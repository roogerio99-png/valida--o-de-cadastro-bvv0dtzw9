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dastro_Mestre_1a1" sheetId="1" state="visible" r:id="rId1"/>
    <sheet xmlns:r="http://schemas.openxmlformats.org/officeDocument/2006/relationships" name="2. Composicao_Em_Linhas" sheetId="2" state="visible" r:id="rId2"/>
    <sheet xmlns:r="http://schemas.openxmlformats.org/officeDocument/2006/relationships" name="3. Cadeia_Empresas_Linhas" sheetId="3" state="visible" r:id="rId3"/>
    <sheet xmlns:r="http://schemas.openxmlformats.org/officeDocument/2006/relationships" name="4. Embalagens_NCM_Linhas" sheetId="4" state="visible" r:id="rId4"/>
    <sheet xmlns:r="http://schemas.openxmlformats.org/officeDocument/2006/relationships" name="5. Culturas_Carencia_Linhas" sheetId="5" state="visible" r:id="rId5"/>
    <sheet xmlns:r="http://schemas.openxmlformats.org/officeDocument/2006/relationships" name="6. Alvos_e_Doses_Linhas" sheetId="6" state="visible" r:id="rId6"/>
    <sheet xmlns:r="http://schemas.openxmlformats.org/officeDocument/2006/relationships" name="7. Aplicacao_e_EPI_Linh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8EEF5"/>
      <sz val="10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B365D"/>
      <sz val="10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1E3A5F"/>
        <bgColor rgb="001E3A5F"/>
      </patternFill>
    </fill>
    <fill>
      <patternFill patternType="solid">
        <fgColor rgb="00F5F8FC"/>
        <bgColor rgb="00F5F8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left" vertical="center" wrapText="1"/>
    </xf>
    <xf numFmtId="3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3" fontId="4" fillId="6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left" vertical="center" wrapText="1"/>
    </xf>
    <xf numFmtId="4" fontId="4" fillId="5" borderId="2" applyAlignment="1" pivotButton="0" quotePrefix="0" xfId="0">
      <alignment horizontal="right" vertical="center" wrapText="1"/>
    </xf>
    <xf numFmtId="4" fontId="4" fillId="6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50" customWidth="1" min="3" max="3"/>
    <col width="50" customWidth="1" min="4" max="4"/>
    <col width="40" customWidth="1" min="5" max="5"/>
    <col width="50" customWidth="1" min="6" max="6"/>
    <col width="50" customWidth="1" min="7" max="7"/>
    <col width="2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32" customWidth="1" min="15" max="15"/>
    <col width="50" customWidth="1" min="16" max="16"/>
    <col width="27" customWidth="1" min="17" max="17"/>
    <col width="50" customWidth="1" min="18" max="18"/>
    <col width="50" customWidth="1" min="19" max="19"/>
    <col width="50" customWidth="1" min="20" max="20"/>
    <col width="36" customWidth="1" min="21" max="21"/>
  </cols>
  <sheetData>
    <row r="1" ht="30" customHeight="1">
      <c r="A1" s="1" t="inlineStr">
        <is>
          <t>2. CADASTRO MESTRE DE PRODUTOS (1:1 — TODOS OS 1.014 PRODUTOS DA BASE COM ATRIBUTOS PADRÕES ÚNICOS) — [BASE OFICIAL SANEADA E CORRIGIDA CONFORME BULAS MAPA / ANVISA / SIPEAGRO]</t>
        </is>
      </c>
    </row>
    <row r="2" ht="20" customHeight="1">
      <c r="A2" s="2" t="inlineStr">
        <is>
          <t>Cada produto ocupa exatamente 1 linha com seus atributos mestres fixos. Componentes químicos, empresas da cadeia, embalagens/NCM, culturas e alvos repetitivos estão nas abas 3 a 8. | Total de Registros: 1014</t>
        </is>
      </c>
    </row>
    <row r="3" ht="8" customHeight="1"/>
    <row r="4" ht="26" customHeight="1">
      <c r="A4" s="3" t="inlineStr">
        <is>
          <t>ID Produto</t>
        </is>
      </c>
      <c r="B4" s="3" t="inlineStr">
        <is>
          <t>Nº Registro MAPA</t>
        </is>
      </c>
      <c r="C4" s="3" t="inlineStr">
        <is>
          <t>Nome Comercial Completo (SKU Base)</t>
        </is>
      </c>
      <c r="D4" s="4" t="inlineStr">
        <is>
          <t>Marca Comercial Padronizada</t>
        </is>
      </c>
      <c r="E4" s="4" t="inlineStr">
        <is>
          <t>Tipo de Produto</t>
        </is>
      </c>
      <c r="F4" s="4" t="inlineStr">
        <is>
          <t>Macro-Grupo Agronômico</t>
        </is>
      </c>
      <c r="G4" s="4" t="inlineStr">
        <is>
          <t>Sub-Grupo / Classe</t>
        </is>
      </c>
      <c r="H4" s="4" t="inlineStr">
        <is>
          <t>Sigla Formulação</t>
        </is>
      </c>
      <c r="I4" s="4" t="inlineStr">
        <is>
          <t>Descrição da Formulação</t>
        </is>
      </c>
      <c r="J4" s="4" t="inlineStr">
        <is>
          <t>Modo de Ação e Seletividade</t>
        </is>
      </c>
      <c r="K4" s="4" t="inlineStr">
        <is>
          <t>Grupo Químico Principal</t>
        </is>
      </c>
      <c r="L4" s="4" t="inlineStr">
        <is>
          <t>Código HRAC / IRAC / FRAC</t>
        </is>
      </c>
      <c r="M4" s="4" t="inlineStr">
        <is>
          <t>Mecanismo de Ação Técnico</t>
        </is>
      </c>
      <c r="N4" s="4" t="inlineStr">
        <is>
          <t>Classe Toxicológica ANVISA</t>
        </is>
      </c>
      <c r="O4" s="4" t="inlineStr">
        <is>
          <t>Cor da Faixa</t>
        </is>
      </c>
      <c r="P4" s="4" t="inlineStr">
        <is>
          <t>Classe Ambiental IBAMA</t>
        </is>
      </c>
      <c r="Q4" s="4" t="inlineStr">
        <is>
          <t>Intervalo Reentrada (h)</t>
        </is>
      </c>
      <c r="R4" s="4" t="inlineStr">
        <is>
          <t>Modalidade Geral de Aplicação</t>
        </is>
      </c>
      <c r="S4" s="4" t="inlineStr">
        <is>
          <t>Antídoto e Orientação Médica</t>
        </is>
      </c>
      <c r="T4" s="4" t="inlineStr">
        <is>
          <t>Titular do Registro / Fabricante Oficial</t>
        </is>
      </c>
      <c r="U4" s="4" t="inlineStr">
        <is>
          <t>Fonte Oficial / Bula</t>
        </is>
      </c>
    </row>
    <row r="5" ht="22" customHeight="1">
      <c r="A5" s="5" t="n">
        <v>1014</v>
      </c>
      <c r="B5" s="6" t="inlineStr">
        <is>
          <t>Nº 002094</t>
        </is>
      </c>
      <c r="C5" s="7" t="inlineStr">
        <is>
          <t>ROUNDUP WG SACO 20KG</t>
        </is>
      </c>
      <c r="D5" s="8" t="inlineStr">
        <is>
          <t>ROUNDUP WG</t>
        </is>
      </c>
      <c r="E5" s="7" t="inlineStr">
        <is>
          <t>Produto Formulado Comercial</t>
        </is>
      </c>
      <c r="F5" s="7" t="inlineStr">
        <is>
          <t>Defensivos</t>
        </is>
      </c>
      <c r="G5" s="7" t="inlineStr">
        <is>
          <t>Herbicida</t>
        </is>
      </c>
      <c r="H5" s="7" t="inlineStr">
        <is>
          <t>WG</t>
        </is>
      </c>
      <c r="I5" s="7" t="inlineStr">
        <is>
          <t>Grânulos Dispersíveis em Água (WG)</t>
        </is>
      </c>
      <c r="J5" s="7" t="inlineStr">
        <is>
          <t>Herbicida sistêmico de pós-emergência (seletivo condicional p/ OGM)</t>
        </is>
      </c>
      <c r="K5" s="7" t="inlineStr">
        <is>
          <t>Glicina substituída</t>
        </is>
      </c>
      <c r="L5" s="7" t="inlineStr">
        <is>
          <t>HRAC Grupo G (EPSPs)</t>
        </is>
      </c>
      <c r="M5" s="7" t="inlineStr">
        <is>
          <t>Inibidores da enzima EPSPs (Enoil Piruvil Shiquimato Fosfato Sintase)</t>
        </is>
      </c>
      <c r="N5" s="7" t="inlineStr">
        <is>
          <t>Categoria 5 — Produto Improvável de Causar Dano Agudo</t>
        </is>
      </c>
      <c r="O5" s="7" t="inlineStr">
        <is>
          <t>Azul Intenso</t>
        </is>
      </c>
      <c r="P5" s="7" t="inlineStr">
        <is>
          <t>Classe IV — Produto Pouco Perigoso ao Meio Ambiente</t>
        </is>
      </c>
      <c r="Q5" s="9" t="n">
        <v>24</v>
      </c>
      <c r="R5" s="7" t="inlineStr">
        <is>
          <t>Terrestre / Aérea (Drones consultar bula)</t>
        </is>
      </c>
      <c r="S5" s="7" t="inlineStr">
        <is>
          <t>Sem antídoto específico (Atropina ineficaz); tratamento sintomático</t>
        </is>
      </c>
      <c r="T5" s="7" t="inlineStr">
        <is>
          <t>MONSANTO DO BRASIL LTDA. (Grupo Bayer)</t>
        </is>
      </c>
      <c r="U5" s="10">
        <f>HYPERLINK("https://www.agro.bayer.com.br/marcas/roundup/roundup-wg", "Bula Oficial Roundup WG (Bayer/MAPA 002094)")</f>
        <v/>
      </c>
    </row>
    <row r="6" ht="22" customHeight="1">
      <c r="A6" s="11" t="n">
        <v>1</v>
      </c>
      <c r="B6" s="12" t="inlineStr">
        <is>
          <t>Nº 0315</t>
        </is>
      </c>
      <c r="C6" s="13" t="inlineStr">
        <is>
          <t>2-4 D AGCN 1X20L (IMP) SL</t>
        </is>
      </c>
      <c r="D6" s="14" t="inlineStr">
        <is>
          <t>2-4 D AGCN</t>
        </is>
      </c>
      <c r="E6" s="13" t="inlineStr">
        <is>
          <t>Produto Formulado Comercial</t>
        </is>
      </c>
      <c r="F6" s="13" t="inlineStr">
        <is>
          <t>Defensivos</t>
        </is>
      </c>
      <c r="G6" s="13" t="inlineStr">
        <is>
          <t>Herbicida</t>
        </is>
      </c>
      <c r="H6" s="13" t="inlineStr">
        <is>
          <t>SL</t>
        </is>
      </c>
      <c r="I6" s="13" t="inlineStr">
        <is>
          <t>Concentrado Solúvel (SL)</t>
        </is>
      </c>
      <c r="J6" s="13" t="inlineStr">
        <is>
          <t>Herbicida sistêmico seletivo de pós-emergência para folhas largas</t>
        </is>
      </c>
      <c r="K6" s="13" t="inlineStr">
        <is>
          <t>Ácido ariloxialcanoico</t>
        </is>
      </c>
      <c r="L6" s="13" t="inlineStr">
        <is>
          <t>HRAC Grupo O (4) — Auxinas Sintéticas</t>
        </is>
      </c>
      <c r="M6" s="13" t="inlineStr">
        <is>
          <t>Mimetizadores da auxina (ácido indolacético - AIA)</t>
        </is>
      </c>
      <c r="N6" s="13" t="inlineStr">
        <is>
          <t>Categoria 4 — Produto Pouco Tóxico</t>
        </is>
      </c>
      <c r="O6" s="13" t="inlineStr">
        <is>
          <t>Azul PMS Blue 293 C</t>
        </is>
      </c>
      <c r="P6" s="13" t="inlineStr">
        <is>
          <t>Classe III — Produto Perigoso ao Meio Ambiente</t>
        </is>
      </c>
      <c r="Q6" s="15" t="n">
        <v>24</v>
      </c>
      <c r="R6" s="13" t="inlineStr">
        <is>
          <t>Terrestre / Aérea (Drones consultar bula)</t>
        </is>
      </c>
      <c r="S6" s="13" t="inlineStr">
        <is>
          <t>Sem antídoto específico; tratamento sintomático</t>
        </is>
      </c>
      <c r="T6" s="13" t="inlineStr">
        <is>
          <t>Agriconnection</t>
        </is>
      </c>
      <c r="U6" s="16">
        <f>HYPERLINK("https://calculadorarural.com.br/defensivos/ativo/2-4-d", "Registro Oficial 2,4-D AGCN 806 SL (Agriconnection)")</f>
        <v/>
      </c>
    </row>
    <row r="7" ht="22" customHeight="1">
      <c r="A7" s="5" t="n">
        <v>2</v>
      </c>
      <c r="B7" s="6" t="inlineStr">
        <is>
          <t>Nº 0315</t>
        </is>
      </c>
      <c r="C7" s="7" t="inlineStr">
        <is>
          <t>AGCN 2,4-D 4X5L (IMP)</t>
        </is>
      </c>
      <c r="D7" s="8" t="inlineStr">
        <is>
          <t>AGCN 2,4-D</t>
        </is>
      </c>
      <c r="E7" s="7" t="inlineStr">
        <is>
          <t>Produto Formulado Comercial</t>
        </is>
      </c>
      <c r="F7" s="7" t="inlineStr">
        <is>
          <t>Defensivos</t>
        </is>
      </c>
      <c r="G7" s="7" t="inlineStr">
        <is>
          <t>Herbicida</t>
        </is>
      </c>
      <c r="H7" s="7" t="inlineStr">
        <is>
          <t>SL</t>
        </is>
      </c>
      <c r="I7" s="7" t="inlineStr">
        <is>
          <t>Concentrado Solúvel (SL)</t>
        </is>
      </c>
      <c r="J7" s="7" t="inlineStr">
        <is>
          <t>Herbicida sistêmico seletivo de pós-emergência para folhas largas</t>
        </is>
      </c>
      <c r="K7" s="7" t="inlineStr">
        <is>
          <t>Ácido ariloxialcanoico</t>
        </is>
      </c>
      <c r="L7" s="7" t="inlineStr">
        <is>
          <t>HRAC Grupo O (4) — Auxinas Sintéticas</t>
        </is>
      </c>
      <c r="M7" s="7" t="inlineStr">
        <is>
          <t>Mimetizadores da auxina (ácido indolacético - AIA)</t>
        </is>
      </c>
      <c r="N7" s="7" t="inlineStr">
        <is>
          <t>Categoria 4 — Produto Pouco Tóxico</t>
        </is>
      </c>
      <c r="O7" s="7" t="inlineStr">
        <is>
          <t>Azul PMS Blue 293 C</t>
        </is>
      </c>
      <c r="P7" s="7" t="inlineStr">
        <is>
          <t>Classe III — Produto Perigoso ao Meio Ambiente</t>
        </is>
      </c>
      <c r="Q7" s="9" t="n">
        <v>24</v>
      </c>
      <c r="R7" s="7" t="inlineStr">
        <is>
          <t>Terrestre / Aérea (Drones consultar bula)</t>
        </is>
      </c>
      <c r="S7" s="7" t="inlineStr">
        <is>
          <t>Sem antídoto específico; tratamento sintomático</t>
        </is>
      </c>
      <c r="T7" s="7" t="inlineStr">
        <is>
          <t>Agriconnection</t>
        </is>
      </c>
      <c r="U7" s="10">
        <f>HYPERLINK("https://calculadorarural.com.br/defensivos/ativo/2-4-d", "Registro Oficial 2,4-D AGCN 806 SL (Agriconnection)")</f>
        <v/>
      </c>
    </row>
    <row r="8" ht="22" customHeight="1">
      <c r="A8" s="11" t="n">
        <v>3</v>
      </c>
      <c r="B8" s="12" t="inlineStr">
        <is>
          <t>Nº 6908</t>
        </is>
      </c>
      <c r="C8" s="13" t="inlineStr">
        <is>
          <t>MIRANT 1X20L</t>
        </is>
      </c>
      <c r="D8" s="14" t="inlineStr">
        <is>
          <t>MIRANT</t>
        </is>
      </c>
      <c r="E8" s="13" t="inlineStr">
        <is>
          <t>Produto Formulado Comercial</t>
        </is>
      </c>
      <c r="F8" s="13" t="inlineStr">
        <is>
          <t>Defensivos</t>
        </is>
      </c>
      <c r="G8" s="13" t="inlineStr">
        <is>
          <t>Herbicida</t>
        </is>
      </c>
      <c r="H8" s="13" t="inlineStr">
        <is>
          <t>SL</t>
        </is>
      </c>
      <c r="I8" s="13" t="inlineStr">
        <is>
          <t>Concentrado Solúvel (SL)</t>
        </is>
      </c>
      <c r="J8" s="13" t="inlineStr">
        <is>
          <t>Herbicida sistêmico seletivo de pós-emergência para folhas largas</t>
        </is>
      </c>
      <c r="K8" s="13" t="inlineStr">
        <is>
          <t>Ácido ariloxialcanoico</t>
        </is>
      </c>
      <c r="L8" s="13" t="inlineStr">
        <is>
          <t>HRAC Grupo O (4) — Auxinas Sintéticas</t>
        </is>
      </c>
      <c r="M8" s="13" t="inlineStr">
        <is>
          <t>Mimetizadores da auxina (ácido indolacético - AIA)</t>
        </is>
      </c>
      <c r="N8" s="13" t="inlineStr">
        <is>
          <t>Categoria 4 — Produto Pouco Tóxico</t>
        </is>
      </c>
      <c r="O8" s="13" t="inlineStr">
        <is>
          <t>Azul PMS Blue 293 C</t>
        </is>
      </c>
      <c r="P8" s="13" t="inlineStr">
        <is>
          <t>Classe III — Produto Perigoso ao Meio Ambiente</t>
        </is>
      </c>
      <c r="Q8" s="15" t="n">
        <v>24</v>
      </c>
      <c r="R8" s="13" t="inlineStr">
        <is>
          <t>Terrestre / Aérea (Drones consultar bula)</t>
        </is>
      </c>
      <c r="S8" s="13" t="inlineStr">
        <is>
          <t>Sem antídoto específico; tratamento sintomático</t>
        </is>
      </c>
      <c r="T8" s="13" t="inlineStr">
        <is>
          <t>Iharabras S.A. Indústrias Químicas</t>
        </is>
      </c>
      <c r="U8" s="16">
        <f>HYPERLINK("https://www.adapar.pr.gov.br/system/files/publico/Agrotoxicos/lista.pdf", "Registro Oficial Mirant 806 SL (Ihara/MAPA 6908)")</f>
        <v/>
      </c>
    </row>
    <row r="9" ht="22" customHeight="1">
      <c r="A9" s="5" t="n">
        <v>4</v>
      </c>
      <c r="B9" s="6" t="inlineStr">
        <is>
          <t>Nº 2704</t>
        </is>
      </c>
      <c r="C9" s="7" t="inlineStr">
        <is>
          <t>U 46 PRIME 1X20L</t>
        </is>
      </c>
      <c r="D9" s="8" t="inlineStr">
        <is>
          <t>U 46 PRIME</t>
        </is>
      </c>
      <c r="E9" s="7" t="inlineStr">
        <is>
          <t>Produto Formulado Comercial</t>
        </is>
      </c>
      <c r="F9" s="7" t="inlineStr">
        <is>
          <t>Defensivos</t>
        </is>
      </c>
      <c r="G9" s="7" t="inlineStr">
        <is>
          <t>Herbicida</t>
        </is>
      </c>
      <c r="H9" s="7" t="inlineStr">
        <is>
          <t>SL</t>
        </is>
      </c>
      <c r="I9" s="7" t="inlineStr">
        <is>
          <t>Concentrado Solúvel (SL)</t>
        </is>
      </c>
      <c r="J9" s="7" t="inlineStr">
        <is>
          <t>Herbicida sistêmico seletivo de pós-emergência para folhas largas</t>
        </is>
      </c>
      <c r="K9" s="7" t="inlineStr">
        <is>
          <t>Ácido ariloxialcanoico</t>
        </is>
      </c>
      <c r="L9" s="7" t="inlineStr">
        <is>
          <t>HRAC Grupo O (4) — Auxinas Sintéticas</t>
        </is>
      </c>
      <c r="M9" s="7" t="inlineStr">
        <is>
          <t>Mimetizadores da auxina (ácido indolacético - AIA)</t>
        </is>
      </c>
      <c r="N9" s="7" t="inlineStr">
        <is>
          <t>Categoria 4 — Produto Pouco Tóxico</t>
        </is>
      </c>
      <c r="O9" s="7" t="inlineStr">
        <is>
          <t>Azul PMS Blue 293 C</t>
        </is>
      </c>
      <c r="P9" s="7" t="inlineStr">
        <is>
          <t>Classe III — Produto Perigoso ao Meio Ambiente</t>
        </is>
      </c>
      <c r="Q9" s="9" t="n">
        <v>24</v>
      </c>
      <c r="R9" s="7" t="inlineStr">
        <is>
          <t>Terrestre / Aérea (Drones consultar bula)</t>
        </is>
      </c>
      <c r="S9" s="7" t="inlineStr">
        <is>
          <t>Sem antídoto específico; tratamento sintomático</t>
        </is>
      </c>
      <c r="T9" s="7" t="inlineStr">
        <is>
          <t>Sumitomo Chemical</t>
        </is>
      </c>
      <c r="U9" s="10">
        <f>HYPERLINK("https://www.adapar.pr.gov.br/system/files/publico/Agrotoxicos/lista.pdf", "Registro Oficial U 46 Prime 806 SL (Sumitomo/MAPA 2704)")</f>
        <v/>
      </c>
    </row>
    <row r="10" ht="22" customHeight="1">
      <c r="A10" s="11" t="n">
        <v>5</v>
      </c>
      <c r="B10" s="12" t="inlineStr">
        <is>
          <t>Nº 19917</t>
        </is>
      </c>
      <c r="C10" s="13" t="inlineStr">
        <is>
          <t>ABADIN 72 EC 4X5L</t>
        </is>
      </c>
      <c r="D10" s="14" t="inlineStr">
        <is>
          <t>ABADIN 72 EC</t>
        </is>
      </c>
      <c r="E10" s="13" t="inlineStr">
        <is>
          <t>Produto Formulado Comercial</t>
        </is>
      </c>
      <c r="F10" s="13" t="inlineStr">
        <is>
          <t>Defensivos</t>
        </is>
      </c>
      <c r="G10" s="13" t="inlineStr">
        <is>
          <t>Inseticida e Acaricida</t>
        </is>
      </c>
      <c r="H10" s="13" t="inlineStr">
        <is>
          <t>EC</t>
        </is>
      </c>
      <c r="I10" s="13" t="inlineStr">
        <is>
          <t>EC - Concentrado Emulsionável</t>
        </is>
      </c>
      <c r="J10" s="13" t="inlineStr">
        <is>
          <t>Inseticida/acaricida de contato e ingestão</t>
        </is>
      </c>
      <c r="K10" s="13" t="inlineStr">
        <is>
          <t>Avermectina (Lactona Macrocíclica)</t>
        </is>
      </c>
      <c r="L10" s="13" t="inlineStr">
        <is>
          <t>IRAC Grupo 6</t>
        </is>
      </c>
      <c r="M10" s="13" t="inlineStr">
        <is>
          <t>Moduladores alostéricos de canais de cloro mediados pelo glutamato (GluCl)</t>
        </is>
      </c>
      <c r="N10" s="13" t="inlineStr">
        <is>
          <t>Categoria 3: Produto Moderadamente Tóxico</t>
        </is>
      </c>
      <c r="O10" s="13" t="inlineStr">
        <is>
          <t>Amarelo</t>
        </is>
      </c>
      <c r="P10" s="13" t="inlineStr">
        <is>
          <t>Classe II — Produto Muito Perigoso ao Meio Ambiente</t>
        </is>
      </c>
      <c r="Q10" s="15" t="n">
        <v>24</v>
      </c>
      <c r="R10" s="13" t="inlineStr">
        <is>
          <t>Terrestre / Aérea (Drones consultar bula)</t>
        </is>
      </c>
      <c r="S10" s="13" t="inlineStr">
        <is>
          <t>Tratamento sintomático conforme grupo químico na bula</t>
        </is>
      </c>
      <c r="T10" s="13" t="inlineStr">
        <is>
          <t>CropChem</t>
        </is>
      </c>
      <c r="U10" s="16">
        <f>HYPERLINK("https://www.adapar.pr.gov.br/system/files/publico/Agrotoxicos/lista.pdf", "Registro Oficial Abadin 72 EC (CropChem/MAPA 19917)")</f>
        <v/>
      </c>
    </row>
    <row r="11" ht="22" customHeight="1">
      <c r="A11" s="5" t="n">
        <v>6</v>
      </c>
      <c r="B11" s="6" t="inlineStr">
        <is>
          <t>Nº 1378704</t>
        </is>
      </c>
      <c r="C11" s="7" t="inlineStr">
        <is>
          <t>ACEFATO 750 2X5KG (IMP)</t>
        </is>
      </c>
      <c r="D11" s="8" t="inlineStr">
        <is>
          <t>ACEFATO 750</t>
        </is>
      </c>
      <c r="E11" s="7" t="inlineStr">
        <is>
          <t>Produto Formulado Comercial</t>
        </is>
      </c>
      <c r="F11" s="7" t="inlineStr">
        <is>
          <t>Defensivos</t>
        </is>
      </c>
      <c r="G11" s="7" t="inlineStr">
        <is>
          <t>Inseticida</t>
        </is>
      </c>
      <c r="H11" s="7" t="inlineStr">
        <is>
          <t>SG</t>
        </is>
      </c>
      <c r="I11" s="7" t="inlineStr">
        <is>
          <t>Grânulos Solúveis em Água (SG)</t>
        </is>
      </c>
      <c r="J11" s="7" t="inlineStr">
        <is>
          <t>Inseticida e acaricida sistêmico de contato e ingestão</t>
        </is>
      </c>
      <c r="K11" s="7" t="inlineStr">
        <is>
          <t>Organofosforado</t>
        </is>
      </c>
      <c r="L11" s="7" t="inlineStr">
        <is>
          <t>IRAC Grupo 1B</t>
        </is>
      </c>
      <c r="M11" s="7" t="inlineStr">
        <is>
          <t>Inibidores da enzima acetilcolinesterase (AChE)</t>
        </is>
      </c>
      <c r="N11" s="7" t="inlineStr">
        <is>
          <t>Categoria 4 — Produto Pouco Tóxico</t>
        </is>
      </c>
      <c r="O11" s="7" t="inlineStr">
        <is>
          <t>Azul PMS Blue 293 C</t>
        </is>
      </c>
      <c r="P11" s="7" t="inlineStr">
        <is>
          <t>Classe III — Produto Perigoso ao Meio Ambiente</t>
        </is>
      </c>
      <c r="Q11" s="9" t="n">
        <v>24</v>
      </c>
      <c r="R11" s="7" t="inlineStr">
        <is>
          <t>Terrestre / Aérea (Drones consultar bula)</t>
        </is>
      </c>
      <c r="S11" s="7" t="inlineStr">
        <is>
          <t>Sulfato de Atropina e Pralidoxima (Contrathion)</t>
        </is>
      </c>
      <c r="T11" s="7" t="inlineStr">
        <is>
          <t>Sipcam Nichino Brasil S.A.</t>
        </is>
      </c>
      <c r="U11" s="10">
        <f>HYPERLINK("https://agrofit.agricultura.gov.br/agrofit_cons/principal_agrofit_cons", "Consulta Oficial AGROFIT/MAPA (Nº 1378704)")</f>
        <v/>
      </c>
    </row>
    <row r="12" ht="22" customHeight="1">
      <c r="A12" s="11" t="n">
        <v>7</v>
      </c>
      <c r="B12" s="12" t="inlineStr">
        <is>
          <t>Nº 458294</t>
        </is>
      </c>
      <c r="C12" s="13" t="inlineStr">
        <is>
          <t>ACEFATO FERSOL 750 4X5KG (IMP)</t>
        </is>
      </c>
      <c r="D12" s="14" t="inlineStr">
        <is>
          <t>ACEFATO FERSOL 750</t>
        </is>
      </c>
      <c r="E12" s="13" t="inlineStr">
        <is>
          <t>Produto Formulado Comercial</t>
        </is>
      </c>
      <c r="F12" s="13" t="inlineStr">
        <is>
          <t>Defensivos</t>
        </is>
      </c>
      <c r="G12" s="13" t="inlineStr">
        <is>
          <t>Inseticida</t>
        </is>
      </c>
      <c r="H12" s="13" t="inlineStr">
        <is>
          <t>SP</t>
        </is>
      </c>
      <c r="I12" s="13" t="inlineStr">
        <is>
          <t>SP - Pó Solúvel</t>
        </is>
      </c>
      <c r="J12" s="13" t="inlineStr">
        <is>
          <t>Inseticida e acaricida sistêmico de contato e ingestão</t>
        </is>
      </c>
      <c r="K12" s="13" t="inlineStr">
        <is>
          <t>Organofosforado</t>
        </is>
      </c>
      <c r="L12" s="13" t="inlineStr">
        <is>
          <t>IRAC Grupo 1B</t>
        </is>
      </c>
      <c r="M12" s="13" t="inlineStr">
        <is>
          <t>Inibidores da enzima acetilcolinesterase (AChE)</t>
        </is>
      </c>
      <c r="N12" s="13" t="inlineStr">
        <is>
          <t>IV POUCO TÓXICO</t>
        </is>
      </c>
      <c r="O12" s="13" t="inlineStr">
        <is>
          <t>Azul</t>
        </is>
      </c>
      <c r="P12" s="13" t="inlineStr">
        <is>
          <t>Classe III — Produto Perigoso ao Meio Ambiente</t>
        </is>
      </c>
      <c r="Q12" s="15" t="n">
        <v>24</v>
      </c>
      <c r="R12" s="13" t="inlineStr">
        <is>
          <t>Terrestre / Aérea (Drones consultar bula)</t>
        </is>
      </c>
      <c r="S12" s="13" t="inlineStr">
        <is>
          <t>Sulfato de Atropina e Pralidoxima (Contrathion)</t>
        </is>
      </c>
      <c r="T12" s="13" t="inlineStr">
        <is>
          <t>AMERIBRAS INDUSTRIA E COMERCIO LTDA</t>
        </is>
      </c>
      <c r="U12" s="16">
        <f>HYPERLINK("https://agrofit.agricultura.gov.br/agrofit_cons/principal_agrofit_cons", "Consulta Oficial AGROFIT/MAPA (Nº 458294)")</f>
        <v/>
      </c>
    </row>
    <row r="13" ht="22" customHeight="1">
      <c r="A13" s="5" t="n">
        <v>8</v>
      </c>
      <c r="B13" s="6" t="inlineStr">
        <is>
          <t>Nº 20817</t>
        </is>
      </c>
      <c r="C13" s="7" t="inlineStr">
        <is>
          <t>TRISHUL 750 SP 2X5KG (IMP)</t>
        </is>
      </c>
      <c r="D13" s="8" t="inlineStr">
        <is>
          <t>TRISHUL 750 SP</t>
        </is>
      </c>
      <c r="E13" s="7" t="inlineStr">
        <is>
          <t>Produto Formulado Comercial</t>
        </is>
      </c>
      <c r="F13" s="7" t="inlineStr">
        <is>
          <t>Defensivos</t>
        </is>
      </c>
      <c r="G13" s="7" t="inlineStr">
        <is>
          <t>Inseticida</t>
        </is>
      </c>
      <c r="H13" s="7" t="inlineStr">
        <is>
          <t>SP</t>
        </is>
      </c>
      <c r="I13" s="7" t="inlineStr">
        <is>
          <t>Pó Solúvel (SP)</t>
        </is>
      </c>
      <c r="J13" s="7" t="inlineStr">
        <is>
          <t>Inseticida e acaricida sistêmico de contato e ingestão</t>
        </is>
      </c>
      <c r="K13" s="7" t="inlineStr">
        <is>
          <t>Organofosforado</t>
        </is>
      </c>
      <c r="L13" s="7" t="inlineStr">
        <is>
          <t>IRAC Grupo 1B</t>
        </is>
      </c>
      <c r="M13" s="7" t="inlineStr">
        <is>
          <t>Inibidores da enzima acetilcolinesterase (AChE)</t>
        </is>
      </c>
      <c r="N13" s="7" t="inlineStr">
        <is>
          <t>Categoria 4 — Produto Pouco Tóxico</t>
        </is>
      </c>
      <c r="O13" s="7" t="inlineStr">
        <is>
          <t>Azul PMS Blue 293 C</t>
        </is>
      </c>
      <c r="P13" s="7" t="inlineStr">
        <is>
          <t>Classe III — Produto Perigoso ao Meio Ambiente</t>
        </is>
      </c>
      <c r="Q13" s="9" t="n">
        <v>24</v>
      </c>
      <c r="R13" s="7" t="inlineStr">
        <is>
          <t>Terrestre / Aérea (Drones consultar bula)</t>
        </is>
      </c>
      <c r="S13" s="7" t="inlineStr">
        <is>
          <t>Sulfato de Atropina e Pralidoxima (Contrathion)</t>
        </is>
      </c>
      <c r="T13" s="7" t="inlineStr">
        <is>
          <t>Sharda do Brasil</t>
        </is>
      </c>
      <c r="U13" s="10">
        <f>HYPERLINK("https://agrofit.agricultura.gov.br/agrofit_cons/principal_agrofit_cons", "Consulta Oficial AGROFIT/MAPA (Nº 20817)")</f>
        <v/>
      </c>
    </row>
    <row r="14" ht="22" customHeight="1">
      <c r="A14" s="11" t="n">
        <v>9</v>
      </c>
      <c r="B14" s="12" t="inlineStr">
        <is>
          <t>Nº 1378704</t>
        </is>
      </c>
      <c r="C14" s="13" t="inlineStr">
        <is>
          <t>CEFANOL 8X3KG</t>
        </is>
      </c>
      <c r="D14" s="14" t="inlineStr">
        <is>
          <t>CEFANOL</t>
        </is>
      </c>
      <c r="E14" s="13" t="inlineStr">
        <is>
          <t>Produto Formulado Comercial</t>
        </is>
      </c>
      <c r="F14" s="13" t="inlineStr">
        <is>
          <t>Defensivos</t>
        </is>
      </c>
      <c r="G14" s="13" t="inlineStr">
        <is>
          <t>Inseticida</t>
        </is>
      </c>
      <c r="H14" s="13" t="inlineStr">
        <is>
          <t>SG</t>
        </is>
      </c>
      <c r="I14" s="13" t="inlineStr">
        <is>
          <t>Grânulos Solúveis em Água (SG)</t>
        </is>
      </c>
      <c r="J14" s="13" t="inlineStr">
        <is>
          <t>Inseticida e acaricida sistêmico de contato e ingestão</t>
        </is>
      </c>
      <c r="K14" s="13" t="inlineStr">
        <is>
          <t>Organofosforado</t>
        </is>
      </c>
      <c r="L14" s="13" t="inlineStr">
        <is>
          <t>IRAC Grupo 1B</t>
        </is>
      </c>
      <c r="M14" s="13" t="inlineStr">
        <is>
          <t>Inibidores da enzima acetilcolinesterase (AChE)</t>
        </is>
      </c>
      <c r="N14" s="13" t="inlineStr">
        <is>
          <t>Categoria 4 — Produto Pouco Tóxico</t>
        </is>
      </c>
      <c r="O14" s="13" t="inlineStr">
        <is>
          <t>Azul PMS Blue 293 C</t>
        </is>
      </c>
      <c r="P14" s="13" t="inlineStr">
        <is>
          <t>Classe III — Produto Perigoso ao Meio Ambiente</t>
        </is>
      </c>
      <c r="Q14" s="15" t="n">
        <v>24</v>
      </c>
      <c r="R14" s="13" t="inlineStr">
        <is>
          <t>Terrestre / Aérea (Drones consultar bula)</t>
        </is>
      </c>
      <c r="S14" s="13" t="inlineStr">
        <is>
          <t>Sulfato de Atropina e Pralidoxima (Contrathion)</t>
        </is>
      </c>
      <c r="T14" s="13" t="inlineStr">
        <is>
          <t>Sipcam Nichino Brasil S.A.</t>
        </is>
      </c>
      <c r="U14" s="16">
        <f>HYPERLINK("https://agrofit.agricultura.gov.br/agrofit_cons/principal_agrofit_cons", "Consulta Oficial AGROFIT/MAPA (Nº 1378704)")</f>
        <v/>
      </c>
    </row>
    <row r="15" ht="22" customHeight="1">
      <c r="A15" s="5" t="n">
        <v>10</v>
      </c>
      <c r="B15" s="6" t="inlineStr">
        <is>
          <t>Nº 23121</t>
        </is>
      </c>
      <c r="C15" s="7" t="inlineStr">
        <is>
          <t>ASLAN SL 4X5L (IMP)</t>
        </is>
      </c>
      <c r="D15" s="8" t="inlineStr">
        <is>
          <t>ASLAN SL</t>
        </is>
      </c>
      <c r="E15" s="7" t="inlineStr">
        <is>
          <t>Produto Formulado Comercial</t>
        </is>
      </c>
      <c r="F15" s="7" t="inlineStr">
        <is>
          <t>Defensivos</t>
        </is>
      </c>
      <c r="G15" s="7" t="inlineStr">
        <is>
          <t>Inseticida</t>
        </is>
      </c>
      <c r="H15" s="7" t="inlineStr">
        <is>
          <t>SL</t>
        </is>
      </c>
      <c r="I15" s="7" t="inlineStr">
        <is>
          <t>SL - Concentrado Solúvel</t>
        </is>
      </c>
      <c r="J15" s="7" t="inlineStr">
        <is>
          <t>Inseticida e acaricida de contato e ingestão</t>
        </is>
      </c>
      <c r="K15" s="7" t="inlineStr">
        <is>
          <t>Piretroide (Tipo I)</t>
        </is>
      </c>
      <c r="L15" s="7" t="inlineStr">
        <is>
          <t>IRAC Grupo 3A</t>
        </is>
      </c>
      <c r="M15" s="7" t="inlineStr">
        <is>
          <t>Moduladores de canais de sódio em membranas nervosas</t>
        </is>
      </c>
      <c r="N15" s="7" t="inlineStr">
        <is>
          <t>Categoria 4: Produto Pouco Tóxico</t>
        </is>
      </c>
      <c r="O15" s="7" t="inlineStr">
        <is>
          <t>Azul</t>
        </is>
      </c>
      <c r="P15" s="7" t="inlineStr">
        <is>
          <t>Classe II — Produto Muito Perigoso ao Meio Ambiente</t>
        </is>
      </c>
      <c r="Q15" s="9" t="n">
        <v>24</v>
      </c>
      <c r="R15" s="7" t="inlineStr">
        <is>
          <t>Terrestre / Aérea (Drones consultar bula)</t>
        </is>
      </c>
      <c r="S15" s="7" t="inlineStr">
        <is>
          <t>Sem antídoto específico; anti-histamínicos e vitamina E tópica para parestesia</t>
        </is>
      </c>
      <c r="T15" s="7" t="inlineStr">
        <is>
          <t>CropChem</t>
        </is>
      </c>
      <c r="U15" s="10">
        <f>HYPERLINK("https://agrofit.agricultura.gov.br/agrofit_cons/principal_agrofit_cons", "Consulta Oficial AGROFIT/MAPA (Nº 23121)")</f>
        <v/>
      </c>
    </row>
    <row r="16" ht="22" customHeight="1">
      <c r="A16" s="11" t="n">
        <v>11</v>
      </c>
      <c r="B16" s="12" t="inlineStr">
        <is>
          <t>Nº 26718</t>
        </is>
      </c>
      <c r="C16" s="13" t="inlineStr">
        <is>
          <t>DINKY 4X5KG (IMP)</t>
        </is>
      </c>
      <c r="D16" s="14" t="inlineStr">
        <is>
          <t>DINKY</t>
        </is>
      </c>
      <c r="E16" s="13" t="inlineStr">
        <is>
          <t>Produto Formulado Comercial</t>
        </is>
      </c>
      <c r="F16" s="13" t="inlineStr">
        <is>
          <t>Defensivos</t>
        </is>
      </c>
      <c r="G16" s="13" t="inlineStr">
        <is>
          <t>Inseticida</t>
        </is>
      </c>
      <c r="H16" s="13" t="inlineStr">
        <is>
          <t>SP</t>
        </is>
      </c>
      <c r="I16" s="13" t="inlineStr">
        <is>
          <t>Pó Solúvel (SP)</t>
        </is>
      </c>
      <c r="J16" s="13" t="inlineStr">
        <is>
          <t>Inseticida sistêmico de contato, ingestão e ação translaminar</t>
        </is>
      </c>
      <c r="K16" s="13" t="inlineStr">
        <is>
          <t>Neonicotinoide</t>
        </is>
      </c>
      <c r="L16" s="13" t="inlineStr">
        <is>
          <t>IRAC Grupo 4A</t>
        </is>
      </c>
      <c r="M16" s="13" t="inlineStr">
        <is>
          <t>Moduladores competitivos de receptores nicotínicos da acetilcolina (nAChR)</t>
        </is>
      </c>
      <c r="N16" s="13" t="inlineStr">
        <is>
          <t>Categoria 4 — Produto Pouco Tóxico</t>
        </is>
      </c>
      <c r="O16" s="13" t="inlineStr">
        <is>
          <t>Azul PMS Blue 293 C</t>
        </is>
      </c>
      <c r="P16" s="13" t="inlineStr">
        <is>
          <t>Classe II — Produto Muito Perigoso ao Meio Ambiente</t>
        </is>
      </c>
      <c r="Q16" s="15" t="n">
        <v>24</v>
      </c>
      <c r="R16" s="13" t="inlineStr">
        <is>
          <t>Terrestre / Aérea (Drones consultar bula)</t>
        </is>
      </c>
      <c r="S16" s="13" t="inlineStr">
        <is>
          <t>Sem antídoto específico; tratamento sintomático</t>
        </is>
      </c>
      <c r="T16" s="13" t="inlineStr">
        <is>
          <t>GLOBACHEM PROTEÇÃO DE CULTIVOS DO BRASIL LTDA.</t>
        </is>
      </c>
      <c r="U16" s="16">
        <f>HYPERLINK("https://www.agrolink.com.br/agrolinkfito/produto/dinky-200-sp---promenade_10735.html", "Bula Oficial Dinky 200 SP (Globachem)")</f>
        <v/>
      </c>
    </row>
    <row r="17" ht="22" customHeight="1">
      <c r="A17" s="5" t="n">
        <v>12</v>
      </c>
      <c r="B17" s="6" t="inlineStr">
        <is>
          <t>Nº 11018</t>
        </is>
      </c>
      <c r="C17" s="7" t="inlineStr">
        <is>
          <t>JAVA 200 SP 4X5KG</t>
        </is>
      </c>
      <c r="D17" s="8" t="inlineStr">
        <is>
          <t>JAVA 200 SP</t>
        </is>
      </c>
      <c r="E17" s="7" t="inlineStr">
        <is>
          <t>Produto Formulado Comercial</t>
        </is>
      </c>
      <c r="F17" s="7" t="inlineStr">
        <is>
          <t>Defensivos</t>
        </is>
      </c>
      <c r="G17" s="7" t="inlineStr">
        <is>
          <t>Inseticida</t>
        </is>
      </c>
      <c r="H17" s="7" t="inlineStr">
        <is>
          <t>SP</t>
        </is>
      </c>
      <c r="I17" s="7" t="inlineStr">
        <is>
          <t>Pó Solúvel (SP)</t>
        </is>
      </c>
      <c r="J17" s="7" t="inlineStr">
        <is>
          <t>Inseticida sistêmico de contato, ingestão e ação translaminar</t>
        </is>
      </c>
      <c r="K17" s="7" t="inlineStr">
        <is>
          <t>Neonicotinoide</t>
        </is>
      </c>
      <c r="L17" s="7" t="inlineStr">
        <is>
          <t>IRAC Grupo 4A</t>
        </is>
      </c>
      <c r="M17" s="7" t="inlineStr">
        <is>
          <t>Moduladores competitivos de receptores nicotínicos da acetilcolina (nAChR)</t>
        </is>
      </c>
      <c r="N17" s="7" t="inlineStr">
        <is>
          <t>Categoria 4 — Produto Pouco Tóxico</t>
        </is>
      </c>
      <c r="O17" s="7" t="inlineStr">
        <is>
          <t>Azul PMS Blue 293 C</t>
        </is>
      </c>
      <c r="P17" s="7" t="inlineStr">
        <is>
          <t>Classe II — Produto Muito Perigoso ao Meio Ambiente</t>
        </is>
      </c>
      <c r="Q17" s="9" t="n">
        <v>24</v>
      </c>
      <c r="R17" s="7" t="inlineStr">
        <is>
          <t>Terrestre / Aérea (Drones consultar bula)</t>
        </is>
      </c>
      <c r="S17" s="7" t="inlineStr">
        <is>
          <t>Sem antídoto específico; tratamento sintomático</t>
        </is>
      </c>
      <c r="T17" s="7" t="inlineStr">
        <is>
          <t>CROPCHEM LTDA.</t>
        </is>
      </c>
      <c r="U17" s="10">
        <f>HYPERLINK("https://www.agrolink.com.br/agrolinkfito/produto/java-200-sp_10626.html", "Bula Oficial Java 200 SP (CropChem)")</f>
        <v/>
      </c>
    </row>
    <row r="18" ht="22" customHeight="1">
      <c r="A18" s="11" t="n">
        <v>13</v>
      </c>
      <c r="B18" s="12" t="inlineStr">
        <is>
          <t>Nº 28017</t>
        </is>
      </c>
      <c r="C18" s="13" t="inlineStr">
        <is>
          <t>RODOLIA 200 SP 4X5KG (IMP) SS</t>
        </is>
      </c>
      <c r="D18" s="14" t="inlineStr">
        <is>
          <t>RODOLIA 200 SP</t>
        </is>
      </c>
      <c r="E18" s="13" t="inlineStr">
        <is>
          <t>Produto Formulado Comercial</t>
        </is>
      </c>
      <c r="F18" s="13" t="inlineStr">
        <is>
          <t>Defensivos</t>
        </is>
      </c>
      <c r="G18" s="13" t="inlineStr">
        <is>
          <t>Inseticida</t>
        </is>
      </c>
      <c r="H18" s="13" t="inlineStr">
        <is>
          <t>SP</t>
        </is>
      </c>
      <c r="I18" s="13" t="inlineStr">
        <is>
          <t>Pó Solúvel (SP)</t>
        </is>
      </c>
      <c r="J18" s="13" t="inlineStr">
        <is>
          <t>Inseticida sistêmico de contato, ingestão e ação translaminar</t>
        </is>
      </c>
      <c r="K18" s="13" t="inlineStr">
        <is>
          <t>Neonicotinoide</t>
        </is>
      </c>
      <c r="L18" s="13" t="inlineStr">
        <is>
          <t>IRAC Grupo 4A</t>
        </is>
      </c>
      <c r="M18" s="13" t="inlineStr">
        <is>
          <t>Moduladores competitivos de receptores nicotínicos da acetilcolina (nAChR)</t>
        </is>
      </c>
      <c r="N18" s="13" t="inlineStr">
        <is>
          <t>Categoria 4 — Produto Pouco Tóxico</t>
        </is>
      </c>
      <c r="O18" s="13" t="inlineStr">
        <is>
          <t>Azul PMS Blue 293 C</t>
        </is>
      </c>
      <c r="P18" s="13" t="inlineStr">
        <is>
          <t>Classe II — Produto Muito Perigoso ao Meio Ambiente</t>
        </is>
      </c>
      <c r="Q18" s="15" t="n">
        <v>24</v>
      </c>
      <c r="R18" s="13" t="inlineStr">
        <is>
          <t>Terrestre / Aérea (Drones consultar bula)</t>
        </is>
      </c>
      <c r="S18" s="13" t="inlineStr">
        <is>
          <t>Sem antídoto específico; tratamento sintomático</t>
        </is>
      </c>
      <c r="T18" s="13" t="inlineStr">
        <is>
          <t>ALLIERBRASIL AGRO LTDA.</t>
        </is>
      </c>
      <c r="U18" s="16">
        <f>HYPERLINK("https://www.agrolink.com.br/agrolinkfito/produto/rodolia-200-sp_10484.html", "Bula Oficial Rodolia 200 SP (AllierBrasil)")</f>
        <v/>
      </c>
    </row>
    <row r="19" ht="22" customHeight="1">
      <c r="A19" s="5" t="n">
        <v>14</v>
      </c>
      <c r="B19" s="6" t="inlineStr">
        <is>
          <t>ISENTO (ATO 104/2017)</t>
        </is>
      </c>
      <c r="C19" s="7" t="inlineStr">
        <is>
          <t>AGCN SAFE AIR 4X5L</t>
        </is>
      </c>
      <c r="D19" s="8" t="inlineStr">
        <is>
          <t>AGCN SAFE AIR</t>
        </is>
      </c>
      <c r="E19" s="7" t="inlineStr">
        <is>
          <t>Adjuvante / Espalhante Adesivo</t>
        </is>
      </c>
      <c r="F19" s="7" t="inlineStr">
        <is>
          <t>Adjuvantes</t>
        </is>
      </c>
      <c r="G19" s="7" t="inlineStr">
        <is>
          <t>Adjuvante Espalhante / Surfactante / Redutor de pH e Deriva</t>
        </is>
      </c>
      <c r="H19" s="7" t="inlineStr">
        <is>
          <t>EC</t>
        </is>
      </c>
      <c r="I19" s="7" t="inlineStr">
        <is>
          <t>Concentrado Emulsionável (EC)</t>
        </is>
      </c>
      <c r="J19" s="7" t="inlineStr">
        <is>
          <t>Aditivo físico-químico para calda de pulverização</t>
        </is>
      </c>
      <c r="K19" s="7" t="inlineStr">
        <is>
          <t>Éster Metílico / Hidrocarboneto Parafínico / Tensoativo Siliconado</t>
        </is>
      </c>
      <c r="L19" s="7" t="inlineStr">
        <is>
          <t>Adjuvante Tecnológico de Pulverização</t>
        </is>
      </c>
      <c r="M19" s="7" t="inlineStr">
        <is>
          <t>Redução da tensão superficial, espalhamento, anti-deriva e penetração cuticular</t>
        </is>
      </c>
      <c r="N19" s="7" t="inlineStr">
        <is>
          <t>Isento / Ato SDA nº 104/2017 (ou Categoria 5 quando registrado)</t>
        </is>
      </c>
      <c r="O19" s="7" t="inlineStr">
        <is>
          <t>Azul / Isento</t>
        </is>
      </c>
      <c r="P19" s="7" t="inlineStr">
        <is>
          <t>Classe IV — Pouco Perigoso ao Meio Ambiente</t>
        </is>
      </c>
      <c r="Q19" s="9" t="n">
        <v>24</v>
      </c>
      <c r="R19" s="7" t="inlineStr">
        <is>
          <t>Terrestre / Aérea (Drones consultar bula)</t>
        </is>
      </c>
      <c r="S19" s="7" t="inlineStr">
        <is>
          <t>Tratamento sintomático; evitar indução de vômito em derivados de petróleo</t>
        </is>
      </c>
      <c r="T19" s="7" t="inlineStr">
        <is>
          <t>Dispensado de Registro (Ato SDA nº 104/2017)</t>
        </is>
      </c>
      <c r="U19" s="10">
        <f>HYPERLINK("https://www.gov.br/agricultura/pt-br/assuntos/insumos-agropecuarios/insumos-agricolas/agrotoxicos/legislacao", "Ato SDA/MAPA nº 104/2017 — Adjuvantes Agrícolas")</f>
        <v/>
      </c>
    </row>
    <row r="20" ht="22" customHeight="1">
      <c r="A20" s="11" t="n">
        <v>15</v>
      </c>
      <c r="B20" s="12" t="inlineStr">
        <is>
          <t>ISENTO (ATO 104/2017)</t>
        </is>
      </c>
      <c r="C20" s="13" t="inlineStr">
        <is>
          <t>AGCN SAFE DESSEK 4X5L</t>
        </is>
      </c>
      <c r="D20" s="14" t="inlineStr">
        <is>
          <t>AGCN SAFE DESSEK</t>
        </is>
      </c>
      <c r="E20" s="13" t="inlineStr">
        <is>
          <t>Adjuvante / Espalhante Adesivo</t>
        </is>
      </c>
      <c r="F20" s="13" t="inlineStr">
        <is>
          <t>Adjuvantes</t>
        </is>
      </c>
      <c r="G20" s="13" t="inlineStr">
        <is>
          <t>Adjuvante Espalhante / Surfactante / Redutor de pH e Deriva</t>
        </is>
      </c>
      <c r="H20" s="13" t="inlineStr">
        <is>
          <t>EC</t>
        </is>
      </c>
      <c r="I20" s="13" t="inlineStr">
        <is>
          <t>Concentrado Emulsionável (EC)</t>
        </is>
      </c>
      <c r="J20" s="13" t="inlineStr">
        <is>
          <t>Aditivo físico-químico para calda de pulverização</t>
        </is>
      </c>
      <c r="K20" s="13" t="inlineStr">
        <is>
          <t>Éster Metílico / Hidrocarboneto Parafínico / Tensoativo Siliconado</t>
        </is>
      </c>
      <c r="L20" s="13" t="inlineStr">
        <is>
          <t>Adjuvante Tecnológico de Pulverização</t>
        </is>
      </c>
      <c r="M20" s="13" t="inlineStr">
        <is>
          <t>Redução da tensão superficial, espalhamento, anti-deriva e penetração cuticular</t>
        </is>
      </c>
      <c r="N20" s="13" t="inlineStr">
        <is>
          <t>Isento / Ato SDA nº 104/2017 (ou Categoria 5 quando registrado)</t>
        </is>
      </c>
      <c r="O20" s="13" t="inlineStr">
        <is>
          <t>Azul / Isento</t>
        </is>
      </c>
      <c r="P20" s="13" t="inlineStr">
        <is>
          <t>Classe IV — Pouco Perigoso ao Meio Ambiente</t>
        </is>
      </c>
      <c r="Q20" s="15" t="n">
        <v>24</v>
      </c>
      <c r="R20" s="13" t="inlineStr">
        <is>
          <t>Terrestre / Aérea (Drones consultar bula)</t>
        </is>
      </c>
      <c r="S20" s="13" t="inlineStr">
        <is>
          <t>Tratamento sintomático; evitar indução de vômito em derivados de petróleo</t>
        </is>
      </c>
      <c r="T20" s="13" t="inlineStr">
        <is>
          <t>Dispensado de Registro (Ato SDA nº 104/2017)</t>
        </is>
      </c>
      <c r="U20" s="16">
        <f>HYPERLINK("https://www.gov.br/agricultura/pt-br/assuntos/insumos-agropecuarios/insumos-agricolas/agrotoxicos/legislacao", "Ato SDA/MAPA nº 104/2017 — Adjuvantes Agrícolas")</f>
        <v/>
      </c>
    </row>
    <row r="21" ht="22" customHeight="1">
      <c r="A21" s="5" t="n">
        <v>16</v>
      </c>
      <c r="B21" s="6" t="inlineStr">
        <is>
          <t>ISENTO (ATO 104/2017)</t>
        </is>
      </c>
      <c r="C21" s="7" t="inlineStr">
        <is>
          <t>AGCN SAFE SPRAY 4X5L</t>
        </is>
      </c>
      <c r="D21" s="8" t="inlineStr">
        <is>
          <t>AGCN SAFE SPRAY</t>
        </is>
      </c>
      <c r="E21" s="7" t="inlineStr">
        <is>
          <t>Adjuvante / Espalhante Adesivo</t>
        </is>
      </c>
      <c r="F21" s="7" t="inlineStr">
        <is>
          <t>Adjuvantes</t>
        </is>
      </c>
      <c r="G21" s="7" t="inlineStr">
        <is>
          <t>Adjuvante Espalhante / Surfactante / Redutor de pH e Deriva</t>
        </is>
      </c>
      <c r="H21" s="7" t="inlineStr">
        <is>
          <t>EC</t>
        </is>
      </c>
      <c r="I21" s="7" t="inlineStr">
        <is>
          <t>Concentrado Emulsionável (EC)</t>
        </is>
      </c>
      <c r="J21" s="7" t="inlineStr">
        <is>
          <t>Aditivo físico-químico para calda de pulverização</t>
        </is>
      </c>
      <c r="K21" s="7" t="inlineStr">
        <is>
          <t>Éster Metílico / Hidrocarboneto Parafínico / Tensoativo Siliconado</t>
        </is>
      </c>
      <c r="L21" s="7" t="inlineStr">
        <is>
          <t>Adjuvante Tecnológico de Pulverização</t>
        </is>
      </c>
      <c r="M21" s="7" t="inlineStr">
        <is>
          <t>Redução da tensão superficial, espalhamento, anti-deriva e penetração cuticular</t>
        </is>
      </c>
      <c r="N21" s="7" t="inlineStr">
        <is>
          <t>Isento / Ato SDA nº 104/2017 (ou Categoria 5 quando registrado)</t>
        </is>
      </c>
      <c r="O21" s="7" t="inlineStr">
        <is>
          <t>Azul / Isento</t>
        </is>
      </c>
      <c r="P21" s="7" t="inlineStr">
        <is>
          <t>Classe IV — Pouco Perigoso ao Meio Ambiente</t>
        </is>
      </c>
      <c r="Q21" s="9" t="n">
        <v>24</v>
      </c>
      <c r="R21" s="7" t="inlineStr">
        <is>
          <t>Terrestre / Aérea (Drones consultar bula)</t>
        </is>
      </c>
      <c r="S21" s="7" t="inlineStr">
        <is>
          <t>Tratamento sintomático; evitar indução de vômito em derivados de petróleo</t>
        </is>
      </c>
      <c r="T21" s="7" t="inlineStr">
        <is>
          <t>Dispensado de Registro (Ato SDA nº 104/2017)</t>
        </is>
      </c>
      <c r="U21" s="10">
        <f>HYPERLINK("https://www.gov.br/agricultura/pt-br/assuntos/insumos-agropecuarios/insumos-agricolas/agrotoxicos/legislacao", "Ato SDA/MAPA nº 104/2017 — Adjuvantes Agrícolas")</f>
        <v/>
      </c>
    </row>
    <row r="22" ht="22" customHeight="1">
      <c r="A22" s="11" t="n">
        <v>17</v>
      </c>
      <c r="B22" s="12" t="inlineStr">
        <is>
          <t>SIPEAGRO (UF-XXXXX)</t>
        </is>
      </c>
      <c r="C22" s="13" t="inlineStr">
        <is>
          <t>AGCN SEED 4X5L</t>
        </is>
      </c>
      <c r="D22" s="14" t="inlineStr">
        <is>
          <t>AGCN SEED</t>
        </is>
      </c>
      <c r="E22" s="13" t="inlineStr">
        <is>
          <t>Fertilizante Mineral / Organomineral</t>
        </is>
      </c>
      <c r="F22" s="13" t="inlineStr">
        <is>
          <t>Fertilizantes</t>
        </is>
      </c>
      <c r="G22" s="13" t="inlineStr">
        <is>
          <t>Fertilizante Foliar / Micronutrientes</t>
        </is>
      </c>
      <c r="H22" s="13" t="inlineStr">
        <is>
          <t>SL</t>
        </is>
      </c>
      <c r="I22" s="13" t="inlineStr">
        <is>
          <t>Solução / Suspensão Concentrada Foliar (Fluido)</t>
        </is>
      </c>
      <c r="J22" s="13" t="inlineStr">
        <is>
          <t>Aplicação via solo, fertirrigação ou adubação foliar</t>
        </is>
      </c>
      <c r="K22" s="13" t="inlineStr">
        <is>
          <t>Fertilizante Mineral / Organomineral (Lei nº 6.894/1980)</t>
        </is>
      </c>
      <c r="L22" s="13" t="inlineStr">
        <is>
          <t>Nutrição Vegetal SIPEAGRO</t>
        </is>
      </c>
      <c r="M22" s="13" t="inlineStr">
        <is>
          <t>Fornecimento de macro e micronutrientes essenciais ao metabolismo vegetal</t>
        </is>
      </c>
      <c r="N22" s="13" t="inlineStr">
        <is>
          <t>Isento ANVISA (Produto Fertilizante Registrado no SIPEAGRO/MAPA)</t>
        </is>
      </c>
      <c r="O22" s="13" t="inlineStr">
        <is>
          <t>Não Aplicável (Fertilizante)</t>
        </is>
      </c>
      <c r="P22" s="13" t="inlineStr">
        <is>
          <t>Baixo Potencial Poluidor (Uso conforme recomendação agronômica)</t>
        </is>
      </c>
      <c r="Q22" s="15" t="n">
        <v>0</v>
      </c>
      <c r="R22" s="13" t="inlineStr">
        <is>
          <t>Aplicação Dirigida / TS / Solo</t>
        </is>
      </c>
      <c r="S22" s="13" t="inlineStr">
        <is>
          <t>Tratamento sintomático em caso de ingestão acidental</t>
        </is>
      </c>
      <c r="T22" s="13" t="inlineStr">
        <is>
          <t>Estabelecimento Produtor SIPEAGRO/MAPA</t>
        </is>
      </c>
      <c r="U22" s="16">
        <f>HYPERLINK("https://www.gov.br/agricultura/pt-br/assuntos/insumos-agropecuarios/insumos-agricolas/fertilizantes", "Portal SIPEAGRO / MAPA — Fertilizantes e Bioinsumos")</f>
        <v/>
      </c>
    </row>
    <row r="23" ht="22" customHeight="1">
      <c r="A23" s="5" t="n">
        <v>18</v>
      </c>
      <c r="B23" s="6" t="inlineStr">
        <is>
          <t>SIPEAGRO (UF-XXXXX)</t>
        </is>
      </c>
      <c r="C23" s="7" t="inlineStr">
        <is>
          <t>AGCN SEED ULTRA 4X5L</t>
        </is>
      </c>
      <c r="D23" s="8" t="inlineStr">
        <is>
          <t>AGCN SEED ULTRA</t>
        </is>
      </c>
      <c r="E23" s="7" t="inlineStr">
        <is>
          <t>Fertilizante Mineral / Organomineral</t>
        </is>
      </c>
      <c r="F23" s="7" t="inlineStr">
        <is>
          <t>Fertilizantes</t>
        </is>
      </c>
      <c r="G23" s="7" t="inlineStr">
        <is>
          <t>Fertilizante Foliar / Micronutrientes</t>
        </is>
      </c>
      <c r="H23" s="7" t="inlineStr">
        <is>
          <t>SL</t>
        </is>
      </c>
      <c r="I23" s="7" t="inlineStr">
        <is>
          <t>Solução / Suspensão Concentrada Foliar (Fluido)</t>
        </is>
      </c>
      <c r="J23" s="7" t="inlineStr">
        <is>
          <t>Aplicação via solo, fertirrigação ou adubação foliar</t>
        </is>
      </c>
      <c r="K23" s="7" t="inlineStr">
        <is>
          <t>Fertilizante Mineral / Organomineral (Lei nº 6.894/1980)</t>
        </is>
      </c>
      <c r="L23" s="7" t="inlineStr">
        <is>
          <t>Nutrição Vegetal SIPEAGRO</t>
        </is>
      </c>
      <c r="M23" s="7" t="inlineStr">
        <is>
          <t>Fornecimento de macro e micronutrientes essenciais ao metabolismo vegetal</t>
        </is>
      </c>
      <c r="N23" s="7" t="inlineStr">
        <is>
          <t>Isento ANVISA (Produto Fertilizante Registrado no SIPEAGRO/MAPA)</t>
        </is>
      </c>
      <c r="O23" s="7" t="inlineStr">
        <is>
          <t>Não Aplicável (Fertilizante)</t>
        </is>
      </c>
      <c r="P23" s="7" t="inlineStr">
        <is>
          <t>Baixo Potencial Poluidor (Uso conforme recomendação agronômica)</t>
        </is>
      </c>
      <c r="Q23" s="9" t="n">
        <v>0</v>
      </c>
      <c r="R23" s="7" t="inlineStr">
        <is>
          <t>Aplicação Dirigida / TS / Solo</t>
        </is>
      </c>
      <c r="S23" s="7" t="inlineStr">
        <is>
          <t>Tratamento sintomático em caso de ingestão acidental</t>
        </is>
      </c>
      <c r="T23" s="7" t="inlineStr">
        <is>
          <t>Estabelecimento Produtor SIPEAGRO/MAPA</t>
        </is>
      </c>
      <c r="U23" s="10">
        <f>HYPERLINK("https://www.gov.br/agricultura/pt-br/assuntos/insumos-agropecuarios/insumos-agricolas/fertilizantes", "Portal SIPEAGRO / MAPA — Fertilizantes e Bioinsumos")</f>
        <v/>
      </c>
    </row>
    <row r="24" ht="22" customHeight="1">
      <c r="A24" s="11" t="n">
        <v>19</v>
      </c>
      <c r="B24" s="12" t="inlineStr">
        <is>
          <t>Nº 10018</t>
        </is>
      </c>
      <c r="C24" s="13" t="inlineStr">
        <is>
          <t>ATRAZINA 500 SC 4X5L (IMP)</t>
        </is>
      </c>
      <c r="D24" s="14" t="inlineStr">
        <is>
          <t>ATRAZINA</t>
        </is>
      </c>
      <c r="E24" s="13" t="inlineStr">
        <is>
          <t>Produto Formulado Comercial</t>
        </is>
      </c>
      <c r="F24" s="13" t="inlineStr">
        <is>
          <t>Defensivos</t>
        </is>
      </c>
      <c r="G24" s="13" t="inlineStr">
        <is>
          <t>Herbicida</t>
        </is>
      </c>
      <c r="H24" s="13" t="inlineStr">
        <is>
          <t>SC</t>
        </is>
      </c>
      <c r="I24" s="13" t="inlineStr">
        <is>
          <t>SC - Suspensão Concentrada</t>
        </is>
      </c>
      <c r="J24" s="13" t="inlineStr">
        <is>
          <t>Herbicida seletivo sistêmico de pré e pós-emergência precoce</t>
        </is>
      </c>
      <c r="K24" s="13" t="inlineStr">
        <is>
          <t>Triazina</t>
        </is>
      </c>
      <c r="L24" s="13" t="inlineStr">
        <is>
          <t>HRAC Grupo C1 (5) — Inibidores do Fotossistema II</t>
        </is>
      </c>
      <c r="M24" s="13" t="inlineStr">
        <is>
          <t>Inibição do transporte de elétrons no Fotossistema II (sítio Serina 264)</t>
        </is>
      </c>
      <c r="N24" s="13" t="inlineStr">
        <is>
          <t>Categoria 4: Produto Pouco Tóxico</t>
        </is>
      </c>
      <c r="O24" s="13" t="inlineStr">
        <is>
          <t>Azul</t>
        </is>
      </c>
      <c r="P24" s="13" t="inlineStr">
        <is>
          <t>Classe II — Produto Muito Perigoso ao Meio Ambiente</t>
        </is>
      </c>
      <c r="Q24" s="15" t="n">
        <v>24</v>
      </c>
      <c r="R24" s="13" t="inlineStr">
        <is>
          <t>Terrestre / Aérea (Drones consultar bula)</t>
        </is>
      </c>
      <c r="S24" s="13" t="inlineStr">
        <is>
          <t>Sem antídoto específico; tratamento sintomático</t>
        </is>
      </c>
      <c r="T24" s="13" t="inlineStr">
        <is>
          <t>RAINBOW DEFENSIVOS AGRICOLAS LTDA</t>
        </is>
      </c>
      <c r="U24" s="16">
        <f>HYPERLINK("https://agrofit.agricultura.gov.br/agrofit_cons/principal_agrofit_cons", "Consulta Oficial AGROFIT/MAPA (Nº 10018)")</f>
        <v/>
      </c>
    </row>
    <row r="25" ht="22" customHeight="1">
      <c r="A25" s="5" t="n">
        <v>20</v>
      </c>
      <c r="B25" s="6" t="inlineStr">
        <is>
          <t>Nº 12920</t>
        </is>
      </c>
      <c r="C25" s="7" t="inlineStr">
        <is>
          <t>ATRAZINA 900 WG 1X10KG</t>
        </is>
      </c>
      <c r="D25" s="8" t="inlineStr">
        <is>
          <t>ATRAZINA 900 WG</t>
        </is>
      </c>
      <c r="E25" s="7" t="inlineStr">
        <is>
          <t>Produto Formulado Comercial</t>
        </is>
      </c>
      <c r="F25" s="7" t="inlineStr">
        <is>
          <t>Defensivos</t>
        </is>
      </c>
      <c r="G25" s="7" t="inlineStr">
        <is>
          <t>Herbicida</t>
        </is>
      </c>
      <c r="H25" s="7" t="inlineStr">
        <is>
          <t>WG</t>
        </is>
      </c>
      <c r="I25" s="7" t="inlineStr">
        <is>
          <t>WG - Granulado Dispersível</t>
        </is>
      </c>
      <c r="J25" s="7" t="inlineStr">
        <is>
          <t>Herbicida seletivo sistêmico de pré e pós-emergência precoce</t>
        </is>
      </c>
      <c r="K25" s="7" t="inlineStr">
        <is>
          <t>Triazina</t>
        </is>
      </c>
      <c r="L25" s="7" t="inlineStr">
        <is>
          <t>HRAC Grupo C1 (5) — Inibidores do Fotossistema II</t>
        </is>
      </c>
      <c r="M25" s="7" t="inlineStr">
        <is>
          <t>Inibição do transporte de elétrons no Fotossistema II (sítio Serina 264)</t>
        </is>
      </c>
      <c r="N25" s="7" t="inlineStr">
        <is>
          <t>Categoria 5: Produto Improvável de Causa Dano Agudo</t>
        </is>
      </c>
      <c r="O25" s="7" t="inlineStr">
        <is>
          <t>Azul</t>
        </is>
      </c>
      <c r="P25" s="7" t="inlineStr">
        <is>
          <t>Classe II — Produto Muito Perigoso ao Meio Ambiente</t>
        </is>
      </c>
      <c r="Q25" s="9" t="n">
        <v>24</v>
      </c>
      <c r="R25" s="7" t="inlineStr">
        <is>
          <t>Terrestre / Aérea (Drones consultar bula)</t>
        </is>
      </c>
      <c r="S25" s="7" t="inlineStr">
        <is>
          <t>Sem antídoto específico; tratamento sintomático</t>
        </is>
      </c>
      <c r="T25" s="7" t="inlineStr">
        <is>
          <t>CROTECT CROP SCIENCE LTDA</t>
        </is>
      </c>
      <c r="U25" s="10">
        <f>HYPERLINK("https://agrofit.agricultura.gov.br/agrofit_cons/principal_agrofit_cons", "Consulta Oficial AGROFIT/MAPA (Nº 12920)")</f>
        <v/>
      </c>
    </row>
    <row r="26" ht="22" customHeight="1">
      <c r="A26" s="11" t="n">
        <v>21</v>
      </c>
      <c r="B26" s="12" t="inlineStr">
        <is>
          <t>Nº 12920</t>
        </is>
      </c>
      <c r="C26" s="13" t="inlineStr">
        <is>
          <t>ATRAZINA 900 WG 4X5KG</t>
        </is>
      </c>
      <c r="D26" s="14" t="inlineStr">
        <is>
          <t>ATRAZINA 900 WG</t>
        </is>
      </c>
      <c r="E26" s="13" t="inlineStr">
        <is>
          <t>Produto Formulado Comercial</t>
        </is>
      </c>
      <c r="F26" s="13" t="inlineStr">
        <is>
          <t>Defensivos</t>
        </is>
      </c>
      <c r="G26" s="13" t="inlineStr">
        <is>
          <t>Herbicida</t>
        </is>
      </c>
      <c r="H26" s="13" t="inlineStr">
        <is>
          <t>WG</t>
        </is>
      </c>
      <c r="I26" s="13" t="inlineStr">
        <is>
          <t>WG - Granulado Dispersível</t>
        </is>
      </c>
      <c r="J26" s="13" t="inlineStr">
        <is>
          <t>Herbicida seletivo sistêmico de pré e pós-emergência precoce</t>
        </is>
      </c>
      <c r="K26" s="13" t="inlineStr">
        <is>
          <t>Triazina</t>
        </is>
      </c>
      <c r="L26" s="13" t="inlineStr">
        <is>
          <t>HRAC Grupo C1 (5) — Inibidores do Fotossistema II</t>
        </is>
      </c>
      <c r="M26" s="13" t="inlineStr">
        <is>
          <t>Inibição do transporte de elétrons no Fotossistema II (sítio Serina 264)</t>
        </is>
      </c>
      <c r="N26" s="13" t="inlineStr">
        <is>
          <t>Categoria 5: Produto Improvável de Causa Dano Agudo</t>
        </is>
      </c>
      <c r="O26" s="13" t="inlineStr">
        <is>
          <t>Azul</t>
        </is>
      </c>
      <c r="P26" s="13" t="inlineStr">
        <is>
          <t>Classe II — Produto Muito Perigoso ao Meio Ambiente</t>
        </is>
      </c>
      <c r="Q26" s="15" t="n">
        <v>24</v>
      </c>
      <c r="R26" s="13" t="inlineStr">
        <is>
          <t>Terrestre / Aérea (Drones consultar bula)</t>
        </is>
      </c>
      <c r="S26" s="13" t="inlineStr">
        <is>
          <t>Sem antídoto específico; tratamento sintomático</t>
        </is>
      </c>
      <c r="T26" s="13" t="inlineStr">
        <is>
          <t>CROTECT CROP SCIENCE LTDA</t>
        </is>
      </c>
      <c r="U26" s="16">
        <f>HYPERLINK("https://agrofit.agricultura.gov.br/agrofit_cons/principal_agrofit_cons", "Consulta Oficial AGROFIT/MAPA (Nº 12920)")</f>
        <v/>
      </c>
    </row>
    <row r="27" ht="22" customHeight="1">
      <c r="A27" s="5" t="n">
        <v>22</v>
      </c>
      <c r="B27" s="6" t="inlineStr">
        <is>
          <t>Nº 5217</t>
        </is>
      </c>
      <c r="C27" s="7" t="inlineStr">
        <is>
          <t>HERBZINA PLUS 900 WG 1X10KG (IMP)</t>
        </is>
      </c>
      <c r="D27" s="8" t="inlineStr">
        <is>
          <t>HERBZINA PLUS 900 WG</t>
        </is>
      </c>
      <c r="E27" s="7" t="inlineStr">
        <is>
          <t>Produto Formulado Comercial</t>
        </is>
      </c>
      <c r="F27" s="7" t="inlineStr">
        <is>
          <t>Defensivos</t>
        </is>
      </c>
      <c r="G27" s="7" t="inlineStr">
        <is>
          <t>Herbicida</t>
        </is>
      </c>
      <c r="H27" s="7" t="inlineStr">
        <is>
          <t>WG</t>
        </is>
      </c>
      <c r="I27" s="7" t="inlineStr">
        <is>
          <t>Grânulos Dispersíveis em Água (WG)</t>
        </is>
      </c>
      <c r="J27" s="7" t="inlineStr">
        <is>
          <t>Herbicida seletivo sistêmico de pré e pós-emergência precoce</t>
        </is>
      </c>
      <c r="K27" s="7" t="inlineStr">
        <is>
          <t>Triazina</t>
        </is>
      </c>
      <c r="L27" s="7" t="inlineStr">
        <is>
          <t>HRAC Grupo C1 (5) — Inibidores do Fotossistema II</t>
        </is>
      </c>
      <c r="M27" s="7" t="inlineStr">
        <is>
          <t>Inibição do transporte de elétrons no Fotossistema II (sítio Serina 264)</t>
        </is>
      </c>
      <c r="N27" s="7" t="inlineStr">
        <is>
          <t>Categoria 4 / 5 — Pouco Tóxico</t>
        </is>
      </c>
      <c r="O27" s="7" t="inlineStr">
        <is>
          <t>Azul Intenso</t>
        </is>
      </c>
      <c r="P27" s="7" t="inlineStr">
        <is>
          <t>Classe II — Produto Muito Perigoso ao Meio Ambiente</t>
        </is>
      </c>
      <c r="Q27" s="9" t="n">
        <v>24</v>
      </c>
      <c r="R27" s="7" t="inlineStr">
        <is>
          <t>Terrestre / Aérea (Drones consultar bula)</t>
        </is>
      </c>
      <c r="S27" s="7" t="inlineStr">
        <is>
          <t>Sem antídoto específico; tratamento sintomático</t>
        </is>
      </c>
      <c r="T27" s="7" t="inlineStr">
        <is>
          <t>Adama / Ourofino</t>
        </is>
      </c>
      <c r="U27" s="10">
        <f>HYPERLINK("https://agrofit.agricultura.gov.br/agrofit_cons/principal_agrofit_cons", "Consulta Oficial AGROFIT/MAPA (Nº 5217)")</f>
        <v/>
      </c>
    </row>
    <row r="28" ht="22" customHeight="1">
      <c r="A28" s="11" t="n">
        <v>23</v>
      </c>
      <c r="B28" s="12" t="inlineStr">
        <is>
          <t>Nº 33217</t>
        </is>
      </c>
      <c r="C28" s="13" t="inlineStr">
        <is>
          <t>PANGA 900 WG 10X2KG (IMP)</t>
        </is>
      </c>
      <c r="D28" s="14" t="inlineStr">
        <is>
          <t>PANGA 900 WG</t>
        </is>
      </c>
      <c r="E28" s="13" t="inlineStr">
        <is>
          <t>Produto Formulado Comercial</t>
        </is>
      </c>
      <c r="F28" s="13" t="inlineStr">
        <is>
          <t>Defensivos</t>
        </is>
      </c>
      <c r="G28" s="13" t="inlineStr">
        <is>
          <t>Herbicida</t>
        </is>
      </c>
      <c r="H28" s="13" t="inlineStr">
        <is>
          <t>WG</t>
        </is>
      </c>
      <c r="I28" s="13" t="inlineStr">
        <is>
          <t>Grânulos Dispersíveis em Água (WG)</t>
        </is>
      </c>
      <c r="J28" s="13" t="inlineStr">
        <is>
          <t>Herbicida seletivo sistêmico de pré e pós-emergência precoce</t>
        </is>
      </c>
      <c r="K28" s="13" t="inlineStr">
        <is>
          <t>Triazina</t>
        </is>
      </c>
      <c r="L28" s="13" t="inlineStr">
        <is>
          <t>HRAC Grupo C1 (5) — Inibidores do Fotossistema II</t>
        </is>
      </c>
      <c r="M28" s="13" t="inlineStr">
        <is>
          <t>Inibição do transporte de elétrons no Fotossistema II (sítio Serina 264)</t>
        </is>
      </c>
      <c r="N28" s="13" t="inlineStr">
        <is>
          <t>Categoria 4 / 5 — Pouco Tóxico</t>
        </is>
      </c>
      <c r="O28" s="13" t="inlineStr">
        <is>
          <t>Azul Intenso</t>
        </is>
      </c>
      <c r="P28" s="13" t="inlineStr">
        <is>
          <t>Classe II — Produto Muito Perigoso ao Meio Ambiente</t>
        </is>
      </c>
      <c r="Q28" s="15" t="n">
        <v>24</v>
      </c>
      <c r="R28" s="13" t="inlineStr">
        <is>
          <t>Terrestre / Aérea (Drones consultar bula)</t>
        </is>
      </c>
      <c r="S28" s="13" t="inlineStr">
        <is>
          <t>Sem antídoto específico; tratamento sintomático</t>
        </is>
      </c>
      <c r="T28" s="13" t="inlineStr">
        <is>
          <t>RAINBOW DEFENSIVOS AGRÍCOLAS LTDA.</t>
        </is>
      </c>
      <c r="U28" s="16">
        <f>HYPERLINK("https://www.adapar.pr.gov.br/Pagina/Agrotoxicos-Herbicidas", "Registro Oficial Panga 900 WG (ADAPAR/MAPA)")</f>
        <v/>
      </c>
    </row>
    <row r="29" ht="22" customHeight="1">
      <c r="A29" s="5" t="n">
        <v>24</v>
      </c>
      <c r="B29" s="6" t="inlineStr">
        <is>
          <t>Nº 22922</t>
        </is>
      </c>
      <c r="C29" s="7" t="inlineStr">
        <is>
          <t>PRILAN DUO 4X5L (IMP)</t>
        </is>
      </c>
      <c r="D29" s="8" t="inlineStr">
        <is>
          <t>PRILAN DUO</t>
        </is>
      </c>
      <c r="E29" s="7" t="inlineStr">
        <is>
          <t>Produto Formulado Comercial</t>
        </is>
      </c>
      <c r="F29" s="7" t="inlineStr">
        <is>
          <t>Defensivos</t>
        </is>
      </c>
      <c r="G29" s="7" t="inlineStr">
        <is>
          <t>Fungicida</t>
        </is>
      </c>
      <c r="H29" s="7" t="inlineStr">
        <is>
          <t>SC</t>
        </is>
      </c>
      <c r="I29" s="7" t="inlineStr">
        <is>
          <t>Suspensão Concentrada (SC)</t>
        </is>
      </c>
      <c r="J29" s="7" t="inlineStr">
        <is>
          <t>Fungicida sistêmico preventivo e curativo</t>
        </is>
      </c>
      <c r="K29" s="7" t="inlineStr">
        <is>
          <t>Triazol</t>
        </is>
      </c>
      <c r="L29" s="7" t="inlineStr">
        <is>
          <t>FRAC Grupo 3 (DMI)</t>
        </is>
      </c>
      <c r="M29" s="7" t="inlineStr">
        <is>
          <t>Inibidores da desmetilação de C14 na biossíntese de ergosterol</t>
        </is>
      </c>
      <c r="N29" s="7" t="inlineStr">
        <is>
          <t>Categoria 4 — Produto Pouco Tóxico</t>
        </is>
      </c>
      <c r="O29" s="7" t="inlineStr">
        <is>
          <t>Azul PMS Blue 293 C</t>
        </is>
      </c>
      <c r="P29" s="7" t="inlineStr">
        <is>
          <t>Classe II — Produto Muito Perigoso ao Meio Ambiente</t>
        </is>
      </c>
      <c r="Q29" s="9" t="n">
        <v>24</v>
      </c>
      <c r="R29" s="7" t="inlineStr">
        <is>
          <t>Terrestre / Aérea (Drones consultar bula)</t>
        </is>
      </c>
      <c r="S29" s="7" t="inlineStr">
        <is>
          <t>Sem antídoto específico; tratamento sintomático</t>
        </is>
      </c>
      <c r="T29" s="7" t="inlineStr">
        <is>
          <t>CropChem Ltda.</t>
        </is>
      </c>
      <c r="U29" s="10">
        <f>HYPERLINK("https://agrofit.agricultura.gov.br/agrofit_cons/principal_agrofit_cons", "Consulta Oficial AGROFIT/MAPA (Nº 22922)")</f>
        <v/>
      </c>
    </row>
    <row r="30" ht="22" customHeight="1">
      <c r="A30" s="11" t="n">
        <v>25</v>
      </c>
      <c r="B30" s="12" t="inlineStr">
        <is>
          <t>SIPEAGRO (UF-XXXXX)</t>
        </is>
      </c>
      <c r="C30" s="13" t="inlineStr">
        <is>
          <t>AGCN BORO ULTRA 1X20L</t>
        </is>
      </c>
      <c r="D30" s="14" t="inlineStr">
        <is>
          <t>AGCN BORO ULTRA</t>
        </is>
      </c>
      <c r="E30" s="13" t="inlineStr">
        <is>
          <t>Fertilizante Mineral / Organomineral</t>
        </is>
      </c>
      <c r="F30" s="13" t="inlineStr">
        <is>
          <t>Fertilizantes</t>
        </is>
      </c>
      <c r="G30" s="13" t="inlineStr">
        <is>
          <t>Fertilizante Foliar / Micronutrientes</t>
        </is>
      </c>
      <c r="H30" s="13" t="inlineStr">
        <is>
          <t>SL</t>
        </is>
      </c>
      <c r="I30" s="13" t="inlineStr">
        <is>
          <t>Solução / Suspensão Concentrada Foliar (Fluido)</t>
        </is>
      </c>
      <c r="J30" s="13" t="inlineStr">
        <is>
          <t>Aplicação via solo, fertirrigação ou adubação foliar</t>
        </is>
      </c>
      <c r="K30" s="13" t="inlineStr">
        <is>
          <t>Fertilizante Mineral / Organomineral (Lei nº 6.894/1980)</t>
        </is>
      </c>
      <c r="L30" s="13" t="inlineStr">
        <is>
          <t>Nutrição Vegetal SIPEAGRO</t>
        </is>
      </c>
      <c r="M30" s="13" t="inlineStr">
        <is>
          <t>Fornecimento de macro e micronutrientes essenciais ao metabolismo vegetal</t>
        </is>
      </c>
      <c r="N30" s="13" t="inlineStr">
        <is>
          <t>Isento ANVISA (Produto Fertilizante Registrado no SIPEAGRO/MAPA)</t>
        </is>
      </c>
      <c r="O30" s="13" t="inlineStr">
        <is>
          <t>Não Aplicável (Fertilizante)</t>
        </is>
      </c>
      <c r="P30" s="13" t="inlineStr">
        <is>
          <t>Baixo Potencial Poluidor (Uso conforme recomendação agronômica)</t>
        </is>
      </c>
      <c r="Q30" s="15" t="n">
        <v>0</v>
      </c>
      <c r="R30" s="13" t="inlineStr">
        <is>
          <t>Aplicação Dirigida / TS / Solo</t>
        </is>
      </c>
      <c r="S30" s="13" t="inlineStr">
        <is>
          <t>Tratamento sintomático em caso de ingestão acidental</t>
        </is>
      </c>
      <c r="T30" s="13" t="inlineStr">
        <is>
          <t>Estabelecimento Produtor SIPEAGRO/MAPA</t>
        </is>
      </c>
      <c r="U30" s="16">
        <f>HYPERLINK("https://www.gov.br/agricultura/pt-br/assuntos/insumos-agropecuarios/insumos-agricolas/fertilizantes", "Portal SIPEAGRO / MAPA — Fertilizantes e Bioinsumos")</f>
        <v/>
      </c>
    </row>
    <row r="31" ht="22" customHeight="1">
      <c r="A31" s="5" t="n">
        <v>26</v>
      </c>
      <c r="B31" s="6" t="inlineStr">
        <is>
          <t>Nº 44024</t>
        </is>
      </c>
      <c r="C31" s="7" t="inlineStr">
        <is>
          <t>AGCN DUX 5X1KG</t>
        </is>
      </c>
      <c r="D31" s="8" t="inlineStr">
        <is>
          <t>AGCN DUX</t>
        </is>
      </c>
      <c r="E31" s="7" t="inlineStr">
        <is>
          <t>Produto Formulado Comercial</t>
        </is>
      </c>
      <c r="F31" s="7" t="inlineStr">
        <is>
          <t>Defensivos</t>
        </is>
      </c>
      <c r="G31" s="7" t="inlineStr">
        <is>
          <t>Bioinseticida (Biológico)</t>
        </is>
      </c>
      <c r="H31" s="7" t="inlineStr">
        <is>
          <t>WP</t>
        </is>
      </c>
      <c r="I31" s="7" t="inlineStr">
        <is>
          <t>Pó Molhável (WP)</t>
        </is>
      </c>
      <c r="J31" s="7" t="inlineStr">
        <is>
          <t>Micoinseticida e micoacaricida biológico de contato</t>
        </is>
      </c>
      <c r="K31" s="7" t="inlineStr">
        <is>
          <t>Agente Microbiológico de Controle (Fungo Entomopatogênico)</t>
        </is>
      </c>
      <c r="L31" s="7" t="inlineStr">
        <is>
          <t>IRAC Grupo UNF — Bioinseticida Microbiológico</t>
        </is>
      </c>
      <c r="M31" s="7" t="inlineStr">
        <is>
          <t>Infecção tegumentar por conídios, penetração hemocélica e produção de destruxinas</t>
        </is>
      </c>
      <c r="N31" s="7" t="inlineStr">
        <is>
          <t>Categoria 5 / Não Classificado — Baixo Risco Agudo</t>
        </is>
      </c>
      <c r="O31" s="7" t="inlineStr">
        <is>
          <t>Azul Intenso</t>
        </is>
      </c>
      <c r="P31" s="7" t="inlineStr">
        <is>
          <t>Classe IV — Produto Pouco Perigoso ao Meio Ambiente</t>
        </is>
      </c>
      <c r="Q31" s="9" t="n">
        <v>24</v>
      </c>
      <c r="R31" s="7" t="inlineStr">
        <is>
          <t>Terrestre / Aérea (Drones consultar bula)</t>
        </is>
      </c>
      <c r="S31" s="7" t="inlineStr">
        <is>
          <t>Sem antídoto; tratamento sintomático em caso de hipersensibilidade/alergia</t>
        </is>
      </c>
      <c r="T31" s="7" t="inlineStr">
        <is>
          <t>Serquibio Biotecnologia Agrícola Ltda. - Santa Bárbara d'Oeste/SP</t>
        </is>
      </c>
      <c r="U31" s="10">
        <f>HYPERLINK("https://bioprotectionportal.com/pt/productdetails/bowe-19500478/?country=br", "Registro Oficial Bowe / Biokiller (Serquibio/MAPA 44024)")</f>
        <v/>
      </c>
    </row>
    <row r="32" ht="22" customHeight="1">
      <c r="A32" s="11" t="n">
        <v>27</v>
      </c>
      <c r="B32" s="12" t="inlineStr">
        <is>
          <t>Nº 24117</t>
        </is>
      </c>
      <c r="C32" s="13" t="inlineStr">
        <is>
          <t>FOX XPRO 1X20L</t>
        </is>
      </c>
      <c r="D32" s="14" t="inlineStr">
        <is>
          <t>FOX XPRO</t>
        </is>
      </c>
      <c r="E32" s="13" t="inlineStr">
        <is>
          <t>Produto Formulado Comercial</t>
        </is>
      </c>
      <c r="F32" s="13" t="inlineStr">
        <is>
          <t>Defensivos</t>
        </is>
      </c>
      <c r="G32" s="13" t="inlineStr">
        <is>
          <t>Fungicida</t>
        </is>
      </c>
      <c r="H32" s="13" t="inlineStr">
        <is>
          <t>SC</t>
        </is>
      </c>
      <c r="I32" s="13" t="inlineStr">
        <is>
          <t>Suspensão Concentrada (SC)</t>
        </is>
      </c>
      <c r="J32" s="13" t="inlineStr">
        <is>
          <t>Fungicida sistêmico preventivo, curativo e erradicante</t>
        </is>
      </c>
      <c r="K32" s="13" t="inlineStr">
        <is>
          <t>Carboxamida (Pirazol-4-carboxamida) + Triazolintiona + Estrobilurina (Oximinoacetato)</t>
        </is>
      </c>
      <c r="L32" s="13" t="inlineStr">
        <is>
          <t>FRAC Grupo 7 (C2 — SDHI) + FRAC Grupo 3 (G1 — DMI) + FRAC Grupo 11 (C3 — QoI)</t>
        </is>
      </c>
      <c r="M32" s="13" t="inlineStr">
        <is>
          <t>Inibidores da enzima succinato desidrogenase (Complexo II); Inibidores da desmetilação do C14 na biossíntese do ergosterol; Inibidores da respiração mitocondrial no Complexo III (sítio Qo)</t>
        </is>
      </c>
      <c r="N32" s="13" t="inlineStr">
        <is>
          <t>Categoria 4 / 5 — Pouco Tóxico</t>
        </is>
      </c>
      <c r="O32" s="13" t="inlineStr">
        <is>
          <t>Azul Intenso</t>
        </is>
      </c>
      <c r="P32" s="13" t="inlineStr">
        <is>
          <t>Classe II — Produto Muito Perigoso ao Meio Ambiente</t>
        </is>
      </c>
      <c r="Q32" s="15" t="n">
        <v>24</v>
      </c>
      <c r="R32" s="13" t="inlineStr">
        <is>
          <t>Terrestre / Aérea (Drones consultar bula)</t>
        </is>
      </c>
      <c r="S32" s="13" t="inlineStr">
        <is>
          <t>Sem antídoto específico; tratamento sintomático</t>
        </is>
      </c>
      <c r="T32" s="13" t="inlineStr">
        <is>
          <t>Bayer S.A.</t>
        </is>
      </c>
      <c r="U32" s="16">
        <f>HYPERLINK("https://revistacultivar.com.br/pesticida/fox-xpro", "Bula Oficial Fox Xpro (Bayer/MAPA 24117)")</f>
        <v/>
      </c>
    </row>
    <row r="33" ht="22" customHeight="1">
      <c r="A33" s="5" t="n">
        <v>28</v>
      </c>
      <c r="B33" s="6" t="inlineStr">
        <is>
          <t>SIPEAGRO (UF-XXXXX)</t>
        </is>
      </c>
      <c r="C33" s="7" t="inlineStr">
        <is>
          <t>AGCN BORO 1X20L</t>
        </is>
      </c>
      <c r="D33" s="8" t="inlineStr">
        <is>
          <t>AGCN BORO</t>
        </is>
      </c>
      <c r="E33" s="7" t="inlineStr">
        <is>
          <t>Fertilizante Mineral / Organomineral</t>
        </is>
      </c>
      <c r="F33" s="7" t="inlineStr">
        <is>
          <t>Fertilizantes</t>
        </is>
      </c>
      <c r="G33" s="7" t="inlineStr">
        <is>
          <t>Fertilizante Foliar / Micronutrientes</t>
        </is>
      </c>
      <c r="H33" s="7" t="inlineStr">
        <is>
          <t>SL</t>
        </is>
      </c>
      <c r="I33" s="7" t="inlineStr">
        <is>
          <t>Solução / Suspensão Concentrada Foliar (Fluido)</t>
        </is>
      </c>
      <c r="J33" s="7" t="inlineStr">
        <is>
          <t>Aplicação via solo, fertirrigação ou adubação foliar</t>
        </is>
      </c>
      <c r="K33" s="7" t="inlineStr">
        <is>
          <t>Fertilizante Mineral / Organomineral (Lei nº 6.894/1980)</t>
        </is>
      </c>
      <c r="L33" s="7" t="inlineStr">
        <is>
          <t>Nutrição Vegetal SIPEAGRO</t>
        </is>
      </c>
      <c r="M33" s="7" t="inlineStr">
        <is>
          <t>Fornecimento de macro e micronutrientes essenciais ao metabolismo vegetal</t>
        </is>
      </c>
      <c r="N33" s="7" t="inlineStr">
        <is>
          <t>Isento ANVISA (Produto Fertilizante Registrado no SIPEAGRO/MAPA)</t>
        </is>
      </c>
      <c r="O33" s="7" t="inlineStr">
        <is>
          <t>Não Aplicável (Fertilizante)</t>
        </is>
      </c>
      <c r="P33" s="7" t="inlineStr">
        <is>
          <t>Baixo Potencial Poluidor (Uso conforme recomendação agronômica)</t>
        </is>
      </c>
      <c r="Q33" s="9" t="n">
        <v>0</v>
      </c>
      <c r="R33" s="7" t="inlineStr">
        <is>
          <t>Aplicação Dirigida / TS / Solo</t>
        </is>
      </c>
      <c r="S33" s="7" t="inlineStr">
        <is>
          <t>Tratamento sintomático em caso de ingestão acidental</t>
        </is>
      </c>
      <c r="T33" s="7" t="inlineStr">
        <is>
          <t>Estabelecimento Produtor SIPEAGRO/MAPA</t>
        </is>
      </c>
      <c r="U33" s="10">
        <f>HYPERLINK("https://www.gov.br/agricultura/pt-br/assuntos/insumos-agropecuarios/insumos-agricolas/fertilizantes", "Portal SIPEAGRO / MAPA — Fertilizantes e Bioinsumos")</f>
        <v/>
      </c>
    </row>
    <row r="34" ht="22" customHeight="1">
      <c r="A34" s="11" t="n">
        <v>29</v>
      </c>
      <c r="B34" s="12" t="inlineStr">
        <is>
          <t>SIPEAGRO (UF-XXXXX)</t>
        </is>
      </c>
      <c r="C34" s="13" t="inlineStr">
        <is>
          <t>AGCN CAB 1X20L</t>
        </is>
      </c>
      <c r="D34" s="14" t="inlineStr">
        <is>
          <t>AGCN CAB</t>
        </is>
      </c>
      <c r="E34" s="13" t="inlineStr">
        <is>
          <t>Fertilizante Mineral / Organomineral</t>
        </is>
      </c>
      <c r="F34" s="13" t="inlineStr">
        <is>
          <t>Fertilizantes</t>
        </is>
      </c>
      <c r="G34" s="13" t="inlineStr">
        <is>
          <t>Fertilizante Foliar / Micronutrientes</t>
        </is>
      </c>
      <c r="H34" s="13" t="inlineStr">
        <is>
          <t>SL</t>
        </is>
      </c>
      <c r="I34" s="13" t="inlineStr">
        <is>
          <t>Solução / Suspensão Concentrada Foliar (Fluido)</t>
        </is>
      </c>
      <c r="J34" s="13" t="inlineStr">
        <is>
          <t>Aplicação via solo, fertirrigação ou adubação foliar</t>
        </is>
      </c>
      <c r="K34" s="13" t="inlineStr">
        <is>
          <t>Fertilizante Mineral / Organomineral (Lei nº 6.894/1980)</t>
        </is>
      </c>
      <c r="L34" s="13" t="inlineStr">
        <is>
          <t>Nutrição Vegetal SIPEAGRO</t>
        </is>
      </c>
      <c r="M34" s="13" t="inlineStr">
        <is>
          <t>Fornecimento de macro e micronutrientes essenciais ao metabolismo vegetal</t>
        </is>
      </c>
      <c r="N34" s="13" t="inlineStr">
        <is>
          <t>Isento ANVISA (Produto Fertilizante Registrado no SIPEAGRO/MAPA)</t>
        </is>
      </c>
      <c r="O34" s="13" t="inlineStr">
        <is>
          <t>Não Aplicável (Fertilizante)</t>
        </is>
      </c>
      <c r="P34" s="13" t="inlineStr">
        <is>
          <t>Baixo Potencial Poluidor (Uso conforme recomendação agronômica)</t>
        </is>
      </c>
      <c r="Q34" s="15" t="n">
        <v>0</v>
      </c>
      <c r="R34" s="13" t="inlineStr">
        <is>
          <t>Aplicação Dirigida / TS / Solo</t>
        </is>
      </c>
      <c r="S34" s="13" t="inlineStr">
        <is>
          <t>Tratamento sintomático em caso de ingestão acidental</t>
        </is>
      </c>
      <c r="T34" s="13" t="inlineStr">
        <is>
          <t>Estabelecimento Produtor SIPEAGRO/MAPA</t>
        </is>
      </c>
      <c r="U34" s="16">
        <f>HYPERLINK("https://www.gov.br/agricultura/pt-br/assuntos/insumos-agropecuarios/insumos-agricolas/fertilizantes", "Portal SIPEAGRO / MAPA — Fertilizantes e Bioinsumos")</f>
        <v/>
      </c>
    </row>
    <row r="35" ht="22" customHeight="1">
      <c r="A35" s="5" t="n">
        <v>30</v>
      </c>
      <c r="B35" s="6" t="inlineStr">
        <is>
          <t>Nº 8214</t>
        </is>
      </c>
      <c r="C35" s="7" t="inlineStr">
        <is>
          <t>BRIT 4X5L</t>
        </is>
      </c>
      <c r="D35" s="8" t="inlineStr">
        <is>
          <t>BRIT</t>
        </is>
      </c>
      <c r="E35" s="7" t="inlineStr">
        <is>
          <t>Produto Formulado Comercial</t>
        </is>
      </c>
      <c r="F35" s="7" t="inlineStr">
        <is>
          <t>Defensivos</t>
        </is>
      </c>
      <c r="G35" s="7" t="inlineStr">
        <is>
          <t>Inseticida</t>
        </is>
      </c>
      <c r="H35" s="7" t="inlineStr">
        <is>
          <t>EC</t>
        </is>
      </c>
      <c r="I35" s="7" t="inlineStr">
        <is>
          <t>EC - Concentrado Emulsionável</t>
        </is>
      </c>
      <c r="J35" s="7" t="inlineStr">
        <is>
          <t>Inseticida/acaricida de contato e ingestão</t>
        </is>
      </c>
      <c r="K35" s="7" t="inlineStr">
        <is>
          <t>Piretroide (Tipo II)</t>
        </is>
      </c>
      <c r="L35" s="7" t="inlineStr">
        <is>
          <t>IRAC Grupo 3A</t>
        </is>
      </c>
      <c r="M35" s="7" t="inlineStr">
        <is>
          <t>Moduladores de canais de sódio em membranas nervosas</t>
        </is>
      </c>
      <c r="N35" s="7" t="inlineStr">
        <is>
          <t>Categoria 4: Produto Pouco Tóxico</t>
        </is>
      </c>
      <c r="O35" s="7" t="inlineStr">
        <is>
          <t>Azul</t>
        </is>
      </c>
      <c r="P35" s="7" t="inlineStr">
        <is>
          <t>Classe II — Produto Muito Perigoso ao Meio Ambiente</t>
        </is>
      </c>
      <c r="Q35" s="9" t="n">
        <v>24</v>
      </c>
      <c r="R35" s="7" t="inlineStr">
        <is>
          <t>Terrestre / Aérea (Drones consultar bula)</t>
        </is>
      </c>
      <c r="S35" s="7" t="inlineStr">
        <is>
          <t>Tratamento sintomático conforme grupo químico na bula</t>
        </is>
      </c>
      <c r="T35" s="7" t="inlineStr">
        <is>
          <t>OURO FINO QUIMICA S.A.</t>
        </is>
      </c>
      <c r="U35" s="10">
        <f>HYPERLINK("https://agrofit.agricultura.gov.br/agrofit_cons/principal_agrofit_cons", "Consulta Oficial AGROFIT/MAPA (Nº 8214)")</f>
        <v/>
      </c>
    </row>
    <row r="36" ht="22" customHeight="1">
      <c r="A36" s="11" t="n">
        <v>31</v>
      </c>
      <c r="B36" s="12" t="inlineStr">
        <is>
          <t>Nº 11117</t>
        </is>
      </c>
      <c r="C36" s="13" t="inlineStr">
        <is>
          <t>CLETODIM CCAB 240 EC 1X20L</t>
        </is>
      </c>
      <c r="D36" s="14" t="inlineStr">
        <is>
          <t>CLETODIM CCAB 240 EC</t>
        </is>
      </c>
      <c r="E36" s="13" t="inlineStr">
        <is>
          <t>Produto Formulado Comercial</t>
        </is>
      </c>
      <c r="F36" s="13" t="inlineStr">
        <is>
          <t>Defensivos</t>
        </is>
      </c>
      <c r="G36" s="13" t="inlineStr">
        <is>
          <t>Herbicida</t>
        </is>
      </c>
      <c r="H36" s="13" t="inlineStr">
        <is>
          <t>EC</t>
        </is>
      </c>
      <c r="I36" s="13" t="inlineStr">
        <is>
          <t>Concentrado Emulsionável (EC)</t>
        </is>
      </c>
      <c r="J36" s="13" t="inlineStr">
        <is>
          <t>Herbicida graminicida sistêmico seletivo de pós-emergência</t>
        </is>
      </c>
      <c r="K36" s="13" t="inlineStr">
        <is>
          <t>Oxima ciclohexanodiona (DIM)</t>
        </is>
      </c>
      <c r="L36" s="13" t="inlineStr">
        <is>
          <t>HRAC Grupo A (1) — Inibidores da ACCase</t>
        </is>
      </c>
      <c r="M36" s="13" t="inlineStr">
        <is>
          <t>Inibidores da Acetil CoA Carboxilase (ACCase)</t>
        </is>
      </c>
      <c r="N36" s="13" t="inlineStr">
        <is>
          <t>Categoria 4 / 5 — Pouco Tóxico</t>
        </is>
      </c>
      <c r="O36" s="13" t="inlineStr">
        <is>
          <t>Azul Intenso</t>
        </is>
      </c>
      <c r="P36" s="13" t="inlineStr">
        <is>
          <t>Classe III — Produto Perigoso ao Meio Ambiente</t>
        </is>
      </c>
      <c r="Q36" s="15" t="n">
        <v>24</v>
      </c>
      <c r="R36" s="13" t="inlineStr">
        <is>
          <t>Terrestre / Aérea (Drones consultar bula)</t>
        </is>
      </c>
      <c r="S36" s="13" t="inlineStr">
        <is>
          <t>Sem antídoto específico; tratamento sintomático</t>
        </is>
      </c>
      <c r="T36" s="13" t="inlineStr">
        <is>
          <t>CCAB AGRO S.A.</t>
        </is>
      </c>
      <c r="U36" s="16">
        <f>HYPERLINK("https://agrofit.agricultura.gov.br/agrofit_cons/principal_agrofit_cons", "Consulta Oficial AGROFIT/MAPA (Nº 11117)")</f>
        <v/>
      </c>
    </row>
    <row r="37" ht="22" customHeight="1">
      <c r="A37" s="5" t="n">
        <v>32</v>
      </c>
      <c r="B37" s="6" t="inlineStr">
        <is>
          <t>Nº 22221</t>
        </is>
      </c>
      <c r="C37" s="7" t="inlineStr">
        <is>
          <t>GRASIDIM 1X20L (IMP) WW</t>
        </is>
      </c>
      <c r="D37" s="8" t="inlineStr">
        <is>
          <t>GRASIDIM</t>
        </is>
      </c>
      <c r="E37" s="7" t="inlineStr">
        <is>
          <t>Produto Formulado Comercial</t>
        </is>
      </c>
      <c r="F37" s="7" t="inlineStr">
        <is>
          <t>Defensivos</t>
        </is>
      </c>
      <c r="G37" s="7" t="inlineStr">
        <is>
          <t>Herbicida</t>
        </is>
      </c>
      <c r="H37" s="7" t="inlineStr">
        <is>
          <t>EC</t>
        </is>
      </c>
      <c r="I37" s="7" t="inlineStr">
        <is>
          <t>Concentrado Emulsionável (EC)</t>
        </is>
      </c>
      <c r="J37" s="7" t="inlineStr">
        <is>
          <t>Herbicida graminicida sistêmico seletivo de pós-emergência</t>
        </is>
      </c>
      <c r="K37" s="7" t="inlineStr">
        <is>
          <t>Oxima ciclohexanodiona (DIM)</t>
        </is>
      </c>
      <c r="L37" s="7" t="inlineStr">
        <is>
          <t>HRAC Grupo A (1) — Inibidores da ACCase</t>
        </is>
      </c>
      <c r="M37" s="7" t="inlineStr">
        <is>
          <t>Inibidores da Acetil CoA Carboxilase (ACCase)</t>
        </is>
      </c>
      <c r="N37" s="7" t="inlineStr">
        <is>
          <t>Categoria 4 — Produto Pouco Tóxico</t>
        </is>
      </c>
      <c r="O37" s="7" t="inlineStr">
        <is>
          <t>Azul PMS Blue 293 C</t>
        </is>
      </c>
      <c r="P37" s="7" t="inlineStr">
        <is>
          <t>Classe III — Produto Perigoso ao Meio Ambiente</t>
        </is>
      </c>
      <c r="Q37" s="9" t="n">
        <v>24</v>
      </c>
      <c r="R37" s="7" t="inlineStr">
        <is>
          <t>Terrestre / Aérea (Drones consultar bula)</t>
        </is>
      </c>
      <c r="S37" s="7" t="inlineStr">
        <is>
          <t>Sem antídoto específico; tratamento sintomático</t>
        </is>
      </c>
      <c r="T37" s="7" t="inlineStr">
        <is>
          <t>RAINBOW DEFENSIVOS AGRÍCOLAS LTDA.</t>
        </is>
      </c>
      <c r="U37" s="10">
        <f>HYPERLINK("https://agrofit.agricultura.gov.br/agrofit_cons/principal_agrofit_cons", "Consulta Oficial AGROFIT/MAPA (Nº 22221)")</f>
        <v/>
      </c>
    </row>
    <row r="38" ht="22" customHeight="1">
      <c r="A38" s="11" t="n">
        <v>33</v>
      </c>
      <c r="B38" s="12" t="inlineStr">
        <is>
          <t>Nº 479097</t>
        </is>
      </c>
      <c r="C38" s="13" t="inlineStr">
        <is>
          <t>SELECT 240 EC 1X20L</t>
        </is>
      </c>
      <c r="D38" s="14" t="inlineStr">
        <is>
          <t>SELECT 240 EC</t>
        </is>
      </c>
      <c r="E38" s="13" t="inlineStr">
        <is>
          <t>Produto Formulado Comercial</t>
        </is>
      </c>
      <c r="F38" s="13" t="inlineStr">
        <is>
          <t>Defensivos</t>
        </is>
      </c>
      <c r="G38" s="13" t="inlineStr">
        <is>
          <t>Herbicida</t>
        </is>
      </c>
      <c r="H38" s="13" t="inlineStr">
        <is>
          <t>EC</t>
        </is>
      </c>
      <c r="I38" s="13" t="inlineStr">
        <is>
          <t>Concentrado Emulsionável (EC)</t>
        </is>
      </c>
      <c r="J38" s="13" t="inlineStr">
        <is>
          <t>Herbicida graminicida sistêmico seletivo de pós-emergência</t>
        </is>
      </c>
      <c r="K38" s="13" t="inlineStr">
        <is>
          <t>Oxima ciclohexanodiona (DIM)</t>
        </is>
      </c>
      <c r="L38" s="13" t="inlineStr">
        <is>
          <t>HRAC Grupo A (1) — Inibidores da ACCase</t>
        </is>
      </c>
      <c r="M38" s="13" t="inlineStr">
        <is>
          <t>Inibidores da Acetil CoA Carboxilase (ACCase)</t>
        </is>
      </c>
      <c r="N38" s="13" t="inlineStr">
        <is>
          <t>Categoria 4 / 5 — Pouco Tóxico</t>
        </is>
      </c>
      <c r="O38" s="13" t="inlineStr">
        <is>
          <t>Azul Intenso</t>
        </is>
      </c>
      <c r="P38" s="13" t="inlineStr">
        <is>
          <t>Classe III — Produto Perigoso ao Meio Ambiente</t>
        </is>
      </c>
      <c r="Q38" s="15" t="n">
        <v>24</v>
      </c>
      <c r="R38" s="13" t="inlineStr">
        <is>
          <t>Terrestre / Aérea (Drones consultar bula)</t>
        </is>
      </c>
      <c r="S38" s="13" t="inlineStr">
        <is>
          <t>Sem antídoto específico; tratamento sintomático</t>
        </is>
      </c>
      <c r="T38" s="13" t="inlineStr">
        <is>
          <t>UPL / Arysta Lifescience</t>
        </is>
      </c>
      <c r="U38" s="16">
        <f>HYPERLINK("https://agrofit.agricultura.gov.br/agrofit_cons/principal_agrofit_cons", "Consulta Oficial AGROFIT/MAPA (Nº 479097)")</f>
        <v/>
      </c>
    </row>
    <row r="39" ht="22" customHeight="1">
      <c r="A39" s="5" t="n">
        <v>34</v>
      </c>
      <c r="B39" s="6" t="inlineStr">
        <is>
          <t>Nº 28917</t>
        </is>
      </c>
      <c r="C39" s="7" t="inlineStr">
        <is>
          <t>VIANCE 1X20L</t>
        </is>
      </c>
      <c r="D39" s="8" t="inlineStr">
        <is>
          <t>VIANCE</t>
        </is>
      </c>
      <c r="E39" s="7" t="inlineStr">
        <is>
          <t>Produto Formulado Comercial</t>
        </is>
      </c>
      <c r="F39" s="7" t="inlineStr">
        <is>
          <t>Defensivos</t>
        </is>
      </c>
      <c r="G39" s="7" t="inlineStr">
        <is>
          <t>Herbicida</t>
        </is>
      </c>
      <c r="H39" s="7" t="inlineStr">
        <is>
          <t>EC</t>
        </is>
      </c>
      <c r="I39" s="7" t="inlineStr">
        <is>
          <t>Concentrado Emulsionável (EC)</t>
        </is>
      </c>
      <c r="J39" s="7" t="inlineStr">
        <is>
          <t>Herbicida graminicida sistêmico seletivo de pós-emergência</t>
        </is>
      </c>
      <c r="K39" s="7" t="inlineStr">
        <is>
          <t>Oxima ciclohexanodiona (DIM)</t>
        </is>
      </c>
      <c r="L39" s="7" t="inlineStr">
        <is>
          <t>HRAC Grupo A (1) — Inibidores da ACCase</t>
        </is>
      </c>
      <c r="M39" s="7" t="inlineStr">
        <is>
          <t>Inibidores da Acetil CoA Carboxilase (ACCase)</t>
        </is>
      </c>
      <c r="N39" s="7" t="inlineStr">
        <is>
          <t>Categoria 4 / 5 — Pouco Tóxico</t>
        </is>
      </c>
      <c r="O39" s="7" t="inlineStr">
        <is>
          <t>Azul Intenso</t>
        </is>
      </c>
      <c r="P39" s="7" t="inlineStr">
        <is>
          <t>Classe III — Produto Perigoso ao Meio Ambiente</t>
        </is>
      </c>
      <c r="Q39" s="9" t="n">
        <v>24</v>
      </c>
      <c r="R39" s="7" t="inlineStr">
        <is>
          <t>Terrestre / Aérea (Drones consultar bula)</t>
        </is>
      </c>
      <c r="S39" s="7" t="inlineStr">
        <is>
          <t>Sem antídoto específico; tratamento sintomático</t>
        </is>
      </c>
      <c r="T39" s="7" t="inlineStr">
        <is>
          <t>ALBAUGH AGRO BRASIL LTDA.</t>
        </is>
      </c>
      <c r="U39" s="10">
        <f>HYPERLINK("https://www.adapar.pr.gov.br/Pagina/Agrotoxicos-Herbicidas", "Registro Oficial Viance 240 EC (ADAPAR/MAPA)")</f>
        <v/>
      </c>
    </row>
    <row r="40" ht="22" customHeight="1">
      <c r="A40" s="11" t="n">
        <v>35</v>
      </c>
      <c r="B40" s="12" t="inlineStr">
        <is>
          <t>Nº 7398</t>
        </is>
      </c>
      <c r="C40" s="13" t="inlineStr">
        <is>
          <t>PACTO 10X0,240 KG</t>
        </is>
      </c>
      <c r="D40" s="14" t="inlineStr">
        <is>
          <t>PACTO 10X0,240 KG</t>
        </is>
      </c>
      <c r="E40" s="13" t="inlineStr">
        <is>
          <t>Produto Formulado Comercial</t>
        </is>
      </c>
      <c r="F40" s="13" t="inlineStr">
        <is>
          <t>Defensivos</t>
        </is>
      </c>
      <c r="G40" s="13" t="inlineStr">
        <is>
          <t>Herbicida</t>
        </is>
      </c>
      <c r="H40" s="13" t="inlineStr">
        <is>
          <t>WG</t>
        </is>
      </c>
      <c r="I40" s="13" t="inlineStr">
        <is>
          <t>Grânulos Dispersíveis em Água (WG)</t>
        </is>
      </c>
      <c r="J40" s="13" t="inlineStr">
        <is>
          <t>Herbicida de pré ou pós-emergência</t>
        </is>
      </c>
      <c r="K40" s="13" t="inlineStr">
        <is>
          <t>Triazolopirimidina Sulfonanilida</t>
        </is>
      </c>
      <c r="L40" s="13" t="inlineStr">
        <is>
          <t>HRAC Grupo B (2) — Inibidores da ALS</t>
        </is>
      </c>
      <c r="M40" s="13" t="inlineStr">
        <is>
          <t>Inibição da enzima acetolactato sintase (ALS / AHAS)</t>
        </is>
      </c>
      <c r="N40" s="13" t="inlineStr">
        <is>
          <t>Categoria 4 / 5 — Pouco Tóxico (Conforme Bula ANVISA)</t>
        </is>
      </c>
      <c r="O40" s="13" t="inlineStr">
        <is>
          <t>Azul PMS Blue 293 C</t>
        </is>
      </c>
      <c r="P40" s="13" t="inlineStr">
        <is>
          <t>Classe II / III — Perigoso ao Meio Ambiente</t>
        </is>
      </c>
      <c r="Q40" s="15" t="n">
        <v>24</v>
      </c>
      <c r="R40" s="13" t="inlineStr">
        <is>
          <t>Terrestre / Aérea (Drones consultar bula)</t>
        </is>
      </c>
      <c r="S40" s="13" t="inlineStr">
        <is>
          <t>Sem antídoto específico; tratamento sintomático e descontaminação</t>
        </is>
      </c>
      <c r="T40" s="13" t="inlineStr">
        <is>
          <t>Corteva Agriscience</t>
        </is>
      </c>
      <c r="U40" s="16">
        <f>HYPERLINK("https://agrofit.agricultura.gov.br/agrofit_cons/principal_agrofit_cons", "Consulta Oficial AGROFIT/MAPA (Nº 7398)")</f>
        <v/>
      </c>
    </row>
    <row r="41" ht="22" customHeight="1">
      <c r="A41" s="5" t="n">
        <v>36</v>
      </c>
      <c r="B41" s="6" t="inlineStr">
        <is>
          <t>Nº 9109</t>
        </is>
      </c>
      <c r="C41" s="7" t="inlineStr">
        <is>
          <t>PREMIO 4X5L</t>
        </is>
      </c>
      <c r="D41" s="8" t="inlineStr">
        <is>
          <t>PREMIO</t>
        </is>
      </c>
      <c r="E41" s="7" t="inlineStr">
        <is>
          <t>Produto Formulado Comercial</t>
        </is>
      </c>
      <c r="F41" s="7" t="inlineStr">
        <is>
          <t>Defensivos</t>
        </is>
      </c>
      <c r="G41" s="7" t="inlineStr">
        <is>
          <t>Inseticida</t>
        </is>
      </c>
      <c r="H41" s="7" t="inlineStr">
        <is>
          <t>SC</t>
        </is>
      </c>
      <c r="I41" s="7" t="inlineStr">
        <is>
          <t>Suspensão Concentrada (SC)</t>
        </is>
      </c>
      <c r="J41" s="7" t="inlineStr">
        <is>
          <t>Inseticida/acaricida de contato e ingestão</t>
        </is>
      </c>
      <c r="K41" s="7" t="inlineStr">
        <is>
          <t>Diamida Antranílica</t>
        </is>
      </c>
      <c r="L41" s="7" t="inlineStr">
        <is>
          <t>IRAC Grupo 28</t>
        </is>
      </c>
      <c r="M41" s="7" t="inlineStr">
        <is>
          <t>Moduladores dos receptores de rianodina (RyR) no músculo</t>
        </is>
      </c>
      <c r="N41" s="7" t="inlineStr">
        <is>
          <t>Categoria 3 / 4 — Moderadamente a Pouco Tóxico</t>
        </is>
      </c>
      <c r="O41" s="7" t="inlineStr">
        <is>
          <t>Amarelo / Azul</t>
        </is>
      </c>
      <c r="P41" s="7" t="inlineStr">
        <is>
          <t>Classe II — Produto Muito Perigoso ao Meio Ambiente</t>
        </is>
      </c>
      <c r="Q41" s="9" t="n">
        <v>24</v>
      </c>
      <c r="R41" s="7" t="inlineStr">
        <is>
          <t>Terrestre / Aérea (Drones consultar bula)</t>
        </is>
      </c>
      <c r="S41" s="7" t="inlineStr">
        <is>
          <t>Tratamento sintomático conforme grupo químico na bula</t>
        </is>
      </c>
      <c r="T41" s="7" t="inlineStr">
        <is>
          <t>FMC / Corteva</t>
        </is>
      </c>
      <c r="U41" s="10">
        <f>HYPERLINK("https://agrofit.agricultura.gov.br/agrofit_cons/principal_agrofit_cons", "Consulta Oficial AGROFIT/MAPA (Nº 9109)")</f>
        <v/>
      </c>
    </row>
    <row r="42" ht="22" customHeight="1">
      <c r="A42" s="11" t="n">
        <v>37</v>
      </c>
      <c r="B42" s="12" t="inlineStr">
        <is>
          <t>Nº 9515</t>
        </is>
      </c>
      <c r="C42" s="13" t="inlineStr">
        <is>
          <t>DERMACOR 4X5L (IMP)</t>
        </is>
      </c>
      <c r="D42" s="14" t="inlineStr">
        <is>
          <t>DERMACOR</t>
        </is>
      </c>
      <c r="E42" s="13" t="inlineStr">
        <is>
          <t>Produto Formulado Comercial</t>
        </is>
      </c>
      <c r="F42" s="13" t="inlineStr">
        <is>
          <t>Defensivos</t>
        </is>
      </c>
      <c r="G42" s="13" t="inlineStr">
        <is>
          <t>Inseticida</t>
        </is>
      </c>
      <c r="H42" s="13" t="inlineStr">
        <is>
          <t>FS</t>
        </is>
      </c>
      <c r="I42" s="13" t="inlineStr">
        <is>
          <t>Suspensão Concentrada para Tratamento de Sementes (FS)</t>
        </is>
      </c>
      <c r="J42" s="13" t="inlineStr">
        <is>
          <t>Inseticida/acaricida de contato e ingestão</t>
        </is>
      </c>
      <c r="K42" s="13" t="inlineStr">
        <is>
          <t>Diamida Antranílica</t>
        </is>
      </c>
      <c r="L42" s="13" t="inlineStr">
        <is>
          <t>IRAC Grupo 28</t>
        </is>
      </c>
      <c r="M42" s="13" t="inlineStr">
        <is>
          <t>Moduladores dos receptores de rianodina (RyR) no músculo</t>
        </is>
      </c>
      <c r="N42" s="13" t="inlineStr">
        <is>
          <t>Categoria 3 / 4 — Moderadamente a Pouco Tóxico</t>
        </is>
      </c>
      <c r="O42" s="13" t="inlineStr">
        <is>
          <t>Amarelo / Azul</t>
        </is>
      </c>
      <c r="P42" s="13" t="inlineStr">
        <is>
          <t>Classe II — Produto Muito Perigoso ao Meio Ambiente</t>
        </is>
      </c>
      <c r="Q42" s="15" t="n">
        <v>24</v>
      </c>
      <c r="R42" s="13" t="inlineStr">
        <is>
          <t>Terrestre / Aérea (Drones consultar bula)</t>
        </is>
      </c>
      <c r="S42" s="13" t="inlineStr">
        <is>
          <t>Tratamento sintomático conforme grupo químico na bula</t>
        </is>
      </c>
      <c r="T42" s="13" t="inlineStr">
        <is>
          <t>Corteva / FMC</t>
        </is>
      </c>
      <c r="U42" s="16">
        <f>HYPERLINK("https://agrofit.agricultura.gov.br/agrofit_cons/principal_agrofit_cons", "Consulta Oficial AGROFIT/MAPA (Nº 9515)")</f>
        <v/>
      </c>
    </row>
    <row r="43" ht="22" customHeight="1">
      <c r="A43" s="5" t="n">
        <v>38</v>
      </c>
      <c r="B43" s="6" t="inlineStr">
        <is>
          <t>Nº 0711</t>
        </is>
      </c>
      <c r="C43" s="7" t="inlineStr">
        <is>
          <t>CUPRODIL WG 1X25KG</t>
        </is>
      </c>
      <c r="D43" s="8" t="inlineStr">
        <is>
          <t>CUPRODIL WG</t>
        </is>
      </c>
      <c r="E43" s="7" t="inlineStr">
        <is>
          <t>Produto Formulado Comercial</t>
        </is>
      </c>
      <c r="F43" s="7" t="inlineStr">
        <is>
          <t>Defensivos</t>
        </is>
      </c>
      <c r="G43" s="7" t="inlineStr">
        <is>
          <t>Fungicida</t>
        </is>
      </c>
      <c r="H43" s="7" t="inlineStr">
        <is>
          <t>WG</t>
        </is>
      </c>
      <c r="I43" s="7" t="inlineStr">
        <is>
          <t>Grânulos Dispersíveis em Água (WG)</t>
        </is>
      </c>
      <c r="J43" s="7" t="inlineStr">
        <is>
          <t>Fungicida protetor de contato multissítio (manejo anti-resistência)</t>
        </is>
      </c>
      <c r="K43" s="7" t="inlineStr">
        <is>
          <t>Inorgânico Cúprico + Isoftalonitrila</t>
        </is>
      </c>
      <c r="L43" s="7" t="inlineStr">
        <is>
          <t>FRAC Grupo M01 — Multissítio Inorgânico + FRAC Grupo M05 — Multissítio</t>
        </is>
      </c>
      <c r="M43" s="7" t="inlineStr">
        <is>
          <t>Inativação multissítio de enzimas e proteínas celulares por íons Cu2+; Atividade de contato multissítio (inativação de grupos tiol enzimáticos)</t>
        </is>
      </c>
      <c r="N43" s="7" t="inlineStr">
        <is>
          <t>Categoria 2 / 3 — Altamente a Moderadamente Tóxico</t>
        </is>
      </c>
      <c r="O43" s="7" t="inlineStr">
        <is>
          <t>Vermelho / Amarelo</t>
        </is>
      </c>
      <c r="P43" s="7" t="inlineStr">
        <is>
          <t>Classe II — Produto Muito Perigoso ao Meio Ambiente</t>
        </is>
      </c>
      <c r="Q43" s="9" t="n">
        <v>24</v>
      </c>
      <c r="R43" s="7" t="inlineStr">
        <is>
          <t>Terrestre / Aérea (Drones consultar bula)</t>
        </is>
      </c>
      <c r="S43" s="7" t="inlineStr">
        <is>
          <t>Sem antídoto específico; tratamento sintomático e descontaminação ocular/cutânea</t>
        </is>
      </c>
      <c r="T43" s="7" t="inlineStr">
        <is>
          <t>Sumitomo / Sipcam</t>
        </is>
      </c>
      <c r="U43" s="10">
        <f>HYPERLINK("https://www.adapar.pr.gov.br/sites/adapar/arquivos_restritos/files/documento/2026-04/cuprodil_wg.pdf", "Bula Oficial Cuprodil WG (Sipcam/MAPA 0711)")</f>
        <v/>
      </c>
    </row>
    <row r="44" ht="22" customHeight="1">
      <c r="A44" s="11" t="n">
        <v>39</v>
      </c>
      <c r="B44" s="12" t="inlineStr">
        <is>
          <t>Nº 26321</t>
        </is>
      </c>
      <c r="C44" s="13" t="inlineStr">
        <is>
          <t>GUARDANIL 720 SC 1X20L (IMP)</t>
        </is>
      </c>
      <c r="D44" s="14" t="inlineStr">
        <is>
          <t>GUARDANIL</t>
        </is>
      </c>
      <c r="E44" s="13" t="inlineStr">
        <is>
          <t>Produto Formulado Comercial</t>
        </is>
      </c>
      <c r="F44" s="13" t="inlineStr">
        <is>
          <t>Defensivos</t>
        </is>
      </c>
      <c r="G44" s="13" t="inlineStr">
        <is>
          <t>Fungicida</t>
        </is>
      </c>
      <c r="H44" s="13" t="inlineStr">
        <is>
          <t>SC</t>
        </is>
      </c>
      <c r="I44" s="13" t="inlineStr">
        <is>
          <t>Suspensão Concentrada (SC)</t>
        </is>
      </c>
      <c r="J44" s="13" t="inlineStr">
        <is>
          <t>Fungicida protetor de contato multissítio (manejo anti-resistência)</t>
        </is>
      </c>
      <c r="K44" s="13" t="inlineStr">
        <is>
          <t>Isoftalonitrila</t>
        </is>
      </c>
      <c r="L44" s="13" t="inlineStr">
        <is>
          <t>FRAC Grupo M05 — Multissítio</t>
        </is>
      </c>
      <c r="M44" s="13" t="inlineStr">
        <is>
          <t>Atividade de contato multissítio (inativação de grupos tiol enzimáticos)</t>
        </is>
      </c>
      <c r="N44" s="13" t="inlineStr">
        <is>
          <t>Categoria 2 / 3 — Altamente a Moderadamente Tóxico</t>
        </is>
      </c>
      <c r="O44" s="13" t="inlineStr">
        <is>
          <t>Vermelho / Amarelo</t>
        </is>
      </c>
      <c r="P44" s="13" t="inlineStr">
        <is>
          <t>Classe II — Produto Muito Perigoso ao Meio Ambiente</t>
        </is>
      </c>
      <c r="Q44" s="15" t="n">
        <v>24</v>
      </c>
      <c r="R44" s="13" t="inlineStr">
        <is>
          <t>Terrestre / Aérea (Drones consultar bula)</t>
        </is>
      </c>
      <c r="S44" s="13" t="inlineStr">
        <is>
          <t>Sem antídoto específico; tratamento sintomático e descontaminação ocular/cutânea</t>
        </is>
      </c>
      <c r="T44" s="13" t="inlineStr">
        <is>
          <t>CAC CHEMICAL DO BRASIL LTDA. / RAINBOW DEFENSIVOS AGRÍCOLAS LTDA.</t>
        </is>
      </c>
      <c r="U44" s="16">
        <f>HYPERLINK("https://agrofit.agricultura.gov.br/agrofit_cons/principal_agrofit_cons", "Consulta Oficial AGROFIT/MAPA (Nº 26321)")</f>
        <v/>
      </c>
    </row>
    <row r="45" ht="22" customHeight="1">
      <c r="A45" s="5" t="n">
        <v>40</v>
      </c>
      <c r="B45" s="6" t="inlineStr">
        <is>
          <t>Nº 23419</t>
        </is>
      </c>
      <c r="C45" s="7" t="inlineStr">
        <is>
          <t>SAFENITH 1X20L (IMP) AW</t>
        </is>
      </c>
      <c r="D45" s="8" t="inlineStr">
        <is>
          <t>SAFENITH</t>
        </is>
      </c>
      <c r="E45" s="7" t="inlineStr">
        <is>
          <t>Produto Formulado Comercial</t>
        </is>
      </c>
      <c r="F45" s="7" t="inlineStr">
        <is>
          <t>Defensivos</t>
        </is>
      </c>
      <c r="G45" s="7" t="inlineStr">
        <is>
          <t>Fungicida</t>
        </is>
      </c>
      <c r="H45" s="7" t="inlineStr">
        <is>
          <t>SC</t>
        </is>
      </c>
      <c r="I45" s="7" t="inlineStr">
        <is>
          <t>Suspensão Concentrada (SC)</t>
        </is>
      </c>
      <c r="J45" s="7" t="inlineStr">
        <is>
          <t>Fungicida protetor de contato multissítio (manejo anti-resistência)</t>
        </is>
      </c>
      <c r="K45" s="7" t="inlineStr">
        <is>
          <t>Isoftalonitrila</t>
        </is>
      </c>
      <c r="L45" s="7" t="inlineStr">
        <is>
          <t>FRAC Grupo M05 — Multissítio</t>
        </is>
      </c>
      <c r="M45" s="7" t="inlineStr">
        <is>
          <t>Atividade de contato multissítio (inativação de grupos tiol enzimáticos)</t>
        </is>
      </c>
      <c r="N45" s="7" t="inlineStr">
        <is>
          <t>Categoria 2 / 3 — Altamente a Moderadamente Tóxico</t>
        </is>
      </c>
      <c r="O45" s="7" t="inlineStr">
        <is>
          <t>Vermelho / Amarelo</t>
        </is>
      </c>
      <c r="P45" s="7" t="inlineStr">
        <is>
          <t>Classe II — Produto Muito Perigoso ao Meio Ambiente</t>
        </is>
      </c>
      <c r="Q45" s="9" t="n">
        <v>24</v>
      </c>
      <c r="R45" s="7" t="inlineStr">
        <is>
          <t>Terrestre / Aérea (Drones consultar bula)</t>
        </is>
      </c>
      <c r="S45" s="7" t="inlineStr">
        <is>
          <t>Sem antídoto específico; tratamento sintomático e descontaminação ocular/cutânea</t>
        </is>
      </c>
      <c r="T45" s="7" t="inlineStr">
        <is>
          <t>RAINBOW DEFENSIVOS AGRÍCOLAS LTDA.</t>
        </is>
      </c>
      <c r="U45" s="10">
        <f>HYPERLINK("https://www.adapar.pr.gov.br/Pagina/Agrotoxicos-Fungicidas", "Registro Oficial Safenith 720 SC (ADAPAR/MAPA)")</f>
        <v/>
      </c>
    </row>
    <row r="46" ht="22" customHeight="1">
      <c r="A46" s="11" t="n">
        <v>41</v>
      </c>
      <c r="B46" s="12" t="inlineStr">
        <is>
          <t>Nº 24320</t>
        </is>
      </c>
      <c r="C46" s="13" t="inlineStr">
        <is>
          <t>CLOPANTO 1X20L (IMP)</t>
        </is>
      </c>
      <c r="D46" s="14" t="inlineStr">
        <is>
          <t>CLOPANTO</t>
        </is>
      </c>
      <c r="E46" s="13" t="inlineStr">
        <is>
          <t>Produto Formulado Comercial</t>
        </is>
      </c>
      <c r="F46" s="13" t="inlineStr">
        <is>
          <t>Defensivos</t>
        </is>
      </c>
      <c r="G46" s="13" t="inlineStr">
        <is>
          <t>Inseticida</t>
        </is>
      </c>
      <c r="H46" s="13" t="inlineStr">
        <is>
          <t>EC</t>
        </is>
      </c>
      <c r="I46" s="13" t="inlineStr">
        <is>
          <t>Concentrado Emulsionável (EC)</t>
        </is>
      </c>
      <c r="J46" s="13" t="inlineStr">
        <is>
          <t>Inseticida e acaricida de contato, ingestão e profundidade</t>
        </is>
      </c>
      <c r="K46" s="13" t="inlineStr">
        <is>
          <t>Organofosforado</t>
        </is>
      </c>
      <c r="L46" s="13" t="inlineStr">
        <is>
          <t>IRAC Grupo 1B</t>
        </is>
      </c>
      <c r="M46" s="13" t="inlineStr">
        <is>
          <t>Inibidores da acetilcolinesterase (AChE)</t>
        </is>
      </c>
      <c r="N46" s="13" t="inlineStr">
        <is>
          <t>Categoria 2 — Produto Altamente Tóxico</t>
        </is>
      </c>
      <c r="O46" s="13" t="inlineStr">
        <is>
          <t>Vermelho PMS Red 199 C</t>
        </is>
      </c>
      <c r="P46" s="13" t="inlineStr">
        <is>
          <t>Classe II — Produto Muito Perigoso ao Meio Ambiente</t>
        </is>
      </c>
      <c r="Q46" s="15" t="n">
        <v>24</v>
      </c>
      <c r="R46" s="13" t="inlineStr">
        <is>
          <t>Terrestre / Aérea (Drones consultar bula)</t>
        </is>
      </c>
      <c r="S46" s="13" t="inlineStr">
        <is>
          <t>Atropina (agonista antimuscarínico) e Pralidoxima (reativador de colinesterase)</t>
        </is>
      </c>
      <c r="T46" s="13" t="inlineStr">
        <is>
          <t>RAINBOW DEFENSIVOS AGRÍCOLAS LTDA.</t>
        </is>
      </c>
      <c r="U46" s="16">
        <f>HYPERLINK("https://www.adapar.pr.gov.br/system/files/publico/Agrotoxicos/lista.pdf", "Registro Oficial Clopanto 480 EC (ADAPAR/MAPA)")</f>
        <v/>
      </c>
    </row>
    <row r="47" ht="22" customHeight="1">
      <c r="A47" s="5" t="n">
        <v>42</v>
      </c>
      <c r="B47" s="6" t="inlineStr">
        <is>
          <t>Nº 7899</t>
        </is>
      </c>
      <c r="C47" s="7" t="inlineStr">
        <is>
          <t>KLORPAN 480 EC 1X10L</t>
        </is>
      </c>
      <c r="D47" s="8" t="inlineStr">
        <is>
          <t>KLORPAN 480 EC</t>
        </is>
      </c>
      <c r="E47" s="7" t="inlineStr">
        <is>
          <t>Produto Formulado Comercial</t>
        </is>
      </c>
      <c r="F47" s="7" t="inlineStr">
        <is>
          <t>Defensivos</t>
        </is>
      </c>
      <c r="G47" s="7" t="inlineStr">
        <is>
          <t>Inseticida</t>
        </is>
      </c>
      <c r="H47" s="7" t="inlineStr">
        <is>
          <t>EC</t>
        </is>
      </c>
      <c r="I47" s="7" t="inlineStr">
        <is>
          <t>Concentrado Emulsionável (EC)</t>
        </is>
      </c>
      <c r="J47" s="7" t="inlineStr">
        <is>
          <t>Inseticida e acaricida de contato, ingestão e profundidade</t>
        </is>
      </c>
      <c r="K47" s="7" t="inlineStr">
        <is>
          <t>Organofosforado</t>
        </is>
      </c>
      <c r="L47" s="7" t="inlineStr">
        <is>
          <t>IRAC Grupo 1B</t>
        </is>
      </c>
      <c r="M47" s="7" t="inlineStr">
        <is>
          <t>Inibidores da acetilcolinesterase (AChE)</t>
        </is>
      </c>
      <c r="N47" s="7" t="inlineStr">
        <is>
          <t>Categoria 2 — Produto Altamente Tóxico</t>
        </is>
      </c>
      <c r="O47" s="7" t="inlineStr">
        <is>
          <t>Vermelho PMS Red 199 C</t>
        </is>
      </c>
      <c r="P47" s="7" t="inlineStr">
        <is>
          <t>Classe II — Produto Muito Perigoso ao Meio Ambiente</t>
        </is>
      </c>
      <c r="Q47" s="9" t="n">
        <v>24</v>
      </c>
      <c r="R47" s="7" t="inlineStr">
        <is>
          <t>Terrestre / Aérea (Drones consultar bula)</t>
        </is>
      </c>
      <c r="S47" s="7" t="inlineStr">
        <is>
          <t>Atropina (agonista antimuscarínico) e Pralidoxima (reativador de colinesterase)</t>
        </is>
      </c>
      <c r="T47" s="7" t="inlineStr">
        <is>
          <t>Nufarm / Sumitomo</t>
        </is>
      </c>
      <c r="U47" s="10">
        <f>HYPERLINK("https://agrofit.agricultura.gov.br/agrofit_cons/principal_agrofit_cons", "Consulta Oficial AGROFIT/MAPA (Nº 7899)")</f>
        <v/>
      </c>
    </row>
    <row r="48" ht="22" customHeight="1">
      <c r="A48" s="11" t="n">
        <v>43</v>
      </c>
      <c r="B48" s="12" t="inlineStr">
        <is>
          <t>Nº 18618</t>
        </is>
      </c>
      <c r="C48" s="13" t="inlineStr">
        <is>
          <t>WILD 1X20L</t>
        </is>
      </c>
      <c r="D48" s="14" t="inlineStr">
        <is>
          <t>WILD</t>
        </is>
      </c>
      <c r="E48" s="13" t="inlineStr">
        <is>
          <t>Produto Formulado Comercial</t>
        </is>
      </c>
      <c r="F48" s="13" t="inlineStr">
        <is>
          <t>Defensivos</t>
        </is>
      </c>
      <c r="G48" s="13" t="inlineStr">
        <is>
          <t>Inseticida</t>
        </is>
      </c>
      <c r="H48" s="13" t="inlineStr">
        <is>
          <t>EC</t>
        </is>
      </c>
      <c r="I48" s="13" t="inlineStr">
        <is>
          <t>Concentrado Emulsionável (EC)</t>
        </is>
      </c>
      <c r="J48" s="13" t="inlineStr">
        <is>
          <t>Inseticida e acaricida de contato, ingestão e profundidade</t>
        </is>
      </c>
      <c r="K48" s="13" t="inlineStr">
        <is>
          <t>Organofosforado</t>
        </is>
      </c>
      <c r="L48" s="13" t="inlineStr">
        <is>
          <t>IRAC Grupo 1B</t>
        </is>
      </c>
      <c r="M48" s="13" t="inlineStr">
        <is>
          <t>Inibidores da acetilcolinesterase (AChE)</t>
        </is>
      </c>
      <c r="N48" s="13" t="inlineStr">
        <is>
          <t>Categoria 2 — Produto Altamente Tóxico</t>
        </is>
      </c>
      <c r="O48" s="13" t="inlineStr">
        <is>
          <t>Vermelho PMS Red 199 C</t>
        </is>
      </c>
      <c r="P48" s="13" t="inlineStr">
        <is>
          <t>Classe II — Produto Muito Perigoso ao Meio Ambiente</t>
        </is>
      </c>
      <c r="Q48" s="15" t="n">
        <v>24</v>
      </c>
      <c r="R48" s="13" t="inlineStr">
        <is>
          <t>Terrestre / Aérea (Drones consultar bula)</t>
        </is>
      </c>
      <c r="S48" s="13" t="inlineStr">
        <is>
          <t>Atropina (agonista antimuscarínico) e Pralidoxima (reativador de colinesterase)</t>
        </is>
      </c>
      <c r="T48" s="13" t="inlineStr">
        <is>
          <t>SUMITOMO CHEMICAL DO BRASIL REPRESENTAÇÕES LTDA.</t>
        </is>
      </c>
      <c r="U48" s="16">
        <f>HYPERLINK("https://www.adapar.pr.gov.br/system/files/publico/Agrotoxicos/lista.pdf", "Registro Oficial Wild 480 EC (ADAPAR/MAPA)")</f>
        <v/>
      </c>
    </row>
    <row r="49" ht="22" customHeight="1">
      <c r="A49" s="5" t="n">
        <v>44</v>
      </c>
      <c r="B49" s="6" t="inlineStr">
        <is>
          <t>ISENTO (ATO 104/2017)</t>
        </is>
      </c>
      <c r="C49" s="7" t="inlineStr">
        <is>
          <t>AGCN DESALOJ TAB 12X0,8KG</t>
        </is>
      </c>
      <c r="D49" s="8" t="inlineStr">
        <is>
          <t>AGCN DESALOJ TAB 12X0,8KG</t>
        </is>
      </c>
      <c r="E49" s="7" t="inlineStr">
        <is>
          <t>Produto Formulado Comercial</t>
        </is>
      </c>
      <c r="F49" s="7" t="inlineStr">
        <is>
          <t>Outros (Químicos / Laboratorial)</t>
        </is>
      </c>
      <c r="G49" s="7" t="inlineStr">
        <is>
          <t>Desalojante Químico Auxiliar</t>
        </is>
      </c>
      <c r="H49" s="7" t="inlineStr">
        <is>
          <t>EC</t>
        </is>
      </c>
      <c r="I49" s="7" t="inlineStr">
        <is>
          <t>Concentrado Emulsionável (EC)</t>
        </is>
      </c>
      <c r="J49" s="7" t="inlineStr">
        <is>
          <t>Inseticida/acaricida de contato e ingestão</t>
        </is>
      </c>
      <c r="K49" s="7" t="inlineStr">
        <is>
          <t>Aditivo Auxiliar de Calda (Ato SDA nº 104/2017)</t>
        </is>
      </c>
      <c r="L49" s="7" t="inlineStr">
        <is>
          <t>Auxiliar Tecnológico de Aplicação (Ato 104/2017)</t>
        </is>
      </c>
      <c r="M49" s="7" t="inlineStr">
        <is>
          <t>Incremento da agitação comportamental da praga e exposição à calda inseticida</t>
        </is>
      </c>
      <c r="N49" s="7" t="inlineStr">
        <is>
          <t>Categoria 3 / 4 — Moderadamente a Pouco Tóxico</t>
        </is>
      </c>
      <c r="O49" s="7" t="inlineStr">
        <is>
          <t>Amarelo / Azul</t>
        </is>
      </c>
      <c r="P49" s="7" t="inlineStr">
        <is>
          <t>Classe II — Produto Muito Perigoso ao Meio Ambiente</t>
        </is>
      </c>
      <c r="Q49" s="9" t="n">
        <v>24</v>
      </c>
      <c r="R49" s="7" t="inlineStr">
        <is>
          <t>Terrestre / Aérea (Drones consultar bula)</t>
        </is>
      </c>
      <c r="S49" s="7" t="inlineStr">
        <is>
          <t>Tratamento sintomático conforme grupo químico na bula</t>
        </is>
      </c>
      <c r="T49" s="7" t="inlineStr">
        <is>
          <t>AGRICONNECTION IMPORTADORA E EXPORTADORA DE INSUMOS AGRÍCOLAS LTDA.</t>
        </is>
      </c>
      <c r="U49" s="10">
        <f>HYPERLINK("https://www.gov.br/agricultura/pt-br/assuntos/insumos-agropecuarios/insumos-agricolas/agrotoxicos/legislacao", "Ato SDA/MAPA nº 104/2017 — Adjuvantes Agrícolas")</f>
        <v/>
      </c>
    </row>
    <row r="50" ht="22" customHeight="1">
      <c r="A50" s="11" t="n">
        <v>45</v>
      </c>
      <c r="B50" s="12" t="inlineStr">
        <is>
          <t>Nº 5097</t>
        </is>
      </c>
      <c r="C50" s="13" t="inlineStr">
        <is>
          <t>SPIDER 840 WG 10X0,21KG</t>
        </is>
      </c>
      <c r="D50" s="14" t="inlineStr">
        <is>
          <t>SPIDER 840 WG 10X0,21KG</t>
        </is>
      </c>
      <c r="E50" s="13" t="inlineStr">
        <is>
          <t>Produto Formulado Comercial</t>
        </is>
      </c>
      <c r="F50" s="13" t="inlineStr">
        <is>
          <t>Defensivos</t>
        </is>
      </c>
      <c r="G50" s="13" t="inlineStr">
        <is>
          <t>Herbicida</t>
        </is>
      </c>
      <c r="H50" s="13" t="inlineStr">
        <is>
          <t>WG</t>
        </is>
      </c>
      <c r="I50" s="13" t="inlineStr">
        <is>
          <t>Grânulos Dispersíveis em Água (WG)</t>
        </is>
      </c>
      <c r="J50" s="13" t="inlineStr">
        <is>
          <t>Herbicida de pré ou pós-emergência</t>
        </is>
      </c>
      <c r="K50" s="13" t="inlineStr">
        <is>
          <t>Triazolopirimidina Sulfonanilida</t>
        </is>
      </c>
      <c r="L50" s="13" t="inlineStr">
        <is>
          <t>HRAC Grupo B (2) — Inibidores da ALS</t>
        </is>
      </c>
      <c r="M50" s="13" t="inlineStr">
        <is>
          <t>Inibição da enzima acetolactato sintase (ALS / AHAS)</t>
        </is>
      </c>
      <c r="N50" s="13" t="inlineStr">
        <is>
          <t>Categoria 4 / 5 — Pouco Tóxico (Conforme Bula ANVISA)</t>
        </is>
      </c>
      <c r="O50" s="13" t="inlineStr">
        <is>
          <t>Azul PMS Blue 293 C</t>
        </is>
      </c>
      <c r="P50" s="13" t="inlineStr">
        <is>
          <t>Classe II / III — Perigoso ao Meio Ambiente</t>
        </is>
      </c>
      <c r="Q50" s="15" t="n">
        <v>24</v>
      </c>
      <c r="R50" s="13" t="inlineStr">
        <is>
          <t>Terrestre / Aérea (Drones consultar bula)</t>
        </is>
      </c>
      <c r="S50" s="13" t="inlineStr">
        <is>
          <t>Sem antídoto específico; tratamento sintomático e descontaminação</t>
        </is>
      </c>
      <c r="T50" s="13" t="inlineStr">
        <is>
          <t>Corteva Agriscience</t>
        </is>
      </c>
      <c r="U50" s="16">
        <f>HYPERLINK("https://agrofit.agricultura.gov.br/agrofit_cons/principal_agrofit_cons", "Consulta Oficial AGROFIT/MAPA (Nº 5097)")</f>
        <v/>
      </c>
    </row>
    <row r="51" ht="22" customHeight="1">
      <c r="A51" s="5" t="n">
        <v>46</v>
      </c>
      <c r="B51" s="6" t="inlineStr">
        <is>
          <t>Nº 15716</t>
        </is>
      </c>
      <c r="C51" s="7" t="inlineStr">
        <is>
          <t>DIFCOR 250 EC BR 1X20L (IMP) GH</t>
        </is>
      </c>
      <c r="D51" s="8" t="inlineStr">
        <is>
          <t>DIFCOR 250 EC BR</t>
        </is>
      </c>
      <c r="E51" s="7" t="inlineStr">
        <is>
          <t>Produto Formulado Comercial</t>
        </is>
      </c>
      <c r="F51" s="7" t="inlineStr">
        <is>
          <t>Defensivos</t>
        </is>
      </c>
      <c r="G51" s="7" t="inlineStr">
        <is>
          <t>Fungicida</t>
        </is>
      </c>
      <c r="H51" s="7" t="inlineStr">
        <is>
          <t>EC</t>
        </is>
      </c>
      <c r="I51" s="7" t="inlineStr">
        <is>
          <t>Concentrado Emulsionável (EC)</t>
        </is>
      </c>
      <c r="J51" s="7" t="inlineStr">
        <is>
          <t>Fungicida sistêmico preventivo, curativo e erradicante</t>
        </is>
      </c>
      <c r="K51" s="7" t="inlineStr">
        <is>
          <t>Triazol</t>
        </is>
      </c>
      <c r="L51" s="7" t="inlineStr">
        <is>
          <t>FRAC Grupo 3 (DMI)</t>
        </is>
      </c>
      <c r="M51" s="7" t="inlineStr">
        <is>
          <t>Inibidores da desmetilação de esteróis (C14-desmetilase na síntese de ergosterol)</t>
        </is>
      </c>
      <c r="N51" s="7" t="inlineStr">
        <is>
          <t>Categoria 3 — Produto Moderadamente Tóxico</t>
        </is>
      </c>
      <c r="O51" s="7" t="inlineStr">
        <is>
          <t>Amarelo PMS Yellow C</t>
        </is>
      </c>
      <c r="P51" s="7" t="inlineStr">
        <is>
          <t>Classe II — Produto Muito Perigoso ao Meio Ambiente</t>
        </is>
      </c>
      <c r="Q51" s="9" t="n">
        <v>24</v>
      </c>
      <c r="R51" s="7" t="inlineStr">
        <is>
          <t>Terrestre / Aérea (Drones consultar bula)</t>
        </is>
      </c>
      <c r="S51" s="7" t="inlineStr">
        <is>
          <t>Sem antídoto específico; tratamento sintomático</t>
        </is>
      </c>
      <c r="T51" s="7" t="inlineStr">
        <is>
          <t>GLOBACHEM PROTEÇÃO DE CULTIVOS DO BRASIL LTDA.</t>
        </is>
      </c>
      <c r="U51" s="10">
        <f>HYPERLINK("https://agrofit.agricultura.gov.br/agrofit_cons/principal_agrofit_cons", "Consulta Oficial AGROFIT/MAPA (Nº 15716)")</f>
        <v/>
      </c>
    </row>
    <row r="52" ht="22" customHeight="1">
      <c r="A52" s="11" t="n">
        <v>47</v>
      </c>
      <c r="B52" s="12" t="inlineStr">
        <is>
          <t>Nº 19217</t>
        </is>
      </c>
      <c r="C52" s="13" t="inlineStr">
        <is>
          <t>BLOWOUT 1X20L (IMP)</t>
        </is>
      </c>
      <c r="D52" s="14" t="inlineStr">
        <is>
          <t>BLOWOUT</t>
        </is>
      </c>
      <c r="E52" s="13" t="inlineStr">
        <is>
          <t>Produto Formulado Comercial</t>
        </is>
      </c>
      <c r="F52" s="13" t="inlineStr">
        <is>
          <t>Defensivos</t>
        </is>
      </c>
      <c r="G52" s="13" t="inlineStr">
        <is>
          <t>Herbicida Dessecante</t>
        </is>
      </c>
      <c r="H52" s="13" t="inlineStr">
        <is>
          <t>SL</t>
        </is>
      </c>
      <c r="I52" s="13" t="inlineStr">
        <is>
          <t>SL - Concentrado Solúvel</t>
        </is>
      </c>
      <c r="J52" s="13" t="inlineStr">
        <is>
          <t>Herbicida dessecante não seletivo de contato e ação rápida</t>
        </is>
      </c>
      <c r="K52" s="13" t="inlineStr">
        <is>
          <t>Bipiridílio</t>
        </is>
      </c>
      <c r="L52" s="13" t="inlineStr">
        <is>
          <t>HRAC Grupo D (22) — Desviadores de Elétrons do Fotossistema I</t>
        </is>
      </c>
      <c r="M52" s="13" t="inlineStr">
        <is>
          <t>Inibidores do Fotossistema I (geração de radicais livres peróxidos)</t>
        </is>
      </c>
      <c r="N52" s="13" t="inlineStr">
        <is>
          <t>Categoria 3: Produto Moderadamente Tóxico</t>
        </is>
      </c>
      <c r="O52" s="13" t="inlineStr">
        <is>
          <t>Amarelo</t>
        </is>
      </c>
      <c r="P52" s="13" t="inlineStr">
        <is>
          <t>Classe II — Produto Muito Perigoso ao Meio Ambiente</t>
        </is>
      </c>
      <c r="Q52" s="15" t="n">
        <v>24</v>
      </c>
      <c r="R52" s="13" t="inlineStr">
        <is>
          <t>Terrestre / Aérea (Drones consultar bula)</t>
        </is>
      </c>
      <c r="S52" s="13" t="inlineStr">
        <is>
          <t>Sem antídoto específico; terra de Fuller / bentonita / carvão ativado na descontaminação gástrica</t>
        </is>
      </c>
      <c r="T52" s="13" t="inlineStr">
        <is>
          <t>RAINBOW DEFENSIVOS AGRICOLAS LTDA</t>
        </is>
      </c>
      <c r="U52" s="16">
        <f>HYPERLINK("https://agrofit.agricultura.gov.br/agrofit_cons/principal_agrofit_cons", "Consulta Oficial AGROFIT/MAPA (Nº 19217)")</f>
        <v/>
      </c>
    </row>
    <row r="53" ht="22" customHeight="1">
      <c r="A53" s="5" t="n">
        <v>48</v>
      </c>
      <c r="B53" s="6" t="inlineStr">
        <is>
          <t>Nº 25216</t>
        </is>
      </c>
      <c r="C53" s="7" t="inlineStr">
        <is>
          <t>DESSICASH 200 1X20L (IMP)</t>
        </is>
      </c>
      <c r="D53" s="8" t="inlineStr">
        <is>
          <t>DESSICASH 200</t>
        </is>
      </c>
      <c r="E53" s="7" t="inlineStr">
        <is>
          <t>Produto Formulado Comercial</t>
        </is>
      </c>
      <c r="F53" s="7" t="inlineStr">
        <is>
          <t>Defensivos</t>
        </is>
      </c>
      <c r="G53" s="7" t="inlineStr">
        <is>
          <t>Herbicida Dessecante</t>
        </is>
      </c>
      <c r="H53" s="7" t="inlineStr">
        <is>
          <t>SL</t>
        </is>
      </c>
      <c r="I53" s="7" t="inlineStr">
        <is>
          <t>Concentrado Solúvel (SL)</t>
        </is>
      </c>
      <c r="J53" s="7" t="inlineStr">
        <is>
          <t>Herbicida dessecante não seletivo de contato e ação rápida</t>
        </is>
      </c>
      <c r="K53" s="7" t="inlineStr">
        <is>
          <t>Bipiridílio</t>
        </is>
      </c>
      <c r="L53" s="7" t="inlineStr">
        <is>
          <t>HRAC Grupo D (22) — Desviadores de Elétrons do Fotossistema I</t>
        </is>
      </c>
      <c r="M53" s="7" t="inlineStr">
        <is>
          <t>Inibidores do Fotossistema I (geração de radicais livres peróxidos)</t>
        </is>
      </c>
      <c r="N53" s="7" t="inlineStr">
        <is>
          <t>Categoria 3 — Produto Moderadamente Tóxico</t>
        </is>
      </c>
      <c r="O53" s="7" t="inlineStr">
        <is>
          <t>Amarelo PMS Yellow C</t>
        </is>
      </c>
      <c r="P53" s="7" t="inlineStr">
        <is>
          <t>Classe II — Produto Muito Perigoso ao Meio Ambiente</t>
        </is>
      </c>
      <c r="Q53" s="9" t="n">
        <v>24</v>
      </c>
      <c r="R53" s="7" t="inlineStr">
        <is>
          <t>Terrestre / Aérea (Drones consultar bula)</t>
        </is>
      </c>
      <c r="S53" s="7" t="inlineStr">
        <is>
          <t>Sem antídoto específico; terra de Fuller / bentonita / carvão ativado na descontaminação gástrica</t>
        </is>
      </c>
      <c r="T53" s="7" t="inlineStr">
        <is>
          <t>UPL DO BRASIL INDÚSTRIA E COMÉRCIO DE INSUMOS AGROPECUÁRIOS S.A.</t>
        </is>
      </c>
      <c r="U53" s="10">
        <f>HYPERLINK("https://www.adapar.pr.gov.br/Pagina/Agrotoxicos-Herbicidas", "Registro Oficial Dessicash 200 SL (ADAPAR/MAPA)")</f>
        <v/>
      </c>
    </row>
    <row r="54" ht="22" customHeight="1">
      <c r="A54" s="11" t="n">
        <v>49</v>
      </c>
      <c r="B54" s="12" t="inlineStr">
        <is>
          <t>Nº 0812</t>
        </is>
      </c>
      <c r="C54" s="13" t="inlineStr">
        <is>
          <t>DIOX 1X20L</t>
        </is>
      </c>
      <c r="D54" s="14" t="inlineStr">
        <is>
          <t>DIOX</t>
        </is>
      </c>
      <c r="E54" s="13" t="inlineStr">
        <is>
          <t>Produto Formulado Comercial</t>
        </is>
      </c>
      <c r="F54" s="13" t="inlineStr">
        <is>
          <t>Defensivos</t>
        </is>
      </c>
      <c r="G54" s="13" t="inlineStr">
        <is>
          <t>Herbicida</t>
        </is>
      </c>
      <c r="H54" s="13" t="inlineStr">
        <is>
          <t>SC</t>
        </is>
      </c>
      <c r="I54" s="13" t="inlineStr">
        <is>
          <t>Suspensão Concentrada (SC)</t>
        </is>
      </c>
      <c r="J54" s="13" t="inlineStr">
        <is>
          <t>Herbicida de pré ou pós-emergência</t>
        </is>
      </c>
      <c r="K54" s="13" t="inlineStr">
        <is>
          <t>Ureia Substituída (Fenilureia)</t>
        </is>
      </c>
      <c r="L54" s="13" t="inlineStr">
        <is>
          <t>HRAC Grupo C2 (5) — Inibidores do Fotossistema II</t>
        </is>
      </c>
      <c r="M54" s="13" t="inlineStr">
        <is>
          <t>Inibição do transporte de elétrons no Fotossistema II (sítio Serina 264)</t>
        </is>
      </c>
      <c r="N54" s="13" t="inlineStr">
        <is>
          <t>Categoria 4 / 5 — Pouco Tóxico (Conforme Bula ANVISA)</t>
        </is>
      </c>
      <c r="O54" s="13" t="inlineStr">
        <is>
          <t>Azul PMS Blue 293 C</t>
        </is>
      </c>
      <c r="P54" s="13" t="inlineStr">
        <is>
          <t>Classe II / III — Perigoso ao Meio Ambiente</t>
        </is>
      </c>
      <c r="Q54" s="15" t="n">
        <v>24</v>
      </c>
      <c r="R54" s="13" t="inlineStr">
        <is>
          <t>Terrestre / Aérea (Drones consultar bula)</t>
        </is>
      </c>
      <c r="S54" s="13" t="inlineStr">
        <is>
          <t>Sem antídoto específico; tratamento sintomático e descontaminação</t>
        </is>
      </c>
      <c r="T54" s="13" t="inlineStr">
        <is>
          <t>Ourofino / Sipcam</t>
        </is>
      </c>
      <c r="U54" s="16">
        <f>HYPERLINK("https://agrofit.agricultura.gov.br/agrofit_cons/principal_agrofit_cons", "Consulta Oficial AGROFIT/MAPA (Nº 0812)")</f>
        <v/>
      </c>
    </row>
    <row r="55" ht="22" customHeight="1">
      <c r="A55" s="5" t="n">
        <v>50</v>
      </c>
      <c r="B55" s="6" t="inlineStr">
        <is>
          <t>SIPEAGRO (UF-XXXXX)</t>
        </is>
      </c>
      <c r="C55" s="7" t="inlineStr">
        <is>
          <t>AGCN ENXOFRE 1X20L</t>
        </is>
      </c>
      <c r="D55" s="8" t="inlineStr">
        <is>
          <t>AGCN ENXOFRE</t>
        </is>
      </c>
      <c r="E55" s="7" t="inlineStr">
        <is>
          <t>Fertilizante Mineral / Organomineral</t>
        </is>
      </c>
      <c r="F55" s="7" t="inlineStr">
        <is>
          <t>Fertilizantes</t>
        </is>
      </c>
      <c r="G55" s="7" t="inlineStr">
        <is>
          <t>Fertilizante Foliar / Micronutrientes</t>
        </is>
      </c>
      <c r="H55" s="7" t="inlineStr">
        <is>
          <t>SL</t>
        </is>
      </c>
      <c r="I55" s="7" t="inlineStr">
        <is>
          <t>Solução / Suspensão Concentrada Foliar (Fluido)</t>
        </is>
      </c>
      <c r="J55" s="7" t="inlineStr">
        <is>
          <t>Aplicação via solo, fertirrigação ou adubação foliar</t>
        </is>
      </c>
      <c r="K55" s="7" t="inlineStr">
        <is>
          <t>Fertilizante Mineral / Organomineral (Lei nº 6.894/1980)</t>
        </is>
      </c>
      <c r="L55" s="7" t="inlineStr">
        <is>
          <t>Nutrição Vegetal SIPEAGRO</t>
        </is>
      </c>
      <c r="M55" s="7" t="inlineStr">
        <is>
          <t>Fornecimento de macro e micronutrientes essenciais ao metabolismo vegetal</t>
        </is>
      </c>
      <c r="N55" s="7" t="inlineStr">
        <is>
          <t>Isento ANVISA (Produto Fertilizante Registrado no SIPEAGRO/MAPA)</t>
        </is>
      </c>
      <c r="O55" s="7" t="inlineStr">
        <is>
          <t>Não Aplicável (Fertilizante)</t>
        </is>
      </c>
      <c r="P55" s="7" t="inlineStr">
        <is>
          <t>Baixo Potencial Poluidor (Uso conforme recomendação agronômica)</t>
        </is>
      </c>
      <c r="Q55" s="9" t="n">
        <v>0</v>
      </c>
      <c r="R55" s="7" t="inlineStr">
        <is>
          <t>Aplicação Dirigida / TS / Solo</t>
        </is>
      </c>
      <c r="S55" s="7" t="inlineStr">
        <is>
          <t>Tratamento sintomático em caso de ingestão acidental</t>
        </is>
      </c>
      <c r="T55" s="7" t="inlineStr">
        <is>
          <t>Estabelecimento Produtor SIPEAGRO/MAPA</t>
        </is>
      </c>
      <c r="U55" s="10">
        <f>HYPERLINK("https://www.gov.br/agricultura/pt-br/assuntos/insumos-agropecuarios/insumos-agricolas/fertilizantes", "Portal SIPEAGRO / MAPA — Fertilizantes e Bioinsumos")</f>
        <v/>
      </c>
    </row>
    <row r="56" ht="22" customHeight="1">
      <c r="A56" s="11" t="n">
        <v>51</v>
      </c>
      <c r="B56" s="12" t="inlineStr">
        <is>
          <t>SIPEAGRO (UF-XXXXX)</t>
        </is>
      </c>
      <c r="C56" s="13" t="inlineStr">
        <is>
          <t>AGCN MG 16 1X25KG</t>
        </is>
      </c>
      <c r="D56" s="14" t="inlineStr">
        <is>
          <t>AGCN MG 16</t>
        </is>
      </c>
      <c r="E56" s="13" t="inlineStr">
        <is>
          <t>Fertilizante Mineral / Organomineral</t>
        </is>
      </c>
      <c r="F56" s="13" t="inlineStr">
        <is>
          <t>Fertilizantes</t>
        </is>
      </c>
      <c r="G56" s="13" t="inlineStr">
        <is>
          <t>Fertilizante Foliar / Micronutrientes</t>
        </is>
      </c>
      <c r="H56" s="13" t="inlineStr">
        <is>
          <t>Granulado</t>
        </is>
      </c>
      <c r="I56" s="13" t="inlineStr">
        <is>
          <t>Formulação Padrão (Granulado / Solúvel / Suspensão)</t>
        </is>
      </c>
      <c r="J56" s="13" t="inlineStr">
        <is>
          <t>Aplicação via solo, fertirrigação ou adubação foliar</t>
        </is>
      </c>
      <c r="K56" s="13" t="inlineStr">
        <is>
          <t>Fertilizante Mineral / Organomineral (Lei nº 6.894/1980)</t>
        </is>
      </c>
      <c r="L56" s="13" t="inlineStr">
        <is>
          <t>Nutrição Vegetal SIPEAGRO</t>
        </is>
      </c>
      <c r="M56" s="13" t="inlineStr">
        <is>
          <t>Fornecimento de macro e micronutrientes essenciais ao metabolismo vegetal</t>
        </is>
      </c>
      <c r="N56" s="13" t="inlineStr">
        <is>
          <t>Isento ANVISA (Produto Fertilizante Registrado no SIPEAGRO/MAPA)</t>
        </is>
      </c>
      <c r="O56" s="13" t="inlineStr">
        <is>
          <t>Não Aplicável (Fertilizante)</t>
        </is>
      </c>
      <c r="P56" s="13" t="inlineStr">
        <is>
          <t>Baixo Potencial Poluidor (Uso conforme recomendação agronômica)</t>
        </is>
      </c>
      <c r="Q56" s="15" t="n">
        <v>0</v>
      </c>
      <c r="R56" s="13" t="inlineStr">
        <is>
          <t>Aplicação Dirigida / TS / Solo</t>
        </is>
      </c>
      <c r="S56" s="13" t="inlineStr">
        <is>
          <t>Tratamento sintomático em caso de ingestão acidental</t>
        </is>
      </c>
      <c r="T56" s="13" t="inlineStr">
        <is>
          <t>Estabelecimento Produtor SIPEAGRO/MAPA</t>
        </is>
      </c>
      <c r="U56" s="16">
        <f>HYPERLINK("https://www.gov.br/agricultura/pt-br/assuntos/insumos-agropecuarios/insumos-agricolas/fertilizantes", "Portal SIPEAGRO / MAPA — Fertilizantes e Bioinsumos")</f>
        <v/>
      </c>
    </row>
    <row r="57" ht="22" customHeight="1">
      <c r="A57" s="5" t="n">
        <v>52</v>
      </c>
      <c r="B57" s="6" t="inlineStr">
        <is>
          <t>Nº 14314</t>
        </is>
      </c>
      <c r="C57" s="7" t="inlineStr">
        <is>
          <t>EXALT 4X5L</t>
        </is>
      </c>
      <c r="D57" s="8" t="inlineStr">
        <is>
          <t>EXALT</t>
        </is>
      </c>
      <c r="E57" s="7" t="inlineStr">
        <is>
          <t>Produto Formulado Comercial</t>
        </is>
      </c>
      <c r="F57" s="7" t="inlineStr">
        <is>
          <t>Defensivos</t>
        </is>
      </c>
      <c r="G57" s="7" t="inlineStr">
        <is>
          <t>Inseticida</t>
        </is>
      </c>
      <c r="H57" s="7" t="inlineStr">
        <is>
          <t>SC</t>
        </is>
      </c>
      <c r="I57" s="7" t="inlineStr">
        <is>
          <t>Suspensão Concentrada (SC)</t>
        </is>
      </c>
      <c r="J57" s="7" t="inlineStr">
        <is>
          <t>Inseticida/acaricida de contato e ingestão</t>
        </is>
      </c>
      <c r="K57" s="7" t="inlineStr">
        <is>
          <t>Espinosina</t>
        </is>
      </c>
      <c r="L57" s="7" t="inlineStr">
        <is>
          <t>IRAC Grupo 5</t>
        </is>
      </c>
      <c r="M57" s="7" t="inlineStr">
        <is>
          <t>Moduladores alostéricos dos receptores nicotínicos da acetilcolina (nAChR)</t>
        </is>
      </c>
      <c r="N57" s="7" t="inlineStr">
        <is>
          <t>Categoria 3 / 4 — Moderadamente a Pouco Tóxico</t>
        </is>
      </c>
      <c r="O57" s="7" t="inlineStr">
        <is>
          <t>Amarelo / Azul</t>
        </is>
      </c>
      <c r="P57" s="7" t="inlineStr">
        <is>
          <t>Classe II — Produto Muito Perigoso ao Meio Ambiente</t>
        </is>
      </c>
      <c r="Q57" s="9" t="n">
        <v>24</v>
      </c>
      <c r="R57" s="7" t="inlineStr">
        <is>
          <t>Terrestre / Aérea (Drones consultar bula)</t>
        </is>
      </c>
      <c r="S57" s="7" t="inlineStr">
        <is>
          <t>Tratamento sintomático conforme grupo químico na bula</t>
        </is>
      </c>
      <c r="T57" s="7" t="inlineStr">
        <is>
          <t>CORTEVA AGRISCIENCE DO BRASIL LTDA.</t>
        </is>
      </c>
      <c r="U57" s="10">
        <f>HYPERLINK("https://www.adapar.pr.gov.br/system/files/publico/Agrotoxicos/lista.pdf", "Bula Oficial Exalt 120 SC (Corteva/MAPA 14314)")</f>
        <v/>
      </c>
    </row>
    <row r="58" ht="22" customHeight="1">
      <c r="A58" s="11" t="n">
        <v>53</v>
      </c>
      <c r="B58" s="12" t="inlineStr">
        <is>
          <t>Nº 2520</t>
        </is>
      </c>
      <c r="C58" s="13" t="inlineStr">
        <is>
          <t>SURVEY 250 FS 4X5L (IMP) YF</t>
        </is>
      </c>
      <c r="D58" s="14" t="inlineStr">
        <is>
          <t>SURVEY 250 FS</t>
        </is>
      </c>
      <c r="E58" s="13" t="inlineStr">
        <is>
          <t>Produto Formulado Comercial</t>
        </is>
      </c>
      <c r="F58" s="13" t="inlineStr">
        <is>
          <t>Defensivos</t>
        </is>
      </c>
      <c r="G58" s="13" t="inlineStr">
        <is>
          <t>Inseticida e Cupinicida (Fipronil)</t>
        </is>
      </c>
      <c r="H58" s="13" t="inlineStr">
        <is>
          <t>FS</t>
        </is>
      </c>
      <c r="I58" s="13" t="inlineStr">
        <is>
          <t>Suspensão Concentrada para Tratamento de Sementes (FS)</t>
        </is>
      </c>
      <c r="J58" s="13" t="inlineStr">
        <is>
          <t>Inseticida, cupinicida e formicida de contato e ingestão (TS / Solo)</t>
        </is>
      </c>
      <c r="K58" s="13" t="inlineStr">
        <is>
          <t>Pirazol (Fenilpirazol)</t>
        </is>
      </c>
      <c r="L58" s="13" t="inlineStr">
        <is>
          <t>IRAC Grupo 2B</t>
        </is>
      </c>
      <c r="M58" s="13" t="inlineStr">
        <is>
          <t>Bloqueadores de canais de cloro mediados pelo GABA</t>
        </is>
      </c>
      <c r="N58" s="13" t="inlineStr">
        <is>
          <t>Categoria 3 — Produto Moderadamente Tóxico</t>
        </is>
      </c>
      <c r="O58" s="13" t="inlineStr">
        <is>
          <t>Amarelo PMS Yellow C</t>
        </is>
      </c>
      <c r="P58" s="13" t="inlineStr">
        <is>
          <t>Classe II — Produto Muito Perigoso ao Meio Ambiente</t>
        </is>
      </c>
      <c r="Q58" s="15" t="n">
        <v>0</v>
      </c>
      <c r="R58" s="13" t="inlineStr">
        <is>
          <t>Aplicação Dirigida / TS / Solo</t>
        </is>
      </c>
      <c r="S58" s="13" t="inlineStr">
        <is>
          <t>Sem antídoto específico; tratamento sintomático e controle neurológico</t>
        </is>
      </c>
      <c r="T58" s="13" t="inlineStr">
        <is>
          <t>Rainbow Defensivos</t>
        </is>
      </c>
      <c r="U58" s="16">
        <f>HYPERLINK("https://agrofit.agricultura.gov.br/agrofit_cons/principal_agrofit_cons", "Consulta Oficial AGROFIT/MAPA (Nº 2520)")</f>
        <v/>
      </c>
    </row>
    <row r="59" ht="22" customHeight="1">
      <c r="A59" s="5" t="n">
        <v>54</v>
      </c>
      <c r="B59" s="6" t="inlineStr">
        <is>
          <t>Nº 0494</t>
        </is>
      </c>
      <c r="C59" s="7" t="inlineStr">
        <is>
          <t>SCORPION 4X5L (IMP)</t>
        </is>
      </c>
      <c r="D59" s="8" t="inlineStr">
        <is>
          <t>SCORPION</t>
        </is>
      </c>
      <c r="E59" s="7" t="inlineStr">
        <is>
          <t>Produto Formulado Comercial</t>
        </is>
      </c>
      <c r="F59" s="7" t="inlineStr">
        <is>
          <t>Defensivos</t>
        </is>
      </c>
      <c r="G59" s="7" t="inlineStr">
        <is>
          <t>Herbicida</t>
        </is>
      </c>
      <c r="H59" s="7" t="inlineStr">
        <is>
          <t>SC</t>
        </is>
      </c>
      <c r="I59" s="7" t="inlineStr">
        <is>
          <t>Suspensão Concentrada (SC)</t>
        </is>
      </c>
      <c r="J59" s="7" t="inlineStr">
        <is>
          <t>Herbicida de pré ou pós-emergência</t>
        </is>
      </c>
      <c r="K59" s="7" t="inlineStr">
        <is>
          <t>Triazolopirimidina Sulfonanilida</t>
        </is>
      </c>
      <c r="L59" s="7" t="inlineStr">
        <is>
          <t>HRAC Grupo B (2) — Inibidores da ALS</t>
        </is>
      </c>
      <c r="M59" s="7" t="inlineStr">
        <is>
          <t>Inibição da enzima acetolactato sintase (ALS / AHAS)</t>
        </is>
      </c>
      <c r="N59" s="7" t="inlineStr">
        <is>
          <t>Categoria 4 / 5 — Pouco Tóxico (Conforme Bula ANVISA)</t>
        </is>
      </c>
      <c r="O59" s="7" t="inlineStr">
        <is>
          <t>Azul PMS Blue 293 C</t>
        </is>
      </c>
      <c r="P59" s="7" t="inlineStr">
        <is>
          <t>Classe II / III — Perigoso ao Meio Ambiente</t>
        </is>
      </c>
      <c r="Q59" s="9" t="n">
        <v>24</v>
      </c>
      <c r="R59" s="7" t="inlineStr">
        <is>
          <t>Terrestre / Aérea (Drones consultar bula)</t>
        </is>
      </c>
      <c r="S59" s="7" t="inlineStr">
        <is>
          <t>Sem antídoto específico; tratamento sintomático e descontaminação</t>
        </is>
      </c>
      <c r="T59" s="7" t="inlineStr">
        <is>
          <t>Corteva Agriscience</t>
        </is>
      </c>
      <c r="U59" s="10">
        <f>HYPERLINK("https://agrofit.agricultura.gov.br/agrofit_cons/principal_agrofit_cons", "Consulta Oficial AGROFIT/MAPA (Nº 0494)")</f>
        <v/>
      </c>
    </row>
    <row r="60" ht="22" customHeight="1">
      <c r="A60" s="11" t="n">
        <v>55</v>
      </c>
      <c r="B60" s="12" t="inlineStr">
        <is>
          <t>Nº 8813</t>
        </is>
      </c>
      <c r="C60" s="13" t="inlineStr">
        <is>
          <t>ORKESTRA 4X5L</t>
        </is>
      </c>
      <c r="D60" s="14" t="inlineStr">
        <is>
          <t>ORKESTRA</t>
        </is>
      </c>
      <c r="E60" s="13" t="inlineStr">
        <is>
          <t>Produto Formulado Comercial</t>
        </is>
      </c>
      <c r="F60" s="13" t="inlineStr">
        <is>
          <t>Defensivos</t>
        </is>
      </c>
      <c r="G60" s="13" t="inlineStr">
        <is>
          <t>Fungicida</t>
        </is>
      </c>
      <c r="H60" s="13" t="inlineStr">
        <is>
          <t>SC</t>
        </is>
      </c>
      <c r="I60" s="13" t="inlineStr">
        <is>
          <t>Suspensão Concentrada (SC)</t>
        </is>
      </c>
      <c r="J60" s="13" t="inlineStr">
        <is>
          <t>Fungicida preventivo e curativo foliar</t>
        </is>
      </c>
      <c r="K60" s="13" t="inlineStr">
        <is>
          <t>Estrobilurina (Metoxicarbamato)</t>
        </is>
      </c>
      <c r="L60" s="13" t="inlineStr">
        <is>
          <t>FRAC Grupo 11 (C3 — QoI)</t>
        </is>
      </c>
      <c r="M60" s="13" t="inlineStr">
        <is>
          <t>Inibidores da respiração mitocondrial no Complexo III (sítio Qo)</t>
        </is>
      </c>
      <c r="N60" s="13" t="inlineStr">
        <is>
          <t>Categoria 4 — Produto Pouco Tóxico (Conforme Bula ANVISA)</t>
        </is>
      </c>
      <c r="O60" s="13" t="inlineStr">
        <is>
          <t>Azul PMS Blue 293 C</t>
        </is>
      </c>
      <c r="P60" s="13" t="inlineStr">
        <is>
          <t>Classe II — Produto Muito Perigoso ao Meio Ambiente</t>
        </is>
      </c>
      <c r="Q60" s="15" t="n">
        <v>24</v>
      </c>
      <c r="R60" s="13" t="inlineStr">
        <is>
          <t>Terrestre / Aérea (Drones consultar bula)</t>
        </is>
      </c>
      <c r="S60" s="13" t="inlineStr">
        <is>
          <t>Sem antídoto específico; tratamento sintomático</t>
        </is>
      </c>
      <c r="T60" s="13" t="inlineStr">
        <is>
          <t>BASF S.A.</t>
        </is>
      </c>
      <c r="U60" s="16">
        <f>HYPERLINK("https://agrofit.agricultura.gov.br/agrofit_cons/principal_agrofit_cons", "Consulta Oficial AGROFIT/MAPA (Nº 8813)")</f>
        <v/>
      </c>
    </row>
    <row r="61" ht="22" customHeight="1">
      <c r="A61" s="5" t="n">
        <v>56</v>
      </c>
      <c r="B61" s="6" t="inlineStr">
        <is>
          <t>Nº 25119</t>
        </is>
      </c>
      <c r="C61" s="7" t="inlineStr">
        <is>
          <t>GLIFOSATO 72WG ALAMOS 4X5KG (IMP)</t>
        </is>
      </c>
      <c r="D61" s="8" t="inlineStr">
        <is>
          <t>GLIFOSATO 72WG ALAMOS</t>
        </is>
      </c>
      <c r="E61" s="7" t="inlineStr">
        <is>
          <t>Produto Formulado Comercial</t>
        </is>
      </c>
      <c r="F61" s="7" t="inlineStr">
        <is>
          <t>Defensivos</t>
        </is>
      </c>
      <c r="G61" s="7" t="inlineStr">
        <is>
          <t>Herbicida</t>
        </is>
      </c>
      <c r="H61" s="7" t="inlineStr">
        <is>
          <t>WG</t>
        </is>
      </c>
      <c r="I61" s="7" t="inlineStr">
        <is>
          <t>Grânulos Dispersíveis em Água (WG)</t>
        </is>
      </c>
      <c r="J61" s="7" t="inlineStr">
        <is>
          <t>Herbicida sistêmico de pós-emergência (seletivo condicional p/ OGM)</t>
        </is>
      </c>
      <c r="K61" s="7" t="inlineStr">
        <is>
          <t>Glicina substituída</t>
        </is>
      </c>
      <c r="L61" s="7" t="inlineStr">
        <is>
          <t>HRAC Grupo G (EPSPs)</t>
        </is>
      </c>
      <c r="M61" s="7" t="inlineStr">
        <is>
          <t>Inibidores da enzima EPSPs (Enoil Piruvil Shiquimato Fosfato Sintase)</t>
        </is>
      </c>
      <c r="N61" s="7" t="inlineStr">
        <is>
          <t>Categoria 5 — Produto Improvável de Causar Dano Agudo</t>
        </is>
      </c>
      <c r="O61" s="7" t="inlineStr">
        <is>
          <t>Azul Intenso</t>
        </is>
      </c>
      <c r="P61" s="7" t="inlineStr">
        <is>
          <t>Classe III / IV — Perigoso a Pouco Perigoso ao Meio Ambiente</t>
        </is>
      </c>
      <c r="Q61" s="9" t="n">
        <v>24</v>
      </c>
      <c r="R61" s="7" t="inlineStr">
        <is>
          <t>Terrestre / Aérea (Drones consultar bula)</t>
        </is>
      </c>
      <c r="S61" s="7" t="inlineStr">
        <is>
          <t>Sem antídoto específico (Atropina ineficaz); tratamento sintomático</t>
        </is>
      </c>
      <c r="T61" s="7" t="inlineStr">
        <is>
          <t>ALAMOS AGROQUÍMICA LTDA. / PERTERRA INSUMOS AGROPECUÁRIOS S.A.</t>
        </is>
      </c>
      <c r="U61" s="10">
        <f>HYPERLINK("https://www.adapar.pr.gov.br/Pagina/Agrotoxicos-Herbicidas", "Registro Oficial Glifosato 72WG Alamos (MAPA 25119)")</f>
        <v/>
      </c>
    </row>
    <row r="62" ht="22" customHeight="1">
      <c r="A62" s="11" t="n">
        <v>57</v>
      </c>
      <c r="B62" s="12" t="inlineStr">
        <is>
          <t>Nº 36518</t>
        </is>
      </c>
      <c r="C62" s="13" t="inlineStr">
        <is>
          <t>MAXIZATO 4X5KG</t>
        </is>
      </c>
      <c r="D62" s="14" t="inlineStr">
        <is>
          <t>MAXIZATO</t>
        </is>
      </c>
      <c r="E62" s="13" t="inlineStr">
        <is>
          <t>Produto Formulado Comercial</t>
        </is>
      </c>
      <c r="F62" s="13" t="inlineStr">
        <is>
          <t>Defensivos</t>
        </is>
      </c>
      <c r="G62" s="13" t="inlineStr">
        <is>
          <t>Herbicida</t>
        </is>
      </c>
      <c r="H62" s="13" t="inlineStr">
        <is>
          <t>WG</t>
        </is>
      </c>
      <c r="I62" s="13" t="inlineStr">
        <is>
          <t>Grânulos Dispersíveis em Água (WG)</t>
        </is>
      </c>
      <c r="J62" s="13" t="inlineStr">
        <is>
          <t>Herbicida sistêmico de pós-emergência (seletivo condicional p/ OGM)</t>
        </is>
      </c>
      <c r="K62" s="13" t="inlineStr">
        <is>
          <t>Glicina substituída</t>
        </is>
      </c>
      <c r="L62" s="13" t="inlineStr">
        <is>
          <t>HRAC Grupo G (EPSPs)</t>
        </is>
      </c>
      <c r="M62" s="13" t="inlineStr">
        <is>
          <t>Inibidores da enzima EPSPs (Enoil Piruvil Shiquimato Fosfato Sintase)</t>
        </is>
      </c>
      <c r="N62" s="13" t="inlineStr">
        <is>
          <t>Categoria 5 — Produto Improvável de Causar Dano Agudo</t>
        </is>
      </c>
      <c r="O62" s="13" t="inlineStr">
        <is>
          <t>Azul Intenso</t>
        </is>
      </c>
      <c r="P62" s="13" t="inlineStr">
        <is>
          <t>Classe III / IV — Perigoso a Pouco Perigoso ao Meio Ambiente</t>
        </is>
      </c>
      <c r="Q62" s="15" t="n">
        <v>24</v>
      </c>
      <c r="R62" s="13" t="inlineStr">
        <is>
          <t>Terrestre / Aérea (Drones consultar bula)</t>
        </is>
      </c>
      <c r="S62" s="13" t="inlineStr">
        <is>
          <t>Sem antídoto específico (Atropina ineficaz); tratamento sintomático</t>
        </is>
      </c>
      <c r="T62" s="13" t="inlineStr">
        <is>
          <t>RAINBOW DEFENSIVOS AGRÍCOLAS LTDA.</t>
        </is>
      </c>
      <c r="U62" s="16">
        <f>HYPERLINK("https://www.adapar.pr.gov.br/Pagina/Agrotoxicos-Herbicidas", "Registro Oficial Maxizato 720 WG (MAPA 36518)")</f>
        <v/>
      </c>
    </row>
    <row r="63" ht="22" customHeight="1">
      <c r="A63" s="5" t="n">
        <v>58</v>
      </c>
      <c r="B63" s="6" t="inlineStr">
        <is>
          <t>Nº 28520</t>
        </is>
      </c>
      <c r="C63" s="7" t="inlineStr">
        <is>
          <t>SENHA 720 WG 4X5KG (IMP) GG</t>
        </is>
      </c>
      <c r="D63" s="8" t="inlineStr">
        <is>
          <t>SENHA 720 WG</t>
        </is>
      </c>
      <c r="E63" s="7" t="inlineStr">
        <is>
          <t>Produto Formulado Comercial</t>
        </is>
      </c>
      <c r="F63" s="7" t="inlineStr">
        <is>
          <t>Defensivos</t>
        </is>
      </c>
      <c r="G63" s="7" t="inlineStr">
        <is>
          <t>Herbicida</t>
        </is>
      </c>
      <c r="H63" s="7" t="inlineStr">
        <is>
          <t>WG</t>
        </is>
      </c>
      <c r="I63" s="7" t="inlineStr">
        <is>
          <t>Grânulos Dispersíveis em Água (WG)</t>
        </is>
      </c>
      <c r="J63" s="7" t="inlineStr">
        <is>
          <t>Herbicida sistêmico de pós-emergência (seletivo condicional p/ OGM)</t>
        </is>
      </c>
      <c r="K63" s="7" t="inlineStr">
        <is>
          <t>Glicina substituída</t>
        </is>
      </c>
      <c r="L63" s="7" t="inlineStr">
        <is>
          <t>HRAC Grupo G (EPSPs)</t>
        </is>
      </c>
      <c r="M63" s="7" t="inlineStr">
        <is>
          <t>Inibidores da enzima EPSPs (Enoil Piruvil Shiquimato Fosfato Sintase)</t>
        </is>
      </c>
      <c r="N63" s="7" t="inlineStr">
        <is>
          <t>Categoria 5 — Produto Improvável de Causar Dano Agudo</t>
        </is>
      </c>
      <c r="O63" s="7" t="inlineStr">
        <is>
          <t>Azul Intenso</t>
        </is>
      </c>
      <c r="P63" s="7" t="inlineStr">
        <is>
          <t>Classe III — Produto Perigoso ao Meio Ambiente</t>
        </is>
      </c>
      <c r="Q63" s="9" t="n">
        <v>24</v>
      </c>
      <c r="R63" s="7" t="inlineStr">
        <is>
          <t>Terrestre / Aérea (Drones consultar bula)</t>
        </is>
      </c>
      <c r="S63" s="7" t="inlineStr">
        <is>
          <t>Sem antídoto específico (Atropina ineficaz); tratamento sintomático</t>
        </is>
      </c>
      <c r="T63" s="7" t="inlineStr">
        <is>
          <t>RAINBOW DEFENSIVOS AGRÍCOLAS LTDA.</t>
        </is>
      </c>
      <c r="U63" s="10">
        <f>HYPERLINK("https://agrofit.agricultura.gov.br/agrofit_cons/principal_agrofit_cons", "Consulta Oficial AGROFIT/MAPA (Nº 28520)")</f>
        <v/>
      </c>
    </row>
    <row r="64" ht="22" customHeight="1">
      <c r="A64" s="11" t="n">
        <v>59</v>
      </c>
      <c r="B64" s="12" t="inlineStr">
        <is>
          <t>Nº 13714</t>
        </is>
      </c>
      <c r="C64" s="13" t="inlineStr">
        <is>
          <t>WIPE OUT 1X20KG (IMP) WW</t>
        </is>
      </c>
      <c r="D64" s="14" t="inlineStr">
        <is>
          <t>WIPE OUT</t>
        </is>
      </c>
      <c r="E64" s="13" t="inlineStr">
        <is>
          <t>Produto Formulado Comercial</t>
        </is>
      </c>
      <c r="F64" s="13" t="inlineStr">
        <is>
          <t>Defensivos</t>
        </is>
      </c>
      <c r="G64" s="13" t="inlineStr">
        <is>
          <t>Herbicida</t>
        </is>
      </c>
      <c r="H64" s="13" t="inlineStr">
        <is>
          <t>WG</t>
        </is>
      </c>
      <c r="I64" s="13" t="inlineStr">
        <is>
          <t>Grânulos Dispersíveis em Água (WG)</t>
        </is>
      </c>
      <c r="J64" s="13" t="inlineStr">
        <is>
          <t>Herbicida sistêmico de pós-emergência (seletivo condicional p/ OGM)</t>
        </is>
      </c>
      <c r="K64" s="13" t="inlineStr">
        <is>
          <t>Glicina substituída</t>
        </is>
      </c>
      <c r="L64" s="13" t="inlineStr">
        <is>
          <t>HRAC Grupo G (EPSPs)</t>
        </is>
      </c>
      <c r="M64" s="13" t="inlineStr">
        <is>
          <t>Inibidores da enzima EPSPs (Enoil Piruvil Shiquimato Fosfato Sintase)</t>
        </is>
      </c>
      <c r="N64" s="13" t="inlineStr">
        <is>
          <t>Categoria 5 — Produto Improvável de Causar Dano Agudo</t>
        </is>
      </c>
      <c r="O64" s="13" t="inlineStr">
        <is>
          <t>Azul Intenso</t>
        </is>
      </c>
      <c r="P64" s="13" t="inlineStr">
        <is>
          <t>Classe III — Produto Perigoso ao Meio Ambiente</t>
        </is>
      </c>
      <c r="Q64" s="15" t="n">
        <v>24</v>
      </c>
      <c r="R64" s="13" t="inlineStr">
        <is>
          <t>Terrestre / Aérea (Drones consultar bula)</t>
        </is>
      </c>
      <c r="S64" s="13" t="inlineStr">
        <is>
          <t>Sem antídoto específico (Atropina ineficaz); tratamento sintomático</t>
        </is>
      </c>
      <c r="T64" s="13" t="inlineStr">
        <is>
          <t>RAINBOW DEFENSIVOS AGRÍCOLAS LTDA.</t>
        </is>
      </c>
      <c r="U64" s="16">
        <f>HYPERLINK("https://agrofit.agricultura.gov.br/agrofit_cons/principal_agrofit_cons", "Consulta Oficial AGROFIT/MAPA (Nº 13714)")</f>
        <v/>
      </c>
    </row>
    <row r="65" ht="22" customHeight="1">
      <c r="A65" s="5" t="n">
        <v>60</v>
      </c>
      <c r="B65" s="6" t="inlineStr">
        <is>
          <t>Nº 13714</t>
        </is>
      </c>
      <c r="C65" s="7" t="inlineStr">
        <is>
          <t>WIPE OUT 4X5KG (IMP) WW</t>
        </is>
      </c>
      <c r="D65" s="8" t="inlineStr">
        <is>
          <t>WIPE OUT</t>
        </is>
      </c>
      <c r="E65" s="7" t="inlineStr">
        <is>
          <t>Produto Formulado Comercial</t>
        </is>
      </c>
      <c r="F65" s="7" t="inlineStr">
        <is>
          <t>Defensivos</t>
        </is>
      </c>
      <c r="G65" s="7" t="inlineStr">
        <is>
          <t>Herbicida</t>
        </is>
      </c>
      <c r="H65" s="7" t="inlineStr">
        <is>
          <t>WG</t>
        </is>
      </c>
      <c r="I65" s="7" t="inlineStr">
        <is>
          <t>Grânulos Dispersíveis em Água (WG)</t>
        </is>
      </c>
      <c r="J65" s="7" t="inlineStr">
        <is>
          <t>Herbicida sistêmico de pós-emergência (seletivo condicional p/ OGM)</t>
        </is>
      </c>
      <c r="K65" s="7" t="inlineStr">
        <is>
          <t>Glicina substituída</t>
        </is>
      </c>
      <c r="L65" s="7" t="inlineStr">
        <is>
          <t>HRAC Grupo G (EPSPs)</t>
        </is>
      </c>
      <c r="M65" s="7" t="inlineStr">
        <is>
          <t>Inibidores da enzima EPSPs (Enoil Piruvil Shiquimato Fosfato Sintase)</t>
        </is>
      </c>
      <c r="N65" s="7" t="inlineStr">
        <is>
          <t>Categoria 5 — Produto Improvável de Causar Dano Agudo</t>
        </is>
      </c>
      <c r="O65" s="7" t="inlineStr">
        <is>
          <t>Azul Intenso</t>
        </is>
      </c>
      <c r="P65" s="7" t="inlineStr">
        <is>
          <t>Classe III — Produto Perigoso ao Meio Ambiente</t>
        </is>
      </c>
      <c r="Q65" s="9" t="n">
        <v>24</v>
      </c>
      <c r="R65" s="7" t="inlineStr">
        <is>
          <t>Terrestre / Aérea (Drones consultar bula)</t>
        </is>
      </c>
      <c r="S65" s="7" t="inlineStr">
        <is>
          <t>Sem antídoto específico (Atropina ineficaz); tratamento sintomático</t>
        </is>
      </c>
      <c r="T65" s="7" t="inlineStr">
        <is>
          <t>RAINBOW DEFENSIVOS AGRÍCOLAS LTDA.</t>
        </is>
      </c>
      <c r="U65" s="10">
        <f>HYPERLINK("https://agrofit.agricultura.gov.br/agrofit_cons/principal_agrofit_cons", "Consulta Oficial AGROFIT/MAPA (Nº 13714)")</f>
        <v/>
      </c>
    </row>
    <row r="66" ht="22" customHeight="1">
      <c r="A66" s="11" t="n">
        <v>61</v>
      </c>
      <c r="B66" s="12" t="inlineStr">
        <is>
          <t>Nº 34221</t>
        </is>
      </c>
      <c r="C66" s="13" t="inlineStr">
        <is>
          <t>SAPEK MAX 4X5KG</t>
        </is>
      </c>
      <c r="D66" s="14" t="inlineStr">
        <is>
          <t>SAPEK MAX</t>
        </is>
      </c>
      <c r="E66" s="13" t="inlineStr">
        <is>
          <t>Produto Formulado Comercial</t>
        </is>
      </c>
      <c r="F66" s="13" t="inlineStr">
        <is>
          <t>Defensivos</t>
        </is>
      </c>
      <c r="G66" s="13" t="inlineStr">
        <is>
          <t>Herbicida</t>
        </is>
      </c>
      <c r="H66" s="13" t="inlineStr">
        <is>
          <t>WG</t>
        </is>
      </c>
      <c r="I66" s="13" t="inlineStr">
        <is>
          <t>Grânulos Dispersíveis em Água (WG)</t>
        </is>
      </c>
      <c r="J66" s="13" t="inlineStr">
        <is>
          <t>Herbicida de contato não seletivo em pós-emergência (seletivo p/ OGM LibertyLink)</t>
        </is>
      </c>
      <c r="K66" s="13" t="inlineStr">
        <is>
          <t>Homoalanina substituída (Ácido fosfínico)</t>
        </is>
      </c>
      <c r="L66" s="13" t="inlineStr">
        <is>
          <t>HRAC Grupo H (10) — Inibidores da Glutamina Sintetase</t>
        </is>
      </c>
      <c r="M66" s="13" t="inlineStr">
        <is>
          <t>Inibição da enzima glutamina sintetase (acúmulo de amônia intracelular)</t>
        </is>
      </c>
      <c r="N66" s="13" t="inlineStr">
        <is>
          <t>Categoria 4 — Produto Pouco Tóxico</t>
        </is>
      </c>
      <c r="O66" s="13" t="inlineStr">
        <is>
          <t>Azul PMS Blue 293 C</t>
        </is>
      </c>
      <c r="P66" s="13" t="inlineStr">
        <is>
          <t>Classe III — Produto Perigoso ao Meio Ambiente</t>
        </is>
      </c>
      <c r="Q66" s="15" t="n">
        <v>24</v>
      </c>
      <c r="R66" s="13" t="inlineStr">
        <is>
          <t>Terrestre / Aérea (Drones consultar bula)</t>
        </is>
      </c>
      <c r="S66" s="13" t="inlineStr">
        <is>
          <t>Sem antídoto específico; monitorar SNC por 48h e suporte ventilatório</t>
        </is>
      </c>
      <c r="T66" s="13" t="inlineStr">
        <is>
          <t>RAINBOW DEFENSIVOS AGRÍCOLAS LTDA.</t>
        </is>
      </c>
      <c r="U66" s="16">
        <f>HYPERLINK("https://www.adapar.pr.gov.br/Pagina/Agrotoxicos-Herbicidas", "Registro Oficial Sapek Max 880 WG (MAPA 34221)")</f>
        <v/>
      </c>
    </row>
    <row r="67" ht="22" customHeight="1">
      <c r="A67" s="5" t="n">
        <v>62</v>
      </c>
      <c r="B67" s="6" t="inlineStr">
        <is>
          <t>Nº 3518</t>
        </is>
      </c>
      <c r="C67" s="7" t="inlineStr">
        <is>
          <t>VERDICT MAX 1X20L</t>
        </is>
      </c>
      <c r="D67" s="8" t="inlineStr">
        <is>
          <t>VERDICT MAX</t>
        </is>
      </c>
      <c r="E67" s="7" t="inlineStr">
        <is>
          <t>Produto Formulado Comercial</t>
        </is>
      </c>
      <c r="F67" s="7" t="inlineStr">
        <is>
          <t>Defensivos</t>
        </is>
      </c>
      <c r="G67" s="7" t="inlineStr">
        <is>
          <t>Herbicida</t>
        </is>
      </c>
      <c r="H67" s="7" t="inlineStr">
        <is>
          <t>EC</t>
        </is>
      </c>
      <c r="I67" s="7" t="inlineStr">
        <is>
          <t>Concentrado Emulsionável (EC)</t>
        </is>
      </c>
      <c r="J67" s="7" t="inlineStr">
        <is>
          <t>Herbicida de pré ou pós-emergência</t>
        </is>
      </c>
      <c r="K67" s="7" t="inlineStr">
        <is>
          <t>Ariloxifenoxipropionato (FOP)</t>
        </is>
      </c>
      <c r="L67" s="7" t="inlineStr">
        <is>
          <t>HRAC Grupo A (1) — Inibidores da ACCase</t>
        </is>
      </c>
      <c r="M67" s="7" t="inlineStr">
        <is>
          <t>Inibição da enzima acetil-CoA carboxilase (síntese de ácidos graxos)</t>
        </is>
      </c>
      <c r="N67" s="7" t="inlineStr">
        <is>
          <t>Categoria 4 / 5 — Pouco Tóxico (Conforme Bula ANVISA)</t>
        </is>
      </c>
      <c r="O67" s="7" t="inlineStr">
        <is>
          <t>Azul PMS Blue 293 C</t>
        </is>
      </c>
      <c r="P67" s="7" t="inlineStr">
        <is>
          <t>Classe II / III — Perigoso ao Meio Ambiente</t>
        </is>
      </c>
      <c r="Q67" s="9" t="n">
        <v>24</v>
      </c>
      <c r="R67" s="7" t="inlineStr">
        <is>
          <t>Terrestre / Aérea (Drones consultar bula)</t>
        </is>
      </c>
      <c r="S67" s="7" t="inlineStr">
        <is>
          <t>Sem antídoto específico; tratamento sintomático e descontaminação</t>
        </is>
      </c>
      <c r="T67" s="7" t="inlineStr">
        <is>
          <t>Corteva Agriscience</t>
        </is>
      </c>
      <c r="U67" s="10">
        <f>HYPERLINK("https://agrofit.agricultura.gov.br/agrofit_cons/principal_agrofit_cons", "Consulta Oficial AGROFIT/MAPA (Nº 3518)")</f>
        <v/>
      </c>
    </row>
    <row r="68" ht="22" customHeight="1">
      <c r="A68" s="11" t="n">
        <v>63</v>
      </c>
      <c r="B68" s="12" t="inlineStr">
        <is>
          <t>Nº 14518</t>
        </is>
      </c>
      <c r="C68" s="13" t="inlineStr">
        <is>
          <t>SOYACLEAN XTRA 2X5KG (IMP)</t>
        </is>
      </c>
      <c r="D68" s="14" t="inlineStr">
        <is>
          <t>SOYACLEAN XTRA</t>
        </is>
      </c>
      <c r="E68" s="13" t="inlineStr">
        <is>
          <t>Produto Formulado Comercial</t>
        </is>
      </c>
      <c r="F68" s="13" t="inlineStr">
        <is>
          <t>Defensivos</t>
        </is>
      </c>
      <c r="G68" s="13" t="inlineStr">
        <is>
          <t>Herbicida</t>
        </is>
      </c>
      <c r="H68" s="13" t="inlineStr">
        <is>
          <t>WG</t>
        </is>
      </c>
      <c r="I68" s="13" t="inlineStr">
        <is>
          <t>Grânulos Dispersíveis em Água (WG)</t>
        </is>
      </c>
      <c r="J68" s="13" t="inlineStr">
        <is>
          <t>Herbicida de pré ou pós-emergência</t>
        </is>
      </c>
      <c r="K68" s="13" t="inlineStr">
        <is>
          <t>Imidazolinona</t>
        </is>
      </c>
      <c r="L68" s="13" t="inlineStr">
        <is>
          <t>HRAC Grupo B (2) — Inibidores da ALS</t>
        </is>
      </c>
      <c r="M68" s="13" t="inlineStr">
        <is>
          <t>Inibição da enzima acetolactato sintase (ALS / AHAS)</t>
        </is>
      </c>
      <c r="N68" s="13" t="inlineStr">
        <is>
          <t>Categoria 4 / 5 — Pouco Tóxico (Conforme Bula ANVISA)</t>
        </is>
      </c>
      <c r="O68" s="13" t="inlineStr">
        <is>
          <t>Azul PMS Blue 293 C</t>
        </is>
      </c>
      <c r="P68" s="13" t="inlineStr">
        <is>
          <t>Classe II / III — Perigoso ao Meio Ambiente</t>
        </is>
      </c>
      <c r="Q68" s="15" t="n">
        <v>24</v>
      </c>
      <c r="R68" s="13" t="inlineStr">
        <is>
          <t>Terrestre / Aérea (Drones consultar bula)</t>
        </is>
      </c>
      <c r="S68" s="13" t="inlineStr">
        <is>
          <t>Sem antídoto específico; tratamento sintomático e descontaminação</t>
        </is>
      </c>
      <c r="T68" s="13" t="inlineStr">
        <is>
          <t>RAINBOW DEFENSIVOS AGRÍCOLAS LTDA.</t>
        </is>
      </c>
      <c r="U68" s="16">
        <f>HYPERLINK("https://www.adapar.pr.gov.br/Pagina/Agrotoxicos-Herbicidas", "Registro Oficial Soyaclean Xtra 700 WG (MAPA 14518)")</f>
        <v/>
      </c>
    </row>
    <row r="69" ht="22" customHeight="1">
      <c r="A69" s="5" t="n">
        <v>64</v>
      </c>
      <c r="B69" s="6" t="inlineStr">
        <is>
          <t>SIPEAGRO (UF-XXXXX)</t>
        </is>
      </c>
      <c r="C69" s="7" t="inlineStr">
        <is>
          <t>AGCN NITROBIOT 4X2L</t>
        </is>
      </c>
      <c r="D69" s="8" t="inlineStr">
        <is>
          <t>AGCN NITROBIOT</t>
        </is>
      </c>
      <c r="E69" s="7" t="inlineStr">
        <is>
          <t>Inoculante / Biológico</t>
        </is>
      </c>
      <c r="F69" s="7" t="inlineStr">
        <is>
          <t>Inoculantes e Biológicos</t>
        </is>
      </c>
      <c r="G69" s="7" t="inlineStr">
        <is>
          <t>Inoculante Fixador de Nitrogênio</t>
        </is>
      </c>
      <c r="H69" s="7" t="inlineStr">
        <is>
          <t>SC</t>
        </is>
      </c>
      <c r="I69" s="7" t="inlineStr">
        <is>
          <t>Suspensão Concentrada (SC)</t>
        </is>
      </c>
      <c r="J69" s="7" t="inlineStr">
        <is>
          <t>Tratamento de sementes, sulco de plantio ou pulverização foliar</t>
        </is>
      </c>
      <c r="K69" s="7" t="inlineStr">
        <is>
          <t>Inoculante / Agente Biológico de Controle</t>
        </is>
      </c>
      <c r="L69" s="7" t="inlineStr">
        <is>
          <t>Bioinsumo Agrícola</t>
        </is>
      </c>
      <c r="M69" s="7" t="inlineStr">
        <is>
          <t>Simbiose radicular, antagonismo biológico ou controle entomopatogênico</t>
        </is>
      </c>
      <c r="N69" s="7" t="inlineStr">
        <is>
          <t>Categoria 5 / Isento (Bioinsumo)</t>
        </is>
      </c>
      <c r="O69" s="7" t="inlineStr">
        <is>
          <t>Azul Intenso</t>
        </is>
      </c>
      <c r="P69" s="7" t="inlineStr">
        <is>
          <t>Classe IV — Produto Pouco Perigoso ao Meio Ambiente</t>
        </is>
      </c>
      <c r="Q69" s="9" t="n">
        <v>0</v>
      </c>
      <c r="R69" s="7" t="inlineStr">
        <is>
          <t>Aplicação Dirigida / TS / Solo</t>
        </is>
      </c>
      <c r="S69" s="7" t="inlineStr">
        <is>
          <t>Tratamento sintomático</t>
        </is>
      </c>
      <c r="T69" s="7" t="inlineStr">
        <is>
          <t>Estabelecimento Produtor SIPEAGRO/MAPA</t>
        </is>
      </c>
      <c r="U69" s="10">
        <f>HYPERLINK("https://www.gov.br/agricultura/pt-br/assuntos/insumos-agropecuarios/insumos-agricolas/fertilizantes", "Portal SIPEAGRO / MAPA — Fertilizantes e Bioinsumos")</f>
        <v/>
      </c>
    </row>
    <row r="70" ht="22" customHeight="1">
      <c r="A70" s="11" t="n">
        <v>65</v>
      </c>
      <c r="B70" s="12" t="inlineStr">
        <is>
          <t>SIPEAGRO (UF-XXXXX)</t>
        </is>
      </c>
      <c r="C70" s="13" t="inlineStr">
        <is>
          <t>AGCN RIZODERMA CX 10X0,5KG</t>
        </is>
      </c>
      <c r="D70" s="14" t="inlineStr">
        <is>
          <t>AGCN RIZODERMA CX 10X0,5KG</t>
        </is>
      </c>
      <c r="E70" s="13" t="inlineStr">
        <is>
          <t>Fertilizante Mineral / Organomineral</t>
        </is>
      </c>
      <c r="F70" s="13" t="inlineStr">
        <is>
          <t>Fertilizantes</t>
        </is>
      </c>
      <c r="G70" s="13" t="inlineStr">
        <is>
          <t>Fertilizante Foliar / Micronutrientes</t>
        </is>
      </c>
      <c r="H70" s="13" t="inlineStr">
        <is>
          <t>Granulado</t>
        </is>
      </c>
      <c r="I70" s="13" t="inlineStr">
        <is>
          <t>Formulação Padrão (Granulado / Solúvel / Suspensão)</t>
        </is>
      </c>
      <c r="J70" s="13" t="inlineStr">
        <is>
          <t>Aplicação via solo, fertirrigação ou adubação foliar</t>
        </is>
      </c>
      <c r="K70" s="13" t="inlineStr">
        <is>
          <t>Fertilizante Mineral / Organomineral (Lei nº 6.894/1980)</t>
        </is>
      </c>
      <c r="L70" s="13" t="inlineStr">
        <is>
          <t>Nutrição Vegetal SIPEAGRO</t>
        </is>
      </c>
      <c r="M70" s="13" t="inlineStr">
        <is>
          <t>Fornecimento de macro e micronutrientes essenciais ao metabolismo vegetal</t>
        </is>
      </c>
      <c r="N70" s="13" t="inlineStr">
        <is>
          <t>Isento ANVISA (Produto Fertilizante Registrado no SIPEAGRO/MAPA)</t>
        </is>
      </c>
      <c r="O70" s="13" t="inlineStr">
        <is>
          <t>Não Aplicável (Fertilizante)</t>
        </is>
      </c>
      <c r="P70" s="13" t="inlineStr">
        <is>
          <t>Baixo Potencial Poluidor (Uso conforme recomendação agronômica)</t>
        </is>
      </c>
      <c r="Q70" s="15" t="n">
        <v>0</v>
      </c>
      <c r="R70" s="13" t="inlineStr">
        <is>
          <t>Aplicação Dirigida / TS / Solo</t>
        </is>
      </c>
      <c r="S70" s="13" t="inlineStr">
        <is>
          <t>Tratamento sintomático em caso de ingestão acidental</t>
        </is>
      </c>
      <c r="T70" s="13" t="inlineStr">
        <is>
          <t>Estabelecimento Produtor SIPEAGRO/MAPA</t>
        </is>
      </c>
      <c r="U70" s="16">
        <f>HYPERLINK("https://www.gov.br/agricultura/pt-br/assuntos/insumos-agropecuarios/insumos-agricolas/fertilizantes", "Portal SIPEAGRO / MAPA — Fertilizantes e Bioinsumos")</f>
        <v/>
      </c>
    </row>
    <row r="71" ht="22" customHeight="1">
      <c r="A71" s="5" t="n">
        <v>66</v>
      </c>
      <c r="B71" s="6" t="inlineStr">
        <is>
          <t>SIPEAGRO (UF-XXXXX)</t>
        </is>
      </c>
      <c r="C71" s="7" t="inlineStr">
        <is>
          <t>AGCN RIZOFOS 4X2L (IMP)</t>
        </is>
      </c>
      <c r="D71" s="8" t="inlineStr">
        <is>
          <t>AGCN RIZOFOS</t>
        </is>
      </c>
      <c r="E71" s="7" t="inlineStr">
        <is>
          <t>Inoculante / Biológico</t>
        </is>
      </c>
      <c r="F71" s="7" t="inlineStr">
        <is>
          <t>Inoculantes e Biológicos</t>
        </is>
      </c>
      <c r="G71" s="7" t="inlineStr">
        <is>
          <t>Inoculante Solubilizador de Fósforo / Promotor de Crescimento</t>
        </is>
      </c>
      <c r="H71" s="7" t="inlineStr">
        <is>
          <t>SC</t>
        </is>
      </c>
      <c r="I71" s="7" t="inlineStr">
        <is>
          <t>Suspensão Concentrada (SC)</t>
        </is>
      </c>
      <c r="J71" s="7" t="inlineStr">
        <is>
          <t>Tratamento de sementes, sulco de plantio ou pulverização foliar</t>
        </is>
      </c>
      <c r="K71" s="7" t="inlineStr">
        <is>
          <t>Inoculante / Agente Biológico de Controle</t>
        </is>
      </c>
      <c r="L71" s="7" t="inlineStr">
        <is>
          <t>Bioinsumo Agrícola</t>
        </is>
      </c>
      <c r="M71" s="7" t="inlineStr">
        <is>
          <t>Simbiose radicular, antagonismo biológico ou controle entomopatogênico</t>
        </is>
      </c>
      <c r="N71" s="7" t="inlineStr">
        <is>
          <t>Categoria 5 / Isento (Bioinsumo)</t>
        </is>
      </c>
      <c r="O71" s="7" t="inlineStr">
        <is>
          <t>Azul Intenso</t>
        </is>
      </c>
      <c r="P71" s="7" t="inlineStr">
        <is>
          <t>Classe IV — Produto Pouco Perigoso ao Meio Ambiente</t>
        </is>
      </c>
      <c r="Q71" s="9" t="n">
        <v>0</v>
      </c>
      <c r="R71" s="7" t="inlineStr">
        <is>
          <t>Aplicação Dirigida / TS / Solo</t>
        </is>
      </c>
      <c r="S71" s="7" t="inlineStr">
        <is>
          <t>Tratamento sintomático</t>
        </is>
      </c>
      <c r="T71" s="7" t="inlineStr">
        <is>
          <t>Estabelecimento Produtor SIPEAGRO/MAPA</t>
        </is>
      </c>
      <c r="U71" s="10">
        <f>HYPERLINK("https://www.gov.br/agricultura/pt-br/assuntos/insumos-agropecuarios/insumos-agricolas/fertilizantes", "Portal SIPEAGRO / MAPA — Fertilizantes e Bioinsumos")</f>
        <v/>
      </c>
    </row>
    <row r="72" ht="22" customHeight="1">
      <c r="A72" s="11" t="n">
        <v>67</v>
      </c>
      <c r="B72" s="12" t="inlineStr">
        <is>
          <t>SIPEAGRO (UF-XXXXX)</t>
        </is>
      </c>
      <c r="C72" s="13" t="inlineStr">
        <is>
          <t>AGCN RIZOSPIRILLUM CX 14X1,5L</t>
        </is>
      </c>
      <c r="D72" s="14" t="inlineStr">
        <is>
          <t>AGCN RIZOSPIRILLUM CX 14X1,5L</t>
        </is>
      </c>
      <c r="E72" s="13" t="inlineStr">
        <is>
          <t>Inoculante / Biológico</t>
        </is>
      </c>
      <c r="F72" s="13" t="inlineStr">
        <is>
          <t>Inoculantes e Biológicos</t>
        </is>
      </c>
      <c r="G72" s="13" t="inlineStr">
        <is>
          <t>Inoculante Fixador de Nitrogênio</t>
        </is>
      </c>
      <c r="H72" s="13" t="inlineStr">
        <is>
          <t>Líquido</t>
        </is>
      </c>
      <c r="I72" s="13" t="inlineStr">
        <is>
          <t>Formulação Padrão (Líquido / Turfoso)</t>
        </is>
      </c>
      <c r="J72" s="13" t="inlineStr">
        <is>
          <t>Inoculante líquido/turfoso para tratamento de sementes e sulco</t>
        </is>
      </c>
      <c r="K72" s="13" t="inlineStr">
        <is>
          <t>Bactéria Diazotrófica Fixadora de Nitrogênio e Promotora de Crescimento</t>
        </is>
      </c>
      <c r="L72" s="13" t="inlineStr">
        <is>
          <t>Inoculante Biológico — Lei nº 6.894/1980</t>
        </is>
      </c>
      <c r="M72" s="13" t="inlineStr">
        <is>
          <t>Fixação biológica de N2 atmosférico e síntese de fitormônios (AIA)</t>
        </is>
      </c>
      <c r="N72" s="13" t="inlineStr">
        <is>
          <t>Isento (Inoculante Biológico SIPEAGRO)</t>
        </is>
      </c>
      <c r="O72" s="13" t="inlineStr">
        <is>
          <t>Não Aplicável (Inoculante)</t>
        </is>
      </c>
      <c r="P72" s="13" t="inlineStr">
        <is>
          <t>Classe IV — Produto Pouco Perigoso ao Meio Ambiente</t>
        </is>
      </c>
      <c r="Q72" s="15" t="n">
        <v>0</v>
      </c>
      <c r="R72" s="13" t="inlineStr">
        <is>
          <t>Aplicação Dirigida / TS / Solo</t>
        </is>
      </c>
      <c r="S72" s="13" t="inlineStr">
        <is>
          <t>Não aplicável (Inoculante biológico não tóxico)</t>
        </is>
      </c>
      <c r="T72" s="13" t="inlineStr">
        <is>
          <t>Estabelecimento Produtor SIPEAGRO/MAPA</t>
        </is>
      </c>
      <c r="U72" s="16">
        <f>HYPERLINK("https://www.gov.br/agricultura/pt-br/assuntos/insumos-agropecuarios/insumos-agricolas/fertilizantes", "Portal SIPEAGRO / MAPA — Fertilizantes e Bioinsumos")</f>
        <v/>
      </c>
    </row>
    <row r="73" ht="22" customHeight="1">
      <c r="A73" s="5" t="n">
        <v>68</v>
      </c>
      <c r="B73" s="6" t="inlineStr">
        <is>
          <t>ISENTO (ATO 104/2017)</t>
        </is>
      </c>
      <c r="C73" s="7" t="inlineStr">
        <is>
          <t>AGCN RIZOSPRAY EXTREMO 4X5L</t>
        </is>
      </c>
      <c r="D73" s="8" t="inlineStr">
        <is>
          <t>AGCN RIZOSPRAY EXTREMO</t>
        </is>
      </c>
      <c r="E73" s="7" t="inlineStr">
        <is>
          <t>Adjuvante / Espalhante Adesivo</t>
        </is>
      </c>
      <c r="F73" s="7" t="inlineStr">
        <is>
          <t>Adjuvantes</t>
        </is>
      </c>
      <c r="G73" s="7" t="inlineStr">
        <is>
          <t>Óleo Vegetal / Éster Metílico / D-Limoneno Adjuvante</t>
        </is>
      </c>
      <c r="H73" s="7" t="inlineStr">
        <is>
          <t>EC</t>
        </is>
      </c>
      <c r="I73" s="7" t="inlineStr">
        <is>
          <t>Concentrado Emulsionável (EC)</t>
        </is>
      </c>
      <c r="J73" s="7" t="inlineStr">
        <is>
          <t>Aditivo físico-químico para calda de pulverização</t>
        </is>
      </c>
      <c r="K73" s="7" t="inlineStr">
        <is>
          <t>Éster Metílico / Hidrocarboneto Parafínico / Tensoativo Siliconado</t>
        </is>
      </c>
      <c r="L73" s="7" t="inlineStr">
        <is>
          <t>Adjuvante Tecnológico de Pulverização</t>
        </is>
      </c>
      <c r="M73" s="7" t="inlineStr">
        <is>
          <t>Redução da tensão superficial, espalhamento, anti-deriva e penetração cuticular</t>
        </is>
      </c>
      <c r="N73" s="7" t="inlineStr">
        <is>
          <t>Isento / Ato SDA nº 104/2017 (ou Categoria 5 quando registrado)</t>
        </is>
      </c>
      <c r="O73" s="7" t="inlineStr">
        <is>
          <t>Azul / Isento</t>
        </is>
      </c>
      <c r="P73" s="7" t="inlineStr">
        <is>
          <t>Classe IV — Pouco Perigoso ao Meio Ambiente</t>
        </is>
      </c>
      <c r="Q73" s="9" t="n">
        <v>24</v>
      </c>
      <c r="R73" s="7" t="inlineStr">
        <is>
          <t>Terrestre / Aérea (Drones consultar bula)</t>
        </is>
      </c>
      <c r="S73" s="7" t="inlineStr">
        <is>
          <t>Tratamento sintomático; evitar indução de vômito em derivados de petróleo</t>
        </is>
      </c>
      <c r="T73" s="7" t="inlineStr">
        <is>
          <t>Dispensado de Registro (Ato SDA nº 104/2017)</t>
        </is>
      </c>
      <c r="U73" s="10">
        <f>HYPERLINK("https://www.gov.br/agricultura/pt-br/assuntos/insumos-agropecuarios/insumos-agricolas/agrotoxicos/legislacao", "Ato SDA/MAPA nº 104/2017 — Adjuvantes Agrícolas")</f>
        <v/>
      </c>
    </row>
    <row r="74" ht="22" customHeight="1">
      <c r="A74" s="11" t="n">
        <v>69</v>
      </c>
      <c r="B74" s="12" t="inlineStr">
        <is>
          <t>ISENTO (ATO 104/2017)</t>
        </is>
      </c>
      <c r="C74" s="13" t="inlineStr">
        <is>
          <t>AGCN SILWET AG 4X5L</t>
        </is>
      </c>
      <c r="D74" s="14" t="inlineStr">
        <is>
          <t>AGCN SILWET AG</t>
        </is>
      </c>
      <c r="E74" s="13" t="inlineStr">
        <is>
          <t>Adjuvante / Espalhante Adesivo</t>
        </is>
      </c>
      <c r="F74" s="13" t="inlineStr">
        <is>
          <t>Adjuvantes</t>
        </is>
      </c>
      <c r="G74" s="13" t="inlineStr">
        <is>
          <t>Adjuvante Espalhante / Surfactante / Redutor de pH e Deriva</t>
        </is>
      </c>
      <c r="H74" s="13" t="inlineStr">
        <is>
          <t>EC</t>
        </is>
      </c>
      <c r="I74" s="13" t="inlineStr">
        <is>
          <t>Concentrado Emulsionável (EC)</t>
        </is>
      </c>
      <c r="J74" s="13" t="inlineStr">
        <is>
          <t>Aditivo físico-químico para calda de pulverização</t>
        </is>
      </c>
      <c r="K74" s="13" t="inlineStr">
        <is>
          <t>Éster Metílico / Hidrocarboneto Parafínico / Tensoativo Siliconado</t>
        </is>
      </c>
      <c r="L74" s="13" t="inlineStr">
        <is>
          <t>Adjuvante Tecnológico de Pulverização</t>
        </is>
      </c>
      <c r="M74" s="13" t="inlineStr">
        <is>
          <t>Redução da tensão superficial, espalhamento, anti-deriva e penetração cuticular</t>
        </is>
      </c>
      <c r="N74" s="13" t="inlineStr">
        <is>
          <t>Isento / Ato SDA nº 104/2017 (ou Categoria 5 quando registrado)</t>
        </is>
      </c>
      <c r="O74" s="13" t="inlineStr">
        <is>
          <t>Azul / Isento</t>
        </is>
      </c>
      <c r="P74" s="13" t="inlineStr">
        <is>
          <t>Classe IV — Pouco Perigoso ao Meio Ambiente</t>
        </is>
      </c>
      <c r="Q74" s="15" t="n">
        <v>24</v>
      </c>
      <c r="R74" s="13" t="inlineStr">
        <is>
          <t>Terrestre / Aérea (Drones consultar bula)</t>
        </is>
      </c>
      <c r="S74" s="13" t="inlineStr">
        <is>
          <t>Tratamento sintomático; evitar indução de vômito em derivados de petróleo</t>
        </is>
      </c>
      <c r="T74" s="13" t="inlineStr">
        <is>
          <t>Dispensado de Registro (Ato SDA nº 104/2017)</t>
        </is>
      </c>
      <c r="U74" s="16">
        <f>HYPERLINK("https://www.gov.br/agricultura/pt-br/assuntos/insumos-agropecuarios/insumos-agricolas/agrotoxicos/legislacao", "Ato SDA/MAPA nº 104/2017 — Adjuvantes Agrícolas")</f>
        <v/>
      </c>
    </row>
    <row r="75" ht="22" customHeight="1">
      <c r="A75" s="5" t="n">
        <v>70</v>
      </c>
      <c r="B75" s="6" t="inlineStr">
        <is>
          <t>SIPEAGRO (UF-XXXXX)</t>
        </is>
      </c>
      <c r="C75" s="7" t="inlineStr">
        <is>
          <t>BIOMAX AZUM 5X1.8L</t>
        </is>
      </c>
      <c r="D75" s="8" t="inlineStr">
        <is>
          <t>BIOMAX AZUM 5X1.8L</t>
        </is>
      </c>
      <c r="E75" s="7" t="inlineStr">
        <is>
          <t>Inoculante / Biológico</t>
        </is>
      </c>
      <c r="F75" s="7" t="inlineStr">
        <is>
          <t>Inoculantes e Biológicos</t>
        </is>
      </c>
      <c r="G75" s="7" t="inlineStr">
        <is>
          <t>Inoculante Fixador de Nitrogênio</t>
        </is>
      </c>
      <c r="H75" s="7" t="inlineStr">
        <is>
          <t>Líquido</t>
        </is>
      </c>
      <c r="I75" s="7" t="inlineStr">
        <is>
          <t>Formulação Padrão (Líquido / Turfoso)</t>
        </is>
      </c>
      <c r="J75" s="7" t="inlineStr">
        <is>
          <t>Inoculante líquido/turfoso para tratamento de sementes e sulco</t>
        </is>
      </c>
      <c r="K75" s="7" t="inlineStr">
        <is>
          <t>Bactéria Diazotrófica Fixadora de Nitrogênio e Promotora de Crescimento</t>
        </is>
      </c>
      <c r="L75" s="7" t="inlineStr">
        <is>
          <t>Inoculante Biológico — Lei nº 6.894/1980</t>
        </is>
      </c>
      <c r="M75" s="7" t="inlineStr">
        <is>
          <t>Fixação biológica de N2 atmosférico e síntese de fitormônios (AIA)</t>
        </is>
      </c>
      <c r="N75" s="7" t="inlineStr">
        <is>
          <t>Isento (Inoculante Biológico SIPEAGRO)</t>
        </is>
      </c>
      <c r="O75" s="7" t="inlineStr">
        <is>
          <t>Não Aplicável (Inoculante)</t>
        </is>
      </c>
      <c r="P75" s="7" t="inlineStr">
        <is>
          <t>Classe IV — Produto Pouco Perigoso ao Meio Ambiente</t>
        </is>
      </c>
      <c r="Q75" s="9" t="n">
        <v>0</v>
      </c>
      <c r="R75" s="7" t="inlineStr">
        <is>
          <t>Aplicação Dirigida / TS / Solo</t>
        </is>
      </c>
      <c r="S75" s="7" t="inlineStr">
        <is>
          <t>Não aplicável (Inoculante biológico não tóxico)</t>
        </is>
      </c>
      <c r="T75" s="7" t="inlineStr">
        <is>
          <t>Estabelecimento Produtor SIPEAGRO/MAPA</t>
        </is>
      </c>
      <c r="U75" s="10">
        <f>HYPERLINK("https://www.gov.br/agricultura/pt-br/assuntos/insumos-agropecuarios/insumos-agricolas/fertilizantes", "Portal SIPEAGRO / MAPA — Fertilizantes e Bioinsumos")</f>
        <v/>
      </c>
    </row>
    <row r="76" ht="22" customHeight="1">
      <c r="A76" s="11" t="n">
        <v>71</v>
      </c>
      <c r="B76" s="12" t="inlineStr">
        <is>
          <t>SIPEAGRO (UF-XXXXX)</t>
        </is>
      </c>
      <c r="C76" s="13" t="inlineStr">
        <is>
          <t>AGCN POTASSIO 1X20L</t>
        </is>
      </c>
      <c r="D76" s="14" t="inlineStr">
        <is>
          <t>AGCN POTASSIO</t>
        </is>
      </c>
      <c r="E76" s="13" t="inlineStr">
        <is>
          <t>Fertilizante Mineral / Organomineral</t>
        </is>
      </c>
      <c r="F76" s="13" t="inlineStr">
        <is>
          <t>Fertilizantes</t>
        </is>
      </c>
      <c r="G76" s="13" t="inlineStr">
        <is>
          <t>Fertilizante Foliar / Micronutrientes</t>
        </is>
      </c>
      <c r="H76" s="13" t="inlineStr">
        <is>
          <t>SL</t>
        </is>
      </c>
      <c r="I76" s="13" t="inlineStr">
        <is>
          <t>Solução / Suspensão Concentrada Foliar (Fluido)</t>
        </is>
      </c>
      <c r="J76" s="13" t="inlineStr">
        <is>
          <t>Aplicação via solo, fertirrigação ou adubação foliar</t>
        </is>
      </c>
      <c r="K76" s="13" t="inlineStr">
        <is>
          <t>Fertilizante Mineral / Organomineral (Lei nº 6.894/1980)</t>
        </is>
      </c>
      <c r="L76" s="13" t="inlineStr">
        <is>
          <t>Nutrição Vegetal SIPEAGRO</t>
        </is>
      </c>
      <c r="M76" s="13" t="inlineStr">
        <is>
          <t>Fornecimento de macro e micronutrientes essenciais ao metabolismo vegetal</t>
        </is>
      </c>
      <c r="N76" s="13" t="inlineStr">
        <is>
          <t>Isento ANVISA (Produto Fertilizante Registrado no SIPEAGRO/MAPA)</t>
        </is>
      </c>
      <c r="O76" s="13" t="inlineStr">
        <is>
          <t>Não Aplicável (Fertilizante)</t>
        </is>
      </c>
      <c r="P76" s="13" t="inlineStr">
        <is>
          <t>Baixo Potencial Poluidor (Uso conforme recomendação agronômica)</t>
        </is>
      </c>
      <c r="Q76" s="15" t="n">
        <v>0</v>
      </c>
      <c r="R76" s="13" t="inlineStr">
        <is>
          <t>Aplicação Dirigida / TS / Solo</t>
        </is>
      </c>
      <c r="S76" s="13" t="inlineStr">
        <is>
          <t>Tratamento sintomático em caso de ingestão acidental</t>
        </is>
      </c>
      <c r="T76" s="13" t="inlineStr">
        <is>
          <t>Estabelecimento Produtor SIPEAGRO/MAPA</t>
        </is>
      </c>
      <c r="U76" s="16">
        <f>HYPERLINK("https://www.gov.br/agricultura/pt-br/assuntos/insumos-agropecuarios/insumos-agricolas/fertilizantes", "Portal SIPEAGRO / MAPA — Fertilizantes e Bioinsumos")</f>
        <v/>
      </c>
    </row>
    <row r="77" ht="22" customHeight="1">
      <c r="A77" s="5" t="n">
        <v>72</v>
      </c>
      <c r="B77" s="6" t="inlineStr">
        <is>
          <t>Nº 2020</t>
        </is>
      </c>
      <c r="C77" s="7" t="inlineStr">
        <is>
          <t>SAMURAI 1X20L</t>
        </is>
      </c>
      <c r="D77" s="8" t="inlineStr">
        <is>
          <t>SAMURAI</t>
        </is>
      </c>
      <c r="E77" s="7" t="inlineStr">
        <is>
          <t>Produto Formulado Comercial</t>
        </is>
      </c>
      <c r="F77" s="7" t="inlineStr">
        <is>
          <t>Defensivos</t>
        </is>
      </c>
      <c r="G77" s="7" t="inlineStr">
        <is>
          <t>Inseticida</t>
        </is>
      </c>
      <c r="H77" s="7" t="inlineStr">
        <is>
          <t>CS</t>
        </is>
      </c>
      <c r="I77" s="7" t="inlineStr">
        <is>
          <t>Suspensão de Encapsulado (CS)</t>
        </is>
      </c>
      <c r="J77" s="7" t="inlineStr">
        <is>
          <t>Inseticida de contato e ingestão com efeito de choque</t>
        </is>
      </c>
      <c r="K77" s="7" t="inlineStr">
        <is>
          <t>Piretroide (Tipo II)</t>
        </is>
      </c>
      <c r="L77" s="7" t="inlineStr">
        <is>
          <t>IRAC Grupo 3A</t>
        </is>
      </c>
      <c r="M77" s="7" t="inlineStr">
        <is>
          <t>Moduladores de canais de sódio em axônios nervosos</t>
        </is>
      </c>
      <c r="N77" s="7" t="inlineStr">
        <is>
          <t>Categoria 3 — Produto Moderadamente Tóxico</t>
        </is>
      </c>
      <c r="O77" s="7" t="inlineStr">
        <is>
          <t>Amarelo PMS Yellow C</t>
        </is>
      </c>
      <c r="P77" s="7" t="inlineStr">
        <is>
          <t>Classe II — Produto Muito Perigoso ao Meio Ambiente</t>
        </is>
      </c>
      <c r="Q77" s="9" t="n">
        <v>24</v>
      </c>
      <c r="R77" s="7" t="inlineStr">
        <is>
          <t>Terrestre / Aérea (Drones consultar bula)</t>
        </is>
      </c>
      <c r="S77" s="7" t="inlineStr">
        <is>
          <t>Sem antídoto específico; anti-histamínicos e suporte sintomático</t>
        </is>
      </c>
      <c r="T77" s="7" t="inlineStr">
        <is>
          <t>PILARQUIM BR COMERCIAL LTDA. / SYNGENTA</t>
        </is>
      </c>
      <c r="U77" s="10">
        <f>HYPERLINK("https://agrofit.agricultura.gov.br/agrofit_cons/principal_agrofit_cons", "Consulta Oficial AGROFIT/MAPA (Nº 2020)")</f>
        <v/>
      </c>
    </row>
    <row r="78" ht="22" customHeight="1">
      <c r="A78" s="11" t="n">
        <v>73</v>
      </c>
      <c r="B78" s="12" t="inlineStr">
        <is>
          <t>Nº 4110</t>
        </is>
      </c>
      <c r="C78" s="13" t="inlineStr">
        <is>
          <t>TRINCA CAPS 4X5L</t>
        </is>
      </c>
      <c r="D78" s="14" t="inlineStr">
        <is>
          <t>TRINCA CAPS</t>
        </is>
      </c>
      <c r="E78" s="13" t="inlineStr">
        <is>
          <t>Produto Formulado Comercial</t>
        </is>
      </c>
      <c r="F78" s="13" t="inlineStr">
        <is>
          <t>Defensivos</t>
        </is>
      </c>
      <c r="G78" s="13" t="inlineStr">
        <is>
          <t>Inseticida</t>
        </is>
      </c>
      <c r="H78" s="13" t="inlineStr">
        <is>
          <t>CS</t>
        </is>
      </c>
      <c r="I78" s="13" t="inlineStr">
        <is>
          <t>Suspensão de Encapsulado (CS)</t>
        </is>
      </c>
      <c r="J78" s="13" t="inlineStr">
        <is>
          <t>Inseticida de contato e ingestão com efeito de choque</t>
        </is>
      </c>
      <c r="K78" s="13" t="inlineStr">
        <is>
          <t>Piretroide (Tipo II)</t>
        </is>
      </c>
      <c r="L78" s="13" t="inlineStr">
        <is>
          <t>IRAC Grupo 3A</t>
        </is>
      </c>
      <c r="M78" s="13" t="inlineStr">
        <is>
          <t>Moduladores de canais de sódio em axônios nervosos</t>
        </is>
      </c>
      <c r="N78" s="13" t="inlineStr">
        <is>
          <t>Categoria 3 / 4 — Moderadamente a Pouco Tóxico</t>
        </is>
      </c>
      <c r="O78" s="13" t="inlineStr">
        <is>
          <t>Amarelo / Azul</t>
        </is>
      </c>
      <c r="P78" s="13" t="inlineStr">
        <is>
          <t>Classe II — Produto Muito Perigoso ao Meio Ambiente</t>
        </is>
      </c>
      <c r="Q78" s="15" t="n">
        <v>24</v>
      </c>
      <c r="R78" s="13" t="inlineStr">
        <is>
          <t>Terrestre / Aérea (Drones consultar bula)</t>
        </is>
      </c>
      <c r="S78" s="13" t="inlineStr">
        <is>
          <t>Sem antídoto específico; anti-histamínicos e suporte sintomático</t>
        </is>
      </c>
      <c r="T78" s="13" t="inlineStr">
        <is>
          <t>UPL / Sipcam</t>
        </is>
      </c>
      <c r="U78" s="16">
        <f>HYPERLINK("https://agrofit.agricultura.gov.br/agrofit_cons/principal_agrofit_cons", "Consulta Oficial AGROFIT/MAPA (Nº 4110)")</f>
        <v/>
      </c>
    </row>
    <row r="79" ht="22" customHeight="1">
      <c r="A79" s="5" t="n">
        <v>74</v>
      </c>
      <c r="B79" s="6" t="inlineStr">
        <is>
          <t>Nº 17618</t>
        </is>
      </c>
      <c r="C79" s="7" t="inlineStr">
        <is>
          <t>KRATON 100 EC 4X5L</t>
        </is>
      </c>
      <c r="D79" s="8" t="inlineStr">
        <is>
          <t>KRATON 100 EC</t>
        </is>
      </c>
      <c r="E79" s="7" t="inlineStr">
        <is>
          <t>Produto Formulado Comercial</t>
        </is>
      </c>
      <c r="F79" s="7" t="inlineStr">
        <is>
          <t>Defensivos</t>
        </is>
      </c>
      <c r="G79" s="7" t="inlineStr">
        <is>
          <t>Inseticida</t>
        </is>
      </c>
      <c r="H79" s="7" t="inlineStr">
        <is>
          <t>EC</t>
        </is>
      </c>
      <c r="I79" s="7" t="inlineStr">
        <is>
          <t>Concentrado Emulsionável (EC)</t>
        </is>
      </c>
      <c r="J79" s="7" t="inlineStr">
        <is>
          <t>Inseticida fisiológico regulador de crescimento (ingestão)</t>
        </is>
      </c>
      <c r="K79" s="7" t="inlineStr">
        <is>
          <t>Benzoilureia</t>
        </is>
      </c>
      <c r="L79" s="7" t="inlineStr">
        <is>
          <t>IRAC Grupo 15</t>
        </is>
      </c>
      <c r="M79" s="7" t="inlineStr">
        <is>
          <t>Inibidores da biossíntese de quitina (Tipo 0 - Lepidoptera)</t>
        </is>
      </c>
      <c r="N79" s="7" t="inlineStr">
        <is>
          <t>Categoria 4 — Produto Pouco Tóxico</t>
        </is>
      </c>
      <c r="O79" s="7" t="inlineStr">
        <is>
          <t>Azul PMS Blue 293 C</t>
        </is>
      </c>
      <c r="P79" s="7" t="inlineStr">
        <is>
          <t>Classe II — Produto Muito Perigoso ao Meio Ambiente</t>
        </is>
      </c>
      <c r="Q79" s="9" t="n">
        <v>24</v>
      </c>
      <c r="R79" s="7" t="inlineStr">
        <is>
          <t>Terrestre / Aérea (Drones consultar bula)</t>
        </is>
      </c>
      <c r="S79" s="7" t="inlineStr">
        <is>
          <t>Sem antídoto específico; tratamento sintomático</t>
        </is>
      </c>
      <c r="T79" s="7" t="inlineStr">
        <is>
          <t>PERTERRA INSUMOS AGROPECUÁRIOS S.A.</t>
        </is>
      </c>
      <c r="U79" s="10">
        <f>HYPERLINK("https://www.adapar.pr.gov.br/system/files/publico/Agrotoxicos/lista.pdf", "Registro Oficial Kraton 100 EC (MAPA 17618)")</f>
        <v/>
      </c>
    </row>
    <row r="80" ht="22" customHeight="1">
      <c r="A80" s="11" t="n">
        <v>75</v>
      </c>
      <c r="B80" s="12" t="inlineStr">
        <is>
          <t>SIPEAGRO (UF-XXXXX)</t>
        </is>
      </c>
      <c r="C80" s="13" t="inlineStr">
        <is>
          <t>AGCN MAGNESIO 1X25KG</t>
        </is>
      </c>
      <c r="D80" s="14" t="inlineStr">
        <is>
          <t>AGCN MAGNESIO</t>
        </is>
      </c>
      <c r="E80" s="13" t="inlineStr">
        <is>
          <t>Fertilizante Mineral / Organomineral</t>
        </is>
      </c>
      <c r="F80" s="13" t="inlineStr">
        <is>
          <t>Fertilizantes</t>
        </is>
      </c>
      <c r="G80" s="13" t="inlineStr">
        <is>
          <t>Fertilizante Mineral Simples (Nitrogenado)</t>
        </is>
      </c>
      <c r="H80" s="13" t="inlineStr">
        <is>
          <t>Granulado</t>
        </is>
      </c>
      <c r="I80" s="13" t="inlineStr">
        <is>
          <t>Formulação Padrão (Granulado / Solúvel / Suspensão)</t>
        </is>
      </c>
      <c r="J80" s="13" t="inlineStr">
        <is>
          <t>Aplicação via solo, fertirrigação ou adubação foliar</t>
        </is>
      </c>
      <c r="K80" s="13" t="inlineStr">
        <is>
          <t>Fertilizante Mineral / Organomineral (Lei nº 6.894/1980)</t>
        </is>
      </c>
      <c r="L80" s="13" t="inlineStr">
        <is>
          <t>Nutrição Vegetal SIPEAGRO</t>
        </is>
      </c>
      <c r="M80" s="13" t="inlineStr">
        <is>
          <t>Fornecimento de macro e micronutrientes essenciais ao metabolismo vegetal</t>
        </is>
      </c>
      <c r="N80" s="13" t="inlineStr">
        <is>
          <t>Isento ANVISA (Produto Fertilizante Registrado no SIPEAGRO/MAPA)</t>
        </is>
      </c>
      <c r="O80" s="13" t="inlineStr">
        <is>
          <t>Não Aplicável (Fertilizante)</t>
        </is>
      </c>
      <c r="P80" s="13" t="inlineStr">
        <is>
          <t>Baixo Potencial Poluidor (Uso conforme recomendação agronômica)</t>
        </is>
      </c>
      <c r="Q80" s="15" t="n">
        <v>0</v>
      </c>
      <c r="R80" s="13" t="inlineStr">
        <is>
          <t>Aplicação Dirigida / TS / Solo</t>
        </is>
      </c>
      <c r="S80" s="13" t="inlineStr">
        <is>
          <t>Tratamento sintomático em caso de ingestão acidental</t>
        </is>
      </c>
      <c r="T80" s="13" t="inlineStr">
        <is>
          <t>Estabelecimento Produtor SIPEAGRO/MAPA</t>
        </is>
      </c>
      <c r="U80" s="16">
        <f>HYPERLINK("https://www.gov.br/agricultura/pt-br/assuntos/insumos-agropecuarios/insumos-agricolas/fertilizantes", "Portal SIPEAGRO / MAPA — Fertilizantes e Bioinsumos")</f>
        <v/>
      </c>
    </row>
    <row r="81" ht="22" customHeight="1">
      <c r="A81" s="5" t="n">
        <v>76</v>
      </c>
      <c r="B81" s="6" t="inlineStr">
        <is>
          <t>SIPEAGRO (UF-XXXXX)</t>
        </is>
      </c>
      <c r="C81" s="7" t="inlineStr">
        <is>
          <t>HAIFA MAG 1X25KG (IMP)</t>
        </is>
      </c>
      <c r="D81" s="8" t="inlineStr">
        <is>
          <t>HAIFA MAG</t>
        </is>
      </c>
      <c r="E81" s="7" t="inlineStr">
        <is>
          <t>Fertilizante Mineral / Organomineral</t>
        </is>
      </c>
      <c r="F81" s="7" t="inlineStr">
        <is>
          <t>Fertilizantes</t>
        </is>
      </c>
      <c r="G81" s="7" t="inlineStr">
        <is>
          <t>Fertilizante Químico Inorgânico (Matéria-Prima Cap. 28/38)</t>
        </is>
      </c>
      <c r="H81" s="7" t="inlineStr">
        <is>
          <t>Granulado</t>
        </is>
      </c>
      <c r="I81" s="7" t="inlineStr">
        <is>
          <t>Formulação Padrão (Granulado / Solúvel / Suspensão)</t>
        </is>
      </c>
      <c r="J81" s="7" t="inlineStr">
        <is>
          <t>Aplicação via solo, fertirrigação ou adubação foliar</t>
        </is>
      </c>
      <c r="K81" s="7" t="inlineStr">
        <is>
          <t>Fertilizante Mineral / Organomineral (Lei nº 6.894/1980)</t>
        </is>
      </c>
      <c r="L81" s="7" t="inlineStr">
        <is>
          <t>Nutrição Vegetal SIPEAGRO</t>
        </is>
      </c>
      <c r="M81" s="7" t="inlineStr">
        <is>
          <t>Fornecimento de macro e micronutrientes essenciais ao metabolismo vegetal</t>
        </is>
      </c>
      <c r="N81" s="7" t="inlineStr">
        <is>
          <t>Isento ANVISA (Produto Fertilizante Registrado no SIPEAGRO/MAPA)</t>
        </is>
      </c>
      <c r="O81" s="7" t="inlineStr">
        <is>
          <t>Não Aplicável (Fertilizante)</t>
        </is>
      </c>
      <c r="P81" s="7" t="inlineStr">
        <is>
          <t>Baixo Potencial Poluidor (Uso conforme recomendação agronômica)</t>
        </is>
      </c>
      <c r="Q81" s="9" t="n">
        <v>0</v>
      </c>
      <c r="R81" s="7" t="inlineStr">
        <is>
          <t>Aplicação Dirigida / TS / Solo</t>
        </is>
      </c>
      <c r="S81" s="7" t="inlineStr">
        <is>
          <t>Tratamento sintomático em caso de ingestão acidental</t>
        </is>
      </c>
      <c r="T81" s="7" t="inlineStr">
        <is>
          <t>Estabelecimento Produtor SIPEAGRO/MAPA</t>
        </is>
      </c>
      <c r="U81" s="10">
        <f>HYPERLINK("https://www.gov.br/agricultura/pt-br/assuntos/insumos-agropecuarios/insumos-agricolas/fertilizantes", "Portal SIPEAGRO / MAPA — Fertilizantes e Bioinsumos")</f>
        <v/>
      </c>
    </row>
    <row r="82" ht="22" customHeight="1">
      <c r="A82" s="11" t="n">
        <v>77</v>
      </c>
      <c r="B82" s="12" t="inlineStr">
        <is>
          <t>Nº 1921</t>
        </is>
      </c>
      <c r="C82" s="13" t="inlineStr">
        <is>
          <t>EMZEB PLATINA 750 WG 1X15KG (IMP) CC</t>
        </is>
      </c>
      <c r="D82" s="14" t="inlineStr">
        <is>
          <t>EMZEB PLATINA 750 WG</t>
        </is>
      </c>
      <c r="E82" s="13" t="inlineStr">
        <is>
          <t>Produto Formulado Comercial</t>
        </is>
      </c>
      <c r="F82" s="13" t="inlineStr">
        <is>
          <t>Defensivos</t>
        </is>
      </c>
      <c r="G82" s="13" t="inlineStr">
        <is>
          <t>Fungicida</t>
        </is>
      </c>
      <c r="H82" s="13" t="inlineStr">
        <is>
          <t>WG</t>
        </is>
      </c>
      <c r="I82" s="13" t="inlineStr">
        <is>
          <t>Grânulos Dispersíveis em Água (WG)</t>
        </is>
      </c>
      <c r="J82" s="13" t="inlineStr">
        <is>
          <t>Fungicida e acaricida protetor de contato multissítio</t>
        </is>
      </c>
      <c r="K82" s="13" t="inlineStr">
        <is>
          <t>Alquilenobis(ditiocarbamato)</t>
        </is>
      </c>
      <c r="L82" s="13" t="inlineStr">
        <is>
          <t>FRAC Grupo M03 — Multissítio</t>
        </is>
      </c>
      <c r="M82" s="13" t="inlineStr">
        <is>
          <t>Inibidor multissítio de enzimas contendo grupos sulfidrila e aminoácidos fúngicos</t>
        </is>
      </c>
      <c r="N82" s="13" t="inlineStr">
        <is>
          <t>Categoria 4 / 5 — Pouco Tóxico a Improvável Dano Agudo</t>
        </is>
      </c>
      <c r="O82" s="13" t="inlineStr">
        <is>
          <t>Azul Intenso</t>
        </is>
      </c>
      <c r="P82" s="13" t="inlineStr">
        <is>
          <t>Classe II — Produto Muito Perigoso ao Meio Ambiente</t>
        </is>
      </c>
      <c r="Q82" s="15" t="n">
        <v>24</v>
      </c>
      <c r="R82" s="13" t="inlineStr">
        <is>
          <t>Terrestre / Aérea (Drones consultar bula)</t>
        </is>
      </c>
      <c r="S82" s="13" t="inlineStr">
        <is>
          <t>Sem antídoto específico; evitar consumo de álcool (efeito antabuse por ETU)</t>
        </is>
      </c>
      <c r="T82" s="13" t="inlineStr">
        <is>
          <t>Sabero / UPL</t>
        </is>
      </c>
      <c r="U82" s="16">
        <f>HYPERLINK("https://agrofit.agricultura.gov.br/agrofit_cons/principal_agrofit_cons", "Consulta Oficial AGROFIT/MAPA (Nº 1921)")</f>
        <v/>
      </c>
    </row>
    <row r="83" ht="22" customHeight="1">
      <c r="A83" s="5" t="n">
        <v>78</v>
      </c>
      <c r="B83" s="6" t="inlineStr">
        <is>
          <t>Nº 0720</t>
        </is>
      </c>
      <c r="C83" s="7" t="inlineStr">
        <is>
          <t>INDOZEB 750 WG 1X25KG (IMP)</t>
        </is>
      </c>
      <c r="D83" s="8" t="inlineStr">
        <is>
          <t>INDOZEB 750 WG</t>
        </is>
      </c>
      <c r="E83" s="7" t="inlineStr">
        <is>
          <t>Produto Formulado Comercial</t>
        </is>
      </c>
      <c r="F83" s="7" t="inlineStr">
        <is>
          <t>Defensivos</t>
        </is>
      </c>
      <c r="G83" s="7" t="inlineStr">
        <is>
          <t>Fungicida</t>
        </is>
      </c>
      <c r="H83" s="7" t="inlineStr">
        <is>
          <t>WG</t>
        </is>
      </c>
      <c r="I83" s="7" t="inlineStr">
        <is>
          <t>Grânulos Dispersíveis em Água (WG)</t>
        </is>
      </c>
      <c r="J83" s="7" t="inlineStr">
        <is>
          <t>Fungicida e acaricida protetor de contato multissítio</t>
        </is>
      </c>
      <c r="K83" s="7" t="inlineStr">
        <is>
          <t>Alquilenobis(ditiocarbamato)</t>
        </is>
      </c>
      <c r="L83" s="7" t="inlineStr">
        <is>
          <t>FRAC Grupo M03 — Multissítio</t>
        </is>
      </c>
      <c r="M83" s="7" t="inlineStr">
        <is>
          <t>Inibidor multissítio de enzimas contendo grupos sulfidrila e aminoácidos fúngicos</t>
        </is>
      </c>
      <c r="N83" s="7" t="inlineStr">
        <is>
          <t>Categoria 4 / 5 — Pouco Tóxico a Improvável Dano Agudo</t>
        </is>
      </c>
      <c r="O83" s="7" t="inlineStr">
        <is>
          <t>Azul Intenso</t>
        </is>
      </c>
      <c r="P83" s="7" t="inlineStr">
        <is>
          <t>Classe II — Produto Muito Perigoso ao Meio Ambiente</t>
        </is>
      </c>
      <c r="Q83" s="9" t="n">
        <v>24</v>
      </c>
      <c r="R83" s="7" t="inlineStr">
        <is>
          <t>Terrestre / Aérea (Drones consultar bula)</t>
        </is>
      </c>
      <c r="S83" s="7" t="inlineStr">
        <is>
          <t>Sem antídoto específico; evitar consumo de álcool (efeito antabuse por ETU)</t>
        </is>
      </c>
      <c r="T83" s="7" t="inlineStr">
        <is>
          <t>Indofil</t>
        </is>
      </c>
      <c r="U83" s="10">
        <f>HYPERLINK("https://agrofit.agricultura.gov.br/agrofit_cons/principal_agrofit_cons", "Consulta Oficial AGROFIT/MAPA (Nº 0720)")</f>
        <v/>
      </c>
    </row>
    <row r="84" ht="22" customHeight="1">
      <c r="A84" s="11" t="n">
        <v>79</v>
      </c>
      <c r="B84" s="12" t="inlineStr">
        <is>
          <t>Nº 6313</t>
        </is>
      </c>
      <c r="C84" s="13" t="inlineStr">
        <is>
          <t>MANFIL 800 WP 1X25KG (IMP)</t>
        </is>
      </c>
      <c r="D84" s="14" t="inlineStr">
        <is>
          <t>MANFIL 800 WP</t>
        </is>
      </c>
      <c r="E84" s="13" t="inlineStr">
        <is>
          <t>Produto Formulado Comercial</t>
        </is>
      </c>
      <c r="F84" s="13" t="inlineStr">
        <is>
          <t>Defensivos</t>
        </is>
      </c>
      <c r="G84" s="13" t="inlineStr">
        <is>
          <t>Fungicida</t>
        </is>
      </c>
      <c r="H84" s="13" t="inlineStr">
        <is>
          <t>WP</t>
        </is>
      </c>
      <c r="I84" s="13" t="inlineStr">
        <is>
          <t>Pó Molhável (WP)</t>
        </is>
      </c>
      <c r="J84" s="13" t="inlineStr">
        <is>
          <t>Fungicida e acaricida protetor de contato multissítio</t>
        </is>
      </c>
      <c r="K84" s="13" t="inlineStr">
        <is>
          <t>Alquilenobis(ditiocarbamato)</t>
        </is>
      </c>
      <c r="L84" s="13" t="inlineStr">
        <is>
          <t>FRAC Grupo M03 — Multissítio</t>
        </is>
      </c>
      <c r="M84" s="13" t="inlineStr">
        <is>
          <t>Inibidor multissítio de enzimas contendo grupos sulfidrila e aminoácidos fúngicos</t>
        </is>
      </c>
      <c r="N84" s="13" t="inlineStr">
        <is>
          <t>Categoria 4 — Produto Pouco Tóxico</t>
        </is>
      </c>
      <c r="O84" s="13" t="inlineStr">
        <is>
          <t>Azul PMS Blue 293 C</t>
        </is>
      </c>
      <c r="P84" s="13" t="inlineStr">
        <is>
          <t>Classe II — Produto Muito Perigoso ao Meio Ambiente</t>
        </is>
      </c>
      <c r="Q84" s="15" t="n">
        <v>24</v>
      </c>
      <c r="R84" s="13" t="inlineStr">
        <is>
          <t>Terrestre / Aérea (Drones consultar bula)</t>
        </is>
      </c>
      <c r="S84" s="13" t="inlineStr">
        <is>
          <t>Sem antídoto específico; evitar consumo de álcool (efeito antabuse por ETU)</t>
        </is>
      </c>
      <c r="T84" s="13" t="inlineStr">
        <is>
          <t>INDOFIL INDUSTRIES DO BRASIL LTDA.</t>
        </is>
      </c>
      <c r="U84" s="16">
        <f>HYPERLINK("https://agrofit.agricultura.gov.br/agrofit_cons/principal_agrofit_cons", "Consulta Oficial AGROFIT/MAPA (Nº 6313)")</f>
        <v/>
      </c>
    </row>
    <row r="85" ht="22" customHeight="1">
      <c r="A85" s="5" t="n">
        <v>80</v>
      </c>
      <c r="B85" s="6" t="inlineStr">
        <is>
          <t>Nº 6313</t>
        </is>
      </c>
      <c r="C85" s="7" t="inlineStr">
        <is>
          <t>MANFIL 800 WP 1X7,5KG (AGUARDAR FISCAL)</t>
        </is>
      </c>
      <c r="D85" s="8" t="inlineStr">
        <is>
          <t>MANFIL 800 WP 1X7,5KG (AGUARDAR FISCAL)</t>
        </is>
      </c>
      <c r="E85" s="7" t="inlineStr">
        <is>
          <t>Produto Formulado Comercial</t>
        </is>
      </c>
      <c r="F85" s="7" t="inlineStr">
        <is>
          <t>Defensivos</t>
        </is>
      </c>
      <c r="G85" s="7" t="inlineStr">
        <is>
          <t>Fungicida</t>
        </is>
      </c>
      <c r="H85" s="7" t="inlineStr">
        <is>
          <t>WP</t>
        </is>
      </c>
      <c r="I85" s="7" t="inlineStr">
        <is>
          <t>Pó Molhável (WP)</t>
        </is>
      </c>
      <c r="J85" s="7" t="inlineStr">
        <is>
          <t>Fungicida e acaricida protetor de contato multissítio</t>
        </is>
      </c>
      <c r="K85" s="7" t="inlineStr">
        <is>
          <t>Alquilenobis(ditiocarbamato)</t>
        </is>
      </c>
      <c r="L85" s="7" t="inlineStr">
        <is>
          <t>FRAC Grupo M03 — Multissítio</t>
        </is>
      </c>
      <c r="M85" s="7" t="inlineStr">
        <is>
          <t>Inibidor multissítio de enzimas contendo grupos sulfidrila e aminoácidos fúngicos</t>
        </is>
      </c>
      <c r="N85" s="7" t="inlineStr">
        <is>
          <t>Categoria 4 — Produto Pouco Tóxico</t>
        </is>
      </c>
      <c r="O85" s="7" t="inlineStr">
        <is>
          <t>Azul PMS Blue 293 C</t>
        </is>
      </c>
      <c r="P85" s="7" t="inlineStr">
        <is>
          <t>Classe II — Produto Muito Perigoso ao Meio Ambiente</t>
        </is>
      </c>
      <c r="Q85" s="9" t="n">
        <v>24</v>
      </c>
      <c r="R85" s="7" t="inlineStr">
        <is>
          <t>Terrestre / Aérea (Drones consultar bula)</t>
        </is>
      </c>
      <c r="S85" s="7" t="inlineStr">
        <is>
          <t>Sem antídoto específico; evitar consumo de álcool (efeito antabuse por ETU)</t>
        </is>
      </c>
      <c r="T85" s="7" t="inlineStr">
        <is>
          <t>INDOFIL INDUSTRIES DO BRASIL LTDA.</t>
        </is>
      </c>
      <c r="U85" s="10">
        <f>HYPERLINK("https://agrofit.agricultura.gov.br/agrofit_cons/principal_agrofit_cons", "Consulta Oficial AGROFIT/MAPA (Nº 6313)")</f>
        <v/>
      </c>
    </row>
    <row r="86" ht="22" customHeight="1">
      <c r="A86" s="11" t="n">
        <v>81</v>
      </c>
      <c r="B86" s="12" t="inlineStr">
        <is>
          <t>Nº 38917</t>
        </is>
      </c>
      <c r="C86" s="13" t="inlineStr">
        <is>
          <t>MESON 480 SC 12X1L (IMP)</t>
        </is>
      </c>
      <c r="D86" s="14" t="inlineStr">
        <is>
          <t>MESON</t>
        </is>
      </c>
      <c r="E86" s="13" t="inlineStr">
        <is>
          <t>Produto Formulado Comercial</t>
        </is>
      </c>
      <c r="F86" s="13" t="inlineStr">
        <is>
          <t>Defensivos</t>
        </is>
      </c>
      <c r="G86" s="13" t="inlineStr">
        <is>
          <t>Herbicida</t>
        </is>
      </c>
      <c r="H86" s="13" t="inlineStr">
        <is>
          <t>SC</t>
        </is>
      </c>
      <c r="I86" s="13" t="inlineStr">
        <is>
          <t>Suspensão Concentrada (SC)</t>
        </is>
      </c>
      <c r="J86" s="13" t="inlineStr">
        <is>
          <t>Herbicida sistêmico seletivo de pós-emergência</t>
        </is>
      </c>
      <c r="K86" s="13" t="inlineStr">
        <is>
          <t>Tricetona</t>
        </is>
      </c>
      <c r="L86" s="13" t="inlineStr">
        <is>
          <t>HRAC Grupo F2 (27) — Inibidores da HPPD</t>
        </is>
      </c>
      <c r="M86" s="13" t="inlineStr">
        <is>
          <t>Inibidores da enzima 4-hidroxifenil-piruvato-dioxigenase (HPPD - biossíntese de carotenoides)</t>
        </is>
      </c>
      <c r="N86" s="13" t="inlineStr">
        <is>
          <t>Categoria 4 / 5 — Pouco Tóxico</t>
        </is>
      </c>
      <c r="O86" s="13" t="inlineStr">
        <is>
          <t>Azul Intenso</t>
        </is>
      </c>
      <c r="P86" s="13" t="inlineStr">
        <is>
          <t>Classe II — Produto Muito Perigoso ao Meio Ambiente</t>
        </is>
      </c>
      <c r="Q86" s="15" t="n">
        <v>24</v>
      </c>
      <c r="R86" s="13" t="inlineStr">
        <is>
          <t>Terrestre / Aérea (Drones consultar bula)</t>
        </is>
      </c>
      <c r="S86" s="13" t="inlineStr">
        <is>
          <t>Sem antídoto específico; tratamento sintomático</t>
        </is>
      </c>
      <c r="T86" s="13" t="inlineStr">
        <is>
          <t>RAINBOW DEFENSIVOS AGRÍCOLAS LTDA.</t>
        </is>
      </c>
      <c r="U86" s="16">
        <f>HYPERLINK("https://www.adapar.pr.gov.br/Pagina/Agrotoxicos-Herbicidas", "Registro Oficial Meson 480 SC (MAPA 38917)")</f>
        <v/>
      </c>
    </row>
    <row r="87" ht="22" customHeight="1">
      <c r="A87" s="5" t="n">
        <v>82</v>
      </c>
      <c r="B87" s="6" t="inlineStr">
        <is>
          <t>Nº 14816</t>
        </is>
      </c>
      <c r="C87" s="7" t="inlineStr">
        <is>
          <t>CHIAVE SUP 1X20L</t>
        </is>
      </c>
      <c r="D87" s="8" t="inlineStr">
        <is>
          <t>CHIAVE SUP</t>
        </is>
      </c>
      <c r="E87" s="7" t="inlineStr">
        <is>
          <t>Produto Formulado Comercial</t>
        </is>
      </c>
      <c r="F87" s="7" t="inlineStr">
        <is>
          <t>Defensivos</t>
        </is>
      </c>
      <c r="G87" s="7" t="inlineStr">
        <is>
          <t>Inseticida</t>
        </is>
      </c>
      <c r="H87" s="7" t="inlineStr">
        <is>
          <t>SL</t>
        </is>
      </c>
      <c r="I87" s="7" t="inlineStr">
        <is>
          <t>Concentrado Solúvel (SL)</t>
        </is>
      </c>
      <c r="J87" s="7" t="inlineStr">
        <is>
          <t>Inseticida sistêmico de contato e ingestão com efeito ovicida/larvicida</t>
        </is>
      </c>
      <c r="K87" s="7" t="inlineStr">
        <is>
          <t>Metilcarbamato de oxima</t>
        </is>
      </c>
      <c r="L87" s="7" t="inlineStr">
        <is>
          <t>IRAC Grupo 1A</t>
        </is>
      </c>
      <c r="M87" s="7" t="inlineStr">
        <is>
          <t>Inibidores reversíveis da enzima acetilcolinesterase (AChE)</t>
        </is>
      </c>
      <c r="N87" s="7" t="inlineStr">
        <is>
          <t>Categoria 2 — Produto Altamente Tóxico</t>
        </is>
      </c>
      <c r="O87" s="7" t="inlineStr">
        <is>
          <t>Vermelho PMS Red 199 C</t>
        </is>
      </c>
      <c r="P87" s="7" t="inlineStr">
        <is>
          <t>Classe II — Produto Muito Perigoso ao Meio Ambiente</t>
        </is>
      </c>
      <c r="Q87" s="9" t="n">
        <v>24</v>
      </c>
      <c r="R87" s="7" t="inlineStr">
        <is>
          <t>Terrestre / Aérea (Drones consultar bula)</t>
        </is>
      </c>
      <c r="S87" s="7" t="inlineStr">
        <is>
          <t>Sulfato de Atropina (antídoto específico; NÃO administrar oximas/pralidoxima em carbamatos)</t>
        </is>
      </c>
      <c r="T87" s="7" t="inlineStr">
        <is>
          <t>SUPRA AGRO / CHDS DO BRASIL COMÉRCIO DE INSUMOS AGRÍCOLAS LTDA.</t>
        </is>
      </c>
      <c r="U87" s="10">
        <f>HYPERLINK("https://www.adapar.pr.gov.br/system/files/publico/Agrotoxicos/lista.pdf", "Registro Oficial Chiave Sup 215 SL (MAPA 14816)")</f>
        <v/>
      </c>
    </row>
    <row r="88" ht="22" customHeight="1">
      <c r="A88" s="11" t="n">
        <v>83</v>
      </c>
      <c r="B88" s="12" t="inlineStr">
        <is>
          <t>Nº 27620</t>
        </is>
      </c>
      <c r="C88" s="13" t="inlineStr">
        <is>
          <t>METOMIL CHD S 1X20L</t>
        </is>
      </c>
      <c r="D88" s="14" t="inlineStr">
        <is>
          <t>METOMIL CHD S</t>
        </is>
      </c>
      <c r="E88" s="13" t="inlineStr">
        <is>
          <t>Produto Formulado Comercial</t>
        </is>
      </c>
      <c r="F88" s="13" t="inlineStr">
        <is>
          <t>Defensivos</t>
        </is>
      </c>
      <c r="G88" s="13" t="inlineStr">
        <is>
          <t>Inseticida</t>
        </is>
      </c>
      <c r="H88" s="13" t="inlineStr">
        <is>
          <t>SL</t>
        </is>
      </c>
      <c r="I88" s="13" t="inlineStr">
        <is>
          <t>Concentrado Solúvel (SL)</t>
        </is>
      </c>
      <c r="J88" s="13" t="inlineStr">
        <is>
          <t>Inseticida sistêmico de contato e ingestão com efeito ovicida/larvicida</t>
        </is>
      </c>
      <c r="K88" s="13" t="inlineStr">
        <is>
          <t>Metilcarbamato de oxima</t>
        </is>
      </c>
      <c r="L88" s="13" t="inlineStr">
        <is>
          <t>IRAC Grupo 1A</t>
        </is>
      </c>
      <c r="M88" s="13" t="inlineStr">
        <is>
          <t>Inibidores reversíveis da enzima acetilcolinesterase (AChE)</t>
        </is>
      </c>
      <c r="N88" s="13" t="inlineStr">
        <is>
          <t>Categoria 2 — Produto Altamente Tóxico</t>
        </is>
      </c>
      <c r="O88" s="13" t="inlineStr">
        <is>
          <t>Vermelho PMS Red 199 C</t>
        </is>
      </c>
      <c r="P88" s="13" t="inlineStr">
        <is>
          <t>Classe II — Produto Muito Perigoso ao Meio Ambiente</t>
        </is>
      </c>
      <c r="Q88" s="15" t="n">
        <v>24</v>
      </c>
      <c r="R88" s="13" t="inlineStr">
        <is>
          <t>Terrestre / Aérea (Drones consultar bula)</t>
        </is>
      </c>
      <c r="S88" s="13" t="inlineStr">
        <is>
          <t>Sulfato de Atropina (antídoto específico; NÃO administrar oximas/pralidoxima em carbamatos)</t>
        </is>
      </c>
      <c r="T88" s="13" t="inlineStr">
        <is>
          <t>CHDS DO BRASIL COMÉRCIO DE INSUMOS AGRÍCOLAS LTDA.</t>
        </is>
      </c>
      <c r="U88" s="16">
        <f>HYPERLINK("https://www.adapar.pr.gov.br/system/files/publico/Agrotoxicos/lista.pdf", "Registro Oficial Metomil CHD S 215 SL (MAPA 27620)")</f>
        <v/>
      </c>
    </row>
    <row r="89" ht="22" customHeight="1">
      <c r="A89" s="5" t="n">
        <v>84</v>
      </c>
      <c r="B89" s="6" t="inlineStr">
        <is>
          <t>Nº 31522</t>
        </is>
      </c>
      <c r="C89" s="7" t="inlineStr">
        <is>
          <t>METOMY 900 1X20L (IMP)</t>
        </is>
      </c>
      <c r="D89" s="8" t="inlineStr">
        <is>
          <t>METOMY 900</t>
        </is>
      </c>
      <c r="E89" s="7" t="inlineStr">
        <is>
          <t>Produto Formulado Comercial</t>
        </is>
      </c>
      <c r="F89" s="7" t="inlineStr">
        <is>
          <t>Defensivos</t>
        </is>
      </c>
      <c r="G89" s="7" t="inlineStr">
        <is>
          <t>Inseticida</t>
        </is>
      </c>
      <c r="H89" s="7" t="inlineStr">
        <is>
          <t>SP</t>
        </is>
      </c>
      <c r="I89" s="7" t="inlineStr">
        <is>
          <t>Pó Solúvel em Água (SP)</t>
        </is>
      </c>
      <c r="J89" s="7" t="inlineStr">
        <is>
          <t>Inseticida sistêmico de contato e ingestão com efeito ovicida/larvicida</t>
        </is>
      </c>
      <c r="K89" s="7" t="inlineStr">
        <is>
          <t>Metilcarbamato de oxima</t>
        </is>
      </c>
      <c r="L89" s="7" t="inlineStr">
        <is>
          <t>IRAC Grupo 1A</t>
        </is>
      </c>
      <c r="M89" s="7" t="inlineStr">
        <is>
          <t>Inibidores reversíveis da enzima acetilcolinesterase (AChE)</t>
        </is>
      </c>
      <c r="N89" s="7" t="inlineStr">
        <is>
          <t>Categoria 2 — Produto Altamente Tóxico</t>
        </is>
      </c>
      <c r="O89" s="7" t="inlineStr">
        <is>
          <t>Vermelho PMS Red 199 C</t>
        </is>
      </c>
      <c r="P89" s="7" t="inlineStr">
        <is>
          <t>Classe II — Produto Muito Perigoso ao Meio Ambiente</t>
        </is>
      </c>
      <c r="Q89" s="9" t="n">
        <v>24</v>
      </c>
      <c r="R89" s="7" t="inlineStr">
        <is>
          <t>Terrestre / Aérea (Drones consultar bula)</t>
        </is>
      </c>
      <c r="S89" s="7" t="inlineStr">
        <is>
          <t>Sulfato de Atropina (antídoto específico; NÃO administrar oximas/pralidoxima em carbamatos)</t>
        </is>
      </c>
      <c r="T89" s="7" t="inlineStr">
        <is>
          <t>RAINBOW DEFENSIVOS AGRÍCOLAS LTDA.</t>
        </is>
      </c>
      <c r="U89" s="10">
        <f>HYPERLINK("https://agrofit.agricultura.gov.br/agrofit_cons/principal_agrofit_cons", "Consulta Oficial AGROFIT/MAPA (Nº 31522)")</f>
        <v/>
      </c>
    </row>
    <row r="90" ht="22" customHeight="1">
      <c r="A90" s="11" t="n">
        <v>85</v>
      </c>
      <c r="B90" s="12" t="inlineStr">
        <is>
          <t>Nº 6914</t>
        </is>
      </c>
      <c r="C90" s="13" t="inlineStr">
        <is>
          <t>UPMYL 1X20L</t>
        </is>
      </c>
      <c r="D90" s="14" t="inlineStr">
        <is>
          <t>UPMYL</t>
        </is>
      </c>
      <c r="E90" s="13" t="inlineStr">
        <is>
          <t>Produto Formulado Comercial</t>
        </is>
      </c>
      <c r="F90" s="13" t="inlineStr">
        <is>
          <t>Defensivos</t>
        </is>
      </c>
      <c r="G90" s="13" t="inlineStr">
        <is>
          <t>Inseticida</t>
        </is>
      </c>
      <c r="H90" s="13" t="inlineStr">
        <is>
          <t>SL</t>
        </is>
      </c>
      <c r="I90" s="13" t="inlineStr">
        <is>
          <t>Concentrado Solúvel (SL)</t>
        </is>
      </c>
      <c r="J90" s="13" t="inlineStr">
        <is>
          <t>Inseticida sistêmico de contato e ingestão com efeito ovicida/larvicida</t>
        </is>
      </c>
      <c r="K90" s="13" t="inlineStr">
        <is>
          <t>Metilcarbamato de oxima</t>
        </is>
      </c>
      <c r="L90" s="13" t="inlineStr">
        <is>
          <t>IRAC Grupo 1A</t>
        </is>
      </c>
      <c r="M90" s="13" t="inlineStr">
        <is>
          <t>Inibidores reversíveis da enzima acetilcolinesterase (AChE)</t>
        </is>
      </c>
      <c r="N90" s="13" t="inlineStr">
        <is>
          <t>Categoria 2 — Produto Altamente Tóxico</t>
        </is>
      </c>
      <c r="O90" s="13" t="inlineStr">
        <is>
          <t>Vermelho PMS Red 199 C</t>
        </is>
      </c>
      <c r="P90" s="13" t="inlineStr">
        <is>
          <t>Classe II — Produto Muito Perigoso ao Meio Ambiente</t>
        </is>
      </c>
      <c r="Q90" s="15" t="n">
        <v>24</v>
      </c>
      <c r="R90" s="13" t="inlineStr">
        <is>
          <t>Terrestre / Aérea (Drones consultar bula)</t>
        </is>
      </c>
      <c r="S90" s="13" t="inlineStr">
        <is>
          <t>Sulfato de Atropina (antídoto específico; NÃO administrar oximas/pralidoxima em carbamatos)</t>
        </is>
      </c>
      <c r="T90" s="13" t="inlineStr">
        <is>
          <t>UPL do Brasil</t>
        </is>
      </c>
      <c r="U90" s="16">
        <f>HYPERLINK("https://agrofit.agricultura.gov.br/agrofit_cons/principal_agrofit_cons", "Consulta Oficial AGROFIT/MAPA (Nº 6914)")</f>
        <v/>
      </c>
    </row>
    <row r="91" ht="22" customHeight="1">
      <c r="A91" s="5" t="n">
        <v>86</v>
      </c>
      <c r="B91" s="6" t="inlineStr">
        <is>
          <t>SIPEAGRO (UF-XXXXX)</t>
        </is>
      </c>
      <c r="C91" s="7" t="inlineStr">
        <is>
          <t>AGCN MANGANES 1X20L</t>
        </is>
      </c>
      <c r="D91" s="8" t="inlineStr">
        <is>
          <t>AGCN MANGANES</t>
        </is>
      </c>
      <c r="E91" s="7" t="inlineStr">
        <is>
          <t>Fertilizante Mineral / Organomineral</t>
        </is>
      </c>
      <c r="F91" s="7" t="inlineStr">
        <is>
          <t>Fertilizantes</t>
        </is>
      </c>
      <c r="G91" s="7" t="inlineStr">
        <is>
          <t>Fertilizante Foliar / Micronutrientes</t>
        </is>
      </c>
      <c r="H91" s="7" t="inlineStr">
        <is>
          <t>SL</t>
        </is>
      </c>
      <c r="I91" s="7" t="inlineStr">
        <is>
          <t>Solução / Suspensão Concentrada Foliar (Fluido)</t>
        </is>
      </c>
      <c r="J91" s="7" t="inlineStr">
        <is>
          <t>Aplicação via solo, fertirrigação ou adubação foliar</t>
        </is>
      </c>
      <c r="K91" s="7" t="inlineStr">
        <is>
          <t>Fertilizante Mineral / Organomineral (Lei nº 6.894/1980)</t>
        </is>
      </c>
      <c r="L91" s="7" t="inlineStr">
        <is>
          <t>Nutrição Vegetal SIPEAGRO</t>
        </is>
      </c>
      <c r="M91" s="7" t="inlineStr">
        <is>
          <t>Fornecimento de macro e micronutrientes essenciais ao metabolismo vegetal</t>
        </is>
      </c>
      <c r="N91" s="7" t="inlineStr">
        <is>
          <t>Isento ANVISA (Produto Fertilizante Registrado no SIPEAGRO/MAPA)</t>
        </is>
      </c>
      <c r="O91" s="7" t="inlineStr">
        <is>
          <t>Não Aplicável (Fertilizante)</t>
        </is>
      </c>
      <c r="P91" s="7" t="inlineStr">
        <is>
          <t>Baixo Potencial Poluidor (Uso conforme recomendação agronômica)</t>
        </is>
      </c>
      <c r="Q91" s="9" t="n">
        <v>0</v>
      </c>
      <c r="R91" s="7" t="inlineStr">
        <is>
          <t>Aplicação Dirigida / TS / Solo</t>
        </is>
      </c>
      <c r="S91" s="7" t="inlineStr">
        <is>
          <t>Tratamento sintomático em caso de ingestão acidental</t>
        </is>
      </c>
      <c r="T91" s="7" t="inlineStr">
        <is>
          <t>Estabelecimento Produtor SIPEAGRO/MAPA</t>
        </is>
      </c>
      <c r="U91" s="10">
        <f>HYPERLINK("https://www.gov.br/agricultura/pt-br/assuntos/insumos-agropecuarios/insumos-agricolas/fertilizantes", "Portal SIPEAGRO / MAPA — Fertilizantes e Bioinsumos")</f>
        <v/>
      </c>
    </row>
    <row r="92" ht="22" customHeight="1">
      <c r="A92" s="11" t="n">
        <v>87</v>
      </c>
      <c r="B92" s="12" t="inlineStr">
        <is>
          <t>SIPEAGRO (UF-XXXXX)</t>
        </is>
      </c>
      <c r="C92" s="13" t="inlineStr">
        <is>
          <t>AGCN MN ULTRA 1X20L</t>
        </is>
      </c>
      <c r="D92" s="14" t="inlineStr">
        <is>
          <t>AGCN MN ULTRA</t>
        </is>
      </c>
      <c r="E92" s="13" t="inlineStr">
        <is>
          <t>Fertilizante Mineral / Organomineral</t>
        </is>
      </c>
      <c r="F92" s="13" t="inlineStr">
        <is>
          <t>Fertilizantes</t>
        </is>
      </c>
      <c r="G92" s="13" t="inlineStr">
        <is>
          <t>Fertilizante Organomineral / Bioestimulante</t>
        </is>
      </c>
      <c r="H92" s="13" t="inlineStr">
        <is>
          <t>SL</t>
        </is>
      </c>
      <c r="I92" s="13" t="inlineStr">
        <is>
          <t>Solução / Suspensão Concentrada Foliar (Fluido)</t>
        </is>
      </c>
      <c r="J92" s="13" t="inlineStr">
        <is>
          <t>Aplicação via solo, fertirrigação ou adubação foliar</t>
        </is>
      </c>
      <c r="K92" s="13" t="inlineStr">
        <is>
          <t>Fertilizante Mineral / Organomineral (Lei nº 6.894/1980)</t>
        </is>
      </c>
      <c r="L92" s="13" t="inlineStr">
        <is>
          <t>Nutrição Vegetal SIPEAGRO</t>
        </is>
      </c>
      <c r="M92" s="13" t="inlineStr">
        <is>
          <t>Fornecimento de macro e micronutrientes essenciais ao metabolismo vegetal</t>
        </is>
      </c>
      <c r="N92" s="13" t="inlineStr">
        <is>
          <t>Isento ANVISA (Produto Fertilizante Registrado no SIPEAGRO/MAPA)</t>
        </is>
      </c>
      <c r="O92" s="13" t="inlineStr">
        <is>
          <t>Não Aplicável (Fertilizante)</t>
        </is>
      </c>
      <c r="P92" s="13" t="inlineStr">
        <is>
          <t>Baixo Potencial Poluidor (Uso conforme recomendação agronômica)</t>
        </is>
      </c>
      <c r="Q92" s="15" t="n">
        <v>0</v>
      </c>
      <c r="R92" s="13" t="inlineStr">
        <is>
          <t>Aplicação Dirigida / TS / Solo</t>
        </is>
      </c>
      <c r="S92" s="13" t="inlineStr">
        <is>
          <t>Tratamento sintomático em caso de ingestão acidental</t>
        </is>
      </c>
      <c r="T92" s="13" t="inlineStr">
        <is>
          <t>Estabelecimento Produtor SIPEAGRO/MAPA</t>
        </is>
      </c>
      <c r="U92" s="16">
        <f>HYPERLINK("https://www.gov.br/agricultura/pt-br/assuntos/insumos-agropecuarios/insumos-agricolas/fertilizantes", "Portal SIPEAGRO / MAPA — Fertilizantes e Bioinsumos")</f>
        <v/>
      </c>
    </row>
    <row r="93" ht="22" customHeight="1">
      <c r="A93" s="5" t="n">
        <v>88</v>
      </c>
      <c r="B93" s="6" t="inlineStr">
        <is>
          <t>SIPEAGRO (UF-XXXXX)</t>
        </is>
      </c>
      <c r="C93" s="7" t="inlineStr">
        <is>
          <t>AGCN MOLIBIDENIO 4X5L</t>
        </is>
      </c>
      <c r="D93" s="8" t="inlineStr">
        <is>
          <t>AGCN MOLIBIDENIO</t>
        </is>
      </c>
      <c r="E93" s="7" t="inlineStr">
        <is>
          <t>Fertilizante Mineral / Organomineral</t>
        </is>
      </c>
      <c r="F93" s="7" t="inlineStr">
        <is>
          <t>Fertilizantes</t>
        </is>
      </c>
      <c r="G93" s="7" t="inlineStr">
        <is>
          <t>Fertilizante Foliar / Micronutrientes</t>
        </is>
      </c>
      <c r="H93" s="7" t="inlineStr">
        <is>
          <t>SL</t>
        </is>
      </c>
      <c r="I93" s="7" t="inlineStr">
        <is>
          <t>Solução / Suspensão Concentrada Foliar (Fluido)</t>
        </is>
      </c>
      <c r="J93" s="7" t="inlineStr">
        <is>
          <t>Aplicação via solo, fertirrigação ou adubação foliar</t>
        </is>
      </c>
      <c r="K93" s="7" t="inlineStr">
        <is>
          <t>Fertilizante Mineral / Organomineral (Lei nº 6.894/1980)</t>
        </is>
      </c>
      <c r="L93" s="7" t="inlineStr">
        <is>
          <t>Nutrição Vegetal SIPEAGRO</t>
        </is>
      </c>
      <c r="M93" s="7" t="inlineStr">
        <is>
          <t>Fornecimento de macro e micronutrientes essenciais ao metabolismo vegetal</t>
        </is>
      </c>
      <c r="N93" s="7" t="inlineStr">
        <is>
          <t>Isento ANVISA (Produto Fertilizante Registrado no SIPEAGRO/MAPA)</t>
        </is>
      </c>
      <c r="O93" s="7" t="inlineStr">
        <is>
          <t>Não Aplicável (Fertilizante)</t>
        </is>
      </c>
      <c r="P93" s="7" t="inlineStr">
        <is>
          <t>Baixo Potencial Poluidor (Uso conforme recomendação agronômica)</t>
        </is>
      </c>
      <c r="Q93" s="9" t="n">
        <v>0</v>
      </c>
      <c r="R93" s="7" t="inlineStr">
        <is>
          <t>Aplicação Dirigida / TS / Solo</t>
        </is>
      </c>
      <c r="S93" s="7" t="inlineStr">
        <is>
          <t>Tratamento sintomático em caso de ingestão acidental</t>
        </is>
      </c>
      <c r="T93" s="7" t="inlineStr">
        <is>
          <t>Estabelecimento Produtor SIPEAGRO/MAPA</t>
        </is>
      </c>
      <c r="U93" s="10">
        <f>HYPERLINK("https://www.gov.br/agricultura/pt-br/assuntos/insumos-agropecuarios/insumos-agricolas/fertilizantes", "Portal SIPEAGRO / MAPA — Fertilizantes e Bioinsumos")</f>
        <v/>
      </c>
    </row>
    <row r="94" ht="22" customHeight="1">
      <c r="A94" s="11" t="n">
        <v>89</v>
      </c>
      <c r="B94" s="12" t="inlineStr">
        <is>
          <t>SIPEAGRO (UF-XXXXX)</t>
        </is>
      </c>
      <c r="C94" s="13" t="inlineStr">
        <is>
          <t>AGCN MN ULTRA AA 1X20L</t>
        </is>
      </c>
      <c r="D94" s="14" t="inlineStr">
        <is>
          <t>AGCN MN ULTRA AA</t>
        </is>
      </c>
      <c r="E94" s="13" t="inlineStr">
        <is>
          <t>Fertilizante Mineral / Organomineral</t>
        </is>
      </c>
      <c r="F94" s="13" t="inlineStr">
        <is>
          <t>Fertilizantes</t>
        </is>
      </c>
      <c r="G94" s="13" t="inlineStr">
        <is>
          <t>Fertilizante Organomineral / Bioestimulante</t>
        </is>
      </c>
      <c r="H94" s="13" t="inlineStr">
        <is>
          <t>SL</t>
        </is>
      </c>
      <c r="I94" s="13" t="inlineStr">
        <is>
          <t>Solução / Suspensão Concentrada Foliar (Fluido)</t>
        </is>
      </c>
      <c r="J94" s="13" t="inlineStr">
        <is>
          <t>Aplicação via solo, fertirrigação ou adubação foliar</t>
        </is>
      </c>
      <c r="K94" s="13" t="inlineStr">
        <is>
          <t>Fertilizante Mineral / Organomineral (Lei nº 6.894/1980)</t>
        </is>
      </c>
      <c r="L94" s="13" t="inlineStr">
        <is>
          <t>Nutrição Vegetal SIPEAGRO</t>
        </is>
      </c>
      <c r="M94" s="13" t="inlineStr">
        <is>
          <t>Fornecimento de macro e micronutrientes essenciais ao metabolismo vegetal</t>
        </is>
      </c>
      <c r="N94" s="13" t="inlineStr">
        <is>
          <t>Isento ANVISA (Produto Fertilizante Registrado no SIPEAGRO/MAPA)</t>
        </is>
      </c>
      <c r="O94" s="13" t="inlineStr">
        <is>
          <t>Não Aplicável (Fertilizante)</t>
        </is>
      </c>
      <c r="P94" s="13" t="inlineStr">
        <is>
          <t>Baixo Potencial Poluidor (Uso conforme recomendação agronômica)</t>
        </is>
      </c>
      <c r="Q94" s="15" t="n">
        <v>0</v>
      </c>
      <c r="R94" s="13" t="inlineStr">
        <is>
          <t>Aplicação Dirigida / TS / Solo</t>
        </is>
      </c>
      <c r="S94" s="13" t="inlineStr">
        <is>
          <t>Tratamento sintomático em caso de ingestão acidental</t>
        </is>
      </c>
      <c r="T94" s="13" t="inlineStr">
        <is>
          <t>Estabelecimento Produtor SIPEAGRO/MAPA</t>
        </is>
      </c>
      <c r="U94" s="16">
        <f>HYPERLINK("https://www.gov.br/agricultura/pt-br/assuntos/insumos-agropecuarios/insumos-agricolas/fertilizantes", "Portal SIPEAGRO / MAPA — Fertilizantes e Bioinsumos")</f>
        <v/>
      </c>
    </row>
    <row r="95" ht="22" customHeight="1">
      <c r="A95" s="5" t="n">
        <v>90</v>
      </c>
      <c r="B95" s="6" t="inlineStr">
        <is>
          <t>SIPEAGRO (UF-XXXXX)</t>
        </is>
      </c>
      <c r="C95" s="7" t="inlineStr">
        <is>
          <t>AGCN MOLIB ULTRA 4X5L</t>
        </is>
      </c>
      <c r="D95" s="8" t="inlineStr">
        <is>
          <t>AGCN MOLIB ULTRA</t>
        </is>
      </c>
      <c r="E95" s="7" t="inlineStr">
        <is>
          <t>Fertilizante Mineral / Organomineral</t>
        </is>
      </c>
      <c r="F95" s="7" t="inlineStr">
        <is>
          <t>Fertilizantes</t>
        </is>
      </c>
      <c r="G95" s="7" t="inlineStr">
        <is>
          <t>Fertilizante Organomineral / Bioestimulante</t>
        </is>
      </c>
      <c r="H95" s="7" t="inlineStr">
        <is>
          <t>SL</t>
        </is>
      </c>
      <c r="I95" s="7" t="inlineStr">
        <is>
          <t>Solução / Suspensão Concentrada Foliar (Fluido)</t>
        </is>
      </c>
      <c r="J95" s="7" t="inlineStr">
        <is>
          <t>Aplicação via solo, fertirrigação ou adubação foliar</t>
        </is>
      </c>
      <c r="K95" s="7" t="inlineStr">
        <is>
          <t>Fertilizante Mineral / Organomineral (Lei nº 6.894/1980)</t>
        </is>
      </c>
      <c r="L95" s="7" t="inlineStr">
        <is>
          <t>Nutrição Vegetal SIPEAGRO</t>
        </is>
      </c>
      <c r="M95" s="7" t="inlineStr">
        <is>
          <t>Fornecimento de macro e micronutrientes essenciais ao metabolismo vegetal</t>
        </is>
      </c>
      <c r="N95" s="7" t="inlineStr">
        <is>
          <t>Isento ANVISA (Produto Fertilizante Registrado no SIPEAGRO/MAPA)</t>
        </is>
      </c>
      <c r="O95" s="7" t="inlineStr">
        <is>
          <t>Não Aplicável (Fertilizante)</t>
        </is>
      </c>
      <c r="P95" s="7" t="inlineStr">
        <is>
          <t>Baixo Potencial Poluidor (Uso conforme recomendação agronômica)</t>
        </is>
      </c>
      <c r="Q95" s="9" t="n">
        <v>0</v>
      </c>
      <c r="R95" s="7" t="inlineStr">
        <is>
          <t>Aplicação Dirigida / TS / Solo</t>
        </is>
      </c>
      <c r="S95" s="7" t="inlineStr">
        <is>
          <t>Tratamento sintomático em caso de ingestão acidental</t>
        </is>
      </c>
      <c r="T95" s="7" t="inlineStr">
        <is>
          <t>Estabelecimento Produtor SIPEAGRO/MAPA</t>
        </is>
      </c>
      <c r="U95" s="10">
        <f>HYPERLINK("https://www.gov.br/agricultura/pt-br/assuntos/insumos-agropecuarios/insumos-agricolas/fertilizantes", "Portal SIPEAGRO / MAPA — Fertilizantes e Bioinsumos")</f>
        <v/>
      </c>
    </row>
    <row r="96" ht="22" customHeight="1">
      <c r="A96" s="11" t="n">
        <v>91</v>
      </c>
      <c r="B96" s="12" t="inlineStr">
        <is>
          <t>Nº 3705</t>
        </is>
      </c>
      <c r="C96" s="13" t="inlineStr">
        <is>
          <t>ANCOSAR 720 1X20L</t>
        </is>
      </c>
      <c r="D96" s="14" t="inlineStr">
        <is>
          <t>ANCOSAR 720</t>
        </is>
      </c>
      <c r="E96" s="13" t="inlineStr">
        <is>
          <t>Produto Formulado Comercial</t>
        </is>
      </c>
      <c r="F96" s="13" t="inlineStr">
        <is>
          <t>Defensivos</t>
        </is>
      </c>
      <c r="G96" s="13" t="inlineStr">
        <is>
          <t>Herbicida</t>
        </is>
      </c>
      <c r="H96" s="13" t="inlineStr">
        <is>
          <t>SL</t>
        </is>
      </c>
      <c r="I96" s="13" t="inlineStr">
        <is>
          <t>SL - Concentrado Solúvel</t>
        </is>
      </c>
      <c r="J96" s="13" t="inlineStr">
        <is>
          <t>Herbicida de pré ou pós-emergência</t>
        </is>
      </c>
      <c r="K96" s="13" t="inlineStr">
        <is>
          <t>Organoarsênico</t>
        </is>
      </c>
      <c r="L96" s="13" t="inlineStr">
        <is>
          <t>HRAC Grupo Z (0) — Mecanismo Desconhecido</t>
        </is>
      </c>
      <c r="M96" s="13" t="inlineStr">
        <is>
          <t>Perturbação da membrana celular e desacoplamento energético</t>
        </is>
      </c>
      <c r="N96" s="13" t="inlineStr">
        <is>
          <t>Categoria 4: Produto Pouco Tóxico</t>
        </is>
      </c>
      <c r="O96" s="13" t="inlineStr">
        <is>
          <t>Azul</t>
        </is>
      </c>
      <c r="P96" s="13" t="inlineStr">
        <is>
          <t>Classe II / III — Perigoso ao Meio Ambiente</t>
        </is>
      </c>
      <c r="Q96" s="15" t="n">
        <v>24</v>
      </c>
      <c r="R96" s="13" t="inlineStr">
        <is>
          <t>Terrestre / Aérea (Drones consultar bula)</t>
        </is>
      </c>
      <c r="S96" s="13" t="inlineStr">
        <is>
          <t>Sem antídoto específico; tratamento sintomático e descontaminação</t>
        </is>
      </c>
      <c r="T96" s="13" t="inlineStr">
        <is>
          <t>ANCOM DO BRASIL LTDA</t>
        </is>
      </c>
      <c r="U96" s="16">
        <f>HYPERLINK("https://agrofit.agricultura.gov.br/agrofit_cons/principal_agrofit_cons", "Consulta Oficial AGROFIT/MAPA (Nº 3705)")</f>
        <v/>
      </c>
    </row>
    <row r="97" ht="22" customHeight="1">
      <c r="A97" s="5" t="n">
        <v>92</v>
      </c>
      <c r="B97" s="6" t="inlineStr">
        <is>
          <t>Nº 4798</t>
        </is>
      </c>
      <c r="C97" s="7" t="inlineStr">
        <is>
          <t>VOLCANE 790 4X5L (IMP)</t>
        </is>
      </c>
      <c r="D97" s="8" t="inlineStr">
        <is>
          <t>VOLCANE 790</t>
        </is>
      </c>
      <c r="E97" s="7" t="inlineStr">
        <is>
          <t>Produto Formulado Comercial</t>
        </is>
      </c>
      <c r="F97" s="7" t="inlineStr">
        <is>
          <t>Defensivos</t>
        </is>
      </c>
      <c r="G97" s="7" t="inlineStr">
        <is>
          <t>Herbicida</t>
        </is>
      </c>
      <c r="H97" s="7" t="inlineStr">
        <is>
          <t>SL</t>
        </is>
      </c>
      <c r="I97" s="7" t="inlineStr">
        <is>
          <t>Concentrado Solúvel (SL)</t>
        </is>
      </c>
      <c r="J97" s="7" t="inlineStr">
        <is>
          <t>Herbicida de pré ou pós-emergência</t>
        </is>
      </c>
      <c r="K97" s="7" t="inlineStr">
        <is>
          <t>Organoarsênico</t>
        </is>
      </c>
      <c r="L97" s="7" t="inlineStr">
        <is>
          <t>HRAC Grupo Z (0) — Mecanismo Desconhecido</t>
        </is>
      </c>
      <c r="M97" s="7" t="inlineStr">
        <is>
          <t>Perturbação da membrana celular e desacoplamento energético</t>
        </is>
      </c>
      <c r="N97" s="7" t="inlineStr">
        <is>
          <t>Categoria 4 / 5 — Pouco Tóxico (Conforme Bula ANVISA)</t>
        </is>
      </c>
      <c r="O97" s="7" t="inlineStr">
        <is>
          <t>Azul PMS Blue 293 C</t>
        </is>
      </c>
      <c r="P97" s="7" t="inlineStr">
        <is>
          <t>Classe II / III — Perigoso ao Meio Ambiente</t>
        </is>
      </c>
      <c r="Q97" s="9" t="n">
        <v>24</v>
      </c>
      <c r="R97" s="7" t="inlineStr">
        <is>
          <t>Terrestre / Aérea (Drones consultar bula)</t>
        </is>
      </c>
      <c r="S97" s="7" t="inlineStr">
        <is>
          <t>Sem antídoto específico; tratamento sintomático e descontaminação</t>
        </is>
      </c>
      <c r="T97" s="7" t="inlineStr">
        <is>
          <t>Adama / Luxembourg</t>
        </is>
      </c>
      <c r="U97" s="10">
        <f>HYPERLINK("https://agrofit.agricultura.gov.br/agrofit_cons/principal_agrofit_cons", "Consulta Oficial AGROFIT/MAPA (Nº 4798)")</f>
        <v/>
      </c>
    </row>
    <row r="98" ht="22" customHeight="1">
      <c r="A98" s="11" t="n">
        <v>93</v>
      </c>
      <c r="B98" s="12" t="inlineStr">
        <is>
          <t>SIPEAGRO (UF-XXXXX)</t>
        </is>
      </c>
      <c r="C98" s="13" t="inlineStr">
        <is>
          <t>AGCN FULL 1X20L</t>
        </is>
      </c>
      <c r="D98" s="14" t="inlineStr">
        <is>
          <t>AGCN FULL</t>
        </is>
      </c>
      <c r="E98" s="13" t="inlineStr">
        <is>
          <t>Fertilizante Mineral / Organomineral</t>
        </is>
      </c>
      <c r="F98" s="13" t="inlineStr">
        <is>
          <t>Fertilizantes</t>
        </is>
      </c>
      <c r="G98" s="13" t="inlineStr">
        <is>
          <t>Fertilizante Organomineral / Bioestimulante</t>
        </is>
      </c>
      <c r="H98" s="13" t="inlineStr">
        <is>
          <t>SL</t>
        </is>
      </c>
      <c r="I98" s="13" t="inlineStr">
        <is>
          <t>Solução / Suspensão Concentrada Foliar (Fluido)</t>
        </is>
      </c>
      <c r="J98" s="13" t="inlineStr">
        <is>
          <t>Aplicação via solo, fertirrigação ou adubação foliar</t>
        </is>
      </c>
      <c r="K98" s="13" t="inlineStr">
        <is>
          <t>Fertilizante Mineral / Organomineral (Lei nº 6.894/1980)</t>
        </is>
      </c>
      <c r="L98" s="13" t="inlineStr">
        <is>
          <t>Nutrição Vegetal SIPEAGRO</t>
        </is>
      </c>
      <c r="M98" s="13" t="inlineStr">
        <is>
          <t>Fornecimento de macro e micronutrientes essenciais ao metabolismo vegetal</t>
        </is>
      </c>
      <c r="N98" s="13" t="inlineStr">
        <is>
          <t>Isento ANVISA (Produto Fertilizante Registrado no SIPEAGRO/MAPA)</t>
        </is>
      </c>
      <c r="O98" s="13" t="inlineStr">
        <is>
          <t>Não Aplicável (Fertilizante)</t>
        </is>
      </c>
      <c r="P98" s="13" t="inlineStr">
        <is>
          <t>Baixo Potencial Poluidor (Uso conforme recomendação agronômica)</t>
        </is>
      </c>
      <c r="Q98" s="15" t="n">
        <v>0</v>
      </c>
      <c r="R98" s="13" t="inlineStr">
        <is>
          <t>Aplicação Dirigida / TS / Solo</t>
        </is>
      </c>
      <c r="S98" s="13" t="inlineStr">
        <is>
          <t>Tratamento sintomático em caso de ingestão acidental</t>
        </is>
      </c>
      <c r="T98" s="13" t="inlineStr">
        <is>
          <t>Estabelecimento Produtor SIPEAGRO/MAPA</t>
        </is>
      </c>
      <c r="U98" s="16">
        <f>HYPERLINK("https://www.gov.br/agricultura/pt-br/assuntos/insumos-agropecuarios/insumos-agricolas/fertilizantes", "Portal SIPEAGRO / MAPA — Fertilizantes e Bioinsumos")</f>
        <v/>
      </c>
    </row>
    <row r="99" ht="22" customHeight="1">
      <c r="A99" s="5" t="n">
        <v>94</v>
      </c>
      <c r="B99" s="6" t="inlineStr">
        <is>
          <t>SIPEAGRO (UF-XXXXX)</t>
        </is>
      </c>
      <c r="C99" s="7" t="inlineStr">
        <is>
          <t>AGCN NITROGEN 1X20L</t>
        </is>
      </c>
      <c r="D99" s="8" t="inlineStr">
        <is>
          <t>AGCN NITROGEN</t>
        </is>
      </c>
      <c r="E99" s="7" t="inlineStr">
        <is>
          <t>Fertilizante Mineral / Organomineral</t>
        </is>
      </c>
      <c r="F99" s="7" t="inlineStr">
        <is>
          <t>Fertilizantes</t>
        </is>
      </c>
      <c r="G99" s="7" t="inlineStr">
        <is>
          <t>Fertilizante Mineral Simples (Nitrogenado)</t>
        </is>
      </c>
      <c r="H99" s="7" t="inlineStr">
        <is>
          <t>SL</t>
        </is>
      </c>
      <c r="I99" s="7" t="inlineStr">
        <is>
          <t>Solução / Suspensão Concentrada Foliar (Fluido)</t>
        </is>
      </c>
      <c r="J99" s="7" t="inlineStr">
        <is>
          <t>Aplicação via solo, fertirrigação ou adubação foliar</t>
        </is>
      </c>
      <c r="K99" s="7" t="inlineStr">
        <is>
          <t>Fertilizante Mineral / Organomineral (Lei nº 6.894/1980)</t>
        </is>
      </c>
      <c r="L99" s="7" t="inlineStr">
        <is>
          <t>Nutrição Vegetal SIPEAGRO</t>
        </is>
      </c>
      <c r="M99" s="7" t="inlineStr">
        <is>
          <t>Fornecimento de macro e micronutrientes essenciais ao metabolismo vegetal</t>
        </is>
      </c>
      <c r="N99" s="7" t="inlineStr">
        <is>
          <t>Isento ANVISA (Produto Fertilizante Registrado no SIPEAGRO/MAPA)</t>
        </is>
      </c>
      <c r="O99" s="7" t="inlineStr">
        <is>
          <t>Não Aplicável (Fertilizante)</t>
        </is>
      </c>
      <c r="P99" s="7" t="inlineStr">
        <is>
          <t>Baixo Potencial Poluidor (Uso conforme recomendação agronômica)</t>
        </is>
      </c>
      <c r="Q99" s="9" t="n">
        <v>0</v>
      </c>
      <c r="R99" s="7" t="inlineStr">
        <is>
          <t>Aplicação Dirigida / TS / Solo</t>
        </is>
      </c>
      <c r="S99" s="7" t="inlineStr">
        <is>
          <t>Tratamento sintomático em caso de ingestão acidental</t>
        </is>
      </c>
      <c r="T99" s="7" t="inlineStr">
        <is>
          <t>Estabelecimento Produtor SIPEAGRO/MAPA</t>
        </is>
      </c>
      <c r="U99" s="10">
        <f>HYPERLINK("https://www.gov.br/agricultura/pt-br/assuntos/insumos-agropecuarios/insumos-agricolas/fertilizantes", "Portal SIPEAGRO / MAPA — Fertilizantes e Bioinsumos")</f>
        <v/>
      </c>
    </row>
    <row r="100" ht="22" customHeight="1">
      <c r="A100" s="11" t="n">
        <v>95</v>
      </c>
      <c r="B100" s="12" t="inlineStr">
        <is>
          <t>SIPEAGRO (UF-XXXXX)</t>
        </is>
      </c>
      <c r="C100" s="13" t="inlineStr">
        <is>
          <t>AGCN NITROGEN 30% 1X20L</t>
        </is>
      </c>
      <c r="D100" s="14" t="inlineStr">
        <is>
          <t>AGCN NITROGEN 30%</t>
        </is>
      </c>
      <c r="E100" s="13" t="inlineStr">
        <is>
          <t>Fertilizante Mineral / Organomineral</t>
        </is>
      </c>
      <c r="F100" s="13" t="inlineStr">
        <is>
          <t>Fertilizantes</t>
        </is>
      </c>
      <c r="G100" s="13" t="inlineStr">
        <is>
          <t>Fertilizante Mineral Simples (Nitrogenado)</t>
        </is>
      </c>
      <c r="H100" s="13" t="inlineStr">
        <is>
          <t>SL</t>
        </is>
      </c>
      <c r="I100" s="13" t="inlineStr">
        <is>
          <t>Solução / Suspensão Concentrada Foliar (Fluido)</t>
        </is>
      </c>
      <c r="J100" s="13" t="inlineStr">
        <is>
          <t>Aplicação via solo, fertirrigação ou adubação foliar</t>
        </is>
      </c>
      <c r="K100" s="13" t="inlineStr">
        <is>
          <t>Fertilizante Mineral / Organomineral (Lei nº 6.894/1980)</t>
        </is>
      </c>
      <c r="L100" s="13" t="inlineStr">
        <is>
          <t>Nutrição Vegetal SIPEAGRO</t>
        </is>
      </c>
      <c r="M100" s="13" t="inlineStr">
        <is>
          <t>Fornecimento de macro e micronutrientes essenciais ao metabolismo vegetal</t>
        </is>
      </c>
      <c r="N100" s="13" t="inlineStr">
        <is>
          <t>Isento ANVISA (Produto Fertilizante Registrado no SIPEAGRO/MAPA)</t>
        </is>
      </c>
      <c r="O100" s="13" t="inlineStr">
        <is>
          <t>Não Aplicável (Fertilizante)</t>
        </is>
      </c>
      <c r="P100" s="13" t="inlineStr">
        <is>
          <t>Baixo Potencial Poluidor (Uso conforme recomendação agronômica)</t>
        </is>
      </c>
      <c r="Q100" s="15" t="n">
        <v>0</v>
      </c>
      <c r="R100" s="13" t="inlineStr">
        <is>
          <t>Aplicação Dirigida / TS / Solo</t>
        </is>
      </c>
      <c r="S100" s="13" t="inlineStr">
        <is>
          <t>Tratamento sintomático em caso de ingestão acidental</t>
        </is>
      </c>
      <c r="T100" s="13" t="inlineStr">
        <is>
          <t>Estabelecimento Produtor SIPEAGRO/MAPA</t>
        </is>
      </c>
      <c r="U100" s="16">
        <f>HYPERLINK("https://www.gov.br/agricultura/pt-br/assuntos/insumos-agropecuarios/insumos-agricolas/fertilizantes", "Portal SIPEAGRO / MAPA — Fertilizantes e Bioinsumos")</f>
        <v/>
      </c>
    </row>
    <row r="101" ht="22" customHeight="1">
      <c r="A101" s="5" t="n">
        <v>96</v>
      </c>
      <c r="B101" s="6" t="inlineStr">
        <is>
          <t>SIPEAGRO (UF-XXXXX)</t>
        </is>
      </c>
      <c r="C101" s="7" t="inlineStr">
        <is>
          <t>AGCN MAG ULTRA 1X20L</t>
        </is>
      </c>
      <c r="D101" s="8" t="inlineStr">
        <is>
          <t>AGCN MAG ULTRA</t>
        </is>
      </c>
      <c r="E101" s="7" t="inlineStr">
        <is>
          <t>Fertilizante Mineral / Organomineral</t>
        </is>
      </c>
      <c r="F101" s="7" t="inlineStr">
        <is>
          <t>Fertilizantes</t>
        </is>
      </c>
      <c r="G101" s="7" t="inlineStr">
        <is>
          <t>Fertilizante Organomineral / Bioestimulante</t>
        </is>
      </c>
      <c r="H101" s="7" t="inlineStr">
        <is>
          <t>SL</t>
        </is>
      </c>
      <c r="I101" s="7" t="inlineStr">
        <is>
          <t>Solução / Suspensão Concentrada Foliar (Fluido)</t>
        </is>
      </c>
      <c r="J101" s="7" t="inlineStr">
        <is>
          <t>Aplicação via solo, fertirrigação ou adubação foliar</t>
        </is>
      </c>
      <c r="K101" s="7" t="inlineStr">
        <is>
          <t>Fertilizante Mineral / Organomineral (Lei nº 6.894/1980)</t>
        </is>
      </c>
      <c r="L101" s="7" t="inlineStr">
        <is>
          <t>Nutrição Vegetal SIPEAGRO</t>
        </is>
      </c>
      <c r="M101" s="7" t="inlineStr">
        <is>
          <t>Fornecimento de macro e micronutrientes essenciais ao metabolismo vegetal</t>
        </is>
      </c>
      <c r="N101" s="7" t="inlineStr">
        <is>
          <t>Isento ANVISA (Produto Fertilizante Registrado no SIPEAGRO/MAPA)</t>
        </is>
      </c>
      <c r="O101" s="7" t="inlineStr">
        <is>
          <t>Não Aplicável (Fertilizante)</t>
        </is>
      </c>
      <c r="P101" s="7" t="inlineStr">
        <is>
          <t>Baixo Potencial Poluidor (Uso conforme recomendação agronômica)</t>
        </is>
      </c>
      <c r="Q101" s="9" t="n">
        <v>0</v>
      </c>
      <c r="R101" s="7" t="inlineStr">
        <is>
          <t>Aplicação Dirigida / TS / Solo</t>
        </is>
      </c>
      <c r="S101" s="7" t="inlineStr">
        <is>
          <t>Tratamento sintomático em caso de ingestão acidental</t>
        </is>
      </c>
      <c r="T101" s="7" t="inlineStr">
        <is>
          <t>Estabelecimento Produtor SIPEAGRO/MAPA</t>
        </is>
      </c>
      <c r="U101" s="10">
        <f>HYPERLINK("https://www.gov.br/agricultura/pt-br/assuntos/insumos-agropecuarios/insumos-agricolas/fertilizantes", "Portal SIPEAGRO / MAPA — Fertilizantes e Bioinsumos")</f>
        <v/>
      </c>
    </row>
    <row r="102" ht="22" customHeight="1">
      <c r="A102" s="11" t="n">
        <v>97</v>
      </c>
      <c r="B102" s="12" t="inlineStr">
        <is>
          <t>SIPEAGRO (UF-XXXXX)</t>
        </is>
      </c>
      <c r="C102" s="13" t="inlineStr">
        <is>
          <t>AGCN FULL ULTRA 1X20L</t>
        </is>
      </c>
      <c r="D102" s="14" t="inlineStr">
        <is>
          <t>AGCN FULL ULTRA</t>
        </is>
      </c>
      <c r="E102" s="13" t="inlineStr">
        <is>
          <t>Fertilizante Mineral / Organomineral</t>
        </is>
      </c>
      <c r="F102" s="13" t="inlineStr">
        <is>
          <t>Fertilizantes</t>
        </is>
      </c>
      <c r="G102" s="13" t="inlineStr">
        <is>
          <t>Fertilizante Organomineral / Bioestimulante</t>
        </is>
      </c>
      <c r="H102" s="13" t="inlineStr">
        <is>
          <t>SL</t>
        </is>
      </c>
      <c r="I102" s="13" t="inlineStr">
        <is>
          <t>Solução / Suspensão Concentrada Foliar (Fluido)</t>
        </is>
      </c>
      <c r="J102" s="13" t="inlineStr">
        <is>
          <t>Aplicação via solo, fertirrigação ou adubação foliar</t>
        </is>
      </c>
      <c r="K102" s="13" t="inlineStr">
        <is>
          <t>Fertilizante Mineral / Organomineral (Lei nº 6.894/1980)</t>
        </is>
      </c>
      <c r="L102" s="13" t="inlineStr">
        <is>
          <t>Nutrição Vegetal SIPEAGRO</t>
        </is>
      </c>
      <c r="M102" s="13" t="inlineStr">
        <is>
          <t>Fornecimento de macro e micronutrientes essenciais ao metabolismo vegetal</t>
        </is>
      </c>
      <c r="N102" s="13" t="inlineStr">
        <is>
          <t>Isento ANVISA (Produto Fertilizante Registrado no SIPEAGRO/MAPA)</t>
        </is>
      </c>
      <c r="O102" s="13" t="inlineStr">
        <is>
          <t>Não Aplicável (Fertilizante)</t>
        </is>
      </c>
      <c r="P102" s="13" t="inlineStr">
        <is>
          <t>Baixo Potencial Poluidor (Uso conforme recomendação agronômica)</t>
        </is>
      </c>
      <c r="Q102" s="15" t="n">
        <v>0</v>
      </c>
      <c r="R102" s="13" t="inlineStr">
        <is>
          <t>Aplicação Dirigida / TS / Solo</t>
        </is>
      </c>
      <c r="S102" s="13" t="inlineStr">
        <is>
          <t>Tratamento sintomático em caso de ingestão acidental</t>
        </is>
      </c>
      <c r="T102" s="13" t="inlineStr">
        <is>
          <t>Estabelecimento Produtor SIPEAGRO/MAPA</t>
        </is>
      </c>
      <c r="U102" s="16">
        <f>HYPERLINK("https://www.gov.br/agricultura/pt-br/assuntos/insumos-agropecuarios/insumos-agricolas/fertilizantes", "Portal SIPEAGRO / MAPA — Fertilizantes e Bioinsumos")</f>
        <v/>
      </c>
    </row>
    <row r="103" ht="22" customHeight="1">
      <c r="A103" s="5" t="n">
        <v>98</v>
      </c>
      <c r="B103" s="6" t="inlineStr">
        <is>
          <t>ISENTO (ATO 104/2017)</t>
        </is>
      </c>
      <c r="C103" s="7" t="inlineStr">
        <is>
          <t>AGRICOIL CITRUS 1X20L</t>
        </is>
      </c>
      <c r="D103" s="8" t="inlineStr">
        <is>
          <t>AGRICOIL CITRUS</t>
        </is>
      </c>
      <c r="E103" s="7" t="inlineStr">
        <is>
          <t>Adjuvante / Espalhante Adesivo</t>
        </is>
      </c>
      <c r="F103" s="7" t="inlineStr">
        <is>
          <t>Adjuvantes</t>
        </is>
      </c>
      <c r="G103" s="7" t="inlineStr">
        <is>
          <t>Óleo Vegetal / Éster Metílico / D-Limoneno Adjuvante</t>
        </is>
      </c>
      <c r="H103" s="7" t="inlineStr">
        <is>
          <t>EC</t>
        </is>
      </c>
      <c r="I103" s="7" t="inlineStr">
        <is>
          <t>Concentrado Emulsionável (EC)</t>
        </is>
      </c>
      <c r="J103" s="7" t="inlineStr">
        <is>
          <t>Aditivo físico-químico para calda de pulverização</t>
        </is>
      </c>
      <c r="K103" s="7" t="inlineStr">
        <is>
          <t>Éster Metílico / Hidrocarboneto Parafínico / Tensoativo Siliconado</t>
        </is>
      </c>
      <c r="L103" s="7" t="inlineStr">
        <is>
          <t>Adjuvante Tecnológico de Pulverização</t>
        </is>
      </c>
      <c r="M103" s="7" t="inlineStr">
        <is>
          <t>Redução da tensão superficial, espalhamento, anti-deriva e penetração cuticular</t>
        </is>
      </c>
      <c r="N103" s="7" t="inlineStr">
        <is>
          <t>Isento / Ato SDA nº 104/2017 (ou Categoria 5 quando registrado)</t>
        </is>
      </c>
      <c r="O103" s="7" t="inlineStr">
        <is>
          <t>Azul / Isento</t>
        </is>
      </c>
      <c r="P103" s="7" t="inlineStr">
        <is>
          <t>Classe IV — Pouco Perigoso ao Meio Ambiente</t>
        </is>
      </c>
      <c r="Q103" s="9" t="n">
        <v>24</v>
      </c>
      <c r="R103" s="7" t="inlineStr">
        <is>
          <t>Terrestre / Aérea (Drones consultar bula)</t>
        </is>
      </c>
      <c r="S103" s="7" t="inlineStr">
        <is>
          <t>Tratamento sintomático; evitar indução de vômito em derivados de petróleo</t>
        </is>
      </c>
      <c r="T103" s="7" t="inlineStr">
        <is>
          <t>Dispensado de Registro (Ato SDA nº 104/2017)</t>
        </is>
      </c>
      <c r="U103" s="10">
        <f>HYPERLINK("https://www.gov.br/agricultura/pt-br/assuntos/insumos-agropecuarios/insumos-agricolas/agrotoxicos/legislacao", "Ato SDA/MAPA nº 104/2017 — Adjuvantes Agrícolas")</f>
        <v/>
      </c>
    </row>
    <row r="104" ht="22" customHeight="1">
      <c r="A104" s="11" t="n">
        <v>99</v>
      </c>
      <c r="B104" s="12" t="inlineStr">
        <is>
          <t>ISENTO (ATO 104/2017)</t>
        </is>
      </c>
      <c r="C104" s="13" t="inlineStr">
        <is>
          <t>AGRICOIL CITRUS 4X5L</t>
        </is>
      </c>
      <c r="D104" s="14" t="inlineStr">
        <is>
          <t>AGRICOIL CITRUS</t>
        </is>
      </c>
      <c r="E104" s="13" t="inlineStr">
        <is>
          <t>Adjuvante / Espalhante Adesivo</t>
        </is>
      </c>
      <c r="F104" s="13" t="inlineStr">
        <is>
          <t>Adjuvantes</t>
        </is>
      </c>
      <c r="G104" s="13" t="inlineStr">
        <is>
          <t>Óleo Vegetal / Éster Metílico / D-Limoneno Adjuvante</t>
        </is>
      </c>
      <c r="H104" s="13" t="inlineStr">
        <is>
          <t>EC</t>
        </is>
      </c>
      <c r="I104" s="13" t="inlineStr">
        <is>
          <t>Concentrado Emulsionável (EC)</t>
        </is>
      </c>
      <c r="J104" s="13" t="inlineStr">
        <is>
          <t>Aditivo físico-químico para calda de pulverização</t>
        </is>
      </c>
      <c r="K104" s="13" t="inlineStr">
        <is>
          <t>Éster Metílico / Hidrocarboneto Parafínico / Tensoativo Siliconado</t>
        </is>
      </c>
      <c r="L104" s="13" t="inlineStr">
        <is>
          <t>Adjuvante Tecnológico de Pulverização</t>
        </is>
      </c>
      <c r="M104" s="13" t="inlineStr">
        <is>
          <t>Redução da tensão superficial, espalhamento, anti-deriva e penetração cuticular</t>
        </is>
      </c>
      <c r="N104" s="13" t="inlineStr">
        <is>
          <t>Isento / Ato SDA nº 104/2017 (ou Categoria 5 quando registrado)</t>
        </is>
      </c>
      <c r="O104" s="13" t="inlineStr">
        <is>
          <t>Azul / Isento</t>
        </is>
      </c>
      <c r="P104" s="13" t="inlineStr">
        <is>
          <t>Classe IV — Pouco Perigoso ao Meio Ambiente</t>
        </is>
      </c>
      <c r="Q104" s="15" t="n">
        <v>24</v>
      </c>
      <c r="R104" s="13" t="inlineStr">
        <is>
          <t>Terrestre / Aérea (Drones consultar bula)</t>
        </is>
      </c>
      <c r="S104" s="13" t="inlineStr">
        <is>
          <t>Tratamento sintomático; evitar indução de vômito em derivados de petróleo</t>
        </is>
      </c>
      <c r="T104" s="13" t="inlineStr">
        <is>
          <t>Dispensado de Registro (Ato SDA nº 104/2017)</t>
        </is>
      </c>
      <c r="U104" s="16">
        <f>HYPERLINK("https://www.gov.br/agricultura/pt-br/assuntos/insumos-agropecuarios/insumos-agricolas/agrotoxicos/legislacao", "Ato SDA/MAPA nº 104/2017 — Adjuvantes Agrícolas")</f>
        <v/>
      </c>
    </row>
    <row r="105" ht="22" customHeight="1">
      <c r="A105" s="5" t="n">
        <v>100</v>
      </c>
      <c r="B105" s="6" t="inlineStr">
        <is>
          <t>ISENTO (ATO 104/2017)</t>
        </is>
      </c>
      <c r="C105" s="7" t="inlineStr">
        <is>
          <t>AGRICOIL MINERAL YPF 1X20L</t>
        </is>
      </c>
      <c r="D105" s="8" t="inlineStr">
        <is>
          <t>AGRICOIL MINERAL YPF</t>
        </is>
      </c>
      <c r="E105" s="7" t="inlineStr">
        <is>
          <t>Adjuvante / Espalhante Adesivo</t>
        </is>
      </c>
      <c r="F105" s="7" t="inlineStr">
        <is>
          <t>Adjuvantes</t>
        </is>
      </c>
      <c r="G105" s="7" t="inlineStr">
        <is>
          <t>Óleo Mineral Adjuvante</t>
        </is>
      </c>
      <c r="H105" s="7" t="inlineStr">
        <is>
          <t>EC</t>
        </is>
      </c>
      <c r="I105" s="7" t="inlineStr">
        <is>
          <t>Concentrado Emulsionável (EC)</t>
        </is>
      </c>
      <c r="J105" s="7" t="inlineStr">
        <is>
          <t>Aditivo físico-químico para calda de pulverização</t>
        </is>
      </c>
      <c r="K105" s="7" t="inlineStr">
        <is>
          <t>Éster Metílico / Hidrocarboneto Parafínico / Tensoativo Siliconado</t>
        </is>
      </c>
      <c r="L105" s="7" t="inlineStr">
        <is>
          <t>Adjuvante Tecnológico de Pulverização</t>
        </is>
      </c>
      <c r="M105" s="7" t="inlineStr">
        <is>
          <t>Redução da tensão superficial, espalhamento, anti-deriva e penetração cuticular</t>
        </is>
      </c>
      <c r="N105" s="7" t="inlineStr">
        <is>
          <t>Isento / Ato SDA nº 104/2017 (ou Categoria 5 quando registrado)</t>
        </is>
      </c>
      <c r="O105" s="7" t="inlineStr">
        <is>
          <t>Azul / Isento</t>
        </is>
      </c>
      <c r="P105" s="7" t="inlineStr">
        <is>
          <t>Classe IV — Pouco Perigoso ao Meio Ambiente</t>
        </is>
      </c>
      <c r="Q105" s="9" t="n">
        <v>24</v>
      </c>
      <c r="R105" s="7" t="inlineStr">
        <is>
          <t>Terrestre / Aérea (Drones consultar bula)</t>
        </is>
      </c>
      <c r="S105" s="7" t="inlineStr">
        <is>
          <t>Tratamento sintomático; evitar indução de vômito em derivados de petróleo</t>
        </is>
      </c>
      <c r="T105" s="7" t="inlineStr">
        <is>
          <t>Dispensado de Registro (Ato SDA nº 104/2017)</t>
        </is>
      </c>
      <c r="U105" s="10">
        <f>HYPERLINK("https://www.gov.br/agricultura/pt-br/assuntos/insumos-agropecuarios/insumos-agricolas/agrotoxicos/legislacao", "Ato SDA/MAPA nº 104/2017 — Adjuvantes Agrícolas")</f>
        <v/>
      </c>
    </row>
    <row r="106" ht="22" customHeight="1">
      <c r="A106" s="11" t="n">
        <v>101</v>
      </c>
      <c r="B106" s="12" t="inlineStr">
        <is>
          <t>ISENTO (ATO 104/2017)</t>
        </is>
      </c>
      <c r="C106" s="13" t="inlineStr">
        <is>
          <t>AGRICOIL MINERAL 1X25L</t>
        </is>
      </c>
      <c r="D106" s="14" t="inlineStr">
        <is>
          <t>AGRICOIL MINERAL</t>
        </is>
      </c>
      <c r="E106" s="13" t="inlineStr">
        <is>
          <t>Adjuvante / Espalhante Adesivo</t>
        </is>
      </c>
      <c r="F106" s="13" t="inlineStr">
        <is>
          <t>Adjuvantes</t>
        </is>
      </c>
      <c r="G106" s="13" t="inlineStr">
        <is>
          <t>Óleo Mineral Adjuvante</t>
        </is>
      </c>
      <c r="H106" s="13" t="inlineStr">
        <is>
          <t>EC</t>
        </is>
      </c>
      <c r="I106" s="13" t="inlineStr">
        <is>
          <t>Concentrado Emulsionável (EC)</t>
        </is>
      </c>
      <c r="J106" s="13" t="inlineStr">
        <is>
          <t>Aditivo físico-químico para calda de pulverização</t>
        </is>
      </c>
      <c r="K106" s="13" t="inlineStr">
        <is>
          <t>Éster Metílico / Hidrocarboneto Parafínico / Tensoativo Siliconado</t>
        </is>
      </c>
      <c r="L106" s="13" t="inlineStr">
        <is>
          <t>Adjuvante Tecnológico de Pulverização</t>
        </is>
      </c>
      <c r="M106" s="13" t="inlineStr">
        <is>
          <t>Redução da tensão superficial, espalhamento, anti-deriva e penetração cuticular</t>
        </is>
      </c>
      <c r="N106" s="13" t="inlineStr">
        <is>
          <t>Isento / Ato SDA nº 104/2017 (ou Categoria 5 quando registrado)</t>
        </is>
      </c>
      <c r="O106" s="13" t="inlineStr">
        <is>
          <t>Azul / Isento</t>
        </is>
      </c>
      <c r="P106" s="13" t="inlineStr">
        <is>
          <t>Classe IV — Pouco Perigoso ao Meio Ambiente</t>
        </is>
      </c>
      <c r="Q106" s="15" t="n">
        <v>24</v>
      </c>
      <c r="R106" s="13" t="inlineStr">
        <is>
          <t>Terrestre / Aérea (Drones consultar bula)</t>
        </is>
      </c>
      <c r="S106" s="13" t="inlineStr">
        <is>
          <t>Tratamento sintomático; evitar indução de vômito em derivados de petróleo</t>
        </is>
      </c>
      <c r="T106" s="13" t="inlineStr">
        <is>
          <t>Dispensado de Registro (Ato SDA nº 104/2017)</t>
        </is>
      </c>
      <c r="U106" s="16">
        <f>HYPERLINK("https://www.gov.br/agricultura/pt-br/assuntos/insumos-agropecuarios/insumos-agricolas/agrotoxicos/legislacao", "Ato SDA/MAPA nº 104/2017 — Adjuvantes Agrícolas")</f>
        <v/>
      </c>
    </row>
    <row r="107" ht="22" customHeight="1">
      <c r="A107" s="5" t="n">
        <v>102</v>
      </c>
      <c r="B107" s="6" t="inlineStr">
        <is>
          <t>ISENTO (ATO 104/2017)</t>
        </is>
      </c>
      <c r="C107" s="7" t="inlineStr">
        <is>
          <t>AGRICOIL VEGETAL 1X25L</t>
        </is>
      </c>
      <c r="D107" s="8" t="inlineStr">
        <is>
          <t>AGRICOIL VEGETAL</t>
        </is>
      </c>
      <c r="E107" s="7" t="inlineStr">
        <is>
          <t>Adjuvante / Espalhante Adesivo</t>
        </is>
      </c>
      <c r="F107" s="7" t="inlineStr">
        <is>
          <t>Adjuvantes</t>
        </is>
      </c>
      <c r="G107" s="7" t="inlineStr">
        <is>
          <t>Óleo Vegetal / Éster Metílico / D-Limoneno Adjuvante</t>
        </is>
      </c>
      <c r="H107" s="7" t="inlineStr">
        <is>
          <t>EC</t>
        </is>
      </c>
      <c r="I107" s="7" t="inlineStr">
        <is>
          <t>Concentrado Emulsionável (EC)</t>
        </is>
      </c>
      <c r="J107" s="7" t="inlineStr">
        <is>
          <t>Aditivo físico-químico para calda de pulverização</t>
        </is>
      </c>
      <c r="K107" s="7" t="inlineStr">
        <is>
          <t>Éster Metílico / Hidrocarboneto Parafínico / Tensoativo Siliconado</t>
        </is>
      </c>
      <c r="L107" s="7" t="inlineStr">
        <is>
          <t>Adjuvante Tecnológico de Pulverização</t>
        </is>
      </c>
      <c r="M107" s="7" t="inlineStr">
        <is>
          <t>Redução da tensão superficial, espalhamento, anti-deriva e penetração cuticular</t>
        </is>
      </c>
      <c r="N107" s="7" t="inlineStr">
        <is>
          <t>Isento / Ato SDA nº 104/2017 (ou Categoria 5 quando registrado)</t>
        </is>
      </c>
      <c r="O107" s="7" t="inlineStr">
        <is>
          <t>Azul / Isento</t>
        </is>
      </c>
      <c r="P107" s="7" t="inlineStr">
        <is>
          <t>Classe IV — Pouco Perigoso ao Meio Ambiente</t>
        </is>
      </c>
      <c r="Q107" s="9" t="n">
        <v>24</v>
      </c>
      <c r="R107" s="7" t="inlineStr">
        <is>
          <t>Terrestre / Aérea (Drones consultar bula)</t>
        </is>
      </c>
      <c r="S107" s="7" t="inlineStr">
        <is>
          <t>Tratamento sintomático; evitar indução de vômito em derivados de petróleo</t>
        </is>
      </c>
      <c r="T107" s="7" t="inlineStr">
        <is>
          <t>Dispensado de Registro (Ato SDA nº 104/2017)</t>
        </is>
      </c>
      <c r="U107" s="10">
        <f>HYPERLINK("https://www.gov.br/agricultura/pt-br/assuntos/insumos-agropecuarios/insumos-agricolas/agrotoxicos/legislacao", "Ato SDA/MAPA nº 104/2017 — Adjuvantes Agrícolas")</f>
        <v/>
      </c>
    </row>
    <row r="108" ht="22" customHeight="1">
      <c r="A108" s="11" t="n">
        <v>103</v>
      </c>
      <c r="B108" s="12" t="inlineStr">
        <is>
          <t>SIPEAGRO (UF-XXXXX)</t>
        </is>
      </c>
      <c r="C108" s="13" t="inlineStr">
        <is>
          <t>SAGERSOLOS FORCE 1X1KG</t>
        </is>
      </c>
      <c r="D108" s="14" t="inlineStr">
        <is>
          <t>SAGERSOLOS FORCE</t>
        </is>
      </c>
      <c r="E108" s="13" t="inlineStr">
        <is>
          <t>Fertilizante Mineral / Organomineral</t>
        </is>
      </c>
      <c r="F108" s="13" t="inlineStr">
        <is>
          <t>Fertilizantes</t>
        </is>
      </c>
      <c r="G108" s="13" t="inlineStr">
        <is>
          <t>Fertilizante Foliar / Micronutrientes</t>
        </is>
      </c>
      <c r="H108" s="13" t="inlineStr">
        <is>
          <t>Granulado</t>
        </is>
      </c>
      <c r="I108" s="13" t="inlineStr">
        <is>
          <t>Formulação Padrão (Granulado / Solúvel / Suspensão)</t>
        </is>
      </c>
      <c r="J108" s="13" t="inlineStr">
        <is>
          <t>Aplicação via solo, fertirrigação ou adubação foliar</t>
        </is>
      </c>
      <c r="K108" s="13" t="inlineStr">
        <is>
          <t>Fertilizante Mineral / Organomineral (Lei nº 6.894/1980)</t>
        </is>
      </c>
      <c r="L108" s="13" t="inlineStr">
        <is>
          <t>Nutrição Vegetal SIPEAGRO</t>
        </is>
      </c>
      <c r="M108" s="13" t="inlineStr">
        <is>
          <t>Fornecimento de macro e micronutrientes essenciais ao metabolismo vegetal</t>
        </is>
      </c>
      <c r="N108" s="13" t="inlineStr">
        <is>
          <t>Isento ANVISA (Produto Fertilizante Registrado no SIPEAGRO/MAPA)</t>
        </is>
      </c>
      <c r="O108" s="13" t="inlineStr">
        <is>
          <t>Não Aplicável (Fertilizante)</t>
        </is>
      </c>
      <c r="P108" s="13" t="inlineStr">
        <is>
          <t>Baixo Potencial Poluidor (Uso conforme recomendação agronômica)</t>
        </is>
      </c>
      <c r="Q108" s="15" t="n">
        <v>0</v>
      </c>
      <c r="R108" s="13" t="inlineStr">
        <is>
          <t>Aplicação Dirigida / TS / Solo</t>
        </is>
      </c>
      <c r="S108" s="13" t="inlineStr">
        <is>
          <t>Tratamento sintomático em caso de ingestão acidental</t>
        </is>
      </c>
      <c r="T108" s="13" t="inlineStr">
        <is>
          <t>Estabelecimento Produtor SIPEAGRO/MAPA</t>
        </is>
      </c>
      <c r="U108" s="16">
        <f>HYPERLINK("https://www.gov.br/agricultura/pt-br/assuntos/insumos-agropecuarios/insumos-agricolas/fertilizantes", "Portal SIPEAGRO / MAPA — Fertilizantes e Bioinsumos")</f>
        <v/>
      </c>
    </row>
    <row r="109" ht="22" customHeight="1">
      <c r="A109" s="5" t="n">
        <v>104</v>
      </c>
      <c r="B109" s="6" t="inlineStr">
        <is>
          <t>SIPEAGRO (UF-XXXXX)</t>
        </is>
      </c>
      <c r="C109" s="7" t="inlineStr">
        <is>
          <t>SAGERSOLOS SINERGY 1X1KG</t>
        </is>
      </c>
      <c r="D109" s="8" t="inlineStr">
        <is>
          <t>SAGERSOLOS SINERGY</t>
        </is>
      </c>
      <c r="E109" s="7" t="inlineStr">
        <is>
          <t>Fertilizante Mineral / Organomineral</t>
        </is>
      </c>
      <c r="F109" s="7" t="inlineStr">
        <is>
          <t>Fertilizantes</t>
        </is>
      </c>
      <c r="G109" s="7" t="inlineStr">
        <is>
          <t>Fertilizante Foliar / Micronutrientes</t>
        </is>
      </c>
      <c r="H109" s="7" t="inlineStr">
        <is>
          <t>Granulado</t>
        </is>
      </c>
      <c r="I109" s="7" t="inlineStr">
        <is>
          <t>Formulação Padrão (Granulado / Solúvel / Suspensão)</t>
        </is>
      </c>
      <c r="J109" s="7" t="inlineStr">
        <is>
          <t>Aplicação via solo, fertirrigação ou adubação foliar</t>
        </is>
      </c>
      <c r="K109" s="7" t="inlineStr">
        <is>
          <t>Fertilizante Mineral / Organomineral (Lei nº 6.894/1980)</t>
        </is>
      </c>
      <c r="L109" s="7" t="inlineStr">
        <is>
          <t>Nutrição Vegetal SIPEAGRO</t>
        </is>
      </c>
      <c r="M109" s="7" t="inlineStr">
        <is>
          <t>Fornecimento de macro e micronutrientes essenciais ao metabolismo vegetal</t>
        </is>
      </c>
      <c r="N109" s="7" t="inlineStr">
        <is>
          <t>Isento ANVISA (Produto Fertilizante Registrado no SIPEAGRO/MAPA)</t>
        </is>
      </c>
      <c r="O109" s="7" t="inlineStr">
        <is>
          <t>Não Aplicável (Fertilizante)</t>
        </is>
      </c>
      <c r="P109" s="7" t="inlineStr">
        <is>
          <t>Baixo Potencial Poluidor (Uso conforme recomendação agronômica)</t>
        </is>
      </c>
      <c r="Q109" s="9" t="n">
        <v>0</v>
      </c>
      <c r="R109" s="7" t="inlineStr">
        <is>
          <t>Aplicação Dirigida / TS / Solo</t>
        </is>
      </c>
      <c r="S109" s="7" t="inlineStr">
        <is>
          <t>Tratamento sintomático em caso de ingestão acidental</t>
        </is>
      </c>
      <c r="T109" s="7" t="inlineStr">
        <is>
          <t>Estabelecimento Produtor SIPEAGRO/MAPA</t>
        </is>
      </c>
      <c r="U109" s="10">
        <f>HYPERLINK("https://www.gov.br/agricultura/pt-br/assuntos/insumos-agropecuarios/insumos-agricolas/fertilizantes", "Portal SIPEAGRO / MAPA — Fertilizantes e Bioinsumos")</f>
        <v/>
      </c>
    </row>
    <row r="110" ht="22" customHeight="1">
      <c r="A110" s="11" t="n">
        <v>105</v>
      </c>
      <c r="B110" s="12" t="inlineStr">
        <is>
          <t>Nº 2808</t>
        </is>
      </c>
      <c r="C110" s="13" t="inlineStr">
        <is>
          <t>TROPERO 1X20L (IMP)</t>
        </is>
      </c>
      <c r="D110" s="14" t="inlineStr">
        <is>
          <t>TROPERO</t>
        </is>
      </c>
      <c r="E110" s="13" t="inlineStr">
        <is>
          <t>Produto Formulado Comercial</t>
        </is>
      </c>
      <c r="F110" s="13" t="inlineStr">
        <is>
          <t>Defensivos</t>
        </is>
      </c>
      <c r="G110" s="13" t="inlineStr">
        <is>
          <t>Herbicida</t>
        </is>
      </c>
      <c r="H110" s="13" t="inlineStr">
        <is>
          <t>SL</t>
        </is>
      </c>
      <c r="I110" s="13" t="inlineStr">
        <is>
          <t>Concentrado Solúvel (SL)</t>
        </is>
      </c>
      <c r="J110" s="13" t="inlineStr">
        <is>
          <t>Herbicida de pré ou pós-emergência</t>
        </is>
      </c>
      <c r="K110" s="13" t="inlineStr">
        <is>
          <t>Ácido piridinocarboxílico</t>
        </is>
      </c>
      <c r="L110" s="13" t="inlineStr">
        <is>
          <t>HRAC Grupo O (4) — Auxinas Sintéticas</t>
        </is>
      </c>
      <c r="M110" s="13" t="inlineStr">
        <is>
          <t>Mimetizadores de auxina sintética</t>
        </is>
      </c>
      <c r="N110" s="13" t="inlineStr">
        <is>
          <t>Categoria 4 / 5 — Pouco Tóxico (Conforme Bula ANVISA)</t>
        </is>
      </c>
      <c r="O110" s="13" t="inlineStr">
        <is>
          <t>Azul PMS Blue 293 C</t>
        </is>
      </c>
      <c r="P110" s="13" t="inlineStr">
        <is>
          <t>Classe II / III — Perigoso ao Meio Ambiente</t>
        </is>
      </c>
      <c r="Q110" s="15" t="n">
        <v>24</v>
      </c>
      <c r="R110" s="13" t="inlineStr">
        <is>
          <t>Terrestre / Aérea (Drones consultar bula)</t>
        </is>
      </c>
      <c r="S110" s="13" t="inlineStr">
        <is>
          <t>Sem antídoto específico; tratamento sintomático e descontaminação</t>
        </is>
      </c>
      <c r="T110" s="13" t="inlineStr">
        <is>
          <t>Corteva / Dow</t>
        </is>
      </c>
      <c r="U110" s="16">
        <f>HYPERLINK("https://agrofit.agricultura.gov.br/agrofit_cons/principal_agrofit_cons", "Consulta Oficial AGROFIT/MAPA (Nº 2808)")</f>
        <v/>
      </c>
    </row>
    <row r="111" ht="22" customHeight="1">
      <c r="A111" s="5" t="n">
        <v>106</v>
      </c>
      <c r="B111" s="6" t="inlineStr">
        <is>
          <t>Nº 14207</t>
        </is>
      </c>
      <c r="C111" s="7" t="inlineStr">
        <is>
          <t>TURUNA 1X20L (IMP)</t>
        </is>
      </c>
      <c r="D111" s="8" t="inlineStr">
        <is>
          <t>TURUNA</t>
        </is>
      </c>
      <c r="E111" s="7" t="inlineStr">
        <is>
          <t>Produto Formulado Comercial</t>
        </is>
      </c>
      <c r="F111" s="7" t="inlineStr">
        <is>
          <t>Defensivos</t>
        </is>
      </c>
      <c r="G111" s="7" t="inlineStr">
        <is>
          <t>Herbicida</t>
        </is>
      </c>
      <c r="H111" s="7" t="inlineStr">
        <is>
          <t>SL</t>
        </is>
      </c>
      <c r="I111" s="7" t="inlineStr">
        <is>
          <t>Concentrado Solúvel (SL)</t>
        </is>
      </c>
      <c r="J111" s="7" t="inlineStr">
        <is>
          <t>Herbicida sistêmico seletivo de pós-emergência para folhas largas</t>
        </is>
      </c>
      <c r="K111" s="7" t="inlineStr">
        <is>
          <t>Ácido ariloxialcanoico + Ácido piridinocarboxílico</t>
        </is>
      </c>
      <c r="L111" s="7" t="inlineStr">
        <is>
          <t>HRAC Grupo O (4) — Auxinas Sintéticas</t>
        </is>
      </c>
      <c r="M111" s="7" t="inlineStr">
        <is>
          <t>Mimetizadores de auxina sintética</t>
        </is>
      </c>
      <c r="N111" s="7" t="inlineStr">
        <is>
          <t>Categoria 4 — Produto Pouco Tóxico</t>
        </is>
      </c>
      <c r="O111" s="7" t="inlineStr">
        <is>
          <t>Azul PMS Blue 293 C</t>
        </is>
      </c>
      <c r="P111" s="7" t="inlineStr">
        <is>
          <t>Classe III — Produto Perigoso ao Meio Ambiente</t>
        </is>
      </c>
      <c r="Q111" s="9" t="n">
        <v>24</v>
      </c>
      <c r="R111" s="7" t="inlineStr">
        <is>
          <t>Terrestre / Aérea (Drones consultar bula)</t>
        </is>
      </c>
      <c r="S111" s="7" t="inlineStr">
        <is>
          <t>Sem antídoto específico; alcalinização urinária e suporte sintomático</t>
        </is>
      </c>
      <c r="T111" s="7" t="inlineStr">
        <is>
          <t>OURO FINO QUÍMICA S.A.</t>
        </is>
      </c>
      <c r="U111" s="10">
        <f>HYPERLINK("https://calculadorarural.com.br/defensivos/produto/turuna", "Bula Oficial Turuna (MAPA 14207)")</f>
        <v/>
      </c>
    </row>
    <row r="112" ht="22" customHeight="1">
      <c r="A112" s="11" t="n">
        <v>107</v>
      </c>
      <c r="B112" s="12" t="inlineStr">
        <is>
          <t>Nº 13420</t>
        </is>
      </c>
      <c r="C112" s="13" t="inlineStr">
        <is>
          <t>APROACH POWER 1X10L</t>
        </is>
      </c>
      <c r="D112" s="14" t="inlineStr">
        <is>
          <t>APROACH POWER</t>
        </is>
      </c>
      <c r="E112" s="13" t="inlineStr">
        <is>
          <t>Produto Formulado Comercial</t>
        </is>
      </c>
      <c r="F112" s="13" t="inlineStr">
        <is>
          <t>Defensivos</t>
        </is>
      </c>
      <c r="G112" s="13" t="inlineStr">
        <is>
          <t>Fungicida</t>
        </is>
      </c>
      <c r="H112" s="13" t="inlineStr">
        <is>
          <t>SC</t>
        </is>
      </c>
      <c r="I112" s="13" t="inlineStr">
        <is>
          <t>Suspensão Concentrada (SC)</t>
        </is>
      </c>
      <c r="J112" s="13" t="inlineStr">
        <is>
          <t>Fungicida preventivo e curativo foliar</t>
        </is>
      </c>
      <c r="K112" s="13" t="inlineStr">
        <is>
          <t>Triazol</t>
        </is>
      </c>
      <c r="L112" s="13" t="inlineStr">
        <is>
          <t>FRAC Grupo 3 (G1 — DMI)</t>
        </is>
      </c>
      <c r="M112" s="13" t="inlineStr">
        <is>
          <t>Inibidores da desmetilação do C14 na biossíntese do ergosterol</t>
        </is>
      </c>
      <c r="N112" s="13" t="inlineStr">
        <is>
          <t>Categoria 4: Produto Pouco Tóxico</t>
        </is>
      </c>
      <c r="O112" s="13" t="inlineStr">
        <is>
          <t>Azul</t>
        </is>
      </c>
      <c r="P112" s="13" t="inlineStr">
        <is>
          <t>Classe II — Produto Muito Perigoso ao Meio Ambiente</t>
        </is>
      </c>
      <c r="Q112" s="15" t="n">
        <v>24</v>
      </c>
      <c r="R112" s="13" t="inlineStr">
        <is>
          <t>Terrestre / Aérea (Drones consultar bula)</t>
        </is>
      </c>
      <c r="S112" s="13" t="inlineStr">
        <is>
          <t>Sem antídoto específico; tratamento sintomático</t>
        </is>
      </c>
      <c r="T112" s="13" t="inlineStr">
        <is>
          <t>CTVA PROTECAO DE CULTIVOS LTDA.</t>
        </is>
      </c>
      <c r="U112" s="16">
        <f>HYPERLINK("https://agrofit.agricultura.gov.br/agrofit_cons/principal_agrofit_cons", "Consulta Oficial AGROFIT/MAPA (Nº 13420)")</f>
        <v/>
      </c>
    </row>
    <row r="113" ht="22" customHeight="1">
      <c r="A113" s="5" t="n">
        <v>108</v>
      </c>
      <c r="B113" s="6" t="inlineStr">
        <is>
          <t>Nº 1419</t>
        </is>
      </c>
      <c r="C113" s="7" t="inlineStr">
        <is>
          <t>TAURA 200 EC 4X5L (IMP)</t>
        </is>
      </c>
      <c r="D113" s="8" t="inlineStr">
        <is>
          <t>TAURA 200 EC</t>
        </is>
      </c>
      <c r="E113" s="7" t="inlineStr">
        <is>
          <t>Produto Formulado Comercial</t>
        </is>
      </c>
      <c r="F113" s="7" t="inlineStr">
        <is>
          <t>Defensivos</t>
        </is>
      </c>
      <c r="G113" s="7" t="inlineStr">
        <is>
          <t>Inseticida</t>
        </is>
      </c>
      <c r="H113" s="7" t="inlineStr">
        <is>
          <t>EC</t>
        </is>
      </c>
      <c r="I113" s="7" t="inlineStr">
        <is>
          <t>Concentrado Emulsionável (EC)</t>
        </is>
      </c>
      <c r="J113" s="7" t="inlineStr">
        <is>
          <t>Inseticida fisiológico regulador de crescimento (contato e translaminar)</t>
        </is>
      </c>
      <c r="K113" s="7" t="inlineStr">
        <is>
          <t>Éter piridiloxipropílico</t>
        </is>
      </c>
      <c r="L113" s="7" t="inlineStr">
        <is>
          <t>IRAC Grupo 7C</t>
        </is>
      </c>
      <c r="M113" s="7" t="inlineStr">
        <is>
          <t>Mimetizadores do hormônio juvenil (Juvenoides)</t>
        </is>
      </c>
      <c r="N113" s="7" t="inlineStr">
        <is>
          <t>Categoria 5 — Produto Improvável de Causar Dano Agudo</t>
        </is>
      </c>
      <c r="O113" s="7" t="inlineStr">
        <is>
          <t>Azul Intenso</t>
        </is>
      </c>
      <c r="P113" s="7" t="inlineStr">
        <is>
          <t>Classe II — Produto Muito Perigoso ao Meio Ambiente</t>
        </is>
      </c>
      <c r="Q113" s="9" t="n">
        <v>24</v>
      </c>
      <c r="R113" s="7" t="inlineStr">
        <is>
          <t>Terrestre / Aérea (Drones consultar bula)</t>
        </is>
      </c>
      <c r="S113" s="7" t="inlineStr">
        <is>
          <t>Sem antídoto específico; tratamento sintomático</t>
        </is>
      </c>
      <c r="T113" s="7" t="inlineStr">
        <is>
          <t>Rainbow / Ourofino</t>
        </is>
      </c>
      <c r="U113" s="10">
        <f>HYPERLINK("https://agrofit.agricultura.gov.br/agrofit_cons/principal_agrofit_cons", "Consulta Oficial AGROFIT/MAPA (Nº 1419)")</f>
        <v/>
      </c>
    </row>
    <row r="114" ht="22" customHeight="1">
      <c r="A114" s="11" t="n">
        <v>109</v>
      </c>
      <c r="B114" s="12" t="inlineStr">
        <is>
          <t>SIPEAGRO (UF-XXXXX)</t>
        </is>
      </c>
      <c r="C114" s="13" t="inlineStr">
        <is>
          <t>AGRIGENTO KIESER 1X25KG</t>
        </is>
      </c>
      <c r="D114" s="14" t="inlineStr">
        <is>
          <t>AGRIGENTO KIESER</t>
        </is>
      </c>
      <c r="E114" s="13" t="inlineStr">
        <is>
          <t>Fertilizante Mineral / Organomineral</t>
        </is>
      </c>
      <c r="F114" s="13" t="inlineStr">
        <is>
          <t>Fertilizantes</t>
        </is>
      </c>
      <c r="G114" s="13" t="inlineStr">
        <is>
          <t>Fertilizante Foliar / Micronutrientes</t>
        </is>
      </c>
      <c r="H114" s="13" t="inlineStr">
        <is>
          <t>Granulado</t>
        </is>
      </c>
      <c r="I114" s="13" t="inlineStr">
        <is>
          <t>Formulação Padrão (Granulado / Solúvel / Suspensão)</t>
        </is>
      </c>
      <c r="J114" s="13" t="inlineStr">
        <is>
          <t>Aplicação via solo, fertirrigação ou adubação foliar</t>
        </is>
      </c>
      <c r="K114" s="13" t="inlineStr">
        <is>
          <t>Fertilizante Mineral / Organomineral (Lei nº 6.894/1980)</t>
        </is>
      </c>
      <c r="L114" s="13" t="inlineStr">
        <is>
          <t>Nutrição Vegetal SIPEAGRO</t>
        </is>
      </c>
      <c r="M114" s="13" t="inlineStr">
        <is>
          <t>Fornecimento de macro e micronutrientes essenciais ao metabolismo vegetal</t>
        </is>
      </c>
      <c r="N114" s="13" t="inlineStr">
        <is>
          <t>Isento ANVISA (Produto Fertilizante Registrado no SIPEAGRO/MAPA)</t>
        </is>
      </c>
      <c r="O114" s="13" t="inlineStr">
        <is>
          <t>Não Aplicável (Fertilizante)</t>
        </is>
      </c>
      <c r="P114" s="13" t="inlineStr">
        <is>
          <t>Baixo Potencial Poluidor (Uso conforme recomendação agronômica)</t>
        </is>
      </c>
      <c r="Q114" s="15" t="n">
        <v>0</v>
      </c>
      <c r="R114" s="13" t="inlineStr">
        <is>
          <t>Aplicação Dirigida / TS / Solo</t>
        </is>
      </c>
      <c r="S114" s="13" t="inlineStr">
        <is>
          <t>Tratamento sintomático em caso de ingestão acidental</t>
        </is>
      </c>
      <c r="T114" s="13" t="inlineStr">
        <is>
          <t>Estabelecimento Produtor SIPEAGRO/MAPA</t>
        </is>
      </c>
      <c r="U114" s="16">
        <f>HYPERLINK("https://www.gov.br/agricultura/pt-br/assuntos/insumos-agropecuarios/insumos-agricolas/fertilizantes", "Portal SIPEAGRO / MAPA — Fertilizantes e Bioinsumos")</f>
        <v/>
      </c>
    </row>
    <row r="115" ht="22" customHeight="1">
      <c r="A115" s="5" t="n">
        <v>110</v>
      </c>
      <c r="B115" s="6" t="inlineStr">
        <is>
          <t>Nº 8215</t>
        </is>
      </c>
      <c r="C115" s="7" t="inlineStr">
        <is>
          <t>FEZAN GOLD 1X20L</t>
        </is>
      </c>
      <c r="D115" s="8" t="inlineStr">
        <is>
          <t>FEZAN GOLD</t>
        </is>
      </c>
      <c r="E115" s="7" t="inlineStr">
        <is>
          <t>Produto Formulado Comercial</t>
        </is>
      </c>
      <c r="F115" s="7" t="inlineStr">
        <is>
          <t>Defensivos</t>
        </is>
      </c>
      <c r="G115" s="7" t="inlineStr">
        <is>
          <t>Fungicida</t>
        </is>
      </c>
      <c r="H115" s="7" t="inlineStr">
        <is>
          <t>SC</t>
        </is>
      </c>
      <c r="I115" s="7" t="inlineStr">
        <is>
          <t>Suspensão Concentrada (SC)</t>
        </is>
      </c>
      <c r="J115" s="7" t="inlineStr">
        <is>
          <t>Fungicida protetor de contato multissítio (manejo anti-resistência)</t>
        </is>
      </c>
      <c r="K115" s="7" t="inlineStr">
        <is>
          <t>Isoftalonitrila</t>
        </is>
      </c>
      <c r="L115" s="7" t="inlineStr">
        <is>
          <t>FRAC Grupo M05 — Multissítio</t>
        </is>
      </c>
      <c r="M115" s="7" t="inlineStr">
        <is>
          <t>Atividade de contato multissítio (inativação de grupos tiol enzimáticos)</t>
        </is>
      </c>
      <c r="N115" s="7" t="inlineStr">
        <is>
          <t>Categoria 2 / 3 — Altamente a Moderadamente Tóxico</t>
        </is>
      </c>
      <c r="O115" s="7" t="inlineStr">
        <is>
          <t>Vermelho / Amarelo</t>
        </is>
      </c>
      <c r="P115" s="7" t="inlineStr">
        <is>
          <t>Classe II — Produto Muito Perigoso ao Meio Ambiente</t>
        </is>
      </c>
      <c r="Q115" s="9" t="n">
        <v>24</v>
      </c>
      <c r="R115" s="7" t="inlineStr">
        <is>
          <t>Terrestre / Aérea (Drones consultar bula)</t>
        </is>
      </c>
      <c r="S115" s="7" t="inlineStr">
        <is>
          <t>Sem antídoto específico; tratamento sintomático e descontaminação ocular/cutânea</t>
        </is>
      </c>
      <c r="T115" s="7" t="inlineStr">
        <is>
          <t>Oxon / Sipcam Nichino</t>
        </is>
      </c>
      <c r="U115" s="10">
        <f>HYPERLINK("https://www.adapar.pr.gov.br/Pagina/Agrotoxicos-Fungicidas", "Registro Oficial Fezan Gold SC (MAPA 8215)")</f>
        <v/>
      </c>
    </row>
    <row r="116" ht="22" customHeight="1">
      <c r="A116" s="11" t="n">
        <v>111</v>
      </c>
      <c r="B116" s="12" t="inlineStr">
        <is>
          <t>Nº 20920</t>
        </is>
      </c>
      <c r="C116" s="13" t="inlineStr">
        <is>
          <t>CLICK 1X20L</t>
        </is>
      </c>
      <c r="D116" s="14" t="inlineStr">
        <is>
          <t>CLICK</t>
        </is>
      </c>
      <c r="E116" s="13" t="inlineStr">
        <is>
          <t>Produto Formulado Comercial</t>
        </is>
      </c>
      <c r="F116" s="13" t="inlineStr">
        <is>
          <t>Defensivos</t>
        </is>
      </c>
      <c r="G116" s="13" t="inlineStr">
        <is>
          <t>Herbicida</t>
        </is>
      </c>
      <c r="H116" s="13" t="inlineStr">
        <is>
          <t>SC</t>
        </is>
      </c>
      <c r="I116" s="13" t="inlineStr">
        <is>
          <t>Suspensão Concentrada (SC)</t>
        </is>
      </c>
      <c r="J116" s="13" t="inlineStr">
        <is>
          <t>Herbicida de pré ou pós-emergência</t>
        </is>
      </c>
      <c r="K116" s="13" t="inlineStr">
        <is>
          <t>Triazina (Clorotriazina)</t>
        </is>
      </c>
      <c r="L116" s="13" t="inlineStr">
        <is>
          <t>HRAC Grupo C1 (5) — Inibidores do Fotossistema II</t>
        </is>
      </c>
      <c r="M116" s="13" t="inlineStr">
        <is>
          <t>Inibição do transporte de elétrons no Fotossistema II</t>
        </is>
      </c>
      <c r="N116" s="13" t="inlineStr">
        <is>
          <t>Categoria 4 / 5 — Pouco Tóxico (Conforme Bula ANVISA)</t>
        </is>
      </c>
      <c r="O116" s="13" t="inlineStr">
        <is>
          <t>Azul PMS Blue 293 C</t>
        </is>
      </c>
      <c r="P116" s="13" t="inlineStr">
        <is>
          <t>Classe II / III — Perigoso ao Meio Ambiente</t>
        </is>
      </c>
      <c r="Q116" s="15" t="n">
        <v>24</v>
      </c>
      <c r="R116" s="13" t="inlineStr">
        <is>
          <t>Terrestre / Aérea (Drones consultar bula)</t>
        </is>
      </c>
      <c r="S116" s="13" t="inlineStr">
        <is>
          <t>Sem antídoto específico; tratamento sintomático e descontaminação</t>
        </is>
      </c>
      <c r="T116" s="13" t="inlineStr">
        <is>
          <t>SIPCAM NICHINO BRASIL S.A.</t>
        </is>
      </c>
      <c r="U116" s="16">
        <f>HYPERLINK("https://www.adapar.pr.gov.br/Pagina/Agrotoxicos-Herbicidas", "Registro Oficial Click 500 SC (MAPA 20920)")</f>
        <v/>
      </c>
    </row>
    <row r="117" ht="22" customHeight="1">
      <c r="A117" s="5" t="n">
        <v>112</v>
      </c>
      <c r="B117" s="6" t="inlineStr">
        <is>
          <t>Nº 238904</t>
        </is>
      </c>
      <c r="C117" s="7" t="inlineStr">
        <is>
          <t>SUPPORT 1X20L</t>
        </is>
      </c>
      <c r="D117" s="8" t="inlineStr">
        <is>
          <t>SUPPORT</t>
        </is>
      </c>
      <c r="E117" s="7" t="inlineStr">
        <is>
          <t>Produto Formulado Comercial</t>
        </is>
      </c>
      <c r="F117" s="7" t="inlineStr">
        <is>
          <t>Defensivos</t>
        </is>
      </c>
      <c r="G117" s="7" t="inlineStr">
        <is>
          <t>Fungicida</t>
        </is>
      </c>
      <c r="H117" s="7" t="inlineStr">
        <is>
          <t>SC</t>
        </is>
      </c>
      <c r="I117" s="7" t="inlineStr">
        <is>
          <t>Suspensão Concentrada (SC)</t>
        </is>
      </c>
      <c r="J117" s="7" t="inlineStr">
        <is>
          <t>Fungicida sistêmico preventivo e curativo</t>
        </is>
      </c>
      <c r="K117" s="7" t="inlineStr">
        <is>
          <t>Benzimidazol (Precursor de MBC)</t>
        </is>
      </c>
      <c r="L117" s="7" t="inlineStr">
        <is>
          <t>FRAC Grupo 1 (MBC)</t>
        </is>
      </c>
      <c r="M117" s="7" t="inlineStr">
        <is>
          <t>Inibidores da montagem de beta-tubulina na mitose celular</t>
        </is>
      </c>
      <c r="N117" s="7" t="inlineStr">
        <is>
          <t>Categoria 4 / 5 — Pouco Tóxico</t>
        </is>
      </c>
      <c r="O117" s="7" t="inlineStr">
        <is>
          <t>Azul Intenso</t>
        </is>
      </c>
      <c r="P117" s="7" t="inlineStr">
        <is>
          <t>Classe III — Produto Perigoso ao Meio Ambiente</t>
        </is>
      </c>
      <c r="Q117" s="9" t="n">
        <v>24</v>
      </c>
      <c r="R117" s="7" t="inlineStr">
        <is>
          <t>Terrestre / Aérea (Drones consultar bula)</t>
        </is>
      </c>
      <c r="S117" s="7" t="inlineStr">
        <is>
          <t>Sem antídoto específico; tratamento sintomático</t>
        </is>
      </c>
      <c r="T117" s="7" t="inlineStr">
        <is>
          <t>Iharabras / Sipcam</t>
        </is>
      </c>
      <c r="U117" s="10">
        <f>HYPERLINK("https://agrofit.agricultura.gov.br/agrofit_cons/principal_agrofit_cons", "Consulta Oficial AGROFIT/MAPA (Nº 238904)")</f>
        <v/>
      </c>
    </row>
    <row r="118" ht="22" customHeight="1">
      <c r="A118" s="11" t="n">
        <v>113</v>
      </c>
      <c r="B118" s="12" t="inlineStr">
        <is>
          <t>SIPEAGRO (UF-XXXXX)</t>
        </is>
      </c>
      <c r="C118" s="13" t="inlineStr">
        <is>
          <t>AGCN ZINCO ULTRA 12X1L</t>
        </is>
      </c>
      <c r="D118" s="14" t="inlineStr">
        <is>
          <t>AGCN ZINCO ULTRA</t>
        </is>
      </c>
      <c r="E118" s="13" t="inlineStr">
        <is>
          <t>Fertilizante Mineral / Organomineral</t>
        </is>
      </c>
      <c r="F118" s="13" t="inlineStr">
        <is>
          <t>Fertilizantes</t>
        </is>
      </c>
      <c r="G118" s="13" t="inlineStr">
        <is>
          <t>Fertilizante Foliar / Micronutrientes</t>
        </is>
      </c>
      <c r="H118" s="13" t="inlineStr">
        <is>
          <t>SL</t>
        </is>
      </c>
      <c r="I118" s="13" t="inlineStr">
        <is>
          <t>Solução / Suspensão Concentrada Foliar (Fluido)</t>
        </is>
      </c>
      <c r="J118" s="13" t="inlineStr">
        <is>
          <t>Aplicação via solo, fertirrigação ou adubação foliar</t>
        </is>
      </c>
      <c r="K118" s="13" t="inlineStr">
        <is>
          <t>Fertilizante Mineral / Organomineral (Lei nº 6.894/1980)</t>
        </is>
      </c>
      <c r="L118" s="13" t="inlineStr">
        <is>
          <t>Nutrição Vegetal SIPEAGRO</t>
        </is>
      </c>
      <c r="M118" s="13" t="inlineStr">
        <is>
          <t>Fornecimento de macro e micronutrientes essenciais ao metabolismo vegetal</t>
        </is>
      </c>
      <c r="N118" s="13" t="inlineStr">
        <is>
          <t>Isento ANVISA (Produto Fertilizante Registrado no SIPEAGRO/MAPA)</t>
        </is>
      </c>
      <c r="O118" s="13" t="inlineStr">
        <is>
          <t>Não Aplicável (Fertilizante)</t>
        </is>
      </c>
      <c r="P118" s="13" t="inlineStr">
        <is>
          <t>Baixo Potencial Poluidor (Uso conforme recomendação agronômica)</t>
        </is>
      </c>
      <c r="Q118" s="15" t="n">
        <v>0</v>
      </c>
      <c r="R118" s="13" t="inlineStr">
        <is>
          <t>Aplicação Dirigida / TS / Solo</t>
        </is>
      </c>
      <c r="S118" s="13" t="inlineStr">
        <is>
          <t>Tratamento sintomático em caso de ingestão acidental</t>
        </is>
      </c>
      <c r="T118" s="13" t="inlineStr">
        <is>
          <t>Estabelecimento Produtor SIPEAGRO/MAPA</t>
        </is>
      </c>
      <c r="U118" s="16">
        <f>HYPERLINK("https://www.gov.br/agricultura/pt-br/assuntos/insumos-agropecuarios/insumos-agricolas/fertilizantes", "Portal SIPEAGRO / MAPA — Fertilizantes e Bioinsumos")</f>
        <v/>
      </c>
    </row>
    <row r="119" ht="22" customHeight="1">
      <c r="A119" s="5" t="n">
        <v>114</v>
      </c>
      <c r="B119" s="6" t="inlineStr">
        <is>
          <t>SIPEAGRO (UF-XXXXX)</t>
        </is>
      </c>
      <c r="C119" s="7" t="inlineStr">
        <is>
          <t>AGCN ZINCO ULTRA 1X10L</t>
        </is>
      </c>
      <c r="D119" s="8" t="inlineStr">
        <is>
          <t>AGCN ZINCO ULTRA</t>
        </is>
      </c>
      <c r="E119" s="7" t="inlineStr">
        <is>
          <t>Fertilizante Mineral / Organomineral</t>
        </is>
      </c>
      <c r="F119" s="7" t="inlineStr">
        <is>
          <t>Fertilizantes</t>
        </is>
      </c>
      <c r="G119" s="7" t="inlineStr">
        <is>
          <t>Fertilizante Foliar / Micronutrientes</t>
        </is>
      </c>
      <c r="H119" s="7" t="inlineStr">
        <is>
          <t>SL</t>
        </is>
      </c>
      <c r="I119" s="7" t="inlineStr">
        <is>
          <t>Solução / Suspensão Concentrada Foliar (Fluido)</t>
        </is>
      </c>
      <c r="J119" s="7" t="inlineStr">
        <is>
          <t>Aplicação via solo, fertirrigação ou adubação foliar</t>
        </is>
      </c>
      <c r="K119" s="7" t="inlineStr">
        <is>
          <t>Fertilizante Mineral / Organomineral (Lei nº 6.894/1980)</t>
        </is>
      </c>
      <c r="L119" s="7" t="inlineStr">
        <is>
          <t>Nutrição Vegetal SIPEAGRO</t>
        </is>
      </c>
      <c r="M119" s="7" t="inlineStr">
        <is>
          <t>Fornecimento de macro e micronutrientes essenciais ao metabolismo vegetal</t>
        </is>
      </c>
      <c r="N119" s="7" t="inlineStr">
        <is>
          <t>Isento ANVISA (Produto Fertilizante Registrado no SIPEAGRO/MAPA)</t>
        </is>
      </c>
      <c r="O119" s="7" t="inlineStr">
        <is>
          <t>Não Aplicável (Fertilizante)</t>
        </is>
      </c>
      <c r="P119" s="7" t="inlineStr">
        <is>
          <t>Baixo Potencial Poluidor (Uso conforme recomendação agronômica)</t>
        </is>
      </c>
      <c r="Q119" s="9" t="n">
        <v>0</v>
      </c>
      <c r="R119" s="7" t="inlineStr">
        <is>
          <t>Aplicação Dirigida / TS / Solo</t>
        </is>
      </c>
      <c r="S119" s="7" t="inlineStr">
        <is>
          <t>Tratamento sintomático em caso de ingestão acidental</t>
        </is>
      </c>
      <c r="T119" s="7" t="inlineStr">
        <is>
          <t>Estabelecimento Produtor SIPEAGRO/MAPA</t>
        </is>
      </c>
      <c r="U119" s="10">
        <f>HYPERLINK("https://www.gov.br/agricultura/pt-br/assuntos/insumos-agropecuarios/insumos-agricolas/fertilizantes", "Portal SIPEAGRO / MAPA — Fertilizantes e Bioinsumos")</f>
        <v/>
      </c>
    </row>
    <row r="120" ht="22" customHeight="1">
      <c r="A120" s="11" t="n">
        <v>115</v>
      </c>
      <c r="B120" s="12" t="inlineStr">
        <is>
          <t>SIPEAGRO (UF-XXXXX)</t>
        </is>
      </c>
      <c r="C120" s="13" t="inlineStr">
        <is>
          <t>AGCN ZINCO ULTRA 4X5L</t>
        </is>
      </c>
      <c r="D120" s="14" t="inlineStr">
        <is>
          <t>AGCN ZINCO ULTRA</t>
        </is>
      </c>
      <c r="E120" s="13" t="inlineStr">
        <is>
          <t>Fertilizante Mineral / Organomineral</t>
        </is>
      </c>
      <c r="F120" s="13" t="inlineStr">
        <is>
          <t>Fertilizantes</t>
        </is>
      </c>
      <c r="G120" s="13" t="inlineStr">
        <is>
          <t>Fertilizante Foliar / Micronutrientes</t>
        </is>
      </c>
      <c r="H120" s="13" t="inlineStr">
        <is>
          <t>SL</t>
        </is>
      </c>
      <c r="I120" s="13" t="inlineStr">
        <is>
          <t>Solução / Suspensão Concentrada Foliar (Fluido)</t>
        </is>
      </c>
      <c r="J120" s="13" t="inlineStr">
        <is>
          <t>Aplicação via solo, fertirrigação ou adubação foliar</t>
        </is>
      </c>
      <c r="K120" s="13" t="inlineStr">
        <is>
          <t>Fertilizante Mineral / Organomineral (Lei nº 6.894/1980)</t>
        </is>
      </c>
      <c r="L120" s="13" t="inlineStr">
        <is>
          <t>Nutrição Vegetal SIPEAGRO</t>
        </is>
      </c>
      <c r="M120" s="13" t="inlineStr">
        <is>
          <t>Fornecimento de macro e micronutrientes essenciais ao metabolismo vegetal</t>
        </is>
      </c>
      <c r="N120" s="13" t="inlineStr">
        <is>
          <t>Isento ANVISA (Produto Fertilizante Registrado no SIPEAGRO/MAPA)</t>
        </is>
      </c>
      <c r="O120" s="13" t="inlineStr">
        <is>
          <t>Não Aplicável (Fertilizante)</t>
        </is>
      </c>
      <c r="P120" s="13" t="inlineStr">
        <is>
          <t>Baixo Potencial Poluidor (Uso conforme recomendação agronômica)</t>
        </is>
      </c>
      <c r="Q120" s="15" t="n">
        <v>0</v>
      </c>
      <c r="R120" s="13" t="inlineStr">
        <is>
          <t>Aplicação Dirigida / TS / Solo</t>
        </is>
      </c>
      <c r="S120" s="13" t="inlineStr">
        <is>
          <t>Tratamento sintomático em caso de ingestão acidental</t>
        </is>
      </c>
      <c r="T120" s="13" t="inlineStr">
        <is>
          <t>Estabelecimento Produtor SIPEAGRO/MAPA</t>
        </is>
      </c>
      <c r="U120" s="16">
        <f>HYPERLINK("https://www.gov.br/agricultura/pt-br/assuntos/insumos-agropecuarios/insumos-agricolas/fertilizantes", "Portal SIPEAGRO / MAPA — Fertilizantes e Bioinsumos")</f>
        <v/>
      </c>
    </row>
    <row r="121" ht="22" customHeight="1">
      <c r="A121" s="5" t="n">
        <v>116</v>
      </c>
      <c r="B121" s="6" t="inlineStr">
        <is>
          <t>SIPEAGRO (UF-XXXXX)</t>
        </is>
      </c>
      <c r="C121" s="7" t="inlineStr">
        <is>
          <t>SOLO AGRI S90 120 1X1200KG (IMP) HH</t>
        </is>
      </c>
      <c r="D121" s="8" t="inlineStr">
        <is>
          <t>SOLO AGRI S90 120</t>
        </is>
      </c>
      <c r="E121" s="7" t="inlineStr">
        <is>
          <t>Corretivo / Condicionador de Solo</t>
        </is>
      </c>
      <c r="F121" s="7" t="inlineStr">
        <is>
          <t>Corretivos e Condicionadores de Solo</t>
        </is>
      </c>
      <c r="G121" s="7" t="inlineStr">
        <is>
          <t>Condicionador / Fonte Mineral de Enxofre (Enxofre + Bentonita)</t>
        </is>
      </c>
      <c r="H121" s="7" t="inlineStr">
        <is>
          <t>Pó</t>
        </is>
      </c>
      <c r="I121" s="7" t="inlineStr">
        <is>
          <t>Formulação Padrão (Pó / Granulado / Pastilhado)</t>
        </is>
      </c>
      <c r="J121" s="7" t="inlineStr">
        <is>
          <t>Incorporação ou aplicação em área total no solo</t>
        </is>
      </c>
      <c r="K121" s="7" t="inlineStr">
        <is>
          <t>Corretivo de Acidez / Condicionador de Solo (SIPEAGRO)</t>
        </is>
      </c>
      <c r="L121" s="7" t="inlineStr">
        <is>
          <t>Correção Química de Solo</t>
        </is>
      </c>
      <c r="M121" s="7" t="inlineStr">
        <is>
          <t>Neutralização de Al3+ tóxico e fornecimento de Ca2+, Mg2+, S ou B</t>
        </is>
      </c>
      <c r="N121" s="7" t="inlineStr">
        <is>
          <t>Isento ANVISA (Corretivo Agrícola SIPEAGRO)</t>
        </is>
      </c>
      <c r="O121" s="7" t="inlineStr">
        <is>
          <t>Não Aplicável</t>
        </is>
      </c>
      <c r="P121" s="7" t="inlineStr">
        <is>
          <t>Produto Mineral Natural</t>
        </is>
      </c>
      <c r="Q121" s="9" t="n">
        <v>24</v>
      </c>
      <c r="R121" s="7" t="inlineStr">
        <is>
          <t>Terrestre / Aérea (Drones consultar bula)</t>
        </is>
      </c>
      <c r="S121" s="7" t="inlineStr">
        <is>
          <t>Tratamento sintomático</t>
        </is>
      </c>
      <c r="T121" s="7" t="inlineStr">
        <is>
          <t>Estabelecimento Produtor SIPEAGRO/MAPA</t>
        </is>
      </c>
      <c r="U121" s="10">
        <f>HYPERLINK("https://www.gov.br/agricultura/pt-br/assuntos/insumos-agropecuarios/insumos-agricolas/fertilizantes", "Portal SIPEAGRO / MAPA — Fertilizantes e Bioinsumos")</f>
        <v/>
      </c>
    </row>
    <row r="122" ht="22" customHeight="1">
      <c r="A122" s="11" t="n">
        <v>117</v>
      </c>
      <c r="B122" s="12" t="inlineStr">
        <is>
          <t>SIPEAGRO (UF-XXXXX)</t>
        </is>
      </c>
      <c r="C122" s="13" t="inlineStr">
        <is>
          <t>ULEXITA 100 1X1000KG (IMP) JJ</t>
        </is>
      </c>
      <c r="D122" s="14" t="inlineStr">
        <is>
          <t>ULEXITA 100</t>
        </is>
      </c>
      <c r="E122" s="13" t="inlineStr">
        <is>
          <t>Corretivo / Condicionador de Solo</t>
        </is>
      </c>
      <c r="F122" s="13" t="inlineStr">
        <is>
          <t>Corretivos e Condicionadores de Solo</t>
        </is>
      </c>
      <c r="G122" s="13" t="inlineStr">
        <is>
          <t>Fonte Mineral de Boro (Ulexita Natural)</t>
        </is>
      </c>
      <c r="H122" s="13" t="inlineStr">
        <is>
          <t>Pó</t>
        </is>
      </c>
      <c r="I122" s="13" t="inlineStr">
        <is>
          <t>Formulação Padrão (Pó / Granulado / Pastilhado)</t>
        </is>
      </c>
      <c r="J122" s="13" t="inlineStr">
        <is>
          <t>Incorporação ou aplicação em área total no solo</t>
        </is>
      </c>
      <c r="K122" s="13" t="inlineStr">
        <is>
          <t>Corretivo de Acidez / Condicionador de Solo (SIPEAGRO)</t>
        </is>
      </c>
      <c r="L122" s="13" t="inlineStr">
        <is>
          <t>Correção Química de Solo</t>
        </is>
      </c>
      <c r="M122" s="13" t="inlineStr">
        <is>
          <t>Neutralização de Al3+ tóxico e fornecimento de Ca2+, Mg2+, S ou B</t>
        </is>
      </c>
      <c r="N122" s="13" t="inlineStr">
        <is>
          <t>Isento ANVISA (Corretivo Agrícola SIPEAGRO)</t>
        </is>
      </c>
      <c r="O122" s="13" t="inlineStr">
        <is>
          <t>Não Aplicável</t>
        </is>
      </c>
      <c r="P122" s="13" t="inlineStr">
        <is>
          <t>Produto Mineral Natural</t>
        </is>
      </c>
      <c r="Q122" s="15" t="n">
        <v>24</v>
      </c>
      <c r="R122" s="13" t="inlineStr">
        <is>
          <t>Terrestre / Aérea (Drones consultar bula)</t>
        </is>
      </c>
      <c r="S122" s="13" t="inlineStr">
        <is>
          <t>Tratamento sintomático</t>
        </is>
      </c>
      <c r="T122" s="13" t="inlineStr">
        <is>
          <t>Estabelecimento Produtor SIPEAGRO/MAPA</t>
        </is>
      </c>
      <c r="U122" s="16">
        <f>HYPERLINK("https://www.gov.br/agricultura/pt-br/assuntos/insumos-agropecuarios/insumos-agricolas/fertilizantes", "Portal SIPEAGRO / MAPA — Fertilizantes e Bioinsumos")</f>
        <v/>
      </c>
    </row>
    <row r="123" ht="22" customHeight="1">
      <c r="A123" s="5" t="n">
        <v>118</v>
      </c>
      <c r="B123" s="6" t="inlineStr">
        <is>
          <t>Nº 6922</t>
        </is>
      </c>
      <c r="C123" s="7" t="inlineStr">
        <is>
          <t>COFENRIN 1X20L (IMP)</t>
        </is>
      </c>
      <c r="D123" s="8" t="inlineStr">
        <is>
          <t>COFENRIN</t>
        </is>
      </c>
      <c r="E123" s="7" t="inlineStr">
        <is>
          <t>Produto Formulado Comercial</t>
        </is>
      </c>
      <c r="F123" s="7" t="inlineStr">
        <is>
          <t>Defensivos</t>
        </is>
      </c>
      <c r="G123" s="7" t="inlineStr">
        <is>
          <t>Inseticida e Acaricida</t>
        </is>
      </c>
      <c r="H123" s="7" t="inlineStr">
        <is>
          <t>EC</t>
        </is>
      </c>
      <c r="I123" s="7" t="inlineStr">
        <is>
          <t>Concentrado Emulsionável (EC)</t>
        </is>
      </c>
      <c r="J123" s="7" t="inlineStr">
        <is>
          <t>Inseticida e acaricida de contato e ingestão</t>
        </is>
      </c>
      <c r="K123" s="7" t="inlineStr">
        <is>
          <t>Piretroide (Tipo I)</t>
        </is>
      </c>
      <c r="L123" s="7" t="inlineStr">
        <is>
          <t>IRAC Grupo 3A</t>
        </is>
      </c>
      <c r="M123" s="7" t="inlineStr">
        <is>
          <t>Moduladores de canais de sódio em membranas nervosas</t>
        </is>
      </c>
      <c r="N123" s="7" t="inlineStr">
        <is>
          <t>Categoria 3 — Produto Moderadamente Tóxico</t>
        </is>
      </c>
      <c r="O123" s="7" t="inlineStr">
        <is>
          <t>Amarelo PMS Yellow C</t>
        </is>
      </c>
      <c r="P123" s="7" t="inlineStr">
        <is>
          <t>Classe II — Produto Muito Perigoso ao Meio Ambiente</t>
        </is>
      </c>
      <c r="Q123" s="9" t="n">
        <v>24</v>
      </c>
      <c r="R123" s="7" t="inlineStr">
        <is>
          <t>Terrestre / Aérea (Drones consultar bula)</t>
        </is>
      </c>
      <c r="S123" s="7" t="inlineStr">
        <is>
          <t>Sem antídoto específico; anti-histamínicos e vitamina E tópica para parestesia</t>
        </is>
      </c>
      <c r="T123" s="7" t="inlineStr">
        <is>
          <t>RAINBOW DEFENSIVOS AGRÍCOLAS LTDA.</t>
        </is>
      </c>
      <c r="U123" s="10">
        <f>HYPERLINK("https://agrofit.agricultura.gov.br/agrofit_cons/principal_agrofit_cons", "Consulta Oficial AGROFIT/MAPA (Nº 6922)")</f>
        <v/>
      </c>
    </row>
    <row r="124" ht="22" customHeight="1">
      <c r="A124" s="11" t="n">
        <v>119</v>
      </c>
      <c r="B124" s="12" t="inlineStr">
        <is>
          <t>Nº 8311</t>
        </is>
      </c>
      <c r="C124" s="13" t="inlineStr">
        <is>
          <t>ACEHERO 20X1KG (IMP)</t>
        </is>
      </c>
      <c r="D124" s="14" t="inlineStr">
        <is>
          <t>ACEHERO</t>
        </is>
      </c>
      <c r="E124" s="13" t="inlineStr">
        <is>
          <t>Produto Formulado Comercial</t>
        </is>
      </c>
      <c r="F124" s="13" t="inlineStr">
        <is>
          <t>Defensivos</t>
        </is>
      </c>
      <c r="G124" s="13" t="inlineStr">
        <is>
          <t>Inseticida</t>
        </is>
      </c>
      <c r="H124" s="13" t="inlineStr">
        <is>
          <t>SP</t>
        </is>
      </c>
      <c r="I124" s="13" t="inlineStr">
        <is>
          <t>SP - Pó Solúvel</t>
        </is>
      </c>
      <c r="J124" s="13" t="inlineStr">
        <is>
          <t>Inseticida e acaricida sistêmico de contato e ingestão</t>
        </is>
      </c>
      <c r="K124" s="13" t="inlineStr">
        <is>
          <t>Organofosforado</t>
        </is>
      </c>
      <c r="L124" s="13" t="inlineStr">
        <is>
          <t>IRAC Grupo 1B</t>
        </is>
      </c>
      <c r="M124" s="13" t="inlineStr">
        <is>
          <t>Inibidores da enzima acetilcolinesterase (AChE)</t>
        </is>
      </c>
      <c r="N124" s="13" t="inlineStr">
        <is>
          <t>I EXTREMAMENTE TÓXICO</t>
        </is>
      </c>
      <c r="O124" s="13" t="inlineStr">
        <is>
          <t>Azul</t>
        </is>
      </c>
      <c r="P124" s="13" t="inlineStr">
        <is>
          <t>Classe III — Produto Perigoso ao Meio Ambiente</t>
        </is>
      </c>
      <c r="Q124" s="15" t="n">
        <v>24</v>
      </c>
      <c r="R124" s="13" t="inlineStr">
        <is>
          <t>Terrestre / Aérea (Drones consultar bula)</t>
        </is>
      </c>
      <c r="S124" s="13" t="inlineStr">
        <is>
          <t>Sulfato de Atropina e Pralidoxima (Contrathion)</t>
        </is>
      </c>
      <c r="T124" s="13" t="inlineStr">
        <is>
          <t>Sabero Organics America S.A.</t>
        </is>
      </c>
      <c r="U124" s="16">
        <f>HYPERLINK("https://agrofit.agricultura.gov.br/agrofit_cons/principal_agrofit_cons", "Consulta Oficial AGROFIT/MAPA (Nº 8311)")</f>
        <v/>
      </c>
    </row>
    <row r="125" ht="22" customHeight="1">
      <c r="A125" s="5" t="n">
        <v>120</v>
      </c>
      <c r="B125" s="6" t="inlineStr">
        <is>
          <t>Nº 4623</t>
        </is>
      </c>
      <c r="C125" s="7" t="inlineStr">
        <is>
          <t>WEXITE 4X5KG (IMP)</t>
        </is>
      </c>
      <c r="D125" s="8" t="inlineStr">
        <is>
          <t>WEXITE</t>
        </is>
      </c>
      <c r="E125" s="7" t="inlineStr">
        <is>
          <t>Produto Formulado Comercial</t>
        </is>
      </c>
      <c r="F125" s="7" t="inlineStr">
        <is>
          <t>Defensivos</t>
        </is>
      </c>
      <c r="G125" s="7" t="inlineStr">
        <is>
          <t>Inseticida</t>
        </is>
      </c>
      <c r="H125" s="7" t="inlineStr">
        <is>
          <t>SG</t>
        </is>
      </c>
      <c r="I125" s="7" t="inlineStr">
        <is>
          <t>Grânulos Solúveis em Água (SG)</t>
        </is>
      </c>
      <c r="J125" s="7" t="inlineStr">
        <is>
          <t>Inseticida e acaricida sistêmico de contato e ingestão</t>
        </is>
      </c>
      <c r="K125" s="7" t="inlineStr">
        <is>
          <t>Organofosforado</t>
        </is>
      </c>
      <c r="L125" s="7" t="inlineStr">
        <is>
          <t>IRAC Grupo 1B</t>
        </is>
      </c>
      <c r="M125" s="7" t="inlineStr">
        <is>
          <t>Inibidores da enzima acetilcolinesterase (AChE)</t>
        </is>
      </c>
      <c r="N125" s="7" t="inlineStr">
        <is>
          <t>Categoria 4 — Produto Pouco Tóxico</t>
        </is>
      </c>
      <c r="O125" s="7" t="inlineStr">
        <is>
          <t>Azul PMS Blue 293 C</t>
        </is>
      </c>
      <c r="P125" s="7" t="inlineStr">
        <is>
          <t>Classe III — Produto Perigoso ao Meio Ambiente</t>
        </is>
      </c>
      <c r="Q125" s="9" t="n">
        <v>24</v>
      </c>
      <c r="R125" s="7" t="inlineStr">
        <is>
          <t>Terrestre / Aérea (Drones consultar bula)</t>
        </is>
      </c>
      <c r="S125" s="7" t="inlineStr">
        <is>
          <t>Sulfato de Atropina e Pralidoxima (Contrathion)</t>
        </is>
      </c>
      <c r="T125" s="7" t="inlineStr">
        <is>
          <t>Rainbow Defensivos</t>
        </is>
      </c>
      <c r="U125" s="10">
        <f>HYPERLINK("https://agrofit.agricultura.gov.br/agrofit_cons/principal_agrofit_cons", "Consulta Oficial AGROFIT/MAPA (Nº 4623)")</f>
        <v/>
      </c>
    </row>
    <row r="126" ht="22" customHeight="1">
      <c r="A126" s="11" t="n">
        <v>121</v>
      </c>
      <c r="B126" s="12" t="inlineStr">
        <is>
          <t>Nº 0422</t>
        </is>
      </c>
      <c r="C126" s="13" t="inlineStr">
        <is>
          <t>XEQUE MATE HT 1X20L</t>
        </is>
      </c>
      <c r="D126" s="14" t="inlineStr">
        <is>
          <t>XEQUE MATE HT</t>
        </is>
      </c>
      <c r="E126" s="13" t="inlineStr">
        <is>
          <t>Produto Formulado Comercial</t>
        </is>
      </c>
      <c r="F126" s="13" t="inlineStr">
        <is>
          <t>Defensivos</t>
        </is>
      </c>
      <c r="G126" s="13" t="inlineStr">
        <is>
          <t>Herbicida</t>
        </is>
      </c>
      <c r="H126" s="13" t="inlineStr">
        <is>
          <t>SL</t>
        </is>
      </c>
      <c r="I126" s="13" t="inlineStr">
        <is>
          <t>Concentrado Solúvel (SL)</t>
        </is>
      </c>
      <c r="J126" s="13" t="inlineStr">
        <is>
          <t>Herbicida sistêmico de pós-emergência (seletivo condicional p/ OGM)</t>
        </is>
      </c>
      <c r="K126" s="13" t="inlineStr">
        <is>
          <t>Glicina substituída</t>
        </is>
      </c>
      <c r="L126" s="13" t="inlineStr">
        <is>
          <t>HRAC Grupo G (9) — Inibidores da EPSPs</t>
        </is>
      </c>
      <c r="M126" s="13" t="inlineStr">
        <is>
          <t>Inibidores da enzima EPSPs (Enoil Piruvil Shiquimato Fosfato Sintase)</t>
        </is>
      </c>
      <c r="N126" s="13" t="inlineStr">
        <is>
          <t>Categoria 5 — Produto Improvável de Causar Dano Agudo</t>
        </is>
      </c>
      <c r="O126" s="13" t="inlineStr">
        <is>
          <t>Azul Intenso</t>
        </is>
      </c>
      <c r="P126" s="13" t="inlineStr">
        <is>
          <t>Classe III / IV — Perigoso a Pouco Perigoso ao Meio Ambiente</t>
        </is>
      </c>
      <c r="Q126" s="15" t="n">
        <v>24</v>
      </c>
      <c r="R126" s="13" t="inlineStr">
        <is>
          <t>Terrestre / Aérea (Drones consultar bula)</t>
        </is>
      </c>
      <c r="S126" s="13" t="inlineStr">
        <is>
          <t>Sem antídoto específico (Atropina ineficaz); tratamento sintomático</t>
        </is>
      </c>
      <c r="T126" s="13" t="inlineStr">
        <is>
          <t>Albaugh / Sino-Agri</t>
        </is>
      </c>
      <c r="U126" s="16">
        <f>HYPERLINK("https://agrofit.agricultura.gov.br/agrofit_cons/principal_agrofit_cons", "Consulta Oficial AGROFIT/MAPA (Nº 0422)")</f>
        <v/>
      </c>
    </row>
    <row r="127" ht="22" customHeight="1">
      <c r="A127" s="5" t="n">
        <v>122</v>
      </c>
      <c r="B127" s="6" t="inlineStr">
        <is>
          <t>Nº 3422</t>
        </is>
      </c>
      <c r="C127" s="7" t="inlineStr">
        <is>
          <t>FOX SUPRA 1X20L</t>
        </is>
      </c>
      <c r="D127" s="8" t="inlineStr">
        <is>
          <t>FOX SUPRA</t>
        </is>
      </c>
      <c r="E127" s="7" t="inlineStr">
        <is>
          <t>Produto Formulado Comercial</t>
        </is>
      </c>
      <c r="F127" s="7" t="inlineStr">
        <is>
          <t>Defensivos</t>
        </is>
      </c>
      <c r="G127" s="7" t="inlineStr">
        <is>
          <t>Fungicida</t>
        </is>
      </c>
      <c r="H127" s="7" t="inlineStr">
        <is>
          <t>SC</t>
        </is>
      </c>
      <c r="I127" s="7" t="inlineStr">
        <is>
          <t>Suspensão Concentrada (SC)</t>
        </is>
      </c>
      <c r="J127" s="7" t="inlineStr">
        <is>
          <t>Fungicida preventivo e curativo foliar</t>
        </is>
      </c>
      <c r="K127" s="7" t="inlineStr">
        <is>
          <t>Triazolintiona</t>
        </is>
      </c>
      <c r="L127" s="7" t="inlineStr">
        <is>
          <t>FRAC Grupo 3 (G1 — DMI)</t>
        </is>
      </c>
      <c r="M127" s="7" t="inlineStr">
        <is>
          <t>Inibidores da desmetilação do C14 na biossíntese do ergosterol</t>
        </is>
      </c>
      <c r="N127" s="7" t="inlineStr">
        <is>
          <t>Categoria 4 — Produto Pouco Tóxico (Conforme Bula ANVISA)</t>
        </is>
      </c>
      <c r="O127" s="7" t="inlineStr">
        <is>
          <t>Azul PMS Blue 293 C</t>
        </is>
      </c>
      <c r="P127" s="7" t="inlineStr">
        <is>
          <t>Classe II — Produto Muito Perigoso ao Meio Ambiente</t>
        </is>
      </c>
      <c r="Q127" s="9" t="n">
        <v>24</v>
      </c>
      <c r="R127" s="7" t="inlineStr">
        <is>
          <t>Terrestre / Aérea (Drones consultar bula)</t>
        </is>
      </c>
      <c r="S127" s="7" t="inlineStr">
        <is>
          <t>Sem antídoto específico; tratamento sintomático</t>
        </is>
      </c>
      <c r="T127" s="7" t="inlineStr">
        <is>
          <t>Bayer S.A.</t>
        </is>
      </c>
      <c r="U127" s="10">
        <f>HYPERLINK("https://agrofit.agricultura.gov.br/agrofit_cons/principal_agrofit_cons", "Consulta Oficial AGROFIT/MAPA (Nº 3422)")</f>
        <v/>
      </c>
    </row>
    <row r="128" ht="22" customHeight="1">
      <c r="A128" s="11" t="n">
        <v>123</v>
      </c>
      <c r="B128" s="12" t="inlineStr">
        <is>
          <t>Nº 34621</t>
        </is>
      </c>
      <c r="C128" s="13" t="inlineStr">
        <is>
          <t>RATEIO 200 SL 1X20L (IMP) BB</t>
        </is>
      </c>
      <c r="D128" s="14" t="inlineStr">
        <is>
          <t>RATEIO 200 SL</t>
        </is>
      </c>
      <c r="E128" s="13" t="inlineStr">
        <is>
          <t>Produto Formulado Comercial</t>
        </is>
      </c>
      <c r="F128" s="13" t="inlineStr">
        <is>
          <t>Defensivos</t>
        </is>
      </c>
      <c r="G128" s="13" t="inlineStr">
        <is>
          <t>Herbicida Dessecante</t>
        </is>
      </c>
      <c r="H128" s="13" t="inlineStr">
        <is>
          <t>SL</t>
        </is>
      </c>
      <c r="I128" s="13" t="inlineStr">
        <is>
          <t>Concentrado Solúvel (SL)</t>
        </is>
      </c>
      <c r="J128" s="13" t="inlineStr">
        <is>
          <t>Herbicida dessecante não seletivo de contato e ação rápida</t>
        </is>
      </c>
      <c r="K128" s="13" t="inlineStr">
        <is>
          <t>Bipiridílio</t>
        </is>
      </c>
      <c r="L128" s="13" t="inlineStr">
        <is>
          <t>HRAC Grupo D (22) — Desviadores de Elétrons do Fotossistema I</t>
        </is>
      </c>
      <c r="M128" s="13" t="inlineStr">
        <is>
          <t>Inibidores do Fotossistema I (geração de radicais livres peróxidos)</t>
        </is>
      </c>
      <c r="N128" s="13" t="inlineStr">
        <is>
          <t>Categoria 3 — Produto Moderadamente Tóxico</t>
        </is>
      </c>
      <c r="O128" s="13" t="inlineStr">
        <is>
          <t>Amarelo PMS Yellow C</t>
        </is>
      </c>
      <c r="P128" s="13" t="inlineStr">
        <is>
          <t>Classe II — Produto Muito Perigoso ao Meio Ambiente</t>
        </is>
      </c>
      <c r="Q128" s="15" t="n">
        <v>24</v>
      </c>
      <c r="R128" s="13" t="inlineStr">
        <is>
          <t>Terrestre / Aérea (Drones consultar bula)</t>
        </is>
      </c>
      <c r="S128" s="13" t="inlineStr">
        <is>
          <t>Sem antídoto específico; terra de Fuller / bentonita / carvão ativado na descontaminação gástrica</t>
        </is>
      </c>
      <c r="T128" s="13" t="inlineStr">
        <is>
          <t>YONON BRASIL DEFENSIVOS AGRÍCOLAS LTDA. / CCAB AGRO S.A.</t>
        </is>
      </c>
      <c r="U128" s="16">
        <f>HYPERLINK("https://agrofit.agricultura.gov.br/agrofit_cons/principal_agrofit_cons", "Consulta Oficial AGROFIT/MAPA (Nº 34621)")</f>
        <v/>
      </c>
    </row>
    <row r="129" ht="22" customHeight="1">
      <c r="A129" s="5" t="n">
        <v>124</v>
      </c>
      <c r="B129" s="6" t="inlineStr">
        <is>
          <t>Nº 18022</t>
        </is>
      </c>
      <c r="C129" s="7" t="inlineStr">
        <is>
          <t>TARBOX 4X5KG (IMP) GB</t>
        </is>
      </c>
      <c r="D129" s="8" t="inlineStr">
        <is>
          <t>TARBOX</t>
        </is>
      </c>
      <c r="E129" s="7" t="inlineStr">
        <is>
          <t>Produto Formulado Comercial</t>
        </is>
      </c>
      <c r="F129" s="7" t="inlineStr">
        <is>
          <t>Defensivos</t>
        </is>
      </c>
      <c r="G129" s="7" t="inlineStr">
        <is>
          <t>Herbicida</t>
        </is>
      </c>
      <c r="H129" s="7" t="inlineStr">
        <is>
          <t>WG</t>
        </is>
      </c>
      <c r="I129" s="7" t="inlineStr">
        <is>
          <t>Grânulos Dispersíveis em Água (WG)</t>
        </is>
      </c>
      <c r="J129" s="7" t="inlineStr">
        <is>
          <t>Herbicida de contato não seletivo em pós-emergência (seletivo p/ OGM LibertyLink)</t>
        </is>
      </c>
      <c r="K129" s="7" t="inlineStr">
        <is>
          <t>Homoalanina substituída (Ácido fosfínico)</t>
        </is>
      </c>
      <c r="L129" s="7" t="inlineStr">
        <is>
          <t>HRAC Grupo H (10) — Inibidores da Glutamina Sintetase</t>
        </is>
      </c>
      <c r="M129" s="7" t="inlineStr">
        <is>
          <t>Inibição da enzima glutamina sintetase (acúmulo de amônia intracelular)</t>
        </is>
      </c>
      <c r="N129" s="7" t="inlineStr">
        <is>
          <t>Categoria 4 — Produto Pouco Tóxico</t>
        </is>
      </c>
      <c r="O129" s="7" t="inlineStr">
        <is>
          <t>Azul PMS Blue 293 C</t>
        </is>
      </c>
      <c r="P129" s="7" t="inlineStr">
        <is>
          <t>Classe III — Produto Perigoso ao Meio Ambiente</t>
        </is>
      </c>
      <c r="Q129" s="9" t="n">
        <v>24</v>
      </c>
      <c r="R129" s="7" t="inlineStr">
        <is>
          <t>Terrestre / Aérea (Drones consultar bula)</t>
        </is>
      </c>
      <c r="S129" s="7" t="inlineStr">
        <is>
          <t>Sem antídoto específico; monitorar SNC por 48h e suporte ventilatório</t>
        </is>
      </c>
      <c r="T129" s="7" t="inlineStr">
        <is>
          <t>GLOBACHEM PROTEÇÃO DE CULTIVOS DO BRASIL LTDA.</t>
        </is>
      </c>
      <c r="U129" s="10">
        <f>HYPERLINK("https://www.adapar.pr.gov.br/Pagina/Agrotoxicos-Herbicidas", "Registro Oficial Tarbox 850 WG (MAPA 18022)")</f>
        <v/>
      </c>
    </row>
    <row r="130" ht="22" customHeight="1">
      <c r="A130" s="11" t="n">
        <v>125</v>
      </c>
      <c r="B130" s="12" t="inlineStr">
        <is>
          <t>SIPEAGRO (UF-XXXXX)</t>
        </is>
      </c>
      <c r="C130" s="13" t="inlineStr">
        <is>
          <t>FOSFATO MONOAMONICO CRISTAL MAP 1X25KG (IMP)</t>
        </is>
      </c>
      <c r="D130" s="14" t="inlineStr">
        <is>
          <t>FOSFATO MONOAMONICO CRISTAL MAP</t>
        </is>
      </c>
      <c r="E130" s="13" t="inlineStr">
        <is>
          <t>Fertilizante Mineral / Organomineral</t>
        </is>
      </c>
      <c r="F130" s="13" t="inlineStr">
        <is>
          <t>Fertilizantes</t>
        </is>
      </c>
      <c r="G130" s="13" t="inlineStr">
        <is>
          <t>Fertilizante Complexo (MAP — Fosfato Monoamônico)</t>
        </is>
      </c>
      <c r="H130" s="13" t="inlineStr">
        <is>
          <t>Granulado</t>
        </is>
      </c>
      <c r="I130" s="13" t="inlineStr">
        <is>
          <t>Formulação Padrão (Granulado / Solúvel / Suspensão)</t>
        </is>
      </c>
      <c r="J130" s="13" t="inlineStr">
        <is>
          <t>Aplicação via solo, fertirrigação ou adubação foliar</t>
        </is>
      </c>
      <c r="K130" s="13" t="inlineStr">
        <is>
          <t>Fertilizante Mineral / Organomineral (Lei nº 6.894/1980)</t>
        </is>
      </c>
      <c r="L130" s="13" t="inlineStr">
        <is>
          <t>Nutrição Vegetal SIPEAGRO</t>
        </is>
      </c>
      <c r="M130" s="13" t="inlineStr">
        <is>
          <t>Fornecimento de macro e micronutrientes essenciais ao metabolismo vegetal</t>
        </is>
      </c>
      <c r="N130" s="13" t="inlineStr">
        <is>
          <t>Isento ANVISA (Produto Fertilizante Registrado no SIPEAGRO/MAPA)</t>
        </is>
      </c>
      <c r="O130" s="13" t="inlineStr">
        <is>
          <t>Não Aplicável (Fertilizante)</t>
        </is>
      </c>
      <c r="P130" s="13" t="inlineStr">
        <is>
          <t>Baixo Potencial Poluidor (Uso conforme recomendação agronômica)</t>
        </is>
      </c>
      <c r="Q130" s="15" t="n">
        <v>0</v>
      </c>
      <c r="R130" s="13" t="inlineStr">
        <is>
          <t>Aplicação Dirigida / TS / Solo</t>
        </is>
      </c>
      <c r="S130" s="13" t="inlineStr">
        <is>
          <t>Tratamento sintomático em caso de ingestão acidental</t>
        </is>
      </c>
      <c r="T130" s="13" t="inlineStr">
        <is>
          <t>Estabelecimento Produtor SIPEAGRO/MAPA</t>
        </is>
      </c>
      <c r="U130" s="16">
        <f>HYPERLINK("https://www.gov.br/agricultura/pt-br/assuntos/insumos-agropecuarios/insumos-agricolas/fertilizantes", "Portal SIPEAGRO / MAPA — Fertilizantes e Bioinsumos")</f>
        <v/>
      </c>
    </row>
    <row r="131" ht="22" customHeight="1">
      <c r="A131" s="5" t="n">
        <v>126</v>
      </c>
      <c r="B131" s="6" t="inlineStr">
        <is>
          <t>Nº 1119</t>
        </is>
      </c>
      <c r="C131" s="7" t="inlineStr">
        <is>
          <t>ROUNDUP ORIGINAL MAIS 1X20L</t>
        </is>
      </c>
      <c r="D131" s="8" t="inlineStr">
        <is>
          <t>ROUNDUP ORIGINAL MAIS</t>
        </is>
      </c>
      <c r="E131" s="7" t="inlineStr">
        <is>
          <t>Produto Formulado Comercial</t>
        </is>
      </c>
      <c r="F131" s="7" t="inlineStr">
        <is>
          <t>Defensivos</t>
        </is>
      </c>
      <c r="G131" s="7" t="inlineStr">
        <is>
          <t>Herbicida</t>
        </is>
      </c>
      <c r="H131" s="7" t="inlineStr">
        <is>
          <t>SL</t>
        </is>
      </c>
      <c r="I131" s="7" t="inlineStr">
        <is>
          <t>Concentrado Solúvel (SL)</t>
        </is>
      </c>
      <c r="J131" s="7" t="inlineStr">
        <is>
          <t>Herbicida sistêmico de pós-emergência (seletivo condicional p/ OGM)</t>
        </is>
      </c>
      <c r="K131" s="7" t="inlineStr">
        <is>
          <t>Glicina substituída</t>
        </is>
      </c>
      <c r="L131" s="7" t="inlineStr">
        <is>
          <t>HRAC Grupo G (EPSPs)</t>
        </is>
      </c>
      <c r="M131" s="7" t="inlineStr">
        <is>
          <t>Inibidores da enzima EPSPs (Enoil Piruvil Shiquimato Fosfato Sintase)</t>
        </is>
      </c>
      <c r="N131" s="7" t="inlineStr">
        <is>
          <t>Categoria 5 — Produto Improvável de Causar Dano Agudo</t>
        </is>
      </c>
      <c r="O131" s="7" t="inlineStr">
        <is>
          <t>Azul Intenso</t>
        </is>
      </c>
      <c r="P131" s="7" t="inlineStr">
        <is>
          <t>Classe III — Produto Perigoso ao Meio Ambiente</t>
        </is>
      </c>
      <c r="Q131" s="9" t="n">
        <v>24</v>
      </c>
      <c r="R131" s="7" t="inlineStr">
        <is>
          <t>Terrestre / Aérea (Drones consultar bula)</t>
        </is>
      </c>
      <c r="S131" s="7" t="inlineStr">
        <is>
          <t>Sem antídoto específico (Atropina ineficaz); tratamento sintomático</t>
        </is>
      </c>
      <c r="T131" s="7" t="inlineStr">
        <is>
          <t>MONSANTO DO BRASIL LTDA. (Grupo Bayer)</t>
        </is>
      </c>
      <c r="U131" s="10">
        <f>HYPERLINK("https://agrofit.agricultura.gov.br/agrofit_cons/principal_agrofit_cons", "Consulta Oficial AGROFIT/MAPA (Nº 1119)")</f>
        <v/>
      </c>
    </row>
    <row r="132" ht="22" customHeight="1">
      <c r="A132" s="11" t="n">
        <v>127</v>
      </c>
      <c r="B132" s="12" t="inlineStr">
        <is>
          <t>Nº 9920</t>
        </is>
      </c>
      <c r="C132" s="13" t="inlineStr">
        <is>
          <t>SURRENA 1X20L</t>
        </is>
      </c>
      <c r="D132" s="14" t="inlineStr">
        <is>
          <t>SURRENA</t>
        </is>
      </c>
      <c r="E132" s="13" t="inlineStr">
        <is>
          <t>Produto Formulado Comercial</t>
        </is>
      </c>
      <c r="F132" s="13" t="inlineStr">
        <is>
          <t>Defensivos</t>
        </is>
      </c>
      <c r="G132" s="13" t="inlineStr">
        <is>
          <t>Herbicida</t>
        </is>
      </c>
      <c r="H132" s="13" t="inlineStr">
        <is>
          <t>SC</t>
        </is>
      </c>
      <c r="I132" s="13" t="inlineStr">
        <is>
          <t>Suspensão Concentrada (SC)</t>
        </is>
      </c>
      <c r="J132" s="13" t="inlineStr">
        <is>
          <t>Herbicida de pré ou pós-emergência</t>
        </is>
      </c>
      <c r="K132" s="13" t="inlineStr">
        <is>
          <t>Triazolinona</t>
        </is>
      </c>
      <c r="L132" s="13" t="inlineStr">
        <is>
          <t>HRAC Grupo E (14) — Inibidores da PROTOX</t>
        </is>
      </c>
      <c r="M132" s="13" t="inlineStr">
        <is>
          <t>Inibição da enzima protoporfirinogênio oxidase (PROTOX / PPO)</t>
        </is>
      </c>
      <c r="N132" s="13" t="inlineStr">
        <is>
          <t>Categoria 4 / 5 — Pouco Tóxico (Conforme Bula ANVISA)</t>
        </is>
      </c>
      <c r="O132" s="13" t="inlineStr">
        <is>
          <t>Azul PMS Blue 293 C</t>
        </is>
      </c>
      <c r="P132" s="13" t="inlineStr">
        <is>
          <t>Classe II / III — Perigoso ao Meio Ambiente</t>
        </is>
      </c>
      <c r="Q132" s="15" t="n">
        <v>24</v>
      </c>
      <c r="R132" s="13" t="inlineStr">
        <is>
          <t>Terrestre / Aérea (Drones consultar bula)</t>
        </is>
      </c>
      <c r="S132" s="13" t="inlineStr">
        <is>
          <t>Sem antídoto específico; tratamento sintomático e descontaminação</t>
        </is>
      </c>
      <c r="T132" s="13" t="inlineStr">
        <is>
          <t>Rainbow Defensivos</t>
        </is>
      </c>
      <c r="U132" s="16">
        <f>HYPERLINK("https://agrofit.agricultura.gov.br/agrofit_cons/principal_agrofit_cons", "Consulta Oficial AGROFIT/MAPA (Nº 9920)")</f>
        <v/>
      </c>
    </row>
    <row r="133" ht="22" customHeight="1">
      <c r="A133" s="5" t="n">
        <v>128</v>
      </c>
      <c r="B133" s="6" t="inlineStr">
        <is>
          <t>Nº 2020</t>
        </is>
      </c>
      <c r="C133" s="7" t="inlineStr">
        <is>
          <t>SAMURAI 1X5L</t>
        </is>
      </c>
      <c r="D133" s="8" t="inlineStr">
        <is>
          <t>SAMURAI</t>
        </is>
      </c>
      <c r="E133" s="7" t="inlineStr">
        <is>
          <t>Produto Formulado Comercial</t>
        </is>
      </c>
      <c r="F133" s="7" t="inlineStr">
        <is>
          <t>Defensivos</t>
        </is>
      </c>
      <c r="G133" s="7" t="inlineStr">
        <is>
          <t>Inseticida</t>
        </is>
      </c>
      <c r="H133" s="7" t="inlineStr">
        <is>
          <t>CS</t>
        </is>
      </c>
      <c r="I133" s="7" t="inlineStr">
        <is>
          <t>Suspensão de Encapsulado (CS)</t>
        </is>
      </c>
      <c r="J133" s="7" t="inlineStr">
        <is>
          <t>Inseticida de contato e ingestão com efeito de choque</t>
        </is>
      </c>
      <c r="K133" s="7" t="inlineStr">
        <is>
          <t>Piretroide (Tipo II)</t>
        </is>
      </c>
      <c r="L133" s="7" t="inlineStr">
        <is>
          <t>IRAC Grupo 3A</t>
        </is>
      </c>
      <c r="M133" s="7" t="inlineStr">
        <is>
          <t>Moduladores de canais de sódio em axônios nervosos</t>
        </is>
      </c>
      <c r="N133" s="7" t="inlineStr">
        <is>
          <t>Categoria 3 — Produto Moderadamente Tóxico</t>
        </is>
      </c>
      <c r="O133" s="7" t="inlineStr">
        <is>
          <t>Amarelo PMS Yellow C</t>
        </is>
      </c>
      <c r="P133" s="7" t="inlineStr">
        <is>
          <t>Classe II — Produto Muito Perigoso ao Meio Ambiente</t>
        </is>
      </c>
      <c r="Q133" s="9" t="n">
        <v>24</v>
      </c>
      <c r="R133" s="7" t="inlineStr">
        <is>
          <t>Terrestre / Aérea (Drones consultar bula)</t>
        </is>
      </c>
      <c r="S133" s="7" t="inlineStr">
        <is>
          <t>Sem antídoto específico; anti-histamínicos e suporte sintomático</t>
        </is>
      </c>
      <c r="T133" s="7" t="inlineStr">
        <is>
          <t>PILARQUIM BR COMERCIAL LTDA. / SYNGENTA</t>
        </is>
      </c>
      <c r="U133" s="10">
        <f>HYPERLINK("https://agrofit.agricultura.gov.br/agrofit_cons/principal_agrofit_cons", "Consulta Oficial AGROFIT/MAPA (Nº 2020)")</f>
        <v/>
      </c>
    </row>
    <row r="134" ht="22" customHeight="1">
      <c r="A134" s="11" t="n">
        <v>129</v>
      </c>
      <c r="B134" s="12" t="inlineStr">
        <is>
          <t>Nº 0315</t>
        </is>
      </c>
      <c r="C134" s="13" t="inlineStr">
        <is>
          <t>AGCN 2,4-D 1X20L (IMP) (DUPLICIDADE)</t>
        </is>
      </c>
      <c r="D134" s="14" t="inlineStr">
        <is>
          <t>AGCN 2,4-D</t>
        </is>
      </c>
      <c r="E134" s="13" t="inlineStr">
        <is>
          <t>Produto Formulado Comercial</t>
        </is>
      </c>
      <c r="F134" s="13" t="inlineStr">
        <is>
          <t>Defensivos</t>
        </is>
      </c>
      <c r="G134" s="13" t="inlineStr">
        <is>
          <t>Herbicida</t>
        </is>
      </c>
      <c r="H134" s="13" t="inlineStr">
        <is>
          <t>SL</t>
        </is>
      </c>
      <c r="I134" s="13" t="inlineStr">
        <is>
          <t>Concentrado Solúvel (SL)</t>
        </is>
      </c>
      <c r="J134" s="13" t="inlineStr">
        <is>
          <t>Herbicida sistêmico seletivo de pós-emergência para folhas largas</t>
        </is>
      </c>
      <c r="K134" s="13" t="inlineStr">
        <is>
          <t>Ácido ariloxialcanoico</t>
        </is>
      </c>
      <c r="L134" s="13" t="inlineStr">
        <is>
          <t>HRAC Grupo O (4) — Auxinas Sintéticas</t>
        </is>
      </c>
      <c r="M134" s="13" t="inlineStr">
        <is>
          <t>Mimetizadores da auxina (ácido indolacético - AIA)</t>
        </is>
      </c>
      <c r="N134" s="13" t="inlineStr">
        <is>
          <t>Categoria 4 — Produto Pouco Tóxico</t>
        </is>
      </c>
      <c r="O134" s="13" t="inlineStr">
        <is>
          <t>Azul PMS Blue 293 C</t>
        </is>
      </c>
      <c r="P134" s="13" t="inlineStr">
        <is>
          <t>Classe III — Produto Perigoso ao Meio Ambiente</t>
        </is>
      </c>
      <c r="Q134" s="15" t="n">
        <v>24</v>
      </c>
      <c r="R134" s="13" t="inlineStr">
        <is>
          <t>Terrestre / Aérea (Drones consultar bula)</t>
        </is>
      </c>
      <c r="S134" s="13" t="inlineStr">
        <is>
          <t>Sem antídoto específico; tratamento sintomático</t>
        </is>
      </c>
      <c r="T134" s="13" t="inlineStr">
        <is>
          <t>Agriconnection</t>
        </is>
      </c>
      <c r="U134" s="16">
        <f>HYPERLINK("https://calculadorarural.com.br/defensivos/ativo/2-4-d", "Registro Oficial 2,4-D AGCN 806 SL (Agriconnection)")</f>
        <v/>
      </c>
    </row>
    <row r="135" ht="22" customHeight="1">
      <c r="A135" s="5" t="n">
        <v>130</v>
      </c>
      <c r="B135" s="6" t="inlineStr">
        <is>
          <t>SIPEAGRO (UF-XXXXX)</t>
        </is>
      </c>
      <c r="C135" s="7" t="inlineStr">
        <is>
          <t>TOTALNITRO FEIJAO 8X1,5L (DOSE)</t>
        </is>
      </c>
      <c r="D135" s="8" t="inlineStr">
        <is>
          <t>TOTALNITRO FEIJAO 8X1,5L (DOSE)</t>
        </is>
      </c>
      <c r="E135" s="7" t="inlineStr">
        <is>
          <t>Inoculante / Biológico</t>
        </is>
      </c>
      <c r="F135" s="7" t="inlineStr">
        <is>
          <t>Inoculantes e Biológicos</t>
        </is>
      </c>
      <c r="G135" s="7" t="inlineStr">
        <is>
          <t>Inoculante Fixador de Nitrogênio</t>
        </is>
      </c>
      <c r="H135" s="7" t="inlineStr">
        <is>
          <t>SC</t>
        </is>
      </c>
      <c r="I135" s="7" t="inlineStr">
        <is>
          <t>Suspensão Concentrada (SC)</t>
        </is>
      </c>
      <c r="J135" s="7" t="inlineStr">
        <is>
          <t>Tratamento de sementes, sulco de plantio ou pulverização foliar</t>
        </is>
      </c>
      <c r="K135" s="7" t="inlineStr">
        <is>
          <t>Inoculante / Agente Biológico de Controle</t>
        </is>
      </c>
      <c r="L135" s="7" t="inlineStr">
        <is>
          <t>Bioinsumo Agrícola</t>
        </is>
      </c>
      <c r="M135" s="7" t="inlineStr">
        <is>
          <t>Simbiose radicular, antagonismo biológico ou controle entomopatogênico</t>
        </is>
      </c>
      <c r="N135" s="7" t="inlineStr">
        <is>
          <t>Categoria 5 / Isento (Bioinsumo)</t>
        </is>
      </c>
      <c r="O135" s="7" t="inlineStr">
        <is>
          <t>Azul Intenso</t>
        </is>
      </c>
      <c r="P135" s="7" t="inlineStr">
        <is>
          <t>Classe IV — Produto Pouco Perigoso ao Meio Ambiente</t>
        </is>
      </c>
      <c r="Q135" s="9" t="n">
        <v>0</v>
      </c>
      <c r="R135" s="7" t="inlineStr">
        <is>
          <t>Aplicação Dirigida / TS / Solo</t>
        </is>
      </c>
      <c r="S135" s="7" t="inlineStr">
        <is>
          <t>Tratamento sintomático</t>
        </is>
      </c>
      <c r="T135" s="7" t="inlineStr">
        <is>
          <t>Estabelecimento Produtor SIPEAGRO/MAPA</t>
        </is>
      </c>
      <c r="U135" s="10">
        <f>HYPERLINK("https://www.gov.br/agricultura/pt-br/assuntos/insumos-agropecuarios/insumos-agricolas/fertilizantes", "Portal SIPEAGRO / MAPA — Fertilizantes e Bioinsumos")</f>
        <v/>
      </c>
    </row>
    <row r="136" ht="22" customHeight="1">
      <c r="A136" s="11" t="n">
        <v>131</v>
      </c>
      <c r="B136" s="12" t="inlineStr">
        <is>
          <t>Nº 0120</t>
        </is>
      </c>
      <c r="C136" s="13" t="inlineStr">
        <is>
          <t>GLUCARE 1X20L (IMP) WW</t>
        </is>
      </c>
      <c r="D136" s="14" t="inlineStr">
        <is>
          <t>GLUCARE</t>
        </is>
      </c>
      <c r="E136" s="13" t="inlineStr">
        <is>
          <t>Produto Formulado Comercial</t>
        </is>
      </c>
      <c r="F136" s="13" t="inlineStr">
        <is>
          <t>Defensivos</t>
        </is>
      </c>
      <c r="G136" s="13" t="inlineStr">
        <is>
          <t>Herbicida</t>
        </is>
      </c>
      <c r="H136" s="13" t="inlineStr">
        <is>
          <t>SL</t>
        </is>
      </c>
      <c r="I136" s="13" t="inlineStr">
        <is>
          <t>Concentrado Solúvel (SL)</t>
        </is>
      </c>
      <c r="J136" s="13" t="inlineStr">
        <is>
          <t>Herbicida de contato não seletivo em pós-emergência (seletivo p/ OGM LibertyLink)</t>
        </is>
      </c>
      <c r="K136" s="13" t="inlineStr">
        <is>
          <t>Homoalanina substituída (Ácido fosfínico)</t>
        </is>
      </c>
      <c r="L136" s="13" t="inlineStr">
        <is>
          <t>HRAC Grupo H (10) — Inibidores da Glutamina Sintetase</t>
        </is>
      </c>
      <c r="M136" s="13" t="inlineStr">
        <is>
          <t>Inibição da enzima glutamina sintetase (acúmulo de amônia intracelular)</t>
        </is>
      </c>
      <c r="N136" s="13" t="inlineStr">
        <is>
          <t>Categoria 4 — Produto Pouco Tóxico</t>
        </is>
      </c>
      <c r="O136" s="13" t="inlineStr">
        <is>
          <t>Azul PMS Blue 293 C</t>
        </is>
      </c>
      <c r="P136" s="13" t="inlineStr">
        <is>
          <t>Classe III — Produto Perigoso ao Meio Ambiente</t>
        </is>
      </c>
      <c r="Q136" s="15" t="n">
        <v>24</v>
      </c>
      <c r="R136" s="13" t="inlineStr">
        <is>
          <t>Terrestre / Aérea (Drones consultar bula)</t>
        </is>
      </c>
      <c r="S136" s="13" t="inlineStr">
        <is>
          <t>Sem antídoto específico; monitorar SNC por 48h e suporte ventilatório</t>
        </is>
      </c>
      <c r="T136" s="13" t="inlineStr">
        <is>
          <t>Rainbow Defensivos</t>
        </is>
      </c>
      <c r="U136" s="16">
        <f>HYPERLINK("https://www.adapar.pr.gov.br/Pagina/Agrotoxicos-Herbicidas", "Registro Oficial Glucare 200 SL (MAPA 0120)")</f>
        <v/>
      </c>
    </row>
    <row r="137" ht="22" customHeight="1">
      <c r="A137" s="5" t="n">
        <v>132</v>
      </c>
      <c r="B137" s="6" t="inlineStr">
        <is>
          <t>Nº 31817</t>
        </is>
      </c>
      <c r="C137" s="7" t="inlineStr">
        <is>
          <t>RAINIL 4X5KG (IMP)</t>
        </is>
      </c>
      <c r="D137" s="8" t="inlineStr">
        <is>
          <t>RAINIL</t>
        </is>
      </c>
      <c r="E137" s="7" t="inlineStr">
        <is>
          <t>Produto Formulado Comercial</t>
        </is>
      </c>
      <c r="F137" s="7" t="inlineStr">
        <is>
          <t>Defensivos</t>
        </is>
      </c>
      <c r="G137" s="7" t="inlineStr">
        <is>
          <t>Inseticida e Cupinicida (Fipronil)</t>
        </is>
      </c>
      <c r="H137" s="7" t="inlineStr">
        <is>
          <t>WG</t>
        </is>
      </c>
      <c r="I137" s="7" t="inlineStr">
        <is>
          <t>Grânulos Dispersíveis em Água (WG)</t>
        </is>
      </c>
      <c r="J137" s="7" t="inlineStr">
        <is>
          <t>Inseticida, cupinicida e formicida de contato e ingestão (TS / Solo)</t>
        </is>
      </c>
      <c r="K137" s="7" t="inlineStr">
        <is>
          <t>Pirazol (Fenilpirazol)</t>
        </is>
      </c>
      <c r="L137" s="7" t="inlineStr">
        <is>
          <t>IRAC Grupo 2B</t>
        </is>
      </c>
      <c r="M137" s="7" t="inlineStr">
        <is>
          <t>Bloqueadores de canais de cloro mediados pelo GABA</t>
        </is>
      </c>
      <c r="N137" s="7" t="inlineStr">
        <is>
          <t>Categoria 3 — Produto Moderadamente Tóxico</t>
        </is>
      </c>
      <c r="O137" s="7" t="inlineStr">
        <is>
          <t>Amarelo PMS Yellow C</t>
        </is>
      </c>
      <c r="P137" s="7" t="inlineStr">
        <is>
          <t>Classe II — Produto Muito Perigoso ao Meio Ambiente</t>
        </is>
      </c>
      <c r="Q137" s="9" t="n">
        <v>0</v>
      </c>
      <c r="R137" s="7" t="inlineStr">
        <is>
          <t>Aplicação Dirigida / TS / Solo</t>
        </is>
      </c>
      <c r="S137" s="7" t="inlineStr">
        <is>
          <t>Sem antídoto específico; tratamento sintomático e controle neurológico</t>
        </is>
      </c>
      <c r="T137" s="7" t="inlineStr">
        <is>
          <t>RAINBOW DEFENSIVOS AGRÍCOLAS LTDA.</t>
        </is>
      </c>
      <c r="U137" s="10">
        <f>HYPERLINK("https://www.adapar.pr.gov.br/system/files/publico/Agrotoxicos/lista.pdf", "Registro Oficial Rainil 800 WG (MAPA 31817)")</f>
        <v/>
      </c>
    </row>
    <row r="138" ht="22" customHeight="1">
      <c r="A138" s="11" t="n">
        <v>133</v>
      </c>
      <c r="B138" s="12" t="inlineStr">
        <is>
          <t>Nº 32322</t>
        </is>
      </c>
      <c r="C138" s="13" t="inlineStr">
        <is>
          <t>JOYA BB 1X20L</t>
        </is>
      </c>
      <c r="D138" s="14" t="inlineStr">
        <is>
          <t>JOYA BB</t>
        </is>
      </c>
      <c r="E138" s="13" t="inlineStr">
        <is>
          <t>Produto Formulado Comercial</t>
        </is>
      </c>
      <c r="F138" s="13" t="inlineStr">
        <is>
          <t>Defensivos</t>
        </is>
      </c>
      <c r="G138" s="13" t="inlineStr">
        <is>
          <t>Herbicida</t>
        </is>
      </c>
      <c r="H138" s="13" t="inlineStr">
        <is>
          <t>SC</t>
        </is>
      </c>
      <c r="I138" s="13" t="inlineStr">
        <is>
          <t>Suspensão Concentrada (SC)</t>
        </is>
      </c>
      <c r="J138" s="13" t="inlineStr">
        <is>
          <t>Herbicida seletivo de contato e residual (pré e pós-emergência inicial)</t>
        </is>
      </c>
      <c r="K138" s="13" t="inlineStr">
        <is>
          <t>N-fenilftalimida</t>
        </is>
      </c>
      <c r="L138" s="13" t="inlineStr">
        <is>
          <t>HRAC Grupo E (14) — Inibidores da PROTOX</t>
        </is>
      </c>
      <c r="M138" s="13" t="inlineStr">
        <is>
          <t>Inibidores da enzima protoporfirinogênio oxidase (PROTOX)</t>
        </is>
      </c>
      <c r="N138" s="13" t="inlineStr">
        <is>
          <t>Categoria 4 / 5 — Pouco Tóxico</t>
        </is>
      </c>
      <c r="O138" s="13" t="inlineStr">
        <is>
          <t>Azul Intenso</t>
        </is>
      </c>
      <c r="P138" s="13" t="inlineStr">
        <is>
          <t>Classe II — Produto Muito Perigoso ao Meio Ambiente</t>
        </is>
      </c>
      <c r="Q138" s="15" t="n">
        <v>24</v>
      </c>
      <c r="R138" s="13" t="inlineStr">
        <is>
          <t>Terrestre / Aérea (Drones consultar bula)</t>
        </is>
      </c>
      <c r="S138" s="13" t="inlineStr">
        <is>
          <t>Sem antídoto específico; tratamento sintomático</t>
        </is>
      </c>
      <c r="T138" s="13" t="inlineStr">
        <is>
          <t>RAINBOW DEFENSIVOS AGRÍCOLAS LTDA.</t>
        </is>
      </c>
      <c r="U138" s="16">
        <f>HYPERLINK("https://www.adapar.pr.gov.br/Pagina/Agrotoxicos-Herbicidas", "Registro Oficial Joya BB 480 SC (MAPA 32322)")</f>
        <v/>
      </c>
    </row>
    <row r="139" ht="22" customHeight="1">
      <c r="A139" s="5" t="n">
        <v>134</v>
      </c>
      <c r="B139" s="6" t="inlineStr">
        <is>
          <t>Nº 2020</t>
        </is>
      </c>
      <c r="C139" s="7" t="inlineStr">
        <is>
          <t>BUSHI 4X5L (IMP)</t>
        </is>
      </c>
      <c r="D139" s="8" t="inlineStr">
        <is>
          <t>BUSHI</t>
        </is>
      </c>
      <c r="E139" s="7" t="inlineStr">
        <is>
          <t>Produto Formulado Comercial</t>
        </is>
      </c>
      <c r="F139" s="7" t="inlineStr">
        <is>
          <t>Defensivos</t>
        </is>
      </c>
      <c r="G139" s="7" t="inlineStr">
        <is>
          <t>Inseticida</t>
        </is>
      </c>
      <c r="H139" s="7" t="inlineStr">
        <is>
          <t>CS</t>
        </is>
      </c>
      <c r="I139" s="7" t="inlineStr">
        <is>
          <t>Suspensão de Encapsulado (CS)</t>
        </is>
      </c>
      <c r="J139" s="7" t="inlineStr">
        <is>
          <t>Inseticida de contato e ingestão com efeito de choque</t>
        </is>
      </c>
      <c r="K139" s="7" t="inlineStr">
        <is>
          <t>Piretroide (Tipo II)</t>
        </is>
      </c>
      <c r="L139" s="7" t="inlineStr">
        <is>
          <t>IRAC Grupo 3A</t>
        </is>
      </c>
      <c r="M139" s="7" t="inlineStr">
        <is>
          <t>Moduladores de canais de sódio em axônios nervosos</t>
        </is>
      </c>
      <c r="N139" s="7" t="inlineStr">
        <is>
          <t>Categoria 3 — Produto Moderadamente Tóxico</t>
        </is>
      </c>
      <c r="O139" s="7" t="inlineStr">
        <is>
          <t>Amarelo PMS Yellow C</t>
        </is>
      </c>
      <c r="P139" s="7" t="inlineStr">
        <is>
          <t>Classe II — Produto Muito Perigoso ao Meio Ambiente</t>
        </is>
      </c>
      <c r="Q139" s="9" t="n">
        <v>24</v>
      </c>
      <c r="R139" s="7" t="inlineStr">
        <is>
          <t>Terrestre / Aérea (Drones consultar bula)</t>
        </is>
      </c>
      <c r="S139" s="7" t="inlineStr">
        <is>
          <t>Sem antídoto específico; anti-histamínicos e suporte sintomático</t>
        </is>
      </c>
      <c r="T139" s="7" t="inlineStr">
        <is>
          <t>PILARQUIM BR COMERCIAL LTDA. / SYNGENTA</t>
        </is>
      </c>
      <c r="U139" s="10">
        <f>HYPERLINK("https://agrofit.agricultura.gov.br/agrofit_cons/principal_agrofit_cons", "Consulta Oficial AGROFIT/MAPA (Nº 2020)")</f>
        <v/>
      </c>
    </row>
    <row r="140" ht="22" customHeight="1">
      <c r="A140" s="11" t="n">
        <v>135</v>
      </c>
      <c r="B140" s="12" t="inlineStr">
        <is>
          <t>Nº 10018</t>
        </is>
      </c>
      <c r="C140" s="13" t="inlineStr">
        <is>
          <t>ATRAZINA 500 SC 1X20L (IMP)</t>
        </is>
      </c>
      <c r="D140" s="14" t="inlineStr">
        <is>
          <t>ATRAZINA</t>
        </is>
      </c>
      <c r="E140" s="13" t="inlineStr">
        <is>
          <t>Produto Formulado Comercial</t>
        </is>
      </c>
      <c r="F140" s="13" t="inlineStr">
        <is>
          <t>Defensivos</t>
        </is>
      </c>
      <c r="G140" s="13" t="inlineStr">
        <is>
          <t>Herbicida</t>
        </is>
      </c>
      <c r="H140" s="13" t="inlineStr">
        <is>
          <t>SC</t>
        </is>
      </c>
      <c r="I140" s="13" t="inlineStr">
        <is>
          <t>SC - Suspensão Concentrada</t>
        </is>
      </c>
      <c r="J140" s="13" t="inlineStr">
        <is>
          <t>Herbicida seletivo sistêmico de pré e pós-emergência precoce</t>
        </is>
      </c>
      <c r="K140" s="13" t="inlineStr">
        <is>
          <t>Triazina</t>
        </is>
      </c>
      <c r="L140" s="13" t="inlineStr">
        <is>
          <t>HRAC Grupo C1 (5) — Inibidores do Fotossistema II</t>
        </is>
      </c>
      <c r="M140" s="13" t="inlineStr">
        <is>
          <t>Inibição do transporte de elétrons no Fotossistema II (sítio Serina 264)</t>
        </is>
      </c>
      <c r="N140" s="13" t="inlineStr">
        <is>
          <t>Categoria 4: Produto Pouco Tóxico</t>
        </is>
      </c>
      <c r="O140" s="13" t="inlineStr">
        <is>
          <t>Azul</t>
        </is>
      </c>
      <c r="P140" s="13" t="inlineStr">
        <is>
          <t>Classe II — Produto Muito Perigoso ao Meio Ambiente</t>
        </is>
      </c>
      <c r="Q140" s="15" t="n">
        <v>24</v>
      </c>
      <c r="R140" s="13" t="inlineStr">
        <is>
          <t>Terrestre / Aérea (Drones consultar bula)</t>
        </is>
      </c>
      <c r="S140" s="13" t="inlineStr">
        <is>
          <t>Sem antídoto específico; tratamento sintomático</t>
        </is>
      </c>
      <c r="T140" s="13" t="inlineStr">
        <is>
          <t>RAINBOW DEFENSIVOS AGRICOLAS LTDA</t>
        </is>
      </c>
      <c r="U140" s="16">
        <f>HYPERLINK("https://agrofit.agricultura.gov.br/agrofit_cons/principal_agrofit_cons", "Consulta Oficial AGROFIT/MAPA (Nº 10018)")</f>
        <v/>
      </c>
    </row>
    <row r="141" ht="22" customHeight="1">
      <c r="A141" s="5" t="n">
        <v>136</v>
      </c>
      <c r="B141" s="6" t="inlineStr">
        <is>
          <t>Nº 938801</t>
        </is>
      </c>
      <c r="C141" s="7" t="inlineStr">
        <is>
          <t>CLASSIC 4X2 KG (IMP)</t>
        </is>
      </c>
      <c r="D141" s="8" t="inlineStr">
        <is>
          <t>CLASSIC 4X2 KG (IMP)</t>
        </is>
      </c>
      <c r="E141" s="7" t="inlineStr">
        <is>
          <t>Produto Formulado Comercial</t>
        </is>
      </c>
      <c r="F141" s="7" t="inlineStr">
        <is>
          <t>Defensivos</t>
        </is>
      </c>
      <c r="G141" s="7" t="inlineStr">
        <is>
          <t>Herbicida</t>
        </is>
      </c>
      <c r="H141" s="7" t="inlineStr">
        <is>
          <t>WG</t>
        </is>
      </c>
      <c r="I141" s="7" t="inlineStr">
        <is>
          <t>Grânulos Dispersíveis em Água (WG)</t>
        </is>
      </c>
      <c r="J141" s="7" t="inlineStr">
        <is>
          <t>Herbicida de pré ou pós-emergência</t>
        </is>
      </c>
      <c r="K141" s="7" t="inlineStr">
        <is>
          <t>Sulfonilureia</t>
        </is>
      </c>
      <c r="L141" s="7" t="inlineStr">
        <is>
          <t>HRAC Grupo B (2) — Inibidores da ALS</t>
        </is>
      </c>
      <c r="M141" s="7" t="inlineStr">
        <is>
          <t>Inibição da enzima acetolactato sintase (ALS / AHAS)</t>
        </is>
      </c>
      <c r="N141" s="7" t="inlineStr">
        <is>
          <t>Categoria 4 / 5 — Pouco Tóxico (Conforme Bula ANVISA)</t>
        </is>
      </c>
      <c r="O141" s="7" t="inlineStr">
        <is>
          <t>Azul PMS Blue 293 C</t>
        </is>
      </c>
      <c r="P141" s="7" t="inlineStr">
        <is>
          <t>Classe II / III — Perigoso ao Meio Ambiente</t>
        </is>
      </c>
      <c r="Q141" s="9" t="n">
        <v>24</v>
      </c>
      <c r="R141" s="7" t="inlineStr">
        <is>
          <t>Terrestre / Aérea (Drones consultar bula)</t>
        </is>
      </c>
      <c r="S141" s="7" t="inlineStr">
        <is>
          <t>Sem antídoto específico; tratamento sintomático e descontaminação</t>
        </is>
      </c>
      <c r="T141" s="7" t="inlineStr">
        <is>
          <t>Corteva Agriscience</t>
        </is>
      </c>
      <c r="U141" s="10">
        <f>HYPERLINK("https://agrofit.agricultura.gov.br/agrofit_cons/principal_agrofit_cons", "Consulta Oficial AGROFIT/MAPA (Nº 938801)")</f>
        <v/>
      </c>
    </row>
    <row r="142" ht="22" customHeight="1">
      <c r="A142" s="11" t="n">
        <v>137</v>
      </c>
      <c r="B142" s="12" t="inlineStr">
        <is>
          <t>Nº 11320</t>
        </is>
      </c>
      <c r="C142" s="13" t="inlineStr">
        <is>
          <t>SURVEY 800 WG 4X5KG (IMP)</t>
        </is>
      </c>
      <c r="D142" s="14" t="inlineStr">
        <is>
          <t>SURVEY 800 WG</t>
        </is>
      </c>
      <c r="E142" s="13" t="inlineStr">
        <is>
          <t>Produto Formulado Comercial</t>
        </is>
      </c>
      <c r="F142" s="13" t="inlineStr">
        <is>
          <t>Defensivos</t>
        </is>
      </c>
      <c r="G142" s="13" t="inlineStr">
        <is>
          <t>Inseticida e Cupinicida (Fipronil)</t>
        </is>
      </c>
      <c r="H142" s="13" t="inlineStr">
        <is>
          <t>WG</t>
        </is>
      </c>
      <c r="I142" s="13" t="inlineStr">
        <is>
          <t>Grânulos Dispersíveis em Água (WG)</t>
        </is>
      </c>
      <c r="J142" s="13" t="inlineStr">
        <is>
          <t>Inseticida, cupinicida e formicida de contato e ingestão (TS / Solo)</t>
        </is>
      </c>
      <c r="K142" s="13" t="inlineStr">
        <is>
          <t>Pirazol (Fenilpirazol)</t>
        </is>
      </c>
      <c r="L142" s="13" t="inlineStr">
        <is>
          <t>IRAC Grupo 2B</t>
        </is>
      </c>
      <c r="M142" s="13" t="inlineStr">
        <is>
          <t>Bloqueadores de canais de cloro mediados pelo GABA</t>
        </is>
      </c>
      <c r="N142" s="13" t="inlineStr">
        <is>
          <t>Categoria 3 — Produto Moderadamente Tóxico</t>
        </is>
      </c>
      <c r="O142" s="13" t="inlineStr">
        <is>
          <t>Amarelo PMS Yellow C</t>
        </is>
      </c>
      <c r="P142" s="13" t="inlineStr">
        <is>
          <t>Classe II — Produto Muito Perigoso ao Meio Ambiente</t>
        </is>
      </c>
      <c r="Q142" s="15" t="n">
        <v>24</v>
      </c>
      <c r="R142" s="13" t="inlineStr">
        <is>
          <t>Terrestre / Aérea (Drones consultar bula)</t>
        </is>
      </c>
      <c r="S142" s="13" t="inlineStr">
        <is>
          <t>Sem antídoto específico; tratamento sintomático e controle neurológico</t>
        </is>
      </c>
      <c r="T142" s="13" t="inlineStr">
        <is>
          <t>RAINBOW DEFENSIVOS AGRÍCOLAS LTDA.</t>
        </is>
      </c>
      <c r="U142" s="16">
        <f>HYPERLINK("https://www.adapar.pr.gov.br/system/files/publico/Agrotoxicos/lista.pdf", "Registro Oficial Survey 800 WG (MAPA 11320)")</f>
        <v/>
      </c>
    </row>
    <row r="143" ht="22" customHeight="1">
      <c r="A143" s="5" t="n">
        <v>138</v>
      </c>
      <c r="B143" s="6" t="inlineStr">
        <is>
          <t>SIPEAGRO (UF-XXXXX)</t>
        </is>
      </c>
      <c r="C143" s="7" t="inlineStr">
        <is>
          <t>AGCN GRANU S BAG 120 1X1200KG (VALIDAR FISCAL)</t>
        </is>
      </c>
      <c r="D143" s="8" t="inlineStr">
        <is>
          <t>AGCN GRANU S BAG 120</t>
        </is>
      </c>
      <c r="E143" s="7" t="inlineStr">
        <is>
          <t>Corretivo / Condicionador de Solo</t>
        </is>
      </c>
      <c r="F143" s="7" t="inlineStr">
        <is>
          <t>Corretivos e Condicionadores de Solo</t>
        </is>
      </c>
      <c r="G143" s="7" t="inlineStr">
        <is>
          <t>Condicionador / Fonte Mineral de Enxofre (Enxofre + Bentonita)</t>
        </is>
      </c>
      <c r="H143" s="7" t="inlineStr">
        <is>
          <t>Pó</t>
        </is>
      </c>
      <c r="I143" s="7" t="inlineStr">
        <is>
          <t>Formulação Padrão (Pó / Granulado / Pastilhado)</t>
        </is>
      </c>
      <c r="J143" s="7" t="inlineStr">
        <is>
          <t>Incorporação ou aplicação em área total no solo</t>
        </is>
      </c>
      <c r="K143" s="7" t="inlineStr">
        <is>
          <t>Corretivo de Acidez / Condicionador de Solo (SIPEAGRO)</t>
        </is>
      </c>
      <c r="L143" s="7" t="inlineStr">
        <is>
          <t>Correção Química de Solo</t>
        </is>
      </c>
      <c r="M143" s="7" t="inlineStr">
        <is>
          <t>Neutralização de Al3+ tóxico e fornecimento de Ca2+, Mg2+, S ou B</t>
        </is>
      </c>
      <c r="N143" s="7" t="inlineStr">
        <is>
          <t>Isento ANVISA (Corretivo Agrícola SIPEAGRO)</t>
        </is>
      </c>
      <c r="O143" s="7" t="inlineStr">
        <is>
          <t>Não Aplicável</t>
        </is>
      </c>
      <c r="P143" s="7" t="inlineStr">
        <is>
          <t>Produto Mineral Natural</t>
        </is>
      </c>
      <c r="Q143" s="9" t="n">
        <v>24</v>
      </c>
      <c r="R143" s="7" t="inlineStr">
        <is>
          <t>Terrestre / Aérea (Drones consultar bula)</t>
        </is>
      </c>
      <c r="S143" s="7" t="inlineStr">
        <is>
          <t>Tratamento sintomático</t>
        </is>
      </c>
      <c r="T143" s="7" t="inlineStr">
        <is>
          <t>Estabelecimento Produtor SIPEAGRO/MAPA</t>
        </is>
      </c>
      <c r="U143" s="10">
        <f>HYPERLINK("https://www.gov.br/agricultura/pt-br/assuntos/insumos-agropecuarios/insumos-agricolas/fertilizantes", "Portal SIPEAGRO / MAPA — Fertilizantes e Bioinsumos")</f>
        <v/>
      </c>
    </row>
    <row r="144" ht="22" customHeight="1">
      <c r="A144" s="11" t="n">
        <v>139</v>
      </c>
      <c r="B144" s="12" t="inlineStr">
        <is>
          <t>Nº 13419</t>
        </is>
      </c>
      <c r="C144" s="13" t="inlineStr">
        <is>
          <t>FRENO 240 EC 4X5L</t>
        </is>
      </c>
      <c r="D144" s="14" t="inlineStr">
        <is>
          <t>FRENO 240 EC</t>
        </is>
      </c>
      <c r="E144" s="13" t="inlineStr">
        <is>
          <t>Produto Formulado Comercial</t>
        </is>
      </c>
      <c r="F144" s="13" t="inlineStr">
        <is>
          <t>Defensivos</t>
        </is>
      </c>
      <c r="G144" s="13" t="inlineStr">
        <is>
          <t>Herbicida</t>
        </is>
      </c>
      <c r="H144" s="13" t="inlineStr">
        <is>
          <t>EC</t>
        </is>
      </c>
      <c r="I144" s="13" t="inlineStr">
        <is>
          <t>Concentrado Emulsionável (EC)</t>
        </is>
      </c>
      <c r="J144" s="13" t="inlineStr">
        <is>
          <t>Herbicida graminicida sistêmico seletivo de pós-emergência</t>
        </is>
      </c>
      <c r="K144" s="13" t="inlineStr">
        <is>
          <t>Oxima ciclohexanodiona (DIM)</t>
        </is>
      </c>
      <c r="L144" s="13" t="inlineStr">
        <is>
          <t>HRAC Grupo A (1) — Inibidores da ACCase</t>
        </is>
      </c>
      <c r="M144" s="13" t="inlineStr">
        <is>
          <t>Inibidores da Acetil CoA Carboxilase (ACCase)</t>
        </is>
      </c>
      <c r="N144" s="13" t="inlineStr">
        <is>
          <t>Categoria 4 / 5 — Pouco Tóxico</t>
        </is>
      </c>
      <c r="O144" s="13" t="inlineStr">
        <is>
          <t>Azul Intenso</t>
        </is>
      </c>
      <c r="P144" s="13" t="inlineStr">
        <is>
          <t>Classe III — Produto Perigoso ao Meio Ambiente</t>
        </is>
      </c>
      <c r="Q144" s="15" t="n">
        <v>24</v>
      </c>
      <c r="R144" s="13" t="inlineStr">
        <is>
          <t>Terrestre / Aérea (Drones consultar bula)</t>
        </is>
      </c>
      <c r="S144" s="13" t="inlineStr">
        <is>
          <t>Sem antídoto específico; tratamento sintomático</t>
        </is>
      </c>
      <c r="T144" s="13" t="inlineStr">
        <is>
          <t>ADAMA BRASIL S/A</t>
        </is>
      </c>
      <c r="U144" s="16">
        <f>HYPERLINK("https://www.adapar.pr.gov.br/Pagina/Agrotoxicos-Herbicidas", "Registro Oficial Freno 240 EC (MAPA 13419)")</f>
        <v/>
      </c>
    </row>
    <row r="145" ht="22" customHeight="1">
      <c r="A145" s="5" t="n">
        <v>140</v>
      </c>
      <c r="B145" s="6" t="inlineStr">
        <is>
          <t>ISENTO (ATO 104/2017)</t>
        </is>
      </c>
      <c r="C145" s="7" t="inlineStr">
        <is>
          <t>AGRICOIL VEGETAL 1X20L</t>
        </is>
      </c>
      <c r="D145" s="8" t="inlineStr">
        <is>
          <t>AGRICOIL VEGETAL</t>
        </is>
      </c>
      <c r="E145" s="7" t="inlineStr">
        <is>
          <t>Adjuvante / Espalhante Adesivo</t>
        </is>
      </c>
      <c r="F145" s="7" t="inlineStr">
        <is>
          <t>Adjuvantes</t>
        </is>
      </c>
      <c r="G145" s="7" t="inlineStr">
        <is>
          <t>Óleo Vegetal / Éster Metílico / D-Limoneno Adjuvante</t>
        </is>
      </c>
      <c r="H145" s="7" t="inlineStr">
        <is>
          <t>EC</t>
        </is>
      </c>
      <c r="I145" s="7" t="inlineStr">
        <is>
          <t>Concentrado Emulsionável (EC)</t>
        </is>
      </c>
      <c r="J145" s="7" t="inlineStr">
        <is>
          <t>Aditivo físico-químico para calda de pulverização</t>
        </is>
      </c>
      <c r="K145" s="7" t="inlineStr">
        <is>
          <t>Éster Metílico / Hidrocarboneto Parafínico / Tensoativo Siliconado</t>
        </is>
      </c>
      <c r="L145" s="7" t="inlineStr">
        <is>
          <t>Adjuvante Tecnológico de Pulverização</t>
        </is>
      </c>
      <c r="M145" s="7" t="inlineStr">
        <is>
          <t>Redução da tensão superficial, espalhamento, anti-deriva e penetração cuticular</t>
        </is>
      </c>
      <c r="N145" s="7" t="inlineStr">
        <is>
          <t>Isento / Ato SDA nº 104/2017 (ou Categoria 5 quando registrado)</t>
        </is>
      </c>
      <c r="O145" s="7" t="inlineStr">
        <is>
          <t>Azul / Isento</t>
        </is>
      </c>
      <c r="P145" s="7" t="inlineStr">
        <is>
          <t>Classe IV — Pouco Perigoso ao Meio Ambiente</t>
        </is>
      </c>
      <c r="Q145" s="9" t="n">
        <v>24</v>
      </c>
      <c r="R145" s="7" t="inlineStr">
        <is>
          <t>Terrestre / Aérea (Drones consultar bula)</t>
        </is>
      </c>
      <c r="S145" s="7" t="inlineStr">
        <is>
          <t>Tratamento sintomático; evitar indução de vômito em derivados de petróleo</t>
        </is>
      </c>
      <c r="T145" s="7" t="inlineStr">
        <is>
          <t>Dispensado de Registro (Ato SDA nº 104/2017)</t>
        </is>
      </c>
      <c r="U145" s="10">
        <f>HYPERLINK("https://www.gov.br/agricultura/pt-br/assuntos/insumos-agropecuarios/insumos-agricolas/agrotoxicos/legislacao", "Ato SDA/MAPA nº 104/2017 — Adjuvantes Agrícolas")</f>
        <v/>
      </c>
    </row>
    <row r="146" ht="22" customHeight="1">
      <c r="A146" s="11" t="n">
        <v>141</v>
      </c>
      <c r="B146" s="12" t="inlineStr">
        <is>
          <t>SIPEAGRO (UF-XXXXX)</t>
        </is>
      </c>
      <c r="C146" s="13" t="inlineStr">
        <is>
          <t>AGCN ULTRA S 1X20L</t>
        </is>
      </c>
      <c r="D146" s="14" t="inlineStr">
        <is>
          <t>AGCN ULTRA S</t>
        </is>
      </c>
      <c r="E146" s="13" t="inlineStr">
        <is>
          <t>Corretivo / Condicionador de Solo</t>
        </is>
      </c>
      <c r="F146" s="13" t="inlineStr">
        <is>
          <t>Corretivos e Condicionadores de Solo</t>
        </is>
      </c>
      <c r="G146" s="13" t="inlineStr">
        <is>
          <t>Condicionador / Fonte Mineral de Enxofre (Enxofre + Bentonita)</t>
        </is>
      </c>
      <c r="H146" s="13" t="inlineStr">
        <is>
          <t>Pó</t>
        </is>
      </c>
      <c r="I146" s="13" t="inlineStr">
        <is>
          <t>Formulação Padrão (Pó / Granulado / Pastilhado)</t>
        </is>
      </c>
      <c r="J146" s="13" t="inlineStr">
        <is>
          <t>Incorporação ou aplicação em área total no solo</t>
        </is>
      </c>
      <c r="K146" s="13" t="inlineStr">
        <is>
          <t>Corretivo de Acidez / Condicionador de Solo (SIPEAGRO)</t>
        </is>
      </c>
      <c r="L146" s="13" t="inlineStr">
        <is>
          <t>Correção Química de Solo</t>
        </is>
      </c>
      <c r="M146" s="13" t="inlineStr">
        <is>
          <t>Neutralização de Al3+ tóxico e fornecimento de Ca2+, Mg2+, S ou B</t>
        </is>
      </c>
      <c r="N146" s="13" t="inlineStr">
        <is>
          <t>Isento ANVISA (Corretivo Agrícola SIPEAGRO)</t>
        </is>
      </c>
      <c r="O146" s="13" t="inlineStr">
        <is>
          <t>Não Aplicável</t>
        </is>
      </c>
      <c r="P146" s="13" t="inlineStr">
        <is>
          <t>Produto Mineral Natural</t>
        </is>
      </c>
      <c r="Q146" s="15" t="n">
        <v>24</v>
      </c>
      <c r="R146" s="13" t="inlineStr">
        <is>
          <t>Terrestre / Aérea (Drones consultar bula)</t>
        </is>
      </c>
      <c r="S146" s="13" t="inlineStr">
        <is>
          <t>Tratamento sintomático</t>
        </is>
      </c>
      <c r="T146" s="13" t="inlineStr">
        <is>
          <t>Estabelecimento Produtor SIPEAGRO/MAPA</t>
        </is>
      </c>
      <c r="U146" s="16">
        <f>HYPERLINK("https://www.gov.br/agricultura/pt-br/assuntos/insumos-agropecuarios/insumos-agricolas/fertilizantes", "Portal SIPEAGRO / MAPA — Fertilizantes e Bioinsumos")</f>
        <v/>
      </c>
    </row>
    <row r="147" ht="22" customHeight="1">
      <c r="A147" s="5" t="n">
        <v>142</v>
      </c>
      <c r="B147" s="6" t="inlineStr">
        <is>
          <t>Nº 0115</t>
        </is>
      </c>
      <c r="C147" s="7" t="inlineStr">
        <is>
          <t>2,4-D DECORUM 1X20L (IMP)</t>
        </is>
      </c>
      <c r="D147" s="8" t="inlineStr">
        <is>
          <t>2,4-D DECORUM</t>
        </is>
      </c>
      <c r="E147" s="7" t="inlineStr">
        <is>
          <t>Produto Formulado Comercial</t>
        </is>
      </c>
      <c r="F147" s="7" t="inlineStr">
        <is>
          <t>Defensivos</t>
        </is>
      </c>
      <c r="G147" s="7" t="inlineStr">
        <is>
          <t>Herbicida</t>
        </is>
      </c>
      <c r="H147" s="7" t="inlineStr">
        <is>
          <t>SL</t>
        </is>
      </c>
      <c r="I147" s="7" t="inlineStr">
        <is>
          <t>Concentrado Solúvel (SL)</t>
        </is>
      </c>
      <c r="J147" s="7" t="inlineStr">
        <is>
          <t>Herbicida sistêmico seletivo de pós-emergência para folhas largas</t>
        </is>
      </c>
      <c r="K147" s="7" t="inlineStr">
        <is>
          <t>Ácido ariloxialcanoico</t>
        </is>
      </c>
      <c r="L147" s="7" t="inlineStr">
        <is>
          <t>HRAC Grupo O (4) — Auxinas Sintéticas</t>
        </is>
      </c>
      <c r="M147" s="7" t="inlineStr">
        <is>
          <t>Mimetizadores da auxina (ácido indolacético - AIA)</t>
        </is>
      </c>
      <c r="N147" s="7" t="inlineStr">
        <is>
          <t>Categoria 4 — Produto Pouco Tóxico</t>
        </is>
      </c>
      <c r="O147" s="7" t="inlineStr">
        <is>
          <t>Azul PMS Blue 293 C</t>
        </is>
      </c>
      <c r="P147" s="7" t="inlineStr">
        <is>
          <t>Classe III — Produto Perigoso ao Meio Ambiente</t>
        </is>
      </c>
      <c r="Q147" s="9" t="n">
        <v>24</v>
      </c>
      <c r="R147" s="7" t="inlineStr">
        <is>
          <t>Terrestre / Aérea (Drones consultar bula)</t>
        </is>
      </c>
      <c r="S147" s="7" t="inlineStr">
        <is>
          <t>Sem antídoto específico; tratamento sintomático</t>
        </is>
      </c>
      <c r="T147" s="7" t="inlineStr">
        <is>
          <t>Decorum / Crotect</t>
        </is>
      </c>
      <c r="U147" s="10">
        <f>HYPERLINK("https://agrofit.agricultura.gov.br/agrofit_cons/principal_agrofit_cons", "Consulta Oficial AGROFIT/MAPA (Nº 0115)")</f>
        <v/>
      </c>
    </row>
    <row r="148" ht="22" customHeight="1">
      <c r="A148" s="11" t="n">
        <v>143</v>
      </c>
      <c r="B148" s="12" t="inlineStr">
        <is>
          <t>Nº 31522</t>
        </is>
      </c>
      <c r="C148" s="13" t="inlineStr">
        <is>
          <t>METOMY 4X5KG (IMP)</t>
        </is>
      </c>
      <c r="D148" s="14" t="inlineStr">
        <is>
          <t>METOMY</t>
        </is>
      </c>
      <c r="E148" s="13" t="inlineStr">
        <is>
          <t>Produto Formulado Comercial</t>
        </is>
      </c>
      <c r="F148" s="13" t="inlineStr">
        <is>
          <t>Defensivos</t>
        </is>
      </c>
      <c r="G148" s="13" t="inlineStr">
        <is>
          <t>Inseticida</t>
        </is>
      </c>
      <c r="H148" s="13" t="inlineStr">
        <is>
          <t>SP</t>
        </is>
      </c>
      <c r="I148" s="13" t="inlineStr">
        <is>
          <t>Pó Solúvel em Água (SP)</t>
        </is>
      </c>
      <c r="J148" s="13" t="inlineStr">
        <is>
          <t>Inseticida sistêmico de contato e ingestão com efeito ovicida/larvicida</t>
        </is>
      </c>
      <c r="K148" s="13" t="inlineStr">
        <is>
          <t>Metilcarbamato de oxima</t>
        </is>
      </c>
      <c r="L148" s="13" t="inlineStr">
        <is>
          <t>IRAC Grupo 1A</t>
        </is>
      </c>
      <c r="M148" s="13" t="inlineStr">
        <is>
          <t>Inibidores reversíveis da enzima acetilcolinesterase (AChE)</t>
        </is>
      </c>
      <c r="N148" s="13" t="inlineStr">
        <is>
          <t>Categoria 2 — Produto Altamente Tóxico</t>
        </is>
      </c>
      <c r="O148" s="13" t="inlineStr">
        <is>
          <t>Vermelho PMS Red 199 C</t>
        </is>
      </c>
      <c r="P148" s="13" t="inlineStr">
        <is>
          <t>Classe II — Produto Muito Perigoso ao Meio Ambiente</t>
        </is>
      </c>
      <c r="Q148" s="15" t="n">
        <v>24</v>
      </c>
      <c r="R148" s="13" t="inlineStr">
        <is>
          <t>Terrestre / Aérea (Drones consultar bula)</t>
        </is>
      </c>
      <c r="S148" s="13" t="inlineStr">
        <is>
          <t>Sulfato de Atropina (antídoto específico; NÃO administrar oximas/pralidoxima em carbamatos)</t>
        </is>
      </c>
      <c r="T148" s="13" t="inlineStr">
        <is>
          <t>RAINBOW DEFENSIVOS AGRÍCOLAS LTDA.</t>
        </is>
      </c>
      <c r="U148" s="16">
        <f>HYPERLINK("https://agrofit.agricultura.gov.br/agrofit_cons/principal_agrofit_cons", "Consulta Oficial AGROFIT/MAPA (Nº 31522)")</f>
        <v/>
      </c>
    </row>
    <row r="149" ht="22" customHeight="1">
      <c r="A149" s="5" t="n">
        <v>144</v>
      </c>
      <c r="B149" s="6" t="inlineStr">
        <is>
          <t>Nº 34122</t>
        </is>
      </c>
      <c r="C149" s="7" t="inlineStr">
        <is>
          <t>METRARO EC 1X20L (IMP)</t>
        </is>
      </c>
      <c r="D149" s="8" t="inlineStr">
        <is>
          <t>METRARO EC</t>
        </is>
      </c>
      <c r="E149" s="7" t="inlineStr">
        <is>
          <t>Produto Formulado Comercial</t>
        </is>
      </c>
      <c r="F149" s="7" t="inlineStr">
        <is>
          <t>Defensivos</t>
        </is>
      </c>
      <c r="G149" s="7" t="inlineStr">
        <is>
          <t>Herbicida</t>
        </is>
      </c>
      <c r="H149" s="7" t="inlineStr">
        <is>
          <t>EC</t>
        </is>
      </c>
      <c r="I149" s="7" t="inlineStr">
        <is>
          <t>Concentrado Emulsionável (EC)</t>
        </is>
      </c>
      <c r="J149" s="7" t="inlineStr">
        <is>
          <t>Herbicida seletivo pré-emergente sistêmico</t>
        </is>
      </c>
      <c r="K149" s="7" t="inlineStr">
        <is>
          <t>Cloroacetanilida</t>
        </is>
      </c>
      <c r="L149" s="7" t="inlineStr">
        <is>
          <t>HRAC Grupo K3 (15) — Inibidores de VLCFAs</t>
        </is>
      </c>
      <c r="M149" s="7" t="inlineStr">
        <is>
          <t>Inibidores da síntese de ácidos graxos de cadeia muito longa (divisão celular)</t>
        </is>
      </c>
      <c r="N149" s="7" t="inlineStr">
        <is>
          <t>Categoria 4 — Produto Pouco Tóxico</t>
        </is>
      </c>
      <c r="O149" s="7" t="inlineStr">
        <is>
          <t>Azul PMS Blue 293 C</t>
        </is>
      </c>
      <c r="P149" s="7" t="inlineStr">
        <is>
          <t>Classe II — Produto Muito Perigoso ao Meio Ambiente</t>
        </is>
      </c>
      <c r="Q149" s="9" t="n">
        <v>24</v>
      </c>
      <c r="R149" s="7" t="inlineStr">
        <is>
          <t>Terrestre / Aérea (Drones consultar bula)</t>
        </is>
      </c>
      <c r="S149" s="7" t="inlineStr">
        <is>
          <t>Sem antídoto específico; tratamento sintomático</t>
        </is>
      </c>
      <c r="T149" s="7" t="inlineStr">
        <is>
          <t>RAINBOW DEFENSIVOS AGRÍCOLAS LTDA.</t>
        </is>
      </c>
      <c r="U149" s="10">
        <f>HYPERLINK("https://agrofit.agricultura.gov.br/agrofit_cons/principal_agrofit_cons", "Consulta Oficial AGROFIT/MAPA (Nº 34122)")</f>
        <v/>
      </c>
    </row>
    <row r="150" ht="22" customHeight="1">
      <c r="A150" s="11" t="n">
        <v>145</v>
      </c>
      <c r="B150" s="12" t="inlineStr">
        <is>
          <t>Nº 13720</t>
        </is>
      </c>
      <c r="C150" s="13" t="inlineStr">
        <is>
          <t>VELBOW 4X5KG (IMP)</t>
        </is>
      </c>
      <c r="D150" s="14" t="inlineStr">
        <is>
          <t>VELBOW</t>
        </is>
      </c>
      <c r="E150" s="13" t="inlineStr">
        <is>
          <t>Produto Formulado Comercial</t>
        </is>
      </c>
      <c r="F150" s="13" t="inlineStr">
        <is>
          <t>Defensivos</t>
        </is>
      </c>
      <c r="G150" s="13" t="inlineStr">
        <is>
          <t>Herbicida</t>
        </is>
      </c>
      <c r="H150" s="13" t="inlineStr">
        <is>
          <t>WG</t>
        </is>
      </c>
      <c r="I150" s="13" t="inlineStr">
        <is>
          <t>Grânulos Dispersíveis em Água (WG)</t>
        </is>
      </c>
      <c r="J150" s="13" t="inlineStr">
        <is>
          <t>Herbicida de pré ou pós-emergência</t>
        </is>
      </c>
      <c r="K150" s="13" t="inlineStr">
        <is>
          <t>Triazinona</t>
        </is>
      </c>
      <c r="L150" s="13" t="inlineStr">
        <is>
          <t>HRAC Grupo C1 (5) — Inibidores do Fotossistema II</t>
        </is>
      </c>
      <c r="M150" s="13" t="inlineStr">
        <is>
          <t>Inibição do transporte de elétrons no Fotossistema II</t>
        </is>
      </c>
      <c r="N150" s="13" t="inlineStr">
        <is>
          <t>Categoria 4 / 5 — Pouco Tóxico (Conforme Bula ANVISA)</t>
        </is>
      </c>
      <c r="O150" s="13" t="inlineStr">
        <is>
          <t>Azul PMS Blue 293 C</t>
        </is>
      </c>
      <c r="P150" s="13" t="inlineStr">
        <is>
          <t>Classe II / III — Perigoso ao Meio Ambiente</t>
        </is>
      </c>
      <c r="Q150" s="15" t="n">
        <v>24</v>
      </c>
      <c r="R150" s="13" t="inlineStr">
        <is>
          <t>Terrestre / Aérea (Drones consultar bula)</t>
        </is>
      </c>
      <c r="S150" s="13" t="inlineStr">
        <is>
          <t>Sem antídoto específico; tratamento sintomático e descontaminação</t>
        </is>
      </c>
      <c r="T150" s="13" t="inlineStr">
        <is>
          <t>RAINBOW DEFENSIVOS AGRÍCOLAS LTDA.</t>
        </is>
      </c>
      <c r="U150" s="16">
        <f>HYPERLINK("https://www.agrolink.com.br/agrolinkfito/produto/velbow_11178.html", "Bula Oficial Velbow (Rainbow - MAPA 13720)")</f>
        <v/>
      </c>
    </row>
    <row r="151" ht="22" customHeight="1">
      <c r="A151" s="5" t="n">
        <v>146</v>
      </c>
      <c r="B151" s="6" t="inlineStr">
        <is>
          <t>Nº 3522</t>
        </is>
      </c>
      <c r="C151" s="7" t="inlineStr">
        <is>
          <t>TAGZOLE 250 EC 4X5L (IMP)</t>
        </is>
      </c>
      <c r="D151" s="8" t="inlineStr">
        <is>
          <t>TAGZOLE 250 EC</t>
        </is>
      </c>
      <c r="E151" s="7" t="inlineStr">
        <is>
          <t>Produto Formulado Comercial</t>
        </is>
      </c>
      <c r="F151" s="7" t="inlineStr">
        <is>
          <t>Defensivos</t>
        </is>
      </c>
      <c r="G151" s="7" t="inlineStr">
        <is>
          <t>Fungicida</t>
        </is>
      </c>
      <c r="H151" s="7" t="inlineStr">
        <is>
          <t>EC</t>
        </is>
      </c>
      <c r="I151" s="7" t="inlineStr">
        <is>
          <t>Concentrado Emulsionável (EC)</t>
        </is>
      </c>
      <c r="J151" s="7" t="inlineStr">
        <is>
          <t>Fungicida sistêmico preventivo, curativo e erradicante</t>
        </is>
      </c>
      <c r="K151" s="7" t="inlineStr">
        <is>
          <t>Triazol</t>
        </is>
      </c>
      <c r="L151" s="7" t="inlineStr">
        <is>
          <t>FRAC Grupo 3 (DMI)</t>
        </is>
      </c>
      <c r="M151" s="7" t="inlineStr">
        <is>
          <t>Inibidores da desmetilação de esteróis (C14-desmetilase na síntese de ergosterol)</t>
        </is>
      </c>
      <c r="N151" s="7" t="inlineStr">
        <is>
          <t>Categoria 3 / 4 — Moderadamente a Pouco Tóxico</t>
        </is>
      </c>
      <c r="O151" s="7" t="inlineStr">
        <is>
          <t>Amarelo / Azul</t>
        </is>
      </c>
      <c r="P151" s="7" t="inlineStr">
        <is>
          <t>Classe II — Produto Muito Perigoso ao Meio Ambiente</t>
        </is>
      </c>
      <c r="Q151" s="9" t="n">
        <v>24</v>
      </c>
      <c r="R151" s="7" t="inlineStr">
        <is>
          <t>Terrestre / Aérea (Drones consultar bula)</t>
        </is>
      </c>
      <c r="S151" s="7" t="inlineStr">
        <is>
          <t>Sem antídoto específico; tratamento sintomático</t>
        </is>
      </c>
      <c r="T151" s="7" t="inlineStr">
        <is>
          <t>Tagros / Perterra</t>
        </is>
      </c>
      <c r="U151" s="10">
        <f>HYPERLINK("https://agrofit.agricultura.gov.br/agrofit_cons/principal_agrofit_cons", "Consulta Oficial AGROFIT/MAPA (Nº 3522)")</f>
        <v/>
      </c>
    </row>
    <row r="152" ht="22" customHeight="1">
      <c r="A152" s="11" t="n">
        <v>147</v>
      </c>
      <c r="B152" s="12" t="inlineStr">
        <is>
          <t>Nº 5417</t>
        </is>
      </c>
      <c r="C152" s="13" t="inlineStr">
        <is>
          <t>GLIFOSATO IPA 480 RAINBOW 1X20L (IMP)</t>
        </is>
      </c>
      <c r="D152" s="14" t="inlineStr">
        <is>
          <t>GLIFOSATO IPA 480 RAINBOW</t>
        </is>
      </c>
      <c r="E152" s="13" t="inlineStr">
        <is>
          <t>Produto Formulado Comercial</t>
        </is>
      </c>
      <c r="F152" s="13" t="inlineStr">
        <is>
          <t>Defensivos</t>
        </is>
      </c>
      <c r="G152" s="13" t="inlineStr">
        <is>
          <t>Herbicida</t>
        </is>
      </c>
      <c r="H152" s="13" t="inlineStr">
        <is>
          <t>SL</t>
        </is>
      </c>
      <c r="I152" s="13" t="inlineStr">
        <is>
          <t>Concentrado Solúvel (SL)</t>
        </is>
      </c>
      <c r="J152" s="13" t="inlineStr">
        <is>
          <t>Herbicida sistêmico de pós-emergência (seletivo condicional p/ OGM)</t>
        </is>
      </c>
      <c r="K152" s="13" t="inlineStr">
        <is>
          <t>Glicina substituída</t>
        </is>
      </c>
      <c r="L152" s="13" t="inlineStr">
        <is>
          <t>HRAC Grupo G (9) — Inibidores da EPSPs</t>
        </is>
      </c>
      <c r="M152" s="13" t="inlineStr">
        <is>
          <t>Inibidores da enzima EPSPs (Enoil Piruvil Shiquimato Fosfato Sintase)</t>
        </is>
      </c>
      <c r="N152" s="13" t="inlineStr">
        <is>
          <t>Categoria 5 — Produto Improvável de Causar Dano Agudo</t>
        </is>
      </c>
      <c r="O152" s="13" t="inlineStr">
        <is>
          <t>Azul Intenso</t>
        </is>
      </c>
      <c r="P152" s="13" t="inlineStr">
        <is>
          <t>Classe III / IV — Perigoso a Pouco Perigoso ao Meio Ambiente</t>
        </is>
      </c>
      <c r="Q152" s="15" t="n">
        <v>24</v>
      </c>
      <c r="R152" s="13" t="inlineStr">
        <is>
          <t>Terrestre / Aérea (Drones consultar bula)</t>
        </is>
      </c>
      <c r="S152" s="13" t="inlineStr">
        <is>
          <t>Sem antídoto específico (Atropina ineficaz); tratamento sintomático</t>
        </is>
      </c>
      <c r="T152" s="13" t="inlineStr">
        <is>
          <t>Rainbow Defensivos</t>
        </is>
      </c>
      <c r="U152" s="16">
        <f>HYPERLINK("https://agrofit.agricultura.gov.br/agrofit_cons/principal_agrofit_cons", "Consulta Oficial AGROFIT/MAPA (Nº 5417)")</f>
        <v/>
      </c>
    </row>
    <row r="153" ht="22" customHeight="1">
      <c r="A153" s="5" t="n">
        <v>148</v>
      </c>
      <c r="B153" s="6" t="inlineStr">
        <is>
          <t>Nº 44024</t>
        </is>
      </c>
      <c r="C153" s="7" t="inlineStr">
        <is>
          <t>BIOLOGIC BRAVIA 1X10KG</t>
        </is>
      </c>
      <c r="D153" s="8" t="inlineStr">
        <is>
          <t>BIOLOGIC BRAVIA</t>
        </is>
      </c>
      <c r="E153" s="7" t="inlineStr">
        <is>
          <t>Produto Formulado Comercial</t>
        </is>
      </c>
      <c r="F153" s="7" t="inlineStr">
        <is>
          <t>Defensivos</t>
        </is>
      </c>
      <c r="G153" s="7" t="inlineStr">
        <is>
          <t>Bioinseticida (Biológico)</t>
        </is>
      </c>
      <c r="H153" s="7" t="inlineStr">
        <is>
          <t>WP</t>
        </is>
      </c>
      <c r="I153" s="7" t="inlineStr">
        <is>
          <t>WP - Pó Molhável</t>
        </is>
      </c>
      <c r="J153" s="7" t="inlineStr">
        <is>
          <t>Micoinseticida e micoacaricida biológico de contato</t>
        </is>
      </c>
      <c r="K153" s="7" t="inlineStr">
        <is>
          <t>Agente Microbiológico de Controle (Fungo Entomopatogênico)</t>
        </is>
      </c>
      <c r="L153" s="7" t="inlineStr">
        <is>
          <t>IRAC Grupo UNF — Bioinseticida Microbiológico</t>
        </is>
      </c>
      <c r="M153" s="7" t="inlineStr">
        <is>
          <t>Infecção tegumentar por conídios, penetração hemocélica e produção de destruxinas</t>
        </is>
      </c>
      <c r="N153" s="7" t="inlineStr">
        <is>
          <t>Categoria 5: Produto Improvável de Causa Dano Agudo</t>
        </is>
      </c>
      <c r="O153" s="7" t="inlineStr">
        <is>
          <t>Azul</t>
        </is>
      </c>
      <c r="P153" s="7" t="inlineStr">
        <is>
          <t>Classe IV — Produto Pouco Perigoso ao Meio Ambiente</t>
        </is>
      </c>
      <c r="Q153" s="9" t="n">
        <v>24</v>
      </c>
      <c r="R153" s="7" t="inlineStr">
        <is>
          <t>Terrestre / Aérea (Drones consultar bula)</t>
        </is>
      </c>
      <c r="S153" s="7" t="inlineStr">
        <is>
          <t>Sem antídoto; tratamento sintomático em caso de hipersensibilidade/alergia</t>
        </is>
      </c>
      <c r="T153" s="7" t="inlineStr">
        <is>
          <t>Total Biotecnologia Industria e Comercio S/A</t>
        </is>
      </c>
      <c r="U153" s="10">
        <f>HYPERLINK("https://bioprotectionportal.com/pt/productdetails/bowe-19500478/?country=br", "Registro Oficial Bowe / Biokiller (Serquibio/MAPA 44024)")</f>
        <v/>
      </c>
    </row>
    <row r="154" ht="22" customHeight="1">
      <c r="A154" s="11" t="n">
        <v>149</v>
      </c>
      <c r="B154" s="12" t="inlineStr">
        <is>
          <t>Nº 40818</t>
        </is>
      </c>
      <c r="C154" s="13" t="inlineStr">
        <is>
          <t>GLUFOSINATE-AMMONIUN 200 SL YONON 1X20L (IMP) BB</t>
        </is>
      </c>
      <c r="D154" s="14" t="inlineStr">
        <is>
          <t>GLUFOSINATE-AMMONIUN 200 SL YONON</t>
        </is>
      </c>
      <c r="E154" s="13" t="inlineStr">
        <is>
          <t>Produto Formulado Comercial</t>
        </is>
      </c>
      <c r="F154" s="13" t="inlineStr">
        <is>
          <t>Defensivos</t>
        </is>
      </c>
      <c r="G154" s="13" t="inlineStr">
        <is>
          <t>Herbicida</t>
        </is>
      </c>
      <c r="H154" s="13" t="inlineStr">
        <is>
          <t>SL</t>
        </is>
      </c>
      <c r="I154" s="13" t="inlineStr">
        <is>
          <t>Concentrado Solúvel (SL)</t>
        </is>
      </c>
      <c r="J154" s="13" t="inlineStr">
        <is>
          <t>Herbicida de contato não seletivo em pós-emergência (seletivo p/ OGM LibertyLink)</t>
        </is>
      </c>
      <c r="K154" s="13" t="inlineStr">
        <is>
          <t>Homoalanina substituída (Ácido fosfínico)</t>
        </is>
      </c>
      <c r="L154" s="13" t="inlineStr">
        <is>
          <t>HRAC Grupo H (10) — Inibidores da Glutamina Sintetase</t>
        </is>
      </c>
      <c r="M154" s="13" t="inlineStr">
        <is>
          <t>Inibição da enzima glutamina sintetase (acúmulo de amônia intracelular)</t>
        </is>
      </c>
      <c r="N154" s="13" t="inlineStr">
        <is>
          <t>Categoria 4 — Produto Pouco Tóxico</t>
        </is>
      </c>
      <c r="O154" s="13" t="inlineStr">
        <is>
          <t>Azul PMS Blue 293 C</t>
        </is>
      </c>
      <c r="P154" s="13" t="inlineStr">
        <is>
          <t>Classe III — Produto Perigoso ao Meio Ambiente</t>
        </is>
      </c>
      <c r="Q154" s="15" t="n">
        <v>24</v>
      </c>
      <c r="R154" s="13" t="inlineStr">
        <is>
          <t>Terrestre / Aérea (Drones consultar bula)</t>
        </is>
      </c>
      <c r="S154" s="13" t="inlineStr">
        <is>
          <t>Sem antídoto específico; monitorar SNC por 48h e suporte ventilatório</t>
        </is>
      </c>
      <c r="T154" s="13" t="inlineStr">
        <is>
          <t>YONON BRASIL DEFENSIVOS AGRÍCOLAS LTDA.</t>
        </is>
      </c>
      <c r="U154" s="16">
        <f>HYPERLINK("https://agrofit.agricultura.gov.br/agrofit_cons/principal_agrofit_cons", "Consulta Oficial AGROFIT/MAPA (Nº 40818)")</f>
        <v/>
      </c>
    </row>
    <row r="155" ht="22" customHeight="1">
      <c r="A155" s="5" t="n">
        <v>150</v>
      </c>
      <c r="B155" s="6" t="inlineStr">
        <is>
          <t>Nº 9420</t>
        </is>
      </c>
      <c r="C155" s="7" t="inlineStr">
        <is>
          <t>ENSIS-TURBO 4X5L (IMP) GG</t>
        </is>
      </c>
      <c r="D155" s="8" t="inlineStr">
        <is>
          <t>ENSIS-TURBO</t>
        </is>
      </c>
      <c r="E155" s="7" t="inlineStr">
        <is>
          <t>Produto Formulado Comercial</t>
        </is>
      </c>
      <c r="F155" s="7" t="inlineStr">
        <is>
          <t>Defensivos</t>
        </is>
      </c>
      <c r="G155" s="7" t="inlineStr">
        <is>
          <t>Fungicida</t>
        </is>
      </c>
      <c r="H155" s="7" t="inlineStr">
        <is>
          <t>SC</t>
        </is>
      </c>
      <c r="I155" s="7" t="inlineStr">
        <is>
          <t>Suspensão Concentrada (SC)</t>
        </is>
      </c>
      <c r="J155" s="7" t="inlineStr">
        <is>
          <t>Fungicida sistêmico preventivo e curativo</t>
        </is>
      </c>
      <c r="K155" s="7" t="inlineStr">
        <is>
          <t>Triazol</t>
        </is>
      </c>
      <c r="L155" s="7" t="inlineStr">
        <is>
          <t>FRAC Grupo 3 (DMI)</t>
        </is>
      </c>
      <c r="M155" s="7" t="inlineStr">
        <is>
          <t>Inibidores da desmetilação de C14 na biossíntese de ergosterol</t>
        </is>
      </c>
      <c r="N155" s="7" t="inlineStr">
        <is>
          <t>Categoria 4 — Produto Pouco Tóxico</t>
        </is>
      </c>
      <c r="O155" s="7" t="inlineStr">
        <is>
          <t>Azul PMS Blue 293 C</t>
        </is>
      </c>
      <c r="P155" s="7" t="inlineStr">
        <is>
          <t>Classe II — Produto Muito Perigoso ao Meio Ambiente</t>
        </is>
      </c>
      <c r="Q155" s="9" t="n">
        <v>24</v>
      </c>
      <c r="R155" s="7" t="inlineStr">
        <is>
          <t>Terrestre / Aérea (Drones consultar bula)</t>
        </is>
      </c>
      <c r="S155" s="7" t="inlineStr">
        <is>
          <t>Sem antídoto específico; tratamento sintomático</t>
        </is>
      </c>
      <c r="T155" s="7" t="inlineStr">
        <is>
          <t>Adama / Rainbow</t>
        </is>
      </c>
      <c r="U155" s="10">
        <f>HYPERLINK("https://agrofit.agricultura.gov.br/agrofit_cons/principal_agrofit_cons", "Consulta Oficial AGROFIT/MAPA (Nº 9420)")</f>
        <v/>
      </c>
    </row>
    <row r="156" ht="22" customHeight="1">
      <c r="A156" s="11" t="n">
        <v>151</v>
      </c>
      <c r="B156" s="12" t="inlineStr">
        <is>
          <t>Nº 15508</t>
        </is>
      </c>
      <c r="C156" s="13" t="inlineStr">
        <is>
          <t>TRINITY 250 SC 4X5L (IMP) GS</t>
        </is>
      </c>
      <c r="D156" s="14" t="inlineStr">
        <is>
          <t>TRINITY</t>
        </is>
      </c>
      <c r="E156" s="13" t="inlineStr">
        <is>
          <t>Produto Formulado Comercial</t>
        </is>
      </c>
      <c r="F156" s="13" t="inlineStr">
        <is>
          <t>Defensivos</t>
        </is>
      </c>
      <c r="G156" s="13" t="inlineStr">
        <is>
          <t>Fungicida</t>
        </is>
      </c>
      <c r="H156" s="13" t="inlineStr">
        <is>
          <t>SC</t>
        </is>
      </c>
      <c r="I156" s="13" t="inlineStr">
        <is>
          <t>Suspensão Concentrada (SC)</t>
        </is>
      </c>
      <c r="J156" s="13" t="inlineStr">
        <is>
          <t>Fungicida preventivo e curativo foliar</t>
        </is>
      </c>
      <c r="K156" s="13" t="inlineStr">
        <is>
          <t>Triazol</t>
        </is>
      </c>
      <c r="L156" s="13" t="inlineStr">
        <is>
          <t>FRAC Grupo 3 (G1 — DMI)</t>
        </is>
      </c>
      <c r="M156" s="13" t="inlineStr">
        <is>
          <t>Inibidores da desmetilação do C14 na biossíntese do ergosterol</t>
        </is>
      </c>
      <c r="N156" s="13" t="inlineStr">
        <is>
          <t>Categoria 4 — Produto Pouco Tóxico (Conforme Bula ANVISA)</t>
        </is>
      </c>
      <c r="O156" s="13" t="inlineStr">
        <is>
          <t>Azul PMS Blue 293 C</t>
        </is>
      </c>
      <c r="P156" s="13" t="inlineStr">
        <is>
          <t>Classe II — Produto Muito Perigoso ao Meio Ambiente</t>
        </is>
      </c>
      <c r="Q156" s="15" t="n">
        <v>24</v>
      </c>
      <c r="R156" s="13" t="inlineStr">
        <is>
          <t>Terrestre / Aérea (Drones consultar bula)</t>
        </is>
      </c>
      <c r="S156" s="13" t="inlineStr">
        <is>
          <t>Sem antídoto específico; tratamento sintomático</t>
        </is>
      </c>
      <c r="T156" s="13" t="inlineStr">
        <is>
          <t>ADAMA BRASIL S/A</t>
        </is>
      </c>
      <c r="U156" s="16">
        <f>HYPERLINK("https://www.adapar.pr.gov.br/Pagina/Agrotoxicos-Fungicidas", "Registro Oficial Trinity 250 SC (MAPA 15508)")</f>
        <v/>
      </c>
    </row>
    <row r="157" ht="22" customHeight="1">
      <c r="A157" s="5" t="n">
        <v>152</v>
      </c>
      <c r="B157" s="6" t="inlineStr">
        <is>
          <t>Nº 9621</t>
        </is>
      </c>
      <c r="C157" s="7" t="inlineStr">
        <is>
          <t>PRECISO XK 1X20L</t>
        </is>
      </c>
      <c r="D157" s="8" t="inlineStr">
        <is>
          <t>PRECISO XK</t>
        </is>
      </c>
      <c r="E157" s="7" t="inlineStr">
        <is>
          <t>Produto Formulado Comercial</t>
        </is>
      </c>
      <c r="F157" s="7" t="inlineStr">
        <is>
          <t>Defensivos</t>
        </is>
      </c>
      <c r="G157" s="7" t="inlineStr">
        <is>
          <t>Herbicida</t>
        </is>
      </c>
      <c r="H157" s="7" t="inlineStr">
        <is>
          <t>SL</t>
        </is>
      </c>
      <c r="I157" s="7" t="inlineStr">
        <is>
          <t>Concentrado Solúvel (SL)</t>
        </is>
      </c>
      <c r="J157" s="7" t="inlineStr">
        <is>
          <t>Herbicida sistêmico de pós-emergência (seletivo condicional p/ OGM)</t>
        </is>
      </c>
      <c r="K157" s="7" t="inlineStr">
        <is>
          <t>Glicina substituída</t>
        </is>
      </c>
      <c r="L157" s="7" t="inlineStr">
        <is>
          <t>HRAC Grupo G (9) — Inibidores da EPSPs</t>
        </is>
      </c>
      <c r="M157" s="7" t="inlineStr">
        <is>
          <t>Inibidores da enzima EPSPs (Enoil Piruvil Shiquimato Fosfato Sintase)</t>
        </is>
      </c>
      <c r="N157" s="7" t="inlineStr">
        <is>
          <t>Categoria 5 — Produto Improvável de Causar Dano Agudo</t>
        </is>
      </c>
      <c r="O157" s="7" t="inlineStr">
        <is>
          <t>Azul Intenso</t>
        </is>
      </c>
      <c r="P157" s="7" t="inlineStr">
        <is>
          <t>Classe III / IV — Perigoso a Pouco Perigoso ao Meio Ambiente</t>
        </is>
      </c>
      <c r="Q157" s="9" t="n">
        <v>24</v>
      </c>
      <c r="R157" s="7" t="inlineStr">
        <is>
          <t>Terrestre / Aérea (Drones consultar bula)</t>
        </is>
      </c>
      <c r="S157" s="7" t="inlineStr">
        <is>
          <t>Sem antídoto específico (Atropina ineficaz); tratamento sintomático</t>
        </is>
      </c>
      <c r="T157" s="7" t="inlineStr">
        <is>
          <t>AlbaughAgro Brasil Ltda.</t>
        </is>
      </c>
      <c r="U157" s="10">
        <f>HYPERLINK("https://www.adapar.pr.gov.br/Pagina/Agrotoxicos-Herbicidas", "Registro Oficial Preciso XK SL (MAPA 9621)")</f>
        <v/>
      </c>
    </row>
    <row r="158" ht="22" customHeight="1">
      <c r="A158" s="11" t="n">
        <v>153</v>
      </c>
      <c r="B158" s="12" t="inlineStr">
        <is>
          <t>SIPEAGRO (UF-XXXXX)</t>
        </is>
      </c>
      <c r="C158" s="13" t="inlineStr">
        <is>
          <t>BIOMAX AZUM 3X10E8</t>
        </is>
      </c>
      <c r="D158" s="14" t="inlineStr">
        <is>
          <t>BIOMAX AZUM</t>
        </is>
      </c>
      <c r="E158" s="13" t="inlineStr">
        <is>
          <t>Inoculante / Biológico</t>
        </is>
      </c>
      <c r="F158" s="13" t="inlineStr">
        <is>
          <t>Inoculantes e Biológicos</t>
        </is>
      </c>
      <c r="G158" s="13" t="inlineStr">
        <is>
          <t>Inoculante Fixador de Nitrogênio</t>
        </is>
      </c>
      <c r="H158" s="13" t="inlineStr">
        <is>
          <t>Líquido</t>
        </is>
      </c>
      <c r="I158" s="13" t="inlineStr">
        <is>
          <t>Formulação Padrão (Líquido / Turfoso)</t>
        </is>
      </c>
      <c r="J158" s="13" t="inlineStr">
        <is>
          <t>Inoculante líquido/turfoso para tratamento de sementes e sulco</t>
        </is>
      </c>
      <c r="K158" s="13" t="inlineStr">
        <is>
          <t>Bactéria Diazotrófica Fixadora de Nitrogênio e Promotora de Crescimento</t>
        </is>
      </c>
      <c r="L158" s="13" t="inlineStr">
        <is>
          <t>Inoculante Biológico — Lei nº 6.894/1980</t>
        </is>
      </c>
      <c r="M158" s="13" t="inlineStr">
        <is>
          <t>Fixação biológica de N2 atmosférico e síntese de fitormônios (AIA)</t>
        </is>
      </c>
      <c r="N158" s="13" t="inlineStr">
        <is>
          <t>Isento (Inoculante Biológico SIPEAGRO)</t>
        </is>
      </c>
      <c r="O158" s="13" t="inlineStr">
        <is>
          <t>Não Aplicável (Inoculante)</t>
        </is>
      </c>
      <c r="P158" s="13" t="inlineStr">
        <is>
          <t>Classe IV — Produto Pouco Perigoso ao Meio Ambiente</t>
        </is>
      </c>
      <c r="Q158" s="15" t="n">
        <v>0</v>
      </c>
      <c r="R158" s="13" t="inlineStr">
        <is>
          <t>Aplicação Dirigida / TS / Solo</t>
        </is>
      </c>
      <c r="S158" s="13" t="inlineStr">
        <is>
          <t>Não aplicável (Inoculante biológico não tóxico)</t>
        </is>
      </c>
      <c r="T158" s="13" t="inlineStr">
        <is>
          <t>Estabelecimento Produtor SIPEAGRO/MAPA</t>
        </is>
      </c>
      <c r="U158" s="16">
        <f>HYPERLINK("https://www.gov.br/agricultura/pt-br/assuntos/insumos-agropecuarios/insumos-agricolas/fertilizantes", "Portal SIPEAGRO / MAPA — Fertilizantes e Bioinsumos")</f>
        <v/>
      </c>
    </row>
    <row r="159" ht="22" customHeight="1">
      <c r="A159" s="5" t="n">
        <v>154</v>
      </c>
      <c r="B159" s="6" t="inlineStr">
        <is>
          <t>Nº 3307</t>
        </is>
      </c>
      <c r="C159" s="7" t="inlineStr">
        <is>
          <t>BRIGADE 400 EC 4X5L (IMP)</t>
        </is>
      </c>
      <c r="D159" s="8" t="inlineStr">
        <is>
          <t>BRIGADE 400 EC</t>
        </is>
      </c>
      <c r="E159" s="7" t="inlineStr">
        <is>
          <t>Produto Formulado Comercial</t>
        </is>
      </c>
      <c r="F159" s="7" t="inlineStr">
        <is>
          <t>Defensivos</t>
        </is>
      </c>
      <c r="G159" s="7" t="inlineStr">
        <is>
          <t>Inseticida e Acaricida</t>
        </is>
      </c>
      <c r="H159" s="7" t="inlineStr">
        <is>
          <t>EC</t>
        </is>
      </c>
      <c r="I159" s="7" t="inlineStr">
        <is>
          <t>Concentrado Emulsionável (EC)</t>
        </is>
      </c>
      <c r="J159" s="7" t="inlineStr">
        <is>
          <t>Inseticida e acaricida de contato e ingestão</t>
        </is>
      </c>
      <c r="K159" s="7" t="inlineStr">
        <is>
          <t>Piretroide (Tipo I)</t>
        </is>
      </c>
      <c r="L159" s="7" t="inlineStr">
        <is>
          <t>IRAC Grupo 3A</t>
        </is>
      </c>
      <c r="M159" s="7" t="inlineStr">
        <is>
          <t>Moduladores de canais de sódio em membranas nervosas</t>
        </is>
      </c>
      <c r="N159" s="7" t="inlineStr">
        <is>
          <t>Categoria 3 — Produto Moderadamente Tóxico</t>
        </is>
      </c>
      <c r="O159" s="7" t="inlineStr">
        <is>
          <t>Amarelo PMS Yellow C</t>
        </is>
      </c>
      <c r="P159" s="7" t="inlineStr">
        <is>
          <t>Classe II — Produto Muito Perigoso ao Meio Ambiente</t>
        </is>
      </c>
      <c r="Q159" s="9" t="n">
        <v>24</v>
      </c>
      <c r="R159" s="7" t="inlineStr">
        <is>
          <t>Terrestre / Aérea (Drones consultar bula)</t>
        </is>
      </c>
      <c r="S159" s="7" t="inlineStr">
        <is>
          <t>Sem antídoto específico; anti-histamínicos e vitamina E tópica para parestesia</t>
        </is>
      </c>
      <c r="T159" s="7" t="inlineStr">
        <is>
          <t>FMC Química do Brasil</t>
        </is>
      </c>
      <c r="U159" s="10">
        <f>HYPERLINK("https://agrofit.agricultura.gov.br/agrofit_cons/principal_agrofit_cons", "Consulta Oficial AGROFIT/MAPA (Nº 3307)")</f>
        <v/>
      </c>
    </row>
    <row r="160" ht="22" customHeight="1">
      <c r="A160" s="11" t="n">
        <v>155</v>
      </c>
      <c r="B160" s="12" t="inlineStr">
        <is>
          <t>SIPEAGRO (UF-XXXXX)</t>
        </is>
      </c>
      <c r="C160" s="13" t="inlineStr">
        <is>
          <t>NITRATO DE MAGNESIO 1000 X 25KG (IMP) CB</t>
        </is>
      </c>
      <c r="D160" s="14" t="inlineStr">
        <is>
          <t>NITRATO DE MAGNESIO 1000 X</t>
        </is>
      </c>
      <c r="E160" s="13" t="inlineStr">
        <is>
          <t>Fertilizante Mineral / Organomineral</t>
        </is>
      </c>
      <c r="F160" s="13" t="inlineStr">
        <is>
          <t>Fertilizantes</t>
        </is>
      </c>
      <c r="G160" s="13" t="inlineStr">
        <is>
          <t>Fertilizante Químico Inorgânico (Matéria-Prima Cap. 28/38)</t>
        </is>
      </c>
      <c r="H160" s="13" t="inlineStr">
        <is>
          <t>Granulado</t>
        </is>
      </c>
      <c r="I160" s="13" t="inlineStr">
        <is>
          <t>Formulação Padrão (Granulado / Solúvel / Suspensão)</t>
        </is>
      </c>
      <c r="J160" s="13" t="inlineStr">
        <is>
          <t>Aplicação via solo, fertirrigação ou adubação foliar</t>
        </is>
      </c>
      <c r="K160" s="13" t="inlineStr">
        <is>
          <t>Fertilizante Mineral / Organomineral (Lei nº 6.894/1980)</t>
        </is>
      </c>
      <c r="L160" s="13" t="inlineStr">
        <is>
          <t>Nutrição Vegetal SIPEAGRO</t>
        </is>
      </c>
      <c r="M160" s="13" t="inlineStr">
        <is>
          <t>Fornecimento de macro e micronutrientes essenciais ao metabolismo vegetal</t>
        </is>
      </c>
      <c r="N160" s="13" t="inlineStr">
        <is>
          <t>Isento ANVISA (Produto Fertilizante Registrado no SIPEAGRO/MAPA)</t>
        </is>
      </c>
      <c r="O160" s="13" t="inlineStr">
        <is>
          <t>Não Aplicável (Fertilizante)</t>
        </is>
      </c>
      <c r="P160" s="13" t="inlineStr">
        <is>
          <t>Baixo Potencial Poluidor (Uso conforme recomendação agronômica)</t>
        </is>
      </c>
      <c r="Q160" s="15" t="n">
        <v>0</v>
      </c>
      <c r="R160" s="13" t="inlineStr">
        <is>
          <t>Aplicação Dirigida / TS / Solo</t>
        </is>
      </c>
      <c r="S160" s="13" t="inlineStr">
        <is>
          <t>Tratamento sintomático em caso de ingestão acidental</t>
        </is>
      </c>
      <c r="T160" s="13" t="inlineStr">
        <is>
          <t>Estabelecimento Produtor SIPEAGRO/MAPA</t>
        </is>
      </c>
      <c r="U160" s="16">
        <f>HYPERLINK("https://www.gov.br/agricultura/pt-br/assuntos/insumos-agropecuarios/insumos-agricolas/fertilizantes", "Portal SIPEAGRO / MAPA — Fertilizantes e Bioinsumos")</f>
        <v/>
      </c>
    </row>
    <row r="161" ht="22" customHeight="1">
      <c r="A161" s="5" t="n">
        <v>156</v>
      </c>
      <c r="B161" s="6" t="inlineStr">
        <is>
          <t>Nº 36321</t>
        </is>
      </c>
      <c r="C161" s="7" t="inlineStr">
        <is>
          <t>ERRADIK 4X5L</t>
        </is>
      </c>
      <c r="D161" s="8" t="inlineStr">
        <is>
          <t>ERRADIK</t>
        </is>
      </c>
      <c r="E161" s="7" t="inlineStr">
        <is>
          <t>Produto Formulado Comercial</t>
        </is>
      </c>
      <c r="F161" s="7" t="inlineStr">
        <is>
          <t>Defensivos</t>
        </is>
      </c>
      <c r="G161" s="7" t="inlineStr">
        <is>
          <t>Fungicida</t>
        </is>
      </c>
      <c r="H161" s="7" t="inlineStr">
        <is>
          <t>EC</t>
        </is>
      </c>
      <c r="I161" s="7" t="inlineStr">
        <is>
          <t>Concentrado Emulsionável (EC)</t>
        </is>
      </c>
      <c r="J161" s="7" t="inlineStr">
        <is>
          <t>Fungicida sistêmico preventivo, curativo e erradicante</t>
        </is>
      </c>
      <c r="K161" s="7" t="inlineStr">
        <is>
          <t>Triazol</t>
        </is>
      </c>
      <c r="L161" s="7" t="inlineStr">
        <is>
          <t>FRAC Grupo 3 (DMI)</t>
        </is>
      </c>
      <c r="M161" s="7" t="inlineStr">
        <is>
          <t>Inibidores da desmetilação de esteróis (C14-desmetilase na síntese de ergosterol)</t>
        </is>
      </c>
      <c r="N161" s="7" t="inlineStr">
        <is>
          <t>Categoria 3 / 4 — Moderadamente a Pouco Tóxico</t>
        </is>
      </c>
      <c r="O161" s="7" t="inlineStr">
        <is>
          <t>Amarelo / Azul</t>
        </is>
      </c>
      <c r="P161" s="7" t="inlineStr">
        <is>
          <t>Classe II — Produto Muito Perigoso ao Meio Ambiente</t>
        </is>
      </c>
      <c r="Q161" s="9" t="n">
        <v>24</v>
      </c>
      <c r="R161" s="7" t="inlineStr">
        <is>
          <t>Terrestre / Aérea (Drones consultar bula)</t>
        </is>
      </c>
      <c r="S161" s="7" t="inlineStr">
        <is>
          <t>Sem antídoto específico; tratamento sintomático</t>
        </is>
      </c>
      <c r="T161" s="7" t="inlineStr">
        <is>
          <t>OURO FINO QUÍMICA S.A.</t>
        </is>
      </c>
      <c r="U161" s="10">
        <f>HYPERLINK("https://www.adapar.pr.gov.br/Pagina/Agrotoxicos-Fungicidas", "Registro Oficial Erradik 250 EC (MAPA 36321)")</f>
        <v/>
      </c>
    </row>
    <row r="162" ht="22" customHeight="1">
      <c r="A162" s="11" t="n">
        <v>157</v>
      </c>
      <c r="B162" s="12" t="inlineStr">
        <is>
          <t>Nº 31618</t>
        </is>
      </c>
      <c r="C162" s="13" t="inlineStr">
        <is>
          <t>ASSARIS 1X20L</t>
        </is>
      </c>
      <c r="D162" s="14" t="inlineStr">
        <is>
          <t>ASSARIS</t>
        </is>
      </c>
      <c r="E162" s="13" t="inlineStr">
        <is>
          <t>Produto Formulado Comercial</t>
        </is>
      </c>
      <c r="F162" s="13" t="inlineStr">
        <is>
          <t>Defensivos</t>
        </is>
      </c>
      <c r="G162" s="13" t="inlineStr">
        <is>
          <t>Inseticida</t>
        </is>
      </c>
      <c r="H162" s="13" t="inlineStr">
        <is>
          <t>SL</t>
        </is>
      </c>
      <c r="I162" s="13" t="inlineStr">
        <is>
          <t>SL - Concentrado Solúvel</t>
        </is>
      </c>
      <c r="J162" s="13" t="inlineStr">
        <is>
          <t>Inseticida sistêmico de contato e ingestão com efeito ovicida/larvicida</t>
        </is>
      </c>
      <c r="K162" s="13" t="inlineStr">
        <is>
          <t>Metilcarbamato de oxima</t>
        </is>
      </c>
      <c r="L162" s="13" t="inlineStr">
        <is>
          <t>IRAC Grupo 1A</t>
        </is>
      </c>
      <c r="M162" s="13" t="inlineStr">
        <is>
          <t>Inibidores reversíveis da enzima acetilcolinesterase (AChE)</t>
        </is>
      </c>
      <c r="N162" s="13" t="inlineStr">
        <is>
          <t>Categoria 3: Produto Moderadamente Tóxico</t>
        </is>
      </c>
      <c r="O162" s="13" t="inlineStr">
        <is>
          <t>Amarelo</t>
        </is>
      </c>
      <c r="P162" s="13" t="inlineStr">
        <is>
          <t>Classe II — Produto Muito Perigoso ao Meio Ambiente</t>
        </is>
      </c>
      <c r="Q162" s="15" t="n">
        <v>24</v>
      </c>
      <c r="R162" s="13" t="inlineStr">
        <is>
          <t>Terrestre / Aérea (Drones consultar bula)</t>
        </is>
      </c>
      <c r="S162" s="13" t="inlineStr">
        <is>
          <t>Sulfato de Atropina (antídoto específico; NÃO administrar oximas/pralidoxima em carbamatos)</t>
        </is>
      </c>
      <c r="T162" s="13" t="inlineStr">
        <is>
          <t>SINON DO BRASIL LTDA</t>
        </is>
      </c>
      <c r="U162" s="16">
        <f>HYPERLINK("https://agrofit.agricultura.gov.br/agrofit_cons/principal_agrofit_cons", "Consulta Oficial AGROFIT/MAPA (Nº 31618)")</f>
        <v/>
      </c>
    </row>
    <row r="163" ht="22" customHeight="1">
      <c r="A163" s="5" t="n">
        <v>158</v>
      </c>
      <c r="B163" s="6" t="inlineStr">
        <is>
          <t>Nº 17219</t>
        </is>
      </c>
      <c r="C163" s="7" t="inlineStr">
        <is>
          <t>FLUAZINAM 500 SC PROVENTIS 4X5L (IMP)</t>
        </is>
      </c>
      <c r="D163" s="8" t="inlineStr">
        <is>
          <t>FLUAZINAM</t>
        </is>
      </c>
      <c r="E163" s="7" t="inlineStr">
        <is>
          <t>Produto Formulado Comercial</t>
        </is>
      </c>
      <c r="F163" s="7" t="inlineStr">
        <is>
          <t>Defensivos</t>
        </is>
      </c>
      <c r="G163" s="7" t="inlineStr">
        <is>
          <t>Fungicida</t>
        </is>
      </c>
      <c r="H163" s="7" t="inlineStr">
        <is>
          <t>SC</t>
        </is>
      </c>
      <c r="I163" s="7" t="inlineStr">
        <is>
          <t>Suspensão Concentrada (SC)</t>
        </is>
      </c>
      <c r="J163" s="7" t="inlineStr">
        <is>
          <t>Fungicida e acaricida de contato preventivo c/ baixa mobilidade</t>
        </is>
      </c>
      <c r="K163" s="7" t="inlineStr">
        <is>
          <t>Fenilpiridinamina (2,6-dinitroanilina)</t>
        </is>
      </c>
      <c r="L163" s="7" t="inlineStr">
        <is>
          <t>FRAC Grupo 29</t>
        </is>
      </c>
      <c r="M163" s="7" t="inlineStr">
        <is>
          <t>Desacopladores da fosforilação oxidativa mitocondrial</t>
        </is>
      </c>
      <c r="N163" s="7" t="inlineStr">
        <is>
          <t>Categoria 4 — Produto Pouco Tóxico</t>
        </is>
      </c>
      <c r="O163" s="7" t="inlineStr">
        <is>
          <t>Azul PMS Blue 293 C</t>
        </is>
      </c>
      <c r="P163" s="7" t="inlineStr">
        <is>
          <t>Classe II — Produto Muito Perigoso ao Meio Ambiente</t>
        </is>
      </c>
      <c r="Q163" s="9" t="n">
        <v>24</v>
      </c>
      <c r="R163" s="7" t="inlineStr">
        <is>
          <t>Terrestre / Aérea (Drones consultar bula)</t>
        </is>
      </c>
      <c r="S163" s="7" t="inlineStr">
        <is>
          <t>Sem antídoto específico; tratamento sintomático</t>
        </is>
      </c>
      <c r="T163" s="7" t="inlineStr">
        <is>
          <t>PROVENTIS LIFESCIENCE DEFENSIVOS AGRÍCOLAS LTDA.</t>
        </is>
      </c>
      <c r="U163" s="10">
        <f>HYPERLINK("https://agrofit.agricultura.gov.br/agrofit_cons/principal_agrofit_cons", "Consulta Oficial AGROFIT/MAPA (Nº 17219)")</f>
        <v/>
      </c>
    </row>
    <row r="164" ht="22" customHeight="1">
      <c r="A164" s="11" t="n">
        <v>159</v>
      </c>
      <c r="B164" s="12" t="inlineStr">
        <is>
          <t>SIPEAGRO (UF-XXXXX)</t>
        </is>
      </c>
      <c r="C164" s="13" t="inlineStr">
        <is>
          <t>D0323.02-B1A (CU-9,0% MN-18,0% K20-1,0%) 1X20L</t>
        </is>
      </c>
      <c r="D164" s="14" t="inlineStr">
        <is>
          <t>D0323.02-B1A (CU-9,0% MN-18,0% K20-1,0%)</t>
        </is>
      </c>
      <c r="E164" s="13" t="inlineStr">
        <is>
          <t>Fertilizante Mineral / Organomineral</t>
        </is>
      </c>
      <c r="F164" s="13" t="inlineStr">
        <is>
          <t>Fertilizantes</t>
        </is>
      </c>
      <c r="G164" s="13" t="inlineStr">
        <is>
          <t>Fertilizante Foliar / Micronutrientes</t>
        </is>
      </c>
      <c r="H164" s="13" t="inlineStr">
        <is>
          <t>SL</t>
        </is>
      </c>
      <c r="I164" s="13" t="inlineStr">
        <is>
          <t>Solução / Suspensão Concentrada Foliar (Fluido)</t>
        </is>
      </c>
      <c r="J164" s="13" t="inlineStr">
        <is>
          <t>Aplicação via solo, fertirrigação ou adubação foliar</t>
        </is>
      </c>
      <c r="K164" s="13" t="inlineStr">
        <is>
          <t>Fertilizante Mineral / Organomineral (Lei nº 6.894/1980)</t>
        </is>
      </c>
      <c r="L164" s="13" t="inlineStr">
        <is>
          <t>Nutrição Vegetal SIPEAGRO</t>
        </is>
      </c>
      <c r="M164" s="13" t="inlineStr">
        <is>
          <t>Fornecimento de macro e micronutrientes essenciais ao metabolismo vegetal</t>
        </is>
      </c>
      <c r="N164" s="13" t="inlineStr">
        <is>
          <t>Isento ANVISA (Produto Fertilizante Registrado no SIPEAGRO/MAPA)</t>
        </is>
      </c>
      <c r="O164" s="13" t="inlineStr">
        <is>
          <t>Não Aplicável (Fertilizante)</t>
        </is>
      </c>
      <c r="P164" s="13" t="inlineStr">
        <is>
          <t>Baixo Potencial Poluidor (Uso conforme recomendação agronômica)</t>
        </is>
      </c>
      <c r="Q164" s="15" t="n">
        <v>0</v>
      </c>
      <c r="R164" s="13" t="inlineStr">
        <is>
          <t>Aplicação Dirigida / TS / Solo</t>
        </is>
      </c>
      <c r="S164" s="13" t="inlineStr">
        <is>
          <t>Tratamento sintomático em caso de ingestão acidental</t>
        </is>
      </c>
      <c r="T164" s="13" t="inlineStr">
        <is>
          <t>Estabelecimento Produtor SIPEAGRO/MAPA</t>
        </is>
      </c>
      <c r="U164" s="16">
        <f>HYPERLINK("https://www.gov.br/agricultura/pt-br/assuntos/insumos-agropecuarios/insumos-agricolas/fertilizantes", "Portal SIPEAGRO / MAPA — Fertilizantes e Bioinsumos")</f>
        <v/>
      </c>
    </row>
    <row r="165" ht="22" customHeight="1">
      <c r="A165" s="5" t="n">
        <v>160</v>
      </c>
      <c r="B165" s="6" t="inlineStr">
        <is>
          <t>SIPEAGRO (UF-XXXXX)</t>
        </is>
      </c>
      <c r="C165" s="7" t="inlineStr">
        <is>
          <t>BIOLOGIC SOY 4X1,8L</t>
        </is>
      </c>
      <c r="D165" s="8" t="inlineStr">
        <is>
          <t>BIOLOGIC SOY 4X1,8L</t>
        </is>
      </c>
      <c r="E165" s="7" t="inlineStr">
        <is>
          <t>Inoculante / Biológico</t>
        </is>
      </c>
      <c r="F165" s="7" t="inlineStr">
        <is>
          <t>Inoculantes e Biológicos</t>
        </is>
      </c>
      <c r="G165" s="7" t="inlineStr">
        <is>
          <t>Inoculante Fixador de Nitrogênio</t>
        </is>
      </c>
      <c r="H165" s="7" t="inlineStr">
        <is>
          <t>SC</t>
        </is>
      </c>
      <c r="I165" s="7" t="inlineStr">
        <is>
          <t>Suspensão Concentrada (SC)</t>
        </is>
      </c>
      <c r="J165" s="7" t="inlineStr">
        <is>
          <t>Tratamento de sementes, sulco de plantio ou pulverização foliar</t>
        </is>
      </c>
      <c r="K165" s="7" t="inlineStr">
        <is>
          <t>Inoculante / Agente Biológico de Controle</t>
        </is>
      </c>
      <c r="L165" s="7" t="inlineStr">
        <is>
          <t>Bioinsumo Agrícola</t>
        </is>
      </c>
      <c r="M165" s="7" t="inlineStr">
        <is>
          <t>Simbiose radicular, antagonismo biológico ou controle entomopatogênico</t>
        </is>
      </c>
      <c r="N165" s="7" t="inlineStr">
        <is>
          <t>Categoria 5 / Isento (Bioinsumo)</t>
        </is>
      </c>
      <c r="O165" s="7" t="inlineStr">
        <is>
          <t>Azul Intenso</t>
        </is>
      </c>
      <c r="P165" s="7" t="inlineStr">
        <is>
          <t>Classe IV — Produto Pouco Perigoso ao Meio Ambiente</t>
        </is>
      </c>
      <c r="Q165" s="9" t="n">
        <v>0</v>
      </c>
      <c r="R165" s="7" t="inlineStr">
        <is>
          <t>Aplicação Dirigida / TS / Solo</t>
        </is>
      </c>
      <c r="S165" s="7" t="inlineStr">
        <is>
          <t>Tratamento sintomático</t>
        </is>
      </c>
      <c r="T165" s="7" t="inlineStr">
        <is>
          <t>Estabelecimento Produtor SIPEAGRO/MAPA</t>
        </is>
      </c>
      <c r="U165" s="10">
        <f>HYPERLINK("https://www.gov.br/agricultura/pt-br/assuntos/insumos-agropecuarios/insumos-agricolas/fertilizantes", "Portal SIPEAGRO / MAPA — Fertilizantes e Bioinsumos")</f>
        <v/>
      </c>
    </row>
    <row r="166" ht="22" customHeight="1">
      <c r="A166" s="11" t="n">
        <v>161</v>
      </c>
      <c r="B166" s="12" t="inlineStr">
        <is>
          <t>Nº 10816</t>
        </is>
      </c>
      <c r="C166" s="13" t="inlineStr">
        <is>
          <t>MAESTRO FS 4X5L</t>
        </is>
      </c>
      <c r="D166" s="14" t="inlineStr">
        <is>
          <t>MAESTRO FS</t>
        </is>
      </c>
      <c r="E166" s="13" t="inlineStr">
        <is>
          <t>Produto Formulado Comercial</t>
        </is>
      </c>
      <c r="F166" s="13" t="inlineStr">
        <is>
          <t>Defensivos</t>
        </is>
      </c>
      <c r="G166" s="13" t="inlineStr">
        <is>
          <t>Inseticida e Cupinicida (Fipronil)</t>
        </is>
      </c>
      <c r="H166" s="13" t="inlineStr">
        <is>
          <t>FS</t>
        </is>
      </c>
      <c r="I166" s="13" t="inlineStr">
        <is>
          <t>Suspensão Concentrada para Tratamento de Sementes (FS)</t>
        </is>
      </c>
      <c r="J166" s="13" t="inlineStr">
        <is>
          <t>Inseticida, cupinicida e formicida de contato e ingestão (TS / Solo)</t>
        </is>
      </c>
      <c r="K166" s="13" t="inlineStr">
        <is>
          <t>Pirazol (Fenilpirazol)</t>
        </is>
      </c>
      <c r="L166" s="13" t="inlineStr">
        <is>
          <t>IRAC Grupo 2B</t>
        </is>
      </c>
      <c r="M166" s="13" t="inlineStr">
        <is>
          <t>Bloqueadores de canais de cloro mediados pelo GABA</t>
        </is>
      </c>
      <c r="N166" s="13" t="inlineStr">
        <is>
          <t>Categoria 3 — Produto Moderadamente Tóxico</t>
        </is>
      </c>
      <c r="O166" s="13" t="inlineStr">
        <is>
          <t>Amarelo PMS Yellow C</t>
        </is>
      </c>
      <c r="P166" s="13" t="inlineStr">
        <is>
          <t>Classe II — Produto Muito Perigoso ao Meio Ambiente</t>
        </is>
      </c>
      <c r="Q166" s="15" t="n">
        <v>0</v>
      </c>
      <c r="R166" s="13" t="inlineStr">
        <is>
          <t>Aplicação Dirigida / TS / Solo</t>
        </is>
      </c>
      <c r="S166" s="13" t="inlineStr">
        <is>
          <t>Sem antídoto específico; tratamento sintomático e controle neurológico</t>
        </is>
      </c>
      <c r="T166" s="13" t="inlineStr">
        <is>
          <t>OURO FINO QUÍMICA S.A.</t>
        </is>
      </c>
      <c r="U166" s="16">
        <f>HYPERLINK("https://www.adapar.pr.gov.br/system/files/publico/Agrotoxicos/lista.pdf", "Registro Oficial Maestro FS (MAPA 10816)")</f>
        <v/>
      </c>
    </row>
    <row r="167" ht="22" customHeight="1">
      <c r="A167" s="5" t="n">
        <v>162</v>
      </c>
      <c r="B167" s="6" t="inlineStr">
        <is>
          <t>SIPEAGRO (UF-XXXXX)</t>
        </is>
      </c>
      <c r="C167" s="7" t="inlineStr">
        <is>
          <t>ECOBOR 10 - ULEXITA BAG 1.273 KG (IMP)</t>
        </is>
      </c>
      <c r="D167" s="8" t="inlineStr">
        <is>
          <t>ECOBOR 10 - ULEXITA BAG 1.273 KG (IMP)</t>
        </is>
      </c>
      <c r="E167" s="7" t="inlineStr">
        <is>
          <t>Corretivo / Condicionador de Solo</t>
        </is>
      </c>
      <c r="F167" s="7" t="inlineStr">
        <is>
          <t>Corretivos e Condicionadores de Solo</t>
        </is>
      </c>
      <c r="G167" s="7" t="inlineStr">
        <is>
          <t>Fonte Mineral de Boro (Ulexita Natural)</t>
        </is>
      </c>
      <c r="H167" s="7" t="inlineStr">
        <is>
          <t>Pó</t>
        </is>
      </c>
      <c r="I167" s="7" t="inlineStr">
        <is>
          <t>Formulação Padrão (Pó / Granulado / Pastilhado)</t>
        </is>
      </c>
      <c r="J167" s="7" t="inlineStr">
        <is>
          <t>Incorporação ou aplicação em área total no solo</t>
        </is>
      </c>
      <c r="K167" s="7" t="inlineStr">
        <is>
          <t>Corretivo de Acidez / Condicionador de Solo (SIPEAGRO)</t>
        </is>
      </c>
      <c r="L167" s="7" t="inlineStr">
        <is>
          <t>Correção Química de Solo</t>
        </is>
      </c>
      <c r="M167" s="7" t="inlineStr">
        <is>
          <t>Neutralização de Al3+ tóxico e fornecimento de Ca2+, Mg2+, S ou B</t>
        </is>
      </c>
      <c r="N167" s="7" t="inlineStr">
        <is>
          <t>Isento ANVISA (Corretivo Agrícola SIPEAGRO)</t>
        </is>
      </c>
      <c r="O167" s="7" t="inlineStr">
        <is>
          <t>Não Aplicável</t>
        </is>
      </c>
      <c r="P167" s="7" t="inlineStr">
        <is>
          <t>Produto Mineral Natural</t>
        </is>
      </c>
      <c r="Q167" s="9" t="n">
        <v>24</v>
      </c>
      <c r="R167" s="7" t="inlineStr">
        <is>
          <t>Terrestre / Aérea (Drones consultar bula)</t>
        </is>
      </c>
      <c r="S167" s="7" t="inlineStr">
        <is>
          <t>Tratamento sintomático</t>
        </is>
      </c>
      <c r="T167" s="7" t="inlineStr">
        <is>
          <t>Estabelecimento Produtor SIPEAGRO/MAPA</t>
        </is>
      </c>
      <c r="U167" s="10">
        <f>HYPERLINK("https://www.gov.br/agricultura/pt-br/assuntos/insumos-agropecuarios/insumos-agricolas/fertilizantes", "Portal SIPEAGRO / MAPA — Fertilizantes e Bioinsumos")</f>
        <v/>
      </c>
    </row>
    <row r="168" ht="22" customHeight="1">
      <c r="A168" s="11" t="n">
        <v>163</v>
      </c>
      <c r="B168" s="12" t="inlineStr">
        <is>
          <t>SIPEAGRO (UF-XXXXX)</t>
        </is>
      </c>
      <c r="C168" s="13" t="inlineStr">
        <is>
          <t>NODOFIX AZP 4X1,8L</t>
        </is>
      </c>
      <c r="D168" s="14" t="inlineStr">
        <is>
          <t>NODOFIX AZP 4X1,8L</t>
        </is>
      </c>
      <c r="E168" s="13" t="inlineStr">
        <is>
          <t>Inoculante / Biológico</t>
        </is>
      </c>
      <c r="F168" s="13" t="inlineStr">
        <is>
          <t>Inoculantes e Biológicos</t>
        </is>
      </c>
      <c r="G168" s="13" t="inlineStr">
        <is>
          <t>Inoculante Fixador de Nitrogênio</t>
        </is>
      </c>
      <c r="H168" s="13" t="inlineStr">
        <is>
          <t>Líquido</t>
        </is>
      </c>
      <c r="I168" s="13" t="inlineStr">
        <is>
          <t>Formulação Padrão (Líquido / Turfoso)</t>
        </is>
      </c>
      <c r="J168" s="13" t="inlineStr">
        <is>
          <t>Inoculante líquido/turfoso para tratamento de sementes e sulco</t>
        </is>
      </c>
      <c r="K168" s="13" t="inlineStr">
        <is>
          <t>Bactéria Diazotrófica Fixadora de Nitrogênio e Promotora de Crescimento</t>
        </is>
      </c>
      <c r="L168" s="13" t="inlineStr">
        <is>
          <t>Inoculante Biológico — Lei nº 6.894/1980</t>
        </is>
      </c>
      <c r="M168" s="13" t="inlineStr">
        <is>
          <t>Fixação biológica de N2 atmosférico e síntese de fitormônios (AIA)</t>
        </is>
      </c>
      <c r="N168" s="13" t="inlineStr">
        <is>
          <t>Isento (Inoculante Biológico SIPEAGRO)</t>
        </is>
      </c>
      <c r="O168" s="13" t="inlineStr">
        <is>
          <t>Não Aplicável (Inoculante)</t>
        </is>
      </c>
      <c r="P168" s="13" t="inlineStr">
        <is>
          <t>Classe IV — Produto Pouco Perigoso ao Meio Ambiente</t>
        </is>
      </c>
      <c r="Q168" s="15" t="n">
        <v>0</v>
      </c>
      <c r="R168" s="13" t="inlineStr">
        <is>
          <t>Aplicação Dirigida / TS / Solo</t>
        </is>
      </c>
      <c r="S168" s="13" t="inlineStr">
        <is>
          <t>Não aplicável (Inoculante biológico não tóxico)</t>
        </is>
      </c>
      <c r="T168" s="13" t="inlineStr">
        <is>
          <t>Estabelecimento Produtor SIPEAGRO/MAPA</t>
        </is>
      </c>
      <c r="U168" s="16">
        <f>HYPERLINK("https://www.gov.br/agricultura/pt-br/assuntos/insumos-agropecuarios/insumos-agricolas/fertilizantes", "Portal SIPEAGRO / MAPA — Fertilizantes e Bioinsumos")</f>
        <v/>
      </c>
    </row>
    <row r="169" ht="22" customHeight="1">
      <c r="A169" s="5" t="n">
        <v>164</v>
      </c>
      <c r="B169" s="6" t="inlineStr">
        <is>
          <t>Nº 3010</t>
        </is>
      </c>
      <c r="C169" s="7" t="inlineStr">
        <is>
          <t>BAZUKA 216 SL 1X20L (IMP)</t>
        </is>
      </c>
      <c r="D169" s="8" t="inlineStr">
        <is>
          <t>BAZUKA 216 SL</t>
        </is>
      </c>
      <c r="E169" s="7" t="inlineStr">
        <is>
          <t>Produto Formulado Comercial</t>
        </is>
      </c>
      <c r="F169" s="7" t="inlineStr">
        <is>
          <t>Defensivos</t>
        </is>
      </c>
      <c r="G169" s="7" t="inlineStr">
        <is>
          <t>Inseticida</t>
        </is>
      </c>
      <c r="H169" s="7" t="inlineStr">
        <is>
          <t>SL</t>
        </is>
      </c>
      <c r="I169" s="7" t="inlineStr">
        <is>
          <t>SL - Concentrado Solúvel</t>
        </is>
      </c>
      <c r="J169" s="7" t="inlineStr">
        <is>
          <t>Inseticida sistêmico de contato e ingestão com efeito ovicida/larvicida</t>
        </is>
      </c>
      <c r="K169" s="7" t="inlineStr">
        <is>
          <t>Metilcarbamato de oxima</t>
        </is>
      </c>
      <c r="L169" s="7" t="inlineStr">
        <is>
          <t>IRAC Grupo 1A</t>
        </is>
      </c>
      <c r="M169" s="7" t="inlineStr">
        <is>
          <t>Inibidores reversíveis da enzima acetilcolinesterase (AChE)</t>
        </is>
      </c>
      <c r="N169" s="7" t="inlineStr">
        <is>
          <t>Categoria 3: Produto Moderadamente Tóxico</t>
        </is>
      </c>
      <c r="O169" s="7" t="inlineStr">
        <is>
          <t>Amarelo</t>
        </is>
      </c>
      <c r="P169" s="7" t="inlineStr">
        <is>
          <t>Classe II — Produto Muito Perigoso ao Meio Ambiente</t>
        </is>
      </c>
      <c r="Q169" s="9" t="n">
        <v>24</v>
      </c>
      <c r="R169" s="7" t="inlineStr">
        <is>
          <t>Terrestre / Aérea (Drones consultar bula)</t>
        </is>
      </c>
      <c r="S169" s="7" t="inlineStr">
        <is>
          <t>Sulfato de Atropina (antídoto específico; NÃO administrar oximas/pralidoxima em carbamatos)</t>
        </is>
      </c>
      <c r="T169" s="7" t="inlineStr">
        <is>
          <t>ALBAUGH AGRO BRASIL LTDA</t>
        </is>
      </c>
      <c r="U169" s="10">
        <f>HYPERLINK("https://agrofit.agricultura.gov.br/agrofit_cons/principal_agrofit_cons", "Consulta Oficial AGROFIT/MAPA (Nº 3010)")</f>
        <v/>
      </c>
    </row>
    <row r="170" ht="22" customHeight="1">
      <c r="A170" s="11" t="n">
        <v>165</v>
      </c>
      <c r="B170" s="12" t="inlineStr">
        <is>
          <t>Nº 8319</t>
        </is>
      </c>
      <c r="C170" s="13" t="inlineStr">
        <is>
          <t>DIUROM 500 1X20L</t>
        </is>
      </c>
      <c r="D170" s="14" t="inlineStr">
        <is>
          <t>DIUROM 500</t>
        </is>
      </c>
      <c r="E170" s="13" t="inlineStr">
        <is>
          <t>Produto Formulado Comercial</t>
        </is>
      </c>
      <c r="F170" s="13" t="inlineStr">
        <is>
          <t>Defensivos</t>
        </is>
      </c>
      <c r="G170" s="13" t="inlineStr">
        <is>
          <t>Herbicida</t>
        </is>
      </c>
      <c r="H170" s="13" t="inlineStr">
        <is>
          <t>SC</t>
        </is>
      </c>
      <c r="I170" s="13" t="inlineStr">
        <is>
          <t>Suspensão Concentrada (SC)</t>
        </is>
      </c>
      <c r="J170" s="13" t="inlineStr">
        <is>
          <t>Herbicida de pré ou pós-emergência</t>
        </is>
      </c>
      <c r="K170" s="13" t="inlineStr">
        <is>
          <t>Ureia Substituída (Fenilureia)</t>
        </is>
      </c>
      <c r="L170" s="13" t="inlineStr">
        <is>
          <t>HRAC Grupo C2 (5) — Inibidores do Fotossistema II</t>
        </is>
      </c>
      <c r="M170" s="13" t="inlineStr">
        <is>
          <t>Inibição do transporte de elétrons no Fotossistema II (sítio Serina 264)</t>
        </is>
      </c>
      <c r="N170" s="13" t="inlineStr">
        <is>
          <t>Categoria 4 / 5 — Pouco Tóxico (Conforme Bula ANVISA)</t>
        </is>
      </c>
      <c r="O170" s="13" t="inlineStr">
        <is>
          <t>Azul PMS Blue 293 C</t>
        </is>
      </c>
      <c r="P170" s="13" t="inlineStr">
        <is>
          <t>Classe II / III — Perigoso ao Meio Ambiente</t>
        </is>
      </c>
      <c r="Q170" s="15" t="n">
        <v>24</v>
      </c>
      <c r="R170" s="13" t="inlineStr">
        <is>
          <t>Terrestre / Aérea (Drones consultar bula)</t>
        </is>
      </c>
      <c r="S170" s="13" t="inlineStr">
        <is>
          <t>Sem antídoto específico; tratamento sintomático e descontaminação</t>
        </is>
      </c>
      <c r="T170" s="13" t="inlineStr">
        <is>
          <t>Rainbow Defensivos</t>
        </is>
      </c>
      <c r="U170" s="16">
        <f>HYPERLINK("https://agrofit.agricultura.gov.br/agrofit_cons/principal_agrofit_cons", "Consulta Oficial AGROFIT/MAPA (Nº 8319)")</f>
        <v/>
      </c>
    </row>
    <row r="171" ht="22" customHeight="1">
      <c r="A171" s="5" t="n">
        <v>166</v>
      </c>
      <c r="B171" s="6" t="inlineStr">
        <is>
          <t>Nº 31222</t>
        </is>
      </c>
      <c r="C171" s="7" t="inlineStr">
        <is>
          <t>GLINT FULL 4X5L</t>
        </is>
      </c>
      <c r="D171" s="8" t="inlineStr">
        <is>
          <t>GLINT FULL</t>
        </is>
      </c>
      <c r="E171" s="7" t="inlineStr">
        <is>
          <t>Produto Formulado Comercial</t>
        </is>
      </c>
      <c r="F171" s="7" t="inlineStr">
        <is>
          <t>Defensivos</t>
        </is>
      </c>
      <c r="G171" s="7" t="inlineStr">
        <is>
          <t>Herbicida</t>
        </is>
      </c>
      <c r="H171" s="7" t="inlineStr">
        <is>
          <t>EC</t>
        </is>
      </c>
      <c r="I171" s="7" t="inlineStr">
        <is>
          <t>Concentrado Emulsionável (EC)</t>
        </is>
      </c>
      <c r="J171" s="7" t="inlineStr">
        <is>
          <t>Herbicida de pré ou pós-emergência</t>
        </is>
      </c>
      <c r="K171" s="7" t="inlineStr">
        <is>
          <t>Ariloxifenoxipropionato (FOP)</t>
        </is>
      </c>
      <c r="L171" s="7" t="inlineStr">
        <is>
          <t>HRAC Grupo A (1) — Inibidores da ACCase</t>
        </is>
      </c>
      <c r="M171" s="7" t="inlineStr">
        <is>
          <t>Inibição da enzima acetil-CoA carboxilase (síntese de ácidos graxos)</t>
        </is>
      </c>
      <c r="N171" s="7" t="inlineStr">
        <is>
          <t>Categoria 4 / 5 — Pouco Tóxico (Conforme Bula ANVISA)</t>
        </is>
      </c>
      <c r="O171" s="7" t="inlineStr">
        <is>
          <t>Azul PMS Blue 293 C</t>
        </is>
      </c>
      <c r="P171" s="7" t="inlineStr">
        <is>
          <t>Classe II / III — Perigoso ao Meio Ambiente</t>
        </is>
      </c>
      <c r="Q171" s="9" t="n">
        <v>24</v>
      </c>
      <c r="R171" s="7" t="inlineStr">
        <is>
          <t>Terrestre / Aérea (Drones consultar bula)</t>
        </is>
      </c>
      <c r="S171" s="7" t="inlineStr">
        <is>
          <t>Sem antídoto específico; tratamento sintomático e descontaminação</t>
        </is>
      </c>
      <c r="T171" s="7" t="inlineStr">
        <is>
          <t>RAINBOW DEFENSIVOS AGRÍCOLAS LTDA.</t>
        </is>
      </c>
      <c r="U171" s="10">
        <f>HYPERLINK("https://www.adapar.pr.gov.br/Pagina/Agrotoxicos-Herbicidas", "Registro Oficial Glint Full 540 EC (MAPA 31222)")</f>
        <v/>
      </c>
    </row>
    <row r="172" ht="22" customHeight="1">
      <c r="A172" s="11" t="n">
        <v>167</v>
      </c>
      <c r="B172" s="12" t="inlineStr">
        <is>
          <t>Nº 17208</t>
        </is>
      </c>
      <c r="C172" s="13" t="inlineStr">
        <is>
          <t>TRICLON 1X20L</t>
        </is>
      </c>
      <c r="D172" s="14" t="inlineStr">
        <is>
          <t>TRICLON</t>
        </is>
      </c>
      <c r="E172" s="13" t="inlineStr">
        <is>
          <t>Produto Formulado Comercial</t>
        </is>
      </c>
      <c r="F172" s="13" t="inlineStr">
        <is>
          <t>Defensivos</t>
        </is>
      </c>
      <c r="G172" s="13" t="inlineStr">
        <is>
          <t>Herbicida</t>
        </is>
      </c>
      <c r="H172" s="13" t="inlineStr">
        <is>
          <t>EC</t>
        </is>
      </c>
      <c r="I172" s="13" t="inlineStr">
        <is>
          <t>Concentrado Emulsionável (EC)</t>
        </is>
      </c>
      <c r="J172" s="13" t="inlineStr">
        <is>
          <t>Herbicida sistêmico seletivo de pós-emergência</t>
        </is>
      </c>
      <c r="K172" s="13" t="inlineStr">
        <is>
          <t>Ácido piridiniloxialcanoico</t>
        </is>
      </c>
      <c r="L172" s="13" t="inlineStr">
        <is>
          <t>HRAC Grupo O (4) — Auxinas Sintéticas</t>
        </is>
      </c>
      <c r="M172" s="13" t="inlineStr">
        <is>
          <t>Mimetizadores da auxina (crescimento desordenado e epinastia)</t>
        </is>
      </c>
      <c r="N172" s="13" t="inlineStr">
        <is>
          <t>Categoria 4 — Produto Pouco Tóxico</t>
        </is>
      </c>
      <c r="O172" s="13" t="inlineStr">
        <is>
          <t>Azul PMS Blue 293 C</t>
        </is>
      </c>
      <c r="P172" s="13" t="inlineStr">
        <is>
          <t>Classe II — Produto Muito Perigoso ao Meio Ambiente</t>
        </is>
      </c>
      <c r="Q172" s="15" t="n">
        <v>24</v>
      </c>
      <c r="R172" s="13" t="inlineStr">
        <is>
          <t>Terrestre / Aérea (Drones consultar bula)</t>
        </is>
      </c>
      <c r="S172" s="13" t="inlineStr">
        <is>
          <t>Sem antídoto específico; tratamento sintomático</t>
        </is>
      </c>
      <c r="T172" s="13" t="inlineStr">
        <is>
          <t>UPL DO BRASIL INDÚSTRIA E COMÉRCIO DE INSUMOS AGROPECUÁRIOS S.A.</t>
        </is>
      </c>
      <c r="U172" s="16">
        <f>HYPERLINK("https://www.adapar.pr.gov.br/Pagina/Agrotoxicos-Herbicidas", "Registro Oficial Triclon 480 EC (MAPA 17208)")</f>
        <v/>
      </c>
    </row>
    <row r="173" ht="22" customHeight="1">
      <c r="A173" s="5" t="n">
        <v>168</v>
      </c>
      <c r="B173" s="6" t="inlineStr">
        <is>
          <t>Nº 10416</t>
        </is>
      </c>
      <c r="C173" s="7" t="inlineStr">
        <is>
          <t>ZETHAMAXX 4X5L</t>
        </is>
      </c>
      <c r="D173" s="8" t="inlineStr">
        <is>
          <t>ZETHAMAXX</t>
        </is>
      </c>
      <c r="E173" s="7" t="inlineStr">
        <is>
          <t>Produto Formulado Comercial</t>
        </is>
      </c>
      <c r="F173" s="7" t="inlineStr">
        <is>
          <t>Defensivos</t>
        </is>
      </c>
      <c r="G173" s="7" t="inlineStr">
        <is>
          <t>Herbicida</t>
        </is>
      </c>
      <c r="H173" s="7" t="inlineStr">
        <is>
          <t>SC</t>
        </is>
      </c>
      <c r="I173" s="7" t="inlineStr">
        <is>
          <t>Suspensão Concentrada (SC)</t>
        </is>
      </c>
      <c r="J173" s="7" t="inlineStr">
        <is>
          <t>Herbicida seletivo de contato e residual (pré e pós-emergência inicial)</t>
        </is>
      </c>
      <c r="K173" s="7" t="inlineStr">
        <is>
          <t>Imidazolinona</t>
        </is>
      </c>
      <c r="L173" s="7" t="inlineStr">
        <is>
          <t>HRAC Grupo B (2) — Inibidores da ALS</t>
        </is>
      </c>
      <c r="M173" s="7" t="inlineStr">
        <is>
          <t>Inibição da enzima acetolactato sintase (ALS / AHAS)</t>
        </is>
      </c>
      <c r="N173" s="7" t="inlineStr">
        <is>
          <t>Categoria 4 / 5 — Pouco Tóxico</t>
        </is>
      </c>
      <c r="O173" s="7" t="inlineStr">
        <is>
          <t>Azul Intenso</t>
        </is>
      </c>
      <c r="P173" s="7" t="inlineStr">
        <is>
          <t>Classe II — Produto Muito Perigoso ao Meio Ambiente</t>
        </is>
      </c>
      <c r="Q173" s="9" t="n">
        <v>24</v>
      </c>
      <c r="R173" s="7" t="inlineStr">
        <is>
          <t>Terrestre / Aérea (Drones consultar bula)</t>
        </is>
      </c>
      <c r="S173" s="7" t="inlineStr">
        <is>
          <t>Sem antídoto específico; tratamento sintomático</t>
        </is>
      </c>
      <c r="T173" s="7" t="inlineStr">
        <is>
          <t>SUMITOMO CHEMICAL BRASIL INDÚSTRIA QUÍMICA S.A.</t>
        </is>
      </c>
      <c r="U173" s="10">
        <f>HYPERLINK("https://revistacultivar.com.br/pesticida/zethamaxx", "Bula Oficial Zethamaxx (Sumitomo - MAPA 10416)")</f>
        <v/>
      </c>
    </row>
    <row r="174" ht="22" customHeight="1">
      <c r="A174" s="11" t="n">
        <v>169</v>
      </c>
      <c r="B174" s="12" t="inlineStr">
        <is>
          <t>SIPEAGRO (UF-XXXXX)</t>
        </is>
      </c>
      <c r="C174" s="13" t="inlineStr">
        <is>
          <t>AZOKOP 15X1,5L</t>
        </is>
      </c>
      <c r="D174" s="14" t="inlineStr">
        <is>
          <t>AZOKOP 15X1,5L</t>
        </is>
      </c>
      <c r="E174" s="13" t="inlineStr">
        <is>
          <t>Inoculante / Biológico</t>
        </is>
      </c>
      <c r="F174" s="13" t="inlineStr">
        <is>
          <t>Inoculantes e Biológicos</t>
        </is>
      </c>
      <c r="G174" s="13" t="inlineStr">
        <is>
          <t>Inoculante Fixador de Nitrogênio</t>
        </is>
      </c>
      <c r="H174" s="13" t="inlineStr">
        <is>
          <t>Líquido</t>
        </is>
      </c>
      <c r="I174" s="13" t="inlineStr">
        <is>
          <t>Formulação Padrão (Líquido / Turfoso)</t>
        </is>
      </c>
      <c r="J174" s="13" t="inlineStr">
        <is>
          <t>Inoculante líquido/turfoso para tratamento de sementes e sulco</t>
        </is>
      </c>
      <c r="K174" s="13" t="inlineStr">
        <is>
          <t>Bactéria Diazotrófica Fixadora de Nitrogênio e Promotora de Crescimento</t>
        </is>
      </c>
      <c r="L174" s="13" t="inlineStr">
        <is>
          <t>Inoculante Biológico — Lei nº 6.894/1980</t>
        </is>
      </c>
      <c r="M174" s="13" t="inlineStr">
        <is>
          <t>Fixação biológica de N2 atmosférico e síntese de fitormônios (AIA)</t>
        </is>
      </c>
      <c r="N174" s="13" t="inlineStr">
        <is>
          <t>Isento (Inoculante Biológico SIPEAGRO)</t>
        </is>
      </c>
      <c r="O174" s="13" t="inlineStr">
        <is>
          <t>Não Aplicável (Inoculante)</t>
        </is>
      </c>
      <c r="P174" s="13" t="inlineStr">
        <is>
          <t>Classe IV — Produto Pouco Perigoso ao Meio Ambiente</t>
        </is>
      </c>
      <c r="Q174" s="15" t="n">
        <v>0</v>
      </c>
      <c r="R174" s="13" t="inlineStr">
        <is>
          <t>Aplicação Dirigida / TS / Solo</t>
        </is>
      </c>
      <c r="S174" s="13" t="inlineStr">
        <is>
          <t>Não aplicável (Inoculante biológico não tóxico)</t>
        </is>
      </c>
      <c r="T174" s="13" t="inlineStr">
        <is>
          <t>Estabelecimento Produtor SIPEAGRO/MAPA</t>
        </is>
      </c>
      <c r="U174" s="16">
        <f>HYPERLINK("https://www.gov.br/agricultura/pt-br/assuntos/insumos-agropecuarios/insumos-agricolas/fertilizantes", "Portal SIPEAGRO / MAPA — Fertilizantes e Bioinsumos")</f>
        <v/>
      </c>
    </row>
    <row r="175" ht="22" customHeight="1">
      <c r="A175" s="5" t="n">
        <v>170</v>
      </c>
      <c r="B175" s="6" t="inlineStr">
        <is>
          <t>Nº 17921</t>
        </is>
      </c>
      <c r="C175" s="7" t="inlineStr">
        <is>
          <t>TIOFANATO METILICO 500 1X20L (IMP)</t>
        </is>
      </c>
      <c r="D175" s="8" t="inlineStr">
        <is>
          <t>TIOFANATO METILICO 500</t>
        </is>
      </c>
      <c r="E175" s="7" t="inlineStr">
        <is>
          <t>Produto Formulado Comercial</t>
        </is>
      </c>
      <c r="F175" s="7" t="inlineStr">
        <is>
          <t>Defensivos</t>
        </is>
      </c>
      <c r="G175" s="7" t="inlineStr">
        <is>
          <t>Fungicida</t>
        </is>
      </c>
      <c r="H175" s="7" t="inlineStr">
        <is>
          <t>SC</t>
        </is>
      </c>
      <c r="I175" s="7" t="inlineStr">
        <is>
          <t>Suspensão Concentrada (SC)</t>
        </is>
      </c>
      <c r="J175" s="7" t="inlineStr">
        <is>
          <t>Fungicida sistêmico preventivo e curativo</t>
        </is>
      </c>
      <c r="K175" s="7" t="inlineStr">
        <is>
          <t>Benzimidazol (Precursor de MBC)</t>
        </is>
      </c>
      <c r="L175" s="7" t="inlineStr">
        <is>
          <t>FRAC Grupo 1 (MBC)</t>
        </is>
      </c>
      <c r="M175" s="7" t="inlineStr">
        <is>
          <t>Inibidores da montagem de beta-tubulina na mitose celular</t>
        </is>
      </c>
      <c r="N175" s="7" t="inlineStr">
        <is>
          <t>Categoria 4 / 5 — Pouco Tóxico</t>
        </is>
      </c>
      <c r="O175" s="7" t="inlineStr">
        <is>
          <t>Azul Intenso</t>
        </is>
      </c>
      <c r="P175" s="7" t="inlineStr">
        <is>
          <t>Classe III — Produto Perigoso ao Meio Ambiente</t>
        </is>
      </c>
      <c r="Q175" s="9" t="n">
        <v>24</v>
      </c>
      <c r="R175" s="7" t="inlineStr">
        <is>
          <t>Terrestre / Aérea (Drones consultar bula)</t>
        </is>
      </c>
      <c r="S175" s="7" t="inlineStr">
        <is>
          <t>Sem antídoto específico; tratamento sintomático</t>
        </is>
      </c>
      <c r="T175" s="7" t="inlineStr">
        <is>
          <t>Proventis Lifescience</t>
        </is>
      </c>
      <c r="U175" s="10">
        <f>HYPERLINK("https://agrofit.agricultura.gov.br/agrofit_cons/principal_agrofit_cons", "Consulta Oficial AGROFIT/MAPA (Nº 17921)")</f>
        <v/>
      </c>
    </row>
    <row r="176" ht="22" customHeight="1">
      <c r="A176" s="11" t="n">
        <v>171</v>
      </c>
      <c r="B176" s="12" t="inlineStr">
        <is>
          <t>Nº 30917</t>
        </is>
      </c>
      <c r="C176" s="13" t="inlineStr">
        <is>
          <t>BIOLOGIC RAZOR 12X1L</t>
        </is>
      </c>
      <c r="D176" s="14" t="inlineStr">
        <is>
          <t>BIOLOGIC RAZOR</t>
        </is>
      </c>
      <c r="E176" s="13" t="inlineStr">
        <is>
          <t>Produto Formulado Comercial</t>
        </is>
      </c>
      <c r="F176" s="13" t="inlineStr">
        <is>
          <t>Defensivos</t>
        </is>
      </c>
      <c r="G176" s="13" t="inlineStr">
        <is>
          <t>Bioinseticida (Biológico)</t>
        </is>
      </c>
      <c r="H176" s="13" t="inlineStr">
        <is>
          <t>EC</t>
        </is>
      </c>
      <c r="I176" s="13" t="inlineStr">
        <is>
          <t>Concentrado Emulsionável (EC)</t>
        </is>
      </c>
      <c r="J176" s="13" t="inlineStr">
        <is>
          <t>Inseticida/acaricida de contato e ingestão</t>
        </is>
      </c>
      <c r="K176" s="13" t="inlineStr">
        <is>
          <t>Agente Microbiológico de Controle (Fungo Entomopatogênico)</t>
        </is>
      </c>
      <c r="L176" s="13" t="inlineStr">
        <is>
          <t>IRAC Grupo UNF — Bioinseticida Microbiológico</t>
        </is>
      </c>
      <c r="M176" s="13" t="inlineStr">
        <is>
          <t>Penetração cuticular e colonização micelial de insetos sugadores</t>
        </is>
      </c>
      <c r="N176" s="13" t="inlineStr">
        <is>
          <t>Categoria 3 / 4 — Moderadamente a Pouco Tóxico</t>
        </is>
      </c>
      <c r="O176" s="13" t="inlineStr">
        <is>
          <t>Amarelo / Azul</t>
        </is>
      </c>
      <c r="P176" s="13" t="inlineStr">
        <is>
          <t>Classe II — Produto Muito Perigoso ao Meio Ambiente</t>
        </is>
      </c>
      <c r="Q176" s="15" t="n">
        <v>24</v>
      </c>
      <c r="R176" s="13" t="inlineStr">
        <is>
          <t>Terrestre / Aérea (Drones consultar bula)</t>
        </is>
      </c>
      <c r="S176" s="13" t="inlineStr">
        <is>
          <t>Tratamento sintomático conforme grupo químico na bula</t>
        </is>
      </c>
      <c r="T176" s="13" t="inlineStr">
        <is>
          <t>KOPPERT DO BRASIL HOLDING LTDA.</t>
        </is>
      </c>
      <c r="U176" s="16">
        <f>HYPERLINK("https://www.adapar.pr.gov.br/system/files/publico/Agrotoxicos/lista.pdf", "Registro Oficial Biologic Razor / Challenger (MAPA 30917)")</f>
        <v/>
      </c>
    </row>
    <row r="177" ht="22" customHeight="1">
      <c r="A177" s="5" t="n">
        <v>172</v>
      </c>
      <c r="B177" s="6" t="inlineStr">
        <is>
          <t>SIPEAGRO (UF-XXXXX)</t>
        </is>
      </c>
      <c r="C177" s="7" t="inlineStr">
        <is>
          <t>AGCN MANGANES 100 1X1000L</t>
        </is>
      </c>
      <c r="D177" s="8" t="inlineStr">
        <is>
          <t>AGCN MANGANES 100</t>
        </is>
      </c>
      <c r="E177" s="7" t="inlineStr">
        <is>
          <t>Fertilizante Mineral / Organomineral</t>
        </is>
      </c>
      <c r="F177" s="7" t="inlineStr">
        <is>
          <t>Fertilizantes</t>
        </is>
      </c>
      <c r="G177" s="7" t="inlineStr">
        <is>
          <t>Fertilizante Organomineral / Bioestimulante</t>
        </is>
      </c>
      <c r="H177" s="7" t="inlineStr">
        <is>
          <t>SL</t>
        </is>
      </c>
      <c r="I177" s="7" t="inlineStr">
        <is>
          <t>Solução / Suspensão Concentrada Foliar (Fluido)</t>
        </is>
      </c>
      <c r="J177" s="7" t="inlineStr">
        <is>
          <t>Aplicação via solo, fertirrigação ou adubação foliar</t>
        </is>
      </c>
      <c r="K177" s="7" t="inlineStr">
        <is>
          <t>Fertilizante Mineral / Organomineral (Lei nº 6.894/1980)</t>
        </is>
      </c>
      <c r="L177" s="7" t="inlineStr">
        <is>
          <t>Nutrição Vegetal SIPEAGRO</t>
        </is>
      </c>
      <c r="M177" s="7" t="inlineStr">
        <is>
          <t>Fornecimento de macro e micronutrientes essenciais ao metabolismo vegetal</t>
        </is>
      </c>
      <c r="N177" s="7" t="inlineStr">
        <is>
          <t>Isento ANVISA (Produto Fertilizante Registrado no SIPEAGRO/MAPA)</t>
        </is>
      </c>
      <c r="O177" s="7" t="inlineStr">
        <is>
          <t>Não Aplicável (Fertilizante)</t>
        </is>
      </c>
      <c r="P177" s="7" t="inlineStr">
        <is>
          <t>Baixo Potencial Poluidor (Uso conforme recomendação agronômica)</t>
        </is>
      </c>
      <c r="Q177" s="9" t="n">
        <v>0</v>
      </c>
      <c r="R177" s="7" t="inlineStr">
        <is>
          <t>Aplicação Dirigida / TS / Solo</t>
        </is>
      </c>
      <c r="S177" s="7" t="inlineStr">
        <is>
          <t>Tratamento sintomático em caso de ingestão acidental</t>
        </is>
      </c>
      <c r="T177" s="7" t="inlineStr">
        <is>
          <t>Estabelecimento Produtor SIPEAGRO/MAPA</t>
        </is>
      </c>
      <c r="U177" s="10">
        <f>HYPERLINK("https://www.gov.br/agricultura/pt-br/assuntos/insumos-agropecuarios/insumos-agricolas/fertilizantes", "Portal SIPEAGRO / MAPA — Fertilizantes e Bioinsumos")</f>
        <v/>
      </c>
    </row>
    <row r="178" ht="22" customHeight="1">
      <c r="A178" s="11" t="n">
        <v>173</v>
      </c>
      <c r="B178" s="12" t="inlineStr">
        <is>
          <t>SIPEAGRO (UF-XXXXX)</t>
        </is>
      </c>
      <c r="C178" s="13" t="inlineStr">
        <is>
          <t>AGCN ENXOFRE 100 1X1000L</t>
        </is>
      </c>
      <c r="D178" s="14" t="inlineStr">
        <is>
          <t>AGCN ENXOFRE 100</t>
        </is>
      </c>
      <c r="E178" s="13" t="inlineStr">
        <is>
          <t>Fertilizante Mineral / Organomineral</t>
        </is>
      </c>
      <c r="F178" s="13" t="inlineStr">
        <is>
          <t>Fertilizantes</t>
        </is>
      </c>
      <c r="G178" s="13" t="inlineStr">
        <is>
          <t>Fertilizante Foliar / Micronutrientes</t>
        </is>
      </c>
      <c r="H178" s="13" t="inlineStr">
        <is>
          <t>SL</t>
        </is>
      </c>
      <c r="I178" s="13" t="inlineStr">
        <is>
          <t>Solução / Suspensão Concentrada Foliar (Fluido)</t>
        </is>
      </c>
      <c r="J178" s="13" t="inlineStr">
        <is>
          <t>Aplicação via solo, fertirrigação ou adubação foliar</t>
        </is>
      </c>
      <c r="K178" s="13" t="inlineStr">
        <is>
          <t>Fertilizante Mineral / Organomineral (Lei nº 6.894/1980)</t>
        </is>
      </c>
      <c r="L178" s="13" t="inlineStr">
        <is>
          <t>Nutrição Vegetal SIPEAGRO</t>
        </is>
      </c>
      <c r="M178" s="13" t="inlineStr">
        <is>
          <t>Fornecimento de macro e micronutrientes essenciais ao metabolismo vegetal</t>
        </is>
      </c>
      <c r="N178" s="13" t="inlineStr">
        <is>
          <t>Isento ANVISA (Produto Fertilizante Registrado no SIPEAGRO/MAPA)</t>
        </is>
      </c>
      <c r="O178" s="13" t="inlineStr">
        <is>
          <t>Não Aplicável (Fertilizante)</t>
        </is>
      </c>
      <c r="P178" s="13" t="inlineStr">
        <is>
          <t>Baixo Potencial Poluidor (Uso conforme recomendação agronômica)</t>
        </is>
      </c>
      <c r="Q178" s="15" t="n">
        <v>0</v>
      </c>
      <c r="R178" s="13" t="inlineStr">
        <is>
          <t>Aplicação Dirigida / TS / Solo</t>
        </is>
      </c>
      <c r="S178" s="13" t="inlineStr">
        <is>
          <t>Tratamento sintomático em caso de ingestão acidental</t>
        </is>
      </c>
      <c r="T178" s="13" t="inlineStr">
        <is>
          <t>Estabelecimento Produtor SIPEAGRO/MAPA</t>
        </is>
      </c>
      <c r="U178" s="16">
        <f>HYPERLINK("https://www.gov.br/agricultura/pt-br/assuntos/insumos-agropecuarios/insumos-agricolas/fertilizantes", "Portal SIPEAGRO / MAPA — Fertilizantes e Bioinsumos")</f>
        <v/>
      </c>
    </row>
    <row r="179" ht="22" customHeight="1">
      <c r="A179" s="5" t="n">
        <v>174</v>
      </c>
      <c r="B179" s="6" t="inlineStr">
        <is>
          <t>SIPEAGRO (UF-XXXXX)</t>
        </is>
      </c>
      <c r="C179" s="7" t="inlineStr">
        <is>
          <t>AGCN FULL 100 1X1000L</t>
        </is>
      </c>
      <c r="D179" s="8" t="inlineStr">
        <is>
          <t>AGCN FULL 100</t>
        </is>
      </c>
      <c r="E179" s="7" t="inlineStr">
        <is>
          <t>Fertilizante Mineral / Organomineral</t>
        </is>
      </c>
      <c r="F179" s="7" t="inlineStr">
        <is>
          <t>Fertilizantes</t>
        </is>
      </c>
      <c r="G179" s="7" t="inlineStr">
        <is>
          <t>Fertilizante Organomineral / Bioestimulante</t>
        </is>
      </c>
      <c r="H179" s="7" t="inlineStr">
        <is>
          <t>SL</t>
        </is>
      </c>
      <c r="I179" s="7" t="inlineStr">
        <is>
          <t>Solução / Suspensão Concentrada Foliar (Fluido)</t>
        </is>
      </c>
      <c r="J179" s="7" t="inlineStr">
        <is>
          <t>Aplicação via solo, fertirrigação ou adubação foliar</t>
        </is>
      </c>
      <c r="K179" s="7" t="inlineStr">
        <is>
          <t>Fertilizante Mineral / Organomineral (Lei nº 6.894/1980)</t>
        </is>
      </c>
      <c r="L179" s="7" t="inlineStr">
        <is>
          <t>Nutrição Vegetal SIPEAGRO</t>
        </is>
      </c>
      <c r="M179" s="7" t="inlineStr">
        <is>
          <t>Fornecimento de macro e micronutrientes essenciais ao metabolismo vegetal</t>
        </is>
      </c>
      <c r="N179" s="7" t="inlineStr">
        <is>
          <t>Isento ANVISA (Produto Fertilizante Registrado no SIPEAGRO/MAPA)</t>
        </is>
      </c>
      <c r="O179" s="7" t="inlineStr">
        <is>
          <t>Não Aplicável (Fertilizante)</t>
        </is>
      </c>
      <c r="P179" s="7" t="inlineStr">
        <is>
          <t>Baixo Potencial Poluidor (Uso conforme recomendação agronômica)</t>
        </is>
      </c>
      <c r="Q179" s="9" t="n">
        <v>0</v>
      </c>
      <c r="R179" s="7" t="inlineStr">
        <is>
          <t>Aplicação Dirigida / TS / Solo</t>
        </is>
      </c>
      <c r="S179" s="7" t="inlineStr">
        <is>
          <t>Tratamento sintomático em caso de ingestão acidental</t>
        </is>
      </c>
      <c r="T179" s="7" t="inlineStr">
        <is>
          <t>Estabelecimento Produtor SIPEAGRO/MAPA</t>
        </is>
      </c>
      <c r="U179" s="10">
        <f>HYPERLINK("https://www.gov.br/agricultura/pt-br/assuntos/insumos-agropecuarios/insumos-agricolas/fertilizantes", "Portal SIPEAGRO / MAPA — Fertilizantes e Bioinsumos")</f>
        <v/>
      </c>
    </row>
    <row r="180" ht="22" customHeight="1">
      <c r="A180" s="11" t="n">
        <v>175</v>
      </c>
      <c r="B180" s="12" t="inlineStr">
        <is>
          <t>SIPEAGRO (UF-XXXXX)</t>
        </is>
      </c>
      <c r="C180" s="13" t="inlineStr">
        <is>
          <t>AGCN MN 1X20L</t>
        </is>
      </c>
      <c r="D180" s="14" t="inlineStr">
        <is>
          <t>AGCN MN</t>
        </is>
      </c>
      <c r="E180" s="13" t="inlineStr">
        <is>
          <t>Fertilizante Mineral / Organomineral</t>
        </is>
      </c>
      <c r="F180" s="13" t="inlineStr">
        <is>
          <t>Fertilizantes</t>
        </is>
      </c>
      <c r="G180" s="13" t="inlineStr">
        <is>
          <t>Fertilizante Foliar / Micronutrientes</t>
        </is>
      </c>
      <c r="H180" s="13" t="inlineStr">
        <is>
          <t>SL</t>
        </is>
      </c>
      <c r="I180" s="13" t="inlineStr">
        <is>
          <t>Solução / Suspensão Concentrada Foliar (Fluido)</t>
        </is>
      </c>
      <c r="J180" s="13" t="inlineStr">
        <is>
          <t>Aplicação via solo, fertirrigação ou adubação foliar</t>
        </is>
      </c>
      <c r="K180" s="13" t="inlineStr">
        <is>
          <t>Fertilizante Mineral / Organomineral (Lei nº 6.894/1980)</t>
        </is>
      </c>
      <c r="L180" s="13" t="inlineStr">
        <is>
          <t>Nutrição Vegetal SIPEAGRO</t>
        </is>
      </c>
      <c r="M180" s="13" t="inlineStr">
        <is>
          <t>Fornecimento de macro e micronutrientes essenciais ao metabolismo vegetal</t>
        </is>
      </c>
      <c r="N180" s="13" t="inlineStr">
        <is>
          <t>Isento ANVISA (Produto Fertilizante Registrado no SIPEAGRO/MAPA)</t>
        </is>
      </c>
      <c r="O180" s="13" t="inlineStr">
        <is>
          <t>Não Aplicável (Fertilizante)</t>
        </is>
      </c>
      <c r="P180" s="13" t="inlineStr">
        <is>
          <t>Baixo Potencial Poluidor (Uso conforme recomendação agronômica)</t>
        </is>
      </c>
      <c r="Q180" s="15" t="n">
        <v>0</v>
      </c>
      <c r="R180" s="13" t="inlineStr">
        <is>
          <t>Aplicação Dirigida / TS / Solo</t>
        </is>
      </c>
      <c r="S180" s="13" t="inlineStr">
        <is>
          <t>Tratamento sintomático em caso de ingestão acidental</t>
        </is>
      </c>
      <c r="T180" s="13" t="inlineStr">
        <is>
          <t>Estabelecimento Produtor SIPEAGRO/MAPA</t>
        </is>
      </c>
      <c r="U180" s="16">
        <f>HYPERLINK("https://www.gov.br/agricultura/pt-br/assuntos/insumos-agropecuarios/insumos-agricolas/fertilizantes", "Portal SIPEAGRO / MAPA — Fertilizantes e Bioinsumos")</f>
        <v/>
      </c>
    </row>
    <row r="181" ht="22" customHeight="1">
      <c r="A181" s="5" t="n">
        <v>176</v>
      </c>
      <c r="B181" s="6" t="inlineStr">
        <is>
          <t>SIPEAGRO (UF-XXXXX)</t>
        </is>
      </c>
      <c r="C181" s="7" t="inlineStr">
        <is>
          <t>AGCN MN ULTRA 100 1X1000L</t>
        </is>
      </c>
      <c r="D181" s="8" t="inlineStr">
        <is>
          <t>AGCN MN ULTRA 100</t>
        </is>
      </c>
      <c r="E181" s="7" t="inlineStr">
        <is>
          <t>Fertilizante Mineral / Organomineral</t>
        </is>
      </c>
      <c r="F181" s="7" t="inlineStr">
        <is>
          <t>Fertilizantes</t>
        </is>
      </c>
      <c r="G181" s="7" t="inlineStr">
        <is>
          <t>Fertilizante Organomineral / Bioestimulante</t>
        </is>
      </c>
      <c r="H181" s="7" t="inlineStr">
        <is>
          <t>SL</t>
        </is>
      </c>
      <c r="I181" s="7" t="inlineStr">
        <is>
          <t>Solução / Suspensão Concentrada Foliar (Fluido)</t>
        </is>
      </c>
      <c r="J181" s="7" t="inlineStr">
        <is>
          <t>Aplicação via solo, fertirrigação ou adubação foliar</t>
        </is>
      </c>
      <c r="K181" s="7" t="inlineStr">
        <is>
          <t>Fertilizante Mineral / Organomineral (Lei nº 6.894/1980)</t>
        </is>
      </c>
      <c r="L181" s="7" t="inlineStr">
        <is>
          <t>Nutrição Vegetal SIPEAGRO</t>
        </is>
      </c>
      <c r="M181" s="7" t="inlineStr">
        <is>
          <t>Fornecimento de macro e micronutrientes essenciais ao metabolismo vegetal</t>
        </is>
      </c>
      <c r="N181" s="7" t="inlineStr">
        <is>
          <t>Isento ANVISA (Produto Fertilizante Registrado no SIPEAGRO/MAPA)</t>
        </is>
      </c>
      <c r="O181" s="7" t="inlineStr">
        <is>
          <t>Não Aplicável (Fertilizante)</t>
        </is>
      </c>
      <c r="P181" s="7" t="inlineStr">
        <is>
          <t>Baixo Potencial Poluidor (Uso conforme recomendação agronômica)</t>
        </is>
      </c>
      <c r="Q181" s="9" t="n">
        <v>0</v>
      </c>
      <c r="R181" s="7" t="inlineStr">
        <is>
          <t>Aplicação Dirigida / TS / Solo</t>
        </is>
      </c>
      <c r="S181" s="7" t="inlineStr">
        <is>
          <t>Tratamento sintomático em caso de ingestão acidental</t>
        </is>
      </c>
      <c r="T181" s="7" t="inlineStr">
        <is>
          <t>Estabelecimento Produtor SIPEAGRO/MAPA</t>
        </is>
      </c>
      <c r="U181" s="10">
        <f>HYPERLINK("https://www.gov.br/agricultura/pt-br/assuntos/insumos-agropecuarios/insumos-agricolas/fertilizantes", "Portal SIPEAGRO / MAPA — Fertilizantes e Bioinsumos")</f>
        <v/>
      </c>
    </row>
    <row r="182" ht="22" customHeight="1">
      <c r="A182" s="11" t="n">
        <v>177</v>
      </c>
      <c r="B182" s="12" t="inlineStr">
        <is>
          <t>SIPEAGRO (UF-XXXXX)</t>
        </is>
      </c>
      <c r="C182" s="13" t="inlineStr">
        <is>
          <t>AGCN MN+ 1X20L</t>
        </is>
      </c>
      <c r="D182" s="14" t="inlineStr">
        <is>
          <t>AGCN MN+</t>
        </is>
      </c>
      <c r="E182" s="13" t="inlineStr">
        <is>
          <t>Fertilizante Mineral / Organomineral</t>
        </is>
      </c>
      <c r="F182" s="13" t="inlineStr">
        <is>
          <t>Fertilizantes</t>
        </is>
      </c>
      <c r="G182" s="13" t="inlineStr">
        <is>
          <t>Fertilizante Foliar / Micronutrientes</t>
        </is>
      </c>
      <c r="H182" s="13" t="inlineStr">
        <is>
          <t>SL</t>
        </is>
      </c>
      <c r="I182" s="13" t="inlineStr">
        <is>
          <t>Solução / Suspensão Concentrada Foliar (Fluido)</t>
        </is>
      </c>
      <c r="J182" s="13" t="inlineStr">
        <is>
          <t>Aplicação via solo, fertirrigação ou adubação foliar</t>
        </is>
      </c>
      <c r="K182" s="13" t="inlineStr">
        <is>
          <t>Fertilizante Mineral / Organomineral (Lei nº 6.894/1980)</t>
        </is>
      </c>
      <c r="L182" s="13" t="inlineStr">
        <is>
          <t>Nutrição Vegetal SIPEAGRO</t>
        </is>
      </c>
      <c r="M182" s="13" t="inlineStr">
        <is>
          <t>Fornecimento de macro e micronutrientes essenciais ao metabolismo vegetal</t>
        </is>
      </c>
      <c r="N182" s="13" t="inlineStr">
        <is>
          <t>Isento ANVISA (Produto Fertilizante Registrado no SIPEAGRO/MAPA)</t>
        </is>
      </c>
      <c r="O182" s="13" t="inlineStr">
        <is>
          <t>Não Aplicável (Fertilizante)</t>
        </is>
      </c>
      <c r="P182" s="13" t="inlineStr">
        <is>
          <t>Baixo Potencial Poluidor (Uso conforme recomendação agronômica)</t>
        </is>
      </c>
      <c r="Q182" s="15" t="n">
        <v>0</v>
      </c>
      <c r="R182" s="13" t="inlineStr">
        <is>
          <t>Aplicação Dirigida / TS / Solo</t>
        </is>
      </c>
      <c r="S182" s="13" t="inlineStr">
        <is>
          <t>Tratamento sintomático em caso de ingestão acidental</t>
        </is>
      </c>
      <c r="T182" s="13" t="inlineStr">
        <is>
          <t>Estabelecimento Produtor SIPEAGRO/MAPA</t>
        </is>
      </c>
      <c r="U182" s="16">
        <f>HYPERLINK("https://www.gov.br/agricultura/pt-br/assuntos/insumos-agropecuarios/insumos-agricolas/fertilizantes", "Portal SIPEAGRO / MAPA — Fertilizantes e Bioinsumos")</f>
        <v/>
      </c>
    </row>
    <row r="183" ht="22" customHeight="1">
      <c r="A183" s="5" t="n">
        <v>178</v>
      </c>
      <c r="B183" s="6" t="inlineStr">
        <is>
          <t>SIPEAGRO (UF-XXXXX)</t>
        </is>
      </c>
      <c r="C183" s="7" t="inlineStr">
        <is>
          <t>AGCN NITROGEN 30% 100 1X1000L</t>
        </is>
      </c>
      <c r="D183" s="8" t="inlineStr">
        <is>
          <t>AGCN NITROGEN 30% 100</t>
        </is>
      </c>
      <c r="E183" s="7" t="inlineStr">
        <is>
          <t>Fertilizante Mineral / Organomineral</t>
        </is>
      </c>
      <c r="F183" s="7" t="inlineStr">
        <is>
          <t>Fertilizantes</t>
        </is>
      </c>
      <c r="G183" s="7" t="inlineStr">
        <is>
          <t>Fertilizante Mineral Simples (Nitrogenado)</t>
        </is>
      </c>
      <c r="H183" s="7" t="inlineStr">
        <is>
          <t>SL</t>
        </is>
      </c>
      <c r="I183" s="7" t="inlineStr">
        <is>
          <t>Solução / Suspensão Concentrada Foliar (Fluido)</t>
        </is>
      </c>
      <c r="J183" s="7" t="inlineStr">
        <is>
          <t>Aplicação via solo, fertirrigação ou adubação foliar</t>
        </is>
      </c>
      <c r="K183" s="7" t="inlineStr">
        <is>
          <t>Fertilizante Mineral / Organomineral (Lei nº 6.894/1980)</t>
        </is>
      </c>
      <c r="L183" s="7" t="inlineStr">
        <is>
          <t>Nutrição Vegetal SIPEAGRO</t>
        </is>
      </c>
      <c r="M183" s="7" t="inlineStr">
        <is>
          <t>Fornecimento de macro e micronutrientes essenciais ao metabolismo vegetal</t>
        </is>
      </c>
      <c r="N183" s="7" t="inlineStr">
        <is>
          <t>Isento ANVISA (Produto Fertilizante Registrado no SIPEAGRO/MAPA)</t>
        </is>
      </c>
      <c r="O183" s="7" t="inlineStr">
        <is>
          <t>Não Aplicável (Fertilizante)</t>
        </is>
      </c>
      <c r="P183" s="7" t="inlineStr">
        <is>
          <t>Baixo Potencial Poluidor (Uso conforme recomendação agronômica)</t>
        </is>
      </c>
      <c r="Q183" s="9" t="n">
        <v>0</v>
      </c>
      <c r="R183" s="7" t="inlineStr">
        <is>
          <t>Aplicação Dirigida / TS / Solo</t>
        </is>
      </c>
      <c r="S183" s="7" t="inlineStr">
        <is>
          <t>Tratamento sintomático em caso de ingestão acidental</t>
        </is>
      </c>
      <c r="T183" s="7" t="inlineStr">
        <is>
          <t>Estabelecimento Produtor SIPEAGRO/MAPA</t>
        </is>
      </c>
      <c r="U183" s="10">
        <f>HYPERLINK("https://www.gov.br/agricultura/pt-br/assuntos/insumos-agropecuarios/insumos-agricolas/fertilizantes", "Portal SIPEAGRO / MAPA — Fertilizantes e Bioinsumos")</f>
        <v/>
      </c>
    </row>
    <row r="184" ht="22" customHeight="1">
      <c r="A184" s="11" t="n">
        <v>179</v>
      </c>
      <c r="B184" s="12" t="inlineStr">
        <is>
          <t>SIPEAGRO (UF-XXXXX)</t>
        </is>
      </c>
      <c r="C184" s="13" t="inlineStr">
        <is>
          <t>BIOLOGIC NEMA 4X5L</t>
        </is>
      </c>
      <c r="D184" s="14" t="inlineStr">
        <is>
          <t>BIOLOGIC NEMA</t>
        </is>
      </c>
      <c r="E184" s="13" t="inlineStr">
        <is>
          <t>Produto Formulado Comercial</t>
        </is>
      </c>
      <c r="F184" s="13" t="inlineStr">
        <is>
          <t>Defensivos</t>
        </is>
      </c>
      <c r="G184" s="13" t="inlineStr">
        <is>
          <t>Bionematicida (Biológico)</t>
        </is>
      </c>
      <c r="H184" s="13" t="inlineStr">
        <is>
          <t>SC</t>
        </is>
      </c>
      <c r="I184" s="13" t="inlineStr">
        <is>
          <t>Suspensão Concentrada (SC)</t>
        </is>
      </c>
      <c r="J184" s="13" t="inlineStr">
        <is>
          <t>Bionematicida, biofungicida ou inoculante biológico</t>
        </is>
      </c>
      <c r="K184" s="13" t="inlineStr">
        <is>
          <t>Agente Microbiológico / Rizobactéria (PGPR)</t>
        </is>
      </c>
      <c r="L184" s="13" t="inlineStr">
        <is>
          <t>FRAC Grupo BM02 / IRAC Grupo 11A / Bioinsumo</t>
        </is>
      </c>
      <c r="M184" s="13" t="inlineStr">
        <is>
          <t>Lipopeptídeos antifúngicos, competição na rizosfera e solubilização de nutrientes</t>
        </is>
      </c>
      <c r="N184" s="13" t="inlineStr">
        <is>
          <t>Categoria 5 / Não Classificado — Baixo Risco Agudo</t>
        </is>
      </c>
      <c r="O184" s="13" t="inlineStr">
        <is>
          <t>Azul Intenso</t>
        </is>
      </c>
      <c r="P184" s="13" t="inlineStr">
        <is>
          <t>Classe IV — Produto Pouco Perigoso ao Meio Ambiente</t>
        </is>
      </c>
      <c r="Q184" s="15" t="n">
        <v>24</v>
      </c>
      <c r="R184" s="13" t="inlineStr">
        <is>
          <t>Terrestre / Aérea (Drones consultar bula)</t>
        </is>
      </c>
      <c r="S184" s="13" t="inlineStr">
        <is>
          <t>Sem antídoto; tratamento sintomático</t>
        </is>
      </c>
      <c r="T184" s="13" t="inlineStr">
        <is>
          <t>BALLAGRO AGRO TECNOLOGIA LTDA. / BIOLOGIC</t>
        </is>
      </c>
      <c r="U184" s="16">
        <f>HYPERLINK("https://www.gov.br/agricultura/pt-br/assuntos/insumos-agropecuarios/insumos-agricolas/fertilizantes", "Portal SIPEAGRO / MAPA — Fertilizantes e Bioinsumos")</f>
        <v/>
      </c>
    </row>
    <row r="185" ht="22" customHeight="1">
      <c r="A185" s="5" t="n">
        <v>180</v>
      </c>
      <c r="B185" s="6" t="inlineStr">
        <is>
          <t>SIPEAGRO (UF-XXXXX)</t>
        </is>
      </c>
      <c r="C185" s="7" t="inlineStr">
        <is>
          <t>BIOLOGIC PHOS 4X5L</t>
        </is>
      </c>
      <c r="D185" s="8" t="inlineStr">
        <is>
          <t>BIOLOGIC PHOS</t>
        </is>
      </c>
      <c r="E185" s="7" t="inlineStr">
        <is>
          <t>Inoculante / Biológico</t>
        </is>
      </c>
      <c r="F185" s="7" t="inlineStr">
        <is>
          <t>Inoculantes e Biológicos</t>
        </is>
      </c>
      <c r="G185" s="7" t="inlineStr">
        <is>
          <t>Inoculante Solubilizador de Fósforo / Promotor de Crescimento</t>
        </is>
      </c>
      <c r="H185" s="7" t="inlineStr">
        <is>
          <t>SC</t>
        </is>
      </c>
      <c r="I185" s="7" t="inlineStr">
        <is>
          <t>Suspensão Concentrada (SC)</t>
        </is>
      </c>
      <c r="J185" s="7" t="inlineStr">
        <is>
          <t>Bionematicida, biofungicida ou inoculante biológico</t>
        </is>
      </c>
      <c r="K185" s="7" t="inlineStr">
        <is>
          <t>Agente Microbiológico / Rizobactéria (PGPR)</t>
        </is>
      </c>
      <c r="L185" s="7" t="inlineStr">
        <is>
          <t>FRAC Grupo BM02 / IRAC Grupo 11A / Bioinsumo</t>
        </is>
      </c>
      <c r="M185" s="7" t="inlineStr">
        <is>
          <t>Lipopeptídeos antifúngicos, competição na rizosfera e solubilização de nutrientes</t>
        </is>
      </c>
      <c r="N185" s="7" t="inlineStr">
        <is>
          <t>Categoria 5 / Não Classificado — Baixo Risco Agudo</t>
        </is>
      </c>
      <c r="O185" s="7" t="inlineStr">
        <is>
          <t>Azul Intenso</t>
        </is>
      </c>
      <c r="P185" s="7" t="inlineStr">
        <is>
          <t>Classe IV — Produto Pouco Perigoso ao Meio Ambiente</t>
        </is>
      </c>
      <c r="Q185" s="9" t="n">
        <v>0</v>
      </c>
      <c r="R185" s="7" t="inlineStr">
        <is>
          <t>Aplicação Dirigida / TS / Solo</t>
        </is>
      </c>
      <c r="S185" s="7" t="inlineStr">
        <is>
          <t>Sem antídoto; tratamento sintomático</t>
        </is>
      </c>
      <c r="T185" s="7" t="inlineStr">
        <is>
          <t>Estabelecimento Produtor SIPEAGRO/MAPA</t>
        </is>
      </c>
      <c r="U185" s="10">
        <f>HYPERLINK("https://www.gov.br/agricultura/pt-br/assuntos/insumos-agropecuarios/insumos-agricolas/fertilizantes", "Portal SIPEAGRO / MAPA — Fertilizantes e Bioinsumos")</f>
        <v/>
      </c>
    </row>
    <row r="186" ht="22" customHeight="1">
      <c r="A186" s="11" t="n">
        <v>181</v>
      </c>
      <c r="B186" s="12" t="inlineStr">
        <is>
          <t>Nº 13620</t>
        </is>
      </c>
      <c r="C186" s="13" t="inlineStr">
        <is>
          <t>CLIMUR 20X1KG (IMP)</t>
        </is>
      </c>
      <c r="D186" s="14" t="inlineStr">
        <is>
          <t>CLIMUR</t>
        </is>
      </c>
      <c r="E186" s="13" t="inlineStr">
        <is>
          <t>Produto Formulado Comercial</t>
        </is>
      </c>
      <c r="F186" s="13" t="inlineStr">
        <is>
          <t>Defensivos</t>
        </is>
      </c>
      <c r="G186" s="13" t="inlineStr">
        <is>
          <t>Herbicida</t>
        </is>
      </c>
      <c r="H186" s="13" t="inlineStr">
        <is>
          <t>WG</t>
        </is>
      </c>
      <c r="I186" s="13" t="inlineStr">
        <is>
          <t>Grânulos Dispersíveis em Água (WG)</t>
        </is>
      </c>
      <c r="J186" s="13" t="inlineStr">
        <is>
          <t>Herbicida de pré ou pós-emergência</t>
        </is>
      </c>
      <c r="K186" s="13" t="inlineStr">
        <is>
          <t>Sulfonilureia</t>
        </is>
      </c>
      <c r="L186" s="13" t="inlineStr">
        <is>
          <t>HRAC Grupo B (2) — Inibidores da ALS</t>
        </is>
      </c>
      <c r="M186" s="13" t="inlineStr">
        <is>
          <t>Inibição da enzima acetolactato sintase (ALS / AHAS)</t>
        </is>
      </c>
      <c r="N186" s="13" t="inlineStr">
        <is>
          <t>Categoria 4 / 5 — Pouco Tóxico (Conforme Bula ANVISA)</t>
        </is>
      </c>
      <c r="O186" s="13" t="inlineStr">
        <is>
          <t>Azul PMS Blue 293 C</t>
        </is>
      </c>
      <c r="P186" s="13" t="inlineStr">
        <is>
          <t>Classe II / III — Perigoso ao Meio Ambiente</t>
        </is>
      </c>
      <c r="Q186" s="15" t="n">
        <v>24</v>
      </c>
      <c r="R186" s="13" t="inlineStr">
        <is>
          <t>Terrestre / Aérea (Drones consultar bula)</t>
        </is>
      </c>
      <c r="S186" s="13" t="inlineStr">
        <is>
          <t>Sem antídoto específico; tratamento sintomático e descontaminação</t>
        </is>
      </c>
      <c r="T186" s="13" t="inlineStr">
        <is>
          <t>RAINBOW DEFENSIVOS AGRÍCOLAS LTDA.</t>
        </is>
      </c>
      <c r="U186" s="16">
        <f>HYPERLINK("https://www.adapar.pr.gov.br/Pagina/Agrotoxicos-Herbicidas", "Registro Oficial Climur 250 WG (MAPA 13620)")</f>
        <v/>
      </c>
    </row>
    <row r="187" ht="22" customHeight="1">
      <c r="A187" s="5" t="n">
        <v>182</v>
      </c>
      <c r="B187" s="6" t="inlineStr">
        <is>
          <t>Nº 43219</t>
        </is>
      </c>
      <c r="C187" s="7" t="inlineStr">
        <is>
          <t>CLORPIRIFOS 480 EC GHARDA 1X20L (IMP) GG</t>
        </is>
      </c>
      <c r="D187" s="8" t="inlineStr">
        <is>
          <t>CLORPIRIFOS 480 EC GHARDA</t>
        </is>
      </c>
      <c r="E187" s="7" t="inlineStr">
        <is>
          <t>Produto Formulado Comercial</t>
        </is>
      </c>
      <c r="F187" s="7" t="inlineStr">
        <is>
          <t>Defensivos</t>
        </is>
      </c>
      <c r="G187" s="7" t="inlineStr">
        <is>
          <t>Inseticida</t>
        </is>
      </c>
      <c r="H187" s="7" t="inlineStr">
        <is>
          <t>EC</t>
        </is>
      </c>
      <c r="I187" s="7" t="inlineStr">
        <is>
          <t>Concentrado Emulsionável (EC)</t>
        </is>
      </c>
      <c r="J187" s="7" t="inlineStr">
        <is>
          <t>Inseticida e acaricida de contato, ingestão e profundidade</t>
        </is>
      </c>
      <c r="K187" s="7" t="inlineStr">
        <is>
          <t>Organofosforado</t>
        </is>
      </c>
      <c r="L187" s="7" t="inlineStr">
        <is>
          <t>IRAC Grupo 1B</t>
        </is>
      </c>
      <c r="M187" s="7" t="inlineStr">
        <is>
          <t>Inibidores da acetilcolinesterase (AChE)</t>
        </is>
      </c>
      <c r="N187" s="7" t="inlineStr">
        <is>
          <t>Categoria 2 — Produto Altamente Tóxico</t>
        </is>
      </c>
      <c r="O187" s="7" t="inlineStr">
        <is>
          <t>Vermelho PMS Red 199 C</t>
        </is>
      </c>
      <c r="P187" s="7" t="inlineStr">
        <is>
          <t>Classe II — Produto Muito Perigoso ao Meio Ambiente</t>
        </is>
      </c>
      <c r="Q187" s="9" t="n">
        <v>24</v>
      </c>
      <c r="R187" s="7" t="inlineStr">
        <is>
          <t>Terrestre / Aérea (Drones consultar bula)</t>
        </is>
      </c>
      <c r="S187" s="7" t="inlineStr">
        <is>
          <t>Atropina (agonista antimuscarínico) e Pralidoxima (reativador de colinesterase)</t>
        </is>
      </c>
      <c r="T187" s="7" t="inlineStr">
        <is>
          <t>GHARDA CHEMICALS LIMITED / CCAB AGRO S.A.</t>
        </is>
      </c>
      <c r="U187" s="10">
        <f>HYPERLINK("https://www.adapar.pr.gov.br/system/files/publico/Agrotoxicos/lista.pdf", "Registro Oficial Clorpirifós 480 EC Gharda (MAPA 43219)")</f>
        <v/>
      </c>
    </row>
    <row r="188" ht="22" customHeight="1">
      <c r="A188" s="11" t="n">
        <v>183</v>
      </c>
      <c r="B188" s="12" t="inlineStr">
        <is>
          <t>Nº 26820</t>
        </is>
      </c>
      <c r="C188" s="13" t="inlineStr">
        <is>
          <t>CRUZARO 480 EC 1X20L (IMP) GL</t>
        </is>
      </c>
      <c r="D188" s="14" t="inlineStr">
        <is>
          <t>CRUZARO 480 EC</t>
        </is>
      </c>
      <c r="E188" s="13" t="inlineStr">
        <is>
          <t>Produto Formulado Comercial</t>
        </is>
      </c>
      <c r="F188" s="13" t="inlineStr">
        <is>
          <t>Defensivos</t>
        </is>
      </c>
      <c r="G188" s="13" t="inlineStr">
        <is>
          <t>Herbicida</t>
        </is>
      </c>
      <c r="H188" s="13" t="inlineStr">
        <is>
          <t>EC</t>
        </is>
      </c>
      <c r="I188" s="13" t="inlineStr">
        <is>
          <t>Concentrado Emulsionável (EC)</t>
        </is>
      </c>
      <c r="J188" s="13" t="inlineStr">
        <is>
          <t>Herbicida sistêmico seletivo de pós-emergência</t>
        </is>
      </c>
      <c r="K188" s="13" t="inlineStr">
        <is>
          <t>Ácido piridiniloxialcanoico</t>
        </is>
      </c>
      <c r="L188" s="13" t="inlineStr">
        <is>
          <t>HRAC Grupo O (4) — Auxinas Sintéticas</t>
        </is>
      </c>
      <c r="M188" s="13" t="inlineStr">
        <is>
          <t>Mimetizadores da auxina (crescimento desordenado e epinastia)</t>
        </is>
      </c>
      <c r="N188" s="13" t="inlineStr">
        <is>
          <t>Categoria 4 — Produto Pouco Tóxico</t>
        </is>
      </c>
      <c r="O188" s="13" t="inlineStr">
        <is>
          <t>Azul PMS Blue 293 C</t>
        </is>
      </c>
      <c r="P188" s="13" t="inlineStr">
        <is>
          <t>Classe II — Produto Muito Perigoso ao Meio Ambiente</t>
        </is>
      </c>
      <c r="Q188" s="15" t="n">
        <v>24</v>
      </c>
      <c r="R188" s="13" t="inlineStr">
        <is>
          <t>Terrestre / Aérea (Drones consultar bula)</t>
        </is>
      </c>
      <c r="S188" s="13" t="inlineStr">
        <is>
          <t>Sem antídoto específico; tratamento sintomático</t>
        </is>
      </c>
      <c r="T188" s="13" t="inlineStr">
        <is>
          <t>GLOBACHEM PROTEÇÃO DE CULTIVOS DO BRASIL LTDA.</t>
        </is>
      </c>
      <c r="U188" s="16">
        <f>HYPERLINK("https://www.adapar.pr.gov.br/Pagina/Agrotoxicos-Herbicidas", "Registro Oficial Cruzaro 480 EC (MAPA 26820)")</f>
        <v/>
      </c>
    </row>
    <row r="189" ht="22" customHeight="1">
      <c r="A189" s="5" t="n">
        <v>184</v>
      </c>
      <c r="B189" s="6" t="inlineStr">
        <is>
          <t>Nº 3915</t>
        </is>
      </c>
      <c r="C189" s="7" t="inlineStr">
        <is>
          <t>CYPER COPA 250 EC 4X5L (IMP) TT</t>
        </is>
      </c>
      <c r="D189" s="8" t="inlineStr">
        <is>
          <t>CYPER COPA 250 EC</t>
        </is>
      </c>
      <c r="E189" s="7" t="inlineStr">
        <is>
          <t>Produto Formulado Comercial</t>
        </is>
      </c>
      <c r="F189" s="7" t="inlineStr">
        <is>
          <t>Defensivos</t>
        </is>
      </c>
      <c r="G189" s="7" t="inlineStr">
        <is>
          <t>Inseticida</t>
        </is>
      </c>
      <c r="H189" s="7" t="inlineStr">
        <is>
          <t>EC</t>
        </is>
      </c>
      <c r="I189" s="7" t="inlineStr">
        <is>
          <t>Concentrado Emulsionável (EC)</t>
        </is>
      </c>
      <c r="J189" s="7" t="inlineStr">
        <is>
          <t>Inseticida/acaricida de contato e ingestão</t>
        </is>
      </c>
      <c r="K189" s="7" t="inlineStr">
        <is>
          <t>Piretroide (Tipo II)</t>
        </is>
      </c>
      <c r="L189" s="7" t="inlineStr">
        <is>
          <t>IRAC Grupo 3A</t>
        </is>
      </c>
      <c r="M189" s="7" t="inlineStr">
        <is>
          <t>Moduladores de canais de sódio em membranas nervosas</t>
        </is>
      </c>
      <c r="N189" s="7" t="inlineStr">
        <is>
          <t>Categoria 3 / 4 — Moderadamente a Pouco Tóxico</t>
        </is>
      </c>
      <c r="O189" s="7" t="inlineStr">
        <is>
          <t>Amarelo / Azul</t>
        </is>
      </c>
      <c r="P189" s="7" t="inlineStr">
        <is>
          <t>Classe II — Produto Muito Perigoso ao Meio Ambiente</t>
        </is>
      </c>
      <c r="Q189" s="9" t="n">
        <v>24</v>
      </c>
      <c r="R189" s="7" t="inlineStr">
        <is>
          <t>Terrestre / Aérea (Drones consultar bula)</t>
        </is>
      </c>
      <c r="S189" s="7" t="inlineStr">
        <is>
          <t>Tratamento sintomático conforme grupo químico na bula</t>
        </is>
      </c>
      <c r="T189" s="7" t="inlineStr">
        <is>
          <t>UPL / Perterra</t>
        </is>
      </c>
      <c r="U189" s="10">
        <f>HYPERLINK("https://agrofit.agricultura.gov.br/agrofit_cons/principal_agrofit_cons", "Consulta Oficial AGROFIT/MAPA (Nº 3915)")</f>
        <v/>
      </c>
    </row>
    <row r="190" ht="22" customHeight="1">
      <c r="A190" s="11" t="n">
        <v>185</v>
      </c>
      <c r="B190" s="12" t="inlineStr">
        <is>
          <t>Nº 22221</t>
        </is>
      </c>
      <c r="C190" s="13" t="inlineStr">
        <is>
          <t>GRASIDIM 4X5L (IMP)</t>
        </is>
      </c>
      <c r="D190" s="14" t="inlineStr">
        <is>
          <t>GRASIDIM</t>
        </is>
      </c>
      <c r="E190" s="13" t="inlineStr">
        <is>
          <t>Produto Formulado Comercial</t>
        </is>
      </c>
      <c r="F190" s="13" t="inlineStr">
        <is>
          <t>Defensivos</t>
        </is>
      </c>
      <c r="G190" s="13" t="inlineStr">
        <is>
          <t>Herbicida</t>
        </is>
      </c>
      <c r="H190" s="13" t="inlineStr">
        <is>
          <t>EC</t>
        </is>
      </c>
      <c r="I190" s="13" t="inlineStr">
        <is>
          <t>Concentrado Emulsionável (EC)</t>
        </is>
      </c>
      <c r="J190" s="13" t="inlineStr">
        <is>
          <t>Herbicida graminicida sistêmico seletivo de pós-emergência</t>
        </is>
      </c>
      <c r="K190" s="13" t="inlineStr">
        <is>
          <t>Oxima ciclohexanodiona (DIM)</t>
        </is>
      </c>
      <c r="L190" s="13" t="inlineStr">
        <is>
          <t>HRAC Grupo A (1) — Inibidores da ACCase</t>
        </is>
      </c>
      <c r="M190" s="13" t="inlineStr">
        <is>
          <t>Inibidores da Acetil CoA Carboxilase (ACCase)</t>
        </is>
      </c>
      <c r="N190" s="13" t="inlineStr">
        <is>
          <t>Categoria 4 — Produto Pouco Tóxico</t>
        </is>
      </c>
      <c r="O190" s="13" t="inlineStr">
        <is>
          <t>Azul PMS Blue 293 C</t>
        </is>
      </c>
      <c r="P190" s="13" t="inlineStr">
        <is>
          <t>Classe III — Produto Perigoso ao Meio Ambiente</t>
        </is>
      </c>
      <c r="Q190" s="15" t="n">
        <v>24</v>
      </c>
      <c r="R190" s="13" t="inlineStr">
        <is>
          <t>Terrestre / Aérea (Drones consultar bula)</t>
        </is>
      </c>
      <c r="S190" s="13" t="inlineStr">
        <is>
          <t>Sem antídoto específico; tratamento sintomático</t>
        </is>
      </c>
      <c r="T190" s="13" t="inlineStr">
        <is>
          <t>RAINBOW DEFENSIVOS AGRÍCOLAS LTDA.</t>
        </is>
      </c>
      <c r="U190" s="16">
        <f>HYPERLINK("https://agrofit.agricultura.gov.br/agrofit_cons/principal_agrofit_cons", "Consulta Oficial AGROFIT/MAPA (Nº 22221)")</f>
        <v/>
      </c>
    </row>
    <row r="191" ht="22" customHeight="1">
      <c r="A191" s="5" t="n">
        <v>186</v>
      </c>
      <c r="B191" s="6" t="inlineStr">
        <is>
          <t>Nº 6421</t>
        </is>
      </c>
      <c r="C191" s="7" t="inlineStr">
        <is>
          <t>KINGSTAR XTRA 12X1KG (IMP)</t>
        </is>
      </c>
      <c r="D191" s="8" t="inlineStr">
        <is>
          <t>KINGSTAR XTRA</t>
        </is>
      </c>
      <c r="E191" s="7" t="inlineStr">
        <is>
          <t>Produto Formulado Comercial</t>
        </is>
      </c>
      <c r="F191" s="7" t="inlineStr">
        <is>
          <t>Defensivos</t>
        </is>
      </c>
      <c r="G191" s="7" t="inlineStr">
        <is>
          <t>Fungicida</t>
        </is>
      </c>
      <c r="H191" s="7" t="inlineStr">
        <is>
          <t>WG</t>
        </is>
      </c>
      <c r="I191" s="7" t="inlineStr">
        <is>
          <t>Grânulos Dispersíveis em Água (WG)</t>
        </is>
      </c>
      <c r="J191" s="7" t="inlineStr">
        <is>
          <t>Fungicida sistêmico e translaminar</t>
        </is>
      </c>
      <c r="K191" s="7" t="inlineStr">
        <is>
          <t>Triazol</t>
        </is>
      </c>
      <c r="L191" s="7" t="inlineStr">
        <is>
          <t>FRAC Grupo 3 (G1 — DMI)</t>
        </is>
      </c>
      <c r="M191" s="7" t="inlineStr">
        <is>
          <t>Inibidores da desmetilação do C14 na biossíntese do ergosterol</t>
        </is>
      </c>
      <c r="N191" s="7" t="inlineStr">
        <is>
          <t>Categoria 5 — Produto Improvável de Causar Dano Agudo</t>
        </is>
      </c>
      <c r="O191" s="7" t="inlineStr">
        <is>
          <t>Azul Intenso</t>
        </is>
      </c>
      <c r="P191" s="7" t="inlineStr">
        <is>
          <t>Classe II — Produto Muito Perigoso ao Meio Ambiente</t>
        </is>
      </c>
      <c r="Q191" s="9" t="n">
        <v>24</v>
      </c>
      <c r="R191" s="7" t="inlineStr">
        <is>
          <t>Terrestre / Aérea (Drones consultar bula)</t>
        </is>
      </c>
      <c r="S191" s="7" t="inlineStr">
        <is>
          <t>Sem antídoto específico; tratamento sintomático</t>
        </is>
      </c>
      <c r="T191" s="7" t="inlineStr">
        <is>
          <t>Rainbow Defensivos</t>
        </is>
      </c>
      <c r="U191" s="10">
        <f>HYPERLINK("https://agrofit.agricultura.gov.br/agrofit_cons/principal_agrofit_cons", "Consulta Oficial AGROFIT/MAPA (Nº 6421)")</f>
        <v/>
      </c>
    </row>
    <row r="192" ht="22" customHeight="1">
      <c r="A192" s="11" t="n">
        <v>187</v>
      </c>
      <c r="B192" s="12" t="inlineStr">
        <is>
          <t>Nº 31522</t>
        </is>
      </c>
      <c r="C192" s="13" t="inlineStr">
        <is>
          <t>METOMY 900 4X5KG (IMP) AS</t>
        </is>
      </c>
      <c r="D192" s="14" t="inlineStr">
        <is>
          <t>METOMY 900</t>
        </is>
      </c>
      <c r="E192" s="13" t="inlineStr">
        <is>
          <t>Produto Formulado Comercial</t>
        </is>
      </c>
      <c r="F192" s="13" t="inlineStr">
        <is>
          <t>Defensivos</t>
        </is>
      </c>
      <c r="G192" s="13" t="inlineStr">
        <is>
          <t>Inseticida</t>
        </is>
      </c>
      <c r="H192" s="13" t="inlineStr">
        <is>
          <t>SP</t>
        </is>
      </c>
      <c r="I192" s="13" t="inlineStr">
        <is>
          <t>Pó Solúvel em Água (SP)</t>
        </is>
      </c>
      <c r="J192" s="13" t="inlineStr">
        <is>
          <t>Inseticida sistêmico de contato e ingestão com efeito ovicida/larvicida</t>
        </is>
      </c>
      <c r="K192" s="13" t="inlineStr">
        <is>
          <t>Metilcarbamato de oxima</t>
        </is>
      </c>
      <c r="L192" s="13" t="inlineStr">
        <is>
          <t>IRAC Grupo 1A</t>
        </is>
      </c>
      <c r="M192" s="13" t="inlineStr">
        <is>
          <t>Inibidores reversíveis da enzima acetilcolinesterase (AChE)</t>
        </is>
      </c>
      <c r="N192" s="13" t="inlineStr">
        <is>
          <t>Categoria 2 — Produto Altamente Tóxico</t>
        </is>
      </c>
      <c r="O192" s="13" t="inlineStr">
        <is>
          <t>Vermelho PMS Red 199 C</t>
        </is>
      </c>
      <c r="P192" s="13" t="inlineStr">
        <is>
          <t>Classe II — Produto Muito Perigoso ao Meio Ambiente</t>
        </is>
      </c>
      <c r="Q192" s="15" t="n">
        <v>24</v>
      </c>
      <c r="R192" s="13" t="inlineStr">
        <is>
          <t>Terrestre / Aérea (Drones consultar bula)</t>
        </is>
      </c>
      <c r="S192" s="13" t="inlineStr">
        <is>
          <t>Sulfato de Atropina (antídoto específico; NÃO administrar oximas/pralidoxima em carbamatos)</t>
        </is>
      </c>
      <c r="T192" s="13" t="inlineStr">
        <is>
          <t>RAINBOW DEFENSIVOS AGRÍCOLAS LTDA.</t>
        </is>
      </c>
      <c r="U192" s="16">
        <f>HYPERLINK("https://agrofit.agricultura.gov.br/agrofit_cons/principal_agrofit_cons", "Consulta Oficial AGROFIT/MAPA (Nº 31522)")</f>
        <v/>
      </c>
    </row>
    <row r="193" ht="22" customHeight="1">
      <c r="A193" s="5" t="n">
        <v>188</v>
      </c>
      <c r="B193" s="6" t="inlineStr">
        <is>
          <t>Nº 28017</t>
        </is>
      </c>
      <c r="C193" s="7" t="inlineStr">
        <is>
          <t>RODOLIA 200 SP 10X1KG (IMP)</t>
        </is>
      </c>
      <c r="D193" s="8" t="inlineStr">
        <is>
          <t>RODOLIA 200 SP</t>
        </is>
      </c>
      <c r="E193" s="7" t="inlineStr">
        <is>
          <t>Produto Formulado Comercial</t>
        </is>
      </c>
      <c r="F193" s="7" t="inlineStr">
        <is>
          <t>Defensivos</t>
        </is>
      </c>
      <c r="G193" s="7" t="inlineStr">
        <is>
          <t>Inseticida</t>
        </is>
      </c>
      <c r="H193" s="7" t="inlineStr">
        <is>
          <t>SP</t>
        </is>
      </c>
      <c r="I193" s="7" t="inlineStr">
        <is>
          <t>Pó Solúvel (SP)</t>
        </is>
      </c>
      <c r="J193" s="7" t="inlineStr">
        <is>
          <t>Inseticida sistêmico de contato, ingestão e ação translaminar</t>
        </is>
      </c>
      <c r="K193" s="7" t="inlineStr">
        <is>
          <t>Neonicotinoide</t>
        </is>
      </c>
      <c r="L193" s="7" t="inlineStr">
        <is>
          <t>IRAC Grupo 4A</t>
        </is>
      </c>
      <c r="M193" s="7" t="inlineStr">
        <is>
          <t>Moduladores competitivos de receptores nicotínicos da acetilcolina (nAChR)</t>
        </is>
      </c>
      <c r="N193" s="7" t="inlineStr">
        <is>
          <t>Categoria 4 — Produto Pouco Tóxico</t>
        </is>
      </c>
      <c r="O193" s="7" t="inlineStr">
        <is>
          <t>Azul PMS Blue 293 C</t>
        </is>
      </c>
      <c r="P193" s="7" t="inlineStr">
        <is>
          <t>Classe II — Produto Muito Perigoso ao Meio Ambiente</t>
        </is>
      </c>
      <c r="Q193" s="9" t="n">
        <v>24</v>
      </c>
      <c r="R193" s="7" t="inlineStr">
        <is>
          <t>Terrestre / Aérea (Drones consultar bula)</t>
        </is>
      </c>
      <c r="S193" s="7" t="inlineStr">
        <is>
          <t>Sem antídoto específico; tratamento sintomático</t>
        </is>
      </c>
      <c r="T193" s="7" t="inlineStr">
        <is>
          <t>ALLIERBRASIL AGRO LTDA.</t>
        </is>
      </c>
      <c r="U193" s="10">
        <f>HYPERLINK("https://www.agrolink.com.br/agrolinkfito/produto/rodolia-200-sp_10484.html", "Bula Oficial Rodolia 200 SP (AllierBrasil)")</f>
        <v/>
      </c>
    </row>
    <row r="194" ht="22" customHeight="1">
      <c r="A194" s="11" t="n">
        <v>189</v>
      </c>
      <c r="B194" s="12" t="inlineStr">
        <is>
          <t>Nº 12222</t>
        </is>
      </c>
      <c r="C194" s="13" t="inlineStr">
        <is>
          <t>SUNGAIN XTRA 4X5KG (IMP)</t>
        </is>
      </c>
      <c r="D194" s="14" t="inlineStr">
        <is>
          <t>SUNGAIN XTRA</t>
        </is>
      </c>
      <c r="E194" s="13" t="inlineStr">
        <is>
          <t>Produto Formulado Comercial</t>
        </is>
      </c>
      <c r="F194" s="13" t="inlineStr">
        <is>
          <t>Defensivos</t>
        </is>
      </c>
      <c r="G194" s="13" t="inlineStr">
        <is>
          <t>Herbicida</t>
        </is>
      </c>
      <c r="H194" s="13" t="inlineStr">
        <is>
          <t>WG</t>
        </is>
      </c>
      <c r="I194" s="13" t="inlineStr">
        <is>
          <t>Grânulos Dispersíveis em Água (WG)</t>
        </is>
      </c>
      <c r="J194" s="13" t="inlineStr">
        <is>
          <t>Herbicida seletivo de contato e residual (pré e pós-emergência inicial)</t>
        </is>
      </c>
      <c r="K194" s="13" t="inlineStr">
        <is>
          <t>N-fenilftalimida</t>
        </is>
      </c>
      <c r="L194" s="13" t="inlineStr">
        <is>
          <t>HRAC Grupo E (14) — Inibidores da PROTOX</t>
        </is>
      </c>
      <c r="M194" s="13" t="inlineStr">
        <is>
          <t>Inibidores da enzima protoporfirinogênio oxidase (PROTOX)</t>
        </is>
      </c>
      <c r="N194" s="13" t="inlineStr">
        <is>
          <t>Categoria 4 / 5 — Pouco Tóxico</t>
        </is>
      </c>
      <c r="O194" s="13" t="inlineStr">
        <is>
          <t>Azul Intenso</t>
        </is>
      </c>
      <c r="P194" s="13" t="inlineStr">
        <is>
          <t>Classe II — Produto Muito Perigoso ao Meio Ambiente</t>
        </is>
      </c>
      <c r="Q194" s="15" t="n">
        <v>24</v>
      </c>
      <c r="R194" s="13" t="inlineStr">
        <is>
          <t>Terrestre / Aérea (Drones consultar bula)</t>
        </is>
      </c>
      <c r="S194" s="13" t="inlineStr">
        <is>
          <t>Sem antídoto específico; tratamento sintomático</t>
        </is>
      </c>
      <c r="T194" s="13" t="inlineStr">
        <is>
          <t>RAINBOW DEFENSIVOS AGRÍCOLAS LTDA.</t>
        </is>
      </c>
      <c r="U194" s="16">
        <f>HYPERLINK("https://www.adapar.pr.gov.br/Pagina/Agrotoxicos-Herbicidas", "Registro Oficial Sungain Xtra 800 WG (MAPA 12222)")</f>
        <v/>
      </c>
    </row>
    <row r="195" ht="22" customHeight="1">
      <c r="A195" s="5" t="n">
        <v>190</v>
      </c>
      <c r="B195" s="6" t="inlineStr">
        <is>
          <t>Nº 19623</t>
        </is>
      </c>
      <c r="C195" s="7" t="inlineStr">
        <is>
          <t>TORBAN PLUS 12X1L (IMP)</t>
        </is>
      </c>
      <c r="D195" s="8" t="inlineStr">
        <is>
          <t>TORBAN PLUS</t>
        </is>
      </c>
      <c r="E195" s="7" t="inlineStr">
        <is>
          <t>Produto Formulado Comercial</t>
        </is>
      </c>
      <c r="F195" s="7" t="inlineStr">
        <is>
          <t>Defensivos</t>
        </is>
      </c>
      <c r="G195" s="7" t="inlineStr">
        <is>
          <t>Herbicida</t>
        </is>
      </c>
      <c r="H195" s="7" t="inlineStr">
        <is>
          <t>SL</t>
        </is>
      </c>
      <c r="I195" s="7" t="inlineStr">
        <is>
          <t>Concentrado Solúvel (SL)</t>
        </is>
      </c>
      <c r="J195" s="7" t="inlineStr">
        <is>
          <t>Herbicida sistêmico seletivo de pós-emergência para folhas largas</t>
        </is>
      </c>
      <c r="K195" s="7" t="inlineStr">
        <is>
          <t>Ácido ariloxialcanoico + Ácido piridinocarboxílico</t>
        </is>
      </c>
      <c r="L195" s="7" t="inlineStr">
        <is>
          <t>HRAC Grupo O (4) — Auxinas Sintéticas</t>
        </is>
      </c>
      <c r="M195" s="7" t="inlineStr">
        <is>
          <t>Mimetizadores de auxina sintética</t>
        </is>
      </c>
      <c r="N195" s="7" t="inlineStr">
        <is>
          <t>Categoria 4 — Produto Pouco Tóxico</t>
        </is>
      </c>
      <c r="O195" s="7" t="inlineStr">
        <is>
          <t>Azul PMS Blue 293 C</t>
        </is>
      </c>
      <c r="P195" s="7" t="inlineStr">
        <is>
          <t>Classe III — Produto Perigoso ao Meio Ambiente</t>
        </is>
      </c>
      <c r="Q195" s="9" t="n">
        <v>24</v>
      </c>
      <c r="R195" s="7" t="inlineStr">
        <is>
          <t>Terrestre / Aérea (Drones consultar bula)</t>
        </is>
      </c>
      <c r="S195" s="7" t="inlineStr">
        <is>
          <t>Sem antídoto específico; alcalinização urinária e suporte sintomático</t>
        </is>
      </c>
      <c r="T195" s="7" t="inlineStr">
        <is>
          <t>SUMITOMO CHEMICAL BRASIL INDÚSTRIA QUÍMICA S.A.</t>
        </is>
      </c>
      <c r="U195" s="10">
        <f>HYPERLINK("https://calculadorarural.com.br/defensivos/produto/torban-plus", "Bula Oficial Torban Plus (MAPA 19623)")</f>
        <v/>
      </c>
    </row>
    <row r="196" ht="22" customHeight="1">
      <c r="A196" s="11" t="n">
        <v>191</v>
      </c>
      <c r="B196" s="12" t="inlineStr">
        <is>
          <t>Nº 19623</t>
        </is>
      </c>
      <c r="C196" s="13" t="inlineStr">
        <is>
          <t>TORBAN PLUS 1X20L (IMP)</t>
        </is>
      </c>
      <c r="D196" s="14" t="inlineStr">
        <is>
          <t>TORBAN PLUS</t>
        </is>
      </c>
      <c r="E196" s="13" t="inlineStr">
        <is>
          <t>Produto Formulado Comercial</t>
        </is>
      </c>
      <c r="F196" s="13" t="inlineStr">
        <is>
          <t>Defensivos</t>
        </is>
      </c>
      <c r="G196" s="13" t="inlineStr">
        <is>
          <t>Herbicida</t>
        </is>
      </c>
      <c r="H196" s="13" t="inlineStr">
        <is>
          <t>SL</t>
        </is>
      </c>
      <c r="I196" s="13" t="inlineStr">
        <is>
          <t>Concentrado Solúvel (SL)</t>
        </is>
      </c>
      <c r="J196" s="13" t="inlineStr">
        <is>
          <t>Herbicida sistêmico seletivo de pós-emergência para folhas largas</t>
        </is>
      </c>
      <c r="K196" s="13" t="inlineStr">
        <is>
          <t>Ácido ariloxialcanoico + Ácido piridinocarboxílico</t>
        </is>
      </c>
      <c r="L196" s="13" t="inlineStr">
        <is>
          <t>HRAC Grupo O (4) — Auxinas Sintéticas</t>
        </is>
      </c>
      <c r="M196" s="13" t="inlineStr">
        <is>
          <t>Mimetizadores de auxina sintética</t>
        </is>
      </c>
      <c r="N196" s="13" t="inlineStr">
        <is>
          <t>Categoria 4 — Produto Pouco Tóxico</t>
        </is>
      </c>
      <c r="O196" s="13" t="inlineStr">
        <is>
          <t>Azul PMS Blue 293 C</t>
        </is>
      </c>
      <c r="P196" s="13" t="inlineStr">
        <is>
          <t>Classe III — Produto Perigoso ao Meio Ambiente</t>
        </is>
      </c>
      <c r="Q196" s="15" t="n">
        <v>24</v>
      </c>
      <c r="R196" s="13" t="inlineStr">
        <is>
          <t>Terrestre / Aérea (Drones consultar bula)</t>
        </is>
      </c>
      <c r="S196" s="13" t="inlineStr">
        <is>
          <t>Sem antídoto específico; alcalinização urinária e suporte sintomático</t>
        </is>
      </c>
      <c r="T196" s="13" t="inlineStr">
        <is>
          <t>SUMITOMO CHEMICAL BRASIL INDÚSTRIA QUÍMICA S.A.</t>
        </is>
      </c>
      <c r="U196" s="16">
        <f>HYPERLINK("https://calculadorarural.com.br/defensivos/produto/torban-plus", "Bula Oficial Torban Plus (MAPA 19623)")</f>
        <v/>
      </c>
    </row>
    <row r="197" ht="22" customHeight="1">
      <c r="A197" s="5" t="n">
        <v>192</v>
      </c>
      <c r="B197" s="6" t="inlineStr">
        <is>
          <t>Nº 31422</t>
        </is>
      </c>
      <c r="C197" s="7" t="inlineStr">
        <is>
          <t>ZARPAL 4X5L (IMP) GY</t>
        </is>
      </c>
      <c r="D197" s="8" t="inlineStr">
        <is>
          <t>ZARPAL</t>
        </is>
      </c>
      <c r="E197" s="7" t="inlineStr">
        <is>
          <t>Produto Formulado Comercial</t>
        </is>
      </c>
      <c r="F197" s="7" t="inlineStr">
        <is>
          <t>Defensivos</t>
        </is>
      </c>
      <c r="G197" s="7" t="inlineStr">
        <is>
          <t>Inseticida</t>
        </is>
      </c>
      <c r="H197" s="7" t="inlineStr">
        <is>
          <t>SC</t>
        </is>
      </c>
      <c r="I197" s="7" t="inlineStr">
        <is>
          <t>Suspensão Concentrada (SC)</t>
        </is>
      </c>
      <c r="J197" s="7" t="inlineStr">
        <is>
          <t>Inseticida e acaricida de contato e ingestão</t>
        </is>
      </c>
      <c r="K197" s="7" t="inlineStr">
        <is>
          <t>Benzoilureia + Piretroide (Tipo I)</t>
        </is>
      </c>
      <c r="L197" s="7" t="inlineStr">
        <is>
          <t>IRAC Grupo 15 + IRAC Grupo 3A</t>
        </is>
      </c>
      <c r="M197" s="7" t="inlineStr">
        <is>
          <t>Inibidores da biossíntese de quitina, Tipo 0; Moduladores de canais de sódio em membranas nervosas</t>
        </is>
      </c>
      <c r="N197" s="7" t="inlineStr">
        <is>
          <t>Categoria 4 — Produto Pouco Tóxico</t>
        </is>
      </c>
      <c r="O197" s="7" t="inlineStr">
        <is>
          <t>Azul PMS Blue 293 C</t>
        </is>
      </c>
      <c r="P197" s="7" t="inlineStr">
        <is>
          <t>Classe II — Produto Muito Perigoso ao Meio Ambiente</t>
        </is>
      </c>
      <c r="Q197" s="9" t="n">
        <v>24</v>
      </c>
      <c r="R197" s="7" t="inlineStr">
        <is>
          <t>Terrestre / Aérea (Drones consultar bula)</t>
        </is>
      </c>
      <c r="S197" s="7" t="inlineStr">
        <is>
          <t>Sem antídoto específico; anti-histamínicos e vitamina E tópica para parestesia</t>
        </is>
      </c>
      <c r="T197" s="7" t="inlineStr">
        <is>
          <t>GLOBACHEM PROTEÇÃO DE CULTIVOS DO BRASIL LTDA.</t>
        </is>
      </c>
      <c r="U197" s="10">
        <f>HYPERLINK("https://globachem.br.com/wp-content/uploads/2023/04/ALON_Bula_Agrofit.pdf", "Bula Oficial Alon/Buffon/Zarpal (Globachem/MAPA 31422)")</f>
        <v/>
      </c>
    </row>
    <row r="198" ht="22" customHeight="1">
      <c r="A198" s="11" t="n">
        <v>193</v>
      </c>
      <c r="B198" s="12" t="inlineStr">
        <is>
          <t>Nº 10317</t>
        </is>
      </c>
      <c r="C198" s="13" t="inlineStr">
        <is>
          <t>XEQUE MATE 1X20L</t>
        </is>
      </c>
      <c r="D198" s="14" t="inlineStr">
        <is>
          <t>XEQUE MATE</t>
        </is>
      </c>
      <c r="E198" s="13" t="inlineStr">
        <is>
          <t>Produto Formulado Comercial</t>
        </is>
      </c>
      <c r="F198" s="13" t="inlineStr">
        <is>
          <t>Defensivos</t>
        </is>
      </c>
      <c r="G198" s="13" t="inlineStr">
        <is>
          <t>Herbicida</t>
        </is>
      </c>
      <c r="H198" s="13" t="inlineStr">
        <is>
          <t>SL</t>
        </is>
      </c>
      <c r="I198" s="13" t="inlineStr">
        <is>
          <t>Concentrado Solúvel (SL)</t>
        </is>
      </c>
      <c r="J198" s="13" t="inlineStr">
        <is>
          <t>Herbicida sistêmico de pós-emergência (seletivo condicional p/ OGM)</t>
        </is>
      </c>
      <c r="K198" s="13" t="inlineStr">
        <is>
          <t>Glicina substituída</t>
        </is>
      </c>
      <c r="L198" s="13" t="inlineStr">
        <is>
          <t>HRAC Grupo G (9) — Inibidores da EPSPs</t>
        </is>
      </c>
      <c r="M198" s="13" t="inlineStr">
        <is>
          <t>Inibidores da enzima EPSPs (Enoil Piruvil Shiquimato Fosfato Sintase)</t>
        </is>
      </c>
      <c r="N198" s="13" t="inlineStr">
        <is>
          <t>Categoria 5 — Produto Improvável de Causar Dano Agudo</t>
        </is>
      </c>
      <c r="O198" s="13" t="inlineStr">
        <is>
          <t>Azul Intenso</t>
        </is>
      </c>
      <c r="P198" s="13" t="inlineStr">
        <is>
          <t>Classe III / IV — Perigoso a Pouco Perigoso ao Meio Ambiente</t>
        </is>
      </c>
      <c r="Q198" s="15" t="n">
        <v>24</v>
      </c>
      <c r="R198" s="13" t="inlineStr">
        <is>
          <t>Terrestre / Aérea (Drones consultar bula)</t>
        </is>
      </c>
      <c r="S198" s="13" t="inlineStr">
        <is>
          <t>Sem antídoto específico (Atropina ineficaz); tratamento sintomático</t>
        </is>
      </c>
      <c r="T198" s="13" t="inlineStr">
        <is>
          <t>ALBAUGH AGRO BRASIL LTDA.</t>
        </is>
      </c>
      <c r="U198" s="16">
        <f>HYPERLINK("https://www.adapar.pr.gov.br/Pagina/Agrotoxicos-Herbicidas", "Registro Oficial Xeque Mate (MAPA 10317)")</f>
        <v/>
      </c>
    </row>
    <row r="199" ht="22" customHeight="1">
      <c r="A199" s="5" t="n">
        <v>194</v>
      </c>
      <c r="B199" s="6" t="inlineStr">
        <is>
          <t>Nº 6313</t>
        </is>
      </c>
      <c r="C199" s="7" t="inlineStr">
        <is>
          <t>MANFIL 800 WP 1X25KG (IMP)</t>
        </is>
      </c>
      <c r="D199" s="8" t="inlineStr">
        <is>
          <t>MANFIL 800 WP</t>
        </is>
      </c>
      <c r="E199" s="7" t="inlineStr">
        <is>
          <t>Produto Formulado Comercial</t>
        </is>
      </c>
      <c r="F199" s="7" t="inlineStr">
        <is>
          <t>Defensivos</t>
        </is>
      </c>
      <c r="G199" s="7" t="inlineStr">
        <is>
          <t>Fungicida</t>
        </is>
      </c>
      <c r="H199" s="7" t="inlineStr">
        <is>
          <t>WP</t>
        </is>
      </c>
      <c r="I199" s="7" t="inlineStr">
        <is>
          <t>Pó Molhável (WP)</t>
        </is>
      </c>
      <c r="J199" s="7" t="inlineStr">
        <is>
          <t>Fungicida e acaricida protetor de contato multissítio</t>
        </is>
      </c>
      <c r="K199" s="7" t="inlineStr">
        <is>
          <t>Alquilenobis(ditiocarbamato)</t>
        </is>
      </c>
      <c r="L199" s="7" t="inlineStr">
        <is>
          <t>FRAC Grupo M03 — Multissítio</t>
        </is>
      </c>
      <c r="M199" s="7" t="inlineStr">
        <is>
          <t>Inibidor multissítio de enzimas contendo grupos sulfidrila e aminoácidos fúngicos</t>
        </is>
      </c>
      <c r="N199" s="7" t="inlineStr">
        <is>
          <t>Categoria 4 — Produto Pouco Tóxico</t>
        </is>
      </c>
      <c r="O199" s="7" t="inlineStr">
        <is>
          <t>Azul PMS Blue 293 C</t>
        </is>
      </c>
      <c r="P199" s="7" t="inlineStr">
        <is>
          <t>Classe II — Produto Muito Perigoso ao Meio Ambiente</t>
        </is>
      </c>
      <c r="Q199" s="9" t="n">
        <v>24</v>
      </c>
      <c r="R199" s="7" t="inlineStr">
        <is>
          <t>Terrestre / Aérea (Drones consultar bula)</t>
        </is>
      </c>
      <c r="S199" s="7" t="inlineStr">
        <is>
          <t>Sem antídoto específico; evitar consumo de álcool (efeito antabuse por ETU)</t>
        </is>
      </c>
      <c r="T199" s="7" t="inlineStr">
        <is>
          <t>INDOFIL INDUSTRIES DO BRASIL LTDA.</t>
        </is>
      </c>
      <c r="U199" s="10">
        <f>HYPERLINK("https://agrofit.agricultura.gov.br/agrofit_cons/principal_agrofit_cons", "Consulta Oficial AGROFIT/MAPA (Nº 6313)")</f>
        <v/>
      </c>
    </row>
    <row r="200" ht="22" customHeight="1">
      <c r="A200" s="11" t="n">
        <v>195</v>
      </c>
      <c r="B200" s="12" t="inlineStr">
        <is>
          <t>Nº 15716</t>
        </is>
      </c>
      <c r="C200" s="13" t="inlineStr">
        <is>
          <t>DIFCOR 250 EC BR 4X5L (IMP)</t>
        </is>
      </c>
      <c r="D200" s="14" t="inlineStr">
        <is>
          <t>DIFCOR 250 EC BR</t>
        </is>
      </c>
      <c r="E200" s="13" t="inlineStr">
        <is>
          <t>Produto Formulado Comercial</t>
        </is>
      </c>
      <c r="F200" s="13" t="inlineStr">
        <is>
          <t>Defensivos</t>
        </is>
      </c>
      <c r="G200" s="13" t="inlineStr">
        <is>
          <t>Fungicida</t>
        </is>
      </c>
      <c r="H200" s="13" t="inlineStr">
        <is>
          <t>EC</t>
        </is>
      </c>
      <c r="I200" s="13" t="inlineStr">
        <is>
          <t>Concentrado Emulsionável (EC)</t>
        </is>
      </c>
      <c r="J200" s="13" t="inlineStr">
        <is>
          <t>Fungicida sistêmico preventivo, curativo e erradicante</t>
        </is>
      </c>
      <c r="K200" s="13" t="inlineStr">
        <is>
          <t>Triazol</t>
        </is>
      </c>
      <c r="L200" s="13" t="inlineStr">
        <is>
          <t>FRAC Grupo 3 (DMI)</t>
        </is>
      </c>
      <c r="M200" s="13" t="inlineStr">
        <is>
          <t>Inibidores da desmetilação de esteróis (C14-desmetilase na síntese de ergosterol)</t>
        </is>
      </c>
      <c r="N200" s="13" t="inlineStr">
        <is>
          <t>Categoria 3 — Produto Moderadamente Tóxico</t>
        </is>
      </c>
      <c r="O200" s="13" t="inlineStr">
        <is>
          <t>Amarelo PMS Yellow C</t>
        </is>
      </c>
      <c r="P200" s="13" t="inlineStr">
        <is>
          <t>Classe II — Produto Muito Perigoso ao Meio Ambiente</t>
        </is>
      </c>
      <c r="Q200" s="15" t="n">
        <v>24</v>
      </c>
      <c r="R200" s="13" t="inlineStr">
        <is>
          <t>Terrestre / Aérea (Drones consultar bula)</t>
        </is>
      </c>
      <c r="S200" s="13" t="inlineStr">
        <is>
          <t>Sem antídoto específico; tratamento sintomático</t>
        </is>
      </c>
      <c r="T200" s="13" t="inlineStr">
        <is>
          <t>GLOBACHEM PROTEÇÃO DE CULTIVOS DO BRASIL LTDA.</t>
        </is>
      </c>
      <c r="U200" s="16">
        <f>HYPERLINK("https://agrofit.agricultura.gov.br/agrofit_cons/principal_agrofit_cons", "Consulta Oficial AGROFIT/MAPA (Nº 15716)")</f>
        <v/>
      </c>
    </row>
    <row r="201" ht="22" customHeight="1">
      <c r="A201" s="5" t="n">
        <v>196</v>
      </c>
      <c r="B201" s="6" t="inlineStr">
        <is>
          <t>SIPEAGRO (UF-XXXXX)</t>
        </is>
      </c>
      <c r="C201" s="7" t="inlineStr">
        <is>
          <t>BIOMAX PREMIUM LIQ SOJA 4X1,8L</t>
        </is>
      </c>
      <c r="D201" s="8" t="inlineStr">
        <is>
          <t>BIOMAX PREMIUM LIQ SOJA 4X1,8L</t>
        </is>
      </c>
      <c r="E201" s="7" t="inlineStr">
        <is>
          <t>Inoculante / Biológico</t>
        </is>
      </c>
      <c r="F201" s="7" t="inlineStr">
        <is>
          <t>Inoculantes e Biológicos</t>
        </is>
      </c>
      <c r="G201" s="7" t="inlineStr">
        <is>
          <t>Inoculante Fixador de Nitrogênio</t>
        </is>
      </c>
      <c r="H201" s="7" t="inlineStr">
        <is>
          <t>SC</t>
        </is>
      </c>
      <c r="I201" s="7" t="inlineStr">
        <is>
          <t>Suspensão Concentrada (SC)</t>
        </is>
      </c>
      <c r="J201" s="7" t="inlineStr">
        <is>
          <t>Tratamento de sementes, sulco de plantio ou pulverização foliar</t>
        </is>
      </c>
      <c r="K201" s="7" t="inlineStr">
        <is>
          <t>Inoculante / Agente Biológico de Controle</t>
        </is>
      </c>
      <c r="L201" s="7" t="inlineStr">
        <is>
          <t>Bioinsumo Agrícola</t>
        </is>
      </c>
      <c r="M201" s="7" t="inlineStr">
        <is>
          <t>Simbiose radicular, antagonismo biológico ou controle entomopatogênico</t>
        </is>
      </c>
      <c r="N201" s="7" t="inlineStr">
        <is>
          <t>Categoria 5 / Isento (Bioinsumo)</t>
        </is>
      </c>
      <c r="O201" s="7" t="inlineStr">
        <is>
          <t>Azul Intenso</t>
        </is>
      </c>
      <c r="P201" s="7" t="inlineStr">
        <is>
          <t>Classe IV — Produto Pouco Perigoso ao Meio Ambiente</t>
        </is>
      </c>
      <c r="Q201" s="9" t="n">
        <v>0</v>
      </c>
      <c r="R201" s="7" t="inlineStr">
        <is>
          <t>Aplicação Dirigida / TS / Solo</t>
        </is>
      </c>
      <c r="S201" s="7" t="inlineStr">
        <is>
          <t>Tratamento sintomático</t>
        </is>
      </c>
      <c r="T201" s="7" t="inlineStr">
        <is>
          <t>Estabelecimento Produtor SIPEAGRO/MAPA</t>
        </is>
      </c>
      <c r="U201" s="10">
        <f>HYPERLINK("https://www.gov.br/agricultura/pt-br/assuntos/insumos-agropecuarios/insumos-agricolas/fertilizantes", "Portal SIPEAGRO / MAPA — Fertilizantes e Bioinsumos")</f>
        <v/>
      </c>
    </row>
    <row r="202" ht="22" customHeight="1">
      <c r="A202" s="11" t="n">
        <v>197</v>
      </c>
      <c r="B202" s="12" t="inlineStr">
        <is>
          <t>Nº 12812</t>
        </is>
      </c>
      <c r="C202" s="13" t="inlineStr">
        <is>
          <t>INSIDE FS 4X5L</t>
        </is>
      </c>
      <c r="D202" s="14" t="inlineStr">
        <is>
          <t>INSIDE FS</t>
        </is>
      </c>
      <c r="E202" s="13" t="inlineStr">
        <is>
          <t>Produto Formulado Comercial</t>
        </is>
      </c>
      <c r="F202" s="13" t="inlineStr">
        <is>
          <t>Defensivos</t>
        </is>
      </c>
      <c r="G202" s="13" t="inlineStr">
        <is>
          <t>Inseticida</t>
        </is>
      </c>
      <c r="H202" s="13" t="inlineStr">
        <is>
          <t>FS</t>
        </is>
      </c>
      <c r="I202" s="13" t="inlineStr">
        <is>
          <t>Suspensão Concentrada para Tratamento de Sementes (FS)</t>
        </is>
      </c>
      <c r="J202" s="13" t="inlineStr">
        <is>
          <t>Inseticida/acaricida de contato e ingestão</t>
        </is>
      </c>
      <c r="K202" s="13" t="inlineStr">
        <is>
          <t>Neonicotinoide</t>
        </is>
      </c>
      <c r="L202" s="13" t="inlineStr">
        <is>
          <t>IRAC Grupo 4A</t>
        </is>
      </c>
      <c r="M202" s="13" t="inlineStr">
        <is>
          <t>Moduladores competitivos dos receptores nicotínicos da acetilcolina (nAChR)</t>
        </is>
      </c>
      <c r="N202" s="13" t="inlineStr">
        <is>
          <t>Categoria 3 / 4 — Moderadamente a Pouco Tóxico</t>
        </is>
      </c>
      <c r="O202" s="13" t="inlineStr">
        <is>
          <t>Amarelo / Azul</t>
        </is>
      </c>
      <c r="P202" s="13" t="inlineStr">
        <is>
          <t>Classe II — Produto Muito Perigoso ao Meio Ambiente</t>
        </is>
      </c>
      <c r="Q202" s="15" t="n">
        <v>0</v>
      </c>
      <c r="R202" s="13" t="inlineStr">
        <is>
          <t>Aplicação Dirigida / TS / Solo</t>
        </is>
      </c>
      <c r="S202" s="13" t="inlineStr">
        <is>
          <t>Tratamento sintomático conforme grupo químico na bula</t>
        </is>
      </c>
      <c r="T202" s="13" t="inlineStr">
        <is>
          <t>BAYER S.A. / SUMITOMO CHEMICAL</t>
        </is>
      </c>
      <c r="U202" s="16">
        <f>HYPERLINK("https://www.adapar.pr.gov.br/system/files/publico/Agrotoxicos/lista.pdf", "Registro Oficial Inside FS 600 (MAPA 12812)")</f>
        <v/>
      </c>
    </row>
    <row r="203" ht="22" customHeight="1">
      <c r="A203" s="5" t="n">
        <v>198</v>
      </c>
      <c r="B203" s="6" t="inlineStr">
        <is>
          <t>Nº 22417</t>
        </is>
      </c>
      <c r="C203" s="7" t="inlineStr">
        <is>
          <t>SUMYZIN 500 SC 4X5L</t>
        </is>
      </c>
      <c r="D203" s="8" t="inlineStr">
        <is>
          <t>SUMYZIN</t>
        </is>
      </c>
      <c r="E203" s="7" t="inlineStr">
        <is>
          <t>Produto Formulado Comercial</t>
        </is>
      </c>
      <c r="F203" s="7" t="inlineStr">
        <is>
          <t>Defensivos</t>
        </is>
      </c>
      <c r="G203" s="7" t="inlineStr">
        <is>
          <t>Herbicida</t>
        </is>
      </c>
      <c r="H203" s="7" t="inlineStr">
        <is>
          <t>SC</t>
        </is>
      </c>
      <c r="I203" s="7" t="inlineStr">
        <is>
          <t>Suspensão Concentrada (SC)</t>
        </is>
      </c>
      <c r="J203" s="7" t="inlineStr">
        <is>
          <t>Herbicida seletivo de contato e residual (pré e pós-emergência inicial)</t>
        </is>
      </c>
      <c r="K203" s="7" t="inlineStr">
        <is>
          <t>N-fenilftalimida</t>
        </is>
      </c>
      <c r="L203" s="7" t="inlineStr">
        <is>
          <t>HRAC Grupo E (14) — Inibidores da PROTOX</t>
        </is>
      </c>
      <c r="M203" s="7" t="inlineStr">
        <is>
          <t>Inibidores da enzima protoporfirinogênio oxidase (PROTOX)</t>
        </is>
      </c>
      <c r="N203" s="7" t="inlineStr">
        <is>
          <t>Categoria 4 / 5 — Pouco Tóxico</t>
        </is>
      </c>
      <c r="O203" s="7" t="inlineStr">
        <is>
          <t>Azul Intenso</t>
        </is>
      </c>
      <c r="P203" s="7" t="inlineStr">
        <is>
          <t>Classe II — Produto Muito Perigoso ao Meio Ambiente</t>
        </is>
      </c>
      <c r="Q203" s="9" t="n">
        <v>24</v>
      </c>
      <c r="R203" s="7" t="inlineStr">
        <is>
          <t>Terrestre / Aérea (Drones consultar bula)</t>
        </is>
      </c>
      <c r="S203" s="7" t="inlineStr">
        <is>
          <t>Sem antídoto específico; tratamento sintomático</t>
        </is>
      </c>
      <c r="T203" s="7" t="inlineStr">
        <is>
          <t>SUMITOMO CHEMICAL BRASIL INDÚSTRIA QUÍMICA S.A.</t>
        </is>
      </c>
      <c r="U203" s="10">
        <f>HYPERLINK("https://revistacultivar.com.br/pesticida/sumyzin-500-sc-ninja-andromeda-ostent-sargent-tarija", "Bula Oficial Sumyzin 500 SC (Sumitomo - MAPA 22417)")</f>
        <v/>
      </c>
    </row>
    <row r="204" ht="22" customHeight="1">
      <c r="A204" s="11" t="n">
        <v>199</v>
      </c>
      <c r="B204" s="12" t="inlineStr">
        <is>
          <t>Nº 28520</t>
        </is>
      </c>
      <c r="C204" s="13" t="inlineStr">
        <is>
          <t>SENHA 720 WG 1X20KG (IMP) GG</t>
        </is>
      </c>
      <c r="D204" s="14" t="inlineStr">
        <is>
          <t>SENHA 720 WG</t>
        </is>
      </c>
      <c r="E204" s="13" t="inlineStr">
        <is>
          <t>Produto Formulado Comercial</t>
        </is>
      </c>
      <c r="F204" s="13" t="inlineStr">
        <is>
          <t>Defensivos</t>
        </is>
      </c>
      <c r="G204" s="13" t="inlineStr">
        <is>
          <t>Herbicida</t>
        </is>
      </c>
      <c r="H204" s="13" t="inlineStr">
        <is>
          <t>WG</t>
        </is>
      </c>
      <c r="I204" s="13" t="inlineStr">
        <is>
          <t>Grânulos Dispersíveis em Água (WG)</t>
        </is>
      </c>
      <c r="J204" s="13" t="inlineStr">
        <is>
          <t>Herbicida sistêmico de pós-emergência (seletivo condicional p/ OGM)</t>
        </is>
      </c>
      <c r="K204" s="13" t="inlineStr">
        <is>
          <t>Glicina substituída</t>
        </is>
      </c>
      <c r="L204" s="13" t="inlineStr">
        <is>
          <t>HRAC Grupo G (EPSPs)</t>
        </is>
      </c>
      <c r="M204" s="13" t="inlineStr">
        <is>
          <t>Inibidores da enzima EPSPs (Enoil Piruvil Shiquimato Fosfato Sintase)</t>
        </is>
      </c>
      <c r="N204" s="13" t="inlineStr">
        <is>
          <t>Categoria 5 — Produto Improvável de Causar Dano Agudo</t>
        </is>
      </c>
      <c r="O204" s="13" t="inlineStr">
        <is>
          <t>Azul Intenso</t>
        </is>
      </c>
      <c r="P204" s="13" t="inlineStr">
        <is>
          <t>Classe III — Produto Perigoso ao Meio Ambiente</t>
        </is>
      </c>
      <c r="Q204" s="15" t="n">
        <v>24</v>
      </c>
      <c r="R204" s="13" t="inlineStr">
        <is>
          <t>Terrestre / Aérea (Drones consultar bula)</t>
        </is>
      </c>
      <c r="S204" s="13" t="inlineStr">
        <is>
          <t>Sem antídoto específico (Atropina ineficaz); tratamento sintomático</t>
        </is>
      </c>
      <c r="T204" s="13" t="inlineStr">
        <is>
          <t>RAINBOW DEFENSIVOS AGRÍCOLAS LTDA.</t>
        </is>
      </c>
      <c r="U204" s="16">
        <f>HYPERLINK("https://agrofit.agricultura.gov.br/agrofit_cons/principal_agrofit_cons", "Consulta Oficial AGROFIT/MAPA (Nº 28520)")</f>
        <v/>
      </c>
    </row>
    <row r="205" ht="22" customHeight="1">
      <c r="A205" s="5" t="n">
        <v>200</v>
      </c>
      <c r="B205" s="6" t="inlineStr">
        <is>
          <t>SIPEAGRO (UF-XXXXX)</t>
        </is>
      </c>
      <c r="C205" s="7" t="inlineStr">
        <is>
          <t>AGCN MG 16 4X5KG</t>
        </is>
      </c>
      <c r="D205" s="8" t="inlineStr">
        <is>
          <t>AGCN MG 16</t>
        </is>
      </c>
      <c r="E205" s="7" t="inlineStr">
        <is>
          <t>Fertilizante Mineral / Organomineral</t>
        </is>
      </c>
      <c r="F205" s="7" t="inlineStr">
        <is>
          <t>Fertilizantes</t>
        </is>
      </c>
      <c r="G205" s="7" t="inlineStr">
        <is>
          <t>Fertilizante Foliar / Micronutrientes</t>
        </is>
      </c>
      <c r="H205" s="7" t="inlineStr">
        <is>
          <t>Granulado</t>
        </is>
      </c>
      <c r="I205" s="7" t="inlineStr">
        <is>
          <t>Formulação Padrão (Granulado / Solúvel / Suspensão)</t>
        </is>
      </c>
      <c r="J205" s="7" t="inlineStr">
        <is>
          <t>Aplicação via solo, fertirrigação ou adubação foliar</t>
        </is>
      </c>
      <c r="K205" s="7" t="inlineStr">
        <is>
          <t>Fertilizante Mineral / Organomineral (Lei nº 6.894/1980)</t>
        </is>
      </c>
      <c r="L205" s="7" t="inlineStr">
        <is>
          <t>Nutrição Vegetal SIPEAGRO</t>
        </is>
      </c>
      <c r="M205" s="7" t="inlineStr">
        <is>
          <t>Fornecimento de macro e micronutrientes essenciais ao metabolismo vegetal</t>
        </is>
      </c>
      <c r="N205" s="7" t="inlineStr">
        <is>
          <t>Isento ANVISA (Produto Fertilizante Registrado no SIPEAGRO/MAPA)</t>
        </is>
      </c>
      <c r="O205" s="7" t="inlineStr">
        <is>
          <t>Não Aplicável (Fertilizante)</t>
        </is>
      </c>
      <c r="P205" s="7" t="inlineStr">
        <is>
          <t>Baixo Potencial Poluidor (Uso conforme recomendação agronômica)</t>
        </is>
      </c>
      <c r="Q205" s="9" t="n">
        <v>0</v>
      </c>
      <c r="R205" s="7" t="inlineStr">
        <is>
          <t>Aplicação Dirigida / TS / Solo</t>
        </is>
      </c>
      <c r="S205" s="7" t="inlineStr">
        <is>
          <t>Tratamento sintomático em caso de ingestão acidental</t>
        </is>
      </c>
      <c r="T205" s="7" t="inlineStr">
        <is>
          <t>Estabelecimento Produtor SIPEAGRO/MAPA</t>
        </is>
      </c>
      <c r="U205" s="10">
        <f>HYPERLINK("https://www.gov.br/agricultura/pt-br/assuntos/insumos-agropecuarios/insumos-agricolas/fertilizantes", "Portal SIPEAGRO / MAPA — Fertilizantes e Bioinsumos")</f>
        <v/>
      </c>
    </row>
    <row r="206" ht="22" customHeight="1">
      <c r="A206" s="11" t="n">
        <v>201</v>
      </c>
      <c r="B206" s="12" t="inlineStr">
        <is>
          <t>Nº 25119</t>
        </is>
      </c>
      <c r="C206" s="13" t="inlineStr">
        <is>
          <t>GLIFOSATO 72WG ALAMOS 1X20KG (IMP)</t>
        </is>
      </c>
      <c r="D206" s="14" t="inlineStr">
        <is>
          <t>GLIFOSATO 72WG ALAMOS</t>
        </is>
      </c>
      <c r="E206" s="13" t="inlineStr">
        <is>
          <t>Produto Formulado Comercial</t>
        </is>
      </c>
      <c r="F206" s="13" t="inlineStr">
        <is>
          <t>Defensivos</t>
        </is>
      </c>
      <c r="G206" s="13" t="inlineStr">
        <is>
          <t>Herbicida</t>
        </is>
      </c>
      <c r="H206" s="13" t="inlineStr">
        <is>
          <t>WG</t>
        </is>
      </c>
      <c r="I206" s="13" t="inlineStr">
        <is>
          <t>Grânulos Dispersíveis em Água (WG)</t>
        </is>
      </c>
      <c r="J206" s="13" t="inlineStr">
        <is>
          <t>Herbicida sistêmico de pós-emergência (seletivo condicional p/ OGM)</t>
        </is>
      </c>
      <c r="K206" s="13" t="inlineStr">
        <is>
          <t>Glicina substituída</t>
        </is>
      </c>
      <c r="L206" s="13" t="inlineStr">
        <is>
          <t>HRAC Grupo G (EPSPs)</t>
        </is>
      </c>
      <c r="M206" s="13" t="inlineStr">
        <is>
          <t>Inibidores da enzima EPSPs (Enoil Piruvil Shiquimato Fosfato Sintase)</t>
        </is>
      </c>
      <c r="N206" s="13" t="inlineStr">
        <is>
          <t>Categoria 5 — Produto Improvável de Causar Dano Agudo</t>
        </is>
      </c>
      <c r="O206" s="13" t="inlineStr">
        <is>
          <t>Azul Intenso</t>
        </is>
      </c>
      <c r="P206" s="13" t="inlineStr">
        <is>
          <t>Classe III / IV — Perigoso a Pouco Perigoso ao Meio Ambiente</t>
        </is>
      </c>
      <c r="Q206" s="15" t="n">
        <v>24</v>
      </c>
      <c r="R206" s="13" t="inlineStr">
        <is>
          <t>Terrestre / Aérea (Drones consultar bula)</t>
        </is>
      </c>
      <c r="S206" s="13" t="inlineStr">
        <is>
          <t>Sem antídoto específico (Atropina ineficaz); tratamento sintomático</t>
        </is>
      </c>
      <c r="T206" s="13" t="inlineStr">
        <is>
          <t>ALAMOS AGROQUÍMICA LTDA. / PERTERRA INSUMOS AGROPECUÁRIOS S.A.</t>
        </is>
      </c>
      <c r="U206" s="16">
        <f>HYPERLINK("https://www.adapar.pr.gov.br/Pagina/Agrotoxicos-Herbicidas", "Registro Oficial Glifosato 72WG Alamos (MAPA 25119)")</f>
        <v/>
      </c>
    </row>
    <row r="207" ht="22" customHeight="1">
      <c r="A207" s="5" t="n">
        <v>202</v>
      </c>
      <c r="B207" s="6" t="inlineStr">
        <is>
          <t>Nº 28923</t>
        </is>
      </c>
      <c r="C207" s="7" t="inlineStr">
        <is>
          <t>PREVENTIS 1X10L (IMP)</t>
        </is>
      </c>
      <c r="D207" s="8" t="inlineStr">
        <is>
          <t>PREVENTIS</t>
        </is>
      </c>
      <c r="E207" s="7" t="inlineStr">
        <is>
          <t>Produto Formulado Comercial</t>
        </is>
      </c>
      <c r="F207" s="7" t="inlineStr">
        <is>
          <t>Defensivos</t>
        </is>
      </c>
      <c r="G207" s="7" t="inlineStr">
        <is>
          <t>Fungicida</t>
        </is>
      </c>
      <c r="H207" s="7" t="inlineStr">
        <is>
          <t>WP</t>
        </is>
      </c>
      <c r="I207" s="7" t="inlineStr">
        <is>
          <t>Pó Molhável (WP)</t>
        </is>
      </c>
      <c r="J207" s="7" t="inlineStr">
        <is>
          <t>Fungicida e acaricida protetor de contato multissítio</t>
        </is>
      </c>
      <c r="K207" s="7" t="inlineStr">
        <is>
          <t>Alquilenobis(ditiocarbamato)</t>
        </is>
      </c>
      <c r="L207" s="7" t="inlineStr">
        <is>
          <t>FRAC Grupo M03 — Multissítio</t>
        </is>
      </c>
      <c r="M207" s="7" t="inlineStr">
        <is>
          <t>Inibidor multissítio de enzimas contendo grupos sulfidrila e aminoácidos fúngicos</t>
        </is>
      </c>
      <c r="N207" s="7" t="inlineStr">
        <is>
          <t>Categoria 4 / 5 — Pouco Tóxico a Improvável Dano Agudo</t>
        </is>
      </c>
      <c r="O207" s="7" t="inlineStr">
        <is>
          <t>Azul Intenso</t>
        </is>
      </c>
      <c r="P207" s="7" t="inlineStr">
        <is>
          <t>Classe II — Produto Muito Perigoso ao Meio Ambiente</t>
        </is>
      </c>
      <c r="Q207" s="9" t="n">
        <v>24</v>
      </c>
      <c r="R207" s="7" t="inlineStr">
        <is>
          <t>Terrestre / Aérea (Drones consultar bula)</t>
        </is>
      </c>
      <c r="S207" s="7" t="inlineStr">
        <is>
          <t>Sem antídoto específico; evitar consumo de álcool (efeito antabuse por ETU)</t>
        </is>
      </c>
      <c r="T207" s="7" t="inlineStr">
        <is>
          <t>UPL DO BRASIL INDÚSTRIA E COMÉRCIO DE INSUMOS AGROPECUÁRIOS S.A.</t>
        </is>
      </c>
      <c r="U207" s="10">
        <f>HYPERLINK("https://www.adapar.pr.gov.br/Pagina/Agrotoxicos-Fungicidas", "Registro Oficial Preventis (MAPA 28923)")</f>
        <v/>
      </c>
    </row>
    <row r="208" ht="22" customHeight="1">
      <c r="A208" s="11" t="n">
        <v>203</v>
      </c>
      <c r="B208" s="12" t="inlineStr">
        <is>
          <t>SIPEAGRO (UF-XXXXX)</t>
        </is>
      </c>
      <c r="C208" s="13" t="inlineStr">
        <is>
          <t>F.M.A. BR B6,0 CU1,0 MN7,5 ZN1,0 1000KG</t>
        </is>
      </c>
      <c r="D208" s="14" t="inlineStr">
        <is>
          <t>F.M.A. BR B6,0 CU1,0 MN7,5 ZN1,0</t>
        </is>
      </c>
      <c r="E208" s="13" t="inlineStr">
        <is>
          <t>Fertilizante Mineral / Organomineral</t>
        </is>
      </c>
      <c r="F208" s="13" t="inlineStr">
        <is>
          <t>Fertilizantes</t>
        </is>
      </c>
      <c r="G208" s="13" t="inlineStr">
        <is>
          <t>Fertilizante Químico Inorgânico (Matéria-Prima Cap. 28/38)</t>
        </is>
      </c>
      <c r="H208" s="13" t="inlineStr">
        <is>
          <t>Granulado</t>
        </is>
      </c>
      <c r="I208" s="13" t="inlineStr">
        <is>
          <t>Formulação Padrão (Granulado / Solúvel / Suspensão)</t>
        </is>
      </c>
      <c r="J208" s="13" t="inlineStr">
        <is>
          <t>Aplicação via solo, fertirrigação ou adubação foliar</t>
        </is>
      </c>
      <c r="K208" s="13" t="inlineStr">
        <is>
          <t>Fertilizante Mineral / Organomineral (Lei nº 6.894/1980)</t>
        </is>
      </c>
      <c r="L208" s="13" t="inlineStr">
        <is>
          <t>Nutrição Vegetal SIPEAGRO</t>
        </is>
      </c>
      <c r="M208" s="13" t="inlineStr">
        <is>
          <t>Fornecimento de macro e micronutrientes essenciais ao metabolismo vegetal</t>
        </is>
      </c>
      <c r="N208" s="13" t="inlineStr">
        <is>
          <t>Isento ANVISA (Produto Fertilizante Registrado no SIPEAGRO/MAPA)</t>
        </is>
      </c>
      <c r="O208" s="13" t="inlineStr">
        <is>
          <t>Não Aplicável (Fertilizante)</t>
        </is>
      </c>
      <c r="P208" s="13" t="inlineStr">
        <is>
          <t>Baixo Potencial Poluidor (Uso conforme recomendação agronômica)</t>
        </is>
      </c>
      <c r="Q208" s="15" t="n">
        <v>0</v>
      </c>
      <c r="R208" s="13" t="inlineStr">
        <is>
          <t>Aplicação Dirigida / TS / Solo</t>
        </is>
      </c>
      <c r="S208" s="13" t="inlineStr">
        <is>
          <t>Tratamento sintomático em caso de ingestão acidental</t>
        </is>
      </c>
      <c r="T208" s="13" t="inlineStr">
        <is>
          <t>Estabelecimento Produtor SIPEAGRO/MAPA</t>
        </is>
      </c>
      <c r="U208" s="16">
        <f>HYPERLINK("https://www.gov.br/agricultura/pt-br/assuntos/insumos-agropecuarios/insumos-agricolas/fertilizantes", "Portal SIPEAGRO / MAPA — Fertilizantes e Bioinsumos")</f>
        <v/>
      </c>
    </row>
    <row r="209" ht="22" customHeight="1">
      <c r="A209" s="5" t="n">
        <v>204</v>
      </c>
      <c r="B209" s="6" t="inlineStr">
        <is>
          <t>Nº 15407</t>
        </is>
      </c>
      <c r="C209" s="7" t="inlineStr">
        <is>
          <t>SMITE 10X1L</t>
        </is>
      </c>
      <c r="D209" s="8" t="inlineStr">
        <is>
          <t>SMITE</t>
        </is>
      </c>
      <c r="E209" s="7" t="inlineStr">
        <is>
          <t>Produto Formulado Comercial</t>
        </is>
      </c>
      <c r="F209" s="7" t="inlineStr">
        <is>
          <t>Defensivos</t>
        </is>
      </c>
      <c r="G209" s="7" t="inlineStr">
        <is>
          <t>Acaricida</t>
        </is>
      </c>
      <c r="H209" s="7" t="inlineStr">
        <is>
          <t>SC</t>
        </is>
      </c>
      <c r="I209" s="7" t="inlineStr">
        <is>
          <t>Suspensão Concentrada (SC)</t>
        </is>
      </c>
      <c r="J209" s="7" t="inlineStr">
        <is>
          <t>Inseticida/acaricida de contato e ingestão</t>
        </is>
      </c>
      <c r="K209" s="7" t="inlineStr">
        <is>
          <t>Difeniloxazolina</t>
        </is>
      </c>
      <c r="L209" s="7" t="inlineStr">
        <is>
          <t>IRAC Grupo 10B</t>
        </is>
      </c>
      <c r="M209" s="7" t="inlineStr">
        <is>
          <t>Inibidores do crescimento de ácaros (inibição da síntese de quitina)</t>
        </is>
      </c>
      <c r="N209" s="7" t="inlineStr">
        <is>
          <t>Categoria 3 / 4 — Moderadamente a Pouco Tóxico</t>
        </is>
      </c>
      <c r="O209" s="7" t="inlineStr">
        <is>
          <t>Amarelo / Azul</t>
        </is>
      </c>
      <c r="P209" s="7" t="inlineStr">
        <is>
          <t>Classe II — Produto Muito Perigoso ao Meio Ambiente</t>
        </is>
      </c>
      <c r="Q209" s="9" t="n">
        <v>24</v>
      </c>
      <c r="R209" s="7" t="inlineStr">
        <is>
          <t>Terrestre / Aérea (Drones consultar bula)</t>
        </is>
      </c>
      <c r="S209" s="7" t="inlineStr">
        <is>
          <t>Tratamento sintomático conforme grupo químico na bula</t>
        </is>
      </c>
      <c r="T209" s="7" t="inlineStr">
        <is>
          <t>SUMITOMO CHEMICAL DO BRASIL REPRESENTAÇÕES LTDA.</t>
        </is>
      </c>
      <c r="U209" s="10">
        <f>HYPERLINK("https://www.agrolink.com.br/agrolinkfito/produto/smite_7712.html", "Bula Oficial Smite 110 SC (Sumitomo - MAPA 15407)")</f>
        <v/>
      </c>
    </row>
    <row r="210" ht="22" customHeight="1">
      <c r="A210" s="11" t="n">
        <v>205</v>
      </c>
      <c r="B210" s="12" t="inlineStr">
        <is>
          <t>Nº 9420</t>
        </is>
      </c>
      <c r="C210" s="13" t="inlineStr">
        <is>
          <t>ENSIS-TURBO 1X20L (IMP) GG</t>
        </is>
      </c>
      <c r="D210" s="14" t="inlineStr">
        <is>
          <t>ENSIS-TURBO</t>
        </is>
      </c>
      <c r="E210" s="13" t="inlineStr">
        <is>
          <t>Produto Formulado Comercial</t>
        </is>
      </c>
      <c r="F210" s="13" t="inlineStr">
        <is>
          <t>Defensivos</t>
        </is>
      </c>
      <c r="G210" s="13" t="inlineStr">
        <is>
          <t>Fungicida</t>
        </is>
      </c>
      <c r="H210" s="13" t="inlineStr">
        <is>
          <t>SC</t>
        </is>
      </c>
      <c r="I210" s="13" t="inlineStr">
        <is>
          <t>Suspensão Concentrada (SC)</t>
        </is>
      </c>
      <c r="J210" s="13" t="inlineStr">
        <is>
          <t>Fungicida sistêmico preventivo e curativo</t>
        </is>
      </c>
      <c r="K210" s="13" t="inlineStr">
        <is>
          <t>Triazol</t>
        </is>
      </c>
      <c r="L210" s="13" t="inlineStr">
        <is>
          <t>FRAC Grupo 3 (DMI)</t>
        </is>
      </c>
      <c r="M210" s="13" t="inlineStr">
        <is>
          <t>Inibidores da desmetilação de C14 na biossíntese de ergosterol</t>
        </is>
      </c>
      <c r="N210" s="13" t="inlineStr">
        <is>
          <t>Categoria 4 — Produto Pouco Tóxico</t>
        </is>
      </c>
      <c r="O210" s="13" t="inlineStr">
        <is>
          <t>Azul PMS Blue 293 C</t>
        </is>
      </c>
      <c r="P210" s="13" t="inlineStr">
        <is>
          <t>Classe II — Produto Muito Perigoso ao Meio Ambiente</t>
        </is>
      </c>
      <c r="Q210" s="15" t="n">
        <v>24</v>
      </c>
      <c r="R210" s="13" t="inlineStr">
        <is>
          <t>Terrestre / Aérea (Drones consultar bula)</t>
        </is>
      </c>
      <c r="S210" s="13" t="inlineStr">
        <is>
          <t>Sem antídoto específico; tratamento sintomático</t>
        </is>
      </c>
      <c r="T210" s="13" t="inlineStr">
        <is>
          <t>Adama / Rainbow</t>
        </is>
      </c>
      <c r="U210" s="16">
        <f>HYPERLINK("https://agrofit.agricultura.gov.br/agrofit_cons/principal_agrofit_cons", "Consulta Oficial AGROFIT/MAPA (Nº 9420)")</f>
        <v/>
      </c>
    </row>
    <row r="211" ht="22" customHeight="1">
      <c r="A211" s="5" t="n">
        <v>206</v>
      </c>
      <c r="B211" s="6" t="inlineStr">
        <is>
          <t>Nº 27323</t>
        </is>
      </c>
      <c r="C211" s="7" t="inlineStr">
        <is>
          <t>ACEGOL 1X20KG (IMP) AW</t>
        </is>
      </c>
      <c r="D211" s="8" t="inlineStr">
        <is>
          <t>ACEGOL</t>
        </is>
      </c>
      <c r="E211" s="7" t="inlineStr">
        <is>
          <t>Produto Formulado Comercial</t>
        </is>
      </c>
      <c r="F211" s="7" t="inlineStr">
        <is>
          <t>Defensivos</t>
        </is>
      </c>
      <c r="G211" s="7" t="inlineStr">
        <is>
          <t>Inseticida</t>
        </is>
      </c>
      <c r="H211" s="7" t="inlineStr">
        <is>
          <t>WG</t>
        </is>
      </c>
      <c r="I211" s="7" t="inlineStr">
        <is>
          <t>WG - Granulado Dispersível</t>
        </is>
      </c>
      <c r="J211" s="7" t="inlineStr">
        <is>
          <t>Inseticida sistêmico de contato, ingestão e ação translaminar</t>
        </is>
      </c>
      <c r="K211" s="7" t="inlineStr">
        <is>
          <t>Neonicotinoide</t>
        </is>
      </c>
      <c r="L211" s="7" t="inlineStr">
        <is>
          <t>IRAC Grupo 4A</t>
        </is>
      </c>
      <c r="M211" s="7" t="inlineStr">
        <is>
          <t>Moduladores competitivos de receptores nicotínicos da acetilcolina (nAChR)</t>
        </is>
      </c>
      <c r="N211" s="7" t="inlineStr">
        <is>
          <t>Categoria 4: Produto Pouco Tóxico</t>
        </is>
      </c>
      <c r="O211" s="7" t="inlineStr">
        <is>
          <t>Azul</t>
        </is>
      </c>
      <c r="P211" s="7" t="inlineStr">
        <is>
          <t>Classe II — Produto Muito Perigoso ao Meio Ambiente</t>
        </is>
      </c>
      <c r="Q211" s="9" t="n">
        <v>24</v>
      </c>
      <c r="R211" s="7" t="inlineStr">
        <is>
          <t>Terrestre / Aérea (Drones consultar bula)</t>
        </is>
      </c>
      <c r="S211" s="7" t="inlineStr">
        <is>
          <t>Sem antídoto específico; tratamento sintomático</t>
        </is>
      </c>
      <c r="T211" s="7" t="inlineStr">
        <is>
          <t>RAINBOW DEFENSIVOS AGRICOLAS LTDA</t>
        </is>
      </c>
      <c r="U211" s="10">
        <f>HYPERLINK("https://agrofit.agricultura.gov.br/agrofit_cons/principal_agrofit_cons", "Consulta Oficial AGROFIT/MAPA (Nº 27323)")</f>
        <v/>
      </c>
    </row>
    <row r="212" ht="22" customHeight="1">
      <c r="A212" s="11" t="n">
        <v>207</v>
      </c>
      <c r="B212" s="12" t="inlineStr">
        <is>
          <t>Nº 43818</t>
        </is>
      </c>
      <c r="C212" s="13" t="inlineStr">
        <is>
          <t>DIAFENTIURON 500 SC PROVENTIS 4X5L (IMP) NC</t>
        </is>
      </c>
      <c r="D212" s="14" t="inlineStr">
        <is>
          <t>DIAFENTIURON</t>
        </is>
      </c>
      <c r="E212" s="13" t="inlineStr">
        <is>
          <t>Produto Formulado Comercial</t>
        </is>
      </c>
      <c r="F212" s="13" t="inlineStr">
        <is>
          <t>Defensivos</t>
        </is>
      </c>
      <c r="G212" s="13" t="inlineStr">
        <is>
          <t>Inseticida e Acaricida</t>
        </is>
      </c>
      <c r="H212" s="13" t="inlineStr">
        <is>
          <t>SC</t>
        </is>
      </c>
      <c r="I212" s="13" t="inlineStr">
        <is>
          <t>Suspensão Concentrada (SC)</t>
        </is>
      </c>
      <c r="J212" s="13" t="inlineStr">
        <is>
          <t>Inseticida/acaricida de contato e ingestão</t>
        </is>
      </c>
      <c r="K212" s="13" t="inlineStr">
        <is>
          <t>Tioureia</t>
        </is>
      </c>
      <c r="L212" s="13" t="inlineStr">
        <is>
          <t>IRAC Grupo 12A</t>
        </is>
      </c>
      <c r="M212" s="13" t="inlineStr">
        <is>
          <t>Inibidores da ATP sintase mitocondrial</t>
        </is>
      </c>
      <c r="N212" s="13" t="inlineStr">
        <is>
          <t>Categoria 4 — Produto Pouco Tóxico</t>
        </is>
      </c>
      <c r="O212" s="13" t="inlineStr">
        <is>
          <t>Azul PMS Blue 293 C</t>
        </is>
      </c>
      <c r="P212" s="13" t="inlineStr">
        <is>
          <t>Classe II — Produto Muito Perigoso ao Meio Ambiente</t>
        </is>
      </c>
      <c r="Q212" s="15" t="n">
        <v>24</v>
      </c>
      <c r="R212" s="13" t="inlineStr">
        <is>
          <t>Terrestre / Aérea (Drones consultar bula)</t>
        </is>
      </c>
      <c r="S212" s="13" t="inlineStr">
        <is>
          <t>Tratamento sintomático conforme grupo químico na bula</t>
        </is>
      </c>
      <c r="T212" s="13" t="inlineStr">
        <is>
          <t>PROVENTIS LIFESCIENCE DEFENSIVOS AGRÍCOLAS LTDA.</t>
        </is>
      </c>
      <c r="U212" s="16">
        <f>HYPERLINK("https://agrofit.agricultura.gov.br/agrofit_cons/principal_agrofit_cons", "Consulta Oficial AGROFIT/MAPA (Nº 43818)")</f>
        <v/>
      </c>
    </row>
    <row r="213" ht="22" customHeight="1">
      <c r="A213" s="5" t="n">
        <v>208</v>
      </c>
      <c r="B213" s="6" t="inlineStr">
        <is>
          <t>Nº 26017</t>
        </is>
      </c>
      <c r="C213" s="7" t="inlineStr">
        <is>
          <t>MESOTRIONE 480 SC PROVENTIS 1X20L (IMP) HN</t>
        </is>
      </c>
      <c r="D213" s="8" t="inlineStr">
        <is>
          <t>MESOTRIONE</t>
        </is>
      </c>
      <c r="E213" s="7" t="inlineStr">
        <is>
          <t>Produto Formulado Comercial</t>
        </is>
      </c>
      <c r="F213" s="7" t="inlineStr">
        <is>
          <t>Defensivos</t>
        </is>
      </c>
      <c r="G213" s="7" t="inlineStr">
        <is>
          <t>Herbicida</t>
        </is>
      </c>
      <c r="H213" s="7" t="inlineStr">
        <is>
          <t>SC</t>
        </is>
      </c>
      <c r="I213" s="7" t="inlineStr">
        <is>
          <t>Suspensão Concentrada (SC)</t>
        </is>
      </c>
      <c r="J213" s="7" t="inlineStr">
        <is>
          <t>Herbicida sistêmico seletivo de pós-emergência</t>
        </is>
      </c>
      <c r="K213" s="7" t="inlineStr">
        <is>
          <t>Tricetona</t>
        </is>
      </c>
      <c r="L213" s="7" t="inlineStr">
        <is>
          <t>HRAC Grupo F2 (27) — Inibidores da HPPD</t>
        </is>
      </c>
      <c r="M213" s="7" t="inlineStr">
        <is>
          <t>Inibidores da enzima 4-hidroxifenil-piruvato-dioxigenase (HPPD - biossíntese de carotenoides)</t>
        </is>
      </c>
      <c r="N213" s="7" t="inlineStr">
        <is>
          <t>Categoria 4 / 5 — Pouco Tóxico</t>
        </is>
      </c>
      <c r="O213" s="7" t="inlineStr">
        <is>
          <t>Azul Intenso</t>
        </is>
      </c>
      <c r="P213" s="7" t="inlineStr">
        <is>
          <t>Classe II — Produto Muito Perigoso ao Meio Ambiente</t>
        </is>
      </c>
      <c r="Q213" s="9" t="n">
        <v>24</v>
      </c>
      <c r="R213" s="7" t="inlineStr">
        <is>
          <t>Terrestre / Aérea (Drones consultar bula)</t>
        </is>
      </c>
      <c r="S213" s="7" t="inlineStr">
        <is>
          <t>Sem antídoto específico; tratamento sintomático</t>
        </is>
      </c>
      <c r="T213" s="7" t="inlineStr">
        <is>
          <t>Proventis Lifescience</t>
        </is>
      </c>
      <c r="U213" s="10">
        <f>HYPERLINK("https://www.adapar.pr.gov.br/Pagina/Agrotoxicos-Herbicidas", "Registro Oficial Mesotrione 480 SC Proventis (MAPA 26017)")</f>
        <v/>
      </c>
    </row>
    <row r="214" ht="22" customHeight="1">
      <c r="A214" s="11" t="n">
        <v>209</v>
      </c>
      <c r="B214" s="12" t="inlineStr">
        <is>
          <t>Nº 9823</t>
        </is>
      </c>
      <c r="C214" s="13" t="inlineStr">
        <is>
          <t>OLASOJA 500 SC 4X5L (IMP) MM</t>
        </is>
      </c>
      <c r="D214" s="14" t="inlineStr">
        <is>
          <t>OLASOJA</t>
        </is>
      </c>
      <c r="E214" s="13" t="inlineStr">
        <is>
          <t>Produto Formulado Comercial</t>
        </is>
      </c>
      <c r="F214" s="13" t="inlineStr">
        <is>
          <t>Defensivos</t>
        </is>
      </c>
      <c r="G214" s="13" t="inlineStr">
        <is>
          <t>Herbicida</t>
        </is>
      </c>
      <c r="H214" s="13" t="inlineStr">
        <is>
          <t>SC</t>
        </is>
      </c>
      <c r="I214" s="13" t="inlineStr">
        <is>
          <t>Suspensão Concentrada (SC)</t>
        </is>
      </c>
      <c r="J214" s="13" t="inlineStr">
        <is>
          <t>Herbicida seletivo de contato e residual (pré e pós-emergência inicial)</t>
        </is>
      </c>
      <c r="K214" s="13" t="inlineStr">
        <is>
          <t>N-fenilftalimida</t>
        </is>
      </c>
      <c r="L214" s="13" t="inlineStr">
        <is>
          <t>HRAC Grupo E (14) — Inibidores da PROTOX</t>
        </is>
      </c>
      <c r="M214" s="13" t="inlineStr">
        <is>
          <t>Inibidores da enzima protoporfirinogênio oxidase (PROTOX)</t>
        </is>
      </c>
      <c r="N214" s="13" t="inlineStr">
        <is>
          <t>Categoria 4 / 5 — Pouco Tóxico</t>
        </is>
      </c>
      <c r="O214" s="13" t="inlineStr">
        <is>
          <t>Azul Intenso</t>
        </is>
      </c>
      <c r="P214" s="13" t="inlineStr">
        <is>
          <t>Classe II — Produto Muito Perigoso ao Meio Ambiente</t>
        </is>
      </c>
      <c r="Q214" s="15" t="n">
        <v>24</v>
      </c>
      <c r="R214" s="13" t="inlineStr">
        <is>
          <t>Terrestre / Aérea (Drones consultar bula)</t>
        </is>
      </c>
      <c r="S214" s="13" t="inlineStr">
        <is>
          <t>Sem antídoto específico; tratamento sintomático</t>
        </is>
      </c>
      <c r="T214" s="13" t="inlineStr">
        <is>
          <t>Olam / Rainbow</t>
        </is>
      </c>
      <c r="U214" s="16">
        <f>HYPERLINK("https://agrofit.agricultura.gov.br/agrofit_cons/principal_agrofit_cons", "Consulta Oficial AGROFIT/MAPA (Nº 9823)")</f>
        <v/>
      </c>
    </row>
    <row r="215" ht="22" customHeight="1">
      <c r="A215" s="5" t="n">
        <v>210</v>
      </c>
      <c r="B215" s="6" t="inlineStr">
        <is>
          <t>SIPEAGRO (UF-XXXXX)</t>
        </is>
      </c>
      <c r="C215" s="7" t="inlineStr">
        <is>
          <t>MAGNIFIC 1X25KG (IMP)</t>
        </is>
      </c>
      <c r="D215" s="8" t="inlineStr">
        <is>
          <t>MAGNIFIC</t>
        </is>
      </c>
      <c r="E215" s="7" t="inlineStr">
        <is>
          <t>Fertilizante Mineral / Organomineral</t>
        </is>
      </c>
      <c r="F215" s="7" t="inlineStr">
        <is>
          <t>Fertilizantes</t>
        </is>
      </c>
      <c r="G215" s="7" t="inlineStr">
        <is>
          <t>Fertilizante Mineral Simples (Nitrogenado)</t>
        </is>
      </c>
      <c r="H215" s="7" t="inlineStr">
        <is>
          <t>Granulado</t>
        </is>
      </c>
      <c r="I215" s="7" t="inlineStr">
        <is>
          <t>Formulação Padrão (Granulado / Solúvel / Suspensão)</t>
        </is>
      </c>
      <c r="J215" s="7" t="inlineStr">
        <is>
          <t>Aplicação via solo, fertirrigação ou adubação foliar</t>
        </is>
      </c>
      <c r="K215" s="7" t="inlineStr">
        <is>
          <t>Fertilizante Mineral / Organomineral (Lei nº 6.894/1980)</t>
        </is>
      </c>
      <c r="L215" s="7" t="inlineStr">
        <is>
          <t>Nutrição Vegetal SIPEAGRO</t>
        </is>
      </c>
      <c r="M215" s="7" t="inlineStr">
        <is>
          <t>Fornecimento de macro e micronutrientes essenciais ao metabolismo vegetal</t>
        </is>
      </c>
      <c r="N215" s="7" t="inlineStr">
        <is>
          <t>Isento ANVISA (Produto Fertilizante Registrado no SIPEAGRO/MAPA)</t>
        </is>
      </c>
      <c r="O215" s="7" t="inlineStr">
        <is>
          <t>Não Aplicável (Fertilizante)</t>
        </is>
      </c>
      <c r="P215" s="7" t="inlineStr">
        <is>
          <t>Baixo Potencial Poluidor (Uso conforme recomendação agronômica)</t>
        </is>
      </c>
      <c r="Q215" s="9" t="n">
        <v>0</v>
      </c>
      <c r="R215" s="7" t="inlineStr">
        <is>
          <t>Aplicação Dirigida / TS / Solo</t>
        </is>
      </c>
      <c r="S215" s="7" t="inlineStr">
        <is>
          <t>Tratamento sintomático em caso de ingestão acidental</t>
        </is>
      </c>
      <c r="T215" s="7" t="inlineStr">
        <is>
          <t>Estabelecimento Produtor SIPEAGRO/MAPA</t>
        </is>
      </c>
      <c r="U215" s="10">
        <f>HYPERLINK("https://www.gov.br/agricultura/pt-br/assuntos/insumos-agropecuarios/insumos-agricolas/fertilizantes", "Portal SIPEAGRO / MAPA — Fertilizantes e Bioinsumos")</f>
        <v/>
      </c>
    </row>
    <row r="216" ht="22" customHeight="1">
      <c r="A216" s="11" t="n">
        <v>211</v>
      </c>
      <c r="B216" s="12" t="inlineStr">
        <is>
          <t>SIPEAGRO (UF-XXXXX)</t>
        </is>
      </c>
      <c r="C216" s="13" t="inlineStr">
        <is>
          <t>BORON 10G 1.000KG (IMP) UF</t>
        </is>
      </c>
      <c r="D216" s="14" t="inlineStr">
        <is>
          <t>BORON</t>
        </is>
      </c>
      <c r="E216" s="13" t="inlineStr">
        <is>
          <t>Corretivo / Condicionador de Solo</t>
        </is>
      </c>
      <c r="F216" s="13" t="inlineStr">
        <is>
          <t>Corretivos e Condicionadores de Solo</t>
        </is>
      </c>
      <c r="G216" s="13" t="inlineStr">
        <is>
          <t>Fonte Mineral de Boro (Ulexita Natural)</t>
        </is>
      </c>
      <c r="H216" s="13" t="inlineStr">
        <is>
          <t>Pó</t>
        </is>
      </c>
      <c r="I216" s="13" t="inlineStr">
        <is>
          <t>Formulação Padrão (Pó / Granulado / Pastilhado)</t>
        </is>
      </c>
      <c r="J216" s="13" t="inlineStr">
        <is>
          <t>Incorporação ou aplicação em área total no solo</t>
        </is>
      </c>
      <c r="K216" s="13" t="inlineStr">
        <is>
          <t>Corretivo de Acidez / Condicionador de Solo (SIPEAGRO)</t>
        </is>
      </c>
      <c r="L216" s="13" t="inlineStr">
        <is>
          <t>Correção Química de Solo</t>
        </is>
      </c>
      <c r="M216" s="13" t="inlineStr">
        <is>
          <t>Neutralização de Al3+ tóxico e fornecimento de Ca2+, Mg2+, S ou B</t>
        </is>
      </c>
      <c r="N216" s="13" t="inlineStr">
        <is>
          <t>Isento ANVISA (Corretivo Agrícola SIPEAGRO)</t>
        </is>
      </c>
      <c r="O216" s="13" t="inlineStr">
        <is>
          <t>Não Aplicável</t>
        </is>
      </c>
      <c r="P216" s="13" t="inlineStr">
        <is>
          <t>Produto Mineral Natural</t>
        </is>
      </c>
      <c r="Q216" s="15" t="n">
        <v>24</v>
      </c>
      <c r="R216" s="13" t="inlineStr">
        <is>
          <t>Terrestre / Aérea (Drones consultar bula)</t>
        </is>
      </c>
      <c r="S216" s="13" t="inlineStr">
        <is>
          <t>Tratamento sintomático</t>
        </is>
      </c>
      <c r="T216" s="13" t="inlineStr">
        <is>
          <t>Estabelecimento Produtor SIPEAGRO/MAPA</t>
        </is>
      </c>
      <c r="U216" s="16">
        <f>HYPERLINK("https://www.gov.br/agricultura/pt-br/assuntos/insumos-agropecuarios/insumos-agricolas/fertilizantes", "Portal SIPEAGRO / MAPA — Fertilizantes e Bioinsumos")</f>
        <v/>
      </c>
    </row>
    <row r="217" ht="22" customHeight="1">
      <c r="A217" s="5" t="n">
        <v>212</v>
      </c>
      <c r="B217" s="6" t="inlineStr">
        <is>
          <t>Nº 28520</t>
        </is>
      </c>
      <c r="C217" s="7" t="inlineStr">
        <is>
          <t>SENHA 720 WG 1X10KG (IMP) GG</t>
        </is>
      </c>
      <c r="D217" s="8" t="inlineStr">
        <is>
          <t>SENHA 720 WG</t>
        </is>
      </c>
      <c r="E217" s="7" t="inlineStr">
        <is>
          <t>Produto Formulado Comercial</t>
        </is>
      </c>
      <c r="F217" s="7" t="inlineStr">
        <is>
          <t>Defensivos</t>
        </is>
      </c>
      <c r="G217" s="7" t="inlineStr">
        <is>
          <t>Herbicida</t>
        </is>
      </c>
      <c r="H217" s="7" t="inlineStr">
        <is>
          <t>WG</t>
        </is>
      </c>
      <c r="I217" s="7" t="inlineStr">
        <is>
          <t>Grânulos Dispersíveis em Água (WG)</t>
        </is>
      </c>
      <c r="J217" s="7" t="inlineStr">
        <is>
          <t>Herbicida sistêmico de pós-emergência (seletivo condicional p/ OGM)</t>
        </is>
      </c>
      <c r="K217" s="7" t="inlineStr">
        <is>
          <t>Glicina substituída</t>
        </is>
      </c>
      <c r="L217" s="7" t="inlineStr">
        <is>
          <t>HRAC Grupo G (EPSPs)</t>
        </is>
      </c>
      <c r="M217" s="7" t="inlineStr">
        <is>
          <t>Inibidores da enzima EPSPs (Enoil Piruvil Shiquimato Fosfato Sintase)</t>
        </is>
      </c>
      <c r="N217" s="7" t="inlineStr">
        <is>
          <t>Categoria 5 — Produto Improvável de Causar Dano Agudo</t>
        </is>
      </c>
      <c r="O217" s="7" t="inlineStr">
        <is>
          <t>Azul Intenso</t>
        </is>
      </c>
      <c r="P217" s="7" t="inlineStr">
        <is>
          <t>Classe III — Produto Perigoso ao Meio Ambiente</t>
        </is>
      </c>
      <c r="Q217" s="9" t="n">
        <v>24</v>
      </c>
      <c r="R217" s="7" t="inlineStr">
        <is>
          <t>Terrestre / Aérea (Drones consultar bula)</t>
        </is>
      </c>
      <c r="S217" s="7" t="inlineStr">
        <is>
          <t>Sem antídoto específico (Atropina ineficaz); tratamento sintomático</t>
        </is>
      </c>
      <c r="T217" s="7" t="inlineStr">
        <is>
          <t>RAINBOW DEFENSIVOS AGRÍCOLAS LTDA.</t>
        </is>
      </c>
      <c r="U217" s="10">
        <f>HYPERLINK("https://agrofit.agricultura.gov.br/agrofit_cons/principal_agrofit_cons", "Consulta Oficial AGROFIT/MAPA (Nº 28520)")</f>
        <v/>
      </c>
    </row>
    <row r="218" ht="22" customHeight="1">
      <c r="A218" s="11" t="n">
        <v>213</v>
      </c>
      <c r="B218" s="12" t="inlineStr">
        <is>
          <t>Nº 24823</t>
        </is>
      </c>
      <c r="C218" s="13" t="inlineStr">
        <is>
          <t>OLASUL 500 SC 4X5L (IMP)</t>
        </is>
      </c>
      <c r="D218" s="14" t="inlineStr">
        <is>
          <t>OLASUL</t>
        </is>
      </c>
      <c r="E218" s="13" t="inlineStr">
        <is>
          <t>Produto Formulado Comercial</t>
        </is>
      </c>
      <c r="F218" s="13" t="inlineStr">
        <is>
          <t>Defensivos</t>
        </is>
      </c>
      <c r="G218" s="13" t="inlineStr">
        <is>
          <t>Herbicida</t>
        </is>
      </c>
      <c r="H218" s="13" t="inlineStr">
        <is>
          <t>SC</t>
        </is>
      </c>
      <c r="I218" s="13" t="inlineStr">
        <is>
          <t>Suspensão Concentrada (SC)</t>
        </is>
      </c>
      <c r="J218" s="13" t="inlineStr">
        <is>
          <t>Herbicida de pré ou pós-emergência</t>
        </is>
      </c>
      <c r="K218" s="13" t="inlineStr">
        <is>
          <t>Triazolinona</t>
        </is>
      </c>
      <c r="L218" s="13" t="inlineStr">
        <is>
          <t>HRAC Grupo E (14) — Inibidores da PROTOX</t>
        </is>
      </c>
      <c r="M218" s="13" t="inlineStr">
        <is>
          <t>Inibição da enzima protoporfirinogênio oxidase (PROTOX / PPO)</t>
        </is>
      </c>
      <c r="N218" s="13" t="inlineStr">
        <is>
          <t>Categoria 4 / 5 — Pouco Tóxico (Conforme Bula ANVISA)</t>
        </is>
      </c>
      <c r="O218" s="13" t="inlineStr">
        <is>
          <t>Azul PMS Blue 293 C</t>
        </is>
      </c>
      <c r="P218" s="13" t="inlineStr">
        <is>
          <t>Classe II / III — Perigoso ao Meio Ambiente</t>
        </is>
      </c>
      <c r="Q218" s="15" t="n">
        <v>24</v>
      </c>
      <c r="R218" s="13" t="inlineStr">
        <is>
          <t>Terrestre / Aérea (Drones consultar bula)</t>
        </is>
      </c>
      <c r="S218" s="13" t="inlineStr">
        <is>
          <t>Sem antídoto específico; tratamento sintomático e descontaminação</t>
        </is>
      </c>
      <c r="T218" s="13" t="inlineStr">
        <is>
          <t>RAINBOW DEFENSIVOS AGRÍCOLAS LTDA.</t>
        </is>
      </c>
      <c r="U218" s="16">
        <f>HYPERLINK("https://www.adapar.pr.gov.br/Pagina/Agrotoxicos-Herbicidas", "Registro Oficial Olasul 500 SC (MAPA 24823)")</f>
        <v/>
      </c>
    </row>
    <row r="219" ht="22" customHeight="1">
      <c r="A219" s="5" t="n">
        <v>214</v>
      </c>
      <c r="B219" s="6" t="inlineStr">
        <is>
          <t>Nº 32323</t>
        </is>
      </c>
      <c r="C219" s="7" t="inlineStr">
        <is>
          <t>OLATAZON 400 EC 4X5L (IMP)</t>
        </is>
      </c>
      <c r="D219" s="8" t="inlineStr">
        <is>
          <t>OLATAZON 400 EC</t>
        </is>
      </c>
      <c r="E219" s="7" t="inlineStr">
        <is>
          <t>Produto Formulado Comercial</t>
        </is>
      </c>
      <c r="F219" s="7" t="inlineStr">
        <is>
          <t>Defensivos</t>
        </is>
      </c>
      <c r="G219" s="7" t="inlineStr">
        <is>
          <t>Herbicida</t>
        </is>
      </c>
      <c r="H219" s="7" t="inlineStr">
        <is>
          <t>EC</t>
        </is>
      </c>
      <c r="I219" s="7" t="inlineStr">
        <is>
          <t>Concentrado Emulsionável (EC)</t>
        </is>
      </c>
      <c r="J219" s="7" t="inlineStr">
        <is>
          <t>Herbicida de contato de pós-emergência e desfolhante</t>
        </is>
      </c>
      <c r="K219" s="7" t="inlineStr">
        <is>
          <t>Triazolinona</t>
        </is>
      </c>
      <c r="L219" s="7" t="inlineStr">
        <is>
          <t>HRAC Grupo E (14) — Inibidores da PROTOX</t>
        </is>
      </c>
      <c r="M219" s="7" t="inlineStr">
        <is>
          <t>Inibidores da enzima protoporfirinogênio oxidase (PROTOX)</t>
        </is>
      </c>
      <c r="N219" s="7" t="inlineStr">
        <is>
          <t>Categoria 4 — Produto Pouco Tóxico</t>
        </is>
      </c>
      <c r="O219" s="7" t="inlineStr">
        <is>
          <t>Azul PMS Blue 293 C</t>
        </is>
      </c>
      <c r="P219" s="7" t="inlineStr">
        <is>
          <t>Classe II — Produto Muito Perigoso ao Meio Ambiente</t>
        </is>
      </c>
      <c r="Q219" s="9" t="n">
        <v>24</v>
      </c>
      <c r="R219" s="7" t="inlineStr">
        <is>
          <t>Terrestre / Aérea (Drones consultar bula)</t>
        </is>
      </c>
      <c r="S219" s="7" t="inlineStr">
        <is>
          <t>Sem antídoto específico; tratamento sintomático</t>
        </is>
      </c>
      <c r="T219" s="7" t="inlineStr">
        <is>
          <t>RAINBOW DEFENSIVOS AGRÍCOLAS LTDA.</t>
        </is>
      </c>
      <c r="U219" s="10">
        <f>HYPERLINK("https://www.adapar.pr.gov.br/Pagina/Agrotoxicos-Herbicidas", "Registro Oficial Olatazon 400 EC (MAPA 32323)")</f>
        <v/>
      </c>
    </row>
    <row r="220" ht="22" customHeight="1">
      <c r="A220" s="11" t="n">
        <v>215</v>
      </c>
      <c r="B220" s="12" t="inlineStr">
        <is>
          <t>Nº 30520</t>
        </is>
      </c>
      <c r="C220" s="13" t="inlineStr">
        <is>
          <t>MAXAPAC 250 EC 4X5L (IMP)</t>
        </is>
      </c>
      <c r="D220" s="14" t="inlineStr">
        <is>
          <t>MAXAPAC 250 EC</t>
        </is>
      </c>
      <c r="E220" s="13" t="inlineStr">
        <is>
          <t>Produto Formulado Comercial</t>
        </is>
      </c>
      <c r="F220" s="13" t="inlineStr">
        <is>
          <t>Defensivos</t>
        </is>
      </c>
      <c r="G220" s="13" t="inlineStr">
        <is>
          <t>Regulador de Crescimento</t>
        </is>
      </c>
      <c r="H220" s="13" t="inlineStr">
        <is>
          <t>EC</t>
        </is>
      </c>
      <c r="I220" s="13" t="inlineStr">
        <is>
          <t>Concentrado Emulsionável (EC)</t>
        </is>
      </c>
      <c r="J220" s="13" t="inlineStr">
        <is>
          <t>Inseticida/acaricida de contato e ingestão</t>
        </is>
      </c>
      <c r="K220" s="13" t="inlineStr">
        <is>
          <t>Ciclohexanodiona Carboxilato (Fitorregulador)</t>
        </is>
      </c>
      <c r="L220" s="13" t="inlineStr">
        <is>
          <t>Regulador de Crescimento Vegetal (Inibidor de Giberelina)</t>
        </is>
      </c>
      <c r="M220" s="13" t="inlineStr">
        <is>
          <t>Inibição da 3-beta-hidroxilase na rota biossintética do ácido giberélico (GA1)</t>
        </is>
      </c>
      <c r="N220" s="13" t="inlineStr">
        <is>
          <t>Categoria 3 / 4 — Moderadamente a Pouco Tóxico</t>
        </is>
      </c>
      <c r="O220" s="13" t="inlineStr">
        <is>
          <t>Amarelo / Azul</t>
        </is>
      </c>
      <c r="P220" s="13" t="inlineStr">
        <is>
          <t>Classe II — Produto Muito Perigoso ao Meio Ambiente</t>
        </is>
      </c>
      <c r="Q220" s="15" t="n">
        <v>24</v>
      </c>
      <c r="R220" s="13" t="inlineStr">
        <is>
          <t>Terrestre / Aérea (Drones consultar bula)</t>
        </is>
      </c>
      <c r="S220" s="13" t="inlineStr">
        <is>
          <t>Tratamento sintomático conforme grupo químico na bula</t>
        </is>
      </c>
      <c r="T220" s="13" t="inlineStr">
        <is>
          <t>Maxunitech / Eagrow</t>
        </is>
      </c>
      <c r="U220" s="16">
        <f>HYPERLINK("https://agrofit.agricultura.gov.br/agrofit_cons/principal_agrofit_cons", "Consulta Oficial AGROFIT/MAPA (Nº 30520)")</f>
        <v/>
      </c>
    </row>
    <row r="221" ht="22" customHeight="1">
      <c r="A221" s="5" t="n">
        <v>216</v>
      </c>
      <c r="B221" s="6" t="inlineStr">
        <is>
          <t>Nº 6922</t>
        </is>
      </c>
      <c r="C221" s="7" t="inlineStr">
        <is>
          <t>COFENRIN 1X20L (IMP) AR</t>
        </is>
      </c>
      <c r="D221" s="8" t="inlineStr">
        <is>
          <t>COFENRIN</t>
        </is>
      </c>
      <c r="E221" s="7" t="inlineStr">
        <is>
          <t>Produto Formulado Comercial</t>
        </is>
      </c>
      <c r="F221" s="7" t="inlineStr">
        <is>
          <t>Defensivos</t>
        </is>
      </c>
      <c r="G221" s="7" t="inlineStr">
        <is>
          <t>Inseticida e Acaricida</t>
        </is>
      </c>
      <c r="H221" s="7" t="inlineStr">
        <is>
          <t>EC</t>
        </is>
      </c>
      <c r="I221" s="7" t="inlineStr">
        <is>
          <t>Concentrado Emulsionável (EC)</t>
        </is>
      </c>
      <c r="J221" s="7" t="inlineStr">
        <is>
          <t>Inseticida e acaricida de contato e ingestão</t>
        </is>
      </c>
      <c r="K221" s="7" t="inlineStr">
        <is>
          <t>Piretroide (Tipo I)</t>
        </is>
      </c>
      <c r="L221" s="7" t="inlineStr">
        <is>
          <t>IRAC Grupo 3A</t>
        </is>
      </c>
      <c r="M221" s="7" t="inlineStr">
        <is>
          <t>Moduladores de canais de sódio em membranas nervosas</t>
        </is>
      </c>
      <c r="N221" s="7" t="inlineStr">
        <is>
          <t>Categoria 3 — Produto Moderadamente Tóxico</t>
        </is>
      </c>
      <c r="O221" s="7" t="inlineStr">
        <is>
          <t>Amarelo PMS Yellow C</t>
        </is>
      </c>
      <c r="P221" s="7" t="inlineStr">
        <is>
          <t>Classe II — Produto Muito Perigoso ao Meio Ambiente</t>
        </is>
      </c>
      <c r="Q221" s="9" t="n">
        <v>24</v>
      </c>
      <c r="R221" s="7" t="inlineStr">
        <is>
          <t>Terrestre / Aérea (Drones consultar bula)</t>
        </is>
      </c>
      <c r="S221" s="7" t="inlineStr">
        <is>
          <t>Sem antídoto específico; anti-histamínicos e vitamina E tópica para parestesia</t>
        </is>
      </c>
      <c r="T221" s="7" t="inlineStr">
        <is>
          <t>RAINBOW DEFENSIVOS AGRÍCOLAS LTDA.</t>
        </is>
      </c>
      <c r="U221" s="10">
        <f>HYPERLINK("https://agrofit.agricultura.gov.br/agrofit_cons/principal_agrofit_cons", "Consulta Oficial AGROFIT/MAPA (Nº 6922)")</f>
        <v/>
      </c>
    </row>
    <row r="222" ht="22" customHeight="1">
      <c r="A222" s="11" t="n">
        <v>217</v>
      </c>
      <c r="B222" s="12" t="inlineStr">
        <is>
          <t>SIPEAGRO (UF-XXXXX)</t>
        </is>
      </c>
      <c r="C222" s="13" t="inlineStr">
        <is>
          <t>AGCN ZINCO ULTRA 1L (AMOSTRA)</t>
        </is>
      </c>
      <c r="D222" s="14" t="inlineStr">
        <is>
          <t>AGCN ZINCO ULTRA</t>
        </is>
      </c>
      <c r="E222" s="13" t="inlineStr">
        <is>
          <t>Fertilizante Mineral / Organomineral</t>
        </is>
      </c>
      <c r="F222" s="13" t="inlineStr">
        <is>
          <t>Fertilizantes</t>
        </is>
      </c>
      <c r="G222" s="13" t="inlineStr">
        <is>
          <t>Fertilizante Foliar / Micronutrientes</t>
        </is>
      </c>
      <c r="H222" s="13" t="inlineStr">
        <is>
          <t>SL</t>
        </is>
      </c>
      <c r="I222" s="13" t="inlineStr">
        <is>
          <t>Solução / Suspensão Concentrada Foliar (Fluido)</t>
        </is>
      </c>
      <c r="J222" s="13" t="inlineStr">
        <is>
          <t>Aplicação via solo, fertirrigação ou adubação foliar</t>
        </is>
      </c>
      <c r="K222" s="13" t="inlineStr">
        <is>
          <t>Fertilizante Mineral / Organomineral (Lei nº 6.894/1980)</t>
        </is>
      </c>
      <c r="L222" s="13" t="inlineStr">
        <is>
          <t>Nutrição Vegetal SIPEAGRO</t>
        </is>
      </c>
      <c r="M222" s="13" t="inlineStr">
        <is>
          <t>Fornecimento de macro e micronutrientes essenciais ao metabolismo vegetal</t>
        </is>
      </c>
      <c r="N222" s="13" t="inlineStr">
        <is>
          <t>Isento ANVISA (Produto Fertilizante Registrado no SIPEAGRO/MAPA)</t>
        </is>
      </c>
      <c r="O222" s="13" t="inlineStr">
        <is>
          <t>Não Aplicável (Fertilizante)</t>
        </is>
      </c>
      <c r="P222" s="13" t="inlineStr">
        <is>
          <t>Baixo Potencial Poluidor (Uso conforme recomendação agronômica)</t>
        </is>
      </c>
      <c r="Q222" s="15" t="n">
        <v>0</v>
      </c>
      <c r="R222" s="13" t="inlineStr">
        <is>
          <t>Aplicação Dirigida / TS / Solo</t>
        </is>
      </c>
      <c r="S222" s="13" t="inlineStr">
        <is>
          <t>Tratamento sintomático em caso de ingestão acidental</t>
        </is>
      </c>
      <c r="T222" s="13" t="inlineStr">
        <is>
          <t>Estabelecimento Produtor SIPEAGRO/MAPA</t>
        </is>
      </c>
      <c r="U222" s="16">
        <f>HYPERLINK("https://www.gov.br/agricultura/pt-br/assuntos/insumos-agropecuarios/insumos-agricolas/fertilizantes", "Portal SIPEAGRO / MAPA — Fertilizantes e Bioinsumos")</f>
        <v/>
      </c>
    </row>
    <row r="223" ht="22" customHeight="1">
      <c r="A223" s="5" t="n">
        <v>218</v>
      </c>
      <c r="B223" s="6" t="inlineStr">
        <is>
          <t>ISENTO (ATO 104/2017)</t>
        </is>
      </c>
      <c r="C223" s="7" t="inlineStr">
        <is>
          <t>AGCN SAFE SPRAY 1L (AMOSTRA)</t>
        </is>
      </c>
      <c r="D223" s="8" t="inlineStr">
        <is>
          <t>AGCN SAFE SPRAY</t>
        </is>
      </c>
      <c r="E223" s="7" t="inlineStr">
        <is>
          <t>Adjuvante / Espalhante Adesivo</t>
        </is>
      </c>
      <c r="F223" s="7" t="inlineStr">
        <is>
          <t>Adjuvantes</t>
        </is>
      </c>
      <c r="G223" s="7" t="inlineStr">
        <is>
          <t>Adjuvante Espalhante / Surfactante / Redutor de pH e Deriva</t>
        </is>
      </c>
      <c r="H223" s="7" t="inlineStr">
        <is>
          <t>EC</t>
        </is>
      </c>
      <c r="I223" s="7" t="inlineStr">
        <is>
          <t>Concentrado Emulsionável (EC)</t>
        </is>
      </c>
      <c r="J223" s="7" t="inlineStr">
        <is>
          <t>Aditivo físico-químico para calda de pulverização</t>
        </is>
      </c>
      <c r="K223" s="7" t="inlineStr">
        <is>
          <t>Éster Metílico / Hidrocarboneto Parafínico / Tensoativo Siliconado</t>
        </is>
      </c>
      <c r="L223" s="7" t="inlineStr">
        <is>
          <t>Adjuvante Tecnológico de Pulverização</t>
        </is>
      </c>
      <c r="M223" s="7" t="inlineStr">
        <is>
          <t>Redução da tensão superficial, espalhamento, anti-deriva e penetração cuticular</t>
        </is>
      </c>
      <c r="N223" s="7" t="inlineStr">
        <is>
          <t>Isento / Ato SDA nº 104/2017 (ou Categoria 5 quando registrado)</t>
        </is>
      </c>
      <c r="O223" s="7" t="inlineStr">
        <is>
          <t>Azul / Isento</t>
        </is>
      </c>
      <c r="P223" s="7" t="inlineStr">
        <is>
          <t>Classe IV — Pouco Perigoso ao Meio Ambiente</t>
        </is>
      </c>
      <c r="Q223" s="9" t="n">
        <v>24</v>
      </c>
      <c r="R223" s="7" t="inlineStr">
        <is>
          <t>Terrestre / Aérea (Drones consultar bula)</t>
        </is>
      </c>
      <c r="S223" s="7" t="inlineStr">
        <is>
          <t>Tratamento sintomático; evitar indução de vômito em derivados de petróleo</t>
        </is>
      </c>
      <c r="T223" s="7" t="inlineStr">
        <is>
          <t>Dispensado de Registro (Ato SDA nº 104/2017)</t>
        </is>
      </c>
      <c r="U223" s="10">
        <f>HYPERLINK("https://www.gov.br/agricultura/pt-br/assuntos/insumos-agropecuarios/insumos-agricolas/agrotoxicos/legislacao", "Ato SDA/MAPA nº 104/2017 — Adjuvantes Agrícolas")</f>
        <v/>
      </c>
    </row>
    <row r="224" ht="22" customHeight="1">
      <c r="A224" s="11" t="n">
        <v>219</v>
      </c>
      <c r="B224" s="12" t="inlineStr">
        <is>
          <t>SIPEAGRO (UF-XXXXX)</t>
        </is>
      </c>
      <c r="C224" s="13" t="inlineStr">
        <is>
          <t>AGCN MN 10 1L (AMOSTRA)</t>
        </is>
      </c>
      <c r="D224" s="14" t="inlineStr">
        <is>
          <t>AGCN MN 10</t>
        </is>
      </c>
      <c r="E224" s="13" t="inlineStr">
        <is>
          <t>Fertilizante Mineral / Organomineral</t>
        </is>
      </c>
      <c r="F224" s="13" t="inlineStr">
        <is>
          <t>Fertilizantes</t>
        </is>
      </c>
      <c r="G224" s="13" t="inlineStr">
        <is>
          <t>Fertilizante Foliar / Micronutrientes</t>
        </is>
      </c>
      <c r="H224" s="13" t="inlineStr">
        <is>
          <t>SL</t>
        </is>
      </c>
      <c r="I224" s="13" t="inlineStr">
        <is>
          <t>Solução / Suspensão Concentrada Foliar (Fluido)</t>
        </is>
      </c>
      <c r="J224" s="13" t="inlineStr">
        <is>
          <t>Aplicação via solo, fertirrigação ou adubação foliar</t>
        </is>
      </c>
      <c r="K224" s="13" t="inlineStr">
        <is>
          <t>Fertilizante Mineral / Organomineral (Lei nº 6.894/1980)</t>
        </is>
      </c>
      <c r="L224" s="13" t="inlineStr">
        <is>
          <t>Nutrição Vegetal SIPEAGRO</t>
        </is>
      </c>
      <c r="M224" s="13" t="inlineStr">
        <is>
          <t>Fornecimento de macro e micronutrientes essenciais ao metabolismo vegetal</t>
        </is>
      </c>
      <c r="N224" s="13" t="inlineStr">
        <is>
          <t>Isento ANVISA (Produto Fertilizante Registrado no SIPEAGRO/MAPA)</t>
        </is>
      </c>
      <c r="O224" s="13" t="inlineStr">
        <is>
          <t>Não Aplicável (Fertilizante)</t>
        </is>
      </c>
      <c r="P224" s="13" t="inlineStr">
        <is>
          <t>Baixo Potencial Poluidor (Uso conforme recomendação agronômica)</t>
        </is>
      </c>
      <c r="Q224" s="15" t="n">
        <v>0</v>
      </c>
      <c r="R224" s="13" t="inlineStr">
        <is>
          <t>Aplicação Dirigida / TS / Solo</t>
        </is>
      </c>
      <c r="S224" s="13" t="inlineStr">
        <is>
          <t>Tratamento sintomático em caso de ingestão acidental</t>
        </is>
      </c>
      <c r="T224" s="13" t="inlineStr">
        <is>
          <t>Estabelecimento Produtor SIPEAGRO/MAPA</t>
        </is>
      </c>
      <c r="U224" s="16">
        <f>HYPERLINK("https://www.gov.br/agricultura/pt-br/assuntos/insumos-agropecuarios/insumos-agricolas/fertilizantes", "Portal SIPEAGRO / MAPA — Fertilizantes e Bioinsumos")</f>
        <v/>
      </c>
    </row>
    <row r="225" ht="22" customHeight="1">
      <c r="A225" s="5" t="n">
        <v>220</v>
      </c>
      <c r="B225" s="6" t="inlineStr">
        <is>
          <t>SIPEAGRO (UF-XXXXX)</t>
        </is>
      </c>
      <c r="C225" s="7" t="inlineStr">
        <is>
          <t>AGCN MAGNESIO 1L (AMOSTRA)</t>
        </is>
      </c>
      <c r="D225" s="8" t="inlineStr">
        <is>
          <t>AGCN MAGNESIO</t>
        </is>
      </c>
      <c r="E225" s="7" t="inlineStr">
        <is>
          <t>Fertilizante Mineral / Organomineral</t>
        </is>
      </c>
      <c r="F225" s="7" t="inlineStr">
        <is>
          <t>Fertilizantes</t>
        </is>
      </c>
      <c r="G225" s="7" t="inlineStr">
        <is>
          <t>Fertilizante Foliar / Micronutrientes</t>
        </is>
      </c>
      <c r="H225" s="7" t="inlineStr">
        <is>
          <t>SL</t>
        </is>
      </c>
      <c r="I225" s="7" t="inlineStr">
        <is>
          <t>Solução / Suspensão Concentrada Foliar (Fluido)</t>
        </is>
      </c>
      <c r="J225" s="7" t="inlineStr">
        <is>
          <t>Aplicação via solo, fertirrigação ou adubação foliar</t>
        </is>
      </c>
      <c r="K225" s="7" t="inlineStr">
        <is>
          <t>Fertilizante Mineral / Organomineral (Lei nº 6.894/1980)</t>
        </is>
      </c>
      <c r="L225" s="7" t="inlineStr">
        <is>
          <t>Nutrição Vegetal SIPEAGRO</t>
        </is>
      </c>
      <c r="M225" s="7" t="inlineStr">
        <is>
          <t>Fornecimento de macro e micronutrientes essenciais ao metabolismo vegetal</t>
        </is>
      </c>
      <c r="N225" s="7" t="inlineStr">
        <is>
          <t>Isento ANVISA (Produto Fertilizante Registrado no SIPEAGRO/MAPA)</t>
        </is>
      </c>
      <c r="O225" s="7" t="inlineStr">
        <is>
          <t>Não Aplicável (Fertilizante)</t>
        </is>
      </c>
      <c r="P225" s="7" t="inlineStr">
        <is>
          <t>Baixo Potencial Poluidor (Uso conforme recomendação agronômica)</t>
        </is>
      </c>
      <c r="Q225" s="9" t="n">
        <v>0</v>
      </c>
      <c r="R225" s="7" t="inlineStr">
        <is>
          <t>Aplicação Dirigida / TS / Solo</t>
        </is>
      </c>
      <c r="S225" s="7" t="inlineStr">
        <is>
          <t>Tratamento sintomático em caso de ingestão acidental</t>
        </is>
      </c>
      <c r="T225" s="7" t="inlineStr">
        <is>
          <t>Estabelecimento Produtor SIPEAGRO/MAPA</t>
        </is>
      </c>
      <c r="U225" s="10">
        <f>HYPERLINK("https://www.gov.br/agricultura/pt-br/assuntos/insumos-agropecuarios/insumos-agricolas/fertilizantes", "Portal SIPEAGRO / MAPA — Fertilizantes e Bioinsumos")</f>
        <v/>
      </c>
    </row>
    <row r="226" ht="22" customHeight="1">
      <c r="A226" s="11" t="n">
        <v>221</v>
      </c>
      <c r="B226" s="12" t="inlineStr">
        <is>
          <t>SIPEAGRO (UF-XXXXX)</t>
        </is>
      </c>
      <c r="C226" s="13" t="inlineStr">
        <is>
          <t>AGCN FULL ULTRA 1L (AMOSTRA)</t>
        </is>
      </c>
      <c r="D226" s="14" t="inlineStr">
        <is>
          <t>AGCN FULL ULTRA</t>
        </is>
      </c>
      <c r="E226" s="13" t="inlineStr">
        <is>
          <t>Fertilizante Mineral / Organomineral</t>
        </is>
      </c>
      <c r="F226" s="13" t="inlineStr">
        <is>
          <t>Fertilizantes</t>
        </is>
      </c>
      <c r="G226" s="13" t="inlineStr">
        <is>
          <t>Fertilizante Organomineral / Bioestimulante</t>
        </is>
      </c>
      <c r="H226" s="13" t="inlineStr">
        <is>
          <t>SL</t>
        </is>
      </c>
      <c r="I226" s="13" t="inlineStr">
        <is>
          <t>Solução / Suspensão Concentrada Foliar (Fluido)</t>
        </is>
      </c>
      <c r="J226" s="13" t="inlineStr">
        <is>
          <t>Aplicação via solo, fertirrigação ou adubação foliar</t>
        </is>
      </c>
      <c r="K226" s="13" t="inlineStr">
        <is>
          <t>Fertilizante Mineral / Organomineral (Lei nº 6.894/1980)</t>
        </is>
      </c>
      <c r="L226" s="13" t="inlineStr">
        <is>
          <t>Nutrição Vegetal SIPEAGRO</t>
        </is>
      </c>
      <c r="M226" s="13" t="inlineStr">
        <is>
          <t>Fornecimento de macro e micronutrientes essenciais ao metabolismo vegetal</t>
        </is>
      </c>
      <c r="N226" s="13" t="inlineStr">
        <is>
          <t>Isento ANVISA (Produto Fertilizante Registrado no SIPEAGRO/MAPA)</t>
        </is>
      </c>
      <c r="O226" s="13" t="inlineStr">
        <is>
          <t>Não Aplicável (Fertilizante)</t>
        </is>
      </c>
      <c r="P226" s="13" t="inlineStr">
        <is>
          <t>Baixo Potencial Poluidor (Uso conforme recomendação agronômica)</t>
        </is>
      </c>
      <c r="Q226" s="15" t="n">
        <v>0</v>
      </c>
      <c r="R226" s="13" t="inlineStr">
        <is>
          <t>Aplicação Dirigida / TS / Solo</t>
        </is>
      </c>
      <c r="S226" s="13" t="inlineStr">
        <is>
          <t>Tratamento sintomático em caso de ingestão acidental</t>
        </is>
      </c>
      <c r="T226" s="13" t="inlineStr">
        <is>
          <t>Estabelecimento Produtor SIPEAGRO/MAPA</t>
        </is>
      </c>
      <c r="U226" s="16">
        <f>HYPERLINK("https://www.gov.br/agricultura/pt-br/assuntos/insumos-agropecuarios/insumos-agricolas/fertilizantes", "Portal SIPEAGRO / MAPA — Fertilizantes e Bioinsumos")</f>
        <v/>
      </c>
    </row>
    <row r="227" ht="22" customHeight="1">
      <c r="A227" s="5" t="n">
        <v>222</v>
      </c>
      <c r="B227" s="6" t="inlineStr">
        <is>
          <t>SIPEAGRO (UF-XXXXX)</t>
        </is>
      </c>
      <c r="C227" s="7" t="inlineStr">
        <is>
          <t>AGCN FULL 1L (AMOSTRA)</t>
        </is>
      </c>
      <c r="D227" s="8" t="inlineStr">
        <is>
          <t>AGCN FULL</t>
        </is>
      </c>
      <c r="E227" s="7" t="inlineStr">
        <is>
          <t>Fertilizante Mineral / Organomineral</t>
        </is>
      </c>
      <c r="F227" s="7" t="inlineStr">
        <is>
          <t>Fertilizantes</t>
        </is>
      </c>
      <c r="G227" s="7" t="inlineStr">
        <is>
          <t>Fertilizante Organomineral / Bioestimulante</t>
        </is>
      </c>
      <c r="H227" s="7" t="inlineStr">
        <is>
          <t>SL</t>
        </is>
      </c>
      <c r="I227" s="7" t="inlineStr">
        <is>
          <t>Solução / Suspensão Concentrada Foliar (Fluido)</t>
        </is>
      </c>
      <c r="J227" s="7" t="inlineStr">
        <is>
          <t>Aplicação via solo, fertirrigação ou adubação foliar</t>
        </is>
      </c>
      <c r="K227" s="7" t="inlineStr">
        <is>
          <t>Fertilizante Mineral / Organomineral (Lei nº 6.894/1980)</t>
        </is>
      </c>
      <c r="L227" s="7" t="inlineStr">
        <is>
          <t>Nutrição Vegetal SIPEAGRO</t>
        </is>
      </c>
      <c r="M227" s="7" t="inlineStr">
        <is>
          <t>Fornecimento de macro e micronutrientes essenciais ao metabolismo vegetal</t>
        </is>
      </c>
      <c r="N227" s="7" t="inlineStr">
        <is>
          <t>Isento ANVISA (Produto Fertilizante Registrado no SIPEAGRO/MAPA)</t>
        </is>
      </c>
      <c r="O227" s="7" t="inlineStr">
        <is>
          <t>Não Aplicável (Fertilizante)</t>
        </is>
      </c>
      <c r="P227" s="7" t="inlineStr">
        <is>
          <t>Baixo Potencial Poluidor (Uso conforme recomendação agronômica)</t>
        </is>
      </c>
      <c r="Q227" s="9" t="n">
        <v>0</v>
      </c>
      <c r="R227" s="7" t="inlineStr">
        <is>
          <t>Aplicação Dirigida / TS / Solo</t>
        </is>
      </c>
      <c r="S227" s="7" t="inlineStr">
        <is>
          <t>Tratamento sintomático em caso de ingestão acidental</t>
        </is>
      </c>
      <c r="T227" s="7" t="inlineStr">
        <is>
          <t>Estabelecimento Produtor SIPEAGRO/MAPA</t>
        </is>
      </c>
      <c r="U227" s="10">
        <f>HYPERLINK("https://www.gov.br/agricultura/pt-br/assuntos/insumos-agropecuarios/insumos-agricolas/fertilizantes", "Portal SIPEAGRO / MAPA — Fertilizantes e Bioinsumos")</f>
        <v/>
      </c>
    </row>
    <row r="228" ht="22" customHeight="1">
      <c r="A228" s="11" t="n">
        <v>223</v>
      </c>
      <c r="B228" s="12" t="inlineStr">
        <is>
          <t>ISENTO (ATO 104/2017)</t>
        </is>
      </c>
      <c r="C228" s="13" t="inlineStr">
        <is>
          <t>AGRICOIL CITRUS 1L (AMOSTRA)</t>
        </is>
      </c>
      <c r="D228" s="14" t="inlineStr">
        <is>
          <t>AGRICOIL CITRUS</t>
        </is>
      </c>
      <c r="E228" s="13" t="inlineStr">
        <is>
          <t>Adjuvante / Espalhante Adesivo</t>
        </is>
      </c>
      <c r="F228" s="13" t="inlineStr">
        <is>
          <t>Adjuvantes</t>
        </is>
      </c>
      <c r="G228" s="13" t="inlineStr">
        <is>
          <t>Óleo Vegetal / Éster Metílico / D-Limoneno Adjuvante</t>
        </is>
      </c>
      <c r="H228" s="13" t="inlineStr">
        <is>
          <t>EC</t>
        </is>
      </c>
      <c r="I228" s="13" t="inlineStr">
        <is>
          <t>Concentrado Emulsionável (EC)</t>
        </is>
      </c>
      <c r="J228" s="13" t="inlineStr">
        <is>
          <t>Aditivo físico-químico para calda de pulverização</t>
        </is>
      </c>
      <c r="K228" s="13" t="inlineStr">
        <is>
          <t>Éster Metílico / Hidrocarboneto Parafínico / Tensoativo Siliconado</t>
        </is>
      </c>
      <c r="L228" s="13" t="inlineStr">
        <is>
          <t>Adjuvante Tecnológico de Pulverização</t>
        </is>
      </c>
      <c r="M228" s="13" t="inlineStr">
        <is>
          <t>Redução da tensão superficial, espalhamento, anti-deriva e penetração cuticular</t>
        </is>
      </c>
      <c r="N228" s="13" t="inlineStr">
        <is>
          <t>Isento / Ato SDA nº 104/2017 (ou Categoria 5 quando registrado)</t>
        </is>
      </c>
      <c r="O228" s="13" t="inlineStr">
        <is>
          <t>Azul / Isento</t>
        </is>
      </c>
      <c r="P228" s="13" t="inlineStr">
        <is>
          <t>Classe IV — Pouco Perigoso ao Meio Ambiente</t>
        </is>
      </c>
      <c r="Q228" s="15" t="n">
        <v>24</v>
      </c>
      <c r="R228" s="13" t="inlineStr">
        <is>
          <t>Terrestre / Aérea (Drones consultar bula)</t>
        </is>
      </c>
      <c r="S228" s="13" t="inlineStr">
        <is>
          <t>Tratamento sintomático; evitar indução de vômito em derivados de petróleo</t>
        </is>
      </c>
      <c r="T228" s="13" t="inlineStr">
        <is>
          <t>Dispensado de Registro (Ato SDA nº 104/2017)</t>
        </is>
      </c>
      <c r="U228" s="16">
        <f>HYPERLINK("https://www.gov.br/agricultura/pt-br/assuntos/insumos-agropecuarios/insumos-agricolas/agrotoxicos/legislacao", "Ato SDA/MAPA nº 104/2017 — Adjuvantes Agrícolas")</f>
        <v/>
      </c>
    </row>
    <row r="229" ht="22" customHeight="1">
      <c r="A229" s="5" t="n">
        <v>224</v>
      </c>
      <c r="B229" s="6" t="inlineStr">
        <is>
          <t>ISENTO (ATO 104/2017)</t>
        </is>
      </c>
      <c r="C229" s="7" t="inlineStr">
        <is>
          <t>AGRICOIL CITRUS PLUS 1L (AMOSTRA)</t>
        </is>
      </c>
      <c r="D229" s="8" t="inlineStr">
        <is>
          <t>AGRICOIL CITRUS PLUS</t>
        </is>
      </c>
      <c r="E229" s="7" t="inlineStr">
        <is>
          <t>Adjuvante / Espalhante Adesivo</t>
        </is>
      </c>
      <c r="F229" s="7" t="inlineStr">
        <is>
          <t>Adjuvantes</t>
        </is>
      </c>
      <c r="G229" s="7" t="inlineStr">
        <is>
          <t>Óleo Vegetal / Éster Metílico / D-Limoneno Adjuvante</t>
        </is>
      </c>
      <c r="H229" s="7" t="inlineStr">
        <is>
          <t>EC</t>
        </is>
      </c>
      <c r="I229" s="7" t="inlineStr">
        <is>
          <t>Concentrado Emulsionável (EC)</t>
        </is>
      </c>
      <c r="J229" s="7" t="inlineStr">
        <is>
          <t>Aditivo físico-químico para calda de pulverização</t>
        </is>
      </c>
      <c r="K229" s="7" t="inlineStr">
        <is>
          <t>Éster Metílico / Hidrocarboneto Parafínico / Tensoativo Siliconado</t>
        </is>
      </c>
      <c r="L229" s="7" t="inlineStr">
        <is>
          <t>Adjuvante Tecnológico de Pulverização</t>
        </is>
      </c>
      <c r="M229" s="7" t="inlineStr">
        <is>
          <t>Redução da tensão superficial, espalhamento, anti-deriva e penetração cuticular</t>
        </is>
      </c>
      <c r="N229" s="7" t="inlineStr">
        <is>
          <t>Isento / Ato SDA nº 104/2017 (ou Categoria 5 quando registrado)</t>
        </is>
      </c>
      <c r="O229" s="7" t="inlineStr">
        <is>
          <t>Azul / Isento</t>
        </is>
      </c>
      <c r="P229" s="7" t="inlineStr">
        <is>
          <t>Classe IV — Pouco Perigoso ao Meio Ambiente</t>
        </is>
      </c>
      <c r="Q229" s="9" t="n">
        <v>24</v>
      </c>
      <c r="R229" s="7" t="inlineStr">
        <is>
          <t>Terrestre / Aérea (Drones consultar bula)</t>
        </is>
      </c>
      <c r="S229" s="7" t="inlineStr">
        <is>
          <t>Tratamento sintomático; evitar indução de vômito em derivados de petróleo</t>
        </is>
      </c>
      <c r="T229" s="7" t="inlineStr">
        <is>
          <t>Dispensado de Registro (Ato SDA nº 104/2017)</t>
        </is>
      </c>
      <c r="U229" s="10">
        <f>HYPERLINK("https://www.gov.br/agricultura/pt-br/assuntos/insumos-agropecuarios/insumos-agricolas/agrotoxicos/legislacao", "Ato SDA/MAPA nº 104/2017 — Adjuvantes Agrícolas")</f>
        <v/>
      </c>
    </row>
    <row r="230" ht="22" customHeight="1">
      <c r="A230" s="11" t="n">
        <v>225</v>
      </c>
      <c r="B230" s="12" t="inlineStr">
        <is>
          <t>ISENTO (ATO 104/2017)</t>
        </is>
      </c>
      <c r="C230" s="13" t="inlineStr">
        <is>
          <t>AGCN SAFE AIR 1L (AMOSTRA)</t>
        </is>
      </c>
      <c r="D230" s="14" t="inlineStr">
        <is>
          <t>AGCN SAFE AIR</t>
        </is>
      </c>
      <c r="E230" s="13" t="inlineStr">
        <is>
          <t>Adjuvante / Espalhante Adesivo</t>
        </is>
      </c>
      <c r="F230" s="13" t="inlineStr">
        <is>
          <t>Adjuvantes</t>
        </is>
      </c>
      <c r="G230" s="13" t="inlineStr">
        <is>
          <t>Adjuvante Espalhante / Surfactante / Redutor de pH e Deriva</t>
        </is>
      </c>
      <c r="H230" s="13" t="inlineStr">
        <is>
          <t>EC</t>
        </is>
      </c>
      <c r="I230" s="13" t="inlineStr">
        <is>
          <t>Concentrado Emulsionável (EC)</t>
        </is>
      </c>
      <c r="J230" s="13" t="inlineStr">
        <is>
          <t>Aditivo físico-químico para calda de pulverização</t>
        </is>
      </c>
      <c r="K230" s="13" t="inlineStr">
        <is>
          <t>Éster Metílico / Hidrocarboneto Parafínico / Tensoativo Siliconado</t>
        </is>
      </c>
      <c r="L230" s="13" t="inlineStr">
        <is>
          <t>Adjuvante Tecnológico de Pulverização</t>
        </is>
      </c>
      <c r="M230" s="13" t="inlineStr">
        <is>
          <t>Redução da tensão superficial, espalhamento, anti-deriva e penetração cuticular</t>
        </is>
      </c>
      <c r="N230" s="13" t="inlineStr">
        <is>
          <t>Isento / Ato SDA nº 104/2017 (ou Categoria 5 quando registrado)</t>
        </is>
      </c>
      <c r="O230" s="13" t="inlineStr">
        <is>
          <t>Azul / Isento</t>
        </is>
      </c>
      <c r="P230" s="13" t="inlineStr">
        <is>
          <t>Classe IV — Pouco Perigoso ao Meio Ambiente</t>
        </is>
      </c>
      <c r="Q230" s="15" t="n">
        <v>24</v>
      </c>
      <c r="R230" s="13" t="inlineStr">
        <is>
          <t>Terrestre / Aérea (Drones consultar bula)</t>
        </is>
      </c>
      <c r="S230" s="13" t="inlineStr">
        <is>
          <t>Tratamento sintomático; evitar indução de vômito em derivados de petróleo</t>
        </is>
      </c>
      <c r="T230" s="13" t="inlineStr">
        <is>
          <t>Dispensado de Registro (Ato SDA nº 104/2017)</t>
        </is>
      </c>
      <c r="U230" s="16">
        <f>HYPERLINK("https://www.gov.br/agricultura/pt-br/assuntos/insumos-agropecuarios/insumos-agricolas/agrotoxicos/legislacao", "Ato SDA/MAPA nº 104/2017 — Adjuvantes Agrícolas")</f>
        <v/>
      </c>
    </row>
    <row r="231" ht="22" customHeight="1">
      <c r="A231" s="5" t="n">
        <v>226</v>
      </c>
      <c r="B231" s="6" t="inlineStr">
        <is>
          <t>SIPEAGRO (UF-XXXXX)</t>
        </is>
      </c>
      <c r="C231" s="7" t="inlineStr">
        <is>
          <t>AGCN MG 16 1L (AMOSTRA)</t>
        </is>
      </c>
      <c r="D231" s="8" t="inlineStr">
        <is>
          <t>AGCN MG 16</t>
        </is>
      </c>
      <c r="E231" s="7" t="inlineStr">
        <is>
          <t>Fertilizante Mineral / Organomineral</t>
        </is>
      </c>
      <c r="F231" s="7" t="inlineStr">
        <is>
          <t>Fertilizantes</t>
        </is>
      </c>
      <c r="G231" s="7" t="inlineStr">
        <is>
          <t>Fertilizante Foliar / Micronutrientes</t>
        </is>
      </c>
      <c r="H231" s="7" t="inlineStr">
        <is>
          <t>SL</t>
        </is>
      </c>
      <c r="I231" s="7" t="inlineStr">
        <is>
          <t>Solução / Suspensão Concentrada Foliar (Fluido)</t>
        </is>
      </c>
      <c r="J231" s="7" t="inlineStr">
        <is>
          <t>Aplicação via solo, fertirrigação ou adubação foliar</t>
        </is>
      </c>
      <c r="K231" s="7" t="inlineStr">
        <is>
          <t>Fertilizante Mineral / Organomineral (Lei nº 6.894/1980)</t>
        </is>
      </c>
      <c r="L231" s="7" t="inlineStr">
        <is>
          <t>Nutrição Vegetal SIPEAGRO</t>
        </is>
      </c>
      <c r="M231" s="7" t="inlineStr">
        <is>
          <t>Fornecimento de macro e micronutrientes essenciais ao metabolismo vegetal</t>
        </is>
      </c>
      <c r="N231" s="7" t="inlineStr">
        <is>
          <t>Isento ANVISA (Produto Fertilizante Registrado no SIPEAGRO/MAPA)</t>
        </is>
      </c>
      <c r="O231" s="7" t="inlineStr">
        <is>
          <t>Não Aplicável (Fertilizante)</t>
        </is>
      </c>
      <c r="P231" s="7" t="inlineStr">
        <is>
          <t>Baixo Potencial Poluidor (Uso conforme recomendação agronômica)</t>
        </is>
      </c>
      <c r="Q231" s="9" t="n">
        <v>0</v>
      </c>
      <c r="R231" s="7" t="inlineStr">
        <is>
          <t>Aplicação Dirigida / TS / Solo</t>
        </is>
      </c>
      <c r="S231" s="7" t="inlineStr">
        <is>
          <t>Tratamento sintomático em caso de ingestão acidental</t>
        </is>
      </c>
      <c r="T231" s="7" t="inlineStr">
        <is>
          <t>Estabelecimento Produtor SIPEAGRO/MAPA</t>
        </is>
      </c>
      <c r="U231" s="10">
        <f>HYPERLINK("https://www.gov.br/agricultura/pt-br/assuntos/insumos-agropecuarios/insumos-agricolas/fertilizantes", "Portal SIPEAGRO / MAPA — Fertilizantes e Bioinsumos")</f>
        <v/>
      </c>
    </row>
    <row r="232" ht="22" customHeight="1">
      <c r="A232" s="11" t="n">
        <v>227</v>
      </c>
      <c r="B232" s="12" t="inlineStr">
        <is>
          <t>SIPEAGRO (UF-XXXXX)</t>
        </is>
      </c>
      <c r="C232" s="13" t="inlineStr">
        <is>
          <t>BIOLOGIC GRAM 5X1,8L</t>
        </is>
      </c>
      <c r="D232" s="14" t="inlineStr">
        <is>
          <t>BIOLOGIC GRAM 5X1,8L</t>
        </is>
      </c>
      <c r="E232" s="13" t="inlineStr">
        <is>
          <t>Inoculante / Biológico</t>
        </is>
      </c>
      <c r="F232" s="13" t="inlineStr">
        <is>
          <t>Inoculantes e Biológicos</t>
        </is>
      </c>
      <c r="G232" s="13" t="inlineStr">
        <is>
          <t>Inoculante Fixador de Nitrogênio</t>
        </is>
      </c>
      <c r="H232" s="13" t="inlineStr">
        <is>
          <t>Líquido</t>
        </is>
      </c>
      <c r="I232" s="13" t="inlineStr">
        <is>
          <t>Formulação Padrão (Líquido / Turfoso)</t>
        </is>
      </c>
      <c r="J232" s="13" t="inlineStr">
        <is>
          <t>Inoculante líquido/turfoso para tratamento de sementes e sulco</t>
        </is>
      </c>
      <c r="K232" s="13" t="inlineStr">
        <is>
          <t>Bactéria Diazotrófica Fixadora de Nitrogênio e Promotora de Crescimento</t>
        </is>
      </c>
      <c r="L232" s="13" t="inlineStr">
        <is>
          <t>Inoculante Biológico — Lei nº 6.894/1980</t>
        </is>
      </c>
      <c r="M232" s="13" t="inlineStr">
        <is>
          <t>Fixação biológica de N2 atmosférico e síntese de fitormônios (AIA)</t>
        </is>
      </c>
      <c r="N232" s="13" t="inlineStr">
        <is>
          <t>Isento (Inoculante Biológico SIPEAGRO)</t>
        </is>
      </c>
      <c r="O232" s="13" t="inlineStr">
        <is>
          <t>Não Aplicável (Inoculante)</t>
        </is>
      </c>
      <c r="P232" s="13" t="inlineStr">
        <is>
          <t>Classe IV — Produto Pouco Perigoso ao Meio Ambiente</t>
        </is>
      </c>
      <c r="Q232" s="15" t="n">
        <v>0</v>
      </c>
      <c r="R232" s="13" t="inlineStr">
        <is>
          <t>Aplicação Dirigida / TS / Solo</t>
        </is>
      </c>
      <c r="S232" s="13" t="inlineStr">
        <is>
          <t>Não aplicável (Inoculante biológico não tóxico)</t>
        </is>
      </c>
      <c r="T232" s="13" t="inlineStr">
        <is>
          <t>Estabelecimento Produtor SIPEAGRO/MAPA</t>
        </is>
      </c>
      <c r="U232" s="16">
        <f>HYPERLINK("https://www.gov.br/agricultura/pt-br/assuntos/insumos-agropecuarios/insumos-agricolas/fertilizantes", "Portal SIPEAGRO / MAPA — Fertilizantes e Bioinsumos")</f>
        <v/>
      </c>
    </row>
    <row r="233" ht="22" customHeight="1">
      <c r="A233" s="5" t="n">
        <v>228</v>
      </c>
      <c r="B233" s="6" t="inlineStr">
        <is>
          <t>Nº 34018</t>
        </is>
      </c>
      <c r="C233" s="7" t="inlineStr">
        <is>
          <t>BIOLOGIC GUARD 4X5L</t>
        </is>
      </c>
      <c r="D233" s="8" t="inlineStr">
        <is>
          <t>BIOLOGIC GUARD</t>
        </is>
      </c>
      <c r="E233" s="7" t="inlineStr">
        <is>
          <t>Produto Formulado Comercial</t>
        </is>
      </c>
      <c r="F233" s="7" t="inlineStr">
        <is>
          <t>Defensivos</t>
        </is>
      </c>
      <c r="G233" s="7" t="inlineStr">
        <is>
          <t>Biofungicida (Biológico)</t>
        </is>
      </c>
      <c r="H233" s="7" t="inlineStr">
        <is>
          <t>SC</t>
        </is>
      </c>
      <c r="I233" s="7" t="inlineStr">
        <is>
          <t>Suspensão Concentrada (SC)</t>
        </is>
      </c>
      <c r="J233" s="7" t="inlineStr">
        <is>
          <t>Tratamento de sementes, sulco de plantio ou pulverização foliar</t>
        </is>
      </c>
      <c r="K233" s="7" t="inlineStr">
        <is>
          <t>Inoculante / Agente Biológico de Controle</t>
        </is>
      </c>
      <c r="L233" s="7" t="inlineStr">
        <is>
          <t>Bioinsumo Agrícola</t>
        </is>
      </c>
      <c r="M233" s="7" t="inlineStr">
        <is>
          <t>Simbiose radicular, antagonismo biológico ou controle entomopatogênico</t>
        </is>
      </c>
      <c r="N233" s="7" t="inlineStr">
        <is>
          <t>Categoria 5 / Isento (Bioinsumo)</t>
        </is>
      </c>
      <c r="O233" s="7" t="inlineStr">
        <is>
          <t>Azul Intenso</t>
        </is>
      </c>
      <c r="P233" s="7" t="inlineStr">
        <is>
          <t>Classe IV — Produto Pouco Perigoso ao Meio Ambiente</t>
        </is>
      </c>
      <c r="Q233" s="9" t="n">
        <v>24</v>
      </c>
      <c r="R233" s="7" t="inlineStr">
        <is>
          <t>Terrestre / Aérea (Drones consultar bula)</t>
        </is>
      </c>
      <c r="S233" s="7" t="inlineStr">
        <is>
          <t>Tratamento sintomático</t>
        </is>
      </c>
      <c r="T233" s="7" t="inlineStr">
        <is>
          <t>BALLAGRO AGRO TECNOLOGIA LTDA.</t>
        </is>
      </c>
      <c r="U233" s="10">
        <f>HYPERLINK("https://www.adapar.pr.gov.br/Pagina/Agrotoxicos-Fungicidas", "Registro Oficial Biologic Guard (MAPA 34018)")</f>
        <v/>
      </c>
    </row>
    <row r="234" ht="22" customHeight="1">
      <c r="A234" s="11" t="n">
        <v>229</v>
      </c>
      <c r="B234" s="12" t="inlineStr">
        <is>
          <t>SIPEAGRO (UF-XXXXX)</t>
        </is>
      </c>
      <c r="C234" s="13" t="inlineStr">
        <is>
          <t>PREBIOTIC GL 5L (AMOSTRA)</t>
        </is>
      </c>
      <c r="D234" s="14" t="inlineStr">
        <is>
          <t>PREBIOTIC GL</t>
        </is>
      </c>
      <c r="E234" s="13" t="inlineStr">
        <is>
          <t>Fertilizante Mineral / Organomineral</t>
        </is>
      </c>
      <c r="F234" s="13" t="inlineStr">
        <is>
          <t>Fertilizantes</t>
        </is>
      </c>
      <c r="G234" s="13" t="inlineStr">
        <is>
          <t>Fertilizante Organomineral / Bioestimulante</t>
        </is>
      </c>
      <c r="H234" s="13" t="inlineStr">
        <is>
          <t>SL</t>
        </is>
      </c>
      <c r="I234" s="13" t="inlineStr">
        <is>
          <t>Solução / Suspensão Concentrada Foliar (Fluido)</t>
        </is>
      </c>
      <c r="J234" s="13" t="inlineStr">
        <is>
          <t>Aplicação via solo, fertirrigação ou adubação foliar</t>
        </is>
      </c>
      <c r="K234" s="13" t="inlineStr">
        <is>
          <t>Fertilizante Mineral / Organomineral (Lei nº 6.894/1980)</t>
        </is>
      </c>
      <c r="L234" s="13" t="inlineStr">
        <is>
          <t>Nutrição Vegetal SIPEAGRO</t>
        </is>
      </c>
      <c r="M234" s="13" t="inlineStr">
        <is>
          <t>Fornecimento de macro e micronutrientes essenciais ao metabolismo vegetal</t>
        </is>
      </c>
      <c r="N234" s="13" t="inlineStr">
        <is>
          <t>Isento ANVISA (Produto Fertilizante Registrado no SIPEAGRO/MAPA)</t>
        </is>
      </c>
      <c r="O234" s="13" t="inlineStr">
        <is>
          <t>Não Aplicável (Fertilizante)</t>
        </is>
      </c>
      <c r="P234" s="13" t="inlineStr">
        <is>
          <t>Baixo Potencial Poluidor (Uso conforme recomendação agronômica)</t>
        </is>
      </c>
      <c r="Q234" s="15" t="n">
        <v>0</v>
      </c>
      <c r="R234" s="13" t="inlineStr">
        <is>
          <t>Aplicação Dirigida / TS / Solo</t>
        </is>
      </c>
      <c r="S234" s="13" t="inlineStr">
        <is>
          <t>Tratamento sintomático em caso de ingestão acidental</t>
        </is>
      </c>
      <c r="T234" s="13" t="inlineStr">
        <is>
          <t>Estabelecimento Produtor SIPEAGRO/MAPA</t>
        </is>
      </c>
      <c r="U234" s="16">
        <f>HYPERLINK("https://www.gov.br/agricultura/pt-br/assuntos/insumos-agropecuarios/insumos-agricolas/fertilizantes", "Portal SIPEAGRO / MAPA — Fertilizantes e Bioinsumos")</f>
        <v/>
      </c>
    </row>
    <row r="235" ht="22" customHeight="1">
      <c r="A235" s="5" t="n">
        <v>230</v>
      </c>
      <c r="B235" s="6" t="inlineStr">
        <is>
          <t>Nº 9420</t>
        </is>
      </c>
      <c r="C235" s="7" t="inlineStr">
        <is>
          <t>OFEK-TURBO 4X5L</t>
        </is>
      </c>
      <c r="D235" s="8" t="inlineStr">
        <is>
          <t>OFEK-TURBO</t>
        </is>
      </c>
      <c r="E235" s="7" t="inlineStr">
        <is>
          <t>Produto Formulado Comercial</t>
        </is>
      </c>
      <c r="F235" s="7" t="inlineStr">
        <is>
          <t>Defensivos</t>
        </is>
      </c>
      <c r="G235" s="7" t="inlineStr">
        <is>
          <t>Fungicida</t>
        </is>
      </c>
      <c r="H235" s="7" t="inlineStr">
        <is>
          <t>SC</t>
        </is>
      </c>
      <c r="I235" s="7" t="inlineStr">
        <is>
          <t>Suspensão Concentrada (SC)</t>
        </is>
      </c>
      <c r="J235" s="7" t="inlineStr">
        <is>
          <t>Fungicida sistêmico preventivo e curativo</t>
        </is>
      </c>
      <c r="K235" s="7" t="inlineStr">
        <is>
          <t>Triazol</t>
        </is>
      </c>
      <c r="L235" s="7" t="inlineStr">
        <is>
          <t>FRAC Grupo 3 (DMI)</t>
        </is>
      </c>
      <c r="M235" s="7" t="inlineStr">
        <is>
          <t>Inibidores da desmetilação de C14 na biossíntese de ergosterol</t>
        </is>
      </c>
      <c r="N235" s="7" t="inlineStr">
        <is>
          <t>Categoria 4 — Produto Pouco Tóxico</t>
        </is>
      </c>
      <c r="O235" s="7" t="inlineStr">
        <is>
          <t>Azul PMS Blue 293 C</t>
        </is>
      </c>
      <c r="P235" s="7" t="inlineStr">
        <is>
          <t>Classe II — Produto Muito Perigoso ao Meio Ambiente</t>
        </is>
      </c>
      <c r="Q235" s="9" t="n">
        <v>24</v>
      </c>
      <c r="R235" s="7" t="inlineStr">
        <is>
          <t>Terrestre / Aérea (Drones consultar bula)</t>
        </is>
      </c>
      <c r="S235" s="7" t="inlineStr">
        <is>
          <t>Sem antídoto específico; tratamento sintomático</t>
        </is>
      </c>
      <c r="T235" s="7" t="inlineStr">
        <is>
          <t>Adama / Rainbow</t>
        </is>
      </c>
      <c r="U235" s="10">
        <f>HYPERLINK("https://agrofit.agricultura.gov.br/agrofit_cons/principal_agrofit_cons", "Consulta Oficial AGROFIT/MAPA (Nº 9420)")</f>
        <v/>
      </c>
    </row>
    <row r="236" ht="22" customHeight="1">
      <c r="A236" s="11" t="n">
        <v>231</v>
      </c>
      <c r="B236" s="12" t="inlineStr">
        <is>
          <t>VINCULAR MARCA</t>
        </is>
      </c>
      <c r="C236" s="13" t="inlineStr">
        <is>
          <t>ETIPROLE 200 SC (PRINCIPIO ATIVO)</t>
        </is>
      </c>
      <c r="D236" s="14" t="inlineStr">
        <is>
          <t>ETIPROLE</t>
        </is>
      </c>
      <c r="E236" s="13" t="inlineStr">
        <is>
          <t>Produto Técnico Industrial</t>
        </is>
      </c>
      <c r="F236" s="13" t="inlineStr">
        <is>
          <t>Defensivos</t>
        </is>
      </c>
      <c r="G236" s="13" t="inlineStr">
        <is>
          <t>Inseticida (Princípio Ativo / Técnico)</t>
        </is>
      </c>
      <c r="H236" s="13" t="inlineStr">
        <is>
          <t>TC</t>
        </is>
      </c>
      <c r="I236" s="13" t="inlineStr">
        <is>
          <t>Produto Técnico Industrial (TC)</t>
        </is>
      </c>
      <c r="J236" s="13" t="inlineStr">
        <is>
          <t>Inseticida/acaricida de contato e ingestão</t>
        </is>
      </c>
      <c r="K236" s="13" t="inlineStr">
        <is>
          <t>Fenilpirazol</t>
        </is>
      </c>
      <c r="L236" s="13" t="inlineStr">
        <is>
          <t>IRAC Grupo 2B</t>
        </is>
      </c>
      <c r="M236" s="13" t="inlineStr">
        <is>
          <t>Bloqueadores de canais de cloro mediados pelo GABA</t>
        </is>
      </c>
      <c r="N236" s="13" t="inlineStr">
        <is>
          <t>Categoria 3 / 4 — Moderadamente a Pouco Tóxico</t>
        </is>
      </c>
      <c r="O236" s="13" t="inlineStr">
        <is>
          <t>Amarelo / Azul</t>
        </is>
      </c>
      <c r="P236" s="13" t="inlineStr">
        <is>
          <t>Classe II — Produto Muito Perigoso ao Meio Ambiente</t>
        </is>
      </c>
      <c r="Q236" s="15" t="n">
        <v>24</v>
      </c>
      <c r="R236" s="13" t="inlineStr">
        <is>
          <t>Terrestre / Aérea (Drones consultar bula)</t>
        </is>
      </c>
      <c r="S236" s="13" t="inlineStr">
        <is>
          <t>Tratamento sintomático conforme grupo químico na bula</t>
        </is>
      </c>
      <c r="T236" s="13" t="inlineStr">
        <is>
          <t>BAYER S.A.</t>
        </is>
      </c>
      <c r="U236" s="16">
        <f>HYPERLINK("https://agrofit.agricultura.gov.br/agrofit_cons/principal_agrofit_cons", "Consulta Oficial AGROFIT/MAPA (VINCULAR MARCA)")</f>
        <v/>
      </c>
    </row>
    <row r="237" ht="22" customHeight="1">
      <c r="A237" s="5" t="n">
        <v>232</v>
      </c>
      <c r="B237" s="6" t="inlineStr">
        <is>
          <t>Nº 8215</t>
        </is>
      </c>
      <c r="C237" s="7" t="inlineStr">
        <is>
          <t>TEBUCONAZOLE 430 SC (PRINCIPIO ATIVO)</t>
        </is>
      </c>
      <c r="D237" s="8" t="inlineStr">
        <is>
          <t>TEBUCONAZOLE</t>
        </is>
      </c>
      <c r="E237" s="7" t="inlineStr">
        <is>
          <t>Produto Técnico Industrial</t>
        </is>
      </c>
      <c r="F237" s="7" t="inlineStr">
        <is>
          <t>Defensivos</t>
        </is>
      </c>
      <c r="G237" s="7" t="inlineStr">
        <is>
          <t>Fungicida (Princípio Ativo / Técnico)</t>
        </is>
      </c>
      <c r="H237" s="7" t="inlineStr">
        <is>
          <t>TC</t>
        </is>
      </c>
      <c r="I237" s="7" t="inlineStr">
        <is>
          <t>Produto Técnico Industrial (TC)</t>
        </is>
      </c>
      <c r="J237" s="7" t="inlineStr">
        <is>
          <t>Fungicida sistêmico preventivo e curativo</t>
        </is>
      </c>
      <c r="K237" s="7" t="inlineStr">
        <is>
          <t>Triazol</t>
        </is>
      </c>
      <c r="L237" s="7" t="inlineStr">
        <is>
          <t>FRAC Grupo 3 (DMI)</t>
        </is>
      </c>
      <c r="M237" s="7" t="inlineStr">
        <is>
          <t>Inibidores da desmetilação de C14 na biossíntese de ergosterol</t>
        </is>
      </c>
      <c r="N237" s="7" t="inlineStr">
        <is>
          <t>Categoria 4 — Produto Pouco Tóxico</t>
        </is>
      </c>
      <c r="O237" s="7" t="inlineStr">
        <is>
          <t>Azul PMS Blue 293 C</t>
        </is>
      </c>
      <c r="P237" s="7" t="inlineStr">
        <is>
          <t>Classe II — Produto Muito Perigoso ao Meio Ambiente</t>
        </is>
      </c>
      <c r="Q237" s="9" t="n">
        <v>24</v>
      </c>
      <c r="R237" s="7" t="inlineStr">
        <is>
          <t>Terrestre / Aérea (Drones consultar bula)</t>
        </is>
      </c>
      <c r="S237" s="7" t="inlineStr">
        <is>
          <t>Sem antídoto específico; tratamento sintomático</t>
        </is>
      </c>
      <c r="T237" s="7" t="inlineStr">
        <is>
          <t>SIPCAM NICHINO BRASIL S.A.</t>
        </is>
      </c>
      <c r="U237" s="10">
        <f>HYPERLINK("https://www.adapar.pr.gov.br/Pagina/Agrotoxicos-Fungicidas", "Registro Oficial Fezan Gold SC (MAPA 8215)")</f>
        <v/>
      </c>
    </row>
    <row r="238" ht="22" customHeight="1">
      <c r="A238" s="11" t="n">
        <v>233</v>
      </c>
      <c r="B238" s="12" t="inlineStr">
        <is>
          <t>Nº 14421</t>
        </is>
      </c>
      <c r="C238" s="13" t="inlineStr">
        <is>
          <t>FIPRONIL 250 (PRINCIPIOA ATIVO)</t>
        </is>
      </c>
      <c r="D238" s="14" t="inlineStr">
        <is>
          <t>FIPRONIL 250 (PRINCIPIOA ATIVO)</t>
        </is>
      </c>
      <c r="E238" s="13" t="inlineStr">
        <is>
          <t>Produto Técnico Industrial</t>
        </is>
      </c>
      <c r="F238" s="13" t="inlineStr">
        <is>
          <t>Defensivos</t>
        </is>
      </c>
      <c r="G238" s="13" t="inlineStr">
        <is>
          <t>Inseticida (Princípio Ativo / Técnico)</t>
        </is>
      </c>
      <c r="H238" s="13" t="inlineStr">
        <is>
          <t>FS</t>
        </is>
      </c>
      <c r="I238" s="13" t="inlineStr">
        <is>
          <t>Suspensão Concentrada para Tratamento de Sementes (FS)</t>
        </is>
      </c>
      <c r="J238" s="13" t="inlineStr">
        <is>
          <t>Inseticida, cupinicida e formicida de contato e ingestão (TS / Solo)</t>
        </is>
      </c>
      <c r="K238" s="13" t="inlineStr">
        <is>
          <t>Pirazol (Fenilpirazol)</t>
        </is>
      </c>
      <c r="L238" s="13" t="inlineStr">
        <is>
          <t>IRAC Grupo 2B</t>
        </is>
      </c>
      <c r="M238" s="13" t="inlineStr">
        <is>
          <t>Bloqueadores de canais de cloro mediados pelo GABA</t>
        </is>
      </c>
      <c r="N238" s="13" t="inlineStr">
        <is>
          <t>Categoria 3 — Produto Moderadamente Tóxico</t>
        </is>
      </c>
      <c r="O238" s="13" t="inlineStr">
        <is>
          <t>Amarelo PMS Yellow C</t>
        </is>
      </c>
      <c r="P238" s="13" t="inlineStr">
        <is>
          <t>Classe II — Produto Muito Perigoso ao Meio Ambiente</t>
        </is>
      </c>
      <c r="Q238" s="15" t="n">
        <v>0</v>
      </c>
      <c r="R238" s="13" t="inlineStr">
        <is>
          <t>Aplicação Dirigida / TS / Solo</t>
        </is>
      </c>
      <c r="S238" s="13" t="inlineStr">
        <is>
          <t>Sem antídoto específico; tratamento sintomático e controle neurológico</t>
        </is>
      </c>
      <c r="T238" s="13" t="inlineStr">
        <is>
          <t>AGRICONNECTION IMPORTADORA E EXPORTADORA DE INSUMOS AGRÍCOLAS LTDA.</t>
        </is>
      </c>
      <c r="U238" s="16">
        <f>HYPERLINK("https://agrofit.agricultura.gov.br/agrofit_cons/principal_agrofit_cons", "Consulta Oficial AGROFIT/MAPA (Nº 14421)")</f>
        <v/>
      </c>
    </row>
    <row r="239" ht="22" customHeight="1">
      <c r="A239" s="5" t="n">
        <v>234</v>
      </c>
      <c r="B239" s="6" t="inlineStr">
        <is>
          <t>Nº 4798</t>
        </is>
      </c>
      <c r="C239" s="7" t="inlineStr">
        <is>
          <t>VOLCANE 790 1X20L (IMP) LL</t>
        </is>
      </c>
      <c r="D239" s="8" t="inlineStr">
        <is>
          <t>VOLCANE 790</t>
        </is>
      </c>
      <c r="E239" s="7" t="inlineStr">
        <is>
          <t>Produto Formulado Comercial</t>
        </is>
      </c>
      <c r="F239" s="7" t="inlineStr">
        <is>
          <t>Defensivos</t>
        </is>
      </c>
      <c r="G239" s="7" t="inlineStr">
        <is>
          <t>Herbicida</t>
        </is>
      </c>
      <c r="H239" s="7" t="inlineStr">
        <is>
          <t>SL</t>
        </is>
      </c>
      <c r="I239" s="7" t="inlineStr">
        <is>
          <t>Concentrado Solúvel (SL)</t>
        </is>
      </c>
      <c r="J239" s="7" t="inlineStr">
        <is>
          <t>Herbicida de pré ou pós-emergência</t>
        </is>
      </c>
      <c r="K239" s="7" t="inlineStr">
        <is>
          <t>Organoarsênico</t>
        </is>
      </c>
      <c r="L239" s="7" t="inlineStr">
        <is>
          <t>HRAC Grupo Z (0) — Mecanismo Desconhecido</t>
        </is>
      </c>
      <c r="M239" s="7" t="inlineStr">
        <is>
          <t>Perturbação da membrana celular e desacoplamento energético</t>
        </is>
      </c>
      <c r="N239" s="7" t="inlineStr">
        <is>
          <t>Categoria 4 / 5 — Pouco Tóxico (Conforme Bula ANVISA)</t>
        </is>
      </c>
      <c r="O239" s="7" t="inlineStr">
        <is>
          <t>Azul PMS Blue 293 C</t>
        </is>
      </c>
      <c r="P239" s="7" t="inlineStr">
        <is>
          <t>Classe II / III — Perigoso ao Meio Ambiente</t>
        </is>
      </c>
      <c r="Q239" s="9" t="n">
        <v>24</v>
      </c>
      <c r="R239" s="7" t="inlineStr">
        <is>
          <t>Terrestre / Aérea (Drones consultar bula)</t>
        </is>
      </c>
      <c r="S239" s="7" t="inlineStr">
        <is>
          <t>Sem antídoto específico; tratamento sintomático e descontaminação</t>
        </is>
      </c>
      <c r="T239" s="7" t="inlineStr">
        <is>
          <t>Adama / Luxembourg</t>
        </is>
      </c>
      <c r="U239" s="10">
        <f>HYPERLINK("https://agrofit.agricultura.gov.br/agrofit_cons/principal_agrofit_cons", "Consulta Oficial AGROFIT/MAPA (Nº 4798)")</f>
        <v/>
      </c>
    </row>
    <row r="240" ht="22" customHeight="1">
      <c r="A240" s="11" t="n">
        <v>235</v>
      </c>
      <c r="B240" s="12" t="inlineStr">
        <is>
          <t>Nº 11922</t>
        </is>
      </c>
      <c r="C240" s="13" t="inlineStr">
        <is>
          <t>TRICLOPIR 1X20L</t>
        </is>
      </c>
      <c r="D240" s="14" t="inlineStr">
        <is>
          <t>TRICLOPIR</t>
        </is>
      </c>
      <c r="E240" s="13" t="inlineStr">
        <is>
          <t>Produto Formulado Comercial</t>
        </is>
      </c>
      <c r="F240" s="13" t="inlineStr">
        <is>
          <t>Defensivos</t>
        </is>
      </c>
      <c r="G240" s="13" t="inlineStr">
        <is>
          <t>Herbicida</t>
        </is>
      </c>
      <c r="H240" s="13" t="inlineStr">
        <is>
          <t>EC</t>
        </is>
      </c>
      <c r="I240" s="13" t="inlineStr">
        <is>
          <t>Concentrado Emulsionável (EC)</t>
        </is>
      </c>
      <c r="J240" s="13" t="inlineStr">
        <is>
          <t>Herbicida sistêmico seletivo de pós-emergência</t>
        </is>
      </c>
      <c r="K240" s="13" t="inlineStr">
        <is>
          <t>Ácido piridiniloxialcanoico</t>
        </is>
      </c>
      <c r="L240" s="13" t="inlineStr">
        <is>
          <t>HRAC Grupo O (4) — Auxinas Sintéticas</t>
        </is>
      </c>
      <c r="M240" s="13" t="inlineStr">
        <is>
          <t>Mimetizadores da auxina (crescimento desordenado e epinastia)</t>
        </is>
      </c>
      <c r="N240" s="13" t="inlineStr">
        <is>
          <t>Categoria 4 — Produto Pouco Tóxico</t>
        </is>
      </c>
      <c r="O240" s="13" t="inlineStr">
        <is>
          <t>Azul PMS Blue 293 C</t>
        </is>
      </c>
      <c r="P240" s="13" t="inlineStr">
        <is>
          <t>Classe II — Produto Muito Perigoso ao Meio Ambiente</t>
        </is>
      </c>
      <c r="Q240" s="15" t="n">
        <v>24</v>
      </c>
      <c r="R240" s="13" t="inlineStr">
        <is>
          <t>Terrestre / Aérea (Drones consultar bula)</t>
        </is>
      </c>
      <c r="S240" s="13" t="inlineStr">
        <is>
          <t>Sem antídoto específico; tratamento sintomático</t>
        </is>
      </c>
      <c r="T240" s="13" t="inlineStr">
        <is>
          <t>RAINBOW DEFENSIVOS AGRÍCOLAS LTDA.</t>
        </is>
      </c>
      <c r="U240" s="16">
        <f>HYPERLINK("https://www.adapar.pr.gov.br/Pagina/Agrotoxicos-Herbicidas", "Registro Oficial Triclopir 480 EC (MAPA 11922)")</f>
        <v/>
      </c>
    </row>
    <row r="241" ht="22" customHeight="1">
      <c r="A241" s="5" t="n">
        <v>236</v>
      </c>
      <c r="B241" s="6" t="inlineStr">
        <is>
          <t>Nº 13520</t>
        </is>
      </c>
      <c r="C241" s="7" t="inlineStr">
        <is>
          <t>CLORIMURON 250 WG 48X0,3KG (AGUARDAR FISCAL)</t>
        </is>
      </c>
      <c r="D241" s="8" t="inlineStr">
        <is>
          <t>CLORIMURON 250 WG 48X0,3KG (AGUARDAR FISCAL)</t>
        </is>
      </c>
      <c r="E241" s="7" t="inlineStr">
        <is>
          <t>Produto Formulado Comercial</t>
        </is>
      </c>
      <c r="F241" s="7" t="inlineStr">
        <is>
          <t>Defensivos</t>
        </is>
      </c>
      <c r="G241" s="7" t="inlineStr">
        <is>
          <t>Herbicida</t>
        </is>
      </c>
      <c r="H241" s="7" t="inlineStr">
        <is>
          <t>WG</t>
        </is>
      </c>
      <c r="I241" s="7" t="inlineStr">
        <is>
          <t>Grânulos Dispersíveis em Água (WG)</t>
        </is>
      </c>
      <c r="J241" s="7" t="inlineStr">
        <is>
          <t>Herbicida de pré ou pós-emergência</t>
        </is>
      </c>
      <c r="K241" s="7" t="inlineStr">
        <is>
          <t>Sulfonilureia</t>
        </is>
      </c>
      <c r="L241" s="7" t="inlineStr">
        <is>
          <t>HRAC Grupo B (2) — Inibidores da ALS</t>
        </is>
      </c>
      <c r="M241" s="7" t="inlineStr">
        <is>
          <t>Inibição da enzima acetolactato sintase (ALS / AHAS)</t>
        </is>
      </c>
      <c r="N241" s="7" t="inlineStr">
        <is>
          <t>Categoria 4 / 5 — Pouco Tóxico (Conforme Bula ANVISA)</t>
        </is>
      </c>
      <c r="O241" s="7" t="inlineStr">
        <is>
          <t>Azul PMS Blue 293 C</t>
        </is>
      </c>
      <c r="P241" s="7" t="inlineStr">
        <is>
          <t>Classe II / III — Perigoso ao Meio Ambiente</t>
        </is>
      </c>
      <c r="Q241" s="9" t="n">
        <v>24</v>
      </c>
      <c r="R241" s="7" t="inlineStr">
        <is>
          <t>Terrestre / Aérea (Drones consultar bula)</t>
        </is>
      </c>
      <c r="S241" s="7" t="inlineStr">
        <is>
          <t>Sem antídoto específico; tratamento sintomático e descontaminação</t>
        </is>
      </c>
      <c r="T241" s="7" t="inlineStr">
        <is>
          <t>Rainbow Defensivos</t>
        </is>
      </c>
      <c r="U241" s="10">
        <f>HYPERLINK("https://agrofit.agricultura.gov.br/agrofit_cons/principal_agrofit_cons", "Consulta Oficial AGROFIT/MAPA (Nº 13520)")</f>
        <v/>
      </c>
    </row>
    <row r="242" ht="22" customHeight="1">
      <c r="A242" s="11" t="n">
        <v>237</v>
      </c>
      <c r="B242" s="12" t="inlineStr">
        <is>
          <t>Nº 13520</t>
        </is>
      </c>
      <c r="C242" s="13" t="inlineStr">
        <is>
          <t>CLORIMURON 250 WG  15X0,300KG (AGUARDAR FISCAL)</t>
        </is>
      </c>
      <c r="D242" s="14" t="inlineStr">
        <is>
          <t>CLORIMURON 250 WG  15X0,300KG (AGUARDAR FISCAL)</t>
        </is>
      </c>
      <c r="E242" s="13" t="inlineStr">
        <is>
          <t>Produto Formulado Comercial</t>
        </is>
      </c>
      <c r="F242" s="13" t="inlineStr">
        <is>
          <t>Defensivos</t>
        </is>
      </c>
      <c r="G242" s="13" t="inlineStr">
        <is>
          <t>Herbicida</t>
        </is>
      </c>
      <c r="H242" s="13" t="inlineStr">
        <is>
          <t>WG</t>
        </is>
      </c>
      <c r="I242" s="13" t="inlineStr">
        <is>
          <t>Grânulos Dispersíveis em Água (WG)</t>
        </is>
      </c>
      <c r="J242" s="13" t="inlineStr">
        <is>
          <t>Herbicida de pré ou pós-emergência</t>
        </is>
      </c>
      <c r="K242" s="13" t="inlineStr">
        <is>
          <t>Sulfonilureia</t>
        </is>
      </c>
      <c r="L242" s="13" t="inlineStr">
        <is>
          <t>HRAC Grupo B (2) — Inibidores da ALS</t>
        </is>
      </c>
      <c r="M242" s="13" t="inlineStr">
        <is>
          <t>Inibição da enzima acetolactato sintase (ALS / AHAS)</t>
        </is>
      </c>
      <c r="N242" s="13" t="inlineStr">
        <is>
          <t>Categoria 4 / 5 — Pouco Tóxico (Conforme Bula ANVISA)</t>
        </is>
      </c>
      <c r="O242" s="13" t="inlineStr">
        <is>
          <t>Azul PMS Blue 293 C</t>
        </is>
      </c>
      <c r="P242" s="13" t="inlineStr">
        <is>
          <t>Classe II / III — Perigoso ao Meio Ambiente</t>
        </is>
      </c>
      <c r="Q242" s="15" t="n">
        <v>24</v>
      </c>
      <c r="R242" s="13" t="inlineStr">
        <is>
          <t>Terrestre / Aérea (Drones consultar bula)</t>
        </is>
      </c>
      <c r="S242" s="13" t="inlineStr">
        <is>
          <t>Sem antídoto específico; tratamento sintomático e descontaminação</t>
        </is>
      </c>
      <c r="T242" s="13" t="inlineStr">
        <is>
          <t>Rainbow Defensivos</t>
        </is>
      </c>
      <c r="U242" s="16">
        <f>HYPERLINK("https://agrofit.agricultura.gov.br/agrofit_cons/principal_agrofit_cons", "Consulta Oficial AGROFIT/MAPA (Nº 13520)")</f>
        <v/>
      </c>
    </row>
    <row r="243" ht="22" customHeight="1">
      <c r="A243" s="5" t="n">
        <v>238</v>
      </c>
      <c r="B243" s="6" t="inlineStr">
        <is>
          <t>Nº 13520</t>
        </is>
      </c>
      <c r="C243" s="7" t="inlineStr">
        <is>
          <t>CLORIMURON 250 WG RAIMBOW 15X0,300KG (VALIDAR FISC</t>
        </is>
      </c>
      <c r="D243" s="8" t="inlineStr">
        <is>
          <t>CLORIMURON 250 WG RAIMBOW 15X0,300KG (VALIDAR FISC</t>
        </is>
      </c>
      <c r="E243" s="7" t="inlineStr">
        <is>
          <t>Produto Formulado Comercial</t>
        </is>
      </c>
      <c r="F243" s="7" t="inlineStr">
        <is>
          <t>Defensivos</t>
        </is>
      </c>
      <c r="G243" s="7" t="inlineStr">
        <is>
          <t>Herbicida</t>
        </is>
      </c>
      <c r="H243" s="7" t="inlineStr">
        <is>
          <t>WG</t>
        </is>
      </c>
      <c r="I243" s="7" t="inlineStr">
        <is>
          <t>Grânulos Dispersíveis em Água (WG)</t>
        </is>
      </c>
      <c r="J243" s="7" t="inlineStr">
        <is>
          <t>Herbicida de pré ou pós-emergência</t>
        </is>
      </c>
      <c r="K243" s="7" t="inlineStr">
        <is>
          <t>Sulfonilureia</t>
        </is>
      </c>
      <c r="L243" s="7" t="inlineStr">
        <is>
          <t>HRAC Grupo B (2) — Inibidores da ALS</t>
        </is>
      </c>
      <c r="M243" s="7" t="inlineStr">
        <is>
          <t>Inibição da enzima acetolactato sintase (ALS / AHAS)</t>
        </is>
      </c>
      <c r="N243" s="7" t="inlineStr">
        <is>
          <t>Categoria 4 / 5 — Pouco Tóxico (Conforme Bula ANVISA)</t>
        </is>
      </c>
      <c r="O243" s="7" t="inlineStr">
        <is>
          <t>Azul PMS Blue 293 C</t>
        </is>
      </c>
      <c r="P243" s="7" t="inlineStr">
        <is>
          <t>Classe II / III — Perigoso ao Meio Ambiente</t>
        </is>
      </c>
      <c r="Q243" s="9" t="n">
        <v>24</v>
      </c>
      <c r="R243" s="7" t="inlineStr">
        <is>
          <t>Terrestre / Aérea (Drones consultar bula)</t>
        </is>
      </c>
      <c r="S243" s="7" t="inlineStr">
        <is>
          <t>Sem antídoto específico; tratamento sintomático e descontaminação</t>
        </is>
      </c>
      <c r="T243" s="7" t="inlineStr">
        <is>
          <t>Rainbow Defensivos</t>
        </is>
      </c>
      <c r="U243" s="10">
        <f>HYPERLINK("https://agrofit.agricultura.gov.br/agrofit_cons/principal_agrofit_cons", "Consulta Oficial AGROFIT/MAPA (Nº 13520)")</f>
        <v/>
      </c>
    </row>
    <row r="244" ht="22" customHeight="1">
      <c r="A244" s="11" t="n">
        <v>239</v>
      </c>
      <c r="B244" s="12" t="inlineStr">
        <is>
          <t>Nº 11922</t>
        </is>
      </c>
      <c r="C244" s="13" t="inlineStr">
        <is>
          <t>TRICLOPIR 4X5L</t>
        </is>
      </c>
      <c r="D244" s="14" t="inlineStr">
        <is>
          <t>TRICLOPIR</t>
        </is>
      </c>
      <c r="E244" s="13" t="inlineStr">
        <is>
          <t>Produto Formulado Comercial</t>
        </is>
      </c>
      <c r="F244" s="13" t="inlineStr">
        <is>
          <t>Defensivos</t>
        </is>
      </c>
      <c r="G244" s="13" t="inlineStr">
        <is>
          <t>Herbicida</t>
        </is>
      </c>
      <c r="H244" s="13" t="inlineStr">
        <is>
          <t>EC</t>
        </is>
      </c>
      <c r="I244" s="13" t="inlineStr">
        <is>
          <t>Concentrado Emulsionável (EC)</t>
        </is>
      </c>
      <c r="J244" s="13" t="inlineStr">
        <is>
          <t>Herbicida sistêmico seletivo de pós-emergência</t>
        </is>
      </c>
      <c r="K244" s="13" t="inlineStr">
        <is>
          <t>Ácido piridiniloxialcanoico</t>
        </is>
      </c>
      <c r="L244" s="13" t="inlineStr">
        <is>
          <t>HRAC Grupo O (4) — Auxinas Sintéticas</t>
        </is>
      </c>
      <c r="M244" s="13" t="inlineStr">
        <is>
          <t>Mimetizadores da auxina (crescimento desordenado e epinastia)</t>
        </is>
      </c>
      <c r="N244" s="13" t="inlineStr">
        <is>
          <t>Categoria 4 — Produto Pouco Tóxico</t>
        </is>
      </c>
      <c r="O244" s="13" t="inlineStr">
        <is>
          <t>Azul PMS Blue 293 C</t>
        </is>
      </c>
      <c r="P244" s="13" t="inlineStr">
        <is>
          <t>Classe II — Produto Muito Perigoso ao Meio Ambiente</t>
        </is>
      </c>
      <c r="Q244" s="15" t="n">
        <v>24</v>
      </c>
      <c r="R244" s="13" t="inlineStr">
        <is>
          <t>Terrestre / Aérea (Drones consultar bula)</t>
        </is>
      </c>
      <c r="S244" s="13" t="inlineStr">
        <is>
          <t>Sem antídoto específico; tratamento sintomático</t>
        </is>
      </c>
      <c r="T244" s="13" t="inlineStr">
        <is>
          <t>RAINBOW DEFENSIVOS AGRÍCOLAS LTDA.</t>
        </is>
      </c>
      <c r="U244" s="16">
        <f>HYPERLINK("https://www.adapar.pr.gov.br/Pagina/Agrotoxicos-Herbicidas", "Registro Oficial Triclopir 480 EC (MAPA 11922)")</f>
        <v/>
      </c>
    </row>
    <row r="245" ht="22" customHeight="1">
      <c r="A245" s="5" t="n">
        <v>240</v>
      </c>
      <c r="B245" s="6" t="inlineStr">
        <is>
          <t>Nº 11320</t>
        </is>
      </c>
      <c r="C245" s="7" t="inlineStr">
        <is>
          <t>SURVEY 800 WG 10X1KG (IMP)</t>
        </is>
      </c>
      <c r="D245" s="8" t="inlineStr">
        <is>
          <t>SURVEY 800 WG</t>
        </is>
      </c>
      <c r="E245" s="7" t="inlineStr">
        <is>
          <t>Produto Formulado Comercial</t>
        </is>
      </c>
      <c r="F245" s="7" t="inlineStr">
        <is>
          <t>Defensivos</t>
        </is>
      </c>
      <c r="G245" s="7" t="inlineStr">
        <is>
          <t>Inseticida e Cupinicida (Fipronil)</t>
        </is>
      </c>
      <c r="H245" s="7" t="inlineStr">
        <is>
          <t>WG</t>
        </is>
      </c>
      <c r="I245" s="7" t="inlineStr">
        <is>
          <t>Grânulos Dispersíveis em Água (WG)</t>
        </is>
      </c>
      <c r="J245" s="7" t="inlineStr">
        <is>
          <t>Inseticida, cupinicida e formicida de contato e ingestão (TS / Solo)</t>
        </is>
      </c>
      <c r="K245" s="7" t="inlineStr">
        <is>
          <t>Pirazol (Fenilpirazol)</t>
        </is>
      </c>
      <c r="L245" s="7" t="inlineStr">
        <is>
          <t>IRAC Grupo 2B</t>
        </is>
      </c>
      <c r="M245" s="7" t="inlineStr">
        <is>
          <t>Bloqueadores de canais de cloro mediados pelo GABA</t>
        </is>
      </c>
      <c r="N245" s="7" t="inlineStr">
        <is>
          <t>Categoria 3 — Produto Moderadamente Tóxico</t>
        </is>
      </c>
      <c r="O245" s="7" t="inlineStr">
        <is>
          <t>Amarelo PMS Yellow C</t>
        </is>
      </c>
      <c r="P245" s="7" t="inlineStr">
        <is>
          <t>Classe II — Produto Muito Perigoso ao Meio Ambiente</t>
        </is>
      </c>
      <c r="Q245" s="9" t="n">
        <v>24</v>
      </c>
      <c r="R245" s="7" t="inlineStr">
        <is>
          <t>Terrestre / Aérea (Drones consultar bula)</t>
        </is>
      </c>
      <c r="S245" s="7" t="inlineStr">
        <is>
          <t>Sem antídoto específico; tratamento sintomático e controle neurológico</t>
        </is>
      </c>
      <c r="T245" s="7" t="inlineStr">
        <is>
          <t>RAINBOW DEFENSIVOS AGRÍCOLAS LTDA.</t>
        </is>
      </c>
      <c r="U245" s="10">
        <f>HYPERLINK("https://www.adapar.pr.gov.br/system/files/publico/Agrotoxicos/lista.pdf", "Registro Oficial Survey 800 WG (MAPA 11320)")</f>
        <v/>
      </c>
    </row>
    <row r="246" ht="22" customHeight="1">
      <c r="A246" s="11" t="n">
        <v>241</v>
      </c>
      <c r="B246" s="12" t="inlineStr">
        <is>
          <t>Nº 12621</t>
        </is>
      </c>
      <c r="C246" s="13" t="inlineStr">
        <is>
          <t>NADRAN 250SL (PRINCIPIO ATIVO)</t>
        </is>
      </c>
      <c r="D246" s="14" t="inlineStr">
        <is>
          <t>NADRAN 250SL (PRINCIPIO ATIVO)</t>
        </is>
      </c>
      <c r="E246" s="13" t="inlineStr">
        <is>
          <t>Produto Técnico Industrial</t>
        </is>
      </c>
      <c r="F246" s="13" t="inlineStr">
        <is>
          <t>Defensivos</t>
        </is>
      </c>
      <c r="G246" s="13" t="inlineStr">
        <is>
          <t>Regulador de Crescimento (Princípio Ativo / Técnico)</t>
        </is>
      </c>
      <c r="H246" s="13" t="inlineStr">
        <is>
          <t>TC</t>
        </is>
      </c>
      <c r="I246" s="13" t="inlineStr">
        <is>
          <t>Produto Técnico Industrial (TC)</t>
        </is>
      </c>
      <c r="J246" s="13" t="inlineStr">
        <is>
          <t>Inseticida/acaricida de contato e ingestão</t>
        </is>
      </c>
      <c r="K246" s="13" t="inlineStr">
        <is>
          <t>Amônio Quaternário (Fitorregulador)</t>
        </is>
      </c>
      <c r="L246" s="13" t="inlineStr">
        <is>
          <t>Regulador de Crescimento Vegetal (Inibidor de Giberelina)</t>
        </is>
      </c>
      <c r="M246" s="13" t="inlineStr">
        <is>
          <t>Inibição da biossíntese de giberelinas (redução do crescimento vegetativo)</t>
        </is>
      </c>
      <c r="N246" s="13" t="inlineStr">
        <is>
          <t>Categoria 3 / 4 — Moderadamente a Pouco Tóxico</t>
        </is>
      </c>
      <c r="O246" s="13" t="inlineStr">
        <is>
          <t>Amarelo / Azul</t>
        </is>
      </c>
      <c r="P246" s="13" t="inlineStr">
        <is>
          <t>Classe II — Produto Muito Perigoso ao Meio Ambiente</t>
        </is>
      </c>
      <c r="Q246" s="15" t="n">
        <v>24</v>
      </c>
      <c r="R246" s="13" t="inlineStr">
        <is>
          <t>Terrestre / Aérea (Drones consultar bula)</t>
        </is>
      </c>
      <c r="S246" s="13" t="inlineStr">
        <is>
          <t>Tratamento sintomático conforme grupo químico na bula</t>
        </is>
      </c>
      <c r="T246" s="13" t="inlineStr">
        <is>
          <t>Luxembourg Brasil</t>
        </is>
      </c>
      <c r="U246" s="16">
        <f>HYPERLINK("https://agrofit.agricultura.gov.br/agrofit_cons/principal_agrofit_cons", "Consulta Oficial AGROFIT/MAPA (Nº 12621)")</f>
        <v/>
      </c>
    </row>
    <row r="247" ht="22" customHeight="1">
      <c r="A247" s="5" t="n">
        <v>242</v>
      </c>
      <c r="B247" s="6" t="inlineStr">
        <is>
          <t>Nº 12418</t>
        </is>
      </c>
      <c r="C247" s="7" t="inlineStr">
        <is>
          <t>PENNCOZEB - MANCOZEB 750 (PRINCIPIO ATIVO)</t>
        </is>
      </c>
      <c r="D247" s="8" t="inlineStr">
        <is>
          <t>PENNCOZEB - MANCOZEB 750 (PRINCIPIO ATIVO)</t>
        </is>
      </c>
      <c r="E247" s="7" t="inlineStr">
        <is>
          <t>Produto Técnico Industrial</t>
        </is>
      </c>
      <c r="F247" s="7" t="inlineStr">
        <is>
          <t>Defensivos</t>
        </is>
      </c>
      <c r="G247" s="7" t="inlineStr">
        <is>
          <t>Fungicida (Princípio Ativo / Técnico)</t>
        </is>
      </c>
      <c r="H247" s="7" t="inlineStr">
        <is>
          <t>TC</t>
        </is>
      </c>
      <c r="I247" s="7" t="inlineStr">
        <is>
          <t>Produto Técnico Industrial (TC)</t>
        </is>
      </c>
      <c r="J247" s="7" t="inlineStr">
        <is>
          <t>Fungicida e acaricida protetor de contato multissítio</t>
        </is>
      </c>
      <c r="K247" s="7" t="inlineStr">
        <is>
          <t>Alquilenobis(ditiocarbamato)</t>
        </is>
      </c>
      <c r="L247" s="7" t="inlineStr">
        <is>
          <t>FRAC Grupo M03 — Multissítio</t>
        </is>
      </c>
      <c r="M247" s="7" t="inlineStr">
        <is>
          <t>Inibidor multissítio de enzimas contendo grupos sulfidrila e aminoácidos fúngicos</t>
        </is>
      </c>
      <c r="N247" s="7" t="inlineStr">
        <is>
          <t>Categoria 4 / 5 — Pouco Tóxico a Improvável Dano Agudo</t>
        </is>
      </c>
      <c r="O247" s="7" t="inlineStr">
        <is>
          <t>Azul Intenso</t>
        </is>
      </c>
      <c r="P247" s="7" t="inlineStr">
        <is>
          <t>Classe II — Produto Muito Perigoso ao Meio Ambiente</t>
        </is>
      </c>
      <c r="Q247" s="9" t="n">
        <v>24</v>
      </c>
      <c r="R247" s="7" t="inlineStr">
        <is>
          <t>Terrestre / Aérea (Drones consultar bula)</t>
        </is>
      </c>
      <c r="S247" s="7" t="inlineStr">
        <is>
          <t>Sem antídoto específico; evitar consumo de álcool (efeito antabuse por ETU)</t>
        </is>
      </c>
      <c r="T247" s="7" t="inlineStr">
        <is>
          <t>UPL DO BRASIL INDÚSTRIA E COMÉRCIO DE INSUMOS AGROPECUÁRIOS S.A.</t>
        </is>
      </c>
      <c r="U247" s="10">
        <f>HYPERLINK("https://agrofit.agricultura.gov.br/agrofit_cons/principal_agrofit_cons", "Consulta Oficial AGROFIT/MAPA (Nº 12418)")</f>
        <v/>
      </c>
    </row>
    <row r="248" ht="22" customHeight="1">
      <c r="A248" s="11" t="n">
        <v>243</v>
      </c>
      <c r="B248" s="12" t="inlineStr">
        <is>
          <t>Nº 43418</t>
        </is>
      </c>
      <c r="C248" s="13" t="inlineStr">
        <is>
          <t>BIOLOGIC AERUM 4X5L</t>
        </is>
      </c>
      <c r="D248" s="14" t="inlineStr">
        <is>
          <t>BIOLOGIC AERUM</t>
        </is>
      </c>
      <c r="E248" s="13" t="inlineStr">
        <is>
          <t>Produto Formulado Comercial</t>
        </is>
      </c>
      <c r="F248" s="13" t="inlineStr">
        <is>
          <t>Defensivos</t>
        </is>
      </c>
      <c r="G248" s="13" t="inlineStr">
        <is>
          <t>Biofungicida (Biológico)</t>
        </is>
      </c>
      <c r="H248" s="13" t="inlineStr">
        <is>
          <t>SC</t>
        </is>
      </c>
      <c r="I248" s="13" t="inlineStr">
        <is>
          <t>SC - Suspensão Concentrada</t>
        </is>
      </c>
      <c r="J248" s="13" t="inlineStr">
        <is>
          <t>Bionematicida, biofungicida ou inoculante biológico</t>
        </is>
      </c>
      <c r="K248" s="13" t="inlineStr">
        <is>
          <t>Agente Microbiológico / Rizobactéria (PGPR)</t>
        </is>
      </c>
      <c r="L248" s="13" t="inlineStr">
        <is>
          <t>FRAC Grupo BM02 / IRAC Grupo 11A / Bioinsumo</t>
        </is>
      </c>
      <c r="M248" s="13" t="inlineStr">
        <is>
          <t>Lipopeptídeos antifúngicos, competição na rizosfera e solubilização de nutrientes</t>
        </is>
      </c>
      <c r="N248" s="13" t="inlineStr">
        <is>
          <t>Não Classificado - Produto Não Classificado</t>
        </is>
      </c>
      <c r="O248" s="13" t="inlineStr">
        <is>
          <t>Azul</t>
        </is>
      </c>
      <c r="P248" s="13" t="inlineStr">
        <is>
          <t>Classe IV — Produto Pouco Perigoso ao Meio Ambiente</t>
        </is>
      </c>
      <c r="Q248" s="15" t="n">
        <v>24</v>
      </c>
      <c r="R248" s="13" t="inlineStr">
        <is>
          <t>Terrestre / Aérea (Drones consultar bula)</t>
        </is>
      </c>
      <c r="S248" s="13" t="inlineStr">
        <is>
          <t>Sem antídoto; tratamento sintomático</t>
        </is>
      </c>
      <c r="T248" s="13" t="inlineStr">
        <is>
          <t>VITTIA S.A.</t>
        </is>
      </c>
      <c r="U248" s="16">
        <f>HYPERLINK("https://agrofit.agricultura.gov.br/agrofit_cons/principal_agrofit_cons", "Consulta Oficial AGROFIT/MAPA (Nº 43418)")</f>
        <v/>
      </c>
    </row>
    <row r="249" ht="22" customHeight="1">
      <c r="A249" s="5" t="n">
        <v>244</v>
      </c>
      <c r="B249" s="6" t="inlineStr">
        <is>
          <t>SIPEAGRO (UF-XXXXX)</t>
        </is>
      </c>
      <c r="C249" s="7" t="inlineStr">
        <is>
          <t>BRENNFEED BR 251 1KG (AMOSTRA)</t>
        </is>
      </c>
      <c r="D249" s="8" t="inlineStr">
        <is>
          <t>BRENNFEED BR 251</t>
        </is>
      </c>
      <c r="E249" s="7" t="inlineStr">
        <is>
          <t>Fertilizante Mineral / Organomineral</t>
        </is>
      </c>
      <c r="F249" s="7" t="inlineStr">
        <is>
          <t>Fertilizantes</t>
        </is>
      </c>
      <c r="G249" s="7" t="inlineStr">
        <is>
          <t>Fertilizante Foliar / Micronutrientes</t>
        </is>
      </c>
      <c r="H249" s="7" t="inlineStr">
        <is>
          <t>Granulado</t>
        </is>
      </c>
      <c r="I249" s="7" t="inlineStr">
        <is>
          <t>Formulação Padrão (Granulado / Solúvel / Suspensão)</t>
        </is>
      </c>
      <c r="J249" s="7" t="inlineStr">
        <is>
          <t>Aplicação via solo, fertirrigação ou adubação foliar</t>
        </is>
      </c>
      <c r="K249" s="7" t="inlineStr">
        <is>
          <t>Fertilizante Mineral / Organomineral (Lei nº 6.894/1980)</t>
        </is>
      </c>
      <c r="L249" s="7" t="inlineStr">
        <is>
          <t>Nutrição Vegetal SIPEAGRO</t>
        </is>
      </c>
      <c r="M249" s="7" t="inlineStr">
        <is>
          <t>Fornecimento de macro e micronutrientes essenciais ao metabolismo vegetal</t>
        </is>
      </c>
      <c r="N249" s="7" t="inlineStr">
        <is>
          <t>Isento ANVISA (Produto Fertilizante Registrado no SIPEAGRO/MAPA)</t>
        </is>
      </c>
      <c r="O249" s="7" t="inlineStr">
        <is>
          <t>Não Aplicável (Fertilizante)</t>
        </is>
      </c>
      <c r="P249" s="7" t="inlineStr">
        <is>
          <t>Baixo Potencial Poluidor (Uso conforme recomendação agronômica)</t>
        </is>
      </c>
      <c r="Q249" s="9" t="n">
        <v>0</v>
      </c>
      <c r="R249" s="7" t="inlineStr">
        <is>
          <t>Aplicação Dirigida / TS / Solo</t>
        </is>
      </c>
      <c r="S249" s="7" t="inlineStr">
        <is>
          <t>Tratamento sintomático em caso de ingestão acidental</t>
        </is>
      </c>
      <c r="T249" s="7" t="inlineStr">
        <is>
          <t>Estabelecimento Produtor SIPEAGRO/MAPA</t>
        </is>
      </c>
      <c r="U249" s="10">
        <f>HYPERLINK("https://www.gov.br/agricultura/pt-br/assuntos/insumos-agropecuarios/insumos-agricolas/fertilizantes", "Portal SIPEAGRO / MAPA — Fertilizantes e Bioinsumos")</f>
        <v/>
      </c>
    </row>
    <row r="250" ht="22" customHeight="1">
      <c r="A250" s="11" t="n">
        <v>245</v>
      </c>
      <c r="B250" s="12" t="inlineStr">
        <is>
          <t>SIPEAGRO (UF-XXXXX)</t>
        </is>
      </c>
      <c r="C250" s="13" t="inlineStr">
        <is>
          <t>BRENNFEED BR 256 20L (AMOSTRA)</t>
        </is>
      </c>
      <c r="D250" s="14" t="inlineStr">
        <is>
          <t>BRENNFEED BR 256</t>
        </is>
      </c>
      <c r="E250" s="13" t="inlineStr">
        <is>
          <t>Fertilizante Mineral / Organomineral</t>
        </is>
      </c>
      <c r="F250" s="13" t="inlineStr">
        <is>
          <t>Fertilizantes</t>
        </is>
      </c>
      <c r="G250" s="13" t="inlineStr">
        <is>
          <t>Fertilizante Foliar / Micronutrientes</t>
        </is>
      </c>
      <c r="H250" s="13" t="inlineStr">
        <is>
          <t>SL</t>
        </is>
      </c>
      <c r="I250" s="13" t="inlineStr">
        <is>
          <t>Solução / Suspensão Concentrada Foliar (Fluido)</t>
        </is>
      </c>
      <c r="J250" s="13" t="inlineStr">
        <is>
          <t>Aplicação via solo, fertirrigação ou adubação foliar</t>
        </is>
      </c>
      <c r="K250" s="13" t="inlineStr">
        <is>
          <t>Fertilizante Mineral / Organomineral (Lei nº 6.894/1980)</t>
        </is>
      </c>
      <c r="L250" s="13" t="inlineStr">
        <is>
          <t>Nutrição Vegetal SIPEAGRO</t>
        </is>
      </c>
      <c r="M250" s="13" t="inlineStr">
        <is>
          <t>Fornecimento de macro e micronutrientes essenciais ao metabolismo vegetal</t>
        </is>
      </c>
      <c r="N250" s="13" t="inlineStr">
        <is>
          <t>Isento ANVISA (Produto Fertilizante Registrado no SIPEAGRO/MAPA)</t>
        </is>
      </c>
      <c r="O250" s="13" t="inlineStr">
        <is>
          <t>Não Aplicável (Fertilizante)</t>
        </is>
      </c>
      <c r="P250" s="13" t="inlineStr">
        <is>
          <t>Baixo Potencial Poluidor (Uso conforme recomendação agronômica)</t>
        </is>
      </c>
      <c r="Q250" s="15" t="n">
        <v>0</v>
      </c>
      <c r="R250" s="13" t="inlineStr">
        <is>
          <t>Aplicação Dirigida / TS / Solo</t>
        </is>
      </c>
      <c r="S250" s="13" t="inlineStr">
        <is>
          <t>Tratamento sintomático em caso de ingestão acidental</t>
        </is>
      </c>
      <c r="T250" s="13" t="inlineStr">
        <is>
          <t>Estabelecimento Produtor SIPEAGRO/MAPA</t>
        </is>
      </c>
      <c r="U250" s="16">
        <f>HYPERLINK("https://www.gov.br/agricultura/pt-br/assuntos/insumos-agropecuarios/insumos-agricolas/fertilizantes", "Portal SIPEAGRO / MAPA — Fertilizantes e Bioinsumos")</f>
        <v/>
      </c>
    </row>
    <row r="251" ht="22" customHeight="1">
      <c r="A251" s="5" t="n">
        <v>246</v>
      </c>
      <c r="B251" s="6" t="inlineStr">
        <is>
          <t>SIPEAGRO (UF-XXXXX)</t>
        </is>
      </c>
      <c r="C251" s="7" t="inlineStr">
        <is>
          <t>BRENNBRA 12 B 4,5KG (AMOSTRA)</t>
        </is>
      </c>
      <c r="D251" s="8" t="inlineStr">
        <is>
          <t>BRENNBRA 12 B 4,5KG (AMOSTRA)</t>
        </is>
      </c>
      <c r="E251" s="7" t="inlineStr">
        <is>
          <t>Fertilizante Mineral / Organomineral</t>
        </is>
      </c>
      <c r="F251" s="7" t="inlineStr">
        <is>
          <t>Fertilizantes</t>
        </is>
      </c>
      <c r="G251" s="7" t="inlineStr">
        <is>
          <t>Fertilizante Foliar / Micronutrientes</t>
        </is>
      </c>
      <c r="H251" s="7" t="inlineStr">
        <is>
          <t>Granulado</t>
        </is>
      </c>
      <c r="I251" s="7" t="inlineStr">
        <is>
          <t>Formulação Padrão (Granulado / Solúvel / Suspensão)</t>
        </is>
      </c>
      <c r="J251" s="7" t="inlineStr">
        <is>
          <t>Aplicação via solo, fertirrigação ou adubação foliar</t>
        </is>
      </c>
      <c r="K251" s="7" t="inlineStr">
        <is>
          <t>Fertilizante Mineral / Organomineral (Lei nº 6.894/1980)</t>
        </is>
      </c>
      <c r="L251" s="7" t="inlineStr">
        <is>
          <t>Nutrição Vegetal SIPEAGRO</t>
        </is>
      </c>
      <c r="M251" s="7" t="inlineStr">
        <is>
          <t>Fornecimento de macro e micronutrientes essenciais ao metabolismo vegetal</t>
        </is>
      </c>
      <c r="N251" s="7" t="inlineStr">
        <is>
          <t>Isento ANVISA (Produto Fertilizante Registrado no SIPEAGRO/MAPA)</t>
        </is>
      </c>
      <c r="O251" s="7" t="inlineStr">
        <is>
          <t>Não Aplicável (Fertilizante)</t>
        </is>
      </c>
      <c r="P251" s="7" t="inlineStr">
        <is>
          <t>Baixo Potencial Poluidor (Uso conforme recomendação agronômica)</t>
        </is>
      </c>
      <c r="Q251" s="9" t="n">
        <v>0</v>
      </c>
      <c r="R251" s="7" t="inlineStr">
        <is>
          <t>Aplicação Dirigida / TS / Solo</t>
        </is>
      </c>
      <c r="S251" s="7" t="inlineStr">
        <is>
          <t>Tratamento sintomático em caso de ingestão acidental</t>
        </is>
      </c>
      <c r="T251" s="7" t="inlineStr">
        <is>
          <t>Estabelecimento Produtor SIPEAGRO/MAPA</t>
        </is>
      </c>
      <c r="U251" s="10">
        <f>HYPERLINK("https://www.gov.br/agricultura/pt-br/assuntos/insumos-agropecuarios/insumos-agricolas/fertilizantes", "Portal SIPEAGRO / MAPA — Fertilizantes e Bioinsumos")</f>
        <v/>
      </c>
    </row>
    <row r="252" ht="22" customHeight="1">
      <c r="A252" s="11" t="n">
        <v>247</v>
      </c>
      <c r="B252" s="12" t="inlineStr">
        <is>
          <t>SIPEAGRO (UF-XXXXX)</t>
        </is>
      </c>
      <c r="C252" s="13" t="inlineStr">
        <is>
          <t>AGCN N-15,0% P205-5,0% K20-5,0% MG-1,6% (AMOSTRA)</t>
        </is>
      </c>
      <c r="D252" s="14" t="inlineStr">
        <is>
          <t>AGCN N-15,0% P205-5,0% K20-5,0% MG-1,6% (AMOSTRA)</t>
        </is>
      </c>
      <c r="E252" s="13" t="inlineStr">
        <is>
          <t>Fertilizante Mineral / Organomineral</t>
        </is>
      </c>
      <c r="F252" s="13" t="inlineStr">
        <is>
          <t>Fertilizantes</t>
        </is>
      </c>
      <c r="G252" s="13" t="inlineStr">
        <is>
          <t>Fertilizante Foliar / Micronutrientes</t>
        </is>
      </c>
      <c r="H252" s="13" t="inlineStr">
        <is>
          <t>Granulado</t>
        </is>
      </c>
      <c r="I252" s="13" t="inlineStr">
        <is>
          <t>Formulação Padrão (Granulado / Solúvel / Suspensão)</t>
        </is>
      </c>
      <c r="J252" s="13" t="inlineStr">
        <is>
          <t>Aplicação via solo, fertirrigação ou adubação foliar</t>
        </is>
      </c>
      <c r="K252" s="13" t="inlineStr">
        <is>
          <t>Fertilizante Mineral / Organomineral (Lei nº 6.894/1980)</t>
        </is>
      </c>
      <c r="L252" s="13" t="inlineStr">
        <is>
          <t>Nutrição Vegetal SIPEAGRO</t>
        </is>
      </c>
      <c r="M252" s="13" t="inlineStr">
        <is>
          <t>Fornecimento de macro e micronutrientes essenciais ao metabolismo vegetal</t>
        </is>
      </c>
      <c r="N252" s="13" t="inlineStr">
        <is>
          <t>Isento ANVISA (Produto Fertilizante Registrado no SIPEAGRO/MAPA)</t>
        </is>
      </c>
      <c r="O252" s="13" t="inlineStr">
        <is>
          <t>Não Aplicável (Fertilizante)</t>
        </is>
      </c>
      <c r="P252" s="13" t="inlineStr">
        <is>
          <t>Baixo Potencial Poluidor (Uso conforme recomendação agronômica)</t>
        </is>
      </c>
      <c r="Q252" s="15" t="n">
        <v>0</v>
      </c>
      <c r="R252" s="13" t="inlineStr">
        <is>
          <t>Aplicação Dirigida / TS / Solo</t>
        </is>
      </c>
      <c r="S252" s="13" t="inlineStr">
        <is>
          <t>Tratamento sintomático em caso de ingestão acidental</t>
        </is>
      </c>
      <c r="T252" s="13" t="inlineStr">
        <is>
          <t>Estabelecimento Produtor SIPEAGRO/MAPA</t>
        </is>
      </c>
      <c r="U252" s="16">
        <f>HYPERLINK("https://www.gov.br/agricultura/pt-br/assuntos/insumos-agropecuarios/insumos-agricolas/fertilizantes", "Portal SIPEAGRO / MAPA — Fertilizantes e Bioinsumos")</f>
        <v/>
      </c>
    </row>
    <row r="253" ht="22" customHeight="1">
      <c r="A253" s="5" t="n">
        <v>248</v>
      </c>
      <c r="B253" s="6" t="inlineStr">
        <is>
          <t>SIPEAGRO (UF-XXXXX)</t>
        </is>
      </c>
      <c r="C253" s="7" t="inlineStr">
        <is>
          <t>AGCN N-15,0% K20-7,0% CA-1,0% MG-1,0% (AMOSTRA)</t>
        </is>
      </c>
      <c r="D253" s="8" t="inlineStr">
        <is>
          <t>AGCN N-15,0% K20-7,0% CA-1,0% MG-1,0% (AMOSTRA)</t>
        </is>
      </c>
      <c r="E253" s="7" t="inlineStr">
        <is>
          <t>Fertilizante Mineral / Organomineral</t>
        </is>
      </c>
      <c r="F253" s="7" t="inlineStr">
        <is>
          <t>Fertilizantes</t>
        </is>
      </c>
      <c r="G253" s="7" t="inlineStr">
        <is>
          <t>Fertilizante Foliar / Micronutrientes</t>
        </is>
      </c>
      <c r="H253" s="7" t="inlineStr">
        <is>
          <t>Granulado</t>
        </is>
      </c>
      <c r="I253" s="7" t="inlineStr">
        <is>
          <t>Formulação Padrão (Granulado / Solúvel / Suspensão)</t>
        </is>
      </c>
      <c r="J253" s="7" t="inlineStr">
        <is>
          <t>Aplicação via solo, fertirrigação ou adubação foliar</t>
        </is>
      </c>
      <c r="K253" s="7" t="inlineStr">
        <is>
          <t>Fertilizante Mineral / Organomineral (Lei nº 6.894/1980)</t>
        </is>
      </c>
      <c r="L253" s="7" t="inlineStr">
        <is>
          <t>Nutrição Vegetal SIPEAGRO</t>
        </is>
      </c>
      <c r="M253" s="7" t="inlineStr">
        <is>
          <t>Fornecimento de macro e micronutrientes essenciais ao metabolismo vegetal</t>
        </is>
      </c>
      <c r="N253" s="7" t="inlineStr">
        <is>
          <t>Isento ANVISA (Produto Fertilizante Registrado no SIPEAGRO/MAPA)</t>
        </is>
      </c>
      <c r="O253" s="7" t="inlineStr">
        <is>
          <t>Não Aplicável (Fertilizante)</t>
        </is>
      </c>
      <c r="P253" s="7" t="inlineStr">
        <is>
          <t>Baixo Potencial Poluidor (Uso conforme recomendação agronômica)</t>
        </is>
      </c>
      <c r="Q253" s="9" t="n">
        <v>0</v>
      </c>
      <c r="R253" s="7" t="inlineStr">
        <is>
          <t>Aplicação Dirigida / TS / Solo</t>
        </is>
      </c>
      <c r="S253" s="7" t="inlineStr">
        <is>
          <t>Tratamento sintomático em caso de ingestão acidental</t>
        </is>
      </c>
      <c r="T253" s="7" t="inlineStr">
        <is>
          <t>Estabelecimento Produtor SIPEAGRO/MAPA</t>
        </is>
      </c>
      <c r="U253" s="10">
        <f>HYPERLINK("https://www.gov.br/agricultura/pt-br/assuntos/insumos-agropecuarios/insumos-agricolas/fertilizantes", "Portal SIPEAGRO / MAPA — Fertilizantes e Bioinsumos")</f>
        <v/>
      </c>
    </row>
    <row r="254" ht="22" customHeight="1">
      <c r="A254" s="11" t="n">
        <v>249</v>
      </c>
      <c r="B254" s="12" t="inlineStr">
        <is>
          <t>SIPEAGRO (UF-XXXXX)</t>
        </is>
      </c>
      <c r="C254" s="13" t="inlineStr">
        <is>
          <t>AGCN N-5,0% K20-7,0% CA-1,0% MG-1,0% (AMOSTRA)</t>
        </is>
      </c>
      <c r="D254" s="14" t="inlineStr">
        <is>
          <t>AGCN N-5,0% K20-7,0% CA-1,0% MG-1,0% (AMOSTRA)</t>
        </is>
      </c>
      <c r="E254" s="13" t="inlineStr">
        <is>
          <t>Fertilizante Mineral / Organomineral</t>
        </is>
      </c>
      <c r="F254" s="13" t="inlineStr">
        <is>
          <t>Fertilizantes</t>
        </is>
      </c>
      <c r="G254" s="13" t="inlineStr">
        <is>
          <t>Fertilizante Foliar / Micronutrientes</t>
        </is>
      </c>
      <c r="H254" s="13" t="inlineStr">
        <is>
          <t>Granulado</t>
        </is>
      </c>
      <c r="I254" s="13" t="inlineStr">
        <is>
          <t>Formulação Padrão (Granulado / Solúvel / Suspensão)</t>
        </is>
      </c>
      <c r="J254" s="13" t="inlineStr">
        <is>
          <t>Aplicação via solo, fertirrigação ou adubação foliar</t>
        </is>
      </c>
      <c r="K254" s="13" t="inlineStr">
        <is>
          <t>Fertilizante Mineral / Organomineral (Lei nº 6.894/1980)</t>
        </is>
      </c>
      <c r="L254" s="13" t="inlineStr">
        <is>
          <t>Nutrição Vegetal SIPEAGRO</t>
        </is>
      </c>
      <c r="M254" s="13" t="inlineStr">
        <is>
          <t>Fornecimento de macro e micronutrientes essenciais ao metabolismo vegetal</t>
        </is>
      </c>
      <c r="N254" s="13" t="inlineStr">
        <is>
          <t>Isento ANVISA (Produto Fertilizante Registrado no SIPEAGRO/MAPA)</t>
        </is>
      </c>
      <c r="O254" s="13" t="inlineStr">
        <is>
          <t>Não Aplicável (Fertilizante)</t>
        </is>
      </c>
      <c r="P254" s="13" t="inlineStr">
        <is>
          <t>Baixo Potencial Poluidor (Uso conforme recomendação agronômica)</t>
        </is>
      </c>
      <c r="Q254" s="15" t="n">
        <v>0</v>
      </c>
      <c r="R254" s="13" t="inlineStr">
        <is>
          <t>Aplicação Dirigida / TS / Solo</t>
        </is>
      </c>
      <c r="S254" s="13" t="inlineStr">
        <is>
          <t>Tratamento sintomático em caso de ingestão acidental</t>
        </is>
      </c>
      <c r="T254" s="13" t="inlineStr">
        <is>
          <t>Estabelecimento Produtor SIPEAGRO/MAPA</t>
        </is>
      </c>
      <c r="U254" s="16">
        <f>HYPERLINK("https://www.gov.br/agricultura/pt-br/assuntos/insumos-agropecuarios/insumos-agricolas/fertilizantes", "Portal SIPEAGRO / MAPA — Fertilizantes e Bioinsumos")</f>
        <v/>
      </c>
    </row>
    <row r="255" ht="22" customHeight="1">
      <c r="A255" s="5" t="n">
        <v>250</v>
      </c>
      <c r="B255" s="6" t="inlineStr">
        <is>
          <t>Nº 28319</t>
        </is>
      </c>
      <c r="C255" s="7" t="inlineStr">
        <is>
          <t>TOPINAM BALDE 1X20L</t>
        </is>
      </c>
      <c r="D255" s="8" t="inlineStr">
        <is>
          <t>TOPINAM BALDE</t>
        </is>
      </c>
      <c r="E255" s="7" t="inlineStr">
        <is>
          <t>Produto Formulado Comercial</t>
        </is>
      </c>
      <c r="F255" s="7" t="inlineStr">
        <is>
          <t>Defensivos</t>
        </is>
      </c>
      <c r="G255" s="7" t="inlineStr">
        <is>
          <t>Herbicida</t>
        </is>
      </c>
      <c r="H255" s="7" t="inlineStr">
        <is>
          <t>EC</t>
        </is>
      </c>
      <c r="I255" s="7" t="inlineStr">
        <is>
          <t>Concentrado Emulsionável (EC)</t>
        </is>
      </c>
      <c r="J255" s="7" t="inlineStr">
        <is>
          <t>Herbicida sistêmico seletivo de pós-emergência</t>
        </is>
      </c>
      <c r="K255" s="7" t="inlineStr">
        <is>
          <t>Ácido piridiniloxialcanoico</t>
        </is>
      </c>
      <c r="L255" s="7" t="inlineStr">
        <is>
          <t>HRAC Grupo O (4) — Auxinas Sintéticas</t>
        </is>
      </c>
      <c r="M255" s="7" t="inlineStr">
        <is>
          <t>Mimetizadores da auxina (crescimento desordenado e epinastia)</t>
        </is>
      </c>
      <c r="N255" s="7" t="inlineStr">
        <is>
          <t>Categoria 4 — Produto Pouco Tóxico</t>
        </is>
      </c>
      <c r="O255" s="7" t="inlineStr">
        <is>
          <t>Azul PMS Blue 293 C</t>
        </is>
      </c>
      <c r="P255" s="7" t="inlineStr">
        <is>
          <t>Classe II — Produto Muito Perigoso ao Meio Ambiente</t>
        </is>
      </c>
      <c r="Q255" s="9" t="n">
        <v>24</v>
      </c>
      <c r="R255" s="7" t="inlineStr">
        <is>
          <t>Terrestre / Aérea (Drones consultar bula)</t>
        </is>
      </c>
      <c r="S255" s="7" t="inlineStr">
        <is>
          <t>Sem antídoto específico; tratamento sintomático</t>
        </is>
      </c>
      <c r="T255" s="7" t="inlineStr">
        <is>
          <t>SUMITOMO CHEMICAL BRASIL INDÚSTRIA QUÍMICA S.A.</t>
        </is>
      </c>
      <c r="U255" s="10">
        <f>HYPERLINK("https://www.adapar.pr.gov.br/Pagina/Agrotoxicos-Herbicidas", "Registro Oficial Topinam 480 EC (MAPA 28319)")</f>
        <v/>
      </c>
    </row>
    <row r="256" ht="22" customHeight="1">
      <c r="A256" s="11" t="n">
        <v>251</v>
      </c>
      <c r="B256" s="12" t="inlineStr">
        <is>
          <t>Nº 17208</t>
        </is>
      </c>
      <c r="C256" s="13" t="inlineStr">
        <is>
          <t>TRICLON 4X5L</t>
        </is>
      </c>
      <c r="D256" s="14" t="inlineStr">
        <is>
          <t>TRICLON</t>
        </is>
      </c>
      <c r="E256" s="13" t="inlineStr">
        <is>
          <t>Produto Formulado Comercial</t>
        </is>
      </c>
      <c r="F256" s="13" t="inlineStr">
        <is>
          <t>Defensivos</t>
        </is>
      </c>
      <c r="G256" s="13" t="inlineStr">
        <is>
          <t>Herbicida</t>
        </is>
      </c>
      <c r="H256" s="13" t="inlineStr">
        <is>
          <t>EC</t>
        </is>
      </c>
      <c r="I256" s="13" t="inlineStr">
        <is>
          <t>Concentrado Emulsionável (EC)</t>
        </is>
      </c>
      <c r="J256" s="13" t="inlineStr">
        <is>
          <t>Herbicida sistêmico seletivo de pós-emergência</t>
        </is>
      </c>
      <c r="K256" s="13" t="inlineStr">
        <is>
          <t>Ácido piridiniloxialcanoico</t>
        </is>
      </c>
      <c r="L256" s="13" t="inlineStr">
        <is>
          <t>HRAC Grupo O (4) — Auxinas Sintéticas</t>
        </is>
      </c>
      <c r="M256" s="13" t="inlineStr">
        <is>
          <t>Mimetizadores da auxina (crescimento desordenado e epinastia)</t>
        </is>
      </c>
      <c r="N256" s="13" t="inlineStr">
        <is>
          <t>Categoria 4 — Produto Pouco Tóxico</t>
        </is>
      </c>
      <c r="O256" s="13" t="inlineStr">
        <is>
          <t>Azul PMS Blue 293 C</t>
        </is>
      </c>
      <c r="P256" s="13" t="inlineStr">
        <is>
          <t>Classe II — Produto Muito Perigoso ao Meio Ambiente</t>
        </is>
      </c>
      <c r="Q256" s="15" t="n">
        <v>24</v>
      </c>
      <c r="R256" s="13" t="inlineStr">
        <is>
          <t>Terrestre / Aérea (Drones consultar bula)</t>
        </is>
      </c>
      <c r="S256" s="13" t="inlineStr">
        <is>
          <t>Sem antídoto específico; tratamento sintomático</t>
        </is>
      </c>
      <c r="T256" s="13" t="inlineStr">
        <is>
          <t>UPL DO BRASIL INDÚSTRIA E COMÉRCIO DE INSUMOS AGROPECUÁRIOS S.A.</t>
        </is>
      </c>
      <c r="U256" s="16">
        <f>HYPERLINK("https://www.adapar.pr.gov.br/Pagina/Agrotoxicos-Herbicidas", "Registro Oficial Triclon 480 EC (MAPA 17208)")</f>
        <v/>
      </c>
    </row>
    <row r="257" ht="22" customHeight="1">
      <c r="A257" s="5" t="n">
        <v>252</v>
      </c>
      <c r="B257" s="6" t="inlineStr">
        <is>
          <t>Nº 34122</t>
        </is>
      </c>
      <c r="C257" s="7" t="inlineStr">
        <is>
          <t>DURAX 1X20L (IMP) AW</t>
        </is>
      </c>
      <c r="D257" s="8" t="inlineStr">
        <is>
          <t>DURAX</t>
        </is>
      </c>
      <c r="E257" s="7" t="inlineStr">
        <is>
          <t>Produto Formulado Comercial</t>
        </is>
      </c>
      <c r="F257" s="7" t="inlineStr">
        <is>
          <t>Defensivos</t>
        </is>
      </c>
      <c r="G257" s="7" t="inlineStr">
        <is>
          <t>Herbicida</t>
        </is>
      </c>
      <c r="H257" s="7" t="inlineStr">
        <is>
          <t>EC</t>
        </is>
      </c>
      <c r="I257" s="7" t="inlineStr">
        <is>
          <t>Concentrado Emulsionável (EC)</t>
        </is>
      </c>
      <c r="J257" s="7" t="inlineStr">
        <is>
          <t>Herbicida seletivo pré-emergente sistêmico</t>
        </is>
      </c>
      <c r="K257" s="7" t="inlineStr">
        <is>
          <t>Cloroacetanilida</t>
        </is>
      </c>
      <c r="L257" s="7" t="inlineStr">
        <is>
          <t>HRAC Grupo K3 (15) — Inibidores de VLCFAs</t>
        </is>
      </c>
      <c r="M257" s="7" t="inlineStr">
        <is>
          <t>Inibidores da síntese de ácidos graxos de cadeia muito longa (divisão celular)</t>
        </is>
      </c>
      <c r="N257" s="7" t="inlineStr">
        <is>
          <t>Categoria 4 — Produto Pouco Tóxico</t>
        </is>
      </c>
      <c r="O257" s="7" t="inlineStr">
        <is>
          <t>Azul PMS Blue 293 C</t>
        </is>
      </c>
      <c r="P257" s="7" t="inlineStr">
        <is>
          <t>Classe II — Produto Muito Perigoso ao Meio Ambiente</t>
        </is>
      </c>
      <c r="Q257" s="9" t="n">
        <v>24</v>
      </c>
      <c r="R257" s="7" t="inlineStr">
        <is>
          <t>Terrestre / Aérea (Drones consultar bula)</t>
        </is>
      </c>
      <c r="S257" s="7" t="inlineStr">
        <is>
          <t>Sem antídoto específico; tratamento sintomático</t>
        </is>
      </c>
      <c r="T257" s="7" t="inlineStr">
        <is>
          <t>RAINBOW DEFENSIVOS AGRÍCOLAS LTDA.</t>
        </is>
      </c>
      <c r="U257" s="10">
        <f>HYPERLINK("https://agrofit.agricultura.gov.br/agrofit_cons/principal_agrofit_cons", "Consulta Oficial AGROFIT/MAPA (Nº 34122)")</f>
        <v/>
      </c>
    </row>
    <row r="258" ht="22" customHeight="1">
      <c r="A258" s="11" t="n">
        <v>253</v>
      </c>
      <c r="B258" s="12" t="inlineStr">
        <is>
          <t>Nº 20723</t>
        </is>
      </c>
      <c r="C258" s="13" t="inlineStr">
        <is>
          <t>ACEMIP 4X5KG (IMP) RW</t>
        </is>
      </c>
      <c r="D258" s="14" t="inlineStr">
        <is>
          <t>ACEMIP</t>
        </is>
      </c>
      <c r="E258" s="13" t="inlineStr">
        <is>
          <t>Produto Formulado Comercial</t>
        </is>
      </c>
      <c r="F258" s="13" t="inlineStr">
        <is>
          <t>Defensivos</t>
        </is>
      </c>
      <c r="G258" s="13" t="inlineStr">
        <is>
          <t>Inseticida</t>
        </is>
      </c>
      <c r="H258" s="13" t="inlineStr">
        <is>
          <t>SP</t>
        </is>
      </c>
      <c r="I258" s="13" t="inlineStr">
        <is>
          <t>SP - Pó Solúvel</t>
        </is>
      </c>
      <c r="J258" s="13" t="inlineStr">
        <is>
          <t>Inseticida sistêmico de contato, ingestão e ação translaminar</t>
        </is>
      </c>
      <c r="K258" s="13" t="inlineStr">
        <is>
          <t>Neonicotinoide</t>
        </is>
      </c>
      <c r="L258" s="13" t="inlineStr">
        <is>
          <t>IRAC Grupo 4A</t>
        </is>
      </c>
      <c r="M258" s="13" t="inlineStr">
        <is>
          <t>Moduladores competitivos de receptores nicotínicos da acetilcolina (nAChR)</t>
        </is>
      </c>
      <c r="N258" s="13" t="inlineStr">
        <is>
          <t>Categoria 5: Produto Improvável de Causa Dano Agudo</t>
        </is>
      </c>
      <c r="O258" s="13" t="inlineStr">
        <is>
          <t>Azul</t>
        </is>
      </c>
      <c r="P258" s="13" t="inlineStr">
        <is>
          <t>Classe II — Produto Muito Perigoso ao Meio Ambiente</t>
        </is>
      </c>
      <c r="Q258" s="15" t="n">
        <v>24</v>
      </c>
      <c r="R258" s="13" t="inlineStr">
        <is>
          <t>Terrestre / Aérea (Drones consultar bula)</t>
        </is>
      </c>
      <c r="S258" s="13" t="inlineStr">
        <is>
          <t>Sem antídoto específico; tratamento sintomático</t>
        </is>
      </c>
      <c r="T258" s="13" t="inlineStr">
        <is>
          <t>RAINBOW DEFENSIVOS AGRICOLAS LTDA</t>
        </is>
      </c>
      <c r="U258" s="16">
        <f>HYPERLINK("https://agrofit.agricultura.gov.br/agrofit_cons/principal_agrofit_cons", "Consulta Oficial AGROFIT/MAPA (Nº 20723)")</f>
        <v/>
      </c>
    </row>
    <row r="259" ht="22" customHeight="1">
      <c r="A259" s="5" t="n">
        <v>254</v>
      </c>
      <c r="B259" s="6" t="inlineStr">
        <is>
          <t>Nº 22921</t>
        </is>
      </c>
      <c r="C259" s="7" t="inlineStr">
        <is>
          <t>CLOMAZONA 360 (PRINCIPIO ATIVO)</t>
        </is>
      </c>
      <c r="D259" s="8" t="inlineStr">
        <is>
          <t>CLOMAZONA 360 (PRINCIPIO ATIVO)</t>
        </is>
      </c>
      <c r="E259" s="7" t="inlineStr">
        <is>
          <t>Produto Técnico Industrial</t>
        </is>
      </c>
      <c r="F259" s="7" t="inlineStr">
        <is>
          <t>Defensivos</t>
        </is>
      </c>
      <c r="G259" s="7" t="inlineStr">
        <is>
          <t>Herbicida (Princípio Ativo / Técnico)</t>
        </is>
      </c>
      <c r="H259" s="7" t="inlineStr">
        <is>
          <t>TC</t>
        </is>
      </c>
      <c r="I259" s="7" t="inlineStr">
        <is>
          <t>Produto Técnico Industrial (TC)</t>
        </is>
      </c>
      <c r="J259" s="7" t="inlineStr">
        <is>
          <t>Herbicida seletivo sistêmico pré-emergente</t>
        </is>
      </c>
      <c r="K259" s="7" t="inlineStr">
        <is>
          <t>Isoxazolidinona</t>
        </is>
      </c>
      <c r="L259" s="7" t="inlineStr">
        <is>
          <t>HRAC Grupo F4 (13) — Inibidores da DOXP sintase</t>
        </is>
      </c>
      <c r="M259" s="7" t="inlineStr">
        <is>
          <t>Inibidores da 1-deoxi-D-xilulose 5-fosfato sintase (biossíntese de plastoquinona/carotenoides)</t>
        </is>
      </c>
      <c r="N259" s="7" t="inlineStr">
        <is>
          <t>Categoria 4 — Produto Pouco Tóxico</t>
        </is>
      </c>
      <c r="O259" s="7" t="inlineStr">
        <is>
          <t>Azul PMS Blue 293 C</t>
        </is>
      </c>
      <c r="P259" s="7" t="inlineStr">
        <is>
          <t>Classe II — Produto Muito Perigoso ao Meio Ambiente</t>
        </is>
      </c>
      <c r="Q259" s="9" t="n">
        <v>24</v>
      </c>
      <c r="R259" s="7" t="inlineStr">
        <is>
          <t>Terrestre / Aérea (Drones consultar bula)</t>
        </is>
      </c>
      <c r="S259" s="7" t="inlineStr">
        <is>
          <t>Sem antídoto específico; tratamento sintomático</t>
        </is>
      </c>
      <c r="T259" s="7" t="inlineStr">
        <is>
          <t>FMC QUÍMICA DO BRASIL LTDA. / RAINBOW DEFENSIVOS AGRÍCOLAS LTDA.</t>
        </is>
      </c>
      <c r="U259" s="10">
        <f>HYPERLINK("https://agrofit.agricultura.gov.br/agrofit_cons/principal_agrofit_cons", "Consulta Oficial AGROFIT/MAPA (Nº 22921)")</f>
        <v/>
      </c>
    </row>
    <row r="260" ht="22" customHeight="1">
      <c r="A260" s="11" t="n">
        <v>255</v>
      </c>
      <c r="B260" s="12" t="inlineStr">
        <is>
          <t>SIPEAGRO (UF-XXXXX)</t>
        </is>
      </c>
      <c r="C260" s="13" t="inlineStr">
        <is>
          <t>AGCN MN+ 100 1X1000L</t>
        </is>
      </c>
      <c r="D260" s="14" t="inlineStr">
        <is>
          <t>AGCN MN+ 100</t>
        </is>
      </c>
      <c r="E260" s="13" t="inlineStr">
        <is>
          <t>Fertilizante Mineral / Organomineral</t>
        </is>
      </c>
      <c r="F260" s="13" t="inlineStr">
        <is>
          <t>Fertilizantes</t>
        </is>
      </c>
      <c r="G260" s="13" t="inlineStr">
        <is>
          <t>Fertilizante Foliar / Micronutrientes</t>
        </is>
      </c>
      <c r="H260" s="13" t="inlineStr">
        <is>
          <t>SL</t>
        </is>
      </c>
      <c r="I260" s="13" t="inlineStr">
        <is>
          <t>Solução / Suspensão Concentrada Foliar (Fluido)</t>
        </is>
      </c>
      <c r="J260" s="13" t="inlineStr">
        <is>
          <t>Aplicação via solo, fertirrigação ou adubação foliar</t>
        </is>
      </c>
      <c r="K260" s="13" t="inlineStr">
        <is>
          <t>Fertilizante Mineral / Organomineral (Lei nº 6.894/1980)</t>
        </is>
      </c>
      <c r="L260" s="13" t="inlineStr">
        <is>
          <t>Nutrição Vegetal SIPEAGRO</t>
        </is>
      </c>
      <c r="M260" s="13" t="inlineStr">
        <is>
          <t>Fornecimento de macro e micronutrientes essenciais ao metabolismo vegetal</t>
        </is>
      </c>
      <c r="N260" s="13" t="inlineStr">
        <is>
          <t>Isento ANVISA (Produto Fertilizante Registrado no SIPEAGRO/MAPA)</t>
        </is>
      </c>
      <c r="O260" s="13" t="inlineStr">
        <is>
          <t>Não Aplicável (Fertilizante)</t>
        </is>
      </c>
      <c r="P260" s="13" t="inlineStr">
        <is>
          <t>Baixo Potencial Poluidor (Uso conforme recomendação agronômica)</t>
        </is>
      </c>
      <c r="Q260" s="15" t="n">
        <v>0</v>
      </c>
      <c r="R260" s="13" t="inlineStr">
        <is>
          <t>Aplicação Dirigida / TS / Solo</t>
        </is>
      </c>
      <c r="S260" s="13" t="inlineStr">
        <is>
          <t>Tratamento sintomático em caso de ingestão acidental</t>
        </is>
      </c>
      <c r="T260" s="13" t="inlineStr">
        <is>
          <t>Estabelecimento Produtor SIPEAGRO/MAPA</t>
        </is>
      </c>
      <c r="U260" s="16">
        <f>HYPERLINK("https://www.gov.br/agricultura/pt-br/assuntos/insumos-agropecuarios/insumos-agricolas/fertilizantes", "Portal SIPEAGRO / MAPA — Fertilizantes e Bioinsumos")</f>
        <v/>
      </c>
    </row>
    <row r="261" ht="22" customHeight="1">
      <c r="A261" s="5" t="n">
        <v>256</v>
      </c>
      <c r="B261" s="6" t="inlineStr">
        <is>
          <t>Nº 1411</t>
        </is>
      </c>
      <c r="C261" s="7" t="inlineStr">
        <is>
          <t>CLORIMUROM 360 (PRINCIPIO ATIVO)</t>
        </is>
      </c>
      <c r="D261" s="8" t="inlineStr">
        <is>
          <t>CLORIMUROM 360 (PRINCIPIO ATIVO)</t>
        </is>
      </c>
      <c r="E261" s="7" t="inlineStr">
        <is>
          <t>Produto Técnico Industrial</t>
        </is>
      </c>
      <c r="F261" s="7" t="inlineStr">
        <is>
          <t>Defensivos</t>
        </is>
      </c>
      <c r="G261" s="7" t="inlineStr">
        <is>
          <t>Herbicida (Princípio Ativo / Técnico)</t>
        </is>
      </c>
      <c r="H261" s="7" t="inlineStr">
        <is>
          <t>TC</t>
        </is>
      </c>
      <c r="I261" s="7" t="inlineStr">
        <is>
          <t>Produto Técnico Industrial (TC)</t>
        </is>
      </c>
      <c r="J261" s="7" t="inlineStr">
        <is>
          <t>Herbicida de pré ou pós-emergência</t>
        </is>
      </c>
      <c r="K261" s="7" t="inlineStr">
        <is>
          <t>Sulfonilureia</t>
        </is>
      </c>
      <c r="L261" s="7" t="inlineStr">
        <is>
          <t>HRAC Grupo B (2) — Inibidores da ALS</t>
        </is>
      </c>
      <c r="M261" s="7" t="inlineStr">
        <is>
          <t>Inibição da enzima acetolactato sintase (ALS / AHAS)</t>
        </is>
      </c>
      <c r="N261" s="7" t="inlineStr">
        <is>
          <t>Categoria 4 / 5 — Pouco Tóxico (Conforme Bula ANVISA)</t>
        </is>
      </c>
      <c r="O261" s="7" t="inlineStr">
        <is>
          <t>Azul PMS Blue 293 C</t>
        </is>
      </c>
      <c r="P261" s="7" t="inlineStr">
        <is>
          <t>Classe II / III — Perigoso ao Meio Ambiente</t>
        </is>
      </c>
      <c r="Q261" s="9" t="n">
        <v>24</v>
      </c>
      <c r="R261" s="7" t="inlineStr">
        <is>
          <t>Terrestre / Aérea (Drones consultar bula)</t>
        </is>
      </c>
      <c r="S261" s="7" t="inlineStr">
        <is>
          <t>Sem antídoto específico; tratamento sintomático e descontaminação</t>
        </is>
      </c>
      <c r="T261" s="7" t="inlineStr">
        <is>
          <t>CORTEVA AGRISCIENCE DO BRASIL LTDA. / RAINBOW DEFENSIVOS AGRÍCOLAS LTDA.</t>
        </is>
      </c>
      <c r="U261" s="10">
        <f>HYPERLINK("https://agrofit.agricultura.gov.br/agrofit_cons/principal_agrofit_cons", "Consulta Oficial AGROFIT/MAPA (Nº 1411)")</f>
        <v/>
      </c>
    </row>
    <row r="262" ht="22" customHeight="1">
      <c r="A262" s="11" t="n">
        <v>257</v>
      </c>
      <c r="B262" s="12" t="inlineStr">
        <is>
          <t>Nº 28517</t>
        </is>
      </c>
      <c r="C262" s="13" t="inlineStr">
        <is>
          <t>ABSOLUTO FIX 1X20L</t>
        </is>
      </c>
      <c r="D262" s="14" t="inlineStr">
        <is>
          <t>ABSOLUTO FIX</t>
        </is>
      </c>
      <c r="E262" s="13" t="inlineStr">
        <is>
          <t>Produto Formulado Comercial</t>
        </is>
      </c>
      <c r="F262" s="13" t="inlineStr">
        <is>
          <t>Defensivos</t>
        </is>
      </c>
      <c r="G262" s="13" t="inlineStr">
        <is>
          <t>Fungicida</t>
        </is>
      </c>
      <c r="H262" s="13" t="inlineStr">
        <is>
          <t>SC</t>
        </is>
      </c>
      <c r="I262" s="13" t="inlineStr">
        <is>
          <t>SC - Suspensão Concentrada</t>
        </is>
      </c>
      <c r="J262" s="13" t="inlineStr">
        <is>
          <t>Fungicida protetor de contato multissítio (manejo anti-resistência)</t>
        </is>
      </c>
      <c r="K262" s="13" t="inlineStr">
        <is>
          <t>Isoftalonitrila</t>
        </is>
      </c>
      <c r="L262" s="13" t="inlineStr">
        <is>
          <t>FRAC Grupo M05 — Multissítio</t>
        </is>
      </c>
      <c r="M262" s="13" t="inlineStr">
        <is>
          <t>Atividade de contato multissítio (inativação de grupos tiol enzimáticos)</t>
        </is>
      </c>
      <c r="N262" s="13" t="inlineStr">
        <is>
          <t>Categoria 2: Produto Altamente Tóxico</t>
        </is>
      </c>
      <c r="O262" s="13" t="inlineStr">
        <is>
          <t>Vermelho</t>
        </is>
      </c>
      <c r="P262" s="13" t="inlineStr">
        <is>
          <t>Classe II — Produto Muito Perigoso ao Meio Ambiente</t>
        </is>
      </c>
      <c r="Q262" s="15" t="n">
        <v>24</v>
      </c>
      <c r="R262" s="13" t="inlineStr">
        <is>
          <t>Terrestre / Aérea (Drones consultar bula)</t>
        </is>
      </c>
      <c r="S262" s="13" t="inlineStr">
        <is>
          <t>Sem antídoto específico; tratamento sintomático e descontaminação ocular/cutânea</t>
        </is>
      </c>
      <c r="T262" s="13" t="inlineStr">
        <is>
          <t>IHARABRAS S.A. INDUSTRIAS QUIMICA</t>
        </is>
      </c>
      <c r="U262" s="16">
        <f>HYPERLINK("https://agrofit.agricultura.gov.br/agrofit_cons/principal_agrofit_cons", "Consulta Oficial AGROFIT/MAPA (Nº 28517)")</f>
        <v/>
      </c>
    </row>
    <row r="263" ht="22" customHeight="1">
      <c r="A263" s="5" t="n">
        <v>258</v>
      </c>
      <c r="B263" s="6" t="inlineStr">
        <is>
          <t>Nº 28517</t>
        </is>
      </c>
      <c r="C263" s="7" t="inlineStr">
        <is>
          <t>ABSOLUTO FIX 4X5L</t>
        </is>
      </c>
      <c r="D263" s="8" t="inlineStr">
        <is>
          <t>ABSOLUTO FIX</t>
        </is>
      </c>
      <c r="E263" s="7" t="inlineStr">
        <is>
          <t>Produto Formulado Comercial</t>
        </is>
      </c>
      <c r="F263" s="7" t="inlineStr">
        <is>
          <t>Defensivos</t>
        </is>
      </c>
      <c r="G263" s="7" t="inlineStr">
        <is>
          <t>Fungicida</t>
        </is>
      </c>
      <c r="H263" s="7" t="inlineStr">
        <is>
          <t>SC</t>
        </is>
      </c>
      <c r="I263" s="7" t="inlineStr">
        <is>
          <t>SC - Suspensão Concentrada</t>
        </is>
      </c>
      <c r="J263" s="7" t="inlineStr">
        <is>
          <t>Fungicida protetor de contato multissítio (manejo anti-resistência)</t>
        </is>
      </c>
      <c r="K263" s="7" t="inlineStr">
        <is>
          <t>Isoftalonitrila</t>
        </is>
      </c>
      <c r="L263" s="7" t="inlineStr">
        <is>
          <t>FRAC Grupo M05 — Multissítio</t>
        </is>
      </c>
      <c r="M263" s="7" t="inlineStr">
        <is>
          <t>Atividade de contato multissítio (inativação de grupos tiol enzimáticos)</t>
        </is>
      </c>
      <c r="N263" s="7" t="inlineStr">
        <is>
          <t>Categoria 2: Produto Altamente Tóxico</t>
        </is>
      </c>
      <c r="O263" s="7" t="inlineStr">
        <is>
          <t>Vermelho</t>
        </is>
      </c>
      <c r="P263" s="7" t="inlineStr">
        <is>
          <t>Classe II — Produto Muito Perigoso ao Meio Ambiente</t>
        </is>
      </c>
      <c r="Q263" s="9" t="n">
        <v>24</v>
      </c>
      <c r="R263" s="7" t="inlineStr">
        <is>
          <t>Terrestre / Aérea (Drones consultar bula)</t>
        </is>
      </c>
      <c r="S263" s="7" t="inlineStr">
        <is>
          <t>Sem antídoto específico; tratamento sintomático e descontaminação ocular/cutânea</t>
        </is>
      </c>
      <c r="T263" s="7" t="inlineStr">
        <is>
          <t>IHARABRAS S.A. INDUSTRIAS QUIMICA</t>
        </is>
      </c>
      <c r="U263" s="10">
        <f>HYPERLINK("https://agrofit.agricultura.gov.br/agrofit_cons/principal_agrofit_cons", "Consulta Oficial AGROFIT/MAPA (Nº 28517)")</f>
        <v/>
      </c>
    </row>
    <row r="264" ht="22" customHeight="1">
      <c r="A264" s="11" t="n">
        <v>259</v>
      </c>
      <c r="B264" s="12" t="inlineStr">
        <is>
          <t>Nº 16318</t>
        </is>
      </c>
      <c r="C264" s="13" t="inlineStr">
        <is>
          <t>AMETRINA 500 SC RAINBOW 1X20L</t>
        </is>
      </c>
      <c r="D264" s="14" t="inlineStr">
        <is>
          <t>AMETRINA</t>
        </is>
      </c>
      <c r="E264" s="13" t="inlineStr">
        <is>
          <t>Produto Formulado Comercial</t>
        </is>
      </c>
      <c r="F264" s="13" t="inlineStr">
        <is>
          <t>Defensivos</t>
        </is>
      </c>
      <c r="G264" s="13" t="inlineStr">
        <is>
          <t>Herbicida</t>
        </is>
      </c>
      <c r="H264" s="13" t="inlineStr">
        <is>
          <t>SC</t>
        </is>
      </c>
      <c r="I264" s="13" t="inlineStr">
        <is>
          <t>SC - Suspensão Concentrada</t>
        </is>
      </c>
      <c r="J264" s="13" t="inlineStr">
        <is>
          <t>Herbicida de pré ou pós-emergência</t>
        </is>
      </c>
      <c r="K264" s="13" t="inlineStr">
        <is>
          <t>Triazina (Metiltiotriazina)</t>
        </is>
      </c>
      <c r="L264" s="13" t="inlineStr">
        <is>
          <t>HRAC Grupo C1 (5) — Inibidores do Fotossistema II</t>
        </is>
      </c>
      <c r="M264" s="13" t="inlineStr">
        <is>
          <t>Inibição do transporte de elétrons no Fotossistema II</t>
        </is>
      </c>
      <c r="N264" s="13" t="inlineStr">
        <is>
          <t>Categoria 4: Produto Pouco Tóxico</t>
        </is>
      </c>
      <c r="O264" s="13" t="inlineStr">
        <is>
          <t>Azul</t>
        </is>
      </c>
      <c r="P264" s="13" t="inlineStr">
        <is>
          <t>Classe II / III — Perigoso ao Meio Ambiente</t>
        </is>
      </c>
      <c r="Q264" s="15" t="n">
        <v>24</v>
      </c>
      <c r="R264" s="13" t="inlineStr">
        <is>
          <t>Terrestre / Aérea (Drones consultar bula)</t>
        </is>
      </c>
      <c r="S264" s="13" t="inlineStr">
        <is>
          <t>Sem antídoto específico; tratamento sintomático e descontaminação</t>
        </is>
      </c>
      <c r="T264" s="13" t="inlineStr">
        <is>
          <t>RAINBOW DEFENSIVOS AGRICOLAS LTDA</t>
        </is>
      </c>
      <c r="U264" s="16">
        <f>HYPERLINK("https://agrofit.agricultura.gov.br/agrofit_cons/principal_agrofit_cons", "Consulta Oficial AGROFIT/MAPA (Nº 16318)")</f>
        <v/>
      </c>
    </row>
    <row r="265" ht="22" customHeight="1">
      <c r="A265" s="5" t="n">
        <v>260</v>
      </c>
      <c r="B265" s="6" t="inlineStr">
        <is>
          <t>Nº 1924</t>
        </is>
      </c>
      <c r="C265" s="7" t="inlineStr">
        <is>
          <t>FORCEPS 4X5KG (IMP)</t>
        </is>
      </c>
      <c r="D265" s="8" t="inlineStr">
        <is>
          <t>FORCEPS</t>
        </is>
      </c>
      <c r="E265" s="7" t="inlineStr">
        <is>
          <t>Produto Formulado Comercial</t>
        </is>
      </c>
      <c r="F265" s="7" t="inlineStr">
        <is>
          <t>Defensivos</t>
        </is>
      </c>
      <c r="G265" s="7" t="inlineStr">
        <is>
          <t>Inseticida</t>
        </is>
      </c>
      <c r="H265" s="7" t="inlineStr">
        <is>
          <t>WG</t>
        </is>
      </c>
      <c r="I265" s="7" t="inlineStr">
        <is>
          <t>Grânulos Dispersíveis em Água (WG)</t>
        </is>
      </c>
      <c r="J265" s="7" t="inlineStr">
        <is>
          <t>Inseticida e acaricida de contato e ingestão</t>
        </is>
      </c>
      <c r="K265" s="7" t="inlineStr">
        <is>
          <t>Piretroide (Tipo I)</t>
        </is>
      </c>
      <c r="L265" s="7" t="inlineStr">
        <is>
          <t>IRAC Grupo 3A</t>
        </is>
      </c>
      <c r="M265" s="7" t="inlineStr">
        <is>
          <t>Moduladores de canais de sódio em membranas nervosas</t>
        </is>
      </c>
      <c r="N265" s="7" t="inlineStr">
        <is>
          <t>Categoria 3 — Produto Moderadamente Tóxico</t>
        </is>
      </c>
      <c r="O265" s="7" t="inlineStr">
        <is>
          <t>Amarelo PMS Yellow C</t>
        </is>
      </c>
      <c r="P265" s="7" t="inlineStr">
        <is>
          <t>Classe II — Produto Muito Perigoso ao Meio Ambiente</t>
        </is>
      </c>
      <c r="Q265" s="9" t="n">
        <v>24</v>
      </c>
      <c r="R265" s="7" t="inlineStr">
        <is>
          <t>Terrestre / Aérea (Drones consultar bula)</t>
        </is>
      </c>
      <c r="S265" s="7" t="inlineStr">
        <is>
          <t>Sem antídoto específico; anti-histamínicos e vitamina E tópica para parestesia</t>
        </is>
      </c>
      <c r="T265" s="7" t="inlineStr">
        <is>
          <t>Rainbow Defensivos</t>
        </is>
      </c>
      <c r="U265" s="10">
        <f>HYPERLINK("https://agrofit.agricultura.gov.br/agrofit_cons/principal_agrofit_cons", "Consulta Oficial AGROFIT/MAPA (Nº 1924)")</f>
        <v/>
      </c>
    </row>
    <row r="266" ht="22" customHeight="1">
      <c r="A266" s="11" t="n">
        <v>261</v>
      </c>
      <c r="B266" s="12" t="inlineStr">
        <is>
          <t>Nº 3915</t>
        </is>
      </c>
      <c r="C266" s="13" t="inlineStr">
        <is>
          <t>CYPER COPA 250 EC 12X1L (IMP) TT</t>
        </is>
      </c>
      <c r="D266" s="14" t="inlineStr">
        <is>
          <t>CYPER COPA 250 EC</t>
        </is>
      </c>
      <c r="E266" s="13" t="inlineStr">
        <is>
          <t>Produto Formulado Comercial</t>
        </is>
      </c>
      <c r="F266" s="13" t="inlineStr">
        <is>
          <t>Defensivos</t>
        </is>
      </c>
      <c r="G266" s="13" t="inlineStr">
        <is>
          <t>Inseticida</t>
        </is>
      </c>
      <c r="H266" s="13" t="inlineStr">
        <is>
          <t>EC</t>
        </is>
      </c>
      <c r="I266" s="13" t="inlineStr">
        <is>
          <t>Concentrado Emulsionável (EC)</t>
        </is>
      </c>
      <c r="J266" s="13" t="inlineStr">
        <is>
          <t>Inseticida/acaricida de contato e ingestão</t>
        </is>
      </c>
      <c r="K266" s="13" t="inlineStr">
        <is>
          <t>Piretroide (Tipo II)</t>
        </is>
      </c>
      <c r="L266" s="13" t="inlineStr">
        <is>
          <t>IRAC Grupo 3A</t>
        </is>
      </c>
      <c r="M266" s="13" t="inlineStr">
        <is>
          <t>Moduladores de canais de sódio em membranas nervosas</t>
        </is>
      </c>
      <c r="N266" s="13" t="inlineStr">
        <is>
          <t>Categoria 3 / 4 — Moderadamente a Pouco Tóxico</t>
        </is>
      </c>
      <c r="O266" s="13" t="inlineStr">
        <is>
          <t>Amarelo / Azul</t>
        </is>
      </c>
      <c r="P266" s="13" t="inlineStr">
        <is>
          <t>Classe II — Produto Muito Perigoso ao Meio Ambiente</t>
        </is>
      </c>
      <c r="Q266" s="15" t="n">
        <v>24</v>
      </c>
      <c r="R266" s="13" t="inlineStr">
        <is>
          <t>Terrestre / Aérea (Drones consultar bula)</t>
        </is>
      </c>
      <c r="S266" s="13" t="inlineStr">
        <is>
          <t>Tratamento sintomático conforme grupo químico na bula</t>
        </is>
      </c>
      <c r="T266" s="13" t="inlineStr">
        <is>
          <t>UPL / Perterra</t>
        </is>
      </c>
      <c r="U266" s="16">
        <f>HYPERLINK("https://agrofit.agricultura.gov.br/agrofit_cons/principal_agrofit_cons", "Consulta Oficial AGROFIT/MAPA (Nº 3915)")</f>
        <v/>
      </c>
    </row>
    <row r="267" ht="22" customHeight="1">
      <c r="A267" s="5" t="n">
        <v>262</v>
      </c>
      <c r="B267" s="6" t="inlineStr">
        <is>
          <t>VINCULAR MARCA</t>
        </is>
      </c>
      <c r="C267" s="7" t="inlineStr">
        <is>
          <t>GLUFOSINATO 880 (PRINCIPIO ATIVO)</t>
        </is>
      </c>
      <c r="D267" s="8" t="inlineStr">
        <is>
          <t>GLUFOSINATO 880 (PRINCIPIO ATIVO)</t>
        </is>
      </c>
      <c r="E267" s="7" t="inlineStr">
        <is>
          <t>Produto Técnico Industrial</t>
        </is>
      </c>
      <c r="F267" s="7" t="inlineStr">
        <is>
          <t>Defensivos</t>
        </is>
      </c>
      <c r="G267" s="7" t="inlineStr">
        <is>
          <t>Herbicida (Princípio Ativo / Técnico)</t>
        </is>
      </c>
      <c r="H267" s="7" t="inlineStr">
        <is>
          <t>TC</t>
        </is>
      </c>
      <c r="I267" s="7" t="inlineStr">
        <is>
          <t>Produto Técnico Industrial (TC)</t>
        </is>
      </c>
      <c r="J267" s="7" t="inlineStr">
        <is>
          <t>Herbicida de contato não seletivo em pós-emergência (seletivo p/ OGM LibertyLink)</t>
        </is>
      </c>
      <c r="K267" s="7" t="inlineStr">
        <is>
          <t>Homoalanina substituída (Ácido fosfínico)</t>
        </is>
      </c>
      <c r="L267" s="7" t="inlineStr">
        <is>
          <t>HRAC Grupo H (10) — Inibidores da Glutamina Sintetase</t>
        </is>
      </c>
      <c r="M267" s="7" t="inlineStr">
        <is>
          <t>Inibição da enzima glutamina sintetase (acúmulo de amônia intracelular)</t>
        </is>
      </c>
      <c r="N267" s="7" t="inlineStr">
        <is>
          <t>Categoria 4 — Produto Pouco Tóxico</t>
        </is>
      </c>
      <c r="O267" s="7" t="inlineStr">
        <is>
          <t>Azul PMS Blue 293 C</t>
        </is>
      </c>
      <c r="P267" s="7" t="inlineStr">
        <is>
          <t>Classe III — Produto Perigoso ao Meio Ambiente</t>
        </is>
      </c>
      <c r="Q267" s="9" t="n">
        <v>24</v>
      </c>
      <c r="R267" s="7" t="inlineStr">
        <is>
          <t>Terrestre / Aérea (Drones consultar bula)</t>
        </is>
      </c>
      <c r="S267" s="7" t="inlineStr">
        <is>
          <t>Sem antídoto específico; monitorar SNC por 48h e suporte ventilatório</t>
        </is>
      </c>
      <c r="T267" s="7" t="inlineStr">
        <is>
          <t>RAINBOW DEFENSIVOS AGRÍCOLAS LTDA.</t>
        </is>
      </c>
      <c r="U267" s="10">
        <f>HYPERLINK("https://agrofit.agricultura.gov.br/agrofit_cons/principal_agrofit_cons", "Consulta Oficial AGROFIT/MAPA (VINCULAR MARCA)")</f>
        <v/>
      </c>
    </row>
    <row r="268" ht="22" customHeight="1">
      <c r="A268" s="11" t="n">
        <v>263</v>
      </c>
      <c r="B268" s="12" t="inlineStr">
        <is>
          <t>SIPEAGRO (UF-XXXXX)</t>
        </is>
      </c>
      <c r="C268" s="13" t="inlineStr">
        <is>
          <t>AGCN ULTRA COPPER 5X3KG</t>
        </is>
      </c>
      <c r="D268" s="14" t="inlineStr">
        <is>
          <t>AGCN ULTRA COPPER</t>
        </is>
      </c>
      <c r="E268" s="13" t="inlineStr">
        <is>
          <t>Fertilizante Mineral / Organomineral</t>
        </is>
      </c>
      <c r="F268" s="13" t="inlineStr">
        <is>
          <t>Fertilizantes</t>
        </is>
      </c>
      <c r="G268" s="13" t="inlineStr">
        <is>
          <t>Fertilizante Mineral Simples (Potássico / Magnesiano)</t>
        </is>
      </c>
      <c r="H268" s="13" t="inlineStr">
        <is>
          <t>Granulado</t>
        </is>
      </c>
      <c r="I268" s="13" t="inlineStr">
        <is>
          <t>Formulação Padrão (Granulado / Solúvel / Suspensão)</t>
        </is>
      </c>
      <c r="J268" s="13" t="inlineStr">
        <is>
          <t>Aplicação via solo, fertirrigação ou adubação foliar</t>
        </is>
      </c>
      <c r="K268" s="13" t="inlineStr">
        <is>
          <t>Fertilizante Mineral / Organomineral (Lei nº 6.894/1980)</t>
        </is>
      </c>
      <c r="L268" s="13" t="inlineStr">
        <is>
          <t>Nutrição Vegetal SIPEAGRO</t>
        </is>
      </c>
      <c r="M268" s="13" t="inlineStr">
        <is>
          <t>Fornecimento de macro e micronutrientes essenciais ao metabolismo vegetal</t>
        </is>
      </c>
      <c r="N268" s="13" t="inlineStr">
        <is>
          <t>Isento ANVISA (Produto Fertilizante Registrado no SIPEAGRO/MAPA)</t>
        </is>
      </c>
      <c r="O268" s="13" t="inlineStr">
        <is>
          <t>Não Aplicável (Fertilizante)</t>
        </is>
      </c>
      <c r="P268" s="13" t="inlineStr">
        <is>
          <t>Baixo Potencial Poluidor (Uso conforme recomendação agronômica)</t>
        </is>
      </c>
      <c r="Q268" s="15" t="n">
        <v>0</v>
      </c>
      <c r="R268" s="13" t="inlineStr">
        <is>
          <t>Aplicação Dirigida / TS / Solo</t>
        </is>
      </c>
      <c r="S268" s="13" t="inlineStr">
        <is>
          <t>Tratamento sintomático em caso de ingestão acidental</t>
        </is>
      </c>
      <c r="T268" s="13" t="inlineStr">
        <is>
          <t>Estabelecimento Produtor SIPEAGRO/MAPA</t>
        </is>
      </c>
      <c r="U268" s="16">
        <f>HYPERLINK("https://www.gov.br/agricultura/pt-br/assuntos/insumos-agropecuarios/insumos-agricolas/fertilizantes", "Portal SIPEAGRO / MAPA — Fertilizantes e Bioinsumos")</f>
        <v/>
      </c>
    </row>
    <row r="269" ht="22" customHeight="1">
      <c r="A269" s="5" t="n">
        <v>264</v>
      </c>
      <c r="B269" s="6" t="inlineStr">
        <is>
          <t>Nº 17219</t>
        </is>
      </c>
      <c r="C269" s="7" t="inlineStr">
        <is>
          <t>FLUAZINAM 500 SC PROVENTIS 1X20L (IMP) NW</t>
        </is>
      </c>
      <c r="D269" s="8" t="inlineStr">
        <is>
          <t>FLUAZINAM</t>
        </is>
      </c>
      <c r="E269" s="7" t="inlineStr">
        <is>
          <t>Produto Formulado Comercial</t>
        </is>
      </c>
      <c r="F269" s="7" t="inlineStr">
        <is>
          <t>Defensivos</t>
        </is>
      </c>
      <c r="G269" s="7" t="inlineStr">
        <is>
          <t>Fungicida</t>
        </is>
      </c>
      <c r="H269" s="7" t="inlineStr">
        <is>
          <t>SC</t>
        </is>
      </c>
      <c r="I269" s="7" t="inlineStr">
        <is>
          <t>Suspensão Concentrada (SC)</t>
        </is>
      </c>
      <c r="J269" s="7" t="inlineStr">
        <is>
          <t>Fungicida e acaricida de contato preventivo c/ baixa mobilidade</t>
        </is>
      </c>
      <c r="K269" s="7" t="inlineStr">
        <is>
          <t>Fenilpiridinamina (2,6-dinitroanilina)</t>
        </is>
      </c>
      <c r="L269" s="7" t="inlineStr">
        <is>
          <t>FRAC Grupo 29</t>
        </is>
      </c>
      <c r="M269" s="7" t="inlineStr">
        <is>
          <t>Desacopladores da fosforilação oxidativa mitocondrial</t>
        </is>
      </c>
      <c r="N269" s="7" t="inlineStr">
        <is>
          <t>Categoria 4 — Produto Pouco Tóxico</t>
        </is>
      </c>
      <c r="O269" s="7" t="inlineStr">
        <is>
          <t>Azul PMS Blue 293 C</t>
        </is>
      </c>
      <c r="P269" s="7" t="inlineStr">
        <is>
          <t>Classe II — Produto Muito Perigoso ao Meio Ambiente</t>
        </is>
      </c>
      <c r="Q269" s="9" t="n">
        <v>24</v>
      </c>
      <c r="R269" s="7" t="inlineStr">
        <is>
          <t>Terrestre / Aérea (Drones consultar bula)</t>
        </is>
      </c>
      <c r="S269" s="7" t="inlineStr">
        <is>
          <t>Sem antídoto específico; tratamento sintomático</t>
        </is>
      </c>
      <c r="T269" s="7" t="inlineStr">
        <is>
          <t>PROVENTIS LIFESCIENCE DEFENSIVOS AGRÍCOLAS LTDA.</t>
        </is>
      </c>
      <c r="U269" s="10">
        <f>HYPERLINK("https://agrofit.agricultura.gov.br/agrofit_cons/principal_agrofit_cons", "Consulta Oficial AGROFIT/MAPA (Nº 17219)")</f>
        <v/>
      </c>
    </row>
    <row r="270" ht="22" customHeight="1">
      <c r="A270" s="11" t="n">
        <v>265</v>
      </c>
      <c r="B270" s="12" t="inlineStr">
        <is>
          <t>Nº 14421</t>
        </is>
      </c>
      <c r="C270" s="13" t="inlineStr">
        <is>
          <t>FIPRONIL 250 FS AGCN 4X5L (IMP)</t>
        </is>
      </c>
      <c r="D270" s="14" t="inlineStr">
        <is>
          <t>FIPRONIL 250 FS AGCN</t>
        </is>
      </c>
      <c r="E270" s="13" t="inlineStr">
        <is>
          <t>Produto Formulado Comercial</t>
        </is>
      </c>
      <c r="F270" s="13" t="inlineStr">
        <is>
          <t>Defensivos</t>
        </is>
      </c>
      <c r="G270" s="13" t="inlineStr">
        <is>
          <t>Inseticida e Cupinicida (Fipronil)</t>
        </is>
      </c>
      <c r="H270" s="13" t="inlineStr">
        <is>
          <t>FS</t>
        </is>
      </c>
      <c r="I270" s="13" t="inlineStr">
        <is>
          <t>Suspensão Concentrada para Tratamento de Sementes (FS)</t>
        </is>
      </c>
      <c r="J270" s="13" t="inlineStr">
        <is>
          <t>Inseticida, cupinicida e formicida de contato e ingestão (TS / Solo)</t>
        </is>
      </c>
      <c r="K270" s="13" t="inlineStr">
        <is>
          <t>Pirazol (Fenilpirazol)</t>
        </is>
      </c>
      <c r="L270" s="13" t="inlineStr">
        <is>
          <t>IRAC Grupo 2B</t>
        </is>
      </c>
      <c r="M270" s="13" t="inlineStr">
        <is>
          <t>Bloqueadores de canais de cloro mediados pelo GABA</t>
        </is>
      </c>
      <c r="N270" s="13" t="inlineStr">
        <is>
          <t>Categoria 3 — Produto Moderadamente Tóxico</t>
        </is>
      </c>
      <c r="O270" s="13" t="inlineStr">
        <is>
          <t>Amarelo PMS Yellow C</t>
        </is>
      </c>
      <c r="P270" s="13" t="inlineStr">
        <is>
          <t>Classe II — Produto Muito Perigoso ao Meio Ambiente</t>
        </is>
      </c>
      <c r="Q270" s="15" t="n">
        <v>0</v>
      </c>
      <c r="R270" s="13" t="inlineStr">
        <is>
          <t>Aplicação Dirigida / TS / Solo</t>
        </is>
      </c>
      <c r="S270" s="13" t="inlineStr">
        <is>
          <t>Sem antídoto específico; tratamento sintomático e controle neurológico</t>
        </is>
      </c>
      <c r="T270" s="13" t="inlineStr">
        <is>
          <t>AGRICONNECTION IMPORTADORA E EXPORTADORA DE INSUMOS AGRÍCOLAS LTDA.</t>
        </is>
      </c>
      <c r="U270" s="16">
        <f>HYPERLINK("https://agrofit.agricultura.gov.br/agrofit_cons/principal_agrofit_cons", "Consulta Oficial AGROFIT/MAPA (Nº 14421)")</f>
        <v/>
      </c>
    </row>
    <row r="271" ht="22" customHeight="1">
      <c r="A271" s="5" t="n">
        <v>266</v>
      </c>
      <c r="B271" s="6" t="inlineStr">
        <is>
          <t>Nº 14024</t>
        </is>
      </c>
      <c r="C271" s="7" t="inlineStr">
        <is>
          <t>ETHIPROLE 200 SC YONON 1X20L (IMP) BB</t>
        </is>
      </c>
      <c r="D271" s="8" t="inlineStr">
        <is>
          <t>ETHIPROLE</t>
        </is>
      </c>
      <c r="E271" s="7" t="inlineStr">
        <is>
          <t>Produto Formulado Comercial</t>
        </is>
      </c>
      <c r="F271" s="7" t="inlineStr">
        <is>
          <t>Defensivos</t>
        </is>
      </c>
      <c r="G271" s="7" t="inlineStr">
        <is>
          <t>Inseticida</t>
        </is>
      </c>
      <c r="H271" s="7" t="inlineStr">
        <is>
          <t>SC</t>
        </is>
      </c>
      <c r="I271" s="7" t="inlineStr">
        <is>
          <t>Suspensão Concentrada (SC)</t>
        </is>
      </c>
      <c r="J271" s="7" t="inlineStr">
        <is>
          <t>Inseticida/acaricida de contato e ingestão</t>
        </is>
      </c>
      <c r="K271" s="7" t="inlineStr">
        <is>
          <t>Fenilpirazol</t>
        </is>
      </c>
      <c r="L271" s="7" t="inlineStr">
        <is>
          <t>IRAC Grupo 2B</t>
        </is>
      </c>
      <c r="M271" s="7" t="inlineStr">
        <is>
          <t>Bloqueadores de canais de cloro mediados pelo GABA</t>
        </is>
      </c>
      <c r="N271" s="7" t="inlineStr">
        <is>
          <t>Categoria 5 — Produto Improvável de Causar Dano Agudo</t>
        </is>
      </c>
      <c r="O271" s="7" t="inlineStr">
        <is>
          <t>Azul Intenso</t>
        </is>
      </c>
      <c r="P271" s="7" t="inlineStr">
        <is>
          <t>Classe II — Produto Muito Perigoso ao Meio Ambiente</t>
        </is>
      </c>
      <c r="Q271" s="9" t="n">
        <v>24</v>
      </c>
      <c r="R271" s="7" t="inlineStr">
        <is>
          <t>Terrestre / Aérea (Drones consultar bula)</t>
        </is>
      </c>
      <c r="S271" s="7" t="inlineStr">
        <is>
          <t>Tratamento sintomático conforme grupo químico na bula</t>
        </is>
      </c>
      <c r="T271" s="7" t="inlineStr">
        <is>
          <t>YONON BRASIL DEFENSIVOS AGRÍCOLAS LTDA.</t>
        </is>
      </c>
      <c r="U271" s="10">
        <f>HYPERLINK("https://agrofit.agricultura.gov.br/agrofit_cons/principal_agrofit_cons", "Consulta Oficial AGROFIT/MAPA (Nº 14024)")</f>
        <v/>
      </c>
    </row>
    <row r="272" ht="22" customHeight="1">
      <c r="A272" s="11" t="n">
        <v>267</v>
      </c>
      <c r="B272" s="12" t="inlineStr">
        <is>
          <t>Nº 2004</t>
        </is>
      </c>
      <c r="C272" s="13" t="inlineStr">
        <is>
          <t>PENNCOZEB 1X15KG (IMP) US</t>
        </is>
      </c>
      <c r="D272" s="14" t="inlineStr">
        <is>
          <t>PENNCOZEB</t>
        </is>
      </c>
      <c r="E272" s="13" t="inlineStr">
        <is>
          <t>Produto Formulado Comercial</t>
        </is>
      </c>
      <c r="F272" s="13" t="inlineStr">
        <is>
          <t>Defensivos</t>
        </is>
      </c>
      <c r="G272" s="13" t="inlineStr">
        <is>
          <t>Fungicida</t>
        </is>
      </c>
      <c r="H272" s="13" t="inlineStr">
        <is>
          <t>WP</t>
        </is>
      </c>
      <c r="I272" s="13" t="inlineStr">
        <is>
          <t>Pó Molhável (WP)</t>
        </is>
      </c>
      <c r="J272" s="13" t="inlineStr">
        <is>
          <t>Fungicida e acaricida protetor de contato multissítio</t>
        </is>
      </c>
      <c r="K272" s="13" t="inlineStr">
        <is>
          <t>Alquilenobis(ditiocarbamato)</t>
        </is>
      </c>
      <c r="L272" s="13" t="inlineStr">
        <is>
          <t>FRAC Grupo M03 — Multissítio</t>
        </is>
      </c>
      <c r="M272" s="13" t="inlineStr">
        <is>
          <t>Inibidor multissítio de enzimas contendo grupos sulfidrila e aminoácidos fúngicos</t>
        </is>
      </c>
      <c r="N272" s="13" t="inlineStr">
        <is>
          <t>Categoria 4 / 5 — Pouco Tóxico a Improvável Dano Agudo</t>
        </is>
      </c>
      <c r="O272" s="13" t="inlineStr">
        <is>
          <t>Azul Intenso</t>
        </is>
      </c>
      <c r="P272" s="13" t="inlineStr">
        <is>
          <t>Classe II — Produto Muito Perigoso ao Meio Ambiente</t>
        </is>
      </c>
      <c r="Q272" s="15" t="n">
        <v>24</v>
      </c>
      <c r="R272" s="13" t="inlineStr">
        <is>
          <t>Terrestre / Aérea (Drones consultar bula)</t>
        </is>
      </c>
      <c r="S272" s="13" t="inlineStr">
        <is>
          <t>Sem antídoto específico; evitar consumo de álcool (efeito antabuse por ETU)</t>
        </is>
      </c>
      <c r="T272" s="13" t="inlineStr">
        <is>
          <t>UPL do Brasil</t>
        </is>
      </c>
      <c r="U272" s="16">
        <f>HYPERLINK("https://agrofit.agricultura.gov.br/agrofit_cons/principal_agrofit_cons", "Consulta Oficial AGROFIT/MAPA (Nº 2004)")</f>
        <v/>
      </c>
    </row>
    <row r="273" ht="22" customHeight="1">
      <c r="A273" s="5" t="n">
        <v>268</v>
      </c>
      <c r="B273" s="6" t="inlineStr">
        <is>
          <t>Nº 7124</t>
        </is>
      </c>
      <c r="C273" s="7" t="inlineStr">
        <is>
          <t>OPTIBEX 4X5KG (IMP)   JG</t>
        </is>
      </c>
      <c r="D273" s="8" t="inlineStr">
        <is>
          <t>OPTIBEX</t>
        </is>
      </c>
      <c r="E273" s="7" t="inlineStr">
        <is>
          <t>Produto Formulado Comercial</t>
        </is>
      </c>
      <c r="F273" s="7" t="inlineStr">
        <is>
          <t>Defensivos</t>
        </is>
      </c>
      <c r="G273" s="7" t="inlineStr">
        <is>
          <t>Herbicida</t>
        </is>
      </c>
      <c r="H273" s="7" t="inlineStr">
        <is>
          <t>WG</t>
        </is>
      </c>
      <c r="I273" s="7" t="inlineStr">
        <is>
          <t>Grânulos Dispersíveis em Água (WG)</t>
        </is>
      </c>
      <c r="J273" s="7" t="inlineStr">
        <is>
          <t>Herbicida de contato não seletivo em pós-emergência (seletivo p/ OGM LibertyLink)</t>
        </is>
      </c>
      <c r="K273" s="7" t="inlineStr">
        <is>
          <t>Homoalanina substituída (Ácido fosfínico)</t>
        </is>
      </c>
      <c r="L273" s="7" t="inlineStr">
        <is>
          <t>HRAC Grupo H (10) — Inibidores da Glutamina Sintetase</t>
        </is>
      </c>
      <c r="M273" s="7" t="inlineStr">
        <is>
          <t>Inibição da enzima glutamina sintetase (acúmulo de amônia intracelular)</t>
        </is>
      </c>
      <c r="N273" s="7" t="inlineStr">
        <is>
          <t>Categoria 4 — Produto Pouco Tóxico</t>
        </is>
      </c>
      <c r="O273" s="7" t="inlineStr">
        <is>
          <t>Azul PMS Blue 293 C</t>
        </is>
      </c>
      <c r="P273" s="7" t="inlineStr">
        <is>
          <t>Classe III — Produto Perigoso ao Meio Ambiente</t>
        </is>
      </c>
      <c r="Q273" s="9" t="n">
        <v>24</v>
      </c>
      <c r="R273" s="7" t="inlineStr">
        <is>
          <t>Terrestre / Aérea (Drones consultar bula)</t>
        </is>
      </c>
      <c r="S273" s="7" t="inlineStr">
        <is>
          <t>Sem antídoto específico; monitorar SNC por 48h e suporte ventilatório</t>
        </is>
      </c>
      <c r="T273" s="7" t="inlineStr">
        <is>
          <t>Rainbow Defensivos</t>
        </is>
      </c>
      <c r="U273" s="10">
        <f>HYPERLINK("https://agrofit.agricultura.gov.br/agrofit_cons/principal_agrofit_cons", "Consulta Oficial AGROFIT/MAPA (Nº 7124)")</f>
        <v/>
      </c>
    </row>
    <row r="274" ht="22" customHeight="1">
      <c r="A274" s="11" t="n">
        <v>269</v>
      </c>
      <c r="B274" s="12" t="inlineStr">
        <is>
          <t>Nº 16407</t>
        </is>
      </c>
      <c r="C274" s="13" t="inlineStr">
        <is>
          <t>ARENA 1X20L (IMP) GW</t>
        </is>
      </c>
      <c r="D274" s="14" t="inlineStr">
        <is>
          <t>ARENA</t>
        </is>
      </c>
      <c r="E274" s="13" t="inlineStr">
        <is>
          <t>Produto Formulado Comercial</t>
        </is>
      </c>
      <c r="F274" s="13" t="inlineStr">
        <is>
          <t>Defensivos</t>
        </is>
      </c>
      <c r="G274" s="13" t="inlineStr">
        <is>
          <t>Herbicida</t>
        </is>
      </c>
      <c r="H274" s="13" t="inlineStr">
        <is>
          <t>SL</t>
        </is>
      </c>
      <c r="I274" s="13" t="inlineStr">
        <is>
          <t>SL - Concentrado Solúvel</t>
        </is>
      </c>
      <c r="J274" s="13" t="inlineStr">
        <is>
          <t>Herbicida sistêmico seletivo de pós-emergência para folhas largas</t>
        </is>
      </c>
      <c r="K274" s="13" t="inlineStr">
        <is>
          <t>Ácido ariloxialcanoico + Ácido piridinocarboxílico</t>
        </is>
      </c>
      <c r="L274" s="13" t="inlineStr">
        <is>
          <t>HRAC Grupo O (4) — Auxinas Sintéticas</t>
        </is>
      </c>
      <c r="M274" s="13" t="inlineStr">
        <is>
          <t>Mimetizadores de auxina sintética</t>
        </is>
      </c>
      <c r="N274" s="13" t="inlineStr">
        <is>
          <t>Categoria 4: Produto Pouco Tóxico</t>
        </is>
      </c>
      <c r="O274" s="13" t="inlineStr">
        <is>
          <t>Azul</t>
        </is>
      </c>
      <c r="P274" s="13" t="inlineStr">
        <is>
          <t>Classe III — Produto Perigoso ao Meio Ambiente</t>
        </is>
      </c>
      <c r="Q274" s="15" t="n">
        <v>24</v>
      </c>
      <c r="R274" s="13" t="inlineStr">
        <is>
          <t>Terrestre / Aérea (Drones consultar bula)</t>
        </is>
      </c>
      <c r="S274" s="13" t="inlineStr">
        <is>
          <t>Sem antídoto específico; alcalinização urinária e suporte sintomático</t>
        </is>
      </c>
      <c r="T274" s="13" t="inlineStr">
        <is>
          <t>Globachem Protecao de Cultivos do Brasil Ltda</t>
        </is>
      </c>
      <c r="U274" s="16">
        <f>HYPERLINK("https://agrofit.agricultura.gov.br/agrofit_cons/principal_agrofit_cons", "Consulta Oficial AGROFIT/MAPA (Nº 16407)")</f>
        <v/>
      </c>
    </row>
    <row r="275" ht="22" customHeight="1">
      <c r="A275" s="5" t="n">
        <v>270</v>
      </c>
      <c r="B275" s="6" t="inlineStr">
        <is>
          <t>Nº 22023</t>
        </is>
      </c>
      <c r="C275" s="7" t="inlineStr">
        <is>
          <t>TEBUCONAZOLE 430 SINO-AGRI 4X5L (IMP) SF</t>
        </is>
      </c>
      <c r="D275" s="8" t="inlineStr">
        <is>
          <t>TEBUCONAZOLE 430 SINO-AGRI</t>
        </is>
      </c>
      <c r="E275" s="7" t="inlineStr">
        <is>
          <t>Produto Formulado Comercial</t>
        </is>
      </c>
      <c r="F275" s="7" t="inlineStr">
        <is>
          <t>Defensivos</t>
        </is>
      </c>
      <c r="G275" s="7" t="inlineStr">
        <is>
          <t>Fungicida</t>
        </is>
      </c>
      <c r="H275" s="7" t="inlineStr">
        <is>
          <t>SC</t>
        </is>
      </c>
      <c r="I275" s="7" t="inlineStr">
        <is>
          <t>Suspensão Concentrada (SC)</t>
        </is>
      </c>
      <c r="J275" s="7" t="inlineStr">
        <is>
          <t>Fungicida sistêmico preventivo e curativo</t>
        </is>
      </c>
      <c r="K275" s="7" t="inlineStr">
        <is>
          <t>Triazol</t>
        </is>
      </c>
      <c r="L275" s="7" t="inlineStr">
        <is>
          <t>FRAC Grupo 3 (DMI)</t>
        </is>
      </c>
      <c r="M275" s="7" t="inlineStr">
        <is>
          <t>Inibidores da desmetilação de C14 na biossíntese de ergosterol</t>
        </is>
      </c>
      <c r="N275" s="7" t="inlineStr">
        <is>
          <t>Categoria 4 — Produto Pouco Tóxico</t>
        </is>
      </c>
      <c r="O275" s="7" t="inlineStr">
        <is>
          <t>Azul PMS Blue 293 C</t>
        </is>
      </c>
      <c r="P275" s="7" t="inlineStr">
        <is>
          <t>Classe II — Produto Muito Perigoso ao Meio Ambiente</t>
        </is>
      </c>
      <c r="Q275" s="9" t="n">
        <v>24</v>
      </c>
      <c r="R275" s="7" t="inlineStr">
        <is>
          <t>Terrestre / Aérea (Drones consultar bula)</t>
        </is>
      </c>
      <c r="S275" s="7" t="inlineStr">
        <is>
          <t>Sem antídoto específico; tratamento sintomático</t>
        </is>
      </c>
      <c r="T275" s="7" t="inlineStr">
        <is>
          <t>SINO-AGRI LEADING BIOSCIENCES DO BRASIL / INOVATIS LTDA.</t>
        </is>
      </c>
      <c r="U275" s="10">
        <f>HYPERLINK("https://agrofit.agricultura.gov.br/agrofit_cons/principal_agrofit_cons", "Consulta Oficial AGROFIT/MAPA (Nº 22023)")</f>
        <v/>
      </c>
    </row>
    <row r="276" ht="22" customHeight="1">
      <c r="A276" s="11" t="n">
        <v>271</v>
      </c>
      <c r="B276" s="12" t="inlineStr">
        <is>
          <t>Nº 22023</t>
        </is>
      </c>
      <c r="C276" s="13" t="inlineStr">
        <is>
          <t>TEBUCONAZOLE 430 SINO-AGRI 1X20L (IMP) AF</t>
        </is>
      </c>
      <c r="D276" s="14" t="inlineStr">
        <is>
          <t>TEBUCONAZOLE 430 SINO-AGRI</t>
        </is>
      </c>
      <c r="E276" s="13" t="inlineStr">
        <is>
          <t>Produto Formulado Comercial</t>
        </is>
      </c>
      <c r="F276" s="13" t="inlineStr">
        <is>
          <t>Defensivos</t>
        </is>
      </c>
      <c r="G276" s="13" t="inlineStr">
        <is>
          <t>Fungicida</t>
        </is>
      </c>
      <c r="H276" s="13" t="inlineStr">
        <is>
          <t>SC</t>
        </is>
      </c>
      <c r="I276" s="13" t="inlineStr">
        <is>
          <t>Suspensão Concentrada (SC)</t>
        </is>
      </c>
      <c r="J276" s="13" t="inlineStr">
        <is>
          <t>Fungicida sistêmico preventivo e curativo</t>
        </is>
      </c>
      <c r="K276" s="13" t="inlineStr">
        <is>
          <t>Triazol</t>
        </is>
      </c>
      <c r="L276" s="13" t="inlineStr">
        <is>
          <t>FRAC Grupo 3 (DMI)</t>
        </is>
      </c>
      <c r="M276" s="13" t="inlineStr">
        <is>
          <t>Inibidores da desmetilação de C14 na biossíntese de ergosterol</t>
        </is>
      </c>
      <c r="N276" s="13" t="inlineStr">
        <is>
          <t>Categoria 4 — Produto Pouco Tóxico</t>
        </is>
      </c>
      <c r="O276" s="13" t="inlineStr">
        <is>
          <t>Azul PMS Blue 293 C</t>
        </is>
      </c>
      <c r="P276" s="13" t="inlineStr">
        <is>
          <t>Classe II — Produto Muito Perigoso ao Meio Ambiente</t>
        </is>
      </c>
      <c r="Q276" s="15" t="n">
        <v>24</v>
      </c>
      <c r="R276" s="13" t="inlineStr">
        <is>
          <t>Terrestre / Aérea (Drones consultar bula)</t>
        </is>
      </c>
      <c r="S276" s="13" t="inlineStr">
        <is>
          <t>Sem antídoto específico; tratamento sintomático</t>
        </is>
      </c>
      <c r="T276" s="13" t="inlineStr">
        <is>
          <t>SINO-AGRI LEADING BIOSCIENCES DO BRASIL / INOVATIS LTDA.</t>
        </is>
      </c>
      <c r="U276" s="16">
        <f>HYPERLINK("https://agrofit.agricultura.gov.br/agrofit_cons/principal_agrofit_cons", "Consulta Oficial AGROFIT/MAPA (Nº 22023)")</f>
        <v/>
      </c>
    </row>
    <row r="277" ht="22" customHeight="1">
      <c r="A277" s="5" t="n">
        <v>272</v>
      </c>
      <c r="B277" s="6" t="inlineStr">
        <is>
          <t>Nº 10010</t>
        </is>
      </c>
      <c r="C277" s="7" t="inlineStr">
        <is>
          <t>BRILHANTE BR 1X20L (IMP)</t>
        </is>
      </c>
      <c r="D277" s="8" t="inlineStr">
        <is>
          <t>BRILHANTE BR</t>
        </is>
      </c>
      <c r="E277" s="7" t="inlineStr">
        <is>
          <t>Produto Formulado Comercial</t>
        </is>
      </c>
      <c r="F277" s="7" t="inlineStr">
        <is>
          <t>Defensivos</t>
        </is>
      </c>
      <c r="G277" s="7" t="inlineStr">
        <is>
          <t>Inseticida</t>
        </is>
      </c>
      <c r="H277" s="7" t="inlineStr">
        <is>
          <t>SL</t>
        </is>
      </c>
      <c r="I277" s="7" t="inlineStr">
        <is>
          <t>SL - Concentrado Solúvel</t>
        </is>
      </c>
      <c r="J277" s="7" t="inlineStr">
        <is>
          <t>Inseticida sistêmico de contato e ingestão com efeito ovicida/larvicida</t>
        </is>
      </c>
      <c r="K277" s="7" t="inlineStr">
        <is>
          <t>Metilcarbamato de oxima</t>
        </is>
      </c>
      <c r="L277" s="7" t="inlineStr">
        <is>
          <t>IRAC Grupo 1A</t>
        </is>
      </c>
      <c r="M277" s="7" t="inlineStr">
        <is>
          <t>Inibidores reversíveis da enzima acetilcolinesterase (AChE)</t>
        </is>
      </c>
      <c r="N277" s="7" t="inlineStr">
        <is>
          <t>Categoria 2: Produto Altamente Tóxico</t>
        </is>
      </c>
      <c r="O277" s="7" t="inlineStr">
        <is>
          <t>Vermelho</t>
        </is>
      </c>
      <c r="P277" s="7" t="inlineStr">
        <is>
          <t>Classe II — Produto Muito Perigoso ao Meio Ambiente</t>
        </is>
      </c>
      <c r="Q277" s="9" t="n">
        <v>24</v>
      </c>
      <c r="R277" s="7" t="inlineStr">
        <is>
          <t>Terrestre / Aérea (Drones consultar bula)</t>
        </is>
      </c>
      <c r="S277" s="7" t="inlineStr">
        <is>
          <t>Sulfato de Atropina (antídoto específico; NÃO administrar oximas/pralidoxima em carbamatos)</t>
        </is>
      </c>
      <c r="T277" s="7" t="inlineStr">
        <is>
          <t>OURO FINO QUIMICA S.A.</t>
        </is>
      </c>
      <c r="U277" s="10">
        <f>HYPERLINK("https://agrofit.agricultura.gov.br/agrofit_cons/principal_agrofit_cons", "Consulta Oficial AGROFIT/MAPA (Nº 10010)")</f>
        <v/>
      </c>
    </row>
    <row r="278" ht="22" customHeight="1">
      <c r="A278" s="11" t="n">
        <v>273</v>
      </c>
      <c r="B278" s="12" t="inlineStr">
        <is>
          <t>ISENTO (ATO 104/2017)</t>
        </is>
      </c>
      <c r="C278" s="13" t="inlineStr">
        <is>
          <t>FERTILIZANTES 3 - 1L (AMOSTRA)</t>
        </is>
      </c>
      <c r="D278" s="14" t="inlineStr">
        <is>
          <t>FERTILIZANTES 3 -</t>
        </is>
      </c>
      <c r="E278" s="13" t="inlineStr">
        <is>
          <t>Adjuvante / Espalhante Adesivo</t>
        </is>
      </c>
      <c r="F278" s="13" t="inlineStr">
        <is>
          <t>Adjuvantes</t>
        </is>
      </c>
      <c r="G278" s="13" t="inlineStr">
        <is>
          <t>Adjuvante Espalhante / Surfactante / Redutor de pH e Deriva</t>
        </is>
      </c>
      <c r="H278" s="13" t="inlineStr">
        <is>
          <t>EC</t>
        </is>
      </c>
      <c r="I278" s="13" t="inlineStr">
        <is>
          <t>Concentrado Emulsionável (EC)</t>
        </is>
      </c>
      <c r="J278" s="13" t="inlineStr">
        <is>
          <t>Aditivo físico-químico para calda de pulverização</t>
        </is>
      </c>
      <c r="K278" s="13" t="inlineStr">
        <is>
          <t>Éster Metílico / Hidrocarboneto Parafínico / Tensoativo Siliconado</t>
        </is>
      </c>
      <c r="L278" s="13" t="inlineStr">
        <is>
          <t>Adjuvante Tecnológico de Pulverização</t>
        </is>
      </c>
      <c r="M278" s="13" t="inlineStr">
        <is>
          <t>Redução da tensão superficial, espalhamento, anti-deriva e penetração cuticular</t>
        </is>
      </c>
      <c r="N278" s="13" t="inlineStr">
        <is>
          <t>Isento / Ato SDA nº 104/2017 (ou Categoria 5 quando registrado)</t>
        </is>
      </c>
      <c r="O278" s="13" t="inlineStr">
        <is>
          <t>Azul / Isento</t>
        </is>
      </c>
      <c r="P278" s="13" t="inlineStr">
        <is>
          <t>Classe IV — Pouco Perigoso ao Meio Ambiente</t>
        </is>
      </c>
      <c r="Q278" s="15" t="n">
        <v>24</v>
      </c>
      <c r="R278" s="13" t="inlineStr">
        <is>
          <t>Terrestre / Aérea (Drones consultar bula)</t>
        </is>
      </c>
      <c r="S278" s="13" t="inlineStr">
        <is>
          <t>Tratamento sintomático; evitar indução de vômito em derivados de petróleo</t>
        </is>
      </c>
      <c r="T278" s="13" t="inlineStr">
        <is>
          <t>Dispensado de Registro (Ato SDA nº 104/2017)</t>
        </is>
      </c>
      <c r="U278" s="16">
        <f>HYPERLINK("https://www.gov.br/agricultura/pt-br/assuntos/insumos-agropecuarios/insumos-agricolas/agrotoxicos/legislacao", "Ato SDA/MAPA nº 104/2017 — Adjuvantes Agrícolas")</f>
        <v/>
      </c>
    </row>
    <row r="279" ht="22" customHeight="1">
      <c r="A279" s="5" t="n">
        <v>274</v>
      </c>
      <c r="B279" s="6" t="inlineStr">
        <is>
          <t>Nº 12621</t>
        </is>
      </c>
      <c r="C279" s="7" t="inlineStr">
        <is>
          <t>NADRAN 250 1X20L (IMP)</t>
        </is>
      </c>
      <c r="D279" s="8" t="inlineStr">
        <is>
          <t>NADRAN 250</t>
        </is>
      </c>
      <c r="E279" s="7" t="inlineStr">
        <is>
          <t>Produto Formulado Comercial</t>
        </is>
      </c>
      <c r="F279" s="7" t="inlineStr">
        <is>
          <t>Defensivos</t>
        </is>
      </c>
      <c r="G279" s="7" t="inlineStr">
        <is>
          <t>Regulador de Crescimento</t>
        </is>
      </c>
      <c r="H279" s="7" t="inlineStr">
        <is>
          <t>SL</t>
        </is>
      </c>
      <c r="I279" s="7" t="inlineStr">
        <is>
          <t>Concentrado Solúvel (SL)</t>
        </is>
      </c>
      <c r="J279" s="7" t="inlineStr">
        <is>
          <t>Inseticida/acaricida de contato e ingestão</t>
        </is>
      </c>
      <c r="K279" s="7" t="inlineStr">
        <is>
          <t>Amônio Quaternário (Fitorregulador)</t>
        </is>
      </c>
      <c r="L279" s="7" t="inlineStr">
        <is>
          <t>Regulador de Crescimento Vegetal (Inibidor de Giberelina)</t>
        </is>
      </c>
      <c r="M279" s="7" t="inlineStr">
        <is>
          <t>Inibição da biossíntese de giberelinas (redução do crescimento vegetativo)</t>
        </is>
      </c>
      <c r="N279" s="7" t="inlineStr">
        <is>
          <t>Categoria 3 / 4 — Moderadamente a Pouco Tóxico</t>
        </is>
      </c>
      <c r="O279" s="7" t="inlineStr">
        <is>
          <t>Amarelo / Azul</t>
        </is>
      </c>
      <c r="P279" s="7" t="inlineStr">
        <is>
          <t>Classe II — Produto Muito Perigoso ao Meio Ambiente</t>
        </is>
      </c>
      <c r="Q279" s="9" t="n">
        <v>24</v>
      </c>
      <c r="R279" s="7" t="inlineStr">
        <is>
          <t>Terrestre / Aérea (Drones consultar bula)</t>
        </is>
      </c>
      <c r="S279" s="7" t="inlineStr">
        <is>
          <t>Tratamento sintomático conforme grupo químico na bula</t>
        </is>
      </c>
      <c r="T279" s="7" t="inlineStr">
        <is>
          <t>Luxembourg Brasil</t>
        </is>
      </c>
      <c r="U279" s="10">
        <f>HYPERLINK("https://agrofit.agricultura.gov.br/agrofit_cons/principal_agrofit_cons", "Consulta Oficial AGROFIT/MAPA (Nº 12621)")</f>
        <v/>
      </c>
    </row>
    <row r="280" ht="22" customHeight="1">
      <c r="A280" s="11" t="n">
        <v>275</v>
      </c>
      <c r="B280" s="12" t="inlineStr">
        <is>
          <t>SIPEAGRO (UF-XXXXX)</t>
        </is>
      </c>
      <c r="C280" s="13" t="inlineStr">
        <is>
          <t>BRENNFEED BR 248 1KG (AMOSTRA)</t>
        </is>
      </c>
      <c r="D280" s="14" t="inlineStr">
        <is>
          <t>BRENNFEED BR 248</t>
        </is>
      </c>
      <c r="E280" s="13" t="inlineStr">
        <is>
          <t>Fertilizante Mineral / Organomineral</t>
        </is>
      </c>
      <c r="F280" s="13" t="inlineStr">
        <is>
          <t>Fertilizantes</t>
        </is>
      </c>
      <c r="G280" s="13" t="inlineStr">
        <is>
          <t>Fertilizante Foliar / Micronutrientes</t>
        </is>
      </c>
      <c r="H280" s="13" t="inlineStr">
        <is>
          <t>Granulado</t>
        </is>
      </c>
      <c r="I280" s="13" t="inlineStr">
        <is>
          <t>Formulação Padrão (Granulado / Solúvel / Suspensão)</t>
        </is>
      </c>
      <c r="J280" s="13" t="inlineStr">
        <is>
          <t>Aplicação via solo, fertirrigação ou adubação foliar</t>
        </is>
      </c>
      <c r="K280" s="13" t="inlineStr">
        <is>
          <t>Fertilizante Mineral / Organomineral (Lei nº 6.894/1980)</t>
        </is>
      </c>
      <c r="L280" s="13" t="inlineStr">
        <is>
          <t>Nutrição Vegetal SIPEAGRO</t>
        </is>
      </c>
      <c r="M280" s="13" t="inlineStr">
        <is>
          <t>Fornecimento de macro e micronutrientes essenciais ao metabolismo vegetal</t>
        </is>
      </c>
      <c r="N280" s="13" t="inlineStr">
        <is>
          <t>Isento ANVISA (Produto Fertilizante Registrado no SIPEAGRO/MAPA)</t>
        </is>
      </c>
      <c r="O280" s="13" t="inlineStr">
        <is>
          <t>Não Aplicável (Fertilizante)</t>
        </is>
      </c>
      <c r="P280" s="13" t="inlineStr">
        <is>
          <t>Baixo Potencial Poluidor (Uso conforme recomendação agronômica)</t>
        </is>
      </c>
      <c r="Q280" s="15" t="n">
        <v>0</v>
      </c>
      <c r="R280" s="13" t="inlineStr">
        <is>
          <t>Aplicação Dirigida / TS / Solo</t>
        </is>
      </c>
      <c r="S280" s="13" t="inlineStr">
        <is>
          <t>Tratamento sintomático em caso de ingestão acidental</t>
        </is>
      </c>
      <c r="T280" s="13" t="inlineStr">
        <is>
          <t>Estabelecimento Produtor SIPEAGRO/MAPA</t>
        </is>
      </c>
      <c r="U280" s="16">
        <f>HYPERLINK("https://www.gov.br/agricultura/pt-br/assuntos/insumos-agropecuarios/insumos-agricolas/fertilizantes", "Portal SIPEAGRO / MAPA — Fertilizantes e Bioinsumos")</f>
        <v/>
      </c>
    </row>
    <row r="281" ht="22" customHeight="1">
      <c r="A281" s="5" t="n">
        <v>276</v>
      </c>
      <c r="B281" s="6" t="inlineStr">
        <is>
          <t>Nº 31817</t>
        </is>
      </c>
      <c r="C281" s="7" t="inlineStr">
        <is>
          <t>RAINIL 12X1KG (IMP)</t>
        </is>
      </c>
      <c r="D281" s="8" t="inlineStr">
        <is>
          <t>RAINIL</t>
        </is>
      </c>
      <c r="E281" s="7" t="inlineStr">
        <is>
          <t>Produto Formulado Comercial</t>
        </is>
      </c>
      <c r="F281" s="7" t="inlineStr">
        <is>
          <t>Defensivos</t>
        </is>
      </c>
      <c r="G281" s="7" t="inlineStr">
        <is>
          <t>Inseticida e Cupinicida (Fipronil)</t>
        </is>
      </c>
      <c r="H281" s="7" t="inlineStr">
        <is>
          <t>WG</t>
        </is>
      </c>
      <c r="I281" s="7" t="inlineStr">
        <is>
          <t>Grânulos Dispersíveis em Água (WG)</t>
        </is>
      </c>
      <c r="J281" s="7" t="inlineStr">
        <is>
          <t>Inseticida, cupinicida e formicida de contato e ingestão (TS / Solo)</t>
        </is>
      </c>
      <c r="K281" s="7" t="inlineStr">
        <is>
          <t>Pirazol (Fenilpirazol)</t>
        </is>
      </c>
      <c r="L281" s="7" t="inlineStr">
        <is>
          <t>IRAC Grupo 2B</t>
        </is>
      </c>
      <c r="M281" s="7" t="inlineStr">
        <is>
          <t>Bloqueadores de canais de cloro mediados pelo GABA</t>
        </is>
      </c>
      <c r="N281" s="7" t="inlineStr">
        <is>
          <t>Categoria 3 — Produto Moderadamente Tóxico</t>
        </is>
      </c>
      <c r="O281" s="7" t="inlineStr">
        <is>
          <t>Amarelo PMS Yellow C</t>
        </is>
      </c>
      <c r="P281" s="7" t="inlineStr">
        <is>
          <t>Classe II — Produto Muito Perigoso ao Meio Ambiente</t>
        </is>
      </c>
      <c r="Q281" s="9" t="n">
        <v>0</v>
      </c>
      <c r="R281" s="7" t="inlineStr">
        <is>
          <t>Aplicação Dirigida / TS / Solo</t>
        </is>
      </c>
      <c r="S281" s="7" t="inlineStr">
        <is>
          <t>Sem antídoto específico; tratamento sintomático e controle neurológico</t>
        </is>
      </c>
      <c r="T281" s="7" t="inlineStr">
        <is>
          <t>RAINBOW DEFENSIVOS AGRÍCOLAS LTDA.</t>
        </is>
      </c>
      <c r="U281" s="10">
        <f>HYPERLINK("https://www.adapar.pr.gov.br/system/files/publico/Agrotoxicos/lista.pdf", "Registro Oficial Rainil 800 WG (MAPA 31817)")</f>
        <v/>
      </c>
    </row>
    <row r="282" ht="22" customHeight="1">
      <c r="A282" s="11" t="n">
        <v>277</v>
      </c>
      <c r="B282" s="12" t="inlineStr">
        <is>
          <t>Nº 17119</t>
        </is>
      </c>
      <c r="C282" s="13" t="inlineStr">
        <is>
          <t>DIFENCONAZOLE 25% EC 4X5L (IMP)</t>
        </is>
      </c>
      <c r="D282" s="14" t="inlineStr">
        <is>
          <t>DIFENCONAZOLE 25% EC</t>
        </is>
      </c>
      <c r="E282" s="13" t="inlineStr">
        <is>
          <t>Produto Formulado Comercial</t>
        </is>
      </c>
      <c r="F282" s="13" t="inlineStr">
        <is>
          <t>Defensivos</t>
        </is>
      </c>
      <c r="G282" s="13" t="inlineStr">
        <is>
          <t>Fungicida</t>
        </is>
      </c>
      <c r="H282" s="13" t="inlineStr">
        <is>
          <t>EC</t>
        </is>
      </c>
      <c r="I282" s="13" t="inlineStr">
        <is>
          <t>Concentrado Emulsionável (EC)</t>
        </is>
      </c>
      <c r="J282" s="13" t="inlineStr">
        <is>
          <t>Fungicida sistêmico preventivo, curativo e erradicante</t>
        </is>
      </c>
      <c r="K282" s="13" t="inlineStr">
        <is>
          <t>Triazol</t>
        </is>
      </c>
      <c r="L282" s="13" t="inlineStr">
        <is>
          <t>FRAC Grupo 3 (DMI)</t>
        </is>
      </c>
      <c r="M282" s="13" t="inlineStr">
        <is>
          <t>Inibidores da desmetilação de esteróis (C14-desmetilase na síntese de ergosterol)</t>
        </is>
      </c>
      <c r="N282" s="13" t="inlineStr">
        <is>
          <t>Categoria 3 / 4 — Moderadamente a Pouco Tóxico</t>
        </is>
      </c>
      <c r="O282" s="13" t="inlineStr">
        <is>
          <t>Amarelo / Azul</t>
        </is>
      </c>
      <c r="P282" s="13" t="inlineStr">
        <is>
          <t>Classe II — Produto Muito Perigoso ao Meio Ambiente</t>
        </is>
      </c>
      <c r="Q282" s="15" t="n">
        <v>24</v>
      </c>
      <c r="R282" s="13" t="inlineStr">
        <is>
          <t>Terrestre / Aérea (Drones consultar bula)</t>
        </is>
      </c>
      <c r="S282" s="13" t="inlineStr">
        <is>
          <t>Sem antídoto específico; tratamento sintomático</t>
        </is>
      </c>
      <c r="T282" s="13" t="inlineStr">
        <is>
          <t>RAINBOW DEFENSIVOS AGRÍCOLAS LTDA.</t>
        </is>
      </c>
      <c r="U282" s="16">
        <f>HYPERLINK("https://www.adapar.pr.gov.br/Pagina/Agrotoxicos-Fungicidas", "Registro Oficial Difo 250 EC (MAPA 17119)")</f>
        <v/>
      </c>
    </row>
    <row r="283" ht="22" customHeight="1">
      <c r="A283" s="5" t="n">
        <v>278</v>
      </c>
      <c r="B283" s="6" t="inlineStr">
        <is>
          <t>Nº 2788394</t>
        </is>
      </c>
      <c r="C283" s="7" t="inlineStr">
        <is>
          <t>ORTHENE 750 BR 4X5KG (IMP)</t>
        </is>
      </c>
      <c r="D283" s="8" t="inlineStr">
        <is>
          <t>ORTHENE 750 BR</t>
        </is>
      </c>
      <c r="E283" s="7" t="inlineStr">
        <is>
          <t>Produto Formulado Comercial</t>
        </is>
      </c>
      <c r="F283" s="7" t="inlineStr">
        <is>
          <t>Defensivos</t>
        </is>
      </c>
      <c r="G283" s="7" t="inlineStr">
        <is>
          <t>Inseticida</t>
        </is>
      </c>
      <c r="H283" s="7" t="inlineStr">
        <is>
          <t>SG</t>
        </is>
      </c>
      <c r="I283" s="7" t="inlineStr">
        <is>
          <t>Grânulos Solúveis em Água (SG)</t>
        </is>
      </c>
      <c r="J283" s="7" t="inlineStr">
        <is>
          <t>Inseticida e acaricida sistêmico de contato e ingestão</t>
        </is>
      </c>
      <c r="K283" s="7" t="inlineStr">
        <is>
          <t>Organofosforado</t>
        </is>
      </c>
      <c r="L283" s="7" t="inlineStr">
        <is>
          <t>IRAC Grupo 1B</t>
        </is>
      </c>
      <c r="M283" s="7" t="inlineStr">
        <is>
          <t>Inibidores da enzima acetilcolinesterase (AChE)</t>
        </is>
      </c>
      <c r="N283" s="7" t="inlineStr">
        <is>
          <t>Categoria 4 — Produto Pouco Tóxico</t>
        </is>
      </c>
      <c r="O283" s="7" t="inlineStr">
        <is>
          <t>Azul PMS Blue 293 C</t>
        </is>
      </c>
      <c r="P283" s="7" t="inlineStr">
        <is>
          <t>Classe III — Produto Perigoso ao Meio Ambiente</t>
        </is>
      </c>
      <c r="Q283" s="9" t="n">
        <v>24</v>
      </c>
      <c r="R283" s="7" t="inlineStr">
        <is>
          <t>Terrestre / Aérea (Drones consultar bula)</t>
        </is>
      </c>
      <c r="S283" s="7" t="inlineStr">
        <is>
          <t>Sulfato de Atropina e Pralidoxima (Contrathion)</t>
        </is>
      </c>
      <c r="T283" s="7" t="inlineStr">
        <is>
          <t>UPL / Arysta Lifescience</t>
        </is>
      </c>
      <c r="U283" s="10">
        <f>HYPERLINK("https://agrofit.agricultura.gov.br/agrofit_cons/principal_agrofit_cons", "Consulta Oficial AGROFIT/MAPA (Nº 2788394)")</f>
        <v/>
      </c>
    </row>
    <row r="284" ht="22" customHeight="1">
      <c r="A284" s="11" t="n">
        <v>279</v>
      </c>
      <c r="B284" s="12" t="inlineStr">
        <is>
          <t>Nº 16223</t>
        </is>
      </c>
      <c r="C284" s="13" t="inlineStr">
        <is>
          <t>CLOMASTER 1X20L (IMP)</t>
        </is>
      </c>
      <c r="D284" s="14" t="inlineStr">
        <is>
          <t>CLOMASTER</t>
        </is>
      </c>
      <c r="E284" s="13" t="inlineStr">
        <is>
          <t>Produto Formulado Comercial</t>
        </is>
      </c>
      <c r="F284" s="13" t="inlineStr">
        <is>
          <t>Defensivos</t>
        </is>
      </c>
      <c r="G284" s="13" t="inlineStr">
        <is>
          <t>Herbicida</t>
        </is>
      </c>
      <c r="H284" s="13" t="inlineStr">
        <is>
          <t>CS</t>
        </is>
      </c>
      <c r="I284" s="13" t="inlineStr">
        <is>
          <t>Suspensão de Encapsulado (CS)</t>
        </is>
      </c>
      <c r="J284" s="13" t="inlineStr">
        <is>
          <t>Herbicida seletivo sistêmico pré-emergente</t>
        </is>
      </c>
      <c r="K284" s="13" t="inlineStr">
        <is>
          <t>Isoxazolidinona</t>
        </is>
      </c>
      <c r="L284" s="13" t="inlineStr">
        <is>
          <t>HRAC Grupo F4 (13) — Inibidores da DOXP sintase</t>
        </is>
      </c>
      <c r="M284" s="13" t="inlineStr">
        <is>
          <t>Inibidores da 1-deoxi-D-xilulose 5-fosfato sintase (biossíntese de plastoquinona/carotenoides)</t>
        </is>
      </c>
      <c r="N284" s="13" t="inlineStr">
        <is>
          <t>Categoria 4 — Produto Pouco Tóxico</t>
        </is>
      </c>
      <c r="O284" s="13" t="inlineStr">
        <is>
          <t>Azul PMS Blue 293 C</t>
        </is>
      </c>
      <c r="P284" s="13" t="inlineStr">
        <is>
          <t>Classe II — Produto Muito Perigoso ao Meio Ambiente</t>
        </is>
      </c>
      <c r="Q284" s="15" t="n">
        <v>24</v>
      </c>
      <c r="R284" s="13" t="inlineStr">
        <is>
          <t>Terrestre / Aérea (Drones consultar bula)</t>
        </is>
      </c>
      <c r="S284" s="13" t="inlineStr">
        <is>
          <t>Sem antídoto específico; tratamento sintomático</t>
        </is>
      </c>
      <c r="T284" s="13" t="inlineStr">
        <is>
          <t>RAINBOW DEFENSIVOS AGRÍCOLAS LTDA. / PERTERRA S.A.</t>
        </is>
      </c>
      <c r="U284" s="16">
        <f>HYPERLINK("https://agrofit.agricultura.gov.br/agrofit_cons/principal_agrofit_cons", "Consulta Oficial AGROFIT/MAPA (Nº 16223)")</f>
        <v/>
      </c>
    </row>
    <row r="285" ht="22" customHeight="1">
      <c r="A285" s="5" t="n">
        <v>280</v>
      </c>
      <c r="B285" s="6" t="inlineStr">
        <is>
          <t>ISENTO (ATO 104/2017)</t>
        </is>
      </c>
      <c r="C285" s="7" t="inlineStr">
        <is>
          <t>AGCN SAFE AIR 1X1L</t>
        </is>
      </c>
      <c r="D285" s="8" t="inlineStr">
        <is>
          <t>AGCN SAFE AIR</t>
        </is>
      </c>
      <c r="E285" s="7" t="inlineStr">
        <is>
          <t>Adjuvante / Espalhante Adesivo</t>
        </is>
      </c>
      <c r="F285" s="7" t="inlineStr">
        <is>
          <t>Adjuvantes</t>
        </is>
      </c>
      <c r="G285" s="7" t="inlineStr">
        <is>
          <t>Adjuvante Espalhante / Surfactante / Redutor de pH e Deriva</t>
        </is>
      </c>
      <c r="H285" s="7" t="inlineStr">
        <is>
          <t>EC</t>
        </is>
      </c>
      <c r="I285" s="7" t="inlineStr">
        <is>
          <t>Concentrado Emulsionável (EC)</t>
        </is>
      </c>
      <c r="J285" s="7" t="inlineStr">
        <is>
          <t>Aditivo físico-químico para calda de pulverização</t>
        </is>
      </c>
      <c r="K285" s="7" t="inlineStr">
        <is>
          <t>Éster Metílico / Hidrocarboneto Parafínico / Tensoativo Siliconado</t>
        </is>
      </c>
      <c r="L285" s="7" t="inlineStr">
        <is>
          <t>Adjuvante Tecnológico de Pulverização</t>
        </is>
      </c>
      <c r="M285" s="7" t="inlineStr">
        <is>
          <t>Redução da tensão superficial, espalhamento, anti-deriva e penetração cuticular</t>
        </is>
      </c>
      <c r="N285" s="7" t="inlineStr">
        <is>
          <t>Isento / Ato SDA nº 104/2017 (ou Categoria 5 quando registrado)</t>
        </is>
      </c>
      <c r="O285" s="7" t="inlineStr">
        <is>
          <t>Azul / Isento</t>
        </is>
      </c>
      <c r="P285" s="7" t="inlineStr">
        <is>
          <t>Classe IV — Pouco Perigoso ao Meio Ambiente</t>
        </is>
      </c>
      <c r="Q285" s="9" t="n">
        <v>24</v>
      </c>
      <c r="R285" s="7" t="inlineStr">
        <is>
          <t>Terrestre / Aérea (Drones consultar bula)</t>
        </is>
      </c>
      <c r="S285" s="7" t="inlineStr">
        <is>
          <t>Tratamento sintomático; evitar indução de vômito em derivados de petróleo</t>
        </is>
      </c>
      <c r="T285" s="7" t="inlineStr">
        <is>
          <t>Dispensado de Registro (Ato SDA nº 104/2017)</t>
        </is>
      </c>
      <c r="U285" s="10">
        <f>HYPERLINK("https://www.gov.br/agricultura/pt-br/assuntos/insumos-agropecuarios/insumos-agricolas/agrotoxicos/legislacao", "Ato SDA/MAPA nº 104/2017 — Adjuvantes Agrícolas")</f>
        <v/>
      </c>
    </row>
    <row r="286" ht="22" customHeight="1">
      <c r="A286" s="11" t="n">
        <v>281</v>
      </c>
      <c r="B286" s="12" t="inlineStr">
        <is>
          <t>SIPEAGRO (UF-XXXXX)</t>
        </is>
      </c>
      <c r="C286" s="13" t="inlineStr">
        <is>
          <t>AGCN SEED ULTRA 12X1L</t>
        </is>
      </c>
      <c r="D286" s="14" t="inlineStr">
        <is>
          <t>AGCN SEED ULTRA</t>
        </is>
      </c>
      <c r="E286" s="13" t="inlineStr">
        <is>
          <t>Fertilizante Mineral / Organomineral</t>
        </is>
      </c>
      <c r="F286" s="13" t="inlineStr">
        <is>
          <t>Fertilizantes</t>
        </is>
      </c>
      <c r="G286" s="13" t="inlineStr">
        <is>
          <t>Fertilizante Foliar / Micronutrientes</t>
        </is>
      </c>
      <c r="H286" s="13" t="inlineStr">
        <is>
          <t>SL</t>
        </is>
      </c>
      <c r="I286" s="13" t="inlineStr">
        <is>
          <t>Solução / Suspensão Concentrada Foliar (Fluido)</t>
        </is>
      </c>
      <c r="J286" s="13" t="inlineStr">
        <is>
          <t>Aplicação via solo, fertirrigação ou adubação foliar</t>
        </is>
      </c>
      <c r="K286" s="13" t="inlineStr">
        <is>
          <t>Fertilizante Mineral / Organomineral (Lei nº 6.894/1980)</t>
        </is>
      </c>
      <c r="L286" s="13" t="inlineStr">
        <is>
          <t>Nutrição Vegetal SIPEAGRO</t>
        </is>
      </c>
      <c r="M286" s="13" t="inlineStr">
        <is>
          <t>Fornecimento de macro e micronutrientes essenciais ao metabolismo vegetal</t>
        </is>
      </c>
      <c r="N286" s="13" t="inlineStr">
        <is>
          <t>Isento ANVISA (Produto Fertilizante Registrado no SIPEAGRO/MAPA)</t>
        </is>
      </c>
      <c r="O286" s="13" t="inlineStr">
        <is>
          <t>Não Aplicável (Fertilizante)</t>
        </is>
      </c>
      <c r="P286" s="13" t="inlineStr">
        <is>
          <t>Baixo Potencial Poluidor (Uso conforme recomendação agronômica)</t>
        </is>
      </c>
      <c r="Q286" s="15" t="n">
        <v>0</v>
      </c>
      <c r="R286" s="13" t="inlineStr">
        <is>
          <t>Aplicação Dirigida / TS / Solo</t>
        </is>
      </c>
      <c r="S286" s="13" t="inlineStr">
        <is>
          <t>Tratamento sintomático em caso de ingestão acidental</t>
        </is>
      </c>
      <c r="T286" s="13" t="inlineStr">
        <is>
          <t>Estabelecimento Produtor SIPEAGRO/MAPA</t>
        </is>
      </c>
      <c r="U286" s="16">
        <f>HYPERLINK("https://www.gov.br/agricultura/pt-br/assuntos/insumos-agropecuarios/insumos-agricolas/fertilizantes", "Portal SIPEAGRO / MAPA — Fertilizantes e Bioinsumos")</f>
        <v/>
      </c>
    </row>
    <row r="287" ht="22" customHeight="1">
      <c r="A287" s="5" t="n">
        <v>282</v>
      </c>
      <c r="B287" s="6" t="inlineStr">
        <is>
          <t>SIPEAGRO (UF-XXXXX)</t>
        </is>
      </c>
      <c r="C287" s="7" t="inlineStr">
        <is>
          <t>AGCN FULL ULTRA 4X5L</t>
        </is>
      </c>
      <c r="D287" s="8" t="inlineStr">
        <is>
          <t>AGCN FULL ULTRA</t>
        </is>
      </c>
      <c r="E287" s="7" t="inlineStr">
        <is>
          <t>Fertilizante Mineral / Organomineral</t>
        </is>
      </c>
      <c r="F287" s="7" t="inlineStr">
        <is>
          <t>Fertilizantes</t>
        </is>
      </c>
      <c r="G287" s="7" t="inlineStr">
        <is>
          <t>Fertilizante Organomineral / Bioestimulante</t>
        </is>
      </c>
      <c r="H287" s="7" t="inlineStr">
        <is>
          <t>SL</t>
        </is>
      </c>
      <c r="I287" s="7" t="inlineStr">
        <is>
          <t>Solução / Suspensão Concentrada Foliar (Fluido)</t>
        </is>
      </c>
      <c r="J287" s="7" t="inlineStr">
        <is>
          <t>Aplicação via solo, fertirrigação ou adubação foliar</t>
        </is>
      </c>
      <c r="K287" s="7" t="inlineStr">
        <is>
          <t>Fertilizante Mineral / Organomineral (Lei nº 6.894/1980)</t>
        </is>
      </c>
      <c r="L287" s="7" t="inlineStr">
        <is>
          <t>Nutrição Vegetal SIPEAGRO</t>
        </is>
      </c>
      <c r="M287" s="7" t="inlineStr">
        <is>
          <t>Fornecimento de macro e micronutrientes essenciais ao metabolismo vegetal</t>
        </is>
      </c>
      <c r="N287" s="7" t="inlineStr">
        <is>
          <t>Isento ANVISA (Produto Fertilizante Registrado no SIPEAGRO/MAPA)</t>
        </is>
      </c>
      <c r="O287" s="7" t="inlineStr">
        <is>
          <t>Não Aplicável (Fertilizante)</t>
        </is>
      </c>
      <c r="P287" s="7" t="inlineStr">
        <is>
          <t>Baixo Potencial Poluidor (Uso conforme recomendação agronômica)</t>
        </is>
      </c>
      <c r="Q287" s="9" t="n">
        <v>0</v>
      </c>
      <c r="R287" s="7" t="inlineStr">
        <is>
          <t>Aplicação Dirigida / TS / Solo</t>
        </is>
      </c>
      <c r="S287" s="7" t="inlineStr">
        <is>
          <t>Tratamento sintomático em caso de ingestão acidental</t>
        </is>
      </c>
      <c r="T287" s="7" t="inlineStr">
        <is>
          <t>Estabelecimento Produtor SIPEAGRO/MAPA</t>
        </is>
      </c>
      <c r="U287" s="10">
        <f>HYPERLINK("https://www.gov.br/agricultura/pt-br/assuntos/insumos-agropecuarios/insumos-agricolas/fertilizantes", "Portal SIPEAGRO / MAPA — Fertilizantes e Bioinsumos")</f>
        <v/>
      </c>
    </row>
    <row r="288" ht="22" customHeight="1">
      <c r="A288" s="11" t="n">
        <v>283</v>
      </c>
      <c r="B288" s="12" t="inlineStr">
        <is>
          <t>ISENTO (ATO 104/2017)</t>
        </is>
      </c>
      <c r="C288" s="13" t="inlineStr">
        <is>
          <t>AGCN SAFE SPRAY 1X1L</t>
        </is>
      </c>
      <c r="D288" s="14" t="inlineStr">
        <is>
          <t>AGCN SAFE SPRAY</t>
        </is>
      </c>
      <c r="E288" s="13" t="inlineStr">
        <is>
          <t>Adjuvante / Espalhante Adesivo</t>
        </is>
      </c>
      <c r="F288" s="13" t="inlineStr">
        <is>
          <t>Adjuvantes</t>
        </is>
      </c>
      <c r="G288" s="13" t="inlineStr">
        <is>
          <t>Adjuvante Espalhante / Surfactante / Redutor de pH e Deriva</t>
        </is>
      </c>
      <c r="H288" s="13" t="inlineStr">
        <is>
          <t>EC</t>
        </is>
      </c>
      <c r="I288" s="13" t="inlineStr">
        <is>
          <t>Concentrado Emulsionável (EC)</t>
        </is>
      </c>
      <c r="J288" s="13" t="inlineStr">
        <is>
          <t>Aditivo físico-químico para calda de pulverização</t>
        </is>
      </c>
      <c r="K288" s="13" t="inlineStr">
        <is>
          <t>Éster Metílico / Hidrocarboneto Parafínico / Tensoativo Siliconado</t>
        </is>
      </c>
      <c r="L288" s="13" t="inlineStr">
        <is>
          <t>Adjuvante Tecnológico de Pulverização</t>
        </is>
      </c>
      <c r="M288" s="13" t="inlineStr">
        <is>
          <t>Redução da tensão superficial, espalhamento, anti-deriva e penetração cuticular</t>
        </is>
      </c>
      <c r="N288" s="13" t="inlineStr">
        <is>
          <t>Isento / Ato SDA nº 104/2017 (ou Categoria 5 quando registrado)</t>
        </is>
      </c>
      <c r="O288" s="13" t="inlineStr">
        <is>
          <t>Azul / Isento</t>
        </is>
      </c>
      <c r="P288" s="13" t="inlineStr">
        <is>
          <t>Classe IV — Pouco Perigoso ao Meio Ambiente</t>
        </is>
      </c>
      <c r="Q288" s="15" t="n">
        <v>24</v>
      </c>
      <c r="R288" s="13" t="inlineStr">
        <is>
          <t>Terrestre / Aérea (Drones consultar bula)</t>
        </is>
      </c>
      <c r="S288" s="13" t="inlineStr">
        <is>
          <t>Tratamento sintomático; evitar indução de vômito em derivados de petróleo</t>
        </is>
      </c>
      <c r="T288" s="13" t="inlineStr">
        <is>
          <t>Dispensado de Registro (Ato SDA nº 104/2017)</t>
        </is>
      </c>
      <c r="U288" s="16">
        <f>HYPERLINK("https://www.gov.br/agricultura/pt-br/assuntos/insumos-agropecuarios/insumos-agricolas/agrotoxicos/legislacao", "Ato SDA/MAPA nº 104/2017 — Adjuvantes Agrícolas")</f>
        <v/>
      </c>
    </row>
    <row r="289" ht="22" customHeight="1">
      <c r="A289" s="5" t="n">
        <v>284</v>
      </c>
      <c r="B289" s="6" t="inlineStr">
        <is>
          <t>SIPEAGRO (UF-XXXXX)</t>
        </is>
      </c>
      <c r="C289" s="7" t="inlineStr">
        <is>
          <t>AGCN SEED + 1X20L</t>
        </is>
      </c>
      <c r="D289" s="8" t="inlineStr">
        <is>
          <t>AGCN SEED +</t>
        </is>
      </c>
      <c r="E289" s="7" t="inlineStr">
        <is>
          <t>Fertilizante Mineral / Organomineral</t>
        </is>
      </c>
      <c r="F289" s="7" t="inlineStr">
        <is>
          <t>Fertilizantes</t>
        </is>
      </c>
      <c r="G289" s="7" t="inlineStr">
        <is>
          <t>Fertilizante Foliar / Micronutrientes</t>
        </is>
      </c>
      <c r="H289" s="7" t="inlineStr">
        <is>
          <t>SL</t>
        </is>
      </c>
      <c r="I289" s="7" t="inlineStr">
        <is>
          <t>Solução / Suspensão Concentrada Foliar (Fluido)</t>
        </is>
      </c>
      <c r="J289" s="7" t="inlineStr">
        <is>
          <t>Aplicação via solo, fertirrigação ou adubação foliar</t>
        </is>
      </c>
      <c r="K289" s="7" t="inlineStr">
        <is>
          <t>Fertilizante Mineral / Organomineral (Lei nº 6.894/1980)</t>
        </is>
      </c>
      <c r="L289" s="7" t="inlineStr">
        <is>
          <t>Nutrição Vegetal SIPEAGRO</t>
        </is>
      </c>
      <c r="M289" s="7" t="inlineStr">
        <is>
          <t>Fornecimento de macro e micronutrientes essenciais ao metabolismo vegetal</t>
        </is>
      </c>
      <c r="N289" s="7" t="inlineStr">
        <is>
          <t>Isento ANVISA (Produto Fertilizante Registrado no SIPEAGRO/MAPA)</t>
        </is>
      </c>
      <c r="O289" s="7" t="inlineStr">
        <is>
          <t>Não Aplicável (Fertilizante)</t>
        </is>
      </c>
      <c r="P289" s="7" t="inlineStr">
        <is>
          <t>Baixo Potencial Poluidor (Uso conforme recomendação agronômica)</t>
        </is>
      </c>
      <c r="Q289" s="9" t="n">
        <v>0</v>
      </c>
      <c r="R289" s="7" t="inlineStr">
        <is>
          <t>Aplicação Dirigida / TS / Solo</t>
        </is>
      </c>
      <c r="S289" s="7" t="inlineStr">
        <is>
          <t>Tratamento sintomático em caso de ingestão acidental</t>
        </is>
      </c>
      <c r="T289" s="7" t="inlineStr">
        <is>
          <t>Estabelecimento Produtor SIPEAGRO/MAPA</t>
        </is>
      </c>
      <c r="U289" s="10">
        <f>HYPERLINK("https://www.gov.br/agricultura/pt-br/assuntos/insumos-agropecuarios/insumos-agricolas/fertilizantes", "Portal SIPEAGRO / MAPA — Fertilizantes e Bioinsumos")</f>
        <v/>
      </c>
    </row>
    <row r="290" ht="22" customHeight="1">
      <c r="A290" s="11" t="n">
        <v>285</v>
      </c>
      <c r="B290" s="12" t="inlineStr">
        <is>
          <t>SIPEAGRO (UF-XXXXX)</t>
        </is>
      </c>
      <c r="C290" s="13" t="inlineStr">
        <is>
          <t>SULFATO DE ZINCO 1X25KG</t>
        </is>
      </c>
      <c r="D290" s="14" t="inlineStr">
        <is>
          <t>SULFATO DE ZINCO</t>
        </is>
      </c>
      <c r="E290" s="13" t="inlineStr">
        <is>
          <t>Fertilizante Mineral / Organomineral</t>
        </is>
      </c>
      <c r="F290" s="13" t="inlineStr">
        <is>
          <t>Fertilizantes</t>
        </is>
      </c>
      <c r="G290" s="13" t="inlineStr">
        <is>
          <t>Fertilizante Químico Inorgânico (Matéria-Prima Cap. 28/38)</t>
        </is>
      </c>
      <c r="H290" s="13" t="inlineStr">
        <is>
          <t>Granulado</t>
        </is>
      </c>
      <c r="I290" s="13" t="inlineStr">
        <is>
          <t>Formulação Padrão (Granulado / Solúvel / Suspensão)</t>
        </is>
      </c>
      <c r="J290" s="13" t="inlineStr">
        <is>
          <t>Aplicação via solo, fertirrigação ou adubação foliar</t>
        </is>
      </c>
      <c r="K290" s="13" t="inlineStr">
        <is>
          <t>Fertilizante Mineral / Organomineral (Lei nº 6.894/1980)</t>
        </is>
      </c>
      <c r="L290" s="13" t="inlineStr">
        <is>
          <t>Nutrição Vegetal SIPEAGRO</t>
        </is>
      </c>
      <c r="M290" s="13" t="inlineStr">
        <is>
          <t>Fornecimento de macro e micronutrientes essenciais ao metabolismo vegetal</t>
        </is>
      </c>
      <c r="N290" s="13" t="inlineStr">
        <is>
          <t>Isento ANVISA (Produto Fertilizante Registrado no SIPEAGRO/MAPA)</t>
        </is>
      </c>
      <c r="O290" s="13" t="inlineStr">
        <is>
          <t>Não Aplicável (Fertilizante)</t>
        </is>
      </c>
      <c r="P290" s="13" t="inlineStr">
        <is>
          <t>Baixo Potencial Poluidor (Uso conforme recomendação agronômica)</t>
        </is>
      </c>
      <c r="Q290" s="15" t="n">
        <v>0</v>
      </c>
      <c r="R290" s="13" t="inlineStr">
        <is>
          <t>Aplicação Dirigida / TS / Solo</t>
        </is>
      </c>
      <c r="S290" s="13" t="inlineStr">
        <is>
          <t>Tratamento sintomático em caso de ingestão acidental</t>
        </is>
      </c>
      <c r="T290" s="13" t="inlineStr">
        <is>
          <t>Estabelecimento Produtor SIPEAGRO/MAPA</t>
        </is>
      </c>
      <c r="U290" s="16">
        <f>HYPERLINK("https://www.gov.br/agricultura/pt-br/assuntos/insumos-agropecuarios/insumos-agricolas/fertilizantes", "Portal SIPEAGRO / MAPA — Fertilizantes e Bioinsumos")</f>
        <v/>
      </c>
    </row>
    <row r="291" ht="22" customHeight="1">
      <c r="A291" s="5" t="n">
        <v>286</v>
      </c>
      <c r="B291" s="6" t="inlineStr">
        <is>
          <t>SIPEAGRO (UF-XXXXX)</t>
        </is>
      </c>
      <c r="C291" s="7" t="inlineStr">
        <is>
          <t>MAGNESIO ULTRA 1X25KG</t>
        </is>
      </c>
      <c r="D291" s="8" t="inlineStr">
        <is>
          <t>MAGNESIO ULTRA</t>
        </is>
      </c>
      <c r="E291" s="7" t="inlineStr">
        <is>
          <t>Fertilizante Mineral / Organomineral</t>
        </is>
      </c>
      <c r="F291" s="7" t="inlineStr">
        <is>
          <t>Fertilizantes</t>
        </is>
      </c>
      <c r="G291" s="7" t="inlineStr">
        <is>
          <t>Fertilizante Mineral Simples (Potássico / Magnesiano)</t>
        </is>
      </c>
      <c r="H291" s="7" t="inlineStr">
        <is>
          <t>Granulado</t>
        </is>
      </c>
      <c r="I291" s="7" t="inlineStr">
        <is>
          <t>Formulação Padrão (Granulado / Solúvel / Suspensão)</t>
        </is>
      </c>
      <c r="J291" s="7" t="inlineStr">
        <is>
          <t>Aplicação via solo, fertirrigação ou adubação foliar</t>
        </is>
      </c>
      <c r="K291" s="7" t="inlineStr">
        <is>
          <t>Fertilizante Mineral / Organomineral (Lei nº 6.894/1980)</t>
        </is>
      </c>
      <c r="L291" s="7" t="inlineStr">
        <is>
          <t>Nutrição Vegetal SIPEAGRO</t>
        </is>
      </c>
      <c r="M291" s="7" t="inlineStr">
        <is>
          <t>Fornecimento de macro e micronutrientes essenciais ao metabolismo vegetal</t>
        </is>
      </c>
      <c r="N291" s="7" t="inlineStr">
        <is>
          <t>Isento ANVISA (Produto Fertilizante Registrado no SIPEAGRO/MAPA)</t>
        </is>
      </c>
      <c r="O291" s="7" t="inlineStr">
        <is>
          <t>Não Aplicável (Fertilizante)</t>
        </is>
      </c>
      <c r="P291" s="7" t="inlineStr">
        <is>
          <t>Baixo Potencial Poluidor (Uso conforme recomendação agronômica)</t>
        </is>
      </c>
      <c r="Q291" s="9" t="n">
        <v>0</v>
      </c>
      <c r="R291" s="7" t="inlineStr">
        <is>
          <t>Aplicação Dirigida / TS / Solo</t>
        </is>
      </c>
      <c r="S291" s="7" t="inlineStr">
        <is>
          <t>Tratamento sintomático em caso de ingestão acidental</t>
        </is>
      </c>
      <c r="T291" s="7" t="inlineStr">
        <is>
          <t>Estabelecimento Produtor SIPEAGRO/MAPA</t>
        </is>
      </c>
      <c r="U291" s="10">
        <f>HYPERLINK("https://www.gov.br/agricultura/pt-br/assuntos/insumos-agropecuarios/insumos-agricolas/fertilizantes", "Portal SIPEAGRO / MAPA — Fertilizantes e Bioinsumos")</f>
        <v/>
      </c>
    </row>
    <row r="292" ht="22" customHeight="1">
      <c r="A292" s="11" t="n">
        <v>287</v>
      </c>
      <c r="B292" s="12" t="inlineStr">
        <is>
          <t>SIPEAGRO (UF-XXXXX)</t>
        </is>
      </c>
      <c r="C292" s="13" t="inlineStr">
        <is>
          <t>MFL MULTINITROPOTASSIO 1X25KG</t>
        </is>
      </c>
      <c r="D292" s="14" t="inlineStr">
        <is>
          <t>MFL MULTINITROPOTASSIO</t>
        </is>
      </c>
      <c r="E292" s="13" t="inlineStr">
        <is>
          <t>Fertilizante Mineral / Organomineral</t>
        </is>
      </c>
      <c r="F292" s="13" t="inlineStr">
        <is>
          <t>Fertilizantes</t>
        </is>
      </c>
      <c r="G292" s="13" t="inlineStr">
        <is>
          <t>Fertilizante Foliar / Micronutrientes</t>
        </is>
      </c>
      <c r="H292" s="13" t="inlineStr">
        <is>
          <t>Granulado</t>
        </is>
      </c>
      <c r="I292" s="13" t="inlineStr">
        <is>
          <t>Formulação Padrão (Granulado / Solúvel / Suspensão)</t>
        </is>
      </c>
      <c r="J292" s="13" t="inlineStr">
        <is>
          <t>Aplicação via solo, fertirrigação ou adubação foliar</t>
        </is>
      </c>
      <c r="K292" s="13" t="inlineStr">
        <is>
          <t>Fertilizante Mineral / Organomineral (Lei nº 6.894/1980)</t>
        </is>
      </c>
      <c r="L292" s="13" t="inlineStr">
        <is>
          <t>Nutrição Vegetal SIPEAGRO</t>
        </is>
      </c>
      <c r="M292" s="13" t="inlineStr">
        <is>
          <t>Fornecimento de macro e micronutrientes essenciais ao metabolismo vegetal</t>
        </is>
      </c>
      <c r="N292" s="13" t="inlineStr">
        <is>
          <t>Isento ANVISA (Produto Fertilizante Registrado no SIPEAGRO/MAPA)</t>
        </is>
      </c>
      <c r="O292" s="13" t="inlineStr">
        <is>
          <t>Não Aplicável (Fertilizante)</t>
        </is>
      </c>
      <c r="P292" s="13" t="inlineStr">
        <is>
          <t>Baixo Potencial Poluidor (Uso conforme recomendação agronômica)</t>
        </is>
      </c>
      <c r="Q292" s="15" t="n">
        <v>0</v>
      </c>
      <c r="R292" s="13" t="inlineStr">
        <is>
          <t>Aplicação Dirigida / TS / Solo</t>
        </is>
      </c>
      <c r="S292" s="13" t="inlineStr">
        <is>
          <t>Tratamento sintomático em caso de ingestão acidental</t>
        </is>
      </c>
      <c r="T292" s="13" t="inlineStr">
        <is>
          <t>Estabelecimento Produtor SIPEAGRO/MAPA</t>
        </is>
      </c>
      <c r="U292" s="16">
        <f>HYPERLINK("https://www.gov.br/agricultura/pt-br/assuntos/insumos-agropecuarios/insumos-agricolas/fertilizantes", "Portal SIPEAGRO / MAPA — Fertilizantes e Bioinsumos")</f>
        <v/>
      </c>
    </row>
    <row r="293" ht="22" customHeight="1">
      <c r="A293" s="5" t="n">
        <v>288</v>
      </c>
      <c r="B293" s="6" t="inlineStr">
        <is>
          <t>SIPEAGRO (UF-XXXXX)</t>
        </is>
      </c>
      <c r="C293" s="7" t="inlineStr">
        <is>
          <t>AGCN BORO 100 1X1000L</t>
        </is>
      </c>
      <c r="D293" s="8" t="inlineStr">
        <is>
          <t>AGCN BORO 100</t>
        </is>
      </c>
      <c r="E293" s="7" t="inlineStr">
        <is>
          <t>Fertilizante Mineral / Organomineral</t>
        </is>
      </c>
      <c r="F293" s="7" t="inlineStr">
        <is>
          <t>Fertilizantes</t>
        </is>
      </c>
      <c r="G293" s="7" t="inlineStr">
        <is>
          <t>Fertilizante Foliar / Micronutrientes</t>
        </is>
      </c>
      <c r="H293" s="7" t="inlineStr">
        <is>
          <t>SL</t>
        </is>
      </c>
      <c r="I293" s="7" t="inlineStr">
        <is>
          <t>Solução / Suspensão Concentrada Foliar (Fluido)</t>
        </is>
      </c>
      <c r="J293" s="7" t="inlineStr">
        <is>
          <t>Aplicação via solo, fertirrigação ou adubação foliar</t>
        </is>
      </c>
      <c r="K293" s="7" t="inlineStr">
        <is>
          <t>Fertilizante Mineral / Organomineral (Lei nº 6.894/1980)</t>
        </is>
      </c>
      <c r="L293" s="7" t="inlineStr">
        <is>
          <t>Nutrição Vegetal SIPEAGRO</t>
        </is>
      </c>
      <c r="M293" s="7" t="inlineStr">
        <is>
          <t>Fornecimento de macro e micronutrientes essenciais ao metabolismo vegetal</t>
        </is>
      </c>
      <c r="N293" s="7" t="inlineStr">
        <is>
          <t>Isento ANVISA (Produto Fertilizante Registrado no SIPEAGRO/MAPA)</t>
        </is>
      </c>
      <c r="O293" s="7" t="inlineStr">
        <is>
          <t>Não Aplicável (Fertilizante)</t>
        </is>
      </c>
      <c r="P293" s="7" t="inlineStr">
        <is>
          <t>Baixo Potencial Poluidor (Uso conforme recomendação agronômica)</t>
        </is>
      </c>
      <c r="Q293" s="9" t="n">
        <v>0</v>
      </c>
      <c r="R293" s="7" t="inlineStr">
        <is>
          <t>Aplicação Dirigida / TS / Solo</t>
        </is>
      </c>
      <c r="S293" s="7" t="inlineStr">
        <is>
          <t>Tratamento sintomático em caso de ingestão acidental</t>
        </is>
      </c>
      <c r="T293" s="7" t="inlineStr">
        <is>
          <t>Estabelecimento Produtor SIPEAGRO/MAPA</t>
        </is>
      </c>
      <c r="U293" s="10">
        <f>HYPERLINK("https://www.gov.br/agricultura/pt-br/assuntos/insumos-agropecuarios/insumos-agricolas/fertilizantes", "Portal SIPEAGRO / MAPA — Fertilizantes e Bioinsumos")</f>
        <v/>
      </c>
    </row>
    <row r="294" ht="22" customHeight="1">
      <c r="A294" s="11" t="n">
        <v>289</v>
      </c>
      <c r="B294" s="12" t="inlineStr">
        <is>
          <t>ISENTO (ATO 104/2017)</t>
        </is>
      </c>
      <c r="C294" s="13" t="inlineStr">
        <is>
          <t>AGCN EASY OIL 1X25L</t>
        </is>
      </c>
      <c r="D294" s="14" t="inlineStr">
        <is>
          <t>AGCN EASY OIL</t>
        </is>
      </c>
      <c r="E294" s="13" t="inlineStr">
        <is>
          <t>Adjuvante / Espalhante Adesivo</t>
        </is>
      </c>
      <c r="F294" s="13" t="inlineStr">
        <is>
          <t>Adjuvantes</t>
        </is>
      </c>
      <c r="G294" s="13" t="inlineStr">
        <is>
          <t>Óleo Mineral Adjuvante</t>
        </is>
      </c>
      <c r="H294" s="13" t="inlineStr">
        <is>
          <t>EC</t>
        </is>
      </c>
      <c r="I294" s="13" t="inlineStr">
        <is>
          <t>Concentrado Emulsionável (EC)</t>
        </is>
      </c>
      <c r="J294" s="13" t="inlineStr">
        <is>
          <t>Aditivo físico-químico para calda de pulverização</t>
        </is>
      </c>
      <c r="K294" s="13" t="inlineStr">
        <is>
          <t>Éster Metílico / Hidrocarboneto Parafínico / Tensoativo Siliconado</t>
        </is>
      </c>
      <c r="L294" s="13" t="inlineStr">
        <is>
          <t>Adjuvante Tecnológico de Pulverização</t>
        </is>
      </c>
      <c r="M294" s="13" t="inlineStr">
        <is>
          <t>Redução da tensão superficial, espalhamento, anti-deriva e penetração cuticular</t>
        </is>
      </c>
      <c r="N294" s="13" t="inlineStr">
        <is>
          <t>Isento / Ato SDA nº 104/2017 (ou Categoria 5 quando registrado)</t>
        </is>
      </c>
      <c r="O294" s="13" t="inlineStr">
        <is>
          <t>Azul / Isento</t>
        </is>
      </c>
      <c r="P294" s="13" t="inlineStr">
        <is>
          <t>Classe IV — Pouco Perigoso ao Meio Ambiente</t>
        </is>
      </c>
      <c r="Q294" s="15" t="n">
        <v>24</v>
      </c>
      <c r="R294" s="13" t="inlineStr">
        <is>
          <t>Terrestre / Aérea (Drones consultar bula)</t>
        </is>
      </c>
      <c r="S294" s="13" t="inlineStr">
        <is>
          <t>Tratamento sintomático; evitar indução de vômito em derivados de petróleo</t>
        </is>
      </c>
      <c r="T294" s="13" t="inlineStr">
        <is>
          <t>Dispensado de Registro (Ato SDA nº 104/2017)</t>
        </is>
      </c>
      <c r="U294" s="16">
        <f>HYPERLINK("https://www.gov.br/agricultura/pt-br/assuntos/insumos-agropecuarios/insumos-agricolas/agrotoxicos/legislacao", "Ato SDA/MAPA nº 104/2017 — Adjuvantes Agrícolas")</f>
        <v/>
      </c>
    </row>
    <row r="295" ht="22" customHeight="1">
      <c r="A295" s="5" t="n">
        <v>290</v>
      </c>
      <c r="B295" s="6" t="inlineStr">
        <is>
          <t>SIPEAGRO (UF-XXXXX)</t>
        </is>
      </c>
      <c r="C295" s="7" t="inlineStr">
        <is>
          <t>AGCN MN RR 1X20L</t>
        </is>
      </c>
      <c r="D295" s="8" t="inlineStr">
        <is>
          <t>AGCN MN RR</t>
        </is>
      </c>
      <c r="E295" s="7" t="inlineStr">
        <is>
          <t>Fertilizante Mineral / Organomineral</t>
        </is>
      </c>
      <c r="F295" s="7" t="inlineStr">
        <is>
          <t>Fertilizantes</t>
        </is>
      </c>
      <c r="G295" s="7" t="inlineStr">
        <is>
          <t>Fertilizante Foliar / Micronutrientes</t>
        </is>
      </c>
      <c r="H295" s="7" t="inlineStr">
        <is>
          <t>SL</t>
        </is>
      </c>
      <c r="I295" s="7" t="inlineStr">
        <is>
          <t>Solução / Suspensão Concentrada Foliar (Fluido)</t>
        </is>
      </c>
      <c r="J295" s="7" t="inlineStr">
        <is>
          <t>Aplicação via solo, fertirrigação ou adubação foliar</t>
        </is>
      </c>
      <c r="K295" s="7" t="inlineStr">
        <is>
          <t>Fertilizante Mineral / Organomineral (Lei nº 6.894/1980)</t>
        </is>
      </c>
      <c r="L295" s="7" t="inlineStr">
        <is>
          <t>Nutrição Vegetal SIPEAGRO</t>
        </is>
      </c>
      <c r="M295" s="7" t="inlineStr">
        <is>
          <t>Fornecimento de macro e micronutrientes essenciais ao metabolismo vegetal</t>
        </is>
      </c>
      <c r="N295" s="7" t="inlineStr">
        <is>
          <t>Isento ANVISA (Produto Fertilizante Registrado no SIPEAGRO/MAPA)</t>
        </is>
      </c>
      <c r="O295" s="7" t="inlineStr">
        <is>
          <t>Não Aplicável (Fertilizante)</t>
        </is>
      </c>
      <c r="P295" s="7" t="inlineStr">
        <is>
          <t>Baixo Potencial Poluidor (Uso conforme recomendação agronômica)</t>
        </is>
      </c>
      <c r="Q295" s="9" t="n">
        <v>0</v>
      </c>
      <c r="R295" s="7" t="inlineStr">
        <is>
          <t>Aplicação Dirigida / TS / Solo</t>
        </is>
      </c>
      <c r="S295" s="7" t="inlineStr">
        <is>
          <t>Tratamento sintomático em caso de ingestão acidental</t>
        </is>
      </c>
      <c r="T295" s="7" t="inlineStr">
        <is>
          <t>Estabelecimento Produtor SIPEAGRO/MAPA</t>
        </is>
      </c>
      <c r="U295" s="10">
        <f>HYPERLINK("https://www.gov.br/agricultura/pt-br/assuntos/insumos-agropecuarios/insumos-agricolas/fertilizantes", "Portal SIPEAGRO / MAPA — Fertilizantes e Bioinsumos")</f>
        <v/>
      </c>
    </row>
    <row r="296" ht="22" customHeight="1">
      <c r="A296" s="11" t="n">
        <v>291</v>
      </c>
      <c r="B296" s="12" t="inlineStr">
        <is>
          <t>SIPEAGRO (UF-XXXXX)</t>
        </is>
      </c>
      <c r="C296" s="13" t="inlineStr">
        <is>
          <t>AGCN MN RR 100 1X20L</t>
        </is>
      </c>
      <c r="D296" s="14" t="inlineStr">
        <is>
          <t>AGCN MN RR 100</t>
        </is>
      </c>
      <c r="E296" s="13" t="inlineStr">
        <is>
          <t>Fertilizante Mineral / Organomineral</t>
        </is>
      </c>
      <c r="F296" s="13" t="inlineStr">
        <is>
          <t>Fertilizantes</t>
        </is>
      </c>
      <c r="G296" s="13" t="inlineStr">
        <is>
          <t>Fertilizante Foliar / Micronutrientes</t>
        </is>
      </c>
      <c r="H296" s="13" t="inlineStr">
        <is>
          <t>SL</t>
        </is>
      </c>
      <c r="I296" s="13" t="inlineStr">
        <is>
          <t>Solução / Suspensão Concentrada Foliar (Fluido)</t>
        </is>
      </c>
      <c r="J296" s="13" t="inlineStr">
        <is>
          <t>Aplicação via solo, fertirrigação ou adubação foliar</t>
        </is>
      </c>
      <c r="K296" s="13" t="inlineStr">
        <is>
          <t>Fertilizante Mineral / Organomineral (Lei nº 6.894/1980)</t>
        </is>
      </c>
      <c r="L296" s="13" t="inlineStr">
        <is>
          <t>Nutrição Vegetal SIPEAGRO</t>
        </is>
      </c>
      <c r="M296" s="13" t="inlineStr">
        <is>
          <t>Fornecimento de macro e micronutrientes essenciais ao metabolismo vegetal</t>
        </is>
      </c>
      <c r="N296" s="13" t="inlineStr">
        <is>
          <t>Isento ANVISA (Produto Fertilizante Registrado no SIPEAGRO/MAPA)</t>
        </is>
      </c>
      <c r="O296" s="13" t="inlineStr">
        <is>
          <t>Não Aplicável (Fertilizante)</t>
        </is>
      </c>
      <c r="P296" s="13" t="inlineStr">
        <is>
          <t>Baixo Potencial Poluidor (Uso conforme recomendação agronômica)</t>
        </is>
      </c>
      <c r="Q296" s="15" t="n">
        <v>0</v>
      </c>
      <c r="R296" s="13" t="inlineStr">
        <is>
          <t>Aplicação Dirigida / TS / Solo</t>
        </is>
      </c>
      <c r="S296" s="13" t="inlineStr">
        <is>
          <t>Tratamento sintomático em caso de ingestão acidental</t>
        </is>
      </c>
      <c r="T296" s="13" t="inlineStr">
        <is>
          <t>Estabelecimento Produtor SIPEAGRO/MAPA</t>
        </is>
      </c>
      <c r="U296" s="16">
        <f>HYPERLINK("https://www.gov.br/agricultura/pt-br/assuntos/insumos-agropecuarios/insumos-agricolas/fertilizantes", "Portal SIPEAGRO / MAPA — Fertilizantes e Bioinsumos")</f>
        <v/>
      </c>
    </row>
    <row r="297" ht="22" customHeight="1">
      <c r="A297" s="5" t="n">
        <v>292</v>
      </c>
      <c r="B297" s="6" t="inlineStr">
        <is>
          <t>Nº 27717</t>
        </is>
      </c>
      <c r="C297" s="7" t="inlineStr">
        <is>
          <t>FIPRONIL 800 WG AGCN 4X5KG (IMP) FF</t>
        </is>
      </c>
      <c r="D297" s="8" t="inlineStr">
        <is>
          <t>FIPRONIL 800 WG AGCN</t>
        </is>
      </c>
      <c r="E297" s="7" t="inlineStr">
        <is>
          <t>Produto Formulado Comercial</t>
        </is>
      </c>
      <c r="F297" s="7" t="inlineStr">
        <is>
          <t>Defensivos</t>
        </is>
      </c>
      <c r="G297" s="7" t="inlineStr">
        <is>
          <t>Inseticida e Cupinicida (Fipronil)</t>
        </is>
      </c>
      <c r="H297" s="7" t="inlineStr">
        <is>
          <t>WG</t>
        </is>
      </c>
      <c r="I297" s="7" t="inlineStr">
        <is>
          <t>Grânulos Dispersíveis em Água (WG)</t>
        </is>
      </c>
      <c r="J297" s="7" t="inlineStr">
        <is>
          <t>Inseticida, cupinicida e formicida de contato e ingestão (TS / Solo)</t>
        </is>
      </c>
      <c r="K297" s="7" t="inlineStr">
        <is>
          <t>Pirazol (Fenilpirazol)</t>
        </is>
      </c>
      <c r="L297" s="7" t="inlineStr">
        <is>
          <t>IRAC Grupo 2B</t>
        </is>
      </c>
      <c r="M297" s="7" t="inlineStr">
        <is>
          <t>Bloqueadores de canais de cloro mediados pelo GABA</t>
        </is>
      </c>
      <c r="N297" s="7" t="inlineStr">
        <is>
          <t>Categoria 3 — Produto Moderadamente Tóxico</t>
        </is>
      </c>
      <c r="O297" s="7" t="inlineStr">
        <is>
          <t>Amarelo PMS Yellow C</t>
        </is>
      </c>
      <c r="P297" s="7" t="inlineStr">
        <is>
          <t>Classe II — Produto Muito Perigoso ao Meio Ambiente</t>
        </is>
      </c>
      <c r="Q297" s="9" t="n">
        <v>24</v>
      </c>
      <c r="R297" s="7" t="inlineStr">
        <is>
          <t>Terrestre / Aérea (Drones consultar bula)</t>
        </is>
      </c>
      <c r="S297" s="7" t="inlineStr">
        <is>
          <t>Sem antídoto específico; tratamento sintomático e controle neurológico</t>
        </is>
      </c>
      <c r="T297" s="7" t="inlineStr">
        <is>
          <t>AGRICONNECTION IMPORTADORA E EXPORTADORA DE INSUMOS AGRÍCOLAS LTDA.</t>
        </is>
      </c>
      <c r="U297" s="10">
        <f>HYPERLINK("https://agrofit.agricultura.gov.br/agrofit_cons/principal_agrofit_cons", "Consulta Oficial AGROFIT/MAPA (Nº 27717)")</f>
        <v/>
      </c>
    </row>
    <row r="298" ht="22" customHeight="1">
      <c r="A298" s="11" t="n">
        <v>293</v>
      </c>
      <c r="B298" s="12" t="inlineStr">
        <is>
          <t>Nº 44018</t>
        </is>
      </c>
      <c r="C298" s="13" t="inlineStr">
        <is>
          <t>SUMMIT 250 FS 4X5L (IMP)</t>
        </is>
      </c>
      <c r="D298" s="14" t="inlineStr">
        <is>
          <t>SUMMIT 250 FS</t>
        </is>
      </c>
      <c r="E298" s="13" t="inlineStr">
        <is>
          <t>Produto Formulado Comercial</t>
        </is>
      </c>
      <c r="F298" s="13" t="inlineStr">
        <is>
          <t>Defensivos</t>
        </is>
      </c>
      <c r="G298" s="13" t="inlineStr">
        <is>
          <t>Inseticida e Cupinicida (Fipronil)</t>
        </is>
      </c>
      <c r="H298" s="13" t="inlineStr">
        <is>
          <t>FS</t>
        </is>
      </c>
      <c r="I298" s="13" t="inlineStr">
        <is>
          <t>Suspensão Concentrada para Tratamento de Sementes (FS)</t>
        </is>
      </c>
      <c r="J298" s="13" t="inlineStr">
        <is>
          <t>Inseticida, cupinicida e formicida de contato e ingestão (TS / Solo)</t>
        </is>
      </c>
      <c r="K298" s="13" t="inlineStr">
        <is>
          <t>Pirazol (Fenilpirazol)</t>
        </is>
      </c>
      <c r="L298" s="13" t="inlineStr">
        <is>
          <t>IRAC Grupo 2B</t>
        </is>
      </c>
      <c r="M298" s="13" t="inlineStr">
        <is>
          <t>Bloqueadores de canais de cloro mediados pelo GABA</t>
        </is>
      </c>
      <c r="N298" s="13" t="inlineStr">
        <is>
          <t>Categoria 3 — Produto Moderadamente Tóxico</t>
        </is>
      </c>
      <c r="O298" s="13" t="inlineStr">
        <is>
          <t>Amarelo PMS Yellow C</t>
        </is>
      </c>
      <c r="P298" s="13" t="inlineStr">
        <is>
          <t>Classe II — Produto Muito Perigoso ao Meio Ambiente</t>
        </is>
      </c>
      <c r="Q298" s="15" t="n">
        <v>0</v>
      </c>
      <c r="R298" s="13" t="inlineStr">
        <is>
          <t>Aplicação Dirigida / TS / Solo</t>
        </is>
      </c>
      <c r="S298" s="13" t="inlineStr">
        <is>
          <t>Sem antídoto específico; tratamento sintomático e controle neurológico</t>
        </is>
      </c>
      <c r="T298" s="13" t="inlineStr">
        <is>
          <t>RAINBOW DEFENSIVOS AGRÍCOLAS LTDA.</t>
        </is>
      </c>
      <c r="U298" s="16">
        <f>HYPERLINK("https://www.adapar.pr.gov.br/system/files/publico/Agrotoxicos/lista.pdf", "Registro Oficial Summit 250 FS (MAPA 44018)")</f>
        <v/>
      </c>
    </row>
    <row r="299" ht="22" customHeight="1">
      <c r="A299" s="5" t="n">
        <v>294</v>
      </c>
      <c r="B299" s="6" t="inlineStr">
        <is>
          <t>Nº 10421</t>
        </is>
      </c>
      <c r="C299" s="7" t="inlineStr">
        <is>
          <t>LANEX 800 WG 4X5KG (IMP)</t>
        </is>
      </c>
      <c r="D299" s="8" t="inlineStr">
        <is>
          <t>LANEX 800 WG</t>
        </is>
      </c>
      <c r="E299" s="7" t="inlineStr">
        <is>
          <t>Produto Formulado Comercial</t>
        </is>
      </c>
      <c r="F299" s="7" t="inlineStr">
        <is>
          <t>Defensivos</t>
        </is>
      </c>
      <c r="G299" s="7" t="inlineStr">
        <is>
          <t>Inseticida e Cupinicida (Fipronil)</t>
        </is>
      </c>
      <c r="H299" s="7" t="inlineStr">
        <is>
          <t>WG</t>
        </is>
      </c>
      <c r="I299" s="7" t="inlineStr">
        <is>
          <t>Grânulos Dispersíveis em Água (WG)</t>
        </is>
      </c>
      <c r="J299" s="7" t="inlineStr">
        <is>
          <t>Inseticida, cupinicida e formicida de contato e ingestão (TS / Solo)</t>
        </is>
      </c>
      <c r="K299" s="7" t="inlineStr">
        <is>
          <t>Pirazol (Fenilpirazol)</t>
        </is>
      </c>
      <c r="L299" s="7" t="inlineStr">
        <is>
          <t>IRAC Grupo 2B</t>
        </is>
      </c>
      <c r="M299" s="7" t="inlineStr">
        <is>
          <t>Bloqueadores de canais de cloro mediados pelo GABA</t>
        </is>
      </c>
      <c r="N299" s="7" t="inlineStr">
        <is>
          <t>Categoria 3 — Produto Moderadamente Tóxico</t>
        </is>
      </c>
      <c r="O299" s="7" t="inlineStr">
        <is>
          <t>Amarelo PMS Yellow C</t>
        </is>
      </c>
      <c r="P299" s="7" t="inlineStr">
        <is>
          <t>Classe II — Produto Muito Perigoso ao Meio Ambiente</t>
        </is>
      </c>
      <c r="Q299" s="9" t="n">
        <v>24</v>
      </c>
      <c r="R299" s="7" t="inlineStr">
        <is>
          <t>Terrestre / Aérea (Drones consultar bula)</t>
        </is>
      </c>
      <c r="S299" s="7" t="inlineStr">
        <is>
          <t>Sem antídoto específico; tratamento sintomático e controle neurológico</t>
        </is>
      </c>
      <c r="T299" s="7" t="inlineStr">
        <is>
          <t>PERTERRA INSUMOS AGROPECUÁRIOS S.A.</t>
        </is>
      </c>
      <c r="U299" s="10">
        <f>HYPERLINK("https://www.adapar.pr.gov.br/system/files/publico/Agrotoxicos/lista.pdf", "Registro Oficial Lanex 800 WG (MAPA 10421)")</f>
        <v/>
      </c>
    </row>
    <row r="300" ht="22" customHeight="1">
      <c r="A300" s="11" t="n">
        <v>295</v>
      </c>
      <c r="B300" s="12" t="inlineStr">
        <is>
          <t>Nº 16223</t>
        </is>
      </c>
      <c r="C300" s="13" t="inlineStr">
        <is>
          <t>COMPRAY 1X20L (IMP)</t>
        </is>
      </c>
      <c r="D300" s="14" t="inlineStr">
        <is>
          <t>COMPRAY</t>
        </is>
      </c>
      <c r="E300" s="13" t="inlineStr">
        <is>
          <t>Produto Formulado Comercial</t>
        </is>
      </c>
      <c r="F300" s="13" t="inlineStr">
        <is>
          <t>Defensivos</t>
        </is>
      </c>
      <c r="G300" s="13" t="inlineStr">
        <is>
          <t>Herbicida</t>
        </is>
      </c>
      <c r="H300" s="13" t="inlineStr">
        <is>
          <t>CS</t>
        </is>
      </c>
      <c r="I300" s="13" t="inlineStr">
        <is>
          <t>Suspensão de Encapsulado (CS)</t>
        </is>
      </c>
      <c r="J300" s="13" t="inlineStr">
        <is>
          <t>Herbicida seletivo sistêmico pré-emergente</t>
        </is>
      </c>
      <c r="K300" s="13" t="inlineStr">
        <is>
          <t>Isoxazolidinona</t>
        </is>
      </c>
      <c r="L300" s="13" t="inlineStr">
        <is>
          <t>HRAC Grupo F4 (13) — Inibidores da DOXP sintase</t>
        </is>
      </c>
      <c r="M300" s="13" t="inlineStr">
        <is>
          <t>Inibidores da 1-deoxi-D-xilulose 5-fosfato sintase (biossíntese de plastoquinona/carotenoides)</t>
        </is>
      </c>
      <c r="N300" s="13" t="inlineStr">
        <is>
          <t>Categoria 4 — Produto Pouco Tóxico</t>
        </is>
      </c>
      <c r="O300" s="13" t="inlineStr">
        <is>
          <t>Azul PMS Blue 293 C</t>
        </is>
      </c>
      <c r="P300" s="13" t="inlineStr">
        <is>
          <t>Classe II — Produto Muito Perigoso ao Meio Ambiente</t>
        </is>
      </c>
      <c r="Q300" s="15" t="n">
        <v>24</v>
      </c>
      <c r="R300" s="13" t="inlineStr">
        <is>
          <t>Terrestre / Aérea (Drones consultar bula)</t>
        </is>
      </c>
      <c r="S300" s="13" t="inlineStr">
        <is>
          <t>Sem antídoto específico; tratamento sintomático</t>
        </is>
      </c>
      <c r="T300" s="13" t="inlineStr">
        <is>
          <t>RAINBOW DEFENSIVOS AGRÍCOLAS LTDA. / PERTERRA S.A.</t>
        </is>
      </c>
      <c r="U300" s="16">
        <f>HYPERLINK("https://agrofit.agricultura.gov.br/agrofit_cons/principal_agrofit_cons", "Consulta Oficial AGROFIT/MAPA (Nº 16223)")</f>
        <v/>
      </c>
    </row>
    <row r="301" ht="22" customHeight="1">
      <c r="A301" s="5" t="n">
        <v>296</v>
      </c>
      <c r="B301" s="6" t="inlineStr">
        <is>
          <t>Nº 31222</t>
        </is>
      </c>
      <c r="C301" s="7" t="inlineStr">
        <is>
          <t>GLINT FULL 4X5L (IMP) AW</t>
        </is>
      </c>
      <c r="D301" s="8" t="inlineStr">
        <is>
          <t>GLINT FULL</t>
        </is>
      </c>
      <c r="E301" s="7" t="inlineStr">
        <is>
          <t>Produto Formulado Comercial</t>
        </is>
      </c>
      <c r="F301" s="7" t="inlineStr">
        <is>
          <t>Defensivos</t>
        </is>
      </c>
      <c r="G301" s="7" t="inlineStr">
        <is>
          <t>Herbicida</t>
        </is>
      </c>
      <c r="H301" s="7" t="inlineStr">
        <is>
          <t>EC</t>
        </is>
      </c>
      <c r="I301" s="7" t="inlineStr">
        <is>
          <t>Concentrado Emulsionável (EC)</t>
        </is>
      </c>
      <c r="J301" s="7" t="inlineStr">
        <is>
          <t>Herbicida de pré ou pós-emergência</t>
        </is>
      </c>
      <c r="K301" s="7" t="inlineStr">
        <is>
          <t>Ariloxifenoxipropionato (FOP)</t>
        </is>
      </c>
      <c r="L301" s="7" t="inlineStr">
        <is>
          <t>HRAC Grupo A (1) — Inibidores da ACCase</t>
        </is>
      </c>
      <c r="M301" s="7" t="inlineStr">
        <is>
          <t>Inibição da enzima acetil-CoA carboxilase (síntese de ácidos graxos)</t>
        </is>
      </c>
      <c r="N301" s="7" t="inlineStr">
        <is>
          <t>Categoria 4 / 5 — Pouco Tóxico (Conforme Bula ANVISA)</t>
        </is>
      </c>
      <c r="O301" s="7" t="inlineStr">
        <is>
          <t>Azul PMS Blue 293 C</t>
        </is>
      </c>
      <c r="P301" s="7" t="inlineStr">
        <is>
          <t>Classe II / III — Perigoso ao Meio Ambiente</t>
        </is>
      </c>
      <c r="Q301" s="9" t="n">
        <v>24</v>
      </c>
      <c r="R301" s="7" t="inlineStr">
        <is>
          <t>Terrestre / Aérea (Drones consultar bula)</t>
        </is>
      </c>
      <c r="S301" s="7" t="inlineStr">
        <is>
          <t>Sem antídoto específico; tratamento sintomático e descontaminação</t>
        </is>
      </c>
      <c r="T301" s="7" t="inlineStr">
        <is>
          <t>RAINBOW DEFENSIVOS AGRÍCOLAS LTDA.</t>
        </is>
      </c>
      <c r="U301" s="10">
        <f>HYPERLINK("https://www.adapar.pr.gov.br/Pagina/Agrotoxicos-Herbicidas", "Registro Oficial Glint Full 540 EC (MAPA 31222)")</f>
        <v/>
      </c>
    </row>
    <row r="302" ht="22" customHeight="1">
      <c r="A302" s="11" t="n">
        <v>297</v>
      </c>
      <c r="B302" s="12" t="inlineStr">
        <is>
          <t>SIPEAGRO (UF-XXXXX)</t>
        </is>
      </c>
      <c r="C302" s="13" t="inlineStr">
        <is>
          <t>AGCN FULL 4X5L</t>
        </is>
      </c>
      <c r="D302" s="14" t="inlineStr">
        <is>
          <t>AGCN FULL</t>
        </is>
      </c>
      <c r="E302" s="13" t="inlineStr">
        <is>
          <t>Fertilizante Mineral / Organomineral</t>
        </is>
      </c>
      <c r="F302" s="13" t="inlineStr">
        <is>
          <t>Fertilizantes</t>
        </is>
      </c>
      <c r="G302" s="13" t="inlineStr">
        <is>
          <t>Fertilizante Organomineral / Bioestimulante</t>
        </is>
      </c>
      <c r="H302" s="13" t="inlineStr">
        <is>
          <t>SL</t>
        </is>
      </c>
      <c r="I302" s="13" t="inlineStr">
        <is>
          <t>Solução / Suspensão Concentrada Foliar (Fluido)</t>
        </is>
      </c>
      <c r="J302" s="13" t="inlineStr">
        <is>
          <t>Aplicação via solo, fertirrigação ou adubação foliar</t>
        </is>
      </c>
      <c r="K302" s="13" t="inlineStr">
        <is>
          <t>Fertilizante Mineral / Organomineral (Lei nº 6.894/1980)</t>
        </is>
      </c>
      <c r="L302" s="13" t="inlineStr">
        <is>
          <t>Nutrição Vegetal SIPEAGRO</t>
        </is>
      </c>
      <c r="M302" s="13" t="inlineStr">
        <is>
          <t>Fornecimento de macro e micronutrientes essenciais ao metabolismo vegetal</t>
        </is>
      </c>
      <c r="N302" s="13" t="inlineStr">
        <is>
          <t>Isento ANVISA (Produto Fertilizante Registrado no SIPEAGRO/MAPA)</t>
        </is>
      </c>
      <c r="O302" s="13" t="inlineStr">
        <is>
          <t>Não Aplicável (Fertilizante)</t>
        </is>
      </c>
      <c r="P302" s="13" t="inlineStr">
        <is>
          <t>Baixo Potencial Poluidor (Uso conforme recomendação agronômica)</t>
        </is>
      </c>
      <c r="Q302" s="15" t="n">
        <v>0</v>
      </c>
      <c r="R302" s="13" t="inlineStr">
        <is>
          <t>Aplicação Dirigida / TS / Solo</t>
        </is>
      </c>
      <c r="S302" s="13" t="inlineStr">
        <is>
          <t>Tratamento sintomático em caso de ingestão acidental</t>
        </is>
      </c>
      <c r="T302" s="13" t="inlineStr">
        <is>
          <t>Estabelecimento Produtor SIPEAGRO/MAPA</t>
        </is>
      </c>
      <c r="U302" s="16">
        <f>HYPERLINK("https://www.gov.br/agricultura/pt-br/assuntos/insumos-agropecuarios/insumos-agricolas/fertilizantes", "Portal SIPEAGRO / MAPA — Fertilizantes e Bioinsumos")</f>
        <v/>
      </c>
    </row>
    <row r="303" ht="22" customHeight="1">
      <c r="A303" s="5" t="n">
        <v>298</v>
      </c>
      <c r="B303" s="6" t="inlineStr">
        <is>
          <t>ISENTO (ATO 104/2017)</t>
        </is>
      </c>
      <c r="C303" s="7" t="inlineStr">
        <is>
          <t>AGCN SAFE AIR 12X1L</t>
        </is>
      </c>
      <c r="D303" s="8" t="inlineStr">
        <is>
          <t>AGCN SAFE AIR</t>
        </is>
      </c>
      <c r="E303" s="7" t="inlineStr">
        <is>
          <t>Adjuvante / Espalhante Adesivo</t>
        </is>
      </c>
      <c r="F303" s="7" t="inlineStr">
        <is>
          <t>Adjuvantes</t>
        </is>
      </c>
      <c r="G303" s="7" t="inlineStr">
        <is>
          <t>Adjuvante Espalhante / Surfactante / Redutor de pH e Deriva</t>
        </is>
      </c>
      <c r="H303" s="7" t="inlineStr">
        <is>
          <t>EC</t>
        </is>
      </c>
      <c r="I303" s="7" t="inlineStr">
        <is>
          <t>Concentrado Emulsionável (EC)</t>
        </is>
      </c>
      <c r="J303" s="7" t="inlineStr">
        <is>
          <t>Aditivo físico-químico para calda de pulverização</t>
        </is>
      </c>
      <c r="K303" s="7" t="inlineStr">
        <is>
          <t>Éster Metílico / Hidrocarboneto Parafínico / Tensoativo Siliconado</t>
        </is>
      </c>
      <c r="L303" s="7" t="inlineStr">
        <is>
          <t>Adjuvante Tecnológico de Pulverização</t>
        </is>
      </c>
      <c r="M303" s="7" t="inlineStr">
        <is>
          <t>Redução da tensão superficial, espalhamento, anti-deriva e penetração cuticular</t>
        </is>
      </c>
      <c r="N303" s="7" t="inlineStr">
        <is>
          <t>Isento / Ato SDA nº 104/2017 (ou Categoria 5 quando registrado)</t>
        </is>
      </c>
      <c r="O303" s="7" t="inlineStr">
        <is>
          <t>Azul / Isento</t>
        </is>
      </c>
      <c r="P303" s="7" t="inlineStr">
        <is>
          <t>Classe IV — Pouco Perigoso ao Meio Ambiente</t>
        </is>
      </c>
      <c r="Q303" s="9" t="n">
        <v>24</v>
      </c>
      <c r="R303" s="7" t="inlineStr">
        <is>
          <t>Terrestre / Aérea (Drones consultar bula)</t>
        </is>
      </c>
      <c r="S303" s="7" t="inlineStr">
        <is>
          <t>Tratamento sintomático; evitar indução de vômito em derivados de petróleo</t>
        </is>
      </c>
      <c r="T303" s="7" t="inlineStr">
        <is>
          <t>Dispensado de Registro (Ato SDA nº 104/2017)</t>
        </is>
      </c>
      <c r="U303" s="10">
        <f>HYPERLINK("https://www.gov.br/agricultura/pt-br/assuntos/insumos-agropecuarios/insumos-agricolas/agrotoxicos/legislacao", "Ato SDA/MAPA nº 104/2017 — Adjuvantes Agrícolas")</f>
        <v/>
      </c>
    </row>
    <row r="304" ht="22" customHeight="1">
      <c r="A304" s="11" t="n">
        <v>299</v>
      </c>
      <c r="B304" s="12" t="inlineStr">
        <is>
          <t>ISENTO (ATO 104/2017)</t>
        </is>
      </c>
      <c r="C304" s="13" t="inlineStr">
        <is>
          <t>AGCN SAFE SPRAY 12X1L</t>
        </is>
      </c>
      <c r="D304" s="14" t="inlineStr">
        <is>
          <t>AGCN SAFE SPRAY</t>
        </is>
      </c>
      <c r="E304" s="13" t="inlineStr">
        <is>
          <t>Adjuvante / Espalhante Adesivo</t>
        </is>
      </c>
      <c r="F304" s="13" t="inlineStr">
        <is>
          <t>Adjuvantes</t>
        </is>
      </c>
      <c r="G304" s="13" t="inlineStr">
        <is>
          <t>Adjuvante Espalhante / Surfactante / Redutor de pH e Deriva</t>
        </is>
      </c>
      <c r="H304" s="13" t="inlineStr">
        <is>
          <t>EC</t>
        </is>
      </c>
      <c r="I304" s="13" t="inlineStr">
        <is>
          <t>Concentrado Emulsionável (EC)</t>
        </is>
      </c>
      <c r="J304" s="13" t="inlineStr">
        <is>
          <t>Aditivo físico-químico para calda de pulverização</t>
        </is>
      </c>
      <c r="K304" s="13" t="inlineStr">
        <is>
          <t>Éster Metílico / Hidrocarboneto Parafínico / Tensoativo Siliconado</t>
        </is>
      </c>
      <c r="L304" s="13" t="inlineStr">
        <is>
          <t>Adjuvante Tecnológico de Pulverização</t>
        </is>
      </c>
      <c r="M304" s="13" t="inlineStr">
        <is>
          <t>Redução da tensão superficial, espalhamento, anti-deriva e penetração cuticular</t>
        </is>
      </c>
      <c r="N304" s="13" t="inlineStr">
        <is>
          <t>Isento / Ato SDA nº 104/2017 (ou Categoria 5 quando registrado)</t>
        </is>
      </c>
      <c r="O304" s="13" t="inlineStr">
        <is>
          <t>Azul / Isento</t>
        </is>
      </c>
      <c r="P304" s="13" t="inlineStr">
        <is>
          <t>Classe IV — Pouco Perigoso ao Meio Ambiente</t>
        </is>
      </c>
      <c r="Q304" s="15" t="n">
        <v>24</v>
      </c>
      <c r="R304" s="13" t="inlineStr">
        <is>
          <t>Terrestre / Aérea (Drones consultar bula)</t>
        </is>
      </c>
      <c r="S304" s="13" t="inlineStr">
        <is>
          <t>Tratamento sintomático; evitar indução de vômito em derivados de petróleo</t>
        </is>
      </c>
      <c r="T304" s="13" t="inlineStr">
        <is>
          <t>Dispensado de Registro (Ato SDA nº 104/2017)</t>
        </is>
      </c>
      <c r="U304" s="16">
        <f>HYPERLINK("https://www.gov.br/agricultura/pt-br/assuntos/insumos-agropecuarios/insumos-agricolas/agrotoxicos/legislacao", "Ato SDA/MAPA nº 104/2017 — Adjuvantes Agrícolas")</f>
        <v/>
      </c>
    </row>
    <row r="305" ht="22" customHeight="1">
      <c r="A305" s="5" t="n">
        <v>300</v>
      </c>
      <c r="B305" s="6" t="inlineStr">
        <is>
          <t>SIPEAGRO (UF-XXXXX)</t>
        </is>
      </c>
      <c r="C305" s="7" t="inlineStr">
        <is>
          <t>AGCN CAB 4X5L</t>
        </is>
      </c>
      <c r="D305" s="8" t="inlineStr">
        <is>
          <t>AGCN CAB</t>
        </is>
      </c>
      <c r="E305" s="7" t="inlineStr">
        <is>
          <t>Fertilizante Mineral / Organomineral</t>
        </is>
      </c>
      <c r="F305" s="7" t="inlineStr">
        <is>
          <t>Fertilizantes</t>
        </is>
      </c>
      <c r="G305" s="7" t="inlineStr">
        <is>
          <t>Fertilizante Foliar / Micronutrientes</t>
        </is>
      </c>
      <c r="H305" s="7" t="inlineStr">
        <is>
          <t>SL</t>
        </is>
      </c>
      <c r="I305" s="7" t="inlineStr">
        <is>
          <t>Solução / Suspensão Concentrada Foliar (Fluido)</t>
        </is>
      </c>
      <c r="J305" s="7" t="inlineStr">
        <is>
          <t>Aplicação via solo, fertirrigação ou adubação foliar</t>
        </is>
      </c>
      <c r="K305" s="7" t="inlineStr">
        <is>
          <t>Fertilizante Mineral / Organomineral (Lei nº 6.894/1980)</t>
        </is>
      </c>
      <c r="L305" s="7" t="inlineStr">
        <is>
          <t>Nutrição Vegetal SIPEAGRO</t>
        </is>
      </c>
      <c r="M305" s="7" t="inlineStr">
        <is>
          <t>Fornecimento de macro e micronutrientes essenciais ao metabolismo vegetal</t>
        </is>
      </c>
      <c r="N305" s="7" t="inlineStr">
        <is>
          <t>Isento ANVISA (Produto Fertilizante Registrado no SIPEAGRO/MAPA)</t>
        </is>
      </c>
      <c r="O305" s="7" t="inlineStr">
        <is>
          <t>Não Aplicável (Fertilizante)</t>
        </is>
      </c>
      <c r="P305" s="7" t="inlineStr">
        <is>
          <t>Baixo Potencial Poluidor (Uso conforme recomendação agronômica)</t>
        </is>
      </c>
      <c r="Q305" s="9" t="n">
        <v>0</v>
      </c>
      <c r="R305" s="7" t="inlineStr">
        <is>
          <t>Aplicação Dirigida / TS / Solo</t>
        </is>
      </c>
      <c r="S305" s="7" t="inlineStr">
        <is>
          <t>Tratamento sintomático em caso de ingestão acidental</t>
        </is>
      </c>
      <c r="T305" s="7" t="inlineStr">
        <is>
          <t>Estabelecimento Produtor SIPEAGRO/MAPA</t>
        </is>
      </c>
      <c r="U305" s="10">
        <f>HYPERLINK("https://www.gov.br/agricultura/pt-br/assuntos/insumos-agropecuarios/insumos-agricolas/fertilizantes", "Portal SIPEAGRO / MAPA — Fertilizantes e Bioinsumos")</f>
        <v/>
      </c>
    </row>
    <row r="306" ht="22" customHeight="1">
      <c r="A306" s="11" t="n">
        <v>301</v>
      </c>
      <c r="B306" s="12" t="inlineStr">
        <is>
          <t>Nº 16223</t>
        </is>
      </c>
      <c r="C306" s="13" t="inlineStr">
        <is>
          <t>GUNTER PRO 360 1X20L (IMP)</t>
        </is>
      </c>
      <c r="D306" s="14" t="inlineStr">
        <is>
          <t>GUNTER PRO 360</t>
        </is>
      </c>
      <c r="E306" s="13" t="inlineStr">
        <is>
          <t>Produto Formulado Comercial</t>
        </is>
      </c>
      <c r="F306" s="13" t="inlineStr">
        <is>
          <t>Defensivos</t>
        </is>
      </c>
      <c r="G306" s="13" t="inlineStr">
        <is>
          <t>Herbicida</t>
        </is>
      </c>
      <c r="H306" s="13" t="inlineStr">
        <is>
          <t>CS</t>
        </is>
      </c>
      <c r="I306" s="13" t="inlineStr">
        <is>
          <t>Suspensão de Encapsulado (CS)</t>
        </is>
      </c>
      <c r="J306" s="13" t="inlineStr">
        <is>
          <t>Herbicida seletivo sistêmico pré-emergente</t>
        </is>
      </c>
      <c r="K306" s="13" t="inlineStr">
        <is>
          <t>Isoxazolidinona</t>
        </is>
      </c>
      <c r="L306" s="13" t="inlineStr">
        <is>
          <t>HRAC Grupo F4 (13) — Inibidores da DOXP sintase</t>
        </is>
      </c>
      <c r="M306" s="13" t="inlineStr">
        <is>
          <t>Inibidores da 1-deoxi-D-xilulose 5-fosfato sintase (biossíntese de plastoquinona/carotenoides)</t>
        </is>
      </c>
      <c r="N306" s="13" t="inlineStr">
        <is>
          <t>Categoria 4 — Produto Pouco Tóxico</t>
        </is>
      </c>
      <c r="O306" s="13" t="inlineStr">
        <is>
          <t>Azul PMS Blue 293 C</t>
        </is>
      </c>
      <c r="P306" s="13" t="inlineStr">
        <is>
          <t>Classe II — Produto Muito Perigoso ao Meio Ambiente</t>
        </is>
      </c>
      <c r="Q306" s="15" t="n">
        <v>24</v>
      </c>
      <c r="R306" s="13" t="inlineStr">
        <is>
          <t>Terrestre / Aérea (Drones consultar bula)</t>
        </is>
      </c>
      <c r="S306" s="13" t="inlineStr">
        <is>
          <t>Sem antídoto específico; tratamento sintomático</t>
        </is>
      </c>
      <c r="T306" s="13" t="inlineStr">
        <is>
          <t>RAINBOW DEFENSIVOS AGRÍCOLAS LTDA. / PERTERRA S.A.</t>
        </is>
      </c>
      <c r="U306" s="16">
        <f>HYPERLINK("https://agrofit.agricultura.gov.br/agrofit_cons/principal_agrofit_cons", "Consulta Oficial AGROFIT/MAPA (Nº 16223)")</f>
        <v/>
      </c>
    </row>
    <row r="307" ht="22" customHeight="1">
      <c r="A307" s="5" t="n">
        <v>302</v>
      </c>
      <c r="B307" s="6" t="inlineStr">
        <is>
          <t>SIPEAGRO (UF-XXXXX)</t>
        </is>
      </c>
      <c r="C307" s="7" t="inlineStr">
        <is>
          <t>AGCN MN+ 1X25L</t>
        </is>
      </c>
      <c r="D307" s="8" t="inlineStr">
        <is>
          <t>AGCN MN+</t>
        </is>
      </c>
      <c r="E307" s="7" t="inlineStr">
        <is>
          <t>Fertilizante Mineral / Organomineral</t>
        </is>
      </c>
      <c r="F307" s="7" t="inlineStr">
        <is>
          <t>Fertilizantes</t>
        </is>
      </c>
      <c r="G307" s="7" t="inlineStr">
        <is>
          <t>Fertilizante Foliar / Micronutrientes</t>
        </is>
      </c>
      <c r="H307" s="7" t="inlineStr">
        <is>
          <t>SL</t>
        </is>
      </c>
      <c r="I307" s="7" t="inlineStr">
        <is>
          <t>Solução / Suspensão Concentrada Foliar (Fluido)</t>
        </is>
      </c>
      <c r="J307" s="7" t="inlineStr">
        <is>
          <t>Aplicação via solo, fertirrigação ou adubação foliar</t>
        </is>
      </c>
      <c r="K307" s="7" t="inlineStr">
        <is>
          <t>Fertilizante Mineral / Organomineral (Lei nº 6.894/1980)</t>
        </is>
      </c>
      <c r="L307" s="7" t="inlineStr">
        <is>
          <t>Nutrição Vegetal SIPEAGRO</t>
        </is>
      </c>
      <c r="M307" s="7" t="inlineStr">
        <is>
          <t>Fornecimento de macro e micronutrientes essenciais ao metabolismo vegetal</t>
        </is>
      </c>
      <c r="N307" s="7" t="inlineStr">
        <is>
          <t>Isento ANVISA (Produto Fertilizante Registrado no SIPEAGRO/MAPA)</t>
        </is>
      </c>
      <c r="O307" s="7" t="inlineStr">
        <is>
          <t>Não Aplicável (Fertilizante)</t>
        </is>
      </c>
      <c r="P307" s="7" t="inlineStr">
        <is>
          <t>Baixo Potencial Poluidor (Uso conforme recomendação agronômica)</t>
        </is>
      </c>
      <c r="Q307" s="9" t="n">
        <v>0</v>
      </c>
      <c r="R307" s="7" t="inlineStr">
        <is>
          <t>Aplicação Dirigida / TS / Solo</t>
        </is>
      </c>
      <c r="S307" s="7" t="inlineStr">
        <is>
          <t>Tratamento sintomático em caso de ingestão acidental</t>
        </is>
      </c>
      <c r="T307" s="7" t="inlineStr">
        <is>
          <t>Estabelecimento Produtor SIPEAGRO/MAPA</t>
        </is>
      </c>
      <c r="U307" s="10">
        <f>HYPERLINK("https://www.gov.br/agricultura/pt-br/assuntos/insumos-agropecuarios/insumos-agricolas/fertilizantes", "Portal SIPEAGRO / MAPA — Fertilizantes e Bioinsumos")</f>
        <v/>
      </c>
    </row>
    <row r="308" ht="22" customHeight="1">
      <c r="A308" s="11" t="n">
        <v>303</v>
      </c>
      <c r="B308" s="12" t="inlineStr">
        <is>
          <t>SIPEAGRO (UF-XXXXX)</t>
        </is>
      </c>
      <c r="C308" s="13" t="inlineStr">
        <is>
          <t>QUALY OCTOBORATO DE SODIO-E 1X25KG</t>
        </is>
      </c>
      <c r="D308" s="14" t="inlineStr">
        <is>
          <t>QUALY OCTOBORATO DE SODIO-E</t>
        </is>
      </c>
      <c r="E308" s="13" t="inlineStr">
        <is>
          <t>Fertilizante Mineral / Organomineral</t>
        </is>
      </c>
      <c r="F308" s="13" t="inlineStr">
        <is>
          <t>Fertilizantes</t>
        </is>
      </c>
      <c r="G308" s="13" t="inlineStr">
        <is>
          <t>Fertilizante Mineral Simples (Potássico / Magnesiano)</t>
        </is>
      </c>
      <c r="H308" s="13" t="inlineStr">
        <is>
          <t>Granulado</t>
        </is>
      </c>
      <c r="I308" s="13" t="inlineStr">
        <is>
          <t>Formulação Padrão (Granulado / Solúvel / Suspensão)</t>
        </is>
      </c>
      <c r="J308" s="13" t="inlineStr">
        <is>
          <t>Aplicação via solo, fertirrigação ou adubação foliar</t>
        </is>
      </c>
      <c r="K308" s="13" t="inlineStr">
        <is>
          <t>Fertilizante Mineral / Organomineral (Lei nº 6.894/1980)</t>
        </is>
      </c>
      <c r="L308" s="13" t="inlineStr">
        <is>
          <t>Nutrição Vegetal SIPEAGRO</t>
        </is>
      </c>
      <c r="M308" s="13" t="inlineStr">
        <is>
          <t>Fornecimento de macro e micronutrientes essenciais ao metabolismo vegetal</t>
        </is>
      </c>
      <c r="N308" s="13" t="inlineStr">
        <is>
          <t>Isento ANVISA (Produto Fertilizante Registrado no SIPEAGRO/MAPA)</t>
        </is>
      </c>
      <c r="O308" s="13" t="inlineStr">
        <is>
          <t>Não Aplicável (Fertilizante)</t>
        </is>
      </c>
      <c r="P308" s="13" t="inlineStr">
        <is>
          <t>Baixo Potencial Poluidor (Uso conforme recomendação agronômica)</t>
        </is>
      </c>
      <c r="Q308" s="15" t="n">
        <v>0</v>
      </c>
      <c r="R308" s="13" t="inlineStr">
        <is>
          <t>Aplicação Dirigida / TS / Solo</t>
        </is>
      </c>
      <c r="S308" s="13" t="inlineStr">
        <is>
          <t>Tratamento sintomático em caso de ingestão acidental</t>
        </is>
      </c>
      <c r="T308" s="13" t="inlineStr">
        <is>
          <t>Estabelecimento Produtor SIPEAGRO/MAPA</t>
        </is>
      </c>
      <c r="U308" s="16">
        <f>HYPERLINK("https://www.gov.br/agricultura/pt-br/assuntos/insumos-agropecuarios/insumos-agricolas/fertilizantes", "Portal SIPEAGRO / MAPA — Fertilizantes e Bioinsumos")</f>
        <v/>
      </c>
    </row>
    <row r="309" ht="22" customHeight="1">
      <c r="A309" s="5" t="n">
        <v>304</v>
      </c>
      <c r="B309" s="6" t="inlineStr">
        <is>
          <t>ISENTO (ATO 104/2017)</t>
        </is>
      </c>
      <c r="C309" s="7" t="inlineStr">
        <is>
          <t>FORMIATO DE POTASSIO 75% 1KG (IMP) (AMOSTRA)</t>
        </is>
      </c>
      <c r="D309" s="8" t="inlineStr">
        <is>
          <t>FORMIATO DE POTASSIO 75%</t>
        </is>
      </c>
      <c r="E309" s="7" t="inlineStr">
        <is>
          <t>Produto Formulado Comercial</t>
        </is>
      </c>
      <c r="F309" s="7" t="inlineStr">
        <is>
          <t>Outros (Químicos / Laboratorial)</t>
        </is>
      </c>
      <c r="G309" s="7" t="inlineStr">
        <is>
          <t>Sal Orgânico / Formiato Químico (Cap. 29)</t>
        </is>
      </c>
      <c r="H309" s="7" t="inlineStr">
        <is>
          <t>EC</t>
        </is>
      </c>
      <c r="I309" s="7" t="inlineStr">
        <is>
          <t>Concentrado Emulsionável (EC)</t>
        </is>
      </c>
      <c r="J309" s="7" t="inlineStr">
        <is>
          <t>Inseticida/acaricida de contato e ingestão</t>
        </is>
      </c>
      <c r="K309" s="7" t="inlineStr">
        <is>
          <t>Sal Orgânico Carboxílico (Insumo Químico Cap. 29)</t>
        </is>
      </c>
      <c r="L309" s="7" t="inlineStr">
        <is>
          <t>Aditivo / Estabilizante Químico Industrial (Ato 104)</t>
        </is>
      </c>
      <c r="M309" s="7" t="inlineStr">
        <is>
          <t>Estabilização físico-química, tamponamento e crioproteção de formulações</t>
        </is>
      </c>
      <c r="N309" s="7" t="inlineStr">
        <is>
          <t>Categoria 3 / 4 — Moderadamente a Pouco Tóxico</t>
        </is>
      </c>
      <c r="O309" s="7" t="inlineStr">
        <is>
          <t>Amarelo / Azul</t>
        </is>
      </c>
      <c r="P309" s="7" t="inlineStr">
        <is>
          <t>Classe II — Produto Muito Perigoso ao Meio Ambiente</t>
        </is>
      </c>
      <c r="Q309" s="9" t="n">
        <v>24</v>
      </c>
      <c r="R309" s="7" t="inlineStr">
        <is>
          <t>Terrestre / Aérea (Drones consultar bula)</t>
        </is>
      </c>
      <c r="S309" s="7" t="inlineStr">
        <is>
          <t>Tratamento sintomático conforme grupo químico na bula</t>
        </is>
      </c>
      <c r="T309" s="7" t="inlineStr">
        <is>
          <t>INSUMO QUÍMICO INDUSTRIAL IMPORTADO (CAP. 29 TIPI — ISENTO AGROFIT)</t>
        </is>
      </c>
      <c r="U309" s="10">
        <f>HYPERLINK("https://www.gov.br/agricultura/pt-br/assuntos/insumos-agropecuarios/insumos-agricolas/agrotoxicos/legislacao", "Ato SDA/MAPA nº 104/2017 — Adjuvantes Agrícolas")</f>
        <v/>
      </c>
    </row>
    <row r="310" ht="22" customHeight="1">
      <c r="A310" s="11" t="n">
        <v>305</v>
      </c>
      <c r="B310" s="12" t="inlineStr">
        <is>
          <t>ISENTO (ATO 104/2017)</t>
        </is>
      </c>
      <c r="C310" s="13" t="inlineStr">
        <is>
          <t>FORMIATO DE CALCIO 1KG (IMP) (AMOSTRA)</t>
        </is>
      </c>
      <c r="D310" s="14" t="inlineStr">
        <is>
          <t>FORMIATO DE CALCIO</t>
        </is>
      </c>
      <c r="E310" s="13" t="inlineStr">
        <is>
          <t>Produto Formulado Comercial</t>
        </is>
      </c>
      <c r="F310" s="13" t="inlineStr">
        <is>
          <t>Outros (Químicos / Laboratorial)</t>
        </is>
      </c>
      <c r="G310" s="13" t="inlineStr">
        <is>
          <t>Sal Orgânico / Formiato Químico (Cap. 29)</t>
        </is>
      </c>
      <c r="H310" s="13" t="inlineStr">
        <is>
          <t>EC</t>
        </is>
      </c>
      <c r="I310" s="13" t="inlineStr">
        <is>
          <t>Concentrado Emulsionável (EC)</t>
        </is>
      </c>
      <c r="J310" s="13" t="inlineStr">
        <is>
          <t>Inseticida/acaricida de contato e ingestão</t>
        </is>
      </c>
      <c r="K310" s="13" t="inlineStr">
        <is>
          <t>Sal Orgânico Carboxílico (Insumo Químico Cap. 29)</t>
        </is>
      </c>
      <c r="L310" s="13" t="inlineStr">
        <is>
          <t>Aditivo / Estabilizante Químico Industrial (Ato 104)</t>
        </is>
      </c>
      <c r="M310" s="13" t="inlineStr">
        <is>
          <t>Estabilização físico-química, tamponamento e crioproteção de formulações</t>
        </is>
      </c>
      <c r="N310" s="13" t="inlineStr">
        <is>
          <t>Categoria 3 / 4 — Moderadamente a Pouco Tóxico</t>
        </is>
      </c>
      <c r="O310" s="13" t="inlineStr">
        <is>
          <t>Amarelo / Azul</t>
        </is>
      </c>
      <c r="P310" s="13" t="inlineStr">
        <is>
          <t>Classe II — Produto Muito Perigoso ao Meio Ambiente</t>
        </is>
      </c>
      <c r="Q310" s="15" t="n">
        <v>24</v>
      </c>
      <c r="R310" s="13" t="inlineStr">
        <is>
          <t>Terrestre / Aérea (Drones consultar bula)</t>
        </is>
      </c>
      <c r="S310" s="13" t="inlineStr">
        <is>
          <t>Tratamento sintomático conforme grupo químico na bula</t>
        </is>
      </c>
      <c r="T310" s="13" t="inlineStr">
        <is>
          <t>INSUMO QUÍMICO INDUSTRIAL IMPORTADO (CAP. 29 TIPI — ISENTO AGROFIT)</t>
        </is>
      </c>
      <c r="U310" s="16">
        <f>HYPERLINK("https://www.gov.br/agricultura/pt-br/assuntos/insumos-agropecuarios/insumos-agricolas/agrotoxicos/legislacao", "Ato SDA/MAPA nº 104/2017 — Adjuvantes Agrícolas")</f>
        <v/>
      </c>
    </row>
    <row r="311" ht="22" customHeight="1">
      <c r="A311" s="5" t="n">
        <v>306</v>
      </c>
      <c r="B311" s="6" t="inlineStr">
        <is>
          <t>SIPEAGRO (UF-XXXXX)</t>
        </is>
      </c>
      <c r="C311" s="7" t="inlineStr">
        <is>
          <t>PREBIOTIC GL 4X5L</t>
        </is>
      </c>
      <c r="D311" s="8" t="inlineStr">
        <is>
          <t>PREBIOTIC GL</t>
        </is>
      </c>
      <c r="E311" s="7" t="inlineStr">
        <is>
          <t>Fertilizante Mineral / Organomineral</t>
        </is>
      </c>
      <c r="F311" s="7" t="inlineStr">
        <is>
          <t>Fertilizantes</t>
        </is>
      </c>
      <c r="G311" s="7" t="inlineStr">
        <is>
          <t>Fertilizante Organomineral / Bioestimulante</t>
        </is>
      </c>
      <c r="H311" s="7" t="inlineStr">
        <is>
          <t>SL</t>
        </is>
      </c>
      <c r="I311" s="7" t="inlineStr">
        <is>
          <t>Solução / Suspensão Concentrada Foliar (Fluido)</t>
        </is>
      </c>
      <c r="J311" s="7" t="inlineStr">
        <is>
          <t>Aplicação via solo, fertirrigação ou adubação foliar</t>
        </is>
      </c>
      <c r="K311" s="7" t="inlineStr">
        <is>
          <t>Fertilizante Mineral / Organomineral (Lei nº 6.894/1980)</t>
        </is>
      </c>
      <c r="L311" s="7" t="inlineStr">
        <is>
          <t>Nutrição Vegetal SIPEAGRO</t>
        </is>
      </c>
      <c r="M311" s="7" t="inlineStr">
        <is>
          <t>Fornecimento de macro e micronutrientes essenciais ao metabolismo vegetal</t>
        </is>
      </c>
      <c r="N311" s="7" t="inlineStr">
        <is>
          <t>Isento ANVISA (Produto Fertilizante Registrado no SIPEAGRO/MAPA)</t>
        </is>
      </c>
      <c r="O311" s="7" t="inlineStr">
        <is>
          <t>Não Aplicável (Fertilizante)</t>
        </is>
      </c>
      <c r="P311" s="7" t="inlineStr">
        <is>
          <t>Baixo Potencial Poluidor (Uso conforme recomendação agronômica)</t>
        </is>
      </c>
      <c r="Q311" s="9" t="n">
        <v>0</v>
      </c>
      <c r="R311" s="7" t="inlineStr">
        <is>
          <t>Aplicação Dirigida / TS / Solo</t>
        </is>
      </c>
      <c r="S311" s="7" t="inlineStr">
        <is>
          <t>Tratamento sintomático em caso de ingestão acidental</t>
        </is>
      </c>
      <c r="T311" s="7" t="inlineStr">
        <is>
          <t>Estabelecimento Produtor SIPEAGRO/MAPA</t>
        </is>
      </c>
      <c r="U311" s="10">
        <f>HYPERLINK("https://www.gov.br/agricultura/pt-br/assuntos/insumos-agropecuarios/insumos-agricolas/fertilizantes", "Portal SIPEAGRO / MAPA — Fertilizantes e Bioinsumos")</f>
        <v/>
      </c>
    </row>
    <row r="312" ht="22" customHeight="1">
      <c r="A312" s="11" t="n">
        <v>307</v>
      </c>
      <c r="B312" s="12" t="inlineStr">
        <is>
          <t>SIPEAGRO (UF-XXXXX)</t>
        </is>
      </c>
      <c r="C312" s="13" t="inlineStr">
        <is>
          <t>SMARTSOIL WP 1X1KG</t>
        </is>
      </c>
      <c r="D312" s="14" t="inlineStr">
        <is>
          <t>SMARTSOIL WP</t>
        </is>
      </c>
      <c r="E312" s="13" t="inlineStr">
        <is>
          <t>Fertilizante Mineral / Organomineral</t>
        </is>
      </c>
      <c r="F312" s="13" t="inlineStr">
        <is>
          <t>Fertilizantes</t>
        </is>
      </c>
      <c r="G312" s="13" t="inlineStr">
        <is>
          <t>Fertilizante Organomineral / Bioestimulante</t>
        </is>
      </c>
      <c r="H312" s="13" t="inlineStr">
        <is>
          <t>WP</t>
        </is>
      </c>
      <c r="I312" s="13" t="inlineStr">
        <is>
          <t>Pó Molhável (WP)</t>
        </is>
      </c>
      <c r="J312" s="13" t="inlineStr">
        <is>
          <t>Aplicação via solo, fertirrigação ou adubação foliar</t>
        </is>
      </c>
      <c r="K312" s="13" t="inlineStr">
        <is>
          <t>Fertilizante Mineral / Organomineral (Lei nº 6.894/1980)</t>
        </is>
      </c>
      <c r="L312" s="13" t="inlineStr">
        <is>
          <t>Nutrição Vegetal SIPEAGRO</t>
        </is>
      </c>
      <c r="M312" s="13" t="inlineStr">
        <is>
          <t>Fornecimento de macro e micronutrientes essenciais ao metabolismo vegetal</t>
        </is>
      </c>
      <c r="N312" s="13" t="inlineStr">
        <is>
          <t>Isento ANVISA (Produto Fertilizante Registrado no SIPEAGRO/MAPA)</t>
        </is>
      </c>
      <c r="O312" s="13" t="inlineStr">
        <is>
          <t>Não Aplicável (Fertilizante)</t>
        </is>
      </c>
      <c r="P312" s="13" t="inlineStr">
        <is>
          <t>Baixo Potencial Poluidor (Uso conforme recomendação agronômica)</t>
        </is>
      </c>
      <c r="Q312" s="15" t="n">
        <v>0</v>
      </c>
      <c r="R312" s="13" t="inlineStr">
        <is>
          <t>Aplicação Dirigida / TS / Solo</t>
        </is>
      </c>
      <c r="S312" s="13" t="inlineStr">
        <is>
          <t>Tratamento sintomático em caso de ingestão acidental</t>
        </is>
      </c>
      <c r="T312" s="13" t="inlineStr">
        <is>
          <t>Estabelecimento Produtor SIPEAGRO/MAPA</t>
        </is>
      </c>
      <c r="U312" s="16">
        <f>HYPERLINK("https://www.gov.br/agricultura/pt-br/assuntos/insumos-agropecuarios/insumos-agricolas/fertilizantes", "Portal SIPEAGRO / MAPA — Fertilizantes e Bioinsumos")</f>
        <v/>
      </c>
    </row>
    <row r="313" ht="22" customHeight="1">
      <c r="A313" s="5" t="n">
        <v>308</v>
      </c>
      <c r="B313" s="6" t="inlineStr">
        <is>
          <t>SIPEAGRO (UF-XXXXX)</t>
        </is>
      </c>
      <c r="C313" s="7" t="inlineStr">
        <is>
          <t>AGCN MANGANES 27 SC 1X10L</t>
        </is>
      </c>
      <c r="D313" s="8" t="inlineStr">
        <is>
          <t>AGCN MANGANES</t>
        </is>
      </c>
      <c r="E313" s="7" t="inlineStr">
        <is>
          <t>Fertilizante Mineral / Organomineral</t>
        </is>
      </c>
      <c r="F313" s="7" t="inlineStr">
        <is>
          <t>Fertilizantes</t>
        </is>
      </c>
      <c r="G313" s="7" t="inlineStr">
        <is>
          <t>Fertilizante Foliar / Micronutrientes</t>
        </is>
      </c>
      <c r="H313" s="7" t="inlineStr">
        <is>
          <t>SC</t>
        </is>
      </c>
      <c r="I313" s="7" t="inlineStr">
        <is>
          <t>Suspensão Concentrada (SC)</t>
        </is>
      </c>
      <c r="J313" s="7" t="inlineStr">
        <is>
          <t>Aplicação via solo, fertirrigação ou adubação foliar</t>
        </is>
      </c>
      <c r="K313" s="7" t="inlineStr">
        <is>
          <t>Fertilizante Mineral / Organomineral (Lei nº 6.894/1980)</t>
        </is>
      </c>
      <c r="L313" s="7" t="inlineStr">
        <is>
          <t>Nutrição Vegetal SIPEAGRO</t>
        </is>
      </c>
      <c r="M313" s="7" t="inlineStr">
        <is>
          <t>Fornecimento de macro e micronutrientes essenciais ao metabolismo vegetal</t>
        </is>
      </c>
      <c r="N313" s="7" t="inlineStr">
        <is>
          <t>Isento ANVISA (Produto Fertilizante Registrado no SIPEAGRO/MAPA)</t>
        </is>
      </c>
      <c r="O313" s="7" t="inlineStr">
        <is>
          <t>Não Aplicável (Fertilizante)</t>
        </is>
      </c>
      <c r="P313" s="7" t="inlineStr">
        <is>
          <t>Baixo Potencial Poluidor (Uso conforme recomendação agronômica)</t>
        </is>
      </c>
      <c r="Q313" s="9" t="n">
        <v>0</v>
      </c>
      <c r="R313" s="7" t="inlineStr">
        <is>
          <t>Aplicação Dirigida / TS / Solo</t>
        </is>
      </c>
      <c r="S313" s="7" t="inlineStr">
        <is>
          <t>Tratamento sintomático em caso de ingestão acidental</t>
        </is>
      </c>
      <c r="T313" s="7" t="inlineStr">
        <is>
          <t>Estabelecimento Produtor SIPEAGRO/MAPA</t>
        </is>
      </c>
      <c r="U313" s="10">
        <f>HYPERLINK("https://www.gov.br/agricultura/pt-br/assuntos/insumos-agropecuarios/insumos-agricolas/fertilizantes", "Portal SIPEAGRO / MAPA — Fertilizantes e Bioinsumos")</f>
        <v/>
      </c>
    </row>
    <row r="314" ht="22" customHeight="1">
      <c r="A314" s="11" t="n">
        <v>309</v>
      </c>
      <c r="B314" s="12" t="inlineStr">
        <is>
          <t>Nº 11819</t>
        </is>
      </c>
      <c r="C314" s="13" t="inlineStr">
        <is>
          <t>MANCOZEB 800 WP AGCN 1X25KG (IMP) CC</t>
        </is>
      </c>
      <c r="D314" s="14" t="inlineStr">
        <is>
          <t>MANCOZEB 800 WP AGCN</t>
        </is>
      </c>
      <c r="E314" s="13" t="inlineStr">
        <is>
          <t>Produto Formulado Comercial</t>
        </is>
      </c>
      <c r="F314" s="13" t="inlineStr">
        <is>
          <t>Defensivos</t>
        </is>
      </c>
      <c r="G314" s="13" t="inlineStr">
        <is>
          <t>Fungicida</t>
        </is>
      </c>
      <c r="H314" s="13" t="inlineStr">
        <is>
          <t>WP</t>
        </is>
      </c>
      <c r="I314" s="13" t="inlineStr">
        <is>
          <t>Pó Molhável (WP)</t>
        </is>
      </c>
      <c r="J314" s="13" t="inlineStr">
        <is>
          <t>Fungicida e acaricida protetor de contato multissítio</t>
        </is>
      </c>
      <c r="K314" s="13" t="inlineStr">
        <is>
          <t>Alquilenobis(ditiocarbamato)</t>
        </is>
      </c>
      <c r="L314" s="13" t="inlineStr">
        <is>
          <t>FRAC Grupo M03 — Multissítio</t>
        </is>
      </c>
      <c r="M314" s="13" t="inlineStr">
        <is>
          <t>Inibidor multissítio de enzimas contendo grupos sulfidrila e aminoácidos fúngicos</t>
        </is>
      </c>
      <c r="N314" s="13" t="inlineStr">
        <is>
          <t>Categoria 5 — Produto Improvável de Causar Dano Agudo</t>
        </is>
      </c>
      <c r="O314" s="13" t="inlineStr">
        <is>
          <t>Azul Intenso</t>
        </is>
      </c>
      <c r="P314" s="13" t="inlineStr">
        <is>
          <t>Classe II — Produto Muito Perigoso ao Meio Ambiente</t>
        </is>
      </c>
      <c r="Q314" s="15" t="n">
        <v>24</v>
      </c>
      <c r="R314" s="13" t="inlineStr">
        <is>
          <t>Terrestre / Aérea (Drones consultar bula)</t>
        </is>
      </c>
      <c r="S314" s="13" t="inlineStr">
        <is>
          <t>Sem antídoto específico; evitar consumo de álcool (efeito antabuse por ETU)</t>
        </is>
      </c>
      <c r="T314" s="13" t="inlineStr">
        <is>
          <t>AGRICONNECTION IMPORTADORA E EXPORTADORA DE INSUMOS AGRÍCOLAS LTDA.</t>
        </is>
      </c>
      <c r="U314" s="16">
        <f>HYPERLINK("https://agrofit.agricultura.gov.br/agrofit_cons/principal_agrofit_cons", "Consulta Oficial AGROFIT/MAPA (Nº 11819)")</f>
        <v/>
      </c>
    </row>
    <row r="315" ht="22" customHeight="1">
      <c r="A315" s="5" t="n">
        <v>310</v>
      </c>
      <c r="B315" s="6" t="inlineStr">
        <is>
          <t>Nº 11819</t>
        </is>
      </c>
      <c r="C315" s="7" t="inlineStr">
        <is>
          <t>MANCOZEB 800 WP AGCN 1X10KG (IMP)</t>
        </is>
      </c>
      <c r="D315" s="8" t="inlineStr">
        <is>
          <t>MANCOZEB 800 WP AGCN</t>
        </is>
      </c>
      <c r="E315" s="7" t="inlineStr">
        <is>
          <t>Produto Formulado Comercial</t>
        </is>
      </c>
      <c r="F315" s="7" t="inlineStr">
        <is>
          <t>Defensivos</t>
        </is>
      </c>
      <c r="G315" s="7" t="inlineStr">
        <is>
          <t>Fungicida</t>
        </is>
      </c>
      <c r="H315" s="7" t="inlineStr">
        <is>
          <t>WP</t>
        </is>
      </c>
      <c r="I315" s="7" t="inlineStr">
        <is>
          <t>Pó Molhável (WP)</t>
        </is>
      </c>
      <c r="J315" s="7" t="inlineStr">
        <is>
          <t>Fungicida e acaricida protetor de contato multissítio</t>
        </is>
      </c>
      <c r="K315" s="7" t="inlineStr">
        <is>
          <t>Alquilenobis(ditiocarbamato)</t>
        </is>
      </c>
      <c r="L315" s="7" t="inlineStr">
        <is>
          <t>FRAC Grupo M03 — Multissítio</t>
        </is>
      </c>
      <c r="M315" s="7" t="inlineStr">
        <is>
          <t>Inibidor multissítio de enzimas contendo grupos sulfidrila e aminoácidos fúngicos</t>
        </is>
      </c>
      <c r="N315" s="7" t="inlineStr">
        <is>
          <t>Categoria 5 — Produto Improvável de Causar Dano Agudo</t>
        </is>
      </c>
      <c r="O315" s="7" t="inlineStr">
        <is>
          <t>Azul Intenso</t>
        </is>
      </c>
      <c r="P315" s="7" t="inlineStr">
        <is>
          <t>Classe II — Produto Muito Perigoso ao Meio Ambiente</t>
        </is>
      </c>
      <c r="Q315" s="9" t="n">
        <v>24</v>
      </c>
      <c r="R315" s="7" t="inlineStr">
        <is>
          <t>Terrestre / Aérea (Drones consultar bula)</t>
        </is>
      </c>
      <c r="S315" s="7" t="inlineStr">
        <is>
          <t>Sem antídoto específico; evitar consumo de álcool (efeito antabuse por ETU)</t>
        </is>
      </c>
      <c r="T315" s="7" t="inlineStr">
        <is>
          <t>AGRICONNECTION IMPORTADORA E EXPORTADORA DE INSUMOS AGRÍCOLAS LTDA.</t>
        </is>
      </c>
      <c r="U315" s="10">
        <f>HYPERLINK("https://agrofit.agricultura.gov.br/agrofit_cons/principal_agrofit_cons", "Consulta Oficial AGROFIT/MAPA (Nº 11819)")</f>
        <v/>
      </c>
    </row>
    <row r="316" ht="22" customHeight="1">
      <c r="A316" s="11" t="n">
        <v>311</v>
      </c>
      <c r="B316" s="12" t="inlineStr">
        <is>
          <t>ISENTO (ATO 104/2017)</t>
        </is>
      </c>
      <c r="C316" s="13" t="inlineStr">
        <is>
          <t>AGRICOIL MINERAL YPF 100 1X1000L</t>
        </is>
      </c>
      <c r="D316" s="14" t="inlineStr">
        <is>
          <t>AGRICOIL MINERAL YPF 100</t>
        </is>
      </c>
      <c r="E316" s="13" t="inlineStr">
        <is>
          <t>Adjuvante / Espalhante Adesivo</t>
        </is>
      </c>
      <c r="F316" s="13" t="inlineStr">
        <is>
          <t>Adjuvantes</t>
        </is>
      </c>
      <c r="G316" s="13" t="inlineStr">
        <is>
          <t>Óleo Mineral Adjuvante</t>
        </is>
      </c>
      <c r="H316" s="13" t="inlineStr">
        <is>
          <t>EC</t>
        </is>
      </c>
      <c r="I316" s="13" t="inlineStr">
        <is>
          <t>Concentrado Emulsionável (EC)</t>
        </is>
      </c>
      <c r="J316" s="13" t="inlineStr">
        <is>
          <t>Aditivo físico-químico para calda de pulverização</t>
        </is>
      </c>
      <c r="K316" s="13" t="inlineStr">
        <is>
          <t>Éster Metílico / Hidrocarboneto Parafínico / Tensoativo Siliconado</t>
        </is>
      </c>
      <c r="L316" s="13" t="inlineStr">
        <is>
          <t>Adjuvante Tecnológico de Pulverização</t>
        </is>
      </c>
      <c r="M316" s="13" t="inlineStr">
        <is>
          <t>Redução da tensão superficial, espalhamento, anti-deriva e penetração cuticular</t>
        </is>
      </c>
      <c r="N316" s="13" t="inlineStr">
        <is>
          <t>Isento / Ato SDA nº 104/2017 (ou Categoria 5 quando registrado)</t>
        </is>
      </c>
      <c r="O316" s="13" t="inlineStr">
        <is>
          <t>Azul / Isento</t>
        </is>
      </c>
      <c r="P316" s="13" t="inlineStr">
        <is>
          <t>Classe IV — Pouco Perigoso ao Meio Ambiente</t>
        </is>
      </c>
      <c r="Q316" s="15" t="n">
        <v>24</v>
      </c>
      <c r="R316" s="13" t="inlineStr">
        <is>
          <t>Terrestre / Aérea (Drones consultar bula)</t>
        </is>
      </c>
      <c r="S316" s="13" t="inlineStr">
        <is>
          <t>Tratamento sintomático; evitar indução de vômito em derivados de petróleo</t>
        </is>
      </c>
      <c r="T316" s="13" t="inlineStr">
        <is>
          <t>Dispensado de Registro (Ato SDA nº 104/2017)</t>
        </is>
      </c>
      <c r="U316" s="16">
        <f>HYPERLINK("https://www.gov.br/agricultura/pt-br/assuntos/insumos-agropecuarios/insumos-agricolas/agrotoxicos/legislacao", "Ato SDA/MAPA nº 104/2017 — Adjuvantes Agrícolas")</f>
        <v/>
      </c>
    </row>
    <row r="317" ht="22" customHeight="1">
      <c r="A317" s="5" t="n">
        <v>312</v>
      </c>
      <c r="B317" s="6" t="inlineStr">
        <is>
          <t>SIPEAGRO (UF-XXXXX)</t>
        </is>
      </c>
      <c r="C317" s="7" t="inlineStr">
        <is>
          <t>AGCN K20-10,0% MG-2,0% S-11, 5% NI-0,4% (AMOSTRA)</t>
        </is>
      </c>
      <c r="D317" s="8" t="inlineStr">
        <is>
          <t>AGCN K20-10,0% MG-2,0% S-11, 5% NI-0,4% (AMOSTRA)</t>
        </is>
      </c>
      <c r="E317" s="7" t="inlineStr">
        <is>
          <t>Fertilizante Mineral / Organomineral</t>
        </is>
      </c>
      <c r="F317" s="7" t="inlineStr">
        <is>
          <t>Fertilizantes</t>
        </is>
      </c>
      <c r="G317" s="7" t="inlineStr">
        <is>
          <t>Fertilizante Foliar / Micronutrientes</t>
        </is>
      </c>
      <c r="H317" s="7" t="inlineStr">
        <is>
          <t>Granulado</t>
        </is>
      </c>
      <c r="I317" s="7" t="inlineStr">
        <is>
          <t>Formulação Padrão (Granulado / Solúvel / Suspensão)</t>
        </is>
      </c>
      <c r="J317" s="7" t="inlineStr">
        <is>
          <t>Aplicação via solo, fertirrigação ou adubação foliar</t>
        </is>
      </c>
      <c r="K317" s="7" t="inlineStr">
        <is>
          <t>Fertilizante Mineral / Organomineral (Lei nº 6.894/1980)</t>
        </is>
      </c>
      <c r="L317" s="7" t="inlineStr">
        <is>
          <t>Nutrição Vegetal SIPEAGRO</t>
        </is>
      </c>
      <c r="M317" s="7" t="inlineStr">
        <is>
          <t>Fornecimento de macro e micronutrientes essenciais ao metabolismo vegetal</t>
        </is>
      </c>
      <c r="N317" s="7" t="inlineStr">
        <is>
          <t>Isento ANVISA (Produto Fertilizante Registrado no SIPEAGRO/MAPA)</t>
        </is>
      </c>
      <c r="O317" s="7" t="inlineStr">
        <is>
          <t>Não Aplicável (Fertilizante)</t>
        </is>
      </c>
      <c r="P317" s="7" t="inlineStr">
        <is>
          <t>Baixo Potencial Poluidor (Uso conforme recomendação agronômica)</t>
        </is>
      </c>
      <c r="Q317" s="9" t="n">
        <v>0</v>
      </c>
      <c r="R317" s="7" t="inlineStr">
        <is>
          <t>Aplicação Dirigida / TS / Solo</t>
        </is>
      </c>
      <c r="S317" s="7" t="inlineStr">
        <is>
          <t>Tratamento sintomático em caso de ingestão acidental</t>
        </is>
      </c>
      <c r="T317" s="7" t="inlineStr">
        <is>
          <t>Estabelecimento Produtor SIPEAGRO/MAPA</t>
        </is>
      </c>
      <c r="U317" s="10">
        <f>HYPERLINK("https://www.gov.br/agricultura/pt-br/assuntos/insumos-agropecuarios/insumos-agricolas/fertilizantes", "Portal SIPEAGRO / MAPA — Fertilizantes e Bioinsumos")</f>
        <v/>
      </c>
    </row>
    <row r="318" ht="22" customHeight="1">
      <c r="A318" s="11" t="n">
        <v>313</v>
      </c>
      <c r="B318" s="12" t="inlineStr">
        <is>
          <t>Nº 18220</t>
        </is>
      </c>
      <c r="C318" s="13" t="inlineStr">
        <is>
          <t>TORA 1X20L (IMP)</t>
        </is>
      </c>
      <c r="D318" s="14" t="inlineStr">
        <is>
          <t>TORA</t>
        </is>
      </c>
      <c r="E318" s="13" t="inlineStr">
        <is>
          <t>Produto Formulado Comercial</t>
        </is>
      </c>
      <c r="F318" s="13" t="inlineStr">
        <is>
          <t>Defensivos</t>
        </is>
      </c>
      <c r="G318" s="13" t="inlineStr">
        <is>
          <t>Inseticida</t>
        </is>
      </c>
      <c r="H318" s="13" t="inlineStr">
        <is>
          <t>EC</t>
        </is>
      </c>
      <c r="I318" s="13" t="inlineStr">
        <is>
          <t>Concentrado Emulsionável (EC)</t>
        </is>
      </c>
      <c r="J318" s="13" t="inlineStr">
        <is>
          <t>Inseticida/acaricida de contato e ingestão</t>
        </is>
      </c>
      <c r="K318" s="13" t="inlineStr">
        <is>
          <t>Organofosforado</t>
        </is>
      </c>
      <c r="L318" s="13" t="inlineStr">
        <is>
          <t>IRAC Grupo 1B</t>
        </is>
      </c>
      <c r="M318" s="13" t="inlineStr">
        <is>
          <t>Inibidores da acetilcolinesterase (AChE)</t>
        </is>
      </c>
      <c r="N318" s="13" t="inlineStr">
        <is>
          <t>Categoria 3 / 4 — Moderadamente a Pouco Tóxico</t>
        </is>
      </c>
      <c r="O318" s="13" t="inlineStr">
        <is>
          <t>Amarelo / Azul</t>
        </is>
      </c>
      <c r="P318" s="13" t="inlineStr">
        <is>
          <t>Classe II — Produto Muito Perigoso ao Meio Ambiente</t>
        </is>
      </c>
      <c r="Q318" s="15" t="n">
        <v>24</v>
      </c>
      <c r="R318" s="13" t="inlineStr">
        <is>
          <t>Terrestre / Aérea (Drones consultar bula)</t>
        </is>
      </c>
      <c r="S318" s="13" t="inlineStr">
        <is>
          <t>Tratamento sintomático conforme grupo químico na bula</t>
        </is>
      </c>
      <c r="T318" s="13" t="inlineStr">
        <is>
          <t>FMC QUÍMICA DO BRASIL LTDA. / CHEMINOVA BRASIL LTDA.</t>
        </is>
      </c>
      <c r="U318" s="16">
        <f>HYPERLINK("https://www.adapar.pr.gov.br/system/files/publico/Agrotoxicos/lista.pdf", "Registro Oficial Tora 1000 EC (MAPA 18220)")</f>
        <v/>
      </c>
    </row>
    <row r="319" ht="22" customHeight="1">
      <c r="A319" s="5" t="n">
        <v>314</v>
      </c>
      <c r="B319" s="6" t="inlineStr">
        <is>
          <t>Nº 1924</t>
        </is>
      </c>
      <c r="C319" s="7" t="inlineStr">
        <is>
          <t>FORCEPS 2X10KG (IMP)</t>
        </is>
      </c>
      <c r="D319" s="8" t="inlineStr">
        <is>
          <t>FORCEPS</t>
        </is>
      </c>
      <c r="E319" s="7" t="inlineStr">
        <is>
          <t>Produto Formulado Comercial</t>
        </is>
      </c>
      <c r="F319" s="7" t="inlineStr">
        <is>
          <t>Defensivos</t>
        </is>
      </c>
      <c r="G319" s="7" t="inlineStr">
        <is>
          <t>Inseticida</t>
        </is>
      </c>
      <c r="H319" s="7" t="inlineStr">
        <is>
          <t>WG</t>
        </is>
      </c>
      <c r="I319" s="7" t="inlineStr">
        <is>
          <t>Grânulos Dispersíveis em Água (WG)</t>
        </is>
      </c>
      <c r="J319" s="7" t="inlineStr">
        <is>
          <t>Inseticida e acaricida de contato e ingestão</t>
        </is>
      </c>
      <c r="K319" s="7" t="inlineStr">
        <is>
          <t>Piretroide (Tipo I)</t>
        </is>
      </c>
      <c r="L319" s="7" t="inlineStr">
        <is>
          <t>IRAC Grupo 3A</t>
        </is>
      </c>
      <c r="M319" s="7" t="inlineStr">
        <is>
          <t>Moduladores de canais de sódio em membranas nervosas</t>
        </is>
      </c>
      <c r="N319" s="7" t="inlineStr">
        <is>
          <t>Categoria 3 — Produto Moderadamente Tóxico</t>
        </is>
      </c>
      <c r="O319" s="7" t="inlineStr">
        <is>
          <t>Amarelo PMS Yellow C</t>
        </is>
      </c>
      <c r="P319" s="7" t="inlineStr">
        <is>
          <t>Classe II — Produto Muito Perigoso ao Meio Ambiente</t>
        </is>
      </c>
      <c r="Q319" s="9" t="n">
        <v>24</v>
      </c>
      <c r="R319" s="7" t="inlineStr">
        <is>
          <t>Terrestre / Aérea (Drones consultar bula)</t>
        </is>
      </c>
      <c r="S319" s="7" t="inlineStr">
        <is>
          <t>Sem antídoto específico; anti-histamínicos e vitamina E tópica para parestesia</t>
        </is>
      </c>
      <c r="T319" s="7" t="inlineStr">
        <is>
          <t>Rainbow Defensivos</t>
        </is>
      </c>
      <c r="U319" s="10">
        <f>HYPERLINK("https://agrofit.agricultura.gov.br/agrofit_cons/principal_agrofit_cons", "Consulta Oficial AGROFIT/MAPA (Nº 1924)")</f>
        <v/>
      </c>
    </row>
    <row r="320" ht="22" customHeight="1">
      <c r="A320" s="11" t="n">
        <v>315</v>
      </c>
      <c r="B320" s="12" t="inlineStr">
        <is>
          <t>Nº 2721</t>
        </is>
      </c>
      <c r="C320" s="13" t="inlineStr">
        <is>
          <t>CLETODIM 240 EC PROVENTIS 1X20L (IMP) NN</t>
        </is>
      </c>
      <c r="D320" s="14" t="inlineStr">
        <is>
          <t>CLETODIM 240 EC PROVENTIS</t>
        </is>
      </c>
      <c r="E320" s="13" t="inlineStr">
        <is>
          <t>Produto Formulado Comercial</t>
        </is>
      </c>
      <c r="F320" s="13" t="inlineStr">
        <is>
          <t>Defensivos</t>
        </is>
      </c>
      <c r="G320" s="13" t="inlineStr">
        <is>
          <t>Herbicida</t>
        </is>
      </c>
      <c r="H320" s="13" t="inlineStr">
        <is>
          <t>EC</t>
        </is>
      </c>
      <c r="I320" s="13" t="inlineStr">
        <is>
          <t>Concentrado Emulsionável (EC)</t>
        </is>
      </c>
      <c r="J320" s="13" t="inlineStr">
        <is>
          <t>Herbicida graminicida sistêmico seletivo de pós-emergência</t>
        </is>
      </c>
      <c r="K320" s="13" t="inlineStr">
        <is>
          <t>Oxima ciclohexanodiona (DIM)</t>
        </is>
      </c>
      <c r="L320" s="13" t="inlineStr">
        <is>
          <t>HRAC Grupo A (1) — Inibidores da ACCase</t>
        </is>
      </c>
      <c r="M320" s="13" t="inlineStr">
        <is>
          <t>Inibidores da Acetil CoA Carboxilase (ACCase)</t>
        </is>
      </c>
      <c r="N320" s="13" t="inlineStr">
        <is>
          <t>Categoria 4 / 5 — Pouco Tóxico</t>
        </is>
      </c>
      <c r="O320" s="13" t="inlineStr">
        <is>
          <t>Azul Intenso</t>
        </is>
      </c>
      <c r="P320" s="13" t="inlineStr">
        <is>
          <t>Classe III — Produto Perigoso ao Meio Ambiente</t>
        </is>
      </c>
      <c r="Q320" s="15" t="n">
        <v>24</v>
      </c>
      <c r="R320" s="13" t="inlineStr">
        <is>
          <t>Terrestre / Aérea (Drones consultar bula)</t>
        </is>
      </c>
      <c r="S320" s="13" t="inlineStr">
        <is>
          <t>Sem antídoto específico; tratamento sintomático</t>
        </is>
      </c>
      <c r="T320" s="13" t="inlineStr">
        <is>
          <t>Proventis Lifescience</t>
        </is>
      </c>
      <c r="U320" s="16">
        <f>HYPERLINK("https://agrofit.agricultura.gov.br/agrofit_cons/principal_agrofit_cons", "Consulta Oficial AGROFIT/MAPA (Nº 2721)")</f>
        <v/>
      </c>
    </row>
    <row r="321" ht="22" customHeight="1">
      <c r="A321" s="5" t="n">
        <v>316</v>
      </c>
      <c r="B321" s="6" t="inlineStr">
        <is>
          <t>ISENTO (ATO 104/2017)</t>
        </is>
      </c>
      <c r="C321" s="7" t="inlineStr">
        <is>
          <t>AGRICOIL VEGETAL MV 1X20L</t>
        </is>
      </c>
      <c r="D321" s="8" t="inlineStr">
        <is>
          <t>AGRICOIL VEGETAL MV</t>
        </is>
      </c>
      <c r="E321" s="7" t="inlineStr">
        <is>
          <t>Adjuvante / Espalhante Adesivo</t>
        </is>
      </c>
      <c r="F321" s="7" t="inlineStr">
        <is>
          <t>Adjuvantes</t>
        </is>
      </c>
      <c r="G321" s="7" t="inlineStr">
        <is>
          <t>Óleo Vegetal / Éster Metílico / D-Limoneno Adjuvante</t>
        </is>
      </c>
      <c r="H321" s="7" t="inlineStr">
        <is>
          <t>EC</t>
        </is>
      </c>
      <c r="I321" s="7" t="inlineStr">
        <is>
          <t>Concentrado Emulsionável (EC)</t>
        </is>
      </c>
      <c r="J321" s="7" t="inlineStr">
        <is>
          <t>Aditivo físico-químico para calda de pulverização</t>
        </is>
      </c>
      <c r="K321" s="7" t="inlineStr">
        <is>
          <t>Éster Metílico / Hidrocarboneto Parafínico / Tensoativo Siliconado</t>
        </is>
      </c>
      <c r="L321" s="7" t="inlineStr">
        <is>
          <t>Adjuvante Tecnológico de Pulverização</t>
        </is>
      </c>
      <c r="M321" s="7" t="inlineStr">
        <is>
          <t>Redução da tensão superficial, espalhamento, anti-deriva e penetração cuticular</t>
        </is>
      </c>
      <c r="N321" s="7" t="inlineStr">
        <is>
          <t>Isento / Ato SDA nº 104/2017 (ou Categoria 5 quando registrado)</t>
        </is>
      </c>
      <c r="O321" s="7" t="inlineStr">
        <is>
          <t>Azul / Isento</t>
        </is>
      </c>
      <c r="P321" s="7" t="inlineStr">
        <is>
          <t>Classe IV — Pouco Perigoso ao Meio Ambiente</t>
        </is>
      </c>
      <c r="Q321" s="9" t="n">
        <v>24</v>
      </c>
      <c r="R321" s="7" t="inlineStr">
        <is>
          <t>Terrestre / Aérea (Drones consultar bula)</t>
        </is>
      </c>
      <c r="S321" s="7" t="inlineStr">
        <is>
          <t>Tratamento sintomático; evitar indução de vômito em derivados de petróleo</t>
        </is>
      </c>
      <c r="T321" s="7" t="inlineStr">
        <is>
          <t>Dispensado de Registro (Ato SDA nº 104/2017)</t>
        </is>
      </c>
      <c r="U321" s="10">
        <f>HYPERLINK("https://www.gov.br/agricultura/pt-br/assuntos/insumos-agropecuarios/insumos-agricolas/agrotoxicos/legislacao", "Ato SDA/MAPA nº 104/2017 — Adjuvantes Agrícolas")</f>
        <v/>
      </c>
    </row>
    <row r="322" ht="22" customHeight="1">
      <c r="A322" s="11" t="n">
        <v>317</v>
      </c>
      <c r="B322" s="12" t="inlineStr">
        <is>
          <t>Nº 27717</t>
        </is>
      </c>
      <c r="C322" s="13" t="inlineStr">
        <is>
          <t>FIPRONIL 800 WG AGCN 10X1KG (IMP) FB</t>
        </is>
      </c>
      <c r="D322" s="14" t="inlineStr">
        <is>
          <t>FIPRONIL 800 WG AGCN</t>
        </is>
      </c>
      <c r="E322" s="13" t="inlineStr">
        <is>
          <t>Produto Formulado Comercial</t>
        </is>
      </c>
      <c r="F322" s="13" t="inlineStr">
        <is>
          <t>Defensivos</t>
        </is>
      </c>
      <c r="G322" s="13" t="inlineStr">
        <is>
          <t>Inseticida e Cupinicida (Fipronil)</t>
        </is>
      </c>
      <c r="H322" s="13" t="inlineStr">
        <is>
          <t>WG</t>
        </is>
      </c>
      <c r="I322" s="13" t="inlineStr">
        <is>
          <t>Grânulos Dispersíveis em Água (WG)</t>
        </is>
      </c>
      <c r="J322" s="13" t="inlineStr">
        <is>
          <t>Inseticida, cupinicida e formicida de contato e ingestão (TS / Solo)</t>
        </is>
      </c>
      <c r="K322" s="13" t="inlineStr">
        <is>
          <t>Pirazol (Fenilpirazol)</t>
        </is>
      </c>
      <c r="L322" s="13" t="inlineStr">
        <is>
          <t>IRAC Grupo 2B</t>
        </is>
      </c>
      <c r="M322" s="13" t="inlineStr">
        <is>
          <t>Bloqueadores de canais de cloro mediados pelo GABA</t>
        </is>
      </c>
      <c r="N322" s="13" t="inlineStr">
        <is>
          <t>Categoria 3 — Produto Moderadamente Tóxico</t>
        </is>
      </c>
      <c r="O322" s="13" t="inlineStr">
        <is>
          <t>Amarelo PMS Yellow C</t>
        </is>
      </c>
      <c r="P322" s="13" t="inlineStr">
        <is>
          <t>Classe II — Produto Muito Perigoso ao Meio Ambiente</t>
        </is>
      </c>
      <c r="Q322" s="15" t="n">
        <v>24</v>
      </c>
      <c r="R322" s="13" t="inlineStr">
        <is>
          <t>Terrestre / Aérea (Drones consultar bula)</t>
        </is>
      </c>
      <c r="S322" s="13" t="inlineStr">
        <is>
          <t>Sem antídoto específico; tratamento sintomático e controle neurológico</t>
        </is>
      </c>
      <c r="T322" s="13" t="inlineStr">
        <is>
          <t>AGRICONNECTION IMPORTADORA E EXPORTADORA DE INSUMOS AGRÍCOLAS LTDA.</t>
        </is>
      </c>
      <c r="U322" s="16">
        <f>HYPERLINK("https://agrofit.agricultura.gov.br/agrofit_cons/principal_agrofit_cons", "Consulta Oficial AGROFIT/MAPA (Nº 27717)")</f>
        <v/>
      </c>
    </row>
    <row r="323" ht="22" customHeight="1">
      <c r="A323" s="5" t="n">
        <v>318</v>
      </c>
      <c r="B323" s="6" t="inlineStr">
        <is>
          <t>SIPEAGRO (UF-XXXXX)</t>
        </is>
      </c>
      <c r="C323" s="7" t="inlineStr">
        <is>
          <t>QUALY SULFATO MAGNESIO 16 - E 1X25KG</t>
        </is>
      </c>
      <c r="D323" s="8" t="inlineStr">
        <is>
          <t>QUALY SULFATO MAGNESIO 16 - E</t>
        </is>
      </c>
      <c r="E323" s="7" t="inlineStr">
        <is>
          <t>Fertilizante Mineral / Organomineral</t>
        </is>
      </c>
      <c r="F323" s="7" t="inlineStr">
        <is>
          <t>Fertilizantes</t>
        </is>
      </c>
      <c r="G323" s="7" t="inlineStr">
        <is>
          <t>Fertilizante Mineral Simples (Potássico / Magnesiano)</t>
        </is>
      </c>
      <c r="H323" s="7" t="inlineStr">
        <is>
          <t>Granulado</t>
        </is>
      </c>
      <c r="I323" s="7" t="inlineStr">
        <is>
          <t>Formulação Padrão (Granulado / Solúvel / Suspensão)</t>
        </is>
      </c>
      <c r="J323" s="7" t="inlineStr">
        <is>
          <t>Aplicação via solo, fertirrigação ou adubação foliar</t>
        </is>
      </c>
      <c r="K323" s="7" t="inlineStr">
        <is>
          <t>Fertilizante Mineral / Organomineral (Lei nº 6.894/1980)</t>
        </is>
      </c>
      <c r="L323" s="7" t="inlineStr">
        <is>
          <t>Nutrição Vegetal SIPEAGRO</t>
        </is>
      </c>
      <c r="M323" s="7" t="inlineStr">
        <is>
          <t>Fornecimento de macro e micronutrientes essenciais ao metabolismo vegetal</t>
        </is>
      </c>
      <c r="N323" s="7" t="inlineStr">
        <is>
          <t>Isento ANVISA (Produto Fertilizante Registrado no SIPEAGRO/MAPA)</t>
        </is>
      </c>
      <c r="O323" s="7" t="inlineStr">
        <is>
          <t>Não Aplicável (Fertilizante)</t>
        </is>
      </c>
      <c r="P323" s="7" t="inlineStr">
        <is>
          <t>Baixo Potencial Poluidor (Uso conforme recomendação agronômica)</t>
        </is>
      </c>
      <c r="Q323" s="9" t="n">
        <v>0</v>
      </c>
      <c r="R323" s="7" t="inlineStr">
        <is>
          <t>Aplicação Dirigida / TS / Solo</t>
        </is>
      </c>
      <c r="S323" s="7" t="inlineStr">
        <is>
          <t>Tratamento sintomático em caso de ingestão acidental</t>
        </is>
      </c>
      <c r="T323" s="7" t="inlineStr">
        <is>
          <t>QUALY FERTILIZANTES / ESTABELECIMENTO PRODUTOR SIPEAGRO-MAPA</t>
        </is>
      </c>
      <c r="U323" s="10">
        <f>HYPERLINK("https://www.gov.br/agricultura/pt-br/assuntos/insumos-agropecuarios/insumos-agricolas/fertilizantes", "Portal SIPEAGRO / MAPA — Fertilizantes e Bioinsumos")</f>
        <v/>
      </c>
    </row>
    <row r="324" ht="22" customHeight="1">
      <c r="A324" s="11" t="n">
        <v>319</v>
      </c>
      <c r="B324" s="12" t="inlineStr">
        <is>
          <t>Nº 12621</t>
        </is>
      </c>
      <c r="C324" s="13" t="inlineStr">
        <is>
          <t>NADRAN 250 4X5L (IMP) LL</t>
        </is>
      </c>
      <c r="D324" s="14" t="inlineStr">
        <is>
          <t>NADRAN 250</t>
        </is>
      </c>
      <c r="E324" s="13" t="inlineStr">
        <is>
          <t>Produto Formulado Comercial</t>
        </is>
      </c>
      <c r="F324" s="13" t="inlineStr">
        <is>
          <t>Defensivos</t>
        </is>
      </c>
      <c r="G324" s="13" t="inlineStr">
        <is>
          <t>Regulador de Crescimento</t>
        </is>
      </c>
      <c r="H324" s="13" t="inlineStr">
        <is>
          <t>SL</t>
        </is>
      </c>
      <c r="I324" s="13" t="inlineStr">
        <is>
          <t>Concentrado Solúvel (SL)</t>
        </is>
      </c>
      <c r="J324" s="13" t="inlineStr">
        <is>
          <t>Inseticida/acaricida de contato e ingestão</t>
        </is>
      </c>
      <c r="K324" s="13" t="inlineStr">
        <is>
          <t>Amônio Quaternário (Fitorregulador)</t>
        </is>
      </c>
      <c r="L324" s="13" t="inlineStr">
        <is>
          <t>Regulador de Crescimento Vegetal (Inibidor de Giberelina)</t>
        </is>
      </c>
      <c r="M324" s="13" t="inlineStr">
        <is>
          <t>Inibição da biossíntese de giberelinas (redução do crescimento vegetativo)</t>
        </is>
      </c>
      <c r="N324" s="13" t="inlineStr">
        <is>
          <t>Categoria 3 / 4 — Moderadamente a Pouco Tóxico</t>
        </is>
      </c>
      <c r="O324" s="13" t="inlineStr">
        <is>
          <t>Amarelo / Azul</t>
        </is>
      </c>
      <c r="P324" s="13" t="inlineStr">
        <is>
          <t>Classe II — Produto Muito Perigoso ao Meio Ambiente</t>
        </is>
      </c>
      <c r="Q324" s="15" t="n">
        <v>24</v>
      </c>
      <c r="R324" s="13" t="inlineStr">
        <is>
          <t>Terrestre / Aérea (Drones consultar bula)</t>
        </is>
      </c>
      <c r="S324" s="13" t="inlineStr">
        <is>
          <t>Tratamento sintomático conforme grupo químico na bula</t>
        </is>
      </c>
      <c r="T324" s="13" t="inlineStr">
        <is>
          <t>Luxembourg Brasil</t>
        </is>
      </c>
      <c r="U324" s="16">
        <f>HYPERLINK("https://agrofit.agricultura.gov.br/agrofit_cons/principal_agrofit_cons", "Consulta Oficial AGROFIT/MAPA (Nº 12621)")</f>
        <v/>
      </c>
    </row>
    <row r="325" ht="22" customHeight="1">
      <c r="A325" s="5" t="n">
        <v>320</v>
      </c>
      <c r="B325" s="6" t="inlineStr">
        <is>
          <t>Nº 7723</t>
        </is>
      </c>
      <c r="C325" s="7" t="inlineStr">
        <is>
          <t>ALVOFIX 4X5L</t>
        </is>
      </c>
      <c r="D325" s="8" t="inlineStr">
        <is>
          <t>ALVOFIX</t>
        </is>
      </c>
      <c r="E325" s="7" t="inlineStr">
        <is>
          <t>Produto Formulado Comercial</t>
        </is>
      </c>
      <c r="F325" s="7" t="inlineStr">
        <is>
          <t>Defensivos</t>
        </is>
      </c>
      <c r="G325" s="7" t="inlineStr">
        <is>
          <t>Inseticida e Acaricida</t>
        </is>
      </c>
      <c r="H325" s="7" t="inlineStr">
        <is>
          <t>EC</t>
        </is>
      </c>
      <c r="I325" s="7" t="inlineStr">
        <is>
          <t>EC - Concentrado Emulsionável</t>
        </is>
      </c>
      <c r="J325" s="7" t="inlineStr">
        <is>
          <t>Inseticida e acaricida de contato e ingestão</t>
        </is>
      </c>
      <c r="K325" s="7" t="inlineStr">
        <is>
          <t>Piretroide (Tipo I)</t>
        </is>
      </c>
      <c r="L325" s="7" t="inlineStr">
        <is>
          <t>IRAC Grupo 3A</t>
        </is>
      </c>
      <c r="M325" s="7" t="inlineStr">
        <is>
          <t>Moduladores de canais de sódio em membranas nervosas</t>
        </is>
      </c>
      <c r="N325" s="7" t="inlineStr">
        <is>
          <t>Categoria 3: Produto Moderadamente Tóxico</t>
        </is>
      </c>
      <c r="O325" s="7" t="inlineStr">
        <is>
          <t>Amarelo</t>
        </is>
      </c>
      <c r="P325" s="7" t="inlineStr">
        <is>
          <t>Classe II — Produto Muito Perigoso ao Meio Ambiente</t>
        </is>
      </c>
      <c r="Q325" s="9" t="n">
        <v>24</v>
      </c>
      <c r="R325" s="7" t="inlineStr">
        <is>
          <t>Terrestre / Aérea (Drones consultar bula)</t>
        </is>
      </c>
      <c r="S325" s="7" t="inlineStr">
        <is>
          <t>Sem antídoto específico; anti-histamínicos e vitamina E tópica para parestesia</t>
        </is>
      </c>
      <c r="T325" s="7" t="inlineStr">
        <is>
          <t>CHDS DO BRASIL COMERCIO DE INSUMOS AGRICOLAS LTDA</t>
        </is>
      </c>
      <c r="U325" s="10">
        <f>HYPERLINK("https://agrofit.agricultura.gov.br/agrofit_cons/principal_agrofit_cons", "Consulta Oficial AGROFIT/MAPA (Nº 7723)")</f>
        <v/>
      </c>
    </row>
    <row r="326" ht="22" customHeight="1">
      <c r="A326" s="11" t="n">
        <v>321</v>
      </c>
      <c r="B326" s="12" t="inlineStr">
        <is>
          <t>SIPEAGRO (UF-XXXXX)</t>
        </is>
      </c>
      <c r="C326" s="13" t="inlineStr">
        <is>
          <t>BIOLOGIC NEMA 1X1L</t>
        </is>
      </c>
      <c r="D326" s="14" t="inlineStr">
        <is>
          <t>BIOLOGIC NEMA</t>
        </is>
      </c>
      <c r="E326" s="13" t="inlineStr">
        <is>
          <t>Produto Formulado Comercial</t>
        </is>
      </c>
      <c r="F326" s="13" t="inlineStr">
        <is>
          <t>Defensivos</t>
        </is>
      </c>
      <c r="G326" s="13" t="inlineStr">
        <is>
          <t>Bionematicida (Biológico)</t>
        </is>
      </c>
      <c r="H326" s="13" t="inlineStr">
        <is>
          <t>SC</t>
        </is>
      </c>
      <c r="I326" s="13" t="inlineStr">
        <is>
          <t>Suspensão Concentrada (SC)</t>
        </is>
      </c>
      <c r="J326" s="13" t="inlineStr">
        <is>
          <t>Bionematicida, biofungicida ou inoculante biológico</t>
        </is>
      </c>
      <c r="K326" s="13" t="inlineStr">
        <is>
          <t>Agente Microbiológico / Rizobactéria (PGPR)</t>
        </is>
      </c>
      <c r="L326" s="13" t="inlineStr">
        <is>
          <t>FRAC Grupo BM02 / IRAC Grupo 11A / Bioinsumo</t>
        </is>
      </c>
      <c r="M326" s="13" t="inlineStr">
        <is>
          <t>Lipopeptídeos antifúngicos, competição na rizosfera e solubilização de nutrientes</t>
        </is>
      </c>
      <c r="N326" s="13" t="inlineStr">
        <is>
          <t>Categoria 5 / Não Classificado — Baixo Risco Agudo</t>
        </is>
      </c>
      <c r="O326" s="13" t="inlineStr">
        <is>
          <t>Azul Intenso</t>
        </is>
      </c>
      <c r="P326" s="13" t="inlineStr">
        <is>
          <t>Classe IV — Produto Pouco Perigoso ao Meio Ambiente</t>
        </is>
      </c>
      <c r="Q326" s="15" t="n">
        <v>24</v>
      </c>
      <c r="R326" s="13" t="inlineStr">
        <is>
          <t>Terrestre / Aérea (Drones consultar bula)</t>
        </is>
      </c>
      <c r="S326" s="13" t="inlineStr">
        <is>
          <t>Sem antídoto; tratamento sintomático</t>
        </is>
      </c>
      <c r="T326" s="13" t="inlineStr">
        <is>
          <t>BALLAGRO AGRO TECNOLOGIA LTDA. / BIOLOGIC</t>
        </is>
      </c>
      <c r="U326" s="16">
        <f>HYPERLINK("https://www.gov.br/agricultura/pt-br/assuntos/insumos-agropecuarios/insumos-agricolas/fertilizantes", "Portal SIPEAGRO / MAPA — Fertilizantes e Bioinsumos")</f>
        <v/>
      </c>
    </row>
    <row r="327" ht="22" customHeight="1">
      <c r="A327" s="5" t="n">
        <v>322</v>
      </c>
      <c r="B327" s="6" t="inlineStr">
        <is>
          <t>Nº 109009</t>
        </is>
      </c>
      <c r="C327" s="7" t="inlineStr">
        <is>
          <t>MANZATE WG 1X25KG (IMP)</t>
        </is>
      </c>
      <c r="D327" s="8" t="inlineStr">
        <is>
          <t>MANZATE WG</t>
        </is>
      </c>
      <c r="E327" s="7" t="inlineStr">
        <is>
          <t>Produto Formulado Comercial</t>
        </is>
      </c>
      <c r="F327" s="7" t="inlineStr">
        <is>
          <t>Defensivos</t>
        </is>
      </c>
      <c r="G327" s="7" t="inlineStr">
        <is>
          <t>Fungicida</t>
        </is>
      </c>
      <c r="H327" s="7" t="inlineStr">
        <is>
          <t>WG</t>
        </is>
      </c>
      <c r="I327" s="7" t="inlineStr">
        <is>
          <t>Grânulos Dispersíveis em Água (WG)</t>
        </is>
      </c>
      <c r="J327" s="7" t="inlineStr">
        <is>
          <t>Fungicida e acaricida protetor de contato multissítio</t>
        </is>
      </c>
      <c r="K327" s="7" t="inlineStr">
        <is>
          <t>Alquilenobis(ditiocarbamato)</t>
        </is>
      </c>
      <c r="L327" s="7" t="inlineStr">
        <is>
          <t>FRAC Grupo M03 — Multissítio</t>
        </is>
      </c>
      <c r="M327" s="7" t="inlineStr">
        <is>
          <t>Inibidor multissítio de enzimas contendo grupos sulfidrila e aminoácidos fúngicos</t>
        </is>
      </c>
      <c r="N327" s="7" t="inlineStr">
        <is>
          <t>Categoria 4 / 5 — Pouco Tóxico a Improvável Dano Agudo</t>
        </is>
      </c>
      <c r="O327" s="7" t="inlineStr">
        <is>
          <t>Azul Intenso</t>
        </is>
      </c>
      <c r="P327" s="7" t="inlineStr">
        <is>
          <t>Classe II — Produto Muito Perigoso ao Meio Ambiente</t>
        </is>
      </c>
      <c r="Q327" s="9" t="n">
        <v>24</v>
      </c>
      <c r="R327" s="7" t="inlineStr">
        <is>
          <t>Terrestre / Aérea (Drones consultar bula)</t>
        </is>
      </c>
      <c r="S327" s="7" t="inlineStr">
        <is>
          <t>Sem antídoto específico; evitar consumo de álcool (efeito antabuse por ETU)</t>
        </is>
      </c>
      <c r="T327" s="7" t="inlineStr">
        <is>
          <t>UPL do Brasil</t>
        </is>
      </c>
      <c r="U327" s="10">
        <f>HYPERLINK("https://agrofit.agricultura.gov.br/agrofit_cons/principal_agrofit_cons", "Consulta Oficial AGROFIT/MAPA (Nº 109009)")</f>
        <v/>
      </c>
    </row>
    <row r="328" ht="22" customHeight="1">
      <c r="A328" s="11" t="n">
        <v>323</v>
      </c>
      <c r="B328" s="12" t="inlineStr">
        <is>
          <t>SIPEAGRO (UF-XXXXX)</t>
        </is>
      </c>
      <c r="C328" s="13" t="inlineStr">
        <is>
          <t>RIZOKOP 4X3L</t>
        </is>
      </c>
      <c r="D328" s="14" t="inlineStr">
        <is>
          <t>RIZOKOP</t>
        </is>
      </c>
      <c r="E328" s="13" t="inlineStr">
        <is>
          <t>Inoculante / Biológico</t>
        </is>
      </c>
      <c r="F328" s="13" t="inlineStr">
        <is>
          <t>Inoculantes e Biológicos</t>
        </is>
      </c>
      <c r="G328" s="13" t="inlineStr">
        <is>
          <t>Inoculante Fixador de Nitrogênio</t>
        </is>
      </c>
      <c r="H328" s="13" t="inlineStr">
        <is>
          <t>Líquido</t>
        </is>
      </c>
      <c r="I328" s="13" t="inlineStr">
        <is>
          <t>Formulação Padrão (Líquido / Turfoso)</t>
        </is>
      </c>
      <c r="J328" s="13" t="inlineStr">
        <is>
          <t>Inoculante líquido/turfoso para tratamento de sementes e sulco</t>
        </is>
      </c>
      <c r="K328" s="13" t="inlineStr">
        <is>
          <t>Bactéria Diazotrófica Fixadora de Nitrogênio e Promotora de Crescimento</t>
        </is>
      </c>
      <c r="L328" s="13" t="inlineStr">
        <is>
          <t>Inoculante Biológico — Lei nº 6.894/1980</t>
        </is>
      </c>
      <c r="M328" s="13" t="inlineStr">
        <is>
          <t>Fixação biológica de N2 atmosférico e síntese de fitormônios (AIA)</t>
        </is>
      </c>
      <c r="N328" s="13" t="inlineStr">
        <is>
          <t>Isento (Inoculante Biológico SIPEAGRO)</t>
        </is>
      </c>
      <c r="O328" s="13" t="inlineStr">
        <is>
          <t>Não Aplicável (Inoculante)</t>
        </is>
      </c>
      <c r="P328" s="13" t="inlineStr">
        <is>
          <t>Classe IV — Produto Pouco Perigoso ao Meio Ambiente</t>
        </is>
      </c>
      <c r="Q328" s="15" t="n">
        <v>0</v>
      </c>
      <c r="R328" s="13" t="inlineStr">
        <is>
          <t>Aplicação Dirigida / TS / Solo</t>
        </is>
      </c>
      <c r="S328" s="13" t="inlineStr">
        <is>
          <t>Não aplicável (Inoculante biológico não tóxico)</t>
        </is>
      </c>
      <c r="T328" s="13" t="inlineStr">
        <is>
          <t>Estabelecimento Produtor SIPEAGRO/MAPA</t>
        </is>
      </c>
      <c r="U328" s="16">
        <f>HYPERLINK("https://www.gov.br/agricultura/pt-br/assuntos/insumos-agropecuarios/insumos-agricolas/fertilizantes", "Portal SIPEAGRO / MAPA — Fertilizantes e Bioinsumos")</f>
        <v/>
      </c>
    </row>
    <row r="329" ht="22" customHeight="1">
      <c r="A329" s="5" t="n">
        <v>324</v>
      </c>
      <c r="B329" s="6" t="inlineStr">
        <is>
          <t>Nº 9622</t>
        </is>
      </c>
      <c r="C329" s="7" t="inlineStr">
        <is>
          <t>CLOROTALONIL C 720 SC PERTERRA 1X20L</t>
        </is>
      </c>
      <c r="D329" s="8" t="inlineStr">
        <is>
          <t>CLOROTALONIL C</t>
        </is>
      </c>
      <c r="E329" s="7" t="inlineStr">
        <is>
          <t>Produto Formulado Comercial</t>
        </is>
      </c>
      <c r="F329" s="7" t="inlineStr">
        <is>
          <t>Defensivos</t>
        </is>
      </c>
      <c r="G329" s="7" t="inlineStr">
        <is>
          <t>Fungicida</t>
        </is>
      </c>
      <c r="H329" s="7" t="inlineStr">
        <is>
          <t>SC</t>
        </is>
      </c>
      <c r="I329" s="7" t="inlineStr">
        <is>
          <t>Suspensão Concentrada (SC)</t>
        </is>
      </c>
      <c r="J329" s="7" t="inlineStr">
        <is>
          <t>Fungicida protetor de contato multissítio (manejo anti-resistência)</t>
        </is>
      </c>
      <c r="K329" s="7" t="inlineStr">
        <is>
          <t>Isoftalonitrila</t>
        </is>
      </c>
      <c r="L329" s="7" t="inlineStr">
        <is>
          <t>FRAC Grupo M05 — Multissítio</t>
        </is>
      </c>
      <c r="M329" s="7" t="inlineStr">
        <is>
          <t>Atividade de contato multissítio (inativação de grupos tiol enzimáticos)</t>
        </is>
      </c>
      <c r="N329" s="7" t="inlineStr">
        <is>
          <t>Categoria 2 / 3 — Altamente a Moderadamente Tóxico</t>
        </is>
      </c>
      <c r="O329" s="7" t="inlineStr">
        <is>
          <t>Vermelho / Amarelo</t>
        </is>
      </c>
      <c r="P329" s="7" t="inlineStr">
        <is>
          <t>Classe II — Produto Muito Perigoso ao Meio Ambiente</t>
        </is>
      </c>
      <c r="Q329" s="9" t="n">
        <v>24</v>
      </c>
      <c r="R329" s="7" t="inlineStr">
        <is>
          <t>Terrestre / Aérea (Drones consultar bula)</t>
        </is>
      </c>
      <c r="S329" s="7" t="inlineStr">
        <is>
          <t>Sem antídoto específico; tratamento sintomático e descontaminação ocular/cutânea</t>
        </is>
      </c>
      <c r="T329" s="7" t="inlineStr">
        <is>
          <t>Perterra</t>
        </is>
      </c>
      <c r="U329" s="10">
        <f>HYPERLINK("https://agrofit.agricultura.gov.br/agrofit_cons/principal_agrofit_cons", "Consulta Oficial AGROFIT/MAPA (Nº 9622)")</f>
        <v/>
      </c>
    </row>
    <row r="330" ht="22" customHeight="1">
      <c r="A330" s="11" t="n">
        <v>325</v>
      </c>
      <c r="B330" s="12" t="inlineStr">
        <is>
          <t>Nº 17119</t>
        </is>
      </c>
      <c r="C330" s="13" t="inlineStr">
        <is>
          <t>DIFO 250 EC 1X20L (IMP) SL</t>
        </is>
      </c>
      <c r="D330" s="14" t="inlineStr">
        <is>
          <t>DIFO 250 EC</t>
        </is>
      </c>
      <c r="E330" s="13" t="inlineStr">
        <is>
          <t>Produto Formulado Comercial</t>
        </is>
      </c>
      <c r="F330" s="13" t="inlineStr">
        <is>
          <t>Defensivos</t>
        </is>
      </c>
      <c r="G330" s="13" t="inlineStr">
        <is>
          <t>Fungicida</t>
        </is>
      </c>
      <c r="H330" s="13" t="inlineStr">
        <is>
          <t>EC</t>
        </is>
      </c>
      <c r="I330" s="13" t="inlineStr">
        <is>
          <t>Concentrado Emulsionável (EC)</t>
        </is>
      </c>
      <c r="J330" s="13" t="inlineStr">
        <is>
          <t>Fungicida sistêmico preventivo, curativo e erradicante</t>
        </is>
      </c>
      <c r="K330" s="13" t="inlineStr">
        <is>
          <t>Triazol</t>
        </is>
      </c>
      <c r="L330" s="13" t="inlineStr">
        <is>
          <t>FRAC Grupo 3 (DMI)</t>
        </is>
      </c>
      <c r="M330" s="13" t="inlineStr">
        <is>
          <t>Inibidores da desmetilação de esteróis (C14-desmetilase na síntese de ergosterol)</t>
        </is>
      </c>
      <c r="N330" s="13" t="inlineStr">
        <is>
          <t>Categoria 3 / 4 — Moderadamente a Pouco Tóxico</t>
        </is>
      </c>
      <c r="O330" s="13" t="inlineStr">
        <is>
          <t>Amarelo / Azul</t>
        </is>
      </c>
      <c r="P330" s="13" t="inlineStr">
        <is>
          <t>Classe II — Produto Muito Perigoso ao Meio Ambiente</t>
        </is>
      </c>
      <c r="Q330" s="15" t="n">
        <v>24</v>
      </c>
      <c r="R330" s="13" t="inlineStr">
        <is>
          <t>Terrestre / Aérea (Drones consultar bula)</t>
        </is>
      </c>
      <c r="S330" s="13" t="inlineStr">
        <is>
          <t>Sem antídoto específico; tratamento sintomático</t>
        </is>
      </c>
      <c r="T330" s="13" t="inlineStr">
        <is>
          <t>RAINBOW DEFENSIVOS AGRÍCOLAS LTDA.</t>
        </is>
      </c>
      <c r="U330" s="16">
        <f>HYPERLINK("https://www.adapar.pr.gov.br/Pagina/Agrotoxicos-Fungicidas", "Registro Oficial Difo 250 EC (MAPA 17119)")</f>
        <v/>
      </c>
    </row>
    <row r="331" ht="22" customHeight="1">
      <c r="A331" s="5" t="n">
        <v>326</v>
      </c>
      <c r="B331" s="6" t="inlineStr">
        <is>
          <t>Nº 10023</t>
        </is>
      </c>
      <c r="C331" s="7" t="inlineStr">
        <is>
          <t>XEQUE MATE SG 5X4KG (VALIDAR FISCAL)</t>
        </is>
      </c>
      <c r="D331" s="8" t="inlineStr">
        <is>
          <t>XEQUE MATE SG</t>
        </is>
      </c>
      <c r="E331" s="7" t="inlineStr">
        <is>
          <t>Produto Formulado Comercial</t>
        </is>
      </c>
      <c r="F331" s="7" t="inlineStr">
        <is>
          <t>Defensivos</t>
        </is>
      </c>
      <c r="G331" s="7" t="inlineStr">
        <is>
          <t>Herbicida</t>
        </is>
      </c>
      <c r="H331" s="7" t="inlineStr">
        <is>
          <t>SG</t>
        </is>
      </c>
      <c r="I331" s="7" t="inlineStr">
        <is>
          <t>Grânulos Solúveis em Água (SG)</t>
        </is>
      </c>
      <c r="J331" s="7" t="inlineStr">
        <is>
          <t>Herbicida sistêmico de pós-emergência (seletivo condicional p/ OGM)</t>
        </is>
      </c>
      <c r="K331" s="7" t="inlineStr">
        <is>
          <t>Glicina substituída</t>
        </is>
      </c>
      <c r="L331" s="7" t="inlineStr">
        <is>
          <t>HRAC Grupo G (EPSPs)</t>
        </is>
      </c>
      <c r="M331" s="7" t="inlineStr">
        <is>
          <t>Inibidores da enzima EPSPs (Enoil Piruvil Shiquimato Fosfato Sintase)</t>
        </is>
      </c>
      <c r="N331" s="7" t="inlineStr">
        <is>
          <t>Categoria 5 — Produto Improvável de Causar Dano Agudo</t>
        </is>
      </c>
      <c r="O331" s="7" t="inlineStr">
        <is>
          <t>Azul Intenso</t>
        </is>
      </c>
      <c r="P331" s="7" t="inlineStr">
        <is>
          <t>Classe III / IV — Perigoso a Pouco Perigoso ao Meio Ambiente</t>
        </is>
      </c>
      <c r="Q331" s="9" t="n">
        <v>24</v>
      </c>
      <c r="R331" s="7" t="inlineStr">
        <is>
          <t>Terrestre / Aérea (Drones consultar bula)</t>
        </is>
      </c>
      <c r="S331" s="7" t="inlineStr">
        <is>
          <t>Sem antídoto específico (Atropina ineficaz); tratamento sintomático</t>
        </is>
      </c>
      <c r="T331" s="7" t="inlineStr">
        <is>
          <t>ALBAUGH AGRO BRASIL LTDA.</t>
        </is>
      </c>
      <c r="U331" s="10">
        <f>HYPERLINK("https://www.adapar.pr.gov.br/Pagina/Agrotoxicos-Herbicidas", "Registro Oficial Xeque Mate SG (MAPA 10023)")</f>
        <v/>
      </c>
    </row>
    <row r="332" ht="22" customHeight="1">
      <c r="A332" s="11" t="n">
        <v>327</v>
      </c>
      <c r="B332" s="12" t="inlineStr">
        <is>
          <t>Nº 10623</t>
        </is>
      </c>
      <c r="C332" s="13" t="inlineStr">
        <is>
          <t>PREVENT GOLD 1X20L (IMP) (VALIDAR FISCAL)</t>
        </is>
      </c>
      <c r="D332" s="14" t="inlineStr">
        <is>
          <t>PREVENT GOLD</t>
        </is>
      </c>
      <c r="E332" s="13" t="inlineStr">
        <is>
          <t>Produto Formulado Comercial</t>
        </is>
      </c>
      <c r="F332" s="13" t="inlineStr">
        <is>
          <t>Defensivos</t>
        </is>
      </c>
      <c r="G332" s="13" t="inlineStr">
        <is>
          <t>Herbicida</t>
        </is>
      </c>
      <c r="H332" s="13" t="inlineStr">
        <is>
          <t>EC</t>
        </is>
      </c>
      <c r="I332" s="13" t="inlineStr">
        <is>
          <t>Concentrado Emulsionável (EC)</t>
        </is>
      </c>
      <c r="J332" s="13" t="inlineStr">
        <is>
          <t>Herbicida seletivo pré-emergente sistêmico</t>
        </is>
      </c>
      <c r="K332" s="13" t="inlineStr">
        <is>
          <t>Cloroacetanilida</t>
        </is>
      </c>
      <c r="L332" s="13" t="inlineStr">
        <is>
          <t>HRAC Grupo K3 (15) — Inibidores de VLCFAs</t>
        </is>
      </c>
      <c r="M332" s="13" t="inlineStr">
        <is>
          <t>Inibidores da síntese de ácidos graxos de cadeia muito longa (divisão celular)</t>
        </is>
      </c>
      <c r="N332" s="13" t="inlineStr">
        <is>
          <t>Categoria 4 — Produto Pouco Tóxico</t>
        </is>
      </c>
      <c r="O332" s="13" t="inlineStr">
        <is>
          <t>Azul PMS Blue 293 C</t>
        </is>
      </c>
      <c r="P332" s="13" t="inlineStr">
        <is>
          <t>Classe II — Produto Muito Perigoso ao Meio Ambiente</t>
        </is>
      </c>
      <c r="Q332" s="15" t="n">
        <v>24</v>
      </c>
      <c r="R332" s="13" t="inlineStr">
        <is>
          <t>Terrestre / Aérea (Drones consultar bula)</t>
        </is>
      </c>
      <c r="S332" s="13" t="inlineStr">
        <is>
          <t>Sem antídoto específico; tratamento sintomático</t>
        </is>
      </c>
      <c r="T332" s="13" t="inlineStr">
        <is>
          <t>RAINBOW DEFENSIVOS AGRÍCOLAS LTDA.</t>
        </is>
      </c>
      <c r="U332" s="16">
        <f>HYPERLINK("https://www.adapar.pr.gov.br/Pagina/Agrotoxicos-Herbicidas", "Registro Oficial Prevent Gold 960 EC (MAPA 10623)")</f>
        <v/>
      </c>
    </row>
    <row r="333" ht="22" customHeight="1">
      <c r="A333" s="5" t="n">
        <v>328</v>
      </c>
      <c r="B333" s="6" t="inlineStr">
        <is>
          <t>Nº 3518</t>
        </is>
      </c>
      <c r="C333" s="7" t="inlineStr">
        <is>
          <t>VERDICT(TM) 4X5L</t>
        </is>
      </c>
      <c r="D333" s="8" t="inlineStr">
        <is>
          <t>VERDICT(TM)</t>
        </is>
      </c>
      <c r="E333" s="7" t="inlineStr">
        <is>
          <t>Produto Formulado Comercial</t>
        </is>
      </c>
      <c r="F333" s="7" t="inlineStr">
        <is>
          <t>Defensivos</t>
        </is>
      </c>
      <c r="G333" s="7" t="inlineStr">
        <is>
          <t>Herbicida</t>
        </is>
      </c>
      <c r="H333" s="7" t="inlineStr">
        <is>
          <t>EC</t>
        </is>
      </c>
      <c r="I333" s="7" t="inlineStr">
        <is>
          <t>Concentrado Emulsionável (EC)</t>
        </is>
      </c>
      <c r="J333" s="7" t="inlineStr">
        <is>
          <t>Herbicida de pré ou pós-emergência</t>
        </is>
      </c>
      <c r="K333" s="7" t="inlineStr">
        <is>
          <t>Ariloxifenoxipropionato (FOP)</t>
        </is>
      </c>
      <c r="L333" s="7" t="inlineStr">
        <is>
          <t>HRAC Grupo A (1) — Inibidores da ACCase</t>
        </is>
      </c>
      <c r="M333" s="7" t="inlineStr">
        <is>
          <t>Inibição da enzima acetil-CoA carboxilase (ACCase)</t>
        </is>
      </c>
      <c r="N333" s="7" t="inlineStr">
        <is>
          <t>Categoria 4 / 5 — Pouco Tóxico (Conforme Bula ANVISA)</t>
        </is>
      </c>
      <c r="O333" s="7" t="inlineStr">
        <is>
          <t>Azul PMS Blue 293 C</t>
        </is>
      </c>
      <c r="P333" s="7" t="inlineStr">
        <is>
          <t>Classe II / III — Perigoso ao Meio Ambiente</t>
        </is>
      </c>
      <c r="Q333" s="9" t="n">
        <v>24</v>
      </c>
      <c r="R333" s="7" t="inlineStr">
        <is>
          <t>Terrestre / Aérea (Drones consultar bula)</t>
        </is>
      </c>
      <c r="S333" s="7" t="inlineStr">
        <is>
          <t>Sem antídoto específico; tratamento sintomático e descontaminação</t>
        </is>
      </c>
      <c r="T333" s="7" t="inlineStr">
        <is>
          <t>Corteva Agriscience</t>
        </is>
      </c>
      <c r="U333" s="10">
        <f>HYPERLINK("https://agrofit.agricultura.gov.br/agrofit_cons/principal_agrofit_cons", "Consulta Oficial AGROFIT/MAPA (Nº 3518)")</f>
        <v/>
      </c>
    </row>
    <row r="334" ht="22" customHeight="1">
      <c r="A334" s="11" t="n">
        <v>329</v>
      </c>
      <c r="B334" s="12" t="inlineStr">
        <is>
          <t>ISENTO (ATO 104/2017)</t>
        </is>
      </c>
      <c r="C334" s="13" t="inlineStr">
        <is>
          <t>AGCN EASY OIL 1X20L</t>
        </is>
      </c>
      <c r="D334" s="14" t="inlineStr">
        <is>
          <t>AGCN EASY OIL</t>
        </is>
      </c>
      <c r="E334" s="13" t="inlineStr">
        <is>
          <t>Adjuvante / Espalhante Adesivo</t>
        </is>
      </c>
      <c r="F334" s="13" t="inlineStr">
        <is>
          <t>Adjuvantes</t>
        </is>
      </c>
      <c r="G334" s="13" t="inlineStr">
        <is>
          <t>Óleo Mineral Adjuvante</t>
        </is>
      </c>
      <c r="H334" s="13" t="inlineStr">
        <is>
          <t>EC</t>
        </is>
      </c>
      <c r="I334" s="13" t="inlineStr">
        <is>
          <t>Concentrado Emulsionável (EC)</t>
        </is>
      </c>
      <c r="J334" s="13" t="inlineStr">
        <is>
          <t>Aditivo físico-químico para calda de pulverização</t>
        </is>
      </c>
      <c r="K334" s="13" t="inlineStr">
        <is>
          <t>Éster Metílico / Hidrocarboneto Parafínico / Tensoativo Siliconado</t>
        </is>
      </c>
      <c r="L334" s="13" t="inlineStr">
        <is>
          <t>Adjuvante Tecnológico de Pulverização</t>
        </is>
      </c>
      <c r="M334" s="13" t="inlineStr">
        <is>
          <t>Redução da tensão superficial, espalhamento, anti-deriva e penetração cuticular</t>
        </is>
      </c>
      <c r="N334" s="13" t="inlineStr">
        <is>
          <t>Isento / Ato SDA nº 104/2017 (ou Categoria 5 quando registrado)</t>
        </is>
      </c>
      <c r="O334" s="13" t="inlineStr">
        <is>
          <t>Azul / Isento</t>
        </is>
      </c>
      <c r="P334" s="13" t="inlineStr">
        <is>
          <t>Classe IV — Pouco Perigoso ao Meio Ambiente</t>
        </is>
      </c>
      <c r="Q334" s="15" t="n">
        <v>24</v>
      </c>
      <c r="R334" s="13" t="inlineStr">
        <is>
          <t>Terrestre / Aérea (Drones consultar bula)</t>
        </is>
      </c>
      <c r="S334" s="13" t="inlineStr">
        <is>
          <t>Tratamento sintomático; evitar indução de vômito em derivados de petróleo</t>
        </is>
      </c>
      <c r="T334" s="13" t="inlineStr">
        <is>
          <t>Dispensado de Registro (Ato SDA nº 104/2017)</t>
        </is>
      </c>
      <c r="U334" s="16">
        <f>HYPERLINK("https://www.gov.br/agricultura/pt-br/assuntos/insumos-agropecuarios/insumos-agricolas/agrotoxicos/legislacao", "Ato SDA/MAPA nº 104/2017 — Adjuvantes Agrícolas")</f>
        <v/>
      </c>
    </row>
    <row r="335" ht="22" customHeight="1">
      <c r="A335" s="5" t="n">
        <v>330</v>
      </c>
      <c r="B335" s="6" t="inlineStr">
        <is>
          <t>ISENTO (ATO 104/2017)</t>
        </is>
      </c>
      <c r="C335" s="7" t="inlineStr">
        <is>
          <t>AGRICOIL PREMIUM PURO 200L (AMOSTRA)</t>
        </is>
      </c>
      <c r="D335" s="8" t="inlineStr">
        <is>
          <t>AGRICOIL PREMIUM PURO</t>
        </is>
      </c>
      <c r="E335" s="7" t="inlineStr">
        <is>
          <t>Adjuvante / Espalhante Adesivo</t>
        </is>
      </c>
      <c r="F335" s="7" t="inlineStr">
        <is>
          <t>Adjuvantes</t>
        </is>
      </c>
      <c r="G335" s="7" t="inlineStr">
        <is>
          <t>Óleo Mineral Adjuvante</t>
        </is>
      </c>
      <c r="H335" s="7" t="inlineStr">
        <is>
          <t>EC</t>
        </is>
      </c>
      <c r="I335" s="7" t="inlineStr">
        <is>
          <t>Concentrado Emulsionável (EC)</t>
        </is>
      </c>
      <c r="J335" s="7" t="inlineStr">
        <is>
          <t>Aditivo físico-químico para calda de pulverização</t>
        </is>
      </c>
      <c r="K335" s="7" t="inlineStr">
        <is>
          <t>Éster Metílico / Hidrocarboneto Parafínico / Tensoativo Siliconado</t>
        </is>
      </c>
      <c r="L335" s="7" t="inlineStr">
        <is>
          <t>Adjuvante Tecnológico de Pulverização</t>
        </is>
      </c>
      <c r="M335" s="7" t="inlineStr">
        <is>
          <t>Redução da tensão superficial, espalhamento, anti-deriva e penetração cuticular</t>
        </is>
      </c>
      <c r="N335" s="7" t="inlineStr">
        <is>
          <t>Isento / Ato SDA nº 104/2017 (ou Categoria 5 quando registrado)</t>
        </is>
      </c>
      <c r="O335" s="7" t="inlineStr">
        <is>
          <t>Azul / Isento</t>
        </is>
      </c>
      <c r="P335" s="7" t="inlineStr">
        <is>
          <t>Classe IV — Pouco Perigoso ao Meio Ambiente</t>
        </is>
      </c>
      <c r="Q335" s="9" t="n">
        <v>24</v>
      </c>
      <c r="R335" s="7" t="inlineStr">
        <is>
          <t>Terrestre / Aérea (Drones consultar bula)</t>
        </is>
      </c>
      <c r="S335" s="7" t="inlineStr">
        <is>
          <t>Tratamento sintomático; evitar indução de vômito em derivados de petróleo</t>
        </is>
      </c>
      <c r="T335" s="7" t="inlineStr">
        <is>
          <t>Dispensado de Registro (Ato SDA nº 104/2017)</t>
        </is>
      </c>
      <c r="U335" s="10">
        <f>HYPERLINK("https://www.gov.br/agricultura/pt-br/assuntos/insumos-agropecuarios/insumos-agricolas/agrotoxicos/legislacao", "Ato SDA/MAPA nº 104/2017 — Adjuvantes Agrícolas")</f>
        <v/>
      </c>
    </row>
    <row r="336" ht="22" customHeight="1">
      <c r="A336" s="11" t="n">
        <v>331</v>
      </c>
      <c r="B336" s="12" t="inlineStr">
        <is>
          <t>Nº 9621</t>
        </is>
      </c>
      <c r="C336" s="13" t="inlineStr">
        <is>
          <t>GLIFOSATO 540 (PRINCIPIO ATIVO)</t>
        </is>
      </c>
      <c r="D336" s="14" t="inlineStr">
        <is>
          <t>GLIFOSATO 540 (PRINCIPIO ATIVO)</t>
        </is>
      </c>
      <c r="E336" s="13" t="inlineStr">
        <is>
          <t>Produto Técnico Industrial</t>
        </is>
      </c>
      <c r="F336" s="13" t="inlineStr">
        <is>
          <t>Defensivos</t>
        </is>
      </c>
      <c r="G336" s="13" t="inlineStr">
        <is>
          <t>Herbicida (Princípio Ativo / Técnico)</t>
        </is>
      </c>
      <c r="H336" s="13" t="inlineStr">
        <is>
          <t>TC</t>
        </is>
      </c>
      <c r="I336" s="13" t="inlineStr">
        <is>
          <t>Produto Técnico Industrial (TC)</t>
        </is>
      </c>
      <c r="J336" s="13" t="inlineStr">
        <is>
          <t>Herbicida sistêmico de pós-emergência (seletivo condicional p/ OGM)</t>
        </is>
      </c>
      <c r="K336" s="13" t="inlineStr">
        <is>
          <t>Glicina substituída</t>
        </is>
      </c>
      <c r="L336" s="13" t="inlineStr">
        <is>
          <t>HRAC Grupo G (9) — Inibidores da EPSPs</t>
        </is>
      </c>
      <c r="M336" s="13" t="inlineStr">
        <is>
          <t>Inibidores da enzima EPSPs (Enoil Piruvil Shiquimato Fosfato Sintase)</t>
        </is>
      </c>
      <c r="N336" s="13" t="inlineStr">
        <is>
          <t>Categoria 5 — Produto Improvável de Causar Dano Agudo</t>
        </is>
      </c>
      <c r="O336" s="13" t="inlineStr">
        <is>
          <t>Azul Intenso</t>
        </is>
      </c>
      <c r="P336" s="13" t="inlineStr">
        <is>
          <t>Classe III / IV — Perigoso a Pouco Perigoso ao Meio Ambiente</t>
        </is>
      </c>
      <c r="Q336" s="15" t="n">
        <v>24</v>
      </c>
      <c r="R336" s="13" t="inlineStr">
        <is>
          <t>Terrestre / Aérea (Drones consultar bula)</t>
        </is>
      </c>
      <c r="S336" s="13" t="inlineStr">
        <is>
          <t>Sem antídoto específico (Atropina ineficaz); tratamento sintomático</t>
        </is>
      </c>
      <c r="T336" s="13" t="inlineStr">
        <is>
          <t>ALBAUGH AGRO BRASIL LTDA.</t>
        </is>
      </c>
      <c r="U336" s="16">
        <f>HYPERLINK("https://www.adapar.pr.gov.br/Pagina/Agrotoxicos-Herbicidas", "Registro Oficial Preciso XK SL (MAPA 9621)")</f>
        <v/>
      </c>
    </row>
    <row r="337" ht="22" customHeight="1">
      <c r="A337" s="5" t="n">
        <v>332</v>
      </c>
      <c r="B337" s="6" t="inlineStr">
        <is>
          <t>Nº 12319</t>
        </is>
      </c>
      <c r="C337" s="7" t="inlineStr">
        <is>
          <t>MANCOZEB 800 SINO-AGRI 1X25KG</t>
        </is>
      </c>
      <c r="D337" s="8" t="inlineStr">
        <is>
          <t>MANCOZEB 800 SINO-AGRI</t>
        </is>
      </c>
      <c r="E337" s="7" t="inlineStr">
        <is>
          <t>Produto Formulado Comercial</t>
        </is>
      </c>
      <c r="F337" s="7" t="inlineStr">
        <is>
          <t>Defensivos</t>
        </is>
      </c>
      <c r="G337" s="7" t="inlineStr">
        <is>
          <t>Fungicida</t>
        </is>
      </c>
      <c r="H337" s="7" t="inlineStr">
        <is>
          <t>WP</t>
        </is>
      </c>
      <c r="I337" s="7" t="inlineStr">
        <is>
          <t>Pó Molhável (WP)</t>
        </is>
      </c>
      <c r="J337" s="7" t="inlineStr">
        <is>
          <t>Fungicida e acaricida protetor de contato multissítio</t>
        </is>
      </c>
      <c r="K337" s="7" t="inlineStr">
        <is>
          <t>Alquilenobis(ditiocarbamato)</t>
        </is>
      </c>
      <c r="L337" s="7" t="inlineStr">
        <is>
          <t>FRAC Grupo M03 — Multissítio</t>
        </is>
      </c>
      <c r="M337" s="7" t="inlineStr">
        <is>
          <t>Inibidor multissítio de enzimas contendo grupos sulfidrila e aminoácidos fúngicos</t>
        </is>
      </c>
      <c r="N337" s="7" t="inlineStr">
        <is>
          <t>Categoria 4 / 5 — Pouco Tóxico a Improvável Dano Agudo</t>
        </is>
      </c>
      <c r="O337" s="7" t="inlineStr">
        <is>
          <t>Azul Intenso</t>
        </is>
      </c>
      <c r="P337" s="7" t="inlineStr">
        <is>
          <t>Classe II — Produto Muito Perigoso ao Meio Ambiente</t>
        </is>
      </c>
      <c r="Q337" s="9" t="n">
        <v>24</v>
      </c>
      <c r="R337" s="7" t="inlineStr">
        <is>
          <t>Terrestre / Aérea (Drones consultar bula)</t>
        </is>
      </c>
      <c r="S337" s="7" t="inlineStr">
        <is>
          <t>Sem antídoto específico; evitar consumo de álcool (efeito antabuse por ETU)</t>
        </is>
      </c>
      <c r="T337" s="7" t="inlineStr">
        <is>
          <t>SINO-AGRI LEADING BIOSCIENCES DO BRASIL / INOVATIS LTDA.</t>
        </is>
      </c>
      <c r="U337" s="10">
        <f>HYPERLINK("https://agrofit.agricultura.gov.br/agrofit_cons/principal_agrofit_cons", "Consulta Oficial AGROFIT/MAPA (Nº 12319)")</f>
        <v/>
      </c>
    </row>
    <row r="338" ht="22" customHeight="1">
      <c r="A338" s="11" t="n">
        <v>333</v>
      </c>
      <c r="B338" s="12" t="inlineStr">
        <is>
          <t>SIPEAGRO (UF-XXXXX)</t>
        </is>
      </c>
      <c r="C338" s="13" t="inlineStr">
        <is>
          <t>SULFATO DE AMONIO 21N AMONIACAL 24S GRANULADO</t>
        </is>
      </c>
      <c r="D338" s="14" t="inlineStr">
        <is>
          <t>SULFATO DE AMONIO 21N AMONIACAL 24S GRANULADO</t>
        </is>
      </c>
      <c r="E338" s="13" t="inlineStr">
        <is>
          <t>Fertilizante Mineral / Organomineral</t>
        </is>
      </c>
      <c r="F338" s="13" t="inlineStr">
        <is>
          <t>Fertilizantes</t>
        </is>
      </c>
      <c r="G338" s="13" t="inlineStr">
        <is>
          <t>Fertilizante Mineral Simples (Nitrogenado)</t>
        </is>
      </c>
      <c r="H338" s="13" t="inlineStr">
        <is>
          <t>Granulado</t>
        </is>
      </c>
      <c r="I338" s="13" t="inlineStr">
        <is>
          <t>Formulação Padrão (Granulado / Solúvel / Suspensão)</t>
        </is>
      </c>
      <c r="J338" s="13" t="inlineStr">
        <is>
          <t>Aplicação via solo, fertirrigação ou adubação foliar</t>
        </is>
      </c>
      <c r="K338" s="13" t="inlineStr">
        <is>
          <t>Fertilizante Mineral / Organomineral (Lei nº 6.894/1980)</t>
        </is>
      </c>
      <c r="L338" s="13" t="inlineStr">
        <is>
          <t>Nutrição Vegetal SIPEAGRO</t>
        </is>
      </c>
      <c r="M338" s="13" t="inlineStr">
        <is>
          <t>Fornecimento de macro e micronutrientes essenciais ao metabolismo vegetal</t>
        </is>
      </c>
      <c r="N338" s="13" t="inlineStr">
        <is>
          <t>Isento ANVISA (Produto Fertilizante Registrado no SIPEAGRO/MAPA)</t>
        </is>
      </c>
      <c r="O338" s="13" t="inlineStr">
        <is>
          <t>Não Aplicável (Fertilizante)</t>
        </is>
      </c>
      <c r="P338" s="13" t="inlineStr">
        <is>
          <t>Baixo Potencial Poluidor (Uso conforme recomendação agronômica)</t>
        </is>
      </c>
      <c r="Q338" s="15" t="n">
        <v>0</v>
      </c>
      <c r="R338" s="13" t="inlineStr">
        <is>
          <t>Aplicação Dirigida / TS / Solo</t>
        </is>
      </c>
      <c r="S338" s="13" t="inlineStr">
        <is>
          <t>Tratamento sintomático em caso de ingestão acidental</t>
        </is>
      </c>
      <c r="T338" s="13" t="inlineStr">
        <is>
          <t>Estabelecimento Produtor SIPEAGRO/MAPA</t>
        </is>
      </c>
      <c r="U338" s="16">
        <f>HYPERLINK("https://www.gov.br/agricultura/pt-br/assuntos/insumos-agropecuarios/insumos-agricolas/fertilizantes", "Portal SIPEAGRO / MAPA — Fertilizantes e Bioinsumos")</f>
        <v/>
      </c>
    </row>
    <row r="339" ht="22" customHeight="1">
      <c r="A339" s="5" t="n">
        <v>334</v>
      </c>
      <c r="B339" s="6" t="inlineStr">
        <is>
          <t>Nº 34118</t>
        </is>
      </c>
      <c r="C339" s="7" t="inlineStr">
        <is>
          <t>TEMPLO 1X20L</t>
        </is>
      </c>
      <c r="D339" s="8" t="inlineStr">
        <is>
          <t>TEMPLO</t>
        </is>
      </c>
      <c r="E339" s="7" t="inlineStr">
        <is>
          <t>Produto Formulado Comercial</t>
        </is>
      </c>
      <c r="F339" s="7" t="inlineStr">
        <is>
          <t>Defensivos</t>
        </is>
      </c>
      <c r="G339" s="7" t="inlineStr">
        <is>
          <t>Herbicida</t>
        </is>
      </c>
      <c r="H339" s="7" t="inlineStr">
        <is>
          <t>SL</t>
        </is>
      </c>
      <c r="I339" s="7" t="inlineStr">
        <is>
          <t>Concentrado Solúvel (SL)</t>
        </is>
      </c>
      <c r="J339" s="7" t="inlineStr">
        <is>
          <t>Herbicida sistêmico de pós-emergência (seletivo condicional p/ OGM)</t>
        </is>
      </c>
      <c r="K339" s="7" t="inlineStr">
        <is>
          <t>Glicina substituída</t>
        </is>
      </c>
      <c r="L339" s="7" t="inlineStr">
        <is>
          <t>HRAC Grupo G (9) — Inibidores da EPSPs</t>
        </is>
      </c>
      <c r="M339" s="7" t="inlineStr">
        <is>
          <t>Inibidores da enzima EPSPs (Enoil Piruvil Shiquimato Fosfato Sintase)</t>
        </is>
      </c>
      <c r="N339" s="7" t="inlineStr">
        <is>
          <t>Categoria 5 — Produto Improvável de Causar Dano Agudo</t>
        </is>
      </c>
      <c r="O339" s="7" t="inlineStr">
        <is>
          <t>Azul Intenso</t>
        </is>
      </c>
      <c r="P339" s="7" t="inlineStr">
        <is>
          <t>Classe III / IV — Perigoso a Pouco Perigoso ao Meio Ambiente</t>
        </is>
      </c>
      <c r="Q339" s="9" t="n">
        <v>24</v>
      </c>
      <c r="R339" s="7" t="inlineStr">
        <is>
          <t>Terrestre / Aérea (Drones consultar bula)</t>
        </is>
      </c>
      <c r="S339" s="7" t="inlineStr">
        <is>
          <t>Sem antídoto específico (Atropina ineficaz); tratamento sintomático</t>
        </is>
      </c>
      <c r="T339" s="7" t="inlineStr">
        <is>
          <t>SYNGENTA PROTEÇÃO DE CULTIVOS LTDA.</t>
        </is>
      </c>
      <c r="U339" s="10">
        <f>HYPERLINK("https://www.adapar.pr.gov.br/Pagina/Agrotoxicos-Herbicidas", "Registro Oficial Templo SL (MAPA 34118)")</f>
        <v/>
      </c>
    </row>
    <row r="340" ht="22" customHeight="1">
      <c r="A340" s="11" t="n">
        <v>335</v>
      </c>
      <c r="B340" s="12" t="inlineStr">
        <is>
          <t>Nº 13614</t>
        </is>
      </c>
      <c r="C340" s="13" t="inlineStr">
        <is>
          <t>SOLDIER 1X20KG</t>
        </is>
      </c>
      <c r="D340" s="14" t="inlineStr">
        <is>
          <t>SOLDIER</t>
        </is>
      </c>
      <c r="E340" s="13" t="inlineStr">
        <is>
          <t>Produto Formulado Comercial</t>
        </is>
      </c>
      <c r="F340" s="13" t="inlineStr">
        <is>
          <t>Defensivos</t>
        </is>
      </c>
      <c r="G340" s="13" t="inlineStr">
        <is>
          <t>Herbicida</t>
        </is>
      </c>
      <c r="H340" s="13" t="inlineStr">
        <is>
          <t>WG</t>
        </is>
      </c>
      <c r="I340" s="13" t="inlineStr">
        <is>
          <t>Grânulos Dispersíveis em Água (WG)</t>
        </is>
      </c>
      <c r="J340" s="13" t="inlineStr">
        <is>
          <t>Herbicida sistêmico de pós-emergência (seletivo condicional p/ OGM)</t>
        </is>
      </c>
      <c r="K340" s="13" t="inlineStr">
        <is>
          <t>Glicina substituída</t>
        </is>
      </c>
      <c r="L340" s="13" t="inlineStr">
        <is>
          <t>HRAC Grupo G (EPSPs)</t>
        </is>
      </c>
      <c r="M340" s="13" t="inlineStr">
        <is>
          <t>Inibidores da enzima EPSPs (Enoil Piruvil Shiquimato Fosfato Sintase)</t>
        </is>
      </c>
      <c r="N340" s="13" t="inlineStr">
        <is>
          <t>Categoria 5 — Produto Improvável de Causar Dano Agudo</t>
        </is>
      </c>
      <c r="O340" s="13" t="inlineStr">
        <is>
          <t>Azul Intenso</t>
        </is>
      </c>
      <c r="P340" s="13" t="inlineStr">
        <is>
          <t>Classe III / IV — Perigoso a Pouco Perigoso ao Meio Ambiente</t>
        </is>
      </c>
      <c r="Q340" s="15" t="n">
        <v>24</v>
      </c>
      <c r="R340" s="13" t="inlineStr">
        <is>
          <t>Terrestre / Aérea (Drones consultar bula)</t>
        </is>
      </c>
      <c r="S340" s="13" t="inlineStr">
        <is>
          <t>Sem antídoto específico (Atropina ineficaz); tratamento sintomático</t>
        </is>
      </c>
      <c r="T340" s="13" t="inlineStr">
        <is>
          <t>UPL DO BRASIL INDÚSTRIA E COMÉRCIO DE INSUMOS AGROPECUÁRIOS S.A.</t>
        </is>
      </c>
      <c r="U340" s="16">
        <f>HYPERLINK("https://www.adapar.pr.gov.br/Pagina/Agrotoxicos-Herbicidas", "Registro Oficial Soldier 720 WG (MAPA 13614)")</f>
        <v/>
      </c>
    </row>
    <row r="341" ht="22" customHeight="1">
      <c r="A341" s="5" t="n">
        <v>336</v>
      </c>
      <c r="B341" s="6" t="inlineStr">
        <is>
          <t>Nº 26222</t>
        </is>
      </c>
      <c r="C341" s="7" t="inlineStr">
        <is>
          <t>DIQUAT VANON 200 SL 1X20L</t>
        </is>
      </c>
      <c r="D341" s="8" t="inlineStr">
        <is>
          <t>DIQUAT VANON 200 SL</t>
        </is>
      </c>
      <c r="E341" s="7" t="inlineStr">
        <is>
          <t>Produto Formulado Comercial</t>
        </is>
      </c>
      <c r="F341" s="7" t="inlineStr">
        <is>
          <t>Defensivos</t>
        </is>
      </c>
      <c r="G341" s="7" t="inlineStr">
        <is>
          <t>Herbicida Dessecante</t>
        </is>
      </c>
      <c r="H341" s="7" t="inlineStr">
        <is>
          <t>SL</t>
        </is>
      </c>
      <c r="I341" s="7" t="inlineStr">
        <is>
          <t>Concentrado Solúvel (SL)</t>
        </is>
      </c>
      <c r="J341" s="7" t="inlineStr">
        <is>
          <t>Herbicida dessecante não seletivo de contato e ação rápida</t>
        </is>
      </c>
      <c r="K341" s="7" t="inlineStr">
        <is>
          <t>Bipiridílio</t>
        </is>
      </c>
      <c r="L341" s="7" t="inlineStr">
        <is>
          <t>HRAC Grupo D (22) — Desviadores de Elétrons do Fotossistema I</t>
        </is>
      </c>
      <c r="M341" s="7" t="inlineStr">
        <is>
          <t>Inibidores do Fotossistema I (geração de radicais livres peróxidos)</t>
        </is>
      </c>
      <c r="N341" s="7" t="inlineStr">
        <is>
          <t>Categoria 3 — Produto Moderadamente Tóxico</t>
        </is>
      </c>
      <c r="O341" s="7" t="inlineStr">
        <is>
          <t>Amarelo PMS Yellow C</t>
        </is>
      </c>
      <c r="P341" s="7" t="inlineStr">
        <is>
          <t>Classe II — Produto Muito Perigoso ao Meio Ambiente</t>
        </is>
      </c>
      <c r="Q341" s="9" t="n">
        <v>24</v>
      </c>
      <c r="R341" s="7" t="inlineStr">
        <is>
          <t>Terrestre / Aérea (Drones consultar bula)</t>
        </is>
      </c>
      <c r="S341" s="7" t="inlineStr">
        <is>
          <t>Sem antídoto específico; terra de Fuller / bentonita / carvão ativado na descontaminação gástrica</t>
        </is>
      </c>
      <c r="T341" s="7" t="inlineStr">
        <is>
          <t>VANON / CHDS DO BRASIL COMÉRCIO DE INSUMOS AGRÍCOLAS LTDA.</t>
        </is>
      </c>
      <c r="U341" s="10">
        <f>HYPERLINK("https://www.adapar.pr.gov.br/Pagina/Agrotoxicos-Herbicidas", "Registro Oficial Diquat Vanon 200 SL (MAPA 26222)")</f>
        <v/>
      </c>
    </row>
    <row r="342" ht="22" customHeight="1">
      <c r="A342" s="11" t="n">
        <v>337</v>
      </c>
      <c r="B342" s="12" t="inlineStr">
        <is>
          <t>Nº 0921</t>
        </is>
      </c>
      <c r="C342" s="13" t="inlineStr">
        <is>
          <t>ELIMINATE 1X20L</t>
        </is>
      </c>
      <c r="D342" s="14" t="inlineStr">
        <is>
          <t>ELIMINATE</t>
        </is>
      </c>
      <c r="E342" s="13" t="inlineStr">
        <is>
          <t>Produto Formulado Comercial</t>
        </is>
      </c>
      <c r="F342" s="13" t="inlineStr">
        <is>
          <t>Defensivos</t>
        </is>
      </c>
      <c r="G342" s="13" t="inlineStr">
        <is>
          <t>Herbicida</t>
        </is>
      </c>
      <c r="H342" s="13" t="inlineStr">
        <is>
          <t>SL</t>
        </is>
      </c>
      <c r="I342" s="13" t="inlineStr">
        <is>
          <t>Concentrado Solúvel (SL)</t>
        </is>
      </c>
      <c r="J342" s="13" t="inlineStr">
        <is>
          <t>Herbicida de contato não seletivo em pós-emergência (seletivo p/ OGM LibertyLink)</t>
        </is>
      </c>
      <c r="K342" s="13" t="inlineStr">
        <is>
          <t>Homoalanina substituída (Ácido fosfínico)</t>
        </is>
      </c>
      <c r="L342" s="13" t="inlineStr">
        <is>
          <t>HRAC Grupo H (10) — Inibidores da Glutamina Sintetase</t>
        </is>
      </c>
      <c r="M342" s="13" t="inlineStr">
        <is>
          <t>Inibição da enzima glutamina sintetase (acúmulo de amônia intracelular)</t>
        </is>
      </c>
      <c r="N342" s="13" t="inlineStr">
        <is>
          <t>Categoria 4 — Produto Pouco Tóxico</t>
        </is>
      </c>
      <c r="O342" s="13" t="inlineStr">
        <is>
          <t>Azul PMS Blue 293 C</t>
        </is>
      </c>
      <c r="P342" s="13" t="inlineStr">
        <is>
          <t>Classe III — Produto Perigoso ao Meio Ambiente</t>
        </is>
      </c>
      <c r="Q342" s="15" t="n">
        <v>24</v>
      </c>
      <c r="R342" s="13" t="inlineStr">
        <is>
          <t>Terrestre / Aérea (Drones consultar bula)</t>
        </is>
      </c>
      <c r="S342" s="13" t="inlineStr">
        <is>
          <t>Sem antídoto específico; monitorar SNC por 48h e suporte ventilatório</t>
        </is>
      </c>
      <c r="T342" s="13" t="inlineStr">
        <is>
          <t>CCAB / Rainbow</t>
        </is>
      </c>
      <c r="U342" s="16">
        <f>HYPERLINK("https://agrofit.agricultura.gov.br/agrofit_cons/principal_agrofit_cons", "Consulta Oficial AGROFIT/MAPA (Nº 0921)")</f>
        <v/>
      </c>
    </row>
    <row r="343" ht="22" customHeight="1">
      <c r="A343" s="5" t="n">
        <v>338</v>
      </c>
      <c r="B343" s="6" t="inlineStr">
        <is>
          <t>Nº 6217</t>
        </is>
      </c>
      <c r="C343" s="7" t="inlineStr">
        <is>
          <t>COMBOIO 800 WG 4X4KG (IMP)</t>
        </is>
      </c>
      <c r="D343" s="8" t="inlineStr">
        <is>
          <t>COMBOIO 800 WG</t>
        </is>
      </c>
      <c r="E343" s="7" t="inlineStr">
        <is>
          <t>Produto Formulado Comercial</t>
        </is>
      </c>
      <c r="F343" s="7" t="inlineStr">
        <is>
          <t>Defensivos</t>
        </is>
      </c>
      <c r="G343" s="7" t="inlineStr">
        <is>
          <t>Inseticida e Cupinicida (Fipronil)</t>
        </is>
      </c>
      <c r="H343" s="7" t="inlineStr">
        <is>
          <t>WG</t>
        </is>
      </c>
      <c r="I343" s="7" t="inlineStr">
        <is>
          <t>Grânulos Dispersíveis em Água (WG)</t>
        </is>
      </c>
      <c r="J343" s="7" t="inlineStr">
        <is>
          <t>Inseticida, cupinicida e formicida de contato e ingestão (TS / Solo)</t>
        </is>
      </c>
      <c r="K343" s="7" t="inlineStr">
        <is>
          <t>Pirazol (Fenilpirazol)</t>
        </is>
      </c>
      <c r="L343" s="7" t="inlineStr">
        <is>
          <t>IRAC Grupo 2B</t>
        </is>
      </c>
      <c r="M343" s="7" t="inlineStr">
        <is>
          <t>Bloqueadores de canais de cloro mediados pelo GABA</t>
        </is>
      </c>
      <c r="N343" s="7" t="inlineStr">
        <is>
          <t>Categoria 3 — Produto Moderadamente Tóxico</t>
        </is>
      </c>
      <c r="O343" s="7" t="inlineStr">
        <is>
          <t>Amarelo PMS Yellow C</t>
        </is>
      </c>
      <c r="P343" s="7" t="inlineStr">
        <is>
          <t>Classe II — Produto Muito Perigoso ao Meio Ambiente</t>
        </is>
      </c>
      <c r="Q343" s="9" t="n">
        <v>24</v>
      </c>
      <c r="R343" s="7" t="inlineStr">
        <is>
          <t>Terrestre / Aérea (Drones consultar bula)</t>
        </is>
      </c>
      <c r="S343" s="7" t="inlineStr">
        <is>
          <t>Sem antídoto específico; tratamento sintomático e controle neurológico</t>
        </is>
      </c>
      <c r="T343" s="7" t="inlineStr">
        <is>
          <t>Alamos / Perterra</t>
        </is>
      </c>
      <c r="U343" s="10">
        <f>HYPERLINK("https://agrofit.agricultura.gov.br/agrofit_cons/principal_agrofit_cons", "Consulta Oficial AGROFIT/MAPA (Nº 6217)")</f>
        <v/>
      </c>
    </row>
    <row r="344" ht="22" customHeight="1">
      <c r="A344" s="11" t="n">
        <v>339</v>
      </c>
      <c r="B344" s="12" t="inlineStr">
        <is>
          <t>Nº 28421</t>
        </is>
      </c>
      <c r="C344" s="13" t="inlineStr">
        <is>
          <t>CLORFENAPIR 240 (PRINCIPIO ATIVO)</t>
        </is>
      </c>
      <c r="D344" s="14" t="inlineStr">
        <is>
          <t>CLORFENAPIR 240 (PRINCIPIO ATIVO)</t>
        </is>
      </c>
      <c r="E344" s="13" t="inlineStr">
        <is>
          <t>Produto Técnico Industrial</t>
        </is>
      </c>
      <c r="F344" s="13" t="inlineStr">
        <is>
          <t>Defensivos</t>
        </is>
      </c>
      <c r="G344" s="13" t="inlineStr">
        <is>
          <t>Inseticida e Acaricida (Princípio Ativo / Técnico)</t>
        </is>
      </c>
      <c r="H344" s="13" t="inlineStr">
        <is>
          <t>TC</t>
        </is>
      </c>
      <c r="I344" s="13" t="inlineStr">
        <is>
          <t>Produto Técnico Industrial (TC)</t>
        </is>
      </c>
      <c r="J344" s="13" t="inlineStr">
        <is>
          <t>Inseticida e acaricida de contato e ingestão com ação translaminar</t>
        </is>
      </c>
      <c r="K344" s="13" t="inlineStr">
        <is>
          <t>Análogo de pirazol (Arilpirrol)</t>
        </is>
      </c>
      <c r="L344" s="13" t="inlineStr">
        <is>
          <t>IRAC Grupo 13</t>
        </is>
      </c>
      <c r="M344" s="13" t="inlineStr">
        <is>
          <t>Desacopladores da fosforilação oxidativa via disrupção do gradiente de prótons</t>
        </is>
      </c>
      <c r="N344" s="13" t="inlineStr">
        <is>
          <t>Categoria 3 / 4 — Moderadamente a Pouco Tóxico</t>
        </is>
      </c>
      <c r="O344" s="13" t="inlineStr">
        <is>
          <t>Amarelo / Azul</t>
        </is>
      </c>
      <c r="P344" s="13" t="inlineStr">
        <is>
          <t>Classe II — Produto Muito Perigoso ao Meio Ambiente</t>
        </is>
      </c>
      <c r="Q344" s="15" t="n">
        <v>24</v>
      </c>
      <c r="R344" s="13" t="inlineStr">
        <is>
          <t>Terrestre / Aérea (Drones consultar bula)</t>
        </is>
      </c>
      <c r="S344" s="13" t="inlineStr">
        <is>
          <t>Sem antídoto específico; controle rigoroso de hipertermia (antitérmicos comuns ineficazes)</t>
        </is>
      </c>
      <c r="T344" s="13" t="inlineStr">
        <is>
          <t>CCAB AGRO S.A.</t>
        </is>
      </c>
      <c r="U344" s="16">
        <f>HYPERLINK("https://www.adapar.pr.gov.br/system/files/publico/Agrotoxicos/lista.pdf", "Registro Oficial Clorfenapir CCAB 240 SC (MAPA 28421)")</f>
        <v/>
      </c>
    </row>
    <row r="345" ht="22" customHeight="1">
      <c r="A345" s="5" t="n">
        <v>340</v>
      </c>
      <c r="B345" s="6" t="inlineStr">
        <is>
          <t>Nº 5321</t>
        </is>
      </c>
      <c r="C345" s="7" t="inlineStr">
        <is>
          <t>ELUNEY 4X5L (IMP)</t>
        </is>
      </c>
      <c r="D345" s="8" t="inlineStr">
        <is>
          <t>ELUNEY</t>
        </is>
      </c>
      <c r="E345" s="7" t="inlineStr">
        <is>
          <t>Produto Formulado Comercial</t>
        </is>
      </c>
      <c r="F345" s="7" t="inlineStr">
        <is>
          <t>Defensivos</t>
        </is>
      </c>
      <c r="G345" s="7" t="inlineStr">
        <is>
          <t>Fungicida</t>
        </is>
      </c>
      <c r="H345" s="7" t="inlineStr">
        <is>
          <t>SC</t>
        </is>
      </c>
      <c r="I345" s="7" t="inlineStr">
        <is>
          <t>Suspensão Concentrada (SC)</t>
        </is>
      </c>
      <c r="J345" s="7" t="inlineStr">
        <is>
          <t>Fungicida e acaricida de contato preventivo c/ baixa mobilidade</t>
        </is>
      </c>
      <c r="K345" s="7" t="inlineStr">
        <is>
          <t>Fenilpiridinamina (2,6-dinitroanilina)</t>
        </is>
      </c>
      <c r="L345" s="7" t="inlineStr">
        <is>
          <t>FRAC Grupo 29</t>
        </is>
      </c>
      <c r="M345" s="7" t="inlineStr">
        <is>
          <t>Desacopladores da fosforilação oxidativa mitocondrial</t>
        </is>
      </c>
      <c r="N345" s="7" t="inlineStr">
        <is>
          <t>Categoria 4 — Produto Pouco Tóxico</t>
        </is>
      </c>
      <c r="O345" s="7" t="inlineStr">
        <is>
          <t>Azul PMS Blue 293 C</t>
        </is>
      </c>
      <c r="P345" s="7" t="inlineStr">
        <is>
          <t>Classe II — Produto Muito Perigoso ao Meio Ambiente</t>
        </is>
      </c>
      <c r="Q345" s="9" t="n">
        <v>24</v>
      </c>
      <c r="R345" s="7" t="inlineStr">
        <is>
          <t>Terrestre / Aérea (Drones consultar bula)</t>
        </is>
      </c>
      <c r="S345" s="7" t="inlineStr">
        <is>
          <t>Sem antídoto específico; tratamento sintomático</t>
        </is>
      </c>
      <c r="T345" s="7" t="inlineStr">
        <is>
          <t>Syngenta / Adama</t>
        </is>
      </c>
      <c r="U345" s="10">
        <f>HYPERLINK("https://agrofit.agricultura.gov.br/agrofit_cons/principal_agrofit_cons", "Consulta Oficial AGROFIT/MAPA (Nº 5321)")</f>
        <v/>
      </c>
    </row>
    <row r="346" ht="22" customHeight="1">
      <c r="A346" s="11" t="n">
        <v>341</v>
      </c>
      <c r="B346" s="12" t="inlineStr">
        <is>
          <t>Nº 44024</t>
        </is>
      </c>
      <c r="C346" s="13" t="inlineStr">
        <is>
          <t>BIOLOGIC BRAVIA 4X5L</t>
        </is>
      </c>
      <c r="D346" s="14" t="inlineStr">
        <is>
          <t>BIOLOGIC BRAVIA</t>
        </is>
      </c>
      <c r="E346" s="13" t="inlineStr">
        <is>
          <t>Produto Formulado Comercial</t>
        </is>
      </c>
      <c r="F346" s="13" t="inlineStr">
        <is>
          <t>Defensivos</t>
        </is>
      </c>
      <c r="G346" s="13" t="inlineStr">
        <is>
          <t>Bioinseticida (Biológico)</t>
        </is>
      </c>
      <c r="H346" s="13" t="inlineStr">
        <is>
          <t>SC</t>
        </is>
      </c>
      <c r="I346" s="13" t="inlineStr">
        <is>
          <t>Suspensão Concentrada / Dispersão em Óleo (SC/OD)</t>
        </is>
      </c>
      <c r="J346" s="13" t="inlineStr">
        <is>
          <t>Micoinseticida e micoacaricida biológico de contato</t>
        </is>
      </c>
      <c r="K346" s="13" t="inlineStr">
        <is>
          <t>Agente Microbiológico de Controle (Fungo Entomopatogênico)</t>
        </is>
      </c>
      <c r="L346" s="13" t="inlineStr">
        <is>
          <t>IRAC Grupo UNF — Bioinseticida Microbiológico</t>
        </is>
      </c>
      <c r="M346" s="13" t="inlineStr">
        <is>
          <t>Infecção tegumentar por conídios, penetração hemocélica e produção de destruxinas</t>
        </is>
      </c>
      <c r="N346" s="13" t="inlineStr">
        <is>
          <t>Categoria 5: Produto Improvável de Causa Dano Agudo</t>
        </is>
      </c>
      <c r="O346" s="13" t="inlineStr">
        <is>
          <t>Azul</t>
        </is>
      </c>
      <c r="P346" s="13" t="inlineStr">
        <is>
          <t>Classe IV — Produto Pouco Perigoso ao Meio Ambiente</t>
        </is>
      </c>
      <c r="Q346" s="15" t="n">
        <v>24</v>
      </c>
      <c r="R346" s="13" t="inlineStr">
        <is>
          <t>Terrestre / Aérea (Drones consultar bula)</t>
        </is>
      </c>
      <c r="S346" s="13" t="inlineStr">
        <is>
          <t>Sem antídoto; tratamento sintomático em caso de hipersensibilidade/alergia</t>
        </is>
      </c>
      <c r="T346" s="13" t="inlineStr">
        <is>
          <t>Total Biotecnologia Industria e Comercio S/A</t>
        </is>
      </c>
      <c r="U346" s="16">
        <f>HYPERLINK("https://bioprotectionportal.com/pt/productdetails/bowe-19500478/?country=br", "Registro Oficial Bowe / Biokiller (Serquibio/MAPA 44024)")</f>
        <v/>
      </c>
    </row>
    <row r="347" ht="22" customHeight="1">
      <c r="A347" s="5" t="n">
        <v>342</v>
      </c>
      <c r="B347" s="6" t="inlineStr">
        <is>
          <t>VINCULAR MARCA</t>
        </is>
      </c>
      <c r="C347" s="7" t="inlineStr">
        <is>
          <t>CARFENTRAZONE 400 EC (PRINCIPIO ATIVO)</t>
        </is>
      </c>
      <c r="D347" s="8" t="inlineStr">
        <is>
          <t>CARFENTRAZONE 400 EC (PRINCIPIO ATIVO)</t>
        </is>
      </c>
      <c r="E347" s="7" t="inlineStr">
        <is>
          <t>Produto Técnico Industrial</t>
        </is>
      </c>
      <c r="F347" s="7" t="inlineStr">
        <is>
          <t>Defensivos</t>
        </is>
      </c>
      <c r="G347" s="7" t="inlineStr">
        <is>
          <t>Herbicida (Princípio Ativo / Técnico)</t>
        </is>
      </c>
      <c r="H347" s="7" t="inlineStr">
        <is>
          <t>TC</t>
        </is>
      </c>
      <c r="I347" s="7" t="inlineStr">
        <is>
          <t>Produto Técnico Industrial (TC)</t>
        </is>
      </c>
      <c r="J347" s="7" t="inlineStr">
        <is>
          <t>Herbicida de contato de pós-emergência e desfolhante</t>
        </is>
      </c>
      <c r="K347" s="7" t="inlineStr">
        <is>
          <t>Triazolinona</t>
        </is>
      </c>
      <c r="L347" s="7" t="inlineStr">
        <is>
          <t>HRAC Grupo E (14) — Inibidores da PROTOX</t>
        </is>
      </c>
      <c r="M347" s="7" t="inlineStr">
        <is>
          <t>Inibidores da enzima protoporfirinogênio oxidase (PROTOX)</t>
        </is>
      </c>
      <c r="N347" s="7" t="inlineStr">
        <is>
          <t>Categoria 4 — Produto Pouco Tóxico</t>
        </is>
      </c>
      <c r="O347" s="7" t="inlineStr">
        <is>
          <t>Azul PMS Blue 293 C</t>
        </is>
      </c>
      <c r="P347" s="7" t="inlineStr">
        <is>
          <t>Classe II — Produto Muito Perigoso ao Meio Ambiente</t>
        </is>
      </c>
      <c r="Q347" s="9" t="n">
        <v>24</v>
      </c>
      <c r="R347" s="7" t="inlineStr">
        <is>
          <t>Terrestre / Aérea (Drones consultar bula)</t>
        </is>
      </c>
      <c r="S347" s="7" t="inlineStr">
        <is>
          <t>Sem antídoto específico; tratamento sintomático</t>
        </is>
      </c>
      <c r="T347" s="7" t="inlineStr">
        <is>
          <t>FMC QUÍMICA DO BRASIL LTDA. / RAINBOW DEFENSIVOS AGRÍCOLAS LTDA.</t>
        </is>
      </c>
      <c r="U347" s="10">
        <f>HYPERLINK("https://agrofit.agricultura.gov.br/agrofit_cons/principal_agrofit_cons", "Consulta Oficial AGROFIT/MAPA (VINCULAR MARCA)")</f>
        <v/>
      </c>
    </row>
    <row r="348" ht="22" customHeight="1">
      <c r="A348" s="11" t="n">
        <v>343</v>
      </c>
      <c r="B348" s="12" t="inlineStr">
        <is>
          <t>Nº 14521</t>
        </is>
      </c>
      <c r="C348" s="13" t="inlineStr">
        <is>
          <t>SAURUS WG 12X1KG</t>
        </is>
      </c>
      <c r="D348" s="14" t="inlineStr">
        <is>
          <t>SAURUS WG</t>
        </is>
      </c>
      <c r="E348" s="13" t="inlineStr">
        <is>
          <t>Produto Formulado Comercial</t>
        </is>
      </c>
      <c r="F348" s="13" t="inlineStr">
        <is>
          <t>Defensivos</t>
        </is>
      </c>
      <c r="G348" s="13" t="inlineStr">
        <is>
          <t>Inseticida</t>
        </is>
      </c>
      <c r="H348" s="13" t="inlineStr">
        <is>
          <t>WG</t>
        </is>
      </c>
      <c r="I348" s="13" t="inlineStr">
        <is>
          <t>Grânulos Dispersíveis em Água (WG)</t>
        </is>
      </c>
      <c r="J348" s="13" t="inlineStr">
        <is>
          <t>Inseticida sistêmico de contato, ingestão e ação translaminar</t>
        </is>
      </c>
      <c r="K348" s="13" t="inlineStr">
        <is>
          <t>Neonicotinoide</t>
        </is>
      </c>
      <c r="L348" s="13" t="inlineStr">
        <is>
          <t>IRAC Grupo 4A</t>
        </is>
      </c>
      <c r="M348" s="13" t="inlineStr">
        <is>
          <t>Moduladores competitivos de receptores nicotínicos da acetilcolina (nAChR)</t>
        </is>
      </c>
      <c r="N348" s="13" t="inlineStr">
        <is>
          <t>Categoria 4 — Produto Pouco Tóxico</t>
        </is>
      </c>
      <c r="O348" s="13" t="inlineStr">
        <is>
          <t>Azul PMS Blue 293 C</t>
        </is>
      </c>
      <c r="P348" s="13" t="inlineStr">
        <is>
          <t>Classe II — Produto Muito Perigoso ao Meio Ambiente</t>
        </is>
      </c>
      <c r="Q348" s="15" t="n">
        <v>24</v>
      </c>
      <c r="R348" s="13" t="inlineStr">
        <is>
          <t>Terrestre / Aérea (Drones consultar bula)</t>
        </is>
      </c>
      <c r="S348" s="13" t="inlineStr">
        <is>
          <t>Sem antídoto específico; tratamento sintomático</t>
        </is>
      </c>
      <c r="T348" s="13" t="inlineStr">
        <is>
          <t>RAINBOW DEFENSIVOS AGRÍCOLAS LTDA.</t>
        </is>
      </c>
      <c r="U348" s="16">
        <f>HYPERLINK("https://www.adapar.pr.gov.br/system/files/publico/Agrotoxicos/lista.pdf", "Registro Oficial Saurus 725 WG (MAPA 14521)")</f>
        <v/>
      </c>
    </row>
    <row r="349" ht="22" customHeight="1">
      <c r="A349" s="5" t="n">
        <v>344</v>
      </c>
      <c r="B349" s="6" t="inlineStr">
        <is>
          <t>Nº 0122</t>
        </is>
      </c>
      <c r="C349" s="7" t="inlineStr">
        <is>
          <t>EXCALIA MAX 4X5L</t>
        </is>
      </c>
      <c r="D349" s="8" t="inlineStr">
        <is>
          <t>EXCALIA MAX</t>
        </is>
      </c>
      <c r="E349" s="7" t="inlineStr">
        <is>
          <t>Produto Formulado Comercial</t>
        </is>
      </c>
      <c r="F349" s="7" t="inlineStr">
        <is>
          <t>Defensivos</t>
        </is>
      </c>
      <c r="G349" s="7" t="inlineStr">
        <is>
          <t>Fungicida</t>
        </is>
      </c>
      <c r="H349" s="7" t="inlineStr">
        <is>
          <t>SC</t>
        </is>
      </c>
      <c r="I349" s="7" t="inlineStr">
        <is>
          <t>Suspensão Concentrada (SC)</t>
        </is>
      </c>
      <c r="J349" s="7" t="inlineStr">
        <is>
          <t>Fungicida sistêmico preventivo e curativo</t>
        </is>
      </c>
      <c r="K349" s="7" t="inlineStr">
        <is>
          <t>Triazol + Carboxamida (Pirazol-4-carboxamida)</t>
        </is>
      </c>
      <c r="L349" s="7" t="inlineStr">
        <is>
          <t>FRAC Grupo 3 (G1 — DMI) + FRAC Grupo 7 (C2 — SDHI)</t>
        </is>
      </c>
      <c r="M349" s="7" t="inlineStr">
        <is>
          <t>Inibidores da desmetilação do C14 na biossíntese do ergosterol; Inibidores da enzima succinato desidrogenase (Complexo II)</t>
        </is>
      </c>
      <c r="N349" s="7" t="inlineStr">
        <is>
          <t>Categoria 4 — Produto Pouco Tóxico</t>
        </is>
      </c>
      <c r="O349" s="7" t="inlineStr">
        <is>
          <t>Azul PMS Blue 293 C</t>
        </is>
      </c>
      <c r="P349" s="7" t="inlineStr">
        <is>
          <t>Classe II — Produto Muito Perigoso ao Meio Ambiente</t>
        </is>
      </c>
      <c r="Q349" s="9" t="n">
        <v>24</v>
      </c>
      <c r="R349" s="7" t="inlineStr">
        <is>
          <t>Terrestre / Aérea (Drones consultar bula)</t>
        </is>
      </c>
      <c r="S349" s="7" t="inlineStr">
        <is>
          <t>Sem antídoto específico; tratamento sintomático</t>
        </is>
      </c>
      <c r="T349" s="7" t="inlineStr">
        <is>
          <t>Sumitomo Chemical</t>
        </is>
      </c>
      <c r="U349" s="10">
        <f>HYPERLINK("https://agrofit.agricultura.gov.br/agrofit_cons/principal_agrofit_cons", "Consulta Oficial AGROFIT/MAPA (Nº 0122)")</f>
        <v/>
      </c>
    </row>
    <row r="350" ht="22" customHeight="1">
      <c r="A350" s="11" t="n">
        <v>345</v>
      </c>
      <c r="B350" s="12" t="inlineStr">
        <is>
          <t>Nº 3922</t>
        </is>
      </c>
      <c r="C350" s="13" t="inlineStr">
        <is>
          <t>BELYAN 4X5L</t>
        </is>
      </c>
      <c r="D350" s="14" t="inlineStr">
        <is>
          <t>BELYAN</t>
        </is>
      </c>
      <c r="E350" s="13" t="inlineStr">
        <is>
          <t>Produto Formulado Comercial</t>
        </is>
      </c>
      <c r="F350" s="13" t="inlineStr">
        <is>
          <t>Defensivos</t>
        </is>
      </c>
      <c r="G350" s="13" t="inlineStr">
        <is>
          <t>Fungicida</t>
        </is>
      </c>
      <c r="H350" s="13" t="inlineStr">
        <is>
          <t>SC</t>
        </is>
      </c>
      <c r="I350" s="13" t="inlineStr">
        <is>
          <t>SC - Suspensão Concentrada</t>
        </is>
      </c>
      <c r="J350" s="13" t="inlineStr">
        <is>
          <t>Fungicida preventivo e curativo foliar</t>
        </is>
      </c>
      <c r="K350" s="13" t="inlineStr">
        <is>
          <t>Estrobilurina (Metoxicarbamato)</t>
        </is>
      </c>
      <c r="L350" s="13" t="inlineStr">
        <is>
          <t>FRAC Grupo 11 (C3 — QoI)</t>
        </is>
      </c>
      <c r="M350" s="13" t="inlineStr">
        <is>
          <t>Inibidores da respiração mitocondrial no Complexo III (sítio Qo)</t>
        </is>
      </c>
      <c r="N350" s="13" t="inlineStr">
        <is>
          <t>Categoria 5: Produto Improvável de Causa Dano Agudo</t>
        </is>
      </c>
      <c r="O350" s="13" t="inlineStr">
        <is>
          <t>Azul</t>
        </is>
      </c>
      <c r="P350" s="13" t="inlineStr">
        <is>
          <t>Classe II — Produto Muito Perigoso ao Meio Ambiente</t>
        </is>
      </c>
      <c r="Q350" s="15" t="n">
        <v>24</v>
      </c>
      <c r="R350" s="13" t="inlineStr">
        <is>
          <t>Terrestre / Aérea (Drones consultar bula)</t>
        </is>
      </c>
      <c r="S350" s="13" t="inlineStr">
        <is>
          <t>Sem antídoto específico; tratamento sintomático</t>
        </is>
      </c>
      <c r="T350" s="13" t="inlineStr">
        <is>
          <t>BASF AGRICULTURAL SOLUTIONS BRASIL LTDA</t>
        </is>
      </c>
      <c r="U350" s="16">
        <f>HYPERLINK("https://agrofit.agricultura.gov.br/agrofit_cons/principal_agrofit_cons", "Consulta Oficial AGROFIT/MAPA (Nº 3922)")</f>
        <v/>
      </c>
    </row>
    <row r="351" ht="22" customHeight="1">
      <c r="A351" s="5" t="n">
        <v>346</v>
      </c>
      <c r="B351" s="6" t="inlineStr">
        <is>
          <t>Nº 9517</t>
        </is>
      </c>
      <c r="C351" s="7" t="inlineStr">
        <is>
          <t>FUSAO EC 1X10L</t>
        </is>
      </c>
      <c r="D351" s="8" t="inlineStr">
        <is>
          <t>FUSAO EC</t>
        </is>
      </c>
      <c r="E351" s="7" t="inlineStr">
        <is>
          <t>Produto Formulado Comercial</t>
        </is>
      </c>
      <c r="F351" s="7" t="inlineStr">
        <is>
          <t>Defensivos</t>
        </is>
      </c>
      <c r="G351" s="7" t="inlineStr">
        <is>
          <t>Fungicida</t>
        </is>
      </c>
      <c r="H351" s="7" t="inlineStr">
        <is>
          <t>EC</t>
        </is>
      </c>
      <c r="I351" s="7" t="inlineStr">
        <is>
          <t>Concentrado Emulsionável (EC)</t>
        </is>
      </c>
      <c r="J351" s="7" t="inlineStr">
        <is>
          <t>Fungicida sistêmico preventivo e curativo</t>
        </is>
      </c>
      <c r="K351" s="7" t="inlineStr">
        <is>
          <t>Estrobilurina (Oximinoacetamida)</t>
        </is>
      </c>
      <c r="L351" s="7" t="inlineStr">
        <is>
          <t>FRAC Grupo 11 (C3 — QoI)</t>
        </is>
      </c>
      <c r="M351" s="7" t="inlineStr">
        <is>
          <t>Inibidores da respiração mitocondrial no Complexo III (sítio Qo)</t>
        </is>
      </c>
      <c r="N351" s="7" t="inlineStr">
        <is>
          <t>Categoria 4 — Produto Pouco Tóxico</t>
        </is>
      </c>
      <c r="O351" s="7" t="inlineStr">
        <is>
          <t>Azul PMS Blue 293 C</t>
        </is>
      </c>
      <c r="P351" s="7" t="inlineStr">
        <is>
          <t>Classe II — Produto Muito Perigoso ao Meio Ambiente</t>
        </is>
      </c>
      <c r="Q351" s="9" t="n">
        <v>24</v>
      </c>
      <c r="R351" s="7" t="inlineStr">
        <is>
          <t>Terrestre / Aérea (Drones consultar bula)</t>
        </is>
      </c>
      <c r="S351" s="7" t="inlineStr">
        <is>
          <t>Sem antídoto específico; tratamento sintomático</t>
        </is>
      </c>
      <c r="T351" s="7" t="inlineStr">
        <is>
          <t>Iharabras S.A.</t>
        </is>
      </c>
      <c r="U351" s="10">
        <f>HYPERLINK("https://agrofit.agricultura.gov.br/agrofit_cons/principal_agrofit_cons", "Consulta Oficial AGROFIT/MAPA (Nº 9517)")</f>
        <v/>
      </c>
    </row>
    <row r="352" ht="22" customHeight="1">
      <c r="A352" s="11" t="n">
        <v>347</v>
      </c>
      <c r="B352" s="12" t="inlineStr">
        <is>
          <t>Nº 8912</t>
        </is>
      </c>
      <c r="C352" s="13" t="inlineStr">
        <is>
          <t>GLIFOSATO 698 CRUCIAL SL 1X20L</t>
        </is>
      </c>
      <c r="D352" s="14" t="inlineStr">
        <is>
          <t>GLIFOSATO 698 CRUCIAL SL</t>
        </is>
      </c>
      <c r="E352" s="13" t="inlineStr">
        <is>
          <t>Produto Formulado Comercial</t>
        </is>
      </c>
      <c r="F352" s="13" t="inlineStr">
        <is>
          <t>Defensivos</t>
        </is>
      </c>
      <c r="G352" s="13" t="inlineStr">
        <is>
          <t>Herbicida</t>
        </is>
      </c>
      <c r="H352" s="13" t="inlineStr">
        <is>
          <t>SL</t>
        </is>
      </c>
      <c r="I352" s="13" t="inlineStr">
        <is>
          <t>Concentrado Solúvel (SL)</t>
        </is>
      </c>
      <c r="J352" s="13" t="inlineStr">
        <is>
          <t>Herbicida sistêmico de pós-emergência (seletivo condicional p/ OGM)</t>
        </is>
      </c>
      <c r="K352" s="13" t="inlineStr">
        <is>
          <t>Glicina substituída</t>
        </is>
      </c>
      <c r="L352" s="13" t="inlineStr">
        <is>
          <t>HRAC Grupo G (9) — Inibidores da EPSPs</t>
        </is>
      </c>
      <c r="M352" s="13" t="inlineStr">
        <is>
          <t>Inibidores da enzima EPSPs (Enoil Piruvil Shiquimato Fosfato Sintase)</t>
        </is>
      </c>
      <c r="N352" s="13" t="inlineStr">
        <is>
          <t>Categoria 5 — Produto Improvável de Causar Dano Agudo</t>
        </is>
      </c>
      <c r="O352" s="13" t="inlineStr">
        <is>
          <t>Azul Intenso</t>
        </is>
      </c>
      <c r="P352" s="13" t="inlineStr">
        <is>
          <t>Classe III / IV — Perigoso a Pouco Perigoso ao Meio Ambiente</t>
        </is>
      </c>
      <c r="Q352" s="15" t="n">
        <v>24</v>
      </c>
      <c r="R352" s="13" t="inlineStr">
        <is>
          <t>Terrestre / Aérea (Drones consultar bula)</t>
        </is>
      </c>
      <c r="S352" s="13" t="inlineStr">
        <is>
          <t>Sem antídoto específico (Atropina ineficaz); tratamento sintomático</t>
        </is>
      </c>
      <c r="T352" s="13" t="inlineStr">
        <is>
          <t>Nufarm / Sumitomo</t>
        </is>
      </c>
      <c r="U352" s="16">
        <f>HYPERLINK("https://www.adapar.pr.gov.br/system/files/publico/Agrotoxicos/lista.pdf", "Bula Oficial Crucial SL (Sumitomo/MAPA 8912)")</f>
        <v/>
      </c>
    </row>
    <row r="353" ht="22" customHeight="1">
      <c r="A353" s="5" t="n">
        <v>348</v>
      </c>
      <c r="B353" s="6" t="inlineStr">
        <is>
          <t>Nº 36822</t>
        </is>
      </c>
      <c r="C353" s="7" t="inlineStr">
        <is>
          <t>CLORPIRIFOS 48 EC LUBA 1X20L (IMP)  LL</t>
        </is>
      </c>
      <c r="D353" s="8" t="inlineStr">
        <is>
          <t>CLORPIRIFOS 48 EC LUBA</t>
        </is>
      </c>
      <c r="E353" s="7" t="inlineStr">
        <is>
          <t>Produto Formulado Comercial</t>
        </is>
      </c>
      <c r="F353" s="7" t="inlineStr">
        <is>
          <t>Defensivos</t>
        </is>
      </c>
      <c r="G353" s="7" t="inlineStr">
        <is>
          <t>Inseticida</t>
        </is>
      </c>
      <c r="H353" s="7" t="inlineStr">
        <is>
          <t>EC</t>
        </is>
      </c>
      <c r="I353" s="7" t="inlineStr">
        <is>
          <t>Concentrado Emulsionável (EC)</t>
        </is>
      </c>
      <c r="J353" s="7" t="inlineStr">
        <is>
          <t>Inseticida e acaricida de contato, ingestão e profundidade</t>
        </is>
      </c>
      <c r="K353" s="7" t="inlineStr">
        <is>
          <t>Organofosforado</t>
        </is>
      </c>
      <c r="L353" s="7" t="inlineStr">
        <is>
          <t>IRAC Grupo 1B</t>
        </is>
      </c>
      <c r="M353" s="7" t="inlineStr">
        <is>
          <t>Inibidores da acetilcolinesterase (AChE)</t>
        </is>
      </c>
      <c r="N353" s="7" t="inlineStr">
        <is>
          <t>Categoria 2 — Produto Altamente Tóxico</t>
        </is>
      </c>
      <c r="O353" s="7" t="inlineStr">
        <is>
          <t>Vermelho PMS Red 199 C</t>
        </is>
      </c>
      <c r="P353" s="7" t="inlineStr">
        <is>
          <t>Classe II — Produto Muito Perigoso ao Meio Ambiente</t>
        </is>
      </c>
      <c r="Q353" s="9" t="n">
        <v>24</v>
      </c>
      <c r="R353" s="7" t="inlineStr">
        <is>
          <t>Terrestre / Aérea (Drones consultar bula)</t>
        </is>
      </c>
      <c r="S353" s="7" t="inlineStr">
        <is>
          <t>Atropina (agonista antimuscarínico) e Pralidoxima (reativador de colinesterase)</t>
        </is>
      </c>
      <c r="T353" s="7" t="inlineStr">
        <is>
          <t>AGRICONNECTION IMPORTADORA E EXPORTADORA DE INSUMOS AGRÍCOLAS LTDA.</t>
        </is>
      </c>
      <c r="U353" s="10">
        <f>HYPERLINK("https://www.adapar.pr.gov.br/system/files/publico/Agrotoxicos/lista.pdf", "Registro Oficial Clorpirifós 480 EC AGCN (MAPA 36822)")</f>
        <v/>
      </c>
    </row>
    <row r="354" ht="22" customHeight="1">
      <c r="A354" s="11" t="n">
        <v>349</v>
      </c>
      <c r="B354" s="12" t="inlineStr">
        <is>
          <t>Nº 34621</t>
        </is>
      </c>
      <c r="C354" s="13" t="inlineStr">
        <is>
          <t>RATEIO 200 SL 1X20L (IMP) FF</t>
        </is>
      </c>
      <c r="D354" s="14" t="inlineStr">
        <is>
          <t>RATEIO 200 SL</t>
        </is>
      </c>
      <c r="E354" s="13" t="inlineStr">
        <is>
          <t>Produto Formulado Comercial</t>
        </is>
      </c>
      <c r="F354" s="13" t="inlineStr">
        <is>
          <t>Defensivos</t>
        </is>
      </c>
      <c r="G354" s="13" t="inlineStr">
        <is>
          <t>Herbicida Dessecante</t>
        </is>
      </c>
      <c r="H354" s="13" t="inlineStr">
        <is>
          <t>SL</t>
        </is>
      </c>
      <c r="I354" s="13" t="inlineStr">
        <is>
          <t>Concentrado Solúvel (SL)</t>
        </is>
      </c>
      <c r="J354" s="13" t="inlineStr">
        <is>
          <t>Herbicida dessecante não seletivo de contato e ação rápida</t>
        </is>
      </c>
      <c r="K354" s="13" t="inlineStr">
        <is>
          <t>Bipiridílio</t>
        </is>
      </c>
      <c r="L354" s="13" t="inlineStr">
        <is>
          <t>HRAC Grupo D (22) — Desviadores de Elétrons do Fotossistema I</t>
        </is>
      </c>
      <c r="M354" s="13" t="inlineStr">
        <is>
          <t>Inibidores do Fotossistema I (geração de radicais livres peróxidos)</t>
        </is>
      </c>
      <c r="N354" s="13" t="inlineStr">
        <is>
          <t>Categoria 3 — Produto Moderadamente Tóxico</t>
        </is>
      </c>
      <c r="O354" s="13" t="inlineStr">
        <is>
          <t>Amarelo PMS Yellow C</t>
        </is>
      </c>
      <c r="P354" s="13" t="inlineStr">
        <is>
          <t>Classe II — Produto Muito Perigoso ao Meio Ambiente</t>
        </is>
      </c>
      <c r="Q354" s="15" t="n">
        <v>24</v>
      </c>
      <c r="R354" s="13" t="inlineStr">
        <is>
          <t>Terrestre / Aérea (Drones consultar bula)</t>
        </is>
      </c>
      <c r="S354" s="13" t="inlineStr">
        <is>
          <t>Sem antídoto específico; terra de Fuller / bentonita / carvão ativado na descontaminação gástrica</t>
        </is>
      </c>
      <c r="T354" s="13" t="inlineStr">
        <is>
          <t>YONON BRASIL DEFENSIVOS AGRÍCOLAS LTDA. / CCAB AGRO S.A.</t>
        </is>
      </c>
      <c r="U354" s="16">
        <f>HYPERLINK("https://agrofit.agricultura.gov.br/agrofit_cons/principal_agrofit_cons", "Consulta Oficial AGROFIT/MAPA (Nº 34621)")</f>
        <v/>
      </c>
    </row>
    <row r="355" ht="22" customHeight="1">
      <c r="A355" s="5" t="n">
        <v>350</v>
      </c>
      <c r="B355" s="6" t="inlineStr">
        <is>
          <t>Nº 34621</t>
        </is>
      </c>
      <c r="C355" s="7" t="inlineStr">
        <is>
          <t>RATEIO 200 SL 1X20L (IMP) YF</t>
        </is>
      </c>
      <c r="D355" s="8" t="inlineStr">
        <is>
          <t>RATEIO 200 SL</t>
        </is>
      </c>
      <c r="E355" s="7" t="inlineStr">
        <is>
          <t>Produto Formulado Comercial</t>
        </is>
      </c>
      <c r="F355" s="7" t="inlineStr">
        <is>
          <t>Defensivos</t>
        </is>
      </c>
      <c r="G355" s="7" t="inlineStr">
        <is>
          <t>Herbicida Dessecante</t>
        </is>
      </c>
      <c r="H355" s="7" t="inlineStr">
        <is>
          <t>SL</t>
        </is>
      </c>
      <c r="I355" s="7" t="inlineStr">
        <is>
          <t>Concentrado Solúvel (SL)</t>
        </is>
      </c>
      <c r="J355" s="7" t="inlineStr">
        <is>
          <t>Herbicida dessecante não seletivo de contato e ação rápida</t>
        </is>
      </c>
      <c r="K355" s="7" t="inlineStr">
        <is>
          <t>Bipiridílio</t>
        </is>
      </c>
      <c r="L355" s="7" t="inlineStr">
        <is>
          <t>HRAC Grupo D (22) — Desviadores de Elétrons do Fotossistema I</t>
        </is>
      </c>
      <c r="M355" s="7" t="inlineStr">
        <is>
          <t>Inibidores do Fotossistema I (geração de radicais livres peróxidos)</t>
        </is>
      </c>
      <c r="N355" s="7" t="inlineStr">
        <is>
          <t>Categoria 3 — Produto Moderadamente Tóxico</t>
        </is>
      </c>
      <c r="O355" s="7" t="inlineStr">
        <is>
          <t>Amarelo PMS Yellow C</t>
        </is>
      </c>
      <c r="P355" s="7" t="inlineStr">
        <is>
          <t>Classe II — Produto Muito Perigoso ao Meio Ambiente</t>
        </is>
      </c>
      <c r="Q355" s="9" t="n">
        <v>24</v>
      </c>
      <c r="R355" s="7" t="inlineStr">
        <is>
          <t>Terrestre / Aérea (Drones consultar bula)</t>
        </is>
      </c>
      <c r="S355" s="7" t="inlineStr">
        <is>
          <t>Sem antídoto específico; terra de Fuller / bentonita / carvão ativado na descontaminação gástrica</t>
        </is>
      </c>
      <c r="T355" s="7" t="inlineStr">
        <is>
          <t>YONON BRASIL DEFENSIVOS AGRÍCOLAS LTDA. / CCAB AGRO S.A.</t>
        </is>
      </c>
      <c r="U355" s="10">
        <f>HYPERLINK("https://agrofit.agricultura.gov.br/agrofit_cons/principal_agrofit_cons", "Consulta Oficial AGROFIT/MAPA (Nº 34621)")</f>
        <v/>
      </c>
    </row>
    <row r="356" ht="22" customHeight="1">
      <c r="A356" s="11" t="n">
        <v>351</v>
      </c>
      <c r="B356" s="12" t="inlineStr">
        <is>
          <t>Nº 23917</t>
        </is>
      </c>
      <c r="C356" s="13" t="inlineStr">
        <is>
          <t>MESOTRIONA CCAB 480 SC 4X5L</t>
        </is>
      </c>
      <c r="D356" s="14" t="inlineStr">
        <is>
          <t>MESOTRIONA CCAB</t>
        </is>
      </c>
      <c r="E356" s="13" t="inlineStr">
        <is>
          <t>Produto Formulado Comercial</t>
        </is>
      </c>
      <c r="F356" s="13" t="inlineStr">
        <is>
          <t>Defensivos</t>
        </is>
      </c>
      <c r="G356" s="13" t="inlineStr">
        <is>
          <t>Herbicida</t>
        </is>
      </c>
      <c r="H356" s="13" t="inlineStr">
        <is>
          <t>SC</t>
        </is>
      </c>
      <c r="I356" s="13" t="inlineStr">
        <is>
          <t>Suspensão Concentrada (SC)</t>
        </is>
      </c>
      <c r="J356" s="13" t="inlineStr">
        <is>
          <t>Herbicida sistêmico seletivo de pós-emergência</t>
        </is>
      </c>
      <c r="K356" s="13" t="inlineStr">
        <is>
          <t>Tricetona</t>
        </is>
      </c>
      <c r="L356" s="13" t="inlineStr">
        <is>
          <t>HRAC Grupo F2 (27) — Inibidores da HPPD</t>
        </is>
      </c>
      <c r="M356" s="13" t="inlineStr">
        <is>
          <t>Inibidores da enzima 4-hidroxifenil-piruvato-dioxigenase (HPPD - biossíntese de carotenoides)</t>
        </is>
      </c>
      <c r="N356" s="13" t="inlineStr">
        <is>
          <t>Categoria 4 / 5 — Pouco Tóxico</t>
        </is>
      </c>
      <c r="O356" s="13" t="inlineStr">
        <is>
          <t>Azul Intenso</t>
        </is>
      </c>
      <c r="P356" s="13" t="inlineStr">
        <is>
          <t>Classe II — Produto Muito Perigoso ao Meio Ambiente</t>
        </is>
      </c>
      <c r="Q356" s="15" t="n">
        <v>24</v>
      </c>
      <c r="R356" s="13" t="inlineStr">
        <is>
          <t>Terrestre / Aérea (Drones consultar bula)</t>
        </is>
      </c>
      <c r="S356" s="13" t="inlineStr">
        <is>
          <t>Sem antídoto específico; tratamento sintomático</t>
        </is>
      </c>
      <c r="T356" s="13" t="inlineStr">
        <is>
          <t>CCAB AGRO S.A.</t>
        </is>
      </c>
      <c r="U356" s="16">
        <f>HYPERLINK("https://agrofit.agricultura.gov.br/agrofit_cons/principal_agrofit_cons", "Consulta Oficial AGROFIT/MAPA (Nº 23917)")</f>
        <v/>
      </c>
    </row>
    <row r="357" ht="22" customHeight="1">
      <c r="A357" s="5" t="n">
        <v>352</v>
      </c>
      <c r="B357" s="6" t="inlineStr">
        <is>
          <t>Nº 23917</t>
        </is>
      </c>
      <c r="C357" s="7" t="inlineStr">
        <is>
          <t>MESOTRIONA CCAB 480 SC 1X20L</t>
        </is>
      </c>
      <c r="D357" s="8" t="inlineStr">
        <is>
          <t>MESOTRIONA CCAB</t>
        </is>
      </c>
      <c r="E357" s="7" t="inlineStr">
        <is>
          <t>Produto Formulado Comercial</t>
        </is>
      </c>
      <c r="F357" s="7" t="inlineStr">
        <is>
          <t>Defensivos</t>
        </is>
      </c>
      <c r="G357" s="7" t="inlineStr">
        <is>
          <t>Herbicida</t>
        </is>
      </c>
      <c r="H357" s="7" t="inlineStr">
        <is>
          <t>SC</t>
        </is>
      </c>
      <c r="I357" s="7" t="inlineStr">
        <is>
          <t>Suspensão Concentrada (SC)</t>
        </is>
      </c>
      <c r="J357" s="7" t="inlineStr">
        <is>
          <t>Herbicida sistêmico seletivo de pós-emergência</t>
        </is>
      </c>
      <c r="K357" s="7" t="inlineStr">
        <is>
          <t>Tricetona</t>
        </is>
      </c>
      <c r="L357" s="7" t="inlineStr">
        <is>
          <t>HRAC Grupo F2 (27) — Inibidores da HPPD</t>
        </is>
      </c>
      <c r="M357" s="7" t="inlineStr">
        <is>
          <t>Inibidores da enzima 4-hidroxifenil-piruvato-dioxigenase (HPPD - biossíntese de carotenoides)</t>
        </is>
      </c>
      <c r="N357" s="7" t="inlineStr">
        <is>
          <t>Categoria 4 / 5 — Pouco Tóxico</t>
        </is>
      </c>
      <c r="O357" s="7" t="inlineStr">
        <is>
          <t>Azul Intenso</t>
        </is>
      </c>
      <c r="P357" s="7" t="inlineStr">
        <is>
          <t>Classe II — Produto Muito Perigoso ao Meio Ambiente</t>
        </is>
      </c>
      <c r="Q357" s="9" t="n">
        <v>24</v>
      </c>
      <c r="R357" s="7" t="inlineStr">
        <is>
          <t>Terrestre / Aérea (Drones consultar bula)</t>
        </is>
      </c>
      <c r="S357" s="7" t="inlineStr">
        <is>
          <t>Sem antídoto específico; tratamento sintomático</t>
        </is>
      </c>
      <c r="T357" s="7" t="inlineStr">
        <is>
          <t>CCAB AGRO S.A.</t>
        </is>
      </c>
      <c r="U357" s="10">
        <f>HYPERLINK("https://agrofit.agricultura.gov.br/agrofit_cons/principal_agrofit_cons", "Consulta Oficial AGROFIT/MAPA (Nº 23917)")</f>
        <v/>
      </c>
    </row>
    <row r="358" ht="22" customHeight="1">
      <c r="A358" s="11" t="n">
        <v>353</v>
      </c>
      <c r="B358" s="12" t="inlineStr">
        <is>
          <t>SIPEAGRO (UF-XXXXX)</t>
        </is>
      </c>
      <c r="C358" s="13" t="inlineStr">
        <is>
          <t>BEEOGARDEN (ADUBO FOLIAR) 5L</t>
        </is>
      </c>
      <c r="D358" s="14" t="inlineStr">
        <is>
          <t>BEEOGARDEN (ADUBO FOLIAR)</t>
        </is>
      </c>
      <c r="E358" s="13" t="inlineStr">
        <is>
          <t>Fertilizante Mineral / Organomineral</t>
        </is>
      </c>
      <c r="F358" s="13" t="inlineStr">
        <is>
          <t>Fertilizantes</t>
        </is>
      </c>
      <c r="G358" s="13" t="inlineStr">
        <is>
          <t>Fertilizante Organomineral / Bioestimulante</t>
        </is>
      </c>
      <c r="H358" s="13" t="inlineStr">
        <is>
          <t>SL</t>
        </is>
      </c>
      <c r="I358" s="13" t="inlineStr">
        <is>
          <t>Solução / Suspensão Concentrada Foliar (Fluido)</t>
        </is>
      </c>
      <c r="J358" s="13" t="inlineStr">
        <is>
          <t>Aplicação via solo, fertirrigação ou adubação foliar</t>
        </is>
      </c>
      <c r="K358" s="13" t="inlineStr">
        <is>
          <t>Fertilizante Mineral / Organomineral (Lei nº 6.894/1980)</t>
        </is>
      </c>
      <c r="L358" s="13" t="inlineStr">
        <is>
          <t>Nutrição Vegetal SIPEAGRO</t>
        </is>
      </c>
      <c r="M358" s="13" t="inlineStr">
        <is>
          <t>Fornecimento de macro e micronutrientes essenciais ao metabolismo vegetal</t>
        </is>
      </c>
      <c r="N358" s="13" t="inlineStr">
        <is>
          <t>Isento ANVISA (Produto Fertilizante Registrado no SIPEAGRO/MAPA)</t>
        </is>
      </c>
      <c r="O358" s="13" t="inlineStr">
        <is>
          <t>Não Aplicável (Fertilizante)</t>
        </is>
      </c>
      <c r="P358" s="13" t="inlineStr">
        <is>
          <t>Baixo Potencial Poluidor (Uso conforme recomendação agronômica)</t>
        </is>
      </c>
      <c r="Q358" s="15" t="n">
        <v>0</v>
      </c>
      <c r="R358" s="13" t="inlineStr">
        <is>
          <t>Aplicação Dirigida / TS / Solo</t>
        </is>
      </c>
      <c r="S358" s="13" t="inlineStr">
        <is>
          <t>Tratamento sintomático em caso de ingestão acidental</t>
        </is>
      </c>
      <c r="T358" s="13" t="inlineStr">
        <is>
          <t>Estabelecimento Produtor SIPEAGRO/MAPA</t>
        </is>
      </c>
      <c r="U358" s="16">
        <f>HYPERLINK("https://www.gov.br/agricultura/pt-br/assuntos/insumos-agropecuarios/insumos-agricolas/fertilizantes", "Portal SIPEAGRO / MAPA — Fertilizantes e Bioinsumos")</f>
        <v/>
      </c>
    </row>
    <row r="359" ht="22" customHeight="1">
      <c r="A359" s="5" t="n">
        <v>354</v>
      </c>
      <c r="B359" s="6" t="inlineStr">
        <is>
          <t>SIPEAGRO (UF-XXXXX)</t>
        </is>
      </c>
      <c r="C359" s="7" t="inlineStr">
        <is>
          <t>TECH. GROW IV 460000 (IMP)</t>
        </is>
      </c>
      <c r="D359" s="8" t="inlineStr">
        <is>
          <t>TECH. GROW IV 460000 (IMP)</t>
        </is>
      </c>
      <c r="E359" s="7" t="inlineStr">
        <is>
          <t>Fertilizante Mineral / Organomineral</t>
        </is>
      </c>
      <c r="F359" s="7" t="inlineStr">
        <is>
          <t>Fertilizantes</t>
        </is>
      </c>
      <c r="G359" s="7" t="inlineStr">
        <is>
          <t>Fertilizante Mineral Simples (Nitrogenado)</t>
        </is>
      </c>
      <c r="H359" s="7" t="inlineStr">
        <is>
          <t>Granulado</t>
        </is>
      </c>
      <c r="I359" s="7" t="inlineStr">
        <is>
          <t>Formulação Padrão (Granulado / Solúvel / Suspensão)</t>
        </is>
      </c>
      <c r="J359" s="7" t="inlineStr">
        <is>
          <t>Aplicação via solo, fertirrigação ou adubação foliar</t>
        </is>
      </c>
      <c r="K359" s="7" t="inlineStr">
        <is>
          <t>Fertilizante Mineral / Organomineral (Lei nº 6.894/1980)</t>
        </is>
      </c>
      <c r="L359" s="7" t="inlineStr">
        <is>
          <t>Nutrição Vegetal SIPEAGRO</t>
        </is>
      </c>
      <c r="M359" s="7" t="inlineStr">
        <is>
          <t>Fornecimento de macro e micronutrientes essenciais ao metabolismo vegetal</t>
        </is>
      </c>
      <c r="N359" s="7" t="inlineStr">
        <is>
          <t>Isento ANVISA (Produto Fertilizante Registrado no SIPEAGRO/MAPA)</t>
        </is>
      </c>
      <c r="O359" s="7" t="inlineStr">
        <is>
          <t>Não Aplicável (Fertilizante)</t>
        </is>
      </c>
      <c r="P359" s="7" t="inlineStr">
        <is>
          <t>Baixo Potencial Poluidor (Uso conforme recomendação agronômica)</t>
        </is>
      </c>
      <c r="Q359" s="9" t="n">
        <v>0</v>
      </c>
      <c r="R359" s="7" t="inlineStr">
        <is>
          <t>Aplicação Dirigida / TS / Solo</t>
        </is>
      </c>
      <c r="S359" s="7" t="inlineStr">
        <is>
          <t>Tratamento sintomático em caso de ingestão acidental</t>
        </is>
      </c>
      <c r="T359" s="7" t="inlineStr">
        <is>
          <t>Estabelecimento Produtor SIPEAGRO/MAPA</t>
        </is>
      </c>
      <c r="U359" s="10">
        <f>HYPERLINK("https://www.gov.br/agricultura/pt-br/assuntos/insumos-agropecuarios/insumos-agricolas/fertilizantes", "Portal SIPEAGRO / MAPA — Fertilizantes e Bioinsumos")</f>
        <v/>
      </c>
    </row>
    <row r="360" ht="22" customHeight="1">
      <c r="A360" s="11" t="n">
        <v>355</v>
      </c>
      <c r="B360" s="12" t="inlineStr">
        <is>
          <t>SIPEAGRO (UF-XXXXX)</t>
        </is>
      </c>
      <c r="C360" s="13" t="inlineStr">
        <is>
          <t>NPK NK200020 20-00-20 - 1.000KG (IMP)</t>
        </is>
      </c>
      <c r="D360" s="14" t="inlineStr">
        <is>
          <t>NPK NK200020 20-00-20 - 1.000KG (IMP)</t>
        </is>
      </c>
      <c r="E360" s="13" t="inlineStr">
        <is>
          <t>Fertilizante Mineral / Organomineral</t>
        </is>
      </c>
      <c r="F360" s="13" t="inlineStr">
        <is>
          <t>Fertilizantes</t>
        </is>
      </c>
      <c r="G360" s="13" t="inlineStr">
        <is>
          <t>Fertilizante Mineral Misto (NPK / NP)</t>
        </is>
      </c>
      <c r="H360" s="13" t="inlineStr">
        <is>
          <t>Granulado</t>
        </is>
      </c>
      <c r="I360" s="13" t="inlineStr">
        <is>
          <t>Formulação Padrão (Granulado / Solúvel / Suspensão)</t>
        </is>
      </c>
      <c r="J360" s="13" t="inlineStr">
        <is>
          <t>Aplicação via solo, fertirrigação ou adubação foliar</t>
        </is>
      </c>
      <c r="K360" s="13" t="inlineStr">
        <is>
          <t>Fertilizante Mineral / Organomineral (Lei nº 6.894/1980)</t>
        </is>
      </c>
      <c r="L360" s="13" t="inlineStr">
        <is>
          <t>Nutrição Vegetal SIPEAGRO</t>
        </is>
      </c>
      <c r="M360" s="13" t="inlineStr">
        <is>
          <t>Fornecimento de macro e micronutrientes essenciais ao metabolismo vegetal</t>
        </is>
      </c>
      <c r="N360" s="13" t="inlineStr">
        <is>
          <t>Isento ANVISA (Produto Fertilizante Registrado no SIPEAGRO/MAPA)</t>
        </is>
      </c>
      <c r="O360" s="13" t="inlineStr">
        <is>
          <t>Não Aplicável (Fertilizante)</t>
        </is>
      </c>
      <c r="P360" s="13" t="inlineStr">
        <is>
          <t>Baixo Potencial Poluidor (Uso conforme recomendação agronômica)</t>
        </is>
      </c>
      <c r="Q360" s="15" t="n">
        <v>0</v>
      </c>
      <c r="R360" s="13" t="inlineStr">
        <is>
          <t>Aplicação Dirigida / TS / Solo</t>
        </is>
      </c>
      <c r="S360" s="13" t="inlineStr">
        <is>
          <t>Tratamento sintomático em caso de ingestão acidental</t>
        </is>
      </c>
      <c r="T360" s="13" t="inlineStr">
        <is>
          <t>Estabelecimento Produtor SIPEAGRO/MAPA</t>
        </is>
      </c>
      <c r="U360" s="16">
        <f>HYPERLINK("https://www.gov.br/agricultura/pt-br/assuntos/insumos-agropecuarios/insumos-agricolas/fertilizantes", "Portal SIPEAGRO / MAPA — Fertilizantes e Bioinsumos")</f>
        <v/>
      </c>
    </row>
    <row r="361" ht="22" customHeight="1">
      <c r="A361" s="5" t="n">
        <v>356</v>
      </c>
      <c r="B361" s="6" t="inlineStr">
        <is>
          <t>Nº 27922</t>
        </is>
      </c>
      <c r="C361" s="7" t="inlineStr">
        <is>
          <t>S-METOLACHLOR PROVENTIS 960 EC 1X20L (IMP)</t>
        </is>
      </c>
      <c r="D361" s="8" t="inlineStr">
        <is>
          <t>S-METOLACHLOR PROVENTIS 960 EC</t>
        </is>
      </c>
      <c r="E361" s="7" t="inlineStr">
        <is>
          <t>Produto Formulado Comercial</t>
        </is>
      </c>
      <c r="F361" s="7" t="inlineStr">
        <is>
          <t>Defensivos</t>
        </is>
      </c>
      <c r="G361" s="7" t="inlineStr">
        <is>
          <t>Herbicida</t>
        </is>
      </c>
      <c r="H361" s="7" t="inlineStr">
        <is>
          <t>EC</t>
        </is>
      </c>
      <c r="I361" s="7" t="inlineStr">
        <is>
          <t>Concentrado Emulsionável (EC)</t>
        </is>
      </c>
      <c r="J361" s="7" t="inlineStr">
        <is>
          <t>Herbicida seletivo pré-emergente sistêmico</t>
        </is>
      </c>
      <c r="K361" s="7" t="inlineStr">
        <is>
          <t>Cloroacetanilida</t>
        </is>
      </c>
      <c r="L361" s="7" t="inlineStr">
        <is>
          <t>HRAC Grupo K3 (15) — Inibidores de VLCFAs</t>
        </is>
      </c>
      <c r="M361" s="7" t="inlineStr">
        <is>
          <t>Inibidores da síntese de ácidos graxos de cadeia muito longa (divisão celular)</t>
        </is>
      </c>
      <c r="N361" s="7" t="inlineStr">
        <is>
          <t>Categoria 4 — Produto Pouco Tóxico</t>
        </is>
      </c>
      <c r="O361" s="7" t="inlineStr">
        <is>
          <t>Azul PMS Blue 293 C</t>
        </is>
      </c>
      <c r="P361" s="7" t="inlineStr">
        <is>
          <t>Classe II — Produto Muito Perigoso ao Meio Ambiente</t>
        </is>
      </c>
      <c r="Q361" s="9" t="n">
        <v>24</v>
      </c>
      <c r="R361" s="7" t="inlineStr">
        <is>
          <t>Terrestre / Aérea (Drones consultar bula)</t>
        </is>
      </c>
      <c r="S361" s="7" t="inlineStr">
        <is>
          <t>Sem antídoto específico; tratamento sintomático</t>
        </is>
      </c>
      <c r="T361" s="7" t="inlineStr">
        <is>
          <t>Proventis Lifescience</t>
        </is>
      </c>
      <c r="U361" s="10">
        <f>HYPERLINK("https://agrofit.agricultura.gov.br/agrofit_cons/principal_agrofit_cons", "Consulta Oficial AGROFIT/MAPA (Nº 27922)")</f>
        <v/>
      </c>
    </row>
    <row r="362" ht="22" customHeight="1">
      <c r="A362" s="11" t="n">
        <v>357</v>
      </c>
      <c r="B362" s="12" t="inlineStr">
        <is>
          <t>SIPEAGRO (UF-XXXXX)</t>
        </is>
      </c>
      <c r="C362" s="13" t="inlineStr">
        <is>
          <t>AGCN FULL (D) 1X20L</t>
        </is>
      </c>
      <c r="D362" s="14" t="inlineStr">
        <is>
          <t>AGCN FULL (D)</t>
        </is>
      </c>
      <c r="E362" s="13" t="inlineStr">
        <is>
          <t>Fertilizante Mineral / Organomineral</t>
        </is>
      </c>
      <c r="F362" s="13" t="inlineStr">
        <is>
          <t>Fertilizantes</t>
        </is>
      </c>
      <c r="G362" s="13" t="inlineStr">
        <is>
          <t>Fertilizante Organomineral / Bioestimulante</t>
        </is>
      </c>
      <c r="H362" s="13" t="inlineStr">
        <is>
          <t>SL</t>
        </is>
      </c>
      <c r="I362" s="13" t="inlineStr">
        <is>
          <t>Solução / Suspensão Concentrada Foliar (Fluido)</t>
        </is>
      </c>
      <c r="J362" s="13" t="inlineStr">
        <is>
          <t>Aplicação via solo, fertirrigação ou adubação foliar</t>
        </is>
      </c>
      <c r="K362" s="13" t="inlineStr">
        <is>
          <t>Fertilizante Mineral / Organomineral (Lei nº 6.894/1980)</t>
        </is>
      </c>
      <c r="L362" s="13" t="inlineStr">
        <is>
          <t>Nutrição Vegetal SIPEAGRO</t>
        </is>
      </c>
      <c r="M362" s="13" t="inlineStr">
        <is>
          <t>Fornecimento de macro e micronutrientes essenciais ao metabolismo vegetal</t>
        </is>
      </c>
      <c r="N362" s="13" t="inlineStr">
        <is>
          <t>Isento ANVISA (Produto Fertilizante Registrado no SIPEAGRO/MAPA)</t>
        </is>
      </c>
      <c r="O362" s="13" t="inlineStr">
        <is>
          <t>Não Aplicável (Fertilizante)</t>
        </is>
      </c>
      <c r="P362" s="13" t="inlineStr">
        <is>
          <t>Baixo Potencial Poluidor (Uso conforme recomendação agronômica)</t>
        </is>
      </c>
      <c r="Q362" s="15" t="n">
        <v>0</v>
      </c>
      <c r="R362" s="13" t="inlineStr">
        <is>
          <t>Aplicação Dirigida / TS / Solo</t>
        </is>
      </c>
      <c r="S362" s="13" t="inlineStr">
        <is>
          <t>Tratamento sintomático em caso de ingestão acidental</t>
        </is>
      </c>
      <c r="T362" s="13" t="inlineStr">
        <is>
          <t>Estabelecimento Produtor SIPEAGRO/MAPA</t>
        </is>
      </c>
      <c r="U362" s="16">
        <f>HYPERLINK("https://www.gov.br/agricultura/pt-br/assuntos/insumos-agropecuarios/insumos-agricolas/fertilizantes", "Portal SIPEAGRO / MAPA — Fertilizantes e Bioinsumos")</f>
        <v/>
      </c>
    </row>
    <row r="363" ht="22" customHeight="1">
      <c r="A363" s="5" t="n">
        <v>358</v>
      </c>
      <c r="B363" s="6" t="inlineStr">
        <is>
          <t>SIPEAGRO (UF-XXXXX)</t>
        </is>
      </c>
      <c r="C363" s="7" t="inlineStr">
        <is>
          <t>AGCN FULL ULTRA (D)  1X20L (VALIDAR FISCAL)</t>
        </is>
      </c>
      <c r="D363" s="8" t="inlineStr">
        <is>
          <t>AGCN FULL ULTRA (D)</t>
        </is>
      </c>
      <c r="E363" s="7" t="inlineStr">
        <is>
          <t>Fertilizante Mineral / Organomineral</t>
        </is>
      </c>
      <c r="F363" s="7" t="inlineStr">
        <is>
          <t>Fertilizantes</t>
        </is>
      </c>
      <c r="G363" s="7" t="inlineStr">
        <is>
          <t>Fertilizante Organomineral / Bioestimulante</t>
        </is>
      </c>
      <c r="H363" s="7" t="inlineStr">
        <is>
          <t>SL</t>
        </is>
      </c>
      <c r="I363" s="7" t="inlineStr">
        <is>
          <t>Solução / Suspensão Concentrada Foliar (Fluido)</t>
        </is>
      </c>
      <c r="J363" s="7" t="inlineStr">
        <is>
          <t>Aplicação via solo, fertirrigação ou adubação foliar</t>
        </is>
      </c>
      <c r="K363" s="7" t="inlineStr">
        <is>
          <t>Fertilizante Mineral / Organomineral (Lei nº 6.894/1980)</t>
        </is>
      </c>
      <c r="L363" s="7" t="inlineStr">
        <is>
          <t>Nutrição Vegetal SIPEAGRO</t>
        </is>
      </c>
      <c r="M363" s="7" t="inlineStr">
        <is>
          <t>Fornecimento de macro e micronutrientes essenciais ao metabolismo vegetal</t>
        </is>
      </c>
      <c r="N363" s="7" t="inlineStr">
        <is>
          <t>Isento ANVISA (Produto Fertilizante Registrado no SIPEAGRO/MAPA)</t>
        </is>
      </c>
      <c r="O363" s="7" t="inlineStr">
        <is>
          <t>Não Aplicável (Fertilizante)</t>
        </is>
      </c>
      <c r="P363" s="7" t="inlineStr">
        <is>
          <t>Baixo Potencial Poluidor (Uso conforme recomendação agronômica)</t>
        </is>
      </c>
      <c r="Q363" s="9" t="n">
        <v>0</v>
      </c>
      <c r="R363" s="7" t="inlineStr">
        <is>
          <t>Aplicação Dirigida / TS / Solo</t>
        </is>
      </c>
      <c r="S363" s="7" t="inlineStr">
        <is>
          <t>Tratamento sintomático em caso de ingestão acidental</t>
        </is>
      </c>
      <c r="T363" s="7" t="inlineStr">
        <is>
          <t>Estabelecimento Produtor SIPEAGRO/MAPA</t>
        </is>
      </c>
      <c r="U363" s="10">
        <f>HYPERLINK("https://www.gov.br/agricultura/pt-br/assuntos/insumos-agropecuarios/insumos-agricolas/fertilizantes", "Portal SIPEAGRO / MAPA — Fertilizantes e Bioinsumos")</f>
        <v/>
      </c>
    </row>
    <row r="364" ht="22" customHeight="1">
      <c r="A364" s="11" t="n">
        <v>359</v>
      </c>
      <c r="B364" s="12" t="inlineStr">
        <is>
          <t>Nº 23922</t>
        </is>
      </c>
      <c r="C364" s="13" t="inlineStr">
        <is>
          <t>CLETODIM 360 (PRINCIPIO ATIVO)</t>
        </is>
      </c>
      <c r="D364" s="14" t="inlineStr">
        <is>
          <t>CLETODIM 360 (PRINCIPIO ATIVO)</t>
        </is>
      </c>
      <c r="E364" s="13" t="inlineStr">
        <is>
          <t>Produto Técnico Industrial</t>
        </is>
      </c>
      <c r="F364" s="13" t="inlineStr">
        <is>
          <t>Defensivos</t>
        </is>
      </c>
      <c r="G364" s="13" t="inlineStr">
        <is>
          <t>Herbicida (Princípio Ativo / Técnico)</t>
        </is>
      </c>
      <c r="H364" s="13" t="inlineStr">
        <is>
          <t>EC</t>
        </is>
      </c>
      <c r="I364" s="13" t="inlineStr">
        <is>
          <t>Concentrado Emulsionável (EC)</t>
        </is>
      </c>
      <c r="J364" s="13" t="inlineStr">
        <is>
          <t>Herbicida graminicida sistêmico seletivo de pós-emergência</t>
        </is>
      </c>
      <c r="K364" s="13" t="inlineStr">
        <is>
          <t>Oxima ciclohexanodiona (DIM)</t>
        </is>
      </c>
      <c r="L364" s="13" t="inlineStr">
        <is>
          <t>HRAC Grupo A (1) — Inibidores da ACCase</t>
        </is>
      </c>
      <c r="M364" s="13" t="inlineStr">
        <is>
          <t>Inibidores da Acetil CoA Carboxilase (ACCase)</t>
        </is>
      </c>
      <c r="N364" s="13" t="inlineStr">
        <is>
          <t>Categoria 5 — Produto Improvável de Causar Dano Agudo</t>
        </is>
      </c>
      <c r="O364" s="13" t="inlineStr">
        <is>
          <t>Azul Intenso</t>
        </is>
      </c>
      <c r="P364" s="13" t="inlineStr">
        <is>
          <t>Classe III — Produto Perigoso ao Meio Ambiente</t>
        </is>
      </c>
      <c r="Q364" s="15" t="n">
        <v>24</v>
      </c>
      <c r="R364" s="13" t="inlineStr">
        <is>
          <t>Terrestre / Aérea (Drones consultar bula)</t>
        </is>
      </c>
      <c r="S364" s="13" t="inlineStr">
        <is>
          <t>Sem antídoto específico; tratamento sintomático</t>
        </is>
      </c>
      <c r="T364" s="13" t="inlineStr">
        <is>
          <t>RAINBOW DEFENSIVOS AGRÍCOLAS LTDA.</t>
        </is>
      </c>
      <c r="U364" s="16">
        <f>HYPERLINK("https://agrofit.agricultura.gov.br/agrofit_cons/principal_agrofit_cons", "Consulta Oficial AGROFIT/MAPA (Nº 23922)")</f>
        <v/>
      </c>
    </row>
    <row r="365" ht="22" customHeight="1">
      <c r="A365" s="5" t="n">
        <v>360</v>
      </c>
      <c r="B365" s="6" t="inlineStr">
        <is>
          <t>Nº 27717</t>
        </is>
      </c>
      <c r="C365" s="7" t="inlineStr">
        <is>
          <t>FIPRONIL 800 WG AGCN 10X1KG (IMP) FF</t>
        </is>
      </c>
      <c r="D365" s="8" t="inlineStr">
        <is>
          <t>FIPRONIL 800 WG AGCN</t>
        </is>
      </c>
      <c r="E365" s="7" t="inlineStr">
        <is>
          <t>Produto Formulado Comercial</t>
        </is>
      </c>
      <c r="F365" s="7" t="inlineStr">
        <is>
          <t>Defensivos</t>
        </is>
      </c>
      <c r="G365" s="7" t="inlineStr">
        <is>
          <t>Inseticida e Cupinicida (Fipronil)</t>
        </is>
      </c>
      <c r="H365" s="7" t="inlineStr">
        <is>
          <t>WG</t>
        </is>
      </c>
      <c r="I365" s="7" t="inlineStr">
        <is>
          <t>Grânulos Dispersíveis em Água (WG)</t>
        </is>
      </c>
      <c r="J365" s="7" t="inlineStr">
        <is>
          <t>Inseticida, cupinicida e formicida de contato e ingestão (TS / Solo)</t>
        </is>
      </c>
      <c r="K365" s="7" t="inlineStr">
        <is>
          <t>Pirazol (Fenilpirazol)</t>
        </is>
      </c>
      <c r="L365" s="7" t="inlineStr">
        <is>
          <t>IRAC Grupo 2B</t>
        </is>
      </c>
      <c r="M365" s="7" t="inlineStr">
        <is>
          <t>Bloqueadores de canais de cloro mediados pelo GABA</t>
        </is>
      </c>
      <c r="N365" s="7" t="inlineStr">
        <is>
          <t>Categoria 3 — Produto Moderadamente Tóxico</t>
        </is>
      </c>
      <c r="O365" s="7" t="inlineStr">
        <is>
          <t>Amarelo PMS Yellow C</t>
        </is>
      </c>
      <c r="P365" s="7" t="inlineStr">
        <is>
          <t>Classe II — Produto Muito Perigoso ao Meio Ambiente</t>
        </is>
      </c>
      <c r="Q365" s="9" t="n">
        <v>24</v>
      </c>
      <c r="R365" s="7" t="inlineStr">
        <is>
          <t>Terrestre / Aérea (Drones consultar bula)</t>
        </is>
      </c>
      <c r="S365" s="7" t="inlineStr">
        <is>
          <t>Sem antídoto específico; tratamento sintomático e controle neurológico</t>
        </is>
      </c>
      <c r="T365" s="7" t="inlineStr">
        <is>
          <t>AGRICONNECTION IMPORTADORA E EXPORTADORA DE INSUMOS AGRÍCOLAS LTDA.</t>
        </is>
      </c>
      <c r="U365" s="10">
        <f>HYPERLINK("https://agrofit.agricultura.gov.br/agrofit_cons/principal_agrofit_cons", "Consulta Oficial AGROFIT/MAPA (Nº 27717)")</f>
        <v/>
      </c>
    </row>
    <row r="366" ht="22" customHeight="1">
      <c r="A366" s="11" t="n">
        <v>361</v>
      </c>
      <c r="B366" s="12" t="inlineStr">
        <is>
          <t>Nº 27717</t>
        </is>
      </c>
      <c r="C366" s="13" t="inlineStr">
        <is>
          <t>FIPRONIL 800 WG AGCN 4X5KG (IMP) FB</t>
        </is>
      </c>
      <c r="D366" s="14" t="inlineStr">
        <is>
          <t>FIPRONIL 800 WG AGCN</t>
        </is>
      </c>
      <c r="E366" s="13" t="inlineStr">
        <is>
          <t>Produto Formulado Comercial</t>
        </is>
      </c>
      <c r="F366" s="13" t="inlineStr">
        <is>
          <t>Defensivos</t>
        </is>
      </c>
      <c r="G366" s="13" t="inlineStr">
        <is>
          <t>Inseticida e Cupinicida (Fipronil)</t>
        </is>
      </c>
      <c r="H366" s="13" t="inlineStr">
        <is>
          <t>WG</t>
        </is>
      </c>
      <c r="I366" s="13" t="inlineStr">
        <is>
          <t>Grânulos Dispersíveis em Água (WG)</t>
        </is>
      </c>
      <c r="J366" s="13" t="inlineStr">
        <is>
          <t>Inseticida, cupinicida e formicida de contato e ingestão (TS / Solo)</t>
        </is>
      </c>
      <c r="K366" s="13" t="inlineStr">
        <is>
          <t>Pirazol (Fenilpirazol)</t>
        </is>
      </c>
      <c r="L366" s="13" t="inlineStr">
        <is>
          <t>IRAC Grupo 2B</t>
        </is>
      </c>
      <c r="M366" s="13" t="inlineStr">
        <is>
          <t>Bloqueadores de canais de cloro mediados pelo GABA</t>
        </is>
      </c>
      <c r="N366" s="13" t="inlineStr">
        <is>
          <t>Categoria 3 — Produto Moderadamente Tóxico</t>
        </is>
      </c>
      <c r="O366" s="13" t="inlineStr">
        <is>
          <t>Amarelo PMS Yellow C</t>
        </is>
      </c>
      <c r="P366" s="13" t="inlineStr">
        <is>
          <t>Classe II — Produto Muito Perigoso ao Meio Ambiente</t>
        </is>
      </c>
      <c r="Q366" s="15" t="n">
        <v>24</v>
      </c>
      <c r="R366" s="13" t="inlineStr">
        <is>
          <t>Terrestre / Aérea (Drones consultar bula)</t>
        </is>
      </c>
      <c r="S366" s="13" t="inlineStr">
        <is>
          <t>Sem antídoto específico; tratamento sintomático e controle neurológico</t>
        </is>
      </c>
      <c r="T366" s="13" t="inlineStr">
        <is>
          <t>AGRICONNECTION IMPORTADORA E EXPORTADORA DE INSUMOS AGRÍCOLAS LTDA.</t>
        </is>
      </c>
      <c r="U366" s="16">
        <f>HYPERLINK("https://agrofit.agricultura.gov.br/agrofit_cons/principal_agrofit_cons", "Consulta Oficial AGROFIT/MAPA (Nº 27717)")</f>
        <v/>
      </c>
    </row>
    <row r="367" ht="22" customHeight="1">
      <c r="A367" s="5" t="n">
        <v>362</v>
      </c>
      <c r="B367" s="6" t="inlineStr">
        <is>
          <t>Nº 22023</t>
        </is>
      </c>
      <c r="C367" s="7" t="inlineStr">
        <is>
          <t>TEBUCONAZOLE 430 SINO-AGRI 4X5L (IMP) AF</t>
        </is>
      </c>
      <c r="D367" s="8" t="inlineStr">
        <is>
          <t>TEBUCONAZOLE 430 SINO-AGRI</t>
        </is>
      </c>
      <c r="E367" s="7" t="inlineStr">
        <is>
          <t>Produto Formulado Comercial</t>
        </is>
      </c>
      <c r="F367" s="7" t="inlineStr">
        <is>
          <t>Defensivos</t>
        </is>
      </c>
      <c r="G367" s="7" t="inlineStr">
        <is>
          <t>Fungicida</t>
        </is>
      </c>
      <c r="H367" s="7" t="inlineStr">
        <is>
          <t>SC</t>
        </is>
      </c>
      <c r="I367" s="7" t="inlineStr">
        <is>
          <t>Suspensão Concentrada (SC)</t>
        </is>
      </c>
      <c r="J367" s="7" t="inlineStr">
        <is>
          <t>Fungicida sistêmico preventivo e curativo</t>
        </is>
      </c>
      <c r="K367" s="7" t="inlineStr">
        <is>
          <t>Triazol</t>
        </is>
      </c>
      <c r="L367" s="7" t="inlineStr">
        <is>
          <t>FRAC Grupo 3 (DMI)</t>
        </is>
      </c>
      <c r="M367" s="7" t="inlineStr">
        <is>
          <t>Inibidores da desmetilação de C14 na biossíntese de ergosterol</t>
        </is>
      </c>
      <c r="N367" s="7" t="inlineStr">
        <is>
          <t>Categoria 4 — Produto Pouco Tóxico</t>
        </is>
      </c>
      <c r="O367" s="7" t="inlineStr">
        <is>
          <t>Azul PMS Blue 293 C</t>
        </is>
      </c>
      <c r="P367" s="7" t="inlineStr">
        <is>
          <t>Classe II — Produto Muito Perigoso ao Meio Ambiente</t>
        </is>
      </c>
      <c r="Q367" s="9" t="n">
        <v>24</v>
      </c>
      <c r="R367" s="7" t="inlineStr">
        <is>
          <t>Terrestre / Aérea (Drones consultar bula)</t>
        </is>
      </c>
      <c r="S367" s="7" t="inlineStr">
        <is>
          <t>Sem antídoto específico; tratamento sintomático</t>
        </is>
      </c>
      <c r="T367" s="7" t="inlineStr">
        <is>
          <t>SINO-AGRI LEADING BIOSCIENCES DO BRASIL / INOVATIS LTDA.</t>
        </is>
      </c>
      <c r="U367" s="10">
        <f>HYPERLINK("https://agrofit.agricultura.gov.br/agrofit_cons/principal_agrofit_cons", "Consulta Oficial AGROFIT/MAPA (Nº 22023)")</f>
        <v/>
      </c>
    </row>
    <row r="368" ht="22" customHeight="1">
      <c r="A368" s="11" t="n">
        <v>363</v>
      </c>
      <c r="B368" s="12" t="inlineStr">
        <is>
          <t>Nº 22023</t>
        </is>
      </c>
      <c r="C368" s="13" t="inlineStr">
        <is>
          <t>TEBUCONAZOLE 430 SINO-AGRI 1X20L (IMP) AF</t>
        </is>
      </c>
      <c r="D368" s="14" t="inlineStr">
        <is>
          <t>TEBUCONAZOLE 430 SINO-AGRI</t>
        </is>
      </c>
      <c r="E368" s="13" t="inlineStr">
        <is>
          <t>Produto Formulado Comercial</t>
        </is>
      </c>
      <c r="F368" s="13" t="inlineStr">
        <is>
          <t>Defensivos</t>
        </is>
      </c>
      <c r="G368" s="13" t="inlineStr">
        <is>
          <t>Fungicida</t>
        </is>
      </c>
      <c r="H368" s="13" t="inlineStr">
        <is>
          <t>SC</t>
        </is>
      </c>
      <c r="I368" s="13" t="inlineStr">
        <is>
          <t>Suspensão Concentrada (SC)</t>
        </is>
      </c>
      <c r="J368" s="13" t="inlineStr">
        <is>
          <t>Fungicida sistêmico preventivo e curativo</t>
        </is>
      </c>
      <c r="K368" s="13" t="inlineStr">
        <is>
          <t>Triazol</t>
        </is>
      </c>
      <c r="L368" s="13" t="inlineStr">
        <is>
          <t>FRAC Grupo 3 (DMI)</t>
        </is>
      </c>
      <c r="M368" s="13" t="inlineStr">
        <is>
          <t>Inibidores da desmetilação de C14 na biossíntese de ergosterol</t>
        </is>
      </c>
      <c r="N368" s="13" t="inlineStr">
        <is>
          <t>Categoria 4 — Produto Pouco Tóxico</t>
        </is>
      </c>
      <c r="O368" s="13" t="inlineStr">
        <is>
          <t>Azul PMS Blue 293 C</t>
        </is>
      </c>
      <c r="P368" s="13" t="inlineStr">
        <is>
          <t>Classe II — Produto Muito Perigoso ao Meio Ambiente</t>
        </is>
      </c>
      <c r="Q368" s="15" t="n">
        <v>24</v>
      </c>
      <c r="R368" s="13" t="inlineStr">
        <is>
          <t>Terrestre / Aérea (Drones consultar bula)</t>
        </is>
      </c>
      <c r="S368" s="13" t="inlineStr">
        <is>
          <t>Sem antídoto específico; tratamento sintomático</t>
        </is>
      </c>
      <c r="T368" s="13" t="inlineStr">
        <is>
          <t>SINO-AGRI LEADING BIOSCIENCES DO BRASIL / INOVATIS LTDA.</t>
        </is>
      </c>
      <c r="U368" s="16">
        <f>HYPERLINK("https://agrofit.agricultura.gov.br/agrofit_cons/principal_agrofit_cons", "Consulta Oficial AGROFIT/MAPA (Nº 22023)")</f>
        <v/>
      </c>
    </row>
    <row r="369" ht="22" customHeight="1">
      <c r="A369" s="5" t="n">
        <v>364</v>
      </c>
      <c r="B369" s="6" t="inlineStr">
        <is>
          <t>Nº 0315</t>
        </is>
      </c>
      <c r="C369" s="7" t="inlineStr">
        <is>
          <t>2-4 D AGCN 1X20L (IMP) AA</t>
        </is>
      </c>
      <c r="D369" s="8" t="inlineStr">
        <is>
          <t>2-4 D AGCN</t>
        </is>
      </c>
      <c r="E369" s="7" t="inlineStr">
        <is>
          <t>Produto Formulado Comercial</t>
        </is>
      </c>
      <c r="F369" s="7" t="inlineStr">
        <is>
          <t>Defensivos</t>
        </is>
      </c>
      <c r="G369" s="7" t="inlineStr">
        <is>
          <t>Herbicida</t>
        </is>
      </c>
      <c r="H369" s="7" t="inlineStr">
        <is>
          <t>SL</t>
        </is>
      </c>
      <c r="I369" s="7" t="inlineStr">
        <is>
          <t>Concentrado Solúvel (SL)</t>
        </is>
      </c>
      <c r="J369" s="7" t="inlineStr">
        <is>
          <t>Herbicida sistêmico seletivo de pós-emergência para folhas largas</t>
        </is>
      </c>
      <c r="K369" s="7" t="inlineStr">
        <is>
          <t>Ácido ariloxialcanoico</t>
        </is>
      </c>
      <c r="L369" s="7" t="inlineStr">
        <is>
          <t>HRAC Grupo O (4) — Auxinas Sintéticas</t>
        </is>
      </c>
      <c r="M369" s="7" t="inlineStr">
        <is>
          <t>Mimetizadores da auxina (ácido indolacético - AIA)</t>
        </is>
      </c>
      <c r="N369" s="7" t="inlineStr">
        <is>
          <t>Categoria 4 — Produto Pouco Tóxico</t>
        </is>
      </c>
      <c r="O369" s="7" t="inlineStr">
        <is>
          <t>Azul PMS Blue 293 C</t>
        </is>
      </c>
      <c r="P369" s="7" t="inlineStr">
        <is>
          <t>Classe III — Produto Perigoso ao Meio Ambiente</t>
        </is>
      </c>
      <c r="Q369" s="9" t="n">
        <v>24</v>
      </c>
      <c r="R369" s="7" t="inlineStr">
        <is>
          <t>Terrestre / Aérea (Drones consultar bula)</t>
        </is>
      </c>
      <c r="S369" s="7" t="inlineStr">
        <is>
          <t>Sem antídoto específico; tratamento sintomático</t>
        </is>
      </c>
      <c r="T369" s="7" t="inlineStr">
        <is>
          <t>Agriconnection</t>
        </is>
      </c>
      <c r="U369" s="10">
        <f>HYPERLINK("https://calculadorarural.com.br/defensivos/ativo/2-4-d", "Registro Oficial 2,4-D AGCN 806 SL (Agriconnection)")</f>
        <v/>
      </c>
    </row>
    <row r="370" ht="22" customHeight="1">
      <c r="A370" s="11" t="n">
        <v>365</v>
      </c>
      <c r="B370" s="12" t="inlineStr">
        <is>
          <t>Nº 7124</t>
        </is>
      </c>
      <c r="C370" s="13" t="inlineStr">
        <is>
          <t>OPTIBEX 4X5KG (IMP)  WG</t>
        </is>
      </c>
      <c r="D370" s="14" t="inlineStr">
        <is>
          <t>OPTIBEX</t>
        </is>
      </c>
      <c r="E370" s="13" t="inlineStr">
        <is>
          <t>Produto Formulado Comercial</t>
        </is>
      </c>
      <c r="F370" s="13" t="inlineStr">
        <is>
          <t>Defensivos</t>
        </is>
      </c>
      <c r="G370" s="13" t="inlineStr">
        <is>
          <t>Herbicida</t>
        </is>
      </c>
      <c r="H370" s="13" t="inlineStr">
        <is>
          <t>WG</t>
        </is>
      </c>
      <c r="I370" s="13" t="inlineStr">
        <is>
          <t>Grânulos Dispersíveis em Água (WG)</t>
        </is>
      </c>
      <c r="J370" s="13" t="inlineStr">
        <is>
          <t>Herbicida de contato não seletivo em pós-emergência (seletivo p/ OGM LibertyLink)</t>
        </is>
      </c>
      <c r="K370" s="13" t="inlineStr">
        <is>
          <t>Homoalanina substituída (Ácido fosfínico)</t>
        </is>
      </c>
      <c r="L370" s="13" t="inlineStr">
        <is>
          <t>HRAC Grupo H (10) — Inibidores da Glutamina Sintetase</t>
        </is>
      </c>
      <c r="M370" s="13" t="inlineStr">
        <is>
          <t>Inibição da enzima glutamina sintetase (acúmulo de amônia intracelular)</t>
        </is>
      </c>
      <c r="N370" s="13" t="inlineStr">
        <is>
          <t>Categoria 4 — Produto Pouco Tóxico</t>
        </is>
      </c>
      <c r="O370" s="13" t="inlineStr">
        <is>
          <t>Azul PMS Blue 293 C</t>
        </is>
      </c>
      <c r="P370" s="13" t="inlineStr">
        <is>
          <t>Classe III — Produto Perigoso ao Meio Ambiente</t>
        </is>
      </c>
      <c r="Q370" s="15" t="n">
        <v>24</v>
      </c>
      <c r="R370" s="13" t="inlineStr">
        <is>
          <t>Terrestre / Aérea (Drones consultar bula)</t>
        </is>
      </c>
      <c r="S370" s="13" t="inlineStr">
        <is>
          <t>Sem antídoto específico; monitorar SNC por 48h e suporte ventilatório</t>
        </is>
      </c>
      <c r="T370" s="13" t="inlineStr">
        <is>
          <t>Rainbow Defensivos</t>
        </is>
      </c>
      <c r="U370" s="16">
        <f>HYPERLINK("https://agrofit.agricultura.gov.br/agrofit_cons/principal_agrofit_cons", "Consulta Oficial AGROFIT/MAPA (Nº 7124)")</f>
        <v/>
      </c>
    </row>
    <row r="371" ht="22" customHeight="1">
      <c r="A371" s="5" t="n">
        <v>366</v>
      </c>
      <c r="B371" s="6" t="inlineStr">
        <is>
          <t>Nº 34621</t>
        </is>
      </c>
      <c r="C371" s="7" t="inlineStr">
        <is>
          <t>RATEIO 200 SL 1X20L (IMP) YB</t>
        </is>
      </c>
      <c r="D371" s="8" t="inlineStr">
        <is>
          <t>RATEIO 200 SL</t>
        </is>
      </c>
      <c r="E371" s="7" t="inlineStr">
        <is>
          <t>Produto Formulado Comercial</t>
        </is>
      </c>
      <c r="F371" s="7" t="inlineStr">
        <is>
          <t>Defensivos</t>
        </is>
      </c>
      <c r="G371" s="7" t="inlineStr">
        <is>
          <t>Herbicida Dessecante</t>
        </is>
      </c>
      <c r="H371" s="7" t="inlineStr">
        <is>
          <t>SL</t>
        </is>
      </c>
      <c r="I371" s="7" t="inlineStr">
        <is>
          <t>Concentrado Solúvel (SL)</t>
        </is>
      </c>
      <c r="J371" s="7" t="inlineStr">
        <is>
          <t>Herbicida dessecante não seletivo de contato e ação rápida</t>
        </is>
      </c>
      <c r="K371" s="7" t="inlineStr">
        <is>
          <t>Bipiridílio</t>
        </is>
      </c>
      <c r="L371" s="7" t="inlineStr">
        <is>
          <t>HRAC Grupo D (22) — Desviadores de Elétrons do Fotossistema I</t>
        </is>
      </c>
      <c r="M371" s="7" t="inlineStr">
        <is>
          <t>Inibidores do Fotossistema I (geração de radicais livres peróxidos)</t>
        </is>
      </c>
      <c r="N371" s="7" t="inlineStr">
        <is>
          <t>Categoria 3 — Produto Moderadamente Tóxico</t>
        </is>
      </c>
      <c r="O371" s="7" t="inlineStr">
        <is>
          <t>Amarelo PMS Yellow C</t>
        </is>
      </c>
      <c r="P371" s="7" t="inlineStr">
        <is>
          <t>Classe II — Produto Muito Perigoso ao Meio Ambiente</t>
        </is>
      </c>
      <c r="Q371" s="9" t="n">
        <v>24</v>
      </c>
      <c r="R371" s="7" t="inlineStr">
        <is>
          <t>Terrestre / Aérea (Drones consultar bula)</t>
        </is>
      </c>
      <c r="S371" s="7" t="inlineStr">
        <is>
          <t>Sem antídoto específico; terra de Fuller / bentonita / carvão ativado na descontaminação gástrica</t>
        </is>
      </c>
      <c r="T371" s="7" t="inlineStr">
        <is>
          <t>YONON BRASIL DEFENSIVOS AGRÍCOLAS LTDA. / CCAB AGRO S.A.</t>
        </is>
      </c>
      <c r="U371" s="10">
        <f>HYPERLINK("https://agrofit.agricultura.gov.br/agrofit_cons/principal_agrofit_cons", "Consulta Oficial AGROFIT/MAPA (Nº 34621)")</f>
        <v/>
      </c>
    </row>
    <row r="372" ht="22" customHeight="1">
      <c r="A372" s="11" t="n">
        <v>367</v>
      </c>
      <c r="B372" s="12" t="inlineStr">
        <is>
          <t>SIPEAGRO (UF-XXXXX)</t>
        </is>
      </c>
      <c r="C372" s="13" t="inlineStr">
        <is>
          <t>CLORETO DE POTASSIO 000060 1.000KG</t>
        </is>
      </c>
      <c r="D372" s="14" t="inlineStr">
        <is>
          <t>CLORETO DE POTASSIO 000060 1.000KG</t>
        </is>
      </c>
      <c r="E372" s="13" t="inlineStr">
        <is>
          <t>Fertilizante Mineral / Organomineral</t>
        </is>
      </c>
      <c r="F372" s="13" t="inlineStr">
        <is>
          <t>Fertilizantes</t>
        </is>
      </c>
      <c r="G372" s="13" t="inlineStr">
        <is>
          <t>Fertilizante Mineral Simples (Potássico / Magnesiano)</t>
        </is>
      </c>
      <c r="H372" s="13" t="inlineStr">
        <is>
          <t>Granulado</t>
        </is>
      </c>
      <c r="I372" s="13" t="inlineStr">
        <is>
          <t>Formulação Padrão (Granulado / Solúvel / Suspensão)</t>
        </is>
      </c>
      <c r="J372" s="13" t="inlineStr">
        <is>
          <t>Aplicação via solo, fertirrigação ou adubação foliar</t>
        </is>
      </c>
      <c r="K372" s="13" t="inlineStr">
        <is>
          <t>Fertilizante Mineral / Organomineral (Lei nº 6.894/1980)</t>
        </is>
      </c>
      <c r="L372" s="13" t="inlineStr">
        <is>
          <t>Nutrição Vegetal SIPEAGRO</t>
        </is>
      </c>
      <c r="M372" s="13" t="inlineStr">
        <is>
          <t>Fornecimento de macro e micronutrientes essenciais ao metabolismo vegetal</t>
        </is>
      </c>
      <c r="N372" s="13" t="inlineStr">
        <is>
          <t>Isento ANVISA (Produto Fertilizante Registrado no SIPEAGRO/MAPA)</t>
        </is>
      </c>
      <c r="O372" s="13" t="inlineStr">
        <is>
          <t>Não Aplicável (Fertilizante)</t>
        </is>
      </c>
      <c r="P372" s="13" t="inlineStr">
        <is>
          <t>Baixo Potencial Poluidor (Uso conforme recomendação agronômica)</t>
        </is>
      </c>
      <c r="Q372" s="15" t="n">
        <v>0</v>
      </c>
      <c r="R372" s="13" t="inlineStr">
        <is>
          <t>Aplicação Dirigida / TS / Solo</t>
        </is>
      </c>
      <c r="S372" s="13" t="inlineStr">
        <is>
          <t>Tratamento sintomático em caso de ingestão acidental</t>
        </is>
      </c>
      <c r="T372" s="13" t="inlineStr">
        <is>
          <t>Estabelecimento Produtor SIPEAGRO/MAPA</t>
        </is>
      </c>
      <c r="U372" s="16">
        <f>HYPERLINK("https://www.gov.br/agricultura/pt-br/assuntos/insumos-agropecuarios/insumos-agricolas/fertilizantes", "Portal SIPEAGRO / MAPA — Fertilizantes e Bioinsumos")</f>
        <v/>
      </c>
    </row>
    <row r="373" ht="22" customHeight="1">
      <c r="A373" s="5" t="n">
        <v>368</v>
      </c>
      <c r="B373" s="6" t="inlineStr">
        <is>
          <t>VINCULAR MARCA</t>
        </is>
      </c>
      <c r="C373" s="7" t="inlineStr">
        <is>
          <t>ABAMECTINA 600 (PRINCIPIO ATIVO)</t>
        </is>
      </c>
      <c r="D373" s="8" t="inlineStr">
        <is>
          <t>ABAMECTINA 600 (PRINCIPIO ATIVO)</t>
        </is>
      </c>
      <c r="E373" s="7" t="inlineStr">
        <is>
          <t>Produto Técnico Industrial</t>
        </is>
      </c>
      <c r="F373" s="7" t="inlineStr">
        <is>
          <t>Defensivos</t>
        </is>
      </c>
      <c r="G373" s="7" t="inlineStr">
        <is>
          <t>Inseticida e Acaricida (Princípio Ativo / Técnico)</t>
        </is>
      </c>
      <c r="H373" s="7" t="inlineStr">
        <is>
          <t>TC</t>
        </is>
      </c>
      <c r="I373" s="7" t="inlineStr">
        <is>
          <t>Produto Técnico Industrial (TC)</t>
        </is>
      </c>
      <c r="J373" s="7" t="inlineStr">
        <is>
          <t>Inseticida/acaricida de contato e ingestão</t>
        </is>
      </c>
      <c r="K373" s="7" t="inlineStr">
        <is>
          <t>Avermectina (Lactona Macrocíclica)</t>
        </is>
      </c>
      <c r="L373" s="7" t="inlineStr">
        <is>
          <t>IRAC Grupo 6</t>
        </is>
      </c>
      <c r="M373" s="7" t="inlineStr">
        <is>
          <t>Moduladores alostéricos de canais de cloro mediados pelo glutamato (GluCl)</t>
        </is>
      </c>
      <c r="N373" s="7" t="inlineStr">
        <is>
          <t>Categoria 3 / 4 — Moderadamente a Pouco Tóxico</t>
        </is>
      </c>
      <c r="O373" s="7" t="inlineStr">
        <is>
          <t>Amarelo / Azul</t>
        </is>
      </c>
      <c r="P373" s="7" t="inlineStr">
        <is>
          <t>Classe II — Produto Muito Perigoso ao Meio Ambiente</t>
        </is>
      </c>
      <c r="Q373" s="9" t="n">
        <v>24</v>
      </c>
      <c r="R373" s="7" t="inlineStr">
        <is>
          <t>Terrestre / Aérea (Drones consultar bula)</t>
        </is>
      </c>
      <c r="S373" s="7" t="inlineStr">
        <is>
          <t>Tratamento sintomático conforme grupo químico na bula</t>
        </is>
      </c>
      <c r="T373" s="7" t="inlineStr">
        <is>
          <t>SYNGENTA PROTEÇÃO DE CULTIVOS LTDA.</t>
        </is>
      </c>
      <c r="U373" s="10">
        <f>HYPERLINK("https://agrofit.agricultura.gov.br/agrofit_cons/principal_agrofit_cons", "Consulta Oficial AGROFIT/MAPA (VINCULAR MARCA)")</f>
        <v/>
      </c>
    </row>
    <row r="374" ht="22" customHeight="1">
      <c r="A374" s="11" t="n">
        <v>369</v>
      </c>
      <c r="B374" s="12" t="inlineStr">
        <is>
          <t>Nº 0120</t>
        </is>
      </c>
      <c r="C374" s="13" t="inlineStr">
        <is>
          <t>GLUFOSINATO 200 (PRINCIPIO ATIVO)</t>
        </is>
      </c>
      <c r="D374" s="14" t="inlineStr">
        <is>
          <t>GLUFOSINATO 200 (PRINCIPIO ATIVO)</t>
        </is>
      </c>
      <c r="E374" s="13" t="inlineStr">
        <is>
          <t>Produto Técnico Industrial</t>
        </is>
      </c>
      <c r="F374" s="13" t="inlineStr">
        <is>
          <t>Defensivos</t>
        </is>
      </c>
      <c r="G374" s="13" t="inlineStr">
        <is>
          <t>Herbicida (Princípio Ativo / Técnico)</t>
        </is>
      </c>
      <c r="H374" s="13" t="inlineStr">
        <is>
          <t>TC</t>
        </is>
      </c>
      <c r="I374" s="13" t="inlineStr">
        <is>
          <t>Produto Técnico Industrial (TC)</t>
        </is>
      </c>
      <c r="J374" s="13" t="inlineStr">
        <is>
          <t>Herbicida de contato não seletivo em pós-emergência (seletivo p/ OGM LibertyLink)</t>
        </is>
      </c>
      <c r="K374" s="13" t="inlineStr">
        <is>
          <t>Homoalanina substituída (Ácido fosfínico)</t>
        </is>
      </c>
      <c r="L374" s="13" t="inlineStr">
        <is>
          <t>HRAC Grupo H (10) — Inibidores da Glutamina Sintetase</t>
        </is>
      </c>
      <c r="M374" s="13" t="inlineStr">
        <is>
          <t>Inibição da enzima glutamina sintetase (acúmulo de amônia intracelular)</t>
        </is>
      </c>
      <c r="N374" s="13" t="inlineStr">
        <is>
          <t>Categoria 4 — Produto Pouco Tóxico</t>
        </is>
      </c>
      <c r="O374" s="13" t="inlineStr">
        <is>
          <t>Azul PMS Blue 293 C</t>
        </is>
      </c>
      <c r="P374" s="13" t="inlineStr">
        <is>
          <t>Classe III — Produto Perigoso ao Meio Ambiente</t>
        </is>
      </c>
      <c r="Q374" s="15" t="n">
        <v>24</v>
      </c>
      <c r="R374" s="13" t="inlineStr">
        <is>
          <t>Terrestre / Aérea (Drones consultar bula)</t>
        </is>
      </c>
      <c r="S374" s="13" t="inlineStr">
        <is>
          <t>Sem antídoto específico; monitorar SNC por 48h e suporte ventilatório</t>
        </is>
      </c>
      <c r="T374" s="13" t="inlineStr">
        <is>
          <t>RAINBOW DEFENSIVOS AGRÍCOLAS LTDA.</t>
        </is>
      </c>
      <c r="U374" s="16">
        <f>HYPERLINK("https://www.adapar.pr.gov.br/Pagina/Agrotoxicos-Herbicidas", "Registro Oficial Glucare 200 SL (MAPA 0120)")</f>
        <v/>
      </c>
    </row>
    <row r="375" ht="22" customHeight="1">
      <c r="A375" s="5" t="n">
        <v>370</v>
      </c>
      <c r="B375" s="6" t="inlineStr">
        <is>
          <t>Nº 36419</t>
        </is>
      </c>
      <c r="C375" s="7" t="inlineStr">
        <is>
          <t>PIRIPROXIFEM 100 (PRINCIPIO ATIVO)</t>
        </is>
      </c>
      <c r="D375" s="8" t="inlineStr">
        <is>
          <t>PIRIPROXIFEM 100 (PRINCIPIO ATIVO)</t>
        </is>
      </c>
      <c r="E375" s="7" t="inlineStr">
        <is>
          <t>Produto Técnico Industrial</t>
        </is>
      </c>
      <c r="F375" s="7" t="inlineStr">
        <is>
          <t>Defensivos</t>
        </is>
      </c>
      <c r="G375" s="7" t="inlineStr">
        <is>
          <t>Inseticida (Princípio Ativo / Técnico)</t>
        </is>
      </c>
      <c r="H375" s="7" t="inlineStr">
        <is>
          <t>TC</t>
        </is>
      </c>
      <c r="I375" s="7" t="inlineStr">
        <is>
          <t>Produto Técnico Industrial (TC)</t>
        </is>
      </c>
      <c r="J375" s="7" t="inlineStr">
        <is>
          <t>Inseticida fisiológico regulador de crescimento (contato e translaminar)</t>
        </is>
      </c>
      <c r="K375" s="7" t="inlineStr">
        <is>
          <t>Éter piridiloxipropílico</t>
        </is>
      </c>
      <c r="L375" s="7" t="inlineStr">
        <is>
          <t>IRAC Grupo 7C</t>
        </is>
      </c>
      <c r="M375" s="7" t="inlineStr">
        <is>
          <t>Mimetizadores do hormônio juvenil (Juvenoides)</t>
        </is>
      </c>
      <c r="N375" s="7" t="inlineStr">
        <is>
          <t>Categoria 5 — Produto Improvável de Causar Dano Agudo</t>
        </is>
      </c>
      <c r="O375" s="7" t="inlineStr">
        <is>
          <t>Azul Intenso</t>
        </is>
      </c>
      <c r="P375" s="7" t="inlineStr">
        <is>
          <t>Classe II — Produto Muito Perigoso ao Meio Ambiente</t>
        </is>
      </c>
      <c r="Q375" s="9" t="n">
        <v>24</v>
      </c>
      <c r="R375" s="7" t="inlineStr">
        <is>
          <t>Terrestre / Aérea (Drones consultar bula)</t>
        </is>
      </c>
      <c r="S375" s="7" t="inlineStr">
        <is>
          <t>Sem antídoto específico; tratamento sintomático</t>
        </is>
      </c>
      <c r="T375" s="7" t="inlineStr">
        <is>
          <t>CCAB Agro S.A.</t>
        </is>
      </c>
      <c r="U375" s="10">
        <f>HYPERLINK("https://agrofit.agricultura.gov.br/agrofit_cons/principal_agrofit_cons", "Consulta Oficial AGROFIT/MAPA (Nº 36419)")</f>
        <v/>
      </c>
    </row>
    <row r="376" ht="22" customHeight="1">
      <c r="A376" s="11" t="n">
        <v>371</v>
      </c>
      <c r="B376" s="12" t="inlineStr">
        <is>
          <t>Nº 26322</t>
        </is>
      </c>
      <c r="C376" s="13" t="inlineStr">
        <is>
          <t>FIPRONIL 800 WG YONON 4X5KG</t>
        </is>
      </c>
      <c r="D376" s="14" t="inlineStr">
        <is>
          <t>FIPRONIL 800 WG YONON</t>
        </is>
      </c>
      <c r="E376" s="13" t="inlineStr">
        <is>
          <t>Produto Formulado Comercial</t>
        </is>
      </c>
      <c r="F376" s="13" t="inlineStr">
        <is>
          <t>Defensivos</t>
        </is>
      </c>
      <c r="G376" s="13" t="inlineStr">
        <is>
          <t>Inseticida e Cupinicida (Fipronil)</t>
        </is>
      </c>
      <c r="H376" s="13" t="inlineStr">
        <is>
          <t>WG</t>
        </is>
      </c>
      <c r="I376" s="13" t="inlineStr">
        <is>
          <t>Grânulos Dispersíveis em Água (WG)</t>
        </is>
      </c>
      <c r="J376" s="13" t="inlineStr">
        <is>
          <t>Inseticida, cupinicida e formicida de contato e ingestão (TS / Solo)</t>
        </is>
      </c>
      <c r="K376" s="13" t="inlineStr">
        <is>
          <t>Pirazol (Fenilpirazol)</t>
        </is>
      </c>
      <c r="L376" s="13" t="inlineStr">
        <is>
          <t>IRAC Grupo 2B</t>
        </is>
      </c>
      <c r="M376" s="13" t="inlineStr">
        <is>
          <t>Bloqueadores de canais de cloro mediados pelo GABA</t>
        </is>
      </c>
      <c r="N376" s="13" t="inlineStr">
        <is>
          <t>Categoria 3 — Produto Moderadamente Tóxico</t>
        </is>
      </c>
      <c r="O376" s="13" t="inlineStr">
        <is>
          <t>Amarelo PMS Yellow C</t>
        </is>
      </c>
      <c r="P376" s="13" t="inlineStr">
        <is>
          <t>Classe II — Produto Muito Perigoso ao Meio Ambiente</t>
        </is>
      </c>
      <c r="Q376" s="15" t="n">
        <v>24</v>
      </c>
      <c r="R376" s="13" t="inlineStr">
        <is>
          <t>Terrestre / Aérea (Drones consultar bula)</t>
        </is>
      </c>
      <c r="S376" s="13" t="inlineStr">
        <is>
          <t>Sem antídoto específico; tratamento sintomático e controle neurológico</t>
        </is>
      </c>
      <c r="T376" s="13" t="inlineStr">
        <is>
          <t>YONON BRASIL DEFENSIVOS AGRÍCOLAS LTDA.</t>
        </is>
      </c>
      <c r="U376" s="16">
        <f>HYPERLINK("https://agrofit.agricultura.gov.br/agrofit_cons/principal_agrofit_cons", "Consulta Oficial AGROFIT/MAPA (Nº 26322)")</f>
        <v/>
      </c>
    </row>
    <row r="377" ht="22" customHeight="1">
      <c r="A377" s="5" t="n">
        <v>372</v>
      </c>
      <c r="B377" s="6" t="inlineStr">
        <is>
          <t>Nº 1522</t>
        </is>
      </c>
      <c r="C377" s="7" t="inlineStr">
        <is>
          <t>ADVER 240 SC 20L</t>
        </is>
      </c>
      <c r="D377" s="8" t="inlineStr">
        <is>
          <t>ADVER</t>
        </is>
      </c>
      <c r="E377" s="7" t="inlineStr">
        <is>
          <t>Produto Formulado Comercial</t>
        </is>
      </c>
      <c r="F377" s="7" t="inlineStr">
        <is>
          <t>Defensivos</t>
        </is>
      </c>
      <c r="G377" s="7" t="inlineStr">
        <is>
          <t>Inseticida e Acaricida</t>
        </is>
      </c>
      <c r="H377" s="7" t="inlineStr">
        <is>
          <t>SC</t>
        </is>
      </c>
      <c r="I377" s="7" t="inlineStr">
        <is>
          <t>SC - Suspensão Concentrada</t>
        </is>
      </c>
      <c r="J377" s="7" t="inlineStr">
        <is>
          <t>Inseticida e acaricida de contato e ingestão com ação translaminar</t>
        </is>
      </c>
      <c r="K377" s="7" t="inlineStr">
        <is>
          <t>Análogo de pirazol (Arilpirrol)</t>
        </is>
      </c>
      <c r="L377" s="7" t="inlineStr">
        <is>
          <t>IRAC Grupo 13</t>
        </is>
      </c>
      <c r="M377" s="7" t="inlineStr">
        <is>
          <t>Desacopladores da fosforilação oxidativa via disrupção do gradiente de prótons</t>
        </is>
      </c>
      <c r="N377" s="7" t="inlineStr">
        <is>
          <t>Categoria 5: Produto Improvável de Causa Dano Agudo</t>
        </is>
      </c>
      <c r="O377" s="7" t="inlineStr">
        <is>
          <t>Azul</t>
        </is>
      </c>
      <c r="P377" s="7" t="inlineStr">
        <is>
          <t>Classe II — Produto Muito Perigoso ao Meio Ambiente</t>
        </is>
      </c>
      <c r="Q377" s="9" t="n">
        <v>24</v>
      </c>
      <c r="R377" s="7" t="inlineStr">
        <is>
          <t>Terrestre / Aérea (Drones consultar bula)</t>
        </is>
      </c>
      <c r="S377" s="7" t="inlineStr">
        <is>
          <t>Sem antídoto específico; controle rigoroso de hipertermia (antitérmicos comuns ineficazes)</t>
        </is>
      </c>
      <c r="T377" s="7" t="inlineStr">
        <is>
          <t>TECNOMYL BRASIL DISTRIBUIDORA DE PRODUTOS AGRICOLAS LTDA</t>
        </is>
      </c>
      <c r="U377" s="10">
        <f>HYPERLINK("https://agrofit.agricultura.gov.br/agrofit_cons/principal_agrofit_cons", "Consulta Oficial AGROFIT/MAPA (Nº 1522)")</f>
        <v/>
      </c>
    </row>
    <row r="378" ht="22" customHeight="1">
      <c r="A378" s="11" t="n">
        <v>373</v>
      </c>
      <c r="B378" s="12" t="inlineStr">
        <is>
          <t>Nº 36419</t>
        </is>
      </c>
      <c r="C378" s="13" t="inlineStr">
        <is>
          <t>PIRIPROXIFEM CCAB 100 EC 1X20L</t>
        </is>
      </c>
      <c r="D378" s="14" t="inlineStr">
        <is>
          <t>PIRIPROXIFEM CCAB 100 EC</t>
        </is>
      </c>
      <c r="E378" s="13" t="inlineStr">
        <is>
          <t>Produto Formulado Comercial</t>
        </is>
      </c>
      <c r="F378" s="13" t="inlineStr">
        <is>
          <t>Defensivos</t>
        </is>
      </c>
      <c r="G378" s="13" t="inlineStr">
        <is>
          <t>Inseticida</t>
        </is>
      </c>
      <c r="H378" s="13" t="inlineStr">
        <is>
          <t>EC</t>
        </is>
      </c>
      <c r="I378" s="13" t="inlineStr">
        <is>
          <t>Concentrado Emulsionável (EC)</t>
        </is>
      </c>
      <c r="J378" s="13" t="inlineStr">
        <is>
          <t>Inseticida fisiológico regulador de crescimento (contato e translaminar)</t>
        </is>
      </c>
      <c r="K378" s="13" t="inlineStr">
        <is>
          <t>Éter piridiloxipropílico</t>
        </is>
      </c>
      <c r="L378" s="13" t="inlineStr">
        <is>
          <t>IRAC Grupo 7C</t>
        </is>
      </c>
      <c r="M378" s="13" t="inlineStr">
        <is>
          <t>Mimetizadores do hormônio juvenil (Juvenoides)</t>
        </is>
      </c>
      <c r="N378" s="13" t="inlineStr">
        <is>
          <t>Categoria 5 — Produto Improvável de Causar Dano Agudo</t>
        </is>
      </c>
      <c r="O378" s="13" t="inlineStr">
        <is>
          <t>Azul Intenso</t>
        </is>
      </c>
      <c r="P378" s="13" t="inlineStr">
        <is>
          <t>Classe II — Produto Muito Perigoso ao Meio Ambiente</t>
        </is>
      </c>
      <c r="Q378" s="15" t="n">
        <v>24</v>
      </c>
      <c r="R378" s="13" t="inlineStr">
        <is>
          <t>Terrestre / Aérea (Drones consultar bula)</t>
        </is>
      </c>
      <c r="S378" s="13" t="inlineStr">
        <is>
          <t>Sem antídoto específico; tratamento sintomático</t>
        </is>
      </c>
      <c r="T378" s="13" t="inlineStr">
        <is>
          <t>CCAB Agro S.A.</t>
        </is>
      </c>
      <c r="U378" s="16">
        <f>HYPERLINK("https://agrofit.agricultura.gov.br/agrofit_cons/principal_agrofit_cons", "Consulta Oficial AGROFIT/MAPA (Nº 36419)")</f>
        <v/>
      </c>
    </row>
    <row r="379" ht="22" customHeight="1">
      <c r="A379" s="5" t="n">
        <v>374</v>
      </c>
      <c r="B379" s="6" t="inlineStr">
        <is>
          <t>Nº 6922</t>
        </is>
      </c>
      <c r="C379" s="7" t="inlineStr">
        <is>
          <t>COFENRIN 2X10L</t>
        </is>
      </c>
      <c r="D379" s="8" t="inlineStr">
        <is>
          <t>COFENRIN</t>
        </is>
      </c>
      <c r="E379" s="7" t="inlineStr">
        <is>
          <t>Produto Formulado Comercial</t>
        </is>
      </c>
      <c r="F379" s="7" t="inlineStr">
        <is>
          <t>Defensivos</t>
        </is>
      </c>
      <c r="G379" s="7" t="inlineStr">
        <is>
          <t>Inseticida e Acaricida</t>
        </is>
      </c>
      <c r="H379" s="7" t="inlineStr">
        <is>
          <t>EC</t>
        </is>
      </c>
      <c r="I379" s="7" t="inlineStr">
        <is>
          <t>Concentrado Emulsionável (EC)</t>
        </is>
      </c>
      <c r="J379" s="7" t="inlineStr">
        <is>
          <t>Inseticida e acaricida de contato e ingestão</t>
        </is>
      </c>
      <c r="K379" s="7" t="inlineStr">
        <is>
          <t>Piretroide (Tipo I)</t>
        </is>
      </c>
      <c r="L379" s="7" t="inlineStr">
        <is>
          <t>IRAC Grupo 3A</t>
        </is>
      </c>
      <c r="M379" s="7" t="inlineStr">
        <is>
          <t>Moduladores de canais de sódio em membranas nervosas</t>
        </is>
      </c>
      <c r="N379" s="7" t="inlineStr">
        <is>
          <t>Categoria 3 — Produto Moderadamente Tóxico</t>
        </is>
      </c>
      <c r="O379" s="7" t="inlineStr">
        <is>
          <t>Amarelo PMS Yellow C</t>
        </is>
      </c>
      <c r="P379" s="7" t="inlineStr">
        <is>
          <t>Classe II — Produto Muito Perigoso ao Meio Ambiente</t>
        </is>
      </c>
      <c r="Q379" s="9" t="n">
        <v>24</v>
      </c>
      <c r="R379" s="7" t="inlineStr">
        <is>
          <t>Terrestre / Aérea (Drones consultar bula)</t>
        </is>
      </c>
      <c r="S379" s="7" t="inlineStr">
        <is>
          <t>Sem antídoto específico; anti-histamínicos e vitamina E tópica para parestesia</t>
        </is>
      </c>
      <c r="T379" s="7" t="inlineStr">
        <is>
          <t>RAINBOW DEFENSIVOS AGRÍCOLAS LTDA.</t>
        </is>
      </c>
      <c r="U379" s="10">
        <f>HYPERLINK("https://agrofit.agricultura.gov.br/agrofit_cons/principal_agrofit_cons", "Consulta Oficial AGROFIT/MAPA (Nº 6922)")</f>
        <v/>
      </c>
    </row>
    <row r="380" ht="22" customHeight="1">
      <c r="A380" s="11" t="n">
        <v>375</v>
      </c>
      <c r="B380" s="12" t="inlineStr">
        <is>
          <t>Nº 3623</t>
        </is>
      </c>
      <c r="C380" s="13" t="inlineStr">
        <is>
          <t>FLUMIOXAZINA 250 + IMAZETAPIR 530 (PRINC. ATIVO)</t>
        </is>
      </c>
      <c r="D380" s="14" t="inlineStr">
        <is>
          <t>FLUMIOXAZINA 250 + IMAZETAPIR 530 (PRINC. ATIVO)</t>
        </is>
      </c>
      <c r="E380" s="13" t="inlineStr">
        <is>
          <t>Produto Técnico Industrial</t>
        </is>
      </c>
      <c r="F380" s="13" t="inlineStr">
        <is>
          <t>Defensivos</t>
        </is>
      </c>
      <c r="G380" s="13" t="inlineStr">
        <is>
          <t>Herbicida (Princípio Ativo / Técnico)</t>
        </is>
      </c>
      <c r="H380" s="13" t="inlineStr">
        <is>
          <t>TC</t>
        </is>
      </c>
      <c r="I380" s="13" t="inlineStr">
        <is>
          <t>Produto Técnico Industrial (TC)</t>
        </is>
      </c>
      <c r="J380" s="13" t="inlineStr">
        <is>
          <t>Herbicida seletivo de contato e residual (pré e pós-emergência inicial)</t>
        </is>
      </c>
      <c r="K380" s="13" t="inlineStr">
        <is>
          <t>Imidazolinona</t>
        </is>
      </c>
      <c r="L380" s="13" t="inlineStr">
        <is>
          <t>HRAC Grupo B (2) — Inibidores da ALS</t>
        </is>
      </c>
      <c r="M380" s="13" t="inlineStr">
        <is>
          <t>Inibição da enzima acetolactato sintase (ALS / AHAS)</t>
        </is>
      </c>
      <c r="N380" s="13" t="inlineStr">
        <is>
          <t>Categoria 4 / 5 — Pouco Tóxico</t>
        </is>
      </c>
      <c r="O380" s="13" t="inlineStr">
        <is>
          <t>Azul Intenso</t>
        </is>
      </c>
      <c r="P380" s="13" t="inlineStr">
        <is>
          <t>Classe II — Produto Muito Perigoso ao Meio Ambiente</t>
        </is>
      </c>
      <c r="Q380" s="15" t="n">
        <v>24</v>
      </c>
      <c r="R380" s="13" t="inlineStr">
        <is>
          <t>Terrestre / Aérea (Drones consultar bula)</t>
        </is>
      </c>
      <c r="S380" s="13" t="inlineStr">
        <is>
          <t>Sem antídoto específico; tratamento sintomático</t>
        </is>
      </c>
      <c r="T380" s="13" t="inlineStr">
        <is>
          <t>RAINBOW DEFENSIVOS AGRÍCOLAS LTDA.</t>
        </is>
      </c>
      <c r="U380" s="16">
        <f>HYPERLINK("https://www.adapar.pr.gov.br/Pagina/Agrotoxicos-Herbicidas", "Registro Oficial Sungain Plus WG (MAPA 3623)")</f>
        <v/>
      </c>
    </row>
    <row r="381" ht="22" customHeight="1">
      <c r="A381" s="5" t="n">
        <v>376</v>
      </c>
      <c r="B381" s="6" t="inlineStr">
        <is>
          <t>Nº 28120</t>
        </is>
      </c>
      <c r="C381" s="7" t="inlineStr">
        <is>
          <t>FLUROXIPIR 200 (PRINCIPIO ATIVO)</t>
        </is>
      </c>
      <c r="D381" s="8" t="inlineStr">
        <is>
          <t>FLUROXIPIR 200 (PRINCIPIO ATIVO)</t>
        </is>
      </c>
      <c r="E381" s="7" t="inlineStr">
        <is>
          <t>Produto Técnico Industrial</t>
        </is>
      </c>
      <c r="F381" s="7" t="inlineStr">
        <is>
          <t>Defensivos</t>
        </is>
      </c>
      <c r="G381" s="7" t="inlineStr">
        <is>
          <t>Herbicida (Princípio Ativo / Técnico)</t>
        </is>
      </c>
      <c r="H381" s="7" t="inlineStr">
        <is>
          <t>TC</t>
        </is>
      </c>
      <c r="I381" s="7" t="inlineStr">
        <is>
          <t>Produto Técnico Industrial (TC)</t>
        </is>
      </c>
      <c r="J381" s="7" t="inlineStr">
        <is>
          <t>Herbicida de pré ou pós-emergência</t>
        </is>
      </c>
      <c r="K381" s="7" t="inlineStr">
        <is>
          <t>Ácido piridiniloxialcanoico</t>
        </is>
      </c>
      <c r="L381" s="7" t="inlineStr">
        <is>
          <t>HRAC Grupo O (4) — Auxinas Sintéticas</t>
        </is>
      </c>
      <c r="M381" s="7" t="inlineStr">
        <is>
          <t>Mimetizadores de auxina sintética (desregulação do crescimento celular)</t>
        </is>
      </c>
      <c r="N381" s="7" t="inlineStr">
        <is>
          <t>Categoria 4 / 5 — Pouco Tóxico (Conforme Bula ANVISA)</t>
        </is>
      </c>
      <c r="O381" s="7" t="inlineStr">
        <is>
          <t>Azul PMS Blue 293 C</t>
        </is>
      </c>
      <c r="P381" s="7" t="inlineStr">
        <is>
          <t>Classe II / III — Perigoso ao Meio Ambiente</t>
        </is>
      </c>
      <c r="Q381" s="9" t="n">
        <v>24</v>
      </c>
      <c r="R381" s="7" t="inlineStr">
        <is>
          <t>Terrestre / Aérea (Drones consultar bula)</t>
        </is>
      </c>
      <c r="S381" s="7" t="inlineStr">
        <is>
          <t>Sem antídoto específico; tratamento sintomático e descontaminação</t>
        </is>
      </c>
      <c r="T381" s="7" t="inlineStr">
        <is>
          <t>RAINBOW DEFENSIVOS AGRÍCOLAS LTDA.</t>
        </is>
      </c>
      <c r="U381" s="10">
        <f>HYPERLINK("https://www.adapar.pr.gov.br/Pagina/Agrotoxicos-Herbicidas", "Registro Oficial Widclear 200 EC (MAPA 28120)")</f>
        <v/>
      </c>
    </row>
    <row r="382" ht="22" customHeight="1">
      <c r="A382" s="11" t="n">
        <v>377</v>
      </c>
      <c r="B382" s="12" t="inlineStr">
        <is>
          <t>Nº 31422</t>
        </is>
      </c>
      <c r="C382" s="13" t="inlineStr">
        <is>
          <t>ZARPAL 12X1L (IMP) GY</t>
        </is>
      </c>
      <c r="D382" s="14" t="inlineStr">
        <is>
          <t>ZARPAL</t>
        </is>
      </c>
      <c r="E382" s="13" t="inlineStr">
        <is>
          <t>Produto Formulado Comercial</t>
        </is>
      </c>
      <c r="F382" s="13" t="inlineStr">
        <is>
          <t>Defensivos</t>
        </is>
      </c>
      <c r="G382" s="13" t="inlineStr">
        <is>
          <t>Inseticida</t>
        </is>
      </c>
      <c r="H382" s="13" t="inlineStr">
        <is>
          <t>SC</t>
        </is>
      </c>
      <c r="I382" s="13" t="inlineStr">
        <is>
          <t>Suspensão Concentrada (SC)</t>
        </is>
      </c>
      <c r="J382" s="13" t="inlineStr">
        <is>
          <t>Inseticida e acaricida de contato e ingestão</t>
        </is>
      </c>
      <c r="K382" s="13" t="inlineStr">
        <is>
          <t>Benzoilureia + Piretroide (Tipo I)</t>
        </is>
      </c>
      <c r="L382" s="13" t="inlineStr">
        <is>
          <t>IRAC Grupo 15 + IRAC Grupo 3A</t>
        </is>
      </c>
      <c r="M382" s="13" t="inlineStr">
        <is>
          <t>Inibidores da biossíntese de quitina, Tipo 0; Moduladores de canais de sódio em membranas nervosas</t>
        </is>
      </c>
      <c r="N382" s="13" t="inlineStr">
        <is>
          <t>Categoria 4 — Produto Pouco Tóxico</t>
        </is>
      </c>
      <c r="O382" s="13" t="inlineStr">
        <is>
          <t>Azul PMS Blue 293 C</t>
        </is>
      </c>
      <c r="P382" s="13" t="inlineStr">
        <is>
          <t>Classe II — Produto Muito Perigoso ao Meio Ambiente</t>
        </is>
      </c>
      <c r="Q382" s="15" t="n">
        <v>24</v>
      </c>
      <c r="R382" s="13" t="inlineStr">
        <is>
          <t>Terrestre / Aérea (Drones consultar bula)</t>
        </is>
      </c>
      <c r="S382" s="13" t="inlineStr">
        <is>
          <t>Sem antídoto específico; anti-histamínicos e vitamina E tópica para parestesia</t>
        </is>
      </c>
      <c r="T382" s="13" t="inlineStr">
        <is>
          <t>GLOBACHEM PROTEÇÃO DE CULTIVOS DO BRASIL LTDA.</t>
        </is>
      </c>
      <c r="U382" s="16">
        <f>HYPERLINK("https://globachem.br.com/wp-content/uploads/2023/04/ALON_Bula_Agrofit.pdf", "Bula Oficial Alon/Buffon/Zarpal (Globachem/MAPA 31422)")</f>
        <v/>
      </c>
    </row>
    <row r="383" ht="22" customHeight="1">
      <c r="A383" s="5" t="n">
        <v>378</v>
      </c>
      <c r="B383" s="6" t="inlineStr">
        <is>
          <t>SIPEAGRO (UF-XXXXX)</t>
        </is>
      </c>
      <c r="C383" s="7" t="inlineStr">
        <is>
          <t>AGCN PRODUZ + 1X10KG</t>
        </is>
      </c>
      <c r="D383" s="8" t="inlineStr">
        <is>
          <t>AGCN PRODUZ +</t>
        </is>
      </c>
      <c r="E383" s="7" t="inlineStr">
        <is>
          <t>Fertilizante Mineral / Organomineral</t>
        </is>
      </c>
      <c r="F383" s="7" t="inlineStr">
        <is>
          <t>Fertilizantes</t>
        </is>
      </c>
      <c r="G383" s="7" t="inlineStr">
        <is>
          <t>Fertilizante Organomineral / Bioestimulante</t>
        </is>
      </c>
      <c r="H383" s="7" t="inlineStr">
        <is>
          <t>Granulado</t>
        </is>
      </c>
      <c r="I383" s="7" t="inlineStr">
        <is>
          <t>Formulação Padrão (Granulado / Solúvel / Suspensão)</t>
        </is>
      </c>
      <c r="J383" s="7" t="inlineStr">
        <is>
          <t>Aplicação via solo, fertirrigação ou adubação foliar</t>
        </is>
      </c>
      <c r="K383" s="7" t="inlineStr">
        <is>
          <t>Fertilizante Mineral / Organomineral (Lei nº 6.894/1980)</t>
        </is>
      </c>
      <c r="L383" s="7" t="inlineStr">
        <is>
          <t>Nutrição Vegetal SIPEAGRO</t>
        </is>
      </c>
      <c r="M383" s="7" t="inlineStr">
        <is>
          <t>Fornecimento de macro e micronutrientes essenciais ao metabolismo vegetal</t>
        </is>
      </c>
      <c r="N383" s="7" t="inlineStr">
        <is>
          <t>Isento ANVISA (Produto Fertilizante Registrado no SIPEAGRO/MAPA)</t>
        </is>
      </c>
      <c r="O383" s="7" t="inlineStr">
        <is>
          <t>Não Aplicável (Fertilizante)</t>
        </is>
      </c>
      <c r="P383" s="7" t="inlineStr">
        <is>
          <t>Baixo Potencial Poluidor (Uso conforme recomendação agronômica)</t>
        </is>
      </c>
      <c r="Q383" s="9" t="n">
        <v>0</v>
      </c>
      <c r="R383" s="7" t="inlineStr">
        <is>
          <t>Aplicação Dirigida / TS / Solo</t>
        </is>
      </c>
      <c r="S383" s="7" t="inlineStr">
        <is>
          <t>Tratamento sintomático em caso de ingestão acidental</t>
        </is>
      </c>
      <c r="T383" s="7" t="inlineStr">
        <is>
          <t>Estabelecimento Produtor SIPEAGRO/MAPA</t>
        </is>
      </c>
      <c r="U383" s="10">
        <f>HYPERLINK("https://www.gov.br/agricultura/pt-br/assuntos/insumos-agropecuarios/insumos-agricolas/fertilizantes", "Portal SIPEAGRO / MAPA — Fertilizantes e Bioinsumos")</f>
        <v/>
      </c>
    </row>
    <row r="384" ht="22" customHeight="1">
      <c r="A384" s="11" t="n">
        <v>379</v>
      </c>
      <c r="B384" s="12" t="inlineStr">
        <is>
          <t>SIPEAGRO (UF-XXXXX)</t>
        </is>
      </c>
      <c r="C384" s="13" t="inlineStr">
        <is>
          <t>AGCN PLUM</t>
        </is>
      </c>
      <c r="D384" s="14" t="inlineStr">
        <is>
          <t>AGCN PLUM</t>
        </is>
      </c>
      <c r="E384" s="13" t="inlineStr">
        <is>
          <t>Fertilizante Mineral / Organomineral</t>
        </is>
      </c>
      <c r="F384" s="13" t="inlineStr">
        <is>
          <t>Fertilizantes</t>
        </is>
      </c>
      <c r="G384" s="13" t="inlineStr">
        <is>
          <t>Fertilizante Mineral Simples (Nitrogenado)</t>
        </is>
      </c>
      <c r="H384" s="13" t="inlineStr">
        <is>
          <t>Granulado</t>
        </is>
      </c>
      <c r="I384" s="13" t="inlineStr">
        <is>
          <t>Formulação Padrão (Granulado / Solúvel / Suspensão)</t>
        </is>
      </c>
      <c r="J384" s="13" t="inlineStr">
        <is>
          <t>Aplicação via solo, fertirrigação ou adubação foliar</t>
        </is>
      </c>
      <c r="K384" s="13" t="inlineStr">
        <is>
          <t>Fertilizante Mineral / Organomineral (Lei nº 6.894/1980)</t>
        </is>
      </c>
      <c r="L384" s="13" t="inlineStr">
        <is>
          <t>Nutrição Vegetal SIPEAGRO</t>
        </is>
      </c>
      <c r="M384" s="13" t="inlineStr">
        <is>
          <t>Fornecimento de macro e micronutrientes essenciais ao metabolismo vegetal</t>
        </is>
      </c>
      <c r="N384" s="13" t="inlineStr">
        <is>
          <t>Isento ANVISA (Produto Fertilizante Registrado no SIPEAGRO/MAPA)</t>
        </is>
      </c>
      <c r="O384" s="13" t="inlineStr">
        <is>
          <t>Não Aplicável (Fertilizante)</t>
        </is>
      </c>
      <c r="P384" s="13" t="inlineStr">
        <is>
          <t>Baixo Potencial Poluidor (Uso conforme recomendação agronômica)</t>
        </is>
      </c>
      <c r="Q384" s="15" t="n">
        <v>0</v>
      </c>
      <c r="R384" s="13" t="inlineStr">
        <is>
          <t>Aplicação Dirigida / TS / Solo</t>
        </is>
      </c>
      <c r="S384" s="13" t="inlineStr">
        <is>
          <t>Tratamento sintomático em caso de ingestão acidental</t>
        </is>
      </c>
      <c r="T384" s="13" t="inlineStr">
        <is>
          <t>Estabelecimento Produtor SIPEAGRO/MAPA</t>
        </is>
      </c>
      <c r="U384" s="16">
        <f>HYPERLINK("https://www.gov.br/agricultura/pt-br/assuntos/insumos-agropecuarios/insumos-agricolas/fertilizantes", "Portal SIPEAGRO / MAPA — Fertilizantes e Bioinsumos")</f>
        <v/>
      </c>
    </row>
    <row r="385" ht="22" customHeight="1">
      <c r="A385" s="5" t="n">
        <v>380</v>
      </c>
      <c r="B385" s="6" t="inlineStr">
        <is>
          <t>SIPEAGRO (UF-XXXXX)</t>
        </is>
      </c>
      <c r="C385" s="7" t="inlineStr">
        <is>
          <t>AGCN PRO+ 1X10KG</t>
        </is>
      </c>
      <c r="D385" s="8" t="inlineStr">
        <is>
          <t>AGCN PRO+</t>
        </is>
      </c>
      <c r="E385" s="7" t="inlineStr">
        <is>
          <t>Fertilizante Mineral / Organomineral</t>
        </is>
      </c>
      <c r="F385" s="7" t="inlineStr">
        <is>
          <t>Fertilizantes</t>
        </is>
      </c>
      <c r="G385" s="7" t="inlineStr">
        <is>
          <t>Fertilizante Mineral Simples (Nitrogenado)</t>
        </is>
      </c>
      <c r="H385" s="7" t="inlineStr">
        <is>
          <t>Granulado</t>
        </is>
      </c>
      <c r="I385" s="7" t="inlineStr">
        <is>
          <t>Formulação Padrão (Granulado / Solúvel / Suspensão)</t>
        </is>
      </c>
      <c r="J385" s="7" t="inlineStr">
        <is>
          <t>Aplicação via solo, fertirrigação ou adubação foliar</t>
        </is>
      </c>
      <c r="K385" s="7" t="inlineStr">
        <is>
          <t>Fertilizante Mineral / Organomineral (Lei nº 6.894/1980)</t>
        </is>
      </c>
      <c r="L385" s="7" t="inlineStr">
        <is>
          <t>Nutrição Vegetal SIPEAGRO</t>
        </is>
      </c>
      <c r="M385" s="7" t="inlineStr">
        <is>
          <t>Fornecimento de macro e micronutrientes essenciais ao metabolismo vegetal</t>
        </is>
      </c>
      <c r="N385" s="7" t="inlineStr">
        <is>
          <t>Isento ANVISA (Produto Fertilizante Registrado no SIPEAGRO/MAPA)</t>
        </is>
      </c>
      <c r="O385" s="7" t="inlineStr">
        <is>
          <t>Não Aplicável (Fertilizante)</t>
        </is>
      </c>
      <c r="P385" s="7" t="inlineStr">
        <is>
          <t>Baixo Potencial Poluidor (Uso conforme recomendação agronômica)</t>
        </is>
      </c>
      <c r="Q385" s="9" t="n">
        <v>0</v>
      </c>
      <c r="R385" s="7" t="inlineStr">
        <is>
          <t>Aplicação Dirigida / TS / Solo</t>
        </is>
      </c>
      <c r="S385" s="7" t="inlineStr">
        <is>
          <t>Tratamento sintomático em caso de ingestão acidental</t>
        </is>
      </c>
      <c r="T385" s="7" t="inlineStr">
        <is>
          <t>Estabelecimento Produtor SIPEAGRO/MAPA</t>
        </is>
      </c>
      <c r="U385" s="10">
        <f>HYPERLINK("https://www.gov.br/agricultura/pt-br/assuntos/insumos-agropecuarios/insumos-agricolas/fertilizantes", "Portal SIPEAGRO / MAPA — Fertilizantes e Bioinsumos")</f>
        <v/>
      </c>
    </row>
    <row r="386" ht="22" customHeight="1">
      <c r="A386" s="11" t="n">
        <v>381</v>
      </c>
      <c r="B386" s="12" t="inlineStr">
        <is>
          <t>Nº 34018</t>
        </is>
      </c>
      <c r="C386" s="13" t="inlineStr">
        <is>
          <t>BIOLOGIC GUARD 4X5L</t>
        </is>
      </c>
      <c r="D386" s="14" t="inlineStr">
        <is>
          <t>BIOLOGIC GUARD</t>
        </is>
      </c>
      <c r="E386" s="13" t="inlineStr">
        <is>
          <t>Produto Formulado Comercial</t>
        </is>
      </c>
      <c r="F386" s="13" t="inlineStr">
        <is>
          <t>Defensivos</t>
        </is>
      </c>
      <c r="G386" s="13" t="inlineStr">
        <is>
          <t>Biofungicida (Biológico)</t>
        </is>
      </c>
      <c r="H386" s="13" t="inlineStr">
        <is>
          <t>SC</t>
        </is>
      </c>
      <c r="I386" s="13" t="inlineStr">
        <is>
          <t>Suspensão Concentrada (SC)</t>
        </is>
      </c>
      <c r="J386" s="13" t="inlineStr">
        <is>
          <t>Tratamento de sementes, sulco de plantio ou pulverização foliar</t>
        </is>
      </c>
      <c r="K386" s="13" t="inlineStr">
        <is>
          <t>Inoculante / Agente Biológico de Controle</t>
        </is>
      </c>
      <c r="L386" s="13" t="inlineStr">
        <is>
          <t>Bioinsumo Agrícola</t>
        </is>
      </c>
      <c r="M386" s="13" t="inlineStr">
        <is>
          <t>Simbiose radicular, antagonismo biológico ou controle entomopatogênico</t>
        </is>
      </c>
      <c r="N386" s="13" t="inlineStr">
        <is>
          <t>Categoria 5 / Isento (Bioinsumo)</t>
        </is>
      </c>
      <c r="O386" s="13" t="inlineStr">
        <is>
          <t>Azul Intenso</t>
        </is>
      </c>
      <c r="P386" s="13" t="inlineStr">
        <is>
          <t>Classe IV — Produto Pouco Perigoso ao Meio Ambiente</t>
        </is>
      </c>
      <c r="Q386" s="15" t="n">
        <v>24</v>
      </c>
      <c r="R386" s="13" t="inlineStr">
        <is>
          <t>Terrestre / Aérea (Drones consultar bula)</t>
        </is>
      </c>
      <c r="S386" s="13" t="inlineStr">
        <is>
          <t>Tratamento sintomático</t>
        </is>
      </c>
      <c r="T386" s="13" t="inlineStr">
        <is>
          <t>BALLAGRO AGRO TECNOLOGIA LTDA.</t>
        </is>
      </c>
      <c r="U386" s="16">
        <f>HYPERLINK("https://www.adapar.pr.gov.br/Pagina/Agrotoxicos-Fungicidas", "Registro Oficial Biologic Guard (MAPA 34018)")</f>
        <v/>
      </c>
    </row>
    <row r="387" ht="22" customHeight="1">
      <c r="A387" s="5" t="n">
        <v>382</v>
      </c>
      <c r="B387" s="6" t="inlineStr">
        <is>
          <t>Nº 18022</t>
        </is>
      </c>
      <c r="C387" s="7" t="inlineStr">
        <is>
          <t>TARBOX 4X5KG (IMP) GL</t>
        </is>
      </c>
      <c r="D387" s="8" t="inlineStr">
        <is>
          <t>TARBOX</t>
        </is>
      </c>
      <c r="E387" s="7" t="inlineStr">
        <is>
          <t>Produto Formulado Comercial</t>
        </is>
      </c>
      <c r="F387" s="7" t="inlineStr">
        <is>
          <t>Defensivos</t>
        </is>
      </c>
      <c r="G387" s="7" t="inlineStr">
        <is>
          <t>Herbicida</t>
        </is>
      </c>
      <c r="H387" s="7" t="inlineStr">
        <is>
          <t>WG</t>
        </is>
      </c>
      <c r="I387" s="7" t="inlineStr">
        <is>
          <t>Grânulos Dispersíveis em Água (WG)</t>
        </is>
      </c>
      <c r="J387" s="7" t="inlineStr">
        <is>
          <t>Herbicida de contato não seletivo em pós-emergência (seletivo p/ OGM LibertyLink)</t>
        </is>
      </c>
      <c r="K387" s="7" t="inlineStr">
        <is>
          <t>Homoalanina substituída (Ácido fosfínico)</t>
        </is>
      </c>
      <c r="L387" s="7" t="inlineStr">
        <is>
          <t>HRAC Grupo H (10) — Inibidores da Glutamina Sintetase</t>
        </is>
      </c>
      <c r="M387" s="7" t="inlineStr">
        <is>
          <t>Inibição da enzima glutamina sintetase (acúmulo de amônia intracelular)</t>
        </is>
      </c>
      <c r="N387" s="7" t="inlineStr">
        <is>
          <t>Categoria 4 — Produto Pouco Tóxico</t>
        </is>
      </c>
      <c r="O387" s="7" t="inlineStr">
        <is>
          <t>Azul PMS Blue 293 C</t>
        </is>
      </c>
      <c r="P387" s="7" t="inlineStr">
        <is>
          <t>Classe III — Produto Perigoso ao Meio Ambiente</t>
        </is>
      </c>
      <c r="Q387" s="9" t="n">
        <v>24</v>
      </c>
      <c r="R387" s="7" t="inlineStr">
        <is>
          <t>Terrestre / Aérea (Drones consultar bula)</t>
        </is>
      </c>
      <c r="S387" s="7" t="inlineStr">
        <is>
          <t>Sem antídoto específico; monitorar SNC por 48h e suporte ventilatório</t>
        </is>
      </c>
      <c r="T387" s="7" t="inlineStr">
        <is>
          <t>GLOBACHEM PROTEÇÃO DE CULTIVOS DO BRASIL LTDA.</t>
        </is>
      </c>
      <c r="U387" s="10">
        <f>HYPERLINK("https://www.adapar.pr.gov.br/Pagina/Agrotoxicos-Herbicidas", "Registro Oficial Tarbox 850 WG (MAPA 18022)")</f>
        <v/>
      </c>
    </row>
    <row r="388" ht="22" customHeight="1">
      <c r="A388" s="11" t="n">
        <v>383</v>
      </c>
      <c r="B388" s="12" t="inlineStr">
        <is>
          <t>Nº 6922</t>
        </is>
      </c>
      <c r="C388" s="13" t="inlineStr">
        <is>
          <t>COFENRIN 4X5L</t>
        </is>
      </c>
      <c r="D388" s="14" t="inlineStr">
        <is>
          <t>COFENRIN</t>
        </is>
      </c>
      <c r="E388" s="13" t="inlineStr">
        <is>
          <t>Produto Formulado Comercial</t>
        </is>
      </c>
      <c r="F388" s="13" t="inlineStr">
        <is>
          <t>Defensivos</t>
        </is>
      </c>
      <c r="G388" s="13" t="inlineStr">
        <is>
          <t>Inseticida e Acaricida</t>
        </is>
      </c>
      <c r="H388" s="13" t="inlineStr">
        <is>
          <t>EC</t>
        </is>
      </c>
      <c r="I388" s="13" t="inlineStr">
        <is>
          <t>Concentrado Emulsionável (EC)</t>
        </is>
      </c>
      <c r="J388" s="13" t="inlineStr">
        <is>
          <t>Inseticida e acaricida de contato e ingestão</t>
        </is>
      </c>
      <c r="K388" s="13" t="inlineStr">
        <is>
          <t>Piretroide (Tipo I)</t>
        </is>
      </c>
      <c r="L388" s="13" t="inlineStr">
        <is>
          <t>IRAC Grupo 3A</t>
        </is>
      </c>
      <c r="M388" s="13" t="inlineStr">
        <is>
          <t>Moduladores de canais de sódio em membranas nervosas</t>
        </is>
      </c>
      <c r="N388" s="13" t="inlineStr">
        <is>
          <t>Categoria 3 — Produto Moderadamente Tóxico</t>
        </is>
      </c>
      <c r="O388" s="13" t="inlineStr">
        <is>
          <t>Amarelo PMS Yellow C</t>
        </is>
      </c>
      <c r="P388" s="13" t="inlineStr">
        <is>
          <t>Classe II — Produto Muito Perigoso ao Meio Ambiente</t>
        </is>
      </c>
      <c r="Q388" s="15" t="n">
        <v>24</v>
      </c>
      <c r="R388" s="13" t="inlineStr">
        <is>
          <t>Terrestre / Aérea (Drones consultar bula)</t>
        </is>
      </c>
      <c r="S388" s="13" t="inlineStr">
        <is>
          <t>Sem antídoto específico; anti-histamínicos e vitamina E tópica para parestesia</t>
        </is>
      </c>
      <c r="T388" s="13" t="inlineStr">
        <is>
          <t>RAINBOW DEFENSIVOS AGRÍCOLAS LTDA.</t>
        </is>
      </c>
      <c r="U388" s="16">
        <f>HYPERLINK("https://agrofit.agricultura.gov.br/agrofit_cons/principal_agrofit_cons", "Consulta Oficial AGROFIT/MAPA (Nº 6922)")</f>
        <v/>
      </c>
    </row>
    <row r="389" ht="22" customHeight="1">
      <c r="A389" s="5" t="n">
        <v>384</v>
      </c>
      <c r="B389" s="6" t="inlineStr">
        <is>
          <t>SIPEAGRO (UF-XXXXX)</t>
        </is>
      </c>
      <c r="C389" s="7" t="inlineStr">
        <is>
          <t>SSP FERTLIZANTE SIMPLES (VALIDAR FISCAL)</t>
        </is>
      </c>
      <c r="D389" s="8" t="inlineStr">
        <is>
          <t>SSP FERTLIZANTE SIMPLES (VALIDAR FISCAL)</t>
        </is>
      </c>
      <c r="E389" s="7" t="inlineStr">
        <is>
          <t>Fertilizante Mineral / Organomineral</t>
        </is>
      </c>
      <c r="F389" s="7" t="inlineStr">
        <is>
          <t>Fertilizantes</t>
        </is>
      </c>
      <c r="G389" s="7" t="inlineStr">
        <is>
          <t>Fertilizante Mineral Simples (Fosfatado)</t>
        </is>
      </c>
      <c r="H389" s="7" t="inlineStr">
        <is>
          <t>Granulado</t>
        </is>
      </c>
      <c r="I389" s="7" t="inlineStr">
        <is>
          <t>Formulação Padrão (Granulado / Solúvel / Suspensão)</t>
        </is>
      </c>
      <c r="J389" s="7" t="inlineStr">
        <is>
          <t>Aplicação via solo, fertirrigação ou adubação foliar</t>
        </is>
      </c>
      <c r="K389" s="7" t="inlineStr">
        <is>
          <t>Fertilizante Mineral / Organomineral (Lei nº 6.894/1980)</t>
        </is>
      </c>
      <c r="L389" s="7" t="inlineStr">
        <is>
          <t>Nutrição Vegetal SIPEAGRO</t>
        </is>
      </c>
      <c r="M389" s="7" t="inlineStr">
        <is>
          <t>Fornecimento de macro e micronutrientes essenciais ao metabolismo vegetal</t>
        </is>
      </c>
      <c r="N389" s="7" t="inlineStr">
        <is>
          <t>Isento ANVISA (Produto Fertilizante Registrado no SIPEAGRO/MAPA)</t>
        </is>
      </c>
      <c r="O389" s="7" t="inlineStr">
        <is>
          <t>Não Aplicável (Fertilizante)</t>
        </is>
      </c>
      <c r="P389" s="7" t="inlineStr">
        <is>
          <t>Baixo Potencial Poluidor (Uso conforme recomendação agronômica)</t>
        </is>
      </c>
      <c r="Q389" s="9" t="n">
        <v>0</v>
      </c>
      <c r="R389" s="7" t="inlineStr">
        <is>
          <t>Aplicação Dirigida / TS / Solo</t>
        </is>
      </c>
      <c r="S389" s="7" t="inlineStr">
        <is>
          <t>Tratamento sintomático em caso de ingestão acidental</t>
        </is>
      </c>
      <c r="T389" s="7" t="inlineStr">
        <is>
          <t>Estabelecimento Produtor SIPEAGRO/MAPA</t>
        </is>
      </c>
      <c r="U389" s="10">
        <f>HYPERLINK("https://www.gov.br/agricultura/pt-br/assuntos/insumos-agropecuarios/insumos-agricolas/fertilizantes", "Portal SIPEAGRO / MAPA — Fertilizantes e Bioinsumos")</f>
        <v/>
      </c>
    </row>
    <row r="390" ht="22" customHeight="1">
      <c r="A390" s="11" t="n">
        <v>385</v>
      </c>
      <c r="B390" s="12" t="inlineStr">
        <is>
          <t>SIPEAGRO (UF-XXXXX)</t>
        </is>
      </c>
      <c r="C390" s="13" t="inlineStr">
        <is>
          <t>MAP FERTLIZANTES SIMPLES</t>
        </is>
      </c>
      <c r="D390" s="14" t="inlineStr">
        <is>
          <t>MAP FERTLIZANTES SIMPLES</t>
        </is>
      </c>
      <c r="E390" s="13" t="inlineStr">
        <is>
          <t>Fertilizante Mineral / Organomineral</t>
        </is>
      </c>
      <c r="F390" s="13" t="inlineStr">
        <is>
          <t>Fertilizantes</t>
        </is>
      </c>
      <c r="G390" s="13" t="inlineStr">
        <is>
          <t>Fertilizante Complexo (MAP — Fosfato Monoamônico)</t>
        </is>
      </c>
      <c r="H390" s="13" t="inlineStr">
        <is>
          <t>Granulado</t>
        </is>
      </c>
      <c r="I390" s="13" t="inlineStr">
        <is>
          <t>Formulação Padrão (Granulado / Solúvel / Suspensão)</t>
        </is>
      </c>
      <c r="J390" s="13" t="inlineStr">
        <is>
          <t>Aplicação via solo, fertirrigação ou adubação foliar</t>
        </is>
      </c>
      <c r="K390" s="13" t="inlineStr">
        <is>
          <t>Fertilizante Mineral / Organomineral (Lei nº 6.894/1980)</t>
        </is>
      </c>
      <c r="L390" s="13" t="inlineStr">
        <is>
          <t>Nutrição Vegetal SIPEAGRO</t>
        </is>
      </c>
      <c r="M390" s="13" t="inlineStr">
        <is>
          <t>Fornecimento de macro e micronutrientes essenciais ao metabolismo vegetal</t>
        </is>
      </c>
      <c r="N390" s="13" t="inlineStr">
        <is>
          <t>Isento ANVISA (Produto Fertilizante Registrado no SIPEAGRO/MAPA)</t>
        </is>
      </c>
      <c r="O390" s="13" t="inlineStr">
        <is>
          <t>Não Aplicável (Fertilizante)</t>
        </is>
      </c>
      <c r="P390" s="13" t="inlineStr">
        <is>
          <t>Baixo Potencial Poluidor (Uso conforme recomendação agronômica)</t>
        </is>
      </c>
      <c r="Q390" s="15" t="n">
        <v>0</v>
      </c>
      <c r="R390" s="13" t="inlineStr">
        <is>
          <t>Aplicação Dirigida / TS / Solo</t>
        </is>
      </c>
      <c r="S390" s="13" t="inlineStr">
        <is>
          <t>Tratamento sintomático em caso de ingestão acidental</t>
        </is>
      </c>
      <c r="T390" s="13" t="inlineStr">
        <is>
          <t>Estabelecimento Produtor SIPEAGRO/MAPA</t>
        </is>
      </c>
      <c r="U390" s="16">
        <f>HYPERLINK("https://www.gov.br/agricultura/pt-br/assuntos/insumos-agropecuarios/insumos-agricolas/fertilizantes", "Portal SIPEAGRO / MAPA — Fertilizantes e Bioinsumos")</f>
        <v/>
      </c>
    </row>
    <row r="391" ht="22" customHeight="1">
      <c r="A391" s="5" t="n">
        <v>386</v>
      </c>
      <c r="B391" s="6" t="inlineStr">
        <is>
          <t>SIPEAGRO (UF-XXXXX)</t>
        </is>
      </c>
      <c r="C391" s="7" t="inlineStr">
        <is>
          <t>VITA ACCION 1X1L (AMOSTRA)</t>
        </is>
      </c>
      <c r="D391" s="8" t="inlineStr">
        <is>
          <t>VITA ACCION</t>
        </is>
      </c>
      <c r="E391" s="7" t="inlineStr">
        <is>
          <t>Fertilizante Mineral / Organomineral</t>
        </is>
      </c>
      <c r="F391" s="7" t="inlineStr">
        <is>
          <t>Fertilizantes</t>
        </is>
      </c>
      <c r="G391" s="7" t="inlineStr">
        <is>
          <t>Fertilizante Organomineral / Bioestimulante</t>
        </is>
      </c>
      <c r="H391" s="7" t="inlineStr">
        <is>
          <t>SL</t>
        </is>
      </c>
      <c r="I391" s="7" t="inlineStr">
        <is>
          <t>Solução / Suspensão Concentrada Foliar (Fluido)</t>
        </is>
      </c>
      <c r="J391" s="7" t="inlineStr">
        <is>
          <t>Aplicação via solo, fertirrigação ou adubação foliar</t>
        </is>
      </c>
      <c r="K391" s="7" t="inlineStr">
        <is>
          <t>Fertilizante Mineral / Organomineral (Lei nº 6.894/1980)</t>
        </is>
      </c>
      <c r="L391" s="7" t="inlineStr">
        <is>
          <t>Nutrição Vegetal SIPEAGRO</t>
        </is>
      </c>
      <c r="M391" s="7" t="inlineStr">
        <is>
          <t>Fornecimento de macro e micronutrientes essenciais ao metabolismo vegetal</t>
        </is>
      </c>
      <c r="N391" s="7" t="inlineStr">
        <is>
          <t>Isento ANVISA (Produto Fertilizante Registrado no SIPEAGRO/MAPA)</t>
        </is>
      </c>
      <c r="O391" s="7" t="inlineStr">
        <is>
          <t>Não Aplicável (Fertilizante)</t>
        </is>
      </c>
      <c r="P391" s="7" t="inlineStr">
        <is>
          <t>Baixo Potencial Poluidor (Uso conforme recomendação agronômica)</t>
        </is>
      </c>
      <c r="Q391" s="9" t="n">
        <v>0</v>
      </c>
      <c r="R391" s="7" t="inlineStr">
        <is>
          <t>Aplicação Dirigida / TS / Solo</t>
        </is>
      </c>
      <c r="S391" s="7" t="inlineStr">
        <is>
          <t>Tratamento sintomático em caso de ingestão acidental</t>
        </is>
      </c>
      <c r="T391" s="7" t="inlineStr">
        <is>
          <t>Estabelecimento Produtor SIPEAGRO/MAPA</t>
        </is>
      </c>
      <c r="U391" s="10">
        <f>HYPERLINK("https://www.gov.br/agricultura/pt-br/assuntos/insumos-agropecuarios/insumos-agricolas/fertilizantes", "Portal SIPEAGRO / MAPA — Fertilizantes e Bioinsumos")</f>
        <v/>
      </c>
    </row>
    <row r="392" ht="22" customHeight="1">
      <c r="A392" s="11" t="n">
        <v>387</v>
      </c>
      <c r="B392" s="12" t="inlineStr">
        <is>
          <t>SIPEAGRO (UF-XXXXX)</t>
        </is>
      </c>
      <c r="C392" s="13" t="inlineStr">
        <is>
          <t>EFISOIL SUPERBIA 1X5KG (AMOSTRA)</t>
        </is>
      </c>
      <c r="D392" s="14" t="inlineStr">
        <is>
          <t>EFISOIL SUPERBIA</t>
        </is>
      </c>
      <c r="E392" s="13" t="inlineStr">
        <is>
          <t>Fertilizante Mineral / Organomineral</t>
        </is>
      </c>
      <c r="F392" s="13" t="inlineStr">
        <is>
          <t>Fertilizantes</t>
        </is>
      </c>
      <c r="G392" s="13" t="inlineStr">
        <is>
          <t>Fertilizante Foliar / Micronutrientes</t>
        </is>
      </c>
      <c r="H392" s="13" t="inlineStr">
        <is>
          <t>Granulado</t>
        </is>
      </c>
      <c r="I392" s="13" t="inlineStr">
        <is>
          <t>Formulação Padrão (Granulado / Solúvel / Suspensão)</t>
        </is>
      </c>
      <c r="J392" s="13" t="inlineStr">
        <is>
          <t>Aplicação via solo, fertirrigação ou adubação foliar</t>
        </is>
      </c>
      <c r="K392" s="13" t="inlineStr">
        <is>
          <t>Fertilizante Mineral / Organomineral (Lei nº 6.894/1980)</t>
        </is>
      </c>
      <c r="L392" s="13" t="inlineStr">
        <is>
          <t>Nutrição Vegetal SIPEAGRO</t>
        </is>
      </c>
      <c r="M392" s="13" t="inlineStr">
        <is>
          <t>Fornecimento de macro e micronutrientes essenciais ao metabolismo vegetal</t>
        </is>
      </c>
      <c r="N392" s="13" t="inlineStr">
        <is>
          <t>Isento ANVISA (Produto Fertilizante Registrado no SIPEAGRO/MAPA)</t>
        </is>
      </c>
      <c r="O392" s="13" t="inlineStr">
        <is>
          <t>Não Aplicável (Fertilizante)</t>
        </is>
      </c>
      <c r="P392" s="13" t="inlineStr">
        <is>
          <t>Baixo Potencial Poluidor (Uso conforme recomendação agronômica)</t>
        </is>
      </c>
      <c r="Q392" s="15" t="n">
        <v>0</v>
      </c>
      <c r="R392" s="13" t="inlineStr">
        <is>
          <t>Aplicação Dirigida / TS / Solo</t>
        </is>
      </c>
      <c r="S392" s="13" t="inlineStr">
        <is>
          <t>Tratamento sintomático em caso de ingestão acidental</t>
        </is>
      </c>
      <c r="T392" s="13" t="inlineStr">
        <is>
          <t>Estabelecimento Produtor SIPEAGRO/MAPA</t>
        </is>
      </c>
      <c r="U392" s="16">
        <f>HYPERLINK("https://www.gov.br/agricultura/pt-br/assuntos/insumos-agropecuarios/insumos-agricolas/fertilizantes", "Portal SIPEAGRO / MAPA — Fertilizantes e Bioinsumos")</f>
        <v/>
      </c>
    </row>
    <row r="393" ht="22" customHeight="1">
      <c r="A393" s="5" t="n">
        <v>388</v>
      </c>
      <c r="B393" s="6" t="inlineStr">
        <is>
          <t>SIPEAGRO (UF-XXXXX)</t>
        </is>
      </c>
      <c r="C393" s="7" t="inlineStr">
        <is>
          <t>EFISOIL SUPERBIA AZON 1X5KG (AMOSTRA)</t>
        </is>
      </c>
      <c r="D393" s="8" t="inlineStr">
        <is>
          <t>EFISOIL SUPERBIA AZON</t>
        </is>
      </c>
      <c r="E393" s="7" t="inlineStr">
        <is>
          <t>Fertilizante Mineral / Organomineral</t>
        </is>
      </c>
      <c r="F393" s="7" t="inlineStr">
        <is>
          <t>Fertilizantes</t>
        </is>
      </c>
      <c r="G393" s="7" t="inlineStr">
        <is>
          <t>Fertilizante Foliar / Micronutrientes</t>
        </is>
      </c>
      <c r="H393" s="7" t="inlineStr">
        <is>
          <t>Granulado</t>
        </is>
      </c>
      <c r="I393" s="7" t="inlineStr">
        <is>
          <t>Formulação Padrão (Granulado / Solúvel / Suspensão)</t>
        </is>
      </c>
      <c r="J393" s="7" t="inlineStr">
        <is>
          <t>Aplicação via solo, fertirrigação ou adubação foliar</t>
        </is>
      </c>
      <c r="K393" s="7" t="inlineStr">
        <is>
          <t>Fertilizante Mineral / Organomineral (Lei nº 6.894/1980)</t>
        </is>
      </c>
      <c r="L393" s="7" t="inlineStr">
        <is>
          <t>Nutrição Vegetal SIPEAGRO</t>
        </is>
      </c>
      <c r="M393" s="7" t="inlineStr">
        <is>
          <t>Fornecimento de macro e micronutrientes essenciais ao metabolismo vegetal</t>
        </is>
      </c>
      <c r="N393" s="7" t="inlineStr">
        <is>
          <t>Isento ANVISA (Produto Fertilizante Registrado no SIPEAGRO/MAPA)</t>
        </is>
      </c>
      <c r="O393" s="7" t="inlineStr">
        <is>
          <t>Não Aplicável (Fertilizante)</t>
        </is>
      </c>
      <c r="P393" s="7" t="inlineStr">
        <is>
          <t>Baixo Potencial Poluidor (Uso conforme recomendação agronômica)</t>
        </is>
      </c>
      <c r="Q393" s="9" t="n">
        <v>0</v>
      </c>
      <c r="R393" s="7" t="inlineStr">
        <is>
          <t>Aplicação Dirigida / TS / Solo</t>
        </is>
      </c>
      <c r="S393" s="7" t="inlineStr">
        <is>
          <t>Tratamento sintomático em caso de ingestão acidental</t>
        </is>
      </c>
      <c r="T393" s="7" t="inlineStr">
        <is>
          <t>Estabelecimento Produtor SIPEAGRO/MAPA</t>
        </is>
      </c>
      <c r="U393" s="10">
        <f>HYPERLINK("https://www.gov.br/agricultura/pt-br/assuntos/insumos-agropecuarios/insumos-agricolas/fertilizantes", "Portal SIPEAGRO / MAPA — Fertilizantes e Bioinsumos")</f>
        <v/>
      </c>
    </row>
    <row r="394" ht="22" customHeight="1">
      <c r="A394" s="11" t="n">
        <v>389</v>
      </c>
      <c r="B394" s="12" t="inlineStr">
        <is>
          <t>SIPEAGRO (UF-XXXXX)</t>
        </is>
      </c>
      <c r="C394" s="13" t="inlineStr">
        <is>
          <t>FOSFORITA 25 FARELADO BAG 1000 KG (VALIDAR)</t>
        </is>
      </c>
      <c r="D394" s="14" t="inlineStr">
        <is>
          <t>FOSFORITA 25 FARELADO BAG</t>
        </is>
      </c>
      <c r="E394" s="13" t="inlineStr">
        <is>
          <t>Fertilizante Mineral / Organomineral</t>
        </is>
      </c>
      <c r="F394" s="13" t="inlineStr">
        <is>
          <t>Fertilizantes</t>
        </is>
      </c>
      <c r="G394" s="13" t="inlineStr">
        <is>
          <t>Fertilizante Mineral Simples (Fosfatado)</t>
        </is>
      </c>
      <c r="H394" s="13" t="inlineStr">
        <is>
          <t>Granulado</t>
        </is>
      </c>
      <c r="I394" s="13" t="inlineStr">
        <is>
          <t>Formulação Padrão (Granulado / Solúvel / Suspensão)</t>
        </is>
      </c>
      <c r="J394" s="13" t="inlineStr">
        <is>
          <t>Aplicação via solo, fertirrigação ou adubação foliar</t>
        </is>
      </c>
      <c r="K394" s="13" t="inlineStr">
        <is>
          <t>Fertilizante Mineral / Organomineral (Lei nº 6.894/1980)</t>
        </is>
      </c>
      <c r="L394" s="13" t="inlineStr">
        <is>
          <t>Nutrição Vegetal SIPEAGRO</t>
        </is>
      </c>
      <c r="M394" s="13" t="inlineStr">
        <is>
          <t>Fornecimento de macro e micronutrientes essenciais ao metabolismo vegetal</t>
        </is>
      </c>
      <c r="N394" s="13" t="inlineStr">
        <is>
          <t>Isento ANVISA (Produto Fertilizante Registrado no SIPEAGRO/MAPA)</t>
        </is>
      </c>
      <c r="O394" s="13" t="inlineStr">
        <is>
          <t>Não Aplicável (Fertilizante)</t>
        </is>
      </c>
      <c r="P394" s="13" t="inlineStr">
        <is>
          <t>Baixo Potencial Poluidor (Uso conforme recomendação agronômica)</t>
        </is>
      </c>
      <c r="Q394" s="15" t="n">
        <v>0</v>
      </c>
      <c r="R394" s="13" t="inlineStr">
        <is>
          <t>Aplicação Dirigida / TS / Solo</t>
        </is>
      </c>
      <c r="S394" s="13" t="inlineStr">
        <is>
          <t>Tratamento sintomático em caso de ingestão acidental</t>
        </is>
      </c>
      <c r="T394" s="13" t="inlineStr">
        <is>
          <t>Estabelecimento Produtor SIPEAGRO/MAPA</t>
        </is>
      </c>
      <c r="U394" s="16">
        <f>HYPERLINK("https://www.gov.br/agricultura/pt-br/assuntos/insumos-agropecuarios/insumos-agricolas/fertilizantes", "Portal SIPEAGRO / MAPA — Fertilizantes e Bioinsumos")</f>
        <v/>
      </c>
    </row>
    <row r="395" ht="22" customHeight="1">
      <c r="A395" s="5" t="n">
        <v>390</v>
      </c>
      <c r="B395" s="6" t="inlineStr">
        <is>
          <t>SIPEAGRO (UF-XXXXX)</t>
        </is>
      </c>
      <c r="C395" s="7" t="inlineStr">
        <is>
          <t>HIPHOS 25 GR 00-25-00 BAG 1000KG (VALIDAR)</t>
        </is>
      </c>
      <c r="D395" s="8" t="inlineStr">
        <is>
          <t>HIPHOS 25 GR 00-25-00 BAG</t>
        </is>
      </c>
      <c r="E395" s="7" t="inlineStr">
        <is>
          <t>Fertilizante Mineral / Organomineral</t>
        </is>
      </c>
      <c r="F395" s="7" t="inlineStr">
        <is>
          <t>Fertilizantes</t>
        </is>
      </c>
      <c r="G395" s="7" t="inlineStr">
        <is>
          <t>Fertilizante Mineral Simples (Fosfatado)</t>
        </is>
      </c>
      <c r="H395" s="7" t="inlineStr">
        <is>
          <t>GR</t>
        </is>
      </c>
      <c r="I395" s="7" t="inlineStr">
        <is>
          <t>Granulado (GR)</t>
        </is>
      </c>
      <c r="J395" s="7" t="inlineStr">
        <is>
          <t>Aplicação via solo, fertirrigação ou adubação foliar</t>
        </is>
      </c>
      <c r="K395" s="7" t="inlineStr">
        <is>
          <t>Fertilizante Mineral / Organomineral (Lei nº 6.894/1980)</t>
        </is>
      </c>
      <c r="L395" s="7" t="inlineStr">
        <is>
          <t>Nutrição Vegetal SIPEAGRO</t>
        </is>
      </c>
      <c r="M395" s="7" t="inlineStr">
        <is>
          <t>Fornecimento de macro e micronutrientes essenciais ao metabolismo vegetal</t>
        </is>
      </c>
      <c r="N395" s="7" t="inlineStr">
        <is>
          <t>Isento ANVISA (Produto Fertilizante Registrado no SIPEAGRO/MAPA)</t>
        </is>
      </c>
      <c r="O395" s="7" t="inlineStr">
        <is>
          <t>Não Aplicável (Fertilizante)</t>
        </is>
      </c>
      <c r="P395" s="7" t="inlineStr">
        <is>
          <t>Baixo Potencial Poluidor (Uso conforme recomendação agronômica)</t>
        </is>
      </c>
      <c r="Q395" s="9" t="n">
        <v>0</v>
      </c>
      <c r="R395" s="7" t="inlineStr">
        <is>
          <t>Aplicação Dirigida / TS / Solo</t>
        </is>
      </c>
      <c r="S395" s="7" t="inlineStr">
        <is>
          <t>Tratamento sintomático em caso de ingestão acidental</t>
        </is>
      </c>
      <c r="T395" s="7" t="inlineStr">
        <is>
          <t>Estabelecimento Produtor SIPEAGRO/MAPA</t>
        </is>
      </c>
      <c r="U395" s="10">
        <f>HYPERLINK("https://www.gov.br/agricultura/pt-br/assuntos/insumos-agropecuarios/insumos-agricolas/fertilizantes", "Portal SIPEAGRO / MAPA — Fertilizantes e Bioinsumos")</f>
        <v/>
      </c>
    </row>
    <row r="396" ht="22" customHeight="1">
      <c r="A396" s="11" t="n">
        <v>391</v>
      </c>
      <c r="B396" s="12" t="inlineStr">
        <is>
          <t>SIPEAGRO (UF-XXXXX)</t>
        </is>
      </c>
      <c r="C396" s="13" t="inlineStr">
        <is>
          <t>HIPHOS 28 GR 00-28-00 BAG 1000KG (VALIDAR)</t>
        </is>
      </c>
      <c r="D396" s="14" t="inlineStr">
        <is>
          <t>HIPHOS 28 GR 00-28-00 BAG</t>
        </is>
      </c>
      <c r="E396" s="13" t="inlineStr">
        <is>
          <t>Fertilizante Mineral / Organomineral</t>
        </is>
      </c>
      <c r="F396" s="13" t="inlineStr">
        <is>
          <t>Fertilizantes</t>
        </is>
      </c>
      <c r="G396" s="13" t="inlineStr">
        <is>
          <t>Fertilizante Mineral Simples (Fosfatado)</t>
        </is>
      </c>
      <c r="H396" s="13" t="inlineStr">
        <is>
          <t>GR</t>
        </is>
      </c>
      <c r="I396" s="13" t="inlineStr">
        <is>
          <t>Granulado (GR)</t>
        </is>
      </c>
      <c r="J396" s="13" t="inlineStr">
        <is>
          <t>Aplicação via solo, fertirrigação ou adubação foliar</t>
        </is>
      </c>
      <c r="K396" s="13" t="inlineStr">
        <is>
          <t>Fertilizante Mineral / Organomineral (Lei nº 6.894/1980)</t>
        </is>
      </c>
      <c r="L396" s="13" t="inlineStr">
        <is>
          <t>Nutrição Vegetal SIPEAGRO</t>
        </is>
      </c>
      <c r="M396" s="13" t="inlineStr">
        <is>
          <t>Fornecimento de macro e micronutrientes essenciais ao metabolismo vegetal</t>
        </is>
      </c>
      <c r="N396" s="13" t="inlineStr">
        <is>
          <t>Isento ANVISA (Produto Fertilizante Registrado no SIPEAGRO/MAPA)</t>
        </is>
      </c>
      <c r="O396" s="13" t="inlineStr">
        <is>
          <t>Não Aplicável (Fertilizante)</t>
        </is>
      </c>
      <c r="P396" s="13" t="inlineStr">
        <is>
          <t>Baixo Potencial Poluidor (Uso conforme recomendação agronômica)</t>
        </is>
      </c>
      <c r="Q396" s="15" t="n">
        <v>0</v>
      </c>
      <c r="R396" s="13" t="inlineStr">
        <is>
          <t>Aplicação Dirigida / TS / Solo</t>
        </is>
      </c>
      <c r="S396" s="13" t="inlineStr">
        <is>
          <t>Tratamento sintomático em caso de ingestão acidental</t>
        </is>
      </c>
      <c r="T396" s="13" t="inlineStr">
        <is>
          <t>Estabelecimento Produtor SIPEAGRO/MAPA</t>
        </is>
      </c>
      <c r="U396" s="16">
        <f>HYPERLINK("https://www.gov.br/agricultura/pt-br/assuntos/insumos-agropecuarios/insumos-agricolas/fertilizantes", "Portal SIPEAGRO / MAPA — Fertilizantes e Bioinsumos")</f>
        <v/>
      </c>
    </row>
    <row r="397" ht="22" customHeight="1">
      <c r="A397" s="5" t="n">
        <v>392</v>
      </c>
      <c r="B397" s="6" t="inlineStr">
        <is>
          <t>SIPEAGRO (UF-XXXXX)</t>
        </is>
      </c>
      <c r="C397" s="7" t="inlineStr">
        <is>
          <t>HIPHOS 28 GR 00-28-00 BAG 1000KG (VALIDAR)</t>
        </is>
      </c>
      <c r="D397" s="8" t="inlineStr">
        <is>
          <t>HIPHOS 28 GR 00-28-00 BAG</t>
        </is>
      </c>
      <c r="E397" s="7" t="inlineStr">
        <is>
          <t>Fertilizante Mineral / Organomineral</t>
        </is>
      </c>
      <c r="F397" s="7" t="inlineStr">
        <is>
          <t>Fertilizantes</t>
        </is>
      </c>
      <c r="G397" s="7" t="inlineStr">
        <is>
          <t>Fertilizante Mineral Simples (Fosfatado)</t>
        </is>
      </c>
      <c r="H397" s="7" t="inlineStr">
        <is>
          <t>GR</t>
        </is>
      </c>
      <c r="I397" s="7" t="inlineStr">
        <is>
          <t>Granulado (GR)</t>
        </is>
      </c>
      <c r="J397" s="7" t="inlineStr">
        <is>
          <t>Aplicação via solo, fertirrigação ou adubação foliar</t>
        </is>
      </c>
      <c r="K397" s="7" t="inlineStr">
        <is>
          <t>Fertilizante Mineral / Organomineral (Lei nº 6.894/1980)</t>
        </is>
      </c>
      <c r="L397" s="7" t="inlineStr">
        <is>
          <t>Nutrição Vegetal SIPEAGRO</t>
        </is>
      </c>
      <c r="M397" s="7" t="inlineStr">
        <is>
          <t>Fornecimento de macro e micronutrientes essenciais ao metabolismo vegetal</t>
        </is>
      </c>
      <c r="N397" s="7" t="inlineStr">
        <is>
          <t>Isento ANVISA (Produto Fertilizante Registrado no SIPEAGRO/MAPA)</t>
        </is>
      </c>
      <c r="O397" s="7" t="inlineStr">
        <is>
          <t>Não Aplicável (Fertilizante)</t>
        </is>
      </c>
      <c r="P397" s="7" t="inlineStr">
        <is>
          <t>Baixo Potencial Poluidor (Uso conforme recomendação agronômica)</t>
        </is>
      </c>
      <c r="Q397" s="9" t="n">
        <v>0</v>
      </c>
      <c r="R397" s="7" t="inlineStr">
        <is>
          <t>Aplicação Dirigida / TS / Solo</t>
        </is>
      </c>
      <c r="S397" s="7" t="inlineStr">
        <is>
          <t>Tratamento sintomático em caso de ingestão acidental</t>
        </is>
      </c>
      <c r="T397" s="7" t="inlineStr">
        <is>
          <t>Estabelecimento Produtor SIPEAGRO/MAPA</t>
        </is>
      </c>
      <c r="U397" s="10">
        <f>HYPERLINK("https://www.gov.br/agricultura/pt-br/assuntos/insumos-agropecuarios/insumos-agricolas/fertilizantes", "Portal SIPEAGRO / MAPA — Fertilizantes e Bioinsumos")</f>
        <v/>
      </c>
    </row>
    <row r="398" ht="22" customHeight="1">
      <c r="A398" s="11" t="n">
        <v>393</v>
      </c>
      <c r="B398" s="12" t="inlineStr">
        <is>
          <t>SIPEAGRO (UF-XXXXX)</t>
        </is>
      </c>
      <c r="C398" s="13" t="inlineStr">
        <is>
          <t>FNR BIOPHOS 25 GRANEL (VALIDAR)</t>
        </is>
      </c>
      <c r="D398" s="14" t="inlineStr">
        <is>
          <t>FNR BIOPHOS 25 GRANEL (VALIDAR)</t>
        </is>
      </c>
      <c r="E398" s="13" t="inlineStr">
        <is>
          <t>Corretivo / Condicionador de Solo</t>
        </is>
      </c>
      <c r="F398" s="13" t="inlineStr">
        <is>
          <t>Corretivos e Condicionadores de Solo</t>
        </is>
      </c>
      <c r="G398" s="13" t="inlineStr">
        <is>
          <t>Fosfato Natural Reativo (Origem Mineral)</t>
        </is>
      </c>
      <c r="H398" s="13" t="inlineStr">
        <is>
          <t>Pó</t>
        </is>
      </c>
      <c r="I398" s="13" t="inlineStr">
        <is>
          <t>Formulação Padrão (Pó / Granulado / Pastilhado)</t>
        </is>
      </c>
      <c r="J398" s="13" t="inlineStr">
        <is>
          <t>Incorporação ou aplicação em área total no solo</t>
        </is>
      </c>
      <c r="K398" s="13" t="inlineStr">
        <is>
          <t>Corretivo de Acidez / Condicionador de Solo (SIPEAGRO)</t>
        </is>
      </c>
      <c r="L398" s="13" t="inlineStr">
        <is>
          <t>Correção Química de Solo</t>
        </is>
      </c>
      <c r="M398" s="13" t="inlineStr">
        <is>
          <t>Neutralização de Al3+ tóxico e fornecimento de Ca2+, Mg2+, S ou B</t>
        </is>
      </c>
      <c r="N398" s="13" t="inlineStr">
        <is>
          <t>Isento ANVISA (Corretivo Agrícola SIPEAGRO)</t>
        </is>
      </c>
      <c r="O398" s="13" t="inlineStr">
        <is>
          <t>Não Aplicável</t>
        </is>
      </c>
      <c r="P398" s="13" t="inlineStr">
        <is>
          <t>Produto Mineral Natural</t>
        </is>
      </c>
      <c r="Q398" s="15" t="n">
        <v>24</v>
      </c>
      <c r="R398" s="13" t="inlineStr">
        <is>
          <t>Terrestre / Aérea (Drones consultar bula)</t>
        </is>
      </c>
      <c r="S398" s="13" t="inlineStr">
        <is>
          <t>Tratamento sintomático</t>
        </is>
      </c>
      <c r="T398" s="13" t="inlineStr">
        <is>
          <t>Estabelecimento Produtor SIPEAGRO/MAPA</t>
        </is>
      </c>
      <c r="U398" s="16">
        <f>HYPERLINK("https://www.gov.br/agricultura/pt-br/assuntos/insumos-agropecuarios/insumos-agricolas/fertilizantes", "Portal SIPEAGRO / MAPA — Fertilizantes e Bioinsumos")</f>
        <v/>
      </c>
    </row>
    <row r="399" ht="22" customHeight="1">
      <c r="A399" s="5" t="n">
        <v>394</v>
      </c>
      <c r="B399" s="6" t="inlineStr">
        <is>
          <t>SIPEAGRO (UF-XXXXX)</t>
        </is>
      </c>
      <c r="C399" s="7" t="inlineStr">
        <is>
          <t>UREIA 46-00-00  BAG 1.000 KG</t>
        </is>
      </c>
      <c r="D399" s="8" t="inlineStr">
        <is>
          <t>UREIA 46-00-00  BAG 1.000 KG</t>
        </is>
      </c>
      <c r="E399" s="7" t="inlineStr">
        <is>
          <t>Fertilizante Mineral / Organomineral</t>
        </is>
      </c>
      <c r="F399" s="7" t="inlineStr">
        <is>
          <t>Fertilizantes</t>
        </is>
      </c>
      <c r="G399" s="7" t="inlineStr">
        <is>
          <t>Fertilizante Mineral Simples (Nitrogenado)</t>
        </is>
      </c>
      <c r="H399" s="7" t="inlineStr">
        <is>
          <t>Granulado</t>
        </is>
      </c>
      <c r="I399" s="7" t="inlineStr">
        <is>
          <t>Formulação Padrão (Granulado / Solúvel / Suspensão)</t>
        </is>
      </c>
      <c r="J399" s="7" t="inlineStr">
        <is>
          <t>Aplicação via solo, fertirrigação ou adubação foliar</t>
        </is>
      </c>
      <c r="K399" s="7" t="inlineStr">
        <is>
          <t>Fertilizante Mineral / Organomineral (Lei nº 6.894/1980)</t>
        </is>
      </c>
      <c r="L399" s="7" t="inlineStr">
        <is>
          <t>Nutrição Vegetal SIPEAGRO</t>
        </is>
      </c>
      <c r="M399" s="7" t="inlineStr">
        <is>
          <t>Fornecimento de macro e micronutrientes essenciais ao metabolismo vegetal</t>
        </is>
      </c>
      <c r="N399" s="7" t="inlineStr">
        <is>
          <t>Isento ANVISA (Produto Fertilizante Registrado no SIPEAGRO/MAPA)</t>
        </is>
      </c>
      <c r="O399" s="7" t="inlineStr">
        <is>
          <t>Não Aplicável (Fertilizante)</t>
        </is>
      </c>
      <c r="P399" s="7" t="inlineStr">
        <is>
          <t>Baixo Potencial Poluidor (Uso conforme recomendação agronômica)</t>
        </is>
      </c>
      <c r="Q399" s="9" t="n">
        <v>0</v>
      </c>
      <c r="R399" s="7" t="inlineStr">
        <is>
          <t>Aplicação Dirigida / TS / Solo</t>
        </is>
      </c>
      <c r="S399" s="7" t="inlineStr">
        <is>
          <t>Tratamento sintomático em caso de ingestão acidental</t>
        </is>
      </c>
      <c r="T399" s="7" t="inlineStr">
        <is>
          <t>Estabelecimento Produtor SIPEAGRO/MAPA</t>
        </is>
      </c>
      <c r="U399" s="10">
        <f>HYPERLINK("https://www.gov.br/agricultura/pt-br/assuntos/insumos-agropecuarios/insumos-agricolas/fertilizantes", "Portal SIPEAGRO / MAPA — Fertilizantes e Bioinsumos")</f>
        <v/>
      </c>
    </row>
    <row r="400" ht="22" customHeight="1">
      <c r="A400" s="11" t="n">
        <v>395</v>
      </c>
      <c r="B400" s="12" t="inlineStr">
        <is>
          <t>SIPEAGRO (UF-XXXXX)</t>
        </is>
      </c>
      <c r="C400" s="13" t="inlineStr">
        <is>
          <t>SULFATO DE AMONIO GR (IMP) (VALIDAR)</t>
        </is>
      </c>
      <c r="D400" s="14" t="inlineStr">
        <is>
          <t>SULFATO DE AMONIO GR (IMP) (VALIDAR)</t>
        </is>
      </c>
      <c r="E400" s="13" t="inlineStr">
        <is>
          <t>Fertilizante Mineral / Organomineral</t>
        </is>
      </c>
      <c r="F400" s="13" t="inlineStr">
        <is>
          <t>Fertilizantes</t>
        </is>
      </c>
      <c r="G400" s="13" t="inlineStr">
        <is>
          <t>Fertilizante Mineral Simples (Nitrogenado)</t>
        </is>
      </c>
      <c r="H400" s="13" t="inlineStr">
        <is>
          <t>GR</t>
        </is>
      </c>
      <c r="I400" s="13" t="inlineStr">
        <is>
          <t>Granulado (GR)</t>
        </is>
      </c>
      <c r="J400" s="13" t="inlineStr">
        <is>
          <t>Aplicação via solo, fertirrigação ou adubação foliar</t>
        </is>
      </c>
      <c r="K400" s="13" t="inlineStr">
        <is>
          <t>Fertilizante Mineral / Organomineral (Lei nº 6.894/1980)</t>
        </is>
      </c>
      <c r="L400" s="13" t="inlineStr">
        <is>
          <t>Nutrição Vegetal SIPEAGRO</t>
        </is>
      </c>
      <c r="M400" s="13" t="inlineStr">
        <is>
          <t>Fornecimento de macro e micronutrientes essenciais ao metabolismo vegetal</t>
        </is>
      </c>
      <c r="N400" s="13" t="inlineStr">
        <is>
          <t>Isento ANVISA (Produto Fertilizante Registrado no SIPEAGRO/MAPA)</t>
        </is>
      </c>
      <c r="O400" s="13" t="inlineStr">
        <is>
          <t>Não Aplicável (Fertilizante)</t>
        </is>
      </c>
      <c r="P400" s="13" t="inlineStr">
        <is>
          <t>Baixo Potencial Poluidor (Uso conforme recomendação agronômica)</t>
        </is>
      </c>
      <c r="Q400" s="15" t="n">
        <v>0</v>
      </c>
      <c r="R400" s="13" t="inlineStr">
        <is>
          <t>Aplicação Dirigida / TS / Solo</t>
        </is>
      </c>
      <c r="S400" s="13" t="inlineStr">
        <is>
          <t>Tratamento sintomático em caso de ingestão acidental</t>
        </is>
      </c>
      <c r="T400" s="13" t="inlineStr">
        <is>
          <t>Estabelecimento Produtor SIPEAGRO/MAPA</t>
        </is>
      </c>
      <c r="U400" s="16">
        <f>HYPERLINK("https://www.gov.br/agricultura/pt-br/assuntos/insumos-agropecuarios/insumos-agricolas/fertilizantes", "Portal SIPEAGRO / MAPA — Fertilizantes e Bioinsumos")</f>
        <v/>
      </c>
    </row>
    <row r="401" ht="22" customHeight="1">
      <c r="A401" s="5" t="n">
        <v>396</v>
      </c>
      <c r="B401" s="6" t="inlineStr">
        <is>
          <t>SIPEAGRO (UF-XXXXX)</t>
        </is>
      </c>
      <c r="C401" s="7" t="inlineStr">
        <is>
          <t>SULFATO DE AMONIO STD GRANEL (VALIDAR)</t>
        </is>
      </c>
      <c r="D401" s="8" t="inlineStr">
        <is>
          <t>SULFATO DE AMONIO STD GRANEL (VALIDAR)</t>
        </is>
      </c>
      <c r="E401" s="7" t="inlineStr">
        <is>
          <t>Fertilizante Mineral / Organomineral</t>
        </is>
      </c>
      <c r="F401" s="7" t="inlineStr">
        <is>
          <t>Fertilizantes</t>
        </is>
      </c>
      <c r="G401" s="7" t="inlineStr">
        <is>
          <t>Fertilizante Mineral Simples (Nitrogenado)</t>
        </is>
      </c>
      <c r="H401" s="7" t="inlineStr">
        <is>
          <t>Granulado</t>
        </is>
      </c>
      <c r="I401" s="7" t="inlineStr">
        <is>
          <t>Formulação Padrão (Granulado / Solúvel / Suspensão)</t>
        </is>
      </c>
      <c r="J401" s="7" t="inlineStr">
        <is>
          <t>Aplicação via solo, fertirrigação ou adubação foliar</t>
        </is>
      </c>
      <c r="K401" s="7" t="inlineStr">
        <is>
          <t>Fertilizante Mineral / Organomineral (Lei nº 6.894/1980)</t>
        </is>
      </c>
      <c r="L401" s="7" t="inlineStr">
        <is>
          <t>Nutrição Vegetal SIPEAGRO</t>
        </is>
      </c>
      <c r="M401" s="7" t="inlineStr">
        <is>
          <t>Fornecimento de macro e micronutrientes essenciais ao metabolismo vegetal</t>
        </is>
      </c>
      <c r="N401" s="7" t="inlineStr">
        <is>
          <t>Isento ANVISA (Produto Fertilizante Registrado no SIPEAGRO/MAPA)</t>
        </is>
      </c>
      <c r="O401" s="7" t="inlineStr">
        <is>
          <t>Não Aplicável (Fertilizante)</t>
        </is>
      </c>
      <c r="P401" s="7" t="inlineStr">
        <is>
          <t>Baixo Potencial Poluidor (Uso conforme recomendação agronômica)</t>
        </is>
      </c>
      <c r="Q401" s="9" t="n">
        <v>0</v>
      </c>
      <c r="R401" s="7" t="inlineStr">
        <is>
          <t>Aplicação Dirigida / TS / Solo</t>
        </is>
      </c>
      <c r="S401" s="7" t="inlineStr">
        <is>
          <t>Tratamento sintomático em caso de ingestão acidental</t>
        </is>
      </c>
      <c r="T401" s="7" t="inlineStr">
        <is>
          <t>Estabelecimento Produtor SIPEAGRO/MAPA</t>
        </is>
      </c>
      <c r="U401" s="10">
        <f>HYPERLINK("https://www.gov.br/agricultura/pt-br/assuntos/insumos-agropecuarios/insumos-agricolas/fertilizantes", "Portal SIPEAGRO / MAPA — Fertilizantes e Bioinsumos")</f>
        <v/>
      </c>
    </row>
    <row r="402" ht="22" customHeight="1">
      <c r="A402" s="11" t="n">
        <v>397</v>
      </c>
      <c r="B402" s="12" t="inlineStr">
        <is>
          <t>SIPEAGRO (UF-XXXXX)</t>
        </is>
      </c>
      <c r="C402" s="13" t="inlineStr">
        <is>
          <t>HIPHOS 19 FARELADO BAG 1000 KG (VALIDAR)</t>
        </is>
      </c>
      <c r="D402" s="14" t="inlineStr">
        <is>
          <t>HIPHOS 19 FARELADO BAG</t>
        </is>
      </c>
      <c r="E402" s="13" t="inlineStr">
        <is>
          <t>Fertilizante Mineral / Organomineral</t>
        </is>
      </c>
      <c r="F402" s="13" t="inlineStr">
        <is>
          <t>Fertilizantes</t>
        </is>
      </c>
      <c r="G402" s="13" t="inlineStr">
        <is>
          <t>Fertilizante Mineral Misto (NPK / NP)</t>
        </is>
      </c>
      <c r="H402" s="13" t="inlineStr">
        <is>
          <t>Granulado</t>
        </is>
      </c>
      <c r="I402" s="13" t="inlineStr">
        <is>
          <t>Formulação Padrão (Granulado / Solúvel / Suspensão)</t>
        </is>
      </c>
      <c r="J402" s="13" t="inlineStr">
        <is>
          <t>Aplicação via solo, fertirrigação ou adubação foliar</t>
        </is>
      </c>
      <c r="K402" s="13" t="inlineStr">
        <is>
          <t>Fertilizante Mineral / Organomineral (Lei nº 6.894/1980)</t>
        </is>
      </c>
      <c r="L402" s="13" t="inlineStr">
        <is>
          <t>Nutrição Vegetal SIPEAGRO</t>
        </is>
      </c>
      <c r="M402" s="13" t="inlineStr">
        <is>
          <t>Fornecimento de macro e micronutrientes essenciais ao metabolismo vegetal</t>
        </is>
      </c>
      <c r="N402" s="13" t="inlineStr">
        <is>
          <t>Isento ANVISA (Produto Fertilizante Registrado no SIPEAGRO/MAPA)</t>
        </is>
      </c>
      <c r="O402" s="13" t="inlineStr">
        <is>
          <t>Não Aplicável (Fertilizante)</t>
        </is>
      </c>
      <c r="P402" s="13" t="inlineStr">
        <is>
          <t>Baixo Potencial Poluidor (Uso conforme recomendação agronômica)</t>
        </is>
      </c>
      <c r="Q402" s="15" t="n">
        <v>0</v>
      </c>
      <c r="R402" s="13" t="inlineStr">
        <is>
          <t>Aplicação Dirigida / TS / Solo</t>
        </is>
      </c>
      <c r="S402" s="13" t="inlineStr">
        <is>
          <t>Tratamento sintomático em caso de ingestão acidental</t>
        </is>
      </c>
      <c r="T402" s="13" t="inlineStr">
        <is>
          <t>Estabelecimento Produtor SIPEAGRO/MAPA</t>
        </is>
      </c>
      <c r="U402" s="16">
        <f>HYPERLINK("https://www.gov.br/agricultura/pt-br/assuntos/insumos-agropecuarios/insumos-agricolas/fertilizantes", "Portal SIPEAGRO / MAPA — Fertilizantes e Bioinsumos")</f>
        <v/>
      </c>
    </row>
    <row r="403" ht="22" customHeight="1">
      <c r="A403" s="5" t="n">
        <v>398</v>
      </c>
      <c r="B403" s="6" t="inlineStr">
        <is>
          <t>SIPEAGRO (UF-XXXXX)</t>
        </is>
      </c>
      <c r="C403" s="7" t="inlineStr">
        <is>
          <t>HIPHOS 02-20-00 17%CA 1,5%MG 6%S 1000 KG (VALIDAR)</t>
        </is>
      </c>
      <c r="D403" s="8" t="inlineStr">
        <is>
          <t>HIPHOS 02-20-00 17%CA 1,5%MG 6%S</t>
        </is>
      </c>
      <c r="E403" s="7" t="inlineStr">
        <is>
          <t>Fertilizante Mineral / Organomineral</t>
        </is>
      </c>
      <c r="F403" s="7" t="inlineStr">
        <is>
          <t>Fertilizantes</t>
        </is>
      </c>
      <c r="G403" s="7" t="inlineStr">
        <is>
          <t>Fertilizante Mineral Misto (NPK / NP)</t>
        </is>
      </c>
      <c r="H403" s="7" t="inlineStr">
        <is>
          <t>Granulado</t>
        </is>
      </c>
      <c r="I403" s="7" t="inlineStr">
        <is>
          <t>Formulação Padrão (Granulado / Solúvel / Suspensão)</t>
        </is>
      </c>
      <c r="J403" s="7" t="inlineStr">
        <is>
          <t>Aplicação via solo, fertirrigação ou adubação foliar</t>
        </is>
      </c>
      <c r="K403" s="7" t="inlineStr">
        <is>
          <t>Fertilizante Mineral / Organomineral (Lei nº 6.894/1980)</t>
        </is>
      </c>
      <c r="L403" s="7" t="inlineStr">
        <is>
          <t>Nutrição Vegetal SIPEAGRO</t>
        </is>
      </c>
      <c r="M403" s="7" t="inlineStr">
        <is>
          <t>Fornecimento de macro e micronutrientes essenciais ao metabolismo vegetal</t>
        </is>
      </c>
      <c r="N403" s="7" t="inlineStr">
        <is>
          <t>Isento ANVISA (Produto Fertilizante Registrado no SIPEAGRO/MAPA)</t>
        </is>
      </c>
      <c r="O403" s="7" t="inlineStr">
        <is>
          <t>Não Aplicável (Fertilizante)</t>
        </is>
      </c>
      <c r="P403" s="7" t="inlineStr">
        <is>
          <t>Baixo Potencial Poluidor (Uso conforme recomendação agronômica)</t>
        </is>
      </c>
      <c r="Q403" s="9" t="n">
        <v>0</v>
      </c>
      <c r="R403" s="7" t="inlineStr">
        <is>
          <t>Aplicação Dirigida / TS / Solo</t>
        </is>
      </c>
      <c r="S403" s="7" t="inlineStr">
        <is>
          <t>Tratamento sintomático em caso de ingestão acidental</t>
        </is>
      </c>
      <c r="T403" s="7" t="inlineStr">
        <is>
          <t>Estabelecimento Produtor SIPEAGRO/MAPA</t>
        </is>
      </c>
      <c r="U403" s="10">
        <f>HYPERLINK("https://www.gov.br/agricultura/pt-br/assuntos/insumos-agropecuarios/insumos-agricolas/fertilizantes", "Portal SIPEAGRO / MAPA — Fertilizantes e Bioinsumos")</f>
        <v/>
      </c>
    </row>
    <row r="404" ht="22" customHeight="1">
      <c r="A404" s="11" t="n">
        <v>399</v>
      </c>
      <c r="B404" s="12" t="inlineStr">
        <is>
          <t>SIPEAGRO (UF-XXXXX)</t>
        </is>
      </c>
      <c r="C404" s="13" t="inlineStr">
        <is>
          <t>HIPHOS NPK 02-19-19 10%CA 0,50%MG 1000 KG (VALIDAR</t>
        </is>
      </c>
      <c r="D404" s="14" t="inlineStr">
        <is>
          <t>HIPHOS NPK 02-19-19 10%CA 0,50%MG</t>
        </is>
      </c>
      <c r="E404" s="13" t="inlineStr">
        <is>
          <t>Fertilizante Mineral / Organomineral</t>
        </is>
      </c>
      <c r="F404" s="13" t="inlineStr">
        <is>
          <t>Fertilizantes</t>
        </is>
      </c>
      <c r="G404" s="13" t="inlineStr">
        <is>
          <t>Fertilizante Mineral Misto (NPK / NP)</t>
        </is>
      </c>
      <c r="H404" s="13" t="inlineStr">
        <is>
          <t>Granulado</t>
        </is>
      </c>
      <c r="I404" s="13" t="inlineStr">
        <is>
          <t>Formulação Padrão (Granulado / Solúvel / Suspensão)</t>
        </is>
      </c>
      <c r="J404" s="13" t="inlineStr">
        <is>
          <t>Aplicação via solo, fertirrigação ou adubação foliar</t>
        </is>
      </c>
      <c r="K404" s="13" t="inlineStr">
        <is>
          <t>Fertilizante Mineral / Organomineral (Lei nº 6.894/1980)</t>
        </is>
      </c>
      <c r="L404" s="13" t="inlineStr">
        <is>
          <t>Nutrição Vegetal SIPEAGRO</t>
        </is>
      </c>
      <c r="M404" s="13" t="inlineStr">
        <is>
          <t>Fornecimento de macro e micronutrientes essenciais ao metabolismo vegetal</t>
        </is>
      </c>
      <c r="N404" s="13" t="inlineStr">
        <is>
          <t>Isento ANVISA (Produto Fertilizante Registrado no SIPEAGRO/MAPA)</t>
        </is>
      </c>
      <c r="O404" s="13" t="inlineStr">
        <is>
          <t>Não Aplicável (Fertilizante)</t>
        </is>
      </c>
      <c r="P404" s="13" t="inlineStr">
        <is>
          <t>Baixo Potencial Poluidor (Uso conforme recomendação agronômica)</t>
        </is>
      </c>
      <c r="Q404" s="15" t="n">
        <v>0</v>
      </c>
      <c r="R404" s="13" t="inlineStr">
        <is>
          <t>Aplicação Dirigida / TS / Solo</t>
        </is>
      </c>
      <c r="S404" s="13" t="inlineStr">
        <is>
          <t>Tratamento sintomático em caso de ingestão acidental</t>
        </is>
      </c>
      <c r="T404" s="13" t="inlineStr">
        <is>
          <t>Estabelecimento Produtor SIPEAGRO/MAPA</t>
        </is>
      </c>
      <c r="U404" s="16">
        <f>HYPERLINK("https://www.gov.br/agricultura/pt-br/assuntos/insumos-agropecuarios/insumos-agricolas/fertilizantes", "Portal SIPEAGRO / MAPA — Fertilizantes e Bioinsumos")</f>
        <v/>
      </c>
    </row>
    <row r="405" ht="22" customHeight="1">
      <c r="A405" s="5" t="n">
        <v>400</v>
      </c>
      <c r="B405" s="6" t="inlineStr">
        <is>
          <t>SIPEAGRO (UF-XXXXX)</t>
        </is>
      </c>
      <c r="C405" s="7" t="inlineStr">
        <is>
          <t>HIPHOS NPK 02-21-05 15%CA 0,8%MG 1000 KG (VALIDAR)</t>
        </is>
      </c>
      <c r="D405" s="8" t="inlineStr">
        <is>
          <t>HIPHOS NPK 02-21-05 15%CA 0,8%MG</t>
        </is>
      </c>
      <c r="E405" s="7" t="inlineStr">
        <is>
          <t>Fertilizante Mineral / Organomineral</t>
        </is>
      </c>
      <c r="F405" s="7" t="inlineStr">
        <is>
          <t>Fertilizantes</t>
        </is>
      </c>
      <c r="G405" s="7" t="inlineStr">
        <is>
          <t>Fertilizante Mineral Misto (NPK / NP)</t>
        </is>
      </c>
      <c r="H405" s="7" t="inlineStr">
        <is>
          <t>Granulado</t>
        </is>
      </c>
      <c r="I405" s="7" t="inlineStr">
        <is>
          <t>Formulação Padrão (Granulado / Solúvel / Suspensão)</t>
        </is>
      </c>
      <c r="J405" s="7" t="inlineStr">
        <is>
          <t>Aplicação via solo, fertirrigação ou adubação foliar</t>
        </is>
      </c>
      <c r="K405" s="7" t="inlineStr">
        <is>
          <t>Fertilizante Mineral / Organomineral (Lei nº 6.894/1980)</t>
        </is>
      </c>
      <c r="L405" s="7" t="inlineStr">
        <is>
          <t>Nutrição Vegetal SIPEAGRO</t>
        </is>
      </c>
      <c r="M405" s="7" t="inlineStr">
        <is>
          <t>Fornecimento de macro e micronutrientes essenciais ao metabolismo vegetal</t>
        </is>
      </c>
      <c r="N405" s="7" t="inlineStr">
        <is>
          <t>Isento ANVISA (Produto Fertilizante Registrado no SIPEAGRO/MAPA)</t>
        </is>
      </c>
      <c r="O405" s="7" t="inlineStr">
        <is>
          <t>Não Aplicável (Fertilizante)</t>
        </is>
      </c>
      <c r="P405" s="7" t="inlineStr">
        <is>
          <t>Baixo Potencial Poluidor (Uso conforme recomendação agronômica)</t>
        </is>
      </c>
      <c r="Q405" s="9" t="n">
        <v>0</v>
      </c>
      <c r="R405" s="7" t="inlineStr">
        <is>
          <t>Aplicação Dirigida / TS / Solo</t>
        </is>
      </c>
      <c r="S405" s="7" t="inlineStr">
        <is>
          <t>Tratamento sintomático em caso de ingestão acidental</t>
        </is>
      </c>
      <c r="T405" s="7" t="inlineStr">
        <is>
          <t>Estabelecimento Produtor SIPEAGRO/MAPA</t>
        </is>
      </c>
      <c r="U405" s="10">
        <f>HYPERLINK("https://www.gov.br/agricultura/pt-br/assuntos/insumos-agropecuarios/insumos-agricolas/fertilizantes", "Portal SIPEAGRO / MAPA — Fertilizantes e Bioinsumos")</f>
        <v/>
      </c>
    </row>
    <row r="406" ht="22" customHeight="1">
      <c r="A406" s="11" t="n">
        <v>401</v>
      </c>
      <c r="B406" s="12" t="inlineStr">
        <is>
          <t>SIPEAGRO (UF-XXXXX)</t>
        </is>
      </c>
      <c r="C406" s="13" t="inlineStr">
        <is>
          <t>HIPHOS NPK 04-31-06 10%CA 0,30%MG 1000 KG (VALIDAR</t>
        </is>
      </c>
      <c r="D406" s="14" t="inlineStr">
        <is>
          <t>HIPHOS NPK 04-31-06 10%CA 0,30%MG</t>
        </is>
      </c>
      <c r="E406" s="13" t="inlineStr">
        <is>
          <t>Fertilizante Mineral / Organomineral</t>
        </is>
      </c>
      <c r="F406" s="13" t="inlineStr">
        <is>
          <t>Fertilizantes</t>
        </is>
      </c>
      <c r="G406" s="13" t="inlineStr">
        <is>
          <t>Fertilizante Mineral Misto (NPK / NP)</t>
        </is>
      </c>
      <c r="H406" s="13" t="inlineStr">
        <is>
          <t>Granulado</t>
        </is>
      </c>
      <c r="I406" s="13" t="inlineStr">
        <is>
          <t>Formulação Padrão (Granulado / Solúvel / Suspensão)</t>
        </is>
      </c>
      <c r="J406" s="13" t="inlineStr">
        <is>
          <t>Aplicação via solo, fertirrigação ou adubação foliar</t>
        </is>
      </c>
      <c r="K406" s="13" t="inlineStr">
        <is>
          <t>Fertilizante Mineral / Organomineral (Lei nº 6.894/1980)</t>
        </is>
      </c>
      <c r="L406" s="13" t="inlineStr">
        <is>
          <t>Nutrição Vegetal SIPEAGRO</t>
        </is>
      </c>
      <c r="M406" s="13" t="inlineStr">
        <is>
          <t>Fornecimento de macro e micronutrientes essenciais ao metabolismo vegetal</t>
        </is>
      </c>
      <c r="N406" s="13" t="inlineStr">
        <is>
          <t>Isento ANVISA (Produto Fertilizante Registrado no SIPEAGRO/MAPA)</t>
        </is>
      </c>
      <c r="O406" s="13" t="inlineStr">
        <is>
          <t>Não Aplicável (Fertilizante)</t>
        </is>
      </c>
      <c r="P406" s="13" t="inlineStr">
        <is>
          <t>Baixo Potencial Poluidor (Uso conforme recomendação agronômica)</t>
        </is>
      </c>
      <c r="Q406" s="15" t="n">
        <v>0</v>
      </c>
      <c r="R406" s="13" t="inlineStr">
        <is>
          <t>Aplicação Dirigida / TS / Solo</t>
        </is>
      </c>
      <c r="S406" s="13" t="inlineStr">
        <is>
          <t>Tratamento sintomático em caso de ingestão acidental</t>
        </is>
      </c>
      <c r="T406" s="13" t="inlineStr">
        <is>
          <t>Estabelecimento Produtor SIPEAGRO/MAPA</t>
        </is>
      </c>
      <c r="U406" s="16">
        <f>HYPERLINK("https://www.gov.br/agricultura/pt-br/assuntos/insumos-agropecuarios/insumos-agricolas/fertilizantes", "Portal SIPEAGRO / MAPA — Fertilizantes e Bioinsumos")</f>
        <v/>
      </c>
    </row>
    <row r="407" ht="22" customHeight="1">
      <c r="A407" s="5" t="n">
        <v>402</v>
      </c>
      <c r="B407" s="6" t="inlineStr">
        <is>
          <t>SIPEAGRO (UF-XXXXX)</t>
        </is>
      </c>
      <c r="C407" s="7" t="inlineStr">
        <is>
          <t>HIPHOS NPK 05-28-08 7%CA 0,25%MG 1000 KG (VALIDAR)</t>
        </is>
      </c>
      <c r="D407" s="8" t="inlineStr">
        <is>
          <t>HIPHOS NPK 05-28-08 7%CA 0,25%MG</t>
        </is>
      </c>
      <c r="E407" s="7" t="inlineStr">
        <is>
          <t>Fertilizante Mineral / Organomineral</t>
        </is>
      </c>
      <c r="F407" s="7" t="inlineStr">
        <is>
          <t>Fertilizantes</t>
        </is>
      </c>
      <c r="G407" s="7" t="inlineStr">
        <is>
          <t>Fertilizante Mineral Misto (NPK / NP)</t>
        </is>
      </c>
      <c r="H407" s="7" t="inlineStr">
        <is>
          <t>Granulado</t>
        </is>
      </c>
      <c r="I407" s="7" t="inlineStr">
        <is>
          <t>Formulação Padrão (Granulado / Solúvel / Suspensão)</t>
        </is>
      </c>
      <c r="J407" s="7" t="inlineStr">
        <is>
          <t>Aplicação via solo, fertirrigação ou adubação foliar</t>
        </is>
      </c>
      <c r="K407" s="7" t="inlineStr">
        <is>
          <t>Fertilizante Mineral / Organomineral (Lei nº 6.894/1980)</t>
        </is>
      </c>
      <c r="L407" s="7" t="inlineStr">
        <is>
          <t>Nutrição Vegetal SIPEAGRO</t>
        </is>
      </c>
      <c r="M407" s="7" t="inlineStr">
        <is>
          <t>Fornecimento de macro e micronutrientes essenciais ao metabolismo vegetal</t>
        </is>
      </c>
      <c r="N407" s="7" t="inlineStr">
        <is>
          <t>Isento ANVISA (Produto Fertilizante Registrado no SIPEAGRO/MAPA)</t>
        </is>
      </c>
      <c r="O407" s="7" t="inlineStr">
        <is>
          <t>Não Aplicável (Fertilizante)</t>
        </is>
      </c>
      <c r="P407" s="7" t="inlineStr">
        <is>
          <t>Baixo Potencial Poluidor (Uso conforme recomendação agronômica)</t>
        </is>
      </c>
      <c r="Q407" s="9" t="n">
        <v>0</v>
      </c>
      <c r="R407" s="7" t="inlineStr">
        <is>
          <t>Aplicação Dirigida / TS / Solo</t>
        </is>
      </c>
      <c r="S407" s="7" t="inlineStr">
        <is>
          <t>Tratamento sintomático em caso de ingestão acidental</t>
        </is>
      </c>
      <c r="T407" s="7" t="inlineStr">
        <is>
          <t>Estabelecimento Produtor SIPEAGRO/MAPA</t>
        </is>
      </c>
      <c r="U407" s="10">
        <f>HYPERLINK("https://www.gov.br/agricultura/pt-br/assuntos/insumos-agropecuarios/insumos-agricolas/fertilizantes", "Portal SIPEAGRO / MAPA — Fertilizantes e Bioinsumos")</f>
        <v/>
      </c>
    </row>
    <row r="408" ht="22" customHeight="1">
      <c r="A408" s="11" t="n">
        <v>403</v>
      </c>
      <c r="B408" s="12" t="inlineStr">
        <is>
          <t>SIPEAGRO (UF-XXXXX)</t>
        </is>
      </c>
      <c r="C408" s="13" t="inlineStr">
        <is>
          <t>HIPHOS NPK 07-15-15 8%CA 0,5%MG BG1000 KG (VALIDAR</t>
        </is>
      </c>
      <c r="D408" s="14" t="inlineStr">
        <is>
          <t>HIPHOS NPK 07-15-15 8%CA 0,5%MG BG1000 KG (VALIDAR</t>
        </is>
      </c>
      <c r="E408" s="13" t="inlineStr">
        <is>
          <t>Fertilizante Mineral / Organomineral</t>
        </is>
      </c>
      <c r="F408" s="13" t="inlineStr">
        <is>
          <t>Fertilizantes</t>
        </is>
      </c>
      <c r="G408" s="13" t="inlineStr">
        <is>
          <t>Fertilizante Mineral Misto (NPK / NP)</t>
        </is>
      </c>
      <c r="H408" s="13" t="inlineStr">
        <is>
          <t>Granulado</t>
        </is>
      </c>
      <c r="I408" s="13" t="inlineStr">
        <is>
          <t>Formulação Padrão (Granulado / Solúvel / Suspensão)</t>
        </is>
      </c>
      <c r="J408" s="13" t="inlineStr">
        <is>
          <t>Aplicação via solo, fertirrigação ou adubação foliar</t>
        </is>
      </c>
      <c r="K408" s="13" t="inlineStr">
        <is>
          <t>Fertilizante Mineral / Organomineral (Lei nº 6.894/1980)</t>
        </is>
      </c>
      <c r="L408" s="13" t="inlineStr">
        <is>
          <t>Nutrição Vegetal SIPEAGRO</t>
        </is>
      </c>
      <c r="M408" s="13" t="inlineStr">
        <is>
          <t>Fornecimento de macro e micronutrientes essenciais ao metabolismo vegetal</t>
        </is>
      </c>
      <c r="N408" s="13" t="inlineStr">
        <is>
          <t>Isento ANVISA (Produto Fertilizante Registrado no SIPEAGRO/MAPA)</t>
        </is>
      </c>
      <c r="O408" s="13" t="inlineStr">
        <is>
          <t>Não Aplicável (Fertilizante)</t>
        </is>
      </c>
      <c r="P408" s="13" t="inlineStr">
        <is>
          <t>Baixo Potencial Poluidor (Uso conforme recomendação agronômica)</t>
        </is>
      </c>
      <c r="Q408" s="15" t="n">
        <v>0</v>
      </c>
      <c r="R408" s="13" t="inlineStr">
        <is>
          <t>Aplicação Dirigida / TS / Solo</t>
        </is>
      </c>
      <c r="S408" s="13" t="inlineStr">
        <is>
          <t>Tratamento sintomático em caso de ingestão acidental</t>
        </is>
      </c>
      <c r="T408" s="13" t="inlineStr">
        <is>
          <t>Estabelecimento Produtor SIPEAGRO/MAPA</t>
        </is>
      </c>
      <c r="U408" s="16">
        <f>HYPERLINK("https://www.gov.br/agricultura/pt-br/assuntos/insumos-agropecuarios/insumos-agricolas/fertilizantes", "Portal SIPEAGRO / MAPA — Fertilizantes e Bioinsumos")</f>
        <v/>
      </c>
    </row>
    <row r="409" ht="22" customHeight="1">
      <c r="A409" s="5" t="n">
        <v>404</v>
      </c>
      <c r="B409" s="6" t="inlineStr">
        <is>
          <t>SIPEAGRO (UF-XXXXX)</t>
        </is>
      </c>
      <c r="C409" s="7" t="inlineStr">
        <is>
          <t>HIPHOS NPK 09-14-14 5%CA 7%S BG1000 KG (VALIDAR</t>
        </is>
      </c>
      <c r="D409" s="8" t="inlineStr">
        <is>
          <t>HIPHOS NPK 09-14-14 5%CA 7%S BG1000 KG (VALIDAR</t>
        </is>
      </c>
      <c r="E409" s="7" t="inlineStr">
        <is>
          <t>Fertilizante Mineral / Organomineral</t>
        </is>
      </c>
      <c r="F409" s="7" t="inlineStr">
        <is>
          <t>Fertilizantes</t>
        </is>
      </c>
      <c r="G409" s="7" t="inlineStr">
        <is>
          <t>Fertilizante Mineral Misto (NPK / NP)</t>
        </is>
      </c>
      <c r="H409" s="7" t="inlineStr">
        <is>
          <t>Granulado</t>
        </is>
      </c>
      <c r="I409" s="7" t="inlineStr">
        <is>
          <t>Formulação Padrão (Granulado / Solúvel / Suspensão)</t>
        </is>
      </c>
      <c r="J409" s="7" t="inlineStr">
        <is>
          <t>Aplicação via solo, fertirrigação ou adubação foliar</t>
        </is>
      </c>
      <c r="K409" s="7" t="inlineStr">
        <is>
          <t>Fertilizante Mineral / Organomineral (Lei nº 6.894/1980)</t>
        </is>
      </c>
      <c r="L409" s="7" t="inlineStr">
        <is>
          <t>Nutrição Vegetal SIPEAGRO</t>
        </is>
      </c>
      <c r="M409" s="7" t="inlineStr">
        <is>
          <t>Fornecimento de macro e micronutrientes essenciais ao metabolismo vegetal</t>
        </is>
      </c>
      <c r="N409" s="7" t="inlineStr">
        <is>
          <t>Isento ANVISA (Produto Fertilizante Registrado no SIPEAGRO/MAPA)</t>
        </is>
      </c>
      <c r="O409" s="7" t="inlineStr">
        <is>
          <t>Não Aplicável (Fertilizante)</t>
        </is>
      </c>
      <c r="P409" s="7" t="inlineStr">
        <is>
          <t>Baixo Potencial Poluidor (Uso conforme recomendação agronômica)</t>
        </is>
      </c>
      <c r="Q409" s="9" t="n">
        <v>0</v>
      </c>
      <c r="R409" s="7" t="inlineStr">
        <is>
          <t>Aplicação Dirigida / TS / Solo</t>
        </is>
      </c>
      <c r="S409" s="7" t="inlineStr">
        <is>
          <t>Tratamento sintomático em caso de ingestão acidental</t>
        </is>
      </c>
      <c r="T409" s="7" t="inlineStr">
        <is>
          <t>Estabelecimento Produtor SIPEAGRO/MAPA</t>
        </is>
      </c>
      <c r="U409" s="10">
        <f>HYPERLINK("https://www.gov.br/agricultura/pt-br/assuntos/insumos-agropecuarios/insumos-agricolas/fertilizantes", "Portal SIPEAGRO / MAPA — Fertilizantes e Bioinsumos")</f>
        <v/>
      </c>
    </row>
    <row r="410" ht="22" customHeight="1">
      <c r="A410" s="11" t="n">
        <v>405</v>
      </c>
      <c r="B410" s="12" t="inlineStr">
        <is>
          <t>SIPEAGRO (UF-XXXXX)</t>
        </is>
      </c>
      <c r="C410" s="13" t="inlineStr">
        <is>
          <t>CLORETO POTÁSSIO 60% GR (IMP) KG (VALIDAR)</t>
        </is>
      </c>
      <c r="D410" s="14" t="inlineStr">
        <is>
          <t>CLORETO POTÁSSIO 60% GR (IMP) KG (VALIDAR)</t>
        </is>
      </c>
      <c r="E410" s="13" t="inlineStr">
        <is>
          <t>Fertilizante Mineral / Organomineral</t>
        </is>
      </c>
      <c r="F410" s="13" t="inlineStr">
        <is>
          <t>Fertilizantes</t>
        </is>
      </c>
      <c r="G410" s="13" t="inlineStr">
        <is>
          <t>Fertilizante Mineral Simples (Potássico / Magnesiano)</t>
        </is>
      </c>
      <c r="H410" s="13" t="inlineStr">
        <is>
          <t>GR</t>
        </is>
      </c>
      <c r="I410" s="13" t="inlineStr">
        <is>
          <t>Granulado (GR)</t>
        </is>
      </c>
      <c r="J410" s="13" t="inlineStr">
        <is>
          <t>Aplicação via solo, fertirrigação ou adubação foliar</t>
        </is>
      </c>
      <c r="K410" s="13" t="inlineStr">
        <is>
          <t>Fertilizante Mineral / Organomineral (Lei nº 6.894/1980)</t>
        </is>
      </c>
      <c r="L410" s="13" t="inlineStr">
        <is>
          <t>Nutrição Vegetal SIPEAGRO</t>
        </is>
      </c>
      <c r="M410" s="13" t="inlineStr">
        <is>
          <t>Fornecimento de macro e micronutrientes essenciais ao metabolismo vegetal</t>
        </is>
      </c>
      <c r="N410" s="13" t="inlineStr">
        <is>
          <t>Isento ANVISA (Produto Fertilizante Registrado no SIPEAGRO/MAPA)</t>
        </is>
      </c>
      <c r="O410" s="13" t="inlineStr">
        <is>
          <t>Não Aplicável (Fertilizante)</t>
        </is>
      </c>
      <c r="P410" s="13" t="inlineStr">
        <is>
          <t>Baixo Potencial Poluidor (Uso conforme recomendação agronômica)</t>
        </is>
      </c>
      <c r="Q410" s="15" t="n">
        <v>0</v>
      </c>
      <c r="R410" s="13" t="inlineStr">
        <is>
          <t>Aplicação Dirigida / TS / Solo</t>
        </is>
      </c>
      <c r="S410" s="13" t="inlineStr">
        <is>
          <t>Tratamento sintomático em caso de ingestão acidental</t>
        </is>
      </c>
      <c r="T410" s="13" t="inlineStr">
        <is>
          <t>Estabelecimento Produtor SIPEAGRO/MAPA</t>
        </is>
      </c>
      <c r="U410" s="16">
        <f>HYPERLINK("https://www.gov.br/agricultura/pt-br/assuntos/insumos-agropecuarios/insumos-agricolas/fertilizantes", "Portal SIPEAGRO / MAPA — Fertilizantes e Bioinsumos")</f>
        <v/>
      </c>
    </row>
    <row r="411" ht="22" customHeight="1">
      <c r="A411" s="5" t="n">
        <v>406</v>
      </c>
      <c r="B411" s="6" t="inlineStr">
        <is>
          <t>SIPEAGRO (UF-XXXXX)</t>
        </is>
      </c>
      <c r="C411" s="7" t="inlineStr">
        <is>
          <t>CLORETO DE POTÁSSIO STD 62% GRANEL KG (VALIDAR)</t>
        </is>
      </c>
      <c r="D411" s="8" t="inlineStr">
        <is>
          <t>CLORETO DE POTÁSSIO STD 62% GRANEL KG (VALIDAR)</t>
        </is>
      </c>
      <c r="E411" s="7" t="inlineStr">
        <is>
          <t>Fertilizante Mineral / Organomineral</t>
        </is>
      </c>
      <c r="F411" s="7" t="inlineStr">
        <is>
          <t>Fertilizantes</t>
        </is>
      </c>
      <c r="G411" s="7" t="inlineStr">
        <is>
          <t>Fertilizante Mineral Simples (Potássico / Magnesiano)</t>
        </is>
      </c>
      <c r="H411" s="7" t="inlineStr">
        <is>
          <t>Granulado</t>
        </is>
      </c>
      <c r="I411" s="7" t="inlineStr">
        <is>
          <t>Formulação Padrão (Granulado / Solúvel / Suspensão)</t>
        </is>
      </c>
      <c r="J411" s="7" t="inlineStr">
        <is>
          <t>Aplicação via solo, fertirrigação ou adubação foliar</t>
        </is>
      </c>
      <c r="K411" s="7" t="inlineStr">
        <is>
          <t>Fertilizante Mineral / Organomineral (Lei nº 6.894/1980)</t>
        </is>
      </c>
      <c r="L411" s="7" t="inlineStr">
        <is>
          <t>Nutrição Vegetal SIPEAGRO</t>
        </is>
      </c>
      <c r="M411" s="7" t="inlineStr">
        <is>
          <t>Fornecimento de macro e micronutrientes essenciais ao metabolismo vegetal</t>
        </is>
      </c>
      <c r="N411" s="7" t="inlineStr">
        <is>
          <t>Isento ANVISA (Produto Fertilizante Registrado no SIPEAGRO/MAPA)</t>
        </is>
      </c>
      <c r="O411" s="7" t="inlineStr">
        <is>
          <t>Não Aplicável (Fertilizante)</t>
        </is>
      </c>
      <c r="P411" s="7" t="inlineStr">
        <is>
          <t>Baixo Potencial Poluidor (Uso conforme recomendação agronômica)</t>
        </is>
      </c>
      <c r="Q411" s="9" t="n">
        <v>0</v>
      </c>
      <c r="R411" s="7" t="inlineStr">
        <is>
          <t>Aplicação Dirigida / TS / Solo</t>
        </is>
      </c>
      <c r="S411" s="7" t="inlineStr">
        <is>
          <t>Tratamento sintomático em caso de ingestão acidental</t>
        </is>
      </c>
      <c r="T411" s="7" t="inlineStr">
        <is>
          <t>Estabelecimento Produtor SIPEAGRO/MAPA</t>
        </is>
      </c>
      <c r="U411" s="10">
        <f>HYPERLINK("https://www.gov.br/agricultura/pt-br/assuntos/insumos-agropecuarios/insumos-agricolas/fertilizantes", "Portal SIPEAGRO / MAPA — Fertilizantes e Bioinsumos")</f>
        <v/>
      </c>
    </row>
    <row r="412" ht="22" customHeight="1">
      <c r="A412" s="11" t="n">
        <v>407</v>
      </c>
      <c r="B412" s="12" t="inlineStr">
        <is>
          <t>SIPEAGRO (UF-XXXXX)</t>
        </is>
      </c>
      <c r="C412" s="13" t="inlineStr">
        <is>
          <t>KCL-60%K2O-GRANULADO-FERT.MINERAL SIMPLES - AUTEM</t>
        </is>
      </c>
      <c r="D412" s="14" t="inlineStr">
        <is>
          <t>KCL-60%K2O-GRANULADO-FERT.MINERAL SIMPLES - AUTEM</t>
        </is>
      </c>
      <c r="E412" s="13" t="inlineStr">
        <is>
          <t>Fertilizante Mineral / Organomineral</t>
        </is>
      </c>
      <c r="F412" s="13" t="inlineStr">
        <is>
          <t>Fertilizantes</t>
        </is>
      </c>
      <c r="G412" s="13" t="inlineStr">
        <is>
          <t>Fertilizante Mineral Simples (Potássico / Magnesiano)</t>
        </is>
      </c>
      <c r="H412" s="13" t="inlineStr">
        <is>
          <t>Granulado</t>
        </is>
      </c>
      <c r="I412" s="13" t="inlineStr">
        <is>
          <t>Formulação Padrão (Granulado / Solúvel / Suspensão)</t>
        </is>
      </c>
      <c r="J412" s="13" t="inlineStr">
        <is>
          <t>Aplicação via solo, fertirrigação ou adubação foliar</t>
        </is>
      </c>
      <c r="K412" s="13" t="inlineStr">
        <is>
          <t>Fertilizante Mineral / Organomineral (Lei nº 6.894/1980)</t>
        </is>
      </c>
      <c r="L412" s="13" t="inlineStr">
        <is>
          <t>Nutrição Vegetal SIPEAGRO</t>
        </is>
      </c>
      <c r="M412" s="13" t="inlineStr">
        <is>
          <t>Fornecimento de macro e micronutrientes essenciais ao metabolismo vegetal</t>
        </is>
      </c>
      <c r="N412" s="13" t="inlineStr">
        <is>
          <t>Isento ANVISA (Produto Fertilizante Registrado no SIPEAGRO/MAPA)</t>
        </is>
      </c>
      <c r="O412" s="13" t="inlineStr">
        <is>
          <t>Não Aplicável (Fertilizante)</t>
        </is>
      </c>
      <c r="P412" s="13" t="inlineStr">
        <is>
          <t>Baixo Potencial Poluidor (Uso conforme recomendação agronômica)</t>
        </is>
      </c>
      <c r="Q412" s="15" t="n">
        <v>0</v>
      </c>
      <c r="R412" s="13" t="inlineStr">
        <is>
          <t>Aplicação Dirigida / TS / Solo</t>
        </is>
      </c>
      <c r="S412" s="13" t="inlineStr">
        <is>
          <t>Tratamento sintomático em caso de ingestão acidental</t>
        </is>
      </c>
      <c r="T412" s="13" t="inlineStr">
        <is>
          <t>Estabelecimento Produtor SIPEAGRO/MAPA</t>
        </is>
      </c>
      <c r="U412" s="16">
        <f>HYPERLINK("https://www.gov.br/agricultura/pt-br/assuntos/insumos-agropecuarios/insumos-agricolas/fertilizantes", "Portal SIPEAGRO / MAPA — Fertilizantes e Bioinsumos")</f>
        <v/>
      </c>
    </row>
    <row r="413" ht="22" customHeight="1">
      <c r="A413" s="5" t="n">
        <v>408</v>
      </c>
      <c r="B413" s="6" t="inlineStr">
        <is>
          <t>SIPEAGRO (UF-XXXXX)</t>
        </is>
      </c>
      <c r="C413" s="7" t="inlineStr">
        <is>
          <t>MAP 12-52-00 GR GRANEL KG (VALIDAR)</t>
        </is>
      </c>
      <c r="D413" s="8" t="inlineStr">
        <is>
          <t>MAP 12-52-00 GR GRANEL KG (VALIDAR)</t>
        </is>
      </c>
      <c r="E413" s="7" t="inlineStr">
        <is>
          <t>Fertilizante Mineral / Organomineral</t>
        </is>
      </c>
      <c r="F413" s="7" t="inlineStr">
        <is>
          <t>Fertilizantes</t>
        </is>
      </c>
      <c r="G413" s="7" t="inlineStr">
        <is>
          <t>Fertilizante Complexo (MAP — Fosfato Monoamônico)</t>
        </is>
      </c>
      <c r="H413" s="7" t="inlineStr">
        <is>
          <t>GR</t>
        </is>
      </c>
      <c r="I413" s="7" t="inlineStr">
        <is>
          <t>Granulado (GR)</t>
        </is>
      </c>
      <c r="J413" s="7" t="inlineStr">
        <is>
          <t>Aplicação via solo, fertirrigação ou adubação foliar</t>
        </is>
      </c>
      <c r="K413" s="7" t="inlineStr">
        <is>
          <t>Fertilizante Mineral / Organomineral (Lei nº 6.894/1980)</t>
        </is>
      </c>
      <c r="L413" s="7" t="inlineStr">
        <is>
          <t>Nutrição Vegetal SIPEAGRO</t>
        </is>
      </c>
      <c r="M413" s="7" t="inlineStr">
        <is>
          <t>Fornecimento de macro e micronutrientes essenciais ao metabolismo vegetal</t>
        </is>
      </c>
      <c r="N413" s="7" t="inlineStr">
        <is>
          <t>Isento ANVISA (Produto Fertilizante Registrado no SIPEAGRO/MAPA)</t>
        </is>
      </c>
      <c r="O413" s="7" t="inlineStr">
        <is>
          <t>Não Aplicável (Fertilizante)</t>
        </is>
      </c>
      <c r="P413" s="7" t="inlineStr">
        <is>
          <t>Baixo Potencial Poluidor (Uso conforme recomendação agronômica)</t>
        </is>
      </c>
      <c r="Q413" s="9" t="n">
        <v>0</v>
      </c>
      <c r="R413" s="7" t="inlineStr">
        <is>
          <t>Aplicação Dirigida / TS / Solo</t>
        </is>
      </c>
      <c r="S413" s="7" t="inlineStr">
        <is>
          <t>Tratamento sintomático em caso de ingestão acidental</t>
        </is>
      </c>
      <c r="T413" s="7" t="inlineStr">
        <is>
          <t>Estabelecimento Produtor SIPEAGRO/MAPA</t>
        </is>
      </c>
      <c r="U413" s="10">
        <f>HYPERLINK("https://www.gov.br/agricultura/pt-br/assuntos/insumos-agropecuarios/insumos-agricolas/fertilizantes", "Portal SIPEAGRO / MAPA — Fertilizantes e Bioinsumos")</f>
        <v/>
      </c>
    </row>
    <row r="414" ht="22" customHeight="1">
      <c r="A414" s="11" t="n">
        <v>409</v>
      </c>
      <c r="B414" s="12" t="inlineStr">
        <is>
          <t>SIPEAGRO (UF-XXXXX)</t>
        </is>
      </c>
      <c r="C414" s="13" t="inlineStr">
        <is>
          <t>FERTLIZANTE FOSFATADO 10.45.00 GRANULADO KG</t>
        </is>
      </c>
      <c r="D414" s="14" t="inlineStr">
        <is>
          <t>FERTLIZANTE FOSFATADO 10.45.00 GRANULADO KG</t>
        </is>
      </c>
      <c r="E414" s="13" t="inlineStr">
        <is>
          <t>Fertilizante Mineral / Organomineral</t>
        </is>
      </c>
      <c r="F414" s="13" t="inlineStr">
        <is>
          <t>Fertilizantes</t>
        </is>
      </c>
      <c r="G414" s="13" t="inlineStr">
        <is>
          <t>Fertilizante Mineral Misto (NPK / NP)</t>
        </is>
      </c>
      <c r="H414" s="13" t="inlineStr">
        <is>
          <t>Granulado</t>
        </is>
      </c>
      <c r="I414" s="13" t="inlineStr">
        <is>
          <t>Formulação Padrão (Granulado / Solúvel / Suspensão)</t>
        </is>
      </c>
      <c r="J414" s="13" t="inlineStr">
        <is>
          <t>Aplicação via solo, fertirrigação ou adubação foliar</t>
        </is>
      </c>
      <c r="K414" s="13" t="inlineStr">
        <is>
          <t>Fertilizante Mineral / Organomineral (Lei nº 6.894/1980)</t>
        </is>
      </c>
      <c r="L414" s="13" t="inlineStr">
        <is>
          <t>Nutrição Vegetal SIPEAGRO</t>
        </is>
      </c>
      <c r="M414" s="13" t="inlineStr">
        <is>
          <t>Fornecimento de macro e micronutrientes essenciais ao metabolismo vegetal</t>
        </is>
      </c>
      <c r="N414" s="13" t="inlineStr">
        <is>
          <t>Isento ANVISA (Produto Fertilizante Registrado no SIPEAGRO/MAPA)</t>
        </is>
      </c>
      <c r="O414" s="13" t="inlineStr">
        <is>
          <t>Não Aplicável (Fertilizante)</t>
        </is>
      </c>
      <c r="P414" s="13" t="inlineStr">
        <is>
          <t>Baixo Potencial Poluidor (Uso conforme recomendação agronômica)</t>
        </is>
      </c>
      <c r="Q414" s="15" t="n">
        <v>0</v>
      </c>
      <c r="R414" s="13" t="inlineStr">
        <is>
          <t>Aplicação Dirigida / TS / Solo</t>
        </is>
      </c>
      <c r="S414" s="13" t="inlineStr">
        <is>
          <t>Tratamento sintomático em caso de ingestão acidental</t>
        </is>
      </c>
      <c r="T414" s="13" t="inlineStr">
        <is>
          <t>Estabelecimento Produtor SIPEAGRO/MAPA</t>
        </is>
      </c>
      <c r="U414" s="16">
        <f>HYPERLINK("https://www.gov.br/agricultura/pt-br/assuntos/insumos-agropecuarios/insumos-agricolas/fertilizantes", "Portal SIPEAGRO / MAPA — Fertilizantes e Bioinsumos")</f>
        <v/>
      </c>
    </row>
    <row r="415" ht="22" customHeight="1">
      <c r="A415" s="5" t="n">
        <v>410</v>
      </c>
      <c r="B415" s="6" t="inlineStr">
        <is>
          <t>SIPEAGRO (UF-XXXXX)</t>
        </is>
      </c>
      <c r="C415" s="7" t="inlineStr">
        <is>
          <t>RANKING MANGANES 1X1000L</t>
        </is>
      </c>
      <c r="D415" s="8" t="inlineStr">
        <is>
          <t>RANKING MANGANES</t>
        </is>
      </c>
      <c r="E415" s="7" t="inlineStr">
        <is>
          <t>Fertilizante Mineral / Organomineral</t>
        </is>
      </c>
      <c r="F415" s="7" t="inlineStr">
        <is>
          <t>Fertilizantes</t>
        </is>
      </c>
      <c r="G415" s="7" t="inlineStr">
        <is>
          <t>Fertilizante Organomineral / Bioestimulante</t>
        </is>
      </c>
      <c r="H415" s="7" t="inlineStr">
        <is>
          <t>SL</t>
        </is>
      </c>
      <c r="I415" s="7" t="inlineStr">
        <is>
          <t>Solução / Suspensão Concentrada Foliar (Fluido)</t>
        </is>
      </c>
      <c r="J415" s="7" t="inlineStr">
        <is>
          <t>Aplicação via solo, fertirrigação ou adubação foliar</t>
        </is>
      </c>
      <c r="K415" s="7" t="inlineStr">
        <is>
          <t>Fertilizante Mineral / Organomineral (Lei nº 6.894/1980)</t>
        </is>
      </c>
      <c r="L415" s="7" t="inlineStr">
        <is>
          <t>Nutrição Vegetal SIPEAGRO</t>
        </is>
      </c>
      <c r="M415" s="7" t="inlineStr">
        <is>
          <t>Fornecimento de macro e micronutrientes essenciais ao metabolismo vegetal</t>
        </is>
      </c>
      <c r="N415" s="7" t="inlineStr">
        <is>
          <t>Isento ANVISA (Produto Fertilizante Registrado no SIPEAGRO/MAPA)</t>
        </is>
      </c>
      <c r="O415" s="7" t="inlineStr">
        <is>
          <t>Não Aplicável (Fertilizante)</t>
        </is>
      </c>
      <c r="P415" s="7" t="inlineStr">
        <is>
          <t>Baixo Potencial Poluidor (Uso conforme recomendação agronômica)</t>
        </is>
      </c>
      <c r="Q415" s="9" t="n">
        <v>0</v>
      </c>
      <c r="R415" s="7" t="inlineStr">
        <is>
          <t>Aplicação Dirigida / TS / Solo</t>
        </is>
      </c>
      <c r="S415" s="7" t="inlineStr">
        <is>
          <t>Tratamento sintomático em caso de ingestão acidental</t>
        </is>
      </c>
      <c r="T415" s="7" t="inlineStr">
        <is>
          <t>Estabelecimento Produtor SIPEAGRO/MAPA</t>
        </is>
      </c>
      <c r="U415" s="10">
        <f>HYPERLINK("https://www.gov.br/agricultura/pt-br/assuntos/insumos-agropecuarios/insumos-agricolas/fertilizantes", "Portal SIPEAGRO / MAPA — Fertilizantes e Bioinsumos")</f>
        <v/>
      </c>
    </row>
    <row r="416" ht="22" customHeight="1">
      <c r="A416" s="11" t="n">
        <v>411</v>
      </c>
      <c r="B416" s="12" t="inlineStr">
        <is>
          <t>VINCULAR MARCA</t>
        </is>
      </c>
      <c r="C416" s="13" t="inlineStr">
        <is>
          <t>CLORPIRIFOS 480 (PRINCIPIO ATIVO)</t>
        </is>
      </c>
      <c r="D416" s="14" t="inlineStr">
        <is>
          <t>CLORPIRIFOS 480 (PRINCIPIO ATIVO)</t>
        </is>
      </c>
      <c r="E416" s="13" t="inlineStr">
        <is>
          <t>Produto Técnico Industrial</t>
        </is>
      </c>
      <c r="F416" s="13" t="inlineStr">
        <is>
          <t>Defensivos</t>
        </is>
      </c>
      <c r="G416" s="13" t="inlineStr">
        <is>
          <t>Inseticida (Princípio Ativo / Técnico)</t>
        </is>
      </c>
      <c r="H416" s="13" t="inlineStr">
        <is>
          <t>TC</t>
        </is>
      </c>
      <c r="I416" s="13" t="inlineStr">
        <is>
          <t>Produto Técnico Industrial (TC)</t>
        </is>
      </c>
      <c r="J416" s="13" t="inlineStr">
        <is>
          <t>Inseticida e acaricida de contato, ingestão e profundidade</t>
        </is>
      </c>
      <c r="K416" s="13" t="inlineStr">
        <is>
          <t>Organofosforado</t>
        </is>
      </c>
      <c r="L416" s="13" t="inlineStr">
        <is>
          <t>IRAC Grupo 1B</t>
        </is>
      </c>
      <c r="M416" s="13" t="inlineStr">
        <is>
          <t>Inibidores da acetilcolinesterase (AChE)</t>
        </is>
      </c>
      <c r="N416" s="13" t="inlineStr">
        <is>
          <t>Categoria 2 — Produto Altamente Tóxico</t>
        </is>
      </c>
      <c r="O416" s="13" t="inlineStr">
        <is>
          <t>Vermelho PMS Red 199 C</t>
        </is>
      </c>
      <c r="P416" s="13" t="inlineStr">
        <is>
          <t>Classe II — Produto Muito Perigoso ao Meio Ambiente</t>
        </is>
      </c>
      <c r="Q416" s="15" t="n">
        <v>24</v>
      </c>
      <c r="R416" s="13" t="inlineStr">
        <is>
          <t>Terrestre / Aérea (Drones consultar bula)</t>
        </is>
      </c>
      <c r="S416" s="13" t="inlineStr">
        <is>
          <t>Atropina (agonista antimuscarínico) e Pralidoxima (reativador de colinesterase)</t>
        </is>
      </c>
      <c r="T416" s="13" t="inlineStr">
        <is>
          <t>ADAMA BRASIL S/A / GHARDA CHEMICALS LIMITED</t>
        </is>
      </c>
      <c r="U416" s="16">
        <f>HYPERLINK("https://agrofit.agricultura.gov.br/agrofit_cons/principal_agrofit_cons", "Consulta Oficial AGROFIT/MAPA (VINCULAR MARCA)")</f>
        <v/>
      </c>
    </row>
    <row r="417" ht="22" customHeight="1">
      <c r="A417" s="5" t="n">
        <v>412</v>
      </c>
      <c r="B417" s="6" t="inlineStr">
        <is>
          <t>VINCULAR MARCA</t>
        </is>
      </c>
      <c r="C417" s="7" t="inlineStr">
        <is>
          <t>CLOROTAL. 580 + CIPRO 12,8 + TRIFLOXIS. 30 (P. A.)</t>
        </is>
      </c>
      <c r="D417" s="8" t="inlineStr">
        <is>
          <t>CLOROTAL. 580 + CIPRO 12,8 + TRIFLOXIS. 30 (P. A.)</t>
        </is>
      </c>
      <c r="E417" s="7" t="inlineStr">
        <is>
          <t>Produto Técnico Industrial</t>
        </is>
      </c>
      <c r="F417" s="7" t="inlineStr">
        <is>
          <t>Defensivos</t>
        </is>
      </c>
      <c r="G417" s="7" t="inlineStr">
        <is>
          <t>Fungicida (Princípio Ativo / Técnico)</t>
        </is>
      </c>
      <c r="H417" s="7" t="inlineStr">
        <is>
          <t>TC</t>
        </is>
      </c>
      <c r="I417" s="7" t="inlineStr">
        <is>
          <t>Produto Técnico Industrial (TC)</t>
        </is>
      </c>
      <c r="J417" s="7" t="inlineStr">
        <is>
          <t>Fungicida sistêmico preventivo, curativo e erradicante</t>
        </is>
      </c>
      <c r="K417" s="7" t="inlineStr">
        <is>
          <t>Triazol</t>
        </is>
      </c>
      <c r="L417" s="7" t="inlineStr">
        <is>
          <t>FRAC Grupo 3 (DMI)</t>
        </is>
      </c>
      <c r="M417" s="7" t="inlineStr">
        <is>
          <t>Inibidores da desmetilação de esteróis (C14-desmetilase na síntese de ergosterol)</t>
        </is>
      </c>
      <c r="N417" s="7" t="inlineStr">
        <is>
          <t>Categoria 3 / 4 — Moderadamente a Pouco Tóxico</t>
        </is>
      </c>
      <c r="O417" s="7" t="inlineStr">
        <is>
          <t>Amarelo / Azul</t>
        </is>
      </c>
      <c r="P417" s="7" t="inlineStr">
        <is>
          <t>Classe II — Produto Muito Perigoso ao Meio Ambiente</t>
        </is>
      </c>
      <c r="Q417" s="9" t="n">
        <v>24</v>
      </c>
      <c r="R417" s="7" t="inlineStr">
        <is>
          <t>Terrestre / Aérea (Drones consultar bula)</t>
        </is>
      </c>
      <c r="S417" s="7" t="inlineStr">
        <is>
          <t>Sem antídoto específico; tratamento sintomático</t>
        </is>
      </c>
      <c r="T417" s="7" t="inlineStr">
        <is>
          <t>GLOBACHEM PROTEÇÃO DE CULTIVOS DO BRASIL LTDA.</t>
        </is>
      </c>
      <c r="U417" s="10">
        <f>HYPERLINK("https://agrofit.agricultura.gov.br/agrofit_cons/principal_agrofit_cons", "Consulta Oficial AGROFIT/MAPA (VINCULAR MARCA)")</f>
        <v/>
      </c>
    </row>
    <row r="418" ht="22" customHeight="1">
      <c r="A418" s="11" t="n">
        <v>413</v>
      </c>
      <c r="B418" s="12" t="inlineStr">
        <is>
          <t>Nº 9621</t>
        </is>
      </c>
      <c r="C418" s="13" t="inlineStr">
        <is>
          <t>GLIFOSATO 506 (PRINCIPIO ATIVO)</t>
        </is>
      </c>
      <c r="D418" s="14" t="inlineStr">
        <is>
          <t>GLIFOSATO 506 (PRINCIPIO ATIVO)</t>
        </is>
      </c>
      <c r="E418" s="13" t="inlineStr">
        <is>
          <t>Produto Técnico Industrial</t>
        </is>
      </c>
      <c r="F418" s="13" t="inlineStr">
        <is>
          <t>Defensivos</t>
        </is>
      </c>
      <c r="G418" s="13" t="inlineStr">
        <is>
          <t>Herbicida (Princípio Ativo / Técnico)</t>
        </is>
      </c>
      <c r="H418" s="13" t="inlineStr">
        <is>
          <t>TC</t>
        </is>
      </c>
      <c r="I418" s="13" t="inlineStr">
        <is>
          <t>Produto Técnico Industrial (TC)</t>
        </is>
      </c>
      <c r="J418" s="13" t="inlineStr">
        <is>
          <t>Herbicida sistêmico de pós-emergência (seletivo condicional p/ OGM)</t>
        </is>
      </c>
      <c r="K418" s="13" t="inlineStr">
        <is>
          <t>Glicina substituída</t>
        </is>
      </c>
      <c r="L418" s="13" t="inlineStr">
        <is>
          <t>HRAC Grupo G (EPSPs)</t>
        </is>
      </c>
      <c r="M418" s="13" t="inlineStr">
        <is>
          <t>Inibidores da enzima EPSPs (Enoil Piruvil Shiquimato Fosfato Sintase)</t>
        </is>
      </c>
      <c r="N418" s="13" t="inlineStr">
        <is>
          <t>Categoria 5 — Produto Improvável de Causar Dano Agudo</t>
        </is>
      </c>
      <c r="O418" s="13" t="inlineStr">
        <is>
          <t>Azul Intenso</t>
        </is>
      </c>
      <c r="P418" s="13" t="inlineStr">
        <is>
          <t>Classe III / IV — Perigoso a Pouco Perigoso ao Meio Ambiente</t>
        </is>
      </c>
      <c r="Q418" s="15" t="n">
        <v>24</v>
      </c>
      <c r="R418" s="13" t="inlineStr">
        <is>
          <t>Terrestre / Aérea (Drones consultar bula)</t>
        </is>
      </c>
      <c r="S418" s="13" t="inlineStr">
        <is>
          <t>Sem antídoto específico (Atropina ineficaz); tratamento sintomático</t>
        </is>
      </c>
      <c r="T418" s="13" t="inlineStr">
        <is>
          <t>ALBAUGH AGRO BRASIL LTDA.</t>
        </is>
      </c>
      <c r="U418" s="16">
        <f>HYPERLINK("https://www.adapar.pr.gov.br/Pagina/Agrotoxicos-Herbicidas", "Registro Oficial Preciso XK SL (MAPA 9621)")</f>
        <v/>
      </c>
    </row>
    <row r="419" ht="22" customHeight="1">
      <c r="A419" s="5" t="n">
        <v>414</v>
      </c>
      <c r="B419" s="6" t="inlineStr">
        <is>
          <t>SIPEAGRO (UF-XXXXX)</t>
        </is>
      </c>
      <c r="C419" s="7" t="inlineStr">
        <is>
          <t>FERTILIZANTE 00-25-00 2S (VALIDAR)</t>
        </is>
      </c>
      <c r="D419" s="8" t="inlineStr">
        <is>
          <t>FERTILIZANTE 00-25-00 2S (VALIDAR)</t>
        </is>
      </c>
      <c r="E419" s="7" t="inlineStr">
        <is>
          <t>Fertilizante Mineral / Organomineral</t>
        </is>
      </c>
      <c r="F419" s="7" t="inlineStr">
        <is>
          <t>Fertilizantes</t>
        </is>
      </c>
      <c r="G419" s="7" t="inlineStr">
        <is>
          <t>Fertilizante Mineral Simples (Fosfatado)</t>
        </is>
      </c>
      <c r="H419" s="7" t="inlineStr">
        <is>
          <t>Granulado</t>
        </is>
      </c>
      <c r="I419" s="7" t="inlineStr">
        <is>
          <t>Formulação Padrão (Granulado / Solúvel / Suspensão)</t>
        </is>
      </c>
      <c r="J419" s="7" t="inlineStr">
        <is>
          <t>Aplicação via solo, fertirrigação ou adubação foliar</t>
        </is>
      </c>
      <c r="K419" s="7" t="inlineStr">
        <is>
          <t>Fertilizante Mineral / Organomineral (Lei nº 6.894/1980)</t>
        </is>
      </c>
      <c r="L419" s="7" t="inlineStr">
        <is>
          <t>Nutrição Vegetal SIPEAGRO</t>
        </is>
      </c>
      <c r="M419" s="7" t="inlineStr">
        <is>
          <t>Fornecimento de macro e micronutrientes essenciais ao metabolismo vegetal</t>
        </is>
      </c>
      <c r="N419" s="7" t="inlineStr">
        <is>
          <t>Isento ANVISA (Produto Fertilizante Registrado no SIPEAGRO/MAPA)</t>
        </is>
      </c>
      <c r="O419" s="7" t="inlineStr">
        <is>
          <t>Não Aplicável (Fertilizante)</t>
        </is>
      </c>
      <c r="P419" s="7" t="inlineStr">
        <is>
          <t>Baixo Potencial Poluidor (Uso conforme recomendação agronômica)</t>
        </is>
      </c>
      <c r="Q419" s="9" t="n">
        <v>0</v>
      </c>
      <c r="R419" s="7" t="inlineStr">
        <is>
          <t>Aplicação Dirigida / TS / Solo</t>
        </is>
      </c>
      <c r="S419" s="7" t="inlineStr">
        <is>
          <t>Tratamento sintomático em caso de ingestão acidental</t>
        </is>
      </c>
      <c r="T419" s="7" t="inlineStr">
        <is>
          <t>Estabelecimento Produtor SIPEAGRO/MAPA</t>
        </is>
      </c>
      <c r="U419" s="10">
        <f>HYPERLINK("https://www.gov.br/agricultura/pt-br/assuntos/insumos-agropecuarios/insumos-agricolas/fertilizantes", "Portal SIPEAGRO / MAPA — Fertilizantes e Bioinsumos")</f>
        <v/>
      </c>
    </row>
    <row r="420" ht="22" customHeight="1">
      <c r="A420" s="11" t="n">
        <v>415</v>
      </c>
      <c r="B420" s="12" t="inlineStr">
        <is>
          <t>ISENTO (ATO 104/2017)</t>
        </is>
      </c>
      <c r="C420" s="13" t="inlineStr">
        <is>
          <t>AGRICOIL MINERAL 1X20L</t>
        </is>
      </c>
      <c r="D420" s="14" t="inlineStr">
        <is>
          <t>AGRICOIL MINERAL</t>
        </is>
      </c>
      <c r="E420" s="13" t="inlineStr">
        <is>
          <t>Adjuvante / Espalhante Adesivo</t>
        </is>
      </c>
      <c r="F420" s="13" t="inlineStr">
        <is>
          <t>Adjuvantes</t>
        </is>
      </c>
      <c r="G420" s="13" t="inlineStr">
        <is>
          <t>Óleo Mineral Adjuvante</t>
        </is>
      </c>
      <c r="H420" s="13" t="inlineStr">
        <is>
          <t>EC</t>
        </is>
      </c>
      <c r="I420" s="13" t="inlineStr">
        <is>
          <t>Concentrado Emulsionável (EC)</t>
        </is>
      </c>
      <c r="J420" s="13" t="inlineStr">
        <is>
          <t>Aditivo físico-químico para calda de pulverização</t>
        </is>
      </c>
      <c r="K420" s="13" t="inlineStr">
        <is>
          <t>Éster Metílico / Hidrocarboneto Parafínico / Tensoativo Siliconado</t>
        </is>
      </c>
      <c r="L420" s="13" t="inlineStr">
        <is>
          <t>Adjuvante Tecnológico de Pulverização</t>
        </is>
      </c>
      <c r="M420" s="13" t="inlineStr">
        <is>
          <t>Redução da tensão superficial, espalhamento, anti-deriva e penetração cuticular</t>
        </is>
      </c>
      <c r="N420" s="13" t="inlineStr">
        <is>
          <t>Isento / Ato SDA nº 104/2017 (ou Categoria 5 quando registrado)</t>
        </is>
      </c>
      <c r="O420" s="13" t="inlineStr">
        <is>
          <t>Azul / Isento</t>
        </is>
      </c>
      <c r="P420" s="13" t="inlineStr">
        <is>
          <t>Classe IV — Pouco Perigoso ao Meio Ambiente</t>
        </is>
      </c>
      <c r="Q420" s="15" t="n">
        <v>24</v>
      </c>
      <c r="R420" s="13" t="inlineStr">
        <is>
          <t>Terrestre / Aérea (Drones consultar bula)</t>
        </is>
      </c>
      <c r="S420" s="13" t="inlineStr">
        <is>
          <t>Tratamento sintomático; evitar indução de vômito em derivados de petróleo</t>
        </is>
      </c>
      <c r="T420" s="13" t="inlineStr">
        <is>
          <t>Dispensado de Registro (Ato SDA nº 104/2017)</t>
        </is>
      </c>
      <c r="U420" s="16">
        <f>HYPERLINK("https://www.gov.br/agricultura/pt-br/assuntos/insumos-agropecuarios/insumos-agricolas/agrotoxicos/legislacao", "Ato SDA/MAPA nº 104/2017 — Adjuvantes Agrícolas")</f>
        <v/>
      </c>
    </row>
    <row r="421" ht="22" customHeight="1">
      <c r="A421" s="5" t="n">
        <v>416</v>
      </c>
      <c r="B421" s="6" t="inlineStr">
        <is>
          <t>Nº 23922</t>
        </is>
      </c>
      <c r="C421" s="7" t="inlineStr">
        <is>
          <t>GRASIDIM FULL 1X20L (IMP) AW</t>
        </is>
      </c>
      <c r="D421" s="8" t="inlineStr">
        <is>
          <t>GRASIDIM FULL</t>
        </is>
      </c>
      <c r="E421" s="7" t="inlineStr">
        <is>
          <t>Produto Formulado Comercial</t>
        </is>
      </c>
      <c r="F421" s="7" t="inlineStr">
        <is>
          <t>Defensivos</t>
        </is>
      </c>
      <c r="G421" s="7" t="inlineStr">
        <is>
          <t>Herbicida</t>
        </is>
      </c>
      <c r="H421" s="7" t="inlineStr">
        <is>
          <t>EC</t>
        </is>
      </c>
      <c r="I421" s="7" t="inlineStr">
        <is>
          <t>Concentrado Emulsionável (EC)</t>
        </is>
      </c>
      <c r="J421" s="7" t="inlineStr">
        <is>
          <t>Herbicida graminicida sistêmico seletivo de pós-emergência</t>
        </is>
      </c>
      <c r="K421" s="7" t="inlineStr">
        <is>
          <t>Oxima ciclohexanodiona (DIM)</t>
        </is>
      </c>
      <c r="L421" s="7" t="inlineStr">
        <is>
          <t>HRAC Grupo A (1) — Inibidores da ACCase</t>
        </is>
      </c>
      <c r="M421" s="7" t="inlineStr">
        <is>
          <t>Inibidores da Acetil CoA Carboxilase (ACCase)</t>
        </is>
      </c>
      <c r="N421" s="7" t="inlineStr">
        <is>
          <t>Categoria 5 — Produto Improvável de Causar Dano Agudo</t>
        </is>
      </c>
      <c r="O421" s="7" t="inlineStr">
        <is>
          <t>Azul Intenso</t>
        </is>
      </c>
      <c r="P421" s="7" t="inlineStr">
        <is>
          <t>Classe III — Produto Perigoso ao Meio Ambiente</t>
        </is>
      </c>
      <c r="Q421" s="9" t="n">
        <v>24</v>
      </c>
      <c r="R421" s="7" t="inlineStr">
        <is>
          <t>Terrestre / Aérea (Drones consultar bula)</t>
        </is>
      </c>
      <c r="S421" s="7" t="inlineStr">
        <is>
          <t>Sem antídoto específico; tratamento sintomático</t>
        </is>
      </c>
      <c r="T421" s="7" t="inlineStr">
        <is>
          <t>RAINBOW DEFENSIVOS AGRÍCOLAS LTDA.</t>
        </is>
      </c>
      <c r="U421" s="10">
        <f>HYPERLINK("https://agrofit.agricultura.gov.br/agrofit_cons/principal_agrofit_cons", "Consulta Oficial AGROFIT/MAPA (Nº 23922)")</f>
        <v/>
      </c>
    </row>
    <row r="422" ht="22" customHeight="1">
      <c r="A422" s="11" t="n">
        <v>417</v>
      </c>
      <c r="B422" s="12" t="inlineStr">
        <is>
          <t>Nº 4623</t>
        </is>
      </c>
      <c r="C422" s="13" t="inlineStr">
        <is>
          <t>WERIFE - ACEFATO 970 - (PRINCIPIO ATIVO)</t>
        </is>
      </c>
      <c r="D422" s="14" t="inlineStr">
        <is>
          <t>WERIFE - ACEFATO 970 - (PRINCIPIO ATIVO)</t>
        </is>
      </c>
      <c r="E422" s="13" t="inlineStr">
        <is>
          <t>Produto Técnico Industrial</t>
        </is>
      </c>
      <c r="F422" s="13" t="inlineStr">
        <is>
          <t>Defensivos</t>
        </is>
      </c>
      <c r="G422" s="13" t="inlineStr">
        <is>
          <t>Inseticida (Princípio Ativo / Técnico)</t>
        </is>
      </c>
      <c r="H422" s="13" t="inlineStr">
        <is>
          <t>TC</t>
        </is>
      </c>
      <c r="I422" s="13" t="inlineStr">
        <is>
          <t>Produto Técnico Industrial (TC)</t>
        </is>
      </c>
      <c r="J422" s="13" t="inlineStr">
        <is>
          <t>Inseticida e acaricida sistêmico de contato e ingestão</t>
        </is>
      </c>
      <c r="K422" s="13" t="inlineStr">
        <is>
          <t>Organofosforado</t>
        </is>
      </c>
      <c r="L422" s="13" t="inlineStr">
        <is>
          <t>IRAC Grupo 1B</t>
        </is>
      </c>
      <c r="M422" s="13" t="inlineStr">
        <is>
          <t>Inibidores da enzima acetilcolinesterase (AChE)</t>
        </is>
      </c>
      <c r="N422" s="13" t="inlineStr">
        <is>
          <t>Categoria 4 — Produto Pouco Tóxico</t>
        </is>
      </c>
      <c r="O422" s="13" t="inlineStr">
        <is>
          <t>Azul PMS Blue 293 C</t>
        </is>
      </c>
      <c r="P422" s="13" t="inlineStr">
        <is>
          <t>Classe III — Produto Perigoso ao Meio Ambiente</t>
        </is>
      </c>
      <c r="Q422" s="15" t="n">
        <v>24</v>
      </c>
      <c r="R422" s="13" t="inlineStr">
        <is>
          <t>Terrestre / Aérea (Drones consultar bula)</t>
        </is>
      </c>
      <c r="S422" s="13" t="inlineStr">
        <is>
          <t>Sulfato de Atropina e Pralidoxima (Contrathion)</t>
        </is>
      </c>
      <c r="T422" s="13" t="inlineStr">
        <is>
          <t>Rainbow Defensivos</t>
        </is>
      </c>
      <c r="U422" s="16">
        <f>HYPERLINK("https://agrofit.agricultura.gov.br/agrofit_cons/principal_agrofit_cons", "Consulta Oficial AGROFIT/MAPA (Nº 4623)")</f>
        <v/>
      </c>
    </row>
    <row r="423" ht="22" customHeight="1">
      <c r="A423" s="5" t="n">
        <v>418</v>
      </c>
      <c r="B423" s="6" t="inlineStr">
        <is>
          <t>Nº 28120</t>
        </is>
      </c>
      <c r="C423" s="7" t="inlineStr">
        <is>
          <t>WILD CLEAR - FLUROXIPIR 200 EC - (PRINCIPIO ATIVO)</t>
        </is>
      </c>
      <c r="D423" s="8" t="inlineStr">
        <is>
          <t>WILD CLEAR - FLUROXIPIR 200 EC - (PRINCIPIO ATIVO)</t>
        </is>
      </c>
      <c r="E423" s="7" t="inlineStr">
        <is>
          <t>Produto Técnico Industrial</t>
        </is>
      </c>
      <c r="F423" s="7" t="inlineStr">
        <is>
          <t>Defensivos</t>
        </is>
      </c>
      <c r="G423" s="7" t="inlineStr">
        <is>
          <t>Herbicida (Princípio Ativo / Técnico)</t>
        </is>
      </c>
      <c r="H423" s="7" t="inlineStr">
        <is>
          <t>TC</t>
        </is>
      </c>
      <c r="I423" s="7" t="inlineStr">
        <is>
          <t>Produto Técnico Industrial (TC)</t>
        </is>
      </c>
      <c r="J423" s="7" t="inlineStr">
        <is>
          <t>Herbicida de pré ou pós-emergência</t>
        </is>
      </c>
      <c r="K423" s="7" t="inlineStr">
        <is>
          <t>Ácido piridiniloxialcanoico</t>
        </is>
      </c>
      <c r="L423" s="7" t="inlineStr">
        <is>
          <t>HRAC Grupo O (4) — Auxinas Sintéticas</t>
        </is>
      </c>
      <c r="M423" s="7" t="inlineStr">
        <is>
          <t>Mimetizadores de auxina sintética (desregulação do crescimento celular)</t>
        </is>
      </c>
      <c r="N423" s="7" t="inlineStr">
        <is>
          <t>Categoria 4 / 5 — Pouco Tóxico (Conforme Bula ANVISA)</t>
        </is>
      </c>
      <c r="O423" s="7" t="inlineStr">
        <is>
          <t>Azul PMS Blue 293 C</t>
        </is>
      </c>
      <c r="P423" s="7" t="inlineStr">
        <is>
          <t>Classe II / III — Perigoso ao Meio Ambiente</t>
        </is>
      </c>
      <c r="Q423" s="9" t="n">
        <v>24</v>
      </c>
      <c r="R423" s="7" t="inlineStr">
        <is>
          <t>Terrestre / Aérea (Drones consultar bula)</t>
        </is>
      </c>
      <c r="S423" s="7" t="inlineStr">
        <is>
          <t>Sem antídoto específico; tratamento sintomático e descontaminação</t>
        </is>
      </c>
      <c r="T423" s="7" t="inlineStr">
        <is>
          <t>RAINBOW DEFENSIVOS AGRÍCOLAS LTDA.</t>
        </is>
      </c>
      <c r="U423" s="10">
        <f>HYPERLINK("https://www.adapar.pr.gov.br/Pagina/Agrotoxicos-Herbicidas", "Registro Oficial Widclear 200 EC (MAPA 28120)")</f>
        <v/>
      </c>
    </row>
    <row r="424" ht="22" customHeight="1">
      <c r="A424" s="11" t="n">
        <v>419</v>
      </c>
      <c r="B424" s="12" t="inlineStr">
        <is>
          <t>Nº 36822</t>
        </is>
      </c>
      <c r="C424" s="13" t="inlineStr">
        <is>
          <t>CLORPIRIFOS 48 EC AGCN 1X20L (IMP) GG</t>
        </is>
      </c>
      <c r="D424" s="14" t="inlineStr">
        <is>
          <t>CLORPIRIFOS 48 EC AGCN</t>
        </is>
      </c>
      <c r="E424" s="13" t="inlineStr">
        <is>
          <t>Produto Formulado Comercial</t>
        </is>
      </c>
      <c r="F424" s="13" t="inlineStr">
        <is>
          <t>Defensivos</t>
        </is>
      </c>
      <c r="G424" s="13" t="inlineStr">
        <is>
          <t>Inseticida</t>
        </is>
      </c>
      <c r="H424" s="13" t="inlineStr">
        <is>
          <t>EC</t>
        </is>
      </c>
      <c r="I424" s="13" t="inlineStr">
        <is>
          <t>Concentrado Emulsionável (EC)</t>
        </is>
      </c>
      <c r="J424" s="13" t="inlineStr">
        <is>
          <t>Inseticida e acaricida de contato, ingestão e profundidade</t>
        </is>
      </c>
      <c r="K424" s="13" t="inlineStr">
        <is>
          <t>Organofosforado</t>
        </is>
      </c>
      <c r="L424" s="13" t="inlineStr">
        <is>
          <t>IRAC Grupo 1B</t>
        </is>
      </c>
      <c r="M424" s="13" t="inlineStr">
        <is>
          <t>Inibidores da acetilcolinesterase (AChE)</t>
        </is>
      </c>
      <c r="N424" s="13" t="inlineStr">
        <is>
          <t>Categoria 2 — Produto Altamente Tóxico</t>
        </is>
      </c>
      <c r="O424" s="13" t="inlineStr">
        <is>
          <t>Vermelho PMS Red 199 C</t>
        </is>
      </c>
      <c r="P424" s="13" t="inlineStr">
        <is>
          <t>Classe II — Produto Muito Perigoso ao Meio Ambiente</t>
        </is>
      </c>
      <c r="Q424" s="15" t="n">
        <v>24</v>
      </c>
      <c r="R424" s="13" t="inlineStr">
        <is>
          <t>Terrestre / Aérea (Drones consultar bula)</t>
        </is>
      </c>
      <c r="S424" s="13" t="inlineStr">
        <is>
          <t>Atropina (agonista antimuscarínico) e Pralidoxima (reativador de colinesterase)</t>
        </is>
      </c>
      <c r="T424" s="13" t="inlineStr">
        <is>
          <t>AGRICONNECTION IMPORTADORA E EXPORTADORA DE INSUMOS AGRÍCOLAS LTDA.</t>
        </is>
      </c>
      <c r="U424" s="16">
        <f>HYPERLINK("https://www.adapar.pr.gov.br/system/files/publico/Agrotoxicos/lista.pdf", "Registro Oficial Clorpirifós 480 EC AGCN (MAPA 36822)")</f>
        <v/>
      </c>
    </row>
    <row r="425" ht="22" customHeight="1">
      <c r="A425" s="5" t="n">
        <v>420</v>
      </c>
      <c r="B425" s="6" t="inlineStr">
        <is>
          <t>Nº 11819</t>
        </is>
      </c>
      <c r="C425" s="7" t="inlineStr">
        <is>
          <t>MANCOZEB 800 WP AGCN 1X25KG (IMP) LS</t>
        </is>
      </c>
      <c r="D425" s="8" t="inlineStr">
        <is>
          <t>MANCOZEB 800 WP AGCN</t>
        </is>
      </c>
      <c r="E425" s="7" t="inlineStr">
        <is>
          <t>Produto Formulado Comercial</t>
        </is>
      </c>
      <c r="F425" s="7" t="inlineStr">
        <is>
          <t>Defensivos</t>
        </is>
      </c>
      <c r="G425" s="7" t="inlineStr">
        <is>
          <t>Fungicida</t>
        </is>
      </c>
      <c r="H425" s="7" t="inlineStr">
        <is>
          <t>WP</t>
        </is>
      </c>
      <c r="I425" s="7" t="inlineStr">
        <is>
          <t>Pó Molhável (WP)</t>
        </is>
      </c>
      <c r="J425" s="7" t="inlineStr">
        <is>
          <t>Fungicida e acaricida protetor de contato multissítio</t>
        </is>
      </c>
      <c r="K425" s="7" t="inlineStr">
        <is>
          <t>Alquilenobis(ditiocarbamato)</t>
        </is>
      </c>
      <c r="L425" s="7" t="inlineStr">
        <is>
          <t>FRAC Grupo M03 — Multissítio</t>
        </is>
      </c>
      <c r="M425" s="7" t="inlineStr">
        <is>
          <t>Inibidor multissítio de enzimas contendo grupos sulfidrila e aminoácidos fúngicos</t>
        </is>
      </c>
      <c r="N425" s="7" t="inlineStr">
        <is>
          <t>Categoria 5 — Produto Improvável de Causar Dano Agudo</t>
        </is>
      </c>
      <c r="O425" s="7" t="inlineStr">
        <is>
          <t>Azul Intenso</t>
        </is>
      </c>
      <c r="P425" s="7" t="inlineStr">
        <is>
          <t>Classe II — Produto Muito Perigoso ao Meio Ambiente</t>
        </is>
      </c>
      <c r="Q425" s="9" t="n">
        <v>24</v>
      </c>
      <c r="R425" s="7" t="inlineStr">
        <is>
          <t>Terrestre / Aérea (Drones consultar bula)</t>
        </is>
      </c>
      <c r="S425" s="7" t="inlineStr">
        <is>
          <t>Sem antídoto específico; evitar consumo de álcool (efeito antabuse por ETU)</t>
        </is>
      </c>
      <c r="T425" s="7" t="inlineStr">
        <is>
          <t>AGRICONNECTION IMPORTADORA E EXPORTADORA DE INSUMOS AGRÍCOLAS LTDA.</t>
        </is>
      </c>
      <c r="U425" s="10">
        <f>HYPERLINK("https://agrofit.agricultura.gov.br/agrofit_cons/principal_agrofit_cons", "Consulta Oficial AGROFIT/MAPA (Nº 11819)")</f>
        <v/>
      </c>
    </row>
    <row r="426" ht="22" customHeight="1">
      <c r="A426" s="11" t="n">
        <v>421</v>
      </c>
      <c r="B426" s="12" t="inlineStr">
        <is>
          <t>Nº 10210</t>
        </is>
      </c>
      <c r="C426" s="13" t="inlineStr">
        <is>
          <t>LAMBDA CIALOTRINA 250 EC 4X5L (VALIDAR FISCAL)</t>
        </is>
      </c>
      <c r="D426" s="14" t="inlineStr">
        <is>
          <t>LAMBDA CIALOTRINA 250 EC</t>
        </is>
      </c>
      <c r="E426" s="13" t="inlineStr">
        <is>
          <t>Produto Formulado Comercial</t>
        </is>
      </c>
      <c r="F426" s="13" t="inlineStr">
        <is>
          <t>Defensivos</t>
        </is>
      </c>
      <c r="G426" s="13" t="inlineStr">
        <is>
          <t>Inseticida</t>
        </is>
      </c>
      <c r="H426" s="13" t="inlineStr">
        <is>
          <t>EC</t>
        </is>
      </c>
      <c r="I426" s="13" t="inlineStr">
        <is>
          <t>Concentrado Emulsionável (EC)</t>
        </is>
      </c>
      <c r="J426" s="13" t="inlineStr">
        <is>
          <t>Inseticida de contato e ingestão com efeito de choque</t>
        </is>
      </c>
      <c r="K426" s="13" t="inlineStr">
        <is>
          <t>Piretroide (Tipo II)</t>
        </is>
      </c>
      <c r="L426" s="13" t="inlineStr">
        <is>
          <t>IRAC Grupo 3A</t>
        </is>
      </c>
      <c r="M426" s="13" t="inlineStr">
        <is>
          <t>Moduladores de canais de sódio em axônios nervosos</t>
        </is>
      </c>
      <c r="N426" s="13" t="inlineStr">
        <is>
          <t>Categoria 3 / 4 — Moderadamente a Pouco Tóxico</t>
        </is>
      </c>
      <c r="O426" s="13" t="inlineStr">
        <is>
          <t>Amarelo / Azul</t>
        </is>
      </c>
      <c r="P426" s="13" t="inlineStr">
        <is>
          <t>Classe II — Produto Muito Perigoso ao Meio Ambiente</t>
        </is>
      </c>
      <c r="Q426" s="15" t="n">
        <v>24</v>
      </c>
      <c r="R426" s="13" t="inlineStr">
        <is>
          <t>Terrestre / Aérea (Drones consultar bula)</t>
        </is>
      </c>
      <c r="S426" s="13" t="inlineStr">
        <is>
          <t>Sem antídoto específico; anti-histamínicos e suporte sintomático</t>
        </is>
      </c>
      <c r="T426" s="13" t="inlineStr">
        <is>
          <t>OURO FINO QUÍMICA S.A.</t>
        </is>
      </c>
      <c r="U426" s="16">
        <f>HYPERLINK("https://www.adapar.pr.gov.br/system/files/publico/Agrotoxicos/lista.pdf", "Registro Oficial Lambda-Cialotrina 250 CS (MAPA 10210)")</f>
        <v/>
      </c>
    </row>
    <row r="427" ht="22" customHeight="1">
      <c r="A427" s="5" t="n">
        <v>422</v>
      </c>
      <c r="B427" s="6" t="inlineStr">
        <is>
          <t>Nº 1923</t>
        </is>
      </c>
      <c r="C427" s="7" t="inlineStr">
        <is>
          <t>PUPENO-CLOROTAL 580+CIPRO 12,8+TRIFLOXI 30 (P.A)</t>
        </is>
      </c>
      <c r="D427" s="8" t="inlineStr">
        <is>
          <t>PUPENO-CLOROTAL 580+CIPRO 12,8+TRIFLOXI 30 (P.A)</t>
        </is>
      </c>
      <c r="E427" s="7" t="inlineStr">
        <is>
          <t>Produto Técnico Industrial</t>
        </is>
      </c>
      <c r="F427" s="7" t="inlineStr">
        <is>
          <t>Defensivos</t>
        </is>
      </c>
      <c r="G427" s="7" t="inlineStr">
        <is>
          <t>Fungicida (Princípio Ativo / Técnico)</t>
        </is>
      </c>
      <c r="H427" s="7" t="inlineStr">
        <is>
          <t>SC</t>
        </is>
      </c>
      <c r="I427" s="7" t="inlineStr">
        <is>
          <t>Suspensão Concentrada (SC)</t>
        </is>
      </c>
      <c r="J427" s="7" t="inlineStr">
        <is>
          <t>Fungicida protetor de contato multissítio (manejo anti-resistência)</t>
        </is>
      </c>
      <c r="K427" s="7" t="inlineStr">
        <is>
          <t>Isoftalonitrila + Estrobilurina + Triazol</t>
        </is>
      </c>
      <c r="L427" s="7" t="inlineStr">
        <is>
          <t>FRAC M05 + Grupo 11 + Grupo 3</t>
        </is>
      </c>
      <c r="M427" s="7" t="inlineStr">
        <is>
          <t>Atividade multissítio combinada à inibição respiratória (QoI) e de síntese de ergosterol (DMI)</t>
        </is>
      </c>
      <c r="N427" s="7" t="inlineStr">
        <is>
          <t>Categoria 2 — Produto Altamente Tóxico</t>
        </is>
      </c>
      <c r="O427" s="7" t="inlineStr">
        <is>
          <t>Vermelho PMS Red 199 C</t>
        </is>
      </c>
      <c r="P427" s="7" t="inlineStr">
        <is>
          <t>Classe II — Produto Muito Perigoso ao Meio Ambiente</t>
        </is>
      </c>
      <c r="Q427" s="9" t="n">
        <v>48</v>
      </c>
      <c r="R427" s="7" t="inlineStr">
        <is>
          <t>Terrestre / Aérea (Drones consultar bula)</t>
        </is>
      </c>
      <c r="S427" s="7" t="inlineStr">
        <is>
          <t>Sem antídoto específico; tratamento sintomático e descontaminação ocular/cutânea</t>
        </is>
      </c>
      <c r="T427" s="7" t="inlineStr">
        <is>
          <t>GLOBACHEM PROTEÇÃO DE CULTIVOS DO BRASIL LTDA.</t>
        </is>
      </c>
      <c r="U427" s="10">
        <f>HYPERLINK("https://www.cultivasmart.com/Product/DownloadBula?brojRegistracije=1923", "Bula Oficial Parachute (Globachem/MAPA 1923)")</f>
        <v/>
      </c>
    </row>
    <row r="428" ht="22" customHeight="1">
      <c r="A428" s="11" t="n">
        <v>423</v>
      </c>
      <c r="B428" s="12" t="inlineStr">
        <is>
          <t>Nº 1923</t>
        </is>
      </c>
      <c r="C428" s="13" t="inlineStr">
        <is>
          <t>PARACHUTE-CLOROTAL 580+DIFENO 30+TRIFLOXI 24 (P.A)</t>
        </is>
      </c>
      <c r="D428" s="14" t="inlineStr">
        <is>
          <t>PARACHUTE-CLOROTAL 580+DIFENO 30+TRIFLOXI 24 (P.A)</t>
        </is>
      </c>
      <c r="E428" s="13" t="inlineStr">
        <is>
          <t>Produto Técnico Industrial</t>
        </is>
      </c>
      <c r="F428" s="13" t="inlineStr">
        <is>
          <t>Defensivos</t>
        </is>
      </c>
      <c r="G428" s="13" t="inlineStr">
        <is>
          <t>Fungicida (Princípio Ativo / Técnico)</t>
        </is>
      </c>
      <c r="H428" s="13" t="inlineStr">
        <is>
          <t>SC</t>
        </is>
      </c>
      <c r="I428" s="13" t="inlineStr">
        <is>
          <t>Suspensão Concentrada (SC)</t>
        </is>
      </c>
      <c r="J428" s="13" t="inlineStr">
        <is>
          <t>Fungicida sistêmico preventivo, curativo e erradicante</t>
        </is>
      </c>
      <c r="K428" s="13" t="inlineStr">
        <is>
          <t>Triazol</t>
        </is>
      </c>
      <c r="L428" s="13" t="inlineStr">
        <is>
          <t>FRAC Grupo 3 (DMI)</t>
        </is>
      </c>
      <c r="M428" s="13" t="inlineStr">
        <is>
          <t>Inibidores da desmetilação de esteróis (C14-desmetilase na síntese de ergosterol)</t>
        </is>
      </c>
      <c r="N428" s="13" t="inlineStr">
        <is>
          <t>Categoria 2 — Produto Altamente Tóxico</t>
        </is>
      </c>
      <c r="O428" s="13" t="inlineStr">
        <is>
          <t>Vermelho PMS Red 199 C</t>
        </is>
      </c>
      <c r="P428" s="13" t="inlineStr">
        <is>
          <t>Classe II — Produto Muito Perigoso ao Meio Ambiente</t>
        </is>
      </c>
      <c r="Q428" s="15" t="n">
        <v>48</v>
      </c>
      <c r="R428" s="13" t="inlineStr">
        <is>
          <t>Terrestre / Aérea (Drones consultar bula)</t>
        </is>
      </c>
      <c r="S428" s="13" t="inlineStr">
        <is>
          <t>Sem antídoto específico; tratamento sintomático</t>
        </is>
      </c>
      <c r="T428" s="13" t="inlineStr">
        <is>
          <t>GLOBACHEM PROTEÇÃO DE CULTIVOS DO BRASIL LTDA.</t>
        </is>
      </c>
      <c r="U428" s="16">
        <f>HYPERLINK("https://www.cultivasmart.com/Product/DownloadBula?brojRegistracije=1923", "Bula Oficial Parachute (Globachem/MAPA 1923)")</f>
        <v/>
      </c>
    </row>
    <row r="429" ht="22" customHeight="1">
      <c r="A429" s="5" t="n">
        <v>424</v>
      </c>
      <c r="B429" s="6" t="inlineStr">
        <is>
          <t>Nº 31422</t>
        </is>
      </c>
      <c r="C429" s="7" t="inlineStr">
        <is>
          <t>ZARPAL 1X20L (IMP) GY</t>
        </is>
      </c>
      <c r="D429" s="8" t="inlineStr">
        <is>
          <t>ZARPAL</t>
        </is>
      </c>
      <c r="E429" s="7" t="inlineStr">
        <is>
          <t>Produto Formulado Comercial</t>
        </is>
      </c>
      <c r="F429" s="7" t="inlineStr">
        <is>
          <t>Defensivos</t>
        </is>
      </c>
      <c r="G429" s="7" t="inlineStr">
        <is>
          <t>Inseticida</t>
        </is>
      </c>
      <c r="H429" s="7" t="inlineStr">
        <is>
          <t>SC</t>
        </is>
      </c>
      <c r="I429" s="7" t="inlineStr">
        <is>
          <t>Suspensão Concentrada (SC)</t>
        </is>
      </c>
      <c r="J429" s="7" t="inlineStr">
        <is>
          <t>Inseticida e acaricida de contato e ingestão</t>
        </is>
      </c>
      <c r="K429" s="7" t="inlineStr">
        <is>
          <t>Benzoilureia + Piretroide (Tipo I)</t>
        </is>
      </c>
      <c r="L429" s="7" t="inlineStr">
        <is>
          <t>IRAC Grupo 15 + IRAC Grupo 3A</t>
        </is>
      </c>
      <c r="M429" s="7" t="inlineStr">
        <is>
          <t>Inibidores da biossíntese de quitina, Tipo 0; Moduladores de canais de sódio em membranas nervosas</t>
        </is>
      </c>
      <c r="N429" s="7" t="inlineStr">
        <is>
          <t>Categoria 4 — Produto Pouco Tóxico</t>
        </is>
      </c>
      <c r="O429" s="7" t="inlineStr">
        <is>
          <t>Azul PMS Blue 293 C</t>
        </is>
      </c>
      <c r="P429" s="7" t="inlineStr">
        <is>
          <t>Classe II — Produto Muito Perigoso ao Meio Ambiente</t>
        </is>
      </c>
      <c r="Q429" s="9" t="n">
        <v>24</v>
      </c>
      <c r="R429" s="7" t="inlineStr">
        <is>
          <t>Terrestre / Aérea (Drones consultar bula)</t>
        </is>
      </c>
      <c r="S429" s="7" t="inlineStr">
        <is>
          <t>Sem antídoto específico; anti-histamínicos e vitamina E tópica para parestesia</t>
        </is>
      </c>
      <c r="T429" s="7" t="inlineStr">
        <is>
          <t>GLOBACHEM PROTEÇÃO DE CULTIVOS DO BRASIL LTDA.</t>
        </is>
      </c>
      <c r="U429" s="10">
        <f>HYPERLINK("https://globachem.br.com/wp-content/uploads/2023/04/ALON_Bula_Agrofit.pdf", "Bula Oficial Alon/Buffon/Zarpal (Globachem/MAPA 31422)")</f>
        <v/>
      </c>
    </row>
    <row r="430" ht="22" customHeight="1">
      <c r="A430" s="11" t="n">
        <v>425</v>
      </c>
      <c r="B430" s="12" t="inlineStr">
        <is>
          <t>Nº 3307</t>
        </is>
      </c>
      <c r="C430" s="13" t="inlineStr">
        <is>
          <t>BIFENTRINA 400 EC 1X20L (VALIDAR FISCAL)</t>
        </is>
      </c>
      <c r="D430" s="14" t="inlineStr">
        <is>
          <t>BIFENTRINA 400 EC</t>
        </is>
      </c>
      <c r="E430" s="13" t="inlineStr">
        <is>
          <t>Produto Formulado Comercial</t>
        </is>
      </c>
      <c r="F430" s="13" t="inlineStr">
        <is>
          <t>Defensivos</t>
        </is>
      </c>
      <c r="G430" s="13" t="inlineStr">
        <is>
          <t>Inseticida e Acaricida</t>
        </is>
      </c>
      <c r="H430" s="13" t="inlineStr">
        <is>
          <t>EC</t>
        </is>
      </c>
      <c r="I430" s="13" t="inlineStr">
        <is>
          <t>Concentrado Emulsionável (EC)</t>
        </is>
      </c>
      <c r="J430" s="13" t="inlineStr">
        <is>
          <t>Inseticida e acaricida de contato e ingestão</t>
        </is>
      </c>
      <c r="K430" s="13" t="inlineStr">
        <is>
          <t>Piretroide (Tipo I)</t>
        </is>
      </c>
      <c r="L430" s="13" t="inlineStr">
        <is>
          <t>IRAC Grupo 3A</t>
        </is>
      </c>
      <c r="M430" s="13" t="inlineStr">
        <is>
          <t>Moduladores de canais de sódio em membranas nervosas</t>
        </is>
      </c>
      <c r="N430" s="13" t="inlineStr">
        <is>
          <t>Categoria 3 — Produto Moderadamente Tóxico</t>
        </is>
      </c>
      <c r="O430" s="13" t="inlineStr">
        <is>
          <t>Amarelo PMS Yellow C</t>
        </is>
      </c>
      <c r="P430" s="13" t="inlineStr">
        <is>
          <t>Classe II — Produto Muito Perigoso ao Meio Ambiente</t>
        </is>
      </c>
      <c r="Q430" s="15" t="n">
        <v>24</v>
      </c>
      <c r="R430" s="13" t="inlineStr">
        <is>
          <t>Terrestre / Aérea (Drones consultar bula)</t>
        </is>
      </c>
      <c r="S430" s="13" t="inlineStr">
        <is>
          <t>Sem antídoto específico; anti-histamínicos e vitamina E tópica para parestesia</t>
        </is>
      </c>
      <c r="T430" s="13" t="inlineStr">
        <is>
          <t>FMC Química do Brasil</t>
        </is>
      </c>
      <c r="U430" s="16">
        <f>HYPERLINK("https://agrofit.agricultura.gov.br/agrofit_cons/principal_agrofit_cons", "Consulta Oficial AGROFIT/MAPA (Nº 3307)")</f>
        <v/>
      </c>
    </row>
    <row r="431" ht="22" customHeight="1">
      <c r="A431" s="5" t="n">
        <v>426</v>
      </c>
      <c r="B431" s="6" t="inlineStr">
        <is>
          <t>Nº 36822</t>
        </is>
      </c>
      <c r="C431" s="7" t="inlineStr">
        <is>
          <t>CLORPIRIFOS 48 EC AGCN 1X20L (IMP) GC</t>
        </is>
      </c>
      <c r="D431" s="8" t="inlineStr">
        <is>
          <t>CLORPIRIFOS 48 EC AGCN</t>
        </is>
      </c>
      <c r="E431" s="7" t="inlineStr">
        <is>
          <t>Produto Formulado Comercial</t>
        </is>
      </c>
      <c r="F431" s="7" t="inlineStr">
        <is>
          <t>Defensivos</t>
        </is>
      </c>
      <c r="G431" s="7" t="inlineStr">
        <is>
          <t>Inseticida</t>
        </is>
      </c>
      <c r="H431" s="7" t="inlineStr">
        <is>
          <t>EC</t>
        </is>
      </c>
      <c r="I431" s="7" t="inlineStr">
        <is>
          <t>Concentrado Emulsionável (EC)</t>
        </is>
      </c>
      <c r="J431" s="7" t="inlineStr">
        <is>
          <t>Inseticida e acaricida de contato, ingestão e profundidade</t>
        </is>
      </c>
      <c r="K431" s="7" t="inlineStr">
        <is>
          <t>Organofosforado</t>
        </is>
      </c>
      <c r="L431" s="7" t="inlineStr">
        <is>
          <t>IRAC Grupo 1B</t>
        </is>
      </c>
      <c r="M431" s="7" t="inlineStr">
        <is>
          <t>Inibidores da acetilcolinesterase (AChE)</t>
        </is>
      </c>
      <c r="N431" s="7" t="inlineStr">
        <is>
          <t>Categoria 2 — Produto Altamente Tóxico</t>
        </is>
      </c>
      <c r="O431" s="7" t="inlineStr">
        <is>
          <t>Vermelho PMS Red 199 C</t>
        </is>
      </c>
      <c r="P431" s="7" t="inlineStr">
        <is>
          <t>Classe II — Produto Muito Perigoso ao Meio Ambiente</t>
        </is>
      </c>
      <c r="Q431" s="9" t="n">
        <v>24</v>
      </c>
      <c r="R431" s="7" t="inlineStr">
        <is>
          <t>Terrestre / Aérea (Drones consultar bula)</t>
        </is>
      </c>
      <c r="S431" s="7" t="inlineStr">
        <is>
          <t>Atropina (agonista antimuscarínico) e Pralidoxima (reativador de colinesterase)</t>
        </is>
      </c>
      <c r="T431" s="7" t="inlineStr">
        <is>
          <t>AGRICONNECTION IMPORTADORA E EXPORTADORA DE INSUMOS AGRÍCOLAS LTDA.</t>
        </is>
      </c>
      <c r="U431" s="10">
        <f>HYPERLINK("https://www.adapar.pr.gov.br/system/files/publico/Agrotoxicos/lista.pdf", "Registro Oficial Clorpirifós 480 EC AGCN (MAPA 36822)")</f>
        <v/>
      </c>
    </row>
    <row r="432" ht="22" customHeight="1">
      <c r="A432" s="11" t="n">
        <v>427</v>
      </c>
      <c r="B432" s="12" t="inlineStr">
        <is>
          <t>Nº 27717</t>
        </is>
      </c>
      <c r="C432" s="13" t="inlineStr">
        <is>
          <t>FIPRONIL 800 WG AGCN 4X5KG (IMP) NN</t>
        </is>
      </c>
      <c r="D432" s="14" t="inlineStr">
        <is>
          <t>FIPRONIL 800 WG AGCN</t>
        </is>
      </c>
      <c r="E432" s="13" t="inlineStr">
        <is>
          <t>Produto Formulado Comercial</t>
        </is>
      </c>
      <c r="F432" s="13" t="inlineStr">
        <is>
          <t>Defensivos</t>
        </is>
      </c>
      <c r="G432" s="13" t="inlineStr">
        <is>
          <t>Inseticida e Cupinicida (Fipronil)</t>
        </is>
      </c>
      <c r="H432" s="13" t="inlineStr">
        <is>
          <t>WG</t>
        </is>
      </c>
      <c r="I432" s="13" t="inlineStr">
        <is>
          <t>Grânulos Dispersíveis em Água (WG)</t>
        </is>
      </c>
      <c r="J432" s="13" t="inlineStr">
        <is>
          <t>Inseticida, cupinicida e formicida de contato e ingestão (TS / Solo)</t>
        </is>
      </c>
      <c r="K432" s="13" t="inlineStr">
        <is>
          <t>Pirazol (Fenilpirazol)</t>
        </is>
      </c>
      <c r="L432" s="13" t="inlineStr">
        <is>
          <t>IRAC Grupo 2B</t>
        </is>
      </c>
      <c r="M432" s="13" t="inlineStr">
        <is>
          <t>Bloqueadores de canais de cloro mediados pelo GABA</t>
        </is>
      </c>
      <c r="N432" s="13" t="inlineStr">
        <is>
          <t>Categoria 3 — Produto Moderadamente Tóxico</t>
        </is>
      </c>
      <c r="O432" s="13" t="inlineStr">
        <is>
          <t>Amarelo PMS Yellow C</t>
        </is>
      </c>
      <c r="P432" s="13" t="inlineStr">
        <is>
          <t>Classe II — Produto Muito Perigoso ao Meio Ambiente</t>
        </is>
      </c>
      <c r="Q432" s="15" t="n">
        <v>24</v>
      </c>
      <c r="R432" s="13" t="inlineStr">
        <is>
          <t>Terrestre / Aérea (Drones consultar bula)</t>
        </is>
      </c>
      <c r="S432" s="13" t="inlineStr">
        <is>
          <t>Sem antídoto específico; tratamento sintomático e controle neurológico</t>
        </is>
      </c>
      <c r="T432" s="13" t="inlineStr">
        <is>
          <t>AGRICONNECTION IMPORTADORA E EXPORTADORA DE INSUMOS AGRÍCOLAS LTDA.</t>
        </is>
      </c>
      <c r="U432" s="16">
        <f>HYPERLINK("https://agrofit.agricultura.gov.br/agrofit_cons/principal_agrofit_cons", "Consulta Oficial AGROFIT/MAPA (Nº 27717)")</f>
        <v/>
      </c>
    </row>
    <row r="433" ht="22" customHeight="1">
      <c r="A433" s="5" t="n">
        <v>428</v>
      </c>
      <c r="B433" s="6" t="inlineStr">
        <is>
          <t>Nº 24824</t>
        </is>
      </c>
      <c r="C433" s="7" t="inlineStr">
        <is>
          <t>CARFENTRAZONE 400 EC 4X5L (VALIDAR)</t>
        </is>
      </c>
      <c r="D433" s="8" t="inlineStr">
        <is>
          <t>CARFENTRAZONE 400 EC</t>
        </is>
      </c>
      <c r="E433" s="7" t="inlineStr">
        <is>
          <t>Produto Formulado Comercial</t>
        </is>
      </c>
      <c r="F433" s="7" t="inlineStr">
        <is>
          <t>Defensivos</t>
        </is>
      </c>
      <c r="G433" s="7" t="inlineStr">
        <is>
          <t>Herbicida</t>
        </is>
      </c>
      <c r="H433" s="7" t="inlineStr">
        <is>
          <t>EC</t>
        </is>
      </c>
      <c r="I433" s="7" t="inlineStr">
        <is>
          <t>Concentrado Emulsionável (EC)</t>
        </is>
      </c>
      <c r="J433" s="7" t="inlineStr">
        <is>
          <t>Herbicida de contato de pós-emergência e desfolhante</t>
        </is>
      </c>
      <c r="K433" s="7" t="inlineStr">
        <is>
          <t>Triazolinona</t>
        </is>
      </c>
      <c r="L433" s="7" t="inlineStr">
        <is>
          <t>HRAC Grupo E (14) — Inibidores da PROTOX</t>
        </is>
      </c>
      <c r="M433" s="7" t="inlineStr">
        <is>
          <t>Inibidores da enzima protoporfirinogênio oxidase (PROTOX)</t>
        </is>
      </c>
      <c r="N433" s="7" t="inlineStr">
        <is>
          <t>Categoria 4 — Produto Pouco Tóxico</t>
        </is>
      </c>
      <c r="O433" s="7" t="inlineStr">
        <is>
          <t>Azul PMS Blue 293 C</t>
        </is>
      </c>
      <c r="P433" s="7" t="inlineStr">
        <is>
          <t>Classe II — Produto Muito Perigoso ao Meio Ambiente</t>
        </is>
      </c>
      <c r="Q433" s="9" t="n">
        <v>24</v>
      </c>
      <c r="R433" s="7" t="inlineStr">
        <is>
          <t>Terrestre / Aérea (Drones consultar bula)</t>
        </is>
      </c>
      <c r="S433" s="7" t="inlineStr">
        <is>
          <t>Sem antídoto específico; tratamento sintomático</t>
        </is>
      </c>
      <c r="T433" s="7" t="inlineStr">
        <is>
          <t>RAINBOW DEFENSIVOS AGRÍCOLAS LTDA.</t>
        </is>
      </c>
      <c r="U433" s="10">
        <f>HYPERLINK("https://www.adapar.pr.gov.br/Pagina/Agrotoxicos-Herbicidas", "Registro Oficial Carfentrazone 400 EC (MAPA 24824)")</f>
        <v/>
      </c>
    </row>
    <row r="434" ht="22" customHeight="1">
      <c r="A434" s="11" t="n">
        <v>429</v>
      </c>
      <c r="B434" s="12" t="inlineStr">
        <is>
          <t>Nº 24824</t>
        </is>
      </c>
      <c r="C434" s="13" t="inlineStr">
        <is>
          <t>CARFENTRAZONE 400 EC1X20L (VALIDAR)</t>
        </is>
      </c>
      <c r="D434" s="14" t="inlineStr">
        <is>
          <t>CARFENTRAZONE 400 EC1X20L (VALIDAR)</t>
        </is>
      </c>
      <c r="E434" s="13" t="inlineStr">
        <is>
          <t>Produto Formulado Comercial</t>
        </is>
      </c>
      <c r="F434" s="13" t="inlineStr">
        <is>
          <t>Defensivos</t>
        </is>
      </c>
      <c r="G434" s="13" t="inlineStr">
        <is>
          <t>Herbicida</t>
        </is>
      </c>
      <c r="H434" s="13" t="inlineStr">
        <is>
          <t>EC</t>
        </is>
      </c>
      <c r="I434" s="13" t="inlineStr">
        <is>
          <t>Concentrado Emulsionável (EC)</t>
        </is>
      </c>
      <c r="J434" s="13" t="inlineStr">
        <is>
          <t>Herbicida de contato de pós-emergência e desfolhante</t>
        </is>
      </c>
      <c r="K434" s="13" t="inlineStr">
        <is>
          <t>Triazolinona</t>
        </is>
      </c>
      <c r="L434" s="13" t="inlineStr">
        <is>
          <t>HRAC Grupo E (14) — Inibidores da PROTOX</t>
        </is>
      </c>
      <c r="M434" s="13" t="inlineStr">
        <is>
          <t>Inibidores da enzima protoporfirinogênio oxidase (PROTOX)</t>
        </is>
      </c>
      <c r="N434" s="13" t="inlineStr">
        <is>
          <t>Categoria 4 — Produto Pouco Tóxico</t>
        </is>
      </c>
      <c r="O434" s="13" t="inlineStr">
        <is>
          <t>Azul PMS Blue 293 C</t>
        </is>
      </c>
      <c r="P434" s="13" t="inlineStr">
        <is>
          <t>Classe II — Produto Muito Perigoso ao Meio Ambiente</t>
        </is>
      </c>
      <c r="Q434" s="15" t="n">
        <v>24</v>
      </c>
      <c r="R434" s="13" t="inlineStr">
        <is>
          <t>Terrestre / Aérea (Drones consultar bula)</t>
        </is>
      </c>
      <c r="S434" s="13" t="inlineStr">
        <is>
          <t>Sem antídoto específico; tratamento sintomático</t>
        </is>
      </c>
      <c r="T434" s="13" t="inlineStr">
        <is>
          <t>RAINBOW DEFENSIVOS AGRÍCOLAS LTDA.</t>
        </is>
      </c>
      <c r="U434" s="16">
        <f>HYPERLINK("https://www.adapar.pr.gov.br/Pagina/Agrotoxicos-Herbicidas", "Registro Oficial Carfentrazone 400 EC (MAPA 24824)")</f>
        <v/>
      </c>
    </row>
    <row r="435" ht="22" customHeight="1">
      <c r="A435" s="5" t="n">
        <v>430</v>
      </c>
      <c r="B435" s="6" t="inlineStr">
        <is>
          <t>Nº 16607</t>
        </is>
      </c>
      <c r="C435" s="7" t="inlineStr">
        <is>
          <t>CAMPEON 1X20L (IMP) GX (IMP)</t>
        </is>
      </c>
      <c r="D435" s="8" t="inlineStr">
        <is>
          <t>CAMPEON</t>
        </is>
      </c>
      <c r="E435" s="7" t="inlineStr">
        <is>
          <t>Produto Formulado Comercial</t>
        </is>
      </c>
      <c r="F435" s="7" t="inlineStr">
        <is>
          <t>Defensivos</t>
        </is>
      </c>
      <c r="G435" s="7" t="inlineStr">
        <is>
          <t>Herbicida</t>
        </is>
      </c>
      <c r="H435" s="7" t="inlineStr">
        <is>
          <t>SL</t>
        </is>
      </c>
      <c r="I435" s="7" t="inlineStr">
        <is>
          <t>Concentrado Solúvel (SL)</t>
        </is>
      </c>
      <c r="J435" s="7" t="inlineStr">
        <is>
          <t>Herbicida sistêmico seletivo de pós-emergência para folhas largas</t>
        </is>
      </c>
      <c r="K435" s="7" t="inlineStr">
        <is>
          <t>Ácido ariloxialcanoico</t>
        </is>
      </c>
      <c r="L435" s="7" t="inlineStr">
        <is>
          <t>HRAC Grupo O (4) — Auxinas Sintéticas</t>
        </is>
      </c>
      <c r="M435" s="7" t="inlineStr">
        <is>
          <t>Mimetizadores da auxina (ácido indolacético - AIA)</t>
        </is>
      </c>
      <c r="N435" s="7" t="inlineStr">
        <is>
          <t>Categoria 4 — Produto Pouco Tóxico</t>
        </is>
      </c>
      <c r="O435" s="7" t="inlineStr">
        <is>
          <t>Azul PMS Blue 293 C</t>
        </is>
      </c>
      <c r="P435" s="7" t="inlineStr">
        <is>
          <t>Classe III — Produto Perigoso ao Meio Ambiente</t>
        </is>
      </c>
      <c r="Q435" s="9" t="n">
        <v>24</v>
      </c>
      <c r="R435" s="7" t="inlineStr">
        <is>
          <t>Terrestre / Aérea (Drones consultar bula)</t>
        </is>
      </c>
      <c r="S435" s="7" t="inlineStr">
        <is>
          <t>Sem antídoto específico; tratamento sintomático</t>
        </is>
      </c>
      <c r="T435" s="7" t="inlineStr">
        <is>
          <t>SUMITOMO CHEMICAL BRASIL INDÚSTRIA QUÍMICA S.A.</t>
        </is>
      </c>
      <c r="U435" s="10">
        <f>HYPERLINK("https://www.adapar.pr.gov.br/Pagina/Agrotoxicos-Herbicidas", "Registro Oficial Campeon 806 SL (MAPA 16607)")</f>
        <v/>
      </c>
    </row>
    <row r="436" ht="22" customHeight="1">
      <c r="A436" s="11" t="n">
        <v>431</v>
      </c>
      <c r="B436" s="12" t="inlineStr">
        <is>
          <t>Nº 1923</t>
        </is>
      </c>
      <c r="C436" s="13" t="inlineStr">
        <is>
          <t>PARACHUTE 4X5L (IMP) GX</t>
        </is>
      </c>
      <c r="D436" s="14" t="inlineStr">
        <is>
          <t>PARACHUTE</t>
        </is>
      </c>
      <c r="E436" s="13" t="inlineStr">
        <is>
          <t>Produto Formulado Comercial</t>
        </is>
      </c>
      <c r="F436" s="13" t="inlineStr">
        <is>
          <t>Defensivos</t>
        </is>
      </c>
      <c r="G436" s="13" t="inlineStr">
        <is>
          <t>Fungicida</t>
        </is>
      </c>
      <c r="H436" s="13" t="inlineStr">
        <is>
          <t>SC</t>
        </is>
      </c>
      <c r="I436" s="13" t="inlineStr">
        <is>
          <t>Suspensão Concentrada (SC)</t>
        </is>
      </c>
      <c r="J436" s="13" t="inlineStr">
        <is>
          <t>Fungicida sistêmico preventivo, curativo e erradicante</t>
        </is>
      </c>
      <c r="K436" s="13" t="inlineStr">
        <is>
          <t>Triazol</t>
        </is>
      </c>
      <c r="L436" s="13" t="inlineStr">
        <is>
          <t>FRAC Grupo 3 (DMI)</t>
        </is>
      </c>
      <c r="M436" s="13" t="inlineStr">
        <is>
          <t>Inibidores da desmetilação de esteróis (C14-desmetilase na síntese de ergosterol)</t>
        </is>
      </c>
      <c r="N436" s="13" t="inlineStr">
        <is>
          <t>Categoria 2 — Produto Altamente Tóxico</t>
        </is>
      </c>
      <c r="O436" s="13" t="inlineStr">
        <is>
          <t>Vermelho PMS Red 199 C</t>
        </is>
      </c>
      <c r="P436" s="13" t="inlineStr">
        <is>
          <t>Classe II — Produto Muito Perigoso ao Meio Ambiente</t>
        </is>
      </c>
      <c r="Q436" s="15" t="n">
        <v>48</v>
      </c>
      <c r="R436" s="13" t="inlineStr">
        <is>
          <t>Terrestre / Aérea (Drones consultar bula)</t>
        </is>
      </c>
      <c r="S436" s="13" t="inlineStr">
        <is>
          <t>Sem antídoto específico; tratamento sintomático</t>
        </is>
      </c>
      <c r="T436" s="13" t="inlineStr">
        <is>
          <t>GLOBACHEM PROTEÇÃO DE CULTIVOS DO BRASIL LTDA.</t>
        </is>
      </c>
      <c r="U436" s="16">
        <f>HYPERLINK("https://www.cultivasmart.com/Product/DownloadBula?brojRegistracije=1923", "Bula Oficial Parachute (Globachem/MAPA 1923)")</f>
        <v/>
      </c>
    </row>
    <row r="437" ht="22" customHeight="1">
      <c r="A437" s="5" t="n">
        <v>432</v>
      </c>
      <c r="B437" s="6" t="inlineStr">
        <is>
          <t>Nº 1923</t>
        </is>
      </c>
      <c r="C437" s="7" t="inlineStr">
        <is>
          <t>PARACHUTE 2X10L (IMP) GX</t>
        </is>
      </c>
      <c r="D437" s="8" t="inlineStr">
        <is>
          <t>PARACHUTE</t>
        </is>
      </c>
      <c r="E437" s="7" t="inlineStr">
        <is>
          <t>Produto Formulado Comercial</t>
        </is>
      </c>
      <c r="F437" s="7" t="inlineStr">
        <is>
          <t>Defensivos</t>
        </is>
      </c>
      <c r="G437" s="7" t="inlineStr">
        <is>
          <t>Fungicida</t>
        </is>
      </c>
      <c r="H437" s="7" t="inlineStr">
        <is>
          <t>SC</t>
        </is>
      </c>
      <c r="I437" s="7" t="inlineStr">
        <is>
          <t>Suspensão Concentrada (SC)</t>
        </is>
      </c>
      <c r="J437" s="7" t="inlineStr">
        <is>
          <t>Fungicida sistêmico preventivo, curativo e erradicante</t>
        </is>
      </c>
      <c r="K437" s="7" t="inlineStr">
        <is>
          <t>Triazol</t>
        </is>
      </c>
      <c r="L437" s="7" t="inlineStr">
        <is>
          <t>FRAC Grupo 3 (DMI)</t>
        </is>
      </c>
      <c r="M437" s="7" t="inlineStr">
        <is>
          <t>Inibidores da desmetilação de esteróis (C14-desmetilase na síntese de ergosterol)</t>
        </is>
      </c>
      <c r="N437" s="7" t="inlineStr">
        <is>
          <t>Categoria 2 — Produto Altamente Tóxico</t>
        </is>
      </c>
      <c r="O437" s="7" t="inlineStr">
        <is>
          <t>Vermelho PMS Red 199 C</t>
        </is>
      </c>
      <c r="P437" s="7" t="inlineStr">
        <is>
          <t>Classe II — Produto Muito Perigoso ao Meio Ambiente</t>
        </is>
      </c>
      <c r="Q437" s="9" t="n">
        <v>48</v>
      </c>
      <c r="R437" s="7" t="inlineStr">
        <is>
          <t>Terrestre / Aérea (Drones consultar bula)</t>
        </is>
      </c>
      <c r="S437" s="7" t="inlineStr">
        <is>
          <t>Sem antídoto específico; tratamento sintomático</t>
        </is>
      </c>
      <c r="T437" s="7" t="inlineStr">
        <is>
          <t>GLOBACHEM PROTEÇÃO DE CULTIVOS DO BRASIL LTDA.</t>
        </is>
      </c>
      <c r="U437" s="10">
        <f>HYPERLINK("https://www.cultivasmart.com/Product/DownloadBula?brojRegistracije=1923", "Bula Oficial Parachute (Globachem/MAPA 1923)")</f>
        <v/>
      </c>
    </row>
    <row r="438" ht="22" customHeight="1">
      <c r="A438" s="11" t="n">
        <v>433</v>
      </c>
      <c r="B438" s="12" t="inlineStr">
        <is>
          <t>Nº 15716</t>
        </is>
      </c>
      <c r="C438" s="13" t="inlineStr">
        <is>
          <t>DIFCOR 250 EC BR 4X5L (IMP) GH</t>
        </is>
      </c>
      <c r="D438" s="14" t="inlineStr">
        <is>
          <t>DIFCOR 250 EC BR</t>
        </is>
      </c>
      <c r="E438" s="13" t="inlineStr">
        <is>
          <t>Produto Formulado Comercial</t>
        </is>
      </c>
      <c r="F438" s="13" t="inlineStr">
        <is>
          <t>Defensivos</t>
        </is>
      </c>
      <c r="G438" s="13" t="inlineStr">
        <is>
          <t>Fungicida</t>
        </is>
      </c>
      <c r="H438" s="13" t="inlineStr">
        <is>
          <t>EC</t>
        </is>
      </c>
      <c r="I438" s="13" t="inlineStr">
        <is>
          <t>Concentrado Emulsionável (EC)</t>
        </is>
      </c>
      <c r="J438" s="13" t="inlineStr">
        <is>
          <t>Fungicida sistêmico preventivo, curativo e erradicante</t>
        </is>
      </c>
      <c r="K438" s="13" t="inlineStr">
        <is>
          <t>Triazol</t>
        </is>
      </c>
      <c r="L438" s="13" t="inlineStr">
        <is>
          <t>FRAC Grupo 3 (DMI)</t>
        </is>
      </c>
      <c r="M438" s="13" t="inlineStr">
        <is>
          <t>Inibidores da desmetilação de esteróis (C14-desmetilase na síntese de ergosterol)</t>
        </is>
      </c>
      <c r="N438" s="13" t="inlineStr">
        <is>
          <t>Categoria 3 — Produto Moderadamente Tóxico</t>
        </is>
      </c>
      <c r="O438" s="13" t="inlineStr">
        <is>
          <t>Amarelo PMS Yellow C</t>
        </is>
      </c>
      <c r="P438" s="13" t="inlineStr">
        <is>
          <t>Classe II — Produto Muito Perigoso ao Meio Ambiente</t>
        </is>
      </c>
      <c r="Q438" s="15" t="n">
        <v>24</v>
      </c>
      <c r="R438" s="13" t="inlineStr">
        <is>
          <t>Terrestre / Aérea (Drones consultar bula)</t>
        </is>
      </c>
      <c r="S438" s="13" t="inlineStr">
        <is>
          <t>Sem antídoto específico; tratamento sintomático</t>
        </is>
      </c>
      <c r="T438" s="13" t="inlineStr">
        <is>
          <t>GLOBACHEM PROTEÇÃO DE CULTIVOS DO BRASIL LTDA.</t>
        </is>
      </c>
      <c r="U438" s="16">
        <f>HYPERLINK("https://agrofit.agricultura.gov.br/agrofit_cons/principal_agrofit_cons", "Consulta Oficial AGROFIT/MAPA (Nº 15716)")</f>
        <v/>
      </c>
    </row>
    <row r="439" ht="22" customHeight="1">
      <c r="A439" s="5" t="n">
        <v>434</v>
      </c>
      <c r="B439" s="6" t="inlineStr">
        <is>
          <t>Nº 40624</t>
        </is>
      </c>
      <c r="C439" s="7" t="inlineStr">
        <is>
          <t>CHLORPYRIFOS 480 EC AGCN 1X20L (IMP) LL</t>
        </is>
      </c>
      <c r="D439" s="8" t="inlineStr">
        <is>
          <t>CHLORPYRIFOS 480 EC AGCN</t>
        </is>
      </c>
      <c r="E439" s="7" t="inlineStr">
        <is>
          <t>Produto Formulado Comercial</t>
        </is>
      </c>
      <c r="F439" s="7" t="inlineStr">
        <is>
          <t>Defensivos</t>
        </is>
      </c>
      <c r="G439" s="7" t="inlineStr">
        <is>
          <t>Inseticida</t>
        </is>
      </c>
      <c r="H439" s="7" t="inlineStr">
        <is>
          <t>EC</t>
        </is>
      </c>
      <c r="I439" s="7" t="inlineStr">
        <is>
          <t>Concentrado Emulsionável (EC)</t>
        </is>
      </c>
      <c r="J439" s="7" t="inlineStr">
        <is>
          <t>Inseticida e acaricida de contato, ingestão e profundidade</t>
        </is>
      </c>
      <c r="K439" s="7" t="inlineStr">
        <is>
          <t>Organofosforado</t>
        </is>
      </c>
      <c r="L439" s="7" t="inlineStr">
        <is>
          <t>IRAC Grupo 1B</t>
        </is>
      </c>
      <c r="M439" s="7" t="inlineStr">
        <is>
          <t>Inibidores da acetilcolinesterase (AChE)</t>
        </is>
      </c>
      <c r="N439" s="7" t="inlineStr">
        <is>
          <t>Categoria 2 — Produto Altamente Tóxico</t>
        </is>
      </c>
      <c r="O439" s="7" t="inlineStr">
        <is>
          <t>Vermelho PMS Red 199 C</t>
        </is>
      </c>
      <c r="P439" s="7" t="inlineStr">
        <is>
          <t>Classe II — Produto Muito Perigoso ao Meio Ambiente</t>
        </is>
      </c>
      <c r="Q439" s="9" t="n">
        <v>24</v>
      </c>
      <c r="R439" s="7" t="inlineStr">
        <is>
          <t>Terrestre / Aérea (Drones consultar bula)</t>
        </is>
      </c>
      <c r="S439" s="7" t="inlineStr">
        <is>
          <t>Atropina (agonista antimuscarínico) e Pralidoxima (reativador de colinesterase)</t>
        </is>
      </c>
      <c r="T439" s="7" t="inlineStr">
        <is>
          <t>AGRICONNECTION IMPORTADORA E EXPORTADORA DE INSUMOS AGRÍCOLAS LTDA.</t>
        </is>
      </c>
      <c r="U439" s="10">
        <f>HYPERLINK("https://agrofit.agricultura.gov.br/agrofit_cons/principal_agrofit_cons", "Consulta Oficial AGROFIT/MAPA (Nº 40624)")</f>
        <v/>
      </c>
    </row>
    <row r="440" ht="22" customHeight="1">
      <c r="A440" s="11" t="n">
        <v>435</v>
      </c>
      <c r="B440" s="12" t="inlineStr">
        <is>
          <t>Nº 31422</t>
        </is>
      </c>
      <c r="C440" s="13" t="inlineStr">
        <is>
          <t>ZARPAL 4X5L (IMP) GY</t>
        </is>
      </c>
      <c r="D440" s="14" t="inlineStr">
        <is>
          <t>ZARPAL</t>
        </is>
      </c>
      <c r="E440" s="13" t="inlineStr">
        <is>
          <t>Produto Formulado Comercial</t>
        </is>
      </c>
      <c r="F440" s="13" t="inlineStr">
        <is>
          <t>Defensivos</t>
        </is>
      </c>
      <c r="G440" s="13" t="inlineStr">
        <is>
          <t>Inseticida</t>
        </is>
      </c>
      <c r="H440" s="13" t="inlineStr">
        <is>
          <t>SC</t>
        </is>
      </c>
      <c r="I440" s="13" t="inlineStr">
        <is>
          <t>Suspensão Concentrada (SC)</t>
        </is>
      </c>
      <c r="J440" s="13" t="inlineStr">
        <is>
          <t>Inseticida e acaricida de contato e ingestão</t>
        </is>
      </c>
      <c r="K440" s="13" t="inlineStr">
        <is>
          <t>Benzoilureia + Piretroide (Tipo I)</t>
        </is>
      </c>
      <c r="L440" s="13" t="inlineStr">
        <is>
          <t>IRAC Grupo 15 + IRAC Grupo 3A</t>
        </is>
      </c>
      <c r="M440" s="13" t="inlineStr">
        <is>
          <t>Inibidores da biossíntese de quitina, Tipo 0; Moduladores de canais de sódio em membranas nervosas</t>
        </is>
      </c>
      <c r="N440" s="13" t="inlineStr">
        <is>
          <t>Categoria 4 — Produto Pouco Tóxico</t>
        </is>
      </c>
      <c r="O440" s="13" t="inlineStr">
        <is>
          <t>Azul PMS Blue 293 C</t>
        </is>
      </c>
      <c r="P440" s="13" t="inlineStr">
        <is>
          <t>Classe II — Produto Muito Perigoso ao Meio Ambiente</t>
        </is>
      </c>
      <c r="Q440" s="15" t="n">
        <v>24</v>
      </c>
      <c r="R440" s="13" t="inlineStr">
        <is>
          <t>Terrestre / Aérea (Drones consultar bula)</t>
        </is>
      </c>
      <c r="S440" s="13" t="inlineStr">
        <is>
          <t>Sem antídoto específico; anti-histamínicos e vitamina E tópica para parestesia</t>
        </is>
      </c>
      <c r="T440" s="13" t="inlineStr">
        <is>
          <t>GLOBACHEM PROTEÇÃO DE CULTIVOS DO BRASIL LTDA.</t>
        </is>
      </c>
      <c r="U440" s="16">
        <f>HYPERLINK("https://globachem.br.com/wp-content/uploads/2023/04/ALON_Bula_Agrofit.pdf", "Bula Oficial Alon/Buffon/Zarpal (Globachem/MAPA 31422)")</f>
        <v/>
      </c>
    </row>
    <row r="441" ht="22" customHeight="1">
      <c r="A441" s="5" t="n">
        <v>436</v>
      </c>
      <c r="B441" s="6" t="inlineStr">
        <is>
          <t>Nº 39617</t>
        </is>
      </c>
      <c r="C441" s="7" t="inlineStr">
        <is>
          <t>SHYPER 250 EC 4X5LT (IMP) ST</t>
        </is>
      </c>
      <c r="D441" s="8" t="inlineStr">
        <is>
          <t>SHYPER 250 EC</t>
        </is>
      </c>
      <c r="E441" s="7" t="inlineStr">
        <is>
          <t>Produto Formulado Comercial</t>
        </is>
      </c>
      <c r="F441" s="7" t="inlineStr">
        <is>
          <t>Defensivos</t>
        </is>
      </c>
      <c r="G441" s="7" t="inlineStr">
        <is>
          <t>Inseticida</t>
        </is>
      </c>
      <c r="H441" s="7" t="inlineStr">
        <is>
          <t>EC</t>
        </is>
      </c>
      <c r="I441" s="7" t="inlineStr">
        <is>
          <t>Concentrado Emulsionável (EC)</t>
        </is>
      </c>
      <c r="J441" s="7" t="inlineStr">
        <is>
          <t>Inseticida/acaricida de contato e ingestão</t>
        </is>
      </c>
      <c r="K441" s="7" t="inlineStr">
        <is>
          <t>Piretroide (Tipo II)</t>
        </is>
      </c>
      <c r="L441" s="7" t="inlineStr">
        <is>
          <t>IRAC Grupo 3A</t>
        </is>
      </c>
      <c r="M441" s="7" t="inlineStr">
        <is>
          <t>Moduladores de canais de sódio em membranas nervosas</t>
        </is>
      </c>
      <c r="N441" s="7" t="inlineStr">
        <is>
          <t>Categoria 3 / 4 — Moderadamente a Pouco Tóxico</t>
        </is>
      </c>
      <c r="O441" s="7" t="inlineStr">
        <is>
          <t>Amarelo / Azul</t>
        </is>
      </c>
      <c r="P441" s="7" t="inlineStr">
        <is>
          <t>Classe II — Produto Muito Perigoso ao Meio Ambiente</t>
        </is>
      </c>
      <c r="Q441" s="9" t="n">
        <v>24</v>
      </c>
      <c r="R441" s="7" t="inlineStr">
        <is>
          <t>Terrestre / Aérea (Drones consultar bula)</t>
        </is>
      </c>
      <c r="S441" s="7" t="inlineStr">
        <is>
          <t>Tratamento sintomático conforme grupo químico na bula</t>
        </is>
      </c>
      <c r="T441" s="7" t="inlineStr">
        <is>
          <t>SHARDA DO BRASIL COMÉRCIO DE PRODUTOS QUÍMICOS E AGROQUÍMICOS LTDA.</t>
        </is>
      </c>
      <c r="U441" s="10">
        <f>HYPERLINK("https://www.adapar.pr.gov.br/system/files/publico/Agrotoxicos/lista.pdf", "Registro Oficial Shyper 250 EC (MAPA 39617)")</f>
        <v/>
      </c>
    </row>
    <row r="442" ht="22" customHeight="1">
      <c r="A442" s="11" t="n">
        <v>437</v>
      </c>
      <c r="B442" s="12" t="inlineStr">
        <is>
          <t>Nº 32821</t>
        </is>
      </c>
      <c r="C442" s="13" t="inlineStr">
        <is>
          <t>SIRTAKI 360 CS 1X20L (VALIDAR)</t>
        </is>
      </c>
      <c r="D442" s="14" t="inlineStr">
        <is>
          <t>SIRTAKI 360 CS</t>
        </is>
      </c>
      <c r="E442" s="13" t="inlineStr">
        <is>
          <t>Produto Formulado Comercial</t>
        </is>
      </c>
      <c r="F442" s="13" t="inlineStr">
        <is>
          <t>Defensivos</t>
        </is>
      </c>
      <c r="G442" s="13" t="inlineStr">
        <is>
          <t>Herbicida</t>
        </is>
      </c>
      <c r="H442" s="13" t="inlineStr">
        <is>
          <t>CS</t>
        </is>
      </c>
      <c r="I442" s="13" t="inlineStr">
        <is>
          <t>Suspensão de Encapsulado (CS)</t>
        </is>
      </c>
      <c r="J442" s="13" t="inlineStr">
        <is>
          <t>Herbicida seletivo sistêmico pré-emergente</t>
        </is>
      </c>
      <c r="K442" s="13" t="inlineStr">
        <is>
          <t>Isoxazolidinona</t>
        </is>
      </c>
      <c r="L442" s="13" t="inlineStr">
        <is>
          <t>HRAC Grupo F4 (13) — Inibidores da DOXP sintase</t>
        </is>
      </c>
      <c r="M442" s="13" t="inlineStr">
        <is>
          <t>Inibidores da 1-deoxi-D-xilulose 5-fosfato sintase (biossíntese de plastoquinona/carotenoides)</t>
        </is>
      </c>
      <c r="N442" s="13" t="inlineStr">
        <is>
          <t>Categoria 4 — Produto Pouco Tóxico</t>
        </is>
      </c>
      <c r="O442" s="13" t="inlineStr">
        <is>
          <t>Azul PMS Blue 293 C</t>
        </is>
      </c>
      <c r="P442" s="13" t="inlineStr">
        <is>
          <t>Classe II — Produto Muito Perigoso ao Meio Ambiente</t>
        </is>
      </c>
      <c r="Q442" s="15" t="n">
        <v>24</v>
      </c>
      <c r="R442" s="13" t="inlineStr">
        <is>
          <t>Terrestre / Aérea (Drones consultar bula)</t>
        </is>
      </c>
      <c r="S442" s="13" t="inlineStr">
        <is>
          <t>Sem antídoto específico; tratamento sintomático</t>
        </is>
      </c>
      <c r="T442" s="13" t="inlineStr">
        <is>
          <t>SIPCAM NICHINO BRASIL S.A.</t>
        </is>
      </c>
      <c r="U442" s="16">
        <f>HYPERLINK("https://www.adapar.pr.gov.br/Pagina/Agrotoxicos-Herbicidas", "Registro Oficial Sirtaki 360 CS (MAPA 32821)")</f>
        <v/>
      </c>
    </row>
    <row r="443" ht="22" customHeight="1">
      <c r="A443" s="5" t="n">
        <v>438</v>
      </c>
      <c r="B443" s="6" t="inlineStr">
        <is>
          <t>Nº 24218</t>
        </is>
      </c>
      <c r="C443" s="7" t="inlineStr">
        <is>
          <t>2,4-D 806 SL (PRINCIPIO ATIVO)</t>
        </is>
      </c>
      <c r="D443" s="8" t="inlineStr">
        <is>
          <t>2,4-D 806 SL (PRINCIPIO ATIVO)</t>
        </is>
      </c>
      <c r="E443" s="7" t="inlineStr">
        <is>
          <t>Produto Técnico Industrial</t>
        </is>
      </c>
      <c r="F443" s="7" t="inlineStr">
        <is>
          <t>Defensivos</t>
        </is>
      </c>
      <c r="G443" s="7" t="inlineStr">
        <is>
          <t>Herbicida (Princípio Ativo / Técnico)</t>
        </is>
      </c>
      <c r="H443" s="7" t="inlineStr">
        <is>
          <t>TC</t>
        </is>
      </c>
      <c r="I443" s="7" t="inlineStr">
        <is>
          <t>Produto Técnico Industrial (TC)</t>
        </is>
      </c>
      <c r="J443" s="7" t="inlineStr">
        <is>
          <t>Herbicida sistêmico seletivo de pós-emergência para folhas largas</t>
        </is>
      </c>
      <c r="K443" s="7" t="inlineStr">
        <is>
          <t>Ácido ariloxialcanoico</t>
        </is>
      </c>
      <c r="L443" s="7" t="inlineStr">
        <is>
          <t>HRAC Grupo O (4) — Auxinas Sintéticas</t>
        </is>
      </c>
      <c r="M443" s="7" t="inlineStr">
        <is>
          <t>Mimetizadores da auxina (ácido indolacético - AIA)</t>
        </is>
      </c>
      <c r="N443" s="7" t="inlineStr">
        <is>
          <t>Categoria 4 — Produto Pouco Tóxico</t>
        </is>
      </c>
      <c r="O443" s="7" t="inlineStr">
        <is>
          <t>Azul PMS Blue 293 C</t>
        </is>
      </c>
      <c r="P443" s="7" t="inlineStr">
        <is>
          <t>Classe III — Produto Perigoso ao Meio Ambiente</t>
        </is>
      </c>
      <c r="Q443" s="9" t="n">
        <v>24</v>
      </c>
      <c r="R443" s="7" t="inlineStr">
        <is>
          <t>Terrestre / Aérea (Drones consultar bula)</t>
        </is>
      </c>
      <c r="S443" s="7" t="inlineStr">
        <is>
          <t>Sem antídoto específico; tratamento sintomático</t>
        </is>
      </c>
      <c r="T443" s="7" t="inlineStr">
        <is>
          <t>ALBAUGH AGRO BRASIL LTDA. / RAINBOW DEFENSIVOS AGRÍCOLAS LTDA.</t>
        </is>
      </c>
      <c r="U443" s="10">
        <f>HYPERLINK("https://agrofit.agricultura.gov.br/agrofit_cons/principal_agrofit_cons", "Consulta Oficial AGROFIT/MAPA (Nº 24218)")</f>
        <v/>
      </c>
    </row>
    <row r="444" ht="22" customHeight="1">
      <c r="A444" s="11" t="n">
        <v>439</v>
      </c>
      <c r="B444" s="12" t="inlineStr">
        <is>
          <t>Nº 12225</t>
        </is>
      </c>
      <c r="C444" s="13" t="inlineStr">
        <is>
          <t>IMPACTUS CS (PRINCIPIO ATIVO)</t>
        </is>
      </c>
      <c r="D444" s="14" t="inlineStr">
        <is>
          <t>IMPACTUS CS (PRINCIPIO ATIVO)</t>
        </is>
      </c>
      <c r="E444" s="13" t="inlineStr">
        <is>
          <t>Produto Técnico Industrial</t>
        </is>
      </c>
      <c r="F444" s="13" t="inlineStr">
        <is>
          <t>Defensivos</t>
        </is>
      </c>
      <c r="G444" s="13" t="inlineStr">
        <is>
          <t>Inseticida (Princípio Ativo / Técnico)</t>
        </is>
      </c>
      <c r="H444" s="13" t="inlineStr">
        <is>
          <t>TC</t>
        </is>
      </c>
      <c r="I444" s="13" t="inlineStr">
        <is>
          <t>Produto Técnico Industrial (TC)</t>
        </is>
      </c>
      <c r="J444" s="13" t="inlineStr">
        <is>
          <t>Inseticida de contato e ingestão com efeito de choque</t>
        </is>
      </c>
      <c r="K444" s="13" t="inlineStr">
        <is>
          <t>Piretroide (Tipo II)</t>
        </is>
      </c>
      <c r="L444" s="13" t="inlineStr">
        <is>
          <t>IRAC Grupo 3A</t>
        </is>
      </c>
      <c r="M444" s="13" t="inlineStr">
        <is>
          <t>Moduladores de canais de sódio em axônios nervosos</t>
        </is>
      </c>
      <c r="N444" s="13" t="inlineStr">
        <is>
          <t>Categoria 3 / 4 — Moderadamente a Pouco Tóxico</t>
        </is>
      </c>
      <c r="O444" s="13" t="inlineStr">
        <is>
          <t>Amarelo / Azul</t>
        </is>
      </c>
      <c r="P444" s="13" t="inlineStr">
        <is>
          <t>Classe II — Produto Muito Perigoso ao Meio Ambiente</t>
        </is>
      </c>
      <c r="Q444" s="15" t="n">
        <v>24</v>
      </c>
      <c r="R444" s="13" t="inlineStr">
        <is>
          <t>Terrestre / Aérea (Drones consultar bula)</t>
        </is>
      </c>
      <c r="S444" s="13" t="inlineStr">
        <is>
          <t>Sem antídoto específico; anti-histamínicos e suporte sintomático</t>
        </is>
      </c>
      <c r="T444" s="13" t="inlineStr">
        <is>
          <t>RAINBOW DEFENSIVOS AGRÍCOLAS LTDA.</t>
        </is>
      </c>
      <c r="U444" s="16">
        <f>HYPERLINK("https://www.adapar.pr.gov.br/system/files/publico/Agrotoxicos/lista.pdf", "Registro Oficial Impactus CS (MAPA 12225)")</f>
        <v/>
      </c>
    </row>
    <row r="445" ht="22" customHeight="1">
      <c r="A445" s="5" t="n">
        <v>440</v>
      </c>
      <c r="B445" s="6" t="inlineStr">
        <is>
          <t>Nº 28421</t>
        </is>
      </c>
      <c r="C445" s="7" t="inlineStr">
        <is>
          <t>CLORFENAPIR CCAB 240 SC (PRINCIPIO ATIVO)</t>
        </is>
      </c>
      <c r="D445" s="8" t="inlineStr">
        <is>
          <t>CLORFENAPIR CCAB</t>
        </is>
      </c>
      <c r="E445" s="7" t="inlineStr">
        <is>
          <t>Produto Técnico Industrial</t>
        </is>
      </c>
      <c r="F445" s="7" t="inlineStr">
        <is>
          <t>Defensivos</t>
        </is>
      </c>
      <c r="G445" s="7" t="inlineStr">
        <is>
          <t>Inseticida e Acaricida (Princípio Ativo / Técnico)</t>
        </is>
      </c>
      <c r="H445" s="7" t="inlineStr">
        <is>
          <t>TC</t>
        </is>
      </c>
      <c r="I445" s="7" t="inlineStr">
        <is>
          <t>Produto Técnico Industrial (TC)</t>
        </is>
      </c>
      <c r="J445" s="7" t="inlineStr">
        <is>
          <t>Inseticida e acaricida de contato e ingestão com ação translaminar</t>
        </is>
      </c>
      <c r="K445" s="7" t="inlineStr">
        <is>
          <t>Análogo de pirazol (Arilpirrol)</t>
        </is>
      </c>
      <c r="L445" s="7" t="inlineStr">
        <is>
          <t>IRAC Grupo 13</t>
        </is>
      </c>
      <c r="M445" s="7" t="inlineStr">
        <is>
          <t>Desacopladores da fosforilação oxidativa via disrupção do gradiente de prótons</t>
        </is>
      </c>
      <c r="N445" s="7" t="inlineStr">
        <is>
          <t>Categoria 3 / 4 — Moderadamente a Pouco Tóxico</t>
        </is>
      </c>
      <c r="O445" s="7" t="inlineStr">
        <is>
          <t>Amarelo / Azul</t>
        </is>
      </c>
      <c r="P445" s="7" t="inlineStr">
        <is>
          <t>Classe II — Produto Muito Perigoso ao Meio Ambiente</t>
        </is>
      </c>
      <c r="Q445" s="9" t="n">
        <v>24</v>
      </c>
      <c r="R445" s="7" t="inlineStr">
        <is>
          <t>Terrestre / Aérea (Drones consultar bula)</t>
        </is>
      </c>
      <c r="S445" s="7" t="inlineStr">
        <is>
          <t>Sem antídoto específico; controle rigoroso de hipertermia (antitérmicos comuns ineficazes)</t>
        </is>
      </c>
      <c r="T445" s="7" t="inlineStr">
        <is>
          <t>CCAB AGRO S.A.</t>
        </is>
      </c>
      <c r="U445" s="10">
        <f>HYPERLINK("https://www.adapar.pr.gov.br/system/files/publico/Agrotoxicos/lista.pdf", "Registro Oficial Clorfenapir CCAB 240 SC (MAPA 28421)")</f>
        <v/>
      </c>
    </row>
    <row r="446" ht="22" customHeight="1">
      <c r="A446" s="11" t="n">
        <v>441</v>
      </c>
      <c r="B446" s="12" t="inlineStr">
        <is>
          <t>Nº 26017</t>
        </is>
      </c>
      <c r="C446" s="13" t="inlineStr">
        <is>
          <t>MESOTRIONA PROVENTIS (PRINCIPIO ATIVO)</t>
        </is>
      </c>
      <c r="D446" s="14" t="inlineStr">
        <is>
          <t>MESOTRIONA PROVENTIS (PRINCIPIO ATIVO)</t>
        </is>
      </c>
      <c r="E446" s="13" t="inlineStr">
        <is>
          <t>Produto Técnico Industrial</t>
        </is>
      </c>
      <c r="F446" s="13" t="inlineStr">
        <is>
          <t>Defensivos</t>
        </is>
      </c>
      <c r="G446" s="13" t="inlineStr">
        <is>
          <t>Herbicida (Princípio Ativo / Técnico)</t>
        </is>
      </c>
      <c r="H446" s="13" t="inlineStr">
        <is>
          <t>TC</t>
        </is>
      </c>
      <c r="I446" s="13" t="inlineStr">
        <is>
          <t>Produto Técnico Industrial (TC)</t>
        </is>
      </c>
      <c r="J446" s="13" t="inlineStr">
        <is>
          <t>Herbicida sistêmico seletivo de pós-emergência</t>
        </is>
      </c>
      <c r="K446" s="13" t="inlineStr">
        <is>
          <t>Tricetona</t>
        </is>
      </c>
      <c r="L446" s="13" t="inlineStr">
        <is>
          <t>HRAC Grupo F2 (27) — Inibidores da HPPD</t>
        </is>
      </c>
      <c r="M446" s="13" t="inlineStr">
        <is>
          <t>Inibidores da enzima 4-hidroxifenil-piruvato-dioxigenase (HPPD - biossíntese de carotenoides)</t>
        </is>
      </c>
      <c r="N446" s="13" t="inlineStr">
        <is>
          <t>Categoria 4 / 5 — Pouco Tóxico</t>
        </is>
      </c>
      <c r="O446" s="13" t="inlineStr">
        <is>
          <t>Azul Intenso</t>
        </is>
      </c>
      <c r="P446" s="13" t="inlineStr">
        <is>
          <t>Classe II — Produto Muito Perigoso ao Meio Ambiente</t>
        </is>
      </c>
      <c r="Q446" s="15" t="n">
        <v>24</v>
      </c>
      <c r="R446" s="13" t="inlineStr">
        <is>
          <t>Terrestre / Aérea (Drones consultar bula)</t>
        </is>
      </c>
      <c r="S446" s="13" t="inlineStr">
        <is>
          <t>Sem antídoto específico; tratamento sintomático</t>
        </is>
      </c>
      <c r="T446" s="13" t="inlineStr">
        <is>
          <t>PROVENTIS LIFESCIENCE DEFENSIVOS AGRÍCOLAS LTDA.</t>
        </is>
      </c>
      <c r="U446" s="16">
        <f>HYPERLINK("https://www.adapar.pr.gov.br/Pagina/Agrotoxicos-Herbicidas", "Registro Oficial Mesotrione 480 SC Proventis (MAPA 26017)")</f>
        <v/>
      </c>
    </row>
    <row r="447" ht="22" customHeight="1">
      <c r="A447" s="5" t="n">
        <v>442</v>
      </c>
      <c r="B447" s="6" t="inlineStr">
        <is>
          <t>Nº 1218</t>
        </is>
      </c>
      <c r="C447" s="7" t="inlineStr">
        <is>
          <t>ACETAMIPRID 200 (PRINCIPIO ATVO)</t>
        </is>
      </c>
      <c r="D447" s="8" t="inlineStr">
        <is>
          <t>ACETAMIPRID 200 (PRINCIPIO ATVO)</t>
        </is>
      </c>
      <c r="E447" s="7" t="inlineStr">
        <is>
          <t>Produto Técnico Industrial</t>
        </is>
      </c>
      <c r="F447" s="7" t="inlineStr">
        <is>
          <t>Defensivos</t>
        </is>
      </c>
      <c r="G447" s="7" t="inlineStr">
        <is>
          <t>Inseticida (Princípio Ativo / Técnico)</t>
        </is>
      </c>
      <c r="H447" s="7" t="inlineStr">
        <is>
          <t>SP</t>
        </is>
      </c>
      <c r="I447" s="7" t="inlineStr">
        <is>
          <t>SP - Pó Solúvel</t>
        </is>
      </c>
      <c r="J447" s="7" t="inlineStr">
        <is>
          <t>Inseticida sistêmico de contato, ingestão e ação translaminar</t>
        </is>
      </c>
      <c r="K447" s="7" t="inlineStr">
        <is>
          <t>Neonicotinoide</t>
        </is>
      </c>
      <c r="L447" s="7" t="inlineStr">
        <is>
          <t>IRAC Grupo 4A</t>
        </is>
      </c>
      <c r="M447" s="7" t="inlineStr">
        <is>
          <t>Moduladores competitivos de receptores nicotínicos da acetilcolina (nAChR)</t>
        </is>
      </c>
      <c r="N447" s="7" t="inlineStr">
        <is>
          <t>Categoria 4: Produto Pouco Tóxico</t>
        </is>
      </c>
      <c r="O447" s="7" t="inlineStr">
        <is>
          <t>Azul</t>
        </is>
      </c>
      <c r="P447" s="7" t="inlineStr">
        <is>
          <t>Classe II — Produto Muito Perigoso ao Meio Ambiente</t>
        </is>
      </c>
      <c r="Q447" s="9" t="n">
        <v>24</v>
      </c>
      <c r="R447" s="7" t="inlineStr">
        <is>
          <t>Terrestre / Aérea (Drones consultar bula)</t>
        </is>
      </c>
      <c r="S447" s="7" t="inlineStr">
        <is>
          <t>Sem antídoto específico; tratamento sintomático</t>
        </is>
      </c>
      <c r="T447" s="7" t="inlineStr">
        <is>
          <t>NORTOX S.A.</t>
        </is>
      </c>
      <c r="U447" s="10">
        <f>HYPERLINK("https://agrofit.agricultura.gov.br/agrofit_cons/principal_agrofit_cons", "Consulta Oficial AGROFIT/MAPA (Nº 1218)")</f>
        <v/>
      </c>
    </row>
    <row r="448" ht="22" customHeight="1">
      <c r="A448" s="11" t="n">
        <v>443</v>
      </c>
      <c r="B448" s="12" t="inlineStr">
        <is>
          <t>Nº 39617</t>
        </is>
      </c>
      <c r="C448" s="13" t="inlineStr">
        <is>
          <t>SHYPER 250 EC 12X1LT (IMP) ST</t>
        </is>
      </c>
      <c r="D448" s="14" t="inlineStr">
        <is>
          <t>SHYPER 250 EC</t>
        </is>
      </c>
      <c r="E448" s="13" t="inlineStr">
        <is>
          <t>Produto Formulado Comercial</t>
        </is>
      </c>
      <c r="F448" s="13" t="inlineStr">
        <is>
          <t>Defensivos</t>
        </is>
      </c>
      <c r="G448" s="13" t="inlineStr">
        <is>
          <t>Inseticida</t>
        </is>
      </c>
      <c r="H448" s="13" t="inlineStr">
        <is>
          <t>EC</t>
        </is>
      </c>
      <c r="I448" s="13" t="inlineStr">
        <is>
          <t>Concentrado Emulsionável (EC)</t>
        </is>
      </c>
      <c r="J448" s="13" t="inlineStr">
        <is>
          <t>Inseticida/acaricida de contato e ingestão</t>
        </is>
      </c>
      <c r="K448" s="13" t="inlineStr">
        <is>
          <t>Piretroide (Tipo II)</t>
        </is>
      </c>
      <c r="L448" s="13" t="inlineStr">
        <is>
          <t>IRAC Grupo 3A</t>
        </is>
      </c>
      <c r="M448" s="13" t="inlineStr">
        <is>
          <t>Moduladores de canais de sódio em membranas nervosas</t>
        </is>
      </c>
      <c r="N448" s="13" t="inlineStr">
        <is>
          <t>Categoria 3 / 4 — Moderadamente a Pouco Tóxico</t>
        </is>
      </c>
      <c r="O448" s="13" t="inlineStr">
        <is>
          <t>Amarelo / Azul</t>
        </is>
      </c>
      <c r="P448" s="13" t="inlineStr">
        <is>
          <t>Classe II — Produto Muito Perigoso ao Meio Ambiente</t>
        </is>
      </c>
      <c r="Q448" s="15" t="n">
        <v>24</v>
      </c>
      <c r="R448" s="13" t="inlineStr">
        <is>
          <t>Terrestre / Aérea (Drones consultar bula)</t>
        </is>
      </c>
      <c r="S448" s="13" t="inlineStr">
        <is>
          <t>Tratamento sintomático conforme grupo químico na bula</t>
        </is>
      </c>
      <c r="T448" s="13" t="inlineStr">
        <is>
          <t>SHARDA DO BRASIL COMÉRCIO DE PRODUTOS QUÍMICOS E AGROQUÍMICOS LTDA.</t>
        </is>
      </c>
      <c r="U448" s="16">
        <f>HYPERLINK("https://www.adapar.pr.gov.br/system/files/publico/Agrotoxicos/lista.pdf", "Registro Oficial Shyper 250 EC (MAPA 39617)")</f>
        <v/>
      </c>
    </row>
    <row r="449" ht="22" customHeight="1">
      <c r="A449" s="5" t="n">
        <v>444</v>
      </c>
      <c r="B449" s="6" t="inlineStr">
        <is>
          <t>Nº 1223</t>
        </is>
      </c>
      <c r="C449" s="7" t="inlineStr">
        <is>
          <t>FULLGUARD 4X5L (IMP) RW</t>
        </is>
      </c>
      <c r="D449" s="8" t="inlineStr">
        <is>
          <t>FULLGUARD</t>
        </is>
      </c>
      <c r="E449" s="7" t="inlineStr">
        <is>
          <t>Produto Formulado Comercial</t>
        </is>
      </c>
      <c r="F449" s="7" t="inlineStr">
        <is>
          <t>Defensivos</t>
        </is>
      </c>
      <c r="G449" s="7" t="inlineStr">
        <is>
          <t>Herbicida</t>
        </is>
      </c>
      <c r="H449" s="7" t="inlineStr">
        <is>
          <t>EC</t>
        </is>
      </c>
      <c r="I449" s="7" t="inlineStr">
        <is>
          <t>Concentrado Emulsionável (EC)</t>
        </is>
      </c>
      <c r="J449" s="7" t="inlineStr">
        <is>
          <t>Herbicida de contato de pós-emergência e desfolhante</t>
        </is>
      </c>
      <c r="K449" s="7" t="inlineStr">
        <is>
          <t>Triazolinona</t>
        </is>
      </c>
      <c r="L449" s="7" t="inlineStr">
        <is>
          <t>HRAC Grupo E (14) — Inibidores da PROTOX</t>
        </is>
      </c>
      <c r="M449" s="7" t="inlineStr">
        <is>
          <t>Inibidores da enzima protoporfirinogênio oxidase (PROTOX)</t>
        </is>
      </c>
      <c r="N449" s="7" t="inlineStr">
        <is>
          <t>Categoria 4 — Produto Pouco Tóxico</t>
        </is>
      </c>
      <c r="O449" s="7" t="inlineStr">
        <is>
          <t>Azul PMS Blue 293 C</t>
        </is>
      </c>
      <c r="P449" s="7" t="inlineStr">
        <is>
          <t>Classe II — Produto Muito Perigoso ao Meio Ambiente</t>
        </is>
      </c>
      <c r="Q449" s="9" t="n">
        <v>24</v>
      </c>
      <c r="R449" s="7" t="inlineStr">
        <is>
          <t>Terrestre / Aérea (Drones consultar bula)</t>
        </is>
      </c>
      <c r="S449" s="7" t="inlineStr">
        <is>
          <t>Sem antídoto específico; tratamento sintomático</t>
        </is>
      </c>
      <c r="T449" s="7" t="inlineStr">
        <is>
          <t>Rainbow Defensivos</t>
        </is>
      </c>
      <c r="U449" s="10">
        <f>HYPERLINK("https://agrofit.agricultura.gov.br/agrofit_cons/principal_agrofit_cons", "Consulta Oficial AGROFIT/MAPA (Nº 1223)")</f>
        <v/>
      </c>
    </row>
    <row r="450" ht="22" customHeight="1">
      <c r="A450" s="11" t="n">
        <v>445</v>
      </c>
      <c r="B450" s="12" t="inlineStr">
        <is>
          <t>Nº 1223</t>
        </is>
      </c>
      <c r="C450" s="13" t="inlineStr">
        <is>
          <t>FULLGUARD 20L (IMP) RW</t>
        </is>
      </c>
      <c r="D450" s="14" t="inlineStr">
        <is>
          <t>FULLGUARD</t>
        </is>
      </c>
      <c r="E450" s="13" t="inlineStr">
        <is>
          <t>Produto Formulado Comercial</t>
        </is>
      </c>
      <c r="F450" s="13" t="inlineStr">
        <is>
          <t>Defensivos</t>
        </is>
      </c>
      <c r="G450" s="13" t="inlineStr">
        <is>
          <t>Herbicida</t>
        </is>
      </c>
      <c r="H450" s="13" t="inlineStr">
        <is>
          <t>EC</t>
        </is>
      </c>
      <c r="I450" s="13" t="inlineStr">
        <is>
          <t>Concentrado Emulsionável (EC)</t>
        </is>
      </c>
      <c r="J450" s="13" t="inlineStr">
        <is>
          <t>Herbicida de contato de pós-emergência e desfolhante</t>
        </is>
      </c>
      <c r="K450" s="13" t="inlineStr">
        <is>
          <t>Triazolinona</t>
        </is>
      </c>
      <c r="L450" s="13" t="inlineStr">
        <is>
          <t>HRAC Grupo E (14) — Inibidores da PROTOX</t>
        </is>
      </c>
      <c r="M450" s="13" t="inlineStr">
        <is>
          <t>Inibidores da enzima protoporfirinogênio oxidase (PROTOX)</t>
        </is>
      </c>
      <c r="N450" s="13" t="inlineStr">
        <is>
          <t>Categoria 4 — Produto Pouco Tóxico</t>
        </is>
      </c>
      <c r="O450" s="13" t="inlineStr">
        <is>
          <t>Azul PMS Blue 293 C</t>
        </is>
      </c>
      <c r="P450" s="13" t="inlineStr">
        <is>
          <t>Classe II — Produto Muito Perigoso ao Meio Ambiente</t>
        </is>
      </c>
      <c r="Q450" s="15" t="n">
        <v>24</v>
      </c>
      <c r="R450" s="13" t="inlineStr">
        <is>
          <t>Terrestre / Aérea (Drones consultar bula)</t>
        </is>
      </c>
      <c r="S450" s="13" t="inlineStr">
        <is>
          <t>Sem antídoto específico; tratamento sintomático</t>
        </is>
      </c>
      <c r="T450" s="13" t="inlineStr">
        <is>
          <t>Rainbow Defensivos</t>
        </is>
      </c>
      <c r="U450" s="16">
        <f>HYPERLINK("https://agrofit.agricultura.gov.br/agrofit_cons/principal_agrofit_cons", "Consulta Oficial AGROFIT/MAPA (Nº 1223)")</f>
        <v/>
      </c>
    </row>
    <row r="451" ht="22" customHeight="1">
      <c r="A451" s="5" t="n">
        <v>446</v>
      </c>
      <c r="B451" s="6" t="inlineStr">
        <is>
          <t>Nº 5217</t>
        </is>
      </c>
      <c r="C451" s="7" t="inlineStr">
        <is>
          <t>HERBIZINA PLUS 1X10KG (IMP) RW</t>
        </is>
      </c>
      <c r="D451" s="8" t="inlineStr">
        <is>
          <t>HERBIZINA PLUS</t>
        </is>
      </c>
      <c r="E451" s="7" t="inlineStr">
        <is>
          <t>Produto Formulado Comercial</t>
        </is>
      </c>
      <c r="F451" s="7" t="inlineStr">
        <is>
          <t>Defensivos</t>
        </is>
      </c>
      <c r="G451" s="7" t="inlineStr">
        <is>
          <t>Herbicida</t>
        </is>
      </c>
      <c r="H451" s="7" t="inlineStr">
        <is>
          <t>WG</t>
        </is>
      </c>
      <c r="I451" s="7" t="inlineStr">
        <is>
          <t>Grânulos Dispersíveis em Água (WG)</t>
        </is>
      </c>
      <c r="J451" s="7" t="inlineStr">
        <is>
          <t>Herbicida seletivo sistêmico de pré e pós-emergência precoce</t>
        </is>
      </c>
      <c r="K451" s="7" t="inlineStr">
        <is>
          <t>Triazina</t>
        </is>
      </c>
      <c r="L451" s="7" t="inlineStr">
        <is>
          <t>HRAC Grupo C1 (5) — Inibidores do Fotossistema II</t>
        </is>
      </c>
      <c r="M451" s="7" t="inlineStr">
        <is>
          <t>Inibição do transporte de elétrons no Fotossistema II (sítio Serina 264)</t>
        </is>
      </c>
      <c r="N451" s="7" t="inlineStr">
        <is>
          <t>Categoria 4 / 5 — Pouco Tóxico</t>
        </is>
      </c>
      <c r="O451" s="7" t="inlineStr">
        <is>
          <t>Azul Intenso</t>
        </is>
      </c>
      <c r="P451" s="7" t="inlineStr">
        <is>
          <t>Classe II — Produto Muito Perigoso ao Meio Ambiente</t>
        </is>
      </c>
      <c r="Q451" s="9" t="n">
        <v>24</v>
      </c>
      <c r="R451" s="7" t="inlineStr">
        <is>
          <t>Terrestre / Aérea (Drones consultar bula)</t>
        </is>
      </c>
      <c r="S451" s="7" t="inlineStr">
        <is>
          <t>Sem antídoto específico; tratamento sintomático</t>
        </is>
      </c>
      <c r="T451" s="7" t="inlineStr">
        <is>
          <t>Adama / Ourofino</t>
        </is>
      </c>
      <c r="U451" s="10">
        <f>HYPERLINK("https://agrofit.agricultura.gov.br/agrofit_cons/principal_agrofit_cons", "Consulta Oficial AGROFIT/MAPA (Nº 5217)")</f>
        <v/>
      </c>
    </row>
    <row r="452" ht="22" customHeight="1">
      <c r="A452" s="11" t="n">
        <v>447</v>
      </c>
      <c r="B452" s="12" t="inlineStr">
        <is>
          <t>Nº 22225</t>
        </is>
      </c>
      <c r="C452" s="13" t="inlineStr">
        <is>
          <t>KILLIGAN 20L (IMP) RW</t>
        </is>
      </c>
      <c r="D452" s="14" t="inlineStr">
        <is>
          <t>KILLIGAN</t>
        </is>
      </c>
      <c r="E452" s="13" t="inlineStr">
        <is>
          <t>Produto Formulado Comercial</t>
        </is>
      </c>
      <c r="F452" s="13" t="inlineStr">
        <is>
          <t>Defensivos</t>
        </is>
      </c>
      <c r="G452" s="13" t="inlineStr">
        <is>
          <t>Inseticida e Acaricida</t>
        </is>
      </c>
      <c r="H452" s="13" t="inlineStr">
        <is>
          <t>SC</t>
        </is>
      </c>
      <c r="I452" s="13" t="inlineStr">
        <is>
          <t>Suspensão Concentrada (SC)</t>
        </is>
      </c>
      <c r="J452" s="13" t="inlineStr">
        <is>
          <t>Inseticida e acaricida de contato e ingestão com ação translaminar</t>
        </is>
      </c>
      <c r="K452" s="13" t="inlineStr">
        <is>
          <t>Análogo de pirazol (Arilpirrol)</t>
        </is>
      </c>
      <c r="L452" s="13" t="inlineStr">
        <is>
          <t>IRAC Grupo 13</t>
        </is>
      </c>
      <c r="M452" s="13" t="inlineStr">
        <is>
          <t>Desacopladores da fosforilação oxidativa via disrupção do gradiente de prótons</t>
        </is>
      </c>
      <c r="N452" s="13" t="inlineStr">
        <is>
          <t>Categoria 3 / 4 — Moderadamente a Pouco Tóxico</t>
        </is>
      </c>
      <c r="O452" s="13" t="inlineStr">
        <is>
          <t>Amarelo / Azul</t>
        </is>
      </c>
      <c r="P452" s="13" t="inlineStr">
        <is>
          <t>Classe II — Produto Muito Perigoso ao Meio Ambiente</t>
        </is>
      </c>
      <c r="Q452" s="15" t="n">
        <v>24</v>
      </c>
      <c r="R452" s="13" t="inlineStr">
        <is>
          <t>Terrestre / Aérea (Drones consultar bula)</t>
        </is>
      </c>
      <c r="S452" s="13" t="inlineStr">
        <is>
          <t>Sem antídoto específico; controle rigoroso de hipertermia (antitérmicos comuns ineficazes)</t>
        </is>
      </c>
      <c r="T452" s="13" t="inlineStr">
        <is>
          <t>RAINBOW DEFENSIVOS AGRÍCOLAS LTDA.</t>
        </is>
      </c>
      <c r="U452" s="16">
        <f>HYPERLINK("https://www.adapar.pr.gov.br/system/files/publico/Agrotoxicos/lista.pdf", "Registro Oficial Killigan 240 SC (MAPA 22225)")</f>
        <v/>
      </c>
    </row>
    <row r="453" ht="22" customHeight="1">
      <c r="A453" s="5" t="n">
        <v>448</v>
      </c>
      <c r="B453" s="6" t="inlineStr">
        <is>
          <t>Nº 26924</t>
        </is>
      </c>
      <c r="C453" s="7" t="inlineStr">
        <is>
          <t>CHLOROCIL 1X20L (IMP) GG</t>
        </is>
      </c>
      <c r="D453" s="8" t="inlineStr">
        <is>
          <t>CHLOROCIL</t>
        </is>
      </c>
      <c r="E453" s="7" t="inlineStr">
        <is>
          <t>Produto Formulado Comercial</t>
        </is>
      </c>
      <c r="F453" s="7" t="inlineStr">
        <is>
          <t>Defensivos</t>
        </is>
      </c>
      <c r="G453" s="7" t="inlineStr">
        <is>
          <t>Inseticida</t>
        </is>
      </c>
      <c r="H453" s="7" t="inlineStr">
        <is>
          <t>EC</t>
        </is>
      </c>
      <c r="I453" s="7" t="inlineStr">
        <is>
          <t>Concentrado Emulsionável (EC)</t>
        </is>
      </c>
      <c r="J453" s="7" t="inlineStr">
        <is>
          <t>Inseticida e acaricida de contato, ingestão e profundidade</t>
        </is>
      </c>
      <c r="K453" s="7" t="inlineStr">
        <is>
          <t>Organofosforado</t>
        </is>
      </c>
      <c r="L453" s="7" t="inlineStr">
        <is>
          <t>IRAC Grupo 1B</t>
        </is>
      </c>
      <c r="M453" s="7" t="inlineStr">
        <is>
          <t>Inibidores da acetilcolinesterase (AChE)</t>
        </is>
      </c>
      <c r="N453" s="7" t="inlineStr">
        <is>
          <t>Categoria 2 — Produto Altamente Tóxico</t>
        </is>
      </c>
      <c r="O453" s="7" t="inlineStr">
        <is>
          <t>Vermelho PMS Red 199 C</t>
        </is>
      </c>
      <c r="P453" s="7" t="inlineStr">
        <is>
          <t>Classe II — Produto Muito Perigoso ao Meio Ambiente</t>
        </is>
      </c>
      <c r="Q453" s="9" t="n">
        <v>24</v>
      </c>
      <c r="R453" s="7" t="inlineStr">
        <is>
          <t>Terrestre / Aérea (Drones consultar bula)</t>
        </is>
      </c>
      <c r="S453" s="7" t="inlineStr">
        <is>
          <t>Atropina (agonista antimuscarínico) e Pralidoxima (reativador de colinesterase)</t>
        </is>
      </c>
      <c r="T453" s="7" t="inlineStr">
        <is>
          <t>GLOBACHEM PROTEÇÃO DE CULTIVOS DO BRASIL LTDA.</t>
        </is>
      </c>
      <c r="U453" s="10">
        <f>HYPERLINK("https://www.adapar.pr.gov.br/system/files/publico/Agrotoxicos/lista.pdf", "Registro Oficial Chlorocil 480 EC (MAPA 26924)")</f>
        <v/>
      </c>
    </row>
    <row r="454" ht="22" customHeight="1">
      <c r="A454" s="11" t="n">
        <v>449</v>
      </c>
      <c r="B454" s="12" t="inlineStr">
        <is>
          <t>SIPEAGRO (UF-XXXXX)</t>
        </is>
      </c>
      <c r="C454" s="13" t="inlineStr">
        <is>
          <t>MAP 1261 FARELADO</t>
        </is>
      </c>
      <c r="D454" s="14" t="inlineStr">
        <is>
          <t>MAP 1261 FARELADO</t>
        </is>
      </c>
      <c r="E454" s="13" t="inlineStr">
        <is>
          <t>Fertilizante Mineral / Organomineral</t>
        </is>
      </c>
      <c r="F454" s="13" t="inlineStr">
        <is>
          <t>Fertilizantes</t>
        </is>
      </c>
      <c r="G454" s="13" t="inlineStr">
        <is>
          <t>Fertilizante Complexo (MAP — Fosfato Monoamônico)</t>
        </is>
      </c>
      <c r="H454" s="13" t="inlineStr">
        <is>
          <t>Granulado</t>
        </is>
      </c>
      <c r="I454" s="13" t="inlineStr">
        <is>
          <t>Formulação Padrão (Granulado / Solúvel / Suspensão)</t>
        </is>
      </c>
      <c r="J454" s="13" t="inlineStr">
        <is>
          <t>Aplicação via solo, fertirrigação ou adubação foliar</t>
        </is>
      </c>
      <c r="K454" s="13" t="inlineStr">
        <is>
          <t>Fertilizante Mineral / Organomineral (Lei nº 6.894/1980)</t>
        </is>
      </c>
      <c r="L454" s="13" t="inlineStr">
        <is>
          <t>Nutrição Vegetal SIPEAGRO</t>
        </is>
      </c>
      <c r="M454" s="13" t="inlineStr">
        <is>
          <t>Fornecimento de macro e micronutrientes essenciais ao metabolismo vegetal</t>
        </is>
      </c>
      <c r="N454" s="13" t="inlineStr">
        <is>
          <t>Isento ANVISA (Produto Fertilizante Registrado no SIPEAGRO/MAPA)</t>
        </is>
      </c>
      <c r="O454" s="13" t="inlineStr">
        <is>
          <t>Não Aplicável (Fertilizante)</t>
        </is>
      </c>
      <c r="P454" s="13" t="inlineStr">
        <is>
          <t>Baixo Potencial Poluidor (Uso conforme recomendação agronômica)</t>
        </is>
      </c>
      <c r="Q454" s="15" t="n">
        <v>0</v>
      </c>
      <c r="R454" s="13" t="inlineStr">
        <is>
          <t>Aplicação Dirigida / TS / Solo</t>
        </is>
      </c>
      <c r="S454" s="13" t="inlineStr">
        <is>
          <t>Tratamento sintomático em caso de ingestão acidental</t>
        </is>
      </c>
      <c r="T454" s="13" t="inlineStr">
        <is>
          <t>Estabelecimento Produtor SIPEAGRO/MAPA</t>
        </is>
      </c>
      <c r="U454" s="16">
        <f>HYPERLINK("https://www.gov.br/agricultura/pt-br/assuntos/insumos-agropecuarios/insumos-agricolas/fertilizantes", "Portal SIPEAGRO / MAPA — Fertilizantes e Bioinsumos")</f>
        <v/>
      </c>
    </row>
    <row r="455" ht="22" customHeight="1">
      <c r="A455" s="5" t="n">
        <v>450</v>
      </c>
      <c r="B455" s="6" t="inlineStr">
        <is>
          <t>Nº 40624</t>
        </is>
      </c>
      <c r="C455" s="7" t="inlineStr">
        <is>
          <t>CHLORPYRIFOS 480 EC AGCN 1X20L (IMP) AA</t>
        </is>
      </c>
      <c r="D455" s="8" t="inlineStr">
        <is>
          <t>CHLORPYRIFOS 480 EC AGCN</t>
        </is>
      </c>
      <c r="E455" s="7" t="inlineStr">
        <is>
          <t>Produto Formulado Comercial</t>
        </is>
      </c>
      <c r="F455" s="7" t="inlineStr">
        <is>
          <t>Defensivos</t>
        </is>
      </c>
      <c r="G455" s="7" t="inlineStr">
        <is>
          <t>Inseticida</t>
        </is>
      </c>
      <c r="H455" s="7" t="inlineStr">
        <is>
          <t>EC</t>
        </is>
      </c>
      <c r="I455" s="7" t="inlineStr">
        <is>
          <t>Concentrado Emulsionável (EC)</t>
        </is>
      </c>
      <c r="J455" s="7" t="inlineStr">
        <is>
          <t>Inseticida e acaricida de contato, ingestão e profundidade</t>
        </is>
      </c>
      <c r="K455" s="7" t="inlineStr">
        <is>
          <t>Organofosforado</t>
        </is>
      </c>
      <c r="L455" s="7" t="inlineStr">
        <is>
          <t>IRAC Grupo 1B</t>
        </is>
      </c>
      <c r="M455" s="7" t="inlineStr">
        <is>
          <t>Inibidores da acetilcolinesterase (AChE)</t>
        </is>
      </c>
      <c r="N455" s="7" t="inlineStr">
        <is>
          <t>Categoria 2 — Produto Altamente Tóxico</t>
        </is>
      </c>
      <c r="O455" s="7" t="inlineStr">
        <is>
          <t>Vermelho PMS Red 199 C</t>
        </is>
      </c>
      <c r="P455" s="7" t="inlineStr">
        <is>
          <t>Classe II — Produto Muito Perigoso ao Meio Ambiente</t>
        </is>
      </c>
      <c r="Q455" s="9" t="n">
        <v>24</v>
      </c>
      <c r="R455" s="7" t="inlineStr">
        <is>
          <t>Terrestre / Aérea (Drones consultar bula)</t>
        </is>
      </c>
      <c r="S455" s="7" t="inlineStr">
        <is>
          <t>Atropina (agonista antimuscarínico) e Pralidoxima (reativador de colinesterase)</t>
        </is>
      </c>
      <c r="T455" s="7" t="inlineStr">
        <is>
          <t>AGRICONNECTION IMPORTADORA E EXPORTADORA DE INSUMOS AGRÍCOLAS LTDA.</t>
        </is>
      </c>
      <c r="U455" s="10">
        <f>HYPERLINK("https://agrofit.agricultura.gov.br/agrofit_cons/principal_agrofit_cons", "Consulta Oficial AGROFIT/MAPA (Nº 40624)")</f>
        <v/>
      </c>
    </row>
    <row r="456" ht="22" customHeight="1">
      <c r="A456" s="11" t="n">
        <v>451</v>
      </c>
      <c r="B456" s="12" t="inlineStr">
        <is>
          <t>Nº 6223</t>
        </is>
      </c>
      <c r="C456" s="13" t="inlineStr">
        <is>
          <t>RIDOWN FULL 1X20L (IMP)</t>
        </is>
      </c>
      <c r="D456" s="14" t="inlineStr">
        <is>
          <t>RIDOWN FULL</t>
        </is>
      </c>
      <c r="E456" s="13" t="inlineStr">
        <is>
          <t>Produto Formulado Comercial</t>
        </is>
      </c>
      <c r="F456" s="13" t="inlineStr">
        <is>
          <t>Defensivos</t>
        </is>
      </c>
      <c r="G456" s="13" t="inlineStr">
        <is>
          <t>Herbicida</t>
        </is>
      </c>
      <c r="H456" s="13" t="inlineStr">
        <is>
          <t>SL</t>
        </is>
      </c>
      <c r="I456" s="13" t="inlineStr">
        <is>
          <t>Concentrado Solúvel (SL)</t>
        </is>
      </c>
      <c r="J456" s="13" t="inlineStr">
        <is>
          <t>Herbicida sistêmico de pós-emergência (seletivo condicional p/ OGM)</t>
        </is>
      </c>
      <c r="K456" s="13" t="inlineStr">
        <is>
          <t>Glicina substituída</t>
        </is>
      </c>
      <c r="L456" s="13" t="inlineStr">
        <is>
          <t>HRAC Grupo G (9) — Inibidores da EPSPs</t>
        </is>
      </c>
      <c r="M456" s="13" t="inlineStr">
        <is>
          <t>Inibidores da enzima EPSPs (Enoil Piruvil Shiquimato Fosfato Sintase)</t>
        </is>
      </c>
      <c r="N456" s="13" t="inlineStr">
        <is>
          <t>Categoria 5 — Produto Improvável de Causar Dano Agudo</t>
        </is>
      </c>
      <c r="O456" s="13" t="inlineStr">
        <is>
          <t>Azul Intenso</t>
        </is>
      </c>
      <c r="P456" s="13" t="inlineStr">
        <is>
          <t>Classe III / IV — Perigoso a Pouco Perigoso ao Meio Ambiente</t>
        </is>
      </c>
      <c r="Q456" s="15" t="n">
        <v>24</v>
      </c>
      <c r="R456" s="13" t="inlineStr">
        <is>
          <t>Terrestre / Aérea (Drones consultar bula)</t>
        </is>
      </c>
      <c r="S456" s="13" t="inlineStr">
        <is>
          <t>Sem antídoto específico (Atropina ineficaz); tratamento sintomático</t>
        </is>
      </c>
      <c r="T456" s="13" t="inlineStr">
        <is>
          <t>Rainbow Defensivos</t>
        </is>
      </c>
      <c r="U456" s="16">
        <f>HYPERLINK("https://agrofit.agricultura.gov.br/agrofit_cons/principal_agrofit_cons", "Consulta Oficial AGROFIT/MAPA (Nº 6223)")</f>
        <v/>
      </c>
    </row>
    <row r="457" ht="22" customHeight="1">
      <c r="A457" s="5" t="n">
        <v>452</v>
      </c>
      <c r="B457" s="6" t="inlineStr">
        <is>
          <t>Nº 12225</t>
        </is>
      </c>
      <c r="C457" s="7" t="inlineStr">
        <is>
          <t>IMPACTUS CS 1X20L (IMP) RW</t>
        </is>
      </c>
      <c r="D457" s="8" t="inlineStr">
        <is>
          <t>IMPACTUS CS</t>
        </is>
      </c>
      <c r="E457" s="7" t="inlineStr">
        <is>
          <t>Produto Formulado Comercial</t>
        </is>
      </c>
      <c r="F457" s="7" t="inlineStr">
        <is>
          <t>Defensivos</t>
        </is>
      </c>
      <c r="G457" s="7" t="inlineStr">
        <is>
          <t>Inseticida</t>
        </is>
      </c>
      <c r="H457" s="7" t="inlineStr">
        <is>
          <t>CS</t>
        </is>
      </c>
      <c r="I457" s="7" t="inlineStr">
        <is>
          <t>Suspensão de Encapsulado (CS)</t>
        </is>
      </c>
      <c r="J457" s="7" t="inlineStr">
        <is>
          <t>Inseticida de contato e ingestão com efeito de choque</t>
        </is>
      </c>
      <c r="K457" s="7" t="inlineStr">
        <is>
          <t>Piretroide (Tipo II)</t>
        </is>
      </c>
      <c r="L457" s="7" t="inlineStr">
        <is>
          <t>IRAC Grupo 3A</t>
        </is>
      </c>
      <c r="M457" s="7" t="inlineStr">
        <is>
          <t>Moduladores de canais de sódio em axônios nervosos</t>
        </is>
      </c>
      <c r="N457" s="7" t="inlineStr">
        <is>
          <t>Categoria 3 / 4 — Moderadamente a Pouco Tóxico</t>
        </is>
      </c>
      <c r="O457" s="7" t="inlineStr">
        <is>
          <t>Amarelo / Azul</t>
        </is>
      </c>
      <c r="P457" s="7" t="inlineStr">
        <is>
          <t>Classe II — Produto Muito Perigoso ao Meio Ambiente</t>
        </is>
      </c>
      <c r="Q457" s="9" t="n">
        <v>24</v>
      </c>
      <c r="R457" s="7" t="inlineStr">
        <is>
          <t>Terrestre / Aérea (Drones consultar bula)</t>
        </is>
      </c>
      <c r="S457" s="7" t="inlineStr">
        <is>
          <t>Sem antídoto específico; anti-histamínicos e suporte sintomático</t>
        </is>
      </c>
      <c r="T457" s="7" t="inlineStr">
        <is>
          <t>RAINBOW DEFENSIVOS AGRÍCOLAS LTDA.</t>
        </is>
      </c>
      <c r="U457" s="10">
        <f>HYPERLINK("https://www.adapar.pr.gov.br/system/files/publico/Agrotoxicos/lista.pdf", "Registro Oficial Impactus CS (MAPA 12225)")</f>
        <v/>
      </c>
    </row>
    <row r="458" ht="22" customHeight="1">
      <c r="A458" s="11" t="n">
        <v>453</v>
      </c>
      <c r="B458" s="12" t="inlineStr">
        <is>
          <t>Nº 6922</t>
        </is>
      </c>
      <c r="C458" s="13" t="inlineStr">
        <is>
          <t>INSECTRIN 4X5L (IMP) RR</t>
        </is>
      </c>
      <c r="D458" s="14" t="inlineStr">
        <is>
          <t>INSECTRIN</t>
        </is>
      </c>
      <c r="E458" s="13" t="inlineStr">
        <is>
          <t>Produto Formulado Comercial</t>
        </is>
      </c>
      <c r="F458" s="13" t="inlineStr">
        <is>
          <t>Defensivos</t>
        </is>
      </c>
      <c r="G458" s="13" t="inlineStr">
        <is>
          <t>Inseticida e Acaricida</t>
        </is>
      </c>
      <c r="H458" s="13" t="inlineStr">
        <is>
          <t>EC</t>
        </is>
      </c>
      <c r="I458" s="13" t="inlineStr">
        <is>
          <t>Concentrado Emulsionável (EC)</t>
        </is>
      </c>
      <c r="J458" s="13" t="inlineStr">
        <is>
          <t>Inseticida e acaricida de contato e ingestão</t>
        </is>
      </c>
      <c r="K458" s="13" t="inlineStr">
        <is>
          <t>Piretroide (Tipo I)</t>
        </is>
      </c>
      <c r="L458" s="13" t="inlineStr">
        <is>
          <t>IRAC Grupo 3A</t>
        </is>
      </c>
      <c r="M458" s="13" t="inlineStr">
        <is>
          <t>Moduladores de canais de sódio em membranas nervosas</t>
        </is>
      </c>
      <c r="N458" s="13" t="inlineStr">
        <is>
          <t>Categoria 3 — Produto Moderadamente Tóxico</t>
        </is>
      </c>
      <c r="O458" s="13" t="inlineStr">
        <is>
          <t>Amarelo PMS Yellow C</t>
        </is>
      </c>
      <c r="P458" s="13" t="inlineStr">
        <is>
          <t>Classe II — Produto Muito Perigoso ao Meio Ambiente</t>
        </is>
      </c>
      <c r="Q458" s="15" t="n">
        <v>24</v>
      </c>
      <c r="R458" s="13" t="inlineStr">
        <is>
          <t>Terrestre / Aérea (Drones consultar bula)</t>
        </is>
      </c>
      <c r="S458" s="13" t="inlineStr">
        <is>
          <t>Sem antídoto específico; anti-histamínicos e vitamina E tópica para parestesia</t>
        </is>
      </c>
      <c r="T458" s="13" t="inlineStr">
        <is>
          <t>RAINBOW DEFENSIVOS AGRÍCOLAS LTDA.</t>
        </is>
      </c>
      <c r="U458" s="16">
        <f>HYPERLINK("https://agrofit.agricultura.gov.br/agrofit_cons/principal_agrofit_cons", "Consulta Oficial AGROFIT/MAPA (Nº 6922)")</f>
        <v/>
      </c>
    </row>
    <row r="459" ht="22" customHeight="1">
      <c r="A459" s="5" t="n">
        <v>454</v>
      </c>
      <c r="B459" s="6" t="inlineStr">
        <is>
          <t>Nº 6922</t>
        </is>
      </c>
      <c r="C459" s="7" t="inlineStr">
        <is>
          <t>INSECTRIN 2X10L (IMP) RR</t>
        </is>
      </c>
      <c r="D459" s="8" t="inlineStr">
        <is>
          <t>INSECTRIN</t>
        </is>
      </c>
      <c r="E459" s="7" t="inlineStr">
        <is>
          <t>Produto Formulado Comercial</t>
        </is>
      </c>
      <c r="F459" s="7" t="inlineStr">
        <is>
          <t>Defensivos</t>
        </is>
      </c>
      <c r="G459" s="7" t="inlineStr">
        <is>
          <t>Inseticida e Acaricida</t>
        </is>
      </c>
      <c r="H459" s="7" t="inlineStr">
        <is>
          <t>EC</t>
        </is>
      </c>
      <c r="I459" s="7" t="inlineStr">
        <is>
          <t>Concentrado Emulsionável (EC)</t>
        </is>
      </c>
      <c r="J459" s="7" t="inlineStr">
        <is>
          <t>Inseticida e acaricida de contato e ingestão</t>
        </is>
      </c>
      <c r="K459" s="7" t="inlineStr">
        <is>
          <t>Piretroide (Tipo I)</t>
        </is>
      </c>
      <c r="L459" s="7" t="inlineStr">
        <is>
          <t>IRAC Grupo 3A</t>
        </is>
      </c>
      <c r="M459" s="7" t="inlineStr">
        <is>
          <t>Moduladores de canais de sódio em membranas nervosas</t>
        </is>
      </c>
      <c r="N459" s="7" t="inlineStr">
        <is>
          <t>Categoria 3 — Produto Moderadamente Tóxico</t>
        </is>
      </c>
      <c r="O459" s="7" t="inlineStr">
        <is>
          <t>Amarelo PMS Yellow C</t>
        </is>
      </c>
      <c r="P459" s="7" t="inlineStr">
        <is>
          <t>Classe II — Produto Muito Perigoso ao Meio Ambiente</t>
        </is>
      </c>
      <c r="Q459" s="9" t="n">
        <v>24</v>
      </c>
      <c r="R459" s="7" t="inlineStr">
        <is>
          <t>Terrestre / Aérea (Drones consultar bula)</t>
        </is>
      </c>
      <c r="S459" s="7" t="inlineStr">
        <is>
          <t>Sem antídoto específico; anti-histamínicos e vitamina E tópica para parestesia</t>
        </is>
      </c>
      <c r="T459" s="7" t="inlineStr">
        <is>
          <t>RAINBOW DEFENSIVOS AGRÍCOLAS LTDA.</t>
        </is>
      </c>
      <c r="U459" s="10">
        <f>HYPERLINK("https://agrofit.agricultura.gov.br/agrofit_cons/principal_agrofit_cons", "Consulta Oficial AGROFIT/MAPA (Nº 6922)")</f>
        <v/>
      </c>
    </row>
    <row r="460" ht="22" customHeight="1">
      <c r="A460" s="11" t="n">
        <v>455</v>
      </c>
      <c r="B460" s="12" t="inlineStr">
        <is>
          <t>Nº 6223</t>
        </is>
      </c>
      <c r="C460" s="13" t="inlineStr">
        <is>
          <t>RIDOWN FULL 20L (IMP) RT</t>
        </is>
      </c>
      <c r="D460" s="14" t="inlineStr">
        <is>
          <t>RIDOWN FULL</t>
        </is>
      </c>
      <c r="E460" s="13" t="inlineStr">
        <is>
          <t>Produto Formulado Comercial</t>
        </is>
      </c>
      <c r="F460" s="13" t="inlineStr">
        <is>
          <t>Defensivos</t>
        </is>
      </c>
      <c r="G460" s="13" t="inlineStr">
        <is>
          <t>Herbicida</t>
        </is>
      </c>
      <c r="H460" s="13" t="inlineStr">
        <is>
          <t>SL</t>
        </is>
      </c>
      <c r="I460" s="13" t="inlineStr">
        <is>
          <t>Concentrado Solúvel (SL)</t>
        </is>
      </c>
      <c r="J460" s="13" t="inlineStr">
        <is>
          <t>Herbicida sistêmico de pós-emergência (seletivo condicional p/ OGM)</t>
        </is>
      </c>
      <c r="K460" s="13" t="inlineStr">
        <is>
          <t>Glicina substituída</t>
        </is>
      </c>
      <c r="L460" s="13" t="inlineStr">
        <is>
          <t>HRAC Grupo G (9) — Inibidores da EPSPs</t>
        </is>
      </c>
      <c r="M460" s="13" t="inlineStr">
        <is>
          <t>Inibidores da enzima EPSPs (Enoil Piruvil Shiquimato Fosfato Sintase)</t>
        </is>
      </c>
      <c r="N460" s="13" t="inlineStr">
        <is>
          <t>Categoria 5 — Produto Improvável de Causar Dano Agudo</t>
        </is>
      </c>
      <c r="O460" s="13" t="inlineStr">
        <is>
          <t>Azul Intenso</t>
        </is>
      </c>
      <c r="P460" s="13" t="inlineStr">
        <is>
          <t>Classe III / IV — Perigoso a Pouco Perigoso ao Meio Ambiente</t>
        </is>
      </c>
      <c r="Q460" s="15" t="n">
        <v>24</v>
      </c>
      <c r="R460" s="13" t="inlineStr">
        <is>
          <t>Terrestre / Aérea (Drones consultar bula)</t>
        </is>
      </c>
      <c r="S460" s="13" t="inlineStr">
        <is>
          <t>Sem antídoto específico (Atropina ineficaz); tratamento sintomático</t>
        </is>
      </c>
      <c r="T460" s="13" t="inlineStr">
        <is>
          <t>Rainbow Defensivos</t>
        </is>
      </c>
      <c r="U460" s="16">
        <f>HYPERLINK("https://agrofit.agricultura.gov.br/agrofit_cons/principal_agrofit_cons", "Consulta Oficial AGROFIT/MAPA (Nº 6223)")</f>
        <v/>
      </c>
    </row>
    <row r="461" ht="22" customHeight="1">
      <c r="A461" s="5" t="n">
        <v>456</v>
      </c>
      <c r="B461" s="6" t="inlineStr">
        <is>
          <t>Nº 28120</t>
        </is>
      </c>
      <c r="C461" s="7" t="inlineStr">
        <is>
          <t>WIDCLEAR 20L (IMP) RL</t>
        </is>
      </c>
      <c r="D461" s="8" t="inlineStr">
        <is>
          <t>WIDCLEAR</t>
        </is>
      </c>
      <c r="E461" s="7" t="inlineStr">
        <is>
          <t>Produto Formulado Comercial</t>
        </is>
      </c>
      <c r="F461" s="7" t="inlineStr">
        <is>
          <t>Defensivos</t>
        </is>
      </c>
      <c r="G461" s="7" t="inlineStr">
        <is>
          <t>Herbicida</t>
        </is>
      </c>
      <c r="H461" s="7" t="inlineStr">
        <is>
          <t>SC</t>
        </is>
      </c>
      <c r="I461" s="7" t="inlineStr">
        <is>
          <t>Suspensão Concentrada (SC)</t>
        </is>
      </c>
      <c r="J461" s="7" t="inlineStr">
        <is>
          <t>Herbicida de pré ou pós-emergência</t>
        </is>
      </c>
      <c r="K461" s="7" t="inlineStr">
        <is>
          <t>Ácido piridiniloxialcanoico</t>
        </is>
      </c>
      <c r="L461" s="7" t="inlineStr">
        <is>
          <t>HRAC Grupo O (4) — Auxinas Sintéticas</t>
        </is>
      </c>
      <c r="M461" s="7" t="inlineStr">
        <is>
          <t>Mimetizadores de auxina sintética (desregulação do crescimento celular)</t>
        </is>
      </c>
      <c r="N461" s="7" t="inlineStr">
        <is>
          <t>Categoria 4 / 5 — Pouco Tóxico (Conforme Bula ANVISA)</t>
        </is>
      </c>
      <c r="O461" s="7" t="inlineStr">
        <is>
          <t>Azul PMS Blue 293 C</t>
        </is>
      </c>
      <c r="P461" s="7" t="inlineStr">
        <is>
          <t>Classe II / III — Perigoso ao Meio Ambiente</t>
        </is>
      </c>
      <c r="Q461" s="9" t="n">
        <v>24</v>
      </c>
      <c r="R461" s="7" t="inlineStr">
        <is>
          <t>Terrestre / Aérea (Drones consultar bula)</t>
        </is>
      </c>
      <c r="S461" s="7" t="inlineStr">
        <is>
          <t>Sem antídoto específico; tratamento sintomático e descontaminação</t>
        </is>
      </c>
      <c r="T461" s="7" t="inlineStr">
        <is>
          <t>Rainbow Defensivos</t>
        </is>
      </c>
      <c r="U461" s="10">
        <f>HYPERLINK("https://www.adapar.pr.gov.br/Pagina/Agrotoxicos-Herbicidas", "Registro Oficial Widclear 200 EC (MAPA 28120)")</f>
        <v/>
      </c>
    </row>
    <row r="462" ht="22" customHeight="1">
      <c r="A462" s="11" t="n">
        <v>457</v>
      </c>
      <c r="B462" s="12" t="inlineStr">
        <is>
          <t>Nº 34122</t>
        </is>
      </c>
      <c r="C462" s="13" t="inlineStr">
        <is>
          <t>DURAX 1X20L (IMP) RZ</t>
        </is>
      </c>
      <c r="D462" s="14" t="inlineStr">
        <is>
          <t>DURAX</t>
        </is>
      </c>
      <c r="E462" s="13" t="inlineStr">
        <is>
          <t>Produto Formulado Comercial</t>
        </is>
      </c>
      <c r="F462" s="13" t="inlineStr">
        <is>
          <t>Defensivos</t>
        </is>
      </c>
      <c r="G462" s="13" t="inlineStr">
        <is>
          <t>Herbicida</t>
        </is>
      </c>
      <c r="H462" s="13" t="inlineStr">
        <is>
          <t>EC</t>
        </is>
      </c>
      <c r="I462" s="13" t="inlineStr">
        <is>
          <t>Concentrado Emulsionável (EC)</t>
        </is>
      </c>
      <c r="J462" s="13" t="inlineStr">
        <is>
          <t>Herbicida seletivo pré-emergente sistêmico</t>
        </is>
      </c>
      <c r="K462" s="13" t="inlineStr">
        <is>
          <t>Cloroacetanilida</t>
        </is>
      </c>
      <c r="L462" s="13" t="inlineStr">
        <is>
          <t>HRAC Grupo K3 (15) — Inibidores de VLCFAs</t>
        </is>
      </c>
      <c r="M462" s="13" t="inlineStr">
        <is>
          <t>Inibidores da síntese de ácidos graxos de cadeia muito longa (divisão celular)</t>
        </is>
      </c>
      <c r="N462" s="13" t="inlineStr">
        <is>
          <t>Categoria 4 — Produto Pouco Tóxico</t>
        </is>
      </c>
      <c r="O462" s="13" t="inlineStr">
        <is>
          <t>Azul PMS Blue 293 C</t>
        </is>
      </c>
      <c r="P462" s="13" t="inlineStr">
        <is>
          <t>Classe II — Produto Muito Perigoso ao Meio Ambiente</t>
        </is>
      </c>
      <c r="Q462" s="15" t="n">
        <v>24</v>
      </c>
      <c r="R462" s="13" t="inlineStr">
        <is>
          <t>Terrestre / Aérea (Drones consultar bula)</t>
        </is>
      </c>
      <c r="S462" s="13" t="inlineStr">
        <is>
          <t>Sem antídoto específico; tratamento sintomático</t>
        </is>
      </c>
      <c r="T462" s="13" t="inlineStr">
        <is>
          <t>RAINBOW DEFENSIVOS AGRÍCOLAS LTDA.</t>
        </is>
      </c>
      <c r="U462" s="16">
        <f>HYPERLINK("https://agrofit.agricultura.gov.br/agrofit_cons/principal_agrofit_cons", "Consulta Oficial AGROFIT/MAPA (Nº 34122)")</f>
        <v/>
      </c>
    </row>
    <row r="463" ht="22" customHeight="1">
      <c r="A463" s="5" t="n">
        <v>458</v>
      </c>
      <c r="B463" s="6" t="inlineStr">
        <is>
          <t>Nº 6922</t>
        </is>
      </c>
      <c r="C463" s="7" t="inlineStr">
        <is>
          <t>COFENRIN 4X5L (IMP) RR</t>
        </is>
      </c>
      <c r="D463" s="8" t="inlineStr">
        <is>
          <t>COFENRIN</t>
        </is>
      </c>
      <c r="E463" s="7" t="inlineStr">
        <is>
          <t>Produto Formulado Comercial</t>
        </is>
      </c>
      <c r="F463" s="7" t="inlineStr">
        <is>
          <t>Defensivos</t>
        </is>
      </c>
      <c r="G463" s="7" t="inlineStr">
        <is>
          <t>Inseticida e Acaricida</t>
        </is>
      </c>
      <c r="H463" s="7" t="inlineStr">
        <is>
          <t>EC</t>
        </is>
      </c>
      <c r="I463" s="7" t="inlineStr">
        <is>
          <t>Concentrado Emulsionável (EC)</t>
        </is>
      </c>
      <c r="J463" s="7" t="inlineStr">
        <is>
          <t>Inseticida e acaricida de contato e ingestão</t>
        </is>
      </c>
      <c r="K463" s="7" t="inlineStr">
        <is>
          <t>Piretroide (Tipo I)</t>
        </is>
      </c>
      <c r="L463" s="7" t="inlineStr">
        <is>
          <t>IRAC Grupo 3A</t>
        </is>
      </c>
      <c r="M463" s="7" t="inlineStr">
        <is>
          <t>Moduladores de canais de sódio em membranas nervosas</t>
        </is>
      </c>
      <c r="N463" s="7" t="inlineStr">
        <is>
          <t>Categoria 3 — Produto Moderadamente Tóxico</t>
        </is>
      </c>
      <c r="O463" s="7" t="inlineStr">
        <is>
          <t>Amarelo PMS Yellow C</t>
        </is>
      </c>
      <c r="P463" s="7" t="inlineStr">
        <is>
          <t>Classe II — Produto Muito Perigoso ao Meio Ambiente</t>
        </is>
      </c>
      <c r="Q463" s="9" t="n">
        <v>24</v>
      </c>
      <c r="R463" s="7" t="inlineStr">
        <is>
          <t>Terrestre / Aérea (Drones consultar bula)</t>
        </is>
      </c>
      <c r="S463" s="7" t="inlineStr">
        <is>
          <t>Sem antídoto específico; anti-histamínicos e vitamina E tópica para parestesia</t>
        </is>
      </c>
      <c r="T463" s="7" t="inlineStr">
        <is>
          <t>RAINBOW DEFENSIVOS AGRÍCOLAS LTDA.</t>
        </is>
      </c>
      <c r="U463" s="10">
        <f>HYPERLINK("https://agrofit.agricultura.gov.br/agrofit_cons/principal_agrofit_cons", "Consulta Oficial AGROFIT/MAPA (Nº 6922)")</f>
        <v/>
      </c>
    </row>
    <row r="464" ht="22" customHeight="1">
      <c r="A464" s="11" t="n">
        <v>459</v>
      </c>
      <c r="B464" s="12" t="inlineStr">
        <is>
          <t>Nº 27323</t>
        </is>
      </c>
      <c r="C464" s="13" t="inlineStr">
        <is>
          <t>ACEGOL 4X5KG (IMP) RW</t>
        </is>
      </c>
      <c r="D464" s="14" t="inlineStr">
        <is>
          <t>ACEGOL</t>
        </is>
      </c>
      <c r="E464" s="13" t="inlineStr">
        <is>
          <t>Produto Formulado Comercial</t>
        </is>
      </c>
      <c r="F464" s="13" t="inlineStr">
        <is>
          <t>Defensivos</t>
        </is>
      </c>
      <c r="G464" s="13" t="inlineStr">
        <is>
          <t>Inseticida</t>
        </is>
      </c>
      <c r="H464" s="13" t="inlineStr">
        <is>
          <t>WG</t>
        </is>
      </c>
      <c r="I464" s="13" t="inlineStr">
        <is>
          <t>WG - Granulado Dispersível</t>
        </is>
      </c>
      <c r="J464" s="13" t="inlineStr">
        <is>
          <t>Inseticida sistêmico de contato, ingestão e ação translaminar</t>
        </is>
      </c>
      <c r="K464" s="13" t="inlineStr">
        <is>
          <t>Neonicotinoide</t>
        </is>
      </c>
      <c r="L464" s="13" t="inlineStr">
        <is>
          <t>IRAC Grupo 4A</t>
        </is>
      </c>
      <c r="M464" s="13" t="inlineStr">
        <is>
          <t>Moduladores competitivos de receptores nicotínicos da acetilcolina (nAChR)</t>
        </is>
      </c>
      <c r="N464" s="13" t="inlineStr">
        <is>
          <t>Categoria 4: Produto Pouco Tóxico</t>
        </is>
      </c>
      <c r="O464" s="13" t="inlineStr">
        <is>
          <t>Azul</t>
        </is>
      </c>
      <c r="P464" s="13" t="inlineStr">
        <is>
          <t>Classe II — Produto Muito Perigoso ao Meio Ambiente</t>
        </is>
      </c>
      <c r="Q464" s="15" t="n">
        <v>24</v>
      </c>
      <c r="R464" s="13" t="inlineStr">
        <is>
          <t>Terrestre / Aérea (Drones consultar bula)</t>
        </is>
      </c>
      <c r="S464" s="13" t="inlineStr">
        <is>
          <t>Sem antídoto específico; tratamento sintomático</t>
        </is>
      </c>
      <c r="T464" s="13" t="inlineStr">
        <is>
          <t>RAINBOW DEFENSIVOS AGRICOLAS LTDA</t>
        </is>
      </c>
      <c r="U464" s="16">
        <f>HYPERLINK("https://agrofit.agricultura.gov.br/agrofit_cons/principal_agrofit_cons", "Consulta Oficial AGROFIT/MAPA (Nº 27323)")</f>
        <v/>
      </c>
    </row>
    <row r="465" ht="22" customHeight="1">
      <c r="A465" s="5" t="n">
        <v>460</v>
      </c>
      <c r="B465" s="6" t="inlineStr">
        <is>
          <t>Nº 45419</t>
        </is>
      </c>
      <c r="C465" s="7" t="inlineStr">
        <is>
          <t>CLORPIRI 480 EC 1X20L (IMP) SX</t>
        </is>
      </c>
      <c r="D465" s="8" t="inlineStr">
        <is>
          <t>CLORPIRI 480 EC</t>
        </is>
      </c>
      <c r="E465" s="7" t="inlineStr">
        <is>
          <t>Produto Formulado Comercial</t>
        </is>
      </c>
      <c r="F465" s="7" t="inlineStr">
        <is>
          <t>Defensivos</t>
        </is>
      </c>
      <c r="G465" s="7" t="inlineStr">
        <is>
          <t>Inseticida</t>
        </is>
      </c>
      <c r="H465" s="7" t="inlineStr">
        <is>
          <t>EC</t>
        </is>
      </c>
      <c r="I465" s="7" t="inlineStr">
        <is>
          <t>Concentrado Emulsionável (EC)</t>
        </is>
      </c>
      <c r="J465" s="7" t="inlineStr">
        <is>
          <t>Inseticida e acaricida de contato, ingestão e profundidade</t>
        </is>
      </c>
      <c r="K465" s="7" t="inlineStr">
        <is>
          <t>Organofosforado</t>
        </is>
      </c>
      <c r="L465" s="7" t="inlineStr">
        <is>
          <t>IRAC Grupo 1B</t>
        </is>
      </c>
      <c r="M465" s="7" t="inlineStr">
        <is>
          <t>Inibidores da acetilcolinesterase (AChE)</t>
        </is>
      </c>
      <c r="N465" s="7" t="inlineStr">
        <is>
          <t>Categoria 2 — Produto Altamente Tóxico</t>
        </is>
      </c>
      <c r="O465" s="7" t="inlineStr">
        <is>
          <t>Vermelho PMS Red 199 C</t>
        </is>
      </c>
      <c r="P465" s="7" t="inlineStr">
        <is>
          <t>Classe II — Produto Muito Perigoso ao Meio Ambiente</t>
        </is>
      </c>
      <c r="Q465" s="9" t="n">
        <v>24</v>
      </c>
      <c r="R465" s="7" t="inlineStr">
        <is>
          <t>Terrestre / Aérea (Drones consultar bula)</t>
        </is>
      </c>
      <c r="S465" s="7" t="inlineStr">
        <is>
          <t>Atropina (agonista antimuscarínico) e Pralidoxima (reativador de colinesterase)</t>
        </is>
      </c>
      <c r="T465" s="7" t="inlineStr">
        <is>
          <t>SHARDA DO BRASIL COMÉRCIO DE PRODUTOS QUÍMICOS E AGROQUÍMICOS LTDA.</t>
        </is>
      </c>
      <c r="U465" s="10">
        <f>HYPERLINK("https://www.adapar.pr.gov.br/system/files/publico/Agrotoxicos/lista.pdf", "Registro Oficial Clorpiri 480 EC (MAPA 45419)")</f>
        <v/>
      </c>
    </row>
    <row r="466" ht="22" customHeight="1">
      <c r="A466" s="11" t="n">
        <v>461</v>
      </c>
      <c r="B466" s="12" t="inlineStr">
        <is>
          <t>Nº 33424</t>
        </is>
      </c>
      <c r="C466" s="13" t="inlineStr">
        <is>
          <t>SANKARI 4X5L (IMP) GX</t>
        </is>
      </c>
      <c r="D466" s="14" t="inlineStr">
        <is>
          <t>SANKARI</t>
        </is>
      </c>
      <c r="E466" s="13" t="inlineStr">
        <is>
          <t>Produto Formulado Comercial</t>
        </is>
      </c>
      <c r="F466" s="13" t="inlineStr">
        <is>
          <t>Defensivos</t>
        </is>
      </c>
      <c r="G466" s="13" t="inlineStr">
        <is>
          <t>Herbicida / Dessecante de Contato</t>
        </is>
      </c>
      <c r="H466" s="13" t="inlineStr">
        <is>
          <t>EC</t>
        </is>
      </c>
      <c r="I466" s="13" t="inlineStr">
        <is>
          <t>Concentrado Emulsionável (EC)</t>
        </is>
      </c>
      <c r="J466" s="13" t="inlineStr">
        <is>
          <t>Inseticida/acaricida de contato e ingestão</t>
        </is>
      </c>
      <c r="K466" s="13" t="inlineStr">
        <is>
          <t>Ácido Graxo Carboxílico (Bio-herbicida)</t>
        </is>
      </c>
      <c r="L466" s="13" t="inlineStr">
        <is>
          <t>HRAC Grupo Z (0) — Herbicida de Contato Dessecante</t>
        </is>
      </c>
      <c r="M466" s="13" t="inlineStr">
        <is>
          <t>Ruptura física da cutícula cerosa e desestruturação de membranas celulares</t>
        </is>
      </c>
      <c r="N466" s="13" t="inlineStr">
        <is>
          <t>Categoria 3 / 4 — Moderadamente a Pouco Tóxico</t>
        </is>
      </c>
      <c r="O466" s="13" t="inlineStr">
        <is>
          <t>Amarelo / Azul</t>
        </is>
      </c>
      <c r="P466" s="13" t="inlineStr">
        <is>
          <t>Classe II — Produto Muito Perigoso ao Meio Ambiente</t>
        </is>
      </c>
      <c r="Q466" s="15" t="n">
        <v>24</v>
      </c>
      <c r="R466" s="13" t="inlineStr">
        <is>
          <t>Terrestre / Aérea (Drones consultar bula)</t>
        </is>
      </c>
      <c r="S466" s="13" t="inlineStr">
        <is>
          <t>Tratamento sintomático conforme grupo químico na bula</t>
        </is>
      </c>
      <c r="T466" s="13" t="inlineStr">
        <is>
          <t>GLOBACHEM PROTEÇÃO DE CULTIVOS DO BRASIL LTDA.</t>
        </is>
      </c>
      <c r="U466" s="16">
        <f>HYPERLINK("https://www.adapar.pr.gov.br/Pagina/Agrotoxicos-Herbicidas", "Registro Oficial Sankari EC (MAPA 33424)")</f>
        <v/>
      </c>
    </row>
    <row r="467" ht="22" customHeight="1">
      <c r="A467" s="5" t="n">
        <v>462</v>
      </c>
      <c r="B467" s="6" t="inlineStr">
        <is>
          <t>Nº 37624</t>
        </is>
      </c>
      <c r="C467" s="7" t="inlineStr">
        <is>
          <t>SIGOLI 4X5L (IMP) GX</t>
        </is>
      </c>
      <c r="D467" s="8" t="inlineStr">
        <is>
          <t>SIGOLI</t>
        </is>
      </c>
      <c r="E467" s="7" t="inlineStr">
        <is>
          <t>Produto Formulado Comercial</t>
        </is>
      </c>
      <c r="F467" s="7" t="inlineStr">
        <is>
          <t>Defensivos</t>
        </is>
      </c>
      <c r="G467" s="7" t="inlineStr">
        <is>
          <t>Herbicida / Dessecante de Contato</t>
        </is>
      </c>
      <c r="H467" s="7" t="inlineStr">
        <is>
          <t>EC</t>
        </is>
      </c>
      <c r="I467" s="7" t="inlineStr">
        <is>
          <t>Concentrado Emulsionável (EC)</t>
        </is>
      </c>
      <c r="J467" s="7" t="inlineStr">
        <is>
          <t>Inseticida/acaricida de contato e ingestão</t>
        </is>
      </c>
      <c r="K467" s="7" t="inlineStr">
        <is>
          <t>Ácido Graxo Carboxílico (Bio-herbicida)</t>
        </is>
      </c>
      <c r="L467" s="7" t="inlineStr">
        <is>
          <t>HRAC Grupo Z (0) — Herbicida de Contato Dessecante</t>
        </is>
      </c>
      <c r="M467" s="7" t="inlineStr">
        <is>
          <t>Ruptura física da cutícula cerosa e desestruturação de membranas celulares</t>
        </is>
      </c>
      <c r="N467" s="7" t="inlineStr">
        <is>
          <t>Categoria 3 / 4 — Moderadamente a Pouco Tóxico</t>
        </is>
      </c>
      <c r="O467" s="7" t="inlineStr">
        <is>
          <t>Amarelo / Azul</t>
        </is>
      </c>
      <c r="P467" s="7" t="inlineStr">
        <is>
          <t>Classe II — Produto Muito Perigoso ao Meio Ambiente</t>
        </is>
      </c>
      <c r="Q467" s="9" t="n">
        <v>24</v>
      </c>
      <c r="R467" s="7" t="inlineStr">
        <is>
          <t>Terrestre / Aérea (Drones consultar bula)</t>
        </is>
      </c>
      <c r="S467" s="7" t="inlineStr">
        <is>
          <t>Tratamento sintomático conforme grupo químico na bula</t>
        </is>
      </c>
      <c r="T467" s="7" t="inlineStr">
        <is>
          <t>GLOBACHEM PROTEÇÃO DE CULTIVOS DO BRASIL LTDA.</t>
        </is>
      </c>
      <c r="U467" s="10">
        <f>HYPERLINK("https://www.adapar.pr.gov.br/Pagina/Agrotoxicos-Herbicidas", "Registro Oficial Sigoli EC (MAPA 37624)")</f>
        <v/>
      </c>
    </row>
    <row r="468" ht="22" customHeight="1">
      <c r="A468" s="11" t="n">
        <v>463</v>
      </c>
      <c r="B468" s="12" t="inlineStr">
        <is>
          <t>Nº 34122</t>
        </is>
      </c>
      <c r="C468" s="13" t="inlineStr">
        <is>
          <t>DURAX 1X20L (IMP)</t>
        </is>
      </c>
      <c r="D468" s="14" t="inlineStr">
        <is>
          <t>DURAX</t>
        </is>
      </c>
      <c r="E468" s="13" t="inlineStr">
        <is>
          <t>Produto Formulado Comercial</t>
        </is>
      </c>
      <c r="F468" s="13" t="inlineStr">
        <is>
          <t>Defensivos</t>
        </is>
      </c>
      <c r="G468" s="13" t="inlineStr">
        <is>
          <t>Herbicida</t>
        </is>
      </c>
      <c r="H468" s="13" t="inlineStr">
        <is>
          <t>EC</t>
        </is>
      </c>
      <c r="I468" s="13" t="inlineStr">
        <is>
          <t>Concentrado Emulsionável (EC)</t>
        </is>
      </c>
      <c r="J468" s="13" t="inlineStr">
        <is>
          <t>Herbicida seletivo pré-emergente sistêmico</t>
        </is>
      </c>
      <c r="K468" s="13" t="inlineStr">
        <is>
          <t>Cloroacetanilida</t>
        </is>
      </c>
      <c r="L468" s="13" t="inlineStr">
        <is>
          <t>HRAC Grupo K3 (15) — Inibidores de VLCFAs</t>
        </is>
      </c>
      <c r="M468" s="13" t="inlineStr">
        <is>
          <t>Inibidores da síntese de ácidos graxos de cadeia muito longa (divisão celular)</t>
        </is>
      </c>
      <c r="N468" s="13" t="inlineStr">
        <is>
          <t>Categoria 4 — Produto Pouco Tóxico</t>
        </is>
      </c>
      <c r="O468" s="13" t="inlineStr">
        <is>
          <t>Azul PMS Blue 293 C</t>
        </is>
      </c>
      <c r="P468" s="13" t="inlineStr">
        <is>
          <t>Classe II — Produto Muito Perigoso ao Meio Ambiente</t>
        </is>
      </c>
      <c r="Q468" s="15" t="n">
        <v>24</v>
      </c>
      <c r="R468" s="13" t="inlineStr">
        <is>
          <t>Terrestre / Aérea (Drones consultar bula)</t>
        </is>
      </c>
      <c r="S468" s="13" t="inlineStr">
        <is>
          <t>Sem antídoto específico; tratamento sintomático</t>
        </is>
      </c>
      <c r="T468" s="13" t="inlineStr">
        <is>
          <t>RAINBOW DEFENSIVOS AGRÍCOLAS LTDA.</t>
        </is>
      </c>
      <c r="U468" s="16">
        <f>HYPERLINK("https://agrofit.agricultura.gov.br/agrofit_cons/principal_agrofit_cons", "Consulta Oficial AGROFIT/MAPA (Nº 34122)")</f>
        <v/>
      </c>
    </row>
    <row r="469" ht="22" customHeight="1">
      <c r="A469" s="5" t="n">
        <v>464</v>
      </c>
      <c r="B469" s="6" t="inlineStr">
        <is>
          <t>Nº 1223</t>
        </is>
      </c>
      <c r="C469" s="7" t="inlineStr">
        <is>
          <t>FULLGUARD 20L (IMP)</t>
        </is>
      </c>
      <c r="D469" s="8" t="inlineStr">
        <is>
          <t>FULLGUARD</t>
        </is>
      </c>
      <c r="E469" s="7" t="inlineStr">
        <is>
          <t>Produto Formulado Comercial</t>
        </is>
      </c>
      <c r="F469" s="7" t="inlineStr">
        <is>
          <t>Defensivos</t>
        </is>
      </c>
      <c r="G469" s="7" t="inlineStr">
        <is>
          <t>Herbicida</t>
        </is>
      </c>
      <c r="H469" s="7" t="inlineStr">
        <is>
          <t>EC</t>
        </is>
      </c>
      <c r="I469" s="7" t="inlineStr">
        <is>
          <t>Concentrado Emulsionável (EC)</t>
        </is>
      </c>
      <c r="J469" s="7" t="inlineStr">
        <is>
          <t>Herbicida de contato de pós-emergência e desfolhante</t>
        </is>
      </c>
      <c r="K469" s="7" t="inlineStr">
        <is>
          <t>Triazolinona</t>
        </is>
      </c>
      <c r="L469" s="7" t="inlineStr">
        <is>
          <t>HRAC Grupo E (14) — Inibidores da PROTOX</t>
        </is>
      </c>
      <c r="M469" s="7" t="inlineStr">
        <is>
          <t>Inibidores da enzima protoporfirinogênio oxidase (PROTOX)</t>
        </is>
      </c>
      <c r="N469" s="7" t="inlineStr">
        <is>
          <t>Categoria 4 — Produto Pouco Tóxico</t>
        </is>
      </c>
      <c r="O469" s="7" t="inlineStr">
        <is>
          <t>Azul PMS Blue 293 C</t>
        </is>
      </c>
      <c r="P469" s="7" t="inlineStr">
        <is>
          <t>Classe II — Produto Muito Perigoso ao Meio Ambiente</t>
        </is>
      </c>
      <c r="Q469" s="9" t="n">
        <v>24</v>
      </c>
      <c r="R469" s="7" t="inlineStr">
        <is>
          <t>Terrestre / Aérea (Drones consultar bula)</t>
        </is>
      </c>
      <c r="S469" s="7" t="inlineStr">
        <is>
          <t>Sem antídoto específico; tratamento sintomático</t>
        </is>
      </c>
      <c r="T469" s="7" t="inlineStr">
        <is>
          <t>Rainbow Defensivos</t>
        </is>
      </c>
      <c r="U469" s="10">
        <f>HYPERLINK("https://agrofit.agricultura.gov.br/agrofit_cons/principal_agrofit_cons", "Consulta Oficial AGROFIT/MAPA (Nº 1223)")</f>
        <v/>
      </c>
    </row>
    <row r="470" ht="22" customHeight="1">
      <c r="A470" s="11" t="n">
        <v>465</v>
      </c>
      <c r="B470" s="12" t="inlineStr">
        <is>
          <t>Nº 13714</t>
        </is>
      </c>
      <c r="C470" s="13" t="inlineStr">
        <is>
          <t>WIPE OUT 1X20KG (IMP)</t>
        </is>
      </c>
      <c r="D470" s="14" t="inlineStr">
        <is>
          <t>WIPE OUT</t>
        </is>
      </c>
      <c r="E470" s="13" t="inlineStr">
        <is>
          <t>Produto Formulado Comercial</t>
        </is>
      </c>
      <c r="F470" s="13" t="inlineStr">
        <is>
          <t>Defensivos</t>
        </is>
      </c>
      <c r="G470" s="13" t="inlineStr">
        <is>
          <t>Herbicida</t>
        </is>
      </c>
      <c r="H470" s="13" t="inlineStr">
        <is>
          <t>WG</t>
        </is>
      </c>
      <c r="I470" s="13" t="inlineStr">
        <is>
          <t>Grânulos Dispersíveis em Água (WG)</t>
        </is>
      </c>
      <c r="J470" s="13" t="inlineStr">
        <is>
          <t>Herbicida sistêmico de pós-emergência (seletivo condicional p/ OGM)</t>
        </is>
      </c>
      <c r="K470" s="13" t="inlineStr">
        <is>
          <t>Glicina substituída</t>
        </is>
      </c>
      <c r="L470" s="13" t="inlineStr">
        <is>
          <t>HRAC Grupo G (EPSPs)</t>
        </is>
      </c>
      <c r="M470" s="13" t="inlineStr">
        <is>
          <t>Inibidores da enzima EPSPs (Enoil Piruvil Shiquimato Fosfato Sintase)</t>
        </is>
      </c>
      <c r="N470" s="13" t="inlineStr">
        <is>
          <t>Categoria 5 — Produto Improvável de Causar Dano Agudo</t>
        </is>
      </c>
      <c r="O470" s="13" t="inlineStr">
        <is>
          <t>Azul Intenso</t>
        </is>
      </c>
      <c r="P470" s="13" t="inlineStr">
        <is>
          <t>Classe III — Produto Perigoso ao Meio Ambiente</t>
        </is>
      </c>
      <c r="Q470" s="15" t="n">
        <v>24</v>
      </c>
      <c r="R470" s="13" t="inlineStr">
        <is>
          <t>Terrestre / Aérea (Drones consultar bula)</t>
        </is>
      </c>
      <c r="S470" s="13" t="inlineStr">
        <is>
          <t>Sem antídoto específico (Atropina ineficaz); tratamento sintomático</t>
        </is>
      </c>
      <c r="T470" s="13" t="inlineStr">
        <is>
          <t>RAINBOW DEFENSIVOS AGRÍCOLAS LTDA.</t>
        </is>
      </c>
      <c r="U470" s="16">
        <f>HYPERLINK("https://agrofit.agricultura.gov.br/agrofit_cons/principal_agrofit_cons", "Consulta Oficial AGROFIT/MAPA (Nº 13714)")</f>
        <v/>
      </c>
    </row>
    <row r="471" ht="22" customHeight="1">
      <c r="A471" s="5" t="n">
        <v>466</v>
      </c>
      <c r="B471" s="6" t="inlineStr">
        <is>
          <t>Nº 32224</t>
        </is>
      </c>
      <c r="C471" s="7" t="inlineStr">
        <is>
          <t>PYRIPROXYFEN 100 SINO-AGRI 1X20L (IMP) SR</t>
        </is>
      </c>
      <c r="D471" s="8" t="inlineStr">
        <is>
          <t>PYRIPROXYFEN 100 SINO-AGRI</t>
        </is>
      </c>
      <c r="E471" s="7" t="inlineStr">
        <is>
          <t>Produto Formulado Comercial</t>
        </is>
      </c>
      <c r="F471" s="7" t="inlineStr">
        <is>
          <t>Defensivos</t>
        </is>
      </c>
      <c r="G471" s="7" t="inlineStr">
        <is>
          <t>Inseticida</t>
        </is>
      </c>
      <c r="H471" s="7" t="inlineStr">
        <is>
          <t>EC</t>
        </is>
      </c>
      <c r="I471" s="7" t="inlineStr">
        <is>
          <t>Concentrado Emulsionável (EC)</t>
        </is>
      </c>
      <c r="J471" s="7" t="inlineStr">
        <is>
          <t>Inseticida fisiológico regulador de crescimento (contato e translaminar)</t>
        </is>
      </c>
      <c r="K471" s="7" t="inlineStr">
        <is>
          <t>Éter piridiloxipropílico</t>
        </is>
      </c>
      <c r="L471" s="7" t="inlineStr">
        <is>
          <t>IRAC Grupo 7C</t>
        </is>
      </c>
      <c r="M471" s="7" t="inlineStr">
        <is>
          <t>Mimetizadores do hormônio juvenil (Juvenoides)</t>
        </is>
      </c>
      <c r="N471" s="7" t="inlineStr">
        <is>
          <t>Categoria 5 — Produto Improvável de Causar Dano Agudo</t>
        </is>
      </c>
      <c r="O471" s="7" t="inlineStr">
        <is>
          <t>Azul Intenso</t>
        </is>
      </c>
      <c r="P471" s="7" t="inlineStr">
        <is>
          <t>Classe II — Produto Muito Perigoso ao Meio Ambiente</t>
        </is>
      </c>
      <c r="Q471" s="9" t="n">
        <v>24</v>
      </c>
      <c r="R471" s="7" t="inlineStr">
        <is>
          <t>Terrestre / Aérea (Drones consultar bula)</t>
        </is>
      </c>
      <c r="S471" s="7" t="inlineStr">
        <is>
          <t>Sem antídoto específico; tratamento sintomático</t>
        </is>
      </c>
      <c r="T471" s="7" t="inlineStr">
        <is>
          <t>SINO-AGRI LEADING BIOSCIENCES DO BRASIL / INOVATIS LTDA.</t>
        </is>
      </c>
      <c r="U471" s="10">
        <f>HYPERLINK("https://agrofit.agricultura.gov.br/agrofit_cons/principal_agrofit_cons", "Consulta Oficial AGROFIT/MAPA (Nº 32224)")</f>
        <v/>
      </c>
    </row>
    <row r="472" ht="22" customHeight="1">
      <c r="A472" s="11" t="n">
        <v>467</v>
      </c>
      <c r="B472" s="12" t="inlineStr">
        <is>
          <t>Nº 15925</t>
        </is>
      </c>
      <c r="C472" s="13" t="inlineStr">
        <is>
          <t>CHETTAK GOLD 4X5KG (IMP) GG</t>
        </is>
      </c>
      <c r="D472" s="14" t="inlineStr">
        <is>
          <t>CHETTAK GOLD</t>
        </is>
      </c>
      <c r="E472" s="13" t="inlineStr">
        <is>
          <t>Produto Formulado Comercial</t>
        </is>
      </c>
      <c r="F472" s="13" t="inlineStr">
        <is>
          <t>Defensivos</t>
        </is>
      </c>
      <c r="G472" s="13" t="inlineStr">
        <is>
          <t>Inseticida</t>
        </is>
      </c>
      <c r="H472" s="13" t="inlineStr">
        <is>
          <t>SG</t>
        </is>
      </c>
      <c r="I472" s="13" t="inlineStr">
        <is>
          <t>Grânulos Solúveis em Água (SG)</t>
        </is>
      </c>
      <c r="J472" s="13" t="inlineStr">
        <is>
          <t>Inseticida e acaricida sistêmico de contato e ingestão</t>
        </is>
      </c>
      <c r="K472" s="13" t="inlineStr">
        <is>
          <t>Organofosforado</t>
        </is>
      </c>
      <c r="L472" s="13" t="inlineStr">
        <is>
          <t>IRAC Grupo 1B</t>
        </is>
      </c>
      <c r="M472" s="13" t="inlineStr">
        <is>
          <t>Inibidores da enzima acetilcolinesterase (AChE)</t>
        </is>
      </c>
      <c r="N472" s="13" t="inlineStr">
        <is>
          <t>Categoria 4 — Produto Pouco Tóxico</t>
        </is>
      </c>
      <c r="O472" s="13" t="inlineStr">
        <is>
          <t>Azul PMS Blue 293 C</t>
        </is>
      </c>
      <c r="P472" s="13" t="inlineStr">
        <is>
          <t>Classe III — Produto Perigoso ao Meio Ambiente</t>
        </is>
      </c>
      <c r="Q472" s="15" t="n">
        <v>24</v>
      </c>
      <c r="R472" s="13" t="inlineStr">
        <is>
          <t>Terrestre / Aérea (Drones consultar bula)</t>
        </is>
      </c>
      <c r="S472" s="13" t="inlineStr">
        <is>
          <t>Sulfato de Atropina e Pralidoxima (Contrathion)</t>
        </is>
      </c>
      <c r="T472" s="13" t="inlineStr">
        <is>
          <t>SHARDA DO BRASIL COMÉRCIO DE PRODUTOS QUÍMICOS E AGROQUÍMICOS LTDA.</t>
        </is>
      </c>
      <c r="U472" s="16">
        <f>HYPERLINK("https://www.adapar.pr.gov.br/system/files/publico/Agrotoxicos/lista.pdf", "Registro Oficial Chettak Gold 970 SG (MAPA 15925)")</f>
        <v/>
      </c>
    </row>
    <row r="473" ht="22" customHeight="1">
      <c r="A473" s="5" t="n">
        <v>468</v>
      </c>
      <c r="B473" s="6" t="inlineStr">
        <is>
          <t>SIPEAGRO (UF-XXXXX)</t>
        </is>
      </c>
      <c r="C473" s="7" t="inlineStr">
        <is>
          <t>NPK 05-30-10 BB MCF (TON) (AGENCIADA)</t>
        </is>
      </c>
      <c r="D473" s="8" t="inlineStr">
        <is>
          <t>NPK 05-30-10 BB MCF (TON) (AGENCIADA)</t>
        </is>
      </c>
      <c r="E473" s="7" t="inlineStr">
        <is>
          <t>Fertilizante Mineral / Organomineral</t>
        </is>
      </c>
      <c r="F473" s="7" t="inlineStr">
        <is>
          <t>Fertilizantes</t>
        </is>
      </c>
      <c r="G473" s="7" t="inlineStr">
        <is>
          <t>Fertilizante Mineral Misto (NPK / NP)</t>
        </is>
      </c>
      <c r="H473" s="7" t="inlineStr">
        <is>
          <t>Granulado</t>
        </is>
      </c>
      <c r="I473" s="7" t="inlineStr">
        <is>
          <t>Formulação Padrão (Granulado / Solúvel / Suspensão)</t>
        </is>
      </c>
      <c r="J473" s="7" t="inlineStr">
        <is>
          <t>Aplicação via solo, fertirrigação ou adubação foliar</t>
        </is>
      </c>
      <c r="K473" s="7" t="inlineStr">
        <is>
          <t>Fertilizante Mineral / Organomineral (Lei nº 6.894/1980)</t>
        </is>
      </c>
      <c r="L473" s="7" t="inlineStr">
        <is>
          <t>Nutrição Vegetal SIPEAGRO</t>
        </is>
      </c>
      <c r="M473" s="7" t="inlineStr">
        <is>
          <t>Fornecimento de macro e micronutrientes essenciais ao metabolismo vegetal</t>
        </is>
      </c>
      <c r="N473" s="7" t="inlineStr">
        <is>
          <t>Isento ANVISA (Produto Fertilizante Registrado no SIPEAGRO/MAPA)</t>
        </is>
      </c>
      <c r="O473" s="7" t="inlineStr">
        <is>
          <t>Não Aplicável (Fertilizante)</t>
        </is>
      </c>
      <c r="P473" s="7" t="inlineStr">
        <is>
          <t>Baixo Potencial Poluidor (Uso conforme recomendação agronômica)</t>
        </is>
      </c>
      <c r="Q473" s="9" t="n">
        <v>0</v>
      </c>
      <c r="R473" s="7" t="inlineStr">
        <is>
          <t>Aplicação Dirigida / TS / Solo</t>
        </is>
      </c>
      <c r="S473" s="7" t="inlineStr">
        <is>
          <t>Tratamento sintomático em caso de ingestão acidental</t>
        </is>
      </c>
      <c r="T473" s="7" t="inlineStr">
        <is>
          <t>Estabelecimento Produtor SIPEAGRO/MAPA</t>
        </is>
      </c>
      <c r="U473" s="10">
        <f>HYPERLINK("https://www.gov.br/agricultura/pt-br/assuntos/insumos-agropecuarios/insumos-agricolas/fertilizantes", "Portal SIPEAGRO / MAPA — Fertilizantes e Bioinsumos")</f>
        <v/>
      </c>
    </row>
    <row r="474" ht="22" customHeight="1">
      <c r="A474" s="11" t="n">
        <v>469</v>
      </c>
      <c r="B474" s="12" t="inlineStr">
        <is>
          <t>SIPEAGRO (UF-XXXXX)</t>
        </is>
      </c>
      <c r="C474" s="13" t="inlineStr">
        <is>
          <t>NPK 20-00-20 (TON) (AGENCIADA)</t>
        </is>
      </c>
      <c r="D474" s="14" t="inlineStr">
        <is>
          <t>NPK 20-00-20 (TON) (AGENCIADA)</t>
        </is>
      </c>
      <c r="E474" s="13" t="inlineStr">
        <is>
          <t>Fertilizante Mineral / Organomineral</t>
        </is>
      </c>
      <c r="F474" s="13" t="inlineStr">
        <is>
          <t>Fertilizantes</t>
        </is>
      </c>
      <c r="G474" s="13" t="inlineStr">
        <is>
          <t>Fertilizante Mineral Misto (NPK / NP)</t>
        </is>
      </c>
      <c r="H474" s="13" t="inlineStr">
        <is>
          <t>Granulado</t>
        </is>
      </c>
      <c r="I474" s="13" t="inlineStr">
        <is>
          <t>Formulação Padrão (Granulado / Solúvel / Suspensão)</t>
        </is>
      </c>
      <c r="J474" s="13" t="inlineStr">
        <is>
          <t>Aplicação via solo, fertirrigação ou adubação foliar</t>
        </is>
      </c>
      <c r="K474" s="13" t="inlineStr">
        <is>
          <t>Fertilizante Mineral / Organomineral (Lei nº 6.894/1980)</t>
        </is>
      </c>
      <c r="L474" s="13" t="inlineStr">
        <is>
          <t>Nutrição Vegetal SIPEAGRO</t>
        </is>
      </c>
      <c r="M474" s="13" t="inlineStr">
        <is>
          <t>Fornecimento de macro e micronutrientes essenciais ao metabolismo vegetal</t>
        </is>
      </c>
      <c r="N474" s="13" t="inlineStr">
        <is>
          <t>Isento ANVISA (Produto Fertilizante Registrado no SIPEAGRO/MAPA)</t>
        </is>
      </c>
      <c r="O474" s="13" t="inlineStr">
        <is>
          <t>Não Aplicável (Fertilizante)</t>
        </is>
      </c>
      <c r="P474" s="13" t="inlineStr">
        <is>
          <t>Baixo Potencial Poluidor (Uso conforme recomendação agronômica)</t>
        </is>
      </c>
      <c r="Q474" s="15" t="n">
        <v>0</v>
      </c>
      <c r="R474" s="13" t="inlineStr">
        <is>
          <t>Aplicação Dirigida / TS / Solo</t>
        </is>
      </c>
      <c r="S474" s="13" t="inlineStr">
        <is>
          <t>Tratamento sintomático em caso de ingestão acidental</t>
        </is>
      </c>
      <c r="T474" s="13" t="inlineStr">
        <is>
          <t>Estabelecimento Produtor SIPEAGRO/MAPA</t>
        </is>
      </c>
      <c r="U474" s="16">
        <f>HYPERLINK("https://www.gov.br/agricultura/pt-br/assuntos/insumos-agropecuarios/insumos-agricolas/fertilizantes", "Portal SIPEAGRO / MAPA — Fertilizantes e Bioinsumos")</f>
        <v/>
      </c>
    </row>
    <row r="475" ht="22" customHeight="1">
      <c r="A475" s="5" t="n">
        <v>470</v>
      </c>
      <c r="B475" s="6" t="inlineStr">
        <is>
          <t>Nº 23922</t>
        </is>
      </c>
      <c r="C475" s="7" t="inlineStr">
        <is>
          <t>GRASIDIM FULL 4X5L (IMP) AW</t>
        </is>
      </c>
      <c r="D475" s="8" t="inlineStr">
        <is>
          <t>GRASIDIM FULL</t>
        </is>
      </c>
      <c r="E475" s="7" t="inlineStr">
        <is>
          <t>Produto Formulado Comercial</t>
        </is>
      </c>
      <c r="F475" s="7" t="inlineStr">
        <is>
          <t>Defensivos</t>
        </is>
      </c>
      <c r="G475" s="7" t="inlineStr">
        <is>
          <t>Herbicida</t>
        </is>
      </c>
      <c r="H475" s="7" t="inlineStr">
        <is>
          <t>EC</t>
        </is>
      </c>
      <c r="I475" s="7" t="inlineStr">
        <is>
          <t>Concentrado Emulsionável (EC)</t>
        </is>
      </c>
      <c r="J475" s="7" t="inlineStr">
        <is>
          <t>Herbicida graminicida sistêmico seletivo de pós-emergência</t>
        </is>
      </c>
      <c r="K475" s="7" t="inlineStr">
        <is>
          <t>Oxima ciclohexanodiona (DIM)</t>
        </is>
      </c>
      <c r="L475" s="7" t="inlineStr">
        <is>
          <t>HRAC Grupo A (1) — Inibidores da ACCase</t>
        </is>
      </c>
      <c r="M475" s="7" t="inlineStr">
        <is>
          <t>Inibidores da Acetil CoA Carboxilase (ACCase)</t>
        </is>
      </c>
      <c r="N475" s="7" t="inlineStr">
        <is>
          <t>Categoria 5 — Produto Improvável de Causar Dano Agudo</t>
        </is>
      </c>
      <c r="O475" s="7" t="inlineStr">
        <is>
          <t>Azul Intenso</t>
        </is>
      </c>
      <c r="P475" s="7" t="inlineStr">
        <is>
          <t>Classe III — Produto Perigoso ao Meio Ambiente</t>
        </is>
      </c>
      <c r="Q475" s="9" t="n">
        <v>24</v>
      </c>
      <c r="R475" s="7" t="inlineStr">
        <is>
          <t>Terrestre / Aérea (Drones consultar bula)</t>
        </is>
      </c>
      <c r="S475" s="7" t="inlineStr">
        <is>
          <t>Sem antídoto específico; tratamento sintomático</t>
        </is>
      </c>
      <c r="T475" s="7" t="inlineStr">
        <is>
          <t>RAINBOW DEFENSIVOS AGRÍCOLAS LTDA.</t>
        </is>
      </c>
      <c r="U475" s="10">
        <f>HYPERLINK("https://agrofit.agricultura.gov.br/agrofit_cons/principal_agrofit_cons", "Consulta Oficial AGROFIT/MAPA (Nº 23922)")</f>
        <v/>
      </c>
    </row>
    <row r="476" ht="22" customHeight="1">
      <c r="A476" s="11" t="n">
        <v>471</v>
      </c>
      <c r="B476" s="12" t="inlineStr">
        <is>
          <t>Nº 31522</t>
        </is>
      </c>
      <c r="C476" s="13" t="inlineStr">
        <is>
          <t>METOMY 900 4X5KG (IMP) RS</t>
        </is>
      </c>
      <c r="D476" s="14" t="inlineStr">
        <is>
          <t>METOMY 900</t>
        </is>
      </c>
      <c r="E476" s="13" t="inlineStr">
        <is>
          <t>Produto Formulado Comercial</t>
        </is>
      </c>
      <c r="F476" s="13" t="inlineStr">
        <is>
          <t>Defensivos</t>
        </is>
      </c>
      <c r="G476" s="13" t="inlineStr">
        <is>
          <t>Inseticida</t>
        </is>
      </c>
      <c r="H476" s="13" t="inlineStr">
        <is>
          <t>SP</t>
        </is>
      </c>
      <c r="I476" s="13" t="inlineStr">
        <is>
          <t>Pó Solúvel em Água (SP)</t>
        </is>
      </c>
      <c r="J476" s="13" t="inlineStr">
        <is>
          <t>Inseticida sistêmico de contato e ingestão com efeito ovicida/larvicida</t>
        </is>
      </c>
      <c r="K476" s="13" t="inlineStr">
        <is>
          <t>Metilcarbamato de oxima</t>
        </is>
      </c>
      <c r="L476" s="13" t="inlineStr">
        <is>
          <t>IRAC Grupo 1A</t>
        </is>
      </c>
      <c r="M476" s="13" t="inlineStr">
        <is>
          <t>Inibidores reversíveis da enzima acetilcolinesterase (AChE)</t>
        </is>
      </c>
      <c r="N476" s="13" t="inlineStr">
        <is>
          <t>Categoria 2 — Produto Altamente Tóxico</t>
        </is>
      </c>
      <c r="O476" s="13" t="inlineStr">
        <is>
          <t>Vermelho PMS Red 199 C</t>
        </is>
      </c>
      <c r="P476" s="13" t="inlineStr">
        <is>
          <t>Classe II — Produto Muito Perigoso ao Meio Ambiente</t>
        </is>
      </c>
      <c r="Q476" s="15" t="n">
        <v>24</v>
      </c>
      <c r="R476" s="13" t="inlineStr">
        <is>
          <t>Terrestre / Aérea (Drones consultar bula)</t>
        </is>
      </c>
      <c r="S476" s="13" t="inlineStr">
        <is>
          <t>Sulfato de Atropina (antídoto específico; NÃO administrar oximas/pralidoxima em carbamatos)</t>
        </is>
      </c>
      <c r="T476" s="13" t="inlineStr">
        <is>
          <t>RAINBOW DEFENSIVOS AGRÍCOLAS LTDA.</t>
        </is>
      </c>
      <c r="U476" s="16">
        <f>HYPERLINK("https://agrofit.agricultura.gov.br/agrofit_cons/principal_agrofit_cons", "Consulta Oficial AGROFIT/MAPA (Nº 31522)")</f>
        <v/>
      </c>
    </row>
    <row r="477" ht="22" customHeight="1">
      <c r="A477" s="5" t="n">
        <v>472</v>
      </c>
      <c r="B477" s="6" t="inlineStr">
        <is>
          <t>SIPEAGRO (UF-XXXXX)</t>
        </is>
      </c>
      <c r="C477" s="7" t="inlineStr">
        <is>
          <t>BORO ULEXITA (TON) (AGENCIADA)</t>
        </is>
      </c>
      <c r="D477" s="8" t="inlineStr">
        <is>
          <t>BORO ULEXITA (TON) (AGENCIADA)</t>
        </is>
      </c>
      <c r="E477" s="7" t="inlineStr">
        <is>
          <t>Corretivo / Condicionador de Solo</t>
        </is>
      </c>
      <c r="F477" s="7" t="inlineStr">
        <is>
          <t>Corretivos e Condicionadores de Solo</t>
        </is>
      </c>
      <c r="G477" s="7" t="inlineStr">
        <is>
          <t>Fonte Mineral de Boro (Ulexita Natural)</t>
        </is>
      </c>
      <c r="H477" s="7" t="inlineStr">
        <is>
          <t>Pó</t>
        </is>
      </c>
      <c r="I477" s="7" t="inlineStr">
        <is>
          <t>Formulação Padrão (Pó / Granulado / Pastilhado)</t>
        </is>
      </c>
      <c r="J477" s="7" t="inlineStr">
        <is>
          <t>Incorporação ou aplicação em área total no solo</t>
        </is>
      </c>
      <c r="K477" s="7" t="inlineStr">
        <is>
          <t>Corretivo de Acidez / Condicionador de Solo (SIPEAGRO)</t>
        </is>
      </c>
      <c r="L477" s="7" t="inlineStr">
        <is>
          <t>Correção Química de Solo</t>
        </is>
      </c>
      <c r="M477" s="7" t="inlineStr">
        <is>
          <t>Neutralização de Al3+ tóxico e fornecimento de Ca2+, Mg2+, S ou B</t>
        </is>
      </c>
      <c r="N477" s="7" t="inlineStr">
        <is>
          <t>Isento ANVISA (Corretivo Agrícola SIPEAGRO)</t>
        </is>
      </c>
      <c r="O477" s="7" t="inlineStr">
        <is>
          <t>Não Aplicável</t>
        </is>
      </c>
      <c r="P477" s="7" t="inlineStr">
        <is>
          <t>Produto Mineral Natural</t>
        </is>
      </c>
      <c r="Q477" s="9" t="n">
        <v>24</v>
      </c>
      <c r="R477" s="7" t="inlineStr">
        <is>
          <t>Terrestre / Aérea (Drones consultar bula)</t>
        </is>
      </c>
      <c r="S477" s="7" t="inlineStr">
        <is>
          <t>Tratamento sintomático</t>
        </is>
      </c>
      <c r="T477" s="7" t="inlineStr">
        <is>
          <t>Estabelecimento Produtor SIPEAGRO/MAPA</t>
        </is>
      </c>
      <c r="U477" s="10">
        <f>HYPERLINK("https://www.gov.br/agricultura/pt-br/assuntos/insumos-agropecuarios/insumos-agricolas/fertilizantes", "Portal SIPEAGRO / MAPA — Fertilizantes e Bioinsumos")</f>
        <v/>
      </c>
    </row>
    <row r="478" ht="22" customHeight="1">
      <c r="A478" s="11" t="n">
        <v>473</v>
      </c>
      <c r="B478" s="12" t="inlineStr">
        <is>
          <t>SIPEAGRO (UF-XXXXX)</t>
        </is>
      </c>
      <c r="C478" s="13" t="inlineStr">
        <is>
          <t>BORO ULEXITA (TON) (IMP)</t>
        </is>
      </c>
      <c r="D478" s="14" t="inlineStr">
        <is>
          <t>BORO ULEXITA (TON) (IMP)</t>
        </is>
      </c>
      <c r="E478" s="13" t="inlineStr">
        <is>
          <t>Corretivo / Condicionador de Solo</t>
        </is>
      </c>
      <c r="F478" s="13" t="inlineStr">
        <is>
          <t>Corretivos e Condicionadores de Solo</t>
        </is>
      </c>
      <c r="G478" s="13" t="inlineStr">
        <is>
          <t>Fonte Mineral de Boro (Ulexita Natural)</t>
        </is>
      </c>
      <c r="H478" s="13" t="inlineStr">
        <is>
          <t>Pó</t>
        </is>
      </c>
      <c r="I478" s="13" t="inlineStr">
        <is>
          <t>Formulação Padrão (Pó / Granulado / Pastilhado)</t>
        </is>
      </c>
      <c r="J478" s="13" t="inlineStr">
        <is>
          <t>Incorporação ou aplicação em área total no solo</t>
        </is>
      </c>
      <c r="K478" s="13" t="inlineStr">
        <is>
          <t>Corretivo de Acidez / Condicionador de Solo (SIPEAGRO)</t>
        </is>
      </c>
      <c r="L478" s="13" t="inlineStr">
        <is>
          <t>Correção Química de Solo</t>
        </is>
      </c>
      <c r="M478" s="13" t="inlineStr">
        <is>
          <t>Neutralização de Al3+ tóxico e fornecimento de Ca2+, Mg2+, S ou B</t>
        </is>
      </c>
      <c r="N478" s="13" t="inlineStr">
        <is>
          <t>Isento ANVISA (Corretivo Agrícola SIPEAGRO)</t>
        </is>
      </c>
      <c r="O478" s="13" t="inlineStr">
        <is>
          <t>Não Aplicável</t>
        </is>
      </c>
      <c r="P478" s="13" t="inlineStr">
        <is>
          <t>Produto Mineral Natural</t>
        </is>
      </c>
      <c r="Q478" s="15" t="n">
        <v>24</v>
      </c>
      <c r="R478" s="13" t="inlineStr">
        <is>
          <t>Terrestre / Aérea (Drones consultar bula)</t>
        </is>
      </c>
      <c r="S478" s="13" t="inlineStr">
        <is>
          <t>Tratamento sintomático</t>
        </is>
      </c>
      <c r="T478" s="13" t="inlineStr">
        <is>
          <t>Estabelecimento Produtor SIPEAGRO/MAPA</t>
        </is>
      </c>
      <c r="U478" s="16">
        <f>HYPERLINK("https://www.gov.br/agricultura/pt-br/assuntos/insumos-agropecuarios/insumos-agricolas/fertilizantes", "Portal SIPEAGRO / MAPA — Fertilizantes e Bioinsumos")</f>
        <v/>
      </c>
    </row>
    <row r="479" ht="22" customHeight="1">
      <c r="A479" s="5" t="n">
        <v>474</v>
      </c>
      <c r="B479" s="6" t="inlineStr">
        <is>
          <t>Nº 20920</t>
        </is>
      </c>
      <c r="C479" s="7" t="inlineStr">
        <is>
          <t>TERBUTILAZINA 500 (PRINCIPIO ATIVO)</t>
        </is>
      </c>
      <c r="D479" s="8" t="inlineStr">
        <is>
          <t>TERBUTILAZINA 500 (PRINCIPIO ATIVO)</t>
        </is>
      </c>
      <c r="E479" s="7" t="inlineStr">
        <is>
          <t>Produto Técnico Industrial</t>
        </is>
      </c>
      <c r="F479" s="7" t="inlineStr">
        <is>
          <t>Defensivos</t>
        </is>
      </c>
      <c r="G479" s="7" t="inlineStr">
        <is>
          <t>Herbicida (Princípio Ativo / Técnico)</t>
        </is>
      </c>
      <c r="H479" s="7" t="inlineStr">
        <is>
          <t>TC</t>
        </is>
      </c>
      <c r="I479" s="7" t="inlineStr">
        <is>
          <t>Produto Técnico Industrial (TC)</t>
        </is>
      </c>
      <c r="J479" s="7" t="inlineStr">
        <is>
          <t>Herbicida de pré ou pós-emergência</t>
        </is>
      </c>
      <c r="K479" s="7" t="inlineStr">
        <is>
          <t>Triazina (Clorotriazina)</t>
        </is>
      </c>
      <c r="L479" s="7" t="inlineStr">
        <is>
          <t>HRAC Grupo C1 (5) — Inibidores do Fotossistema II</t>
        </is>
      </c>
      <c r="M479" s="7" t="inlineStr">
        <is>
          <t>Inibição do transporte de elétrons no Fotossistema II</t>
        </is>
      </c>
      <c r="N479" s="7" t="inlineStr">
        <is>
          <t>Categoria 4 / 5 — Pouco Tóxico (Conforme Bula ANVISA)</t>
        </is>
      </c>
      <c r="O479" s="7" t="inlineStr">
        <is>
          <t>Azul PMS Blue 293 C</t>
        </is>
      </c>
      <c r="P479" s="7" t="inlineStr">
        <is>
          <t>Classe II / III — Perigoso ao Meio Ambiente</t>
        </is>
      </c>
      <c r="Q479" s="9" t="n">
        <v>24</v>
      </c>
      <c r="R479" s="7" t="inlineStr">
        <is>
          <t>Terrestre / Aérea (Drones consultar bula)</t>
        </is>
      </c>
      <c r="S479" s="7" t="inlineStr">
        <is>
          <t>Sem antídoto específico; tratamento sintomático e descontaminação</t>
        </is>
      </c>
      <c r="T479" s="7" t="inlineStr">
        <is>
          <t>SIPCAM NICHINO BRASIL S.A.</t>
        </is>
      </c>
      <c r="U479" s="10">
        <f>HYPERLINK("https://www.adapar.pr.gov.br/Pagina/Agrotoxicos-Herbicidas", "Registro Oficial Click 500 SC (MAPA 20920)")</f>
        <v/>
      </c>
    </row>
    <row r="480" ht="22" customHeight="1">
      <c r="A480" s="11" t="n">
        <v>475</v>
      </c>
      <c r="B480" s="12" t="inlineStr">
        <is>
          <t>Nº 3623</t>
        </is>
      </c>
      <c r="C480" s="13" t="inlineStr">
        <is>
          <t>SUNGAIN PLUS 4X5(IMP)</t>
        </is>
      </c>
      <c r="D480" s="14" t="inlineStr">
        <is>
          <t>SUNGAIN PLUS 4X5(IMP)</t>
        </is>
      </c>
      <c r="E480" s="13" t="inlineStr">
        <is>
          <t>Produto Formulado Comercial</t>
        </is>
      </c>
      <c r="F480" s="13" t="inlineStr">
        <is>
          <t>Defensivos</t>
        </is>
      </c>
      <c r="G480" s="13" t="inlineStr">
        <is>
          <t>Herbicida</t>
        </is>
      </c>
      <c r="H480" s="13" t="inlineStr">
        <is>
          <t>WG</t>
        </is>
      </c>
      <c r="I480" s="13" t="inlineStr">
        <is>
          <t>Grânulos Dispersíveis em Água (WG)</t>
        </is>
      </c>
      <c r="J480" s="13" t="inlineStr">
        <is>
          <t>Herbicida seletivo de contato e residual (pré e pós-emergência inicial)</t>
        </is>
      </c>
      <c r="K480" s="13" t="inlineStr">
        <is>
          <t>Imidazolinona</t>
        </is>
      </c>
      <c r="L480" s="13" t="inlineStr">
        <is>
          <t>HRAC Grupo B (2) — Inibidores da ALS</t>
        </is>
      </c>
      <c r="M480" s="13" t="inlineStr">
        <is>
          <t>Inibição da enzima acetolactato sintase (ALS / AHAS)</t>
        </is>
      </c>
      <c r="N480" s="13" t="inlineStr">
        <is>
          <t>Categoria 4 / 5 — Pouco Tóxico</t>
        </is>
      </c>
      <c r="O480" s="13" t="inlineStr">
        <is>
          <t>Azul Intenso</t>
        </is>
      </c>
      <c r="P480" s="13" t="inlineStr">
        <is>
          <t>Classe II — Produto Muito Perigoso ao Meio Ambiente</t>
        </is>
      </c>
      <c r="Q480" s="15" t="n">
        <v>24</v>
      </c>
      <c r="R480" s="13" t="inlineStr">
        <is>
          <t>Terrestre / Aérea (Drones consultar bula)</t>
        </is>
      </c>
      <c r="S480" s="13" t="inlineStr">
        <is>
          <t>Sem antídoto específico; tratamento sintomático</t>
        </is>
      </c>
      <c r="T480" s="13" t="inlineStr">
        <is>
          <t>Rainbow Defensivos</t>
        </is>
      </c>
      <c r="U480" s="16">
        <f>HYPERLINK("https://www.adapar.pr.gov.br/Pagina/Agrotoxicos-Herbicidas", "Registro Oficial Sungain Plus WG (MAPA 3623)")</f>
        <v/>
      </c>
    </row>
    <row r="481" ht="22" customHeight="1">
      <c r="A481" s="5" t="n">
        <v>476</v>
      </c>
      <c r="B481" s="6" t="inlineStr">
        <is>
          <t>Nº 32224</t>
        </is>
      </c>
      <c r="C481" s="7" t="inlineStr">
        <is>
          <t>PYRIPROXYFEN 100 SINO-AGRI 4X5L IMP SR</t>
        </is>
      </c>
      <c r="D481" s="8" t="inlineStr">
        <is>
          <t>PYRIPROXYFEN 100 SINO-AGRI</t>
        </is>
      </c>
      <c r="E481" s="7" t="inlineStr">
        <is>
          <t>Produto Formulado Comercial</t>
        </is>
      </c>
      <c r="F481" s="7" t="inlineStr">
        <is>
          <t>Defensivos</t>
        </is>
      </c>
      <c r="G481" s="7" t="inlineStr">
        <is>
          <t>Inseticida</t>
        </is>
      </c>
      <c r="H481" s="7" t="inlineStr">
        <is>
          <t>EC</t>
        </is>
      </c>
      <c r="I481" s="7" t="inlineStr">
        <is>
          <t>Concentrado Emulsionável (EC)</t>
        </is>
      </c>
      <c r="J481" s="7" t="inlineStr">
        <is>
          <t>Inseticida fisiológico regulador de crescimento (contato e translaminar)</t>
        </is>
      </c>
      <c r="K481" s="7" t="inlineStr">
        <is>
          <t>Éter piridiloxipropílico</t>
        </is>
      </c>
      <c r="L481" s="7" t="inlineStr">
        <is>
          <t>IRAC Grupo 7C</t>
        </is>
      </c>
      <c r="M481" s="7" t="inlineStr">
        <is>
          <t>Mimetizadores do hormônio juvenil (Juvenoides)</t>
        </is>
      </c>
      <c r="N481" s="7" t="inlineStr">
        <is>
          <t>Categoria 5 — Produto Improvável de Causar Dano Agudo</t>
        </is>
      </c>
      <c r="O481" s="7" t="inlineStr">
        <is>
          <t>Azul Intenso</t>
        </is>
      </c>
      <c r="P481" s="7" t="inlineStr">
        <is>
          <t>Classe II — Produto Muito Perigoso ao Meio Ambiente</t>
        </is>
      </c>
      <c r="Q481" s="9" t="n">
        <v>24</v>
      </c>
      <c r="R481" s="7" t="inlineStr">
        <is>
          <t>Terrestre / Aérea (Drones consultar bula)</t>
        </is>
      </c>
      <c r="S481" s="7" t="inlineStr">
        <is>
          <t>Sem antídoto específico; tratamento sintomático</t>
        </is>
      </c>
      <c r="T481" s="7" t="inlineStr">
        <is>
          <t>SINO-AGRI LEADING BIOSCIENCES DO BRASIL / INOVATIS LTDA.</t>
        </is>
      </c>
      <c r="U481" s="10">
        <f>HYPERLINK("https://agrofit.agricultura.gov.br/agrofit_cons/principal_agrofit_cons", "Consulta Oficial AGROFIT/MAPA (Nº 32224)")</f>
        <v/>
      </c>
    </row>
    <row r="482" ht="22" customHeight="1">
      <c r="A482" s="11" t="n">
        <v>477</v>
      </c>
      <c r="B482" s="12" t="inlineStr">
        <is>
          <t>Nº 1924</t>
        </is>
      </c>
      <c r="C482" s="13" t="inlineStr">
        <is>
          <t>FORCEPS 1X10KG (IMP)</t>
        </is>
      </c>
      <c r="D482" s="14" t="inlineStr">
        <is>
          <t>FORCEPS</t>
        </is>
      </c>
      <c r="E482" s="13" t="inlineStr">
        <is>
          <t>Produto Formulado Comercial</t>
        </is>
      </c>
      <c r="F482" s="13" t="inlineStr">
        <is>
          <t>Defensivos</t>
        </is>
      </c>
      <c r="G482" s="13" t="inlineStr">
        <is>
          <t>Inseticida</t>
        </is>
      </c>
      <c r="H482" s="13" t="inlineStr">
        <is>
          <t>WG</t>
        </is>
      </c>
      <c r="I482" s="13" t="inlineStr">
        <is>
          <t>Grânulos Dispersíveis em Água (WG)</t>
        </is>
      </c>
      <c r="J482" s="13" t="inlineStr">
        <is>
          <t>Inseticida e acaricida de contato e ingestão</t>
        </is>
      </c>
      <c r="K482" s="13" t="inlineStr">
        <is>
          <t>Piretroide (Tipo I)</t>
        </is>
      </c>
      <c r="L482" s="13" t="inlineStr">
        <is>
          <t>IRAC Grupo 3A</t>
        </is>
      </c>
      <c r="M482" s="13" t="inlineStr">
        <is>
          <t>Moduladores de canais de sódio em membranas nervosas</t>
        </is>
      </c>
      <c r="N482" s="13" t="inlineStr">
        <is>
          <t>Categoria 3 — Produto Moderadamente Tóxico</t>
        </is>
      </c>
      <c r="O482" s="13" t="inlineStr">
        <is>
          <t>Amarelo PMS Yellow C</t>
        </is>
      </c>
      <c r="P482" s="13" t="inlineStr">
        <is>
          <t>Classe II — Produto Muito Perigoso ao Meio Ambiente</t>
        </is>
      </c>
      <c r="Q482" s="15" t="n">
        <v>24</v>
      </c>
      <c r="R482" s="13" t="inlineStr">
        <is>
          <t>Terrestre / Aérea (Drones consultar bula)</t>
        </is>
      </c>
      <c r="S482" s="13" t="inlineStr">
        <is>
          <t>Sem antídoto específico; anti-histamínicos e vitamina E tópica para parestesia</t>
        </is>
      </c>
      <c r="T482" s="13" t="inlineStr">
        <is>
          <t>Rainbow Defensivos</t>
        </is>
      </c>
      <c r="U482" s="16">
        <f>HYPERLINK("https://agrofit.agricultura.gov.br/agrofit_cons/principal_agrofit_cons", "Consulta Oficial AGROFIT/MAPA (Nº 1924)")</f>
        <v/>
      </c>
    </row>
    <row r="483" ht="22" customHeight="1">
      <c r="A483" s="5" t="n">
        <v>478</v>
      </c>
      <c r="B483" s="6" t="inlineStr">
        <is>
          <t>VINCULAR MARCA</t>
        </is>
      </c>
      <c r="C483" s="7" t="inlineStr">
        <is>
          <t>PROCIMIDONA 500 (PRINCIPIO ATIVO)</t>
        </is>
      </c>
      <c r="D483" s="8" t="inlineStr">
        <is>
          <t>PROCIMIDONA 500 (PRINCIPIO ATIVO)</t>
        </is>
      </c>
      <c r="E483" s="7" t="inlineStr">
        <is>
          <t>Produto Técnico Industrial</t>
        </is>
      </c>
      <c r="F483" s="7" t="inlineStr">
        <is>
          <t>Defensivos</t>
        </is>
      </c>
      <c r="G483" s="7" t="inlineStr">
        <is>
          <t>Fungicida (Princípio Ativo / Técnico)</t>
        </is>
      </c>
      <c r="H483" s="7" t="inlineStr">
        <is>
          <t>TC</t>
        </is>
      </c>
      <c r="I483" s="7" t="inlineStr">
        <is>
          <t>Produto Técnico Industrial (TC)</t>
        </is>
      </c>
      <c r="J483" s="7" t="inlineStr">
        <is>
          <t>Fungicida preventivo e curativo foliar</t>
        </is>
      </c>
      <c r="K483" s="7" t="inlineStr">
        <is>
          <t>Dicarboximida</t>
        </is>
      </c>
      <c r="L483" s="7" t="inlineStr">
        <is>
          <t>FRAC Grupo 2 (E3)</t>
        </is>
      </c>
      <c r="M483" s="7" t="inlineStr">
        <is>
          <t>Inibidores da transdução de sinal osmótico (MAP/Histidina-quinase)</t>
        </is>
      </c>
      <c r="N483" s="7" t="inlineStr">
        <is>
          <t>Categoria 4 — Produto Pouco Tóxico (Conforme Bula ANVISA)</t>
        </is>
      </c>
      <c r="O483" s="7" t="inlineStr">
        <is>
          <t>Azul PMS Blue 293 C</t>
        </is>
      </c>
      <c r="P483" s="7" t="inlineStr">
        <is>
          <t>Classe II — Produto Muito Perigoso ao Meio Ambiente</t>
        </is>
      </c>
      <c r="Q483" s="9" t="n">
        <v>24</v>
      </c>
      <c r="R483" s="7" t="inlineStr">
        <is>
          <t>Terrestre / Aérea (Drones consultar bula)</t>
        </is>
      </c>
      <c r="S483" s="7" t="inlineStr">
        <is>
          <t>Sem antídoto específico; tratamento sintomático</t>
        </is>
      </c>
      <c r="T483" s="7" t="inlineStr">
        <is>
          <t>SUMITOMO CHEMICAL / PROVENTIS LIFESCIENCE DEFENSIVOS AGRÍCOLAS LTDA.</t>
        </is>
      </c>
      <c r="U483" s="10">
        <f>HYPERLINK("https://agrofit.agricultura.gov.br/agrofit_cons/principal_agrofit_cons", "Consulta Oficial AGROFIT/MAPA (VINCULAR MARCA)")</f>
        <v/>
      </c>
    </row>
    <row r="484" ht="22" customHeight="1">
      <c r="A484" s="11" t="n">
        <v>479</v>
      </c>
      <c r="B484" s="12" t="inlineStr">
        <is>
          <t>Nº 19018</t>
        </is>
      </c>
      <c r="C484" s="13" t="inlineStr">
        <is>
          <t>CARTAGO 4X5L (IMP)</t>
        </is>
      </c>
      <c r="D484" s="14" t="inlineStr">
        <is>
          <t>CARTAGO</t>
        </is>
      </c>
      <c r="E484" s="13" t="inlineStr">
        <is>
          <t>Produto Formulado Comercial</t>
        </is>
      </c>
      <c r="F484" s="13" t="inlineStr">
        <is>
          <t>Defensivos</t>
        </is>
      </c>
      <c r="G484" s="13" t="inlineStr">
        <is>
          <t>Herbicida</t>
        </is>
      </c>
      <c r="H484" s="13" t="inlineStr">
        <is>
          <t>EC</t>
        </is>
      </c>
      <c r="I484" s="13" t="inlineStr">
        <is>
          <t>Concentrado Emulsionável (EC)</t>
        </is>
      </c>
      <c r="J484" s="13" t="inlineStr">
        <is>
          <t>Herbicida graminicida sistêmico seletivo de pós-emergência</t>
        </is>
      </c>
      <c r="K484" s="13" t="inlineStr">
        <is>
          <t>Oxima ciclohexanodiona (DIM)</t>
        </is>
      </c>
      <c r="L484" s="13" t="inlineStr">
        <is>
          <t>HRAC Grupo A (1) — Inibidores da ACCase</t>
        </is>
      </c>
      <c r="M484" s="13" t="inlineStr">
        <is>
          <t>Inibidores da Acetil CoA Carboxilase (ACCase)</t>
        </is>
      </c>
      <c r="N484" s="13" t="inlineStr">
        <is>
          <t>Categoria 4 / 5 — Pouco Tóxico</t>
        </is>
      </c>
      <c r="O484" s="13" t="inlineStr">
        <is>
          <t>Azul Intenso</t>
        </is>
      </c>
      <c r="P484" s="13" t="inlineStr">
        <is>
          <t>Classe III — Produto Perigoso ao Meio Ambiente</t>
        </is>
      </c>
      <c r="Q484" s="15" t="n">
        <v>24</v>
      </c>
      <c r="R484" s="13" t="inlineStr">
        <is>
          <t>Terrestre / Aérea (Drones consultar bula)</t>
        </is>
      </c>
      <c r="S484" s="13" t="inlineStr">
        <is>
          <t>Sem antídoto específico; tratamento sintomático</t>
        </is>
      </c>
      <c r="T484" s="13" t="inlineStr">
        <is>
          <t>ALBAUGH AGRO BRASIL LTDA.</t>
        </is>
      </c>
      <c r="U484" s="16">
        <f>HYPERLINK("https://www.adapar.pr.gov.br/Pagina/Agrotoxicos-Herbicidas", "Registro Oficial Cartago 240 EC (MAPA 19018)")</f>
        <v/>
      </c>
    </row>
    <row r="485" ht="22" customHeight="1">
      <c r="A485" s="5" t="n">
        <v>480</v>
      </c>
      <c r="B485" s="6" t="inlineStr">
        <is>
          <t>ISENTO (ATO 104/2017)</t>
        </is>
      </c>
      <c r="C485" s="7" t="inlineStr">
        <is>
          <t>AGRICOIL PREMIUM 1X20L</t>
        </is>
      </c>
      <c r="D485" s="8" t="inlineStr">
        <is>
          <t>AGRICOIL PREMIUM</t>
        </is>
      </c>
      <c r="E485" s="7" t="inlineStr">
        <is>
          <t>Adjuvante / Espalhante Adesivo</t>
        </is>
      </c>
      <c r="F485" s="7" t="inlineStr">
        <is>
          <t>Adjuvantes</t>
        </is>
      </c>
      <c r="G485" s="7" t="inlineStr">
        <is>
          <t>Óleo Vegetal / Éster Metílico / D-Limoneno Adjuvante</t>
        </is>
      </c>
      <c r="H485" s="7" t="inlineStr">
        <is>
          <t>EC</t>
        </is>
      </c>
      <c r="I485" s="7" t="inlineStr">
        <is>
          <t>Concentrado Emulsionável (EC)</t>
        </is>
      </c>
      <c r="J485" s="7" t="inlineStr">
        <is>
          <t>Aditivo físico-químico para calda de pulverização</t>
        </is>
      </c>
      <c r="K485" s="7" t="inlineStr">
        <is>
          <t>Éster Metílico / Hidrocarboneto Parafínico / Tensoativo Siliconado</t>
        </is>
      </c>
      <c r="L485" s="7" t="inlineStr">
        <is>
          <t>Adjuvante Tecnológico de Pulverização</t>
        </is>
      </c>
      <c r="M485" s="7" t="inlineStr">
        <is>
          <t>Redução da tensão superficial, espalhamento, anti-deriva e penetração cuticular</t>
        </is>
      </c>
      <c r="N485" s="7" t="inlineStr">
        <is>
          <t>Isento / Ato SDA nº 104/2017 (ou Categoria 5 quando registrado)</t>
        </is>
      </c>
      <c r="O485" s="7" t="inlineStr">
        <is>
          <t>Azul / Isento</t>
        </is>
      </c>
      <c r="P485" s="7" t="inlineStr">
        <is>
          <t>Classe IV — Pouco Perigoso ao Meio Ambiente</t>
        </is>
      </c>
      <c r="Q485" s="9" t="n">
        <v>24</v>
      </c>
      <c r="R485" s="7" t="inlineStr">
        <is>
          <t>Terrestre / Aérea (Drones consultar bula)</t>
        </is>
      </c>
      <c r="S485" s="7" t="inlineStr">
        <is>
          <t>Tratamento sintomático; evitar indução de vômito em derivados de petróleo</t>
        </is>
      </c>
      <c r="T485" s="7" t="inlineStr">
        <is>
          <t>Dispensado de Registro (Ato SDA nº 104/2017)</t>
        </is>
      </c>
      <c r="U485" s="10">
        <f>HYPERLINK("https://www.gov.br/agricultura/pt-br/assuntos/insumos-agropecuarios/insumos-agricolas/agrotoxicos/legislacao", "Ato SDA/MAPA nº 104/2017 — Adjuvantes Agrícolas")</f>
        <v/>
      </c>
    </row>
    <row r="486" ht="22" customHeight="1">
      <c r="A486" s="11" t="n">
        <v>481</v>
      </c>
      <c r="B486" s="12" t="inlineStr">
        <is>
          <t>Nº 10122</t>
        </is>
      </c>
      <c r="C486" s="13" t="inlineStr">
        <is>
          <t>SONDA HT 1X20L</t>
        </is>
      </c>
      <c r="D486" s="14" t="inlineStr">
        <is>
          <t>SONDA HT</t>
        </is>
      </c>
      <c r="E486" s="13" t="inlineStr">
        <is>
          <t>Produto Formulado Comercial</t>
        </is>
      </c>
      <c r="F486" s="13" t="inlineStr">
        <is>
          <t>Defensivos</t>
        </is>
      </c>
      <c r="G486" s="13" t="inlineStr">
        <is>
          <t>Herbicida</t>
        </is>
      </c>
      <c r="H486" s="13" t="inlineStr">
        <is>
          <t>SC</t>
        </is>
      </c>
      <c r="I486" s="13" t="inlineStr">
        <is>
          <t>Suspensão Concentrada (SC)</t>
        </is>
      </c>
      <c r="J486" s="13" t="inlineStr">
        <is>
          <t>Herbicida de pré ou pós-emergência</t>
        </is>
      </c>
      <c r="K486" s="13" t="inlineStr">
        <is>
          <t>Triazina (Clorotriazina)</t>
        </is>
      </c>
      <c r="L486" s="13" t="inlineStr">
        <is>
          <t>HRAC Grupo C1 (5) — Inibidores do Fotossistema II</t>
        </is>
      </c>
      <c r="M486" s="13" t="inlineStr">
        <is>
          <t>Inibição do transporte de elétrons no Fotossistema II</t>
        </is>
      </c>
      <c r="N486" s="13" t="inlineStr">
        <is>
          <t>Categoria 4 / 5 — Pouco Tóxico (Conforme Bula ANVISA)</t>
        </is>
      </c>
      <c r="O486" s="13" t="inlineStr">
        <is>
          <t>Azul PMS Blue 293 C</t>
        </is>
      </c>
      <c r="P486" s="13" t="inlineStr">
        <is>
          <t>Classe II / III — Perigoso ao Meio Ambiente</t>
        </is>
      </c>
      <c r="Q486" s="15" t="n">
        <v>24</v>
      </c>
      <c r="R486" s="13" t="inlineStr">
        <is>
          <t>Terrestre / Aérea (Drones consultar bula)</t>
        </is>
      </c>
      <c r="S486" s="13" t="inlineStr">
        <is>
          <t>Sem antídoto específico; tratamento sintomático e descontaminação</t>
        </is>
      </c>
      <c r="T486" s="13" t="inlineStr">
        <is>
          <t>SYNGENTA PROTEÇÃO DE CULTIVOS LTDA.</t>
        </is>
      </c>
      <c r="U486" s="16">
        <f>HYPERLINK("https://www.adapar.pr.gov.br/Pagina/Agrotoxicos-Herbicidas", "Registro Oficial Sonda HT 500 SC (MAPA 10122)")</f>
        <v/>
      </c>
    </row>
    <row r="487" ht="22" customHeight="1">
      <c r="A487" s="5" t="n">
        <v>482</v>
      </c>
      <c r="B487" s="6" t="inlineStr">
        <is>
          <t>VINCULAR MARCA</t>
        </is>
      </c>
      <c r="C487" s="7" t="inlineStr">
        <is>
          <t>BOSCALIDA 500 (PRINCIPIO ATIVO)</t>
        </is>
      </c>
      <c r="D487" s="8" t="inlineStr">
        <is>
          <t>BOSCALIDA 500 (PRINCIPIO ATIVO)</t>
        </is>
      </c>
      <c r="E487" s="7" t="inlineStr">
        <is>
          <t>Produto Técnico Industrial</t>
        </is>
      </c>
      <c r="F487" s="7" t="inlineStr">
        <is>
          <t>Defensivos</t>
        </is>
      </c>
      <c r="G487" s="7" t="inlineStr">
        <is>
          <t>Fungicida (Princípio Ativo / Técnico)</t>
        </is>
      </c>
      <c r="H487" s="7" t="inlineStr">
        <is>
          <t>TC</t>
        </is>
      </c>
      <c r="I487" s="7" t="inlineStr">
        <is>
          <t>Produto Técnico Industrial (TC)</t>
        </is>
      </c>
      <c r="J487" s="7" t="inlineStr">
        <is>
          <t>Fungicida preventivo e curativo foliar</t>
        </is>
      </c>
      <c r="K487" s="7" t="inlineStr">
        <is>
          <t>Carboxamida ( Piridinacarboxamida)</t>
        </is>
      </c>
      <c r="L487" s="7" t="inlineStr">
        <is>
          <t>FRAC Grupo 7 (C2 — SDHI)</t>
        </is>
      </c>
      <c r="M487" s="7" t="inlineStr">
        <is>
          <t>Inibidores da enzima succinato desidrogenase (Complexo II respiratório)</t>
        </is>
      </c>
      <c r="N487" s="7" t="inlineStr">
        <is>
          <t>Categoria 4 — Produto Pouco Tóxico (Conforme Bula ANVISA)</t>
        </is>
      </c>
      <c r="O487" s="7" t="inlineStr">
        <is>
          <t>Azul PMS Blue 293 C</t>
        </is>
      </c>
      <c r="P487" s="7" t="inlineStr">
        <is>
          <t>Classe II — Produto Muito Perigoso ao Meio Ambiente</t>
        </is>
      </c>
      <c r="Q487" s="9" t="n">
        <v>24</v>
      </c>
      <c r="R487" s="7" t="inlineStr">
        <is>
          <t>Terrestre / Aérea (Drones consultar bula)</t>
        </is>
      </c>
      <c r="S487" s="7" t="inlineStr">
        <is>
          <t>Sem antídoto específico; tratamento sintomático</t>
        </is>
      </c>
      <c r="T487" s="7" t="inlineStr">
        <is>
          <t>BASF S.A. / RAINBOW DEFENSIVOS AGRÍCOLAS LTDA.</t>
        </is>
      </c>
      <c r="U487" s="10">
        <f>HYPERLINK("https://agrofit.agricultura.gov.br/agrofit_cons/principal_agrofit_cons", "Consulta Oficial AGROFIT/MAPA (VINCULAR MARCA)")</f>
        <v/>
      </c>
    </row>
    <row r="488" ht="22" customHeight="1">
      <c r="A488" s="11" t="n">
        <v>483</v>
      </c>
      <c r="B488" s="12" t="inlineStr">
        <is>
          <t>Nº 40818</t>
        </is>
      </c>
      <c r="C488" s="13" t="inlineStr">
        <is>
          <t>GLUFOSINATE-AMMONIUN 200 SL YONON 0,200L AMOSTRA</t>
        </is>
      </c>
      <c r="D488" s="14" t="inlineStr">
        <is>
          <t>GLUFOSINATE-AMMONIUN 200 SL YONON 0,200L AMOSTRA</t>
        </is>
      </c>
      <c r="E488" s="13" t="inlineStr">
        <is>
          <t>Produto Formulado Comercial</t>
        </is>
      </c>
      <c r="F488" s="13" t="inlineStr">
        <is>
          <t>Defensivos</t>
        </is>
      </c>
      <c r="G488" s="13" t="inlineStr">
        <is>
          <t>Herbicida</t>
        </is>
      </c>
      <c r="H488" s="13" t="inlineStr">
        <is>
          <t>SL</t>
        </is>
      </c>
      <c r="I488" s="13" t="inlineStr">
        <is>
          <t>Concentrado Solúvel (SL)</t>
        </is>
      </c>
      <c r="J488" s="13" t="inlineStr">
        <is>
          <t>Herbicida de contato não seletivo em pós-emergência (seletivo p/ OGM LibertyLink)</t>
        </is>
      </c>
      <c r="K488" s="13" t="inlineStr">
        <is>
          <t>Homoalanina substituída (Ácido fosfínico)</t>
        </is>
      </c>
      <c r="L488" s="13" t="inlineStr">
        <is>
          <t>HRAC Grupo H (10) — Inibidores da Glutamina Sintetase</t>
        </is>
      </c>
      <c r="M488" s="13" t="inlineStr">
        <is>
          <t>Inibição da enzima glutamina sintetase (acúmulo de amônia intracelular)</t>
        </is>
      </c>
      <c r="N488" s="13" t="inlineStr">
        <is>
          <t>Categoria 4 — Produto Pouco Tóxico</t>
        </is>
      </c>
      <c r="O488" s="13" t="inlineStr">
        <is>
          <t>Azul PMS Blue 293 C</t>
        </is>
      </c>
      <c r="P488" s="13" t="inlineStr">
        <is>
          <t>Classe III — Produto Perigoso ao Meio Ambiente</t>
        </is>
      </c>
      <c r="Q488" s="15" t="n">
        <v>24</v>
      </c>
      <c r="R488" s="13" t="inlineStr">
        <is>
          <t>Terrestre / Aérea (Drones consultar bula)</t>
        </is>
      </c>
      <c r="S488" s="13" t="inlineStr">
        <is>
          <t>Sem antídoto específico; monitorar SNC por 48h e suporte ventilatório</t>
        </is>
      </c>
      <c r="T488" s="13" t="inlineStr">
        <is>
          <t>YONON BRASIL DEFENSIVOS AGRÍCOLAS LTDA.</t>
        </is>
      </c>
      <c r="U488" s="16">
        <f>HYPERLINK("https://agrofit.agricultura.gov.br/agrofit_cons/principal_agrofit_cons", "Consulta Oficial AGROFIT/MAPA (Nº 40818)")</f>
        <v/>
      </c>
    </row>
    <row r="489" ht="22" customHeight="1">
      <c r="A489" s="5" t="n">
        <v>484</v>
      </c>
      <c r="B489" s="6" t="inlineStr">
        <is>
          <t>Nº 3224</t>
        </is>
      </c>
      <c r="C489" s="7" t="inlineStr">
        <is>
          <t>CHLOROTHALONIL 720 SC YONON 1X20L (IMP) GY</t>
        </is>
      </c>
      <c r="D489" s="8" t="inlineStr">
        <is>
          <t>CHLOROTHALONIL</t>
        </is>
      </c>
      <c r="E489" s="7" t="inlineStr">
        <is>
          <t>Produto Formulado Comercial</t>
        </is>
      </c>
      <c r="F489" s="7" t="inlineStr">
        <is>
          <t>Defensivos</t>
        </is>
      </c>
      <c r="G489" s="7" t="inlineStr">
        <is>
          <t>Fungicida</t>
        </is>
      </c>
      <c r="H489" s="7" t="inlineStr">
        <is>
          <t>SC</t>
        </is>
      </c>
      <c r="I489" s="7" t="inlineStr">
        <is>
          <t>Suspensão Concentrada (SC)</t>
        </is>
      </c>
      <c r="J489" s="7" t="inlineStr">
        <is>
          <t>Fungicida protetor de contato multissítio (manejo anti-resistência)</t>
        </is>
      </c>
      <c r="K489" s="7" t="inlineStr">
        <is>
          <t>Isoftalonitrila</t>
        </is>
      </c>
      <c r="L489" s="7" t="inlineStr">
        <is>
          <t>FRAC Grupo M05 — Multissítio</t>
        </is>
      </c>
      <c r="M489" s="7" t="inlineStr">
        <is>
          <t>Atividade de contato multissítio (inativação de grupos tiol enzimáticos)</t>
        </is>
      </c>
      <c r="N489" s="7" t="inlineStr">
        <is>
          <t>Categoria 2 / 3 — Altamente a Moderadamente Tóxico</t>
        </is>
      </c>
      <c r="O489" s="7" t="inlineStr">
        <is>
          <t>Vermelho / Amarelo</t>
        </is>
      </c>
      <c r="P489" s="7" t="inlineStr">
        <is>
          <t>Classe II — Produto Muito Perigoso ao Meio Ambiente</t>
        </is>
      </c>
      <c r="Q489" s="9" t="n">
        <v>24</v>
      </c>
      <c r="R489" s="7" t="inlineStr">
        <is>
          <t>Terrestre / Aérea (Drones consultar bula)</t>
        </is>
      </c>
      <c r="S489" s="7" t="inlineStr">
        <is>
          <t>Sem antídoto específico; tratamento sintomático e descontaminação ocular/cutânea</t>
        </is>
      </c>
      <c r="T489" s="7" t="inlineStr">
        <is>
          <t>Yonon</t>
        </is>
      </c>
      <c r="U489" s="10">
        <f>HYPERLINK("https://agrofit.agricultura.gov.br/agrofit_cons/principal_agrofit_cons", "Consulta Oficial AGROFIT/MAPA (Nº 3224)")</f>
        <v/>
      </c>
    </row>
    <row r="490" ht="22" customHeight="1">
      <c r="A490" s="11" t="n">
        <v>485</v>
      </c>
      <c r="B490" s="12" t="inlineStr">
        <is>
          <t>Nº 16724</t>
        </is>
      </c>
      <c r="C490" s="13" t="inlineStr">
        <is>
          <t>FLUAZINAM 500 SC AGCN 1X20L</t>
        </is>
      </c>
      <c r="D490" s="14" t="inlineStr">
        <is>
          <t>FLUAZINAM</t>
        </is>
      </c>
      <c r="E490" s="13" t="inlineStr">
        <is>
          <t>Produto Formulado Comercial</t>
        </is>
      </c>
      <c r="F490" s="13" t="inlineStr">
        <is>
          <t>Defensivos</t>
        </is>
      </c>
      <c r="G490" s="13" t="inlineStr">
        <is>
          <t>Fungicida</t>
        </is>
      </c>
      <c r="H490" s="13" t="inlineStr">
        <is>
          <t>SC</t>
        </is>
      </c>
      <c r="I490" s="13" t="inlineStr">
        <is>
          <t>Suspensão Concentrada (SC)</t>
        </is>
      </c>
      <c r="J490" s="13" t="inlineStr">
        <is>
          <t>Fungicida e acaricida de contato preventivo c/ baixa mobilidade</t>
        </is>
      </c>
      <c r="K490" s="13" t="inlineStr">
        <is>
          <t>Fenilpiridinamina (2,6-dinitroanilina)</t>
        </is>
      </c>
      <c r="L490" s="13" t="inlineStr">
        <is>
          <t>FRAC Grupo 29</t>
        </is>
      </c>
      <c r="M490" s="13" t="inlineStr">
        <is>
          <t>Desacopladores da fosforilação oxidativa mitocondrial</t>
        </is>
      </c>
      <c r="N490" s="13" t="inlineStr">
        <is>
          <t>Categoria 4 — Produto Pouco Tóxico</t>
        </is>
      </c>
      <c r="O490" s="13" t="inlineStr">
        <is>
          <t>Azul PMS Blue 293 C</t>
        </is>
      </c>
      <c r="P490" s="13" t="inlineStr">
        <is>
          <t>Classe II — Produto Muito Perigoso ao Meio Ambiente</t>
        </is>
      </c>
      <c r="Q490" s="15" t="n">
        <v>24</v>
      </c>
      <c r="R490" s="13" t="inlineStr">
        <is>
          <t>Terrestre / Aérea (Drones consultar bula)</t>
        </is>
      </c>
      <c r="S490" s="13" t="inlineStr">
        <is>
          <t>Sem antídoto específico; tratamento sintomático</t>
        </is>
      </c>
      <c r="T490" s="13" t="inlineStr">
        <is>
          <t>AGRICONNECTION IMPORTADORA E EXPORTADORA DE INSUMOS AGRÍCOLAS LTDA.</t>
        </is>
      </c>
      <c r="U490" s="16">
        <f>HYPERLINK("https://agrofit.agricultura.gov.br/agrofit_cons/principal_agrofit_cons", "Consulta Oficial AGROFIT/MAPA (Nº 16724)")</f>
        <v/>
      </c>
    </row>
    <row r="491" ht="22" customHeight="1">
      <c r="A491" s="5" t="n">
        <v>486</v>
      </c>
      <c r="B491" s="6" t="inlineStr">
        <is>
          <t>Nº 7925</t>
        </is>
      </c>
      <c r="C491" s="7" t="inlineStr">
        <is>
          <t>BONAFIDE 500 WG 20X0,5KG (IMP) SJ</t>
        </is>
      </c>
      <c r="D491" s="8" t="inlineStr">
        <is>
          <t>BONAFIDE 500 WG 20X0,5KG (IMP) SJ</t>
        </is>
      </c>
      <c r="E491" s="7" t="inlineStr">
        <is>
          <t>Produto Formulado Comercial</t>
        </is>
      </c>
      <c r="F491" s="7" t="inlineStr">
        <is>
          <t>Defensivos</t>
        </is>
      </c>
      <c r="G491" s="7" t="inlineStr">
        <is>
          <t>Fungicida</t>
        </is>
      </c>
      <c r="H491" s="7" t="inlineStr">
        <is>
          <t>WG</t>
        </is>
      </c>
      <c r="I491" s="7" t="inlineStr">
        <is>
          <t>WG - Granulado Dispersível</t>
        </is>
      </c>
      <c r="J491" s="7" t="inlineStr">
        <is>
          <t>Fungicida preventivo e curativo foliar</t>
        </is>
      </c>
      <c r="K491" s="7" t="inlineStr">
        <is>
          <t>Carboxamida ( Piridinacarboxamida)</t>
        </is>
      </c>
      <c r="L491" s="7" t="inlineStr">
        <is>
          <t>FRAC Grupo 7 (C2 — SDHI)</t>
        </is>
      </c>
      <c r="M491" s="7" t="inlineStr">
        <is>
          <t>Inibidores da enzima succinato desidrogenase (Complexo II respiratório)</t>
        </is>
      </c>
      <c r="N491" s="7" t="inlineStr">
        <is>
          <t>Não Classificado - Produto Não Classificado</t>
        </is>
      </c>
      <c r="O491" s="7" t="inlineStr">
        <is>
          <t>Azul</t>
        </is>
      </c>
      <c r="P491" s="7" t="inlineStr">
        <is>
          <t>Classe II — Produto Muito Perigoso ao Meio Ambiente</t>
        </is>
      </c>
      <c r="Q491" s="9" t="n">
        <v>24</v>
      </c>
      <c r="R491" s="7" t="inlineStr">
        <is>
          <t>Terrestre / Aérea (Drones consultar bula)</t>
        </is>
      </c>
      <c r="S491" s="7" t="inlineStr">
        <is>
          <t>Sem antídoto específico; tratamento sintomático</t>
        </is>
      </c>
      <c r="T491" s="7" t="inlineStr">
        <is>
          <t>SHARDA DO BRASIL COMERCIO DE PRODUTOS QUIMICOS</t>
        </is>
      </c>
      <c r="U491" s="10">
        <f>HYPERLINK("https://agrofit.agricultura.gov.br/agrofit_cons/principal_agrofit_cons", "Consulta Oficial AGROFIT/MAPA (Nº 7925)")</f>
        <v/>
      </c>
    </row>
    <row r="492" ht="22" customHeight="1">
      <c r="A492" s="11" t="n">
        <v>487</v>
      </c>
      <c r="B492" s="12" t="inlineStr">
        <is>
          <t>Nº 24324</t>
        </is>
      </c>
      <c r="C492" s="13" t="inlineStr">
        <is>
          <t>PROCYMIDONE 500 SC PROVENTIS 1X20L (IMP)</t>
        </is>
      </c>
      <c r="D492" s="14" t="inlineStr">
        <is>
          <t>PROCYMIDONE</t>
        </is>
      </c>
      <c r="E492" s="13" t="inlineStr">
        <is>
          <t>Produto Formulado Comercial</t>
        </is>
      </c>
      <c r="F492" s="13" t="inlineStr">
        <is>
          <t>Defensivos</t>
        </is>
      </c>
      <c r="G492" s="13" t="inlineStr">
        <is>
          <t>Fungicida</t>
        </is>
      </c>
      <c r="H492" s="13" t="inlineStr">
        <is>
          <t>SC</t>
        </is>
      </c>
      <c r="I492" s="13" t="inlineStr">
        <is>
          <t>Suspensão Concentrada (SC)</t>
        </is>
      </c>
      <c r="J492" s="13" t="inlineStr">
        <is>
          <t>Fungicida preventivo e curativo foliar</t>
        </is>
      </c>
      <c r="K492" s="13" t="inlineStr">
        <is>
          <t>Dicarboximida</t>
        </is>
      </c>
      <c r="L492" s="13" t="inlineStr">
        <is>
          <t>FRAC Grupo 2 (E3)</t>
        </is>
      </c>
      <c r="M492" s="13" t="inlineStr">
        <is>
          <t>Inibidores da transdução de sinal osmótico (MAP/Histidina-quinase)</t>
        </is>
      </c>
      <c r="N492" s="13" t="inlineStr">
        <is>
          <t>Categoria 4 — Produto Pouco Tóxico (Conforme Bula ANVISA)</t>
        </is>
      </c>
      <c r="O492" s="13" t="inlineStr">
        <is>
          <t>Azul PMS Blue 293 C</t>
        </is>
      </c>
      <c r="P492" s="13" t="inlineStr">
        <is>
          <t>Classe II — Produto Muito Perigoso ao Meio Ambiente</t>
        </is>
      </c>
      <c r="Q492" s="15" t="n">
        <v>24</v>
      </c>
      <c r="R492" s="13" t="inlineStr">
        <is>
          <t>Terrestre / Aérea (Drones consultar bula)</t>
        </is>
      </c>
      <c r="S492" s="13" t="inlineStr">
        <is>
          <t>Sem antídoto específico; tratamento sintomático</t>
        </is>
      </c>
      <c r="T492" s="13" t="inlineStr">
        <is>
          <t>PROVENTIS LIFESCIENCE DEFENSIVOS AGRÍCOLAS LTDA.</t>
        </is>
      </c>
      <c r="U492" s="16">
        <f>HYPERLINK("https://www.adapar.pr.gov.br/Pagina/Agrotoxicos-Fungicidas", "Registro Oficial Procymidone 500 SC Proventis (MAPA 24324)")</f>
        <v/>
      </c>
    </row>
    <row r="493" ht="22" customHeight="1">
      <c r="A493" s="5" t="n">
        <v>488</v>
      </c>
      <c r="B493" s="6" t="inlineStr">
        <is>
          <t>Nº 26023</t>
        </is>
      </c>
      <c r="C493" s="7" t="inlineStr">
        <is>
          <t>MAJESTUOSO 1X20L (IMP)</t>
        </is>
      </c>
      <c r="D493" s="8" t="inlineStr">
        <is>
          <t>MAJESTUOSO</t>
        </is>
      </c>
      <c r="E493" s="7" t="inlineStr">
        <is>
          <t>Produto Formulado Comercial</t>
        </is>
      </c>
      <c r="F493" s="7" t="inlineStr">
        <is>
          <t>Defensivos</t>
        </is>
      </c>
      <c r="G493" s="7" t="inlineStr">
        <is>
          <t>Inseticida</t>
        </is>
      </c>
      <c r="H493" s="7" t="inlineStr">
        <is>
          <t>EC</t>
        </is>
      </c>
      <c r="I493" s="7" t="inlineStr">
        <is>
          <t>EC - Concentrado Emulsionável</t>
        </is>
      </c>
      <c r="J493" s="7" t="inlineStr">
        <is>
          <t>Inseticida/acaricida de contato e ingestão</t>
        </is>
      </c>
      <c r="K493" s="7" t="inlineStr">
        <is>
          <t>Organofosforado</t>
        </is>
      </c>
      <c r="L493" s="7" t="inlineStr">
        <is>
          <t>IRAC Grupo 1B</t>
        </is>
      </c>
      <c r="M493" s="7" t="inlineStr">
        <is>
          <t>Inibidores da acetilcolinesterase (AChE)</t>
        </is>
      </c>
      <c r="N493" s="7" t="inlineStr">
        <is>
          <t>Categoria 4: Produto Pouco Tóxico</t>
        </is>
      </c>
      <c r="O493" s="7" t="inlineStr">
        <is>
          <t>Azul</t>
        </is>
      </c>
      <c r="P493" s="7" t="inlineStr">
        <is>
          <t>Classe II — Produto Muito Perigoso ao Meio Ambiente</t>
        </is>
      </c>
      <c r="Q493" s="9" t="n">
        <v>24</v>
      </c>
      <c r="R493" s="7" t="inlineStr">
        <is>
          <t>Terrestre / Aérea (Drones consultar bula)</t>
        </is>
      </c>
      <c r="S493" s="7" t="inlineStr">
        <is>
          <t>Tratamento sintomático conforme grupo químico na bula</t>
        </is>
      </c>
      <c r="T493" s="7" t="inlineStr">
        <is>
          <t>AGRO-LEAD BRASIL ASSESSORIA EM PRODUTOS AGRICOLAS LTDA</t>
        </is>
      </c>
      <c r="U493" s="10">
        <f>HYPERLINK("https://agrofit.agricultura.gov.br/agrofit_cons/principal_agrofit_cons", "Consulta Oficial AGROFIT/MAPA (Nº 26023)")</f>
        <v/>
      </c>
    </row>
    <row r="494" ht="22" customHeight="1">
      <c r="A494" s="11" t="n">
        <v>489</v>
      </c>
      <c r="B494" s="12" t="inlineStr">
        <is>
          <t>SIPEAGRO (UF-XXXXX)</t>
        </is>
      </c>
      <c r="C494" s="13" t="inlineStr">
        <is>
          <t>NPK 19-04-19 (TON) (AGENCIADA)</t>
        </is>
      </c>
      <c r="D494" s="14" t="inlineStr">
        <is>
          <t>NPK 19-04-19 (TON) (AGENCIADA)</t>
        </is>
      </c>
      <c r="E494" s="13" t="inlineStr">
        <is>
          <t>Fertilizante Mineral / Organomineral</t>
        </is>
      </c>
      <c r="F494" s="13" t="inlineStr">
        <is>
          <t>Fertilizantes</t>
        </is>
      </c>
      <c r="G494" s="13" t="inlineStr">
        <is>
          <t>Fertilizante Mineral Misto (NPK / NP)</t>
        </is>
      </c>
      <c r="H494" s="13" t="inlineStr">
        <is>
          <t>Granulado</t>
        </is>
      </c>
      <c r="I494" s="13" t="inlineStr">
        <is>
          <t>Formulação Padrão (Granulado / Solúvel / Suspensão)</t>
        </is>
      </c>
      <c r="J494" s="13" t="inlineStr">
        <is>
          <t>Aplicação via solo, fertirrigação ou adubação foliar</t>
        </is>
      </c>
      <c r="K494" s="13" t="inlineStr">
        <is>
          <t>Fertilizante Mineral / Organomineral (Lei nº 6.894/1980)</t>
        </is>
      </c>
      <c r="L494" s="13" t="inlineStr">
        <is>
          <t>Nutrição Vegetal SIPEAGRO</t>
        </is>
      </c>
      <c r="M494" s="13" t="inlineStr">
        <is>
          <t>Fornecimento de macro e micronutrientes essenciais ao metabolismo vegetal</t>
        </is>
      </c>
      <c r="N494" s="13" t="inlineStr">
        <is>
          <t>Isento ANVISA (Produto Fertilizante Registrado no SIPEAGRO/MAPA)</t>
        </is>
      </c>
      <c r="O494" s="13" t="inlineStr">
        <is>
          <t>Não Aplicável (Fertilizante)</t>
        </is>
      </c>
      <c r="P494" s="13" t="inlineStr">
        <is>
          <t>Baixo Potencial Poluidor (Uso conforme recomendação agronômica)</t>
        </is>
      </c>
      <c r="Q494" s="15" t="n">
        <v>0</v>
      </c>
      <c r="R494" s="13" t="inlineStr">
        <is>
          <t>Aplicação Dirigida / TS / Solo</t>
        </is>
      </c>
      <c r="S494" s="13" t="inlineStr">
        <is>
          <t>Tratamento sintomático em caso de ingestão acidental</t>
        </is>
      </c>
      <c r="T494" s="13" t="inlineStr">
        <is>
          <t>Estabelecimento Produtor SIPEAGRO/MAPA</t>
        </is>
      </c>
      <c r="U494" s="16">
        <f>HYPERLINK("https://www.gov.br/agricultura/pt-br/assuntos/insumos-agropecuarios/insumos-agricolas/fertilizantes", "Portal SIPEAGRO / MAPA — Fertilizantes e Bioinsumos")</f>
        <v/>
      </c>
    </row>
    <row r="495" ht="22" customHeight="1">
      <c r="A495" s="5" t="n">
        <v>490</v>
      </c>
      <c r="B495" s="6" t="inlineStr">
        <is>
          <t>Nº 27323</t>
        </is>
      </c>
      <c r="C495" s="7" t="inlineStr">
        <is>
          <t>ACEGOL 4X5KG (IMP)</t>
        </is>
      </c>
      <c r="D495" s="8" t="inlineStr">
        <is>
          <t>ACEGOL</t>
        </is>
      </c>
      <c r="E495" s="7" t="inlineStr">
        <is>
          <t>Produto Formulado Comercial</t>
        </is>
      </c>
      <c r="F495" s="7" t="inlineStr">
        <is>
          <t>Defensivos</t>
        </is>
      </c>
      <c r="G495" s="7" t="inlineStr">
        <is>
          <t>Inseticida</t>
        </is>
      </c>
      <c r="H495" s="7" t="inlineStr">
        <is>
          <t>WG</t>
        </is>
      </c>
      <c r="I495" s="7" t="inlineStr">
        <is>
          <t>WG - Granulado Dispersível</t>
        </is>
      </c>
      <c r="J495" s="7" t="inlineStr">
        <is>
          <t>Inseticida sistêmico de contato, ingestão e ação translaminar</t>
        </is>
      </c>
      <c r="K495" s="7" t="inlineStr">
        <is>
          <t>Neonicotinoide</t>
        </is>
      </c>
      <c r="L495" s="7" t="inlineStr">
        <is>
          <t>IRAC Grupo 4A</t>
        </is>
      </c>
      <c r="M495" s="7" t="inlineStr">
        <is>
          <t>Moduladores competitivos de receptores nicotínicos da acetilcolina (nAChR)</t>
        </is>
      </c>
      <c r="N495" s="7" t="inlineStr">
        <is>
          <t>Categoria 4: Produto Pouco Tóxico</t>
        </is>
      </c>
      <c r="O495" s="7" t="inlineStr">
        <is>
          <t>Azul</t>
        </is>
      </c>
      <c r="P495" s="7" t="inlineStr">
        <is>
          <t>Classe II — Produto Muito Perigoso ao Meio Ambiente</t>
        </is>
      </c>
      <c r="Q495" s="9" t="n">
        <v>24</v>
      </c>
      <c r="R495" s="7" t="inlineStr">
        <is>
          <t>Terrestre / Aérea (Drones consultar bula)</t>
        </is>
      </c>
      <c r="S495" s="7" t="inlineStr">
        <is>
          <t>Sem antídoto específico; tratamento sintomático</t>
        </is>
      </c>
      <c r="T495" s="7" t="inlineStr">
        <is>
          <t>RAINBOW DEFENSIVOS AGRICOLAS LTDA</t>
        </is>
      </c>
      <c r="U495" s="10">
        <f>HYPERLINK("https://agrofit.agricultura.gov.br/agrofit_cons/principal_agrofit_cons", "Consulta Oficial AGROFIT/MAPA (Nº 27323)")</f>
        <v/>
      </c>
    </row>
    <row r="496" ht="22" customHeight="1">
      <c r="A496" s="11" t="n">
        <v>491</v>
      </c>
      <c r="B496" s="12" t="inlineStr">
        <is>
          <t>Nº 31522</t>
        </is>
      </c>
      <c r="C496" s="13" t="inlineStr">
        <is>
          <t>METOMY 1X1KG (IMP)</t>
        </is>
      </c>
      <c r="D496" s="14" t="inlineStr">
        <is>
          <t>METOMY</t>
        </is>
      </c>
      <c r="E496" s="13" t="inlineStr">
        <is>
          <t>Produto Formulado Comercial</t>
        </is>
      </c>
      <c r="F496" s="13" t="inlineStr">
        <is>
          <t>Defensivos</t>
        </is>
      </c>
      <c r="G496" s="13" t="inlineStr">
        <is>
          <t>Inseticida</t>
        </is>
      </c>
      <c r="H496" s="13" t="inlineStr">
        <is>
          <t>SP</t>
        </is>
      </c>
      <c r="I496" s="13" t="inlineStr">
        <is>
          <t>Pó Solúvel em Água (SP)</t>
        </is>
      </c>
      <c r="J496" s="13" t="inlineStr">
        <is>
          <t>Inseticida sistêmico de contato e ingestão com efeito ovicida/larvicida</t>
        </is>
      </c>
      <c r="K496" s="13" t="inlineStr">
        <is>
          <t>Metilcarbamato de oxima</t>
        </is>
      </c>
      <c r="L496" s="13" t="inlineStr">
        <is>
          <t>IRAC Grupo 1A</t>
        </is>
      </c>
      <c r="M496" s="13" t="inlineStr">
        <is>
          <t>Inibidores reversíveis da enzima acetilcolinesterase (AChE)</t>
        </is>
      </c>
      <c r="N496" s="13" t="inlineStr">
        <is>
          <t>Categoria 2 — Produto Altamente Tóxico</t>
        </is>
      </c>
      <c r="O496" s="13" t="inlineStr">
        <is>
          <t>Vermelho PMS Red 199 C</t>
        </is>
      </c>
      <c r="P496" s="13" t="inlineStr">
        <is>
          <t>Classe II — Produto Muito Perigoso ao Meio Ambiente</t>
        </is>
      </c>
      <c r="Q496" s="15" t="n">
        <v>24</v>
      </c>
      <c r="R496" s="13" t="inlineStr">
        <is>
          <t>Terrestre / Aérea (Drones consultar bula)</t>
        </is>
      </c>
      <c r="S496" s="13" t="inlineStr">
        <is>
          <t>Sulfato de Atropina (antídoto específico; NÃO administrar oximas/pralidoxima em carbamatos)</t>
        </is>
      </c>
      <c r="T496" s="13" t="inlineStr">
        <is>
          <t>RAINBOW DEFENSIVOS AGRÍCOLAS LTDA.</t>
        </is>
      </c>
      <c r="U496" s="16">
        <f>HYPERLINK("https://agrofit.agricultura.gov.br/agrofit_cons/principal_agrofit_cons", "Consulta Oficial AGROFIT/MAPA (Nº 31522)")</f>
        <v/>
      </c>
    </row>
    <row r="497" ht="22" customHeight="1">
      <c r="A497" s="5" t="n">
        <v>492</v>
      </c>
      <c r="B497" s="6" t="inlineStr">
        <is>
          <t>SIPEAGRO (UF-XXXXX)</t>
        </is>
      </c>
      <c r="C497" s="7" t="inlineStr">
        <is>
          <t>HIPHOS 25 GR 00-25-00 BAG 1000KG</t>
        </is>
      </c>
      <c r="D497" s="8" t="inlineStr">
        <is>
          <t>HIPHOS 25 GR 00-25-00 BAG</t>
        </is>
      </c>
      <c r="E497" s="7" t="inlineStr">
        <is>
          <t>Fertilizante Mineral / Organomineral</t>
        </is>
      </c>
      <c r="F497" s="7" t="inlineStr">
        <is>
          <t>Fertilizantes</t>
        </is>
      </c>
      <c r="G497" s="7" t="inlineStr">
        <is>
          <t>Fertilizante Mineral Simples (Fosfatado)</t>
        </is>
      </c>
      <c r="H497" s="7" t="inlineStr">
        <is>
          <t>GR</t>
        </is>
      </c>
      <c r="I497" s="7" t="inlineStr">
        <is>
          <t>Granulado (GR)</t>
        </is>
      </c>
      <c r="J497" s="7" t="inlineStr">
        <is>
          <t>Aplicação via solo, fertirrigação ou adubação foliar</t>
        </is>
      </c>
      <c r="K497" s="7" t="inlineStr">
        <is>
          <t>Fertilizante Mineral / Organomineral (Lei nº 6.894/1980)</t>
        </is>
      </c>
      <c r="L497" s="7" t="inlineStr">
        <is>
          <t>Nutrição Vegetal SIPEAGRO</t>
        </is>
      </c>
      <c r="M497" s="7" t="inlineStr">
        <is>
          <t>Fornecimento de macro e micronutrientes essenciais ao metabolismo vegetal</t>
        </is>
      </c>
      <c r="N497" s="7" t="inlineStr">
        <is>
          <t>Isento ANVISA (Produto Fertilizante Registrado no SIPEAGRO/MAPA)</t>
        </is>
      </c>
      <c r="O497" s="7" t="inlineStr">
        <is>
          <t>Não Aplicável (Fertilizante)</t>
        </is>
      </c>
      <c r="P497" s="7" t="inlineStr">
        <is>
          <t>Baixo Potencial Poluidor (Uso conforme recomendação agronômica)</t>
        </is>
      </c>
      <c r="Q497" s="9" t="n">
        <v>0</v>
      </c>
      <c r="R497" s="7" t="inlineStr">
        <is>
          <t>Aplicação Dirigida / TS / Solo</t>
        </is>
      </c>
      <c r="S497" s="7" t="inlineStr">
        <is>
          <t>Tratamento sintomático em caso de ingestão acidental</t>
        </is>
      </c>
      <c r="T497" s="7" t="inlineStr">
        <is>
          <t>Estabelecimento Produtor SIPEAGRO/MAPA</t>
        </is>
      </c>
      <c r="U497" s="10">
        <f>HYPERLINK("https://www.gov.br/agricultura/pt-br/assuntos/insumos-agropecuarios/insumos-agricolas/fertilizantes", "Portal SIPEAGRO / MAPA — Fertilizantes e Bioinsumos")</f>
        <v/>
      </c>
    </row>
    <row r="498" ht="22" customHeight="1">
      <c r="A498" s="11" t="n">
        <v>493</v>
      </c>
      <c r="B498" s="12" t="inlineStr">
        <is>
          <t>Nº 4900</t>
        </is>
      </c>
      <c r="C498" s="13" t="inlineStr">
        <is>
          <t>CONVERGE 400 EC 4X5L (IMP)</t>
        </is>
      </c>
      <c r="D498" s="14" t="inlineStr">
        <is>
          <t>CONVERGE 400 EC</t>
        </is>
      </c>
      <c r="E498" s="13" t="inlineStr">
        <is>
          <t>Produto Formulado Comercial</t>
        </is>
      </c>
      <c r="F498" s="13" t="inlineStr">
        <is>
          <t>Defensivos</t>
        </is>
      </c>
      <c r="G498" s="13" t="inlineStr">
        <is>
          <t>Herbicida</t>
        </is>
      </c>
      <c r="H498" s="13" t="inlineStr">
        <is>
          <t>EC</t>
        </is>
      </c>
      <c r="I498" s="13" t="inlineStr">
        <is>
          <t>EC - Concentrado Emulsionável</t>
        </is>
      </c>
      <c r="J498" s="13" t="inlineStr">
        <is>
          <t>Herbicida de contato de pós-emergência e desfolhante</t>
        </is>
      </c>
      <c r="K498" s="13" t="inlineStr">
        <is>
          <t>Triazolinona</t>
        </is>
      </c>
      <c r="L498" s="13" t="inlineStr">
        <is>
          <t>HRAC Grupo E (14) — Inibidores da PROTOX</t>
        </is>
      </c>
      <c r="M498" s="13" t="inlineStr">
        <is>
          <t>Inibidores da enzima protoporfirinogênio oxidase (PROTOX)</t>
        </is>
      </c>
      <c r="N498" s="13" t="inlineStr">
        <is>
          <t>Categoria 5: Produto Improvável de Causa Dano Agudo</t>
        </is>
      </c>
      <c r="O498" s="13" t="inlineStr">
        <is>
          <t>Azul</t>
        </is>
      </c>
      <c r="P498" s="13" t="inlineStr">
        <is>
          <t>Classe II — Produto Muito Perigoso ao Meio Ambiente</t>
        </is>
      </c>
      <c r="Q498" s="15" t="n">
        <v>24</v>
      </c>
      <c r="R498" s="13" t="inlineStr">
        <is>
          <t>Terrestre / Aérea (Drones consultar bula)</t>
        </is>
      </c>
      <c r="S498" s="13" t="inlineStr">
        <is>
          <t>Sem antídoto específico; tratamento sintomático</t>
        </is>
      </c>
      <c r="T498" s="13" t="inlineStr">
        <is>
          <t>FMC QUIMICA DO BRASIL LTDA</t>
        </is>
      </c>
      <c r="U498" s="16">
        <f>HYPERLINK("https://agrofit.agricultura.gov.br/agrofit_cons/principal_agrofit_cons", "Consulta Oficial AGROFIT/MAPA (Nº 4900)")</f>
        <v/>
      </c>
    </row>
    <row r="499" ht="22" customHeight="1">
      <c r="A499" s="5" t="n">
        <v>494</v>
      </c>
      <c r="B499" s="6" t="inlineStr">
        <is>
          <t>Nº 1109</t>
        </is>
      </c>
      <c r="C499" s="7" t="inlineStr">
        <is>
          <t>TROVATI 360 CS 4X5L (IMP)</t>
        </is>
      </c>
      <c r="D499" s="8" t="inlineStr">
        <is>
          <t>TROVATI 360 CS</t>
        </is>
      </c>
      <c r="E499" s="7" t="inlineStr">
        <is>
          <t>Produto Formulado Comercial</t>
        </is>
      </c>
      <c r="F499" s="7" t="inlineStr">
        <is>
          <t>Defensivos</t>
        </is>
      </c>
      <c r="G499" s="7" t="inlineStr">
        <is>
          <t>Herbicida</t>
        </is>
      </c>
      <c r="H499" s="7" t="inlineStr">
        <is>
          <t>CS</t>
        </is>
      </c>
      <c r="I499" s="7" t="inlineStr">
        <is>
          <t>Suspensão de Encapsulado (CS)</t>
        </is>
      </c>
      <c r="J499" s="7" t="inlineStr">
        <is>
          <t>Herbicida seletivo sistêmico pré-emergente</t>
        </is>
      </c>
      <c r="K499" s="7" t="inlineStr">
        <is>
          <t>Isoxazolidinona</t>
        </is>
      </c>
      <c r="L499" s="7" t="inlineStr">
        <is>
          <t>HRAC Grupo F4 (13) — Inibidores da DOXP sintase</t>
        </is>
      </c>
      <c r="M499" s="7" t="inlineStr">
        <is>
          <t>Inibidores da 1-deoxi-D-xilulose 5-fosfato sintase (biossíntese de plastoquinona/carotenoides)</t>
        </is>
      </c>
      <c r="N499" s="7" t="inlineStr">
        <is>
          <t>Categoria 4 — Produto Pouco Tóxico</t>
        </is>
      </c>
      <c r="O499" s="7" t="inlineStr">
        <is>
          <t>Azul PMS Blue 293 C</t>
        </is>
      </c>
      <c r="P499" s="7" t="inlineStr">
        <is>
          <t>Classe II — Produto Muito Perigoso ao Meio Ambiente</t>
        </is>
      </c>
      <c r="Q499" s="9" t="n">
        <v>24</v>
      </c>
      <c r="R499" s="7" t="inlineStr">
        <is>
          <t>Terrestre / Aérea (Drones consultar bula)</t>
        </is>
      </c>
      <c r="S499" s="7" t="inlineStr">
        <is>
          <t>Sem antídoto específico; tratamento sintomático</t>
        </is>
      </c>
      <c r="T499" s="7" t="inlineStr">
        <is>
          <t>FMC Química do Brasil</t>
        </is>
      </c>
      <c r="U499" s="10">
        <f>HYPERLINK("https://agrofit.agricultura.gov.br/agrofit_cons/principal_agrofit_cons", "Consulta Oficial AGROFIT/MAPA (Nº 1109)")</f>
        <v/>
      </c>
    </row>
    <row r="500" ht="22" customHeight="1">
      <c r="A500" s="11" t="n">
        <v>495</v>
      </c>
      <c r="B500" s="12" t="inlineStr">
        <is>
          <t>SIPEAGRO (UF-XXXXX)</t>
        </is>
      </c>
      <c r="C500" s="13" t="inlineStr">
        <is>
          <t>BENTONITA 90%S - GRANULADO - 1.200 KG</t>
        </is>
      </c>
      <c r="D500" s="14" t="inlineStr">
        <is>
          <t>BENTONITA 90%S - GRANULADO - 1.200 KG</t>
        </is>
      </c>
      <c r="E500" s="13" t="inlineStr">
        <is>
          <t>Corretivo / Condicionador de Solo</t>
        </is>
      </c>
      <c r="F500" s="13" t="inlineStr">
        <is>
          <t>Corretivos e Condicionadores de Solo</t>
        </is>
      </c>
      <c r="G500" s="13" t="inlineStr">
        <is>
          <t>Condicionador / Fonte Mineral de Enxofre (Enxofre + Bentonita)</t>
        </is>
      </c>
      <c r="H500" s="13" t="inlineStr">
        <is>
          <t>Pó</t>
        </is>
      </c>
      <c r="I500" s="13" t="inlineStr">
        <is>
          <t>Formulação Padrão (Pó / Granulado / Pastilhado)</t>
        </is>
      </c>
      <c r="J500" s="13" t="inlineStr">
        <is>
          <t>Incorporação ou aplicação em área total no solo</t>
        </is>
      </c>
      <c r="K500" s="13" t="inlineStr">
        <is>
          <t>Corretivo de Acidez / Condicionador de Solo (SIPEAGRO)</t>
        </is>
      </c>
      <c r="L500" s="13" t="inlineStr">
        <is>
          <t>Correção Química de Solo</t>
        </is>
      </c>
      <c r="M500" s="13" t="inlineStr">
        <is>
          <t>Neutralização de Al3+ tóxico e fornecimento de Ca2+, Mg2+, S ou B</t>
        </is>
      </c>
      <c r="N500" s="13" t="inlineStr">
        <is>
          <t>Isento ANVISA (Corretivo Agrícola SIPEAGRO)</t>
        </is>
      </c>
      <c r="O500" s="13" t="inlineStr">
        <is>
          <t>Não Aplicável</t>
        </is>
      </c>
      <c r="P500" s="13" t="inlineStr">
        <is>
          <t>Produto Mineral Natural</t>
        </is>
      </c>
      <c r="Q500" s="15" t="n">
        <v>24</v>
      </c>
      <c r="R500" s="13" t="inlineStr">
        <is>
          <t>Terrestre / Aérea (Drones consultar bula)</t>
        </is>
      </c>
      <c r="S500" s="13" t="inlineStr">
        <is>
          <t>Tratamento sintomático</t>
        </is>
      </c>
      <c r="T500" s="13" t="inlineStr">
        <is>
          <t>Estabelecimento Produtor SIPEAGRO/MAPA</t>
        </is>
      </c>
      <c r="U500" s="16">
        <f>HYPERLINK("https://www.gov.br/agricultura/pt-br/assuntos/insumos-agropecuarios/insumos-agricolas/fertilizantes", "Portal SIPEAGRO / MAPA — Fertilizantes e Bioinsumos")</f>
        <v/>
      </c>
    </row>
    <row r="501" ht="22" customHeight="1">
      <c r="A501" s="5" t="n">
        <v>496</v>
      </c>
      <c r="B501" s="6" t="inlineStr">
        <is>
          <t>Nº 40624</t>
        </is>
      </c>
      <c r="C501" s="7" t="inlineStr">
        <is>
          <t>CLORPIRIFOS 480 EC AGCN (IMP) AMOSTRA 1L</t>
        </is>
      </c>
      <c r="D501" s="8" t="inlineStr">
        <is>
          <t>CLORPIRIFOS 480 EC AGCN (IMP) AMOSTRA</t>
        </is>
      </c>
      <c r="E501" s="7" t="inlineStr">
        <is>
          <t>Produto Formulado Comercial</t>
        </is>
      </c>
      <c r="F501" s="7" t="inlineStr">
        <is>
          <t>Defensivos</t>
        </is>
      </c>
      <c r="G501" s="7" t="inlineStr">
        <is>
          <t>Inseticida</t>
        </is>
      </c>
      <c r="H501" s="7" t="inlineStr">
        <is>
          <t>EC</t>
        </is>
      </c>
      <c r="I501" s="7" t="inlineStr">
        <is>
          <t>Concentrado Emulsionável (EC)</t>
        </is>
      </c>
      <c r="J501" s="7" t="inlineStr">
        <is>
          <t>Inseticida e acaricida de contato, ingestão e profundidade</t>
        </is>
      </c>
      <c r="K501" s="7" t="inlineStr">
        <is>
          <t>Organofosforado</t>
        </is>
      </c>
      <c r="L501" s="7" t="inlineStr">
        <is>
          <t>IRAC Grupo 1B</t>
        </is>
      </c>
      <c r="M501" s="7" t="inlineStr">
        <is>
          <t>Inibidores da acetilcolinesterase (AChE)</t>
        </is>
      </c>
      <c r="N501" s="7" t="inlineStr">
        <is>
          <t>Categoria 2 — Produto Altamente Tóxico</t>
        </is>
      </c>
      <c r="O501" s="7" t="inlineStr">
        <is>
          <t>Vermelho PMS Red 199 C</t>
        </is>
      </c>
      <c r="P501" s="7" t="inlineStr">
        <is>
          <t>Classe II — Produto Muito Perigoso ao Meio Ambiente</t>
        </is>
      </c>
      <c r="Q501" s="9" t="n">
        <v>24</v>
      </c>
      <c r="R501" s="7" t="inlineStr">
        <is>
          <t>Terrestre / Aérea (Drones consultar bula)</t>
        </is>
      </c>
      <c r="S501" s="7" t="inlineStr">
        <is>
          <t>Atropina (agonista antimuscarínico) e Pralidoxima (reativador de colinesterase)</t>
        </is>
      </c>
      <c r="T501" s="7" t="inlineStr">
        <is>
          <t>AGRICONNECTION IMPORTADORA E EXPORTADORA DE INSUMOS AGRÍCOLAS LTDA.</t>
        </is>
      </c>
      <c r="U501" s="10">
        <f>HYPERLINK("https://agrofit.agricultura.gov.br/agrofit_cons/principal_agrofit_cons", "Consulta Oficial AGROFIT/MAPA (Nº 40624)")</f>
        <v/>
      </c>
    </row>
    <row r="502" ht="22" customHeight="1">
      <c r="A502" s="11" t="n">
        <v>497</v>
      </c>
      <c r="B502" s="12" t="inlineStr">
        <is>
          <t>Nº 27717</t>
        </is>
      </c>
      <c r="C502" s="13" t="inlineStr">
        <is>
          <t>FIPRONIL 800 WG AGCN AMOSTRA 0,200KG FF IMP</t>
        </is>
      </c>
      <c r="D502" s="14" t="inlineStr">
        <is>
          <t>FIPRONIL 800 WG AGCN AMOSTRA 0,200KG FF IMP</t>
        </is>
      </c>
      <c r="E502" s="13" t="inlineStr">
        <is>
          <t>Produto Formulado Comercial</t>
        </is>
      </c>
      <c r="F502" s="13" t="inlineStr">
        <is>
          <t>Defensivos</t>
        </is>
      </c>
      <c r="G502" s="13" t="inlineStr">
        <is>
          <t>Inseticida e Cupinicida (Fipronil)</t>
        </is>
      </c>
      <c r="H502" s="13" t="inlineStr">
        <is>
          <t>WG</t>
        </is>
      </c>
      <c r="I502" s="13" t="inlineStr">
        <is>
          <t>Grânulos Dispersíveis em Água (WG)</t>
        </is>
      </c>
      <c r="J502" s="13" t="inlineStr">
        <is>
          <t>Inseticida, cupinicida e formicida de contato e ingestão (TS / Solo)</t>
        </is>
      </c>
      <c r="K502" s="13" t="inlineStr">
        <is>
          <t>Pirazol (Fenilpirazol)</t>
        </is>
      </c>
      <c r="L502" s="13" t="inlineStr">
        <is>
          <t>IRAC Grupo 2B</t>
        </is>
      </c>
      <c r="M502" s="13" t="inlineStr">
        <is>
          <t>Bloqueadores de canais de cloro mediados pelo GABA</t>
        </is>
      </c>
      <c r="N502" s="13" t="inlineStr">
        <is>
          <t>Categoria 3 — Produto Moderadamente Tóxico</t>
        </is>
      </c>
      <c r="O502" s="13" t="inlineStr">
        <is>
          <t>Amarelo PMS Yellow C</t>
        </is>
      </c>
      <c r="P502" s="13" t="inlineStr">
        <is>
          <t>Classe II — Produto Muito Perigoso ao Meio Ambiente</t>
        </is>
      </c>
      <c r="Q502" s="15" t="n">
        <v>24</v>
      </c>
      <c r="R502" s="13" t="inlineStr">
        <is>
          <t>Terrestre / Aérea (Drones consultar bula)</t>
        </is>
      </c>
      <c r="S502" s="13" t="inlineStr">
        <is>
          <t>Sem antídoto específico; tratamento sintomático e controle neurológico</t>
        </is>
      </c>
      <c r="T502" s="13" t="inlineStr">
        <is>
          <t>AGRICONNECTION IMPORTADORA E EXPORTADORA DE INSUMOS AGRÍCOLAS LTDA.</t>
        </is>
      </c>
      <c r="U502" s="16">
        <f>HYPERLINK("https://agrofit.agricultura.gov.br/agrofit_cons/principal_agrofit_cons", "Consulta Oficial AGROFIT/MAPA (Nº 27717)")</f>
        <v/>
      </c>
    </row>
    <row r="503" ht="22" customHeight="1">
      <c r="A503" s="5" t="n">
        <v>498</v>
      </c>
      <c r="B503" s="6" t="inlineStr">
        <is>
          <t>Nº 14421</t>
        </is>
      </c>
      <c r="C503" s="7" t="inlineStr">
        <is>
          <t>FIPRONIL 250 FS AGCN IMP FF 0,200KG AMOSTRA</t>
        </is>
      </c>
      <c r="D503" s="8" t="inlineStr">
        <is>
          <t>FIPRONIL 250 FS AGCN IMP FF 0,200KG AMOSTRA</t>
        </is>
      </c>
      <c r="E503" s="7" t="inlineStr">
        <is>
          <t>Produto Formulado Comercial</t>
        </is>
      </c>
      <c r="F503" s="7" t="inlineStr">
        <is>
          <t>Defensivos</t>
        </is>
      </c>
      <c r="G503" s="7" t="inlineStr">
        <is>
          <t>Inseticida e Cupinicida (Fipronil)</t>
        </is>
      </c>
      <c r="H503" s="7" t="inlineStr">
        <is>
          <t>FS</t>
        </is>
      </c>
      <c r="I503" s="7" t="inlineStr">
        <is>
          <t>Suspensão Concentrada para Tratamento de Sementes (FS)</t>
        </is>
      </c>
      <c r="J503" s="7" t="inlineStr">
        <is>
          <t>Inseticida, cupinicida e formicida de contato e ingestão (TS / Solo)</t>
        </is>
      </c>
      <c r="K503" s="7" t="inlineStr">
        <is>
          <t>Pirazol (Fenilpirazol)</t>
        </is>
      </c>
      <c r="L503" s="7" t="inlineStr">
        <is>
          <t>IRAC Grupo 2B</t>
        </is>
      </c>
      <c r="M503" s="7" t="inlineStr">
        <is>
          <t>Bloqueadores de canais de cloro mediados pelo GABA</t>
        </is>
      </c>
      <c r="N503" s="7" t="inlineStr">
        <is>
          <t>Categoria 3 — Produto Moderadamente Tóxico</t>
        </is>
      </c>
      <c r="O503" s="7" t="inlineStr">
        <is>
          <t>Amarelo PMS Yellow C</t>
        </is>
      </c>
      <c r="P503" s="7" t="inlineStr">
        <is>
          <t>Classe II — Produto Muito Perigoso ao Meio Ambiente</t>
        </is>
      </c>
      <c r="Q503" s="9" t="n">
        <v>0</v>
      </c>
      <c r="R503" s="7" t="inlineStr">
        <is>
          <t>Aplicação Dirigida / TS / Solo</t>
        </is>
      </c>
      <c r="S503" s="7" t="inlineStr">
        <is>
          <t>Sem antídoto específico; tratamento sintomático e controle neurológico</t>
        </is>
      </c>
      <c r="T503" s="7" t="inlineStr">
        <is>
          <t>AGRICONNECTION IMPORTADORA E EXPORTADORA DE INSUMOS AGRÍCOLAS LTDA.</t>
        </is>
      </c>
      <c r="U503" s="10">
        <f>HYPERLINK("https://agrofit.agricultura.gov.br/agrofit_cons/principal_agrofit_cons", "Consulta Oficial AGROFIT/MAPA (Nº 14421)")</f>
        <v/>
      </c>
    </row>
    <row r="504" ht="22" customHeight="1">
      <c r="A504" s="11" t="n">
        <v>499</v>
      </c>
      <c r="B504" s="12" t="inlineStr">
        <is>
          <t>Nº 34621</t>
        </is>
      </c>
      <c r="C504" s="13" t="inlineStr">
        <is>
          <t>RATEIO 200SL AMOSTRA 0,200L</t>
        </is>
      </c>
      <c r="D504" s="14" t="inlineStr">
        <is>
          <t>RATEIO 200SL AMOSTRA 0,200L</t>
        </is>
      </c>
      <c r="E504" s="13" t="inlineStr">
        <is>
          <t>Produto Formulado Comercial</t>
        </is>
      </c>
      <c r="F504" s="13" t="inlineStr">
        <is>
          <t>Defensivos</t>
        </is>
      </c>
      <c r="G504" s="13" t="inlineStr">
        <is>
          <t>Herbicida Dessecante</t>
        </is>
      </c>
      <c r="H504" s="13" t="inlineStr">
        <is>
          <t>SL</t>
        </is>
      </c>
      <c r="I504" s="13" t="inlineStr">
        <is>
          <t>Concentrado Solúvel (SL)</t>
        </is>
      </c>
      <c r="J504" s="13" t="inlineStr">
        <is>
          <t>Herbicida dessecante não seletivo de contato e ação rápida</t>
        </is>
      </c>
      <c r="K504" s="13" t="inlineStr">
        <is>
          <t>Bipiridílio</t>
        </is>
      </c>
      <c r="L504" s="13" t="inlineStr">
        <is>
          <t>HRAC Grupo D (22) — Desviadores de Elétrons do Fotossistema I</t>
        </is>
      </c>
      <c r="M504" s="13" t="inlineStr">
        <is>
          <t>Inibidores do Fotossistema I (geração de radicais livres peróxidos)</t>
        </is>
      </c>
      <c r="N504" s="13" t="inlineStr">
        <is>
          <t>Categoria 3 — Produto Moderadamente Tóxico</t>
        </is>
      </c>
      <c r="O504" s="13" t="inlineStr">
        <is>
          <t>Amarelo PMS Yellow C</t>
        </is>
      </c>
      <c r="P504" s="13" t="inlineStr">
        <is>
          <t>Classe II — Produto Muito Perigoso ao Meio Ambiente</t>
        </is>
      </c>
      <c r="Q504" s="15" t="n">
        <v>24</v>
      </c>
      <c r="R504" s="13" t="inlineStr">
        <is>
          <t>Terrestre / Aérea (Drones consultar bula)</t>
        </is>
      </c>
      <c r="S504" s="13" t="inlineStr">
        <is>
          <t>Sem antídoto específico; terra de Fuller / bentonita / carvão ativado na descontaminação gástrica</t>
        </is>
      </c>
      <c r="T504" s="13" t="inlineStr">
        <is>
          <t>YONON BRASIL DEFENSIVOS AGRÍCOLAS LTDA. / CCAB AGRO S.A.</t>
        </is>
      </c>
      <c r="U504" s="16">
        <f>HYPERLINK("https://agrofit.agricultura.gov.br/agrofit_cons/principal_agrofit_cons", "Consulta Oficial AGROFIT/MAPA (Nº 34621)")</f>
        <v/>
      </c>
    </row>
    <row r="505" ht="22" customHeight="1">
      <c r="A505" s="5" t="n">
        <v>500</v>
      </c>
      <c r="B505" s="6" t="inlineStr">
        <is>
          <t>Nº 14024</t>
        </is>
      </c>
      <c r="C505" s="7" t="inlineStr">
        <is>
          <t>ETHIPROLE 200 SC YONON BB IMP 0,200L AMOSTRA</t>
        </is>
      </c>
      <c r="D505" s="8" t="inlineStr">
        <is>
          <t>ETHIPROLE</t>
        </is>
      </c>
      <c r="E505" s="7" t="inlineStr">
        <is>
          <t>Produto Formulado Comercial</t>
        </is>
      </c>
      <c r="F505" s="7" t="inlineStr">
        <is>
          <t>Defensivos</t>
        </is>
      </c>
      <c r="G505" s="7" t="inlineStr">
        <is>
          <t>Inseticida</t>
        </is>
      </c>
      <c r="H505" s="7" t="inlineStr">
        <is>
          <t>SC</t>
        </is>
      </c>
      <c r="I505" s="7" t="inlineStr">
        <is>
          <t>Suspensão Concentrada (SC)</t>
        </is>
      </c>
      <c r="J505" s="7" t="inlineStr">
        <is>
          <t>Inseticida/acaricida de contato e ingestão</t>
        </is>
      </c>
      <c r="K505" s="7" t="inlineStr">
        <is>
          <t>Fenilpirazol</t>
        </is>
      </c>
      <c r="L505" s="7" t="inlineStr">
        <is>
          <t>IRAC Grupo 2B</t>
        </is>
      </c>
      <c r="M505" s="7" t="inlineStr">
        <is>
          <t>Bloqueadores de canais de cloro mediados pelo GABA</t>
        </is>
      </c>
      <c r="N505" s="7" t="inlineStr">
        <is>
          <t>Categoria 5 — Produto Improvável de Causar Dano Agudo</t>
        </is>
      </c>
      <c r="O505" s="7" t="inlineStr">
        <is>
          <t>Azul Intenso</t>
        </is>
      </c>
      <c r="P505" s="7" t="inlineStr">
        <is>
          <t>Classe II — Produto Muito Perigoso ao Meio Ambiente</t>
        </is>
      </c>
      <c r="Q505" s="9" t="n">
        <v>24</v>
      </c>
      <c r="R505" s="7" t="inlineStr">
        <is>
          <t>Terrestre / Aérea (Drones consultar bula)</t>
        </is>
      </c>
      <c r="S505" s="7" t="inlineStr">
        <is>
          <t>Tratamento sintomático conforme grupo químico na bula</t>
        </is>
      </c>
      <c r="T505" s="7" t="inlineStr">
        <is>
          <t>YONON BRASIL DEFENSIVOS AGRÍCOLAS LTDA.</t>
        </is>
      </c>
      <c r="U505" s="10">
        <f>HYPERLINK("https://agrofit.agricultura.gov.br/agrofit_cons/principal_agrofit_cons", "Consulta Oficial AGROFIT/MAPA (Nº 14024)")</f>
        <v/>
      </c>
    </row>
    <row r="506" ht="22" customHeight="1">
      <c r="A506" s="11" t="n">
        <v>501</v>
      </c>
      <c r="B506" s="12" t="inlineStr">
        <is>
          <t>SIPEAGRO (UF-XXXXX)</t>
        </is>
      </c>
      <c r="C506" s="13" t="inlineStr">
        <is>
          <t>FERT 08.40.00 + 5 S (VALIDAR)</t>
        </is>
      </c>
      <c r="D506" s="14" t="inlineStr">
        <is>
          <t>FERT 08.40.00 + 5 S (VALIDAR)</t>
        </is>
      </c>
      <c r="E506" s="13" t="inlineStr">
        <is>
          <t>Fertilizante Mineral / Organomineral</t>
        </is>
      </c>
      <c r="F506" s="13" t="inlineStr">
        <is>
          <t>Fertilizantes</t>
        </is>
      </c>
      <c r="G506" s="13" t="inlineStr">
        <is>
          <t>Fertilizante Mineral Misto (NPK / NP)</t>
        </is>
      </c>
      <c r="H506" s="13" t="inlineStr">
        <is>
          <t>Granulado</t>
        </is>
      </c>
      <c r="I506" s="13" t="inlineStr">
        <is>
          <t>Formulação Padrão (Granulado / Solúvel / Suspensão)</t>
        </is>
      </c>
      <c r="J506" s="13" t="inlineStr">
        <is>
          <t>Aplicação via solo, fertirrigação ou adubação foliar</t>
        </is>
      </c>
      <c r="K506" s="13" t="inlineStr">
        <is>
          <t>Fertilizante Mineral / Organomineral (Lei nº 6.894/1980)</t>
        </is>
      </c>
      <c r="L506" s="13" t="inlineStr">
        <is>
          <t>Nutrição Vegetal SIPEAGRO</t>
        </is>
      </c>
      <c r="M506" s="13" t="inlineStr">
        <is>
          <t>Fornecimento de macro e micronutrientes essenciais ao metabolismo vegetal</t>
        </is>
      </c>
      <c r="N506" s="13" t="inlineStr">
        <is>
          <t>Isento ANVISA (Produto Fertilizante Registrado no SIPEAGRO/MAPA)</t>
        </is>
      </c>
      <c r="O506" s="13" t="inlineStr">
        <is>
          <t>Não Aplicável (Fertilizante)</t>
        </is>
      </c>
      <c r="P506" s="13" t="inlineStr">
        <is>
          <t>Baixo Potencial Poluidor (Uso conforme recomendação agronômica)</t>
        </is>
      </c>
      <c r="Q506" s="15" t="n">
        <v>0</v>
      </c>
      <c r="R506" s="13" t="inlineStr">
        <is>
          <t>Aplicação Dirigida / TS / Solo</t>
        </is>
      </c>
      <c r="S506" s="13" t="inlineStr">
        <is>
          <t>Tratamento sintomático em caso de ingestão acidental</t>
        </is>
      </c>
      <c r="T506" s="13" t="inlineStr">
        <is>
          <t>Estabelecimento Produtor SIPEAGRO/MAPA</t>
        </is>
      </c>
      <c r="U506" s="16">
        <f>HYPERLINK("https://www.gov.br/agricultura/pt-br/assuntos/insumos-agropecuarios/insumos-agricolas/fertilizantes", "Portal SIPEAGRO / MAPA — Fertilizantes e Bioinsumos")</f>
        <v/>
      </c>
    </row>
    <row r="507" ht="22" customHeight="1">
      <c r="A507" s="5" t="n">
        <v>502</v>
      </c>
      <c r="B507" s="6" t="inlineStr">
        <is>
          <t>Nº 28520</t>
        </is>
      </c>
      <c r="C507" s="7" t="inlineStr">
        <is>
          <t>SENHA WG AMOSTRA 0,200KG GG IMP</t>
        </is>
      </c>
      <c r="D507" s="8" t="inlineStr">
        <is>
          <t>SENHA WG AMOSTRA 0,200KG GG IMP</t>
        </is>
      </c>
      <c r="E507" s="7" t="inlineStr">
        <is>
          <t>Produto Formulado Comercial</t>
        </is>
      </c>
      <c r="F507" s="7" t="inlineStr">
        <is>
          <t>Defensivos</t>
        </is>
      </c>
      <c r="G507" s="7" t="inlineStr">
        <is>
          <t>Herbicida</t>
        </is>
      </c>
      <c r="H507" s="7" t="inlineStr">
        <is>
          <t>WG</t>
        </is>
      </c>
      <c r="I507" s="7" t="inlineStr">
        <is>
          <t>Grânulos Dispersíveis em Água (WG)</t>
        </is>
      </c>
      <c r="J507" s="7" t="inlineStr">
        <is>
          <t>Herbicida sistêmico de pós-emergência (seletivo condicional p/ OGM)</t>
        </is>
      </c>
      <c r="K507" s="7" t="inlineStr">
        <is>
          <t>Glicina substituída</t>
        </is>
      </c>
      <c r="L507" s="7" t="inlineStr">
        <is>
          <t>HRAC Grupo G (EPSPs)</t>
        </is>
      </c>
      <c r="M507" s="7" t="inlineStr">
        <is>
          <t>Inibidores da enzima EPSPs (Enoil Piruvil Shiquimato Fosfato Sintase)</t>
        </is>
      </c>
      <c r="N507" s="7" t="inlineStr">
        <is>
          <t>Categoria 5 — Produto Improvável de Causar Dano Agudo</t>
        </is>
      </c>
      <c r="O507" s="7" t="inlineStr">
        <is>
          <t>Azul Intenso</t>
        </is>
      </c>
      <c r="P507" s="7" t="inlineStr">
        <is>
          <t>Classe III — Produto Perigoso ao Meio Ambiente</t>
        </is>
      </c>
      <c r="Q507" s="9" t="n">
        <v>24</v>
      </c>
      <c r="R507" s="7" t="inlineStr">
        <is>
          <t>Terrestre / Aérea (Drones consultar bula)</t>
        </is>
      </c>
      <c r="S507" s="7" t="inlineStr">
        <is>
          <t>Sem antídoto específico (Atropina ineficaz); tratamento sintomático</t>
        </is>
      </c>
      <c r="T507" s="7" t="inlineStr">
        <is>
          <t>RAINBOW DEFENSIVOS AGRÍCOLAS LTDA.</t>
        </is>
      </c>
      <c r="U507" s="10">
        <f>HYPERLINK("https://agrofit.agricultura.gov.br/agrofit_cons/principal_agrofit_cons", "Consulta Oficial AGROFIT/MAPA (Nº 28520)")</f>
        <v/>
      </c>
    </row>
    <row r="508" ht="22" customHeight="1">
      <c r="A508" s="11" t="n">
        <v>503</v>
      </c>
      <c r="B508" s="12" t="inlineStr">
        <is>
          <t>Nº 26718</t>
        </is>
      </c>
      <c r="C508" s="13" t="inlineStr">
        <is>
          <t>DINKY 4X5KG (IMP)</t>
        </is>
      </c>
      <c r="D508" s="14" t="inlineStr">
        <is>
          <t>DINKY</t>
        </is>
      </c>
      <c r="E508" s="13" t="inlineStr">
        <is>
          <t>Produto Formulado Comercial</t>
        </is>
      </c>
      <c r="F508" s="13" t="inlineStr">
        <is>
          <t>Defensivos</t>
        </is>
      </c>
      <c r="G508" s="13" t="inlineStr">
        <is>
          <t>Inseticida</t>
        </is>
      </c>
      <c r="H508" s="13" t="inlineStr">
        <is>
          <t>SP</t>
        </is>
      </c>
      <c r="I508" s="13" t="inlineStr">
        <is>
          <t>Pó Solúvel (SP)</t>
        </is>
      </c>
      <c r="J508" s="13" t="inlineStr">
        <is>
          <t>Inseticida sistêmico de contato, ingestão e ação translaminar</t>
        </is>
      </c>
      <c r="K508" s="13" t="inlineStr">
        <is>
          <t>Neonicotinoide</t>
        </is>
      </c>
      <c r="L508" s="13" t="inlineStr">
        <is>
          <t>IRAC Grupo 4A</t>
        </is>
      </c>
      <c r="M508" s="13" t="inlineStr">
        <is>
          <t>Moduladores competitivos de receptores nicotínicos da acetilcolina (nAChR)</t>
        </is>
      </c>
      <c r="N508" s="13" t="inlineStr">
        <is>
          <t>Categoria 4 — Produto Pouco Tóxico</t>
        </is>
      </c>
      <c r="O508" s="13" t="inlineStr">
        <is>
          <t>Azul PMS Blue 293 C</t>
        </is>
      </c>
      <c r="P508" s="13" t="inlineStr">
        <is>
          <t>Classe II — Produto Muito Perigoso ao Meio Ambiente</t>
        </is>
      </c>
      <c r="Q508" s="15" t="n">
        <v>24</v>
      </c>
      <c r="R508" s="13" t="inlineStr">
        <is>
          <t>Terrestre / Aérea (Drones consultar bula)</t>
        </is>
      </c>
      <c r="S508" s="13" t="inlineStr">
        <is>
          <t>Sem antídoto específico; tratamento sintomático</t>
        </is>
      </c>
      <c r="T508" s="13" t="inlineStr">
        <is>
          <t>GLOBACHEM PROTEÇÃO DE CULTIVOS DO BRASIL LTDA.</t>
        </is>
      </c>
      <c r="U508" s="16">
        <f>HYPERLINK("https://www.agrolink.com.br/agrolinkfito/produto/dinky-200-sp---promenade_10735.html", "Bula Oficial Dinky 200 SP (Globachem)")</f>
        <v/>
      </c>
    </row>
    <row r="509" ht="22" customHeight="1">
      <c r="A509" s="5" t="n">
        <v>504</v>
      </c>
      <c r="B509" s="6" t="inlineStr">
        <is>
          <t>Nº 5924</t>
        </is>
      </c>
      <c r="C509" s="7" t="inlineStr">
        <is>
          <t>FLAME WG 2X10KG (IMP) AR</t>
        </is>
      </c>
      <c r="D509" s="8" t="inlineStr">
        <is>
          <t>FLAME WG</t>
        </is>
      </c>
      <c r="E509" s="7" t="inlineStr">
        <is>
          <t>Produto Formulado Comercial</t>
        </is>
      </c>
      <c r="F509" s="7" t="inlineStr">
        <is>
          <t>Defensivos</t>
        </is>
      </c>
      <c r="G509" s="7" t="inlineStr">
        <is>
          <t>Inseticida</t>
        </is>
      </c>
      <c r="H509" s="7" t="inlineStr">
        <is>
          <t>WG</t>
        </is>
      </c>
      <c r="I509" s="7" t="inlineStr">
        <is>
          <t>WG - Granulado Dispersível</t>
        </is>
      </c>
      <c r="J509" s="7" t="inlineStr">
        <is>
          <t>Inseticida e acaricida de contato e ingestão</t>
        </is>
      </c>
      <c r="K509" s="7" t="inlineStr">
        <is>
          <t>Piretroide (Tipo I)</t>
        </is>
      </c>
      <c r="L509" s="7" t="inlineStr">
        <is>
          <t>IRAC Grupo 3A</t>
        </is>
      </c>
      <c r="M509" s="7" t="inlineStr">
        <is>
          <t>Moduladores de canais de sódio em membranas nervosas</t>
        </is>
      </c>
      <c r="N509" s="7" t="inlineStr">
        <is>
          <t>Categoria 4: Produto Pouco Tóxico</t>
        </is>
      </c>
      <c r="O509" s="7" t="inlineStr">
        <is>
          <t>Azul</t>
        </is>
      </c>
      <c r="P509" s="7" t="inlineStr">
        <is>
          <t>Classe II — Produto Muito Perigoso ao Meio Ambiente</t>
        </is>
      </c>
      <c r="Q509" s="9" t="n">
        <v>24</v>
      </c>
      <c r="R509" s="7" t="inlineStr">
        <is>
          <t>Terrestre / Aérea (Drones consultar bula)</t>
        </is>
      </c>
      <c r="S509" s="7" t="inlineStr">
        <is>
          <t>Sem antídoto específico; anti-histamínicos e vitamina E tópica para parestesia</t>
        </is>
      </c>
      <c r="T509" s="7" t="inlineStr">
        <is>
          <t>RAINBOW DEFENSIVOS AGRICOLAS LTDA</t>
        </is>
      </c>
      <c r="U509" s="10">
        <f>HYPERLINK("https://agrofit.agricultura.gov.br/agrofit_cons/principal_agrofit_cons", "Consulta Oficial AGROFIT/MAPA (Nº 5924)")</f>
        <v/>
      </c>
    </row>
    <row r="510" ht="22" customHeight="1">
      <c r="A510" s="11" t="n">
        <v>505</v>
      </c>
      <c r="B510" s="12" t="inlineStr">
        <is>
          <t>Nº 6313</t>
        </is>
      </c>
      <c r="C510" s="13" t="inlineStr">
        <is>
          <t>MANFIL 800 WP 1X10KG (IMP)</t>
        </is>
      </c>
      <c r="D510" s="14" t="inlineStr">
        <is>
          <t>MANFIL 800 WP</t>
        </is>
      </c>
      <c r="E510" s="13" t="inlineStr">
        <is>
          <t>Produto Formulado Comercial</t>
        </is>
      </c>
      <c r="F510" s="13" t="inlineStr">
        <is>
          <t>Defensivos</t>
        </is>
      </c>
      <c r="G510" s="13" t="inlineStr">
        <is>
          <t>Fungicida</t>
        </is>
      </c>
      <c r="H510" s="13" t="inlineStr">
        <is>
          <t>WP</t>
        </is>
      </c>
      <c r="I510" s="13" t="inlineStr">
        <is>
          <t>Pó Molhável (WP)</t>
        </is>
      </c>
      <c r="J510" s="13" t="inlineStr">
        <is>
          <t>Fungicida e acaricida protetor de contato multissítio</t>
        </is>
      </c>
      <c r="K510" s="13" t="inlineStr">
        <is>
          <t>Alquilenobis(ditiocarbamato)</t>
        </is>
      </c>
      <c r="L510" s="13" t="inlineStr">
        <is>
          <t>FRAC Grupo M03 — Multissítio</t>
        </is>
      </c>
      <c r="M510" s="13" t="inlineStr">
        <is>
          <t>Inibidor multissítio de enzimas contendo grupos sulfidrila e aminoácidos fúngicos</t>
        </is>
      </c>
      <c r="N510" s="13" t="inlineStr">
        <is>
          <t>Categoria 4 — Produto Pouco Tóxico</t>
        </is>
      </c>
      <c r="O510" s="13" t="inlineStr">
        <is>
          <t>Azul PMS Blue 293 C</t>
        </is>
      </c>
      <c r="P510" s="13" t="inlineStr">
        <is>
          <t>Classe II — Produto Muito Perigoso ao Meio Ambiente</t>
        </is>
      </c>
      <c r="Q510" s="15" t="n">
        <v>24</v>
      </c>
      <c r="R510" s="13" t="inlineStr">
        <is>
          <t>Terrestre / Aérea (Drones consultar bula)</t>
        </is>
      </c>
      <c r="S510" s="13" t="inlineStr">
        <is>
          <t>Sem antídoto específico; evitar consumo de álcool (efeito antabuse por ETU)</t>
        </is>
      </c>
      <c r="T510" s="13" t="inlineStr">
        <is>
          <t>INDOFIL INDUSTRIES DO BRASIL LTDA.</t>
        </is>
      </c>
      <c r="U510" s="16">
        <f>HYPERLINK("https://agrofit.agricultura.gov.br/agrofit_cons/principal_agrofit_cons", "Consulta Oficial AGROFIT/MAPA (Nº 6313)")</f>
        <v/>
      </c>
    </row>
    <row r="511" ht="22" customHeight="1">
      <c r="A511" s="5" t="n">
        <v>506</v>
      </c>
      <c r="B511" s="6" t="inlineStr">
        <is>
          <t>Nº 4900</t>
        </is>
      </c>
      <c r="C511" s="7" t="inlineStr">
        <is>
          <t>CONVERGE 400 EC  1X20L (IMP)</t>
        </is>
      </c>
      <c r="D511" s="8" t="inlineStr">
        <is>
          <t>CONVERGE 400 EC</t>
        </is>
      </c>
      <c r="E511" s="7" t="inlineStr">
        <is>
          <t>Produto Formulado Comercial</t>
        </is>
      </c>
      <c r="F511" s="7" t="inlineStr">
        <is>
          <t>Defensivos</t>
        </is>
      </c>
      <c r="G511" s="7" t="inlineStr">
        <is>
          <t>Herbicida</t>
        </is>
      </c>
      <c r="H511" s="7" t="inlineStr">
        <is>
          <t>EC</t>
        </is>
      </c>
      <c r="I511" s="7" t="inlineStr">
        <is>
          <t>EC - Concentrado Emulsionável</t>
        </is>
      </c>
      <c r="J511" s="7" t="inlineStr">
        <is>
          <t>Herbicida de contato de pós-emergência e desfolhante</t>
        </is>
      </c>
      <c r="K511" s="7" t="inlineStr">
        <is>
          <t>Triazolinona</t>
        </is>
      </c>
      <c r="L511" s="7" t="inlineStr">
        <is>
          <t>HRAC Grupo E (14) — Inibidores da PROTOX</t>
        </is>
      </c>
      <c r="M511" s="7" t="inlineStr">
        <is>
          <t>Inibidores da enzima protoporfirinogênio oxidase (PROTOX)</t>
        </is>
      </c>
      <c r="N511" s="7" t="inlineStr">
        <is>
          <t>Categoria 5: Produto Improvável de Causa Dano Agudo</t>
        </is>
      </c>
      <c r="O511" s="7" t="inlineStr">
        <is>
          <t>Azul</t>
        </is>
      </c>
      <c r="P511" s="7" t="inlineStr">
        <is>
          <t>Classe II — Produto Muito Perigoso ao Meio Ambiente</t>
        </is>
      </c>
      <c r="Q511" s="9" t="n">
        <v>24</v>
      </c>
      <c r="R511" s="7" t="inlineStr">
        <is>
          <t>Terrestre / Aérea (Drones consultar bula)</t>
        </is>
      </c>
      <c r="S511" s="7" t="inlineStr">
        <is>
          <t>Sem antídoto específico; tratamento sintomático</t>
        </is>
      </c>
      <c r="T511" s="7" t="inlineStr">
        <is>
          <t>FMC QUIMICA DO BRASIL LTDA</t>
        </is>
      </c>
      <c r="U511" s="10">
        <f>HYPERLINK("https://agrofit.agricultura.gov.br/agrofit_cons/principal_agrofit_cons", "Consulta Oficial AGROFIT/MAPA (Nº 4900)")</f>
        <v/>
      </c>
    </row>
    <row r="512" ht="22" customHeight="1">
      <c r="A512" s="11" t="n">
        <v>507</v>
      </c>
      <c r="B512" s="12" t="inlineStr">
        <is>
          <t>Nº 1109</t>
        </is>
      </c>
      <c r="C512" s="13" t="inlineStr">
        <is>
          <t>TROVATI 360 CS 1X20L (IMP)</t>
        </is>
      </c>
      <c r="D512" s="14" t="inlineStr">
        <is>
          <t>TROVATI 360 CS</t>
        </is>
      </c>
      <c r="E512" s="13" t="inlineStr">
        <is>
          <t>Produto Formulado Comercial</t>
        </is>
      </c>
      <c r="F512" s="13" t="inlineStr">
        <is>
          <t>Defensivos</t>
        </is>
      </c>
      <c r="G512" s="13" t="inlineStr">
        <is>
          <t>Herbicida</t>
        </is>
      </c>
      <c r="H512" s="13" t="inlineStr">
        <is>
          <t>CS</t>
        </is>
      </c>
      <c r="I512" s="13" t="inlineStr">
        <is>
          <t>Suspensão de Encapsulado (CS)</t>
        </is>
      </c>
      <c r="J512" s="13" t="inlineStr">
        <is>
          <t>Herbicida seletivo sistêmico pré-emergente</t>
        </is>
      </c>
      <c r="K512" s="13" t="inlineStr">
        <is>
          <t>Isoxazolidinona</t>
        </is>
      </c>
      <c r="L512" s="13" t="inlineStr">
        <is>
          <t>HRAC Grupo F4 (13) — Inibidores da DOXP sintase</t>
        </is>
      </c>
      <c r="M512" s="13" t="inlineStr">
        <is>
          <t>Inibidores da 1-deoxi-D-xilulose 5-fosfato sintase (biossíntese de plastoquinona/carotenoides)</t>
        </is>
      </c>
      <c r="N512" s="13" t="inlineStr">
        <is>
          <t>Categoria 4 — Produto Pouco Tóxico</t>
        </is>
      </c>
      <c r="O512" s="13" t="inlineStr">
        <is>
          <t>Azul PMS Blue 293 C</t>
        </is>
      </c>
      <c r="P512" s="13" t="inlineStr">
        <is>
          <t>Classe II — Produto Muito Perigoso ao Meio Ambiente</t>
        </is>
      </c>
      <c r="Q512" s="15" t="n">
        <v>24</v>
      </c>
      <c r="R512" s="13" t="inlineStr">
        <is>
          <t>Terrestre / Aérea (Drones consultar bula)</t>
        </is>
      </c>
      <c r="S512" s="13" t="inlineStr">
        <is>
          <t>Sem antídoto específico; tratamento sintomático</t>
        </is>
      </c>
      <c r="T512" s="13" t="inlineStr">
        <is>
          <t>FMC Química do Brasil</t>
        </is>
      </c>
      <c r="U512" s="16">
        <f>HYPERLINK("https://agrofit.agricultura.gov.br/agrofit_cons/principal_agrofit_cons", "Consulta Oficial AGROFIT/MAPA (Nº 1109)")</f>
        <v/>
      </c>
    </row>
    <row r="513" ht="22" customHeight="1">
      <c r="A513" s="5" t="n">
        <v>508</v>
      </c>
      <c r="B513" s="6" t="inlineStr">
        <is>
          <t>Nº 19018</t>
        </is>
      </c>
      <c r="C513" s="7" t="inlineStr">
        <is>
          <t>CLETODIM CARTAGO BLD I 1X20L</t>
        </is>
      </c>
      <c r="D513" s="8" t="inlineStr">
        <is>
          <t>CLETODIM CARTAGO BLD I</t>
        </is>
      </c>
      <c r="E513" s="7" t="inlineStr">
        <is>
          <t>Produto Formulado Comercial</t>
        </is>
      </c>
      <c r="F513" s="7" t="inlineStr">
        <is>
          <t>Defensivos</t>
        </is>
      </c>
      <c r="G513" s="7" t="inlineStr">
        <is>
          <t>Herbicida</t>
        </is>
      </c>
      <c r="H513" s="7" t="inlineStr">
        <is>
          <t>EC</t>
        </is>
      </c>
      <c r="I513" s="7" t="inlineStr">
        <is>
          <t>Concentrado Emulsionável (EC)</t>
        </is>
      </c>
      <c r="J513" s="7" t="inlineStr">
        <is>
          <t>Herbicida graminicida sistêmico seletivo de pós-emergência</t>
        </is>
      </c>
      <c r="K513" s="7" t="inlineStr">
        <is>
          <t>Oxima ciclohexanodiona (DIM)</t>
        </is>
      </c>
      <c r="L513" s="7" t="inlineStr">
        <is>
          <t>HRAC Grupo A (1) — Inibidores da ACCase</t>
        </is>
      </c>
      <c r="M513" s="7" t="inlineStr">
        <is>
          <t>Inibidores da Acetil CoA Carboxilase (ACCase)</t>
        </is>
      </c>
      <c r="N513" s="7" t="inlineStr">
        <is>
          <t>Categoria 4 / 5 — Pouco Tóxico</t>
        </is>
      </c>
      <c r="O513" s="7" t="inlineStr">
        <is>
          <t>Azul Intenso</t>
        </is>
      </c>
      <c r="P513" s="7" t="inlineStr">
        <is>
          <t>Classe III — Produto Perigoso ao Meio Ambiente</t>
        </is>
      </c>
      <c r="Q513" s="9" t="n">
        <v>24</v>
      </c>
      <c r="R513" s="7" t="inlineStr">
        <is>
          <t>Terrestre / Aérea (Drones consultar bula)</t>
        </is>
      </c>
      <c r="S513" s="7" t="inlineStr">
        <is>
          <t>Sem antídoto específico; tratamento sintomático</t>
        </is>
      </c>
      <c r="T513" s="7" t="inlineStr">
        <is>
          <t>ALBAUGH AGRO BRASIL LTDA.</t>
        </is>
      </c>
      <c r="U513" s="10">
        <f>HYPERLINK("https://www.adapar.pr.gov.br/Pagina/Agrotoxicos-Herbicidas", "Registro Oficial Cartago 240 EC (MAPA 19018)")</f>
        <v/>
      </c>
    </row>
    <row r="514" ht="22" customHeight="1">
      <c r="A514" s="11" t="n">
        <v>509</v>
      </c>
      <c r="B514" s="12" t="inlineStr">
        <is>
          <t>Nº 36419</t>
        </is>
      </c>
      <c r="C514" s="13" t="inlineStr">
        <is>
          <t>PIRIPROXIFEM 100 SINO-AGRI IMP 0,200L AMOSTRA</t>
        </is>
      </c>
      <c r="D514" s="14" t="inlineStr">
        <is>
          <t>PIRIPROXIFEM 100 SINO-AGRI IMP 0,200L AMOSTRA</t>
        </is>
      </c>
      <c r="E514" s="13" t="inlineStr">
        <is>
          <t>Produto Formulado Comercial</t>
        </is>
      </c>
      <c r="F514" s="13" t="inlineStr">
        <is>
          <t>Defensivos</t>
        </is>
      </c>
      <c r="G514" s="13" t="inlineStr">
        <is>
          <t>Inseticida</t>
        </is>
      </c>
      <c r="H514" s="13" t="inlineStr">
        <is>
          <t>EC</t>
        </is>
      </c>
      <c r="I514" s="13" t="inlineStr">
        <is>
          <t>Concentrado Emulsionável (EC)</t>
        </is>
      </c>
      <c r="J514" s="13" t="inlineStr">
        <is>
          <t>Inseticida fisiológico regulador de crescimento (contato e translaminar)</t>
        </is>
      </c>
      <c r="K514" s="13" t="inlineStr">
        <is>
          <t>Éter piridiloxipropílico</t>
        </is>
      </c>
      <c r="L514" s="13" t="inlineStr">
        <is>
          <t>IRAC Grupo 7C</t>
        </is>
      </c>
      <c r="M514" s="13" t="inlineStr">
        <is>
          <t>Mimetizadores do hormônio juvenil (Juvenoides)</t>
        </is>
      </c>
      <c r="N514" s="13" t="inlineStr">
        <is>
          <t>Categoria 5 — Produto Improvável de Causar Dano Agudo</t>
        </is>
      </c>
      <c r="O514" s="13" t="inlineStr">
        <is>
          <t>Azul Intenso</t>
        </is>
      </c>
      <c r="P514" s="13" t="inlineStr">
        <is>
          <t>Classe II — Produto Muito Perigoso ao Meio Ambiente</t>
        </is>
      </c>
      <c r="Q514" s="15" t="n">
        <v>24</v>
      </c>
      <c r="R514" s="13" t="inlineStr">
        <is>
          <t>Terrestre / Aérea (Drones consultar bula)</t>
        </is>
      </c>
      <c r="S514" s="13" t="inlineStr">
        <is>
          <t>Sem antídoto específico; tratamento sintomático</t>
        </is>
      </c>
      <c r="T514" s="13" t="inlineStr">
        <is>
          <t>CCAB Agro S.A.</t>
        </is>
      </c>
      <c r="U514" s="16">
        <f>HYPERLINK("https://agrofit.agricultura.gov.br/agrofit_cons/principal_agrofit_cons", "Consulta Oficial AGROFIT/MAPA (Nº 36419)")</f>
        <v/>
      </c>
    </row>
    <row r="515" ht="22" customHeight="1">
      <c r="A515" s="5" t="n">
        <v>510</v>
      </c>
      <c r="B515" s="6" t="inlineStr">
        <is>
          <t>Nº 2520</t>
        </is>
      </c>
      <c r="C515" s="7" t="inlineStr">
        <is>
          <t>SURVEY 250 FS 1X20L (IMP)</t>
        </is>
      </c>
      <c r="D515" s="8" t="inlineStr">
        <is>
          <t>SURVEY 250 FS</t>
        </is>
      </c>
      <c r="E515" s="7" t="inlineStr">
        <is>
          <t>Produto Formulado Comercial</t>
        </is>
      </c>
      <c r="F515" s="7" t="inlineStr">
        <is>
          <t>Defensivos</t>
        </is>
      </c>
      <c r="G515" s="7" t="inlineStr">
        <is>
          <t>Inseticida e Cupinicida (Fipronil)</t>
        </is>
      </c>
      <c r="H515" s="7" t="inlineStr">
        <is>
          <t>FS</t>
        </is>
      </c>
      <c r="I515" s="7" t="inlineStr">
        <is>
          <t>Suspensão Concentrada para Tratamento de Sementes (FS)</t>
        </is>
      </c>
      <c r="J515" s="7" t="inlineStr">
        <is>
          <t>Inseticida, cupinicida e formicida de contato e ingestão (TS / Solo)</t>
        </is>
      </c>
      <c r="K515" s="7" t="inlineStr">
        <is>
          <t>Pirazol (Fenilpirazol)</t>
        </is>
      </c>
      <c r="L515" s="7" t="inlineStr">
        <is>
          <t>IRAC Grupo 2B</t>
        </is>
      </c>
      <c r="M515" s="7" t="inlineStr">
        <is>
          <t>Bloqueadores de canais de cloro mediados pelo GABA</t>
        </is>
      </c>
      <c r="N515" s="7" t="inlineStr">
        <is>
          <t>Categoria 3 — Produto Moderadamente Tóxico</t>
        </is>
      </c>
      <c r="O515" s="7" t="inlineStr">
        <is>
          <t>Amarelo PMS Yellow C</t>
        </is>
      </c>
      <c r="P515" s="7" t="inlineStr">
        <is>
          <t>Classe II — Produto Muito Perigoso ao Meio Ambiente</t>
        </is>
      </c>
      <c r="Q515" s="9" t="n">
        <v>0</v>
      </c>
      <c r="R515" s="7" t="inlineStr">
        <is>
          <t>Aplicação Dirigida / TS / Solo</t>
        </is>
      </c>
      <c r="S515" s="7" t="inlineStr">
        <is>
          <t>Sem antídoto específico; tratamento sintomático e controle neurológico</t>
        </is>
      </c>
      <c r="T515" s="7" t="inlineStr">
        <is>
          <t>Rainbow Defensivos</t>
        </is>
      </c>
      <c r="U515" s="10">
        <f>HYPERLINK("https://agrofit.agricultura.gov.br/agrofit_cons/principal_agrofit_cons", "Consulta Oficial AGROFIT/MAPA (Nº 2520)")</f>
        <v/>
      </c>
    </row>
    <row r="516" ht="22" customHeight="1">
      <c r="A516" s="11" t="n">
        <v>511</v>
      </c>
      <c r="B516" s="12" t="inlineStr">
        <is>
          <t>Nº 34621</t>
        </is>
      </c>
      <c r="C516" s="13" t="inlineStr">
        <is>
          <t>RATEIO 200 SL 1X20L (IMP)</t>
        </is>
      </c>
      <c r="D516" s="14" t="inlineStr">
        <is>
          <t>RATEIO 200 SL</t>
        </is>
      </c>
      <c r="E516" s="13" t="inlineStr">
        <is>
          <t>Produto Formulado Comercial</t>
        </is>
      </c>
      <c r="F516" s="13" t="inlineStr">
        <is>
          <t>Defensivos</t>
        </is>
      </c>
      <c r="G516" s="13" t="inlineStr">
        <is>
          <t>Herbicida Dessecante</t>
        </is>
      </c>
      <c r="H516" s="13" t="inlineStr">
        <is>
          <t>SL</t>
        </is>
      </c>
      <c r="I516" s="13" t="inlineStr">
        <is>
          <t>Concentrado Solúvel (SL)</t>
        </is>
      </c>
      <c r="J516" s="13" t="inlineStr">
        <is>
          <t>Herbicida dessecante não seletivo de contato e ação rápida</t>
        </is>
      </c>
      <c r="K516" s="13" t="inlineStr">
        <is>
          <t>Bipiridílio</t>
        </is>
      </c>
      <c r="L516" s="13" t="inlineStr">
        <is>
          <t>HRAC Grupo D (22) — Desviadores de Elétrons do Fotossistema I</t>
        </is>
      </c>
      <c r="M516" s="13" t="inlineStr">
        <is>
          <t>Inibidores do Fotossistema I (geração de radicais livres peróxidos)</t>
        </is>
      </c>
      <c r="N516" s="13" t="inlineStr">
        <is>
          <t>Categoria 3 — Produto Moderadamente Tóxico</t>
        </is>
      </c>
      <c r="O516" s="13" t="inlineStr">
        <is>
          <t>Amarelo PMS Yellow C</t>
        </is>
      </c>
      <c r="P516" s="13" t="inlineStr">
        <is>
          <t>Classe II — Produto Muito Perigoso ao Meio Ambiente</t>
        </is>
      </c>
      <c r="Q516" s="15" t="n">
        <v>24</v>
      </c>
      <c r="R516" s="13" t="inlineStr">
        <is>
          <t>Terrestre / Aérea (Drones consultar bula)</t>
        </is>
      </c>
      <c r="S516" s="13" t="inlineStr">
        <is>
          <t>Sem antídoto específico; terra de Fuller / bentonita / carvão ativado na descontaminação gástrica</t>
        </is>
      </c>
      <c r="T516" s="13" t="inlineStr">
        <is>
          <t>YONON BRASIL DEFENSIVOS AGRÍCOLAS LTDA. / CCAB AGRO S.A.</t>
        </is>
      </c>
      <c r="U516" s="16">
        <f>HYPERLINK("https://agrofit.agricultura.gov.br/agrofit_cons/principal_agrofit_cons", "Consulta Oficial AGROFIT/MAPA (Nº 34621)")</f>
        <v/>
      </c>
    </row>
    <row r="517" ht="22" customHeight="1">
      <c r="A517" s="5" t="n">
        <v>512</v>
      </c>
      <c r="B517" s="6" t="inlineStr">
        <is>
          <t>Nº 5924</t>
        </is>
      </c>
      <c r="C517" s="7" t="inlineStr">
        <is>
          <t>FLAME WG 2X10KG (IMP) AW</t>
        </is>
      </c>
      <c r="D517" s="8" t="inlineStr">
        <is>
          <t>FLAME WG</t>
        </is>
      </c>
      <c r="E517" s="7" t="inlineStr">
        <is>
          <t>Produto Formulado Comercial</t>
        </is>
      </c>
      <c r="F517" s="7" t="inlineStr">
        <is>
          <t>Defensivos</t>
        </is>
      </c>
      <c r="G517" s="7" t="inlineStr">
        <is>
          <t>Inseticida</t>
        </is>
      </c>
      <c r="H517" s="7" t="inlineStr">
        <is>
          <t>WG</t>
        </is>
      </c>
      <c r="I517" s="7" t="inlineStr">
        <is>
          <t>WG - Granulado Dispersível</t>
        </is>
      </c>
      <c r="J517" s="7" t="inlineStr">
        <is>
          <t>Inseticida e acaricida de contato e ingestão</t>
        </is>
      </c>
      <c r="K517" s="7" t="inlineStr">
        <is>
          <t>Piretroide (Tipo I)</t>
        </is>
      </c>
      <c r="L517" s="7" t="inlineStr">
        <is>
          <t>IRAC Grupo 3A</t>
        </is>
      </c>
      <c r="M517" s="7" t="inlineStr">
        <is>
          <t>Moduladores de canais de sódio em membranas nervosas</t>
        </is>
      </c>
      <c r="N517" s="7" t="inlineStr">
        <is>
          <t>Categoria 4: Produto Pouco Tóxico</t>
        </is>
      </c>
      <c r="O517" s="7" t="inlineStr">
        <is>
          <t>Azul</t>
        </is>
      </c>
      <c r="P517" s="7" t="inlineStr">
        <is>
          <t>Classe II — Produto Muito Perigoso ao Meio Ambiente</t>
        </is>
      </c>
      <c r="Q517" s="9" t="n">
        <v>24</v>
      </c>
      <c r="R517" s="7" t="inlineStr">
        <is>
          <t>Terrestre / Aérea (Drones consultar bula)</t>
        </is>
      </c>
      <c r="S517" s="7" t="inlineStr">
        <is>
          <t>Sem antídoto específico; anti-histamínicos e vitamina E tópica para parestesia</t>
        </is>
      </c>
      <c r="T517" s="7" t="inlineStr">
        <is>
          <t>RAINBOW DEFENSIVOS AGRICOLAS LTDA</t>
        </is>
      </c>
      <c r="U517" s="10">
        <f>HYPERLINK("https://agrofit.agricultura.gov.br/agrofit_cons/principal_agrofit_cons", "Consulta Oficial AGROFIT/MAPA (Nº 5924)")</f>
        <v/>
      </c>
    </row>
    <row r="518" ht="22" customHeight="1">
      <c r="A518" s="11" t="n">
        <v>513</v>
      </c>
      <c r="B518" s="12" t="inlineStr">
        <is>
          <t>SIPEAGRO (UF-XXXXX)</t>
        </is>
      </c>
      <c r="C518" s="13" t="inlineStr">
        <is>
          <t>AGCN PRO + 1X25L (VALIDAR)</t>
        </is>
      </c>
      <c r="D518" s="14" t="inlineStr">
        <is>
          <t>AGCN PRO +</t>
        </is>
      </c>
      <c r="E518" s="13" t="inlineStr">
        <is>
          <t>Fertilizante Mineral / Organomineral</t>
        </is>
      </c>
      <c r="F518" s="13" t="inlineStr">
        <is>
          <t>Fertilizantes</t>
        </is>
      </c>
      <c r="G518" s="13" t="inlineStr">
        <is>
          <t>Fertilizante Mineral Simples (Nitrogenado)</t>
        </is>
      </c>
      <c r="H518" s="13" t="inlineStr">
        <is>
          <t>SL</t>
        </is>
      </c>
      <c r="I518" s="13" t="inlineStr">
        <is>
          <t>Solução / Suspensão Concentrada Foliar (Fluido)</t>
        </is>
      </c>
      <c r="J518" s="13" t="inlineStr">
        <is>
          <t>Aplicação via solo, fertirrigação ou adubação foliar</t>
        </is>
      </c>
      <c r="K518" s="13" t="inlineStr">
        <is>
          <t>Fertilizante Mineral / Organomineral (Lei nº 6.894/1980)</t>
        </is>
      </c>
      <c r="L518" s="13" t="inlineStr">
        <is>
          <t>Nutrição Vegetal SIPEAGRO</t>
        </is>
      </c>
      <c r="M518" s="13" t="inlineStr">
        <is>
          <t>Fornecimento de macro e micronutrientes essenciais ao metabolismo vegetal</t>
        </is>
      </c>
      <c r="N518" s="13" t="inlineStr">
        <is>
          <t>Isento ANVISA (Produto Fertilizante Registrado no SIPEAGRO/MAPA)</t>
        </is>
      </c>
      <c r="O518" s="13" t="inlineStr">
        <is>
          <t>Não Aplicável (Fertilizante)</t>
        </is>
      </c>
      <c r="P518" s="13" t="inlineStr">
        <is>
          <t>Baixo Potencial Poluidor (Uso conforme recomendação agronômica)</t>
        </is>
      </c>
      <c r="Q518" s="15" t="n">
        <v>0</v>
      </c>
      <c r="R518" s="13" t="inlineStr">
        <is>
          <t>Aplicação Dirigida / TS / Solo</t>
        </is>
      </c>
      <c r="S518" s="13" t="inlineStr">
        <is>
          <t>Tratamento sintomático em caso de ingestão acidental</t>
        </is>
      </c>
      <c r="T518" s="13" t="inlineStr">
        <is>
          <t>Estabelecimento Produtor SIPEAGRO/MAPA</t>
        </is>
      </c>
      <c r="U518" s="16">
        <f>HYPERLINK("https://www.gov.br/agricultura/pt-br/assuntos/insumos-agropecuarios/insumos-agricolas/fertilizantes", "Portal SIPEAGRO / MAPA — Fertilizantes e Bioinsumos")</f>
        <v/>
      </c>
    </row>
    <row r="519" ht="22" customHeight="1">
      <c r="A519" s="5" t="n">
        <v>514</v>
      </c>
      <c r="B519" s="6" t="inlineStr">
        <is>
          <t>Nº 31522</t>
        </is>
      </c>
      <c r="C519" s="7" t="inlineStr">
        <is>
          <t>METOMY 900 IMP 0,200L AMOSTRA</t>
        </is>
      </c>
      <c r="D519" s="8" t="inlineStr">
        <is>
          <t>METOMY 900 IMP 0,200L AMOSTRA</t>
        </is>
      </c>
      <c r="E519" s="7" t="inlineStr">
        <is>
          <t>Produto Formulado Comercial</t>
        </is>
      </c>
      <c r="F519" s="7" t="inlineStr">
        <is>
          <t>Defensivos</t>
        </is>
      </c>
      <c r="G519" s="7" t="inlineStr">
        <is>
          <t>Inseticida</t>
        </is>
      </c>
      <c r="H519" s="7" t="inlineStr">
        <is>
          <t>SP</t>
        </is>
      </c>
      <c r="I519" s="7" t="inlineStr">
        <is>
          <t>Pó Solúvel em Água (SP)</t>
        </is>
      </c>
      <c r="J519" s="7" t="inlineStr">
        <is>
          <t>Inseticida sistêmico de contato e ingestão com efeito ovicida/larvicida</t>
        </is>
      </c>
      <c r="K519" s="7" t="inlineStr">
        <is>
          <t>Metilcarbamato de oxima</t>
        </is>
      </c>
      <c r="L519" s="7" t="inlineStr">
        <is>
          <t>IRAC Grupo 1A</t>
        </is>
      </c>
      <c r="M519" s="7" t="inlineStr">
        <is>
          <t>Inibidores reversíveis da enzima acetilcolinesterase (AChE)</t>
        </is>
      </c>
      <c r="N519" s="7" t="inlineStr">
        <is>
          <t>Categoria 2 — Produto Altamente Tóxico</t>
        </is>
      </c>
      <c r="O519" s="7" t="inlineStr">
        <is>
          <t>Vermelho PMS Red 199 C</t>
        </is>
      </c>
      <c r="P519" s="7" t="inlineStr">
        <is>
          <t>Classe II — Produto Muito Perigoso ao Meio Ambiente</t>
        </is>
      </c>
      <c r="Q519" s="9" t="n">
        <v>24</v>
      </c>
      <c r="R519" s="7" t="inlineStr">
        <is>
          <t>Terrestre / Aérea (Drones consultar bula)</t>
        </is>
      </c>
      <c r="S519" s="7" t="inlineStr">
        <is>
          <t>Sulfato de Atropina (antídoto específico; NÃO administrar oximas/pralidoxima em carbamatos)</t>
        </is>
      </c>
      <c r="T519" s="7" t="inlineStr">
        <is>
          <t>RAINBOW DEFENSIVOS AGRÍCOLAS LTDA.</t>
        </is>
      </c>
      <c r="U519" s="10">
        <f>HYPERLINK("https://agrofit.agricultura.gov.br/agrofit_cons/principal_agrofit_cons", "Consulta Oficial AGROFIT/MAPA (Nº 31522)")</f>
        <v/>
      </c>
    </row>
    <row r="520" ht="22" customHeight="1">
      <c r="A520" s="11" t="n">
        <v>515</v>
      </c>
      <c r="B520" s="12" t="inlineStr">
        <is>
          <t>Nº 22221</t>
        </is>
      </c>
      <c r="C520" s="13" t="inlineStr">
        <is>
          <t>GRASIDIM IMP 0,200L AMOSTRA</t>
        </is>
      </c>
      <c r="D520" s="14" t="inlineStr">
        <is>
          <t>GRASIDIM IMP 0,200L AMOSTRA</t>
        </is>
      </c>
      <c r="E520" s="13" t="inlineStr">
        <is>
          <t>Produto Formulado Comercial</t>
        </is>
      </c>
      <c r="F520" s="13" t="inlineStr">
        <is>
          <t>Defensivos</t>
        </is>
      </c>
      <c r="G520" s="13" t="inlineStr">
        <is>
          <t>Herbicida</t>
        </is>
      </c>
      <c r="H520" s="13" t="inlineStr">
        <is>
          <t>EC</t>
        </is>
      </c>
      <c r="I520" s="13" t="inlineStr">
        <is>
          <t>Concentrado Emulsionável (EC)</t>
        </is>
      </c>
      <c r="J520" s="13" t="inlineStr">
        <is>
          <t>Herbicida graminicida sistêmico seletivo de pós-emergência</t>
        </is>
      </c>
      <c r="K520" s="13" t="inlineStr">
        <is>
          <t>Oxima ciclohexanodiona (DIM)</t>
        </is>
      </c>
      <c r="L520" s="13" t="inlineStr">
        <is>
          <t>HRAC Grupo A (1) — Inibidores da ACCase</t>
        </is>
      </c>
      <c r="M520" s="13" t="inlineStr">
        <is>
          <t>Inibidores da Acetil CoA Carboxilase (ACCase)</t>
        </is>
      </c>
      <c r="N520" s="13" t="inlineStr">
        <is>
          <t>Categoria 4 — Produto Pouco Tóxico</t>
        </is>
      </c>
      <c r="O520" s="13" t="inlineStr">
        <is>
          <t>Azul PMS Blue 293 C</t>
        </is>
      </c>
      <c r="P520" s="13" t="inlineStr">
        <is>
          <t>Classe III — Produto Perigoso ao Meio Ambiente</t>
        </is>
      </c>
      <c r="Q520" s="15" t="n">
        <v>24</v>
      </c>
      <c r="R520" s="13" t="inlineStr">
        <is>
          <t>Terrestre / Aérea (Drones consultar bula)</t>
        </is>
      </c>
      <c r="S520" s="13" t="inlineStr">
        <is>
          <t>Sem antídoto específico; tratamento sintomático</t>
        </is>
      </c>
      <c r="T520" s="13" t="inlineStr">
        <is>
          <t>RAINBOW DEFENSIVOS AGRÍCOLAS LTDA.</t>
        </is>
      </c>
      <c r="U520" s="16">
        <f>HYPERLINK("https://agrofit.agricultura.gov.br/agrofit_cons/principal_agrofit_cons", "Consulta Oficial AGROFIT/MAPA (Nº 22221)")</f>
        <v/>
      </c>
    </row>
    <row r="521" ht="22" customHeight="1">
      <c r="A521" s="5" t="n">
        <v>516</v>
      </c>
      <c r="B521" s="6" t="inlineStr">
        <is>
          <t>Nº 12123</t>
        </is>
      </c>
      <c r="C521" s="7" t="inlineStr">
        <is>
          <t>PYRIPROXYFEN 100 EC AGCN 4X5L</t>
        </is>
      </c>
      <c r="D521" s="8" t="inlineStr">
        <is>
          <t>PYRIPROXYFEN 100 EC AGCN</t>
        </is>
      </c>
      <c r="E521" s="7" t="inlineStr">
        <is>
          <t>Produto Formulado Comercial</t>
        </is>
      </c>
      <c r="F521" s="7" t="inlineStr">
        <is>
          <t>Defensivos</t>
        </is>
      </c>
      <c r="G521" s="7" t="inlineStr">
        <is>
          <t>Inseticida</t>
        </is>
      </c>
      <c r="H521" s="7" t="inlineStr">
        <is>
          <t>EC</t>
        </is>
      </c>
      <c r="I521" s="7" t="inlineStr">
        <is>
          <t>Concentrado Emulsionável (EC)</t>
        </is>
      </c>
      <c r="J521" s="7" t="inlineStr">
        <is>
          <t>Inseticida fisiológico regulador de crescimento (contato e translaminar)</t>
        </is>
      </c>
      <c r="K521" s="7" t="inlineStr">
        <is>
          <t>Éter piridiloxipropílico</t>
        </is>
      </c>
      <c r="L521" s="7" t="inlineStr">
        <is>
          <t>IRAC Grupo 7C</t>
        </is>
      </c>
      <c r="M521" s="7" t="inlineStr">
        <is>
          <t>Mimetizadores do hormônio juvenil (Juvenoides)</t>
        </is>
      </c>
      <c r="N521" s="7" t="inlineStr">
        <is>
          <t>Categoria 5 — Produto Improvável de Causar Dano Agudo</t>
        </is>
      </c>
      <c r="O521" s="7" t="inlineStr">
        <is>
          <t>Azul Intenso</t>
        </is>
      </c>
      <c r="P521" s="7" t="inlineStr">
        <is>
          <t>Classe II — Produto Muito Perigoso ao Meio Ambiente</t>
        </is>
      </c>
      <c r="Q521" s="9" t="n">
        <v>24</v>
      </c>
      <c r="R521" s="7" t="inlineStr">
        <is>
          <t>Terrestre / Aérea (Drones consultar bula)</t>
        </is>
      </c>
      <c r="S521" s="7" t="inlineStr">
        <is>
          <t>Sem antídoto específico; tratamento sintomático</t>
        </is>
      </c>
      <c r="T521" s="7" t="inlineStr">
        <is>
          <t>AGRICONNECTION IMPORTADORA E EXPORTADORA DE INSUMOS AGRÍCOLAS LTDA.</t>
        </is>
      </c>
      <c r="U521" s="10">
        <f>HYPERLINK("https://agrofit.agricultura.gov.br/agrofit_cons/principal_agrofit_cons", "Consulta Oficial AGROFIT/MAPA (Nº 12123)")</f>
        <v/>
      </c>
    </row>
    <row r="522" ht="22" customHeight="1">
      <c r="A522" s="11" t="n">
        <v>517</v>
      </c>
      <c r="B522" s="12" t="inlineStr">
        <is>
          <t>Nº 28421</t>
        </is>
      </c>
      <c r="C522" s="13" t="inlineStr">
        <is>
          <t>CLORFENAPIR CCAB 240 SC 1X20L</t>
        </is>
      </c>
      <c r="D522" s="14" t="inlineStr">
        <is>
          <t>CLORFENAPIR CCAB</t>
        </is>
      </c>
      <c r="E522" s="13" t="inlineStr">
        <is>
          <t>Produto Formulado Comercial</t>
        </is>
      </c>
      <c r="F522" s="13" t="inlineStr">
        <is>
          <t>Defensivos</t>
        </is>
      </c>
      <c r="G522" s="13" t="inlineStr">
        <is>
          <t>Inseticida e Acaricida</t>
        </is>
      </c>
      <c r="H522" s="13" t="inlineStr">
        <is>
          <t>SC</t>
        </is>
      </c>
      <c r="I522" s="13" t="inlineStr">
        <is>
          <t>Suspensão Concentrada (SC)</t>
        </is>
      </c>
      <c r="J522" s="13" t="inlineStr">
        <is>
          <t>Inseticida e acaricida de contato e ingestão com ação translaminar</t>
        </is>
      </c>
      <c r="K522" s="13" t="inlineStr">
        <is>
          <t>Análogo de pirazol (Arilpirrol)</t>
        </is>
      </c>
      <c r="L522" s="13" t="inlineStr">
        <is>
          <t>IRAC Grupo 13</t>
        </is>
      </c>
      <c r="M522" s="13" t="inlineStr">
        <is>
          <t>Desacopladores da fosforilação oxidativa via disrupção do gradiente de prótons</t>
        </is>
      </c>
      <c r="N522" s="13" t="inlineStr">
        <is>
          <t>Categoria 3 / 4 — Moderadamente a Pouco Tóxico</t>
        </is>
      </c>
      <c r="O522" s="13" t="inlineStr">
        <is>
          <t>Amarelo / Azul</t>
        </is>
      </c>
      <c r="P522" s="13" t="inlineStr">
        <is>
          <t>Classe II — Produto Muito Perigoso ao Meio Ambiente</t>
        </is>
      </c>
      <c r="Q522" s="15" t="n">
        <v>24</v>
      </c>
      <c r="R522" s="13" t="inlineStr">
        <is>
          <t>Terrestre / Aérea (Drones consultar bula)</t>
        </is>
      </c>
      <c r="S522" s="13" t="inlineStr">
        <is>
          <t>Sem antídoto específico; controle rigoroso de hipertermia (antitérmicos comuns ineficazes)</t>
        </is>
      </c>
      <c r="T522" s="13" t="inlineStr">
        <is>
          <t>CCAB Agro S.A.</t>
        </is>
      </c>
      <c r="U522" s="16">
        <f>HYPERLINK("https://www.adapar.pr.gov.br/system/files/publico/Agrotoxicos/lista.pdf", "Registro Oficial Clorfenapir CCAB 240 SC (MAPA 28421)")</f>
        <v/>
      </c>
    </row>
    <row r="523" ht="22" customHeight="1">
      <c r="A523" s="5" t="n">
        <v>518</v>
      </c>
      <c r="B523" s="6" t="inlineStr">
        <is>
          <t>Nº 2004</t>
        </is>
      </c>
      <c r="C523" s="7" t="inlineStr">
        <is>
          <t>PENNCOZEB WG 1X15KG (IMP)</t>
        </is>
      </c>
      <c r="D523" s="8" t="inlineStr">
        <is>
          <t>PENNCOZEB WG</t>
        </is>
      </c>
      <c r="E523" s="7" t="inlineStr">
        <is>
          <t>Produto Formulado Comercial</t>
        </is>
      </c>
      <c r="F523" s="7" t="inlineStr">
        <is>
          <t>Defensivos</t>
        </is>
      </c>
      <c r="G523" s="7" t="inlineStr">
        <is>
          <t>Fungicida</t>
        </is>
      </c>
      <c r="H523" s="7" t="inlineStr">
        <is>
          <t>WG</t>
        </is>
      </c>
      <c r="I523" s="7" t="inlineStr">
        <is>
          <t>Grânulos Dispersíveis em Água (WG)</t>
        </is>
      </c>
      <c r="J523" s="7" t="inlineStr">
        <is>
          <t>Fungicida e acaricida protetor de contato multissítio</t>
        </is>
      </c>
      <c r="K523" s="7" t="inlineStr">
        <is>
          <t>Alquilenobis(ditiocarbamato)</t>
        </is>
      </c>
      <c r="L523" s="7" t="inlineStr">
        <is>
          <t>FRAC Grupo M03 — Multissítio</t>
        </is>
      </c>
      <c r="M523" s="7" t="inlineStr">
        <is>
          <t>Inibidor multissítio de enzimas contendo grupos sulfidrila e aminoácidos fúngicos</t>
        </is>
      </c>
      <c r="N523" s="7" t="inlineStr">
        <is>
          <t>Categoria 4 / 5 — Pouco Tóxico a Improvável Dano Agudo</t>
        </is>
      </c>
      <c r="O523" s="7" t="inlineStr">
        <is>
          <t>Azul Intenso</t>
        </is>
      </c>
      <c r="P523" s="7" t="inlineStr">
        <is>
          <t>Classe II — Produto Muito Perigoso ao Meio Ambiente</t>
        </is>
      </c>
      <c r="Q523" s="9" t="n">
        <v>24</v>
      </c>
      <c r="R523" s="7" t="inlineStr">
        <is>
          <t>Terrestre / Aérea (Drones consultar bula)</t>
        </is>
      </c>
      <c r="S523" s="7" t="inlineStr">
        <is>
          <t>Sem antídoto específico; evitar consumo de álcool (efeito antabuse por ETU)</t>
        </is>
      </c>
      <c r="T523" s="7" t="inlineStr">
        <is>
          <t>UPL do Brasil</t>
        </is>
      </c>
      <c r="U523" s="10">
        <f>HYPERLINK("https://agrofit.agricultura.gov.br/agrofit_cons/principal_agrofit_cons", "Consulta Oficial AGROFIT/MAPA (Nº 2004)")</f>
        <v/>
      </c>
    </row>
    <row r="524" ht="22" customHeight="1">
      <c r="A524" s="11" t="n">
        <v>519</v>
      </c>
      <c r="B524" s="12" t="inlineStr">
        <is>
          <t>Nº 8510</t>
        </is>
      </c>
      <c r="C524" s="13" t="inlineStr">
        <is>
          <t>POQUER 1X20L (IMP)</t>
        </is>
      </c>
      <c r="D524" s="14" t="inlineStr">
        <is>
          <t>POQUER</t>
        </is>
      </c>
      <c r="E524" s="13" t="inlineStr">
        <is>
          <t>Produto Formulado Comercial</t>
        </is>
      </c>
      <c r="F524" s="13" t="inlineStr">
        <is>
          <t>Defensivos</t>
        </is>
      </c>
      <c r="G524" s="13" t="inlineStr">
        <is>
          <t>Herbicida</t>
        </is>
      </c>
      <c r="H524" s="13" t="inlineStr">
        <is>
          <t>EC</t>
        </is>
      </c>
      <c r="I524" s="13" t="inlineStr">
        <is>
          <t>Concentrado Emulsionável (EC)</t>
        </is>
      </c>
      <c r="J524" s="13" t="inlineStr">
        <is>
          <t>Herbicida graminicida sistêmico seletivo de pós-emergência</t>
        </is>
      </c>
      <c r="K524" s="13" t="inlineStr">
        <is>
          <t>Oxima ciclohexanodiona (DIM)</t>
        </is>
      </c>
      <c r="L524" s="13" t="inlineStr">
        <is>
          <t>HRAC Grupo A (1) — Inibidores da ACCase</t>
        </is>
      </c>
      <c r="M524" s="13" t="inlineStr">
        <is>
          <t>Inibidores da Acetil CoA Carboxilase (ACCase)</t>
        </is>
      </c>
      <c r="N524" s="13" t="inlineStr">
        <is>
          <t>Categoria 4 / 5 — Pouco Tóxico</t>
        </is>
      </c>
      <c r="O524" s="13" t="inlineStr">
        <is>
          <t>Azul Intenso</t>
        </is>
      </c>
      <c r="P524" s="13" t="inlineStr">
        <is>
          <t>Classe III — Produto Perigoso ao Meio Ambiente</t>
        </is>
      </c>
      <c r="Q524" s="15" t="n">
        <v>24</v>
      </c>
      <c r="R524" s="13" t="inlineStr">
        <is>
          <t>Terrestre / Aérea (Drones consultar bula)</t>
        </is>
      </c>
      <c r="S524" s="13" t="inlineStr">
        <is>
          <t>Sem antídoto específico; tratamento sintomático</t>
        </is>
      </c>
      <c r="T524" s="13" t="inlineStr">
        <is>
          <t>Rotam / Albaugh</t>
        </is>
      </c>
      <c r="U524" s="16">
        <f>HYPERLINK("https://agrofit.agricultura.gov.br/agrofit_cons/principal_agrofit_cons", "Consulta Oficial AGROFIT/MAPA (Nº 8510)")</f>
        <v/>
      </c>
    </row>
    <row r="525" ht="22" customHeight="1">
      <c r="A525" s="5" t="n">
        <v>520</v>
      </c>
      <c r="B525" s="6" t="inlineStr">
        <is>
          <t>Nº 23522</t>
        </is>
      </c>
      <c r="C525" s="7" t="inlineStr">
        <is>
          <t>VALLEX 4X5L</t>
        </is>
      </c>
      <c r="D525" s="8" t="inlineStr">
        <is>
          <t>VALLEX</t>
        </is>
      </c>
      <c r="E525" s="7" t="inlineStr">
        <is>
          <t>Produto Formulado Comercial</t>
        </is>
      </c>
      <c r="F525" s="7" t="inlineStr">
        <is>
          <t>Defensivos</t>
        </is>
      </c>
      <c r="G525" s="7" t="inlineStr">
        <is>
          <t>Inseticida</t>
        </is>
      </c>
      <c r="H525" s="7" t="inlineStr">
        <is>
          <t>EC</t>
        </is>
      </c>
      <c r="I525" s="7" t="inlineStr">
        <is>
          <t>Concentrado Emulsionável (EC)</t>
        </is>
      </c>
      <c r="J525" s="7" t="inlineStr">
        <is>
          <t>Inseticida fisiológico regulador de crescimento (contato e translaminar)</t>
        </is>
      </c>
      <c r="K525" s="7" t="inlineStr">
        <is>
          <t>Éter piridiloxipropílico</t>
        </is>
      </c>
      <c r="L525" s="7" t="inlineStr">
        <is>
          <t>IRAC Grupo 7C</t>
        </is>
      </c>
      <c r="M525" s="7" t="inlineStr">
        <is>
          <t>Mimetizadores do hormônio juvenil (Juvenoides)</t>
        </is>
      </c>
      <c r="N525" s="7" t="inlineStr">
        <is>
          <t>Categoria 5 — Produto Improvável de Causar Dano Agudo</t>
        </is>
      </c>
      <c r="O525" s="7" t="inlineStr">
        <is>
          <t>Azul Intenso</t>
        </is>
      </c>
      <c r="P525" s="7" t="inlineStr">
        <is>
          <t>Classe II — Produto Muito Perigoso ao Meio Ambiente</t>
        </is>
      </c>
      <c r="Q525" s="9" t="n">
        <v>24</v>
      </c>
      <c r="R525" s="7" t="inlineStr">
        <is>
          <t>Terrestre / Aérea (Drones consultar bula)</t>
        </is>
      </c>
      <c r="S525" s="7" t="inlineStr">
        <is>
          <t>Sem antídoto específico; tratamento sintomático</t>
        </is>
      </c>
      <c r="T525" s="7" t="inlineStr">
        <is>
          <t>RAINBOW DEFENSIVOS AGRÍCOLAS LTDA.</t>
        </is>
      </c>
      <c r="U525" s="10">
        <f>HYPERLINK("https://www.adapar.pr.gov.br/system/files/publico/Agrotoxicos/lista.pdf", "Registro Oficial Vallex 100 EC (MAPA 23522)")</f>
        <v/>
      </c>
    </row>
    <row r="526" ht="22" customHeight="1">
      <c r="A526" s="11" t="n">
        <v>521</v>
      </c>
      <c r="B526" s="12" t="inlineStr">
        <is>
          <t>Nº 23922</t>
        </is>
      </c>
      <c r="C526" s="13" t="inlineStr">
        <is>
          <t>GRASIDIM FULL IMP 0,200L AMOSTRA</t>
        </is>
      </c>
      <c r="D526" s="14" t="inlineStr">
        <is>
          <t>GRASIDIM FULL IMP 0,200L AMOSTRA</t>
        </is>
      </c>
      <c r="E526" s="13" t="inlineStr">
        <is>
          <t>Produto Formulado Comercial</t>
        </is>
      </c>
      <c r="F526" s="13" t="inlineStr">
        <is>
          <t>Defensivos</t>
        </is>
      </c>
      <c r="G526" s="13" t="inlineStr">
        <is>
          <t>Herbicida</t>
        </is>
      </c>
      <c r="H526" s="13" t="inlineStr">
        <is>
          <t>EC</t>
        </is>
      </c>
      <c r="I526" s="13" t="inlineStr">
        <is>
          <t>Concentrado Emulsionável (EC)</t>
        </is>
      </c>
      <c r="J526" s="13" t="inlineStr">
        <is>
          <t>Herbicida graminicida sistêmico seletivo de pós-emergência</t>
        </is>
      </c>
      <c r="K526" s="13" t="inlineStr">
        <is>
          <t>Oxima ciclohexanodiona (DIM)</t>
        </is>
      </c>
      <c r="L526" s="13" t="inlineStr">
        <is>
          <t>HRAC Grupo A (1) — Inibidores da ACCase</t>
        </is>
      </c>
      <c r="M526" s="13" t="inlineStr">
        <is>
          <t>Inibidores da Acetil CoA Carboxilase (ACCase)</t>
        </is>
      </c>
      <c r="N526" s="13" t="inlineStr">
        <is>
          <t>Categoria 5 — Produto Improvável de Causar Dano Agudo</t>
        </is>
      </c>
      <c r="O526" s="13" t="inlineStr">
        <is>
          <t>Azul Intenso</t>
        </is>
      </c>
      <c r="P526" s="13" t="inlineStr">
        <is>
          <t>Classe III — Produto Perigoso ao Meio Ambiente</t>
        </is>
      </c>
      <c r="Q526" s="15" t="n">
        <v>24</v>
      </c>
      <c r="R526" s="13" t="inlineStr">
        <is>
          <t>Terrestre / Aérea (Drones consultar bula)</t>
        </is>
      </c>
      <c r="S526" s="13" t="inlineStr">
        <is>
          <t>Sem antídoto específico; tratamento sintomático</t>
        </is>
      </c>
      <c r="T526" s="13" t="inlineStr">
        <is>
          <t>RAINBOW DEFENSIVOS AGRÍCOLAS LTDA.</t>
        </is>
      </c>
      <c r="U526" s="16">
        <f>HYPERLINK("https://agrofit.agricultura.gov.br/agrofit_cons/principal_agrofit_cons", "Consulta Oficial AGROFIT/MAPA (Nº 23922)")</f>
        <v/>
      </c>
    </row>
    <row r="527" ht="22" customHeight="1">
      <c r="A527" s="5" t="n">
        <v>522</v>
      </c>
      <c r="B527" s="6" t="inlineStr">
        <is>
          <t>Nº 26017</t>
        </is>
      </c>
      <c r="C527" s="7" t="inlineStr">
        <is>
          <t>MESOTRIONE 480 SC PROVENTIS 0,200L AMOSTRA</t>
        </is>
      </c>
      <c r="D527" s="8" t="inlineStr">
        <is>
          <t>MESOTRIONE</t>
        </is>
      </c>
      <c r="E527" s="7" t="inlineStr">
        <is>
          <t>Produto Formulado Comercial</t>
        </is>
      </c>
      <c r="F527" s="7" t="inlineStr">
        <is>
          <t>Defensivos</t>
        </is>
      </c>
      <c r="G527" s="7" t="inlineStr">
        <is>
          <t>Herbicida</t>
        </is>
      </c>
      <c r="H527" s="7" t="inlineStr">
        <is>
          <t>SC</t>
        </is>
      </c>
      <c r="I527" s="7" t="inlineStr">
        <is>
          <t>Suspensão Concentrada (SC)</t>
        </is>
      </c>
      <c r="J527" s="7" t="inlineStr">
        <is>
          <t>Herbicida sistêmico seletivo de pós-emergência</t>
        </is>
      </c>
      <c r="K527" s="7" t="inlineStr">
        <is>
          <t>Tricetona</t>
        </is>
      </c>
      <c r="L527" s="7" t="inlineStr">
        <is>
          <t>HRAC Grupo F2 (27) — Inibidores da HPPD</t>
        </is>
      </c>
      <c r="M527" s="7" t="inlineStr">
        <is>
          <t>Inibidores da enzima 4-hidroxifenil-piruvato-dioxigenase (HPPD - biossíntese de carotenoides)</t>
        </is>
      </c>
      <c r="N527" s="7" t="inlineStr">
        <is>
          <t>Categoria 4 / 5 — Pouco Tóxico</t>
        </is>
      </c>
      <c r="O527" s="7" t="inlineStr">
        <is>
          <t>Azul Intenso</t>
        </is>
      </c>
      <c r="P527" s="7" t="inlineStr">
        <is>
          <t>Classe II — Produto Muito Perigoso ao Meio Ambiente</t>
        </is>
      </c>
      <c r="Q527" s="9" t="n">
        <v>24</v>
      </c>
      <c r="R527" s="7" t="inlineStr">
        <is>
          <t>Terrestre / Aérea (Drones consultar bula)</t>
        </is>
      </c>
      <c r="S527" s="7" t="inlineStr">
        <is>
          <t>Sem antídoto específico; tratamento sintomático</t>
        </is>
      </c>
      <c r="T527" s="7" t="inlineStr">
        <is>
          <t>Proventis Lifescience</t>
        </is>
      </c>
      <c r="U527" s="10">
        <f>HYPERLINK("https://www.adapar.pr.gov.br/Pagina/Agrotoxicos-Herbicidas", "Registro Oficial Mesotrione 480 SC Proventis (MAPA 26017)")</f>
        <v/>
      </c>
    </row>
    <row r="528" ht="22" customHeight="1">
      <c r="A528" s="11" t="n">
        <v>523</v>
      </c>
      <c r="B528" s="12" t="inlineStr">
        <is>
          <t>Nº 8813</t>
        </is>
      </c>
      <c r="C528" s="13" t="inlineStr">
        <is>
          <t>ORKESTRA SC 10X1L</t>
        </is>
      </c>
      <c r="D528" s="14" t="inlineStr">
        <is>
          <t>ORKESTRA SC</t>
        </is>
      </c>
      <c r="E528" s="13" t="inlineStr">
        <is>
          <t>Produto Formulado Comercial</t>
        </is>
      </c>
      <c r="F528" s="13" t="inlineStr">
        <is>
          <t>Defensivos</t>
        </is>
      </c>
      <c r="G528" s="13" t="inlineStr">
        <is>
          <t>Fungicida</t>
        </is>
      </c>
      <c r="H528" s="13" t="inlineStr">
        <is>
          <t>SC</t>
        </is>
      </c>
      <c r="I528" s="13" t="inlineStr">
        <is>
          <t>Suspensão Concentrada (SC)</t>
        </is>
      </c>
      <c r="J528" s="13" t="inlineStr">
        <is>
          <t>Fungicida preventivo e curativo foliar</t>
        </is>
      </c>
      <c r="K528" s="13" t="inlineStr">
        <is>
          <t>Estrobilurina (Metoxicarbamato)</t>
        </is>
      </c>
      <c r="L528" s="13" t="inlineStr">
        <is>
          <t>FRAC Grupo 11 (C3 — QoI)</t>
        </is>
      </c>
      <c r="M528" s="13" t="inlineStr">
        <is>
          <t>Inibidores da respiração mitocondrial no Complexo III (sítio Qo)</t>
        </is>
      </c>
      <c r="N528" s="13" t="inlineStr">
        <is>
          <t>Categoria 4 — Produto Pouco Tóxico (Conforme Bula ANVISA)</t>
        </is>
      </c>
      <c r="O528" s="13" t="inlineStr">
        <is>
          <t>Azul PMS Blue 293 C</t>
        </is>
      </c>
      <c r="P528" s="13" t="inlineStr">
        <is>
          <t>Classe II — Produto Muito Perigoso ao Meio Ambiente</t>
        </is>
      </c>
      <c r="Q528" s="15" t="n">
        <v>24</v>
      </c>
      <c r="R528" s="13" t="inlineStr">
        <is>
          <t>Terrestre / Aérea (Drones consultar bula)</t>
        </is>
      </c>
      <c r="S528" s="13" t="inlineStr">
        <is>
          <t>Sem antídoto específico; tratamento sintomático</t>
        </is>
      </c>
      <c r="T528" s="13" t="inlineStr">
        <is>
          <t>BASF S.A.</t>
        </is>
      </c>
      <c r="U528" s="16">
        <f>HYPERLINK("https://agrofit.agricultura.gov.br/agrofit_cons/principal_agrofit_cons", "Consulta Oficial AGROFIT/MAPA (Nº 8813)")</f>
        <v/>
      </c>
    </row>
    <row r="529" ht="22" customHeight="1">
      <c r="A529" s="5" t="n">
        <v>524</v>
      </c>
      <c r="B529" s="6" t="inlineStr">
        <is>
          <t>SIPEAGRO (UF-XXXXX)</t>
        </is>
      </c>
      <c r="C529" s="7" t="inlineStr">
        <is>
          <t>AGCN MAG ULTRA 1X1000L</t>
        </is>
      </c>
      <c r="D529" s="8" t="inlineStr">
        <is>
          <t>AGCN MAG ULTRA</t>
        </is>
      </c>
      <c r="E529" s="7" t="inlineStr">
        <is>
          <t>Fertilizante Mineral / Organomineral</t>
        </is>
      </c>
      <c r="F529" s="7" t="inlineStr">
        <is>
          <t>Fertilizantes</t>
        </is>
      </c>
      <c r="G529" s="7" t="inlineStr">
        <is>
          <t>Fertilizante Organomineral / Bioestimulante</t>
        </is>
      </c>
      <c r="H529" s="7" t="inlineStr">
        <is>
          <t>SL</t>
        </is>
      </c>
      <c r="I529" s="7" t="inlineStr">
        <is>
          <t>Solução / Suspensão Concentrada Foliar (Fluido)</t>
        </is>
      </c>
      <c r="J529" s="7" t="inlineStr">
        <is>
          <t>Aplicação via solo, fertirrigação ou adubação foliar</t>
        </is>
      </c>
      <c r="K529" s="7" t="inlineStr">
        <is>
          <t>Fertilizante Mineral / Organomineral (Lei nº 6.894/1980)</t>
        </is>
      </c>
      <c r="L529" s="7" t="inlineStr">
        <is>
          <t>Nutrição Vegetal SIPEAGRO</t>
        </is>
      </c>
      <c r="M529" s="7" t="inlineStr">
        <is>
          <t>Fornecimento de macro e micronutrientes essenciais ao metabolismo vegetal</t>
        </is>
      </c>
      <c r="N529" s="7" t="inlineStr">
        <is>
          <t>Isento ANVISA (Produto Fertilizante Registrado no SIPEAGRO/MAPA)</t>
        </is>
      </c>
      <c r="O529" s="7" t="inlineStr">
        <is>
          <t>Não Aplicável (Fertilizante)</t>
        </is>
      </c>
      <c r="P529" s="7" t="inlineStr">
        <is>
          <t>Baixo Potencial Poluidor (Uso conforme recomendação agronômica)</t>
        </is>
      </c>
      <c r="Q529" s="9" t="n">
        <v>0</v>
      </c>
      <c r="R529" s="7" t="inlineStr">
        <is>
          <t>Aplicação Dirigida / TS / Solo</t>
        </is>
      </c>
      <c r="S529" s="7" t="inlineStr">
        <is>
          <t>Tratamento sintomático em caso de ingestão acidental</t>
        </is>
      </c>
      <c r="T529" s="7" t="inlineStr">
        <is>
          <t>Estabelecimento Produtor SIPEAGRO/MAPA</t>
        </is>
      </c>
      <c r="U529" s="10">
        <f>HYPERLINK("https://www.gov.br/agricultura/pt-br/assuntos/insumos-agropecuarios/insumos-agricolas/fertilizantes", "Portal SIPEAGRO / MAPA — Fertilizantes e Bioinsumos")</f>
        <v/>
      </c>
    </row>
    <row r="530" ht="22" customHeight="1">
      <c r="A530" s="11" t="n">
        <v>525</v>
      </c>
      <c r="B530" s="12" t="inlineStr">
        <is>
          <t>Nº 45419</t>
        </is>
      </c>
      <c r="C530" s="13" t="inlineStr">
        <is>
          <t>CLORPIRI 480 EC 0,200L (IMP) AMOSTRA</t>
        </is>
      </c>
      <c r="D530" s="14" t="inlineStr">
        <is>
          <t>CLORPIRI 480 EC 0,200L (IMP) AMOSTRA</t>
        </is>
      </c>
      <c r="E530" s="13" t="inlineStr">
        <is>
          <t>Produto Formulado Comercial</t>
        </is>
      </c>
      <c r="F530" s="13" t="inlineStr">
        <is>
          <t>Defensivos</t>
        </is>
      </c>
      <c r="G530" s="13" t="inlineStr">
        <is>
          <t>Inseticida</t>
        </is>
      </c>
      <c r="H530" s="13" t="inlineStr">
        <is>
          <t>EC</t>
        </is>
      </c>
      <c r="I530" s="13" t="inlineStr">
        <is>
          <t>Concentrado Emulsionável (EC)</t>
        </is>
      </c>
      <c r="J530" s="13" t="inlineStr">
        <is>
          <t>Inseticida e acaricida de contato, ingestão e profundidade</t>
        </is>
      </c>
      <c r="K530" s="13" t="inlineStr">
        <is>
          <t>Organofosforado</t>
        </is>
      </c>
      <c r="L530" s="13" t="inlineStr">
        <is>
          <t>IRAC Grupo 1B</t>
        </is>
      </c>
      <c r="M530" s="13" t="inlineStr">
        <is>
          <t>Inibidores da acetilcolinesterase (AChE)</t>
        </is>
      </c>
      <c r="N530" s="13" t="inlineStr">
        <is>
          <t>Categoria 2 — Produto Altamente Tóxico</t>
        </is>
      </c>
      <c r="O530" s="13" t="inlineStr">
        <is>
          <t>Vermelho PMS Red 199 C</t>
        </is>
      </c>
      <c r="P530" s="13" t="inlineStr">
        <is>
          <t>Classe II — Produto Muito Perigoso ao Meio Ambiente</t>
        </is>
      </c>
      <c r="Q530" s="15" t="n">
        <v>24</v>
      </c>
      <c r="R530" s="13" t="inlineStr">
        <is>
          <t>Terrestre / Aérea (Drones consultar bula)</t>
        </is>
      </c>
      <c r="S530" s="13" t="inlineStr">
        <is>
          <t>Atropina (agonista antimuscarínico) e Pralidoxima (reativador de colinesterase)</t>
        </is>
      </c>
      <c r="T530" s="13" t="inlineStr">
        <is>
          <t>SHARDA DO BRASIL COMÉRCIO DE PRODUTOS QUÍMICOS E AGROQUÍMICOS LTDA.</t>
        </is>
      </c>
      <c r="U530" s="16">
        <f>HYPERLINK("https://www.adapar.pr.gov.br/system/files/publico/Agrotoxicos/lista.pdf", "Registro Oficial Clorpiri 480 EC (MAPA 45419)")</f>
        <v/>
      </c>
    </row>
    <row r="531" ht="22" customHeight="1">
      <c r="A531" s="5" t="n">
        <v>526</v>
      </c>
      <c r="B531" s="6" t="inlineStr">
        <is>
          <t>Nº 12225</t>
        </is>
      </c>
      <c r="C531" s="7" t="inlineStr">
        <is>
          <t>IMPACTUS CS 0,200L (IMP) AMOSTRA</t>
        </is>
      </c>
      <c r="D531" s="8" t="inlineStr">
        <is>
          <t>IMPACTUS CS 0,200L (IMP) AMOSTRA</t>
        </is>
      </c>
      <c r="E531" s="7" t="inlineStr">
        <is>
          <t>Produto Formulado Comercial</t>
        </is>
      </c>
      <c r="F531" s="7" t="inlineStr">
        <is>
          <t>Defensivos</t>
        </is>
      </c>
      <c r="G531" s="7" t="inlineStr">
        <is>
          <t>Inseticida</t>
        </is>
      </c>
      <c r="H531" s="7" t="inlineStr">
        <is>
          <t>CS</t>
        </is>
      </c>
      <c r="I531" s="7" t="inlineStr">
        <is>
          <t>Suspensão de Encapsulado (CS)</t>
        </is>
      </c>
      <c r="J531" s="7" t="inlineStr">
        <is>
          <t>Inseticida de contato e ingestão com efeito de choque</t>
        </is>
      </c>
      <c r="K531" s="7" t="inlineStr">
        <is>
          <t>Piretroide (Tipo II)</t>
        </is>
      </c>
      <c r="L531" s="7" t="inlineStr">
        <is>
          <t>IRAC Grupo 3A</t>
        </is>
      </c>
      <c r="M531" s="7" t="inlineStr">
        <is>
          <t>Moduladores de canais de sódio em axônios nervosos</t>
        </is>
      </c>
      <c r="N531" s="7" t="inlineStr">
        <is>
          <t>Categoria 3 / 4 — Moderadamente a Pouco Tóxico</t>
        </is>
      </c>
      <c r="O531" s="7" t="inlineStr">
        <is>
          <t>Amarelo / Azul</t>
        </is>
      </c>
      <c r="P531" s="7" t="inlineStr">
        <is>
          <t>Classe II — Produto Muito Perigoso ao Meio Ambiente</t>
        </is>
      </c>
      <c r="Q531" s="9" t="n">
        <v>24</v>
      </c>
      <c r="R531" s="7" t="inlineStr">
        <is>
          <t>Terrestre / Aérea (Drones consultar bula)</t>
        </is>
      </c>
      <c r="S531" s="7" t="inlineStr">
        <is>
          <t>Sem antídoto específico; anti-histamínicos e suporte sintomático</t>
        </is>
      </c>
      <c r="T531" s="7" t="inlineStr">
        <is>
          <t>RAINBOW DEFENSIVOS AGRÍCOLAS LTDA.</t>
        </is>
      </c>
      <c r="U531" s="10">
        <f>HYPERLINK("https://www.adapar.pr.gov.br/system/files/publico/Agrotoxicos/lista.pdf", "Registro Oficial Impactus CS (MAPA 12225)")</f>
        <v/>
      </c>
    </row>
    <row r="532" ht="22" customHeight="1">
      <c r="A532" s="11" t="n">
        <v>527</v>
      </c>
      <c r="B532" s="12" t="inlineStr">
        <is>
          <t>Nº 26924</t>
        </is>
      </c>
      <c r="C532" s="13" t="inlineStr">
        <is>
          <t>CHLOROCIL 0,200L (IMP) GG AMOSTRA</t>
        </is>
      </c>
      <c r="D532" s="14" t="inlineStr">
        <is>
          <t>CHLOROCIL 0,200L (IMP) GG AMOSTRA</t>
        </is>
      </c>
      <c r="E532" s="13" t="inlineStr">
        <is>
          <t>Produto Formulado Comercial</t>
        </is>
      </c>
      <c r="F532" s="13" t="inlineStr">
        <is>
          <t>Defensivos</t>
        </is>
      </c>
      <c r="G532" s="13" t="inlineStr">
        <is>
          <t>Inseticida</t>
        </is>
      </c>
      <c r="H532" s="13" t="inlineStr">
        <is>
          <t>EC</t>
        </is>
      </c>
      <c r="I532" s="13" t="inlineStr">
        <is>
          <t>Concentrado Emulsionável (EC)</t>
        </is>
      </c>
      <c r="J532" s="13" t="inlineStr">
        <is>
          <t>Inseticida e acaricida de contato, ingestão e profundidade</t>
        </is>
      </c>
      <c r="K532" s="13" t="inlineStr">
        <is>
          <t>Organofosforado</t>
        </is>
      </c>
      <c r="L532" s="13" t="inlineStr">
        <is>
          <t>IRAC Grupo 1B</t>
        </is>
      </c>
      <c r="M532" s="13" t="inlineStr">
        <is>
          <t>Inibidores da acetilcolinesterase (AChE)</t>
        </is>
      </c>
      <c r="N532" s="13" t="inlineStr">
        <is>
          <t>Categoria 2 — Produto Altamente Tóxico</t>
        </is>
      </c>
      <c r="O532" s="13" t="inlineStr">
        <is>
          <t>Vermelho PMS Red 199 C</t>
        </is>
      </c>
      <c r="P532" s="13" t="inlineStr">
        <is>
          <t>Classe II — Produto Muito Perigoso ao Meio Ambiente</t>
        </is>
      </c>
      <c r="Q532" s="15" t="n">
        <v>24</v>
      </c>
      <c r="R532" s="13" t="inlineStr">
        <is>
          <t>Terrestre / Aérea (Drones consultar bula)</t>
        </is>
      </c>
      <c r="S532" s="13" t="inlineStr">
        <is>
          <t>Atropina (agonista antimuscarínico) e Pralidoxima (reativador de colinesterase)</t>
        </is>
      </c>
      <c r="T532" s="13" t="inlineStr">
        <is>
          <t>GLOBACHEM PROTEÇÃO DE CULTIVOS DO BRASIL LTDA.</t>
        </is>
      </c>
      <c r="U532" s="16">
        <f>HYPERLINK("https://www.adapar.pr.gov.br/system/files/publico/Agrotoxicos/lista.pdf", "Registro Oficial Chlorocil 480 EC (MAPA 26924)")</f>
        <v/>
      </c>
    </row>
    <row r="533" ht="22" customHeight="1">
      <c r="A533" s="5" t="n">
        <v>528</v>
      </c>
      <c r="B533" s="6" t="inlineStr">
        <is>
          <t>Nº 31422</t>
        </is>
      </c>
      <c r="C533" s="7" t="inlineStr">
        <is>
          <t>ZARPAL 0,200L (IMP) AMOSTRA</t>
        </is>
      </c>
      <c r="D533" s="8" t="inlineStr">
        <is>
          <t>ZARPAL 0,200L (IMP) AMOSTRA</t>
        </is>
      </c>
      <c r="E533" s="7" t="inlineStr">
        <is>
          <t>Produto Formulado Comercial</t>
        </is>
      </c>
      <c r="F533" s="7" t="inlineStr">
        <is>
          <t>Defensivos</t>
        </is>
      </c>
      <c r="G533" s="7" t="inlineStr">
        <is>
          <t>Inseticida</t>
        </is>
      </c>
      <c r="H533" s="7" t="inlineStr">
        <is>
          <t>SC</t>
        </is>
      </c>
      <c r="I533" s="7" t="inlineStr">
        <is>
          <t>Suspensão Concentrada (SC)</t>
        </is>
      </c>
      <c r="J533" s="7" t="inlineStr">
        <is>
          <t>Inseticida e acaricida de contato e ingestão</t>
        </is>
      </c>
      <c r="K533" s="7" t="inlineStr">
        <is>
          <t>Benzoilureia + Piretroide (Tipo I)</t>
        </is>
      </c>
      <c r="L533" s="7" t="inlineStr">
        <is>
          <t>IRAC Grupo 15 + IRAC Grupo 3A</t>
        </is>
      </c>
      <c r="M533" s="7" t="inlineStr">
        <is>
          <t>Inibidores da biossíntese de quitina, Tipo 0; Moduladores de canais de sódio em membranas nervosas</t>
        </is>
      </c>
      <c r="N533" s="7" t="inlineStr">
        <is>
          <t>Categoria 4 — Produto Pouco Tóxico</t>
        </is>
      </c>
      <c r="O533" s="7" t="inlineStr">
        <is>
          <t>Azul PMS Blue 293 C</t>
        </is>
      </c>
      <c r="P533" s="7" t="inlineStr">
        <is>
          <t>Classe II — Produto Muito Perigoso ao Meio Ambiente</t>
        </is>
      </c>
      <c r="Q533" s="9" t="n">
        <v>24</v>
      </c>
      <c r="R533" s="7" t="inlineStr">
        <is>
          <t>Terrestre / Aérea (Drones consultar bula)</t>
        </is>
      </c>
      <c r="S533" s="7" t="inlineStr">
        <is>
          <t>Sem antídoto específico; anti-histamínicos e vitamina E tópica para parestesia</t>
        </is>
      </c>
      <c r="T533" s="7" t="inlineStr">
        <is>
          <t>GLOBACHEM PROTEÇÃO DE CULTIVOS DO BRASIL LTDA.</t>
        </is>
      </c>
      <c r="U533" s="10">
        <f>HYPERLINK("https://globachem.br.com/wp-content/uploads/2023/04/ALON_Bula_Agrofit.pdf", "Bula Oficial Alon/Buffon/Zarpal (Globachem/MAPA 31422)")</f>
        <v/>
      </c>
    </row>
    <row r="534" ht="22" customHeight="1">
      <c r="A534" s="11" t="n">
        <v>529</v>
      </c>
      <c r="B534" s="12" t="inlineStr">
        <is>
          <t>Nº 15716</t>
        </is>
      </c>
      <c r="C534" s="13" t="inlineStr">
        <is>
          <t>DIFCOR 250 EC 0,200L IMP AMOSTRA</t>
        </is>
      </c>
      <c r="D534" s="14" t="inlineStr">
        <is>
          <t>DIFCOR 250 EC 0,200L IMP AMOSTRA</t>
        </is>
      </c>
      <c r="E534" s="13" t="inlineStr">
        <is>
          <t>Produto Formulado Comercial</t>
        </is>
      </c>
      <c r="F534" s="13" t="inlineStr">
        <is>
          <t>Defensivos</t>
        </is>
      </c>
      <c r="G534" s="13" t="inlineStr">
        <is>
          <t>Fungicida</t>
        </is>
      </c>
      <c r="H534" s="13" t="inlineStr">
        <is>
          <t>EC</t>
        </is>
      </c>
      <c r="I534" s="13" t="inlineStr">
        <is>
          <t>Concentrado Emulsionável (EC)</t>
        </is>
      </c>
      <c r="J534" s="13" t="inlineStr">
        <is>
          <t>Fungicida sistêmico preventivo, curativo e erradicante</t>
        </is>
      </c>
      <c r="K534" s="13" t="inlineStr">
        <is>
          <t>Triazol</t>
        </is>
      </c>
      <c r="L534" s="13" t="inlineStr">
        <is>
          <t>FRAC Grupo 3 (DMI)</t>
        </is>
      </c>
      <c r="M534" s="13" t="inlineStr">
        <is>
          <t>Inibidores da desmetilação de esteróis (C14-desmetilase na síntese de ergosterol)</t>
        </is>
      </c>
      <c r="N534" s="13" t="inlineStr">
        <is>
          <t>Categoria 3 — Produto Moderadamente Tóxico</t>
        </is>
      </c>
      <c r="O534" s="13" t="inlineStr">
        <is>
          <t>Amarelo PMS Yellow C</t>
        </is>
      </c>
      <c r="P534" s="13" t="inlineStr">
        <is>
          <t>Classe II — Produto Muito Perigoso ao Meio Ambiente</t>
        </is>
      </c>
      <c r="Q534" s="15" t="n">
        <v>24</v>
      </c>
      <c r="R534" s="13" t="inlineStr">
        <is>
          <t>Terrestre / Aérea (Drones consultar bula)</t>
        </is>
      </c>
      <c r="S534" s="13" t="inlineStr">
        <is>
          <t>Sem antídoto específico; tratamento sintomático</t>
        </is>
      </c>
      <c r="T534" s="13" t="inlineStr">
        <is>
          <t>GLOBACHEM PROTEÇÃO DE CULTIVOS DO BRASIL LTDA.</t>
        </is>
      </c>
      <c r="U534" s="16">
        <f>HYPERLINK("https://agrofit.agricultura.gov.br/agrofit_cons/principal_agrofit_cons", "Consulta Oficial AGROFIT/MAPA (Nº 15716)")</f>
        <v/>
      </c>
    </row>
    <row r="535" ht="22" customHeight="1">
      <c r="A535" s="5" t="n">
        <v>530</v>
      </c>
      <c r="B535" s="6" t="inlineStr">
        <is>
          <t>Nº 26017</t>
        </is>
      </c>
      <c r="C535" s="7" t="inlineStr">
        <is>
          <t>MESOTRIONE 480 SC PROVENTIS 4X5L (IMP)</t>
        </is>
      </c>
      <c r="D535" s="8" t="inlineStr">
        <is>
          <t>MESOTRIONE</t>
        </is>
      </c>
      <c r="E535" s="7" t="inlineStr">
        <is>
          <t>Produto Formulado Comercial</t>
        </is>
      </c>
      <c r="F535" s="7" t="inlineStr">
        <is>
          <t>Defensivos</t>
        </is>
      </c>
      <c r="G535" s="7" t="inlineStr">
        <is>
          <t>Herbicida</t>
        </is>
      </c>
      <c r="H535" s="7" t="inlineStr">
        <is>
          <t>SC</t>
        </is>
      </c>
      <c r="I535" s="7" t="inlineStr">
        <is>
          <t>Suspensão Concentrada (SC)</t>
        </is>
      </c>
      <c r="J535" s="7" t="inlineStr">
        <is>
          <t>Herbicida sistêmico seletivo de pós-emergência</t>
        </is>
      </c>
      <c r="K535" s="7" t="inlineStr">
        <is>
          <t>Tricetona</t>
        </is>
      </c>
      <c r="L535" s="7" t="inlineStr">
        <is>
          <t>HRAC Grupo F2 (27) — Inibidores da HPPD</t>
        </is>
      </c>
      <c r="M535" s="7" t="inlineStr">
        <is>
          <t>Inibidores da enzima 4-hidroxifenil-piruvato-dioxigenase (HPPD - biossíntese de carotenoides)</t>
        </is>
      </c>
      <c r="N535" s="7" t="inlineStr">
        <is>
          <t>Categoria 4 / 5 — Pouco Tóxico</t>
        </is>
      </c>
      <c r="O535" s="7" t="inlineStr">
        <is>
          <t>Azul Intenso</t>
        </is>
      </c>
      <c r="P535" s="7" t="inlineStr">
        <is>
          <t>Classe II — Produto Muito Perigoso ao Meio Ambiente</t>
        </is>
      </c>
      <c r="Q535" s="9" t="n">
        <v>24</v>
      </c>
      <c r="R535" s="7" t="inlineStr">
        <is>
          <t>Terrestre / Aérea (Drones consultar bula)</t>
        </is>
      </c>
      <c r="S535" s="7" t="inlineStr">
        <is>
          <t>Sem antídoto específico; tratamento sintomático</t>
        </is>
      </c>
      <c r="T535" s="7" t="inlineStr">
        <is>
          <t>Proventis Lifescience</t>
        </is>
      </c>
      <c r="U535" s="10">
        <f>HYPERLINK("https://www.adapar.pr.gov.br/Pagina/Agrotoxicos-Herbicidas", "Registro Oficial Mesotrione 480 SC Proventis (MAPA 26017)")</f>
        <v/>
      </c>
    </row>
    <row r="536" ht="22" customHeight="1">
      <c r="A536" s="11" t="n">
        <v>531</v>
      </c>
      <c r="B536" s="12" t="inlineStr">
        <is>
          <t>Nº 22221</t>
        </is>
      </c>
      <c r="C536" s="13" t="inlineStr">
        <is>
          <t>GRASIDIM 1X20L (IMP)</t>
        </is>
      </c>
      <c r="D536" s="14" t="inlineStr">
        <is>
          <t>GRASIDIM</t>
        </is>
      </c>
      <c r="E536" s="13" t="inlineStr">
        <is>
          <t>Produto Formulado Comercial</t>
        </is>
      </c>
      <c r="F536" s="13" t="inlineStr">
        <is>
          <t>Defensivos</t>
        </is>
      </c>
      <c r="G536" s="13" t="inlineStr">
        <is>
          <t>Herbicida</t>
        </is>
      </c>
      <c r="H536" s="13" t="inlineStr">
        <is>
          <t>EC</t>
        </is>
      </c>
      <c r="I536" s="13" t="inlineStr">
        <is>
          <t>Concentrado Emulsionável (EC)</t>
        </is>
      </c>
      <c r="J536" s="13" t="inlineStr">
        <is>
          <t>Herbicida graminicida sistêmico seletivo de pós-emergência</t>
        </is>
      </c>
      <c r="K536" s="13" t="inlineStr">
        <is>
          <t>Oxima ciclohexanodiona (DIM)</t>
        </is>
      </c>
      <c r="L536" s="13" t="inlineStr">
        <is>
          <t>HRAC Grupo A (1) — Inibidores da ACCase</t>
        </is>
      </c>
      <c r="M536" s="13" t="inlineStr">
        <is>
          <t>Inibidores da Acetil CoA Carboxilase (ACCase)</t>
        </is>
      </c>
      <c r="N536" s="13" t="inlineStr">
        <is>
          <t>Categoria 4 — Produto Pouco Tóxico</t>
        </is>
      </c>
      <c r="O536" s="13" t="inlineStr">
        <is>
          <t>Azul PMS Blue 293 C</t>
        </is>
      </c>
      <c r="P536" s="13" t="inlineStr">
        <is>
          <t>Classe III — Produto Perigoso ao Meio Ambiente</t>
        </is>
      </c>
      <c r="Q536" s="15" t="n">
        <v>24</v>
      </c>
      <c r="R536" s="13" t="inlineStr">
        <is>
          <t>Terrestre / Aérea (Drones consultar bula)</t>
        </is>
      </c>
      <c r="S536" s="13" t="inlineStr">
        <is>
          <t>Sem antídoto específico; tratamento sintomático</t>
        </is>
      </c>
      <c r="T536" s="13" t="inlineStr">
        <is>
          <t>RAINBOW DEFENSIVOS AGRÍCOLAS LTDA.</t>
        </is>
      </c>
      <c r="U536" s="16">
        <f>HYPERLINK("https://agrofit.agricultura.gov.br/agrofit_cons/principal_agrofit_cons", "Consulta Oficial AGROFIT/MAPA (Nº 22221)")</f>
        <v/>
      </c>
    </row>
    <row r="537" ht="22" customHeight="1">
      <c r="A537" s="5" t="n">
        <v>532</v>
      </c>
      <c r="B537" s="6" t="inlineStr">
        <is>
          <t>Nº 28520</t>
        </is>
      </c>
      <c r="C537" s="7" t="inlineStr">
        <is>
          <t>SENHA 720 WG 1X10KG (IMP)</t>
        </is>
      </c>
      <c r="D537" s="8" t="inlineStr">
        <is>
          <t>SENHA 720 WG</t>
        </is>
      </c>
      <c r="E537" s="7" t="inlineStr">
        <is>
          <t>Produto Formulado Comercial</t>
        </is>
      </c>
      <c r="F537" s="7" t="inlineStr">
        <is>
          <t>Defensivos</t>
        </is>
      </c>
      <c r="G537" s="7" t="inlineStr">
        <is>
          <t>Herbicida</t>
        </is>
      </c>
      <c r="H537" s="7" t="inlineStr">
        <is>
          <t>WG</t>
        </is>
      </c>
      <c r="I537" s="7" t="inlineStr">
        <is>
          <t>Grânulos Dispersíveis em Água (WG)</t>
        </is>
      </c>
      <c r="J537" s="7" t="inlineStr">
        <is>
          <t>Herbicida sistêmico de pós-emergência (seletivo condicional p/ OGM)</t>
        </is>
      </c>
      <c r="K537" s="7" t="inlineStr">
        <is>
          <t>Glicina substituída</t>
        </is>
      </c>
      <c r="L537" s="7" t="inlineStr">
        <is>
          <t>HRAC Grupo G (EPSPs)</t>
        </is>
      </c>
      <c r="M537" s="7" t="inlineStr">
        <is>
          <t>Inibidores da enzima EPSPs (Enoil Piruvil Shiquimato Fosfato Sintase)</t>
        </is>
      </c>
      <c r="N537" s="7" t="inlineStr">
        <is>
          <t>Categoria 5 — Produto Improvável de Causar Dano Agudo</t>
        </is>
      </c>
      <c r="O537" s="7" t="inlineStr">
        <is>
          <t>Azul Intenso</t>
        </is>
      </c>
      <c r="P537" s="7" t="inlineStr">
        <is>
          <t>Classe III — Produto Perigoso ao Meio Ambiente</t>
        </is>
      </c>
      <c r="Q537" s="9" t="n">
        <v>24</v>
      </c>
      <c r="R537" s="7" t="inlineStr">
        <is>
          <t>Terrestre / Aérea (Drones consultar bula)</t>
        </is>
      </c>
      <c r="S537" s="7" t="inlineStr">
        <is>
          <t>Sem antídoto específico (Atropina ineficaz); tratamento sintomático</t>
        </is>
      </c>
      <c r="T537" s="7" t="inlineStr">
        <is>
          <t>RAINBOW DEFENSIVOS AGRÍCOLAS LTDA.</t>
        </is>
      </c>
      <c r="U537" s="10">
        <f>HYPERLINK("https://agrofit.agricultura.gov.br/agrofit_cons/principal_agrofit_cons", "Consulta Oficial AGROFIT/MAPA (Nº 28520)")</f>
        <v/>
      </c>
    </row>
    <row r="538" ht="22" customHeight="1">
      <c r="A538" s="11" t="n">
        <v>533</v>
      </c>
      <c r="B538" s="12" t="inlineStr">
        <is>
          <t>ISENTO (ATO 104/2017)</t>
        </is>
      </c>
      <c r="C538" s="13" t="inlineStr">
        <is>
          <t>AGRICOIL CITRUS 1X10L</t>
        </is>
      </c>
      <c r="D538" s="14" t="inlineStr">
        <is>
          <t>AGRICOIL CITRUS</t>
        </is>
      </c>
      <c r="E538" s="13" t="inlineStr">
        <is>
          <t>Adjuvante / Espalhante Adesivo</t>
        </is>
      </c>
      <c r="F538" s="13" t="inlineStr">
        <is>
          <t>Adjuvantes</t>
        </is>
      </c>
      <c r="G538" s="13" t="inlineStr">
        <is>
          <t>Óleo Vegetal / Éster Metílico / D-Limoneno Adjuvante</t>
        </is>
      </c>
      <c r="H538" s="13" t="inlineStr">
        <is>
          <t>EC</t>
        </is>
      </c>
      <c r="I538" s="13" t="inlineStr">
        <is>
          <t>Concentrado Emulsionável (EC)</t>
        </is>
      </c>
      <c r="J538" s="13" t="inlineStr">
        <is>
          <t>Aditivo físico-químico para calda de pulverização</t>
        </is>
      </c>
      <c r="K538" s="13" t="inlineStr">
        <is>
          <t>Éster Metílico / Hidrocarboneto Parafínico / Tensoativo Siliconado</t>
        </is>
      </c>
      <c r="L538" s="13" t="inlineStr">
        <is>
          <t>Adjuvante Tecnológico de Pulverização</t>
        </is>
      </c>
      <c r="M538" s="13" t="inlineStr">
        <is>
          <t>Redução da tensão superficial, espalhamento, anti-deriva e penetração cuticular</t>
        </is>
      </c>
      <c r="N538" s="13" t="inlineStr">
        <is>
          <t>Isento / Ato SDA nº 104/2017 (ou Categoria 5 quando registrado)</t>
        </is>
      </c>
      <c r="O538" s="13" t="inlineStr">
        <is>
          <t>Azul / Isento</t>
        </is>
      </c>
      <c r="P538" s="13" t="inlineStr">
        <is>
          <t>Classe IV — Pouco Perigoso ao Meio Ambiente</t>
        </is>
      </c>
      <c r="Q538" s="15" t="n">
        <v>24</v>
      </c>
      <c r="R538" s="13" t="inlineStr">
        <is>
          <t>Terrestre / Aérea (Drones consultar bula)</t>
        </is>
      </c>
      <c r="S538" s="13" t="inlineStr">
        <is>
          <t>Tratamento sintomático; evitar indução de vômito em derivados de petróleo</t>
        </is>
      </c>
      <c r="T538" s="13" t="inlineStr">
        <is>
          <t>Dispensado de Registro (Ato SDA nº 104/2017)</t>
        </is>
      </c>
      <c r="U538" s="16">
        <f>HYPERLINK("https://www.gov.br/agricultura/pt-br/assuntos/insumos-agropecuarios/insumos-agricolas/agrotoxicos/legislacao", "Ato SDA/MAPA nº 104/2017 — Adjuvantes Agrícolas")</f>
        <v/>
      </c>
    </row>
    <row r="539" ht="22" customHeight="1">
      <c r="A539" s="5" t="n">
        <v>534</v>
      </c>
      <c r="B539" s="6" t="inlineStr">
        <is>
          <t>Nº 26718</t>
        </is>
      </c>
      <c r="C539" s="7" t="inlineStr">
        <is>
          <t>DINKY 200 SP 0,200KG (IMP) (AMOSTRA)</t>
        </is>
      </c>
      <c r="D539" s="8" t="inlineStr">
        <is>
          <t>DINKY 200 SP 0,200KG (IMP) (AMOSTRA)</t>
        </is>
      </c>
      <c r="E539" s="7" t="inlineStr">
        <is>
          <t>Produto Formulado Comercial</t>
        </is>
      </c>
      <c r="F539" s="7" t="inlineStr">
        <is>
          <t>Defensivos</t>
        </is>
      </c>
      <c r="G539" s="7" t="inlineStr">
        <is>
          <t>Inseticida</t>
        </is>
      </c>
      <c r="H539" s="7" t="inlineStr">
        <is>
          <t>SP</t>
        </is>
      </c>
      <c r="I539" s="7" t="inlineStr">
        <is>
          <t>Pó Solúvel (SP)</t>
        </is>
      </c>
      <c r="J539" s="7" t="inlineStr">
        <is>
          <t>Inseticida sistêmico de contato, ingestão e ação translaminar</t>
        </is>
      </c>
      <c r="K539" s="7" t="inlineStr">
        <is>
          <t>Neonicotinoide</t>
        </is>
      </c>
      <c r="L539" s="7" t="inlineStr">
        <is>
          <t>IRAC Grupo 4A</t>
        </is>
      </c>
      <c r="M539" s="7" t="inlineStr">
        <is>
          <t>Moduladores competitivos de receptores nicotínicos da acetilcolina (nAChR)</t>
        </is>
      </c>
      <c r="N539" s="7" t="inlineStr">
        <is>
          <t>Categoria 4 — Produto Pouco Tóxico</t>
        </is>
      </c>
      <c r="O539" s="7" t="inlineStr">
        <is>
          <t>Azul PMS Blue 293 C</t>
        </is>
      </c>
      <c r="P539" s="7" t="inlineStr">
        <is>
          <t>Classe II — Produto Muito Perigoso ao Meio Ambiente</t>
        </is>
      </c>
      <c r="Q539" s="9" t="n">
        <v>24</v>
      </c>
      <c r="R539" s="7" t="inlineStr">
        <is>
          <t>Terrestre / Aérea (Drones consultar bula)</t>
        </is>
      </c>
      <c r="S539" s="7" t="inlineStr">
        <is>
          <t>Sem antídoto específico; tratamento sintomático</t>
        </is>
      </c>
      <c r="T539" s="7" t="inlineStr">
        <is>
          <t>GLOBACHEM PROTEÇÃO DE CULTIVOS DO BRASIL LTDA.</t>
        </is>
      </c>
      <c r="U539" s="10">
        <f>HYPERLINK("https://www.agrolink.com.br/agrolinkfito/produto/dinky-200-sp---promenade_10735.html", "Bula Oficial Dinky 200 SP (Globachem)")</f>
        <v/>
      </c>
    </row>
    <row r="540" ht="22" customHeight="1">
      <c r="A540" s="11" t="n">
        <v>535</v>
      </c>
      <c r="B540" s="12" t="inlineStr">
        <is>
          <t>Nº 6922</t>
        </is>
      </c>
      <c r="C540" s="13" t="inlineStr">
        <is>
          <t>INSECTRIN 0,200L (IMP) AMOSTRA</t>
        </is>
      </c>
      <c r="D540" s="14" t="inlineStr">
        <is>
          <t>INSECTRIN 0,200L (IMP) AMOSTRA</t>
        </is>
      </c>
      <c r="E540" s="13" t="inlineStr">
        <is>
          <t>Produto Formulado Comercial</t>
        </is>
      </c>
      <c r="F540" s="13" t="inlineStr">
        <is>
          <t>Defensivos</t>
        </is>
      </c>
      <c r="G540" s="13" t="inlineStr">
        <is>
          <t>Inseticida e Acaricida</t>
        </is>
      </c>
      <c r="H540" s="13" t="inlineStr">
        <is>
          <t>EC</t>
        </is>
      </c>
      <c r="I540" s="13" t="inlineStr">
        <is>
          <t>Concentrado Emulsionável (EC)</t>
        </is>
      </c>
      <c r="J540" s="13" t="inlineStr">
        <is>
          <t>Inseticida e acaricida de contato e ingestão</t>
        </is>
      </c>
      <c r="K540" s="13" t="inlineStr">
        <is>
          <t>Piretroide (Tipo I)</t>
        </is>
      </c>
      <c r="L540" s="13" t="inlineStr">
        <is>
          <t>IRAC Grupo 3A</t>
        </is>
      </c>
      <c r="M540" s="13" t="inlineStr">
        <is>
          <t>Moduladores de canais de sódio em membranas nervosas</t>
        </is>
      </c>
      <c r="N540" s="13" t="inlineStr">
        <is>
          <t>Categoria 3 — Produto Moderadamente Tóxico</t>
        </is>
      </c>
      <c r="O540" s="13" t="inlineStr">
        <is>
          <t>Amarelo PMS Yellow C</t>
        </is>
      </c>
      <c r="P540" s="13" t="inlineStr">
        <is>
          <t>Classe II — Produto Muito Perigoso ao Meio Ambiente</t>
        </is>
      </c>
      <c r="Q540" s="15" t="n">
        <v>24</v>
      </c>
      <c r="R540" s="13" t="inlineStr">
        <is>
          <t>Terrestre / Aérea (Drones consultar bula)</t>
        </is>
      </c>
      <c r="S540" s="13" t="inlineStr">
        <is>
          <t>Sem antídoto específico; anti-histamínicos e vitamina E tópica para parestesia</t>
        </is>
      </c>
      <c r="T540" s="13" t="inlineStr">
        <is>
          <t>RAINBOW DEFENSIVOS AGRÍCOLAS LTDA.</t>
        </is>
      </c>
      <c r="U540" s="16">
        <f>HYPERLINK("https://agrofit.agricultura.gov.br/agrofit_cons/principal_agrofit_cons", "Consulta Oficial AGROFIT/MAPA (Nº 6922)")</f>
        <v/>
      </c>
    </row>
    <row r="541" ht="22" customHeight="1">
      <c r="A541" s="5" t="n">
        <v>536</v>
      </c>
      <c r="B541" s="6" t="inlineStr">
        <is>
          <t>Nº 3224</t>
        </is>
      </c>
      <c r="C541" s="7" t="inlineStr">
        <is>
          <t>CHLOROTHALONIL 720 SC YONON 0,200L (IMP) AMOSTRA</t>
        </is>
      </c>
      <c r="D541" s="8" t="inlineStr">
        <is>
          <t>CHLOROTHALONIL</t>
        </is>
      </c>
      <c r="E541" s="7" t="inlineStr">
        <is>
          <t>Produto Formulado Comercial</t>
        </is>
      </c>
      <c r="F541" s="7" t="inlineStr">
        <is>
          <t>Defensivos</t>
        </is>
      </c>
      <c r="G541" s="7" t="inlineStr">
        <is>
          <t>Fungicida</t>
        </is>
      </c>
      <c r="H541" s="7" t="inlineStr">
        <is>
          <t>SC</t>
        </is>
      </c>
      <c r="I541" s="7" t="inlineStr">
        <is>
          <t>Suspensão Concentrada (SC)</t>
        </is>
      </c>
      <c r="J541" s="7" t="inlineStr">
        <is>
          <t>Fungicida protetor de contato multissítio (manejo anti-resistência)</t>
        </is>
      </c>
      <c r="K541" s="7" t="inlineStr">
        <is>
          <t>Isoftalonitrila</t>
        </is>
      </c>
      <c r="L541" s="7" t="inlineStr">
        <is>
          <t>FRAC Grupo M05 — Multissítio</t>
        </is>
      </c>
      <c r="M541" s="7" t="inlineStr">
        <is>
          <t>Atividade de contato multissítio (inativação de grupos tiol enzimáticos)</t>
        </is>
      </c>
      <c r="N541" s="7" t="inlineStr">
        <is>
          <t>Categoria 2 / 3 — Altamente a Moderadamente Tóxico</t>
        </is>
      </c>
      <c r="O541" s="7" t="inlineStr">
        <is>
          <t>Vermelho / Amarelo</t>
        </is>
      </c>
      <c r="P541" s="7" t="inlineStr">
        <is>
          <t>Classe II — Produto Muito Perigoso ao Meio Ambiente</t>
        </is>
      </c>
      <c r="Q541" s="9" t="n">
        <v>24</v>
      </c>
      <c r="R541" s="7" t="inlineStr">
        <is>
          <t>Terrestre / Aérea (Drones consultar bula)</t>
        </is>
      </c>
      <c r="S541" s="7" t="inlineStr">
        <is>
          <t>Sem antídoto específico; tratamento sintomático e descontaminação ocular/cutânea</t>
        </is>
      </c>
      <c r="T541" s="7" t="inlineStr">
        <is>
          <t>Yonon</t>
        </is>
      </c>
      <c r="U541" s="10">
        <f>HYPERLINK("https://agrofit.agricultura.gov.br/agrofit_cons/principal_agrofit_cons", "Consulta Oficial AGROFIT/MAPA (Nº 3224)")</f>
        <v/>
      </c>
    </row>
    <row r="542" ht="22" customHeight="1">
      <c r="A542" s="11" t="n">
        <v>537</v>
      </c>
      <c r="B542" s="12" t="inlineStr">
        <is>
          <t>Nº 40624</t>
        </is>
      </c>
      <c r="C542" s="13" t="inlineStr">
        <is>
          <t>CHLORPYRIFOS 480 EC AGCN 0,200 (IMP) AMOSTRA LL</t>
        </is>
      </c>
      <c r="D542" s="14" t="inlineStr">
        <is>
          <t>CHLORPYRIFOS 480 EC AGCN 0,200 (IMP) AMOSTRA LL</t>
        </is>
      </c>
      <c r="E542" s="13" t="inlineStr">
        <is>
          <t>Produto Formulado Comercial</t>
        </is>
      </c>
      <c r="F542" s="13" t="inlineStr">
        <is>
          <t>Defensivos</t>
        </is>
      </c>
      <c r="G542" s="13" t="inlineStr">
        <is>
          <t>Inseticida</t>
        </is>
      </c>
      <c r="H542" s="13" t="inlineStr">
        <is>
          <t>EC</t>
        </is>
      </c>
      <c r="I542" s="13" t="inlineStr">
        <is>
          <t>Concentrado Emulsionável (EC)</t>
        </is>
      </c>
      <c r="J542" s="13" t="inlineStr">
        <is>
          <t>Inseticida e acaricida de contato, ingestão e profundidade</t>
        </is>
      </c>
      <c r="K542" s="13" t="inlineStr">
        <is>
          <t>Organofosforado</t>
        </is>
      </c>
      <c r="L542" s="13" t="inlineStr">
        <is>
          <t>IRAC Grupo 1B</t>
        </is>
      </c>
      <c r="M542" s="13" t="inlineStr">
        <is>
          <t>Inibidores da acetilcolinesterase (AChE)</t>
        </is>
      </c>
      <c r="N542" s="13" t="inlineStr">
        <is>
          <t>Categoria 2 — Produto Altamente Tóxico</t>
        </is>
      </c>
      <c r="O542" s="13" t="inlineStr">
        <is>
          <t>Vermelho PMS Red 199 C</t>
        </is>
      </c>
      <c r="P542" s="13" t="inlineStr">
        <is>
          <t>Classe II — Produto Muito Perigoso ao Meio Ambiente</t>
        </is>
      </c>
      <c r="Q542" s="15" t="n">
        <v>24</v>
      </c>
      <c r="R542" s="13" t="inlineStr">
        <is>
          <t>Terrestre / Aérea (Drones consultar bula)</t>
        </is>
      </c>
      <c r="S542" s="13" t="inlineStr">
        <is>
          <t>Atropina (agonista antimuscarínico) e Pralidoxima (reativador de colinesterase)</t>
        </is>
      </c>
      <c r="T542" s="13" t="inlineStr">
        <is>
          <t>AGRICONNECTION IMPORTADORA E EXPORTADORA DE INSUMOS AGRÍCOLAS LTDA.</t>
        </is>
      </c>
      <c r="U542" s="16">
        <f>HYPERLINK("https://agrofit.agricultura.gov.br/agrofit_cons/principal_agrofit_cons", "Consulta Oficial AGROFIT/MAPA (Nº 40624)")</f>
        <v/>
      </c>
    </row>
    <row r="543" ht="22" customHeight="1">
      <c r="A543" s="5" t="n">
        <v>538</v>
      </c>
      <c r="B543" s="6" t="inlineStr">
        <is>
          <t>Nº 18022</t>
        </is>
      </c>
      <c r="C543" s="7" t="inlineStr">
        <is>
          <t>TARBOX BR 0,200KG (IMP) AMOSTRA</t>
        </is>
      </c>
      <c r="D543" s="8" t="inlineStr">
        <is>
          <t>TARBOX BR 0,200KG (IMP) AMOSTRA</t>
        </is>
      </c>
      <c r="E543" s="7" t="inlineStr">
        <is>
          <t>Produto Formulado Comercial</t>
        </is>
      </c>
      <c r="F543" s="7" t="inlineStr">
        <is>
          <t>Defensivos</t>
        </is>
      </c>
      <c r="G543" s="7" t="inlineStr">
        <is>
          <t>Herbicida</t>
        </is>
      </c>
      <c r="H543" s="7" t="inlineStr">
        <is>
          <t>WG</t>
        </is>
      </c>
      <c r="I543" s="7" t="inlineStr">
        <is>
          <t>Grânulos Dispersíveis em Água (WG)</t>
        </is>
      </c>
      <c r="J543" s="7" t="inlineStr">
        <is>
          <t>Herbicida de contato não seletivo em pós-emergência (seletivo p/ OGM LibertyLink)</t>
        </is>
      </c>
      <c r="K543" s="7" t="inlineStr">
        <is>
          <t>Homoalanina substituída (Ácido fosfínico)</t>
        </is>
      </c>
      <c r="L543" s="7" t="inlineStr">
        <is>
          <t>HRAC Grupo H (10) — Inibidores da Glutamina Sintetase</t>
        </is>
      </c>
      <c r="M543" s="7" t="inlineStr">
        <is>
          <t>Inibição da enzima glutamina sintetase (acúmulo de amônia intracelular)</t>
        </is>
      </c>
      <c r="N543" s="7" t="inlineStr">
        <is>
          <t>Categoria 4 — Produto Pouco Tóxico</t>
        </is>
      </c>
      <c r="O543" s="7" t="inlineStr">
        <is>
          <t>Azul PMS Blue 293 C</t>
        </is>
      </c>
      <c r="P543" s="7" t="inlineStr">
        <is>
          <t>Classe III — Produto Perigoso ao Meio Ambiente</t>
        </is>
      </c>
      <c r="Q543" s="9" t="n">
        <v>24</v>
      </c>
      <c r="R543" s="7" t="inlineStr">
        <is>
          <t>Terrestre / Aérea (Drones consultar bula)</t>
        </is>
      </c>
      <c r="S543" s="7" t="inlineStr">
        <is>
          <t>Sem antídoto específico; monitorar SNC por 48h e suporte ventilatório</t>
        </is>
      </c>
      <c r="T543" s="7" t="inlineStr">
        <is>
          <t>GLOBACHEM PROTEÇÃO DE CULTIVOS DO BRASIL LTDA.</t>
        </is>
      </c>
      <c r="U543" s="10">
        <f>HYPERLINK("https://www.adapar.pr.gov.br/Pagina/Agrotoxicos-Herbicidas", "Registro Oficial Tarbox 850 WG (MAPA 18022)")</f>
        <v/>
      </c>
    </row>
    <row r="544" ht="22" customHeight="1">
      <c r="A544" s="11" t="n">
        <v>539</v>
      </c>
      <c r="B544" s="12" t="inlineStr">
        <is>
          <t>Nº 22225</t>
        </is>
      </c>
      <c r="C544" s="13" t="inlineStr">
        <is>
          <t>KILLIGAN 0,200L (IMP) RW AMOSTRA</t>
        </is>
      </c>
      <c r="D544" s="14" t="inlineStr">
        <is>
          <t>KILLIGAN 0,200L (IMP) RW AMOSTRA</t>
        </is>
      </c>
      <c r="E544" s="13" t="inlineStr">
        <is>
          <t>Produto Formulado Comercial</t>
        </is>
      </c>
      <c r="F544" s="13" t="inlineStr">
        <is>
          <t>Defensivos</t>
        </is>
      </c>
      <c r="G544" s="13" t="inlineStr">
        <is>
          <t>Inseticida e Acaricida</t>
        </is>
      </c>
      <c r="H544" s="13" t="inlineStr">
        <is>
          <t>SC</t>
        </is>
      </c>
      <c r="I544" s="13" t="inlineStr">
        <is>
          <t>Suspensão Concentrada (SC)</t>
        </is>
      </c>
      <c r="J544" s="13" t="inlineStr">
        <is>
          <t>Inseticida e acaricida de contato e ingestão com ação translaminar</t>
        </is>
      </c>
      <c r="K544" s="13" t="inlineStr">
        <is>
          <t>Análogo de pirazol (Arilpirrol)</t>
        </is>
      </c>
      <c r="L544" s="13" t="inlineStr">
        <is>
          <t>IRAC Grupo 13</t>
        </is>
      </c>
      <c r="M544" s="13" t="inlineStr">
        <is>
          <t>Desacopladores da fosforilação oxidativa via disrupção do gradiente de prótons</t>
        </is>
      </c>
      <c r="N544" s="13" t="inlineStr">
        <is>
          <t>Categoria 3 / 4 — Moderadamente a Pouco Tóxico</t>
        </is>
      </c>
      <c r="O544" s="13" t="inlineStr">
        <is>
          <t>Amarelo / Azul</t>
        </is>
      </c>
      <c r="P544" s="13" t="inlineStr">
        <is>
          <t>Classe II — Produto Muito Perigoso ao Meio Ambiente</t>
        </is>
      </c>
      <c r="Q544" s="15" t="n">
        <v>24</v>
      </c>
      <c r="R544" s="13" t="inlineStr">
        <is>
          <t>Terrestre / Aérea (Drones consultar bula)</t>
        </is>
      </c>
      <c r="S544" s="13" t="inlineStr">
        <is>
          <t>Sem antídoto específico; controle rigoroso de hipertermia (antitérmicos comuns ineficazes)</t>
        </is>
      </c>
      <c r="T544" s="13" t="inlineStr">
        <is>
          <t>RAINBOW DEFENSIVOS AGRÍCOLAS LTDA.</t>
        </is>
      </c>
      <c r="U544" s="16">
        <f>HYPERLINK("https://www.adapar.pr.gov.br/system/files/publico/Agrotoxicos/lista.pdf", "Registro Oficial Killigan 240 SC (MAPA 22225)")</f>
        <v/>
      </c>
    </row>
    <row r="545" ht="22" customHeight="1">
      <c r="A545" s="5" t="n">
        <v>540</v>
      </c>
      <c r="B545" s="6" t="inlineStr">
        <is>
          <t>SIPEAGRO (UF-XXXXX)</t>
        </is>
      </c>
      <c r="C545" s="7" t="inlineStr">
        <is>
          <t>FOSFATO MONOAMONICO GRANULADO - MAP</t>
        </is>
      </c>
      <c r="D545" s="8" t="inlineStr">
        <is>
          <t>FOSFATO MONOAMONICO GRANULADO - MAP</t>
        </is>
      </c>
      <c r="E545" s="7" t="inlineStr">
        <is>
          <t>Fertilizante Mineral / Organomineral</t>
        </is>
      </c>
      <c r="F545" s="7" t="inlineStr">
        <is>
          <t>Fertilizantes</t>
        </is>
      </c>
      <c r="G545" s="7" t="inlineStr">
        <is>
          <t>Fertilizante Complexo (MAP — Fosfato Monoamônico)</t>
        </is>
      </c>
      <c r="H545" s="7" t="inlineStr">
        <is>
          <t>Granulado</t>
        </is>
      </c>
      <c r="I545" s="7" t="inlineStr">
        <is>
          <t>Formulação Padrão (Granulado / Solúvel / Suspensão)</t>
        </is>
      </c>
      <c r="J545" s="7" t="inlineStr">
        <is>
          <t>Aplicação via solo, fertirrigação ou adubação foliar</t>
        </is>
      </c>
      <c r="K545" s="7" t="inlineStr">
        <is>
          <t>Fertilizante Mineral / Organomineral (Lei nº 6.894/1980)</t>
        </is>
      </c>
      <c r="L545" s="7" t="inlineStr">
        <is>
          <t>Nutrição Vegetal SIPEAGRO</t>
        </is>
      </c>
      <c r="M545" s="7" t="inlineStr">
        <is>
          <t>Fornecimento de macro e micronutrientes essenciais ao metabolismo vegetal</t>
        </is>
      </c>
      <c r="N545" s="7" t="inlineStr">
        <is>
          <t>Isento ANVISA (Produto Fertilizante Registrado no SIPEAGRO/MAPA)</t>
        </is>
      </c>
      <c r="O545" s="7" t="inlineStr">
        <is>
          <t>Não Aplicável (Fertilizante)</t>
        </is>
      </c>
      <c r="P545" s="7" t="inlineStr">
        <is>
          <t>Baixo Potencial Poluidor (Uso conforme recomendação agronômica)</t>
        </is>
      </c>
      <c r="Q545" s="9" t="n">
        <v>0</v>
      </c>
      <c r="R545" s="7" t="inlineStr">
        <is>
          <t>Aplicação Dirigida / TS / Solo</t>
        </is>
      </c>
      <c r="S545" s="7" t="inlineStr">
        <is>
          <t>Tratamento sintomático em caso de ingestão acidental</t>
        </is>
      </c>
      <c r="T545" s="7" t="inlineStr">
        <is>
          <t>Estabelecimento Produtor SIPEAGRO/MAPA</t>
        </is>
      </c>
      <c r="U545" s="10">
        <f>HYPERLINK("https://www.gov.br/agricultura/pt-br/assuntos/insumos-agropecuarios/insumos-agricolas/fertilizantes", "Portal SIPEAGRO / MAPA — Fertilizantes e Bioinsumos")</f>
        <v/>
      </c>
    </row>
    <row r="546" ht="22" customHeight="1">
      <c r="A546" s="11" t="n">
        <v>541</v>
      </c>
      <c r="B546" s="12" t="inlineStr">
        <is>
          <t>Nº 24922</t>
        </is>
      </c>
      <c r="C546" s="13" t="inlineStr">
        <is>
          <t>CEFANOL GOLD 8X3KG (IMP) RV</t>
        </is>
      </c>
      <c r="D546" s="14" t="inlineStr">
        <is>
          <t>CEFANOL GOLD</t>
        </is>
      </c>
      <c r="E546" s="13" t="inlineStr">
        <is>
          <t>Produto Formulado Comercial</t>
        </is>
      </c>
      <c r="F546" s="13" t="inlineStr">
        <is>
          <t>Defensivos</t>
        </is>
      </c>
      <c r="G546" s="13" t="inlineStr">
        <is>
          <t>Inseticida</t>
        </is>
      </c>
      <c r="H546" s="13" t="inlineStr">
        <is>
          <t>SG</t>
        </is>
      </c>
      <c r="I546" s="13" t="inlineStr">
        <is>
          <t>Grânulos Solúveis em Água (SG)</t>
        </is>
      </c>
      <c r="J546" s="13" t="inlineStr">
        <is>
          <t>Inseticida e acaricida sistêmico de contato e ingestão</t>
        </is>
      </c>
      <c r="K546" s="13" t="inlineStr">
        <is>
          <t>Organofosforado</t>
        </is>
      </c>
      <c r="L546" s="13" t="inlineStr">
        <is>
          <t>IRAC Grupo 1B</t>
        </is>
      </c>
      <c r="M546" s="13" t="inlineStr">
        <is>
          <t>Inibidores da enzima acetilcolinesterase (AChE)</t>
        </is>
      </c>
      <c r="N546" s="13" t="inlineStr">
        <is>
          <t>Categoria 4 — Produto Pouco Tóxico</t>
        </is>
      </c>
      <c r="O546" s="13" t="inlineStr">
        <is>
          <t>Azul PMS Blue 293 C</t>
        </is>
      </c>
      <c r="P546" s="13" t="inlineStr">
        <is>
          <t>Classe III — Produto Perigoso ao Meio Ambiente</t>
        </is>
      </c>
      <c r="Q546" s="15" t="n">
        <v>24</v>
      </c>
      <c r="R546" s="13" t="inlineStr">
        <is>
          <t>Terrestre / Aérea (Drones consultar bula)</t>
        </is>
      </c>
      <c r="S546" s="13" t="inlineStr">
        <is>
          <t>Sulfato de Atropina e Pralidoxima (Contrathion)</t>
        </is>
      </c>
      <c r="T546" s="13" t="inlineStr">
        <is>
          <t>SIPCAM NICHINO BRASIL S.A.</t>
        </is>
      </c>
      <c r="U546" s="16">
        <f>HYPERLINK("https://www.adapar.pr.gov.br/system/files/publico/Agrotoxicos/lista.pdf", "Registro Oficial Cefanol Gold 920 SG (MAPA 24922)")</f>
        <v/>
      </c>
    </row>
    <row r="547" ht="22" customHeight="1">
      <c r="A547" s="5" t="n">
        <v>542</v>
      </c>
      <c r="B547" s="6" t="inlineStr">
        <is>
          <t>Nº 22225</t>
        </is>
      </c>
      <c r="C547" s="7" t="inlineStr">
        <is>
          <t>KILLIGAN 20L (IMP)</t>
        </is>
      </c>
      <c r="D547" s="8" t="inlineStr">
        <is>
          <t>KILLIGAN</t>
        </is>
      </c>
      <c r="E547" s="7" t="inlineStr">
        <is>
          <t>Produto Formulado Comercial</t>
        </is>
      </c>
      <c r="F547" s="7" t="inlineStr">
        <is>
          <t>Defensivos</t>
        </is>
      </c>
      <c r="G547" s="7" t="inlineStr">
        <is>
          <t>Inseticida e Acaricida</t>
        </is>
      </c>
      <c r="H547" s="7" t="inlineStr">
        <is>
          <t>SC</t>
        </is>
      </c>
      <c r="I547" s="7" t="inlineStr">
        <is>
          <t>Suspensão Concentrada (SC)</t>
        </is>
      </c>
      <c r="J547" s="7" t="inlineStr">
        <is>
          <t>Inseticida e acaricida de contato e ingestão com ação translaminar</t>
        </is>
      </c>
      <c r="K547" s="7" t="inlineStr">
        <is>
          <t>Análogo de pirazol (Arilpirrol)</t>
        </is>
      </c>
      <c r="L547" s="7" t="inlineStr">
        <is>
          <t>IRAC Grupo 13</t>
        </is>
      </c>
      <c r="M547" s="7" t="inlineStr">
        <is>
          <t>Desacopladores da fosforilação oxidativa via disrupção do gradiente de prótons</t>
        </is>
      </c>
      <c r="N547" s="7" t="inlineStr">
        <is>
          <t>Categoria 3 / 4 — Moderadamente a Pouco Tóxico</t>
        </is>
      </c>
      <c r="O547" s="7" t="inlineStr">
        <is>
          <t>Amarelo / Azul</t>
        </is>
      </c>
      <c r="P547" s="7" t="inlineStr">
        <is>
          <t>Classe II — Produto Muito Perigoso ao Meio Ambiente</t>
        </is>
      </c>
      <c r="Q547" s="9" t="n">
        <v>24</v>
      </c>
      <c r="R547" s="7" t="inlineStr">
        <is>
          <t>Terrestre / Aérea (Drones consultar bula)</t>
        </is>
      </c>
      <c r="S547" s="7" t="inlineStr">
        <is>
          <t>Sem antídoto específico; controle rigoroso de hipertermia (antitérmicos comuns ineficazes)</t>
        </is>
      </c>
      <c r="T547" s="7" t="inlineStr">
        <is>
          <t>RAINBOW DEFENSIVOS AGRÍCOLAS LTDA.</t>
        </is>
      </c>
      <c r="U547" s="10">
        <f>HYPERLINK("https://www.adapar.pr.gov.br/system/files/publico/Agrotoxicos/lista.pdf", "Registro Oficial Killigan 240 SC (MAPA 22225)")</f>
        <v/>
      </c>
    </row>
    <row r="548" ht="22" customHeight="1">
      <c r="A548" s="11" t="n">
        <v>543</v>
      </c>
      <c r="B548" s="12" t="inlineStr">
        <is>
          <t>Nº 17921</t>
        </is>
      </c>
      <c r="C548" s="13" t="inlineStr">
        <is>
          <t>TIOFANATO 500 SC PROVENTIS (IMP) 0,200L AMOSTRA</t>
        </is>
      </c>
      <c r="D548" s="14" t="inlineStr">
        <is>
          <t>TIOFANATO</t>
        </is>
      </c>
      <c r="E548" s="13" t="inlineStr">
        <is>
          <t>Produto Formulado Comercial</t>
        </is>
      </c>
      <c r="F548" s="13" t="inlineStr">
        <is>
          <t>Defensivos</t>
        </is>
      </c>
      <c r="G548" s="13" t="inlineStr">
        <is>
          <t>Fungicida</t>
        </is>
      </c>
      <c r="H548" s="13" t="inlineStr">
        <is>
          <t>SC</t>
        </is>
      </c>
      <c r="I548" s="13" t="inlineStr">
        <is>
          <t>Suspensão Concentrada (SC)</t>
        </is>
      </c>
      <c r="J548" s="13" t="inlineStr">
        <is>
          <t>Fungicida sistêmico preventivo e curativo</t>
        </is>
      </c>
      <c r="K548" s="13" t="inlineStr">
        <is>
          <t>Benzimidazol (Precursor de MBC)</t>
        </is>
      </c>
      <c r="L548" s="13" t="inlineStr">
        <is>
          <t>FRAC Grupo 1 (MBC)</t>
        </is>
      </c>
      <c r="M548" s="13" t="inlineStr">
        <is>
          <t>Inibidores da montagem de beta-tubulina na mitose celular</t>
        </is>
      </c>
      <c r="N548" s="13" t="inlineStr">
        <is>
          <t>Categoria 4 / 5 — Pouco Tóxico</t>
        </is>
      </c>
      <c r="O548" s="13" t="inlineStr">
        <is>
          <t>Azul Intenso</t>
        </is>
      </c>
      <c r="P548" s="13" t="inlineStr">
        <is>
          <t>Classe III — Produto Perigoso ao Meio Ambiente</t>
        </is>
      </c>
      <c r="Q548" s="15" t="n">
        <v>24</v>
      </c>
      <c r="R548" s="13" t="inlineStr">
        <is>
          <t>Terrestre / Aérea (Drones consultar bula)</t>
        </is>
      </c>
      <c r="S548" s="13" t="inlineStr">
        <is>
          <t>Sem antídoto específico; tratamento sintomático</t>
        </is>
      </c>
      <c r="T548" s="13" t="inlineStr">
        <is>
          <t>Proventis Lifescience</t>
        </is>
      </c>
      <c r="U548" s="16">
        <f>HYPERLINK("https://agrofit.agricultura.gov.br/agrofit_cons/principal_agrofit_cons", "Consulta Oficial AGROFIT/MAPA (Nº 17921)")</f>
        <v/>
      </c>
    </row>
    <row r="549" ht="22" customHeight="1">
      <c r="A549" s="5" t="n">
        <v>544</v>
      </c>
      <c r="B549" s="6" t="inlineStr">
        <is>
          <t>Nº 17921</t>
        </is>
      </c>
      <c r="C549" s="7" t="inlineStr">
        <is>
          <t>TIOFANATO 500 SC PROVENTIS (IMP) 0,100L AMOSTRA</t>
        </is>
      </c>
      <c r="D549" s="8" t="inlineStr">
        <is>
          <t>TIOFANATO</t>
        </is>
      </c>
      <c r="E549" s="7" t="inlineStr">
        <is>
          <t>Produto Formulado Comercial</t>
        </is>
      </c>
      <c r="F549" s="7" t="inlineStr">
        <is>
          <t>Defensivos</t>
        </is>
      </c>
      <c r="G549" s="7" t="inlineStr">
        <is>
          <t>Fungicida</t>
        </is>
      </c>
      <c r="H549" s="7" t="inlineStr">
        <is>
          <t>SC</t>
        </is>
      </c>
      <c r="I549" s="7" t="inlineStr">
        <is>
          <t>Suspensão Concentrada (SC)</t>
        </is>
      </c>
      <c r="J549" s="7" t="inlineStr">
        <is>
          <t>Fungicida sistêmico preventivo e curativo</t>
        </is>
      </c>
      <c r="K549" s="7" t="inlineStr">
        <is>
          <t>Benzimidazol (Precursor de MBC)</t>
        </is>
      </c>
      <c r="L549" s="7" t="inlineStr">
        <is>
          <t>FRAC Grupo 1 (MBC)</t>
        </is>
      </c>
      <c r="M549" s="7" t="inlineStr">
        <is>
          <t>Inibidores da montagem de beta-tubulina na mitose celular</t>
        </is>
      </c>
      <c r="N549" s="7" t="inlineStr">
        <is>
          <t>Categoria 4 / 5 — Pouco Tóxico</t>
        </is>
      </c>
      <c r="O549" s="7" t="inlineStr">
        <is>
          <t>Azul Intenso</t>
        </is>
      </c>
      <c r="P549" s="7" t="inlineStr">
        <is>
          <t>Classe III — Produto Perigoso ao Meio Ambiente</t>
        </is>
      </c>
      <c r="Q549" s="9" t="n">
        <v>24</v>
      </c>
      <c r="R549" s="7" t="inlineStr">
        <is>
          <t>Terrestre / Aérea (Drones consultar bula)</t>
        </is>
      </c>
      <c r="S549" s="7" t="inlineStr">
        <is>
          <t>Sem antídoto específico; tratamento sintomático</t>
        </is>
      </c>
      <c r="T549" s="7" t="inlineStr">
        <is>
          <t>Proventis Lifescience</t>
        </is>
      </c>
      <c r="U549" s="10">
        <f>HYPERLINK("https://agrofit.agricultura.gov.br/agrofit_cons/principal_agrofit_cons", "Consulta Oficial AGROFIT/MAPA (Nº 17921)")</f>
        <v/>
      </c>
    </row>
    <row r="550" ht="22" customHeight="1">
      <c r="A550" s="11" t="n">
        <v>545</v>
      </c>
      <c r="B550" s="12" t="inlineStr">
        <is>
          <t>Nº 17219</t>
        </is>
      </c>
      <c r="C550" s="13" t="inlineStr">
        <is>
          <t>FLUAZINAM 500 SC PROVENTIS 1X20L (IMP)</t>
        </is>
      </c>
      <c r="D550" s="14" t="inlineStr">
        <is>
          <t>FLUAZINAM</t>
        </is>
      </c>
      <c r="E550" s="13" t="inlineStr">
        <is>
          <t>Produto Formulado Comercial</t>
        </is>
      </c>
      <c r="F550" s="13" t="inlineStr">
        <is>
          <t>Defensivos</t>
        </is>
      </c>
      <c r="G550" s="13" t="inlineStr">
        <is>
          <t>Fungicida</t>
        </is>
      </c>
      <c r="H550" s="13" t="inlineStr">
        <is>
          <t>SC</t>
        </is>
      </c>
      <c r="I550" s="13" t="inlineStr">
        <is>
          <t>Suspensão Concentrada (SC)</t>
        </is>
      </c>
      <c r="J550" s="13" t="inlineStr">
        <is>
          <t>Fungicida e acaricida de contato preventivo c/ baixa mobilidade</t>
        </is>
      </c>
      <c r="K550" s="13" t="inlineStr">
        <is>
          <t>Fenilpiridinamina (2,6-dinitroanilina)</t>
        </is>
      </c>
      <c r="L550" s="13" t="inlineStr">
        <is>
          <t>FRAC Grupo 29</t>
        </is>
      </c>
      <c r="M550" s="13" t="inlineStr">
        <is>
          <t>Desacopladores da fosforilação oxidativa mitocondrial</t>
        </is>
      </c>
      <c r="N550" s="13" t="inlineStr">
        <is>
          <t>Categoria 4 — Produto Pouco Tóxico</t>
        </is>
      </c>
      <c r="O550" s="13" t="inlineStr">
        <is>
          <t>Azul PMS Blue 293 C</t>
        </is>
      </c>
      <c r="P550" s="13" t="inlineStr">
        <is>
          <t>Classe II — Produto Muito Perigoso ao Meio Ambiente</t>
        </is>
      </c>
      <c r="Q550" s="15" t="n">
        <v>24</v>
      </c>
      <c r="R550" s="13" t="inlineStr">
        <is>
          <t>Terrestre / Aérea (Drones consultar bula)</t>
        </is>
      </c>
      <c r="S550" s="13" t="inlineStr">
        <is>
          <t>Sem antídoto específico; tratamento sintomático</t>
        </is>
      </c>
      <c r="T550" s="13" t="inlineStr">
        <is>
          <t>PROVENTIS LIFESCIENCE DEFENSIVOS AGRÍCOLAS LTDA.</t>
        </is>
      </c>
      <c r="U550" s="16">
        <f>HYPERLINK("https://agrofit.agricultura.gov.br/agrofit_cons/principal_agrofit_cons", "Consulta Oficial AGROFIT/MAPA (Nº 17219)")</f>
        <v/>
      </c>
    </row>
    <row r="551" ht="22" customHeight="1">
      <c r="A551" s="5" t="n">
        <v>546</v>
      </c>
      <c r="B551" s="6" t="inlineStr">
        <is>
          <t>Nº 24324</t>
        </is>
      </c>
      <c r="C551" s="7" t="inlineStr">
        <is>
          <t>PROCYMIDONE 500 SC PROVENTIS 0,200L (AMOSTRA)</t>
        </is>
      </c>
      <c r="D551" s="8" t="inlineStr">
        <is>
          <t>PROCYMIDONE</t>
        </is>
      </c>
      <c r="E551" s="7" t="inlineStr">
        <is>
          <t>Produto Formulado Comercial</t>
        </is>
      </c>
      <c r="F551" s="7" t="inlineStr">
        <is>
          <t>Defensivos</t>
        </is>
      </c>
      <c r="G551" s="7" t="inlineStr">
        <is>
          <t>Fungicida</t>
        </is>
      </c>
      <c r="H551" s="7" t="inlineStr">
        <is>
          <t>SC</t>
        </is>
      </c>
      <c r="I551" s="7" t="inlineStr">
        <is>
          <t>Suspensão Concentrada (SC)</t>
        </is>
      </c>
      <c r="J551" s="7" t="inlineStr">
        <is>
          <t>Fungicida preventivo e curativo foliar</t>
        </is>
      </c>
      <c r="K551" s="7" t="inlineStr">
        <is>
          <t>Dicarboximida</t>
        </is>
      </c>
      <c r="L551" s="7" t="inlineStr">
        <is>
          <t>FRAC Grupo 2 (E3)</t>
        </is>
      </c>
      <c r="M551" s="7" t="inlineStr">
        <is>
          <t>Inibidores da transdução de sinal osmótico (MAP/Histidina-quinase)</t>
        </is>
      </c>
      <c r="N551" s="7" t="inlineStr">
        <is>
          <t>Categoria 4 — Produto Pouco Tóxico (Conforme Bula ANVISA)</t>
        </is>
      </c>
      <c r="O551" s="7" t="inlineStr">
        <is>
          <t>Azul PMS Blue 293 C</t>
        </is>
      </c>
      <c r="P551" s="7" t="inlineStr">
        <is>
          <t>Classe II — Produto Muito Perigoso ao Meio Ambiente</t>
        </is>
      </c>
      <c r="Q551" s="9" t="n">
        <v>24</v>
      </c>
      <c r="R551" s="7" t="inlineStr">
        <is>
          <t>Terrestre / Aérea (Drones consultar bula)</t>
        </is>
      </c>
      <c r="S551" s="7" t="inlineStr">
        <is>
          <t>Sem antídoto específico; tratamento sintomático</t>
        </is>
      </c>
      <c r="T551" s="7" t="inlineStr">
        <is>
          <t>PROVENTIS LIFESCIENCE DEFENSIVOS AGRÍCOLAS LTDA.</t>
        </is>
      </c>
      <c r="U551" s="10">
        <f>HYPERLINK("https://www.adapar.pr.gov.br/Pagina/Agrotoxicos-Fungicidas", "Registro Oficial Procymidone 500 SC Proventis (MAPA 24324)")</f>
        <v/>
      </c>
    </row>
    <row r="552" ht="22" customHeight="1">
      <c r="A552" s="11" t="n">
        <v>547</v>
      </c>
      <c r="B552" s="12" t="inlineStr">
        <is>
          <t>Nº 9019</t>
        </is>
      </c>
      <c r="C552" s="13" t="inlineStr">
        <is>
          <t>LIMUZINA WG 10KG (IMP)</t>
        </is>
      </c>
      <c r="D552" s="14" t="inlineStr">
        <is>
          <t>LIMUZINA WG</t>
        </is>
      </c>
      <c r="E552" s="13" t="inlineStr">
        <is>
          <t>Produto Formulado Comercial</t>
        </is>
      </c>
      <c r="F552" s="13" t="inlineStr">
        <is>
          <t>Defensivos</t>
        </is>
      </c>
      <c r="G552" s="13" t="inlineStr">
        <is>
          <t>Herbicida</t>
        </is>
      </c>
      <c r="H552" s="13" t="inlineStr">
        <is>
          <t>WG</t>
        </is>
      </c>
      <c r="I552" s="13" t="inlineStr">
        <is>
          <t>WG - Granulado Dispersível</t>
        </is>
      </c>
      <c r="J552" s="13" t="inlineStr">
        <is>
          <t>Herbicida seletivo sistêmico de pré e pós-emergência precoce</t>
        </is>
      </c>
      <c r="K552" s="13" t="inlineStr">
        <is>
          <t>Triazina</t>
        </is>
      </c>
      <c r="L552" s="13" t="inlineStr">
        <is>
          <t>HRAC Grupo C1 (5) — Inibidores do Fotossistema II</t>
        </is>
      </c>
      <c r="M552" s="13" t="inlineStr">
        <is>
          <t>Inibição do transporte de elétrons no Fotossistema II (sítio Serina 264)</t>
        </is>
      </c>
      <c r="N552" s="13" t="inlineStr">
        <is>
          <t>III MEDIANAMENTE TÓXICO</t>
        </is>
      </c>
      <c r="O552" s="13" t="inlineStr">
        <is>
          <t>Azul</t>
        </is>
      </c>
      <c r="P552" s="13" t="inlineStr">
        <is>
          <t>Classe II — Produto Muito Perigoso ao Meio Ambiente</t>
        </is>
      </c>
      <c r="Q552" s="15" t="n">
        <v>24</v>
      </c>
      <c r="R552" s="13" t="inlineStr">
        <is>
          <t>Terrestre / Aérea (Drones consultar bula)</t>
        </is>
      </c>
      <c r="S552" s="13" t="inlineStr">
        <is>
          <t>Sem antídoto específico; tratamento sintomático</t>
        </is>
      </c>
      <c r="T552" s="13" t="inlineStr">
        <is>
          <t>AGRO IMPORT DO BRASIL LTDA</t>
        </is>
      </c>
      <c r="U552" s="16">
        <f>HYPERLINK("https://agrofit.agricultura.gov.br/agrofit_cons/principal_agrofit_cons", "Consulta Oficial AGROFIT/MAPA (Nº 9019)")</f>
        <v/>
      </c>
    </row>
    <row r="553" ht="22" customHeight="1">
      <c r="A553" s="5" t="n">
        <v>548</v>
      </c>
      <c r="B553" s="6" t="inlineStr">
        <is>
          <t>Nº 11819</t>
        </is>
      </c>
      <c r="C553" s="7" t="inlineStr">
        <is>
          <t>MANCOZEB 800 WP AGCN 0,200KG AMOSTRA IMP LS</t>
        </is>
      </c>
      <c r="D553" s="8" t="inlineStr">
        <is>
          <t>MANCOZEB 800 WP AGCN 0,200KG AMOSTRA IMP LS</t>
        </is>
      </c>
      <c r="E553" s="7" t="inlineStr">
        <is>
          <t>Produto Formulado Comercial</t>
        </is>
      </c>
      <c r="F553" s="7" t="inlineStr">
        <is>
          <t>Defensivos</t>
        </is>
      </c>
      <c r="G553" s="7" t="inlineStr">
        <is>
          <t>Fungicida</t>
        </is>
      </c>
      <c r="H553" s="7" t="inlineStr">
        <is>
          <t>WP</t>
        </is>
      </c>
      <c r="I553" s="7" t="inlineStr">
        <is>
          <t>Pó Molhável (WP)</t>
        </is>
      </c>
      <c r="J553" s="7" t="inlineStr">
        <is>
          <t>Fungicida e acaricida protetor de contato multissítio</t>
        </is>
      </c>
      <c r="K553" s="7" t="inlineStr">
        <is>
          <t>Alquilenobis(ditiocarbamato)</t>
        </is>
      </c>
      <c r="L553" s="7" t="inlineStr">
        <is>
          <t>FRAC Grupo M03 — Multissítio</t>
        </is>
      </c>
      <c r="M553" s="7" t="inlineStr">
        <is>
          <t>Inibidor multissítio de enzimas contendo grupos sulfidrila e aminoácidos fúngicos</t>
        </is>
      </c>
      <c r="N553" s="7" t="inlineStr">
        <is>
          <t>Categoria 5 — Produto Improvável de Causar Dano Agudo</t>
        </is>
      </c>
      <c r="O553" s="7" t="inlineStr">
        <is>
          <t>Azul Intenso</t>
        </is>
      </c>
      <c r="P553" s="7" t="inlineStr">
        <is>
          <t>Classe II — Produto Muito Perigoso ao Meio Ambiente</t>
        </is>
      </c>
      <c r="Q553" s="9" t="n">
        <v>24</v>
      </c>
      <c r="R553" s="7" t="inlineStr">
        <is>
          <t>Terrestre / Aérea (Drones consultar bula)</t>
        </is>
      </c>
      <c r="S553" s="7" t="inlineStr">
        <is>
          <t>Sem antídoto específico; evitar consumo de álcool (efeito antabuse por ETU)</t>
        </is>
      </c>
      <c r="T553" s="7" t="inlineStr">
        <is>
          <t>AGRICONNECTION IMPORTADORA E EXPORTADORA DE INSUMOS AGRÍCOLAS LTDA.</t>
        </is>
      </c>
      <c r="U553" s="10">
        <f>HYPERLINK("https://agrofit.agricultura.gov.br/agrofit_cons/principal_agrofit_cons", "Consulta Oficial AGROFIT/MAPA (Nº 11819)")</f>
        <v/>
      </c>
    </row>
    <row r="554" ht="22" customHeight="1">
      <c r="A554" s="11" t="n">
        <v>549</v>
      </c>
      <c r="B554" s="12" t="inlineStr">
        <is>
          <t>Nº 16724</t>
        </is>
      </c>
      <c r="C554" s="13" t="inlineStr">
        <is>
          <t>FLUAZINAM 500 SC AGCN 0,200L (IMP) AMOSTRA</t>
        </is>
      </c>
      <c r="D554" s="14" t="inlineStr">
        <is>
          <t>FLUAZINAM</t>
        </is>
      </c>
      <c r="E554" s="13" t="inlineStr">
        <is>
          <t>Produto Formulado Comercial</t>
        </is>
      </c>
      <c r="F554" s="13" t="inlineStr">
        <is>
          <t>Defensivos</t>
        </is>
      </c>
      <c r="G554" s="13" t="inlineStr">
        <is>
          <t>Fungicida</t>
        </is>
      </c>
      <c r="H554" s="13" t="inlineStr">
        <is>
          <t>SC</t>
        </is>
      </c>
      <c r="I554" s="13" t="inlineStr">
        <is>
          <t>Suspensão Concentrada (SC)</t>
        </is>
      </c>
      <c r="J554" s="13" t="inlineStr">
        <is>
          <t>Fungicida e acaricida de contato preventivo c/ baixa mobilidade</t>
        </is>
      </c>
      <c r="K554" s="13" t="inlineStr">
        <is>
          <t>Fenilpiridinamina (2,6-dinitroanilina)</t>
        </is>
      </c>
      <c r="L554" s="13" t="inlineStr">
        <is>
          <t>FRAC Grupo 29</t>
        </is>
      </c>
      <c r="M554" s="13" t="inlineStr">
        <is>
          <t>Desacopladores da fosforilação oxidativa mitocondrial</t>
        </is>
      </c>
      <c r="N554" s="13" t="inlineStr">
        <is>
          <t>Categoria 4 — Produto Pouco Tóxico</t>
        </is>
      </c>
      <c r="O554" s="13" t="inlineStr">
        <is>
          <t>Azul PMS Blue 293 C</t>
        </is>
      </c>
      <c r="P554" s="13" t="inlineStr">
        <is>
          <t>Classe II — Produto Muito Perigoso ao Meio Ambiente</t>
        </is>
      </c>
      <c r="Q554" s="15" t="n">
        <v>24</v>
      </c>
      <c r="R554" s="13" t="inlineStr">
        <is>
          <t>Terrestre / Aérea (Drones consultar bula)</t>
        </is>
      </c>
      <c r="S554" s="13" t="inlineStr">
        <is>
          <t>Sem antídoto específico; tratamento sintomático</t>
        </is>
      </c>
      <c r="T554" s="13" t="inlineStr">
        <is>
          <t>AGRICONNECTION IMPORTADORA E EXPORTADORA DE INSUMOS AGRÍCOLAS LTDA.</t>
        </is>
      </c>
      <c r="U554" s="16">
        <f>HYPERLINK("https://agrofit.agricultura.gov.br/agrofit_cons/principal_agrofit_cons", "Consulta Oficial AGROFIT/MAPA (Nº 16724)")</f>
        <v/>
      </c>
    </row>
    <row r="555" ht="22" customHeight="1">
      <c r="A555" s="5" t="n">
        <v>550</v>
      </c>
      <c r="B555" s="6" t="inlineStr">
        <is>
          <t>Nº 24922</t>
        </is>
      </c>
      <c r="C555" s="7" t="inlineStr">
        <is>
          <t>CEFANOL GOLD 8X3KG (IMP)</t>
        </is>
      </c>
      <c r="D555" s="8" t="inlineStr">
        <is>
          <t>CEFANOL GOLD</t>
        </is>
      </c>
      <c r="E555" s="7" t="inlineStr">
        <is>
          <t>Produto Formulado Comercial</t>
        </is>
      </c>
      <c r="F555" s="7" t="inlineStr">
        <is>
          <t>Defensivos</t>
        </is>
      </c>
      <c r="G555" s="7" t="inlineStr">
        <is>
          <t>Inseticida</t>
        </is>
      </c>
      <c r="H555" s="7" t="inlineStr">
        <is>
          <t>SG</t>
        </is>
      </c>
      <c r="I555" s="7" t="inlineStr">
        <is>
          <t>Grânulos Solúveis em Água (SG)</t>
        </is>
      </c>
      <c r="J555" s="7" t="inlineStr">
        <is>
          <t>Inseticida e acaricida sistêmico de contato e ingestão</t>
        </is>
      </c>
      <c r="K555" s="7" t="inlineStr">
        <is>
          <t>Organofosforado</t>
        </is>
      </c>
      <c r="L555" s="7" t="inlineStr">
        <is>
          <t>IRAC Grupo 1B</t>
        </is>
      </c>
      <c r="M555" s="7" t="inlineStr">
        <is>
          <t>Inibidores da enzima acetilcolinesterase (AChE)</t>
        </is>
      </c>
      <c r="N555" s="7" t="inlineStr">
        <is>
          <t>Categoria 4 — Produto Pouco Tóxico</t>
        </is>
      </c>
      <c r="O555" s="7" t="inlineStr">
        <is>
          <t>Azul PMS Blue 293 C</t>
        </is>
      </c>
      <c r="P555" s="7" t="inlineStr">
        <is>
          <t>Classe III — Produto Perigoso ao Meio Ambiente</t>
        </is>
      </c>
      <c r="Q555" s="9" t="n">
        <v>24</v>
      </c>
      <c r="R555" s="7" t="inlineStr">
        <is>
          <t>Terrestre / Aérea (Drones consultar bula)</t>
        </is>
      </c>
      <c r="S555" s="7" t="inlineStr">
        <is>
          <t>Sulfato de Atropina e Pralidoxima (Contrathion)</t>
        </is>
      </c>
      <c r="T555" s="7" t="inlineStr">
        <is>
          <t>SIPCAM NICHINO BRASIL S.A.</t>
        </is>
      </c>
      <c r="U555" s="10">
        <f>HYPERLINK("https://www.adapar.pr.gov.br/system/files/publico/Agrotoxicos/lista.pdf", "Registro Oficial Cefanol Gold 920 SG (MAPA 24922)")</f>
        <v/>
      </c>
    </row>
    <row r="556" ht="22" customHeight="1">
      <c r="A556" s="11" t="n">
        <v>551</v>
      </c>
      <c r="B556" s="12" t="inlineStr">
        <is>
          <t>SIPEAGRO (UF-XXXXX)</t>
        </is>
      </c>
      <c r="C556" s="13" t="inlineStr">
        <is>
          <t>FERTILIZANTE MINERAL MISTO 20-00-20</t>
        </is>
      </c>
      <c r="D556" s="14" t="inlineStr">
        <is>
          <t>FERTILIZANTE MINERAL MISTO 20-00-20</t>
        </is>
      </c>
      <c r="E556" s="13" t="inlineStr">
        <is>
          <t>Fertilizante Mineral / Organomineral</t>
        </is>
      </c>
      <c r="F556" s="13" t="inlineStr">
        <is>
          <t>Fertilizantes</t>
        </is>
      </c>
      <c r="G556" s="13" t="inlineStr">
        <is>
          <t>Fertilizante Mineral Misto (NPK / NP)</t>
        </is>
      </c>
      <c r="H556" s="13" t="inlineStr">
        <is>
          <t>Granulado</t>
        </is>
      </c>
      <c r="I556" s="13" t="inlineStr">
        <is>
          <t>Formulação Padrão (Granulado / Solúvel / Suspensão)</t>
        </is>
      </c>
      <c r="J556" s="13" t="inlineStr">
        <is>
          <t>Aplicação via solo, fertirrigação ou adubação foliar</t>
        </is>
      </c>
      <c r="K556" s="13" t="inlineStr">
        <is>
          <t>Fertilizante Mineral / Organomineral (Lei nº 6.894/1980)</t>
        </is>
      </c>
      <c r="L556" s="13" t="inlineStr">
        <is>
          <t>Nutrição Vegetal SIPEAGRO</t>
        </is>
      </c>
      <c r="M556" s="13" t="inlineStr">
        <is>
          <t>Fornecimento de macro e micronutrientes essenciais ao metabolismo vegetal</t>
        </is>
      </c>
      <c r="N556" s="13" t="inlineStr">
        <is>
          <t>Isento ANVISA (Produto Fertilizante Registrado no SIPEAGRO/MAPA)</t>
        </is>
      </c>
      <c r="O556" s="13" t="inlineStr">
        <is>
          <t>Não Aplicável (Fertilizante)</t>
        </is>
      </c>
      <c r="P556" s="13" t="inlineStr">
        <is>
          <t>Baixo Potencial Poluidor (Uso conforme recomendação agronômica)</t>
        </is>
      </c>
      <c r="Q556" s="15" t="n">
        <v>0</v>
      </c>
      <c r="R556" s="13" t="inlineStr">
        <is>
          <t>Aplicação Dirigida / TS / Solo</t>
        </is>
      </c>
      <c r="S556" s="13" t="inlineStr">
        <is>
          <t>Tratamento sintomático em caso de ingestão acidental</t>
        </is>
      </c>
      <c r="T556" s="13" t="inlineStr">
        <is>
          <t>Estabelecimento Produtor SIPEAGRO/MAPA</t>
        </is>
      </c>
      <c r="U556" s="16">
        <f>HYPERLINK("https://www.gov.br/agricultura/pt-br/assuntos/insumos-agropecuarios/insumos-agricolas/fertilizantes", "Portal SIPEAGRO / MAPA — Fertilizantes e Bioinsumos")</f>
        <v/>
      </c>
    </row>
    <row r="557" ht="22" customHeight="1">
      <c r="A557" s="5" t="n">
        <v>552</v>
      </c>
      <c r="B557" s="6" t="inlineStr">
        <is>
          <t>Nº 15925</t>
        </is>
      </c>
      <c r="C557" s="7" t="inlineStr">
        <is>
          <t>CHETTAK GOLD 0,200KG (IMP) AMOSTRA</t>
        </is>
      </c>
      <c r="D557" s="8" t="inlineStr">
        <is>
          <t>CHETTAK GOLD 0,200KG (IMP) AMOSTRA</t>
        </is>
      </c>
      <c r="E557" s="7" t="inlineStr">
        <is>
          <t>Produto Formulado Comercial</t>
        </is>
      </c>
      <c r="F557" s="7" t="inlineStr">
        <is>
          <t>Defensivos</t>
        </is>
      </c>
      <c r="G557" s="7" t="inlineStr">
        <is>
          <t>Inseticida</t>
        </is>
      </c>
      <c r="H557" s="7" t="inlineStr">
        <is>
          <t>SG</t>
        </is>
      </c>
      <c r="I557" s="7" t="inlineStr">
        <is>
          <t>Grânulos Solúveis em Água (SG)</t>
        </is>
      </c>
      <c r="J557" s="7" t="inlineStr">
        <is>
          <t>Inseticida e acaricida sistêmico de contato e ingestão</t>
        </is>
      </c>
      <c r="K557" s="7" t="inlineStr">
        <is>
          <t>Organofosforado</t>
        </is>
      </c>
      <c r="L557" s="7" t="inlineStr">
        <is>
          <t>IRAC Grupo 1B</t>
        </is>
      </c>
      <c r="M557" s="7" t="inlineStr">
        <is>
          <t>Inibidores da enzima acetilcolinesterase (AChE)</t>
        </is>
      </c>
      <c r="N557" s="7" t="inlineStr">
        <is>
          <t>Categoria 4 — Produto Pouco Tóxico</t>
        </is>
      </c>
      <c r="O557" s="7" t="inlineStr">
        <is>
          <t>Azul PMS Blue 293 C</t>
        </is>
      </c>
      <c r="P557" s="7" t="inlineStr">
        <is>
          <t>Classe III — Produto Perigoso ao Meio Ambiente</t>
        </is>
      </c>
      <c r="Q557" s="9" t="n">
        <v>24</v>
      </c>
      <c r="R557" s="7" t="inlineStr">
        <is>
          <t>Terrestre / Aérea (Drones consultar bula)</t>
        </is>
      </c>
      <c r="S557" s="7" t="inlineStr">
        <is>
          <t>Sulfato de Atropina e Pralidoxima (Contrathion)</t>
        </is>
      </c>
      <c r="T557" s="7" t="inlineStr">
        <is>
          <t>SHARDA DO BRASIL COMÉRCIO DE PRODUTOS QUÍMICOS E AGROQUÍMICOS LTDA.</t>
        </is>
      </c>
      <c r="U557" s="10">
        <f>HYPERLINK("https://www.adapar.pr.gov.br/system/files/publico/Agrotoxicos/lista.pdf", "Registro Oficial Chettak Gold 970 SG (MAPA 15925)")</f>
        <v/>
      </c>
    </row>
    <row r="558" ht="22" customHeight="1">
      <c r="A558" s="11" t="n">
        <v>553</v>
      </c>
      <c r="B558" s="12" t="inlineStr">
        <is>
          <t>Nº 31618</t>
        </is>
      </c>
      <c r="C558" s="13" t="inlineStr">
        <is>
          <t>ASSARIS 1X20L B2B</t>
        </is>
      </c>
      <c r="D558" s="14" t="inlineStr">
        <is>
          <t>ASSARIS</t>
        </is>
      </c>
      <c r="E558" s="13" t="inlineStr">
        <is>
          <t>Produto Formulado Comercial</t>
        </is>
      </c>
      <c r="F558" s="13" t="inlineStr">
        <is>
          <t>Defensivos</t>
        </is>
      </c>
      <c r="G558" s="13" t="inlineStr">
        <is>
          <t>Inseticida</t>
        </is>
      </c>
      <c r="H558" s="13" t="inlineStr">
        <is>
          <t>SL</t>
        </is>
      </c>
      <c r="I558" s="13" t="inlineStr">
        <is>
          <t>SL - Concentrado Solúvel</t>
        </is>
      </c>
      <c r="J558" s="13" t="inlineStr">
        <is>
          <t>Inseticida sistêmico de contato e ingestão com efeito ovicida/larvicida</t>
        </is>
      </c>
      <c r="K558" s="13" t="inlineStr">
        <is>
          <t>Metilcarbamato de oxima</t>
        </is>
      </c>
      <c r="L558" s="13" t="inlineStr">
        <is>
          <t>IRAC Grupo 1A</t>
        </is>
      </c>
      <c r="M558" s="13" t="inlineStr">
        <is>
          <t>Inibidores reversíveis da enzima acetilcolinesterase (AChE)</t>
        </is>
      </c>
      <c r="N558" s="13" t="inlineStr">
        <is>
          <t>Categoria 3: Produto Moderadamente Tóxico</t>
        </is>
      </c>
      <c r="O558" s="13" t="inlineStr">
        <is>
          <t>Amarelo</t>
        </is>
      </c>
      <c r="P558" s="13" t="inlineStr">
        <is>
          <t>Classe II — Produto Muito Perigoso ao Meio Ambiente</t>
        </is>
      </c>
      <c r="Q558" s="15" t="n">
        <v>24</v>
      </c>
      <c r="R558" s="13" t="inlineStr">
        <is>
          <t>Terrestre / Aérea (Drones consultar bula)</t>
        </is>
      </c>
      <c r="S558" s="13" t="inlineStr">
        <is>
          <t>Sulfato de Atropina (antídoto específico; NÃO administrar oximas/pralidoxima em carbamatos)</t>
        </is>
      </c>
      <c r="T558" s="13" t="inlineStr">
        <is>
          <t>SINON DO BRASIL LTDA</t>
        </is>
      </c>
      <c r="U558" s="16">
        <f>HYPERLINK("https://agrofit.agricultura.gov.br/agrofit_cons/principal_agrofit_cons", "Consulta Oficial AGROFIT/MAPA (Nº 31618)")</f>
        <v/>
      </c>
    </row>
    <row r="559" ht="22" customHeight="1">
      <c r="A559" s="5" t="n">
        <v>554</v>
      </c>
      <c r="B559" s="6" t="inlineStr">
        <is>
          <t>SIPEAGRO (UF-XXXXX)</t>
        </is>
      </c>
      <c r="C559" s="7" t="inlineStr">
        <is>
          <t>AGCN POTASSIO 1X20L BB</t>
        </is>
      </c>
      <c r="D559" s="8" t="inlineStr">
        <is>
          <t>AGCN POTASSIO</t>
        </is>
      </c>
      <c r="E559" s="7" t="inlineStr">
        <is>
          <t>Fertilizante Mineral / Organomineral</t>
        </is>
      </c>
      <c r="F559" s="7" t="inlineStr">
        <is>
          <t>Fertilizantes</t>
        </is>
      </c>
      <c r="G559" s="7" t="inlineStr">
        <is>
          <t>Fertilizante Mineral Simples (Potássico / Magnesiano)</t>
        </is>
      </c>
      <c r="H559" s="7" t="inlineStr">
        <is>
          <t>SL</t>
        </is>
      </c>
      <c r="I559" s="7" t="inlineStr">
        <is>
          <t>Solução / Suspensão Concentrada Foliar (Fluido)</t>
        </is>
      </c>
      <c r="J559" s="7" t="inlineStr">
        <is>
          <t>Aplicação via solo, fertirrigação ou adubação foliar</t>
        </is>
      </c>
      <c r="K559" s="7" t="inlineStr">
        <is>
          <t>Fertilizante Mineral / Organomineral (Lei nº 6.894/1980)</t>
        </is>
      </c>
      <c r="L559" s="7" t="inlineStr">
        <is>
          <t>Nutrição Vegetal SIPEAGRO</t>
        </is>
      </c>
      <c r="M559" s="7" t="inlineStr">
        <is>
          <t>Fornecimento de macro e micronutrientes essenciais ao metabolismo vegetal</t>
        </is>
      </c>
      <c r="N559" s="7" t="inlineStr">
        <is>
          <t>Isento ANVISA (Produto Fertilizante Registrado no SIPEAGRO/MAPA)</t>
        </is>
      </c>
      <c r="O559" s="7" t="inlineStr">
        <is>
          <t>Não Aplicável (Fertilizante)</t>
        </is>
      </c>
      <c r="P559" s="7" t="inlineStr">
        <is>
          <t>Baixo Potencial Poluidor (Uso conforme recomendação agronômica)</t>
        </is>
      </c>
      <c r="Q559" s="9" t="n">
        <v>0</v>
      </c>
      <c r="R559" s="7" t="inlineStr">
        <is>
          <t>Aplicação Dirigida / TS / Solo</t>
        </is>
      </c>
      <c r="S559" s="7" t="inlineStr">
        <is>
          <t>Tratamento sintomático em caso de ingestão acidental</t>
        </is>
      </c>
      <c r="T559" s="7" t="inlineStr">
        <is>
          <t>Estabelecimento Produtor SIPEAGRO/MAPA</t>
        </is>
      </c>
      <c r="U559" s="10">
        <f>HYPERLINK("https://www.gov.br/agricultura/pt-br/assuntos/insumos-agropecuarios/insumos-agricolas/fertilizantes", "Portal SIPEAGRO / MAPA — Fertilizantes e Bioinsumos")</f>
        <v/>
      </c>
    </row>
    <row r="560" ht="22" customHeight="1">
      <c r="A560" s="11" t="n">
        <v>555</v>
      </c>
      <c r="B560" s="12" t="inlineStr">
        <is>
          <t>ISENTO (ATO 104/2017)</t>
        </is>
      </c>
      <c r="C560" s="13" t="inlineStr">
        <is>
          <t>AGCN SAFE SPRAY 4X5L</t>
        </is>
      </c>
      <c r="D560" s="14" t="inlineStr">
        <is>
          <t>AGCN SAFE SPRAY</t>
        </is>
      </c>
      <c r="E560" s="13" t="inlineStr">
        <is>
          <t>Adjuvante / Espalhante Adesivo</t>
        </is>
      </c>
      <c r="F560" s="13" t="inlineStr">
        <is>
          <t>Adjuvantes</t>
        </is>
      </c>
      <c r="G560" s="13" t="inlineStr">
        <is>
          <t>Adjuvante Espalhante / Surfactante / Redutor de pH e Deriva</t>
        </is>
      </c>
      <c r="H560" s="13" t="inlineStr">
        <is>
          <t>EC</t>
        </is>
      </c>
      <c r="I560" s="13" t="inlineStr">
        <is>
          <t>Concentrado Emulsionável (EC)</t>
        </is>
      </c>
      <c r="J560" s="13" t="inlineStr">
        <is>
          <t>Aditivo físico-químico para calda de pulverização</t>
        </is>
      </c>
      <c r="K560" s="13" t="inlineStr">
        <is>
          <t>Éster Metílico / Hidrocarboneto Parafínico / Tensoativo Siliconado</t>
        </is>
      </c>
      <c r="L560" s="13" t="inlineStr">
        <is>
          <t>Adjuvante Tecnológico de Pulverização</t>
        </is>
      </c>
      <c r="M560" s="13" t="inlineStr">
        <is>
          <t>Redução da tensão superficial, espalhamento, anti-deriva e penetração cuticular</t>
        </is>
      </c>
      <c r="N560" s="13" t="inlineStr">
        <is>
          <t>Isento / Ato SDA nº 104/2017 (ou Categoria 5 quando registrado)</t>
        </is>
      </c>
      <c r="O560" s="13" t="inlineStr">
        <is>
          <t>Azul / Isento</t>
        </is>
      </c>
      <c r="P560" s="13" t="inlineStr">
        <is>
          <t>Classe IV — Pouco Perigoso ao Meio Ambiente</t>
        </is>
      </c>
      <c r="Q560" s="15" t="n">
        <v>24</v>
      </c>
      <c r="R560" s="13" t="inlineStr">
        <is>
          <t>Terrestre / Aérea (Drones consultar bula)</t>
        </is>
      </c>
      <c r="S560" s="13" t="inlineStr">
        <is>
          <t>Tratamento sintomático; evitar indução de vômito em derivados de petróleo</t>
        </is>
      </c>
      <c r="T560" s="13" t="inlineStr">
        <is>
          <t>Dispensado de Registro (Ato SDA nº 104/2017)</t>
        </is>
      </c>
      <c r="U560" s="16">
        <f>HYPERLINK("https://www.gov.br/agricultura/pt-br/assuntos/insumos-agropecuarios/insumos-agricolas/agrotoxicos/legislacao", "Ato SDA/MAPA nº 104/2017 — Adjuvantes Agrícolas")</f>
        <v/>
      </c>
    </row>
    <row r="561" ht="22" customHeight="1">
      <c r="A561" s="5" t="n">
        <v>556</v>
      </c>
      <c r="B561" s="6" t="inlineStr">
        <is>
          <t>Nº 10018</t>
        </is>
      </c>
      <c r="C561" s="7" t="inlineStr">
        <is>
          <t>ATRAZINA 500 SC RAINBOW 4X5L (IMP) RW</t>
        </is>
      </c>
      <c r="D561" s="8" t="inlineStr">
        <is>
          <t>ATRAZINA</t>
        </is>
      </c>
      <c r="E561" s="7" t="inlineStr">
        <is>
          <t>Produto Formulado Comercial</t>
        </is>
      </c>
      <c r="F561" s="7" t="inlineStr">
        <is>
          <t>Defensivos</t>
        </is>
      </c>
      <c r="G561" s="7" t="inlineStr">
        <is>
          <t>Herbicida</t>
        </is>
      </c>
      <c r="H561" s="7" t="inlineStr">
        <is>
          <t>SC</t>
        </is>
      </c>
      <c r="I561" s="7" t="inlineStr">
        <is>
          <t>SC - Suspensão Concentrada</t>
        </is>
      </c>
      <c r="J561" s="7" t="inlineStr">
        <is>
          <t>Herbicida seletivo sistêmico de pré e pós-emergência precoce</t>
        </is>
      </c>
      <c r="K561" s="7" t="inlineStr">
        <is>
          <t>Triazina</t>
        </is>
      </c>
      <c r="L561" s="7" t="inlineStr">
        <is>
          <t>HRAC Grupo C1 (5) — Inibidores do Fotossistema II</t>
        </is>
      </c>
      <c r="M561" s="7" t="inlineStr">
        <is>
          <t>Inibição do transporte de elétrons no Fotossistema II (sítio Serina 264)</t>
        </is>
      </c>
      <c r="N561" s="7" t="inlineStr">
        <is>
          <t>Categoria 4: Produto Pouco Tóxico</t>
        </is>
      </c>
      <c r="O561" s="7" t="inlineStr">
        <is>
          <t>Azul</t>
        </is>
      </c>
      <c r="P561" s="7" t="inlineStr">
        <is>
          <t>Classe II — Produto Muito Perigoso ao Meio Ambiente</t>
        </is>
      </c>
      <c r="Q561" s="9" t="n">
        <v>24</v>
      </c>
      <c r="R561" s="7" t="inlineStr">
        <is>
          <t>Terrestre / Aérea (Drones consultar bula)</t>
        </is>
      </c>
      <c r="S561" s="7" t="inlineStr">
        <is>
          <t>Sem antídoto específico; tratamento sintomático</t>
        </is>
      </c>
      <c r="T561" s="7" t="inlineStr">
        <is>
          <t>RAINBOW DEFENSIVOS AGRICOLAS LTDA</t>
        </is>
      </c>
      <c r="U561" s="10">
        <f>HYPERLINK("https://agrofit.agricultura.gov.br/agrofit_cons/principal_agrofit_cons", "Consulta Oficial AGROFIT/MAPA (Nº 10018)")</f>
        <v/>
      </c>
    </row>
    <row r="562" ht="22" customHeight="1">
      <c r="A562" s="11" t="n">
        <v>557</v>
      </c>
      <c r="B562" s="12" t="inlineStr">
        <is>
          <t>Nº 10018</t>
        </is>
      </c>
      <c r="C562" s="13" t="inlineStr">
        <is>
          <t>ATRAZINA 500 SC RAINBOW 0,200L (IMP) RW AMOSTRA</t>
        </is>
      </c>
      <c r="D562" s="14" t="inlineStr">
        <is>
          <t>ATRAZINA</t>
        </is>
      </c>
      <c r="E562" s="13" t="inlineStr">
        <is>
          <t>Produto Formulado Comercial</t>
        </is>
      </c>
      <c r="F562" s="13" t="inlineStr">
        <is>
          <t>Defensivos</t>
        </is>
      </c>
      <c r="G562" s="13" t="inlineStr">
        <is>
          <t>Herbicida</t>
        </is>
      </c>
      <c r="H562" s="13" t="inlineStr">
        <is>
          <t>SC</t>
        </is>
      </c>
      <c r="I562" s="13" t="inlineStr">
        <is>
          <t>SC - Suspensão Concentrada</t>
        </is>
      </c>
      <c r="J562" s="13" t="inlineStr">
        <is>
          <t>Herbicida seletivo sistêmico de pré e pós-emergência precoce</t>
        </is>
      </c>
      <c r="K562" s="13" t="inlineStr">
        <is>
          <t>Triazina</t>
        </is>
      </c>
      <c r="L562" s="13" t="inlineStr">
        <is>
          <t>HRAC Grupo C1 (5) — Inibidores do Fotossistema II</t>
        </is>
      </c>
      <c r="M562" s="13" t="inlineStr">
        <is>
          <t>Inibição do transporte de elétrons no Fotossistema II (sítio Serina 264)</t>
        </is>
      </c>
      <c r="N562" s="13" t="inlineStr">
        <is>
          <t>Categoria 4: Produto Pouco Tóxico</t>
        </is>
      </c>
      <c r="O562" s="13" t="inlineStr">
        <is>
          <t>Azul</t>
        </is>
      </c>
      <c r="P562" s="13" t="inlineStr">
        <is>
          <t>Classe II — Produto Muito Perigoso ao Meio Ambiente</t>
        </is>
      </c>
      <c r="Q562" s="15" t="n">
        <v>24</v>
      </c>
      <c r="R562" s="13" t="inlineStr">
        <is>
          <t>Terrestre / Aérea (Drones consultar bula)</t>
        </is>
      </c>
      <c r="S562" s="13" t="inlineStr">
        <is>
          <t>Sem antídoto específico; tratamento sintomático</t>
        </is>
      </c>
      <c r="T562" s="13" t="inlineStr">
        <is>
          <t>RAINBOW DEFENSIVOS AGRICOLAS LTDA</t>
        </is>
      </c>
      <c r="U562" s="16">
        <f>HYPERLINK("https://agrofit.agricultura.gov.br/agrofit_cons/principal_agrofit_cons", "Consulta Oficial AGROFIT/MAPA (Nº 10018)")</f>
        <v/>
      </c>
    </row>
    <row r="563" ht="22" customHeight="1">
      <c r="A563" s="5" t="n">
        <v>558</v>
      </c>
      <c r="B563" s="6" t="inlineStr">
        <is>
          <t>Nº 5217</t>
        </is>
      </c>
      <c r="C563" s="7" t="inlineStr">
        <is>
          <t>HERBIZINA PLUS 1X10KG (IMP)</t>
        </is>
      </c>
      <c r="D563" s="8" t="inlineStr">
        <is>
          <t>HERBIZINA PLUS</t>
        </is>
      </c>
      <c r="E563" s="7" t="inlineStr">
        <is>
          <t>Produto Formulado Comercial</t>
        </is>
      </c>
      <c r="F563" s="7" t="inlineStr">
        <is>
          <t>Defensivos</t>
        </is>
      </c>
      <c r="G563" s="7" t="inlineStr">
        <is>
          <t>Herbicida</t>
        </is>
      </c>
      <c r="H563" s="7" t="inlineStr">
        <is>
          <t>WG</t>
        </is>
      </c>
      <c r="I563" s="7" t="inlineStr">
        <is>
          <t>Grânulos Dispersíveis em Água (WG)</t>
        </is>
      </c>
      <c r="J563" s="7" t="inlineStr">
        <is>
          <t>Herbicida seletivo sistêmico de pré e pós-emergência precoce</t>
        </is>
      </c>
      <c r="K563" s="7" t="inlineStr">
        <is>
          <t>Triazina</t>
        </is>
      </c>
      <c r="L563" s="7" t="inlineStr">
        <is>
          <t>HRAC Grupo C1 (5) — Inibidores do Fotossistema II</t>
        </is>
      </c>
      <c r="M563" s="7" t="inlineStr">
        <is>
          <t>Inibição do transporte de elétrons no Fotossistema II (sítio Serina 264)</t>
        </is>
      </c>
      <c r="N563" s="7" t="inlineStr">
        <is>
          <t>Categoria 4 / 5 — Pouco Tóxico</t>
        </is>
      </c>
      <c r="O563" s="7" t="inlineStr">
        <is>
          <t>Azul Intenso</t>
        </is>
      </c>
      <c r="P563" s="7" t="inlineStr">
        <is>
          <t>Classe II — Produto Muito Perigoso ao Meio Ambiente</t>
        </is>
      </c>
      <c r="Q563" s="9" t="n">
        <v>24</v>
      </c>
      <c r="R563" s="7" t="inlineStr">
        <is>
          <t>Terrestre / Aérea (Drones consultar bula)</t>
        </is>
      </c>
      <c r="S563" s="7" t="inlineStr">
        <is>
          <t>Sem antídoto específico; tratamento sintomático</t>
        </is>
      </c>
      <c r="T563" s="7" t="inlineStr">
        <is>
          <t>Adama / Ourofino</t>
        </is>
      </c>
      <c r="U563" s="10">
        <f>HYPERLINK("https://agrofit.agricultura.gov.br/agrofit_cons/principal_agrofit_cons", "Consulta Oficial AGROFIT/MAPA (Nº 5217)")</f>
        <v/>
      </c>
    </row>
    <row r="564" ht="22" customHeight="1">
      <c r="A564" s="11" t="n">
        <v>559</v>
      </c>
      <c r="B564" s="12" t="inlineStr">
        <is>
          <t>SIPEAGRO (UF-XXXXX)</t>
        </is>
      </c>
      <c r="C564" s="13" t="inlineStr">
        <is>
          <t>BENTONITA 90%S - GRANULADO - 1.250 KG</t>
        </is>
      </c>
      <c r="D564" s="14" t="inlineStr">
        <is>
          <t>BENTONITA 90%S - GRANULADO - 1.250 KG</t>
        </is>
      </c>
      <c r="E564" s="13" t="inlineStr">
        <is>
          <t>Corretivo / Condicionador de Solo</t>
        </is>
      </c>
      <c r="F564" s="13" t="inlineStr">
        <is>
          <t>Corretivos e Condicionadores de Solo</t>
        </is>
      </c>
      <c r="G564" s="13" t="inlineStr">
        <is>
          <t>Condicionador / Fonte Mineral de Enxofre (Enxofre + Bentonita)</t>
        </is>
      </c>
      <c r="H564" s="13" t="inlineStr">
        <is>
          <t>Pó</t>
        </is>
      </c>
      <c r="I564" s="13" t="inlineStr">
        <is>
          <t>Formulação Padrão (Pó / Granulado / Pastilhado)</t>
        </is>
      </c>
      <c r="J564" s="13" t="inlineStr">
        <is>
          <t>Incorporação ou aplicação em área total no solo</t>
        </is>
      </c>
      <c r="K564" s="13" t="inlineStr">
        <is>
          <t>Corretivo de Acidez / Condicionador de Solo (SIPEAGRO)</t>
        </is>
      </c>
      <c r="L564" s="13" t="inlineStr">
        <is>
          <t>Correção Química de Solo</t>
        </is>
      </c>
      <c r="M564" s="13" t="inlineStr">
        <is>
          <t>Neutralização de Al3+ tóxico e fornecimento de Ca2+, Mg2+, S ou B</t>
        </is>
      </c>
      <c r="N564" s="13" t="inlineStr">
        <is>
          <t>Isento ANVISA (Corretivo Agrícola SIPEAGRO)</t>
        </is>
      </c>
      <c r="O564" s="13" t="inlineStr">
        <is>
          <t>Não Aplicável</t>
        </is>
      </c>
      <c r="P564" s="13" t="inlineStr">
        <is>
          <t>Produto Mineral Natural</t>
        </is>
      </c>
      <c r="Q564" s="15" t="n">
        <v>24</v>
      </c>
      <c r="R564" s="13" t="inlineStr">
        <is>
          <t>Terrestre / Aérea (Drones consultar bula)</t>
        </is>
      </c>
      <c r="S564" s="13" t="inlineStr">
        <is>
          <t>Tratamento sintomático</t>
        </is>
      </c>
      <c r="T564" s="13" t="inlineStr">
        <is>
          <t>Estabelecimento Produtor SIPEAGRO/MAPA</t>
        </is>
      </c>
      <c r="U564" s="16">
        <f>HYPERLINK("https://www.gov.br/agricultura/pt-br/assuntos/insumos-agropecuarios/insumos-agricolas/fertilizantes", "Portal SIPEAGRO / MAPA — Fertilizantes e Bioinsumos")</f>
        <v/>
      </c>
    </row>
    <row r="565" ht="22" customHeight="1">
      <c r="A565" s="5" t="n">
        <v>560</v>
      </c>
      <c r="B565" s="6" t="inlineStr">
        <is>
          <t>Nº 12123</t>
        </is>
      </c>
      <c r="C565" s="7" t="inlineStr">
        <is>
          <t>PYRIPROXYFEN 100 EC AGCN 0,200L AMOSTRA</t>
        </is>
      </c>
      <c r="D565" s="8" t="inlineStr">
        <is>
          <t>PYRIPROXYFEN 100 EC AGCN 0,200L AMOSTRA</t>
        </is>
      </c>
      <c r="E565" s="7" t="inlineStr">
        <is>
          <t>Produto Formulado Comercial</t>
        </is>
      </c>
      <c r="F565" s="7" t="inlineStr">
        <is>
          <t>Defensivos</t>
        </is>
      </c>
      <c r="G565" s="7" t="inlineStr">
        <is>
          <t>Inseticida</t>
        </is>
      </c>
      <c r="H565" s="7" t="inlineStr">
        <is>
          <t>EC</t>
        </is>
      </c>
      <c r="I565" s="7" t="inlineStr">
        <is>
          <t>Concentrado Emulsionável (EC)</t>
        </is>
      </c>
      <c r="J565" s="7" t="inlineStr">
        <is>
          <t>Inseticida fisiológico regulador de crescimento (contato e translaminar)</t>
        </is>
      </c>
      <c r="K565" s="7" t="inlineStr">
        <is>
          <t>Éter piridiloxipropílico</t>
        </is>
      </c>
      <c r="L565" s="7" t="inlineStr">
        <is>
          <t>IRAC Grupo 7C</t>
        </is>
      </c>
      <c r="M565" s="7" t="inlineStr">
        <is>
          <t>Mimetizadores do hormônio juvenil (Juvenoides)</t>
        </is>
      </c>
      <c r="N565" s="7" t="inlineStr">
        <is>
          <t>Categoria 5 — Produto Improvável de Causar Dano Agudo</t>
        </is>
      </c>
      <c r="O565" s="7" t="inlineStr">
        <is>
          <t>Azul Intenso</t>
        </is>
      </c>
      <c r="P565" s="7" t="inlineStr">
        <is>
          <t>Classe II — Produto Muito Perigoso ao Meio Ambiente</t>
        </is>
      </c>
      <c r="Q565" s="9" t="n">
        <v>24</v>
      </c>
      <c r="R565" s="7" t="inlineStr">
        <is>
          <t>Terrestre / Aérea (Drones consultar bula)</t>
        </is>
      </c>
      <c r="S565" s="7" t="inlineStr">
        <is>
          <t>Sem antídoto específico; tratamento sintomático</t>
        </is>
      </c>
      <c r="T565" s="7" t="inlineStr">
        <is>
          <t>AGRICONNECTION IMPORTADORA E EXPORTADORA DE INSUMOS AGRÍCOLAS LTDA.</t>
        </is>
      </c>
      <c r="U565" s="10">
        <f>HYPERLINK("https://agrofit.agricultura.gov.br/agrofit_cons/principal_agrofit_cons", "Consulta Oficial AGROFIT/MAPA (Nº 12123)")</f>
        <v/>
      </c>
    </row>
    <row r="566" ht="22" customHeight="1">
      <c r="A566" s="11" t="n">
        <v>561</v>
      </c>
      <c r="B566" s="12" t="inlineStr">
        <is>
          <t>Nº 43818</t>
        </is>
      </c>
      <c r="C566" s="13" t="inlineStr">
        <is>
          <t>DIAFENTIURON 500 SC PROVENTIS 20L (IMP) NC</t>
        </is>
      </c>
      <c r="D566" s="14" t="inlineStr">
        <is>
          <t>DIAFENTIURON</t>
        </is>
      </c>
      <c r="E566" s="13" t="inlineStr">
        <is>
          <t>Produto Formulado Comercial</t>
        </is>
      </c>
      <c r="F566" s="13" t="inlineStr">
        <is>
          <t>Defensivos</t>
        </is>
      </c>
      <c r="G566" s="13" t="inlineStr">
        <is>
          <t>Inseticida e Acaricida</t>
        </is>
      </c>
      <c r="H566" s="13" t="inlineStr">
        <is>
          <t>SC</t>
        </is>
      </c>
      <c r="I566" s="13" t="inlineStr">
        <is>
          <t>Suspensão Concentrada (SC)</t>
        </is>
      </c>
      <c r="J566" s="13" t="inlineStr">
        <is>
          <t>Inseticida/acaricida de contato e ingestão</t>
        </is>
      </c>
      <c r="K566" s="13" t="inlineStr">
        <is>
          <t>Tioureia</t>
        </is>
      </c>
      <c r="L566" s="13" t="inlineStr">
        <is>
          <t>IRAC Grupo 12A</t>
        </is>
      </c>
      <c r="M566" s="13" t="inlineStr">
        <is>
          <t>Inibidores da ATP sintase mitocondrial</t>
        </is>
      </c>
      <c r="N566" s="13" t="inlineStr">
        <is>
          <t>Categoria 4 — Produto Pouco Tóxico</t>
        </is>
      </c>
      <c r="O566" s="13" t="inlineStr">
        <is>
          <t>Azul PMS Blue 293 C</t>
        </is>
      </c>
      <c r="P566" s="13" t="inlineStr">
        <is>
          <t>Classe II — Produto Muito Perigoso ao Meio Ambiente</t>
        </is>
      </c>
      <c r="Q566" s="15" t="n">
        <v>24</v>
      </c>
      <c r="R566" s="13" t="inlineStr">
        <is>
          <t>Terrestre / Aérea (Drones consultar bula)</t>
        </is>
      </c>
      <c r="S566" s="13" t="inlineStr">
        <is>
          <t>Tratamento sintomático conforme grupo químico na bula</t>
        </is>
      </c>
      <c r="T566" s="13" t="inlineStr">
        <is>
          <t>PROVENTIS LIFESCIENCE DEFENSIVOS AGRÍCOLAS LTDA.</t>
        </is>
      </c>
      <c r="U566" s="16">
        <f>HYPERLINK("https://agrofit.agricultura.gov.br/agrofit_cons/principal_agrofit_cons", "Consulta Oficial AGROFIT/MAPA (Nº 43818)")</f>
        <v/>
      </c>
    </row>
    <row r="567" ht="22" customHeight="1">
      <c r="A567" s="5" t="n">
        <v>562</v>
      </c>
      <c r="B567" s="6" t="inlineStr">
        <is>
          <t>Nº 43818</t>
        </is>
      </c>
      <c r="C567" s="7" t="inlineStr">
        <is>
          <t>DIAFENTIURON 500 SC PROVENTIS 0,200L AMOSTRA (IMP)</t>
        </is>
      </c>
      <c r="D567" s="8" t="inlineStr">
        <is>
          <t>DIAFENTIURON</t>
        </is>
      </c>
      <c r="E567" s="7" t="inlineStr">
        <is>
          <t>Produto Formulado Comercial</t>
        </is>
      </c>
      <c r="F567" s="7" t="inlineStr">
        <is>
          <t>Defensivos</t>
        </is>
      </c>
      <c r="G567" s="7" t="inlineStr">
        <is>
          <t>Inseticida e Acaricida</t>
        </is>
      </c>
      <c r="H567" s="7" t="inlineStr">
        <is>
          <t>SC</t>
        </is>
      </c>
      <c r="I567" s="7" t="inlineStr">
        <is>
          <t>Suspensão Concentrada (SC)</t>
        </is>
      </c>
      <c r="J567" s="7" t="inlineStr">
        <is>
          <t>Inseticida/acaricida de contato e ingestão</t>
        </is>
      </c>
      <c r="K567" s="7" t="inlineStr">
        <is>
          <t>Tioureia</t>
        </is>
      </c>
      <c r="L567" s="7" t="inlineStr">
        <is>
          <t>IRAC Grupo 12A</t>
        </is>
      </c>
      <c r="M567" s="7" t="inlineStr">
        <is>
          <t>Inibidores da ATP sintase mitocondrial</t>
        </is>
      </c>
      <c r="N567" s="7" t="inlineStr">
        <is>
          <t>Categoria 4 — Produto Pouco Tóxico</t>
        </is>
      </c>
      <c r="O567" s="7" t="inlineStr">
        <is>
          <t>Azul PMS Blue 293 C</t>
        </is>
      </c>
      <c r="P567" s="7" t="inlineStr">
        <is>
          <t>Classe II — Produto Muito Perigoso ao Meio Ambiente</t>
        </is>
      </c>
      <c r="Q567" s="9" t="n">
        <v>24</v>
      </c>
      <c r="R567" s="7" t="inlineStr">
        <is>
          <t>Terrestre / Aérea (Drones consultar bula)</t>
        </is>
      </c>
      <c r="S567" s="7" t="inlineStr">
        <is>
          <t>Tratamento sintomático conforme grupo químico na bula</t>
        </is>
      </c>
      <c r="T567" s="7" t="inlineStr">
        <is>
          <t>PROVENTIS LIFESCIENCE DEFENSIVOS AGRÍCOLAS LTDA.</t>
        </is>
      </c>
      <c r="U567" s="10">
        <f>HYPERLINK("https://agrofit.agricultura.gov.br/agrofit_cons/principal_agrofit_cons", "Consulta Oficial AGROFIT/MAPA (Nº 43818)")</f>
        <v/>
      </c>
    </row>
    <row r="568" ht="22" customHeight="1">
      <c r="A568" s="11" t="n">
        <v>563</v>
      </c>
      <c r="B568" s="12" t="inlineStr">
        <is>
          <t>Nº 27922</t>
        </is>
      </c>
      <c r="C568" s="13" t="inlineStr">
        <is>
          <t>S-METOLACHLOR PROVENTIS 960 EC 0,200L (AMOSTRA)</t>
        </is>
      </c>
      <c r="D568" s="14" t="inlineStr">
        <is>
          <t>S-METOLACHLOR PROVENTIS 960 EC 0,200L (AMOSTRA)</t>
        </is>
      </c>
      <c r="E568" s="13" t="inlineStr">
        <is>
          <t>Produto Formulado Comercial</t>
        </is>
      </c>
      <c r="F568" s="13" t="inlineStr">
        <is>
          <t>Defensivos</t>
        </is>
      </c>
      <c r="G568" s="13" t="inlineStr">
        <is>
          <t>Herbicida</t>
        </is>
      </c>
      <c r="H568" s="13" t="inlineStr">
        <is>
          <t>EC</t>
        </is>
      </c>
      <c r="I568" s="13" t="inlineStr">
        <is>
          <t>Concentrado Emulsionável (EC)</t>
        </is>
      </c>
      <c r="J568" s="13" t="inlineStr">
        <is>
          <t>Herbicida seletivo pré-emergente sistêmico</t>
        </is>
      </c>
      <c r="K568" s="13" t="inlineStr">
        <is>
          <t>Cloroacetanilida</t>
        </is>
      </c>
      <c r="L568" s="13" t="inlineStr">
        <is>
          <t>HRAC Grupo K3 (15) — Inibidores de VLCFAs</t>
        </is>
      </c>
      <c r="M568" s="13" t="inlineStr">
        <is>
          <t>Inibidores da síntese de ácidos graxos de cadeia muito longa (divisão celular)</t>
        </is>
      </c>
      <c r="N568" s="13" t="inlineStr">
        <is>
          <t>Categoria 4 — Produto Pouco Tóxico</t>
        </is>
      </c>
      <c r="O568" s="13" t="inlineStr">
        <is>
          <t>Azul PMS Blue 293 C</t>
        </is>
      </c>
      <c r="P568" s="13" t="inlineStr">
        <is>
          <t>Classe II — Produto Muito Perigoso ao Meio Ambiente</t>
        </is>
      </c>
      <c r="Q568" s="15" t="n">
        <v>24</v>
      </c>
      <c r="R568" s="13" t="inlineStr">
        <is>
          <t>Terrestre / Aérea (Drones consultar bula)</t>
        </is>
      </c>
      <c r="S568" s="13" t="inlineStr">
        <is>
          <t>Sem antídoto específico; tratamento sintomático</t>
        </is>
      </c>
      <c r="T568" s="13" t="inlineStr">
        <is>
          <t>Proventis Lifescience</t>
        </is>
      </c>
      <c r="U568" s="16">
        <f>HYPERLINK("https://agrofit.agricultura.gov.br/agrofit_cons/principal_agrofit_cons", "Consulta Oficial AGROFIT/MAPA (Nº 27922)")</f>
        <v/>
      </c>
    </row>
    <row r="569" ht="22" customHeight="1">
      <c r="A569" s="5" t="n">
        <v>564</v>
      </c>
      <c r="B569" s="6" t="inlineStr">
        <is>
          <t>Nº 26023</t>
        </is>
      </c>
      <c r="C569" s="7" t="inlineStr">
        <is>
          <t>MAJESTUOSO 0,2L (IMP) AMOSTRA</t>
        </is>
      </c>
      <c r="D569" s="8" t="inlineStr">
        <is>
          <t>MAJESTUOSO 0,2L (IMP) AMOSTRA</t>
        </is>
      </c>
      <c r="E569" s="7" t="inlineStr">
        <is>
          <t>Produto Formulado Comercial</t>
        </is>
      </c>
      <c r="F569" s="7" t="inlineStr">
        <is>
          <t>Defensivos</t>
        </is>
      </c>
      <c r="G569" s="7" t="inlineStr">
        <is>
          <t>Inseticida</t>
        </is>
      </c>
      <c r="H569" s="7" t="inlineStr">
        <is>
          <t>EC</t>
        </is>
      </c>
      <c r="I569" s="7" t="inlineStr">
        <is>
          <t>EC - Concentrado Emulsionável</t>
        </is>
      </c>
      <c r="J569" s="7" t="inlineStr">
        <is>
          <t>Inseticida/acaricida de contato e ingestão</t>
        </is>
      </c>
      <c r="K569" s="7" t="inlineStr">
        <is>
          <t>Organofosforado</t>
        </is>
      </c>
      <c r="L569" s="7" t="inlineStr">
        <is>
          <t>IRAC Grupo 1B</t>
        </is>
      </c>
      <c r="M569" s="7" t="inlineStr">
        <is>
          <t>Inibidores da acetilcolinesterase (AChE)</t>
        </is>
      </c>
      <c r="N569" s="7" t="inlineStr">
        <is>
          <t>Categoria 4: Produto Pouco Tóxico</t>
        </is>
      </c>
      <c r="O569" s="7" t="inlineStr">
        <is>
          <t>Azul</t>
        </is>
      </c>
      <c r="P569" s="7" t="inlineStr">
        <is>
          <t>Classe II — Produto Muito Perigoso ao Meio Ambiente</t>
        </is>
      </c>
      <c r="Q569" s="9" t="n">
        <v>24</v>
      </c>
      <c r="R569" s="7" t="inlineStr">
        <is>
          <t>Terrestre / Aérea (Drones consultar bula)</t>
        </is>
      </c>
      <c r="S569" s="7" t="inlineStr">
        <is>
          <t>Tratamento sintomático conforme grupo químico na bula</t>
        </is>
      </c>
      <c r="T569" s="7" t="inlineStr">
        <is>
          <t>AGRO-LEAD BRASIL ASSESSORIA EM PRODUTOS AGRICOLAS LTDA</t>
        </is>
      </c>
      <c r="U569" s="10">
        <f>HYPERLINK("https://agrofit.agricultura.gov.br/agrofit_cons/principal_agrofit_cons", "Consulta Oficial AGROFIT/MAPA (Nº 26023)")</f>
        <v/>
      </c>
    </row>
    <row r="570" ht="22" customHeight="1">
      <c r="A570" s="11" t="n">
        <v>565</v>
      </c>
      <c r="B570" s="12" t="inlineStr">
        <is>
          <t>Nº 5924</t>
        </is>
      </c>
      <c r="C570" s="13" t="inlineStr">
        <is>
          <t>FLAME WG 2X10KG (IMP)</t>
        </is>
      </c>
      <c r="D570" s="14" t="inlineStr">
        <is>
          <t>FLAME WG</t>
        </is>
      </c>
      <c r="E570" s="13" t="inlineStr">
        <is>
          <t>Produto Formulado Comercial</t>
        </is>
      </c>
      <c r="F570" s="13" t="inlineStr">
        <is>
          <t>Defensivos</t>
        </is>
      </c>
      <c r="G570" s="13" t="inlineStr">
        <is>
          <t>Inseticida</t>
        </is>
      </c>
      <c r="H570" s="13" t="inlineStr">
        <is>
          <t>WG</t>
        </is>
      </c>
      <c r="I570" s="13" t="inlineStr">
        <is>
          <t>WG - Granulado Dispersível</t>
        </is>
      </c>
      <c r="J570" s="13" t="inlineStr">
        <is>
          <t>Inseticida e acaricida de contato e ingestão</t>
        </is>
      </c>
      <c r="K570" s="13" t="inlineStr">
        <is>
          <t>Piretroide (Tipo I)</t>
        </is>
      </c>
      <c r="L570" s="13" t="inlineStr">
        <is>
          <t>IRAC Grupo 3A</t>
        </is>
      </c>
      <c r="M570" s="13" t="inlineStr">
        <is>
          <t>Moduladores de canais de sódio em membranas nervosas</t>
        </is>
      </c>
      <c r="N570" s="13" t="inlineStr">
        <is>
          <t>Categoria 4: Produto Pouco Tóxico</t>
        </is>
      </c>
      <c r="O570" s="13" t="inlineStr">
        <is>
          <t>Azul</t>
        </is>
      </c>
      <c r="P570" s="13" t="inlineStr">
        <is>
          <t>Classe II — Produto Muito Perigoso ao Meio Ambiente</t>
        </is>
      </c>
      <c r="Q570" s="15" t="n">
        <v>24</v>
      </c>
      <c r="R570" s="13" t="inlineStr">
        <is>
          <t>Terrestre / Aérea (Drones consultar bula)</t>
        </is>
      </c>
      <c r="S570" s="13" t="inlineStr">
        <is>
          <t>Sem antídoto específico; anti-histamínicos e vitamina E tópica para parestesia</t>
        </is>
      </c>
      <c r="T570" s="13" t="inlineStr">
        <is>
          <t>RAINBOW DEFENSIVOS AGRICOLAS LTDA</t>
        </is>
      </c>
      <c r="U570" s="16">
        <f>HYPERLINK("https://agrofit.agricultura.gov.br/agrofit_cons/principal_agrofit_cons", "Consulta Oficial AGROFIT/MAPA (Nº 5924)")</f>
        <v/>
      </c>
    </row>
    <row r="571" ht="22" customHeight="1">
      <c r="A571" s="5" t="n">
        <v>566</v>
      </c>
      <c r="B571" s="6" t="inlineStr">
        <is>
          <t>Nº 15925</t>
        </is>
      </c>
      <c r="C571" s="7" t="inlineStr">
        <is>
          <t>CHETTAK GOLD 4X5KG (IMP)</t>
        </is>
      </c>
      <c r="D571" s="8" t="inlineStr">
        <is>
          <t>CHETTAK GOLD</t>
        </is>
      </c>
      <c r="E571" s="7" t="inlineStr">
        <is>
          <t>Produto Formulado Comercial</t>
        </is>
      </c>
      <c r="F571" s="7" t="inlineStr">
        <is>
          <t>Defensivos</t>
        </is>
      </c>
      <c r="G571" s="7" t="inlineStr">
        <is>
          <t>Inseticida</t>
        </is>
      </c>
      <c r="H571" s="7" t="inlineStr">
        <is>
          <t>SG</t>
        </is>
      </c>
      <c r="I571" s="7" t="inlineStr">
        <is>
          <t>Grânulos Solúveis em Água (SG)</t>
        </is>
      </c>
      <c r="J571" s="7" t="inlineStr">
        <is>
          <t>Inseticida e acaricida sistêmico de contato e ingestão</t>
        </is>
      </c>
      <c r="K571" s="7" t="inlineStr">
        <is>
          <t>Organofosforado</t>
        </is>
      </c>
      <c r="L571" s="7" t="inlineStr">
        <is>
          <t>IRAC Grupo 1B</t>
        </is>
      </c>
      <c r="M571" s="7" t="inlineStr">
        <is>
          <t>Inibidores da enzima acetilcolinesterase (AChE)</t>
        </is>
      </c>
      <c r="N571" s="7" t="inlineStr">
        <is>
          <t>Categoria 4 — Produto Pouco Tóxico</t>
        </is>
      </c>
      <c r="O571" s="7" t="inlineStr">
        <is>
          <t>Azul PMS Blue 293 C</t>
        </is>
      </c>
      <c r="P571" s="7" t="inlineStr">
        <is>
          <t>Classe III — Produto Perigoso ao Meio Ambiente</t>
        </is>
      </c>
      <c r="Q571" s="9" t="n">
        <v>24</v>
      </c>
      <c r="R571" s="7" t="inlineStr">
        <is>
          <t>Terrestre / Aérea (Drones consultar bula)</t>
        </is>
      </c>
      <c r="S571" s="7" t="inlineStr">
        <is>
          <t>Sulfato de Atropina e Pralidoxima (Contrathion)</t>
        </is>
      </c>
      <c r="T571" s="7" t="inlineStr">
        <is>
          <t>SHARDA DO BRASIL COMÉRCIO DE PRODUTOS QUÍMICOS E AGROQUÍMICOS LTDA.</t>
        </is>
      </c>
      <c r="U571" s="10">
        <f>HYPERLINK("https://www.adapar.pr.gov.br/system/files/publico/Agrotoxicos/lista.pdf", "Registro Oficial Chettak Gold 970 SG (MAPA 15925)")</f>
        <v/>
      </c>
    </row>
    <row r="572" ht="22" customHeight="1">
      <c r="A572" s="11" t="n">
        <v>567</v>
      </c>
      <c r="B572" s="12" t="inlineStr">
        <is>
          <t>Nº 14024</t>
        </is>
      </c>
      <c r="C572" s="13" t="inlineStr">
        <is>
          <t>ETHIPROLE 200 SC YONON 1X20L (IMP)</t>
        </is>
      </c>
      <c r="D572" s="14" t="inlineStr">
        <is>
          <t>ETHIPROLE</t>
        </is>
      </c>
      <c r="E572" s="13" t="inlineStr">
        <is>
          <t>Produto Formulado Comercial</t>
        </is>
      </c>
      <c r="F572" s="13" t="inlineStr">
        <is>
          <t>Defensivos</t>
        </is>
      </c>
      <c r="G572" s="13" t="inlineStr">
        <is>
          <t>Inseticida</t>
        </is>
      </c>
      <c r="H572" s="13" t="inlineStr">
        <is>
          <t>SC</t>
        </is>
      </c>
      <c r="I572" s="13" t="inlineStr">
        <is>
          <t>Suspensão Concentrada (SC)</t>
        </is>
      </c>
      <c r="J572" s="13" t="inlineStr">
        <is>
          <t>Inseticida/acaricida de contato e ingestão</t>
        </is>
      </c>
      <c r="K572" s="13" t="inlineStr">
        <is>
          <t>Fenilpirazol</t>
        </is>
      </c>
      <c r="L572" s="13" t="inlineStr">
        <is>
          <t>IRAC Grupo 2B</t>
        </is>
      </c>
      <c r="M572" s="13" t="inlineStr">
        <is>
          <t>Bloqueadores de canais de cloro mediados pelo GABA</t>
        </is>
      </c>
      <c r="N572" s="13" t="inlineStr">
        <is>
          <t>Categoria 5 — Produto Improvável de Causar Dano Agudo</t>
        </is>
      </c>
      <c r="O572" s="13" t="inlineStr">
        <is>
          <t>Azul Intenso</t>
        </is>
      </c>
      <c r="P572" s="13" t="inlineStr">
        <is>
          <t>Classe II — Produto Muito Perigoso ao Meio Ambiente</t>
        </is>
      </c>
      <c r="Q572" s="15" t="n">
        <v>24</v>
      </c>
      <c r="R572" s="13" t="inlineStr">
        <is>
          <t>Terrestre / Aérea (Drones consultar bula)</t>
        </is>
      </c>
      <c r="S572" s="13" t="inlineStr">
        <is>
          <t>Tratamento sintomático conforme grupo químico na bula</t>
        </is>
      </c>
      <c r="T572" s="13" t="inlineStr">
        <is>
          <t>YONON BRASIL DEFENSIVOS AGRÍCOLAS LTDA.</t>
        </is>
      </c>
      <c r="U572" s="16">
        <f>HYPERLINK("https://agrofit.agricultura.gov.br/agrofit_cons/principal_agrofit_cons", "Consulta Oficial AGROFIT/MAPA (Nº 14024)")</f>
        <v/>
      </c>
    </row>
    <row r="573" ht="22" customHeight="1">
      <c r="A573" s="5" t="n">
        <v>568</v>
      </c>
      <c r="B573" s="6" t="inlineStr">
        <is>
          <t>Nº 14024</t>
        </is>
      </c>
      <c r="C573" s="7" t="inlineStr">
        <is>
          <t>ETHIPROLE 200 SC YONON 4X5L (IMP)</t>
        </is>
      </c>
      <c r="D573" s="8" t="inlineStr">
        <is>
          <t>ETHIPROLE</t>
        </is>
      </c>
      <c r="E573" s="7" t="inlineStr">
        <is>
          <t>Produto Formulado Comercial</t>
        </is>
      </c>
      <c r="F573" s="7" t="inlineStr">
        <is>
          <t>Defensivos</t>
        </is>
      </c>
      <c r="G573" s="7" t="inlineStr">
        <is>
          <t>Inseticida</t>
        </is>
      </c>
      <c r="H573" s="7" t="inlineStr">
        <is>
          <t>SC</t>
        </is>
      </c>
      <c r="I573" s="7" t="inlineStr">
        <is>
          <t>Suspensão Concentrada (SC)</t>
        </is>
      </c>
      <c r="J573" s="7" t="inlineStr">
        <is>
          <t>Inseticida/acaricida de contato e ingestão</t>
        </is>
      </c>
      <c r="K573" s="7" t="inlineStr">
        <is>
          <t>Fenilpirazol</t>
        </is>
      </c>
      <c r="L573" s="7" t="inlineStr">
        <is>
          <t>IRAC Grupo 2B</t>
        </is>
      </c>
      <c r="M573" s="7" t="inlineStr">
        <is>
          <t>Bloqueadores de canais de cloro mediados pelo GABA</t>
        </is>
      </c>
      <c r="N573" s="7" t="inlineStr">
        <is>
          <t>Categoria 5 — Produto Improvável de Causar Dano Agudo</t>
        </is>
      </c>
      <c r="O573" s="7" t="inlineStr">
        <is>
          <t>Azul Intenso</t>
        </is>
      </c>
      <c r="P573" s="7" t="inlineStr">
        <is>
          <t>Classe II — Produto Muito Perigoso ao Meio Ambiente</t>
        </is>
      </c>
      <c r="Q573" s="9" t="n">
        <v>24</v>
      </c>
      <c r="R573" s="7" t="inlineStr">
        <is>
          <t>Terrestre / Aérea (Drones consultar bula)</t>
        </is>
      </c>
      <c r="S573" s="7" t="inlineStr">
        <is>
          <t>Tratamento sintomático conforme grupo químico na bula</t>
        </is>
      </c>
      <c r="T573" s="7" t="inlineStr">
        <is>
          <t>YONON BRASIL DEFENSIVOS AGRÍCOLAS LTDA.</t>
        </is>
      </c>
      <c r="U573" s="10">
        <f>HYPERLINK("https://agrofit.agricultura.gov.br/agrofit_cons/principal_agrofit_cons", "Consulta Oficial AGROFIT/MAPA (Nº 14024)")</f>
        <v/>
      </c>
    </row>
    <row r="574" ht="22" customHeight="1">
      <c r="A574" s="11" t="n">
        <v>569</v>
      </c>
      <c r="B574" s="12" t="inlineStr">
        <is>
          <t>Nº 34723</t>
        </is>
      </c>
      <c r="C574" s="13" t="inlineStr">
        <is>
          <t>CURATIS 1X10L (IMP)</t>
        </is>
      </c>
      <c r="D574" s="14" t="inlineStr">
        <is>
          <t>CURATIS</t>
        </is>
      </c>
      <c r="E574" s="13" t="inlineStr">
        <is>
          <t>Produto Formulado Comercial</t>
        </is>
      </c>
      <c r="F574" s="13" t="inlineStr">
        <is>
          <t>Defensivos</t>
        </is>
      </c>
      <c r="G574" s="13" t="inlineStr">
        <is>
          <t>Fungicida</t>
        </is>
      </c>
      <c r="H574" s="13" t="inlineStr">
        <is>
          <t>WG</t>
        </is>
      </c>
      <c r="I574" s="13" t="inlineStr">
        <is>
          <t>Grânulos Dispersíveis em Água (WG)</t>
        </is>
      </c>
      <c r="J574" s="13" t="inlineStr">
        <is>
          <t>Fungicida e acaricida protetor de contato multissítio</t>
        </is>
      </c>
      <c r="K574" s="13" t="inlineStr">
        <is>
          <t>Estrobilurina (Metoxiacrilato)</t>
        </is>
      </c>
      <c r="L574" s="13" t="inlineStr">
        <is>
          <t>FRAC Grupo 11 (C3 — QoI)</t>
        </is>
      </c>
      <c r="M574" s="13" t="inlineStr">
        <is>
          <t>Inibidores da respiração mitocondrial no Complexo III (sítio Qo)</t>
        </is>
      </c>
      <c r="N574" s="13" t="inlineStr">
        <is>
          <t>Categoria 4 / 5 — Pouco Tóxico a Improvável Dano Agudo</t>
        </is>
      </c>
      <c r="O574" s="13" t="inlineStr">
        <is>
          <t>Azul Intenso</t>
        </is>
      </c>
      <c r="P574" s="13" t="inlineStr">
        <is>
          <t>Classe II — Produto Muito Perigoso ao Meio Ambiente</t>
        </is>
      </c>
      <c r="Q574" s="15" t="n">
        <v>24</v>
      </c>
      <c r="R574" s="13" t="inlineStr">
        <is>
          <t>Terrestre / Aérea (Drones consultar bula)</t>
        </is>
      </c>
      <c r="S574" s="13" t="inlineStr">
        <is>
          <t>Sem antídoto específico; evitar consumo de álcool (efeito antabuse por ETU)</t>
        </is>
      </c>
      <c r="T574" s="13" t="inlineStr">
        <is>
          <t>UPL DO BRASIL INDÚSTRIA E COMÉRCIO DE INSUMOS AGROPECUÁRIOS S.A.</t>
        </is>
      </c>
      <c r="U574" s="16">
        <f>HYPERLINK("https://www.adapar.pr.gov.br/Pagina/Agrotoxicos-Fungicidas", "Registro Oficial Curatis WG (MAPA 34723)")</f>
        <v/>
      </c>
    </row>
    <row r="575" ht="22" customHeight="1">
      <c r="A575" s="5" t="n">
        <v>570</v>
      </c>
      <c r="B575" s="6" t="inlineStr">
        <is>
          <t>Nº 0315</t>
        </is>
      </c>
      <c r="C575" s="7" t="inlineStr">
        <is>
          <t>2-4 D (AMOSTRA LABORATORIAL)</t>
        </is>
      </c>
      <c r="D575" s="8" t="inlineStr">
        <is>
          <t>2-4 D (AMOSTRA LABORATORIAL)</t>
        </is>
      </c>
      <c r="E575" s="7" t="inlineStr">
        <is>
          <t>Produto Formulado Comercial</t>
        </is>
      </c>
      <c r="F575" s="7" t="inlineStr">
        <is>
          <t>Outros (Químicos / Laboratorial)</t>
        </is>
      </c>
      <c r="G575" s="7" t="inlineStr">
        <is>
          <t>Reagente / Padrão Laboratorial</t>
        </is>
      </c>
      <c r="H575" s="7" t="inlineStr">
        <is>
          <t>SL</t>
        </is>
      </c>
      <c r="I575" s="7" t="inlineStr">
        <is>
          <t>Concentrado Solúvel (SL)</t>
        </is>
      </c>
      <c r="J575" s="7" t="inlineStr">
        <is>
          <t>Herbicida sistêmico seletivo de pós-emergência para folhas largas</t>
        </is>
      </c>
      <c r="K575" s="7" t="inlineStr">
        <is>
          <t>Ácido ariloxialcanoico</t>
        </is>
      </c>
      <c r="L575" s="7" t="inlineStr">
        <is>
          <t>HRAC Grupo O (4) — Auxinas Sintéticas</t>
        </is>
      </c>
      <c r="M575" s="7" t="inlineStr">
        <is>
          <t>Mimetizadores da auxina (ácido indolacético - AIA)</t>
        </is>
      </c>
      <c r="N575" s="7" t="inlineStr">
        <is>
          <t>Categoria 4 — Produto Pouco Tóxico</t>
        </is>
      </c>
      <c r="O575" s="7" t="inlineStr">
        <is>
          <t>Azul PMS Blue 293 C</t>
        </is>
      </c>
      <c r="P575" s="7" t="inlineStr">
        <is>
          <t>Classe III — Produto Perigoso ao Meio Ambiente</t>
        </is>
      </c>
      <c r="Q575" s="9" t="n">
        <v>24</v>
      </c>
      <c r="R575" s="7" t="inlineStr">
        <is>
          <t>Terrestre / Aérea (Drones consultar bula)</t>
        </is>
      </c>
      <c r="S575" s="7" t="inlineStr">
        <is>
          <t>Sem antídoto específico; tratamento sintomático</t>
        </is>
      </c>
      <c r="T575" s="7" t="inlineStr">
        <is>
          <t>Agriconnection</t>
        </is>
      </c>
      <c r="U575" s="10">
        <f>HYPERLINK("https://calculadorarural.com.br/defensivos/ativo/2-4-d", "Registro Oficial 2,4-D AGCN 806 SL (Agriconnection)")</f>
        <v/>
      </c>
    </row>
    <row r="576" ht="22" customHeight="1">
      <c r="A576" s="11" t="n">
        <v>571</v>
      </c>
      <c r="B576" s="12" t="inlineStr">
        <is>
          <t>Nº 10018</t>
        </is>
      </c>
      <c r="C576" s="13" t="inlineStr">
        <is>
          <t>ATRAZINA 500 SC RAINBOW 1X20L (IMP)</t>
        </is>
      </c>
      <c r="D576" s="14" t="inlineStr">
        <is>
          <t>ATRAZINA</t>
        </is>
      </c>
      <c r="E576" s="13" t="inlineStr">
        <is>
          <t>Produto Formulado Comercial</t>
        </is>
      </c>
      <c r="F576" s="13" t="inlineStr">
        <is>
          <t>Defensivos</t>
        </is>
      </c>
      <c r="G576" s="13" t="inlineStr">
        <is>
          <t>Herbicida</t>
        </is>
      </c>
      <c r="H576" s="13" t="inlineStr">
        <is>
          <t>SC</t>
        </is>
      </c>
      <c r="I576" s="13" t="inlineStr">
        <is>
          <t>SC - Suspensão Concentrada</t>
        </is>
      </c>
      <c r="J576" s="13" t="inlineStr">
        <is>
          <t>Herbicida seletivo sistêmico de pré e pós-emergência precoce</t>
        </is>
      </c>
      <c r="K576" s="13" t="inlineStr">
        <is>
          <t>Triazina</t>
        </is>
      </c>
      <c r="L576" s="13" t="inlineStr">
        <is>
          <t>HRAC Grupo C1 (5) — Inibidores do Fotossistema II</t>
        </is>
      </c>
      <c r="M576" s="13" t="inlineStr">
        <is>
          <t>Inibição do transporte de elétrons no Fotossistema II (sítio Serina 264)</t>
        </is>
      </c>
      <c r="N576" s="13" t="inlineStr">
        <is>
          <t>Categoria 4: Produto Pouco Tóxico</t>
        </is>
      </c>
      <c r="O576" s="13" t="inlineStr">
        <is>
          <t>Azul</t>
        </is>
      </c>
      <c r="P576" s="13" t="inlineStr">
        <is>
          <t>Classe II — Produto Muito Perigoso ao Meio Ambiente</t>
        </is>
      </c>
      <c r="Q576" s="15" t="n">
        <v>24</v>
      </c>
      <c r="R576" s="13" t="inlineStr">
        <is>
          <t>Terrestre / Aérea (Drones consultar bula)</t>
        </is>
      </c>
      <c r="S576" s="13" t="inlineStr">
        <is>
          <t>Sem antídoto específico; tratamento sintomático</t>
        </is>
      </c>
      <c r="T576" s="13" t="inlineStr">
        <is>
          <t>RAINBOW DEFENSIVOS AGRICOLAS LTDA</t>
        </is>
      </c>
      <c r="U576" s="16">
        <f>HYPERLINK("https://agrofit.agricultura.gov.br/agrofit_cons/principal_agrofit_cons", "Consulta Oficial AGROFIT/MAPA (Nº 10018)")</f>
        <v/>
      </c>
    </row>
    <row r="577" ht="22" customHeight="1">
      <c r="A577" s="5" t="n">
        <v>572</v>
      </c>
      <c r="B577" s="6" t="inlineStr">
        <is>
          <t>Nº 34723</t>
        </is>
      </c>
      <c r="C577" s="7" t="inlineStr">
        <is>
          <t>CURATIS 1X10L (IMP) (AMOSTRA)</t>
        </is>
      </c>
      <c r="D577" s="8" t="inlineStr">
        <is>
          <t>CURATIS</t>
        </is>
      </c>
      <c r="E577" s="7" t="inlineStr">
        <is>
          <t>Produto Formulado Comercial</t>
        </is>
      </c>
      <c r="F577" s="7" t="inlineStr">
        <is>
          <t>Defensivos</t>
        </is>
      </c>
      <c r="G577" s="7" t="inlineStr">
        <is>
          <t>Fungicida</t>
        </is>
      </c>
      <c r="H577" s="7" t="inlineStr">
        <is>
          <t>WG</t>
        </is>
      </c>
      <c r="I577" s="7" t="inlineStr">
        <is>
          <t>Grânulos Dispersíveis em Água (WG)</t>
        </is>
      </c>
      <c r="J577" s="7" t="inlineStr">
        <is>
          <t>Fungicida e acaricida protetor de contato multissítio</t>
        </is>
      </c>
      <c r="K577" s="7" t="inlineStr">
        <is>
          <t>Estrobilurina (Metoxiacrilato)</t>
        </is>
      </c>
      <c r="L577" s="7" t="inlineStr">
        <is>
          <t>FRAC Grupo 11 (C3 — QoI)</t>
        </is>
      </c>
      <c r="M577" s="7" t="inlineStr">
        <is>
          <t>Inibidores da respiração mitocondrial no Complexo III (sítio Qo)</t>
        </is>
      </c>
      <c r="N577" s="7" t="inlineStr">
        <is>
          <t>Categoria 4 / 5 — Pouco Tóxico a Improvável Dano Agudo</t>
        </is>
      </c>
      <c r="O577" s="7" t="inlineStr">
        <is>
          <t>Azul Intenso</t>
        </is>
      </c>
      <c r="P577" s="7" t="inlineStr">
        <is>
          <t>Classe II — Produto Muito Perigoso ao Meio Ambiente</t>
        </is>
      </c>
      <c r="Q577" s="9" t="n">
        <v>24</v>
      </c>
      <c r="R577" s="7" t="inlineStr">
        <is>
          <t>Terrestre / Aérea (Drones consultar bula)</t>
        </is>
      </c>
      <c r="S577" s="7" t="inlineStr">
        <is>
          <t>Sem antídoto específico; evitar consumo de álcool (efeito antabuse por ETU)</t>
        </is>
      </c>
      <c r="T577" s="7" t="inlineStr">
        <is>
          <t>UPL DO BRASIL INDÚSTRIA E COMÉRCIO DE INSUMOS AGROPECUÁRIOS S.A.</t>
        </is>
      </c>
      <c r="U577" s="10">
        <f>HYPERLINK("https://www.adapar.pr.gov.br/Pagina/Agrotoxicos-Fungicidas", "Registro Oficial Curatis WG (MAPA 34723)")</f>
        <v/>
      </c>
    </row>
    <row r="578" ht="22" customHeight="1">
      <c r="A578" s="11" t="n">
        <v>573</v>
      </c>
      <c r="B578" s="12" t="inlineStr">
        <is>
          <t>Nº 13716</t>
        </is>
      </c>
      <c r="C578" s="13" t="inlineStr">
        <is>
          <t>EFICAX 1X20L (IMP)</t>
        </is>
      </c>
      <c r="D578" s="14" t="inlineStr">
        <is>
          <t>EFICAX</t>
        </is>
      </c>
      <c r="E578" s="13" t="inlineStr">
        <is>
          <t>Produto Formulado Comercial</t>
        </is>
      </c>
      <c r="F578" s="13" t="inlineStr">
        <is>
          <t>Defensivos</t>
        </is>
      </c>
      <c r="G578" s="13" t="inlineStr">
        <is>
          <t>Inseticida</t>
        </is>
      </c>
      <c r="H578" s="13" t="inlineStr">
        <is>
          <t>SL</t>
        </is>
      </c>
      <c r="I578" s="13" t="inlineStr">
        <is>
          <t>Concentrado Solúvel (SL)</t>
        </is>
      </c>
      <c r="J578" s="13" t="inlineStr">
        <is>
          <t>Inseticida sistêmico de contato e ingestão com efeito ovicida/larvicida</t>
        </is>
      </c>
      <c r="K578" s="13" t="inlineStr">
        <is>
          <t>Metilcarbamato de oxima</t>
        </is>
      </c>
      <c r="L578" s="13" t="inlineStr">
        <is>
          <t>IRAC Grupo 1A</t>
        </is>
      </c>
      <c r="M578" s="13" t="inlineStr">
        <is>
          <t>Inibidores reversíveis da enzima acetilcolinesterase (AChE)</t>
        </is>
      </c>
      <c r="N578" s="13" t="inlineStr">
        <is>
          <t>Categoria 2 — Produto Altamente Tóxico</t>
        </is>
      </c>
      <c r="O578" s="13" t="inlineStr">
        <is>
          <t>Vermelho PMS Red 199 C</t>
        </is>
      </c>
      <c r="P578" s="13" t="inlineStr">
        <is>
          <t>Classe II — Produto Muito Perigoso ao Meio Ambiente</t>
        </is>
      </c>
      <c r="Q578" s="15" t="n">
        <v>24</v>
      </c>
      <c r="R578" s="13" t="inlineStr">
        <is>
          <t>Terrestre / Aérea (Drones consultar bula)</t>
        </is>
      </c>
      <c r="S578" s="13" t="inlineStr">
        <is>
          <t>Sulfato de Atropina (antídoto específico; NÃO administrar oximas/pralidoxima em carbamatos)</t>
        </is>
      </c>
      <c r="T578" s="13" t="inlineStr">
        <is>
          <t>ROTAM DO BRASIL AGROQUÍMICA E PRODUTOS AGRÍCOLAS LTDA. / ALBAUGH</t>
        </is>
      </c>
      <c r="U578" s="16">
        <f>HYPERLINK("https://www.adapar.pr.gov.br/system/files/publico/Agrotoxicos/lista.pdf", "Registro Oficial Eficax 215 SL (MAPA 13716)")</f>
        <v/>
      </c>
    </row>
    <row r="579" ht="22" customHeight="1">
      <c r="A579" s="5" t="n">
        <v>574</v>
      </c>
      <c r="B579" s="6" t="inlineStr">
        <is>
          <t>Nº 17921</t>
        </is>
      </c>
      <c r="C579" s="7" t="inlineStr">
        <is>
          <t>TIOFANATO 500 SC PROVENTIS 1X20L (IMP)</t>
        </is>
      </c>
      <c r="D579" s="8" t="inlineStr">
        <is>
          <t>TIOFANATO</t>
        </is>
      </c>
      <c r="E579" s="7" t="inlineStr">
        <is>
          <t>Produto Formulado Comercial</t>
        </is>
      </c>
      <c r="F579" s="7" t="inlineStr">
        <is>
          <t>Defensivos</t>
        </is>
      </c>
      <c r="G579" s="7" t="inlineStr">
        <is>
          <t>Fungicida</t>
        </is>
      </c>
      <c r="H579" s="7" t="inlineStr">
        <is>
          <t>SC</t>
        </is>
      </c>
      <c r="I579" s="7" t="inlineStr">
        <is>
          <t>Suspensão Concentrada (SC)</t>
        </is>
      </c>
      <c r="J579" s="7" t="inlineStr">
        <is>
          <t>Fungicida sistêmico preventivo e curativo</t>
        </is>
      </c>
      <c r="K579" s="7" t="inlineStr">
        <is>
          <t>Benzimidazol (Precursor de MBC)</t>
        </is>
      </c>
      <c r="L579" s="7" t="inlineStr">
        <is>
          <t>FRAC Grupo 1 (MBC)</t>
        </is>
      </c>
      <c r="M579" s="7" t="inlineStr">
        <is>
          <t>Inibidores da montagem de beta-tubulina na mitose celular</t>
        </is>
      </c>
      <c r="N579" s="7" t="inlineStr">
        <is>
          <t>Categoria 4 / 5 — Pouco Tóxico</t>
        </is>
      </c>
      <c r="O579" s="7" t="inlineStr">
        <is>
          <t>Azul Intenso</t>
        </is>
      </c>
      <c r="P579" s="7" t="inlineStr">
        <is>
          <t>Classe III — Produto Perigoso ao Meio Ambiente</t>
        </is>
      </c>
      <c r="Q579" s="9" t="n">
        <v>24</v>
      </c>
      <c r="R579" s="7" t="inlineStr">
        <is>
          <t>Terrestre / Aérea (Drones consultar bula)</t>
        </is>
      </c>
      <c r="S579" s="7" t="inlineStr">
        <is>
          <t>Sem antídoto específico; tratamento sintomático</t>
        </is>
      </c>
      <c r="T579" s="7" t="inlineStr">
        <is>
          <t>Proventis Lifescience</t>
        </is>
      </c>
      <c r="U579" s="10">
        <f>HYPERLINK("https://agrofit.agricultura.gov.br/agrofit_cons/principal_agrofit_cons", "Consulta Oficial AGROFIT/MAPA (Nº 17921)")</f>
        <v/>
      </c>
    </row>
    <row r="580" ht="22" customHeight="1">
      <c r="A580" s="11" t="n">
        <v>575</v>
      </c>
      <c r="B580" s="12" t="inlineStr">
        <is>
          <t>SIPEAGRO (UF-XXXXX)</t>
        </is>
      </c>
      <c r="C580" s="13" t="inlineStr">
        <is>
          <t>NEU 1X20L</t>
        </is>
      </c>
      <c r="D580" s="14" t="inlineStr">
        <is>
          <t>NEU</t>
        </is>
      </c>
      <c r="E580" s="13" t="inlineStr">
        <is>
          <t>Fertilizante Mineral / Organomineral</t>
        </is>
      </c>
      <c r="F580" s="13" t="inlineStr">
        <is>
          <t>Fertilizantes</t>
        </is>
      </c>
      <c r="G580" s="13" t="inlineStr">
        <is>
          <t>Fertilizante Mineral Simples (Potássico / Magnesiano)</t>
        </is>
      </c>
      <c r="H580" s="13" t="inlineStr">
        <is>
          <t>SL</t>
        </is>
      </c>
      <c r="I580" s="13" t="inlineStr">
        <is>
          <t>Solução / Suspensão Concentrada Foliar (Fluido)</t>
        </is>
      </c>
      <c r="J580" s="13" t="inlineStr">
        <is>
          <t>Aplicação via solo, fertirrigação ou adubação foliar</t>
        </is>
      </c>
      <c r="K580" s="13" t="inlineStr">
        <is>
          <t>Fertilizante Mineral / Organomineral (Lei nº 6.894/1980)</t>
        </is>
      </c>
      <c r="L580" s="13" t="inlineStr">
        <is>
          <t>Nutrição Vegetal SIPEAGRO</t>
        </is>
      </c>
      <c r="M580" s="13" t="inlineStr">
        <is>
          <t>Fornecimento de macro e micronutrientes essenciais ao metabolismo vegetal</t>
        </is>
      </c>
      <c r="N580" s="13" t="inlineStr">
        <is>
          <t>Isento ANVISA (Produto Fertilizante Registrado no SIPEAGRO/MAPA)</t>
        </is>
      </c>
      <c r="O580" s="13" t="inlineStr">
        <is>
          <t>Não Aplicável (Fertilizante)</t>
        </is>
      </c>
      <c r="P580" s="13" t="inlineStr">
        <is>
          <t>Baixo Potencial Poluidor (Uso conforme recomendação agronômica)</t>
        </is>
      </c>
      <c r="Q580" s="15" t="n">
        <v>0</v>
      </c>
      <c r="R580" s="13" t="inlineStr">
        <is>
          <t>Aplicação Dirigida / TS / Solo</t>
        </is>
      </c>
      <c r="S580" s="13" t="inlineStr">
        <is>
          <t>Tratamento sintomático em caso de ingestão acidental</t>
        </is>
      </c>
      <c r="T580" s="13" t="inlineStr">
        <is>
          <t>Estabelecimento Produtor SIPEAGRO/MAPA</t>
        </is>
      </c>
      <c r="U580" s="16">
        <f>HYPERLINK("https://www.gov.br/agricultura/pt-br/assuntos/insumos-agropecuarios/insumos-agricolas/fertilizantes", "Portal SIPEAGRO / MAPA — Fertilizantes e Bioinsumos")</f>
        <v/>
      </c>
    </row>
    <row r="581" ht="22" customHeight="1">
      <c r="A581" s="5" t="n">
        <v>576</v>
      </c>
      <c r="B581" s="6" t="inlineStr">
        <is>
          <t>Nº 11216</t>
        </is>
      </c>
      <c r="C581" s="7" t="inlineStr">
        <is>
          <t>ATIVUM (TM) EC 4X5L</t>
        </is>
      </c>
      <c r="D581" s="8" t="inlineStr">
        <is>
          <t>ATIVUM (TM) EC</t>
        </is>
      </c>
      <c r="E581" s="7" t="inlineStr">
        <is>
          <t>Produto Formulado Comercial</t>
        </is>
      </c>
      <c r="F581" s="7" t="inlineStr">
        <is>
          <t>Defensivos</t>
        </is>
      </c>
      <c r="G581" s="7" t="inlineStr">
        <is>
          <t>Fungicida</t>
        </is>
      </c>
      <c r="H581" s="7" t="inlineStr">
        <is>
          <t>EC</t>
        </is>
      </c>
      <c r="I581" s="7" t="inlineStr">
        <is>
          <t>EC - Concentrado Emulsionável</t>
        </is>
      </c>
      <c r="J581" s="7" t="inlineStr">
        <is>
          <t>Fungicida preventivo e curativo foliar</t>
        </is>
      </c>
      <c r="K581" s="7" t="inlineStr">
        <is>
          <t>Triazol</t>
        </is>
      </c>
      <c r="L581" s="7" t="inlineStr">
        <is>
          <t>FRAC Grupo 3 (G1 — DMI)</t>
        </is>
      </c>
      <c r="M581" s="7" t="inlineStr">
        <is>
          <t>Inibidores da desmetilação do C14 na biossíntese do ergosterol</t>
        </is>
      </c>
      <c r="N581" s="7" t="inlineStr">
        <is>
          <t>Categoria 4: Produto Pouco Tóxico</t>
        </is>
      </c>
      <c r="O581" s="7" t="inlineStr">
        <is>
          <t>Azul</t>
        </is>
      </c>
      <c r="P581" s="7" t="inlineStr">
        <is>
          <t>Classe II — Produto Muito Perigoso ao Meio Ambiente</t>
        </is>
      </c>
      <c r="Q581" s="9" t="n">
        <v>24</v>
      </c>
      <c r="R581" s="7" t="inlineStr">
        <is>
          <t>Terrestre / Aérea (Drones consultar bula)</t>
        </is>
      </c>
      <c r="S581" s="7" t="inlineStr">
        <is>
          <t>Sem antídoto específico; tratamento sintomático</t>
        </is>
      </c>
      <c r="T581" s="7" t="inlineStr">
        <is>
          <t>BASF AGRICULTURAL SOLUTIONS BRASIL LTDA</t>
        </is>
      </c>
      <c r="U581" s="10">
        <f>HYPERLINK("https://agrofit.agricultura.gov.br/agrofit_cons/principal_agrofit_cons", "Consulta Oficial AGROFIT/MAPA (Nº 11216)")</f>
        <v/>
      </c>
    </row>
    <row r="582" ht="22" customHeight="1">
      <c r="A582" s="11" t="n">
        <v>577</v>
      </c>
      <c r="B582" s="12" t="inlineStr">
        <is>
          <t>Nº 8319</t>
        </is>
      </c>
      <c r="C582" s="13" t="inlineStr">
        <is>
          <t>DIURON 500 SC RAINBOW 1X20L</t>
        </is>
      </c>
      <c r="D582" s="14" t="inlineStr">
        <is>
          <t>DIURON</t>
        </is>
      </c>
      <c r="E582" s="13" t="inlineStr">
        <is>
          <t>Produto Formulado Comercial</t>
        </is>
      </c>
      <c r="F582" s="13" t="inlineStr">
        <is>
          <t>Defensivos</t>
        </is>
      </c>
      <c r="G582" s="13" t="inlineStr">
        <is>
          <t>Herbicida</t>
        </is>
      </c>
      <c r="H582" s="13" t="inlineStr">
        <is>
          <t>SC</t>
        </is>
      </c>
      <c r="I582" s="13" t="inlineStr">
        <is>
          <t>Suspensão Concentrada (SC)</t>
        </is>
      </c>
      <c r="J582" s="13" t="inlineStr">
        <is>
          <t>Herbicida de pré ou pós-emergência</t>
        </is>
      </c>
      <c r="K582" s="13" t="inlineStr">
        <is>
          <t>Ureia Substituída (Fenilureia)</t>
        </is>
      </c>
      <c r="L582" s="13" t="inlineStr">
        <is>
          <t>HRAC Grupo C2 (5) — Inibidores do Fotossistema II</t>
        </is>
      </c>
      <c r="M582" s="13" t="inlineStr">
        <is>
          <t>Inibição do transporte de elétrons no Fotossistema II (sítio Serina 264)</t>
        </is>
      </c>
      <c r="N582" s="13" t="inlineStr">
        <is>
          <t>Categoria 4 / 5 — Pouco Tóxico (Conforme Bula ANVISA)</t>
        </is>
      </c>
      <c r="O582" s="13" t="inlineStr">
        <is>
          <t>Azul PMS Blue 293 C</t>
        </is>
      </c>
      <c r="P582" s="13" t="inlineStr">
        <is>
          <t>Classe II / III — Perigoso ao Meio Ambiente</t>
        </is>
      </c>
      <c r="Q582" s="15" t="n">
        <v>24</v>
      </c>
      <c r="R582" s="13" t="inlineStr">
        <is>
          <t>Terrestre / Aérea (Drones consultar bula)</t>
        </is>
      </c>
      <c r="S582" s="13" t="inlineStr">
        <is>
          <t>Sem antídoto específico; tratamento sintomático e descontaminação</t>
        </is>
      </c>
      <c r="T582" s="13" t="inlineStr">
        <is>
          <t>Rainbow Defensivos</t>
        </is>
      </c>
      <c r="U582" s="16">
        <f>HYPERLINK("https://agrofit.agricultura.gov.br/agrofit_cons/principal_agrofit_cons", "Consulta Oficial AGROFIT/MAPA (Nº 8319)")</f>
        <v/>
      </c>
    </row>
    <row r="583" ht="22" customHeight="1">
      <c r="A583" s="5" t="n">
        <v>578</v>
      </c>
      <c r="B583" s="6" t="inlineStr">
        <is>
          <t>SIPEAGRO (UF-XXXXX)</t>
        </is>
      </c>
      <c r="C583" s="7" t="inlineStr">
        <is>
          <t>SALT BASE MILHO PLUS 1X20KG</t>
        </is>
      </c>
      <c r="D583" s="8" t="inlineStr">
        <is>
          <t>SALT BASE MILHO PLUS</t>
        </is>
      </c>
      <c r="E583" s="7" t="inlineStr">
        <is>
          <t>Fertilizante Mineral / Organomineral</t>
        </is>
      </c>
      <c r="F583" s="7" t="inlineStr">
        <is>
          <t>Fertilizantes</t>
        </is>
      </c>
      <c r="G583" s="7" t="inlineStr">
        <is>
          <t>Fertilizante Mineral Simples (Potássico / Magnesiano)</t>
        </is>
      </c>
      <c r="H583" s="7" t="inlineStr">
        <is>
          <t>Granulado</t>
        </is>
      </c>
      <c r="I583" s="7" t="inlineStr">
        <is>
          <t>Formulação Padrão (Granulado / Solúvel / Suspensão)</t>
        </is>
      </c>
      <c r="J583" s="7" t="inlineStr">
        <is>
          <t>Aplicação via solo, fertirrigação ou adubação foliar</t>
        </is>
      </c>
      <c r="K583" s="7" t="inlineStr">
        <is>
          <t>Fertilizante Mineral / Organomineral (Lei nº 6.894/1980)</t>
        </is>
      </c>
      <c r="L583" s="7" t="inlineStr">
        <is>
          <t>Nutrição Vegetal SIPEAGRO</t>
        </is>
      </c>
      <c r="M583" s="7" t="inlineStr">
        <is>
          <t>Fornecimento de macro e micronutrientes essenciais ao metabolismo vegetal</t>
        </is>
      </c>
      <c r="N583" s="7" t="inlineStr">
        <is>
          <t>Isento ANVISA (Produto Fertilizante Registrado no SIPEAGRO/MAPA)</t>
        </is>
      </c>
      <c r="O583" s="7" t="inlineStr">
        <is>
          <t>Não Aplicável (Fertilizante)</t>
        </is>
      </c>
      <c r="P583" s="7" t="inlineStr">
        <is>
          <t>Baixo Potencial Poluidor (Uso conforme recomendação agronômica)</t>
        </is>
      </c>
      <c r="Q583" s="9" t="n">
        <v>0</v>
      </c>
      <c r="R583" s="7" t="inlineStr">
        <is>
          <t>Aplicação Dirigida / TS / Solo</t>
        </is>
      </c>
      <c r="S583" s="7" t="inlineStr">
        <is>
          <t>Tratamento sintomático em caso de ingestão acidental</t>
        </is>
      </c>
      <c r="T583" s="7" t="inlineStr">
        <is>
          <t>Estabelecimento Produtor SIPEAGRO/MAPA</t>
        </is>
      </c>
      <c r="U583" s="10">
        <f>HYPERLINK("https://www.gov.br/agricultura/pt-br/assuntos/insumos-agropecuarios/insumos-agricolas/fertilizantes", "Portal SIPEAGRO / MAPA — Fertilizantes e Bioinsumos")</f>
        <v/>
      </c>
    </row>
    <row r="584" ht="22" customHeight="1">
      <c r="A584" s="11" t="n">
        <v>579</v>
      </c>
      <c r="B584" s="12" t="inlineStr">
        <is>
          <t>SIPEAGRO (UF-XXXXX)</t>
        </is>
      </c>
      <c r="C584" s="13" t="inlineStr">
        <is>
          <t>ESTIMULUS EVO 4X5L</t>
        </is>
      </c>
      <c r="D584" s="14" t="inlineStr">
        <is>
          <t>ESTIMULUS EVO</t>
        </is>
      </c>
      <c r="E584" s="13" t="inlineStr">
        <is>
          <t>Fertilizante Mineral / Organomineral</t>
        </is>
      </c>
      <c r="F584" s="13" t="inlineStr">
        <is>
          <t>Fertilizantes</t>
        </is>
      </c>
      <c r="G584" s="13" t="inlineStr">
        <is>
          <t>Fertilizante Organomineral / Bioestimulante</t>
        </is>
      </c>
      <c r="H584" s="13" t="inlineStr">
        <is>
          <t>SL</t>
        </is>
      </c>
      <c r="I584" s="13" t="inlineStr">
        <is>
          <t>Solução / Suspensão Concentrada Foliar (Fluido)</t>
        </is>
      </c>
      <c r="J584" s="13" t="inlineStr">
        <is>
          <t>Aplicação via solo, fertirrigação ou adubação foliar</t>
        </is>
      </c>
      <c r="K584" s="13" t="inlineStr">
        <is>
          <t>Fertilizante Mineral / Organomineral (Lei nº 6.894/1980)</t>
        </is>
      </c>
      <c r="L584" s="13" t="inlineStr">
        <is>
          <t>Nutrição Vegetal SIPEAGRO</t>
        </is>
      </c>
      <c r="M584" s="13" t="inlineStr">
        <is>
          <t>Fornecimento de macro e micronutrientes essenciais ao metabolismo vegetal</t>
        </is>
      </c>
      <c r="N584" s="13" t="inlineStr">
        <is>
          <t>Isento ANVISA (Produto Fertilizante Registrado no SIPEAGRO/MAPA)</t>
        </is>
      </c>
      <c r="O584" s="13" t="inlineStr">
        <is>
          <t>Não Aplicável (Fertilizante)</t>
        </is>
      </c>
      <c r="P584" s="13" t="inlineStr">
        <is>
          <t>Baixo Potencial Poluidor (Uso conforme recomendação agronômica)</t>
        </is>
      </c>
      <c r="Q584" s="15" t="n">
        <v>0</v>
      </c>
      <c r="R584" s="13" t="inlineStr">
        <is>
          <t>Aplicação Dirigida / TS / Solo</t>
        </is>
      </c>
      <c r="S584" s="13" t="inlineStr">
        <is>
          <t>Tratamento sintomático em caso de ingestão acidental</t>
        </is>
      </c>
      <c r="T584" s="13" t="inlineStr">
        <is>
          <t>Estabelecimento Produtor SIPEAGRO/MAPA</t>
        </is>
      </c>
      <c r="U584" s="16">
        <f>HYPERLINK("https://www.gov.br/agricultura/pt-br/assuntos/insumos-agropecuarios/insumos-agricolas/fertilizantes", "Portal SIPEAGRO / MAPA — Fertilizantes e Bioinsumos")</f>
        <v/>
      </c>
    </row>
    <row r="585" ht="22" customHeight="1">
      <c r="A585" s="5" t="n">
        <v>580</v>
      </c>
      <c r="B585" s="6" t="inlineStr">
        <is>
          <t>Nº 1209</t>
        </is>
      </c>
      <c r="C585" s="7" t="inlineStr">
        <is>
          <t>STANDAK TOP 4X5L</t>
        </is>
      </c>
      <c r="D585" s="8" t="inlineStr">
        <is>
          <t>STANDAK TOP</t>
        </is>
      </c>
      <c r="E585" s="7" t="inlineStr">
        <is>
          <t>Produto Formulado Comercial</t>
        </is>
      </c>
      <c r="F585" s="7" t="inlineStr">
        <is>
          <t>Defensivos</t>
        </is>
      </c>
      <c r="G585" s="7" t="inlineStr">
        <is>
          <t>Inseticida + Fungicida (Tratamento de Sementes)</t>
        </is>
      </c>
      <c r="H585" s="7" t="inlineStr">
        <is>
          <t>FS</t>
        </is>
      </c>
      <c r="I585" s="7" t="inlineStr">
        <is>
          <t>Suspensão Concentrada para Tratamento de Sementes (FS)</t>
        </is>
      </c>
      <c r="J585" s="7" t="inlineStr">
        <is>
          <t>Inseticida, cupinicida e formicida de contato e ingestão (TS / Solo)</t>
        </is>
      </c>
      <c r="K585" s="7" t="inlineStr">
        <is>
          <t>Estrobilurina (Metoxicarbamato)</t>
        </is>
      </c>
      <c r="L585" s="7" t="inlineStr">
        <is>
          <t>FRAC Grupo 11 (C3 — QoI)</t>
        </is>
      </c>
      <c r="M585" s="7" t="inlineStr">
        <is>
          <t>Inibidores da respiração mitocondrial no Complexo III (sítio Qo)</t>
        </is>
      </c>
      <c r="N585" s="7" t="inlineStr">
        <is>
          <t>Categoria 3 — Produto Moderadamente Tóxico</t>
        </is>
      </c>
      <c r="O585" s="7" t="inlineStr">
        <is>
          <t>Amarelo PMS Yellow C</t>
        </is>
      </c>
      <c r="P585" s="7" t="inlineStr">
        <is>
          <t>Classe II — Produto Muito Perigoso ao Meio Ambiente</t>
        </is>
      </c>
      <c r="Q585" s="9" t="n">
        <v>0</v>
      </c>
      <c r="R585" s="7" t="inlineStr">
        <is>
          <t>Aplicação Dirigida / TS / Solo</t>
        </is>
      </c>
      <c r="S585" s="7" t="inlineStr">
        <is>
          <t>Sem antídoto específico; tratamento sintomático e controle neurológico</t>
        </is>
      </c>
      <c r="T585" s="7" t="inlineStr">
        <is>
          <t>BASF S.A.</t>
        </is>
      </c>
      <c r="U585" s="10">
        <f>HYPERLINK("https://agrofit.agricultura.gov.br/agrofit_cons/principal_agrofit_cons", "Consulta Oficial AGROFIT/MAPA (Nº 1209)")</f>
        <v/>
      </c>
    </row>
    <row r="586" ht="22" customHeight="1">
      <c r="A586" s="11" t="n">
        <v>581</v>
      </c>
      <c r="B586" s="12" t="inlineStr">
        <is>
          <t>SIPEAGRO (UF-XXXXX)</t>
        </is>
      </c>
      <c r="C586" s="13" t="inlineStr">
        <is>
          <t>ESTIMULUS GRASS 1X1L</t>
        </is>
      </c>
      <c r="D586" s="14" t="inlineStr">
        <is>
          <t>ESTIMULUS GRASS</t>
        </is>
      </c>
      <c r="E586" s="13" t="inlineStr">
        <is>
          <t>Fertilizante Mineral / Organomineral</t>
        </is>
      </c>
      <c r="F586" s="13" t="inlineStr">
        <is>
          <t>Fertilizantes</t>
        </is>
      </c>
      <c r="G586" s="13" t="inlineStr">
        <is>
          <t>Fertilizante Organomineral / Bioestimulante</t>
        </is>
      </c>
      <c r="H586" s="13" t="inlineStr">
        <is>
          <t>SL</t>
        </is>
      </c>
      <c r="I586" s="13" t="inlineStr">
        <is>
          <t>Solução / Suspensão Concentrada Foliar (Fluido)</t>
        </is>
      </c>
      <c r="J586" s="13" t="inlineStr">
        <is>
          <t>Aplicação via solo, fertirrigação ou adubação foliar</t>
        </is>
      </c>
      <c r="K586" s="13" t="inlineStr">
        <is>
          <t>Fertilizante Mineral / Organomineral (Lei nº 6.894/1980)</t>
        </is>
      </c>
      <c r="L586" s="13" t="inlineStr">
        <is>
          <t>Nutrição Vegetal SIPEAGRO</t>
        </is>
      </c>
      <c r="M586" s="13" t="inlineStr">
        <is>
          <t>Fornecimento de macro e micronutrientes essenciais ao metabolismo vegetal</t>
        </is>
      </c>
      <c r="N586" s="13" t="inlineStr">
        <is>
          <t>Isento ANVISA (Produto Fertilizante Registrado no SIPEAGRO/MAPA)</t>
        </is>
      </c>
      <c r="O586" s="13" t="inlineStr">
        <is>
          <t>Não Aplicável (Fertilizante)</t>
        </is>
      </c>
      <c r="P586" s="13" t="inlineStr">
        <is>
          <t>Baixo Potencial Poluidor (Uso conforme recomendação agronômica)</t>
        </is>
      </c>
      <c r="Q586" s="15" t="n">
        <v>0</v>
      </c>
      <c r="R586" s="13" t="inlineStr">
        <is>
          <t>Aplicação Dirigida / TS / Solo</t>
        </is>
      </c>
      <c r="S586" s="13" t="inlineStr">
        <is>
          <t>Tratamento sintomático em caso de ingestão acidental</t>
        </is>
      </c>
      <c r="T586" s="13" t="inlineStr">
        <is>
          <t>Estabelecimento Produtor SIPEAGRO/MAPA</t>
        </is>
      </c>
      <c r="U586" s="16">
        <f>HYPERLINK("https://www.gov.br/agricultura/pt-br/assuntos/insumos-agropecuarios/insumos-agricolas/fertilizantes", "Portal SIPEAGRO / MAPA — Fertilizantes e Bioinsumos")</f>
        <v/>
      </c>
    </row>
    <row r="587" ht="22" customHeight="1">
      <c r="A587" s="5" t="n">
        <v>582</v>
      </c>
      <c r="B587" s="6" t="inlineStr">
        <is>
          <t>Nº 24518</t>
        </is>
      </c>
      <c r="C587" s="7" t="inlineStr">
        <is>
          <t>KENNOX 4X5L</t>
        </is>
      </c>
      <c r="D587" s="8" t="inlineStr">
        <is>
          <t>KENNOX</t>
        </is>
      </c>
      <c r="E587" s="7" t="inlineStr">
        <is>
          <t>Produto Formulado Comercial</t>
        </is>
      </c>
      <c r="F587" s="7" t="inlineStr">
        <is>
          <t>Defensivos</t>
        </is>
      </c>
      <c r="G587" s="7" t="inlineStr">
        <is>
          <t>Herbicida</t>
        </is>
      </c>
      <c r="H587" s="7" t="inlineStr">
        <is>
          <t>EC</t>
        </is>
      </c>
      <c r="I587" s="7" t="inlineStr">
        <is>
          <t>Concentrado Emulsionável (EC)</t>
        </is>
      </c>
      <c r="J587" s="7" t="inlineStr">
        <is>
          <t>Herbicida graminicida sistêmico seletivo de pós-emergência</t>
        </is>
      </c>
      <c r="K587" s="7" t="inlineStr">
        <is>
          <t>Oxima Ciclohexanodiona (DIM) + Ariloxifenoxipropionato (FOP)</t>
        </is>
      </c>
      <c r="L587" s="7" t="inlineStr">
        <is>
          <t>HRAC Grupo A (1) — Inibidores da ACCase</t>
        </is>
      </c>
      <c r="M587" s="7" t="inlineStr">
        <is>
          <t>Inibição da enzima acetil-CoA carboxilase (ACCase)</t>
        </is>
      </c>
      <c r="N587" s="7" t="inlineStr">
        <is>
          <t>Categoria 4 / 5 — Pouco Tóxico</t>
        </is>
      </c>
      <c r="O587" s="7" t="inlineStr">
        <is>
          <t>Azul Intenso</t>
        </is>
      </c>
      <c r="P587" s="7" t="inlineStr">
        <is>
          <t>Classe III — Produto Perigoso ao Meio Ambiente</t>
        </is>
      </c>
      <c r="Q587" s="9" t="n">
        <v>24</v>
      </c>
      <c r="R587" s="7" t="inlineStr">
        <is>
          <t>Terrestre / Aérea (Drones consultar bula)</t>
        </is>
      </c>
      <c r="S587" s="7" t="inlineStr">
        <is>
          <t>Sem antídoto específico; tratamento sintomático</t>
        </is>
      </c>
      <c r="T587" s="7" t="inlineStr">
        <is>
          <t>ADAMA BRASIL S/A</t>
        </is>
      </c>
      <c r="U587" s="10">
        <f>HYPERLINK("https://celepar07web.pr.gov.br/agrotoxicos/listar.asp?Cod=2368", "Registro Oficial Kennox EC (ADAPAR/CELEPAR - MAPA 24518)")</f>
        <v/>
      </c>
    </row>
    <row r="588" ht="22" customHeight="1">
      <c r="A588" s="11" t="n">
        <v>583</v>
      </c>
      <c r="B588" s="12" t="inlineStr">
        <is>
          <t>Nº 12320</t>
        </is>
      </c>
      <c r="C588" s="13" t="inlineStr">
        <is>
          <t>AVEO EZ 0,500L</t>
        </is>
      </c>
      <c r="D588" s="14" t="inlineStr">
        <is>
          <t>AVEO EZ 0,500L</t>
        </is>
      </c>
      <c r="E588" s="13" t="inlineStr">
        <is>
          <t>Produto Formulado Comercial</t>
        </is>
      </c>
      <c r="F588" s="13" t="inlineStr">
        <is>
          <t>Defensivos</t>
        </is>
      </c>
      <c r="G588" s="13" t="inlineStr">
        <is>
          <t>Bionematicida (Biológico)</t>
        </is>
      </c>
      <c r="H588" s="13" t="inlineStr">
        <is>
          <t>FS</t>
        </is>
      </c>
      <c r="I588" s="13" t="inlineStr">
        <is>
          <t>FS - Suspensão Conc. p/ Tratamento de Sementes</t>
        </is>
      </c>
      <c r="J588" s="13" t="inlineStr">
        <is>
          <t>Bionematicida, biofungicida ou inoculante biológico</t>
        </is>
      </c>
      <c r="K588" s="13" t="inlineStr">
        <is>
          <t>Agente Microbiológico / Rizobactéria (Bionematicida)</t>
        </is>
      </c>
      <c r="L588" s="13" t="inlineStr">
        <is>
          <t>Bionematicida Microbiológico (MAPA)</t>
        </is>
      </c>
      <c r="M588" s="13" t="inlineStr">
        <is>
          <t>Colonização da rizosfera, formação de biofilme protetor e ação nematicida/nematostática</t>
        </is>
      </c>
      <c r="N588" s="13" t="inlineStr">
        <is>
          <t>Categoria 5: Produto Improvável de Causa Dano Agudo</t>
        </is>
      </c>
      <c r="O588" s="13" t="inlineStr">
        <is>
          <t>Azul</t>
        </is>
      </c>
      <c r="P588" s="13" t="inlineStr">
        <is>
          <t>Classe IV — Produto Pouco Perigoso ao Meio Ambiente</t>
        </is>
      </c>
      <c r="Q588" s="15" t="n">
        <v>24</v>
      </c>
      <c r="R588" s="13" t="inlineStr">
        <is>
          <t>Terrestre / Aérea (Drones consultar bula)</t>
        </is>
      </c>
      <c r="S588" s="13" t="inlineStr">
        <is>
          <t>Sem antídoto; tratamento sintomático</t>
        </is>
      </c>
      <c r="T588" s="13" t="inlineStr">
        <is>
          <t>SUMITOMO CHEMICAL BRASIL INDUSTRIA QUIMICA S.A.</t>
        </is>
      </c>
      <c r="U588" s="16">
        <f>HYPERLINK("https://revistacultivar.com.br/pesticida/aveo-ez-streat", "Bula Oficial Aveo EZ (Sumitomo/MAPA 12320)")</f>
        <v/>
      </c>
    </row>
    <row r="589" ht="22" customHeight="1">
      <c r="A589" s="5" t="n">
        <v>584</v>
      </c>
      <c r="B589" s="6" t="inlineStr">
        <is>
          <t>Nº 10598</t>
        </is>
      </c>
      <c r="C589" s="7" t="inlineStr">
        <is>
          <t>PIREPHOS EC 4X5L</t>
        </is>
      </c>
      <c r="D589" s="8" t="inlineStr">
        <is>
          <t>PIREPHOS EC</t>
        </is>
      </c>
      <c r="E589" s="7" t="inlineStr">
        <is>
          <t>Produto Formulado Comercial</t>
        </is>
      </c>
      <c r="F589" s="7" t="inlineStr">
        <is>
          <t>Defensivos</t>
        </is>
      </c>
      <c r="G589" s="7" t="inlineStr">
        <is>
          <t>Inseticida</t>
        </is>
      </c>
      <c r="H589" s="7" t="inlineStr">
        <is>
          <t>EC</t>
        </is>
      </c>
      <c r="I589" s="7" t="inlineStr">
        <is>
          <t>Concentrado Emulsionável (EC)</t>
        </is>
      </c>
      <c r="J589" s="7" t="inlineStr">
        <is>
          <t>Inseticida/acaricida de contato e ingestão</t>
        </is>
      </c>
      <c r="K589" s="7" t="inlineStr">
        <is>
          <t>Piretroide (Tipo II)</t>
        </is>
      </c>
      <c r="L589" s="7" t="inlineStr">
        <is>
          <t>IRAC Grupo 3A</t>
        </is>
      </c>
      <c r="M589" s="7" t="inlineStr">
        <is>
          <t>Moduladores de canais de sódio em membranas nervosas</t>
        </is>
      </c>
      <c r="N589" s="7" t="inlineStr">
        <is>
          <t>Categoria 3 / 4 — Moderadamente a Pouco Tóxico</t>
        </is>
      </c>
      <c r="O589" s="7" t="inlineStr">
        <is>
          <t>Amarelo / Azul</t>
        </is>
      </c>
      <c r="P589" s="7" t="inlineStr">
        <is>
          <t>Classe II — Produto Muito Perigoso ao Meio Ambiente</t>
        </is>
      </c>
      <c r="Q589" s="9" t="n">
        <v>24</v>
      </c>
      <c r="R589" s="7" t="inlineStr">
        <is>
          <t>Terrestre / Aérea (Drones consultar bula)</t>
        </is>
      </c>
      <c r="S589" s="7" t="inlineStr">
        <is>
          <t>Tratamento sintomático conforme grupo químico na bula</t>
        </is>
      </c>
      <c r="T589" s="7" t="inlineStr">
        <is>
          <t>SUMITOMO CHEMICAL DO BRASIL REPRESENTAÇÕES LTDA.</t>
        </is>
      </c>
      <c r="U589" s="10">
        <f>HYPERLINK("https://www.adapar.pr.gov.br/system/files/publico/Agrotoxicos/lista.pdf", "Registro Oficial Pirephos EC (MAPA 10598)")</f>
        <v/>
      </c>
    </row>
    <row r="590" ht="22" customHeight="1">
      <c r="A590" s="11" t="n">
        <v>585</v>
      </c>
      <c r="B590" s="12" t="inlineStr">
        <is>
          <t>Nº 11216</t>
        </is>
      </c>
      <c r="C590" s="13" t="inlineStr">
        <is>
          <t>ATIVUM (TM) EC 1X10L</t>
        </is>
      </c>
      <c r="D590" s="14" t="inlineStr">
        <is>
          <t>ATIVUM (TM) EC</t>
        </is>
      </c>
      <c r="E590" s="13" t="inlineStr">
        <is>
          <t>Produto Formulado Comercial</t>
        </is>
      </c>
      <c r="F590" s="13" t="inlineStr">
        <is>
          <t>Defensivos</t>
        </is>
      </c>
      <c r="G590" s="13" t="inlineStr">
        <is>
          <t>Fungicida</t>
        </is>
      </c>
      <c r="H590" s="13" t="inlineStr">
        <is>
          <t>EC</t>
        </is>
      </c>
      <c r="I590" s="13" t="inlineStr">
        <is>
          <t>EC - Concentrado Emulsionável</t>
        </is>
      </c>
      <c r="J590" s="13" t="inlineStr">
        <is>
          <t>Fungicida preventivo e curativo foliar</t>
        </is>
      </c>
      <c r="K590" s="13" t="inlineStr">
        <is>
          <t>Triazol</t>
        </is>
      </c>
      <c r="L590" s="13" t="inlineStr">
        <is>
          <t>FRAC Grupo 3 (G1 — DMI)</t>
        </is>
      </c>
      <c r="M590" s="13" t="inlineStr">
        <is>
          <t>Inibidores da desmetilação do C14 na biossíntese do ergosterol</t>
        </is>
      </c>
      <c r="N590" s="13" t="inlineStr">
        <is>
          <t>Categoria 4: Produto Pouco Tóxico</t>
        </is>
      </c>
      <c r="O590" s="13" t="inlineStr">
        <is>
          <t>Azul</t>
        </is>
      </c>
      <c r="P590" s="13" t="inlineStr">
        <is>
          <t>Classe II — Produto Muito Perigoso ao Meio Ambiente</t>
        </is>
      </c>
      <c r="Q590" s="15" t="n">
        <v>24</v>
      </c>
      <c r="R590" s="13" t="inlineStr">
        <is>
          <t>Terrestre / Aérea (Drones consultar bula)</t>
        </is>
      </c>
      <c r="S590" s="13" t="inlineStr">
        <is>
          <t>Sem antídoto específico; tratamento sintomático</t>
        </is>
      </c>
      <c r="T590" s="13" t="inlineStr">
        <is>
          <t>BASF AGRICULTURAL SOLUTIONS BRASIL LTDA</t>
        </is>
      </c>
      <c r="U590" s="16">
        <f>HYPERLINK("https://agrofit.agricultura.gov.br/agrofit_cons/principal_agrofit_cons", "Consulta Oficial AGROFIT/MAPA (Nº 11216)")</f>
        <v/>
      </c>
    </row>
    <row r="591" ht="22" customHeight="1">
      <c r="A591" s="5" t="n">
        <v>586</v>
      </c>
      <c r="B591" s="6" t="inlineStr">
        <is>
          <t>Nº 9519</t>
        </is>
      </c>
      <c r="C591" s="7" t="inlineStr">
        <is>
          <t>ATRAZINA CCAB 500 SC 1X20L</t>
        </is>
      </c>
      <c r="D591" s="8" t="inlineStr">
        <is>
          <t>ATRAZINA CCAB</t>
        </is>
      </c>
      <c r="E591" s="7" t="inlineStr">
        <is>
          <t>Produto Formulado Comercial</t>
        </is>
      </c>
      <c r="F591" s="7" t="inlineStr">
        <is>
          <t>Defensivos</t>
        </is>
      </c>
      <c r="G591" s="7" t="inlineStr">
        <is>
          <t>Herbicida</t>
        </is>
      </c>
      <c r="H591" s="7" t="inlineStr">
        <is>
          <t>SC</t>
        </is>
      </c>
      <c r="I591" s="7" t="inlineStr">
        <is>
          <t>SC - Suspensão Concentrada</t>
        </is>
      </c>
      <c r="J591" s="7" t="inlineStr">
        <is>
          <t>Herbicida seletivo sistêmico de pré e pós-emergência precoce</t>
        </is>
      </c>
      <c r="K591" s="7" t="inlineStr">
        <is>
          <t>Triazina</t>
        </is>
      </c>
      <c r="L591" s="7" t="inlineStr">
        <is>
          <t>HRAC Grupo C1 (5) — Inibidores do Fotossistema II</t>
        </is>
      </c>
      <c r="M591" s="7" t="inlineStr">
        <is>
          <t>Inibição do transporte de elétrons no Fotossistema II (sítio Serina 264)</t>
        </is>
      </c>
      <c r="N591" s="7" t="inlineStr">
        <is>
          <t>Categoria 4: Produto Pouco Tóxico</t>
        </is>
      </c>
      <c r="O591" s="7" t="inlineStr">
        <is>
          <t>Azul</t>
        </is>
      </c>
      <c r="P591" s="7" t="inlineStr">
        <is>
          <t>Classe II — Produto Muito Perigoso ao Meio Ambiente</t>
        </is>
      </c>
      <c r="Q591" s="9" t="n">
        <v>24</v>
      </c>
      <c r="R591" s="7" t="inlineStr">
        <is>
          <t>Terrestre / Aérea (Drones consultar bula)</t>
        </is>
      </c>
      <c r="S591" s="7" t="inlineStr">
        <is>
          <t>Sem antídoto específico; tratamento sintomático</t>
        </is>
      </c>
      <c r="T591" s="7" t="inlineStr">
        <is>
          <t>CCAB AGRO S.A</t>
        </is>
      </c>
      <c r="U591" s="10">
        <f>HYPERLINK("https://agrofit.agricultura.gov.br/agrofit_cons/principal_agrofit_cons", "Consulta Oficial AGROFIT/MAPA (Nº 9519)")</f>
        <v/>
      </c>
    </row>
    <row r="592" ht="22" customHeight="1">
      <c r="A592" s="11" t="n">
        <v>587</v>
      </c>
      <c r="B592" s="12" t="inlineStr">
        <is>
          <t>Nº 0816</t>
        </is>
      </c>
      <c r="C592" s="13" t="inlineStr">
        <is>
          <t>RACIO 1X3KG</t>
        </is>
      </c>
      <c r="D592" s="14" t="inlineStr">
        <is>
          <t>RACIO</t>
        </is>
      </c>
      <c r="E592" s="13" t="inlineStr">
        <is>
          <t>Produto Formulado Comercial</t>
        </is>
      </c>
      <c r="F592" s="13" t="inlineStr">
        <is>
          <t>Defensivos</t>
        </is>
      </c>
      <c r="G592" s="13" t="inlineStr">
        <is>
          <t>Inseticida</t>
        </is>
      </c>
      <c r="H592" s="13" t="inlineStr">
        <is>
          <t>SG</t>
        </is>
      </c>
      <c r="I592" s="13" t="inlineStr">
        <is>
          <t>Grânulos Solúveis em Água (SG)</t>
        </is>
      </c>
      <c r="J592" s="13" t="inlineStr">
        <is>
          <t>Inseticida e acaricida sistêmico de contato e ingestão</t>
        </is>
      </c>
      <c r="K592" s="13" t="inlineStr">
        <is>
          <t>Organofosforado</t>
        </is>
      </c>
      <c r="L592" s="13" t="inlineStr">
        <is>
          <t>IRAC Grupo 1B</t>
        </is>
      </c>
      <c r="M592" s="13" t="inlineStr">
        <is>
          <t>Inibidores da enzima acetilcolinesterase (AChE)</t>
        </is>
      </c>
      <c r="N592" s="13" t="inlineStr">
        <is>
          <t>Categoria 4 — Produto Pouco Tóxico</t>
        </is>
      </c>
      <c r="O592" s="13" t="inlineStr">
        <is>
          <t>Azul PMS Blue 293 C</t>
        </is>
      </c>
      <c r="P592" s="13" t="inlineStr">
        <is>
          <t>Classe III — Produto Perigoso ao Meio Ambiente</t>
        </is>
      </c>
      <c r="Q592" s="15" t="n">
        <v>24</v>
      </c>
      <c r="R592" s="13" t="inlineStr">
        <is>
          <t>Terrestre / Aérea (Drones consultar bula)</t>
        </is>
      </c>
      <c r="S592" s="13" t="inlineStr">
        <is>
          <t>Sulfato de Atropina e Pralidoxima (Contrathion)</t>
        </is>
      </c>
      <c r="T592" s="13" t="inlineStr">
        <is>
          <t>Rainbow / Perterra</t>
        </is>
      </c>
      <c r="U592" s="16">
        <f>HYPERLINK("https://agrofit.agricultura.gov.br/agrofit_cons/principal_agrofit_cons", "Consulta Oficial AGROFIT/MAPA (Nº 0816)")</f>
        <v/>
      </c>
    </row>
    <row r="593" ht="22" customHeight="1">
      <c r="A593" s="5" t="n">
        <v>588</v>
      </c>
      <c r="B593" s="6" t="inlineStr">
        <is>
          <t>SIPEAGRO (UF-XXXXX)</t>
        </is>
      </c>
      <c r="C593" s="7" t="inlineStr">
        <is>
          <t>ESTIMULUS ROOT + 4X5L</t>
        </is>
      </c>
      <c r="D593" s="8" t="inlineStr">
        <is>
          <t>ESTIMULUS ROOT +</t>
        </is>
      </c>
      <c r="E593" s="7" t="inlineStr">
        <is>
          <t>Fertilizante Mineral / Organomineral</t>
        </is>
      </c>
      <c r="F593" s="7" t="inlineStr">
        <is>
          <t>Fertilizantes</t>
        </is>
      </c>
      <c r="G593" s="7" t="inlineStr">
        <is>
          <t>Fertilizante Organomineral / Bioestimulante</t>
        </is>
      </c>
      <c r="H593" s="7" t="inlineStr">
        <is>
          <t>SL</t>
        </is>
      </c>
      <c r="I593" s="7" t="inlineStr">
        <is>
          <t>Solução / Suspensão Concentrada Foliar (Fluido)</t>
        </is>
      </c>
      <c r="J593" s="7" t="inlineStr">
        <is>
          <t>Aplicação via solo, fertirrigação ou adubação foliar</t>
        </is>
      </c>
      <c r="K593" s="7" t="inlineStr">
        <is>
          <t>Fertilizante Mineral / Organomineral (Lei nº 6.894/1980)</t>
        </is>
      </c>
      <c r="L593" s="7" t="inlineStr">
        <is>
          <t>Nutrição Vegetal SIPEAGRO</t>
        </is>
      </c>
      <c r="M593" s="7" t="inlineStr">
        <is>
          <t>Fornecimento de macro e micronutrientes essenciais ao metabolismo vegetal</t>
        </is>
      </c>
      <c r="N593" s="7" t="inlineStr">
        <is>
          <t>Isento ANVISA (Produto Fertilizante Registrado no SIPEAGRO/MAPA)</t>
        </is>
      </c>
      <c r="O593" s="7" t="inlineStr">
        <is>
          <t>Não Aplicável (Fertilizante)</t>
        </is>
      </c>
      <c r="P593" s="7" t="inlineStr">
        <is>
          <t>Baixo Potencial Poluidor (Uso conforme recomendação agronômica)</t>
        </is>
      </c>
      <c r="Q593" s="9" t="n">
        <v>0</v>
      </c>
      <c r="R593" s="7" t="inlineStr">
        <is>
          <t>Aplicação Dirigida / TS / Solo</t>
        </is>
      </c>
      <c r="S593" s="7" t="inlineStr">
        <is>
          <t>Tratamento sintomático em caso de ingestão acidental</t>
        </is>
      </c>
      <c r="T593" s="7" t="inlineStr">
        <is>
          <t>Estabelecimento Produtor SIPEAGRO/MAPA</t>
        </is>
      </c>
      <c r="U593" s="10">
        <f>HYPERLINK("https://www.gov.br/agricultura/pt-br/assuntos/insumos-agropecuarios/insumos-agricolas/fertilizantes", "Portal SIPEAGRO / MAPA — Fertilizantes e Bioinsumos")</f>
        <v/>
      </c>
    </row>
    <row r="594" ht="22" customHeight="1">
      <c r="A594" s="11" t="n">
        <v>589</v>
      </c>
      <c r="B594" s="12" t="inlineStr">
        <is>
          <t>Nº 23419</t>
        </is>
      </c>
      <c r="C594" s="13" t="inlineStr">
        <is>
          <t>SAFENITH 1X20L (IMP)</t>
        </is>
      </c>
      <c r="D594" s="14" t="inlineStr">
        <is>
          <t>SAFENITH</t>
        </is>
      </c>
      <c r="E594" s="13" t="inlineStr">
        <is>
          <t>Produto Formulado Comercial</t>
        </is>
      </c>
      <c r="F594" s="13" t="inlineStr">
        <is>
          <t>Defensivos</t>
        </is>
      </c>
      <c r="G594" s="13" t="inlineStr">
        <is>
          <t>Fungicida</t>
        </is>
      </c>
      <c r="H594" s="13" t="inlineStr">
        <is>
          <t>SC</t>
        </is>
      </c>
      <c r="I594" s="13" t="inlineStr">
        <is>
          <t>Suspensão Concentrada (SC)</t>
        </is>
      </c>
      <c r="J594" s="13" t="inlineStr">
        <is>
          <t>Fungicida protetor de contato multissítio (manejo anti-resistência)</t>
        </is>
      </c>
      <c r="K594" s="13" t="inlineStr">
        <is>
          <t>Isoftalonitrila</t>
        </is>
      </c>
      <c r="L594" s="13" t="inlineStr">
        <is>
          <t>FRAC Grupo M05 — Multissítio</t>
        </is>
      </c>
      <c r="M594" s="13" t="inlineStr">
        <is>
          <t>Atividade de contato multissítio (inativação de grupos tiol enzimáticos)</t>
        </is>
      </c>
      <c r="N594" s="13" t="inlineStr">
        <is>
          <t>Categoria 2 / 3 — Altamente a Moderadamente Tóxico</t>
        </is>
      </c>
      <c r="O594" s="13" t="inlineStr">
        <is>
          <t>Vermelho / Amarelo</t>
        </is>
      </c>
      <c r="P594" s="13" t="inlineStr">
        <is>
          <t>Classe II — Produto Muito Perigoso ao Meio Ambiente</t>
        </is>
      </c>
      <c r="Q594" s="15" t="n">
        <v>24</v>
      </c>
      <c r="R594" s="13" t="inlineStr">
        <is>
          <t>Terrestre / Aérea (Drones consultar bula)</t>
        </is>
      </c>
      <c r="S594" s="13" t="inlineStr">
        <is>
          <t>Sem antídoto específico; tratamento sintomático e descontaminação ocular/cutânea</t>
        </is>
      </c>
      <c r="T594" s="13" t="inlineStr">
        <is>
          <t>RAINBOW DEFENSIVOS AGRÍCOLAS LTDA.</t>
        </is>
      </c>
      <c r="U594" s="16">
        <f>HYPERLINK("https://www.adapar.pr.gov.br/Pagina/Agrotoxicos-Fungicidas", "Registro Oficial Safenith 720 SC (ADAPAR/MAPA)")</f>
        <v/>
      </c>
    </row>
    <row r="595" ht="22" customHeight="1">
      <c r="A595" s="5" t="n">
        <v>590</v>
      </c>
      <c r="B595" s="6" t="inlineStr">
        <is>
          <t>Nº 5615</t>
        </is>
      </c>
      <c r="C595" s="7" t="inlineStr">
        <is>
          <t>PREVINIL 1X20L</t>
        </is>
      </c>
      <c r="D595" s="8" t="inlineStr">
        <is>
          <t>PREVINIL</t>
        </is>
      </c>
      <c r="E595" s="7" t="inlineStr">
        <is>
          <t>Produto Formulado Comercial</t>
        </is>
      </c>
      <c r="F595" s="7" t="inlineStr">
        <is>
          <t>Defensivos</t>
        </is>
      </c>
      <c r="G595" s="7" t="inlineStr">
        <is>
          <t>Fungicida</t>
        </is>
      </c>
      <c r="H595" s="7" t="inlineStr">
        <is>
          <t>SC</t>
        </is>
      </c>
      <c r="I595" s="7" t="inlineStr">
        <is>
          <t>Suspensão Concentrada (SC)</t>
        </is>
      </c>
      <c r="J595" s="7" t="inlineStr">
        <is>
          <t>Fungicida protetor de contato multissítio (manejo anti-resistência)</t>
        </is>
      </c>
      <c r="K595" s="7" t="inlineStr">
        <is>
          <t>Isoftalonitrila</t>
        </is>
      </c>
      <c r="L595" s="7" t="inlineStr">
        <is>
          <t>FRAC Grupo M05 — Multissítio</t>
        </is>
      </c>
      <c r="M595" s="7" t="inlineStr">
        <is>
          <t>Atividade de contato multissítio (inativação de grupos tiol enzimáticos)</t>
        </is>
      </c>
      <c r="N595" s="7" t="inlineStr">
        <is>
          <t>Categoria 2 / 3 — Altamente a Moderadamente Tóxico</t>
        </is>
      </c>
      <c r="O595" s="7" t="inlineStr">
        <is>
          <t>Vermelho / Amarelo</t>
        </is>
      </c>
      <c r="P595" s="7" t="inlineStr">
        <is>
          <t>Classe II — Produto Muito Perigoso ao Meio Ambiente</t>
        </is>
      </c>
      <c r="Q595" s="9" t="n">
        <v>24</v>
      </c>
      <c r="R595" s="7" t="inlineStr">
        <is>
          <t>Terrestre / Aérea (Drones consultar bula)</t>
        </is>
      </c>
      <c r="S595" s="7" t="inlineStr">
        <is>
          <t>Sem antídoto específico; tratamento sintomático e descontaminação ocular/cutânea</t>
        </is>
      </c>
      <c r="T595" s="7" t="inlineStr">
        <is>
          <t>Helm do Brasil</t>
        </is>
      </c>
      <c r="U595" s="10">
        <f>HYPERLINK("https://agrofit.agricultura.gov.br/agrofit_cons/principal_agrofit_cons", "Consulta Oficial AGROFIT/MAPA (Nº 5615)")</f>
        <v/>
      </c>
    </row>
    <row r="596" ht="22" customHeight="1">
      <c r="A596" s="11" t="n">
        <v>591</v>
      </c>
      <c r="B596" s="12" t="inlineStr">
        <is>
          <t>Nº 14617</t>
        </is>
      </c>
      <c r="C596" s="13" t="inlineStr">
        <is>
          <t>SPERTO - UPL 138 FP BR 4X5KG</t>
        </is>
      </c>
      <c r="D596" s="14" t="inlineStr">
        <is>
          <t>SPERTO - UPL 138 FP BR</t>
        </is>
      </c>
      <c r="E596" s="13" t="inlineStr">
        <is>
          <t>Produto Formulado Comercial</t>
        </is>
      </c>
      <c r="F596" s="13" t="inlineStr">
        <is>
          <t>Defensivos</t>
        </is>
      </c>
      <c r="G596" s="13" t="inlineStr">
        <is>
          <t>Inseticida</t>
        </is>
      </c>
      <c r="H596" s="13" t="inlineStr">
        <is>
          <t>WG</t>
        </is>
      </c>
      <c r="I596" s="13" t="inlineStr">
        <is>
          <t>Grânulos Dispersíveis em Água (WG)</t>
        </is>
      </c>
      <c r="J596" s="13" t="inlineStr">
        <is>
          <t>Inseticida e acaricida de contato e ingestão</t>
        </is>
      </c>
      <c r="K596" s="13" t="inlineStr">
        <is>
          <t>Piretroide (Tipo I)</t>
        </is>
      </c>
      <c r="L596" s="13" t="inlineStr">
        <is>
          <t>IRAC Grupo 3A</t>
        </is>
      </c>
      <c r="M596" s="13" t="inlineStr">
        <is>
          <t>Moduladores de canais de sódio em membranas nervosas</t>
        </is>
      </c>
      <c r="N596" s="13" t="inlineStr">
        <is>
          <t>Categoria 3 — Produto Moderadamente Tóxico</t>
        </is>
      </c>
      <c r="O596" s="13" t="inlineStr">
        <is>
          <t>Amarelo PMS Yellow C</t>
        </is>
      </c>
      <c r="P596" s="13" t="inlineStr">
        <is>
          <t>Classe II — Produto Muito Perigoso ao Meio Ambiente</t>
        </is>
      </c>
      <c r="Q596" s="15" t="n">
        <v>24</v>
      </c>
      <c r="R596" s="13" t="inlineStr">
        <is>
          <t>Terrestre / Aérea (Drones consultar bula)</t>
        </is>
      </c>
      <c r="S596" s="13" t="inlineStr">
        <is>
          <t>Sem antídoto específico; anti-histamínicos e vitamina E tópica para parestesia</t>
        </is>
      </c>
      <c r="T596" s="13" t="inlineStr">
        <is>
          <t>UPL DO BRASIL INDÚSTRIA E COMÉRCIO DE INSUMOS AGROPECUÁRIOS S.A.</t>
        </is>
      </c>
      <c r="U596" s="16">
        <f>HYPERLINK("https://www.adapar.pr.gov.br/system/files/publico/Agrotoxicos/lista.pdf", "Registro Oficial Sperto 500 WG (UPL - MAPA 14617)")</f>
        <v/>
      </c>
    </row>
    <row r="597" ht="22" customHeight="1">
      <c r="A597" s="5" t="n">
        <v>592</v>
      </c>
      <c r="B597" s="6" t="inlineStr">
        <is>
          <t>SIPEAGRO (UF-XXXXX)</t>
        </is>
      </c>
      <c r="C597" s="7" t="inlineStr">
        <is>
          <t>NITROBASE 30 1X20L</t>
        </is>
      </c>
      <c r="D597" s="8" t="inlineStr">
        <is>
          <t>NITROBASE 30</t>
        </is>
      </c>
      <c r="E597" s="7" t="inlineStr">
        <is>
          <t>Fertilizante Mineral / Organomineral</t>
        </is>
      </c>
      <c r="F597" s="7" t="inlineStr">
        <is>
          <t>Fertilizantes</t>
        </is>
      </c>
      <c r="G597" s="7" t="inlineStr">
        <is>
          <t>Fertilizante Organomineral / Bioestimulante</t>
        </is>
      </c>
      <c r="H597" s="7" t="inlineStr">
        <is>
          <t>SL</t>
        </is>
      </c>
      <c r="I597" s="7" t="inlineStr">
        <is>
          <t>Solução / Suspensão Concentrada Foliar (Fluido)</t>
        </is>
      </c>
      <c r="J597" s="7" t="inlineStr">
        <is>
          <t>Aplicação via solo, fertirrigação ou adubação foliar</t>
        </is>
      </c>
      <c r="K597" s="7" t="inlineStr">
        <is>
          <t>Fertilizante Mineral / Organomineral (Lei nº 6.894/1980)</t>
        </is>
      </c>
      <c r="L597" s="7" t="inlineStr">
        <is>
          <t>Nutrição Vegetal SIPEAGRO</t>
        </is>
      </c>
      <c r="M597" s="7" t="inlineStr">
        <is>
          <t>Fornecimento de macro e micronutrientes essenciais ao metabolismo vegetal</t>
        </is>
      </c>
      <c r="N597" s="7" t="inlineStr">
        <is>
          <t>Isento ANVISA (Produto Fertilizante Registrado no SIPEAGRO/MAPA)</t>
        </is>
      </c>
      <c r="O597" s="7" t="inlineStr">
        <is>
          <t>Não Aplicável (Fertilizante)</t>
        </is>
      </c>
      <c r="P597" s="7" t="inlineStr">
        <is>
          <t>Baixo Potencial Poluidor (Uso conforme recomendação agronômica)</t>
        </is>
      </c>
      <c r="Q597" s="9" t="n">
        <v>0</v>
      </c>
      <c r="R597" s="7" t="inlineStr">
        <is>
          <t>Aplicação Dirigida / TS / Solo</t>
        </is>
      </c>
      <c r="S597" s="7" t="inlineStr">
        <is>
          <t>Tratamento sintomático em caso de ingestão acidental</t>
        </is>
      </c>
      <c r="T597" s="7" t="inlineStr">
        <is>
          <t>Estabelecimento Produtor SIPEAGRO/MAPA</t>
        </is>
      </c>
      <c r="U597" s="10">
        <f>HYPERLINK("https://www.gov.br/agricultura/pt-br/assuntos/insumos-agropecuarios/insumos-agricolas/fertilizantes", "Portal SIPEAGRO / MAPA — Fertilizantes e Bioinsumos")</f>
        <v/>
      </c>
    </row>
    <row r="598" ht="22" customHeight="1">
      <c r="A598" s="11" t="n">
        <v>593</v>
      </c>
      <c r="B598" s="12" t="inlineStr">
        <is>
          <t>Nº 18817</t>
        </is>
      </c>
      <c r="C598" s="13" t="inlineStr">
        <is>
          <t>VERISMO 4X5L</t>
        </is>
      </c>
      <c r="D598" s="14" t="inlineStr">
        <is>
          <t>VERISMO</t>
        </is>
      </c>
      <c r="E598" s="13" t="inlineStr">
        <is>
          <t>Produto Formulado Comercial</t>
        </is>
      </c>
      <c r="F598" s="13" t="inlineStr">
        <is>
          <t>Defensivos</t>
        </is>
      </c>
      <c r="G598" s="13" t="inlineStr">
        <is>
          <t>Inseticida</t>
        </is>
      </c>
      <c r="H598" s="13" t="inlineStr">
        <is>
          <t>SC</t>
        </is>
      </c>
      <c r="I598" s="13" t="inlineStr">
        <is>
          <t>Suspensão Concentrada (SC)</t>
        </is>
      </c>
      <c r="J598" s="13" t="inlineStr">
        <is>
          <t>Inseticida/acaricida de contato e ingestão</t>
        </is>
      </c>
      <c r="K598" s="13" t="inlineStr">
        <is>
          <t>Semicarbazona</t>
        </is>
      </c>
      <c r="L598" s="13" t="inlineStr">
        <is>
          <t>IRAC Grupo 22B</t>
        </is>
      </c>
      <c r="M598" s="13" t="inlineStr">
        <is>
          <t>Bloqueadores de canais de sódio dependentes de voltagem</t>
        </is>
      </c>
      <c r="N598" s="13" t="inlineStr">
        <is>
          <t>Categoria 3 / 4 — Moderadamente a Pouco Tóxico</t>
        </is>
      </c>
      <c r="O598" s="13" t="inlineStr">
        <is>
          <t>Amarelo / Azul</t>
        </is>
      </c>
      <c r="P598" s="13" t="inlineStr">
        <is>
          <t>Classe II — Produto Muito Perigoso ao Meio Ambiente</t>
        </is>
      </c>
      <c r="Q598" s="15" t="n">
        <v>24</v>
      </c>
      <c r="R598" s="13" t="inlineStr">
        <is>
          <t>Terrestre / Aérea (Drones consultar bula)</t>
        </is>
      </c>
      <c r="S598" s="13" t="inlineStr">
        <is>
          <t>Tratamento sintomático conforme grupo químico na bula</t>
        </is>
      </c>
      <c r="T598" s="13" t="inlineStr">
        <is>
          <t>BASF S.A.</t>
        </is>
      </c>
      <c r="U598" s="16">
        <f>HYPERLINK("https://www.agrolink.com.br/agrolinkfito/produto/verismo_10404.html", "Bula Oficial Verismo 240 SC (BASF - MAPA 18817)")</f>
        <v/>
      </c>
    </row>
    <row r="599" ht="22" customHeight="1">
      <c r="A599" s="5" t="n">
        <v>594</v>
      </c>
      <c r="B599" s="6" t="inlineStr">
        <is>
          <t>SIPEAGRO (UF-XXXXX)</t>
        </is>
      </c>
      <c r="C599" s="7" t="inlineStr">
        <is>
          <t>INOCULANTE GRAP NOD AL 1,5L</t>
        </is>
      </c>
      <c r="D599" s="8" t="inlineStr">
        <is>
          <t>INOCULANTE GRAP NOD AL 1,5L</t>
        </is>
      </c>
      <c r="E599" s="7" t="inlineStr">
        <is>
          <t>Inoculante / Biológico</t>
        </is>
      </c>
      <c r="F599" s="7" t="inlineStr">
        <is>
          <t>Inoculantes e Biológicos</t>
        </is>
      </c>
      <c r="G599" s="7" t="inlineStr">
        <is>
          <t>Inoculante Fixador de Nitrogênio</t>
        </is>
      </c>
      <c r="H599" s="7" t="inlineStr">
        <is>
          <t>Líquido</t>
        </is>
      </c>
      <c r="I599" s="7" t="inlineStr">
        <is>
          <t>Formulação Padrão (Líquido / Turfoso)</t>
        </is>
      </c>
      <c r="J599" s="7" t="inlineStr">
        <is>
          <t>Inoculante líquido/turfoso para tratamento de sementes e sulco</t>
        </is>
      </c>
      <c r="K599" s="7" t="inlineStr">
        <is>
          <t>Bactéria Diazotrófica Fixadora de Nitrogênio e Promotora de Crescimento</t>
        </is>
      </c>
      <c r="L599" s="7" t="inlineStr">
        <is>
          <t>Inoculante Biológico — Lei nº 6.894/1980</t>
        </is>
      </c>
      <c r="M599" s="7" t="inlineStr">
        <is>
          <t>Fixação biológica de N2 atmosférico e síntese de fitormônios (AIA)</t>
        </is>
      </c>
      <c r="N599" s="7" t="inlineStr">
        <is>
          <t>Isento (Inoculante Biológico SIPEAGRO)</t>
        </is>
      </c>
      <c r="O599" s="7" t="inlineStr">
        <is>
          <t>Não Aplicável (Inoculante)</t>
        </is>
      </c>
      <c r="P599" s="7" t="inlineStr">
        <is>
          <t>Classe IV — Produto Pouco Perigoso ao Meio Ambiente</t>
        </is>
      </c>
      <c r="Q599" s="9" t="n">
        <v>0</v>
      </c>
      <c r="R599" s="7" t="inlineStr">
        <is>
          <t>Aplicação Dirigida / TS / Solo</t>
        </is>
      </c>
      <c r="S599" s="7" t="inlineStr">
        <is>
          <t>Não aplicável (Inoculante biológico não tóxico)</t>
        </is>
      </c>
      <c r="T599" s="7" t="inlineStr">
        <is>
          <t>Estabelecimento Produtor SIPEAGRO/MAPA</t>
        </is>
      </c>
      <c r="U599" s="10">
        <f>HYPERLINK("https://www.gov.br/agricultura/pt-br/assuntos/insumos-agropecuarios/insumos-agricolas/fertilizantes", "Portal SIPEAGRO / MAPA — Fertilizantes e Bioinsumos")</f>
        <v/>
      </c>
    </row>
    <row r="600" ht="22" customHeight="1">
      <c r="A600" s="11" t="n">
        <v>595</v>
      </c>
      <c r="B600" s="12" t="inlineStr">
        <is>
          <t>Nº 0322</t>
        </is>
      </c>
      <c r="C600" s="13" t="inlineStr">
        <is>
          <t>DORAI MAX 1X20L</t>
        </is>
      </c>
      <c r="D600" s="14" t="inlineStr">
        <is>
          <t>DORAI MAX</t>
        </is>
      </c>
      <c r="E600" s="13" t="inlineStr">
        <is>
          <t>Produto Formulado Comercial</t>
        </is>
      </c>
      <c r="F600" s="13" t="inlineStr">
        <is>
          <t>Defensivos</t>
        </is>
      </c>
      <c r="G600" s="13" t="inlineStr">
        <is>
          <t>Herbicida Dessecante</t>
        </is>
      </c>
      <c r="H600" s="13" t="inlineStr">
        <is>
          <t>SL</t>
        </is>
      </c>
      <c r="I600" s="13" t="inlineStr">
        <is>
          <t>Concentrado Solúvel (SL)</t>
        </is>
      </c>
      <c r="J600" s="13" t="inlineStr">
        <is>
          <t>Herbicida dessecante não seletivo de contato e ação rápida</t>
        </is>
      </c>
      <c r="K600" s="13" t="inlineStr">
        <is>
          <t>Bipiridílio</t>
        </is>
      </c>
      <c r="L600" s="13" t="inlineStr">
        <is>
          <t>HRAC Grupo D (22) — Desviadores de Elétrons do Fotossistema I</t>
        </is>
      </c>
      <c r="M600" s="13" t="inlineStr">
        <is>
          <t>Inibidores do Fotossistema I (geração de radicais livres peróxidos)</t>
        </is>
      </c>
      <c r="N600" s="13" t="inlineStr">
        <is>
          <t>Categoria 3 — Produto Moderadamente Tóxico</t>
        </is>
      </c>
      <c r="O600" s="13" t="inlineStr">
        <is>
          <t>Amarelo PMS Yellow C</t>
        </is>
      </c>
      <c r="P600" s="13" t="inlineStr">
        <is>
          <t>Classe II — Produto Muito Perigoso ao Meio Ambiente</t>
        </is>
      </c>
      <c r="Q600" s="15" t="n">
        <v>24</v>
      </c>
      <c r="R600" s="13" t="inlineStr">
        <is>
          <t>Terrestre / Aérea (Drones consultar bula)</t>
        </is>
      </c>
      <c r="S600" s="13" t="inlineStr">
        <is>
          <t>Sem antídoto específico; terra de Fuller / bentonita / carvão ativado na descontaminação gástrica</t>
        </is>
      </c>
      <c r="T600" s="13" t="inlineStr">
        <is>
          <t>Rainbow / Sino-Agri</t>
        </is>
      </c>
      <c r="U600" s="16">
        <f>HYPERLINK("https://agrofit.agricultura.gov.br/agrofit_cons/principal_agrofit_cons", "Consulta Oficial AGROFIT/MAPA (Nº 0322)")</f>
        <v/>
      </c>
    </row>
    <row r="601" ht="22" customHeight="1">
      <c r="A601" s="5" t="n">
        <v>596</v>
      </c>
      <c r="B601" s="6" t="inlineStr">
        <is>
          <t>Nº 1192</t>
        </is>
      </c>
      <c r="C601" s="7" t="inlineStr">
        <is>
          <t>BULLDOCK 125SC 1X1L</t>
        </is>
      </c>
      <c r="D601" s="8" t="inlineStr">
        <is>
          <t>BULLDOCK</t>
        </is>
      </c>
      <c r="E601" s="7" t="inlineStr">
        <is>
          <t>Produto Formulado Comercial</t>
        </is>
      </c>
      <c r="F601" s="7" t="inlineStr">
        <is>
          <t>Defensivos</t>
        </is>
      </c>
      <c r="G601" s="7" t="inlineStr">
        <is>
          <t>Inseticida</t>
        </is>
      </c>
      <c r="H601" s="7" t="inlineStr">
        <is>
          <t>SC</t>
        </is>
      </c>
      <c r="I601" s="7" t="inlineStr">
        <is>
          <t>SC - Suspensão Concentrada</t>
        </is>
      </c>
      <c r="J601" s="7" t="inlineStr">
        <is>
          <t>Inseticida/acaricida de contato e ingestão</t>
        </is>
      </c>
      <c r="K601" s="7" t="inlineStr">
        <is>
          <t>Piretroide (Tipo II)</t>
        </is>
      </c>
      <c r="L601" s="7" t="inlineStr">
        <is>
          <t>IRAC Grupo 3A</t>
        </is>
      </c>
      <c r="M601" s="7" t="inlineStr">
        <is>
          <t>Moduladores de canais de sódio em membranas nervosas</t>
        </is>
      </c>
      <c r="N601" s="7" t="inlineStr">
        <is>
          <t>Categoria 4: Produto Pouco Tóxico</t>
        </is>
      </c>
      <c r="O601" s="7" t="inlineStr">
        <is>
          <t>Azul</t>
        </is>
      </c>
      <c r="P601" s="7" t="inlineStr">
        <is>
          <t>Classe II — Produto Muito Perigoso ao Meio Ambiente</t>
        </is>
      </c>
      <c r="Q601" s="9" t="n">
        <v>24</v>
      </c>
      <c r="R601" s="7" t="inlineStr">
        <is>
          <t>Terrestre / Aérea (Drones consultar bula)</t>
        </is>
      </c>
      <c r="S601" s="7" t="inlineStr">
        <is>
          <t>Tratamento sintomático conforme grupo químico na bula</t>
        </is>
      </c>
      <c r="T601" s="7" t="inlineStr">
        <is>
          <t>Bayer S.A.</t>
        </is>
      </c>
      <c r="U601" s="10">
        <f>HYPERLINK("https://agrofit.agricultura.gov.br/agrofit_cons/principal_agrofit_cons", "Consulta Oficial AGROFIT/MAPA (Nº 1192)")</f>
        <v/>
      </c>
    </row>
    <row r="602" ht="22" customHeight="1">
      <c r="A602" s="11" t="n">
        <v>597</v>
      </c>
      <c r="B602" s="12" t="inlineStr">
        <is>
          <t>Nº 21720</t>
        </is>
      </c>
      <c r="C602" s="13" t="inlineStr">
        <is>
          <t>MEGATRAZ 1X20L</t>
        </is>
      </c>
      <c r="D602" s="14" t="inlineStr">
        <is>
          <t>MEGATRAZ</t>
        </is>
      </c>
      <c r="E602" s="13" t="inlineStr">
        <is>
          <t>Produto Formulado Comercial</t>
        </is>
      </c>
      <c r="F602" s="13" t="inlineStr">
        <is>
          <t>Defensivos</t>
        </is>
      </c>
      <c r="G602" s="13" t="inlineStr">
        <is>
          <t>Herbicida</t>
        </is>
      </c>
      <c r="H602" s="13" t="inlineStr">
        <is>
          <t>SC</t>
        </is>
      </c>
      <c r="I602" s="13" t="inlineStr">
        <is>
          <t>Suspensão Concentrada (SC)</t>
        </is>
      </c>
      <c r="J602" s="13" t="inlineStr">
        <is>
          <t>Herbicida seletivo sistêmico de pré e pós-emergência precoce</t>
        </is>
      </c>
      <c r="K602" s="13" t="inlineStr">
        <is>
          <t>Triazina</t>
        </is>
      </c>
      <c r="L602" s="13" t="inlineStr">
        <is>
          <t>HRAC Grupo C1 (5) — Inibidores do Fotossistema II</t>
        </is>
      </c>
      <c r="M602" s="13" t="inlineStr">
        <is>
          <t>Inibição do transporte de elétrons no Fotossistema II (sítio Serina 264)</t>
        </is>
      </c>
      <c r="N602" s="13" t="inlineStr">
        <is>
          <t>Categoria 4 / 5 — Pouco Tóxico</t>
        </is>
      </c>
      <c r="O602" s="13" t="inlineStr">
        <is>
          <t>Azul Intenso</t>
        </is>
      </c>
      <c r="P602" s="13" t="inlineStr">
        <is>
          <t>Classe II — Produto Muito Perigoso ao Meio Ambiente</t>
        </is>
      </c>
      <c r="Q602" s="15" t="n">
        <v>24</v>
      </c>
      <c r="R602" s="13" t="inlineStr">
        <is>
          <t>Terrestre / Aérea (Drones consultar bula)</t>
        </is>
      </c>
      <c r="S602" s="13" t="inlineStr">
        <is>
          <t>Sem antídoto específico; tratamento sintomático</t>
        </is>
      </c>
      <c r="T602" s="13" t="inlineStr">
        <is>
          <t>ALBAUGH AGRO BRASIL LTDA.</t>
        </is>
      </c>
      <c r="U602" s="16">
        <f>HYPERLINK("https://www.adapar.pr.gov.br/Pagina/Agrotoxicos-Herbicidas", "Registro Oficial Megatraz 500 SC (MAPA 21720)")</f>
        <v/>
      </c>
    </row>
    <row r="603" ht="22" customHeight="1">
      <c r="A603" s="5" t="n">
        <v>598</v>
      </c>
      <c r="B603" s="6" t="inlineStr">
        <is>
          <t>SIPEAGRO (UF-XXXXX)</t>
        </is>
      </c>
      <c r="C603" s="7" t="inlineStr">
        <is>
          <t>GRUN OBER 1X20L</t>
        </is>
      </c>
      <c r="D603" s="8" t="inlineStr">
        <is>
          <t>GRUN OBER</t>
        </is>
      </c>
      <c r="E603" s="7" t="inlineStr">
        <is>
          <t>Fertilizante Mineral / Organomineral</t>
        </is>
      </c>
      <c r="F603" s="7" t="inlineStr">
        <is>
          <t>Fertilizantes</t>
        </is>
      </c>
      <c r="G603" s="7" t="inlineStr">
        <is>
          <t>Fertilizante Mineral Simples (Nitrogenado)</t>
        </is>
      </c>
      <c r="H603" s="7" t="inlineStr">
        <is>
          <t>SL</t>
        </is>
      </c>
      <c r="I603" s="7" t="inlineStr">
        <is>
          <t>Solução / Suspensão Concentrada Foliar (Fluido)</t>
        </is>
      </c>
      <c r="J603" s="7" t="inlineStr">
        <is>
          <t>Aplicação via solo, fertirrigação ou adubação foliar</t>
        </is>
      </c>
      <c r="K603" s="7" t="inlineStr">
        <is>
          <t>Fertilizante Mineral / Organomineral (Lei nº 6.894/1980)</t>
        </is>
      </c>
      <c r="L603" s="7" t="inlineStr">
        <is>
          <t>Nutrição Vegetal SIPEAGRO</t>
        </is>
      </c>
      <c r="M603" s="7" t="inlineStr">
        <is>
          <t>Fornecimento de macro e micronutrientes essenciais ao metabolismo vegetal</t>
        </is>
      </c>
      <c r="N603" s="7" t="inlineStr">
        <is>
          <t>Isento ANVISA (Produto Fertilizante Registrado no SIPEAGRO/MAPA)</t>
        </is>
      </c>
      <c r="O603" s="7" t="inlineStr">
        <is>
          <t>Não Aplicável (Fertilizante)</t>
        </is>
      </c>
      <c r="P603" s="7" t="inlineStr">
        <is>
          <t>Baixo Potencial Poluidor (Uso conforme recomendação agronômica)</t>
        </is>
      </c>
      <c r="Q603" s="9" t="n">
        <v>0</v>
      </c>
      <c r="R603" s="7" t="inlineStr">
        <is>
          <t>Aplicação Dirigida / TS / Solo</t>
        </is>
      </c>
      <c r="S603" s="7" t="inlineStr">
        <is>
          <t>Tratamento sintomático em caso de ingestão acidental</t>
        </is>
      </c>
      <c r="T603" s="7" t="inlineStr">
        <is>
          <t>Estabelecimento Produtor SIPEAGRO/MAPA</t>
        </is>
      </c>
      <c r="U603" s="10">
        <f>HYPERLINK("https://www.gov.br/agricultura/pt-br/assuntos/insumos-agropecuarios/insumos-agricolas/fertilizantes", "Portal SIPEAGRO / MAPA — Fertilizantes e Bioinsumos")</f>
        <v/>
      </c>
    </row>
    <row r="604" ht="22" customHeight="1">
      <c r="A604" s="11" t="n">
        <v>599</v>
      </c>
      <c r="B604" s="12" t="inlineStr">
        <is>
          <t>Nº 8017</t>
        </is>
      </c>
      <c r="C604" s="13" t="inlineStr">
        <is>
          <t>BOLD 4X5L</t>
        </is>
      </c>
      <c r="D604" s="14" t="inlineStr">
        <is>
          <t>BOLD</t>
        </is>
      </c>
      <c r="E604" s="13" t="inlineStr">
        <is>
          <t>Produto Formulado Comercial</t>
        </is>
      </c>
      <c r="F604" s="13" t="inlineStr">
        <is>
          <t>Defensivos</t>
        </is>
      </c>
      <c r="G604" s="13" t="inlineStr">
        <is>
          <t>Inseticida</t>
        </is>
      </c>
      <c r="H604" s="13" t="inlineStr">
        <is>
          <t>EW</t>
        </is>
      </c>
      <c r="I604" s="13" t="inlineStr">
        <is>
          <t>EW - Emulsão de Óleo em Água</t>
        </is>
      </c>
      <c r="J604" s="13" t="inlineStr">
        <is>
          <t>Inseticida sistêmico de contato, ingestão e ação translaminar</t>
        </is>
      </c>
      <c r="K604" s="13" t="inlineStr">
        <is>
          <t>Neonicotinoide</t>
        </is>
      </c>
      <c r="L604" s="13" t="inlineStr">
        <is>
          <t>IRAC Grupo 4A</t>
        </is>
      </c>
      <c r="M604" s="13" t="inlineStr">
        <is>
          <t>Moduladores competitivos de receptores nicotínicos da acetilcolina (nAChR)</t>
        </is>
      </c>
      <c r="N604" s="13" t="inlineStr">
        <is>
          <t>Categoria 3: Produto Moderadamente Tóxico</t>
        </is>
      </c>
      <c r="O604" s="13" t="inlineStr">
        <is>
          <t>Amarelo</t>
        </is>
      </c>
      <c r="P604" s="13" t="inlineStr">
        <is>
          <t>Classe II — Produto Muito Perigoso ao Meio Ambiente</t>
        </is>
      </c>
      <c r="Q604" s="15" t="n">
        <v>24</v>
      </c>
      <c r="R604" s="13" t="inlineStr">
        <is>
          <t>Terrestre / Aérea (Drones consultar bula)</t>
        </is>
      </c>
      <c r="S604" s="13" t="inlineStr">
        <is>
          <t>Sem antídoto específico; tratamento sintomático</t>
        </is>
      </c>
      <c r="T604" s="13" t="inlineStr">
        <is>
          <t>IHARABRAS S.A. INDUSTRIAS QUIMICA</t>
        </is>
      </c>
      <c r="U604" s="16">
        <f>HYPERLINK("https://agrofit.agricultura.gov.br/agrofit_cons/principal_agrofit_cons", "Consulta Oficial AGROFIT/MAPA (Nº 8017)")</f>
        <v/>
      </c>
    </row>
    <row r="605" ht="22" customHeight="1">
      <c r="A605" s="5" t="n">
        <v>600</v>
      </c>
      <c r="B605" s="6" t="inlineStr">
        <is>
          <t>SIPEAGRO (UF-XXXXX)</t>
        </is>
      </c>
      <c r="C605" s="7" t="inlineStr">
        <is>
          <t>KALIUM 1X20L</t>
        </is>
      </c>
      <c r="D605" s="8" t="inlineStr">
        <is>
          <t>KALIUM</t>
        </is>
      </c>
      <c r="E605" s="7" t="inlineStr">
        <is>
          <t>Fertilizante Mineral / Organomineral</t>
        </is>
      </c>
      <c r="F605" s="7" t="inlineStr">
        <is>
          <t>Fertilizantes</t>
        </is>
      </c>
      <c r="G605" s="7" t="inlineStr">
        <is>
          <t>Fertilizante Mineral Simples (Potássico / Magnesiano)</t>
        </is>
      </c>
      <c r="H605" s="7" t="inlineStr">
        <is>
          <t>SL</t>
        </is>
      </c>
      <c r="I605" s="7" t="inlineStr">
        <is>
          <t>Solução / Suspensão Concentrada Foliar (Fluido)</t>
        </is>
      </c>
      <c r="J605" s="7" t="inlineStr">
        <is>
          <t>Aplicação via solo, fertirrigação ou adubação foliar</t>
        </is>
      </c>
      <c r="K605" s="7" t="inlineStr">
        <is>
          <t>Fertilizante Mineral / Organomineral (Lei nº 6.894/1980)</t>
        </is>
      </c>
      <c r="L605" s="7" t="inlineStr">
        <is>
          <t>Nutrição Vegetal SIPEAGRO</t>
        </is>
      </c>
      <c r="M605" s="7" t="inlineStr">
        <is>
          <t>Fornecimento de macro e micronutrientes essenciais ao metabolismo vegetal</t>
        </is>
      </c>
      <c r="N605" s="7" t="inlineStr">
        <is>
          <t>Isento ANVISA (Produto Fertilizante Registrado no SIPEAGRO/MAPA)</t>
        </is>
      </c>
      <c r="O605" s="7" t="inlineStr">
        <is>
          <t>Não Aplicável (Fertilizante)</t>
        </is>
      </c>
      <c r="P605" s="7" t="inlineStr">
        <is>
          <t>Baixo Potencial Poluidor (Uso conforme recomendação agronômica)</t>
        </is>
      </c>
      <c r="Q605" s="9" t="n">
        <v>0</v>
      </c>
      <c r="R605" s="7" t="inlineStr">
        <is>
          <t>Aplicação Dirigida / TS / Solo</t>
        </is>
      </c>
      <c r="S605" s="7" t="inlineStr">
        <is>
          <t>Tratamento sintomático em caso de ingestão acidental</t>
        </is>
      </c>
      <c r="T605" s="7" t="inlineStr">
        <is>
          <t>Estabelecimento Produtor SIPEAGRO/MAPA</t>
        </is>
      </c>
      <c r="U605" s="10">
        <f>HYPERLINK("https://www.gov.br/agricultura/pt-br/assuntos/insumos-agropecuarios/insumos-agricolas/fertilizantes", "Portal SIPEAGRO / MAPA — Fertilizantes e Bioinsumos")</f>
        <v/>
      </c>
    </row>
    <row r="606" ht="22" customHeight="1">
      <c r="A606" s="11" t="n">
        <v>601</v>
      </c>
      <c r="B606" s="12" t="inlineStr">
        <is>
          <t>Nº 26220</t>
        </is>
      </c>
      <c r="C606" s="13" t="inlineStr">
        <is>
          <t>VIVANTHA 4X5KG</t>
        </is>
      </c>
      <c r="D606" s="14" t="inlineStr">
        <is>
          <t>VIVANTHA</t>
        </is>
      </c>
      <c r="E606" s="13" t="inlineStr">
        <is>
          <t>Produto Formulado Comercial</t>
        </is>
      </c>
      <c r="F606" s="13" t="inlineStr">
        <is>
          <t>Defensivos</t>
        </is>
      </c>
      <c r="G606" s="13" t="inlineStr">
        <is>
          <t>Inseticida</t>
        </is>
      </c>
      <c r="H606" s="13" t="inlineStr">
        <is>
          <t>WG</t>
        </is>
      </c>
      <c r="I606" s="13" t="inlineStr">
        <is>
          <t>Grânulos Dispersíveis em Água (WG)</t>
        </is>
      </c>
      <c r="J606" s="13" t="inlineStr">
        <is>
          <t>Inseticida/acaricida de contato e ingestão</t>
        </is>
      </c>
      <c r="K606" s="13" t="inlineStr">
        <is>
          <t>Neonicotinoide (Tianicotinil)</t>
        </is>
      </c>
      <c r="L606" s="13" t="inlineStr">
        <is>
          <t>IRAC Grupo 4A</t>
        </is>
      </c>
      <c r="M606" s="13" t="inlineStr">
        <is>
          <t>Moduladores competitivos dos receptores nicotínicos da acetilcolina (nAChR)</t>
        </is>
      </c>
      <c r="N606" s="13" t="inlineStr">
        <is>
          <t>Categoria 3 / 4 — Moderadamente a Pouco Tóxico</t>
        </is>
      </c>
      <c r="O606" s="13" t="inlineStr">
        <is>
          <t>Amarelo / Azul</t>
        </is>
      </c>
      <c r="P606" s="13" t="inlineStr">
        <is>
          <t>Classe II — Produto Muito Perigoso ao Meio Ambiente</t>
        </is>
      </c>
      <c r="Q606" s="15" t="n">
        <v>24</v>
      </c>
      <c r="R606" s="13" t="inlineStr">
        <is>
          <t>Terrestre / Aérea (Drones consultar bula)</t>
        </is>
      </c>
      <c r="S606" s="13" t="inlineStr">
        <is>
          <t>Tratamento sintomático conforme grupo químico na bula</t>
        </is>
      </c>
      <c r="T606" s="13" t="inlineStr">
        <is>
          <t>SYNGENTA PROTEÇÃO DE CULTIVOS LTDA.</t>
        </is>
      </c>
      <c r="U606" s="16">
        <f>HYPERLINK("https://www.adapar.pr.gov.br/system/files/publico/Agrotoxicos/lista.pdf", "Registro Oficial Vivantha 500 WG (MAPA 26220)")</f>
        <v/>
      </c>
    </row>
    <row r="607" ht="22" customHeight="1">
      <c r="A607" s="5" t="n">
        <v>602</v>
      </c>
      <c r="B607" s="6" t="inlineStr">
        <is>
          <t>SIPEAGRO (UF-XXXXX)</t>
        </is>
      </c>
      <c r="C607" s="7" t="inlineStr">
        <is>
          <t>MAP - FOSFATO MONOAMONICO CRISTAL 1X25KG</t>
        </is>
      </c>
      <c r="D607" s="8" t="inlineStr">
        <is>
          <t>MAP - FOSFATO MONOAMONICO CRISTAL</t>
        </is>
      </c>
      <c r="E607" s="7" t="inlineStr">
        <is>
          <t>Fertilizante Mineral / Organomineral</t>
        </is>
      </c>
      <c r="F607" s="7" t="inlineStr">
        <is>
          <t>Fertilizantes</t>
        </is>
      </c>
      <c r="G607" s="7" t="inlineStr">
        <is>
          <t>Fertilizante Complexo (MAP — Fosfato Monoamônico)</t>
        </is>
      </c>
      <c r="H607" s="7" t="inlineStr">
        <is>
          <t>Granulado</t>
        </is>
      </c>
      <c r="I607" s="7" t="inlineStr">
        <is>
          <t>Formulação Padrão (Granulado / Solúvel / Suspensão)</t>
        </is>
      </c>
      <c r="J607" s="7" t="inlineStr">
        <is>
          <t>Aplicação via solo, fertirrigação ou adubação foliar</t>
        </is>
      </c>
      <c r="K607" s="7" t="inlineStr">
        <is>
          <t>Fertilizante Mineral / Organomineral (Lei nº 6.894/1980)</t>
        </is>
      </c>
      <c r="L607" s="7" t="inlineStr">
        <is>
          <t>Nutrição Vegetal SIPEAGRO</t>
        </is>
      </c>
      <c r="M607" s="7" t="inlineStr">
        <is>
          <t>Fornecimento de macro e micronutrientes essenciais ao metabolismo vegetal</t>
        </is>
      </c>
      <c r="N607" s="7" t="inlineStr">
        <is>
          <t>Isento ANVISA (Produto Fertilizante Registrado no SIPEAGRO/MAPA)</t>
        </is>
      </c>
      <c r="O607" s="7" t="inlineStr">
        <is>
          <t>Não Aplicável (Fertilizante)</t>
        </is>
      </c>
      <c r="P607" s="7" t="inlineStr">
        <is>
          <t>Baixo Potencial Poluidor (Uso conforme recomendação agronômica)</t>
        </is>
      </c>
      <c r="Q607" s="9" t="n">
        <v>0</v>
      </c>
      <c r="R607" s="7" t="inlineStr">
        <is>
          <t>Aplicação Dirigida / TS / Solo</t>
        </is>
      </c>
      <c r="S607" s="7" t="inlineStr">
        <is>
          <t>Tratamento sintomático em caso de ingestão acidental</t>
        </is>
      </c>
      <c r="T607" s="7" t="inlineStr">
        <is>
          <t>Estabelecimento Produtor SIPEAGRO/MAPA</t>
        </is>
      </c>
      <c r="U607" s="10">
        <f>HYPERLINK("https://www.gov.br/agricultura/pt-br/assuntos/insumos-agropecuarios/insumos-agricolas/fertilizantes", "Portal SIPEAGRO / MAPA — Fertilizantes e Bioinsumos")</f>
        <v/>
      </c>
    </row>
    <row r="608" ht="22" customHeight="1">
      <c r="A608" s="11" t="n">
        <v>603</v>
      </c>
      <c r="B608" s="12" t="inlineStr">
        <is>
          <t>Nº 2509</t>
        </is>
      </c>
      <c r="C608" s="13" t="inlineStr">
        <is>
          <t>BELT 4X5L</t>
        </is>
      </c>
      <c r="D608" s="14" t="inlineStr">
        <is>
          <t>BELT</t>
        </is>
      </c>
      <c r="E608" s="13" t="inlineStr">
        <is>
          <t>Produto Formulado Comercial</t>
        </is>
      </c>
      <c r="F608" s="13" t="inlineStr">
        <is>
          <t>Defensivos</t>
        </is>
      </c>
      <c r="G608" s="13" t="inlineStr">
        <is>
          <t>Inseticida</t>
        </is>
      </c>
      <c r="H608" s="13" t="inlineStr">
        <is>
          <t>SC</t>
        </is>
      </c>
      <c r="I608" s="13" t="inlineStr">
        <is>
          <t>SC - Suspensão Concentrada</t>
        </is>
      </c>
      <c r="J608" s="13" t="inlineStr">
        <is>
          <t>Inseticida/acaricida de contato e ingestão</t>
        </is>
      </c>
      <c r="K608" s="13" t="inlineStr">
        <is>
          <t>Diamida do Ácido Ftálico</t>
        </is>
      </c>
      <c r="L608" s="13" t="inlineStr">
        <is>
          <t>IRAC Grupo 28</t>
        </is>
      </c>
      <c r="M608" s="13" t="inlineStr">
        <is>
          <t>Moduladores dos receptores de rianodina (RyR)</t>
        </is>
      </c>
      <c r="N608" s="13" t="inlineStr">
        <is>
          <t>Não Classificado - Produto Não Classificado</t>
        </is>
      </c>
      <c r="O608" s="13" t="inlineStr">
        <is>
          <t>Azul</t>
        </is>
      </c>
      <c r="P608" s="13" t="inlineStr">
        <is>
          <t>Classe II — Produto Muito Perigoso ao Meio Ambiente</t>
        </is>
      </c>
      <c r="Q608" s="15" t="n">
        <v>24</v>
      </c>
      <c r="R608" s="13" t="inlineStr">
        <is>
          <t>Terrestre / Aérea (Drones consultar bula)</t>
        </is>
      </c>
      <c r="S608" s="13" t="inlineStr">
        <is>
          <t>Tratamento sintomático conforme grupo químico na bula</t>
        </is>
      </c>
      <c r="T608" s="13" t="inlineStr">
        <is>
          <t>Bayer S.A.</t>
        </is>
      </c>
      <c r="U608" s="16">
        <f>HYPERLINK("https://agrofit.agricultura.gov.br/agrofit_cons/principal_agrofit_cons", "Consulta Oficial AGROFIT/MAPA (Nº 2509)")</f>
        <v/>
      </c>
    </row>
    <row r="609" ht="22" customHeight="1">
      <c r="A609" s="5" t="n">
        <v>604</v>
      </c>
      <c r="B609" s="6" t="inlineStr">
        <is>
          <t>SIPEAGRO (UF-XXXXX)</t>
        </is>
      </c>
      <c r="C609" s="7" t="inlineStr">
        <is>
          <t>BIOAZOS 1,5L</t>
        </is>
      </c>
      <c r="D609" s="8" t="inlineStr">
        <is>
          <t>BIOAZOS 1,5L</t>
        </is>
      </c>
      <c r="E609" s="7" t="inlineStr">
        <is>
          <t>Inoculante / Biológico</t>
        </is>
      </c>
      <c r="F609" s="7" t="inlineStr">
        <is>
          <t>Inoculantes e Biológicos</t>
        </is>
      </c>
      <c r="G609" s="7" t="inlineStr">
        <is>
          <t>Inoculante Fixador de Nitrogênio</t>
        </is>
      </c>
      <c r="H609" s="7" t="inlineStr">
        <is>
          <t>Líquido</t>
        </is>
      </c>
      <c r="I609" s="7" t="inlineStr">
        <is>
          <t>Formulação Padrão (Líquido / Turfoso)</t>
        </is>
      </c>
      <c r="J609" s="7" t="inlineStr">
        <is>
          <t>Inoculante líquido/turfoso para tratamento de sementes e sulco</t>
        </is>
      </c>
      <c r="K609" s="7" t="inlineStr">
        <is>
          <t>Bactéria Diazotrófica Fixadora de Nitrogênio e Promotora de Crescimento</t>
        </is>
      </c>
      <c r="L609" s="7" t="inlineStr">
        <is>
          <t>Inoculante Biológico — Lei nº 6.894/1980</t>
        </is>
      </c>
      <c r="M609" s="7" t="inlineStr">
        <is>
          <t>Fixação biológica de N2 atmosférico e síntese de fitormônios (AIA)</t>
        </is>
      </c>
      <c r="N609" s="7" t="inlineStr">
        <is>
          <t>Isento (Inoculante Biológico SIPEAGRO)</t>
        </is>
      </c>
      <c r="O609" s="7" t="inlineStr">
        <is>
          <t>Não Aplicável (Inoculante)</t>
        </is>
      </c>
      <c r="P609" s="7" t="inlineStr">
        <is>
          <t>Classe IV — Produto Pouco Perigoso ao Meio Ambiente</t>
        </is>
      </c>
      <c r="Q609" s="9" t="n">
        <v>0</v>
      </c>
      <c r="R609" s="7" t="inlineStr">
        <is>
          <t>Aplicação Dirigida / TS / Solo</t>
        </is>
      </c>
      <c r="S609" s="7" t="inlineStr">
        <is>
          <t>Não aplicável (Inoculante biológico não tóxico)</t>
        </is>
      </c>
      <c r="T609" s="7" t="inlineStr">
        <is>
          <t>Estabelecimento Produtor SIPEAGRO/MAPA</t>
        </is>
      </c>
      <c r="U609" s="10">
        <f>HYPERLINK("https://www.gov.br/agricultura/pt-br/assuntos/insumos-agropecuarios/insumos-agricolas/fertilizantes", "Portal SIPEAGRO / MAPA — Fertilizantes e Bioinsumos")</f>
        <v/>
      </c>
    </row>
    <row r="610" ht="22" customHeight="1">
      <c r="A610" s="11" t="n">
        <v>605</v>
      </c>
      <c r="B610" s="12" t="inlineStr">
        <is>
          <t>Nº 4899</t>
        </is>
      </c>
      <c r="C610" s="13" t="inlineStr">
        <is>
          <t>CERTERO SC 4X5L</t>
        </is>
      </c>
      <c r="D610" s="14" t="inlineStr">
        <is>
          <t>CERTERO SC</t>
        </is>
      </c>
      <c r="E610" s="13" t="inlineStr">
        <is>
          <t>Produto Formulado Comercial</t>
        </is>
      </c>
      <c r="F610" s="13" t="inlineStr">
        <is>
          <t>Defensivos</t>
        </is>
      </c>
      <c r="G610" s="13" t="inlineStr">
        <is>
          <t>Inseticida</t>
        </is>
      </c>
      <c r="H610" s="13" t="inlineStr">
        <is>
          <t>SC</t>
        </is>
      </c>
      <c r="I610" s="13" t="inlineStr">
        <is>
          <t>Suspensão Concentrada (SC)</t>
        </is>
      </c>
      <c r="J610" s="13" t="inlineStr">
        <is>
          <t>Inseticida/acaricida de contato e ingestão</t>
        </is>
      </c>
      <c r="K610" s="13" t="inlineStr">
        <is>
          <t>Benzoilureia</t>
        </is>
      </c>
      <c r="L610" s="13" t="inlineStr">
        <is>
          <t>IRAC Grupo 15</t>
        </is>
      </c>
      <c r="M610" s="13" t="inlineStr">
        <is>
          <t>Inibidores da biossíntese de quitina, Tipo 0</t>
        </is>
      </c>
      <c r="N610" s="13" t="inlineStr">
        <is>
          <t>Categoria 3 / 4 — Moderadamente a Pouco Tóxico</t>
        </is>
      </c>
      <c r="O610" s="13" t="inlineStr">
        <is>
          <t>Amarelo / Azul</t>
        </is>
      </c>
      <c r="P610" s="13" t="inlineStr">
        <is>
          <t>Classe II — Produto Muito Perigoso ao Meio Ambiente</t>
        </is>
      </c>
      <c r="Q610" s="15" t="n">
        <v>24</v>
      </c>
      <c r="R610" s="13" t="inlineStr">
        <is>
          <t>Terrestre / Aérea (Drones consultar bula)</t>
        </is>
      </c>
      <c r="S610" s="13" t="inlineStr">
        <is>
          <t>Tratamento sintomático conforme grupo químico na bula</t>
        </is>
      </c>
      <c r="T610" s="13" t="inlineStr">
        <is>
          <t>Bayer S.A.</t>
        </is>
      </c>
      <c r="U610" s="16">
        <f>HYPERLINK("https://www.agrolink.com.br/agrolinkfito/produto/certero_3299.html", "Bula Oficial Certero (Bayer/MAPA 4899)")</f>
        <v/>
      </c>
    </row>
    <row r="611" ht="22" customHeight="1">
      <c r="A611" s="5" t="n">
        <v>606</v>
      </c>
      <c r="B611" s="6" t="inlineStr">
        <is>
          <t>Nº 6105</t>
        </is>
      </c>
      <c r="C611" s="7" t="inlineStr">
        <is>
          <t>ENGEO PLENO S 1X20L</t>
        </is>
      </c>
      <c r="D611" s="8" t="inlineStr">
        <is>
          <t>ENGEO PLENO S</t>
        </is>
      </c>
      <c r="E611" s="7" t="inlineStr">
        <is>
          <t>Produto Formulado Comercial</t>
        </is>
      </c>
      <c r="F611" s="7" t="inlineStr">
        <is>
          <t>Defensivos</t>
        </is>
      </c>
      <c r="G611" s="7" t="inlineStr">
        <is>
          <t>Inseticida</t>
        </is>
      </c>
      <c r="H611" s="7" t="inlineStr">
        <is>
          <t>ZC</t>
        </is>
      </c>
      <c r="I611" s="7" t="inlineStr">
        <is>
          <t>Suspensão de Encapsulado e Suspensão Concentrada (ZC)</t>
        </is>
      </c>
      <c r="J611" s="7" t="inlineStr">
        <is>
          <t>Inseticida/acaricida de contato e ingestão</t>
        </is>
      </c>
      <c r="K611" s="7" t="inlineStr">
        <is>
          <t>Neonicotinoide (Tianicotinil) + Piretroide (Tipo II)</t>
        </is>
      </c>
      <c r="L611" s="7" t="inlineStr">
        <is>
          <t>IRAC Grupo 4A + IRAC Grupo 3A</t>
        </is>
      </c>
      <c r="M611" s="7" t="inlineStr">
        <is>
          <t>Moduladores competitivos dos receptores nicotínicos da acetilcolina (nAChR); Moduladores de canais de sódio em membranas nervosas</t>
        </is>
      </c>
      <c r="N611" s="7" t="inlineStr">
        <is>
          <t>Categoria 3 / 4 — Moderadamente a Pouco Tóxico</t>
        </is>
      </c>
      <c r="O611" s="7" t="inlineStr">
        <is>
          <t>Amarelo / Azul</t>
        </is>
      </c>
      <c r="P611" s="7" t="inlineStr">
        <is>
          <t>Classe II — Produto Muito Perigoso ao Meio Ambiente</t>
        </is>
      </c>
      <c r="Q611" s="9" t="n">
        <v>24</v>
      </c>
      <c r="R611" s="7" t="inlineStr">
        <is>
          <t>Terrestre / Aérea (Drones consultar bula)</t>
        </is>
      </c>
      <c r="S611" s="7" t="inlineStr">
        <is>
          <t>Tratamento sintomático conforme grupo químico na bula</t>
        </is>
      </c>
      <c r="T611" s="7" t="inlineStr">
        <is>
          <t>Syngenta Proteção de Cultivos</t>
        </is>
      </c>
      <c r="U611" s="10">
        <f>HYPERLINK("https://revistacultivar.com.br/pesticida/engeo-pleno-s", "Bula Oficial Engeo Pleno S (Syngenta/MAPA 6105)")</f>
        <v/>
      </c>
    </row>
    <row r="612" ht="22" customHeight="1">
      <c r="A612" s="11" t="n">
        <v>607</v>
      </c>
      <c r="B612" s="12" t="inlineStr">
        <is>
          <t>Nº 5108</t>
        </is>
      </c>
      <c r="C612" s="13" t="inlineStr">
        <is>
          <t>SOBERAN SC 4X5L</t>
        </is>
      </c>
      <c r="D612" s="14" t="inlineStr">
        <is>
          <t>SOBERAN SC</t>
        </is>
      </c>
      <c r="E612" s="13" t="inlineStr">
        <is>
          <t>Produto Formulado Comercial</t>
        </is>
      </c>
      <c r="F612" s="13" t="inlineStr">
        <is>
          <t>Defensivos</t>
        </is>
      </c>
      <c r="G612" s="13" t="inlineStr">
        <is>
          <t>Herbicida</t>
        </is>
      </c>
      <c r="H612" s="13" t="inlineStr">
        <is>
          <t>SC</t>
        </is>
      </c>
      <c r="I612" s="13" t="inlineStr">
        <is>
          <t>Suspensão Concentrada (SC)</t>
        </is>
      </c>
      <c r="J612" s="13" t="inlineStr">
        <is>
          <t>Herbicida de pré ou pós-emergência</t>
        </is>
      </c>
      <c r="K612" s="13" t="inlineStr">
        <is>
          <t>Tricetona</t>
        </is>
      </c>
      <c r="L612" s="13" t="inlineStr">
        <is>
          <t>HRAC Grupo F2 (27) — Inibidores da HPPD</t>
        </is>
      </c>
      <c r="M612" s="13" t="inlineStr">
        <is>
          <t>Inibição da enzima 4-hidroxifenilpiruvato dioxigenase (HPPD)</t>
        </is>
      </c>
      <c r="N612" s="13" t="inlineStr">
        <is>
          <t>Categoria 4 / 5 — Pouco Tóxico (Conforme Bula ANVISA)</t>
        </is>
      </c>
      <c r="O612" s="13" t="inlineStr">
        <is>
          <t>Azul PMS Blue 293 C</t>
        </is>
      </c>
      <c r="P612" s="13" t="inlineStr">
        <is>
          <t>Classe II / III — Perigoso ao Meio Ambiente</t>
        </is>
      </c>
      <c r="Q612" s="15" t="n">
        <v>24</v>
      </c>
      <c r="R612" s="13" t="inlineStr">
        <is>
          <t>Terrestre / Aérea (Drones consultar bula)</t>
        </is>
      </c>
      <c r="S612" s="13" t="inlineStr">
        <is>
          <t>Sem antídoto específico; tratamento sintomático e descontaminação</t>
        </is>
      </c>
      <c r="T612" s="13" t="inlineStr">
        <is>
          <t>Bayer S.A.</t>
        </is>
      </c>
      <c r="U612" s="16">
        <f>HYPERLINK("https://agrofit.agricultura.gov.br/agrofit_cons/principal_agrofit_cons", "Consulta Oficial AGROFIT/MAPA (Nº 5108)")</f>
        <v/>
      </c>
    </row>
    <row r="613" ht="22" customHeight="1">
      <c r="A613" s="5" t="n">
        <v>608</v>
      </c>
      <c r="B613" s="6" t="inlineStr">
        <is>
          <t>Nº 4822</t>
        </is>
      </c>
      <c r="C613" s="7" t="inlineStr">
        <is>
          <t>FEROCE 4X5KG</t>
        </is>
      </c>
      <c r="D613" s="8" t="inlineStr">
        <is>
          <t>FEROCE</t>
        </is>
      </c>
      <c r="E613" s="7" t="inlineStr">
        <is>
          <t>Produto Formulado Comercial</t>
        </is>
      </c>
      <c r="F613" s="7" t="inlineStr">
        <is>
          <t>Defensivos</t>
        </is>
      </c>
      <c r="G613" s="7" t="inlineStr">
        <is>
          <t>Inseticida</t>
        </is>
      </c>
      <c r="H613" s="7" t="inlineStr">
        <is>
          <t>SG</t>
        </is>
      </c>
      <c r="I613" s="7" t="inlineStr">
        <is>
          <t>Grânulos Solúveis em Água (SG)</t>
        </is>
      </c>
      <c r="J613" s="7" t="inlineStr">
        <is>
          <t>Inseticida e acaricida sistêmico de contato e ingestão</t>
        </is>
      </c>
      <c r="K613" s="7" t="inlineStr">
        <is>
          <t>Organofosforado</t>
        </is>
      </c>
      <c r="L613" s="7" t="inlineStr">
        <is>
          <t>IRAC Grupo 1B</t>
        </is>
      </c>
      <c r="M613" s="7" t="inlineStr">
        <is>
          <t>Inibidores da enzima acetilcolinesterase (AChE)</t>
        </is>
      </c>
      <c r="N613" s="7" t="inlineStr">
        <is>
          <t>Categoria 4 — Produto Pouco Tóxico</t>
        </is>
      </c>
      <c r="O613" s="7" t="inlineStr">
        <is>
          <t>Azul PMS Blue 293 C</t>
        </is>
      </c>
      <c r="P613" s="7" t="inlineStr">
        <is>
          <t>Classe III — Produto Perigoso ao Meio Ambiente</t>
        </is>
      </c>
      <c r="Q613" s="9" t="n">
        <v>24</v>
      </c>
      <c r="R613" s="7" t="inlineStr">
        <is>
          <t>Terrestre / Aérea (Drones consultar bula)</t>
        </is>
      </c>
      <c r="S613" s="7" t="inlineStr">
        <is>
          <t>Sulfato de Atropina e Pralidoxima (Contrathion)</t>
        </is>
      </c>
      <c r="T613" s="7" t="inlineStr">
        <is>
          <t>UPL do Brasil</t>
        </is>
      </c>
      <c r="U613" s="10">
        <f>HYPERLINK("https://agrofit.agricultura.gov.br/agrofit_cons/principal_agrofit_cons", "Consulta Oficial AGROFIT/MAPA (Nº 4822)")</f>
        <v/>
      </c>
    </row>
    <row r="614" ht="22" customHeight="1">
      <c r="A614" s="11" t="n">
        <v>609</v>
      </c>
      <c r="B614" s="12" t="inlineStr">
        <is>
          <t>Nº 8514</t>
        </is>
      </c>
      <c r="C614" s="13" t="inlineStr">
        <is>
          <t>GLIFORTE 4X5KG</t>
        </is>
      </c>
      <c r="D614" s="14" t="inlineStr">
        <is>
          <t>GLIFORTE</t>
        </is>
      </c>
      <c r="E614" s="13" t="inlineStr">
        <is>
          <t>Produto Formulado Comercial</t>
        </is>
      </c>
      <c r="F614" s="13" t="inlineStr">
        <is>
          <t>Defensivos</t>
        </is>
      </c>
      <c r="G614" s="13" t="inlineStr">
        <is>
          <t>Herbicida</t>
        </is>
      </c>
      <c r="H614" s="13" t="inlineStr">
        <is>
          <t>WG</t>
        </is>
      </c>
      <c r="I614" s="13" t="inlineStr">
        <is>
          <t>Grânulos Dispersíveis em Água (WG)</t>
        </is>
      </c>
      <c r="J614" s="13" t="inlineStr">
        <is>
          <t>Herbicida sistêmico de pós-emergência (seletivo condicional p/ OGM)</t>
        </is>
      </c>
      <c r="K614" s="13" t="inlineStr">
        <is>
          <t>Glicina substituída</t>
        </is>
      </c>
      <c r="L614" s="13" t="inlineStr">
        <is>
          <t>HRAC Grupo G (EPSPs)</t>
        </is>
      </c>
      <c r="M614" s="13" t="inlineStr">
        <is>
          <t>Inibidores da enzima EPSPs (Enoil Piruvil Shiquimato Fosfato Sintase)</t>
        </is>
      </c>
      <c r="N614" s="13" t="inlineStr">
        <is>
          <t>Categoria 5 — Produto Improvável de Causar Dano Agudo</t>
        </is>
      </c>
      <c r="O614" s="13" t="inlineStr">
        <is>
          <t>Azul Intenso</t>
        </is>
      </c>
      <c r="P614" s="13" t="inlineStr">
        <is>
          <t>Classe III / IV — Perigoso a Pouco Perigoso ao Meio Ambiente</t>
        </is>
      </c>
      <c r="Q614" s="15" t="n">
        <v>24</v>
      </c>
      <c r="R614" s="13" t="inlineStr">
        <is>
          <t>Terrestre / Aérea (Drones consultar bula)</t>
        </is>
      </c>
      <c r="S614" s="13" t="inlineStr">
        <is>
          <t>Sem antídoto específico (Atropina ineficaz); tratamento sintomático</t>
        </is>
      </c>
      <c r="T614" s="13" t="inlineStr">
        <is>
          <t>Nufarm / Sumitomo</t>
        </is>
      </c>
      <c r="U614" s="16">
        <f>HYPERLINK("https://agrofit.agricultura.gov.br/agrofit_cons/principal_agrofit_cons", "Consulta Oficial AGROFIT/MAPA (Nº 8514)")</f>
        <v/>
      </c>
    </row>
    <row r="615" ht="22" customHeight="1">
      <c r="A615" s="5" t="n">
        <v>610</v>
      </c>
      <c r="B615" s="6" t="inlineStr">
        <is>
          <t>Nº 8806</t>
        </is>
      </c>
      <c r="C615" s="7" t="inlineStr">
        <is>
          <t>IMUNIT 4X5L</t>
        </is>
      </c>
      <c r="D615" s="8" t="inlineStr">
        <is>
          <t>IMUNIT</t>
        </is>
      </c>
      <c r="E615" s="7" t="inlineStr">
        <is>
          <t>Produto Formulado Comercial</t>
        </is>
      </c>
      <c r="F615" s="7" t="inlineStr">
        <is>
          <t>Defensivos</t>
        </is>
      </c>
      <c r="G615" s="7" t="inlineStr">
        <is>
          <t>Inseticida</t>
        </is>
      </c>
      <c r="H615" s="7" t="inlineStr">
        <is>
          <t>SC</t>
        </is>
      </c>
      <c r="I615" s="7" t="inlineStr">
        <is>
          <t>Suspensão Concentrada (SC)</t>
        </is>
      </c>
      <c r="J615" s="7" t="inlineStr">
        <is>
          <t>Inseticida/acaricida de contato e ingestão</t>
        </is>
      </c>
      <c r="K615" s="7" t="inlineStr">
        <is>
          <t>Piretroide (Tipo II) + Benzoilureia</t>
        </is>
      </c>
      <c r="L615" s="7" t="inlineStr">
        <is>
          <t>IRAC Grupo 3A + IRAC Grupo 15</t>
        </is>
      </c>
      <c r="M615" s="7" t="inlineStr">
        <is>
          <t>Moduladores de canais de sódio em membranas nervosas; Inibidores da biossíntese de quitina, Tipo 0</t>
        </is>
      </c>
      <c r="N615" s="7" t="inlineStr">
        <is>
          <t>Categoria 3 / 4 — Moderadamente a Pouco Tóxico</t>
        </is>
      </c>
      <c r="O615" s="7" t="inlineStr">
        <is>
          <t>Amarelo / Azul</t>
        </is>
      </c>
      <c r="P615" s="7" t="inlineStr">
        <is>
          <t>Classe II — Produto Muito Perigoso ao Meio Ambiente</t>
        </is>
      </c>
      <c r="Q615" s="9" t="n">
        <v>24</v>
      </c>
      <c r="R615" s="7" t="inlineStr">
        <is>
          <t>Terrestre / Aérea (Drones consultar bula)</t>
        </is>
      </c>
      <c r="S615" s="7" t="inlineStr">
        <is>
          <t>Tratamento sintomático conforme grupo químico na bula</t>
        </is>
      </c>
      <c r="T615" s="7" t="inlineStr">
        <is>
          <t>BASF S.A.</t>
        </is>
      </c>
      <c r="U615" s="10">
        <f>HYPERLINK("https://revistacultivar.com.br/pesticida/imunit", "Bula Oficial Imunit (BASF/MAPA 8806)")</f>
        <v/>
      </c>
    </row>
    <row r="616" ht="22" customHeight="1">
      <c r="A616" s="11" t="n">
        <v>611</v>
      </c>
      <c r="B616" s="12" t="inlineStr">
        <is>
          <t>SIPEAGRO (UF-XXXXX)</t>
        </is>
      </c>
      <c r="C616" s="13" t="inlineStr">
        <is>
          <t>INOCULANTE GRAP NOD+ 1X1,5KG</t>
        </is>
      </c>
      <c r="D616" s="14" t="inlineStr">
        <is>
          <t>INOCULANTE GRAP NOD+ 1X1,5KG</t>
        </is>
      </c>
      <c r="E616" s="13" t="inlineStr">
        <is>
          <t>Inoculante / Biológico</t>
        </is>
      </c>
      <c r="F616" s="13" t="inlineStr">
        <is>
          <t>Inoculantes e Biológicos</t>
        </is>
      </c>
      <c r="G616" s="13" t="inlineStr">
        <is>
          <t>Inoculante Fixador de Nitrogênio</t>
        </is>
      </c>
      <c r="H616" s="13" t="inlineStr">
        <is>
          <t>Líquido</t>
        </is>
      </c>
      <c r="I616" s="13" t="inlineStr">
        <is>
          <t>Formulação Padrão (Líquido / Turfoso)</t>
        </is>
      </c>
      <c r="J616" s="13" t="inlineStr">
        <is>
          <t>Inoculante líquido/turfoso para tratamento de sementes e sulco</t>
        </is>
      </c>
      <c r="K616" s="13" t="inlineStr">
        <is>
          <t>Bactéria Diazotrófica Fixadora de Nitrogênio e Promotora de Crescimento</t>
        </is>
      </c>
      <c r="L616" s="13" t="inlineStr">
        <is>
          <t>Inoculante Biológico — Lei nº 6.894/1980</t>
        </is>
      </c>
      <c r="M616" s="13" t="inlineStr">
        <is>
          <t>Fixação biológica de N2 atmosférico e síntese de fitormônios (AIA)</t>
        </is>
      </c>
      <c r="N616" s="13" t="inlineStr">
        <is>
          <t>Isento (Inoculante Biológico SIPEAGRO)</t>
        </is>
      </c>
      <c r="O616" s="13" t="inlineStr">
        <is>
          <t>Não Aplicável (Inoculante)</t>
        </is>
      </c>
      <c r="P616" s="13" t="inlineStr">
        <is>
          <t>Classe IV — Produto Pouco Perigoso ao Meio Ambiente</t>
        </is>
      </c>
      <c r="Q616" s="15" t="n">
        <v>0</v>
      </c>
      <c r="R616" s="13" t="inlineStr">
        <is>
          <t>Aplicação Dirigida / TS / Solo</t>
        </is>
      </c>
      <c r="S616" s="13" t="inlineStr">
        <is>
          <t>Não aplicável (Inoculante biológico não tóxico)</t>
        </is>
      </c>
      <c r="T616" s="13" t="inlineStr">
        <is>
          <t>Estabelecimento Produtor SIPEAGRO/MAPA</t>
        </is>
      </c>
      <c r="U616" s="16">
        <f>HYPERLINK("https://www.gov.br/agricultura/pt-br/assuntos/insumos-agropecuarios/insumos-agricolas/fertilizantes", "Portal SIPEAGRO / MAPA — Fertilizantes e Bioinsumos")</f>
        <v/>
      </c>
    </row>
    <row r="617" ht="22" customHeight="1">
      <c r="A617" s="5" t="n">
        <v>612</v>
      </c>
      <c r="B617" s="6" t="inlineStr">
        <is>
          <t>SIPEAGRO (UF-XXXXX)</t>
        </is>
      </c>
      <c r="C617" s="7" t="inlineStr">
        <is>
          <t>NITROBASE Z21 1X20L</t>
        </is>
      </c>
      <c r="D617" s="8" t="inlineStr">
        <is>
          <t>NITROBASE Z21</t>
        </is>
      </c>
      <c r="E617" s="7" t="inlineStr">
        <is>
          <t>Fertilizante Mineral / Organomineral</t>
        </is>
      </c>
      <c r="F617" s="7" t="inlineStr">
        <is>
          <t>Fertilizantes</t>
        </is>
      </c>
      <c r="G617" s="7" t="inlineStr">
        <is>
          <t>Fertilizante Organomineral / Bioestimulante</t>
        </is>
      </c>
      <c r="H617" s="7" t="inlineStr">
        <is>
          <t>SL</t>
        </is>
      </c>
      <c r="I617" s="7" t="inlineStr">
        <is>
          <t>Solução / Suspensão Concentrada Foliar (Fluido)</t>
        </is>
      </c>
      <c r="J617" s="7" t="inlineStr">
        <is>
          <t>Aplicação via solo, fertirrigação ou adubação foliar</t>
        </is>
      </c>
      <c r="K617" s="7" t="inlineStr">
        <is>
          <t>Fertilizante Mineral / Organomineral (Lei nº 6.894/1980)</t>
        </is>
      </c>
      <c r="L617" s="7" t="inlineStr">
        <is>
          <t>Nutrição Vegetal SIPEAGRO</t>
        </is>
      </c>
      <c r="M617" s="7" t="inlineStr">
        <is>
          <t>Fornecimento de macro e micronutrientes essenciais ao metabolismo vegetal</t>
        </is>
      </c>
      <c r="N617" s="7" t="inlineStr">
        <is>
          <t>Isento ANVISA (Produto Fertilizante Registrado no SIPEAGRO/MAPA)</t>
        </is>
      </c>
      <c r="O617" s="7" t="inlineStr">
        <is>
          <t>Não Aplicável (Fertilizante)</t>
        </is>
      </c>
      <c r="P617" s="7" t="inlineStr">
        <is>
          <t>Baixo Potencial Poluidor (Uso conforme recomendação agronômica)</t>
        </is>
      </c>
      <c r="Q617" s="9" t="n">
        <v>0</v>
      </c>
      <c r="R617" s="7" t="inlineStr">
        <is>
          <t>Aplicação Dirigida / TS / Solo</t>
        </is>
      </c>
      <c r="S617" s="7" t="inlineStr">
        <is>
          <t>Tratamento sintomático em caso de ingestão acidental</t>
        </is>
      </c>
      <c r="T617" s="7" t="inlineStr">
        <is>
          <t>Estabelecimento Produtor SIPEAGRO/MAPA</t>
        </is>
      </c>
      <c r="U617" s="10">
        <f>HYPERLINK("https://www.gov.br/agricultura/pt-br/assuntos/insumos-agropecuarios/insumos-agricolas/fertilizantes", "Portal SIPEAGRO / MAPA — Fertilizantes e Bioinsumos")</f>
        <v/>
      </c>
    </row>
    <row r="618" ht="22" customHeight="1">
      <c r="A618" s="11" t="n">
        <v>613</v>
      </c>
      <c r="B618" s="12" t="inlineStr">
        <is>
          <t>SIPEAGRO (UF-XXXXX)</t>
        </is>
      </c>
      <c r="C618" s="13" t="inlineStr">
        <is>
          <t>RESISTANCE DRILLFLY 4X5L</t>
        </is>
      </c>
      <c r="D618" s="14" t="inlineStr">
        <is>
          <t>RESISTANCE DRILLFLY</t>
        </is>
      </c>
      <c r="E618" s="13" t="inlineStr">
        <is>
          <t>Fertilizante Mineral / Organomineral</t>
        </is>
      </c>
      <c r="F618" s="13" t="inlineStr">
        <is>
          <t>Fertilizantes</t>
        </is>
      </c>
      <c r="G618" s="13" t="inlineStr">
        <is>
          <t>Fertilizante Foliar / Micronutrientes</t>
        </is>
      </c>
      <c r="H618" s="13" t="inlineStr">
        <is>
          <t>SL</t>
        </is>
      </c>
      <c r="I618" s="13" t="inlineStr">
        <is>
          <t>Solução / Suspensão Concentrada Foliar (Fluido)</t>
        </is>
      </c>
      <c r="J618" s="13" t="inlineStr">
        <is>
          <t>Aplicação via solo, fertirrigação ou adubação foliar</t>
        </is>
      </c>
      <c r="K618" s="13" t="inlineStr">
        <is>
          <t>Fertilizante Mineral / Organomineral (Lei nº 6.894/1980)</t>
        </is>
      </c>
      <c r="L618" s="13" t="inlineStr">
        <is>
          <t>Nutrição Vegetal SIPEAGRO</t>
        </is>
      </c>
      <c r="M618" s="13" t="inlineStr">
        <is>
          <t>Fornecimento de macro e micronutrientes essenciais ao metabolismo vegetal</t>
        </is>
      </c>
      <c r="N618" s="13" t="inlineStr">
        <is>
          <t>Isento ANVISA (Produto Fertilizante Registrado no SIPEAGRO/MAPA)</t>
        </is>
      </c>
      <c r="O618" s="13" t="inlineStr">
        <is>
          <t>Não Aplicável (Fertilizante)</t>
        </is>
      </c>
      <c r="P618" s="13" t="inlineStr">
        <is>
          <t>Baixo Potencial Poluidor (Uso conforme recomendação agronômica)</t>
        </is>
      </c>
      <c r="Q618" s="15" t="n">
        <v>0</v>
      </c>
      <c r="R618" s="13" t="inlineStr">
        <is>
          <t>Aplicação Dirigida / TS / Solo</t>
        </is>
      </c>
      <c r="S618" s="13" t="inlineStr">
        <is>
          <t>Tratamento sintomático em caso de ingestão acidental</t>
        </is>
      </c>
      <c r="T618" s="13" t="inlineStr">
        <is>
          <t>Estabelecimento Produtor SIPEAGRO/MAPA</t>
        </is>
      </c>
      <c r="U618" s="16">
        <f>HYPERLINK("https://www.gov.br/agricultura/pt-br/assuntos/insumos-agropecuarios/insumos-agricolas/fertilizantes", "Portal SIPEAGRO / MAPA — Fertilizantes e Bioinsumos")</f>
        <v/>
      </c>
    </row>
    <row r="619" ht="22" customHeight="1">
      <c r="A619" s="5" t="n">
        <v>614</v>
      </c>
      <c r="B619" s="6" t="inlineStr">
        <is>
          <t>Nº 13709</t>
        </is>
      </c>
      <c r="C619" s="7" t="inlineStr">
        <is>
          <t>SEIZER 100 EC 4X5L</t>
        </is>
      </c>
      <c r="D619" s="8" t="inlineStr">
        <is>
          <t>SEIZER 100 EC</t>
        </is>
      </c>
      <c r="E619" s="7" t="inlineStr">
        <is>
          <t>Produto Formulado Comercial</t>
        </is>
      </c>
      <c r="F619" s="7" t="inlineStr">
        <is>
          <t>Defensivos</t>
        </is>
      </c>
      <c r="G619" s="7" t="inlineStr">
        <is>
          <t>Inseticida e Acaricida</t>
        </is>
      </c>
      <c r="H619" s="7" t="inlineStr">
        <is>
          <t>EC</t>
        </is>
      </c>
      <c r="I619" s="7" t="inlineStr">
        <is>
          <t>Concentrado Emulsionável (EC)</t>
        </is>
      </c>
      <c r="J619" s="7" t="inlineStr">
        <is>
          <t>Inseticida e acaricida de contato e ingestão</t>
        </is>
      </c>
      <c r="K619" s="7" t="inlineStr">
        <is>
          <t>Piretroide (Tipo I)</t>
        </is>
      </c>
      <c r="L619" s="7" t="inlineStr">
        <is>
          <t>IRAC Grupo 3A</t>
        </is>
      </c>
      <c r="M619" s="7" t="inlineStr">
        <is>
          <t>Moduladores de canais de sódio em membranas nervosas</t>
        </is>
      </c>
      <c r="N619" s="7" t="inlineStr">
        <is>
          <t>Categoria 3 — Produto Moderadamente Tóxico</t>
        </is>
      </c>
      <c r="O619" s="7" t="inlineStr">
        <is>
          <t>Amarelo PMS Yellow C</t>
        </is>
      </c>
      <c r="P619" s="7" t="inlineStr">
        <is>
          <t>Classe II — Produto Muito Perigoso ao Meio Ambiente</t>
        </is>
      </c>
      <c r="Q619" s="9" t="n">
        <v>24</v>
      </c>
      <c r="R619" s="7" t="inlineStr">
        <is>
          <t>Terrestre / Aérea (Drones consultar bula)</t>
        </is>
      </c>
      <c r="S619" s="7" t="inlineStr">
        <is>
          <t>Sem antídoto específico; anti-histamínicos e vitamina E tópica para parestesia</t>
        </is>
      </c>
      <c r="T619" s="7" t="inlineStr">
        <is>
          <t>ADAMA BRASIL S/A</t>
        </is>
      </c>
      <c r="U619" s="10">
        <f>HYPERLINK("https://www.agrolink.com.br/agrolinkfito/produto/seizer-100-ec_8360.html", "Bula Oficial Seizer 100 EC (Adama - MAPA 13709)")</f>
        <v/>
      </c>
    </row>
    <row r="620" ht="22" customHeight="1">
      <c r="A620" s="11" t="n">
        <v>615</v>
      </c>
      <c r="B620" s="12" t="inlineStr">
        <is>
          <t>Nº 3994</t>
        </is>
      </c>
      <c r="C620" s="13" t="inlineStr">
        <is>
          <t>SIALEX 500 10X1KG</t>
        </is>
      </c>
      <c r="D620" s="14" t="inlineStr">
        <is>
          <t>SIALEX 500</t>
        </is>
      </c>
      <c r="E620" s="13" t="inlineStr">
        <is>
          <t>Produto Formulado Comercial</t>
        </is>
      </c>
      <c r="F620" s="13" t="inlineStr">
        <is>
          <t>Defensivos</t>
        </is>
      </c>
      <c r="G620" s="13" t="inlineStr">
        <is>
          <t>Fungicida</t>
        </is>
      </c>
      <c r="H620" s="13" t="inlineStr">
        <is>
          <t>WP</t>
        </is>
      </c>
      <c r="I620" s="13" t="inlineStr">
        <is>
          <t>Pó Molhável (WP)</t>
        </is>
      </c>
      <c r="J620" s="13" t="inlineStr">
        <is>
          <t>Fungicida sistêmico preventivo e curativo</t>
        </is>
      </c>
      <c r="K620" s="13" t="inlineStr">
        <is>
          <t>Benzimidazol (Precursor de MBC)</t>
        </is>
      </c>
      <c r="L620" s="13" t="inlineStr">
        <is>
          <t>FRAC Grupo 1 (MBC)</t>
        </is>
      </c>
      <c r="M620" s="13" t="inlineStr">
        <is>
          <t>Inibidores da montagem de beta-tubulina na mitose celular</t>
        </is>
      </c>
      <c r="N620" s="13" t="inlineStr">
        <is>
          <t>Categoria 4 / 5 — Pouco Tóxico</t>
        </is>
      </c>
      <c r="O620" s="13" t="inlineStr">
        <is>
          <t>Azul Intenso</t>
        </is>
      </c>
      <c r="P620" s="13" t="inlineStr">
        <is>
          <t>Classe III — Produto Perigoso ao Meio Ambiente</t>
        </is>
      </c>
      <c r="Q620" s="15" t="n">
        <v>24</v>
      </c>
      <c r="R620" s="13" t="inlineStr">
        <is>
          <t>Terrestre / Aérea (Drones consultar bula)</t>
        </is>
      </c>
      <c r="S620" s="13" t="inlineStr">
        <is>
          <t>Sem antídoto específico; tratamento sintomático</t>
        </is>
      </c>
      <c r="T620" s="13" t="inlineStr">
        <is>
          <t>Sumitomo Chemical</t>
        </is>
      </c>
      <c r="U620" s="16">
        <f>HYPERLINK("https://agrofit.agricultura.gov.br/agrofit_cons/principal_agrofit_cons", "Consulta Oficial AGROFIT/MAPA (Nº 3994)")</f>
        <v/>
      </c>
    </row>
    <row r="621" ht="22" customHeight="1">
      <c r="A621" s="5" t="n">
        <v>616</v>
      </c>
      <c r="B621" s="6" t="inlineStr">
        <is>
          <t>Nº 28920</t>
        </is>
      </c>
      <c r="C621" s="7" t="inlineStr">
        <is>
          <t>SONDA 1X20L</t>
        </is>
      </c>
      <c r="D621" s="8" t="inlineStr">
        <is>
          <t>SONDA</t>
        </is>
      </c>
      <c r="E621" s="7" t="inlineStr">
        <is>
          <t>Produto Formulado Comercial</t>
        </is>
      </c>
      <c r="F621" s="7" t="inlineStr">
        <is>
          <t>Defensivos</t>
        </is>
      </c>
      <c r="G621" s="7" t="inlineStr">
        <is>
          <t>Herbicida</t>
        </is>
      </c>
      <c r="H621" s="7" t="inlineStr">
        <is>
          <t>SC</t>
        </is>
      </c>
      <c r="I621" s="7" t="inlineStr">
        <is>
          <t>Suspensão Concentrada (SC)</t>
        </is>
      </c>
      <c r="J621" s="7" t="inlineStr">
        <is>
          <t>Herbicida de pré ou pós-emergência</t>
        </is>
      </c>
      <c r="K621" s="7" t="inlineStr">
        <is>
          <t>Triazina (Clorotriazina)</t>
        </is>
      </c>
      <c r="L621" s="7" t="inlineStr">
        <is>
          <t>HRAC Grupo C1 (5) — Inibidores do Fotossistema II</t>
        </is>
      </c>
      <c r="M621" s="7" t="inlineStr">
        <is>
          <t>Inibição do transporte de elétrons no Fotossistema II</t>
        </is>
      </c>
      <c r="N621" s="7" t="inlineStr">
        <is>
          <t>Categoria 4 / 5 — Pouco Tóxico (Conforme Bula ANVISA)</t>
        </is>
      </c>
      <c r="O621" s="7" t="inlineStr">
        <is>
          <t>Azul PMS Blue 293 C</t>
        </is>
      </c>
      <c r="P621" s="7" t="inlineStr">
        <is>
          <t>Classe II / III — Perigoso ao Meio Ambiente</t>
        </is>
      </c>
      <c r="Q621" s="9" t="n">
        <v>24</v>
      </c>
      <c r="R621" s="7" t="inlineStr">
        <is>
          <t>Terrestre / Aérea (Drones consultar bula)</t>
        </is>
      </c>
      <c r="S621" s="7" t="inlineStr">
        <is>
          <t>Sem antídoto específico; tratamento sintomático e descontaminação</t>
        </is>
      </c>
      <c r="T621" s="7" t="inlineStr">
        <is>
          <t>SYNGENTA PROTEÇÃO DE CULTIVOS LTDA.</t>
        </is>
      </c>
      <c r="U621" s="10">
        <f>HYPERLINK("https://www.adapar.pr.gov.br/Pagina/Agrotoxicos-Herbicidas", "Registro Oficial Sonda 500 SC (MAPA 28920)")</f>
        <v/>
      </c>
    </row>
    <row r="622" ht="22" customHeight="1">
      <c r="A622" s="11" t="n">
        <v>617</v>
      </c>
      <c r="B622" s="12" t="inlineStr">
        <is>
          <t>Nº 6210</t>
        </is>
      </c>
      <c r="C622" s="13" t="inlineStr">
        <is>
          <t>STATUS 4X5L</t>
        </is>
      </c>
      <c r="D622" s="14" t="inlineStr">
        <is>
          <t>STATUS</t>
        </is>
      </c>
      <c r="E622" s="13" t="inlineStr">
        <is>
          <t>Produto Formulado Comercial</t>
        </is>
      </c>
      <c r="F622" s="13" t="inlineStr">
        <is>
          <t>Defensivos</t>
        </is>
      </c>
      <c r="G622" s="13" t="inlineStr">
        <is>
          <t>Fungicida</t>
        </is>
      </c>
      <c r="H622" s="13" t="inlineStr">
        <is>
          <t>SC</t>
        </is>
      </c>
      <c r="I622" s="13" t="inlineStr">
        <is>
          <t>Suspensão Concentrada (SC)</t>
        </is>
      </c>
      <c r="J622" s="13" t="inlineStr">
        <is>
          <t>Fungicida protetor de contato multissítio (manejo anti-resistência)</t>
        </is>
      </c>
      <c r="K622" s="13" t="inlineStr">
        <is>
          <t>Inorgânico Cúprico</t>
        </is>
      </c>
      <c r="L622" s="13" t="inlineStr">
        <is>
          <t>FRAC Grupo M01 — Multissítio Inorgânico</t>
        </is>
      </c>
      <c r="M622" s="13" t="inlineStr">
        <is>
          <t>Inativação multissítio de enzimas e proteínas celulares por íons Cu2+</t>
        </is>
      </c>
      <c r="N622" s="13" t="inlineStr">
        <is>
          <t>Categoria 2 / 3 — Altamente a Moderadamente Tóxico</t>
        </is>
      </c>
      <c r="O622" s="13" t="inlineStr">
        <is>
          <t>Vermelho / Amarelo</t>
        </is>
      </c>
      <c r="P622" s="13" t="inlineStr">
        <is>
          <t>Classe II — Produto Muito Perigoso ao Meio Ambiente</t>
        </is>
      </c>
      <c r="Q622" s="15" t="n">
        <v>24</v>
      </c>
      <c r="R622" s="13" t="inlineStr">
        <is>
          <t>Terrestre / Aérea (Drones consultar bula)</t>
        </is>
      </c>
      <c r="S622" s="13" t="inlineStr">
        <is>
          <t>Sem antídoto específico; tratamento sintomático e descontaminação ocular/cutânea</t>
        </is>
      </c>
      <c r="T622" s="13" t="inlineStr">
        <is>
          <t>OXIQUÍMICA AGROCIÊNCIA LTDA.</t>
        </is>
      </c>
      <c r="U622" s="16">
        <f>HYPERLINK("https://www.adapar.pr.gov.br/system/files/publico/Agrotoxicos/lista.pdf", "Registro Oficial Status 588 SC (Oxiquímica/MAPA 6210)")</f>
        <v/>
      </c>
    </row>
    <row r="623" ht="22" customHeight="1">
      <c r="A623" s="5" t="n">
        <v>618</v>
      </c>
      <c r="B623" s="6" t="inlineStr">
        <is>
          <t>SIPEAGRO (UF-XXXXX)</t>
        </is>
      </c>
      <c r="C623" s="7" t="inlineStr">
        <is>
          <t>VITAL BORO POLYOL 4X5L</t>
        </is>
      </c>
      <c r="D623" s="8" t="inlineStr">
        <is>
          <t>VITAL BORO POLYOL</t>
        </is>
      </c>
      <c r="E623" s="7" t="inlineStr">
        <is>
          <t>Fertilizante Mineral / Organomineral</t>
        </is>
      </c>
      <c r="F623" s="7" t="inlineStr">
        <is>
          <t>Fertilizantes</t>
        </is>
      </c>
      <c r="G623" s="7" t="inlineStr">
        <is>
          <t>Fertilizante Foliar / Micronutrientes</t>
        </is>
      </c>
      <c r="H623" s="7" t="inlineStr">
        <is>
          <t>SL</t>
        </is>
      </c>
      <c r="I623" s="7" t="inlineStr">
        <is>
          <t>Solução / Suspensão Concentrada Foliar (Fluido)</t>
        </is>
      </c>
      <c r="J623" s="7" t="inlineStr">
        <is>
          <t>Aplicação via solo, fertirrigação ou adubação foliar</t>
        </is>
      </c>
      <c r="K623" s="7" t="inlineStr">
        <is>
          <t>Fertilizante Mineral / Organomineral (Lei nº 6.894/1980)</t>
        </is>
      </c>
      <c r="L623" s="7" t="inlineStr">
        <is>
          <t>Nutrição Vegetal SIPEAGRO</t>
        </is>
      </c>
      <c r="M623" s="7" t="inlineStr">
        <is>
          <t>Fornecimento de macro e micronutrientes essenciais ao metabolismo vegetal</t>
        </is>
      </c>
      <c r="N623" s="7" t="inlineStr">
        <is>
          <t>Isento ANVISA (Produto Fertilizante Registrado no SIPEAGRO/MAPA)</t>
        </is>
      </c>
      <c r="O623" s="7" t="inlineStr">
        <is>
          <t>Não Aplicável (Fertilizante)</t>
        </is>
      </c>
      <c r="P623" s="7" t="inlineStr">
        <is>
          <t>Baixo Potencial Poluidor (Uso conforme recomendação agronômica)</t>
        </is>
      </c>
      <c r="Q623" s="9" t="n">
        <v>0</v>
      </c>
      <c r="R623" s="7" t="inlineStr">
        <is>
          <t>Aplicação Dirigida / TS / Solo</t>
        </is>
      </c>
      <c r="S623" s="7" t="inlineStr">
        <is>
          <t>Tratamento sintomático em caso de ingestão acidental</t>
        </is>
      </c>
      <c r="T623" s="7" t="inlineStr">
        <is>
          <t>Estabelecimento Produtor SIPEAGRO/MAPA</t>
        </is>
      </c>
      <c r="U623" s="10">
        <f>HYPERLINK("https://www.gov.br/agricultura/pt-br/assuntos/insumos-agropecuarios/insumos-agricolas/fertilizantes", "Portal SIPEAGRO / MAPA — Fertilizantes e Bioinsumos")</f>
        <v/>
      </c>
    </row>
    <row r="624" ht="22" customHeight="1">
      <c r="A624" s="11" t="n">
        <v>619</v>
      </c>
      <c r="B624" s="12" t="inlineStr">
        <is>
          <t>Nº 32717</t>
        </is>
      </c>
      <c r="C624" s="13" t="inlineStr">
        <is>
          <t>VOTIVO PRIME 4X5L</t>
        </is>
      </c>
      <c r="D624" s="14" t="inlineStr">
        <is>
          <t>VOTIVO PRIME</t>
        </is>
      </c>
      <c r="E624" s="13" t="inlineStr">
        <is>
          <t>Produto Formulado Comercial</t>
        </is>
      </c>
      <c r="F624" s="13" t="inlineStr">
        <is>
          <t>Defensivos</t>
        </is>
      </c>
      <c r="G624" s="13" t="inlineStr">
        <is>
          <t>Bionematicida (Biológico)</t>
        </is>
      </c>
      <c r="H624" s="13" t="inlineStr">
        <is>
          <t>FS</t>
        </is>
      </c>
      <c r="I624" s="13" t="inlineStr">
        <is>
          <t>Suspensão Concentrada para Tratamento de Sementes (FS)</t>
        </is>
      </c>
      <c r="J624" s="13" t="inlineStr">
        <is>
          <t>Bionematicida, biofungicida ou inoculante biológico</t>
        </is>
      </c>
      <c r="K624" s="13" t="inlineStr">
        <is>
          <t>Agente Microbiológico / Rizobactéria (Bionematicida)</t>
        </is>
      </c>
      <c r="L624" s="13" t="inlineStr">
        <is>
          <t>Bionematicida Microbiológico (MAPA)</t>
        </is>
      </c>
      <c r="M624" s="13" t="inlineStr">
        <is>
          <t>Parasitismo e degradação enzimática do córion de ovos de fitonematoides e desorientação radicular</t>
        </is>
      </c>
      <c r="N624" s="13" t="inlineStr">
        <is>
          <t>Categoria 5 / Não Classificado — Baixo Risco Agudo</t>
        </is>
      </c>
      <c r="O624" s="13" t="inlineStr">
        <is>
          <t>Azul Intenso</t>
        </is>
      </c>
      <c r="P624" s="13" t="inlineStr">
        <is>
          <t>Classe IV — Produto Pouco Perigoso ao Meio Ambiente</t>
        </is>
      </c>
      <c r="Q624" s="15" t="n">
        <v>24</v>
      </c>
      <c r="R624" s="13" t="inlineStr">
        <is>
          <t>Terrestre / Aérea (Drones consultar bula)</t>
        </is>
      </c>
      <c r="S624" s="13" t="inlineStr">
        <is>
          <t>Sem antídoto; tratamento sintomático</t>
        </is>
      </c>
      <c r="T624" s="13" t="inlineStr">
        <is>
          <t>BASF S.A.</t>
        </is>
      </c>
      <c r="U624" s="16">
        <f>HYPERLINK("https://agriculture.basf.com/br/pt/protecao-de-cultivos-e-sementes/produtos/votivo-prime-basf-tratamento-de-sementes-de-soja", "Bula Oficial Votivo Prime (BASF/MAPA 32717)")</f>
        <v/>
      </c>
    </row>
    <row r="625" ht="22" customHeight="1">
      <c r="A625" s="5" t="n">
        <v>620</v>
      </c>
      <c r="B625" s="6" t="inlineStr">
        <is>
          <t>Nº 2506</t>
        </is>
      </c>
      <c r="C625" s="7" t="inlineStr">
        <is>
          <t>CROPSTAR FS 600 4X5L</t>
        </is>
      </c>
      <c r="D625" s="8" t="inlineStr">
        <is>
          <t>CROPSTAR FS 600</t>
        </is>
      </c>
      <c r="E625" s="7" t="inlineStr">
        <is>
          <t>Produto Formulado Comercial</t>
        </is>
      </c>
      <c r="F625" s="7" t="inlineStr">
        <is>
          <t>Defensivos</t>
        </is>
      </c>
      <c r="G625" s="7" t="inlineStr">
        <is>
          <t>Inseticida</t>
        </is>
      </c>
      <c r="H625" s="7" t="inlineStr">
        <is>
          <t>FS</t>
        </is>
      </c>
      <c r="I625" s="7" t="inlineStr">
        <is>
          <t>Suspensão Concentrada para Tratamento de Sementes (FS)</t>
        </is>
      </c>
      <c r="J625" s="7" t="inlineStr">
        <is>
          <t>Inseticida/acaricida de contato e ingestão</t>
        </is>
      </c>
      <c r="K625" s="7" t="inlineStr">
        <is>
          <t>Neonicotinoide</t>
        </is>
      </c>
      <c r="L625" s="7" t="inlineStr">
        <is>
          <t>IRAC Grupo 4A</t>
        </is>
      </c>
      <c r="M625" s="7" t="inlineStr">
        <is>
          <t>Moduladores competitivos dos receptores nicotínicos da acetilcolina (nAChR)</t>
        </is>
      </c>
      <c r="N625" s="7" t="inlineStr">
        <is>
          <t>Categoria 3 / 4 — Moderadamente a Pouco Tóxico</t>
        </is>
      </c>
      <c r="O625" s="7" t="inlineStr">
        <is>
          <t>Amarelo / Azul</t>
        </is>
      </c>
      <c r="P625" s="7" t="inlineStr">
        <is>
          <t>Classe II — Produto Muito Perigoso ao Meio Ambiente</t>
        </is>
      </c>
      <c r="Q625" s="9" t="n">
        <v>0</v>
      </c>
      <c r="R625" s="7" t="inlineStr">
        <is>
          <t>Aplicação Dirigida / TS / Solo</t>
        </is>
      </c>
      <c r="S625" s="7" t="inlineStr">
        <is>
          <t>Tratamento sintomático conforme grupo químico na bula</t>
        </is>
      </c>
      <c r="T625" s="7" t="inlineStr">
        <is>
          <t>Bayer S.A.</t>
        </is>
      </c>
      <c r="U625" s="10">
        <f>HYPERLINK("https://agrofit.agricultura.gov.br/agrofit_cons/principal_agrofit_cons", "Consulta Oficial AGROFIT/MAPA (Nº 2506)")</f>
        <v/>
      </c>
    </row>
    <row r="626" ht="22" customHeight="1">
      <c r="A626" s="11" t="n">
        <v>621</v>
      </c>
      <c r="B626" s="12" t="inlineStr">
        <is>
          <t>Nº 8912</t>
        </is>
      </c>
      <c r="C626" s="13" t="inlineStr">
        <is>
          <t>CRUCIAL 1X20L</t>
        </is>
      </c>
      <c r="D626" s="14" t="inlineStr">
        <is>
          <t>CRUCIAL</t>
        </is>
      </c>
      <c r="E626" s="13" t="inlineStr">
        <is>
          <t>Produto Formulado Comercial</t>
        </is>
      </c>
      <c r="F626" s="13" t="inlineStr">
        <is>
          <t>Defensivos</t>
        </is>
      </c>
      <c r="G626" s="13" t="inlineStr">
        <is>
          <t>Herbicida</t>
        </is>
      </c>
      <c r="H626" s="13" t="inlineStr">
        <is>
          <t>SL</t>
        </is>
      </c>
      <c r="I626" s="13" t="inlineStr">
        <is>
          <t>Concentrado Solúvel (SL)</t>
        </is>
      </c>
      <c r="J626" s="13" t="inlineStr">
        <is>
          <t>Herbicida sistêmico de pós-emergência (seletivo condicional p/ OGM)</t>
        </is>
      </c>
      <c r="K626" s="13" t="inlineStr">
        <is>
          <t>Glicina substituída</t>
        </is>
      </c>
      <c r="L626" s="13" t="inlineStr">
        <is>
          <t>HRAC Grupo G (9) — Inibidores da EPSPs</t>
        </is>
      </c>
      <c r="M626" s="13" t="inlineStr">
        <is>
          <t>Inibidores da enzima EPSPs (Enoil Piruvil Shiquimato Fosfato Sintase)</t>
        </is>
      </c>
      <c r="N626" s="13" t="inlineStr">
        <is>
          <t>Categoria 5 — Produto Improvável de Causar Dano Agudo</t>
        </is>
      </c>
      <c r="O626" s="13" t="inlineStr">
        <is>
          <t>Azul Intenso</t>
        </is>
      </c>
      <c r="P626" s="13" t="inlineStr">
        <is>
          <t>Classe III / IV — Perigoso a Pouco Perigoso ao Meio Ambiente</t>
        </is>
      </c>
      <c r="Q626" s="15" t="n">
        <v>24</v>
      </c>
      <c r="R626" s="13" t="inlineStr">
        <is>
          <t>Terrestre / Aérea (Drones consultar bula)</t>
        </is>
      </c>
      <c r="S626" s="13" t="inlineStr">
        <is>
          <t>Sem antídoto específico (Atropina ineficaz); tratamento sintomático</t>
        </is>
      </c>
      <c r="T626" s="13" t="inlineStr">
        <is>
          <t>Nufarm / Sumitomo</t>
        </is>
      </c>
      <c r="U626" s="16">
        <f>HYPERLINK("https://www.adapar.pr.gov.br/system/files/publico/Agrotoxicos/lista.pdf", "Bula Oficial Crucial SL (Sumitomo/MAPA 8912)")</f>
        <v/>
      </c>
    </row>
    <row r="627" ht="22" customHeight="1">
      <c r="A627" s="5" t="n">
        <v>622</v>
      </c>
      <c r="B627" s="6" t="inlineStr">
        <is>
          <t>Nº 0122</t>
        </is>
      </c>
      <c r="C627" s="7" t="inlineStr">
        <is>
          <t>EXCALIA MAX 1X20L</t>
        </is>
      </c>
      <c r="D627" s="8" t="inlineStr">
        <is>
          <t>EXCALIA MAX</t>
        </is>
      </c>
      <c r="E627" s="7" t="inlineStr">
        <is>
          <t>Produto Formulado Comercial</t>
        </is>
      </c>
      <c r="F627" s="7" t="inlineStr">
        <is>
          <t>Defensivos</t>
        </is>
      </c>
      <c r="G627" s="7" t="inlineStr">
        <is>
          <t>Fungicida</t>
        </is>
      </c>
      <c r="H627" s="7" t="inlineStr">
        <is>
          <t>SC</t>
        </is>
      </c>
      <c r="I627" s="7" t="inlineStr">
        <is>
          <t>Suspensão Concentrada (SC)</t>
        </is>
      </c>
      <c r="J627" s="7" t="inlineStr">
        <is>
          <t>Fungicida sistêmico preventivo e curativo</t>
        </is>
      </c>
      <c r="K627" s="7" t="inlineStr">
        <is>
          <t>Triazol + Carboxamida (Pirazol-4-carboxamida)</t>
        </is>
      </c>
      <c r="L627" s="7" t="inlineStr">
        <is>
          <t>FRAC Grupo 3 (G1 — DMI) + FRAC Grupo 7 (C2 — SDHI)</t>
        </is>
      </c>
      <c r="M627" s="7" t="inlineStr">
        <is>
          <t>Inibidores da desmetilação do C14 na biossíntese do ergosterol; Inibidores da enzima succinato desidrogenase (Complexo II)</t>
        </is>
      </c>
      <c r="N627" s="7" t="inlineStr">
        <is>
          <t>Categoria 4 — Produto Pouco Tóxico</t>
        </is>
      </c>
      <c r="O627" s="7" t="inlineStr">
        <is>
          <t>Azul PMS Blue 293 C</t>
        </is>
      </c>
      <c r="P627" s="7" t="inlineStr">
        <is>
          <t>Classe II — Produto Muito Perigoso ao Meio Ambiente</t>
        </is>
      </c>
      <c r="Q627" s="9" t="n">
        <v>24</v>
      </c>
      <c r="R627" s="7" t="inlineStr">
        <is>
          <t>Terrestre / Aérea (Drones consultar bula)</t>
        </is>
      </c>
      <c r="S627" s="7" t="inlineStr">
        <is>
          <t>Sem antídoto específico; tratamento sintomático</t>
        </is>
      </c>
      <c r="T627" s="7" t="inlineStr">
        <is>
          <t>Sumitomo Chemical</t>
        </is>
      </c>
      <c r="U627" s="10">
        <f>HYPERLINK("https://agrofit.agricultura.gov.br/agrofit_cons/principal_agrofit_cons", "Consulta Oficial AGROFIT/MAPA (Nº 0122)")</f>
        <v/>
      </c>
    </row>
    <row r="628" ht="22" customHeight="1">
      <c r="A628" s="11" t="n">
        <v>623</v>
      </c>
      <c r="B628" s="12" t="inlineStr">
        <is>
          <t>SIPEAGRO (UF-XXXXX)</t>
        </is>
      </c>
      <c r="C628" s="13" t="inlineStr">
        <is>
          <t>FERT VITAL MANGANES 4X5L</t>
        </is>
      </c>
      <c r="D628" s="14" t="inlineStr">
        <is>
          <t>FERT VITAL MANGANES</t>
        </is>
      </c>
      <c r="E628" s="13" t="inlineStr">
        <is>
          <t>Fertilizante Mineral / Organomineral</t>
        </is>
      </c>
      <c r="F628" s="13" t="inlineStr">
        <is>
          <t>Fertilizantes</t>
        </is>
      </c>
      <c r="G628" s="13" t="inlineStr">
        <is>
          <t>Fertilizante Foliar / Micronutrientes</t>
        </is>
      </c>
      <c r="H628" s="13" t="inlineStr">
        <is>
          <t>SL</t>
        </is>
      </c>
      <c r="I628" s="13" t="inlineStr">
        <is>
          <t>Solução / Suspensão Concentrada Foliar (Fluido)</t>
        </is>
      </c>
      <c r="J628" s="13" t="inlineStr">
        <is>
          <t>Aplicação via solo, fertirrigação ou adubação foliar</t>
        </is>
      </c>
      <c r="K628" s="13" t="inlineStr">
        <is>
          <t>Fertilizante Mineral / Organomineral (Lei nº 6.894/1980)</t>
        </is>
      </c>
      <c r="L628" s="13" t="inlineStr">
        <is>
          <t>Nutrição Vegetal SIPEAGRO</t>
        </is>
      </c>
      <c r="M628" s="13" t="inlineStr">
        <is>
          <t>Fornecimento de macro e micronutrientes essenciais ao metabolismo vegetal</t>
        </is>
      </c>
      <c r="N628" s="13" t="inlineStr">
        <is>
          <t>Isento ANVISA (Produto Fertilizante Registrado no SIPEAGRO/MAPA)</t>
        </is>
      </c>
      <c r="O628" s="13" t="inlineStr">
        <is>
          <t>Não Aplicável (Fertilizante)</t>
        </is>
      </c>
      <c r="P628" s="13" t="inlineStr">
        <is>
          <t>Baixo Potencial Poluidor (Uso conforme recomendação agronômica)</t>
        </is>
      </c>
      <c r="Q628" s="15" t="n">
        <v>0</v>
      </c>
      <c r="R628" s="13" t="inlineStr">
        <is>
          <t>Aplicação Dirigida / TS / Solo</t>
        </is>
      </c>
      <c r="S628" s="13" t="inlineStr">
        <is>
          <t>Tratamento sintomático em caso de ingestão acidental</t>
        </is>
      </c>
      <c r="T628" s="13" t="inlineStr">
        <is>
          <t>Estabelecimento Produtor SIPEAGRO/MAPA</t>
        </is>
      </c>
      <c r="U628" s="16">
        <f>HYPERLINK("https://www.gov.br/agricultura/pt-br/assuntos/insumos-agropecuarios/insumos-agricolas/fertilizantes", "Portal SIPEAGRO / MAPA — Fertilizantes e Bioinsumos")</f>
        <v/>
      </c>
    </row>
    <row r="629" ht="22" customHeight="1">
      <c r="A629" s="5" t="n">
        <v>624</v>
      </c>
      <c r="B629" s="6" t="inlineStr">
        <is>
          <t>Nº 27617</t>
        </is>
      </c>
      <c r="C629" s="7" t="inlineStr">
        <is>
          <t>FLAXTON 4X5L</t>
        </is>
      </c>
      <c r="D629" s="8" t="inlineStr">
        <is>
          <t>FLAXTON</t>
        </is>
      </c>
      <c r="E629" s="7" t="inlineStr">
        <is>
          <t>Produto Formulado Comercial</t>
        </is>
      </c>
      <c r="F629" s="7" t="inlineStr">
        <is>
          <t>Defensivos</t>
        </is>
      </c>
      <c r="G629" s="7" t="inlineStr">
        <is>
          <t>Regulador de Crescimento</t>
        </is>
      </c>
      <c r="H629" s="7" t="inlineStr">
        <is>
          <t>SL</t>
        </is>
      </c>
      <c r="I629" s="7" t="inlineStr">
        <is>
          <t>Concentrado Solúvel (SL)</t>
        </is>
      </c>
      <c r="J629" s="7" t="inlineStr">
        <is>
          <t>Inseticida/acaricida de contato e ingestão</t>
        </is>
      </c>
      <c r="K629" s="7" t="inlineStr">
        <is>
          <t>Amônio Quaternário (Fitorregulador)</t>
        </is>
      </c>
      <c r="L629" s="7" t="inlineStr">
        <is>
          <t>Regulador de Crescimento Vegetal (Inibidor de Giberelina)</t>
        </is>
      </c>
      <c r="M629" s="7" t="inlineStr">
        <is>
          <t>Inibição da biossíntese de giberelinas (redução do crescimento vegetativo)</t>
        </is>
      </c>
      <c r="N629" s="7" t="inlineStr">
        <is>
          <t>Categoria 3 / 4 — Moderadamente a Pouco Tóxico</t>
        </is>
      </c>
      <c r="O629" s="7" t="inlineStr">
        <is>
          <t>Amarelo / Azul</t>
        </is>
      </c>
      <c r="P629" s="7" t="inlineStr">
        <is>
          <t>Classe II — Produto Muito Perigoso ao Meio Ambiente</t>
        </is>
      </c>
      <c r="Q629" s="9" t="n">
        <v>24</v>
      </c>
      <c r="R629" s="7" t="inlineStr">
        <is>
          <t>Terrestre / Aérea (Drones consultar bula)</t>
        </is>
      </c>
      <c r="S629" s="7" t="inlineStr">
        <is>
          <t>Tratamento sintomático conforme grupo químico na bula</t>
        </is>
      </c>
      <c r="T629" s="7" t="inlineStr">
        <is>
          <t>ADAMA BRASIL S/A</t>
        </is>
      </c>
      <c r="U629" s="10">
        <f>HYPERLINK("https://www.adapar.pr.gov.br/Pagina/Agrotoxicos-Herbicidas", "Registro Oficial Flaxton 250 SL (MAPA 27617)")</f>
        <v/>
      </c>
    </row>
    <row r="630" ht="22" customHeight="1">
      <c r="A630" s="11" t="n">
        <v>625</v>
      </c>
      <c r="B630" s="12" t="inlineStr">
        <is>
          <t>ISENTO (ATO 104/2017)</t>
        </is>
      </c>
      <c r="C630" s="13" t="inlineStr">
        <is>
          <t>SPREAD COMBO 1X1L</t>
        </is>
      </c>
      <c r="D630" s="14" t="inlineStr">
        <is>
          <t>SPREAD COMBO</t>
        </is>
      </c>
      <c r="E630" s="13" t="inlineStr">
        <is>
          <t>Adjuvante / Espalhante Adesivo</t>
        </is>
      </c>
      <c r="F630" s="13" t="inlineStr">
        <is>
          <t>Adjuvantes</t>
        </is>
      </c>
      <c r="G630" s="13" t="inlineStr">
        <is>
          <t>Adjuvante Espalhante / Surfactante / Redutor de pH e Deriva</t>
        </is>
      </c>
      <c r="H630" s="13" t="inlineStr">
        <is>
          <t>EC</t>
        </is>
      </c>
      <c r="I630" s="13" t="inlineStr">
        <is>
          <t>Concentrado Emulsionável (EC)</t>
        </is>
      </c>
      <c r="J630" s="13" t="inlineStr">
        <is>
          <t>Aditivo físico-químico para calda de pulverização</t>
        </is>
      </c>
      <c r="K630" s="13" t="inlineStr">
        <is>
          <t>Éster Metílico / Hidrocarboneto Parafínico / Tensoativo Siliconado</t>
        </is>
      </c>
      <c r="L630" s="13" t="inlineStr">
        <is>
          <t>Adjuvante Tecnológico de Pulverização</t>
        </is>
      </c>
      <c r="M630" s="13" t="inlineStr">
        <is>
          <t>Redução da tensão superficial, espalhamento, anti-deriva e penetração cuticular</t>
        </is>
      </c>
      <c r="N630" s="13" t="inlineStr">
        <is>
          <t>Isento / Ato SDA nº 104/2017 (ou Categoria 5 quando registrado)</t>
        </is>
      </c>
      <c r="O630" s="13" t="inlineStr">
        <is>
          <t>Azul / Isento</t>
        </is>
      </c>
      <c r="P630" s="13" t="inlineStr">
        <is>
          <t>Classe IV — Pouco Perigoso ao Meio Ambiente</t>
        </is>
      </c>
      <c r="Q630" s="15" t="n">
        <v>24</v>
      </c>
      <c r="R630" s="13" t="inlineStr">
        <is>
          <t>Terrestre / Aérea (Drones consultar bula)</t>
        </is>
      </c>
      <c r="S630" s="13" t="inlineStr">
        <is>
          <t>Tratamento sintomático; evitar indução de vômito em derivados de petróleo</t>
        </is>
      </c>
      <c r="T630" s="13" t="inlineStr">
        <is>
          <t>Dispensado de Registro (Ato SDA nº 104/2017)</t>
        </is>
      </c>
      <c r="U630" s="16">
        <f>HYPERLINK("https://www.gov.br/agricultura/pt-br/assuntos/insumos-agropecuarios/insumos-agricolas/agrotoxicos/legislacao", "Ato SDA/MAPA nº 104/2017 — Adjuvantes Agrícolas")</f>
        <v/>
      </c>
    </row>
    <row r="631" ht="22" customHeight="1">
      <c r="A631" s="5" t="n">
        <v>626</v>
      </c>
      <c r="B631" s="6" t="inlineStr">
        <is>
          <t>Nº 21221</t>
        </is>
      </c>
      <c r="C631" s="7" t="inlineStr">
        <is>
          <t>GOEMON 1X20L</t>
        </is>
      </c>
      <c r="D631" s="8" t="inlineStr">
        <is>
          <t>GOEMON</t>
        </is>
      </c>
      <c r="E631" s="7" t="inlineStr">
        <is>
          <t>Produto Formulado Comercial</t>
        </is>
      </c>
      <c r="F631" s="7" t="inlineStr">
        <is>
          <t>Defensivos</t>
        </is>
      </c>
      <c r="G631" s="7" t="inlineStr">
        <is>
          <t>Inseticida</t>
        </is>
      </c>
      <c r="H631" s="7" t="inlineStr">
        <is>
          <t>SL</t>
        </is>
      </c>
      <c r="I631" s="7" t="inlineStr">
        <is>
          <t>Concentrado Solúvel (SL)</t>
        </is>
      </c>
      <c r="J631" s="7" t="inlineStr">
        <is>
          <t>Inseticida/acaricida de contato e ingestão</t>
        </is>
      </c>
      <c r="K631" s="7" t="inlineStr">
        <is>
          <t>Diamida Antranílica</t>
        </is>
      </c>
      <c r="L631" s="7" t="inlineStr">
        <is>
          <t>IRAC Grupo 28</t>
        </is>
      </c>
      <c r="M631" s="7" t="inlineStr">
        <is>
          <t>Moduladores dos receptores de rianodina (RyR)</t>
        </is>
      </c>
      <c r="N631" s="7" t="inlineStr">
        <is>
          <t>Categoria 3 / 4 — Moderadamente a Pouco Tóxico</t>
        </is>
      </c>
      <c r="O631" s="7" t="inlineStr">
        <is>
          <t>Amarelo / Azul</t>
        </is>
      </c>
      <c r="P631" s="7" t="inlineStr">
        <is>
          <t>Classe II — Produto Muito Perigoso ao Meio Ambiente</t>
        </is>
      </c>
      <c r="Q631" s="9" t="n">
        <v>24</v>
      </c>
      <c r="R631" s="7" t="inlineStr">
        <is>
          <t>Terrestre / Aérea (Drones consultar bula)</t>
        </is>
      </c>
      <c r="S631" s="7" t="inlineStr">
        <is>
          <t>Tratamento sintomático conforme grupo químico na bula</t>
        </is>
      </c>
      <c r="T631" s="7" t="inlineStr">
        <is>
          <t>ISK BIOSCIENCES DO BRASIL DEFENSIVOS AGRÍCOLAS LTDA.</t>
        </is>
      </c>
      <c r="U631" s="10">
        <f>HYPERLINK("https://www.agrolink.com.br/agrolinkfito/produto/goemon_11579.html", "Bula Oficial Goemon 50 SL/EC (ISK - MAPA 21221)")</f>
        <v/>
      </c>
    </row>
    <row r="632" ht="22" customHeight="1">
      <c r="A632" s="11" t="n">
        <v>627</v>
      </c>
      <c r="B632" s="12" t="inlineStr">
        <is>
          <t>Nº 22622</t>
        </is>
      </c>
      <c r="C632" s="13" t="inlineStr">
        <is>
          <t>SENSUS 4X5L</t>
        </is>
      </c>
      <c r="D632" s="14" t="inlineStr">
        <is>
          <t>SENSUS</t>
        </is>
      </c>
      <c r="E632" s="13" t="inlineStr">
        <is>
          <t>Produto Formulado Comercial</t>
        </is>
      </c>
      <c r="F632" s="13" t="inlineStr">
        <is>
          <t>Defensivos</t>
        </is>
      </c>
      <c r="G632" s="13" t="inlineStr">
        <is>
          <t>Herbicida</t>
        </is>
      </c>
      <c r="H632" s="13" t="inlineStr">
        <is>
          <t>CS</t>
        </is>
      </c>
      <c r="I632" s="13" t="inlineStr">
        <is>
          <t>Suspensão de Encapsulado (CS)</t>
        </is>
      </c>
      <c r="J632" s="13" t="inlineStr">
        <is>
          <t>Herbicida seletivo sistêmico pré-emergente</t>
        </is>
      </c>
      <c r="K632" s="13" t="inlineStr">
        <is>
          <t>Isoxazolidinona</t>
        </is>
      </c>
      <c r="L632" s="13" t="inlineStr">
        <is>
          <t>HRAC Grupo F4 (13) — Inibidores da DOXP sintase</t>
        </is>
      </c>
      <c r="M632" s="13" t="inlineStr">
        <is>
          <t>Inibidores da 1-deoxi-D-xilulose 5-fosfato sintase (biossíntese de plastoquinona/carotenoides)</t>
        </is>
      </c>
      <c r="N632" s="13" t="inlineStr">
        <is>
          <t>Categoria 4 — Produto Pouco Tóxico</t>
        </is>
      </c>
      <c r="O632" s="13" t="inlineStr">
        <is>
          <t>Azul PMS Blue 293 C</t>
        </is>
      </c>
      <c r="P632" s="13" t="inlineStr">
        <is>
          <t>Classe II — Produto Muito Perigoso ao Meio Ambiente</t>
        </is>
      </c>
      <c r="Q632" s="15" t="n">
        <v>24</v>
      </c>
      <c r="R632" s="13" t="inlineStr">
        <is>
          <t>Terrestre / Aérea (Drones consultar bula)</t>
        </is>
      </c>
      <c r="S632" s="13" t="inlineStr">
        <is>
          <t>Sem antídoto específico; tratamento sintomático</t>
        </is>
      </c>
      <c r="T632" s="13" t="inlineStr">
        <is>
          <t>RAINBOW DEFENSIVOS AGRÍCOLAS LTDA.</t>
        </is>
      </c>
      <c r="U632" s="16">
        <f>HYPERLINK("https://www.adapar.pr.gov.br/Pagina/Agrotoxicos-Herbicidas", "Registro Oficial Sensus 250 CS (MAPA 22622)")</f>
        <v/>
      </c>
    </row>
    <row r="633" ht="22" customHeight="1">
      <c r="A633" s="5" t="n">
        <v>628</v>
      </c>
      <c r="B633" s="6" t="inlineStr">
        <is>
          <t>Nº 35619</t>
        </is>
      </c>
      <c r="C633" s="7" t="inlineStr">
        <is>
          <t>MAXSAN 4X5L</t>
        </is>
      </c>
      <c r="D633" s="8" t="inlineStr">
        <is>
          <t>MAXSAN</t>
        </is>
      </c>
      <c r="E633" s="7" t="inlineStr">
        <is>
          <t>Produto Formulado Comercial</t>
        </is>
      </c>
      <c r="F633" s="7" t="inlineStr">
        <is>
          <t>Defensivos</t>
        </is>
      </c>
      <c r="G633" s="7" t="inlineStr">
        <is>
          <t>Inseticida</t>
        </is>
      </c>
      <c r="H633" s="7" t="inlineStr">
        <is>
          <t>SC</t>
        </is>
      </c>
      <c r="I633" s="7" t="inlineStr">
        <is>
          <t>Suspensão Concentrada (SC)</t>
        </is>
      </c>
      <c r="J633" s="7" t="inlineStr">
        <is>
          <t>Inseticida fisiológico regulador de crescimento (contato e translaminar)</t>
        </is>
      </c>
      <c r="K633" s="7" t="inlineStr">
        <is>
          <t>Neonicotinoide (Nitroguanidina)</t>
        </is>
      </c>
      <c r="L633" s="7" t="inlineStr">
        <is>
          <t>IRAC Grupo 4A</t>
        </is>
      </c>
      <c r="M633" s="7" t="inlineStr">
        <is>
          <t>Moduladores competitivos dos receptores nicotínicos da acetilcolina (nAChR)</t>
        </is>
      </c>
      <c r="N633" s="7" t="inlineStr">
        <is>
          <t>Categoria 5 — Produto Improvável de Causar Dano Agudo</t>
        </is>
      </c>
      <c r="O633" s="7" t="inlineStr">
        <is>
          <t>Azul Intenso</t>
        </is>
      </c>
      <c r="P633" s="7" t="inlineStr">
        <is>
          <t>Classe II — Produto Muito Perigoso ao Meio Ambiente</t>
        </is>
      </c>
      <c r="Q633" s="9" t="n">
        <v>24</v>
      </c>
      <c r="R633" s="7" t="inlineStr">
        <is>
          <t>Terrestre / Aérea (Drones consultar bula)</t>
        </is>
      </c>
      <c r="S633" s="7" t="inlineStr">
        <is>
          <t>Sem antídoto específico; tratamento sintomático</t>
        </is>
      </c>
      <c r="T633" s="7" t="inlineStr">
        <is>
          <t>IHARABRAS S.A. INDÚSTRIAS QUÍMICAS</t>
        </is>
      </c>
      <c r="U633" s="10">
        <f>HYPERLINK("https://www.adapar.pr.gov.br/system/files/publico/Agrotoxicos/lista.pdf", "Registro Oficial Maxsan (Ihara - MAPA 35619)")</f>
        <v/>
      </c>
    </row>
    <row r="634" ht="22" customHeight="1">
      <c r="A634" s="11" t="n">
        <v>629</v>
      </c>
      <c r="B634" s="12" t="inlineStr">
        <is>
          <t>SIPEAGRO (UF-XXXXX)</t>
        </is>
      </c>
      <c r="C634" s="13" t="inlineStr">
        <is>
          <t>SOJA KRAFT 10 1X1L</t>
        </is>
      </c>
      <c r="D634" s="14" t="inlineStr">
        <is>
          <t>SOJA KRAFT 10</t>
        </is>
      </c>
      <c r="E634" s="13" t="inlineStr">
        <is>
          <t>Fertilizante Mineral / Organomineral</t>
        </is>
      </c>
      <c r="F634" s="13" t="inlineStr">
        <is>
          <t>Fertilizantes</t>
        </is>
      </c>
      <c r="G634" s="13" t="inlineStr">
        <is>
          <t>Fertilizante Mineral Simples (Fosfatado)</t>
        </is>
      </c>
      <c r="H634" s="13" t="inlineStr">
        <is>
          <t>SL</t>
        </is>
      </c>
      <c r="I634" s="13" t="inlineStr">
        <is>
          <t>Solução / Suspensão Concentrada Foliar (Fluido)</t>
        </is>
      </c>
      <c r="J634" s="13" t="inlineStr">
        <is>
          <t>Aplicação via solo, fertirrigação ou adubação foliar</t>
        </is>
      </c>
      <c r="K634" s="13" t="inlineStr">
        <is>
          <t>Fertilizante Mineral / Organomineral (Lei nº 6.894/1980)</t>
        </is>
      </c>
      <c r="L634" s="13" t="inlineStr">
        <is>
          <t>Nutrição Vegetal SIPEAGRO</t>
        </is>
      </c>
      <c r="M634" s="13" t="inlineStr">
        <is>
          <t>Fornecimento de macro e micronutrientes essenciais ao metabolismo vegetal</t>
        </is>
      </c>
      <c r="N634" s="13" t="inlineStr">
        <is>
          <t>Isento ANVISA (Produto Fertilizante Registrado no SIPEAGRO/MAPA)</t>
        </is>
      </c>
      <c r="O634" s="13" t="inlineStr">
        <is>
          <t>Não Aplicável (Fertilizante)</t>
        </is>
      </c>
      <c r="P634" s="13" t="inlineStr">
        <is>
          <t>Baixo Potencial Poluidor (Uso conforme recomendação agronômica)</t>
        </is>
      </c>
      <c r="Q634" s="15" t="n">
        <v>0</v>
      </c>
      <c r="R634" s="13" t="inlineStr">
        <is>
          <t>Aplicação Dirigida / TS / Solo</t>
        </is>
      </c>
      <c r="S634" s="13" t="inlineStr">
        <is>
          <t>Tratamento sintomático em caso de ingestão acidental</t>
        </is>
      </c>
      <c r="T634" s="13" t="inlineStr">
        <is>
          <t>Estabelecimento Produtor SIPEAGRO/MAPA</t>
        </is>
      </c>
      <c r="U634" s="16">
        <f>HYPERLINK("https://www.gov.br/agricultura/pt-br/assuntos/insumos-agropecuarios/insumos-agricolas/fertilizantes", "Portal SIPEAGRO / MAPA — Fertilizantes e Bioinsumos")</f>
        <v/>
      </c>
    </row>
    <row r="635" ht="22" customHeight="1">
      <c r="A635" s="5" t="n">
        <v>630</v>
      </c>
      <c r="B635" s="6" t="inlineStr">
        <is>
          <t>Nº 8608</t>
        </is>
      </c>
      <c r="C635" s="7" t="inlineStr">
        <is>
          <t>SPHERE MAX SC 1X1L</t>
        </is>
      </c>
      <c r="D635" s="8" t="inlineStr">
        <is>
          <t>SPHERE MAX SC</t>
        </is>
      </c>
      <c r="E635" s="7" t="inlineStr">
        <is>
          <t>Produto Formulado Comercial</t>
        </is>
      </c>
      <c r="F635" s="7" t="inlineStr">
        <is>
          <t>Defensivos</t>
        </is>
      </c>
      <c r="G635" s="7" t="inlineStr">
        <is>
          <t>Fungicida</t>
        </is>
      </c>
      <c r="H635" s="7" t="inlineStr">
        <is>
          <t>SC</t>
        </is>
      </c>
      <c r="I635" s="7" t="inlineStr">
        <is>
          <t>Suspensão Concentrada (SC)</t>
        </is>
      </c>
      <c r="J635" s="7" t="inlineStr">
        <is>
          <t>Fungicida mesostêmico preventivo e curativo</t>
        </is>
      </c>
      <c r="K635" s="7" t="inlineStr">
        <is>
          <t>Estrobilurina (Oximinoacetato) + Triazol</t>
        </is>
      </c>
      <c r="L635" s="7" t="inlineStr">
        <is>
          <t>FRAC Grupo 11 (C3 — QoI) + FRAC Grupo 3 (G1 — DMI)</t>
        </is>
      </c>
      <c r="M635" s="7" t="inlineStr">
        <is>
          <t>Inibidores da respiração mitocondrial no Complexo III (sítio Qo); Inibidores da desmetilação do C14 na biossíntese do ergosterol</t>
        </is>
      </c>
      <c r="N635" s="7" t="inlineStr">
        <is>
          <t>Categoria 4 / 5 — Pouco Tóxico</t>
        </is>
      </c>
      <c r="O635" s="7" t="inlineStr">
        <is>
          <t>Azul Intenso</t>
        </is>
      </c>
      <c r="P635" s="7" t="inlineStr">
        <is>
          <t>Classe II — Produto Muito Perigoso ao Meio Ambiente</t>
        </is>
      </c>
      <c r="Q635" s="9" t="n">
        <v>24</v>
      </c>
      <c r="R635" s="7" t="inlineStr">
        <is>
          <t>Terrestre / Aérea (Drones consultar bula)</t>
        </is>
      </c>
      <c r="S635" s="7" t="inlineStr">
        <is>
          <t>Sem antídoto específico; tratamento sintomático</t>
        </is>
      </c>
      <c r="T635" s="7" t="inlineStr">
        <is>
          <t>Bayer S.A.</t>
        </is>
      </c>
      <c r="U635" s="10">
        <f>HYPERLINK("https://calculadorarural.com.br/defensivos/produto/sphere-max", "Bula Oficial Sphere Max (Bayer/MAPA 8608)")</f>
        <v/>
      </c>
    </row>
    <row r="636" ht="22" customHeight="1">
      <c r="A636" s="11" t="n">
        <v>631</v>
      </c>
      <c r="B636" s="12" t="inlineStr">
        <is>
          <t>Nº 37019</t>
        </is>
      </c>
      <c r="C636" s="13" t="inlineStr">
        <is>
          <t>IMPAR BR 4X5L</t>
        </is>
      </c>
      <c r="D636" s="14" t="inlineStr">
        <is>
          <t>IMPAR BR</t>
        </is>
      </c>
      <c r="E636" s="13" t="inlineStr">
        <is>
          <t>Produto Formulado Comercial</t>
        </is>
      </c>
      <c r="F636" s="13" t="inlineStr">
        <is>
          <t>Defensivos</t>
        </is>
      </c>
      <c r="G636" s="13" t="inlineStr">
        <is>
          <t>Inseticida</t>
        </is>
      </c>
      <c r="H636" s="13" t="inlineStr">
        <is>
          <t>FS</t>
        </is>
      </c>
      <c r="I636" s="13" t="inlineStr">
        <is>
          <t>Suspensão Concentrada para Tratamento de Sementes (FS)</t>
        </is>
      </c>
      <c r="J636" s="13" t="inlineStr">
        <is>
          <t>Inseticida/acaricida de contato e ingestão</t>
        </is>
      </c>
      <c r="K636" s="13" t="inlineStr">
        <is>
          <t>Neonicotinoide (Tianicotinil)</t>
        </is>
      </c>
      <c r="L636" s="13" t="inlineStr">
        <is>
          <t>IRAC Grupo 4A</t>
        </is>
      </c>
      <c r="M636" s="13" t="inlineStr">
        <is>
          <t>Moduladores competitivos dos receptores nicotínicos da acetilcolina (nAChR)</t>
        </is>
      </c>
      <c r="N636" s="13" t="inlineStr">
        <is>
          <t>Categoria 3 / 4 — Moderadamente a Pouco Tóxico</t>
        </is>
      </c>
      <c r="O636" s="13" t="inlineStr">
        <is>
          <t>Amarelo / Azul</t>
        </is>
      </c>
      <c r="P636" s="13" t="inlineStr">
        <is>
          <t>Classe II — Produto Muito Perigoso ao Meio Ambiente</t>
        </is>
      </c>
      <c r="Q636" s="15" t="n">
        <v>24</v>
      </c>
      <c r="R636" s="13" t="inlineStr">
        <is>
          <t>Terrestre / Aérea (Drones consultar bula)</t>
        </is>
      </c>
      <c r="S636" s="13" t="inlineStr">
        <is>
          <t>Tratamento sintomático conforme grupo químico na bula</t>
        </is>
      </c>
      <c r="T636" s="13" t="inlineStr">
        <is>
          <t>OURO FINO QUÍMICA S.A.</t>
        </is>
      </c>
      <c r="U636" s="16">
        <f>HYPERLINK("https://www.adapar.pr.gov.br/system/files/publico/Agrotoxicos/lista.pdf", "Registro Oficial Impar BR 350 FS (MAPA 37019)")</f>
        <v/>
      </c>
    </row>
    <row r="637" ht="22" customHeight="1">
      <c r="A637" s="5" t="n">
        <v>632</v>
      </c>
      <c r="B637" s="6" t="inlineStr">
        <is>
          <t>Nº 28320</t>
        </is>
      </c>
      <c r="C637" s="7" t="inlineStr">
        <is>
          <t>ALLUS 1X20L</t>
        </is>
      </c>
      <c r="D637" s="8" t="inlineStr">
        <is>
          <t>ALLUS</t>
        </is>
      </c>
      <c r="E637" s="7" t="inlineStr">
        <is>
          <t>Produto Formulado Comercial</t>
        </is>
      </c>
      <c r="F637" s="7" t="inlineStr">
        <is>
          <t>Defensivos</t>
        </is>
      </c>
      <c r="G637" s="7" t="inlineStr">
        <is>
          <t>Herbicida</t>
        </is>
      </c>
      <c r="H637" s="7" t="inlineStr">
        <is>
          <t>SC</t>
        </is>
      </c>
      <c r="I637" s="7" t="inlineStr">
        <is>
          <t>SC - Suspensão Concentrada</t>
        </is>
      </c>
      <c r="J637" s="7" t="inlineStr">
        <is>
          <t>Herbicida de pré ou pós-emergência</t>
        </is>
      </c>
      <c r="K637" s="7" t="inlineStr">
        <is>
          <t>Imidazolinona</t>
        </is>
      </c>
      <c r="L637" s="7" t="inlineStr">
        <is>
          <t>HRAC Grupo B (2) — Inibidores da ALS</t>
        </is>
      </c>
      <c r="M637" s="7" t="inlineStr">
        <is>
          <t>Inibição da enzima acetolactato sintase (ALS / AHAS)</t>
        </is>
      </c>
      <c r="N637" s="7" t="inlineStr">
        <is>
          <t>Categoria 5: Produto Improvável de Causa Dano Agudo</t>
        </is>
      </c>
      <c r="O637" s="7" t="inlineStr">
        <is>
          <t>Azul</t>
        </is>
      </c>
      <c r="P637" s="7" t="inlineStr">
        <is>
          <t>Classe II / III — Perigoso ao Meio Ambiente</t>
        </is>
      </c>
      <c r="Q637" s="9" t="n">
        <v>24</v>
      </c>
      <c r="R637" s="7" t="inlineStr">
        <is>
          <t>Terrestre / Aérea (Drones consultar bula)</t>
        </is>
      </c>
      <c r="S637" s="7" t="inlineStr">
        <is>
          <t>Sem antídoto específico; tratamento sintomático e descontaminação</t>
        </is>
      </c>
      <c r="T637" s="7" t="inlineStr">
        <is>
          <t>HELM DO BRASIL</t>
        </is>
      </c>
      <c r="U637" s="10">
        <f>HYPERLINK("https://agrofit.agricultura.gov.br/agrofit_cons/principal_agrofit_cons", "Consulta Oficial AGROFIT/MAPA (Nº 28320)")</f>
        <v/>
      </c>
    </row>
    <row r="638" ht="22" customHeight="1">
      <c r="A638" s="11" t="n">
        <v>633</v>
      </c>
      <c r="B638" s="12" t="inlineStr">
        <is>
          <t>Nº 4007</t>
        </is>
      </c>
      <c r="C638" s="13" t="inlineStr">
        <is>
          <t>APRON RFC 4X5L</t>
        </is>
      </c>
      <c r="D638" s="14" t="inlineStr">
        <is>
          <t>APRON RFC</t>
        </is>
      </c>
      <c r="E638" s="13" t="inlineStr">
        <is>
          <t>Produto Formulado Comercial</t>
        </is>
      </c>
      <c r="F638" s="13" t="inlineStr">
        <is>
          <t>Defensivos</t>
        </is>
      </c>
      <c r="G638" s="13" t="inlineStr">
        <is>
          <t>Fungicida</t>
        </is>
      </c>
      <c r="H638" s="13" t="inlineStr">
        <is>
          <t>FS</t>
        </is>
      </c>
      <c r="I638" s="13" t="inlineStr">
        <is>
          <t>FS - Suspensão Conc. p/ Tratamento de Sementes</t>
        </is>
      </c>
      <c r="J638" s="13" t="inlineStr">
        <is>
          <t>Fungicida preventivo e curativo foliar</t>
        </is>
      </c>
      <c r="K638" s="13" t="inlineStr">
        <is>
          <t>Acilalanina (Fenilamida)</t>
        </is>
      </c>
      <c r="L638" s="13" t="inlineStr">
        <is>
          <t>FRAC Grupo 4 (A1 — PA)</t>
        </is>
      </c>
      <c r="M638" s="13" t="inlineStr">
        <is>
          <t>Inibidor da RNA polimerase I (síntese de ácido nucleico)</t>
        </is>
      </c>
      <c r="N638" s="13" t="inlineStr">
        <is>
          <t>Categoria 5: Produto Improvável de Causa Dano Agudo</t>
        </is>
      </c>
      <c r="O638" s="13" t="inlineStr">
        <is>
          <t>Azul</t>
        </is>
      </c>
      <c r="P638" s="13" t="inlineStr">
        <is>
          <t>Classe II — Produto Muito Perigoso ao Meio Ambiente</t>
        </is>
      </c>
      <c r="Q638" s="15" t="n">
        <v>24</v>
      </c>
      <c r="R638" s="13" t="inlineStr">
        <is>
          <t>Terrestre / Aérea (Drones consultar bula)</t>
        </is>
      </c>
      <c r="S638" s="13" t="inlineStr">
        <is>
          <t>Sem antídoto específico; tratamento sintomático</t>
        </is>
      </c>
      <c r="T638" s="13" t="inlineStr">
        <is>
          <t>SYNGENTA PROTECAO DE CULTIVOS LTDA</t>
        </is>
      </c>
      <c r="U638" s="16">
        <f>HYPERLINK("https://agrofit.agricultura.gov.br/agrofit_cons/principal_agrofit_cons", "Consulta Oficial AGROFIT/MAPA (Nº 4007)")</f>
        <v/>
      </c>
    </row>
    <row r="639" ht="22" customHeight="1">
      <c r="A639" s="5" t="n">
        <v>634</v>
      </c>
      <c r="B639" s="6" t="inlineStr">
        <is>
          <t>SIPEAGRO (UF-XXXXX)</t>
        </is>
      </c>
      <c r="C639" s="7" t="inlineStr">
        <is>
          <t>BASEK S25 1X20L</t>
        </is>
      </c>
      <c r="D639" s="8" t="inlineStr">
        <is>
          <t>BASEK S25</t>
        </is>
      </c>
      <c r="E639" s="7" t="inlineStr">
        <is>
          <t>Fertilizante Mineral / Organomineral</t>
        </is>
      </c>
      <c r="F639" s="7" t="inlineStr">
        <is>
          <t>Fertilizantes</t>
        </is>
      </c>
      <c r="G639" s="7" t="inlineStr">
        <is>
          <t>Fertilizante Mineral Simples (Potássico / Magnesiano)</t>
        </is>
      </c>
      <c r="H639" s="7" t="inlineStr">
        <is>
          <t>SL</t>
        </is>
      </c>
      <c r="I639" s="7" t="inlineStr">
        <is>
          <t>Solução / Suspensão Concentrada Foliar (Fluido)</t>
        </is>
      </c>
      <c r="J639" s="7" t="inlineStr">
        <is>
          <t>Aplicação via solo, fertirrigação ou adubação foliar</t>
        </is>
      </c>
      <c r="K639" s="7" t="inlineStr">
        <is>
          <t>Fertilizante Mineral / Organomineral (Lei nº 6.894/1980)</t>
        </is>
      </c>
      <c r="L639" s="7" t="inlineStr">
        <is>
          <t>Nutrição Vegetal SIPEAGRO</t>
        </is>
      </c>
      <c r="M639" s="7" t="inlineStr">
        <is>
          <t>Fornecimento de macro e micronutrientes essenciais ao metabolismo vegetal</t>
        </is>
      </c>
      <c r="N639" s="7" t="inlineStr">
        <is>
          <t>Isento ANVISA (Produto Fertilizante Registrado no SIPEAGRO/MAPA)</t>
        </is>
      </c>
      <c r="O639" s="7" t="inlineStr">
        <is>
          <t>Não Aplicável (Fertilizante)</t>
        </is>
      </c>
      <c r="P639" s="7" t="inlineStr">
        <is>
          <t>Baixo Potencial Poluidor (Uso conforme recomendação agronômica)</t>
        </is>
      </c>
      <c r="Q639" s="9" t="n">
        <v>0</v>
      </c>
      <c r="R639" s="7" t="inlineStr">
        <is>
          <t>Aplicação Dirigida / TS / Solo</t>
        </is>
      </c>
      <c r="S639" s="7" t="inlineStr">
        <is>
          <t>Tratamento sintomático em caso de ingestão acidental</t>
        </is>
      </c>
      <c r="T639" s="7" t="inlineStr">
        <is>
          <t>Estabelecimento Produtor SIPEAGRO/MAPA</t>
        </is>
      </c>
      <c r="U639" s="10">
        <f>HYPERLINK("https://www.gov.br/agricultura/pt-br/assuntos/insumos-agropecuarios/insumos-agricolas/fertilizantes", "Portal SIPEAGRO / MAPA — Fertilizantes e Bioinsumos")</f>
        <v/>
      </c>
    </row>
    <row r="640" ht="22" customHeight="1">
      <c r="A640" s="11" t="n">
        <v>635</v>
      </c>
      <c r="B640" s="12" t="inlineStr">
        <is>
          <t>Nº 44024</t>
        </is>
      </c>
      <c r="C640" s="13" t="inlineStr">
        <is>
          <t>BIOKILLER 4X5L</t>
        </is>
      </c>
      <c r="D640" s="14" t="inlineStr">
        <is>
          <t>BIOKILLER</t>
        </is>
      </c>
      <c r="E640" s="13" t="inlineStr">
        <is>
          <t>Produto Formulado Comercial</t>
        </is>
      </c>
      <c r="F640" s="13" t="inlineStr">
        <is>
          <t>Defensivos</t>
        </is>
      </c>
      <c r="G640" s="13" t="inlineStr">
        <is>
          <t>Bioinseticida (Biológico)</t>
        </is>
      </c>
      <c r="H640" s="13" t="inlineStr">
        <is>
          <t>SC</t>
        </is>
      </c>
      <c r="I640" s="13" t="inlineStr">
        <is>
          <t>Suspensão Concentrada / Dispersão em Óleo (SC/OD)</t>
        </is>
      </c>
      <c r="J640" s="13" t="inlineStr">
        <is>
          <t>Micoinseticida e micoacaricida biológico de contato</t>
        </is>
      </c>
      <c r="K640" s="13" t="inlineStr">
        <is>
          <t>Agente Microbiológico de Controle (Fungo Entomopatogênico)</t>
        </is>
      </c>
      <c r="L640" s="13" t="inlineStr">
        <is>
          <t>IRAC Grupo UNF — Bioinseticida Microbiológico</t>
        </is>
      </c>
      <c r="M640" s="13" t="inlineStr">
        <is>
          <t>Infecção tegumentar por conídios, penetração hemocélica e produção de destruxinas</t>
        </is>
      </c>
      <c r="N640" s="13" t="inlineStr">
        <is>
          <t>Categoria 5 / Não Classificado — Baixo Risco Agudo</t>
        </is>
      </c>
      <c r="O640" s="13" t="inlineStr">
        <is>
          <t>Azul Intenso</t>
        </is>
      </c>
      <c r="P640" s="13" t="inlineStr">
        <is>
          <t>Classe IV — Produto Pouco Perigoso ao Meio Ambiente</t>
        </is>
      </c>
      <c r="Q640" s="15" t="n">
        <v>24</v>
      </c>
      <c r="R640" s="13" t="inlineStr">
        <is>
          <t>Terrestre / Aérea (Drones consultar bula)</t>
        </is>
      </c>
      <c r="S640" s="13" t="inlineStr">
        <is>
          <t>Sem antídoto; tratamento sintomático em caso de hipersensibilidade/alergia</t>
        </is>
      </c>
      <c r="T640" s="13" t="inlineStr">
        <is>
          <t>Serquibio Biotecnologia Ltda.</t>
        </is>
      </c>
      <c r="U640" s="16">
        <f>HYPERLINK("https://bioprotectionportal.com/pt/productdetails/bowe-19500478/?country=br", "Registro Oficial Bowe / Biokiller (Serquibio/MAPA 44024)")</f>
        <v/>
      </c>
    </row>
    <row r="641" ht="22" customHeight="1">
      <c r="A641" s="5" t="n">
        <v>636</v>
      </c>
      <c r="B641" s="6" t="inlineStr">
        <is>
          <t>Nº 13019</t>
        </is>
      </c>
      <c r="C641" s="7" t="inlineStr">
        <is>
          <t>CONVENCE FS 1X1L</t>
        </is>
      </c>
      <c r="D641" s="8" t="inlineStr">
        <is>
          <t>CONVENCE FS</t>
        </is>
      </c>
      <c r="E641" s="7" t="inlineStr">
        <is>
          <t>Produto Formulado Comercial</t>
        </is>
      </c>
      <c r="F641" s="7" t="inlineStr">
        <is>
          <t>Defensivos</t>
        </is>
      </c>
      <c r="G641" s="7" t="inlineStr">
        <is>
          <t>Inseticida</t>
        </is>
      </c>
      <c r="H641" s="7" t="inlineStr">
        <is>
          <t>FS</t>
        </is>
      </c>
      <c r="I641" s="7" t="inlineStr">
        <is>
          <t>Suspensão Concentrada para Tratamento de Sementes (FS)</t>
        </is>
      </c>
      <c r="J641" s="7" t="inlineStr">
        <is>
          <t>Inseticida, cupinicida e formicida de contato e ingestão (TS / Solo)</t>
        </is>
      </c>
      <c r="K641" s="7" t="inlineStr">
        <is>
          <t>Pirazol (Fenilpirazol)</t>
        </is>
      </c>
      <c r="L641" s="7" t="inlineStr">
        <is>
          <t>IRAC Grupo 2B</t>
        </is>
      </c>
      <c r="M641" s="7" t="inlineStr">
        <is>
          <t>Bloqueadores de canais de cloro mediados pelo GABA</t>
        </is>
      </c>
      <c r="N641" s="7" t="inlineStr">
        <is>
          <t>Categoria 3 — Produto Moderadamente Tóxico</t>
        </is>
      </c>
      <c r="O641" s="7" t="inlineStr">
        <is>
          <t>Amarelo PMS Yellow C</t>
        </is>
      </c>
      <c r="P641" s="7" t="inlineStr">
        <is>
          <t>Classe II — Produto Muito Perigoso ao Meio Ambiente</t>
        </is>
      </c>
      <c r="Q641" s="9" t="n">
        <v>0</v>
      </c>
      <c r="R641" s="7" t="inlineStr">
        <is>
          <t>Aplicação Dirigida / TS / Solo</t>
        </is>
      </c>
      <c r="S641" s="7" t="inlineStr">
        <is>
          <t>Sem antídoto específico; tratamento sintomático e controle neurológico</t>
        </is>
      </c>
      <c r="T641" s="7" t="inlineStr">
        <is>
          <t>OURO FINO QUÍMICA S.A.</t>
        </is>
      </c>
      <c r="U641" s="10">
        <f>HYPERLINK("https://www.adapar.pr.gov.br/system/files/publico/Agrotoxicos/lista.pdf", "Registro Oficial Convence FS (MAPA 13019)")</f>
        <v/>
      </c>
    </row>
    <row r="642" ht="22" customHeight="1">
      <c r="A642" s="11" t="n">
        <v>637</v>
      </c>
      <c r="B642" s="12" t="inlineStr">
        <is>
          <t>SIPEAGRO (UF-XXXXX)</t>
        </is>
      </c>
      <c r="C642" s="13" t="inlineStr">
        <is>
          <t>MANGANES 10% 1X20L</t>
        </is>
      </c>
      <c r="D642" s="14" t="inlineStr">
        <is>
          <t>MANGANES 10%</t>
        </is>
      </c>
      <c r="E642" s="13" t="inlineStr">
        <is>
          <t>Fertilizante Mineral / Organomineral</t>
        </is>
      </c>
      <c r="F642" s="13" t="inlineStr">
        <is>
          <t>Fertilizantes</t>
        </is>
      </c>
      <c r="G642" s="13" t="inlineStr">
        <is>
          <t>Fertilizante Mineral Simples (Nitrogenado)</t>
        </is>
      </c>
      <c r="H642" s="13" t="inlineStr">
        <is>
          <t>SL</t>
        </is>
      </c>
      <c r="I642" s="13" t="inlineStr">
        <is>
          <t>Solução / Suspensão Concentrada Foliar (Fluido)</t>
        </is>
      </c>
      <c r="J642" s="13" t="inlineStr">
        <is>
          <t>Aplicação via solo, fertirrigação ou adubação foliar</t>
        </is>
      </c>
      <c r="K642" s="13" t="inlineStr">
        <is>
          <t>Fertilizante Mineral / Organomineral (Lei nº 6.894/1980)</t>
        </is>
      </c>
      <c r="L642" s="13" t="inlineStr">
        <is>
          <t>Nutrição Vegetal SIPEAGRO</t>
        </is>
      </c>
      <c r="M642" s="13" t="inlineStr">
        <is>
          <t>Fornecimento de macro e micronutrientes essenciais ao metabolismo vegetal</t>
        </is>
      </c>
      <c r="N642" s="13" t="inlineStr">
        <is>
          <t>Isento ANVISA (Produto Fertilizante Registrado no SIPEAGRO/MAPA)</t>
        </is>
      </c>
      <c r="O642" s="13" t="inlineStr">
        <is>
          <t>Não Aplicável (Fertilizante)</t>
        </is>
      </c>
      <c r="P642" s="13" t="inlineStr">
        <is>
          <t>Baixo Potencial Poluidor (Uso conforme recomendação agronômica)</t>
        </is>
      </c>
      <c r="Q642" s="15" t="n">
        <v>0</v>
      </c>
      <c r="R642" s="13" t="inlineStr">
        <is>
          <t>Aplicação Dirigida / TS / Solo</t>
        </is>
      </c>
      <c r="S642" s="13" t="inlineStr">
        <is>
          <t>Tratamento sintomático em caso de ingestão acidental</t>
        </is>
      </c>
      <c r="T642" s="13" t="inlineStr">
        <is>
          <t>Estabelecimento Produtor SIPEAGRO/MAPA</t>
        </is>
      </c>
      <c r="U642" s="16">
        <f>HYPERLINK("https://www.gov.br/agricultura/pt-br/assuntos/insumos-agropecuarios/insumos-agricolas/fertilizantes", "Portal SIPEAGRO / MAPA — Fertilizantes e Bioinsumos")</f>
        <v/>
      </c>
    </row>
    <row r="643" ht="22" customHeight="1">
      <c r="A643" s="5" t="n">
        <v>638</v>
      </c>
      <c r="B643" s="6" t="inlineStr">
        <is>
          <t>Nº 1393</t>
        </is>
      </c>
      <c r="C643" s="7" t="inlineStr">
        <is>
          <t>NOMOLT 150 4X5L</t>
        </is>
      </c>
      <c r="D643" s="8" t="inlineStr">
        <is>
          <t>NOMOLT 150</t>
        </is>
      </c>
      <c r="E643" s="7" t="inlineStr">
        <is>
          <t>Produto Formulado Comercial</t>
        </is>
      </c>
      <c r="F643" s="7" t="inlineStr">
        <is>
          <t>Defensivos</t>
        </is>
      </c>
      <c r="G643" s="7" t="inlineStr">
        <is>
          <t>Inseticida</t>
        </is>
      </c>
      <c r="H643" s="7" t="inlineStr">
        <is>
          <t>SC</t>
        </is>
      </c>
      <c r="I643" s="7" t="inlineStr">
        <is>
          <t>Suspensão Concentrada (SC)</t>
        </is>
      </c>
      <c r="J643" s="7" t="inlineStr">
        <is>
          <t>Inseticida/acaricida de contato e ingestão</t>
        </is>
      </c>
      <c r="K643" s="7" t="inlineStr">
        <is>
          <t>Benzoilureia</t>
        </is>
      </c>
      <c r="L643" s="7" t="inlineStr">
        <is>
          <t>IRAC Grupo 15</t>
        </is>
      </c>
      <c r="M643" s="7" t="inlineStr">
        <is>
          <t>Inibidores da biossíntese de quitina, Tipo 0</t>
        </is>
      </c>
      <c r="N643" s="7" t="inlineStr">
        <is>
          <t>Categoria 3 / 4 — Moderadamente a Pouco Tóxico</t>
        </is>
      </c>
      <c r="O643" s="7" t="inlineStr">
        <is>
          <t>Amarelo / Azul</t>
        </is>
      </c>
      <c r="P643" s="7" t="inlineStr">
        <is>
          <t>Classe II — Produto Muito Perigoso ao Meio Ambiente</t>
        </is>
      </c>
      <c r="Q643" s="9" t="n">
        <v>24</v>
      </c>
      <c r="R643" s="7" t="inlineStr">
        <is>
          <t>Terrestre / Aérea (Drones consultar bula)</t>
        </is>
      </c>
      <c r="S643" s="7" t="inlineStr">
        <is>
          <t>Tratamento sintomático conforme grupo químico na bula</t>
        </is>
      </c>
      <c r="T643" s="7" t="inlineStr">
        <is>
          <t>BASF S.A.</t>
        </is>
      </c>
      <c r="U643" s="10">
        <f>HYPERLINK("https://www.adapar.pr.gov.br/system/files/publico/Agrotoxicos/lista.pdf", "Bula Oficial Nomolt 150 (BASF/MAPA 1393)")</f>
        <v/>
      </c>
    </row>
    <row r="644" ht="22" customHeight="1">
      <c r="A644" s="11" t="n">
        <v>639</v>
      </c>
      <c r="B644" s="12" t="inlineStr">
        <is>
          <t>SIPEAGRO (UF-XXXXX)</t>
        </is>
      </c>
      <c r="C644" s="13" t="inlineStr">
        <is>
          <t>STARKE 1X2L</t>
        </is>
      </c>
      <c r="D644" s="14" t="inlineStr">
        <is>
          <t>STARKE</t>
        </is>
      </c>
      <c r="E644" s="13" t="inlineStr">
        <is>
          <t>Fertilizante Mineral / Organomineral</t>
        </is>
      </c>
      <c r="F644" s="13" t="inlineStr">
        <is>
          <t>Fertilizantes</t>
        </is>
      </c>
      <c r="G644" s="13" t="inlineStr">
        <is>
          <t>Fertilizante Mineral Simples (Nitrogenado)</t>
        </is>
      </c>
      <c r="H644" s="13" t="inlineStr">
        <is>
          <t>SL</t>
        </is>
      </c>
      <c r="I644" s="13" t="inlineStr">
        <is>
          <t>Solução / Suspensão Concentrada Foliar (Fluido)</t>
        </is>
      </c>
      <c r="J644" s="13" t="inlineStr">
        <is>
          <t>Aplicação via solo, fertirrigação ou adubação foliar</t>
        </is>
      </c>
      <c r="K644" s="13" t="inlineStr">
        <is>
          <t>Fertilizante Mineral / Organomineral (Lei nº 6.894/1980)</t>
        </is>
      </c>
      <c r="L644" s="13" t="inlineStr">
        <is>
          <t>Nutrição Vegetal SIPEAGRO</t>
        </is>
      </c>
      <c r="M644" s="13" t="inlineStr">
        <is>
          <t>Fornecimento de macro e micronutrientes essenciais ao metabolismo vegetal</t>
        </is>
      </c>
      <c r="N644" s="13" t="inlineStr">
        <is>
          <t>Isento ANVISA (Produto Fertilizante Registrado no SIPEAGRO/MAPA)</t>
        </is>
      </c>
      <c r="O644" s="13" t="inlineStr">
        <is>
          <t>Não Aplicável (Fertilizante)</t>
        </is>
      </c>
      <c r="P644" s="13" t="inlineStr">
        <is>
          <t>Baixo Potencial Poluidor (Uso conforme recomendação agronômica)</t>
        </is>
      </c>
      <c r="Q644" s="15" t="n">
        <v>0</v>
      </c>
      <c r="R644" s="13" t="inlineStr">
        <is>
          <t>Aplicação Dirigida / TS / Solo</t>
        </is>
      </c>
      <c r="S644" s="13" t="inlineStr">
        <is>
          <t>Tratamento sintomático em caso de ingestão acidental</t>
        </is>
      </c>
      <c r="T644" s="13" t="inlineStr">
        <is>
          <t>Estabelecimento Produtor SIPEAGRO/MAPA</t>
        </is>
      </c>
      <c r="U644" s="16">
        <f>HYPERLINK("https://www.gov.br/agricultura/pt-br/assuntos/insumos-agropecuarios/insumos-agricolas/fertilizantes", "Portal SIPEAGRO / MAPA — Fertilizantes e Bioinsumos")</f>
        <v/>
      </c>
    </row>
    <row r="645" ht="22" customHeight="1">
      <c r="A645" s="5" t="n">
        <v>640</v>
      </c>
      <c r="B645" s="6" t="inlineStr">
        <is>
          <t>Nº 18220</t>
        </is>
      </c>
      <c r="C645" s="7" t="inlineStr">
        <is>
          <t>TORA 1X20L</t>
        </is>
      </c>
      <c r="D645" s="8" t="inlineStr">
        <is>
          <t>TORA</t>
        </is>
      </c>
      <c r="E645" s="7" t="inlineStr">
        <is>
          <t>Produto Formulado Comercial</t>
        </is>
      </c>
      <c r="F645" s="7" t="inlineStr">
        <is>
          <t>Defensivos</t>
        </is>
      </c>
      <c r="G645" s="7" t="inlineStr">
        <is>
          <t>Inseticida</t>
        </is>
      </c>
      <c r="H645" s="7" t="inlineStr">
        <is>
          <t>EC</t>
        </is>
      </c>
      <c r="I645" s="7" t="inlineStr">
        <is>
          <t>Concentrado Emulsionável (EC)</t>
        </is>
      </c>
      <c r="J645" s="7" t="inlineStr">
        <is>
          <t>Inseticida/acaricida de contato e ingestão</t>
        </is>
      </c>
      <c r="K645" s="7" t="inlineStr">
        <is>
          <t>Organofosforado</t>
        </is>
      </c>
      <c r="L645" s="7" t="inlineStr">
        <is>
          <t>IRAC Grupo 1B</t>
        </is>
      </c>
      <c r="M645" s="7" t="inlineStr">
        <is>
          <t>Inibidores da acetilcolinesterase (AChE)</t>
        </is>
      </c>
      <c r="N645" s="7" t="inlineStr">
        <is>
          <t>Categoria 3 / 4 — Moderadamente a Pouco Tóxico</t>
        </is>
      </c>
      <c r="O645" s="7" t="inlineStr">
        <is>
          <t>Amarelo / Azul</t>
        </is>
      </c>
      <c r="P645" s="7" t="inlineStr">
        <is>
          <t>Classe II — Produto Muito Perigoso ao Meio Ambiente</t>
        </is>
      </c>
      <c r="Q645" s="9" t="n">
        <v>24</v>
      </c>
      <c r="R645" s="7" t="inlineStr">
        <is>
          <t>Terrestre / Aérea (Drones consultar bula)</t>
        </is>
      </c>
      <c r="S645" s="7" t="inlineStr">
        <is>
          <t>Tratamento sintomático conforme grupo químico na bula</t>
        </is>
      </c>
      <c r="T645" s="7" t="inlineStr">
        <is>
          <t>FMC QUÍMICA DO BRASIL LTDA. / CHEMINOVA BRASIL LTDA.</t>
        </is>
      </c>
      <c r="U645" s="10">
        <f>HYPERLINK("https://www.adapar.pr.gov.br/system/files/publico/Agrotoxicos/lista.pdf", "Registro Oficial Tora 1000 EC (MAPA 18220)")</f>
        <v/>
      </c>
    </row>
    <row r="646" ht="22" customHeight="1">
      <c r="A646" s="11" t="n">
        <v>641</v>
      </c>
      <c r="B646" s="12" t="inlineStr">
        <is>
          <t>Nº 27821</t>
        </is>
      </c>
      <c r="C646" s="13" t="inlineStr">
        <is>
          <t>PONTUAL 1X20L</t>
        </is>
      </c>
      <c r="D646" s="14" t="inlineStr">
        <is>
          <t>PONTUAL</t>
        </is>
      </c>
      <c r="E646" s="13" t="inlineStr">
        <is>
          <t>Produto Formulado Comercial</t>
        </is>
      </c>
      <c r="F646" s="13" t="inlineStr">
        <is>
          <t>Defensivos</t>
        </is>
      </c>
      <c r="G646" s="13" t="inlineStr">
        <is>
          <t>Fungicida</t>
        </is>
      </c>
      <c r="H646" s="13" t="inlineStr">
        <is>
          <t>SC</t>
        </is>
      </c>
      <c r="I646" s="13" t="inlineStr">
        <is>
          <t>Suspensão Concentrada (SC)</t>
        </is>
      </c>
      <c r="J646" s="13" t="inlineStr">
        <is>
          <t>Fungicida protetor de contato multissítio (manejo anti-resistência)</t>
        </is>
      </c>
      <c r="K646" s="13" t="inlineStr">
        <is>
          <t>Isoftalonitrila</t>
        </is>
      </c>
      <c r="L646" s="13" t="inlineStr">
        <is>
          <t>FRAC Grupo M05 — Multissítio</t>
        </is>
      </c>
      <c r="M646" s="13" t="inlineStr">
        <is>
          <t>Atividade de contato multissítio (inativação de grupos tiol enzimáticos)</t>
        </is>
      </c>
      <c r="N646" s="13" t="inlineStr">
        <is>
          <t>Categoria 2 / 3 — Altamente a Moderadamente Tóxico</t>
        </is>
      </c>
      <c r="O646" s="13" t="inlineStr">
        <is>
          <t>Vermelho / Amarelo</t>
        </is>
      </c>
      <c r="P646" s="13" t="inlineStr">
        <is>
          <t>Classe II — Produto Muito Perigoso ao Meio Ambiente</t>
        </is>
      </c>
      <c r="Q646" s="15" t="n">
        <v>24</v>
      </c>
      <c r="R646" s="13" t="inlineStr">
        <is>
          <t>Terrestre / Aérea (Drones consultar bula)</t>
        </is>
      </c>
      <c r="S646" s="13" t="inlineStr">
        <is>
          <t>Sem antídoto específico; tratamento sintomático e descontaminação ocular/cutânea</t>
        </is>
      </c>
      <c r="T646" s="13" t="inlineStr">
        <is>
          <t>OURO FINO QUÍMICA S.A.</t>
        </is>
      </c>
      <c r="U646" s="16">
        <f>HYPERLINK("https://www.adapar.pr.gov.br/Pagina/Agrotoxicos-Fungicidas", "Registro Oficial Pontual 650 SC (MAPA 27821)")</f>
        <v/>
      </c>
    </row>
    <row r="647" ht="22" customHeight="1">
      <c r="A647" s="5" t="n">
        <v>642</v>
      </c>
      <c r="B647" s="6" t="inlineStr">
        <is>
          <t>SIPEAGRO (UF-XXXXX)</t>
        </is>
      </c>
      <c r="C647" s="7" t="inlineStr">
        <is>
          <t>RESISTANCE TM 4X5L</t>
        </is>
      </c>
      <c r="D647" s="8" t="inlineStr">
        <is>
          <t>RESISTANCE TM</t>
        </is>
      </c>
      <c r="E647" s="7" t="inlineStr">
        <is>
          <t>Fertilizante Mineral / Organomineral</t>
        </is>
      </c>
      <c r="F647" s="7" t="inlineStr">
        <is>
          <t>Fertilizantes</t>
        </is>
      </c>
      <c r="G647" s="7" t="inlineStr">
        <is>
          <t>Fertilizante Foliar / Micronutrientes</t>
        </is>
      </c>
      <c r="H647" s="7" t="inlineStr">
        <is>
          <t>SL</t>
        </is>
      </c>
      <c r="I647" s="7" t="inlineStr">
        <is>
          <t>Solução / Suspensão Concentrada Foliar (Fluido)</t>
        </is>
      </c>
      <c r="J647" s="7" t="inlineStr">
        <is>
          <t>Aplicação via solo, fertirrigação ou adubação foliar</t>
        </is>
      </c>
      <c r="K647" s="7" t="inlineStr">
        <is>
          <t>Fertilizante Mineral / Organomineral (Lei nº 6.894/1980)</t>
        </is>
      </c>
      <c r="L647" s="7" t="inlineStr">
        <is>
          <t>Nutrição Vegetal SIPEAGRO</t>
        </is>
      </c>
      <c r="M647" s="7" t="inlineStr">
        <is>
          <t>Fornecimento de macro e micronutrientes essenciais ao metabolismo vegetal</t>
        </is>
      </c>
      <c r="N647" s="7" t="inlineStr">
        <is>
          <t>Isento ANVISA (Produto Fertilizante Registrado no SIPEAGRO/MAPA)</t>
        </is>
      </c>
      <c r="O647" s="7" t="inlineStr">
        <is>
          <t>Não Aplicável (Fertilizante)</t>
        </is>
      </c>
      <c r="P647" s="7" t="inlineStr">
        <is>
          <t>Baixo Potencial Poluidor (Uso conforme recomendação agronômica)</t>
        </is>
      </c>
      <c r="Q647" s="9" t="n">
        <v>0</v>
      </c>
      <c r="R647" s="7" t="inlineStr">
        <is>
          <t>Aplicação Dirigida / TS / Solo</t>
        </is>
      </c>
      <c r="S647" s="7" t="inlineStr">
        <is>
          <t>Tratamento sintomático em caso de ingestão acidental</t>
        </is>
      </c>
      <c r="T647" s="7" t="inlineStr">
        <is>
          <t>Estabelecimento Produtor SIPEAGRO/MAPA</t>
        </is>
      </c>
      <c r="U647" s="10">
        <f>HYPERLINK("https://www.gov.br/agricultura/pt-br/assuntos/insumos-agropecuarios/insumos-agricolas/fertilizantes", "Portal SIPEAGRO / MAPA — Fertilizantes e Bioinsumos")</f>
        <v/>
      </c>
    </row>
    <row r="648" ht="22" customHeight="1">
      <c r="A648" s="11" t="n">
        <v>643</v>
      </c>
      <c r="B648" s="12" t="inlineStr">
        <is>
          <t>Nº 6697</t>
        </is>
      </c>
      <c r="C648" s="13" t="inlineStr">
        <is>
          <t>VEZIR 1X20L</t>
        </is>
      </c>
      <c r="D648" s="14" t="inlineStr">
        <is>
          <t>VEZIR</t>
        </is>
      </c>
      <c r="E648" s="13" t="inlineStr">
        <is>
          <t>Produto Formulado Comercial</t>
        </is>
      </c>
      <c r="F648" s="13" t="inlineStr">
        <is>
          <t>Defensivos</t>
        </is>
      </c>
      <c r="G648" s="13" t="inlineStr">
        <is>
          <t>Herbicida</t>
        </is>
      </c>
      <c r="H648" s="13" t="inlineStr">
        <is>
          <t>SL</t>
        </is>
      </c>
      <c r="I648" s="13" t="inlineStr">
        <is>
          <t>Concentrado Solúvel (SL)</t>
        </is>
      </c>
      <c r="J648" s="13" t="inlineStr">
        <is>
          <t>Herbicida de pré ou pós-emergência</t>
        </is>
      </c>
      <c r="K648" s="13" t="inlineStr">
        <is>
          <t>Imidazolinona</t>
        </is>
      </c>
      <c r="L648" s="13" t="inlineStr">
        <is>
          <t>HRAC Grupo B (2) — Inibidores da ALS</t>
        </is>
      </c>
      <c r="M648" s="13" t="inlineStr">
        <is>
          <t>Inibição da enzima acetolactato sintase (ALS / AHAS)</t>
        </is>
      </c>
      <c r="N648" s="13" t="inlineStr">
        <is>
          <t>Categoria 4 / 5 — Pouco Tóxico (Conforme Bula ANVISA)</t>
        </is>
      </c>
      <c r="O648" s="13" t="inlineStr">
        <is>
          <t>Azul PMS Blue 293 C</t>
        </is>
      </c>
      <c r="P648" s="13" t="inlineStr">
        <is>
          <t>Classe II / III — Perigoso ao Meio Ambiente</t>
        </is>
      </c>
      <c r="Q648" s="15" t="n">
        <v>24</v>
      </c>
      <c r="R648" s="13" t="inlineStr">
        <is>
          <t>Terrestre / Aérea (Drones consultar bula)</t>
        </is>
      </c>
      <c r="S648" s="13" t="inlineStr">
        <is>
          <t>Sem antídoto específico; tratamento sintomático e descontaminação</t>
        </is>
      </c>
      <c r="T648" s="13" t="inlineStr">
        <is>
          <t>Adama Brasil</t>
        </is>
      </c>
      <c r="U648" s="16">
        <f>HYPERLINK("https://agrofit.agricultura.gov.br/agrofit_cons/principal_agrofit_cons", "Consulta Oficial AGROFIT/MAPA (Nº 6697)")</f>
        <v/>
      </c>
    </row>
    <row r="649" ht="22" customHeight="1">
      <c r="A649" s="5" t="n">
        <v>644</v>
      </c>
      <c r="B649" s="6" t="inlineStr">
        <is>
          <t>Nº 8520</t>
        </is>
      </c>
      <c r="C649" s="7" t="inlineStr">
        <is>
          <t>ROMEO SC 1X10L</t>
        </is>
      </c>
      <c r="D649" s="8" t="inlineStr">
        <is>
          <t>ROMEO SC</t>
        </is>
      </c>
      <c r="E649" s="7" t="inlineStr">
        <is>
          <t>Produto Formulado Comercial</t>
        </is>
      </c>
      <c r="F649" s="7" t="inlineStr">
        <is>
          <t>Defensivos</t>
        </is>
      </c>
      <c r="G649" s="7" t="inlineStr">
        <is>
          <t>Biofungicida (Biológico)</t>
        </is>
      </c>
      <c r="H649" s="7" t="inlineStr">
        <is>
          <t>WP</t>
        </is>
      </c>
      <c r="I649" s="7" t="inlineStr">
        <is>
          <t>Pó Molhável (WP)</t>
        </is>
      </c>
      <c r="J649" s="7" t="inlineStr">
        <is>
          <t>Fungicida preventivo e curativo foliar</t>
        </is>
      </c>
      <c r="K649" s="7" t="inlineStr">
        <is>
          <t>Extrato de Parede Celular de Levedura (Indutor de Resistência)</t>
        </is>
      </c>
      <c r="L649" s="7" t="inlineStr">
        <is>
          <t>FRAC Grupo P04 / BM01 — Indutor Biológico de Defesa</t>
        </is>
      </c>
      <c r="M649" s="7" t="inlineStr">
        <is>
          <t>Indução sistêmica de resistência adquirida (SAR) na planta hospedeira</t>
        </is>
      </c>
      <c r="N649" s="7" t="inlineStr">
        <is>
          <t>Categoria 4 — Produto Pouco Tóxico (Conforme Bula ANVISA)</t>
        </is>
      </c>
      <c r="O649" s="7" t="inlineStr">
        <is>
          <t>Azul PMS Blue 293 C</t>
        </is>
      </c>
      <c r="P649" s="7" t="inlineStr">
        <is>
          <t>Classe II — Produto Muito Perigoso ao Meio Ambiente</t>
        </is>
      </c>
      <c r="Q649" s="9" t="n">
        <v>24</v>
      </c>
      <c r="R649" s="7" t="inlineStr">
        <is>
          <t>Terrestre / Aérea (Drones consultar bula)</t>
        </is>
      </c>
      <c r="S649" s="7" t="inlineStr">
        <is>
          <t>Sem antídoto específico; tratamento sintomático</t>
        </is>
      </c>
      <c r="T649" s="7" t="inlineStr">
        <is>
          <t>AgBiTech / Sumitomo</t>
        </is>
      </c>
      <c r="U649" s="10">
        <f>HYPERLINK("https://agrofit.agricultura.gov.br/agrofit_cons/principal_agrofit_cons", "Consulta Oficial AGROFIT/MAPA (Nº 8520)")</f>
        <v/>
      </c>
    </row>
    <row r="650" ht="22" customHeight="1">
      <c r="A650" s="11" t="n">
        <v>645</v>
      </c>
      <c r="B650" s="12" t="inlineStr">
        <is>
          <t>ISENTO (ATO 104/2017)</t>
        </is>
      </c>
      <c r="C650" s="13" t="inlineStr">
        <is>
          <t>ZATO ADJ 4X5L</t>
        </is>
      </c>
      <c r="D650" s="14" t="inlineStr">
        <is>
          <t>ZATO ADJ</t>
        </is>
      </c>
      <c r="E650" s="13" t="inlineStr">
        <is>
          <t>Adjuvante / Espalhante Adesivo</t>
        </is>
      </c>
      <c r="F650" s="13" t="inlineStr">
        <is>
          <t>Adjuvantes</t>
        </is>
      </c>
      <c r="G650" s="13" t="inlineStr">
        <is>
          <t>Adjuvante Espalhante / Surfactante / Redutor de pH e Deriva</t>
        </is>
      </c>
      <c r="H650" s="13" t="inlineStr">
        <is>
          <t>EC</t>
        </is>
      </c>
      <c r="I650" s="13" t="inlineStr">
        <is>
          <t>Concentrado Emulsionável (EC)</t>
        </is>
      </c>
      <c r="J650" s="13" t="inlineStr">
        <is>
          <t>Aditivo físico-químico para calda de pulverização</t>
        </is>
      </c>
      <c r="K650" s="13" t="inlineStr">
        <is>
          <t>Éster Metílico / Hidrocarboneto Parafínico / Tensoativo Siliconado</t>
        </is>
      </c>
      <c r="L650" s="13" t="inlineStr">
        <is>
          <t>Adjuvante Tecnológico de Pulverização</t>
        </is>
      </c>
      <c r="M650" s="13" t="inlineStr">
        <is>
          <t>Redução da tensão superficial, espalhamento, anti-deriva e penetração cuticular</t>
        </is>
      </c>
      <c r="N650" s="13" t="inlineStr">
        <is>
          <t>Isento / Ato SDA nº 104/2017 (ou Categoria 5 quando registrado)</t>
        </is>
      </c>
      <c r="O650" s="13" t="inlineStr">
        <is>
          <t>Azul / Isento</t>
        </is>
      </c>
      <c r="P650" s="13" t="inlineStr">
        <is>
          <t>Classe IV — Pouco Perigoso ao Meio Ambiente</t>
        </is>
      </c>
      <c r="Q650" s="15" t="n">
        <v>24</v>
      </c>
      <c r="R650" s="13" t="inlineStr">
        <is>
          <t>Terrestre / Aérea (Drones consultar bula)</t>
        </is>
      </c>
      <c r="S650" s="13" t="inlineStr">
        <is>
          <t>Tratamento sintomático; evitar indução de vômito em derivados de petróleo</t>
        </is>
      </c>
      <c r="T650" s="13" t="inlineStr">
        <is>
          <t>Dispensado de Registro (Ato SDA nº 104/2017)</t>
        </is>
      </c>
      <c r="U650" s="16">
        <f>HYPERLINK("https://www.gov.br/agricultura/pt-br/assuntos/insumos-agropecuarios/insumos-agricolas/agrotoxicos/legislacao", "Ato SDA/MAPA nº 104/2017 — Adjuvantes Agrícolas")</f>
        <v/>
      </c>
    </row>
    <row r="651" ht="22" customHeight="1">
      <c r="A651" s="5" t="n">
        <v>646</v>
      </c>
      <c r="B651" s="6" t="inlineStr">
        <is>
          <t>Nº 5110</t>
        </is>
      </c>
      <c r="C651" s="7" t="inlineStr">
        <is>
          <t>PLATINUM NEO 4X5L</t>
        </is>
      </c>
      <c r="D651" s="8" t="inlineStr">
        <is>
          <t>PLATINUM NEO</t>
        </is>
      </c>
      <c r="E651" s="7" t="inlineStr">
        <is>
          <t>Produto Formulado Comercial</t>
        </is>
      </c>
      <c r="F651" s="7" t="inlineStr">
        <is>
          <t>Defensivos</t>
        </is>
      </c>
      <c r="G651" s="7" t="inlineStr">
        <is>
          <t>Inseticida</t>
        </is>
      </c>
      <c r="H651" s="7" t="inlineStr">
        <is>
          <t>CS</t>
        </is>
      </c>
      <c r="I651" s="7" t="inlineStr">
        <is>
          <t>Suspensão de Encapsulado (CS)</t>
        </is>
      </c>
      <c r="J651" s="7" t="inlineStr">
        <is>
          <t>Inseticida de contato e ingestão com efeito de choque</t>
        </is>
      </c>
      <c r="K651" s="7" t="inlineStr">
        <is>
          <t>Neonicotinoide (Tianicotinil)</t>
        </is>
      </c>
      <c r="L651" s="7" t="inlineStr">
        <is>
          <t>IRAC Grupo 4A</t>
        </is>
      </c>
      <c r="M651" s="7" t="inlineStr">
        <is>
          <t>Moduladores competitivos dos receptores nicotínicos da acetilcolina (nAChR)</t>
        </is>
      </c>
      <c r="N651" s="7" t="inlineStr">
        <is>
          <t>Categoria 3 / 4 — Moderadamente a Pouco Tóxico</t>
        </is>
      </c>
      <c r="O651" s="7" t="inlineStr">
        <is>
          <t>Amarelo / Azul</t>
        </is>
      </c>
      <c r="P651" s="7" t="inlineStr">
        <is>
          <t>Classe II — Produto Muito Perigoso ao Meio Ambiente</t>
        </is>
      </c>
      <c r="Q651" s="9" t="n">
        <v>24</v>
      </c>
      <c r="R651" s="7" t="inlineStr">
        <is>
          <t>Terrestre / Aérea (Drones consultar bula)</t>
        </is>
      </c>
      <c r="S651" s="7" t="inlineStr">
        <is>
          <t>Sem antídoto específico; anti-histamínicos e suporte sintomático</t>
        </is>
      </c>
      <c r="T651" s="7" t="inlineStr">
        <is>
          <t>Syngenta Proteção de Cultivos</t>
        </is>
      </c>
      <c r="U651" s="10">
        <f>HYPERLINK("https://agrofit.agricultura.gov.br/agrofit_cons/principal_agrofit_cons", "Consulta Oficial AGROFIT/MAPA (Nº 5110)")</f>
        <v/>
      </c>
    </row>
    <row r="652" ht="22" customHeight="1">
      <c r="A652" s="11" t="n">
        <v>647</v>
      </c>
      <c r="B652" s="12" t="inlineStr">
        <is>
          <t>SIPEAGRO (UF-XXXXX)</t>
        </is>
      </c>
      <c r="C652" s="13" t="inlineStr">
        <is>
          <t>BIOBRADY 1,75L</t>
        </is>
      </c>
      <c r="D652" s="14" t="inlineStr">
        <is>
          <t>BIOBRADY 1,75L</t>
        </is>
      </c>
      <c r="E652" s="13" t="inlineStr">
        <is>
          <t>Inoculante / Biológico</t>
        </is>
      </c>
      <c r="F652" s="13" t="inlineStr">
        <is>
          <t>Inoculantes e Biológicos</t>
        </is>
      </c>
      <c r="G652" s="13" t="inlineStr">
        <is>
          <t>Inoculante Fixador de Nitrogênio</t>
        </is>
      </c>
      <c r="H652" s="13" t="inlineStr">
        <is>
          <t>SC</t>
        </is>
      </c>
      <c r="I652" s="13" t="inlineStr">
        <is>
          <t>Suspensão Concentrada (SC)</t>
        </is>
      </c>
      <c r="J652" s="13" t="inlineStr">
        <is>
          <t>Tratamento de sementes, sulco de plantio ou pulverização foliar</t>
        </is>
      </c>
      <c r="K652" s="13" t="inlineStr">
        <is>
          <t>Inoculante / Agente Biológico de Controle</t>
        </is>
      </c>
      <c r="L652" s="13" t="inlineStr">
        <is>
          <t>Bioinsumo Agrícola</t>
        </is>
      </c>
      <c r="M652" s="13" t="inlineStr">
        <is>
          <t>Simbiose radicular, antagonismo biológico ou controle entomopatogênico</t>
        </is>
      </c>
      <c r="N652" s="13" t="inlineStr">
        <is>
          <t>Categoria 5 / Isento (Bioinsumo)</t>
        </is>
      </c>
      <c r="O652" s="13" t="inlineStr">
        <is>
          <t>Azul Intenso</t>
        </is>
      </c>
      <c r="P652" s="13" t="inlineStr">
        <is>
          <t>Classe IV — Produto Pouco Perigoso ao Meio Ambiente</t>
        </is>
      </c>
      <c r="Q652" s="15" t="n">
        <v>0</v>
      </c>
      <c r="R652" s="13" t="inlineStr">
        <is>
          <t>Aplicação Dirigida / TS / Solo</t>
        </is>
      </c>
      <c r="S652" s="13" t="inlineStr">
        <is>
          <t>Tratamento sintomático</t>
        </is>
      </c>
      <c r="T652" s="13" t="inlineStr">
        <is>
          <t>Estabelecimento Produtor SIPEAGRO/MAPA</t>
        </is>
      </c>
      <c r="U652" s="16">
        <f>HYPERLINK("https://www.gov.br/agricultura/pt-br/assuntos/insumos-agropecuarios/insumos-agricolas/fertilizantes", "Portal SIPEAGRO / MAPA — Fertilizantes e Bioinsumos")</f>
        <v/>
      </c>
    </row>
    <row r="653" ht="22" customHeight="1">
      <c r="A653" s="5" t="n">
        <v>648</v>
      </c>
      <c r="B653" s="6" t="inlineStr">
        <is>
          <t>SIPEAGRO (UF-XXXXX)</t>
        </is>
      </c>
      <c r="C653" s="7" t="inlineStr">
        <is>
          <t>INOCULANTE GRAP NOD L+ 7L</t>
        </is>
      </c>
      <c r="D653" s="8" t="inlineStr">
        <is>
          <t>INOCULANTE GRAP NOD L+</t>
        </is>
      </c>
      <c r="E653" s="7" t="inlineStr">
        <is>
          <t>Inoculante / Biológico</t>
        </is>
      </c>
      <c r="F653" s="7" t="inlineStr">
        <is>
          <t>Inoculantes e Biológicos</t>
        </is>
      </c>
      <c r="G653" s="7" t="inlineStr">
        <is>
          <t>Inoculante Fixador de Nitrogênio</t>
        </is>
      </c>
      <c r="H653" s="7" t="inlineStr">
        <is>
          <t>Líquido</t>
        </is>
      </c>
      <c r="I653" s="7" t="inlineStr">
        <is>
          <t>Formulação Padrão (Líquido / Turfoso)</t>
        </is>
      </c>
      <c r="J653" s="7" t="inlineStr">
        <is>
          <t>Inoculante líquido/turfoso para tratamento de sementes e sulco</t>
        </is>
      </c>
      <c r="K653" s="7" t="inlineStr">
        <is>
          <t>Bactéria Diazotrófica Fixadora de Nitrogênio e Promotora de Crescimento</t>
        </is>
      </c>
      <c r="L653" s="7" t="inlineStr">
        <is>
          <t>Inoculante Biológico — Lei nº 6.894/1980</t>
        </is>
      </c>
      <c r="M653" s="7" t="inlineStr">
        <is>
          <t>Fixação biológica de N2 atmosférico e síntese de fitormônios (AIA)</t>
        </is>
      </c>
      <c r="N653" s="7" t="inlineStr">
        <is>
          <t>Isento (Inoculante Biológico SIPEAGRO)</t>
        </is>
      </c>
      <c r="O653" s="7" t="inlineStr">
        <is>
          <t>Não Aplicável (Inoculante)</t>
        </is>
      </c>
      <c r="P653" s="7" t="inlineStr">
        <is>
          <t>Classe IV — Produto Pouco Perigoso ao Meio Ambiente</t>
        </is>
      </c>
      <c r="Q653" s="9" t="n">
        <v>0</v>
      </c>
      <c r="R653" s="7" t="inlineStr">
        <is>
          <t>Aplicação Dirigida / TS / Solo</t>
        </is>
      </c>
      <c r="S653" s="7" t="inlineStr">
        <is>
          <t>Não aplicável (Inoculante biológico não tóxico)</t>
        </is>
      </c>
      <c r="T653" s="7" t="inlineStr">
        <is>
          <t>Estabelecimento Produtor SIPEAGRO/MAPA</t>
        </is>
      </c>
      <c r="U653" s="10">
        <f>HYPERLINK("https://www.gov.br/agricultura/pt-br/assuntos/insumos-agropecuarios/insumos-agricolas/fertilizantes", "Portal SIPEAGRO / MAPA — Fertilizantes e Bioinsumos")</f>
        <v/>
      </c>
    </row>
    <row r="654" ht="22" customHeight="1">
      <c r="A654" s="11" t="n">
        <v>649</v>
      </c>
      <c r="B654" s="12" t="inlineStr">
        <is>
          <t>Nº 18107</t>
        </is>
      </c>
      <c r="C654" s="13" t="inlineStr">
        <is>
          <t>TALISMAN 1X20L</t>
        </is>
      </c>
      <c r="D654" s="14" t="inlineStr">
        <is>
          <t>TALISMAN</t>
        </is>
      </c>
      <c r="E654" s="13" t="inlineStr">
        <is>
          <t>Produto Formulado Comercial</t>
        </is>
      </c>
      <c r="F654" s="13" t="inlineStr">
        <is>
          <t>Defensivos</t>
        </is>
      </c>
      <c r="G654" s="13" t="inlineStr">
        <is>
          <t>Inseticida</t>
        </is>
      </c>
      <c r="H654" s="13" t="inlineStr">
        <is>
          <t>EC</t>
        </is>
      </c>
      <c r="I654" s="13" t="inlineStr">
        <is>
          <t>Concentrado Emulsionável (EC)</t>
        </is>
      </c>
      <c r="J654" s="13" t="inlineStr">
        <is>
          <t>Inseticida e acaricida de contato e ingestão</t>
        </is>
      </c>
      <c r="K654" s="13" t="inlineStr">
        <is>
          <t>Carbamato (Benzofurano)</t>
        </is>
      </c>
      <c r="L654" s="13" t="inlineStr">
        <is>
          <t>IRAC Grupo 1A</t>
        </is>
      </c>
      <c r="M654" s="13" t="inlineStr">
        <is>
          <t>Inibidores da acetilcolinesterase (AChE)</t>
        </is>
      </c>
      <c r="N654" s="13" t="inlineStr">
        <is>
          <t>Categoria 3 — Produto Moderadamente Tóxico</t>
        </is>
      </c>
      <c r="O654" s="13" t="inlineStr">
        <is>
          <t>Amarelo PMS Yellow C</t>
        </is>
      </c>
      <c r="P654" s="13" t="inlineStr">
        <is>
          <t>Classe II — Produto Muito Perigoso ao Meio Ambiente</t>
        </is>
      </c>
      <c r="Q654" s="15" t="n">
        <v>24</v>
      </c>
      <c r="R654" s="13" t="inlineStr">
        <is>
          <t>Terrestre / Aérea (Drones consultar bula)</t>
        </is>
      </c>
      <c r="S654" s="13" t="inlineStr">
        <is>
          <t>Sem antídoto específico; anti-histamínicos e vitamina E tópica para parestesia</t>
        </is>
      </c>
      <c r="T654" s="13" t="inlineStr">
        <is>
          <t>FMC QUÍMICA DO BRASIL LTDA.</t>
        </is>
      </c>
      <c r="U654" s="16">
        <f>HYPERLINK("https://www.agrolink.com.br/agrolinkfito/produto/talisman_7728.html", "Bula Oficial Talisman EC (FMC - MAPA 18107)")</f>
        <v/>
      </c>
    </row>
    <row r="655" ht="22" customHeight="1">
      <c r="A655" s="5" t="n">
        <v>650</v>
      </c>
      <c r="B655" s="6" t="inlineStr">
        <is>
          <t>SIPEAGRO (UF-XXXXX)</t>
        </is>
      </c>
      <c r="C655" s="7" t="inlineStr">
        <is>
          <t>ENDOFUSE 0,5L</t>
        </is>
      </c>
      <c r="D655" s="8" t="inlineStr">
        <is>
          <t>ENDOFUSE 0,5L</t>
        </is>
      </c>
      <c r="E655" s="7" t="inlineStr">
        <is>
          <t>Fertilizante Mineral / Organomineral</t>
        </is>
      </c>
      <c r="F655" s="7" t="inlineStr">
        <is>
          <t>Fertilizantes</t>
        </is>
      </c>
      <c r="G655" s="7" t="inlineStr">
        <is>
          <t>Fertilizante Organomineral / Bioestimulante</t>
        </is>
      </c>
      <c r="H655" s="7" t="inlineStr">
        <is>
          <t>SL</t>
        </is>
      </c>
      <c r="I655" s="7" t="inlineStr">
        <is>
          <t>Solução / Suspensão Concentrada Foliar (Fluido)</t>
        </is>
      </c>
      <c r="J655" s="7" t="inlineStr">
        <is>
          <t>Aplicação via solo, fertirrigação ou adubação foliar</t>
        </is>
      </c>
      <c r="K655" s="7" t="inlineStr">
        <is>
          <t>Fertilizante Mineral / Organomineral (Lei nº 6.894/1980)</t>
        </is>
      </c>
      <c r="L655" s="7" t="inlineStr">
        <is>
          <t>Nutrição Vegetal SIPEAGRO</t>
        </is>
      </c>
      <c r="M655" s="7" t="inlineStr">
        <is>
          <t>Fornecimento de macro e micronutrientes essenciais ao metabolismo vegetal</t>
        </is>
      </c>
      <c r="N655" s="7" t="inlineStr">
        <is>
          <t>Isento ANVISA (Produto Fertilizante Registrado no SIPEAGRO/MAPA)</t>
        </is>
      </c>
      <c r="O655" s="7" t="inlineStr">
        <is>
          <t>Não Aplicável (Fertilizante)</t>
        </is>
      </c>
      <c r="P655" s="7" t="inlineStr">
        <is>
          <t>Baixo Potencial Poluidor (Uso conforme recomendação agronômica)</t>
        </is>
      </c>
      <c r="Q655" s="9" t="n">
        <v>0</v>
      </c>
      <c r="R655" s="7" t="inlineStr">
        <is>
          <t>Aplicação Dirigida / TS / Solo</t>
        </is>
      </c>
      <c r="S655" s="7" t="inlineStr">
        <is>
          <t>Tratamento sintomático em caso de ingestão acidental</t>
        </is>
      </c>
      <c r="T655" s="7" t="inlineStr">
        <is>
          <t>Estabelecimento Produtor SIPEAGRO/MAPA</t>
        </is>
      </c>
      <c r="U655" s="10">
        <f>HYPERLINK("https://www.gov.br/agricultura/pt-br/assuntos/insumos-agropecuarios/insumos-agricolas/fertilizantes", "Portal SIPEAGRO / MAPA — Fertilizantes e Bioinsumos")</f>
        <v/>
      </c>
    </row>
    <row r="656" ht="22" customHeight="1">
      <c r="A656" s="11" t="n">
        <v>651</v>
      </c>
      <c r="B656" s="12" t="inlineStr">
        <is>
          <t>Nº 479097</t>
        </is>
      </c>
      <c r="C656" s="13" t="inlineStr">
        <is>
          <t>SELECT 240 EC 4X5L</t>
        </is>
      </c>
      <c r="D656" s="14" t="inlineStr">
        <is>
          <t>SELECT 240 EC</t>
        </is>
      </c>
      <c r="E656" s="13" t="inlineStr">
        <is>
          <t>Produto Formulado Comercial</t>
        </is>
      </c>
      <c r="F656" s="13" t="inlineStr">
        <is>
          <t>Defensivos</t>
        </is>
      </c>
      <c r="G656" s="13" t="inlineStr">
        <is>
          <t>Herbicida</t>
        </is>
      </c>
      <c r="H656" s="13" t="inlineStr">
        <is>
          <t>EC</t>
        </is>
      </c>
      <c r="I656" s="13" t="inlineStr">
        <is>
          <t>Concentrado Emulsionável (EC)</t>
        </is>
      </c>
      <c r="J656" s="13" t="inlineStr">
        <is>
          <t>Herbicida graminicida sistêmico seletivo de pós-emergência</t>
        </is>
      </c>
      <c r="K656" s="13" t="inlineStr">
        <is>
          <t>Oxima ciclohexanodiona (DIM)</t>
        </is>
      </c>
      <c r="L656" s="13" t="inlineStr">
        <is>
          <t>HRAC Grupo A (1) — Inibidores da ACCase</t>
        </is>
      </c>
      <c r="M656" s="13" t="inlineStr">
        <is>
          <t>Inibidores da Acetil CoA Carboxilase (ACCase)</t>
        </is>
      </c>
      <c r="N656" s="13" t="inlineStr">
        <is>
          <t>Categoria 4 / 5 — Pouco Tóxico</t>
        </is>
      </c>
      <c r="O656" s="13" t="inlineStr">
        <is>
          <t>Azul Intenso</t>
        </is>
      </c>
      <c r="P656" s="13" t="inlineStr">
        <is>
          <t>Classe III — Produto Perigoso ao Meio Ambiente</t>
        </is>
      </c>
      <c r="Q656" s="15" t="n">
        <v>24</v>
      </c>
      <c r="R656" s="13" t="inlineStr">
        <is>
          <t>Terrestre / Aérea (Drones consultar bula)</t>
        </is>
      </c>
      <c r="S656" s="13" t="inlineStr">
        <is>
          <t>Sem antídoto específico; tratamento sintomático</t>
        </is>
      </c>
      <c r="T656" s="13" t="inlineStr">
        <is>
          <t>UPL / Arysta Lifescience</t>
        </is>
      </c>
      <c r="U656" s="16">
        <f>HYPERLINK("https://agrofit.agricultura.gov.br/agrofit_cons/principal_agrofit_cons", "Consulta Oficial AGROFIT/MAPA (Nº 479097)")</f>
        <v/>
      </c>
    </row>
    <row r="657" ht="22" customHeight="1">
      <c r="A657" s="5" t="n">
        <v>652</v>
      </c>
      <c r="B657" s="6" t="inlineStr">
        <is>
          <t>SIPEAGRO (UF-XXXXX)</t>
        </is>
      </c>
      <c r="C657" s="7" t="inlineStr">
        <is>
          <t>ESTIMULUS ROOT + 1L</t>
        </is>
      </c>
      <c r="D657" s="8" t="inlineStr">
        <is>
          <t>ESTIMULUS ROOT +</t>
        </is>
      </c>
      <c r="E657" s="7" t="inlineStr">
        <is>
          <t>Fertilizante Mineral / Organomineral</t>
        </is>
      </c>
      <c r="F657" s="7" t="inlineStr">
        <is>
          <t>Fertilizantes</t>
        </is>
      </c>
      <c r="G657" s="7" t="inlineStr">
        <is>
          <t>Fertilizante Organomineral / Bioestimulante</t>
        </is>
      </c>
      <c r="H657" s="7" t="inlineStr">
        <is>
          <t>SL</t>
        </is>
      </c>
      <c r="I657" s="7" t="inlineStr">
        <is>
          <t>Solução / Suspensão Concentrada Foliar (Fluido)</t>
        </is>
      </c>
      <c r="J657" s="7" t="inlineStr">
        <is>
          <t>Aplicação via solo, fertirrigação ou adubação foliar</t>
        </is>
      </c>
      <c r="K657" s="7" t="inlineStr">
        <is>
          <t>Fertilizante Mineral / Organomineral (Lei nº 6.894/1980)</t>
        </is>
      </c>
      <c r="L657" s="7" t="inlineStr">
        <is>
          <t>Nutrição Vegetal SIPEAGRO</t>
        </is>
      </c>
      <c r="M657" s="7" t="inlineStr">
        <is>
          <t>Fornecimento de macro e micronutrientes essenciais ao metabolismo vegetal</t>
        </is>
      </c>
      <c r="N657" s="7" t="inlineStr">
        <is>
          <t>Isento ANVISA (Produto Fertilizante Registrado no SIPEAGRO/MAPA)</t>
        </is>
      </c>
      <c r="O657" s="7" t="inlineStr">
        <is>
          <t>Não Aplicável (Fertilizante)</t>
        </is>
      </c>
      <c r="P657" s="7" t="inlineStr">
        <is>
          <t>Baixo Potencial Poluidor (Uso conforme recomendação agronômica)</t>
        </is>
      </c>
      <c r="Q657" s="9" t="n">
        <v>0</v>
      </c>
      <c r="R657" s="7" t="inlineStr">
        <is>
          <t>Aplicação Dirigida / TS / Solo</t>
        </is>
      </c>
      <c r="S657" s="7" t="inlineStr">
        <is>
          <t>Tratamento sintomático em caso de ingestão acidental</t>
        </is>
      </c>
      <c r="T657" s="7" t="inlineStr">
        <is>
          <t>Estabelecimento Produtor SIPEAGRO/MAPA</t>
        </is>
      </c>
      <c r="U657" s="10">
        <f>HYPERLINK("https://www.gov.br/agricultura/pt-br/assuntos/insumos-agropecuarios/insumos-agricolas/fertilizantes", "Portal SIPEAGRO / MAPA — Fertilizantes e Bioinsumos")</f>
        <v/>
      </c>
    </row>
    <row r="658" ht="22" customHeight="1">
      <c r="A658" s="11" t="n">
        <v>653</v>
      </c>
      <c r="B658" s="12" t="inlineStr">
        <is>
          <t>ISENTO (ATO 104/2017)</t>
        </is>
      </c>
      <c r="C658" s="13" t="inlineStr">
        <is>
          <t>SPREAD MPO 1X1L</t>
        </is>
      </c>
      <c r="D658" s="14" t="inlineStr">
        <is>
          <t>SPREAD MPO</t>
        </is>
      </c>
      <c r="E658" s="13" t="inlineStr">
        <is>
          <t>Adjuvante / Espalhante Adesivo</t>
        </is>
      </c>
      <c r="F658" s="13" t="inlineStr">
        <is>
          <t>Adjuvantes</t>
        </is>
      </c>
      <c r="G658" s="13" t="inlineStr">
        <is>
          <t>Adjuvante Espalhante / Surfactante / Redutor de pH e Deriva</t>
        </is>
      </c>
      <c r="H658" s="13" t="inlineStr">
        <is>
          <t>EC</t>
        </is>
      </c>
      <c r="I658" s="13" t="inlineStr">
        <is>
          <t>Concentrado Emulsionável (EC)</t>
        </is>
      </c>
      <c r="J658" s="13" t="inlineStr">
        <is>
          <t>Aditivo físico-químico para calda de pulverização</t>
        </is>
      </c>
      <c r="K658" s="13" t="inlineStr">
        <is>
          <t>Éster Metílico / Hidrocarboneto Parafínico / Tensoativo Siliconado</t>
        </is>
      </c>
      <c r="L658" s="13" t="inlineStr">
        <is>
          <t>Adjuvante Tecnológico de Pulverização</t>
        </is>
      </c>
      <c r="M658" s="13" t="inlineStr">
        <is>
          <t>Redução da tensão superficial, espalhamento, anti-deriva e penetração cuticular</t>
        </is>
      </c>
      <c r="N658" s="13" t="inlineStr">
        <is>
          <t>Isento / Ato SDA nº 104/2017 (ou Categoria 5 quando registrado)</t>
        </is>
      </c>
      <c r="O658" s="13" t="inlineStr">
        <is>
          <t>Azul / Isento</t>
        </is>
      </c>
      <c r="P658" s="13" t="inlineStr">
        <is>
          <t>Classe IV — Pouco Perigoso ao Meio Ambiente</t>
        </is>
      </c>
      <c r="Q658" s="15" t="n">
        <v>24</v>
      </c>
      <c r="R658" s="13" t="inlineStr">
        <is>
          <t>Terrestre / Aérea (Drones consultar bula)</t>
        </is>
      </c>
      <c r="S658" s="13" t="inlineStr">
        <is>
          <t>Tratamento sintomático; evitar indução de vômito em derivados de petróleo</t>
        </is>
      </c>
      <c r="T658" s="13" t="inlineStr">
        <is>
          <t>Dispensado de Registro (Ato SDA nº 104/2017)</t>
        </is>
      </c>
      <c r="U658" s="16">
        <f>HYPERLINK("https://www.gov.br/agricultura/pt-br/assuntos/insumos-agropecuarios/insumos-agricolas/agrotoxicos/legislacao", "Ato SDA/MAPA nº 104/2017 — Adjuvantes Agrícolas")</f>
        <v/>
      </c>
    </row>
    <row r="659" ht="22" customHeight="1">
      <c r="A659" s="5" t="n">
        <v>654</v>
      </c>
      <c r="B659" s="6" t="inlineStr">
        <is>
          <t>ISENTO (ATO 104/2017)</t>
        </is>
      </c>
      <c r="C659" s="7" t="inlineStr">
        <is>
          <t>AGRIS 20L</t>
        </is>
      </c>
      <c r="D659" s="8" t="inlineStr">
        <is>
          <t>AGRIS</t>
        </is>
      </c>
      <c r="E659" s="7" t="inlineStr">
        <is>
          <t>Adjuvante / Espalhante Adesivo</t>
        </is>
      </c>
      <c r="F659" s="7" t="inlineStr">
        <is>
          <t>Adjuvantes</t>
        </is>
      </c>
      <c r="G659" s="7" t="inlineStr">
        <is>
          <t>Adjuvante Espalhante / Surfactante / Redutor de pH e Deriva</t>
        </is>
      </c>
      <c r="H659" s="7" t="inlineStr">
        <is>
          <t>EC</t>
        </is>
      </c>
      <c r="I659" s="7" t="inlineStr">
        <is>
          <t>Concentrado Emulsionável (EC)</t>
        </is>
      </c>
      <c r="J659" s="7" t="inlineStr">
        <is>
          <t>Aditivo físico-químico para calda de pulverização</t>
        </is>
      </c>
      <c r="K659" s="7" t="inlineStr">
        <is>
          <t>Éster Metílico / Hidrocarboneto Parafínico / Tensoativo Siliconado</t>
        </is>
      </c>
      <c r="L659" s="7" t="inlineStr">
        <is>
          <t>Adjuvante Tecnológico de Pulverização</t>
        </is>
      </c>
      <c r="M659" s="7" t="inlineStr">
        <is>
          <t>Redução da tensão superficial, espalhamento, anti-deriva e penetração cuticular</t>
        </is>
      </c>
      <c r="N659" s="7" t="inlineStr">
        <is>
          <t>Isento / Ato SDA nº 104/2017 (ou Categoria 5 quando registrado)</t>
        </is>
      </c>
      <c r="O659" s="7" t="inlineStr">
        <is>
          <t>Azul / Isento</t>
        </is>
      </c>
      <c r="P659" s="7" t="inlineStr">
        <is>
          <t>Classe IV — Pouco Perigoso ao Meio Ambiente</t>
        </is>
      </c>
      <c r="Q659" s="9" t="n">
        <v>24</v>
      </c>
      <c r="R659" s="7" t="inlineStr">
        <is>
          <t>Terrestre / Aérea (Drones consultar bula)</t>
        </is>
      </c>
      <c r="S659" s="7" t="inlineStr">
        <is>
          <t>Tratamento sintomático; evitar indução de vômito em derivados de petróleo</t>
        </is>
      </c>
      <c r="T659" s="7" t="inlineStr">
        <is>
          <t>Dispensado de Registro (Ato SDA nº 104/2017)</t>
        </is>
      </c>
      <c r="U659" s="10">
        <f>HYPERLINK("https://www.gov.br/agricultura/pt-br/assuntos/insumos-agropecuarios/insumos-agricolas/agrotoxicos/legislacao", "Ato SDA/MAPA nº 104/2017 — Adjuvantes Agrícolas")</f>
        <v/>
      </c>
    </row>
    <row r="660" ht="22" customHeight="1">
      <c r="A660" s="11" t="n">
        <v>655</v>
      </c>
      <c r="B660" s="12" t="inlineStr">
        <is>
          <t>SIPEAGRO (UF-XXXXX)</t>
        </is>
      </c>
      <c r="C660" s="13" t="inlineStr">
        <is>
          <t>VITAL SOLO BORO 4X5L</t>
        </is>
      </c>
      <c r="D660" s="14" t="inlineStr">
        <is>
          <t>VITAL SOLO BORO</t>
        </is>
      </c>
      <c r="E660" s="13" t="inlineStr">
        <is>
          <t>Fertilizante Mineral / Organomineral</t>
        </is>
      </c>
      <c r="F660" s="13" t="inlineStr">
        <is>
          <t>Fertilizantes</t>
        </is>
      </c>
      <c r="G660" s="13" t="inlineStr">
        <is>
          <t>Fertilizante Foliar / Micronutrientes</t>
        </is>
      </c>
      <c r="H660" s="13" t="inlineStr">
        <is>
          <t>SL</t>
        </is>
      </c>
      <c r="I660" s="13" t="inlineStr">
        <is>
          <t>Solução / Suspensão Concentrada Foliar (Fluido)</t>
        </is>
      </c>
      <c r="J660" s="13" t="inlineStr">
        <is>
          <t>Aplicação via solo, fertirrigação ou adubação foliar</t>
        </is>
      </c>
      <c r="K660" s="13" t="inlineStr">
        <is>
          <t>Fertilizante Mineral / Organomineral (Lei nº 6.894/1980)</t>
        </is>
      </c>
      <c r="L660" s="13" t="inlineStr">
        <is>
          <t>Nutrição Vegetal SIPEAGRO</t>
        </is>
      </c>
      <c r="M660" s="13" t="inlineStr">
        <is>
          <t>Fornecimento de macro e micronutrientes essenciais ao metabolismo vegetal</t>
        </is>
      </c>
      <c r="N660" s="13" t="inlineStr">
        <is>
          <t>Isento ANVISA (Produto Fertilizante Registrado no SIPEAGRO/MAPA)</t>
        </is>
      </c>
      <c r="O660" s="13" t="inlineStr">
        <is>
          <t>Não Aplicável (Fertilizante)</t>
        </is>
      </c>
      <c r="P660" s="13" t="inlineStr">
        <is>
          <t>Baixo Potencial Poluidor (Uso conforme recomendação agronômica)</t>
        </is>
      </c>
      <c r="Q660" s="15" t="n">
        <v>0</v>
      </c>
      <c r="R660" s="13" t="inlineStr">
        <is>
          <t>Aplicação Dirigida / TS / Solo</t>
        </is>
      </c>
      <c r="S660" s="13" t="inlineStr">
        <is>
          <t>Tratamento sintomático em caso de ingestão acidental</t>
        </is>
      </c>
      <c r="T660" s="13" t="inlineStr">
        <is>
          <t>Estabelecimento Produtor SIPEAGRO/MAPA</t>
        </is>
      </c>
      <c r="U660" s="16">
        <f>HYPERLINK("https://www.gov.br/agricultura/pt-br/assuntos/insumos-agropecuarios/insumos-agricolas/fertilizantes", "Portal SIPEAGRO / MAPA — Fertilizantes e Bioinsumos")</f>
        <v/>
      </c>
    </row>
    <row r="661" ht="22" customHeight="1">
      <c r="A661" s="5" t="n">
        <v>656</v>
      </c>
      <c r="B661" s="6" t="inlineStr">
        <is>
          <t>SIPEAGRO (UF-XXXXX)</t>
        </is>
      </c>
      <c r="C661" s="7" t="inlineStr">
        <is>
          <t>RESISTANCE BAC-F 4X5L</t>
        </is>
      </c>
      <c r="D661" s="8" t="inlineStr">
        <is>
          <t>RESISTANCE BAC-F</t>
        </is>
      </c>
      <c r="E661" s="7" t="inlineStr">
        <is>
          <t>Fertilizante Mineral / Organomineral</t>
        </is>
      </c>
      <c r="F661" s="7" t="inlineStr">
        <is>
          <t>Fertilizantes</t>
        </is>
      </c>
      <c r="G661" s="7" t="inlineStr">
        <is>
          <t>Fertilizante Foliar / Micronutrientes</t>
        </is>
      </c>
      <c r="H661" s="7" t="inlineStr">
        <is>
          <t>SL</t>
        </is>
      </c>
      <c r="I661" s="7" t="inlineStr">
        <is>
          <t>Solução / Suspensão Concentrada Foliar (Fluido)</t>
        </is>
      </c>
      <c r="J661" s="7" t="inlineStr">
        <is>
          <t>Aplicação via solo, fertirrigação ou adubação foliar</t>
        </is>
      </c>
      <c r="K661" s="7" t="inlineStr">
        <is>
          <t>Fertilizante Mineral / Organomineral (Lei nº 6.894/1980)</t>
        </is>
      </c>
      <c r="L661" s="7" t="inlineStr">
        <is>
          <t>Nutrição Vegetal SIPEAGRO</t>
        </is>
      </c>
      <c r="M661" s="7" t="inlineStr">
        <is>
          <t>Fornecimento de macro e micronutrientes essenciais ao metabolismo vegetal</t>
        </is>
      </c>
      <c r="N661" s="7" t="inlineStr">
        <is>
          <t>Isento ANVISA (Produto Fertilizante Registrado no SIPEAGRO/MAPA)</t>
        </is>
      </c>
      <c r="O661" s="7" t="inlineStr">
        <is>
          <t>Não Aplicável (Fertilizante)</t>
        </is>
      </c>
      <c r="P661" s="7" t="inlineStr">
        <is>
          <t>Baixo Potencial Poluidor (Uso conforme recomendação agronômica)</t>
        </is>
      </c>
      <c r="Q661" s="9" t="n">
        <v>0</v>
      </c>
      <c r="R661" s="7" t="inlineStr">
        <is>
          <t>Aplicação Dirigida / TS / Solo</t>
        </is>
      </c>
      <c r="S661" s="7" t="inlineStr">
        <is>
          <t>Tratamento sintomático em caso de ingestão acidental</t>
        </is>
      </c>
      <c r="T661" s="7" t="inlineStr">
        <is>
          <t>Estabelecimento Produtor SIPEAGRO/MAPA</t>
        </is>
      </c>
      <c r="U661" s="10">
        <f>HYPERLINK("https://www.gov.br/agricultura/pt-br/assuntos/insumos-agropecuarios/insumos-agricolas/fertilizantes", "Portal SIPEAGRO / MAPA — Fertilizantes e Bioinsumos")</f>
        <v/>
      </c>
    </row>
    <row r="662" ht="22" customHeight="1">
      <c r="A662" s="11" t="n">
        <v>657</v>
      </c>
      <c r="B662" s="12" t="inlineStr">
        <is>
          <t>SIPEAGRO (UF-XXXXX)</t>
        </is>
      </c>
      <c r="C662" s="13" t="inlineStr">
        <is>
          <t>RESISTANCE BAC-F 1X20L</t>
        </is>
      </c>
      <c r="D662" s="14" t="inlineStr">
        <is>
          <t>RESISTANCE BAC-F</t>
        </is>
      </c>
      <c r="E662" s="13" t="inlineStr">
        <is>
          <t>Fertilizante Mineral / Organomineral</t>
        </is>
      </c>
      <c r="F662" s="13" t="inlineStr">
        <is>
          <t>Fertilizantes</t>
        </is>
      </c>
      <c r="G662" s="13" t="inlineStr">
        <is>
          <t>Fertilizante Foliar / Micronutrientes</t>
        </is>
      </c>
      <c r="H662" s="13" t="inlineStr">
        <is>
          <t>SL</t>
        </is>
      </c>
      <c r="I662" s="13" t="inlineStr">
        <is>
          <t>Solução / Suspensão Concentrada Foliar (Fluido)</t>
        </is>
      </c>
      <c r="J662" s="13" t="inlineStr">
        <is>
          <t>Aplicação via solo, fertirrigação ou adubação foliar</t>
        </is>
      </c>
      <c r="K662" s="13" t="inlineStr">
        <is>
          <t>Fertilizante Mineral / Organomineral (Lei nº 6.894/1980)</t>
        </is>
      </c>
      <c r="L662" s="13" t="inlineStr">
        <is>
          <t>Nutrição Vegetal SIPEAGRO</t>
        </is>
      </c>
      <c r="M662" s="13" t="inlineStr">
        <is>
          <t>Fornecimento de macro e micronutrientes essenciais ao metabolismo vegetal</t>
        </is>
      </c>
      <c r="N662" s="13" t="inlineStr">
        <is>
          <t>Isento ANVISA (Produto Fertilizante Registrado no SIPEAGRO/MAPA)</t>
        </is>
      </c>
      <c r="O662" s="13" t="inlineStr">
        <is>
          <t>Não Aplicável (Fertilizante)</t>
        </is>
      </c>
      <c r="P662" s="13" t="inlineStr">
        <is>
          <t>Baixo Potencial Poluidor (Uso conforme recomendação agronômica)</t>
        </is>
      </c>
      <c r="Q662" s="15" t="n">
        <v>0</v>
      </c>
      <c r="R662" s="13" t="inlineStr">
        <is>
          <t>Aplicação Dirigida / TS / Solo</t>
        </is>
      </c>
      <c r="S662" s="13" t="inlineStr">
        <is>
          <t>Tratamento sintomático em caso de ingestão acidental</t>
        </is>
      </c>
      <c r="T662" s="13" t="inlineStr">
        <is>
          <t>Estabelecimento Produtor SIPEAGRO/MAPA</t>
        </is>
      </c>
      <c r="U662" s="16">
        <f>HYPERLINK("https://www.gov.br/agricultura/pt-br/assuntos/insumos-agropecuarios/insumos-agricolas/fertilizantes", "Portal SIPEAGRO / MAPA — Fertilizantes e Bioinsumos")</f>
        <v/>
      </c>
    </row>
    <row r="663" ht="22" customHeight="1">
      <c r="A663" s="5" t="n">
        <v>658</v>
      </c>
      <c r="B663" s="6" t="inlineStr">
        <is>
          <t>Nº 3123</t>
        </is>
      </c>
      <c r="C663" s="7" t="inlineStr">
        <is>
          <t>IMIDACLOPRID NORTOX 4X5L</t>
        </is>
      </c>
      <c r="D663" s="8" t="inlineStr">
        <is>
          <t>IMIDACLOPRID NORTOX</t>
        </is>
      </c>
      <c r="E663" s="7" t="inlineStr">
        <is>
          <t>Produto Formulado Comercial</t>
        </is>
      </c>
      <c r="F663" s="7" t="inlineStr">
        <is>
          <t>Defensivos</t>
        </is>
      </c>
      <c r="G663" s="7" t="inlineStr">
        <is>
          <t>Inseticida</t>
        </is>
      </c>
      <c r="H663" s="7" t="inlineStr">
        <is>
          <t>SC</t>
        </is>
      </c>
      <c r="I663" s="7" t="inlineStr">
        <is>
          <t>Suspensão Concentrada (SC)</t>
        </is>
      </c>
      <c r="J663" s="7" t="inlineStr">
        <is>
          <t>Inseticida/acaricida de contato e ingestão</t>
        </is>
      </c>
      <c r="K663" s="7" t="inlineStr">
        <is>
          <t>Neonicotinoide</t>
        </is>
      </c>
      <c r="L663" s="7" t="inlineStr">
        <is>
          <t>IRAC Grupo 4A</t>
        </is>
      </c>
      <c r="M663" s="7" t="inlineStr">
        <is>
          <t>Moduladores competitivos dos receptores nicotínicos da acetilcolina (nAChR)</t>
        </is>
      </c>
      <c r="N663" s="7" t="inlineStr">
        <is>
          <t>Categoria 3 / 4 — Moderadamente a Pouco Tóxico</t>
        </is>
      </c>
      <c r="O663" s="7" t="inlineStr">
        <is>
          <t>Amarelo / Azul</t>
        </is>
      </c>
      <c r="P663" s="7" t="inlineStr">
        <is>
          <t>Classe II — Produto Muito Perigoso ao Meio Ambiente</t>
        </is>
      </c>
      <c r="Q663" s="9" t="n">
        <v>24</v>
      </c>
      <c r="R663" s="7" t="inlineStr">
        <is>
          <t>Terrestre / Aérea (Drones consultar bula)</t>
        </is>
      </c>
      <c r="S663" s="7" t="inlineStr">
        <is>
          <t>Tratamento sintomático conforme grupo químico na bula</t>
        </is>
      </c>
      <c r="T663" s="7" t="inlineStr">
        <is>
          <t>Nortox S.A.</t>
        </is>
      </c>
      <c r="U663" s="10">
        <f>HYPERLINK("https://agrofit.agricultura.gov.br/agrofit_cons/principal_agrofit_cons", "Consulta Oficial AGROFIT/MAPA (Nº 3123)")</f>
        <v/>
      </c>
    </row>
    <row r="664" ht="22" customHeight="1">
      <c r="A664" s="11" t="n">
        <v>659</v>
      </c>
      <c r="B664" s="12" t="inlineStr">
        <is>
          <t>Nº 15420</t>
        </is>
      </c>
      <c r="C664" s="13" t="inlineStr">
        <is>
          <t>KYOJIN 10L</t>
        </is>
      </c>
      <c r="D664" s="14" t="inlineStr">
        <is>
          <t>KYOJIN</t>
        </is>
      </c>
      <c r="E664" s="13" t="inlineStr">
        <is>
          <t>Produto Formulado Comercial</t>
        </is>
      </c>
      <c r="F664" s="13" t="inlineStr">
        <is>
          <t>Defensivos</t>
        </is>
      </c>
      <c r="G664" s="13" t="inlineStr">
        <is>
          <t>Herbicida</t>
        </is>
      </c>
      <c r="H664" s="13" t="inlineStr">
        <is>
          <t>SC</t>
        </is>
      </c>
      <c r="I664" s="13" t="inlineStr">
        <is>
          <t>Suspensão Concentrada (SC)</t>
        </is>
      </c>
      <c r="J664" s="13" t="inlineStr">
        <is>
          <t>Herbicida seletivo de contato e residual (pré e pós-emergência inicial)</t>
        </is>
      </c>
      <c r="K664" s="13" t="inlineStr">
        <is>
          <t>Isoxazolina</t>
        </is>
      </c>
      <c r="L664" s="13" t="inlineStr">
        <is>
          <t>HRAC Grupo K3 (15) — Inibidores de VLCFA</t>
        </is>
      </c>
      <c r="M664" s="13" t="inlineStr">
        <is>
          <t>Inibição da síntese de ácidos graxos de cadeia muito longa (VLCFA)</t>
        </is>
      </c>
      <c r="N664" s="13" t="inlineStr">
        <is>
          <t>Categoria 4 / 5 — Pouco Tóxico</t>
        </is>
      </c>
      <c r="O664" s="13" t="inlineStr">
        <is>
          <t>Azul Intenso</t>
        </is>
      </c>
      <c r="P664" s="13" t="inlineStr">
        <is>
          <t>Classe II — Produto Muito Perigoso ao Meio Ambiente</t>
        </is>
      </c>
      <c r="Q664" s="15" t="n">
        <v>24</v>
      </c>
      <c r="R664" s="13" t="inlineStr">
        <is>
          <t>Terrestre / Aérea (Drones consultar bula)</t>
        </is>
      </c>
      <c r="S664" s="13" t="inlineStr">
        <is>
          <t>Sem antídoto específico; tratamento sintomático</t>
        </is>
      </c>
      <c r="T664" s="13" t="inlineStr">
        <is>
          <t>IHARABRAS S.A. INDÚSTRIAS QUÍMICAS</t>
        </is>
      </c>
      <c r="U664" s="16">
        <f>HYPERLINK("https://revistacultivar.com.br/pesticida/kyojin", "Bula Oficial Kyojin SC (Ihara - MAPA 15420)")</f>
        <v/>
      </c>
    </row>
    <row r="665" ht="22" customHeight="1">
      <c r="A665" s="5" t="n">
        <v>660</v>
      </c>
      <c r="B665" s="6" t="inlineStr">
        <is>
          <t>Nº 9917</t>
        </is>
      </c>
      <c r="C665" s="7" t="inlineStr">
        <is>
          <t>PRISMA PLUS 1X10L</t>
        </is>
      </c>
      <c r="D665" s="8" t="inlineStr">
        <is>
          <t>PRISMA PLUS</t>
        </is>
      </c>
      <c r="E665" s="7" t="inlineStr">
        <is>
          <t>Produto Formulado Comercial</t>
        </is>
      </c>
      <c r="F665" s="7" t="inlineStr">
        <is>
          <t>Defensivos</t>
        </is>
      </c>
      <c r="G665" s="7" t="inlineStr">
        <is>
          <t>Fungicida</t>
        </is>
      </c>
      <c r="H665" s="7" t="inlineStr">
        <is>
          <t>EC</t>
        </is>
      </c>
      <c r="I665" s="7" t="inlineStr">
        <is>
          <t>Concentrado Emulsionável (EC)</t>
        </is>
      </c>
      <c r="J665" s="7" t="inlineStr">
        <is>
          <t>Fungicida sistêmico preventivo, curativo e erradicante</t>
        </is>
      </c>
      <c r="K665" s="7" t="inlineStr">
        <is>
          <t>Triazol</t>
        </is>
      </c>
      <c r="L665" s="7" t="inlineStr">
        <is>
          <t>FRAC Grupo 3 (DMI)</t>
        </is>
      </c>
      <c r="M665" s="7" t="inlineStr">
        <is>
          <t>Inibidores da desmetilação de esteróis (C14-desmetilase na síntese de ergosterol)</t>
        </is>
      </c>
      <c r="N665" s="7" t="inlineStr">
        <is>
          <t>Categoria 3 / 4 — Moderadamente a Pouco Tóxico</t>
        </is>
      </c>
      <c r="O665" s="7" t="inlineStr">
        <is>
          <t>Amarelo / Azul</t>
        </is>
      </c>
      <c r="P665" s="7" t="inlineStr">
        <is>
          <t>Classe II — Produto Muito Perigoso ao Meio Ambiente</t>
        </is>
      </c>
      <c r="Q665" s="9" t="n">
        <v>24</v>
      </c>
      <c r="R665" s="7" t="inlineStr">
        <is>
          <t>Terrestre / Aérea (Drones consultar bula)</t>
        </is>
      </c>
      <c r="S665" s="7" t="inlineStr">
        <is>
          <t>Sem antídoto específico; tratamento sintomático</t>
        </is>
      </c>
      <c r="T665" s="7" t="inlineStr">
        <is>
          <t>Jubaili / Rotam</t>
        </is>
      </c>
      <c r="U665" s="10">
        <f>HYPERLINK("https://agrofit.agricultura.gov.br/agrofit_cons/principal_agrofit_cons", "Consulta Oficial AGROFIT/MAPA (Nº 9917)")</f>
        <v/>
      </c>
    </row>
    <row r="666" ht="22" customHeight="1">
      <c r="A666" s="11" t="n">
        <v>661</v>
      </c>
      <c r="B666" s="12" t="inlineStr">
        <is>
          <t>Nº 12407</t>
        </is>
      </c>
      <c r="C666" s="13" t="inlineStr">
        <is>
          <t>ECHO 1X20L</t>
        </is>
      </c>
      <c r="D666" s="14" t="inlineStr">
        <is>
          <t>ECHO</t>
        </is>
      </c>
      <c r="E666" s="13" t="inlineStr">
        <is>
          <t>Produto Formulado Comercial</t>
        </is>
      </c>
      <c r="F666" s="13" t="inlineStr">
        <is>
          <t>Defensivos</t>
        </is>
      </c>
      <c r="G666" s="13" t="inlineStr">
        <is>
          <t>Fungicida</t>
        </is>
      </c>
      <c r="H666" s="13" t="inlineStr">
        <is>
          <t>SC</t>
        </is>
      </c>
      <c r="I666" s="13" t="inlineStr">
        <is>
          <t>Suspensão Concentrada (SC)</t>
        </is>
      </c>
      <c r="J666" s="13" t="inlineStr">
        <is>
          <t>Fungicida protetor de contato multissítio (manejo anti-resistência)</t>
        </is>
      </c>
      <c r="K666" s="13" t="inlineStr">
        <is>
          <t>Isoftalonitrila</t>
        </is>
      </c>
      <c r="L666" s="13" t="inlineStr">
        <is>
          <t>FRAC Grupo M05 — Multissítio</t>
        </is>
      </c>
      <c r="M666" s="13" t="inlineStr">
        <is>
          <t>Atividade de contato multissítio (inativação de grupos tiol enzimáticos)</t>
        </is>
      </c>
      <c r="N666" s="13" t="inlineStr">
        <is>
          <t>Categoria 2 / 3 — Altamente a Moderadamente Tóxico</t>
        </is>
      </c>
      <c r="O666" s="13" t="inlineStr">
        <is>
          <t>Vermelho / Amarelo</t>
        </is>
      </c>
      <c r="P666" s="13" t="inlineStr">
        <is>
          <t>Classe II — Produto Muito Perigoso ao Meio Ambiente</t>
        </is>
      </c>
      <c r="Q666" s="15" t="n">
        <v>24</v>
      </c>
      <c r="R666" s="13" t="inlineStr">
        <is>
          <t>Terrestre / Aérea (Drones consultar bula)</t>
        </is>
      </c>
      <c r="S666" s="13" t="inlineStr">
        <is>
          <t>Sem antídoto específico; tratamento sintomático e descontaminação ocular/cutânea</t>
        </is>
      </c>
      <c r="T666" s="13" t="inlineStr">
        <is>
          <t>OXON BRASIL DEFENSIVOS AGRÍCOLAS LTDA. / SIPCAM NICHINO</t>
        </is>
      </c>
      <c r="U666" s="16">
        <f>HYPERLINK("https://revistacultivar.com.br/pesticida/echo-echo-stick-pugil-720-sc", "Bula Oficial Echo 720 SC (Oxon - MAPA 12407)")</f>
        <v/>
      </c>
    </row>
    <row r="667" ht="22" customHeight="1">
      <c r="A667" s="5" t="n">
        <v>662</v>
      </c>
      <c r="B667" s="6" t="inlineStr">
        <is>
          <t>VINCULAR MARCA</t>
        </is>
      </c>
      <c r="C667" s="7" t="inlineStr">
        <is>
          <t>ACTTRA NOCTUIDEO 1X20L</t>
        </is>
      </c>
      <c r="D667" s="8" t="inlineStr">
        <is>
          <t>ACTTRA NOCTUIDEO</t>
        </is>
      </c>
      <c r="E667" s="7" t="inlineStr">
        <is>
          <t>Produto Formulado Comercial</t>
        </is>
      </c>
      <c r="F667" s="7" t="inlineStr">
        <is>
          <t>Defensivos</t>
        </is>
      </c>
      <c r="G667" s="7" t="inlineStr">
        <is>
          <t>Atrativo Alimentar / Semioquímico</t>
        </is>
      </c>
      <c r="H667" s="7" t="inlineStr">
        <is>
          <t>EC</t>
        </is>
      </c>
      <c r="I667" s="7" t="inlineStr">
        <is>
          <t>Concentrado Emulsionável (EC)</t>
        </is>
      </c>
      <c r="J667" s="7" t="inlineStr">
        <is>
          <t>Inseticida/acaricida de contato e ingestão</t>
        </is>
      </c>
      <c r="K667" s="7" t="inlineStr">
        <is>
          <t>Semioquímico / Atrativo Alimentar de Noctuídeos</t>
        </is>
      </c>
      <c r="L667" s="7" t="inlineStr">
        <is>
          <t>Manejo Comportamental (Atrai-e-Mata / Monitoramento)</t>
        </is>
      </c>
      <c r="M667" s="7" t="inlineStr">
        <is>
          <t>Atração olfativa e fagorreguladora de adultos de mariposas Noctuidae</t>
        </is>
      </c>
      <c r="N667" s="7" t="inlineStr">
        <is>
          <t>Categoria 3 / 4 — Moderadamente a Pouco Tóxico</t>
        </is>
      </c>
      <c r="O667" s="7" t="inlineStr">
        <is>
          <t>Amarelo / Azul</t>
        </is>
      </c>
      <c r="P667" s="7" t="inlineStr">
        <is>
          <t>Classe II — Produto Muito Perigoso ao Meio Ambiente</t>
        </is>
      </c>
      <c r="Q667" s="9" t="n">
        <v>24</v>
      </c>
      <c r="R667" s="7" t="inlineStr">
        <is>
          <t>Terrestre / Aérea (Drones consultar bula)</t>
        </is>
      </c>
      <c r="S667" s="7" t="inlineStr">
        <is>
          <t>Tratamento sintomático conforme grupo químico na bula</t>
        </is>
      </c>
      <c r="T667" s="7" t="inlineStr">
        <is>
          <t>ISCA TECNOLOGIAS LTDA.</t>
        </is>
      </c>
      <c r="U667" s="10">
        <f>HYPERLINK("https://agrofit.agricultura.gov.br/agrofit_cons/principal_agrofit_cons", "Consulta Oficial AGROFIT/MAPA (VINCULAR MARCA)")</f>
        <v/>
      </c>
    </row>
    <row r="668" ht="22" customHeight="1">
      <c r="A668" s="11" t="n">
        <v>663</v>
      </c>
      <c r="B668" s="12" t="inlineStr">
        <is>
          <t>Nº 3202</t>
        </is>
      </c>
      <c r="C668" s="13" t="inlineStr">
        <is>
          <t>IMPULSE 1X20L</t>
        </is>
      </c>
      <c r="D668" s="14" t="inlineStr">
        <is>
          <t>IMPULSE</t>
        </is>
      </c>
      <c r="E668" s="13" t="inlineStr">
        <is>
          <t>Produto Formulado Comercial</t>
        </is>
      </c>
      <c r="F668" s="13" t="inlineStr">
        <is>
          <t>Defensivos</t>
        </is>
      </c>
      <c r="G668" s="13" t="inlineStr">
        <is>
          <t>Regulador de Crescimento</t>
        </is>
      </c>
      <c r="H668" s="13" t="inlineStr">
        <is>
          <t>SL</t>
        </is>
      </c>
      <c r="I668" s="13" t="inlineStr">
        <is>
          <t>Concentrado Solúvel (SL)</t>
        </is>
      </c>
      <c r="J668" s="13" t="inlineStr">
        <is>
          <t>Inseticida/acaricida de contato e ingestão</t>
        </is>
      </c>
      <c r="K668" s="13" t="inlineStr">
        <is>
          <t>Ácido Fosfônico (Gerador de Etileno)</t>
        </is>
      </c>
      <c r="L668" s="13" t="inlineStr">
        <is>
          <t>Regulador de Crescimento Vegetal (Precursor de Etileno)</t>
        </is>
      </c>
      <c r="M668" s="13" t="inlineStr">
        <is>
          <t>Liberação de etileno nos tecidos vegetais (maturação e desfolha)</t>
        </is>
      </c>
      <c r="N668" s="13" t="inlineStr">
        <is>
          <t>Categoria 3 / 4 — Moderadamente a Pouco Tóxico</t>
        </is>
      </c>
      <c r="O668" s="13" t="inlineStr">
        <is>
          <t>Amarelo / Azul</t>
        </is>
      </c>
      <c r="P668" s="13" t="inlineStr">
        <is>
          <t>Classe II — Produto Muito Perigoso ao Meio Ambiente</t>
        </is>
      </c>
      <c r="Q668" s="15" t="n">
        <v>24</v>
      </c>
      <c r="R668" s="13" t="inlineStr">
        <is>
          <t>Terrestre / Aérea (Drones consultar bula)</t>
        </is>
      </c>
      <c r="S668" s="13" t="inlineStr">
        <is>
          <t>Tratamento sintomático conforme grupo químico na bula</t>
        </is>
      </c>
      <c r="T668" s="13" t="inlineStr">
        <is>
          <t>Bayer S.A.</t>
        </is>
      </c>
      <c r="U668" s="16">
        <f>HYPERLINK("https://agrofit.agricultura.gov.br/agrofit_cons/principal_agrofit_cons", "Consulta Oficial AGROFIT/MAPA (Nº 3202)")</f>
        <v/>
      </c>
    </row>
    <row r="669" ht="22" customHeight="1">
      <c r="A669" s="5" t="n">
        <v>664</v>
      </c>
      <c r="B669" s="6" t="inlineStr">
        <is>
          <t>Nº 0820</t>
        </is>
      </c>
      <c r="C669" s="7" t="inlineStr">
        <is>
          <t>MESOPEC 4X5L</t>
        </is>
      </c>
      <c r="D669" s="8" t="inlineStr">
        <is>
          <t>MESOPEC</t>
        </is>
      </c>
      <c r="E669" s="7" t="inlineStr">
        <is>
          <t>Produto Formulado Comercial</t>
        </is>
      </c>
      <c r="F669" s="7" t="inlineStr">
        <is>
          <t>Defensivos</t>
        </is>
      </c>
      <c r="G669" s="7" t="inlineStr">
        <is>
          <t>Herbicida</t>
        </is>
      </c>
      <c r="H669" s="7" t="inlineStr">
        <is>
          <t>SC</t>
        </is>
      </c>
      <c r="I669" s="7" t="inlineStr">
        <is>
          <t>Suspensão Concentrada (SC)</t>
        </is>
      </c>
      <c r="J669" s="7" t="inlineStr">
        <is>
          <t>Herbicida sistêmico seletivo de pós-emergência</t>
        </is>
      </c>
      <c r="K669" s="7" t="inlineStr">
        <is>
          <t>Tricetona</t>
        </is>
      </c>
      <c r="L669" s="7" t="inlineStr">
        <is>
          <t>HRAC Grupo F2 (27) — Inibidores da HPPD</t>
        </is>
      </c>
      <c r="M669" s="7" t="inlineStr">
        <is>
          <t>Inibidores da enzima 4-hidroxifenil-piruvato-dioxigenase (HPPD - biossíntese de carotenoides)</t>
        </is>
      </c>
      <c r="N669" s="7" t="inlineStr">
        <is>
          <t>Categoria 4 / 5 — Pouco Tóxico</t>
        </is>
      </c>
      <c r="O669" s="7" t="inlineStr">
        <is>
          <t>Azul Intenso</t>
        </is>
      </c>
      <c r="P669" s="7" t="inlineStr">
        <is>
          <t>Classe II — Produto Muito Perigoso ao Meio Ambiente</t>
        </is>
      </c>
      <c r="Q669" s="9" t="n">
        <v>24</v>
      </c>
      <c r="R669" s="7" t="inlineStr">
        <is>
          <t>Terrestre / Aérea (Drones consultar bula)</t>
        </is>
      </c>
      <c r="S669" s="7" t="inlineStr">
        <is>
          <t>Sem antídoto específico; tratamento sintomático</t>
        </is>
      </c>
      <c r="T669" s="7" t="inlineStr">
        <is>
          <t>Rainbow / Sino-Agri</t>
        </is>
      </c>
      <c r="U669" s="10">
        <f>HYPERLINK("https://agrofit.agricultura.gov.br/agrofit_cons/principal_agrofit_cons", "Consulta Oficial AGROFIT/MAPA (Nº 0820)")</f>
        <v/>
      </c>
    </row>
    <row r="670" ht="22" customHeight="1">
      <c r="A670" s="11" t="n">
        <v>665</v>
      </c>
      <c r="B670" s="12" t="inlineStr">
        <is>
          <t>Nº 16320</t>
        </is>
      </c>
      <c r="C670" s="13" t="inlineStr">
        <is>
          <t>TAKUMI 4X5L</t>
        </is>
      </c>
      <c r="D670" s="14" t="inlineStr">
        <is>
          <t>TAKUMI</t>
        </is>
      </c>
      <c r="E670" s="13" t="inlineStr">
        <is>
          <t>Produto Formulado Comercial</t>
        </is>
      </c>
      <c r="F670" s="13" t="inlineStr">
        <is>
          <t>Defensivos</t>
        </is>
      </c>
      <c r="G670" s="13" t="inlineStr">
        <is>
          <t>Inseticida</t>
        </is>
      </c>
      <c r="H670" s="13" t="inlineStr">
        <is>
          <t>SC</t>
        </is>
      </c>
      <c r="I670" s="13" t="inlineStr">
        <is>
          <t>Suspensão Concentrada (SC)</t>
        </is>
      </c>
      <c r="J670" s="13" t="inlineStr">
        <is>
          <t>Inseticida/acaricida de contato e ingestão</t>
        </is>
      </c>
      <c r="K670" s="13" t="inlineStr">
        <is>
          <t>Diamida do Ácido Ftálico</t>
        </is>
      </c>
      <c r="L670" s="13" t="inlineStr">
        <is>
          <t>IRAC Grupo 28</t>
        </is>
      </c>
      <c r="M670" s="13" t="inlineStr">
        <is>
          <t>Moduladores dos receptores de rianodina (RyR)</t>
        </is>
      </c>
      <c r="N670" s="13" t="inlineStr">
        <is>
          <t>Categoria 3 / 4 — Moderadamente a Pouco Tóxico</t>
        </is>
      </c>
      <c r="O670" s="13" t="inlineStr">
        <is>
          <t>Amarelo / Azul</t>
        </is>
      </c>
      <c r="P670" s="13" t="inlineStr">
        <is>
          <t>Classe II — Produto Muito Perigoso ao Meio Ambiente</t>
        </is>
      </c>
      <c r="Q670" s="15" t="n">
        <v>24</v>
      </c>
      <c r="R670" s="13" t="inlineStr">
        <is>
          <t>Terrestre / Aérea (Drones consultar bula)</t>
        </is>
      </c>
      <c r="S670" s="13" t="inlineStr">
        <is>
          <t>Tratamento sintomático conforme grupo químico na bula</t>
        </is>
      </c>
      <c r="T670" s="13" t="inlineStr">
        <is>
          <t>SIPCAM NICHINO BRASIL S.A. / NIHON NOHYAKU</t>
        </is>
      </c>
      <c r="U670" s="16">
        <f>HYPERLINK("https://www.agrolink.com.br/agrolinkfito/produto/takumi_11205.html", "Bula Oficial Takumi SC (Nichino - MAPA 16320)")</f>
        <v/>
      </c>
    </row>
    <row r="671" ht="22" customHeight="1">
      <c r="A671" s="5" t="n">
        <v>666</v>
      </c>
      <c r="B671" s="6" t="inlineStr">
        <is>
          <t>Nº 3101</t>
        </is>
      </c>
      <c r="C671" s="7" t="inlineStr">
        <is>
          <t>CIPERMETRINA NORTOX 250 EC 4X5L</t>
        </is>
      </c>
      <c r="D671" s="8" t="inlineStr">
        <is>
          <t>CIPERMETRINA NORTOX 250 EC</t>
        </is>
      </c>
      <c r="E671" s="7" t="inlineStr">
        <is>
          <t>Produto Formulado Comercial</t>
        </is>
      </c>
      <c r="F671" s="7" t="inlineStr">
        <is>
          <t>Defensivos</t>
        </is>
      </c>
      <c r="G671" s="7" t="inlineStr">
        <is>
          <t>Inseticida</t>
        </is>
      </c>
      <c r="H671" s="7" t="inlineStr">
        <is>
          <t>EC</t>
        </is>
      </c>
      <c r="I671" s="7" t="inlineStr">
        <is>
          <t>Concentrado Emulsionável (EC)</t>
        </is>
      </c>
      <c r="J671" s="7" t="inlineStr">
        <is>
          <t>Inseticida/acaricida de contato e ingestão</t>
        </is>
      </c>
      <c r="K671" s="7" t="inlineStr">
        <is>
          <t>Piretroide (Tipo II)</t>
        </is>
      </c>
      <c r="L671" s="7" t="inlineStr">
        <is>
          <t>IRAC Grupo 3A</t>
        </is>
      </c>
      <c r="M671" s="7" t="inlineStr">
        <is>
          <t>Moduladores de canais de sódio em membranas nervosas</t>
        </is>
      </c>
      <c r="N671" s="7" t="inlineStr">
        <is>
          <t>Categoria 3 / 4 — Moderadamente a Pouco Tóxico</t>
        </is>
      </c>
      <c r="O671" s="7" t="inlineStr">
        <is>
          <t>Amarelo / Azul</t>
        </is>
      </c>
      <c r="P671" s="7" t="inlineStr">
        <is>
          <t>Classe II — Produto Muito Perigoso ao Meio Ambiente</t>
        </is>
      </c>
      <c r="Q671" s="9" t="n">
        <v>24</v>
      </c>
      <c r="R671" s="7" t="inlineStr">
        <is>
          <t>Terrestre / Aérea (Drones consultar bula)</t>
        </is>
      </c>
      <c r="S671" s="7" t="inlineStr">
        <is>
          <t>Tratamento sintomático conforme grupo químico na bula</t>
        </is>
      </c>
      <c r="T671" s="7" t="inlineStr">
        <is>
          <t>Nortox S.A.</t>
        </is>
      </c>
      <c r="U671" s="10">
        <f>HYPERLINK("https://agrofit.agricultura.gov.br/agrofit_cons/principal_agrofit_cons", "Consulta Oficial AGROFIT/MAPA (Nº 3101)")</f>
        <v/>
      </c>
    </row>
    <row r="672" ht="22" customHeight="1">
      <c r="A672" s="11" t="n">
        <v>667</v>
      </c>
      <c r="B672" s="12" t="inlineStr">
        <is>
          <t>SIPEAGRO (UF-XXXXX)</t>
        </is>
      </c>
      <c r="C672" s="13" t="inlineStr">
        <is>
          <t>INOCULANTE BS GRAMINEAS 3L</t>
        </is>
      </c>
      <c r="D672" s="14" t="inlineStr">
        <is>
          <t>INOCULANTE BS GRAMINEAS</t>
        </is>
      </c>
      <c r="E672" s="13" t="inlineStr">
        <is>
          <t>Inoculante / Biológico</t>
        </is>
      </c>
      <c r="F672" s="13" t="inlineStr">
        <is>
          <t>Inoculantes e Biológicos</t>
        </is>
      </c>
      <c r="G672" s="13" t="inlineStr">
        <is>
          <t>Inoculante Fixador de Nitrogênio</t>
        </is>
      </c>
      <c r="H672" s="13" t="inlineStr">
        <is>
          <t>SC</t>
        </is>
      </c>
      <c r="I672" s="13" t="inlineStr">
        <is>
          <t>Suspensão Concentrada (SC)</t>
        </is>
      </c>
      <c r="J672" s="13" t="inlineStr">
        <is>
          <t>Tratamento de sementes, sulco de plantio ou pulverização foliar</t>
        </is>
      </c>
      <c r="K672" s="13" t="inlineStr">
        <is>
          <t>Inoculante / Agente Biológico de Controle</t>
        </is>
      </c>
      <c r="L672" s="13" t="inlineStr">
        <is>
          <t>Bioinsumo Agrícola</t>
        </is>
      </c>
      <c r="M672" s="13" t="inlineStr">
        <is>
          <t>Simbiose radicular, antagonismo biológico ou controle entomopatogênico</t>
        </is>
      </c>
      <c r="N672" s="13" t="inlineStr">
        <is>
          <t>Categoria 5 / Isento (Bioinsumo)</t>
        </is>
      </c>
      <c r="O672" s="13" t="inlineStr">
        <is>
          <t>Azul Intenso</t>
        </is>
      </c>
      <c r="P672" s="13" t="inlineStr">
        <is>
          <t>Classe IV — Produto Pouco Perigoso ao Meio Ambiente</t>
        </is>
      </c>
      <c r="Q672" s="15" t="n">
        <v>0</v>
      </c>
      <c r="R672" s="13" t="inlineStr">
        <is>
          <t>Aplicação Dirigida / TS / Solo</t>
        </is>
      </c>
      <c r="S672" s="13" t="inlineStr">
        <is>
          <t>Tratamento sintomático</t>
        </is>
      </c>
      <c r="T672" s="13" t="inlineStr">
        <is>
          <t>Estabelecimento Produtor SIPEAGRO/MAPA</t>
        </is>
      </c>
      <c r="U672" s="16">
        <f>HYPERLINK("https://www.gov.br/agricultura/pt-br/assuntos/insumos-agropecuarios/insumos-agricolas/fertilizantes", "Portal SIPEAGRO / MAPA — Fertilizantes e Bioinsumos")</f>
        <v/>
      </c>
    </row>
    <row r="673" ht="22" customHeight="1">
      <c r="A673" s="5" t="n">
        <v>668</v>
      </c>
      <c r="B673" s="6" t="inlineStr">
        <is>
          <t>SIPEAGRO (UF-XXXXX)</t>
        </is>
      </c>
      <c r="C673" s="7" t="inlineStr">
        <is>
          <t>INOCULANTE GRAP NOD L + 1,75L</t>
        </is>
      </c>
      <c r="D673" s="8" t="inlineStr">
        <is>
          <t>INOCULANTE GRAP NOD L + 1,75L</t>
        </is>
      </c>
      <c r="E673" s="7" t="inlineStr">
        <is>
          <t>Inoculante / Biológico</t>
        </is>
      </c>
      <c r="F673" s="7" t="inlineStr">
        <is>
          <t>Inoculantes e Biológicos</t>
        </is>
      </c>
      <c r="G673" s="7" t="inlineStr">
        <is>
          <t>Inoculante Fixador de Nitrogênio</t>
        </is>
      </c>
      <c r="H673" s="7" t="inlineStr">
        <is>
          <t>SC</t>
        </is>
      </c>
      <c r="I673" s="7" t="inlineStr">
        <is>
          <t>Suspensão Concentrada (SC)</t>
        </is>
      </c>
      <c r="J673" s="7" t="inlineStr">
        <is>
          <t>Tratamento de sementes, sulco de plantio ou pulverização foliar</t>
        </is>
      </c>
      <c r="K673" s="7" t="inlineStr">
        <is>
          <t>Inoculante / Agente Biológico de Controle</t>
        </is>
      </c>
      <c r="L673" s="7" t="inlineStr">
        <is>
          <t>Bioinsumo Agrícola</t>
        </is>
      </c>
      <c r="M673" s="7" t="inlineStr">
        <is>
          <t>Simbiose radicular, antagonismo biológico ou controle entomopatogênico</t>
        </is>
      </c>
      <c r="N673" s="7" t="inlineStr">
        <is>
          <t>Categoria 5 / Isento (Bioinsumo)</t>
        </is>
      </c>
      <c r="O673" s="7" t="inlineStr">
        <is>
          <t>Azul Intenso</t>
        </is>
      </c>
      <c r="P673" s="7" t="inlineStr">
        <is>
          <t>Classe IV — Produto Pouco Perigoso ao Meio Ambiente</t>
        </is>
      </c>
      <c r="Q673" s="9" t="n">
        <v>0</v>
      </c>
      <c r="R673" s="7" t="inlineStr">
        <is>
          <t>Aplicação Dirigida / TS / Solo</t>
        </is>
      </c>
      <c r="S673" s="7" t="inlineStr">
        <is>
          <t>Tratamento sintomático</t>
        </is>
      </c>
      <c r="T673" s="7" t="inlineStr">
        <is>
          <t>Estabelecimento Produtor SIPEAGRO/MAPA</t>
        </is>
      </c>
      <c r="U673" s="10">
        <f>HYPERLINK("https://www.gov.br/agricultura/pt-br/assuntos/insumos-agropecuarios/insumos-agricolas/fertilizantes", "Portal SIPEAGRO / MAPA — Fertilizantes e Bioinsumos")</f>
        <v/>
      </c>
    </row>
    <row r="674" ht="22" customHeight="1">
      <c r="A674" s="11" t="n">
        <v>669</v>
      </c>
      <c r="B674" s="12" t="inlineStr">
        <is>
          <t>Nº 18007</t>
        </is>
      </c>
      <c r="C674" s="13" t="inlineStr">
        <is>
          <t>UNIZEB GOLD BR 15X1KG</t>
        </is>
      </c>
      <c r="D674" s="14" t="inlineStr">
        <is>
          <t>UNIZEB GOLD BR</t>
        </is>
      </c>
      <c r="E674" s="13" t="inlineStr">
        <is>
          <t>Produto Formulado Comercial</t>
        </is>
      </c>
      <c r="F674" s="13" t="inlineStr">
        <is>
          <t>Defensivos</t>
        </is>
      </c>
      <c r="G674" s="13" t="inlineStr">
        <is>
          <t>Fungicida</t>
        </is>
      </c>
      <c r="H674" s="13" t="inlineStr">
        <is>
          <t>WG</t>
        </is>
      </c>
      <c r="I674" s="13" t="inlineStr">
        <is>
          <t>Grânulos Dispersíveis em Água (WG)</t>
        </is>
      </c>
      <c r="J674" s="13" t="inlineStr">
        <is>
          <t>Fungicida e acaricida protetor de contato multissítio</t>
        </is>
      </c>
      <c r="K674" s="13" t="inlineStr">
        <is>
          <t>Alquilenobis(ditiocarbamato)</t>
        </is>
      </c>
      <c r="L674" s="13" t="inlineStr">
        <is>
          <t>FRAC Grupo M03 — Multissítio</t>
        </is>
      </c>
      <c r="M674" s="13" t="inlineStr">
        <is>
          <t>Inibidor multissítio de enzimas contendo grupos sulfidrila e aminoácidos fúngicos</t>
        </is>
      </c>
      <c r="N674" s="13" t="inlineStr">
        <is>
          <t>Categoria 4 / 5 — Pouco Tóxico a Improvável Dano Agudo</t>
        </is>
      </c>
      <c r="O674" s="13" t="inlineStr">
        <is>
          <t>Azul Intenso</t>
        </is>
      </c>
      <c r="P674" s="13" t="inlineStr">
        <is>
          <t>Classe II — Produto Muito Perigoso ao Meio Ambiente</t>
        </is>
      </c>
      <c r="Q674" s="15" t="n">
        <v>24</v>
      </c>
      <c r="R674" s="13" t="inlineStr">
        <is>
          <t>Terrestre / Aérea (Drones consultar bula)</t>
        </is>
      </c>
      <c r="S674" s="13" t="inlineStr">
        <is>
          <t>Sem antídoto específico; evitar consumo de álcool (efeito antabuse por ETU)</t>
        </is>
      </c>
      <c r="T674" s="13" t="inlineStr">
        <is>
          <t>UPL DO BRASIL INDÚSTRIA E COMÉRCIO DE INSUMOS AGROPECUÁRIOS S.A.</t>
        </is>
      </c>
      <c r="U674" s="16">
        <f>HYPERLINK("https://www.agrolink.com.br/agrolinkfito/produto/unizeb-gold-br_12343.html", "Bula Oficial Unizeb Gold BR 750 WG (UPL - MAPA 18007)")</f>
        <v/>
      </c>
    </row>
    <row r="675" ht="22" customHeight="1">
      <c r="A675" s="5" t="n">
        <v>670</v>
      </c>
      <c r="B675" s="6" t="inlineStr">
        <is>
          <t>Nº 4810</t>
        </is>
      </c>
      <c r="C675" s="7" t="inlineStr">
        <is>
          <t>CERTEZA N 4X5L</t>
        </is>
      </c>
      <c r="D675" s="8" t="inlineStr">
        <is>
          <t>CERTEZA N</t>
        </is>
      </c>
      <c r="E675" s="7" t="inlineStr">
        <is>
          <t>Produto Formulado Comercial</t>
        </is>
      </c>
      <c r="F675" s="7" t="inlineStr">
        <is>
          <t>Defensivos</t>
        </is>
      </c>
      <c r="G675" s="7" t="inlineStr">
        <is>
          <t>Fungicida</t>
        </is>
      </c>
      <c r="H675" s="7" t="inlineStr">
        <is>
          <t>FS</t>
        </is>
      </c>
      <c r="I675" s="7" t="inlineStr">
        <is>
          <t>Suspensão Concentrada para Tratamento de Sementes (FS)</t>
        </is>
      </c>
      <c r="J675" s="7" t="inlineStr">
        <is>
          <t>Fungicida sistêmico preventivo e curativo</t>
        </is>
      </c>
      <c r="K675" s="7" t="inlineStr">
        <is>
          <t>Benzimidazol (Precursor de MBC) + Fenilpiridinamina (2,6-dinitroanilina)</t>
        </is>
      </c>
      <c r="L675" s="7" t="inlineStr">
        <is>
          <t>FRAC Grupo 1 (B1 — MBC) + FRAC Grupo 29 (C5)</t>
        </is>
      </c>
      <c r="M675" s="7" t="inlineStr">
        <is>
          <t>Inibição da montagem da beta-tubulina durante a mitose celular fúngica; Desacoplador da fosforilação oxidativa mitocondrial</t>
        </is>
      </c>
      <c r="N675" s="7" t="inlineStr">
        <is>
          <t>Categoria 4 / 5 — Pouco Tóxico</t>
        </is>
      </c>
      <c r="O675" s="7" t="inlineStr">
        <is>
          <t>Azul Intenso</t>
        </is>
      </c>
      <c r="P675" s="7" t="inlineStr">
        <is>
          <t>Classe III — Produto Perigoso ao Meio Ambiente</t>
        </is>
      </c>
      <c r="Q675" s="9" t="n">
        <v>24</v>
      </c>
      <c r="R675" s="7" t="inlineStr">
        <is>
          <t>Terrestre / Aérea (Drones consultar bula)</t>
        </is>
      </c>
      <c r="S675" s="7" t="inlineStr">
        <is>
          <t>Sem antídoto específico; tratamento sintomático</t>
        </is>
      </c>
      <c r="T675" s="7" t="inlineStr">
        <is>
          <t>Iharabras S.A.</t>
        </is>
      </c>
      <c r="U675" s="10">
        <f>HYPERLINK("https://ihara.com.br/produtos/certeza-n/", "Bula Oficial Certeza N (Ihara/MAPA 4810)")</f>
        <v/>
      </c>
    </row>
    <row r="676" ht="22" customHeight="1">
      <c r="A676" s="11" t="n">
        <v>671</v>
      </c>
      <c r="B676" s="12" t="inlineStr">
        <is>
          <t>Nº 19123</t>
        </is>
      </c>
      <c r="C676" s="13" t="inlineStr">
        <is>
          <t>BRUCIA 5L</t>
        </is>
      </c>
      <c r="D676" s="14" t="inlineStr">
        <is>
          <t>BRUCIA</t>
        </is>
      </c>
      <c r="E676" s="13" t="inlineStr">
        <is>
          <t>Produto Formulado Comercial</t>
        </is>
      </c>
      <c r="F676" s="13" t="inlineStr">
        <is>
          <t>Defensivos</t>
        </is>
      </c>
      <c r="G676" s="13" t="inlineStr">
        <is>
          <t>Herbicida</t>
        </is>
      </c>
      <c r="H676" s="13" t="inlineStr">
        <is>
          <t>SC</t>
        </is>
      </c>
      <c r="I676" s="13" t="inlineStr">
        <is>
          <t>SC - Suspensão Concentrada</t>
        </is>
      </c>
      <c r="J676" s="13" t="inlineStr">
        <is>
          <t>Herbicida de pré ou pós-emergência</t>
        </is>
      </c>
      <c r="K676" s="13" t="inlineStr">
        <is>
          <t>Benzoilpirazol</t>
        </is>
      </c>
      <c r="L676" s="13" t="inlineStr">
        <is>
          <t>HRAC Grupo F2 (27) — Inibidores da HPPD</t>
        </is>
      </c>
      <c r="M676" s="13" t="inlineStr">
        <is>
          <t>Inibição da enzima 4-hidroxifenilpiruvato dioxigenase (HPPD)</t>
        </is>
      </c>
      <c r="N676" s="13" t="inlineStr">
        <is>
          <t>Categoria 5: Produto Improvável de Causa Dano Agudo</t>
        </is>
      </c>
      <c r="O676" s="13" t="inlineStr">
        <is>
          <t>Azul</t>
        </is>
      </c>
      <c r="P676" s="13" t="inlineStr">
        <is>
          <t>Classe II / III — Perigoso ao Meio Ambiente</t>
        </is>
      </c>
      <c r="Q676" s="15" t="n">
        <v>24</v>
      </c>
      <c r="R676" s="13" t="inlineStr">
        <is>
          <t>Terrestre / Aérea (Drones consultar bula)</t>
        </is>
      </c>
      <c r="S676" s="13" t="inlineStr">
        <is>
          <t>Sem antídoto específico; tratamento sintomático e descontaminação</t>
        </is>
      </c>
      <c r="T676" s="13" t="inlineStr">
        <is>
          <t>Isk Biosciences do Brasil</t>
        </is>
      </c>
      <c r="U676" s="16">
        <f>HYPERLINK("https://agrofit.agricultura.gov.br/agrofit_cons/principal_agrofit_cons", "Consulta Oficial AGROFIT/MAPA (Nº 19123)")</f>
        <v/>
      </c>
    </row>
    <row r="677" ht="22" customHeight="1">
      <c r="A677" s="5" t="n">
        <v>672</v>
      </c>
      <c r="B677" s="6" t="inlineStr">
        <is>
          <t>SIPEAGRO (UF-XXXXX)</t>
        </is>
      </c>
      <c r="C677" s="7" t="inlineStr">
        <is>
          <t>CELLERON 1X20L</t>
        </is>
      </c>
      <c r="D677" s="8" t="inlineStr">
        <is>
          <t>CELLERON</t>
        </is>
      </c>
      <c r="E677" s="7" t="inlineStr">
        <is>
          <t>Fertilizante Mineral / Organomineral</t>
        </is>
      </c>
      <c r="F677" s="7" t="inlineStr">
        <is>
          <t>Fertilizantes</t>
        </is>
      </c>
      <c r="G677" s="7" t="inlineStr">
        <is>
          <t>Fertilizante Foliar / Micronutrientes</t>
        </is>
      </c>
      <c r="H677" s="7" t="inlineStr">
        <is>
          <t>SL</t>
        </is>
      </c>
      <c r="I677" s="7" t="inlineStr">
        <is>
          <t>Solução / Suspensão Concentrada Foliar (Fluido)</t>
        </is>
      </c>
      <c r="J677" s="7" t="inlineStr">
        <is>
          <t>Aplicação via solo, fertirrigação ou adubação foliar</t>
        </is>
      </c>
      <c r="K677" s="7" t="inlineStr">
        <is>
          <t>Fertilizante Mineral / Organomineral (Lei nº 6.894/1980)</t>
        </is>
      </c>
      <c r="L677" s="7" t="inlineStr">
        <is>
          <t>Nutrição Vegetal SIPEAGRO</t>
        </is>
      </c>
      <c r="M677" s="7" t="inlineStr">
        <is>
          <t>Fornecimento de macro e micronutrientes essenciais ao metabolismo vegetal</t>
        </is>
      </c>
      <c r="N677" s="7" t="inlineStr">
        <is>
          <t>Isento ANVISA (Produto Fertilizante Registrado no SIPEAGRO/MAPA)</t>
        </is>
      </c>
      <c r="O677" s="7" t="inlineStr">
        <is>
          <t>Não Aplicável (Fertilizante)</t>
        </is>
      </c>
      <c r="P677" s="7" t="inlineStr">
        <is>
          <t>Baixo Potencial Poluidor (Uso conforme recomendação agronômica)</t>
        </is>
      </c>
      <c r="Q677" s="9" t="n">
        <v>0</v>
      </c>
      <c r="R677" s="7" t="inlineStr">
        <is>
          <t>Aplicação Dirigida / TS / Solo</t>
        </is>
      </c>
      <c r="S677" s="7" t="inlineStr">
        <is>
          <t>Tratamento sintomático em caso de ingestão acidental</t>
        </is>
      </c>
      <c r="T677" s="7" t="inlineStr">
        <is>
          <t>Estabelecimento Produtor SIPEAGRO/MAPA</t>
        </is>
      </c>
      <c r="U677" s="10">
        <f>HYPERLINK("https://www.gov.br/agricultura/pt-br/assuntos/insumos-agropecuarios/insumos-agricolas/fertilizantes", "Portal SIPEAGRO / MAPA — Fertilizantes e Bioinsumos")</f>
        <v/>
      </c>
    </row>
    <row r="678" ht="22" customHeight="1">
      <c r="A678" s="11" t="n">
        <v>673</v>
      </c>
      <c r="B678" s="12" t="inlineStr">
        <is>
          <t>SIPEAGRO (UF-XXXXX)</t>
        </is>
      </c>
      <c r="C678" s="13" t="inlineStr">
        <is>
          <t>AGCN FULL 20L</t>
        </is>
      </c>
      <c r="D678" s="14" t="inlineStr">
        <is>
          <t>AGCN FULL</t>
        </is>
      </c>
      <c r="E678" s="13" t="inlineStr">
        <is>
          <t>Fertilizante Mineral / Organomineral</t>
        </is>
      </c>
      <c r="F678" s="13" t="inlineStr">
        <is>
          <t>Fertilizantes</t>
        </is>
      </c>
      <c r="G678" s="13" t="inlineStr">
        <is>
          <t>Fertilizante Organomineral / Bioestimulante</t>
        </is>
      </c>
      <c r="H678" s="13" t="inlineStr">
        <is>
          <t>SL</t>
        </is>
      </c>
      <c r="I678" s="13" t="inlineStr">
        <is>
          <t>Solução / Suspensão Concentrada Foliar (Fluido)</t>
        </is>
      </c>
      <c r="J678" s="13" t="inlineStr">
        <is>
          <t>Aplicação via solo, fertirrigação ou adubação foliar</t>
        </is>
      </c>
      <c r="K678" s="13" t="inlineStr">
        <is>
          <t>Fertilizante Mineral / Organomineral (Lei nº 6.894/1980)</t>
        </is>
      </c>
      <c r="L678" s="13" t="inlineStr">
        <is>
          <t>Nutrição Vegetal SIPEAGRO</t>
        </is>
      </c>
      <c r="M678" s="13" t="inlineStr">
        <is>
          <t>Fornecimento de macro e micronutrientes essenciais ao metabolismo vegetal</t>
        </is>
      </c>
      <c r="N678" s="13" t="inlineStr">
        <is>
          <t>Isento ANVISA (Produto Fertilizante Registrado no SIPEAGRO/MAPA)</t>
        </is>
      </c>
      <c r="O678" s="13" t="inlineStr">
        <is>
          <t>Não Aplicável (Fertilizante)</t>
        </is>
      </c>
      <c r="P678" s="13" t="inlineStr">
        <is>
          <t>Baixo Potencial Poluidor (Uso conforme recomendação agronômica)</t>
        </is>
      </c>
      <c r="Q678" s="15" t="n">
        <v>0</v>
      </c>
      <c r="R678" s="13" t="inlineStr">
        <is>
          <t>Aplicação Dirigida / TS / Solo</t>
        </is>
      </c>
      <c r="S678" s="13" t="inlineStr">
        <is>
          <t>Tratamento sintomático em caso de ingestão acidental</t>
        </is>
      </c>
      <c r="T678" s="13" t="inlineStr">
        <is>
          <t>Estabelecimento Produtor SIPEAGRO/MAPA</t>
        </is>
      </c>
      <c r="U678" s="16">
        <f>HYPERLINK("https://www.gov.br/agricultura/pt-br/assuntos/insumos-agropecuarios/insumos-agricolas/fertilizantes", "Portal SIPEAGRO / MAPA — Fertilizantes e Bioinsumos")</f>
        <v/>
      </c>
    </row>
    <row r="679" ht="22" customHeight="1">
      <c r="A679" s="5" t="n">
        <v>674</v>
      </c>
      <c r="B679" s="6" t="inlineStr">
        <is>
          <t>Nº 1802</t>
        </is>
      </c>
      <c r="C679" s="7" t="inlineStr">
        <is>
          <t>PROMALIN 1L</t>
        </is>
      </c>
      <c r="D679" s="8" t="inlineStr">
        <is>
          <t>PROMALIN</t>
        </is>
      </c>
      <c r="E679" s="7" t="inlineStr">
        <is>
          <t>Produto Formulado Comercial</t>
        </is>
      </c>
      <c r="F679" s="7" t="inlineStr">
        <is>
          <t>Defensivos</t>
        </is>
      </c>
      <c r="G679" s="7" t="inlineStr">
        <is>
          <t>Regulador de Crescimento</t>
        </is>
      </c>
      <c r="H679" s="7" t="inlineStr">
        <is>
          <t>SL</t>
        </is>
      </c>
      <c r="I679" s="7" t="inlineStr">
        <is>
          <t>Concentrado Solúvel (SL)</t>
        </is>
      </c>
      <c r="J679" s="7" t="inlineStr">
        <is>
          <t>Inseticida/acaricida de contato e ingestão</t>
        </is>
      </c>
      <c r="K679" s="7" t="inlineStr">
        <is>
          <t>Giberelina (Fitormônio) + Citocinina (Fitormônio)</t>
        </is>
      </c>
      <c r="L679" s="7" t="inlineStr">
        <is>
          <t>Regulador de Crescimento Vegetal (Promotor Fisiológico) + Regulador de Crescimento Vegetal (Citocinina)</t>
        </is>
      </c>
      <c r="M679" s="7" t="inlineStr">
        <is>
          <t>Alongamento e divisão celular vegetal; Estímulo à divisão celular (citocinese) e desenvolvimento de frutos</t>
        </is>
      </c>
      <c r="N679" s="7" t="inlineStr">
        <is>
          <t>Categoria 3 / 4 — Moderadamente a Pouco Tóxico</t>
        </is>
      </c>
      <c r="O679" s="7" t="inlineStr">
        <is>
          <t>Amarelo / Azul</t>
        </is>
      </c>
      <c r="P679" s="7" t="inlineStr">
        <is>
          <t>Classe II — Produto Muito Perigoso ao Meio Ambiente</t>
        </is>
      </c>
      <c r="Q679" s="9" t="n">
        <v>24</v>
      </c>
      <c r="R679" s="7" t="inlineStr">
        <is>
          <t>Terrestre / Aérea (Drones consultar bula)</t>
        </is>
      </c>
      <c r="S679" s="7" t="inlineStr">
        <is>
          <t>Tratamento sintomático conforme grupo químico na bula</t>
        </is>
      </c>
      <c r="T679" s="7" t="inlineStr">
        <is>
          <t>Sumitomo / Valent</t>
        </is>
      </c>
      <c r="U679" s="10">
        <f>HYPERLINK("https://www.adapar.pr.gov.br/system/files/publico/Agrotoxicos/lista.pdf", "Bula Oficial Promalin (Sumitomo/MAPA 1802)")</f>
        <v/>
      </c>
    </row>
    <row r="680" ht="22" customHeight="1">
      <c r="A680" s="11" t="n">
        <v>675</v>
      </c>
      <c r="B680" s="12" t="inlineStr">
        <is>
          <t>Nº 33217</t>
        </is>
      </c>
      <c r="C680" s="13" t="inlineStr">
        <is>
          <t>PANGA 900 WG 1X10KG</t>
        </is>
      </c>
      <c r="D680" s="14" t="inlineStr">
        <is>
          <t>PANGA 900 WG</t>
        </is>
      </c>
      <c r="E680" s="13" t="inlineStr">
        <is>
          <t>Produto Formulado Comercial</t>
        </is>
      </c>
      <c r="F680" s="13" t="inlineStr">
        <is>
          <t>Defensivos</t>
        </is>
      </c>
      <c r="G680" s="13" t="inlineStr">
        <is>
          <t>Herbicida</t>
        </is>
      </c>
      <c r="H680" s="13" t="inlineStr">
        <is>
          <t>WG</t>
        </is>
      </c>
      <c r="I680" s="13" t="inlineStr">
        <is>
          <t>Grânulos Dispersíveis em Água (WG)</t>
        </is>
      </c>
      <c r="J680" s="13" t="inlineStr">
        <is>
          <t>Herbicida seletivo sistêmico de pré e pós-emergência precoce</t>
        </is>
      </c>
      <c r="K680" s="13" t="inlineStr">
        <is>
          <t>Triazina</t>
        </is>
      </c>
      <c r="L680" s="13" t="inlineStr">
        <is>
          <t>HRAC Grupo C1 (5) — Inibidores do Fotossistema II</t>
        </is>
      </c>
      <c r="M680" s="13" t="inlineStr">
        <is>
          <t>Inibição do transporte de elétrons no Fotossistema II (sítio Serina 264)</t>
        </is>
      </c>
      <c r="N680" s="13" t="inlineStr">
        <is>
          <t>Categoria 4 / 5 — Pouco Tóxico</t>
        </is>
      </c>
      <c r="O680" s="13" t="inlineStr">
        <is>
          <t>Azul Intenso</t>
        </is>
      </c>
      <c r="P680" s="13" t="inlineStr">
        <is>
          <t>Classe II — Produto Muito Perigoso ao Meio Ambiente</t>
        </is>
      </c>
      <c r="Q680" s="15" t="n">
        <v>24</v>
      </c>
      <c r="R680" s="13" t="inlineStr">
        <is>
          <t>Terrestre / Aérea (Drones consultar bula)</t>
        </is>
      </c>
      <c r="S680" s="13" t="inlineStr">
        <is>
          <t>Sem antídoto específico; tratamento sintomático</t>
        </is>
      </c>
      <c r="T680" s="13" t="inlineStr">
        <is>
          <t>RAINBOW DEFENSIVOS AGRÍCOLAS LTDA.</t>
        </is>
      </c>
      <c r="U680" s="16">
        <f>HYPERLINK("https://www.adapar.pr.gov.br/Pagina/Agrotoxicos-Herbicidas", "Registro Oficial Panga 900 WG (ADAPAR/MAPA)")</f>
        <v/>
      </c>
    </row>
    <row r="681" ht="22" customHeight="1">
      <c r="A681" s="5" t="n">
        <v>676</v>
      </c>
      <c r="B681" s="6" t="inlineStr">
        <is>
          <t>Nº 31017</t>
        </is>
      </c>
      <c r="C681" s="7" t="inlineStr">
        <is>
          <t>TRIDIUM 1X10KG</t>
        </is>
      </c>
      <c r="D681" s="8" t="inlineStr">
        <is>
          <t>TRIDIUM</t>
        </is>
      </c>
      <c r="E681" s="7" t="inlineStr">
        <is>
          <t>Produto Formulado Comercial</t>
        </is>
      </c>
      <c r="F681" s="7" t="inlineStr">
        <is>
          <t>Defensivos</t>
        </is>
      </c>
      <c r="G681" s="7" t="inlineStr">
        <is>
          <t>Fungicida</t>
        </is>
      </c>
      <c r="H681" s="7" t="inlineStr">
        <is>
          <t>WG</t>
        </is>
      </c>
      <c r="I681" s="7" t="inlineStr">
        <is>
          <t>Grânulos Dispersíveis em Água (WG)</t>
        </is>
      </c>
      <c r="J681" s="7" t="inlineStr">
        <is>
          <t>Fungicida e acaricida protetor de contato multissítio</t>
        </is>
      </c>
      <c r="K681" s="7" t="inlineStr">
        <is>
          <t>Alquilenobis(ditiocarbamato) + Triazol + Estrobilurina (Metoxiacrilato)</t>
        </is>
      </c>
      <c r="L681" s="7" t="inlineStr">
        <is>
          <t>FRAC Grupo M03 — Multissítio + FRAC Grupo 3 (G1 — DMI) + FRAC Grupo 11 (C3 — QoI)</t>
        </is>
      </c>
      <c r="M681" s="7" t="inlineStr">
        <is>
          <t>Inativação multissítio de grupos sulfidrila de aminoácidos e enzimas fúngicas; Inibidores da desmetilação do C14 na biossíntese do ergosterol; Inibidores da respiração mitocondrial no Complexo III (sítio Qo)</t>
        </is>
      </c>
      <c r="N681" s="7" t="inlineStr">
        <is>
          <t>Categoria 4 / 5 — Pouco Tóxico a Improvável Dano Agudo</t>
        </is>
      </c>
      <c r="O681" s="7" t="inlineStr">
        <is>
          <t>Azul Intenso</t>
        </is>
      </c>
      <c r="P681" s="7" t="inlineStr">
        <is>
          <t>Classe II — Produto Muito Perigoso ao Meio Ambiente</t>
        </is>
      </c>
      <c r="Q681" s="9" t="n">
        <v>24</v>
      </c>
      <c r="R681" s="7" t="inlineStr">
        <is>
          <t>Terrestre / Aérea (Drones consultar bula)</t>
        </is>
      </c>
      <c r="S681" s="7" t="inlineStr">
        <is>
          <t>Sem antídoto específico; evitar consumo de álcool (efeito antabuse por ETU)</t>
        </is>
      </c>
      <c r="T681" s="7" t="inlineStr">
        <is>
          <t>UPL DO BRASIL INDÚSTRIA E COMÉRCIO DE INSUMOS AGROPECUÁRIOS S.A.</t>
        </is>
      </c>
      <c r="U681" s="10">
        <f>HYPERLINK("https://www.agrolink.com.br/agrolinkfito/produto/tridium_10511.html", "Bula Oficial Tridium (UPL/MAPA 31017)")</f>
        <v/>
      </c>
    </row>
    <row r="682" ht="22" customHeight="1">
      <c r="A682" s="11" t="n">
        <v>677</v>
      </c>
      <c r="B682" s="12" t="inlineStr">
        <is>
          <t>Nº 9407</t>
        </is>
      </c>
      <c r="C682" s="13" t="inlineStr">
        <is>
          <t>ARIETE 4X5L</t>
        </is>
      </c>
      <c r="D682" s="14" t="inlineStr">
        <is>
          <t>ARIETE</t>
        </is>
      </c>
      <c r="E682" s="13" t="inlineStr">
        <is>
          <t>Produto Formulado Comercial</t>
        </is>
      </c>
      <c r="F682" s="13" t="inlineStr">
        <is>
          <t>Defensivos</t>
        </is>
      </c>
      <c r="G682" s="13" t="inlineStr">
        <is>
          <t>Inseticida e Acaricida</t>
        </is>
      </c>
      <c r="H682" s="13" t="inlineStr">
        <is>
          <t>EC</t>
        </is>
      </c>
      <c r="I682" s="13" t="inlineStr">
        <is>
          <t>EC - Concentrado Emulsionável</t>
        </is>
      </c>
      <c r="J682" s="13" t="inlineStr">
        <is>
          <t>Inseticida e acaricida de contato e ingestão</t>
        </is>
      </c>
      <c r="K682" s="13" t="inlineStr">
        <is>
          <t>Piretroide (Tipo I)</t>
        </is>
      </c>
      <c r="L682" s="13" t="inlineStr">
        <is>
          <t>IRAC Grupo 3A</t>
        </is>
      </c>
      <c r="M682" s="13" t="inlineStr">
        <is>
          <t>Moduladores de canais de sódio em membranas nervosas</t>
        </is>
      </c>
      <c r="N682" s="13" t="inlineStr">
        <is>
          <t>Categoria 4: Produto Pouco Tóxico</t>
        </is>
      </c>
      <c r="O682" s="13" t="inlineStr">
        <is>
          <t>Azul</t>
        </is>
      </c>
      <c r="P682" s="13" t="inlineStr">
        <is>
          <t>Classe II — Produto Muito Perigoso ao Meio Ambiente</t>
        </is>
      </c>
      <c r="Q682" s="15" t="n">
        <v>24</v>
      </c>
      <c r="R682" s="13" t="inlineStr">
        <is>
          <t>Terrestre / Aérea (Drones consultar bula)</t>
        </is>
      </c>
      <c r="S682" s="13" t="inlineStr">
        <is>
          <t>Sem antídoto específico; anti-histamínicos e vitamina E tópica para parestesia</t>
        </is>
      </c>
      <c r="T682" s="13" t="inlineStr">
        <is>
          <t>ALBAUGH AGRO BRASIL LTDA</t>
        </is>
      </c>
      <c r="U682" s="16">
        <f>HYPERLINK("https://agrofit.agricultura.gov.br/agrofit_cons/principal_agrofit_cons", "Consulta Oficial AGROFIT/MAPA (Nº 9407)")</f>
        <v/>
      </c>
    </row>
    <row r="683" ht="22" customHeight="1">
      <c r="A683" s="5" t="n">
        <v>678</v>
      </c>
      <c r="B683" s="6" t="inlineStr">
        <is>
          <t>SIPEAGRO (UF-XXXXX)</t>
        </is>
      </c>
      <c r="C683" s="7" t="inlineStr">
        <is>
          <t>BACSTIM 100 5L</t>
        </is>
      </c>
      <c r="D683" s="8" t="inlineStr">
        <is>
          <t>BACSTIM 100</t>
        </is>
      </c>
      <c r="E683" s="7" t="inlineStr">
        <is>
          <t>Inoculante / Biológico</t>
        </is>
      </c>
      <c r="F683" s="7" t="inlineStr">
        <is>
          <t>Inoculantes e Biológicos</t>
        </is>
      </c>
      <c r="G683" s="7" t="inlineStr">
        <is>
          <t>Inoculante Solubilizador de Fósforo / Promotor de Crescimento</t>
        </is>
      </c>
      <c r="H683" s="7" t="inlineStr">
        <is>
          <t>SC</t>
        </is>
      </c>
      <c r="I683" s="7" t="inlineStr">
        <is>
          <t>Suspensão Concentrada (SC)</t>
        </is>
      </c>
      <c r="J683" s="7" t="inlineStr">
        <is>
          <t>Bionematicida, biofungicida ou inoculante biológico</t>
        </is>
      </c>
      <c r="K683" s="7" t="inlineStr">
        <is>
          <t>Agente Microbiológico / Rizobactéria (PGPR)</t>
        </is>
      </c>
      <c r="L683" s="7" t="inlineStr">
        <is>
          <t>FRAC Grupo BM02 / IRAC Grupo 11A / Bioinsumo</t>
        </is>
      </c>
      <c r="M683" s="7" t="inlineStr">
        <is>
          <t>Lipopeptídeos antifúngicos, competição na rizosfera e solubilização de nutrientes</t>
        </is>
      </c>
      <c r="N683" s="7" t="inlineStr">
        <is>
          <t>Categoria 5 / Não Classificado — Baixo Risco Agudo</t>
        </is>
      </c>
      <c r="O683" s="7" t="inlineStr">
        <is>
          <t>Azul Intenso</t>
        </is>
      </c>
      <c r="P683" s="7" t="inlineStr">
        <is>
          <t>Classe IV — Produto Pouco Perigoso ao Meio Ambiente</t>
        </is>
      </c>
      <c r="Q683" s="9" t="n">
        <v>0</v>
      </c>
      <c r="R683" s="7" t="inlineStr">
        <is>
          <t>Aplicação Dirigida / TS / Solo</t>
        </is>
      </c>
      <c r="S683" s="7" t="inlineStr">
        <is>
          <t>Sem antídoto; tratamento sintomático</t>
        </is>
      </c>
      <c r="T683" s="7" t="inlineStr">
        <is>
          <t>Estabelecimento Produtor SIPEAGRO/MAPA</t>
        </is>
      </c>
      <c r="U683" s="10">
        <f>HYPERLINK("https://www.gov.br/agricultura/pt-br/assuntos/insumos-agropecuarios/insumos-agricolas/fertilizantes", "Portal SIPEAGRO / MAPA — Fertilizantes e Bioinsumos")</f>
        <v/>
      </c>
    </row>
    <row r="684" ht="22" customHeight="1">
      <c r="A684" s="11" t="n">
        <v>679</v>
      </c>
      <c r="B684" s="12" t="inlineStr">
        <is>
          <t>Nº 1188593</t>
        </is>
      </c>
      <c r="C684" s="13" t="inlineStr">
        <is>
          <t>VERSATILIS 5L</t>
        </is>
      </c>
      <c r="D684" s="14" t="inlineStr">
        <is>
          <t>VERSATILIS</t>
        </is>
      </c>
      <c r="E684" s="13" t="inlineStr">
        <is>
          <t>Produto Formulado Comercial</t>
        </is>
      </c>
      <c r="F684" s="13" t="inlineStr">
        <is>
          <t>Defensivos</t>
        </is>
      </c>
      <c r="G684" s="13" t="inlineStr">
        <is>
          <t>Fungicida</t>
        </is>
      </c>
      <c r="H684" s="13" t="inlineStr">
        <is>
          <t>SC</t>
        </is>
      </c>
      <c r="I684" s="13" t="inlineStr">
        <is>
          <t>Suspensão Concentrada (SC)</t>
        </is>
      </c>
      <c r="J684" s="13" t="inlineStr">
        <is>
          <t>Fungicida preventivo e curativo foliar</t>
        </is>
      </c>
      <c r="K684" s="13" t="inlineStr">
        <is>
          <t>Morfolina</t>
        </is>
      </c>
      <c r="L684" s="13" t="inlineStr">
        <is>
          <t>FRAC Grupo 5 (G2 — Aminas)</t>
        </is>
      </c>
      <c r="M684" s="13" t="inlineStr">
        <is>
          <t>Inibidor da Delta14-redutase e Delta8-&gt;Delta7-isomerase na síntese de esteróis</t>
        </is>
      </c>
      <c r="N684" s="13" t="inlineStr">
        <is>
          <t>Categoria 4 — Produto Pouco Tóxico (Conforme Bula ANVISA)</t>
        </is>
      </c>
      <c r="O684" s="13" t="inlineStr">
        <is>
          <t>Azul PMS Blue 293 C</t>
        </is>
      </c>
      <c r="P684" s="13" t="inlineStr">
        <is>
          <t>Classe II — Produto Muito Perigoso ao Meio Ambiente</t>
        </is>
      </c>
      <c r="Q684" s="15" t="n">
        <v>24</v>
      </c>
      <c r="R684" s="13" t="inlineStr">
        <is>
          <t>Terrestre / Aérea (Drones consultar bula)</t>
        </is>
      </c>
      <c r="S684" s="13" t="inlineStr">
        <is>
          <t>Sem antídoto específico; tratamento sintomático</t>
        </is>
      </c>
      <c r="T684" s="13" t="inlineStr">
        <is>
          <t>BASF S.A.</t>
        </is>
      </c>
      <c r="U684" s="16">
        <f>HYPERLINK("https://agrofit.agricultura.gov.br/agrofit_cons/principal_agrofit_cons", "Consulta Oficial AGROFIT/MAPA (Nº 1188593)")</f>
        <v/>
      </c>
    </row>
    <row r="685" ht="22" customHeight="1">
      <c r="A685" s="5" t="n">
        <v>680</v>
      </c>
      <c r="B685" s="6" t="inlineStr">
        <is>
          <t>Nº 7823</t>
        </is>
      </c>
      <c r="C685" s="7" t="inlineStr">
        <is>
          <t>INEDITO 1X20L</t>
        </is>
      </c>
      <c r="D685" s="8" t="inlineStr">
        <is>
          <t>INEDITO</t>
        </is>
      </c>
      <c r="E685" s="7" t="inlineStr">
        <is>
          <t>Produto Formulado Comercial</t>
        </is>
      </c>
      <c r="F685" s="7" t="inlineStr">
        <is>
          <t>Defensivos</t>
        </is>
      </c>
      <c r="G685" s="7" t="inlineStr">
        <is>
          <t>Herbicida</t>
        </is>
      </c>
      <c r="H685" s="7" t="inlineStr">
        <is>
          <t>SL</t>
        </is>
      </c>
      <c r="I685" s="7" t="inlineStr">
        <is>
          <t>Concentrado Solúvel (SL)</t>
        </is>
      </c>
      <c r="J685" s="7" t="inlineStr">
        <is>
          <t>Herbicida de contato não seletivo em pós-emergência (seletivo p/ OGM LibertyLink)</t>
        </is>
      </c>
      <c r="K685" s="7" t="inlineStr">
        <is>
          <t>Homoalanina substituída (Ácido fosfínico)</t>
        </is>
      </c>
      <c r="L685" s="7" t="inlineStr">
        <is>
          <t>HRAC Grupo H (10) — Inibidores da Glutamina Sintetase</t>
        </is>
      </c>
      <c r="M685" s="7" t="inlineStr">
        <is>
          <t>Inibição da enzima glutamina sintetase (acúmulo de amônia intracelular)</t>
        </is>
      </c>
      <c r="N685" s="7" t="inlineStr">
        <is>
          <t>Categoria 4 — Produto Pouco Tóxico</t>
        </is>
      </c>
      <c r="O685" s="7" t="inlineStr">
        <is>
          <t>Azul PMS Blue 293 C</t>
        </is>
      </c>
      <c r="P685" s="7" t="inlineStr">
        <is>
          <t>Classe III — Produto Perigoso ao Meio Ambiente</t>
        </is>
      </c>
      <c r="Q685" s="9" t="n">
        <v>24</v>
      </c>
      <c r="R685" s="7" t="inlineStr">
        <is>
          <t>Terrestre / Aérea (Drones consultar bula)</t>
        </is>
      </c>
      <c r="S685" s="7" t="inlineStr">
        <is>
          <t>Sem antídoto específico; monitorar SNC por 48h e suporte ventilatório</t>
        </is>
      </c>
      <c r="T685" s="7" t="inlineStr">
        <is>
          <t>Albaugh / Ourofino</t>
        </is>
      </c>
      <c r="U685" s="10">
        <f>HYPERLINK("https://agrofit.agricultura.gov.br/agrofit_cons/principal_agrofit_cons", "Consulta Oficial AGROFIT/MAPA (Nº 7823)")</f>
        <v/>
      </c>
    </row>
    <row r="686" ht="22" customHeight="1">
      <c r="A686" s="11" t="n">
        <v>681</v>
      </c>
      <c r="B686" s="12" t="inlineStr">
        <is>
          <t>Nº 1613</t>
        </is>
      </c>
      <c r="C686" s="13" t="inlineStr">
        <is>
          <t>GAME 4X5L</t>
        </is>
      </c>
      <c r="D686" s="14" t="inlineStr">
        <is>
          <t>GAME</t>
        </is>
      </c>
      <c r="E686" s="13" t="inlineStr">
        <is>
          <t>Produto Formulado Comercial</t>
        </is>
      </c>
      <c r="F686" s="13" t="inlineStr">
        <is>
          <t>Defensivos</t>
        </is>
      </c>
      <c r="G686" s="13" t="inlineStr">
        <is>
          <t>Inseticida</t>
        </is>
      </c>
      <c r="H686" s="13" t="inlineStr">
        <is>
          <t>EC</t>
        </is>
      </c>
      <c r="I686" s="13" t="inlineStr">
        <is>
          <t>Concentrado Emulsionável (EC)</t>
        </is>
      </c>
      <c r="J686" s="13" t="inlineStr">
        <is>
          <t>Inseticida fisiológico regulador de crescimento (ingestão)</t>
        </is>
      </c>
      <c r="K686" s="13" t="inlineStr">
        <is>
          <t>Benzoilureia</t>
        </is>
      </c>
      <c r="L686" s="13" t="inlineStr">
        <is>
          <t>IRAC Grupo 15</t>
        </is>
      </c>
      <c r="M686" s="13" t="inlineStr">
        <is>
          <t>Inibidores da biossíntese de quitina (Tipo 0 - Lepidoptera)</t>
        </is>
      </c>
      <c r="N686" s="13" t="inlineStr">
        <is>
          <t>Categoria 4 — Produto Pouco Tóxico</t>
        </is>
      </c>
      <c r="O686" s="13" t="inlineStr">
        <is>
          <t>Azul PMS Blue 293 C</t>
        </is>
      </c>
      <c r="P686" s="13" t="inlineStr">
        <is>
          <t>Classe II — Produto Muito Perigoso ao Meio Ambiente</t>
        </is>
      </c>
      <c r="Q686" s="15" t="n">
        <v>24</v>
      </c>
      <c r="R686" s="13" t="inlineStr">
        <is>
          <t>Terrestre / Aérea (Drones consultar bula)</t>
        </is>
      </c>
      <c r="S686" s="13" t="inlineStr">
        <is>
          <t>Sem antídoto específico; tratamento sintomático</t>
        </is>
      </c>
      <c r="T686" s="13" t="inlineStr">
        <is>
          <t>Perterra / Ourofino</t>
        </is>
      </c>
      <c r="U686" s="16">
        <f>HYPERLINK("https://agrofit.agricultura.gov.br/agrofit_cons/principal_agrofit_cons", "Consulta Oficial AGROFIT/MAPA (Nº 1613)")</f>
        <v/>
      </c>
    </row>
    <row r="687" ht="22" customHeight="1">
      <c r="A687" s="5" t="n">
        <v>682</v>
      </c>
      <c r="B687" s="6" t="inlineStr">
        <is>
          <t>Nº 18122</t>
        </is>
      </c>
      <c r="C687" s="7" t="inlineStr">
        <is>
          <t>TRICLOMAX 1X20L (IMP) RW</t>
        </is>
      </c>
      <c r="D687" s="8" t="inlineStr">
        <is>
          <t>TRICLOMAX</t>
        </is>
      </c>
      <c r="E687" s="7" t="inlineStr">
        <is>
          <t>Produto Formulado Comercial</t>
        </is>
      </c>
      <c r="F687" s="7" t="inlineStr">
        <is>
          <t>Defensivos</t>
        </is>
      </c>
      <c r="G687" s="7" t="inlineStr">
        <is>
          <t>Herbicida</t>
        </is>
      </c>
      <c r="H687" s="7" t="inlineStr">
        <is>
          <t>EC</t>
        </is>
      </c>
      <c r="I687" s="7" t="inlineStr">
        <is>
          <t>Concentrado Emulsionável (EC)</t>
        </is>
      </c>
      <c r="J687" s="7" t="inlineStr">
        <is>
          <t>Herbicida sistêmico seletivo de pós-emergência</t>
        </is>
      </c>
      <c r="K687" s="7" t="inlineStr">
        <is>
          <t>Ácido piridiniloxialcanoico</t>
        </is>
      </c>
      <c r="L687" s="7" t="inlineStr">
        <is>
          <t>HRAC Grupo O (4) — Auxinas Sintéticas</t>
        </is>
      </c>
      <c r="M687" s="7" t="inlineStr">
        <is>
          <t>Mimetizadores da auxina (crescimento desordenado e epinastia)</t>
        </is>
      </c>
      <c r="N687" s="7" t="inlineStr">
        <is>
          <t>Categoria 4 — Produto Pouco Tóxico</t>
        </is>
      </c>
      <c r="O687" s="7" t="inlineStr">
        <is>
          <t>Azul PMS Blue 293 C</t>
        </is>
      </c>
      <c r="P687" s="7" t="inlineStr">
        <is>
          <t>Classe II — Produto Muito Perigoso ao Meio Ambiente</t>
        </is>
      </c>
      <c r="Q687" s="9" t="n">
        <v>24</v>
      </c>
      <c r="R687" s="7" t="inlineStr">
        <is>
          <t>Terrestre / Aérea (Drones consultar bula)</t>
        </is>
      </c>
      <c r="S687" s="7" t="inlineStr">
        <is>
          <t>Sem antídoto específico; tratamento sintomático</t>
        </is>
      </c>
      <c r="T687" s="7" t="inlineStr">
        <is>
          <t>RAINBOW DEFENSIVOS AGRÍCOLAS LTDA.</t>
        </is>
      </c>
      <c r="U687" s="10">
        <f>HYPERLINK("https://agrofit.agricultura.gov.br/agrofit_cons/principal_agrofit_cons", "Consulta Oficial AGROFIT/MAPA (Nº 18122)")</f>
        <v/>
      </c>
    </row>
    <row r="688" ht="22" customHeight="1">
      <c r="A688" s="11" t="n">
        <v>683</v>
      </c>
      <c r="B688" s="12" t="inlineStr">
        <is>
          <t>Nº 18122</t>
        </is>
      </c>
      <c r="C688" s="13" t="inlineStr">
        <is>
          <t>TRICLOMAX 0,200L AMOSTRA (IMP) RW</t>
        </is>
      </c>
      <c r="D688" s="14" t="inlineStr">
        <is>
          <t>TRICLOMAX 0,200L AMOSTRA (IMP) RW</t>
        </is>
      </c>
      <c r="E688" s="13" t="inlineStr">
        <is>
          <t>Produto Formulado Comercial</t>
        </is>
      </c>
      <c r="F688" s="13" t="inlineStr">
        <is>
          <t>Defensivos</t>
        </is>
      </c>
      <c r="G688" s="13" t="inlineStr">
        <is>
          <t>Herbicida</t>
        </is>
      </c>
      <c r="H688" s="13" t="inlineStr">
        <is>
          <t>EC</t>
        </is>
      </c>
      <c r="I688" s="13" t="inlineStr">
        <is>
          <t>Concentrado Emulsionável (EC)</t>
        </is>
      </c>
      <c r="J688" s="13" t="inlineStr">
        <is>
          <t>Herbicida sistêmico seletivo de pós-emergência</t>
        </is>
      </c>
      <c r="K688" s="13" t="inlineStr">
        <is>
          <t>Ácido piridiniloxialcanoico</t>
        </is>
      </c>
      <c r="L688" s="13" t="inlineStr">
        <is>
          <t>HRAC Grupo O (4) — Auxinas Sintéticas</t>
        </is>
      </c>
      <c r="M688" s="13" t="inlineStr">
        <is>
          <t>Mimetizadores da auxina (crescimento desordenado e epinastia)</t>
        </is>
      </c>
      <c r="N688" s="13" t="inlineStr">
        <is>
          <t>Categoria 4 — Produto Pouco Tóxico</t>
        </is>
      </c>
      <c r="O688" s="13" t="inlineStr">
        <is>
          <t>Azul PMS Blue 293 C</t>
        </is>
      </c>
      <c r="P688" s="13" t="inlineStr">
        <is>
          <t>Classe II — Produto Muito Perigoso ao Meio Ambiente</t>
        </is>
      </c>
      <c r="Q688" s="15" t="n">
        <v>24</v>
      </c>
      <c r="R688" s="13" t="inlineStr">
        <is>
          <t>Terrestre / Aérea (Drones consultar bula)</t>
        </is>
      </c>
      <c r="S688" s="13" t="inlineStr">
        <is>
          <t>Sem antídoto específico; tratamento sintomático</t>
        </is>
      </c>
      <c r="T688" s="13" t="inlineStr">
        <is>
          <t>RAINBOW DEFENSIVOS AGRÍCOLAS LTDA.</t>
        </is>
      </c>
      <c r="U688" s="16">
        <f>HYPERLINK("https://agrofit.agricultura.gov.br/agrofit_cons/principal_agrofit_cons", "Consulta Oficial AGROFIT/MAPA (Nº 18122)")</f>
        <v/>
      </c>
    </row>
    <row r="689" ht="22" customHeight="1">
      <c r="A689" s="5" t="n">
        <v>684</v>
      </c>
      <c r="B689" s="6" t="inlineStr">
        <is>
          <t>Nº 25423</t>
        </is>
      </c>
      <c r="C689" s="7" t="inlineStr">
        <is>
          <t>GLUFE 200 SL 1X20L IMP LL</t>
        </is>
      </c>
      <c r="D689" s="8" t="inlineStr">
        <is>
          <t>GLUFE 200 SL</t>
        </is>
      </c>
      <c r="E689" s="7" t="inlineStr">
        <is>
          <t>Produto Formulado Comercial</t>
        </is>
      </c>
      <c r="F689" s="7" t="inlineStr">
        <is>
          <t>Defensivos</t>
        </is>
      </c>
      <c r="G689" s="7" t="inlineStr">
        <is>
          <t>Herbicida</t>
        </is>
      </c>
      <c r="H689" s="7" t="inlineStr">
        <is>
          <t>SL</t>
        </is>
      </c>
      <c r="I689" s="7" t="inlineStr">
        <is>
          <t>Concentrado Solúvel (SL)</t>
        </is>
      </c>
      <c r="J689" s="7" t="inlineStr">
        <is>
          <t>Herbicida de contato não seletivo em pós-emergência (seletivo p/ OGM LibertyLink)</t>
        </is>
      </c>
      <c r="K689" s="7" t="inlineStr">
        <is>
          <t>Homoalanina substituída (Ácido fosfínico)</t>
        </is>
      </c>
      <c r="L689" s="7" t="inlineStr">
        <is>
          <t>HRAC Grupo H (10) — Inibidores da Glutamina Sintetase</t>
        </is>
      </c>
      <c r="M689" s="7" t="inlineStr">
        <is>
          <t>Inibição da enzima glutamina sintetase (acúmulo de amônia intracelular)</t>
        </is>
      </c>
      <c r="N689" s="7" t="inlineStr">
        <is>
          <t>Categoria 4 — Produto Pouco Tóxico</t>
        </is>
      </c>
      <c r="O689" s="7" t="inlineStr">
        <is>
          <t>Azul PMS Blue 293 C</t>
        </is>
      </c>
      <c r="P689" s="7" t="inlineStr">
        <is>
          <t>Classe III — Produto Perigoso ao Meio Ambiente</t>
        </is>
      </c>
      <c r="Q689" s="9" t="n">
        <v>24</v>
      </c>
      <c r="R689" s="7" t="inlineStr">
        <is>
          <t>Terrestre / Aérea (Drones consultar bula)</t>
        </is>
      </c>
      <c r="S689" s="7" t="inlineStr">
        <is>
          <t>Sem antídoto específico; monitorar SNC por 48h e suporte ventilatório</t>
        </is>
      </c>
      <c r="T689" s="7" t="inlineStr">
        <is>
          <t>LIBEN / YONON BRASIL DEFENSIVOS AGRÍCOLAS LTDA.</t>
        </is>
      </c>
      <c r="U689" s="10">
        <f>HYPERLINK("https://www.adapar.pr.gov.br/Pagina/Agrotoxicos-Herbicidas", "Registro Oficial Glufosinate 200 SL Liben (MAPA 25423)")</f>
        <v/>
      </c>
    </row>
    <row r="690" ht="22" customHeight="1">
      <c r="A690" s="11" t="n">
        <v>685</v>
      </c>
      <c r="B690" s="12" t="inlineStr">
        <is>
          <t>Nº 25423</t>
        </is>
      </c>
      <c r="C690" s="13" t="inlineStr">
        <is>
          <t>GLUFOSINATE 200 SL LIBEN 0,200L AMOSTRA (IMP) LL</t>
        </is>
      </c>
      <c r="D690" s="14" t="inlineStr">
        <is>
          <t>GLUFOSINATE 200 SL LIBEN 0,200L AMOSTRA (IMP) LL</t>
        </is>
      </c>
      <c r="E690" s="13" t="inlineStr">
        <is>
          <t>Produto Formulado Comercial</t>
        </is>
      </c>
      <c r="F690" s="13" t="inlineStr">
        <is>
          <t>Defensivos</t>
        </is>
      </c>
      <c r="G690" s="13" t="inlineStr">
        <is>
          <t>Herbicida</t>
        </is>
      </c>
      <c r="H690" s="13" t="inlineStr">
        <is>
          <t>SL</t>
        </is>
      </c>
      <c r="I690" s="13" t="inlineStr">
        <is>
          <t>Concentrado Solúvel (SL)</t>
        </is>
      </c>
      <c r="J690" s="13" t="inlineStr">
        <is>
          <t>Herbicida de contato não seletivo em pós-emergência (seletivo p/ OGM LibertyLink)</t>
        </is>
      </c>
      <c r="K690" s="13" t="inlineStr">
        <is>
          <t>Homoalanina substituída (Ácido fosfínico)</t>
        </is>
      </c>
      <c r="L690" s="13" t="inlineStr">
        <is>
          <t>HRAC Grupo H (10) — Inibidores da Glutamina Sintetase</t>
        </is>
      </c>
      <c r="M690" s="13" t="inlineStr">
        <is>
          <t>Inibição da enzima glutamina sintetase (acúmulo de amônia intracelular)</t>
        </is>
      </c>
      <c r="N690" s="13" t="inlineStr">
        <is>
          <t>Categoria 4 — Produto Pouco Tóxico</t>
        </is>
      </c>
      <c r="O690" s="13" t="inlineStr">
        <is>
          <t>Azul PMS Blue 293 C</t>
        </is>
      </c>
      <c r="P690" s="13" t="inlineStr">
        <is>
          <t>Classe III — Produto Perigoso ao Meio Ambiente</t>
        </is>
      </c>
      <c r="Q690" s="15" t="n">
        <v>24</v>
      </c>
      <c r="R690" s="13" t="inlineStr">
        <is>
          <t>Terrestre / Aérea (Drones consultar bula)</t>
        </is>
      </c>
      <c r="S690" s="13" t="inlineStr">
        <is>
          <t>Sem antídoto específico; monitorar SNC por 48h e suporte ventilatório</t>
        </is>
      </c>
      <c r="T690" s="13" t="inlineStr">
        <is>
          <t>LIBEN / YONON BRASIL DEFENSIVOS AGRÍCOLAS LTDA.</t>
        </is>
      </c>
      <c r="U690" s="16">
        <f>HYPERLINK("https://www.adapar.pr.gov.br/Pagina/Agrotoxicos-Herbicidas", "Registro Oficial Glufosinate 200 SL Liben (MAPA 25423)")</f>
        <v/>
      </c>
    </row>
    <row r="691" ht="22" customHeight="1">
      <c r="A691" s="5" t="n">
        <v>686</v>
      </c>
      <c r="B691" s="6" t="inlineStr">
        <is>
          <t>Nº 9520</t>
        </is>
      </c>
      <c r="C691" s="7" t="inlineStr">
        <is>
          <t>DK MAX 1X10KG</t>
        </is>
      </c>
      <c r="D691" s="8" t="inlineStr">
        <is>
          <t>DK MAX</t>
        </is>
      </c>
      <c r="E691" s="7" t="inlineStr">
        <is>
          <t>Produto Formulado Comercial</t>
        </is>
      </c>
      <c r="F691" s="7" t="inlineStr">
        <is>
          <t>Defensivos</t>
        </is>
      </c>
      <c r="G691" s="7" t="inlineStr">
        <is>
          <t>Herbicida</t>
        </is>
      </c>
      <c r="H691" s="7" t="inlineStr">
        <is>
          <t>WG</t>
        </is>
      </c>
      <c r="I691" s="7" t="inlineStr">
        <is>
          <t>Grânulos Dispersíveis em Água (WG)</t>
        </is>
      </c>
      <c r="J691" s="7" t="inlineStr">
        <is>
          <t>Herbicida seletivo sistêmico de pré e pós-emergência precoce</t>
        </is>
      </c>
      <c r="K691" s="7" t="inlineStr">
        <is>
          <t>Triazina</t>
        </is>
      </c>
      <c r="L691" s="7" t="inlineStr">
        <is>
          <t>HRAC Grupo C1 (5) — Inibidores do Fotossistema II</t>
        </is>
      </c>
      <c r="M691" s="7" t="inlineStr">
        <is>
          <t>Inibição do transporte de elétrons no Fotossistema II (sítio Serina 264)</t>
        </is>
      </c>
      <c r="N691" s="7" t="inlineStr">
        <is>
          <t>Categoria 4 / 5 — Pouco Tóxico</t>
        </is>
      </c>
      <c r="O691" s="7" t="inlineStr">
        <is>
          <t>Azul Intenso</t>
        </is>
      </c>
      <c r="P691" s="7" t="inlineStr">
        <is>
          <t>Classe II — Produto Muito Perigoso ao Meio Ambiente</t>
        </is>
      </c>
      <c r="Q691" s="9" t="n">
        <v>24</v>
      </c>
      <c r="R691" s="7" t="inlineStr">
        <is>
          <t>Terrestre / Aérea (Drones consultar bula)</t>
        </is>
      </c>
      <c r="S691" s="7" t="inlineStr">
        <is>
          <t>Sem antídoto específico; tratamento sintomático</t>
        </is>
      </c>
      <c r="T691" s="7" t="inlineStr">
        <is>
          <t>Rainbow / Perterra</t>
        </is>
      </c>
      <c r="U691" s="10">
        <f>HYPERLINK("https://agrofit.agricultura.gov.br/agrofit_cons/principal_agrofit_cons", "Consulta Oficial AGROFIT/MAPA (Nº 9520)")</f>
        <v/>
      </c>
    </row>
    <row r="692" ht="22" customHeight="1">
      <c r="A692" s="11" t="n">
        <v>687</v>
      </c>
      <c r="B692" s="12" t="inlineStr">
        <is>
          <t>Nº 2024</t>
        </is>
      </c>
      <c r="C692" s="13" t="inlineStr">
        <is>
          <t>THIOPHANATE METHYL 500 SC YONON 1X20L (IMP)</t>
        </is>
      </c>
      <c r="D692" s="14" t="inlineStr">
        <is>
          <t>THIOPHANATE METHYL</t>
        </is>
      </c>
      <c r="E692" s="13" t="inlineStr">
        <is>
          <t>Produto Formulado Comercial</t>
        </is>
      </c>
      <c r="F692" s="13" t="inlineStr">
        <is>
          <t>Defensivos</t>
        </is>
      </c>
      <c r="G692" s="13" t="inlineStr">
        <is>
          <t>Fungicida</t>
        </is>
      </c>
      <c r="H692" s="13" t="inlineStr">
        <is>
          <t>SC</t>
        </is>
      </c>
      <c r="I692" s="13" t="inlineStr">
        <is>
          <t>Suspensão Concentrada (SC)</t>
        </is>
      </c>
      <c r="J692" s="13" t="inlineStr">
        <is>
          <t>Fungicida sistêmico preventivo e curativo</t>
        </is>
      </c>
      <c r="K692" s="13" t="inlineStr">
        <is>
          <t>Benzimidazol (Precursor de MBC)</t>
        </is>
      </c>
      <c r="L692" s="13" t="inlineStr">
        <is>
          <t>FRAC Grupo 1 (MBC)</t>
        </is>
      </c>
      <c r="M692" s="13" t="inlineStr">
        <is>
          <t>Inibidores da montagem de beta-tubulina na mitose celular</t>
        </is>
      </c>
      <c r="N692" s="13" t="inlineStr">
        <is>
          <t>Categoria 4 / 5 — Pouco Tóxico</t>
        </is>
      </c>
      <c r="O692" s="13" t="inlineStr">
        <is>
          <t>Azul Intenso</t>
        </is>
      </c>
      <c r="P692" s="13" t="inlineStr">
        <is>
          <t>Classe III — Produto Perigoso ao Meio Ambiente</t>
        </is>
      </c>
      <c r="Q692" s="15" t="n">
        <v>24</v>
      </c>
      <c r="R692" s="13" t="inlineStr">
        <is>
          <t>Terrestre / Aérea (Drones consultar bula)</t>
        </is>
      </c>
      <c r="S692" s="13" t="inlineStr">
        <is>
          <t>Sem antídoto específico; tratamento sintomático</t>
        </is>
      </c>
      <c r="T692" s="13" t="inlineStr">
        <is>
          <t>Yonon</t>
        </is>
      </c>
      <c r="U692" s="16">
        <f>HYPERLINK("https://agrofit.agricultura.gov.br/agrofit_cons/principal_agrofit_cons", "Consulta Oficial AGROFIT/MAPA (Nº 2024)")</f>
        <v/>
      </c>
    </row>
    <row r="693" ht="22" customHeight="1">
      <c r="A693" s="5" t="n">
        <v>688</v>
      </c>
      <c r="B693" s="6" t="inlineStr">
        <is>
          <t>Nº 17921</t>
        </is>
      </c>
      <c r="C693" s="7" t="inlineStr">
        <is>
          <t>TIOFANATO 500 SC PROVENTIS 1X20L (IMP) NN</t>
        </is>
      </c>
      <c r="D693" s="8" t="inlineStr">
        <is>
          <t>TIOFANATO</t>
        </is>
      </c>
      <c r="E693" s="7" t="inlineStr">
        <is>
          <t>Produto Formulado Comercial</t>
        </is>
      </c>
      <c r="F693" s="7" t="inlineStr">
        <is>
          <t>Defensivos</t>
        </is>
      </c>
      <c r="G693" s="7" t="inlineStr">
        <is>
          <t>Fungicida</t>
        </is>
      </c>
      <c r="H693" s="7" t="inlineStr">
        <is>
          <t>SC</t>
        </is>
      </c>
      <c r="I693" s="7" t="inlineStr">
        <is>
          <t>Suspensão Concentrada (SC)</t>
        </is>
      </c>
      <c r="J693" s="7" t="inlineStr">
        <is>
          <t>Fungicida sistêmico preventivo e curativo</t>
        </is>
      </c>
      <c r="K693" s="7" t="inlineStr">
        <is>
          <t>Benzimidazol (Precursor de MBC)</t>
        </is>
      </c>
      <c r="L693" s="7" t="inlineStr">
        <is>
          <t>FRAC Grupo 1 (MBC)</t>
        </is>
      </c>
      <c r="M693" s="7" t="inlineStr">
        <is>
          <t>Inibidores da montagem de beta-tubulina na mitose celular</t>
        </is>
      </c>
      <c r="N693" s="7" t="inlineStr">
        <is>
          <t>Categoria 4 / 5 — Pouco Tóxico</t>
        </is>
      </c>
      <c r="O693" s="7" t="inlineStr">
        <is>
          <t>Azul Intenso</t>
        </is>
      </c>
      <c r="P693" s="7" t="inlineStr">
        <is>
          <t>Classe III — Produto Perigoso ao Meio Ambiente</t>
        </is>
      </c>
      <c r="Q693" s="9" t="n">
        <v>24</v>
      </c>
      <c r="R693" s="7" t="inlineStr">
        <is>
          <t>Terrestre / Aérea (Drones consultar bula)</t>
        </is>
      </c>
      <c r="S693" s="7" t="inlineStr">
        <is>
          <t>Sem antídoto específico; tratamento sintomático</t>
        </is>
      </c>
      <c r="T693" s="7" t="inlineStr">
        <is>
          <t>Proventis Lifescience</t>
        </is>
      </c>
      <c r="U693" s="10">
        <f>HYPERLINK("https://agrofit.agricultura.gov.br/agrofit_cons/principal_agrofit_cons", "Consulta Oficial AGROFIT/MAPA (Nº 17921)")</f>
        <v/>
      </c>
    </row>
    <row r="694" ht="22" customHeight="1">
      <c r="A694" s="11" t="n">
        <v>689</v>
      </c>
      <c r="B694" s="12" t="inlineStr">
        <is>
          <t>Nº 6715</t>
        </is>
      </c>
      <c r="C694" s="13" t="inlineStr">
        <is>
          <t>2,4-D 806 SL CROTECT BBA 1X20L</t>
        </is>
      </c>
      <c r="D694" s="14" t="inlineStr">
        <is>
          <t>2,4-D 806 SL CROTECT BBA</t>
        </is>
      </c>
      <c r="E694" s="13" t="inlineStr">
        <is>
          <t>Produto Formulado Comercial</t>
        </is>
      </c>
      <c r="F694" s="13" t="inlineStr">
        <is>
          <t>Defensivos</t>
        </is>
      </c>
      <c r="G694" s="13" t="inlineStr">
        <is>
          <t>Herbicida</t>
        </is>
      </c>
      <c r="H694" s="13" t="inlineStr">
        <is>
          <t>SL</t>
        </is>
      </c>
      <c r="I694" s="13" t="inlineStr">
        <is>
          <t>SL - Concentrado Solúvel</t>
        </is>
      </c>
      <c r="J694" s="13" t="inlineStr">
        <is>
          <t>Herbicida sistêmico seletivo de pós-emergência para folhas largas</t>
        </is>
      </c>
      <c r="K694" s="13" t="inlineStr">
        <is>
          <t>Ácido ariloxialcanoico</t>
        </is>
      </c>
      <c r="L694" s="13" t="inlineStr">
        <is>
          <t>HRAC Grupo O (4) — Auxinas Sintéticas</t>
        </is>
      </c>
      <c r="M694" s="13" t="inlineStr">
        <is>
          <t>Mimetizadores da auxina (ácido indolacético - AIA)</t>
        </is>
      </c>
      <c r="N694" s="13" t="inlineStr">
        <is>
          <t>Categoria 4: Produto Pouco Tóxico</t>
        </is>
      </c>
      <c r="O694" s="13" t="inlineStr">
        <is>
          <t>Azul</t>
        </is>
      </c>
      <c r="P694" s="13" t="inlineStr">
        <is>
          <t>Classe III — Produto Perigoso ao Meio Ambiente</t>
        </is>
      </c>
      <c r="Q694" s="15" t="n">
        <v>24</v>
      </c>
      <c r="R694" s="13" t="inlineStr">
        <is>
          <t>Terrestre / Aérea (Drones consultar bula)</t>
        </is>
      </c>
      <c r="S694" s="13" t="inlineStr">
        <is>
          <t>Sem antídoto específico; tratamento sintomático</t>
        </is>
      </c>
      <c r="T694" s="13" t="inlineStr">
        <is>
          <t>CROTECT CROP SCIENCE LTDA</t>
        </is>
      </c>
      <c r="U694" s="16">
        <f>HYPERLINK("https://agrofit.agricultura.gov.br/agrofit_cons/principal_agrofit_cons", "Consulta Oficial AGROFIT/MAPA (Nº 6715)")</f>
        <v/>
      </c>
    </row>
    <row r="695" ht="22" customHeight="1">
      <c r="A695" s="5" t="n">
        <v>690</v>
      </c>
      <c r="B695" s="6" t="inlineStr">
        <is>
          <t>Nº 16922</t>
        </is>
      </c>
      <c r="C695" s="7" t="inlineStr">
        <is>
          <t>GLUFOS-WYN 200 SL 1X20L (IMP)</t>
        </is>
      </c>
      <c r="D695" s="8" t="inlineStr">
        <is>
          <t>GLUFOS-WYN 200 SL</t>
        </is>
      </c>
      <c r="E695" s="7" t="inlineStr">
        <is>
          <t>Produto Formulado Comercial</t>
        </is>
      </c>
      <c r="F695" s="7" t="inlineStr">
        <is>
          <t>Defensivos</t>
        </is>
      </c>
      <c r="G695" s="7" t="inlineStr">
        <is>
          <t>Herbicida</t>
        </is>
      </c>
      <c r="H695" s="7" t="inlineStr">
        <is>
          <t>SL</t>
        </is>
      </c>
      <c r="I695" s="7" t="inlineStr">
        <is>
          <t>Concentrado Solúvel (SL)</t>
        </is>
      </c>
      <c r="J695" s="7" t="inlineStr">
        <is>
          <t>Herbicida de contato não seletivo em pós-emergência (seletivo p/ OGM LibertyLink)</t>
        </is>
      </c>
      <c r="K695" s="7" t="inlineStr">
        <is>
          <t>Homoalanina substituída (Ácido fosfínico)</t>
        </is>
      </c>
      <c r="L695" s="7" t="inlineStr">
        <is>
          <t>HRAC Grupo H (10) — Inibidores da Glutamina Sintetase</t>
        </is>
      </c>
      <c r="M695" s="7" t="inlineStr">
        <is>
          <t>Inibição da enzima glutamina sintetase (acúmulo de amônia intracelular)</t>
        </is>
      </c>
      <c r="N695" s="7" t="inlineStr">
        <is>
          <t>Categoria 4 — Produto Pouco Tóxico</t>
        </is>
      </c>
      <c r="O695" s="7" t="inlineStr">
        <is>
          <t>Azul PMS Blue 293 C</t>
        </is>
      </c>
      <c r="P695" s="7" t="inlineStr">
        <is>
          <t>Classe III — Produto Perigoso ao Meio Ambiente</t>
        </is>
      </c>
      <c r="Q695" s="9" t="n">
        <v>24</v>
      </c>
      <c r="R695" s="7" t="inlineStr">
        <is>
          <t>Terrestre / Aérea (Drones consultar bula)</t>
        </is>
      </c>
      <c r="S695" s="7" t="inlineStr">
        <is>
          <t>Sem antídoto específico; monitorar SNC por 48h e suporte ventilatório</t>
        </is>
      </c>
      <c r="T695" s="7" t="inlineStr">
        <is>
          <t>RAINBOW DEFENSIVOS AGRÍCOLAS LTDA.</t>
        </is>
      </c>
      <c r="U695" s="10">
        <f>HYPERLINK("https://www.adapar.pr.gov.br/Pagina/Agrotoxicos-Herbicidas", "Registro Oficial Glufos-Wyn 200 SL (MAPA 16922)")</f>
        <v/>
      </c>
    </row>
    <row r="696" ht="22" customHeight="1">
      <c r="A696" s="11" t="n">
        <v>691</v>
      </c>
      <c r="B696" s="12" t="inlineStr">
        <is>
          <t>Nº 25423</t>
        </is>
      </c>
      <c r="C696" s="13" t="inlineStr">
        <is>
          <t>GLUFOSINATE 200 SL LIBEN 1X20L (IMP) LL</t>
        </is>
      </c>
      <c r="D696" s="14" t="inlineStr">
        <is>
          <t>GLUFOSINATE 200 SL LIBEN</t>
        </is>
      </c>
      <c r="E696" s="13" t="inlineStr">
        <is>
          <t>Produto Formulado Comercial</t>
        </is>
      </c>
      <c r="F696" s="13" t="inlineStr">
        <is>
          <t>Defensivos</t>
        </is>
      </c>
      <c r="G696" s="13" t="inlineStr">
        <is>
          <t>Herbicida</t>
        </is>
      </c>
      <c r="H696" s="13" t="inlineStr">
        <is>
          <t>SL</t>
        </is>
      </c>
      <c r="I696" s="13" t="inlineStr">
        <is>
          <t>Concentrado Solúvel (SL)</t>
        </is>
      </c>
      <c r="J696" s="13" t="inlineStr">
        <is>
          <t>Herbicida de contato não seletivo em pós-emergência (seletivo p/ OGM LibertyLink)</t>
        </is>
      </c>
      <c r="K696" s="13" t="inlineStr">
        <is>
          <t>Homoalanina substituída (Ácido fosfínico)</t>
        </is>
      </c>
      <c r="L696" s="13" t="inlineStr">
        <is>
          <t>HRAC Grupo H (10) — Inibidores da Glutamina Sintetase</t>
        </is>
      </c>
      <c r="M696" s="13" t="inlineStr">
        <is>
          <t>Inibição da enzima glutamina sintetase (acúmulo de amônia intracelular)</t>
        </is>
      </c>
      <c r="N696" s="13" t="inlineStr">
        <is>
          <t>Categoria 4 — Produto Pouco Tóxico</t>
        </is>
      </c>
      <c r="O696" s="13" t="inlineStr">
        <is>
          <t>Azul PMS Blue 293 C</t>
        </is>
      </c>
      <c r="P696" s="13" t="inlineStr">
        <is>
          <t>Classe III — Produto Perigoso ao Meio Ambiente</t>
        </is>
      </c>
      <c r="Q696" s="15" t="n">
        <v>24</v>
      </c>
      <c r="R696" s="13" t="inlineStr">
        <is>
          <t>Terrestre / Aérea (Drones consultar bula)</t>
        </is>
      </c>
      <c r="S696" s="13" t="inlineStr">
        <is>
          <t>Sem antídoto específico; monitorar SNC por 48h e suporte ventilatório</t>
        </is>
      </c>
      <c r="T696" s="13" t="inlineStr">
        <is>
          <t>LIBEN / YONON BRASIL DEFENSIVOS AGRÍCOLAS LTDA.</t>
        </is>
      </c>
      <c r="U696" s="16">
        <f>HYPERLINK("https://www.adapar.pr.gov.br/Pagina/Agrotoxicos-Herbicidas", "Registro Oficial Glufosinate 200 SL Liben (MAPA 25423)")</f>
        <v/>
      </c>
    </row>
    <row r="697" ht="22" customHeight="1">
      <c r="A697" s="5" t="n">
        <v>692</v>
      </c>
      <c r="B697" s="6" t="inlineStr">
        <is>
          <t>Nº 34318</t>
        </is>
      </c>
      <c r="C697" s="7" t="inlineStr">
        <is>
          <t>MAGNUM 4X5KG</t>
        </is>
      </c>
      <c r="D697" s="8" t="inlineStr">
        <is>
          <t>MAGNUM</t>
        </is>
      </c>
      <c r="E697" s="7" t="inlineStr">
        <is>
          <t>Produto Formulado Comercial</t>
        </is>
      </c>
      <c r="F697" s="7" t="inlineStr">
        <is>
          <t>Defensivos</t>
        </is>
      </c>
      <c r="G697" s="7" t="inlineStr">
        <is>
          <t>Inseticida</t>
        </is>
      </c>
      <c r="H697" s="7" t="inlineStr">
        <is>
          <t>SG</t>
        </is>
      </c>
      <c r="I697" s="7" t="inlineStr">
        <is>
          <t>Grânulos Solúveis em Água (SG)</t>
        </is>
      </c>
      <c r="J697" s="7" t="inlineStr">
        <is>
          <t>Inseticida e acaricida sistêmico de contato e ingestão</t>
        </is>
      </c>
      <c r="K697" s="7" t="inlineStr">
        <is>
          <t>Organofosforado</t>
        </is>
      </c>
      <c r="L697" s="7" t="inlineStr">
        <is>
          <t>IRAC Grupo 1B</t>
        </is>
      </c>
      <c r="M697" s="7" t="inlineStr">
        <is>
          <t>Inibidores da enzima acetilcolinesterase (AChE)</t>
        </is>
      </c>
      <c r="N697" s="7" t="inlineStr">
        <is>
          <t>Categoria 4 — Produto Pouco Tóxico</t>
        </is>
      </c>
      <c r="O697" s="7" t="inlineStr">
        <is>
          <t>Azul PMS Blue 293 C</t>
        </is>
      </c>
      <c r="P697" s="7" t="inlineStr">
        <is>
          <t>Classe III — Produto Perigoso ao Meio Ambiente</t>
        </is>
      </c>
      <c r="Q697" s="9" t="n">
        <v>24</v>
      </c>
      <c r="R697" s="7" t="inlineStr">
        <is>
          <t>Terrestre / Aérea (Drones consultar bula)</t>
        </is>
      </c>
      <c r="S697" s="7" t="inlineStr">
        <is>
          <t>Sulfato de Atropina e Pralidoxima (Contrathion)</t>
        </is>
      </c>
      <c r="T697" s="7" t="inlineStr">
        <is>
          <t>PERTERRA INSUMOS AGROPECUÁRIOS S.A.</t>
        </is>
      </c>
      <c r="U697" s="10">
        <f>HYPERLINK("https://www.adapar.pr.gov.br/system/files/publico/Agrotoxicos/lista.pdf", "Registro Oficial Magnum 970 SG (MAPA 34318)")</f>
        <v/>
      </c>
    </row>
    <row r="698" ht="22" customHeight="1">
      <c r="A698" s="11" t="n">
        <v>693</v>
      </c>
      <c r="B698" s="12" t="inlineStr">
        <is>
          <t>Nº 9420</t>
        </is>
      </c>
      <c r="C698" s="13" t="inlineStr">
        <is>
          <t>ENSIS-TURBO 0,200L (IMP) AMOSTRA</t>
        </is>
      </c>
      <c r="D698" s="14" t="inlineStr">
        <is>
          <t>ENSIS-TURBO 0,200L (IMP) AMOSTRA</t>
        </is>
      </c>
      <c r="E698" s="13" t="inlineStr">
        <is>
          <t>Produto Formulado Comercial</t>
        </is>
      </c>
      <c r="F698" s="13" t="inlineStr">
        <is>
          <t>Defensivos</t>
        </is>
      </c>
      <c r="G698" s="13" t="inlineStr">
        <is>
          <t>Fungicida</t>
        </is>
      </c>
      <c r="H698" s="13" t="inlineStr">
        <is>
          <t>SC</t>
        </is>
      </c>
      <c r="I698" s="13" t="inlineStr">
        <is>
          <t>Suspensão Concentrada (SC)</t>
        </is>
      </c>
      <c r="J698" s="13" t="inlineStr">
        <is>
          <t>Fungicida sistêmico preventivo e curativo</t>
        </is>
      </c>
      <c r="K698" s="13" t="inlineStr">
        <is>
          <t>Triazol</t>
        </is>
      </c>
      <c r="L698" s="13" t="inlineStr">
        <is>
          <t>FRAC Grupo 3 (DMI)</t>
        </is>
      </c>
      <c r="M698" s="13" t="inlineStr">
        <is>
          <t>Inibidores da desmetilação de C14 na biossíntese de ergosterol</t>
        </is>
      </c>
      <c r="N698" s="13" t="inlineStr">
        <is>
          <t>Categoria 4 — Produto Pouco Tóxico</t>
        </is>
      </c>
      <c r="O698" s="13" t="inlineStr">
        <is>
          <t>Azul PMS Blue 293 C</t>
        </is>
      </c>
      <c r="P698" s="13" t="inlineStr">
        <is>
          <t>Classe II — Produto Muito Perigoso ao Meio Ambiente</t>
        </is>
      </c>
      <c r="Q698" s="15" t="n">
        <v>24</v>
      </c>
      <c r="R698" s="13" t="inlineStr">
        <is>
          <t>Terrestre / Aérea (Drones consultar bula)</t>
        </is>
      </c>
      <c r="S698" s="13" t="inlineStr">
        <is>
          <t>Sem antídoto específico; tratamento sintomático</t>
        </is>
      </c>
      <c r="T698" s="13" t="inlineStr">
        <is>
          <t>Adama / Rainbow</t>
        </is>
      </c>
      <c r="U698" s="16">
        <f>HYPERLINK("https://agrofit.agricultura.gov.br/agrofit_cons/principal_agrofit_cons", "Consulta Oficial AGROFIT/MAPA (Nº 9420)")</f>
        <v/>
      </c>
    </row>
    <row r="699" ht="22" customHeight="1">
      <c r="A699" s="5" t="n">
        <v>694</v>
      </c>
      <c r="B699" s="6" t="inlineStr">
        <is>
          <t>SIPEAGRO (UF-XXXXX)</t>
        </is>
      </c>
      <c r="C699" s="7" t="inlineStr">
        <is>
          <t>FOSFATO MONOAMONICO 11-52-00 (44% H2O) (VALIDAR)</t>
        </is>
      </c>
      <c r="D699" s="8" t="inlineStr">
        <is>
          <t>FOSFATO MONOAMONICO 11-52-00 (44% H2O) (VALIDAR)</t>
        </is>
      </c>
      <c r="E699" s="7" t="inlineStr">
        <is>
          <t>Fertilizante Mineral / Organomineral</t>
        </is>
      </c>
      <c r="F699" s="7" t="inlineStr">
        <is>
          <t>Fertilizantes</t>
        </is>
      </c>
      <c r="G699" s="7" t="inlineStr">
        <is>
          <t>Fertilizante Complexo (MAP — Fosfato Monoamônico)</t>
        </is>
      </c>
      <c r="H699" s="7" t="inlineStr">
        <is>
          <t>Granulado</t>
        </is>
      </c>
      <c r="I699" s="7" t="inlineStr">
        <is>
          <t>Formulação Padrão (Granulado / Solúvel / Suspensão)</t>
        </is>
      </c>
      <c r="J699" s="7" t="inlineStr">
        <is>
          <t>Aplicação via solo, fertirrigação ou adubação foliar</t>
        </is>
      </c>
      <c r="K699" s="7" t="inlineStr">
        <is>
          <t>Fertilizante Mineral / Organomineral (Lei nº 6.894/1980)</t>
        </is>
      </c>
      <c r="L699" s="7" t="inlineStr">
        <is>
          <t>Nutrição Vegetal SIPEAGRO</t>
        </is>
      </c>
      <c r="M699" s="7" t="inlineStr">
        <is>
          <t>Fornecimento de macro e micronutrientes essenciais ao metabolismo vegetal</t>
        </is>
      </c>
      <c r="N699" s="7" t="inlineStr">
        <is>
          <t>Isento ANVISA (Produto Fertilizante Registrado no SIPEAGRO/MAPA)</t>
        </is>
      </c>
      <c r="O699" s="7" t="inlineStr">
        <is>
          <t>Não Aplicável (Fertilizante)</t>
        </is>
      </c>
      <c r="P699" s="7" t="inlineStr">
        <is>
          <t>Baixo Potencial Poluidor (Uso conforme recomendação agronômica)</t>
        </is>
      </c>
      <c r="Q699" s="9" t="n">
        <v>0</v>
      </c>
      <c r="R699" s="7" t="inlineStr">
        <is>
          <t>Aplicação Dirigida / TS / Solo</t>
        </is>
      </c>
      <c r="S699" s="7" t="inlineStr">
        <is>
          <t>Tratamento sintomático em caso de ingestão acidental</t>
        </is>
      </c>
      <c r="T699" s="7" t="inlineStr">
        <is>
          <t>Estabelecimento Produtor SIPEAGRO/MAPA</t>
        </is>
      </c>
      <c r="U699" s="10">
        <f>HYPERLINK("https://www.gov.br/agricultura/pt-br/assuntos/insumos-agropecuarios/insumos-agricolas/fertilizantes", "Portal SIPEAGRO / MAPA — Fertilizantes e Bioinsumos")</f>
        <v/>
      </c>
    </row>
    <row r="700" ht="22" customHeight="1">
      <c r="A700" s="11" t="n">
        <v>695</v>
      </c>
      <c r="B700" s="12" t="inlineStr">
        <is>
          <t>Nº 14421</t>
        </is>
      </c>
      <c r="C700" s="13" t="inlineStr">
        <is>
          <t>FIPRONIL 250 FS ( PRINCIPIO ATIVO)</t>
        </is>
      </c>
      <c r="D700" s="14" t="inlineStr">
        <is>
          <t>FIPRONIL 250 FS ( PRINCIPIO ATIVO)</t>
        </is>
      </c>
      <c r="E700" s="13" t="inlineStr">
        <is>
          <t>Produto Técnico Industrial</t>
        </is>
      </c>
      <c r="F700" s="13" t="inlineStr">
        <is>
          <t>Defensivos</t>
        </is>
      </c>
      <c r="G700" s="13" t="inlineStr">
        <is>
          <t>Inseticida (Princípio Ativo / Técnico)</t>
        </is>
      </c>
      <c r="H700" s="13" t="inlineStr">
        <is>
          <t>FS</t>
        </is>
      </c>
      <c r="I700" s="13" t="inlineStr">
        <is>
          <t>Suspensão Concentrada para Tratamento de Sementes (FS)</t>
        </is>
      </c>
      <c r="J700" s="13" t="inlineStr">
        <is>
          <t>Inseticida, cupinicida e formicida de contato e ingestão (TS / Solo)</t>
        </is>
      </c>
      <c r="K700" s="13" t="inlineStr">
        <is>
          <t>Pirazol (Fenilpirazol)</t>
        </is>
      </c>
      <c r="L700" s="13" t="inlineStr">
        <is>
          <t>IRAC Grupo 2B</t>
        </is>
      </c>
      <c r="M700" s="13" t="inlineStr">
        <is>
          <t>Bloqueadores de canais de cloro mediados pelo GABA</t>
        </is>
      </c>
      <c r="N700" s="13" t="inlineStr">
        <is>
          <t>Categoria 3 — Produto Moderadamente Tóxico</t>
        </is>
      </c>
      <c r="O700" s="13" t="inlineStr">
        <is>
          <t>Amarelo PMS Yellow C</t>
        </is>
      </c>
      <c r="P700" s="13" t="inlineStr">
        <is>
          <t>Classe II — Produto Muito Perigoso ao Meio Ambiente</t>
        </is>
      </c>
      <c r="Q700" s="15" t="n">
        <v>0</v>
      </c>
      <c r="R700" s="13" t="inlineStr">
        <is>
          <t>Aplicação Dirigida / TS / Solo</t>
        </is>
      </c>
      <c r="S700" s="13" t="inlineStr">
        <is>
          <t>Sem antídoto específico; tratamento sintomático e controle neurológico</t>
        </is>
      </c>
      <c r="T700" s="13" t="inlineStr">
        <is>
          <t>AGRICONNECTION IMPORTADORA E EXPORTADORA DE INSUMOS AGRÍCOLAS LTDA.</t>
        </is>
      </c>
      <c r="U700" s="16">
        <f>HYPERLINK("https://agrofit.agricultura.gov.br/agrofit_cons/principal_agrofit_cons", "Consulta Oficial AGROFIT/MAPA (Nº 14421)")</f>
        <v/>
      </c>
    </row>
    <row r="701" ht="22" customHeight="1">
      <c r="A701" s="5" t="n">
        <v>696</v>
      </c>
      <c r="B701" s="6" t="inlineStr">
        <is>
          <t>Nº 14623</t>
        </is>
      </c>
      <c r="C701" s="7" t="inlineStr">
        <is>
          <t>METSULFUROM - METILICO (PRINCIPIO ATIVO)</t>
        </is>
      </c>
      <c r="D701" s="8" t="inlineStr">
        <is>
          <t>METSULFUROM - METILICO (PRINCIPIO ATIVO)</t>
        </is>
      </c>
      <c r="E701" s="7" t="inlineStr">
        <is>
          <t>Produto Técnico Industrial</t>
        </is>
      </c>
      <c r="F701" s="7" t="inlineStr">
        <is>
          <t>Defensivos</t>
        </is>
      </c>
      <c r="G701" s="7" t="inlineStr">
        <is>
          <t>Herbicida (Princípio Ativo / Técnico)</t>
        </is>
      </c>
      <c r="H701" s="7" t="inlineStr">
        <is>
          <t>TC</t>
        </is>
      </c>
      <c r="I701" s="7" t="inlineStr">
        <is>
          <t>Produto Técnico Industrial (TC)</t>
        </is>
      </c>
      <c r="J701" s="7" t="inlineStr">
        <is>
          <t>Herbicida de pré ou pós-emergência</t>
        </is>
      </c>
      <c r="K701" s="7" t="inlineStr">
        <is>
          <t>Sulfonilureia</t>
        </is>
      </c>
      <c r="L701" s="7" t="inlineStr">
        <is>
          <t>HRAC Grupo B (2) — Inibidores da ALS</t>
        </is>
      </c>
      <c r="M701" s="7" t="inlineStr">
        <is>
          <t>Inibição da enzima acetolactato sintase (ALS / AHAS)</t>
        </is>
      </c>
      <c r="N701" s="7" t="inlineStr">
        <is>
          <t>Categoria 4 / 5 — Pouco Tóxico (Conforme Bula ANVISA)</t>
        </is>
      </c>
      <c r="O701" s="7" t="inlineStr">
        <is>
          <t>Azul PMS Blue 293 C</t>
        </is>
      </c>
      <c r="P701" s="7" t="inlineStr">
        <is>
          <t>Classe II / III — Perigoso ao Meio Ambiente</t>
        </is>
      </c>
      <c r="Q701" s="9" t="n">
        <v>24</v>
      </c>
      <c r="R701" s="7" t="inlineStr">
        <is>
          <t>Terrestre / Aérea (Drones consultar bula)</t>
        </is>
      </c>
      <c r="S701" s="7" t="inlineStr">
        <is>
          <t>Sem antídoto específico; tratamento sintomático e descontaminação</t>
        </is>
      </c>
      <c r="T701" s="7" t="inlineStr">
        <is>
          <t>AGRICONNECTION IMPORTADORA E EXPORTADORA DE INSUMOS AGRÍCOLAS LTDA.</t>
        </is>
      </c>
      <c r="U701" s="10">
        <f>HYPERLINK("https://www.adapar.pr.gov.br/Pagina/Agrotoxicos-Herbicidas", "Registro Oficial Milha 600 WG (MAPA 14623)")</f>
        <v/>
      </c>
    </row>
    <row r="702" ht="22" customHeight="1">
      <c r="A702" s="11" t="n">
        <v>697</v>
      </c>
      <c r="B702" s="12" t="inlineStr">
        <is>
          <t>Nº 34725</t>
        </is>
      </c>
      <c r="C702" s="13" t="inlineStr">
        <is>
          <t>PROTIOCONAZOLE175+TRIFLOXYSTROBIN150 (PRINC ATIVO)</t>
        </is>
      </c>
      <c r="D702" s="14" t="inlineStr">
        <is>
          <t>PROTIOCONAZOLE175+TRIFLOXYSTROBIN150 (PRINC ATIVO)</t>
        </is>
      </c>
      <c r="E702" s="13" t="inlineStr">
        <is>
          <t>Produto Técnico Industrial</t>
        </is>
      </c>
      <c r="F702" s="13" t="inlineStr">
        <is>
          <t>Defensivos</t>
        </is>
      </c>
      <c r="G702" s="13" t="inlineStr">
        <is>
          <t>Fungicida (Princípio Ativo / Técnico)</t>
        </is>
      </c>
      <c r="H702" s="13" t="inlineStr">
        <is>
          <t>TC</t>
        </is>
      </c>
      <c r="I702" s="13" t="inlineStr">
        <is>
          <t>Produto Técnico Industrial (TC)</t>
        </is>
      </c>
      <c r="J702" s="13" t="inlineStr">
        <is>
          <t>Fungicida sistêmico preventivo, curativo e erradicante</t>
        </is>
      </c>
      <c r="K702" s="13" t="inlineStr">
        <is>
          <t>Triazolinthiona</t>
        </is>
      </c>
      <c r="L702" s="13" t="inlineStr">
        <is>
          <t>FRAC Grupo 3 (DMI)</t>
        </is>
      </c>
      <c r="M702" s="13" t="inlineStr">
        <is>
          <t>Inibidores da desmetilação de esteróis (DMI - C14-desmetilase)</t>
        </is>
      </c>
      <c r="N702" s="13" t="inlineStr">
        <is>
          <t>Categoria 4 / 5 — Pouco Tóxico</t>
        </is>
      </c>
      <c r="O702" s="13" t="inlineStr">
        <is>
          <t>Azul Intenso</t>
        </is>
      </c>
      <c r="P702" s="13" t="inlineStr">
        <is>
          <t>Classe II — Produto Muito Perigoso ao Meio Ambiente</t>
        </is>
      </c>
      <c r="Q702" s="15" t="n">
        <v>24</v>
      </c>
      <c r="R702" s="13" t="inlineStr">
        <is>
          <t>Terrestre / Aérea (Drones consultar bula)</t>
        </is>
      </c>
      <c r="S702" s="13" t="inlineStr">
        <is>
          <t>Sem antídoto específico; tratamento sintomático</t>
        </is>
      </c>
      <c r="T702" s="13" t="inlineStr">
        <is>
          <t>RAINBOW DEFENSIVOS AGRÍCOLAS LTDA.</t>
        </is>
      </c>
      <c r="U702" s="16">
        <f>HYPERLINK("https://www.adapar.pr.gov.br/Pagina/Agrotoxicos-Fungicidas", "Registro Oficial Spireel 325 SC (MAPA 34725)")</f>
        <v/>
      </c>
    </row>
    <row r="703" ht="22" customHeight="1">
      <c r="A703" s="5" t="n">
        <v>698</v>
      </c>
      <c r="B703" s="6" t="inlineStr">
        <is>
          <t>Nº 1838604</t>
        </is>
      </c>
      <c r="C703" s="7" t="inlineStr">
        <is>
          <t>OXIFLUORFEM 240 (PRINCIPIO ATIVO)</t>
        </is>
      </c>
      <c r="D703" s="8" t="inlineStr">
        <is>
          <t>OXIFLUORFEM 240 (PRINCIPIO ATIVO)</t>
        </is>
      </c>
      <c r="E703" s="7" t="inlineStr">
        <is>
          <t>Produto Técnico Industrial</t>
        </is>
      </c>
      <c r="F703" s="7" t="inlineStr">
        <is>
          <t>Defensivos</t>
        </is>
      </c>
      <c r="G703" s="7" t="inlineStr">
        <is>
          <t>Herbicida (Princípio Ativo / Técnico)</t>
        </is>
      </c>
      <c r="H703" s="7" t="inlineStr">
        <is>
          <t>TC</t>
        </is>
      </c>
      <c r="I703" s="7" t="inlineStr">
        <is>
          <t>Produto Técnico Industrial (TC)</t>
        </is>
      </c>
      <c r="J703" s="7" t="inlineStr">
        <is>
          <t>Herbicida de pré ou pós-emergência</t>
        </is>
      </c>
      <c r="K703" s="7" t="inlineStr">
        <is>
          <t>Éter Difenílico</t>
        </is>
      </c>
      <c r="L703" s="7" t="inlineStr">
        <is>
          <t>HRAC Grupo E (14) — Inibidores da PROTOX</t>
        </is>
      </c>
      <c r="M703" s="7" t="inlineStr">
        <is>
          <t>Inibição da enzima protoporfirinogênio oxidase (PROTOX / PPO)</t>
        </is>
      </c>
      <c r="N703" s="7" t="inlineStr">
        <is>
          <t>Categoria 4 / 5 — Pouco Tóxico (Conforme Bula ANVISA)</t>
        </is>
      </c>
      <c r="O703" s="7" t="inlineStr">
        <is>
          <t>Azul PMS Blue 293 C</t>
        </is>
      </c>
      <c r="P703" s="7" t="inlineStr">
        <is>
          <t>Classe II / III — Perigoso ao Meio Ambiente</t>
        </is>
      </c>
      <c r="Q703" s="9" t="n">
        <v>24</v>
      </c>
      <c r="R703" s="7" t="inlineStr">
        <is>
          <t>Terrestre / Aérea (Drones consultar bula)</t>
        </is>
      </c>
      <c r="S703" s="7" t="inlineStr">
        <is>
          <t>Sem antídoto específico; tratamento sintomático e descontaminação</t>
        </is>
      </c>
      <c r="T703" s="7" t="inlineStr">
        <is>
          <t>Proventis / Corteva</t>
        </is>
      </c>
      <c r="U703" s="10">
        <f>HYPERLINK("https://agrofit.agricultura.gov.br/agrofit_cons/principal_agrofit_cons", "Consulta Oficial AGROFIT/MAPA (Nº 1838604)")</f>
        <v/>
      </c>
    </row>
    <row r="704" ht="22" customHeight="1">
      <c r="A704" s="11" t="n">
        <v>699</v>
      </c>
      <c r="B704" s="12" t="inlineStr">
        <is>
          <t>Nº 40024</t>
        </is>
      </c>
      <c r="C704" s="13" t="inlineStr">
        <is>
          <t>CYPROCONAZOLE80+PICOXYSTROBIN200 (PRINCIPIO ATIVO)</t>
        </is>
      </c>
      <c r="D704" s="14" t="inlineStr">
        <is>
          <t>CYPROCONAZOLE80+PICOXYSTROBIN200 (PRINCIPIO ATIVO)</t>
        </is>
      </c>
      <c r="E704" s="13" t="inlineStr">
        <is>
          <t>Produto Técnico Industrial</t>
        </is>
      </c>
      <c r="F704" s="13" t="inlineStr">
        <is>
          <t>Defensivos</t>
        </is>
      </c>
      <c r="G704" s="13" t="inlineStr">
        <is>
          <t>Fungicida (Princípio Ativo / Técnico)</t>
        </is>
      </c>
      <c r="H704" s="13" t="inlineStr">
        <is>
          <t>TC</t>
        </is>
      </c>
      <c r="I704" s="13" t="inlineStr">
        <is>
          <t>Produto Técnico Industrial (TC)</t>
        </is>
      </c>
      <c r="J704" s="13" t="inlineStr">
        <is>
          <t>Fungicida preventivo e curativo foliar</t>
        </is>
      </c>
      <c r="K704" s="13" t="inlineStr">
        <is>
          <t>Estrobilurina (Metoxiacrilato)</t>
        </is>
      </c>
      <c r="L704" s="13" t="inlineStr">
        <is>
          <t>FRAC Grupo 11 (C3 — QoI)</t>
        </is>
      </c>
      <c r="M704" s="13" t="inlineStr">
        <is>
          <t>Inibidores da respiração mitocondrial no Complexo III (sítio Qo)</t>
        </is>
      </c>
      <c r="N704" s="13" t="inlineStr">
        <is>
          <t>Categoria 4 — Produto Pouco Tóxico (Conforme Bula ANVISA)</t>
        </is>
      </c>
      <c r="O704" s="13" t="inlineStr">
        <is>
          <t>Azul PMS Blue 293 C</t>
        </is>
      </c>
      <c r="P704" s="13" t="inlineStr">
        <is>
          <t>Classe II — Produto Muito Perigoso ao Meio Ambiente</t>
        </is>
      </c>
      <c r="Q704" s="15" t="n">
        <v>24</v>
      </c>
      <c r="R704" s="13" t="inlineStr">
        <is>
          <t>Terrestre / Aérea (Drones consultar bula)</t>
        </is>
      </c>
      <c r="S704" s="13" t="inlineStr">
        <is>
          <t>Sem antídoto específico; tratamento sintomático</t>
        </is>
      </c>
      <c r="T704" s="13" t="inlineStr">
        <is>
          <t>RAINBOW DEFENSIVOS AGRÍCOLAS LTDA.</t>
        </is>
      </c>
      <c r="U704" s="16">
        <f>HYPERLINK("https://www.adapar.pr.gov.br/Pagina/Agrotoxicos-Fungicidas", "Registro Oficial Folicron / Kromstar SC (MAPA 40024)")</f>
        <v/>
      </c>
    </row>
    <row r="705" ht="22" customHeight="1">
      <c r="A705" s="5" t="n">
        <v>700</v>
      </c>
      <c r="B705" s="6" t="inlineStr">
        <is>
          <t>Nº 14623</t>
        </is>
      </c>
      <c r="C705" s="7" t="inlineStr">
        <is>
          <t>METSULFUROM 600 (PRINCIPIO ATIVO)</t>
        </is>
      </c>
      <c r="D705" s="8" t="inlineStr">
        <is>
          <t>METSULFUROM 600 (PRINCIPIO ATIVO)</t>
        </is>
      </c>
      <c r="E705" s="7" t="inlineStr">
        <is>
          <t>Produto Técnico Industrial</t>
        </is>
      </c>
      <c r="F705" s="7" t="inlineStr">
        <is>
          <t>Defensivos</t>
        </is>
      </c>
      <c r="G705" s="7" t="inlineStr">
        <is>
          <t>Herbicida (Princípio Ativo / Técnico)</t>
        </is>
      </c>
      <c r="H705" s="7" t="inlineStr">
        <is>
          <t>TC</t>
        </is>
      </c>
      <c r="I705" s="7" t="inlineStr">
        <is>
          <t>Produto Técnico Industrial (TC)</t>
        </is>
      </c>
      <c r="J705" s="7" t="inlineStr">
        <is>
          <t>Herbicida de pré ou pós-emergência</t>
        </is>
      </c>
      <c r="K705" s="7" t="inlineStr">
        <is>
          <t>Sulfonilureia</t>
        </is>
      </c>
      <c r="L705" s="7" t="inlineStr">
        <is>
          <t>HRAC Grupo B (2) — Inibidores da ALS</t>
        </is>
      </c>
      <c r="M705" s="7" t="inlineStr">
        <is>
          <t>Inibição da enzima acetolactato sintase (ALS / AHAS)</t>
        </is>
      </c>
      <c r="N705" s="7" t="inlineStr">
        <is>
          <t>Categoria 4 / 5 — Pouco Tóxico (Conforme Bula ANVISA)</t>
        </is>
      </c>
      <c r="O705" s="7" t="inlineStr">
        <is>
          <t>Azul PMS Blue 293 C</t>
        </is>
      </c>
      <c r="P705" s="7" t="inlineStr">
        <is>
          <t>Classe II / III — Perigoso ao Meio Ambiente</t>
        </is>
      </c>
      <c r="Q705" s="9" t="n">
        <v>24</v>
      </c>
      <c r="R705" s="7" t="inlineStr">
        <is>
          <t>Terrestre / Aérea (Drones consultar bula)</t>
        </is>
      </c>
      <c r="S705" s="7" t="inlineStr">
        <is>
          <t>Sem antídoto específico; tratamento sintomático e descontaminação</t>
        </is>
      </c>
      <c r="T705" s="7" t="inlineStr">
        <is>
          <t>AGRICONNECTION IMPORTADORA E EXPORTADORA DE INSUMOS AGRÍCOLAS LTDA.</t>
        </is>
      </c>
      <c r="U705" s="10">
        <f>HYPERLINK("https://www.adapar.pr.gov.br/Pagina/Agrotoxicos-Herbicidas", "Registro Oficial Milha 600 WG (MAPA 14623)")</f>
        <v/>
      </c>
    </row>
    <row r="706" ht="22" customHeight="1">
      <c r="A706" s="11" t="n">
        <v>701</v>
      </c>
      <c r="B706" s="12" t="inlineStr">
        <is>
          <t>Nº 24925</t>
        </is>
      </c>
      <c r="C706" s="13" t="inlineStr">
        <is>
          <t>ATOL TRIO (METOLACHLOR+ATRAZINE+MESOTRIONE) (P. A)</t>
        </is>
      </c>
      <c r="D706" s="14" t="inlineStr">
        <is>
          <t>ATOL TRIO (METOLACHLOR+ATRAZINE+MESOTRIONE) (P. A)</t>
        </is>
      </c>
      <c r="E706" s="13" t="inlineStr">
        <is>
          <t>Produto Técnico Industrial</t>
        </is>
      </c>
      <c r="F706" s="13" t="inlineStr">
        <is>
          <t>Defensivos</t>
        </is>
      </c>
      <c r="G706" s="13" t="inlineStr">
        <is>
          <t>Herbicida (Princípio Ativo / Técnico)</t>
        </is>
      </c>
      <c r="H706" s="13" t="inlineStr">
        <is>
          <t>SE</t>
        </is>
      </c>
      <c r="I706" s="13" t="inlineStr">
        <is>
          <t>SE - Suspo-Emulsão</t>
        </is>
      </c>
      <c r="J706" s="13" t="inlineStr">
        <is>
          <t>Herbicida de pré ou pós-emergência</t>
        </is>
      </c>
      <c r="K706" s="13" t="inlineStr">
        <is>
          <t>Tricetona</t>
        </is>
      </c>
      <c r="L706" s="13" t="inlineStr">
        <is>
          <t>HRAC Grupo F2 (27) — Inibidores da HPPD</t>
        </is>
      </c>
      <c r="M706" s="13" t="inlineStr">
        <is>
          <t>Inibição da enzima 4-hidroxifenilpiruvato dioxigenase (HPPD)</t>
        </is>
      </c>
      <c r="N706" s="13" t="inlineStr">
        <is>
          <t>Categoria 4: Produto Pouco Tóxico</t>
        </is>
      </c>
      <c r="O706" s="13" t="inlineStr">
        <is>
          <t>Azul</t>
        </is>
      </c>
      <c r="P706" s="13" t="inlineStr">
        <is>
          <t>Classe II / III — Perigoso ao Meio Ambiente</t>
        </is>
      </c>
      <c r="Q706" s="15" t="n">
        <v>24</v>
      </c>
      <c r="R706" s="13" t="inlineStr">
        <is>
          <t>Terrestre / Aérea (Drones consultar bula)</t>
        </is>
      </c>
      <c r="S706" s="13" t="inlineStr">
        <is>
          <t>Sem antídoto específico; tratamento sintomático e descontaminação</t>
        </is>
      </c>
      <c r="T706" s="13" t="inlineStr">
        <is>
          <t>Globachem Protecao de Cultivos do Brasil Ltda</t>
        </is>
      </c>
      <c r="U706" s="16">
        <f>HYPERLINK("https://agrofit.agricultura.gov.br/agrofit_cons/principal_agrofit_cons", "Consulta Oficial AGROFIT/MAPA (Nº 24925)")</f>
        <v/>
      </c>
    </row>
    <row r="707" ht="22" customHeight="1">
      <c r="A707" s="5" t="n">
        <v>702</v>
      </c>
      <c r="B707" s="6" t="inlineStr">
        <is>
          <t>Nº 4810</t>
        </is>
      </c>
      <c r="C707" s="7" t="inlineStr">
        <is>
          <t>CERTEZA N 1X20L (VALIDAR FISCAL)</t>
        </is>
      </c>
      <c r="D707" s="8" t="inlineStr">
        <is>
          <t>CERTEZA N</t>
        </is>
      </c>
      <c r="E707" s="7" t="inlineStr">
        <is>
          <t>Produto Formulado Comercial</t>
        </is>
      </c>
      <c r="F707" s="7" t="inlineStr">
        <is>
          <t>Defensivos</t>
        </is>
      </c>
      <c r="G707" s="7" t="inlineStr">
        <is>
          <t>Fungicida</t>
        </is>
      </c>
      <c r="H707" s="7" t="inlineStr">
        <is>
          <t>FS</t>
        </is>
      </c>
      <c r="I707" s="7" t="inlineStr">
        <is>
          <t>Suspensão Concentrada para Tratamento de Sementes (FS)</t>
        </is>
      </c>
      <c r="J707" s="7" t="inlineStr">
        <is>
          <t>Fungicida sistêmico preventivo e curativo</t>
        </is>
      </c>
      <c r="K707" s="7" t="inlineStr">
        <is>
          <t>Benzimidazol (Precursor de MBC) + Fenilpiridinamina (2,6-dinitroanilina)</t>
        </is>
      </c>
      <c r="L707" s="7" t="inlineStr">
        <is>
          <t>FRAC Grupo 1 (B1 — MBC) + FRAC Grupo 29 (C5)</t>
        </is>
      </c>
      <c r="M707" s="7" t="inlineStr">
        <is>
          <t>Inibição da montagem da beta-tubulina durante a mitose celular fúngica; Desacoplador da fosforilação oxidativa mitocondrial</t>
        </is>
      </c>
      <c r="N707" s="7" t="inlineStr">
        <is>
          <t>Categoria 4 / 5 — Pouco Tóxico</t>
        </is>
      </c>
      <c r="O707" s="7" t="inlineStr">
        <is>
          <t>Azul Intenso</t>
        </is>
      </c>
      <c r="P707" s="7" t="inlineStr">
        <is>
          <t>Classe III — Produto Perigoso ao Meio Ambiente</t>
        </is>
      </c>
      <c r="Q707" s="9" t="n">
        <v>24</v>
      </c>
      <c r="R707" s="7" t="inlineStr">
        <is>
          <t>Terrestre / Aérea (Drones consultar bula)</t>
        </is>
      </c>
      <c r="S707" s="7" t="inlineStr">
        <is>
          <t>Sem antídoto específico; tratamento sintomático</t>
        </is>
      </c>
      <c r="T707" s="7" t="inlineStr">
        <is>
          <t>Iharabras S.A.</t>
        </is>
      </c>
      <c r="U707" s="10">
        <f>HYPERLINK("https://ihara.com.br/produtos/certeza-n/", "Bula Oficial Certeza N (Ihara/MAPA 4810)")</f>
        <v/>
      </c>
    </row>
    <row r="708" ht="22" customHeight="1">
      <c r="A708" s="11" t="n">
        <v>703</v>
      </c>
      <c r="B708" s="12" t="inlineStr">
        <is>
          <t>Nº 4810</t>
        </is>
      </c>
      <c r="C708" s="13" t="inlineStr">
        <is>
          <t>CERTEZA N 1X1000L</t>
        </is>
      </c>
      <c r="D708" s="14" t="inlineStr">
        <is>
          <t>CERTEZA N</t>
        </is>
      </c>
      <c r="E708" s="13" t="inlineStr">
        <is>
          <t>Produto Formulado Comercial</t>
        </is>
      </c>
      <c r="F708" s="13" t="inlineStr">
        <is>
          <t>Defensivos</t>
        </is>
      </c>
      <c r="G708" s="13" t="inlineStr">
        <is>
          <t>Fungicida</t>
        </is>
      </c>
      <c r="H708" s="13" t="inlineStr">
        <is>
          <t>FS</t>
        </is>
      </c>
      <c r="I708" s="13" t="inlineStr">
        <is>
          <t>Suspensão Concentrada para Tratamento de Sementes (FS)</t>
        </is>
      </c>
      <c r="J708" s="13" t="inlineStr">
        <is>
          <t>Fungicida sistêmico preventivo e curativo</t>
        </is>
      </c>
      <c r="K708" s="13" t="inlineStr">
        <is>
          <t>Benzimidazol (Precursor de MBC) + Fenilpiridinamina (2,6-dinitroanilina)</t>
        </is>
      </c>
      <c r="L708" s="13" t="inlineStr">
        <is>
          <t>FRAC Grupo 1 (B1 — MBC) + FRAC Grupo 29 (C5)</t>
        </is>
      </c>
      <c r="M708" s="13" t="inlineStr">
        <is>
          <t>Inibição da montagem da beta-tubulina durante a mitose celular fúngica; Desacoplador da fosforilação oxidativa mitocondrial</t>
        </is>
      </c>
      <c r="N708" s="13" t="inlineStr">
        <is>
          <t>Categoria 4 / 5 — Pouco Tóxico</t>
        </is>
      </c>
      <c r="O708" s="13" t="inlineStr">
        <is>
          <t>Azul Intenso</t>
        </is>
      </c>
      <c r="P708" s="13" t="inlineStr">
        <is>
          <t>Classe III — Produto Perigoso ao Meio Ambiente</t>
        </is>
      </c>
      <c r="Q708" s="15" t="n">
        <v>24</v>
      </c>
      <c r="R708" s="13" t="inlineStr">
        <is>
          <t>Terrestre / Aérea (Drones consultar bula)</t>
        </is>
      </c>
      <c r="S708" s="13" t="inlineStr">
        <is>
          <t>Sem antídoto específico; tratamento sintomático</t>
        </is>
      </c>
      <c r="T708" s="13" t="inlineStr">
        <is>
          <t>Iharabras S.A.</t>
        </is>
      </c>
      <c r="U708" s="16">
        <f>HYPERLINK("https://ihara.com.br/produtos/certeza-n/", "Bula Oficial Certeza N (Ihara/MAPA 4810)")</f>
        <v/>
      </c>
    </row>
    <row r="709" ht="22" customHeight="1">
      <c r="A709" s="5" t="n">
        <v>704</v>
      </c>
      <c r="B709" s="6" t="inlineStr">
        <is>
          <t>SIPEAGRO (UF-XXXXX)</t>
        </is>
      </c>
      <c r="C709" s="7" t="inlineStr">
        <is>
          <t>ENXOFRE BENTONITA - BG 1.097 KG - CAMPO RICO</t>
        </is>
      </c>
      <c r="D709" s="8" t="inlineStr">
        <is>
          <t>ENXOFRE BENTONITA - BG 1.097 KG - CAMPO RICO</t>
        </is>
      </c>
      <c r="E709" s="7" t="inlineStr">
        <is>
          <t>Corretivo / Condicionador de Solo</t>
        </is>
      </c>
      <c r="F709" s="7" t="inlineStr">
        <is>
          <t>Corretivos e Condicionadores de Solo</t>
        </is>
      </c>
      <c r="G709" s="7" t="inlineStr">
        <is>
          <t>Condicionador / Fonte Mineral de Enxofre (Enxofre + Bentonita)</t>
        </is>
      </c>
      <c r="H709" s="7" t="inlineStr">
        <is>
          <t>Pó</t>
        </is>
      </c>
      <c r="I709" s="7" t="inlineStr">
        <is>
          <t>Formulação Padrão (Pó / Granulado / Pastilhado)</t>
        </is>
      </c>
      <c r="J709" s="7" t="inlineStr">
        <is>
          <t>Incorporação ou aplicação em área total no solo</t>
        </is>
      </c>
      <c r="K709" s="7" t="inlineStr">
        <is>
          <t>Corretivo de Acidez / Condicionador de Solo (SIPEAGRO)</t>
        </is>
      </c>
      <c r="L709" s="7" t="inlineStr">
        <is>
          <t>Correção Química de Solo</t>
        </is>
      </c>
      <c r="M709" s="7" t="inlineStr">
        <is>
          <t>Neutralização de Al3+ tóxico e fornecimento de Ca2+, Mg2+, S ou B</t>
        </is>
      </c>
      <c r="N709" s="7" t="inlineStr">
        <is>
          <t>Isento ANVISA (Corretivo Agrícola SIPEAGRO)</t>
        </is>
      </c>
      <c r="O709" s="7" t="inlineStr">
        <is>
          <t>Não Aplicável</t>
        </is>
      </c>
      <c r="P709" s="7" t="inlineStr">
        <is>
          <t>Produto Mineral Natural</t>
        </is>
      </c>
      <c r="Q709" s="9" t="n">
        <v>24</v>
      </c>
      <c r="R709" s="7" t="inlineStr">
        <is>
          <t>Terrestre / Aérea (Drones consultar bula)</t>
        </is>
      </c>
      <c r="S709" s="7" t="inlineStr">
        <is>
          <t>Tratamento sintomático</t>
        </is>
      </c>
      <c r="T709" s="7" t="inlineStr">
        <is>
          <t>Estabelecimento Produtor SIPEAGRO/MAPA</t>
        </is>
      </c>
      <c r="U709" s="10">
        <f>HYPERLINK("https://www.gov.br/agricultura/pt-br/assuntos/insumos-agropecuarios/insumos-agricolas/fertilizantes", "Portal SIPEAGRO / MAPA — Fertilizantes e Bioinsumos")</f>
        <v/>
      </c>
    </row>
    <row r="710" ht="22" customHeight="1">
      <c r="A710" s="11" t="n">
        <v>705</v>
      </c>
      <c r="B710" s="12" t="inlineStr">
        <is>
          <t>Nº 27025</t>
        </is>
      </c>
      <c r="C710" s="13" t="inlineStr">
        <is>
          <t>FLUMIOXAZINA 100 + IMAZETAPIR 200 (PRINC. ATIVO)</t>
        </is>
      </c>
      <c r="D710" s="14" t="inlineStr">
        <is>
          <t>FLUMIOXAZINA 100 + IMAZETAPIR 200 (PRINC. ATIVO)</t>
        </is>
      </c>
      <c r="E710" s="13" t="inlineStr">
        <is>
          <t>Produto Técnico Industrial</t>
        </is>
      </c>
      <c r="F710" s="13" t="inlineStr">
        <is>
          <t>Defensivos</t>
        </is>
      </c>
      <c r="G710" s="13" t="inlineStr">
        <is>
          <t>Herbicida (Princípio Ativo / Técnico)</t>
        </is>
      </c>
      <c r="H710" s="13" t="inlineStr">
        <is>
          <t>TC</t>
        </is>
      </c>
      <c r="I710" s="13" t="inlineStr">
        <is>
          <t>Produto Técnico Industrial (TC)</t>
        </is>
      </c>
      <c r="J710" s="13" t="inlineStr">
        <is>
          <t>Herbicida seletivo de contato e residual (pré e pós-emergência inicial)</t>
        </is>
      </c>
      <c r="K710" s="13" t="inlineStr">
        <is>
          <t>Imidazolinona</t>
        </is>
      </c>
      <c r="L710" s="13" t="inlineStr">
        <is>
          <t>HRAC Grupo B (2) — Inibidores da ALS</t>
        </is>
      </c>
      <c r="M710" s="13" t="inlineStr">
        <is>
          <t>Inibição da enzima acetolactato sintase (ALS / AHAS)</t>
        </is>
      </c>
      <c r="N710" s="13" t="inlineStr">
        <is>
          <t>Categoria 4 / 5 — Pouco Tóxico</t>
        </is>
      </c>
      <c r="O710" s="13" t="inlineStr">
        <is>
          <t>Azul Intenso</t>
        </is>
      </c>
      <c r="P710" s="13" t="inlineStr">
        <is>
          <t>Classe II — Produto Muito Perigoso ao Meio Ambiente</t>
        </is>
      </c>
      <c r="Q710" s="15" t="n">
        <v>24</v>
      </c>
      <c r="R710" s="13" t="inlineStr">
        <is>
          <t>Terrestre / Aérea (Drones consultar bula)</t>
        </is>
      </c>
      <c r="S710" s="13" t="inlineStr">
        <is>
          <t>Sem antídoto específico; tratamento sintomático</t>
        </is>
      </c>
      <c r="T710" s="13" t="inlineStr">
        <is>
          <t>RAINBOW DEFENSIVOS AGRÍCOLAS LTDA.</t>
        </is>
      </c>
      <c r="U710" s="16">
        <f>HYPERLINK("https://www.adapar.pr.gov.br/Pagina/Agrotoxicos-Herbicidas", "Registro Oficial Pyrox SC (MAPA 27025)")</f>
        <v/>
      </c>
    </row>
    <row r="711" ht="22" customHeight="1">
      <c r="A711" s="5" t="n">
        <v>706</v>
      </c>
      <c r="B711" s="6" t="inlineStr">
        <is>
          <t>VINCULAR MARCA</t>
        </is>
      </c>
      <c r="C711" s="7" t="inlineStr">
        <is>
          <t>PIRIPROXIFEM 100 + LUFENUROM 30 (PRINC. ATIVO)</t>
        </is>
      </c>
      <c r="D711" s="8" t="inlineStr">
        <is>
          <t>PIRIPROXIFEM 100 + LUFENUROM 30 (PRINC. ATIVO)</t>
        </is>
      </c>
      <c r="E711" s="7" t="inlineStr">
        <is>
          <t>Produto Técnico Industrial</t>
        </is>
      </c>
      <c r="F711" s="7" t="inlineStr">
        <is>
          <t>Defensivos</t>
        </is>
      </c>
      <c r="G711" s="7" t="inlineStr">
        <is>
          <t>Inseticida (Princípio Ativo / Técnico)</t>
        </is>
      </c>
      <c r="H711" s="7" t="inlineStr">
        <is>
          <t>TC</t>
        </is>
      </c>
      <c r="I711" s="7" t="inlineStr">
        <is>
          <t>Produto Técnico Industrial (TC)</t>
        </is>
      </c>
      <c r="J711" s="7" t="inlineStr">
        <is>
          <t>Inseticida fisiológico regulador de crescimento (ingestão)</t>
        </is>
      </c>
      <c r="K711" s="7" t="inlineStr">
        <is>
          <t>Benzoilureia</t>
        </is>
      </c>
      <c r="L711" s="7" t="inlineStr">
        <is>
          <t>IRAC Grupo 15</t>
        </is>
      </c>
      <c r="M711" s="7" t="inlineStr">
        <is>
          <t>Inibidores da biossíntese de quitina (Tipo 0 - Lepidoptera)</t>
        </is>
      </c>
      <c r="N711" s="7" t="inlineStr">
        <is>
          <t>Categoria 4 — Produto Pouco Tóxico</t>
        </is>
      </c>
      <c r="O711" s="7" t="inlineStr">
        <is>
          <t>Azul PMS Blue 293 C</t>
        </is>
      </c>
      <c r="P711" s="7" t="inlineStr">
        <is>
          <t>Classe II — Produto Muito Perigoso ao Meio Ambiente</t>
        </is>
      </c>
      <c r="Q711" s="9" t="n">
        <v>24</v>
      </c>
      <c r="R711" s="7" t="inlineStr">
        <is>
          <t>Terrestre / Aérea (Drones consultar bula)</t>
        </is>
      </c>
      <c r="S711" s="7" t="inlineStr">
        <is>
          <t>Sem antídoto específico; tratamento sintomático</t>
        </is>
      </c>
      <c r="T711" s="7" t="inlineStr">
        <is>
          <t>SUMITOMO CHEMICAL DO BRASIL REPRESENTAÇÕES LTDA. / IHARABRAS S.A.</t>
        </is>
      </c>
      <c r="U711" s="10">
        <f>HYPERLINK("https://agrofit.agricultura.gov.br/agrofit_cons/principal_agrofit_cons", "Consulta Oficial AGROFIT/MAPA (VINCULAR MARCA)")</f>
        <v/>
      </c>
    </row>
    <row r="712" ht="22" customHeight="1">
      <c r="A712" s="11" t="n">
        <v>707</v>
      </c>
      <c r="B712" s="12" t="inlineStr">
        <is>
          <t>Nº 32518</t>
        </is>
      </c>
      <c r="C712" s="13" t="inlineStr">
        <is>
          <t>ACETAMIPRIDO 186 + PIRIPROXIFEM 124 (PRINC. ATIVO)</t>
        </is>
      </c>
      <c r="D712" s="14" t="inlineStr">
        <is>
          <t>ACETAMIPRIDO 186 + PIRIPROXIFEM 124 (PRINC. ATIVO)</t>
        </is>
      </c>
      <c r="E712" s="13" t="inlineStr">
        <is>
          <t>Produto Técnico Industrial</t>
        </is>
      </c>
      <c r="F712" s="13" t="inlineStr">
        <is>
          <t>Defensivos</t>
        </is>
      </c>
      <c r="G712" s="13" t="inlineStr">
        <is>
          <t>Inseticida (Princípio Ativo / Técnico)</t>
        </is>
      </c>
      <c r="H712" s="13" t="inlineStr">
        <is>
          <t>TC</t>
        </is>
      </c>
      <c r="I712" s="13" t="inlineStr">
        <is>
          <t>Produto Técnico Industrial (TC)</t>
        </is>
      </c>
      <c r="J712" s="13" t="inlineStr">
        <is>
          <t>Inseticida fisiológico regulador de crescimento (contato e translaminar)</t>
        </is>
      </c>
      <c r="K712" s="13" t="inlineStr">
        <is>
          <t>Éter piridiloxipropílico</t>
        </is>
      </c>
      <c r="L712" s="13" t="inlineStr">
        <is>
          <t>IRAC Grupo 7C</t>
        </is>
      </c>
      <c r="M712" s="13" t="inlineStr">
        <is>
          <t>Mimetizadores do hormônio juvenil (Juvenoides)</t>
        </is>
      </c>
      <c r="N712" s="13" t="inlineStr">
        <is>
          <t>Categoria 5 — Produto Improvável de Causar Dano Agudo</t>
        </is>
      </c>
      <c r="O712" s="13" t="inlineStr">
        <is>
          <t>Azul Intenso</t>
        </is>
      </c>
      <c r="P712" s="13" t="inlineStr">
        <is>
          <t>Classe II — Produto Muito Perigoso ao Meio Ambiente</t>
        </is>
      </c>
      <c r="Q712" s="15" t="n">
        <v>24</v>
      </c>
      <c r="R712" s="13" t="inlineStr">
        <is>
          <t>Terrestre / Aérea (Drones consultar bula)</t>
        </is>
      </c>
      <c r="S712" s="13" t="inlineStr">
        <is>
          <t>Sem antídoto específico; tratamento sintomático</t>
        </is>
      </c>
      <c r="T712" s="13" t="inlineStr">
        <is>
          <t>Adama Brasil S.A.</t>
        </is>
      </c>
      <c r="U712" s="16">
        <f>HYPERLINK("https://agrofit.agricultura.gov.br/agrofit_cons/principal_agrofit_cons", "Consulta Oficial AGROFIT/MAPA (Nº 32518)")</f>
        <v/>
      </c>
    </row>
    <row r="713" ht="22" customHeight="1">
      <c r="A713" s="5" t="n">
        <v>708</v>
      </c>
      <c r="B713" s="6" t="inlineStr">
        <is>
          <t>VINCULAR MARCA</t>
        </is>
      </c>
      <c r="C713" s="7" t="inlineStr">
        <is>
          <t>FLUMIOXAZINA 500 + DICLOSULAM 340 (PRINC. ATIVO)</t>
        </is>
      </c>
      <c r="D713" s="8" t="inlineStr">
        <is>
          <t>FLUMIOXAZINA 500 + DICLOSULAM 340 (PRINC. ATIVO)</t>
        </is>
      </c>
      <c r="E713" s="7" t="inlineStr">
        <is>
          <t>Produto Técnico Industrial</t>
        </is>
      </c>
      <c r="F713" s="7" t="inlineStr">
        <is>
          <t>Defensivos</t>
        </is>
      </c>
      <c r="G713" s="7" t="inlineStr">
        <is>
          <t>Herbicida (Princípio Ativo / Técnico)</t>
        </is>
      </c>
      <c r="H713" s="7" t="inlineStr">
        <is>
          <t>TC</t>
        </is>
      </c>
      <c r="I713" s="7" t="inlineStr">
        <is>
          <t>Produto Técnico Industrial (TC)</t>
        </is>
      </c>
      <c r="J713" s="7" t="inlineStr">
        <is>
          <t>Herbicida seletivo de contato e residual (pré e pós-emergência inicial)</t>
        </is>
      </c>
      <c r="K713" s="7" t="inlineStr">
        <is>
          <t>Triazolopirimidina Sulfonanilida</t>
        </is>
      </c>
      <c r="L713" s="7" t="inlineStr">
        <is>
          <t>HRAC Grupo B (2) — Inibidores da ALS</t>
        </is>
      </c>
      <c r="M713" s="7" t="inlineStr">
        <is>
          <t>Inibição da enzima acetolactato sintase (ALS / AHAS)</t>
        </is>
      </c>
      <c r="N713" s="7" t="inlineStr">
        <is>
          <t>Categoria 4 / 5 — Pouco Tóxico</t>
        </is>
      </c>
      <c r="O713" s="7" t="inlineStr">
        <is>
          <t>Azul Intenso</t>
        </is>
      </c>
      <c r="P713" s="7" t="inlineStr">
        <is>
          <t>Classe II — Produto Muito Perigoso ao Meio Ambiente</t>
        </is>
      </c>
      <c r="Q713" s="9" t="n">
        <v>24</v>
      </c>
      <c r="R713" s="7" t="inlineStr">
        <is>
          <t>Terrestre / Aérea (Drones consultar bula)</t>
        </is>
      </c>
      <c r="S713" s="7" t="inlineStr">
        <is>
          <t>Sem antídoto específico; tratamento sintomático</t>
        </is>
      </c>
      <c r="T713" s="7" t="inlineStr">
        <is>
          <t>SUMITOMO CHEMICAL DO BRASIL REPRESENTAÇÕES LTDA. / RAINBOW DEFENSIVOS</t>
        </is>
      </c>
      <c r="U713" s="10">
        <f>HYPERLINK("https://agrofit.agricultura.gov.br/agrofit_cons/principal_agrofit_cons", "Consulta Oficial AGROFIT/MAPA (VINCULAR MARCA)")</f>
        <v/>
      </c>
    </row>
    <row r="714" ht="22" customHeight="1">
      <c r="A714" s="11" t="n">
        <v>709</v>
      </c>
      <c r="B714" s="12" t="inlineStr">
        <is>
          <t>VINCULAR MARCA</t>
        </is>
      </c>
      <c r="C714" s="13" t="inlineStr">
        <is>
          <t>INDOXAC. 100 + BIFENT. 90 + ACETAM. 137,5 (PR.AT.)</t>
        </is>
      </c>
      <c r="D714" s="14" t="inlineStr">
        <is>
          <t>INDOXAC. 100 + BIFENT. 90 + ACETAM. 137,5 (PR.AT.)</t>
        </is>
      </c>
      <c r="E714" s="13" t="inlineStr">
        <is>
          <t>Produto Técnico Industrial</t>
        </is>
      </c>
      <c r="F714" s="13" t="inlineStr">
        <is>
          <t>Defensivos</t>
        </is>
      </c>
      <c r="G714" s="13" t="inlineStr">
        <is>
          <t>Inseticida (Princípio Ativo / Técnico)</t>
        </is>
      </c>
      <c r="H714" s="13" t="inlineStr">
        <is>
          <t>TC</t>
        </is>
      </c>
      <c r="I714" s="13" t="inlineStr">
        <is>
          <t>Produto Técnico Industrial (TC)</t>
        </is>
      </c>
      <c r="J714" s="13" t="inlineStr">
        <is>
          <t>Inseticida e acaricida de contato e ingestão</t>
        </is>
      </c>
      <c r="K714" s="13" t="inlineStr">
        <is>
          <t>Oxadiazina</t>
        </is>
      </c>
      <c r="L714" s="13" t="inlineStr">
        <is>
          <t>IRAC Grupo 22A</t>
        </is>
      </c>
      <c r="M714" s="13" t="inlineStr">
        <is>
          <t>Bloqueadores de canais de sódio dependentes de voltagem</t>
        </is>
      </c>
      <c r="N714" s="13" t="inlineStr">
        <is>
          <t>Categoria 3 — Produto Moderadamente Tóxico</t>
        </is>
      </c>
      <c r="O714" s="13" t="inlineStr">
        <is>
          <t>Amarelo PMS Yellow C</t>
        </is>
      </c>
      <c r="P714" s="13" t="inlineStr">
        <is>
          <t>Classe II — Produto Muito Perigoso ao Meio Ambiente</t>
        </is>
      </c>
      <c r="Q714" s="15" t="n">
        <v>24</v>
      </c>
      <c r="R714" s="13" t="inlineStr">
        <is>
          <t>Terrestre / Aérea (Drones consultar bula)</t>
        </is>
      </c>
      <c r="S714" s="13" t="inlineStr">
        <is>
          <t>Sem antídoto específico; anti-histamínicos e vitamina E tópica para parestesia</t>
        </is>
      </c>
      <c r="T714" s="13" t="inlineStr">
        <is>
          <t>FMC QUÍMICA DO BRASIL LTDA. (Registro Técnico Vinculado AGROFIT/MAPA)</t>
        </is>
      </c>
      <c r="U714" s="16">
        <f>HYPERLINK("https://agrofit.agricultura.gov.br/agrofit_cons/principal_agrofit_cons", "Consulta Oficial AGROFIT/MAPA (VINCULAR MARCA)")</f>
        <v/>
      </c>
    </row>
    <row r="715" ht="22" customHeight="1">
      <c r="A715" s="5" t="n">
        <v>710</v>
      </c>
      <c r="B715" s="6" t="inlineStr">
        <is>
          <t>VINCULAR MARCA</t>
        </is>
      </c>
      <c r="C715" s="7" t="inlineStr">
        <is>
          <t>BIFENTRINA 360 + CLORANTRANILIPRO. 200 (PR. ATIVO)</t>
        </is>
      </c>
      <c r="D715" s="8" t="inlineStr">
        <is>
          <t>BIFENTRINA 360 + CLORANTRANILIPRO. 200 (PR. ATIVO)</t>
        </is>
      </c>
      <c r="E715" s="7" t="inlineStr">
        <is>
          <t>Produto Formulado Comercial</t>
        </is>
      </c>
      <c r="F715" s="7" t="inlineStr">
        <is>
          <t>Defensivos</t>
        </is>
      </c>
      <c r="G715" s="7" t="inlineStr">
        <is>
          <t>Inseticida</t>
        </is>
      </c>
      <c r="H715" s="7" t="inlineStr">
        <is>
          <t>EC</t>
        </is>
      </c>
      <c r="I715" s="7" t="inlineStr">
        <is>
          <t>Concentrado Emulsionável (EC)</t>
        </is>
      </c>
      <c r="J715" s="7" t="inlineStr">
        <is>
          <t>Inseticida e acaricida de contato e ingestão</t>
        </is>
      </c>
      <c r="K715" s="7" t="inlineStr">
        <is>
          <t>Diamida Antranílica</t>
        </is>
      </c>
      <c r="L715" s="7" t="inlineStr">
        <is>
          <t>IRAC Grupo 28</t>
        </is>
      </c>
      <c r="M715" s="7" t="inlineStr">
        <is>
          <t>Moduladores dos receptores de rianodina (RyR) no músculo</t>
        </is>
      </c>
      <c r="N715" s="7" t="inlineStr">
        <is>
          <t>Categoria 3 — Produto Moderadamente Tóxico</t>
        </is>
      </c>
      <c r="O715" s="7" t="inlineStr">
        <is>
          <t>Amarelo PMS Yellow C</t>
        </is>
      </c>
      <c r="P715" s="7" t="inlineStr">
        <is>
          <t>Classe II — Produto Muito Perigoso ao Meio Ambiente</t>
        </is>
      </c>
      <c r="Q715" s="9" t="n">
        <v>24</v>
      </c>
      <c r="R715" s="7" t="inlineStr">
        <is>
          <t>Terrestre / Aérea (Drones consultar bula)</t>
        </is>
      </c>
      <c r="S715" s="7" t="inlineStr">
        <is>
          <t>Sem antídoto específico; anti-histamínicos e vitamina E tópica para parestesia</t>
        </is>
      </c>
      <c r="T715" s="7" t="inlineStr">
        <is>
          <t>FMC QUÍMICA DO BRASIL LTDA. (Registro Técnico Vinculado AGROFIT/MAPA)</t>
        </is>
      </c>
      <c r="U715" s="10">
        <f>HYPERLINK("https://agrofit.agricultura.gov.br/agrofit_cons/principal_agrofit_cons", "Consulta Oficial AGROFIT/MAPA (VINCULAR MARCA)")</f>
        <v/>
      </c>
    </row>
    <row r="716" ht="22" customHeight="1">
      <c r="A716" s="11" t="n">
        <v>711</v>
      </c>
      <c r="B716" s="12" t="inlineStr">
        <is>
          <t>VINCULAR MARCA</t>
        </is>
      </c>
      <c r="C716" s="13" t="inlineStr">
        <is>
          <t>GLUFOSINATO 490 + FLUMIOXAZINA 49 (PRINC. ATIVO)</t>
        </is>
      </c>
      <c r="D716" s="14" t="inlineStr">
        <is>
          <t>GLUFOSINATO 490 + FLUMIOXAZINA 49 (PRINC. ATIVO)</t>
        </is>
      </c>
      <c r="E716" s="13" t="inlineStr">
        <is>
          <t>Produto Técnico Industrial</t>
        </is>
      </c>
      <c r="F716" s="13" t="inlineStr">
        <is>
          <t>Defensivos</t>
        </is>
      </c>
      <c r="G716" s="13" t="inlineStr">
        <is>
          <t>Herbicida (Princípio Ativo / Técnico)</t>
        </is>
      </c>
      <c r="H716" s="13" t="inlineStr">
        <is>
          <t>TC</t>
        </is>
      </c>
      <c r="I716" s="13" t="inlineStr">
        <is>
          <t>Produto Técnico Industrial (TC)</t>
        </is>
      </c>
      <c r="J716" s="13" t="inlineStr">
        <is>
          <t>Herbicida de contato não seletivo em pós-emergência (seletivo p/ OGM LibertyLink)</t>
        </is>
      </c>
      <c r="K716" s="13" t="inlineStr">
        <is>
          <t>Homoalanina substituída (Ácido fosfínico)</t>
        </is>
      </c>
      <c r="L716" s="13" t="inlineStr">
        <is>
          <t>HRAC Grupo H (10) — Inibidores da Glutamina Sintetase</t>
        </is>
      </c>
      <c r="M716" s="13" t="inlineStr">
        <is>
          <t>Inibição da enzima glutamina sintetase (acúmulo de amônia intracelular)</t>
        </is>
      </c>
      <c r="N716" s="13" t="inlineStr">
        <is>
          <t>Categoria 4 — Produto Pouco Tóxico</t>
        </is>
      </c>
      <c r="O716" s="13" t="inlineStr">
        <is>
          <t>Azul PMS Blue 293 C</t>
        </is>
      </c>
      <c r="P716" s="13" t="inlineStr">
        <is>
          <t>Classe III — Produto Perigoso ao Meio Ambiente</t>
        </is>
      </c>
      <c r="Q716" s="15" t="n">
        <v>24</v>
      </c>
      <c r="R716" s="13" t="inlineStr">
        <is>
          <t>Terrestre / Aérea (Drones consultar bula)</t>
        </is>
      </c>
      <c r="S716" s="13" t="inlineStr">
        <is>
          <t>Sem antídoto específico; monitorar SNC por 48h e suporte ventilatório</t>
        </is>
      </c>
      <c r="T716" s="13" t="inlineStr">
        <is>
          <t>SUMITOMO CHEMICAL DO BRASIL REPRESENTAÇÕES LTDA. / UPL DO BRASIL S.A.</t>
        </is>
      </c>
      <c r="U716" s="16">
        <f>HYPERLINK("https://agrofit.agricultura.gov.br/agrofit_cons/principal_agrofit_cons", "Consulta Oficial AGROFIT/MAPA (VINCULAR MARCA)")</f>
        <v/>
      </c>
    </row>
    <row r="717" ht="22" customHeight="1">
      <c r="A717" s="5" t="n">
        <v>712</v>
      </c>
      <c r="B717" s="6" t="inlineStr">
        <is>
          <t>Nº 24925</t>
        </is>
      </c>
      <c r="C717" s="7" t="inlineStr">
        <is>
          <t>S-METOLACL. 290 + ATRAZ. 200 + MESOT. 40 (PR. AT.)</t>
        </is>
      </c>
      <c r="D717" s="8" t="inlineStr">
        <is>
          <t>S-METOLACL. 290 + ATRAZ. 200 + MESOT. 40 (PR. AT.)</t>
        </is>
      </c>
      <c r="E717" s="7" t="inlineStr">
        <is>
          <t>Produto Técnico Industrial</t>
        </is>
      </c>
      <c r="F717" s="7" t="inlineStr">
        <is>
          <t>Defensivos</t>
        </is>
      </c>
      <c r="G717" s="7" t="inlineStr">
        <is>
          <t>Herbicida (Princípio Ativo / Técnico)</t>
        </is>
      </c>
      <c r="H717" s="7" t="inlineStr">
        <is>
          <t>SE</t>
        </is>
      </c>
      <c r="I717" s="7" t="inlineStr">
        <is>
          <t>SE - Suspo-Emulsão</t>
        </is>
      </c>
      <c r="J717" s="7" t="inlineStr">
        <is>
          <t>Herbicida sistêmico seletivo de pós-emergência</t>
        </is>
      </c>
      <c r="K717" s="7" t="inlineStr">
        <is>
          <t>Tricetona</t>
        </is>
      </c>
      <c r="L717" s="7" t="inlineStr">
        <is>
          <t>HRAC Grupo F2 (27) — Inibidores da HPPD</t>
        </is>
      </c>
      <c r="M717" s="7" t="inlineStr">
        <is>
          <t>Inibidores da enzima 4-hidroxifenil-piruvato-dioxigenase (HPPD - biossíntese de carotenoides)</t>
        </is>
      </c>
      <c r="N717" s="7" t="inlineStr">
        <is>
          <t>Categoria 4: Produto Pouco Tóxico</t>
        </is>
      </c>
      <c r="O717" s="7" t="inlineStr">
        <is>
          <t>Azul</t>
        </is>
      </c>
      <c r="P717" s="7" t="inlineStr">
        <is>
          <t>Classe II — Produto Muito Perigoso ao Meio Ambiente</t>
        </is>
      </c>
      <c r="Q717" s="9" t="n">
        <v>24</v>
      </c>
      <c r="R717" s="7" t="inlineStr">
        <is>
          <t>Terrestre / Aérea (Drones consultar bula)</t>
        </is>
      </c>
      <c r="S717" s="7" t="inlineStr">
        <is>
          <t>Sem antídoto específico; tratamento sintomático</t>
        </is>
      </c>
      <c r="T717" s="7" t="inlineStr">
        <is>
          <t>Globachem Protecao de Cultivos do Brasil Ltda</t>
        </is>
      </c>
      <c r="U717" s="10">
        <f>HYPERLINK("https://agrofit.agricultura.gov.br/agrofit_cons/principal_agrofit_cons", "Consulta Oficial AGROFIT/MAPA (Nº 24925)")</f>
        <v/>
      </c>
    </row>
    <row r="718" ht="22" customHeight="1">
      <c r="A718" s="11" t="n">
        <v>713</v>
      </c>
      <c r="B718" s="12" t="inlineStr">
        <is>
          <t>VINCULAR MARCA</t>
        </is>
      </c>
      <c r="C718" s="13" t="inlineStr">
        <is>
          <t>CLOROTALONIL 580 + DIFENOCONAZOL 30 (PRINC. ATIVO)</t>
        </is>
      </c>
      <c r="D718" s="14" t="inlineStr">
        <is>
          <t>CLOROTALONIL 580 + DIFENOCONAZOL 30 (PRINC. ATIVO)</t>
        </is>
      </c>
      <c r="E718" s="13" t="inlineStr">
        <is>
          <t>Produto Técnico Industrial</t>
        </is>
      </c>
      <c r="F718" s="13" t="inlineStr">
        <is>
          <t>Defensivos</t>
        </is>
      </c>
      <c r="G718" s="13" t="inlineStr">
        <is>
          <t>Fungicida (Princípio Ativo / Técnico)</t>
        </is>
      </c>
      <c r="H718" s="13" t="inlineStr">
        <is>
          <t>TC</t>
        </is>
      </c>
      <c r="I718" s="13" t="inlineStr">
        <is>
          <t>Produto Técnico Industrial (TC)</t>
        </is>
      </c>
      <c r="J718" s="13" t="inlineStr">
        <is>
          <t>Fungicida sistêmico preventivo, curativo e erradicante</t>
        </is>
      </c>
      <c r="K718" s="13" t="inlineStr">
        <is>
          <t>Triazol</t>
        </is>
      </c>
      <c r="L718" s="13" t="inlineStr">
        <is>
          <t>FRAC Grupo 3 (DMI)</t>
        </is>
      </c>
      <c r="M718" s="13" t="inlineStr">
        <is>
          <t>Inibidores da desmetilação de esteróis (C14-desmetilase na síntese de ergosterol)</t>
        </is>
      </c>
      <c r="N718" s="13" t="inlineStr">
        <is>
          <t>Categoria 3 / 4 — Moderadamente a Pouco Tóxico</t>
        </is>
      </c>
      <c r="O718" s="13" t="inlineStr">
        <is>
          <t>Amarelo / Azul</t>
        </is>
      </c>
      <c r="P718" s="13" t="inlineStr">
        <is>
          <t>Classe II — Produto Muito Perigoso ao Meio Ambiente</t>
        </is>
      </c>
      <c r="Q718" s="15" t="n">
        <v>24</v>
      </c>
      <c r="R718" s="13" t="inlineStr">
        <is>
          <t>Terrestre / Aérea (Drones consultar bula)</t>
        </is>
      </c>
      <c r="S718" s="13" t="inlineStr">
        <is>
          <t>Sem antídoto específico; tratamento sintomático</t>
        </is>
      </c>
      <c r="T718" s="13" t="inlineStr">
        <is>
          <t>GLOBACHEM PROTEÇÃO DE CULTIVOS DO BRASIL LTDA.</t>
        </is>
      </c>
      <c r="U718" s="16">
        <f>HYPERLINK("https://agrofit.agricultura.gov.br/agrofit_cons/principal_agrofit_cons", "Consulta Oficial AGROFIT/MAPA (VINCULAR MARCA)")</f>
        <v/>
      </c>
    </row>
    <row r="719" ht="22" customHeight="1">
      <c r="A719" s="5" t="n">
        <v>714</v>
      </c>
      <c r="B719" s="6" t="inlineStr">
        <is>
          <t>Nº 4810</t>
        </is>
      </c>
      <c r="C719" s="7" t="inlineStr">
        <is>
          <t>TIOFANATO-METILICO + FLUAZINAM</t>
        </is>
      </c>
      <c r="D719" s="8" t="inlineStr">
        <is>
          <t>TIOFANATO-METILICO + FLUAZINAM</t>
        </is>
      </c>
      <c r="E719" s="7" t="inlineStr">
        <is>
          <t>Produto Formulado Comercial</t>
        </is>
      </c>
      <c r="F719" s="7" t="inlineStr">
        <is>
          <t>Defensivos</t>
        </is>
      </c>
      <c r="G719" s="7" t="inlineStr">
        <is>
          <t>Fungicida</t>
        </is>
      </c>
      <c r="H719" s="7" t="inlineStr">
        <is>
          <t>FS</t>
        </is>
      </c>
      <c r="I719" s="7" t="inlineStr">
        <is>
          <t>Suspensão Concentrada para Tratamento de Sementes (FS)</t>
        </is>
      </c>
      <c r="J719" s="7" t="inlineStr">
        <is>
          <t>Fungicida sistêmico preventivo e curativo</t>
        </is>
      </c>
      <c r="K719" s="7" t="inlineStr">
        <is>
          <t>Benzimidazol (Precursor de MBC) + Fenilpiridinamina (2,6-dinitroanilina)</t>
        </is>
      </c>
      <c r="L719" s="7" t="inlineStr">
        <is>
          <t>FRAC Grupo 1 (B1 — MBC) + FRAC Grupo 29 (C5)</t>
        </is>
      </c>
      <c r="M719" s="7" t="inlineStr">
        <is>
          <t>Inibição da montagem da beta-tubulina durante a mitose celular fúngica; Desacoplador da fosforilação oxidativa mitocondrial</t>
        </is>
      </c>
      <c r="N719" s="7" t="inlineStr">
        <is>
          <t>Categoria 4 / 5 — Pouco Tóxico</t>
        </is>
      </c>
      <c r="O719" s="7" t="inlineStr">
        <is>
          <t>Azul Intenso</t>
        </is>
      </c>
      <c r="P719" s="7" t="inlineStr">
        <is>
          <t>Classe III — Produto Perigoso ao Meio Ambiente</t>
        </is>
      </c>
      <c r="Q719" s="9" t="n">
        <v>24</v>
      </c>
      <c r="R719" s="7" t="inlineStr">
        <is>
          <t>Terrestre / Aérea (Drones consultar bula)</t>
        </is>
      </c>
      <c r="S719" s="7" t="inlineStr">
        <is>
          <t>Sem antídoto específico; tratamento sintomático</t>
        </is>
      </c>
      <c r="T719" s="7" t="inlineStr">
        <is>
          <t>Iharabras S.A.</t>
        </is>
      </c>
      <c r="U719" s="10">
        <f>HYPERLINK("https://ihara.com.br/produtos/certeza-n/", "Bula Oficial Certeza N (Ihara/MAPA 4810)")</f>
        <v/>
      </c>
    </row>
    <row r="720" ht="22" customHeight="1">
      <c r="A720" s="11" t="n">
        <v>715</v>
      </c>
      <c r="B720" s="12" t="inlineStr">
        <is>
          <t>VINCULAR MARCA</t>
        </is>
      </c>
      <c r="C720" s="13" t="inlineStr">
        <is>
          <t>TEBUCONAZOL 50 + CLOROTALONIL 450  (PRINC. ATIVO)</t>
        </is>
      </c>
      <c r="D720" s="14" t="inlineStr">
        <is>
          <t>TEBUCONAZOL 50 + CLOROTALONIL 450  (PRINC. ATIVO)</t>
        </is>
      </c>
      <c r="E720" s="13" t="inlineStr">
        <is>
          <t>Produto Técnico Industrial</t>
        </is>
      </c>
      <c r="F720" s="13" t="inlineStr">
        <is>
          <t>Defensivos</t>
        </is>
      </c>
      <c r="G720" s="13" t="inlineStr">
        <is>
          <t>Fungicida (Princípio Ativo / Técnico)</t>
        </is>
      </c>
      <c r="H720" s="13" t="inlineStr">
        <is>
          <t>TC</t>
        </is>
      </c>
      <c r="I720" s="13" t="inlineStr">
        <is>
          <t>Produto Técnico Industrial (TC)</t>
        </is>
      </c>
      <c r="J720" s="13" t="inlineStr">
        <is>
          <t>Fungicida protetor de contato multissítio (manejo anti-resistência)</t>
        </is>
      </c>
      <c r="K720" s="13" t="inlineStr">
        <is>
          <t>Isoftalonitrila</t>
        </is>
      </c>
      <c r="L720" s="13" t="inlineStr">
        <is>
          <t>FRAC Grupo M05 — Multissítio</t>
        </is>
      </c>
      <c r="M720" s="13" t="inlineStr">
        <is>
          <t>Atividade de contato multissítio (inativação de grupos tiol enzimáticos)</t>
        </is>
      </c>
      <c r="N720" s="13" t="inlineStr">
        <is>
          <t>Categoria 2 / 3 — Altamente a Moderadamente Tóxico</t>
        </is>
      </c>
      <c r="O720" s="13" t="inlineStr">
        <is>
          <t>Vermelho / Amarelo</t>
        </is>
      </c>
      <c r="P720" s="13" t="inlineStr">
        <is>
          <t>Classe II — Produto Muito Perigoso ao Meio Ambiente</t>
        </is>
      </c>
      <c r="Q720" s="15" t="n">
        <v>24</v>
      </c>
      <c r="R720" s="13" t="inlineStr">
        <is>
          <t>Terrestre / Aérea (Drones consultar bula)</t>
        </is>
      </c>
      <c r="S720" s="13" t="inlineStr">
        <is>
          <t>Sem antídoto específico; tratamento sintomático e descontaminação ocular/cutânea</t>
        </is>
      </c>
      <c r="T720" s="13" t="inlineStr">
        <is>
          <t>ADAMA BRASIL S/A / SIPCAM NICHINO BRASIL S.A.</t>
        </is>
      </c>
      <c r="U720" s="16">
        <f>HYPERLINK("https://agrofit.agricultura.gov.br/agrofit_cons/principal_agrofit_cons", "Consulta Oficial AGROFIT/MAPA (VINCULAR MARCA)")</f>
        <v/>
      </c>
    </row>
    <row r="721" ht="22" customHeight="1">
      <c r="A721" s="5" t="n">
        <v>716</v>
      </c>
      <c r="B721" s="6" t="inlineStr">
        <is>
          <t>SIPEAGRO (UF-XXXXX)</t>
        </is>
      </c>
      <c r="C721" s="7" t="inlineStr">
        <is>
          <t>KCL 00-00-60 (TON) EUROCHEM</t>
        </is>
      </c>
      <c r="D721" s="8" t="inlineStr">
        <is>
          <t>KCL 00-00-60 (TON) EUROCHEM</t>
        </is>
      </c>
      <c r="E721" s="7" t="inlineStr">
        <is>
          <t>Fertilizante Mineral / Organomineral</t>
        </is>
      </c>
      <c r="F721" s="7" t="inlineStr">
        <is>
          <t>Fertilizantes</t>
        </is>
      </c>
      <c r="G721" s="7" t="inlineStr">
        <is>
          <t>Fertilizante Mineral Simples (Potássico / Magnesiano)</t>
        </is>
      </c>
      <c r="H721" s="7" t="inlineStr">
        <is>
          <t>Granulado</t>
        </is>
      </c>
      <c r="I721" s="7" t="inlineStr">
        <is>
          <t>Formulação Padrão (Granulado / Solúvel / Suspensão)</t>
        </is>
      </c>
      <c r="J721" s="7" t="inlineStr">
        <is>
          <t>Aplicação via solo, fertirrigação ou adubação foliar</t>
        </is>
      </c>
      <c r="K721" s="7" t="inlineStr">
        <is>
          <t>Fertilizante Mineral / Organomineral (Lei nº 6.894/1980)</t>
        </is>
      </c>
      <c r="L721" s="7" t="inlineStr">
        <is>
          <t>Nutrição Vegetal SIPEAGRO</t>
        </is>
      </c>
      <c r="M721" s="7" t="inlineStr">
        <is>
          <t>Fornecimento de macro e micronutrientes essenciais ao metabolismo vegetal</t>
        </is>
      </c>
      <c r="N721" s="7" t="inlineStr">
        <is>
          <t>Isento ANVISA (Produto Fertilizante Registrado no SIPEAGRO/MAPA)</t>
        </is>
      </c>
      <c r="O721" s="7" t="inlineStr">
        <is>
          <t>Não Aplicável (Fertilizante)</t>
        </is>
      </c>
      <c r="P721" s="7" t="inlineStr">
        <is>
          <t>Baixo Potencial Poluidor (Uso conforme recomendação agronômica)</t>
        </is>
      </c>
      <c r="Q721" s="9" t="n">
        <v>0</v>
      </c>
      <c r="R721" s="7" t="inlineStr">
        <is>
          <t>Aplicação Dirigida / TS / Solo</t>
        </is>
      </c>
      <c r="S721" s="7" t="inlineStr">
        <is>
          <t>Tratamento sintomático em caso de ingestão acidental</t>
        </is>
      </c>
      <c r="T721" s="7" t="inlineStr">
        <is>
          <t>Estabelecimento Produtor SIPEAGRO/MAPA</t>
        </is>
      </c>
      <c r="U721" s="10">
        <f>HYPERLINK("https://www.gov.br/agricultura/pt-br/assuntos/insumos-agropecuarios/insumos-agricolas/fertilizantes", "Portal SIPEAGRO / MAPA — Fertilizantes e Bioinsumos")</f>
        <v/>
      </c>
    </row>
    <row r="722" ht="22" customHeight="1">
      <c r="A722" s="11" t="n">
        <v>717</v>
      </c>
      <c r="B722" s="12" t="inlineStr">
        <is>
          <t>Nº 27717</t>
        </is>
      </c>
      <c r="C722" s="13" t="inlineStr">
        <is>
          <t>LEALTY WG 4X5KG (IMP) ZS</t>
        </is>
      </c>
      <c r="D722" s="14" t="inlineStr">
        <is>
          <t>LEALTY WG</t>
        </is>
      </c>
      <c r="E722" s="13" t="inlineStr">
        <is>
          <t>Produto Formulado Comercial</t>
        </is>
      </c>
      <c r="F722" s="13" t="inlineStr">
        <is>
          <t>Defensivos</t>
        </is>
      </c>
      <c r="G722" s="13" t="inlineStr">
        <is>
          <t>Inseticida e Cupinicida (Fipronil)</t>
        </is>
      </c>
      <c r="H722" s="13" t="inlineStr">
        <is>
          <t>WG</t>
        </is>
      </c>
      <c r="I722" s="13" t="inlineStr">
        <is>
          <t>Grânulos Dispersíveis em Água (WG)</t>
        </is>
      </c>
      <c r="J722" s="13" t="inlineStr">
        <is>
          <t>Inseticida, cupinicida e formicida de contato e ingestão (TS / Solo)</t>
        </is>
      </c>
      <c r="K722" s="13" t="inlineStr">
        <is>
          <t>Pirazol (Fenilpirazol)</t>
        </is>
      </c>
      <c r="L722" s="13" t="inlineStr">
        <is>
          <t>IRAC Grupo 2B</t>
        </is>
      </c>
      <c r="M722" s="13" t="inlineStr">
        <is>
          <t>Bloqueadores de canais de cloro mediados pelo GABA</t>
        </is>
      </c>
      <c r="N722" s="13" t="inlineStr">
        <is>
          <t>Categoria 3 — Produto Moderadamente Tóxico</t>
        </is>
      </c>
      <c r="O722" s="13" t="inlineStr">
        <is>
          <t>Amarelo PMS Yellow C</t>
        </is>
      </c>
      <c r="P722" s="13" t="inlineStr">
        <is>
          <t>Classe II — Produto Muito Perigoso ao Meio Ambiente</t>
        </is>
      </c>
      <c r="Q722" s="15" t="n">
        <v>24</v>
      </c>
      <c r="R722" s="13" t="inlineStr">
        <is>
          <t>Terrestre / Aérea (Drones consultar bula)</t>
        </is>
      </c>
      <c r="S722" s="13" t="inlineStr">
        <is>
          <t>Sem antídoto específico; tratamento sintomático e controle neurológico</t>
        </is>
      </c>
      <c r="T722" s="13" t="inlineStr">
        <is>
          <t>AGRICONNECTION IMPORTADORA E EXPORTADORA DE INSUMOS AGRÍCOLAS LTDA.</t>
        </is>
      </c>
      <c r="U722" s="16">
        <f>HYPERLINK("https://agrofit.agricultura.gov.br/agrofit_cons/principal_agrofit_cons", "Consulta Oficial AGROFIT/MAPA (Nº 27717)")</f>
        <v/>
      </c>
    </row>
    <row r="723" ht="22" customHeight="1">
      <c r="A723" s="5" t="n">
        <v>718</v>
      </c>
      <c r="B723" s="6" t="inlineStr">
        <is>
          <t>Nº 27717</t>
        </is>
      </c>
      <c r="C723" s="7" t="inlineStr">
        <is>
          <t>LEALTY WG 10X1KG (IMP) ZS</t>
        </is>
      </c>
      <c r="D723" s="8" t="inlineStr">
        <is>
          <t>LEALTY WG</t>
        </is>
      </c>
      <c r="E723" s="7" t="inlineStr">
        <is>
          <t>Produto Formulado Comercial</t>
        </is>
      </c>
      <c r="F723" s="7" t="inlineStr">
        <is>
          <t>Defensivos</t>
        </is>
      </c>
      <c r="G723" s="7" t="inlineStr">
        <is>
          <t>Inseticida e Cupinicida (Fipronil)</t>
        </is>
      </c>
      <c r="H723" s="7" t="inlineStr">
        <is>
          <t>WG</t>
        </is>
      </c>
      <c r="I723" s="7" t="inlineStr">
        <is>
          <t>Grânulos Dispersíveis em Água (WG)</t>
        </is>
      </c>
      <c r="J723" s="7" t="inlineStr">
        <is>
          <t>Inseticida, cupinicida e formicida de contato e ingestão (TS / Solo)</t>
        </is>
      </c>
      <c r="K723" s="7" t="inlineStr">
        <is>
          <t>Pirazol (Fenilpirazol)</t>
        </is>
      </c>
      <c r="L723" s="7" t="inlineStr">
        <is>
          <t>IRAC Grupo 2B</t>
        </is>
      </c>
      <c r="M723" s="7" t="inlineStr">
        <is>
          <t>Bloqueadores de canais de cloro mediados pelo GABA</t>
        </is>
      </c>
      <c r="N723" s="7" t="inlineStr">
        <is>
          <t>Categoria 3 — Produto Moderadamente Tóxico</t>
        </is>
      </c>
      <c r="O723" s="7" t="inlineStr">
        <is>
          <t>Amarelo PMS Yellow C</t>
        </is>
      </c>
      <c r="P723" s="7" t="inlineStr">
        <is>
          <t>Classe II — Produto Muito Perigoso ao Meio Ambiente</t>
        </is>
      </c>
      <c r="Q723" s="9" t="n">
        <v>24</v>
      </c>
      <c r="R723" s="7" t="inlineStr">
        <is>
          <t>Terrestre / Aérea (Drones consultar bula)</t>
        </is>
      </c>
      <c r="S723" s="7" t="inlineStr">
        <is>
          <t>Sem antídoto específico; tratamento sintomático e controle neurológico</t>
        </is>
      </c>
      <c r="T723" s="7" t="inlineStr">
        <is>
          <t>AGRICONNECTION IMPORTADORA E EXPORTADORA DE INSUMOS AGRÍCOLAS LTDA.</t>
        </is>
      </c>
      <c r="U723" s="10">
        <f>HYPERLINK("https://agrofit.agricultura.gov.br/agrofit_cons/principal_agrofit_cons", "Consulta Oficial AGROFIT/MAPA (Nº 27717)")</f>
        <v/>
      </c>
    </row>
    <row r="724" ht="22" customHeight="1">
      <c r="A724" s="11" t="n">
        <v>719</v>
      </c>
      <c r="B724" s="12" t="inlineStr">
        <is>
          <t>SIPEAGRO (UF-XXXXX)</t>
        </is>
      </c>
      <c r="C724" s="13" t="inlineStr">
        <is>
          <t>1003057 - ES - FOSF  MAP GR 11N 52/44 P2O5- MOSAIC</t>
        </is>
      </c>
      <c r="D724" s="14" t="inlineStr">
        <is>
          <t>1003057 - ES - FOSF  MAP GR 11N 52/44 P2O5- MOSAIC</t>
        </is>
      </c>
      <c r="E724" s="13" t="inlineStr">
        <is>
          <t>Fertilizante Mineral / Organomineral</t>
        </is>
      </c>
      <c r="F724" s="13" t="inlineStr">
        <is>
          <t>Fertilizantes</t>
        </is>
      </c>
      <c r="G724" s="13" t="inlineStr">
        <is>
          <t>Fertilizante Complexo (MAP — Fosfato Monoamônico)</t>
        </is>
      </c>
      <c r="H724" s="13" t="inlineStr">
        <is>
          <t>GR</t>
        </is>
      </c>
      <c r="I724" s="13" t="inlineStr">
        <is>
          <t>Granulado (GR)</t>
        </is>
      </c>
      <c r="J724" s="13" t="inlineStr">
        <is>
          <t>Aplicação via solo, fertirrigação ou adubação foliar</t>
        </is>
      </c>
      <c r="K724" s="13" t="inlineStr">
        <is>
          <t>Fertilizante Mineral / Organomineral (Lei nº 6.894/1980)</t>
        </is>
      </c>
      <c r="L724" s="13" t="inlineStr">
        <is>
          <t>Nutrição Vegetal SIPEAGRO</t>
        </is>
      </c>
      <c r="M724" s="13" t="inlineStr">
        <is>
          <t>Fornecimento de macro e micronutrientes essenciais ao metabolismo vegetal</t>
        </is>
      </c>
      <c r="N724" s="13" t="inlineStr">
        <is>
          <t>Isento ANVISA (Produto Fertilizante Registrado no SIPEAGRO/MAPA)</t>
        </is>
      </c>
      <c r="O724" s="13" t="inlineStr">
        <is>
          <t>Não Aplicável (Fertilizante)</t>
        </is>
      </c>
      <c r="P724" s="13" t="inlineStr">
        <is>
          <t>Baixo Potencial Poluidor (Uso conforme recomendação agronômica)</t>
        </is>
      </c>
      <c r="Q724" s="15" t="n">
        <v>0</v>
      </c>
      <c r="R724" s="13" t="inlineStr">
        <is>
          <t>Aplicação Dirigida / TS / Solo</t>
        </is>
      </c>
      <c r="S724" s="13" t="inlineStr">
        <is>
          <t>Tratamento sintomático em caso de ingestão acidental</t>
        </is>
      </c>
      <c r="T724" s="13" t="inlineStr">
        <is>
          <t>Estabelecimento Produtor SIPEAGRO/MAPA</t>
        </is>
      </c>
      <c r="U724" s="16">
        <f>HYPERLINK("https://www.gov.br/agricultura/pt-br/assuntos/insumos-agropecuarios/insumos-agricolas/fertilizantes", "Portal SIPEAGRO / MAPA — Fertilizantes e Bioinsumos")</f>
        <v/>
      </c>
    </row>
    <row r="725" ht="22" customHeight="1">
      <c r="A725" s="5" t="n">
        <v>720</v>
      </c>
      <c r="B725" s="6" t="inlineStr">
        <is>
          <t>SIPEAGRO (UF-XXXXX)</t>
        </is>
      </c>
      <c r="C725" s="7" t="inlineStr">
        <is>
          <t>1014099 - ES - MICROESSENTIALS S9 10 46 00-MOSAIC</t>
        </is>
      </c>
      <c r="D725" s="8" t="inlineStr">
        <is>
          <t>1014099 - ES - MICROESSENTIALS S9 10 46 00-MOSAIC</t>
        </is>
      </c>
      <c r="E725" s="7" t="inlineStr">
        <is>
          <t>Fertilizante Mineral / Organomineral</t>
        </is>
      </c>
      <c r="F725" s="7" t="inlineStr">
        <is>
          <t>Fertilizantes</t>
        </is>
      </c>
      <c r="G725" s="7" t="inlineStr">
        <is>
          <t>Fertilizante Mineral Misto (NPK / NP)</t>
        </is>
      </c>
      <c r="H725" s="7" t="inlineStr">
        <is>
          <t>Granulado</t>
        </is>
      </c>
      <c r="I725" s="7" t="inlineStr">
        <is>
          <t>Formulação Padrão (Granulado / Solúvel / Suspensão)</t>
        </is>
      </c>
      <c r="J725" s="7" t="inlineStr">
        <is>
          <t>Aplicação via solo, fertirrigação ou adubação foliar</t>
        </is>
      </c>
      <c r="K725" s="7" t="inlineStr">
        <is>
          <t>Fertilizante Mineral / Organomineral (Lei nº 6.894/1980)</t>
        </is>
      </c>
      <c r="L725" s="7" t="inlineStr">
        <is>
          <t>Nutrição Vegetal SIPEAGRO</t>
        </is>
      </c>
      <c r="M725" s="7" t="inlineStr">
        <is>
          <t>Fornecimento de macro e micronutrientes essenciais ao metabolismo vegetal</t>
        </is>
      </c>
      <c r="N725" s="7" t="inlineStr">
        <is>
          <t>Isento ANVISA (Produto Fertilizante Registrado no SIPEAGRO/MAPA)</t>
        </is>
      </c>
      <c r="O725" s="7" t="inlineStr">
        <is>
          <t>Não Aplicável (Fertilizante)</t>
        </is>
      </c>
      <c r="P725" s="7" t="inlineStr">
        <is>
          <t>Baixo Potencial Poluidor (Uso conforme recomendação agronômica)</t>
        </is>
      </c>
      <c r="Q725" s="9" t="n">
        <v>0</v>
      </c>
      <c r="R725" s="7" t="inlineStr">
        <is>
          <t>Aplicação Dirigida / TS / Solo</t>
        </is>
      </c>
      <c r="S725" s="7" t="inlineStr">
        <is>
          <t>Tratamento sintomático em caso de ingestão acidental</t>
        </is>
      </c>
      <c r="T725" s="7" t="inlineStr">
        <is>
          <t>Estabelecimento Produtor SIPEAGRO/MAPA</t>
        </is>
      </c>
      <c r="U725" s="10">
        <f>HYPERLINK("https://www.gov.br/agricultura/pt-br/assuntos/insumos-agropecuarios/insumos-agricolas/fertilizantes", "Portal SIPEAGRO / MAPA — Fertilizantes e Bioinsumos")</f>
        <v/>
      </c>
    </row>
    <row r="726" ht="22" customHeight="1">
      <c r="A726" s="11" t="n">
        <v>721</v>
      </c>
      <c r="B726" s="12" t="inlineStr">
        <is>
          <t>SIPEAGRO (UF-XXXXX)</t>
        </is>
      </c>
      <c r="C726" s="13" t="inlineStr">
        <is>
          <t>1017068 - MP - CLOR  POTASS. 60,5 K2O GRAN</t>
        </is>
      </c>
      <c r="D726" s="14" t="inlineStr">
        <is>
          <t>1017068 - MP - CLOR  POTASS. 60,5 K2O GRAN</t>
        </is>
      </c>
      <c r="E726" s="13" t="inlineStr">
        <is>
          <t>Fertilizante Mineral / Organomineral</t>
        </is>
      </c>
      <c r="F726" s="13" t="inlineStr">
        <is>
          <t>Fertilizantes</t>
        </is>
      </c>
      <c r="G726" s="13" t="inlineStr">
        <is>
          <t>Fertilizante Mineral Simples (Potássico / Magnesiano)</t>
        </is>
      </c>
      <c r="H726" s="13" t="inlineStr">
        <is>
          <t>Granulado</t>
        </is>
      </c>
      <c r="I726" s="13" t="inlineStr">
        <is>
          <t>Formulação Padrão (Granulado / Solúvel / Suspensão)</t>
        </is>
      </c>
      <c r="J726" s="13" t="inlineStr">
        <is>
          <t>Aplicação via solo, fertirrigação ou adubação foliar</t>
        </is>
      </c>
      <c r="K726" s="13" t="inlineStr">
        <is>
          <t>Fertilizante Mineral / Organomineral (Lei nº 6.894/1980)</t>
        </is>
      </c>
      <c r="L726" s="13" t="inlineStr">
        <is>
          <t>Nutrição Vegetal SIPEAGRO</t>
        </is>
      </c>
      <c r="M726" s="13" t="inlineStr">
        <is>
          <t>Fornecimento de macro e micronutrientes essenciais ao metabolismo vegetal</t>
        </is>
      </c>
      <c r="N726" s="13" t="inlineStr">
        <is>
          <t>Isento ANVISA (Produto Fertilizante Registrado no SIPEAGRO/MAPA)</t>
        </is>
      </c>
      <c r="O726" s="13" t="inlineStr">
        <is>
          <t>Não Aplicável (Fertilizante)</t>
        </is>
      </c>
      <c r="P726" s="13" t="inlineStr">
        <is>
          <t>Baixo Potencial Poluidor (Uso conforme recomendação agronômica)</t>
        </is>
      </c>
      <c r="Q726" s="15" t="n">
        <v>0</v>
      </c>
      <c r="R726" s="13" t="inlineStr">
        <is>
          <t>Aplicação Dirigida / TS / Solo</t>
        </is>
      </c>
      <c r="S726" s="13" t="inlineStr">
        <is>
          <t>Tratamento sintomático em caso de ingestão acidental</t>
        </is>
      </c>
      <c r="T726" s="13" t="inlineStr">
        <is>
          <t>Estabelecimento Produtor SIPEAGRO/MAPA</t>
        </is>
      </c>
      <c r="U726" s="16">
        <f>HYPERLINK("https://www.gov.br/agricultura/pt-br/assuntos/insumos-agropecuarios/insumos-agricolas/fertilizantes", "Portal SIPEAGRO / MAPA — Fertilizantes e Bioinsumos")</f>
        <v/>
      </c>
    </row>
    <row r="727" ht="22" customHeight="1">
      <c r="A727" s="5" t="n">
        <v>722</v>
      </c>
      <c r="B727" s="6" t="inlineStr">
        <is>
          <t>SIPEAGRO (UF-XXXXX)</t>
        </is>
      </c>
      <c r="C727" s="7" t="inlineStr">
        <is>
          <t>1003007-SUPERFOS TRIP GR 46/36 P2O5+ 10 CA VALIDAR</t>
        </is>
      </c>
      <c r="D727" s="8" t="inlineStr">
        <is>
          <t>1003007-SUPERFOS TRIP GR 46/36 P2O5+ 10 CA VALIDAR</t>
        </is>
      </c>
      <c r="E727" s="7" t="inlineStr">
        <is>
          <t>Fertilizante Mineral / Organomineral</t>
        </is>
      </c>
      <c r="F727" s="7" t="inlineStr">
        <is>
          <t>Fertilizantes</t>
        </is>
      </c>
      <c r="G727" s="7" t="inlineStr">
        <is>
          <t>Fertilizante Mineral Simples (Fosfatado)</t>
        </is>
      </c>
      <c r="H727" s="7" t="inlineStr">
        <is>
          <t>GR</t>
        </is>
      </c>
      <c r="I727" s="7" t="inlineStr">
        <is>
          <t>Granulado (GR)</t>
        </is>
      </c>
      <c r="J727" s="7" t="inlineStr">
        <is>
          <t>Aplicação via solo, fertirrigação ou adubação foliar</t>
        </is>
      </c>
      <c r="K727" s="7" t="inlineStr">
        <is>
          <t>Fertilizante Mineral / Organomineral (Lei nº 6.894/1980)</t>
        </is>
      </c>
      <c r="L727" s="7" t="inlineStr">
        <is>
          <t>Nutrição Vegetal SIPEAGRO</t>
        </is>
      </c>
      <c r="M727" s="7" t="inlineStr">
        <is>
          <t>Fornecimento de macro e micronutrientes essenciais ao metabolismo vegetal</t>
        </is>
      </c>
      <c r="N727" s="7" t="inlineStr">
        <is>
          <t>Isento ANVISA (Produto Fertilizante Registrado no SIPEAGRO/MAPA)</t>
        </is>
      </c>
      <c r="O727" s="7" t="inlineStr">
        <is>
          <t>Não Aplicável (Fertilizante)</t>
        </is>
      </c>
      <c r="P727" s="7" t="inlineStr">
        <is>
          <t>Baixo Potencial Poluidor (Uso conforme recomendação agronômica)</t>
        </is>
      </c>
      <c r="Q727" s="9" t="n">
        <v>0</v>
      </c>
      <c r="R727" s="7" t="inlineStr">
        <is>
          <t>Aplicação Dirigida / TS / Solo</t>
        </is>
      </c>
      <c r="S727" s="7" t="inlineStr">
        <is>
          <t>Tratamento sintomático em caso de ingestão acidental</t>
        </is>
      </c>
      <c r="T727" s="7" t="inlineStr">
        <is>
          <t>Estabelecimento Produtor SIPEAGRO/MAPA</t>
        </is>
      </c>
      <c r="U727" s="10">
        <f>HYPERLINK("https://www.gov.br/agricultura/pt-br/assuntos/insumos-agropecuarios/insumos-agricolas/fertilizantes", "Portal SIPEAGRO / MAPA — Fertilizantes e Bioinsumos")</f>
        <v/>
      </c>
    </row>
    <row r="728" ht="22" customHeight="1">
      <c r="A728" s="11" t="n">
        <v>723</v>
      </c>
      <c r="B728" s="12" t="inlineStr">
        <is>
          <t>SIPEAGRO (UF-XXXXX)</t>
        </is>
      </c>
      <c r="C728" s="13" t="inlineStr">
        <is>
          <t>KCL 00-00-60 - GRAN 1000KG VER - JBS (VALIDAR)</t>
        </is>
      </c>
      <c r="D728" s="14" t="inlineStr">
        <is>
          <t>KCL 00-00-60 - GRAN</t>
        </is>
      </c>
      <c r="E728" s="13" t="inlineStr">
        <is>
          <t>Fertilizante Mineral / Organomineral</t>
        </is>
      </c>
      <c r="F728" s="13" t="inlineStr">
        <is>
          <t>Fertilizantes</t>
        </is>
      </c>
      <c r="G728" s="13" t="inlineStr">
        <is>
          <t>Fertilizante Mineral Simples (Potássico / Magnesiano)</t>
        </is>
      </c>
      <c r="H728" s="13" t="inlineStr">
        <is>
          <t>Granulado</t>
        </is>
      </c>
      <c r="I728" s="13" t="inlineStr">
        <is>
          <t>Formulação Padrão (Granulado / Solúvel / Suspensão)</t>
        </is>
      </c>
      <c r="J728" s="13" t="inlineStr">
        <is>
          <t>Aplicação via solo, fertirrigação ou adubação foliar</t>
        </is>
      </c>
      <c r="K728" s="13" t="inlineStr">
        <is>
          <t>Fertilizante Mineral / Organomineral (Lei nº 6.894/1980)</t>
        </is>
      </c>
      <c r="L728" s="13" t="inlineStr">
        <is>
          <t>Nutrição Vegetal SIPEAGRO</t>
        </is>
      </c>
      <c r="M728" s="13" t="inlineStr">
        <is>
          <t>Fornecimento de macro e micronutrientes essenciais ao metabolismo vegetal</t>
        </is>
      </c>
      <c r="N728" s="13" t="inlineStr">
        <is>
          <t>Isento ANVISA (Produto Fertilizante Registrado no SIPEAGRO/MAPA)</t>
        </is>
      </c>
      <c r="O728" s="13" t="inlineStr">
        <is>
          <t>Não Aplicável (Fertilizante)</t>
        </is>
      </c>
      <c r="P728" s="13" t="inlineStr">
        <is>
          <t>Baixo Potencial Poluidor (Uso conforme recomendação agronômica)</t>
        </is>
      </c>
      <c r="Q728" s="15" t="n">
        <v>0</v>
      </c>
      <c r="R728" s="13" t="inlineStr">
        <is>
          <t>Aplicação Dirigida / TS / Solo</t>
        </is>
      </c>
      <c r="S728" s="13" t="inlineStr">
        <is>
          <t>Tratamento sintomático em caso de ingestão acidental</t>
        </is>
      </c>
      <c r="T728" s="13" t="inlineStr">
        <is>
          <t>Estabelecimento Produtor SIPEAGRO/MAPA</t>
        </is>
      </c>
      <c r="U728" s="16">
        <f>HYPERLINK("https://www.gov.br/agricultura/pt-br/assuntos/insumos-agropecuarios/insumos-agricolas/fertilizantes", "Portal SIPEAGRO / MAPA — Fertilizantes e Bioinsumos")</f>
        <v/>
      </c>
    </row>
    <row r="729" ht="22" customHeight="1">
      <c r="A729" s="5" t="n">
        <v>724</v>
      </c>
      <c r="B729" s="6" t="inlineStr">
        <is>
          <t>Nº 14421</t>
        </is>
      </c>
      <c r="C729" s="7" t="inlineStr">
        <is>
          <t>LEALTY FS IBC 1.000L (IMP) SS</t>
        </is>
      </c>
      <c r="D729" s="8" t="inlineStr">
        <is>
          <t>LEALTY FS IBC 1.000L (IMP) SS</t>
        </is>
      </c>
      <c r="E729" s="7" t="inlineStr">
        <is>
          <t>Produto Formulado Comercial</t>
        </is>
      </c>
      <c r="F729" s="7" t="inlineStr">
        <is>
          <t>Defensivos</t>
        </is>
      </c>
      <c r="G729" s="7" t="inlineStr">
        <is>
          <t>Inseticida e Cupinicida (Fipronil)</t>
        </is>
      </c>
      <c r="H729" s="7" t="inlineStr">
        <is>
          <t>FS</t>
        </is>
      </c>
      <c r="I729" s="7" t="inlineStr">
        <is>
          <t>Suspensão Concentrada para Tratamento de Sementes (FS)</t>
        </is>
      </c>
      <c r="J729" s="7" t="inlineStr">
        <is>
          <t>Inseticida, cupinicida e formicida de contato e ingestão (TS / Solo)</t>
        </is>
      </c>
      <c r="K729" s="7" t="inlineStr">
        <is>
          <t>Pirazol (Fenilpirazol)</t>
        </is>
      </c>
      <c r="L729" s="7" t="inlineStr">
        <is>
          <t>IRAC Grupo 2B</t>
        </is>
      </c>
      <c r="M729" s="7" t="inlineStr">
        <is>
          <t>Bloqueadores de canais de cloro mediados pelo GABA</t>
        </is>
      </c>
      <c r="N729" s="7" t="inlineStr">
        <is>
          <t>Categoria 3 — Produto Moderadamente Tóxico</t>
        </is>
      </c>
      <c r="O729" s="7" t="inlineStr">
        <is>
          <t>Amarelo PMS Yellow C</t>
        </is>
      </c>
      <c r="P729" s="7" t="inlineStr">
        <is>
          <t>Classe II — Produto Muito Perigoso ao Meio Ambiente</t>
        </is>
      </c>
      <c r="Q729" s="9" t="n">
        <v>0</v>
      </c>
      <c r="R729" s="7" t="inlineStr">
        <is>
          <t>Aplicação Dirigida / TS / Solo</t>
        </is>
      </c>
      <c r="S729" s="7" t="inlineStr">
        <is>
          <t>Sem antídoto específico; tratamento sintomático e controle neurológico</t>
        </is>
      </c>
      <c r="T729" s="7" t="inlineStr">
        <is>
          <t>AGRICONNECTION IMPORTADORA E EXPORTADORA DE INSUMOS AGRÍCOLAS LTDA.</t>
        </is>
      </c>
      <c r="U729" s="10">
        <f>HYPERLINK("https://agrofit.agricultura.gov.br/agrofit_cons/principal_agrofit_cons", "Consulta Oficial AGROFIT/MAPA (Nº 14421)")</f>
        <v/>
      </c>
    </row>
    <row r="730" ht="22" customHeight="1">
      <c r="A730" s="11" t="n">
        <v>725</v>
      </c>
      <c r="B730" s="12" t="inlineStr">
        <is>
          <t>Nº 11819</t>
        </is>
      </c>
      <c r="C730" s="13" t="inlineStr">
        <is>
          <t>MANCOZEB 800 (PRINCIPIO ATIVO)</t>
        </is>
      </c>
      <c r="D730" s="14" t="inlineStr">
        <is>
          <t>MANCOZEB 800 (PRINCIPIO ATIVO)</t>
        </is>
      </c>
      <c r="E730" s="13" t="inlineStr">
        <is>
          <t>Produto Técnico Industrial</t>
        </is>
      </c>
      <c r="F730" s="13" t="inlineStr">
        <is>
          <t>Defensivos</t>
        </is>
      </c>
      <c r="G730" s="13" t="inlineStr">
        <is>
          <t>Fungicida (Princípio Ativo / Técnico)</t>
        </is>
      </c>
      <c r="H730" s="13" t="inlineStr">
        <is>
          <t>WP</t>
        </is>
      </c>
      <c r="I730" s="13" t="inlineStr">
        <is>
          <t>Pó Molhável (WP)</t>
        </is>
      </c>
      <c r="J730" s="13" t="inlineStr">
        <is>
          <t>Fungicida e acaricida protetor de contato multissítio</t>
        </is>
      </c>
      <c r="K730" s="13" t="inlineStr">
        <is>
          <t>Alquilenobis(ditiocarbamato)</t>
        </is>
      </c>
      <c r="L730" s="13" t="inlineStr">
        <is>
          <t>FRAC Grupo M03 — Multissítio</t>
        </is>
      </c>
      <c r="M730" s="13" t="inlineStr">
        <is>
          <t>Inibidor multissítio de enzimas contendo grupos sulfidrila e aminoácidos fúngicos</t>
        </is>
      </c>
      <c r="N730" s="13" t="inlineStr">
        <is>
          <t>Categoria 5 — Produto Improvável de Causar Dano Agudo</t>
        </is>
      </c>
      <c r="O730" s="13" t="inlineStr">
        <is>
          <t>Azul Intenso</t>
        </is>
      </c>
      <c r="P730" s="13" t="inlineStr">
        <is>
          <t>Classe II — Produto Muito Perigoso ao Meio Ambiente</t>
        </is>
      </c>
      <c r="Q730" s="15" t="n">
        <v>24</v>
      </c>
      <c r="R730" s="13" t="inlineStr">
        <is>
          <t>Terrestre / Aérea (Drones consultar bula)</t>
        </is>
      </c>
      <c r="S730" s="13" t="inlineStr">
        <is>
          <t>Sem antídoto específico; evitar consumo de álcool (efeito antabuse por ETU)</t>
        </is>
      </c>
      <c r="T730" s="13" t="inlineStr">
        <is>
          <t>AGRICONNECTION IMPORTADORA E EXPORTADORA DE INSUMOS AGRÍCOLAS LTDA.</t>
        </is>
      </c>
      <c r="U730" s="16">
        <f>HYPERLINK("https://agrofit.agricultura.gov.br/agrofit_cons/principal_agrofit_cons", "Consulta Oficial AGROFIT/MAPA (Nº 11819)")</f>
        <v/>
      </c>
    </row>
    <row r="731" ht="22" customHeight="1">
      <c r="A731" s="5" t="n">
        <v>726</v>
      </c>
      <c r="B731" s="6" t="inlineStr">
        <is>
          <t>Nº 28925</t>
        </is>
      </c>
      <c r="C731" s="7" t="inlineStr">
        <is>
          <t>S-METOLACHLOR 960 EC BINNONG 20L (IMP) GB</t>
        </is>
      </c>
      <c r="D731" s="8" t="inlineStr">
        <is>
          <t>S-METOLACHLOR 960 EC BINNONG</t>
        </is>
      </c>
      <c r="E731" s="7" t="inlineStr">
        <is>
          <t>Produto Formulado Comercial</t>
        </is>
      </c>
      <c r="F731" s="7" t="inlineStr">
        <is>
          <t>Defensivos</t>
        </is>
      </c>
      <c r="G731" s="7" t="inlineStr">
        <is>
          <t>Herbicida</t>
        </is>
      </c>
      <c r="H731" s="7" t="inlineStr">
        <is>
          <t>EC</t>
        </is>
      </c>
      <c r="I731" s="7" t="inlineStr">
        <is>
          <t>Concentrado Emulsionável (EC)</t>
        </is>
      </c>
      <c r="J731" s="7" t="inlineStr">
        <is>
          <t>Herbicida seletivo pré-emergente sistêmico</t>
        </is>
      </c>
      <c r="K731" s="7" t="inlineStr">
        <is>
          <t>Cloroacetanilida</t>
        </is>
      </c>
      <c r="L731" s="7" t="inlineStr">
        <is>
          <t>HRAC Grupo K3 (15) — Inibidores de VLCFAs</t>
        </is>
      </c>
      <c r="M731" s="7" t="inlineStr">
        <is>
          <t>Inibidores da síntese de ácidos graxos de cadeia muito longa (divisão celular)</t>
        </is>
      </c>
      <c r="N731" s="7" t="inlineStr">
        <is>
          <t>Categoria 4 — Produto Pouco Tóxico</t>
        </is>
      </c>
      <c r="O731" s="7" t="inlineStr">
        <is>
          <t>Azul PMS Blue 293 C</t>
        </is>
      </c>
      <c r="P731" s="7" t="inlineStr">
        <is>
          <t>Classe II — Produto Muito Perigoso ao Meio Ambiente</t>
        </is>
      </c>
      <c r="Q731" s="9" t="n">
        <v>24</v>
      </c>
      <c r="R731" s="7" t="inlineStr">
        <is>
          <t>Terrestre / Aérea (Drones consultar bula)</t>
        </is>
      </c>
      <c r="S731" s="7" t="inlineStr">
        <is>
          <t>Sem antídoto específico; tratamento sintomático</t>
        </is>
      </c>
      <c r="T731" s="7" t="inlineStr">
        <is>
          <t>GLOBACHEM PROTEÇÃO DE CULTIVOS DO BRASIL LTDA.</t>
        </is>
      </c>
      <c r="U731" s="10">
        <f>HYPERLINK("https://www.adapar.pr.gov.br/Pagina/Agrotoxicos-Herbicidas", "Registro Oficial S-Metolachlor 960 EC Binnong (MAPA 28925)")</f>
        <v/>
      </c>
    </row>
    <row r="732" ht="22" customHeight="1">
      <c r="A732" s="11" t="n">
        <v>727</v>
      </c>
      <c r="B732" s="12" t="inlineStr">
        <is>
          <t>Nº 2020</t>
        </is>
      </c>
      <c r="C732" s="13" t="inlineStr">
        <is>
          <t>BUSHI 1X10L (IMP) GJ</t>
        </is>
      </c>
      <c r="D732" s="14" t="inlineStr">
        <is>
          <t>BUSHI</t>
        </is>
      </c>
      <c r="E732" s="13" t="inlineStr">
        <is>
          <t>Produto Formulado Comercial</t>
        </is>
      </c>
      <c r="F732" s="13" t="inlineStr">
        <is>
          <t>Defensivos</t>
        </is>
      </c>
      <c r="G732" s="13" t="inlineStr">
        <is>
          <t>Inseticida</t>
        </is>
      </c>
      <c r="H732" s="13" t="inlineStr">
        <is>
          <t>CS</t>
        </is>
      </c>
      <c r="I732" s="13" t="inlineStr">
        <is>
          <t>Suspensão de Encapsulado (CS)</t>
        </is>
      </c>
      <c r="J732" s="13" t="inlineStr">
        <is>
          <t>Inseticida de contato e ingestão com efeito de choque</t>
        </is>
      </c>
      <c r="K732" s="13" t="inlineStr">
        <is>
          <t>Piretroide (Tipo II)</t>
        </is>
      </c>
      <c r="L732" s="13" t="inlineStr">
        <is>
          <t>IRAC Grupo 3A</t>
        </is>
      </c>
      <c r="M732" s="13" t="inlineStr">
        <is>
          <t>Moduladores de canais de sódio em axônios nervosos</t>
        </is>
      </c>
      <c r="N732" s="13" t="inlineStr">
        <is>
          <t>Categoria 3 — Produto Moderadamente Tóxico</t>
        </is>
      </c>
      <c r="O732" s="13" t="inlineStr">
        <is>
          <t>Amarelo PMS Yellow C</t>
        </is>
      </c>
      <c r="P732" s="13" t="inlineStr">
        <is>
          <t>Classe II — Produto Muito Perigoso ao Meio Ambiente</t>
        </is>
      </c>
      <c r="Q732" s="15" t="n">
        <v>24</v>
      </c>
      <c r="R732" s="13" t="inlineStr">
        <is>
          <t>Terrestre / Aérea (Drones consultar bula)</t>
        </is>
      </c>
      <c r="S732" s="13" t="inlineStr">
        <is>
          <t>Sem antídoto específico; anti-histamínicos e suporte sintomático</t>
        </is>
      </c>
      <c r="T732" s="13" t="inlineStr">
        <is>
          <t>PILARQUIM BR COMERCIAL LTDA. / SYNGENTA</t>
        </is>
      </c>
      <c r="U732" s="16">
        <f>HYPERLINK("https://agrofit.agricultura.gov.br/agrofit_cons/principal_agrofit_cons", "Consulta Oficial AGROFIT/MAPA (Nº 2020)")</f>
        <v/>
      </c>
    </row>
    <row r="733" ht="22" customHeight="1">
      <c r="A733" s="5" t="n">
        <v>728</v>
      </c>
      <c r="B733" s="6" t="inlineStr">
        <is>
          <t>Nº 2710</t>
        </is>
      </c>
      <c r="C733" s="7" t="inlineStr">
        <is>
          <t>IMIDACLOPRIDO 700 (PRINCIPIO ATIVO)</t>
        </is>
      </c>
      <c r="D733" s="8" t="inlineStr">
        <is>
          <t>IMIDACLOPRIDO 700 (PRINCIPIO ATIVO)</t>
        </is>
      </c>
      <c r="E733" s="7" t="inlineStr">
        <is>
          <t>Produto Técnico Industrial</t>
        </is>
      </c>
      <c r="F733" s="7" t="inlineStr">
        <is>
          <t>Defensivos</t>
        </is>
      </c>
      <c r="G733" s="7" t="inlineStr">
        <is>
          <t>Inseticida (Princípio Ativo / Técnico)</t>
        </is>
      </c>
      <c r="H733" s="7" t="inlineStr">
        <is>
          <t>TC</t>
        </is>
      </c>
      <c r="I733" s="7" t="inlineStr">
        <is>
          <t>Produto Técnico Industrial (TC)</t>
        </is>
      </c>
      <c r="J733" s="7" t="inlineStr">
        <is>
          <t>Inseticida/acaricida de contato e ingestão</t>
        </is>
      </c>
      <c r="K733" s="7" t="inlineStr">
        <is>
          <t>Neonicotinoide</t>
        </is>
      </c>
      <c r="L733" s="7" t="inlineStr">
        <is>
          <t>IRAC Grupo 4A</t>
        </is>
      </c>
      <c r="M733" s="7" t="inlineStr">
        <is>
          <t>Moduladores competitivos dos receptores nicotínicos da acetilcolina (nAChR)</t>
        </is>
      </c>
      <c r="N733" s="7" t="inlineStr">
        <is>
          <t>Categoria 3 / 4 — Moderadamente a Pouco Tóxico</t>
        </is>
      </c>
      <c r="O733" s="7" t="inlineStr">
        <is>
          <t>Amarelo / Azul</t>
        </is>
      </c>
      <c r="P733" s="7" t="inlineStr">
        <is>
          <t>Classe II — Produto Muito Perigoso ao Meio Ambiente</t>
        </is>
      </c>
      <c r="Q733" s="9" t="n">
        <v>24</v>
      </c>
      <c r="R733" s="7" t="inlineStr">
        <is>
          <t>Terrestre / Aérea (Drones consultar bula)</t>
        </is>
      </c>
      <c r="S733" s="7" t="inlineStr">
        <is>
          <t>Tratamento sintomático conforme grupo químico na bula</t>
        </is>
      </c>
      <c r="T733" s="7" t="inlineStr">
        <is>
          <t>NORTOX S.A. / BAYER S.A.</t>
        </is>
      </c>
      <c r="U733" s="10">
        <f>HYPERLINK("https://agrofit.agricultura.gov.br/agrofit_cons/principal_agrofit_cons", "Consulta Oficial AGROFIT/MAPA (Nº 2710)")</f>
        <v/>
      </c>
    </row>
    <row r="734" ht="22" customHeight="1">
      <c r="A734" s="11" t="n">
        <v>729</v>
      </c>
      <c r="B734" s="12" t="inlineStr">
        <is>
          <t>Nº 2820</t>
        </is>
      </c>
      <c r="C734" s="13" t="inlineStr">
        <is>
          <t>LIMPA 10KG IMP LL</t>
        </is>
      </c>
      <c r="D734" s="14" t="inlineStr">
        <is>
          <t>LIMPA</t>
        </is>
      </c>
      <c r="E734" s="13" t="inlineStr">
        <is>
          <t>Produto Formulado Comercial</t>
        </is>
      </c>
      <c r="F734" s="13" t="inlineStr">
        <is>
          <t>Defensivos</t>
        </is>
      </c>
      <c r="G734" s="13" t="inlineStr">
        <is>
          <t>Herbicida</t>
        </is>
      </c>
      <c r="H734" s="13" t="inlineStr">
        <is>
          <t>WG</t>
        </is>
      </c>
      <c r="I734" s="13" t="inlineStr">
        <is>
          <t>Grânulos Dispersíveis em Água (WG)</t>
        </is>
      </c>
      <c r="J734" s="13" t="inlineStr">
        <is>
          <t>Herbicida seletivo sistêmico de pré e pós-emergência precoce</t>
        </is>
      </c>
      <c r="K734" s="13" t="inlineStr">
        <is>
          <t>Triazina</t>
        </is>
      </c>
      <c r="L734" s="13" t="inlineStr">
        <is>
          <t>HRAC Grupo C1 (5) — Inibidores do Fotossistema II</t>
        </is>
      </c>
      <c r="M734" s="13" t="inlineStr">
        <is>
          <t>Inibição do transporte de elétrons no Fotossistema II (sítio Serina 264)</t>
        </is>
      </c>
      <c r="N734" s="13" t="inlineStr">
        <is>
          <t>Categoria 4 / 5 — Pouco Tóxico</t>
        </is>
      </c>
      <c r="O734" s="13" t="inlineStr">
        <is>
          <t>Azul Intenso</t>
        </is>
      </c>
      <c r="P734" s="13" t="inlineStr">
        <is>
          <t>Classe II — Produto Muito Perigoso ao Meio Ambiente</t>
        </is>
      </c>
      <c r="Q734" s="15" t="n">
        <v>24</v>
      </c>
      <c r="R734" s="13" t="inlineStr">
        <is>
          <t>Terrestre / Aérea (Drones consultar bula)</t>
        </is>
      </c>
      <c r="S734" s="13" t="inlineStr">
        <is>
          <t>Sem antídoto específico; tratamento sintomático</t>
        </is>
      </c>
      <c r="T734" s="13" t="inlineStr">
        <is>
          <t>Rainbow / Perterra</t>
        </is>
      </c>
      <c r="U734" s="16">
        <f>HYPERLINK("https://agrofit.agricultura.gov.br/agrofit_cons/principal_agrofit_cons", "Consulta Oficial AGROFIT/MAPA (Nº 2820)")</f>
        <v/>
      </c>
    </row>
    <row r="735" ht="22" customHeight="1">
      <c r="A735" s="5" t="n">
        <v>730</v>
      </c>
      <c r="B735" s="6" t="inlineStr">
        <is>
          <t>Nº 18723</t>
        </is>
      </c>
      <c r="C735" s="7" t="inlineStr">
        <is>
          <t>S-METOLACLORO (PRINCIPIO ATIVO)</t>
        </is>
      </c>
      <c r="D735" s="8" t="inlineStr">
        <is>
          <t>S-METOLACLORO (PRINCIPIO ATIVO)</t>
        </is>
      </c>
      <c r="E735" s="7" t="inlineStr">
        <is>
          <t>Produto Técnico Industrial</t>
        </is>
      </c>
      <c r="F735" s="7" t="inlineStr">
        <is>
          <t>Defensivos</t>
        </is>
      </c>
      <c r="G735" s="7" t="inlineStr">
        <is>
          <t>Herbicida (Princípio Ativo / Técnico)</t>
        </is>
      </c>
      <c r="H735" s="7" t="inlineStr">
        <is>
          <t>TC</t>
        </is>
      </c>
      <c r="I735" s="7" t="inlineStr">
        <is>
          <t>Produto Técnico Industrial (TC)</t>
        </is>
      </c>
      <c r="J735" s="7" t="inlineStr">
        <is>
          <t>Herbicida seletivo pré-emergente sistêmico</t>
        </is>
      </c>
      <c r="K735" s="7" t="inlineStr">
        <is>
          <t>Cloroacetanilida</t>
        </is>
      </c>
      <c r="L735" s="7" t="inlineStr">
        <is>
          <t>HRAC Grupo K3 (15) — Inibidores de VLCFAs</t>
        </is>
      </c>
      <c r="M735" s="7" t="inlineStr">
        <is>
          <t>Inibidores da síntese de ácidos graxos de cadeia muito longa (divisão celular)</t>
        </is>
      </c>
      <c r="N735" s="7" t="inlineStr">
        <is>
          <t>Categoria 4 — Produto Pouco Tóxico</t>
        </is>
      </c>
      <c r="O735" s="7" t="inlineStr">
        <is>
          <t>Azul PMS Blue 293 C</t>
        </is>
      </c>
      <c r="P735" s="7" t="inlineStr">
        <is>
          <t>Classe II — Produto Muito Perigoso ao Meio Ambiente</t>
        </is>
      </c>
      <c r="Q735" s="9" t="n">
        <v>24</v>
      </c>
      <c r="R735" s="7" t="inlineStr">
        <is>
          <t>Terrestre / Aérea (Drones consultar bula)</t>
        </is>
      </c>
      <c r="S735" s="7" t="inlineStr">
        <is>
          <t>Sem antídoto específico; tratamento sintomático</t>
        </is>
      </c>
      <c r="T735" s="7" t="inlineStr">
        <is>
          <t>SYNGENTA PROTEÇÃO DE CULTIVOS LTDA. / RAINBOW DEFENSIVOS AGRÍCOLAS LTDA.</t>
        </is>
      </c>
      <c r="U735" s="10">
        <f>HYPERLINK("https://agrofit.agricultura.gov.br/agrofit_cons/principal_agrofit_cons", "Consulta Oficial AGROFIT/MAPA (Nº 18723)")</f>
        <v/>
      </c>
    </row>
    <row r="736" ht="22" customHeight="1">
      <c r="A736" s="11" t="n">
        <v>731</v>
      </c>
      <c r="B736" s="12" t="inlineStr">
        <is>
          <t>Nº 14518</t>
        </is>
      </c>
      <c r="C736" s="13" t="inlineStr">
        <is>
          <t>IMAZETAPIR 700 (PRINCIPIO ATIVO)</t>
        </is>
      </c>
      <c r="D736" s="14" t="inlineStr">
        <is>
          <t>IMAZETAPIR 700 (PRINCIPIO ATIVO)</t>
        </is>
      </c>
      <c r="E736" s="13" t="inlineStr">
        <is>
          <t>Produto Técnico Industrial</t>
        </is>
      </c>
      <c r="F736" s="13" t="inlineStr">
        <is>
          <t>Defensivos</t>
        </is>
      </c>
      <c r="G736" s="13" t="inlineStr">
        <is>
          <t>Herbicida (Princípio Ativo / Técnico)</t>
        </is>
      </c>
      <c r="H736" s="13" t="inlineStr">
        <is>
          <t>TC</t>
        </is>
      </c>
      <c r="I736" s="13" t="inlineStr">
        <is>
          <t>Produto Técnico Industrial (TC)</t>
        </is>
      </c>
      <c r="J736" s="13" t="inlineStr">
        <is>
          <t>Herbicida de pré ou pós-emergência</t>
        </is>
      </c>
      <c r="K736" s="13" t="inlineStr">
        <is>
          <t>Imidazolinona</t>
        </is>
      </c>
      <c r="L736" s="13" t="inlineStr">
        <is>
          <t>HRAC Grupo B (2) — Inibidores da ALS</t>
        </is>
      </c>
      <c r="M736" s="13" t="inlineStr">
        <is>
          <t>Inibição da enzima acetolactato sintase (ALS / AHAS)</t>
        </is>
      </c>
      <c r="N736" s="13" t="inlineStr">
        <is>
          <t>Categoria 4 / 5 — Pouco Tóxico (Conforme Bula ANVISA)</t>
        </is>
      </c>
      <c r="O736" s="13" t="inlineStr">
        <is>
          <t>Azul PMS Blue 293 C</t>
        </is>
      </c>
      <c r="P736" s="13" t="inlineStr">
        <is>
          <t>Classe II / III — Perigoso ao Meio Ambiente</t>
        </is>
      </c>
      <c r="Q736" s="15" t="n">
        <v>24</v>
      </c>
      <c r="R736" s="13" t="inlineStr">
        <is>
          <t>Terrestre / Aérea (Drones consultar bula)</t>
        </is>
      </c>
      <c r="S736" s="13" t="inlineStr">
        <is>
          <t>Sem antídoto específico; tratamento sintomático e descontaminação</t>
        </is>
      </c>
      <c r="T736" s="13" t="inlineStr">
        <is>
          <t>RAINBOW DEFENSIVOS AGRÍCOLAS LTDA.</t>
        </is>
      </c>
      <c r="U736" s="16">
        <f>HYPERLINK("https://www.adapar.pr.gov.br/Pagina/Agrotoxicos-Herbicidas", "Registro Oficial Soyaclean Xtra 700 WG (MAPA 14518)")</f>
        <v/>
      </c>
    </row>
    <row r="737" ht="22" customHeight="1">
      <c r="A737" s="5" t="n">
        <v>732</v>
      </c>
      <c r="B737" s="6" t="inlineStr">
        <is>
          <t>Nº 9210</t>
        </is>
      </c>
      <c r="C737" s="7" t="inlineStr">
        <is>
          <t>PIRACLOSTROBINA 133 + EPOXICONAZOL 50 (PR. ATIVO)</t>
        </is>
      </c>
      <c r="D737" s="8" t="inlineStr">
        <is>
          <t>PIRACLOSTROBINA 133 + EPOXICONAZOL 50 (PR. ATIVO)</t>
        </is>
      </c>
      <c r="E737" s="7" t="inlineStr">
        <is>
          <t>Produto Formulado Comercial</t>
        </is>
      </c>
      <c r="F737" s="7" t="inlineStr">
        <is>
          <t>Defensivos</t>
        </is>
      </c>
      <c r="G737" s="7" t="inlineStr">
        <is>
          <t>Fungicida</t>
        </is>
      </c>
      <c r="H737" s="7" t="inlineStr">
        <is>
          <t>EC</t>
        </is>
      </c>
      <c r="I737" s="7" t="inlineStr">
        <is>
          <t>Concentrado Emulsionável (EC)</t>
        </is>
      </c>
      <c r="J737" s="7" t="inlineStr">
        <is>
          <t>Fungicida preventivo e curativo foliar</t>
        </is>
      </c>
      <c r="K737" s="7" t="inlineStr">
        <is>
          <t>Triazol</t>
        </is>
      </c>
      <c r="L737" s="7" t="inlineStr">
        <is>
          <t>FRAC Grupo 3 (G1 — DMI)</t>
        </is>
      </c>
      <c r="M737" s="7" t="inlineStr">
        <is>
          <t>Inibidores da desmetilação do C14 na biossíntese do ergosterol</t>
        </is>
      </c>
      <c r="N737" s="7" t="inlineStr">
        <is>
          <t>Categoria 4: Produto Pouco Tóxico</t>
        </is>
      </c>
      <c r="O737" s="7" t="inlineStr">
        <is>
          <t>Azul</t>
        </is>
      </c>
      <c r="P737" s="7" t="inlineStr">
        <is>
          <t>Classe II — Produto Muito Perigoso ao Meio Ambiente</t>
        </is>
      </c>
      <c r="Q737" s="9" t="n">
        <v>24</v>
      </c>
      <c r="R737" s="7" t="inlineStr">
        <is>
          <t>Terrestre / Aérea (Drones consultar bula)</t>
        </is>
      </c>
      <c r="S737" s="7" t="inlineStr">
        <is>
          <t>Sem antídoto específico; tratamento sintomático</t>
        </is>
      </c>
      <c r="T737" s="7" t="inlineStr">
        <is>
          <t>BASF AGRICULTURAL SOLUTIONS BRASIL LTDA</t>
        </is>
      </c>
      <c r="U737" s="10">
        <f>HYPERLINK("https://agrofit.agricultura.gov.br/agrofit_cons/principal_agrofit_cons", "Consulta Oficial AGROFIT/MAPA (Nº 9210)")</f>
        <v/>
      </c>
    </row>
    <row r="738" ht="22" customHeight="1">
      <c r="A738" s="11" t="n">
        <v>733</v>
      </c>
      <c r="B738" s="12" t="inlineStr">
        <is>
          <t>SIPEAGRO (UF-XXXXX)</t>
        </is>
      </c>
      <c r="C738" s="13" t="inlineStr">
        <is>
          <t>FFALM 00 45 00 + 160 BBD - MOSAIC</t>
        </is>
      </c>
      <c r="D738" s="14" t="inlineStr">
        <is>
          <t>FFALM 00 45 00 + 160 BBD - MOSAIC</t>
        </is>
      </c>
      <c r="E738" s="13" t="inlineStr">
        <is>
          <t>Fertilizante Mineral / Organomineral</t>
        </is>
      </c>
      <c r="F738" s="13" t="inlineStr">
        <is>
          <t>Fertilizantes</t>
        </is>
      </c>
      <c r="G738" s="13" t="inlineStr">
        <is>
          <t>Fertilizante Mineral Simples (Fosfatado)</t>
        </is>
      </c>
      <c r="H738" s="13" t="inlineStr">
        <is>
          <t>Granulado</t>
        </is>
      </c>
      <c r="I738" s="13" t="inlineStr">
        <is>
          <t>Formulação Padrão (Granulado / Solúvel / Suspensão)</t>
        </is>
      </c>
      <c r="J738" s="13" t="inlineStr">
        <is>
          <t>Aplicação via solo, fertirrigação ou adubação foliar</t>
        </is>
      </c>
      <c r="K738" s="13" t="inlineStr">
        <is>
          <t>Fertilizante Mineral / Organomineral (Lei nº 6.894/1980)</t>
        </is>
      </c>
      <c r="L738" s="13" t="inlineStr">
        <is>
          <t>Nutrição Vegetal SIPEAGRO</t>
        </is>
      </c>
      <c r="M738" s="13" t="inlineStr">
        <is>
          <t>Fornecimento de macro e micronutrientes essenciais ao metabolismo vegetal</t>
        </is>
      </c>
      <c r="N738" s="13" t="inlineStr">
        <is>
          <t>Isento ANVISA (Produto Fertilizante Registrado no SIPEAGRO/MAPA)</t>
        </is>
      </c>
      <c r="O738" s="13" t="inlineStr">
        <is>
          <t>Não Aplicável (Fertilizante)</t>
        </is>
      </c>
      <c r="P738" s="13" t="inlineStr">
        <is>
          <t>Baixo Potencial Poluidor (Uso conforme recomendação agronômica)</t>
        </is>
      </c>
      <c r="Q738" s="15" t="n">
        <v>0</v>
      </c>
      <c r="R738" s="13" t="inlineStr">
        <is>
          <t>Aplicação Dirigida / TS / Solo</t>
        </is>
      </c>
      <c r="S738" s="13" t="inlineStr">
        <is>
          <t>Tratamento sintomático em caso de ingestão acidental</t>
        </is>
      </c>
      <c r="T738" s="13" t="inlineStr">
        <is>
          <t>Estabelecimento Produtor SIPEAGRO/MAPA</t>
        </is>
      </c>
      <c r="U738" s="16">
        <f>HYPERLINK("https://www.gov.br/agricultura/pt-br/assuntos/insumos-agropecuarios/insumos-agricolas/fertilizantes", "Portal SIPEAGRO / MAPA — Fertilizantes e Bioinsumos")</f>
        <v/>
      </c>
    </row>
    <row r="739" ht="22" customHeight="1">
      <c r="A739" s="5" t="n">
        <v>734</v>
      </c>
      <c r="B739" s="6" t="inlineStr">
        <is>
          <t>Nº 34725</t>
        </is>
      </c>
      <c r="C739" s="7" t="inlineStr">
        <is>
          <t>TRIFLOXISTROBINA 150+PROTIOCONAZOL 175 (P. ATIVO)</t>
        </is>
      </c>
      <c r="D739" s="8" t="inlineStr">
        <is>
          <t>TRIFLOXISTROBINA 150+PROTIOCONAZOL 175 (P. ATIVO)</t>
        </is>
      </c>
      <c r="E739" s="7" t="inlineStr">
        <is>
          <t>Produto Formulado Comercial</t>
        </is>
      </c>
      <c r="F739" s="7" t="inlineStr">
        <is>
          <t>Defensivos</t>
        </is>
      </c>
      <c r="G739" s="7" t="inlineStr">
        <is>
          <t>Fungicida</t>
        </is>
      </c>
      <c r="H739" s="7" t="inlineStr">
        <is>
          <t>SC</t>
        </is>
      </c>
      <c r="I739" s="7" t="inlineStr">
        <is>
          <t>Suspensão Concentrada (SC)</t>
        </is>
      </c>
      <c r="J739" s="7" t="inlineStr">
        <is>
          <t>Fungicida sistêmico preventivo, curativo e erradicante</t>
        </is>
      </c>
      <c r="K739" s="7" t="inlineStr">
        <is>
          <t>Triazolinthiona</t>
        </is>
      </c>
      <c r="L739" s="7" t="inlineStr">
        <is>
          <t>FRAC Grupo 3 (DMI)</t>
        </is>
      </c>
      <c r="M739" s="7" t="inlineStr">
        <is>
          <t>Inibidores da desmetilação de esteróis (DMI - C14-desmetilase)</t>
        </is>
      </c>
      <c r="N739" s="7" t="inlineStr">
        <is>
          <t>Categoria 4 / 5 — Pouco Tóxico</t>
        </is>
      </c>
      <c r="O739" s="7" t="inlineStr">
        <is>
          <t>Azul Intenso</t>
        </is>
      </c>
      <c r="P739" s="7" t="inlineStr">
        <is>
          <t>Classe II — Produto Muito Perigoso ao Meio Ambiente</t>
        </is>
      </c>
      <c r="Q739" s="9" t="n">
        <v>24</v>
      </c>
      <c r="R739" s="7" t="inlineStr">
        <is>
          <t>Terrestre / Aérea (Drones consultar bula)</t>
        </is>
      </c>
      <c r="S739" s="7" t="inlineStr">
        <is>
          <t>Sem antídoto específico; tratamento sintomático</t>
        </is>
      </c>
      <c r="T739" s="7" t="inlineStr">
        <is>
          <t>Rainbow Defensivos</t>
        </is>
      </c>
      <c r="U739" s="10">
        <f>HYPERLINK("https://www.adapar.pr.gov.br/Pagina/Agrotoxicos-Fungicidas", "Registro Oficial Spireel 325 SC (MAPA 34725)")</f>
        <v/>
      </c>
    </row>
    <row r="740" ht="22" customHeight="1">
      <c r="A740" s="11" t="n">
        <v>735</v>
      </c>
      <c r="B740" s="12" t="inlineStr">
        <is>
          <t>Nº 28520</t>
        </is>
      </c>
      <c r="C740" s="13" t="inlineStr">
        <is>
          <t>GLIFOSATO 720 (PRINCIPIO ATIVO)</t>
        </is>
      </c>
      <c r="D740" s="14" t="inlineStr">
        <is>
          <t>GLIFOSATO 720 (PRINCIPIO ATIVO)</t>
        </is>
      </c>
      <c r="E740" s="13" t="inlineStr">
        <is>
          <t>Produto Técnico Industrial</t>
        </is>
      </c>
      <c r="F740" s="13" t="inlineStr">
        <is>
          <t>Defensivos</t>
        </is>
      </c>
      <c r="G740" s="13" t="inlineStr">
        <is>
          <t>Herbicida (Princípio Ativo / Técnico)</t>
        </is>
      </c>
      <c r="H740" s="13" t="inlineStr">
        <is>
          <t>WG</t>
        </is>
      </c>
      <c r="I740" s="13" t="inlineStr">
        <is>
          <t>Grânulos Dispersíveis em Água (WG)</t>
        </is>
      </c>
      <c r="J740" s="13" t="inlineStr">
        <is>
          <t>Herbicida sistêmico de pós-emergência (seletivo condicional p/ OGM)</t>
        </is>
      </c>
      <c r="K740" s="13" t="inlineStr">
        <is>
          <t>Glicina substituída</t>
        </is>
      </c>
      <c r="L740" s="13" t="inlineStr">
        <is>
          <t>HRAC Grupo G (EPSPs)</t>
        </is>
      </c>
      <c r="M740" s="13" t="inlineStr">
        <is>
          <t>Inibidores da enzima EPSPs (Enoil Piruvil Shiquimato Fosfato Sintase)</t>
        </is>
      </c>
      <c r="N740" s="13" t="inlineStr">
        <is>
          <t>Categoria 5 — Produto Improvável de Causar Dano Agudo</t>
        </is>
      </c>
      <c r="O740" s="13" t="inlineStr">
        <is>
          <t>Azul Intenso</t>
        </is>
      </c>
      <c r="P740" s="13" t="inlineStr">
        <is>
          <t>Classe III — Produto Perigoso ao Meio Ambiente</t>
        </is>
      </c>
      <c r="Q740" s="15" t="n">
        <v>24</v>
      </c>
      <c r="R740" s="13" t="inlineStr">
        <is>
          <t>Terrestre / Aérea (Drones consultar bula)</t>
        </is>
      </c>
      <c r="S740" s="13" t="inlineStr">
        <is>
          <t>Sem antídoto específico (Atropina ineficaz); tratamento sintomático</t>
        </is>
      </c>
      <c r="T740" s="13" t="inlineStr">
        <is>
          <t>RAINBOW DEFENSIVOS AGRÍCOLAS LTDA.</t>
        </is>
      </c>
      <c r="U740" s="16">
        <f>HYPERLINK("https://agrofit.agricultura.gov.br/agrofit_cons/principal_agrofit_cons", "Consulta Oficial AGROFIT/MAPA (Nº 28520)")</f>
        <v/>
      </c>
    </row>
    <row r="741" ht="22" customHeight="1">
      <c r="A741" s="5" t="n">
        <v>736</v>
      </c>
      <c r="B741" s="6" t="inlineStr">
        <is>
          <t>Nº 14421</t>
        </is>
      </c>
      <c r="C741" s="7" t="inlineStr">
        <is>
          <t>LEALTY FS 5X1L AMOSTRA (IMP) SS</t>
        </is>
      </c>
      <c r="D741" s="8" t="inlineStr">
        <is>
          <t>LEALTY FS</t>
        </is>
      </c>
      <c r="E741" s="7" t="inlineStr">
        <is>
          <t>Produto Formulado Comercial</t>
        </is>
      </c>
      <c r="F741" s="7" t="inlineStr">
        <is>
          <t>Defensivos</t>
        </is>
      </c>
      <c r="G741" s="7" t="inlineStr">
        <is>
          <t>Inseticida e Cupinicida (Fipronil)</t>
        </is>
      </c>
      <c r="H741" s="7" t="inlineStr">
        <is>
          <t>FS</t>
        </is>
      </c>
      <c r="I741" s="7" t="inlineStr">
        <is>
          <t>Suspensão Concentrada para Tratamento de Sementes (FS)</t>
        </is>
      </c>
      <c r="J741" s="7" t="inlineStr">
        <is>
          <t>Inseticida, cupinicida e formicida de contato e ingestão (TS / Solo)</t>
        </is>
      </c>
      <c r="K741" s="7" t="inlineStr">
        <is>
          <t>Pirazol (Fenilpirazol)</t>
        </is>
      </c>
      <c r="L741" s="7" t="inlineStr">
        <is>
          <t>IRAC Grupo 2B</t>
        </is>
      </c>
      <c r="M741" s="7" t="inlineStr">
        <is>
          <t>Bloqueadores de canais de cloro mediados pelo GABA</t>
        </is>
      </c>
      <c r="N741" s="7" t="inlineStr">
        <is>
          <t>Categoria 3 — Produto Moderadamente Tóxico</t>
        </is>
      </c>
      <c r="O741" s="7" t="inlineStr">
        <is>
          <t>Amarelo PMS Yellow C</t>
        </is>
      </c>
      <c r="P741" s="7" t="inlineStr">
        <is>
          <t>Classe II — Produto Muito Perigoso ao Meio Ambiente</t>
        </is>
      </c>
      <c r="Q741" s="9" t="n">
        <v>0</v>
      </c>
      <c r="R741" s="7" t="inlineStr">
        <is>
          <t>Aplicação Dirigida / TS / Solo</t>
        </is>
      </c>
      <c r="S741" s="7" t="inlineStr">
        <is>
          <t>Sem antídoto específico; tratamento sintomático e controle neurológico</t>
        </is>
      </c>
      <c r="T741" s="7" t="inlineStr">
        <is>
          <t>AGRICONNECTION IMPORTADORA E EXPORTADORA DE INSUMOS AGRÍCOLAS LTDA.</t>
        </is>
      </c>
      <c r="U741" s="10">
        <f>HYPERLINK("https://agrofit.agricultura.gov.br/agrofit_cons/principal_agrofit_cons", "Consulta Oficial AGROFIT/MAPA (Nº 14421)")</f>
        <v/>
      </c>
    </row>
    <row r="742" ht="22" customHeight="1">
      <c r="A742" s="11" t="n">
        <v>737</v>
      </c>
      <c r="B742" s="12" t="inlineStr">
        <is>
          <t>Nº 25224</t>
        </is>
      </c>
      <c r="C742" s="13" t="inlineStr">
        <is>
          <t>CLETODIM 240 EC BRILLIANCE 1X20L (IMP) GB</t>
        </is>
      </c>
      <c r="D742" s="14" t="inlineStr">
        <is>
          <t>CLETODIM 240 EC BRILLIANCE</t>
        </is>
      </c>
      <c r="E742" s="13" t="inlineStr">
        <is>
          <t>Produto Formulado Comercial</t>
        </is>
      </c>
      <c r="F742" s="13" t="inlineStr">
        <is>
          <t>Defensivos</t>
        </is>
      </c>
      <c r="G742" s="13" t="inlineStr">
        <is>
          <t>Herbicida</t>
        </is>
      </c>
      <c r="H742" s="13" t="inlineStr">
        <is>
          <t>EC</t>
        </is>
      </c>
      <c r="I742" s="13" t="inlineStr">
        <is>
          <t>Concentrado Emulsionável (EC)</t>
        </is>
      </c>
      <c r="J742" s="13" t="inlineStr">
        <is>
          <t>Herbicida graminicida sistêmico seletivo de pós-emergência</t>
        </is>
      </c>
      <c r="K742" s="13" t="inlineStr">
        <is>
          <t>Oxima ciclohexanodiona (DIM)</t>
        </is>
      </c>
      <c r="L742" s="13" t="inlineStr">
        <is>
          <t>HRAC Grupo A (1) — Inibidores da ACCase</t>
        </is>
      </c>
      <c r="M742" s="13" t="inlineStr">
        <is>
          <t>Inibidores da Acetil CoA Carboxilase (ACCase)</t>
        </is>
      </c>
      <c r="N742" s="13" t="inlineStr">
        <is>
          <t>Categoria 4 / 5 — Pouco Tóxico</t>
        </is>
      </c>
      <c r="O742" s="13" t="inlineStr">
        <is>
          <t>Azul Intenso</t>
        </is>
      </c>
      <c r="P742" s="13" t="inlineStr">
        <is>
          <t>Classe III — Produto Perigoso ao Meio Ambiente</t>
        </is>
      </c>
      <c r="Q742" s="15" t="n">
        <v>24</v>
      </c>
      <c r="R742" s="13" t="inlineStr">
        <is>
          <t>Terrestre / Aérea (Drones consultar bula)</t>
        </is>
      </c>
      <c r="S742" s="13" t="inlineStr">
        <is>
          <t>Sem antídoto específico; tratamento sintomático</t>
        </is>
      </c>
      <c r="T742" s="13" t="inlineStr">
        <is>
          <t>GLOBACHEM PROTEÇÃO DE CULTIVOS DO BRASIL LTDA.</t>
        </is>
      </c>
      <c r="U742" s="16">
        <f>HYPERLINK("https://agrofit.agricultura.gov.br/agrofit_cons/principal_agrofit_cons", "Consulta Oficial AGROFIT/MAPA (Nº 25224)")</f>
        <v/>
      </c>
    </row>
    <row r="743" ht="22" customHeight="1">
      <c r="A743" s="5" t="n">
        <v>738</v>
      </c>
      <c r="B743" s="6" t="inlineStr">
        <is>
          <t>Nº 16223</t>
        </is>
      </c>
      <c r="C743" s="7" t="inlineStr">
        <is>
          <t>COMPRAY 1X20L (IMP) RW</t>
        </is>
      </c>
      <c r="D743" s="8" t="inlineStr">
        <is>
          <t>COMPRAY</t>
        </is>
      </c>
      <c r="E743" s="7" t="inlineStr">
        <is>
          <t>Produto Formulado Comercial</t>
        </is>
      </c>
      <c r="F743" s="7" t="inlineStr">
        <is>
          <t>Defensivos</t>
        </is>
      </c>
      <c r="G743" s="7" t="inlineStr">
        <is>
          <t>Herbicida</t>
        </is>
      </c>
      <c r="H743" s="7" t="inlineStr">
        <is>
          <t>CS</t>
        </is>
      </c>
      <c r="I743" s="7" t="inlineStr">
        <is>
          <t>Suspensão de Encapsulado (CS)</t>
        </is>
      </c>
      <c r="J743" s="7" t="inlineStr">
        <is>
          <t>Herbicida seletivo sistêmico pré-emergente</t>
        </is>
      </c>
      <c r="K743" s="7" t="inlineStr">
        <is>
          <t>Isoxazolidinona</t>
        </is>
      </c>
      <c r="L743" s="7" t="inlineStr">
        <is>
          <t>HRAC Grupo F4 (13) — Inibidores da DOXP sintase</t>
        </is>
      </c>
      <c r="M743" s="7" t="inlineStr">
        <is>
          <t>Inibidores da 1-deoxi-D-xilulose 5-fosfato sintase (biossíntese de plastoquinona/carotenoides)</t>
        </is>
      </c>
      <c r="N743" s="7" t="inlineStr">
        <is>
          <t>Categoria 4 — Produto Pouco Tóxico</t>
        </is>
      </c>
      <c r="O743" s="7" t="inlineStr">
        <is>
          <t>Azul PMS Blue 293 C</t>
        </is>
      </c>
      <c r="P743" s="7" t="inlineStr">
        <is>
          <t>Classe II — Produto Muito Perigoso ao Meio Ambiente</t>
        </is>
      </c>
      <c r="Q743" s="9" t="n">
        <v>24</v>
      </c>
      <c r="R743" s="7" t="inlineStr">
        <is>
          <t>Terrestre / Aérea (Drones consultar bula)</t>
        </is>
      </c>
      <c r="S743" s="7" t="inlineStr">
        <is>
          <t>Sem antídoto específico; tratamento sintomático</t>
        </is>
      </c>
      <c r="T743" s="7" t="inlineStr">
        <is>
          <t>RAINBOW DEFENSIVOS AGRÍCOLAS LTDA. / PERTERRA S.A.</t>
        </is>
      </c>
      <c r="U743" s="10">
        <f>HYPERLINK("https://agrofit.agricultura.gov.br/agrofit_cons/principal_agrofit_cons", "Consulta Oficial AGROFIT/MAPA (Nº 16223)")</f>
        <v/>
      </c>
    </row>
    <row r="744" ht="22" customHeight="1">
      <c r="A744" s="11" t="n">
        <v>739</v>
      </c>
      <c r="B744" s="12" t="inlineStr">
        <is>
          <t>Nº 34725</t>
        </is>
      </c>
      <c r="C744" s="13" t="inlineStr">
        <is>
          <t>SPIREEL 1X10L (IMP) RW</t>
        </is>
      </c>
      <c r="D744" s="14" t="inlineStr">
        <is>
          <t>SPIREEL</t>
        </is>
      </c>
      <c r="E744" s="13" t="inlineStr">
        <is>
          <t>Produto Formulado Comercial</t>
        </is>
      </c>
      <c r="F744" s="13" t="inlineStr">
        <is>
          <t>Defensivos</t>
        </is>
      </c>
      <c r="G744" s="13" t="inlineStr">
        <is>
          <t>Fungicida</t>
        </is>
      </c>
      <c r="H744" s="13" t="inlineStr">
        <is>
          <t>SC</t>
        </is>
      </c>
      <c r="I744" s="13" t="inlineStr">
        <is>
          <t>Suspensão Concentrada (SC)</t>
        </is>
      </c>
      <c r="J744" s="13" t="inlineStr">
        <is>
          <t>Fungicida sistêmico preventivo, curativo e erradicante</t>
        </is>
      </c>
      <c r="K744" s="13" t="inlineStr">
        <is>
          <t>Triazolinthiona</t>
        </is>
      </c>
      <c r="L744" s="13" t="inlineStr">
        <is>
          <t>FRAC Grupo 3 (DMI)</t>
        </is>
      </c>
      <c r="M744" s="13" t="inlineStr">
        <is>
          <t>Inibidores da desmetilação de esteróis (DMI - C14-desmetilase)</t>
        </is>
      </c>
      <c r="N744" s="13" t="inlineStr">
        <is>
          <t>Categoria 4 / 5 — Pouco Tóxico</t>
        </is>
      </c>
      <c r="O744" s="13" t="inlineStr">
        <is>
          <t>Azul Intenso</t>
        </is>
      </c>
      <c r="P744" s="13" t="inlineStr">
        <is>
          <t>Classe II — Produto Muito Perigoso ao Meio Ambiente</t>
        </is>
      </c>
      <c r="Q744" s="15" t="n">
        <v>24</v>
      </c>
      <c r="R744" s="13" t="inlineStr">
        <is>
          <t>Terrestre / Aérea (Drones consultar bula)</t>
        </is>
      </c>
      <c r="S744" s="13" t="inlineStr">
        <is>
          <t>Sem antídoto específico; tratamento sintomático</t>
        </is>
      </c>
      <c r="T744" s="13" t="inlineStr">
        <is>
          <t>Rainbow Defensivos</t>
        </is>
      </c>
      <c r="U744" s="16">
        <f>HYPERLINK("https://www.adapar.pr.gov.br/Pagina/Agrotoxicos-Fungicidas", "Registro Oficial Spireel 325 SC (MAPA 34725)")</f>
        <v/>
      </c>
    </row>
    <row r="745" ht="22" customHeight="1">
      <c r="A745" s="5" t="n">
        <v>740</v>
      </c>
      <c r="B745" s="6" t="inlineStr">
        <is>
          <t>Nº 14518</t>
        </is>
      </c>
      <c r="C745" s="7" t="inlineStr">
        <is>
          <t>SOYACLEAN XTRA 2X5KG (IMP) RW</t>
        </is>
      </c>
      <c r="D745" s="8" t="inlineStr">
        <is>
          <t>SOYACLEAN XTRA</t>
        </is>
      </c>
      <c r="E745" s="7" t="inlineStr">
        <is>
          <t>Produto Formulado Comercial</t>
        </is>
      </c>
      <c r="F745" s="7" t="inlineStr">
        <is>
          <t>Defensivos</t>
        </is>
      </c>
      <c r="G745" s="7" t="inlineStr">
        <is>
          <t>Herbicida</t>
        </is>
      </c>
      <c r="H745" s="7" t="inlineStr">
        <is>
          <t>WG</t>
        </is>
      </c>
      <c r="I745" s="7" t="inlineStr">
        <is>
          <t>Grânulos Dispersíveis em Água (WG)</t>
        </is>
      </c>
      <c r="J745" s="7" t="inlineStr">
        <is>
          <t>Herbicida de pré ou pós-emergência</t>
        </is>
      </c>
      <c r="K745" s="7" t="inlineStr">
        <is>
          <t>Imidazolinona</t>
        </is>
      </c>
      <c r="L745" s="7" t="inlineStr">
        <is>
          <t>HRAC Grupo B (2) — Inibidores da ALS</t>
        </is>
      </c>
      <c r="M745" s="7" t="inlineStr">
        <is>
          <t>Inibição da enzima acetolactato sintase (ALS / AHAS)</t>
        </is>
      </c>
      <c r="N745" s="7" t="inlineStr">
        <is>
          <t>Categoria 4 / 5 — Pouco Tóxico (Conforme Bula ANVISA)</t>
        </is>
      </c>
      <c r="O745" s="7" t="inlineStr">
        <is>
          <t>Azul PMS Blue 293 C</t>
        </is>
      </c>
      <c r="P745" s="7" t="inlineStr">
        <is>
          <t>Classe II / III — Perigoso ao Meio Ambiente</t>
        </is>
      </c>
      <c r="Q745" s="9" t="n">
        <v>24</v>
      </c>
      <c r="R745" s="7" t="inlineStr">
        <is>
          <t>Terrestre / Aérea (Drones consultar bula)</t>
        </is>
      </c>
      <c r="S745" s="7" t="inlineStr">
        <is>
          <t>Sem antídoto específico; tratamento sintomático e descontaminação</t>
        </is>
      </c>
      <c r="T745" s="7" t="inlineStr">
        <is>
          <t>RAINBOW DEFENSIVOS AGRÍCOLAS LTDA.</t>
        </is>
      </c>
      <c r="U745" s="10">
        <f>HYPERLINK("https://www.adapar.pr.gov.br/Pagina/Agrotoxicos-Herbicidas", "Registro Oficial Soyaclean Xtra 700 WG (MAPA 14518)")</f>
        <v/>
      </c>
    </row>
    <row r="746" ht="22" customHeight="1">
      <c r="A746" s="11" t="n">
        <v>741</v>
      </c>
      <c r="B746" s="12" t="inlineStr">
        <is>
          <t>Nº 31522</t>
        </is>
      </c>
      <c r="C746" s="13" t="inlineStr">
        <is>
          <t>MITTO 900 (5X1KG)X4 (IMP) RW (VALIDAR)</t>
        </is>
      </c>
      <c r="D746" s="14" t="inlineStr">
        <is>
          <t>MITTO 900 (5X1KG)X4 (IMP) RW (VALIDAR)</t>
        </is>
      </c>
      <c r="E746" s="13" t="inlineStr">
        <is>
          <t>Produto Formulado Comercial</t>
        </is>
      </c>
      <c r="F746" s="13" t="inlineStr">
        <is>
          <t>Defensivos</t>
        </is>
      </c>
      <c r="G746" s="13" t="inlineStr">
        <is>
          <t>Inseticida</t>
        </is>
      </c>
      <c r="H746" s="13" t="inlineStr">
        <is>
          <t>SP</t>
        </is>
      </c>
      <c r="I746" s="13" t="inlineStr">
        <is>
          <t>Pó Solúvel em Água (SP)</t>
        </is>
      </c>
      <c r="J746" s="13" t="inlineStr">
        <is>
          <t>Inseticida sistêmico de contato e ingestão com efeito ovicida/larvicida</t>
        </is>
      </c>
      <c r="K746" s="13" t="inlineStr">
        <is>
          <t>Metilcarbamato de oxima</t>
        </is>
      </c>
      <c r="L746" s="13" t="inlineStr">
        <is>
          <t>IRAC Grupo 1A</t>
        </is>
      </c>
      <c r="M746" s="13" t="inlineStr">
        <is>
          <t>Inibidores reversíveis da enzima acetilcolinesterase (AChE)</t>
        </is>
      </c>
      <c r="N746" s="13" t="inlineStr">
        <is>
          <t>Categoria 2 — Produto Altamente Tóxico</t>
        </is>
      </c>
      <c r="O746" s="13" t="inlineStr">
        <is>
          <t>Vermelho PMS Red 199 C</t>
        </is>
      </c>
      <c r="P746" s="13" t="inlineStr">
        <is>
          <t>Classe II — Produto Muito Perigoso ao Meio Ambiente</t>
        </is>
      </c>
      <c r="Q746" s="15" t="n">
        <v>24</v>
      </c>
      <c r="R746" s="13" t="inlineStr">
        <is>
          <t>Terrestre / Aérea (Drones consultar bula)</t>
        </is>
      </c>
      <c r="S746" s="13" t="inlineStr">
        <is>
          <t>Sulfato de Atropina (antídoto específico; NÃO administrar oximas/pralidoxima em carbamatos)</t>
        </is>
      </c>
      <c r="T746" s="13" t="inlineStr">
        <is>
          <t>RAINBOW DEFENSIVOS AGRÍCOLAS LTDA.</t>
        </is>
      </c>
      <c r="U746" s="16">
        <f>HYPERLINK("https://agrofit.agricultura.gov.br/agrofit_cons/principal_agrofit_cons", "Consulta Oficial AGROFIT/MAPA (Nº 31522)")</f>
        <v/>
      </c>
    </row>
    <row r="747" ht="22" customHeight="1">
      <c r="A747" s="5" t="n">
        <v>742</v>
      </c>
      <c r="B747" s="6" t="inlineStr">
        <is>
          <t>SIPEAGRO (UF-XXXXX)</t>
        </is>
      </c>
      <c r="C747" s="7" t="inlineStr">
        <is>
          <t>BORO GRANULADO 14.5%B - DREYMOOR</t>
        </is>
      </c>
      <c r="D747" s="8" t="inlineStr">
        <is>
          <t>BORO GRANULADO 14.5%B - DREYMOOR</t>
        </is>
      </c>
      <c r="E747" s="7" t="inlineStr">
        <is>
          <t>Fertilizante Mineral / Organomineral</t>
        </is>
      </c>
      <c r="F747" s="7" t="inlineStr">
        <is>
          <t>Fertilizantes</t>
        </is>
      </c>
      <c r="G747" s="7" t="inlineStr">
        <is>
          <t>Fertilizante Químico Inorgânico (Matéria-Prima Cap. 28/38)</t>
        </is>
      </c>
      <c r="H747" s="7" t="inlineStr">
        <is>
          <t>Granulado</t>
        </is>
      </c>
      <c r="I747" s="7" t="inlineStr">
        <is>
          <t>Formulação Padrão (Granulado / Solúvel / Suspensão)</t>
        </is>
      </c>
      <c r="J747" s="7" t="inlineStr">
        <is>
          <t>Aplicação via solo, fertirrigação ou adubação foliar</t>
        </is>
      </c>
      <c r="K747" s="7" t="inlineStr">
        <is>
          <t>Fertilizante Mineral / Organomineral (Lei nº 6.894/1980)</t>
        </is>
      </c>
      <c r="L747" s="7" t="inlineStr">
        <is>
          <t>Nutrição Vegetal SIPEAGRO</t>
        </is>
      </c>
      <c r="M747" s="7" t="inlineStr">
        <is>
          <t>Fornecimento de macro e micronutrientes essenciais ao metabolismo vegetal</t>
        </is>
      </c>
      <c r="N747" s="7" t="inlineStr">
        <is>
          <t>Isento ANVISA (Produto Fertilizante Registrado no SIPEAGRO/MAPA)</t>
        </is>
      </c>
      <c r="O747" s="7" t="inlineStr">
        <is>
          <t>Não Aplicável (Fertilizante)</t>
        </is>
      </c>
      <c r="P747" s="7" t="inlineStr">
        <is>
          <t>Baixo Potencial Poluidor (Uso conforme recomendação agronômica)</t>
        </is>
      </c>
      <c r="Q747" s="9" t="n">
        <v>0</v>
      </c>
      <c r="R747" s="7" t="inlineStr">
        <is>
          <t>Aplicação Dirigida / TS / Solo</t>
        </is>
      </c>
      <c r="S747" s="7" t="inlineStr">
        <is>
          <t>Tratamento sintomático em caso de ingestão acidental</t>
        </is>
      </c>
      <c r="T747" s="7" t="inlineStr">
        <is>
          <t>Estabelecimento Produtor SIPEAGRO/MAPA</t>
        </is>
      </c>
      <c r="U747" s="10">
        <f>HYPERLINK("https://www.gov.br/agricultura/pt-br/assuntos/insumos-agropecuarios/insumos-agricolas/fertilizantes", "Portal SIPEAGRO / MAPA — Fertilizantes e Bioinsumos")</f>
        <v/>
      </c>
    </row>
    <row r="748" ht="22" customHeight="1">
      <c r="A748" s="11" t="n">
        <v>743</v>
      </c>
      <c r="B748" s="12" t="inlineStr">
        <is>
          <t>Nº 27025</t>
        </is>
      </c>
      <c r="C748" s="13" t="inlineStr">
        <is>
          <t>PYROX 1X20L (IMP)</t>
        </is>
      </c>
      <c r="D748" s="14" t="inlineStr">
        <is>
          <t>PYROX</t>
        </is>
      </c>
      <c r="E748" s="13" t="inlineStr">
        <is>
          <t>Produto Formulado Comercial</t>
        </is>
      </c>
      <c r="F748" s="13" t="inlineStr">
        <is>
          <t>Defensivos</t>
        </is>
      </c>
      <c r="G748" s="13" t="inlineStr">
        <is>
          <t>Herbicida</t>
        </is>
      </c>
      <c r="H748" s="13" t="inlineStr">
        <is>
          <t>SC</t>
        </is>
      </c>
      <c r="I748" s="13" t="inlineStr">
        <is>
          <t>Suspensão Concentrada (SC)</t>
        </is>
      </c>
      <c r="J748" s="13" t="inlineStr">
        <is>
          <t>Herbicida seletivo de contato e residual (pré e pós-emergência inicial)</t>
        </is>
      </c>
      <c r="K748" s="13" t="inlineStr">
        <is>
          <t>Imidazolinona</t>
        </is>
      </c>
      <c r="L748" s="13" t="inlineStr">
        <is>
          <t>HRAC Grupo B (2) — Inibidores da ALS</t>
        </is>
      </c>
      <c r="M748" s="13" t="inlineStr">
        <is>
          <t>Inibição da enzima acetolactato sintase (ALS / AHAS)</t>
        </is>
      </c>
      <c r="N748" s="13" t="inlineStr">
        <is>
          <t>Categoria 4 / 5 — Pouco Tóxico</t>
        </is>
      </c>
      <c r="O748" s="13" t="inlineStr">
        <is>
          <t>Azul Intenso</t>
        </is>
      </c>
      <c r="P748" s="13" t="inlineStr">
        <is>
          <t>Classe II — Produto Muito Perigoso ao Meio Ambiente</t>
        </is>
      </c>
      <c r="Q748" s="15" t="n">
        <v>24</v>
      </c>
      <c r="R748" s="13" t="inlineStr">
        <is>
          <t>Terrestre / Aérea (Drones consultar bula)</t>
        </is>
      </c>
      <c r="S748" s="13" t="inlineStr">
        <is>
          <t>Sem antídoto específico; tratamento sintomático</t>
        </is>
      </c>
      <c r="T748" s="13" t="inlineStr">
        <is>
          <t>RAINBOW DEFENSIVOS AGRÍCOLAS LTDA.</t>
        </is>
      </c>
      <c r="U748" s="16">
        <f>HYPERLINK("https://www.adapar.pr.gov.br/Pagina/Agrotoxicos-Herbicidas", "Registro Oficial Pyrox SC (MAPA 27025)")</f>
        <v/>
      </c>
    </row>
    <row r="749" ht="22" customHeight="1">
      <c r="A749" s="5" t="n">
        <v>744</v>
      </c>
      <c r="B749" s="6" t="inlineStr">
        <is>
          <t>Nº 28925</t>
        </is>
      </c>
      <c r="C749" s="7" t="inlineStr">
        <is>
          <t>S-METOLACHLOR 960 EC BINNONG 1X20L (IMP) BB</t>
        </is>
      </c>
      <c r="D749" s="8" t="inlineStr">
        <is>
          <t>S-METOLACHLOR 960 EC BINNONG</t>
        </is>
      </c>
      <c r="E749" s="7" t="inlineStr">
        <is>
          <t>Produto Formulado Comercial</t>
        </is>
      </c>
      <c r="F749" s="7" t="inlineStr">
        <is>
          <t>Defensivos</t>
        </is>
      </c>
      <c r="G749" s="7" t="inlineStr">
        <is>
          <t>Herbicida</t>
        </is>
      </c>
      <c r="H749" s="7" t="inlineStr">
        <is>
          <t>EC</t>
        </is>
      </c>
      <c r="I749" s="7" t="inlineStr">
        <is>
          <t>Concentrado Emulsionável (EC)</t>
        </is>
      </c>
      <c r="J749" s="7" t="inlineStr">
        <is>
          <t>Herbicida seletivo pré-emergente sistêmico</t>
        </is>
      </c>
      <c r="K749" s="7" t="inlineStr">
        <is>
          <t>Cloroacetanilida</t>
        </is>
      </c>
      <c r="L749" s="7" t="inlineStr">
        <is>
          <t>HRAC Grupo K3 (15) — Inibidores de VLCFAs</t>
        </is>
      </c>
      <c r="M749" s="7" t="inlineStr">
        <is>
          <t>Inibidores da síntese de ácidos graxos de cadeia muito longa (divisão celular)</t>
        </is>
      </c>
      <c r="N749" s="7" t="inlineStr">
        <is>
          <t>Categoria 4 — Produto Pouco Tóxico</t>
        </is>
      </c>
      <c r="O749" s="7" t="inlineStr">
        <is>
          <t>Azul PMS Blue 293 C</t>
        </is>
      </c>
      <c r="P749" s="7" t="inlineStr">
        <is>
          <t>Classe II — Produto Muito Perigoso ao Meio Ambiente</t>
        </is>
      </c>
      <c r="Q749" s="9" t="n">
        <v>24</v>
      </c>
      <c r="R749" s="7" t="inlineStr">
        <is>
          <t>Terrestre / Aérea (Drones consultar bula)</t>
        </is>
      </c>
      <c r="S749" s="7" t="inlineStr">
        <is>
          <t>Sem antídoto específico; tratamento sintomático</t>
        </is>
      </c>
      <c r="T749" s="7" t="inlineStr">
        <is>
          <t>GLOBACHEM PROTEÇÃO DE CULTIVOS DO BRASIL LTDA.</t>
        </is>
      </c>
      <c r="U749" s="10">
        <f>HYPERLINK("https://www.adapar.pr.gov.br/Pagina/Agrotoxicos-Herbicidas", "Registro Oficial S-Metolachlor 960 EC Binnong (MAPA 28925)")</f>
        <v/>
      </c>
    </row>
    <row r="750" ht="22" customHeight="1">
      <c r="A750" s="11" t="n">
        <v>745</v>
      </c>
      <c r="B750" s="12" t="inlineStr">
        <is>
          <t>Nº 47125</t>
        </is>
      </c>
      <c r="C750" s="13" t="inlineStr">
        <is>
          <t>CHLORFENAPYR 240 SC YONON 1X20L (IMP) JY (VALIDAR)</t>
        </is>
      </c>
      <c r="D750" s="14" t="inlineStr">
        <is>
          <t>CHLORFENAPYR</t>
        </is>
      </c>
      <c r="E750" s="13" t="inlineStr">
        <is>
          <t>Produto Formulado Comercial</t>
        </is>
      </c>
      <c r="F750" s="13" t="inlineStr">
        <is>
          <t>Defensivos</t>
        </is>
      </c>
      <c r="G750" s="13" t="inlineStr">
        <is>
          <t>Inseticida e Acaricida</t>
        </is>
      </c>
      <c r="H750" s="13" t="inlineStr">
        <is>
          <t>SC</t>
        </is>
      </c>
      <c r="I750" s="13" t="inlineStr">
        <is>
          <t>Suspensão Concentrada (SC)</t>
        </is>
      </c>
      <c r="J750" s="13" t="inlineStr">
        <is>
          <t>Inseticida e acaricida de contato e ingestão com ação translaminar</t>
        </is>
      </c>
      <c r="K750" s="13" t="inlineStr">
        <is>
          <t>Análogo de pirazol (Arilpirrol)</t>
        </is>
      </c>
      <c r="L750" s="13" t="inlineStr">
        <is>
          <t>IRAC Grupo 13</t>
        </is>
      </c>
      <c r="M750" s="13" t="inlineStr">
        <is>
          <t>Desacopladores da fosforilação oxidativa via disrupção do gradiente de prótons</t>
        </is>
      </c>
      <c r="N750" s="13" t="inlineStr">
        <is>
          <t>Categoria 3 / 4 — Moderadamente a Pouco Tóxico</t>
        </is>
      </c>
      <c r="O750" s="13" t="inlineStr">
        <is>
          <t>Amarelo / Azul</t>
        </is>
      </c>
      <c r="P750" s="13" t="inlineStr">
        <is>
          <t>Classe II — Produto Muito Perigoso ao Meio Ambiente</t>
        </is>
      </c>
      <c r="Q750" s="15" t="n">
        <v>24</v>
      </c>
      <c r="R750" s="13" t="inlineStr">
        <is>
          <t>Terrestre / Aérea (Drones consultar bula)</t>
        </is>
      </c>
      <c r="S750" s="13" t="inlineStr">
        <is>
          <t>Sem antídoto específico; controle rigoroso de hipertermia (antitérmicos comuns ineficazes)</t>
        </is>
      </c>
      <c r="T750" s="13" t="inlineStr">
        <is>
          <t>YONON BRASIL DEFENSIVOS AGRÍCOLAS LTDA.</t>
        </is>
      </c>
      <c r="U750" s="16">
        <f>HYPERLINK("https://agrofit.agricultura.gov.br/agrofit_cons/principal_agrofit_cons", "Consulta Oficial AGROFIT/MAPA (Nº 47125)")</f>
        <v/>
      </c>
    </row>
    <row r="751" ht="22" customHeight="1">
      <c r="A751" s="5" t="n">
        <v>746</v>
      </c>
      <c r="B751" s="6" t="inlineStr">
        <is>
          <t>Nº 23623</t>
        </is>
      </c>
      <c r="C751" s="7" t="inlineStr">
        <is>
          <t>GLIMOR WG 1X10KG IMP GG</t>
        </is>
      </c>
      <c r="D751" s="8" t="inlineStr">
        <is>
          <t>GLIMOR WG</t>
        </is>
      </c>
      <c r="E751" s="7" t="inlineStr">
        <is>
          <t>Produto Formulado Comercial</t>
        </is>
      </c>
      <c r="F751" s="7" t="inlineStr">
        <is>
          <t>Defensivos</t>
        </is>
      </c>
      <c r="G751" s="7" t="inlineStr">
        <is>
          <t>Herbicida</t>
        </is>
      </c>
      <c r="H751" s="7" t="inlineStr">
        <is>
          <t>WG</t>
        </is>
      </c>
      <c r="I751" s="7" t="inlineStr">
        <is>
          <t>Grânulos Dispersíveis em Água (WG)</t>
        </is>
      </c>
      <c r="J751" s="7" t="inlineStr">
        <is>
          <t>Herbicida sistêmico de pós-emergência (seletivo condicional p/ OGM)</t>
        </is>
      </c>
      <c r="K751" s="7" t="inlineStr">
        <is>
          <t>Glicina substituída</t>
        </is>
      </c>
      <c r="L751" s="7" t="inlineStr">
        <is>
          <t>HRAC Grupo G (EPSPs)</t>
        </is>
      </c>
      <c r="M751" s="7" t="inlineStr">
        <is>
          <t>Inibidores da enzima EPSPs (Enoil Piruvil Shiquimato Fosfato Sintase)</t>
        </is>
      </c>
      <c r="N751" s="7" t="inlineStr">
        <is>
          <t>Categoria 5 — Produto Improvável de Causar Dano Agudo</t>
        </is>
      </c>
      <c r="O751" s="7" t="inlineStr">
        <is>
          <t>Azul Intenso</t>
        </is>
      </c>
      <c r="P751" s="7" t="inlineStr">
        <is>
          <t>Classe III / IV — Perigoso a Pouco Perigoso ao Meio Ambiente</t>
        </is>
      </c>
      <c r="Q751" s="9" t="n">
        <v>24</v>
      </c>
      <c r="R751" s="7" t="inlineStr">
        <is>
          <t>Terrestre / Aérea (Drones consultar bula)</t>
        </is>
      </c>
      <c r="S751" s="7" t="inlineStr">
        <is>
          <t>Sem antídoto específico (Atropina ineficaz); tratamento sintomático</t>
        </is>
      </c>
      <c r="T751" s="7" t="inlineStr">
        <is>
          <t>RAINBOW DEFENSIVOS AGRÍCOLAS LTDA.</t>
        </is>
      </c>
      <c r="U751" s="10">
        <f>HYPERLINK("https://www.adapar.pr.gov.br/Pagina/Agrotoxicos-Herbicidas", "Registro Oficial Glimor 720 WG (MAPA 23623)")</f>
        <v/>
      </c>
    </row>
    <row r="752" ht="22" customHeight="1">
      <c r="A752" s="11" t="n">
        <v>747</v>
      </c>
      <c r="B752" s="12" t="inlineStr">
        <is>
          <t>Nº 25224</t>
        </is>
      </c>
      <c r="C752" s="13" t="inlineStr">
        <is>
          <t>CLETODIM 240 EC BRILLIANCE 1X20L IMP ZC</t>
        </is>
      </c>
      <c r="D752" s="14" t="inlineStr">
        <is>
          <t>CLETODIM 240 EC BRILLIANCE</t>
        </is>
      </c>
      <c r="E752" s="13" t="inlineStr">
        <is>
          <t>Produto Formulado Comercial</t>
        </is>
      </c>
      <c r="F752" s="13" t="inlineStr">
        <is>
          <t>Defensivos</t>
        </is>
      </c>
      <c r="G752" s="13" t="inlineStr">
        <is>
          <t>Herbicida</t>
        </is>
      </c>
      <c r="H752" s="13" t="inlineStr">
        <is>
          <t>EC</t>
        </is>
      </c>
      <c r="I752" s="13" t="inlineStr">
        <is>
          <t>Concentrado Emulsionável (EC)</t>
        </is>
      </c>
      <c r="J752" s="13" t="inlineStr">
        <is>
          <t>Herbicida graminicida sistêmico seletivo de pós-emergência</t>
        </is>
      </c>
      <c r="K752" s="13" t="inlineStr">
        <is>
          <t>Oxima ciclohexanodiona (DIM)</t>
        </is>
      </c>
      <c r="L752" s="13" t="inlineStr">
        <is>
          <t>HRAC Grupo A (1) — Inibidores da ACCase</t>
        </is>
      </c>
      <c r="M752" s="13" t="inlineStr">
        <is>
          <t>Inibidores da Acetil CoA Carboxilase (ACCase)</t>
        </is>
      </c>
      <c r="N752" s="13" t="inlineStr">
        <is>
          <t>Categoria 4 / 5 — Pouco Tóxico</t>
        </is>
      </c>
      <c r="O752" s="13" t="inlineStr">
        <is>
          <t>Azul Intenso</t>
        </is>
      </c>
      <c r="P752" s="13" t="inlineStr">
        <is>
          <t>Classe III — Produto Perigoso ao Meio Ambiente</t>
        </is>
      </c>
      <c r="Q752" s="15" t="n">
        <v>24</v>
      </c>
      <c r="R752" s="13" t="inlineStr">
        <is>
          <t>Terrestre / Aérea (Drones consultar bula)</t>
        </is>
      </c>
      <c r="S752" s="13" t="inlineStr">
        <is>
          <t>Sem antídoto específico; tratamento sintomático</t>
        </is>
      </c>
      <c r="T752" s="13" t="inlineStr">
        <is>
          <t>GLOBACHEM PROTEÇÃO DE CULTIVOS DO BRASIL LTDA.</t>
        </is>
      </c>
      <c r="U752" s="16">
        <f>HYPERLINK("https://agrofit.agricultura.gov.br/agrofit_cons/principal_agrofit_cons", "Consulta Oficial AGROFIT/MAPA (Nº 25224)")</f>
        <v/>
      </c>
    </row>
    <row r="753" ht="22" customHeight="1">
      <c r="A753" s="5" t="n">
        <v>748</v>
      </c>
      <c r="B753" s="6" t="inlineStr">
        <is>
          <t>Nº 15725</t>
        </is>
      </c>
      <c r="C753" s="7" t="inlineStr">
        <is>
          <t>CLETODIM 360 EC BRILLIANCE 1X20L (IMP) CC</t>
        </is>
      </c>
      <c r="D753" s="8" t="inlineStr">
        <is>
          <t>CLETODIM 360 EC BRILLIANCE</t>
        </is>
      </c>
      <c r="E753" s="7" t="inlineStr">
        <is>
          <t>Produto Formulado Comercial</t>
        </is>
      </c>
      <c r="F753" s="7" t="inlineStr">
        <is>
          <t>Defensivos</t>
        </is>
      </c>
      <c r="G753" s="7" t="inlineStr">
        <is>
          <t>Herbicida</t>
        </is>
      </c>
      <c r="H753" s="7" t="inlineStr">
        <is>
          <t>EC</t>
        </is>
      </c>
      <c r="I753" s="7" t="inlineStr">
        <is>
          <t>Concentrado Emulsionável (EC)</t>
        </is>
      </c>
      <c r="J753" s="7" t="inlineStr">
        <is>
          <t>Herbicida graminicida sistêmico seletivo de pós-emergência</t>
        </is>
      </c>
      <c r="K753" s="7" t="inlineStr">
        <is>
          <t>Oxima ciclohexanodiona (DIM)</t>
        </is>
      </c>
      <c r="L753" s="7" t="inlineStr">
        <is>
          <t>HRAC Grupo A (1) — Inibidores da ACCase</t>
        </is>
      </c>
      <c r="M753" s="7" t="inlineStr">
        <is>
          <t>Inibidores da Acetil CoA Carboxilase (ACCase)</t>
        </is>
      </c>
      <c r="N753" s="7" t="inlineStr">
        <is>
          <t>Categoria 4 / 5 — Pouco Tóxico</t>
        </is>
      </c>
      <c r="O753" s="7" t="inlineStr">
        <is>
          <t>Azul Intenso</t>
        </is>
      </c>
      <c r="P753" s="7" t="inlineStr">
        <is>
          <t>Classe III — Produto Perigoso ao Meio Ambiente</t>
        </is>
      </c>
      <c r="Q753" s="9" t="n">
        <v>24</v>
      </c>
      <c r="R753" s="7" t="inlineStr">
        <is>
          <t>Terrestre / Aérea (Drones consultar bula)</t>
        </is>
      </c>
      <c r="S753" s="7" t="inlineStr">
        <is>
          <t>Sem antídoto específico; tratamento sintomático</t>
        </is>
      </c>
      <c r="T753" s="7" t="inlineStr">
        <is>
          <t>GLOBACHEM PROTEÇÃO DE CULTIVOS DO BRASIL LTDA.</t>
        </is>
      </c>
      <c r="U753" s="10">
        <f>HYPERLINK("https://agrofit.agricultura.gov.br/agrofit_cons/principal_agrofit_cons", "Consulta Oficial AGROFIT/MAPA (Nº 15725)")</f>
        <v/>
      </c>
    </row>
    <row r="754" ht="22" customHeight="1">
      <c r="A754" s="11" t="n">
        <v>749</v>
      </c>
      <c r="B754" s="12" t="inlineStr">
        <is>
          <t>Nº 49425</t>
        </is>
      </c>
      <c r="C754" s="13" t="inlineStr">
        <is>
          <t>GAZINA 500 SC 1X20L IMP BL</t>
        </is>
      </c>
      <c r="D754" s="14" t="inlineStr">
        <is>
          <t>GAZINA</t>
        </is>
      </c>
      <c r="E754" s="13" t="inlineStr">
        <is>
          <t>Produto Formulado Comercial</t>
        </is>
      </c>
      <c r="F754" s="13" t="inlineStr">
        <is>
          <t>Defensivos</t>
        </is>
      </c>
      <c r="G754" s="13" t="inlineStr">
        <is>
          <t>Herbicida</t>
        </is>
      </c>
      <c r="H754" s="13" t="inlineStr">
        <is>
          <t>SC</t>
        </is>
      </c>
      <c r="I754" s="13" t="inlineStr">
        <is>
          <t>Suspensão Concentrada (SC)</t>
        </is>
      </c>
      <c r="J754" s="13" t="inlineStr">
        <is>
          <t>Herbicida seletivo de contato e residual (pré e pós-emergência inicial)</t>
        </is>
      </c>
      <c r="K754" s="13" t="inlineStr">
        <is>
          <t>N-fenilftalimida</t>
        </is>
      </c>
      <c r="L754" s="13" t="inlineStr">
        <is>
          <t>HRAC Grupo E (14) — Inibidores da PROTOX</t>
        </is>
      </c>
      <c r="M754" s="13" t="inlineStr">
        <is>
          <t>Inibidores da enzima protoporfirinogênio oxidase (PROTOX)</t>
        </is>
      </c>
      <c r="N754" s="13" t="inlineStr">
        <is>
          <t>Categoria 4 / 5 — Pouco Tóxico</t>
        </is>
      </c>
      <c r="O754" s="13" t="inlineStr">
        <is>
          <t>Azul Intenso</t>
        </is>
      </c>
      <c r="P754" s="13" t="inlineStr">
        <is>
          <t>Classe II — Produto Muito Perigoso ao Meio Ambiente</t>
        </is>
      </c>
      <c r="Q754" s="15" t="n">
        <v>24</v>
      </c>
      <c r="R754" s="13" t="inlineStr">
        <is>
          <t>Terrestre / Aérea (Drones consultar bula)</t>
        </is>
      </c>
      <c r="S754" s="13" t="inlineStr">
        <is>
          <t>Sem antídoto específico; tratamento sintomático</t>
        </is>
      </c>
      <c r="T754" s="13" t="inlineStr">
        <is>
          <t>RAINBOW DEFENSIVOS AGRÍCOLAS LTDA.</t>
        </is>
      </c>
      <c r="U754" s="16">
        <f>HYPERLINK("https://www.adapar.pr.gov.br/Pagina/Agrotoxicos-Herbicidas", "Registro Oficial Gazina 500 SC (MAPA 49425)")</f>
        <v/>
      </c>
    </row>
    <row r="755" ht="22" customHeight="1">
      <c r="A755" s="5" t="n">
        <v>750</v>
      </c>
      <c r="B755" s="6" t="inlineStr">
        <is>
          <t>Nº 52425</t>
        </is>
      </c>
      <c r="C755" s="7" t="inlineStr">
        <is>
          <t>GEODO 2X10KG IMP SS</t>
        </is>
      </c>
      <c r="D755" s="8" t="inlineStr">
        <is>
          <t>GEODO</t>
        </is>
      </c>
      <c r="E755" s="7" t="inlineStr">
        <is>
          <t>Produto Formulado Comercial</t>
        </is>
      </c>
      <c r="F755" s="7" t="inlineStr">
        <is>
          <t>Defensivos</t>
        </is>
      </c>
      <c r="G755" s="7" t="inlineStr">
        <is>
          <t>Inseticida</t>
        </is>
      </c>
      <c r="H755" s="7" t="inlineStr">
        <is>
          <t>WG</t>
        </is>
      </c>
      <c r="I755" s="7" t="inlineStr">
        <is>
          <t>Grânulos Dispersíveis em Água (WG)</t>
        </is>
      </c>
      <c r="J755" s="7" t="inlineStr">
        <is>
          <t>Inseticida e acaricida de contato e ingestão</t>
        </is>
      </c>
      <c r="K755" s="7" t="inlineStr">
        <is>
          <t>Piretroide (Tipo I)</t>
        </is>
      </c>
      <c r="L755" s="7" t="inlineStr">
        <is>
          <t>IRAC Grupo 3A</t>
        </is>
      </c>
      <c r="M755" s="7" t="inlineStr">
        <is>
          <t>Moduladores de canais de sódio em membranas nervosas</t>
        </is>
      </c>
      <c r="N755" s="7" t="inlineStr">
        <is>
          <t>Categoria 3 — Produto Moderadamente Tóxico</t>
        </is>
      </c>
      <c r="O755" s="7" t="inlineStr">
        <is>
          <t>Amarelo PMS Yellow C</t>
        </is>
      </c>
      <c r="P755" s="7" t="inlineStr">
        <is>
          <t>Classe II — Produto Muito Perigoso ao Meio Ambiente</t>
        </is>
      </c>
      <c r="Q755" s="9" t="n">
        <v>24</v>
      </c>
      <c r="R755" s="7" t="inlineStr">
        <is>
          <t>Terrestre / Aérea (Drones consultar bula)</t>
        </is>
      </c>
      <c r="S755" s="7" t="inlineStr">
        <is>
          <t>Sem antídoto específico; anti-histamínicos e vitamina E tópica para parestesia</t>
        </is>
      </c>
      <c r="T755" s="7" t="inlineStr">
        <is>
          <t>RAINBOW DEFENSIVOS AGRÍCOLAS LTDA.</t>
        </is>
      </c>
      <c r="U755" s="10">
        <f>HYPERLINK("https://www.adapar.pr.gov.br/system/files/publico/Agrotoxicos/lista.pdf", "Registro Oficial Geodo 500 WG (MAPA 52425)")</f>
        <v/>
      </c>
    </row>
    <row r="756" ht="22" customHeight="1">
      <c r="A756" s="11" t="n">
        <v>751</v>
      </c>
      <c r="B756" s="12" t="inlineStr">
        <is>
          <t>Nº 14421</t>
        </is>
      </c>
      <c r="C756" s="13" t="inlineStr">
        <is>
          <t>LEALTY FS 1X20L (IMP) (VALIDAR)</t>
        </is>
      </c>
      <c r="D756" s="14" t="inlineStr">
        <is>
          <t>LEALTY FS</t>
        </is>
      </c>
      <c r="E756" s="13" t="inlineStr">
        <is>
          <t>Produto Formulado Comercial</t>
        </is>
      </c>
      <c r="F756" s="13" t="inlineStr">
        <is>
          <t>Defensivos</t>
        </is>
      </c>
      <c r="G756" s="13" t="inlineStr">
        <is>
          <t>Inseticida e Cupinicida (Fipronil)</t>
        </is>
      </c>
      <c r="H756" s="13" t="inlineStr">
        <is>
          <t>FS</t>
        </is>
      </c>
      <c r="I756" s="13" t="inlineStr">
        <is>
          <t>Suspensão Concentrada para Tratamento de Sementes (FS)</t>
        </is>
      </c>
      <c r="J756" s="13" t="inlineStr">
        <is>
          <t>Inseticida, cupinicida e formicida de contato e ingestão (TS / Solo)</t>
        </is>
      </c>
      <c r="K756" s="13" t="inlineStr">
        <is>
          <t>Pirazol (Fenilpirazol)</t>
        </is>
      </c>
      <c r="L756" s="13" t="inlineStr">
        <is>
          <t>IRAC Grupo 2B</t>
        </is>
      </c>
      <c r="M756" s="13" t="inlineStr">
        <is>
          <t>Bloqueadores de canais de cloro mediados pelo GABA</t>
        </is>
      </c>
      <c r="N756" s="13" t="inlineStr">
        <is>
          <t>Categoria 3 — Produto Moderadamente Tóxico</t>
        </is>
      </c>
      <c r="O756" s="13" t="inlineStr">
        <is>
          <t>Amarelo PMS Yellow C</t>
        </is>
      </c>
      <c r="P756" s="13" t="inlineStr">
        <is>
          <t>Classe II — Produto Muito Perigoso ao Meio Ambiente</t>
        </is>
      </c>
      <c r="Q756" s="15" t="n">
        <v>0</v>
      </c>
      <c r="R756" s="13" t="inlineStr">
        <is>
          <t>Aplicação Dirigida / TS / Solo</t>
        </is>
      </c>
      <c r="S756" s="13" t="inlineStr">
        <is>
          <t>Sem antídoto específico; tratamento sintomático e controle neurológico</t>
        </is>
      </c>
      <c r="T756" s="13" t="inlineStr">
        <is>
          <t>AGRICONNECTION IMPORTADORA E EXPORTADORA DE INSUMOS AGRÍCOLAS LTDA.</t>
        </is>
      </c>
      <c r="U756" s="16">
        <f>HYPERLINK("https://agrofit.agricultura.gov.br/agrofit_cons/principal_agrofit_cons", "Consulta Oficial AGROFIT/MAPA (Nº 14421)")</f>
        <v/>
      </c>
    </row>
    <row r="757" ht="22" customHeight="1">
      <c r="A757" s="5" t="n">
        <v>752</v>
      </c>
      <c r="B757" s="6" t="inlineStr">
        <is>
          <t>Nº 7023</t>
        </is>
      </c>
      <c r="C757" s="7" t="inlineStr">
        <is>
          <t>TORINO 4X5L</t>
        </is>
      </c>
      <c r="D757" s="8" t="inlineStr">
        <is>
          <t>TORINO</t>
        </is>
      </c>
      <c r="E757" s="7" t="inlineStr">
        <is>
          <t>Produto Formulado Comercial</t>
        </is>
      </c>
      <c r="F757" s="7" t="inlineStr">
        <is>
          <t>Defensivos</t>
        </is>
      </c>
      <c r="G757" s="7" t="inlineStr">
        <is>
          <t>Fungicida</t>
        </is>
      </c>
      <c r="H757" s="7" t="inlineStr">
        <is>
          <t>FS</t>
        </is>
      </c>
      <c r="I757" s="7" t="inlineStr">
        <is>
          <t>Suspensão Concentrada para Tratamento de Sementes (FS)</t>
        </is>
      </c>
      <c r="J757" s="7" t="inlineStr">
        <is>
          <t>Fungicida sistêmico preventivo e curativo</t>
        </is>
      </c>
      <c r="K757" s="7" t="inlineStr">
        <is>
          <t>Benzimidazol (Precursor de MBC) + Fenilpiridinamina (2,6-dinitroanilina)</t>
        </is>
      </c>
      <c r="L757" s="7" t="inlineStr">
        <is>
          <t>FRAC Grupo 1 (B1 — MBC) + FRAC Grupo 29 (C5)</t>
        </is>
      </c>
      <c r="M757" s="7" t="inlineStr">
        <is>
          <t>Inibição da montagem da beta-tubulina durante a mitose celular fúngica; Desacoplador da fosforilação oxidativa mitocondrial</t>
        </is>
      </c>
      <c r="N757" s="7" t="inlineStr">
        <is>
          <t>Categoria 4 / 5 — Pouco Tóxico</t>
        </is>
      </c>
      <c r="O757" s="7" t="inlineStr">
        <is>
          <t>Azul Intenso</t>
        </is>
      </c>
      <c r="P757" s="7" t="inlineStr">
        <is>
          <t>Classe III — Produto Perigoso ao Meio Ambiente</t>
        </is>
      </c>
      <c r="Q757" s="9" t="n">
        <v>24</v>
      </c>
      <c r="R757" s="7" t="inlineStr">
        <is>
          <t>Terrestre / Aérea (Drones consultar bula)</t>
        </is>
      </c>
      <c r="S757" s="7" t="inlineStr">
        <is>
          <t>Sem antídoto específico; tratamento sintomático</t>
        </is>
      </c>
      <c r="T757" s="7" t="inlineStr">
        <is>
          <t>Rainbow / Syngenta</t>
        </is>
      </c>
      <c r="U757" s="10">
        <f>HYPERLINK("https://agriculturaaz.com.br/bula-do-torino/", "Bula Oficial Torino (Sipcam/MAPA 7023)")</f>
        <v/>
      </c>
    </row>
    <row r="758" ht="22" customHeight="1">
      <c r="A758" s="11" t="n">
        <v>753</v>
      </c>
      <c r="B758" s="12" t="inlineStr">
        <is>
          <t>Nº 2218</t>
        </is>
      </c>
      <c r="C758" s="13" t="inlineStr">
        <is>
          <t>ACETA 4X5 KG IMP AH</t>
        </is>
      </c>
      <c r="D758" s="14" t="inlineStr">
        <is>
          <t>ACETA 4X5 KG IMP AH</t>
        </is>
      </c>
      <c r="E758" s="13" t="inlineStr">
        <is>
          <t>Produto Formulado Comercial</t>
        </is>
      </c>
      <c r="F758" s="13" t="inlineStr">
        <is>
          <t>Defensivos</t>
        </is>
      </c>
      <c r="G758" s="13" t="inlineStr">
        <is>
          <t>Inseticida</t>
        </is>
      </c>
      <c r="H758" s="13" t="inlineStr">
        <is>
          <t>SP</t>
        </is>
      </c>
      <c r="I758" s="13" t="inlineStr">
        <is>
          <t>SP - Pó Solúvel</t>
        </is>
      </c>
      <c r="J758" s="13" t="inlineStr">
        <is>
          <t>Inseticida sistêmico de contato, ingestão e ação translaminar</t>
        </is>
      </c>
      <c r="K758" s="13" t="inlineStr">
        <is>
          <t>Neonicotinoide</t>
        </is>
      </c>
      <c r="L758" s="13" t="inlineStr">
        <is>
          <t>IRAC Grupo 4A</t>
        </is>
      </c>
      <c r="M758" s="13" t="inlineStr">
        <is>
          <t>Moduladores competitivos de receptores nicotínicos da acetilcolina (nAChR)</t>
        </is>
      </c>
      <c r="N758" s="13" t="inlineStr">
        <is>
          <t>Categoria 5: Produto Improvável de Causa Dano Agudo</t>
        </is>
      </c>
      <c r="O758" s="13" t="inlineStr">
        <is>
          <t>Azul</t>
        </is>
      </c>
      <c r="P758" s="13" t="inlineStr">
        <is>
          <t>Classe II — Produto Muito Perigoso ao Meio Ambiente</t>
        </is>
      </c>
      <c r="Q758" s="15" t="n">
        <v>24</v>
      </c>
      <c r="R758" s="13" t="inlineStr">
        <is>
          <t>Terrestre / Aérea (Drones consultar bula)</t>
        </is>
      </c>
      <c r="S758" s="13" t="inlineStr">
        <is>
          <t>Sem antídoto específico; tratamento sintomático</t>
        </is>
      </c>
      <c r="T758" s="13" t="inlineStr">
        <is>
          <t>AGRICONNECTION IMPORTADORA E EXPORTADORA DE INSUMOS AGRICOLAS LTDA</t>
        </is>
      </c>
      <c r="U758" s="16">
        <f>HYPERLINK("https://agrofit.agricultura.gov.br/agrofit_cons/principal_agrofit_cons", "Consulta Oficial AGROFIT/MAPA (Nº 2218)")</f>
        <v/>
      </c>
    </row>
    <row r="759" ht="22" customHeight="1">
      <c r="A759" s="5" t="n">
        <v>754</v>
      </c>
      <c r="B759" s="6" t="inlineStr">
        <is>
          <t>Nº 1223</t>
        </is>
      </c>
      <c r="C759" s="7" t="inlineStr">
        <is>
          <t>FULLGUARD 12X1L (IMP) RW</t>
        </is>
      </c>
      <c r="D759" s="8" t="inlineStr">
        <is>
          <t>FULLGUARD</t>
        </is>
      </c>
      <c r="E759" s="7" t="inlineStr">
        <is>
          <t>Produto Formulado Comercial</t>
        </is>
      </c>
      <c r="F759" s="7" t="inlineStr">
        <is>
          <t>Defensivos</t>
        </is>
      </c>
      <c r="G759" s="7" t="inlineStr">
        <is>
          <t>Herbicida</t>
        </is>
      </c>
      <c r="H759" s="7" t="inlineStr">
        <is>
          <t>EC</t>
        </is>
      </c>
      <c r="I759" s="7" t="inlineStr">
        <is>
          <t>Concentrado Emulsionável (EC)</t>
        </is>
      </c>
      <c r="J759" s="7" t="inlineStr">
        <is>
          <t>Herbicida de contato de pós-emergência e desfolhante</t>
        </is>
      </c>
      <c r="K759" s="7" t="inlineStr">
        <is>
          <t>Triazolinona</t>
        </is>
      </c>
      <c r="L759" s="7" t="inlineStr">
        <is>
          <t>HRAC Grupo E (14) — Inibidores da PROTOX</t>
        </is>
      </c>
      <c r="M759" s="7" t="inlineStr">
        <is>
          <t>Inibidores da enzima protoporfirinogênio oxidase (PROTOX)</t>
        </is>
      </c>
      <c r="N759" s="7" t="inlineStr">
        <is>
          <t>Categoria 4 — Produto Pouco Tóxico</t>
        </is>
      </c>
      <c r="O759" s="7" t="inlineStr">
        <is>
          <t>Azul PMS Blue 293 C</t>
        </is>
      </c>
      <c r="P759" s="7" t="inlineStr">
        <is>
          <t>Classe II — Produto Muito Perigoso ao Meio Ambiente</t>
        </is>
      </c>
      <c r="Q759" s="9" t="n">
        <v>24</v>
      </c>
      <c r="R759" s="7" t="inlineStr">
        <is>
          <t>Terrestre / Aérea (Drones consultar bula)</t>
        </is>
      </c>
      <c r="S759" s="7" t="inlineStr">
        <is>
          <t>Sem antídoto específico; tratamento sintomático</t>
        </is>
      </c>
      <c r="T759" s="7" t="inlineStr">
        <is>
          <t>Rainbow Defensivos</t>
        </is>
      </c>
      <c r="U759" s="10">
        <f>HYPERLINK("https://agrofit.agricultura.gov.br/agrofit_cons/principal_agrofit_cons", "Consulta Oficial AGROFIT/MAPA (Nº 1223)")</f>
        <v/>
      </c>
    </row>
    <row r="760" ht="22" customHeight="1">
      <c r="A760" s="11" t="n">
        <v>755</v>
      </c>
      <c r="B760" s="12" t="inlineStr">
        <is>
          <t>Nº 19122</t>
        </is>
      </c>
      <c r="C760" s="13" t="inlineStr">
        <is>
          <t>AVENCA 1X20L (IMP) BW</t>
        </is>
      </c>
      <c r="D760" s="14" t="inlineStr">
        <is>
          <t>AVENCA</t>
        </is>
      </c>
      <c r="E760" s="13" t="inlineStr">
        <is>
          <t>Produto Formulado Comercial</t>
        </is>
      </c>
      <c r="F760" s="13" t="inlineStr">
        <is>
          <t>Defensivos</t>
        </is>
      </c>
      <c r="G760" s="13" t="inlineStr">
        <is>
          <t>Fungicida</t>
        </is>
      </c>
      <c r="H760" s="13" t="inlineStr">
        <is>
          <t>SC</t>
        </is>
      </c>
      <c r="I760" s="13" t="inlineStr">
        <is>
          <t>SC - Suspensão Concentrada</t>
        </is>
      </c>
      <c r="J760" s="13" t="inlineStr">
        <is>
          <t>Fungicida protetor de contato multissítio (manejo anti-resistência)</t>
        </is>
      </c>
      <c r="K760" s="13" t="inlineStr">
        <is>
          <t>Isoftalonitrila</t>
        </is>
      </c>
      <c r="L760" s="13" t="inlineStr">
        <is>
          <t>FRAC Grupo M05 — Multissítio</t>
        </is>
      </c>
      <c r="M760" s="13" t="inlineStr">
        <is>
          <t>Atividade de contato multissítio (inativação de grupos tiol enzimáticos)</t>
        </is>
      </c>
      <c r="N760" s="13" t="inlineStr">
        <is>
          <t>Categoria 5: Produto Improvável de Causa Dano Agudo</t>
        </is>
      </c>
      <c r="O760" s="13" t="inlineStr">
        <is>
          <t>Azul</t>
        </is>
      </c>
      <c r="P760" s="13" t="inlineStr">
        <is>
          <t>Classe II — Produto Muito Perigoso ao Meio Ambiente</t>
        </is>
      </c>
      <c r="Q760" s="15" t="n">
        <v>24</v>
      </c>
      <c r="R760" s="13" t="inlineStr">
        <is>
          <t>Terrestre / Aérea (Drones consultar bula)</t>
        </is>
      </c>
      <c r="S760" s="13" t="inlineStr">
        <is>
          <t>Sem antídoto específico; tratamento sintomático e descontaminação ocular/cutânea</t>
        </is>
      </c>
      <c r="T760" s="13" t="inlineStr">
        <is>
          <t>AGRICONNECTION IMPORTADORA E EXPORTADORA DE INSUMOS AGRICOLAS LTDA</t>
        </is>
      </c>
      <c r="U760" s="16">
        <f>HYPERLINK("https://agrofit.agricultura.gov.br/agrofit_cons/principal_agrofit_cons", "Consulta Oficial AGROFIT/MAPA (Nº 19122)")</f>
        <v/>
      </c>
    </row>
    <row r="761" ht="22" customHeight="1">
      <c r="A761" s="5" t="n">
        <v>756</v>
      </c>
      <c r="B761" s="6" t="inlineStr">
        <is>
          <t>Nº 3621</t>
        </is>
      </c>
      <c r="C761" s="7" t="inlineStr">
        <is>
          <t>TECNUP MAX 720 WG 1X10KG</t>
        </is>
      </c>
      <c r="D761" s="8" t="inlineStr">
        <is>
          <t>TECNUP MAX 720 WG</t>
        </is>
      </c>
      <c r="E761" s="7" t="inlineStr">
        <is>
          <t>Produto Formulado Comercial</t>
        </is>
      </c>
      <c r="F761" s="7" t="inlineStr">
        <is>
          <t>Defensivos</t>
        </is>
      </c>
      <c r="G761" s="7" t="inlineStr">
        <is>
          <t>Herbicida</t>
        </is>
      </c>
      <c r="H761" s="7" t="inlineStr">
        <is>
          <t>WG</t>
        </is>
      </c>
      <c r="I761" s="7" t="inlineStr">
        <is>
          <t>Grânulos Dispersíveis em Água (WG)</t>
        </is>
      </c>
      <c r="J761" s="7" t="inlineStr">
        <is>
          <t>Herbicida sistêmico de pós-emergência (seletivo condicional p/ OGM)</t>
        </is>
      </c>
      <c r="K761" s="7" t="inlineStr">
        <is>
          <t>Glicina substituída</t>
        </is>
      </c>
      <c r="L761" s="7" t="inlineStr">
        <is>
          <t>HRAC Grupo G (EPSPs)</t>
        </is>
      </c>
      <c r="M761" s="7" t="inlineStr">
        <is>
          <t>Inibidores da enzima EPSPs (Enoil Piruvil Shiquimato Fosfato Sintase)</t>
        </is>
      </c>
      <c r="N761" s="7" t="inlineStr">
        <is>
          <t>Categoria 5 — Produto Improvável de Causar Dano Agudo</t>
        </is>
      </c>
      <c r="O761" s="7" t="inlineStr">
        <is>
          <t>Azul Intenso</t>
        </is>
      </c>
      <c r="P761" s="7" t="inlineStr">
        <is>
          <t>Classe III / IV — Perigoso a Pouco Perigoso ao Meio Ambiente</t>
        </is>
      </c>
      <c r="Q761" s="9" t="n">
        <v>24</v>
      </c>
      <c r="R761" s="7" t="inlineStr">
        <is>
          <t>Terrestre / Aérea (Drones consultar bula)</t>
        </is>
      </c>
      <c r="S761" s="7" t="inlineStr">
        <is>
          <t>Sem antídoto específico (Atropina ineficaz); tratamento sintomático</t>
        </is>
      </c>
      <c r="T761" s="7" t="inlineStr">
        <is>
          <t>Sinon / Perterra</t>
        </is>
      </c>
      <c r="U761" s="10">
        <f>HYPERLINK("https://agrofit.agricultura.gov.br/agrofit_cons/principal_agrofit_cons", "Consulta Oficial AGROFIT/MAPA (Nº 3621)")</f>
        <v/>
      </c>
    </row>
    <row r="762" ht="22" customHeight="1">
      <c r="A762" s="11" t="n">
        <v>757</v>
      </c>
      <c r="B762" s="12" t="inlineStr">
        <is>
          <t>Nº 5622</t>
        </is>
      </c>
      <c r="C762" s="13" t="inlineStr">
        <is>
          <t>FIERA SC 1X20L</t>
        </is>
      </c>
      <c r="D762" s="14" t="inlineStr">
        <is>
          <t>FIERA SC</t>
        </is>
      </c>
      <c r="E762" s="13" t="inlineStr">
        <is>
          <t>Produto Formulado Comercial</t>
        </is>
      </c>
      <c r="F762" s="13" t="inlineStr">
        <is>
          <t>Defensivos</t>
        </is>
      </c>
      <c r="G762" s="13" t="inlineStr">
        <is>
          <t>Inseticida</t>
        </is>
      </c>
      <c r="H762" s="13" t="inlineStr">
        <is>
          <t>SC</t>
        </is>
      </c>
      <c r="I762" s="13" t="inlineStr">
        <is>
          <t>Suspensão Concentrada (SC)</t>
        </is>
      </c>
      <c r="J762" s="13" t="inlineStr">
        <is>
          <t>Inseticida/acaricida de contato e ingestão</t>
        </is>
      </c>
      <c r="K762" s="13" t="inlineStr">
        <is>
          <t>Tiadiazinona</t>
        </is>
      </c>
      <c r="L762" s="13" t="inlineStr">
        <is>
          <t>IRAC Grupo 16</t>
        </is>
      </c>
      <c r="M762" s="13" t="inlineStr">
        <is>
          <t>Inibidores da biossíntese de quitina, Tipo 1 (Hemípteros)</t>
        </is>
      </c>
      <c r="N762" s="13" t="inlineStr">
        <is>
          <t>Categoria 3 / 4 — Moderadamente a Pouco Tóxico</t>
        </is>
      </c>
      <c r="O762" s="13" t="inlineStr">
        <is>
          <t>Amarelo / Azul</t>
        </is>
      </c>
      <c r="P762" s="13" t="inlineStr">
        <is>
          <t>Classe II — Produto Muito Perigoso ao Meio Ambiente</t>
        </is>
      </c>
      <c r="Q762" s="15" t="n">
        <v>24</v>
      </c>
      <c r="R762" s="13" t="inlineStr">
        <is>
          <t>Terrestre / Aérea (Drones consultar bula)</t>
        </is>
      </c>
      <c r="S762" s="13" t="inlineStr">
        <is>
          <t>Tratamento sintomático conforme grupo químico na bula</t>
        </is>
      </c>
      <c r="T762" s="13" t="inlineStr">
        <is>
          <t>Nichino / Sipcam</t>
        </is>
      </c>
      <c r="U762" s="16">
        <f>HYPERLINK("https://agrofit.agricultura.gov.br/agrofit_cons/principal_agrofit_cons", "Consulta Oficial AGROFIT/MAPA (Nº 5622)")</f>
        <v/>
      </c>
    </row>
    <row r="763" ht="22" customHeight="1">
      <c r="A763" s="5" t="n">
        <v>758</v>
      </c>
      <c r="B763" s="6" t="inlineStr">
        <is>
          <t>Nº 5725</t>
        </is>
      </c>
      <c r="C763" s="7" t="inlineStr">
        <is>
          <t>ESIFON FULL 1X20L (VALIDAR)</t>
        </is>
      </c>
      <c r="D763" s="8" t="inlineStr">
        <is>
          <t>ESIFON FULL</t>
        </is>
      </c>
      <c r="E763" s="7" t="inlineStr">
        <is>
          <t>Produto Formulado Comercial</t>
        </is>
      </c>
      <c r="F763" s="7" t="inlineStr">
        <is>
          <t>Defensivos</t>
        </is>
      </c>
      <c r="G763" s="7" t="inlineStr">
        <is>
          <t>Regulador de Crescimento</t>
        </is>
      </c>
      <c r="H763" s="7" t="inlineStr">
        <is>
          <t>SL</t>
        </is>
      </c>
      <c r="I763" s="7" t="inlineStr">
        <is>
          <t>Concentrado Solúvel (SL)</t>
        </is>
      </c>
      <c r="J763" s="7" t="inlineStr">
        <is>
          <t>Inseticida/acaricida de contato e ingestão</t>
        </is>
      </c>
      <c r="K763" s="7" t="inlineStr">
        <is>
          <t>Ácido Fosfônico (Gerador de Etileno)</t>
        </is>
      </c>
      <c r="L763" s="7" t="inlineStr">
        <is>
          <t>Regulador de Crescimento Vegetal (Precursor de Etileno)</t>
        </is>
      </c>
      <c r="M763" s="7" t="inlineStr">
        <is>
          <t>Liberação de etileno nos tecidos vegetais (maturação e desfolha)</t>
        </is>
      </c>
      <c r="N763" s="7" t="inlineStr">
        <is>
          <t>Categoria 3 / 4 — Moderadamente a Pouco Tóxico</t>
        </is>
      </c>
      <c r="O763" s="7" t="inlineStr">
        <is>
          <t>Amarelo / Azul</t>
        </is>
      </c>
      <c r="P763" s="7" t="inlineStr">
        <is>
          <t>Classe II — Produto Muito Perigoso ao Meio Ambiente</t>
        </is>
      </c>
      <c r="Q763" s="9" t="n">
        <v>24</v>
      </c>
      <c r="R763" s="7" t="inlineStr">
        <is>
          <t>Terrestre / Aérea (Drones consultar bula)</t>
        </is>
      </c>
      <c r="S763" s="7" t="inlineStr">
        <is>
          <t>Tratamento sintomático conforme grupo químico na bula</t>
        </is>
      </c>
      <c r="T763" s="7" t="inlineStr">
        <is>
          <t>Rainbow / Sino-Agri</t>
        </is>
      </c>
      <c r="U763" s="10">
        <f>HYPERLINK("https://agrofit.agricultura.gov.br/agrofit_cons/principal_agrofit_cons", "Consulta Oficial AGROFIT/MAPA (Nº 5725)")</f>
        <v/>
      </c>
    </row>
    <row r="764" ht="22" customHeight="1">
      <c r="A764" s="11" t="n">
        <v>759</v>
      </c>
      <c r="B764" s="12" t="inlineStr">
        <is>
          <t>Nº 14421</t>
        </is>
      </c>
      <c r="C764" s="13" t="inlineStr">
        <is>
          <t>LEALTY FS 4X5L (IMP) (VALIDAR FISCAL)</t>
        </is>
      </c>
      <c r="D764" s="14" t="inlineStr">
        <is>
          <t>LEALTY FS</t>
        </is>
      </c>
      <c r="E764" s="13" t="inlineStr">
        <is>
          <t>Produto Formulado Comercial</t>
        </is>
      </c>
      <c r="F764" s="13" t="inlineStr">
        <is>
          <t>Defensivos</t>
        </is>
      </c>
      <c r="G764" s="13" t="inlineStr">
        <is>
          <t>Inseticida e Cupinicida (Fipronil)</t>
        </is>
      </c>
      <c r="H764" s="13" t="inlineStr">
        <is>
          <t>FS</t>
        </is>
      </c>
      <c r="I764" s="13" t="inlineStr">
        <is>
          <t>Suspensão Concentrada para Tratamento de Sementes (FS)</t>
        </is>
      </c>
      <c r="J764" s="13" t="inlineStr">
        <is>
          <t>Inseticida, cupinicida e formicida de contato e ingestão (TS / Solo)</t>
        </is>
      </c>
      <c r="K764" s="13" t="inlineStr">
        <is>
          <t>Pirazol (Fenilpirazol)</t>
        </is>
      </c>
      <c r="L764" s="13" t="inlineStr">
        <is>
          <t>IRAC Grupo 2B</t>
        </is>
      </c>
      <c r="M764" s="13" t="inlineStr">
        <is>
          <t>Bloqueadores de canais de cloro mediados pelo GABA</t>
        </is>
      </c>
      <c r="N764" s="13" t="inlineStr">
        <is>
          <t>Categoria 3 — Produto Moderadamente Tóxico</t>
        </is>
      </c>
      <c r="O764" s="13" t="inlineStr">
        <is>
          <t>Amarelo PMS Yellow C</t>
        </is>
      </c>
      <c r="P764" s="13" t="inlineStr">
        <is>
          <t>Classe II — Produto Muito Perigoso ao Meio Ambiente</t>
        </is>
      </c>
      <c r="Q764" s="15" t="n">
        <v>0</v>
      </c>
      <c r="R764" s="13" t="inlineStr">
        <is>
          <t>Aplicação Dirigida / TS / Solo</t>
        </is>
      </c>
      <c r="S764" s="13" t="inlineStr">
        <is>
          <t>Sem antídoto específico; tratamento sintomático e controle neurológico</t>
        </is>
      </c>
      <c r="T764" s="13" t="inlineStr">
        <is>
          <t>AGRICONNECTION IMPORTADORA E EXPORTADORA DE INSUMOS AGRÍCOLAS LTDA.</t>
        </is>
      </c>
      <c r="U764" s="16">
        <f>HYPERLINK("https://agrofit.agricultura.gov.br/agrofit_cons/principal_agrofit_cons", "Consulta Oficial AGROFIT/MAPA (Nº 14421)")</f>
        <v/>
      </c>
    </row>
    <row r="765" ht="22" customHeight="1">
      <c r="A765" s="5" t="n">
        <v>760</v>
      </c>
      <c r="B765" s="6" t="inlineStr">
        <is>
          <t>Nº 5622</t>
        </is>
      </c>
      <c r="C765" s="7" t="inlineStr">
        <is>
          <t>FIERA SC 4X5L</t>
        </is>
      </c>
      <c r="D765" s="8" t="inlineStr">
        <is>
          <t>FIERA SC</t>
        </is>
      </c>
      <c r="E765" s="7" t="inlineStr">
        <is>
          <t>Produto Formulado Comercial</t>
        </is>
      </c>
      <c r="F765" s="7" t="inlineStr">
        <is>
          <t>Defensivos</t>
        </is>
      </c>
      <c r="G765" s="7" t="inlineStr">
        <is>
          <t>Inseticida</t>
        </is>
      </c>
      <c r="H765" s="7" t="inlineStr">
        <is>
          <t>SC</t>
        </is>
      </c>
      <c r="I765" s="7" t="inlineStr">
        <is>
          <t>Suspensão Concentrada (SC)</t>
        </is>
      </c>
      <c r="J765" s="7" t="inlineStr">
        <is>
          <t>Inseticida/acaricida de contato e ingestão</t>
        </is>
      </c>
      <c r="K765" s="7" t="inlineStr">
        <is>
          <t>Tiadiazinona</t>
        </is>
      </c>
      <c r="L765" s="7" t="inlineStr">
        <is>
          <t>IRAC Grupo 16</t>
        </is>
      </c>
      <c r="M765" s="7" t="inlineStr">
        <is>
          <t>Inibidores da biossíntese de quitina, Tipo 1 (Hemípteros)</t>
        </is>
      </c>
      <c r="N765" s="7" t="inlineStr">
        <is>
          <t>Categoria 3 / 4 — Moderadamente a Pouco Tóxico</t>
        </is>
      </c>
      <c r="O765" s="7" t="inlineStr">
        <is>
          <t>Amarelo / Azul</t>
        </is>
      </c>
      <c r="P765" s="7" t="inlineStr">
        <is>
          <t>Classe II — Produto Muito Perigoso ao Meio Ambiente</t>
        </is>
      </c>
      <c r="Q765" s="9" t="n">
        <v>24</v>
      </c>
      <c r="R765" s="7" t="inlineStr">
        <is>
          <t>Terrestre / Aérea (Drones consultar bula)</t>
        </is>
      </c>
      <c r="S765" s="7" t="inlineStr">
        <is>
          <t>Tratamento sintomático conforme grupo químico na bula</t>
        </is>
      </c>
      <c r="T765" s="7" t="inlineStr">
        <is>
          <t>Nichino / Sipcam</t>
        </is>
      </c>
      <c r="U765" s="10">
        <f>HYPERLINK("https://agrofit.agricultura.gov.br/agrofit_cons/principal_agrofit_cons", "Consulta Oficial AGROFIT/MAPA (Nº 5622)")</f>
        <v/>
      </c>
    </row>
    <row r="766" ht="22" customHeight="1">
      <c r="A766" s="11" t="n">
        <v>761</v>
      </c>
      <c r="B766" s="12" t="inlineStr">
        <is>
          <t>SIPEAGRO (UF-XXXXX)</t>
        </is>
      </c>
      <c r="C766" s="13" t="inlineStr">
        <is>
          <t>FERTILIZANTE 00 00 60 KCL - YARA</t>
        </is>
      </c>
      <c r="D766" s="14" t="inlineStr">
        <is>
          <t>FERTILIZANTE 00 00 60 KCL - YARA</t>
        </is>
      </c>
      <c r="E766" s="13" t="inlineStr">
        <is>
          <t>Fertilizante Mineral / Organomineral</t>
        </is>
      </c>
      <c r="F766" s="13" t="inlineStr">
        <is>
          <t>Fertilizantes</t>
        </is>
      </c>
      <c r="G766" s="13" t="inlineStr">
        <is>
          <t>Fertilizante Mineral Simples (Potássico / Magnesiano)</t>
        </is>
      </c>
      <c r="H766" s="13" t="inlineStr">
        <is>
          <t>Granulado</t>
        </is>
      </c>
      <c r="I766" s="13" t="inlineStr">
        <is>
          <t>Formulação Padrão (Granulado / Solúvel / Suspensão)</t>
        </is>
      </c>
      <c r="J766" s="13" t="inlineStr">
        <is>
          <t>Aplicação via solo, fertirrigação ou adubação foliar</t>
        </is>
      </c>
      <c r="K766" s="13" t="inlineStr">
        <is>
          <t>Fertilizante Mineral / Organomineral (Lei nº 6.894/1980)</t>
        </is>
      </c>
      <c r="L766" s="13" t="inlineStr">
        <is>
          <t>Nutrição Vegetal SIPEAGRO</t>
        </is>
      </c>
      <c r="M766" s="13" t="inlineStr">
        <is>
          <t>Fornecimento de macro e micronutrientes essenciais ao metabolismo vegetal</t>
        </is>
      </c>
      <c r="N766" s="13" t="inlineStr">
        <is>
          <t>Isento ANVISA (Produto Fertilizante Registrado no SIPEAGRO/MAPA)</t>
        </is>
      </c>
      <c r="O766" s="13" t="inlineStr">
        <is>
          <t>Não Aplicável (Fertilizante)</t>
        </is>
      </c>
      <c r="P766" s="13" t="inlineStr">
        <is>
          <t>Baixo Potencial Poluidor (Uso conforme recomendação agronômica)</t>
        </is>
      </c>
      <c r="Q766" s="15" t="n">
        <v>0</v>
      </c>
      <c r="R766" s="13" t="inlineStr">
        <is>
          <t>Aplicação Dirigida / TS / Solo</t>
        </is>
      </c>
      <c r="S766" s="13" t="inlineStr">
        <is>
          <t>Tratamento sintomático em caso de ingestão acidental</t>
        </is>
      </c>
      <c r="T766" s="13" t="inlineStr">
        <is>
          <t>Estabelecimento Produtor SIPEAGRO/MAPA</t>
        </is>
      </c>
      <c r="U766" s="16">
        <f>HYPERLINK("https://www.gov.br/agricultura/pt-br/assuntos/insumos-agropecuarios/insumos-agricolas/fertilizantes", "Portal SIPEAGRO / MAPA — Fertilizantes e Bioinsumos")</f>
        <v/>
      </c>
    </row>
    <row r="767" ht="22" customHeight="1">
      <c r="A767" s="5" t="n">
        <v>762</v>
      </c>
      <c r="B767" s="6" t="inlineStr">
        <is>
          <t>Nº 40624</t>
        </is>
      </c>
      <c r="C767" s="7" t="inlineStr">
        <is>
          <t>SHARK - CLORPIRIFOS 480 EC (PRINCIPIO ATIVO)</t>
        </is>
      </c>
      <c r="D767" s="8" t="inlineStr">
        <is>
          <t>SHARK - CLORPIRIFOS 480 EC (PRINCIPIO ATIVO)</t>
        </is>
      </c>
      <c r="E767" s="7" t="inlineStr">
        <is>
          <t>Produto Técnico Industrial</t>
        </is>
      </c>
      <c r="F767" s="7" t="inlineStr">
        <is>
          <t>Defensivos</t>
        </is>
      </c>
      <c r="G767" s="7" t="inlineStr">
        <is>
          <t>Inseticida (Princípio Ativo / Técnico)</t>
        </is>
      </c>
      <c r="H767" s="7" t="inlineStr">
        <is>
          <t>EC</t>
        </is>
      </c>
      <c r="I767" s="7" t="inlineStr">
        <is>
          <t>Concentrado Emulsionável (EC)</t>
        </is>
      </c>
      <c r="J767" s="7" t="inlineStr">
        <is>
          <t>Inseticida e acaricida de contato, ingestão e profundidade</t>
        </is>
      </c>
      <c r="K767" s="7" t="inlineStr">
        <is>
          <t>Organofosforado</t>
        </is>
      </c>
      <c r="L767" s="7" t="inlineStr">
        <is>
          <t>IRAC Grupo 1B</t>
        </is>
      </c>
      <c r="M767" s="7" t="inlineStr">
        <is>
          <t>Inibidores da acetilcolinesterase (AChE)</t>
        </is>
      </c>
      <c r="N767" s="7" t="inlineStr">
        <is>
          <t>Categoria 2 — Produto Altamente Tóxico</t>
        </is>
      </c>
      <c r="O767" s="7" t="inlineStr">
        <is>
          <t>Vermelho PMS Red 199 C</t>
        </is>
      </c>
      <c r="P767" s="7" t="inlineStr">
        <is>
          <t>Classe II — Produto Muito Perigoso ao Meio Ambiente</t>
        </is>
      </c>
      <c r="Q767" s="9" t="n">
        <v>24</v>
      </c>
      <c r="R767" s="7" t="inlineStr">
        <is>
          <t>Terrestre / Aérea (Drones consultar bula)</t>
        </is>
      </c>
      <c r="S767" s="7" t="inlineStr">
        <is>
          <t>Atropina (agonista antimuscarínico) e Pralidoxima (reativador de colinesterase)</t>
        </is>
      </c>
      <c r="T767" s="7" t="inlineStr">
        <is>
          <t>AGRICONNECTION IMPORTADORA E EXPORTADORA DE INSUMOS AGRÍCOLAS LTDA.</t>
        </is>
      </c>
      <c r="U767" s="10">
        <f>HYPERLINK("https://agrofit.agricultura.gov.br/agrofit_cons/principal_agrofit_cons", "Consulta Oficial AGROFIT/MAPA (Nº 40624)")</f>
        <v/>
      </c>
    </row>
    <row r="768" ht="22" customHeight="1">
      <c r="A768" s="11" t="n">
        <v>763</v>
      </c>
      <c r="B768" s="12" t="inlineStr">
        <is>
          <t>SIPEAGRO (UF-XXXXX)</t>
        </is>
      </c>
      <c r="C768" s="13" t="inlineStr">
        <is>
          <t>CLORETO DE POTASSIO GRAN KCL - FERTIPAR</t>
        </is>
      </c>
      <c r="D768" s="14" t="inlineStr">
        <is>
          <t>CLORETO DE POTASSIO GRAN KCL - FERTIPAR</t>
        </is>
      </c>
      <c r="E768" s="13" t="inlineStr">
        <is>
          <t>Fertilizante Mineral / Organomineral</t>
        </is>
      </c>
      <c r="F768" s="13" t="inlineStr">
        <is>
          <t>Fertilizantes</t>
        </is>
      </c>
      <c r="G768" s="13" t="inlineStr">
        <is>
          <t>Fertilizante Mineral Simples (Potássico / Magnesiano)</t>
        </is>
      </c>
      <c r="H768" s="13" t="inlineStr">
        <is>
          <t>Granulado</t>
        </is>
      </c>
      <c r="I768" s="13" t="inlineStr">
        <is>
          <t>Formulação Padrão (Granulado / Solúvel / Suspensão)</t>
        </is>
      </c>
      <c r="J768" s="13" t="inlineStr">
        <is>
          <t>Aplicação via solo, fertirrigação ou adubação foliar</t>
        </is>
      </c>
      <c r="K768" s="13" t="inlineStr">
        <is>
          <t>Fertilizante Mineral / Organomineral (Lei nº 6.894/1980)</t>
        </is>
      </c>
      <c r="L768" s="13" t="inlineStr">
        <is>
          <t>Nutrição Vegetal SIPEAGRO</t>
        </is>
      </c>
      <c r="M768" s="13" t="inlineStr">
        <is>
          <t>Fornecimento de macro e micronutrientes essenciais ao metabolismo vegetal</t>
        </is>
      </c>
      <c r="N768" s="13" t="inlineStr">
        <is>
          <t>Isento ANVISA (Produto Fertilizante Registrado no SIPEAGRO/MAPA)</t>
        </is>
      </c>
      <c r="O768" s="13" t="inlineStr">
        <is>
          <t>Não Aplicável (Fertilizante)</t>
        </is>
      </c>
      <c r="P768" s="13" t="inlineStr">
        <is>
          <t>Baixo Potencial Poluidor (Uso conforme recomendação agronômica)</t>
        </is>
      </c>
      <c r="Q768" s="15" t="n">
        <v>0</v>
      </c>
      <c r="R768" s="13" t="inlineStr">
        <is>
          <t>Aplicação Dirigida / TS / Solo</t>
        </is>
      </c>
      <c r="S768" s="13" t="inlineStr">
        <is>
          <t>Tratamento sintomático em caso de ingestão acidental</t>
        </is>
      </c>
      <c r="T768" s="13" t="inlineStr">
        <is>
          <t>Estabelecimento Produtor SIPEAGRO/MAPA</t>
        </is>
      </c>
      <c r="U768" s="16">
        <f>HYPERLINK("https://www.gov.br/agricultura/pt-br/assuntos/insumos-agropecuarios/insumos-agricolas/fertilizantes", "Portal SIPEAGRO / MAPA — Fertilizantes e Bioinsumos")</f>
        <v/>
      </c>
    </row>
    <row r="769" ht="22" customHeight="1">
      <c r="A769" s="5" t="n">
        <v>764</v>
      </c>
      <c r="B769" s="6" t="inlineStr">
        <is>
          <t>Nº 15025</t>
        </is>
      </c>
      <c r="C769" s="7" t="inlineStr">
        <is>
          <t>PROTHIOCONAZOLE + TRIFLOXYSTROBIN 325 SC YONON 1X20L (IMP) YB</t>
        </is>
      </c>
      <c r="D769" s="8" t="inlineStr">
        <is>
          <t>PROTHIOCONAZOLE + TRIFLOXYSTROBIN</t>
        </is>
      </c>
      <c r="E769" s="7" t="inlineStr">
        <is>
          <t>Produto Formulado Comercial</t>
        </is>
      </c>
      <c r="F769" s="7" t="inlineStr">
        <is>
          <t>Defensivos</t>
        </is>
      </c>
      <c r="G769" s="7" t="inlineStr">
        <is>
          <t>Fungicida</t>
        </is>
      </c>
      <c r="H769" s="7" t="inlineStr">
        <is>
          <t>SC</t>
        </is>
      </c>
      <c r="I769" s="7" t="inlineStr">
        <is>
          <t>Suspensão Concentrada (SC)</t>
        </is>
      </c>
      <c r="J769" s="7" t="inlineStr">
        <is>
          <t>Fungicida sistêmico preventivo, curativo e erradicante</t>
        </is>
      </c>
      <c r="K769" s="7" t="inlineStr">
        <is>
          <t>Triazolinthiona</t>
        </is>
      </c>
      <c r="L769" s="7" t="inlineStr">
        <is>
          <t>FRAC Grupo 3 (DMI)</t>
        </is>
      </c>
      <c r="M769" s="7" t="inlineStr">
        <is>
          <t>Inibidores da desmetilação de esteróis (DMI - C14-desmetilase)</t>
        </is>
      </c>
      <c r="N769" s="7" t="inlineStr">
        <is>
          <t>Categoria 4 / 5 — Pouco Tóxico</t>
        </is>
      </c>
      <c r="O769" s="7" t="inlineStr">
        <is>
          <t>Azul Intenso</t>
        </is>
      </c>
      <c r="P769" s="7" t="inlineStr">
        <is>
          <t>Classe II — Produto Muito Perigoso ao Meio Ambiente</t>
        </is>
      </c>
      <c r="Q769" s="9" t="n">
        <v>24</v>
      </c>
      <c r="R769" s="7" t="inlineStr">
        <is>
          <t>Terrestre / Aérea (Drones consultar bula)</t>
        </is>
      </c>
      <c r="S769" s="7" t="inlineStr">
        <is>
          <t>Sem antídoto específico; tratamento sintomático</t>
        </is>
      </c>
      <c r="T769" s="7" t="inlineStr">
        <is>
          <t>YONON BRASIL DEFENSIVOS AGRÍCOLAS LTDA.</t>
        </is>
      </c>
      <c r="U769" s="10">
        <f>HYPERLINK("https://agrofit.agricultura.gov.br/agrofit_cons/principal_agrofit_cons", "Consulta Oficial AGROFIT/MAPA (Nº 15025)")</f>
        <v/>
      </c>
    </row>
    <row r="770" ht="22" customHeight="1">
      <c r="A770" s="11" t="n">
        <v>765</v>
      </c>
      <c r="B770" s="12" t="inlineStr">
        <is>
          <t>Nº 15025</t>
        </is>
      </c>
      <c r="C770" s="13" t="inlineStr">
        <is>
          <t>PROTHIOCONAZOLE + TRIFLOXYSTROBIN 325 SC YONON 4X5L (IMP) YB</t>
        </is>
      </c>
      <c r="D770" s="14" t="inlineStr">
        <is>
          <t>PROTHIOCONAZOLE + TRIFLOXYSTROBIN</t>
        </is>
      </c>
      <c r="E770" s="13" t="inlineStr">
        <is>
          <t>Produto Formulado Comercial</t>
        </is>
      </c>
      <c r="F770" s="13" t="inlineStr">
        <is>
          <t>Defensivos</t>
        </is>
      </c>
      <c r="G770" s="13" t="inlineStr">
        <is>
          <t>Fungicida</t>
        </is>
      </c>
      <c r="H770" s="13" t="inlineStr">
        <is>
          <t>SC</t>
        </is>
      </c>
      <c r="I770" s="13" t="inlineStr">
        <is>
          <t>Suspensão Concentrada (SC)</t>
        </is>
      </c>
      <c r="J770" s="13" t="inlineStr">
        <is>
          <t>Fungicida sistêmico preventivo, curativo e erradicante</t>
        </is>
      </c>
      <c r="K770" s="13" t="inlineStr">
        <is>
          <t>Triazolinthiona</t>
        </is>
      </c>
      <c r="L770" s="13" t="inlineStr">
        <is>
          <t>FRAC Grupo 3 (DMI)</t>
        </is>
      </c>
      <c r="M770" s="13" t="inlineStr">
        <is>
          <t>Inibidores da desmetilação de esteróis (DMI - C14-desmetilase)</t>
        </is>
      </c>
      <c r="N770" s="13" t="inlineStr">
        <is>
          <t>Categoria 4 / 5 — Pouco Tóxico</t>
        </is>
      </c>
      <c r="O770" s="13" t="inlineStr">
        <is>
          <t>Azul Intenso</t>
        </is>
      </c>
      <c r="P770" s="13" t="inlineStr">
        <is>
          <t>Classe II — Produto Muito Perigoso ao Meio Ambiente</t>
        </is>
      </c>
      <c r="Q770" s="15" t="n">
        <v>24</v>
      </c>
      <c r="R770" s="13" t="inlineStr">
        <is>
          <t>Terrestre / Aérea (Drones consultar bula)</t>
        </is>
      </c>
      <c r="S770" s="13" t="inlineStr">
        <is>
          <t>Sem antídoto específico; tratamento sintomático</t>
        </is>
      </c>
      <c r="T770" s="13" t="inlineStr">
        <is>
          <t>YONON BRASIL DEFENSIVOS AGRÍCOLAS LTDA.</t>
        </is>
      </c>
      <c r="U770" s="16">
        <f>HYPERLINK("https://agrofit.agricultura.gov.br/agrofit_cons/principal_agrofit_cons", "Consulta Oficial AGROFIT/MAPA (Nº 15025)")</f>
        <v/>
      </c>
    </row>
    <row r="771" ht="22" customHeight="1">
      <c r="A771" s="5" t="n">
        <v>766</v>
      </c>
      <c r="B771" s="6" t="inlineStr">
        <is>
          <t>Nº 15025</t>
        </is>
      </c>
      <c r="C771" s="7" t="inlineStr">
        <is>
          <t>PROTHIOCONAZOLE + TRIFLOXYSTROBIN 325 SC YONON 1X20L (IMP)</t>
        </is>
      </c>
      <c r="D771" s="8" t="inlineStr">
        <is>
          <t>PROTHIOCONAZOLE + TRIFLOXYSTROBIN</t>
        </is>
      </c>
      <c r="E771" s="7" t="inlineStr">
        <is>
          <t>Produto Formulado Comercial</t>
        </is>
      </c>
      <c r="F771" s="7" t="inlineStr">
        <is>
          <t>Defensivos</t>
        </is>
      </c>
      <c r="G771" s="7" t="inlineStr">
        <is>
          <t>Fungicida</t>
        </is>
      </c>
      <c r="H771" s="7" t="inlineStr">
        <is>
          <t>SC</t>
        </is>
      </c>
      <c r="I771" s="7" t="inlineStr">
        <is>
          <t>Suspensão Concentrada (SC)</t>
        </is>
      </c>
      <c r="J771" s="7" t="inlineStr">
        <is>
          <t>Fungicida sistêmico preventivo, curativo e erradicante</t>
        </is>
      </c>
      <c r="K771" s="7" t="inlineStr">
        <is>
          <t>Triazolinthiona</t>
        </is>
      </c>
      <c r="L771" s="7" t="inlineStr">
        <is>
          <t>FRAC Grupo 3 (DMI)</t>
        </is>
      </c>
      <c r="M771" s="7" t="inlineStr">
        <is>
          <t>Inibidores da desmetilação de esteróis (DMI - C14-desmetilase)</t>
        </is>
      </c>
      <c r="N771" s="7" t="inlineStr">
        <is>
          <t>Categoria 4 / 5 — Pouco Tóxico</t>
        </is>
      </c>
      <c r="O771" s="7" t="inlineStr">
        <is>
          <t>Azul Intenso</t>
        </is>
      </c>
      <c r="P771" s="7" t="inlineStr">
        <is>
          <t>Classe II — Produto Muito Perigoso ao Meio Ambiente</t>
        </is>
      </c>
      <c r="Q771" s="9" t="n">
        <v>24</v>
      </c>
      <c r="R771" s="7" t="inlineStr">
        <is>
          <t>Terrestre / Aérea (Drones consultar bula)</t>
        </is>
      </c>
      <c r="S771" s="7" t="inlineStr">
        <is>
          <t>Sem antídoto específico; tratamento sintomático</t>
        </is>
      </c>
      <c r="T771" s="7" t="inlineStr">
        <is>
          <t>YONON BRASIL DEFENSIVOS AGRÍCOLAS LTDA.</t>
        </is>
      </c>
      <c r="U771" s="10">
        <f>HYPERLINK("https://agrofit.agricultura.gov.br/agrofit_cons/principal_agrofit_cons", "Consulta Oficial AGROFIT/MAPA (Nº 15025)")</f>
        <v/>
      </c>
    </row>
    <row r="772" ht="22" customHeight="1">
      <c r="A772" s="11" t="n">
        <v>767</v>
      </c>
      <c r="B772" s="12" t="inlineStr">
        <is>
          <t>Nº 15025</t>
        </is>
      </c>
      <c r="C772" s="13" t="inlineStr">
        <is>
          <t>PROTHIOCONAZOLE + TRIFLOXYSTROBIN 325 SC YONON 4X5L (IMP)</t>
        </is>
      </c>
      <c r="D772" s="14" t="inlineStr">
        <is>
          <t>PROTHIOCONAZOLE + TRIFLOXYSTROBIN</t>
        </is>
      </c>
      <c r="E772" s="13" t="inlineStr">
        <is>
          <t>Produto Formulado Comercial</t>
        </is>
      </c>
      <c r="F772" s="13" t="inlineStr">
        <is>
          <t>Defensivos</t>
        </is>
      </c>
      <c r="G772" s="13" t="inlineStr">
        <is>
          <t>Fungicida</t>
        </is>
      </c>
      <c r="H772" s="13" t="inlineStr">
        <is>
          <t>SC</t>
        </is>
      </c>
      <c r="I772" s="13" t="inlineStr">
        <is>
          <t>Suspensão Concentrada (SC)</t>
        </is>
      </c>
      <c r="J772" s="13" t="inlineStr">
        <is>
          <t>Fungicida sistêmico preventivo, curativo e erradicante</t>
        </is>
      </c>
      <c r="K772" s="13" t="inlineStr">
        <is>
          <t>Triazolinthiona</t>
        </is>
      </c>
      <c r="L772" s="13" t="inlineStr">
        <is>
          <t>FRAC Grupo 3 (DMI)</t>
        </is>
      </c>
      <c r="M772" s="13" t="inlineStr">
        <is>
          <t>Inibidores da desmetilação de esteróis (DMI - C14-desmetilase)</t>
        </is>
      </c>
      <c r="N772" s="13" t="inlineStr">
        <is>
          <t>Categoria 4 / 5 — Pouco Tóxico</t>
        </is>
      </c>
      <c r="O772" s="13" t="inlineStr">
        <is>
          <t>Azul Intenso</t>
        </is>
      </c>
      <c r="P772" s="13" t="inlineStr">
        <is>
          <t>Classe II — Produto Muito Perigoso ao Meio Ambiente</t>
        </is>
      </c>
      <c r="Q772" s="15" t="n">
        <v>24</v>
      </c>
      <c r="R772" s="13" t="inlineStr">
        <is>
          <t>Terrestre / Aérea (Drones consultar bula)</t>
        </is>
      </c>
      <c r="S772" s="13" t="inlineStr">
        <is>
          <t>Sem antídoto específico; tratamento sintomático</t>
        </is>
      </c>
      <c r="T772" s="13" t="inlineStr">
        <is>
          <t>YONON BRASIL DEFENSIVOS AGRÍCOLAS LTDA.</t>
        </is>
      </c>
      <c r="U772" s="16">
        <f>HYPERLINK("https://agrofit.agricultura.gov.br/agrofit_cons/principal_agrofit_cons", "Consulta Oficial AGROFIT/MAPA (Nº 15025)")</f>
        <v/>
      </c>
    </row>
    <row r="773" ht="22" customHeight="1">
      <c r="A773" s="5" t="n">
        <v>768</v>
      </c>
      <c r="B773" s="6" t="inlineStr">
        <is>
          <t>Nº 15623</t>
        </is>
      </c>
      <c r="C773" s="7" t="inlineStr">
        <is>
          <t>FLUMIOXAZINA 500 (PRINCIPIO ATIVO)</t>
        </is>
      </c>
      <c r="D773" s="8" t="inlineStr">
        <is>
          <t>FLUMIOXAZINA 500 (PRINCIPIO ATIVO)</t>
        </is>
      </c>
      <c r="E773" s="7" t="inlineStr">
        <is>
          <t>Produto Técnico Industrial</t>
        </is>
      </c>
      <c r="F773" s="7" t="inlineStr">
        <is>
          <t>Defensivos</t>
        </is>
      </c>
      <c r="G773" s="7" t="inlineStr">
        <is>
          <t>Herbicida (Princípio Ativo / Técnico)</t>
        </is>
      </c>
      <c r="H773" s="7" t="inlineStr">
        <is>
          <t>TC</t>
        </is>
      </c>
      <c r="I773" s="7" t="inlineStr">
        <is>
          <t>Produto Técnico Industrial (TC)</t>
        </is>
      </c>
      <c r="J773" s="7" t="inlineStr">
        <is>
          <t>Herbicida seletivo de contato e residual (pré e pós-emergência inicial)</t>
        </is>
      </c>
      <c r="K773" s="7" t="inlineStr">
        <is>
          <t>N-fenilftalimida</t>
        </is>
      </c>
      <c r="L773" s="7" t="inlineStr">
        <is>
          <t>HRAC Grupo E (14) — Inibidores da PROTOX</t>
        </is>
      </c>
      <c r="M773" s="7" t="inlineStr">
        <is>
          <t>Inibidores da enzima protoporfirinogênio oxidase (PROTOX)</t>
        </is>
      </c>
      <c r="N773" s="7" t="inlineStr">
        <is>
          <t>Categoria 4 / 5 — Pouco Tóxico</t>
        </is>
      </c>
      <c r="O773" s="7" t="inlineStr">
        <is>
          <t>Azul Intenso</t>
        </is>
      </c>
      <c r="P773" s="7" t="inlineStr">
        <is>
          <t>Classe II — Produto Muito Perigoso ao Meio Ambiente</t>
        </is>
      </c>
      <c r="Q773" s="9" t="n">
        <v>24</v>
      </c>
      <c r="R773" s="7" t="inlineStr">
        <is>
          <t>Terrestre / Aérea (Drones consultar bula)</t>
        </is>
      </c>
      <c r="S773" s="7" t="inlineStr">
        <is>
          <t>Sem antídoto específico; tratamento sintomático</t>
        </is>
      </c>
      <c r="T773" s="7" t="inlineStr">
        <is>
          <t>RAINBOW DEFENSIVOS AGRÍCOLAS LTDA.</t>
        </is>
      </c>
      <c r="U773" s="10">
        <f>HYPERLINK("https://www.adapar.pr.gov.br/Pagina/Agrotoxicos-Herbicidas", "Registro Oficial Tucano 500 WG (MAPA 15623)")</f>
        <v/>
      </c>
    </row>
    <row r="774" ht="22" customHeight="1">
      <c r="A774" s="11" t="n">
        <v>769</v>
      </c>
      <c r="B774" s="12" t="inlineStr">
        <is>
          <t>Nº 2520</t>
        </is>
      </c>
      <c r="C774" s="13" t="inlineStr">
        <is>
          <t>SURVEY 250 FS 1X20L (IMP) YB</t>
        </is>
      </c>
      <c r="D774" s="14" t="inlineStr">
        <is>
          <t>SURVEY 250 FS</t>
        </is>
      </c>
      <c r="E774" s="13" t="inlineStr">
        <is>
          <t>Produto Formulado Comercial</t>
        </is>
      </c>
      <c r="F774" s="13" t="inlineStr">
        <is>
          <t>Defensivos</t>
        </is>
      </c>
      <c r="G774" s="13" t="inlineStr">
        <is>
          <t>Inseticida e Cupinicida (Fipronil)</t>
        </is>
      </c>
      <c r="H774" s="13" t="inlineStr">
        <is>
          <t>FS</t>
        </is>
      </c>
      <c r="I774" s="13" t="inlineStr">
        <is>
          <t>Suspensão Concentrada para Tratamento de Sementes (FS)</t>
        </is>
      </c>
      <c r="J774" s="13" t="inlineStr">
        <is>
          <t>Inseticida, cupinicida e formicida de contato e ingestão (TS / Solo)</t>
        </is>
      </c>
      <c r="K774" s="13" t="inlineStr">
        <is>
          <t>Pirazol (Fenilpirazol)</t>
        </is>
      </c>
      <c r="L774" s="13" t="inlineStr">
        <is>
          <t>IRAC Grupo 2B</t>
        </is>
      </c>
      <c r="M774" s="13" t="inlineStr">
        <is>
          <t>Bloqueadores de canais de cloro mediados pelo GABA</t>
        </is>
      </c>
      <c r="N774" s="13" t="inlineStr">
        <is>
          <t>Categoria 3 — Produto Moderadamente Tóxico</t>
        </is>
      </c>
      <c r="O774" s="13" t="inlineStr">
        <is>
          <t>Amarelo PMS Yellow C</t>
        </is>
      </c>
      <c r="P774" s="13" t="inlineStr">
        <is>
          <t>Classe II — Produto Muito Perigoso ao Meio Ambiente</t>
        </is>
      </c>
      <c r="Q774" s="15" t="n">
        <v>0</v>
      </c>
      <c r="R774" s="13" t="inlineStr">
        <is>
          <t>Aplicação Dirigida / TS / Solo</t>
        </is>
      </c>
      <c r="S774" s="13" t="inlineStr">
        <is>
          <t>Sem antídoto específico; tratamento sintomático e controle neurológico</t>
        </is>
      </c>
      <c r="T774" s="13" t="inlineStr">
        <is>
          <t>Rainbow Defensivos</t>
        </is>
      </c>
      <c r="U774" s="16">
        <f>HYPERLINK("https://agrofit.agricultura.gov.br/agrofit_cons/principal_agrofit_cons", "Consulta Oficial AGROFIT/MAPA (Nº 2520)")</f>
        <v/>
      </c>
    </row>
    <row r="775" ht="22" customHeight="1">
      <c r="A775" s="5" t="n">
        <v>770</v>
      </c>
      <c r="B775" s="6" t="inlineStr">
        <is>
          <t>SIPEAGRO (UF-XXXXX)</t>
        </is>
      </c>
      <c r="C775" s="7" t="inlineStr">
        <is>
          <t>ADUBO SUPER TRIPLO 00-46-00 FERT. MIN - IMPACTPVA</t>
        </is>
      </c>
      <c r="D775" s="8" t="inlineStr">
        <is>
          <t>ADUBO SUPER TRIPLO 00-46-00 FERT. MIN - IMPACTPVA</t>
        </is>
      </c>
      <c r="E775" s="7" t="inlineStr">
        <is>
          <t>Fertilizante Mineral / Organomineral</t>
        </is>
      </c>
      <c r="F775" s="7" t="inlineStr">
        <is>
          <t>Fertilizantes</t>
        </is>
      </c>
      <c r="G775" s="7" t="inlineStr">
        <is>
          <t>Fertilizante Mineral Misto (NPK / NP)</t>
        </is>
      </c>
      <c r="H775" s="7" t="inlineStr">
        <is>
          <t>Granulado</t>
        </is>
      </c>
      <c r="I775" s="7" t="inlineStr">
        <is>
          <t>Formulação Padrão (Granulado / Solúvel / Suspensão)</t>
        </is>
      </c>
      <c r="J775" s="7" t="inlineStr">
        <is>
          <t>Aplicação via solo, fertirrigação ou adubação foliar</t>
        </is>
      </c>
      <c r="K775" s="7" t="inlineStr">
        <is>
          <t>Fertilizante Mineral / Organomineral (Lei nº 6.894/1980)</t>
        </is>
      </c>
      <c r="L775" s="7" t="inlineStr">
        <is>
          <t>Nutrição Vegetal SIPEAGRO</t>
        </is>
      </c>
      <c r="M775" s="7" t="inlineStr">
        <is>
          <t>Fornecimento de macro e micronutrientes essenciais ao metabolismo vegetal</t>
        </is>
      </c>
      <c r="N775" s="7" t="inlineStr">
        <is>
          <t>Isento ANVISA (Produto Fertilizante Registrado no SIPEAGRO/MAPA)</t>
        </is>
      </c>
      <c r="O775" s="7" t="inlineStr">
        <is>
          <t>Não Aplicável (Fertilizante)</t>
        </is>
      </c>
      <c r="P775" s="7" t="inlineStr">
        <is>
          <t>Baixo Potencial Poluidor (Uso conforme recomendação agronômica)</t>
        </is>
      </c>
      <c r="Q775" s="9" t="n">
        <v>0</v>
      </c>
      <c r="R775" s="7" t="inlineStr">
        <is>
          <t>Aplicação Dirigida / TS / Solo</t>
        </is>
      </c>
      <c r="S775" s="7" t="inlineStr">
        <is>
          <t>Tratamento sintomático em caso de ingestão acidental</t>
        </is>
      </c>
      <c r="T775" s="7" t="inlineStr">
        <is>
          <t>Estabelecimento Produtor SIPEAGRO/MAPA</t>
        </is>
      </c>
      <c r="U775" s="10">
        <f>HYPERLINK("https://www.gov.br/agricultura/pt-br/assuntos/insumos-agropecuarios/insumos-agricolas/fertilizantes", "Portal SIPEAGRO / MAPA — Fertilizantes e Bioinsumos")</f>
        <v/>
      </c>
    </row>
    <row r="776" ht="22" customHeight="1">
      <c r="A776" s="11" t="n">
        <v>771</v>
      </c>
      <c r="B776" s="12" t="inlineStr">
        <is>
          <t>Nº 40624</t>
        </is>
      </c>
      <c r="C776" s="13" t="inlineStr">
        <is>
          <t>SHARK 1X20L (IMP) DL</t>
        </is>
      </c>
      <c r="D776" s="14" t="inlineStr">
        <is>
          <t>SHARK</t>
        </is>
      </c>
      <c r="E776" s="13" t="inlineStr">
        <is>
          <t>Produto Formulado Comercial</t>
        </is>
      </c>
      <c r="F776" s="13" t="inlineStr">
        <is>
          <t>Defensivos</t>
        </is>
      </c>
      <c r="G776" s="13" t="inlineStr">
        <is>
          <t>Inseticida</t>
        </is>
      </c>
      <c r="H776" s="13" t="inlineStr">
        <is>
          <t>EC</t>
        </is>
      </c>
      <c r="I776" s="13" t="inlineStr">
        <is>
          <t>Concentrado Emulsionável (EC)</t>
        </is>
      </c>
      <c r="J776" s="13" t="inlineStr">
        <is>
          <t>Inseticida e acaricida de contato, ingestão e profundidade</t>
        </is>
      </c>
      <c r="K776" s="13" t="inlineStr">
        <is>
          <t>Organofosforado</t>
        </is>
      </c>
      <c r="L776" s="13" t="inlineStr">
        <is>
          <t>IRAC Grupo 1B</t>
        </is>
      </c>
      <c r="M776" s="13" t="inlineStr">
        <is>
          <t>Inibidores da acetilcolinesterase (AChE)</t>
        </is>
      </c>
      <c r="N776" s="13" t="inlineStr">
        <is>
          <t>Categoria 2 — Produto Altamente Tóxico</t>
        </is>
      </c>
      <c r="O776" s="13" t="inlineStr">
        <is>
          <t>Vermelho PMS Red 199 C</t>
        </is>
      </c>
      <c r="P776" s="13" t="inlineStr">
        <is>
          <t>Classe II — Produto Muito Perigoso ao Meio Ambiente</t>
        </is>
      </c>
      <c r="Q776" s="15" t="n">
        <v>24</v>
      </c>
      <c r="R776" s="13" t="inlineStr">
        <is>
          <t>Terrestre / Aérea (Drones consultar bula)</t>
        </is>
      </c>
      <c r="S776" s="13" t="inlineStr">
        <is>
          <t>Atropina (agonista antimuscarínico) e Pralidoxima (reativador de colinesterase)</t>
        </is>
      </c>
      <c r="T776" s="13" t="inlineStr">
        <is>
          <t>AGRICONNECTION IMPORTADORA E EXPORTADORA DE INSUMOS AGRÍCOLAS LTDA.</t>
        </is>
      </c>
      <c r="U776" s="16">
        <f>HYPERLINK("https://agrofit.agricultura.gov.br/agrofit_cons/principal_agrofit_cons", "Consulta Oficial AGROFIT/MAPA (Nº 40624)")</f>
        <v/>
      </c>
    </row>
    <row r="777" ht="22" customHeight="1">
      <c r="A777" s="5" t="n">
        <v>772</v>
      </c>
      <c r="B777" s="6" t="inlineStr">
        <is>
          <t>Nº 14623</t>
        </is>
      </c>
      <c r="C777" s="7" t="inlineStr">
        <is>
          <t>METSULFUROM ULTRA 50X0,1KG (IMP) JA (VALIDAR)</t>
        </is>
      </c>
      <c r="D777" s="8" t="inlineStr">
        <is>
          <t>METSULFUROM ULTRA 50X0,1KG (IMP) JA (VALIDAR)</t>
        </is>
      </c>
      <c r="E777" s="7" t="inlineStr">
        <is>
          <t>Produto Formulado Comercial</t>
        </is>
      </c>
      <c r="F777" s="7" t="inlineStr">
        <is>
          <t>Defensivos</t>
        </is>
      </c>
      <c r="G777" s="7" t="inlineStr">
        <is>
          <t>Herbicida</t>
        </is>
      </c>
      <c r="H777" s="7" t="inlineStr">
        <is>
          <t>WG</t>
        </is>
      </c>
      <c r="I777" s="7" t="inlineStr">
        <is>
          <t>Grânulos Dispersíveis em Água (WG)</t>
        </is>
      </c>
      <c r="J777" s="7" t="inlineStr">
        <is>
          <t>Herbicida de pré ou pós-emergência</t>
        </is>
      </c>
      <c r="K777" s="7" t="inlineStr">
        <is>
          <t>Sulfonilureia</t>
        </is>
      </c>
      <c r="L777" s="7" t="inlineStr">
        <is>
          <t>HRAC Grupo B (2) — Inibidores da ALS</t>
        </is>
      </c>
      <c r="M777" s="7" t="inlineStr">
        <is>
          <t>Inibição da enzima acetolactato sintase (ALS / AHAS)</t>
        </is>
      </c>
      <c r="N777" s="7" t="inlineStr">
        <is>
          <t>Categoria 4 / 5 — Pouco Tóxico (Conforme Bula ANVISA)</t>
        </is>
      </c>
      <c r="O777" s="7" t="inlineStr">
        <is>
          <t>Azul PMS Blue 293 C</t>
        </is>
      </c>
      <c r="P777" s="7" t="inlineStr">
        <is>
          <t>Classe II / III — Perigoso ao Meio Ambiente</t>
        </is>
      </c>
      <c r="Q777" s="9" t="n">
        <v>24</v>
      </c>
      <c r="R777" s="7" t="inlineStr">
        <is>
          <t>Terrestre / Aérea (Drones consultar bula)</t>
        </is>
      </c>
      <c r="S777" s="7" t="inlineStr">
        <is>
          <t>Sem antídoto específico; tratamento sintomático e descontaminação</t>
        </is>
      </c>
      <c r="T777" s="7" t="inlineStr">
        <is>
          <t>AGRICONNECTION IMPORTADORA E EXPORTADORA DE INSUMOS AGRÍCOLAS LTDA.</t>
        </is>
      </c>
      <c r="U777" s="10">
        <f>HYPERLINK("https://www.adapar.pr.gov.br/Pagina/Agrotoxicos-Herbicidas", "Registro Oficial Milha 600 WG (MAPA 14623)")</f>
        <v/>
      </c>
    </row>
    <row r="778" ht="22" customHeight="1">
      <c r="A778" s="11" t="n">
        <v>773</v>
      </c>
      <c r="B778" s="12" t="inlineStr">
        <is>
          <t>Nº 1838604</t>
        </is>
      </c>
      <c r="C778" s="13" t="inlineStr">
        <is>
          <t>OXYFLUORFEN 240 EC PROVENTIS 1x20L (IMP) NN</t>
        </is>
      </c>
      <c r="D778" s="14" t="inlineStr">
        <is>
          <t>OXYFLUORFEN 240 EC PROVENTIS</t>
        </is>
      </c>
      <c r="E778" s="13" t="inlineStr">
        <is>
          <t>Produto Formulado Comercial</t>
        </is>
      </c>
      <c r="F778" s="13" t="inlineStr">
        <is>
          <t>Defensivos</t>
        </is>
      </c>
      <c r="G778" s="13" t="inlineStr">
        <is>
          <t>Herbicida</t>
        </is>
      </c>
      <c r="H778" s="13" t="inlineStr">
        <is>
          <t>EC</t>
        </is>
      </c>
      <c r="I778" s="13" t="inlineStr">
        <is>
          <t>Concentrado Emulsionável (EC)</t>
        </is>
      </c>
      <c r="J778" s="13" t="inlineStr">
        <is>
          <t>Herbicida de pré ou pós-emergência</t>
        </is>
      </c>
      <c r="K778" s="13" t="inlineStr">
        <is>
          <t>Éter Difenílico</t>
        </is>
      </c>
      <c r="L778" s="13" t="inlineStr">
        <is>
          <t>HRAC Grupo E (14) — Inibidores da PROTOX</t>
        </is>
      </c>
      <c r="M778" s="13" t="inlineStr">
        <is>
          <t>Inibição da enzima protoporfirinogênio oxidase (PROTOX / PPO)</t>
        </is>
      </c>
      <c r="N778" s="13" t="inlineStr">
        <is>
          <t>Categoria 4 / 5 — Pouco Tóxico (Conforme Bula ANVISA)</t>
        </is>
      </c>
      <c r="O778" s="13" t="inlineStr">
        <is>
          <t>Azul PMS Blue 293 C</t>
        </is>
      </c>
      <c r="P778" s="13" t="inlineStr">
        <is>
          <t>Classe II / III — Perigoso ao Meio Ambiente</t>
        </is>
      </c>
      <c r="Q778" s="15" t="n">
        <v>24</v>
      </c>
      <c r="R778" s="13" t="inlineStr">
        <is>
          <t>Terrestre / Aérea (Drones consultar bula)</t>
        </is>
      </c>
      <c r="S778" s="13" t="inlineStr">
        <is>
          <t>Sem antídoto específico; tratamento sintomático e descontaminação</t>
        </is>
      </c>
      <c r="T778" s="13" t="inlineStr">
        <is>
          <t>Proventis / Corteva</t>
        </is>
      </c>
      <c r="U778" s="16">
        <f>HYPERLINK("https://agrofit.agricultura.gov.br/agrofit_cons/principal_agrofit_cons", "Consulta Oficial AGROFIT/MAPA (Nº 1838604)")</f>
        <v/>
      </c>
    </row>
    <row r="779" ht="22" customHeight="1">
      <c r="A779" s="5" t="n">
        <v>774</v>
      </c>
      <c r="B779" s="6" t="inlineStr">
        <is>
          <t>Nº 47125</t>
        </is>
      </c>
      <c r="C779" s="7" t="inlineStr">
        <is>
          <t>CHLORFENAPYR 240 SC YONON 1x20L (IMP) YY (VALIDAR)</t>
        </is>
      </c>
      <c r="D779" s="8" t="inlineStr">
        <is>
          <t>CHLORFENAPYR</t>
        </is>
      </c>
      <c r="E779" s="7" t="inlineStr">
        <is>
          <t>Produto Formulado Comercial</t>
        </is>
      </c>
      <c r="F779" s="7" t="inlineStr">
        <is>
          <t>Defensivos</t>
        </is>
      </c>
      <c r="G779" s="7" t="inlineStr">
        <is>
          <t>Inseticida e Acaricida</t>
        </is>
      </c>
      <c r="H779" s="7" t="inlineStr">
        <is>
          <t>SC</t>
        </is>
      </c>
      <c r="I779" s="7" t="inlineStr">
        <is>
          <t>Suspensão Concentrada (SC)</t>
        </is>
      </c>
      <c r="J779" s="7" t="inlineStr">
        <is>
          <t>Inseticida e acaricida de contato e ingestão com ação translaminar</t>
        </is>
      </c>
      <c r="K779" s="7" t="inlineStr">
        <is>
          <t>Análogo de pirazol (Arilpirrol)</t>
        </is>
      </c>
      <c r="L779" s="7" t="inlineStr">
        <is>
          <t>IRAC Grupo 13</t>
        </is>
      </c>
      <c r="M779" s="7" t="inlineStr">
        <is>
          <t>Desacopladores da fosforilação oxidativa via disrupção do gradiente de prótons</t>
        </is>
      </c>
      <c r="N779" s="7" t="inlineStr">
        <is>
          <t>Categoria 3 / 4 — Moderadamente a Pouco Tóxico</t>
        </is>
      </c>
      <c r="O779" s="7" t="inlineStr">
        <is>
          <t>Amarelo / Azul</t>
        </is>
      </c>
      <c r="P779" s="7" t="inlineStr">
        <is>
          <t>Classe II — Produto Muito Perigoso ao Meio Ambiente</t>
        </is>
      </c>
      <c r="Q779" s="9" t="n">
        <v>24</v>
      </c>
      <c r="R779" s="7" t="inlineStr">
        <is>
          <t>Terrestre / Aérea (Drones consultar bula)</t>
        </is>
      </c>
      <c r="S779" s="7" t="inlineStr">
        <is>
          <t>Sem antídoto específico; controle rigoroso de hipertermia (antitérmicos comuns ineficazes)</t>
        </is>
      </c>
      <c r="T779" s="7" t="inlineStr">
        <is>
          <t>YONON BRASIL DEFENSIVOS AGRÍCOLAS LTDA.</t>
        </is>
      </c>
      <c r="U779" s="10">
        <f>HYPERLINK("https://agrofit.agricultura.gov.br/agrofit_cons/principal_agrofit_cons", "Consulta Oficial AGROFIT/MAPA (Nº 47125)")</f>
        <v/>
      </c>
    </row>
    <row r="780" ht="22" customHeight="1">
      <c r="A780" s="11" t="n">
        <v>775</v>
      </c>
      <c r="B780" s="12" t="inlineStr">
        <is>
          <t>Nº 5725</t>
        </is>
      </c>
      <c r="C780" s="13" t="inlineStr">
        <is>
          <t>ESIFON FULL 4X5L (IMP) RW (VALIDAR)</t>
        </is>
      </c>
      <c r="D780" s="14" t="inlineStr">
        <is>
          <t>ESIFON FULL</t>
        </is>
      </c>
      <c r="E780" s="13" t="inlineStr">
        <is>
          <t>Produto Formulado Comercial</t>
        </is>
      </c>
      <c r="F780" s="13" t="inlineStr">
        <is>
          <t>Defensivos</t>
        </is>
      </c>
      <c r="G780" s="13" t="inlineStr">
        <is>
          <t>Regulador de Crescimento</t>
        </is>
      </c>
      <c r="H780" s="13" t="inlineStr">
        <is>
          <t>SL</t>
        </is>
      </c>
      <c r="I780" s="13" t="inlineStr">
        <is>
          <t>Concentrado Solúvel (SL)</t>
        </is>
      </c>
      <c r="J780" s="13" t="inlineStr">
        <is>
          <t>Inseticida/acaricida de contato e ingestão</t>
        </is>
      </c>
      <c r="K780" s="13" t="inlineStr">
        <is>
          <t>Ácido Fosfônico (Gerador de Etileno)</t>
        </is>
      </c>
      <c r="L780" s="13" t="inlineStr">
        <is>
          <t>Regulador de Crescimento Vegetal (Precursor de Etileno)</t>
        </is>
      </c>
      <c r="M780" s="13" t="inlineStr">
        <is>
          <t>Liberação de etileno nos tecidos vegetais (maturação e desfolha)</t>
        </is>
      </c>
      <c r="N780" s="13" t="inlineStr">
        <is>
          <t>Categoria 3 / 4 — Moderadamente a Pouco Tóxico</t>
        </is>
      </c>
      <c r="O780" s="13" t="inlineStr">
        <is>
          <t>Amarelo / Azul</t>
        </is>
      </c>
      <c r="P780" s="13" t="inlineStr">
        <is>
          <t>Classe II — Produto Muito Perigoso ao Meio Ambiente</t>
        </is>
      </c>
      <c r="Q780" s="15" t="n">
        <v>24</v>
      </c>
      <c r="R780" s="13" t="inlineStr">
        <is>
          <t>Terrestre / Aérea (Drones consultar bula)</t>
        </is>
      </c>
      <c r="S780" s="13" t="inlineStr">
        <is>
          <t>Tratamento sintomático conforme grupo químico na bula</t>
        </is>
      </c>
      <c r="T780" s="13" t="inlineStr">
        <is>
          <t>Rainbow / Sino-Agri</t>
        </is>
      </c>
      <c r="U780" s="16">
        <f>HYPERLINK("https://agrofit.agricultura.gov.br/agrofit_cons/principal_agrofit_cons", "Consulta Oficial AGROFIT/MAPA (Nº 5725)")</f>
        <v/>
      </c>
    </row>
    <row r="781" ht="22" customHeight="1">
      <c r="A781" s="5" t="n">
        <v>776</v>
      </c>
      <c r="B781" s="6" t="inlineStr">
        <is>
          <t>Nº 14623</t>
        </is>
      </c>
      <c r="C781" s="7" t="inlineStr">
        <is>
          <t>MILHA 6Kg (30 x 0,2 Kg) IMP AA</t>
        </is>
      </c>
      <c r="D781" s="8" t="inlineStr">
        <is>
          <t>MILHA</t>
        </is>
      </c>
      <c r="E781" s="7" t="inlineStr">
        <is>
          <t>Produto Formulado Comercial</t>
        </is>
      </c>
      <c r="F781" s="7" t="inlineStr">
        <is>
          <t>Defensivos</t>
        </is>
      </c>
      <c r="G781" s="7" t="inlineStr">
        <is>
          <t>Herbicida</t>
        </is>
      </c>
      <c r="H781" s="7" t="inlineStr">
        <is>
          <t>WG</t>
        </is>
      </c>
      <c r="I781" s="7" t="inlineStr">
        <is>
          <t>Grânulos Dispersíveis em Água (WG)</t>
        </is>
      </c>
      <c r="J781" s="7" t="inlineStr">
        <is>
          <t>Herbicida de pré ou pós-emergência</t>
        </is>
      </c>
      <c r="K781" s="7" t="inlineStr">
        <is>
          <t>Sulfonilureia</t>
        </is>
      </c>
      <c r="L781" s="7" t="inlineStr">
        <is>
          <t>HRAC Grupo B (2) — Inibidores da ALS</t>
        </is>
      </c>
      <c r="M781" s="7" t="inlineStr">
        <is>
          <t>Inibição da enzima acetolactato sintase (ALS / AHAS)</t>
        </is>
      </c>
      <c r="N781" s="7" t="inlineStr">
        <is>
          <t>Categoria 4 / 5 — Pouco Tóxico (Conforme Bula ANVISA)</t>
        </is>
      </c>
      <c r="O781" s="7" t="inlineStr">
        <is>
          <t>Azul PMS Blue 293 C</t>
        </is>
      </c>
      <c r="P781" s="7" t="inlineStr">
        <is>
          <t>Classe II / III — Perigoso ao Meio Ambiente</t>
        </is>
      </c>
      <c r="Q781" s="9" t="n">
        <v>24</v>
      </c>
      <c r="R781" s="7" t="inlineStr">
        <is>
          <t>Terrestre / Aérea (Drones consultar bula)</t>
        </is>
      </c>
      <c r="S781" s="7" t="inlineStr">
        <is>
          <t>Sem antídoto específico; tratamento sintomático e descontaminação</t>
        </is>
      </c>
      <c r="T781" s="7" t="inlineStr">
        <is>
          <t>Agriconnection Imp. e Exp.</t>
        </is>
      </c>
      <c r="U781" s="10">
        <f>HYPERLINK("https://www.adapar.pr.gov.br/Pagina/Agrotoxicos-Herbicidas", "Registro Oficial Milha 600 WG (MAPA 14623)")</f>
        <v/>
      </c>
    </row>
    <row r="782" ht="22" customHeight="1">
      <c r="A782" s="11" t="n">
        <v>777</v>
      </c>
      <c r="B782" s="12" t="inlineStr">
        <is>
          <t>VINCULAR MARCA</t>
        </is>
      </c>
      <c r="C782" s="13" t="inlineStr">
        <is>
          <t>FLUMIOXAZINA 480 (PRINCIPIO ATIVO)</t>
        </is>
      </c>
      <c r="D782" s="14" t="inlineStr">
        <is>
          <t>FLUMIOXAZINA 480 (PRINCIPIO ATIVO)</t>
        </is>
      </c>
      <c r="E782" s="13" t="inlineStr">
        <is>
          <t>Produto Técnico Industrial</t>
        </is>
      </c>
      <c r="F782" s="13" t="inlineStr">
        <is>
          <t>Defensivos</t>
        </is>
      </c>
      <c r="G782" s="13" t="inlineStr">
        <is>
          <t>Herbicida (Princípio Ativo / Técnico)</t>
        </is>
      </c>
      <c r="H782" s="13" t="inlineStr">
        <is>
          <t>TC</t>
        </is>
      </c>
      <c r="I782" s="13" t="inlineStr">
        <is>
          <t>Produto Técnico Industrial (TC)</t>
        </is>
      </c>
      <c r="J782" s="13" t="inlineStr">
        <is>
          <t>Herbicida seletivo de contato e residual (pré e pós-emergência inicial)</t>
        </is>
      </c>
      <c r="K782" s="13" t="inlineStr">
        <is>
          <t>N-fenilftalimida</t>
        </is>
      </c>
      <c r="L782" s="13" t="inlineStr">
        <is>
          <t>HRAC Grupo E (14) — Inibidores da PROTOX</t>
        </is>
      </c>
      <c r="M782" s="13" t="inlineStr">
        <is>
          <t>Inibidores da enzima protoporfirinogênio oxidase (PROTOX)</t>
        </is>
      </c>
      <c r="N782" s="13" t="inlineStr">
        <is>
          <t>Categoria 4 / 5 — Pouco Tóxico</t>
        </is>
      </c>
      <c r="O782" s="13" t="inlineStr">
        <is>
          <t>Azul Intenso</t>
        </is>
      </c>
      <c r="P782" s="13" t="inlineStr">
        <is>
          <t>Classe II — Produto Muito Perigoso ao Meio Ambiente</t>
        </is>
      </c>
      <c r="Q782" s="15" t="n">
        <v>24</v>
      </c>
      <c r="R782" s="13" t="inlineStr">
        <is>
          <t>Terrestre / Aérea (Drones consultar bula)</t>
        </is>
      </c>
      <c r="S782" s="13" t="inlineStr">
        <is>
          <t>Sem antídoto específico; tratamento sintomático</t>
        </is>
      </c>
      <c r="T782" s="13" t="inlineStr">
        <is>
          <t>SUMITOMO CHEMICAL DO BRASIL REPRESENTAÇÕES LTDA. / RAINBOW DEFENSIVOS</t>
        </is>
      </c>
      <c r="U782" s="16">
        <f>HYPERLINK("https://agrofit.agricultura.gov.br/agrofit_cons/principal_agrofit_cons", "Consulta Oficial AGROFIT/MAPA (VINCULAR MARCA)")</f>
        <v/>
      </c>
    </row>
    <row r="783" ht="22" customHeight="1">
      <c r="A783" s="5" t="n">
        <v>778</v>
      </c>
      <c r="B783" s="6" t="inlineStr">
        <is>
          <t>SIPEAGRO (UF-XXXXX)</t>
        </is>
      </c>
      <c r="C783" s="7" t="inlineStr">
        <is>
          <t>KCL VERMELHO 60% K2O - JBS</t>
        </is>
      </c>
      <c r="D783" s="8" t="inlineStr">
        <is>
          <t>KCL VERMELHO 60% K2O - JBS</t>
        </is>
      </c>
      <c r="E783" s="7" t="inlineStr">
        <is>
          <t>Fertilizante Mineral / Organomineral</t>
        </is>
      </c>
      <c r="F783" s="7" t="inlineStr">
        <is>
          <t>Fertilizantes</t>
        </is>
      </c>
      <c r="G783" s="7" t="inlineStr">
        <is>
          <t>Fertilizante Mineral Simples (Potássico / Magnesiano)</t>
        </is>
      </c>
      <c r="H783" s="7" t="inlineStr">
        <is>
          <t>Granulado</t>
        </is>
      </c>
      <c r="I783" s="7" t="inlineStr">
        <is>
          <t>Formulação Padrão (Granulado / Solúvel / Suspensão)</t>
        </is>
      </c>
      <c r="J783" s="7" t="inlineStr">
        <is>
          <t>Aplicação via solo, fertirrigação ou adubação foliar</t>
        </is>
      </c>
      <c r="K783" s="7" t="inlineStr">
        <is>
          <t>Fertilizante Mineral / Organomineral (Lei nº 6.894/1980)</t>
        </is>
      </c>
      <c r="L783" s="7" t="inlineStr">
        <is>
          <t>Nutrição Vegetal SIPEAGRO</t>
        </is>
      </c>
      <c r="M783" s="7" t="inlineStr">
        <is>
          <t>Fornecimento de macro e micronutrientes essenciais ao metabolismo vegetal</t>
        </is>
      </c>
      <c r="N783" s="7" t="inlineStr">
        <is>
          <t>Isento ANVISA (Produto Fertilizante Registrado no SIPEAGRO/MAPA)</t>
        </is>
      </c>
      <c r="O783" s="7" t="inlineStr">
        <is>
          <t>Não Aplicável (Fertilizante)</t>
        </is>
      </c>
      <c r="P783" s="7" t="inlineStr">
        <is>
          <t>Baixo Potencial Poluidor (Uso conforme recomendação agronômica)</t>
        </is>
      </c>
      <c r="Q783" s="9" t="n">
        <v>0</v>
      </c>
      <c r="R783" s="7" t="inlineStr">
        <is>
          <t>Aplicação Dirigida / TS / Solo</t>
        </is>
      </c>
      <c r="S783" s="7" t="inlineStr">
        <is>
          <t>Tratamento sintomático em caso de ingestão acidental</t>
        </is>
      </c>
      <c r="T783" s="7" t="inlineStr">
        <is>
          <t>Estabelecimento Produtor SIPEAGRO/MAPA</t>
        </is>
      </c>
      <c r="U783" s="10">
        <f>HYPERLINK("https://www.gov.br/agricultura/pt-br/assuntos/insumos-agropecuarios/insumos-agricolas/fertilizantes", "Portal SIPEAGRO / MAPA — Fertilizantes e Bioinsumos")</f>
        <v/>
      </c>
    </row>
    <row r="784" ht="22" customHeight="1">
      <c r="A784" s="11" t="n">
        <v>779</v>
      </c>
      <c r="B784" s="12" t="inlineStr">
        <is>
          <t>Nº 25224</t>
        </is>
      </c>
      <c r="C784" s="13" t="inlineStr">
        <is>
          <t>CLETODIM 240 EC BRILLIANCE 0,2L AMOSTRA (IMP) GB</t>
        </is>
      </c>
      <c r="D784" s="14" t="inlineStr">
        <is>
          <t>CLETODIM 240 EC BRILLIANCE 0,2L AMOSTRA (IMP) GB</t>
        </is>
      </c>
      <c r="E784" s="13" t="inlineStr">
        <is>
          <t>Produto Formulado Comercial</t>
        </is>
      </c>
      <c r="F784" s="13" t="inlineStr">
        <is>
          <t>Defensivos</t>
        </is>
      </c>
      <c r="G784" s="13" t="inlineStr">
        <is>
          <t>Herbicida</t>
        </is>
      </c>
      <c r="H784" s="13" t="inlineStr">
        <is>
          <t>EC</t>
        </is>
      </c>
      <c r="I784" s="13" t="inlineStr">
        <is>
          <t>Concentrado Emulsionável (EC)</t>
        </is>
      </c>
      <c r="J784" s="13" t="inlineStr">
        <is>
          <t>Herbicida graminicida sistêmico seletivo de pós-emergência</t>
        </is>
      </c>
      <c r="K784" s="13" t="inlineStr">
        <is>
          <t>Oxima ciclohexanodiona (DIM)</t>
        </is>
      </c>
      <c r="L784" s="13" t="inlineStr">
        <is>
          <t>HRAC Grupo A (1) — Inibidores da ACCase</t>
        </is>
      </c>
      <c r="M784" s="13" t="inlineStr">
        <is>
          <t>Inibidores da Acetil CoA Carboxilase (ACCase)</t>
        </is>
      </c>
      <c r="N784" s="13" t="inlineStr">
        <is>
          <t>Categoria 4 / 5 — Pouco Tóxico</t>
        </is>
      </c>
      <c r="O784" s="13" t="inlineStr">
        <is>
          <t>Azul Intenso</t>
        </is>
      </c>
      <c r="P784" s="13" t="inlineStr">
        <is>
          <t>Classe III — Produto Perigoso ao Meio Ambiente</t>
        </is>
      </c>
      <c r="Q784" s="15" t="n">
        <v>24</v>
      </c>
      <c r="R784" s="13" t="inlineStr">
        <is>
          <t>Terrestre / Aérea (Drones consultar bula)</t>
        </is>
      </c>
      <c r="S784" s="13" t="inlineStr">
        <is>
          <t>Sem antídoto específico; tratamento sintomático</t>
        </is>
      </c>
      <c r="T784" s="13" t="inlineStr">
        <is>
          <t>GLOBACHEM PROTEÇÃO DE CULTIVOS DO BRASIL LTDA.</t>
        </is>
      </c>
      <c r="U784" s="16">
        <f>HYPERLINK("https://agrofit.agricultura.gov.br/agrofit_cons/principal_agrofit_cons", "Consulta Oficial AGROFIT/MAPA (Nº 25224)")</f>
        <v/>
      </c>
    </row>
    <row r="785" ht="22" customHeight="1">
      <c r="A785" s="5" t="n">
        <v>780</v>
      </c>
      <c r="B785" s="6" t="inlineStr">
        <is>
          <t>Nº 26820</t>
        </is>
      </c>
      <c r="C785" s="7" t="inlineStr">
        <is>
          <t>CRUZARO 480 EC 0,2L AMOSTRA (IMP) GL</t>
        </is>
      </c>
      <c r="D785" s="8" t="inlineStr">
        <is>
          <t>CRUZARO 480 EC 0,2L AMOSTRA (IMP) GL</t>
        </is>
      </c>
      <c r="E785" s="7" t="inlineStr">
        <is>
          <t>Produto Formulado Comercial</t>
        </is>
      </c>
      <c r="F785" s="7" t="inlineStr">
        <is>
          <t>Defensivos</t>
        </is>
      </c>
      <c r="G785" s="7" t="inlineStr">
        <is>
          <t>Herbicida</t>
        </is>
      </c>
      <c r="H785" s="7" t="inlineStr">
        <is>
          <t>EC</t>
        </is>
      </c>
      <c r="I785" s="7" t="inlineStr">
        <is>
          <t>Concentrado Emulsionável (EC)</t>
        </is>
      </c>
      <c r="J785" s="7" t="inlineStr">
        <is>
          <t>Herbicida sistêmico seletivo de pós-emergência</t>
        </is>
      </c>
      <c r="K785" s="7" t="inlineStr">
        <is>
          <t>Ácido piridiniloxialcanoico</t>
        </is>
      </c>
      <c r="L785" s="7" t="inlineStr">
        <is>
          <t>HRAC Grupo O (4) — Auxinas Sintéticas</t>
        </is>
      </c>
      <c r="M785" s="7" t="inlineStr">
        <is>
          <t>Mimetizadores da auxina (crescimento desordenado e epinastia)</t>
        </is>
      </c>
      <c r="N785" s="7" t="inlineStr">
        <is>
          <t>Categoria 4 — Produto Pouco Tóxico</t>
        </is>
      </c>
      <c r="O785" s="7" t="inlineStr">
        <is>
          <t>Azul PMS Blue 293 C</t>
        </is>
      </c>
      <c r="P785" s="7" t="inlineStr">
        <is>
          <t>Classe II — Produto Muito Perigoso ao Meio Ambiente</t>
        </is>
      </c>
      <c r="Q785" s="9" t="n">
        <v>24</v>
      </c>
      <c r="R785" s="7" t="inlineStr">
        <is>
          <t>Terrestre / Aérea (Drones consultar bula)</t>
        </is>
      </c>
      <c r="S785" s="7" t="inlineStr">
        <is>
          <t>Sem antídoto específico; tratamento sintomático</t>
        </is>
      </c>
      <c r="T785" s="7" t="inlineStr">
        <is>
          <t>GLOBACHEM PROTEÇÃO DE CULTIVOS DO BRASIL LTDA.</t>
        </is>
      </c>
      <c r="U785" s="10">
        <f>HYPERLINK("https://www.adapar.pr.gov.br/Pagina/Agrotoxicos-Herbicidas", "Registro Oficial Cruzaro 480 EC (MAPA 26820)")</f>
        <v/>
      </c>
    </row>
    <row r="786" ht="22" customHeight="1">
      <c r="A786" s="11" t="n">
        <v>781</v>
      </c>
      <c r="B786" s="12" t="inlineStr">
        <is>
          <t>Nº 40024</t>
        </is>
      </c>
      <c r="C786" s="13" t="inlineStr">
        <is>
          <t>FOLICRON 4X5L (IMP) RR (VALIDAR)</t>
        </is>
      </c>
      <c r="D786" s="14" t="inlineStr">
        <is>
          <t>FOLICRON</t>
        </is>
      </c>
      <c r="E786" s="13" t="inlineStr">
        <is>
          <t>Produto Formulado Comercial</t>
        </is>
      </c>
      <c r="F786" s="13" t="inlineStr">
        <is>
          <t>Defensivos</t>
        </is>
      </c>
      <c r="G786" s="13" t="inlineStr">
        <is>
          <t>Fungicida</t>
        </is>
      </c>
      <c r="H786" s="13" t="inlineStr">
        <is>
          <t>SC</t>
        </is>
      </c>
      <c r="I786" s="13" t="inlineStr">
        <is>
          <t>Suspensão Concentrada (SC)</t>
        </is>
      </c>
      <c r="J786" s="13" t="inlineStr">
        <is>
          <t>Fungicida preventivo e curativo foliar</t>
        </is>
      </c>
      <c r="K786" s="13" t="inlineStr">
        <is>
          <t>Estrobilurina (Metoxiacrilato)</t>
        </is>
      </c>
      <c r="L786" s="13" t="inlineStr">
        <is>
          <t>FRAC Grupo 11 (C3 — QoI)</t>
        </is>
      </c>
      <c r="M786" s="13" t="inlineStr">
        <is>
          <t>Inibidores da respiração mitocondrial no Complexo III (sítio Qo)</t>
        </is>
      </c>
      <c r="N786" s="13" t="inlineStr">
        <is>
          <t>Categoria 4 — Produto Pouco Tóxico (Conforme Bula ANVISA)</t>
        </is>
      </c>
      <c r="O786" s="13" t="inlineStr">
        <is>
          <t>Azul PMS Blue 293 C</t>
        </is>
      </c>
      <c r="P786" s="13" t="inlineStr">
        <is>
          <t>Classe II — Produto Muito Perigoso ao Meio Ambiente</t>
        </is>
      </c>
      <c r="Q786" s="15" t="n">
        <v>24</v>
      </c>
      <c r="R786" s="13" t="inlineStr">
        <is>
          <t>Terrestre / Aérea (Drones consultar bula)</t>
        </is>
      </c>
      <c r="S786" s="13" t="inlineStr">
        <is>
          <t>Sem antídoto específico; tratamento sintomático</t>
        </is>
      </c>
      <c r="T786" s="13" t="inlineStr">
        <is>
          <t>RAINBOW DEFENSIVOS AGRÍCOLAS LTDA.</t>
        </is>
      </c>
      <c r="U786" s="16">
        <f>HYPERLINK("https://www.adapar.pr.gov.br/Pagina/Agrotoxicos-Fungicidas", "Registro Oficial Folicron / Kromstar SC (MAPA 40024)")</f>
        <v/>
      </c>
    </row>
    <row r="787" ht="22" customHeight="1">
      <c r="A787" s="5" t="n">
        <v>782</v>
      </c>
      <c r="B787" s="6" t="inlineStr">
        <is>
          <t>Nº 11325</t>
        </is>
      </c>
      <c r="C787" s="7" t="inlineStr">
        <is>
          <t>VISTARA 1X20L (IMP) RR (VALIDAR)</t>
        </is>
      </c>
      <c r="D787" s="8" t="inlineStr">
        <is>
          <t>VISTARA</t>
        </is>
      </c>
      <c r="E787" s="7" t="inlineStr">
        <is>
          <t>Produto Formulado Comercial</t>
        </is>
      </c>
      <c r="F787" s="7" t="inlineStr">
        <is>
          <t>Defensivos</t>
        </is>
      </c>
      <c r="G787" s="7" t="inlineStr">
        <is>
          <t>Fungicida</t>
        </is>
      </c>
      <c r="H787" s="7" t="inlineStr">
        <is>
          <t>EC</t>
        </is>
      </c>
      <c r="I787" s="7" t="inlineStr">
        <is>
          <t>Concentrado Emulsionável (EC)</t>
        </is>
      </c>
      <c r="J787" s="7" t="inlineStr">
        <is>
          <t>Fungicida preventivo e curativo foliar</t>
        </is>
      </c>
      <c r="K787" s="7" t="inlineStr">
        <is>
          <t>Triazol</t>
        </is>
      </c>
      <c r="L787" s="7" t="inlineStr">
        <is>
          <t>FRAC Grupo 3 (G1 — DMI)</t>
        </is>
      </c>
      <c r="M787" s="7" t="inlineStr">
        <is>
          <t>Inibidores da desmetilação do C14 na biossíntese do ergosterol</t>
        </is>
      </c>
      <c r="N787" s="7" t="inlineStr">
        <is>
          <t>Categoria 4 — Produto Pouco Tóxico (Conforme Bula ANVISA)</t>
        </is>
      </c>
      <c r="O787" s="7" t="inlineStr">
        <is>
          <t>Azul PMS Blue 293 C</t>
        </is>
      </c>
      <c r="P787" s="7" t="inlineStr">
        <is>
          <t>Classe II — Produto Muito Perigoso ao Meio Ambiente</t>
        </is>
      </c>
      <c r="Q787" s="9" t="n">
        <v>24</v>
      </c>
      <c r="R787" s="7" t="inlineStr">
        <is>
          <t>Terrestre / Aérea (Drones consultar bula)</t>
        </is>
      </c>
      <c r="S787" s="7" t="inlineStr">
        <is>
          <t>Sem antídoto específico; tratamento sintomático</t>
        </is>
      </c>
      <c r="T787" s="7" t="inlineStr">
        <is>
          <t>RAINBOW DEFENSIVOS AGRÍCOLAS LTDA.</t>
        </is>
      </c>
      <c r="U787" s="10">
        <f>HYPERLINK("https://agrofit.agricultura.gov.br/agrofit_cons/principal_agrofit_cons", "Consulta Oficial AGROFIT/MAPA (Nº 11325)")</f>
        <v/>
      </c>
    </row>
    <row r="788" ht="22" customHeight="1">
      <c r="A788" s="11" t="n">
        <v>783</v>
      </c>
      <c r="B788" s="12" t="inlineStr">
        <is>
          <t>Nº 27025</t>
        </is>
      </c>
      <c r="C788" s="13" t="inlineStr">
        <is>
          <t>PYROX 4X5L (IMP)</t>
        </is>
      </c>
      <c r="D788" s="14" t="inlineStr">
        <is>
          <t>PYROX</t>
        </is>
      </c>
      <c r="E788" s="13" t="inlineStr">
        <is>
          <t>Produto Formulado Comercial</t>
        </is>
      </c>
      <c r="F788" s="13" t="inlineStr">
        <is>
          <t>Defensivos</t>
        </is>
      </c>
      <c r="G788" s="13" t="inlineStr">
        <is>
          <t>Herbicida</t>
        </is>
      </c>
      <c r="H788" s="13" t="inlineStr">
        <is>
          <t>SC</t>
        </is>
      </c>
      <c r="I788" s="13" t="inlineStr">
        <is>
          <t>Suspensão Concentrada (SC)</t>
        </is>
      </c>
      <c r="J788" s="13" t="inlineStr">
        <is>
          <t>Herbicida seletivo de contato e residual (pré e pós-emergência inicial)</t>
        </is>
      </c>
      <c r="K788" s="13" t="inlineStr">
        <is>
          <t>Imidazolinona</t>
        </is>
      </c>
      <c r="L788" s="13" t="inlineStr">
        <is>
          <t>HRAC Grupo B (2) — Inibidores da ALS</t>
        </is>
      </c>
      <c r="M788" s="13" t="inlineStr">
        <is>
          <t>Inibição da enzima acetolactato sintase (ALS / AHAS)</t>
        </is>
      </c>
      <c r="N788" s="13" t="inlineStr">
        <is>
          <t>Categoria 4 / 5 — Pouco Tóxico</t>
        </is>
      </c>
      <c r="O788" s="13" t="inlineStr">
        <is>
          <t>Azul Intenso</t>
        </is>
      </c>
      <c r="P788" s="13" t="inlineStr">
        <is>
          <t>Classe II — Produto Muito Perigoso ao Meio Ambiente</t>
        </is>
      </c>
      <c r="Q788" s="15" t="n">
        <v>24</v>
      </c>
      <c r="R788" s="13" t="inlineStr">
        <is>
          <t>Terrestre / Aérea (Drones consultar bula)</t>
        </is>
      </c>
      <c r="S788" s="13" t="inlineStr">
        <is>
          <t>Sem antídoto específico; tratamento sintomático</t>
        </is>
      </c>
      <c r="T788" s="13" t="inlineStr">
        <is>
          <t>RAINBOW DEFENSIVOS AGRÍCOLAS LTDA.</t>
        </is>
      </c>
      <c r="U788" s="16">
        <f>HYPERLINK("https://www.adapar.pr.gov.br/Pagina/Agrotoxicos-Herbicidas", "Registro Oficial Pyrox SC (MAPA 27025)")</f>
        <v/>
      </c>
    </row>
    <row r="789" ht="22" customHeight="1">
      <c r="A789" s="5" t="n">
        <v>784</v>
      </c>
      <c r="B789" s="6" t="inlineStr">
        <is>
          <t>Nº 13714</t>
        </is>
      </c>
      <c r="C789" s="7" t="inlineStr">
        <is>
          <t>WIPE OUT 1X20KG (IMP) RW</t>
        </is>
      </c>
      <c r="D789" s="8" t="inlineStr">
        <is>
          <t>WIPE OUT</t>
        </is>
      </c>
      <c r="E789" s="7" t="inlineStr">
        <is>
          <t>Produto Formulado Comercial</t>
        </is>
      </c>
      <c r="F789" s="7" t="inlineStr">
        <is>
          <t>Defensivos</t>
        </is>
      </c>
      <c r="G789" s="7" t="inlineStr">
        <is>
          <t>Herbicida</t>
        </is>
      </c>
      <c r="H789" s="7" t="inlineStr">
        <is>
          <t>WG</t>
        </is>
      </c>
      <c r="I789" s="7" t="inlineStr">
        <is>
          <t>Grânulos Dispersíveis em Água (WG)</t>
        </is>
      </c>
      <c r="J789" s="7" t="inlineStr">
        <is>
          <t>Herbicida sistêmico de pós-emergência (seletivo condicional p/ OGM)</t>
        </is>
      </c>
      <c r="K789" s="7" t="inlineStr">
        <is>
          <t>Glicina substituída</t>
        </is>
      </c>
      <c r="L789" s="7" t="inlineStr">
        <is>
          <t>HRAC Grupo G (EPSPs)</t>
        </is>
      </c>
      <c r="M789" s="7" t="inlineStr">
        <is>
          <t>Inibidores da enzima EPSPs (Enoil Piruvil Shiquimato Fosfato Sintase)</t>
        </is>
      </c>
      <c r="N789" s="7" t="inlineStr">
        <is>
          <t>Categoria 5 — Produto Improvável de Causar Dano Agudo</t>
        </is>
      </c>
      <c r="O789" s="7" t="inlineStr">
        <is>
          <t>Azul Intenso</t>
        </is>
      </c>
      <c r="P789" s="7" t="inlineStr">
        <is>
          <t>Classe III — Produto Perigoso ao Meio Ambiente</t>
        </is>
      </c>
      <c r="Q789" s="9" t="n">
        <v>24</v>
      </c>
      <c r="R789" s="7" t="inlineStr">
        <is>
          <t>Terrestre / Aérea (Drones consultar bula)</t>
        </is>
      </c>
      <c r="S789" s="7" t="inlineStr">
        <is>
          <t>Sem antídoto específico (Atropina ineficaz); tratamento sintomático</t>
        </is>
      </c>
      <c r="T789" s="7" t="inlineStr">
        <is>
          <t>RAINBOW DEFENSIVOS AGRÍCOLAS LTDA.</t>
        </is>
      </c>
      <c r="U789" s="10">
        <f>HYPERLINK("https://agrofit.agricultura.gov.br/agrofit_cons/principal_agrofit_cons", "Consulta Oficial AGROFIT/MAPA (Nº 13714)")</f>
        <v/>
      </c>
    </row>
    <row r="790" ht="22" customHeight="1">
      <c r="A790" s="11" t="n">
        <v>785</v>
      </c>
      <c r="B790" s="12" t="inlineStr">
        <is>
          <t>Nº 16223</t>
        </is>
      </c>
      <c r="C790" s="13" t="inlineStr">
        <is>
          <t>COMPRAY 4X5L (IMP) RW</t>
        </is>
      </c>
      <c r="D790" s="14" t="inlineStr">
        <is>
          <t>COMPRAY</t>
        </is>
      </c>
      <c r="E790" s="13" t="inlineStr">
        <is>
          <t>Produto Formulado Comercial</t>
        </is>
      </c>
      <c r="F790" s="13" t="inlineStr">
        <is>
          <t>Defensivos</t>
        </is>
      </c>
      <c r="G790" s="13" t="inlineStr">
        <is>
          <t>Herbicida</t>
        </is>
      </c>
      <c r="H790" s="13" t="inlineStr">
        <is>
          <t>CS</t>
        </is>
      </c>
      <c r="I790" s="13" t="inlineStr">
        <is>
          <t>Suspensão de Encapsulado (CS)</t>
        </is>
      </c>
      <c r="J790" s="13" t="inlineStr">
        <is>
          <t>Herbicida seletivo sistêmico pré-emergente</t>
        </is>
      </c>
      <c r="K790" s="13" t="inlineStr">
        <is>
          <t>Isoxazolidinona</t>
        </is>
      </c>
      <c r="L790" s="13" t="inlineStr">
        <is>
          <t>HRAC Grupo F4 (13) — Inibidores da DOXP sintase</t>
        </is>
      </c>
      <c r="M790" s="13" t="inlineStr">
        <is>
          <t>Inibidores da 1-deoxi-D-xilulose 5-fosfato sintase (biossíntese de plastoquinona/carotenoides)</t>
        </is>
      </c>
      <c r="N790" s="13" t="inlineStr">
        <is>
          <t>Categoria 4 — Produto Pouco Tóxico</t>
        </is>
      </c>
      <c r="O790" s="13" t="inlineStr">
        <is>
          <t>Azul PMS Blue 293 C</t>
        </is>
      </c>
      <c r="P790" s="13" t="inlineStr">
        <is>
          <t>Classe II — Produto Muito Perigoso ao Meio Ambiente</t>
        </is>
      </c>
      <c r="Q790" s="15" t="n">
        <v>24</v>
      </c>
      <c r="R790" s="13" t="inlineStr">
        <is>
          <t>Terrestre / Aérea (Drones consultar bula)</t>
        </is>
      </c>
      <c r="S790" s="13" t="inlineStr">
        <is>
          <t>Sem antídoto específico; tratamento sintomático</t>
        </is>
      </c>
      <c r="T790" s="13" t="inlineStr">
        <is>
          <t>RAINBOW DEFENSIVOS AGRÍCOLAS LTDA. / PERTERRA S.A.</t>
        </is>
      </c>
      <c r="U790" s="16">
        <f>HYPERLINK("https://agrofit.agricultura.gov.br/agrofit_cons/principal_agrofit_cons", "Consulta Oficial AGROFIT/MAPA (Nº 16223)")</f>
        <v/>
      </c>
    </row>
    <row r="791" ht="22" customHeight="1">
      <c r="A791" s="5" t="n">
        <v>786</v>
      </c>
      <c r="B791" s="6" t="inlineStr">
        <is>
          <t>SIPEAGRO (UF-XXXXX)</t>
        </is>
      </c>
      <c r="C791" s="7" t="inlineStr">
        <is>
          <t>MAP 11-52 - GRANULADO - REVENDA - JBS</t>
        </is>
      </c>
      <c r="D791" s="8" t="inlineStr">
        <is>
          <t>MAP 11-52 - GRANULADO - REVENDA - JBS</t>
        </is>
      </c>
      <c r="E791" s="7" t="inlineStr">
        <is>
          <t>Fertilizante Mineral / Organomineral</t>
        </is>
      </c>
      <c r="F791" s="7" t="inlineStr">
        <is>
          <t>Fertilizantes</t>
        </is>
      </c>
      <c r="G791" s="7" t="inlineStr">
        <is>
          <t>Fertilizante Complexo (MAP — Fosfato Monoamônico)</t>
        </is>
      </c>
      <c r="H791" s="7" t="inlineStr">
        <is>
          <t>Granulado</t>
        </is>
      </c>
      <c r="I791" s="7" t="inlineStr">
        <is>
          <t>Formulação Padrão (Granulado / Solúvel / Suspensão)</t>
        </is>
      </c>
      <c r="J791" s="7" t="inlineStr">
        <is>
          <t>Aplicação via solo, fertirrigação ou adubação foliar</t>
        </is>
      </c>
      <c r="K791" s="7" t="inlineStr">
        <is>
          <t>Fertilizante Mineral / Organomineral (Lei nº 6.894/1980)</t>
        </is>
      </c>
      <c r="L791" s="7" t="inlineStr">
        <is>
          <t>Nutrição Vegetal SIPEAGRO</t>
        </is>
      </c>
      <c r="M791" s="7" t="inlineStr">
        <is>
          <t>Fornecimento de macro e micronutrientes essenciais ao metabolismo vegetal</t>
        </is>
      </c>
      <c r="N791" s="7" t="inlineStr">
        <is>
          <t>Isento ANVISA (Produto Fertilizante Registrado no SIPEAGRO/MAPA)</t>
        </is>
      </c>
      <c r="O791" s="7" t="inlineStr">
        <is>
          <t>Não Aplicável (Fertilizante)</t>
        </is>
      </c>
      <c r="P791" s="7" t="inlineStr">
        <is>
          <t>Baixo Potencial Poluidor (Uso conforme recomendação agronômica)</t>
        </is>
      </c>
      <c r="Q791" s="9" t="n">
        <v>0</v>
      </c>
      <c r="R791" s="7" t="inlineStr">
        <is>
          <t>Aplicação Dirigida / TS / Solo</t>
        </is>
      </c>
      <c r="S791" s="7" t="inlineStr">
        <is>
          <t>Tratamento sintomático em caso de ingestão acidental</t>
        </is>
      </c>
      <c r="T791" s="7" t="inlineStr">
        <is>
          <t>Estabelecimento Produtor SIPEAGRO/MAPA</t>
        </is>
      </c>
      <c r="U791" s="10">
        <f>HYPERLINK("https://www.gov.br/agricultura/pt-br/assuntos/insumos-agropecuarios/insumos-agricolas/fertilizantes", "Portal SIPEAGRO / MAPA — Fertilizantes e Bioinsumos")</f>
        <v/>
      </c>
    </row>
    <row r="792" ht="22" customHeight="1">
      <c r="A792" s="11" t="n">
        <v>787</v>
      </c>
      <c r="B792" s="12" t="inlineStr">
        <is>
          <t>Nº 3524</t>
        </is>
      </c>
      <c r="C792" s="13" t="inlineStr">
        <is>
          <t>GLUFOSINATO 200 SL CROTECT 1x20L</t>
        </is>
      </c>
      <c r="D792" s="14" t="inlineStr">
        <is>
          <t>GLUFOSINATO 200 SL CROTECT</t>
        </is>
      </c>
      <c r="E792" s="13" t="inlineStr">
        <is>
          <t>Produto Formulado Comercial</t>
        </is>
      </c>
      <c r="F792" s="13" t="inlineStr">
        <is>
          <t>Defensivos</t>
        </is>
      </c>
      <c r="G792" s="13" t="inlineStr">
        <is>
          <t>Herbicida</t>
        </is>
      </c>
      <c r="H792" s="13" t="inlineStr">
        <is>
          <t>SL</t>
        </is>
      </c>
      <c r="I792" s="13" t="inlineStr">
        <is>
          <t>Concentrado Solúvel (SL)</t>
        </is>
      </c>
      <c r="J792" s="13" t="inlineStr">
        <is>
          <t>Herbicida de contato não seletivo em pós-emergência (seletivo p/ OGM LibertyLink)</t>
        </is>
      </c>
      <c r="K792" s="13" t="inlineStr">
        <is>
          <t>Homoalanina substituída (Ácido fosfínico)</t>
        </is>
      </c>
      <c r="L792" s="13" t="inlineStr">
        <is>
          <t>HRAC Grupo H (10) — Inibidores da Glutamina Sintetase</t>
        </is>
      </c>
      <c r="M792" s="13" t="inlineStr">
        <is>
          <t>Inibição da enzima glutamina sintetase (acúmulo de amônia intracelular)</t>
        </is>
      </c>
      <c r="N792" s="13" t="inlineStr">
        <is>
          <t>Categoria 4 — Produto Pouco Tóxico</t>
        </is>
      </c>
      <c r="O792" s="13" t="inlineStr">
        <is>
          <t>Azul PMS Blue 293 C</t>
        </is>
      </c>
      <c r="P792" s="13" t="inlineStr">
        <is>
          <t>Classe III — Produto Perigoso ao Meio Ambiente</t>
        </is>
      </c>
      <c r="Q792" s="15" t="n">
        <v>24</v>
      </c>
      <c r="R792" s="13" t="inlineStr">
        <is>
          <t>Terrestre / Aérea (Drones consultar bula)</t>
        </is>
      </c>
      <c r="S792" s="13" t="inlineStr">
        <is>
          <t>Sem antídoto específico; monitorar SNC por 48h e suporte ventilatório</t>
        </is>
      </c>
      <c r="T792" s="13" t="inlineStr">
        <is>
          <t>Crotect Crop Science</t>
        </is>
      </c>
      <c r="U792" s="16">
        <f>HYPERLINK("https://agrofit.agricultura.gov.br/agrofit_cons/principal_agrofit_cons", "Consulta Oficial AGROFIT/MAPA (Nº 3524)")</f>
        <v/>
      </c>
    </row>
    <row r="793" ht="22" customHeight="1">
      <c r="A793" s="5" t="n">
        <v>788</v>
      </c>
      <c r="B793" s="6" t="inlineStr">
        <is>
          <t>Nº 12123</t>
        </is>
      </c>
      <c r="C793" s="7" t="inlineStr">
        <is>
          <t>ARCAR 1X20L (IMP) SR</t>
        </is>
      </c>
      <c r="D793" s="8" t="inlineStr">
        <is>
          <t>ARCAR</t>
        </is>
      </c>
      <c r="E793" s="7" t="inlineStr">
        <is>
          <t>Produto Formulado Comercial</t>
        </is>
      </c>
      <c r="F793" s="7" t="inlineStr">
        <is>
          <t>Defensivos</t>
        </is>
      </c>
      <c r="G793" s="7" t="inlineStr">
        <is>
          <t>Inseticida</t>
        </is>
      </c>
      <c r="H793" s="7" t="inlineStr">
        <is>
          <t>EC</t>
        </is>
      </c>
      <c r="I793" s="7" t="inlineStr">
        <is>
          <t>Concentrado Emulsionável (EC)</t>
        </is>
      </c>
      <c r="J793" s="7" t="inlineStr">
        <is>
          <t>Inseticida fisiológico regulador de crescimento (contato e translaminar)</t>
        </is>
      </c>
      <c r="K793" s="7" t="inlineStr">
        <is>
          <t>Éter piridiloxipropílico</t>
        </is>
      </c>
      <c r="L793" s="7" t="inlineStr">
        <is>
          <t>IRAC Grupo 7C</t>
        </is>
      </c>
      <c r="M793" s="7" t="inlineStr">
        <is>
          <t>Mimetizadores do hormônio juvenil (Juvenoides)</t>
        </is>
      </c>
      <c r="N793" s="7" t="inlineStr">
        <is>
          <t>Categoria 5 — Produto Improvável de Causar Dano Agudo</t>
        </is>
      </c>
      <c r="O793" s="7" t="inlineStr">
        <is>
          <t>Azul Intenso</t>
        </is>
      </c>
      <c r="P793" s="7" t="inlineStr">
        <is>
          <t>Classe II — Produto Muito Perigoso ao Meio Ambiente</t>
        </is>
      </c>
      <c r="Q793" s="9" t="n">
        <v>24</v>
      </c>
      <c r="R793" s="7" t="inlineStr">
        <is>
          <t>Terrestre / Aérea (Drones consultar bula)</t>
        </is>
      </c>
      <c r="S793" s="7" t="inlineStr">
        <is>
          <t>Sem antídoto específico; tratamento sintomático</t>
        </is>
      </c>
      <c r="T793" s="7" t="inlineStr">
        <is>
          <t>AGRICONNECTION IMPORTADORA E EXPORTADORA DE INSUMOS AGRÍCOLAS LTDA.</t>
        </is>
      </c>
      <c r="U793" s="10">
        <f>HYPERLINK("https://agrofit.agricultura.gov.br/agrofit_cons/principal_agrofit_cons", "Consulta Oficial AGROFIT/MAPA (Nº 12123)")</f>
        <v/>
      </c>
    </row>
    <row r="794" ht="22" customHeight="1">
      <c r="A794" s="11" t="n">
        <v>789</v>
      </c>
      <c r="B794" s="12" t="inlineStr">
        <is>
          <t>Nº 28925</t>
        </is>
      </c>
      <c r="C794" s="13" t="inlineStr">
        <is>
          <t>S-METOLACHLOR 960 EC BINNONG 0,200L (AMOSTRA)</t>
        </is>
      </c>
      <c r="D794" s="14" t="inlineStr">
        <is>
          <t>S-METOLACHLOR 960 EC BINNONG 0,200L (AMOSTRA)</t>
        </is>
      </c>
      <c r="E794" s="13" t="inlineStr">
        <is>
          <t>Produto Formulado Comercial</t>
        </is>
      </c>
      <c r="F794" s="13" t="inlineStr">
        <is>
          <t>Defensivos</t>
        </is>
      </c>
      <c r="G794" s="13" t="inlineStr">
        <is>
          <t>Herbicida</t>
        </is>
      </c>
      <c r="H794" s="13" t="inlineStr">
        <is>
          <t>EC</t>
        </is>
      </c>
      <c r="I794" s="13" t="inlineStr">
        <is>
          <t>Concentrado Emulsionável (EC)</t>
        </is>
      </c>
      <c r="J794" s="13" t="inlineStr">
        <is>
          <t>Herbicida seletivo pré-emergente sistêmico</t>
        </is>
      </c>
      <c r="K794" s="13" t="inlineStr">
        <is>
          <t>Cloroacetanilida</t>
        </is>
      </c>
      <c r="L794" s="13" t="inlineStr">
        <is>
          <t>HRAC Grupo K3 (15) — Inibidores de VLCFAs</t>
        </is>
      </c>
      <c r="M794" s="13" t="inlineStr">
        <is>
          <t>Inibidores da síntese de ácidos graxos de cadeia muito longa (divisão celular)</t>
        </is>
      </c>
      <c r="N794" s="13" t="inlineStr">
        <is>
          <t>Categoria 4 — Produto Pouco Tóxico</t>
        </is>
      </c>
      <c r="O794" s="13" t="inlineStr">
        <is>
          <t>Azul PMS Blue 293 C</t>
        </is>
      </c>
      <c r="P794" s="13" t="inlineStr">
        <is>
          <t>Classe II — Produto Muito Perigoso ao Meio Ambiente</t>
        </is>
      </c>
      <c r="Q794" s="15" t="n">
        <v>24</v>
      </c>
      <c r="R794" s="13" t="inlineStr">
        <is>
          <t>Terrestre / Aérea (Drones consultar bula)</t>
        </is>
      </c>
      <c r="S794" s="13" t="inlineStr">
        <is>
          <t>Sem antídoto específico; tratamento sintomático</t>
        </is>
      </c>
      <c r="T794" s="13" t="inlineStr">
        <is>
          <t>GLOBACHEM PROTEÇÃO DE CULTIVOS DO BRASIL LTDA.</t>
        </is>
      </c>
      <c r="U794" s="16">
        <f>HYPERLINK("https://www.adapar.pr.gov.br/Pagina/Agrotoxicos-Herbicidas", "Registro Oficial S-Metolachlor 960 EC Binnong (MAPA 28925)")</f>
        <v/>
      </c>
    </row>
    <row r="795" ht="22" customHeight="1">
      <c r="A795" s="5" t="n">
        <v>790</v>
      </c>
      <c r="B795" s="6" t="inlineStr">
        <is>
          <t>Nº 31422</t>
        </is>
      </c>
      <c r="C795" s="7" t="inlineStr">
        <is>
          <t>ZARPAL 1X10L (IMP)</t>
        </is>
      </c>
      <c r="D795" s="8" t="inlineStr">
        <is>
          <t>ZARPAL</t>
        </is>
      </c>
      <c r="E795" s="7" t="inlineStr">
        <is>
          <t>Produto Formulado Comercial</t>
        </is>
      </c>
      <c r="F795" s="7" t="inlineStr">
        <is>
          <t>Defensivos</t>
        </is>
      </c>
      <c r="G795" s="7" t="inlineStr">
        <is>
          <t>Inseticida</t>
        </is>
      </c>
      <c r="H795" s="7" t="inlineStr">
        <is>
          <t>SC</t>
        </is>
      </c>
      <c r="I795" s="7" t="inlineStr">
        <is>
          <t>Suspensão Concentrada (SC)</t>
        </is>
      </c>
      <c r="J795" s="7" t="inlineStr">
        <is>
          <t>Inseticida e acaricida de contato e ingestão</t>
        </is>
      </c>
      <c r="K795" s="7" t="inlineStr">
        <is>
          <t>Benzoilureia + Piretroide (Tipo I)</t>
        </is>
      </c>
      <c r="L795" s="7" t="inlineStr">
        <is>
          <t>IRAC Grupo 15 + IRAC Grupo 3A</t>
        </is>
      </c>
      <c r="M795" s="7" t="inlineStr">
        <is>
          <t>Inibidores da biossíntese de quitina, Tipo 0; Moduladores de canais de sódio em membranas nervosas</t>
        </is>
      </c>
      <c r="N795" s="7" t="inlineStr">
        <is>
          <t>Categoria 4 — Produto Pouco Tóxico</t>
        </is>
      </c>
      <c r="O795" s="7" t="inlineStr">
        <is>
          <t>Azul PMS Blue 293 C</t>
        </is>
      </c>
      <c r="P795" s="7" t="inlineStr">
        <is>
          <t>Classe II — Produto Muito Perigoso ao Meio Ambiente</t>
        </is>
      </c>
      <c r="Q795" s="9" t="n">
        <v>24</v>
      </c>
      <c r="R795" s="7" t="inlineStr">
        <is>
          <t>Terrestre / Aérea (Drones consultar bula)</t>
        </is>
      </c>
      <c r="S795" s="7" t="inlineStr">
        <is>
          <t>Sem antídoto específico; anti-histamínicos e vitamina E tópica para parestesia</t>
        </is>
      </c>
      <c r="T795" s="7" t="inlineStr">
        <is>
          <t>GLOBACHEM PROTEÇÃO DE CULTIVOS DO BRASIL LTDA.</t>
        </is>
      </c>
      <c r="U795" s="10">
        <f>HYPERLINK("https://globachem.br.com/wp-content/uploads/2023/04/ALON_Bula_Agrofit.pdf", "Bula Oficial Alon/Buffon/Zarpal (Globachem/MAPA 31422)")</f>
        <v/>
      </c>
    </row>
    <row r="796" ht="22" customHeight="1">
      <c r="A796" s="11" t="n">
        <v>791</v>
      </c>
      <c r="B796" s="12" t="inlineStr">
        <is>
          <t>Nº 40024</t>
        </is>
      </c>
      <c r="C796" s="13" t="inlineStr">
        <is>
          <t>CIPROCONAZOL 80 + PICOXISTROBINA 200 (PRINCIPIO ATIVO)</t>
        </is>
      </c>
      <c r="D796" s="14" t="inlineStr">
        <is>
          <t>CIPROCONAZOL 80 + PICOXISTROBINA 200 (PRINCIPIO ATIVO)</t>
        </is>
      </c>
      <c r="E796" s="13" t="inlineStr">
        <is>
          <t>Produto Técnico Industrial</t>
        </is>
      </c>
      <c r="F796" s="13" t="inlineStr">
        <is>
          <t>Defensivos</t>
        </is>
      </c>
      <c r="G796" s="13" t="inlineStr">
        <is>
          <t>Fungicida (Princípio Ativo / Técnico)</t>
        </is>
      </c>
      <c r="H796" s="13" t="inlineStr">
        <is>
          <t>TC</t>
        </is>
      </c>
      <c r="I796" s="13" t="inlineStr">
        <is>
          <t>Produto Técnico Industrial (TC)</t>
        </is>
      </c>
      <c r="J796" s="13" t="inlineStr">
        <is>
          <t>Fungicida preventivo e curativo foliar</t>
        </is>
      </c>
      <c r="K796" s="13" t="inlineStr">
        <is>
          <t>Estrobilurina (Metoxiacrilato)</t>
        </is>
      </c>
      <c r="L796" s="13" t="inlineStr">
        <is>
          <t>FRAC Grupo 11 (C3 — QoI)</t>
        </is>
      </c>
      <c r="M796" s="13" t="inlineStr">
        <is>
          <t>Inibidores da respiração mitocondrial no Complexo III (sítio Qo)</t>
        </is>
      </c>
      <c r="N796" s="13" t="inlineStr">
        <is>
          <t>Categoria 4 — Produto Pouco Tóxico (Conforme Bula ANVISA)</t>
        </is>
      </c>
      <c r="O796" s="13" t="inlineStr">
        <is>
          <t>Azul PMS Blue 293 C</t>
        </is>
      </c>
      <c r="P796" s="13" t="inlineStr">
        <is>
          <t>Classe II — Produto Muito Perigoso ao Meio Ambiente</t>
        </is>
      </c>
      <c r="Q796" s="15" t="n">
        <v>24</v>
      </c>
      <c r="R796" s="13" t="inlineStr">
        <is>
          <t>Terrestre / Aérea (Drones consultar bula)</t>
        </is>
      </c>
      <c r="S796" s="13" t="inlineStr">
        <is>
          <t>Sem antídoto específico; tratamento sintomático</t>
        </is>
      </c>
      <c r="T796" s="13" t="inlineStr">
        <is>
          <t>RAINBOW DEFENSIVOS AGRÍCOLAS LTDA.</t>
        </is>
      </c>
      <c r="U796" s="16">
        <f>HYPERLINK("https://www.adapar.pr.gov.br/Pagina/Agrotoxicos-Fungicidas", "Registro Oficial Procymidone 500 SC Proventis (MAPA 24324)")</f>
        <v/>
      </c>
    </row>
    <row r="797" ht="22" customHeight="1">
      <c r="A797" s="5" t="n">
        <v>792</v>
      </c>
      <c r="B797" s="6" t="inlineStr">
        <is>
          <t>VINCULAR MARCA</t>
        </is>
      </c>
      <c r="C797" s="7" t="inlineStr">
        <is>
          <t>CLORPIRIFOS 480 - 4X5L (PRINICIPIO ATIVO)</t>
        </is>
      </c>
      <c r="D797" s="8" t="inlineStr">
        <is>
          <t>CLORPIRIFOS 480 -</t>
        </is>
      </c>
      <c r="E797" s="7" t="inlineStr">
        <is>
          <t>Produto Técnico Industrial</t>
        </is>
      </c>
      <c r="F797" s="7" t="inlineStr">
        <is>
          <t>Defensivos</t>
        </is>
      </c>
      <c r="G797" s="7" t="inlineStr">
        <is>
          <t>Inseticida (Princípio Ativo / Técnico)</t>
        </is>
      </c>
      <c r="H797" s="7" t="inlineStr">
        <is>
          <t>TC</t>
        </is>
      </c>
      <c r="I797" s="7" t="inlineStr">
        <is>
          <t>Produto Técnico Industrial (TC)</t>
        </is>
      </c>
      <c r="J797" s="7" t="inlineStr">
        <is>
          <t>Inseticida e acaricida de contato, ingestão e profundidade</t>
        </is>
      </c>
      <c r="K797" s="7" t="inlineStr">
        <is>
          <t>Organofosforado</t>
        </is>
      </c>
      <c r="L797" s="7" t="inlineStr">
        <is>
          <t>IRAC Grupo 1B</t>
        </is>
      </c>
      <c r="M797" s="7" t="inlineStr">
        <is>
          <t>Inibidores da acetilcolinesterase (AChE)</t>
        </is>
      </c>
      <c r="N797" s="7" t="inlineStr">
        <is>
          <t>Categoria 2 — Produto Altamente Tóxico</t>
        </is>
      </c>
      <c r="O797" s="7" t="inlineStr">
        <is>
          <t>Vermelho PMS Red 199 C</t>
        </is>
      </c>
      <c r="P797" s="7" t="inlineStr">
        <is>
          <t>Classe II — Produto Muito Perigoso ao Meio Ambiente</t>
        </is>
      </c>
      <c r="Q797" s="9" t="n">
        <v>24</v>
      </c>
      <c r="R797" s="7" t="inlineStr">
        <is>
          <t>Terrestre / Aérea (Drones consultar bula)</t>
        </is>
      </c>
      <c r="S797" s="7" t="inlineStr">
        <is>
          <t>Atropina (agonista antimuscarínico) e Pralidoxima (reativador de colinesterase)</t>
        </is>
      </c>
      <c r="T797" s="7" t="inlineStr">
        <is>
          <t>ADAMA BRASIL S/A / GHARDA CHEMICALS LIMITED</t>
        </is>
      </c>
      <c r="U797" s="10">
        <f>HYPERLINK("https://agrofit.agricultura.gov.br/agrofit_cons/principal_agrofit_cons", "Consulta Oficial AGROFIT/MAPA (VINCULAR MARCA)")</f>
        <v/>
      </c>
    </row>
    <row r="798" ht="22" customHeight="1">
      <c r="A798" s="11" t="n">
        <v>793</v>
      </c>
      <c r="B798" s="12" t="inlineStr">
        <is>
          <t>VINCULAR MARCA</t>
        </is>
      </c>
      <c r="C798" s="13" t="inlineStr">
        <is>
          <t>CLORPIRIFOS 480 - 10L (PRINICIPIO ATIVO)</t>
        </is>
      </c>
      <c r="D798" s="14" t="inlineStr">
        <is>
          <t>CLORPIRIFOS 480 -</t>
        </is>
      </c>
      <c r="E798" s="13" t="inlineStr">
        <is>
          <t>Produto Técnico Industrial</t>
        </is>
      </c>
      <c r="F798" s="13" t="inlineStr">
        <is>
          <t>Defensivos</t>
        </is>
      </c>
      <c r="G798" s="13" t="inlineStr">
        <is>
          <t>Inseticida (Princípio Ativo / Técnico)</t>
        </is>
      </c>
      <c r="H798" s="13" t="inlineStr">
        <is>
          <t>TC</t>
        </is>
      </c>
      <c r="I798" s="13" t="inlineStr">
        <is>
          <t>Produto Técnico Industrial (TC)</t>
        </is>
      </c>
      <c r="J798" s="13" t="inlineStr">
        <is>
          <t>Inseticida e acaricida de contato, ingestão e profundidade</t>
        </is>
      </c>
      <c r="K798" s="13" t="inlineStr">
        <is>
          <t>Organofosforado</t>
        </is>
      </c>
      <c r="L798" s="13" t="inlineStr">
        <is>
          <t>IRAC Grupo 1B</t>
        </is>
      </c>
      <c r="M798" s="13" t="inlineStr">
        <is>
          <t>Inibidores da acetilcolinesterase (AChE)</t>
        </is>
      </c>
      <c r="N798" s="13" t="inlineStr">
        <is>
          <t>Categoria 2 — Produto Altamente Tóxico</t>
        </is>
      </c>
      <c r="O798" s="13" t="inlineStr">
        <is>
          <t>Vermelho PMS Red 199 C</t>
        </is>
      </c>
      <c r="P798" s="13" t="inlineStr">
        <is>
          <t>Classe II — Produto Muito Perigoso ao Meio Ambiente</t>
        </is>
      </c>
      <c r="Q798" s="15" t="n">
        <v>24</v>
      </c>
      <c r="R798" s="13" t="inlineStr">
        <is>
          <t>Terrestre / Aérea (Drones consultar bula)</t>
        </is>
      </c>
      <c r="S798" s="13" t="inlineStr">
        <is>
          <t>Atropina (agonista antimuscarínico) e Pralidoxima (reativador de colinesterase)</t>
        </is>
      </c>
      <c r="T798" s="13" t="inlineStr">
        <is>
          <t>ADAMA BRASIL S/A / GHARDA CHEMICALS LIMITED</t>
        </is>
      </c>
      <c r="U798" s="16">
        <f>HYPERLINK("https://agrofit.agricultura.gov.br/agrofit_cons/principal_agrofit_cons", "Consulta Oficial AGROFIT/MAPA (VINCULAR MARCA)")</f>
        <v/>
      </c>
    </row>
    <row r="799" ht="22" customHeight="1">
      <c r="A799" s="5" t="n">
        <v>794</v>
      </c>
      <c r="B799" s="6" t="inlineStr">
        <is>
          <t>Nº 27717</t>
        </is>
      </c>
      <c r="C799" s="7" t="inlineStr">
        <is>
          <t>FIPRONIL 800 (PRINCIPIO ATIVO)</t>
        </is>
      </c>
      <c r="D799" s="8" t="inlineStr">
        <is>
          <t>FIPRONIL 800 (PRINCIPIO ATIVO)</t>
        </is>
      </c>
      <c r="E799" s="7" t="inlineStr">
        <is>
          <t>Produto Técnico Industrial</t>
        </is>
      </c>
      <c r="F799" s="7" t="inlineStr">
        <is>
          <t>Defensivos</t>
        </is>
      </c>
      <c r="G799" s="7" t="inlineStr">
        <is>
          <t>Inseticida (Princípio Ativo / Técnico)</t>
        </is>
      </c>
      <c r="H799" s="7" t="inlineStr">
        <is>
          <t>WG</t>
        </is>
      </c>
      <c r="I799" s="7" t="inlineStr">
        <is>
          <t>Grânulos Dispersíveis em Água (WG)</t>
        </is>
      </c>
      <c r="J799" s="7" t="inlineStr">
        <is>
          <t>Inseticida, cupinicida e formicida de contato e ingestão (TS / Solo)</t>
        </is>
      </c>
      <c r="K799" s="7" t="inlineStr">
        <is>
          <t>Pirazol (Fenilpirazol)</t>
        </is>
      </c>
      <c r="L799" s="7" t="inlineStr">
        <is>
          <t>IRAC Grupo 2B</t>
        </is>
      </c>
      <c r="M799" s="7" t="inlineStr">
        <is>
          <t>Bloqueadores de canais de cloro mediados pelo GABA</t>
        </is>
      </c>
      <c r="N799" s="7" t="inlineStr">
        <is>
          <t>Categoria 3 — Produto Moderadamente Tóxico</t>
        </is>
      </c>
      <c r="O799" s="7" t="inlineStr">
        <is>
          <t>Amarelo PMS Yellow C</t>
        </is>
      </c>
      <c r="P799" s="7" t="inlineStr">
        <is>
          <t>Classe II — Produto Muito Perigoso ao Meio Ambiente</t>
        </is>
      </c>
      <c r="Q799" s="9" t="n">
        <v>24</v>
      </c>
      <c r="R799" s="7" t="inlineStr">
        <is>
          <t>Terrestre / Aérea (Drones consultar bula)</t>
        </is>
      </c>
      <c r="S799" s="7" t="inlineStr">
        <is>
          <t>Sem antídoto específico; tratamento sintomático e controle neurológico</t>
        </is>
      </c>
      <c r="T799" s="7" t="inlineStr">
        <is>
          <t>AGRICONNECTION IMPORTADORA E EXPORTADORA DE INSUMOS AGRÍCOLAS LTDA.</t>
        </is>
      </c>
      <c r="U799" s="10">
        <f>HYPERLINK("https://agrofit.agricultura.gov.br/agrofit_cons/principal_agrofit_cons", "Consulta Oficial AGROFIT/MAPA (Nº 27717)")</f>
        <v/>
      </c>
    </row>
    <row r="800" ht="22" customHeight="1">
      <c r="A800" s="11" t="n">
        <v>795</v>
      </c>
      <c r="B800" s="12" t="inlineStr">
        <is>
          <t>Nº 12920</t>
        </is>
      </c>
      <c r="C800" s="13" t="inlineStr">
        <is>
          <t>ATRAZINA 900 (PRINCIPIO ATIVO)</t>
        </is>
      </c>
      <c r="D800" s="14" t="inlineStr">
        <is>
          <t>ATRAZINA 900 (PRINCIPIO ATIVO)</t>
        </is>
      </c>
      <c r="E800" s="13" t="inlineStr">
        <is>
          <t>Produto Técnico Industrial</t>
        </is>
      </c>
      <c r="F800" s="13" t="inlineStr">
        <is>
          <t>Defensivos</t>
        </is>
      </c>
      <c r="G800" s="13" t="inlineStr">
        <is>
          <t>Herbicida (Princípio Ativo / Técnico)</t>
        </is>
      </c>
      <c r="H800" s="13" t="inlineStr">
        <is>
          <t>WG</t>
        </is>
      </c>
      <c r="I800" s="13" t="inlineStr">
        <is>
          <t>WG - Granulado Dispersível</t>
        </is>
      </c>
      <c r="J800" s="13" t="inlineStr">
        <is>
          <t>Herbicida seletivo sistêmico de pré e pós-emergência precoce</t>
        </is>
      </c>
      <c r="K800" s="13" t="inlineStr">
        <is>
          <t>Triazina</t>
        </is>
      </c>
      <c r="L800" s="13" t="inlineStr">
        <is>
          <t>HRAC Grupo C1 (5) — Inibidores do Fotossistema II</t>
        </is>
      </c>
      <c r="M800" s="13" t="inlineStr">
        <is>
          <t>Inibição do transporte de elétrons no Fotossistema II (sítio Serina 264)</t>
        </is>
      </c>
      <c r="N800" s="13" t="inlineStr">
        <is>
          <t>Categoria 5: Produto Improvável de Causa Dano Agudo</t>
        </is>
      </c>
      <c r="O800" s="13" t="inlineStr">
        <is>
          <t>Azul</t>
        </is>
      </c>
      <c r="P800" s="13" t="inlineStr">
        <is>
          <t>Classe II — Produto Muito Perigoso ao Meio Ambiente</t>
        </is>
      </c>
      <c r="Q800" s="15" t="n">
        <v>24</v>
      </c>
      <c r="R800" s="13" t="inlineStr">
        <is>
          <t>Terrestre / Aérea (Drones consultar bula)</t>
        </is>
      </c>
      <c r="S800" s="13" t="inlineStr">
        <is>
          <t>Sem antídoto específico; tratamento sintomático</t>
        </is>
      </c>
      <c r="T800" s="13" t="inlineStr">
        <is>
          <t>CROTECT CROP SCIENCE LTDA</t>
        </is>
      </c>
      <c r="U800" s="16">
        <f>HYPERLINK("https://agrofit.agricultura.gov.br/agrofit_cons/principal_agrofit_cons", "Consulta Oficial AGROFIT/MAPA (Nº 12920)")</f>
        <v/>
      </c>
    </row>
    <row r="801" ht="22" customHeight="1">
      <c r="A801" s="5" t="n">
        <v>796</v>
      </c>
      <c r="B801" s="6" t="inlineStr">
        <is>
          <t>Nº 26222</t>
        </is>
      </c>
      <c r="C801" s="7" t="inlineStr">
        <is>
          <t>DIQUATE (PRINCIPIO ATIVO)</t>
        </is>
      </c>
      <c r="D801" s="8" t="inlineStr">
        <is>
          <t>DIQUATE (PRINCIPIO ATIVO)</t>
        </is>
      </c>
      <c r="E801" s="7" t="inlineStr">
        <is>
          <t>Produto Técnico Industrial</t>
        </is>
      </c>
      <c r="F801" s="7" t="inlineStr">
        <is>
          <t>Defensivos</t>
        </is>
      </c>
      <c r="G801" s="7" t="inlineStr">
        <is>
          <t>Herbicida (Princípio Ativo / Técnico)</t>
        </is>
      </c>
      <c r="H801" s="7" t="inlineStr">
        <is>
          <t>TC</t>
        </is>
      </c>
      <c r="I801" s="7" t="inlineStr">
        <is>
          <t>Produto Técnico Industrial (TC)</t>
        </is>
      </c>
      <c r="J801" s="7" t="inlineStr">
        <is>
          <t>Herbicida dessecante não seletivo de contato e ação rápida</t>
        </is>
      </c>
      <c r="K801" s="7" t="inlineStr">
        <is>
          <t>Bipiridílio</t>
        </is>
      </c>
      <c r="L801" s="7" t="inlineStr">
        <is>
          <t>HRAC Grupo D (22) — Desviadores de Elétrons do Fotossistema I</t>
        </is>
      </c>
      <c r="M801" s="7" t="inlineStr">
        <is>
          <t>Inibidores do Fotossistema I (geração de radicais livres peróxidos)</t>
        </is>
      </c>
      <c r="N801" s="7" t="inlineStr">
        <is>
          <t>Categoria 3 — Produto Moderadamente Tóxico</t>
        </is>
      </c>
      <c r="O801" s="7" t="inlineStr">
        <is>
          <t>Amarelo PMS Yellow C</t>
        </is>
      </c>
      <c r="P801" s="7" t="inlineStr">
        <is>
          <t>Classe II — Produto Muito Perigoso ao Meio Ambiente</t>
        </is>
      </c>
      <c r="Q801" s="9" t="n">
        <v>24</v>
      </c>
      <c r="R801" s="7" t="inlineStr">
        <is>
          <t>Terrestre / Aérea (Drones consultar bula)</t>
        </is>
      </c>
      <c r="S801" s="7" t="inlineStr">
        <is>
          <t>Sem antídoto específico; terra de Fuller / bentonita / carvão ativado na descontaminação gástrica</t>
        </is>
      </c>
      <c r="T801" s="7" t="inlineStr">
        <is>
          <t>VANON / CHDS DO BRASIL COMÉRCIO DE INSUMOS AGRÍCOLAS LTDA.</t>
        </is>
      </c>
      <c r="U801" s="10">
        <f>HYPERLINK("https://www.adapar.pr.gov.br/Pagina/Agrotoxicos-Herbicidas", "Registro Oficial Diquat Vanon 200 SL (MAPA 26222)")</f>
        <v/>
      </c>
    </row>
    <row r="802" ht="22" customHeight="1">
      <c r="A802" s="11" t="n">
        <v>797</v>
      </c>
      <c r="B802" s="12" t="inlineStr">
        <is>
          <t>Nº 4026</t>
        </is>
      </c>
      <c r="C802" s="13" t="inlineStr">
        <is>
          <t>PROTIOCONAZOLE 480 (PRINCIPIO ATIVO)</t>
        </is>
      </c>
      <c r="D802" s="14" t="inlineStr">
        <is>
          <t>PROTIOCONAZOLE 480 (PRINCIPIO ATIVO)</t>
        </is>
      </c>
      <c r="E802" s="13" t="inlineStr">
        <is>
          <t>Produto Técnico Industrial</t>
        </is>
      </c>
      <c r="F802" s="13" t="inlineStr">
        <is>
          <t>Defensivos</t>
        </is>
      </c>
      <c r="G802" s="13" t="inlineStr">
        <is>
          <t>Fungicida (Princípio Ativo / Técnico)</t>
        </is>
      </c>
      <c r="H802" s="13" t="inlineStr">
        <is>
          <t>TC</t>
        </is>
      </c>
      <c r="I802" s="13" t="inlineStr">
        <is>
          <t>Produto Técnico Industrial (TC)</t>
        </is>
      </c>
      <c r="J802" s="13" t="inlineStr">
        <is>
          <t>Fungicida sistêmico preventivo, curativo e erradicante</t>
        </is>
      </c>
      <c r="K802" s="13" t="inlineStr">
        <is>
          <t>Triazolinthiona</t>
        </is>
      </c>
      <c r="L802" s="13" t="inlineStr">
        <is>
          <t>FRAC Grupo 3 (DMI)</t>
        </is>
      </c>
      <c r="M802" s="13" t="inlineStr">
        <is>
          <t>Inibidores da desmetilação de esteróis (DMI - C14-desmetilase)</t>
        </is>
      </c>
      <c r="N802" s="13" t="inlineStr">
        <is>
          <t>Categoria 4 / 5 — Pouco Tóxico</t>
        </is>
      </c>
      <c r="O802" s="13" t="inlineStr">
        <is>
          <t>Azul Intenso</t>
        </is>
      </c>
      <c r="P802" s="13" t="inlineStr">
        <is>
          <t>Classe II — Produto Muito Perigoso ao Meio Ambiente</t>
        </is>
      </c>
      <c r="Q802" s="15" t="n">
        <v>24</v>
      </c>
      <c r="R802" s="13" t="inlineStr">
        <is>
          <t>Terrestre / Aérea (Drones consultar bula)</t>
        </is>
      </c>
      <c r="S802" s="13" t="inlineStr">
        <is>
          <t>Sem antídoto específico; tratamento sintomático</t>
        </is>
      </c>
      <c r="T802" s="13" t="inlineStr">
        <is>
          <t>Sino-Agri / Rainbow</t>
        </is>
      </c>
      <c r="U802" s="16">
        <f>HYPERLINK("https://agrofit.agricultura.gov.br/agrofit_cons/principal_agrofit_cons", "Consulta Oficial AGROFIT/MAPA (Nº 4026)")</f>
        <v/>
      </c>
    </row>
    <row r="803" ht="22" customHeight="1">
      <c r="A803" s="5" t="n">
        <v>798</v>
      </c>
      <c r="B803" s="6" t="inlineStr">
        <is>
          <t>Nº 43818</t>
        </is>
      </c>
      <c r="C803" s="7" t="inlineStr">
        <is>
          <t>RUBY 20 L (IMP) VALIDAR FISCAL</t>
        </is>
      </c>
      <c r="D803" s="8" t="inlineStr">
        <is>
          <t>RUBY</t>
        </is>
      </c>
      <c r="E803" s="7" t="inlineStr">
        <is>
          <t>Produto Formulado Comercial</t>
        </is>
      </c>
      <c r="F803" s="7" t="inlineStr">
        <is>
          <t>Defensivos</t>
        </is>
      </c>
      <c r="G803" s="7" t="inlineStr">
        <is>
          <t>Inseticida e Acaricida</t>
        </is>
      </c>
      <c r="H803" s="7" t="inlineStr">
        <is>
          <t>SC</t>
        </is>
      </c>
      <c r="I803" s="7" t="inlineStr">
        <is>
          <t>Suspensão Concentrada (SC)</t>
        </is>
      </c>
      <c r="J803" s="7" t="inlineStr">
        <is>
          <t>Inseticida/acaricida de contato e ingestão</t>
        </is>
      </c>
      <c r="K803" s="7" t="inlineStr">
        <is>
          <t>Tioureia</t>
        </is>
      </c>
      <c r="L803" s="7" t="inlineStr">
        <is>
          <t>IRAC Grupo 12A</t>
        </is>
      </c>
      <c r="M803" s="7" t="inlineStr">
        <is>
          <t>Inibidores da ATP sintase mitocondrial</t>
        </is>
      </c>
      <c r="N803" s="7" t="inlineStr">
        <is>
          <t>Categoria 4 — Produto Pouco Tóxico</t>
        </is>
      </c>
      <c r="O803" s="7" t="inlineStr">
        <is>
          <t>Azul PMS Blue 293 C</t>
        </is>
      </c>
      <c r="P803" s="7" t="inlineStr">
        <is>
          <t>Classe II — Produto Muito Perigoso ao Meio Ambiente</t>
        </is>
      </c>
      <c r="Q803" s="9" t="n">
        <v>24</v>
      </c>
      <c r="R803" s="7" t="inlineStr">
        <is>
          <t>Terrestre / Aérea (Drones consultar bula)</t>
        </is>
      </c>
      <c r="S803" s="7" t="inlineStr">
        <is>
          <t>Tratamento sintomático conforme grupo químico na bula</t>
        </is>
      </c>
      <c r="T803" s="7" t="inlineStr">
        <is>
          <t>PROVENTIS LIFESCIENCE DEFENSIVOS AGRÍCOLAS LTDA.</t>
        </is>
      </c>
      <c r="U803" s="10">
        <f>HYPERLINK("https://agrofit.agricultura.gov.br/agrofit_cons/principal_agrofit_cons", "Consulta Oficial AGROFIT/MAPA (Nº 43818)")</f>
        <v/>
      </c>
    </row>
    <row r="804" ht="22" customHeight="1">
      <c r="A804" s="11" t="n">
        <v>799</v>
      </c>
      <c r="B804" s="12" t="inlineStr">
        <is>
          <t>Nº 40624</t>
        </is>
      </c>
      <c r="C804" s="13" t="inlineStr">
        <is>
          <t>SHARK 10L (IMP) VALIDAR FISCAL</t>
        </is>
      </c>
      <c r="D804" s="14" t="inlineStr">
        <is>
          <t>SHARK</t>
        </is>
      </c>
      <c r="E804" s="13" t="inlineStr">
        <is>
          <t>Produto Formulado Comercial</t>
        </is>
      </c>
      <c r="F804" s="13" t="inlineStr">
        <is>
          <t>Defensivos</t>
        </is>
      </c>
      <c r="G804" s="13" t="inlineStr">
        <is>
          <t>Inseticida</t>
        </is>
      </c>
      <c r="H804" s="13" t="inlineStr">
        <is>
          <t>EC</t>
        </is>
      </c>
      <c r="I804" s="13" t="inlineStr">
        <is>
          <t>Concentrado Emulsionável (EC)</t>
        </is>
      </c>
      <c r="J804" s="13" t="inlineStr">
        <is>
          <t>Inseticida e acaricida de contato, ingestão e profundidade</t>
        </is>
      </c>
      <c r="K804" s="13" t="inlineStr">
        <is>
          <t>Organofosforado</t>
        </is>
      </c>
      <c r="L804" s="13" t="inlineStr">
        <is>
          <t>IRAC Grupo 1B</t>
        </is>
      </c>
      <c r="M804" s="13" t="inlineStr">
        <is>
          <t>Inibidores da acetilcolinesterase (AChE)</t>
        </is>
      </c>
      <c r="N804" s="13" t="inlineStr">
        <is>
          <t>Categoria 2 — Produto Altamente Tóxico</t>
        </is>
      </c>
      <c r="O804" s="13" t="inlineStr">
        <is>
          <t>Vermelho PMS Red 199 C</t>
        </is>
      </c>
      <c r="P804" s="13" t="inlineStr">
        <is>
          <t>Classe II — Produto Muito Perigoso ao Meio Ambiente</t>
        </is>
      </c>
      <c r="Q804" s="15" t="n">
        <v>24</v>
      </c>
      <c r="R804" s="13" t="inlineStr">
        <is>
          <t>Terrestre / Aérea (Drones consultar bula)</t>
        </is>
      </c>
      <c r="S804" s="13" t="inlineStr">
        <is>
          <t>Atropina (agonista antimuscarínico) e Pralidoxima (reativador de colinesterase)</t>
        </is>
      </c>
      <c r="T804" s="13" t="inlineStr">
        <is>
          <t>AGRICONNECTION IMPORTADORA E EXPORTADORA DE INSUMOS AGRÍCOLAS LTDA.</t>
        </is>
      </c>
      <c r="U804" s="16">
        <f>HYPERLINK("https://agrofit.agricultura.gov.br/agrofit_cons/principal_agrofit_cons", "Consulta Oficial AGROFIT/MAPA (Nº 40624)")</f>
        <v/>
      </c>
    </row>
    <row r="805" ht="22" customHeight="1">
      <c r="A805" s="5" t="n">
        <v>800</v>
      </c>
      <c r="B805" s="6" t="inlineStr">
        <is>
          <t>Nº 40624</t>
        </is>
      </c>
      <c r="C805" s="7" t="inlineStr">
        <is>
          <t>SHARK 4X5L (IMP) VALIDAR FISCAL</t>
        </is>
      </c>
      <c r="D805" s="8" t="inlineStr">
        <is>
          <t>SHARK</t>
        </is>
      </c>
      <c r="E805" s="7" t="inlineStr">
        <is>
          <t>Produto Formulado Comercial</t>
        </is>
      </c>
      <c r="F805" s="7" t="inlineStr">
        <is>
          <t>Defensivos</t>
        </is>
      </c>
      <c r="G805" s="7" t="inlineStr">
        <is>
          <t>Inseticida</t>
        </is>
      </c>
      <c r="H805" s="7" t="inlineStr">
        <is>
          <t>EC</t>
        </is>
      </c>
      <c r="I805" s="7" t="inlineStr">
        <is>
          <t>Concentrado Emulsionável (EC)</t>
        </is>
      </c>
      <c r="J805" s="7" t="inlineStr">
        <is>
          <t>Inseticida e acaricida de contato, ingestão e profundidade</t>
        </is>
      </c>
      <c r="K805" s="7" t="inlineStr">
        <is>
          <t>Organofosforado</t>
        </is>
      </c>
      <c r="L805" s="7" t="inlineStr">
        <is>
          <t>IRAC Grupo 1B</t>
        </is>
      </c>
      <c r="M805" s="7" t="inlineStr">
        <is>
          <t>Inibidores da acetilcolinesterase (AChE)</t>
        </is>
      </c>
      <c r="N805" s="7" t="inlineStr">
        <is>
          <t>Categoria 2 — Produto Altamente Tóxico</t>
        </is>
      </c>
      <c r="O805" s="7" t="inlineStr">
        <is>
          <t>Vermelho PMS Red 199 C</t>
        </is>
      </c>
      <c r="P805" s="7" t="inlineStr">
        <is>
          <t>Classe II — Produto Muito Perigoso ao Meio Ambiente</t>
        </is>
      </c>
      <c r="Q805" s="9" t="n">
        <v>24</v>
      </c>
      <c r="R805" s="7" t="inlineStr">
        <is>
          <t>Terrestre / Aérea (Drones consultar bula)</t>
        </is>
      </c>
      <c r="S805" s="7" t="inlineStr">
        <is>
          <t>Atropina (agonista antimuscarínico) e Pralidoxima (reativador de colinesterase)</t>
        </is>
      </c>
      <c r="T805" s="7" t="inlineStr">
        <is>
          <t>AGRICONNECTION IMPORTADORA E EXPORTADORA DE INSUMOS AGRÍCOLAS LTDA.</t>
        </is>
      </c>
      <c r="U805" s="10">
        <f>HYPERLINK("https://agrofit.agricultura.gov.br/agrofit_cons/principal_agrofit_cons", "Consulta Oficial AGROFIT/MAPA (Nº 40624)")</f>
        <v/>
      </c>
    </row>
    <row r="806" ht="22" customHeight="1">
      <c r="A806" s="11" t="n">
        <v>801</v>
      </c>
      <c r="B806" s="12" t="inlineStr">
        <is>
          <t>Nº 17219</t>
        </is>
      </c>
      <c r="C806" s="13" t="inlineStr">
        <is>
          <t>PERAK 4X5L (IMP) VALIDAR FISCAL</t>
        </is>
      </c>
      <c r="D806" s="14" t="inlineStr">
        <is>
          <t>PERAK</t>
        </is>
      </c>
      <c r="E806" s="13" t="inlineStr">
        <is>
          <t>Produto Formulado Comercial</t>
        </is>
      </c>
      <c r="F806" s="13" t="inlineStr">
        <is>
          <t>Defensivos</t>
        </is>
      </c>
      <c r="G806" s="13" t="inlineStr">
        <is>
          <t>Fungicida</t>
        </is>
      </c>
      <c r="H806" s="13" t="inlineStr">
        <is>
          <t>SC</t>
        </is>
      </c>
      <c r="I806" s="13" t="inlineStr">
        <is>
          <t>Suspensão Concentrada (SC)</t>
        </is>
      </c>
      <c r="J806" s="13" t="inlineStr">
        <is>
          <t>Fungicida e acaricida de contato preventivo c/ baixa mobilidade</t>
        </is>
      </c>
      <c r="K806" s="13" t="inlineStr">
        <is>
          <t>Fenilpiridinamina (2,6-dinitroanilina)</t>
        </is>
      </c>
      <c r="L806" s="13" t="inlineStr">
        <is>
          <t>FRAC Grupo 29</t>
        </is>
      </c>
      <c r="M806" s="13" t="inlineStr">
        <is>
          <t>Desacopladores da fosforilação oxidativa mitocondrial</t>
        </is>
      </c>
      <c r="N806" s="13" t="inlineStr">
        <is>
          <t>Categoria 4 — Produto Pouco Tóxico</t>
        </is>
      </c>
      <c r="O806" s="13" t="inlineStr">
        <is>
          <t>Azul PMS Blue 293 C</t>
        </is>
      </c>
      <c r="P806" s="13" t="inlineStr">
        <is>
          <t>Classe II — Produto Muito Perigoso ao Meio Ambiente</t>
        </is>
      </c>
      <c r="Q806" s="15" t="n">
        <v>24</v>
      </c>
      <c r="R806" s="13" t="inlineStr">
        <is>
          <t>Terrestre / Aérea (Drones consultar bula)</t>
        </is>
      </c>
      <c r="S806" s="13" t="inlineStr">
        <is>
          <t>Sem antídoto específico; tratamento sintomático</t>
        </is>
      </c>
      <c r="T806" s="13" t="inlineStr">
        <is>
          <t>PROVENTIS LIFESCIENCE DEFENSIVOS AGRÍCOLAS LTDA.</t>
        </is>
      </c>
      <c r="U806" s="16">
        <f>HYPERLINK("https://agrofit.agricultura.gov.br/agrofit_cons/principal_agrofit_cons", "Consulta Oficial AGROFIT/MAPA (Nº 17219)")</f>
        <v/>
      </c>
    </row>
    <row r="807" ht="22" customHeight="1">
      <c r="A807" s="5" t="n">
        <v>802</v>
      </c>
      <c r="B807" s="6" t="inlineStr">
        <is>
          <t>SIPEAGRO (UF-XXXXX)</t>
        </is>
      </c>
      <c r="C807" s="7" t="inlineStr">
        <is>
          <t>TSP - 46%P2O5 - GRAN - REVENDA - JBS</t>
        </is>
      </c>
      <c r="D807" s="8" t="inlineStr">
        <is>
          <t>TSP - 46%P2O5 - GRAN - REVENDA - JBS</t>
        </is>
      </c>
      <c r="E807" s="7" t="inlineStr">
        <is>
          <t>Fertilizante Mineral / Organomineral</t>
        </is>
      </c>
      <c r="F807" s="7" t="inlineStr">
        <is>
          <t>Fertilizantes</t>
        </is>
      </c>
      <c r="G807" s="7" t="inlineStr">
        <is>
          <t>Fertilizante Mineral Simples (Fosfatado)</t>
        </is>
      </c>
      <c r="H807" s="7" t="inlineStr">
        <is>
          <t>Granulado</t>
        </is>
      </c>
      <c r="I807" s="7" t="inlineStr">
        <is>
          <t>Formulação Padrão (Granulado / Solúvel / Suspensão)</t>
        </is>
      </c>
      <c r="J807" s="7" t="inlineStr">
        <is>
          <t>Aplicação via solo, fertirrigação ou adubação foliar</t>
        </is>
      </c>
      <c r="K807" s="7" t="inlineStr">
        <is>
          <t>Fertilizante Mineral / Organomineral (Lei nº 6.894/1980)</t>
        </is>
      </c>
      <c r="L807" s="7" t="inlineStr">
        <is>
          <t>Nutrição Vegetal SIPEAGRO</t>
        </is>
      </c>
      <c r="M807" s="7" t="inlineStr">
        <is>
          <t>Fornecimento de macro e micronutrientes essenciais ao metabolismo vegetal</t>
        </is>
      </c>
      <c r="N807" s="7" t="inlineStr">
        <is>
          <t>Isento ANVISA (Produto Fertilizante Registrado no SIPEAGRO/MAPA)</t>
        </is>
      </c>
      <c r="O807" s="7" t="inlineStr">
        <is>
          <t>Não Aplicável (Fertilizante)</t>
        </is>
      </c>
      <c r="P807" s="7" t="inlineStr">
        <is>
          <t>Baixo Potencial Poluidor (Uso conforme recomendação agronômica)</t>
        </is>
      </c>
      <c r="Q807" s="9" t="n">
        <v>0</v>
      </c>
      <c r="R807" s="7" t="inlineStr">
        <is>
          <t>Aplicação Dirigida / TS / Solo</t>
        </is>
      </c>
      <c r="S807" s="7" t="inlineStr">
        <is>
          <t>Tratamento sintomático em caso de ingestão acidental</t>
        </is>
      </c>
      <c r="T807" s="7" t="inlineStr">
        <is>
          <t>Estabelecimento Produtor SIPEAGRO/MAPA</t>
        </is>
      </c>
      <c r="U807" s="10">
        <f>HYPERLINK("https://www.gov.br/agricultura/pt-br/assuntos/insumos-agropecuarios/insumos-agricolas/fertilizantes", "Portal SIPEAGRO / MAPA — Fertilizantes e Bioinsumos")</f>
        <v/>
      </c>
    </row>
    <row r="808" ht="22" customHeight="1">
      <c r="A808" s="11" t="n">
        <v>803</v>
      </c>
      <c r="B808" s="12" t="inlineStr">
        <is>
          <t>Nº 2020</t>
        </is>
      </c>
      <c r="C808" s="13" t="inlineStr">
        <is>
          <t>BUSHI 0,2L (AMOSTRA) IMP</t>
        </is>
      </c>
      <c r="D808" s="14" t="inlineStr">
        <is>
          <t>BUSHI 0,2L (AMOSTRA) IMP</t>
        </is>
      </c>
      <c r="E808" s="13" t="inlineStr">
        <is>
          <t>Produto Formulado Comercial</t>
        </is>
      </c>
      <c r="F808" s="13" t="inlineStr">
        <is>
          <t>Defensivos</t>
        </is>
      </c>
      <c r="G808" s="13" t="inlineStr">
        <is>
          <t>Inseticida</t>
        </is>
      </c>
      <c r="H808" s="13" t="inlineStr">
        <is>
          <t>CS</t>
        </is>
      </c>
      <c r="I808" s="13" t="inlineStr">
        <is>
          <t>Suspensão de Encapsulado (CS)</t>
        </is>
      </c>
      <c r="J808" s="13" t="inlineStr">
        <is>
          <t>Inseticida de contato e ingestão com efeito de choque</t>
        </is>
      </c>
      <c r="K808" s="13" t="inlineStr">
        <is>
          <t>Piretroide (Tipo II)</t>
        </is>
      </c>
      <c r="L808" s="13" t="inlineStr">
        <is>
          <t>IRAC Grupo 3A</t>
        </is>
      </c>
      <c r="M808" s="13" t="inlineStr">
        <is>
          <t>Moduladores de canais de sódio em axônios nervosos</t>
        </is>
      </c>
      <c r="N808" s="13" t="inlineStr">
        <is>
          <t>Categoria 3 — Produto Moderadamente Tóxico</t>
        </is>
      </c>
      <c r="O808" s="13" t="inlineStr">
        <is>
          <t>Amarelo PMS Yellow C</t>
        </is>
      </c>
      <c r="P808" s="13" t="inlineStr">
        <is>
          <t>Classe II — Produto Muito Perigoso ao Meio Ambiente</t>
        </is>
      </c>
      <c r="Q808" s="15" t="n">
        <v>24</v>
      </c>
      <c r="R808" s="13" t="inlineStr">
        <is>
          <t>Terrestre / Aérea (Drones consultar bula)</t>
        </is>
      </c>
      <c r="S808" s="13" t="inlineStr">
        <is>
          <t>Sem antídoto específico; anti-histamínicos e suporte sintomático</t>
        </is>
      </c>
      <c r="T808" s="13" t="inlineStr">
        <is>
          <t>PILARQUIM BR COMERCIAL LTDA. / SYNGENTA</t>
        </is>
      </c>
      <c r="U808" s="16">
        <f>HYPERLINK("https://agrofit.agricultura.gov.br/agrofit_cons/principal_agrofit_cons", "Consulta Oficial AGROFIT/MAPA (Nº 2020)")</f>
        <v/>
      </c>
    </row>
    <row r="809" ht="22" customHeight="1">
      <c r="A809" s="5" t="n">
        <v>804</v>
      </c>
      <c r="B809" s="6" t="inlineStr">
        <is>
          <t>Nº 34621</t>
        </is>
      </c>
      <c r="C809" s="7" t="inlineStr">
        <is>
          <t>DIBROMETO DE DIQUATE 374 G/L + DIQUATE 200 G/L 1X20L (VALIDAR)</t>
        </is>
      </c>
      <c r="D809" s="8" t="inlineStr">
        <is>
          <t>DIBROMETO DE DIQUATE</t>
        </is>
      </c>
      <c r="E809" s="7" t="inlineStr">
        <is>
          <t>Produto Formulado Comercial</t>
        </is>
      </c>
      <c r="F809" s="7" t="inlineStr">
        <is>
          <t>Defensivos</t>
        </is>
      </c>
      <c r="G809" s="7" t="inlineStr">
        <is>
          <t>Herbicida Dessecante</t>
        </is>
      </c>
      <c r="H809" s="7" t="inlineStr">
        <is>
          <t>SL</t>
        </is>
      </c>
      <c r="I809" s="7" t="inlineStr">
        <is>
          <t>Concentrado Solúvel (SL)</t>
        </is>
      </c>
      <c r="J809" s="7" t="inlineStr">
        <is>
          <t>Herbicida dessecante não seletivo de contato e ação rápida</t>
        </is>
      </c>
      <c r="K809" s="7" t="inlineStr">
        <is>
          <t>Bipiridílio</t>
        </is>
      </c>
      <c r="L809" s="7" t="inlineStr">
        <is>
          <t>HRAC Grupo D (22) — Desviadores de Elétrons do Fotossistema I</t>
        </is>
      </c>
      <c r="M809" s="7" t="inlineStr">
        <is>
          <t>Inibidores do Fotossistema I (geração de radicais livres peróxidos)</t>
        </is>
      </c>
      <c r="N809" s="7" t="inlineStr">
        <is>
          <t>Categoria 3 — Produto Moderadamente Tóxico</t>
        </is>
      </c>
      <c r="O809" s="7" t="inlineStr">
        <is>
          <t>Amarelo PMS Yellow C</t>
        </is>
      </c>
      <c r="P809" s="7" t="inlineStr">
        <is>
          <t>Classe II — Produto Muito Perigoso ao Meio Ambiente</t>
        </is>
      </c>
      <c r="Q809" s="9" t="n">
        <v>24</v>
      </c>
      <c r="R809" s="7" t="inlineStr">
        <is>
          <t>Terrestre / Aérea (Drones consultar bula)</t>
        </is>
      </c>
      <c r="S809" s="7" t="inlineStr">
        <is>
          <t>Sem antídoto específico; terra de Fuller / bentonita / carvão ativado na descontaminação gástrica</t>
        </is>
      </c>
      <c r="T809" s="7" t="inlineStr">
        <is>
          <t>YONON BRASIL DEFENSIVOS AGRÍCOLAS LTDA. / CCAB AGRO S.A.</t>
        </is>
      </c>
      <c r="U809" s="10">
        <f>HYPERLINK("https://agrofit.agricultura.gov.br/agrofit_cons/principal_agrofit_cons", "Consulta Oficial AGROFIT/MAPA (Nº 34621)")</f>
        <v/>
      </c>
    </row>
    <row r="810" ht="22" customHeight="1">
      <c r="A810" s="11" t="n">
        <v>805</v>
      </c>
      <c r="B810" s="12" t="inlineStr">
        <is>
          <t>Nº 25423</t>
        </is>
      </c>
      <c r="C810" s="13" t="inlineStr">
        <is>
          <t>GLUFE 200 SL 4X5L IMP LL</t>
        </is>
      </c>
      <c r="D810" s="14" t="inlineStr">
        <is>
          <t>GLUFE 200 SL</t>
        </is>
      </c>
      <c r="E810" s="13" t="inlineStr">
        <is>
          <t>Produto Formulado Comercial</t>
        </is>
      </c>
      <c r="F810" s="13" t="inlineStr">
        <is>
          <t>Defensivos</t>
        </is>
      </c>
      <c r="G810" s="13" t="inlineStr">
        <is>
          <t>Herbicida</t>
        </is>
      </c>
      <c r="H810" s="13" t="inlineStr">
        <is>
          <t>SL</t>
        </is>
      </c>
      <c r="I810" s="13" t="inlineStr">
        <is>
          <t>Concentrado Solúvel (SL)</t>
        </is>
      </c>
      <c r="J810" s="13" t="inlineStr">
        <is>
          <t>Herbicida de contato não seletivo em pós-emergência (seletivo p/ OGM LibertyLink)</t>
        </is>
      </c>
      <c r="K810" s="13" t="inlineStr">
        <is>
          <t>Homoalanina substituída (Ácido fosfínico)</t>
        </is>
      </c>
      <c r="L810" s="13" t="inlineStr">
        <is>
          <t>HRAC Grupo H (10) — Inibidores da Glutamina Sintetase</t>
        </is>
      </c>
      <c r="M810" s="13" t="inlineStr">
        <is>
          <t>Inibição da enzima glutamina sintetase (acúmulo de amônia intracelular)</t>
        </is>
      </c>
      <c r="N810" s="13" t="inlineStr">
        <is>
          <t>Categoria 4 — Produto Pouco Tóxico</t>
        </is>
      </c>
      <c r="O810" s="13" t="inlineStr">
        <is>
          <t>Azul PMS Blue 293 C</t>
        </is>
      </c>
      <c r="P810" s="13" t="inlineStr">
        <is>
          <t>Classe III — Produto Perigoso ao Meio Ambiente</t>
        </is>
      </c>
      <c r="Q810" s="15" t="n">
        <v>24</v>
      </c>
      <c r="R810" s="13" t="inlineStr">
        <is>
          <t>Terrestre / Aérea (Drones consultar bula)</t>
        </is>
      </c>
      <c r="S810" s="13" t="inlineStr">
        <is>
          <t>Sem antídoto específico; monitorar SNC por 48h e suporte ventilatório</t>
        </is>
      </c>
      <c r="T810" s="13" t="inlineStr">
        <is>
          <t>LIBEN / YONON BRASIL DEFENSIVOS AGRÍCOLAS LTDA.</t>
        </is>
      </c>
      <c r="U810" s="16">
        <f>HYPERLINK("https://www.adapar.pr.gov.br/Pagina/Agrotoxicos-Herbicidas", "Registro Oficial Glufosinate 200 SL Liben (MAPA 25423)")</f>
        <v/>
      </c>
    </row>
    <row r="811" ht="22" customHeight="1">
      <c r="A811" s="5" t="n">
        <v>806</v>
      </c>
      <c r="B811" s="6" t="inlineStr">
        <is>
          <t>SIPEAGRO (UF-XXXXX)</t>
        </is>
      </c>
      <c r="C811" s="7" t="inlineStr">
        <is>
          <t>MS09E 04 24 24 S9 - MOSAIC (VALIDAR)</t>
        </is>
      </c>
      <c r="D811" s="8" t="inlineStr">
        <is>
          <t>MS09E 04 24 24 S9 - MOSAIC (VALIDAR)</t>
        </is>
      </c>
      <c r="E811" s="7" t="inlineStr">
        <is>
          <t>Fertilizante Mineral / Organomineral</t>
        </is>
      </c>
      <c r="F811" s="7" t="inlineStr">
        <is>
          <t>Fertilizantes</t>
        </is>
      </c>
      <c r="G811" s="7" t="inlineStr">
        <is>
          <t>Fertilizante Mineral Misto (NPK / NP)</t>
        </is>
      </c>
      <c r="H811" s="7" t="inlineStr">
        <is>
          <t>Granulado</t>
        </is>
      </c>
      <c r="I811" s="7" t="inlineStr">
        <is>
          <t>Formulação Padrão (Granulado / Solúvel / Suspensão)</t>
        </is>
      </c>
      <c r="J811" s="7" t="inlineStr">
        <is>
          <t>Aplicação via solo, fertirrigação ou adubação foliar</t>
        </is>
      </c>
      <c r="K811" s="7" t="inlineStr">
        <is>
          <t>Fertilizante Mineral / Organomineral (Lei nº 6.894/1980)</t>
        </is>
      </c>
      <c r="L811" s="7" t="inlineStr">
        <is>
          <t>Nutrição Vegetal SIPEAGRO</t>
        </is>
      </c>
      <c r="M811" s="7" t="inlineStr">
        <is>
          <t>Fornecimento de macro e micronutrientes essenciais ao metabolismo vegetal</t>
        </is>
      </c>
      <c r="N811" s="7" t="inlineStr">
        <is>
          <t>Isento ANVISA (Produto Fertilizante Registrado no SIPEAGRO/MAPA)</t>
        </is>
      </c>
      <c r="O811" s="7" t="inlineStr">
        <is>
          <t>Não Aplicável (Fertilizante)</t>
        </is>
      </c>
      <c r="P811" s="7" t="inlineStr">
        <is>
          <t>Baixo Potencial Poluidor (Uso conforme recomendação agronômica)</t>
        </is>
      </c>
      <c r="Q811" s="9" t="n">
        <v>0</v>
      </c>
      <c r="R811" s="7" t="inlineStr">
        <is>
          <t>Aplicação Dirigida / TS / Solo</t>
        </is>
      </c>
      <c r="S811" s="7" t="inlineStr">
        <is>
          <t>Tratamento sintomático em caso de ingestão acidental</t>
        </is>
      </c>
      <c r="T811" s="7" t="inlineStr">
        <is>
          <t>Estabelecimento Produtor SIPEAGRO/MAPA</t>
        </is>
      </c>
      <c r="U811" s="10">
        <f>HYPERLINK("https://www.gov.br/agricultura/pt-br/assuntos/insumos-agropecuarios/insumos-agricolas/fertilizantes", "Portal SIPEAGRO / MAPA — Fertilizantes e Bioinsumos")</f>
        <v/>
      </c>
    </row>
    <row r="812" ht="22" customHeight="1">
      <c r="A812" s="11" t="n">
        <v>807</v>
      </c>
      <c r="B812" s="12" t="inlineStr">
        <is>
          <t>Nº 15623</t>
        </is>
      </c>
      <c r="C812" s="13" t="inlineStr">
        <is>
          <t>TUCANO 4X5KG</t>
        </is>
      </c>
      <c r="D812" s="14" t="inlineStr">
        <is>
          <t>TUCANO</t>
        </is>
      </c>
      <c r="E812" s="13" t="inlineStr">
        <is>
          <t>Produto Formulado Comercial</t>
        </is>
      </c>
      <c r="F812" s="13" t="inlineStr">
        <is>
          <t>Defensivos</t>
        </is>
      </c>
      <c r="G812" s="13" t="inlineStr">
        <is>
          <t>Herbicida</t>
        </is>
      </c>
      <c r="H812" s="13" t="inlineStr">
        <is>
          <t>WG</t>
        </is>
      </c>
      <c r="I812" s="13" t="inlineStr">
        <is>
          <t>Grânulos Dispersíveis em Água (WG)</t>
        </is>
      </c>
      <c r="J812" s="13" t="inlineStr">
        <is>
          <t>Herbicida seletivo de contato e residual (pré e pós-emergência inicial)</t>
        </is>
      </c>
      <c r="K812" s="13" t="inlineStr">
        <is>
          <t>N-fenilftalimida</t>
        </is>
      </c>
      <c r="L812" s="13" t="inlineStr">
        <is>
          <t>HRAC Grupo E (14) — Inibidores da PROTOX</t>
        </is>
      </c>
      <c r="M812" s="13" t="inlineStr">
        <is>
          <t>Inibidores da enzima protoporfirinogênio oxidase (PROTOX)</t>
        </is>
      </c>
      <c r="N812" s="13" t="inlineStr">
        <is>
          <t>Categoria 4 / 5 — Pouco Tóxico</t>
        </is>
      </c>
      <c r="O812" s="13" t="inlineStr">
        <is>
          <t>Azul Intenso</t>
        </is>
      </c>
      <c r="P812" s="13" t="inlineStr">
        <is>
          <t>Classe II — Produto Muito Perigoso ao Meio Ambiente</t>
        </is>
      </c>
      <c r="Q812" s="15" t="n">
        <v>24</v>
      </c>
      <c r="R812" s="13" t="inlineStr">
        <is>
          <t>Terrestre / Aérea (Drones consultar bula)</t>
        </is>
      </c>
      <c r="S812" s="13" t="inlineStr">
        <is>
          <t>Sem antídoto específico; tratamento sintomático</t>
        </is>
      </c>
      <c r="T812" s="13" t="inlineStr">
        <is>
          <t>RAINBOW DEFENSIVOS AGRÍCOLAS LTDA.</t>
        </is>
      </c>
      <c r="U812" s="16">
        <f>HYPERLINK("https://www.adapar.pr.gov.br/Pagina/Agrotoxicos-Herbicidas", "Registro Oficial Tucano 500 WG (MAPA 15623)")</f>
        <v/>
      </c>
    </row>
    <row r="813" ht="22" customHeight="1">
      <c r="A813" s="5" t="n">
        <v>808</v>
      </c>
      <c r="B813" s="6" t="inlineStr">
        <is>
          <t>Nº 11325</t>
        </is>
      </c>
      <c r="C813" s="7" t="inlineStr">
        <is>
          <t>VISTARA 4x5L (IMP) RR (VALIDAR)</t>
        </is>
      </c>
      <c r="D813" s="8" t="inlineStr">
        <is>
          <t>VISTARA</t>
        </is>
      </c>
      <c r="E813" s="7" t="inlineStr">
        <is>
          <t>Produto Formulado Comercial</t>
        </is>
      </c>
      <c r="F813" s="7" t="inlineStr">
        <is>
          <t>Defensivos</t>
        </is>
      </c>
      <c r="G813" s="7" t="inlineStr">
        <is>
          <t>Fungicida</t>
        </is>
      </c>
      <c r="H813" s="7" t="inlineStr">
        <is>
          <t>EC</t>
        </is>
      </c>
      <c r="I813" s="7" t="inlineStr">
        <is>
          <t>Concentrado Emulsionável (EC)</t>
        </is>
      </c>
      <c r="J813" s="7" t="inlineStr">
        <is>
          <t>Fungicida preventivo e curativo foliar</t>
        </is>
      </c>
      <c r="K813" s="7" t="inlineStr">
        <is>
          <t>Triazol</t>
        </is>
      </c>
      <c r="L813" s="7" t="inlineStr">
        <is>
          <t>FRAC Grupo 3 (G1 — DMI)</t>
        </is>
      </c>
      <c r="M813" s="7" t="inlineStr">
        <is>
          <t>Inibidores da desmetilação do C14 na biossíntese do ergosterol</t>
        </is>
      </c>
      <c r="N813" s="7" t="inlineStr">
        <is>
          <t>Categoria 4 — Produto Pouco Tóxico (Conforme Bula ANVISA)</t>
        </is>
      </c>
      <c r="O813" s="7" t="inlineStr">
        <is>
          <t>Azul PMS Blue 293 C</t>
        </is>
      </c>
      <c r="P813" s="7" t="inlineStr">
        <is>
          <t>Classe II — Produto Muito Perigoso ao Meio Ambiente</t>
        </is>
      </c>
      <c r="Q813" s="9" t="n">
        <v>24</v>
      </c>
      <c r="R813" s="7" t="inlineStr">
        <is>
          <t>Terrestre / Aérea (Drones consultar bula)</t>
        </is>
      </c>
      <c r="S813" s="7" t="inlineStr">
        <is>
          <t>Sem antídoto específico; tratamento sintomático</t>
        </is>
      </c>
      <c r="T813" s="7" t="inlineStr">
        <is>
          <t>RAINBOW DEFENSIVOS AGRÍCOLAS LTDA.</t>
        </is>
      </c>
      <c r="U813" s="10">
        <f>HYPERLINK("https://agrofit.agricultura.gov.br/agrofit_cons/principal_agrofit_cons", "Consulta Oficial AGROFIT/MAPA (Nº 11325)")</f>
        <v/>
      </c>
    </row>
    <row r="814" ht="22" customHeight="1">
      <c r="A814" s="11" t="n">
        <v>809</v>
      </c>
      <c r="B814" s="12" t="inlineStr">
        <is>
          <t>Nº 12123</t>
        </is>
      </c>
      <c r="C814" s="13" t="inlineStr">
        <is>
          <t>ARCAR 1x20L (IMP) MM (VALIDAR)</t>
        </is>
      </c>
      <c r="D814" s="14" t="inlineStr">
        <is>
          <t>ARCAR</t>
        </is>
      </c>
      <c r="E814" s="13" t="inlineStr">
        <is>
          <t>Produto Formulado Comercial</t>
        </is>
      </c>
      <c r="F814" s="13" t="inlineStr">
        <is>
          <t>Defensivos</t>
        </is>
      </c>
      <c r="G814" s="13" t="inlineStr">
        <is>
          <t>Inseticida</t>
        </is>
      </c>
      <c r="H814" s="13" t="inlineStr">
        <is>
          <t>EC</t>
        </is>
      </c>
      <c r="I814" s="13" t="inlineStr">
        <is>
          <t>Concentrado Emulsionável (EC)</t>
        </is>
      </c>
      <c r="J814" s="13" t="inlineStr">
        <is>
          <t>Inseticida fisiológico regulador de crescimento (contato e translaminar)</t>
        </is>
      </c>
      <c r="K814" s="13" t="inlineStr">
        <is>
          <t>Éter piridiloxipropílico</t>
        </is>
      </c>
      <c r="L814" s="13" t="inlineStr">
        <is>
          <t>IRAC Grupo 7C</t>
        </is>
      </c>
      <c r="M814" s="13" t="inlineStr">
        <is>
          <t>Mimetizadores do hormônio juvenil (Juvenoides)</t>
        </is>
      </c>
      <c r="N814" s="13" t="inlineStr">
        <is>
          <t>Categoria 5 — Produto Improvável de Causar Dano Agudo</t>
        </is>
      </c>
      <c r="O814" s="13" t="inlineStr">
        <is>
          <t>Azul Intenso</t>
        </is>
      </c>
      <c r="P814" s="13" t="inlineStr">
        <is>
          <t>Classe II — Produto Muito Perigoso ao Meio Ambiente</t>
        </is>
      </c>
      <c r="Q814" s="15" t="n">
        <v>24</v>
      </c>
      <c r="R814" s="13" t="inlineStr">
        <is>
          <t>Terrestre / Aérea (Drones consultar bula)</t>
        </is>
      </c>
      <c r="S814" s="13" t="inlineStr">
        <is>
          <t>Sem antídoto específico; tratamento sintomático</t>
        </is>
      </c>
      <c r="T814" s="13" t="inlineStr">
        <is>
          <t>AGRICONNECTION IMPORTADORA E EXPORTADORA DE INSUMOS AGRÍCOLAS LTDA.</t>
        </is>
      </c>
      <c r="U814" s="16">
        <f>HYPERLINK("https://agrofit.agricultura.gov.br/agrofit_cons/principal_agrofit_cons", "Consulta Oficial AGROFIT/MAPA (Nº 12123)")</f>
        <v/>
      </c>
    </row>
    <row r="815" ht="22" customHeight="1">
      <c r="A815" s="5" t="n">
        <v>810</v>
      </c>
      <c r="B815" s="6" t="inlineStr">
        <is>
          <t>Nº 12123</t>
        </is>
      </c>
      <c r="C815" s="7" t="inlineStr">
        <is>
          <t>ARCAR 1x20L (IMP) ER (VALIDAR)</t>
        </is>
      </c>
      <c r="D815" s="8" t="inlineStr">
        <is>
          <t>ARCAR</t>
        </is>
      </c>
      <c r="E815" s="7" t="inlineStr">
        <is>
          <t>Produto Formulado Comercial</t>
        </is>
      </c>
      <c r="F815" s="7" t="inlineStr">
        <is>
          <t>Defensivos</t>
        </is>
      </c>
      <c r="G815" s="7" t="inlineStr">
        <is>
          <t>Inseticida</t>
        </is>
      </c>
      <c r="H815" s="7" t="inlineStr">
        <is>
          <t>EC</t>
        </is>
      </c>
      <c r="I815" s="7" t="inlineStr">
        <is>
          <t>Concentrado Emulsionável (EC)</t>
        </is>
      </c>
      <c r="J815" s="7" t="inlineStr">
        <is>
          <t>Inseticida fisiológico regulador de crescimento (contato e translaminar)</t>
        </is>
      </c>
      <c r="K815" s="7" t="inlineStr">
        <is>
          <t>Éter piridiloxipropílico</t>
        </is>
      </c>
      <c r="L815" s="7" t="inlineStr">
        <is>
          <t>IRAC Grupo 7C</t>
        </is>
      </c>
      <c r="M815" s="7" t="inlineStr">
        <is>
          <t>Mimetizadores do hormônio juvenil (Juvenoides)</t>
        </is>
      </c>
      <c r="N815" s="7" t="inlineStr">
        <is>
          <t>Categoria 5 — Produto Improvável de Causar Dano Agudo</t>
        </is>
      </c>
      <c r="O815" s="7" t="inlineStr">
        <is>
          <t>Azul Intenso</t>
        </is>
      </c>
      <c r="P815" s="7" t="inlineStr">
        <is>
          <t>Classe II — Produto Muito Perigoso ao Meio Ambiente</t>
        </is>
      </c>
      <c r="Q815" s="9" t="n">
        <v>24</v>
      </c>
      <c r="R815" s="7" t="inlineStr">
        <is>
          <t>Terrestre / Aérea (Drones consultar bula)</t>
        </is>
      </c>
      <c r="S815" s="7" t="inlineStr">
        <is>
          <t>Sem antídoto específico; tratamento sintomático</t>
        </is>
      </c>
      <c r="T815" s="7" t="inlineStr">
        <is>
          <t>AGRICONNECTION IMPORTADORA E EXPORTADORA DE INSUMOS AGRÍCOLAS LTDA.</t>
        </is>
      </c>
      <c r="U815" s="10">
        <f>HYPERLINK("https://agrofit.agricultura.gov.br/agrofit_cons/principal_agrofit_cons", "Consulta Oficial AGROFIT/MAPA (Nº 12123)")</f>
        <v/>
      </c>
    </row>
    <row r="816" ht="22" customHeight="1">
      <c r="A816" s="11" t="n">
        <v>811</v>
      </c>
      <c r="B816" s="12" t="inlineStr">
        <is>
          <t>Nº 23623</t>
        </is>
      </c>
      <c r="C816" s="13" t="inlineStr">
        <is>
          <t>GLIMOR WG 1X20KG (IMP) GF</t>
        </is>
      </c>
      <c r="D816" s="14" t="inlineStr">
        <is>
          <t>GLIMOR WG</t>
        </is>
      </c>
      <c r="E816" s="13" t="inlineStr">
        <is>
          <t>Produto Formulado Comercial</t>
        </is>
      </c>
      <c r="F816" s="13" t="inlineStr">
        <is>
          <t>Defensivos</t>
        </is>
      </c>
      <c r="G816" s="13" t="inlineStr">
        <is>
          <t>Herbicida</t>
        </is>
      </c>
      <c r="H816" s="13" t="inlineStr">
        <is>
          <t>WG</t>
        </is>
      </c>
      <c r="I816" s="13" t="inlineStr">
        <is>
          <t>Grânulos Dispersíveis em Água (WG)</t>
        </is>
      </c>
      <c r="J816" s="13" t="inlineStr">
        <is>
          <t>Herbicida sistêmico de pós-emergência (seletivo condicional p/ OGM)</t>
        </is>
      </c>
      <c r="K816" s="13" t="inlineStr">
        <is>
          <t>Glicina substituída</t>
        </is>
      </c>
      <c r="L816" s="13" t="inlineStr">
        <is>
          <t>HRAC Grupo G (EPSPs)</t>
        </is>
      </c>
      <c r="M816" s="13" t="inlineStr">
        <is>
          <t>Inibidores da enzima EPSPs (Enoil Piruvil Shiquimato Fosfato Sintase)</t>
        </is>
      </c>
      <c r="N816" s="13" t="inlineStr">
        <is>
          <t>Categoria 5 — Produto Improvável de Causar Dano Agudo</t>
        </is>
      </c>
      <c r="O816" s="13" t="inlineStr">
        <is>
          <t>Azul Intenso</t>
        </is>
      </c>
      <c r="P816" s="13" t="inlineStr">
        <is>
          <t>Classe III / IV — Perigoso a Pouco Perigoso ao Meio Ambiente</t>
        </is>
      </c>
      <c r="Q816" s="15" t="n">
        <v>24</v>
      </c>
      <c r="R816" s="13" t="inlineStr">
        <is>
          <t>Terrestre / Aérea (Drones consultar bula)</t>
        </is>
      </c>
      <c r="S816" s="13" t="inlineStr">
        <is>
          <t>Sem antídoto específico (Atropina ineficaz); tratamento sintomático</t>
        </is>
      </c>
      <c r="T816" s="13" t="inlineStr">
        <is>
          <t>RAINBOW DEFENSIVOS AGRÍCOLAS LTDA.</t>
        </is>
      </c>
      <c r="U816" s="16">
        <f>HYPERLINK("https://www.adapar.pr.gov.br/Pagina/Agrotoxicos-Herbicidas", "Registro Oficial Glimor 720 WG (MAPA 23623)")</f>
        <v/>
      </c>
    </row>
    <row r="817" ht="22" customHeight="1">
      <c r="A817" s="5" t="n">
        <v>812</v>
      </c>
      <c r="B817" s="6" t="inlineStr">
        <is>
          <t>Nº 12712</t>
        </is>
      </c>
      <c r="C817" s="7" t="inlineStr">
        <is>
          <t>FASON 12X1L (IMP) SW (VALIDAR)</t>
        </is>
      </c>
      <c r="D817" s="8" t="inlineStr">
        <is>
          <t>FASON</t>
        </is>
      </c>
      <c r="E817" s="7" t="inlineStr">
        <is>
          <t>Produto Formulado Comercial</t>
        </is>
      </c>
      <c r="F817" s="7" t="inlineStr">
        <is>
          <t>Defensivos</t>
        </is>
      </c>
      <c r="G817" s="7" t="inlineStr">
        <is>
          <t>Herbicida</t>
        </is>
      </c>
      <c r="H817" s="7" t="inlineStr">
        <is>
          <t>SC</t>
        </is>
      </c>
      <c r="I817" s="7" t="inlineStr">
        <is>
          <t>Suspensão Concentrada (SC)</t>
        </is>
      </c>
      <c r="J817" s="7" t="inlineStr">
        <is>
          <t>Herbicida de pré ou pós-emergência</t>
        </is>
      </c>
      <c r="K817" s="7" t="inlineStr">
        <is>
          <t>Sulfonilureia</t>
        </is>
      </c>
      <c r="L817" s="7" t="inlineStr">
        <is>
          <t>HRAC Grupo B (2) — Inibidores da ALS</t>
        </is>
      </c>
      <c r="M817" s="7" t="inlineStr">
        <is>
          <t>Inibição da enzima acetolactato sintase (ALS / AHAS)</t>
        </is>
      </c>
      <c r="N817" s="7" t="inlineStr">
        <is>
          <t>Categoria 4 / 5 — Pouco Tóxico (Conforme Bula ANVISA)</t>
        </is>
      </c>
      <c r="O817" s="7" t="inlineStr">
        <is>
          <t>Azul PMS Blue 293 C</t>
        </is>
      </c>
      <c r="P817" s="7" t="inlineStr">
        <is>
          <t>Classe II / III — Perigoso ao Meio Ambiente</t>
        </is>
      </c>
      <c r="Q817" s="9" t="n">
        <v>24</v>
      </c>
      <c r="R817" s="7" t="inlineStr">
        <is>
          <t>Terrestre / Aérea (Drones consultar bula)</t>
        </is>
      </c>
      <c r="S817" s="7" t="inlineStr">
        <is>
          <t>Sem antídoto específico; tratamento sintomático e descontaminação</t>
        </is>
      </c>
      <c r="T817" s="7" t="inlineStr">
        <is>
          <t>ROTAM DO BRASIL / ALBAUGH AGRO BRASIL LTDA.</t>
        </is>
      </c>
      <c r="U817" s="10">
        <f>HYPERLINK("https://www.adapar.pr.gov.br/Pagina/Agrotoxicos-Herbicidas", "Registro Oficial Fason 40 SC (MAPA 12712)")</f>
        <v/>
      </c>
    </row>
    <row r="818" ht="22" customHeight="1">
      <c r="A818" s="11" t="n">
        <v>813</v>
      </c>
      <c r="B818" s="12" t="inlineStr">
        <is>
          <t>Nº 5524</t>
        </is>
      </c>
      <c r="C818" s="13" t="inlineStr">
        <is>
          <t>EVOLIN 1X20L (IMP) RW</t>
        </is>
      </c>
      <c r="D818" s="14" t="inlineStr">
        <is>
          <t>EVOLIN</t>
        </is>
      </c>
      <c r="E818" s="13" t="inlineStr">
        <is>
          <t>Produto Formulado Comercial</t>
        </is>
      </c>
      <c r="F818" s="13" t="inlineStr">
        <is>
          <t>Defensivos</t>
        </is>
      </c>
      <c r="G818" s="13" t="inlineStr">
        <is>
          <t>Inseticida</t>
        </is>
      </c>
      <c r="H818" s="13" t="inlineStr">
        <is>
          <t>SC</t>
        </is>
      </c>
      <c r="I818" s="13" t="inlineStr">
        <is>
          <t>Suspensão Concentrada (SC)</t>
        </is>
      </c>
      <c r="J818" s="13" t="inlineStr">
        <is>
          <t>Inseticida/acaricida de contato e ingestão</t>
        </is>
      </c>
      <c r="K818" s="13" t="inlineStr">
        <is>
          <t>Fenilpirazol</t>
        </is>
      </c>
      <c r="L818" s="13" t="inlineStr">
        <is>
          <t>IRAC Grupo 2B</t>
        </is>
      </c>
      <c r="M818" s="13" t="inlineStr">
        <is>
          <t>Bloqueadores de canais de cloro mediados pelo GABA</t>
        </is>
      </c>
      <c r="N818" s="13" t="inlineStr">
        <is>
          <t>Categoria 3 / 4 — Moderadamente a Pouco Tóxico</t>
        </is>
      </c>
      <c r="O818" s="13" t="inlineStr">
        <is>
          <t>Amarelo / Azul</t>
        </is>
      </c>
      <c r="P818" s="13" t="inlineStr">
        <is>
          <t>Classe II — Produto Muito Perigoso ao Meio Ambiente</t>
        </is>
      </c>
      <c r="Q818" s="15" t="n">
        <v>24</v>
      </c>
      <c r="R818" s="13" t="inlineStr">
        <is>
          <t>Terrestre / Aérea (Drones consultar bula)</t>
        </is>
      </c>
      <c r="S818" s="13" t="inlineStr">
        <is>
          <t>Tratamento sintomático conforme grupo químico na bula</t>
        </is>
      </c>
      <c r="T818" s="13" t="inlineStr">
        <is>
          <t>Rainbow / Yonon</t>
        </is>
      </c>
      <c r="U818" s="16">
        <f>HYPERLINK("https://agrofit.agricultura.gov.br/agrofit_cons/principal_agrofit_cons", "Consulta Oficial AGROFIT/MAPA (Nº 5524)")</f>
        <v/>
      </c>
    </row>
    <row r="819" ht="22" customHeight="1">
      <c r="A819" s="5" t="n">
        <v>814</v>
      </c>
      <c r="B819" s="6" t="inlineStr">
        <is>
          <t>Nº 4623</t>
        </is>
      </c>
      <c r="C819" s="7" t="inlineStr">
        <is>
          <t>WEXITE 4X5KG (IMP) RW</t>
        </is>
      </c>
      <c r="D819" s="8" t="inlineStr">
        <is>
          <t>WEXITE</t>
        </is>
      </c>
      <c r="E819" s="7" t="inlineStr">
        <is>
          <t>Produto Formulado Comercial</t>
        </is>
      </c>
      <c r="F819" s="7" t="inlineStr">
        <is>
          <t>Defensivos</t>
        </is>
      </c>
      <c r="G819" s="7" t="inlineStr">
        <is>
          <t>Inseticida</t>
        </is>
      </c>
      <c r="H819" s="7" t="inlineStr">
        <is>
          <t>SG</t>
        </is>
      </c>
      <c r="I819" s="7" t="inlineStr">
        <is>
          <t>Grânulos Solúveis em Água (SG)</t>
        </is>
      </c>
      <c r="J819" s="7" t="inlineStr">
        <is>
          <t>Inseticida e acaricida sistêmico de contato e ingestão</t>
        </is>
      </c>
      <c r="K819" s="7" t="inlineStr">
        <is>
          <t>Organofosforado</t>
        </is>
      </c>
      <c r="L819" s="7" t="inlineStr">
        <is>
          <t>IRAC Grupo 1B</t>
        </is>
      </c>
      <c r="M819" s="7" t="inlineStr">
        <is>
          <t>Inibidores da enzima acetilcolinesterase (AChE)</t>
        </is>
      </c>
      <c r="N819" s="7" t="inlineStr">
        <is>
          <t>Categoria 4 — Produto Pouco Tóxico</t>
        </is>
      </c>
      <c r="O819" s="7" t="inlineStr">
        <is>
          <t>Azul PMS Blue 293 C</t>
        </is>
      </c>
      <c r="P819" s="7" t="inlineStr">
        <is>
          <t>Classe III — Produto Perigoso ao Meio Ambiente</t>
        </is>
      </c>
      <c r="Q819" s="9" t="n">
        <v>24</v>
      </c>
      <c r="R819" s="7" t="inlineStr">
        <is>
          <t>Terrestre / Aérea (Drones consultar bula)</t>
        </is>
      </c>
      <c r="S819" s="7" t="inlineStr">
        <is>
          <t>Sulfato de Atropina e Pralidoxima (Contrathion)</t>
        </is>
      </c>
      <c r="T819" s="7" t="inlineStr">
        <is>
          <t>Rainbow Defensivos</t>
        </is>
      </c>
      <c r="U819" s="10">
        <f>HYPERLINK("https://agrofit.agricultura.gov.br/agrofit_cons/principal_agrofit_cons", "Consulta Oficial AGROFIT/MAPA (Nº 4623)")</f>
        <v/>
      </c>
    </row>
    <row r="820" ht="22" customHeight="1">
      <c r="A820" s="11" t="n">
        <v>815</v>
      </c>
      <c r="B820" s="12" t="inlineStr">
        <is>
          <t>SIPEAGRO (UF-XXXXX)</t>
        </is>
      </c>
      <c r="C820" s="13" t="inlineStr">
        <is>
          <t>SSP 19% P2O5 - GRANULADO - REVENDA - JBS</t>
        </is>
      </c>
      <c r="D820" s="14" t="inlineStr">
        <is>
          <t>SSP 19% P2O5 - GRANULADO - REVENDA - JBS</t>
        </is>
      </c>
      <c r="E820" s="13" t="inlineStr">
        <is>
          <t>Fertilizante Mineral / Organomineral</t>
        </is>
      </c>
      <c r="F820" s="13" t="inlineStr">
        <is>
          <t>Fertilizantes</t>
        </is>
      </c>
      <c r="G820" s="13" t="inlineStr">
        <is>
          <t>Fertilizante Mineral Simples (Fosfatado)</t>
        </is>
      </c>
      <c r="H820" s="13" t="inlineStr">
        <is>
          <t>Granulado</t>
        </is>
      </c>
      <c r="I820" s="13" t="inlineStr">
        <is>
          <t>Formulação Padrão (Granulado / Solúvel / Suspensão)</t>
        </is>
      </c>
      <c r="J820" s="13" t="inlineStr">
        <is>
          <t>Aplicação via solo, fertirrigação ou adubação foliar</t>
        </is>
      </c>
      <c r="K820" s="13" t="inlineStr">
        <is>
          <t>Fertilizante Mineral / Organomineral (Lei nº 6.894/1980)</t>
        </is>
      </c>
      <c r="L820" s="13" t="inlineStr">
        <is>
          <t>Nutrição Vegetal SIPEAGRO</t>
        </is>
      </c>
      <c r="M820" s="13" t="inlineStr">
        <is>
          <t>Fornecimento de macro e micronutrientes essenciais ao metabolismo vegetal</t>
        </is>
      </c>
      <c r="N820" s="13" t="inlineStr">
        <is>
          <t>Isento ANVISA (Produto Fertilizante Registrado no SIPEAGRO/MAPA)</t>
        </is>
      </c>
      <c r="O820" s="13" t="inlineStr">
        <is>
          <t>Não Aplicável (Fertilizante)</t>
        </is>
      </c>
      <c r="P820" s="13" t="inlineStr">
        <is>
          <t>Baixo Potencial Poluidor (Uso conforme recomendação agronômica)</t>
        </is>
      </c>
      <c r="Q820" s="15" t="n">
        <v>0</v>
      </c>
      <c r="R820" s="13" t="inlineStr">
        <is>
          <t>Aplicação Dirigida / TS / Solo</t>
        </is>
      </c>
      <c r="S820" s="13" t="inlineStr">
        <is>
          <t>Tratamento sintomático em caso de ingestão acidental</t>
        </is>
      </c>
      <c r="T820" s="13" t="inlineStr">
        <is>
          <t>Estabelecimento Produtor SIPEAGRO/MAPA</t>
        </is>
      </c>
      <c r="U820" s="16">
        <f>HYPERLINK("https://www.gov.br/agricultura/pt-br/assuntos/insumos-agropecuarios/insumos-agricolas/fertilizantes", "Portal SIPEAGRO / MAPA — Fertilizantes e Bioinsumos")</f>
        <v/>
      </c>
    </row>
    <row r="821" ht="22" customHeight="1">
      <c r="A821" s="5" t="n">
        <v>816</v>
      </c>
      <c r="B821" s="6" t="inlineStr">
        <is>
          <t>SIPEAGRO (UF-XXXXX)</t>
        </is>
      </c>
      <c r="C821" s="7" t="inlineStr">
        <is>
          <t>SSP 22% P2O5 - GRANULADO - REVENDA - JBS</t>
        </is>
      </c>
      <c r="D821" s="8" t="inlineStr">
        <is>
          <t>SSP 22% P2O5 - GRANULADO - REVENDA - JBS</t>
        </is>
      </c>
      <c r="E821" s="7" t="inlineStr">
        <is>
          <t>Fertilizante Mineral / Organomineral</t>
        </is>
      </c>
      <c r="F821" s="7" t="inlineStr">
        <is>
          <t>Fertilizantes</t>
        </is>
      </c>
      <c r="G821" s="7" t="inlineStr">
        <is>
          <t>Fertilizante Mineral Simples (Fosfatado)</t>
        </is>
      </c>
      <c r="H821" s="7" t="inlineStr">
        <is>
          <t>Granulado</t>
        </is>
      </c>
      <c r="I821" s="7" t="inlineStr">
        <is>
          <t>Formulação Padrão (Granulado / Solúvel / Suspensão)</t>
        </is>
      </c>
      <c r="J821" s="7" t="inlineStr">
        <is>
          <t>Aplicação via solo, fertirrigação ou adubação foliar</t>
        </is>
      </c>
      <c r="K821" s="7" t="inlineStr">
        <is>
          <t>Fertilizante Mineral / Organomineral (Lei nº 6.894/1980)</t>
        </is>
      </c>
      <c r="L821" s="7" t="inlineStr">
        <is>
          <t>Nutrição Vegetal SIPEAGRO</t>
        </is>
      </c>
      <c r="M821" s="7" t="inlineStr">
        <is>
          <t>Fornecimento de macro e micronutrientes essenciais ao metabolismo vegetal</t>
        </is>
      </c>
      <c r="N821" s="7" t="inlineStr">
        <is>
          <t>Isento ANVISA (Produto Fertilizante Registrado no SIPEAGRO/MAPA)</t>
        </is>
      </c>
      <c r="O821" s="7" t="inlineStr">
        <is>
          <t>Não Aplicável (Fertilizante)</t>
        </is>
      </c>
      <c r="P821" s="7" t="inlineStr">
        <is>
          <t>Baixo Potencial Poluidor (Uso conforme recomendação agronômica)</t>
        </is>
      </c>
      <c r="Q821" s="9" t="n">
        <v>0</v>
      </c>
      <c r="R821" s="7" t="inlineStr">
        <is>
          <t>Aplicação Dirigida / TS / Solo</t>
        </is>
      </c>
      <c r="S821" s="7" t="inlineStr">
        <is>
          <t>Tratamento sintomático em caso de ingestão acidental</t>
        </is>
      </c>
      <c r="T821" s="7" t="inlineStr">
        <is>
          <t>Estabelecimento Produtor SIPEAGRO/MAPA</t>
        </is>
      </c>
      <c r="U821" s="10">
        <f>HYPERLINK("https://www.gov.br/agricultura/pt-br/assuntos/insumos-agropecuarios/insumos-agricolas/fertilizantes", "Portal SIPEAGRO / MAPA — Fertilizantes e Bioinsumos")</f>
        <v/>
      </c>
    </row>
    <row r="822" ht="22" customHeight="1">
      <c r="A822" s="11" t="n">
        <v>817</v>
      </c>
      <c r="B822" s="12" t="inlineStr">
        <is>
          <t>SIPEAGRO (UF-XXXXX)</t>
        </is>
      </c>
      <c r="C822" s="13" t="inlineStr">
        <is>
          <t>PLUS 05 24 24 + 0,26 B + 50BMI2 - REVENDA - MOSAIC</t>
        </is>
      </c>
      <c r="D822" s="14" t="inlineStr">
        <is>
          <t>PLUS 05 24 24 + 0,26 B + 50BMI2 - REVENDA - MOSAIC</t>
        </is>
      </c>
      <c r="E822" s="13" t="inlineStr">
        <is>
          <t>Fertilizante Mineral / Organomineral</t>
        </is>
      </c>
      <c r="F822" s="13" t="inlineStr">
        <is>
          <t>Fertilizantes</t>
        </is>
      </c>
      <c r="G822" s="13" t="inlineStr">
        <is>
          <t>Fertilizante Mineral Misto (NPK / NP)</t>
        </is>
      </c>
      <c r="H822" s="13" t="inlineStr">
        <is>
          <t>Granulado</t>
        </is>
      </c>
      <c r="I822" s="13" t="inlineStr">
        <is>
          <t>Formulação Padrão (Granulado / Solúvel / Suspensão)</t>
        </is>
      </c>
      <c r="J822" s="13" t="inlineStr">
        <is>
          <t>Aplicação via solo, fertirrigação ou adubação foliar</t>
        </is>
      </c>
      <c r="K822" s="13" t="inlineStr">
        <is>
          <t>Fertilizante Mineral / Organomineral (Lei nº 6.894/1980)</t>
        </is>
      </c>
      <c r="L822" s="13" t="inlineStr">
        <is>
          <t>Nutrição Vegetal SIPEAGRO</t>
        </is>
      </c>
      <c r="M822" s="13" t="inlineStr">
        <is>
          <t>Fornecimento de macro e micronutrientes essenciais ao metabolismo vegetal</t>
        </is>
      </c>
      <c r="N822" s="13" t="inlineStr">
        <is>
          <t>Isento ANVISA (Produto Fertilizante Registrado no SIPEAGRO/MAPA)</t>
        </is>
      </c>
      <c r="O822" s="13" t="inlineStr">
        <is>
          <t>Não Aplicável (Fertilizante)</t>
        </is>
      </c>
      <c r="P822" s="13" t="inlineStr">
        <is>
          <t>Baixo Potencial Poluidor (Uso conforme recomendação agronômica)</t>
        </is>
      </c>
      <c r="Q822" s="15" t="n">
        <v>0</v>
      </c>
      <c r="R822" s="13" t="inlineStr">
        <is>
          <t>Aplicação Dirigida / TS / Solo</t>
        </is>
      </c>
      <c r="S822" s="13" t="inlineStr">
        <is>
          <t>Tratamento sintomático em caso de ingestão acidental</t>
        </is>
      </c>
      <c r="T822" s="13" t="inlineStr">
        <is>
          <t>Estabelecimento Produtor SIPEAGRO/MAPA</t>
        </is>
      </c>
      <c r="U822" s="16">
        <f>HYPERLINK("https://www.gov.br/agricultura/pt-br/assuntos/insumos-agropecuarios/insumos-agricolas/fertilizantes", "Portal SIPEAGRO / MAPA — Fertilizantes e Bioinsumos")</f>
        <v/>
      </c>
    </row>
    <row r="823" ht="22" customHeight="1">
      <c r="A823" s="5" t="n">
        <v>818</v>
      </c>
      <c r="B823" s="6" t="inlineStr">
        <is>
          <t>SIPEAGRO (UF-XXXXX)</t>
        </is>
      </c>
      <c r="C823" s="7" t="inlineStr">
        <is>
          <t>MAP SOLUVEL 12-61-00 - OCP</t>
        </is>
      </c>
      <c r="D823" s="8" t="inlineStr">
        <is>
          <t>MAP SOLUVEL 12-61-00 - OCP</t>
        </is>
      </c>
      <c r="E823" s="7" t="inlineStr">
        <is>
          <t>Fertilizante Mineral / Organomineral</t>
        </is>
      </c>
      <c r="F823" s="7" t="inlineStr">
        <is>
          <t>Fertilizantes</t>
        </is>
      </c>
      <c r="G823" s="7" t="inlineStr">
        <is>
          <t>Fertilizante Complexo (MAP — Fosfato Monoamônico)</t>
        </is>
      </c>
      <c r="H823" s="7" t="inlineStr">
        <is>
          <t>Granulado</t>
        </is>
      </c>
      <c r="I823" s="7" t="inlineStr">
        <is>
          <t>Formulação Padrão (Granulado / Solúvel / Suspensão)</t>
        </is>
      </c>
      <c r="J823" s="7" t="inlineStr">
        <is>
          <t>Aplicação via solo, fertirrigação ou adubação foliar</t>
        </is>
      </c>
      <c r="K823" s="7" t="inlineStr">
        <is>
          <t>Fertilizante Mineral / Organomineral (Lei nº 6.894/1980)</t>
        </is>
      </c>
      <c r="L823" s="7" t="inlineStr">
        <is>
          <t>Nutrição Vegetal SIPEAGRO</t>
        </is>
      </c>
      <c r="M823" s="7" t="inlineStr">
        <is>
          <t>Fornecimento de macro e micronutrientes essenciais ao metabolismo vegetal</t>
        </is>
      </c>
      <c r="N823" s="7" t="inlineStr">
        <is>
          <t>Isento ANVISA (Produto Fertilizante Registrado no SIPEAGRO/MAPA)</t>
        </is>
      </c>
      <c r="O823" s="7" t="inlineStr">
        <is>
          <t>Não Aplicável (Fertilizante)</t>
        </is>
      </c>
      <c r="P823" s="7" t="inlineStr">
        <is>
          <t>Baixo Potencial Poluidor (Uso conforme recomendação agronômica)</t>
        </is>
      </c>
      <c r="Q823" s="9" t="n">
        <v>0</v>
      </c>
      <c r="R823" s="7" t="inlineStr">
        <is>
          <t>Aplicação Dirigida / TS / Solo</t>
        </is>
      </c>
      <c r="S823" s="7" t="inlineStr">
        <is>
          <t>Tratamento sintomático em caso de ingestão acidental</t>
        </is>
      </c>
      <c r="T823" s="7" t="inlineStr">
        <is>
          <t>Estabelecimento Produtor SIPEAGRO/MAPA</t>
        </is>
      </c>
      <c r="U823" s="10">
        <f>HYPERLINK("https://www.gov.br/agricultura/pt-br/assuntos/insumos-agropecuarios/insumos-agricolas/fertilizantes", "Portal SIPEAGRO / MAPA — Fertilizantes e Bioinsumos")</f>
        <v/>
      </c>
    </row>
    <row r="824" ht="22" customHeight="1">
      <c r="A824" s="11" t="n">
        <v>819</v>
      </c>
      <c r="B824" s="12" t="inlineStr">
        <is>
          <t>Nº 2218</t>
        </is>
      </c>
      <c r="C824" s="13" t="inlineStr">
        <is>
          <t>ACETA 4X5KG IMP SS</t>
        </is>
      </c>
      <c r="D824" s="14" t="inlineStr">
        <is>
          <t>ACETA</t>
        </is>
      </c>
      <c r="E824" s="13" t="inlineStr">
        <is>
          <t>Produto Formulado Comercial</t>
        </is>
      </c>
      <c r="F824" s="13" t="inlineStr">
        <is>
          <t>Defensivos</t>
        </is>
      </c>
      <c r="G824" s="13" t="inlineStr">
        <is>
          <t>Inseticida</t>
        </is>
      </c>
      <c r="H824" s="13" t="inlineStr">
        <is>
          <t>SP</t>
        </is>
      </c>
      <c r="I824" s="13" t="inlineStr">
        <is>
          <t>SP - Pó Solúvel</t>
        </is>
      </c>
      <c r="J824" s="13" t="inlineStr">
        <is>
          <t>Inseticida sistêmico de contato, ingestão e ação translaminar</t>
        </is>
      </c>
      <c r="K824" s="13" t="inlineStr">
        <is>
          <t>Neonicotinoide</t>
        </is>
      </c>
      <c r="L824" s="13" t="inlineStr">
        <is>
          <t>IRAC Grupo 4A</t>
        </is>
      </c>
      <c r="M824" s="13" t="inlineStr">
        <is>
          <t>Moduladores competitivos de receptores nicotínicos da acetilcolina (nAChR)</t>
        </is>
      </c>
      <c r="N824" s="13" t="inlineStr">
        <is>
          <t>Categoria 5: Produto Improvável de Causa Dano Agudo</t>
        </is>
      </c>
      <c r="O824" s="13" t="inlineStr">
        <is>
          <t>Azul</t>
        </is>
      </c>
      <c r="P824" s="13" t="inlineStr">
        <is>
          <t>Classe II — Produto Muito Perigoso ao Meio Ambiente</t>
        </is>
      </c>
      <c r="Q824" s="15" t="n">
        <v>24</v>
      </c>
      <c r="R824" s="13" t="inlineStr">
        <is>
          <t>Terrestre / Aérea (Drones consultar bula)</t>
        </is>
      </c>
      <c r="S824" s="13" t="inlineStr">
        <is>
          <t>Sem antídoto específico; tratamento sintomático</t>
        </is>
      </c>
      <c r="T824" s="13" t="inlineStr">
        <is>
          <t>AGRICONNECTION IMPORTADORA E EXPORTADORA DE INSUMOS AGRICOLAS LTDA</t>
        </is>
      </c>
      <c r="U824" s="16">
        <f>HYPERLINK("https://agrofit.agricultura.gov.br/agrofit_cons/principal_agrofit_cons", "Consulta Oficial AGROFIT/MAPA (Nº 2218)")</f>
        <v/>
      </c>
    </row>
    <row r="825" ht="22" customHeight="1">
      <c r="A825" s="5" t="n">
        <v>820</v>
      </c>
      <c r="B825" s="6" t="inlineStr">
        <is>
          <t>Nº 2520</t>
        </is>
      </c>
      <c r="C825" s="7" t="inlineStr">
        <is>
          <t>SURVEY 250 FS AMOSTRA 0,200L</t>
        </is>
      </c>
      <c r="D825" s="8" t="inlineStr">
        <is>
          <t>SURVEY 250 FS AMOSTRA 0,200L</t>
        </is>
      </c>
      <c r="E825" s="7" t="inlineStr">
        <is>
          <t>Produto Formulado Comercial</t>
        </is>
      </c>
      <c r="F825" s="7" t="inlineStr">
        <is>
          <t>Defensivos</t>
        </is>
      </c>
      <c r="G825" s="7" t="inlineStr">
        <is>
          <t>Inseticida e Cupinicida (Fipronil)</t>
        </is>
      </c>
      <c r="H825" s="7" t="inlineStr">
        <is>
          <t>FS</t>
        </is>
      </c>
      <c r="I825" s="7" t="inlineStr">
        <is>
          <t>Suspensão Concentrada para Tratamento de Sementes (FS)</t>
        </is>
      </c>
      <c r="J825" s="7" t="inlineStr">
        <is>
          <t>Inseticida, cupinicida e formicida de contato e ingestão (TS / Solo)</t>
        </is>
      </c>
      <c r="K825" s="7" t="inlineStr">
        <is>
          <t>Pirazol (Fenilpirazol)</t>
        </is>
      </c>
      <c r="L825" s="7" t="inlineStr">
        <is>
          <t>IRAC Grupo 2B</t>
        </is>
      </c>
      <c r="M825" s="7" t="inlineStr">
        <is>
          <t>Bloqueadores de canais de cloro mediados pelo GABA</t>
        </is>
      </c>
      <c r="N825" s="7" t="inlineStr">
        <is>
          <t>Categoria 3 — Produto Moderadamente Tóxico</t>
        </is>
      </c>
      <c r="O825" s="7" t="inlineStr">
        <is>
          <t>Amarelo PMS Yellow C</t>
        </is>
      </c>
      <c r="P825" s="7" t="inlineStr">
        <is>
          <t>Classe II — Produto Muito Perigoso ao Meio Ambiente</t>
        </is>
      </c>
      <c r="Q825" s="9" t="n">
        <v>0</v>
      </c>
      <c r="R825" s="7" t="inlineStr">
        <is>
          <t>Aplicação Dirigida / TS / Solo</t>
        </is>
      </c>
      <c r="S825" s="7" t="inlineStr">
        <is>
          <t>Sem antídoto específico; tratamento sintomático e controle neurológico</t>
        </is>
      </c>
      <c r="T825" s="7" t="inlineStr">
        <is>
          <t>Rainbow Defensivos</t>
        </is>
      </c>
      <c r="U825" s="10">
        <f>HYPERLINK("https://agrofit.agricultura.gov.br/agrofit_cons/principal_agrofit_cons", "Consulta Oficial AGROFIT/MAPA (Nº 2520)")</f>
        <v/>
      </c>
    </row>
    <row r="826" ht="22" customHeight="1">
      <c r="A826" s="11" t="n">
        <v>821</v>
      </c>
      <c r="B826" s="12" t="inlineStr">
        <is>
          <t>Nº 34224</t>
        </is>
      </c>
      <c r="C826" s="13" t="inlineStr">
        <is>
          <t>MESTRONG 1X20L (IMP) RB</t>
        </is>
      </c>
      <c r="D826" s="14" t="inlineStr">
        <is>
          <t>MESTRONG</t>
        </is>
      </c>
      <c r="E826" s="13" t="inlineStr">
        <is>
          <t>Produto Formulado Comercial</t>
        </is>
      </c>
      <c r="F826" s="13" t="inlineStr">
        <is>
          <t>Defensivos</t>
        </is>
      </c>
      <c r="G826" s="13" t="inlineStr">
        <is>
          <t>Herbicida</t>
        </is>
      </c>
      <c r="H826" s="13" t="inlineStr">
        <is>
          <t>SC</t>
        </is>
      </c>
      <c r="I826" s="13" t="inlineStr">
        <is>
          <t>Suspensão Concentrada (SC)</t>
        </is>
      </c>
      <c r="J826" s="13" t="inlineStr">
        <is>
          <t>Herbicida sistêmico seletivo de pós-emergência</t>
        </is>
      </c>
      <c r="K826" s="13" t="inlineStr">
        <is>
          <t>Tricetona</t>
        </is>
      </c>
      <c r="L826" s="13" t="inlineStr">
        <is>
          <t>HRAC Grupo F2 (27) — Inibidores da HPPD</t>
        </is>
      </c>
      <c r="M826" s="13" t="inlineStr">
        <is>
          <t>Inibidores da enzima 4-hidroxifenil-piruvato-dioxigenase (HPPD - biossíntese de carotenoides)</t>
        </is>
      </c>
      <c r="N826" s="13" t="inlineStr">
        <is>
          <t>Categoria 4 / 5 — Pouco Tóxico</t>
        </is>
      </c>
      <c r="O826" s="13" t="inlineStr">
        <is>
          <t>Azul Intenso</t>
        </is>
      </c>
      <c r="P826" s="13" t="inlineStr">
        <is>
          <t>Classe II — Produto Muito Perigoso ao Meio Ambiente</t>
        </is>
      </c>
      <c r="Q826" s="15" t="n">
        <v>24</v>
      </c>
      <c r="R826" s="13" t="inlineStr">
        <is>
          <t>Terrestre / Aérea (Drones consultar bula)</t>
        </is>
      </c>
      <c r="S826" s="13" t="inlineStr">
        <is>
          <t>Sem antídoto específico; tratamento sintomático</t>
        </is>
      </c>
      <c r="T826" s="13" t="inlineStr">
        <is>
          <t>RAINBOW DEFENSIVOS AGRÍCOLAS LTDA.</t>
        </is>
      </c>
      <c r="U826" s="16">
        <f>HYPERLINK("https://www.adapar.pr.gov.br/Pagina/Agrotoxicos-Herbicidas", "Registro Oficial Mestrong 480 SC (MAPA 34224)")</f>
        <v/>
      </c>
    </row>
    <row r="827" ht="22" customHeight="1">
      <c r="A827" s="5" t="n">
        <v>822</v>
      </c>
      <c r="B827" s="6" t="inlineStr">
        <is>
          <t>Nº 14421</t>
        </is>
      </c>
      <c r="C827" s="7" t="inlineStr">
        <is>
          <t>LEALTY FS 1L AMOSTRA</t>
        </is>
      </c>
      <c r="D827" s="8" t="inlineStr">
        <is>
          <t>LEALTY FS</t>
        </is>
      </c>
      <c r="E827" s="7" t="inlineStr">
        <is>
          <t>Produto Formulado Comercial</t>
        </is>
      </c>
      <c r="F827" s="7" t="inlineStr">
        <is>
          <t>Defensivos</t>
        </is>
      </c>
      <c r="G827" s="7" t="inlineStr">
        <is>
          <t>Inseticida e Cupinicida (Fipronil)</t>
        </is>
      </c>
      <c r="H827" s="7" t="inlineStr">
        <is>
          <t>FS</t>
        </is>
      </c>
      <c r="I827" s="7" t="inlineStr">
        <is>
          <t>Suspensão Concentrada para Tratamento de Sementes (FS)</t>
        </is>
      </c>
      <c r="J827" s="7" t="inlineStr">
        <is>
          <t>Inseticida, cupinicida e formicida de contato e ingestão (TS / Solo)</t>
        </is>
      </c>
      <c r="K827" s="7" t="inlineStr">
        <is>
          <t>Pirazol (Fenilpirazol)</t>
        </is>
      </c>
      <c r="L827" s="7" t="inlineStr">
        <is>
          <t>IRAC Grupo 2B</t>
        </is>
      </c>
      <c r="M827" s="7" t="inlineStr">
        <is>
          <t>Bloqueadores de canais de cloro mediados pelo GABA</t>
        </is>
      </c>
      <c r="N827" s="7" t="inlineStr">
        <is>
          <t>Categoria 3 — Produto Moderadamente Tóxico</t>
        </is>
      </c>
      <c r="O827" s="7" t="inlineStr">
        <is>
          <t>Amarelo PMS Yellow C</t>
        </is>
      </c>
      <c r="P827" s="7" t="inlineStr">
        <is>
          <t>Classe II — Produto Muito Perigoso ao Meio Ambiente</t>
        </is>
      </c>
      <c r="Q827" s="9" t="n">
        <v>0</v>
      </c>
      <c r="R827" s="7" t="inlineStr">
        <is>
          <t>Aplicação Dirigida / TS / Solo</t>
        </is>
      </c>
      <c r="S827" s="7" t="inlineStr">
        <is>
          <t>Sem antídoto específico; tratamento sintomático e controle neurológico</t>
        </is>
      </c>
      <c r="T827" s="7" t="inlineStr">
        <is>
          <t>AGRICONNECTION IMPORTADORA E EXPORTADORA DE INSUMOS AGRÍCOLAS LTDA.</t>
        </is>
      </c>
      <c r="U827" s="10">
        <f>HYPERLINK("https://agrofit.agricultura.gov.br/agrofit_cons/principal_agrofit_cons", "Consulta Oficial AGROFIT/MAPA (Nº 14421)")</f>
        <v/>
      </c>
    </row>
    <row r="828" ht="22" customHeight="1">
      <c r="A828" s="11" t="n">
        <v>823</v>
      </c>
      <c r="B828" s="12" t="inlineStr">
        <is>
          <t>Nº 32224</t>
        </is>
      </c>
      <c r="C828" s="13" t="inlineStr">
        <is>
          <t>PYRIPROXYFEN 100 SINO-AGRI AMOSTRA 0,200L</t>
        </is>
      </c>
      <c r="D828" s="14" t="inlineStr">
        <is>
          <t>PYRIPROXYFEN 100 SINO-AGRI AMOSTRA 0,200L</t>
        </is>
      </c>
      <c r="E828" s="13" t="inlineStr">
        <is>
          <t>Produto Formulado Comercial</t>
        </is>
      </c>
      <c r="F828" s="13" t="inlineStr">
        <is>
          <t>Defensivos</t>
        </is>
      </c>
      <c r="G828" s="13" t="inlineStr">
        <is>
          <t>Inseticida</t>
        </is>
      </c>
      <c r="H828" s="13" t="inlineStr">
        <is>
          <t>EC</t>
        </is>
      </c>
      <c r="I828" s="13" t="inlineStr">
        <is>
          <t>Concentrado Emulsionável (EC)</t>
        </is>
      </c>
      <c r="J828" s="13" t="inlineStr">
        <is>
          <t>Inseticida fisiológico regulador de crescimento (contato e translaminar)</t>
        </is>
      </c>
      <c r="K828" s="13" t="inlineStr">
        <is>
          <t>Éter piridiloxipropílico</t>
        </is>
      </c>
      <c r="L828" s="13" t="inlineStr">
        <is>
          <t>IRAC Grupo 7C</t>
        </is>
      </c>
      <c r="M828" s="13" t="inlineStr">
        <is>
          <t>Mimetizadores do hormônio juvenil (Juvenoides)</t>
        </is>
      </c>
      <c r="N828" s="13" t="inlineStr">
        <is>
          <t>Categoria 5 — Produto Improvável de Causar Dano Agudo</t>
        </is>
      </c>
      <c r="O828" s="13" t="inlineStr">
        <is>
          <t>Azul Intenso</t>
        </is>
      </c>
      <c r="P828" s="13" t="inlineStr">
        <is>
          <t>Classe II — Produto Muito Perigoso ao Meio Ambiente</t>
        </is>
      </c>
      <c r="Q828" s="15" t="n">
        <v>24</v>
      </c>
      <c r="R828" s="13" t="inlineStr">
        <is>
          <t>Terrestre / Aérea (Drones consultar bula)</t>
        </is>
      </c>
      <c r="S828" s="13" t="inlineStr">
        <is>
          <t>Sem antídoto específico; tratamento sintomático</t>
        </is>
      </c>
      <c r="T828" s="13" t="inlineStr">
        <is>
          <t>SINO-AGRI LEADING BIOSCIENCES DO BRASIL / INOVATIS LTDA.</t>
        </is>
      </c>
      <c r="U828" s="16">
        <f>HYPERLINK("https://agrofit.agricultura.gov.br/agrofit_cons/principal_agrofit_cons", "Consulta Oficial AGROFIT/MAPA (Nº 32224)")</f>
        <v/>
      </c>
    </row>
    <row r="829" ht="22" customHeight="1">
      <c r="A829" s="5" t="n">
        <v>824</v>
      </c>
      <c r="B829" s="6" t="inlineStr">
        <is>
          <t>SIPEAGRO (UF-XXXXX)</t>
        </is>
      </c>
      <c r="C829" s="7" t="inlineStr">
        <is>
          <t>ULEXITA 10B GRANULADO (NaCaB5O9.8H2O) - PROBORO</t>
        </is>
      </c>
      <c r="D829" s="8" t="inlineStr">
        <is>
          <t>ULEXITA 10B GRANULADO (NaCaB5O9.8H2O) - PROBORO</t>
        </is>
      </c>
      <c r="E829" s="7" t="inlineStr">
        <is>
          <t>Corretivo / Condicionador de Solo</t>
        </is>
      </c>
      <c r="F829" s="7" t="inlineStr">
        <is>
          <t>Corretivos e Condicionadores de Solo</t>
        </is>
      </c>
      <c r="G829" s="7" t="inlineStr">
        <is>
          <t>Fonte Mineral de Boro (Ulexita Natural)</t>
        </is>
      </c>
      <c r="H829" s="7" t="inlineStr">
        <is>
          <t>Pó</t>
        </is>
      </c>
      <c r="I829" s="7" t="inlineStr">
        <is>
          <t>Formulação Padrão (Pó / Granulado / Pastilhado)</t>
        </is>
      </c>
      <c r="J829" s="7" t="inlineStr">
        <is>
          <t>Incorporação ou aplicação em área total no solo</t>
        </is>
      </c>
      <c r="K829" s="7" t="inlineStr">
        <is>
          <t>Corretivo de Acidez / Condicionador de Solo (SIPEAGRO)</t>
        </is>
      </c>
      <c r="L829" s="7" t="inlineStr">
        <is>
          <t>Correção Química de Solo</t>
        </is>
      </c>
      <c r="M829" s="7" t="inlineStr">
        <is>
          <t>Neutralização de Al3+ tóxico e fornecimento de Ca2+, Mg2+, S ou B</t>
        </is>
      </c>
      <c r="N829" s="7" t="inlineStr">
        <is>
          <t>Isento ANVISA (Corretivo Agrícola SIPEAGRO)</t>
        </is>
      </c>
      <c r="O829" s="7" t="inlineStr">
        <is>
          <t>Não Aplicável</t>
        </is>
      </c>
      <c r="P829" s="7" t="inlineStr">
        <is>
          <t>Produto Mineral Natural</t>
        </is>
      </c>
      <c r="Q829" s="9" t="n">
        <v>24</v>
      </c>
      <c r="R829" s="7" t="inlineStr">
        <is>
          <t>Terrestre / Aérea (Drones consultar bula)</t>
        </is>
      </c>
      <c r="S829" s="7" t="inlineStr">
        <is>
          <t>Tratamento sintomático</t>
        </is>
      </c>
      <c r="T829" s="7" t="inlineStr">
        <is>
          <t>Estabelecimento Produtor SIPEAGRO/MAPA</t>
        </is>
      </c>
      <c r="U829" s="10">
        <f>HYPERLINK("https://www.gov.br/agricultura/pt-br/assuntos/insumos-agropecuarios/insumos-agricolas/fertilizantes", "Portal SIPEAGRO / MAPA — Fertilizantes e Bioinsumos")</f>
        <v/>
      </c>
    </row>
    <row r="830" ht="22" customHeight="1">
      <c r="A830" s="11" t="n">
        <v>825</v>
      </c>
      <c r="B830" s="12" t="inlineStr">
        <is>
          <t>Nº 32322</t>
        </is>
      </c>
      <c r="C830" s="13" t="inlineStr">
        <is>
          <t>JOYA BB 4X5L</t>
        </is>
      </c>
      <c r="D830" s="14" t="inlineStr">
        <is>
          <t>JOYA BB</t>
        </is>
      </c>
      <c r="E830" s="13" t="inlineStr">
        <is>
          <t>Produto Formulado Comercial</t>
        </is>
      </c>
      <c r="F830" s="13" t="inlineStr">
        <is>
          <t>Defensivos</t>
        </is>
      </c>
      <c r="G830" s="13" t="inlineStr">
        <is>
          <t>Herbicida</t>
        </is>
      </c>
      <c r="H830" s="13" t="inlineStr">
        <is>
          <t>SC</t>
        </is>
      </c>
      <c r="I830" s="13" t="inlineStr">
        <is>
          <t>Suspensão Concentrada (SC)</t>
        </is>
      </c>
      <c r="J830" s="13" t="inlineStr">
        <is>
          <t>Herbicida seletivo de contato e residual (pré e pós-emergência inicial)</t>
        </is>
      </c>
      <c r="K830" s="13" t="inlineStr">
        <is>
          <t>N-fenilftalimida</t>
        </is>
      </c>
      <c r="L830" s="13" t="inlineStr">
        <is>
          <t>HRAC Grupo E (14) — Inibidores da PROTOX</t>
        </is>
      </c>
      <c r="M830" s="13" t="inlineStr">
        <is>
          <t>Inibidores da enzima protoporfirinogênio oxidase (PROTOX)</t>
        </is>
      </c>
      <c r="N830" s="13" t="inlineStr">
        <is>
          <t>Categoria 4 / 5 — Pouco Tóxico</t>
        </is>
      </c>
      <c r="O830" s="13" t="inlineStr">
        <is>
          <t>Azul Intenso</t>
        </is>
      </c>
      <c r="P830" s="13" t="inlineStr">
        <is>
          <t>Classe II — Produto Muito Perigoso ao Meio Ambiente</t>
        </is>
      </c>
      <c r="Q830" s="15" t="n">
        <v>24</v>
      </c>
      <c r="R830" s="13" t="inlineStr">
        <is>
          <t>Terrestre / Aérea (Drones consultar bula)</t>
        </is>
      </c>
      <c r="S830" s="13" t="inlineStr">
        <is>
          <t>Sem antídoto específico; tratamento sintomático</t>
        </is>
      </c>
      <c r="T830" s="13" t="inlineStr">
        <is>
          <t>RAINBOW DEFENSIVOS AGRÍCOLAS LTDA.</t>
        </is>
      </c>
      <c r="U830" s="16">
        <f>HYPERLINK("https://www.adapar.pr.gov.br/Pagina/Agrotoxicos-Herbicidas", "Registro Oficial Joya BB 480 SC (MAPA 32322)")</f>
        <v/>
      </c>
    </row>
    <row r="831" ht="22" customHeight="1">
      <c r="A831" s="5" t="n">
        <v>826</v>
      </c>
      <c r="B831" s="6" t="inlineStr">
        <is>
          <t>Nº 40024</t>
        </is>
      </c>
      <c r="C831" s="7" t="inlineStr">
        <is>
          <t>KROMSTAR 4X5L</t>
        </is>
      </c>
      <c r="D831" s="8" t="inlineStr">
        <is>
          <t>KROMSTAR</t>
        </is>
      </c>
      <c r="E831" s="7" t="inlineStr">
        <is>
          <t>Produto Formulado Comercial</t>
        </is>
      </c>
      <c r="F831" s="7" t="inlineStr">
        <is>
          <t>Defensivos</t>
        </is>
      </c>
      <c r="G831" s="7" t="inlineStr">
        <is>
          <t>Fungicida</t>
        </is>
      </c>
      <c r="H831" s="7" t="inlineStr">
        <is>
          <t>SC</t>
        </is>
      </c>
      <c r="I831" s="7" t="inlineStr">
        <is>
          <t>Suspensão Concentrada (SC)</t>
        </is>
      </c>
      <c r="J831" s="7" t="inlineStr">
        <is>
          <t>Fungicida preventivo e curativo foliar</t>
        </is>
      </c>
      <c r="K831" s="7" t="inlineStr">
        <is>
          <t>Estrobilurina (Metoxiacrilato)</t>
        </is>
      </c>
      <c r="L831" s="7" t="inlineStr">
        <is>
          <t>FRAC Grupo 11 (C3 — QoI)</t>
        </is>
      </c>
      <c r="M831" s="7" t="inlineStr">
        <is>
          <t>Inibidores da respiração mitocondrial no Complexo III (sítio Qo)</t>
        </is>
      </c>
      <c r="N831" s="7" t="inlineStr">
        <is>
          <t>Categoria 4 — Produto Pouco Tóxico (Conforme Bula ANVISA)</t>
        </is>
      </c>
      <c r="O831" s="7" t="inlineStr">
        <is>
          <t>Azul PMS Blue 293 C</t>
        </is>
      </c>
      <c r="P831" s="7" t="inlineStr">
        <is>
          <t>Classe II — Produto Muito Perigoso ao Meio Ambiente</t>
        </is>
      </c>
      <c r="Q831" s="9" t="n">
        <v>24</v>
      </c>
      <c r="R831" s="7" t="inlineStr">
        <is>
          <t>Terrestre / Aérea (Drones consultar bula)</t>
        </is>
      </c>
      <c r="S831" s="7" t="inlineStr">
        <is>
          <t>Sem antídoto específico; tratamento sintomático</t>
        </is>
      </c>
      <c r="T831" s="7" t="inlineStr">
        <is>
          <t>Rainbow Defensivos</t>
        </is>
      </c>
      <c r="U831" s="10">
        <f>HYPERLINK("https://www.adapar.pr.gov.br/Pagina/Agrotoxicos-Fungicidas", "Registro Oficial Folicron / Kromstar SC (MAPA 40024)")</f>
        <v/>
      </c>
    </row>
    <row r="832" ht="22" customHeight="1">
      <c r="A832" s="11" t="n">
        <v>827</v>
      </c>
      <c r="B832" s="12" t="inlineStr">
        <is>
          <t>Nº 22225</t>
        </is>
      </c>
      <c r="C832" s="13" t="inlineStr">
        <is>
          <t>KILLIGAN 10L (IMP)</t>
        </is>
      </c>
      <c r="D832" s="14" t="inlineStr">
        <is>
          <t>KILLIGAN</t>
        </is>
      </c>
      <c r="E832" s="13" t="inlineStr">
        <is>
          <t>Produto Formulado Comercial</t>
        </is>
      </c>
      <c r="F832" s="13" t="inlineStr">
        <is>
          <t>Defensivos</t>
        </is>
      </c>
      <c r="G832" s="13" t="inlineStr">
        <is>
          <t>Inseticida e Acaricida</t>
        </is>
      </c>
      <c r="H832" s="13" t="inlineStr">
        <is>
          <t>SC</t>
        </is>
      </c>
      <c r="I832" s="13" t="inlineStr">
        <is>
          <t>Suspensão Concentrada (SC)</t>
        </is>
      </c>
      <c r="J832" s="13" t="inlineStr">
        <is>
          <t>Inseticida e acaricida de contato e ingestão com ação translaminar</t>
        </is>
      </c>
      <c r="K832" s="13" t="inlineStr">
        <is>
          <t>Análogo de pirazol (Arilpirrol)</t>
        </is>
      </c>
      <c r="L832" s="13" t="inlineStr">
        <is>
          <t>IRAC Grupo 13</t>
        </is>
      </c>
      <c r="M832" s="13" t="inlineStr">
        <is>
          <t>Desacopladores da fosforilação oxidativa via disrupção do gradiente de prótons</t>
        </is>
      </c>
      <c r="N832" s="13" t="inlineStr">
        <is>
          <t>Categoria 3 / 4 — Moderadamente a Pouco Tóxico</t>
        </is>
      </c>
      <c r="O832" s="13" t="inlineStr">
        <is>
          <t>Amarelo / Azul</t>
        </is>
      </c>
      <c r="P832" s="13" t="inlineStr">
        <is>
          <t>Classe II — Produto Muito Perigoso ao Meio Ambiente</t>
        </is>
      </c>
      <c r="Q832" s="15" t="n">
        <v>24</v>
      </c>
      <c r="R832" s="13" t="inlineStr">
        <is>
          <t>Terrestre / Aérea (Drones consultar bula)</t>
        </is>
      </c>
      <c r="S832" s="13" t="inlineStr">
        <is>
          <t>Sem antídoto específico; controle rigoroso de hipertermia (antitérmicos comuns ineficazes)</t>
        </is>
      </c>
      <c r="T832" s="13" t="inlineStr">
        <is>
          <t>RAINBOW DEFENSIVOS AGRÍCOLAS LTDA.</t>
        </is>
      </c>
      <c r="U832" s="16">
        <f>HYPERLINK("https://www.adapar.pr.gov.br/system/files/publico/Agrotoxicos/lista.pdf", "Registro Oficial Killigan 240 SC (MAPA 22225)")</f>
        <v/>
      </c>
    </row>
    <row r="833" ht="22" customHeight="1">
      <c r="A833" s="5" t="n">
        <v>828</v>
      </c>
      <c r="B833" s="6" t="inlineStr">
        <is>
          <t>Nº 22824</t>
        </is>
      </c>
      <c r="C833" s="7" t="inlineStr">
        <is>
          <t>FLAIL 480 SC 4X5L</t>
        </is>
      </c>
      <c r="D833" s="8" t="inlineStr">
        <is>
          <t>FLAIL</t>
        </is>
      </c>
      <c r="E833" s="7" t="inlineStr">
        <is>
          <t>Produto Formulado Comercial</t>
        </is>
      </c>
      <c r="F833" s="7" t="inlineStr">
        <is>
          <t>Defensivos</t>
        </is>
      </c>
      <c r="G833" s="7" t="inlineStr">
        <is>
          <t>Herbicida</t>
        </is>
      </c>
      <c r="H833" s="7" t="inlineStr">
        <is>
          <t>SC</t>
        </is>
      </c>
      <c r="I833" s="7" t="inlineStr">
        <is>
          <t>Suspensão Concentrada (SC)</t>
        </is>
      </c>
      <c r="J833" s="7" t="inlineStr">
        <is>
          <t>Herbicida seletivo de contato e residual (pré e pós-emergência inicial)</t>
        </is>
      </c>
      <c r="K833" s="7" t="inlineStr">
        <is>
          <t>N-fenilftalimida</t>
        </is>
      </c>
      <c r="L833" s="7" t="inlineStr">
        <is>
          <t>HRAC Grupo E (14) — Inibidores da PROTOX</t>
        </is>
      </c>
      <c r="M833" s="7" t="inlineStr">
        <is>
          <t>Inibidores da enzima protoporfirinogênio oxidase (PROTOX)</t>
        </is>
      </c>
      <c r="N833" s="7" t="inlineStr">
        <is>
          <t>Categoria 4 / 5 — Pouco Tóxico</t>
        </is>
      </c>
      <c r="O833" s="7" t="inlineStr">
        <is>
          <t>Azul Intenso</t>
        </is>
      </c>
      <c r="P833" s="7" t="inlineStr">
        <is>
          <t>Classe II — Produto Muito Perigoso ao Meio Ambiente</t>
        </is>
      </c>
      <c r="Q833" s="9" t="n">
        <v>24</v>
      </c>
      <c r="R833" s="7" t="inlineStr">
        <is>
          <t>Terrestre / Aérea (Drones consultar bula)</t>
        </is>
      </c>
      <c r="S833" s="7" t="inlineStr">
        <is>
          <t>Sem antídoto específico; tratamento sintomático</t>
        </is>
      </c>
      <c r="T833" s="7" t="inlineStr">
        <is>
          <t>RAINBOW DEFENSIVOS AGRÍCOLAS LTDA.</t>
        </is>
      </c>
      <c r="U833" s="10">
        <f>HYPERLINK("https://www.adapar.pr.gov.br/Pagina/Agrotoxicos-Herbicidas", "Registro Oficial Flail 480 SC (MAPA 22824)")</f>
        <v/>
      </c>
    </row>
    <row r="834" ht="22" customHeight="1">
      <c r="A834" s="11" t="n">
        <v>829</v>
      </c>
      <c r="B834" s="12" t="inlineStr">
        <is>
          <t>Nº 4623</t>
        </is>
      </c>
      <c r="C834" s="13" t="inlineStr">
        <is>
          <t>WEXITE 4X5KG (IMP) RW</t>
        </is>
      </c>
      <c r="D834" s="14" t="inlineStr">
        <is>
          <t>WEXITE</t>
        </is>
      </c>
      <c r="E834" s="13" t="inlineStr">
        <is>
          <t>Produto Formulado Comercial</t>
        </is>
      </c>
      <c r="F834" s="13" t="inlineStr">
        <is>
          <t>Defensivos</t>
        </is>
      </c>
      <c r="G834" s="13" t="inlineStr">
        <is>
          <t>Inseticida</t>
        </is>
      </c>
      <c r="H834" s="13" t="inlineStr">
        <is>
          <t>SG</t>
        </is>
      </c>
      <c r="I834" s="13" t="inlineStr">
        <is>
          <t>Grânulos Solúveis em Água (SG)</t>
        </is>
      </c>
      <c r="J834" s="13" t="inlineStr">
        <is>
          <t>Inseticida e acaricida sistêmico de contato e ingestão</t>
        </is>
      </c>
      <c r="K834" s="13" t="inlineStr">
        <is>
          <t>Organofosforado</t>
        </is>
      </c>
      <c r="L834" s="13" t="inlineStr">
        <is>
          <t>IRAC Grupo 1B</t>
        </is>
      </c>
      <c r="M834" s="13" t="inlineStr">
        <is>
          <t>Inibidores da enzima acetilcolinesterase (AChE)</t>
        </is>
      </c>
      <c r="N834" s="13" t="inlineStr">
        <is>
          <t>Categoria 4 — Produto Pouco Tóxico</t>
        </is>
      </c>
      <c r="O834" s="13" t="inlineStr">
        <is>
          <t>Azul PMS Blue 293 C</t>
        </is>
      </c>
      <c r="P834" s="13" t="inlineStr">
        <is>
          <t>Classe III — Produto Perigoso ao Meio Ambiente</t>
        </is>
      </c>
      <c r="Q834" s="15" t="n">
        <v>24</v>
      </c>
      <c r="R834" s="13" t="inlineStr">
        <is>
          <t>Terrestre / Aérea (Drones consultar bula)</t>
        </is>
      </c>
      <c r="S834" s="13" t="inlineStr">
        <is>
          <t>Sulfato de Atropina e Pralidoxima (Contrathion)</t>
        </is>
      </c>
      <c r="T834" s="13" t="inlineStr">
        <is>
          <t>Rainbow Defensivos</t>
        </is>
      </c>
      <c r="U834" s="16">
        <f>HYPERLINK("https://agrofit.agricultura.gov.br/agrofit_cons/principal_agrofit_cons", "Consulta Oficial AGROFIT/MAPA (Nº 4623)")</f>
        <v/>
      </c>
    </row>
    <row r="835" ht="22" customHeight="1">
      <c r="A835" s="5" t="n">
        <v>830</v>
      </c>
      <c r="B835" s="6" t="inlineStr">
        <is>
          <t>SIPEAGRO (UF-XXXXX)</t>
        </is>
      </c>
      <c r="C835" s="7" t="inlineStr">
        <is>
          <t>ENXOFRE BENTONITA - BG 1.097 KG - IMPACTPVA</t>
        </is>
      </c>
      <c r="D835" s="8" t="inlineStr">
        <is>
          <t>ENXOFRE BENTONITA - BG 1.097 KG - IMPACTPVA</t>
        </is>
      </c>
      <c r="E835" s="7" t="inlineStr">
        <is>
          <t>Corretivo / Condicionador de Solo</t>
        </is>
      </c>
      <c r="F835" s="7" t="inlineStr">
        <is>
          <t>Corretivos e Condicionadores de Solo</t>
        </is>
      </c>
      <c r="G835" s="7" t="inlineStr">
        <is>
          <t>Condicionador / Fonte Mineral de Enxofre (Enxofre + Bentonita)</t>
        </is>
      </c>
      <c r="H835" s="7" t="inlineStr">
        <is>
          <t>Pó</t>
        </is>
      </c>
      <c r="I835" s="7" t="inlineStr">
        <is>
          <t>Formulação Padrão (Pó / Granulado / Pastilhado)</t>
        </is>
      </c>
      <c r="J835" s="7" t="inlineStr">
        <is>
          <t>Incorporação ou aplicação em área total no solo</t>
        </is>
      </c>
      <c r="K835" s="7" t="inlineStr">
        <is>
          <t>Corretivo de Acidez / Condicionador de Solo (SIPEAGRO)</t>
        </is>
      </c>
      <c r="L835" s="7" t="inlineStr">
        <is>
          <t>Correção Química de Solo</t>
        </is>
      </c>
      <c r="M835" s="7" t="inlineStr">
        <is>
          <t>Neutralização de Al3+ tóxico e fornecimento de Ca2+, Mg2+, S ou B</t>
        </is>
      </c>
      <c r="N835" s="7" t="inlineStr">
        <is>
          <t>Isento ANVISA (Corretivo Agrícola SIPEAGRO)</t>
        </is>
      </c>
      <c r="O835" s="7" t="inlineStr">
        <is>
          <t>Não Aplicável</t>
        </is>
      </c>
      <c r="P835" s="7" t="inlineStr">
        <is>
          <t>Produto Mineral Natural</t>
        </is>
      </c>
      <c r="Q835" s="9" t="n">
        <v>24</v>
      </c>
      <c r="R835" s="7" t="inlineStr">
        <is>
          <t>Terrestre / Aérea (Drones consultar bula)</t>
        </is>
      </c>
      <c r="S835" s="7" t="inlineStr">
        <is>
          <t>Tratamento sintomático</t>
        </is>
      </c>
      <c r="T835" s="7" t="inlineStr">
        <is>
          <t>Estabelecimento Produtor SIPEAGRO/MAPA</t>
        </is>
      </c>
      <c r="U835" s="10">
        <f>HYPERLINK("https://www.gov.br/agricultura/pt-br/assuntos/insumos-agropecuarios/insumos-agricolas/fertilizantes", "Portal SIPEAGRO / MAPA — Fertilizantes e Bioinsumos")</f>
        <v/>
      </c>
    </row>
    <row r="836" ht="22" customHeight="1">
      <c r="A836" s="11" t="n">
        <v>831</v>
      </c>
      <c r="B836" s="12" t="inlineStr">
        <is>
          <t>Nº 47125</t>
        </is>
      </c>
      <c r="C836" s="13" t="inlineStr">
        <is>
          <t>CHLORFENAPYR 240 SC YONON 1X20L (IMP) BY</t>
        </is>
      </c>
      <c r="D836" s="14" t="inlineStr">
        <is>
          <t>CHLORFENAPYR</t>
        </is>
      </c>
      <c r="E836" s="13" t="inlineStr">
        <is>
          <t>Produto Formulado Comercial</t>
        </is>
      </c>
      <c r="F836" s="13" t="inlineStr">
        <is>
          <t>Defensivos</t>
        </is>
      </c>
      <c r="G836" s="13" t="inlineStr">
        <is>
          <t>Inseticida e Acaricida</t>
        </is>
      </c>
      <c r="H836" s="13" t="inlineStr">
        <is>
          <t>SC</t>
        </is>
      </c>
      <c r="I836" s="13" t="inlineStr">
        <is>
          <t>Suspensão Concentrada (SC)</t>
        </is>
      </c>
      <c r="J836" s="13" t="inlineStr">
        <is>
          <t>Inseticida e acaricida de contato e ingestão com ação translaminar</t>
        </is>
      </c>
      <c r="K836" s="13" t="inlineStr">
        <is>
          <t>Análogo de pirazol (Arilpirrol)</t>
        </is>
      </c>
      <c r="L836" s="13" t="inlineStr">
        <is>
          <t>IRAC Grupo 13</t>
        </is>
      </c>
      <c r="M836" s="13" t="inlineStr">
        <is>
          <t>Desacopladores da fosforilação oxidativa via disrupção do gradiente de prótons</t>
        </is>
      </c>
      <c r="N836" s="13" t="inlineStr">
        <is>
          <t>Categoria 3 / 4 — Moderadamente a Pouco Tóxico</t>
        </is>
      </c>
      <c r="O836" s="13" t="inlineStr">
        <is>
          <t>Amarelo / Azul</t>
        </is>
      </c>
      <c r="P836" s="13" t="inlineStr">
        <is>
          <t>Classe II — Produto Muito Perigoso ao Meio Ambiente</t>
        </is>
      </c>
      <c r="Q836" s="15" t="n">
        <v>24</v>
      </c>
      <c r="R836" s="13" t="inlineStr">
        <is>
          <t>Terrestre / Aérea (Drones consultar bula)</t>
        </is>
      </c>
      <c r="S836" s="13" t="inlineStr">
        <is>
          <t>Sem antídoto específico; controle rigoroso de hipertermia (antitérmicos comuns ineficazes)</t>
        </is>
      </c>
      <c r="T836" s="13" t="inlineStr">
        <is>
          <t>YONON BRASIL DEFENSIVOS AGRÍCOLAS LTDA.</t>
        </is>
      </c>
      <c r="U836" s="16">
        <f>HYPERLINK("https://agrofit.agricultura.gov.br/agrofit_cons/principal_agrofit_cons", "Consulta Oficial AGROFIT/MAPA (Nº 47125)")</f>
        <v/>
      </c>
    </row>
    <row r="837" ht="22" customHeight="1">
      <c r="A837" s="5" t="n">
        <v>832</v>
      </c>
      <c r="B837" s="6" t="inlineStr">
        <is>
          <t>Nº 2218</t>
        </is>
      </c>
      <c r="C837" s="7" t="inlineStr">
        <is>
          <t>ACETA 4X5KG IMP ZH</t>
        </is>
      </c>
      <c r="D837" s="8" t="inlineStr">
        <is>
          <t>ACETA</t>
        </is>
      </c>
      <c r="E837" s="7" t="inlineStr">
        <is>
          <t>Produto Formulado Comercial</t>
        </is>
      </c>
      <c r="F837" s="7" t="inlineStr">
        <is>
          <t>Defensivos</t>
        </is>
      </c>
      <c r="G837" s="7" t="inlineStr">
        <is>
          <t>Inseticida</t>
        </is>
      </c>
      <c r="H837" s="7" t="inlineStr">
        <is>
          <t>SP</t>
        </is>
      </c>
      <c r="I837" s="7" t="inlineStr">
        <is>
          <t>SP - Pó Solúvel</t>
        </is>
      </c>
      <c r="J837" s="7" t="inlineStr">
        <is>
          <t>Inseticida sistêmico de contato, ingestão e ação translaminar</t>
        </is>
      </c>
      <c r="K837" s="7" t="inlineStr">
        <is>
          <t>Neonicotinoide</t>
        </is>
      </c>
      <c r="L837" s="7" t="inlineStr">
        <is>
          <t>IRAC Grupo 4A</t>
        </is>
      </c>
      <c r="M837" s="7" t="inlineStr">
        <is>
          <t>Moduladores competitivos de receptores nicotínicos da acetilcolina (nAChR)</t>
        </is>
      </c>
      <c r="N837" s="7" t="inlineStr">
        <is>
          <t>Categoria 5: Produto Improvável de Causa Dano Agudo</t>
        </is>
      </c>
      <c r="O837" s="7" t="inlineStr">
        <is>
          <t>Azul</t>
        </is>
      </c>
      <c r="P837" s="7" t="inlineStr">
        <is>
          <t>Classe II — Produto Muito Perigoso ao Meio Ambiente</t>
        </is>
      </c>
      <c r="Q837" s="9" t="n">
        <v>24</v>
      </c>
      <c r="R837" s="7" t="inlineStr">
        <is>
          <t>Terrestre / Aérea (Drones consultar bula)</t>
        </is>
      </c>
      <c r="S837" s="7" t="inlineStr">
        <is>
          <t>Sem antídoto específico; tratamento sintomático</t>
        </is>
      </c>
      <c r="T837" s="7" t="inlineStr">
        <is>
          <t>AGRICONNECTION IMPORTADORA E EXPORTADORA DE INSUMOS AGRICOLAS LTDA</t>
        </is>
      </c>
      <c r="U837" s="10">
        <f>HYPERLINK("https://agrofit.agricultura.gov.br/agrofit_cons/principal_agrofit_cons", "Consulta Oficial AGROFIT/MAPA (Nº 2218)")</f>
        <v/>
      </c>
    </row>
    <row r="838" ht="22" customHeight="1">
      <c r="A838" s="11" t="n">
        <v>833</v>
      </c>
      <c r="B838" s="12" t="inlineStr">
        <is>
          <t>Nº 47125</t>
        </is>
      </c>
      <c r="C838" s="13" t="inlineStr">
        <is>
          <t>CHLORFENAPYR 240 SC YONON 1X20L (IMP) IY</t>
        </is>
      </c>
      <c r="D838" s="14" t="inlineStr">
        <is>
          <t>CHLORFENAPYR</t>
        </is>
      </c>
      <c r="E838" s="13" t="inlineStr">
        <is>
          <t>Produto Formulado Comercial</t>
        </is>
      </c>
      <c r="F838" s="13" t="inlineStr">
        <is>
          <t>Defensivos</t>
        </is>
      </c>
      <c r="G838" s="13" t="inlineStr">
        <is>
          <t>Inseticida e Acaricida</t>
        </is>
      </c>
      <c r="H838" s="13" t="inlineStr">
        <is>
          <t>SC</t>
        </is>
      </c>
      <c r="I838" s="13" t="inlineStr">
        <is>
          <t>Suspensão Concentrada (SC)</t>
        </is>
      </c>
      <c r="J838" s="13" t="inlineStr">
        <is>
          <t>Inseticida e acaricida de contato e ingestão com ação translaminar</t>
        </is>
      </c>
      <c r="K838" s="13" t="inlineStr">
        <is>
          <t>Análogo de pirazol (Arilpirrol)</t>
        </is>
      </c>
      <c r="L838" s="13" t="inlineStr">
        <is>
          <t>IRAC Grupo 13</t>
        </is>
      </c>
      <c r="M838" s="13" t="inlineStr">
        <is>
          <t>Desacopladores da fosforilação oxidativa via disrupção do gradiente de prótons</t>
        </is>
      </c>
      <c r="N838" s="13" t="inlineStr">
        <is>
          <t>Categoria 3 / 4 — Moderadamente a Pouco Tóxico</t>
        </is>
      </c>
      <c r="O838" s="13" t="inlineStr">
        <is>
          <t>Amarelo / Azul</t>
        </is>
      </c>
      <c r="P838" s="13" t="inlineStr">
        <is>
          <t>Classe II — Produto Muito Perigoso ao Meio Ambiente</t>
        </is>
      </c>
      <c r="Q838" s="15" t="n">
        <v>24</v>
      </c>
      <c r="R838" s="13" t="inlineStr">
        <is>
          <t>Terrestre / Aérea (Drones consultar bula)</t>
        </is>
      </c>
      <c r="S838" s="13" t="inlineStr">
        <is>
          <t>Sem antídoto específico; controle rigoroso de hipertermia (antitérmicos comuns ineficazes)</t>
        </is>
      </c>
      <c r="T838" s="13" t="inlineStr">
        <is>
          <t>YONON BRASIL DEFENSIVOS AGRÍCOLAS LTDA.</t>
        </is>
      </c>
      <c r="U838" s="16">
        <f>HYPERLINK("https://agrofit.agricultura.gov.br/agrofit_cons/principal_agrofit_cons", "Consulta Oficial AGROFIT/MAPA (Nº 47125)")</f>
        <v/>
      </c>
    </row>
    <row r="839" ht="22" customHeight="1">
      <c r="A839" s="5" t="n">
        <v>834</v>
      </c>
      <c r="B839" s="6" t="inlineStr">
        <is>
          <t>SIPEAGRO (UF-XXXXX)</t>
        </is>
      </c>
      <c r="C839" s="7" t="inlineStr">
        <is>
          <t>SUPERFOSFATO TRIPLO 46%  - FERTALVO</t>
        </is>
      </c>
      <c r="D839" s="8" t="inlineStr">
        <is>
          <t>SUPERFOSFATO TRIPLO 46%  - FERTALVO</t>
        </is>
      </c>
      <c r="E839" s="7" t="inlineStr">
        <is>
          <t>Fertilizante Mineral / Organomineral</t>
        </is>
      </c>
      <c r="F839" s="7" t="inlineStr">
        <is>
          <t>Fertilizantes</t>
        </is>
      </c>
      <c r="G839" s="7" t="inlineStr">
        <is>
          <t>Fertilizante Mineral Simples (Fosfatado)</t>
        </is>
      </c>
      <c r="H839" s="7" t="inlineStr">
        <is>
          <t>Granulado</t>
        </is>
      </c>
      <c r="I839" s="7" t="inlineStr">
        <is>
          <t>Formulação Padrão (Granulado / Solúvel / Suspensão)</t>
        </is>
      </c>
      <c r="J839" s="7" t="inlineStr">
        <is>
          <t>Aplicação via solo, fertirrigação ou adubação foliar</t>
        </is>
      </c>
      <c r="K839" s="7" t="inlineStr">
        <is>
          <t>Fertilizante Mineral / Organomineral (Lei nº 6.894/1980)</t>
        </is>
      </c>
      <c r="L839" s="7" t="inlineStr">
        <is>
          <t>Nutrição Vegetal SIPEAGRO</t>
        </is>
      </c>
      <c r="M839" s="7" t="inlineStr">
        <is>
          <t>Fornecimento de macro e micronutrientes essenciais ao metabolismo vegetal</t>
        </is>
      </c>
      <c r="N839" s="7" t="inlineStr">
        <is>
          <t>Isento ANVISA (Produto Fertilizante Registrado no SIPEAGRO/MAPA)</t>
        </is>
      </c>
      <c r="O839" s="7" t="inlineStr">
        <is>
          <t>Não Aplicável (Fertilizante)</t>
        </is>
      </c>
      <c r="P839" s="7" t="inlineStr">
        <is>
          <t>Baixo Potencial Poluidor (Uso conforme recomendação agronômica)</t>
        </is>
      </c>
      <c r="Q839" s="9" t="n">
        <v>0</v>
      </c>
      <c r="R839" s="7" t="inlineStr">
        <is>
          <t>Aplicação Dirigida / TS / Solo</t>
        </is>
      </c>
      <c r="S839" s="7" t="inlineStr">
        <is>
          <t>Tratamento sintomático em caso de ingestão acidental</t>
        </is>
      </c>
      <c r="T839" s="7" t="inlineStr">
        <is>
          <t>Estabelecimento Produtor SIPEAGRO/MAPA</t>
        </is>
      </c>
      <c r="U839" s="10">
        <f>HYPERLINK("https://www.gov.br/agricultura/pt-br/assuntos/insumos-agropecuarios/insumos-agricolas/fertilizantes", "Portal SIPEAGRO / MAPA — Fertilizantes e Bioinsumos")</f>
        <v/>
      </c>
    </row>
    <row r="840" ht="22" customHeight="1">
      <c r="A840" s="11" t="n">
        <v>835</v>
      </c>
      <c r="B840" s="12" t="inlineStr">
        <is>
          <t>Nº 47125</t>
        </is>
      </c>
      <c r="C840" s="13" t="inlineStr">
        <is>
          <t>CHLORFENAPYR 240 SC YONON 1X20L (IMP) GG</t>
        </is>
      </c>
      <c r="D840" s="14" t="inlineStr">
        <is>
          <t>CHLORFENAPYR</t>
        </is>
      </c>
      <c r="E840" s="13" t="inlineStr">
        <is>
          <t>Produto Formulado Comercial</t>
        </is>
      </c>
      <c r="F840" s="13" t="inlineStr">
        <is>
          <t>Defensivos</t>
        </is>
      </c>
      <c r="G840" s="13" t="inlineStr">
        <is>
          <t>Inseticida e Acaricida</t>
        </is>
      </c>
      <c r="H840" s="13" t="inlineStr">
        <is>
          <t>SC</t>
        </is>
      </c>
      <c r="I840" s="13" t="inlineStr">
        <is>
          <t>Suspensão Concentrada (SC)</t>
        </is>
      </c>
      <c r="J840" s="13" t="inlineStr">
        <is>
          <t>Inseticida e acaricida de contato e ingestão com ação translaminar</t>
        </is>
      </c>
      <c r="K840" s="13" t="inlineStr">
        <is>
          <t>Análogo de pirazol (Arilpirrol)</t>
        </is>
      </c>
      <c r="L840" s="13" t="inlineStr">
        <is>
          <t>IRAC Grupo 13</t>
        </is>
      </c>
      <c r="M840" s="13" t="inlineStr">
        <is>
          <t>Desacopladores da fosforilação oxidativa via disrupção do gradiente de prótons</t>
        </is>
      </c>
      <c r="N840" s="13" t="inlineStr">
        <is>
          <t>Categoria 3 / 4 — Moderadamente a Pouco Tóxico</t>
        </is>
      </c>
      <c r="O840" s="13" t="inlineStr">
        <is>
          <t>Amarelo / Azul</t>
        </is>
      </c>
      <c r="P840" s="13" t="inlineStr">
        <is>
          <t>Classe II — Produto Muito Perigoso ao Meio Ambiente</t>
        </is>
      </c>
      <c r="Q840" s="15" t="n">
        <v>24</v>
      </c>
      <c r="R840" s="13" t="inlineStr">
        <is>
          <t>Terrestre / Aérea (Drones consultar bula)</t>
        </is>
      </c>
      <c r="S840" s="13" t="inlineStr">
        <is>
          <t>Sem antídoto específico; controle rigoroso de hipertermia (antitérmicos comuns ineficazes)</t>
        </is>
      </c>
      <c r="T840" s="13" t="inlineStr">
        <is>
          <t>YONON BRASIL DEFENSIVOS AGRÍCOLAS LTDA.</t>
        </is>
      </c>
      <c r="U840" s="16">
        <f>HYPERLINK("https://agrofit.agricultura.gov.br/agrofit_cons/principal_agrofit_cons", "Consulta Oficial AGROFIT/MAPA (Nº 47125)")</f>
        <v/>
      </c>
    </row>
    <row r="841" ht="22" customHeight="1">
      <c r="A841" s="5" t="n">
        <v>836</v>
      </c>
      <c r="B841" s="6" t="inlineStr">
        <is>
          <t>Nº 8406</t>
        </is>
      </c>
      <c r="C841" s="7" t="inlineStr">
        <is>
          <t>CUREFORCE 250 EC IMP 1X20L (VALIDAR)</t>
        </is>
      </c>
      <c r="D841" s="8" t="inlineStr">
        <is>
          <t>CUREFORCE 250 EC IMP</t>
        </is>
      </c>
      <c r="E841" s="7" t="inlineStr">
        <is>
          <t>Produto Formulado Comercial</t>
        </is>
      </c>
      <c r="F841" s="7" t="inlineStr">
        <is>
          <t>Defensivos</t>
        </is>
      </c>
      <c r="G841" s="7" t="inlineStr">
        <is>
          <t>Fungicida</t>
        </is>
      </c>
      <c r="H841" s="7" t="inlineStr">
        <is>
          <t>EC</t>
        </is>
      </c>
      <c r="I841" s="7" t="inlineStr">
        <is>
          <t>Concentrado Emulsionável (EC)</t>
        </is>
      </c>
      <c r="J841" s="7" t="inlineStr">
        <is>
          <t>Fungicida sistêmico preventivo, curativo e erradicante</t>
        </is>
      </c>
      <c r="K841" s="7" t="inlineStr">
        <is>
          <t>Triazol</t>
        </is>
      </c>
      <c r="L841" s="7" t="inlineStr">
        <is>
          <t>FRAC Grupo 3 (DMI)</t>
        </is>
      </c>
      <c r="M841" s="7" t="inlineStr">
        <is>
          <t>Inibidores da desmetilação de esteróis (C14-desmetilase na síntese de ergosterol)</t>
        </is>
      </c>
      <c r="N841" s="7" t="inlineStr">
        <is>
          <t>Categoria 3 / 4 — Moderadamente a Pouco Tóxico</t>
        </is>
      </c>
      <c r="O841" s="7" t="inlineStr">
        <is>
          <t>Amarelo / Azul</t>
        </is>
      </c>
      <c r="P841" s="7" t="inlineStr">
        <is>
          <t>Classe II — Produto Muito Perigoso ao Meio Ambiente</t>
        </is>
      </c>
      <c r="Q841" s="9" t="n">
        <v>24</v>
      </c>
      <c r="R841" s="7" t="inlineStr">
        <is>
          <t>Terrestre / Aérea (Drones consultar bula)</t>
        </is>
      </c>
      <c r="S841" s="7" t="inlineStr">
        <is>
          <t>Sem antídoto específico; tratamento sintomático</t>
        </is>
      </c>
      <c r="T841" s="7" t="inlineStr">
        <is>
          <t>JUBAILIREG BRASIL LTDA.</t>
        </is>
      </c>
      <c r="U841" s="10">
        <f>HYPERLINK("https://agrofit.agricultura.gov.br/agrofit_cons/principal_agrofit_cons", "Consulta Oficial AGROFIT/MAPA (Nº 8406)")</f>
        <v/>
      </c>
    </row>
    <row r="842" ht="22" customHeight="1">
      <c r="A842" s="11" t="n">
        <v>837</v>
      </c>
      <c r="B842" s="12" t="inlineStr">
        <is>
          <t>Nº 28421</t>
        </is>
      </c>
      <c r="C842" s="13" t="inlineStr">
        <is>
          <t>BALLA IMP (VALIDAR)</t>
        </is>
      </c>
      <c r="D842" s="14" t="inlineStr">
        <is>
          <t>BALLA IMP (VALIDAR)</t>
        </is>
      </c>
      <c r="E842" s="13" t="inlineStr">
        <is>
          <t>Produto Formulado Comercial</t>
        </is>
      </c>
      <c r="F842" s="13" t="inlineStr">
        <is>
          <t>Defensivos</t>
        </is>
      </c>
      <c r="G842" s="13" t="inlineStr">
        <is>
          <t>Inseticida e Acaricida</t>
        </is>
      </c>
      <c r="H842" s="13" t="inlineStr">
        <is>
          <t>SC</t>
        </is>
      </c>
      <c r="I842" s="13" t="inlineStr">
        <is>
          <t>Suspensão Concentrada (SC)</t>
        </is>
      </c>
      <c r="J842" s="13" t="inlineStr">
        <is>
          <t>Inseticida e acaricida de contato e ingestão com ação translaminar</t>
        </is>
      </c>
      <c r="K842" s="13" t="inlineStr">
        <is>
          <t>Análogo de pirazol (Arilpirrol)</t>
        </is>
      </c>
      <c r="L842" s="13" t="inlineStr">
        <is>
          <t>IRAC Grupo 13</t>
        </is>
      </c>
      <c r="M842" s="13" t="inlineStr">
        <is>
          <t>Desacopladores da fosforilação oxidativa via disrupção do gradiente de prótons</t>
        </is>
      </c>
      <c r="N842" s="13" t="inlineStr">
        <is>
          <t>Categoria 3 / 4 — Moderadamente a Pouco Tóxico</t>
        </is>
      </c>
      <c r="O842" s="13" t="inlineStr">
        <is>
          <t>Amarelo / Azul</t>
        </is>
      </c>
      <c r="P842" s="13" t="inlineStr">
        <is>
          <t>Classe II — Produto Muito Perigoso ao Meio Ambiente</t>
        </is>
      </c>
      <c r="Q842" s="15" t="n">
        <v>24</v>
      </c>
      <c r="R842" s="13" t="inlineStr">
        <is>
          <t>Terrestre / Aérea (Drones consultar bula)</t>
        </is>
      </c>
      <c r="S842" s="13" t="inlineStr">
        <is>
          <t>Sem antídoto específico; controle rigoroso de hipertermia (antitérmicos comuns ineficazes)</t>
        </is>
      </c>
      <c r="T842" s="13" t="inlineStr">
        <is>
          <t>CCAB AGRO S.A.</t>
        </is>
      </c>
      <c r="U842" s="16">
        <f>HYPERLINK("https://www.adapar.pr.gov.br/system/files/publico/Agrotoxicos/lista.pdf", "Registro Oficial Clorfenapir CCAB 240 SC (MAPA 28421)")</f>
        <v/>
      </c>
    </row>
    <row r="843" ht="22" customHeight="1">
      <c r="A843" s="5" t="n">
        <v>838</v>
      </c>
      <c r="B843" s="6" t="inlineStr">
        <is>
          <t>Nº 36721</t>
        </is>
      </c>
      <c r="C843" s="7" t="inlineStr">
        <is>
          <t>MAIZEFORCE IMP 20L (VALIDAR)</t>
        </is>
      </c>
      <c r="D843" s="8" t="inlineStr">
        <is>
          <t>MAIZEFORCE IMP</t>
        </is>
      </c>
      <c r="E843" s="7" t="inlineStr">
        <is>
          <t>Produto Formulado Comercial</t>
        </is>
      </c>
      <c r="F843" s="7" t="inlineStr">
        <is>
          <t>Defensivos</t>
        </is>
      </c>
      <c r="G843" s="7" t="inlineStr">
        <is>
          <t>Herbicida</t>
        </is>
      </c>
      <c r="H843" s="7" t="inlineStr">
        <is>
          <t>SC</t>
        </is>
      </c>
      <c r="I843" s="7" t="inlineStr">
        <is>
          <t>Suspensão Concentrada (SC)</t>
        </is>
      </c>
      <c r="J843" s="7" t="inlineStr">
        <is>
          <t>Herbicida sistêmico seletivo de pós-emergência</t>
        </is>
      </c>
      <c r="K843" s="7" t="inlineStr">
        <is>
          <t>Tricetona</t>
        </is>
      </c>
      <c r="L843" s="7" t="inlineStr">
        <is>
          <t>HRAC Grupo F2 (27) — Inibidores da HPPD</t>
        </is>
      </c>
      <c r="M843" s="7" t="inlineStr">
        <is>
          <t>Inibidores da enzima 4-hidroxifenil-piruvato-dioxigenase (HPPD - biossíntese de carotenoides)</t>
        </is>
      </c>
      <c r="N843" s="7" t="inlineStr">
        <is>
          <t>Categoria 4 / 5 — Pouco Tóxico</t>
        </is>
      </c>
      <c r="O843" s="7" t="inlineStr">
        <is>
          <t>Azul Intenso</t>
        </is>
      </c>
      <c r="P843" s="7" t="inlineStr">
        <is>
          <t>Classe II — Produto Muito Perigoso ao Meio Ambiente</t>
        </is>
      </c>
      <c r="Q843" s="9" t="n">
        <v>24</v>
      </c>
      <c r="R843" s="7" t="inlineStr">
        <is>
          <t>Terrestre / Aérea (Drones consultar bula)</t>
        </is>
      </c>
      <c r="S843" s="7" t="inlineStr">
        <is>
          <t>Sem antídoto específico; tratamento sintomático</t>
        </is>
      </c>
      <c r="T843" s="7" t="inlineStr">
        <is>
          <t>JUBAILI AGROTEC / JUBAILIREG BRASIL LTDA.</t>
        </is>
      </c>
      <c r="U843" s="10">
        <f>HYPERLINK("https://www.adapar.pr.gov.br/Pagina/Agrotoxicos-Herbicidas", "Registro Oficial Maizeforce 480 SC (MAPA 36721)")</f>
        <v/>
      </c>
    </row>
    <row r="844" ht="22" customHeight="1">
      <c r="A844" s="11" t="n">
        <v>839</v>
      </c>
      <c r="B844" s="12" t="inlineStr">
        <is>
          <t>Nº 19217</t>
        </is>
      </c>
      <c r="C844" s="13" t="inlineStr">
        <is>
          <t>BLOWOUT 1X20L IMP RW (VALIDAR)</t>
        </is>
      </c>
      <c r="D844" s="14" t="inlineStr">
        <is>
          <t>BLOWOUT</t>
        </is>
      </c>
      <c r="E844" s="13" t="inlineStr">
        <is>
          <t>Produto Formulado Comercial</t>
        </is>
      </c>
      <c r="F844" s="13" t="inlineStr">
        <is>
          <t>Defensivos</t>
        </is>
      </c>
      <c r="G844" s="13" t="inlineStr">
        <is>
          <t>Herbicida Dessecante</t>
        </is>
      </c>
      <c r="H844" s="13" t="inlineStr">
        <is>
          <t>SL</t>
        </is>
      </c>
      <c r="I844" s="13" t="inlineStr">
        <is>
          <t>SL - Concentrado Solúvel</t>
        </is>
      </c>
      <c r="J844" s="13" t="inlineStr">
        <is>
          <t>Herbicida dessecante não seletivo de contato e ação rápida</t>
        </is>
      </c>
      <c r="K844" s="13" t="inlineStr">
        <is>
          <t>Bipiridílio</t>
        </is>
      </c>
      <c r="L844" s="13" t="inlineStr">
        <is>
          <t>HRAC Grupo D (22) — Desviadores de Elétrons do Fotossistema I</t>
        </is>
      </c>
      <c r="M844" s="13" t="inlineStr">
        <is>
          <t>Inibidores do Fotossistema I (geração de radicais livres peróxidos)</t>
        </is>
      </c>
      <c r="N844" s="13" t="inlineStr">
        <is>
          <t>Categoria 3: Produto Moderadamente Tóxico</t>
        </is>
      </c>
      <c r="O844" s="13" t="inlineStr">
        <is>
          <t>Amarelo</t>
        </is>
      </c>
      <c r="P844" s="13" t="inlineStr">
        <is>
          <t>Classe II — Produto Muito Perigoso ao Meio Ambiente</t>
        </is>
      </c>
      <c r="Q844" s="15" t="n">
        <v>24</v>
      </c>
      <c r="R844" s="13" t="inlineStr">
        <is>
          <t>Terrestre / Aérea (Drones consultar bula)</t>
        </is>
      </c>
      <c r="S844" s="13" t="inlineStr">
        <is>
          <t>Sem antídoto específico; terra de Fuller / bentonita / carvão ativado na descontaminação gástrica</t>
        </is>
      </c>
      <c r="T844" s="13" t="inlineStr">
        <is>
          <t>RAINBOW DEFENSIVOS AGRICOLAS LTDA</t>
        </is>
      </c>
      <c r="U844" s="16">
        <f>HYPERLINK("https://agrofit.agricultura.gov.br/agrofit_cons/principal_agrofit_cons", "Consulta Oficial AGROFIT/MAPA (Nº 19217)")</f>
        <v/>
      </c>
    </row>
    <row r="845" ht="22" customHeight="1">
      <c r="A845" s="5" t="n">
        <v>840</v>
      </c>
      <c r="B845" s="6" t="inlineStr">
        <is>
          <t>Nº 4026</t>
        </is>
      </c>
      <c r="C845" s="7" t="inlineStr">
        <is>
          <t>SYNPROLE 480 SC 1X20L (IMP) SS</t>
        </is>
      </c>
      <c r="D845" s="8" t="inlineStr">
        <is>
          <t>SYNPROLE</t>
        </is>
      </c>
      <c r="E845" s="7" t="inlineStr">
        <is>
          <t>Produto Formulado Comercial</t>
        </is>
      </c>
      <c r="F845" s="7" t="inlineStr">
        <is>
          <t>Defensivos</t>
        </is>
      </c>
      <c r="G845" s="7" t="inlineStr">
        <is>
          <t>Fungicida</t>
        </is>
      </c>
      <c r="H845" s="7" t="inlineStr">
        <is>
          <t>SC</t>
        </is>
      </c>
      <c r="I845" s="7" t="inlineStr">
        <is>
          <t>Suspensão Concentrada (SC)</t>
        </is>
      </c>
      <c r="J845" s="7" t="inlineStr">
        <is>
          <t>Fungicida sistêmico preventivo, curativo e erradicante</t>
        </is>
      </c>
      <c r="K845" s="7" t="inlineStr">
        <is>
          <t>Triazolinthiona</t>
        </is>
      </c>
      <c r="L845" s="7" t="inlineStr">
        <is>
          <t>FRAC Grupo 3 (DMI)</t>
        </is>
      </c>
      <c r="M845" s="7" t="inlineStr">
        <is>
          <t>Inibidores da desmetilação de esteróis (DMI - C14-desmetilase)</t>
        </is>
      </c>
      <c r="N845" s="7" t="inlineStr">
        <is>
          <t>Categoria 4 / 5 — Pouco Tóxico</t>
        </is>
      </c>
      <c r="O845" s="7" t="inlineStr">
        <is>
          <t>Azul Intenso</t>
        </is>
      </c>
      <c r="P845" s="7" t="inlineStr">
        <is>
          <t>Classe II — Produto Muito Perigoso ao Meio Ambiente</t>
        </is>
      </c>
      <c r="Q845" s="9" t="n">
        <v>24</v>
      </c>
      <c r="R845" s="7" t="inlineStr">
        <is>
          <t>Terrestre / Aérea (Drones consultar bula)</t>
        </is>
      </c>
      <c r="S845" s="7" t="inlineStr">
        <is>
          <t>Sem antídoto específico; tratamento sintomático</t>
        </is>
      </c>
      <c r="T845" s="7" t="inlineStr">
        <is>
          <t>Sino-Agri / Rainbow</t>
        </is>
      </c>
      <c r="U845" s="10">
        <f>HYPERLINK("https://agrofit.agricultura.gov.br/agrofit_cons/principal_agrofit_cons", "Consulta Oficial AGROFIT/MAPA (Nº 4026)")</f>
        <v/>
      </c>
    </row>
    <row r="846" ht="22" customHeight="1">
      <c r="A846" s="11" t="n">
        <v>841</v>
      </c>
      <c r="B846" s="12" t="inlineStr">
        <is>
          <t>VINCULAR MARCA</t>
        </is>
      </c>
      <c r="C846" s="13" t="inlineStr">
        <is>
          <t>FLUAZINAM TECNICO 98% (AMOSTRA)</t>
        </is>
      </c>
      <c r="D846" s="14" t="inlineStr">
        <is>
          <t>FLUAZINAM TECNICO 98% (AMOSTRA)</t>
        </is>
      </c>
      <c r="E846" s="13" t="inlineStr">
        <is>
          <t>Produto Técnico Industrial</t>
        </is>
      </c>
      <c r="F846" s="13" t="inlineStr">
        <is>
          <t>Defensivos</t>
        </is>
      </c>
      <c r="G846" s="13" t="inlineStr">
        <is>
          <t>Fungicida (Princípio Ativo / Técnico)</t>
        </is>
      </c>
      <c r="H846" s="13" t="inlineStr">
        <is>
          <t>TC</t>
        </is>
      </c>
      <c r="I846" s="13" t="inlineStr">
        <is>
          <t>Produto Técnico Industrial (TC)</t>
        </is>
      </c>
      <c r="J846" s="13" t="inlineStr">
        <is>
          <t>Fungicida e acaricida de contato preventivo c/ baixa mobilidade</t>
        </is>
      </c>
      <c r="K846" s="13" t="inlineStr">
        <is>
          <t>Fenilpiridinamina (2,6-dinitroanilina)</t>
        </is>
      </c>
      <c r="L846" s="13" t="inlineStr">
        <is>
          <t>FRAC Grupo 29 (C5)</t>
        </is>
      </c>
      <c r="M846" s="13" t="inlineStr">
        <is>
          <t>Desacoplador da fosforilação oxidativa mitocondrial</t>
        </is>
      </c>
      <c r="N846" s="13" t="inlineStr">
        <is>
          <t>Categoria 4 — Produto Pouco Tóxico</t>
        </is>
      </c>
      <c r="O846" s="13" t="inlineStr">
        <is>
          <t>Azul PMS Blue 293 C</t>
        </is>
      </c>
      <c r="P846" s="13" t="inlineStr">
        <is>
          <t>Classe II — Produto Muito Perigoso ao Meio Ambiente</t>
        </is>
      </c>
      <c r="Q846" s="15" t="n">
        <v>24</v>
      </c>
      <c r="R846" s="13" t="inlineStr">
        <is>
          <t>Terrestre / Aérea (Drones consultar bula)</t>
        </is>
      </c>
      <c r="S846" s="13" t="inlineStr">
        <is>
          <t>Sem antídoto específico; tratamento sintomático</t>
        </is>
      </c>
      <c r="T846" s="13" t="inlineStr">
        <is>
          <t>ISK BIOSCIENCES DO BRASIL DEFENSIVOS AGRÍCOLAS LTDA. / SYNGENTA</t>
        </is>
      </c>
      <c r="U846" s="16">
        <f>HYPERLINK("https://agrofit.agricultura.gov.br/agrofit_cons/principal_agrofit_cons", "Consulta Oficial AGROFIT/MAPA (VINCULAR MARCA)")</f>
        <v/>
      </c>
    </row>
    <row r="847" ht="22" customHeight="1">
      <c r="A847" s="5" t="n">
        <v>842</v>
      </c>
      <c r="B847" s="6" t="inlineStr">
        <is>
          <t>Nº 40624</t>
        </is>
      </c>
      <c r="C847" s="7" t="inlineStr">
        <is>
          <t>SHARK 1X20L (IMP) AS</t>
        </is>
      </c>
      <c r="D847" s="8" t="inlineStr">
        <is>
          <t>SHARK</t>
        </is>
      </c>
      <c r="E847" s="7" t="inlineStr">
        <is>
          <t>Produto Formulado Comercial</t>
        </is>
      </c>
      <c r="F847" s="7" t="inlineStr">
        <is>
          <t>Defensivos</t>
        </is>
      </c>
      <c r="G847" s="7" t="inlineStr">
        <is>
          <t>Inseticida</t>
        </is>
      </c>
      <c r="H847" s="7" t="inlineStr">
        <is>
          <t>EC</t>
        </is>
      </c>
      <c r="I847" s="7" t="inlineStr">
        <is>
          <t>Concentrado Emulsionável (EC)</t>
        </is>
      </c>
      <c r="J847" s="7" t="inlineStr">
        <is>
          <t>Inseticida e acaricida de contato, ingestão e profundidade</t>
        </is>
      </c>
      <c r="K847" s="7" t="inlineStr">
        <is>
          <t>Organofosforado</t>
        </is>
      </c>
      <c r="L847" s="7" t="inlineStr">
        <is>
          <t>IRAC Grupo 1B</t>
        </is>
      </c>
      <c r="M847" s="7" t="inlineStr">
        <is>
          <t>Inibidores da acetilcolinesterase (AChE)</t>
        </is>
      </c>
      <c r="N847" s="7" t="inlineStr">
        <is>
          <t>Categoria 2 — Produto Altamente Tóxico</t>
        </is>
      </c>
      <c r="O847" s="7" t="inlineStr">
        <is>
          <t>Vermelho PMS Red 199 C</t>
        </is>
      </c>
      <c r="P847" s="7" t="inlineStr">
        <is>
          <t>Classe II — Produto Muito Perigoso ao Meio Ambiente</t>
        </is>
      </c>
      <c r="Q847" s="9" t="n">
        <v>24</v>
      </c>
      <c r="R847" s="7" t="inlineStr">
        <is>
          <t>Terrestre / Aérea (Drones consultar bula)</t>
        </is>
      </c>
      <c r="S847" s="7" t="inlineStr">
        <is>
          <t>Atropina (agonista antimuscarínico) e Pralidoxima (reativador de colinesterase)</t>
        </is>
      </c>
      <c r="T847" s="7" t="inlineStr">
        <is>
          <t>AGRICONNECTION IMPORTADORA E EXPORTADORA DE INSUMOS AGRÍCOLAS LTDA.</t>
        </is>
      </c>
      <c r="U847" s="10">
        <f>HYPERLINK("https://agrofit.agricultura.gov.br/agrofit_cons/principal_agrofit_cons", "Consulta Oficial AGROFIT/MAPA (Nº 40624)")</f>
        <v/>
      </c>
    </row>
    <row r="848" ht="22" customHeight="1">
      <c r="A848" s="11" t="n">
        <v>843</v>
      </c>
      <c r="B848" s="12" t="inlineStr">
        <is>
          <t>Nº 15716</t>
        </is>
      </c>
      <c r="C848" s="13" t="inlineStr">
        <is>
          <t>DIFCOR 250 EC 1x20L (IMP) LL</t>
        </is>
      </c>
      <c r="D848" s="14" t="inlineStr">
        <is>
          <t>DIFCOR 250 EC</t>
        </is>
      </c>
      <c r="E848" s="13" t="inlineStr">
        <is>
          <t>Produto Formulado Comercial</t>
        </is>
      </c>
      <c r="F848" s="13" t="inlineStr">
        <is>
          <t>Defensivos</t>
        </is>
      </c>
      <c r="G848" s="13" t="inlineStr">
        <is>
          <t>Fungicida</t>
        </is>
      </c>
      <c r="H848" s="13" t="inlineStr">
        <is>
          <t>EC</t>
        </is>
      </c>
      <c r="I848" s="13" t="inlineStr">
        <is>
          <t>Concentrado Emulsionável (EC)</t>
        </is>
      </c>
      <c r="J848" s="13" t="inlineStr">
        <is>
          <t>Fungicida sistêmico preventivo, curativo e erradicante</t>
        </is>
      </c>
      <c r="K848" s="13" t="inlineStr">
        <is>
          <t>Triazol</t>
        </is>
      </c>
      <c r="L848" s="13" t="inlineStr">
        <is>
          <t>FRAC Grupo 3 (DMI)</t>
        </is>
      </c>
      <c r="M848" s="13" t="inlineStr">
        <is>
          <t>Inibidores da desmetilação de esteróis (C14-desmetilase na síntese de ergosterol)</t>
        </is>
      </c>
      <c r="N848" s="13" t="inlineStr">
        <is>
          <t>Categoria 3 — Produto Moderadamente Tóxico</t>
        </is>
      </c>
      <c r="O848" s="13" t="inlineStr">
        <is>
          <t>Amarelo PMS Yellow C</t>
        </is>
      </c>
      <c r="P848" s="13" t="inlineStr">
        <is>
          <t>Classe II — Produto Muito Perigoso ao Meio Ambiente</t>
        </is>
      </c>
      <c r="Q848" s="15" t="n">
        <v>24</v>
      </c>
      <c r="R848" s="13" t="inlineStr">
        <is>
          <t>Terrestre / Aérea (Drones consultar bula)</t>
        </is>
      </c>
      <c r="S848" s="13" t="inlineStr">
        <is>
          <t>Sem antídoto específico; tratamento sintomático</t>
        </is>
      </c>
      <c r="T848" s="13" t="inlineStr">
        <is>
          <t>GLOBACHEM PROTEÇÃO DE CULTIVOS DO BRASIL LTDA.</t>
        </is>
      </c>
      <c r="U848" s="16">
        <f>HYPERLINK("https://agrofit.agricultura.gov.br/agrofit_cons/principal_agrofit_cons", "Consulta Oficial AGROFIT/MAPA (Nº 15716)")</f>
        <v/>
      </c>
    </row>
    <row r="849" ht="22" customHeight="1">
      <c r="A849" s="5" t="n">
        <v>844</v>
      </c>
      <c r="B849" s="6" t="inlineStr">
        <is>
          <t>Nº 52425</t>
        </is>
      </c>
      <c r="C849" s="7" t="inlineStr">
        <is>
          <t>GEODO AMOSTRA 0,100KG IMP</t>
        </is>
      </c>
      <c r="D849" s="8" t="inlineStr">
        <is>
          <t>GEODO AMOSTRA 0,100KG IMP</t>
        </is>
      </c>
      <c r="E849" s="7" t="inlineStr">
        <is>
          <t>Produto Formulado Comercial</t>
        </is>
      </c>
      <c r="F849" s="7" t="inlineStr">
        <is>
          <t>Defensivos</t>
        </is>
      </c>
      <c r="G849" s="7" t="inlineStr">
        <is>
          <t>Inseticida</t>
        </is>
      </c>
      <c r="H849" s="7" t="inlineStr">
        <is>
          <t>WG</t>
        </is>
      </c>
      <c r="I849" s="7" t="inlineStr">
        <is>
          <t>Grânulos Dispersíveis em Água (WG)</t>
        </is>
      </c>
      <c r="J849" s="7" t="inlineStr">
        <is>
          <t>Inseticida e acaricida de contato e ingestão</t>
        </is>
      </c>
      <c r="K849" s="7" t="inlineStr">
        <is>
          <t>Piretroide (Tipo I)</t>
        </is>
      </c>
      <c r="L849" s="7" t="inlineStr">
        <is>
          <t>IRAC Grupo 3A</t>
        </is>
      </c>
      <c r="M849" s="7" t="inlineStr">
        <is>
          <t>Moduladores de canais de sódio em membranas nervosas</t>
        </is>
      </c>
      <c r="N849" s="7" t="inlineStr">
        <is>
          <t>Categoria 3 — Produto Moderadamente Tóxico</t>
        </is>
      </c>
      <c r="O849" s="7" t="inlineStr">
        <is>
          <t>Amarelo PMS Yellow C</t>
        </is>
      </c>
      <c r="P849" s="7" t="inlineStr">
        <is>
          <t>Classe II — Produto Muito Perigoso ao Meio Ambiente</t>
        </is>
      </c>
      <c r="Q849" s="9" t="n">
        <v>24</v>
      </c>
      <c r="R849" s="7" t="inlineStr">
        <is>
          <t>Terrestre / Aérea (Drones consultar bula)</t>
        </is>
      </c>
      <c r="S849" s="7" t="inlineStr">
        <is>
          <t>Sem antídoto específico; anti-histamínicos e vitamina E tópica para parestesia</t>
        </is>
      </c>
      <c r="T849" s="7" t="inlineStr">
        <is>
          <t>RAINBOW DEFENSIVOS AGRÍCOLAS LTDA.</t>
        </is>
      </c>
      <c r="U849" s="10">
        <f>HYPERLINK("https://www.adapar.pr.gov.br/system/files/publico/Agrotoxicos/lista.pdf", "Registro Oficial Geodo 500 WG (MAPA 52425)")</f>
        <v/>
      </c>
    </row>
    <row r="850" ht="22" customHeight="1">
      <c r="A850" s="11" t="n">
        <v>845</v>
      </c>
      <c r="B850" s="12" t="inlineStr">
        <is>
          <t>Nº 4516</t>
        </is>
      </c>
      <c r="C850" s="13" t="inlineStr">
        <is>
          <t>STRONGFORCE 4X5L (IMP) JE</t>
        </is>
      </c>
      <c r="D850" s="14" t="inlineStr">
        <is>
          <t>STRONGFORCE</t>
        </is>
      </c>
      <c r="E850" s="13" t="inlineStr">
        <is>
          <t>Produto Formulado Comercial</t>
        </is>
      </c>
      <c r="F850" s="13" t="inlineStr">
        <is>
          <t>Defensivos</t>
        </is>
      </c>
      <c r="G850" s="13" t="inlineStr">
        <is>
          <t>Inseticida</t>
        </is>
      </c>
      <c r="H850" s="13" t="inlineStr">
        <is>
          <t>SL</t>
        </is>
      </c>
      <c r="I850" s="13" t="inlineStr">
        <is>
          <t>Concentrado Solúvel (SL)</t>
        </is>
      </c>
      <c r="J850" s="13" t="inlineStr">
        <is>
          <t>Inseticida sistêmico de contato e ingestão com efeito ovicida/larvicida</t>
        </is>
      </c>
      <c r="K850" s="13" t="inlineStr">
        <is>
          <t>Metilcarbamato de oxima</t>
        </is>
      </c>
      <c r="L850" s="13" t="inlineStr">
        <is>
          <t>IRAC Grupo 1A</t>
        </is>
      </c>
      <c r="M850" s="13" t="inlineStr">
        <is>
          <t>Inibidores reversíveis da enzima acetilcolinesterase (AChE)</t>
        </is>
      </c>
      <c r="N850" s="13" t="inlineStr">
        <is>
          <t>Categoria 2 — Produto Altamente Tóxico</t>
        </is>
      </c>
      <c r="O850" s="13" t="inlineStr">
        <is>
          <t>Vermelho PMS Red 199 C</t>
        </is>
      </c>
      <c r="P850" s="13" t="inlineStr">
        <is>
          <t>Classe II — Produto Muito Perigoso ao Meio Ambiente</t>
        </is>
      </c>
      <c r="Q850" s="15" t="n">
        <v>24</v>
      </c>
      <c r="R850" s="13" t="inlineStr">
        <is>
          <t>Terrestre / Aérea (Drones consultar bula)</t>
        </is>
      </c>
      <c r="S850" s="13" t="inlineStr">
        <is>
          <t>Sulfato de Atropina (antídoto específico; NÃO administrar oximas/pralidoxima em carbamatos)</t>
        </is>
      </c>
      <c r="T850" s="13" t="inlineStr">
        <is>
          <t>Jubaili / Rotam</t>
        </is>
      </c>
      <c r="U850" s="16">
        <f>HYPERLINK("https://agrofit.agricultura.gov.br/agrofit_cons/principal_agrofit_cons", "Consulta Oficial AGROFIT/MAPA (Nº 4516)")</f>
        <v/>
      </c>
    </row>
    <row r="851" ht="22" customHeight="1">
      <c r="A851" s="5" t="n">
        <v>846</v>
      </c>
      <c r="B851" s="6" t="inlineStr">
        <is>
          <t>SIPEAGRO (UF-XXXXX)</t>
        </is>
      </c>
      <c r="C851" s="7" t="inlineStr">
        <is>
          <t>GESSO AGRICOLA MINERAL NATURAL (GIPSITA MOIDA) GRANEL</t>
        </is>
      </c>
      <c r="D851" s="8" t="inlineStr">
        <is>
          <t>GESSO AGRICOLA MINERAL NATURAL (GIPSITA MOIDA) GRANEL</t>
        </is>
      </c>
      <c r="E851" s="7" t="inlineStr">
        <is>
          <t>Corretivo / Condicionador de Solo</t>
        </is>
      </c>
      <c r="F851" s="7" t="inlineStr">
        <is>
          <t>Corretivos e Condicionadores de Solo</t>
        </is>
      </c>
      <c r="G851" s="7" t="inlineStr">
        <is>
          <t>Condicionador de Subsuperfície / Corretivo de Sodicidade</t>
        </is>
      </c>
      <c r="H851" s="7" t="inlineStr">
        <is>
          <t>Pó</t>
        </is>
      </c>
      <c r="I851" s="7" t="inlineStr">
        <is>
          <t>Formulação Padrão (Pó / Granulado / Pastilhado)</t>
        </is>
      </c>
      <c r="J851" s="7" t="inlineStr">
        <is>
          <t>Incorporação ou aplicação em área total no solo</t>
        </is>
      </c>
      <c r="K851" s="7" t="inlineStr">
        <is>
          <t>Corretivo de Acidez / Condicionador de Solo (SIPEAGRO)</t>
        </is>
      </c>
      <c r="L851" s="7" t="inlineStr">
        <is>
          <t>Correção Química de Solo</t>
        </is>
      </c>
      <c r="M851" s="7" t="inlineStr">
        <is>
          <t>Neutralização de Al3+ tóxico e fornecimento de Ca2+, Mg2+, S ou B</t>
        </is>
      </c>
      <c r="N851" s="7" t="inlineStr">
        <is>
          <t>Isento ANVISA (Corretivo Agrícola SIPEAGRO)</t>
        </is>
      </c>
      <c r="O851" s="7" t="inlineStr">
        <is>
          <t>Não Aplicável</t>
        </is>
      </c>
      <c r="P851" s="7" t="inlineStr">
        <is>
          <t>Produto Mineral Natural</t>
        </is>
      </c>
      <c r="Q851" s="9" t="n">
        <v>24</v>
      </c>
      <c r="R851" s="7" t="inlineStr">
        <is>
          <t>Terrestre / Aérea (Drones consultar bula)</t>
        </is>
      </c>
      <c r="S851" s="7" t="inlineStr">
        <is>
          <t>Tratamento sintomático</t>
        </is>
      </c>
      <c r="T851" s="7" t="inlineStr">
        <is>
          <t>Estabelecimento Produtor SIPEAGRO/MAPA</t>
        </is>
      </c>
      <c r="U851" s="10">
        <f>HYPERLINK("https://www.gov.br/agricultura/pt-br/assuntos/insumos-agropecuarios/insumos-agricolas/fertilizantes", "Portal SIPEAGRO / MAPA — Fertilizantes e Bioinsumos")</f>
        <v/>
      </c>
    </row>
    <row r="852" ht="22" customHeight="1">
      <c r="A852" s="11" t="n">
        <v>847</v>
      </c>
      <c r="B852" s="12" t="inlineStr">
        <is>
          <t>SIPEAGRO (UF-XXXXX)</t>
        </is>
      </c>
      <c r="C852" s="13" t="inlineStr">
        <is>
          <t>FOSFOGESSO AGRICOLA (SUBPRODUTO INDUSTRIAL) GRANEL</t>
        </is>
      </c>
      <c r="D852" s="14" t="inlineStr">
        <is>
          <t>FOSFOGESSO AGRICOLA (SUBPRODUTO INDUSTRIAL) GRANEL</t>
        </is>
      </c>
      <c r="E852" s="13" t="inlineStr">
        <is>
          <t>Corretivo / Condicionador de Solo</t>
        </is>
      </c>
      <c r="F852" s="13" t="inlineStr">
        <is>
          <t>Corretivos e Condicionadores de Solo</t>
        </is>
      </c>
      <c r="G852" s="13" t="inlineStr">
        <is>
          <t>Condicionador de Subsuperfície / Corretivo de Sodicidade</t>
        </is>
      </c>
      <c r="H852" s="13" t="inlineStr">
        <is>
          <t>Pó</t>
        </is>
      </c>
      <c r="I852" s="13" t="inlineStr">
        <is>
          <t>Formulação Padrão (Pó / Granulado / Pastilhado)</t>
        </is>
      </c>
      <c r="J852" s="13" t="inlineStr">
        <is>
          <t>Incorporação ou aplicação em área total no solo</t>
        </is>
      </c>
      <c r="K852" s="13" t="inlineStr">
        <is>
          <t>Corretivo de Acidez / Condicionador de Solo (SIPEAGRO)</t>
        </is>
      </c>
      <c r="L852" s="13" t="inlineStr">
        <is>
          <t>Correção Química de Solo</t>
        </is>
      </c>
      <c r="M852" s="13" t="inlineStr">
        <is>
          <t>Neutralização de Al3+ tóxico e fornecimento de Ca2+, Mg2+, S ou B</t>
        </is>
      </c>
      <c r="N852" s="13" t="inlineStr">
        <is>
          <t>Isento ANVISA (Corretivo Agrícola SIPEAGRO)</t>
        </is>
      </c>
      <c r="O852" s="13" t="inlineStr">
        <is>
          <t>Não Aplicável</t>
        </is>
      </c>
      <c r="P852" s="13" t="inlineStr">
        <is>
          <t>Produto Mineral Natural</t>
        </is>
      </c>
      <c r="Q852" s="15" t="n">
        <v>24</v>
      </c>
      <c r="R852" s="13" t="inlineStr">
        <is>
          <t>Terrestre / Aérea (Drones consultar bula)</t>
        </is>
      </c>
      <c r="S852" s="13" t="inlineStr">
        <is>
          <t>Tratamento sintomático</t>
        </is>
      </c>
      <c r="T852" s="13" t="inlineStr">
        <is>
          <t>Estabelecimento Produtor SIPEAGRO/MAPA</t>
        </is>
      </c>
      <c r="U852" s="16">
        <f>HYPERLINK("https://www.gov.br/agricultura/pt-br/assuntos/insumos-agropecuarios/insumos-agricolas/fertilizantes", "Portal SIPEAGRO / MAPA — Fertilizantes e Bioinsumos")</f>
        <v/>
      </c>
    </row>
    <row r="853" ht="22" customHeight="1">
      <c r="A853" s="5" t="n">
        <v>848</v>
      </c>
      <c r="B853" s="6" t="inlineStr">
        <is>
          <t>SIPEAGRO (UF-XXXXX)</t>
        </is>
      </c>
      <c r="C853" s="7" t="inlineStr">
        <is>
          <t>CALCARIO AGRICOLA DOLOMITICO / CALCITICO GRANEL (TON)</t>
        </is>
      </c>
      <c r="D853" s="8" t="inlineStr">
        <is>
          <t>CALCARIO AGRICOLA DOLOMITICO / CALCITICO GRANEL (TON)</t>
        </is>
      </c>
      <c r="E853" s="7" t="inlineStr">
        <is>
          <t>Corretivo / Condicionador de Solo</t>
        </is>
      </c>
      <c r="F853" s="7" t="inlineStr">
        <is>
          <t>Corretivos e Condicionadores de Solo</t>
        </is>
      </c>
      <c r="G853" s="7" t="inlineStr">
        <is>
          <t>Corretivo de Acidez do Solo</t>
        </is>
      </c>
      <c r="H853" s="7" t="inlineStr">
        <is>
          <t>Pó</t>
        </is>
      </c>
      <c r="I853" s="7" t="inlineStr">
        <is>
          <t>Formulação Padrão (Pó / Granulado / Pastilhado)</t>
        </is>
      </c>
      <c r="J853" s="7" t="inlineStr">
        <is>
          <t>Incorporação ou aplicação em área total no solo</t>
        </is>
      </c>
      <c r="K853" s="7" t="inlineStr">
        <is>
          <t>Corretivo de Acidez / Condicionador de Solo (SIPEAGRO)</t>
        </is>
      </c>
      <c r="L853" s="7" t="inlineStr">
        <is>
          <t>Correção Química de Solo</t>
        </is>
      </c>
      <c r="M853" s="7" t="inlineStr">
        <is>
          <t>Neutralização de Al3+ tóxico e fornecimento de Ca2+, Mg2+, S ou B</t>
        </is>
      </c>
      <c r="N853" s="7" t="inlineStr">
        <is>
          <t>Isento ANVISA (Corretivo Agrícola SIPEAGRO)</t>
        </is>
      </c>
      <c r="O853" s="7" t="inlineStr">
        <is>
          <t>Não Aplicável</t>
        </is>
      </c>
      <c r="P853" s="7" t="inlineStr">
        <is>
          <t>Produto Mineral Natural</t>
        </is>
      </c>
      <c r="Q853" s="9" t="n">
        <v>24</v>
      </c>
      <c r="R853" s="7" t="inlineStr">
        <is>
          <t>Terrestre / Aérea (Drones consultar bula)</t>
        </is>
      </c>
      <c r="S853" s="7" t="inlineStr">
        <is>
          <t>Tratamento sintomático</t>
        </is>
      </c>
      <c r="T853" s="7" t="inlineStr">
        <is>
          <t>Estabelecimento Produtor SIPEAGRO/MAPA</t>
        </is>
      </c>
      <c r="U853" s="10">
        <f>HYPERLINK("https://www.gov.br/agricultura/pt-br/assuntos/insumos-agropecuarios/insumos-agricolas/fertilizantes", "Portal SIPEAGRO / MAPA — Fertilizantes e Bioinsumos")</f>
        <v/>
      </c>
    </row>
    <row r="854" ht="22" customHeight="1">
      <c r="A854" s="11" t="n">
        <v>849</v>
      </c>
      <c r="B854" s="12" t="inlineStr">
        <is>
          <t>SIPEAGRO (UF-XXXXX)</t>
        </is>
      </c>
      <c r="C854" s="13" t="inlineStr">
        <is>
          <t>CAL HIDRATADA / VIRGEM AGRICOLA 1X25KG</t>
        </is>
      </c>
      <c r="D854" s="14" t="inlineStr">
        <is>
          <t>CAL HIDRATADA / VIRGEM AGRICOLA</t>
        </is>
      </c>
      <c r="E854" s="13" t="inlineStr">
        <is>
          <t>Corretivo / Condicionador de Solo</t>
        </is>
      </c>
      <c r="F854" s="13" t="inlineStr">
        <is>
          <t>Corretivos e Condicionadores de Solo</t>
        </is>
      </c>
      <c r="G854" s="13" t="inlineStr">
        <is>
          <t>Corretivo de Acidez Alcalino Rápido</t>
        </is>
      </c>
      <c r="H854" s="13" t="inlineStr">
        <is>
          <t>Pó</t>
        </is>
      </c>
      <c r="I854" s="13" t="inlineStr">
        <is>
          <t>Formulação Padrão (Pó / Granulado / Pastilhado)</t>
        </is>
      </c>
      <c r="J854" s="13" t="inlineStr">
        <is>
          <t>Incorporação ou aplicação em área total no solo</t>
        </is>
      </c>
      <c r="K854" s="13" t="inlineStr">
        <is>
          <t>Corretivo de Acidez / Condicionador de Solo (SIPEAGRO)</t>
        </is>
      </c>
      <c r="L854" s="13" t="inlineStr">
        <is>
          <t>Correção Química de Solo</t>
        </is>
      </c>
      <c r="M854" s="13" t="inlineStr">
        <is>
          <t>Neutralização de Al3+ tóxico e fornecimento de Ca2+, Mg2+, S ou B</t>
        </is>
      </c>
      <c r="N854" s="13" t="inlineStr">
        <is>
          <t>Isento ANVISA (Corretivo Agrícola SIPEAGRO)</t>
        </is>
      </c>
      <c r="O854" s="13" t="inlineStr">
        <is>
          <t>Não Aplicável</t>
        </is>
      </c>
      <c r="P854" s="13" t="inlineStr">
        <is>
          <t>Produto Mineral Natural</t>
        </is>
      </c>
      <c r="Q854" s="15" t="n">
        <v>24</v>
      </c>
      <c r="R854" s="13" t="inlineStr">
        <is>
          <t>Terrestre / Aérea (Drones consultar bula)</t>
        </is>
      </c>
      <c r="S854" s="13" t="inlineStr">
        <is>
          <t>Tratamento sintomático</t>
        </is>
      </c>
      <c r="T854" s="13" t="inlineStr">
        <is>
          <t>Estabelecimento Produtor SIPEAGRO/MAPA</t>
        </is>
      </c>
      <c r="U854" s="16">
        <f>HYPERLINK("https://www.gov.br/agricultura/pt-br/assuntos/insumos-agropecuarios/insumos-agricolas/fertilizantes", "Portal SIPEAGRO / MAPA — Fertilizantes e Bioinsumos")</f>
        <v/>
      </c>
    </row>
    <row r="855" ht="22" customHeight="1">
      <c r="A855" s="5" t="n">
        <v>850</v>
      </c>
      <c r="B855" s="6" t="inlineStr">
        <is>
          <t>SIPEAGRO (UF-XXXXX)</t>
        </is>
      </c>
      <c r="C855" s="7" t="inlineStr">
        <is>
          <t>FOSFATO DIAMONICO (DAP 18-46-00) GRANULADO GRANEL</t>
        </is>
      </c>
      <c r="D855" s="8" t="inlineStr">
        <is>
          <t>FOSFATO DIAMONICO (DAP 18-46-00) GRANULADO GRANEL</t>
        </is>
      </c>
      <c r="E855" s="7" t="inlineStr">
        <is>
          <t>Fertilizante Mineral / Organomineral</t>
        </is>
      </c>
      <c r="F855" s="7" t="inlineStr">
        <is>
          <t>Fertilizantes</t>
        </is>
      </c>
      <c r="G855" s="7" t="inlineStr">
        <is>
          <t>Fertilizante Complexo (DAP — Fosfato Diamônico)</t>
        </is>
      </c>
      <c r="H855" s="7" t="inlineStr">
        <is>
          <t>Granulado</t>
        </is>
      </c>
      <c r="I855" s="7" t="inlineStr">
        <is>
          <t>Formulação Padrão (Granulado / Solúvel / Suspensão)</t>
        </is>
      </c>
      <c r="J855" s="7" t="inlineStr">
        <is>
          <t>Aplicação via solo, fertirrigação ou adubação foliar</t>
        </is>
      </c>
      <c r="K855" s="7" t="inlineStr">
        <is>
          <t>Fertilizante Mineral / Organomineral (Lei nº 6.894/1980)</t>
        </is>
      </c>
      <c r="L855" s="7" t="inlineStr">
        <is>
          <t>Nutrição Vegetal SIPEAGRO</t>
        </is>
      </c>
      <c r="M855" s="7" t="inlineStr">
        <is>
          <t>Fornecimento de macro e micronutrientes essenciais ao metabolismo vegetal</t>
        </is>
      </c>
      <c r="N855" s="7" t="inlineStr">
        <is>
          <t>Isento ANVISA (Produto Fertilizante Registrado no SIPEAGRO/MAPA)</t>
        </is>
      </c>
      <c r="O855" s="7" t="inlineStr">
        <is>
          <t>Não Aplicável (Fertilizante)</t>
        </is>
      </c>
      <c r="P855" s="7" t="inlineStr">
        <is>
          <t>Baixo Potencial Poluidor (Uso conforme recomendação agronômica)</t>
        </is>
      </c>
      <c r="Q855" s="9" t="n">
        <v>0</v>
      </c>
      <c r="R855" s="7" t="inlineStr">
        <is>
          <t>Aplicação Dirigida / TS / Solo</t>
        </is>
      </c>
      <c r="S855" s="7" t="inlineStr">
        <is>
          <t>Tratamento sintomático em caso de ingestão acidental</t>
        </is>
      </c>
      <c r="T855" s="7" t="inlineStr">
        <is>
          <t>Estabelecimento Produtor SIPEAGRO/MAPA</t>
        </is>
      </c>
      <c r="U855" s="10">
        <f>HYPERLINK("https://www.gov.br/agricultura/pt-br/assuntos/insumos-agropecuarios/insumos-agricolas/fertilizantes", "Portal SIPEAGRO / MAPA — Fertilizantes e Bioinsumos")</f>
        <v/>
      </c>
    </row>
    <row r="856" ht="22" customHeight="1">
      <c r="A856" s="11" t="n">
        <v>851</v>
      </c>
      <c r="B856" s="12" t="inlineStr">
        <is>
          <t>SIPEAGRO (UF-XXXXX)</t>
        </is>
      </c>
      <c r="C856" s="13" t="inlineStr">
        <is>
          <t>TERMOFOSFATO MAGNESIANO FUNDIDO (YOORIN) 1X25KG</t>
        </is>
      </c>
      <c r="D856" s="14" t="inlineStr">
        <is>
          <t>TERMOFOSFATO MAGNESIANO FUNDIDO (YOORIN)</t>
        </is>
      </c>
      <c r="E856" s="13" t="inlineStr">
        <is>
          <t>Fertilizante Mineral / Organomineral</t>
        </is>
      </c>
      <c r="F856" s="13" t="inlineStr">
        <is>
          <t>Fertilizantes</t>
        </is>
      </c>
      <c r="G856" s="13" t="inlineStr">
        <is>
          <t>Fertilizante Mineral Simples (Fosfatado)</t>
        </is>
      </c>
      <c r="H856" s="13" t="inlineStr">
        <is>
          <t>Granulado</t>
        </is>
      </c>
      <c r="I856" s="13" t="inlineStr">
        <is>
          <t>Formulação Padrão (Granulado / Solúvel / Suspensão)</t>
        </is>
      </c>
      <c r="J856" s="13" t="inlineStr">
        <is>
          <t>Aplicação via solo, fertirrigação ou adubação foliar</t>
        </is>
      </c>
      <c r="K856" s="13" t="inlineStr">
        <is>
          <t>Fertilizante Mineral / Organomineral (Lei nº 6.894/1980)</t>
        </is>
      </c>
      <c r="L856" s="13" t="inlineStr">
        <is>
          <t>Nutrição Vegetal SIPEAGRO</t>
        </is>
      </c>
      <c r="M856" s="13" t="inlineStr">
        <is>
          <t>Fornecimento de macro e micronutrientes essenciais ao metabolismo vegetal</t>
        </is>
      </c>
      <c r="N856" s="13" t="inlineStr">
        <is>
          <t>Isento ANVISA (Produto Fertilizante Registrado no SIPEAGRO/MAPA)</t>
        </is>
      </c>
      <c r="O856" s="13" t="inlineStr">
        <is>
          <t>Não Aplicável (Fertilizante)</t>
        </is>
      </c>
      <c r="P856" s="13" t="inlineStr">
        <is>
          <t>Baixo Potencial Poluidor (Uso conforme recomendação agronômica)</t>
        </is>
      </c>
      <c r="Q856" s="15" t="n">
        <v>0</v>
      </c>
      <c r="R856" s="13" t="inlineStr">
        <is>
          <t>Aplicação Dirigida / TS / Solo</t>
        </is>
      </c>
      <c r="S856" s="13" t="inlineStr">
        <is>
          <t>Tratamento sintomático em caso de ingestão acidental</t>
        </is>
      </c>
      <c r="T856" s="13" t="inlineStr">
        <is>
          <t>Yoorin Fertilizantes / SIPEAGRO</t>
        </is>
      </c>
      <c r="U856" s="16">
        <f>HYPERLINK("https://www.gov.br/agricultura/pt-br/assuntos/insumos-agropecuarios/insumos-agricolas/fertilizantes", "Portal SIPEAGRO / MAPA — Fertilizantes e Bioinsumos")</f>
        <v/>
      </c>
    </row>
    <row r="857" ht="22" customHeight="1">
      <c r="A857" s="5" t="n">
        <v>852</v>
      </c>
      <c r="B857" s="6" t="inlineStr">
        <is>
          <t>SIPEAGRO (UF-XXXXX)</t>
        </is>
      </c>
      <c r="C857" s="7" t="inlineStr">
        <is>
          <t>NITRATO DE AMONIO AGRICOLA (33% A 34% N) BIG BAG 1000KG</t>
        </is>
      </c>
      <c r="D857" s="8" t="inlineStr">
        <is>
          <t>NITRATO DE AMONIO AGRICOLA (33% A 34% N) BIG BAG</t>
        </is>
      </c>
      <c r="E857" s="7" t="inlineStr">
        <is>
          <t>Fertilizante Mineral / Organomineral</t>
        </is>
      </c>
      <c r="F857" s="7" t="inlineStr">
        <is>
          <t>Fertilizantes</t>
        </is>
      </c>
      <c r="G857" s="7" t="inlineStr">
        <is>
          <t>Fertilizante Mineral Simples (Nitrogenado)</t>
        </is>
      </c>
      <c r="H857" s="7" t="inlineStr">
        <is>
          <t>Granulado</t>
        </is>
      </c>
      <c r="I857" s="7" t="inlineStr">
        <is>
          <t>Formulação Padrão (Granulado / Solúvel / Suspensão)</t>
        </is>
      </c>
      <c r="J857" s="7" t="inlineStr">
        <is>
          <t>Aplicação via solo, fertirrigação ou adubação foliar</t>
        </is>
      </c>
      <c r="K857" s="7" t="inlineStr">
        <is>
          <t>Fertilizante Mineral / Organomineral (Lei nº 6.894/1980)</t>
        </is>
      </c>
      <c r="L857" s="7" t="inlineStr">
        <is>
          <t>Nutrição Vegetal SIPEAGRO</t>
        </is>
      </c>
      <c r="M857" s="7" t="inlineStr">
        <is>
          <t>Fornecimento de macro e micronutrientes essenciais ao metabolismo vegetal</t>
        </is>
      </c>
      <c r="N857" s="7" t="inlineStr">
        <is>
          <t>Isento ANVISA (Produto Fertilizante Registrado no SIPEAGRO/MAPA)</t>
        </is>
      </c>
      <c r="O857" s="7" t="inlineStr">
        <is>
          <t>Não Aplicável (Fertilizante)</t>
        </is>
      </c>
      <c r="P857" s="7" t="inlineStr">
        <is>
          <t>Baixo Potencial Poluidor (Uso conforme recomendação agronômica)</t>
        </is>
      </c>
      <c r="Q857" s="9" t="n">
        <v>0</v>
      </c>
      <c r="R857" s="7" t="inlineStr">
        <is>
          <t>Aplicação Dirigida / TS / Solo</t>
        </is>
      </c>
      <c r="S857" s="7" t="inlineStr">
        <is>
          <t>Tratamento sintomático em caso de ingestão acidental</t>
        </is>
      </c>
      <c r="T857" s="7" t="inlineStr">
        <is>
          <t>Estabelecimento Produtor SIPEAGRO/MAPA</t>
        </is>
      </c>
      <c r="U857" s="10">
        <f>HYPERLINK("https://www.gov.br/agricultura/pt-br/assuntos/insumos-agropecuarios/insumos-agricolas/fertilizantes", "Portal SIPEAGRO / MAPA — Fertilizantes e Bioinsumos")</f>
        <v/>
      </c>
    </row>
    <row r="858" ht="22" customHeight="1">
      <c r="A858" s="11" t="n">
        <v>853</v>
      </c>
      <c r="B858" s="12" t="inlineStr">
        <is>
          <t>SIPEAGRO (UF-XXXXX)</t>
        </is>
      </c>
      <c r="C858" s="13" t="inlineStr">
        <is>
          <t>ACIDO BORICO TECNICO AGRICOLA (H3BO3 - 17% B) 1X25KG</t>
        </is>
      </c>
      <c r="D858" s="14" t="inlineStr">
        <is>
          <t>ACIDO BORICO TECNICO AGRICOLA (H3BO3 - 17% B)</t>
        </is>
      </c>
      <c r="E858" s="13" t="inlineStr">
        <is>
          <t>Fertilizante Mineral / Organomineral</t>
        </is>
      </c>
      <c r="F858" s="13" t="inlineStr">
        <is>
          <t>Fertilizantes</t>
        </is>
      </c>
      <c r="G858" s="13" t="inlineStr">
        <is>
          <t>Fertilizante Químico Inorgânico (Matéria-Prima Cap. 28/38)</t>
        </is>
      </c>
      <c r="H858" s="13" t="inlineStr">
        <is>
          <t>Granulado</t>
        </is>
      </c>
      <c r="I858" s="13" t="inlineStr">
        <is>
          <t>Formulação Padrão (Granulado / Solúvel / Suspensão)</t>
        </is>
      </c>
      <c r="J858" s="13" t="inlineStr">
        <is>
          <t>Aplicação via solo, fertirrigação ou adubação foliar</t>
        </is>
      </c>
      <c r="K858" s="13" t="inlineStr">
        <is>
          <t>Fertilizante Mineral / Organomineral (Lei nº 6.894/1980)</t>
        </is>
      </c>
      <c r="L858" s="13" t="inlineStr">
        <is>
          <t>Nutrição Vegetal SIPEAGRO</t>
        </is>
      </c>
      <c r="M858" s="13" t="inlineStr">
        <is>
          <t>Fornecimento de macro e micronutrientes essenciais ao metabolismo vegetal</t>
        </is>
      </c>
      <c r="N858" s="13" t="inlineStr">
        <is>
          <t>Isento ANVISA (Produto Fertilizante Registrado no SIPEAGRO/MAPA)</t>
        </is>
      </c>
      <c r="O858" s="13" t="inlineStr">
        <is>
          <t>Não Aplicável (Fertilizante)</t>
        </is>
      </c>
      <c r="P858" s="13" t="inlineStr">
        <is>
          <t>Baixo Potencial Poluidor (Uso conforme recomendação agronômica)</t>
        </is>
      </c>
      <c r="Q858" s="15" t="n">
        <v>0</v>
      </c>
      <c r="R858" s="13" t="inlineStr">
        <is>
          <t>Aplicação Dirigida / TS / Solo</t>
        </is>
      </c>
      <c r="S858" s="13" t="inlineStr">
        <is>
          <t>Tratamento sintomático em caso de ingestão acidental</t>
        </is>
      </c>
      <c r="T858" s="13" t="inlineStr">
        <is>
          <t>Estabelecimento Produtor SIPEAGRO/MAPA</t>
        </is>
      </c>
      <c r="U858" s="16">
        <f>HYPERLINK("https://www.gov.br/agricultura/pt-br/assuntos/insumos-agropecuarios/insumos-agricolas/fertilizantes", "Portal SIPEAGRO / MAPA — Fertilizantes e Bioinsumos")</f>
        <v/>
      </c>
    </row>
    <row r="859" ht="22" customHeight="1">
      <c r="A859" s="5" t="n">
        <v>854</v>
      </c>
      <c r="B859" s="6" t="inlineStr">
        <is>
          <t>SIPEAGRO (UF-XXXXX)</t>
        </is>
      </c>
      <c r="C859" s="7" t="inlineStr">
        <is>
          <t>SULFATO DE COBRE PENTAHIDRATADO AGRICOLA (25% CU) 1X25KG</t>
        </is>
      </c>
      <c r="D859" s="8" t="inlineStr">
        <is>
          <t>SULFATO DE COBRE PENTAHIDRATADO AGRICOLA (25% CU)</t>
        </is>
      </c>
      <c r="E859" s="7" t="inlineStr">
        <is>
          <t>Fertilizante Mineral / Organomineral</t>
        </is>
      </c>
      <c r="F859" s="7" t="inlineStr">
        <is>
          <t>Fertilizantes</t>
        </is>
      </c>
      <c r="G859" s="7" t="inlineStr">
        <is>
          <t>Fertilizante Químico Inorgânico (Matéria-Prima Cap. 28/38)</t>
        </is>
      </c>
      <c r="H859" s="7" t="inlineStr">
        <is>
          <t>Granulado</t>
        </is>
      </c>
      <c r="I859" s="7" t="inlineStr">
        <is>
          <t>Formulação Padrão (Granulado / Solúvel / Suspensão)</t>
        </is>
      </c>
      <c r="J859" s="7" t="inlineStr">
        <is>
          <t>Aplicação via solo, fertirrigação ou adubação foliar</t>
        </is>
      </c>
      <c r="K859" s="7" t="inlineStr">
        <is>
          <t>Fertilizante Mineral / Organomineral (Lei nº 6.894/1980)</t>
        </is>
      </c>
      <c r="L859" s="7" t="inlineStr">
        <is>
          <t>Nutrição Vegetal SIPEAGRO</t>
        </is>
      </c>
      <c r="M859" s="7" t="inlineStr">
        <is>
          <t>Fornecimento de macro e micronutrientes essenciais ao metabolismo vegetal</t>
        </is>
      </c>
      <c r="N859" s="7" t="inlineStr">
        <is>
          <t>Isento ANVISA (Produto Fertilizante Registrado no SIPEAGRO/MAPA)</t>
        </is>
      </c>
      <c r="O859" s="7" t="inlineStr">
        <is>
          <t>Não Aplicável (Fertilizante)</t>
        </is>
      </c>
      <c r="P859" s="7" t="inlineStr">
        <is>
          <t>Baixo Potencial Poluidor (Uso conforme recomendação agronômica)</t>
        </is>
      </c>
      <c r="Q859" s="9" t="n">
        <v>0</v>
      </c>
      <c r="R859" s="7" t="inlineStr">
        <is>
          <t>Aplicação Dirigida / TS / Solo</t>
        </is>
      </c>
      <c r="S859" s="7" t="inlineStr">
        <is>
          <t>Tratamento sintomático em caso de ingestão acidental</t>
        </is>
      </c>
      <c r="T859" s="7" t="inlineStr">
        <is>
          <t>Estabelecimento Produtor SIPEAGRO/MAPA</t>
        </is>
      </c>
      <c r="U859" s="10">
        <f>HYPERLINK("https://www.gov.br/agricultura/pt-br/assuntos/insumos-agropecuarios/insumos-agricolas/fertilizantes", "Portal SIPEAGRO / MAPA — Fertilizantes e Bioinsumos")</f>
        <v/>
      </c>
    </row>
    <row r="860" ht="22" customHeight="1">
      <c r="A860" s="11" t="n">
        <v>855</v>
      </c>
      <c r="B860" s="12" t="inlineStr">
        <is>
          <t>SIPEAGRO (UF-XXXXX)</t>
        </is>
      </c>
      <c r="C860" s="13" t="inlineStr">
        <is>
          <t>BIOMAPHOS INOCULANTE SOLUBILIZADOR DE FOSFORO 4X5L</t>
        </is>
      </c>
      <c r="D860" s="14" t="inlineStr">
        <is>
          <t>BIOMAPHOS INOCULANTE SOLUBILIZADOR DE FOSFORO</t>
        </is>
      </c>
      <c r="E860" s="13" t="inlineStr">
        <is>
          <t>Inoculante / Biológico</t>
        </is>
      </c>
      <c r="F860" s="13" t="inlineStr">
        <is>
          <t>Inoculantes e Biológicos</t>
        </is>
      </c>
      <c r="G860" s="13" t="inlineStr">
        <is>
          <t>Inoculante Solubilizador de Fósforo / Promotor de Crescimento</t>
        </is>
      </c>
      <c r="H860" s="13" t="inlineStr">
        <is>
          <t>SC</t>
        </is>
      </c>
      <c r="I860" s="13" t="inlineStr">
        <is>
          <t>Suspensão Concentrada (SC)</t>
        </is>
      </c>
      <c r="J860" s="13" t="inlineStr">
        <is>
          <t>Bionematicida, biofungicida ou inoculante biológico</t>
        </is>
      </c>
      <c r="K860" s="13" t="inlineStr">
        <is>
          <t>Agente Microbiológico / Rizobactéria (PGPR)</t>
        </is>
      </c>
      <c r="L860" s="13" t="inlineStr">
        <is>
          <t>FRAC Grupo BM02 / IRAC Grupo 11A / Bioinsumo</t>
        </is>
      </c>
      <c r="M860" s="13" t="inlineStr">
        <is>
          <t>Lipopeptídeos antifúngicos, competição na rizosfera e solubilização de nutrientes</t>
        </is>
      </c>
      <c r="N860" s="13" t="inlineStr">
        <is>
          <t>Categoria 5 / Não Classificado — Baixo Risco Agudo</t>
        </is>
      </c>
      <c r="O860" s="13" t="inlineStr">
        <is>
          <t>Azul Intenso</t>
        </is>
      </c>
      <c r="P860" s="13" t="inlineStr">
        <is>
          <t>Classe IV — Produto Pouco Perigoso ao Meio Ambiente</t>
        </is>
      </c>
      <c r="Q860" s="15" t="n">
        <v>0</v>
      </c>
      <c r="R860" s="13" t="inlineStr">
        <is>
          <t>Aplicação Dirigida / TS / Solo</t>
        </is>
      </c>
      <c r="S860" s="13" t="inlineStr">
        <is>
          <t>Sem antídoto; tratamento sintomático</t>
        </is>
      </c>
      <c r="T860" s="13" t="inlineStr">
        <is>
          <t>Bioma / Simbiose / Embrapa (SIPEAGRO)</t>
        </is>
      </c>
      <c r="U860" s="16">
        <f>HYPERLINK("https://www.embrapa.br/busca-de-publicacoes/-/publicacao/1135679/validacao-da-recomendacao-para-o-uso-do-inoculante-biomaphos-bacillus-subtilis-cnpms-b2084-e-bacillus-megaterium-cnpms-b119-na-cultura-de-soja", "Circular Técnica Embrapa 279 — BiomaPhos")</f>
        <v/>
      </c>
    </row>
    <row r="861" ht="22" customHeight="1">
      <c r="A861" s="5" t="n">
        <v>856</v>
      </c>
      <c r="B861" s="6" t="inlineStr">
        <is>
          <t>Nº 16124</t>
        </is>
      </c>
      <c r="C861" s="7" t="inlineStr">
        <is>
          <t>ALTO 400 SC</t>
        </is>
      </c>
      <c r="D861" s="8" t="inlineStr">
        <is>
          <t>ALTO</t>
        </is>
      </c>
      <c r="E861" s="7" t="inlineStr">
        <is>
          <t>Produto Formulado Comercial</t>
        </is>
      </c>
      <c r="F861" s="7" t="inlineStr">
        <is>
          <t>Defensivos</t>
        </is>
      </c>
      <c r="G861" s="7" t="inlineStr">
        <is>
          <t>Fungicida</t>
        </is>
      </c>
      <c r="H861" s="7" t="inlineStr">
        <is>
          <t>SC</t>
        </is>
      </c>
      <c r="I861" s="7" t="inlineStr">
        <is>
          <t>SC - Suspensão Concentrada</t>
        </is>
      </c>
      <c r="J861" s="7" t="inlineStr">
        <is>
          <t>Fungicida preventivo e curativo foliar</t>
        </is>
      </c>
      <c r="K861" s="7" t="inlineStr">
        <is>
          <t>Estrobilurina (Metoxiacrilato)</t>
        </is>
      </c>
      <c r="L861" s="7" t="inlineStr">
        <is>
          <t>FRAC Grupo 11 (C3 — QoI)</t>
        </is>
      </c>
      <c r="M861" s="7" t="inlineStr">
        <is>
          <t>Inibidores da respiração mitocondrial no Complexo III (sítio Qo)</t>
        </is>
      </c>
      <c r="N861" s="7" t="inlineStr">
        <is>
          <t>Categoria 4: Produto Pouco Tóxico</t>
        </is>
      </c>
      <c r="O861" s="7" t="inlineStr">
        <is>
          <t>Azul</t>
        </is>
      </c>
      <c r="P861" s="7" t="inlineStr">
        <is>
          <t>Classe II — Produto Muito Perigoso ao Meio Ambiente</t>
        </is>
      </c>
      <c r="Q861" s="9" t="n">
        <v>24</v>
      </c>
      <c r="R861" s="7" t="inlineStr">
        <is>
          <t>Terrestre / Aérea (Drones consultar bula)</t>
        </is>
      </c>
      <c r="S861" s="7" t="inlineStr">
        <is>
          <t>Sem antídoto específico; tratamento sintomático</t>
        </is>
      </c>
      <c r="T861" s="7" t="inlineStr">
        <is>
          <t>SYNGENTA PROTECAO DE CULTIVOS LTDA</t>
        </is>
      </c>
      <c r="U861" s="10">
        <f>HYPERLINK("https://agrofit.agricultura.gov.br/agrofit_cons/principal_agrofit_cons", "Consulta Oficial AGROFIT/MAPA (Nº 16124)")</f>
        <v/>
      </c>
    </row>
    <row r="862" ht="22" customHeight="1">
      <c r="A862" s="11" t="n">
        <v>857</v>
      </c>
      <c r="B862" s="12" t="inlineStr">
        <is>
          <t>VINC-16124</t>
        </is>
      </c>
      <c r="C862" s="13" t="inlineStr">
        <is>
          <t>Ciproconazol Técnico Syn</t>
        </is>
      </c>
      <c r="D862" s="14" t="inlineStr">
        <is>
          <t>Ciproconazol Técnico Syn</t>
        </is>
      </c>
      <c r="E862" s="13" t="inlineStr">
        <is>
          <t>Produto Técnico Industrial</t>
        </is>
      </c>
      <c r="F862" s="13" t="inlineStr">
        <is>
          <t>Defensivos</t>
        </is>
      </c>
      <c r="G862" s="13" t="inlineStr">
        <is>
          <t>Produto Técnico (Fungicida) (Insumo Industrial / Técnico)</t>
        </is>
      </c>
      <c r="H862" s="13" t="inlineStr">
        <is>
          <t>TC</t>
        </is>
      </c>
      <c r="I862" s="13" t="inlineStr">
        <is>
          <t>Produto Técnico Industrial (TC)</t>
        </is>
      </c>
      <c r="J862" s="13" t="inlineStr">
        <is>
          <t>Fungicida preventivo e curativo foliar</t>
        </is>
      </c>
      <c r="K862" s="13" t="inlineStr">
        <is>
          <t>Triazol</t>
        </is>
      </c>
      <c r="L862" s="13" t="inlineStr">
        <is>
          <t>FRAC Grupo 3 (G1 — DMI)</t>
        </is>
      </c>
      <c r="M862" s="13" t="inlineStr">
        <is>
          <t>Inibidores da desmetilação do C14 na biossíntese do ergosterol</t>
        </is>
      </c>
      <c r="N862" s="13" t="inlineStr">
        <is>
          <t>Categoria 4 — Produto Pouco Tóxico (Conforme Bula ANVISA)</t>
        </is>
      </c>
      <c r="O862" s="13" t="inlineStr">
        <is>
          <t>Azul PMS Blue 293 C</t>
        </is>
      </c>
      <c r="P862" s="13" t="inlineStr">
        <is>
          <t>Classe II — Produto Muito Perigoso ao Meio Ambiente</t>
        </is>
      </c>
      <c r="Q862" s="15" t="n">
        <v>24</v>
      </c>
      <c r="R862" s="13" t="inlineStr">
        <is>
          <t>Terrestre / Aérea (Drones consultar bula)</t>
        </is>
      </c>
      <c r="S862" s="13" t="inlineStr">
        <is>
          <t>Sem antídoto específico; tratamento sintomático</t>
        </is>
      </c>
      <c r="T862" s="13" t="inlineStr">
        <is>
          <t>Bayer CropScience Schweiz AG - Endereço: Rothausstrasse 61, CH-4132, Muttenz - Suíça (Vinc. Reg. 16124)</t>
        </is>
      </c>
      <c r="U862" s="16">
        <f>HYPERLINK("https://agrofit.agricultura.gov.br/agrofit_cons/principal_agrofit_cons", "Consulta Oficial AGROFIT/MAPA (VINC-16124)")</f>
        <v/>
      </c>
    </row>
    <row r="863" ht="22" customHeight="1">
      <c r="A863" s="5" t="n">
        <v>858</v>
      </c>
      <c r="B863" s="6" t="inlineStr">
        <is>
          <t>VINC-16124</t>
        </is>
      </c>
      <c r="C863" s="7" t="inlineStr">
        <is>
          <t>Cyproconazole Técnico</t>
        </is>
      </c>
      <c r="D863" s="8" t="inlineStr">
        <is>
          <t>Cyproconazole Técnico</t>
        </is>
      </c>
      <c r="E863" s="7" t="inlineStr">
        <is>
          <t>Produto Técnico Industrial</t>
        </is>
      </c>
      <c r="F863" s="7" t="inlineStr">
        <is>
          <t>Defensivos</t>
        </is>
      </c>
      <c r="G863" s="7" t="inlineStr">
        <is>
          <t>Produto Técnico (Fungicida) (Insumo Industrial / Técnico)</t>
        </is>
      </c>
      <c r="H863" s="7" t="inlineStr">
        <is>
          <t>TC</t>
        </is>
      </c>
      <c r="I863" s="7" t="inlineStr">
        <is>
          <t>Produto Técnico Industrial (TC)</t>
        </is>
      </c>
      <c r="J863" s="7" t="inlineStr">
        <is>
          <t>Fungicida preventivo e curativo foliar</t>
        </is>
      </c>
      <c r="K863" s="7" t="inlineStr">
        <is>
          <t>Triazol</t>
        </is>
      </c>
      <c r="L863" s="7" t="inlineStr">
        <is>
          <t>FRAC Grupo 3 (G1 — DMI)</t>
        </is>
      </c>
      <c r="M863" s="7" t="inlineStr">
        <is>
          <t>Inibidores da desmetilação do C14 na biossíntese do ergosterol</t>
        </is>
      </c>
      <c r="N863" s="7" t="inlineStr">
        <is>
          <t>Categoria 4 — Produto Pouco Tóxico (Conforme Bula ANVISA)</t>
        </is>
      </c>
      <c r="O863" s="7" t="inlineStr">
        <is>
          <t>Azul PMS Blue 293 C</t>
        </is>
      </c>
      <c r="P863" s="7" t="inlineStr">
        <is>
          <t>Classe II — Produto Muito Perigoso ao Meio Ambiente</t>
        </is>
      </c>
      <c r="Q863" s="9" t="n">
        <v>24</v>
      </c>
      <c r="R863" s="7" t="inlineStr">
        <is>
          <t>Terrestre / Aérea (Drones consultar bula)</t>
        </is>
      </c>
      <c r="S863" s="7" t="inlineStr">
        <is>
          <t>Sem antídoto específico; tratamento sintomático</t>
        </is>
      </c>
      <c r="T863" s="7" t="inlineStr">
        <is>
          <t>Bayer CropScience Schweiz AG - Endereço: Rothausstrasse 61, CH-4132, Muttenz - Suíça (Vinc. Reg. 16124)</t>
        </is>
      </c>
      <c r="U863" s="10">
        <f>HYPERLINK("https://agrofit.agricultura.gov.br/agrofit_cons/principal_agrofit_cons", "Consulta Oficial AGROFIT/MAPA (VINC-16124)")</f>
        <v/>
      </c>
    </row>
    <row r="864" ht="22" customHeight="1">
      <c r="A864" s="11" t="n">
        <v>859</v>
      </c>
      <c r="B864" s="12" t="inlineStr">
        <is>
          <t>Nº 16224</t>
        </is>
      </c>
      <c r="C864" s="13" t="inlineStr">
        <is>
          <t>PEÃO 200 EC</t>
        </is>
      </c>
      <c r="D864" s="14" t="inlineStr">
        <is>
          <t>PEÃO 200 EC</t>
        </is>
      </c>
      <c r="E864" s="13" t="inlineStr">
        <is>
          <t>Produto Formulado Comercial</t>
        </is>
      </c>
      <c r="F864" s="13" t="inlineStr">
        <is>
          <t>Defensivos</t>
        </is>
      </c>
      <c r="G864" s="13" t="inlineStr">
        <is>
          <t>Herbicida</t>
        </is>
      </c>
      <c r="H864" s="13" t="inlineStr">
        <is>
          <t>EC</t>
        </is>
      </c>
      <c r="I864" s="13" t="inlineStr">
        <is>
          <t>Concentrado Emulsionável (EC)</t>
        </is>
      </c>
      <c r="J864" s="13" t="inlineStr">
        <is>
          <t>Herbicida de pré ou pós-emergência</t>
        </is>
      </c>
      <c r="K864" s="13" t="inlineStr">
        <is>
          <t>Ácido piridiniloxialcanoico</t>
        </is>
      </c>
      <c r="L864" s="13" t="inlineStr">
        <is>
          <t>HRAC Grupo O (4) — Auxinas Sintéticas</t>
        </is>
      </c>
      <c r="M864" s="13" t="inlineStr">
        <is>
          <t>Mimetizadores de auxina sintética (desregulação do crescimento celular)</t>
        </is>
      </c>
      <c r="N864" s="13" t="inlineStr">
        <is>
          <t>Categoria 4 / 5 — Pouco Tóxico (Conforme Bula ANVISA)</t>
        </is>
      </c>
      <c r="O864" s="13" t="inlineStr">
        <is>
          <t>Azul PMS Blue 293 C</t>
        </is>
      </c>
      <c r="P864" s="13" t="inlineStr">
        <is>
          <t>Classe II / III — Perigoso ao Meio Ambiente</t>
        </is>
      </c>
      <c r="Q864" s="15" t="n">
        <v>24</v>
      </c>
      <c r="R864" s="13" t="inlineStr">
        <is>
          <t>Terrestre / Aérea (Drones consultar bula)</t>
        </is>
      </c>
      <c r="S864" s="13" t="inlineStr">
        <is>
          <t>Sem antídoto específico; tratamento sintomático e descontaminação</t>
        </is>
      </c>
      <c r="T864" s="13" t="inlineStr">
        <is>
          <t>Cropchem Ltda.- Porto Alegre/RS</t>
        </is>
      </c>
      <c r="U864" s="16">
        <f>HYPERLINK("https://www.agrolink.com.br/agrolinkfito/produto/peao-200-ec_12658.html", "Bula Oficial Peão 200 EC (CropChem - MAPA 16224)")</f>
        <v/>
      </c>
    </row>
    <row r="865" ht="22" customHeight="1">
      <c r="A865" s="5" t="n">
        <v>860</v>
      </c>
      <c r="B865" s="6" t="inlineStr">
        <is>
          <t>VINC-16224</t>
        </is>
      </c>
      <c r="C865" s="7" t="inlineStr">
        <is>
          <t>Fluroxipir Técnico CropChem</t>
        </is>
      </c>
      <c r="D865" s="8" t="inlineStr">
        <is>
          <t>Fluroxipir Técnico CropChem</t>
        </is>
      </c>
      <c r="E865" s="7" t="inlineStr">
        <is>
          <t>Produto Técnico Industrial</t>
        </is>
      </c>
      <c r="F865" s="7" t="inlineStr">
        <is>
          <t>Defensivos</t>
        </is>
      </c>
      <c r="G865" s="7" t="inlineStr">
        <is>
          <t>Produto Técnico (Herbicida) (Insumo Industrial / Técnico)</t>
        </is>
      </c>
      <c r="H865" s="7" t="inlineStr">
        <is>
          <t>TC</t>
        </is>
      </c>
      <c r="I865" s="7" t="inlineStr">
        <is>
          <t>Produto Técnico Industrial (TC)</t>
        </is>
      </c>
      <c r="J865" s="7" t="inlineStr">
        <is>
          <t>Herbicida de pré ou pós-emergência</t>
        </is>
      </c>
      <c r="K865" s="7" t="inlineStr">
        <is>
          <t>Ácido piridiniloxialcanoico</t>
        </is>
      </c>
      <c r="L865" s="7" t="inlineStr">
        <is>
          <t>HRAC Grupo O (4) — Auxinas Sintéticas</t>
        </is>
      </c>
      <c r="M865" s="7" t="inlineStr">
        <is>
          <t>Mimetizadores de auxina sintética (desregulação do crescimento celular)</t>
        </is>
      </c>
      <c r="N865" s="7" t="inlineStr">
        <is>
          <t>Categoria 4 / 5 — Pouco Tóxico (Conforme Bula ANVISA)</t>
        </is>
      </c>
      <c r="O865" s="7" t="inlineStr">
        <is>
          <t>Azul PMS Blue 293 C</t>
        </is>
      </c>
      <c r="P865" s="7" t="inlineStr">
        <is>
          <t>Classe II / III — Perigoso ao Meio Ambiente</t>
        </is>
      </c>
      <c r="Q865" s="9" t="n">
        <v>24</v>
      </c>
      <c r="R865" s="7" t="inlineStr">
        <is>
          <t>Terrestre / Aérea (Drones consultar bula)</t>
        </is>
      </c>
      <c r="S865" s="7" t="inlineStr">
        <is>
          <t>Sem antídoto específico; tratamento sintomático e descontaminação</t>
        </is>
      </c>
      <c r="T865" s="7" t="inlineStr">
        <is>
          <t>Lier Chemical Co., Ltd- Endereço: Economic and Technical Development Zone, Mianyang, 382415, Sichuan - China. Produto Técnico(Fluroxipir Meptílico Técnico Nortox): Nome: Sumitomo Chemical India Limited - Endereço: 6/2, Ruvapari Road - Bhavnagar / Gujarat - Índia (Vinc. Reg. 16224)</t>
        </is>
      </c>
      <c r="U865" s="10">
        <f>HYPERLINK("https://agrofit.agricultura.gov.br/agrofit_cons/principal_agrofit_cons", "Consulta Oficial AGROFIT/MAPA (VINC-16224)")</f>
        <v/>
      </c>
    </row>
    <row r="866" ht="22" customHeight="1">
      <c r="A866" s="11" t="n">
        <v>861</v>
      </c>
      <c r="B866" s="12" t="inlineStr">
        <is>
          <t>Nº 16324</t>
        </is>
      </c>
      <c r="C866" s="13" t="inlineStr">
        <is>
          <t>METRIBUZIM 480 SC A</t>
        </is>
      </c>
      <c r="D866" s="14" t="inlineStr">
        <is>
          <t>METRIBUZIM</t>
        </is>
      </c>
      <c r="E866" s="13" t="inlineStr">
        <is>
          <t>Produto Formulado Comercial</t>
        </is>
      </c>
      <c r="F866" s="13" t="inlineStr">
        <is>
          <t>Defensivos</t>
        </is>
      </c>
      <c r="G866" s="13" t="inlineStr">
        <is>
          <t>Herbicida</t>
        </is>
      </c>
      <c r="H866" s="13" t="inlineStr">
        <is>
          <t>SC</t>
        </is>
      </c>
      <c r="I866" s="13" t="inlineStr">
        <is>
          <t>Suspensão Concentrada (SC)</t>
        </is>
      </c>
      <c r="J866" s="13" t="inlineStr">
        <is>
          <t>Herbicida de pré ou pós-emergência</t>
        </is>
      </c>
      <c r="K866" s="13" t="inlineStr">
        <is>
          <t>Triazinona</t>
        </is>
      </c>
      <c r="L866" s="13" t="inlineStr">
        <is>
          <t>HRAC Grupo C1 (5) — Inibidores do Fotossistema II</t>
        </is>
      </c>
      <c r="M866" s="13" t="inlineStr">
        <is>
          <t>Inibição do transporte de elétrons no Fotossistema II</t>
        </is>
      </c>
      <c r="N866" s="13" t="inlineStr">
        <is>
          <t>Categoria 4 / 5 — Pouco Tóxico (Conforme Bula ANVISA)</t>
        </is>
      </c>
      <c r="O866" s="13" t="inlineStr">
        <is>
          <t>Azul PMS Blue 293 C</t>
        </is>
      </c>
      <c r="P866" s="13" t="inlineStr">
        <is>
          <t>Classe II / III — Perigoso ao Meio Ambiente</t>
        </is>
      </c>
      <c r="Q866" s="15" t="n">
        <v>24</v>
      </c>
      <c r="R866" s="13" t="inlineStr">
        <is>
          <t>Terrestre / Aérea (Drones consultar bula)</t>
        </is>
      </c>
      <c r="S866" s="13" t="inlineStr">
        <is>
          <t>Sem antídoto específico; tratamento sintomático e descontaminação</t>
        </is>
      </c>
      <c r="T866" s="13" t="inlineStr">
        <is>
          <t>Prophyto Comércio e Serviços Ltda.- São Paulo/SP</t>
        </is>
      </c>
      <c r="U866" s="16">
        <f>HYPERLINK("https://agrofit.agricultura.gov.br/agrofit_cons/principal_agrofit_cons", "Consulta Oficial AGROFIT/MAPA (Nº 16324)")</f>
        <v/>
      </c>
    </row>
    <row r="867" ht="22" customHeight="1">
      <c r="A867" s="5" t="n">
        <v>862</v>
      </c>
      <c r="B867" s="6" t="inlineStr">
        <is>
          <t>VINC-16324</t>
        </is>
      </c>
      <c r="C867" s="7" t="inlineStr">
        <is>
          <t>Metribuzin Técnico Rallis</t>
        </is>
      </c>
      <c r="D867" s="8" t="inlineStr">
        <is>
          <t>Metribuzin Técnico Rallis</t>
        </is>
      </c>
      <c r="E867" s="7" t="inlineStr">
        <is>
          <t>Produto Técnico Industrial</t>
        </is>
      </c>
      <c r="F867" s="7" t="inlineStr">
        <is>
          <t>Defensivos</t>
        </is>
      </c>
      <c r="G867" s="7" t="inlineStr">
        <is>
          <t>Produto Técnico (Herbicida) (Insumo Industrial / Técnico)</t>
        </is>
      </c>
      <c r="H867" s="7" t="inlineStr">
        <is>
          <t>TC</t>
        </is>
      </c>
      <c r="I867" s="7" t="inlineStr">
        <is>
          <t>Produto Técnico Industrial (TC)</t>
        </is>
      </c>
      <c r="J867" s="7" t="inlineStr">
        <is>
          <t>Herbicida de pré ou pós-emergência</t>
        </is>
      </c>
      <c r="K867" s="7" t="inlineStr">
        <is>
          <t>Triazinona</t>
        </is>
      </c>
      <c r="L867" s="7" t="inlineStr">
        <is>
          <t>HRAC Grupo C1 (5) — Inibidores do Fotossistema II</t>
        </is>
      </c>
      <c r="M867" s="7" t="inlineStr">
        <is>
          <t>Inibição do transporte de elétrons no Fotossistema II</t>
        </is>
      </c>
      <c r="N867" s="7" t="inlineStr">
        <is>
          <t>Categoria 4 / 5 — Pouco Tóxico (Conforme Bula ANVISA)</t>
        </is>
      </c>
      <c r="O867" s="7" t="inlineStr">
        <is>
          <t>Azul PMS Blue 293 C</t>
        </is>
      </c>
      <c r="P867" s="7" t="inlineStr">
        <is>
          <t>Classe II / III — Perigoso ao Meio Ambiente</t>
        </is>
      </c>
      <c r="Q867" s="9" t="n">
        <v>24</v>
      </c>
      <c r="R867" s="7" t="inlineStr">
        <is>
          <t>Terrestre / Aérea (Drones consultar bula)</t>
        </is>
      </c>
      <c r="S867" s="7" t="inlineStr">
        <is>
          <t>Sem antídoto específico; tratamento sintomático e descontaminação</t>
        </is>
      </c>
      <c r="T867" s="7" t="inlineStr">
        <is>
          <t>Rallis India Limited - Endereço: Plot No. Zl 10, Dahej, SEZ Part II, P.O. Lakhigam, Taluk Vagra, District. Bharuch - 392 130 Gujarat - Índia (Vinc. Reg. 16324)</t>
        </is>
      </c>
      <c r="U867" s="10">
        <f>HYPERLINK("https://agrofit.agricultura.gov.br/agrofit_cons/principal_agrofit_cons", "Consulta Oficial AGROFIT/MAPA (VINC-16324)")</f>
        <v/>
      </c>
    </row>
    <row r="868" ht="22" customHeight="1">
      <c r="A868" s="11" t="n">
        <v>863</v>
      </c>
      <c r="B868" s="12" t="inlineStr">
        <is>
          <t>Nº 16424</t>
        </is>
      </c>
      <c r="C868" s="13" t="inlineStr">
        <is>
          <t>SOLEADO 50 WG</t>
        </is>
      </c>
      <c r="D868" s="14" t="inlineStr">
        <is>
          <t>SOLEADO 50 WG</t>
        </is>
      </c>
      <c r="E868" s="13" t="inlineStr">
        <is>
          <t>Produto Formulado Comercial</t>
        </is>
      </c>
      <c r="F868" s="13" t="inlineStr">
        <is>
          <t>Defensivos</t>
        </is>
      </c>
      <c r="G868" s="13" t="inlineStr">
        <is>
          <t>Fungicida</t>
        </is>
      </c>
      <c r="H868" s="13" t="inlineStr">
        <is>
          <t>WG</t>
        </is>
      </c>
      <c r="I868" s="13" t="inlineStr">
        <is>
          <t>Grânulos Dispersíveis em Água (WG)</t>
        </is>
      </c>
      <c r="J868" s="13" t="inlineStr">
        <is>
          <t>Fungicida preventivo e curativo foliar</t>
        </is>
      </c>
      <c r="K868" s="13" t="inlineStr">
        <is>
          <t>Carboxamida ( Piridinacarboxamida)</t>
        </is>
      </c>
      <c r="L868" s="13" t="inlineStr">
        <is>
          <t>FRAC Grupo 7 (C2 — SDHI)</t>
        </is>
      </c>
      <c r="M868" s="13" t="inlineStr">
        <is>
          <t>Inibidores da enzima succinato desidrogenase (Complexo II respiratório)</t>
        </is>
      </c>
      <c r="N868" s="13" t="inlineStr">
        <is>
          <t>Categoria 4 — Produto Pouco Tóxico (Conforme Bula ANVISA)</t>
        </is>
      </c>
      <c r="O868" s="13" t="inlineStr">
        <is>
          <t>Azul PMS Blue 293 C</t>
        </is>
      </c>
      <c r="P868" s="13" t="inlineStr">
        <is>
          <t>Classe II — Produto Muito Perigoso ao Meio Ambiente</t>
        </is>
      </c>
      <c r="Q868" s="15" t="n">
        <v>24</v>
      </c>
      <c r="R868" s="13" t="inlineStr">
        <is>
          <t>Terrestre / Aérea (Drones consultar bula)</t>
        </is>
      </c>
      <c r="S868" s="13" t="inlineStr">
        <is>
          <t>Sem antídoto específico; tratamento sintomático</t>
        </is>
      </c>
      <c r="T868" s="13" t="inlineStr">
        <is>
          <t>Oxon Brasil Defensivos Agrícolas Ltda.- São Paulo/SP</t>
        </is>
      </c>
      <c r="U868" s="16">
        <f>HYPERLINK("https://www.agrolink.com.br/agrolinkfito/produto/soleado-50-wg_12660.html", "Bula Oficial Soleado 50 WG (Oxon - MAPA 16424)")</f>
        <v/>
      </c>
    </row>
    <row r="869" ht="22" customHeight="1">
      <c r="A869" s="5" t="n">
        <v>864</v>
      </c>
      <c r="B869" s="6" t="inlineStr">
        <is>
          <t>VINC-16424</t>
        </is>
      </c>
      <c r="C869" s="7" t="inlineStr">
        <is>
          <t>Boscalid Técnico Oxon</t>
        </is>
      </c>
      <c r="D869" s="8" t="inlineStr">
        <is>
          <t>Boscalid Técnico Oxon</t>
        </is>
      </c>
      <c r="E869" s="7" t="inlineStr">
        <is>
          <t>Produto Técnico Industrial</t>
        </is>
      </c>
      <c r="F869" s="7" t="inlineStr">
        <is>
          <t>Defensivos</t>
        </is>
      </c>
      <c r="G869" s="7" t="inlineStr">
        <is>
          <t>Produto Técnico (Fungicida) (Insumo Industrial / Técnico)</t>
        </is>
      </c>
      <c r="H869" s="7" t="inlineStr">
        <is>
          <t>TC</t>
        </is>
      </c>
      <c r="I869" s="7" t="inlineStr">
        <is>
          <t>Produto Técnico Industrial (TC)</t>
        </is>
      </c>
      <c r="J869" s="7" t="inlineStr">
        <is>
          <t>Fungicida preventivo e curativo foliar</t>
        </is>
      </c>
      <c r="K869" s="7" t="inlineStr">
        <is>
          <t>Carboxamida ( Piridinacarboxamida)</t>
        </is>
      </c>
      <c r="L869" s="7" t="inlineStr">
        <is>
          <t>FRAC Grupo 7 (C2 — SDHI)</t>
        </is>
      </c>
      <c r="M869" s="7" t="inlineStr">
        <is>
          <t>Inibidores da enzima succinato desidrogenase (Complexo II respiratório)</t>
        </is>
      </c>
      <c r="N869" s="7" t="inlineStr">
        <is>
          <t>Categoria 4 — Produto Pouco Tóxico (Conforme Bula ANVISA)</t>
        </is>
      </c>
      <c r="O869" s="7" t="inlineStr">
        <is>
          <t>Azul PMS Blue 293 C</t>
        </is>
      </c>
      <c r="P869" s="7" t="inlineStr">
        <is>
          <t>Classe II — Produto Muito Perigoso ao Meio Ambiente</t>
        </is>
      </c>
      <c r="Q869" s="9" t="n">
        <v>24</v>
      </c>
      <c r="R869" s="7" t="inlineStr">
        <is>
          <t>Terrestre / Aérea (Drones consultar bula)</t>
        </is>
      </c>
      <c r="S869" s="7" t="inlineStr">
        <is>
          <t>Sem antídoto específico; tratamento sintomático</t>
        </is>
      </c>
      <c r="T869" s="7" t="inlineStr">
        <is>
          <t>Taizhou Bailly Chemical Co. Ltd. - Endereço: n° 9, Zhonggang Road, Taixing Economic Developing Zone, 225404, Taixing City, Jiangsu Province - China (Vinc. Reg. 16424)</t>
        </is>
      </c>
      <c r="U869" s="10">
        <f>HYPERLINK("https://agrofit.agricultura.gov.br/agrofit_cons/principal_agrofit_cons", "Consulta Oficial AGROFIT/MAPA (VINC-16424)")</f>
        <v/>
      </c>
    </row>
    <row r="870" ht="22" customHeight="1">
      <c r="A870" s="11" t="n">
        <v>865</v>
      </c>
      <c r="B870" s="12" t="inlineStr">
        <is>
          <t>Nº 16524</t>
        </is>
      </c>
      <c r="C870" s="13" t="inlineStr">
        <is>
          <t>ALLURE BR</t>
        </is>
      </c>
      <c r="D870" s="14" t="inlineStr">
        <is>
          <t>ALLURE BR</t>
        </is>
      </c>
      <c r="E870" s="13" t="inlineStr">
        <is>
          <t>Produto Formulado Comercial</t>
        </is>
      </c>
      <c r="F870" s="13" t="inlineStr">
        <is>
          <t>Defensivos</t>
        </is>
      </c>
      <c r="G870" s="13" t="inlineStr">
        <is>
          <t>Herbicida</t>
        </is>
      </c>
      <c r="H870" s="13" t="inlineStr">
        <is>
          <t>WG</t>
        </is>
      </c>
      <c r="I870" s="13" t="inlineStr">
        <is>
          <t>Grânulos Dispersíveis em Água (WG)</t>
        </is>
      </c>
      <c r="J870" s="13" t="inlineStr">
        <is>
          <t>Herbicida seletivo sistêmico pré-emergente</t>
        </is>
      </c>
      <c r="K870" s="13" t="inlineStr">
        <is>
          <t>Ureia Substituída (Fenilureia) + Isoxazolidinona + Triazinona</t>
        </is>
      </c>
      <c r="L870" s="13" t="inlineStr">
        <is>
          <t>HRAC Grupo C2 (5) — Inibidores do Fotossistema II + HRAC Grupo F4 (13) — Inibidores da DOXP sintase + HRAC Grupo C1 (5) — Inibidores do Fotossistema II</t>
        </is>
      </c>
      <c r="M870" s="13" t="inlineStr">
        <is>
          <t>Inibição do transporte de elétrons no Fotossistema II; Inibição da biossíntese de carotenoides (via DOXP sintase)</t>
        </is>
      </c>
      <c r="N870" s="13" t="inlineStr">
        <is>
          <t>Categoria 4 — Produto Pouco Tóxico</t>
        </is>
      </c>
      <c r="O870" s="13" t="inlineStr">
        <is>
          <t>Azul PMS Blue 293 C</t>
        </is>
      </c>
      <c r="P870" s="13" t="inlineStr">
        <is>
          <t>Classe II — Produto Muito Perigoso ao Meio Ambiente</t>
        </is>
      </c>
      <c r="Q870" s="15" t="n">
        <v>24</v>
      </c>
      <c r="R870" s="13" t="inlineStr">
        <is>
          <t>Terrestre / Aérea (Drones consultar bula)</t>
        </is>
      </c>
      <c r="S870" s="13" t="inlineStr">
        <is>
          <t>Sem antídoto específico; tratamento sintomático</t>
        </is>
      </c>
      <c r="T870" s="13" t="inlineStr">
        <is>
          <t>Adama Brasil S/A- Londina/PR</t>
        </is>
      </c>
      <c r="U870" s="16">
        <f>HYPERLINK("https://www.adapar.pr.gov.br/Pagina/Agrotoxicos-Herbicidas", "Registro Oficial Allure BR (Adama - MAPA 16524)")</f>
        <v/>
      </c>
    </row>
    <row r="871" ht="22" customHeight="1">
      <c r="A871" s="5" t="n">
        <v>866</v>
      </c>
      <c r="B871" s="6" t="inlineStr">
        <is>
          <t>VINC-16524</t>
        </is>
      </c>
      <c r="C871" s="7" t="inlineStr">
        <is>
          <t>Clomazone Técnico Milenia</t>
        </is>
      </c>
      <c r="D871" s="8" t="inlineStr">
        <is>
          <t>Clomazone Técnico Milenia</t>
        </is>
      </c>
      <c r="E871" s="7" t="inlineStr">
        <is>
          <t>Produto Técnico Industrial</t>
        </is>
      </c>
      <c r="F871" s="7" t="inlineStr">
        <is>
          <t>Defensivos</t>
        </is>
      </c>
      <c r="G871" s="7" t="inlineStr">
        <is>
          <t>Produto Técnico (Herbicida) (Insumo Industrial / Técnico)</t>
        </is>
      </c>
      <c r="H871" s="7" t="inlineStr">
        <is>
          <t>TC</t>
        </is>
      </c>
      <c r="I871" s="7" t="inlineStr">
        <is>
          <t>Produto Técnico Industrial (TC)</t>
        </is>
      </c>
      <c r="J871" s="7" t="inlineStr">
        <is>
          <t>Herbicida seletivo sistêmico pré-emergente</t>
        </is>
      </c>
      <c r="K871" s="7" t="inlineStr">
        <is>
          <t>Isoxazolidinona</t>
        </is>
      </c>
      <c r="L871" s="7" t="inlineStr">
        <is>
          <t>HRAC Grupo F4 (13) — Inibidores da DOXP sintase</t>
        </is>
      </c>
      <c r="M871" s="7" t="inlineStr">
        <is>
          <t>Inibição da biossíntese de carotenoides (via DOXP sintase)</t>
        </is>
      </c>
      <c r="N871" s="7" t="inlineStr">
        <is>
          <t>Categoria 4 — Produto Pouco Tóxico</t>
        </is>
      </c>
      <c r="O871" s="7" t="inlineStr">
        <is>
          <t>Azul PMS Blue 293 C</t>
        </is>
      </c>
      <c r="P871" s="7" t="inlineStr">
        <is>
          <t>Classe II — Produto Muito Perigoso ao Meio Ambiente</t>
        </is>
      </c>
      <c r="Q871" s="9" t="n">
        <v>24</v>
      </c>
      <c r="R871" s="7" t="inlineStr">
        <is>
          <t>Terrestre / Aérea (Drones consultar bula)</t>
        </is>
      </c>
      <c r="S871" s="7" t="inlineStr">
        <is>
          <t>Sem antídoto específico; tratamento sintomático</t>
        </is>
      </c>
      <c r="T871" s="7" t="inlineStr">
        <is>
          <t>Adama Agan Ltd. - Endereço: Haashlag Street 3, Northern Industrial Zone, P.O. Box 262, 77102, Ashdod, Israel. Produto Técnico(Clomazone Técnico Adama): Nome: Jiangsu Changqing Agrochemical Co., Ltd. - Endereço: Nº 8 Sanjiang Road, Jiangdu Economy Development Zone, Yangzhou City, Jiangsu, China. Produto Técnico(Clomazona Técnico Oxon): Nome: Sipcam Oxon S.P.A. - Endereço: Strada Provinciale per Torre Beretti, Km 2,6 -Mezzana Bigli (PV) - Provincia di Pavia - 27030 - Itália. Produto Técnico(Clomazone Técnico Oxon): Nome: Shandong Cynda Chemical Co. Ltd. - Endereço: Economic Development Area - Boxing - China (Vinc. Reg. 16524)</t>
        </is>
      </c>
      <c r="U871" s="10">
        <f>HYPERLINK("https://agrofit.agricultura.gov.br/agrofit_cons/principal_agrofit_cons", "Consulta Oficial AGROFIT/MAPA (VINC-16524)")</f>
        <v/>
      </c>
    </row>
    <row r="872" ht="22" customHeight="1">
      <c r="A872" s="11" t="n">
        <v>867</v>
      </c>
      <c r="B872" s="12" t="inlineStr">
        <is>
          <t>VINC-16524</t>
        </is>
      </c>
      <c r="C872" s="13" t="inlineStr">
        <is>
          <t>Diuron Técnico 970 BR</t>
        </is>
      </c>
      <c r="D872" s="14" t="inlineStr">
        <is>
          <t>Diuron Técnico 970 BR</t>
        </is>
      </c>
      <c r="E872" s="13" t="inlineStr">
        <is>
          <t>Produto Técnico Industrial</t>
        </is>
      </c>
      <c r="F872" s="13" t="inlineStr">
        <is>
          <t>Defensivos</t>
        </is>
      </c>
      <c r="G872" s="13" t="inlineStr">
        <is>
          <t>Produto Técnico (Herbicida) (Insumo Industrial / Técnico)</t>
        </is>
      </c>
      <c r="H872" s="13" t="inlineStr">
        <is>
          <t>TC</t>
        </is>
      </c>
      <c r="I872" s="13" t="inlineStr">
        <is>
          <t>Produto Técnico Industrial (TC)</t>
        </is>
      </c>
      <c r="J872" s="13" t="inlineStr">
        <is>
          <t>Herbicida seletivo sistêmico pré-emergente</t>
        </is>
      </c>
      <c r="K872" s="13" t="inlineStr">
        <is>
          <t>Ureia Substituída (Fenilureia)</t>
        </is>
      </c>
      <c r="L872" s="13" t="inlineStr">
        <is>
          <t>HRAC Grupo C2 (5) — Inibidores do Fotossistema II</t>
        </is>
      </c>
      <c r="M872" s="13" t="inlineStr">
        <is>
          <t>Inibição do transporte de elétrons no Fotossistema II (sítio Serina 264)</t>
        </is>
      </c>
      <c r="N872" s="13" t="inlineStr">
        <is>
          <t>Categoria 4 — Produto Pouco Tóxico</t>
        </is>
      </c>
      <c r="O872" s="13" t="inlineStr">
        <is>
          <t>Azul PMS Blue 293 C</t>
        </is>
      </c>
      <c r="P872" s="13" t="inlineStr">
        <is>
          <t>Classe II — Produto Muito Perigoso ao Meio Ambiente</t>
        </is>
      </c>
      <c r="Q872" s="15" t="n">
        <v>24</v>
      </c>
      <c r="R872" s="13" t="inlineStr">
        <is>
          <t>Terrestre / Aérea (Drones consultar bula)</t>
        </is>
      </c>
      <c r="S872" s="13" t="inlineStr">
        <is>
          <t>Sem antídoto específico; tratamento sintomático</t>
        </is>
      </c>
      <c r="T872" s="13" t="inlineStr">
        <is>
          <t>Adama Brasil S/A - CNPJ: 02.290.510/0001-76 - Endereço: Rua Pedro Antônio de Souza, 400, Parque Rui Barbosa, Londrina/PR - CEP: 86031-610 (Vinc. Reg. 16524)</t>
        </is>
      </c>
      <c r="U872" s="16">
        <f>HYPERLINK("https://agrofit.agricultura.gov.br/agrofit_cons/principal_agrofit_cons", "Consulta Oficial AGROFIT/MAPA (VINC-16524)")</f>
        <v/>
      </c>
    </row>
    <row r="873" ht="22" customHeight="1">
      <c r="A873" s="5" t="n">
        <v>868</v>
      </c>
      <c r="B873" s="6" t="inlineStr">
        <is>
          <t>VINC-16524</t>
        </is>
      </c>
      <c r="C873" s="7" t="inlineStr">
        <is>
          <t>Hexazinona Técnico Milenia</t>
        </is>
      </c>
      <c r="D873" s="8" t="inlineStr">
        <is>
          <t>Hexazinona Técnico Milenia</t>
        </is>
      </c>
      <c r="E873" s="7" t="inlineStr">
        <is>
          <t>Produto Técnico Industrial</t>
        </is>
      </c>
      <c r="F873" s="7" t="inlineStr">
        <is>
          <t>Defensivos</t>
        </is>
      </c>
      <c r="G873" s="7" t="inlineStr">
        <is>
          <t>Produto Técnico (Herbicida) (Insumo Industrial / Técnico)</t>
        </is>
      </c>
      <c r="H873" s="7" t="inlineStr">
        <is>
          <t>TC</t>
        </is>
      </c>
      <c r="I873" s="7" t="inlineStr">
        <is>
          <t>Produto Técnico Industrial (TC)</t>
        </is>
      </c>
      <c r="J873" s="7" t="inlineStr">
        <is>
          <t>Herbicida seletivo sistêmico pré-emergente</t>
        </is>
      </c>
      <c r="K873" s="7" t="inlineStr">
        <is>
          <t>Triazinona</t>
        </is>
      </c>
      <c r="L873" s="7" t="inlineStr">
        <is>
          <t>HRAC Grupo C1 (5) — Inibidores do Fotossistema II</t>
        </is>
      </c>
      <c r="M873" s="7" t="inlineStr">
        <is>
          <t>Inibição do transporte de elétrons no Fotossistema II</t>
        </is>
      </c>
      <c r="N873" s="7" t="inlineStr">
        <is>
          <t>Categoria 4 — Produto Pouco Tóxico</t>
        </is>
      </c>
      <c r="O873" s="7" t="inlineStr">
        <is>
          <t>Azul PMS Blue 293 C</t>
        </is>
      </c>
      <c r="P873" s="7" t="inlineStr">
        <is>
          <t>Classe II — Produto Muito Perigoso ao Meio Ambiente</t>
        </is>
      </c>
      <c r="Q873" s="9" t="n">
        <v>24</v>
      </c>
      <c r="R873" s="7" t="inlineStr">
        <is>
          <t>Terrestre / Aérea (Drones consultar bula)</t>
        </is>
      </c>
      <c r="S873" s="7" t="inlineStr">
        <is>
          <t>Sem antídoto específico; tratamento sintomático</t>
        </is>
      </c>
      <c r="T873" s="7" t="inlineStr">
        <is>
          <t>Adama Brasil S/A - CNPJ: 02.290.510/0004-19 - Endereço: Avenida Júlio de Castilhos, 2085, Coqueiros, Taquari/RS - CEP: 95860-000 (Vinc. Reg. 16524)</t>
        </is>
      </c>
      <c r="U873" s="10">
        <f>HYPERLINK("https://agrofit.agricultura.gov.br/agrofit_cons/principal_agrofit_cons", "Consulta Oficial AGROFIT/MAPA (VINC-16524)")</f>
        <v/>
      </c>
    </row>
    <row r="874" ht="22" customHeight="1">
      <c r="A874" s="11" t="n">
        <v>869</v>
      </c>
      <c r="B874" s="12" t="inlineStr">
        <is>
          <t>VINC-16524</t>
        </is>
      </c>
      <c r="C874" s="13" t="inlineStr">
        <is>
          <t>Hexazinona Técnico Milenia BR</t>
        </is>
      </c>
      <c r="D874" s="14" t="inlineStr">
        <is>
          <t>Hexazinona Técnico Milenia BR</t>
        </is>
      </c>
      <c r="E874" s="13" t="inlineStr">
        <is>
          <t>Produto Técnico Industrial</t>
        </is>
      </c>
      <c r="F874" s="13" t="inlineStr">
        <is>
          <t>Defensivos</t>
        </is>
      </c>
      <c r="G874" s="13" t="inlineStr">
        <is>
          <t>Produto Técnico (Herbicida) (Insumo Industrial / Técnico)</t>
        </is>
      </c>
      <c r="H874" s="13" t="inlineStr">
        <is>
          <t>TC</t>
        </is>
      </c>
      <c r="I874" s="13" t="inlineStr">
        <is>
          <t>Produto Técnico Industrial (TC)</t>
        </is>
      </c>
      <c r="J874" s="13" t="inlineStr">
        <is>
          <t>Herbicida seletivo sistêmico pré-emergente</t>
        </is>
      </c>
      <c r="K874" s="13" t="inlineStr">
        <is>
          <t>Triazinona</t>
        </is>
      </c>
      <c r="L874" s="13" t="inlineStr">
        <is>
          <t>HRAC Grupo C1 (5) — Inibidores do Fotossistema II</t>
        </is>
      </c>
      <c r="M874" s="13" t="inlineStr">
        <is>
          <t>Inibição do transporte de elétrons no Fotossistema II</t>
        </is>
      </c>
      <c r="N874" s="13" t="inlineStr">
        <is>
          <t>Categoria 4 — Produto Pouco Tóxico</t>
        </is>
      </c>
      <c r="O874" s="13" t="inlineStr">
        <is>
          <t>Azul PMS Blue 293 C</t>
        </is>
      </c>
      <c r="P874" s="13" t="inlineStr">
        <is>
          <t>Classe II — Produto Muito Perigoso ao Meio Ambiente</t>
        </is>
      </c>
      <c r="Q874" s="15" t="n">
        <v>24</v>
      </c>
      <c r="R874" s="13" t="inlineStr">
        <is>
          <t>Terrestre / Aérea (Drones consultar bula)</t>
        </is>
      </c>
      <c r="S874" s="13" t="inlineStr">
        <is>
          <t>Sem antídoto específico; tratamento sintomático</t>
        </is>
      </c>
      <c r="T874" s="13" t="inlineStr">
        <is>
          <t>Shangyu Nutrichem Co., Ltd. - Endereço: Nº 9, Weijiu Rd., Hangzhou Bay Shangyu Economic and Technological Development Area, Zhejiang, 312369, China. Produto Técnico(Hexazinona Técnico Adama): Nome: Jiangsu Lanfeng Biochemical Co., Ltd. - Planta 1 - Endereço: Nº 120 Xin´an Road, 221400, Xinyi City- Jiangsu Province, China (Vinc. Reg. 16524)</t>
        </is>
      </c>
      <c r="U874" s="16">
        <f>HYPERLINK("https://agrofit.agricultura.gov.br/agrofit_cons/principal_agrofit_cons", "Consulta Oficial AGROFIT/MAPA (VINC-16524)")</f>
        <v/>
      </c>
    </row>
    <row r="875" ht="22" customHeight="1">
      <c r="A875" s="5" t="n">
        <v>870</v>
      </c>
      <c r="B875" s="6" t="inlineStr">
        <is>
          <t>VINC-16524</t>
        </is>
      </c>
      <c r="C875" s="7" t="inlineStr">
        <is>
          <t>Hexazinona Técnico Adama BR</t>
        </is>
      </c>
      <c r="D875" s="8" t="inlineStr">
        <is>
          <t>Hexazinona Técnico Adama BR</t>
        </is>
      </c>
      <c r="E875" s="7" t="inlineStr">
        <is>
          <t>Produto Técnico Industrial</t>
        </is>
      </c>
      <c r="F875" s="7" t="inlineStr">
        <is>
          <t>Defensivos</t>
        </is>
      </c>
      <c r="G875" s="7" t="inlineStr">
        <is>
          <t>Produto Técnico (Herbicida) (Insumo Industrial / Técnico)</t>
        </is>
      </c>
      <c r="H875" s="7" t="inlineStr">
        <is>
          <t>TC</t>
        </is>
      </c>
      <c r="I875" s="7" t="inlineStr">
        <is>
          <t>Produto Técnico Industrial (TC)</t>
        </is>
      </c>
      <c r="J875" s="7" t="inlineStr">
        <is>
          <t>Herbicida seletivo sistêmico pré-emergente</t>
        </is>
      </c>
      <c r="K875" s="7" t="inlineStr">
        <is>
          <t>Triazinona</t>
        </is>
      </c>
      <c r="L875" s="7" t="inlineStr">
        <is>
          <t>HRAC Grupo C1 (5) — Inibidores do Fotossistema II</t>
        </is>
      </c>
      <c r="M875" s="7" t="inlineStr">
        <is>
          <t>Inibição do transporte de elétrons no Fotossistema II</t>
        </is>
      </c>
      <c r="N875" s="7" t="inlineStr">
        <is>
          <t>Categoria 4 — Produto Pouco Tóxico</t>
        </is>
      </c>
      <c r="O875" s="7" t="inlineStr">
        <is>
          <t>Azul PMS Blue 293 C</t>
        </is>
      </c>
      <c r="P875" s="7" t="inlineStr">
        <is>
          <t>Classe II — Produto Muito Perigoso ao Meio Ambiente</t>
        </is>
      </c>
      <c r="Q875" s="9" t="n">
        <v>24</v>
      </c>
      <c r="R875" s="7" t="inlineStr">
        <is>
          <t>Terrestre / Aérea (Drones consultar bula)</t>
        </is>
      </c>
      <c r="S875" s="7" t="inlineStr">
        <is>
          <t>Sem antídoto específico; tratamento sintomático</t>
        </is>
      </c>
      <c r="T875" s="7" t="inlineStr">
        <is>
          <t>Jiangsu Corechem Co. Ltd. - Endereço: 18, Shilian Avenue, Huaian City, 223000, Jiangsu Province, China (Vinc. Reg. 16524)</t>
        </is>
      </c>
      <c r="U875" s="10">
        <f>HYPERLINK("https://agrofit.agricultura.gov.br/agrofit_cons/principal_agrofit_cons", "Consulta Oficial AGROFIT/MAPA (VINC-16524)")</f>
        <v/>
      </c>
    </row>
    <row r="876" ht="22" customHeight="1">
      <c r="A876" s="11" t="n">
        <v>871</v>
      </c>
      <c r="B876" s="12" t="inlineStr">
        <is>
          <t>Nº 16624</t>
        </is>
      </c>
      <c r="C876" s="13" t="inlineStr">
        <is>
          <t>TIOFANIL SNB</t>
        </is>
      </c>
      <c r="D876" s="14" t="inlineStr">
        <is>
          <t>TIOFANIL SNB</t>
        </is>
      </c>
      <c r="E876" s="13" t="inlineStr">
        <is>
          <t>Produto Formulado Comercial</t>
        </is>
      </c>
      <c r="F876" s="13" t="inlineStr">
        <is>
          <t>Defensivos</t>
        </is>
      </c>
      <c r="G876" s="13" t="inlineStr">
        <is>
          <t>Fungicida</t>
        </is>
      </c>
      <c r="H876" s="13" t="inlineStr">
        <is>
          <t>FS</t>
        </is>
      </c>
      <c r="I876" s="13" t="inlineStr">
        <is>
          <t>Suspensão Concentrada para Tratamento de Sementes (FS)</t>
        </is>
      </c>
      <c r="J876" s="13" t="inlineStr">
        <is>
          <t>Fungicida protetor de contato multissítio (manejo anti-resistência)</t>
        </is>
      </c>
      <c r="K876" s="13" t="inlineStr">
        <is>
          <t>Isoftalonitrila + Benzimidazol (Precursor de MBC)</t>
        </is>
      </c>
      <c r="L876" s="13" t="inlineStr">
        <is>
          <t>FRAC Grupo M05 — Multissítio + FRAC Grupo 1 (B1 — MBC)</t>
        </is>
      </c>
      <c r="M876" s="13" t="inlineStr">
        <is>
          <t>Atividade de contato multissítio (inativação de grupos tiol enzimáticos); Inibição da montagem da beta-tubulina durante a mitose celular fúngica</t>
        </is>
      </c>
      <c r="N876" s="13" t="inlineStr">
        <is>
          <t>Categoria 2 / 3 — Altamente a Moderadamente Tóxico</t>
        </is>
      </c>
      <c r="O876" s="13" t="inlineStr">
        <is>
          <t>Vermelho / Amarelo</t>
        </is>
      </c>
      <c r="P876" s="13" t="inlineStr">
        <is>
          <t>Classe II — Produto Muito Perigoso ao Meio Ambiente</t>
        </is>
      </c>
      <c r="Q876" s="15" t="n">
        <v>24</v>
      </c>
      <c r="R876" s="13" t="inlineStr">
        <is>
          <t>Terrestre / Aérea (Drones consultar bula)</t>
        </is>
      </c>
      <c r="S876" s="13" t="inlineStr">
        <is>
          <t>Sem antídoto específico; tratamento sintomático e descontaminação ocular/cutânea</t>
        </is>
      </c>
      <c r="T876" s="13" t="inlineStr">
        <is>
          <t>Sipcam Nichino Brasil S.A. - Uberaba/MG</t>
        </is>
      </c>
      <c r="U876" s="16">
        <f>HYPERLINK("https://www.agrolink.com.br/agrolinkfito/produto/tiofanil-snb_12662.html", "Bula Oficial Tiofanil SNB (Sipcam/MAPA 16624)")</f>
        <v/>
      </c>
    </row>
    <row r="877" ht="22" customHeight="1">
      <c r="A877" s="5" t="n">
        <v>872</v>
      </c>
      <c r="B877" s="6" t="inlineStr">
        <is>
          <t>VINC-16624</t>
        </is>
      </c>
      <c r="C877" s="7" t="inlineStr">
        <is>
          <t>Clorotalonil Técnico Oxon</t>
        </is>
      </c>
      <c r="D877" s="8" t="inlineStr">
        <is>
          <t>Clorotalonil Técnico Oxon</t>
        </is>
      </c>
      <c r="E877" s="7" t="inlineStr">
        <is>
          <t>Produto Técnico Industrial</t>
        </is>
      </c>
      <c r="F877" s="7" t="inlineStr">
        <is>
          <t>Defensivos</t>
        </is>
      </c>
      <c r="G877" s="7" t="inlineStr">
        <is>
          <t>Produto Técnico (Fungicida) (Insumo Industrial / Técnico)</t>
        </is>
      </c>
      <c r="H877" s="7" t="inlineStr">
        <is>
          <t>TC</t>
        </is>
      </c>
      <c r="I877" s="7" t="inlineStr">
        <is>
          <t>Produto Técnico Industrial (TC)</t>
        </is>
      </c>
      <c r="J877" s="7" t="inlineStr">
        <is>
          <t>Fungicida protetor de contato multissítio (manejo anti-resistência)</t>
        </is>
      </c>
      <c r="K877" s="7" t="inlineStr">
        <is>
          <t>Isoftalonitrila</t>
        </is>
      </c>
      <c r="L877" s="7" t="inlineStr">
        <is>
          <t>FRAC Grupo M05 — Multissítio</t>
        </is>
      </c>
      <c r="M877" s="7" t="inlineStr">
        <is>
          <t>Atividade de contato multissítio (inativação de grupos tiol enzimáticos)</t>
        </is>
      </c>
      <c r="N877" s="7" t="inlineStr">
        <is>
          <t>Categoria 2 / 3 — Altamente a Moderadamente Tóxico</t>
        </is>
      </c>
      <c r="O877" s="7" t="inlineStr">
        <is>
          <t>Vermelho / Amarelo</t>
        </is>
      </c>
      <c r="P877" s="7" t="inlineStr">
        <is>
          <t>Classe II — Produto Muito Perigoso ao Meio Ambiente</t>
        </is>
      </c>
      <c r="Q877" s="9" t="n">
        <v>24</v>
      </c>
      <c r="R877" s="7" t="inlineStr">
        <is>
          <t>Terrestre / Aérea (Drones consultar bula)</t>
        </is>
      </c>
      <c r="S877" s="7" t="inlineStr">
        <is>
          <t>Sem antídoto específico; tratamento sintomático e descontaminação ocular/cutânea</t>
        </is>
      </c>
      <c r="T877" s="7" t="inlineStr">
        <is>
          <t>Jiangyin Suli Chemical Co. Ltd. - Endereço: N° 7, Runhua Road, Ligang Tovvn, Jiangyin City, Jiangsu Province, 214444, China. Produto Técnico(Thiophanate Methyl Técnico): Nome: Rallis India Ltd. - Endereço: Peenya Industrial Area, PoBox 5813 Bangalore, 560058, Índia (Vinc. Reg. 16624)</t>
        </is>
      </c>
      <c r="U877" s="10">
        <f>HYPERLINK("https://agrofit.agricultura.gov.br/agrofit_cons/principal_agrofit_cons", "Consulta Oficial AGROFIT/MAPA (VINC-16624)")</f>
        <v/>
      </c>
    </row>
    <row r="878" ht="22" customHeight="1">
      <c r="A878" s="11" t="n">
        <v>873</v>
      </c>
      <c r="B878" s="12" t="inlineStr">
        <is>
          <t>Nº 16724</t>
        </is>
      </c>
      <c r="C878" s="13" t="inlineStr">
        <is>
          <t>FLUAZINAM LOVELAND</t>
        </is>
      </c>
      <c r="D878" s="14" t="inlineStr">
        <is>
          <t>FLUAZINAM LOVELAND</t>
        </is>
      </c>
      <c r="E878" s="13" t="inlineStr">
        <is>
          <t>Produto Formulado Comercial</t>
        </is>
      </c>
      <c r="F878" s="13" t="inlineStr">
        <is>
          <t>Defensivos</t>
        </is>
      </c>
      <c r="G878" s="13" t="inlineStr">
        <is>
          <t>Fungicida</t>
        </is>
      </c>
      <c r="H878" s="13" t="inlineStr">
        <is>
          <t>SC</t>
        </is>
      </c>
      <c r="I878" s="13" t="inlineStr">
        <is>
          <t>Suspensão Concentrada (SC)</t>
        </is>
      </c>
      <c r="J878" s="13" t="inlineStr">
        <is>
          <t>Fungicida e acaricida de contato preventivo c/ baixa mobilidade</t>
        </is>
      </c>
      <c r="K878" s="13" t="inlineStr">
        <is>
          <t>Fenilpiridinamina (2,6-dinitroanilina)</t>
        </is>
      </c>
      <c r="L878" s="13" t="inlineStr">
        <is>
          <t>FRAC Grupo 29</t>
        </is>
      </c>
      <c r="M878" s="13" t="inlineStr">
        <is>
          <t>Desacopladores da fosforilação oxidativa mitocondrial</t>
        </is>
      </c>
      <c r="N878" s="13" t="inlineStr">
        <is>
          <t>Categoria 4 — Produto Pouco Tóxico</t>
        </is>
      </c>
      <c r="O878" s="13" t="inlineStr">
        <is>
          <t>Azul PMS Blue 293 C</t>
        </is>
      </c>
      <c r="P878" s="13" t="inlineStr">
        <is>
          <t>Classe II — Produto Muito Perigoso ao Meio Ambiente</t>
        </is>
      </c>
      <c r="Q878" s="15" t="n">
        <v>24</v>
      </c>
      <c r="R878" s="13" t="inlineStr">
        <is>
          <t>Terrestre / Aérea (Drones consultar bula)</t>
        </is>
      </c>
      <c r="S878" s="13" t="inlineStr">
        <is>
          <t>Sem antídoto específico; tratamento sintomático</t>
        </is>
      </c>
      <c r="T878" s="13" t="inlineStr">
        <is>
          <t>Nutrien Soluções Agrícolas Ltda.- São Paulo/SP</t>
        </is>
      </c>
      <c r="U878" s="16">
        <f>HYPERLINK("https://www.adapar.pr.gov.br/Pagina/Agrotoxicos-Fungicidas", "Registro Oficial Fluazinam Loveland 500 SC (Nutrien - MAPA 16724)")</f>
        <v/>
      </c>
    </row>
    <row r="879" ht="22" customHeight="1">
      <c r="A879" s="5" t="n">
        <v>874</v>
      </c>
      <c r="B879" s="6" t="inlineStr">
        <is>
          <t>VINC-16724</t>
        </is>
      </c>
      <c r="C879" s="7" t="inlineStr">
        <is>
          <t>Fluazinam Técnico Loveland</t>
        </is>
      </c>
      <c r="D879" s="8" t="inlineStr">
        <is>
          <t>Fluazinam Técnico Loveland</t>
        </is>
      </c>
      <c r="E879" s="7" t="inlineStr">
        <is>
          <t>Produto Técnico Industrial</t>
        </is>
      </c>
      <c r="F879" s="7" t="inlineStr">
        <is>
          <t>Defensivos</t>
        </is>
      </c>
      <c r="G879" s="7" t="inlineStr">
        <is>
          <t>Produto Técnico (Fungicida) (Insumo Industrial / Técnico)</t>
        </is>
      </c>
      <c r="H879" s="7" t="inlineStr">
        <is>
          <t>TC</t>
        </is>
      </c>
      <c r="I879" s="7" t="inlineStr">
        <is>
          <t>Produto Técnico Industrial (TC)</t>
        </is>
      </c>
      <c r="J879" s="7" t="inlineStr">
        <is>
          <t>Fungicida e acaricida de contato preventivo c/ baixa mobilidade</t>
        </is>
      </c>
      <c r="K879" s="7" t="inlineStr">
        <is>
          <t>Fenilpiridinamina (2,6-dinitroanilina)</t>
        </is>
      </c>
      <c r="L879" s="7" t="inlineStr">
        <is>
          <t>FRAC Grupo 29 (C5)</t>
        </is>
      </c>
      <c r="M879" s="7" t="inlineStr">
        <is>
          <t>Desacoplador da fosforilação oxidativa mitocondrial</t>
        </is>
      </c>
      <c r="N879" s="7" t="inlineStr">
        <is>
          <t>Categoria 4 — Produto Pouco Tóxico</t>
        </is>
      </c>
      <c r="O879" s="7" t="inlineStr">
        <is>
          <t>Azul PMS Blue 293 C</t>
        </is>
      </c>
      <c r="P879" s="7" t="inlineStr">
        <is>
          <t>Classe II — Produto Muito Perigoso ao Meio Ambiente</t>
        </is>
      </c>
      <c r="Q879" s="9" t="n">
        <v>24</v>
      </c>
      <c r="R879" s="7" t="inlineStr">
        <is>
          <t>Terrestre / Aérea (Drones consultar bula)</t>
        </is>
      </c>
      <c r="S879" s="7" t="inlineStr">
        <is>
          <t>Sem antídoto específico; tratamento sintomático</t>
        </is>
      </c>
      <c r="T879" s="7" t="inlineStr">
        <is>
          <t>Jiangsu Corechem Co. Ltd. - Endereço: 18, Shilian Avenue - Huaian City, Jiangsu, China (Vinc. Reg. 16724)</t>
        </is>
      </c>
      <c r="U879" s="10">
        <f>HYPERLINK("https://agrofit.agricultura.gov.br/agrofit_cons/principal_agrofit_cons", "Consulta Oficial AGROFIT/MAPA (VINC-16724)")</f>
        <v/>
      </c>
    </row>
    <row r="880" ht="22" customHeight="1">
      <c r="A880" s="11" t="n">
        <v>875</v>
      </c>
      <c r="B880" s="12" t="inlineStr">
        <is>
          <t>Nº 16824</t>
        </is>
      </c>
      <c r="C880" s="13" t="inlineStr">
        <is>
          <t>TROIA 750 WG</t>
        </is>
      </c>
      <c r="D880" s="14" t="inlineStr">
        <is>
          <t>TROIA 750 WG</t>
        </is>
      </c>
      <c r="E880" s="13" t="inlineStr">
        <is>
          <t>Produto Formulado Comercial</t>
        </is>
      </c>
      <c r="F880" s="13" t="inlineStr">
        <is>
          <t>Defensivos</t>
        </is>
      </c>
      <c r="G880" s="13" t="inlineStr">
        <is>
          <t>Fungicida</t>
        </is>
      </c>
      <c r="H880" s="13" t="inlineStr">
        <is>
          <t>WG</t>
        </is>
      </c>
      <c r="I880" s="13" t="inlineStr">
        <is>
          <t>Grânulos Dispersíveis em Água (WG)</t>
        </is>
      </c>
      <c r="J880" s="13" t="inlineStr">
        <is>
          <t>Fungicida e acaricida protetor de contato multissítio</t>
        </is>
      </c>
      <c r="K880" s="13" t="inlineStr">
        <is>
          <t>Alquilenobis(ditiocarbamato)</t>
        </is>
      </c>
      <c r="L880" s="13" t="inlineStr">
        <is>
          <t>FRAC Grupo M03 — Multissítio</t>
        </is>
      </c>
      <c r="M880" s="13" t="inlineStr">
        <is>
          <t>Inativação multissítio de grupos sulfidrila de aminoácidos e enzimas fúngicas</t>
        </is>
      </c>
      <c r="N880" s="13" t="inlineStr">
        <is>
          <t>Categoria 4 / 5 — Pouco Tóxico a Improvável Dano Agudo</t>
        </is>
      </c>
      <c r="O880" s="13" t="inlineStr">
        <is>
          <t>Azul Intenso</t>
        </is>
      </c>
      <c r="P880" s="13" t="inlineStr">
        <is>
          <t>Classe II — Produto Muito Perigoso ao Meio Ambiente</t>
        </is>
      </c>
      <c r="Q880" s="15" t="n">
        <v>24</v>
      </c>
      <c r="R880" s="13" t="inlineStr">
        <is>
          <t>Terrestre / Aérea (Drones consultar bula)</t>
        </is>
      </c>
      <c r="S880" s="13" t="inlineStr">
        <is>
          <t>Sem antídoto específico; evitar consumo de álcool (efeito antabuse por ETU)</t>
        </is>
      </c>
      <c r="T880" s="13" t="inlineStr">
        <is>
          <t>Sumitomo Chemical Brasil Indústria Química S.A.- Maracanaú/CE</t>
        </is>
      </c>
      <c r="U880" s="16">
        <f>HYPERLINK("https://revistacultivar.com.br/pesticida/troia-750-wg", "Bula Oficial Troia 750 WG (Sumitomo/MAPA 16824)")</f>
        <v/>
      </c>
    </row>
    <row r="881" ht="22" customHeight="1">
      <c r="A881" s="5" t="n">
        <v>876</v>
      </c>
      <c r="B881" s="6" t="inlineStr">
        <is>
          <t>VINC-16824</t>
        </is>
      </c>
      <c r="C881" s="7" t="inlineStr">
        <is>
          <t>Mancozeb Técnico Sumitomo</t>
        </is>
      </c>
      <c r="D881" s="8" t="inlineStr">
        <is>
          <t>Mancozeb Técnico Sumitomo</t>
        </is>
      </c>
      <c r="E881" s="7" t="inlineStr">
        <is>
          <t>Produto Técnico Industrial</t>
        </is>
      </c>
      <c r="F881" s="7" t="inlineStr">
        <is>
          <t>Defensivos</t>
        </is>
      </c>
      <c r="G881" s="7" t="inlineStr">
        <is>
          <t>Produto Técnico (Fungicida) (Insumo Industrial / Técnico)</t>
        </is>
      </c>
      <c r="H881" s="7" t="inlineStr">
        <is>
          <t>TC</t>
        </is>
      </c>
      <c r="I881" s="7" t="inlineStr">
        <is>
          <t>Produto Técnico Industrial (TC)</t>
        </is>
      </c>
      <c r="J881" s="7" t="inlineStr">
        <is>
          <t>Fungicida e acaricida protetor de contato multissítio</t>
        </is>
      </c>
      <c r="K881" s="7" t="inlineStr">
        <is>
          <t>Alquilenobis(ditiocarbamato)</t>
        </is>
      </c>
      <c r="L881" s="7" t="inlineStr">
        <is>
          <t>FRAC Grupo M03 — Multissítio</t>
        </is>
      </c>
      <c r="M881" s="7" t="inlineStr">
        <is>
          <t>Inativação multissítio de grupos sulfidrila de aminoácidos e enzimas fúngicas</t>
        </is>
      </c>
      <c r="N881" s="7" t="inlineStr">
        <is>
          <t>Categoria 4 / 5 — Pouco Tóxico a Improvável Dano Agudo</t>
        </is>
      </c>
      <c r="O881" s="7" t="inlineStr">
        <is>
          <t>Azul Intenso</t>
        </is>
      </c>
      <c r="P881" s="7" t="inlineStr">
        <is>
          <t>Classe II — Produto Muito Perigoso ao Meio Ambiente</t>
        </is>
      </c>
      <c r="Q881" s="9" t="n">
        <v>24</v>
      </c>
      <c r="R881" s="7" t="inlineStr">
        <is>
          <t>Terrestre / Aérea (Drones consultar bula)</t>
        </is>
      </c>
      <c r="S881" s="7" t="inlineStr">
        <is>
          <t>Sem antídoto específico; evitar consumo de álcool (efeito antabuse por ETU)</t>
        </is>
      </c>
      <c r="T881" s="7" t="inlineStr">
        <is>
          <t>UPL Limited - Endereço: Plot No. 750, G.I.D.C., Jhagadia, Dist. Bharuch, Gujarat, 393110 - India. Produto Técnico(Mancozeb Técnico Indofil): Nome: Indofil Industries Limited - Endereço: Azad Nagar, Sandoz Baug P.O., Off Ghodbander Road, Near Chitalsar, Manpada, Thane - 400607 - Índia (Vinc. Reg. 16824)</t>
        </is>
      </c>
      <c r="U881" s="10">
        <f>HYPERLINK("https://agrofit.agricultura.gov.br/agrofit_cons/principal_agrofit_cons", "Consulta Oficial AGROFIT/MAPA (VINC-16824)")</f>
        <v/>
      </c>
    </row>
    <row r="882" ht="22" customHeight="1">
      <c r="A882" s="11" t="n">
        <v>877</v>
      </c>
      <c r="B882" s="12" t="inlineStr">
        <is>
          <t>Nº 16924</t>
        </is>
      </c>
      <c r="C882" s="13" t="inlineStr">
        <is>
          <t>PRIMEPLUS 125 SC</t>
        </is>
      </c>
      <c r="D882" s="14" t="inlineStr">
        <is>
          <t>PRIMEPLUS</t>
        </is>
      </c>
      <c r="E882" s="13" t="inlineStr">
        <is>
          <t>Produto Formulado Comercial</t>
        </is>
      </c>
      <c r="F882" s="13" t="inlineStr">
        <is>
          <t>Defensivos</t>
        </is>
      </c>
      <c r="G882" s="13" t="inlineStr">
        <is>
          <t>Regulador de Crescimento</t>
        </is>
      </c>
      <c r="H882" s="13" t="inlineStr">
        <is>
          <t>SC</t>
        </is>
      </c>
      <c r="I882" s="13" t="inlineStr">
        <is>
          <t>Suspensão Concentrada (SC)</t>
        </is>
      </c>
      <c r="J882" s="13" t="inlineStr">
        <is>
          <t>Inseticida/acaricida de contato e ingestão</t>
        </is>
      </c>
      <c r="K882" s="13" t="inlineStr">
        <is>
          <t>Dinitroanilina (Antibrotante)</t>
        </is>
      </c>
      <c r="L882" s="13" t="inlineStr">
        <is>
          <t>Regulador de Crescimento Vegetal / HRAC Grupo K1 (3)</t>
        </is>
      </c>
      <c r="M882" s="13" t="inlineStr">
        <is>
          <t>Inibição da polimerização de microtúbulos e divisão celular meristemática (antibrotante)</t>
        </is>
      </c>
      <c r="N882" s="13" t="inlineStr">
        <is>
          <t>Categoria 3 / 4 — Moderadamente a Pouco Tóxico</t>
        </is>
      </c>
      <c r="O882" s="13" t="inlineStr">
        <is>
          <t>Amarelo / Azul</t>
        </is>
      </c>
      <c r="P882" s="13" t="inlineStr">
        <is>
          <t>Classe II — Produto Muito Perigoso ao Meio Ambiente</t>
        </is>
      </c>
      <c r="Q882" s="15" t="n">
        <v>24</v>
      </c>
      <c r="R882" s="13" t="inlineStr">
        <is>
          <t>Terrestre / Aérea (Drones consultar bula)</t>
        </is>
      </c>
      <c r="S882" s="13" t="inlineStr">
        <is>
          <t>Tratamento sintomático conforme grupo químico na bula</t>
        </is>
      </c>
      <c r="T882" s="13" t="inlineStr">
        <is>
          <t>Syngenta Proteção de Cultivo Ltda.- São Paulo/SP</t>
        </is>
      </c>
      <c r="U882" s="16">
        <f>HYPERLINK("https://www.agrolink.com.br/agrolinkfito/produto/primeplus-125-sc_12665.html", "Bula Oficial Primeplus 125 SC (Syngenta/MAPA 16924)")</f>
        <v/>
      </c>
    </row>
    <row r="883" ht="22" customHeight="1">
      <c r="A883" s="5" t="n">
        <v>878</v>
      </c>
      <c r="B883" s="6" t="inlineStr">
        <is>
          <t>VINC-16924</t>
        </is>
      </c>
      <c r="C883" s="7" t="inlineStr">
        <is>
          <t>Flumetralin Técnico Syngenta</t>
        </is>
      </c>
      <c r="D883" s="8" t="inlineStr">
        <is>
          <t>Flumetralin Técnico Syngenta</t>
        </is>
      </c>
      <c r="E883" s="7" t="inlineStr">
        <is>
          <t>Produto Técnico Industrial</t>
        </is>
      </c>
      <c r="F883" s="7" t="inlineStr">
        <is>
          <t>Defensivos</t>
        </is>
      </c>
      <c r="G883" s="7" t="inlineStr">
        <is>
          <t>Produto Técnico (Regulador De Crescimento) (Insumo Industrial / Técnico)</t>
        </is>
      </c>
      <c r="H883" s="7" t="inlineStr">
        <is>
          <t>TC</t>
        </is>
      </c>
      <c r="I883" s="7" t="inlineStr">
        <is>
          <t>Produto Técnico Industrial (TC)</t>
        </is>
      </c>
      <c r="J883" s="7" t="inlineStr">
        <is>
          <t>Inseticida/acaricida de contato e ingestão</t>
        </is>
      </c>
      <c r="K883" s="7" t="inlineStr">
        <is>
          <t>Dinitroanilina (Antibrotante)</t>
        </is>
      </c>
      <c r="L883" s="7" t="inlineStr">
        <is>
          <t>Regulador de Crescimento Vegetal / HRAC Grupo K1 (3)</t>
        </is>
      </c>
      <c r="M883" s="7" t="inlineStr">
        <is>
          <t>Inibição da polimerização de microtúbulos e divisão celular meristemática</t>
        </is>
      </c>
      <c r="N883" s="7" t="inlineStr">
        <is>
          <t>Categoria 3 / 4 — Moderadamente a Pouco Tóxico</t>
        </is>
      </c>
      <c r="O883" s="7" t="inlineStr">
        <is>
          <t>Amarelo / Azul</t>
        </is>
      </c>
      <c r="P883" s="7" t="inlineStr">
        <is>
          <t>Classe II — Produto Muito Perigoso ao Meio Ambiente</t>
        </is>
      </c>
      <c r="Q883" s="9" t="n">
        <v>24</v>
      </c>
      <c r="R883" s="7" t="inlineStr">
        <is>
          <t>Terrestre / Aérea (Drones consultar bula)</t>
        </is>
      </c>
      <c r="S883" s="7" t="inlineStr">
        <is>
          <t>Tratamento sintomático conforme grupo químico na bula</t>
        </is>
      </c>
      <c r="T883" s="7" t="inlineStr">
        <is>
          <t>Chemdesing Corporation - Endereço: 99 Development Road, Fitchburg, MA, 01420 - EUA (Vinc. Reg. 16924)</t>
        </is>
      </c>
      <c r="U883" s="10">
        <f>HYPERLINK("https://agrofit.agricultura.gov.br/agrofit_cons/principal_agrofit_cons", "Consulta Oficial AGROFIT/MAPA (VINC-16924)")</f>
        <v/>
      </c>
    </row>
    <row r="884" ht="22" customHeight="1">
      <c r="A884" s="11" t="n">
        <v>879</v>
      </c>
      <c r="B884" s="12" t="inlineStr">
        <is>
          <t>Nº 17024</t>
        </is>
      </c>
      <c r="C884" s="13" t="inlineStr">
        <is>
          <t>GLIFOSATO 720 WG PERTERRA</t>
        </is>
      </c>
      <c r="D884" s="14" t="inlineStr">
        <is>
          <t>GLIFOSATO 720 WG PERTERRA</t>
        </is>
      </c>
      <c r="E884" s="13" t="inlineStr">
        <is>
          <t>Produto Formulado Comercial</t>
        </is>
      </c>
      <c r="F884" s="13" t="inlineStr">
        <is>
          <t>Defensivos</t>
        </is>
      </c>
      <c r="G884" s="13" t="inlineStr">
        <is>
          <t>Herbicida</t>
        </is>
      </c>
      <c r="H884" s="13" t="inlineStr">
        <is>
          <t>WG</t>
        </is>
      </c>
      <c r="I884" s="13" t="inlineStr">
        <is>
          <t>Grânulos Dispersíveis em Água (WG)</t>
        </is>
      </c>
      <c r="J884" s="13" t="inlineStr">
        <is>
          <t>Herbicida sistêmico de pós-emergência (seletivo condicional p/ OGM)</t>
        </is>
      </c>
      <c r="K884" s="13" t="inlineStr">
        <is>
          <t>Glicina substituída</t>
        </is>
      </c>
      <c r="L884" s="13" t="inlineStr">
        <is>
          <t>HRAC Grupo G (9) — Inibidores da EPSPs</t>
        </is>
      </c>
      <c r="M884" s="13" t="inlineStr">
        <is>
          <t>Inibidores da enzima EPSPs (Enoil Piruvil Shiquimato Fosfato Sintase)</t>
        </is>
      </c>
      <c r="N884" s="13" t="inlineStr">
        <is>
          <t>Categoria 5 — Produto Improvável de Causar Dano Agudo</t>
        </is>
      </c>
      <c r="O884" s="13" t="inlineStr">
        <is>
          <t>Azul Intenso</t>
        </is>
      </c>
      <c r="P884" s="13" t="inlineStr">
        <is>
          <t>Classe III / IV — Perigoso a Pouco Perigoso ao Meio Ambiente</t>
        </is>
      </c>
      <c r="Q884" s="15" t="n">
        <v>24</v>
      </c>
      <c r="R884" s="13" t="inlineStr">
        <is>
          <t>Terrestre / Aérea (Drones consultar bula)</t>
        </is>
      </c>
      <c r="S884" s="13" t="inlineStr">
        <is>
          <t>Sem antídoto específico (Atropina ineficaz); tratamento sintomático</t>
        </is>
      </c>
      <c r="T884" s="13" t="inlineStr">
        <is>
          <t>Perterra Insumos Agropecuários S.A.- São Paulo/SP</t>
        </is>
      </c>
      <c r="U884" s="16">
        <f>HYPERLINK("https://agrofit.agricultura.gov.br/agrofit_cons/principal_agrofit_cons", "Consulta Oficial AGROFIT/MAPA (Nº 17024)")</f>
        <v/>
      </c>
    </row>
    <row r="885" ht="22" customHeight="1">
      <c r="A885" s="5" t="n">
        <v>880</v>
      </c>
      <c r="B885" s="6" t="inlineStr">
        <is>
          <t>VINC-17024</t>
        </is>
      </c>
      <c r="C885" s="7" t="inlineStr">
        <is>
          <t>Glifosato G Técnico Rainbow</t>
        </is>
      </c>
      <c r="D885" s="8" t="inlineStr">
        <is>
          <t>Glifosato G Técnico Rainbow</t>
        </is>
      </c>
      <c r="E885" s="7" t="inlineStr">
        <is>
          <t>Produto Técnico Industrial</t>
        </is>
      </c>
      <c r="F885" s="7" t="inlineStr">
        <is>
          <t>Defensivos</t>
        </is>
      </c>
      <c r="G885" s="7" t="inlineStr">
        <is>
          <t>Produto Técnico (Herbicida) (Insumo Industrial / Técnico)</t>
        </is>
      </c>
      <c r="H885" s="7" t="inlineStr">
        <is>
          <t>TC</t>
        </is>
      </c>
      <c r="I885" s="7" t="inlineStr">
        <is>
          <t>Produto Técnico Industrial (TC)</t>
        </is>
      </c>
      <c r="J885" s="7" t="inlineStr">
        <is>
          <t>Herbicida sistêmico de pós-emergência (seletivo condicional p/ OGM)</t>
        </is>
      </c>
      <c r="K885" s="7" t="inlineStr">
        <is>
          <t>Glicina substituída</t>
        </is>
      </c>
      <c r="L885" s="7" t="inlineStr">
        <is>
          <t>HRAC Grupo G (EPSPs)</t>
        </is>
      </c>
      <c r="M885" s="7" t="inlineStr">
        <is>
          <t>Inibidores da enzima EPSPs (Enoil Piruvil Shiquimato Fosfato Sintase)</t>
        </is>
      </c>
      <c r="N885" s="7" t="inlineStr">
        <is>
          <t>Categoria 5 — Produto Improvável de Causar Dano Agudo</t>
        </is>
      </c>
      <c r="O885" s="7" t="inlineStr">
        <is>
          <t>Azul Intenso</t>
        </is>
      </c>
      <c r="P885" s="7" t="inlineStr">
        <is>
          <t>Classe III / IV — Perigoso a Pouco Perigoso ao Meio Ambiente</t>
        </is>
      </c>
      <c r="Q885" s="9" t="n">
        <v>24</v>
      </c>
      <c r="R885" s="7" t="inlineStr">
        <is>
          <t>Terrestre / Aérea (Drones consultar bula)</t>
        </is>
      </c>
      <c r="S885" s="7" t="inlineStr">
        <is>
          <t>Sem antídoto específico (Atropina ineficaz); tratamento sintomático</t>
        </is>
      </c>
      <c r="T885" s="7" t="inlineStr">
        <is>
          <t>Shandong Weifang Rainbow Chemical Co., Ltd. - Endereço: Binhai Economic Development Area, Weifang, Shandong, 262737 - China (Vinc. Reg. 17024)</t>
        </is>
      </c>
      <c r="U885" s="10">
        <f>HYPERLINK("https://agrofit.agricultura.gov.br/agrofit_cons/principal_agrofit_cons", "Consulta Oficial AGROFIT/MAPA (VINC-17024)")</f>
        <v/>
      </c>
    </row>
    <row r="886" ht="22" customHeight="1">
      <c r="A886" s="11" t="n">
        <v>881</v>
      </c>
      <c r="B886" s="12" t="inlineStr">
        <is>
          <t>Nº 17124</t>
        </is>
      </c>
      <c r="C886" s="13" t="inlineStr">
        <is>
          <t>DANTOTSU</t>
        </is>
      </c>
      <c r="D886" s="14" t="inlineStr">
        <is>
          <t>DANTOTSU</t>
        </is>
      </c>
      <c r="E886" s="13" t="inlineStr">
        <is>
          <t>Produto Formulado Comercial</t>
        </is>
      </c>
      <c r="F886" s="13" t="inlineStr">
        <is>
          <t>Defensivos</t>
        </is>
      </c>
      <c r="G886" s="13" t="inlineStr">
        <is>
          <t>Inseticida</t>
        </is>
      </c>
      <c r="H886" s="13" t="inlineStr">
        <is>
          <t>WG</t>
        </is>
      </c>
      <c r="I886" s="13" t="inlineStr">
        <is>
          <t>Grânulos Dispersíveis em Água (WG)</t>
        </is>
      </c>
      <c r="J886" s="13" t="inlineStr">
        <is>
          <t>Inseticida/acaricida de contato e ingestão</t>
        </is>
      </c>
      <c r="K886" s="13" t="inlineStr">
        <is>
          <t>Neonicotinoide</t>
        </is>
      </c>
      <c r="L886" s="13" t="inlineStr">
        <is>
          <t>IRAC Grupo 4A</t>
        </is>
      </c>
      <c r="M886" s="13" t="inlineStr">
        <is>
          <t>Moduladores competitivos dos receptores nicotínicos da acetilcolina (nAChR)</t>
        </is>
      </c>
      <c r="N886" s="13" t="inlineStr">
        <is>
          <t>Categoria 3 / 4 — Moderadamente a Pouco Tóxico</t>
        </is>
      </c>
      <c r="O886" s="13" t="inlineStr">
        <is>
          <t>Amarelo / Azul</t>
        </is>
      </c>
      <c r="P886" s="13" t="inlineStr">
        <is>
          <t>Classe II — Produto Muito Perigoso ao Meio Ambiente</t>
        </is>
      </c>
      <c r="Q886" s="15" t="n">
        <v>24</v>
      </c>
      <c r="R886" s="13" t="inlineStr">
        <is>
          <t>Terrestre / Aérea (Drones consultar bula)</t>
        </is>
      </c>
      <c r="S886" s="13" t="inlineStr">
        <is>
          <t>Tratamento sintomático conforme grupo químico na bula</t>
        </is>
      </c>
      <c r="T886" s="13" t="inlineStr">
        <is>
          <t>Sumitomo Chemical do Brasil Representações Ltda.- São Paulo/SP</t>
        </is>
      </c>
      <c r="U886" s="16">
        <f>HYPERLINK("https://agrofit.agricultura.gov.br/agrofit_cons/principal_agrofit_cons", "Consulta Oficial AGROFIT/MAPA (Nº 17124)")</f>
        <v/>
      </c>
    </row>
    <row r="887" ht="22" customHeight="1">
      <c r="A887" s="5" t="n">
        <v>882</v>
      </c>
      <c r="B887" s="6" t="inlineStr">
        <is>
          <t>VINC-17124</t>
        </is>
      </c>
      <c r="C887" s="7" t="inlineStr">
        <is>
          <t>Focus Técnico</t>
        </is>
      </c>
      <c r="D887" s="8" t="inlineStr">
        <is>
          <t>Focus Técnico</t>
        </is>
      </c>
      <c r="E887" s="7" t="inlineStr">
        <is>
          <t>Produto Técnico Industrial</t>
        </is>
      </c>
      <c r="F887" s="7" t="inlineStr">
        <is>
          <t>Defensivos</t>
        </is>
      </c>
      <c r="G887" s="7" t="inlineStr">
        <is>
          <t>Produto Técnico (Inseticida / Acaricida) (Insumo Industrial / Técnico)</t>
        </is>
      </c>
      <c r="H887" s="7" t="inlineStr">
        <is>
          <t>TC</t>
        </is>
      </c>
      <c r="I887" s="7" t="inlineStr">
        <is>
          <t>Produto Técnico Industrial (TC)</t>
        </is>
      </c>
      <c r="J887" s="7" t="inlineStr">
        <is>
          <t>Inseticida/acaricida de contato e ingestão</t>
        </is>
      </c>
      <c r="K887" s="7" t="inlineStr">
        <is>
          <t>Neonicotinoide</t>
        </is>
      </c>
      <c r="L887" s="7" t="inlineStr">
        <is>
          <t>IRAC Grupo 4A</t>
        </is>
      </c>
      <c r="M887" s="7" t="inlineStr">
        <is>
          <t>Moduladores competitivos dos receptores nicotínicos da acetilcolina (nAChR)</t>
        </is>
      </c>
      <c r="N887" s="7" t="inlineStr">
        <is>
          <t>Categoria 3 / 4 — Moderadamente a Pouco Tóxico</t>
        </is>
      </c>
      <c r="O887" s="7" t="inlineStr">
        <is>
          <t>Amarelo / Azul</t>
        </is>
      </c>
      <c r="P887" s="7" t="inlineStr">
        <is>
          <t>Classe II — Produto Muito Perigoso ao Meio Ambiente</t>
        </is>
      </c>
      <c r="Q887" s="9" t="n">
        <v>24</v>
      </c>
      <c r="R887" s="7" t="inlineStr">
        <is>
          <t>Terrestre / Aérea (Drones consultar bula)</t>
        </is>
      </c>
      <c r="S887" s="7" t="inlineStr">
        <is>
          <t>Tratamento sintomático conforme grupo químico na bula</t>
        </is>
      </c>
      <c r="T887" s="7" t="inlineStr">
        <is>
          <t>Sumitomo Chemical Company, Limited - Hikari Plant - Endereço: Hikari Plant, 4720, Takeda, Mitsui, Hikari-City, 7438502, Yamaguchi-prefecture - Japão (Vinc. Reg. 17124)</t>
        </is>
      </c>
      <c r="U887" s="10">
        <f>HYPERLINK("https://agrofit.agricultura.gov.br/agrofit_cons/principal_agrofit_cons", "Consulta Oficial AGROFIT/MAPA (VINC-17124)")</f>
        <v/>
      </c>
    </row>
    <row r="888" ht="22" customHeight="1">
      <c r="A888" s="11" t="n">
        <v>883</v>
      </c>
      <c r="B888" s="12" t="inlineStr">
        <is>
          <t>VINC-17124</t>
        </is>
      </c>
      <c r="C888" s="13" t="inlineStr">
        <is>
          <t>Clothianidin Técnico SCB</t>
        </is>
      </c>
      <c r="D888" s="14" t="inlineStr">
        <is>
          <t>Clothianidin Técnico SCB</t>
        </is>
      </c>
      <c r="E888" s="13" t="inlineStr">
        <is>
          <t>Produto Técnico Industrial</t>
        </is>
      </c>
      <c r="F888" s="13" t="inlineStr">
        <is>
          <t>Defensivos</t>
        </is>
      </c>
      <c r="G888" s="13" t="inlineStr">
        <is>
          <t>Produto Técnico (Inseticida / Acaricida) (Insumo Industrial / Técnico)</t>
        </is>
      </c>
      <c r="H888" s="13" t="inlineStr">
        <is>
          <t>TC</t>
        </is>
      </c>
      <c r="I888" s="13" t="inlineStr">
        <is>
          <t>Produto Técnico Industrial (TC)</t>
        </is>
      </c>
      <c r="J888" s="13" t="inlineStr">
        <is>
          <t>Inseticida/acaricida de contato e ingestão</t>
        </is>
      </c>
      <c r="K888" s="13" t="inlineStr">
        <is>
          <t>Neonicotinoide</t>
        </is>
      </c>
      <c r="L888" s="13" t="inlineStr">
        <is>
          <t>IRAC Grupo 4A</t>
        </is>
      </c>
      <c r="M888" s="13" t="inlineStr">
        <is>
          <t>Moduladores competitivos dos receptores nicotínicos da acetilcolina (nAChR)</t>
        </is>
      </c>
      <c r="N888" s="13" t="inlineStr">
        <is>
          <t>Categoria 3 / 4 — Moderadamente a Pouco Tóxico</t>
        </is>
      </c>
      <c r="O888" s="13" t="inlineStr">
        <is>
          <t>Amarelo / Azul</t>
        </is>
      </c>
      <c r="P888" s="13" t="inlineStr">
        <is>
          <t>Classe II — Produto Muito Perigoso ao Meio Ambiente</t>
        </is>
      </c>
      <c r="Q888" s="15" t="n">
        <v>24</v>
      </c>
      <c r="R888" s="13" t="inlineStr">
        <is>
          <t>Terrestre / Aérea (Drones consultar bula)</t>
        </is>
      </c>
      <c r="S888" s="13" t="inlineStr">
        <is>
          <t>Tratamento sintomático conforme grupo químico na bula</t>
        </is>
      </c>
      <c r="T888" s="13" t="inlineStr">
        <is>
          <t>Sumitomo Chemical Company, Limited - Hikari Plant - Endereço: Hikari Plant, 4720, Takeda, Mitsui, Hikari-City, 7438502, Yamaguchi-prefecture - Japão (Vinc. Reg. 17124)</t>
        </is>
      </c>
      <c r="U888" s="16">
        <f>HYPERLINK("https://agrofit.agricultura.gov.br/agrofit_cons/principal_agrofit_cons", "Consulta Oficial AGROFIT/MAPA (VINC-17124)")</f>
        <v/>
      </c>
    </row>
    <row r="889" ht="22" customHeight="1">
      <c r="A889" s="5" t="n">
        <v>884</v>
      </c>
      <c r="B889" s="6" t="inlineStr">
        <is>
          <t>Nº 17224</t>
        </is>
      </c>
      <c r="C889" s="7" t="inlineStr">
        <is>
          <t>LUMISURE</t>
        </is>
      </c>
      <c r="D889" s="8" t="inlineStr">
        <is>
          <t>LUMISURE</t>
        </is>
      </c>
      <c r="E889" s="7" t="inlineStr">
        <is>
          <t>Produto Formulado Comercial</t>
        </is>
      </c>
      <c r="F889" s="7" t="inlineStr">
        <is>
          <t>Defensivos</t>
        </is>
      </c>
      <c r="G889" s="7" t="inlineStr">
        <is>
          <t>Inseticida Tratamento de Sementes</t>
        </is>
      </c>
      <c r="H889" s="7" t="inlineStr">
        <is>
          <t>FS</t>
        </is>
      </c>
      <c r="I889" s="7" t="inlineStr">
        <is>
          <t>Suspensão Concentrada para Tratamento de Sementes (FS)</t>
        </is>
      </c>
      <c r="J889" s="7" t="inlineStr">
        <is>
          <t>Inseticida/acaricida de contato e ingestão</t>
        </is>
      </c>
      <c r="K889" s="7" t="inlineStr">
        <is>
          <t>Neonicotinoide</t>
        </is>
      </c>
      <c r="L889" s="7" t="inlineStr">
        <is>
          <t>IRAC Grupo 4A</t>
        </is>
      </c>
      <c r="M889" s="7" t="inlineStr">
        <is>
          <t>Moduladores competitivos dos receptores nicotínicos da acetilcolina (nAChR)</t>
        </is>
      </c>
      <c r="N889" s="7" t="inlineStr">
        <is>
          <t>Categoria 3 / 4 — Moderadamente a Pouco Tóxico</t>
        </is>
      </c>
      <c r="O889" s="7" t="inlineStr">
        <is>
          <t>Amarelo / Azul</t>
        </is>
      </c>
      <c r="P889" s="7" t="inlineStr">
        <is>
          <t>Classe II — Produto Muito Perigoso ao Meio Ambiente</t>
        </is>
      </c>
      <c r="Q889" s="9" t="n">
        <v>24</v>
      </c>
      <c r="R889" s="7" t="inlineStr">
        <is>
          <t>Tratamento de Sementes (TS)</t>
        </is>
      </c>
      <c r="S889" s="7" t="inlineStr">
        <is>
          <t>Tratamento sintomático conforme grupo químico na bula</t>
        </is>
      </c>
      <c r="T889" s="7" t="inlineStr">
        <is>
          <t>Sumitomo Chemical do Brasil Representações Ltda.- São Paulo/SP</t>
        </is>
      </c>
      <c r="U889" s="10">
        <f>HYPERLINK("https://www.sumitomochemical.com.br", "Registro Oficial Lumisure 600 FS (Sumitomo - MAPA 17224)")</f>
        <v/>
      </c>
    </row>
    <row r="890" ht="22" customHeight="1">
      <c r="A890" s="11" t="n">
        <v>885</v>
      </c>
      <c r="B890" s="12" t="inlineStr">
        <is>
          <t>Nº 17324</t>
        </is>
      </c>
      <c r="C890" s="13" t="inlineStr">
        <is>
          <t>ELIOS WG</t>
        </is>
      </c>
      <c r="D890" s="14" t="inlineStr">
        <is>
          <t>ELIOS WG</t>
        </is>
      </c>
      <c r="E890" s="13" t="inlineStr">
        <is>
          <t>Produto Formulado Comercial</t>
        </is>
      </c>
      <c r="F890" s="13" t="inlineStr">
        <is>
          <t>Defensivos</t>
        </is>
      </c>
      <c r="G890" s="13" t="inlineStr">
        <is>
          <t>Fungicida</t>
        </is>
      </c>
      <c r="H890" s="13" t="inlineStr">
        <is>
          <t>WG</t>
        </is>
      </c>
      <c r="I890" s="13" t="inlineStr">
        <is>
          <t>Grânulos Dispersíveis em Água (WG)</t>
        </is>
      </c>
      <c r="J890" s="13" t="inlineStr">
        <is>
          <t>Fungicida preventivo e curativo foliar</t>
        </is>
      </c>
      <c r="K890" s="13" t="inlineStr">
        <is>
          <t>Neonicotinoide + Triazol</t>
        </is>
      </c>
      <c r="L890" s="13" t="inlineStr">
        <is>
          <t>IRAC Grupo 4A + FRAC Grupo 3 (G1 — DMI)</t>
        </is>
      </c>
      <c r="M890" s="13" t="inlineStr">
        <is>
          <t>Moduladores competitivos dos receptores nicotínicos da acetilcolina (nAChR); Inibidores da desmetilação do C14 na biossíntese do ergosterol</t>
        </is>
      </c>
      <c r="N890" s="13" t="inlineStr">
        <is>
          <t>Categoria 4 — Produto Pouco Tóxico (Conforme Bula ANVISA)</t>
        </is>
      </c>
      <c r="O890" s="13" t="inlineStr">
        <is>
          <t>Azul PMS Blue 293 C</t>
        </is>
      </c>
      <c r="P890" s="13" t="inlineStr">
        <is>
          <t>Classe II — Produto Muito Perigoso ao Meio Ambiente</t>
        </is>
      </c>
      <c r="Q890" s="15" t="n">
        <v>24</v>
      </c>
      <c r="R890" s="13" t="inlineStr">
        <is>
          <t>Terrestre / Aérea (Drones consultar bula)</t>
        </is>
      </c>
      <c r="S890" s="13" t="inlineStr">
        <is>
          <t>Sem antídoto específico; tratamento sintomático</t>
        </is>
      </c>
      <c r="T890" s="13" t="inlineStr">
        <is>
          <t>Sipcam Nichino Brasil S.A.- Uberaba/MG</t>
        </is>
      </c>
      <c r="U890" s="16">
        <f>HYPERLINK("https://agrofit.agricultura.gov.br/agrofit_cons/principal_agrofit_cons", "Consulta Oficial AGROFIT/MAPA (Nº 17324)")</f>
        <v/>
      </c>
    </row>
    <row r="891" ht="22" customHeight="1">
      <c r="A891" s="5" t="n">
        <v>886</v>
      </c>
      <c r="B891" s="6" t="inlineStr">
        <is>
          <t>VINC-17324</t>
        </is>
      </c>
      <c r="C891" s="7" t="inlineStr">
        <is>
          <t>Imidacloprid Tecnico Agroqualita SNB</t>
        </is>
      </c>
      <c r="D891" s="8" t="inlineStr">
        <is>
          <t>Imidacloprid Tecnico Agroqualita SNB</t>
        </is>
      </c>
      <c r="E891" s="7" t="inlineStr">
        <is>
          <t>Produto Técnico Industrial</t>
        </is>
      </c>
      <c r="F891" s="7" t="inlineStr">
        <is>
          <t>Defensivos</t>
        </is>
      </c>
      <c r="G891" s="7" t="inlineStr">
        <is>
          <t>Produto Técnico (Inseticida / Fungicida) (Insumo Industrial / Técnico)</t>
        </is>
      </c>
      <c r="H891" s="7" t="inlineStr">
        <is>
          <t>TC</t>
        </is>
      </c>
      <c r="I891" s="7" t="inlineStr">
        <is>
          <t>Produto Técnico Industrial (TC)</t>
        </is>
      </c>
      <c r="J891" s="7" t="inlineStr">
        <is>
          <t>Fungicida preventivo e curativo foliar</t>
        </is>
      </c>
      <c r="K891" s="7" t="inlineStr">
        <is>
          <t>Neonicotinoide</t>
        </is>
      </c>
      <c r="L891" s="7" t="inlineStr">
        <is>
          <t>IRAC Grupo 4A</t>
        </is>
      </c>
      <c r="M891" s="7" t="inlineStr">
        <is>
          <t>Moduladores competitivos dos receptores nicotínicos da acetilcolina (nAChR)</t>
        </is>
      </c>
      <c r="N891" s="7" t="inlineStr">
        <is>
          <t>Categoria 4 — Produto Pouco Tóxico (Conforme Bula ANVISA)</t>
        </is>
      </c>
      <c r="O891" s="7" t="inlineStr">
        <is>
          <t>Azul PMS Blue 293 C</t>
        </is>
      </c>
      <c r="P891" s="7" t="inlineStr">
        <is>
          <t>Classe II — Produto Muito Perigoso ao Meio Ambiente</t>
        </is>
      </c>
      <c r="Q891" s="9" t="n">
        <v>24</v>
      </c>
      <c r="R891" s="7" t="inlineStr">
        <is>
          <t>Terrestre / Aérea (Drones consultar bula)</t>
        </is>
      </c>
      <c r="S891" s="7" t="inlineStr">
        <is>
          <t>Sem antídoto específico; tratamento sintomático</t>
        </is>
      </c>
      <c r="T891" s="7" t="inlineStr">
        <is>
          <t>Hebei Veyong Bio-Chemical Co., Ltd. - Endereço: 393 East Heping Road, Shijianhuang, Hebei 050031 - China. Produto Técnico(Flutriafol Técnico SUP): Nome: Jiangsu Sevencontinent Green Chemical Co., Ltd. (Unit I) - Endereço: 28 Changbei Road, Zhangjiagang - Jiangsu 215600 - China (Vinc. Reg. 17324)</t>
        </is>
      </c>
      <c r="U891" s="10">
        <f>HYPERLINK("https://agrofit.agricultura.gov.br/agrofit_cons/principal_agrofit_cons", "Consulta Oficial AGROFIT/MAPA (VINC-17324)")</f>
        <v/>
      </c>
    </row>
    <row r="892" ht="22" customHeight="1">
      <c r="A892" s="11" t="n">
        <v>887</v>
      </c>
      <c r="B892" s="12" t="inlineStr">
        <is>
          <t>Nº 17424</t>
        </is>
      </c>
      <c r="C892" s="13" t="inlineStr">
        <is>
          <t>CROPSTAR FLEXX</t>
        </is>
      </c>
      <c r="D892" s="14" t="inlineStr">
        <is>
          <t>CROPSTAR FLEXX</t>
        </is>
      </c>
      <c r="E892" s="13" t="inlineStr">
        <is>
          <t>Produto Formulado Comercial</t>
        </is>
      </c>
      <c r="F892" s="13" t="inlineStr">
        <is>
          <t>Defensivos</t>
        </is>
      </c>
      <c r="G892" s="13" t="inlineStr">
        <is>
          <t>Inseticida</t>
        </is>
      </c>
      <c r="H892" s="13" t="inlineStr">
        <is>
          <t>FS</t>
        </is>
      </c>
      <c r="I892" s="13" t="inlineStr">
        <is>
          <t>Suspensão Concentrada para Tratamento de Sementes (FS)</t>
        </is>
      </c>
      <c r="J892" s="13" t="inlineStr">
        <is>
          <t>Inseticida/acaricida de contato e ingestão</t>
        </is>
      </c>
      <c r="K892" s="13" t="inlineStr">
        <is>
          <t>Metilcarbamato de Oxima + Neonicotinoide</t>
        </is>
      </c>
      <c r="L892" s="13" t="inlineStr">
        <is>
          <t>IRAC Grupo 1A + IRAC Grupo 4A</t>
        </is>
      </c>
      <c r="M892" s="13" t="inlineStr">
        <is>
          <t>Inibidores da acetilcolinesterase (AChE); Moduladores competitivos dos receptores nicotínicos da acetilcolina (nAChR)</t>
        </is>
      </c>
      <c r="N892" s="13" t="inlineStr">
        <is>
          <t>Categoria 3 / 4 — Moderadamente a Pouco Tóxico</t>
        </is>
      </c>
      <c r="O892" s="13" t="inlineStr">
        <is>
          <t>Amarelo / Azul</t>
        </is>
      </c>
      <c r="P892" s="13" t="inlineStr">
        <is>
          <t>Classe II — Produto Muito Perigoso ao Meio Ambiente</t>
        </is>
      </c>
      <c r="Q892" s="15" t="n">
        <v>24</v>
      </c>
      <c r="R892" s="13" t="inlineStr">
        <is>
          <t>Terrestre / Aérea (Drones consultar bula)</t>
        </is>
      </c>
      <c r="S892" s="13" t="inlineStr">
        <is>
          <t>Tratamento sintomático conforme grupo químico na bula</t>
        </is>
      </c>
      <c r="T892" s="13" t="inlineStr">
        <is>
          <t>Bayer S.A- São Paulo/SP</t>
        </is>
      </c>
      <c r="U892" s="16">
        <f>HYPERLINK("https://revistacultivar.com.br/pesticida/cropstar-flexx", "Bula Oficial Cropstar Flexx (Bayer/MAPA 17424)")</f>
        <v/>
      </c>
    </row>
    <row r="893" ht="22" customHeight="1">
      <c r="A893" s="5" t="n">
        <v>888</v>
      </c>
      <c r="B893" s="6" t="inlineStr">
        <is>
          <t>VINC-17424</t>
        </is>
      </c>
      <c r="C893" s="7" t="inlineStr">
        <is>
          <t>Premier Técnico</t>
        </is>
      </c>
      <c r="D893" s="8" t="inlineStr">
        <is>
          <t>Premier Técnico</t>
        </is>
      </c>
      <c r="E893" s="7" t="inlineStr">
        <is>
          <t>Produto Técnico Industrial</t>
        </is>
      </c>
      <c r="F893" s="7" t="inlineStr">
        <is>
          <t>Defensivos</t>
        </is>
      </c>
      <c r="G893" s="7" t="inlineStr">
        <is>
          <t>Produto Técnico (Inseticida / Acaricida) (Insumo Industrial / Técnico)</t>
        </is>
      </c>
      <c r="H893" s="7" t="inlineStr">
        <is>
          <t>TC</t>
        </is>
      </c>
      <c r="I893" s="7" t="inlineStr">
        <is>
          <t>Produto Técnico Industrial (TC)</t>
        </is>
      </c>
      <c r="J893" s="7" t="inlineStr">
        <is>
          <t>Inseticida/acaricida de contato e ingestão</t>
        </is>
      </c>
      <c r="K893" s="7" t="inlineStr">
        <is>
          <t>Neonicotinoide</t>
        </is>
      </c>
      <c r="L893" s="7" t="inlineStr">
        <is>
          <t>IRAC Grupo 4A</t>
        </is>
      </c>
      <c r="M893" s="7" t="inlineStr">
        <is>
          <t>Moduladores competitivos dos receptores nicotínicos da acetilcolina (nAChR)</t>
        </is>
      </c>
      <c r="N893" s="7" t="inlineStr">
        <is>
          <t>Categoria 3 / 4 — Moderadamente a Pouco Tóxico</t>
        </is>
      </c>
      <c r="O893" s="7" t="inlineStr">
        <is>
          <t>Amarelo / Azul</t>
        </is>
      </c>
      <c r="P893" s="7" t="inlineStr">
        <is>
          <t>Classe II — Produto Muito Perigoso ao Meio Ambiente</t>
        </is>
      </c>
      <c r="Q893" s="9" t="n">
        <v>24</v>
      </c>
      <c r="R893" s="7" t="inlineStr">
        <is>
          <t>Terrestre / Aérea (Drones consultar bula)</t>
        </is>
      </c>
      <c r="S893" s="7" t="inlineStr">
        <is>
          <t>Tratamento sintomático conforme grupo químico na bula</t>
        </is>
      </c>
      <c r="T893" s="7" t="inlineStr">
        <is>
          <t>Bayer AG - Endereço: ChemPark 41538, Dormagen - Alemanha. Produto Técnico(Premier Técnico BCS): Nome: Jiangsu Changqing Agrochemical Co., Ltd. - Endereço: Nº 8 Sanjiang Road, Jiangdu Economy Development Zone, Yangzhou City Jiangsu - China. Produto Técnico(Larvin Técnico): Nome: Bayer CropScience LP - Endereço: Route 25, P.O. Box 1005 - Institute - West Virginia - 25112 - EUA (Vinc. Reg. 17424)</t>
        </is>
      </c>
      <c r="U893" s="10">
        <f>HYPERLINK("https://agrofit.agricultura.gov.br/agrofit_cons/principal_agrofit_cons", "Consulta Oficial AGROFIT/MAPA (VINC-17424)")</f>
        <v/>
      </c>
    </row>
    <row r="894" ht="22" customHeight="1">
      <c r="A894" s="11" t="n">
        <v>889</v>
      </c>
      <c r="B894" s="12" t="inlineStr">
        <is>
          <t>Nº 17524</t>
        </is>
      </c>
      <c r="C894" s="13" t="inlineStr">
        <is>
          <t>SUMIRODY</t>
        </is>
      </c>
      <c r="D894" s="14" t="inlineStr">
        <is>
          <t>SUMIRODY</t>
        </is>
      </c>
      <c r="E894" s="13" t="inlineStr">
        <is>
          <t>Produto Formulado Comercial</t>
        </is>
      </c>
      <c r="F894" s="13" t="inlineStr">
        <is>
          <t>Defensivos</t>
        </is>
      </c>
      <c r="G894" s="13" t="inlineStr">
        <is>
          <t>Inseticida</t>
        </is>
      </c>
      <c r="H894" s="13" t="inlineStr">
        <is>
          <t>EC</t>
        </is>
      </c>
      <c r="I894" s="13" t="inlineStr">
        <is>
          <t>Concentrado Emulsionável (EC)</t>
        </is>
      </c>
      <c r="J894" s="13" t="inlineStr">
        <is>
          <t>Inseticida/acaricida de contato e ingestão</t>
        </is>
      </c>
      <c r="K894" s="13" t="inlineStr">
        <is>
          <t>Piretroide (Éster Piretroide)</t>
        </is>
      </c>
      <c r="L894" s="13" t="inlineStr">
        <is>
          <t>IRAC Grupo 3A</t>
        </is>
      </c>
      <c r="M894" s="13" t="inlineStr">
        <is>
          <t>Moduladores de canais de sódio em membranas nervosas</t>
        </is>
      </c>
      <c r="N894" s="13" t="inlineStr">
        <is>
          <t>Categoria 3 / 4 — Moderadamente a Pouco Tóxico</t>
        </is>
      </c>
      <c r="O894" s="13" t="inlineStr">
        <is>
          <t>Amarelo / Azul</t>
        </is>
      </c>
      <c r="P894" s="13" t="inlineStr">
        <is>
          <t>Classe II — Produto Muito Perigoso ao Meio Ambiente</t>
        </is>
      </c>
      <c r="Q894" s="15" t="n">
        <v>24</v>
      </c>
      <c r="R894" s="13" t="inlineStr">
        <is>
          <t>Terrestre / Aérea (Drones consultar bula)</t>
        </is>
      </c>
      <c r="S894" s="13" t="inlineStr">
        <is>
          <t>Tratamento sintomático conforme grupo químico na bula</t>
        </is>
      </c>
      <c r="T894" s="13" t="inlineStr">
        <is>
          <t>Sumitomo Chemical do Brasil Representações Ltda.- São Paulo/SP</t>
        </is>
      </c>
      <c r="U894" s="16">
        <f>HYPERLINK("https://agrofit.agricultura.gov.br/agrofit_cons/principal_agrofit_cons", "Consulta Oficial AGROFIT/MAPA (Nº 17524)")</f>
        <v/>
      </c>
    </row>
    <row r="895" ht="22" customHeight="1">
      <c r="A895" s="5" t="n">
        <v>890</v>
      </c>
      <c r="B895" s="6" t="inlineStr">
        <is>
          <t>VINC-17524</t>
        </is>
      </c>
      <c r="C895" s="7" t="inlineStr">
        <is>
          <t>Danimen Técnico 900</t>
        </is>
      </c>
      <c r="D895" s="8" t="inlineStr">
        <is>
          <t>Danimen Técnico 900</t>
        </is>
      </c>
      <c r="E895" s="7" t="inlineStr">
        <is>
          <t>Produto Técnico Industrial</t>
        </is>
      </c>
      <c r="F895" s="7" t="inlineStr">
        <is>
          <t>Defensivos</t>
        </is>
      </c>
      <c r="G895" s="7" t="inlineStr">
        <is>
          <t>Produto Técnico (Inseticida / Acaricida) (Insumo Industrial / Técnico)</t>
        </is>
      </c>
      <c r="H895" s="7" t="inlineStr">
        <is>
          <t>TC</t>
        </is>
      </c>
      <c r="I895" s="7" t="inlineStr">
        <is>
          <t>Produto Técnico Industrial (TC)</t>
        </is>
      </c>
      <c r="J895" s="7" t="inlineStr">
        <is>
          <t>Inseticida/acaricida de contato e ingestão</t>
        </is>
      </c>
      <c r="K895" s="7" t="inlineStr">
        <is>
          <t>Piretroide (Éster Piretroide)</t>
        </is>
      </c>
      <c r="L895" s="7" t="inlineStr">
        <is>
          <t>IRAC Grupo 3A</t>
        </is>
      </c>
      <c r="M895" s="7" t="inlineStr">
        <is>
          <t>Moduladores de canais de sódio em membranas nervosas</t>
        </is>
      </c>
      <c r="N895" s="7" t="inlineStr">
        <is>
          <t>Categoria 3 / 4 — Moderadamente a Pouco Tóxico</t>
        </is>
      </c>
      <c r="O895" s="7" t="inlineStr">
        <is>
          <t>Amarelo / Azul</t>
        </is>
      </c>
      <c r="P895" s="7" t="inlineStr">
        <is>
          <t>Classe II — Produto Muito Perigoso ao Meio Ambiente</t>
        </is>
      </c>
      <c r="Q895" s="9" t="n">
        <v>24</v>
      </c>
      <c r="R895" s="7" t="inlineStr">
        <is>
          <t>Terrestre / Aérea (Drones consultar bula)</t>
        </is>
      </c>
      <c r="S895" s="7" t="inlineStr">
        <is>
          <t>Tratamento sintomático conforme grupo químico na bula</t>
        </is>
      </c>
      <c r="T895" s="7" t="inlineStr">
        <is>
          <t>Sumitomo Chemical Co. Ltd. - Endereço: Ohita Works 2200 - Tsurusaki Ohita-Shi - Ohita - 870-0106 - Japão (Vinc. Reg. 17524)</t>
        </is>
      </c>
      <c r="U895" s="10">
        <f>HYPERLINK("https://agrofit.agricultura.gov.br/agrofit_cons/principal_agrofit_cons", "Consulta Oficial AGROFIT/MAPA (VINC-17524)")</f>
        <v/>
      </c>
    </row>
    <row r="896" ht="22" customHeight="1">
      <c r="A896" s="11" t="n">
        <v>891</v>
      </c>
      <c r="B896" s="12" t="inlineStr">
        <is>
          <t>Nº 17624</t>
        </is>
      </c>
      <c r="C896" s="13" t="inlineStr">
        <is>
          <t>SONUTRIR</t>
        </is>
      </c>
      <c r="D896" s="14" t="inlineStr">
        <is>
          <t>SONUTRIR</t>
        </is>
      </c>
      <c r="E896" s="13" t="inlineStr">
        <is>
          <t>Produto Formulado Comercial</t>
        </is>
      </c>
      <c r="F896" s="13" t="inlineStr">
        <is>
          <t>Defensivos</t>
        </is>
      </c>
      <c r="G896" s="13" t="inlineStr">
        <is>
          <t>Herbicida</t>
        </is>
      </c>
      <c r="H896" s="13" t="inlineStr">
        <is>
          <t>SE</t>
        </is>
      </c>
      <c r="I896" s="13" t="inlineStr">
        <is>
          <t>Suspoemulsão (SE)</t>
        </is>
      </c>
      <c r="J896" s="13" t="inlineStr">
        <is>
          <t>Herbicida sistêmico seletivo de pós-emergência</t>
        </is>
      </c>
      <c r="K896" s="13" t="inlineStr">
        <is>
          <t>Tricetona</t>
        </is>
      </c>
      <c r="L896" s="13" t="inlineStr">
        <is>
          <t>HRAC Grupo F2 (27) — Inibidores da HPPD</t>
        </is>
      </c>
      <c r="M896" s="13" t="inlineStr">
        <is>
          <t>Inibidores da enzima 4-hidroxifenil-piruvato-dioxigenase (HPPD - biossíntese de carotenoides)</t>
        </is>
      </c>
      <c r="N896" s="13" t="inlineStr">
        <is>
          <t>Categoria 4 / 5 — Pouco Tóxico</t>
        </is>
      </c>
      <c r="O896" s="13" t="inlineStr">
        <is>
          <t>Azul Intenso</t>
        </is>
      </c>
      <c r="P896" s="13" t="inlineStr">
        <is>
          <t>Classe II — Produto Muito Perigoso ao Meio Ambiente</t>
        </is>
      </c>
      <c r="Q896" s="15" t="n">
        <v>24</v>
      </c>
      <c r="R896" s="13" t="inlineStr">
        <is>
          <t>Terrestre / Aérea (Drones consultar bula)</t>
        </is>
      </c>
      <c r="S896" s="13" t="inlineStr">
        <is>
          <t>Sem antídoto específico; tratamento sintomático</t>
        </is>
      </c>
      <c r="T896" s="13" t="inlineStr">
        <is>
          <t>Rainbow Defensivos Agrícolas Ltda.- Porto Alegre/RS</t>
        </is>
      </c>
      <c r="U896" s="16">
        <f>HYPERLINK("https://www.adapar.pr.gov.br/Pagina/Agrotoxicos-Herbicidas", "Registro Oficial Sonutrir SE (Rainbow - MAPA 17624)")</f>
        <v/>
      </c>
    </row>
    <row r="897" ht="22" customHeight="1">
      <c r="A897" s="5" t="n">
        <v>892</v>
      </c>
      <c r="B897" s="6" t="inlineStr">
        <is>
          <t>VINC-17624</t>
        </is>
      </c>
      <c r="C897" s="7" t="inlineStr">
        <is>
          <t>S-Metolacloro Técnico Rainbow</t>
        </is>
      </c>
      <c r="D897" s="8" t="inlineStr">
        <is>
          <t>S-Metolacloro Técnico Rainbow</t>
        </is>
      </c>
      <c r="E897" s="7" t="inlineStr">
        <is>
          <t>Produto Técnico Industrial</t>
        </is>
      </c>
      <c r="F897" s="7" t="inlineStr">
        <is>
          <t>Defensivos</t>
        </is>
      </c>
      <c r="G897" s="7" t="inlineStr">
        <is>
          <t>Produto Técnico (Herbicida) (Insumo Industrial / Técnico)</t>
        </is>
      </c>
      <c r="H897" s="7" t="inlineStr">
        <is>
          <t>TC</t>
        </is>
      </c>
      <c r="I897" s="7" t="inlineStr">
        <is>
          <t>Produto Técnico Industrial (TC)</t>
        </is>
      </c>
      <c r="J897" s="7" t="inlineStr">
        <is>
          <t>Herbicida seletivo pré-emergente sistêmico</t>
        </is>
      </c>
      <c r="K897" s="7" t="inlineStr">
        <is>
          <t>Cloroacetanilida</t>
        </is>
      </c>
      <c r="L897" s="7" t="inlineStr">
        <is>
          <t>HRAC Grupo K3 (15) — Inibidores de VLCFA</t>
        </is>
      </c>
      <c r="M897" s="7" t="inlineStr">
        <is>
          <t>Inibição da síntese de ácidos graxos de cadeia muito longa (VLCFA)</t>
        </is>
      </c>
      <c r="N897" s="7" t="inlineStr">
        <is>
          <t>Categoria 4 — Produto Pouco Tóxico</t>
        </is>
      </c>
      <c r="O897" s="7" t="inlineStr">
        <is>
          <t>Azul PMS Blue 293 C</t>
        </is>
      </c>
      <c r="P897" s="7" t="inlineStr">
        <is>
          <t>Classe II — Produto Muito Perigoso ao Meio Ambiente</t>
        </is>
      </c>
      <c r="Q897" s="9" t="n">
        <v>24</v>
      </c>
      <c r="R897" s="7" t="inlineStr">
        <is>
          <t>Terrestre / Aérea (Drones consultar bula)</t>
        </is>
      </c>
      <c r="S897" s="7" t="inlineStr">
        <is>
          <t>Sem antídoto específico; tratamento sintomático</t>
        </is>
      </c>
      <c r="T897" s="7" t="inlineStr">
        <is>
          <t>Shandong Weifang Rainbow Chemical Co., Ltd - Endereço: Binhai Economic Development Area Weifang - 262737 Shandong, China (Vinc. Reg. 17624)</t>
        </is>
      </c>
      <c r="U897" s="10">
        <f>HYPERLINK("https://agrofit.agricultura.gov.br/agrofit_cons/principal_agrofit_cons", "Consulta Oficial AGROFIT/MAPA (VINC-17624)")</f>
        <v/>
      </c>
    </row>
    <row r="898" ht="22" customHeight="1">
      <c r="A898" s="11" t="n">
        <v>893</v>
      </c>
      <c r="B898" s="12" t="inlineStr">
        <is>
          <t>Nº 17724</t>
        </is>
      </c>
      <c r="C898" s="13" t="inlineStr">
        <is>
          <t>TECANOA</t>
        </is>
      </c>
      <c r="D898" s="14" t="inlineStr">
        <is>
          <t>TECANOA</t>
        </is>
      </c>
      <c r="E898" s="13" t="inlineStr">
        <is>
          <t>Produto Formulado Comercial</t>
        </is>
      </c>
      <c r="F898" s="13" t="inlineStr">
        <is>
          <t>Defensivos</t>
        </is>
      </c>
      <c r="G898" s="13" t="inlineStr">
        <is>
          <t>Herbicida</t>
        </is>
      </c>
      <c r="H898" s="13" t="inlineStr">
        <is>
          <t>SC</t>
        </is>
      </c>
      <c r="I898" s="13" t="inlineStr">
        <is>
          <t>Suspensão Concentrada (SC)</t>
        </is>
      </c>
      <c r="J898" s="13" t="inlineStr">
        <is>
          <t>Herbicida de pré ou pós-emergência</t>
        </is>
      </c>
      <c r="K898" s="13" t="inlineStr">
        <is>
          <t>Ureia Substituída (Tiadiazolilureia)</t>
        </is>
      </c>
      <c r="L898" s="13" t="inlineStr">
        <is>
          <t>HRAC Grupo C2 (5) — Inibidores do Fotossistema II</t>
        </is>
      </c>
      <c r="M898" s="13" t="inlineStr">
        <is>
          <t>Inibição do transporte de elétrons no Fotossistema II</t>
        </is>
      </c>
      <c r="N898" s="13" t="inlineStr">
        <is>
          <t>Categoria 4 / 5 — Pouco Tóxico (Conforme Bula ANVISA)</t>
        </is>
      </c>
      <c r="O898" s="13" t="inlineStr">
        <is>
          <t>Azul PMS Blue 293 C</t>
        </is>
      </c>
      <c r="P898" s="13" t="inlineStr">
        <is>
          <t>Classe II / III — Perigoso ao Meio Ambiente</t>
        </is>
      </c>
      <c r="Q898" s="15" t="n">
        <v>24</v>
      </c>
      <c r="R898" s="13" t="inlineStr">
        <is>
          <t>Terrestre / Aérea (Drones consultar bula)</t>
        </is>
      </c>
      <c r="S898" s="13" t="inlineStr">
        <is>
          <t>Sem antídoto específico; tratamento sintomático e descontaminação</t>
        </is>
      </c>
      <c r="T898" s="13" t="inlineStr">
        <is>
          <t>Rainbow Defensivos Agrícolas Ltda.- Porto Alegre/RS</t>
        </is>
      </c>
      <c r="U898" s="16">
        <f>HYPERLINK("https://www.wikiagro.com.br/data/bulas/17724_0b627f41.pdf", "Bula Oficial Tecanoa 500 SC (Rainbow/MAPA 17724)")</f>
        <v/>
      </c>
    </row>
    <row r="899" ht="22" customHeight="1">
      <c r="A899" s="5" t="n">
        <v>894</v>
      </c>
      <c r="B899" s="6" t="inlineStr">
        <is>
          <t>VINC-17724</t>
        </is>
      </c>
      <c r="C899" s="7" t="inlineStr">
        <is>
          <t>Tebuthiuron Técnico Rainbow</t>
        </is>
      </c>
      <c r="D899" s="8" t="inlineStr">
        <is>
          <t>Tebuthiuron Técnico Rainbow</t>
        </is>
      </c>
      <c r="E899" s="7" t="inlineStr">
        <is>
          <t>Produto Técnico Industrial</t>
        </is>
      </c>
      <c r="F899" s="7" t="inlineStr">
        <is>
          <t>Defensivos</t>
        </is>
      </c>
      <c r="G899" s="7" t="inlineStr">
        <is>
          <t>Produto Técnico (Herbicida) (Insumo Industrial / Técnico)</t>
        </is>
      </c>
      <c r="H899" s="7" t="inlineStr">
        <is>
          <t>TC</t>
        </is>
      </c>
      <c r="I899" s="7" t="inlineStr">
        <is>
          <t>Produto Técnico Industrial (TC)</t>
        </is>
      </c>
      <c r="J899" s="7" t="inlineStr">
        <is>
          <t>Herbicida de pré ou pós-emergência</t>
        </is>
      </c>
      <c r="K899" s="7" t="inlineStr">
        <is>
          <t>Ureia Substituída (Tiadiazolilureia)</t>
        </is>
      </c>
      <c r="L899" s="7" t="inlineStr">
        <is>
          <t>HRAC Grupo C2 (5) — Inibidores do Fotossistema II</t>
        </is>
      </c>
      <c r="M899" s="7" t="inlineStr">
        <is>
          <t>Inibição do transporte de elétrons no Fotossistema II</t>
        </is>
      </c>
      <c r="N899" s="7" t="inlineStr">
        <is>
          <t>Categoria 4 / 5 — Pouco Tóxico (Conforme Bula ANVISA)</t>
        </is>
      </c>
      <c r="O899" s="7" t="inlineStr">
        <is>
          <t>Azul PMS Blue 293 C</t>
        </is>
      </c>
      <c r="P899" s="7" t="inlineStr">
        <is>
          <t>Classe II / III — Perigoso ao Meio Ambiente</t>
        </is>
      </c>
      <c r="Q899" s="9" t="n">
        <v>24</v>
      </c>
      <c r="R899" s="7" t="inlineStr">
        <is>
          <t>Terrestre / Aérea (Drones consultar bula)</t>
        </is>
      </c>
      <c r="S899" s="7" t="inlineStr">
        <is>
          <t>Sem antídoto específico; tratamento sintomático e descontaminação</t>
        </is>
      </c>
      <c r="T899" s="7" t="inlineStr">
        <is>
          <t>Shandong Weifang Rainbow Chemical Co., Ltd. - Endereço: Binhai Economic Development Area, 262737, Weifang, Shandong, China (Vinc. Reg. 17724)</t>
        </is>
      </c>
      <c r="U899" s="10">
        <f>HYPERLINK("https://agrofit.agricultura.gov.br/agrofit_cons/principal_agrofit_cons", "Consulta Oficial AGROFIT/MAPA (VINC-17724)")</f>
        <v/>
      </c>
    </row>
    <row r="900" ht="22" customHeight="1">
      <c r="A900" s="11" t="n">
        <v>895</v>
      </c>
      <c r="B900" s="12" t="inlineStr">
        <is>
          <t>Nº 17824</t>
        </is>
      </c>
      <c r="C900" s="13" t="inlineStr">
        <is>
          <t>NUF150F400</t>
        </is>
      </c>
      <c r="D900" s="14" t="inlineStr">
        <is>
          <t>NUF150F400</t>
        </is>
      </c>
      <c r="E900" s="13" t="inlineStr">
        <is>
          <t>Produto Formulado Comercial</t>
        </is>
      </c>
      <c r="F900" s="13" t="inlineStr">
        <is>
          <t>Defensivos</t>
        </is>
      </c>
      <c r="G900" s="13" t="inlineStr">
        <is>
          <t>Herbicida</t>
        </is>
      </c>
      <c r="H900" s="13" t="inlineStr">
        <is>
          <t>EW</t>
        </is>
      </c>
      <c r="I900" s="13" t="inlineStr">
        <is>
          <t>Emulsão Óleo em Água (EW)</t>
        </is>
      </c>
      <c r="J900" s="13" t="inlineStr">
        <is>
          <t>Herbicida de pré ou pós-emergência</t>
        </is>
      </c>
      <c r="K900" s="13" t="inlineStr">
        <is>
          <t>Ácido piridiniloxialcanoico + Ácido piridinocarboxílico</t>
        </is>
      </c>
      <c r="L900" s="13" t="inlineStr">
        <is>
          <t>HRAC Grupo O (4) — Auxinas Sintéticas</t>
        </is>
      </c>
      <c r="M900" s="13" t="inlineStr">
        <is>
          <t>Mimetizadores de auxina sintética</t>
        </is>
      </c>
      <c r="N900" s="13" t="inlineStr">
        <is>
          <t>Categoria 4 / 5 — Pouco Tóxico (Conforme Bula ANVISA)</t>
        </is>
      </c>
      <c r="O900" s="13" t="inlineStr">
        <is>
          <t>Azul PMS Blue 293 C</t>
        </is>
      </c>
      <c r="P900" s="13" t="inlineStr">
        <is>
          <t>Classe II / III — Perigoso ao Meio Ambiente</t>
        </is>
      </c>
      <c r="Q900" s="15" t="n">
        <v>24</v>
      </c>
      <c r="R900" s="13" t="inlineStr">
        <is>
          <t>Terrestre / Aérea (Drones consultar bula)</t>
        </is>
      </c>
      <c r="S900" s="13" t="inlineStr">
        <is>
          <t>Sem antídoto específico; tratamento sintomático e descontaminação</t>
        </is>
      </c>
      <c r="T900" s="13" t="inlineStr">
        <is>
          <t>Sumitomo Chemical do Brasil Representações Ltda.- São Paulo/SP</t>
        </is>
      </c>
      <c r="U900" s="16">
        <f>HYPERLINK("https://revistacultivar.com.br/pesticida/nuf150f400", "Bula Oficial NUF150F400 (Sumitomo/MAPA 17824)")</f>
        <v/>
      </c>
    </row>
    <row r="901" ht="22" customHeight="1">
      <c r="A901" s="5" t="n">
        <v>896</v>
      </c>
      <c r="B901" s="6" t="inlineStr">
        <is>
          <t>VINC-17824</t>
        </is>
      </c>
      <c r="C901" s="7" t="inlineStr">
        <is>
          <t>Triclopir-Butotílico Técnico Sumitomo</t>
        </is>
      </c>
      <c r="D901" s="8" t="inlineStr">
        <is>
          <t>Triclopir-Butotílico Técnico Sumitomo</t>
        </is>
      </c>
      <c r="E901" s="7" t="inlineStr">
        <is>
          <t>Produto Técnico Industrial</t>
        </is>
      </c>
      <c r="F901" s="7" t="inlineStr">
        <is>
          <t>Defensivos</t>
        </is>
      </c>
      <c r="G901" s="7" t="inlineStr">
        <is>
          <t>Produto Técnico (Herbicida) (Insumo Industrial / Técnico)</t>
        </is>
      </c>
      <c r="H901" s="7" t="inlineStr">
        <is>
          <t>TC</t>
        </is>
      </c>
      <c r="I901" s="7" t="inlineStr">
        <is>
          <t>Produto Técnico Industrial (TC)</t>
        </is>
      </c>
      <c r="J901" s="7" t="inlineStr">
        <is>
          <t>Herbicida sistêmico seletivo de pós-emergência</t>
        </is>
      </c>
      <c r="K901" s="7" t="inlineStr">
        <is>
          <t>Ácido piridiniloxialcanoico</t>
        </is>
      </c>
      <c r="L901" s="7" t="inlineStr">
        <is>
          <t>HRAC Grupo O (4) — Auxinas Sintéticas</t>
        </is>
      </c>
      <c r="M901" s="7" t="inlineStr">
        <is>
          <t>Mimetizadores de auxina sintética</t>
        </is>
      </c>
      <c r="N901" s="7" t="inlineStr">
        <is>
          <t>Categoria 4 — Produto Pouco Tóxico</t>
        </is>
      </c>
      <c r="O901" s="7" t="inlineStr">
        <is>
          <t>Azul PMS Blue 293 C</t>
        </is>
      </c>
      <c r="P901" s="7" t="inlineStr">
        <is>
          <t>Classe II — Produto Muito Perigoso ao Meio Ambiente</t>
        </is>
      </c>
      <c r="Q901" s="9" t="n">
        <v>24</v>
      </c>
      <c r="R901" s="7" t="inlineStr">
        <is>
          <t>Terrestre / Aérea (Drones consultar bula)</t>
        </is>
      </c>
      <c r="S901" s="7" t="inlineStr">
        <is>
          <t>Sem antídoto específico; tratamento sintomático</t>
        </is>
      </c>
      <c r="T901" s="7" t="inlineStr">
        <is>
          <t>Hebei Wanquan Lihua Chemicals Co. Ltd - Endereço: Kongjiazhuang - Wanquan, Hebei Province, China. Produto Técnico(Picloram Técnico Sumitomo): Nome: Nufarm Australia Limited. - Endereço: 103-105 Pipe Road, Laverton North 3026, Victoria, Austrália (Vinc. Reg. 17824)</t>
        </is>
      </c>
      <c r="U901" s="10">
        <f>HYPERLINK("https://agrofit.agricultura.gov.br/agrofit_cons/principal_agrofit_cons", "Consulta Oficial AGROFIT/MAPA (VINC-17824)")</f>
        <v/>
      </c>
    </row>
    <row r="902" ht="22" customHeight="1">
      <c r="A902" s="11" t="n">
        <v>897</v>
      </c>
      <c r="B902" s="12" t="inlineStr">
        <is>
          <t>Nº 17924</t>
        </is>
      </c>
      <c r="C902" s="13" t="inlineStr">
        <is>
          <t>CIFRÃO</t>
        </is>
      </c>
      <c r="D902" s="14" t="inlineStr">
        <is>
          <t>CIFRÃO</t>
        </is>
      </c>
      <c r="E902" s="13" t="inlineStr">
        <is>
          <t>Produto Formulado Comercial</t>
        </is>
      </c>
      <c r="F902" s="13" t="inlineStr">
        <is>
          <t>Defensivos</t>
        </is>
      </c>
      <c r="G902" s="13" t="inlineStr">
        <is>
          <t>Inseticida</t>
        </is>
      </c>
      <c r="H902" s="13" t="inlineStr">
        <is>
          <t>SC</t>
        </is>
      </c>
      <c r="I902" s="13" t="inlineStr">
        <is>
          <t>Suspensão Concentrada (SC)</t>
        </is>
      </c>
      <c r="J902" s="13" t="inlineStr">
        <is>
          <t>Inseticida/acaricida de contato e ingestão</t>
        </is>
      </c>
      <c r="K902" s="13" t="inlineStr">
        <is>
          <t>Neonicotinoide + Piretroide (Tipo II)</t>
        </is>
      </c>
      <c r="L902" s="13" t="inlineStr">
        <is>
          <t>IRAC Grupo 4A + IRAC Grupo 3A</t>
        </is>
      </c>
      <c r="M902" s="13" t="inlineStr">
        <is>
          <t>Moduladores competitivos dos receptores nicotínicos da acetilcolina (nAChR); Moduladores de canais de sódio em membranas nervosas</t>
        </is>
      </c>
      <c r="N902" s="13" t="inlineStr">
        <is>
          <t>Categoria 3 / 4 — Moderadamente a Pouco Tóxico</t>
        </is>
      </c>
      <c r="O902" s="13" t="inlineStr">
        <is>
          <t>Amarelo / Azul</t>
        </is>
      </c>
      <c r="P902" s="13" t="inlineStr">
        <is>
          <t>Classe II — Produto Muito Perigoso ao Meio Ambiente</t>
        </is>
      </c>
      <c r="Q902" s="15" t="n">
        <v>24</v>
      </c>
      <c r="R902" s="13" t="inlineStr">
        <is>
          <t>Terrestre / Aérea (Drones consultar bula)</t>
        </is>
      </c>
      <c r="S902" s="13" t="inlineStr">
        <is>
          <t>Tratamento sintomático conforme grupo químico na bula</t>
        </is>
      </c>
      <c r="T902" s="13" t="inlineStr">
        <is>
          <t>Helm do Brasil Mercantil Ltda.- São Paulo/SP</t>
        </is>
      </c>
      <c r="U902" s="16">
        <f>HYPERLINK("https://revistacultivar.com.br/pesticida/cifrao", "Bula Oficial Cifrão (Helm/MAPA 17924)")</f>
        <v/>
      </c>
    </row>
    <row r="903" ht="22" customHeight="1">
      <c r="A903" s="5" t="n">
        <v>898</v>
      </c>
      <c r="B903" s="6" t="inlineStr">
        <is>
          <t>VINC-17924</t>
        </is>
      </c>
      <c r="C903" s="7" t="inlineStr">
        <is>
          <t>Imidacloprid 97 Técnico Helm</t>
        </is>
      </c>
      <c r="D903" s="8" t="inlineStr">
        <is>
          <t>Imidacloprid 97 Técnico Helm</t>
        </is>
      </c>
      <c r="E903" s="7" t="inlineStr">
        <is>
          <t>Produto Técnico Industrial</t>
        </is>
      </c>
      <c r="F903" s="7" t="inlineStr">
        <is>
          <t>Defensivos</t>
        </is>
      </c>
      <c r="G903" s="7" t="inlineStr">
        <is>
          <t>Produto Técnico (Inseticida / Acaricida) (Insumo Industrial / Técnico)</t>
        </is>
      </c>
      <c r="H903" s="7" t="inlineStr">
        <is>
          <t>TC</t>
        </is>
      </c>
      <c r="I903" s="7" t="inlineStr">
        <is>
          <t>Produto Técnico Industrial (TC)</t>
        </is>
      </c>
      <c r="J903" s="7" t="inlineStr">
        <is>
          <t>Inseticida de contato e ingestão com efeito de choque</t>
        </is>
      </c>
      <c r="K903" s="7" t="inlineStr">
        <is>
          <t>Neonicotinoide</t>
        </is>
      </c>
      <c r="L903" s="7" t="inlineStr">
        <is>
          <t>IRAC Grupo 4A</t>
        </is>
      </c>
      <c r="M903" s="7" t="inlineStr">
        <is>
          <t>Moduladores competitivos dos receptores nicotínicos da acetilcolina (nAChR)</t>
        </is>
      </c>
      <c r="N903" s="7" t="inlineStr">
        <is>
          <t>Categoria 3 / 4 — Moderadamente a Pouco Tóxico</t>
        </is>
      </c>
      <c r="O903" s="7" t="inlineStr">
        <is>
          <t>Amarelo / Azul</t>
        </is>
      </c>
      <c r="P903" s="7" t="inlineStr">
        <is>
          <t>Classe II — Produto Muito Perigoso ao Meio Ambiente</t>
        </is>
      </c>
      <c r="Q903" s="9" t="n">
        <v>24</v>
      </c>
      <c r="R903" s="7" t="inlineStr">
        <is>
          <t>Terrestre / Aérea (Drones consultar bula)</t>
        </is>
      </c>
      <c r="S903" s="7" t="inlineStr">
        <is>
          <t>Sem antídoto específico; anti-histamínicos e suporte sintomático</t>
        </is>
      </c>
      <c r="T903" s="7" t="inlineStr">
        <is>
          <t>Jiangsu Changlong Chemicals Co., Ltd. - Endereço: Longhu Tang, New District of Changzhou, 213031, Jiangsu - China. Produto Técnico(Lambda-Cyhalothrin 97 Técnico Helm): Nome: Jiangsu Changlong Chemicals Co., Ltd. - Endereço: Longhu Tang, New District of Changzhou, 213031, Jiangsu - China (Vinc. Reg. 17924)</t>
        </is>
      </c>
      <c r="U903" s="10">
        <f>HYPERLINK("https://agrofit.agricultura.gov.br/agrofit_cons/principal_agrofit_cons", "Consulta Oficial AGROFIT/MAPA (VINC-17924)")</f>
        <v/>
      </c>
    </row>
    <row r="904" ht="22" customHeight="1">
      <c r="A904" s="11" t="n">
        <v>899</v>
      </c>
      <c r="B904" s="12" t="inlineStr">
        <is>
          <t>Nº 18024</t>
        </is>
      </c>
      <c r="C904" s="13" t="inlineStr">
        <is>
          <t>P&amp;D 149 B</t>
        </is>
      </c>
      <c r="D904" s="14" t="inlineStr">
        <is>
          <t>P&amp;D 149 B</t>
        </is>
      </c>
      <c r="E904" s="13" t="inlineStr">
        <is>
          <t>Produto Formulado Comercial</t>
        </is>
      </c>
      <c r="F904" s="13" t="inlineStr">
        <is>
          <t>Defensivos</t>
        </is>
      </c>
      <c r="G904" s="13" t="inlineStr">
        <is>
          <t>Inseticida</t>
        </is>
      </c>
      <c r="H904" s="13" t="inlineStr">
        <is>
          <t>WP</t>
        </is>
      </c>
      <c r="I904" s="13" t="inlineStr">
        <is>
          <t>Pó Molhável (WP)</t>
        </is>
      </c>
      <c r="J904" s="13" t="inlineStr">
        <is>
          <t>Micoinseticida e micoacaricida biológico de contato</t>
        </is>
      </c>
      <c r="K904" s="13" t="inlineStr">
        <is>
          <t>Agente Microbiológico de Controle (Fungo Entomopatogênico)</t>
        </is>
      </c>
      <c r="L904" s="13" t="inlineStr">
        <is>
          <t>IRAC Grupo UNF — Biológico Multissítio</t>
        </is>
      </c>
      <c r="M904" s="13" t="inlineStr">
        <is>
          <t>Infecção tegumentar por conídios, penetração enzimática e colonização da hemocele</t>
        </is>
      </c>
      <c r="N904" s="13" t="inlineStr">
        <is>
          <t>Categoria 5 / Não Classificado — Baixo Risco Agudo</t>
        </is>
      </c>
      <c r="O904" s="13" t="inlineStr">
        <is>
          <t>Azul Intenso</t>
        </is>
      </c>
      <c r="P904" s="13" t="inlineStr">
        <is>
          <t>Classe IV — Produto Pouco Perigoso ao Meio Ambiente</t>
        </is>
      </c>
      <c r="Q904" s="15" t="n">
        <v>24</v>
      </c>
      <c r="R904" s="13" t="inlineStr">
        <is>
          <t>Terrestre / Aérea (Drones consultar bula)</t>
        </is>
      </c>
      <c r="S904" s="13" t="inlineStr">
        <is>
          <t>Sem antídoto; tratamento sintomático em caso de hipersensibilidade/alergia</t>
        </is>
      </c>
      <c r="T904" s="13" t="inlineStr">
        <is>
          <t>Massen Produtos Biológicos S.A.- Indaiatuba/SP</t>
        </is>
      </c>
      <c r="U904" s="16">
        <f>HYPERLINK("https://agrofit.agricultura.gov.br/agrofit_cons/principal_agrofit_cons", "Consulta Oficial AGROFIT/MAPA (Nº 18024)")</f>
        <v/>
      </c>
    </row>
    <row r="905" ht="22" customHeight="1">
      <c r="A905" s="5" t="n">
        <v>900</v>
      </c>
      <c r="B905" s="6" t="inlineStr">
        <is>
          <t>Nº 18124</t>
        </is>
      </c>
      <c r="C905" s="7" t="inlineStr">
        <is>
          <t>EVOLUT DUO</t>
        </is>
      </c>
      <c r="D905" s="8" t="inlineStr">
        <is>
          <t>EVOLUT DUO</t>
        </is>
      </c>
      <c r="E905" s="7" t="inlineStr">
        <is>
          <t>Produto Formulado Comercial</t>
        </is>
      </c>
      <c r="F905" s="7" t="inlineStr">
        <is>
          <t>Defensivos</t>
        </is>
      </c>
      <c r="G905" s="7" t="inlineStr">
        <is>
          <t>Inseticida</t>
        </is>
      </c>
      <c r="H905" s="7" t="inlineStr">
        <is>
          <t>WP</t>
        </is>
      </c>
      <c r="I905" s="7" t="inlineStr">
        <is>
          <t>Pó Molhável (WP)</t>
        </is>
      </c>
      <c r="J905" s="7" t="inlineStr">
        <is>
          <t>Micoinseticida e micoacaricida biológico de contato</t>
        </is>
      </c>
      <c r="K905" s="7" t="inlineStr">
        <is>
          <t>Agente Microbiológico de Controle (Fungo Entomopatogênico)</t>
        </is>
      </c>
      <c r="L905" s="7" t="inlineStr">
        <is>
          <t>IRAC Grupo UNF — Biológico Multissítio</t>
        </is>
      </c>
      <c r="M905" s="7" t="inlineStr">
        <is>
          <t>Infecção tegumentar por conídios, penetração enzimática e colonização da hemocele</t>
        </is>
      </c>
      <c r="N905" s="7" t="inlineStr">
        <is>
          <t>Categoria 5 / Não Classificado — Baixo Risco Agudo</t>
        </is>
      </c>
      <c r="O905" s="7" t="inlineStr">
        <is>
          <t>Azul Intenso</t>
        </is>
      </c>
      <c r="P905" s="7" t="inlineStr">
        <is>
          <t>Classe IV — Produto Pouco Perigoso ao Meio Ambiente</t>
        </is>
      </c>
      <c r="Q905" s="9" t="n">
        <v>24</v>
      </c>
      <c r="R905" s="7" t="inlineStr">
        <is>
          <t>Terrestre / Aérea (Drones consultar bula)</t>
        </is>
      </c>
      <c r="S905" s="7" t="inlineStr">
        <is>
          <t>Sem antídoto; tratamento sintomático em caso de hipersensibilidade/alergia</t>
        </is>
      </c>
      <c r="T905" s="7" t="inlineStr">
        <is>
          <t>Alfa Agrotec Produtos Agrícolas Ltda- Jaboticabal/SP</t>
        </is>
      </c>
      <c r="U905" s="10">
        <f>HYPERLINK("https://agrofit.agricultura.gov.br/agrofit_cons/principal_agrofit_cons", "Consulta Oficial AGROFIT/MAPA (Nº 18124)")</f>
        <v/>
      </c>
    </row>
    <row r="906" ht="22" customHeight="1">
      <c r="A906" s="11" t="n">
        <v>901</v>
      </c>
      <c r="B906" s="12" t="inlineStr">
        <is>
          <t>Nº 18224</t>
        </is>
      </c>
      <c r="C906" s="13" t="inlineStr">
        <is>
          <t>FUNGUS HIZIUM</t>
        </is>
      </c>
      <c r="D906" s="14" t="inlineStr">
        <is>
          <t>FUNGUS HIZIUM</t>
        </is>
      </c>
      <c r="E906" s="13" t="inlineStr">
        <is>
          <t>Produto Formulado Comercial</t>
        </is>
      </c>
      <c r="F906" s="13" t="inlineStr">
        <is>
          <t>Defensivos</t>
        </is>
      </c>
      <c r="G906" s="13" t="inlineStr">
        <is>
          <t>Inseticida</t>
        </is>
      </c>
      <c r="H906" s="13" t="inlineStr">
        <is>
          <t>EC</t>
        </is>
      </c>
      <c r="I906" s="13" t="inlineStr">
        <is>
          <t>Concentrado Emulsionável (EC)</t>
        </is>
      </c>
      <c r="J906" s="13" t="inlineStr">
        <is>
          <t>Inseticida/acaricida de contato e ingestão</t>
        </is>
      </c>
      <c r="K906" s="13" t="inlineStr">
        <is>
          <t>Agente Microbiológico de Controle (Fungo Entomopatogênico)</t>
        </is>
      </c>
      <c r="L906" s="13" t="inlineStr">
        <is>
          <t>IRAC Grupo UNF — Bioinseticida Microbiológico</t>
        </is>
      </c>
      <c r="M906" s="13" t="inlineStr">
        <is>
          <t>Infecção tegumentar por conídios, penetração hemocélica e produção de destruxinas</t>
        </is>
      </c>
      <c r="N906" s="13" t="inlineStr">
        <is>
          <t>Categoria 3 / 4 — Moderadamente a Pouco Tóxico</t>
        </is>
      </c>
      <c r="O906" s="13" t="inlineStr">
        <is>
          <t>Amarelo / Azul</t>
        </is>
      </c>
      <c r="P906" s="13" t="inlineStr">
        <is>
          <t>Classe II — Produto Muito Perigoso ao Meio Ambiente</t>
        </is>
      </c>
      <c r="Q906" s="15" t="n">
        <v>24</v>
      </c>
      <c r="R906" s="13" t="inlineStr">
        <is>
          <t>Terrestre / Aérea (Drones consultar bula)</t>
        </is>
      </c>
      <c r="S906" s="13" t="inlineStr">
        <is>
          <t>Tratamento sintomático conforme grupo químico na bula</t>
        </is>
      </c>
      <c r="T906" s="13" t="inlineStr">
        <is>
          <t>Organoplant - Indústria, Comércio, Importação e Exportação de Produtos Agrícolas Ltda.- Martinóplois/SP</t>
        </is>
      </c>
      <c r="U906" s="16">
        <f>HYPERLINK("https://agrofit.agricultura.gov.br/agrofit_cons/principal_agrofit_cons", "Consulta Oficial AGROFIT/MAPA (Nº 18224)")</f>
        <v/>
      </c>
    </row>
    <row r="907" ht="22" customHeight="1">
      <c r="A907" s="5" t="n">
        <v>902</v>
      </c>
      <c r="B907" s="6" t="inlineStr">
        <is>
          <t>Nº 18324</t>
        </is>
      </c>
      <c r="C907" s="7" t="inlineStr">
        <is>
          <t>GLÁDIOS</t>
        </is>
      </c>
      <c r="D907" s="8" t="inlineStr">
        <is>
          <t>GLÁDIOS</t>
        </is>
      </c>
      <c r="E907" s="7" t="inlineStr">
        <is>
          <t>Produto Formulado Comercial</t>
        </is>
      </c>
      <c r="F907" s="7" t="inlineStr">
        <is>
          <t>Defensivos</t>
        </is>
      </c>
      <c r="G907" s="7" t="inlineStr">
        <is>
          <t>Nematicida / Bionematicida</t>
        </is>
      </c>
      <c r="H907" s="7" t="inlineStr">
        <is>
          <t>WP</t>
        </is>
      </c>
      <c r="I907" s="7" t="inlineStr">
        <is>
          <t>Pó Molhável (WP)</t>
        </is>
      </c>
      <c r="J907" s="7" t="inlineStr">
        <is>
          <t>Inseticida/acaricida de contato e ingestão</t>
        </is>
      </c>
      <c r="K907" s="7" t="inlineStr">
        <is>
          <t>Agente Microbiológico de Controle (Fungo Nematófago)</t>
        </is>
      </c>
      <c r="L907" s="7" t="inlineStr">
        <is>
          <t>Bionematicida Microbiológico (MAPA)</t>
        </is>
      </c>
      <c r="M907" s="7" t="inlineStr">
        <is>
          <t>Parasitismo de ovos, juvenis e fêmeas de fitonematoides por hifas e enzimas quitinolíticas</t>
        </is>
      </c>
      <c r="N907" s="7" t="inlineStr">
        <is>
          <t>Categoria 3 / 4 — Moderadamente a Pouco Tóxico</t>
        </is>
      </c>
      <c r="O907" s="7" t="inlineStr">
        <is>
          <t>Amarelo / Azul</t>
        </is>
      </c>
      <c r="P907" s="7" t="inlineStr">
        <is>
          <t>Classe II — Produto Muito Perigoso ao Meio Ambiente</t>
        </is>
      </c>
      <c r="Q907" s="9" t="n">
        <v>24</v>
      </c>
      <c r="R907" s="7" t="inlineStr">
        <is>
          <t>Terrestre / Aérea (Drones consultar bula)</t>
        </is>
      </c>
      <c r="S907" s="7" t="inlineStr">
        <is>
          <t>Tratamento sintomático conforme grupo químico na bula</t>
        </is>
      </c>
      <c r="T907" s="7" t="inlineStr">
        <is>
          <t>Companhia Nitro Química Brasileira- Sertãozinho/SP</t>
        </is>
      </c>
      <c r="U907" s="10">
        <f>HYPERLINK("https://assets.revistacultivar.com.br/9fff9484-0f7c-4324-882f-71e21e38295d_gladios_bula.pdf", "Bula Oficial Gládios (Nitro Química/MAPA 18324)")</f>
        <v/>
      </c>
    </row>
    <row r="908" ht="22" customHeight="1">
      <c r="A908" s="11" t="n">
        <v>903</v>
      </c>
      <c r="B908" s="12" t="inlineStr">
        <is>
          <t>Nº 18424</t>
        </is>
      </c>
      <c r="C908" s="13" t="inlineStr">
        <is>
          <t>PHOSAL</t>
        </is>
      </c>
      <c r="D908" s="14" t="inlineStr">
        <is>
          <t>PHOSAL</t>
        </is>
      </c>
      <c r="E908" s="13" t="inlineStr">
        <is>
          <t>Produto Formulado Comercial</t>
        </is>
      </c>
      <c r="F908" s="13" t="inlineStr">
        <is>
          <t>Defensivos</t>
        </is>
      </c>
      <c r="G908" s="13" t="inlineStr">
        <is>
          <t>Inseticida Fumigante (Fosfeto de Alumínio)</t>
        </is>
      </c>
      <c r="H908" s="13" t="inlineStr">
        <is>
          <t>GE</t>
        </is>
      </c>
      <c r="I908" s="13" t="inlineStr">
        <is>
          <t>Gás Gerado por Reação Química — Pastilhas Fumigantes (GE)</t>
        </is>
      </c>
      <c r="J908" s="13" t="inlineStr">
        <is>
          <t>Inseticida e cupinicida fumigante gerador de gás fosfina (PH3) por reação com umidade</t>
        </is>
      </c>
      <c r="K908" s="13" t="inlineStr">
        <is>
          <t>Inorgânico Fosfeto Metálico (Gerador de Fosfina)</t>
        </is>
      </c>
      <c r="L908" s="13" t="inlineStr">
        <is>
          <t>IRAC Grupo 24A — Fumigante Inibidor do Complexo IV</t>
        </is>
      </c>
      <c r="M908" s="13" t="inlineStr">
        <is>
          <t>Inibição do transporte de elétrons mitocondrial no Complexo IV via gás fosfina</t>
        </is>
      </c>
      <c r="N908" s="13" t="inlineStr">
        <is>
          <t>Categoria 1 — Produto Extremamente Tóxico</t>
        </is>
      </c>
      <c r="O908" s="13" t="inlineStr">
        <is>
          <t>Vermelho PMS Red 199 C</t>
        </is>
      </c>
      <c r="P908" s="13" t="inlineStr">
        <is>
          <t>Classe II — Produto Muito Perigoso ao Meio Ambiente</t>
        </is>
      </c>
      <c r="Q908" s="15" t="n">
        <v>48</v>
      </c>
      <c r="R908" s="13" t="inlineStr">
        <is>
          <t>Fumigação / Expurgo Hermético em Silos e Armazéns (Vedada Pulverização Líquida)</t>
        </is>
      </c>
      <c r="S908" s="13" t="inlineStr">
        <is>
          <t>Sem antídoto específico; suporte ventilatório e hemodinâmico intensivo imediato (Intoxicação por gás Fosfina PH3)</t>
        </is>
      </c>
      <c r="T908" s="13" t="inlineStr">
        <is>
          <t>Partner Agroservice Consultoria em Agronogócio Ltda-EPP.- Campinas/SP</t>
        </is>
      </c>
      <c r="U908" s="16">
        <f>HYPERLINK("https://agrofit.agricultura.gov.br/agrofit_cons/principal_agrofit_cons", "Consulta Oficial AGROFIT/MAPA (Nº 18424)")</f>
        <v/>
      </c>
    </row>
    <row r="909" ht="22" customHeight="1">
      <c r="A909" s="5" t="n">
        <v>904</v>
      </c>
      <c r="B909" s="6" t="inlineStr">
        <is>
          <t>Nº 18524</t>
        </is>
      </c>
      <c r="C909" s="7" t="inlineStr">
        <is>
          <t>BRADOOCK 72 WG BR</t>
        </is>
      </c>
      <c r="D909" s="8" t="inlineStr">
        <is>
          <t>BRADOOCK 72 WG BR</t>
        </is>
      </c>
      <c r="E909" s="7" t="inlineStr">
        <is>
          <t>Produto Formulado Comercial</t>
        </is>
      </c>
      <c r="F909" s="7" t="inlineStr">
        <is>
          <t>Defensivos</t>
        </is>
      </c>
      <c r="G909" s="7" t="inlineStr">
        <is>
          <t>Herbicida</t>
        </is>
      </c>
      <c r="H909" s="7" t="inlineStr">
        <is>
          <t>WG</t>
        </is>
      </c>
      <c r="I909" s="7" t="inlineStr">
        <is>
          <t>Grânulos Dispersíveis em Água (WG)</t>
        </is>
      </c>
      <c r="J909" s="7" t="inlineStr">
        <is>
          <t>Herbicida sistêmico de pós-emergência (seletivo condicional p/ OGM)</t>
        </is>
      </c>
      <c r="K909" s="7" t="inlineStr">
        <is>
          <t>Glicina substituída</t>
        </is>
      </c>
      <c r="L909" s="7" t="inlineStr">
        <is>
          <t>HRAC Grupo G (9) — Inibidores da EPSPs</t>
        </is>
      </c>
      <c r="M909" s="7" t="inlineStr">
        <is>
          <t>Inibidores da enzima EPSPs (Enoil Piruvil Shiquimato Fosfato Sintase)</t>
        </is>
      </c>
      <c r="N909" s="7" t="inlineStr">
        <is>
          <t>Categoria 5: Produto Improvável de Causa Dano Agudo</t>
        </is>
      </c>
      <c r="O909" s="7" t="inlineStr">
        <is>
          <t>Azul</t>
        </is>
      </c>
      <c r="P909" s="7" t="inlineStr">
        <is>
          <t>Classe III / IV — Perigoso a Pouco Perigoso ao Meio Ambiente</t>
        </is>
      </c>
      <c r="Q909" s="9" t="n">
        <v>24</v>
      </c>
      <c r="R909" s="7" t="inlineStr">
        <is>
          <t>Terrestre / Aérea (Drones consultar bula)</t>
        </is>
      </c>
      <c r="S909" s="7" t="inlineStr">
        <is>
          <t>Sem antídoto específico (Atropina ineficaz); tratamento sintomático</t>
        </is>
      </c>
      <c r="T909" s="7" t="inlineStr">
        <is>
          <t>SOLUS DO BRASIL LTDA</t>
        </is>
      </c>
      <c r="U909" s="10">
        <f>HYPERLINK("https://www.adapar.pr.gov.br/Pagina/Agrotoxicos-Herbicidas", "Registro Oficial Bradoock 72 WG BR (Solus - MAPA 18524)")</f>
        <v/>
      </c>
    </row>
    <row r="910" ht="22" customHeight="1">
      <c r="A910" s="11" t="n">
        <v>905</v>
      </c>
      <c r="B910" s="12" t="inlineStr">
        <is>
          <t>VINC-18524</t>
        </is>
      </c>
      <c r="C910" s="13" t="inlineStr">
        <is>
          <t>Glifosato Técnico Biorisk</t>
        </is>
      </c>
      <c r="D910" s="14" t="inlineStr">
        <is>
          <t>Glifosato Técnico Biorisk</t>
        </is>
      </c>
      <c r="E910" s="13" t="inlineStr">
        <is>
          <t>Produto Técnico Industrial</t>
        </is>
      </c>
      <c r="F910" s="13" t="inlineStr">
        <is>
          <t>Defensivos</t>
        </is>
      </c>
      <c r="G910" s="13" t="inlineStr">
        <is>
          <t>Produto Técnico (Herbicida) (Insumo Industrial / Técnico)</t>
        </is>
      </c>
      <c r="H910" s="13" t="inlineStr">
        <is>
          <t>TC</t>
        </is>
      </c>
      <c r="I910" s="13" t="inlineStr">
        <is>
          <t>Produto Técnico Industrial (TC)</t>
        </is>
      </c>
      <c r="J910" s="13" t="inlineStr">
        <is>
          <t>Herbicida sistêmico de pós-emergência (seletivo condicional p/ OGM)</t>
        </is>
      </c>
      <c r="K910" s="13" t="inlineStr">
        <is>
          <t>Glicina substituída</t>
        </is>
      </c>
      <c r="L910" s="13" t="inlineStr">
        <is>
          <t>HRAC Grupo G (EPSPs)</t>
        </is>
      </c>
      <c r="M910" s="13" t="inlineStr">
        <is>
          <t>Inibidores da enzima EPSPs (Enoil Piruvil Shiquimato Fosfato Sintase)</t>
        </is>
      </c>
      <c r="N910" s="13" t="inlineStr">
        <is>
          <t>Categoria 5 — Produto Improvável de Causar Dano Agudo</t>
        </is>
      </c>
      <c r="O910" s="13" t="inlineStr">
        <is>
          <t>Azul Intenso</t>
        </is>
      </c>
      <c r="P910" s="13" t="inlineStr">
        <is>
          <t>Classe III / IV — Perigoso a Pouco Perigoso ao Meio Ambiente</t>
        </is>
      </c>
      <c r="Q910" s="15" t="n">
        <v>24</v>
      </c>
      <c r="R910" s="13" t="inlineStr">
        <is>
          <t>Terrestre / Aérea (Drones consultar bula)</t>
        </is>
      </c>
      <c r="S910" s="13" t="inlineStr">
        <is>
          <t>Sem antídoto específico (Atropina ineficaz); tratamento sintomático</t>
        </is>
      </c>
      <c r="T910" s="13" t="inlineStr">
        <is>
          <t>Jingma Chemicals Co., Ltd - Endereço: No.50 Baota Road, Longyou , Quzhou City, Zhejiang Province - China (Vinc. Reg. 18524)</t>
        </is>
      </c>
      <c r="U910" s="16">
        <f>HYPERLINK("https://agrofit.agricultura.gov.br/agrofit_cons/principal_agrofit_cons", "Consulta Oficial AGROFIT/MAPA (VINC-18524)")</f>
        <v/>
      </c>
    </row>
    <row r="911" ht="22" customHeight="1">
      <c r="A911" s="5" t="n">
        <v>906</v>
      </c>
      <c r="B911" s="6" t="inlineStr">
        <is>
          <t>Nº 18624</t>
        </is>
      </c>
      <c r="C911" s="7" t="inlineStr">
        <is>
          <t>ORSA 400 EC</t>
        </is>
      </c>
      <c r="D911" s="8" t="inlineStr">
        <is>
          <t>ORSA 400 EC</t>
        </is>
      </c>
      <c r="E911" s="7" t="inlineStr">
        <is>
          <t>Produto Formulado Comercial</t>
        </is>
      </c>
      <c r="F911" s="7" t="inlineStr">
        <is>
          <t>Defensivos</t>
        </is>
      </c>
      <c r="G911" s="7" t="inlineStr">
        <is>
          <t>Inseticida</t>
        </is>
      </c>
      <c r="H911" s="7" t="inlineStr">
        <is>
          <t>EC</t>
        </is>
      </c>
      <c r="I911" s="7" t="inlineStr">
        <is>
          <t>Concentrado Emulsionável (EC)</t>
        </is>
      </c>
      <c r="J911" s="7" t="inlineStr">
        <is>
          <t>Inseticida e acaricida de contato e ingestão</t>
        </is>
      </c>
      <c r="K911" s="7" t="inlineStr">
        <is>
          <t>Piretroide (Tipo I)</t>
        </is>
      </c>
      <c r="L911" s="7" t="inlineStr">
        <is>
          <t>IRAC Grupo 3A</t>
        </is>
      </c>
      <c r="M911" s="7" t="inlineStr">
        <is>
          <t>Moduladores de canais de sódio em membranas nervosas</t>
        </is>
      </c>
      <c r="N911" s="7" t="inlineStr">
        <is>
          <t>Categoria 3 — Produto Moderadamente Tóxico</t>
        </is>
      </c>
      <c r="O911" s="7" t="inlineStr">
        <is>
          <t>Amarelo PMS Yellow C</t>
        </is>
      </c>
      <c r="P911" s="7" t="inlineStr">
        <is>
          <t>Classe II — Produto Muito Perigoso ao Meio Ambiente</t>
        </is>
      </c>
      <c r="Q911" s="9" t="n">
        <v>24</v>
      </c>
      <c r="R911" s="7" t="inlineStr">
        <is>
          <t>Terrestre / Aérea (Drones consultar bula)</t>
        </is>
      </c>
      <c r="S911" s="7" t="inlineStr">
        <is>
          <t>Sem antídoto específico; anti-histamínicos e vitamina E tópica para parestesia</t>
        </is>
      </c>
      <c r="T911" s="7" t="inlineStr">
        <is>
          <t>Tecnomyl Brasil Distribuidora de Produtos Agrícolas Ltda.- Foz do Iguaçu/PR</t>
        </is>
      </c>
      <c r="U911" s="10">
        <f>HYPERLINK("https://agrofit.agricultura.gov.br/agrofit_cons/principal_agrofit_cons", "Consulta Oficial AGROFIT/MAPA (Nº 18624)")</f>
        <v/>
      </c>
    </row>
    <row r="912" ht="22" customHeight="1">
      <c r="A912" s="11" t="n">
        <v>907</v>
      </c>
      <c r="B912" s="12" t="inlineStr">
        <is>
          <t>Nº 18624</t>
        </is>
      </c>
      <c r="C912" s="13" t="inlineStr">
        <is>
          <t>BIFENTRINA 400 EC TECNOMYL</t>
        </is>
      </c>
      <c r="D912" s="14" t="inlineStr">
        <is>
          <t>BIFENTRINA 400 EC TECNOMYL</t>
        </is>
      </c>
      <c r="E912" s="13" t="inlineStr">
        <is>
          <t>Produto Formulado Comercial</t>
        </is>
      </c>
      <c r="F912" s="13" t="inlineStr">
        <is>
          <t>Defensivos</t>
        </is>
      </c>
      <c r="G912" s="13" t="inlineStr">
        <is>
          <t>Inseticida</t>
        </is>
      </c>
      <c r="H912" s="13" t="inlineStr">
        <is>
          <t>EC</t>
        </is>
      </c>
      <c r="I912" s="13" t="inlineStr">
        <is>
          <t>Concentrado Emulsionável (EC)</t>
        </is>
      </c>
      <c r="J912" s="13" t="inlineStr">
        <is>
          <t>Inseticida e acaricida de contato e ingestão</t>
        </is>
      </c>
      <c r="K912" s="13" t="inlineStr">
        <is>
          <t>Piretroide (Tipo I)</t>
        </is>
      </c>
      <c r="L912" s="13" t="inlineStr">
        <is>
          <t>IRAC Grupo 3A</t>
        </is>
      </c>
      <c r="M912" s="13" t="inlineStr">
        <is>
          <t>Moduladores de canais de sódio em membranas nervosas</t>
        </is>
      </c>
      <c r="N912" s="13" t="inlineStr">
        <is>
          <t>Categoria 3 — Produto Moderadamente Tóxico</t>
        </is>
      </c>
      <c r="O912" s="13" t="inlineStr">
        <is>
          <t>Amarelo PMS Yellow C</t>
        </is>
      </c>
      <c r="P912" s="13" t="inlineStr">
        <is>
          <t>Classe II — Produto Muito Perigoso ao Meio Ambiente</t>
        </is>
      </c>
      <c r="Q912" s="15" t="n">
        <v>24</v>
      </c>
      <c r="R912" s="13" t="inlineStr">
        <is>
          <t>Terrestre / Aérea (Drones consultar bula)</t>
        </is>
      </c>
      <c r="S912" s="13" t="inlineStr">
        <is>
          <t>Sem antídoto específico; anti-histamínicos e vitamina E tópica para parestesia</t>
        </is>
      </c>
      <c r="T912" s="13" t="inlineStr">
        <is>
          <t>Tecnomyl Brasil Distribuidora de Produtos Agrícolas Ltda.- Foz do Iguaçu/PR</t>
        </is>
      </c>
      <c r="U912" s="16">
        <f>HYPERLINK("https://agrofit.agricultura.gov.br/agrofit_cons/principal_agrofit_cons", "Consulta Oficial AGROFIT/MAPA (Nº 18624)")</f>
        <v/>
      </c>
    </row>
    <row r="913" ht="22" customHeight="1">
      <c r="A913" s="5" t="n">
        <v>908</v>
      </c>
      <c r="B913" s="6" t="inlineStr">
        <is>
          <t>Nº 18624</t>
        </is>
      </c>
      <c r="C913" s="7" t="inlineStr">
        <is>
          <t>BIFENTRINA 400 EC TECNOMYL I</t>
        </is>
      </c>
      <c r="D913" s="8" t="inlineStr">
        <is>
          <t>BIFENTRINA 400 EC TECNOMYL I</t>
        </is>
      </c>
      <c r="E913" s="7" t="inlineStr">
        <is>
          <t>Produto Formulado Comercial</t>
        </is>
      </c>
      <c r="F913" s="7" t="inlineStr">
        <is>
          <t>Defensivos</t>
        </is>
      </c>
      <c r="G913" s="7" t="inlineStr">
        <is>
          <t>Inseticida</t>
        </is>
      </c>
      <c r="H913" s="7" t="inlineStr">
        <is>
          <t>EC</t>
        </is>
      </c>
      <c r="I913" s="7" t="inlineStr">
        <is>
          <t>Concentrado Emulsionável (EC)</t>
        </is>
      </c>
      <c r="J913" s="7" t="inlineStr">
        <is>
          <t>Inseticida e acaricida de contato e ingestão</t>
        </is>
      </c>
      <c r="K913" s="7" t="inlineStr">
        <is>
          <t>Piretroide (Tipo I)</t>
        </is>
      </c>
      <c r="L913" s="7" t="inlineStr">
        <is>
          <t>IRAC Grupo 3A</t>
        </is>
      </c>
      <c r="M913" s="7" t="inlineStr">
        <is>
          <t>Moduladores de canais de sódio em membranas nervosas</t>
        </is>
      </c>
      <c r="N913" s="7" t="inlineStr">
        <is>
          <t>Categoria 3 — Produto Moderadamente Tóxico</t>
        </is>
      </c>
      <c r="O913" s="7" t="inlineStr">
        <is>
          <t>Amarelo PMS Yellow C</t>
        </is>
      </c>
      <c r="P913" s="7" t="inlineStr">
        <is>
          <t>Classe II — Produto Muito Perigoso ao Meio Ambiente</t>
        </is>
      </c>
      <c r="Q913" s="9" t="n">
        <v>24</v>
      </c>
      <c r="R913" s="7" t="inlineStr">
        <is>
          <t>Terrestre / Aérea (Drones consultar bula)</t>
        </is>
      </c>
      <c r="S913" s="7" t="inlineStr">
        <is>
          <t>Sem antídoto específico; anti-histamínicos e vitamina E tópica para parestesia</t>
        </is>
      </c>
      <c r="T913" s="7" t="inlineStr">
        <is>
          <t>Tecnomyl Brasil Distribuidora de Produtos Agrícolas Ltda.- Foz do Iguaçu/PR</t>
        </is>
      </c>
      <c r="U913" s="10">
        <f>HYPERLINK("https://agrofit.agricultura.gov.br/agrofit_cons/principal_agrofit_cons", "Consulta Oficial AGROFIT/MAPA (Nº 18624)")</f>
        <v/>
      </c>
    </row>
    <row r="914" ht="22" customHeight="1">
      <c r="A914" s="11" t="n">
        <v>909</v>
      </c>
      <c r="B914" s="12" t="inlineStr">
        <is>
          <t>Nº 18624</t>
        </is>
      </c>
      <c r="C914" s="13" t="inlineStr">
        <is>
          <t>BIFENTRINA 400 EC TECNOMYL II</t>
        </is>
      </c>
      <c r="D914" s="14" t="inlineStr">
        <is>
          <t>BIFENTRINA 400 EC TECNOMYL II</t>
        </is>
      </c>
      <c r="E914" s="13" t="inlineStr">
        <is>
          <t>Produto Formulado Comercial</t>
        </is>
      </c>
      <c r="F914" s="13" t="inlineStr">
        <is>
          <t>Defensivos</t>
        </is>
      </c>
      <c r="G914" s="13" t="inlineStr">
        <is>
          <t>Inseticida</t>
        </is>
      </c>
      <c r="H914" s="13" t="inlineStr">
        <is>
          <t>EC</t>
        </is>
      </c>
      <c r="I914" s="13" t="inlineStr">
        <is>
          <t>Concentrado Emulsionável (EC)</t>
        </is>
      </c>
      <c r="J914" s="13" t="inlineStr">
        <is>
          <t>Inseticida e acaricida de contato e ingestão</t>
        </is>
      </c>
      <c r="K914" s="13" t="inlineStr">
        <is>
          <t>Piretroide (Tipo I)</t>
        </is>
      </c>
      <c r="L914" s="13" t="inlineStr">
        <is>
          <t>IRAC Grupo 3A</t>
        </is>
      </c>
      <c r="M914" s="13" t="inlineStr">
        <is>
          <t>Moduladores de canais de sódio em membranas nervosas</t>
        </is>
      </c>
      <c r="N914" s="13" t="inlineStr">
        <is>
          <t>Categoria 3 — Produto Moderadamente Tóxico</t>
        </is>
      </c>
      <c r="O914" s="13" t="inlineStr">
        <is>
          <t>Amarelo PMS Yellow C</t>
        </is>
      </c>
      <c r="P914" s="13" t="inlineStr">
        <is>
          <t>Classe II — Produto Muito Perigoso ao Meio Ambiente</t>
        </is>
      </c>
      <c r="Q914" s="15" t="n">
        <v>24</v>
      </c>
      <c r="R914" s="13" t="inlineStr">
        <is>
          <t>Terrestre / Aérea (Drones consultar bula)</t>
        </is>
      </c>
      <c r="S914" s="13" t="inlineStr">
        <is>
          <t>Sem antídoto específico; anti-histamínicos e vitamina E tópica para parestesia</t>
        </is>
      </c>
      <c r="T914" s="13" t="inlineStr">
        <is>
          <t>Tecnomyl Brasil Distribuidora de Produtos Agrícolas Ltda.- Foz do Iguaçu/PR</t>
        </is>
      </c>
      <c r="U914" s="16">
        <f>HYPERLINK("https://agrofit.agricultura.gov.br/agrofit_cons/principal_agrofit_cons", "Consulta Oficial AGROFIT/MAPA (Nº 18624)")</f>
        <v/>
      </c>
    </row>
    <row r="915" ht="22" customHeight="1">
      <c r="A915" s="5" t="n">
        <v>910</v>
      </c>
      <c r="B915" s="6" t="inlineStr">
        <is>
          <t>Nº 18624</t>
        </is>
      </c>
      <c r="C915" s="7" t="inlineStr">
        <is>
          <t>BIFENTRINA 400 EC TECNOMYL III</t>
        </is>
      </c>
      <c r="D915" s="8" t="inlineStr">
        <is>
          <t>BIFENTRINA 400 EC TECNOMYL III</t>
        </is>
      </c>
      <c r="E915" s="7" t="inlineStr">
        <is>
          <t>Produto Formulado Comercial</t>
        </is>
      </c>
      <c r="F915" s="7" t="inlineStr">
        <is>
          <t>Defensivos</t>
        </is>
      </c>
      <c r="G915" s="7" t="inlineStr">
        <is>
          <t>Inseticida</t>
        </is>
      </c>
      <c r="H915" s="7" t="inlineStr">
        <is>
          <t>EC</t>
        </is>
      </c>
      <c r="I915" s="7" t="inlineStr">
        <is>
          <t>Concentrado Emulsionável (EC)</t>
        </is>
      </c>
      <c r="J915" s="7" t="inlineStr">
        <is>
          <t>Inseticida e acaricida de contato e ingestão</t>
        </is>
      </c>
      <c r="K915" s="7" t="inlineStr">
        <is>
          <t>Piretroide (Tipo I)</t>
        </is>
      </c>
      <c r="L915" s="7" t="inlineStr">
        <is>
          <t>IRAC Grupo 3A</t>
        </is>
      </c>
      <c r="M915" s="7" t="inlineStr">
        <is>
          <t>Moduladores de canais de sódio em membranas nervosas</t>
        </is>
      </c>
      <c r="N915" s="7" t="inlineStr">
        <is>
          <t>Categoria 3 — Produto Moderadamente Tóxico</t>
        </is>
      </c>
      <c r="O915" s="7" t="inlineStr">
        <is>
          <t>Amarelo PMS Yellow C</t>
        </is>
      </c>
      <c r="P915" s="7" t="inlineStr">
        <is>
          <t>Classe II — Produto Muito Perigoso ao Meio Ambiente</t>
        </is>
      </c>
      <c r="Q915" s="9" t="n">
        <v>24</v>
      </c>
      <c r="R915" s="7" t="inlineStr">
        <is>
          <t>Terrestre / Aérea (Drones consultar bula)</t>
        </is>
      </c>
      <c r="S915" s="7" t="inlineStr">
        <is>
          <t>Sem antídoto específico; anti-histamínicos e vitamina E tópica para parestesia</t>
        </is>
      </c>
      <c r="T915" s="7" t="inlineStr">
        <is>
          <t>Tecnomyl Brasil Distribuidora de Produtos Agrícolas Ltda.- Foz do Iguaçu/PR</t>
        </is>
      </c>
      <c r="U915" s="10">
        <f>HYPERLINK("https://agrofit.agricultura.gov.br/agrofit_cons/principal_agrofit_cons", "Consulta Oficial AGROFIT/MAPA (Nº 18624)")</f>
        <v/>
      </c>
    </row>
    <row r="916" ht="22" customHeight="1">
      <c r="A916" s="11" t="n">
        <v>911</v>
      </c>
      <c r="B916" s="12" t="inlineStr">
        <is>
          <t>VINC-18624</t>
        </is>
      </c>
      <c r="C916" s="13" t="inlineStr">
        <is>
          <t>Bifentrina Técnico Tecnomyl</t>
        </is>
      </c>
      <c r="D916" s="14" t="inlineStr">
        <is>
          <t>Bifentrina Técnico Tecnomyl</t>
        </is>
      </c>
      <c r="E916" s="13" t="inlineStr">
        <is>
          <t>Produto Técnico Industrial</t>
        </is>
      </c>
      <c r="F916" s="13" t="inlineStr">
        <is>
          <t>Defensivos</t>
        </is>
      </c>
      <c r="G916" s="13" t="inlineStr">
        <is>
          <t>Produto Técnico (Inseticida / Acaricida) (Insumo Industrial / Técnico)</t>
        </is>
      </c>
      <c r="H916" s="13" t="inlineStr">
        <is>
          <t>TC</t>
        </is>
      </c>
      <c r="I916" s="13" t="inlineStr">
        <is>
          <t>Produto Técnico Industrial (TC)</t>
        </is>
      </c>
      <c r="J916" s="13" t="inlineStr">
        <is>
          <t>Inseticida e acaricida de contato e ingestão</t>
        </is>
      </c>
      <c r="K916" s="13" t="inlineStr">
        <is>
          <t>Piretroide (Tipo I)</t>
        </is>
      </c>
      <c r="L916" s="13" t="inlineStr">
        <is>
          <t>IRAC Grupo 3A</t>
        </is>
      </c>
      <c r="M916" s="13" t="inlineStr">
        <is>
          <t>Moduladores de canais de sódio em membranas nervosas</t>
        </is>
      </c>
      <c r="N916" s="13" t="inlineStr">
        <is>
          <t>Categoria 3 — Produto Moderadamente Tóxico</t>
        </is>
      </c>
      <c r="O916" s="13" t="inlineStr">
        <is>
          <t>Amarelo PMS Yellow C</t>
        </is>
      </c>
      <c r="P916" s="13" t="inlineStr">
        <is>
          <t>Classe II — Produto Muito Perigoso ao Meio Ambiente</t>
        </is>
      </c>
      <c r="Q916" s="15" t="n">
        <v>24</v>
      </c>
      <c r="R916" s="13" t="inlineStr">
        <is>
          <t>Terrestre / Aérea (Drones consultar bula)</t>
        </is>
      </c>
      <c r="S916" s="13" t="inlineStr">
        <is>
          <t>Sem antídoto específico; anti-histamínicos e vitamina E tópica para parestesia</t>
        </is>
      </c>
      <c r="T916" s="13" t="inlineStr">
        <is>
          <t>Meghmani Organics Limited - Endereço: Plot N° 5001/B, 5027-5034, 4707/B &amp; 4707/P G.I.D.C. Industrial Estate, Ankleshwar, Dist. Baruch, 393002, Gujarat, Índia (Vinc. Reg. 18624)</t>
        </is>
      </c>
      <c r="U916" s="16">
        <f>HYPERLINK("https://agrofit.agricultura.gov.br/agrofit_cons/principal_agrofit_cons", "Consulta Oficial AGROFIT/MAPA (VINC-18624)")</f>
        <v/>
      </c>
    </row>
    <row r="917" ht="22" customHeight="1">
      <c r="A917" s="5" t="n">
        <v>912</v>
      </c>
      <c r="B917" s="6" t="inlineStr">
        <is>
          <t>Nº 18724</t>
        </is>
      </c>
      <c r="C917" s="7" t="inlineStr">
        <is>
          <t>PYRIPROXYFEN WOOD 100 EC</t>
        </is>
      </c>
      <c r="D917" s="8" t="inlineStr">
        <is>
          <t>PYRIPROXYFEN WOOD 100 EC</t>
        </is>
      </c>
      <c r="E917" s="7" t="inlineStr">
        <is>
          <t>Produto Formulado Comercial</t>
        </is>
      </c>
      <c r="F917" s="7" t="inlineStr">
        <is>
          <t>Defensivos</t>
        </is>
      </c>
      <c r="G917" s="7" t="inlineStr">
        <is>
          <t>Inseticida Fisiológico</t>
        </is>
      </c>
      <c r="H917" s="7" t="inlineStr">
        <is>
          <t>EC</t>
        </is>
      </c>
      <c r="I917" s="7" t="inlineStr">
        <is>
          <t>Concentrado Emulsionável (EC)</t>
        </is>
      </c>
      <c r="J917" s="7" t="inlineStr">
        <is>
          <t>Inseticida fisiológico regulador de crescimento (contato e translaminar)</t>
        </is>
      </c>
      <c r="K917" s="7" t="inlineStr">
        <is>
          <t>Éter piridiloxipropílico</t>
        </is>
      </c>
      <c r="L917" s="7" t="inlineStr">
        <is>
          <t>IRAC Grupo 7C</t>
        </is>
      </c>
      <c r="M917" s="7" t="inlineStr">
        <is>
          <t>Mimetizadores do hormônio juvenil (Juvenoides)</t>
        </is>
      </c>
      <c r="N917" s="7" t="inlineStr">
        <is>
          <t>Categoria 5 — Produto Improvável de Causar Dano Agudo</t>
        </is>
      </c>
      <c r="O917" s="7" t="inlineStr">
        <is>
          <t>Azul Intenso</t>
        </is>
      </c>
      <c r="P917" s="7" t="inlineStr">
        <is>
          <t>Classe II — Produto Muito Perigoso ao Meio Ambiente</t>
        </is>
      </c>
      <c r="Q917" s="9" t="n">
        <v>24</v>
      </c>
      <c r="R917" s="7" t="inlineStr">
        <is>
          <t>Terrestre / Aérea (Drones consultar bula)</t>
        </is>
      </c>
      <c r="S917" s="7" t="inlineStr">
        <is>
          <t>Sem antídoto específico; tratamento sintomático</t>
        </is>
      </c>
      <c r="T917" s="7" t="inlineStr">
        <is>
          <t>Lemma Agronegócios Importação e Exportação Ltda- Campinas/SP</t>
        </is>
      </c>
      <c r="U917" s="10">
        <f>HYPERLINK("https://www.adapar.pr.gov.br/system/files/publico/Agrotoxicos/lista.pdf", "Registro Oficial Pyriproxyfen Wood 100 EC (Lemma - MAPA 18724)")</f>
        <v/>
      </c>
    </row>
    <row r="918" ht="22" customHeight="1">
      <c r="A918" s="11" t="n">
        <v>913</v>
      </c>
      <c r="B918" s="12" t="inlineStr">
        <is>
          <t>VINC-18724</t>
        </is>
      </c>
      <c r="C918" s="13" t="inlineStr">
        <is>
          <t>Pyriproxyfen Técnico Sino-Agri</t>
        </is>
      </c>
      <c r="D918" s="14" t="inlineStr">
        <is>
          <t>Pyriproxyfen Técnico Sino-Agri</t>
        </is>
      </c>
      <c r="E918" s="13" t="inlineStr">
        <is>
          <t>Produto Técnico Industrial</t>
        </is>
      </c>
      <c r="F918" s="13" t="inlineStr">
        <is>
          <t>Defensivos</t>
        </is>
      </c>
      <c r="G918" s="13" t="inlineStr">
        <is>
          <t>Produto Técnico (Inseticida / Acaricida) (Insumo Industrial / Técnico)</t>
        </is>
      </c>
      <c r="H918" s="13" t="inlineStr">
        <is>
          <t>TC</t>
        </is>
      </c>
      <c r="I918" s="13" t="inlineStr">
        <is>
          <t>Produto Técnico Industrial (TC)</t>
        </is>
      </c>
      <c r="J918" s="13" t="inlineStr">
        <is>
          <t>Inseticida fisiológico regulador de crescimento (contato e translaminar)</t>
        </is>
      </c>
      <c r="K918" s="13" t="inlineStr">
        <is>
          <t>Éter Piridiloxipropílico</t>
        </is>
      </c>
      <c r="L918" s="13" t="inlineStr">
        <is>
          <t>IRAC Grupo 7C</t>
        </is>
      </c>
      <c r="M918" s="13" t="inlineStr">
        <is>
          <t>Mimetizadores do hormônio juvenil (JHM)</t>
        </is>
      </c>
      <c r="N918" s="13" t="inlineStr">
        <is>
          <t>Categoria 5 — Produto Improvável de Causar Dano Agudo</t>
        </is>
      </c>
      <c r="O918" s="13" t="inlineStr">
        <is>
          <t>Azul Intenso</t>
        </is>
      </c>
      <c r="P918" s="13" t="inlineStr">
        <is>
          <t>Classe II — Produto Muito Perigoso ao Meio Ambiente</t>
        </is>
      </c>
      <c r="Q918" s="15" t="n">
        <v>24</v>
      </c>
      <c r="R918" s="13" t="inlineStr">
        <is>
          <t>Terrestre / Aérea (Drones consultar bula)</t>
        </is>
      </c>
      <c r="S918" s="13" t="inlineStr">
        <is>
          <t>Sem antídoto específico; tratamento sintomático</t>
        </is>
      </c>
      <c r="T918" s="13" t="inlineStr">
        <is>
          <t>Rudong Zhongyi Chemical Co., Ltd. - Endereço: Coastal Economic Development Zone, Rudong, Jiangsu, 226407 - China (Vinc. Reg. 18724)</t>
        </is>
      </c>
      <c r="U918" s="16">
        <f>HYPERLINK("https://agrofit.agricultura.gov.br/agrofit_cons/principal_agrofit_cons", "Consulta Oficial AGROFIT/MAPA (VINC-18724)")</f>
        <v/>
      </c>
    </row>
    <row r="919" ht="22" customHeight="1">
      <c r="A919" s="5" t="n">
        <v>914</v>
      </c>
      <c r="B919" s="6" t="inlineStr">
        <is>
          <t>Nº 18824</t>
        </is>
      </c>
      <c r="C919" s="7" t="inlineStr">
        <is>
          <t>TKI-15 BR</t>
        </is>
      </c>
      <c r="D919" s="8" t="inlineStr">
        <is>
          <t>TKI-15 BR</t>
        </is>
      </c>
      <c r="E919" s="7" t="inlineStr">
        <is>
          <t>Corretivo / Condicionador de Solo</t>
        </is>
      </c>
      <c r="F919" s="7" t="inlineStr">
        <is>
          <t>Corretivos e Condicionadores / Protetor Mineral</t>
        </is>
      </c>
      <c r="G919" s="7" t="inlineStr">
        <is>
          <t>Protetor Solar Mineral / Condicionador Fisiológico (Caulim)</t>
        </is>
      </c>
      <c r="H919" s="7" t="inlineStr">
        <is>
          <t>WP</t>
        </is>
      </c>
      <c r="I919" s="7" t="inlineStr">
        <is>
          <t>Pó Molhável (WP)</t>
        </is>
      </c>
      <c r="J919" s="7" t="inlineStr">
        <is>
          <t>Incorporação ou aplicação em área total no solo</t>
        </is>
      </c>
      <c r="K919" s="7" t="inlineStr">
        <is>
          <t>Silicato Mineral Inorgânico (Caulim Calcinado)</t>
        </is>
      </c>
      <c r="L919" s="7" t="inlineStr">
        <is>
          <t>Barreira Física Mineral Refletora de Radiação UV/IR</t>
        </is>
      </c>
      <c r="M919" s="7" t="inlineStr">
        <is>
          <t>Formação de filme mineral refletivo sobre folhas e frutos reduzindo estresse térmico e escaldadura</t>
        </is>
      </c>
      <c r="N919" s="7" t="inlineStr">
        <is>
          <t>Isento ANVISA (Corretivo Agrícola SIPEAGRO)</t>
        </is>
      </c>
      <c r="O919" s="7" t="inlineStr">
        <is>
          <t>Não Aplicável</t>
        </is>
      </c>
      <c r="P919" s="7" t="inlineStr">
        <is>
          <t>Produto Mineral Natural</t>
        </is>
      </c>
      <c r="Q919" s="9" t="n">
        <v>24</v>
      </c>
      <c r="R919" s="7" t="inlineStr">
        <is>
          <t>Terrestre / Aérea (Drones consultar bula)</t>
        </is>
      </c>
      <c r="S919" s="7" t="inlineStr">
        <is>
          <t>Tratamento sintomático</t>
        </is>
      </c>
      <c r="T919" s="7" t="inlineStr">
        <is>
          <t>LEMMA Consultoria e Apoio Administrativo, Agronegócios, Importação e Exportação Ltda.- Campinas/SP</t>
        </is>
      </c>
      <c r="U919" s="10">
        <f>HYPERLINK("https://agrofit.agricultura.gov.br/agrofit_cons/principal_agrofit_cons", "Consulta Oficial AGROFIT/MAPA (Nº 18824)")</f>
        <v/>
      </c>
    </row>
    <row r="920" ht="22" customHeight="1">
      <c r="A920" s="11" t="n">
        <v>915</v>
      </c>
      <c r="B920" s="12" t="inlineStr">
        <is>
          <t>Nº 18924</t>
        </is>
      </c>
      <c r="C920" s="13" t="inlineStr">
        <is>
          <t>TRINEXAPAC 250 EC MAXUNITECH</t>
        </is>
      </c>
      <c r="D920" s="14" t="inlineStr">
        <is>
          <t>TRINEXAPAC 250 EC MAXUNITECH</t>
        </is>
      </c>
      <c r="E920" s="13" t="inlineStr">
        <is>
          <t>Produto Formulado Comercial</t>
        </is>
      </c>
      <c r="F920" s="13" t="inlineStr">
        <is>
          <t>Defensivos</t>
        </is>
      </c>
      <c r="G920" s="13" t="inlineStr">
        <is>
          <t>Regulador de Crescimento</t>
        </is>
      </c>
      <c r="H920" s="13" t="inlineStr">
        <is>
          <t>EC</t>
        </is>
      </c>
      <c r="I920" s="13" t="inlineStr">
        <is>
          <t>Concentrado Emulsionável (EC)</t>
        </is>
      </c>
      <c r="J920" s="13" t="inlineStr">
        <is>
          <t>Inseticida/acaricida de contato e ingestão</t>
        </is>
      </c>
      <c r="K920" s="13" t="inlineStr">
        <is>
          <t>Ciclohexanodiona Carboxilato (Fitorregulador)</t>
        </is>
      </c>
      <c r="L920" s="13" t="inlineStr">
        <is>
          <t>Regulador de Crescimento Vegetal (Inibidor de Giberelina)</t>
        </is>
      </c>
      <c r="M920" s="13" t="inlineStr">
        <is>
          <t>Inibição da 3-beta-hidroxilase na rota biossintética do ácido giberélico (GA1)</t>
        </is>
      </c>
      <c r="N920" s="13" t="inlineStr">
        <is>
          <t>Categoria 3 / 4 — Moderadamente a Pouco Tóxico</t>
        </is>
      </c>
      <c r="O920" s="13" t="inlineStr">
        <is>
          <t>Amarelo / Azul</t>
        </is>
      </c>
      <c r="P920" s="13" t="inlineStr">
        <is>
          <t>Classe II — Produto Muito Perigoso ao Meio Ambiente</t>
        </is>
      </c>
      <c r="Q920" s="15" t="n">
        <v>24</v>
      </c>
      <c r="R920" s="13" t="inlineStr">
        <is>
          <t>Terrestre / Aérea (Drones consultar bula)</t>
        </is>
      </c>
      <c r="S920" s="13" t="inlineStr">
        <is>
          <t>Tratamento sintomático conforme grupo químico na bula</t>
        </is>
      </c>
      <c r="T920" s="13" t="inlineStr">
        <is>
          <t>AllierBrasil Agro Ltda.- São Paulo/SP</t>
        </is>
      </c>
      <c r="U920" s="16">
        <f>HYPERLINK("https://agrofit.agricultura.gov.br/agrofit_cons/principal_agrofit_cons", "Consulta Oficial AGROFIT/MAPA (Nº 18924)")</f>
        <v/>
      </c>
    </row>
    <row r="921" ht="22" customHeight="1">
      <c r="A921" s="5" t="n">
        <v>916</v>
      </c>
      <c r="B921" s="6" t="inlineStr">
        <is>
          <t>VINC-18924</t>
        </is>
      </c>
      <c r="C921" s="7" t="inlineStr">
        <is>
          <t>Trinexapaque-etílico Técnico Max</t>
        </is>
      </c>
      <c r="D921" s="8" t="inlineStr">
        <is>
          <t>Trinexapaque-etílico Técnico Max</t>
        </is>
      </c>
      <c r="E921" s="7" t="inlineStr">
        <is>
          <t>Produto Técnico Industrial</t>
        </is>
      </c>
      <c r="F921" s="7" t="inlineStr">
        <is>
          <t>Defensivos</t>
        </is>
      </c>
      <c r="G921" s="7" t="inlineStr">
        <is>
          <t>Produto Técnico (Regulador De Crescimento) (Insumo Industrial / Técnico)</t>
        </is>
      </c>
      <c r="H921" s="7" t="inlineStr">
        <is>
          <t>TC</t>
        </is>
      </c>
      <c r="I921" s="7" t="inlineStr">
        <is>
          <t>Produto Técnico Industrial (TC)</t>
        </is>
      </c>
      <c r="J921" s="7" t="inlineStr">
        <is>
          <t>Inseticida/acaricida de contato e ingestão</t>
        </is>
      </c>
      <c r="K921" s="7" t="inlineStr">
        <is>
          <t>Ciclohexanodiona Carboxilato (Fitorregulador)</t>
        </is>
      </c>
      <c r="L921" s="7" t="inlineStr">
        <is>
          <t>Regulador de Crescimento Vegetal (Inibidor de Giberelina)</t>
        </is>
      </c>
      <c r="M921" s="7" t="inlineStr">
        <is>
          <t>Inibição da 3-beta-hidroxilase na rota biossintética do ácido giberélico (GA1)</t>
        </is>
      </c>
      <c r="N921" s="7" t="inlineStr">
        <is>
          <t>Categoria 3 / 4 — Moderadamente a Pouco Tóxico</t>
        </is>
      </c>
      <c r="O921" s="7" t="inlineStr">
        <is>
          <t>Amarelo / Azul</t>
        </is>
      </c>
      <c r="P921" s="7" t="inlineStr">
        <is>
          <t>Classe II — Produto Muito Perigoso ao Meio Ambiente</t>
        </is>
      </c>
      <c r="Q921" s="9" t="n">
        <v>24</v>
      </c>
      <c r="R921" s="7" t="inlineStr">
        <is>
          <t>Terrestre / Aérea (Drones consultar bula)</t>
        </is>
      </c>
      <c r="S921" s="7" t="inlineStr">
        <is>
          <t>Tratamento sintomático conforme grupo químico na bula</t>
        </is>
      </c>
      <c r="T921" s="7" t="inlineStr">
        <is>
          <t>Max (Rudong) Chemicals Co., Ltd. - Endereço: Yangkou Chemical Industry Park, Rudong, Jiangsu Province - China (Vinc. Reg. 18924)</t>
        </is>
      </c>
      <c r="U921" s="10">
        <f>HYPERLINK("https://agrofit.agricultura.gov.br/agrofit_cons/principal_agrofit_cons", "Consulta Oficial AGROFIT/MAPA (VINC-18924)")</f>
        <v/>
      </c>
    </row>
    <row r="922" ht="22" customHeight="1">
      <c r="A922" s="11" t="n">
        <v>917</v>
      </c>
      <c r="B922" s="12" t="inlineStr">
        <is>
          <t>Nº 19024</t>
        </is>
      </c>
      <c r="C922" s="13" t="inlineStr">
        <is>
          <t>CALIZI</t>
        </is>
      </c>
      <c r="D922" s="14" t="inlineStr">
        <is>
          <t>CALIZI</t>
        </is>
      </c>
      <c r="E922" s="13" t="inlineStr">
        <is>
          <t>Produto Formulado Comercial</t>
        </is>
      </c>
      <c r="F922" s="13" t="inlineStr">
        <is>
          <t>Defensivos</t>
        </is>
      </c>
      <c r="G922" s="13" t="inlineStr">
        <is>
          <t>Fungicida</t>
        </is>
      </c>
      <c r="H922" s="13" t="inlineStr">
        <is>
          <t>SC</t>
        </is>
      </c>
      <c r="I922" s="13" t="inlineStr">
        <is>
          <t>Suspensão Concentrada (SC)</t>
        </is>
      </c>
      <c r="J922" s="13" t="inlineStr">
        <is>
          <t>Fungicida sistêmico preventivo e curativo</t>
        </is>
      </c>
      <c r="K922" s="13" t="inlineStr">
        <is>
          <t>Triazol</t>
        </is>
      </c>
      <c r="L922" s="13" t="inlineStr">
        <is>
          <t>FRAC Grupo 3 (DMI)</t>
        </is>
      </c>
      <c r="M922" s="13" t="inlineStr">
        <is>
          <t>Inibidores da desmetilação de C14 na biossíntese de ergosterol</t>
        </is>
      </c>
      <c r="N922" s="13" t="inlineStr">
        <is>
          <t>Categoria 4 — Produto Pouco Tóxico</t>
        </is>
      </c>
      <c r="O922" s="13" t="inlineStr">
        <is>
          <t>Azul PMS Blue 293 C</t>
        </is>
      </c>
      <c r="P922" s="13" t="inlineStr">
        <is>
          <t>Classe II — Produto Muito Perigoso ao Meio Ambiente</t>
        </is>
      </c>
      <c r="Q922" s="15" t="n">
        <v>24</v>
      </c>
      <c r="R922" s="13" t="inlineStr">
        <is>
          <t>Terrestre / Aérea (Drones consultar bula)</t>
        </is>
      </c>
      <c r="S922" s="13" t="inlineStr">
        <is>
          <t>Sem antídoto específico; tratamento sintomático</t>
        </is>
      </c>
      <c r="T922" s="13" t="inlineStr">
        <is>
          <t>Sinon do Brasil Ltda.- Porto Alegre/RS</t>
        </is>
      </c>
      <c r="U922" s="16">
        <f>HYPERLINK("https://agrofit.agricultura.gov.br/agrofit_cons/principal_agrofit_cons", "Consulta Oficial AGROFIT/MAPA (Nº 19024)")</f>
        <v/>
      </c>
    </row>
    <row r="923" ht="22" customHeight="1">
      <c r="A923" s="5" t="n">
        <v>918</v>
      </c>
      <c r="B923" s="6" t="inlineStr">
        <is>
          <t>VINC-19024</t>
        </is>
      </c>
      <c r="C923" s="7" t="inlineStr">
        <is>
          <t>Azoxistrobin Técnico Sinon</t>
        </is>
      </c>
      <c r="D923" s="8" t="inlineStr">
        <is>
          <t>Azoxistrobin Técnico Sinon</t>
        </is>
      </c>
      <c r="E923" s="7" t="inlineStr">
        <is>
          <t>Produto Técnico Industrial</t>
        </is>
      </c>
      <c r="F923" s="7" t="inlineStr">
        <is>
          <t>Defensivos</t>
        </is>
      </c>
      <c r="G923" s="7" t="inlineStr">
        <is>
          <t>Produto Técnico (Fungicida) (Insumo Industrial / Técnico)</t>
        </is>
      </c>
      <c r="H923" s="7" t="inlineStr">
        <is>
          <t>TC</t>
        </is>
      </c>
      <c r="I923" s="7" t="inlineStr">
        <is>
          <t>Produto Técnico Industrial (TC)</t>
        </is>
      </c>
      <c r="J923" s="7" t="inlineStr">
        <is>
          <t>Fungicida sistêmico e translaminar</t>
        </is>
      </c>
      <c r="K923" s="7" t="inlineStr">
        <is>
          <t>Estrobilurina (Metoxiacrilato)</t>
        </is>
      </c>
      <c r="L923" s="7" t="inlineStr">
        <is>
          <t>FRAC Grupo 11 (C3 — QoI)</t>
        </is>
      </c>
      <c r="M923" s="7" t="inlineStr">
        <is>
          <t>Inibidores da respiração mitocondrial no Complexo III (sítio Qo)</t>
        </is>
      </c>
      <c r="N923" s="7" t="inlineStr">
        <is>
          <t>Categoria 5 — Produto Improvável de Causar Dano Agudo</t>
        </is>
      </c>
      <c r="O923" s="7" t="inlineStr">
        <is>
          <t>Azul Intenso</t>
        </is>
      </c>
      <c r="P923" s="7" t="inlineStr">
        <is>
          <t>Classe II — Produto Muito Perigoso ao Meio Ambiente</t>
        </is>
      </c>
      <c r="Q923" s="9" t="n">
        <v>24</v>
      </c>
      <c r="R923" s="7" t="inlineStr">
        <is>
          <t>Terrestre / Aérea (Drones consultar bula)</t>
        </is>
      </c>
      <c r="S923" s="7" t="inlineStr">
        <is>
          <t>Sem antídoto específico; tratamento sintomático</t>
        </is>
      </c>
      <c r="T923" s="7" t="inlineStr">
        <is>
          <t>Sinon Chemical Co., Ltd. - Endereço: Nº 28, Beicun Road, Zhelin Town, Fengxian DistrictShanghai - China (Vinc. Reg. 19024)</t>
        </is>
      </c>
      <c r="U923" s="10">
        <f>HYPERLINK("https://agrofit.agricultura.gov.br/agrofit_cons/principal_agrofit_cons", "Consulta Oficial AGROFIT/MAPA (VINC-19024)")</f>
        <v/>
      </c>
    </row>
    <row r="924" ht="22" customHeight="1">
      <c r="A924" s="11" t="n">
        <v>919</v>
      </c>
      <c r="B924" s="12" t="inlineStr">
        <is>
          <t>Nº 19124</t>
        </is>
      </c>
      <c r="C924" s="13" t="inlineStr">
        <is>
          <t>FLUTRIAFOL AS 500 SC</t>
        </is>
      </c>
      <c r="D924" s="14" t="inlineStr">
        <is>
          <t>FLUTRIAFOL AS</t>
        </is>
      </c>
      <c r="E924" s="13" t="inlineStr">
        <is>
          <t>Produto Formulado Comercial</t>
        </is>
      </c>
      <c r="F924" s="13" t="inlineStr">
        <is>
          <t>Defensivos</t>
        </is>
      </c>
      <c r="G924" s="13" t="inlineStr">
        <is>
          <t>Fungicida</t>
        </is>
      </c>
      <c r="H924" s="13" t="inlineStr">
        <is>
          <t>SC</t>
        </is>
      </c>
      <c r="I924" s="13" t="inlineStr">
        <is>
          <t>Suspensão Concentrada (SC)</t>
        </is>
      </c>
      <c r="J924" s="13" t="inlineStr">
        <is>
          <t>Fungicida preventivo e curativo foliar</t>
        </is>
      </c>
      <c r="K924" s="13" t="inlineStr">
        <is>
          <t>Triazol</t>
        </is>
      </c>
      <c r="L924" s="13" t="inlineStr">
        <is>
          <t>FRAC Grupo 3 (G1 — DMI)</t>
        </is>
      </c>
      <c r="M924" s="13" t="inlineStr">
        <is>
          <t>Inibidores da desmetilação do C14 na biossíntese do ergosterol</t>
        </is>
      </c>
      <c r="N924" s="13" t="inlineStr">
        <is>
          <t>Categoria 4 — Produto Pouco Tóxico (Conforme Bula ANVISA)</t>
        </is>
      </c>
      <c r="O924" s="13" t="inlineStr">
        <is>
          <t>Azul PMS Blue 293 C</t>
        </is>
      </c>
      <c r="P924" s="13" t="inlineStr">
        <is>
          <t>Classe II — Produto Muito Perigoso ao Meio Ambiente</t>
        </is>
      </c>
      <c r="Q924" s="15" t="n">
        <v>24</v>
      </c>
      <c r="R924" s="13" t="inlineStr">
        <is>
          <t>Terrestre / Aérea (Drones consultar bula)</t>
        </is>
      </c>
      <c r="S924" s="13" t="inlineStr">
        <is>
          <t>Sem antídoto específico; tratamento sintomático</t>
        </is>
      </c>
      <c r="T924" s="13" t="inlineStr">
        <is>
          <t>Sinon do Brasil Ltda.- Porto Alegre/RS</t>
        </is>
      </c>
      <c r="U924" s="16">
        <f>HYPERLINK("https://agrofit.agricultura.gov.br/agrofit_cons/principal_agrofit_cons", "Consulta Oficial AGROFIT/MAPA (Nº 19124)")</f>
        <v/>
      </c>
    </row>
    <row r="925" ht="22" customHeight="1">
      <c r="A925" s="5" t="n">
        <v>920</v>
      </c>
      <c r="B925" s="6" t="inlineStr">
        <is>
          <t>VINC-19124</t>
        </is>
      </c>
      <c r="C925" s="7" t="inlineStr">
        <is>
          <t>Flutriafol Tradecorp Técnico</t>
        </is>
      </c>
      <c r="D925" s="8" t="inlineStr">
        <is>
          <t>Flutriafol Tradecorp Técnico</t>
        </is>
      </c>
      <c r="E925" s="7" t="inlineStr">
        <is>
          <t>Produto Técnico Industrial</t>
        </is>
      </c>
      <c r="F925" s="7" t="inlineStr">
        <is>
          <t>Defensivos</t>
        </is>
      </c>
      <c r="G925" s="7" t="inlineStr">
        <is>
          <t>Produto Técnico (Fungicida) (Insumo Industrial / Técnico)</t>
        </is>
      </c>
      <c r="H925" s="7" t="inlineStr">
        <is>
          <t>TC</t>
        </is>
      </c>
      <c r="I925" s="7" t="inlineStr">
        <is>
          <t>Produto Técnico Industrial (TC)</t>
        </is>
      </c>
      <c r="J925" s="7" t="inlineStr">
        <is>
          <t>Fungicida preventivo e curativo foliar</t>
        </is>
      </c>
      <c r="K925" s="7" t="inlineStr">
        <is>
          <t>Triazol</t>
        </is>
      </c>
      <c r="L925" s="7" t="inlineStr">
        <is>
          <t>FRAC Grupo 3 (G1 — DMI)</t>
        </is>
      </c>
      <c r="M925" s="7" t="inlineStr">
        <is>
          <t>Inibidores da desmetilação do C14 na biossíntese do ergosterol</t>
        </is>
      </c>
      <c r="N925" s="7" t="inlineStr">
        <is>
          <t>Categoria 4 — Produto Pouco Tóxico (Conforme Bula ANVISA)</t>
        </is>
      </c>
      <c r="O925" s="7" t="inlineStr">
        <is>
          <t>Azul PMS Blue 293 C</t>
        </is>
      </c>
      <c r="P925" s="7" t="inlineStr">
        <is>
          <t>Classe II — Produto Muito Perigoso ao Meio Ambiente</t>
        </is>
      </c>
      <c r="Q925" s="9" t="n">
        <v>24</v>
      </c>
      <c r="R925" s="7" t="inlineStr">
        <is>
          <t>Terrestre / Aérea (Drones consultar bula)</t>
        </is>
      </c>
      <c r="S925" s="7" t="inlineStr">
        <is>
          <t>Sem antídoto específico; tratamento sintomático</t>
        </is>
      </c>
      <c r="T925" s="7" t="inlineStr">
        <is>
          <t>Jiangsu Flag Chemical Industry Co., Ltd. - Endereço: nº 309, Changfenghe Road, Nanjing Chemical Industrial Park - Nanjing - Jiangsu Province - 210047 - China. Produto Técnico(Flutriafol Técnico Sinon): Nome: Sinon Chemical CO. Ltd. - Endereço: N° 1, East Beining Road, Shashi, Hubei Province, 434001 - China (Vinc. Reg. 19124)</t>
        </is>
      </c>
      <c r="U925" s="10">
        <f>HYPERLINK("https://agrofit.agricultura.gov.br/agrofit_cons/principal_agrofit_cons", "Consulta Oficial AGROFIT/MAPA (VINC-19124)")</f>
        <v/>
      </c>
    </row>
    <row r="926" ht="22" customHeight="1">
      <c r="A926" s="11" t="n">
        <v>921</v>
      </c>
      <c r="B926" s="12" t="inlineStr">
        <is>
          <t>Nº 19224</t>
        </is>
      </c>
      <c r="C926" s="13" t="inlineStr">
        <is>
          <t>ZOOM TOP 500 SC</t>
        </is>
      </c>
      <c r="D926" s="14" t="inlineStr">
        <is>
          <t>ZOOM TOP</t>
        </is>
      </c>
      <c r="E926" s="13" t="inlineStr">
        <is>
          <t>Produto Formulado Comercial</t>
        </is>
      </c>
      <c r="F926" s="13" t="inlineStr">
        <is>
          <t>Defensivos</t>
        </is>
      </c>
      <c r="G926" s="13" t="inlineStr">
        <is>
          <t>Fungicida</t>
        </is>
      </c>
      <c r="H926" s="13" t="inlineStr">
        <is>
          <t>SC</t>
        </is>
      </c>
      <c r="I926" s="13" t="inlineStr">
        <is>
          <t>Suspensão Concentrada (SC)</t>
        </is>
      </c>
      <c r="J926" s="13" t="inlineStr">
        <is>
          <t>Fungicida preventivo e curativo foliar</t>
        </is>
      </c>
      <c r="K926" s="13" t="inlineStr">
        <is>
          <t>Triazol</t>
        </is>
      </c>
      <c r="L926" s="13" t="inlineStr">
        <is>
          <t>FRAC Grupo 3 (G1 — DMI)</t>
        </is>
      </c>
      <c r="M926" s="13" t="inlineStr">
        <is>
          <t>Inibidores da desmetilação do C14 na biossíntese do ergosterol</t>
        </is>
      </c>
      <c r="N926" s="13" t="inlineStr">
        <is>
          <t>Categoria 4 — Produto Pouco Tóxico (Conforme Bula ANVISA)</t>
        </is>
      </c>
      <c r="O926" s="13" t="inlineStr">
        <is>
          <t>Azul PMS Blue 293 C</t>
        </is>
      </c>
      <c r="P926" s="13" t="inlineStr">
        <is>
          <t>Classe II — Produto Muito Perigoso ao Meio Ambiente</t>
        </is>
      </c>
      <c r="Q926" s="15" t="n">
        <v>24</v>
      </c>
      <c r="R926" s="13" t="inlineStr">
        <is>
          <t>Terrestre / Aérea (Drones consultar bula)</t>
        </is>
      </c>
      <c r="S926" s="13" t="inlineStr">
        <is>
          <t>Sem antídoto específico; tratamento sintomático</t>
        </is>
      </c>
      <c r="T926" s="13" t="inlineStr">
        <is>
          <t>Sinon do Brasil Ltda- Porto Alegre/RS</t>
        </is>
      </c>
      <c r="U926" s="16">
        <f>HYPERLINK("https://www.adapar.pr.gov.br/Pagina/Agrotoxicos-Fungicidas", "Registro Oficial Zoom Top 500 SC (Sinon - MAPA 19224)")</f>
        <v/>
      </c>
    </row>
    <row r="927" ht="22" customHeight="1">
      <c r="A927" s="5" t="n">
        <v>922</v>
      </c>
      <c r="B927" s="6" t="inlineStr">
        <is>
          <t>VINC-19224</t>
        </is>
      </c>
      <c r="C927" s="7" t="inlineStr">
        <is>
          <t>Flutriafol Técnico Sinon</t>
        </is>
      </c>
      <c r="D927" s="8" t="inlineStr">
        <is>
          <t>Flutriafol Técnico Sinon</t>
        </is>
      </c>
      <c r="E927" s="7" t="inlineStr">
        <is>
          <t>Produto Técnico Industrial</t>
        </is>
      </c>
      <c r="F927" s="7" t="inlineStr">
        <is>
          <t>Defensivos</t>
        </is>
      </c>
      <c r="G927" s="7" t="inlineStr">
        <is>
          <t>Produto Técnico (Fungicida) (Insumo Industrial / Técnico)</t>
        </is>
      </c>
      <c r="H927" s="7" t="inlineStr">
        <is>
          <t>TC</t>
        </is>
      </c>
      <c r="I927" s="7" t="inlineStr">
        <is>
          <t>Produto Técnico Industrial (TC)</t>
        </is>
      </c>
      <c r="J927" s="7" t="inlineStr">
        <is>
          <t>Fungicida preventivo e curativo foliar</t>
        </is>
      </c>
      <c r="K927" s="7" t="inlineStr">
        <is>
          <t>Triazol</t>
        </is>
      </c>
      <c r="L927" s="7" t="inlineStr">
        <is>
          <t>FRAC Grupo 3 (G1 — DMI)</t>
        </is>
      </c>
      <c r="M927" s="7" t="inlineStr">
        <is>
          <t>Inibidores da desmetilação do C14 na biossíntese do ergosterol</t>
        </is>
      </c>
      <c r="N927" s="7" t="inlineStr">
        <is>
          <t>Categoria 4 — Produto Pouco Tóxico (Conforme Bula ANVISA)</t>
        </is>
      </c>
      <c r="O927" s="7" t="inlineStr">
        <is>
          <t>Azul PMS Blue 293 C</t>
        </is>
      </c>
      <c r="P927" s="7" t="inlineStr">
        <is>
          <t>Classe II — Produto Muito Perigoso ao Meio Ambiente</t>
        </is>
      </c>
      <c r="Q927" s="9" t="n">
        <v>24</v>
      </c>
      <c r="R927" s="7" t="inlineStr">
        <is>
          <t>Terrestre / Aérea (Drones consultar bula)</t>
        </is>
      </c>
      <c r="S927" s="7" t="inlineStr">
        <is>
          <t>Sem antídoto específico; tratamento sintomático</t>
        </is>
      </c>
      <c r="T927" s="7" t="inlineStr">
        <is>
          <t>Sinon Corporation - Endereço: Nº101, Nanrong Road, Da-Du District, Taichung City, 43245, Taiwan, R.O.C (Vinc. Reg. 19224)</t>
        </is>
      </c>
      <c r="U927" s="10">
        <f>HYPERLINK("https://agrofit.agricultura.gov.br/agrofit_cons/principal_agrofit_cons", "Consulta Oficial AGROFIT/MAPA (VINC-19224)")</f>
        <v/>
      </c>
    </row>
    <row r="928" ht="22" customHeight="1">
      <c r="A928" s="11" t="n">
        <v>923</v>
      </c>
      <c r="B928" s="12" t="inlineStr">
        <is>
          <t>Nº 19324</t>
        </is>
      </c>
      <c r="C928" s="13" t="inlineStr">
        <is>
          <t>MESOTRIONA SOLUS 480 SC</t>
        </is>
      </c>
      <c r="D928" s="14" t="inlineStr">
        <is>
          <t>MESOTRIONA SOLUS</t>
        </is>
      </c>
      <c r="E928" s="13" t="inlineStr">
        <is>
          <t>Produto Formulado Comercial</t>
        </is>
      </c>
      <c r="F928" s="13" t="inlineStr">
        <is>
          <t>Defensivos</t>
        </is>
      </c>
      <c r="G928" s="13" t="inlineStr">
        <is>
          <t>Herbicida</t>
        </is>
      </c>
      <c r="H928" s="13" t="inlineStr">
        <is>
          <t>SC</t>
        </is>
      </c>
      <c r="I928" s="13" t="inlineStr">
        <is>
          <t>Suspensão Concentrada (SC)</t>
        </is>
      </c>
      <c r="J928" s="13" t="inlineStr">
        <is>
          <t>Herbicida sistêmico seletivo de pós-emergência</t>
        </is>
      </c>
      <c r="K928" s="13" t="inlineStr">
        <is>
          <t>Tricetona</t>
        </is>
      </c>
      <c r="L928" s="13" t="inlineStr">
        <is>
          <t>HRAC Grupo F2 (27) — Inibidores da HPPD</t>
        </is>
      </c>
      <c r="M928" s="13" t="inlineStr">
        <is>
          <t>Inibidores da enzima 4-hidroxifenil-piruvato-dioxigenase (HPPD - biossíntese de carotenoides)</t>
        </is>
      </c>
      <c r="N928" s="13" t="inlineStr">
        <is>
          <t>Categoria 4 / 5 — Pouco Tóxico</t>
        </is>
      </c>
      <c r="O928" s="13" t="inlineStr">
        <is>
          <t>Azul Intenso</t>
        </is>
      </c>
      <c r="P928" s="13" t="inlineStr">
        <is>
          <t>Classe II — Produto Muito Perigoso ao Meio Ambiente</t>
        </is>
      </c>
      <c r="Q928" s="15" t="n">
        <v>24</v>
      </c>
      <c r="R928" s="13" t="inlineStr">
        <is>
          <t>Terrestre / Aérea (Drones consultar bula)</t>
        </is>
      </c>
      <c r="S928" s="13" t="inlineStr">
        <is>
          <t>Sem antídoto específico; tratamento sintomático</t>
        </is>
      </c>
      <c r="T928" s="13" t="inlineStr">
        <is>
          <t>Solus Indústria Química Ltda.- Apucarana/PR</t>
        </is>
      </c>
      <c r="U928" s="16">
        <f>HYPERLINK("https://agrofit.agricultura.gov.br/agrofit_cons/principal_agrofit_cons", "Consulta Oficial AGROFIT/MAPA (Nº 19324)")</f>
        <v/>
      </c>
    </row>
    <row r="929" ht="22" customHeight="1">
      <c r="A929" s="5" t="n">
        <v>924</v>
      </c>
      <c r="B929" s="6" t="inlineStr">
        <is>
          <t>VINC-19324</t>
        </is>
      </c>
      <c r="C929" s="7" t="inlineStr">
        <is>
          <t>Mesotriona Técnico Solus</t>
        </is>
      </c>
      <c r="D929" s="8" t="inlineStr">
        <is>
          <t>Mesotriona Técnico Solus</t>
        </is>
      </c>
      <c r="E929" s="7" t="inlineStr">
        <is>
          <t>Produto Técnico Industrial</t>
        </is>
      </c>
      <c r="F929" s="7" t="inlineStr">
        <is>
          <t>Defensivos</t>
        </is>
      </c>
      <c r="G929" s="7" t="inlineStr">
        <is>
          <t>Produto Técnico (Herbicida) (Insumo Industrial / Técnico)</t>
        </is>
      </c>
      <c r="H929" s="7" t="inlineStr">
        <is>
          <t>TC</t>
        </is>
      </c>
      <c r="I929" s="7" t="inlineStr">
        <is>
          <t>Produto Técnico Industrial (TC)</t>
        </is>
      </c>
      <c r="J929" s="7" t="inlineStr">
        <is>
          <t>Herbicida sistêmico seletivo de pós-emergência</t>
        </is>
      </c>
      <c r="K929" s="7" t="inlineStr">
        <is>
          <t>Tricetona</t>
        </is>
      </c>
      <c r="L929" s="7" t="inlineStr">
        <is>
          <t>HRAC Grupo F2 (27) — Inibidores da HPPD</t>
        </is>
      </c>
      <c r="M929" s="7" t="inlineStr">
        <is>
          <t>Inibição da enzima 4-hidroxifenilpiruvato dioxigenase (HPPD)</t>
        </is>
      </c>
      <c r="N929" s="7" t="inlineStr">
        <is>
          <t>Categoria 4 / 5 — Pouco Tóxico</t>
        </is>
      </c>
      <c r="O929" s="7" t="inlineStr">
        <is>
          <t>Azul Intenso</t>
        </is>
      </c>
      <c r="P929" s="7" t="inlineStr">
        <is>
          <t>Classe II — Produto Muito Perigoso ao Meio Ambiente</t>
        </is>
      </c>
      <c r="Q929" s="9" t="n">
        <v>24</v>
      </c>
      <c r="R929" s="7" t="inlineStr">
        <is>
          <t>Terrestre / Aérea (Drones consultar bula)</t>
        </is>
      </c>
      <c r="S929" s="7" t="inlineStr">
        <is>
          <t>Sem antídoto específico; tratamento sintomático</t>
        </is>
      </c>
      <c r="T929" s="7" t="inlineStr">
        <is>
          <t>Shandong Binnong Technology Co., Ltd. - Endereço: N° 518, Yongxin Road, Binbei Town, Binzhou, Shandong, 256600 - China (Vinc. Reg. 19324)</t>
        </is>
      </c>
      <c r="U929" s="10">
        <f>HYPERLINK("https://agrofit.agricultura.gov.br/agrofit_cons/principal_agrofit_cons", "Consulta Oficial AGROFIT/MAPA (VINC-19324)")</f>
        <v/>
      </c>
    </row>
    <row r="930" ht="22" customHeight="1">
      <c r="A930" s="11" t="n">
        <v>925</v>
      </c>
      <c r="B930" s="12" t="inlineStr">
        <is>
          <t>Nº 19424</t>
        </is>
      </c>
      <c r="C930" s="13" t="inlineStr">
        <is>
          <t>TRINEXAPAQUE ASCENZA EC</t>
        </is>
      </c>
      <c r="D930" s="14" t="inlineStr">
        <is>
          <t>TRINEXAPAQUE ASCENZA EC</t>
        </is>
      </c>
      <c r="E930" s="13" t="inlineStr">
        <is>
          <t>Produto Formulado Comercial</t>
        </is>
      </c>
      <c r="F930" s="13" t="inlineStr">
        <is>
          <t>Defensivos</t>
        </is>
      </c>
      <c r="G930" s="13" t="inlineStr">
        <is>
          <t>Regulador de Crescimento</t>
        </is>
      </c>
      <c r="H930" s="13" t="inlineStr">
        <is>
          <t>EC</t>
        </is>
      </c>
      <c r="I930" s="13" t="inlineStr">
        <is>
          <t>Concentrado Emulsionável (EC)</t>
        </is>
      </c>
      <c r="J930" s="13" t="inlineStr">
        <is>
          <t>Inseticida/acaricida de contato e ingestão</t>
        </is>
      </c>
      <c r="K930" s="13" t="inlineStr">
        <is>
          <t>Ciclohexanodiona Carboxilato (Fitorregulador)</t>
        </is>
      </c>
      <c r="L930" s="13" t="inlineStr">
        <is>
          <t>Regulador de Crescimento Vegetal (Inibidor de Giberelina)</t>
        </is>
      </c>
      <c r="M930" s="13" t="inlineStr">
        <is>
          <t>Inibição da 3-beta-hidroxilase na rota biossintética do ácido giberélico (GA1)</t>
        </is>
      </c>
      <c r="N930" s="13" t="inlineStr">
        <is>
          <t>Categoria 3 / 4 — Moderadamente a Pouco Tóxico</t>
        </is>
      </c>
      <c r="O930" s="13" t="inlineStr">
        <is>
          <t>Amarelo / Azul</t>
        </is>
      </c>
      <c r="P930" s="13" t="inlineStr">
        <is>
          <t>Classe II — Produto Muito Perigoso ao Meio Ambiente</t>
        </is>
      </c>
      <c r="Q930" s="15" t="n">
        <v>24</v>
      </c>
      <c r="R930" s="13" t="inlineStr">
        <is>
          <t>Terrestre / Aérea (Drones consultar bula)</t>
        </is>
      </c>
      <c r="S930" s="13" t="inlineStr">
        <is>
          <t>Tratamento sintomático conforme grupo químico na bula</t>
        </is>
      </c>
      <c r="T930" s="13" t="inlineStr">
        <is>
          <t>Tradecorp do Brasil Comércio de Insumos Agrícolas Ltda.- Hortolândia/SP</t>
        </is>
      </c>
      <c r="U930" s="16">
        <f>HYPERLINK("https://agrofit.agricultura.gov.br/agrofit_cons/principal_agrofit_cons", "Consulta Oficial AGROFIT/MAPA (Nº 19424)")</f>
        <v/>
      </c>
    </row>
    <row r="931" ht="22" customHeight="1">
      <c r="A931" s="5" t="n">
        <v>926</v>
      </c>
      <c r="B931" s="6" t="inlineStr">
        <is>
          <t>VINC-19424</t>
        </is>
      </c>
      <c r="C931" s="7" t="inlineStr">
        <is>
          <t>Trinexapaque-Etílico Ascenza Técnico</t>
        </is>
      </c>
      <c r="D931" s="8" t="inlineStr">
        <is>
          <t>Trinexapaque-Etílico Ascenza Técnico</t>
        </is>
      </c>
      <c r="E931" s="7" t="inlineStr">
        <is>
          <t>Produto Técnico Industrial</t>
        </is>
      </c>
      <c r="F931" s="7" t="inlineStr">
        <is>
          <t>Defensivos</t>
        </is>
      </c>
      <c r="G931" s="7" t="inlineStr">
        <is>
          <t>Produto Técnico (Regulador De Crescimento) (Insumo Industrial / Técnico)</t>
        </is>
      </c>
      <c r="H931" s="7" t="inlineStr">
        <is>
          <t>TC</t>
        </is>
      </c>
      <c r="I931" s="7" t="inlineStr">
        <is>
          <t>Produto Técnico Industrial (TC)</t>
        </is>
      </c>
      <c r="J931" s="7" t="inlineStr">
        <is>
          <t>Inseticida/acaricida de contato e ingestão</t>
        </is>
      </c>
      <c r="K931" s="7" t="inlineStr">
        <is>
          <t>Ciclohexanodiona Carboxilato (Fitorregulador)</t>
        </is>
      </c>
      <c r="L931" s="7" t="inlineStr">
        <is>
          <t>Regulador de Crescimento Vegetal (Inibidor de Giberelina)</t>
        </is>
      </c>
      <c r="M931" s="7" t="inlineStr">
        <is>
          <t>Inibição da 3-beta-hidroxilase na rota biossintética do ácido giberélico (GA1)</t>
        </is>
      </c>
      <c r="N931" s="7" t="inlineStr">
        <is>
          <t>Categoria 3 / 4 — Moderadamente a Pouco Tóxico</t>
        </is>
      </c>
      <c r="O931" s="7" t="inlineStr">
        <is>
          <t>Amarelo / Azul</t>
        </is>
      </c>
      <c r="P931" s="7" t="inlineStr">
        <is>
          <t>Classe II — Produto Muito Perigoso ao Meio Ambiente</t>
        </is>
      </c>
      <c r="Q931" s="9" t="n">
        <v>24</v>
      </c>
      <c r="R931" s="7" t="inlineStr">
        <is>
          <t>Terrestre / Aérea (Drones consultar bula)</t>
        </is>
      </c>
      <c r="S931" s="7" t="inlineStr">
        <is>
          <t>Tratamento sintomático conforme grupo químico na bula</t>
        </is>
      </c>
      <c r="T931" s="7" t="inlineStr">
        <is>
          <t>Huaian Glory Chemical Co., Ltd. - Endereço: Guoqiao Road. Salt Chemical Industry Park, Hongze, 223100, Huaian - China (Vinc. Reg. 19424)</t>
        </is>
      </c>
      <c r="U931" s="10">
        <f>HYPERLINK("https://agrofit.agricultura.gov.br/agrofit_cons/principal_agrofit_cons", "Consulta Oficial AGROFIT/MAPA (VINC-19424)")</f>
        <v/>
      </c>
    </row>
    <row r="932" ht="22" customHeight="1">
      <c r="A932" s="11" t="n">
        <v>927</v>
      </c>
      <c r="B932" s="12" t="inlineStr">
        <is>
          <t>Nº 19524</t>
        </is>
      </c>
      <c r="C932" s="13" t="inlineStr">
        <is>
          <t>CARAVANA 806 SL</t>
        </is>
      </c>
      <c r="D932" s="14" t="inlineStr">
        <is>
          <t>CARAVANA 806 SL</t>
        </is>
      </c>
      <c r="E932" s="13" t="inlineStr">
        <is>
          <t>Produto Formulado Comercial</t>
        </is>
      </c>
      <c r="F932" s="13" t="inlineStr">
        <is>
          <t>Defensivos</t>
        </is>
      </c>
      <c r="G932" s="13" t="inlineStr">
        <is>
          <t>Herbicida</t>
        </is>
      </c>
      <c r="H932" s="13" t="inlineStr">
        <is>
          <t>SL</t>
        </is>
      </c>
      <c r="I932" s="13" t="inlineStr">
        <is>
          <t>Concentrado Solúvel (SL)</t>
        </is>
      </c>
      <c r="J932" s="13" t="inlineStr">
        <is>
          <t>Herbicida sistêmico seletivo de pós-emergência para folhas largas</t>
        </is>
      </c>
      <c r="K932" s="13" t="inlineStr">
        <is>
          <t>Ácido ariloxialcanoico</t>
        </is>
      </c>
      <c r="L932" s="13" t="inlineStr">
        <is>
          <t>HRAC Grupo O (4) — Auxinas Sintéticas</t>
        </is>
      </c>
      <c r="M932" s="13" t="inlineStr">
        <is>
          <t>Mimetizadores da auxina (ácido indolacético - AIA)</t>
        </is>
      </c>
      <c r="N932" s="13" t="inlineStr">
        <is>
          <t>Categoria 4 — Produto Pouco Tóxico</t>
        </is>
      </c>
      <c r="O932" s="13" t="inlineStr">
        <is>
          <t>Azul PMS Blue 293 C</t>
        </is>
      </c>
      <c r="P932" s="13" t="inlineStr">
        <is>
          <t>Classe III — Produto Perigoso ao Meio Ambiente</t>
        </is>
      </c>
      <c r="Q932" s="15" t="n">
        <v>24</v>
      </c>
      <c r="R932" s="13" t="inlineStr">
        <is>
          <t>Terrestre / Aérea (Drones consultar bula)</t>
        </is>
      </c>
      <c r="S932" s="13" t="inlineStr">
        <is>
          <t>Sem antídoto específico; alcalinização urinária e suporte sintomático</t>
        </is>
      </c>
      <c r="T932" s="13" t="inlineStr">
        <is>
          <t>AllierBrasil Agro Ltda.- São Paulo/SP</t>
        </is>
      </c>
      <c r="U932" s="16">
        <f>HYPERLINK("https://agrofit.agricultura.gov.br/agrofit_cons/principal_agrofit_cons", "Consulta Oficial AGROFIT/MAPA (Nº 19524)")</f>
        <v/>
      </c>
    </row>
    <row r="933" ht="22" customHeight="1">
      <c r="A933" s="5" t="n">
        <v>928</v>
      </c>
      <c r="B933" s="6" t="inlineStr">
        <is>
          <t>VINC-19524</t>
        </is>
      </c>
      <c r="C933" s="7" t="inlineStr">
        <is>
          <t>2,4-D Técnico MCR</t>
        </is>
      </c>
      <c r="D933" s="8" t="inlineStr">
        <is>
          <t>2,4-D Técnico MCR</t>
        </is>
      </c>
      <c r="E933" s="7" t="inlineStr">
        <is>
          <t>Produto Técnico Industrial</t>
        </is>
      </c>
      <c r="F933" s="7" t="inlineStr">
        <is>
          <t>Defensivos</t>
        </is>
      </c>
      <c r="G933" s="7" t="inlineStr">
        <is>
          <t>Produto Técnico (Herbicida) (Insumo Industrial / Técnico)</t>
        </is>
      </c>
      <c r="H933" s="7" t="inlineStr">
        <is>
          <t>TC</t>
        </is>
      </c>
      <c r="I933" s="7" t="inlineStr">
        <is>
          <t>Produto Técnico Industrial (TC)</t>
        </is>
      </c>
      <c r="J933" s="7" t="inlineStr">
        <is>
          <t>Herbicida sistêmico seletivo de pós-emergência para folhas largas</t>
        </is>
      </c>
      <c r="K933" s="7" t="inlineStr">
        <is>
          <t>Ácido ariloxialcanoico</t>
        </is>
      </c>
      <c r="L933" s="7" t="inlineStr">
        <is>
          <t>HRAC Grupo O (4) — Auxinas Sintéticas</t>
        </is>
      </c>
      <c r="M933" s="7" t="inlineStr">
        <is>
          <t>Mimetizadores de auxina sintética</t>
        </is>
      </c>
      <c r="N933" s="7" t="inlineStr">
        <is>
          <t>Categoria 4 — Produto Pouco Tóxico</t>
        </is>
      </c>
      <c r="O933" s="7" t="inlineStr">
        <is>
          <t>Azul PMS Blue 293 C</t>
        </is>
      </c>
      <c r="P933" s="7" t="inlineStr">
        <is>
          <t>Classe III — Produto Perigoso ao Meio Ambiente</t>
        </is>
      </c>
      <c r="Q933" s="9" t="n">
        <v>24</v>
      </c>
      <c r="R933" s="7" t="inlineStr">
        <is>
          <t>Terrestre / Aérea (Drones consultar bula)</t>
        </is>
      </c>
      <c r="S933" s="7" t="inlineStr">
        <is>
          <t>Sem antídoto específico; alcalinização urinária e suporte sintomático</t>
        </is>
      </c>
      <c r="T933" s="7" t="inlineStr">
        <is>
          <t>Jiangsu Good Harvest - Weien Agrochemical Co. Ltd. - Endereço: Laogang, 226221 Qidong, Jiangsu - China. Produto Técnico(2,4-D Técnico GH): Nome: Jiangsu Good Harvest - Weien Agrochemical Co. Ltd. - Endereço: Laogang, 226221 Qidong, Jiangsu - China. Produto Técnico(2,4-D Técnico ND): Nome: Jiangsu Good Harvest - Weien Agrochemical Co. Ltd. - Endereço: Laogang, 226221 Qidong, Jiangsu - China (Vinc. Reg. 19524)</t>
        </is>
      </c>
      <c r="U933" s="10">
        <f>HYPERLINK("https://agrofit.agricultura.gov.br/agrofit_cons/principal_agrofit_cons", "Consulta Oficial AGROFIT/MAPA (VINC-19524)")</f>
        <v/>
      </c>
    </row>
    <row r="934" ht="22" customHeight="1">
      <c r="A934" s="11" t="n">
        <v>929</v>
      </c>
      <c r="B934" s="12" t="inlineStr">
        <is>
          <t>Nº 19624</t>
        </is>
      </c>
      <c r="C934" s="13" t="inlineStr">
        <is>
          <t>PIRIPROXIFEM BRX</t>
        </is>
      </c>
      <c r="D934" s="14" t="inlineStr">
        <is>
          <t>PIRIPROXIFEM BRX</t>
        </is>
      </c>
      <c r="E934" s="13" t="inlineStr">
        <is>
          <t>Produto Formulado Comercial</t>
        </is>
      </c>
      <c r="F934" s="13" t="inlineStr">
        <is>
          <t>Defensivos</t>
        </is>
      </c>
      <c r="G934" s="13" t="inlineStr">
        <is>
          <t>Inseticida Fisiológico</t>
        </is>
      </c>
      <c r="H934" s="13" t="inlineStr">
        <is>
          <t>EC</t>
        </is>
      </c>
      <c r="I934" s="13" t="inlineStr">
        <is>
          <t>Concentrado Emulsionável (EC)</t>
        </is>
      </c>
      <c r="J934" s="13" t="inlineStr">
        <is>
          <t>Inseticida fisiológico regulador de crescimento (contato e translaminar)</t>
        </is>
      </c>
      <c r="K934" s="13" t="inlineStr">
        <is>
          <t>Éter Piridiloxipropílico</t>
        </is>
      </c>
      <c r="L934" s="13" t="inlineStr">
        <is>
          <t>IRAC Grupo 7C</t>
        </is>
      </c>
      <c r="M934" s="13" t="inlineStr">
        <is>
          <t>Mimetizadores do hormônio juvenil (JHM)</t>
        </is>
      </c>
      <c r="N934" s="13" t="inlineStr">
        <is>
          <t>Categoria 5 — Produto Improvável de Causar Dano Agudo</t>
        </is>
      </c>
      <c r="O934" s="13" t="inlineStr">
        <is>
          <t>Azul Intenso</t>
        </is>
      </c>
      <c r="P934" s="13" t="inlineStr">
        <is>
          <t>Classe II — Produto Muito Perigoso ao Meio Ambiente</t>
        </is>
      </c>
      <c r="Q934" s="15" t="n">
        <v>24</v>
      </c>
      <c r="R934" s="13" t="inlineStr">
        <is>
          <t>Terrestre / Aérea (Drones consultar bula)</t>
        </is>
      </c>
      <c r="S934" s="13" t="inlineStr">
        <is>
          <t>Sem antídoto específico; tratamento sintomático</t>
        </is>
      </c>
      <c r="T934" s="13" t="inlineStr">
        <is>
          <t>Nortox S/A- Arapongas/PR</t>
        </is>
      </c>
      <c r="U934" s="16">
        <f>HYPERLINK("https://www.nortox.com.br", "Registro Oficial Piriproxifem BRX 100 EC (Nortox - MAPA 19624)")</f>
        <v/>
      </c>
    </row>
    <row r="935" ht="22" customHeight="1">
      <c r="A935" s="5" t="n">
        <v>930</v>
      </c>
      <c r="B935" s="6" t="inlineStr">
        <is>
          <t>VINC-19624</t>
        </is>
      </c>
      <c r="C935" s="7" t="inlineStr">
        <is>
          <t>Piriproxifen Técnico Nortox</t>
        </is>
      </c>
      <c r="D935" s="8" t="inlineStr">
        <is>
          <t>Piriproxifen Técnico Nortox</t>
        </is>
      </c>
      <c r="E935" s="7" t="inlineStr">
        <is>
          <t>Produto Técnico Industrial</t>
        </is>
      </c>
      <c r="F935" s="7" t="inlineStr">
        <is>
          <t>Defensivos</t>
        </is>
      </c>
      <c r="G935" s="7" t="inlineStr">
        <is>
          <t>Produto Técnico (Inseticida / Acaricida) (Insumo Industrial / Técnico)</t>
        </is>
      </c>
      <c r="H935" s="7" t="inlineStr">
        <is>
          <t>TC</t>
        </is>
      </c>
      <c r="I935" s="7" t="inlineStr">
        <is>
          <t>Produto Técnico Industrial (TC)</t>
        </is>
      </c>
      <c r="J935" s="7" t="inlineStr">
        <is>
          <t>Inseticida fisiológico regulador de crescimento (contato e translaminar)</t>
        </is>
      </c>
      <c r="K935" s="7" t="inlineStr">
        <is>
          <t>Éter Piridiloxipropílico</t>
        </is>
      </c>
      <c r="L935" s="7" t="inlineStr">
        <is>
          <t>IRAC Grupo 7C</t>
        </is>
      </c>
      <c r="M935" s="7" t="inlineStr">
        <is>
          <t>Mimetizadores do hormônio juvenil (JHM)</t>
        </is>
      </c>
      <c r="N935" s="7" t="inlineStr">
        <is>
          <t>Categoria 5 — Produto Improvável de Causar Dano Agudo</t>
        </is>
      </c>
      <c r="O935" s="7" t="inlineStr">
        <is>
          <t>Azul Intenso</t>
        </is>
      </c>
      <c r="P935" s="7" t="inlineStr">
        <is>
          <t>Classe II — Produto Muito Perigoso ao Meio Ambiente</t>
        </is>
      </c>
      <c r="Q935" s="9" t="n">
        <v>24</v>
      </c>
      <c r="R935" s="7" t="inlineStr">
        <is>
          <t>Terrestre / Aérea (Drones consultar bula)</t>
        </is>
      </c>
      <c r="S935" s="7" t="inlineStr">
        <is>
          <t>Sem antídoto específico; tratamento sintomático</t>
        </is>
      </c>
      <c r="T935" s="7" t="inlineStr">
        <is>
          <t>Jiangsu Flag Chemical Industry Co., Ltd. - Endereço: nº 309, Changfenghe Road, Nanjing Chemical Industrial Park - Nanjing - Jiangsu Province - 210047 - China (Vinc. Reg. 19624)</t>
        </is>
      </c>
      <c r="U935" s="10">
        <f>HYPERLINK("https://agrofit.agricultura.gov.br/agrofit_cons/principal_agrofit_cons", "Consulta Oficial AGROFIT/MAPA (VINC-19624)")</f>
        <v/>
      </c>
    </row>
    <row r="936" ht="22" customHeight="1">
      <c r="A936" s="11" t="n">
        <v>931</v>
      </c>
      <c r="B936" s="12" t="inlineStr">
        <is>
          <t>Nº 19724</t>
        </is>
      </c>
      <c r="C936" s="13" t="inlineStr">
        <is>
          <t>SONET</t>
        </is>
      </c>
      <c r="D936" s="14" t="inlineStr">
        <is>
          <t>SONET</t>
        </is>
      </c>
      <c r="E936" s="13" t="inlineStr">
        <is>
          <t>Produto Formulado Comercial</t>
        </is>
      </c>
      <c r="F936" s="13" t="inlineStr">
        <is>
          <t>Defensivos</t>
        </is>
      </c>
      <c r="G936" s="13" t="inlineStr">
        <is>
          <t>Inseticida</t>
        </is>
      </c>
      <c r="H936" s="13" t="inlineStr">
        <is>
          <t>EC</t>
        </is>
      </c>
      <c r="I936" s="13" t="inlineStr">
        <is>
          <t>Concentrado Emulsionável (EC)</t>
        </is>
      </c>
      <c r="J936" s="13" t="inlineStr">
        <is>
          <t>Inseticida fisiológico regulador de crescimento (contato e translaminar)</t>
        </is>
      </c>
      <c r="K936" s="13" t="inlineStr">
        <is>
          <t>Neonicotinoide (Nitroguanidina) + Piretroide (Tipo II)</t>
        </is>
      </c>
      <c r="L936" s="13" t="inlineStr">
        <is>
          <t>IRAC Grupo 4A + IRAC Grupo 3A</t>
        </is>
      </c>
      <c r="M936" s="13" t="inlineStr">
        <is>
          <t>Moduladores competitivos dos receptores nicotínicos da acetilcolina (nAChR); Moduladores de canais de sódio em membranas nervosas</t>
        </is>
      </c>
      <c r="N936" s="13" t="inlineStr">
        <is>
          <t>Categoria 5 — Produto Improvável de Causar Dano Agudo</t>
        </is>
      </c>
      <c r="O936" s="13" t="inlineStr">
        <is>
          <t>Azul Intenso</t>
        </is>
      </c>
      <c r="P936" s="13" t="inlineStr">
        <is>
          <t>Classe II — Produto Muito Perigoso ao Meio Ambiente</t>
        </is>
      </c>
      <c r="Q936" s="15" t="n">
        <v>24</v>
      </c>
      <c r="R936" s="13" t="inlineStr">
        <is>
          <t>Terrestre / Aérea (Drones consultar bula)</t>
        </is>
      </c>
      <c r="S936" s="13" t="inlineStr">
        <is>
          <t>Sem antídoto específico; tratamento sintomático</t>
        </is>
      </c>
      <c r="T936" s="13" t="inlineStr">
        <is>
          <t>Iharabras S.A. Indústrias Químicas- Sorocaba/SP</t>
        </is>
      </c>
      <c r="U936" s="16">
        <f>HYPERLINK("https://agrofit.agricultura.gov.br/agrofit_cons/principal_agrofit_cons", "Consulta Oficial AGROFIT/MAPA (Nº 19724)")</f>
        <v/>
      </c>
    </row>
    <row r="937" ht="22" customHeight="1">
      <c r="A937" s="5" t="n">
        <v>932</v>
      </c>
      <c r="B937" s="6" t="inlineStr">
        <is>
          <t>VINC-19724</t>
        </is>
      </c>
      <c r="C937" s="7" t="inlineStr">
        <is>
          <t>Dinno Técnico</t>
        </is>
      </c>
      <c r="D937" s="8" t="inlineStr">
        <is>
          <t>Dinno Técnico</t>
        </is>
      </c>
      <c r="E937" s="7" t="inlineStr">
        <is>
          <t>Produto Técnico Industrial</t>
        </is>
      </c>
      <c r="F937" s="7" t="inlineStr">
        <is>
          <t>Defensivos</t>
        </is>
      </c>
      <c r="G937" s="7" t="inlineStr">
        <is>
          <t>Produto Técnico (Inseticida / Acaricida) (Insumo Industrial / Técnico)</t>
        </is>
      </c>
      <c r="H937" s="7" t="inlineStr">
        <is>
          <t>TC</t>
        </is>
      </c>
      <c r="I937" s="7" t="inlineStr">
        <is>
          <t>Produto Técnico Industrial (TC)</t>
        </is>
      </c>
      <c r="J937" s="7" t="inlineStr">
        <is>
          <t>Inseticida de contato e ingestão com efeito de choque</t>
        </is>
      </c>
      <c r="K937" s="7" t="inlineStr">
        <is>
          <t>Neonicotinoide (Nitroguanidina)</t>
        </is>
      </c>
      <c r="L937" s="7" t="inlineStr">
        <is>
          <t>IRAC Grupo 4A</t>
        </is>
      </c>
      <c r="M937" s="7" t="inlineStr">
        <is>
          <t>Moduladores competitivos dos receptores nicotínicos da acetilcolina (nAChR)</t>
        </is>
      </c>
      <c r="N937" s="7" t="inlineStr">
        <is>
          <t>Categoria 3 / 4 — Moderadamente a Pouco Tóxico</t>
        </is>
      </c>
      <c r="O937" s="7" t="inlineStr">
        <is>
          <t>Amarelo / Azul</t>
        </is>
      </c>
      <c r="P937" s="7" t="inlineStr">
        <is>
          <t>Classe II — Produto Muito Perigoso ao Meio Ambiente</t>
        </is>
      </c>
      <c r="Q937" s="9" t="n">
        <v>24</v>
      </c>
      <c r="R937" s="7" t="inlineStr">
        <is>
          <t>Terrestre / Aérea (Drones consultar bula)</t>
        </is>
      </c>
      <c r="S937" s="7" t="inlineStr">
        <is>
          <t>Sem antídoto específico; anti-histamínicos e suporte sintomático</t>
        </is>
      </c>
      <c r="T937" s="7" t="inlineStr">
        <is>
          <t>Mitsui Chemicals INC. - Endereço: Omuta Works, 30, Asamuta-machi, Omuta, Fukuoka, 836-8610 - Japão (Vinc. Reg. 19724)</t>
        </is>
      </c>
      <c r="U937" s="10">
        <f>HYPERLINK("https://agrofit.agricultura.gov.br/agrofit_cons/principal_agrofit_cons", "Consulta Oficial AGROFIT/MAPA (VINC-19724)")</f>
        <v/>
      </c>
    </row>
    <row r="938" ht="22" customHeight="1">
      <c r="A938" s="11" t="n">
        <v>933</v>
      </c>
      <c r="B938" s="12" t="inlineStr">
        <is>
          <t>VINC-19724</t>
        </is>
      </c>
      <c r="C938" s="13" t="inlineStr">
        <is>
          <t>Lambda-Cialotrina Técnico Ihara</t>
        </is>
      </c>
      <c r="D938" s="14" t="inlineStr">
        <is>
          <t>Lambda-Cialotrina Técnico Ihara</t>
        </is>
      </c>
      <c r="E938" s="13" t="inlineStr">
        <is>
          <t>Produto Técnico Industrial</t>
        </is>
      </c>
      <c r="F938" s="13" t="inlineStr">
        <is>
          <t>Defensivos</t>
        </is>
      </c>
      <c r="G938" s="13" t="inlineStr">
        <is>
          <t>Produto Técnico (Inseticida / Acaricida) (Insumo Industrial / Técnico)</t>
        </is>
      </c>
      <c r="H938" s="13" t="inlineStr">
        <is>
          <t>TC</t>
        </is>
      </c>
      <c r="I938" s="13" t="inlineStr">
        <is>
          <t>Produto Técnico Industrial (TC)</t>
        </is>
      </c>
      <c r="J938" s="13" t="inlineStr">
        <is>
          <t>Inseticida de contato e ingestão com efeito de choque</t>
        </is>
      </c>
      <c r="K938" s="13" t="inlineStr">
        <is>
          <t>Piretroide (Tipo II)</t>
        </is>
      </c>
      <c r="L938" s="13" t="inlineStr">
        <is>
          <t>IRAC Grupo 3A</t>
        </is>
      </c>
      <c r="M938" s="13" t="inlineStr">
        <is>
          <t>Moduladores de canais de sódio em membranas nervosas</t>
        </is>
      </c>
      <c r="N938" s="13" t="inlineStr">
        <is>
          <t>Categoria 3 / 4 — Moderadamente a Pouco Tóxico</t>
        </is>
      </c>
      <c r="O938" s="13" t="inlineStr">
        <is>
          <t>Amarelo / Azul</t>
        </is>
      </c>
      <c r="P938" s="13" t="inlineStr">
        <is>
          <t>Classe II — Produto Muito Perigoso ao Meio Ambiente</t>
        </is>
      </c>
      <c r="Q938" s="15" t="n">
        <v>24</v>
      </c>
      <c r="R938" s="13" t="inlineStr">
        <is>
          <t>Terrestre / Aérea (Drones consultar bula)</t>
        </is>
      </c>
      <c r="S938" s="13" t="inlineStr">
        <is>
          <t>Sem antídoto específico; anti-histamínicos e suporte sintomático</t>
        </is>
      </c>
      <c r="T938" s="13" t="inlineStr">
        <is>
          <t>Jiangsu Agrochem Laboratory Co., Ltd. - Endereço: No.1218 North Changjiang Rd, Hi-tech Development Zone, Changzhou, Jiangsu, 213034 - China (Vinc. Reg. 19724)</t>
        </is>
      </c>
      <c r="U938" s="16">
        <f>HYPERLINK("https://agrofit.agricultura.gov.br/agrofit_cons/principal_agrofit_cons", "Consulta Oficial AGROFIT/MAPA (VINC-19724)")</f>
        <v/>
      </c>
    </row>
    <row r="939" ht="22" customHeight="1">
      <c r="A939" s="5" t="n">
        <v>934</v>
      </c>
      <c r="B939" s="6" t="inlineStr">
        <is>
          <t>VINC-19724</t>
        </is>
      </c>
      <c r="C939" s="7" t="inlineStr">
        <is>
          <t>Lambda-Cyhalothrin Técnico Oxon</t>
        </is>
      </c>
      <c r="D939" s="8" t="inlineStr">
        <is>
          <t>Lambda-Cyhalothrin Técnico Oxon</t>
        </is>
      </c>
      <c r="E939" s="7" t="inlineStr">
        <is>
          <t>Produto Técnico Industrial</t>
        </is>
      </c>
      <c r="F939" s="7" t="inlineStr">
        <is>
          <t>Defensivos</t>
        </is>
      </c>
      <c r="G939" s="7" t="inlineStr">
        <is>
          <t>Produto Técnico (Inseticida / Acaricida) (Insumo Industrial / Técnico)</t>
        </is>
      </c>
      <c r="H939" s="7" t="inlineStr">
        <is>
          <t>TC</t>
        </is>
      </c>
      <c r="I939" s="7" t="inlineStr">
        <is>
          <t>Produto Técnico Industrial (TC)</t>
        </is>
      </c>
      <c r="J939" s="7" t="inlineStr">
        <is>
          <t>Inseticida de contato e ingestão com efeito de choque</t>
        </is>
      </c>
      <c r="K939" s="7" t="inlineStr">
        <is>
          <t>Piretroide (Tipo II)</t>
        </is>
      </c>
      <c r="L939" s="7" t="inlineStr">
        <is>
          <t>IRAC Grupo 3A</t>
        </is>
      </c>
      <c r="M939" s="7" t="inlineStr">
        <is>
          <t>Moduladores de canais de sódio em membranas nervosas</t>
        </is>
      </c>
      <c r="N939" s="7" t="inlineStr">
        <is>
          <t>Categoria 3 / 4 — Moderadamente a Pouco Tóxico</t>
        </is>
      </c>
      <c r="O939" s="7" t="inlineStr">
        <is>
          <t>Amarelo / Azul</t>
        </is>
      </c>
      <c r="P939" s="7" t="inlineStr">
        <is>
          <t>Classe II — Produto Muito Perigoso ao Meio Ambiente</t>
        </is>
      </c>
      <c r="Q939" s="9" t="n">
        <v>24</v>
      </c>
      <c r="R939" s="7" t="inlineStr">
        <is>
          <t>Terrestre / Aérea (Drones consultar bula)</t>
        </is>
      </c>
      <c r="S939" s="7" t="inlineStr">
        <is>
          <t>Sem antídoto específico; anti-histamínicos e suporte sintomático</t>
        </is>
      </c>
      <c r="T939" s="7" t="inlineStr">
        <is>
          <t>Youth Chemical Co. Ltd. - Endereço: Nº 1 Youshi Road- Yizheng City- Chemical Industrial Zone- Jiangsu - China. Produto Técnico(Lambda-Cyhalothrin Técnico Rotam): Nome: Tianjin Rotam Chemical Industry., LTD. - Endereço: Tie Dong Road Beiochem District, Tianjin, 300400 - China. Produto Técnico(Lambda-Cyhalothrin Técnico RTM): Nome: Jiangsu Chunjiang Runtian Agrochemical Co., Ltd. - Endereço: Nº 6 Huaihong Road, The Salt Chemical Industry Development Zone, Hongze - China. Produto Técnico(Lambdacyhalothrin Técnico ICI): Nome: Syngenta Limited - Endereço: Fersnhurst - Haslemere - Surrey GU27 3JE - Inglaterra. Produto Técnico(Lambda Cyhalothrin Técnico SYN): Nome: Bharat Rasayan Ltd. - Unit II - Endereço: Plot nº 42/4, Amond Road, GIDC, Dahej, Bharuch, Gujarat, 392130 - Índia (Vinc. Reg. 19724)</t>
        </is>
      </c>
      <c r="U939" s="10">
        <f>HYPERLINK("https://agrofit.agricultura.gov.br/agrofit_cons/principal_agrofit_cons", "Consulta Oficial AGROFIT/MAPA (VINC-19724)")</f>
        <v/>
      </c>
    </row>
    <row r="940" ht="22" customHeight="1">
      <c r="A940" s="11" t="n">
        <v>935</v>
      </c>
      <c r="B940" s="12" t="inlineStr">
        <is>
          <t>VINC-19724</t>
        </is>
      </c>
      <c r="C940" s="13" t="inlineStr">
        <is>
          <t>Lambda Cyhalothrin Técnico Sulphur Mills</t>
        </is>
      </c>
      <c r="D940" s="14" t="inlineStr">
        <is>
          <t>Lambda Cyhalothrin Técnico Sulphur Mills</t>
        </is>
      </c>
      <c r="E940" s="13" t="inlineStr">
        <is>
          <t>Produto Técnico Industrial</t>
        </is>
      </c>
      <c r="F940" s="13" t="inlineStr">
        <is>
          <t>Defensivos</t>
        </is>
      </c>
      <c r="G940" s="13" t="inlineStr">
        <is>
          <t>Produto Técnico (Inseticida / Acaricida) (Insumo Industrial / Técnico)</t>
        </is>
      </c>
      <c r="H940" s="13" t="inlineStr">
        <is>
          <t>TC</t>
        </is>
      </c>
      <c r="I940" s="13" t="inlineStr">
        <is>
          <t>Produto Técnico Industrial (TC)</t>
        </is>
      </c>
      <c r="J940" s="13" t="inlineStr">
        <is>
          <t>Inseticida de contato e ingestão com efeito de choque</t>
        </is>
      </c>
      <c r="K940" s="13" t="inlineStr">
        <is>
          <t>Piretroide (Tipo II)</t>
        </is>
      </c>
      <c r="L940" s="13" t="inlineStr">
        <is>
          <t>IRAC Grupo 3A</t>
        </is>
      </c>
      <c r="M940" s="13" t="inlineStr">
        <is>
          <t>Moduladores de canais de sódio em membranas nervosas</t>
        </is>
      </c>
      <c r="N940" s="13" t="inlineStr">
        <is>
          <t>Categoria 3 / 4 — Moderadamente a Pouco Tóxico</t>
        </is>
      </c>
      <c r="O940" s="13" t="inlineStr">
        <is>
          <t>Amarelo / Azul</t>
        </is>
      </c>
      <c r="P940" s="13" t="inlineStr">
        <is>
          <t>Classe II — Produto Muito Perigoso ao Meio Ambiente</t>
        </is>
      </c>
      <c r="Q940" s="15" t="n">
        <v>24</v>
      </c>
      <c r="R940" s="13" t="inlineStr">
        <is>
          <t>Terrestre / Aérea (Drones consultar bula)</t>
        </is>
      </c>
      <c r="S940" s="13" t="inlineStr">
        <is>
          <t>Sem antídoto específico; anti-histamínicos e suporte sintomático</t>
        </is>
      </c>
      <c r="T940" s="13" t="inlineStr">
        <is>
          <t>Sulphur Mills Limited - Unit I - Endereço: G.I.D.C. Plot no. 1904, A-18/18 - Panoli - Dist. Bharuch - State Gujarat - Índia (Vinc. Reg. 19724)</t>
        </is>
      </c>
      <c r="U940" s="16">
        <f>HYPERLINK("https://agrofit.agricultura.gov.br/agrofit_cons/principal_agrofit_cons", "Consulta Oficial AGROFIT/MAPA (VINC-19724)")</f>
        <v/>
      </c>
    </row>
    <row r="941" ht="22" customHeight="1">
      <c r="A941" s="5" t="n">
        <v>936</v>
      </c>
      <c r="B941" s="6" t="inlineStr">
        <is>
          <t>Nº 19824</t>
        </is>
      </c>
      <c r="C941" s="7" t="inlineStr">
        <is>
          <t>AHEAD</t>
        </is>
      </c>
      <c r="D941" s="8" t="inlineStr">
        <is>
          <t>AHEAD</t>
        </is>
      </c>
      <c r="E941" s="7" t="inlineStr">
        <is>
          <t>Produto Formulado Comercial</t>
        </is>
      </c>
      <c r="F941" s="7" t="inlineStr">
        <is>
          <t>Defensivos</t>
        </is>
      </c>
      <c r="G941" s="7" t="inlineStr">
        <is>
          <t>Inseticida</t>
        </is>
      </c>
      <c r="H941" s="7" t="inlineStr">
        <is>
          <t>EC</t>
        </is>
      </c>
      <c r="I941" s="7" t="inlineStr">
        <is>
          <t>Concentrado Emulsionável (EC)</t>
        </is>
      </c>
      <c r="J941" s="7" t="inlineStr">
        <is>
          <t>Inseticida fisiológico regulador de crescimento (contato e translaminar)</t>
        </is>
      </c>
      <c r="K941" s="7" t="inlineStr">
        <is>
          <t>Neonicotinoide (Nitroguanidina)</t>
        </is>
      </c>
      <c r="L941" s="7" t="inlineStr">
        <is>
          <t>IRAC Grupo 4A</t>
        </is>
      </c>
      <c r="M941" s="7" t="inlineStr">
        <is>
          <t>Moduladores competitivos dos receptores nicotínicos da acetilcolina (nAChR)</t>
        </is>
      </c>
      <c r="N941" s="7" t="inlineStr">
        <is>
          <t>Categoria 5 — Produto Improvável de Causar Dano Agudo</t>
        </is>
      </c>
      <c r="O941" s="7" t="inlineStr">
        <is>
          <t>Azul Intenso</t>
        </is>
      </c>
      <c r="P941" s="7" t="inlineStr">
        <is>
          <t>Classe II — Produto Muito Perigoso ao Meio Ambiente</t>
        </is>
      </c>
      <c r="Q941" s="9" t="n">
        <v>24</v>
      </c>
      <c r="R941" s="7" t="inlineStr">
        <is>
          <t>Terrestre / Aérea (Drones consultar bula)</t>
        </is>
      </c>
      <c r="S941" s="7" t="inlineStr">
        <is>
          <t>Sem antídoto específico; tratamento sintomático</t>
        </is>
      </c>
      <c r="T941" s="7" t="inlineStr">
        <is>
          <t>Iharabras S.A. Indústrias Químicas- Sorocaba/SP</t>
        </is>
      </c>
      <c r="U941" s="10">
        <f>HYPERLINK("https://agrofit.agricultura.gov.br/agrofit_cons/principal_agrofit_cons", "Consulta Oficial AGROFIT/MAPA (Nº 19824)")</f>
        <v/>
      </c>
    </row>
    <row r="942" ht="22" customHeight="1">
      <c r="A942" s="11" t="n">
        <v>937</v>
      </c>
      <c r="B942" s="12" t="inlineStr">
        <is>
          <t>VINC-19824</t>
        </is>
      </c>
      <c r="C942" s="13" t="inlineStr">
        <is>
          <t>Tiger Técnico</t>
        </is>
      </c>
      <c r="D942" s="14" t="inlineStr">
        <is>
          <t>Tiger Técnico</t>
        </is>
      </c>
      <c r="E942" s="13" t="inlineStr">
        <is>
          <t>Produto Técnico Industrial</t>
        </is>
      </c>
      <c r="F942" s="13" t="inlineStr">
        <is>
          <t>Defensivos</t>
        </is>
      </c>
      <c r="G942" s="13" t="inlineStr">
        <is>
          <t>Produto Técnico (Inseticida / Acaricida) (Insumo Industrial / Técnico)</t>
        </is>
      </c>
      <c r="H942" s="13" t="inlineStr">
        <is>
          <t>TC</t>
        </is>
      </c>
      <c r="I942" s="13" t="inlineStr">
        <is>
          <t>Produto Técnico Industrial (TC)</t>
        </is>
      </c>
      <c r="J942" s="13" t="inlineStr">
        <is>
          <t>Inseticida fisiológico regulador de crescimento (contato e translaminar)</t>
        </is>
      </c>
      <c r="K942" s="13" t="inlineStr">
        <is>
          <t>Éter Piridiloxipropílico</t>
        </is>
      </c>
      <c r="L942" s="13" t="inlineStr">
        <is>
          <t>IRAC Grupo 7C</t>
        </is>
      </c>
      <c r="M942" s="13" t="inlineStr">
        <is>
          <t>Mimetizadores do hormônio juvenil (JHM)</t>
        </is>
      </c>
      <c r="N942" s="13" t="inlineStr">
        <is>
          <t>Categoria 5 — Produto Improvável de Causar Dano Agudo</t>
        </is>
      </c>
      <c r="O942" s="13" t="inlineStr">
        <is>
          <t>Azul Intenso</t>
        </is>
      </c>
      <c r="P942" s="13" t="inlineStr">
        <is>
          <t>Classe II — Produto Muito Perigoso ao Meio Ambiente</t>
        </is>
      </c>
      <c r="Q942" s="15" t="n">
        <v>24</v>
      </c>
      <c r="R942" s="13" t="inlineStr">
        <is>
          <t>Terrestre / Aérea (Drones consultar bula)</t>
        </is>
      </c>
      <c r="S942" s="13" t="inlineStr">
        <is>
          <t>Sem antídoto específico; tratamento sintomático</t>
        </is>
      </c>
      <c r="T942" s="13" t="inlineStr">
        <is>
          <t>Sumitomo Chemical Company, Ltd - (Fábrica) - Endereço: Misawa Works, Sabishirotai, Misawa, 033-0022, Misawa-shi - Japão (Vinc. Reg. 19824)</t>
        </is>
      </c>
      <c r="U942" s="16">
        <f>HYPERLINK("https://agrofit.agricultura.gov.br/agrofit_cons/principal_agrofit_cons", "Consulta Oficial AGROFIT/MAPA (VINC-19824)")</f>
        <v/>
      </c>
    </row>
    <row r="943" ht="22" customHeight="1">
      <c r="A943" s="5" t="n">
        <v>938</v>
      </c>
      <c r="B943" s="6" t="inlineStr">
        <is>
          <t>Nº 19924</t>
        </is>
      </c>
      <c r="C943" s="7" t="inlineStr">
        <is>
          <t>DOPPIO</t>
        </is>
      </c>
      <c r="D943" s="8" t="inlineStr">
        <is>
          <t>DOPPIO</t>
        </is>
      </c>
      <c r="E943" s="7" t="inlineStr">
        <is>
          <t>Produto Formulado Comercial</t>
        </is>
      </c>
      <c r="F943" s="7" t="inlineStr">
        <is>
          <t>Defensivos</t>
        </is>
      </c>
      <c r="G943" s="7" t="inlineStr">
        <is>
          <t>Herbicida Dessecante</t>
        </is>
      </c>
      <c r="H943" s="7" t="inlineStr">
        <is>
          <t>SL</t>
        </is>
      </c>
      <c r="I943" s="7" t="inlineStr">
        <is>
          <t>Concentrado Solúvel (SL)</t>
        </is>
      </c>
      <c r="J943" s="7" t="inlineStr">
        <is>
          <t>Herbicida dessecante não seletivo de contato e ação rápida</t>
        </is>
      </c>
      <c r="K943" s="7" t="inlineStr">
        <is>
          <t>Bipiridílio + Triazolinona</t>
        </is>
      </c>
      <c r="L943" s="7" t="inlineStr">
        <is>
          <t>HRAC Grupo D (22) — Desviadores de Elétrons do Fotossistema I + HRAC Grupo C1 (5) — Inibidores do Fotossistema II</t>
        </is>
      </c>
      <c r="M943" s="7" t="inlineStr">
        <is>
          <t>Desvio de elétrons no Fotossistema I e formação de radicais peróxido; Inibição do transporte de elétrons no Fotossistema II</t>
        </is>
      </c>
      <c r="N943" s="7" t="inlineStr">
        <is>
          <t>Categoria 3 — Produto Moderadamente Tóxico</t>
        </is>
      </c>
      <c r="O943" s="7" t="inlineStr">
        <is>
          <t>Amarelo PMS Yellow C</t>
        </is>
      </c>
      <c r="P943" s="7" t="inlineStr">
        <is>
          <t>Classe II — Produto Muito Perigoso ao Meio Ambiente</t>
        </is>
      </c>
      <c r="Q943" s="9" t="n">
        <v>24</v>
      </c>
      <c r="R943" s="7" t="inlineStr">
        <is>
          <t>Terrestre / Aérea (Drones consultar bula)</t>
        </is>
      </c>
      <c r="S943" s="7" t="inlineStr">
        <is>
          <t>Sem antídoto específico; terra de Fuller / bentonita / carvão ativado na descontaminação gástrica</t>
        </is>
      </c>
      <c r="T943" s="7" t="inlineStr">
        <is>
          <t>Iharabras S.A. Indústrias Químicas- Sorocaba/SP</t>
        </is>
      </c>
      <c r="U943" s="10">
        <f>HYPERLINK("https://agrofit.agricultura.gov.br/agrofit_cons/principal_agrofit_cons", "Consulta Oficial AGROFIT/MAPA (Nº 19924)")</f>
        <v/>
      </c>
    </row>
    <row r="944" ht="22" customHeight="1">
      <c r="A944" s="11" t="n">
        <v>939</v>
      </c>
      <c r="B944" s="12" t="inlineStr">
        <is>
          <t>VINC-19924</t>
        </is>
      </c>
      <c r="C944" s="13" t="inlineStr">
        <is>
          <t>Diquat Técnico</t>
        </is>
      </c>
      <c r="D944" s="14" t="inlineStr">
        <is>
          <t>Diquat Técnico</t>
        </is>
      </c>
      <c r="E944" s="13" t="inlineStr">
        <is>
          <t>Produto Técnico Industrial</t>
        </is>
      </c>
      <c r="F944" s="13" t="inlineStr">
        <is>
          <t>Defensivos</t>
        </is>
      </c>
      <c r="G944" s="13" t="inlineStr">
        <is>
          <t>Produto Técnico (Herbicida) (Insumo Industrial / Técnico)</t>
        </is>
      </c>
      <c r="H944" s="13" t="inlineStr">
        <is>
          <t>TC</t>
        </is>
      </c>
      <c r="I944" s="13" t="inlineStr">
        <is>
          <t>Produto Técnico Industrial (TC)</t>
        </is>
      </c>
      <c r="J944" s="13" t="inlineStr">
        <is>
          <t>Herbicida dessecante não seletivo de contato e ação rápida</t>
        </is>
      </c>
      <c r="K944" s="13" t="inlineStr">
        <is>
          <t>Produto Técnico Industrial</t>
        </is>
      </c>
      <c r="L944" s="13" t="inlineStr">
        <is>
          <t>Insumo Técnico MAPA</t>
        </is>
      </c>
      <c r="M944" s="13" t="inlineStr">
        <is>
          <t>Matéria-prima ativa de grau técnico industrial</t>
        </is>
      </c>
      <c r="N944" s="13" t="inlineStr">
        <is>
          <t>Categoria 3 — Produto Moderadamente Tóxico</t>
        </is>
      </c>
      <c r="O944" s="13" t="inlineStr">
        <is>
          <t>Amarelo PMS Yellow C</t>
        </is>
      </c>
      <c r="P944" s="13" t="inlineStr">
        <is>
          <t>Classe II — Produto Muito Perigoso ao Meio Ambiente</t>
        </is>
      </c>
      <c r="Q944" s="15" t="n">
        <v>24</v>
      </c>
      <c r="R944" s="13" t="inlineStr">
        <is>
          <t>Terrestre / Aérea (Drones consultar bula)</t>
        </is>
      </c>
      <c r="S944" s="13" t="inlineStr">
        <is>
          <t>Sem antídoto específico; terra de Fuller / bentonita / carvão ativado na descontaminação gástrica</t>
        </is>
      </c>
      <c r="T944" s="13" t="inlineStr">
        <is>
          <t>Syngenta Limited - Endereço: Huddsfield Manufacturing Centre, PO Box A38, Leeds Road, Huddesfield West Yorkshire, HD2 1FF - Reino Unido (Vinc. Reg. 19924)</t>
        </is>
      </c>
      <c r="U944" s="16">
        <f>HYPERLINK("https://agrofit.agricultura.gov.br/agrofit_cons/principal_agrofit_cons", "Consulta Oficial AGROFIT/MAPA (VINC-19924)")</f>
        <v/>
      </c>
    </row>
    <row r="945" ht="22" customHeight="1">
      <c r="A945" s="5" t="n">
        <v>940</v>
      </c>
      <c r="B945" s="6" t="inlineStr">
        <is>
          <t>VINC-19924</t>
        </is>
      </c>
      <c r="C945" s="7" t="inlineStr">
        <is>
          <t>Diquat Técnico Ihara</t>
        </is>
      </c>
      <c r="D945" s="8" t="inlineStr">
        <is>
          <t>Diquat Técnico Ihara</t>
        </is>
      </c>
      <c r="E945" s="7" t="inlineStr">
        <is>
          <t>Produto Técnico Industrial</t>
        </is>
      </c>
      <c r="F945" s="7" t="inlineStr">
        <is>
          <t>Defensivos</t>
        </is>
      </c>
      <c r="G945" s="7" t="inlineStr">
        <is>
          <t>Produto Técnico (Herbicida) (Insumo Industrial / Técnico)</t>
        </is>
      </c>
      <c r="H945" s="7" t="inlineStr">
        <is>
          <t>TC</t>
        </is>
      </c>
      <c r="I945" s="7" t="inlineStr">
        <is>
          <t>Produto Técnico Industrial (TC)</t>
        </is>
      </c>
      <c r="J945" s="7" t="inlineStr">
        <is>
          <t>Herbicida dessecante não seletivo de contato e ação rápida</t>
        </is>
      </c>
      <c r="K945" s="7" t="inlineStr">
        <is>
          <t>Produto Técnico Industrial</t>
        </is>
      </c>
      <c r="L945" s="7" t="inlineStr">
        <is>
          <t>Insumo Técnico MAPA</t>
        </is>
      </c>
      <c r="M945" s="7" t="inlineStr">
        <is>
          <t>Matéria-prima ativa de grau técnico industrial</t>
        </is>
      </c>
      <c r="N945" s="7" t="inlineStr">
        <is>
          <t>Categoria 3 — Produto Moderadamente Tóxico</t>
        </is>
      </c>
      <c r="O945" s="7" t="inlineStr">
        <is>
          <t>Amarelo PMS Yellow C</t>
        </is>
      </c>
      <c r="P945" s="7" t="inlineStr">
        <is>
          <t>Classe II — Produto Muito Perigoso ao Meio Ambiente</t>
        </is>
      </c>
      <c r="Q945" s="9" t="n">
        <v>24</v>
      </c>
      <c r="R945" s="7" t="inlineStr">
        <is>
          <t>Terrestre / Aérea (Drones consultar bula)</t>
        </is>
      </c>
      <c r="S945" s="7" t="inlineStr">
        <is>
          <t>Sem antídoto específico; terra de Fuller / bentonita / carvão ativado na descontaminação gástrica</t>
        </is>
      </c>
      <c r="T945" s="7" t="inlineStr">
        <is>
          <t>ZheJiang Funong Biotech Co. Ltd. - Endereço: Lantian Yongqiang, 325024, Wenzhou - China (Vinc. Reg. 19924)</t>
        </is>
      </c>
      <c r="U945" s="10">
        <f>HYPERLINK("https://agrofit.agricultura.gov.br/agrofit_cons/principal_agrofit_cons", "Consulta Oficial AGROFIT/MAPA (VINC-19924)")</f>
        <v/>
      </c>
    </row>
    <row r="946" ht="22" customHeight="1">
      <c r="A946" s="11" t="n">
        <v>941</v>
      </c>
      <c r="B946" s="12" t="inlineStr">
        <is>
          <t>VINC-19924</t>
        </is>
      </c>
      <c r="C946" s="13" t="inlineStr">
        <is>
          <t>Magneto Técnico</t>
        </is>
      </c>
      <c r="D946" s="14" t="inlineStr">
        <is>
          <t>Magneto Técnico</t>
        </is>
      </c>
      <c r="E946" s="13" t="inlineStr">
        <is>
          <t>Produto Técnico Industrial</t>
        </is>
      </c>
      <c r="F946" s="13" t="inlineStr">
        <is>
          <t>Defensivos</t>
        </is>
      </c>
      <c r="G946" s="13" t="inlineStr">
        <is>
          <t>Produto Técnico (Herbicida) (Insumo Industrial / Técnico)</t>
        </is>
      </c>
      <c r="H946" s="13" t="inlineStr">
        <is>
          <t>TC</t>
        </is>
      </c>
      <c r="I946" s="13" t="inlineStr">
        <is>
          <t>Produto Técnico Industrial (TC)</t>
        </is>
      </c>
      <c r="J946" s="13" t="inlineStr">
        <is>
          <t>Herbicida dessecante não seletivo de contato e ação rápida</t>
        </is>
      </c>
      <c r="K946" s="13" t="inlineStr">
        <is>
          <t>Triazolinona</t>
        </is>
      </c>
      <c r="L946" s="13" t="inlineStr">
        <is>
          <t>HRAC Grupo C1 (5) — Inibidores do Fotossistema II</t>
        </is>
      </c>
      <c r="M946" s="13" t="inlineStr">
        <is>
          <t>Inibição do transporte de elétrons no Fotossistema II</t>
        </is>
      </c>
      <c r="N946" s="13" t="inlineStr">
        <is>
          <t>Categoria 3 — Produto Moderadamente Tóxico</t>
        </is>
      </c>
      <c r="O946" s="13" t="inlineStr">
        <is>
          <t>Amarelo PMS Yellow C</t>
        </is>
      </c>
      <c r="P946" s="13" t="inlineStr">
        <is>
          <t>Classe II — Produto Muito Perigoso ao Meio Ambiente</t>
        </is>
      </c>
      <c r="Q946" s="15" t="n">
        <v>24</v>
      </c>
      <c r="R946" s="13" t="inlineStr">
        <is>
          <t>Terrestre / Aérea (Drones consultar bula)</t>
        </is>
      </c>
      <c r="S946" s="13" t="inlineStr">
        <is>
          <t>Sem antídoto específico; terra de Fuller / bentonita / carvão ativado na descontaminação gástrica</t>
        </is>
      </c>
      <c r="T946" s="13" t="inlineStr">
        <is>
          <t>Iharabras S.A. Indústrias Químicas - CNPJ: 61.142.550/0001-30 - Endereço: Av. Liberdade, 1701, Cajuru do Sul, Sorocaba/SP - CEP: 18.087-170 (Vinc. Reg. 19924)</t>
        </is>
      </c>
      <c r="U946" s="16">
        <f>HYPERLINK("https://agrofit.agricultura.gov.br/agrofit_cons/principal_agrofit_cons", "Consulta Oficial AGROFIT/MAPA (VINC-19924)")</f>
        <v/>
      </c>
    </row>
    <row r="947" ht="22" customHeight="1">
      <c r="A947" s="5" t="n">
        <v>942</v>
      </c>
      <c r="B947" s="6" t="inlineStr">
        <is>
          <t>Nº 20024</t>
        </is>
      </c>
      <c r="C947" s="7" t="inlineStr">
        <is>
          <t>DANTAI</t>
        </is>
      </c>
      <c r="D947" s="8" t="inlineStr">
        <is>
          <t>DANTAI</t>
        </is>
      </c>
      <c r="E947" s="7" t="inlineStr">
        <is>
          <t>Produto Formulado Comercial</t>
        </is>
      </c>
      <c r="F947" s="7" t="inlineStr">
        <is>
          <t>Defensivos</t>
        </is>
      </c>
      <c r="G947" s="7" t="inlineStr">
        <is>
          <t>Fungicida</t>
        </is>
      </c>
      <c r="H947" s="7" t="inlineStr">
        <is>
          <t>SC</t>
        </is>
      </c>
      <c r="I947" s="7" t="inlineStr">
        <is>
          <t>Suspensão Concentrada (SC)</t>
        </is>
      </c>
      <c r="J947" s="7" t="inlineStr">
        <is>
          <t>Fungicida protetor de contato multissítio (manejo anti-resistência)</t>
        </is>
      </c>
      <c r="K947" s="7" t="inlineStr">
        <is>
          <t>Isoftalonitrila + Carbamato de Valinamida (CAA)</t>
        </is>
      </c>
      <c r="L947" s="7" t="inlineStr">
        <is>
          <t>FRAC Grupo M05 — Multissítio + FRAC Grupo 40 (F5 — CAA)</t>
        </is>
      </c>
      <c r="M947" s="7" t="inlineStr">
        <is>
          <t>Atividade de contato multissítio (inativação de grupos tiol enzimáticos); Inibidores da síntese de celulose na parede celular de Oomicetos</t>
        </is>
      </c>
      <c r="N947" s="7" t="inlineStr">
        <is>
          <t>Categoria 2 / 3 — Altamente a Moderadamente Tóxico</t>
        </is>
      </c>
      <c r="O947" s="7" t="inlineStr">
        <is>
          <t>Vermelho / Amarelo</t>
        </is>
      </c>
      <c r="P947" s="7" t="inlineStr">
        <is>
          <t>Classe II — Produto Muito Perigoso ao Meio Ambiente</t>
        </is>
      </c>
      <c r="Q947" s="9" t="n">
        <v>24</v>
      </c>
      <c r="R947" s="7" t="inlineStr">
        <is>
          <t>Terrestre / Aérea (Drones consultar bula)</t>
        </is>
      </c>
      <c r="S947" s="7" t="inlineStr">
        <is>
          <t>Sem antídoto específico; tratamento sintomático e descontaminação ocular/cutânea</t>
        </is>
      </c>
      <c r="T947" s="7" t="inlineStr">
        <is>
          <t>Iharabras S.A. Indústrias Químicas- Sorocaba/SP</t>
        </is>
      </c>
      <c r="U947" s="10">
        <f>HYPERLINK("https://agrofit.agricultura.gov.br/agrofit_cons/principal_agrofit_cons", "Consulta Oficial AGROFIT/MAPA (Nº 20024)")</f>
        <v/>
      </c>
    </row>
    <row r="948" ht="22" customHeight="1">
      <c r="A948" s="11" t="n">
        <v>943</v>
      </c>
      <c r="B948" s="12" t="inlineStr">
        <is>
          <t>VINC-20024</t>
        </is>
      </c>
      <c r="C948" s="13" t="inlineStr">
        <is>
          <t>Completto Técnico</t>
        </is>
      </c>
      <c r="D948" s="14" t="inlineStr">
        <is>
          <t>Completto Técnico</t>
        </is>
      </c>
      <c r="E948" s="13" t="inlineStr">
        <is>
          <t>Produto Técnico Industrial</t>
        </is>
      </c>
      <c r="F948" s="13" t="inlineStr">
        <is>
          <t>Defensivos</t>
        </is>
      </c>
      <c r="G948" s="13" t="inlineStr">
        <is>
          <t>Produto Técnico (Fungicida) (Insumo Industrial / Técnico)</t>
        </is>
      </c>
      <c r="H948" s="13" t="inlineStr">
        <is>
          <t>TC</t>
        </is>
      </c>
      <c r="I948" s="13" t="inlineStr">
        <is>
          <t>Produto Técnico Industrial (TC)</t>
        </is>
      </c>
      <c r="J948" s="13" t="inlineStr">
        <is>
          <t>Fungicida protetor de contato multissítio (manejo anti-resistência)</t>
        </is>
      </c>
      <c r="K948" s="13" t="inlineStr">
        <is>
          <t>Carbamato de Valinamida (CAA)</t>
        </is>
      </c>
      <c r="L948" s="13" t="inlineStr">
        <is>
          <t>FRAC Grupo 40 (F5 — CAA)</t>
        </is>
      </c>
      <c r="M948" s="13" t="inlineStr">
        <is>
          <t>Inibidores da síntese de celulose na parede celular de Oomicetos</t>
        </is>
      </c>
      <c r="N948" s="13" t="inlineStr">
        <is>
          <t>Categoria 2 / 3 — Altamente a Moderadamente Tóxico</t>
        </is>
      </c>
      <c r="O948" s="13" t="inlineStr">
        <is>
          <t>Vermelho / Amarelo</t>
        </is>
      </c>
      <c r="P948" s="13" t="inlineStr">
        <is>
          <t>Classe II — Produto Muito Perigoso ao Meio Ambiente</t>
        </is>
      </c>
      <c r="Q948" s="15" t="n">
        <v>24</v>
      </c>
      <c r="R948" s="13" t="inlineStr">
        <is>
          <t>Terrestre / Aérea (Drones consultar bula)</t>
        </is>
      </c>
      <c r="S948" s="13" t="inlineStr">
        <is>
          <t>Sem antídoto específico; tratamento sintomático e descontaminação ocular/cutânea</t>
        </is>
      </c>
      <c r="T948" s="13" t="inlineStr">
        <is>
          <t>Kumiai Chemical Industry Co. Ltd. - Endereço: 1800, Nakanogo,421-3306, Fuji-Shi, Shizuoka - Japão. Produto Técnico(Daconil Técnico 960 USA): Nome: GB Biosciences Corporation- Houston - Endereço: 2239 Haden Road, TX 77015 - Estados Unidos. Produto Técnico(Clorotalonil Técnico CN): Nome: Jiangsu Agrochem Laboratory Co., Ltd. - Endereço: No.1218 North Changjiang Rd, Hi-tech Development Zone, Changzhou, Jiangsu, 213034 - China (Vinc. Reg. 20024)</t>
        </is>
      </c>
      <c r="U948" s="16">
        <f>HYPERLINK("https://agrofit.agricultura.gov.br/agrofit_cons/principal_agrofit_cons", "Consulta Oficial AGROFIT/MAPA (VINC-20024)")</f>
        <v/>
      </c>
    </row>
    <row r="949" ht="22" customHeight="1">
      <c r="A949" s="5" t="n">
        <v>944</v>
      </c>
      <c r="B949" s="6" t="inlineStr">
        <is>
          <t>VINC-20024</t>
        </is>
      </c>
      <c r="C949" s="7" t="inlineStr">
        <is>
          <t>Pilarich Técnico</t>
        </is>
      </c>
      <c r="D949" s="8" t="inlineStr">
        <is>
          <t>Pilarich Técnico</t>
        </is>
      </c>
      <c r="E949" s="7" t="inlineStr">
        <is>
          <t>Produto Técnico Industrial</t>
        </is>
      </c>
      <c r="F949" s="7" t="inlineStr">
        <is>
          <t>Defensivos</t>
        </is>
      </c>
      <c r="G949" s="7" t="inlineStr">
        <is>
          <t>Produto Técnico (Fungicida) (Insumo Industrial / Técnico)</t>
        </is>
      </c>
      <c r="H949" s="7" t="inlineStr">
        <is>
          <t>TC</t>
        </is>
      </c>
      <c r="I949" s="7" t="inlineStr">
        <is>
          <t>Produto Técnico Industrial (TC)</t>
        </is>
      </c>
      <c r="J949" s="7" t="inlineStr">
        <is>
          <t>Fungicida protetor de contato multissítio (manejo anti-resistência)</t>
        </is>
      </c>
      <c r="K949" s="7" t="inlineStr">
        <is>
          <t>Isoftalonitrila</t>
        </is>
      </c>
      <c r="L949" s="7" t="inlineStr">
        <is>
          <t>FRAC Grupo M05 — Multissítio</t>
        </is>
      </c>
      <c r="M949" s="7" t="inlineStr">
        <is>
          <t>Atividade de contato multissítio (inativação de grupos tiol enzimáticos)</t>
        </is>
      </c>
      <c r="N949" s="7" t="inlineStr">
        <is>
          <t>Categoria 2 / 3 — Altamente a Moderadamente Tóxico</t>
        </is>
      </c>
      <c r="O949" s="7" t="inlineStr">
        <is>
          <t>Vermelho / Amarelo</t>
        </is>
      </c>
      <c r="P949" s="7" t="inlineStr">
        <is>
          <t>Classe II — Produto Muito Perigoso ao Meio Ambiente</t>
        </is>
      </c>
      <c r="Q949" s="9" t="n">
        <v>24</v>
      </c>
      <c r="R949" s="7" t="inlineStr">
        <is>
          <t>Terrestre / Aérea (Drones consultar bula)</t>
        </is>
      </c>
      <c r="S949" s="7" t="inlineStr">
        <is>
          <t>Sem antídoto específico; tratamento sintomático e descontaminação ocular/cutânea</t>
        </is>
      </c>
      <c r="T949" s="7" t="inlineStr">
        <is>
          <t>Jiangsu Weunite Fine Chemical Co., Ltd. - Endereço: Jinger Road, Industry Chemical Park, Xnyi CIt, Jiangsu - China (Vinc. Reg. 20024)</t>
        </is>
      </c>
      <c r="U949" s="10">
        <f>HYPERLINK("https://agrofit.agricultura.gov.br/agrofit_cons/principal_agrofit_cons", "Consulta Oficial AGROFIT/MAPA (VINC-20024)")</f>
        <v/>
      </c>
    </row>
    <row r="950" ht="22" customHeight="1">
      <c r="A950" s="11" t="n">
        <v>945</v>
      </c>
      <c r="B950" s="12" t="inlineStr">
        <is>
          <t>Nº 20124</t>
        </is>
      </c>
      <c r="C950" s="13" t="inlineStr">
        <is>
          <t>TEBUTIURON 800 WG PERTERRA</t>
        </is>
      </c>
      <c r="D950" s="14" t="inlineStr">
        <is>
          <t>TEBUTIURON 800 WG PERTERRA</t>
        </is>
      </c>
      <c r="E950" s="13" t="inlineStr">
        <is>
          <t>Produto Formulado Comercial</t>
        </is>
      </c>
      <c r="F950" s="13" t="inlineStr">
        <is>
          <t>Defensivos</t>
        </is>
      </c>
      <c r="G950" s="13" t="inlineStr">
        <is>
          <t>Herbicida</t>
        </is>
      </c>
      <c r="H950" s="13" t="inlineStr">
        <is>
          <t>WG</t>
        </is>
      </c>
      <c r="I950" s="13" t="inlineStr">
        <is>
          <t>Grânulos Dispersíveis em Água (WG)</t>
        </is>
      </c>
      <c r="J950" s="13" t="inlineStr">
        <is>
          <t>Herbicida de pré ou pós-emergência</t>
        </is>
      </c>
      <c r="K950" s="13" t="inlineStr">
        <is>
          <t>Ureia Substituída (Tiadiazolilureia)</t>
        </is>
      </c>
      <c r="L950" s="13" t="inlineStr">
        <is>
          <t>HRAC Grupo C2 (5) — Inibidores do Fotossistema II</t>
        </is>
      </c>
      <c r="M950" s="13" t="inlineStr">
        <is>
          <t>Inibição do transporte de elétrons no Fotossistema II</t>
        </is>
      </c>
      <c r="N950" s="13" t="inlineStr">
        <is>
          <t>Categoria 4 / 5 — Pouco Tóxico (Conforme Bula ANVISA)</t>
        </is>
      </c>
      <c r="O950" s="13" t="inlineStr">
        <is>
          <t>Azul PMS Blue 293 C</t>
        </is>
      </c>
      <c r="P950" s="13" t="inlineStr">
        <is>
          <t>Classe II / III — Perigoso ao Meio Ambiente</t>
        </is>
      </c>
      <c r="Q950" s="15" t="n">
        <v>24</v>
      </c>
      <c r="R950" s="13" t="inlineStr">
        <is>
          <t>Terrestre / Aérea (Drones consultar bula)</t>
        </is>
      </c>
      <c r="S950" s="13" t="inlineStr">
        <is>
          <t>Sem antídoto específico; tratamento sintomático e descontaminação</t>
        </is>
      </c>
      <c r="T950" s="13" t="inlineStr">
        <is>
          <t>Perterra Insumos Agropecuários S.A. - São Paulo/SP</t>
        </is>
      </c>
      <c r="U950" s="16">
        <f>HYPERLINK("https://agrofit.agricultura.gov.br/agrofit_cons/principal_agrofit_cons", "Consulta Oficial AGROFIT/MAPA (Nº 20124)")</f>
        <v/>
      </c>
    </row>
    <row r="951" ht="22" customHeight="1">
      <c r="A951" s="5" t="n">
        <v>946</v>
      </c>
      <c r="B951" s="6" t="inlineStr">
        <is>
          <t>Nº 20224</t>
        </is>
      </c>
      <c r="C951" s="7" t="inlineStr">
        <is>
          <t>PRO-PIC 720 WG</t>
        </is>
      </c>
      <c r="D951" s="8" t="inlineStr">
        <is>
          <t>PRO-PIC 720 WG</t>
        </is>
      </c>
      <c r="E951" s="7" t="inlineStr">
        <is>
          <t>Produto Formulado Comercial</t>
        </is>
      </c>
      <c r="F951" s="7" t="inlineStr">
        <is>
          <t>Defensivos</t>
        </is>
      </c>
      <c r="G951" s="7" t="inlineStr">
        <is>
          <t>Herbicida</t>
        </is>
      </c>
      <c r="H951" s="7" t="inlineStr">
        <is>
          <t>WG</t>
        </is>
      </c>
      <c r="I951" s="7" t="inlineStr">
        <is>
          <t>Grânulos Dispersíveis em Água (WG)</t>
        </is>
      </c>
      <c r="J951" s="7" t="inlineStr">
        <is>
          <t>Herbicida sistêmico de pós-emergência (seletivo condicional p/ OGM)</t>
        </is>
      </c>
      <c r="K951" s="7" t="inlineStr">
        <is>
          <t>Glicina substituída</t>
        </is>
      </c>
      <c r="L951" s="7" t="inlineStr">
        <is>
          <t>HRAC Grupo G (9) — Inibidores da EPSPs</t>
        </is>
      </c>
      <c r="M951" s="7" t="inlineStr">
        <is>
          <t>Inibidores da enzima EPSPs (Enoil Piruvil Shiquimato Fosfato Sintase)</t>
        </is>
      </c>
      <c r="N951" s="7" t="inlineStr">
        <is>
          <t>Categoria 5 — Produto Improvável de Causar Dano Agudo</t>
        </is>
      </c>
      <c r="O951" s="7" t="inlineStr">
        <is>
          <t>Azul Intenso</t>
        </is>
      </c>
      <c r="P951" s="7" t="inlineStr">
        <is>
          <t>Classe III / IV — Perigoso a Pouco Perigoso ao Meio Ambiente</t>
        </is>
      </c>
      <c r="Q951" s="9" t="n">
        <v>24</v>
      </c>
      <c r="R951" s="7" t="inlineStr">
        <is>
          <t>Terrestre / Aérea (Drones consultar bula)</t>
        </is>
      </c>
      <c r="S951" s="7" t="inlineStr">
        <is>
          <t>Sem antídoto específico (Atropina ineficaz); tratamento sintomático</t>
        </is>
      </c>
      <c r="T951" s="7" t="inlineStr">
        <is>
          <t>AllierBrasil Agro Ltda. - São Paulo/SP</t>
        </is>
      </c>
      <c r="U951" s="10">
        <f>HYPERLINK("https://www.adapar.pr.gov.br/Pagina/Agrotoxicos-Herbicidas", "Registro Oficial Pro-Pic 720 WG (AllierBrasil - MAPA 20224)")</f>
        <v/>
      </c>
    </row>
    <row r="952" ht="22" customHeight="1">
      <c r="A952" s="11" t="n">
        <v>947</v>
      </c>
      <c r="B952" s="12" t="inlineStr">
        <is>
          <t>VINC-20224</t>
        </is>
      </c>
      <c r="C952" s="13" t="inlineStr">
        <is>
          <t>Glifosato Técnico GHA</t>
        </is>
      </c>
      <c r="D952" s="14" t="inlineStr">
        <is>
          <t>Glifosato Técnico GHA</t>
        </is>
      </c>
      <c r="E952" s="13" t="inlineStr">
        <is>
          <t>Produto Técnico Industrial</t>
        </is>
      </c>
      <c r="F952" s="13" t="inlineStr">
        <is>
          <t>Defensivos</t>
        </is>
      </c>
      <c r="G952" s="13" t="inlineStr">
        <is>
          <t>Produto Técnico (Herbicida) (Insumo Industrial / Técnico)</t>
        </is>
      </c>
      <c r="H952" s="13" t="inlineStr">
        <is>
          <t>TC</t>
        </is>
      </c>
      <c r="I952" s="13" t="inlineStr">
        <is>
          <t>Produto Técnico Industrial (TC)</t>
        </is>
      </c>
      <c r="J952" s="13" t="inlineStr">
        <is>
          <t>Herbicida sistêmico de pós-emergência (seletivo condicional p/ OGM)</t>
        </is>
      </c>
      <c r="K952" s="13" t="inlineStr">
        <is>
          <t>Glicina substituída</t>
        </is>
      </c>
      <c r="L952" s="13" t="inlineStr">
        <is>
          <t>HRAC Grupo G (EPSPs)</t>
        </is>
      </c>
      <c r="M952" s="13" t="inlineStr">
        <is>
          <t>Inibidores da enzima EPSPs (Enoil Piruvil Shiquimato Fosfato Sintase)</t>
        </is>
      </c>
      <c r="N952" s="13" t="inlineStr">
        <is>
          <t>Categoria 5 — Produto Improvável de Causar Dano Agudo</t>
        </is>
      </c>
      <c r="O952" s="13" t="inlineStr">
        <is>
          <t>Azul Intenso</t>
        </is>
      </c>
      <c r="P952" s="13" t="inlineStr">
        <is>
          <t>Classe III / IV — Perigoso a Pouco Perigoso ao Meio Ambiente</t>
        </is>
      </c>
      <c r="Q952" s="15" t="n">
        <v>24</v>
      </c>
      <c r="R952" s="13" t="inlineStr">
        <is>
          <t>Terrestre / Aérea (Drones consultar bula)</t>
        </is>
      </c>
      <c r="S952" s="13" t="inlineStr">
        <is>
          <t>Sem antídoto específico (Atropina ineficaz); tratamento sintomático</t>
        </is>
      </c>
      <c r="T952" s="13" t="inlineStr">
        <is>
          <t>Jiangsu Good Harvest - Weien Agrochemical Co. Ltd. - Endereço: Loagang, Qidong City, Jiangsu Province - China (Vinc. Reg. 20224)</t>
        </is>
      </c>
      <c r="U952" s="16">
        <f>HYPERLINK("https://agrofit.agricultura.gov.br/agrofit_cons/principal_agrofit_cons", "Consulta Oficial AGROFIT/MAPA (VINC-20224)")</f>
        <v/>
      </c>
    </row>
    <row r="953" ht="22" customHeight="1">
      <c r="A953" s="5" t="n">
        <v>948</v>
      </c>
      <c r="B953" s="6" t="inlineStr">
        <is>
          <t>Nº 20324</t>
        </is>
      </c>
      <c r="C953" s="7" t="inlineStr">
        <is>
          <t>OLAPAQUE</t>
        </is>
      </c>
      <c r="D953" s="8" t="inlineStr">
        <is>
          <t>OLAPAQUE</t>
        </is>
      </c>
      <c r="E953" s="7" t="inlineStr">
        <is>
          <t>Produto Formulado Comercial</t>
        </is>
      </c>
      <c r="F953" s="7" t="inlineStr">
        <is>
          <t>Defensivos</t>
        </is>
      </c>
      <c r="G953" s="7" t="inlineStr">
        <is>
          <t>Regulador de Crescimento</t>
        </is>
      </c>
      <c r="H953" s="7" t="inlineStr">
        <is>
          <t>EC</t>
        </is>
      </c>
      <c r="I953" s="7" t="inlineStr">
        <is>
          <t>Concentrado Emulsionável (EC)</t>
        </is>
      </c>
      <c r="J953" s="7" t="inlineStr">
        <is>
          <t>Inseticida/acaricida de contato e ingestão</t>
        </is>
      </c>
      <c r="K953" s="7" t="inlineStr">
        <is>
          <t>Ciclohexanodiona Carboxilato (Fitorregulador)</t>
        </is>
      </c>
      <c r="L953" s="7" t="inlineStr">
        <is>
          <t>Regulador de Crescimento Vegetal (Inibidor de Giberelina)</t>
        </is>
      </c>
      <c r="M953" s="7" t="inlineStr">
        <is>
          <t>Inibição da 3-beta-hidroxilase na rota biossintética do ácido giberélico (GA1)</t>
        </is>
      </c>
      <c r="N953" s="7" t="inlineStr">
        <is>
          <t>Categoria 3 / 4 — Moderadamente a Pouco Tóxico</t>
        </is>
      </c>
      <c r="O953" s="7" t="inlineStr">
        <is>
          <t>Amarelo / Azul</t>
        </is>
      </c>
      <c r="P953" s="7" t="inlineStr">
        <is>
          <t>Classe II — Produto Muito Perigoso ao Meio Ambiente</t>
        </is>
      </c>
      <c r="Q953" s="9" t="n">
        <v>24</v>
      </c>
      <c r="R953" s="7" t="inlineStr">
        <is>
          <t>Terrestre / Aérea (Drones consultar bula)</t>
        </is>
      </c>
      <c r="S953" s="7" t="inlineStr">
        <is>
          <t>Tratamento sintomático conforme grupo químico na bula</t>
        </is>
      </c>
      <c r="T953" s="7" t="inlineStr">
        <is>
          <t>AllierBrasil Agro Ltda.- São Paulo/SP</t>
        </is>
      </c>
      <c r="U953" s="10">
        <f>HYPERLINK("https://agrofit.agricultura.gov.br/agrofit_cons/principal_agrofit_cons", "Consulta Oficial AGROFIT/MAPA (Nº 20324)")</f>
        <v/>
      </c>
    </row>
    <row r="954" ht="22" customHeight="1">
      <c r="A954" s="11" t="n">
        <v>949</v>
      </c>
      <c r="B954" s="12" t="inlineStr">
        <is>
          <t>Nº 20424</t>
        </is>
      </c>
      <c r="C954" s="13" t="inlineStr">
        <is>
          <t>BIOPAK 720 WG</t>
        </is>
      </c>
      <c r="D954" s="14" t="inlineStr">
        <is>
          <t>BIOPAK 720 WG</t>
        </is>
      </c>
      <c r="E954" s="13" t="inlineStr">
        <is>
          <t>Produto Formulado Comercial</t>
        </is>
      </c>
      <c r="F954" s="13" t="inlineStr">
        <is>
          <t>Defensivos</t>
        </is>
      </c>
      <c r="G954" s="13" t="inlineStr">
        <is>
          <t>Herbicida</t>
        </is>
      </c>
      <c r="H954" s="13" t="inlineStr">
        <is>
          <t>WG</t>
        </is>
      </c>
      <c r="I954" s="13" t="inlineStr">
        <is>
          <t>Grânulos Dispersíveis em Água (WG)</t>
        </is>
      </c>
      <c r="J954" s="13" t="inlineStr">
        <is>
          <t>Herbicida sistêmico de pós-emergência (seletivo condicional p/ OGM)</t>
        </is>
      </c>
      <c r="K954" s="13" t="inlineStr">
        <is>
          <t>Glicina substituída</t>
        </is>
      </c>
      <c r="L954" s="13" t="inlineStr">
        <is>
          <t>HRAC Grupo G (9) — Inibidores da EPSPs</t>
        </is>
      </c>
      <c r="M954" s="13" t="inlineStr">
        <is>
          <t>Inibidores da enzima EPSPs (Enoil Piruvil Shiquimato Fosfato Sintase)</t>
        </is>
      </c>
      <c r="N954" s="13" t="inlineStr">
        <is>
          <t>Categoria 5 — Produto Improvável de Causar Dano Agudo</t>
        </is>
      </c>
      <c r="O954" s="13" t="inlineStr">
        <is>
          <t>Azul Intenso</t>
        </is>
      </c>
      <c r="P954" s="13" t="inlineStr">
        <is>
          <t>Classe III / IV — Perigoso a Pouco Perigoso ao Meio Ambiente</t>
        </is>
      </c>
      <c r="Q954" s="15" t="n">
        <v>24</v>
      </c>
      <c r="R954" s="13" t="inlineStr">
        <is>
          <t>Terrestre / Aérea (Drones consultar bula)</t>
        </is>
      </c>
      <c r="S954" s="13" t="inlineStr">
        <is>
          <t>Sem antídoto específico (Atropina ineficaz); tratamento sintomático</t>
        </is>
      </c>
      <c r="T954" s="13" t="inlineStr">
        <is>
          <t>AllierBrasil Agro Ltda.- São Paulo/SP</t>
        </is>
      </c>
      <c r="U954" s="16">
        <f>HYPERLINK("https://www.adapar.pr.gov.br/Pagina/Agrotoxicos-Herbicidas", "Registro Oficial Biopak 720 WG (AllierBrasil - MAPA 20424)")</f>
        <v/>
      </c>
    </row>
    <row r="955" ht="22" customHeight="1">
      <c r="A955" s="5" t="n">
        <v>950</v>
      </c>
      <c r="B955" s="6" t="inlineStr">
        <is>
          <t>Nº 20524</t>
        </is>
      </c>
      <c r="C955" s="7" t="inlineStr">
        <is>
          <t>NAVEGANTE 806 SL</t>
        </is>
      </c>
      <c r="D955" s="8" t="inlineStr">
        <is>
          <t>NAVEGANTE 806 SL</t>
        </is>
      </c>
      <c r="E955" s="7" t="inlineStr">
        <is>
          <t>Produto Formulado Comercial</t>
        </is>
      </c>
      <c r="F955" s="7" t="inlineStr">
        <is>
          <t>Defensivos</t>
        </is>
      </c>
      <c r="G955" s="7" t="inlineStr">
        <is>
          <t>Herbicida</t>
        </is>
      </c>
      <c r="H955" s="7" t="inlineStr">
        <is>
          <t>SL</t>
        </is>
      </c>
      <c r="I955" s="7" t="inlineStr">
        <is>
          <t>SL - Concentrado Solúvel</t>
        </is>
      </c>
      <c r="J955" s="7" t="inlineStr">
        <is>
          <t>Herbicida sistêmico seletivo de pós-emergência para folhas largas</t>
        </is>
      </c>
      <c r="K955" s="7" t="inlineStr">
        <is>
          <t>Ácido ariloxialcanoico</t>
        </is>
      </c>
      <c r="L955" s="7" t="inlineStr">
        <is>
          <t>HRAC Grupo O (4) — Auxinas Sintéticas</t>
        </is>
      </c>
      <c r="M955" s="7" t="inlineStr">
        <is>
          <t>Mimetizadores da auxina (ácido indolacético - AIA)</t>
        </is>
      </c>
      <c r="N955" s="7" t="inlineStr">
        <is>
          <t>Categoria 4: Produto Pouco Tóxico</t>
        </is>
      </c>
      <c r="O955" s="7" t="inlineStr">
        <is>
          <t>Azul</t>
        </is>
      </c>
      <c r="P955" s="7" t="inlineStr">
        <is>
          <t>Classe III — Produto Perigoso ao Meio Ambiente</t>
        </is>
      </c>
      <c r="Q955" s="9" t="n">
        <v>24</v>
      </c>
      <c r="R955" s="7" t="inlineStr">
        <is>
          <t>Terrestre / Aérea (Drones consultar bula)</t>
        </is>
      </c>
      <c r="S955" s="7" t="inlineStr">
        <is>
          <t>Sem antídoto específico; alcalinização urinária e suporte sintomático</t>
        </is>
      </c>
      <c r="T955" s="7" t="inlineStr">
        <is>
          <t>SUNO AGROTECH LTDA</t>
        </is>
      </c>
      <c r="U955" s="10">
        <f>HYPERLINK("https://agrofit.agricultura.gov.br/agrofit_cons/principal_agrofit_cons", "Consulta Oficial AGROFIT/MAPA (Nº 20524)")</f>
        <v/>
      </c>
    </row>
    <row r="956" ht="22" customHeight="1">
      <c r="A956" s="11" t="n">
        <v>951</v>
      </c>
      <c r="B956" s="12" t="inlineStr">
        <is>
          <t>Nº 20624</t>
        </is>
      </c>
      <c r="C956" s="13" t="inlineStr">
        <is>
          <t>CISHA 250 EC</t>
        </is>
      </c>
      <c r="D956" s="14" t="inlineStr">
        <is>
          <t>CISHA 250 EC</t>
        </is>
      </c>
      <c r="E956" s="13" t="inlineStr">
        <is>
          <t>Produto Formulado Comercial</t>
        </is>
      </c>
      <c r="F956" s="13" t="inlineStr">
        <is>
          <t>Defensivos</t>
        </is>
      </c>
      <c r="G956" s="13" t="inlineStr">
        <is>
          <t>Inseticida</t>
        </is>
      </c>
      <c r="H956" s="13" t="inlineStr">
        <is>
          <t>EC</t>
        </is>
      </c>
      <c r="I956" s="13" t="inlineStr">
        <is>
          <t>Concentrado Emulsionável (EC)</t>
        </is>
      </c>
      <c r="J956" s="13" t="inlineStr">
        <is>
          <t>Inseticida/acaricida de contato e ingestão</t>
        </is>
      </c>
      <c r="K956" s="13" t="inlineStr">
        <is>
          <t>Piretroide (Tipo II)</t>
        </is>
      </c>
      <c r="L956" s="13" t="inlineStr">
        <is>
          <t>IRAC Grupo 3A</t>
        </is>
      </c>
      <c r="M956" s="13" t="inlineStr">
        <is>
          <t>Moduladores de canais de sódio em membranas nervosas</t>
        </is>
      </c>
      <c r="N956" s="13" t="inlineStr">
        <is>
          <t>Categoria 3 / 4 — Moderadamente a Pouco Tóxico</t>
        </is>
      </c>
      <c r="O956" s="13" t="inlineStr">
        <is>
          <t>Amarelo / Azul</t>
        </is>
      </c>
      <c r="P956" s="13" t="inlineStr">
        <is>
          <t>Classe II — Produto Muito Perigoso ao Meio Ambiente</t>
        </is>
      </c>
      <c r="Q956" s="15" t="n">
        <v>24</v>
      </c>
      <c r="R956" s="13" t="inlineStr">
        <is>
          <t>Terrestre / Aérea (Drones consultar bula)</t>
        </is>
      </c>
      <c r="S956" s="13" t="inlineStr">
        <is>
          <t>Tratamento sintomático conforme grupo químico na bula</t>
        </is>
      </c>
      <c r="T956" s="13" t="inlineStr">
        <is>
          <t>AllierBrasil Agro Ltda.- São Paulo/SP</t>
        </is>
      </c>
      <c r="U956" s="16">
        <f>HYPERLINK("https://agrofit.agricultura.gov.br/agrofit_cons/principal_agrofit_cons", "Consulta Oficial AGROFIT/MAPA (Nº 20624)")</f>
        <v/>
      </c>
    </row>
    <row r="957" ht="22" customHeight="1">
      <c r="A957" s="5" t="n">
        <v>952</v>
      </c>
      <c r="B957" s="6" t="inlineStr">
        <is>
          <t>VINC-20624</t>
        </is>
      </c>
      <c r="C957" s="7" t="inlineStr">
        <is>
          <t>Shyper Técnico</t>
        </is>
      </c>
      <c r="D957" s="8" t="inlineStr">
        <is>
          <t>Shyper Técnico</t>
        </is>
      </c>
      <c r="E957" s="7" t="inlineStr">
        <is>
          <t>Produto Técnico Industrial</t>
        </is>
      </c>
      <c r="F957" s="7" t="inlineStr">
        <is>
          <t>Defensivos</t>
        </is>
      </c>
      <c r="G957" s="7" t="inlineStr">
        <is>
          <t>Produto Técnico (Inseticida / Acaricida) (Insumo Industrial / Técnico)</t>
        </is>
      </c>
      <c r="H957" s="7" t="inlineStr">
        <is>
          <t>TC</t>
        </is>
      </c>
      <c r="I957" s="7" t="inlineStr">
        <is>
          <t>Produto Técnico Industrial (TC)</t>
        </is>
      </c>
      <c r="J957" s="7" t="inlineStr">
        <is>
          <t>Inseticida/acaricida de contato e ingestão</t>
        </is>
      </c>
      <c r="K957" s="7" t="inlineStr">
        <is>
          <t>Piretroide (Tipo II)</t>
        </is>
      </c>
      <c r="L957" s="7" t="inlineStr">
        <is>
          <t>IRAC Grupo 3A</t>
        </is>
      </c>
      <c r="M957" s="7" t="inlineStr">
        <is>
          <t>Moduladores de canais de sódio em membranas nervosas</t>
        </is>
      </c>
      <c r="N957" s="7" t="inlineStr">
        <is>
          <t>Categoria 3 / 4 — Moderadamente a Pouco Tóxico</t>
        </is>
      </c>
      <c r="O957" s="7" t="inlineStr">
        <is>
          <t>Amarelo / Azul</t>
        </is>
      </c>
      <c r="P957" s="7" t="inlineStr">
        <is>
          <t>Classe II — Produto Muito Perigoso ao Meio Ambiente</t>
        </is>
      </c>
      <c r="Q957" s="9" t="n">
        <v>24</v>
      </c>
      <c r="R957" s="7" t="inlineStr">
        <is>
          <t>Terrestre / Aérea (Drones consultar bula)</t>
        </is>
      </c>
      <c r="S957" s="7" t="inlineStr">
        <is>
          <t>Tratamento sintomático conforme grupo químico na bula</t>
        </is>
      </c>
      <c r="T957" s="7" t="inlineStr">
        <is>
          <t>Gujarat Agrochem Ltd - Endereço: Plot nº 2901 to 2905 GIDC , Panoli Ankleshwar - Distr. Bharuch Gujarat - INDIA (Vinc. Reg. 20624)</t>
        </is>
      </c>
      <c r="U957" s="10">
        <f>HYPERLINK("https://agrofit.agricultura.gov.br/agrofit_cons/principal_agrofit_cons", "Consulta Oficial AGROFIT/MAPA (VINC-20624)")</f>
        <v/>
      </c>
    </row>
    <row r="958" ht="22" customHeight="1">
      <c r="A958" s="11" t="n">
        <v>953</v>
      </c>
      <c r="B958" s="12" t="inlineStr">
        <is>
          <t>Nº 20724</t>
        </is>
      </c>
      <c r="C958" s="13" t="inlineStr">
        <is>
          <t>GLUFORCE</t>
        </is>
      </c>
      <c r="D958" s="14" t="inlineStr">
        <is>
          <t>GLUFORCE</t>
        </is>
      </c>
      <c r="E958" s="13" t="inlineStr">
        <is>
          <t>Produto Formulado Comercial</t>
        </is>
      </c>
      <c r="F958" s="13" t="inlineStr">
        <is>
          <t>Defensivos</t>
        </is>
      </c>
      <c r="G958" s="13" t="inlineStr">
        <is>
          <t>Herbicida</t>
        </is>
      </c>
      <c r="H958" s="13" t="inlineStr">
        <is>
          <t>SL</t>
        </is>
      </c>
      <c r="I958" s="13" t="inlineStr">
        <is>
          <t>Concentrado Solúvel (SL)</t>
        </is>
      </c>
      <c r="J958" s="13" t="inlineStr">
        <is>
          <t>Herbicida de contato não seletivo em pós-emergência (seletivo p/ OGM LibertyLink)</t>
        </is>
      </c>
      <c r="K958" s="13" t="inlineStr">
        <is>
          <t>Homoalanina substituída (Ácido fosfínico)</t>
        </is>
      </c>
      <c r="L958" s="13" t="inlineStr">
        <is>
          <t>HRAC Grupo H (10) — Inibidores da Glutamina Sintetase</t>
        </is>
      </c>
      <c r="M958" s="13" t="inlineStr">
        <is>
          <t>Inibição da enzima glutamina sintetase (acúmulo de amônia intracelular)</t>
        </is>
      </c>
      <c r="N958" s="13" t="inlineStr">
        <is>
          <t>Categoria 4 — Produto Pouco Tóxico</t>
        </is>
      </c>
      <c r="O958" s="13" t="inlineStr">
        <is>
          <t>Azul PMS Blue 293 C</t>
        </is>
      </c>
      <c r="P958" s="13" t="inlineStr">
        <is>
          <t>Classe III — Produto Perigoso ao Meio Ambiente</t>
        </is>
      </c>
      <c r="Q958" s="15" t="n">
        <v>24</v>
      </c>
      <c r="R958" s="13" t="inlineStr">
        <is>
          <t>Terrestre / Aérea (Drones consultar bula)</t>
        </is>
      </c>
      <c r="S958" s="13" t="inlineStr">
        <is>
          <t>Sem antídoto específico; monitorar SNC por 48h e suporte ventilatório</t>
        </is>
      </c>
      <c r="T958" s="13" t="inlineStr">
        <is>
          <t>Dinagro Agropecuária Ltda.- Ribeirão Preto/SP</t>
        </is>
      </c>
      <c r="U958" s="16">
        <f>HYPERLINK("https://agrofit.agricultura.gov.br/agrofit_cons/principal_agrofit_cons", "Consulta Oficial AGROFIT/MAPA (Nº 20724)")</f>
        <v/>
      </c>
    </row>
    <row r="959" ht="22" customHeight="1">
      <c r="A959" s="5" t="n">
        <v>954</v>
      </c>
      <c r="B959" s="6" t="inlineStr">
        <is>
          <t>VINC-20724</t>
        </is>
      </c>
      <c r="C959" s="7" t="inlineStr">
        <is>
          <t>Glufosinato Técnico Dinagro</t>
        </is>
      </c>
      <c r="D959" s="8" t="inlineStr">
        <is>
          <t>Glufosinato Técnico Dinagro</t>
        </is>
      </c>
      <c r="E959" s="7" t="inlineStr">
        <is>
          <t>Produto Técnico Industrial</t>
        </is>
      </c>
      <c r="F959" s="7" t="inlineStr">
        <is>
          <t>Defensivos</t>
        </is>
      </c>
      <c r="G959" s="7" t="inlineStr">
        <is>
          <t>Produto Técnico (Herbicida) (Insumo Industrial / Técnico)</t>
        </is>
      </c>
      <c r="H959" s="7" t="inlineStr">
        <is>
          <t>TC</t>
        </is>
      </c>
      <c r="I959" s="7" t="inlineStr">
        <is>
          <t>Produto Técnico Industrial (TC)</t>
        </is>
      </c>
      <c r="J959" s="7" t="inlineStr">
        <is>
          <t>Herbicida de contato não seletivo em pós-emergência (seletivo p/ OGM LibertyLink)</t>
        </is>
      </c>
      <c r="K959" s="7" t="inlineStr">
        <is>
          <t>Homoalanina substituída (Ácido fosfínico)</t>
        </is>
      </c>
      <c r="L959" s="7" t="inlineStr">
        <is>
          <t>HRAC Grupo H (10) — Inibidores da Glutamina Sintetase</t>
        </is>
      </c>
      <c r="M959" s="7" t="inlineStr">
        <is>
          <t>Inibição da enzima glutamina sintetase (acúmulo de amônia intracelular)</t>
        </is>
      </c>
      <c r="N959" s="7" t="inlineStr">
        <is>
          <t>Categoria 4 — Produto Pouco Tóxico</t>
        </is>
      </c>
      <c r="O959" s="7" t="inlineStr">
        <is>
          <t>Azul PMS Blue 293 C</t>
        </is>
      </c>
      <c r="P959" s="7" t="inlineStr">
        <is>
          <t>Classe III — Produto Perigoso ao Meio Ambiente</t>
        </is>
      </c>
      <c r="Q959" s="9" t="n">
        <v>24</v>
      </c>
      <c r="R959" s="7" t="inlineStr">
        <is>
          <t>Terrestre / Aérea (Drones consultar bula)</t>
        </is>
      </c>
      <c r="S959" s="7" t="inlineStr">
        <is>
          <t>Sem antídoto específico; monitorar SNC por 48h e suporte ventilatório</t>
        </is>
      </c>
      <c r="T959" s="7" t="inlineStr">
        <is>
          <t>Hebei Veyong Bio-Chemichal Co., Ltd - Endereço: Nº 6, Middle Huagong Road Circulation Chemical Industry Park Shijiazhuang, Hebei - China (Vinc. Reg. 20724)</t>
        </is>
      </c>
      <c r="U959" s="10">
        <f>HYPERLINK("https://agrofit.agricultura.gov.br/agrofit_cons/principal_agrofit_cons", "Consulta Oficial AGROFIT/MAPA (VINC-20724)")</f>
        <v/>
      </c>
    </row>
    <row r="960" ht="22" customHeight="1">
      <c r="A960" s="11" t="n">
        <v>955</v>
      </c>
      <c r="B960" s="12" t="inlineStr">
        <is>
          <t>Nº 20824</t>
        </is>
      </c>
      <c r="C960" s="13" t="inlineStr">
        <is>
          <t>BIOMETATRIL</t>
        </is>
      </c>
      <c r="D960" s="14" t="inlineStr">
        <is>
          <t>BIOMETATRIL</t>
        </is>
      </c>
      <c r="E960" s="13" t="inlineStr">
        <is>
          <t>Produto Formulado Comercial</t>
        </is>
      </c>
      <c r="F960" s="13" t="inlineStr">
        <is>
          <t>Defensivos</t>
        </is>
      </c>
      <c r="G960" s="13" t="inlineStr">
        <is>
          <t>Inseticida</t>
        </is>
      </c>
      <c r="H960" s="13" t="inlineStr">
        <is>
          <t>WP</t>
        </is>
      </c>
      <c r="I960" s="13" t="inlineStr">
        <is>
          <t>Pó Molhável (WP)</t>
        </is>
      </c>
      <c r="J960" s="13" t="inlineStr">
        <is>
          <t>Micoinseticida e micoacaricida biológico de contato</t>
        </is>
      </c>
      <c r="K960" s="13" t="inlineStr">
        <is>
          <t>Agente Microbiológico de Controle (Fungo Entomopatogênico)</t>
        </is>
      </c>
      <c r="L960" s="13" t="inlineStr">
        <is>
          <t>IRAC Grupo UNF — Biológico Multissítio</t>
        </is>
      </c>
      <c r="M960" s="13" t="inlineStr">
        <is>
          <t>Infecção tegumentar por conídios, penetração enzimática e colonização da hemocele</t>
        </is>
      </c>
      <c r="N960" s="13" t="inlineStr">
        <is>
          <t>Categoria 5 / Não Classificado — Baixo Risco Agudo</t>
        </is>
      </c>
      <c r="O960" s="13" t="inlineStr">
        <is>
          <t>Azul Intenso</t>
        </is>
      </c>
      <c r="P960" s="13" t="inlineStr">
        <is>
          <t>Classe IV — Produto Pouco Perigoso ao Meio Ambiente</t>
        </is>
      </c>
      <c r="Q960" s="15" t="n">
        <v>24</v>
      </c>
      <c r="R960" s="13" t="inlineStr">
        <is>
          <t>Terrestre / Aérea (Drones consultar bula)</t>
        </is>
      </c>
      <c r="S960" s="13" t="inlineStr">
        <is>
          <t>Sem antídoto; tratamento sintomático em caso de hipersensibilidade/alergia</t>
        </is>
      </c>
      <c r="T960" s="13" t="inlineStr">
        <is>
          <t>J. A. Moura Goncalves Fertilizantes Eireli- Avaré/SP</t>
        </is>
      </c>
      <c r="U960" s="16">
        <f>HYPERLINK("https://agrofit.agricultura.gov.br/agrofit_cons/principal_agrofit_cons", "Consulta Oficial AGROFIT/MAPA (Nº 20824)")</f>
        <v/>
      </c>
    </row>
    <row r="961" ht="22" customHeight="1">
      <c r="A961" s="5" t="n">
        <v>956</v>
      </c>
      <c r="B961" s="6" t="inlineStr">
        <is>
          <t>Nº 20924</t>
        </is>
      </c>
      <c r="C961" s="7" t="inlineStr">
        <is>
          <t>FOLPEC 50</t>
        </is>
      </c>
      <c r="D961" s="8" t="inlineStr">
        <is>
          <t>FOLPEC 50</t>
        </is>
      </c>
      <c r="E961" s="7" t="inlineStr">
        <is>
          <t>Produto Formulado Comercial</t>
        </is>
      </c>
      <c r="F961" s="7" t="inlineStr">
        <is>
          <t>Defensivos</t>
        </is>
      </c>
      <c r="G961" s="7" t="inlineStr">
        <is>
          <t>Fungicida</t>
        </is>
      </c>
      <c r="H961" s="7" t="inlineStr">
        <is>
          <t>SC</t>
        </is>
      </c>
      <c r="I961" s="7" t="inlineStr">
        <is>
          <t>Suspensão Concentrada (SC)</t>
        </is>
      </c>
      <c r="J961" s="7" t="inlineStr">
        <is>
          <t>Fungicida preventivo e curativo foliar</t>
        </is>
      </c>
      <c r="K961" s="7" t="inlineStr">
        <is>
          <t>Ftalimida</t>
        </is>
      </c>
      <c r="L961" s="7" t="inlineStr">
        <is>
          <t>FRAC Grupo M04 — Multissítio</t>
        </is>
      </c>
      <c r="M961" s="7" t="inlineStr">
        <is>
          <t>Inativação multissítio de grupos tiol (-SH) em enzimas respiratórias fúngicas</t>
        </is>
      </c>
      <c r="N961" s="7" t="inlineStr">
        <is>
          <t>Categoria 4 — Produto Pouco Tóxico (Conforme Bula ANVISA)</t>
        </is>
      </c>
      <c r="O961" s="7" t="inlineStr">
        <is>
          <t>Azul PMS Blue 293 C</t>
        </is>
      </c>
      <c r="P961" s="7" t="inlineStr">
        <is>
          <t>Classe II — Produto Muito Perigoso ao Meio Ambiente</t>
        </is>
      </c>
      <c r="Q961" s="9" t="n">
        <v>24</v>
      </c>
      <c r="R961" s="7" t="inlineStr">
        <is>
          <t>Terrestre / Aérea (Drones consultar bula)</t>
        </is>
      </c>
      <c r="S961" s="7" t="inlineStr">
        <is>
          <t>Sem antídoto específico; tratamento sintomático</t>
        </is>
      </c>
      <c r="T961" s="7" t="inlineStr">
        <is>
          <t>Tradecorp do Brasil Comércio de Insumos Agrícolas Ltda.- Hortolândia/SP</t>
        </is>
      </c>
      <c r="U961" s="10">
        <f>HYPERLINK("https://agrofit.agricultura.gov.br/agrofit_cons/principal_agrofit_cons", "Consulta Oficial AGROFIT/MAPA (Nº 20924)")</f>
        <v/>
      </c>
    </row>
    <row r="962" ht="22" customHeight="1">
      <c r="A962" s="11" t="n">
        <v>957</v>
      </c>
      <c r="B962" s="12" t="inlineStr">
        <is>
          <t>VINC-20924</t>
        </is>
      </c>
      <c r="C962" s="13" t="inlineStr">
        <is>
          <t>Folpete Tradecorp Técnico</t>
        </is>
      </c>
      <c r="D962" s="14" t="inlineStr">
        <is>
          <t>Folpete Tradecorp Técnico</t>
        </is>
      </c>
      <c r="E962" s="13" t="inlineStr">
        <is>
          <t>Produto Técnico Industrial</t>
        </is>
      </c>
      <c r="F962" s="13" t="inlineStr">
        <is>
          <t>Defensivos</t>
        </is>
      </c>
      <c r="G962" s="13" t="inlineStr">
        <is>
          <t>Produto Técnico (Fungicida) (Insumo Industrial / Técnico)</t>
        </is>
      </c>
      <c r="H962" s="13" t="inlineStr">
        <is>
          <t>TC</t>
        </is>
      </c>
      <c r="I962" s="13" t="inlineStr">
        <is>
          <t>Produto Técnico Industrial (TC)</t>
        </is>
      </c>
      <c r="J962" s="13" t="inlineStr">
        <is>
          <t>Fungicida preventivo e curativo foliar</t>
        </is>
      </c>
      <c r="K962" s="13" t="inlineStr">
        <is>
          <t>Ftalimida</t>
        </is>
      </c>
      <c r="L962" s="13" t="inlineStr">
        <is>
          <t>FRAC Grupo M04 — Multissítio</t>
        </is>
      </c>
      <c r="M962" s="13" t="inlineStr">
        <is>
          <t>Inativação multissítio de grupos tiol (-SH) em enzimas respiratórias fúngicas</t>
        </is>
      </c>
      <c r="N962" s="13" t="inlineStr">
        <is>
          <t>Categoria 4 — Produto Pouco Tóxico (Conforme Bula ANVISA)</t>
        </is>
      </c>
      <c r="O962" s="13" t="inlineStr">
        <is>
          <t>Azul PMS Blue 293 C</t>
        </is>
      </c>
      <c r="P962" s="13" t="inlineStr">
        <is>
          <t>Classe II — Produto Muito Perigoso ao Meio Ambiente</t>
        </is>
      </c>
      <c r="Q962" s="15" t="n">
        <v>24</v>
      </c>
      <c r="R962" s="13" t="inlineStr">
        <is>
          <t>Terrestre / Aérea (Drones consultar bula)</t>
        </is>
      </c>
      <c r="S962" s="13" t="inlineStr">
        <is>
          <t>Sem antídoto específico; tratamento sintomático</t>
        </is>
      </c>
      <c r="T962" s="13" t="inlineStr">
        <is>
          <t>Yingde Greatchem Chemicals Co., Ltd. - Endereço: Hongfeng District, Shakou Town Yingde, Guangdong 513052 China (Vinc. Reg. 20924)</t>
        </is>
      </c>
      <c r="U962" s="16">
        <f>HYPERLINK("https://agrofit.agricultura.gov.br/agrofit_cons/principal_agrofit_cons", "Consulta Oficial AGROFIT/MAPA (VINC-20924)")</f>
        <v/>
      </c>
    </row>
    <row r="963" ht="22" customHeight="1">
      <c r="A963" s="5" t="n">
        <v>958</v>
      </c>
      <c r="B963" s="6" t="inlineStr">
        <is>
          <t>Nº 21024</t>
        </is>
      </c>
      <c r="C963" s="7" t="inlineStr">
        <is>
          <t>METABOV</t>
        </is>
      </c>
      <c r="D963" s="8" t="inlineStr">
        <is>
          <t>METABOV</t>
        </is>
      </c>
      <c r="E963" s="7" t="inlineStr">
        <is>
          <t>Produto Formulado Comercial</t>
        </is>
      </c>
      <c r="F963" s="7" t="inlineStr">
        <is>
          <t>Defensivos</t>
        </is>
      </c>
      <c r="G963" s="7" t="inlineStr">
        <is>
          <t>Inseticida</t>
        </is>
      </c>
      <c r="H963" s="7" t="inlineStr">
        <is>
          <t>WP</t>
        </is>
      </c>
      <c r="I963" s="7" t="inlineStr">
        <is>
          <t>Pó Molhável (WP)</t>
        </is>
      </c>
      <c r="J963" s="7" t="inlineStr">
        <is>
          <t>Micoinseticida e micoacaricida biológico de contato</t>
        </is>
      </c>
      <c r="K963" s="7" t="inlineStr">
        <is>
          <t>Agente Microbiológico de Controle (Fungo Entomopatogênico)</t>
        </is>
      </c>
      <c r="L963" s="7" t="inlineStr">
        <is>
          <t>IRAC Grupo UNF — Biológico Multissítio</t>
        </is>
      </c>
      <c r="M963" s="7" t="inlineStr">
        <is>
          <t>Infecção tegumentar por conídios, penetração enzimática e colonização da hemocele</t>
        </is>
      </c>
      <c r="N963" s="7" t="inlineStr">
        <is>
          <t>Categoria 5 / Não Classificado — Baixo Risco Agudo</t>
        </is>
      </c>
      <c r="O963" s="7" t="inlineStr">
        <is>
          <t>Azul Intenso</t>
        </is>
      </c>
      <c r="P963" s="7" t="inlineStr">
        <is>
          <t>Classe IV — Produto Pouco Perigoso ao Meio Ambiente</t>
        </is>
      </c>
      <c r="Q963" s="9" t="n">
        <v>24</v>
      </c>
      <c r="R963" s="7" t="inlineStr">
        <is>
          <t>Terrestre / Aérea (Drones consultar bula)</t>
        </is>
      </c>
      <c r="S963" s="7" t="inlineStr">
        <is>
          <t>Sem antídoto; tratamento sintomático em caso de hipersensibilidade/alergia</t>
        </is>
      </c>
      <c r="T963" s="7" t="inlineStr">
        <is>
          <t>Alisson Machado de Souza Representações- São Sebastião do Paraíso/MG</t>
        </is>
      </c>
      <c r="U963" s="10">
        <f>HYPERLINK("https://agrofit.agricultura.gov.br/agrofit_cons/principal_agrofit_cons", "Consulta Oficial AGROFIT/MAPA (Nº 21024)")</f>
        <v/>
      </c>
    </row>
    <row r="964" ht="22" customHeight="1">
      <c r="A964" s="11" t="n">
        <v>959</v>
      </c>
      <c r="B964" s="12" t="inlineStr">
        <is>
          <t>Nº 21024</t>
        </is>
      </c>
      <c r="C964" s="13" t="inlineStr">
        <is>
          <t>ATLASMIX</t>
        </is>
      </c>
      <c r="D964" s="14" t="inlineStr">
        <is>
          <t>ATLASMIX</t>
        </is>
      </c>
      <c r="E964" s="13" t="inlineStr">
        <is>
          <t>Produto Formulado Comercial</t>
        </is>
      </c>
      <c r="F964" s="13" t="inlineStr">
        <is>
          <t>Defensivos</t>
        </is>
      </c>
      <c r="G964" s="13" t="inlineStr">
        <is>
          <t>Inseticida</t>
        </is>
      </c>
      <c r="H964" s="13" t="inlineStr">
        <is>
          <t>WP</t>
        </is>
      </c>
      <c r="I964" s="13" t="inlineStr">
        <is>
          <t>Pó Molhável (WP)</t>
        </is>
      </c>
      <c r="J964" s="13" t="inlineStr">
        <is>
          <t>Micoinseticida e micoacaricida biológico de contato</t>
        </is>
      </c>
      <c r="K964" s="13" t="inlineStr">
        <is>
          <t>Agente Microbiológico de Controle (Fungo Entomopatogênico)</t>
        </is>
      </c>
      <c r="L964" s="13" t="inlineStr">
        <is>
          <t>IRAC Grupo UNF — Biológico Multissítio</t>
        </is>
      </c>
      <c r="M964" s="13" t="inlineStr">
        <is>
          <t>Infecção tegumentar por conídios, penetração enzimática e colonização da hemocele</t>
        </is>
      </c>
      <c r="N964" s="13" t="inlineStr">
        <is>
          <t>Categoria 5 / Não Classificado — Baixo Risco Agudo</t>
        </is>
      </c>
      <c r="O964" s="13" t="inlineStr">
        <is>
          <t>Azul Intenso</t>
        </is>
      </c>
      <c r="P964" s="13" t="inlineStr">
        <is>
          <t>Classe IV — Produto Pouco Perigoso ao Meio Ambiente</t>
        </is>
      </c>
      <c r="Q964" s="15" t="n">
        <v>24</v>
      </c>
      <c r="R964" s="13" t="inlineStr">
        <is>
          <t>Terrestre / Aérea (Drones consultar bula)</t>
        </is>
      </c>
      <c r="S964" s="13" t="inlineStr">
        <is>
          <t>Sem antídoto; tratamento sintomático em caso de hipersensibilidade/alergia</t>
        </is>
      </c>
      <c r="T964" s="13" t="inlineStr">
        <is>
          <t>Alisson Machado de Souza Representações- São Sebastião do Paraíso/MG</t>
        </is>
      </c>
      <c r="U964" s="16">
        <f>HYPERLINK("https://agrofit.agricultura.gov.br/agrofit_cons/principal_agrofit_cons", "Consulta Oficial AGROFIT/MAPA (Nº 21024)")</f>
        <v/>
      </c>
    </row>
    <row r="965" ht="22" customHeight="1">
      <c r="A965" s="5" t="n">
        <v>960</v>
      </c>
      <c r="B965" s="6" t="inlineStr">
        <is>
          <t>Nº 21024</t>
        </is>
      </c>
      <c r="C965" s="7" t="inlineStr">
        <is>
          <t>GRIFOS</t>
        </is>
      </c>
      <c r="D965" s="8" t="inlineStr">
        <is>
          <t>GRIFOS</t>
        </is>
      </c>
      <c r="E965" s="7" t="inlineStr">
        <is>
          <t>Produto Formulado Comercial</t>
        </is>
      </c>
      <c r="F965" s="7" t="inlineStr">
        <is>
          <t>Defensivos</t>
        </is>
      </c>
      <c r="G965" s="7" t="inlineStr">
        <is>
          <t>Inseticida</t>
        </is>
      </c>
      <c r="H965" s="7" t="inlineStr">
        <is>
          <t>WP</t>
        </is>
      </c>
      <c r="I965" s="7" t="inlineStr">
        <is>
          <t>Pó Molhável (WP)</t>
        </is>
      </c>
      <c r="J965" s="7" t="inlineStr">
        <is>
          <t>Micoinseticida e micoacaricida biológico de contato</t>
        </is>
      </c>
      <c r="K965" s="7" t="inlineStr">
        <is>
          <t>Agente Microbiológico de Controle (Fungo Entomopatogênico)</t>
        </is>
      </c>
      <c r="L965" s="7" t="inlineStr">
        <is>
          <t>IRAC Grupo UNF — Biológico Multissítio</t>
        </is>
      </c>
      <c r="M965" s="7" t="inlineStr">
        <is>
          <t>Infecção tegumentar por conídios, penetração enzimática e colonização da hemocele</t>
        </is>
      </c>
      <c r="N965" s="7" t="inlineStr">
        <is>
          <t>Categoria 5 / Não Classificado — Baixo Risco Agudo</t>
        </is>
      </c>
      <c r="O965" s="7" t="inlineStr">
        <is>
          <t>Azul Intenso</t>
        </is>
      </c>
      <c r="P965" s="7" t="inlineStr">
        <is>
          <t>Classe IV — Produto Pouco Perigoso ao Meio Ambiente</t>
        </is>
      </c>
      <c r="Q965" s="9" t="n">
        <v>24</v>
      </c>
      <c r="R965" s="7" t="inlineStr">
        <is>
          <t>Terrestre / Aérea (Drones consultar bula)</t>
        </is>
      </c>
      <c r="S965" s="7" t="inlineStr">
        <is>
          <t>Sem antídoto; tratamento sintomático em caso de hipersensibilidade/alergia</t>
        </is>
      </c>
      <c r="T965" s="7" t="inlineStr">
        <is>
          <t>Alisson Machado de Souza Representações- São Sebastião do Paraíso/MG</t>
        </is>
      </c>
      <c r="U965" s="10">
        <f>HYPERLINK("https://agrofit.agricultura.gov.br/agrofit_cons/principal_agrofit_cons", "Consulta Oficial AGROFIT/MAPA (Nº 21024)")</f>
        <v/>
      </c>
    </row>
    <row r="966" ht="22" customHeight="1">
      <c r="A966" s="11" t="n">
        <v>961</v>
      </c>
      <c r="B966" s="12" t="inlineStr">
        <is>
          <t>Nº 21124</t>
        </is>
      </c>
      <c r="C966" s="13" t="inlineStr">
        <is>
          <t>TRATTARE</t>
        </is>
      </c>
      <c r="D966" s="14" t="inlineStr">
        <is>
          <t>TRATTARE</t>
        </is>
      </c>
      <c r="E966" s="13" t="inlineStr">
        <is>
          <t>Produto Formulado Comercial</t>
        </is>
      </c>
      <c r="F966" s="13" t="inlineStr">
        <is>
          <t>Defensivos</t>
        </is>
      </c>
      <c r="G966" s="13" t="inlineStr">
        <is>
          <t>Fungicida</t>
        </is>
      </c>
      <c r="H966" s="13" t="inlineStr">
        <is>
          <t>EC</t>
        </is>
      </c>
      <c r="I966" s="13" t="inlineStr">
        <is>
          <t>Concentrado Emulsionável (EC)</t>
        </is>
      </c>
      <c r="J966" s="13" t="inlineStr">
        <is>
          <t>Fungicida sistêmico preventivo, curativo e erradicante</t>
        </is>
      </c>
      <c r="K966" s="13" t="inlineStr">
        <is>
          <t>Triazolintiona</t>
        </is>
      </c>
      <c r="L966" s="13" t="inlineStr">
        <is>
          <t>FRAC Grupo 3 (G1 — DMI)</t>
        </is>
      </c>
      <c r="M966" s="13" t="inlineStr">
        <is>
          <t>Inibidores da desmetilação do C14 na biossíntese do ergosterol</t>
        </is>
      </c>
      <c r="N966" s="13" t="inlineStr">
        <is>
          <t>Categoria 4 / 5 — Pouco Tóxico</t>
        </is>
      </c>
      <c r="O966" s="13" t="inlineStr">
        <is>
          <t>Azul Intenso</t>
        </is>
      </c>
      <c r="P966" s="13" t="inlineStr">
        <is>
          <t>Classe II — Produto Muito Perigoso ao Meio Ambiente</t>
        </is>
      </c>
      <c r="Q966" s="15" t="n">
        <v>24</v>
      </c>
      <c r="R966" s="13" t="inlineStr">
        <is>
          <t>Terrestre / Aérea (Drones consultar bula)</t>
        </is>
      </c>
      <c r="S966" s="13" t="inlineStr">
        <is>
          <t>Sem antídoto específico; tratamento sintomático</t>
        </is>
      </c>
      <c r="T966" s="13" t="inlineStr">
        <is>
          <t>Ouro Fino Química S.A.- Uberaba/MG</t>
        </is>
      </c>
      <c r="U966" s="16">
        <f>HYPERLINK("https://www.agrolink.com.br/agrolinkfito/produto/trattare_12706.html", "Bula Oficial Trattare (Ouro Fino/MAPA 21124)")</f>
        <v/>
      </c>
    </row>
    <row r="967" ht="22" customHeight="1">
      <c r="A967" s="5" t="n">
        <v>962</v>
      </c>
      <c r="B967" s="6" t="inlineStr">
        <is>
          <t>VINC-21124</t>
        </is>
      </c>
      <c r="C967" s="7" t="inlineStr">
        <is>
          <t>Protioconazol Técnico Ouro Fino</t>
        </is>
      </c>
      <c r="D967" s="8" t="inlineStr">
        <is>
          <t>Protioconazol Técnico Ouro Fino</t>
        </is>
      </c>
      <c r="E967" s="7" t="inlineStr">
        <is>
          <t>Produto Técnico Industrial</t>
        </is>
      </c>
      <c r="F967" s="7" t="inlineStr">
        <is>
          <t>Defensivos</t>
        </is>
      </c>
      <c r="G967" s="7" t="inlineStr">
        <is>
          <t>Produto Técnico (Fungicida) (Insumo Industrial / Técnico)</t>
        </is>
      </c>
      <c r="H967" s="7" t="inlineStr">
        <is>
          <t>TC</t>
        </is>
      </c>
      <c r="I967" s="7" t="inlineStr">
        <is>
          <t>Produto Técnico Industrial (TC)</t>
        </is>
      </c>
      <c r="J967" s="7" t="inlineStr">
        <is>
          <t>Fungicida sistêmico preventivo, curativo e erradicante</t>
        </is>
      </c>
      <c r="K967" s="7" t="inlineStr">
        <is>
          <t>Triazolintiona</t>
        </is>
      </c>
      <c r="L967" s="7" t="inlineStr">
        <is>
          <t>FRAC Grupo 3 (G1 — DMI)</t>
        </is>
      </c>
      <c r="M967" s="7" t="inlineStr">
        <is>
          <t>Inibidores da desmetilação do C14 na biossíntese do ergosterol</t>
        </is>
      </c>
      <c r="N967" s="7" t="inlineStr">
        <is>
          <t>Categoria 4 / 5 — Pouco Tóxico</t>
        </is>
      </c>
      <c r="O967" s="7" t="inlineStr">
        <is>
          <t>Azul Intenso</t>
        </is>
      </c>
      <c r="P967" s="7" t="inlineStr">
        <is>
          <t>Classe II — Produto Muito Perigoso ao Meio Ambiente</t>
        </is>
      </c>
      <c r="Q967" s="9" t="n">
        <v>24</v>
      </c>
      <c r="R967" s="7" t="inlineStr">
        <is>
          <t>Terrestre / Aérea (Drones consultar bula)</t>
        </is>
      </c>
      <c r="S967" s="7" t="inlineStr">
        <is>
          <t>Sem antídoto específico; tratamento sintomático</t>
        </is>
      </c>
      <c r="T967" s="7" t="inlineStr">
        <is>
          <t>Shandong Hailir Chemical Co., Ltd. - Endereço: Lingang Industrial Zone, Coastal Econ. Development Zone, Weifang, Shandong, China. Produto Técnico(Protioconazol Técnico Adama BR): Nome: Adama Brasil S/A - CNJP: 02.290.510/0004 19 - Endereço: Av. Júlio de Caslhos, n° 2085, CEP.: 95860-000, Taquari/RS (Vinc. Reg. 21124)</t>
        </is>
      </c>
      <c r="U967" s="10">
        <f>HYPERLINK("https://agrofit.agricultura.gov.br/agrofit_cons/principal_agrofit_cons", "Consulta Oficial AGROFIT/MAPA (VINC-21124)")</f>
        <v/>
      </c>
    </row>
    <row r="968" ht="22" customHeight="1">
      <c r="A968" s="11" t="n">
        <v>963</v>
      </c>
      <c r="B968" s="12" t="inlineStr">
        <is>
          <t>Nº 21224</t>
        </is>
      </c>
      <c r="C968" s="13" t="inlineStr">
        <is>
          <t>ECLIPSE</t>
        </is>
      </c>
      <c r="D968" s="14" t="inlineStr">
        <is>
          <t>ECLIPSE</t>
        </is>
      </c>
      <c r="E968" s="13" t="inlineStr">
        <is>
          <t>Produto Formulado Comercial</t>
        </is>
      </c>
      <c r="F968" s="13" t="inlineStr">
        <is>
          <t>Defensivos</t>
        </is>
      </c>
      <c r="G968" s="13" t="inlineStr">
        <is>
          <t>Inseticida</t>
        </is>
      </c>
      <c r="H968" s="13" t="inlineStr">
        <is>
          <t>WG</t>
        </is>
      </c>
      <c r="I968" s="13" t="inlineStr">
        <is>
          <t>Grânulos Dispersíveis em Água (WG)</t>
        </is>
      </c>
      <c r="J968" s="13" t="inlineStr">
        <is>
          <t>Inseticida de contato e ingestão com efeito de choque</t>
        </is>
      </c>
      <c r="K968" s="13" t="inlineStr">
        <is>
          <t>Neonicotinoide (Tianicotinil)</t>
        </is>
      </c>
      <c r="L968" s="13" t="inlineStr">
        <is>
          <t>IRAC Grupo 4A</t>
        </is>
      </c>
      <c r="M968" s="13" t="inlineStr">
        <is>
          <t>Moduladores competitivos dos receptores nicotínicos da acetilcolina (nAChR)</t>
        </is>
      </c>
      <c r="N968" s="13" t="inlineStr">
        <is>
          <t>Categoria 3 / 4 — Moderadamente a Pouco Tóxico</t>
        </is>
      </c>
      <c r="O968" s="13" t="inlineStr">
        <is>
          <t>Amarelo / Azul</t>
        </is>
      </c>
      <c r="P968" s="13" t="inlineStr">
        <is>
          <t>Classe II — Produto Muito Perigoso ao Meio Ambiente</t>
        </is>
      </c>
      <c r="Q968" s="15" t="n">
        <v>24</v>
      </c>
      <c r="R968" s="13" t="inlineStr">
        <is>
          <t>Terrestre / Aérea (Drones consultar bula)</t>
        </is>
      </c>
      <c r="S968" s="13" t="inlineStr">
        <is>
          <t>Sem antídoto específico; anti-histamínicos e suporte sintomático</t>
        </is>
      </c>
      <c r="T968" s="13" t="inlineStr">
        <is>
          <t>CHDS do Brasil Comércio de Insumos Agrícolas Ltda- São Miguel do Iguaçu/PR</t>
        </is>
      </c>
      <c r="U968" s="16">
        <f>HYPERLINK("https://agrofit.agricultura.gov.br/agrofit_cons/principal_agrofit_cons", "Consulta Oficial AGROFIT/MAPA (Nº 21224)")</f>
        <v/>
      </c>
    </row>
    <row r="969" ht="22" customHeight="1">
      <c r="A969" s="5" t="n">
        <v>964</v>
      </c>
      <c r="B969" s="6" t="inlineStr">
        <is>
          <t>VINC-21224</t>
        </is>
      </c>
      <c r="C969" s="7" t="inlineStr">
        <is>
          <t>Tiametoxam Técnico IN</t>
        </is>
      </c>
      <c r="D969" s="8" t="inlineStr">
        <is>
          <t>Tiametoxam Técnico IN</t>
        </is>
      </c>
      <c r="E969" s="7" t="inlineStr">
        <is>
          <t>Produto Técnico Industrial</t>
        </is>
      </c>
      <c r="F969" s="7" t="inlineStr">
        <is>
          <t>Defensivos</t>
        </is>
      </c>
      <c r="G969" s="7" t="inlineStr">
        <is>
          <t>Produto Técnico (Inseticida / Acaricida) (Insumo Industrial / Técnico)</t>
        </is>
      </c>
      <c r="H969" s="7" t="inlineStr">
        <is>
          <t>TC</t>
        </is>
      </c>
      <c r="I969" s="7" t="inlineStr">
        <is>
          <t>Produto Técnico Industrial (TC)</t>
        </is>
      </c>
      <c r="J969" s="7" t="inlineStr">
        <is>
          <t>Inseticida/acaricida de contato e ingestão</t>
        </is>
      </c>
      <c r="K969" s="7" t="inlineStr">
        <is>
          <t>Neonicotinoide (Tianicotinil)</t>
        </is>
      </c>
      <c r="L969" s="7" t="inlineStr">
        <is>
          <t>IRAC Grupo 4A</t>
        </is>
      </c>
      <c r="M969" s="7" t="inlineStr">
        <is>
          <t>Moduladores competitivos dos receptores nicotínicos da acetilcolina (nAChR)</t>
        </is>
      </c>
      <c r="N969" s="7" t="inlineStr">
        <is>
          <t>Categoria 3 / 4 — Moderadamente a Pouco Tóxico</t>
        </is>
      </c>
      <c r="O969" s="7" t="inlineStr">
        <is>
          <t>Amarelo / Azul</t>
        </is>
      </c>
      <c r="P969" s="7" t="inlineStr">
        <is>
          <t>Classe II — Produto Muito Perigoso ao Meio Ambiente</t>
        </is>
      </c>
      <c r="Q969" s="9" t="n">
        <v>24</v>
      </c>
      <c r="R969" s="7" t="inlineStr">
        <is>
          <t>Terrestre / Aérea (Drones consultar bula)</t>
        </is>
      </c>
      <c r="S969" s="7" t="inlineStr">
        <is>
          <t>Tratamento sintomático conforme grupo químico na bula</t>
        </is>
      </c>
      <c r="T969" s="7" t="inlineStr">
        <is>
          <t>Shandong Hailir Chemical Co., Ltd - Endereço: Lingang lndustry Zone, Coastal Econ. Development Zone, Weifang, Shandong, China (Vinc. Reg. 21224)</t>
        </is>
      </c>
      <c r="U969" s="10">
        <f>HYPERLINK("https://agrofit.agricultura.gov.br/agrofit_cons/principal_agrofit_cons", "Consulta Oficial AGROFIT/MAPA (VINC-21224)")</f>
        <v/>
      </c>
    </row>
    <row r="970" ht="22" customHeight="1">
      <c r="A970" s="11" t="n">
        <v>965</v>
      </c>
      <c r="B970" s="12" t="inlineStr">
        <is>
          <t>Nº 21324</t>
        </is>
      </c>
      <c r="C970" s="13" t="inlineStr">
        <is>
          <t>TRICHO-HARMAX</t>
        </is>
      </c>
      <c r="D970" s="14" t="inlineStr">
        <is>
          <t>TRICHO-HARMAX</t>
        </is>
      </c>
      <c r="E970" s="13" t="inlineStr">
        <is>
          <t>Produto Formulado Comercial</t>
        </is>
      </c>
      <c r="F970" s="13" t="inlineStr">
        <is>
          <t>Defensivos</t>
        </is>
      </c>
      <c r="G970" s="13" t="inlineStr">
        <is>
          <t>Biofungicida (Biológico)</t>
        </is>
      </c>
      <c r="H970" s="13" t="inlineStr">
        <is>
          <t>SC</t>
        </is>
      </c>
      <c r="I970" s="13" t="inlineStr">
        <is>
          <t>Suspensão Concentrada (SC)</t>
        </is>
      </c>
      <c r="J970" s="13" t="inlineStr">
        <is>
          <t>Tratamento de sementes, sulco de plantio ou pulverização foliar</t>
        </is>
      </c>
      <c r="K970" s="13" t="inlineStr">
        <is>
          <t>Inoculante / Agente Biológico de Controle</t>
        </is>
      </c>
      <c r="L970" s="13" t="inlineStr">
        <is>
          <t>Bioinsumo Agrícola</t>
        </is>
      </c>
      <c r="M970" s="13" t="inlineStr">
        <is>
          <t>Simbiose radicular, antagonismo biológico ou controle entomopatogênico</t>
        </is>
      </c>
      <c r="N970" s="13" t="inlineStr">
        <is>
          <t>Categoria 5 / Isento (Bioinsumo)</t>
        </is>
      </c>
      <c r="O970" s="13" t="inlineStr">
        <is>
          <t>Azul Intenso</t>
        </is>
      </c>
      <c r="P970" s="13" t="inlineStr">
        <is>
          <t>Classe IV — Produto Pouco Perigoso ao Meio Ambiente</t>
        </is>
      </c>
      <c r="Q970" s="15" t="n">
        <v>24</v>
      </c>
      <c r="R970" s="13" t="inlineStr">
        <is>
          <t>Terrestre / Aérea (Drones consultar bula)</t>
        </is>
      </c>
      <c r="S970" s="13" t="inlineStr">
        <is>
          <t>Tratamento sintomático</t>
        </is>
      </c>
      <c r="T970" s="13" t="inlineStr">
        <is>
          <t>J. A. Moura Gonçalves Fertilizantes Eireli- Avaré/SP</t>
        </is>
      </c>
      <c r="U970" s="16">
        <f>HYPERLINK("https://agrofit.agricultura.gov.br/agrofit_cons/principal_agrofit_cons", "Consulta Oficial AGROFIT/MAPA (Nº 21324)")</f>
        <v/>
      </c>
    </row>
    <row r="971" ht="22" customHeight="1">
      <c r="A971" s="5" t="n">
        <v>966</v>
      </c>
      <c r="B971" s="6" t="inlineStr">
        <is>
          <t>Nº 21424</t>
        </is>
      </c>
      <c r="C971" s="7" t="inlineStr">
        <is>
          <t>ÉGIDE</t>
        </is>
      </c>
      <c r="D971" s="8" t="inlineStr">
        <is>
          <t>ÉGIDE</t>
        </is>
      </c>
      <c r="E971" s="7" t="inlineStr">
        <is>
          <t>Produto Formulado Comercial</t>
        </is>
      </c>
      <c r="F971" s="7" t="inlineStr">
        <is>
          <t>Defensivos</t>
        </is>
      </c>
      <c r="G971" s="7" t="inlineStr">
        <is>
          <t>Biofungicida (Biológico)</t>
        </is>
      </c>
      <c r="H971" s="7" t="inlineStr">
        <is>
          <t>SC</t>
        </is>
      </c>
      <c r="I971" s="7" t="inlineStr">
        <is>
          <t>Suspensão Concentrada (SC)</t>
        </is>
      </c>
      <c r="J971" s="7" t="inlineStr">
        <is>
          <t>Bionematicida, biofungicida ou inoculante biológico</t>
        </is>
      </c>
      <c r="K971" s="7" t="inlineStr">
        <is>
          <t>Agente Microbiológico / Rizobactéria (PGPR e Biofungicida)</t>
        </is>
      </c>
      <c r="L971" s="7" t="inlineStr">
        <is>
          <t>FRAC Grupo BM02 — Agente Microbiológico de Controle</t>
        </is>
      </c>
      <c r="M971" s="7" t="inlineStr">
        <is>
          <t>Antagonismo direto, competição e síntese de lipopeptídeos antifúngicos; Antagonismo direto, indução de resistência sistêmica e síntese de metabólitos antimicrobianos</t>
        </is>
      </c>
      <c r="N971" s="7" t="inlineStr">
        <is>
          <t>Categoria 5 — Produto Improvável de Causar Dano Agudo</t>
        </is>
      </c>
      <c r="O971" s="7" t="inlineStr">
        <is>
          <t>Azul PMS Blue 293 C</t>
        </is>
      </c>
      <c r="P971" s="7" t="inlineStr">
        <is>
          <t>Classe IV — Produto Pouco Perigoso ao Meio Ambiente</t>
        </is>
      </c>
      <c r="Q971" s="9" t="n">
        <v>24</v>
      </c>
      <c r="R971" s="7" t="inlineStr">
        <is>
          <t>Terrestre / Aérea (Drones consultar bula)</t>
        </is>
      </c>
      <c r="S971" s="7" t="inlineStr">
        <is>
          <t>Sem antídoto; tratamento sintomático</t>
        </is>
      </c>
      <c r="T971" s="7" t="inlineStr">
        <is>
          <t>Companhia Nitro Química Brasileira- Sertãozinho/SP</t>
        </is>
      </c>
      <c r="U971" s="10">
        <f>HYPERLINK("https://revistacultivar.com.br/pesticida/egide-egide-max", "Bula Oficial Égide (Nitro Química/MAPA 21424)")</f>
        <v/>
      </c>
    </row>
    <row r="972" ht="22" customHeight="1">
      <c r="A972" s="11" t="n">
        <v>967</v>
      </c>
      <c r="B972" s="12" t="inlineStr">
        <is>
          <t>Nº 21524</t>
        </is>
      </c>
      <c r="C972" s="13" t="inlineStr">
        <is>
          <t>MAVIC BIO</t>
        </is>
      </c>
      <c r="D972" s="14" t="inlineStr">
        <is>
          <t>MAVIC BIO</t>
        </is>
      </c>
      <c r="E972" s="13" t="inlineStr">
        <is>
          <t>Produto Formulado Comercial</t>
        </is>
      </c>
      <c r="F972" s="13" t="inlineStr">
        <is>
          <t>Defensivos</t>
        </is>
      </c>
      <c r="G972" s="13" t="inlineStr">
        <is>
          <t>Inseticida</t>
        </is>
      </c>
      <c r="H972" s="13" t="inlineStr">
        <is>
          <t>SC</t>
        </is>
      </c>
      <c r="I972" s="13" t="inlineStr">
        <is>
          <t>Suspensão Concentrada (SC)</t>
        </is>
      </c>
      <c r="J972" s="13" t="inlineStr">
        <is>
          <t>Inseticida/acaricida de contato e ingestão</t>
        </is>
      </c>
      <c r="K972" s="13" t="inlineStr">
        <is>
          <t>Agente Microbiológico de Controle (Fungo Entomopatogênico)</t>
        </is>
      </c>
      <c r="L972" s="13" t="inlineStr">
        <is>
          <t>IRAC Grupo UNF — Bioinseticida Microbiológico</t>
        </is>
      </c>
      <c r="M972" s="13" t="inlineStr">
        <is>
          <t>Infecção tegumentar por conídios, penetração hemocélica e produção de destruxinas</t>
        </is>
      </c>
      <c r="N972" s="13" t="inlineStr">
        <is>
          <t>Categoria 3 / 4 — Moderadamente a Pouco Tóxico</t>
        </is>
      </c>
      <c r="O972" s="13" t="inlineStr">
        <is>
          <t>Amarelo / Azul</t>
        </is>
      </c>
      <c r="P972" s="13" t="inlineStr">
        <is>
          <t>Classe II — Produto Muito Perigoso ao Meio Ambiente</t>
        </is>
      </c>
      <c r="Q972" s="15" t="n">
        <v>24</v>
      </c>
      <c r="R972" s="13" t="inlineStr">
        <is>
          <t>Terrestre / Aérea (Drones consultar bula)</t>
        </is>
      </c>
      <c r="S972" s="13" t="inlineStr">
        <is>
          <t>Tratamento sintomático conforme grupo químico na bula</t>
        </is>
      </c>
      <c r="T972" s="13" t="inlineStr">
        <is>
          <t>Alfa Agrotec Produtos Agrícolas Ltda- Jaboticabal/SP</t>
        </is>
      </c>
      <c r="U972" s="16">
        <f>HYPERLINK("https://revistacultivar.com.br/pesticida/mavic-bio-colt-muskar-kento-metha-pro-vivus-meta", "Bula Oficial Mavic Bio (Alfa Agrotec/MAPA 21524)")</f>
        <v/>
      </c>
    </row>
    <row r="973" ht="22" customHeight="1">
      <c r="A973" s="5" t="n">
        <v>968</v>
      </c>
      <c r="B973" s="6" t="inlineStr">
        <is>
          <t>Nº 21624</t>
        </is>
      </c>
      <c r="C973" s="7" t="inlineStr">
        <is>
          <t>GRANT 970 WG</t>
        </is>
      </c>
      <c r="D973" s="8" t="inlineStr">
        <is>
          <t>GRANT 970 WG</t>
        </is>
      </c>
      <c r="E973" s="7" t="inlineStr">
        <is>
          <t>Produto Formulado Comercial</t>
        </is>
      </c>
      <c r="F973" s="7" t="inlineStr">
        <is>
          <t>Defensivos</t>
        </is>
      </c>
      <c r="G973" s="7" t="inlineStr">
        <is>
          <t>Herbicida</t>
        </is>
      </c>
      <c r="H973" s="7" t="inlineStr">
        <is>
          <t>WG</t>
        </is>
      </c>
      <c r="I973" s="7" t="inlineStr">
        <is>
          <t>Grânulos Dispersíveis em Água (WG)</t>
        </is>
      </c>
      <c r="J973" s="7" t="inlineStr">
        <is>
          <t>Herbicida sistêmico seletivo de pós-emergência para folhas largas</t>
        </is>
      </c>
      <c r="K973" s="7" t="inlineStr">
        <is>
          <t>Ácido ariloxialcanoico</t>
        </is>
      </c>
      <c r="L973" s="7" t="inlineStr">
        <is>
          <t>HRAC Grupo O (4) — Auxinas Sintéticas</t>
        </is>
      </c>
      <c r="M973" s="7" t="inlineStr">
        <is>
          <t>Mimetizadores de auxina sintética</t>
        </is>
      </c>
      <c r="N973" s="7" t="inlineStr">
        <is>
          <t>Categoria 4 — Produto Pouco Tóxico</t>
        </is>
      </c>
      <c r="O973" s="7" t="inlineStr">
        <is>
          <t>Azul PMS Blue 293 C</t>
        </is>
      </c>
      <c r="P973" s="7" t="inlineStr">
        <is>
          <t>Classe III — Produto Perigoso ao Meio Ambiente</t>
        </is>
      </c>
      <c r="Q973" s="9" t="n">
        <v>24</v>
      </c>
      <c r="R973" s="7" t="inlineStr">
        <is>
          <t>Terrestre / Aérea (Drones consultar bula)</t>
        </is>
      </c>
      <c r="S973" s="7" t="inlineStr">
        <is>
          <t>Sem antídoto específico; alcalinização urinária e suporte sintomático</t>
        </is>
      </c>
      <c r="T973" s="7" t="inlineStr">
        <is>
          <t>Nutrien Soluções Agrícolas Ltda.- São Paulo/SP</t>
        </is>
      </c>
      <c r="U973" s="10">
        <f>HYPERLINK("https://www.cultivasmart.com/Product/DownloadBula?brojRegistracije=21624", "Bula Oficial Grant 970 WG (Nutrien/MAPA 21624)")</f>
        <v/>
      </c>
    </row>
    <row r="974" ht="22" customHeight="1">
      <c r="A974" s="11" t="n">
        <v>969</v>
      </c>
      <c r="B974" s="12" t="inlineStr">
        <is>
          <t>VINC-21624</t>
        </is>
      </c>
      <c r="C974" s="13" t="inlineStr">
        <is>
          <t>2,4-D Tecnico TW Loveland</t>
        </is>
      </c>
      <c r="D974" s="14" t="inlineStr">
        <is>
          <t>2,4-D Tecnico TW Loveland</t>
        </is>
      </c>
      <c r="E974" s="13" t="inlineStr">
        <is>
          <t>Produto Técnico Industrial</t>
        </is>
      </c>
      <c r="F974" s="13" t="inlineStr">
        <is>
          <t>Defensivos</t>
        </is>
      </c>
      <c r="G974" s="13" t="inlineStr">
        <is>
          <t>Produto Técnico (Herbicida) (Insumo Industrial / Técnico)</t>
        </is>
      </c>
      <c r="H974" s="13" t="inlineStr">
        <is>
          <t>TC</t>
        </is>
      </c>
      <c r="I974" s="13" t="inlineStr">
        <is>
          <t>Produto Técnico Industrial (TC)</t>
        </is>
      </c>
      <c r="J974" s="13" t="inlineStr">
        <is>
          <t>Herbicida sistêmico seletivo de pós-emergência para folhas largas</t>
        </is>
      </c>
      <c r="K974" s="13" t="inlineStr">
        <is>
          <t>Ácido ariloxialcanoico</t>
        </is>
      </c>
      <c r="L974" s="13" t="inlineStr">
        <is>
          <t>HRAC Grupo O (4) — Auxinas Sintéticas</t>
        </is>
      </c>
      <c r="M974" s="13" t="inlineStr">
        <is>
          <t>Mimetizadores de auxina sintética</t>
        </is>
      </c>
      <c r="N974" s="13" t="inlineStr">
        <is>
          <t>Categoria 4 — Produto Pouco Tóxico</t>
        </is>
      </c>
      <c r="O974" s="13" t="inlineStr">
        <is>
          <t>Azul PMS Blue 293 C</t>
        </is>
      </c>
      <c r="P974" s="13" t="inlineStr">
        <is>
          <t>Classe III — Produto Perigoso ao Meio Ambiente</t>
        </is>
      </c>
      <c r="Q974" s="15" t="n">
        <v>24</v>
      </c>
      <c r="R974" s="13" t="inlineStr">
        <is>
          <t>Terrestre / Aérea (Drones consultar bula)</t>
        </is>
      </c>
      <c r="S974" s="13" t="inlineStr">
        <is>
          <t>Sem antídoto específico; alcalinização urinária e suporte sintomático</t>
        </is>
      </c>
      <c r="T974" s="13" t="inlineStr">
        <is>
          <t>Changzhou Wintafone Chemical CO., LTD - Endereço: West Weitang Chemical Industry Zone, Chunjiang Town, Xinbei 213033 Changzhou, Jiangsu, China (Vinc. Reg. 21624)</t>
        </is>
      </c>
      <c r="U974" s="16">
        <f>HYPERLINK("https://agrofit.agricultura.gov.br/agrofit_cons/principal_agrofit_cons", "Consulta Oficial AGROFIT/MAPA (VINC-21624)")</f>
        <v/>
      </c>
    </row>
    <row r="975" ht="22" customHeight="1">
      <c r="A975" s="5" t="n">
        <v>970</v>
      </c>
      <c r="B975" s="6" t="inlineStr">
        <is>
          <t>Nº 21724</t>
        </is>
      </c>
      <c r="C975" s="7" t="inlineStr">
        <is>
          <t>ORONDIS OPTI</t>
        </is>
      </c>
      <c r="D975" s="8" t="inlineStr">
        <is>
          <t>ORONDIS OPTI</t>
        </is>
      </c>
      <c r="E975" s="7" t="inlineStr">
        <is>
          <t>Produto Formulado Comercial</t>
        </is>
      </c>
      <c r="F975" s="7" t="inlineStr">
        <is>
          <t>Defensivos</t>
        </is>
      </c>
      <c r="G975" s="7" t="inlineStr">
        <is>
          <t>Fungicida</t>
        </is>
      </c>
      <c r="H975" s="7" t="inlineStr">
        <is>
          <t>SC</t>
        </is>
      </c>
      <c r="I975" s="7" t="inlineStr">
        <is>
          <t>Suspensão Concentrada (SC)</t>
        </is>
      </c>
      <c r="J975" s="7" t="inlineStr">
        <is>
          <t>Fungicida protetor de contato multissítio (manejo anti-resistência)</t>
        </is>
      </c>
      <c r="K975" s="7" t="inlineStr">
        <is>
          <t>Isoftalonitrila + Piperidinil-tiazol-isoxazolina</t>
        </is>
      </c>
      <c r="L975" s="7" t="inlineStr">
        <is>
          <t>FRAC Grupo M05 — Multissítio + FRAC Grupo 49 (F9 — OSBPI)</t>
        </is>
      </c>
      <c r="M975" s="7" t="inlineStr">
        <is>
          <t>Atividade de contato multissítio (inativação de grupos tiol enzimáticos); Modulador da proteína ligante de oxisterol (OSBP) em Oomicetos</t>
        </is>
      </c>
      <c r="N975" s="7" t="inlineStr">
        <is>
          <t>Categoria 2 / 3 — Altamente a Moderadamente Tóxico</t>
        </is>
      </c>
      <c r="O975" s="7" t="inlineStr">
        <is>
          <t>Vermelho / Amarelo</t>
        </is>
      </c>
      <c r="P975" s="7" t="inlineStr">
        <is>
          <t>Classe II — Produto Muito Perigoso ao Meio Ambiente</t>
        </is>
      </c>
      <c r="Q975" s="9" t="n">
        <v>24</v>
      </c>
      <c r="R975" s="7" t="inlineStr">
        <is>
          <t>Terrestre / Aérea (Drones consultar bula)</t>
        </is>
      </c>
      <c r="S975" s="7" t="inlineStr">
        <is>
          <t>Sem antídoto específico; tratamento sintomático e descontaminação ocular/cutânea</t>
        </is>
      </c>
      <c r="T975" s="7" t="inlineStr">
        <is>
          <t>Syngenta Proteção de Cultivos Ltda.- São Paulo/SP</t>
        </is>
      </c>
      <c r="U975" s="10">
        <f>HYPERLINK("https://revistacultivar.com.br/pesticida/orondis-opti", "Bula Oficial Orondis Opti (Syngenta/MAPA 21724)")</f>
        <v/>
      </c>
    </row>
    <row r="976" ht="22" customHeight="1">
      <c r="A976" s="11" t="n">
        <v>971</v>
      </c>
      <c r="B976" s="12" t="inlineStr">
        <is>
          <t>VINC-21724</t>
        </is>
      </c>
      <c r="C976" s="13" t="inlineStr">
        <is>
          <t>Clorotalonil Técnico</t>
        </is>
      </c>
      <c r="D976" s="14" t="inlineStr">
        <is>
          <t>Clorotalonil Técnico</t>
        </is>
      </c>
      <c r="E976" s="13" t="inlineStr">
        <is>
          <t>Produto Técnico Industrial</t>
        </is>
      </c>
      <c r="F976" s="13" t="inlineStr">
        <is>
          <t>Defensivos</t>
        </is>
      </c>
      <c r="G976" s="13" t="inlineStr">
        <is>
          <t>Produto Técnico (Fungicida) (Insumo Industrial / Técnico)</t>
        </is>
      </c>
      <c r="H976" s="13" t="inlineStr">
        <is>
          <t>TC</t>
        </is>
      </c>
      <c r="I976" s="13" t="inlineStr">
        <is>
          <t>Produto Técnico Industrial (TC)</t>
        </is>
      </c>
      <c r="J976" s="13" t="inlineStr">
        <is>
          <t>Fungicida protetor de contato multissítio (manejo anti-resistência)</t>
        </is>
      </c>
      <c r="K976" s="13" t="inlineStr">
        <is>
          <t>Isoftalonitrila</t>
        </is>
      </c>
      <c r="L976" s="13" t="inlineStr">
        <is>
          <t>FRAC Grupo M05 — Multissítio</t>
        </is>
      </c>
      <c r="M976" s="13" t="inlineStr">
        <is>
          <t>Atividade de contato multissítio (inativação de grupos tiol enzimáticos)</t>
        </is>
      </c>
      <c r="N976" s="13" t="inlineStr">
        <is>
          <t>Categoria 2 / 3 — Altamente a Moderadamente Tóxico</t>
        </is>
      </c>
      <c r="O976" s="13" t="inlineStr">
        <is>
          <t>Vermelho / Amarelo</t>
        </is>
      </c>
      <c r="P976" s="13" t="inlineStr">
        <is>
          <t>Classe II — Produto Muito Perigoso ao Meio Ambiente</t>
        </is>
      </c>
      <c r="Q976" s="15" t="n">
        <v>24</v>
      </c>
      <c r="R976" s="13" t="inlineStr">
        <is>
          <t>Terrestre / Aérea (Drones consultar bula)</t>
        </is>
      </c>
      <c r="S976" s="13" t="inlineStr">
        <is>
          <t>Sem antídoto específico; tratamento sintomático e descontaminação ocular/cutânea</t>
        </is>
      </c>
      <c r="T976" s="13" t="inlineStr">
        <is>
          <t>GB Biosciences Corporation - Endereço: Haden road, Houston, Texas, TX77015, EUA (Vinc. Reg. 21724)</t>
        </is>
      </c>
      <c r="U976" s="16">
        <f>HYPERLINK("https://agrofit.agricultura.gov.br/agrofit_cons/principal_agrofit_cons", "Consulta Oficial AGROFIT/MAPA (VINC-21724)")</f>
        <v/>
      </c>
    </row>
    <row r="977" ht="22" customHeight="1">
      <c r="A977" s="5" t="n">
        <v>972</v>
      </c>
      <c r="B977" s="6" t="inlineStr">
        <is>
          <t>VINC-21724</t>
        </is>
      </c>
      <c r="C977" s="7" t="inlineStr">
        <is>
          <t>Oxathiapiprolin Técnico</t>
        </is>
      </c>
      <c r="D977" s="8" t="inlineStr">
        <is>
          <t>Oxathiapiprolin Técnico</t>
        </is>
      </c>
      <c r="E977" s="7" t="inlineStr">
        <is>
          <t>Produto Técnico Industrial</t>
        </is>
      </c>
      <c r="F977" s="7" t="inlineStr">
        <is>
          <t>Defensivos</t>
        </is>
      </c>
      <c r="G977" s="7" t="inlineStr">
        <is>
          <t>Produto Técnico (Fungicida) (Insumo Industrial / Técnico)</t>
        </is>
      </c>
      <c r="H977" s="7" t="inlineStr">
        <is>
          <t>TC</t>
        </is>
      </c>
      <c r="I977" s="7" t="inlineStr">
        <is>
          <t>Produto Técnico Industrial (TC)</t>
        </is>
      </c>
      <c r="J977" s="7" t="inlineStr">
        <is>
          <t>Fungicida protetor de contato multissítio (manejo anti-resistência)</t>
        </is>
      </c>
      <c r="K977" s="7" t="inlineStr">
        <is>
          <t>Piperidinil-tiazol-isoxazolina</t>
        </is>
      </c>
      <c r="L977" s="7" t="inlineStr">
        <is>
          <t>FRAC Grupo 49 (F9 — OSBPI)</t>
        </is>
      </c>
      <c r="M977" s="7" t="inlineStr">
        <is>
          <t>Modulador da proteína ligante de oxisterol (OSBP) em Oomicetos</t>
        </is>
      </c>
      <c r="N977" s="7" t="inlineStr">
        <is>
          <t>Categoria 2 / 3 — Altamente a Moderadamente Tóxico</t>
        </is>
      </c>
      <c r="O977" s="7" t="inlineStr">
        <is>
          <t>Vermelho / Amarelo</t>
        </is>
      </c>
      <c r="P977" s="7" t="inlineStr">
        <is>
          <t>Classe II — Produto Muito Perigoso ao Meio Ambiente</t>
        </is>
      </c>
      <c r="Q977" s="9" t="n">
        <v>24</v>
      </c>
      <c r="R977" s="7" t="inlineStr">
        <is>
          <t>Terrestre / Aérea (Drones consultar bula)</t>
        </is>
      </c>
      <c r="S977" s="7" t="inlineStr">
        <is>
          <t>Sem antídoto específico; tratamento sintomático e descontaminação ocular/cutânea</t>
        </is>
      </c>
      <c r="T977" s="7" t="inlineStr">
        <is>
          <t>Saltigo GmbH- Leverkusen - Endereço: Operations ChemPark Leverkusen,51369 - Leverkusen - Alemanha (Vinc. Reg. 21724)</t>
        </is>
      </c>
      <c r="U977" s="10">
        <f>HYPERLINK("https://agrofit.agricultura.gov.br/agrofit_cons/principal_agrofit_cons", "Consulta Oficial AGROFIT/MAPA (VINC-21724)")</f>
        <v/>
      </c>
    </row>
    <row r="978" ht="22" customHeight="1">
      <c r="A978" s="11" t="n">
        <v>973</v>
      </c>
      <c r="B978" s="12" t="inlineStr">
        <is>
          <t>Nº 21824</t>
        </is>
      </c>
      <c r="C978" s="13" t="inlineStr">
        <is>
          <t>CLOROTALONIL NORTOX 720 SC</t>
        </is>
      </c>
      <c r="D978" s="14" t="inlineStr">
        <is>
          <t>CLOROTALONIL NORTOX</t>
        </is>
      </c>
      <c r="E978" s="13" t="inlineStr">
        <is>
          <t>Produto Formulado Comercial</t>
        </is>
      </c>
      <c r="F978" s="13" t="inlineStr">
        <is>
          <t>Defensivos</t>
        </is>
      </c>
      <c r="G978" s="13" t="inlineStr">
        <is>
          <t>Fungicida</t>
        </is>
      </c>
      <c r="H978" s="13" t="inlineStr">
        <is>
          <t>SC</t>
        </is>
      </c>
      <c r="I978" s="13" t="inlineStr">
        <is>
          <t>Suspensão Concentrada (SC)</t>
        </is>
      </c>
      <c r="J978" s="13" t="inlineStr">
        <is>
          <t>Fungicida protetor de contato multissítio (manejo anti-resistência)</t>
        </is>
      </c>
      <c r="K978" s="13" t="inlineStr">
        <is>
          <t>Isoftalonitrila</t>
        </is>
      </c>
      <c r="L978" s="13" t="inlineStr">
        <is>
          <t>FRAC Grupo M05 — Multissítio</t>
        </is>
      </c>
      <c r="M978" s="13" t="inlineStr">
        <is>
          <t>Atividade de contato multissítio (inativação de grupos tiol enzimáticos)</t>
        </is>
      </c>
      <c r="N978" s="13" t="inlineStr">
        <is>
          <t>Categoria 2 / 3 — Altamente a Moderadamente Tóxico</t>
        </is>
      </c>
      <c r="O978" s="13" t="inlineStr">
        <is>
          <t>Vermelho / Amarelo</t>
        </is>
      </c>
      <c r="P978" s="13" t="inlineStr">
        <is>
          <t>Classe II — Produto Muito Perigoso ao Meio Ambiente</t>
        </is>
      </c>
      <c r="Q978" s="15" t="n">
        <v>24</v>
      </c>
      <c r="R978" s="13" t="inlineStr">
        <is>
          <t>Terrestre / Aérea (Drones consultar bula)</t>
        </is>
      </c>
      <c r="S978" s="13" t="inlineStr">
        <is>
          <t>Sem antídoto específico; tratamento sintomático e descontaminação ocular/cutânea</t>
        </is>
      </c>
      <c r="T978" s="13" t="inlineStr">
        <is>
          <t>Nortox S.A.- Arapongas/PR</t>
        </is>
      </c>
      <c r="U978" s="16">
        <f>HYPERLINK("https://agrofit.agricultura.gov.br/agrofit_cons/principal_agrofit_cons", "Consulta Oficial AGROFIT/MAPA (Nº 21824)")</f>
        <v/>
      </c>
    </row>
    <row r="979" ht="22" customHeight="1">
      <c r="A979" s="5" t="n">
        <v>974</v>
      </c>
      <c r="B979" s="6" t="inlineStr">
        <is>
          <t>VINC-21824</t>
        </is>
      </c>
      <c r="C979" s="7" t="inlineStr">
        <is>
          <t>Clorotalonil Técnico Nortox</t>
        </is>
      </c>
      <c r="D979" s="8" t="inlineStr">
        <is>
          <t>Clorotalonil Técnico Nortox</t>
        </is>
      </c>
      <c r="E979" s="7" t="inlineStr">
        <is>
          <t>Produto Técnico Industrial</t>
        </is>
      </c>
      <c r="F979" s="7" t="inlineStr">
        <is>
          <t>Defensivos</t>
        </is>
      </c>
      <c r="G979" s="7" t="inlineStr">
        <is>
          <t>Produto Técnico (Fungicida) (Insumo Industrial / Técnico)</t>
        </is>
      </c>
      <c r="H979" s="7" t="inlineStr">
        <is>
          <t>TC</t>
        </is>
      </c>
      <c r="I979" s="7" t="inlineStr">
        <is>
          <t>Produto Técnico Industrial (TC)</t>
        </is>
      </c>
      <c r="J979" s="7" t="inlineStr">
        <is>
          <t>Fungicida protetor de contato multissítio (manejo anti-resistência)</t>
        </is>
      </c>
      <c r="K979" s="7" t="inlineStr">
        <is>
          <t>Isoftalonitrila</t>
        </is>
      </c>
      <c r="L979" s="7" t="inlineStr">
        <is>
          <t>FRAC Grupo M05 — Multissítio</t>
        </is>
      </c>
      <c r="M979" s="7" t="inlineStr">
        <is>
          <t>Atividade de contato multissítio (inativação de grupos tiol enzimáticos)</t>
        </is>
      </c>
      <c r="N979" s="7" t="inlineStr">
        <is>
          <t>Categoria 2 / 3 — Altamente a Moderadamente Tóxico</t>
        </is>
      </c>
      <c r="O979" s="7" t="inlineStr">
        <is>
          <t>Vermelho / Amarelo</t>
        </is>
      </c>
      <c r="P979" s="7" t="inlineStr">
        <is>
          <t>Classe II — Produto Muito Perigoso ao Meio Ambiente</t>
        </is>
      </c>
      <c r="Q979" s="9" t="n">
        <v>24</v>
      </c>
      <c r="R979" s="7" t="inlineStr">
        <is>
          <t>Terrestre / Aérea (Drones consultar bula)</t>
        </is>
      </c>
      <c r="S979" s="7" t="inlineStr">
        <is>
          <t>Sem antídoto específico; tratamento sintomático e descontaminação ocular/cutânea</t>
        </is>
      </c>
      <c r="T979" s="7" t="inlineStr">
        <is>
          <t>Jiangsu Weunite Fine Chemical Co., Ltd. - Endereço: Jinger Road, Industry Chemical Park, Xinyi City, 221400, Jiangsu, China. Produto Técnico(Clorotalonil Técnico Nortox II): Nome: Jiangsu Xinhe Agrochemical Co., Ltd. - Endereço: Nº 19 Xingang Road, Economic Development Zone, Xinyi City, 221400, Jiangsu, China (Vinc. Reg. 21824)</t>
        </is>
      </c>
      <c r="U979" s="10">
        <f>HYPERLINK("https://agrofit.agricultura.gov.br/agrofit_cons/principal_agrofit_cons", "Consulta Oficial AGROFIT/MAPA (VINC-21824)")</f>
        <v/>
      </c>
    </row>
    <row r="980" ht="22" customHeight="1">
      <c r="A980" s="11" t="n">
        <v>975</v>
      </c>
      <c r="B980" s="12" t="inlineStr">
        <is>
          <t>VINC-21824</t>
        </is>
      </c>
      <c r="C980" s="13" t="inlineStr">
        <is>
          <t>Clorotalonil Técnico Cropchem</t>
        </is>
      </c>
      <c r="D980" s="14" t="inlineStr">
        <is>
          <t>Clorotalonil Técnico Cropchem</t>
        </is>
      </c>
      <c r="E980" s="13" t="inlineStr">
        <is>
          <t>Produto Técnico Industrial</t>
        </is>
      </c>
      <c r="F980" s="13" t="inlineStr">
        <is>
          <t>Defensivos</t>
        </is>
      </c>
      <c r="G980" s="13" t="inlineStr">
        <is>
          <t>Produto Técnico (Fungicida) (Insumo Industrial / Técnico)</t>
        </is>
      </c>
      <c r="H980" s="13" t="inlineStr">
        <is>
          <t>TC</t>
        </is>
      </c>
      <c r="I980" s="13" t="inlineStr">
        <is>
          <t>Produto Técnico Industrial (TC)</t>
        </is>
      </c>
      <c r="J980" s="13" t="inlineStr">
        <is>
          <t>Fungicida protetor de contato multissítio (manejo anti-resistência)</t>
        </is>
      </c>
      <c r="K980" s="13" t="inlineStr">
        <is>
          <t>Isoftalonitrila</t>
        </is>
      </c>
      <c r="L980" s="13" t="inlineStr">
        <is>
          <t>FRAC Grupo M05 — Multissítio</t>
        </is>
      </c>
      <c r="M980" s="13" t="inlineStr">
        <is>
          <t>Atividade de contato multissítio (inativação de grupos tiol enzimáticos)</t>
        </is>
      </c>
      <c r="N980" s="13" t="inlineStr">
        <is>
          <t>Categoria 2 / 3 — Altamente a Moderadamente Tóxico</t>
        </is>
      </c>
      <c r="O980" s="13" t="inlineStr">
        <is>
          <t>Vermelho / Amarelo</t>
        </is>
      </c>
      <c r="P980" s="13" t="inlineStr">
        <is>
          <t>Classe II — Produto Muito Perigoso ao Meio Ambiente</t>
        </is>
      </c>
      <c r="Q980" s="15" t="n">
        <v>24</v>
      </c>
      <c r="R980" s="13" t="inlineStr">
        <is>
          <t>Terrestre / Aérea (Drones consultar bula)</t>
        </is>
      </c>
      <c r="S980" s="13" t="inlineStr">
        <is>
          <t>Sem antídoto específico; tratamento sintomático e descontaminação ocular/cutânea</t>
        </is>
      </c>
      <c r="T980" s="13" t="inlineStr">
        <is>
          <t>Jiangsu Weunite Fine Chemical Co., Ltd. - Endereço: Jinger Road, Industry Chemical Park, Xinyi City, 221400, Jiangsu, China (Vinc. Reg. 21824)</t>
        </is>
      </c>
      <c r="U980" s="16">
        <f>HYPERLINK("https://agrofit.agricultura.gov.br/agrofit_cons/principal_agrofit_cons", "Consulta Oficial AGROFIT/MAPA (VINC-21824)")</f>
        <v/>
      </c>
    </row>
    <row r="981" ht="22" customHeight="1">
      <c r="A981" s="5" t="n">
        <v>976</v>
      </c>
      <c r="B981" s="6" t="inlineStr">
        <is>
          <t>Nº 21924</t>
        </is>
      </c>
      <c r="C981" s="7" t="inlineStr">
        <is>
          <t>FRONDEO</t>
        </is>
      </c>
      <c r="D981" s="8" t="inlineStr">
        <is>
          <t>FRONDEO</t>
        </is>
      </c>
      <c r="E981" s="7" t="inlineStr">
        <is>
          <t>Produto Formulado Comercial</t>
        </is>
      </c>
      <c r="F981" s="7" t="inlineStr">
        <is>
          <t>Defensivos</t>
        </is>
      </c>
      <c r="G981" s="7" t="inlineStr">
        <is>
          <t>Inseticida</t>
        </is>
      </c>
      <c r="H981" s="7" t="inlineStr">
        <is>
          <t>SC</t>
        </is>
      </c>
      <c r="I981" s="7" t="inlineStr">
        <is>
          <t>Suspensão Concentrada (SC)</t>
        </is>
      </c>
      <c r="J981" s="7" t="inlineStr">
        <is>
          <t>Inseticida/acaricida de contato e ingestão</t>
        </is>
      </c>
      <c r="K981" s="7" t="inlineStr">
        <is>
          <t>Isoxazolina</t>
        </is>
      </c>
      <c r="L981" s="7" t="inlineStr">
        <is>
          <t>IRAC Grupo 30</t>
        </is>
      </c>
      <c r="M981" s="7" t="inlineStr">
        <is>
          <t>Moduladores alostéricos de canais de cloro mediados pelo GABA</t>
        </is>
      </c>
      <c r="N981" s="7" t="inlineStr">
        <is>
          <t>Categoria 3 / 4 — Moderadamente a Pouco Tóxico</t>
        </is>
      </c>
      <c r="O981" s="7" t="inlineStr">
        <is>
          <t>Amarelo / Azul</t>
        </is>
      </c>
      <c r="P981" s="7" t="inlineStr">
        <is>
          <t>Classe II — Produto Muito Perigoso ao Meio Ambiente</t>
        </is>
      </c>
      <c r="Q981" s="9" t="n">
        <v>24</v>
      </c>
      <c r="R981" s="7" t="inlineStr">
        <is>
          <t>Terrestre / Aérea (Drones consultar bula)</t>
        </is>
      </c>
      <c r="S981" s="7" t="inlineStr">
        <is>
          <t>Tratamento sintomático conforme grupo químico na bula</t>
        </is>
      </c>
      <c r="T981" s="7" t="inlineStr">
        <is>
          <t>Syngenta Proteção de Cultivos Ltda.- São Paulo/SP</t>
        </is>
      </c>
      <c r="U981" s="10">
        <f>HYPERLINK("https://www.syngenta.com.br/product/crop-protection/inseticida/frondeo", "Bula Oficial Frondeo (Syngenta/MAPA 21924)")</f>
        <v/>
      </c>
    </row>
    <row r="982" ht="22" customHeight="1">
      <c r="A982" s="11" t="n">
        <v>977</v>
      </c>
      <c r="B982" s="12" t="inlineStr">
        <is>
          <t>VINC-21924</t>
        </is>
      </c>
      <c r="C982" s="13" t="inlineStr">
        <is>
          <t>Isocycloseram Técnico</t>
        </is>
      </c>
      <c r="D982" s="14" t="inlineStr">
        <is>
          <t>Isocycloseram Técnico</t>
        </is>
      </c>
      <c r="E982" s="13" t="inlineStr">
        <is>
          <t>Produto Técnico Industrial</t>
        </is>
      </c>
      <c r="F982" s="13" t="inlineStr">
        <is>
          <t>Defensivos</t>
        </is>
      </c>
      <c r="G982" s="13" t="inlineStr">
        <is>
          <t>Produto Técnico (Inseticida / Acaricida) (Insumo Industrial / Técnico)</t>
        </is>
      </c>
      <c r="H982" s="13" t="inlineStr">
        <is>
          <t>TC</t>
        </is>
      </c>
      <c r="I982" s="13" t="inlineStr">
        <is>
          <t>Produto Técnico Industrial (TC)</t>
        </is>
      </c>
      <c r="J982" s="13" t="inlineStr">
        <is>
          <t>Inseticida/acaricida de contato e ingestão</t>
        </is>
      </c>
      <c r="K982" s="13" t="inlineStr">
        <is>
          <t>Isoxazolina</t>
        </is>
      </c>
      <c r="L982" s="13" t="inlineStr">
        <is>
          <t>IRAC Grupo 30</t>
        </is>
      </c>
      <c r="M982" s="13" t="inlineStr">
        <is>
          <t>Moduladores alostéricos de canais de cloro mediados pelo GABA</t>
        </is>
      </c>
      <c r="N982" s="13" t="inlineStr">
        <is>
          <t>Categoria 3 / 4 — Moderadamente a Pouco Tóxico</t>
        </is>
      </c>
      <c r="O982" s="13" t="inlineStr">
        <is>
          <t>Amarelo / Azul</t>
        </is>
      </c>
      <c r="P982" s="13" t="inlineStr">
        <is>
          <t>Classe II — Produto Muito Perigoso ao Meio Ambiente</t>
        </is>
      </c>
      <c r="Q982" s="15" t="n">
        <v>24</v>
      </c>
      <c r="R982" s="13" t="inlineStr">
        <is>
          <t>Terrestre / Aérea (Drones consultar bula)</t>
        </is>
      </c>
      <c r="S982" s="13" t="inlineStr">
        <is>
          <t>Tratamento sintomático conforme grupo químico na bula</t>
        </is>
      </c>
      <c r="T982" s="13" t="inlineStr">
        <is>
          <t>Syngenta Crop Protection Münchwilen AG - Endereço: Breitenloh 5, CH 4333, Münchwilen - Suíça (Vinc. Reg. 21924)</t>
        </is>
      </c>
      <c r="U982" s="16">
        <f>HYPERLINK("https://agrofit.agricultura.gov.br/agrofit_cons/principal_agrofit_cons", "Consulta Oficial AGROFIT/MAPA (VINC-21924)")</f>
        <v/>
      </c>
    </row>
    <row r="983" ht="22" customHeight="1">
      <c r="A983" s="5" t="n">
        <v>978</v>
      </c>
      <c r="B983" s="6" t="inlineStr">
        <is>
          <t>Nº 22024</t>
        </is>
      </c>
      <c r="C983" s="7" t="inlineStr">
        <is>
          <t>FUNGUS BVERIA</t>
        </is>
      </c>
      <c r="D983" s="8" t="inlineStr">
        <is>
          <t>FUNGUS BVERIA</t>
        </is>
      </c>
      <c r="E983" s="7" t="inlineStr">
        <is>
          <t>Produto Formulado Comercial</t>
        </is>
      </c>
      <c r="F983" s="7" t="inlineStr">
        <is>
          <t>Defensivos</t>
        </is>
      </c>
      <c r="G983" s="7" t="inlineStr">
        <is>
          <t>Inseticida</t>
        </is>
      </c>
      <c r="H983" s="7" t="inlineStr">
        <is>
          <t>WP</t>
        </is>
      </c>
      <c r="I983" s="7" t="inlineStr">
        <is>
          <t>Pó Molhável (WP)</t>
        </is>
      </c>
      <c r="J983" s="7" t="inlineStr">
        <is>
          <t>Micoinseticida e micoacaricida biológico de contato</t>
        </is>
      </c>
      <c r="K983" s="7" t="inlineStr">
        <is>
          <t>Agente Microbiológico de Controle (Fungo Entomopatogênico)</t>
        </is>
      </c>
      <c r="L983" s="7" t="inlineStr">
        <is>
          <t>IRAC Grupo UNF — Biológico Multissítio</t>
        </is>
      </c>
      <c r="M983" s="7" t="inlineStr">
        <is>
          <t>Infecção tegumentar por conídios, penetração enzimática e colonização da hemocele</t>
        </is>
      </c>
      <c r="N983" s="7" t="inlineStr">
        <is>
          <t>Categoria 5 / Não Classificado — Baixo Risco Agudo</t>
        </is>
      </c>
      <c r="O983" s="7" t="inlineStr">
        <is>
          <t>Azul Intenso</t>
        </is>
      </c>
      <c r="P983" s="7" t="inlineStr">
        <is>
          <t>Classe IV — Produto Pouco Perigoso ao Meio Ambiente</t>
        </is>
      </c>
      <c r="Q983" s="9" t="n">
        <v>24</v>
      </c>
      <c r="R983" s="7" t="inlineStr">
        <is>
          <t>Terrestre / Aérea (Drones consultar bula)</t>
        </is>
      </c>
      <c r="S983" s="7" t="inlineStr">
        <is>
          <t>Sem antídoto; tratamento sintomático em caso de hipersensibilidade/alergia</t>
        </is>
      </c>
      <c r="T983" s="7" t="inlineStr">
        <is>
          <t>Organoplant - Indústria, Comércio, Importação e Exportação de Produtos Agrícolas Ltda</t>
        </is>
      </c>
      <c r="U983" s="10">
        <f>HYPERLINK("https://agrofit.agricultura.gov.br/agrofit_cons/principal_agrofit_cons", "Consulta Oficial AGROFIT/MAPA (Nº 22024)")</f>
        <v/>
      </c>
    </row>
    <row r="984" ht="22" customHeight="1">
      <c r="A984" s="11" t="n">
        <v>979</v>
      </c>
      <c r="B984" s="12" t="inlineStr">
        <is>
          <t>Nº 22024</t>
        </is>
      </c>
      <c r="C984" s="13" t="inlineStr">
        <is>
          <t>FUNGUS BVERIA RBR</t>
        </is>
      </c>
      <c r="D984" s="14" t="inlineStr">
        <is>
          <t>FUNGUS BVERIA RBR</t>
        </is>
      </c>
      <c r="E984" s="13" t="inlineStr">
        <is>
          <t>Produto Formulado Comercial</t>
        </is>
      </c>
      <c r="F984" s="13" t="inlineStr">
        <is>
          <t>Defensivos</t>
        </is>
      </c>
      <c r="G984" s="13" t="inlineStr">
        <is>
          <t>Inseticida</t>
        </is>
      </c>
      <c r="H984" s="13" t="inlineStr">
        <is>
          <t>WP</t>
        </is>
      </c>
      <c r="I984" s="13" t="inlineStr">
        <is>
          <t>Pó Molhável (WP)</t>
        </is>
      </c>
      <c r="J984" s="13" t="inlineStr">
        <is>
          <t>Micoinseticida e micoacaricida biológico de contato</t>
        </is>
      </c>
      <c r="K984" s="13" t="inlineStr">
        <is>
          <t>Agente Microbiológico de Controle (Fungo Entomopatogênico)</t>
        </is>
      </c>
      <c r="L984" s="13" t="inlineStr">
        <is>
          <t>IRAC Grupo UNF — Biológico Multissítio</t>
        </is>
      </c>
      <c r="M984" s="13" t="inlineStr">
        <is>
          <t>Infecção tegumentar por conídios, penetração enzimática e colonização da hemocele</t>
        </is>
      </c>
      <c r="N984" s="13" t="inlineStr">
        <is>
          <t>Categoria 5 / Não Classificado — Baixo Risco Agudo</t>
        </is>
      </c>
      <c r="O984" s="13" t="inlineStr">
        <is>
          <t>Azul Intenso</t>
        </is>
      </c>
      <c r="P984" s="13" t="inlineStr">
        <is>
          <t>Classe IV — Produto Pouco Perigoso ao Meio Ambiente</t>
        </is>
      </c>
      <c r="Q984" s="15" t="n">
        <v>24</v>
      </c>
      <c r="R984" s="13" t="inlineStr">
        <is>
          <t>Terrestre / Aérea (Drones consultar bula)</t>
        </is>
      </c>
      <c r="S984" s="13" t="inlineStr">
        <is>
          <t>Sem antídoto; tratamento sintomático em caso de hipersensibilidade/alergia</t>
        </is>
      </c>
      <c r="T984" s="13" t="inlineStr">
        <is>
          <t>Organoplant - Indústria, Comércio, Importação e Exportação de Produtos Agrícolas Ltda</t>
        </is>
      </c>
      <c r="U984" s="16">
        <f>HYPERLINK("https://agrofit.agricultura.gov.br/agrofit_cons/principal_agrofit_cons", "Consulta Oficial AGROFIT/MAPA (Nº 22024)")</f>
        <v/>
      </c>
    </row>
    <row r="985" ht="22" customHeight="1">
      <c r="A985" s="5" t="n">
        <v>980</v>
      </c>
      <c r="B985" s="6" t="inlineStr">
        <is>
          <t>Nº 22024</t>
        </is>
      </c>
      <c r="C985" s="7" t="inlineStr">
        <is>
          <t>FUNGUS BVERIA INC</t>
        </is>
      </c>
      <c r="D985" s="8" t="inlineStr">
        <is>
          <t>FUNGUS BVERIA INC</t>
        </is>
      </c>
      <c r="E985" s="7" t="inlineStr">
        <is>
          <t>Produto Formulado Comercial</t>
        </is>
      </c>
      <c r="F985" s="7" t="inlineStr">
        <is>
          <t>Defensivos</t>
        </is>
      </c>
      <c r="G985" s="7" t="inlineStr">
        <is>
          <t>Inseticida</t>
        </is>
      </c>
      <c r="H985" s="7" t="inlineStr">
        <is>
          <t>WP</t>
        </is>
      </c>
      <c r="I985" s="7" t="inlineStr">
        <is>
          <t>Pó Molhável (WP)</t>
        </is>
      </c>
      <c r="J985" s="7" t="inlineStr">
        <is>
          <t>Micoinseticida e micoacaricida biológico de contato</t>
        </is>
      </c>
      <c r="K985" s="7" t="inlineStr">
        <is>
          <t>Agente Microbiológico de Controle (Fungo Entomopatogênico)</t>
        </is>
      </c>
      <c r="L985" s="7" t="inlineStr">
        <is>
          <t>IRAC Grupo UNF — Biológico Multissítio</t>
        </is>
      </c>
      <c r="M985" s="7" t="inlineStr">
        <is>
          <t>Infecção tegumentar por conídios, penetração enzimática e colonização da hemocele</t>
        </is>
      </c>
      <c r="N985" s="7" t="inlineStr">
        <is>
          <t>Categoria 5 / Não Classificado — Baixo Risco Agudo</t>
        </is>
      </c>
      <c r="O985" s="7" t="inlineStr">
        <is>
          <t>Azul Intenso</t>
        </is>
      </c>
      <c r="P985" s="7" t="inlineStr">
        <is>
          <t>Classe IV — Produto Pouco Perigoso ao Meio Ambiente</t>
        </is>
      </c>
      <c r="Q985" s="9" t="n">
        <v>24</v>
      </c>
      <c r="R985" s="7" t="inlineStr">
        <is>
          <t>Terrestre / Aérea (Drones consultar bula)</t>
        </is>
      </c>
      <c r="S985" s="7" t="inlineStr">
        <is>
          <t>Sem antídoto; tratamento sintomático em caso de hipersensibilidade/alergia</t>
        </is>
      </c>
      <c r="T985" s="7" t="inlineStr">
        <is>
          <t>Organoplant - Indústria, Comércio, Importação e Exportação de Produtos Agrícolas Ltda</t>
        </is>
      </c>
      <c r="U985" s="10">
        <f>HYPERLINK("https://agrofit.agricultura.gov.br/agrofit_cons/principal_agrofit_cons", "Consulta Oficial AGROFIT/MAPA (Nº 22024)")</f>
        <v/>
      </c>
    </row>
    <row r="986" ht="22" customHeight="1">
      <c r="A986" s="11" t="n">
        <v>981</v>
      </c>
      <c r="B986" s="12" t="inlineStr">
        <is>
          <t>Nº 22024</t>
        </is>
      </c>
      <c r="C986" s="13" t="inlineStr">
        <is>
          <t>FUNGUS BVERIA MAX</t>
        </is>
      </c>
      <c r="D986" s="14" t="inlineStr">
        <is>
          <t>FUNGUS BVERIA MAX</t>
        </is>
      </c>
      <c r="E986" s="13" t="inlineStr">
        <is>
          <t>Produto Formulado Comercial</t>
        </is>
      </c>
      <c r="F986" s="13" t="inlineStr">
        <is>
          <t>Defensivos</t>
        </is>
      </c>
      <c r="G986" s="13" t="inlineStr">
        <is>
          <t>Inseticida</t>
        </is>
      </c>
      <c r="H986" s="13" t="inlineStr">
        <is>
          <t>WP</t>
        </is>
      </c>
      <c r="I986" s="13" t="inlineStr">
        <is>
          <t>Pó Molhável (WP)</t>
        </is>
      </c>
      <c r="J986" s="13" t="inlineStr">
        <is>
          <t>Micoinseticida e micoacaricida biológico de contato</t>
        </is>
      </c>
      <c r="K986" s="13" t="inlineStr">
        <is>
          <t>Agente Microbiológico de Controle (Fungo Entomopatogênico)</t>
        </is>
      </c>
      <c r="L986" s="13" t="inlineStr">
        <is>
          <t>IRAC Grupo UNF — Biológico Multissítio</t>
        </is>
      </c>
      <c r="M986" s="13" t="inlineStr">
        <is>
          <t>Infecção tegumentar por conídios, penetração enzimática e colonização da hemocele</t>
        </is>
      </c>
      <c r="N986" s="13" t="inlineStr">
        <is>
          <t>Categoria 5 / Não Classificado — Baixo Risco Agudo</t>
        </is>
      </c>
      <c r="O986" s="13" t="inlineStr">
        <is>
          <t>Azul Intenso</t>
        </is>
      </c>
      <c r="P986" s="13" t="inlineStr">
        <is>
          <t>Classe IV — Produto Pouco Perigoso ao Meio Ambiente</t>
        </is>
      </c>
      <c r="Q986" s="15" t="n">
        <v>24</v>
      </c>
      <c r="R986" s="13" t="inlineStr">
        <is>
          <t>Terrestre / Aérea (Drones consultar bula)</t>
        </is>
      </c>
      <c r="S986" s="13" t="inlineStr">
        <is>
          <t>Sem antídoto; tratamento sintomático em caso de hipersensibilidade/alergia</t>
        </is>
      </c>
      <c r="T986" s="13" t="inlineStr">
        <is>
          <t>Organoplant - Indústria, Comércio, Importação e Exportação de Produtos Agrícolas Ltda</t>
        </is>
      </c>
      <c r="U986" s="16">
        <f>HYPERLINK("https://agrofit.agricultura.gov.br/agrofit_cons/principal_agrofit_cons", "Consulta Oficial AGROFIT/MAPA (Nº 22024)")</f>
        <v/>
      </c>
    </row>
    <row r="987" ht="22" customHeight="1">
      <c r="A987" s="5" t="n">
        <v>982</v>
      </c>
      <c r="B987" s="6" t="inlineStr">
        <is>
          <t>Nº 22024</t>
        </is>
      </c>
      <c r="C987" s="7" t="inlineStr">
        <is>
          <t>FUNGUS BVERIA OGN</t>
        </is>
      </c>
      <c r="D987" s="8" t="inlineStr">
        <is>
          <t>FUNGUS BVERIA OGN</t>
        </is>
      </c>
      <c r="E987" s="7" t="inlineStr">
        <is>
          <t>Produto Formulado Comercial</t>
        </is>
      </c>
      <c r="F987" s="7" t="inlineStr">
        <is>
          <t>Defensivos</t>
        </is>
      </c>
      <c r="G987" s="7" t="inlineStr">
        <is>
          <t>Inseticida</t>
        </is>
      </c>
      <c r="H987" s="7" t="inlineStr">
        <is>
          <t>WP</t>
        </is>
      </c>
      <c r="I987" s="7" t="inlineStr">
        <is>
          <t>Pó Molhável (WP)</t>
        </is>
      </c>
      <c r="J987" s="7" t="inlineStr">
        <is>
          <t>Micoinseticida e micoacaricida biológico de contato</t>
        </is>
      </c>
      <c r="K987" s="7" t="inlineStr">
        <is>
          <t>Agente Microbiológico de Controle (Fungo Entomopatogênico)</t>
        </is>
      </c>
      <c r="L987" s="7" t="inlineStr">
        <is>
          <t>IRAC Grupo UNF — Biológico Multissítio</t>
        </is>
      </c>
      <c r="M987" s="7" t="inlineStr">
        <is>
          <t>Infecção tegumentar por conídios, penetração enzimática e colonização da hemocele</t>
        </is>
      </c>
      <c r="N987" s="7" t="inlineStr">
        <is>
          <t>Categoria 5 / Não Classificado — Baixo Risco Agudo</t>
        </is>
      </c>
      <c r="O987" s="7" t="inlineStr">
        <is>
          <t>Azul Intenso</t>
        </is>
      </c>
      <c r="P987" s="7" t="inlineStr">
        <is>
          <t>Classe IV — Produto Pouco Perigoso ao Meio Ambiente</t>
        </is>
      </c>
      <c r="Q987" s="9" t="n">
        <v>24</v>
      </c>
      <c r="R987" s="7" t="inlineStr">
        <is>
          <t>Terrestre / Aérea (Drones consultar bula)</t>
        </is>
      </c>
      <c r="S987" s="7" t="inlineStr">
        <is>
          <t>Sem antídoto; tratamento sintomático em caso de hipersensibilidade/alergia</t>
        </is>
      </c>
      <c r="T987" s="7" t="inlineStr">
        <is>
          <t>Organoplant - Indústria, Comércio, Importação e Exportação de Produtos Agrícolas Ltda</t>
        </is>
      </c>
      <c r="U987" s="10">
        <f>HYPERLINK("https://agrofit.agricultura.gov.br/agrofit_cons/principal_agrofit_cons", "Consulta Oficial AGROFIT/MAPA (Nº 22024)")</f>
        <v/>
      </c>
    </row>
    <row r="988" ht="22" customHeight="1">
      <c r="A988" s="11" t="n">
        <v>983</v>
      </c>
      <c r="B988" s="12" t="inlineStr">
        <is>
          <t>Nº 22024</t>
        </is>
      </c>
      <c r="C988" s="13" t="inlineStr">
        <is>
          <t>FUNGUS BVERIA GOLD</t>
        </is>
      </c>
      <c r="D988" s="14" t="inlineStr">
        <is>
          <t>FUNGUS BVERIA GOLD</t>
        </is>
      </c>
      <c r="E988" s="13" t="inlineStr">
        <is>
          <t>Produto Formulado Comercial</t>
        </is>
      </c>
      <c r="F988" s="13" t="inlineStr">
        <is>
          <t>Defensivos</t>
        </is>
      </c>
      <c r="G988" s="13" t="inlineStr">
        <is>
          <t>Inseticida</t>
        </is>
      </c>
      <c r="H988" s="13" t="inlineStr">
        <is>
          <t>WP</t>
        </is>
      </c>
      <c r="I988" s="13" t="inlineStr">
        <is>
          <t>Pó Molhável (WP)</t>
        </is>
      </c>
      <c r="J988" s="13" t="inlineStr">
        <is>
          <t>Micoinseticida e micoacaricida biológico de contato</t>
        </is>
      </c>
      <c r="K988" s="13" t="inlineStr">
        <is>
          <t>Agente Microbiológico de Controle (Fungo Entomopatogênico)</t>
        </is>
      </c>
      <c r="L988" s="13" t="inlineStr">
        <is>
          <t>IRAC Grupo UNF — Biológico Multissítio</t>
        </is>
      </c>
      <c r="M988" s="13" t="inlineStr">
        <is>
          <t>Infecção tegumentar por conídios, penetração enzimática e colonização da hemocele</t>
        </is>
      </c>
      <c r="N988" s="13" t="inlineStr">
        <is>
          <t>Categoria 5 / Não Classificado — Baixo Risco Agudo</t>
        </is>
      </c>
      <c r="O988" s="13" t="inlineStr">
        <is>
          <t>Azul Intenso</t>
        </is>
      </c>
      <c r="P988" s="13" t="inlineStr">
        <is>
          <t>Classe IV — Produto Pouco Perigoso ao Meio Ambiente</t>
        </is>
      </c>
      <c r="Q988" s="15" t="n">
        <v>24</v>
      </c>
      <c r="R988" s="13" t="inlineStr">
        <is>
          <t>Terrestre / Aérea (Drones consultar bula)</t>
        </is>
      </c>
      <c r="S988" s="13" t="inlineStr">
        <is>
          <t>Sem antídoto; tratamento sintomático em caso de hipersensibilidade/alergia</t>
        </is>
      </c>
      <c r="T988" s="13" t="inlineStr">
        <is>
          <t>Organoplant - Indústria, Comércio, Importação e Exportação de Produtos Agrícolas Ltda</t>
        </is>
      </c>
      <c r="U988" s="16">
        <f>HYPERLINK("https://agrofit.agricultura.gov.br/agrofit_cons/principal_agrofit_cons", "Consulta Oficial AGROFIT/MAPA (Nº 22024)")</f>
        <v/>
      </c>
    </row>
    <row r="989" ht="22" customHeight="1">
      <c r="A989" s="5" t="n">
        <v>984</v>
      </c>
      <c r="B989" s="6" t="inlineStr">
        <is>
          <t>Nº 02801</t>
        </is>
      </c>
      <c r="C989" s="7" t="inlineStr">
        <is>
          <t>2,4-D AGRITEC</t>
        </is>
      </c>
      <c r="D989" s="8" t="inlineStr">
        <is>
          <t>2,4-D AGRITEC</t>
        </is>
      </c>
      <c r="E989" s="7" t="inlineStr">
        <is>
          <t>Produto Formulado Comercial</t>
        </is>
      </c>
      <c r="F989" s="7" t="inlineStr">
        <is>
          <t>Defensivos</t>
        </is>
      </c>
      <c r="G989" s="7" t="inlineStr">
        <is>
          <t>Herbicida</t>
        </is>
      </c>
      <c r="H989" s="7" t="inlineStr">
        <is>
          <t>SL</t>
        </is>
      </c>
      <c r="I989" s="7" t="inlineStr">
        <is>
          <t>Concentrado Solúvel (SL)</t>
        </is>
      </c>
      <c r="J989" s="7" t="inlineStr">
        <is>
          <t>Herbicida sistêmico seletivo de pós-emergência para folhas largas</t>
        </is>
      </c>
      <c r="K989" s="7" t="inlineStr">
        <is>
          <t>Ácido ariloxialcanoico</t>
        </is>
      </c>
      <c r="L989" s="7" t="inlineStr">
        <is>
          <t>HRAC Grupo O (4) — Auxinas Sintéticas</t>
        </is>
      </c>
      <c r="M989" s="7" t="inlineStr">
        <is>
          <t>Mimetizadores da auxina (ácido indolacético - AIA)</t>
        </is>
      </c>
      <c r="N989" s="7" t="inlineStr">
        <is>
          <t>Categoria 4 — Produto Pouco Tóxico</t>
        </is>
      </c>
      <c r="O989" s="7" t="inlineStr">
        <is>
          <t>Azul PMS Blue 293 C</t>
        </is>
      </c>
      <c r="P989" s="7" t="inlineStr">
        <is>
          <t>Classe III — Produto Perigoso ao Meio Ambiente</t>
        </is>
      </c>
      <c r="Q989" s="9" t="n">
        <v>24</v>
      </c>
      <c r="R989" s="7" t="inlineStr">
        <is>
          <t>Terrestre / Aérea (Drones consultar bula)</t>
        </is>
      </c>
      <c r="S989" s="7" t="inlineStr">
        <is>
          <t>Sem antídoto específico; alcalinização urinária e suporte sintomático</t>
        </is>
      </c>
      <c r="T989" s="7" t="inlineStr">
        <is>
          <t>Agritec S.A. / Inclusão Formulador Ato 38/2026</t>
        </is>
      </c>
      <c r="U989" s="10">
        <f>HYPERLINK("https://agrofit.agricultura.gov.br/agrofit_cons/principal_agrofit_cons", "Consulta Oficial AGROFIT/MAPA (Nº 02801)")</f>
        <v/>
      </c>
    </row>
    <row r="990" ht="22" customHeight="1">
      <c r="A990" s="11" t="n">
        <v>985</v>
      </c>
      <c r="B990" s="12" t="inlineStr">
        <is>
          <t>Nº 2500</t>
        </is>
      </c>
      <c r="C990" s="13" t="inlineStr">
        <is>
          <t>PILARSATO</t>
        </is>
      </c>
      <c r="D990" s="14" t="inlineStr">
        <is>
          <t>PILARSATO</t>
        </is>
      </c>
      <c r="E990" s="13" t="inlineStr">
        <is>
          <t>Produto Formulado Comercial</t>
        </is>
      </c>
      <c r="F990" s="13" t="inlineStr">
        <is>
          <t>Defensivos</t>
        </is>
      </c>
      <c r="G990" s="13" t="inlineStr">
        <is>
          <t>Herbicida</t>
        </is>
      </c>
      <c r="H990" s="13" t="inlineStr">
        <is>
          <t>SL</t>
        </is>
      </c>
      <c r="I990" s="13" t="inlineStr">
        <is>
          <t>Concentrado Solúvel (SL)</t>
        </is>
      </c>
      <c r="J990" s="13" t="inlineStr">
        <is>
          <t>Herbicida sistêmico de pós-emergência (seletivo condicional p/ OGM)</t>
        </is>
      </c>
      <c r="K990" s="13" t="inlineStr">
        <is>
          <t>Glicina substituída</t>
        </is>
      </c>
      <c r="L990" s="13" t="inlineStr">
        <is>
          <t>HRAC Grupo G (9) — Inibidores da EPSPs</t>
        </is>
      </c>
      <c r="M990" s="13" t="inlineStr">
        <is>
          <t>Inibidores da enzima EPSPs (Enoil Piruvil Shiquimato Fosfato Sintase)</t>
        </is>
      </c>
      <c r="N990" s="13" t="inlineStr">
        <is>
          <t>Categoria 5 — Produto Improvável de Causar Dano Agudo</t>
        </is>
      </c>
      <c r="O990" s="13" t="inlineStr">
        <is>
          <t>Azul Intenso</t>
        </is>
      </c>
      <c r="P990" s="13" t="inlineStr">
        <is>
          <t>Classe III / IV — Perigoso a Pouco Perigoso ao Meio Ambiente</t>
        </is>
      </c>
      <c r="Q990" s="15" t="n">
        <v>24</v>
      </c>
      <c r="R990" s="13" t="inlineStr">
        <is>
          <t>Terrestre / Aérea (Drones consultar bula)</t>
        </is>
      </c>
      <c r="S990" s="13" t="inlineStr">
        <is>
          <t>Sem antídoto específico (Atropina ineficaz); tratamento sintomático</t>
        </is>
      </c>
      <c r="T990" s="13" t="inlineStr">
        <is>
          <t>Pilarquim Br Comercial Ltda.</t>
        </is>
      </c>
      <c r="U990" s="16">
        <f>HYPERLINK("https://agrofit.agricultura.gov.br/agrofit_cons/principal_agrofit_cons", "Consulta Oficial AGROFIT/MAPA (Nº 2500)")</f>
        <v/>
      </c>
    </row>
    <row r="991" ht="22" customHeight="1">
      <c r="A991" s="5" t="n">
        <v>986</v>
      </c>
      <c r="B991" s="6" t="inlineStr">
        <is>
          <t>Nº 14308</t>
        </is>
      </c>
      <c r="C991" s="7" t="inlineStr">
        <is>
          <t>SUMÔ</t>
        </is>
      </c>
      <c r="D991" s="8" t="inlineStr">
        <is>
          <t>SUMÔ</t>
        </is>
      </c>
      <c r="E991" s="7" t="inlineStr">
        <is>
          <t>Produto Formulado Comercial</t>
        </is>
      </c>
      <c r="F991" s="7" t="inlineStr">
        <is>
          <t>Defensivos</t>
        </is>
      </c>
      <c r="G991" s="7" t="inlineStr">
        <is>
          <t>Herbicida</t>
        </is>
      </c>
      <c r="H991" s="7" t="inlineStr">
        <is>
          <t>SC</t>
        </is>
      </c>
      <c r="I991" s="7" t="inlineStr">
        <is>
          <t>Suspensão Concentrada (SC)</t>
        </is>
      </c>
      <c r="J991" s="7" t="inlineStr">
        <is>
          <t>Herbicida seletivo de contato e residual (pré e pós-emergência inicial)</t>
        </is>
      </c>
      <c r="K991" s="7" t="inlineStr">
        <is>
          <t>Imidazolinona</t>
        </is>
      </c>
      <c r="L991" s="7" t="inlineStr">
        <is>
          <t>HRAC Grupo B (2) — Inibidores da ALS</t>
        </is>
      </c>
      <c r="M991" s="7" t="inlineStr">
        <is>
          <t>Inibição da enzima acetolactato sintase (ALS / AHAS)</t>
        </is>
      </c>
      <c r="N991" s="7" t="inlineStr">
        <is>
          <t>Categoria 4 / 5 — Pouco Tóxico</t>
        </is>
      </c>
      <c r="O991" s="7" t="inlineStr">
        <is>
          <t>Azul Intenso</t>
        </is>
      </c>
      <c r="P991" s="7" t="inlineStr">
        <is>
          <t>Classe II — Produto Muito Perigoso ao Meio Ambiente</t>
        </is>
      </c>
      <c r="Q991" s="9" t="n">
        <v>24</v>
      </c>
      <c r="R991" s="7" t="inlineStr">
        <is>
          <t>Terrestre / Aérea (Drones consultar bula)</t>
        </is>
      </c>
      <c r="S991" s="7" t="inlineStr">
        <is>
          <t>Sem antídoto específico; tratamento sintomático</t>
        </is>
      </c>
      <c r="T991" s="7" t="inlineStr">
        <is>
          <t>Iharabras S.A. Indústrias Químicas</t>
        </is>
      </c>
      <c r="U991" s="10">
        <f>HYPERLINK("https://www.adapar.pr.gov.br/Pagina/Agrotoxicos-Herbicidas", "Bula Oficial Sumô SC (Iharabras - MAPA 14308)")</f>
        <v/>
      </c>
    </row>
    <row r="992" ht="22" customHeight="1">
      <c r="A992" s="11" t="n">
        <v>987</v>
      </c>
      <c r="B992" s="12" t="inlineStr">
        <is>
          <t>Nº 0314</t>
        </is>
      </c>
      <c r="C992" s="13" t="inlineStr">
        <is>
          <t>2,4-D TÉCNICO SWR AGROIMPORT</t>
        </is>
      </c>
      <c r="D992" s="14" t="inlineStr">
        <is>
          <t>2,4-D TÉCNICO SWR AGROIMPORT</t>
        </is>
      </c>
      <c r="E992" s="13" t="inlineStr">
        <is>
          <t>Produto Técnico Industrial</t>
        </is>
      </c>
      <c r="F992" s="13" t="inlineStr">
        <is>
          <t>Defensivos</t>
        </is>
      </c>
      <c r="G992" s="13" t="inlineStr">
        <is>
          <t>Produto Técnico (Herbicida) (Insumo Industrial / Técnico)</t>
        </is>
      </c>
      <c r="H992" s="13" t="inlineStr">
        <is>
          <t>TC</t>
        </is>
      </c>
      <c r="I992" s="13" t="inlineStr">
        <is>
          <t>Produto Técnico Industrial (TC)</t>
        </is>
      </c>
      <c r="J992" s="13" t="inlineStr">
        <is>
          <t>Herbicida sistêmico seletivo de pós-emergência para folhas largas</t>
        </is>
      </c>
      <c r="K992" s="13" t="inlineStr">
        <is>
          <t>Ácido ariloxialcanoico</t>
        </is>
      </c>
      <c r="L992" s="13" t="inlineStr">
        <is>
          <t>HRAC Grupo O (4) — Auxinas Sintéticas</t>
        </is>
      </c>
      <c r="M992" s="13" t="inlineStr">
        <is>
          <t>Mimetizadores de auxina sintética</t>
        </is>
      </c>
      <c r="N992" s="13" t="inlineStr">
        <is>
          <t>Categoria 4 — Produto Pouco Tóxico</t>
        </is>
      </c>
      <c r="O992" s="13" t="inlineStr">
        <is>
          <t>Azul PMS Blue 293 C</t>
        </is>
      </c>
      <c r="P992" s="13" t="inlineStr">
        <is>
          <t>Classe III — Produto Perigoso ao Meio Ambiente</t>
        </is>
      </c>
      <c r="Q992" s="15" t="n">
        <v>24</v>
      </c>
      <c r="R992" s="13" t="inlineStr">
        <is>
          <t>Terrestre / Aérea (Drones consultar bula)</t>
        </is>
      </c>
      <c r="S992" s="13" t="inlineStr">
        <is>
          <t>Sem antídoto específico; alcalinização urinária e suporte sintomático</t>
        </is>
      </c>
      <c r="T992" s="13" t="inlineStr">
        <is>
          <t>Agroimport do Brasil Ltda.</t>
        </is>
      </c>
      <c r="U992" s="16">
        <f>HYPERLINK("https://agrofit.agricultura.gov.br/agrofit_cons/principal_agrofit_cons", "Consulta Oficial AGROFIT/MAPA (Nº 0314)")</f>
        <v/>
      </c>
    </row>
    <row r="993" ht="22" customHeight="1">
      <c r="A993" s="5" t="n">
        <v>988</v>
      </c>
      <c r="B993" s="6" t="inlineStr">
        <is>
          <t>Nº 10618</t>
        </is>
      </c>
      <c r="C993" s="7" t="inlineStr">
        <is>
          <t>2,4-D TÉCNICO AGROIMPORT</t>
        </is>
      </c>
      <c r="D993" s="8" t="inlineStr">
        <is>
          <t>2,4-D TÉCNICO AGROIMPORT</t>
        </is>
      </c>
      <c r="E993" s="7" t="inlineStr">
        <is>
          <t>Produto Técnico Industrial</t>
        </is>
      </c>
      <c r="F993" s="7" t="inlineStr">
        <is>
          <t>Defensivos</t>
        </is>
      </c>
      <c r="G993" s="7" t="inlineStr">
        <is>
          <t>Produto Técnico (Herbicida) (Insumo Industrial / Técnico)</t>
        </is>
      </c>
      <c r="H993" s="7" t="inlineStr">
        <is>
          <t>TC</t>
        </is>
      </c>
      <c r="I993" s="7" t="inlineStr">
        <is>
          <t>Produto Técnico Industrial (TC)</t>
        </is>
      </c>
      <c r="J993" s="7" t="inlineStr">
        <is>
          <t>Herbicida sistêmico seletivo de pós-emergência para folhas largas</t>
        </is>
      </c>
      <c r="K993" s="7" t="inlineStr">
        <is>
          <t>Ácido ariloxialcanoico</t>
        </is>
      </c>
      <c r="L993" s="7" t="inlineStr">
        <is>
          <t>HRAC Grupo O (4) — Auxinas Sintéticas</t>
        </is>
      </c>
      <c r="M993" s="7" t="inlineStr">
        <is>
          <t>Mimetizadores de auxina sintética</t>
        </is>
      </c>
      <c r="N993" s="7" t="inlineStr">
        <is>
          <t>Categoria 4 — Produto Pouco Tóxico</t>
        </is>
      </c>
      <c r="O993" s="7" t="inlineStr">
        <is>
          <t>Azul PMS Blue 293 C</t>
        </is>
      </c>
      <c r="P993" s="7" t="inlineStr">
        <is>
          <t>Classe III — Produto Perigoso ao Meio Ambiente</t>
        </is>
      </c>
      <c r="Q993" s="9" t="n">
        <v>24</v>
      </c>
      <c r="R993" s="7" t="inlineStr">
        <is>
          <t>Terrestre / Aérea (Drones consultar bula)</t>
        </is>
      </c>
      <c r="S993" s="7" t="inlineStr">
        <is>
          <t>Sem antídoto específico; alcalinização urinária e suporte sintomático</t>
        </is>
      </c>
      <c r="T993" s="7" t="inlineStr">
        <is>
          <t>Agroimport do Brasil Ltda.</t>
        </is>
      </c>
      <c r="U993" s="10">
        <f>HYPERLINK("https://agrofit.agricultura.gov.br/agrofit_cons/principal_agrofit_cons", "Consulta Oficial AGROFIT/MAPA (Nº 10618)")</f>
        <v/>
      </c>
    </row>
    <row r="994" ht="22" customHeight="1">
      <c r="A994" s="11" t="n">
        <v>989</v>
      </c>
      <c r="B994" s="12" t="inlineStr">
        <is>
          <t>Nº 18816</t>
        </is>
      </c>
      <c r="C994" s="13" t="inlineStr">
        <is>
          <t>GLIFOSATO G TÉCNICO AGROIMPORT</t>
        </is>
      </c>
      <c r="D994" s="14" t="inlineStr">
        <is>
          <t>GLIFOSATO G TÉCNICO AGROIMPORT</t>
        </is>
      </c>
      <c r="E994" s="13" t="inlineStr">
        <is>
          <t>Produto Técnico Industrial</t>
        </is>
      </c>
      <c r="F994" s="13" t="inlineStr">
        <is>
          <t>Defensivos</t>
        </is>
      </c>
      <c r="G994" s="13" t="inlineStr">
        <is>
          <t>Produto Técnico (Herbicida) (Insumo Industrial / Técnico)</t>
        </is>
      </c>
      <c r="H994" s="13" t="inlineStr">
        <is>
          <t>TC</t>
        </is>
      </c>
      <c r="I994" s="13" t="inlineStr">
        <is>
          <t>Produto Técnico Industrial (TC)</t>
        </is>
      </c>
      <c r="J994" s="13" t="inlineStr">
        <is>
          <t>Herbicida sistêmico de pós-emergência (seletivo condicional p/ OGM)</t>
        </is>
      </c>
      <c r="K994" s="13" t="inlineStr">
        <is>
          <t>Glicina substituída</t>
        </is>
      </c>
      <c r="L994" s="13" t="inlineStr">
        <is>
          <t>HRAC Grupo G (EPSPs)</t>
        </is>
      </c>
      <c r="M994" s="13" t="inlineStr">
        <is>
          <t>Inibidores da enzima EPSPs (Enoil Piruvil Shiquimato Fosfato Sintase)</t>
        </is>
      </c>
      <c r="N994" s="13" t="inlineStr">
        <is>
          <t>Categoria 5 — Produto Improvável de Causar Dano Agudo</t>
        </is>
      </c>
      <c r="O994" s="13" t="inlineStr">
        <is>
          <t>Azul Intenso</t>
        </is>
      </c>
      <c r="P994" s="13" t="inlineStr">
        <is>
          <t>Classe III / IV — Perigoso a Pouco Perigoso ao Meio Ambiente</t>
        </is>
      </c>
      <c r="Q994" s="15" t="n">
        <v>24</v>
      </c>
      <c r="R994" s="13" t="inlineStr">
        <is>
          <t>Terrestre / Aérea (Drones consultar bula)</t>
        </is>
      </c>
      <c r="S994" s="13" t="inlineStr">
        <is>
          <t>Sem antídoto específico (Atropina ineficaz); tratamento sintomático</t>
        </is>
      </c>
      <c r="T994" s="13" t="inlineStr">
        <is>
          <t>Agroimport do Brasil Ltda.</t>
        </is>
      </c>
      <c r="U994" s="16">
        <f>HYPERLINK("https://agrofit.agricultura.gov.br/agrofit_cons/principal_agrofit_cons", "Consulta Oficial AGROFIT/MAPA (Nº 18816)")</f>
        <v/>
      </c>
    </row>
    <row r="995" ht="22" customHeight="1">
      <c r="A995" s="5" t="n">
        <v>990</v>
      </c>
      <c r="B995" s="6" t="inlineStr">
        <is>
          <t>Nº 12515</t>
        </is>
      </c>
      <c r="C995" s="7" t="inlineStr">
        <is>
          <t>GLIFOSATO TÉCNICO SWR AGROIMPORT</t>
        </is>
      </c>
      <c r="D995" s="8" t="inlineStr">
        <is>
          <t>GLIFOSATO TÉCNICO SWR AGROIMPORT</t>
        </is>
      </c>
      <c r="E995" s="7" t="inlineStr">
        <is>
          <t>Produto Técnico Industrial</t>
        </is>
      </c>
      <c r="F995" s="7" t="inlineStr">
        <is>
          <t>Defensivos</t>
        </is>
      </c>
      <c r="G995" s="7" t="inlineStr">
        <is>
          <t>Produto Técnico (Herbicida) (Insumo Industrial / Técnico)</t>
        </is>
      </c>
      <c r="H995" s="7" t="inlineStr">
        <is>
          <t>TC</t>
        </is>
      </c>
      <c r="I995" s="7" t="inlineStr">
        <is>
          <t>Produto Técnico Industrial (TC)</t>
        </is>
      </c>
      <c r="J995" s="7" t="inlineStr">
        <is>
          <t>Herbicida sistêmico de pós-emergência (seletivo condicional p/ OGM)</t>
        </is>
      </c>
      <c r="K995" s="7" t="inlineStr">
        <is>
          <t>Glicina substituída</t>
        </is>
      </c>
      <c r="L995" s="7" t="inlineStr">
        <is>
          <t>HRAC Grupo G (EPSPs)</t>
        </is>
      </c>
      <c r="M995" s="7" t="inlineStr">
        <is>
          <t>Inibidores da enzima EPSPs (Enoil Piruvil Shiquimato Fosfato Sintase)</t>
        </is>
      </c>
      <c r="N995" s="7" t="inlineStr">
        <is>
          <t>Categoria 5 — Produto Improvável de Causar Dano Agudo</t>
        </is>
      </c>
      <c r="O995" s="7" t="inlineStr">
        <is>
          <t>Azul Intenso</t>
        </is>
      </c>
      <c r="P995" s="7" t="inlineStr">
        <is>
          <t>Classe III / IV — Perigoso a Pouco Perigoso ao Meio Ambiente</t>
        </is>
      </c>
      <c r="Q995" s="9" t="n">
        <v>24</v>
      </c>
      <c r="R995" s="7" t="inlineStr">
        <is>
          <t>Terrestre / Aérea (Drones consultar bula)</t>
        </is>
      </c>
      <c r="S995" s="7" t="inlineStr">
        <is>
          <t>Sem antídoto específico (Atropina ineficaz); tratamento sintomático</t>
        </is>
      </c>
      <c r="T995" s="7" t="inlineStr">
        <is>
          <t>Agroimport do Brasil Ltda.</t>
        </is>
      </c>
      <c r="U995" s="10">
        <f>HYPERLINK("https://agrofit.agricultura.gov.br/agrofit_cons/principal_agrofit_cons", "Consulta Oficial AGROFIT/MAPA (Nº 12515)")</f>
        <v/>
      </c>
    </row>
    <row r="996" ht="22" customHeight="1">
      <c r="A996" s="11" t="n">
        <v>991</v>
      </c>
      <c r="B996" s="12" t="inlineStr">
        <is>
          <t>Nº 10714</t>
        </is>
      </c>
      <c r="C996" s="13" t="inlineStr">
        <is>
          <t>MEGASATO TÉCNICO</t>
        </is>
      </c>
      <c r="D996" s="14" t="inlineStr">
        <is>
          <t>MEGASATO TÉCNICO</t>
        </is>
      </c>
      <c r="E996" s="13" t="inlineStr">
        <is>
          <t>Produto Técnico Industrial</t>
        </is>
      </c>
      <c r="F996" s="13" t="inlineStr">
        <is>
          <t>Defensivos</t>
        </is>
      </c>
      <c r="G996" s="13" t="inlineStr">
        <is>
          <t>Produto Técnico (Herbicida) (Insumo Industrial / Técnico)</t>
        </is>
      </c>
      <c r="H996" s="13" t="inlineStr">
        <is>
          <t>TC</t>
        </is>
      </c>
      <c r="I996" s="13" t="inlineStr">
        <is>
          <t>Produto Técnico Industrial (TC)</t>
        </is>
      </c>
      <c r="J996" s="13" t="inlineStr">
        <is>
          <t>Herbicida sistêmico de pós-emergência (seletivo condicional p/ OGM)</t>
        </is>
      </c>
      <c r="K996" s="13" t="inlineStr">
        <is>
          <t>Glicina substituída</t>
        </is>
      </c>
      <c r="L996" s="13" t="inlineStr">
        <is>
          <t>HRAC Grupo G (EPSPs)</t>
        </is>
      </c>
      <c r="M996" s="13" t="inlineStr">
        <is>
          <t>Inibidores da enzima EPSPs (Enoil Piruvil Shiquimato Fosfato Sintase)</t>
        </is>
      </c>
      <c r="N996" s="13" t="inlineStr">
        <is>
          <t>Categoria 5 — Produto Improvável de Causar Dano Agudo</t>
        </is>
      </c>
      <c r="O996" s="13" t="inlineStr">
        <is>
          <t>Azul Intenso</t>
        </is>
      </c>
      <c r="P996" s="13" t="inlineStr">
        <is>
          <t>Classe III / IV — Perigoso a Pouco Perigoso ao Meio Ambiente</t>
        </is>
      </c>
      <c r="Q996" s="15" t="n">
        <v>24</v>
      </c>
      <c r="R996" s="13" t="inlineStr">
        <is>
          <t>Terrestre / Aérea (Drones consultar bula)</t>
        </is>
      </c>
      <c r="S996" s="13" t="inlineStr">
        <is>
          <t>Sem antídoto específico (Atropina ineficaz); tratamento sintomático</t>
        </is>
      </c>
      <c r="T996" s="13" t="inlineStr">
        <is>
          <t>Megabrasil Química Ltda.</t>
        </is>
      </c>
      <c r="U996" s="16">
        <f>HYPERLINK("https://agrofit.agricultura.gov.br/agrofit_cons/principal_agrofit_cons", "Consulta Oficial AGROFIT/MAPA (Nº 10714)")</f>
        <v/>
      </c>
    </row>
    <row r="997" ht="22" customHeight="1">
      <c r="A997" s="5" t="n">
        <v>992</v>
      </c>
      <c r="B997" s="6" t="inlineStr">
        <is>
          <t>TC08623</t>
        </is>
      </c>
      <c r="C997" s="7" t="inlineStr">
        <is>
          <t>2,4-D TÉCNICO ALBAUGH 02 HF</t>
        </is>
      </c>
      <c r="D997" s="8" t="inlineStr">
        <is>
          <t>2,4-D TÉCNICO ALBAUGH 02 HF</t>
        </is>
      </c>
      <c r="E997" s="7" t="inlineStr">
        <is>
          <t>Produto Técnico Industrial</t>
        </is>
      </c>
      <c r="F997" s="7" t="inlineStr">
        <is>
          <t>Defensivos</t>
        </is>
      </c>
      <c r="G997" s="7" t="inlineStr">
        <is>
          <t>Produto Técnico (Herbicida) (Insumo Industrial / Técnico)</t>
        </is>
      </c>
      <c r="H997" s="7" t="inlineStr">
        <is>
          <t>TC</t>
        </is>
      </c>
      <c r="I997" s="7" t="inlineStr">
        <is>
          <t>Produto Técnico Industrial (TC)</t>
        </is>
      </c>
      <c r="J997" s="7" t="inlineStr">
        <is>
          <t>Herbicida sistêmico seletivo de pós-emergência para folhas largas</t>
        </is>
      </c>
      <c r="K997" s="7" t="inlineStr">
        <is>
          <t>Ácido ariloxialcanoico</t>
        </is>
      </c>
      <c r="L997" s="7" t="inlineStr">
        <is>
          <t>HRAC Grupo O (4) — Auxinas Sintéticas</t>
        </is>
      </c>
      <c r="M997" s="7" t="inlineStr">
        <is>
          <t>Mimetizadores de auxina sintética</t>
        </is>
      </c>
      <c r="N997" s="7" t="inlineStr">
        <is>
          <t>Categoria 4 — Produto Pouco Tóxico</t>
        </is>
      </c>
      <c r="O997" s="7" t="inlineStr">
        <is>
          <t>Azul PMS Blue 293 C</t>
        </is>
      </c>
      <c r="P997" s="7" t="inlineStr">
        <is>
          <t>Classe III — Produto Perigoso ao Meio Ambiente</t>
        </is>
      </c>
      <c r="Q997" s="9" t="n">
        <v>24</v>
      </c>
      <c r="R997" s="7" t="inlineStr">
        <is>
          <t>Terrestre / Aérea (Drones consultar bula)</t>
        </is>
      </c>
      <c r="S997" s="7" t="inlineStr">
        <is>
          <t>Sem antídoto específico; alcalinização urinária e suporte sintomático</t>
        </is>
      </c>
      <c r="T997" s="7" t="inlineStr">
        <is>
          <t>Albaugh Agro Brasil Ltda.</t>
        </is>
      </c>
      <c r="U997" s="10">
        <f>HYPERLINK("https://agrofit.agricultura.gov.br/agrofit_cons/principal_agrofit_cons", "Consulta Oficial AGROFIT/MAPA (TC08623)")</f>
        <v/>
      </c>
    </row>
    <row r="998" ht="22" customHeight="1">
      <c r="A998" s="11" t="n">
        <v>993</v>
      </c>
      <c r="B998" s="12" t="inlineStr">
        <is>
          <t>Nº 13914</t>
        </is>
      </c>
      <c r="C998" s="13" t="inlineStr">
        <is>
          <t>2,4-D ÁCIDO TÉCNICO CCAB</t>
        </is>
      </c>
      <c r="D998" s="14" t="inlineStr">
        <is>
          <t>2,4-D ÁCIDO TÉCNICO CCAB</t>
        </is>
      </c>
      <c r="E998" s="13" t="inlineStr">
        <is>
          <t>Produto Técnico Industrial</t>
        </is>
      </c>
      <c r="F998" s="13" t="inlineStr">
        <is>
          <t>Defensivos</t>
        </is>
      </c>
      <c r="G998" s="13" t="inlineStr">
        <is>
          <t>Produto Técnico (Herbicida) (Insumo Industrial / Técnico)</t>
        </is>
      </c>
      <c r="H998" s="13" t="inlineStr">
        <is>
          <t>TC</t>
        </is>
      </c>
      <c r="I998" s="13" t="inlineStr">
        <is>
          <t>Produto Técnico Industrial (TC)</t>
        </is>
      </c>
      <c r="J998" s="13" t="inlineStr">
        <is>
          <t>Herbicida sistêmico seletivo de pós-emergência para folhas largas</t>
        </is>
      </c>
      <c r="K998" s="13" t="inlineStr">
        <is>
          <t>Ácido ariloxialcanoico</t>
        </is>
      </c>
      <c r="L998" s="13" t="inlineStr">
        <is>
          <t>HRAC Grupo O (4) — Auxinas Sintéticas</t>
        </is>
      </c>
      <c r="M998" s="13" t="inlineStr">
        <is>
          <t>Mimetizadores de auxina sintética</t>
        </is>
      </c>
      <c r="N998" s="13" t="inlineStr">
        <is>
          <t>Categoria 4 — Produto Pouco Tóxico</t>
        </is>
      </c>
      <c r="O998" s="13" t="inlineStr">
        <is>
          <t>Azul PMS Blue 293 C</t>
        </is>
      </c>
      <c r="P998" s="13" t="inlineStr">
        <is>
          <t>Classe III — Produto Perigoso ao Meio Ambiente</t>
        </is>
      </c>
      <c r="Q998" s="15" t="n">
        <v>24</v>
      </c>
      <c r="R998" s="13" t="inlineStr">
        <is>
          <t>Terrestre / Aérea (Drones consultar bula)</t>
        </is>
      </c>
      <c r="S998" s="13" t="inlineStr">
        <is>
          <t>Sem antídoto específico; alcalinização urinária e suporte sintomático</t>
        </is>
      </c>
      <c r="T998" s="13" t="inlineStr">
        <is>
          <t>CCAB Agro S.A.</t>
        </is>
      </c>
      <c r="U998" s="16">
        <f>HYPERLINK("https://agrofit.agricultura.gov.br/agrofit_cons/principal_agrofit_cons", "Consulta Oficial AGROFIT/MAPA (Nº 13914)")</f>
        <v/>
      </c>
    </row>
    <row r="999" ht="22" customHeight="1">
      <c r="A999" s="5" t="n">
        <v>994</v>
      </c>
      <c r="B999" s="6" t="inlineStr">
        <is>
          <t>Nº 10216</t>
        </is>
      </c>
      <c r="C999" s="7" t="inlineStr">
        <is>
          <t>GLIFOSATO TÉCNICO CCAB II</t>
        </is>
      </c>
      <c r="D999" s="8" t="inlineStr">
        <is>
          <t>GLIFOSATO TÉCNICO CCAB II</t>
        </is>
      </c>
      <c r="E999" s="7" t="inlineStr">
        <is>
          <t>Produto Técnico Industrial</t>
        </is>
      </c>
      <c r="F999" s="7" t="inlineStr">
        <is>
          <t>Defensivos</t>
        </is>
      </c>
      <c r="G999" s="7" t="inlineStr">
        <is>
          <t>Produto Técnico (Herbicida) (Insumo Industrial / Técnico)</t>
        </is>
      </c>
      <c r="H999" s="7" t="inlineStr">
        <is>
          <t>TC</t>
        </is>
      </c>
      <c r="I999" s="7" t="inlineStr">
        <is>
          <t>Produto Técnico Industrial (TC)</t>
        </is>
      </c>
      <c r="J999" s="7" t="inlineStr">
        <is>
          <t>Herbicida sistêmico de pós-emergência (seletivo condicional p/ OGM)</t>
        </is>
      </c>
      <c r="K999" s="7" t="inlineStr">
        <is>
          <t>Glicina substituída</t>
        </is>
      </c>
      <c r="L999" s="7" t="inlineStr">
        <is>
          <t>HRAC Grupo G (EPSPs)</t>
        </is>
      </c>
      <c r="M999" s="7" t="inlineStr">
        <is>
          <t>Inibidores da enzima EPSPs (Enoil Piruvil Shiquimato Fosfato Sintase)</t>
        </is>
      </c>
      <c r="N999" s="7" t="inlineStr">
        <is>
          <t>Categoria 5 — Produto Improvável de Causar Dano Agudo</t>
        </is>
      </c>
      <c r="O999" s="7" t="inlineStr">
        <is>
          <t>Azul Intenso</t>
        </is>
      </c>
      <c r="P999" s="7" t="inlineStr">
        <is>
          <t>Classe III / IV — Perigoso a Pouco Perigoso ao Meio Ambiente</t>
        </is>
      </c>
      <c r="Q999" s="9" t="n">
        <v>24</v>
      </c>
      <c r="R999" s="7" t="inlineStr">
        <is>
          <t>Terrestre / Aérea (Drones consultar bula)</t>
        </is>
      </c>
      <c r="S999" s="7" t="inlineStr">
        <is>
          <t>Sem antídoto específico (Atropina ineficaz); tratamento sintomático</t>
        </is>
      </c>
      <c r="T999" s="7" t="inlineStr">
        <is>
          <t>CCAB Agro S.A.</t>
        </is>
      </c>
      <c r="U999" s="10">
        <f>HYPERLINK("https://agrofit.agricultura.gov.br/agrofit_cons/principal_agrofit_cons", "Consulta Oficial AGROFIT/MAPA (Nº 10216)")</f>
        <v/>
      </c>
    </row>
    <row r="1000" ht="22" customHeight="1">
      <c r="A1000" s="11" t="n">
        <v>995</v>
      </c>
      <c r="B1000" s="12" t="inlineStr">
        <is>
          <t>Nº 3316</t>
        </is>
      </c>
      <c r="C1000" s="13" t="inlineStr">
        <is>
          <t>2,4-D TÉCNICO MCR</t>
        </is>
      </c>
      <c r="D1000" s="14" t="inlineStr">
        <is>
          <t>2,4-D TÉCNICO MCR</t>
        </is>
      </c>
      <c r="E1000" s="13" t="inlineStr">
        <is>
          <t>Produto Técnico Industrial</t>
        </is>
      </c>
      <c r="F1000" s="13" t="inlineStr">
        <is>
          <t>Defensivos</t>
        </is>
      </c>
      <c r="G1000" s="13" t="inlineStr">
        <is>
          <t>Produto Técnico (Herbicida) (Insumo Industrial / Técnico)</t>
        </is>
      </c>
      <c r="H1000" s="13" t="inlineStr">
        <is>
          <t>TC</t>
        </is>
      </c>
      <c r="I1000" s="13" t="inlineStr">
        <is>
          <t>Produto Técnico Industrial (TC)</t>
        </is>
      </c>
      <c r="J1000" s="13" t="inlineStr">
        <is>
          <t>Herbicida sistêmico seletivo de pós-emergência para folhas largas</t>
        </is>
      </c>
      <c r="K1000" s="13" t="inlineStr">
        <is>
          <t>Ácido ariloxialcanoico</t>
        </is>
      </c>
      <c r="L1000" s="13" t="inlineStr">
        <is>
          <t>HRAC Grupo O (4) — Auxinas Sintéticas</t>
        </is>
      </c>
      <c r="M1000" s="13" t="inlineStr">
        <is>
          <t>Mimetizadores de auxina sintética</t>
        </is>
      </c>
      <c r="N1000" s="13" t="inlineStr">
        <is>
          <t>Categoria 4 — Produto Pouco Tóxico</t>
        </is>
      </c>
      <c r="O1000" s="13" t="inlineStr">
        <is>
          <t>Azul PMS Blue 293 C</t>
        </is>
      </c>
      <c r="P1000" s="13" t="inlineStr">
        <is>
          <t>Classe III — Produto Perigoso ao Meio Ambiente</t>
        </is>
      </c>
      <c r="Q1000" s="15" t="n">
        <v>24</v>
      </c>
      <c r="R1000" s="13" t="inlineStr">
        <is>
          <t>Terrestre / Aérea (Drones consultar bula)</t>
        </is>
      </c>
      <c r="S1000" s="13" t="inlineStr">
        <is>
          <t>Sem antídoto específico; alcalinização urinária e suporte sintomático</t>
        </is>
      </c>
      <c r="T1000" s="13" t="inlineStr">
        <is>
          <t>MCR Química Ltda.</t>
        </is>
      </c>
      <c r="U1000" s="16">
        <f>HYPERLINK("https://agrofit.agricultura.gov.br/agrofit_cons/principal_agrofit_cons", "Consulta Oficial AGROFIT/MAPA (Nº 3316)")</f>
        <v/>
      </c>
    </row>
    <row r="1001" ht="22" customHeight="1">
      <c r="A1001" s="5" t="n">
        <v>996</v>
      </c>
      <c r="B1001" s="6" t="inlineStr">
        <is>
          <t>Nº 1114</t>
        </is>
      </c>
      <c r="C1001" s="7" t="inlineStr">
        <is>
          <t>GLIFOSATO TÉCNICO COPALLIANCE</t>
        </is>
      </c>
      <c r="D1001" s="8" t="inlineStr">
        <is>
          <t>GLIFOSATO TÉCNICO COPALLIANCE</t>
        </is>
      </c>
      <c r="E1001" s="7" t="inlineStr">
        <is>
          <t>Produto Técnico Industrial</t>
        </is>
      </c>
      <c r="F1001" s="7" t="inlineStr">
        <is>
          <t>Defensivos</t>
        </is>
      </c>
      <c r="G1001" s="7" t="inlineStr">
        <is>
          <t>Produto Técnico (Herbicida) (Insumo Industrial / Técnico)</t>
        </is>
      </c>
      <c r="H1001" s="7" t="inlineStr">
        <is>
          <t>TC</t>
        </is>
      </c>
      <c r="I1001" s="7" t="inlineStr">
        <is>
          <t>Produto Técnico Industrial (TC)</t>
        </is>
      </c>
      <c r="J1001" s="7" t="inlineStr">
        <is>
          <t>Herbicida sistêmico de pós-emergência (seletivo condicional p/ OGM)</t>
        </is>
      </c>
      <c r="K1001" s="7" t="inlineStr">
        <is>
          <t>Glicina substituída</t>
        </is>
      </c>
      <c r="L1001" s="7" t="inlineStr">
        <is>
          <t>HRAC Grupo G (EPSPs)</t>
        </is>
      </c>
      <c r="M1001" s="7" t="inlineStr">
        <is>
          <t>Inibidores da enzima EPSPs (Enoil Piruvil Shiquimato Fosfato Sintase)</t>
        </is>
      </c>
      <c r="N1001" s="7" t="inlineStr">
        <is>
          <t>Categoria 5 — Produto Improvável de Causar Dano Agudo</t>
        </is>
      </c>
      <c r="O1001" s="7" t="inlineStr">
        <is>
          <t>Azul Intenso</t>
        </is>
      </c>
      <c r="P1001" s="7" t="inlineStr">
        <is>
          <t>Classe III / IV — Perigoso a Pouco Perigoso ao Meio Ambiente</t>
        </is>
      </c>
      <c r="Q1001" s="9" t="n">
        <v>24</v>
      </c>
      <c r="R1001" s="7" t="inlineStr">
        <is>
          <t>Terrestre / Aérea (Drones consultar bula)</t>
        </is>
      </c>
      <c r="S1001" s="7" t="inlineStr">
        <is>
          <t>Sem antídoto específico (Atropina ineficaz); tratamento sintomático</t>
        </is>
      </c>
      <c r="T1001" s="7" t="inlineStr">
        <is>
          <t>Copalliance Agro Ltda.</t>
        </is>
      </c>
      <c r="U1001" s="10">
        <f>HYPERLINK("https://agrofit.agricultura.gov.br/agrofit_cons/principal_agrofit_cons", "Consulta Oficial AGROFIT/MAPA (Nº 1114)")</f>
        <v/>
      </c>
    </row>
    <row r="1002" ht="22" customHeight="1">
      <c r="A1002" s="11" t="n">
        <v>997</v>
      </c>
      <c r="B1002" s="12" t="inlineStr">
        <is>
          <t>Nº 10901</t>
        </is>
      </c>
      <c r="C1002" s="13" t="inlineStr">
        <is>
          <t>ROUNDUP AMÔNIO PRÉ MIX</t>
        </is>
      </c>
      <c r="D1002" s="14" t="inlineStr">
        <is>
          <t>ROUNDUP AMÔNIO PRÉ MIX</t>
        </is>
      </c>
      <c r="E1002" s="13" t="inlineStr">
        <is>
          <t>Produto Técnico Industrial</t>
        </is>
      </c>
      <c r="F1002" s="13" t="inlineStr">
        <is>
          <t>Defensivos</t>
        </is>
      </c>
      <c r="G1002" s="13" t="inlineStr">
        <is>
          <t>Pré-Mistura / Produto Técnico (Herbicida) (Insumo Industrial / Técnico)</t>
        </is>
      </c>
      <c r="H1002" s="13" t="inlineStr">
        <is>
          <t>TC</t>
        </is>
      </c>
      <c r="I1002" s="13" t="inlineStr">
        <is>
          <t>Produto Técnico Industrial (TC)</t>
        </is>
      </c>
      <c r="J1002" s="13" t="inlineStr">
        <is>
          <t>Herbicida sistêmico de pós-emergência (seletivo condicional p/ OGM)</t>
        </is>
      </c>
      <c r="K1002" s="13" t="inlineStr">
        <is>
          <t>Glicina substituída</t>
        </is>
      </c>
      <c r="L1002" s="13" t="inlineStr">
        <is>
          <t>HRAC Grupo G (EPSPs)</t>
        </is>
      </c>
      <c r="M1002" s="13" t="inlineStr">
        <is>
          <t>Inibidores da enzima EPSPs (Enoil Piruvil Shiquimato Fosfato Sintase)</t>
        </is>
      </c>
      <c r="N1002" s="13" t="inlineStr">
        <is>
          <t>Categoria 5 — Produto Improvável de Causar Dano Agudo</t>
        </is>
      </c>
      <c r="O1002" s="13" t="inlineStr">
        <is>
          <t>Azul Intenso</t>
        </is>
      </c>
      <c r="P1002" s="13" t="inlineStr">
        <is>
          <t>Classe III / IV — Perigoso a Pouco Perigoso ao Meio Ambiente</t>
        </is>
      </c>
      <c r="Q1002" s="15" t="n">
        <v>24</v>
      </c>
      <c r="R1002" s="13" t="inlineStr">
        <is>
          <t>Terrestre / Aérea (Drones consultar bula)</t>
        </is>
      </c>
      <c r="S1002" s="13" t="inlineStr">
        <is>
          <t>Sem antídoto específico (Atropina ineficaz); tratamento sintomático</t>
        </is>
      </c>
      <c r="T1002" s="13" t="inlineStr">
        <is>
          <t>Monsanto do Brasil Ltda. / Bayer S.A.</t>
        </is>
      </c>
      <c r="U1002" s="16">
        <f>HYPERLINK("https://agrofit.agricultura.gov.br/agrofit_cons/principal_agrofit_cons", "Consulta Oficial AGROFIT/MAPA (Nº 10901)")</f>
        <v/>
      </c>
    </row>
    <row r="1003" ht="22" customHeight="1">
      <c r="A1003" s="5" t="n">
        <v>998</v>
      </c>
      <c r="B1003" s="6" t="inlineStr">
        <is>
          <t>TC08525</t>
        </is>
      </c>
      <c r="C1003" s="7" t="inlineStr">
        <is>
          <t>ROUNDUP MEA PREMIX</t>
        </is>
      </c>
      <c r="D1003" s="8" t="inlineStr">
        <is>
          <t>ROUNDUP MEA PREMIX</t>
        </is>
      </c>
      <c r="E1003" s="7" t="inlineStr">
        <is>
          <t>Produto Técnico Industrial</t>
        </is>
      </c>
      <c r="F1003" s="7" t="inlineStr">
        <is>
          <t>Defensivos</t>
        </is>
      </c>
      <c r="G1003" s="7" t="inlineStr">
        <is>
          <t>Pré-Mistura / Produto Técnico (Herbicida) (Insumo Industrial / Técnico)</t>
        </is>
      </c>
      <c r="H1003" s="7" t="inlineStr">
        <is>
          <t>TC</t>
        </is>
      </c>
      <c r="I1003" s="7" t="inlineStr">
        <is>
          <t>Produto Técnico Industrial (TC)</t>
        </is>
      </c>
      <c r="J1003" s="7" t="inlineStr">
        <is>
          <t>Herbicida sistêmico de pós-emergência (seletivo condicional p/ OGM)</t>
        </is>
      </c>
      <c r="K1003" s="7" t="inlineStr">
        <is>
          <t>Glicina substituída</t>
        </is>
      </c>
      <c r="L1003" s="7" t="inlineStr">
        <is>
          <t>HRAC Grupo G (EPSPs)</t>
        </is>
      </c>
      <c r="M1003" s="7" t="inlineStr">
        <is>
          <t>Inibidores da enzima EPSPs (Enoil Piruvil Shiquimato Fosfato Sintase)</t>
        </is>
      </c>
      <c r="N1003" s="7" t="inlineStr">
        <is>
          <t>Categoria 5 — Produto Improvável de Causar Dano Agudo</t>
        </is>
      </c>
      <c r="O1003" s="7" t="inlineStr">
        <is>
          <t>Azul Intenso</t>
        </is>
      </c>
      <c r="P1003" s="7" t="inlineStr">
        <is>
          <t>Classe III / IV — Perigoso a Pouco Perigoso ao Meio Ambiente</t>
        </is>
      </c>
      <c r="Q1003" s="9" t="n">
        <v>24</v>
      </c>
      <c r="R1003" s="7" t="inlineStr">
        <is>
          <t>Terrestre / Aérea (Drones consultar bula)</t>
        </is>
      </c>
      <c r="S1003" s="7" t="inlineStr">
        <is>
          <t>Sem antídoto específico (Atropina ineficaz); tratamento sintomático</t>
        </is>
      </c>
      <c r="T1003" s="7" t="inlineStr">
        <is>
          <t>Monsanto do Brasil Ltda. / Bayer S.A.</t>
        </is>
      </c>
      <c r="U1003" s="10">
        <f>HYPERLINK("https://agrofit.agricultura.gov.br/agrofit_cons/principal_agrofit_cons", "Consulta Oficial AGROFIT/MAPA (TC08525)")</f>
        <v/>
      </c>
    </row>
    <row r="1004" ht="22" customHeight="1">
      <c r="A1004" s="11" t="n">
        <v>999</v>
      </c>
      <c r="B1004" s="12" t="inlineStr">
        <is>
          <t>TC00623</t>
        </is>
      </c>
      <c r="C1004" s="13" t="inlineStr">
        <is>
          <t>2,4-D TÉCNICO NORTOX V</t>
        </is>
      </c>
      <c r="D1004" s="14" t="inlineStr">
        <is>
          <t>2,4-D TÉCNICO NORTOX V</t>
        </is>
      </c>
      <c r="E1004" s="13" t="inlineStr">
        <is>
          <t>Produto Técnico Industrial</t>
        </is>
      </c>
      <c r="F1004" s="13" t="inlineStr">
        <is>
          <t>Defensivos</t>
        </is>
      </c>
      <c r="G1004" s="13" t="inlineStr">
        <is>
          <t>Produto Técnico (Herbicida) (Insumo Industrial / Técnico)</t>
        </is>
      </c>
      <c r="H1004" s="13" t="inlineStr">
        <is>
          <t>TC</t>
        </is>
      </c>
      <c r="I1004" s="13" t="inlineStr">
        <is>
          <t>Produto Técnico Industrial (TC)</t>
        </is>
      </c>
      <c r="J1004" s="13" t="inlineStr">
        <is>
          <t>Herbicida sistêmico seletivo de pós-emergência para folhas largas</t>
        </is>
      </c>
      <c r="K1004" s="13" t="inlineStr">
        <is>
          <t>Ácido ariloxialcanoico</t>
        </is>
      </c>
      <c r="L1004" s="13" t="inlineStr">
        <is>
          <t>HRAC Grupo O (4) — Auxinas Sintéticas</t>
        </is>
      </c>
      <c r="M1004" s="13" t="inlineStr">
        <is>
          <t>Mimetizadores de auxina sintética</t>
        </is>
      </c>
      <c r="N1004" s="13" t="inlineStr">
        <is>
          <t>Categoria 4 — Produto Pouco Tóxico</t>
        </is>
      </c>
      <c r="O1004" s="13" t="inlineStr">
        <is>
          <t>Azul PMS Blue 293 C</t>
        </is>
      </c>
      <c r="P1004" s="13" t="inlineStr">
        <is>
          <t>Classe III — Produto Perigoso ao Meio Ambiente</t>
        </is>
      </c>
      <c r="Q1004" s="15" t="n">
        <v>24</v>
      </c>
      <c r="R1004" s="13" t="inlineStr">
        <is>
          <t>Terrestre / Aérea (Drones consultar bula)</t>
        </is>
      </c>
      <c r="S1004" s="13" t="inlineStr">
        <is>
          <t>Sem antídoto específico; alcalinização urinária e suporte sintomático</t>
        </is>
      </c>
      <c r="T1004" s="13" t="inlineStr">
        <is>
          <t>Nortox S.A.</t>
        </is>
      </c>
      <c r="U1004" s="16">
        <f>HYPERLINK("https://agrofit.agricultura.gov.br/agrofit_cons/principal_agrofit_cons", "Consulta Oficial AGROFIT/MAPA (TC00623)")</f>
        <v/>
      </c>
    </row>
    <row r="1005" ht="22" customHeight="1">
      <c r="A1005" s="5" t="n">
        <v>1000</v>
      </c>
      <c r="B1005" s="6" t="inlineStr">
        <is>
          <t>Nº 1414</t>
        </is>
      </c>
      <c r="C1005" s="7" t="inlineStr">
        <is>
          <t>2,4-D TÉCNICO RED SURCOS</t>
        </is>
      </c>
      <c r="D1005" s="8" t="inlineStr">
        <is>
          <t>2,4-D TÉCNICO RED SURCOS</t>
        </is>
      </c>
      <c r="E1005" s="7" t="inlineStr">
        <is>
          <t>Produto Técnico Industrial</t>
        </is>
      </c>
      <c r="F1005" s="7" t="inlineStr">
        <is>
          <t>Defensivos</t>
        </is>
      </c>
      <c r="G1005" s="7" t="inlineStr">
        <is>
          <t>Produto Técnico (Herbicida) (Insumo Industrial / Técnico)</t>
        </is>
      </c>
      <c r="H1005" s="7" t="inlineStr">
        <is>
          <t>TC</t>
        </is>
      </c>
      <c r="I1005" s="7" t="inlineStr">
        <is>
          <t>Produto Técnico Industrial (TC)</t>
        </is>
      </c>
      <c r="J1005" s="7" t="inlineStr">
        <is>
          <t>Herbicida sistêmico seletivo de pós-emergência para folhas largas</t>
        </is>
      </c>
      <c r="K1005" s="7" t="inlineStr">
        <is>
          <t>Ácido ariloxialcanoico</t>
        </is>
      </c>
      <c r="L1005" s="7" t="inlineStr">
        <is>
          <t>HRAC Grupo O (4) — Auxinas Sintéticas</t>
        </is>
      </c>
      <c r="M1005" s="7" t="inlineStr">
        <is>
          <t>Mimetizadores de auxina sintética</t>
        </is>
      </c>
      <c r="N1005" s="7" t="inlineStr">
        <is>
          <t>Categoria 4 — Produto Pouco Tóxico</t>
        </is>
      </c>
      <c r="O1005" s="7" t="inlineStr">
        <is>
          <t>Azul PMS Blue 293 C</t>
        </is>
      </c>
      <c r="P1005" s="7" t="inlineStr">
        <is>
          <t>Classe III — Produto Perigoso ao Meio Ambiente</t>
        </is>
      </c>
      <c r="Q1005" s="9" t="n">
        <v>24</v>
      </c>
      <c r="R1005" s="7" t="inlineStr">
        <is>
          <t>Terrestre / Aérea (Drones consultar bula)</t>
        </is>
      </c>
      <c r="S1005" s="7" t="inlineStr">
        <is>
          <t>Sem antídoto específico; alcalinização urinária e suporte sintomático</t>
        </is>
      </c>
      <c r="T1005" s="7" t="inlineStr">
        <is>
          <t>Red Surcos do Brasil Ltda.</t>
        </is>
      </c>
      <c r="U1005" s="10">
        <f>HYPERLINK("https://agrofit.agricultura.gov.br/agrofit_cons/principal_agrofit_cons", "Consulta Oficial AGROFIT/MAPA (Nº 1414)")</f>
        <v/>
      </c>
    </row>
    <row r="1006" ht="22" customHeight="1">
      <c r="A1006" s="11" t="n">
        <v>1001</v>
      </c>
      <c r="B1006" s="12" t="inlineStr">
        <is>
          <t>Nº 12415</t>
        </is>
      </c>
      <c r="C1006" s="13" t="inlineStr">
        <is>
          <t>GLIFOSATO TÉCNICO RED SURCOS II</t>
        </is>
      </c>
      <c r="D1006" s="14" t="inlineStr">
        <is>
          <t>GLIFOSATO TÉCNICO RED SURCOS II</t>
        </is>
      </c>
      <c r="E1006" s="13" t="inlineStr">
        <is>
          <t>Produto Técnico Industrial</t>
        </is>
      </c>
      <c r="F1006" s="13" t="inlineStr">
        <is>
          <t>Defensivos</t>
        </is>
      </c>
      <c r="G1006" s="13" t="inlineStr">
        <is>
          <t>Produto Técnico (Herbicida) (Insumo Industrial / Técnico)</t>
        </is>
      </c>
      <c r="H1006" s="13" t="inlineStr">
        <is>
          <t>TC</t>
        </is>
      </c>
      <c r="I1006" s="13" t="inlineStr">
        <is>
          <t>Produto Técnico Industrial (TC)</t>
        </is>
      </c>
      <c r="J1006" s="13" t="inlineStr">
        <is>
          <t>Herbicida sistêmico de pós-emergência (seletivo condicional p/ OGM)</t>
        </is>
      </c>
      <c r="K1006" s="13" t="inlineStr">
        <is>
          <t>Glicina substituída</t>
        </is>
      </c>
      <c r="L1006" s="13" t="inlineStr">
        <is>
          <t>HRAC Grupo G (EPSPs)</t>
        </is>
      </c>
      <c r="M1006" s="13" t="inlineStr">
        <is>
          <t>Inibidores da enzima EPSPs (Enoil Piruvil Shiquimato Fosfato Sintase)</t>
        </is>
      </c>
      <c r="N1006" s="13" t="inlineStr">
        <is>
          <t>Categoria 5 — Produto Improvável de Causar Dano Agudo</t>
        </is>
      </c>
      <c r="O1006" s="13" t="inlineStr">
        <is>
          <t>Azul Intenso</t>
        </is>
      </c>
      <c r="P1006" s="13" t="inlineStr">
        <is>
          <t>Classe III / IV — Perigoso a Pouco Perigoso ao Meio Ambiente</t>
        </is>
      </c>
      <c r="Q1006" s="15" t="n">
        <v>24</v>
      </c>
      <c r="R1006" s="13" t="inlineStr">
        <is>
          <t>Terrestre / Aérea (Drones consultar bula)</t>
        </is>
      </c>
      <c r="S1006" s="13" t="inlineStr">
        <is>
          <t>Sem antídoto específico (Atropina ineficaz); tratamento sintomático</t>
        </is>
      </c>
      <c r="T1006" s="13" t="inlineStr">
        <is>
          <t>Red Surcos do Brasil Ltda.</t>
        </is>
      </c>
      <c r="U1006" s="16">
        <f>HYPERLINK("https://agrofit.agricultura.gov.br/agrofit_cons/principal_agrofit_cons", "Consulta Oficial AGROFIT/MAPA (Nº 12415)")</f>
        <v/>
      </c>
    </row>
    <row r="1007" ht="22" customHeight="1">
      <c r="A1007" s="5" t="n">
        <v>1002</v>
      </c>
      <c r="B1007" s="6" t="inlineStr">
        <is>
          <t>Nº 4901</t>
        </is>
      </c>
      <c r="C1007" s="7" t="inlineStr">
        <is>
          <t>2,4-D ÁCIDO TÉCNICO SUMITOMO</t>
        </is>
      </c>
      <c r="D1007" s="8" t="inlineStr">
        <is>
          <t>2,4-D ÁCIDO TÉCNICO SUMITOMO</t>
        </is>
      </c>
      <c r="E1007" s="7" t="inlineStr">
        <is>
          <t>Produto Técnico Industrial</t>
        </is>
      </c>
      <c r="F1007" s="7" t="inlineStr">
        <is>
          <t>Defensivos</t>
        </is>
      </c>
      <c r="G1007" s="7" t="inlineStr">
        <is>
          <t>Produto Técnico (Herbicida) (Insumo Industrial / Técnico)</t>
        </is>
      </c>
      <c r="H1007" s="7" t="inlineStr">
        <is>
          <t>TC</t>
        </is>
      </c>
      <c r="I1007" s="7" t="inlineStr">
        <is>
          <t>Produto Técnico Industrial (TC)</t>
        </is>
      </c>
      <c r="J1007" s="7" t="inlineStr">
        <is>
          <t>Herbicida sistêmico seletivo de pós-emergência para folhas largas</t>
        </is>
      </c>
      <c r="K1007" s="7" t="inlineStr">
        <is>
          <t>Ácido ariloxialcanoico</t>
        </is>
      </c>
      <c r="L1007" s="7" t="inlineStr">
        <is>
          <t>HRAC Grupo O (4) — Auxinas Sintéticas</t>
        </is>
      </c>
      <c r="M1007" s="7" t="inlineStr">
        <is>
          <t>Mimetizadores de auxina sintética</t>
        </is>
      </c>
      <c r="N1007" s="7" t="inlineStr">
        <is>
          <t>Categoria 4 — Produto Pouco Tóxico</t>
        </is>
      </c>
      <c r="O1007" s="7" t="inlineStr">
        <is>
          <t>Azul PMS Blue 293 C</t>
        </is>
      </c>
      <c r="P1007" s="7" t="inlineStr">
        <is>
          <t>Classe III — Produto Perigoso ao Meio Ambiente</t>
        </is>
      </c>
      <c r="Q1007" s="9" t="n">
        <v>24</v>
      </c>
      <c r="R1007" s="7" t="inlineStr">
        <is>
          <t>Terrestre / Aérea (Drones consultar bula)</t>
        </is>
      </c>
      <c r="S1007" s="7" t="inlineStr">
        <is>
          <t>Sem antídoto específico; alcalinização urinária e suporte sintomático</t>
        </is>
      </c>
      <c r="T1007" s="7" t="inlineStr">
        <is>
          <t>Sumitomo Chemical Brasil Indústria Química S.A.</t>
        </is>
      </c>
      <c r="U1007" s="10">
        <f>HYPERLINK("https://agrofit.agricultura.gov.br/agrofit_cons/principal_agrofit_cons", "Consulta Oficial AGROFIT/MAPA (Nº 4901)")</f>
        <v/>
      </c>
    </row>
    <row r="1008" ht="22" customHeight="1">
      <c r="A1008" s="11" t="n">
        <v>1003</v>
      </c>
      <c r="B1008" s="12" t="inlineStr">
        <is>
          <t>TC07621</t>
        </is>
      </c>
      <c r="C1008" s="13" t="inlineStr">
        <is>
          <t>2,4-D TÉCNICO DT</t>
        </is>
      </c>
      <c r="D1008" s="14" t="inlineStr">
        <is>
          <t>2,4-D TÉCNICO DT</t>
        </is>
      </c>
      <c r="E1008" s="13" t="inlineStr">
        <is>
          <t>Produto Técnico Industrial</t>
        </is>
      </c>
      <c r="F1008" s="13" t="inlineStr">
        <is>
          <t>Defensivos</t>
        </is>
      </c>
      <c r="G1008" s="13" t="inlineStr">
        <is>
          <t>Produto Técnico (Herbicida) (Insumo Industrial / Técnico)</t>
        </is>
      </c>
      <c r="H1008" s="13" t="inlineStr">
        <is>
          <t>TC</t>
        </is>
      </c>
      <c r="I1008" s="13" t="inlineStr">
        <is>
          <t>Produto Técnico Industrial (TC)</t>
        </is>
      </c>
      <c r="J1008" s="13" t="inlineStr">
        <is>
          <t>Herbicida sistêmico seletivo de pós-emergência para folhas largas</t>
        </is>
      </c>
      <c r="K1008" s="13" t="inlineStr">
        <is>
          <t>Ácido ariloxialcanoico</t>
        </is>
      </c>
      <c r="L1008" s="13" t="inlineStr">
        <is>
          <t>HRAC Grupo O (4) — Auxinas Sintéticas</t>
        </is>
      </c>
      <c r="M1008" s="13" t="inlineStr">
        <is>
          <t>Mimetizadores de auxina sintética</t>
        </is>
      </c>
      <c r="N1008" s="13" t="inlineStr">
        <is>
          <t>Categoria 4 — Produto Pouco Tóxico</t>
        </is>
      </c>
      <c r="O1008" s="13" t="inlineStr">
        <is>
          <t>Azul PMS Blue 293 C</t>
        </is>
      </c>
      <c r="P1008" s="13" t="inlineStr">
        <is>
          <t>Classe III — Produto Perigoso ao Meio Ambiente</t>
        </is>
      </c>
      <c r="Q1008" s="15" t="n">
        <v>24</v>
      </c>
      <c r="R1008" s="13" t="inlineStr">
        <is>
          <t>Terrestre / Aérea (Drones consultar bula)</t>
        </is>
      </c>
      <c r="S1008" s="13" t="inlineStr">
        <is>
          <t>Sem antídoto específico; alcalinização urinária e suporte sintomático</t>
        </is>
      </c>
      <c r="T1008" s="13" t="inlineStr">
        <is>
          <t>DT Agroquímica / Ato 38/2026</t>
        </is>
      </c>
      <c r="U1008" s="16">
        <f>HYPERLINK("https://agrofit.agricultura.gov.br/agrofit_cons/principal_agrofit_cons", "Consulta Oficial AGROFIT/MAPA (TC07621)")</f>
        <v/>
      </c>
    </row>
    <row r="1009" ht="22" customHeight="1">
      <c r="A1009" s="5" t="n">
        <v>1004</v>
      </c>
      <c r="B1009" s="6" t="inlineStr">
        <is>
          <t>Nº 36721</t>
        </is>
      </c>
      <c r="C1009" s="7" t="inlineStr">
        <is>
          <t>MAIZEFORCE</t>
        </is>
      </c>
      <c r="D1009" s="8" t="inlineStr">
        <is>
          <t>MAIZEFORCE</t>
        </is>
      </c>
      <c r="E1009" s="7" t="inlineStr">
        <is>
          <t>Produto Formulado Comercial</t>
        </is>
      </c>
      <c r="F1009" s="7" t="inlineStr">
        <is>
          <t>Defensivos</t>
        </is>
      </c>
      <c r="G1009" s="7" t="inlineStr">
        <is>
          <t>Herbicida</t>
        </is>
      </c>
      <c r="H1009" s="7" t="inlineStr">
        <is>
          <t>SC</t>
        </is>
      </c>
      <c r="I1009" s="7" t="inlineStr">
        <is>
          <t>Suspensão Concentrada (SC)</t>
        </is>
      </c>
      <c r="J1009" s="7" t="inlineStr">
        <is>
          <t>Herbicida sistêmico seletivo de pós-emergência</t>
        </is>
      </c>
      <c r="K1009" s="7" t="inlineStr">
        <is>
          <t>Tricetona</t>
        </is>
      </c>
      <c r="L1009" s="7" t="inlineStr">
        <is>
          <t>HRAC Grupo F2 (27) — Inibidores da HPPD</t>
        </is>
      </c>
      <c r="M1009" s="7" t="inlineStr">
        <is>
          <t>Inibidores da enzima 4-hidroxifenil-piruvato-dioxigenase (HPPD - biossíntese de carotenoides)</t>
        </is>
      </c>
      <c r="N1009" s="7" t="inlineStr">
        <is>
          <t>Categoria 4 / 5 — Pouco Tóxico</t>
        </is>
      </c>
      <c r="O1009" s="7" t="inlineStr">
        <is>
          <t>Azul Intenso</t>
        </is>
      </c>
      <c r="P1009" s="7" t="inlineStr">
        <is>
          <t>Classe II — Produto Muito Perigoso ao Meio Ambiente</t>
        </is>
      </c>
      <c r="Q1009" s="9" t="n">
        <v>24</v>
      </c>
      <c r="R1009" s="7" t="inlineStr">
        <is>
          <t>Terrestre / Aérea (Drones consultar bula)</t>
        </is>
      </c>
      <c r="S1009" s="7" t="inlineStr">
        <is>
          <t>Sem antídoto específico; tratamento sintomático</t>
        </is>
      </c>
      <c r="T1009" s="7" t="inlineStr">
        <is>
          <t>JubailiReg Brasil Ltda. - São Paulo/SP (CNPJ 54.195.878/0001-59)</t>
        </is>
      </c>
      <c r="U1009" s="10">
        <f>HYPERLINK("https://www.adapar.pr.gov.br/Pagina/Agrotoxicos-Herbicidas", "Registro Oficial Maizeforce 480 SC (MAPA 36721)")</f>
        <v/>
      </c>
    </row>
    <row r="1010" ht="22" customHeight="1">
      <c r="A1010" s="11" t="n">
        <v>1005</v>
      </c>
      <c r="B1010" s="12" t="inlineStr">
        <is>
          <t>Nº 17416</t>
        </is>
      </c>
      <c r="C1010" s="13" t="inlineStr">
        <is>
          <t>MESOTRIONE TÉCNICO ROTAM</t>
        </is>
      </c>
      <c r="D1010" s="14" t="inlineStr">
        <is>
          <t>MESOTRIONE TÉCNICO ROTAM</t>
        </is>
      </c>
      <c r="E1010" s="13" t="inlineStr">
        <is>
          <t>Produto Técnico Industrial</t>
        </is>
      </c>
      <c r="F1010" s="13" t="inlineStr">
        <is>
          <t>Defensivos</t>
        </is>
      </c>
      <c r="G1010" s="13" t="inlineStr">
        <is>
          <t>Produto Técnico (Herbicida) (Insumo Industrial / Técnico)</t>
        </is>
      </c>
      <c r="H1010" s="13" t="inlineStr">
        <is>
          <t>TC</t>
        </is>
      </c>
      <c r="I1010" s="13" t="inlineStr">
        <is>
          <t>Produto Técnico Industrial (TC)</t>
        </is>
      </c>
      <c r="J1010" s="13" t="inlineStr">
        <is>
          <t>Herbicida sistêmico seletivo de pós-emergência</t>
        </is>
      </c>
      <c r="K1010" s="13" t="inlineStr">
        <is>
          <t>Tricetona</t>
        </is>
      </c>
      <c r="L1010" s="13" t="inlineStr">
        <is>
          <t>HRAC Grupo F2 (27) — Inibidores da HPPD</t>
        </is>
      </c>
      <c r="M1010" s="13" t="inlineStr">
        <is>
          <t>Inibição da enzima 4-hidroxifenilpiruvato dioxigenase (HPPD)</t>
        </is>
      </c>
      <c r="N1010" s="13" t="inlineStr">
        <is>
          <t>Categoria 4 / 5 — Pouco Tóxico</t>
        </is>
      </c>
      <c r="O1010" s="13" t="inlineStr">
        <is>
          <t>Azul Intenso</t>
        </is>
      </c>
      <c r="P1010" s="13" t="inlineStr">
        <is>
          <t>Classe II — Produto Muito Perigoso ao Meio Ambiente</t>
        </is>
      </c>
      <c r="Q1010" s="15" t="n">
        <v>24</v>
      </c>
      <c r="R1010" s="13" t="inlineStr">
        <is>
          <t>Terrestre / Aérea (Drones consultar bula)</t>
        </is>
      </c>
      <c r="S1010" s="13" t="inlineStr">
        <is>
          <t>Sem antídoto específico; tratamento sintomático</t>
        </is>
      </c>
      <c r="T1010" s="13" t="inlineStr">
        <is>
          <t>Shangyu Nutrichem Co. Ltd. (China) / Rotam</t>
        </is>
      </c>
      <c r="U1010" s="16">
        <f>HYPERLINK("https://agrofit.agricultura.gov.br/agrofit_cons/principal_agrofit_cons", "Consulta Oficial AGROFIT/MAPA (Nº 17416)")</f>
        <v/>
      </c>
    </row>
    <row r="1011" ht="22" customHeight="1">
      <c r="A1011" s="5" t="n">
        <v>1006</v>
      </c>
      <c r="B1011" s="6" t="inlineStr">
        <is>
          <t>TC07920</t>
        </is>
      </c>
      <c r="C1011" s="7" t="inlineStr">
        <is>
          <t>MESOTRIONE TÉCNICO ALBAUGH</t>
        </is>
      </c>
      <c r="D1011" s="8" t="inlineStr">
        <is>
          <t>MESOTRIONE TÉCNICO ALBAUGH</t>
        </is>
      </c>
      <c r="E1011" s="7" t="inlineStr">
        <is>
          <t>Produto Técnico Industrial</t>
        </is>
      </c>
      <c r="F1011" s="7" t="inlineStr">
        <is>
          <t>Defensivos</t>
        </is>
      </c>
      <c r="G1011" s="7" t="inlineStr">
        <is>
          <t>Produto Técnico (Herbicida) (Insumo Industrial / Técnico)</t>
        </is>
      </c>
      <c r="H1011" s="7" t="inlineStr">
        <is>
          <t>TC</t>
        </is>
      </c>
      <c r="I1011" s="7" t="inlineStr">
        <is>
          <t>Produto Técnico Industrial (TC)</t>
        </is>
      </c>
      <c r="J1011" s="7" t="inlineStr">
        <is>
          <t>Herbicida sistêmico seletivo de pós-emergência</t>
        </is>
      </c>
      <c r="K1011" s="7" t="inlineStr">
        <is>
          <t>Tricetona</t>
        </is>
      </c>
      <c r="L1011" s="7" t="inlineStr">
        <is>
          <t>HRAC Grupo F2 (27) — Inibidores da HPPD</t>
        </is>
      </c>
      <c r="M1011" s="7" t="inlineStr">
        <is>
          <t>Inibição da enzima 4-hidroxifenilpiruvato dioxigenase (HPPD)</t>
        </is>
      </c>
      <c r="N1011" s="7" t="inlineStr">
        <is>
          <t>Categoria 4 / 5 — Pouco Tóxico</t>
        </is>
      </c>
      <c r="O1011" s="7" t="inlineStr">
        <is>
          <t>Azul Intenso</t>
        </is>
      </c>
      <c r="P1011" s="7" t="inlineStr">
        <is>
          <t>Classe II — Produto Muito Perigoso ao Meio Ambiente</t>
        </is>
      </c>
      <c r="Q1011" s="9" t="n">
        <v>24</v>
      </c>
      <c r="R1011" s="7" t="inlineStr">
        <is>
          <t>Terrestre / Aérea (Drones consultar bula)</t>
        </is>
      </c>
      <c r="S1011" s="7" t="inlineStr">
        <is>
          <t>Sem antídoto específico; tratamento sintomático</t>
        </is>
      </c>
      <c r="T1011" s="7" t="inlineStr">
        <is>
          <t>Shandong Weifang Rainbow Chemical Co., Ltd. / Albaugh</t>
        </is>
      </c>
      <c r="U1011" s="10">
        <f>HYPERLINK("https://agrofit.agricultura.gov.br/agrofit_cons/principal_agrofit_cons", "Consulta Oficial AGROFIT/MAPA (TC07920)")</f>
        <v/>
      </c>
    </row>
    <row r="1012" ht="22" customHeight="1">
      <c r="A1012" s="11" t="n">
        <v>1007</v>
      </c>
      <c r="B1012" s="12" t="inlineStr">
        <is>
          <t>TC26122</t>
        </is>
      </c>
      <c r="C1012" s="13" t="inlineStr">
        <is>
          <t>MESOTRIONE TÉCNICO ALBAUGH AZ</t>
        </is>
      </c>
      <c r="D1012" s="14" t="inlineStr">
        <is>
          <t>MESOTRIONE TÉCNICO ALBAUGH AZ</t>
        </is>
      </c>
      <c r="E1012" s="13" t="inlineStr">
        <is>
          <t>Produto Técnico Industrial</t>
        </is>
      </c>
      <c r="F1012" s="13" t="inlineStr">
        <is>
          <t>Defensivos</t>
        </is>
      </c>
      <c r="G1012" s="13" t="inlineStr">
        <is>
          <t>Produto Técnico (Herbicida) (Insumo Industrial / Técnico)</t>
        </is>
      </c>
      <c r="H1012" s="13" t="inlineStr">
        <is>
          <t>TC</t>
        </is>
      </c>
      <c r="I1012" s="13" t="inlineStr">
        <is>
          <t>Produto Técnico Industrial (TC)</t>
        </is>
      </c>
      <c r="J1012" s="13" t="inlineStr">
        <is>
          <t>Herbicida sistêmico seletivo de pós-emergência</t>
        </is>
      </c>
      <c r="K1012" s="13" t="inlineStr">
        <is>
          <t>Tricetona</t>
        </is>
      </c>
      <c r="L1012" s="13" t="inlineStr">
        <is>
          <t>HRAC Grupo F2 (27) — Inibidores da HPPD</t>
        </is>
      </c>
      <c r="M1012" s="13" t="inlineStr">
        <is>
          <t>Inibição da enzima 4-hidroxifenilpiruvato dioxigenase (HPPD)</t>
        </is>
      </c>
      <c r="N1012" s="13" t="inlineStr">
        <is>
          <t>Categoria 4 / 5 — Pouco Tóxico</t>
        </is>
      </c>
      <c r="O1012" s="13" t="inlineStr">
        <is>
          <t>Azul Intenso</t>
        </is>
      </c>
      <c r="P1012" s="13" t="inlineStr">
        <is>
          <t>Classe II — Produto Muito Perigoso ao Meio Ambiente</t>
        </is>
      </c>
      <c r="Q1012" s="15" t="n">
        <v>24</v>
      </c>
      <c r="R1012" s="13" t="inlineStr">
        <is>
          <t>Terrestre / Aérea (Drones consultar bula)</t>
        </is>
      </c>
      <c r="S1012" s="13" t="inlineStr">
        <is>
          <t>Sem antídoto específico; tratamento sintomático</t>
        </is>
      </c>
      <c r="T1012" s="13" t="inlineStr">
        <is>
          <t>Anhui Zhongshan Chemical Industry Co., Ltd. / Albaugh</t>
        </is>
      </c>
      <c r="U1012" s="16">
        <f>HYPERLINK("https://agrofit.agricultura.gov.br/agrofit_cons/principal_agrofit_cons", "Consulta Oficial AGROFIT/MAPA (TC26122)")</f>
        <v/>
      </c>
    </row>
    <row r="1013" ht="22" customHeight="1">
      <c r="A1013" s="5" t="n">
        <v>1008</v>
      </c>
      <c r="B1013" s="6" t="inlineStr">
        <is>
          <t>TC00921</t>
        </is>
      </c>
      <c r="C1013" s="7" t="inlineStr">
        <is>
          <t>MESOTRIONE TÉCNICO ALBAUGH BN</t>
        </is>
      </c>
      <c r="D1013" s="8" t="inlineStr">
        <is>
          <t>MESOTRIONE TÉCNICO ALBAUGH BN</t>
        </is>
      </c>
      <c r="E1013" s="7" t="inlineStr">
        <is>
          <t>Produto Técnico Industrial</t>
        </is>
      </c>
      <c r="F1013" s="7" t="inlineStr">
        <is>
          <t>Defensivos</t>
        </is>
      </c>
      <c r="G1013" s="7" t="inlineStr">
        <is>
          <t>Produto Técnico (Herbicida) (Insumo Industrial / Técnico)</t>
        </is>
      </c>
      <c r="H1013" s="7" t="inlineStr">
        <is>
          <t>TC</t>
        </is>
      </c>
      <c r="I1013" s="7" t="inlineStr">
        <is>
          <t>Produto Técnico Industrial (TC)</t>
        </is>
      </c>
      <c r="J1013" s="7" t="inlineStr">
        <is>
          <t>Herbicida sistêmico seletivo de pós-emergência</t>
        </is>
      </c>
      <c r="K1013" s="7" t="inlineStr">
        <is>
          <t>Tricetona</t>
        </is>
      </c>
      <c r="L1013" s="7" t="inlineStr">
        <is>
          <t>HRAC Grupo F2 (27) — Inibidores da HPPD</t>
        </is>
      </c>
      <c r="M1013" s="7" t="inlineStr">
        <is>
          <t>Inibição da enzima 4-hidroxifenilpiruvato dioxigenase (HPPD)</t>
        </is>
      </c>
      <c r="N1013" s="7" t="inlineStr">
        <is>
          <t>Categoria 4 / 5 — Pouco Tóxico</t>
        </is>
      </c>
      <c r="O1013" s="7" t="inlineStr">
        <is>
          <t>Azul Intenso</t>
        </is>
      </c>
      <c r="P1013" s="7" t="inlineStr">
        <is>
          <t>Classe II — Produto Muito Perigoso ao Meio Ambiente</t>
        </is>
      </c>
      <c r="Q1013" s="9" t="n">
        <v>24</v>
      </c>
      <c r="R1013" s="7" t="inlineStr">
        <is>
          <t>Terrestre / Aérea (Drones consultar bula)</t>
        </is>
      </c>
      <c r="S1013" s="7" t="inlineStr">
        <is>
          <t>Sem antídoto específico; tratamento sintomático</t>
        </is>
      </c>
      <c r="T1013" s="7" t="inlineStr">
        <is>
          <t>Shandong Binnong Technology Co., Ltd. / Albaugh</t>
        </is>
      </c>
      <c r="U1013" s="10">
        <f>HYPERLINK("https://agrofit.agricultura.gov.br/agrofit_cons/principal_agrofit_cons", "Consulta Oficial AGROFIT/MAPA (TC00921)")</f>
        <v/>
      </c>
    </row>
    <row r="1014" ht="22" customHeight="1">
      <c r="A1014" s="11" t="n">
        <v>1009</v>
      </c>
      <c r="B1014" s="12" t="inlineStr">
        <is>
          <t>Nº 44024</t>
        </is>
      </c>
      <c r="C1014" s="13" t="inlineStr">
        <is>
          <t>BIOFOLL DUO</t>
        </is>
      </c>
      <c r="D1014" s="14" t="inlineStr">
        <is>
          <t>BIOFOLL DUO</t>
        </is>
      </c>
      <c r="E1014" s="13" t="inlineStr">
        <is>
          <t>Produto Formulado Comercial</t>
        </is>
      </c>
      <c r="F1014" s="13" t="inlineStr">
        <is>
          <t>Defensivos</t>
        </is>
      </c>
      <c r="G1014" s="13" t="inlineStr">
        <is>
          <t>Inseticida</t>
        </is>
      </c>
      <c r="H1014" s="13" t="inlineStr">
        <is>
          <t>SC</t>
        </is>
      </c>
      <c r="I1014" s="13" t="inlineStr">
        <is>
          <t>Suspensão Concentrada / Dispersão em Óleo (SC/OD)</t>
        </is>
      </c>
      <c r="J1014" s="13" t="inlineStr">
        <is>
          <t>Micoinseticida e micoacaricida biológico de contato</t>
        </is>
      </c>
      <c r="K1014" s="13" t="inlineStr">
        <is>
          <t>Agente Microbiológico de Controle (Fungo Entomopatogênico)</t>
        </is>
      </c>
      <c r="L1014" s="13" t="inlineStr">
        <is>
          <t>IRAC Grupo UNF — Biológico Multissítio</t>
        </is>
      </c>
      <c r="M1014" s="13" t="inlineStr">
        <is>
          <t>Infecção tegumentar por conídios, penetração enzimática e colonização da hemocele</t>
        </is>
      </c>
      <c r="N1014" s="13" t="inlineStr">
        <is>
          <t>Categoria 5 / Não Classificado — Baixo Risco Agudo</t>
        </is>
      </c>
      <c r="O1014" s="13" t="inlineStr">
        <is>
          <t>Azul Intenso</t>
        </is>
      </c>
      <c r="P1014" s="13" t="inlineStr">
        <is>
          <t>Classe IV — Produto Pouco Perigoso ao Meio Ambiente</t>
        </is>
      </c>
      <c r="Q1014" s="15" t="n">
        <v>24</v>
      </c>
      <c r="R1014" s="13" t="inlineStr">
        <is>
          <t>Terrestre / Aérea (Drones consultar bula)</t>
        </is>
      </c>
      <c r="S1014" s="13" t="inlineStr">
        <is>
          <t>Sem antídoto; tratamento sintomático em caso de hipersensibilidade/alergia</t>
        </is>
      </c>
      <c r="T1014" s="13" t="inlineStr">
        <is>
          <t>Serquibio Biotecnologia Agrícola Ltda. - Santa Bárbara d'Oeste/SP</t>
        </is>
      </c>
      <c r="U1014" s="16">
        <f>HYPERLINK("https://bioprotectionportal.com/pt/productdetails/bowe-19500478/?country=br", "Registro Oficial Bowe / Biokiller (Serquibio/MAPA 44024)")</f>
        <v/>
      </c>
    </row>
    <row r="1015" ht="22" customHeight="1">
      <c r="A1015" s="5" t="n">
        <v>1010</v>
      </c>
      <c r="B1015" s="6" t="inlineStr">
        <is>
          <t>Nº 44024</t>
        </is>
      </c>
      <c r="C1015" s="7" t="inlineStr">
        <is>
          <t>CROPBIO BIOKILLER</t>
        </is>
      </c>
      <c r="D1015" s="8" t="inlineStr">
        <is>
          <t>CROPBIO BIOKILLER</t>
        </is>
      </c>
      <c r="E1015" s="7" t="inlineStr">
        <is>
          <t>Produto Formulado Comercial</t>
        </is>
      </c>
      <c r="F1015" s="7" t="inlineStr">
        <is>
          <t>Defensivos</t>
        </is>
      </c>
      <c r="G1015" s="7" t="inlineStr">
        <is>
          <t>Inseticida</t>
        </is>
      </c>
      <c r="H1015" s="7" t="inlineStr">
        <is>
          <t>WP</t>
        </is>
      </c>
      <c r="I1015" s="7" t="inlineStr">
        <is>
          <t>Pó Molhável (WP)</t>
        </is>
      </c>
      <c r="J1015" s="7" t="inlineStr">
        <is>
          <t>Micoinseticida e micoacaricida biológico de contato</t>
        </is>
      </c>
      <c r="K1015" s="7" t="inlineStr">
        <is>
          <t>Agente Microbiológico de Controle (Fungo Entomopatogênico)</t>
        </is>
      </c>
      <c r="L1015" s="7" t="inlineStr">
        <is>
          <t>IRAC Grupo UNF — Biológico Multissítio</t>
        </is>
      </c>
      <c r="M1015" s="7" t="inlineStr">
        <is>
          <t>Infecção tegumentar por conídios, penetração enzimática e colonização da hemocele</t>
        </is>
      </c>
      <c r="N1015" s="7" t="inlineStr">
        <is>
          <t>Categoria 5 / Não Classificado — Baixo Risco Agudo</t>
        </is>
      </c>
      <c r="O1015" s="7" t="inlineStr">
        <is>
          <t>Azul Intenso</t>
        </is>
      </c>
      <c r="P1015" s="7" t="inlineStr">
        <is>
          <t>Classe IV — Produto Pouco Perigoso ao Meio Ambiente</t>
        </is>
      </c>
      <c r="Q1015" s="9" t="n">
        <v>24</v>
      </c>
      <c r="R1015" s="7" t="inlineStr">
        <is>
          <t>Terrestre / Aérea (Drones consultar bula)</t>
        </is>
      </c>
      <c r="S1015" s="7" t="inlineStr">
        <is>
          <t>Sem antídoto; tratamento sintomático em caso de hipersensibilidade/alergia</t>
        </is>
      </c>
      <c r="T1015" s="7" t="inlineStr">
        <is>
          <t>Serquibio Biotecnologia Agrícola Ltda. - Santa Bárbara d'Oeste/SP</t>
        </is>
      </c>
      <c r="U1015" s="10">
        <f>HYPERLINK("https://bioprotectionportal.com/pt/productdetails/bowe-19500478/?country=br", "Registro Oficial Bowe / Biokiller (Serquibio/MAPA 44024)")</f>
        <v/>
      </c>
    </row>
    <row r="1016" ht="22" customHeight="1">
      <c r="A1016" s="11" t="n">
        <v>1011</v>
      </c>
      <c r="B1016" s="12" t="inlineStr">
        <is>
          <t>Nº 44024</t>
        </is>
      </c>
      <c r="C1016" s="13" t="inlineStr">
        <is>
          <t>BIOTOP DUO</t>
        </is>
      </c>
      <c r="D1016" s="14" t="inlineStr">
        <is>
          <t>BIOTOP DUO</t>
        </is>
      </c>
      <c r="E1016" s="13" t="inlineStr">
        <is>
          <t>Produto Formulado Comercial</t>
        </is>
      </c>
      <c r="F1016" s="13" t="inlineStr">
        <is>
          <t>Defensivos</t>
        </is>
      </c>
      <c r="G1016" s="13" t="inlineStr">
        <is>
          <t>Inseticida</t>
        </is>
      </c>
      <c r="H1016" s="13" t="inlineStr">
        <is>
          <t>WP</t>
        </is>
      </c>
      <c r="I1016" s="13" t="inlineStr">
        <is>
          <t>Pó Molhável (WP)</t>
        </is>
      </c>
      <c r="J1016" s="13" t="inlineStr">
        <is>
          <t>Micoinseticida e micoacaricida biológico de contato</t>
        </is>
      </c>
      <c r="K1016" s="13" t="inlineStr">
        <is>
          <t>Agente Microbiológico de Controle (Fungo Entomopatogênico)</t>
        </is>
      </c>
      <c r="L1016" s="13" t="inlineStr">
        <is>
          <t>IRAC Grupo UNF — Biológico Multissítio</t>
        </is>
      </c>
      <c r="M1016" s="13" t="inlineStr">
        <is>
          <t>Infecção tegumentar por conídios, penetração enzimática e colonização da hemocele</t>
        </is>
      </c>
      <c r="N1016" s="13" t="inlineStr">
        <is>
          <t>Categoria 5 / Não Classificado — Baixo Risco Agudo</t>
        </is>
      </c>
      <c r="O1016" s="13" t="inlineStr">
        <is>
          <t>Azul Intenso</t>
        </is>
      </c>
      <c r="P1016" s="13" t="inlineStr">
        <is>
          <t>Classe IV — Produto Pouco Perigoso ao Meio Ambiente</t>
        </is>
      </c>
      <c r="Q1016" s="15" t="n">
        <v>24</v>
      </c>
      <c r="R1016" s="13" t="inlineStr">
        <is>
          <t>Terrestre / Aérea (Drones consultar bula)</t>
        </is>
      </c>
      <c r="S1016" s="13" t="inlineStr">
        <is>
          <t>Sem antídoto; tratamento sintomático em caso de hipersensibilidade/alergia</t>
        </is>
      </c>
      <c r="T1016" s="13" t="inlineStr">
        <is>
          <t>Serquibio Biotecnologia Agrícola Ltda. - Santa Bárbara d'Oeste/SP</t>
        </is>
      </c>
      <c r="U1016" s="16">
        <f>HYPERLINK("https://bioprotectionportal.com/pt/productdetails/bowe-19500478/?country=br", "Registro Oficial Bowe / Biokiller (Serquibio/MAPA 44024)")</f>
        <v/>
      </c>
    </row>
    <row r="1017" ht="22" customHeight="1">
      <c r="A1017" s="5" t="n">
        <v>1012</v>
      </c>
      <c r="B1017" s="6" t="inlineStr">
        <is>
          <t>Nº 44024</t>
        </is>
      </c>
      <c r="C1017" s="7" t="inlineStr">
        <is>
          <t>INSECTA BM</t>
        </is>
      </c>
      <c r="D1017" s="8" t="inlineStr">
        <is>
          <t>INSECTA BM</t>
        </is>
      </c>
      <c r="E1017" s="7" t="inlineStr">
        <is>
          <t>Produto Formulado Comercial</t>
        </is>
      </c>
      <c r="F1017" s="7" t="inlineStr">
        <is>
          <t>Defensivos</t>
        </is>
      </c>
      <c r="G1017" s="7" t="inlineStr">
        <is>
          <t>Inseticida</t>
        </is>
      </c>
      <c r="H1017" s="7" t="inlineStr">
        <is>
          <t>WP</t>
        </is>
      </c>
      <c r="I1017" s="7" t="inlineStr">
        <is>
          <t>Pó Molhável (WP)</t>
        </is>
      </c>
      <c r="J1017" s="7" t="inlineStr">
        <is>
          <t>Micoinseticida e micoacaricida biológico de contato</t>
        </is>
      </c>
      <c r="K1017" s="7" t="inlineStr">
        <is>
          <t>Agente Microbiológico de Controle (Fungo Entomopatogênico)</t>
        </is>
      </c>
      <c r="L1017" s="7" t="inlineStr">
        <is>
          <t>IRAC Grupo UNF — Biológico Multissítio</t>
        </is>
      </c>
      <c r="M1017" s="7" t="inlineStr">
        <is>
          <t>Infecção tegumentar por conídios, penetração enzimática e colonização da hemocele</t>
        </is>
      </c>
      <c r="N1017" s="7" t="inlineStr">
        <is>
          <t>Categoria 5 / Não Classificado — Baixo Risco Agudo</t>
        </is>
      </c>
      <c r="O1017" s="7" t="inlineStr">
        <is>
          <t>Azul Intenso</t>
        </is>
      </c>
      <c r="P1017" s="7" t="inlineStr">
        <is>
          <t>Classe IV — Produto Pouco Perigoso ao Meio Ambiente</t>
        </is>
      </c>
      <c r="Q1017" s="9" t="n">
        <v>24</v>
      </c>
      <c r="R1017" s="7" t="inlineStr">
        <is>
          <t>Terrestre / Aérea (Drones consultar bula)</t>
        </is>
      </c>
      <c r="S1017" s="7" t="inlineStr">
        <is>
          <t>Sem antídoto; tratamento sintomático em caso de hipersensibilidade/alergia</t>
        </is>
      </c>
      <c r="T1017" s="7" t="inlineStr">
        <is>
          <t>Serquibio Biotecnologia Agrícola Ltda. - Santa Bárbara d'Oeste/SP</t>
        </is>
      </c>
      <c r="U1017" s="10">
        <f>HYPERLINK("https://bioprotectionportal.com/pt/productdetails/bowe-19500478/?country=br", "Registro Oficial Bowe / Biokiller (Serquibio/MAPA 44024)")</f>
        <v/>
      </c>
    </row>
    <row r="1018" ht="22" customHeight="1">
      <c r="A1018" s="11" t="n">
        <v>1013</v>
      </c>
      <c r="B1018" s="12" t="inlineStr">
        <is>
          <t>Nº 44024</t>
        </is>
      </c>
      <c r="C1018" s="13" t="inlineStr">
        <is>
          <t>BOWE</t>
        </is>
      </c>
      <c r="D1018" s="14" t="inlineStr">
        <is>
          <t>BOWE</t>
        </is>
      </c>
      <c r="E1018" s="13" t="inlineStr">
        <is>
          <t>Produto Formulado Comercial</t>
        </is>
      </c>
      <c r="F1018" s="13" t="inlineStr">
        <is>
          <t>Defensivos</t>
        </is>
      </c>
      <c r="G1018" s="13" t="inlineStr">
        <is>
          <t>Inseticida</t>
        </is>
      </c>
      <c r="H1018" s="13" t="inlineStr">
        <is>
          <t>WP</t>
        </is>
      </c>
      <c r="I1018" s="13" t="inlineStr">
        <is>
          <t>Pó Molhável (WP)</t>
        </is>
      </c>
      <c r="J1018" s="13" t="inlineStr">
        <is>
          <t>Micoinseticida e micoacaricida biológico de contato</t>
        </is>
      </c>
      <c r="K1018" s="13" t="inlineStr">
        <is>
          <t>Agente Microbiológico de Controle (Fungo Entomopatogênico)</t>
        </is>
      </c>
      <c r="L1018" s="13" t="inlineStr">
        <is>
          <t>IRAC Grupo UNF — Biológico Multissítio</t>
        </is>
      </c>
      <c r="M1018" s="13" t="inlineStr">
        <is>
          <t>Infecção tegumentar por conídios, penetração enzimática e colonização da hemocele</t>
        </is>
      </c>
      <c r="N1018" s="13" t="inlineStr">
        <is>
          <t>Categoria 5 / Não Classificado — Baixo Risco Agudo</t>
        </is>
      </c>
      <c r="O1018" s="13" t="inlineStr">
        <is>
          <t>Azul Intenso</t>
        </is>
      </c>
      <c r="P1018" s="13" t="inlineStr">
        <is>
          <t>Classe IV — Produto Pouco Perigoso ao Meio Ambiente</t>
        </is>
      </c>
      <c r="Q1018" s="15" t="n">
        <v>24</v>
      </c>
      <c r="R1018" s="13" t="inlineStr">
        <is>
          <t>Terrestre / Aérea (Drones consultar bula)</t>
        </is>
      </c>
      <c r="S1018" s="13" t="inlineStr">
        <is>
          <t>Sem antídoto; tratamento sintomático em caso de hipersensibilidade/alergia</t>
        </is>
      </c>
      <c r="T1018" s="13" t="inlineStr">
        <is>
          <t>Serquibio Biotecnologia Agrícola Ltda. - Santa Bárbara d'Oeste/SP</t>
        </is>
      </c>
      <c r="U1018" s="16">
        <f>HYPERLINK("https://bioprotectionportal.com/pt/productdetails/bowe-19500478/?country=br", "Registro Oficial Bowe / Biokiller (Serquibio/MAPA 44024)")</f>
        <v/>
      </c>
    </row>
  </sheetData>
  <mergeCells count="2">
    <mergeCell ref="A1:U1"/>
    <mergeCell ref="A2:U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3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50" customWidth="1" min="4" max="4"/>
    <col width="23" customWidth="1" min="5" max="5"/>
    <col width="34" customWidth="1" min="6" max="6"/>
    <col width="52" customWidth="1" min="7" max="7"/>
    <col width="50" customWidth="1" min="8" max="8"/>
    <col width="50" customWidth="1" min="9" max="9"/>
    <col width="50" customWidth="1" min="10" max="10"/>
    <col width="50" customWidth="1" min="11" max="11"/>
    <col width="27" customWidth="1" min="12" max="12"/>
    <col width="38" customWidth="1" min="13" max="13"/>
    <col width="48" customWidth="1" min="14" max="14"/>
  </cols>
  <sheetData>
    <row r="1" ht="30" customHeight="1">
      <c r="A1" s="1" t="inlineStr">
        <is>
          <t>3. COMPOSIÇÃO QUÍMICA, BIOLÓGICA E NUTRICIONAL EM LINHAS (1 LINHA POR PRINCÍPIO ATIVO / GARANTIA) — [BASE OFICIAL SANEADA E CORRIGIDA CONFORME BULAS MAPA / ANVISA / SIPEAGRO]</t>
        </is>
      </c>
    </row>
    <row r="2" ht="20" customHeight="1">
      <c r="A2" s="2" t="inlineStr">
        <is>
          <t>Produtos com 2, 3 ou mais princípios ativos (misturas prontas) ou múltiplos nutrientes são desmembrados em linhas individuais usando sempre as mesmas colunas padrões. | Total de Registros: 1329</t>
        </is>
      </c>
    </row>
    <row r="3" ht="8" customHeight="1"/>
    <row r="4" ht="26" customHeight="1">
      <c r="A4" s="3" t="inlineStr">
        <is>
          <t>ID Composição</t>
        </is>
      </c>
      <c r="B4" s="3" t="inlineStr">
        <is>
          <t>ID Produto Base</t>
        </is>
      </c>
      <c r="C4" s="3" t="inlineStr">
        <is>
          <t>Nº Registro MAPA</t>
        </is>
      </c>
      <c r="D4" s="4" t="inlineStr">
        <is>
          <t>Marca Comercial</t>
        </is>
      </c>
      <c r="E4" s="4" t="inlineStr">
        <is>
          <t>Ordem do Componente</t>
        </is>
      </c>
      <c r="F4" s="4" t="inlineStr">
        <is>
          <t>Tipo do Componente</t>
        </is>
      </c>
      <c r="G4" s="4" t="inlineStr">
        <is>
          <t>Substância / Princípio Ativo / Garantia (1 por Linha)</t>
        </is>
      </c>
      <c r="H4" s="4" t="inlineStr">
        <is>
          <t>Nome Químico Oficial (IUPAC) / Cepa</t>
        </is>
      </c>
      <c r="I4" s="4" t="inlineStr">
        <is>
          <t>Grupo Químico / Categoria</t>
        </is>
      </c>
      <c r="J4" s="4" t="inlineStr">
        <is>
          <t>Código HRAC / IRAC / FRAC</t>
        </is>
      </c>
      <c r="K4" s="4" t="inlineStr">
        <is>
          <t>Mecanismo de Ação Bioquímico / Função</t>
        </is>
      </c>
      <c r="L4" s="4" t="inlineStr">
        <is>
          <t>Concentração / Garantia</t>
        </is>
      </c>
      <c r="M4" s="4" t="inlineStr">
        <is>
          <t>Unidade</t>
        </is>
      </c>
      <c r="N4" s="4" t="inlineStr">
        <is>
          <t>Produto Técnico Vinculado / Origem</t>
        </is>
      </c>
    </row>
    <row r="5" ht="22" customHeight="1">
      <c r="A5" s="6" t="inlineStr">
        <is>
          <t>CMP-0001</t>
        </is>
      </c>
      <c r="B5" s="5" t="n">
        <v>1014</v>
      </c>
      <c r="C5" s="7" t="inlineStr">
        <is>
          <t>Nº 002094</t>
        </is>
      </c>
      <c r="D5" s="8" t="inlineStr">
        <is>
          <t>ROUNDUP WG</t>
        </is>
      </c>
      <c r="E5" s="5" t="n">
        <v>1</v>
      </c>
      <c r="F5" s="7" t="inlineStr">
        <is>
          <t>Ingrediente Ativo (Sal/Éster)</t>
        </is>
      </c>
      <c r="G5" s="7" t="inlineStr">
        <is>
          <t>Glifosato (Sal de Amônio)</t>
        </is>
      </c>
      <c r="H5" s="7" t="inlineStr">
        <is>
          <t>Sal de Amônio de N-(phosphonomethyl)glycine</t>
        </is>
      </c>
      <c r="I5" s="7" t="inlineStr">
        <is>
          <t>Glicina substituída</t>
        </is>
      </c>
      <c r="J5" s="7" t="inlineStr">
        <is>
          <t>HRAC Grupo G</t>
        </is>
      </c>
      <c r="K5" s="7" t="inlineStr">
        <is>
          <t>Inibidores de EPSPs</t>
        </is>
      </c>
      <c r="L5" s="17" t="n">
        <v>792.5</v>
      </c>
      <c r="M5" s="7" t="inlineStr">
        <is>
          <t>g/kg</t>
        </is>
      </c>
      <c r="N5" s="7" t="inlineStr">
        <is>
          <t>Nº 01998 (Glifosate Técnico Monsanto)</t>
        </is>
      </c>
    </row>
    <row r="6" ht="22" customHeight="1">
      <c r="A6" s="12" t="inlineStr">
        <is>
          <t>CMP-0002</t>
        </is>
      </c>
      <c r="B6" s="11" t="n">
        <v>1014</v>
      </c>
      <c r="C6" s="13" t="inlineStr">
        <is>
          <t>Nº 002094</t>
        </is>
      </c>
      <c r="D6" s="14" t="inlineStr">
        <is>
          <t>ROUNDUP WG</t>
        </is>
      </c>
      <c r="E6" s="11" t="n">
        <v>2</v>
      </c>
      <c r="F6" s="13" t="inlineStr">
        <is>
          <t>Equivalente Ácido (Base Ativa)</t>
        </is>
      </c>
      <c r="G6" s="13" t="inlineStr">
        <is>
          <t>Glifosato (Equivalente Ácido)</t>
        </is>
      </c>
      <c r="H6" s="13" t="inlineStr">
        <is>
          <t>Equivalente ácido de N-(phosphonomethyl)glycine</t>
        </is>
      </c>
      <c r="I6" s="13" t="inlineStr">
        <is>
          <t>Glicina substituída</t>
        </is>
      </c>
      <c r="J6" s="13" t="inlineStr">
        <is>
          <t>HRAC Grupo G</t>
        </is>
      </c>
      <c r="K6" s="13" t="inlineStr">
        <is>
          <t>Inibidores de EPSPs</t>
        </is>
      </c>
      <c r="L6" s="15" t="n">
        <v>720</v>
      </c>
      <c r="M6" s="13" t="inlineStr">
        <is>
          <t>g/kg</t>
        </is>
      </c>
      <c r="N6" s="13" t="inlineStr">
        <is>
          <t>Nº 01998 (Glifosate Técnico Monsanto)</t>
        </is>
      </c>
    </row>
    <row r="7" ht="22" customHeight="1">
      <c r="A7" s="6" t="inlineStr">
        <is>
          <t>CMP-0003</t>
        </is>
      </c>
      <c r="B7" s="5" t="n">
        <v>1014</v>
      </c>
      <c r="C7" s="7" t="inlineStr">
        <is>
          <t>Nº 002094</t>
        </is>
      </c>
      <c r="D7" s="8" t="inlineStr">
        <is>
          <t>ROUNDUP WG</t>
        </is>
      </c>
      <c r="E7" s="5" t="n">
        <v>3</v>
      </c>
      <c r="F7" s="7" t="inlineStr">
        <is>
          <t>Outros Ingredientes / Inertes</t>
        </is>
      </c>
      <c r="G7" s="7" t="inlineStr">
        <is>
          <t>Excipientes e Dispersantes WG</t>
        </is>
      </c>
      <c r="H7" s="7" t="inlineStr">
        <is>
          <t>Ingredientes inertes de formulação</t>
        </is>
      </c>
      <c r="I7" s="7" t="inlineStr">
        <is>
          <t>Inerte</t>
        </is>
      </c>
      <c r="J7" s="7" t="inlineStr">
        <is>
          <t>N/A</t>
        </is>
      </c>
      <c r="K7" s="7" t="inlineStr">
        <is>
          <t>Veículo dispersante</t>
        </is>
      </c>
      <c r="L7" s="17" t="n">
        <v>207.5</v>
      </c>
      <c r="M7" s="7" t="inlineStr">
        <is>
          <t>g/kg</t>
        </is>
      </c>
      <c r="N7" s="7" t="inlineStr">
        <is>
          <t>Insumo de Formulação</t>
        </is>
      </c>
    </row>
    <row r="8" ht="22" customHeight="1">
      <c r="A8" s="12" t="inlineStr">
        <is>
          <t>CMP-0004</t>
        </is>
      </c>
      <c r="B8" s="11" t="n">
        <v>1</v>
      </c>
      <c r="C8" s="13" t="inlineStr">
        <is>
          <t>Nº 0315</t>
        </is>
      </c>
      <c r="D8" s="14" t="inlineStr">
        <is>
          <t>2-4 D AGCN</t>
        </is>
      </c>
      <c r="E8" s="11" t="n">
        <v>1</v>
      </c>
      <c r="F8" s="13" t="inlineStr">
        <is>
          <t>Ingrediente Ativo Principal</t>
        </is>
      </c>
      <c r="G8" s="13" t="inlineStr">
        <is>
          <t>2,4-D SAL DIMETILAMINA 806 g/L (Equiv. 670 g/L 2,4-D Ácido)</t>
        </is>
      </c>
      <c r="H8" s="13" t="inlineStr">
        <is>
          <t>(2,4-dichlorophenoxy)acetic acid (Sal Dimetilamina)</t>
        </is>
      </c>
      <c r="I8" s="13" t="inlineStr">
        <is>
          <t>Ácido ariloxialcanoico</t>
        </is>
      </c>
      <c r="J8" s="13" t="inlineStr">
        <is>
          <t>HRAC Grupo O (4) — Auxinas Sintéticas</t>
        </is>
      </c>
      <c r="K8" s="13" t="inlineStr">
        <is>
          <t>Mimetizadores da auxina (ácido indolacético - AIA)</t>
        </is>
      </c>
      <c r="L8" s="15" t="n">
        <v>806</v>
      </c>
      <c r="M8" s="13" t="inlineStr">
        <is>
          <t>g/L</t>
        </is>
      </c>
      <c r="N8" s="13" t="inlineStr">
        <is>
          <t>Registro Técnico Vinculado MAPA</t>
        </is>
      </c>
    </row>
    <row r="9" ht="22" customHeight="1">
      <c r="A9" s="6" t="inlineStr">
        <is>
          <t>CMP-0005</t>
        </is>
      </c>
      <c r="B9" s="5" t="n">
        <v>2</v>
      </c>
      <c r="C9" s="7" t="inlineStr">
        <is>
          <t>Nº 0315</t>
        </is>
      </c>
      <c r="D9" s="8" t="inlineStr">
        <is>
          <t>AGCN 2,4-D</t>
        </is>
      </c>
      <c r="E9" s="5" t="n">
        <v>1</v>
      </c>
      <c r="F9" s="7" t="inlineStr">
        <is>
          <t>Ingrediente Ativo Principal</t>
        </is>
      </c>
      <c r="G9" s="7" t="inlineStr">
        <is>
          <t>2,4-D SAL DIMETILAMINA 806 g/L (Equiv. 670 g/L 2,4-D Ácido)</t>
        </is>
      </c>
      <c r="H9" s="7" t="inlineStr">
        <is>
          <t>(2,4-dichlorophenoxy)acetic acid (Sal Dimetilamina)</t>
        </is>
      </c>
      <c r="I9" s="7" t="inlineStr">
        <is>
          <t>Ácido ariloxialcanoico</t>
        </is>
      </c>
      <c r="J9" s="7" t="inlineStr">
        <is>
          <t>HRAC Grupo O (4) — Auxinas Sintéticas</t>
        </is>
      </c>
      <c r="K9" s="7" t="inlineStr">
        <is>
          <t>Mimetizadores da auxina (ácido indolacético - AIA)</t>
        </is>
      </c>
      <c r="L9" s="9" t="n">
        <v>806</v>
      </c>
      <c r="M9" s="7" t="inlineStr">
        <is>
          <t>g/L</t>
        </is>
      </c>
      <c r="N9" s="7" t="inlineStr">
        <is>
          <t>Registro Técnico Vinculado MAPA</t>
        </is>
      </c>
    </row>
    <row r="10" ht="22" customHeight="1">
      <c r="A10" s="12" t="inlineStr">
        <is>
          <t>CMP-0006</t>
        </is>
      </c>
      <c r="B10" s="11" t="n">
        <v>3</v>
      </c>
      <c r="C10" s="13" t="inlineStr">
        <is>
          <t>Nº 6908</t>
        </is>
      </c>
      <c r="D10" s="14" t="inlineStr">
        <is>
          <t>MIRANT</t>
        </is>
      </c>
      <c r="E10" s="11" t="n">
        <v>1</v>
      </c>
      <c r="F10" s="13" t="inlineStr">
        <is>
          <t>Ingrediente Ativo Principal</t>
        </is>
      </c>
      <c r="G10" s="13" t="inlineStr">
        <is>
          <t>2,4-D SAL DIMETILAMINA 806 g/L (Equiv. 670 g/L 2,4-D Ácido)</t>
        </is>
      </c>
      <c r="H10" s="13" t="inlineStr">
        <is>
          <t>(2,4-dichlorophenoxy)acetic acid (Sal Dimetilamina)</t>
        </is>
      </c>
      <c r="I10" s="13" t="inlineStr">
        <is>
          <t>Ácido ariloxialcanoico</t>
        </is>
      </c>
      <c r="J10" s="13" t="inlineStr">
        <is>
          <t>HRAC Grupo O (4) — Auxinas Sintéticas</t>
        </is>
      </c>
      <c r="K10" s="13" t="inlineStr">
        <is>
          <t>Mimetizadores da auxina (ácido indolacético - AIA)</t>
        </is>
      </c>
      <c r="L10" s="15" t="n">
        <v>806</v>
      </c>
      <c r="M10" s="13" t="inlineStr">
        <is>
          <t>g/L</t>
        </is>
      </c>
      <c r="N10" s="13" t="inlineStr">
        <is>
          <t>Registro Técnico Vinculado MAPA</t>
        </is>
      </c>
    </row>
    <row r="11" ht="22" customHeight="1">
      <c r="A11" s="6" t="inlineStr">
        <is>
          <t>CMP-0007</t>
        </is>
      </c>
      <c r="B11" s="5" t="n">
        <v>4</v>
      </c>
      <c r="C11" s="7" t="inlineStr">
        <is>
          <t>Nº 2704</t>
        </is>
      </c>
      <c r="D11" s="8" t="inlineStr">
        <is>
          <t>U 46 PRIME</t>
        </is>
      </c>
      <c r="E11" s="5" t="n">
        <v>1</v>
      </c>
      <c r="F11" s="7" t="inlineStr">
        <is>
          <t>Ingrediente Ativo Principal</t>
        </is>
      </c>
      <c r="G11" s="7" t="inlineStr">
        <is>
          <t>2,4-D SAL DIMETILAMINA 806 g/L (Equiv. 670 g/L 2,4-D Ácido)</t>
        </is>
      </c>
      <c r="H11" s="7" t="inlineStr">
        <is>
          <t>(2,4-dichlorophenoxy)acetic acid (Sal Dimetilamina)</t>
        </is>
      </c>
      <c r="I11" s="7" t="inlineStr">
        <is>
          <t>Ácido ariloxialcanoico</t>
        </is>
      </c>
      <c r="J11" s="7" t="inlineStr">
        <is>
          <t>HRAC Grupo O (4) — Auxinas Sintéticas</t>
        </is>
      </c>
      <c r="K11" s="7" t="inlineStr">
        <is>
          <t>Mimetizadores da auxina (ácido indolacético - AIA)</t>
        </is>
      </c>
      <c r="L11" s="9" t="n">
        <v>806</v>
      </c>
      <c r="M11" s="7" t="inlineStr">
        <is>
          <t>g/L</t>
        </is>
      </c>
      <c r="N11" s="7" t="inlineStr">
        <is>
          <t>Registro Técnico Vinculado MAPA</t>
        </is>
      </c>
    </row>
    <row r="12" ht="22" customHeight="1">
      <c r="A12" s="12" t="inlineStr">
        <is>
          <t>CMP-0008</t>
        </is>
      </c>
      <c r="B12" s="11" t="n">
        <v>5</v>
      </c>
      <c r="C12" s="13" t="inlineStr">
        <is>
          <t>Nº 19917</t>
        </is>
      </c>
      <c r="D12" s="14" t="inlineStr">
        <is>
          <t>ABADIN 72 EC</t>
        </is>
      </c>
      <c r="E12" s="11" t="n">
        <v>1</v>
      </c>
      <c r="F12" s="13" t="inlineStr">
        <is>
          <t>Ingrediente Ativo Principal</t>
        </is>
      </c>
      <c r="G12" s="13" t="inlineStr">
        <is>
          <t>ABAMECTINA 72</t>
        </is>
      </c>
      <c r="H12" s="13" t="inlineStr">
        <is>
          <t>Mistura &gt;=80% Avermectina B1a e &lt;=20% Avermectina B1b</t>
        </is>
      </c>
      <c r="I12" s="13" t="inlineStr">
        <is>
          <t>Avermectina (Lactona Macrocíclica)</t>
        </is>
      </c>
      <c r="J12" s="13" t="inlineStr">
        <is>
          <t>IRAC Grupo 6</t>
        </is>
      </c>
      <c r="K12" s="13" t="inlineStr">
        <is>
          <t>Moduladores alostéricos de canais de cloro mediados pelo glutamato (GluCl)</t>
        </is>
      </c>
      <c r="L12" s="15" t="n">
        <v>72</v>
      </c>
      <c r="M12" s="13" t="inlineStr">
        <is>
          <t>g/L</t>
        </is>
      </c>
      <c r="N12" s="13" t="inlineStr">
        <is>
          <t>Registro Técnico Vinculado MAPA</t>
        </is>
      </c>
    </row>
    <row r="13" ht="22" customHeight="1">
      <c r="A13" s="6" t="inlineStr">
        <is>
          <t>CMP-0009</t>
        </is>
      </c>
      <c r="B13" s="5" t="n">
        <v>6</v>
      </c>
      <c r="C13" s="7" t="inlineStr">
        <is>
          <t>Nº 1378704</t>
        </is>
      </c>
      <c r="D13" s="8" t="inlineStr">
        <is>
          <t>ACEFATO 750</t>
        </is>
      </c>
      <c r="E13" s="5" t="n">
        <v>1</v>
      </c>
      <c r="F13" s="7" t="inlineStr">
        <is>
          <t>Ingrediente Ativo Principal</t>
        </is>
      </c>
      <c r="G13" s="7" t="inlineStr">
        <is>
          <t>ACEFATO 750</t>
        </is>
      </c>
      <c r="H13" s="7" t="inlineStr">
        <is>
          <t>O,S-dimethyl acetylphosphoramidothioate</t>
        </is>
      </c>
      <c r="I13" s="7" t="inlineStr">
        <is>
          <t>Organofosforado</t>
        </is>
      </c>
      <c r="J13" s="7" t="inlineStr">
        <is>
          <t>IRAC Grupo 1B</t>
        </is>
      </c>
      <c r="K13" s="7" t="inlineStr">
        <is>
          <t>Inibidores da enzima acetilcolinesterase (AChE)</t>
        </is>
      </c>
      <c r="L13" s="9" t="n">
        <v>750</v>
      </c>
      <c r="M13" s="7" t="inlineStr">
        <is>
          <t>g/kg</t>
        </is>
      </c>
      <c r="N13" s="7" t="inlineStr">
        <is>
          <t>Registro Técnico Vinculado MAPA</t>
        </is>
      </c>
    </row>
    <row r="14" ht="22" customHeight="1">
      <c r="A14" s="12" t="inlineStr">
        <is>
          <t>CMP-0010</t>
        </is>
      </c>
      <c r="B14" s="11" t="n">
        <v>7</v>
      </c>
      <c r="C14" s="13" t="inlineStr">
        <is>
          <t>Nº 458294</t>
        </is>
      </c>
      <c r="D14" s="14" t="inlineStr">
        <is>
          <t>ACEFATO FERSOL 750</t>
        </is>
      </c>
      <c r="E14" s="11" t="n">
        <v>1</v>
      </c>
      <c r="F14" s="13" t="inlineStr">
        <is>
          <t>Ingrediente Ativo Principal</t>
        </is>
      </c>
      <c r="G14" s="13" t="inlineStr">
        <is>
          <t>ACEFATO 750</t>
        </is>
      </c>
      <c r="H14" s="13" t="inlineStr">
        <is>
          <t>O,S-dimethyl acetylphosphoramidothioate</t>
        </is>
      </c>
      <c r="I14" s="13" t="inlineStr">
        <is>
          <t>Organofosforado</t>
        </is>
      </c>
      <c r="J14" s="13" t="inlineStr">
        <is>
          <t>IRAC Grupo 1B</t>
        </is>
      </c>
      <c r="K14" s="13" t="inlineStr">
        <is>
          <t>Inibidores da enzima acetilcolinesterase (AChE)</t>
        </is>
      </c>
      <c r="L14" s="15" t="n">
        <v>750</v>
      </c>
      <c r="M14" s="13" t="inlineStr">
        <is>
          <t>g/kg</t>
        </is>
      </c>
      <c r="N14" s="13" t="inlineStr">
        <is>
          <t>Registro Técnico Vinculado MAPA</t>
        </is>
      </c>
    </row>
    <row r="15" ht="22" customHeight="1">
      <c r="A15" s="6" t="inlineStr">
        <is>
          <t>CMP-0011</t>
        </is>
      </c>
      <c r="B15" s="5" t="n">
        <v>8</v>
      </c>
      <c r="C15" s="7" t="inlineStr">
        <is>
          <t>Nº 20817</t>
        </is>
      </c>
      <c r="D15" s="8" t="inlineStr">
        <is>
          <t>TRISHUL 750 SP</t>
        </is>
      </c>
      <c r="E15" s="5" t="n">
        <v>1</v>
      </c>
      <c r="F15" s="7" t="inlineStr">
        <is>
          <t>Ingrediente Ativo Principal</t>
        </is>
      </c>
      <c r="G15" s="7" t="inlineStr">
        <is>
          <t>ACEFATO 750</t>
        </is>
      </c>
      <c r="H15" s="7" t="inlineStr">
        <is>
          <t>O,S-dimethyl acetylphosphoramidothioate</t>
        </is>
      </c>
      <c r="I15" s="7" t="inlineStr">
        <is>
          <t>Organofosforado</t>
        </is>
      </c>
      <c r="J15" s="7" t="inlineStr">
        <is>
          <t>IRAC Grupo 1B</t>
        </is>
      </c>
      <c r="K15" s="7" t="inlineStr">
        <is>
          <t>Inibidores da enzima acetilcolinesterase (AChE)</t>
        </is>
      </c>
      <c r="L15" s="9" t="n">
        <v>750</v>
      </c>
      <c r="M15" s="7" t="inlineStr">
        <is>
          <t>g/kg</t>
        </is>
      </c>
      <c r="N15" s="7" t="inlineStr">
        <is>
          <t>Registro Técnico Vinculado MAPA</t>
        </is>
      </c>
    </row>
    <row r="16" ht="22" customHeight="1">
      <c r="A16" s="12" t="inlineStr">
        <is>
          <t>CMP-0012</t>
        </is>
      </c>
      <c r="B16" s="11" t="n">
        <v>9</v>
      </c>
      <c r="C16" s="13" t="inlineStr">
        <is>
          <t>Nº 1378704</t>
        </is>
      </c>
      <c r="D16" s="14" t="inlineStr">
        <is>
          <t>CEFANOL</t>
        </is>
      </c>
      <c r="E16" s="11" t="n">
        <v>1</v>
      </c>
      <c r="F16" s="13" t="inlineStr">
        <is>
          <t>Ingrediente Ativo Principal</t>
        </is>
      </c>
      <c r="G16" s="13" t="inlineStr">
        <is>
          <t>ACEFATO 750</t>
        </is>
      </c>
      <c r="H16" s="13" t="inlineStr">
        <is>
          <t>O,S-dimethyl acetylphosphoramidothioate</t>
        </is>
      </c>
      <c r="I16" s="13" t="inlineStr">
        <is>
          <t>Organofosforado</t>
        </is>
      </c>
      <c r="J16" s="13" t="inlineStr">
        <is>
          <t>IRAC Grupo 1B</t>
        </is>
      </c>
      <c r="K16" s="13" t="inlineStr">
        <is>
          <t>Inibidores da enzima acetilcolinesterase (AChE)</t>
        </is>
      </c>
      <c r="L16" s="15" t="n">
        <v>750</v>
      </c>
      <c r="M16" s="13" t="inlineStr">
        <is>
          <t>g/kg</t>
        </is>
      </c>
      <c r="N16" s="13" t="inlineStr">
        <is>
          <t>Registro Técnico Vinculado MAPA</t>
        </is>
      </c>
    </row>
    <row r="17" ht="22" customHeight="1">
      <c r="A17" s="6" t="inlineStr">
        <is>
          <t>CMP-0013</t>
        </is>
      </c>
      <c r="B17" s="5" t="n">
        <v>10</v>
      </c>
      <c r="C17" s="7" t="inlineStr">
        <is>
          <t>Nº 23121</t>
        </is>
      </c>
      <c r="D17" s="8" t="inlineStr">
        <is>
          <t>ASLAN SL</t>
        </is>
      </c>
      <c r="E17" s="5" t="n">
        <v>1</v>
      </c>
      <c r="F17" s="7" t="inlineStr">
        <is>
          <t>Ingrediente Ativo Principal</t>
        </is>
      </c>
      <c r="G17" s="7" t="inlineStr">
        <is>
          <t>ACETAMIPRIDO 100</t>
        </is>
      </c>
      <c r="H17" s="7" t="inlineStr">
        <is>
          <t>(E)-N1-[(6-chloro-3-pyridyl)methyl]-N2-cyano-N1-methylacetamidine</t>
        </is>
      </c>
      <c r="I17" s="7" t="inlineStr">
        <is>
          <t>Neonicotinoide</t>
        </is>
      </c>
      <c r="J17" s="7" t="inlineStr">
        <is>
          <t>IRAC Grupo 4A</t>
        </is>
      </c>
      <c r="K17" s="7" t="inlineStr">
        <is>
          <t>Moduladores competitivos de receptores nicotínicos da acetilcolina (nAChR)</t>
        </is>
      </c>
      <c r="L17" s="9" t="n">
        <v>100</v>
      </c>
      <c r="M17" s="7" t="inlineStr">
        <is>
          <t>g/L</t>
        </is>
      </c>
      <c r="N17" s="7" t="inlineStr">
        <is>
          <t>Registro Técnico Vinculado MAPA</t>
        </is>
      </c>
    </row>
    <row r="18" ht="22" customHeight="1">
      <c r="A18" s="12" t="inlineStr">
        <is>
          <t>CMP-0014</t>
        </is>
      </c>
      <c r="B18" s="11" t="n">
        <v>10</v>
      </c>
      <c r="C18" s="13" t="inlineStr">
        <is>
          <t>Nº 23121</t>
        </is>
      </c>
      <c r="D18" s="14" t="inlineStr">
        <is>
          <t>ASLAN SL</t>
        </is>
      </c>
      <c r="E18" s="11" t="n">
        <v>2</v>
      </c>
      <c r="F18" s="13" t="inlineStr">
        <is>
          <t>Ingrediente Ativo Principal</t>
        </is>
      </c>
      <c r="G18" s="13" t="inlineStr">
        <is>
          <t>BIFENTRINA 67</t>
        </is>
      </c>
      <c r="H18" s="13" t="inlineStr">
        <is>
          <t>2-methylbiphenyl-3-ylmethyl (Z)-(1RS,3RS)-3-(2-chloro-3,3,3-trifluoroprop-1-enyl)-2,2-dimethylcyclopropanecarboxylate</t>
        </is>
      </c>
      <c r="I18" s="13" t="inlineStr">
        <is>
          <t>Piretroide (Tipo I)</t>
        </is>
      </c>
      <c r="J18" s="13" t="inlineStr">
        <is>
          <t>IRAC Grupo 3A</t>
        </is>
      </c>
      <c r="K18" s="13" t="inlineStr">
        <is>
          <t>Moduladores de canais de sódio em membranas nervosas</t>
        </is>
      </c>
      <c r="L18" s="15" t="n">
        <v>67</v>
      </c>
      <c r="M18" s="13" t="inlineStr">
        <is>
          <t>g/L</t>
        </is>
      </c>
      <c r="N18" s="13" t="inlineStr">
        <is>
          <t>Registro Técnico Vinculado MAPA</t>
        </is>
      </c>
    </row>
    <row r="19" ht="22" customHeight="1">
      <c r="A19" s="6" t="inlineStr">
        <is>
          <t>CMP-0015</t>
        </is>
      </c>
      <c r="B19" s="5" t="n">
        <v>11</v>
      </c>
      <c r="C19" s="7" t="inlineStr">
        <is>
          <t>Nº 26718</t>
        </is>
      </c>
      <c r="D19" s="8" t="inlineStr">
        <is>
          <t>DINKY</t>
        </is>
      </c>
      <c r="E19" s="5" t="n">
        <v>1</v>
      </c>
      <c r="F19" s="7" t="inlineStr">
        <is>
          <t>Ingrediente Ativo Principal</t>
        </is>
      </c>
      <c r="G19" s="7" t="inlineStr">
        <is>
          <t>ACETAMIPRID 200</t>
        </is>
      </c>
      <c r="H19" s="7" t="inlineStr">
        <is>
          <t>(E)-N1-[(6-chloro-3-pyridyl)methyl]-N2-cyano-N1-methylacetamidine</t>
        </is>
      </c>
      <c r="I19" s="7" t="inlineStr">
        <is>
          <t>Neonicotinoide</t>
        </is>
      </c>
      <c r="J19" s="7" t="inlineStr">
        <is>
          <t>IRAC Grupo 4A</t>
        </is>
      </c>
      <c r="K19" s="7" t="inlineStr">
        <is>
          <t>Moduladores competitivos de receptores nicotínicos da acetilcolina (nAChR)</t>
        </is>
      </c>
      <c r="L19" s="9" t="n">
        <v>200</v>
      </c>
      <c r="M19" s="7" t="inlineStr">
        <is>
          <t>g/kg</t>
        </is>
      </c>
      <c r="N19" s="7" t="inlineStr">
        <is>
          <t>Registro Técnico Vinculado MAPA</t>
        </is>
      </c>
    </row>
    <row r="20" ht="22" customHeight="1">
      <c r="A20" s="12" t="inlineStr">
        <is>
          <t>CMP-0016</t>
        </is>
      </c>
      <c r="B20" s="11" t="n">
        <v>12</v>
      </c>
      <c r="C20" s="13" t="inlineStr">
        <is>
          <t>Nº 11018</t>
        </is>
      </c>
      <c r="D20" s="14" t="inlineStr">
        <is>
          <t>JAVA 200 SP</t>
        </is>
      </c>
      <c r="E20" s="11" t="n">
        <v>1</v>
      </c>
      <c r="F20" s="13" t="inlineStr">
        <is>
          <t>Ingrediente Ativo Principal</t>
        </is>
      </c>
      <c r="G20" s="13" t="inlineStr">
        <is>
          <t>ACETAMIPRID 200</t>
        </is>
      </c>
      <c r="H20" s="13" t="inlineStr">
        <is>
          <t>(E)-N1-[(6-chloro-3-pyridyl)methyl]-N2-cyano-N1-methylacetamidine</t>
        </is>
      </c>
      <c r="I20" s="13" t="inlineStr">
        <is>
          <t>Neonicotinoide</t>
        </is>
      </c>
      <c r="J20" s="13" t="inlineStr">
        <is>
          <t>IRAC Grupo 4A</t>
        </is>
      </c>
      <c r="K20" s="13" t="inlineStr">
        <is>
          <t>Moduladores competitivos de receptores nicotínicos da acetilcolina (nAChR)</t>
        </is>
      </c>
      <c r="L20" s="15" t="n">
        <v>200</v>
      </c>
      <c r="M20" s="13" t="inlineStr">
        <is>
          <t>g/kg</t>
        </is>
      </c>
      <c r="N20" s="13" t="inlineStr">
        <is>
          <t>Registro Técnico Vinculado MAPA</t>
        </is>
      </c>
    </row>
    <row r="21" ht="22" customHeight="1">
      <c r="A21" s="6" t="inlineStr">
        <is>
          <t>CMP-0017</t>
        </is>
      </c>
      <c r="B21" s="5" t="n">
        <v>13</v>
      </c>
      <c r="C21" s="7" t="inlineStr">
        <is>
          <t>Nº 28017</t>
        </is>
      </c>
      <c r="D21" s="8" t="inlineStr">
        <is>
          <t>RODOLIA 200 SP</t>
        </is>
      </c>
      <c r="E21" s="5" t="n">
        <v>1</v>
      </c>
      <c r="F21" s="7" t="inlineStr">
        <is>
          <t>Ingrediente Ativo Principal</t>
        </is>
      </c>
      <c r="G21" s="7" t="inlineStr">
        <is>
          <t>ACETAMIPRID 200</t>
        </is>
      </c>
      <c r="H21" s="7" t="inlineStr">
        <is>
          <t>(E)-N1-[(6-chloro-3-pyridyl)methyl]-N2-cyano-N1-methylacetamidine</t>
        </is>
      </c>
      <c r="I21" s="7" t="inlineStr">
        <is>
          <t>Neonicotinoide</t>
        </is>
      </c>
      <c r="J21" s="7" t="inlineStr">
        <is>
          <t>IRAC Grupo 4A</t>
        </is>
      </c>
      <c r="K21" s="7" t="inlineStr">
        <is>
          <t>Moduladores competitivos de receptores nicotínicos da acetilcolina (nAChR)</t>
        </is>
      </c>
      <c r="L21" s="9" t="n">
        <v>200</v>
      </c>
      <c r="M21" s="7" t="inlineStr">
        <is>
          <t>g/kg</t>
        </is>
      </c>
      <c r="N21" s="7" t="inlineStr">
        <is>
          <t>Registro Técnico Vinculado MAPA</t>
        </is>
      </c>
    </row>
    <row r="22" ht="22" customHeight="1">
      <c r="A22" s="12" t="inlineStr">
        <is>
          <t>CMP-0018</t>
        </is>
      </c>
      <c r="B22" s="11" t="n">
        <v>14</v>
      </c>
      <c r="C22" s="13" t="inlineStr">
        <is>
          <t>ISENTO (ATO 104/2017)</t>
        </is>
      </c>
      <c r="D22" s="14" t="inlineStr">
        <is>
          <t>AGCN SAFE AIR</t>
        </is>
      </c>
      <c r="E22" s="11" t="n">
        <v>1</v>
      </c>
      <c r="F22" s="13" t="inlineStr">
        <is>
          <t>Ingrediente Ativo Principal</t>
        </is>
      </c>
      <c r="G22" s="13" t="inlineStr">
        <is>
          <t>ADJUVANTE</t>
        </is>
      </c>
      <c r="H22" s="13" t="inlineStr">
        <is>
          <t>Adjuvante Agrícola de Calda (ADJUVANTE)</t>
        </is>
      </c>
      <c r="I22" s="13" t="inlineStr">
        <is>
          <t>Éster Metílico / Hidrocarboneto Parafínico / Tensoativo Siliconado</t>
        </is>
      </c>
      <c r="J22" s="13" t="inlineStr">
        <is>
          <t>Adjuvante Tecnológico de Pulverização</t>
        </is>
      </c>
      <c r="K22" s="13" t="inlineStr">
        <is>
          <t>Redução da tensão superficial, espalhamento, anti-deriva e penetração cuticular</t>
        </is>
      </c>
      <c r="L22" s="15" t="n">
        <v>500</v>
      </c>
      <c r="M22" s="13" t="inlineStr">
        <is>
          <t>g/L</t>
        </is>
      </c>
      <c r="N22" s="13" t="inlineStr">
        <is>
          <t>Registro Técnico Vinculado MAPA</t>
        </is>
      </c>
    </row>
    <row r="23" ht="22" customHeight="1">
      <c r="A23" s="6" t="inlineStr">
        <is>
          <t>CMP-0019</t>
        </is>
      </c>
      <c r="B23" s="5" t="n">
        <v>15</v>
      </c>
      <c r="C23" s="7" t="inlineStr">
        <is>
          <t>ISENTO (ATO 104/2017)</t>
        </is>
      </c>
      <c r="D23" s="8" t="inlineStr">
        <is>
          <t>AGCN SAFE DESSEK</t>
        </is>
      </c>
      <c r="E23" s="5" t="n">
        <v>1</v>
      </c>
      <c r="F23" s="7" t="inlineStr">
        <is>
          <t>Ingrediente Ativo Principal</t>
        </is>
      </c>
      <c r="G23" s="7" t="inlineStr">
        <is>
          <t>ADJUVANTE (REDUTOR DE PH E DERIVA)</t>
        </is>
      </c>
      <c r="H23" s="7" t="inlineStr">
        <is>
          <t>Adjuvante Agrícola de Calda (ADJUVANTE (REDUTOR DE PH E DERIVA))</t>
        </is>
      </c>
      <c r="I23" s="7" t="inlineStr">
        <is>
          <t>Éster Metílico / Hidrocarboneto Parafínico / Tensoativo Siliconado</t>
        </is>
      </c>
      <c r="J23" s="7" t="inlineStr">
        <is>
          <t>Adjuvante Tecnológico de Pulverização</t>
        </is>
      </c>
      <c r="K23" s="7" t="inlineStr">
        <is>
          <t>Redução da tensão superficial, espalhamento, anti-deriva e penetração cuticular</t>
        </is>
      </c>
      <c r="L23" s="9" t="n">
        <v>500</v>
      </c>
      <c r="M23" s="7" t="inlineStr">
        <is>
          <t>g/L</t>
        </is>
      </c>
      <c r="N23" s="7" t="inlineStr">
        <is>
          <t>Registro Técnico Vinculado MAPA</t>
        </is>
      </c>
    </row>
    <row r="24" ht="22" customHeight="1">
      <c r="A24" s="12" t="inlineStr">
        <is>
          <t>CMP-0020</t>
        </is>
      </c>
      <c r="B24" s="11" t="n">
        <v>16</v>
      </c>
      <c r="C24" s="13" t="inlineStr">
        <is>
          <t>ISENTO (ATO 104/2017)</t>
        </is>
      </c>
      <c r="D24" s="14" t="inlineStr">
        <is>
          <t>AGCN SAFE SPRAY</t>
        </is>
      </c>
      <c r="E24" s="11" t="n">
        <v>1</v>
      </c>
      <c r="F24" s="13" t="inlineStr">
        <is>
          <t>Ingrediente Ativo Principal</t>
        </is>
      </c>
      <c r="G24" s="13" t="inlineStr">
        <is>
          <t>ADJUVANTE (MULTI FUNCAO)</t>
        </is>
      </c>
      <c r="H24" s="13" t="inlineStr">
        <is>
          <t>Adjuvante Agrícola de Calda (ADJUVANTE (MULTI FUNCAO))</t>
        </is>
      </c>
      <c r="I24" s="13" t="inlineStr">
        <is>
          <t>Éster Metílico / Hidrocarboneto Parafínico / Tensoativo Siliconado</t>
        </is>
      </c>
      <c r="J24" s="13" t="inlineStr">
        <is>
          <t>Adjuvante Tecnológico de Pulverização</t>
        </is>
      </c>
      <c r="K24" s="13" t="inlineStr">
        <is>
          <t>Redução da tensão superficial, espalhamento, anti-deriva e penetração cuticular</t>
        </is>
      </c>
      <c r="L24" s="15" t="n">
        <v>500</v>
      </c>
      <c r="M24" s="13" t="inlineStr">
        <is>
          <t>g/L</t>
        </is>
      </c>
      <c r="N24" s="13" t="inlineStr">
        <is>
          <t>Registro Técnico Vinculado MAPA</t>
        </is>
      </c>
    </row>
    <row r="25" ht="22" customHeight="1">
      <c r="A25" s="6" t="inlineStr">
        <is>
          <t>CMP-0021</t>
        </is>
      </c>
      <c r="B25" s="5" t="n">
        <v>17</v>
      </c>
      <c r="C25" s="7" t="inlineStr">
        <is>
          <t>SIPEAGRO (UF-XXXXX)</t>
        </is>
      </c>
      <c r="D25" s="8" t="inlineStr">
        <is>
          <t>AGCN SEED</t>
        </is>
      </c>
      <c r="E25" s="5" t="n">
        <v>1</v>
      </c>
      <c r="F25" s="7" t="inlineStr">
        <is>
          <t>Nutriente Garantido</t>
        </is>
      </c>
      <c r="G25" s="7" t="inlineStr">
        <is>
          <t>CO 1%</t>
        </is>
      </c>
      <c r="H25" s="7" t="inlineStr">
        <is>
          <t>Composição Nutricional Oficial (CO 1%)</t>
        </is>
      </c>
      <c r="I25" s="7" t="inlineStr">
        <is>
          <t>Fertilizante Mineral / Organomineral (Lei nº 6.894/1980)</t>
        </is>
      </c>
      <c r="J25" s="7" t="inlineStr">
        <is>
          <t>Nutrição Vegetal SIPEAGRO</t>
        </is>
      </c>
      <c r="K25" s="7" t="inlineStr">
        <is>
          <t>Fornecimento de macro e micronutrientes essenciais ao metabolismo vegetal</t>
        </is>
      </c>
      <c r="L25" s="9" t="n">
        <v>1</v>
      </c>
      <c r="M25" s="7" t="inlineStr">
        <is>
          <t>% m/m</t>
        </is>
      </c>
      <c r="N25" s="7" t="inlineStr">
        <is>
          <t>Registro Técnico Vinculado MAPA</t>
        </is>
      </c>
    </row>
    <row r="26" ht="22" customHeight="1">
      <c r="A26" s="12" t="inlineStr">
        <is>
          <t>CMP-0022</t>
        </is>
      </c>
      <c r="B26" s="11" t="n">
        <v>17</v>
      </c>
      <c r="C26" s="13" t="inlineStr">
        <is>
          <t>SIPEAGRO (UF-XXXXX)</t>
        </is>
      </c>
      <c r="D26" s="14" t="inlineStr">
        <is>
          <t>AGCN SEED</t>
        </is>
      </c>
      <c r="E26" s="11" t="n">
        <v>2</v>
      </c>
      <c r="F26" s="13" t="inlineStr">
        <is>
          <t>Nutriente Garantido</t>
        </is>
      </c>
      <c r="G26" s="13" t="inlineStr">
        <is>
          <t>MO 10%</t>
        </is>
      </c>
      <c r="H26" s="13" t="inlineStr">
        <is>
          <t>Composição Nutricional Oficial (MO 10%)</t>
        </is>
      </c>
      <c r="I26" s="13" t="inlineStr">
        <is>
          <t>Fertilizante Mineral / Organomineral (Lei nº 6.894/1980)</t>
        </is>
      </c>
      <c r="J26" s="13" t="inlineStr">
        <is>
          <t>Nutrição Vegetal SIPEAGRO</t>
        </is>
      </c>
      <c r="K26" s="13" t="inlineStr">
        <is>
          <t>Fornecimento de macro e micronutrientes essenciais ao metabolismo vegetal</t>
        </is>
      </c>
      <c r="L26" s="15" t="n">
        <v>10</v>
      </c>
      <c r="M26" s="13" t="inlineStr">
        <is>
          <t>% m/m</t>
        </is>
      </c>
      <c r="N26" s="13" t="inlineStr">
        <is>
          <t>Registro Técnico Vinculado MAPA</t>
        </is>
      </c>
    </row>
    <row r="27" ht="22" customHeight="1">
      <c r="A27" s="6" t="inlineStr">
        <is>
          <t>CMP-0023</t>
        </is>
      </c>
      <c r="B27" s="5" t="n">
        <v>18</v>
      </c>
      <c r="C27" s="7" t="inlineStr">
        <is>
          <t>SIPEAGRO (UF-XXXXX)</t>
        </is>
      </c>
      <c r="D27" s="8" t="inlineStr">
        <is>
          <t>AGCN SEED ULTRA</t>
        </is>
      </c>
      <c r="E27" s="5" t="n">
        <v>1</v>
      </c>
      <c r="F27" s="7" t="inlineStr">
        <is>
          <t>Nutriente Garantido</t>
        </is>
      </c>
      <c r="G27" s="7" t="inlineStr">
        <is>
          <t>CO 1,5%</t>
        </is>
      </c>
      <c r="H27" s="7" t="inlineStr">
        <is>
          <t>Composição Nutricional Oficial (CO 1,5%)</t>
        </is>
      </c>
      <c r="I27" s="7" t="inlineStr">
        <is>
          <t>Fertilizante Mineral / Organomineral (Lei nº 6.894/1980)</t>
        </is>
      </c>
      <c r="J27" s="7" t="inlineStr">
        <is>
          <t>Nutrição Vegetal SIPEAGRO</t>
        </is>
      </c>
      <c r="K27" s="7" t="inlineStr">
        <is>
          <t>Fornecimento de macro e micronutrientes essenciais ao metabolismo vegetal</t>
        </is>
      </c>
      <c r="L27" s="17" t="n">
        <v>1.5</v>
      </c>
      <c r="M27" s="7" t="inlineStr">
        <is>
          <t>% m/m</t>
        </is>
      </c>
      <c r="N27" s="7" t="inlineStr">
        <is>
          <t>Registro Técnico Vinculado MAPA</t>
        </is>
      </c>
    </row>
    <row r="28" ht="22" customHeight="1">
      <c r="A28" s="12" t="inlineStr">
        <is>
          <t>CMP-0024</t>
        </is>
      </c>
      <c r="B28" s="11" t="n">
        <v>18</v>
      </c>
      <c r="C28" s="13" t="inlineStr">
        <is>
          <t>SIPEAGRO (UF-XXXXX)</t>
        </is>
      </c>
      <c r="D28" s="14" t="inlineStr">
        <is>
          <t>AGCN SEED ULTRA</t>
        </is>
      </c>
      <c r="E28" s="11" t="n">
        <v>2</v>
      </c>
      <c r="F28" s="13" t="inlineStr">
        <is>
          <t>Nutriente Garantido</t>
        </is>
      </c>
      <c r="G28" s="13" t="inlineStr">
        <is>
          <t>MO 6%</t>
        </is>
      </c>
      <c r="H28" s="13" t="inlineStr">
        <is>
          <t>Composição Nutricional Oficial (MO 6%)</t>
        </is>
      </c>
      <c r="I28" s="13" t="inlineStr">
        <is>
          <t>Fertilizante Mineral / Organomineral (Lei nº 6.894/1980)</t>
        </is>
      </c>
      <c r="J28" s="13" t="inlineStr">
        <is>
          <t>Nutrição Vegetal SIPEAGRO</t>
        </is>
      </c>
      <c r="K28" s="13" t="inlineStr">
        <is>
          <t>Fornecimento de macro e micronutrientes essenciais ao metabolismo vegetal</t>
        </is>
      </c>
      <c r="L28" s="15" t="n">
        <v>6</v>
      </c>
      <c r="M28" s="13" t="inlineStr">
        <is>
          <t>% m/m</t>
        </is>
      </c>
      <c r="N28" s="13" t="inlineStr">
        <is>
          <t>Registro Técnico Vinculado MAPA</t>
        </is>
      </c>
    </row>
    <row r="29" ht="22" customHeight="1">
      <c r="A29" s="6" t="inlineStr">
        <is>
          <t>CMP-0025</t>
        </is>
      </c>
      <c r="B29" s="5" t="n">
        <v>18</v>
      </c>
      <c r="C29" s="7" t="inlineStr">
        <is>
          <t>SIPEAGRO (UF-XXXXX)</t>
        </is>
      </c>
      <c r="D29" s="8" t="inlineStr">
        <is>
          <t>AGCN SEED ULTRA</t>
        </is>
      </c>
      <c r="E29" s="5" t="n">
        <v>3</v>
      </c>
      <c r="F29" s="7" t="inlineStr">
        <is>
          <t>Nutriente Garantido</t>
        </is>
      </c>
      <c r="G29" s="7" t="inlineStr">
        <is>
          <t>NI 0,5%</t>
        </is>
      </c>
      <c r="H29" s="7" t="inlineStr">
        <is>
          <t>Composição Nutricional Oficial (NI 0,5%)</t>
        </is>
      </c>
      <c r="I29" s="7" t="inlineStr">
        <is>
          <t>Fertilizante Mineral / Organomineral (Lei nº 6.894/1980)</t>
        </is>
      </c>
      <c r="J29" s="7" t="inlineStr">
        <is>
          <t>Nutrição Vegetal SIPEAGRO</t>
        </is>
      </c>
      <c r="K29" s="7" t="inlineStr">
        <is>
          <t>Fornecimento de macro e micronutrientes essenciais ao metabolismo vegetal</t>
        </is>
      </c>
      <c r="L29" s="17" t="n">
        <v>0.5</v>
      </c>
      <c r="M29" s="7" t="inlineStr">
        <is>
          <t>% m/m</t>
        </is>
      </c>
      <c r="N29" s="7" t="inlineStr">
        <is>
          <t>Registro Técnico Vinculado MAPA</t>
        </is>
      </c>
    </row>
    <row r="30" ht="22" customHeight="1">
      <c r="A30" s="12" t="inlineStr">
        <is>
          <t>CMP-0026</t>
        </is>
      </c>
      <c r="B30" s="11" t="n">
        <v>18</v>
      </c>
      <c r="C30" s="13" t="inlineStr">
        <is>
          <t>SIPEAGRO (UF-XXXXX)</t>
        </is>
      </c>
      <c r="D30" s="14" t="inlineStr">
        <is>
          <t>AGCN SEED ULTRA</t>
        </is>
      </c>
      <c r="E30" s="11" t="n">
        <v>4</v>
      </c>
      <c r="F30" s="13" t="inlineStr">
        <is>
          <t>Nutriente Garantido</t>
        </is>
      </c>
      <c r="G30" s="13" t="inlineStr">
        <is>
          <t>ZN 2,5%</t>
        </is>
      </c>
      <c r="H30" s="13" t="inlineStr">
        <is>
          <t>Composição Nutricional Oficial (ZN 2,5%)</t>
        </is>
      </c>
      <c r="I30" s="13" t="inlineStr">
        <is>
          <t>Fertilizante Mineral / Organomineral (Lei nº 6.894/1980)</t>
        </is>
      </c>
      <c r="J30" s="13" t="inlineStr">
        <is>
          <t>Nutrição Vegetal SIPEAGRO</t>
        </is>
      </c>
      <c r="K30" s="13" t="inlineStr">
        <is>
          <t>Fornecimento de macro e micronutrientes essenciais ao metabolismo vegetal</t>
        </is>
      </c>
      <c r="L30" s="18" t="n">
        <v>2.5</v>
      </c>
      <c r="M30" s="13" t="inlineStr">
        <is>
          <t>% m/m</t>
        </is>
      </c>
      <c r="N30" s="13" t="inlineStr">
        <is>
          <t>Registro Técnico Vinculado MAPA</t>
        </is>
      </c>
    </row>
    <row r="31" ht="22" customHeight="1">
      <c r="A31" s="6" t="inlineStr">
        <is>
          <t>CMP-0027</t>
        </is>
      </c>
      <c r="B31" s="5" t="n">
        <v>18</v>
      </c>
      <c r="C31" s="7" t="inlineStr">
        <is>
          <t>SIPEAGRO (UF-XXXXX)</t>
        </is>
      </c>
      <c r="D31" s="8" t="inlineStr">
        <is>
          <t>AGCN SEED ULTRA</t>
        </is>
      </c>
      <c r="E31" s="5" t="n">
        <v>5</v>
      </c>
      <c r="F31" s="7" t="inlineStr">
        <is>
          <t>Nutriente Garantido</t>
        </is>
      </c>
      <c r="G31" s="7" t="inlineStr">
        <is>
          <t>AA 25%</t>
        </is>
      </c>
      <c r="H31" s="7" t="inlineStr">
        <is>
          <t>Composição Nutricional Oficial (AA 25%)</t>
        </is>
      </c>
      <c r="I31" s="7" t="inlineStr">
        <is>
          <t>Fertilizante Mineral / Organomineral (Lei nº 6.894/1980)</t>
        </is>
      </c>
      <c r="J31" s="7" t="inlineStr">
        <is>
          <t>Nutrição Vegetal SIPEAGRO</t>
        </is>
      </c>
      <c r="K31" s="7" t="inlineStr">
        <is>
          <t>Fornecimento de macro e micronutrientes essenciais ao metabolismo vegetal</t>
        </is>
      </c>
      <c r="L31" s="9" t="n">
        <v>25</v>
      </c>
      <c r="M31" s="7" t="inlineStr">
        <is>
          <t>% m/m</t>
        </is>
      </c>
      <c r="N31" s="7" t="inlineStr">
        <is>
          <t>Registro Técnico Vinculado MAPA</t>
        </is>
      </c>
    </row>
    <row r="32" ht="22" customHeight="1">
      <c r="A32" s="12" t="inlineStr">
        <is>
          <t>CMP-0028</t>
        </is>
      </c>
      <c r="B32" s="11" t="n">
        <v>18</v>
      </c>
      <c r="C32" s="13" t="inlineStr">
        <is>
          <t>SIPEAGRO (UF-XXXXX)</t>
        </is>
      </c>
      <c r="D32" s="14" t="inlineStr">
        <is>
          <t>AGCN SEED ULTRA</t>
        </is>
      </c>
      <c r="E32" s="11" t="n">
        <v>6</v>
      </c>
      <c r="F32" s="13" t="inlineStr">
        <is>
          <t>Nutriente Garantido</t>
        </is>
      </c>
      <c r="G32" s="13" t="inlineStr">
        <is>
          <t>HORMONIOS</t>
        </is>
      </c>
      <c r="H32" s="13" t="inlineStr">
        <is>
          <t>Composição Nutricional Oficial (HORMONIOS)</t>
        </is>
      </c>
      <c r="I32" s="13" t="inlineStr">
        <is>
          <t>Fertilizante Mineral / Organomineral (Lei nº 6.894/1980)</t>
        </is>
      </c>
      <c r="J32" s="13" t="inlineStr">
        <is>
          <t>Nutrição Vegetal SIPEAGRO</t>
        </is>
      </c>
      <c r="K32" s="13" t="inlineStr">
        <is>
          <t>Fornecimento de macro e micronutrientes essenciais ao metabolismo vegetal</t>
        </is>
      </c>
      <c r="L32" s="18" t="n">
        <v>0.5</v>
      </c>
      <c r="M32" s="13" t="inlineStr">
        <is>
          <t>% m/m</t>
        </is>
      </c>
      <c r="N32" s="13" t="inlineStr">
        <is>
          <t>Registro Técnico Vinculado MAPA</t>
        </is>
      </c>
    </row>
    <row r="33" ht="22" customHeight="1">
      <c r="A33" s="6" t="inlineStr">
        <is>
          <t>CMP-0029</t>
        </is>
      </c>
      <c r="B33" s="5" t="n">
        <v>19</v>
      </c>
      <c r="C33" s="7" t="inlineStr">
        <is>
          <t>Nº 10018</t>
        </is>
      </c>
      <c r="D33" s="8" t="inlineStr">
        <is>
          <t>ATRAZINA</t>
        </is>
      </c>
      <c r="E33" s="5" t="n">
        <v>1</v>
      </c>
      <c r="F33" s="7" t="inlineStr">
        <is>
          <t>Ingrediente Ativo Principal</t>
        </is>
      </c>
      <c r="G33" s="7" t="inlineStr">
        <is>
          <t>ATRAZINA 500</t>
        </is>
      </c>
      <c r="H33" s="7" t="inlineStr">
        <is>
          <t>6-chloro-N2-ethyl-N4-isopropyl-1,3,5-triazine-2,4-diamine</t>
        </is>
      </c>
      <c r="I33" s="7" t="inlineStr">
        <is>
          <t>Triazina</t>
        </is>
      </c>
      <c r="J33" s="7" t="inlineStr">
        <is>
          <t>HRAC Grupo C1 (5) — Inibidores do Fotossistema II</t>
        </is>
      </c>
      <c r="K33" s="7" t="inlineStr">
        <is>
          <t>Inibição do transporte de elétrons no Fotossistema II (sítio Serina 264)</t>
        </is>
      </c>
      <c r="L33" s="9" t="n">
        <v>500</v>
      </c>
      <c r="M33" s="7" t="inlineStr">
        <is>
          <t>g/L</t>
        </is>
      </c>
      <c r="N33" s="7" t="inlineStr">
        <is>
          <t>Registro Técnico Vinculado MAPA</t>
        </is>
      </c>
    </row>
    <row r="34" ht="22" customHeight="1">
      <c r="A34" s="12" t="inlineStr">
        <is>
          <t>CMP-0030</t>
        </is>
      </c>
      <c r="B34" s="11" t="n">
        <v>20</v>
      </c>
      <c r="C34" s="13" t="inlineStr">
        <is>
          <t>Nº 12920</t>
        </is>
      </c>
      <c r="D34" s="14" t="inlineStr">
        <is>
          <t>ATRAZINA 900 WG</t>
        </is>
      </c>
      <c r="E34" s="11" t="n">
        <v>1</v>
      </c>
      <c r="F34" s="13" t="inlineStr">
        <is>
          <t>Ingrediente Ativo Principal</t>
        </is>
      </c>
      <c r="G34" s="13" t="inlineStr">
        <is>
          <t>ATRAZINA 900</t>
        </is>
      </c>
      <c r="H34" s="13" t="inlineStr">
        <is>
          <t>6-chloro-N2-ethyl-N4-isopropyl-1,3,5-triazine-2,4-diamine</t>
        </is>
      </c>
      <c r="I34" s="13" t="inlineStr">
        <is>
          <t>Triazina</t>
        </is>
      </c>
      <c r="J34" s="13" t="inlineStr">
        <is>
          <t>HRAC Grupo C1 (5) — Inibidores do Fotossistema II</t>
        </is>
      </c>
      <c r="K34" s="13" t="inlineStr">
        <is>
          <t>Inibição do transporte de elétrons no Fotossistema II (sítio Serina 264)</t>
        </is>
      </c>
      <c r="L34" s="15" t="n">
        <v>900</v>
      </c>
      <c r="M34" s="13" t="inlineStr">
        <is>
          <t>g/kg</t>
        </is>
      </c>
      <c r="N34" s="13" t="inlineStr">
        <is>
          <t>Registro Técnico Vinculado MAPA</t>
        </is>
      </c>
    </row>
    <row r="35" ht="22" customHeight="1">
      <c r="A35" s="6" t="inlineStr">
        <is>
          <t>CMP-0031</t>
        </is>
      </c>
      <c r="B35" s="5" t="n">
        <v>21</v>
      </c>
      <c r="C35" s="7" t="inlineStr">
        <is>
          <t>Nº 12920</t>
        </is>
      </c>
      <c r="D35" s="8" t="inlineStr">
        <is>
          <t>ATRAZINA 900 WG</t>
        </is>
      </c>
      <c r="E35" s="5" t="n">
        <v>1</v>
      </c>
      <c r="F35" s="7" t="inlineStr">
        <is>
          <t>Ingrediente Ativo Principal</t>
        </is>
      </c>
      <c r="G35" s="7" t="inlineStr">
        <is>
          <t>ATRAZINA 900</t>
        </is>
      </c>
      <c r="H35" s="7" t="inlineStr">
        <is>
          <t>6-chloro-N2-ethyl-N4-isopropyl-1,3,5-triazine-2,4-diamine</t>
        </is>
      </c>
      <c r="I35" s="7" t="inlineStr">
        <is>
          <t>Triazina</t>
        </is>
      </c>
      <c r="J35" s="7" t="inlineStr">
        <is>
          <t>HRAC Grupo C1 (5) — Inibidores do Fotossistema II</t>
        </is>
      </c>
      <c r="K35" s="7" t="inlineStr">
        <is>
          <t>Inibição do transporte de elétrons no Fotossistema II (sítio Serina 264)</t>
        </is>
      </c>
      <c r="L35" s="9" t="n">
        <v>900</v>
      </c>
      <c r="M35" s="7" t="inlineStr">
        <is>
          <t>g/kg</t>
        </is>
      </c>
      <c r="N35" s="7" t="inlineStr">
        <is>
          <t>Registro Técnico Vinculado MAPA</t>
        </is>
      </c>
    </row>
    <row r="36" ht="22" customHeight="1">
      <c r="A36" s="12" t="inlineStr">
        <is>
          <t>CMP-0032</t>
        </is>
      </c>
      <c r="B36" s="11" t="n">
        <v>22</v>
      </c>
      <c r="C36" s="13" t="inlineStr">
        <is>
          <t>Nº 5217</t>
        </is>
      </c>
      <c r="D36" s="14" t="inlineStr">
        <is>
          <t>HERBZINA PLUS 900 WG</t>
        </is>
      </c>
      <c r="E36" s="11" t="n">
        <v>1</v>
      </c>
      <c r="F36" s="13" t="inlineStr">
        <is>
          <t>Ingrediente Ativo Principal</t>
        </is>
      </c>
      <c r="G36" s="13" t="inlineStr">
        <is>
          <t>ATRAZINA 900</t>
        </is>
      </c>
      <c r="H36" s="13" t="inlineStr">
        <is>
          <t>6-chloro-N2-ethyl-N4-isopropyl-1,3,5-triazine-2,4-diamine</t>
        </is>
      </c>
      <c r="I36" s="13" t="inlineStr">
        <is>
          <t>Triazina</t>
        </is>
      </c>
      <c r="J36" s="13" t="inlineStr">
        <is>
          <t>HRAC Grupo C1 (5) — Inibidores do Fotossistema II</t>
        </is>
      </c>
      <c r="K36" s="13" t="inlineStr">
        <is>
          <t>Inibição do transporte de elétrons no Fotossistema II (sítio Serina 264)</t>
        </is>
      </c>
      <c r="L36" s="15" t="n">
        <v>900</v>
      </c>
      <c r="M36" s="13" t="inlineStr">
        <is>
          <t>g/kg</t>
        </is>
      </c>
      <c r="N36" s="13" t="inlineStr">
        <is>
          <t>Registro Técnico Vinculado MAPA</t>
        </is>
      </c>
    </row>
    <row r="37" ht="22" customHeight="1">
      <c r="A37" s="6" t="inlineStr">
        <is>
          <t>CMP-0033</t>
        </is>
      </c>
      <c r="B37" s="5" t="n">
        <v>23</v>
      </c>
      <c r="C37" s="7" t="inlineStr">
        <is>
          <t>Nº 33217</t>
        </is>
      </c>
      <c r="D37" s="8" t="inlineStr">
        <is>
          <t>PANGA 900 WG</t>
        </is>
      </c>
      <c r="E37" s="5" t="n">
        <v>1</v>
      </c>
      <c r="F37" s="7" t="inlineStr">
        <is>
          <t>Ingrediente Ativo Principal</t>
        </is>
      </c>
      <c r="G37" s="7" t="inlineStr">
        <is>
          <t>ATRAZINA 900</t>
        </is>
      </c>
      <c r="H37" s="7" t="inlineStr">
        <is>
          <t>6-chloro-N2-ethyl-N4-isopropyl-1,3,5-triazine-2,4-diamine</t>
        </is>
      </c>
      <c r="I37" s="7" t="inlineStr">
        <is>
          <t>Triazina</t>
        </is>
      </c>
      <c r="J37" s="7" t="inlineStr">
        <is>
          <t>HRAC Grupo C1 (5) — Inibidores do Fotossistema II</t>
        </is>
      </c>
      <c r="K37" s="7" t="inlineStr">
        <is>
          <t>Inibição do transporte de elétrons no Fotossistema II (sítio Serina 264)</t>
        </is>
      </c>
      <c r="L37" s="9" t="n">
        <v>900</v>
      </c>
      <c r="M37" s="7" t="inlineStr">
        <is>
          <t>g/kg</t>
        </is>
      </c>
      <c r="N37" s="7" t="inlineStr">
        <is>
          <t>Registro Técnico Vinculado MAPA</t>
        </is>
      </c>
    </row>
    <row r="38" ht="22" customHeight="1">
      <c r="A38" s="12" t="inlineStr">
        <is>
          <t>CMP-0034</t>
        </is>
      </c>
      <c r="B38" s="11" t="n">
        <v>24</v>
      </c>
      <c r="C38" s="13" t="inlineStr">
        <is>
          <t>Nº 22922</t>
        </is>
      </c>
      <c r="D38" s="14" t="inlineStr">
        <is>
          <t>PRILAN DUO</t>
        </is>
      </c>
      <c r="E38" s="11" t="n">
        <v>1</v>
      </c>
      <c r="F38" s="13" t="inlineStr">
        <is>
          <t>Ingrediente Ativo Principal</t>
        </is>
      </c>
      <c r="G38" s="13" t="inlineStr">
        <is>
          <t>AZOXISTROBINA 125</t>
        </is>
      </c>
      <c r="H38" s="13" t="inlineStr">
        <is>
          <t>Methyl (E)-2-{2-[6-(2-cyanophenoxy)pyrimidin-4-yloxy]phenyl}-3-methoxyacrylate</t>
        </is>
      </c>
      <c r="I38" s="13" t="inlineStr">
        <is>
          <t>Estrobilurina (Metoxiacrilato)</t>
        </is>
      </c>
      <c r="J38" s="13" t="inlineStr">
        <is>
          <t>FRAC Grupo 11 (QoI)</t>
        </is>
      </c>
      <c r="K38" s="13" t="inlineStr">
        <is>
          <t>Inibidores da respiração mitocondrial no complexo III (citocromo bc1)</t>
        </is>
      </c>
      <c r="L38" s="15" t="n">
        <v>125</v>
      </c>
      <c r="M38" s="13" t="inlineStr">
        <is>
          <t>g/L</t>
        </is>
      </c>
      <c r="N38" s="13" t="inlineStr">
        <is>
          <t>Registro Técnico Vinculado MAPA</t>
        </is>
      </c>
    </row>
    <row r="39" ht="22" customHeight="1">
      <c r="A39" s="6" t="inlineStr">
        <is>
          <t>CMP-0035</t>
        </is>
      </c>
      <c r="B39" s="5" t="n">
        <v>24</v>
      </c>
      <c r="C39" s="7" t="inlineStr">
        <is>
          <t>Nº 22922</t>
        </is>
      </c>
      <c r="D39" s="8" t="inlineStr">
        <is>
          <t>PRILAN DUO</t>
        </is>
      </c>
      <c r="E39" s="5" t="n">
        <v>2</v>
      </c>
      <c r="F39" s="7" t="inlineStr">
        <is>
          <t>Ingrediente Ativo Principal</t>
        </is>
      </c>
      <c r="G39" s="7" t="inlineStr">
        <is>
          <t>TEBUCONAZOLE 240</t>
        </is>
      </c>
      <c r="H39" s="7" t="inlineStr">
        <is>
          <t>(RS)-1-p-chlorophenyl-4,4-dimethyl-3-(1H-1,2,4-triazol-1-ylmethyl)pentan-3-ol</t>
        </is>
      </c>
      <c r="I39" s="7" t="inlineStr">
        <is>
          <t>Triazol</t>
        </is>
      </c>
      <c r="J39" s="7" t="inlineStr">
        <is>
          <t>FRAC Grupo 3 (DMI)</t>
        </is>
      </c>
      <c r="K39" s="7" t="inlineStr">
        <is>
          <t>Inibidores da desmetilação de C14 na biossíntese de ergosterol</t>
        </is>
      </c>
      <c r="L39" s="9" t="n">
        <v>240</v>
      </c>
      <c r="M39" s="7" t="inlineStr">
        <is>
          <t>g/L</t>
        </is>
      </c>
      <c r="N39" s="7" t="inlineStr">
        <is>
          <t>Registro Técnico Vinculado MAPA</t>
        </is>
      </c>
    </row>
    <row r="40" ht="22" customHeight="1">
      <c r="A40" s="12" t="inlineStr">
        <is>
          <t>CMP-0036</t>
        </is>
      </c>
      <c r="B40" s="11" t="n">
        <v>25</v>
      </c>
      <c r="C40" s="13" t="inlineStr">
        <is>
          <t>SIPEAGRO (UF-XXXXX)</t>
        </is>
      </c>
      <c r="D40" s="14" t="inlineStr">
        <is>
          <t>AGCN BORO ULTRA</t>
        </is>
      </c>
      <c r="E40" s="11" t="n">
        <v>1</v>
      </c>
      <c r="F40" s="13" t="inlineStr">
        <is>
          <t>Nutriente Garantido</t>
        </is>
      </c>
      <c r="G40" s="13" t="inlineStr">
        <is>
          <t>B 8%, N 5%, CU 0,3%, MO 0,03%</t>
        </is>
      </c>
      <c r="H40" s="13" t="inlineStr">
        <is>
          <t>Composição Nutricional Oficial (B 8%, N 5%, CU 0,3%, MO 0,03%)</t>
        </is>
      </c>
      <c r="I40" s="13" t="inlineStr">
        <is>
          <t>Fertilizante Mineral / Organomineral (Lei nº 6.894/1980)</t>
        </is>
      </c>
      <c r="J40" s="13" t="inlineStr">
        <is>
          <t>Nutrição Vegetal SIPEAGRO</t>
        </is>
      </c>
      <c r="K40" s="13" t="inlineStr">
        <is>
          <t>Fornecimento de macro e micronutrientes essenciais ao metabolismo vegetal</t>
        </is>
      </c>
      <c r="L40" s="15" t="n">
        <v>8</v>
      </c>
      <c r="M40" s="13" t="inlineStr">
        <is>
          <t>% m/m</t>
        </is>
      </c>
      <c r="N40" s="13" t="inlineStr">
        <is>
          <t>Registro Técnico Vinculado MAPA</t>
        </is>
      </c>
    </row>
    <row r="41" ht="22" customHeight="1">
      <c r="A41" s="6" t="inlineStr">
        <is>
          <t>CMP-0037</t>
        </is>
      </c>
      <c r="B41" s="5" t="n">
        <v>25</v>
      </c>
      <c r="C41" s="7" t="inlineStr">
        <is>
          <t>SIPEAGRO (UF-XXXXX)</t>
        </is>
      </c>
      <c r="D41" s="8" t="inlineStr">
        <is>
          <t>AGCN BORO ULTRA</t>
        </is>
      </c>
      <c r="E41" s="5" t="n">
        <v>2</v>
      </c>
      <c r="F41" s="7" t="inlineStr">
        <is>
          <t>Nutriente Garantido</t>
        </is>
      </c>
      <c r="G41" s="7" t="inlineStr">
        <is>
          <t>AA</t>
        </is>
      </c>
      <c r="H41" s="7" t="inlineStr">
        <is>
          <t>Composição Nutricional Oficial (AA)</t>
        </is>
      </c>
      <c r="I41" s="7" t="inlineStr">
        <is>
          <t>Fertilizante Mineral / Organomineral (Lei nº 6.894/1980)</t>
        </is>
      </c>
      <c r="J41" s="7" t="inlineStr">
        <is>
          <t>Nutrição Vegetal SIPEAGRO</t>
        </is>
      </c>
      <c r="K41" s="7" t="inlineStr">
        <is>
          <t>Fornecimento de macro e micronutrientes essenciais ao metabolismo vegetal</t>
        </is>
      </c>
      <c r="L41" s="9" t="n">
        <v>10</v>
      </c>
      <c r="M41" s="7" t="inlineStr">
        <is>
          <t>% m/m</t>
        </is>
      </c>
      <c r="N41" s="7" t="inlineStr">
        <is>
          <t>Registro Técnico Vinculado MAPA</t>
        </is>
      </c>
    </row>
    <row r="42" ht="22" customHeight="1">
      <c r="A42" s="12" t="inlineStr">
        <is>
          <t>CMP-0038</t>
        </is>
      </c>
      <c r="B42" s="11" t="n">
        <v>26</v>
      </c>
      <c r="C42" s="13" t="inlineStr">
        <is>
          <t>Nº 44024</t>
        </is>
      </c>
      <c r="D42" s="14" t="inlineStr">
        <is>
          <t>AGCN DUX</t>
        </is>
      </c>
      <c r="E42" s="11" t="n">
        <v>1</v>
      </c>
      <c r="F42" s="13" t="inlineStr">
        <is>
          <t>Agente Biológico / Cepa</t>
        </is>
      </c>
      <c r="G42" s="13" t="inlineStr">
        <is>
          <t>BEAUVERIA BASSIANA ISOLADO IBCB 66 (mín. 1,0x10^9 conídios/g)</t>
        </is>
      </c>
      <c r="H42" s="13" t="inlineStr">
        <is>
          <t>Fungo entomopatogênico Beauveria bassiana (Isolado IBCB 66)</t>
        </is>
      </c>
      <c r="I42" s="13" t="inlineStr">
        <is>
          <t>Agente Microbiológico de Controle (Fungo Entomopatogênico)</t>
        </is>
      </c>
      <c r="J42" s="13" t="inlineStr">
        <is>
          <t>IRAC Grupo UNF — Biológico Multissítio</t>
        </is>
      </c>
      <c r="K42" s="13" t="inlineStr">
        <is>
          <t>Infecção tegumentar por conídios, penetração enzimática e colonização da hemocele</t>
        </is>
      </c>
      <c r="L42" s="15" t="n">
        <v>100</v>
      </c>
      <c r="M42" s="13" t="inlineStr">
        <is>
          <t>g/kg</t>
        </is>
      </c>
      <c r="N42" s="13" t="inlineStr">
        <is>
          <t>Registro Técnico Vinculado MAPA</t>
        </is>
      </c>
    </row>
    <row r="43" ht="22" customHeight="1">
      <c r="A43" s="6" t="inlineStr">
        <is>
          <t>CMP-0039</t>
        </is>
      </c>
      <c r="B43" s="5" t="n">
        <v>26</v>
      </c>
      <c r="C43" s="7" t="inlineStr">
        <is>
          <t>Nº 44024</t>
        </is>
      </c>
      <c r="D43" s="8" t="inlineStr">
        <is>
          <t>AGCN DUX</t>
        </is>
      </c>
      <c r="E43" s="5" t="n">
        <v>2</v>
      </c>
      <c r="F43" s="7" t="inlineStr">
        <is>
          <t>Ingrediente Ativo Principal</t>
        </is>
      </c>
      <c r="G43" s="7" t="inlineStr">
        <is>
          <t>METARHIZIUM ANISOPLIAE ISOLADO IBCB 425 (mín. 1,0x10^9 conídios/g)</t>
        </is>
      </c>
      <c r="H43" s="7" t="inlineStr">
        <is>
          <t>Metarhizium anisopliae (Isolado IBCB 425 / Cepa entomopatogênica)</t>
        </is>
      </c>
      <c r="I43" s="7" t="inlineStr">
        <is>
          <t>Agente Microbiológico de Controle (Fungo Entomopatogênico)</t>
        </is>
      </c>
      <c r="J43" s="7" t="inlineStr">
        <is>
          <t>IRAC Grupo UNF — Bioinseticida Microbiológico</t>
        </is>
      </c>
      <c r="K43" s="7" t="inlineStr">
        <is>
          <t>Infecção tegumentar por conídios, penetração hemocélica e produção de destruxinas</t>
        </is>
      </c>
      <c r="L43" s="9" t="n">
        <v>100</v>
      </c>
      <c r="M43" s="7" t="inlineStr">
        <is>
          <t>g/kg</t>
        </is>
      </c>
      <c r="N43" s="7" t="inlineStr">
        <is>
          <t>Registro Técnico Vinculado MAPA</t>
        </is>
      </c>
    </row>
    <row r="44" ht="22" customHeight="1">
      <c r="A44" s="12" t="inlineStr">
        <is>
          <t>CMP-0040</t>
        </is>
      </c>
      <c r="B44" s="11" t="n">
        <v>27</v>
      </c>
      <c r="C44" s="13" t="inlineStr">
        <is>
          <t>Nº 24117</t>
        </is>
      </c>
      <c r="D44" s="14" t="inlineStr">
        <is>
          <t>FOX XPRO</t>
        </is>
      </c>
      <c r="E44" s="11" t="n">
        <v>1</v>
      </c>
      <c r="F44" s="13" t="inlineStr">
        <is>
          <t>Ingrediente Ativo Principal</t>
        </is>
      </c>
      <c r="G44" s="13" t="inlineStr">
        <is>
          <t>BIXAFEM</t>
        </is>
      </c>
      <c r="H44" s="13" t="inlineStr">
        <is>
          <t>N-(3,4-dichloro-5-fluorobiphenyl-2-yl)-3-(difluoromethyl)-1-methylpyrazole-4-carboxamide</t>
        </is>
      </c>
      <c r="I44" s="13" t="inlineStr">
        <is>
          <t>Carboxamida (Pirazol-4-carboxamida)</t>
        </is>
      </c>
      <c r="J44" s="13" t="inlineStr">
        <is>
          <t>FRAC Grupo 7 (C2 — SDHI)</t>
        </is>
      </c>
      <c r="K44" s="13" t="inlineStr">
        <is>
          <t>Inibidores da enzima succinato desidrogenase (Complexo II)</t>
        </is>
      </c>
      <c r="L44" s="15" t="n">
        <v>125</v>
      </c>
      <c r="M44" s="13" t="inlineStr">
        <is>
          <t>g/L</t>
        </is>
      </c>
      <c r="N44" s="13" t="inlineStr">
        <is>
          <t>Bixafen Técnico (Reg. MAPA nº 23617)</t>
        </is>
      </c>
    </row>
    <row r="45" ht="22" customHeight="1">
      <c r="A45" s="6" t="inlineStr">
        <is>
          <t>CMP-0041</t>
        </is>
      </c>
      <c r="B45" s="5" t="n">
        <v>27</v>
      </c>
      <c r="C45" s="7" t="inlineStr">
        <is>
          <t>Nº 24117</t>
        </is>
      </c>
      <c r="D45" s="8" t="inlineStr">
        <is>
          <t>FOX XPRO</t>
        </is>
      </c>
      <c r="E45" s="5" t="n">
        <v>2</v>
      </c>
      <c r="F45" s="7" t="inlineStr">
        <is>
          <t>Ingrediente Ativo Principal</t>
        </is>
      </c>
      <c r="G45" s="7" t="inlineStr">
        <is>
          <t>PROTIOCONAZOL</t>
        </is>
      </c>
      <c r="H45" s="7" t="inlineStr">
        <is>
          <t>(RS)-2-[2-(1-chlorocyclopropyl)-3-(2-chlorophenyl)-2-hydroxypropyl]-2,4-dihydro-1,2,4-triazole-3-thione</t>
        </is>
      </c>
      <c r="I45" s="7" t="inlineStr">
        <is>
          <t>Triazolintiona</t>
        </is>
      </c>
      <c r="J45" s="7" t="inlineStr">
        <is>
          <t>FRAC Grupo 3 (G1 — DMI)</t>
        </is>
      </c>
      <c r="K45" s="7" t="inlineStr">
        <is>
          <t>Inibidores da desmetilação do C14 na biossíntese do ergosterol</t>
        </is>
      </c>
      <c r="L45" s="9" t="n">
        <v>175</v>
      </c>
      <c r="M45" s="7" t="inlineStr">
        <is>
          <t>g/L</t>
        </is>
      </c>
      <c r="N45" s="7" t="inlineStr">
        <is>
          <t>Proline Técnico (Reg. MAPA nº 08308)</t>
        </is>
      </c>
    </row>
    <row r="46" ht="22" customHeight="1">
      <c r="A46" s="12" t="inlineStr">
        <is>
          <t>CMP-0042</t>
        </is>
      </c>
      <c r="B46" s="11" t="n">
        <v>27</v>
      </c>
      <c r="C46" s="13" t="inlineStr">
        <is>
          <t>Nº 24117</t>
        </is>
      </c>
      <c r="D46" s="14" t="inlineStr">
        <is>
          <t>FOX XPRO</t>
        </is>
      </c>
      <c r="E46" s="11" t="n">
        <v>3</v>
      </c>
      <c r="F46" s="13" t="inlineStr">
        <is>
          <t>Ingrediente Ativo Principal</t>
        </is>
      </c>
      <c r="G46" s="13" t="inlineStr">
        <is>
          <t>TRIFLOXISTROBINA</t>
        </is>
      </c>
      <c r="H46" s="13" t="inlineStr">
        <is>
          <t>Methyl (E)-methoxyimino-{(E)-alpha-[1-(alpha,alpha,alpha-trifluoro-m-tolyl)ethylideneaminooxy]-o-tolyl}acetate</t>
        </is>
      </c>
      <c r="I46" s="13" t="inlineStr">
        <is>
          <t>Estrobilurina (Oximinoacetato)</t>
        </is>
      </c>
      <c r="J46" s="13" t="inlineStr">
        <is>
          <t>FRAC Grupo 11 (C3 — QoI)</t>
        </is>
      </c>
      <c r="K46" s="13" t="inlineStr">
        <is>
          <t>Inibidores da respiração mitocondrial no Complexo III (sítio Qo)</t>
        </is>
      </c>
      <c r="L46" s="15" t="n">
        <v>150</v>
      </c>
      <c r="M46" s="13" t="inlineStr">
        <is>
          <t>g/L</t>
        </is>
      </c>
      <c r="N46" s="13" t="inlineStr">
        <is>
          <t>Trifloxystrobin Técnico (Reg. MAPA nº 09801)</t>
        </is>
      </c>
    </row>
    <row r="47" ht="22" customHeight="1">
      <c r="A47" s="6" t="inlineStr">
        <is>
          <t>CMP-0043</t>
        </is>
      </c>
      <c r="B47" s="5" t="n">
        <v>28</v>
      </c>
      <c r="C47" s="7" t="inlineStr">
        <is>
          <t>SIPEAGRO (UF-XXXXX)</t>
        </is>
      </c>
      <c r="D47" s="8" t="inlineStr">
        <is>
          <t>AGCN BORO</t>
        </is>
      </c>
      <c r="E47" s="5" t="n">
        <v>1</v>
      </c>
      <c r="F47" s="7" t="inlineStr">
        <is>
          <t>Nutriente Garantido</t>
        </is>
      </c>
      <c r="G47" s="7" t="inlineStr">
        <is>
          <t>BORO 10%  - MEA</t>
        </is>
      </c>
      <c r="H47" s="7" t="inlineStr">
        <is>
          <t>Composição Nutricional Oficial (BORO 10%  - MEA)</t>
        </is>
      </c>
      <c r="I47" s="7" t="inlineStr">
        <is>
          <t>Fertilizante Mineral / Organomineral (Lei nº 6.894/1980)</t>
        </is>
      </c>
      <c r="J47" s="7" t="inlineStr">
        <is>
          <t>Nutrição Vegetal SIPEAGRO</t>
        </is>
      </c>
      <c r="K47" s="7" t="inlineStr">
        <is>
          <t>Fornecimento de macro e micronutrientes essenciais ao metabolismo vegetal</t>
        </is>
      </c>
      <c r="L47" s="9" t="n">
        <v>10</v>
      </c>
      <c r="M47" s="7" t="inlineStr">
        <is>
          <t>% m/m</t>
        </is>
      </c>
      <c r="N47" s="7" t="inlineStr">
        <is>
          <t>Registro Técnico Vinculado MAPA</t>
        </is>
      </c>
    </row>
    <row r="48" ht="22" customHeight="1">
      <c r="A48" s="12" t="inlineStr">
        <is>
          <t>CMP-0044</t>
        </is>
      </c>
      <c r="B48" s="11" t="n">
        <v>29</v>
      </c>
      <c r="C48" s="13" t="inlineStr">
        <is>
          <t>SIPEAGRO (UF-XXXXX)</t>
        </is>
      </c>
      <c r="D48" s="14" t="inlineStr">
        <is>
          <t>AGCN CAB</t>
        </is>
      </c>
      <c r="E48" s="11" t="n">
        <v>1</v>
      </c>
      <c r="F48" s="13" t="inlineStr">
        <is>
          <t>Nutriente Garantido</t>
        </is>
      </c>
      <c r="G48" s="13" t="inlineStr">
        <is>
          <t>CALCIO</t>
        </is>
      </c>
      <c r="H48" s="13" t="inlineStr">
        <is>
          <t>Composição Nutricional Oficial (CALCIO)</t>
        </is>
      </c>
      <c r="I48" s="13" t="inlineStr">
        <is>
          <t>Fertilizante Mineral / Organomineral (Lei nº 6.894/1980)</t>
        </is>
      </c>
      <c r="J48" s="13" t="inlineStr">
        <is>
          <t>Nutrição Vegetal SIPEAGRO</t>
        </is>
      </c>
      <c r="K48" s="13" t="inlineStr">
        <is>
          <t>Fornecimento de macro e micronutrientes essenciais ao metabolismo vegetal</t>
        </is>
      </c>
      <c r="L48" s="15" t="n">
        <v>100</v>
      </c>
      <c r="M48" s="13" t="inlineStr">
        <is>
          <t>% m/m</t>
        </is>
      </c>
      <c r="N48" s="13" t="inlineStr">
        <is>
          <t>Registro Técnico Vinculado MAPA</t>
        </is>
      </c>
    </row>
    <row r="49" ht="22" customHeight="1">
      <c r="A49" s="6" t="inlineStr">
        <is>
          <t>CMP-0045</t>
        </is>
      </c>
      <c r="B49" s="5" t="n">
        <v>29</v>
      </c>
      <c r="C49" s="7" t="inlineStr">
        <is>
          <t>SIPEAGRO (UF-XXXXX)</t>
        </is>
      </c>
      <c r="D49" s="8" t="inlineStr">
        <is>
          <t>AGCN CAB</t>
        </is>
      </c>
      <c r="E49" s="5" t="n">
        <v>2</v>
      </c>
      <c r="F49" s="7" t="inlineStr">
        <is>
          <t>Nutriente Garantido</t>
        </is>
      </c>
      <c r="G49" s="7" t="inlineStr">
        <is>
          <t>BORO</t>
        </is>
      </c>
      <c r="H49" s="7" t="inlineStr">
        <is>
          <t>Composição Nutricional Oficial (BORO)</t>
        </is>
      </c>
      <c r="I49" s="7" t="inlineStr">
        <is>
          <t>Fertilizante Mineral / Organomineral (Lei nº 6.894/1980)</t>
        </is>
      </c>
      <c r="J49" s="7" t="inlineStr">
        <is>
          <t>Nutrição Vegetal SIPEAGRO</t>
        </is>
      </c>
      <c r="K49" s="7" t="inlineStr">
        <is>
          <t>Fornecimento de macro e micronutrientes essenciais ao metabolismo vegetal</t>
        </is>
      </c>
      <c r="L49" s="9" t="n">
        <v>100</v>
      </c>
      <c r="M49" s="7" t="inlineStr">
        <is>
          <t>% m/m</t>
        </is>
      </c>
      <c r="N49" s="7" t="inlineStr">
        <is>
          <t>Registro Técnico Vinculado MAPA</t>
        </is>
      </c>
    </row>
    <row r="50" ht="22" customHeight="1">
      <c r="A50" s="12" t="inlineStr">
        <is>
          <t>CMP-0046</t>
        </is>
      </c>
      <c r="B50" s="11" t="n">
        <v>30</v>
      </c>
      <c r="C50" s="13" t="inlineStr">
        <is>
          <t>Nº 8214</t>
        </is>
      </c>
      <c r="D50" s="14" t="inlineStr">
        <is>
          <t>BRIT</t>
        </is>
      </c>
      <c r="E50" s="11" t="n">
        <v>1</v>
      </c>
      <c r="F50" s="13" t="inlineStr">
        <is>
          <t>Ingrediente Ativo Principal</t>
        </is>
      </c>
      <c r="G50" s="13" t="inlineStr">
        <is>
          <t>CIPERMETRINA 250</t>
        </is>
      </c>
      <c r="H50" s="13" t="inlineStr">
        <is>
          <t>(RS)-alpha-cyano-3-phenoxybenzyl (1RS,3RS;1RS,3SR)-3-(2,2-dichlorovinyl)-2,2-dimethylcyclopropanecarboxylate</t>
        </is>
      </c>
      <c r="I50" s="13" t="inlineStr">
        <is>
          <t>Piretroide (Tipo II)</t>
        </is>
      </c>
      <c r="J50" s="13" t="inlineStr">
        <is>
          <t>IRAC Grupo 3A</t>
        </is>
      </c>
      <c r="K50" s="13" t="inlineStr">
        <is>
          <t>Moduladores de canais de sódio em membranas nervosas</t>
        </is>
      </c>
      <c r="L50" s="15" t="n">
        <v>250</v>
      </c>
      <c r="M50" s="13" t="inlineStr">
        <is>
          <t>g/L</t>
        </is>
      </c>
      <c r="N50" s="13" t="inlineStr">
        <is>
          <t>Registro Técnico Vinculado MAPA</t>
        </is>
      </c>
    </row>
    <row r="51" ht="22" customHeight="1">
      <c r="A51" s="6" t="inlineStr">
        <is>
          <t>CMP-0047</t>
        </is>
      </c>
      <c r="B51" s="5" t="n">
        <v>31</v>
      </c>
      <c r="C51" s="7" t="inlineStr">
        <is>
          <t>Nº 11117</t>
        </is>
      </c>
      <c r="D51" s="8" t="inlineStr">
        <is>
          <t>CLETODIM CCAB 240 EC</t>
        </is>
      </c>
      <c r="E51" s="5" t="n">
        <v>1</v>
      </c>
      <c r="F51" s="7" t="inlineStr">
        <is>
          <t>Ingrediente Ativo Principal</t>
        </is>
      </c>
      <c r="G51" s="7" t="inlineStr">
        <is>
          <t>CLETODIM 240</t>
        </is>
      </c>
      <c r="H51" s="7" t="inlineStr">
        <is>
          <t>(RS)-2-[(E)-1-[(E)-3-chloroallyloxyimino]propyl]-5-[2-(ethylthio)propyl]-3-hydroxycyclohex-2-en-1-one</t>
        </is>
      </c>
      <c r="I51" s="7" t="inlineStr">
        <is>
          <t>Oxima ciclohexanodiona (DIM)</t>
        </is>
      </c>
      <c r="J51" s="7" t="inlineStr">
        <is>
          <t>HRAC Grupo A (1) — Inibidores da ACCase</t>
        </is>
      </c>
      <c r="K51" s="7" t="inlineStr">
        <is>
          <t>Inibidores da Acetil CoA Carboxilase (ACCase)</t>
        </is>
      </c>
      <c r="L51" s="9" t="n">
        <v>240</v>
      </c>
      <c r="M51" s="7" t="inlineStr">
        <is>
          <t>g/L</t>
        </is>
      </c>
      <c r="N51" s="7" t="inlineStr">
        <is>
          <t>Registro Técnico Vinculado MAPA</t>
        </is>
      </c>
    </row>
    <row r="52" ht="22" customHeight="1">
      <c r="A52" s="12" t="inlineStr">
        <is>
          <t>CMP-0048</t>
        </is>
      </c>
      <c r="B52" s="11" t="n">
        <v>32</v>
      </c>
      <c r="C52" s="13" t="inlineStr">
        <is>
          <t>Nº 22221</t>
        </is>
      </c>
      <c r="D52" s="14" t="inlineStr">
        <is>
          <t>GRASIDIM</t>
        </is>
      </c>
      <c r="E52" s="11" t="n">
        <v>1</v>
      </c>
      <c r="F52" s="13" t="inlineStr">
        <is>
          <t>Ingrediente Ativo Principal</t>
        </is>
      </c>
      <c r="G52" s="13" t="inlineStr">
        <is>
          <t>CLETODIM 240</t>
        </is>
      </c>
      <c r="H52" s="13" t="inlineStr">
        <is>
          <t>(RS)-2-[(E)-1-[(E)-3-chloroallyloxyimino]propyl]-5-[2-(ethylthio)propyl]-3-hydroxycyclohex-2-en-1-one</t>
        </is>
      </c>
      <c r="I52" s="13" t="inlineStr">
        <is>
          <t>Oxima ciclohexanodiona (DIM)</t>
        </is>
      </c>
      <c r="J52" s="13" t="inlineStr">
        <is>
          <t>HRAC Grupo A (1) — Inibidores da ACCase</t>
        </is>
      </c>
      <c r="K52" s="13" t="inlineStr">
        <is>
          <t>Inibidores da Acetil CoA Carboxilase (ACCase)</t>
        </is>
      </c>
      <c r="L52" s="15" t="n">
        <v>240</v>
      </c>
      <c r="M52" s="13" t="inlineStr">
        <is>
          <t>g/L</t>
        </is>
      </c>
      <c r="N52" s="13" t="inlineStr">
        <is>
          <t>Registro Técnico Vinculado MAPA</t>
        </is>
      </c>
    </row>
    <row r="53" ht="22" customHeight="1">
      <c r="A53" s="6" t="inlineStr">
        <is>
          <t>CMP-0049</t>
        </is>
      </c>
      <c r="B53" s="5" t="n">
        <v>33</v>
      </c>
      <c r="C53" s="7" t="inlineStr">
        <is>
          <t>Nº 479097</t>
        </is>
      </c>
      <c r="D53" s="8" t="inlineStr">
        <is>
          <t>SELECT 240 EC</t>
        </is>
      </c>
      <c r="E53" s="5" t="n">
        <v>1</v>
      </c>
      <c r="F53" s="7" t="inlineStr">
        <is>
          <t>Ingrediente Ativo Principal</t>
        </is>
      </c>
      <c r="G53" s="7" t="inlineStr">
        <is>
          <t>CLETODIM 240</t>
        </is>
      </c>
      <c r="H53" s="7" t="inlineStr">
        <is>
          <t>(RS)-2-[(E)-1-[(E)-3-chloroallyloxyimino]propyl]-5-[2-(ethylthio)propyl]-3-hydroxycyclohex-2-en-1-one</t>
        </is>
      </c>
      <c r="I53" s="7" t="inlineStr">
        <is>
          <t>Oxima ciclohexanodiona (DIM)</t>
        </is>
      </c>
      <c r="J53" s="7" t="inlineStr">
        <is>
          <t>HRAC Grupo A (1) — Inibidores da ACCase</t>
        </is>
      </c>
      <c r="K53" s="7" t="inlineStr">
        <is>
          <t>Inibidores da Acetil CoA Carboxilase (ACCase)</t>
        </is>
      </c>
      <c r="L53" s="9" t="n">
        <v>240</v>
      </c>
      <c r="M53" s="7" t="inlineStr">
        <is>
          <t>g/L</t>
        </is>
      </c>
      <c r="N53" s="7" t="inlineStr">
        <is>
          <t>Registro Técnico Vinculado MAPA</t>
        </is>
      </c>
    </row>
    <row r="54" ht="22" customHeight="1">
      <c r="A54" s="12" t="inlineStr">
        <is>
          <t>CMP-0050</t>
        </is>
      </c>
      <c r="B54" s="11" t="n">
        <v>34</v>
      </c>
      <c r="C54" s="13" t="inlineStr">
        <is>
          <t>Nº 28917</t>
        </is>
      </c>
      <c r="D54" s="14" t="inlineStr">
        <is>
          <t>VIANCE</t>
        </is>
      </c>
      <c r="E54" s="11" t="n">
        <v>1</v>
      </c>
      <c r="F54" s="13" t="inlineStr">
        <is>
          <t>Ingrediente Ativo Principal</t>
        </is>
      </c>
      <c r="G54" s="13" t="inlineStr">
        <is>
          <t>CLETODIM 240</t>
        </is>
      </c>
      <c r="H54" s="13" t="inlineStr">
        <is>
          <t>(RS)-2-[(E)-1-[(E)-3-chloroallyloxyimino]propyl]-5-[2-(ethylthio)propyl]-3-hydroxycyclohex-2-en-1-one</t>
        </is>
      </c>
      <c r="I54" s="13" t="inlineStr">
        <is>
          <t>Oxima ciclohexanodiona (DIM)</t>
        </is>
      </c>
      <c r="J54" s="13" t="inlineStr">
        <is>
          <t>HRAC Grupo A (1) — Inibidores da ACCase</t>
        </is>
      </c>
      <c r="K54" s="13" t="inlineStr">
        <is>
          <t>Inibidores da Acetil CoA Carboxilase (ACCase)</t>
        </is>
      </c>
      <c r="L54" s="15" t="n">
        <v>240</v>
      </c>
      <c r="M54" s="13" t="inlineStr">
        <is>
          <t>g/L</t>
        </is>
      </c>
      <c r="N54" s="13" t="inlineStr">
        <is>
          <t>Registro Técnico Vinculado MAPA</t>
        </is>
      </c>
    </row>
    <row r="55" ht="22" customHeight="1">
      <c r="A55" s="6" t="inlineStr">
        <is>
          <t>CMP-0051</t>
        </is>
      </c>
      <c r="B55" s="5" t="n">
        <v>35</v>
      </c>
      <c r="C55" s="7" t="inlineStr">
        <is>
          <t>Nº 7398</t>
        </is>
      </c>
      <c r="D55" s="8" t="inlineStr">
        <is>
          <t>PACTO 10X0,240 KG</t>
        </is>
      </c>
      <c r="E55" s="5" t="n">
        <v>1</v>
      </c>
      <c r="F55" s="7" t="inlineStr">
        <is>
          <t>Ingrediente Ativo Principal</t>
        </is>
      </c>
      <c r="G55" s="7" t="inlineStr">
        <is>
          <t>CLORANSULAM-METILICO 840</t>
        </is>
      </c>
      <c r="H55" s="7" t="inlineStr">
        <is>
          <t>Methyl 3-chloro-2-(5-ethoxy-7-fluoro[1,2,4]triazolo[1,5-c]pyrimidin-2-ylsulfonamido)benzoate</t>
        </is>
      </c>
      <c r="I55" s="7" t="inlineStr">
        <is>
          <t>Triazolopirimidina Sulfonanilida</t>
        </is>
      </c>
      <c r="J55" s="7" t="inlineStr">
        <is>
          <t>HRAC Grupo B (2) — Inibidores da ALS</t>
        </is>
      </c>
      <c r="K55" s="7" t="inlineStr">
        <is>
          <t>Inibição da enzima acetolactato sintase (ALS / AHAS)</t>
        </is>
      </c>
      <c r="L55" s="9" t="n">
        <v>840</v>
      </c>
      <c r="M55" s="7" t="inlineStr">
        <is>
          <t>g/kg</t>
        </is>
      </c>
      <c r="N55" s="7" t="inlineStr">
        <is>
          <t>Registro Técnico Vinculado MAPA</t>
        </is>
      </c>
    </row>
    <row r="56" ht="22" customHeight="1">
      <c r="A56" s="12" t="inlineStr">
        <is>
          <t>CMP-0052</t>
        </is>
      </c>
      <c r="B56" s="11" t="n">
        <v>36</v>
      </c>
      <c r="C56" s="13" t="inlineStr">
        <is>
          <t>Nº 9109</t>
        </is>
      </c>
      <c r="D56" s="14" t="inlineStr">
        <is>
          <t>PREMIO</t>
        </is>
      </c>
      <c r="E56" s="11" t="n">
        <v>1</v>
      </c>
      <c r="F56" s="13" t="inlineStr">
        <is>
          <t>Ingrediente Ativo Principal</t>
        </is>
      </c>
      <c r="G56" s="13" t="inlineStr">
        <is>
          <t>CLORANTRANILIPROLE 200</t>
        </is>
      </c>
      <c r="H56" s="13" t="inlineStr">
        <is>
          <t>3-bromo-N-[4-chloro-2-methyl-6-(methylcarbamoyl)phenyl]-1-(3-chloropyridin-2-yl)-1H-pyrazole-5-carboxamide</t>
        </is>
      </c>
      <c r="I56" s="13" t="inlineStr">
        <is>
          <t>Diamida Antranílica</t>
        </is>
      </c>
      <c r="J56" s="13" t="inlineStr">
        <is>
          <t>IRAC Grupo 28</t>
        </is>
      </c>
      <c r="K56" s="13" t="inlineStr">
        <is>
          <t>Moduladores dos receptores de rianodina (RyR) no músculo</t>
        </is>
      </c>
      <c r="L56" s="15" t="n">
        <v>200</v>
      </c>
      <c r="M56" s="13" t="inlineStr">
        <is>
          <t>g/L</t>
        </is>
      </c>
      <c r="N56" s="13" t="inlineStr">
        <is>
          <t>Registro Técnico Vinculado MAPA</t>
        </is>
      </c>
    </row>
    <row r="57" ht="22" customHeight="1">
      <c r="A57" s="6" t="inlineStr">
        <is>
          <t>CMP-0053</t>
        </is>
      </c>
      <c r="B57" s="5" t="n">
        <v>37</v>
      </c>
      <c r="C57" s="7" t="inlineStr">
        <is>
          <t>Nº 9515</t>
        </is>
      </c>
      <c r="D57" s="8" t="inlineStr">
        <is>
          <t>DERMACOR</t>
        </is>
      </c>
      <c r="E57" s="5" t="n">
        <v>1</v>
      </c>
      <c r="F57" s="7" t="inlineStr">
        <is>
          <t>Ingrediente Ativo Principal</t>
        </is>
      </c>
      <c r="G57" s="7" t="inlineStr">
        <is>
          <t>CLORANTRANILIPROLE 625</t>
        </is>
      </c>
      <c r="H57" s="7" t="inlineStr">
        <is>
          <t>3-bromo-N-[4-chloro-2-methyl-6-(methylcarbamoyl)phenyl]-1-(3-chloropyridin-2-yl)-1H-pyrazole-5-carboxamide</t>
        </is>
      </c>
      <c r="I57" s="7" t="inlineStr">
        <is>
          <t>Diamida Antranílica</t>
        </is>
      </c>
      <c r="J57" s="7" t="inlineStr">
        <is>
          <t>IRAC Grupo 28</t>
        </is>
      </c>
      <c r="K57" s="7" t="inlineStr">
        <is>
          <t>Moduladores dos receptores de rianodina (RyR) no músculo</t>
        </is>
      </c>
      <c r="L57" s="9" t="n">
        <v>625</v>
      </c>
      <c r="M57" s="7" t="inlineStr">
        <is>
          <t>g/L</t>
        </is>
      </c>
      <c r="N57" s="7" t="inlineStr">
        <is>
          <t>Registro Técnico Vinculado MAPA</t>
        </is>
      </c>
    </row>
    <row r="58" ht="22" customHeight="1">
      <c r="A58" s="12" t="inlineStr">
        <is>
          <t>CMP-0054</t>
        </is>
      </c>
      <c r="B58" s="11" t="n">
        <v>38</v>
      </c>
      <c r="C58" s="13" t="inlineStr">
        <is>
          <t>Nº 0711</t>
        </is>
      </c>
      <c r="D58" s="14" t="inlineStr">
        <is>
          <t>CUPRODIL WG</t>
        </is>
      </c>
      <c r="E58" s="11" t="n">
        <v>1</v>
      </c>
      <c r="F58" s="13" t="inlineStr">
        <is>
          <t>Ingrediente Ativo Principal</t>
        </is>
      </c>
      <c r="G58" s="13" t="inlineStr">
        <is>
          <t>OXICLORETO DE COBRE (Equiv. 250 g/kg Cu metálico)</t>
        </is>
      </c>
      <c r="H58" s="13" t="inlineStr">
        <is>
          <t>Dicopper chloride trihydroxide (Cu2Cl(OH)3)</t>
        </is>
      </c>
      <c r="I58" s="13" t="inlineStr">
        <is>
          <t>Inorgânico Cúprico</t>
        </is>
      </c>
      <c r="J58" s="13" t="inlineStr">
        <is>
          <t>FRAC Grupo M01 — Multissítio Inorgânico</t>
        </is>
      </c>
      <c r="K58" s="13" t="inlineStr">
        <is>
          <t>Inativação multissítio de enzimas e proteínas celulares por íons Cu2+</t>
        </is>
      </c>
      <c r="L58" s="15" t="n">
        <v>420</v>
      </c>
      <c r="M58" s="13" t="inlineStr">
        <is>
          <t>g/kg</t>
        </is>
      </c>
      <c r="N58" s="13" t="inlineStr">
        <is>
          <t>Oxicloreto de Cobre Técnico Vinculado MAPA</t>
        </is>
      </c>
    </row>
    <row r="59" ht="22" customHeight="1">
      <c r="A59" s="6" t="inlineStr">
        <is>
          <t>CMP-0055</t>
        </is>
      </c>
      <c r="B59" s="5" t="n">
        <v>38</v>
      </c>
      <c r="C59" s="7" t="inlineStr">
        <is>
          <t>Nº 0711</t>
        </is>
      </c>
      <c r="D59" s="8" t="inlineStr">
        <is>
          <t>CUPRODIL WG</t>
        </is>
      </c>
      <c r="E59" s="5" t="n">
        <v>2</v>
      </c>
      <c r="F59" s="7" t="inlineStr">
        <is>
          <t>Ingrediente Ativo Principal</t>
        </is>
      </c>
      <c r="G59" s="7" t="inlineStr">
        <is>
          <t>CLOROTALONIL</t>
        </is>
      </c>
      <c r="H59" s="7" t="inlineStr">
        <is>
          <t>Tetrachloroisophthalonitrile</t>
        </is>
      </c>
      <c r="I59" s="7" t="inlineStr">
        <is>
          <t>Isoftalonitrila</t>
        </is>
      </c>
      <c r="J59" s="7" t="inlineStr">
        <is>
          <t>FRAC Grupo M05 — Multissítio</t>
        </is>
      </c>
      <c r="K59" s="7" t="inlineStr">
        <is>
          <t>Atividade de contato multissítio (inativação de grupos tiol enzimáticos)</t>
        </is>
      </c>
      <c r="L59" s="9" t="n">
        <v>350</v>
      </c>
      <c r="M59" s="7" t="inlineStr">
        <is>
          <t>g/kg</t>
        </is>
      </c>
      <c r="N59" s="7" t="inlineStr">
        <is>
          <t>Clorotalonil Técnico Vinculado MAPA</t>
        </is>
      </c>
    </row>
    <row r="60" ht="22" customHeight="1">
      <c r="A60" s="12" t="inlineStr">
        <is>
          <t>CMP-0056</t>
        </is>
      </c>
      <c r="B60" s="11" t="n">
        <v>39</v>
      </c>
      <c r="C60" s="13" t="inlineStr">
        <is>
          <t>Nº 26321</t>
        </is>
      </c>
      <c r="D60" s="14" t="inlineStr">
        <is>
          <t>GUARDANIL</t>
        </is>
      </c>
      <c r="E60" s="11" t="n">
        <v>1</v>
      </c>
      <c r="F60" s="13" t="inlineStr">
        <is>
          <t>Ingrediente Ativo Principal</t>
        </is>
      </c>
      <c r="G60" s="13" t="inlineStr">
        <is>
          <t>CLOROTALONIL 720</t>
        </is>
      </c>
      <c r="H60" s="13" t="inlineStr">
        <is>
          <t>Tetrachloroisophthalonitrile</t>
        </is>
      </c>
      <c r="I60" s="13" t="inlineStr">
        <is>
          <t>Isoftalonitrila</t>
        </is>
      </c>
      <c r="J60" s="13" t="inlineStr">
        <is>
          <t>FRAC Grupo M05 — Multissítio</t>
        </is>
      </c>
      <c r="K60" s="13" t="inlineStr">
        <is>
          <t>Atividade de contato multissítio (inativação de grupos tiol enzimáticos)</t>
        </is>
      </c>
      <c r="L60" s="15" t="n">
        <v>720</v>
      </c>
      <c r="M60" s="13" t="inlineStr">
        <is>
          <t>g/L</t>
        </is>
      </c>
      <c r="N60" s="13" t="inlineStr">
        <is>
          <t>Registro Técnico Vinculado MAPA</t>
        </is>
      </c>
    </row>
    <row r="61" ht="22" customHeight="1">
      <c r="A61" s="6" t="inlineStr">
        <is>
          <t>CMP-0057</t>
        </is>
      </c>
      <c r="B61" s="5" t="n">
        <v>40</v>
      </c>
      <c r="C61" s="7" t="inlineStr">
        <is>
          <t>Nº 23419</t>
        </is>
      </c>
      <c r="D61" s="8" t="inlineStr">
        <is>
          <t>SAFENITH</t>
        </is>
      </c>
      <c r="E61" s="5" t="n">
        <v>1</v>
      </c>
      <c r="F61" s="7" t="inlineStr">
        <is>
          <t>Ingrediente Ativo Principal</t>
        </is>
      </c>
      <c r="G61" s="7" t="inlineStr">
        <is>
          <t>CLOROTALONIL 720</t>
        </is>
      </c>
      <c r="H61" s="7" t="inlineStr">
        <is>
          <t>Tetrachloroisophthalonitrile</t>
        </is>
      </c>
      <c r="I61" s="7" t="inlineStr">
        <is>
          <t>Isoftalonitrila</t>
        </is>
      </c>
      <c r="J61" s="7" t="inlineStr">
        <is>
          <t>FRAC Grupo M05 — Multissítio</t>
        </is>
      </c>
      <c r="K61" s="7" t="inlineStr">
        <is>
          <t>Atividade de contato multissítio (inativação de grupos tiol enzimáticos)</t>
        </is>
      </c>
      <c r="L61" s="9" t="n">
        <v>720</v>
      </c>
      <c r="M61" s="7" t="inlineStr">
        <is>
          <t>g/L</t>
        </is>
      </c>
      <c r="N61" s="7" t="inlineStr">
        <is>
          <t>Registro Técnico Vinculado MAPA</t>
        </is>
      </c>
    </row>
    <row r="62" ht="22" customHeight="1">
      <c r="A62" s="12" t="inlineStr">
        <is>
          <t>CMP-0058</t>
        </is>
      </c>
      <c r="B62" s="11" t="n">
        <v>41</v>
      </c>
      <c r="C62" s="13" t="inlineStr">
        <is>
          <t>Nº 24320</t>
        </is>
      </c>
      <c r="D62" s="14" t="inlineStr">
        <is>
          <t>CLOPANTO</t>
        </is>
      </c>
      <c r="E62" s="11" t="n">
        <v>1</v>
      </c>
      <c r="F62" s="13" t="inlineStr">
        <is>
          <t>Ingrediente Ativo Principal</t>
        </is>
      </c>
      <c r="G62" s="13" t="inlineStr">
        <is>
          <t>CLORPIRIFOS 480</t>
        </is>
      </c>
      <c r="H62" s="13" t="inlineStr">
        <is>
          <t>O,O-diethyl O-3,5,6-trichloro-2-pyridyl phosphorothioate</t>
        </is>
      </c>
      <c r="I62" s="13" t="inlineStr">
        <is>
          <t>Organofosforado</t>
        </is>
      </c>
      <c r="J62" s="13" t="inlineStr">
        <is>
          <t>IRAC Grupo 1B</t>
        </is>
      </c>
      <c r="K62" s="13" t="inlineStr">
        <is>
          <t>Inibidores da acetilcolinesterase (AChE)</t>
        </is>
      </c>
      <c r="L62" s="15" t="n">
        <v>480</v>
      </c>
      <c r="M62" s="13" t="inlineStr">
        <is>
          <t>g/L</t>
        </is>
      </c>
      <c r="N62" s="13" t="inlineStr">
        <is>
          <t>Registro Técnico Vinculado MAPA</t>
        </is>
      </c>
    </row>
    <row r="63" ht="22" customHeight="1">
      <c r="A63" s="6" t="inlineStr">
        <is>
          <t>CMP-0059</t>
        </is>
      </c>
      <c r="B63" s="5" t="n">
        <v>42</v>
      </c>
      <c r="C63" s="7" t="inlineStr">
        <is>
          <t>Nº 7899</t>
        </is>
      </c>
      <c r="D63" s="8" t="inlineStr">
        <is>
          <t>KLORPAN 480 EC</t>
        </is>
      </c>
      <c r="E63" s="5" t="n">
        <v>1</v>
      </c>
      <c r="F63" s="7" t="inlineStr">
        <is>
          <t>Ingrediente Ativo Principal</t>
        </is>
      </c>
      <c r="G63" s="7" t="inlineStr">
        <is>
          <t>CLORPIRIFOS 480</t>
        </is>
      </c>
      <c r="H63" s="7" t="inlineStr">
        <is>
          <t>O,O-diethyl O-3,5,6-trichloro-2-pyridyl phosphorothioate</t>
        </is>
      </c>
      <c r="I63" s="7" t="inlineStr">
        <is>
          <t>Organofosforado</t>
        </is>
      </c>
      <c r="J63" s="7" t="inlineStr">
        <is>
          <t>IRAC Grupo 1B</t>
        </is>
      </c>
      <c r="K63" s="7" t="inlineStr">
        <is>
          <t>Inibidores da acetilcolinesterase (AChE)</t>
        </is>
      </c>
      <c r="L63" s="9" t="n">
        <v>480</v>
      </c>
      <c r="M63" s="7" t="inlineStr">
        <is>
          <t>g/L</t>
        </is>
      </c>
      <c r="N63" s="7" t="inlineStr">
        <is>
          <t>Registro Técnico Vinculado MAPA</t>
        </is>
      </c>
    </row>
    <row r="64" ht="22" customHeight="1">
      <c r="A64" s="12" t="inlineStr">
        <is>
          <t>CMP-0060</t>
        </is>
      </c>
      <c r="B64" s="11" t="n">
        <v>43</v>
      </c>
      <c r="C64" s="13" t="inlineStr">
        <is>
          <t>Nº 18618</t>
        </is>
      </c>
      <c r="D64" s="14" t="inlineStr">
        <is>
          <t>WILD</t>
        </is>
      </c>
      <c r="E64" s="11" t="n">
        <v>1</v>
      </c>
      <c r="F64" s="13" t="inlineStr">
        <is>
          <t>Ingrediente Ativo Principal</t>
        </is>
      </c>
      <c r="G64" s="13" t="inlineStr">
        <is>
          <t>CLORPIRIFOS 480</t>
        </is>
      </c>
      <c r="H64" s="13" t="inlineStr">
        <is>
          <t>O,O-diethyl O-3,5,6-trichloro-2-pyridyl phosphorothioate</t>
        </is>
      </c>
      <c r="I64" s="13" t="inlineStr">
        <is>
          <t>Organofosforado</t>
        </is>
      </c>
      <c r="J64" s="13" t="inlineStr">
        <is>
          <t>IRAC Grupo 1B</t>
        </is>
      </c>
      <c r="K64" s="13" t="inlineStr">
        <is>
          <t>Inibidores da acetilcolinesterase (AChE)</t>
        </is>
      </c>
      <c r="L64" s="15" t="n">
        <v>480</v>
      </c>
      <c r="M64" s="13" t="inlineStr">
        <is>
          <t>g/L</t>
        </is>
      </c>
      <c r="N64" s="13" t="inlineStr">
        <is>
          <t>Registro Técnico Vinculado MAPA</t>
        </is>
      </c>
    </row>
    <row r="65" ht="22" customHeight="1">
      <c r="A65" s="6" t="inlineStr">
        <is>
          <t>CMP-0061</t>
        </is>
      </c>
      <c r="B65" s="5" t="n">
        <v>44</v>
      </c>
      <c r="C65" s="7" t="inlineStr">
        <is>
          <t>ISENTO (ATO 104/2017)</t>
        </is>
      </c>
      <c r="D65" s="8" t="inlineStr">
        <is>
          <t>AGCN DESALOJ TAB 12X0,8KG</t>
        </is>
      </c>
      <c r="E65" s="5" t="n">
        <v>1</v>
      </c>
      <c r="F65" s="7" t="inlineStr">
        <is>
          <t>Ingrediente Ativo Principal</t>
        </is>
      </c>
      <c r="G65" s="7" t="inlineStr">
        <is>
          <t>DESALOJANTE QUIMICO</t>
        </is>
      </c>
      <c r="H65" s="7" t="inlineStr">
        <is>
          <t>Composto tensoativo/efervescente auxiliar de pulverização</t>
        </is>
      </c>
      <c r="I65" s="7" t="inlineStr">
        <is>
          <t>Aditivo Auxiliar de Calda (Ato SDA nº 104/2017)</t>
        </is>
      </c>
      <c r="J65" s="7" t="inlineStr">
        <is>
          <t>Auxiliar Tecnológico de Aplicação (Ato 104/2017)</t>
        </is>
      </c>
      <c r="K65" s="7" t="inlineStr">
        <is>
          <t>Incremento da agitação comportamental da praga e exposição à calda inseticida</t>
        </is>
      </c>
      <c r="L65" s="9" t="n">
        <v>500</v>
      </c>
      <c r="M65" s="7" t="inlineStr">
        <is>
          <t>g/L</t>
        </is>
      </c>
      <c r="N65" s="7" t="inlineStr">
        <is>
          <t>Registro Técnico Vinculado MAPA</t>
        </is>
      </c>
    </row>
    <row r="66" ht="22" customHeight="1">
      <c r="A66" s="12" t="inlineStr">
        <is>
          <t>CMP-0062</t>
        </is>
      </c>
      <c r="B66" s="11" t="n">
        <v>45</v>
      </c>
      <c r="C66" s="13" t="inlineStr">
        <is>
          <t>Nº 5097</t>
        </is>
      </c>
      <c r="D66" s="14" t="inlineStr">
        <is>
          <t>SPIDER 840 WG 10X0,21KG</t>
        </is>
      </c>
      <c r="E66" s="11" t="n">
        <v>1</v>
      </c>
      <c r="F66" s="13" t="inlineStr">
        <is>
          <t>Ingrediente Ativo Principal</t>
        </is>
      </c>
      <c r="G66" s="13" t="inlineStr">
        <is>
          <t>DICLOSULAM 840</t>
        </is>
      </c>
      <c r="H66" s="13" t="inlineStr">
        <is>
          <t>N-(2,6-dichlorophenyl)-5-ethoxy-7-fluoro[1,2,4]triazolo[1,5-c]pyrimidine-2-sulfonamide</t>
        </is>
      </c>
      <c r="I66" s="13" t="inlineStr">
        <is>
          <t>Triazolopirimidina Sulfonanilida</t>
        </is>
      </c>
      <c r="J66" s="13" t="inlineStr">
        <is>
          <t>HRAC Grupo B (2) — Inibidores da ALS</t>
        </is>
      </c>
      <c r="K66" s="13" t="inlineStr">
        <is>
          <t>Inibição da enzima acetolactato sintase (ALS / AHAS)</t>
        </is>
      </c>
      <c r="L66" s="15" t="n">
        <v>840</v>
      </c>
      <c r="M66" s="13" t="inlineStr">
        <is>
          <t>g/kg</t>
        </is>
      </c>
      <c r="N66" s="13" t="inlineStr">
        <is>
          <t>Registro Técnico Vinculado MAPA</t>
        </is>
      </c>
    </row>
    <row r="67" ht="22" customHeight="1">
      <c r="A67" s="6" t="inlineStr">
        <is>
          <t>CMP-0063</t>
        </is>
      </c>
      <c r="B67" s="5" t="n">
        <v>46</v>
      </c>
      <c r="C67" s="7" t="inlineStr">
        <is>
          <t>Nº 15716</t>
        </is>
      </c>
      <c r="D67" s="8" t="inlineStr">
        <is>
          <t>DIFCOR 250 EC BR</t>
        </is>
      </c>
      <c r="E67" s="5" t="n">
        <v>1</v>
      </c>
      <c r="F67" s="7" t="inlineStr">
        <is>
          <t>Ingrediente Ativo Principal</t>
        </is>
      </c>
      <c r="G67" s="7" t="inlineStr">
        <is>
          <t>DIFENOCONAZOL 250</t>
        </is>
      </c>
      <c r="H67" s="7" t="inlineStr">
        <is>
          <t>cis,trans-3-chloro-4-[4-methyl-2-(1H-1,2,4-triazol-1-ylmethyl)-1,3-dioxolan-2-yl]phenyl 4-chlorophenyl ether</t>
        </is>
      </c>
      <c r="I67" s="7" t="inlineStr">
        <is>
          <t>Triazol</t>
        </is>
      </c>
      <c r="J67" s="7" t="inlineStr">
        <is>
          <t>FRAC Grupo 3 (DMI)</t>
        </is>
      </c>
      <c r="K67" s="7" t="inlineStr">
        <is>
          <t>Inibidores da desmetilação de esteróis (C14-desmetilase na síntese de ergosterol)</t>
        </is>
      </c>
      <c r="L67" s="9" t="n">
        <v>250</v>
      </c>
      <c r="M67" s="7" t="inlineStr">
        <is>
          <t>g/L</t>
        </is>
      </c>
      <c r="N67" s="7" t="inlineStr">
        <is>
          <t>Registro Técnico Vinculado MAPA</t>
        </is>
      </c>
    </row>
    <row r="68" ht="22" customHeight="1">
      <c r="A68" s="12" t="inlineStr">
        <is>
          <t>CMP-0064</t>
        </is>
      </c>
      <c r="B68" s="11" t="n">
        <v>47</v>
      </c>
      <c r="C68" s="13" t="inlineStr">
        <is>
          <t>Nº 19217</t>
        </is>
      </c>
      <c r="D68" s="14" t="inlineStr">
        <is>
          <t>BLOWOUT</t>
        </is>
      </c>
      <c r="E68" s="11" t="n">
        <v>1</v>
      </c>
      <c r="F68" s="13" t="inlineStr">
        <is>
          <t>Ingrediente Ativo Principal</t>
        </is>
      </c>
      <c r="G68" s="13" t="inlineStr">
        <is>
          <t>DIQUATE ÍON 200 g/L (Dibrometo de Diquate 373,5 g/L)</t>
        </is>
      </c>
      <c r="H68" s="13" t="inlineStr">
        <is>
          <t>9,10-dihydro-8a,10a-diazoniaphenanthrene dibromide (Dibrometo de Diquate)</t>
        </is>
      </c>
      <c r="I68" s="13" t="inlineStr">
        <is>
          <t>Bipiridílio</t>
        </is>
      </c>
      <c r="J68" s="13" t="inlineStr">
        <is>
          <t>HRAC Grupo D (22) — Desviadores de Elétrons do Fotossistema I</t>
        </is>
      </c>
      <c r="K68" s="13" t="inlineStr">
        <is>
          <t>Inibidores do Fotossistema I (geração de radicais livres peróxidos)</t>
        </is>
      </c>
      <c r="L68" s="15" t="n">
        <v>200</v>
      </c>
      <c r="M68" s="13" t="inlineStr">
        <is>
          <t>g/L</t>
        </is>
      </c>
      <c r="N68" s="13" t="inlineStr">
        <is>
          <t>Registro Técnico Vinculado MAPA</t>
        </is>
      </c>
    </row>
    <row r="69" ht="22" customHeight="1">
      <c r="A69" s="6" t="inlineStr">
        <is>
          <t>CMP-0065</t>
        </is>
      </c>
      <c r="B69" s="5" t="n">
        <v>48</v>
      </c>
      <c r="C69" s="7" t="inlineStr">
        <is>
          <t>Nº 25216</t>
        </is>
      </c>
      <c r="D69" s="8" t="inlineStr">
        <is>
          <t>DESSICASH 200</t>
        </is>
      </c>
      <c r="E69" s="5" t="n">
        <v>1</v>
      </c>
      <c r="F69" s="7" t="inlineStr">
        <is>
          <t>Ingrediente Ativo Principal</t>
        </is>
      </c>
      <c r="G69" s="7" t="inlineStr">
        <is>
          <t>DIQUATE ÍON 200 g/L (Dibrometo de Diquate 373,5 g/L)</t>
        </is>
      </c>
      <c r="H69" s="7" t="inlineStr">
        <is>
          <t>9,10-dihydro-8a,10a-diazoniaphenanthrene dibromide (Dibrometo de Diquate)</t>
        </is>
      </c>
      <c r="I69" s="7" t="inlineStr">
        <is>
          <t>Bipiridílio</t>
        </is>
      </c>
      <c r="J69" s="7" t="inlineStr">
        <is>
          <t>HRAC Grupo D (22) — Desviadores de Elétrons do Fotossistema I</t>
        </is>
      </c>
      <c r="K69" s="7" t="inlineStr">
        <is>
          <t>Inibidores do Fotossistema I (geração de radicais livres peróxidos)</t>
        </is>
      </c>
      <c r="L69" s="9" t="n">
        <v>200</v>
      </c>
      <c r="M69" s="7" t="inlineStr">
        <is>
          <t>g/L</t>
        </is>
      </c>
      <c r="N69" s="7" t="inlineStr">
        <is>
          <t>Registro Técnico Vinculado MAPA</t>
        </is>
      </c>
    </row>
    <row r="70" ht="22" customHeight="1">
      <c r="A70" s="12" t="inlineStr">
        <is>
          <t>CMP-0066</t>
        </is>
      </c>
      <c r="B70" s="11" t="n">
        <v>49</v>
      </c>
      <c r="C70" s="13" t="inlineStr">
        <is>
          <t>Nº 0812</t>
        </is>
      </c>
      <c r="D70" s="14" t="inlineStr">
        <is>
          <t>DIOX</t>
        </is>
      </c>
      <c r="E70" s="11" t="n">
        <v>1</v>
      </c>
      <c r="F70" s="13" t="inlineStr">
        <is>
          <t>Ingrediente Ativo Principal</t>
        </is>
      </c>
      <c r="G70" s="13" t="inlineStr">
        <is>
          <t>DIUROM 500</t>
        </is>
      </c>
      <c r="H70" s="13" t="inlineStr">
        <is>
          <t>3-(3,4-dichlorophenyl)-1,1-dimethylurea</t>
        </is>
      </c>
      <c r="I70" s="13" t="inlineStr">
        <is>
          <t>Ureia Substituída (Fenilureia)</t>
        </is>
      </c>
      <c r="J70" s="13" t="inlineStr">
        <is>
          <t>HRAC Grupo C2 (5) — Inibidores do Fotossistema II</t>
        </is>
      </c>
      <c r="K70" s="13" t="inlineStr">
        <is>
          <t>Inibição do transporte de elétrons no Fotossistema II (sítio Serina 264)</t>
        </is>
      </c>
      <c r="L70" s="15" t="n">
        <v>500</v>
      </c>
      <c r="M70" s="13" t="inlineStr">
        <is>
          <t>g/L</t>
        </is>
      </c>
      <c r="N70" s="13" t="inlineStr">
        <is>
          <t>Registro Técnico Vinculado MAPA</t>
        </is>
      </c>
    </row>
    <row r="71" ht="22" customHeight="1">
      <c r="A71" s="6" t="inlineStr">
        <is>
          <t>CMP-0067</t>
        </is>
      </c>
      <c r="B71" s="5" t="n">
        <v>50</v>
      </c>
      <c r="C71" s="7" t="inlineStr">
        <is>
          <t>SIPEAGRO (UF-XXXXX)</t>
        </is>
      </c>
      <c r="D71" s="8" t="inlineStr">
        <is>
          <t>AGCN ENXOFRE</t>
        </is>
      </c>
      <c r="E71" s="5" t="n">
        <v>1</v>
      </c>
      <c r="F71" s="7" t="inlineStr">
        <is>
          <t>Nutriente Garantido</t>
        </is>
      </c>
      <c r="G71" s="7" t="inlineStr">
        <is>
          <t>S 25%</t>
        </is>
      </c>
      <c r="H71" s="7" t="inlineStr">
        <is>
          <t>Composição Nutricional Oficial (S 25%)</t>
        </is>
      </c>
      <c r="I71" s="7" t="inlineStr">
        <is>
          <t>Fertilizante Mineral / Organomineral (Lei nº 6.894/1980)</t>
        </is>
      </c>
      <c r="J71" s="7" t="inlineStr">
        <is>
          <t>Nutrição Vegetal SIPEAGRO</t>
        </is>
      </c>
      <c r="K71" s="7" t="inlineStr">
        <is>
          <t>Fornecimento de macro e micronutrientes essenciais ao metabolismo vegetal</t>
        </is>
      </c>
      <c r="L71" s="9" t="n">
        <v>25</v>
      </c>
      <c r="M71" s="7" t="inlineStr">
        <is>
          <t>% m/m</t>
        </is>
      </c>
      <c r="N71" s="7" t="inlineStr">
        <is>
          <t>Registro Técnico Vinculado MAPA</t>
        </is>
      </c>
    </row>
    <row r="72" ht="22" customHeight="1">
      <c r="A72" s="12" t="inlineStr">
        <is>
          <t>CMP-0068</t>
        </is>
      </c>
      <c r="B72" s="11" t="n">
        <v>50</v>
      </c>
      <c r="C72" s="13" t="inlineStr">
        <is>
          <t>SIPEAGRO (UF-XXXXX)</t>
        </is>
      </c>
      <c r="D72" s="14" t="inlineStr">
        <is>
          <t>AGCN ENXOFRE</t>
        </is>
      </c>
      <c r="E72" s="11" t="n">
        <v>2</v>
      </c>
      <c r="F72" s="13" t="inlineStr">
        <is>
          <t>Nutriente Garantido</t>
        </is>
      </c>
      <c r="G72" s="13" t="inlineStr">
        <is>
          <t>N 12%</t>
        </is>
      </c>
      <c r="H72" s="13" t="inlineStr">
        <is>
          <t>Composição Nutricional Oficial (N 12%)</t>
        </is>
      </c>
      <c r="I72" s="13" t="inlineStr">
        <is>
          <t>Fertilizante Mineral / Organomineral (Lei nº 6.894/1980)</t>
        </is>
      </c>
      <c r="J72" s="13" t="inlineStr">
        <is>
          <t>Nutrição Vegetal SIPEAGRO</t>
        </is>
      </c>
      <c r="K72" s="13" t="inlineStr">
        <is>
          <t>Fornecimento de macro e micronutrientes essenciais ao metabolismo vegetal</t>
        </is>
      </c>
      <c r="L72" s="15" t="n">
        <v>12</v>
      </c>
      <c r="M72" s="13" t="inlineStr">
        <is>
          <t>% m/m</t>
        </is>
      </c>
      <c r="N72" s="13" t="inlineStr">
        <is>
          <t>Registro Técnico Vinculado MAPA</t>
        </is>
      </c>
    </row>
    <row r="73" ht="22" customHeight="1">
      <c r="A73" s="6" t="inlineStr">
        <is>
          <t>CMP-0069</t>
        </is>
      </c>
      <c r="B73" s="5" t="n">
        <v>51</v>
      </c>
      <c r="C73" s="7" t="inlineStr">
        <is>
          <t>SIPEAGRO (UF-XXXXX)</t>
        </is>
      </c>
      <c r="D73" s="8" t="inlineStr">
        <is>
          <t>AGCN MG 16</t>
        </is>
      </c>
      <c r="E73" s="5" t="n">
        <v>1</v>
      </c>
      <c r="F73" s="7" t="inlineStr">
        <is>
          <t>Nutriente Garantido</t>
        </is>
      </c>
      <c r="G73" s="7" t="inlineStr">
        <is>
          <t>MG 16%</t>
        </is>
      </c>
      <c r="H73" s="7" t="inlineStr">
        <is>
          <t>Composição Nutricional Oficial (MG 16%)</t>
        </is>
      </c>
      <c r="I73" s="7" t="inlineStr">
        <is>
          <t>Fertilizante Mineral / Organomineral (Lei nº 6.894/1980)</t>
        </is>
      </c>
      <c r="J73" s="7" t="inlineStr">
        <is>
          <t>Nutrição Vegetal SIPEAGRO</t>
        </is>
      </c>
      <c r="K73" s="7" t="inlineStr">
        <is>
          <t>Fornecimento de macro e micronutrientes essenciais ao metabolismo vegetal</t>
        </is>
      </c>
      <c r="L73" s="9" t="n">
        <v>16</v>
      </c>
      <c r="M73" s="7" t="inlineStr">
        <is>
          <t>% m/m</t>
        </is>
      </c>
      <c r="N73" s="7" t="inlineStr">
        <is>
          <t>Registro Técnico Vinculado MAPA</t>
        </is>
      </c>
    </row>
    <row r="74" ht="22" customHeight="1">
      <c r="A74" s="12" t="inlineStr">
        <is>
          <t>CMP-0070</t>
        </is>
      </c>
      <c r="B74" s="11" t="n">
        <v>52</v>
      </c>
      <c r="C74" s="13" t="inlineStr">
        <is>
          <t>Nº 14314</t>
        </is>
      </c>
      <c r="D74" s="14" t="inlineStr">
        <is>
          <t>EXALT</t>
        </is>
      </c>
      <c r="E74" s="11" t="n">
        <v>1</v>
      </c>
      <c r="F74" s="13" t="inlineStr">
        <is>
          <t>Ingrediente Ativo Principal</t>
        </is>
      </c>
      <c r="G74" s="13" t="inlineStr">
        <is>
          <t>ESPINETORAM</t>
        </is>
      </c>
      <c r="H74" s="13" t="inlineStr">
        <is>
          <t>Mistura de 3-O-etil-5,6-di-hidro-espinosina J e 3-O-etil-espinosina L</t>
        </is>
      </c>
      <c r="I74" s="13" t="inlineStr">
        <is>
          <t>Espinosina</t>
        </is>
      </c>
      <c r="J74" s="13" t="inlineStr">
        <is>
          <t>IRAC Grupo 5</t>
        </is>
      </c>
      <c r="K74" s="13" t="inlineStr">
        <is>
          <t>Moduladores alostéricos dos receptores nicotínicos da acetilcolina (nAChR)</t>
        </is>
      </c>
      <c r="L74" s="15" t="n">
        <v>120</v>
      </c>
      <c r="M74" s="13" t="inlineStr">
        <is>
          <t>g/L</t>
        </is>
      </c>
      <c r="N74" s="13" t="inlineStr">
        <is>
          <t>Spinetoram Técnico Corteva</t>
        </is>
      </c>
    </row>
    <row r="75" ht="22" customHeight="1">
      <c r="A75" s="6" t="inlineStr">
        <is>
          <t>CMP-0071</t>
        </is>
      </c>
      <c r="B75" s="5" t="n">
        <v>53</v>
      </c>
      <c r="C75" s="7" t="inlineStr">
        <is>
          <t>Nº 2520</t>
        </is>
      </c>
      <c r="D75" s="8" t="inlineStr">
        <is>
          <t>SURVEY 250 FS</t>
        </is>
      </c>
      <c r="E75" s="5" t="n">
        <v>1</v>
      </c>
      <c r="F75" s="7" t="inlineStr">
        <is>
          <t>Ingrediente Ativo Principal</t>
        </is>
      </c>
      <c r="G75" s="7" t="inlineStr">
        <is>
          <t>FIPRONIL 250</t>
        </is>
      </c>
      <c r="H75" s="7" t="inlineStr">
        <is>
          <t>(RS)-5-amino-1-(2,6-dichloro-a,a,a-trifluoro-p-tolyl)-4-trifluoromethylsulfinylpyrazole-3-carbonitrile</t>
        </is>
      </c>
      <c r="I75" s="7" t="inlineStr">
        <is>
          <t>Pirazol (Fenilpirazol)</t>
        </is>
      </c>
      <c r="J75" s="7" t="inlineStr">
        <is>
          <t>IRAC Grupo 2B</t>
        </is>
      </c>
      <c r="K75" s="7" t="inlineStr">
        <is>
          <t>Bloqueadores de canais de cloro mediados pelo GABA</t>
        </is>
      </c>
      <c r="L75" s="9" t="n">
        <v>250</v>
      </c>
      <c r="M75" s="7" t="inlineStr">
        <is>
          <t>g/L</t>
        </is>
      </c>
      <c r="N75" s="7" t="inlineStr">
        <is>
          <t>Registro Técnico Vinculado MAPA</t>
        </is>
      </c>
    </row>
    <row r="76" ht="22" customHeight="1">
      <c r="A76" s="12" t="inlineStr">
        <is>
          <t>CMP-0072</t>
        </is>
      </c>
      <c r="B76" s="11" t="n">
        <v>54</v>
      </c>
      <c r="C76" s="13" t="inlineStr">
        <is>
          <t>Nº 0494</t>
        </is>
      </c>
      <c r="D76" s="14" t="inlineStr">
        <is>
          <t>SCORPION</t>
        </is>
      </c>
      <c r="E76" s="11" t="n">
        <v>1</v>
      </c>
      <c r="F76" s="13" t="inlineStr">
        <is>
          <t>Ingrediente Ativo Principal</t>
        </is>
      </c>
      <c r="G76" s="13" t="inlineStr">
        <is>
          <t>FLUMETSULAM 120</t>
        </is>
      </c>
      <c r="H76" s="13" t="inlineStr">
        <is>
          <t>2,6-difluoro-5-methyl[1,2,4]triazolo[1,5-a]pyrimidine-2-sulfonanilide</t>
        </is>
      </c>
      <c r="I76" s="13" t="inlineStr">
        <is>
          <t>Triazolopirimidina Sulfonanilida</t>
        </is>
      </c>
      <c r="J76" s="13" t="inlineStr">
        <is>
          <t>HRAC Grupo B (2) — Inibidores da ALS</t>
        </is>
      </c>
      <c r="K76" s="13" t="inlineStr">
        <is>
          <t>Inibição da enzima acetolactato sintase (ALS / AHAS)</t>
        </is>
      </c>
      <c r="L76" s="15" t="n">
        <v>120</v>
      </c>
      <c r="M76" s="13" t="inlineStr">
        <is>
          <t>g/L</t>
        </is>
      </c>
      <c r="N76" s="13" t="inlineStr">
        <is>
          <t>Registro Técnico Vinculado MAPA</t>
        </is>
      </c>
    </row>
    <row r="77" ht="22" customHeight="1">
      <c r="A77" s="6" t="inlineStr">
        <is>
          <t>CMP-0073</t>
        </is>
      </c>
      <c r="B77" s="5" t="n">
        <v>55</v>
      </c>
      <c r="C77" s="7" t="inlineStr">
        <is>
          <t>Nº 8813</t>
        </is>
      </c>
      <c r="D77" s="8" t="inlineStr">
        <is>
          <t>ORKESTRA</t>
        </is>
      </c>
      <c r="E77" s="5" t="n">
        <v>1</v>
      </c>
      <c r="F77" s="7" t="inlineStr">
        <is>
          <t>Ingrediente Ativo Principal</t>
        </is>
      </c>
      <c r="G77" s="7" t="inlineStr">
        <is>
          <t>FLUXAPIROXADE 167</t>
        </is>
      </c>
      <c r="H77" s="7" t="inlineStr">
        <is>
          <t>3-(difluoromethyl)-1-methyl-N-(3,4,5-trifluorobiphenyl-2-yl)pyrazole-4-carboxamide</t>
        </is>
      </c>
      <c r="I77" s="7" t="inlineStr">
        <is>
          <t>Carboxamida (Pirazol-4-carboxamida)</t>
        </is>
      </c>
      <c r="J77" s="7" t="inlineStr">
        <is>
          <t>FRAC Grupo 7 (C2 — SDHI)</t>
        </is>
      </c>
      <c r="K77" s="7" t="inlineStr">
        <is>
          <t>Inibidores da enzima succinato desidrogenase (Complexo II respiratório)</t>
        </is>
      </c>
      <c r="L77" s="9" t="n">
        <v>167</v>
      </c>
      <c r="M77" s="7" t="inlineStr">
        <is>
          <t>g/L</t>
        </is>
      </c>
      <c r="N77" s="7" t="inlineStr">
        <is>
          <t>Registro Técnico Vinculado MAPA</t>
        </is>
      </c>
    </row>
    <row r="78" ht="22" customHeight="1">
      <c r="A78" s="12" t="inlineStr">
        <is>
          <t>CMP-0074</t>
        </is>
      </c>
      <c r="B78" s="11" t="n">
        <v>55</v>
      </c>
      <c r="C78" s="13" t="inlineStr">
        <is>
          <t>Nº 8813</t>
        </is>
      </c>
      <c r="D78" s="14" t="inlineStr">
        <is>
          <t>ORKESTRA</t>
        </is>
      </c>
      <c r="E78" s="11" t="n">
        <v>2</v>
      </c>
      <c r="F78" s="13" t="inlineStr">
        <is>
          <t>Ingrediente Ativo Principal</t>
        </is>
      </c>
      <c r="G78" s="13" t="inlineStr">
        <is>
          <t>PIRACLOSTROBINA 333</t>
        </is>
      </c>
      <c r="H78" s="13" t="inlineStr">
        <is>
          <t>Methyl N-{2-[1-(4-chlorophenyl)-1H-pyrazol-3-yloxymethyl]phenyl}(N-methoxy)carbamate</t>
        </is>
      </c>
      <c r="I78" s="13" t="inlineStr">
        <is>
          <t>Estrobilurina (Metoxicarbamato)</t>
        </is>
      </c>
      <c r="J78" s="13" t="inlineStr">
        <is>
          <t>FRAC Grupo 11 (C3 — QoI)</t>
        </is>
      </c>
      <c r="K78" s="13" t="inlineStr">
        <is>
          <t>Inibidores da respiração mitocondrial no Complexo III (sítio Qo)</t>
        </is>
      </c>
      <c r="L78" s="15" t="n">
        <v>333</v>
      </c>
      <c r="M78" s="13" t="inlineStr">
        <is>
          <t>g/L</t>
        </is>
      </c>
      <c r="N78" s="13" t="inlineStr">
        <is>
          <t>Registro Técnico Vinculado MAPA</t>
        </is>
      </c>
    </row>
    <row r="79" ht="22" customHeight="1">
      <c r="A79" s="6" t="inlineStr">
        <is>
          <t>CMP-0075</t>
        </is>
      </c>
      <c r="B79" s="5" t="n">
        <v>56</v>
      </c>
      <c r="C79" s="7" t="inlineStr">
        <is>
          <t>Nº 25119</t>
        </is>
      </c>
      <c r="D79" s="8" t="inlineStr">
        <is>
          <t>GLIFOSATO 72WG ALAMOS</t>
        </is>
      </c>
      <c r="E79" s="5" t="n">
        <v>1</v>
      </c>
      <c r="F79" s="7" t="inlineStr">
        <is>
          <t>Ingrediente Ativo Principal</t>
        </is>
      </c>
      <c r="G79" s="7" t="inlineStr">
        <is>
          <t>GLIFOSATO 720</t>
        </is>
      </c>
      <c r="H79" s="7" t="inlineStr">
        <is>
          <t>N-(phosphonomethyl)glycine (Sal de Amônio / Isopropilamina / Potássico)</t>
        </is>
      </c>
      <c r="I79" s="7" t="inlineStr">
        <is>
          <t>Glicina substituída</t>
        </is>
      </c>
      <c r="J79" s="7" t="inlineStr">
        <is>
          <t>HRAC Grupo G (EPSPs)</t>
        </is>
      </c>
      <c r="K79" s="7" t="inlineStr">
        <is>
          <t>Inibidores da enzima EPSPs (Enoil Piruvil Shiquimato Fosfato Sintase)</t>
        </is>
      </c>
      <c r="L79" s="9" t="n">
        <v>720</v>
      </c>
      <c r="M79" s="7" t="inlineStr">
        <is>
          <t>g/kg</t>
        </is>
      </c>
      <c r="N79" s="7" t="inlineStr">
        <is>
          <t>Registro Técnico Vinculado MAPA</t>
        </is>
      </c>
    </row>
    <row r="80" ht="22" customHeight="1">
      <c r="A80" s="12" t="inlineStr">
        <is>
          <t>CMP-0076</t>
        </is>
      </c>
      <c r="B80" s="11" t="n">
        <v>57</v>
      </c>
      <c r="C80" s="13" t="inlineStr">
        <is>
          <t>Nº 36518</t>
        </is>
      </c>
      <c r="D80" s="14" t="inlineStr">
        <is>
          <t>MAXIZATO</t>
        </is>
      </c>
      <c r="E80" s="11" t="n">
        <v>1</v>
      </c>
      <c r="F80" s="13" t="inlineStr">
        <is>
          <t>Ingrediente Ativo Principal</t>
        </is>
      </c>
      <c r="G80" s="13" t="inlineStr">
        <is>
          <t>GLIFOSATO 720</t>
        </is>
      </c>
      <c r="H80" s="13" t="inlineStr">
        <is>
          <t>N-(phosphonomethyl)glycine (Sal de Amônio / Isopropilamina / Potássico)</t>
        </is>
      </c>
      <c r="I80" s="13" t="inlineStr">
        <is>
          <t>Glicina substituída</t>
        </is>
      </c>
      <c r="J80" s="13" t="inlineStr">
        <is>
          <t>HRAC Grupo G (EPSPs)</t>
        </is>
      </c>
      <c r="K80" s="13" t="inlineStr">
        <is>
          <t>Inibidores da enzima EPSPs (Enoil Piruvil Shiquimato Fosfato Sintase)</t>
        </is>
      </c>
      <c r="L80" s="15" t="n">
        <v>720</v>
      </c>
      <c r="M80" s="13" t="inlineStr">
        <is>
          <t>g/kg</t>
        </is>
      </c>
      <c r="N80" s="13" t="inlineStr">
        <is>
          <t>Registro Técnico Vinculado MAPA</t>
        </is>
      </c>
    </row>
    <row r="81" ht="22" customHeight="1">
      <c r="A81" s="6" t="inlineStr">
        <is>
          <t>CMP-0077</t>
        </is>
      </c>
      <c r="B81" s="5" t="n">
        <v>58</v>
      </c>
      <c r="C81" s="7" t="inlineStr">
        <is>
          <t>Nº 28520</t>
        </is>
      </c>
      <c r="D81" s="8" t="inlineStr">
        <is>
          <t>SENHA 720 WG</t>
        </is>
      </c>
      <c r="E81" s="5" t="n">
        <v>1</v>
      </c>
      <c r="F81" s="7" t="inlineStr">
        <is>
          <t>Ingrediente Ativo Principal</t>
        </is>
      </c>
      <c r="G81" s="7" t="inlineStr">
        <is>
          <t>GLIFOSATO 720</t>
        </is>
      </c>
      <c r="H81" s="7" t="inlineStr">
        <is>
          <t>N-(phosphonomethyl)glycine (Sal de Amônio / Isopropilamina / Potássico)</t>
        </is>
      </c>
      <c r="I81" s="7" t="inlineStr">
        <is>
          <t>Glicina substituída</t>
        </is>
      </c>
      <c r="J81" s="7" t="inlineStr">
        <is>
          <t>HRAC Grupo G (EPSPs)</t>
        </is>
      </c>
      <c r="K81" s="7" t="inlineStr">
        <is>
          <t>Inibidores da enzima EPSPs (Enoil Piruvil Shiquimato Fosfato Sintase)</t>
        </is>
      </c>
      <c r="L81" s="9" t="n">
        <v>720</v>
      </c>
      <c r="M81" s="7" t="inlineStr">
        <is>
          <t>g/kg</t>
        </is>
      </c>
      <c r="N81" s="7" t="inlineStr">
        <is>
          <t>Registro Técnico Vinculado MAPA</t>
        </is>
      </c>
    </row>
    <row r="82" ht="22" customHeight="1">
      <c r="A82" s="12" t="inlineStr">
        <is>
          <t>CMP-0078</t>
        </is>
      </c>
      <c r="B82" s="11" t="n">
        <v>59</v>
      </c>
      <c r="C82" s="13" t="inlineStr">
        <is>
          <t>Nº 13714</t>
        </is>
      </c>
      <c r="D82" s="14" t="inlineStr">
        <is>
          <t>WIPE OUT</t>
        </is>
      </c>
      <c r="E82" s="11" t="n">
        <v>1</v>
      </c>
      <c r="F82" s="13" t="inlineStr">
        <is>
          <t>Ingrediente Ativo Principal</t>
        </is>
      </c>
      <c r="G82" s="13" t="inlineStr">
        <is>
          <t>GLIFOSATO 720</t>
        </is>
      </c>
      <c r="H82" s="13" t="inlineStr">
        <is>
          <t>N-(phosphonomethyl)glycine (Sal de Amônio / Isopropilamina / Potássico)</t>
        </is>
      </c>
      <c r="I82" s="13" t="inlineStr">
        <is>
          <t>Glicina substituída</t>
        </is>
      </c>
      <c r="J82" s="13" t="inlineStr">
        <is>
          <t>HRAC Grupo G (EPSPs)</t>
        </is>
      </c>
      <c r="K82" s="13" t="inlineStr">
        <is>
          <t>Inibidores da enzima EPSPs (Enoil Piruvil Shiquimato Fosfato Sintase)</t>
        </is>
      </c>
      <c r="L82" s="15" t="n">
        <v>720</v>
      </c>
      <c r="M82" s="13" t="inlineStr">
        <is>
          <t>g/kg</t>
        </is>
      </c>
      <c r="N82" s="13" t="inlineStr">
        <is>
          <t>Registro Técnico Vinculado MAPA</t>
        </is>
      </c>
    </row>
    <row r="83" ht="22" customHeight="1">
      <c r="A83" s="6" t="inlineStr">
        <is>
          <t>CMP-0079</t>
        </is>
      </c>
      <c r="B83" s="5" t="n">
        <v>60</v>
      </c>
      <c r="C83" s="7" t="inlineStr">
        <is>
          <t>Nº 13714</t>
        </is>
      </c>
      <c r="D83" s="8" t="inlineStr">
        <is>
          <t>WIPE OUT</t>
        </is>
      </c>
      <c r="E83" s="5" t="n">
        <v>1</v>
      </c>
      <c r="F83" s="7" t="inlineStr">
        <is>
          <t>Ingrediente Ativo Principal</t>
        </is>
      </c>
      <c r="G83" s="7" t="inlineStr">
        <is>
          <t>GLIFOSATO 720</t>
        </is>
      </c>
      <c r="H83" s="7" t="inlineStr">
        <is>
          <t>N-(phosphonomethyl)glycine (Sal de Amônio / Isopropilamina / Potássico)</t>
        </is>
      </c>
      <c r="I83" s="7" t="inlineStr">
        <is>
          <t>Glicina substituída</t>
        </is>
      </c>
      <c r="J83" s="7" t="inlineStr">
        <is>
          <t>HRAC Grupo G (EPSPs)</t>
        </is>
      </c>
      <c r="K83" s="7" t="inlineStr">
        <is>
          <t>Inibidores da enzima EPSPs (Enoil Piruvil Shiquimato Fosfato Sintase)</t>
        </is>
      </c>
      <c r="L83" s="9" t="n">
        <v>720</v>
      </c>
      <c r="M83" s="7" t="inlineStr">
        <is>
          <t>g/kg</t>
        </is>
      </c>
      <c r="N83" s="7" t="inlineStr">
        <is>
          <t>Registro Técnico Vinculado MAPA</t>
        </is>
      </c>
    </row>
    <row r="84" ht="22" customHeight="1">
      <c r="A84" s="12" t="inlineStr">
        <is>
          <t>CMP-0080</t>
        </is>
      </c>
      <c r="B84" s="11" t="n">
        <v>61</v>
      </c>
      <c r="C84" s="13" t="inlineStr">
        <is>
          <t>Nº 34221</t>
        </is>
      </c>
      <c r="D84" s="14" t="inlineStr">
        <is>
          <t>SAPEK MAX</t>
        </is>
      </c>
      <c r="E84" s="11" t="n">
        <v>1</v>
      </c>
      <c r="F84" s="13" t="inlineStr">
        <is>
          <t>Ingrediente Ativo Principal</t>
        </is>
      </c>
      <c r="G84" s="13" t="inlineStr">
        <is>
          <t>GLUFOSINATO 880</t>
        </is>
      </c>
      <c r="H84" s="13" t="inlineStr">
        <is>
          <t>Ammonium (2RS)-2-amino-4-(methylphosphinato)butyric acid (Glufosinato Sal de Amônio)</t>
        </is>
      </c>
      <c r="I84" s="13" t="inlineStr">
        <is>
          <t>Homoalanina substituída (Ácido fosfínico)</t>
        </is>
      </c>
      <c r="J84" s="13" t="inlineStr">
        <is>
          <t>HRAC Grupo H (10) — Inibidores da Glutamina Sintetase</t>
        </is>
      </c>
      <c r="K84" s="13" t="inlineStr">
        <is>
          <t>Inibição da enzima glutamina sintetase (acúmulo de amônia intracelular)</t>
        </is>
      </c>
      <c r="L84" s="15" t="n">
        <v>880</v>
      </c>
      <c r="M84" s="13" t="inlineStr">
        <is>
          <t>g/kg</t>
        </is>
      </c>
      <c r="N84" s="13" t="inlineStr">
        <is>
          <t>Registro Técnico Vinculado MAPA</t>
        </is>
      </c>
    </row>
    <row r="85" ht="22" customHeight="1">
      <c r="A85" s="6" t="inlineStr">
        <is>
          <t>CMP-0081</t>
        </is>
      </c>
      <c r="B85" s="5" t="n">
        <v>62</v>
      </c>
      <c r="C85" s="7" t="inlineStr">
        <is>
          <t>Nº 3518</t>
        </is>
      </c>
      <c r="D85" s="8" t="inlineStr">
        <is>
          <t>VERDICT MAX</t>
        </is>
      </c>
      <c r="E85" s="5" t="n">
        <v>1</v>
      </c>
      <c r="F85" s="7" t="inlineStr">
        <is>
          <t>Ingrediente Ativo Principal</t>
        </is>
      </c>
      <c r="G85" s="7" t="inlineStr">
        <is>
          <t>HALOXIFOPE-P-METILICO 540</t>
        </is>
      </c>
      <c r="H85" s="7" t="inlineStr">
        <is>
          <t>Methyl (R)-2-{4-[3-chloro-5-(trifluoromethyl)-2-pyridyloxy]phenoxy}propionate</t>
        </is>
      </c>
      <c r="I85" s="7" t="inlineStr">
        <is>
          <t>Ariloxifenoxipropionato (FOP)</t>
        </is>
      </c>
      <c r="J85" s="7" t="inlineStr">
        <is>
          <t>HRAC Grupo A (1) — Inibidores da ACCase</t>
        </is>
      </c>
      <c r="K85" s="7" t="inlineStr">
        <is>
          <t>Inibição da enzima acetil-CoA carboxilase (síntese de ácidos graxos)</t>
        </is>
      </c>
      <c r="L85" s="9" t="n">
        <v>540</v>
      </c>
      <c r="M85" s="7" t="inlineStr">
        <is>
          <t>g/L</t>
        </is>
      </c>
      <c r="N85" s="7" t="inlineStr">
        <is>
          <t>Registro Técnico Vinculado MAPA</t>
        </is>
      </c>
    </row>
    <row r="86" ht="22" customHeight="1">
      <c r="A86" s="12" t="inlineStr">
        <is>
          <t>CMP-0082</t>
        </is>
      </c>
      <c r="B86" s="11" t="n">
        <v>63</v>
      </c>
      <c r="C86" s="13" t="inlineStr">
        <is>
          <t>Nº 14518</t>
        </is>
      </c>
      <c r="D86" s="14" t="inlineStr">
        <is>
          <t>SOYACLEAN XTRA</t>
        </is>
      </c>
      <c r="E86" s="11" t="n">
        <v>1</v>
      </c>
      <c r="F86" s="13" t="inlineStr">
        <is>
          <t>Ingrediente Ativo Principal</t>
        </is>
      </c>
      <c r="G86" s="13" t="inlineStr">
        <is>
          <t>IMAZETAPIR 700</t>
        </is>
      </c>
      <c r="H86" s="13" t="inlineStr">
        <is>
          <t>(RS)-5-ethyl-2-(4-isopropyl-4-methyl-5-oxo-2-imidazolin-2-yl)nicotinic acid</t>
        </is>
      </c>
      <c r="I86" s="13" t="inlineStr">
        <is>
          <t>Imidazolinona</t>
        </is>
      </c>
      <c r="J86" s="13" t="inlineStr">
        <is>
          <t>HRAC Grupo B (2) — Inibidores da ALS</t>
        </is>
      </c>
      <c r="K86" s="13" t="inlineStr">
        <is>
          <t>Inibição da enzima acetolactato sintase (ALS / AHAS)</t>
        </is>
      </c>
      <c r="L86" s="15" t="n">
        <v>700</v>
      </c>
      <c r="M86" s="13" t="inlineStr">
        <is>
          <t>g/kg</t>
        </is>
      </c>
      <c r="N86" s="13" t="inlineStr">
        <is>
          <t>Registro Técnico Vinculado MAPA</t>
        </is>
      </c>
    </row>
    <row r="87" ht="22" customHeight="1">
      <c r="A87" s="6" t="inlineStr">
        <is>
          <t>CMP-0083</t>
        </is>
      </c>
      <c r="B87" s="5" t="n">
        <v>64</v>
      </c>
      <c r="C87" s="7" t="inlineStr">
        <is>
          <t>SIPEAGRO (UF-XXXXX)</t>
        </is>
      </c>
      <c r="D87" s="8" t="inlineStr">
        <is>
          <t>AGCN NITROBIOT</t>
        </is>
      </c>
      <c r="E87" s="5" t="n">
        <v>1</v>
      </c>
      <c r="F87" s="7" t="inlineStr">
        <is>
          <t>Agente Biológico / Cepa</t>
        </is>
      </c>
      <c r="G87" s="7" t="inlineStr">
        <is>
          <t>BRADYRHIZOBIUM JAPONICUM / ELKANII (SEMIA 5079 + SEMIA 5080 — mín. 5,0x10^9 UFC/mL)</t>
        </is>
      </c>
      <c r="H87" s="7" t="inlineStr">
        <is>
          <t>Bradyrhizobium japonicum SEMIA 5079 e SEMIA 5080</t>
        </is>
      </c>
      <c r="I87" s="7" t="inlineStr">
        <is>
          <t>Inoculante Biológico Fixador Simbiótico de Nitrogênio</t>
        </is>
      </c>
      <c r="J87" s="7" t="inlineStr">
        <is>
          <t>Inoculante Registrado SIPEAGRO/MAPA</t>
        </is>
      </c>
      <c r="K87" s="7" t="inlineStr">
        <is>
          <t>Nodulação radicular e fixação biológica simbiótica de N2 atmosférico em leguminosas</t>
        </is>
      </c>
      <c r="L87" s="9" t="n">
        <v>100</v>
      </c>
      <c r="M87" s="7" t="inlineStr">
        <is>
          <t>% v/v (Veículo Inoculante Estéril)</t>
        </is>
      </c>
      <c r="N87" s="7" t="inlineStr">
        <is>
          <t>Registro Técnico Vinculado MAPA</t>
        </is>
      </c>
    </row>
    <row r="88" ht="22" customHeight="1">
      <c r="A88" s="12" t="inlineStr">
        <is>
          <t>CMP-0084</t>
        </is>
      </c>
      <c r="B88" s="11" t="n">
        <v>65</v>
      </c>
      <c r="C88" s="13" t="inlineStr">
        <is>
          <t>SIPEAGRO (UF-XXXXX)</t>
        </is>
      </c>
      <c r="D88" s="14" t="inlineStr">
        <is>
          <t>AGCN RIZODERMA CX 10X0,5KG</t>
        </is>
      </c>
      <c r="E88" s="11" t="n">
        <v>1</v>
      </c>
      <c r="F88" s="13" t="inlineStr">
        <is>
          <t>Nutriente Garantido</t>
        </is>
      </c>
      <c r="G88" s="13" t="inlineStr">
        <is>
          <t>TRICHODERMA HARZIANUM (SE BIOFUNGICIDA) OU K 25%</t>
        </is>
      </c>
      <c r="H88" s="13" t="inlineStr">
        <is>
          <t>Composição Nutricional Oficial (TRICHODERMA HARZIANUM (SE BIOFUNGICIDA) OU K 25%)</t>
        </is>
      </c>
      <c r="I88" s="13" t="inlineStr">
        <is>
          <t>Fertilizante Mineral / Organomineral (Lei nº 6.894/1980)</t>
        </is>
      </c>
      <c r="J88" s="13" t="inlineStr">
        <is>
          <t>Nutrição Vegetal SIPEAGRO</t>
        </is>
      </c>
      <c r="K88" s="13" t="inlineStr">
        <is>
          <t>Fornecimento de macro e micronutrientes essenciais ao metabolismo vegetal</t>
        </is>
      </c>
      <c r="L88" s="15" t="n">
        <v>25</v>
      </c>
      <c r="M88" s="13" t="inlineStr">
        <is>
          <t>% m/m</t>
        </is>
      </c>
      <c r="N88" s="13" t="inlineStr">
        <is>
          <t>Registro Técnico Vinculado MAPA</t>
        </is>
      </c>
    </row>
    <row r="89" ht="22" customHeight="1">
      <c r="A89" s="6" t="inlineStr">
        <is>
          <t>CMP-0085</t>
        </is>
      </c>
      <c r="B89" s="5" t="n">
        <v>65</v>
      </c>
      <c r="C89" s="7" t="inlineStr">
        <is>
          <t>SIPEAGRO (UF-XXXXX)</t>
        </is>
      </c>
      <c r="D89" s="8" t="inlineStr">
        <is>
          <t>AGCN RIZODERMA CX 10X0,5KG</t>
        </is>
      </c>
      <c r="E89" s="5" t="n">
        <v>2</v>
      </c>
      <c r="F89" s="7" t="inlineStr">
        <is>
          <t>Nutriente Garantido</t>
        </is>
      </c>
      <c r="G89" s="7" t="inlineStr">
        <is>
          <t>S 17% (SE FERTILIZANTE)</t>
        </is>
      </c>
      <c r="H89" s="7" t="inlineStr">
        <is>
          <t>Composição Nutricional Oficial (S 17% (SE FERTILIZANTE))</t>
        </is>
      </c>
      <c r="I89" s="7" t="inlineStr">
        <is>
          <t>Fertilizante Mineral / Organomineral (Lei nº 6.894/1980)</t>
        </is>
      </c>
      <c r="J89" s="7" t="inlineStr">
        <is>
          <t>Nutrição Vegetal SIPEAGRO</t>
        </is>
      </c>
      <c r="K89" s="7" t="inlineStr">
        <is>
          <t>Fornecimento de macro e micronutrientes essenciais ao metabolismo vegetal</t>
        </is>
      </c>
      <c r="L89" s="9" t="n">
        <v>17</v>
      </c>
      <c r="M89" s="7" t="inlineStr">
        <is>
          <t>% m/m</t>
        </is>
      </c>
      <c r="N89" s="7" t="inlineStr">
        <is>
          <t>Registro Técnico Vinculado MAPA</t>
        </is>
      </c>
    </row>
    <row r="90" ht="22" customHeight="1">
      <c r="A90" s="12" t="inlineStr">
        <is>
          <t>CMP-0086</t>
        </is>
      </c>
      <c r="B90" s="11" t="n">
        <v>66</v>
      </c>
      <c r="C90" s="13" t="inlineStr">
        <is>
          <t>SIPEAGRO (UF-XXXXX)</t>
        </is>
      </c>
      <c r="D90" s="14" t="inlineStr">
        <is>
          <t>AGCN RIZOFOS</t>
        </is>
      </c>
      <c r="E90" s="11" t="n">
        <v>1</v>
      </c>
      <c r="F90" s="13" t="inlineStr">
        <is>
          <t>Agente Biológico / Cepa</t>
        </is>
      </c>
      <c r="G90" s="13" t="inlineStr">
        <is>
          <t>PSEUDOMONAS FLUORESCENS (Garantia mín. 1,0x10^8 UFC/mL)</t>
        </is>
      </c>
      <c r="H90" s="13" t="inlineStr">
        <is>
          <t>Pseudomonas fluorescens (Rizobactéria Solubilizadora de Fósforo)</t>
        </is>
      </c>
      <c r="I90" s="13" t="inlineStr">
        <is>
          <t>Inoculante Solubilizador de Fósforo e Promotor de Crescimento</t>
        </is>
      </c>
      <c r="J90" s="13" t="inlineStr">
        <is>
          <t>Inoculante Registrado SIPEAGRO/MAPA</t>
        </is>
      </c>
      <c r="K90" s="13" t="inlineStr">
        <is>
          <t>Solubilização de fosfatos no solo e produção de sideróforos na rizosfera</t>
        </is>
      </c>
      <c r="L90" s="15" t="n">
        <v>100</v>
      </c>
      <c r="M90" s="13" t="inlineStr">
        <is>
          <t>% v/v (Veículo Inoculante Estéril)</t>
        </is>
      </c>
      <c r="N90" s="13" t="inlineStr">
        <is>
          <t>Registro Técnico Vinculado MAPA</t>
        </is>
      </c>
    </row>
    <row r="91" ht="22" customHeight="1">
      <c r="A91" s="6" t="inlineStr">
        <is>
          <t>CMP-0087</t>
        </is>
      </c>
      <c r="B91" s="5" t="n">
        <v>67</v>
      </c>
      <c r="C91" s="7" t="inlineStr">
        <is>
          <t>SIPEAGRO (UF-XXXXX)</t>
        </is>
      </c>
      <c r="D91" s="8" t="inlineStr">
        <is>
          <t>AGCN RIZOSPIRILLUM CX 14X1,5L</t>
        </is>
      </c>
      <c r="E91" s="5" t="n">
        <v>1</v>
      </c>
      <c r="F91" s="7" t="inlineStr">
        <is>
          <t>Agente Biológico / Cepa</t>
        </is>
      </c>
      <c r="G91" s="7" t="inlineStr">
        <is>
          <t>AZOSPIRILLUM BRASILENSE CEPAS Ab-V5 E Ab-V6 (Garantia mín. 2,0x10^8 UFC/mL)</t>
        </is>
      </c>
      <c r="H91" s="7" t="inlineStr">
        <is>
          <t>Azospirillum brasilense estirpes Ab-V5 (CNPSo 2083) e Ab-V6 (CNPSo 2084)</t>
        </is>
      </c>
      <c r="I91" s="7" t="inlineStr">
        <is>
          <t>Inoculante Biológico Fixador de Nitrogênio e Promotor de Crescimento (PGPR)</t>
        </is>
      </c>
      <c r="J91" s="7" t="inlineStr">
        <is>
          <t>Inoculante Registrado SIPEAGRO/MAPA</t>
        </is>
      </c>
      <c r="K91" s="7" t="inlineStr">
        <is>
          <t>Fixação biológica de nitrogênio (FBN) e síntese de fitormônios enraizadores (AIA)</t>
        </is>
      </c>
      <c r="L91" s="9" t="n">
        <v>100</v>
      </c>
      <c r="M91" s="7" t="inlineStr">
        <is>
          <t>% v/v (Veículo Inoculante Estéril)</t>
        </is>
      </c>
      <c r="N91" s="7" t="inlineStr">
        <is>
          <t>Registro Técnico Vinculado MAPA</t>
        </is>
      </c>
    </row>
    <row r="92" ht="22" customHeight="1">
      <c r="A92" s="12" t="inlineStr">
        <is>
          <t>CMP-0088</t>
        </is>
      </c>
      <c r="B92" s="11" t="n">
        <v>68</v>
      </c>
      <c r="C92" s="13" t="inlineStr">
        <is>
          <t>ISENTO (ATO 104/2017)</t>
        </is>
      </c>
      <c r="D92" s="14" t="inlineStr">
        <is>
          <t>AGCN RIZOSPRAY EXTREMO</t>
        </is>
      </c>
      <c r="E92" s="11" t="n">
        <v>1</v>
      </c>
      <c r="F92" s="13" t="inlineStr">
        <is>
          <t>Ingrediente Ativo Principal</t>
        </is>
      </c>
      <c r="G92" s="13" t="inlineStr">
        <is>
          <t>ÉSTER METÍLICO DE ÓLEO DE SOJA (Óleo Vegetal Metilado)</t>
        </is>
      </c>
      <c r="H92" s="13" t="inlineStr">
        <is>
          <t>Methyl soyate (Ésteres metílicos de ácidos graxos)</t>
        </is>
      </c>
      <c r="I92" s="13" t="inlineStr">
        <is>
          <t>Adjuvante Agrícola (Éster Metílico + Organossiliconado)</t>
        </is>
      </c>
      <c r="J92" s="13" t="inlineStr">
        <is>
          <t>Auxiliar de Tecnologia de Aplicação (Ato SDA 104/2017)</t>
        </is>
      </c>
      <c r="K92" s="13" t="inlineStr">
        <is>
          <t>Dissolução de ceras epicuticulares, penetração foliar e ação antievaporante</t>
        </is>
      </c>
      <c r="L92" s="15" t="n">
        <v>700</v>
      </c>
      <c r="M92" s="13" t="inlineStr">
        <is>
          <t>g/L</t>
        </is>
      </c>
      <c r="N92" s="13" t="inlineStr">
        <is>
          <t>Registro Técnico Vinculado MAPA</t>
        </is>
      </c>
    </row>
    <row r="93" ht="22" customHeight="1">
      <c r="A93" s="6" t="inlineStr">
        <is>
          <t>CMP-0089</t>
        </is>
      </c>
      <c r="B93" s="5" t="n">
        <v>68</v>
      </c>
      <c r="C93" s="7" t="inlineStr">
        <is>
          <t>ISENTO (ATO 104/2017)</t>
        </is>
      </c>
      <c r="D93" s="8" t="inlineStr">
        <is>
          <t>AGCN RIZOSPRAY EXTREMO</t>
        </is>
      </c>
      <c r="E93" s="5" t="n">
        <v>2</v>
      </c>
      <c r="F93" s="7" t="inlineStr">
        <is>
          <t>Ingrediente Ativo Principal</t>
        </is>
      </c>
      <c r="G93" s="7" t="inlineStr">
        <is>
          <t>COPOLÍMERO DE POLIÉTER E POLIMETILSILOXANO (Tensoativo Organossiliconado)</t>
        </is>
      </c>
      <c r="H93" s="7" t="inlineStr">
        <is>
          <t>Polyalkyleneoxide modified heptamethyltrisiloxane</t>
        </is>
      </c>
      <c r="I93" s="7" t="inlineStr">
        <is>
          <t>Adjuvante Surfactante Organossiliconado</t>
        </is>
      </c>
      <c r="J93" s="7" t="inlineStr">
        <is>
          <t>Auxiliar de Tecnologia de Aplicação (Ato SDA 104/2017)</t>
        </is>
      </c>
      <c r="K93" s="7" t="inlineStr">
        <is>
          <t>Redução drástica da tensão superficial e superespalhamento estomático</t>
        </is>
      </c>
      <c r="L93" s="9" t="n">
        <v>150</v>
      </c>
      <c r="M93" s="7" t="inlineStr">
        <is>
          <t>g/L</t>
        </is>
      </c>
      <c r="N93" s="7" t="inlineStr">
        <is>
          <t>Registro Técnico Vinculado MAPA</t>
        </is>
      </c>
    </row>
    <row r="94" ht="22" customHeight="1">
      <c r="A94" s="12" t="inlineStr">
        <is>
          <t>CMP-0090</t>
        </is>
      </c>
      <c r="B94" s="11" t="n">
        <v>69</v>
      </c>
      <c r="C94" s="13" t="inlineStr">
        <is>
          <t>ISENTO (ATO 104/2017)</t>
        </is>
      </c>
      <c r="D94" s="14" t="inlineStr">
        <is>
          <t>AGCN SILWET AG</t>
        </is>
      </c>
      <c r="E94" s="11" t="n">
        <v>1</v>
      </c>
      <c r="F94" s="13" t="inlineStr">
        <is>
          <t>Ingrediente Ativo Principal</t>
        </is>
      </c>
      <c r="G94" s="13" t="inlineStr">
        <is>
          <t>COPOLÍMERO DE POLIMETILSILOXANO POLIÉTER (Tensoativo Organossiliconado)</t>
        </is>
      </c>
      <c r="H94" s="13" t="inlineStr">
        <is>
          <t>Polyalkyleneoxide modified heptamethyltrisiloxane</t>
        </is>
      </c>
      <c r="I94" s="13" t="inlineStr">
        <is>
          <t>Adjuvante Surfactante Organossiliconado</t>
        </is>
      </c>
      <c r="J94" s="13" t="inlineStr">
        <is>
          <t>Auxiliar de Tecnologia de Aplicação (Ato SDA 104/2017)</t>
        </is>
      </c>
      <c r="K94" s="13" t="inlineStr">
        <is>
          <t>Quebra da tensão superficial da gota e superespalhamento foliar</t>
        </is>
      </c>
      <c r="L94" s="15" t="n">
        <v>1000</v>
      </c>
      <c r="M94" s="13" t="inlineStr">
        <is>
          <t>g/L</t>
        </is>
      </c>
      <c r="N94" s="13" t="inlineStr">
        <is>
          <t>Registro Técnico Vinculado MAPA</t>
        </is>
      </c>
    </row>
    <row r="95" ht="22" customHeight="1">
      <c r="A95" s="6" t="inlineStr">
        <is>
          <t>CMP-0091</t>
        </is>
      </c>
      <c r="B95" s="5" t="n">
        <v>70</v>
      </c>
      <c r="C95" s="7" t="inlineStr">
        <is>
          <t>SIPEAGRO (UF-XXXXX)</t>
        </is>
      </c>
      <c r="D95" s="8" t="inlineStr">
        <is>
          <t>BIOMAX AZUM 5X1.8L</t>
        </is>
      </c>
      <c r="E95" s="5" t="n">
        <v>1</v>
      </c>
      <c r="F95" s="7" t="inlineStr">
        <is>
          <t>Agente Biológico / Cepa</t>
        </is>
      </c>
      <c r="G95" s="7" t="inlineStr">
        <is>
          <t>AZOSPIRILLUM BRASILENSE CEPAS Ab-V5 E Ab-V6 (Garantia mín. 2,0x10^8 UFC/mL)</t>
        </is>
      </c>
      <c r="H95" s="7" t="inlineStr">
        <is>
          <t>Azospirillum brasilense estirpes Ab-V5 (CNPSo 2083) e Ab-V6 (CNPSo 2084)</t>
        </is>
      </c>
      <c r="I95" s="7" t="inlineStr">
        <is>
          <t>Inoculante Biológico Fixador de Nitrogênio e Promotor de Crescimento (PGPR)</t>
        </is>
      </c>
      <c r="J95" s="7" t="inlineStr">
        <is>
          <t>Inoculante Registrado SIPEAGRO/MAPA</t>
        </is>
      </c>
      <c r="K95" s="7" t="inlineStr">
        <is>
          <t>Fixação biológica de nitrogênio (FBN) e síntese de fitormônios enraizadores (AIA)</t>
        </is>
      </c>
      <c r="L95" s="9" t="n">
        <v>100</v>
      </c>
      <c r="M95" s="7" t="inlineStr">
        <is>
          <t>% v/v (Veículo Inoculante Estéril)</t>
        </is>
      </c>
      <c r="N95" s="7" t="inlineStr">
        <is>
          <t>Registro Técnico Vinculado MAPA</t>
        </is>
      </c>
    </row>
    <row r="96" ht="22" customHeight="1">
      <c r="A96" s="12" t="inlineStr">
        <is>
          <t>CMP-0092</t>
        </is>
      </c>
      <c r="B96" s="11" t="n">
        <v>71</v>
      </c>
      <c r="C96" s="13" t="inlineStr">
        <is>
          <t>SIPEAGRO (UF-XXXXX)</t>
        </is>
      </c>
      <c r="D96" s="14" t="inlineStr">
        <is>
          <t>AGCN POTASSIO</t>
        </is>
      </c>
      <c r="E96" s="11" t="n">
        <v>1</v>
      </c>
      <c r="F96" s="13" t="inlineStr">
        <is>
          <t>Nutriente Garantido</t>
        </is>
      </c>
      <c r="G96" s="13" t="inlineStr">
        <is>
          <t>K 25%</t>
        </is>
      </c>
      <c r="H96" s="13" t="inlineStr">
        <is>
          <t>Composição Nutricional Oficial (K 25%)</t>
        </is>
      </c>
      <c r="I96" s="13" t="inlineStr">
        <is>
          <t>Fertilizante Mineral / Organomineral (Lei nº 6.894/1980)</t>
        </is>
      </c>
      <c r="J96" s="13" t="inlineStr">
        <is>
          <t>Nutrição Vegetal SIPEAGRO</t>
        </is>
      </c>
      <c r="K96" s="13" t="inlineStr">
        <is>
          <t>Fornecimento de macro e micronutrientes essenciais ao metabolismo vegetal</t>
        </is>
      </c>
      <c r="L96" s="15" t="n">
        <v>25</v>
      </c>
      <c r="M96" s="13" t="inlineStr">
        <is>
          <t>% m/m</t>
        </is>
      </c>
      <c r="N96" s="13" t="inlineStr">
        <is>
          <t>Registro Técnico Vinculado MAPA</t>
        </is>
      </c>
    </row>
    <row r="97" ht="22" customHeight="1">
      <c r="A97" s="6" t="inlineStr">
        <is>
          <t>CMP-0093</t>
        </is>
      </c>
      <c r="B97" s="5" t="n">
        <v>71</v>
      </c>
      <c r="C97" s="7" t="inlineStr">
        <is>
          <t>SIPEAGRO (UF-XXXXX)</t>
        </is>
      </c>
      <c r="D97" s="8" t="inlineStr">
        <is>
          <t>AGCN POTASSIO</t>
        </is>
      </c>
      <c r="E97" s="5" t="n">
        <v>2</v>
      </c>
      <c r="F97" s="7" t="inlineStr">
        <is>
          <t>Nutriente Garantido</t>
        </is>
      </c>
      <c r="G97" s="7" t="inlineStr">
        <is>
          <t>S 17%</t>
        </is>
      </c>
      <c r="H97" s="7" t="inlineStr">
        <is>
          <t>Composição Nutricional Oficial (S 17%)</t>
        </is>
      </c>
      <c r="I97" s="7" t="inlineStr">
        <is>
          <t>Fertilizante Mineral / Organomineral (Lei nº 6.894/1980)</t>
        </is>
      </c>
      <c r="J97" s="7" t="inlineStr">
        <is>
          <t>Nutrição Vegetal SIPEAGRO</t>
        </is>
      </c>
      <c r="K97" s="7" t="inlineStr">
        <is>
          <t>Fornecimento de macro e micronutrientes essenciais ao metabolismo vegetal</t>
        </is>
      </c>
      <c r="L97" s="9" t="n">
        <v>17</v>
      </c>
      <c r="M97" s="7" t="inlineStr">
        <is>
          <t>% m/m</t>
        </is>
      </c>
      <c r="N97" s="7" t="inlineStr">
        <is>
          <t>Registro Técnico Vinculado MAPA</t>
        </is>
      </c>
    </row>
    <row r="98" ht="22" customHeight="1">
      <c r="A98" s="12" t="inlineStr">
        <is>
          <t>CMP-0094</t>
        </is>
      </c>
      <c r="B98" s="11" t="n">
        <v>72</v>
      </c>
      <c r="C98" s="13" t="inlineStr">
        <is>
          <t>Nº 2020</t>
        </is>
      </c>
      <c r="D98" s="14" t="inlineStr">
        <is>
          <t>SAMURAI</t>
        </is>
      </c>
      <c r="E98" s="11" t="n">
        <v>1</v>
      </c>
      <c r="F98" s="13" t="inlineStr">
        <is>
          <t>Ingrediente Ativo Principal</t>
        </is>
      </c>
      <c r="G98" s="13" t="inlineStr">
        <is>
          <t>LAMBDA-CIALOTRINA 250</t>
        </is>
      </c>
      <c r="H98" s="13" t="inlineStr">
        <is>
          <t>(R)-a-cyano-3-phenoxybenzyl (1S)-cis-3-[(Z)-2-chloro-3,3,3-trifluoropropenyl]-2,2-dimethylcyclopropanecarboxylate</t>
        </is>
      </c>
      <c r="I98" s="13" t="inlineStr">
        <is>
          <t>Piretroide (Tipo II)</t>
        </is>
      </c>
      <c r="J98" s="13" t="inlineStr">
        <is>
          <t>IRAC Grupo 3A</t>
        </is>
      </c>
      <c r="K98" s="13" t="inlineStr">
        <is>
          <t>Moduladores de canais de sódio em axônios nervosos</t>
        </is>
      </c>
      <c r="L98" s="15" t="n">
        <v>250</v>
      </c>
      <c r="M98" s="13" t="inlineStr">
        <is>
          <t>g/L</t>
        </is>
      </c>
      <c r="N98" s="13" t="inlineStr">
        <is>
          <t>Registro Técnico Vinculado MAPA</t>
        </is>
      </c>
    </row>
    <row r="99" ht="22" customHeight="1">
      <c r="A99" s="6" t="inlineStr">
        <is>
          <t>CMP-0095</t>
        </is>
      </c>
      <c r="B99" s="5" t="n">
        <v>73</v>
      </c>
      <c r="C99" s="7" t="inlineStr">
        <is>
          <t>Nº 4110</t>
        </is>
      </c>
      <c r="D99" s="8" t="inlineStr">
        <is>
          <t>TRINCA CAPS</t>
        </is>
      </c>
      <c r="E99" s="5" t="n">
        <v>1</v>
      </c>
      <c r="F99" s="7" t="inlineStr">
        <is>
          <t>Ingrediente Ativo Principal</t>
        </is>
      </c>
      <c r="G99" s="7" t="inlineStr">
        <is>
          <t>LAMBDA-CIALOTRINA 250</t>
        </is>
      </c>
      <c r="H99" s="7" t="inlineStr">
        <is>
          <t>(R)-a-cyano-3-phenoxybenzyl (1S)-cis-3-[(Z)-2-chloro-3,3,3-trifluoropropenyl]-2,2-dimethylcyclopropanecarboxylate</t>
        </is>
      </c>
      <c r="I99" s="7" t="inlineStr">
        <is>
          <t>Piretroide (Tipo II)</t>
        </is>
      </c>
      <c r="J99" s="7" t="inlineStr">
        <is>
          <t>IRAC Grupo 3A</t>
        </is>
      </c>
      <c r="K99" s="7" t="inlineStr">
        <is>
          <t>Moduladores de canais de sódio em axônios nervosos</t>
        </is>
      </c>
      <c r="L99" s="9" t="n">
        <v>250</v>
      </c>
      <c r="M99" s="7" t="inlineStr">
        <is>
          <t>g/L</t>
        </is>
      </c>
      <c r="N99" s="7" t="inlineStr">
        <is>
          <t>Registro Técnico Vinculado MAPA</t>
        </is>
      </c>
    </row>
    <row r="100" ht="22" customHeight="1">
      <c r="A100" s="12" t="inlineStr">
        <is>
          <t>CMP-0096</t>
        </is>
      </c>
      <c r="B100" s="11" t="n">
        <v>74</v>
      </c>
      <c r="C100" s="13" t="inlineStr">
        <is>
          <t>Nº 17618</t>
        </is>
      </c>
      <c r="D100" s="14" t="inlineStr">
        <is>
          <t>KRATON 100 EC</t>
        </is>
      </c>
      <c r="E100" s="11" t="n">
        <v>1</v>
      </c>
      <c r="F100" s="13" t="inlineStr">
        <is>
          <t>Ingrediente Ativo Principal</t>
        </is>
      </c>
      <c r="G100" s="13" t="inlineStr">
        <is>
          <t>LUFENUROM 100</t>
        </is>
      </c>
      <c r="H100" s="13" t="inlineStr">
        <is>
          <t>(RS)-1-[2,5-dichloro-4-(1,1,2,3,3,3-hexafluoropropoxy)phenyl]-3-(2,6-difluorobenzoyl)urea</t>
        </is>
      </c>
      <c r="I100" s="13" t="inlineStr">
        <is>
          <t>Benzoilureia</t>
        </is>
      </c>
      <c r="J100" s="13" t="inlineStr">
        <is>
          <t>IRAC Grupo 15</t>
        </is>
      </c>
      <c r="K100" s="13" t="inlineStr">
        <is>
          <t>Inibidores da biossíntese de quitina (Tipo 0 - Lepidoptera)</t>
        </is>
      </c>
      <c r="L100" s="15" t="n">
        <v>100</v>
      </c>
      <c r="M100" s="13" t="inlineStr">
        <is>
          <t>g/L</t>
        </is>
      </c>
      <c r="N100" s="13" t="inlineStr">
        <is>
          <t>Registro Técnico Vinculado MAPA</t>
        </is>
      </c>
    </row>
    <row r="101" ht="22" customHeight="1">
      <c r="A101" s="6" t="inlineStr">
        <is>
          <t>CMP-0097</t>
        </is>
      </c>
      <c r="B101" s="5" t="n">
        <v>75</v>
      </c>
      <c r="C101" s="7" t="inlineStr">
        <is>
          <t>SIPEAGRO (UF-XXXXX)</t>
        </is>
      </c>
      <c r="D101" s="8" t="inlineStr">
        <is>
          <t>AGCN MAGNESIO</t>
        </is>
      </c>
      <c r="E101" s="5" t="n">
        <v>1</v>
      </c>
      <c r="F101" s="7" t="inlineStr">
        <is>
          <t>Nutriente Garantido</t>
        </is>
      </c>
      <c r="G101" s="7" t="inlineStr">
        <is>
          <t>MG 8,5%</t>
        </is>
      </c>
      <c r="H101" s="7" t="inlineStr">
        <is>
          <t>Composição Nutricional Oficial (MG 8,5%)</t>
        </is>
      </c>
      <c r="I101" s="7" t="inlineStr">
        <is>
          <t>Fertilizante Mineral / Organomineral (Lei nº 6.894/1980)</t>
        </is>
      </c>
      <c r="J101" s="7" t="inlineStr">
        <is>
          <t>Nutrição Vegetal SIPEAGRO</t>
        </is>
      </c>
      <c r="K101" s="7" t="inlineStr">
        <is>
          <t>Fornecimento de macro e micronutrientes essenciais ao metabolismo vegetal</t>
        </is>
      </c>
      <c r="L101" s="17" t="n">
        <v>8.5</v>
      </c>
      <c r="M101" s="7" t="inlineStr">
        <is>
          <t>% m/m</t>
        </is>
      </c>
      <c r="N101" s="7" t="inlineStr">
        <is>
          <t>Registro Técnico Vinculado MAPA</t>
        </is>
      </c>
    </row>
    <row r="102" ht="22" customHeight="1">
      <c r="A102" s="12" t="inlineStr">
        <is>
          <t>CMP-0098</t>
        </is>
      </c>
      <c r="B102" s="11" t="n">
        <v>75</v>
      </c>
      <c r="C102" s="13" t="inlineStr">
        <is>
          <t>SIPEAGRO (UF-XXXXX)</t>
        </is>
      </c>
      <c r="D102" s="14" t="inlineStr">
        <is>
          <t>AGCN MAGNESIO</t>
        </is>
      </c>
      <c r="E102" s="11" t="n">
        <v>2</v>
      </c>
      <c r="F102" s="13" t="inlineStr">
        <is>
          <t>Nutriente Garantido</t>
        </is>
      </c>
      <c r="G102" s="13" t="inlineStr">
        <is>
          <t>MACRO E MICRO</t>
        </is>
      </c>
      <c r="H102" s="13" t="inlineStr">
        <is>
          <t>Composição Nutricional Oficial (MACRO E MICRO)</t>
        </is>
      </c>
      <c r="I102" s="13" t="inlineStr">
        <is>
          <t>Fertilizante Mineral / Organomineral (Lei nº 6.894/1980)</t>
        </is>
      </c>
      <c r="J102" s="13" t="inlineStr">
        <is>
          <t>Nutrição Vegetal SIPEAGRO</t>
        </is>
      </c>
      <c r="K102" s="13" t="inlineStr">
        <is>
          <t>Fornecimento de macro e micronutrientes essenciais ao metabolismo vegetal</t>
        </is>
      </c>
      <c r="L102" s="15" t="n">
        <v>10</v>
      </c>
      <c r="M102" s="13" t="inlineStr">
        <is>
          <t>% m/m</t>
        </is>
      </c>
      <c r="N102" s="13" t="inlineStr">
        <is>
          <t>Registro Técnico Vinculado MAPA</t>
        </is>
      </c>
    </row>
    <row r="103" ht="22" customHeight="1">
      <c r="A103" s="6" t="inlineStr">
        <is>
          <t>CMP-0099</t>
        </is>
      </c>
      <c r="B103" s="5" t="n">
        <v>76</v>
      </c>
      <c r="C103" s="7" t="inlineStr">
        <is>
          <t>SIPEAGRO (UF-XXXXX)</t>
        </is>
      </c>
      <c r="D103" s="8" t="inlineStr">
        <is>
          <t>HAIFA MAG</t>
        </is>
      </c>
      <c r="E103" s="5" t="n">
        <v>1</v>
      </c>
      <c r="F103" s="7" t="inlineStr">
        <is>
          <t>Nutriente Garantido</t>
        </is>
      </c>
      <c r="G103" s="7" t="inlineStr">
        <is>
          <t>NITRATO DE MAGNESIO</t>
        </is>
      </c>
      <c r="H103" s="7" t="inlineStr">
        <is>
          <t>Composição Nutricional Oficial (NITRATO DE MAGNESIO)</t>
        </is>
      </c>
      <c r="I103" s="7" t="inlineStr">
        <is>
          <t>Fertilizante Mineral / Organomineral (Lei nº 6.894/1980)</t>
        </is>
      </c>
      <c r="J103" s="7" t="inlineStr">
        <is>
          <t>Nutrição Vegetal SIPEAGRO</t>
        </is>
      </c>
      <c r="K103" s="7" t="inlineStr">
        <is>
          <t>Fornecimento de macro e micronutrientes essenciais ao metabolismo vegetal</t>
        </is>
      </c>
      <c r="L103" s="9" t="n">
        <v>100</v>
      </c>
      <c r="M103" s="7" t="inlineStr">
        <is>
          <t>% m/m</t>
        </is>
      </c>
      <c r="N103" s="7" t="inlineStr">
        <is>
          <t>Registro Técnico Vinculado MAPA</t>
        </is>
      </c>
    </row>
    <row r="104" ht="22" customHeight="1">
      <c r="A104" s="12" t="inlineStr">
        <is>
          <t>CMP-0100</t>
        </is>
      </c>
      <c r="B104" s="11" t="n">
        <v>77</v>
      </c>
      <c r="C104" s="13" t="inlineStr">
        <is>
          <t>Nº 1921</t>
        </is>
      </c>
      <c r="D104" s="14" t="inlineStr">
        <is>
          <t>EMZEB PLATINA 750 WG</t>
        </is>
      </c>
      <c r="E104" s="11" t="n">
        <v>1</v>
      </c>
      <c r="F104" s="13" t="inlineStr">
        <is>
          <t>Ingrediente Ativo Principal</t>
        </is>
      </c>
      <c r="G104" s="13" t="inlineStr">
        <is>
          <t>MANCOZEB 750</t>
        </is>
      </c>
      <c r="H104" s="13" t="inlineStr">
        <is>
          <t>Manganese ethylenebis(dithiocarbamate) (polymeric) complex with zinc salt</t>
        </is>
      </c>
      <c r="I104" s="13" t="inlineStr">
        <is>
          <t>Alquilenobis(ditiocarbamato)</t>
        </is>
      </c>
      <c r="J104" s="13" t="inlineStr">
        <is>
          <t>FRAC Grupo M03 — Multissítio</t>
        </is>
      </c>
      <c r="K104" s="13" t="inlineStr">
        <is>
          <t>Inibidor multissítio de enzimas contendo grupos sulfidrila e aminoácidos fúngicos</t>
        </is>
      </c>
      <c r="L104" s="15" t="n">
        <v>750</v>
      </c>
      <c r="M104" s="13" t="inlineStr">
        <is>
          <t>g/kg</t>
        </is>
      </c>
      <c r="N104" s="13" t="inlineStr">
        <is>
          <t>Registro Técnico Vinculado MAPA</t>
        </is>
      </c>
    </row>
    <row r="105" ht="22" customHeight="1">
      <c r="A105" s="6" t="inlineStr">
        <is>
          <t>CMP-0101</t>
        </is>
      </c>
      <c r="B105" s="5" t="n">
        <v>78</v>
      </c>
      <c r="C105" s="7" t="inlineStr">
        <is>
          <t>Nº 0720</t>
        </is>
      </c>
      <c r="D105" s="8" t="inlineStr">
        <is>
          <t>INDOZEB 750 WG</t>
        </is>
      </c>
      <c r="E105" s="5" t="n">
        <v>1</v>
      </c>
      <c r="F105" s="7" t="inlineStr">
        <is>
          <t>Ingrediente Ativo Principal</t>
        </is>
      </c>
      <c r="G105" s="7" t="inlineStr">
        <is>
          <t>MANCOZEB 750</t>
        </is>
      </c>
      <c r="H105" s="7" t="inlineStr">
        <is>
          <t>Manganese ethylenebis(dithiocarbamate) (polymeric) complex with zinc salt</t>
        </is>
      </c>
      <c r="I105" s="7" t="inlineStr">
        <is>
          <t>Alquilenobis(ditiocarbamato)</t>
        </is>
      </c>
      <c r="J105" s="7" t="inlineStr">
        <is>
          <t>FRAC Grupo M03 — Multissítio</t>
        </is>
      </c>
      <c r="K105" s="7" t="inlineStr">
        <is>
          <t>Inibidor multissítio de enzimas contendo grupos sulfidrila e aminoácidos fúngicos</t>
        </is>
      </c>
      <c r="L105" s="9" t="n">
        <v>750</v>
      </c>
      <c r="M105" s="7" t="inlineStr">
        <is>
          <t>g/kg</t>
        </is>
      </c>
      <c r="N105" s="7" t="inlineStr">
        <is>
          <t>Registro Técnico Vinculado MAPA</t>
        </is>
      </c>
    </row>
    <row r="106" ht="22" customHeight="1">
      <c r="A106" s="12" t="inlineStr">
        <is>
          <t>CMP-0102</t>
        </is>
      </c>
      <c r="B106" s="11" t="n">
        <v>79</v>
      </c>
      <c r="C106" s="13" t="inlineStr">
        <is>
          <t>Nº 6313</t>
        </is>
      </c>
      <c r="D106" s="14" t="inlineStr">
        <is>
          <t>MANFIL 800 WP</t>
        </is>
      </c>
      <c r="E106" s="11" t="n">
        <v>1</v>
      </c>
      <c r="F106" s="13" t="inlineStr">
        <is>
          <t>Ingrediente Ativo Principal</t>
        </is>
      </c>
      <c r="G106" s="13" t="inlineStr">
        <is>
          <t>MANCOZEB 800</t>
        </is>
      </c>
      <c r="H106" s="13" t="inlineStr">
        <is>
          <t>Manganese ethylenebis(dithiocarbamate) (polymeric) complex with zinc salt</t>
        </is>
      </c>
      <c r="I106" s="13" t="inlineStr">
        <is>
          <t>Alquilenobis(ditiocarbamato)</t>
        </is>
      </c>
      <c r="J106" s="13" t="inlineStr">
        <is>
          <t>FRAC Grupo M03 — Multissítio</t>
        </is>
      </c>
      <c r="K106" s="13" t="inlineStr">
        <is>
          <t>Inibidor multissítio de enzimas contendo grupos sulfidrila e aminoácidos fúngicos</t>
        </is>
      </c>
      <c r="L106" s="15" t="n">
        <v>800</v>
      </c>
      <c r="M106" s="13" t="inlineStr">
        <is>
          <t>g/kg</t>
        </is>
      </c>
      <c r="N106" s="13" t="inlineStr">
        <is>
          <t>Registro Técnico Vinculado MAPA</t>
        </is>
      </c>
    </row>
    <row r="107" ht="22" customHeight="1">
      <c r="A107" s="6" t="inlineStr">
        <is>
          <t>CMP-0103</t>
        </is>
      </c>
      <c r="B107" s="5" t="n">
        <v>80</v>
      </c>
      <c r="C107" s="7" t="inlineStr">
        <is>
          <t>Nº 6313</t>
        </is>
      </c>
      <c r="D107" s="8" t="inlineStr">
        <is>
          <t>MANFIL 800 WP 1X7,5KG (AGUARDAR FISCAL)</t>
        </is>
      </c>
      <c r="E107" s="5" t="n">
        <v>1</v>
      </c>
      <c r="F107" s="7" t="inlineStr">
        <is>
          <t>Ingrediente Ativo Principal</t>
        </is>
      </c>
      <c r="G107" s="7" t="inlineStr">
        <is>
          <t>MANCOZEB 800</t>
        </is>
      </c>
      <c r="H107" s="7" t="inlineStr">
        <is>
          <t>Manganese ethylenebis(dithiocarbamate) (polymeric) complex with zinc salt</t>
        </is>
      </c>
      <c r="I107" s="7" t="inlineStr">
        <is>
          <t>Alquilenobis(ditiocarbamato)</t>
        </is>
      </c>
      <c r="J107" s="7" t="inlineStr">
        <is>
          <t>FRAC Grupo M03 — Multissítio</t>
        </is>
      </c>
      <c r="K107" s="7" t="inlineStr">
        <is>
          <t>Inibidor multissítio de enzimas contendo grupos sulfidrila e aminoácidos fúngicos</t>
        </is>
      </c>
      <c r="L107" s="9" t="n">
        <v>800</v>
      </c>
      <c r="M107" s="7" t="inlineStr">
        <is>
          <t>g/kg</t>
        </is>
      </c>
      <c r="N107" s="7" t="inlineStr">
        <is>
          <t>Registro Técnico Vinculado MAPA</t>
        </is>
      </c>
    </row>
    <row r="108" ht="22" customHeight="1">
      <c r="A108" s="12" t="inlineStr">
        <is>
          <t>CMP-0104</t>
        </is>
      </c>
      <c r="B108" s="11" t="n">
        <v>81</v>
      </c>
      <c r="C108" s="13" t="inlineStr">
        <is>
          <t>Nº 38917</t>
        </is>
      </c>
      <c r="D108" s="14" t="inlineStr">
        <is>
          <t>MESON</t>
        </is>
      </c>
      <c r="E108" s="11" t="n">
        <v>1</v>
      </c>
      <c r="F108" s="13" t="inlineStr">
        <is>
          <t>Ingrediente Ativo Principal</t>
        </is>
      </c>
      <c r="G108" s="13" t="inlineStr">
        <is>
          <t>MESOTRIONA 480</t>
        </is>
      </c>
      <c r="H108" s="13" t="inlineStr">
        <is>
          <t>2-(4-mesyl-2-nitrobenzoyl)cyclohexane-1,3-dione</t>
        </is>
      </c>
      <c r="I108" s="13" t="inlineStr">
        <is>
          <t>Tricetona</t>
        </is>
      </c>
      <c r="J108" s="13" t="inlineStr">
        <is>
          <t>HRAC Grupo F2 (27) — Inibidores da HPPD</t>
        </is>
      </c>
      <c r="K108" s="13" t="inlineStr">
        <is>
          <t>Inibidores da enzima 4-hidroxifenil-piruvato-dioxigenase (HPPD - biossíntese de carotenoides)</t>
        </is>
      </c>
      <c r="L108" s="15" t="n">
        <v>480</v>
      </c>
      <c r="M108" s="13" t="inlineStr">
        <is>
          <t>g/L</t>
        </is>
      </c>
      <c r="N108" s="13" t="inlineStr">
        <is>
          <t>Registro Técnico Vinculado MAPA</t>
        </is>
      </c>
    </row>
    <row r="109" ht="22" customHeight="1">
      <c r="A109" s="6" t="inlineStr">
        <is>
          <t>CMP-0105</t>
        </is>
      </c>
      <c r="B109" s="5" t="n">
        <v>82</v>
      </c>
      <c r="C109" s="7" t="inlineStr">
        <is>
          <t>Nº 14816</t>
        </is>
      </c>
      <c r="D109" s="8" t="inlineStr">
        <is>
          <t>CHIAVE SUP</t>
        </is>
      </c>
      <c r="E109" s="5" t="n">
        <v>1</v>
      </c>
      <c r="F109" s="7" t="inlineStr">
        <is>
          <t>Ingrediente Ativo Principal</t>
        </is>
      </c>
      <c r="G109" s="7" t="inlineStr">
        <is>
          <t>METOMIL 215</t>
        </is>
      </c>
      <c r="H109" s="7" t="inlineStr">
        <is>
          <t>S-methyl N-(methylcarbamoyloxy)thioacetimidate</t>
        </is>
      </c>
      <c r="I109" s="7" t="inlineStr">
        <is>
          <t>Metilcarbamato de oxima</t>
        </is>
      </c>
      <c r="J109" s="7" t="inlineStr">
        <is>
          <t>IRAC Grupo 1A</t>
        </is>
      </c>
      <c r="K109" s="7" t="inlineStr">
        <is>
          <t>Inibidores reversíveis da enzima acetilcolinesterase (AChE)</t>
        </is>
      </c>
      <c r="L109" s="9" t="n">
        <v>215</v>
      </c>
      <c r="M109" s="7" t="inlineStr">
        <is>
          <t>g/L</t>
        </is>
      </c>
      <c r="N109" s="7" t="inlineStr">
        <is>
          <t>Registro Técnico Vinculado MAPA</t>
        </is>
      </c>
    </row>
    <row r="110" ht="22" customHeight="1">
      <c r="A110" s="12" t="inlineStr">
        <is>
          <t>CMP-0106</t>
        </is>
      </c>
      <c r="B110" s="11" t="n">
        <v>83</v>
      </c>
      <c r="C110" s="13" t="inlineStr">
        <is>
          <t>Nº 27620</t>
        </is>
      </c>
      <c r="D110" s="14" t="inlineStr">
        <is>
          <t>METOMIL CHD S</t>
        </is>
      </c>
      <c r="E110" s="11" t="n">
        <v>1</v>
      </c>
      <c r="F110" s="13" t="inlineStr">
        <is>
          <t>Ingrediente Ativo Principal</t>
        </is>
      </c>
      <c r="G110" s="13" t="inlineStr">
        <is>
          <t>METOMIL 215</t>
        </is>
      </c>
      <c r="H110" s="13" t="inlineStr">
        <is>
          <t>S-methyl N-(methylcarbamoyloxy)thioacetimidate</t>
        </is>
      </c>
      <c r="I110" s="13" t="inlineStr">
        <is>
          <t>Metilcarbamato de oxima</t>
        </is>
      </c>
      <c r="J110" s="13" t="inlineStr">
        <is>
          <t>IRAC Grupo 1A</t>
        </is>
      </c>
      <c r="K110" s="13" t="inlineStr">
        <is>
          <t>Inibidores reversíveis da enzima acetilcolinesterase (AChE)</t>
        </is>
      </c>
      <c r="L110" s="15" t="n">
        <v>215</v>
      </c>
      <c r="M110" s="13" t="inlineStr">
        <is>
          <t>g/L</t>
        </is>
      </c>
      <c r="N110" s="13" t="inlineStr">
        <is>
          <t>Registro Técnico Vinculado MAPA</t>
        </is>
      </c>
    </row>
    <row r="111" ht="22" customHeight="1">
      <c r="A111" s="6" t="inlineStr">
        <is>
          <t>CMP-0107</t>
        </is>
      </c>
      <c r="B111" s="5" t="n">
        <v>84</v>
      </c>
      <c r="C111" s="7" t="inlineStr">
        <is>
          <t>Nº 31522</t>
        </is>
      </c>
      <c r="D111" s="8" t="inlineStr">
        <is>
          <t>METOMY 900</t>
        </is>
      </c>
      <c r="E111" s="5" t="n">
        <v>1</v>
      </c>
      <c r="F111" s="7" t="inlineStr">
        <is>
          <t>Ingrediente Ativo Principal</t>
        </is>
      </c>
      <c r="G111" s="7" t="inlineStr">
        <is>
          <t>METOMIL 900</t>
        </is>
      </c>
      <c r="H111" s="7" t="inlineStr">
        <is>
          <t>S-methyl N-(methylcarbamoyloxy)thioacetimidate</t>
        </is>
      </c>
      <c r="I111" s="7" t="inlineStr">
        <is>
          <t>Metilcarbamato de oxima</t>
        </is>
      </c>
      <c r="J111" s="7" t="inlineStr">
        <is>
          <t>IRAC Grupo 1A</t>
        </is>
      </c>
      <c r="K111" s="7" t="inlineStr">
        <is>
          <t>Inibidores reversíveis da enzima acetilcolinesterase (AChE)</t>
        </is>
      </c>
      <c r="L111" s="9" t="n">
        <v>900</v>
      </c>
      <c r="M111" s="7" t="inlineStr">
        <is>
          <t>g/kg</t>
        </is>
      </c>
      <c r="N111" s="7" t="inlineStr">
        <is>
          <t>Registro Técnico Vinculado MAPA</t>
        </is>
      </c>
    </row>
    <row r="112" ht="22" customHeight="1">
      <c r="A112" s="12" t="inlineStr">
        <is>
          <t>CMP-0108</t>
        </is>
      </c>
      <c r="B112" s="11" t="n">
        <v>85</v>
      </c>
      <c r="C112" s="13" t="inlineStr">
        <is>
          <t>Nº 6914</t>
        </is>
      </c>
      <c r="D112" s="14" t="inlineStr">
        <is>
          <t>UPMYL</t>
        </is>
      </c>
      <c r="E112" s="11" t="n">
        <v>1</v>
      </c>
      <c r="F112" s="13" t="inlineStr">
        <is>
          <t>Ingrediente Ativo Principal</t>
        </is>
      </c>
      <c r="G112" s="13" t="inlineStr">
        <is>
          <t>METOMIL 215</t>
        </is>
      </c>
      <c r="H112" s="13" t="inlineStr">
        <is>
          <t>S-methyl N-(methylcarbamoyloxy)thioacetimidate</t>
        </is>
      </c>
      <c r="I112" s="13" t="inlineStr">
        <is>
          <t>Metilcarbamato de oxima</t>
        </is>
      </c>
      <c r="J112" s="13" t="inlineStr">
        <is>
          <t>IRAC Grupo 1A</t>
        </is>
      </c>
      <c r="K112" s="13" t="inlineStr">
        <is>
          <t>Inibidores reversíveis da enzima acetilcolinesterase (AChE)</t>
        </is>
      </c>
      <c r="L112" s="15" t="n">
        <v>215</v>
      </c>
      <c r="M112" s="13" t="inlineStr">
        <is>
          <t>g/L</t>
        </is>
      </c>
      <c r="N112" s="13" t="inlineStr">
        <is>
          <t>Registro Técnico Vinculado MAPA</t>
        </is>
      </c>
    </row>
    <row r="113" ht="22" customHeight="1">
      <c r="A113" s="6" t="inlineStr">
        <is>
          <t>CMP-0109</t>
        </is>
      </c>
      <c r="B113" s="5" t="n">
        <v>86</v>
      </c>
      <c r="C113" s="7" t="inlineStr">
        <is>
          <t>SIPEAGRO (UF-XXXXX)</t>
        </is>
      </c>
      <c r="D113" s="8" t="inlineStr">
        <is>
          <t>AGCN MANGANES</t>
        </is>
      </c>
      <c r="E113" s="5" t="n">
        <v>1</v>
      </c>
      <c r="F113" s="7" t="inlineStr">
        <is>
          <t>Nutriente Garantido</t>
        </is>
      </c>
      <c r="G113" s="7" t="inlineStr">
        <is>
          <t>MN 10% - S 5,5%</t>
        </is>
      </c>
      <c r="H113" s="7" t="inlineStr">
        <is>
          <t>Composição Nutricional Oficial (MN 10% - S 5,5%)</t>
        </is>
      </c>
      <c r="I113" s="7" t="inlineStr">
        <is>
          <t>Fertilizante Mineral / Organomineral (Lei nº 6.894/1980)</t>
        </is>
      </c>
      <c r="J113" s="7" t="inlineStr">
        <is>
          <t>Nutrição Vegetal SIPEAGRO</t>
        </is>
      </c>
      <c r="K113" s="7" t="inlineStr">
        <is>
          <t>Fornecimento de macro e micronutrientes essenciais ao metabolismo vegetal</t>
        </is>
      </c>
      <c r="L113" s="9" t="n">
        <v>10</v>
      </c>
      <c r="M113" s="7" t="inlineStr">
        <is>
          <t>% m/m</t>
        </is>
      </c>
      <c r="N113" s="7" t="inlineStr">
        <is>
          <t>Registro Técnico Vinculado MAPA</t>
        </is>
      </c>
    </row>
    <row r="114" ht="22" customHeight="1">
      <c r="A114" s="12" t="inlineStr">
        <is>
          <t>CMP-0110</t>
        </is>
      </c>
      <c r="B114" s="11" t="n">
        <v>87</v>
      </c>
      <c r="C114" s="13" t="inlineStr">
        <is>
          <t>SIPEAGRO (UF-XXXXX)</t>
        </is>
      </c>
      <c r="D114" s="14" t="inlineStr">
        <is>
          <t>AGCN MN ULTRA</t>
        </is>
      </c>
      <c r="E114" s="11" t="n">
        <v>1</v>
      </c>
      <c r="F114" s="13" t="inlineStr">
        <is>
          <t>Nutriente Garantido</t>
        </is>
      </c>
      <c r="G114" s="13" t="inlineStr">
        <is>
          <t>MN 7%</t>
        </is>
      </c>
      <c r="H114" s="13" t="inlineStr">
        <is>
          <t>Composição Nutricional Oficial (MN 7%)</t>
        </is>
      </c>
      <c r="I114" s="13" t="inlineStr">
        <is>
          <t>Fertilizante Mineral / Organomineral (Lei nº 6.894/1980)</t>
        </is>
      </c>
      <c r="J114" s="13" t="inlineStr">
        <is>
          <t>Nutrição Vegetal SIPEAGRO</t>
        </is>
      </c>
      <c r="K114" s="13" t="inlineStr">
        <is>
          <t>Fornecimento de macro e micronutrientes essenciais ao metabolismo vegetal</t>
        </is>
      </c>
      <c r="L114" s="15" t="n">
        <v>7</v>
      </c>
      <c r="M114" s="13" t="inlineStr">
        <is>
          <t>% m/m</t>
        </is>
      </c>
      <c r="N114" s="13" t="inlineStr">
        <is>
          <t>Registro Técnico Vinculado MAPA</t>
        </is>
      </c>
    </row>
    <row r="115" ht="22" customHeight="1">
      <c r="A115" s="6" t="inlineStr">
        <is>
          <t>CMP-0111</t>
        </is>
      </c>
      <c r="B115" s="5" t="n">
        <v>87</v>
      </c>
      <c r="C115" s="7" t="inlineStr">
        <is>
          <t>SIPEAGRO (UF-XXXXX)</t>
        </is>
      </c>
      <c r="D115" s="8" t="inlineStr">
        <is>
          <t>AGCN MN ULTRA</t>
        </is>
      </c>
      <c r="E115" s="5" t="n">
        <v>2</v>
      </c>
      <c r="F115" s="7" t="inlineStr">
        <is>
          <t>Nutriente Garantido</t>
        </is>
      </c>
      <c r="G115" s="7" t="inlineStr">
        <is>
          <t>COT 10%</t>
        </is>
      </c>
      <c r="H115" s="7" t="inlineStr">
        <is>
          <t>Composição Nutricional Oficial (COT 10%)</t>
        </is>
      </c>
      <c r="I115" s="7" t="inlineStr">
        <is>
          <t>Fertilizante Mineral / Organomineral (Lei nº 6.894/1980)</t>
        </is>
      </c>
      <c r="J115" s="7" t="inlineStr">
        <is>
          <t>Nutrição Vegetal SIPEAGRO</t>
        </is>
      </c>
      <c r="K115" s="7" t="inlineStr">
        <is>
          <t>Fornecimento de macro e micronutrientes essenciais ao metabolismo vegetal</t>
        </is>
      </c>
      <c r="L115" s="9" t="n">
        <v>10</v>
      </c>
      <c r="M115" s="7" t="inlineStr">
        <is>
          <t>% m/m</t>
        </is>
      </c>
      <c r="N115" s="7" t="inlineStr">
        <is>
          <t>Registro Técnico Vinculado MAPA</t>
        </is>
      </c>
    </row>
    <row r="116" ht="22" customHeight="1">
      <c r="A116" s="12" t="inlineStr">
        <is>
          <t>CMP-0112</t>
        </is>
      </c>
      <c r="B116" s="11" t="n">
        <v>87</v>
      </c>
      <c r="C116" s="13" t="inlineStr">
        <is>
          <t>SIPEAGRO (UF-XXXXX)</t>
        </is>
      </c>
      <c r="D116" s="14" t="inlineStr">
        <is>
          <t>AGCN MN ULTRA</t>
        </is>
      </c>
      <c r="E116" s="11" t="n">
        <v>3</v>
      </c>
      <c r="F116" s="13" t="inlineStr">
        <is>
          <t>Nutriente Garantido</t>
        </is>
      </c>
      <c r="G116" s="13" t="inlineStr">
        <is>
          <t>EDTA</t>
        </is>
      </c>
      <c r="H116" s="13" t="inlineStr">
        <is>
          <t>Composição Nutricional Oficial (EDTA)</t>
        </is>
      </c>
      <c r="I116" s="13" t="inlineStr">
        <is>
          <t>Fertilizante Mineral / Organomineral (Lei nº 6.894/1980)</t>
        </is>
      </c>
      <c r="J116" s="13" t="inlineStr">
        <is>
          <t>Nutrição Vegetal SIPEAGRO</t>
        </is>
      </c>
      <c r="K116" s="13" t="inlineStr">
        <is>
          <t>Fornecimento de macro e micronutrientes essenciais ao metabolismo vegetal</t>
        </is>
      </c>
      <c r="L116" s="15" t="n">
        <v>5</v>
      </c>
      <c r="M116" s="13" t="inlineStr">
        <is>
          <t>% m/m</t>
        </is>
      </c>
      <c r="N116" s="13" t="inlineStr">
        <is>
          <t>Registro Técnico Vinculado MAPA</t>
        </is>
      </c>
    </row>
    <row r="117" ht="22" customHeight="1">
      <c r="A117" s="6" t="inlineStr">
        <is>
          <t>CMP-0113</t>
        </is>
      </c>
      <c r="B117" s="5" t="n">
        <v>88</v>
      </c>
      <c r="C117" s="7" t="inlineStr">
        <is>
          <t>SIPEAGRO (UF-XXXXX)</t>
        </is>
      </c>
      <c r="D117" s="8" t="inlineStr">
        <is>
          <t>AGCN MOLIBIDENIO</t>
        </is>
      </c>
      <c r="E117" s="5" t="n">
        <v>1</v>
      </c>
      <c r="F117" s="7" t="inlineStr">
        <is>
          <t>Nutriente Garantido</t>
        </is>
      </c>
      <c r="G117" s="7" t="inlineStr">
        <is>
          <t>MO 14%</t>
        </is>
      </c>
      <c r="H117" s="7" t="inlineStr">
        <is>
          <t>Composição Nutricional Oficial (MO 14%)</t>
        </is>
      </c>
      <c r="I117" s="7" t="inlineStr">
        <is>
          <t>Fertilizante Mineral / Organomineral (Lei nº 6.894/1980)</t>
        </is>
      </c>
      <c r="J117" s="7" t="inlineStr">
        <is>
          <t>Nutrição Vegetal SIPEAGRO</t>
        </is>
      </c>
      <c r="K117" s="7" t="inlineStr">
        <is>
          <t>Fornecimento de macro e micronutrientes essenciais ao metabolismo vegetal</t>
        </is>
      </c>
      <c r="L117" s="9" t="n">
        <v>14</v>
      </c>
      <c r="M117" s="7" t="inlineStr">
        <is>
          <t>% m/m</t>
        </is>
      </c>
      <c r="N117" s="7" t="inlineStr">
        <is>
          <t>Registro Técnico Vinculado MAPA</t>
        </is>
      </c>
    </row>
    <row r="118" ht="22" customHeight="1">
      <c r="A118" s="12" t="inlineStr">
        <is>
          <t>CMP-0114</t>
        </is>
      </c>
      <c r="B118" s="11" t="n">
        <v>89</v>
      </c>
      <c r="C118" s="13" t="inlineStr">
        <is>
          <t>SIPEAGRO (UF-XXXXX)</t>
        </is>
      </c>
      <c r="D118" s="14" t="inlineStr">
        <is>
          <t>AGCN MN ULTRA AA</t>
        </is>
      </c>
      <c r="E118" s="11" t="n">
        <v>1</v>
      </c>
      <c r="F118" s="13" t="inlineStr">
        <is>
          <t>Nutriente Garantido</t>
        </is>
      </c>
      <c r="G118" s="13" t="inlineStr">
        <is>
          <t>MN 7%</t>
        </is>
      </c>
      <c r="H118" s="13" t="inlineStr">
        <is>
          <t>Composição Nutricional Oficial (MN 7%)</t>
        </is>
      </c>
      <c r="I118" s="13" t="inlineStr">
        <is>
          <t>Fertilizante Mineral / Organomineral (Lei nº 6.894/1980)</t>
        </is>
      </c>
      <c r="J118" s="13" t="inlineStr">
        <is>
          <t>Nutrição Vegetal SIPEAGRO</t>
        </is>
      </c>
      <c r="K118" s="13" t="inlineStr">
        <is>
          <t>Fornecimento de macro e micronutrientes essenciais ao metabolismo vegetal</t>
        </is>
      </c>
      <c r="L118" s="15" t="n">
        <v>7</v>
      </c>
      <c r="M118" s="13" t="inlineStr">
        <is>
          <t>% m/m</t>
        </is>
      </c>
      <c r="N118" s="13" t="inlineStr">
        <is>
          <t>Registro Técnico Vinculado MAPA</t>
        </is>
      </c>
    </row>
    <row r="119" ht="22" customHeight="1">
      <c r="A119" s="6" t="inlineStr">
        <is>
          <t>CMP-0115</t>
        </is>
      </c>
      <c r="B119" s="5" t="n">
        <v>89</v>
      </c>
      <c r="C119" s="7" t="inlineStr">
        <is>
          <t>SIPEAGRO (UF-XXXXX)</t>
        </is>
      </c>
      <c r="D119" s="8" t="inlineStr">
        <is>
          <t>AGCN MN ULTRA AA</t>
        </is>
      </c>
      <c r="E119" s="5" t="n">
        <v>2</v>
      </c>
      <c r="F119" s="7" t="inlineStr">
        <is>
          <t>Nutriente Garantido</t>
        </is>
      </c>
      <c r="G119" s="7" t="inlineStr">
        <is>
          <t>COT 10%</t>
        </is>
      </c>
      <c r="H119" s="7" t="inlineStr">
        <is>
          <t>Composição Nutricional Oficial (COT 10%)</t>
        </is>
      </c>
      <c r="I119" s="7" t="inlineStr">
        <is>
          <t>Fertilizante Mineral / Organomineral (Lei nº 6.894/1980)</t>
        </is>
      </c>
      <c r="J119" s="7" t="inlineStr">
        <is>
          <t>Nutrição Vegetal SIPEAGRO</t>
        </is>
      </c>
      <c r="K119" s="7" t="inlineStr">
        <is>
          <t>Fornecimento de macro e micronutrientes essenciais ao metabolismo vegetal</t>
        </is>
      </c>
      <c r="L119" s="9" t="n">
        <v>10</v>
      </c>
      <c r="M119" s="7" t="inlineStr">
        <is>
          <t>% m/m</t>
        </is>
      </c>
      <c r="N119" s="7" t="inlineStr">
        <is>
          <t>Registro Técnico Vinculado MAPA</t>
        </is>
      </c>
    </row>
    <row r="120" ht="22" customHeight="1">
      <c r="A120" s="12" t="inlineStr">
        <is>
          <t>CMP-0116</t>
        </is>
      </c>
      <c r="B120" s="11" t="n">
        <v>89</v>
      </c>
      <c r="C120" s="13" t="inlineStr">
        <is>
          <t>SIPEAGRO (UF-XXXXX)</t>
        </is>
      </c>
      <c r="D120" s="14" t="inlineStr">
        <is>
          <t>AGCN MN ULTRA AA</t>
        </is>
      </c>
      <c r="E120" s="11" t="n">
        <v>3</v>
      </c>
      <c r="F120" s="13" t="inlineStr">
        <is>
          <t>Nutriente Garantido</t>
        </is>
      </c>
      <c r="G120" s="13" t="inlineStr">
        <is>
          <t>EDTA</t>
        </is>
      </c>
      <c r="H120" s="13" t="inlineStr">
        <is>
          <t>Composição Nutricional Oficial (EDTA)</t>
        </is>
      </c>
      <c r="I120" s="13" t="inlineStr">
        <is>
          <t>Fertilizante Mineral / Organomineral (Lei nº 6.894/1980)</t>
        </is>
      </c>
      <c r="J120" s="13" t="inlineStr">
        <is>
          <t>Nutrição Vegetal SIPEAGRO</t>
        </is>
      </c>
      <c r="K120" s="13" t="inlineStr">
        <is>
          <t>Fornecimento de macro e micronutrientes essenciais ao metabolismo vegetal</t>
        </is>
      </c>
      <c r="L120" s="15" t="n">
        <v>5</v>
      </c>
      <c r="M120" s="13" t="inlineStr">
        <is>
          <t>% m/m</t>
        </is>
      </c>
      <c r="N120" s="13" t="inlineStr">
        <is>
          <t>Registro Técnico Vinculado MAPA</t>
        </is>
      </c>
    </row>
    <row r="121" ht="22" customHeight="1">
      <c r="A121" s="6" t="inlineStr">
        <is>
          <t>CMP-0117</t>
        </is>
      </c>
      <c r="B121" s="5" t="n">
        <v>90</v>
      </c>
      <c r="C121" s="7" t="inlineStr">
        <is>
          <t>SIPEAGRO (UF-XXXXX)</t>
        </is>
      </c>
      <c r="D121" s="8" t="inlineStr">
        <is>
          <t>AGCN MOLIB ULTRA</t>
        </is>
      </c>
      <c r="E121" s="5" t="n">
        <v>1</v>
      </c>
      <c r="F121" s="7" t="inlineStr">
        <is>
          <t>Nutriente Garantido</t>
        </is>
      </c>
      <c r="G121" s="7" t="inlineStr">
        <is>
          <t>MO 10%</t>
        </is>
      </c>
      <c r="H121" s="7" t="inlineStr">
        <is>
          <t>Composição Nutricional Oficial (MO 10%)</t>
        </is>
      </c>
      <c r="I121" s="7" t="inlineStr">
        <is>
          <t>Fertilizante Mineral / Organomineral (Lei nº 6.894/1980)</t>
        </is>
      </c>
      <c r="J121" s="7" t="inlineStr">
        <is>
          <t>Nutrição Vegetal SIPEAGRO</t>
        </is>
      </c>
      <c r="K121" s="7" t="inlineStr">
        <is>
          <t>Fornecimento de macro e micronutrientes essenciais ao metabolismo vegetal</t>
        </is>
      </c>
      <c r="L121" s="9" t="n">
        <v>10</v>
      </c>
      <c r="M121" s="7" t="inlineStr">
        <is>
          <t>% m/m</t>
        </is>
      </c>
      <c r="N121" s="7" t="inlineStr">
        <is>
          <t>Registro Técnico Vinculado MAPA</t>
        </is>
      </c>
    </row>
    <row r="122" ht="22" customHeight="1">
      <c r="A122" s="12" t="inlineStr">
        <is>
          <t>CMP-0118</t>
        </is>
      </c>
      <c r="B122" s="11" t="n">
        <v>90</v>
      </c>
      <c r="C122" s="13" t="inlineStr">
        <is>
          <t>SIPEAGRO (UF-XXXXX)</t>
        </is>
      </c>
      <c r="D122" s="14" t="inlineStr">
        <is>
          <t>AGCN MOLIB ULTRA</t>
        </is>
      </c>
      <c r="E122" s="11" t="n">
        <v>2</v>
      </c>
      <c r="F122" s="13" t="inlineStr">
        <is>
          <t>Nutriente Garantido</t>
        </is>
      </c>
      <c r="G122" s="13" t="inlineStr">
        <is>
          <t>COT 6%</t>
        </is>
      </c>
      <c r="H122" s="13" t="inlineStr">
        <is>
          <t>Composição Nutricional Oficial (COT 6%)</t>
        </is>
      </c>
      <c r="I122" s="13" t="inlineStr">
        <is>
          <t>Fertilizante Mineral / Organomineral (Lei nº 6.894/1980)</t>
        </is>
      </c>
      <c r="J122" s="13" t="inlineStr">
        <is>
          <t>Nutrição Vegetal SIPEAGRO</t>
        </is>
      </c>
      <c r="K122" s="13" t="inlineStr">
        <is>
          <t>Fornecimento de macro e micronutrientes essenciais ao metabolismo vegetal</t>
        </is>
      </c>
      <c r="L122" s="15" t="n">
        <v>6</v>
      </c>
      <c r="M122" s="13" t="inlineStr">
        <is>
          <t>% m/m</t>
        </is>
      </c>
      <c r="N122" s="13" t="inlineStr">
        <is>
          <t>Registro Técnico Vinculado MAPA</t>
        </is>
      </c>
    </row>
    <row r="123" ht="22" customHeight="1">
      <c r="A123" s="6" t="inlineStr">
        <is>
          <t>CMP-0119</t>
        </is>
      </c>
      <c r="B123" s="5" t="n">
        <v>91</v>
      </c>
      <c r="C123" s="7" t="inlineStr">
        <is>
          <t>Nº 3705</t>
        </is>
      </c>
      <c r="D123" s="8" t="inlineStr">
        <is>
          <t>ANCOSAR 720</t>
        </is>
      </c>
      <c r="E123" s="5" t="n">
        <v>1</v>
      </c>
      <c r="F123" s="7" t="inlineStr">
        <is>
          <t>Ingrediente Ativo Principal</t>
        </is>
      </c>
      <c r="G123" s="7" t="inlineStr">
        <is>
          <t>MSMA 720</t>
        </is>
      </c>
      <c r="H123" s="7" t="inlineStr">
        <is>
          <t>Sodium hydrogen methylarsonate (Metanoarsonato ácido de sódio)</t>
        </is>
      </c>
      <c r="I123" s="7" t="inlineStr">
        <is>
          <t>Organoarsênico</t>
        </is>
      </c>
      <c r="J123" s="7" t="inlineStr">
        <is>
          <t>HRAC Grupo Z (0) — Mecanismo Desconhecido</t>
        </is>
      </c>
      <c r="K123" s="7" t="inlineStr">
        <is>
          <t>Perturbação da membrana celular e desacoplamento energético</t>
        </is>
      </c>
      <c r="L123" s="9" t="n">
        <v>720</v>
      </c>
      <c r="M123" s="7" t="inlineStr">
        <is>
          <t>g/L</t>
        </is>
      </c>
      <c r="N123" s="7" t="inlineStr">
        <is>
          <t>Registro Técnico Vinculado MAPA</t>
        </is>
      </c>
    </row>
    <row r="124" ht="22" customHeight="1">
      <c r="A124" s="12" t="inlineStr">
        <is>
          <t>CMP-0120</t>
        </is>
      </c>
      <c r="B124" s="11" t="n">
        <v>92</v>
      </c>
      <c r="C124" s="13" t="inlineStr">
        <is>
          <t>Nº 4798</t>
        </is>
      </c>
      <c r="D124" s="14" t="inlineStr">
        <is>
          <t>VOLCANE 790</t>
        </is>
      </c>
      <c r="E124" s="11" t="n">
        <v>1</v>
      </c>
      <c r="F124" s="13" t="inlineStr">
        <is>
          <t>Ingrediente Ativo Principal</t>
        </is>
      </c>
      <c r="G124" s="13" t="inlineStr">
        <is>
          <t>MSMA 790</t>
        </is>
      </c>
      <c r="H124" s="13" t="inlineStr">
        <is>
          <t>Sodium hydrogen methylarsonate (Metanoarsonato ácido de sódio)</t>
        </is>
      </c>
      <c r="I124" s="13" t="inlineStr">
        <is>
          <t>Organoarsênico</t>
        </is>
      </c>
      <c r="J124" s="13" t="inlineStr">
        <is>
          <t>HRAC Grupo Z (0) — Mecanismo Desconhecido</t>
        </is>
      </c>
      <c r="K124" s="13" t="inlineStr">
        <is>
          <t>Perturbação da membrana celular e desacoplamento energético</t>
        </is>
      </c>
      <c r="L124" s="15" t="n">
        <v>790</v>
      </c>
      <c r="M124" s="13" t="inlineStr">
        <is>
          <t>g/L</t>
        </is>
      </c>
      <c r="N124" s="13" t="inlineStr">
        <is>
          <t>Registro Técnico Vinculado MAPA</t>
        </is>
      </c>
    </row>
    <row r="125" ht="22" customHeight="1">
      <c r="A125" s="6" t="inlineStr">
        <is>
          <t>CMP-0121</t>
        </is>
      </c>
      <c r="B125" s="5" t="n">
        <v>93</v>
      </c>
      <c r="C125" s="7" t="inlineStr">
        <is>
          <t>SIPEAGRO (UF-XXXXX)</t>
        </is>
      </c>
      <c r="D125" s="8" t="inlineStr">
        <is>
          <t>AGCN FULL</t>
        </is>
      </c>
      <c r="E125" s="5" t="n">
        <v>1</v>
      </c>
      <c r="F125" s="7" t="inlineStr">
        <is>
          <t>Nutriente Garantido</t>
        </is>
      </c>
      <c r="G125" s="7" t="inlineStr">
        <is>
          <t>MACRO</t>
        </is>
      </c>
      <c r="H125" s="7" t="inlineStr">
        <is>
          <t>Composição Nutricional Oficial (MACRO)</t>
        </is>
      </c>
      <c r="I125" s="7" t="inlineStr">
        <is>
          <t>Fertilizante Mineral / Organomineral (Lei nº 6.894/1980)</t>
        </is>
      </c>
      <c r="J125" s="7" t="inlineStr">
        <is>
          <t>Nutrição Vegetal SIPEAGRO</t>
        </is>
      </c>
      <c r="K125" s="7" t="inlineStr">
        <is>
          <t>Fornecimento de macro e micronutrientes essenciais ao metabolismo vegetal</t>
        </is>
      </c>
      <c r="L125" s="9" t="n">
        <v>12</v>
      </c>
      <c r="M125" s="7" t="inlineStr">
        <is>
          <t>% m/m</t>
        </is>
      </c>
      <c r="N125" s="7" t="inlineStr">
        <is>
          <t>Registro Técnico Vinculado MAPA</t>
        </is>
      </c>
    </row>
    <row r="126" ht="22" customHeight="1">
      <c r="A126" s="12" t="inlineStr">
        <is>
          <t>CMP-0122</t>
        </is>
      </c>
      <c r="B126" s="11" t="n">
        <v>93</v>
      </c>
      <c r="C126" s="13" t="inlineStr">
        <is>
          <t>SIPEAGRO (UF-XXXXX)</t>
        </is>
      </c>
      <c r="D126" s="14" t="inlineStr">
        <is>
          <t>AGCN FULL</t>
        </is>
      </c>
      <c r="E126" s="11" t="n">
        <v>2</v>
      </c>
      <c r="F126" s="13" t="inlineStr">
        <is>
          <t>Nutriente Garantido</t>
        </is>
      </c>
      <c r="G126" s="13" t="inlineStr">
        <is>
          <t>MICRO</t>
        </is>
      </c>
      <c r="H126" s="13" t="inlineStr">
        <is>
          <t>Composição Nutricional Oficial (MICRO)</t>
        </is>
      </c>
      <c r="I126" s="13" t="inlineStr">
        <is>
          <t>Fertilizante Mineral / Organomineral (Lei nº 6.894/1980)</t>
        </is>
      </c>
      <c r="J126" s="13" t="inlineStr">
        <is>
          <t>Nutrição Vegetal SIPEAGRO</t>
        </is>
      </c>
      <c r="K126" s="13" t="inlineStr">
        <is>
          <t>Fornecimento de macro e micronutrientes essenciais ao metabolismo vegetal</t>
        </is>
      </c>
      <c r="L126" s="15" t="n">
        <v>5</v>
      </c>
      <c r="M126" s="13" t="inlineStr">
        <is>
          <t>% m/m</t>
        </is>
      </c>
      <c r="N126" s="13" t="inlineStr">
        <is>
          <t>Registro Técnico Vinculado MAPA</t>
        </is>
      </c>
    </row>
    <row r="127" ht="22" customHeight="1">
      <c r="A127" s="6" t="inlineStr">
        <is>
          <t>CMP-0123</t>
        </is>
      </c>
      <c r="B127" s="5" t="n">
        <v>93</v>
      </c>
      <c r="C127" s="7" t="inlineStr">
        <is>
          <t>SIPEAGRO (UF-XXXXX)</t>
        </is>
      </c>
      <c r="D127" s="8" t="inlineStr">
        <is>
          <t>AGCN FULL</t>
        </is>
      </c>
      <c r="E127" s="5" t="n">
        <v>3</v>
      </c>
      <c r="F127" s="7" t="inlineStr">
        <is>
          <t>Nutriente Garantido</t>
        </is>
      </c>
      <c r="G127" s="7" t="inlineStr">
        <is>
          <t>COT 18%</t>
        </is>
      </c>
      <c r="H127" s="7" t="inlineStr">
        <is>
          <t>Composição Nutricional Oficial (COT 18%)</t>
        </is>
      </c>
      <c r="I127" s="7" t="inlineStr">
        <is>
          <t>Fertilizante Mineral / Organomineral (Lei nº 6.894/1980)</t>
        </is>
      </c>
      <c r="J127" s="7" t="inlineStr">
        <is>
          <t>Nutrição Vegetal SIPEAGRO</t>
        </is>
      </c>
      <c r="K127" s="7" t="inlineStr">
        <is>
          <t>Fornecimento de macro e micronutrientes essenciais ao metabolismo vegetal</t>
        </is>
      </c>
      <c r="L127" s="9" t="n">
        <v>18</v>
      </c>
      <c r="M127" s="7" t="inlineStr">
        <is>
          <t>% m/m</t>
        </is>
      </c>
      <c r="N127" s="7" t="inlineStr">
        <is>
          <t>Registro Técnico Vinculado MAPA</t>
        </is>
      </c>
    </row>
    <row r="128" ht="22" customHeight="1">
      <c r="A128" s="12" t="inlineStr">
        <is>
          <t>CMP-0124</t>
        </is>
      </c>
      <c r="B128" s="11" t="n">
        <v>94</v>
      </c>
      <c r="C128" s="13" t="inlineStr">
        <is>
          <t>SIPEAGRO (UF-XXXXX)</t>
        </is>
      </c>
      <c r="D128" s="14" t="inlineStr">
        <is>
          <t>AGCN NITROGEN</t>
        </is>
      </c>
      <c r="E128" s="11" t="n">
        <v>1</v>
      </c>
      <c r="F128" s="13" t="inlineStr">
        <is>
          <t>Nutriente Garantido</t>
        </is>
      </c>
      <c r="G128" s="13" t="inlineStr">
        <is>
          <t>N 30%</t>
        </is>
      </c>
      <c r="H128" s="13" t="inlineStr">
        <is>
          <t>Composição Nutricional Oficial (N 30%)</t>
        </is>
      </c>
      <c r="I128" s="13" t="inlineStr">
        <is>
          <t>Fertilizante Mineral / Organomineral (Lei nº 6.894/1980)</t>
        </is>
      </c>
      <c r="J128" s="13" t="inlineStr">
        <is>
          <t>Nutrição Vegetal SIPEAGRO</t>
        </is>
      </c>
      <c r="K128" s="13" t="inlineStr">
        <is>
          <t>Fornecimento de macro e micronutrientes essenciais ao metabolismo vegetal</t>
        </is>
      </c>
      <c r="L128" s="15" t="n">
        <v>30</v>
      </c>
      <c r="M128" s="13" t="inlineStr">
        <is>
          <t>% m/m</t>
        </is>
      </c>
      <c r="N128" s="13" t="inlineStr">
        <is>
          <t>Registro Técnico Vinculado MAPA</t>
        </is>
      </c>
    </row>
    <row r="129" ht="22" customHeight="1">
      <c r="A129" s="6" t="inlineStr">
        <is>
          <t>CMP-0125</t>
        </is>
      </c>
      <c r="B129" s="5" t="n">
        <v>95</v>
      </c>
      <c r="C129" s="7" t="inlineStr">
        <is>
          <t>SIPEAGRO (UF-XXXXX)</t>
        </is>
      </c>
      <c r="D129" s="8" t="inlineStr">
        <is>
          <t>AGCN NITROGEN 30%</t>
        </is>
      </c>
      <c r="E129" s="5" t="n">
        <v>1</v>
      </c>
      <c r="F129" s="7" t="inlineStr">
        <is>
          <t>Nutriente Garantido</t>
        </is>
      </c>
      <c r="G129" s="7" t="inlineStr">
        <is>
          <t>N 30%</t>
        </is>
      </c>
      <c r="H129" s="7" t="inlineStr">
        <is>
          <t>Composição Nutricional Oficial (N 30%)</t>
        </is>
      </c>
      <c r="I129" s="7" t="inlineStr">
        <is>
          <t>Fertilizante Mineral / Organomineral (Lei nº 6.894/1980)</t>
        </is>
      </c>
      <c r="J129" s="7" t="inlineStr">
        <is>
          <t>Nutrição Vegetal SIPEAGRO</t>
        </is>
      </c>
      <c r="K129" s="7" t="inlineStr">
        <is>
          <t>Fornecimento de macro e micronutrientes essenciais ao metabolismo vegetal</t>
        </is>
      </c>
      <c r="L129" s="9" t="n">
        <v>30</v>
      </c>
      <c r="M129" s="7" t="inlineStr">
        <is>
          <t>% m/m</t>
        </is>
      </c>
      <c r="N129" s="7" t="inlineStr">
        <is>
          <t>Registro Técnico Vinculado MAPA</t>
        </is>
      </c>
    </row>
    <row r="130" ht="22" customHeight="1">
      <c r="A130" s="12" t="inlineStr">
        <is>
          <t>CMP-0126</t>
        </is>
      </c>
      <c r="B130" s="11" t="n">
        <v>96</v>
      </c>
      <c r="C130" s="13" t="inlineStr">
        <is>
          <t>SIPEAGRO (UF-XXXXX)</t>
        </is>
      </c>
      <c r="D130" s="14" t="inlineStr">
        <is>
          <t>AGCN MAG ULTRA</t>
        </is>
      </c>
      <c r="E130" s="11" t="n">
        <v>1</v>
      </c>
      <c r="F130" s="13" t="inlineStr">
        <is>
          <t>Nutriente Garantido</t>
        </is>
      </c>
      <c r="G130" s="13" t="inlineStr">
        <is>
          <t>MG 5%</t>
        </is>
      </c>
      <c r="H130" s="13" t="inlineStr">
        <is>
          <t>Composição Nutricional Oficial (MG 5%)</t>
        </is>
      </c>
      <c r="I130" s="13" t="inlineStr">
        <is>
          <t>Fertilizante Mineral / Organomineral (Lei nº 6.894/1980)</t>
        </is>
      </c>
      <c r="J130" s="13" t="inlineStr">
        <is>
          <t>Nutrição Vegetal SIPEAGRO</t>
        </is>
      </c>
      <c r="K130" s="13" t="inlineStr">
        <is>
          <t>Fornecimento de macro e micronutrientes essenciais ao metabolismo vegetal</t>
        </is>
      </c>
      <c r="L130" s="15" t="n">
        <v>5</v>
      </c>
      <c r="M130" s="13" t="inlineStr">
        <is>
          <t>% m/m</t>
        </is>
      </c>
      <c r="N130" s="13" t="inlineStr">
        <is>
          <t>Registro Técnico Vinculado MAPA</t>
        </is>
      </c>
    </row>
    <row r="131" ht="22" customHeight="1">
      <c r="A131" s="6" t="inlineStr">
        <is>
          <t>CMP-0127</t>
        </is>
      </c>
      <c r="B131" s="5" t="n">
        <v>96</v>
      </c>
      <c r="C131" s="7" t="inlineStr">
        <is>
          <t>SIPEAGRO (UF-XXXXX)</t>
        </is>
      </c>
      <c r="D131" s="8" t="inlineStr">
        <is>
          <t>AGCN MAG ULTRA</t>
        </is>
      </c>
      <c r="E131" s="5" t="n">
        <v>2</v>
      </c>
      <c r="F131" s="7" t="inlineStr">
        <is>
          <t>Nutriente Garantido</t>
        </is>
      </c>
      <c r="G131" s="7" t="inlineStr">
        <is>
          <t>N 6%</t>
        </is>
      </c>
      <c r="H131" s="7" t="inlineStr">
        <is>
          <t>Composição Nutricional Oficial (N 6%)</t>
        </is>
      </c>
      <c r="I131" s="7" t="inlineStr">
        <is>
          <t>Fertilizante Mineral / Organomineral (Lei nº 6.894/1980)</t>
        </is>
      </c>
      <c r="J131" s="7" t="inlineStr">
        <is>
          <t>Nutrição Vegetal SIPEAGRO</t>
        </is>
      </c>
      <c r="K131" s="7" t="inlineStr">
        <is>
          <t>Fornecimento de macro e micronutrientes essenciais ao metabolismo vegetal</t>
        </is>
      </c>
      <c r="L131" s="9" t="n">
        <v>6</v>
      </c>
      <c r="M131" s="7" t="inlineStr">
        <is>
          <t>% m/m</t>
        </is>
      </c>
      <c r="N131" s="7" t="inlineStr">
        <is>
          <t>Registro Técnico Vinculado MAPA</t>
        </is>
      </c>
    </row>
    <row r="132" ht="22" customHeight="1">
      <c r="A132" s="12" t="inlineStr">
        <is>
          <t>CMP-0128</t>
        </is>
      </c>
      <c r="B132" s="11" t="n">
        <v>96</v>
      </c>
      <c r="C132" s="13" t="inlineStr">
        <is>
          <t>SIPEAGRO (UF-XXXXX)</t>
        </is>
      </c>
      <c r="D132" s="14" t="inlineStr">
        <is>
          <t>AGCN MAG ULTRA</t>
        </is>
      </c>
      <c r="E132" s="11" t="n">
        <v>3</v>
      </c>
      <c r="F132" s="13" t="inlineStr">
        <is>
          <t>Nutriente Garantido</t>
        </is>
      </c>
      <c r="G132" s="13" t="inlineStr">
        <is>
          <t>B 0,05%</t>
        </is>
      </c>
      <c r="H132" s="13" t="inlineStr">
        <is>
          <t>Composição Nutricional Oficial (B 0,05%)</t>
        </is>
      </c>
      <c r="I132" s="13" t="inlineStr">
        <is>
          <t>Fertilizante Mineral / Organomineral (Lei nº 6.894/1980)</t>
        </is>
      </c>
      <c r="J132" s="13" t="inlineStr">
        <is>
          <t>Nutrição Vegetal SIPEAGRO</t>
        </is>
      </c>
      <c r="K132" s="13" t="inlineStr">
        <is>
          <t>Fornecimento de macro e micronutrientes essenciais ao metabolismo vegetal</t>
        </is>
      </c>
      <c r="L132" s="18" t="n">
        <v>0.05</v>
      </c>
      <c r="M132" s="13" t="inlineStr">
        <is>
          <t>% m/m</t>
        </is>
      </c>
      <c r="N132" s="13" t="inlineStr">
        <is>
          <t>Registro Técnico Vinculado MAPA</t>
        </is>
      </c>
    </row>
    <row r="133" ht="22" customHeight="1">
      <c r="A133" s="6" t="inlineStr">
        <is>
          <t>CMP-0129</t>
        </is>
      </c>
      <c r="B133" s="5" t="n">
        <v>96</v>
      </c>
      <c r="C133" s="7" t="inlineStr">
        <is>
          <t>SIPEAGRO (UF-XXXXX)</t>
        </is>
      </c>
      <c r="D133" s="8" t="inlineStr">
        <is>
          <t>AGCN MAG ULTRA</t>
        </is>
      </c>
      <c r="E133" s="5" t="n">
        <v>4</v>
      </c>
      <c r="F133" s="7" t="inlineStr">
        <is>
          <t>Nutriente Garantido</t>
        </is>
      </c>
      <c r="G133" s="7" t="inlineStr">
        <is>
          <t>MN 0,08%</t>
        </is>
      </c>
      <c r="H133" s="7" t="inlineStr">
        <is>
          <t>Composição Nutricional Oficial (MN 0,08%)</t>
        </is>
      </c>
      <c r="I133" s="7" t="inlineStr">
        <is>
          <t>Fertilizante Mineral / Organomineral (Lei nº 6.894/1980)</t>
        </is>
      </c>
      <c r="J133" s="7" t="inlineStr">
        <is>
          <t>Nutrição Vegetal SIPEAGRO</t>
        </is>
      </c>
      <c r="K133" s="7" t="inlineStr">
        <is>
          <t>Fornecimento de macro e micronutrientes essenciais ao metabolismo vegetal</t>
        </is>
      </c>
      <c r="L133" s="17" t="n">
        <v>0.08</v>
      </c>
      <c r="M133" s="7" t="inlineStr">
        <is>
          <t>% m/m</t>
        </is>
      </c>
      <c r="N133" s="7" t="inlineStr">
        <is>
          <t>Registro Técnico Vinculado MAPA</t>
        </is>
      </c>
    </row>
    <row r="134" ht="22" customHeight="1">
      <c r="A134" s="12" t="inlineStr">
        <is>
          <t>CMP-0130</t>
        </is>
      </c>
      <c r="B134" s="11" t="n">
        <v>96</v>
      </c>
      <c r="C134" s="13" t="inlineStr">
        <is>
          <t>SIPEAGRO (UF-XXXXX)</t>
        </is>
      </c>
      <c r="D134" s="14" t="inlineStr">
        <is>
          <t>AGCN MAG ULTRA</t>
        </is>
      </c>
      <c r="E134" s="11" t="n">
        <v>5</v>
      </c>
      <c r="F134" s="13" t="inlineStr">
        <is>
          <t>Nutriente Garantido</t>
        </is>
      </c>
      <c r="G134" s="13" t="inlineStr">
        <is>
          <t>FE 0,05%</t>
        </is>
      </c>
      <c r="H134" s="13" t="inlineStr">
        <is>
          <t>Composição Nutricional Oficial (FE 0,05%)</t>
        </is>
      </c>
      <c r="I134" s="13" t="inlineStr">
        <is>
          <t>Fertilizante Mineral / Organomineral (Lei nº 6.894/1980)</t>
        </is>
      </c>
      <c r="J134" s="13" t="inlineStr">
        <is>
          <t>Nutrição Vegetal SIPEAGRO</t>
        </is>
      </c>
      <c r="K134" s="13" t="inlineStr">
        <is>
          <t>Fornecimento de macro e micronutrientes essenciais ao metabolismo vegetal</t>
        </is>
      </c>
      <c r="L134" s="18" t="n">
        <v>0.05</v>
      </c>
      <c r="M134" s="13" t="inlineStr">
        <is>
          <t>% m/m</t>
        </is>
      </c>
      <c r="N134" s="13" t="inlineStr">
        <is>
          <t>Registro Técnico Vinculado MAPA</t>
        </is>
      </c>
    </row>
    <row r="135" ht="22" customHeight="1">
      <c r="A135" s="6" t="inlineStr">
        <is>
          <t>CMP-0131</t>
        </is>
      </c>
      <c r="B135" s="5" t="n">
        <v>96</v>
      </c>
      <c r="C135" s="7" t="inlineStr">
        <is>
          <t>SIPEAGRO (UF-XXXXX)</t>
        </is>
      </c>
      <c r="D135" s="8" t="inlineStr">
        <is>
          <t>AGCN MAG ULTRA</t>
        </is>
      </c>
      <c r="E135" s="5" t="n">
        <v>6</v>
      </c>
      <c r="F135" s="7" t="inlineStr">
        <is>
          <t>Nutriente Garantido</t>
        </is>
      </c>
      <c r="G135" s="7" t="inlineStr">
        <is>
          <t>Cu 0,02%</t>
        </is>
      </c>
      <c r="H135" s="7" t="inlineStr">
        <is>
          <t>Composição Nutricional Oficial (Cu 0,02%)</t>
        </is>
      </c>
      <c r="I135" s="7" t="inlineStr">
        <is>
          <t>Fertilizante Mineral / Organomineral (Lei nº 6.894/1980)</t>
        </is>
      </c>
      <c r="J135" s="7" t="inlineStr">
        <is>
          <t>Nutrição Vegetal SIPEAGRO</t>
        </is>
      </c>
      <c r="K135" s="7" t="inlineStr">
        <is>
          <t>Fornecimento de macro e micronutrientes essenciais ao metabolismo vegetal</t>
        </is>
      </c>
      <c r="L135" s="17" t="n">
        <v>0.02</v>
      </c>
      <c r="M135" s="7" t="inlineStr">
        <is>
          <t>% m/m</t>
        </is>
      </c>
      <c r="N135" s="7" t="inlineStr">
        <is>
          <t>Registro Técnico Vinculado MAPA</t>
        </is>
      </c>
    </row>
    <row r="136" ht="22" customHeight="1">
      <c r="A136" s="12" t="inlineStr">
        <is>
          <t>CMP-0132</t>
        </is>
      </c>
      <c r="B136" s="11" t="n">
        <v>96</v>
      </c>
      <c r="C136" s="13" t="inlineStr">
        <is>
          <t>SIPEAGRO (UF-XXXXX)</t>
        </is>
      </c>
      <c r="D136" s="14" t="inlineStr">
        <is>
          <t>AGCN MAG ULTRA</t>
        </is>
      </c>
      <c r="E136" s="11" t="n">
        <v>7</v>
      </c>
      <c r="F136" s="13" t="inlineStr">
        <is>
          <t>Nutriente Garantido</t>
        </is>
      </c>
      <c r="G136" s="13" t="inlineStr">
        <is>
          <t>MO 0,01%</t>
        </is>
      </c>
      <c r="H136" s="13" t="inlineStr">
        <is>
          <t>Composição Nutricional Oficial (MO 0,01%)</t>
        </is>
      </c>
      <c r="I136" s="13" t="inlineStr">
        <is>
          <t>Fertilizante Mineral / Organomineral (Lei nº 6.894/1980)</t>
        </is>
      </c>
      <c r="J136" s="13" t="inlineStr">
        <is>
          <t>Nutrição Vegetal SIPEAGRO</t>
        </is>
      </c>
      <c r="K136" s="13" t="inlineStr">
        <is>
          <t>Fornecimento de macro e micronutrientes essenciais ao metabolismo vegetal</t>
        </is>
      </c>
      <c r="L136" s="18" t="n">
        <v>0.01</v>
      </c>
      <c r="M136" s="13" t="inlineStr">
        <is>
          <t>% m/m</t>
        </is>
      </c>
      <c r="N136" s="13" t="inlineStr">
        <is>
          <t>Registro Técnico Vinculado MAPA</t>
        </is>
      </c>
    </row>
    <row r="137" ht="22" customHeight="1">
      <c r="A137" s="6" t="inlineStr">
        <is>
          <t>CMP-0133</t>
        </is>
      </c>
      <c r="B137" s="5" t="n">
        <v>96</v>
      </c>
      <c r="C137" s="7" t="inlineStr">
        <is>
          <t>SIPEAGRO (UF-XXXXX)</t>
        </is>
      </c>
      <c r="D137" s="8" t="inlineStr">
        <is>
          <t>AGCN MAG ULTRA</t>
        </is>
      </c>
      <c r="E137" s="5" t="n">
        <v>8</v>
      </c>
      <c r="F137" s="7" t="inlineStr">
        <is>
          <t>Nutriente Garantido</t>
        </is>
      </c>
      <c r="G137" s="7" t="inlineStr">
        <is>
          <t>COT 6%</t>
        </is>
      </c>
      <c r="H137" s="7" t="inlineStr">
        <is>
          <t>Composição Nutricional Oficial (COT 6%)</t>
        </is>
      </c>
      <c r="I137" s="7" t="inlineStr">
        <is>
          <t>Fertilizante Mineral / Organomineral (Lei nº 6.894/1980)</t>
        </is>
      </c>
      <c r="J137" s="7" t="inlineStr">
        <is>
          <t>Nutrição Vegetal SIPEAGRO</t>
        </is>
      </c>
      <c r="K137" s="7" t="inlineStr">
        <is>
          <t>Fornecimento de macro e micronutrientes essenciais ao metabolismo vegetal</t>
        </is>
      </c>
      <c r="L137" s="9" t="n">
        <v>6</v>
      </c>
      <c r="M137" s="7" t="inlineStr">
        <is>
          <t>% m/m</t>
        </is>
      </c>
      <c r="N137" s="7" t="inlineStr">
        <is>
          <t>Registro Técnico Vinculado MAPA</t>
        </is>
      </c>
    </row>
    <row r="138" ht="22" customHeight="1">
      <c r="A138" s="12" t="inlineStr">
        <is>
          <t>CMP-0134</t>
        </is>
      </c>
      <c r="B138" s="11" t="n">
        <v>97</v>
      </c>
      <c r="C138" s="13" t="inlineStr">
        <is>
          <t>SIPEAGRO (UF-XXXXX)</t>
        </is>
      </c>
      <c r="D138" s="14" t="inlineStr">
        <is>
          <t>AGCN FULL ULTRA</t>
        </is>
      </c>
      <c r="E138" s="11" t="n">
        <v>1</v>
      </c>
      <c r="F138" s="13" t="inlineStr">
        <is>
          <t>Nutriente Garantido</t>
        </is>
      </c>
      <c r="G138" s="13" t="inlineStr">
        <is>
          <t>N15%</t>
        </is>
      </c>
      <c r="H138" s="13" t="inlineStr">
        <is>
          <t>Composição Nutricional Oficial (N15%)</t>
        </is>
      </c>
      <c r="I138" s="13" t="inlineStr">
        <is>
          <t>Fertilizante Mineral / Organomineral (Lei nº 6.894/1980)</t>
        </is>
      </c>
      <c r="J138" s="13" t="inlineStr">
        <is>
          <t>Nutrição Vegetal SIPEAGRO</t>
        </is>
      </c>
      <c r="K138" s="13" t="inlineStr">
        <is>
          <t>Fornecimento de macro e micronutrientes essenciais ao metabolismo vegetal</t>
        </is>
      </c>
      <c r="L138" s="15" t="n">
        <v>15</v>
      </c>
      <c r="M138" s="13" t="inlineStr">
        <is>
          <t>% m/m</t>
        </is>
      </c>
      <c r="N138" s="13" t="inlineStr">
        <is>
          <t>Registro Técnico Vinculado MAPA</t>
        </is>
      </c>
    </row>
    <row r="139" ht="22" customHeight="1">
      <c r="A139" s="6" t="inlineStr">
        <is>
          <t>CMP-0135</t>
        </is>
      </c>
      <c r="B139" s="5" t="n">
        <v>97</v>
      </c>
      <c r="C139" s="7" t="inlineStr">
        <is>
          <t>SIPEAGRO (UF-XXXXX)</t>
        </is>
      </c>
      <c r="D139" s="8" t="inlineStr">
        <is>
          <t>AGCN FULL ULTRA</t>
        </is>
      </c>
      <c r="E139" s="5" t="n">
        <v>2</v>
      </c>
      <c r="F139" s="7" t="inlineStr">
        <is>
          <t>Nutriente Garantido</t>
        </is>
      </c>
      <c r="G139" s="7" t="inlineStr">
        <is>
          <t>P5%</t>
        </is>
      </c>
      <c r="H139" s="7" t="inlineStr">
        <is>
          <t>Composição Nutricional Oficial (P5%)</t>
        </is>
      </c>
      <c r="I139" s="7" t="inlineStr">
        <is>
          <t>Fertilizante Mineral / Organomineral (Lei nº 6.894/1980)</t>
        </is>
      </c>
      <c r="J139" s="7" t="inlineStr">
        <is>
          <t>Nutrição Vegetal SIPEAGRO</t>
        </is>
      </c>
      <c r="K139" s="7" t="inlineStr">
        <is>
          <t>Fornecimento de macro e micronutrientes essenciais ao metabolismo vegetal</t>
        </is>
      </c>
      <c r="L139" s="9" t="n">
        <v>5</v>
      </c>
      <c r="M139" s="7" t="inlineStr">
        <is>
          <t>% m/m</t>
        </is>
      </c>
      <c r="N139" s="7" t="inlineStr">
        <is>
          <t>Registro Técnico Vinculado MAPA</t>
        </is>
      </c>
    </row>
    <row r="140" ht="22" customHeight="1">
      <c r="A140" s="12" t="inlineStr">
        <is>
          <t>CMP-0136</t>
        </is>
      </c>
      <c r="B140" s="11" t="n">
        <v>97</v>
      </c>
      <c r="C140" s="13" t="inlineStr">
        <is>
          <t>SIPEAGRO (UF-XXXXX)</t>
        </is>
      </c>
      <c r="D140" s="14" t="inlineStr">
        <is>
          <t>AGCN FULL ULTRA</t>
        </is>
      </c>
      <c r="E140" s="11" t="n">
        <v>3</v>
      </c>
      <c r="F140" s="13" t="inlineStr">
        <is>
          <t>Nutriente Garantido</t>
        </is>
      </c>
      <c r="G140" s="13" t="inlineStr">
        <is>
          <t>K2O 5%</t>
        </is>
      </c>
      <c r="H140" s="13" t="inlineStr">
        <is>
          <t>Composição Nutricional Oficial (K205%)</t>
        </is>
      </c>
      <c r="I140" s="13" t="inlineStr">
        <is>
          <t>Fertilizante Mineral / Organomineral (Lei nº 6.894/1980)</t>
        </is>
      </c>
      <c r="J140" s="13" t="inlineStr">
        <is>
          <t>Nutrição Vegetal SIPEAGRO</t>
        </is>
      </c>
      <c r="K140" s="13" t="inlineStr">
        <is>
          <t>Fornecimento de macro e micronutrientes essenciais ao metabolismo vegetal</t>
        </is>
      </c>
      <c r="L140" s="15" t="n">
        <v>5</v>
      </c>
      <c r="M140" s="13" t="inlineStr">
        <is>
          <t>% m/m</t>
        </is>
      </c>
      <c r="N140" s="13" t="inlineStr">
        <is>
          <t>Registro Técnico Vinculado MAPA</t>
        </is>
      </c>
    </row>
    <row r="141" ht="22" customHeight="1">
      <c r="A141" s="6" t="inlineStr">
        <is>
          <t>CMP-0137</t>
        </is>
      </c>
      <c r="B141" s="5" t="n">
        <v>97</v>
      </c>
      <c r="C141" s="7" t="inlineStr">
        <is>
          <t>SIPEAGRO (UF-XXXXX)</t>
        </is>
      </c>
      <c r="D141" s="8" t="inlineStr">
        <is>
          <t>AGCN FULL ULTRA</t>
        </is>
      </c>
      <c r="E141" s="5" t="n">
        <v>4</v>
      </c>
      <c r="F141" s="7" t="inlineStr">
        <is>
          <t>Nutriente Garantido</t>
        </is>
      </c>
      <c r="G141" s="7" t="inlineStr">
        <is>
          <t>CA1%</t>
        </is>
      </c>
      <c r="H141" s="7" t="inlineStr">
        <is>
          <t>Composição Nutricional Oficial (CA1%)</t>
        </is>
      </c>
      <c r="I141" s="7" t="inlineStr">
        <is>
          <t>Fertilizante Mineral / Organomineral (Lei nº 6.894/1980)</t>
        </is>
      </c>
      <c r="J141" s="7" t="inlineStr">
        <is>
          <t>Nutrição Vegetal SIPEAGRO</t>
        </is>
      </c>
      <c r="K141" s="7" t="inlineStr">
        <is>
          <t>Fornecimento de macro e micronutrientes essenciais ao metabolismo vegetal</t>
        </is>
      </c>
      <c r="L141" s="9" t="n">
        <v>1</v>
      </c>
      <c r="M141" s="7" t="inlineStr">
        <is>
          <t>% m/m</t>
        </is>
      </c>
      <c r="N141" s="7" t="inlineStr">
        <is>
          <t>Registro Técnico Vinculado MAPA</t>
        </is>
      </c>
    </row>
    <row r="142" ht="22" customHeight="1">
      <c r="A142" s="12" t="inlineStr">
        <is>
          <t>CMP-0138</t>
        </is>
      </c>
      <c r="B142" s="11" t="n">
        <v>97</v>
      </c>
      <c r="C142" s="13" t="inlineStr">
        <is>
          <t>SIPEAGRO (UF-XXXXX)</t>
        </is>
      </c>
      <c r="D142" s="14" t="inlineStr">
        <is>
          <t>AGCN FULL ULTRA</t>
        </is>
      </c>
      <c r="E142" s="11" t="n">
        <v>5</v>
      </c>
      <c r="F142" s="13" t="inlineStr">
        <is>
          <t>Nutriente Garantido</t>
        </is>
      </c>
      <c r="G142" s="13" t="inlineStr">
        <is>
          <t>MG1%</t>
        </is>
      </c>
      <c r="H142" s="13" t="inlineStr">
        <is>
          <t>Composição Nutricional Oficial (MG1%)</t>
        </is>
      </c>
      <c r="I142" s="13" t="inlineStr">
        <is>
          <t>Fertilizante Mineral / Organomineral (Lei nº 6.894/1980)</t>
        </is>
      </c>
      <c r="J142" s="13" t="inlineStr">
        <is>
          <t>Nutrição Vegetal SIPEAGRO</t>
        </is>
      </c>
      <c r="K142" s="13" t="inlineStr">
        <is>
          <t>Fornecimento de macro e micronutrientes essenciais ao metabolismo vegetal</t>
        </is>
      </c>
      <c r="L142" s="15" t="n">
        <v>1</v>
      </c>
      <c r="M142" s="13" t="inlineStr">
        <is>
          <t>% m/m</t>
        </is>
      </c>
      <c r="N142" s="13" t="inlineStr">
        <is>
          <t>Registro Técnico Vinculado MAPA</t>
        </is>
      </c>
    </row>
    <row r="143" ht="22" customHeight="1">
      <c r="A143" s="6" t="inlineStr">
        <is>
          <t>CMP-0139</t>
        </is>
      </c>
      <c r="B143" s="5" t="n">
        <v>97</v>
      </c>
      <c r="C143" s="7" t="inlineStr">
        <is>
          <t>SIPEAGRO (UF-XXXXX)</t>
        </is>
      </c>
      <c r="D143" s="8" t="inlineStr">
        <is>
          <t>AGCN FULL ULTRA</t>
        </is>
      </c>
      <c r="E143" s="5" t="n">
        <v>6</v>
      </c>
      <c r="F143" s="7" t="inlineStr">
        <is>
          <t>Nutriente Garantido</t>
        </is>
      </c>
      <c r="G143" s="7" t="inlineStr">
        <is>
          <t>B0,04%</t>
        </is>
      </c>
      <c r="H143" s="7" t="inlineStr">
        <is>
          <t>Composição Nutricional Oficial (B0,04%)</t>
        </is>
      </c>
      <c r="I143" s="7" t="inlineStr">
        <is>
          <t>Fertilizante Mineral / Organomineral (Lei nº 6.894/1980)</t>
        </is>
      </c>
      <c r="J143" s="7" t="inlineStr">
        <is>
          <t>Nutrição Vegetal SIPEAGRO</t>
        </is>
      </c>
      <c r="K143" s="7" t="inlineStr">
        <is>
          <t>Fornecimento de macro e micronutrientes essenciais ao metabolismo vegetal</t>
        </is>
      </c>
      <c r="L143" s="17" t="n">
        <v>0.04</v>
      </c>
      <c r="M143" s="7" t="inlineStr">
        <is>
          <t>% m/m</t>
        </is>
      </c>
      <c r="N143" s="7" t="inlineStr">
        <is>
          <t>Registro Técnico Vinculado MAPA</t>
        </is>
      </c>
    </row>
    <row r="144" ht="22" customHeight="1">
      <c r="A144" s="12" t="inlineStr">
        <is>
          <t>CMP-0140</t>
        </is>
      </c>
      <c r="B144" s="11" t="n">
        <v>97</v>
      </c>
      <c r="C144" s="13" t="inlineStr">
        <is>
          <t>SIPEAGRO (UF-XXXXX)</t>
        </is>
      </c>
      <c r="D144" s="14" t="inlineStr">
        <is>
          <t>AGCN FULL ULTRA</t>
        </is>
      </c>
      <c r="E144" s="11" t="n">
        <v>7</v>
      </c>
      <c r="F144" s="13" t="inlineStr">
        <is>
          <t>Nutriente Garantido</t>
        </is>
      </c>
      <c r="G144" s="13" t="inlineStr">
        <is>
          <t>COT</t>
        </is>
      </c>
      <c r="H144" s="13" t="inlineStr">
        <is>
          <t>Composição Nutricional Oficial (COT)</t>
        </is>
      </c>
      <c r="I144" s="13" t="inlineStr">
        <is>
          <t>Fertilizante Mineral / Organomineral (Lei nº 6.894/1980)</t>
        </is>
      </c>
      <c r="J144" s="13" t="inlineStr">
        <is>
          <t>Nutrição Vegetal SIPEAGRO</t>
        </is>
      </c>
      <c r="K144" s="13" t="inlineStr">
        <is>
          <t>Fornecimento de macro e micronutrientes essenciais ao metabolismo vegetal</t>
        </is>
      </c>
      <c r="L144" s="15" t="n">
        <v>8</v>
      </c>
      <c r="M144" s="13" t="inlineStr">
        <is>
          <t>% m/m</t>
        </is>
      </c>
      <c r="N144" s="13" t="inlineStr">
        <is>
          <t>Registro Técnico Vinculado MAPA</t>
        </is>
      </c>
    </row>
    <row r="145" ht="22" customHeight="1">
      <c r="A145" s="6" t="inlineStr">
        <is>
          <t>CMP-0141</t>
        </is>
      </c>
      <c r="B145" s="5" t="n">
        <v>97</v>
      </c>
      <c r="C145" s="7" t="inlineStr">
        <is>
          <t>SIPEAGRO (UF-XXXXX)</t>
        </is>
      </c>
      <c r="D145" s="8" t="inlineStr">
        <is>
          <t>AGCN FULL ULTRA</t>
        </is>
      </c>
      <c r="E145" s="5" t="n">
        <v>8</v>
      </c>
      <c r="F145" s="7" t="inlineStr">
        <is>
          <t>Nutriente Garantido</t>
        </is>
      </c>
      <c r="G145" s="7" t="inlineStr">
        <is>
          <t>4%EXT. ALGA</t>
        </is>
      </c>
      <c r="H145" s="7" t="inlineStr">
        <is>
          <t>Composição Nutricional Oficial (4%EXT. ALGA)</t>
        </is>
      </c>
      <c r="I145" s="7" t="inlineStr">
        <is>
          <t>Fertilizante Mineral / Organomineral (Lei nº 6.894/1980)</t>
        </is>
      </c>
      <c r="J145" s="7" t="inlineStr">
        <is>
          <t>Nutrição Vegetal SIPEAGRO</t>
        </is>
      </c>
      <c r="K145" s="7" t="inlineStr">
        <is>
          <t>Fornecimento de macro e micronutrientes essenciais ao metabolismo vegetal</t>
        </is>
      </c>
      <c r="L145" s="9" t="n">
        <v>4</v>
      </c>
      <c r="M145" s="7" t="inlineStr">
        <is>
          <t>% m/m</t>
        </is>
      </c>
      <c r="N145" s="7" t="inlineStr">
        <is>
          <t>Registro Técnico Vinculado MAPA</t>
        </is>
      </c>
    </row>
    <row r="146" ht="22" customHeight="1">
      <c r="A146" s="12" t="inlineStr">
        <is>
          <t>CMP-0142</t>
        </is>
      </c>
      <c r="B146" s="11" t="n">
        <v>98</v>
      </c>
      <c r="C146" s="13" t="inlineStr">
        <is>
          <t>ISENTO (ATO 104/2017)</t>
        </is>
      </c>
      <c r="D146" s="14" t="inlineStr">
        <is>
          <t>AGRICOIL CITRUS</t>
        </is>
      </c>
      <c r="E146" s="11" t="n">
        <v>1</v>
      </c>
      <c r="F146" s="13" t="inlineStr">
        <is>
          <t>Ingrediente Ativo Principal</t>
        </is>
      </c>
      <c r="G146" s="13" t="inlineStr">
        <is>
          <t>ÓLEO ESSENCIAL CÍTRICO (D-Limoneno 150 g/L + Tensoativos Emulsionantes)</t>
        </is>
      </c>
      <c r="H146" s="13" t="inlineStr">
        <is>
          <t>(4R)-1-methyl-4-(prop-1-en-2-yl)cyclohex-1-ene (D-Limonene)</t>
        </is>
      </c>
      <c r="I146" s="13" t="inlineStr">
        <is>
          <t>Adjuvante Natural Terpênico e Espalhante Adesivo</t>
        </is>
      </c>
      <c r="J146" s="13" t="inlineStr">
        <is>
          <t>Auxiliar de Tecnologia de Aplicação (Ato SDA 104/2017)</t>
        </is>
      </c>
      <c r="K146" s="13" t="inlineStr">
        <is>
          <t>Desestruturação da camada cerosa e otimização da deposição de gotas</t>
        </is>
      </c>
      <c r="L146" s="15" t="n">
        <v>150</v>
      </c>
      <c r="M146" s="13" t="inlineStr">
        <is>
          <t>g/L</t>
        </is>
      </c>
      <c r="N146" s="13" t="inlineStr">
        <is>
          <t>Registro Técnico Vinculado MAPA</t>
        </is>
      </c>
    </row>
    <row r="147" ht="22" customHeight="1">
      <c r="A147" s="6" t="inlineStr">
        <is>
          <t>CMP-0143</t>
        </is>
      </c>
      <c r="B147" s="5" t="n">
        <v>99</v>
      </c>
      <c r="C147" s="7" t="inlineStr">
        <is>
          <t>ISENTO (ATO 104/2017)</t>
        </is>
      </c>
      <c r="D147" s="8" t="inlineStr">
        <is>
          <t>AGRICOIL CITRUS</t>
        </is>
      </c>
      <c r="E147" s="5" t="n">
        <v>1</v>
      </c>
      <c r="F147" s="7" t="inlineStr">
        <is>
          <t>Ingrediente Ativo Principal</t>
        </is>
      </c>
      <c r="G147" s="7" t="inlineStr">
        <is>
          <t>ÓLEO ESSENCIAL CÍTRICO (D-Limoneno 150 g/L + Tensoativos Emulsionantes)</t>
        </is>
      </c>
      <c r="H147" s="7" t="inlineStr">
        <is>
          <t>(4R)-1-methyl-4-(prop-1-en-2-yl)cyclohex-1-ene (D-Limonene)</t>
        </is>
      </c>
      <c r="I147" s="7" t="inlineStr">
        <is>
          <t>Adjuvante Natural Terpênico e Espalhante Adesivo</t>
        </is>
      </c>
      <c r="J147" s="7" t="inlineStr">
        <is>
          <t>Auxiliar de Tecnologia de Aplicação (Ato SDA 104/2017)</t>
        </is>
      </c>
      <c r="K147" s="7" t="inlineStr">
        <is>
          <t>Desestruturação da camada cerosa e otimização da deposição de gotas</t>
        </is>
      </c>
      <c r="L147" s="9" t="n">
        <v>150</v>
      </c>
      <c r="M147" s="7" t="inlineStr">
        <is>
          <t>g/L</t>
        </is>
      </c>
      <c r="N147" s="7" t="inlineStr">
        <is>
          <t>Registro Técnico Vinculado MAPA</t>
        </is>
      </c>
    </row>
    <row r="148" ht="22" customHeight="1">
      <c r="A148" s="12" t="inlineStr">
        <is>
          <t>CMP-0144</t>
        </is>
      </c>
      <c r="B148" s="11" t="n">
        <v>100</v>
      </c>
      <c r="C148" s="13" t="inlineStr">
        <is>
          <t>ISENTO (ATO 104/2017)</t>
        </is>
      </c>
      <c r="D148" s="14" t="inlineStr">
        <is>
          <t>AGRICOIL MINERAL YPF</t>
        </is>
      </c>
      <c r="E148" s="11" t="n">
        <v>1</v>
      </c>
      <c r="F148" s="13" t="inlineStr">
        <is>
          <t>Ingrediente Ativo Principal</t>
        </is>
      </c>
      <c r="G148" s="13" t="inlineStr">
        <is>
          <t>ÓLEO MINERAL PARAFÍNICO (Hidrocarbonetos Alifáticos)</t>
        </is>
      </c>
      <c r="H148" s="13" t="inlineStr">
        <is>
          <t>Aliphatic hydrocarbons (Mineral paraffin oil)</t>
        </is>
      </c>
      <c r="I148" s="13" t="inlineStr">
        <is>
          <t>Adjuvante Espalhante e Antievaporante (Óleo Mineral)</t>
        </is>
      </c>
      <c r="J148" s="13" t="inlineStr">
        <is>
          <t>Auxiliar de Tecnologia de Aplicação (Ato SDA 104/2017)</t>
        </is>
      </c>
      <c r="K148" s="13" t="inlineStr">
        <is>
          <t>Redução de deriva, efeito antievaporante e penetração na cutícula foliar</t>
        </is>
      </c>
      <c r="L148" s="15" t="n">
        <v>800</v>
      </c>
      <c r="M148" s="13" t="inlineStr">
        <is>
          <t>g/L</t>
        </is>
      </c>
      <c r="N148" s="13" t="inlineStr">
        <is>
          <t>Registro Técnico Vinculado MAPA</t>
        </is>
      </c>
    </row>
    <row r="149" ht="22" customHeight="1">
      <c r="A149" s="6" t="inlineStr">
        <is>
          <t>CMP-0145</t>
        </is>
      </c>
      <c r="B149" s="5" t="n">
        <v>101</v>
      </c>
      <c r="C149" s="7" t="inlineStr">
        <is>
          <t>ISENTO (ATO 104/2017)</t>
        </is>
      </c>
      <c r="D149" s="8" t="inlineStr">
        <is>
          <t>AGRICOIL MINERAL</t>
        </is>
      </c>
      <c r="E149" s="5" t="n">
        <v>1</v>
      </c>
      <c r="F149" s="7" t="inlineStr">
        <is>
          <t>Ingrediente Ativo Principal</t>
        </is>
      </c>
      <c r="G149" s="7" t="inlineStr">
        <is>
          <t>ÓLEO MINERAL PARAFÍNICO (Hidrocarbonetos Alifáticos)</t>
        </is>
      </c>
      <c r="H149" s="7" t="inlineStr">
        <is>
          <t>Aliphatic hydrocarbons (Mineral paraffin oil)</t>
        </is>
      </c>
      <c r="I149" s="7" t="inlineStr">
        <is>
          <t>Adjuvante Espalhante e Antievaporante (Óleo Mineral)</t>
        </is>
      </c>
      <c r="J149" s="7" t="inlineStr">
        <is>
          <t>Auxiliar de Tecnologia de Aplicação (Ato SDA 104/2017)</t>
        </is>
      </c>
      <c r="K149" s="7" t="inlineStr">
        <is>
          <t>Redução de deriva, efeito antievaporante e penetração na cutícula foliar</t>
        </is>
      </c>
      <c r="L149" s="9" t="n">
        <v>800</v>
      </c>
      <c r="M149" s="7" t="inlineStr">
        <is>
          <t>g/L</t>
        </is>
      </c>
      <c r="N149" s="7" t="inlineStr">
        <is>
          <t>Registro Técnico Vinculado MAPA</t>
        </is>
      </c>
    </row>
    <row r="150" ht="22" customHeight="1">
      <c r="A150" s="12" t="inlineStr">
        <is>
          <t>CMP-0146</t>
        </is>
      </c>
      <c r="B150" s="11" t="n">
        <v>102</v>
      </c>
      <c r="C150" s="13" t="inlineStr">
        <is>
          <t>ISENTO (ATO 104/2017)</t>
        </is>
      </c>
      <c r="D150" s="14" t="inlineStr">
        <is>
          <t>AGRICOIL VEGETAL</t>
        </is>
      </c>
      <c r="E150" s="11" t="n">
        <v>1</v>
      </c>
      <c r="F150" s="13" t="inlineStr">
        <is>
          <t>Ingrediente Ativo Principal</t>
        </is>
      </c>
      <c r="G150" s="13" t="inlineStr">
        <is>
          <t>ÉSTER METÍLICO DE ÓLEO DE SOJA (Óleo Vegetal Metilado)</t>
        </is>
      </c>
      <c r="H150" s="13" t="inlineStr">
        <is>
          <t>Methyl soyate (Soybean oil, methylated)</t>
        </is>
      </c>
      <c r="I150" s="13" t="inlineStr">
        <is>
          <t>Adjuvante Espalhante Adesivo (Óleo Vegetal Metilado)</t>
        </is>
      </c>
      <c r="J150" s="13" t="inlineStr">
        <is>
          <t>Auxiliar de Tecnologia de Aplicação (Ato SDA 104/2017)</t>
        </is>
      </c>
      <c r="K150" s="13" t="inlineStr">
        <is>
          <t>Aumento da aderência, espalhamento e absorção translaminar da calda</t>
        </is>
      </c>
      <c r="L150" s="15" t="n">
        <v>720</v>
      </c>
      <c r="M150" s="13" t="inlineStr">
        <is>
          <t>g/L</t>
        </is>
      </c>
      <c r="N150" s="13" t="inlineStr">
        <is>
          <t>Registro Técnico Vinculado MAPA</t>
        </is>
      </c>
    </row>
    <row r="151" ht="22" customHeight="1">
      <c r="A151" s="6" t="inlineStr">
        <is>
          <t>CMP-0147</t>
        </is>
      </c>
      <c r="B151" s="5" t="n">
        <v>103</v>
      </c>
      <c r="C151" s="7" t="inlineStr">
        <is>
          <t>SIPEAGRO (UF-XXXXX)</t>
        </is>
      </c>
      <c r="D151" s="8" t="inlineStr">
        <is>
          <t>SAGERSOLOS FORCE</t>
        </is>
      </c>
      <c r="E151" s="5" t="n">
        <v>1</v>
      </c>
      <c r="F151" s="7" t="inlineStr">
        <is>
          <t>Nutriente Garantido</t>
        </is>
      </c>
      <c r="G151" s="7" t="inlineStr">
        <is>
          <t>COMPOSTO ORGANOMINERAL / AMINOACIDOS E MICRONUTRIENTES</t>
        </is>
      </c>
      <c r="H151" s="7" t="inlineStr">
        <is>
          <t>Composição Nutricional Oficial (COMPOSTO ORGANOMINERAL / AMINOACIDOS E MICRONUTRIENTES)</t>
        </is>
      </c>
      <c r="I151" s="7" t="inlineStr">
        <is>
          <t>Fertilizante Mineral / Organomineral (Lei nº 6.894/1980)</t>
        </is>
      </c>
      <c r="J151" s="7" t="inlineStr">
        <is>
          <t>Nutrição Vegetal SIPEAGRO</t>
        </is>
      </c>
      <c r="K151" s="7" t="inlineStr">
        <is>
          <t>Fornecimento de macro e micronutrientes essenciais ao metabolismo vegetal</t>
        </is>
      </c>
      <c r="L151" s="9" t="n">
        <v>100</v>
      </c>
      <c r="M151" s="7" t="inlineStr">
        <is>
          <t>% m/m</t>
        </is>
      </c>
      <c r="N151" s="7" t="inlineStr">
        <is>
          <t>Registro Técnico Vinculado MAPA</t>
        </is>
      </c>
    </row>
    <row r="152" ht="22" customHeight="1">
      <c r="A152" s="12" t="inlineStr">
        <is>
          <t>CMP-0148</t>
        </is>
      </c>
      <c r="B152" s="11" t="n">
        <v>104</v>
      </c>
      <c r="C152" s="13" t="inlineStr">
        <is>
          <t>SIPEAGRO (UF-XXXXX)</t>
        </is>
      </c>
      <c r="D152" s="14" t="inlineStr">
        <is>
          <t>SAGERSOLOS SINERGY</t>
        </is>
      </c>
      <c r="E152" s="11" t="n">
        <v>1</v>
      </c>
      <c r="F152" s="13" t="inlineStr">
        <is>
          <t>Nutriente Garantido</t>
        </is>
      </c>
      <c r="G152" s="13" t="inlineStr">
        <is>
          <t>COMPOSTO ORGANOMINERAL / AMINOACIDOS E MICRONUTRIENTES</t>
        </is>
      </c>
      <c r="H152" s="13" t="inlineStr">
        <is>
          <t>Composição Nutricional Oficial (COMPOSTO ORGANOMINERAL / AMINOACIDOS E MICRONUTRIENTES)</t>
        </is>
      </c>
      <c r="I152" s="13" t="inlineStr">
        <is>
          <t>Fertilizante Mineral / Organomineral (Lei nº 6.894/1980)</t>
        </is>
      </c>
      <c r="J152" s="13" t="inlineStr">
        <is>
          <t>Nutrição Vegetal SIPEAGRO</t>
        </is>
      </c>
      <c r="K152" s="13" t="inlineStr">
        <is>
          <t>Fornecimento de macro e micronutrientes essenciais ao metabolismo vegetal</t>
        </is>
      </c>
      <c r="L152" s="15" t="n">
        <v>100</v>
      </c>
      <c r="M152" s="13" t="inlineStr">
        <is>
          <t>% m/m</t>
        </is>
      </c>
      <c r="N152" s="13" t="inlineStr">
        <is>
          <t>Registro Técnico Vinculado MAPA</t>
        </is>
      </c>
    </row>
    <row r="153" ht="22" customHeight="1">
      <c r="A153" s="6" t="inlineStr">
        <is>
          <t>CMP-0149</t>
        </is>
      </c>
      <c r="B153" s="5" t="n">
        <v>105</v>
      </c>
      <c r="C153" s="7" t="inlineStr">
        <is>
          <t>Nº 2808</t>
        </is>
      </c>
      <c r="D153" s="8" t="inlineStr">
        <is>
          <t>TROPERO</t>
        </is>
      </c>
      <c r="E153" s="5" t="n">
        <v>1</v>
      </c>
      <c r="F153" s="7" t="inlineStr">
        <is>
          <t>Ingrediente Ativo Principal</t>
        </is>
      </c>
      <c r="G153" s="7" t="inlineStr">
        <is>
          <t>PICLORAM (Sal Triisopropanolamina 449 g/L — Eq. Ácido)</t>
        </is>
      </c>
      <c r="H153" s="7" t="inlineStr">
        <is>
          <t>4-amino-3,5,6-trichloropyridine-2-carboxylic acid</t>
        </is>
      </c>
      <c r="I153" s="7" t="inlineStr">
        <is>
          <t>Ácido piridinocarboxílico</t>
        </is>
      </c>
      <c r="J153" s="7" t="inlineStr">
        <is>
          <t>HRAC Grupo O (4) — Auxinas Sintéticas</t>
        </is>
      </c>
      <c r="K153" s="7" t="inlineStr">
        <is>
          <t>Mimetizadores de auxina sintética</t>
        </is>
      </c>
      <c r="L153" s="9" t="n">
        <v>240</v>
      </c>
      <c r="M153" s="7" t="inlineStr">
        <is>
          <t>g/L</t>
        </is>
      </c>
      <c r="N153" s="7" t="inlineStr">
        <is>
          <t>Picloram Técnico Corteva Vinculado MAPA</t>
        </is>
      </c>
    </row>
    <row r="154" ht="22" customHeight="1">
      <c r="A154" s="12" t="inlineStr">
        <is>
          <t>CMP-0150</t>
        </is>
      </c>
      <c r="B154" s="11" t="n">
        <v>106</v>
      </c>
      <c r="C154" s="13" t="inlineStr">
        <is>
          <t>Nº 14207</t>
        </is>
      </c>
      <c r="D154" s="14" t="inlineStr">
        <is>
          <t>TURUNA</t>
        </is>
      </c>
      <c r="E154" s="11" t="n">
        <v>1</v>
      </c>
      <c r="F154" s="13" t="inlineStr">
        <is>
          <t>Ingrediente Ativo Principal</t>
        </is>
      </c>
      <c r="G154" s="13" t="inlineStr">
        <is>
          <t>2,4-D (Sal Triisopropanolamina 458 g/L — Eq. Ácido)</t>
        </is>
      </c>
      <c r="H154" s="13" t="inlineStr">
        <is>
          <t>(2,4-dichlorophenoxy)acetic acid</t>
        </is>
      </c>
      <c r="I154" s="13" t="inlineStr">
        <is>
          <t>Ácido ariloxialcanoico</t>
        </is>
      </c>
      <c r="J154" s="13" t="inlineStr">
        <is>
          <t>HRAC Grupo O (4) — Auxinas Sintéticas</t>
        </is>
      </c>
      <c r="K154" s="13" t="inlineStr">
        <is>
          <t>Mimetizadores de auxina sintética</t>
        </is>
      </c>
      <c r="L154" s="15" t="n">
        <v>240</v>
      </c>
      <c r="M154" s="13" t="inlineStr">
        <is>
          <t>g/L</t>
        </is>
      </c>
      <c r="N154" s="13" t="inlineStr">
        <is>
          <t>2,4-D Técnico Vinculado MAPA</t>
        </is>
      </c>
    </row>
    <row r="155" ht="22" customHeight="1">
      <c r="A155" s="6" t="inlineStr">
        <is>
          <t>CMP-0151</t>
        </is>
      </c>
      <c r="B155" s="5" t="n">
        <v>106</v>
      </c>
      <c r="C155" s="7" t="inlineStr">
        <is>
          <t>Nº 14207</t>
        </is>
      </c>
      <c r="D155" s="8" t="inlineStr">
        <is>
          <t>TURUNA</t>
        </is>
      </c>
      <c r="E155" s="5" t="n">
        <v>2</v>
      </c>
      <c r="F155" s="7" t="inlineStr">
        <is>
          <t>Ingrediente Ativo Principal</t>
        </is>
      </c>
      <c r="G155" s="7" t="inlineStr">
        <is>
          <t>PICLORAM (Sal Triisopropanolamina 116 g/L — Eq. Ácido)</t>
        </is>
      </c>
      <c r="H155" s="7" t="inlineStr">
        <is>
          <t>4-amino-3,5,6-trichloropyridine-2-carboxylic acid</t>
        </is>
      </c>
      <c r="I155" s="7" t="inlineStr">
        <is>
          <t>Ácido piridinocarboxílico</t>
        </is>
      </c>
      <c r="J155" s="7" t="inlineStr">
        <is>
          <t>HRAC Grupo O (4) — Auxinas Sintéticas</t>
        </is>
      </c>
      <c r="K155" s="7" t="inlineStr">
        <is>
          <t>Mimetizadores de auxina sintética</t>
        </is>
      </c>
      <c r="L155" s="9" t="n">
        <v>64</v>
      </c>
      <c r="M155" s="7" t="inlineStr">
        <is>
          <t>g/L</t>
        </is>
      </c>
      <c r="N155" s="7" t="inlineStr">
        <is>
          <t>Picloram Técnico Vinculado MAPA</t>
        </is>
      </c>
    </row>
    <row r="156" ht="22" customHeight="1">
      <c r="A156" s="12" t="inlineStr">
        <is>
          <t>CMP-0152</t>
        </is>
      </c>
      <c r="B156" s="11" t="n">
        <v>107</v>
      </c>
      <c r="C156" s="13" t="inlineStr">
        <is>
          <t>Nº 13420</t>
        </is>
      </c>
      <c r="D156" s="14" t="inlineStr">
        <is>
          <t>APROACH POWER</t>
        </is>
      </c>
      <c r="E156" s="11" t="n">
        <v>1</v>
      </c>
      <c r="F156" s="13" t="inlineStr">
        <is>
          <t>Ingrediente Ativo Principal</t>
        </is>
      </c>
      <c r="G156" s="13" t="inlineStr">
        <is>
          <t>PICOXISTROBINA 90</t>
        </is>
      </c>
      <c r="H156" s="13" t="inlineStr">
        <is>
          <t>Methyl (E)-3-methoxy-2-{2-[6-(trifluoromethyl)-2-pyridyloxymethyl]phenyl}acrylate</t>
        </is>
      </c>
      <c r="I156" s="13" t="inlineStr">
        <is>
          <t>Estrobilurina (Metoxiacrilato)</t>
        </is>
      </c>
      <c r="J156" s="13" t="inlineStr">
        <is>
          <t>FRAC Grupo 11 (C3 — QoI)</t>
        </is>
      </c>
      <c r="K156" s="13" t="inlineStr">
        <is>
          <t>Inibidores da respiração mitocondrial no Complexo III (sítio Qo)</t>
        </is>
      </c>
      <c r="L156" s="15" t="n">
        <v>90</v>
      </c>
      <c r="M156" s="13" t="inlineStr">
        <is>
          <t>g/L</t>
        </is>
      </c>
      <c r="N156" s="13" t="inlineStr">
        <is>
          <t>Registro Técnico Vinculado MAPA</t>
        </is>
      </c>
    </row>
    <row r="157" ht="22" customHeight="1">
      <c r="A157" s="6" t="inlineStr">
        <is>
          <t>CMP-0153</t>
        </is>
      </c>
      <c r="B157" s="5" t="n">
        <v>107</v>
      </c>
      <c r="C157" s="7" t="inlineStr">
        <is>
          <t>Nº 13420</t>
        </is>
      </c>
      <c r="D157" s="8" t="inlineStr">
        <is>
          <t>APROACH POWER</t>
        </is>
      </c>
      <c r="E157" s="5" t="n">
        <v>2</v>
      </c>
      <c r="F157" s="7" t="inlineStr">
        <is>
          <t>Ingrediente Ativo Principal</t>
        </is>
      </c>
      <c r="G157" s="7" t="inlineStr">
        <is>
          <t>CIPROCONAZOL 40</t>
        </is>
      </c>
      <c r="H157" s="7" t="inlineStr">
        <is>
          <t>(2RS,3RS;2RS,3SR)-2-(4-chlorophenyl)-3-cyclopropyl-1-(1H-1,2,4-triazol-1-yl)butan-2-ol</t>
        </is>
      </c>
      <c r="I157" s="7" t="inlineStr">
        <is>
          <t>Triazol</t>
        </is>
      </c>
      <c r="J157" s="7" t="inlineStr">
        <is>
          <t>FRAC Grupo 3 (G1 — DMI)</t>
        </is>
      </c>
      <c r="K157" s="7" t="inlineStr">
        <is>
          <t>Inibidores da desmetilação do C14 na biossíntese do ergosterol</t>
        </is>
      </c>
      <c r="L157" s="9" t="n">
        <v>40</v>
      </c>
      <c r="M157" s="7" t="inlineStr">
        <is>
          <t>g/L</t>
        </is>
      </c>
      <c r="N157" s="7" t="inlineStr">
        <is>
          <t>Registro Técnico Vinculado MAPA</t>
        </is>
      </c>
    </row>
    <row r="158" ht="22" customHeight="1">
      <c r="A158" s="12" t="inlineStr">
        <is>
          <t>CMP-0154</t>
        </is>
      </c>
      <c r="B158" s="11" t="n">
        <v>108</v>
      </c>
      <c r="C158" s="13" t="inlineStr">
        <is>
          <t>Nº 1419</t>
        </is>
      </c>
      <c r="D158" s="14" t="inlineStr">
        <is>
          <t>TAURA 200 EC</t>
        </is>
      </c>
      <c r="E158" s="11" t="n">
        <v>1</v>
      </c>
      <c r="F158" s="13" t="inlineStr">
        <is>
          <t>Ingrediente Ativo Principal</t>
        </is>
      </c>
      <c r="G158" s="13" t="inlineStr">
        <is>
          <t>PIRIPROXIFEM 200</t>
        </is>
      </c>
      <c r="H158" s="13" t="inlineStr">
        <is>
          <t>4-phenoxyphenyl (RS)-2-(2-pyridyloxy)propyl ether</t>
        </is>
      </c>
      <c r="I158" s="13" t="inlineStr">
        <is>
          <t>Éter piridiloxipropílico</t>
        </is>
      </c>
      <c r="J158" s="13" t="inlineStr">
        <is>
          <t>IRAC Grupo 7C</t>
        </is>
      </c>
      <c r="K158" s="13" t="inlineStr">
        <is>
          <t>Mimetizadores do hormônio juvenil (Juvenoides)</t>
        </is>
      </c>
      <c r="L158" s="15" t="n">
        <v>200</v>
      </c>
      <c r="M158" s="13" t="inlineStr">
        <is>
          <t>g/L</t>
        </is>
      </c>
      <c r="N158" s="13" t="inlineStr">
        <is>
          <t>Registro Técnico Vinculado MAPA</t>
        </is>
      </c>
    </row>
    <row r="159" ht="22" customHeight="1">
      <c r="A159" s="6" t="inlineStr">
        <is>
          <t>CMP-0155</t>
        </is>
      </c>
      <c r="B159" s="5" t="n">
        <v>109</v>
      </c>
      <c r="C159" s="7" t="inlineStr">
        <is>
          <t>SIPEAGRO (UF-XXXXX)</t>
        </is>
      </c>
      <c r="D159" s="8" t="inlineStr">
        <is>
          <t>AGRIGENTO KIESER</t>
        </is>
      </c>
      <c r="E159" s="5" t="n">
        <v>1</v>
      </c>
      <c r="F159" s="7" t="inlineStr">
        <is>
          <t>Nutriente Garantido</t>
        </is>
      </c>
      <c r="G159" s="7" t="inlineStr">
        <is>
          <t>KIESERITA / SULFATO DE MAGNESIO (MG 16%</t>
        </is>
      </c>
      <c r="H159" s="7" t="inlineStr">
        <is>
          <t>Composição Nutricional Oficial (KIESERITA / SULFATO DE MAGNESIO (MG 16%)</t>
        </is>
      </c>
      <c r="I159" s="7" t="inlineStr">
        <is>
          <t>Fertilizante Mineral / Organomineral (Lei nº 6.894/1980)</t>
        </is>
      </c>
      <c r="J159" s="7" t="inlineStr">
        <is>
          <t>Nutrição Vegetal SIPEAGRO</t>
        </is>
      </c>
      <c r="K159" s="7" t="inlineStr">
        <is>
          <t>Fornecimento de macro e micronutrientes essenciais ao metabolismo vegetal</t>
        </is>
      </c>
      <c r="L159" s="9" t="n">
        <v>16</v>
      </c>
      <c r="M159" s="7" t="inlineStr">
        <is>
          <t>% m/m</t>
        </is>
      </c>
      <c r="N159" s="7" t="inlineStr">
        <is>
          <t>Registro Técnico Vinculado MAPA</t>
        </is>
      </c>
    </row>
    <row r="160" ht="22" customHeight="1">
      <c r="A160" s="12" t="inlineStr">
        <is>
          <t>CMP-0156</t>
        </is>
      </c>
      <c r="B160" s="11" t="n">
        <v>109</v>
      </c>
      <c r="C160" s="13" t="inlineStr">
        <is>
          <t>SIPEAGRO (UF-XXXXX)</t>
        </is>
      </c>
      <c r="D160" s="14" t="inlineStr">
        <is>
          <t>AGRIGENTO KIESER</t>
        </is>
      </c>
      <c r="E160" s="11" t="n">
        <v>2</v>
      </c>
      <c r="F160" s="13" t="inlineStr">
        <is>
          <t>Nutriente Garantido</t>
        </is>
      </c>
      <c r="G160" s="13" t="inlineStr">
        <is>
          <t>S 13%)</t>
        </is>
      </c>
      <c r="H160" s="13" t="inlineStr">
        <is>
          <t>Composição Nutricional Oficial (S 13%))</t>
        </is>
      </c>
      <c r="I160" s="13" t="inlineStr">
        <is>
          <t>Fertilizante Mineral / Organomineral (Lei nº 6.894/1980)</t>
        </is>
      </c>
      <c r="J160" s="13" t="inlineStr">
        <is>
          <t>Nutrição Vegetal SIPEAGRO</t>
        </is>
      </c>
      <c r="K160" s="13" t="inlineStr">
        <is>
          <t>Fornecimento de macro e micronutrientes essenciais ao metabolismo vegetal</t>
        </is>
      </c>
      <c r="L160" s="15" t="n">
        <v>13</v>
      </c>
      <c r="M160" s="13" t="inlineStr">
        <is>
          <t>% m/m</t>
        </is>
      </c>
      <c r="N160" s="13" t="inlineStr">
        <is>
          <t>Registro Técnico Vinculado MAPA</t>
        </is>
      </c>
    </row>
    <row r="161" ht="22" customHeight="1">
      <c r="A161" s="6" t="inlineStr">
        <is>
          <t>CMP-0157</t>
        </is>
      </c>
      <c r="B161" s="5" t="n">
        <v>110</v>
      </c>
      <c r="C161" s="7" t="inlineStr">
        <is>
          <t>Nº 8215</t>
        </is>
      </c>
      <c r="D161" s="8" t="inlineStr">
        <is>
          <t>FEZAN GOLD</t>
        </is>
      </c>
      <c r="E161" s="5" t="n">
        <v>1</v>
      </c>
      <c r="F161" s="7" t="inlineStr">
        <is>
          <t>Ingrediente Ativo Principal</t>
        </is>
      </c>
      <c r="G161" s="7" t="inlineStr">
        <is>
          <t>TEBUCONAZOL 50</t>
        </is>
      </c>
      <c r="H161" s="7" t="inlineStr">
        <is>
          <t>(RS)-1-p-chlorophenyl-4,4-dimethyl-3-(1H-1,2,4-triazol-1-ylmethyl)pentan-3-ol</t>
        </is>
      </c>
      <c r="I161" s="7" t="inlineStr">
        <is>
          <t>Triazol</t>
        </is>
      </c>
      <c r="J161" s="7" t="inlineStr">
        <is>
          <t>FRAC Grupo 3 (DMI)</t>
        </is>
      </c>
      <c r="K161" s="7" t="inlineStr">
        <is>
          <t>Inibidores da desmetilação de C14 na biossíntese de ergosterol</t>
        </is>
      </c>
      <c r="L161" s="9" t="n">
        <v>50</v>
      </c>
      <c r="M161" s="7" t="inlineStr">
        <is>
          <t>g/L</t>
        </is>
      </c>
      <c r="N161" s="7" t="inlineStr">
        <is>
          <t>Registro Técnico Vinculado MAPA</t>
        </is>
      </c>
    </row>
    <row r="162" ht="22" customHeight="1">
      <c r="A162" s="12" t="inlineStr">
        <is>
          <t>CMP-0158</t>
        </is>
      </c>
      <c r="B162" s="11" t="n">
        <v>110</v>
      </c>
      <c r="C162" s="13" t="inlineStr">
        <is>
          <t>Nº 8215</t>
        </is>
      </c>
      <c r="D162" s="14" t="inlineStr">
        <is>
          <t>FEZAN GOLD</t>
        </is>
      </c>
      <c r="E162" s="11" t="n">
        <v>2</v>
      </c>
      <c r="F162" s="13" t="inlineStr">
        <is>
          <t>Ingrediente Ativo Principal</t>
        </is>
      </c>
      <c r="G162" s="13" t="inlineStr">
        <is>
          <t>CLOROTALONIL 450</t>
        </is>
      </c>
      <c r="H162" s="13" t="inlineStr">
        <is>
          <t>Tetrachloroisophthalonitrile</t>
        </is>
      </c>
      <c r="I162" s="13" t="inlineStr">
        <is>
          <t>Isoftalonitrila</t>
        </is>
      </c>
      <c r="J162" s="13" t="inlineStr">
        <is>
          <t>FRAC Grupo M05 — Multissítio</t>
        </is>
      </c>
      <c r="K162" s="13" t="inlineStr">
        <is>
          <t>Atividade de contato multissítio (inativação de grupos tiol enzimáticos)</t>
        </is>
      </c>
      <c r="L162" s="15" t="n">
        <v>450</v>
      </c>
      <c r="M162" s="13" t="inlineStr">
        <is>
          <t>g/L</t>
        </is>
      </c>
      <c r="N162" s="13" t="inlineStr">
        <is>
          <t>Registro Técnico Vinculado MAPA</t>
        </is>
      </c>
    </row>
    <row r="163" ht="22" customHeight="1">
      <c r="A163" s="6" t="inlineStr">
        <is>
          <t>CMP-0159</t>
        </is>
      </c>
      <c r="B163" s="5" t="n">
        <v>111</v>
      </c>
      <c r="C163" s="7" t="inlineStr">
        <is>
          <t>Nº 20920</t>
        </is>
      </c>
      <c r="D163" s="8" t="inlineStr">
        <is>
          <t>CLICK</t>
        </is>
      </c>
      <c r="E163" s="5" t="n">
        <v>1</v>
      </c>
      <c r="F163" s="7" t="inlineStr">
        <is>
          <t>Ingrediente Ativo Principal</t>
        </is>
      </c>
      <c r="G163" s="7" t="inlineStr">
        <is>
          <t>TERBUTILAZINA 500</t>
        </is>
      </c>
      <c r="H163" s="7" t="inlineStr">
        <is>
          <t>N2-tert-butyl-6-chloro-N4-ethyl-1,3,5-triazine-2,4-diamine</t>
        </is>
      </c>
      <c r="I163" s="7" t="inlineStr">
        <is>
          <t>Triazina (Clorotriazina)</t>
        </is>
      </c>
      <c r="J163" s="7" t="inlineStr">
        <is>
          <t>HRAC Grupo C1 (5) — Inibidores do Fotossistema II</t>
        </is>
      </c>
      <c r="K163" s="7" t="inlineStr">
        <is>
          <t>Inibição do transporte de elétrons no Fotossistema II</t>
        </is>
      </c>
      <c r="L163" s="9" t="n">
        <v>500</v>
      </c>
      <c r="M163" s="7" t="inlineStr">
        <is>
          <t>g/L</t>
        </is>
      </c>
      <c r="N163" s="7" t="inlineStr">
        <is>
          <t>Registro Técnico Vinculado MAPA</t>
        </is>
      </c>
    </row>
    <row r="164" ht="22" customHeight="1">
      <c r="A164" s="12" t="inlineStr">
        <is>
          <t>CMP-0160</t>
        </is>
      </c>
      <c r="B164" s="11" t="n">
        <v>112</v>
      </c>
      <c r="C164" s="13" t="inlineStr">
        <is>
          <t>Nº 238904</t>
        </is>
      </c>
      <c r="D164" s="14" t="inlineStr">
        <is>
          <t>SUPPORT</t>
        </is>
      </c>
      <c r="E164" s="11" t="n">
        <v>1</v>
      </c>
      <c r="F164" s="13" t="inlineStr">
        <is>
          <t>Ingrediente Ativo Principal</t>
        </is>
      </c>
      <c r="G164" s="13" t="inlineStr">
        <is>
          <t>TIOFANATO METILICO 500</t>
        </is>
      </c>
      <c r="H164" s="13" t="inlineStr">
        <is>
          <t>Dimethyl 4,4'-(o-phenylene)bis(3-thioallophanate)</t>
        </is>
      </c>
      <c r="I164" s="13" t="inlineStr">
        <is>
          <t>Benzimidazol (Precursor de MBC)</t>
        </is>
      </c>
      <c r="J164" s="13" t="inlineStr">
        <is>
          <t>FRAC Grupo 1 (MBC)</t>
        </is>
      </c>
      <c r="K164" s="13" t="inlineStr">
        <is>
          <t>Inibidores da montagem de beta-tubulina na mitose celular</t>
        </is>
      </c>
      <c r="L164" s="15" t="n">
        <v>500</v>
      </c>
      <c r="M164" s="13" t="inlineStr">
        <is>
          <t>g/L</t>
        </is>
      </c>
      <c r="N164" s="13" t="inlineStr">
        <is>
          <t>Registro Técnico Vinculado MAPA</t>
        </is>
      </c>
    </row>
    <row r="165" ht="22" customHeight="1">
      <c r="A165" s="6" t="inlineStr">
        <is>
          <t>CMP-0161</t>
        </is>
      </c>
      <c r="B165" s="5" t="n">
        <v>113</v>
      </c>
      <c r="C165" s="7" t="inlineStr">
        <is>
          <t>SIPEAGRO (UF-XXXXX)</t>
        </is>
      </c>
      <c r="D165" s="8" t="inlineStr">
        <is>
          <t>AGCN ZINCO ULTRA</t>
        </is>
      </c>
      <c r="E165" s="5" t="n">
        <v>1</v>
      </c>
      <c r="F165" s="7" t="inlineStr">
        <is>
          <t>Nutriente Garantido</t>
        </is>
      </c>
      <c r="G165" s="7" t="inlineStr">
        <is>
          <t>ZN 43%</t>
        </is>
      </c>
      <c r="H165" s="7" t="inlineStr">
        <is>
          <t>Composição Nutricional Oficial (ZN 43%)</t>
        </is>
      </c>
      <c r="I165" s="7" t="inlineStr">
        <is>
          <t>Fertilizante Mineral / Organomineral (Lei nº 6.894/1980)</t>
        </is>
      </c>
      <c r="J165" s="7" t="inlineStr">
        <is>
          <t>Nutrição Vegetal SIPEAGRO</t>
        </is>
      </c>
      <c r="K165" s="7" t="inlineStr">
        <is>
          <t>Fornecimento de macro e micronutrientes essenciais ao metabolismo vegetal</t>
        </is>
      </c>
      <c r="L165" s="9" t="n">
        <v>43</v>
      </c>
      <c r="M165" s="7" t="inlineStr">
        <is>
          <t>% m/m</t>
        </is>
      </c>
      <c r="N165" s="7" t="inlineStr">
        <is>
          <t>Registro Técnico Vinculado MAPA</t>
        </is>
      </c>
    </row>
    <row r="166" ht="22" customHeight="1">
      <c r="A166" s="12" t="inlineStr">
        <is>
          <t>CMP-0162</t>
        </is>
      </c>
      <c r="B166" s="11" t="n">
        <v>114</v>
      </c>
      <c r="C166" s="13" t="inlineStr">
        <is>
          <t>SIPEAGRO (UF-XXXXX)</t>
        </is>
      </c>
      <c r="D166" s="14" t="inlineStr">
        <is>
          <t>AGCN ZINCO ULTRA</t>
        </is>
      </c>
      <c r="E166" s="11" t="n">
        <v>1</v>
      </c>
      <c r="F166" s="13" t="inlineStr">
        <is>
          <t>Nutriente Garantido</t>
        </is>
      </c>
      <c r="G166" s="13" t="inlineStr">
        <is>
          <t>ZN 43%</t>
        </is>
      </c>
      <c r="H166" s="13" t="inlineStr">
        <is>
          <t>Composição Nutricional Oficial (ZN 43%)</t>
        </is>
      </c>
      <c r="I166" s="13" t="inlineStr">
        <is>
          <t>Fertilizante Mineral / Organomineral (Lei nº 6.894/1980)</t>
        </is>
      </c>
      <c r="J166" s="13" t="inlineStr">
        <is>
          <t>Nutrição Vegetal SIPEAGRO</t>
        </is>
      </c>
      <c r="K166" s="13" t="inlineStr">
        <is>
          <t>Fornecimento de macro e micronutrientes essenciais ao metabolismo vegetal</t>
        </is>
      </c>
      <c r="L166" s="15" t="n">
        <v>43</v>
      </c>
      <c r="M166" s="13" t="inlineStr">
        <is>
          <t>% m/m</t>
        </is>
      </c>
      <c r="N166" s="13" t="inlineStr">
        <is>
          <t>Registro Técnico Vinculado MAPA</t>
        </is>
      </c>
    </row>
    <row r="167" ht="22" customHeight="1">
      <c r="A167" s="6" t="inlineStr">
        <is>
          <t>CMP-0163</t>
        </is>
      </c>
      <c r="B167" s="5" t="n">
        <v>115</v>
      </c>
      <c r="C167" s="7" t="inlineStr">
        <is>
          <t>SIPEAGRO (UF-XXXXX)</t>
        </is>
      </c>
      <c r="D167" s="8" t="inlineStr">
        <is>
          <t>AGCN ZINCO ULTRA</t>
        </is>
      </c>
      <c r="E167" s="5" t="n">
        <v>1</v>
      </c>
      <c r="F167" s="7" t="inlineStr">
        <is>
          <t>Nutriente Garantido</t>
        </is>
      </c>
      <c r="G167" s="7" t="inlineStr">
        <is>
          <t>ZN 43%</t>
        </is>
      </c>
      <c r="H167" s="7" t="inlineStr">
        <is>
          <t>Composição Nutricional Oficial (ZN 43%)</t>
        </is>
      </c>
      <c r="I167" s="7" t="inlineStr">
        <is>
          <t>Fertilizante Mineral / Organomineral (Lei nº 6.894/1980)</t>
        </is>
      </c>
      <c r="J167" s="7" t="inlineStr">
        <is>
          <t>Nutrição Vegetal SIPEAGRO</t>
        </is>
      </c>
      <c r="K167" s="7" t="inlineStr">
        <is>
          <t>Fornecimento de macro e micronutrientes essenciais ao metabolismo vegetal</t>
        </is>
      </c>
      <c r="L167" s="9" t="n">
        <v>43</v>
      </c>
      <c r="M167" s="7" t="inlineStr">
        <is>
          <t>% m/m</t>
        </is>
      </c>
      <c r="N167" s="7" t="inlineStr">
        <is>
          <t>Registro Técnico Vinculado MAPA</t>
        </is>
      </c>
    </row>
    <row r="168" ht="22" customHeight="1">
      <c r="A168" s="12" t="inlineStr">
        <is>
          <t>CMP-0164</t>
        </is>
      </c>
      <c r="B168" s="11" t="n">
        <v>116</v>
      </c>
      <c r="C168" s="13" t="inlineStr">
        <is>
          <t>SIPEAGRO (UF-XXXXX)</t>
        </is>
      </c>
      <c r="D168" s="14" t="inlineStr">
        <is>
          <t>SOLO AGRI S90 120</t>
        </is>
      </c>
      <c r="E168" s="11" t="n">
        <v>1</v>
      </c>
      <c r="F168" s="13" t="inlineStr">
        <is>
          <t>Ingrediente Ativo Principal</t>
        </is>
      </c>
      <c r="G168" s="13" t="inlineStr">
        <is>
          <t>ENXOFRE PASTILHADO 90%</t>
        </is>
      </c>
      <c r="H168" s="13" t="inlineStr">
        <is>
          <t>Corretivo / Condicionador Mineral (ENXOFRE PASTILHADO 90%)</t>
        </is>
      </c>
      <c r="I168" s="13" t="inlineStr">
        <is>
          <t>Corretivo de Acidez / Condicionador de Solo (SIPEAGRO)</t>
        </is>
      </c>
      <c r="J168" s="13" t="inlineStr">
        <is>
          <t>Correção Química de Solo</t>
        </is>
      </c>
      <c r="K168" s="13" t="inlineStr">
        <is>
          <t>Neutralização de Al3+ tóxico e fornecimento de Ca2+, Mg2+, S ou B</t>
        </is>
      </c>
      <c r="L168" s="15" t="n">
        <v>90</v>
      </c>
      <c r="M168" s="13" t="inlineStr">
        <is>
          <t>% m/m</t>
        </is>
      </c>
      <c r="N168" s="13" t="inlineStr">
        <is>
          <t>Registro Técnico Vinculado MAPA</t>
        </is>
      </c>
    </row>
    <row r="169" ht="22" customHeight="1">
      <c r="A169" s="6" t="inlineStr">
        <is>
          <t>CMP-0165</t>
        </is>
      </c>
      <c r="B169" s="5" t="n">
        <v>116</v>
      </c>
      <c r="C169" s="7" t="inlineStr">
        <is>
          <t>SIPEAGRO (UF-XXXXX)</t>
        </is>
      </c>
      <c r="D169" s="8" t="inlineStr">
        <is>
          <t>SOLO AGRI S90 120</t>
        </is>
      </c>
      <c r="E169" s="5" t="n">
        <v>2</v>
      </c>
      <c r="F169" s="7" t="inlineStr">
        <is>
          <t>Ingrediente Ativo Principal</t>
        </is>
      </c>
      <c r="G169" s="7" t="inlineStr">
        <is>
          <t>BENTONITA 10%</t>
        </is>
      </c>
      <c r="H169" s="7" t="inlineStr">
        <is>
          <t>Corretivo / Condicionador Mineral (BENTONITA 10%)</t>
        </is>
      </c>
      <c r="I169" s="7" t="inlineStr">
        <is>
          <t>Corretivo de Acidez / Condicionador de Solo (SIPEAGRO)</t>
        </is>
      </c>
      <c r="J169" s="7" t="inlineStr">
        <is>
          <t>Correção Química de Solo</t>
        </is>
      </c>
      <c r="K169" s="7" t="inlineStr">
        <is>
          <t>Neutralização de Al3+ tóxico e fornecimento de Ca2+, Mg2+, S ou B</t>
        </is>
      </c>
      <c r="L169" s="9" t="n">
        <v>10</v>
      </c>
      <c r="M169" s="7" t="inlineStr">
        <is>
          <t>% m/m</t>
        </is>
      </c>
      <c r="N169" s="7" t="inlineStr">
        <is>
          <t>Registro Técnico Vinculado MAPA</t>
        </is>
      </c>
    </row>
    <row r="170" ht="22" customHeight="1">
      <c r="A170" s="12" t="inlineStr">
        <is>
          <t>CMP-0166</t>
        </is>
      </c>
      <c r="B170" s="11" t="n">
        <v>117</v>
      </c>
      <c r="C170" s="13" t="inlineStr">
        <is>
          <t>SIPEAGRO (UF-XXXXX)</t>
        </is>
      </c>
      <c r="D170" s="14" t="inlineStr">
        <is>
          <t>ULEXITA 100</t>
        </is>
      </c>
      <c r="E170" s="11" t="n">
        <v>1</v>
      </c>
      <c r="F170" s="13" t="inlineStr">
        <is>
          <t>Ingrediente Ativo Principal</t>
        </is>
      </c>
      <c r="G170" s="13" t="inlineStr">
        <is>
          <t>BORO 10% - ULEXITA</t>
        </is>
      </c>
      <c r="H170" s="13" t="inlineStr">
        <is>
          <t>Corretivo / Condicionador Mineral (BORO 10% - ULEXITA)</t>
        </is>
      </c>
      <c r="I170" s="13" t="inlineStr">
        <is>
          <t>Corretivo de Acidez / Condicionador de Solo (SIPEAGRO)</t>
        </is>
      </c>
      <c r="J170" s="13" t="inlineStr">
        <is>
          <t>Correção Química de Solo</t>
        </is>
      </c>
      <c r="K170" s="13" t="inlineStr">
        <is>
          <t>Neutralização de Al3+ tóxico e fornecimento de Ca2+, Mg2+, S ou B</t>
        </is>
      </c>
      <c r="L170" s="15" t="n">
        <v>10</v>
      </c>
      <c r="M170" s="13" t="inlineStr">
        <is>
          <t>% m/m</t>
        </is>
      </c>
      <c r="N170" s="13" t="inlineStr">
        <is>
          <t>Registro Técnico Vinculado MAPA</t>
        </is>
      </c>
    </row>
    <row r="171" ht="22" customHeight="1">
      <c r="A171" s="6" t="inlineStr">
        <is>
          <t>CMP-0167</t>
        </is>
      </c>
      <c r="B171" s="5" t="n">
        <v>118</v>
      </c>
      <c r="C171" s="7" t="inlineStr">
        <is>
          <t>Nº 6922</t>
        </is>
      </c>
      <c r="D171" s="8" t="inlineStr">
        <is>
          <t>COFENRIN</t>
        </is>
      </c>
      <c r="E171" s="5" t="n">
        <v>1</v>
      </c>
      <c r="F171" s="7" t="inlineStr">
        <is>
          <t>Ingrediente Ativo Principal</t>
        </is>
      </c>
      <c r="G171" s="7" t="inlineStr">
        <is>
          <t>BIFENTRINA 400</t>
        </is>
      </c>
      <c r="H171" s="7" t="inlineStr">
        <is>
          <t>2-methylbiphenyl-3-ylmethyl (Z)-(1RS,3RS)-3-(2-chloro-3,3,3-trifluoroprop-1-enyl)-2,2-dimethylcyclopropanecarboxylate</t>
        </is>
      </c>
      <c r="I171" s="7" t="inlineStr">
        <is>
          <t>Piretroide (Tipo I)</t>
        </is>
      </c>
      <c r="J171" s="7" t="inlineStr">
        <is>
          <t>IRAC Grupo 3A</t>
        </is>
      </c>
      <c r="K171" s="7" t="inlineStr">
        <is>
          <t>Moduladores de canais de sódio em membranas nervosas</t>
        </is>
      </c>
      <c r="L171" s="9" t="n">
        <v>400</v>
      </c>
      <c r="M171" s="7" t="inlineStr">
        <is>
          <t>g/L</t>
        </is>
      </c>
      <c r="N171" s="7" t="inlineStr">
        <is>
          <t>Registro Técnico Vinculado MAPA</t>
        </is>
      </c>
    </row>
    <row r="172" ht="22" customHeight="1">
      <c r="A172" s="12" t="inlineStr">
        <is>
          <t>CMP-0168</t>
        </is>
      </c>
      <c r="B172" s="11" t="n">
        <v>119</v>
      </c>
      <c r="C172" s="13" t="inlineStr">
        <is>
          <t>Nº 8311</t>
        </is>
      </c>
      <c r="D172" s="14" t="inlineStr">
        <is>
          <t>ACEHERO</t>
        </is>
      </c>
      <c r="E172" s="11" t="n">
        <v>1</v>
      </c>
      <c r="F172" s="13" t="inlineStr">
        <is>
          <t>Ingrediente Ativo Principal</t>
        </is>
      </c>
      <c r="G172" s="13" t="inlineStr">
        <is>
          <t>ACEFATO 750</t>
        </is>
      </c>
      <c r="H172" s="13" t="inlineStr">
        <is>
          <t>O,S-dimethyl acetylphosphoramidothioate</t>
        </is>
      </c>
      <c r="I172" s="13" t="inlineStr">
        <is>
          <t>Organofosforado</t>
        </is>
      </c>
      <c r="J172" s="13" t="inlineStr">
        <is>
          <t>IRAC Grupo 1B</t>
        </is>
      </c>
      <c r="K172" s="13" t="inlineStr">
        <is>
          <t>Inibidores da enzima acetilcolinesterase (AChE)</t>
        </is>
      </c>
      <c r="L172" s="15" t="n">
        <v>750</v>
      </c>
      <c r="M172" s="13" t="inlineStr">
        <is>
          <t>g/kg</t>
        </is>
      </c>
      <c r="N172" s="13" t="inlineStr">
        <is>
          <t>Registro Técnico Vinculado MAPA</t>
        </is>
      </c>
    </row>
    <row r="173" ht="22" customHeight="1">
      <c r="A173" s="6" t="inlineStr">
        <is>
          <t>CMP-0169</t>
        </is>
      </c>
      <c r="B173" s="5" t="n">
        <v>120</v>
      </c>
      <c r="C173" s="7" t="inlineStr">
        <is>
          <t>Nº 4623</t>
        </is>
      </c>
      <c r="D173" s="8" t="inlineStr">
        <is>
          <t>WEXITE</t>
        </is>
      </c>
      <c r="E173" s="5" t="n">
        <v>1</v>
      </c>
      <c r="F173" s="7" t="inlineStr">
        <is>
          <t>Ingrediente Ativo Principal</t>
        </is>
      </c>
      <c r="G173" s="7" t="inlineStr">
        <is>
          <t>ACEFATO 970</t>
        </is>
      </c>
      <c r="H173" s="7" t="inlineStr">
        <is>
          <t>O,S-dimethyl acetylphosphoramidothioate</t>
        </is>
      </c>
      <c r="I173" s="7" t="inlineStr">
        <is>
          <t>Organofosforado</t>
        </is>
      </c>
      <c r="J173" s="7" t="inlineStr">
        <is>
          <t>IRAC Grupo 1B</t>
        </is>
      </c>
      <c r="K173" s="7" t="inlineStr">
        <is>
          <t>Inibidores da enzima acetilcolinesterase (AChE)</t>
        </is>
      </c>
      <c r="L173" s="9" t="n">
        <v>970</v>
      </c>
      <c r="M173" s="7" t="inlineStr">
        <is>
          <t>g/kg</t>
        </is>
      </c>
      <c r="N173" s="7" t="inlineStr">
        <is>
          <t>Registro Técnico Vinculado MAPA</t>
        </is>
      </c>
    </row>
    <row r="174" ht="22" customHeight="1">
      <c r="A174" s="12" t="inlineStr">
        <is>
          <t>CMP-0170</t>
        </is>
      </c>
      <c r="B174" s="11" t="n">
        <v>121</v>
      </c>
      <c r="C174" s="13" t="inlineStr">
        <is>
          <t>Nº 0422</t>
        </is>
      </c>
      <c r="D174" s="14" t="inlineStr">
        <is>
          <t>XEQUE MATE HT</t>
        </is>
      </c>
      <c r="E174" s="11" t="n">
        <v>1</v>
      </c>
      <c r="F174" s="13" t="inlineStr">
        <is>
          <t>Ingrediente Ativo Principal</t>
        </is>
      </c>
      <c r="G174" s="13" t="inlineStr">
        <is>
          <t>GLIFOSATO SAL DE POTÁSSIO 588 g/L (Equiv. 480 g/L Ácido)</t>
        </is>
      </c>
      <c r="H174" s="13" t="inlineStr">
        <is>
          <t>N-(phosphonomethyl)glycine (Potassium salt)</t>
        </is>
      </c>
      <c r="I174" s="13" t="inlineStr">
        <is>
          <t>Glicina substituída</t>
        </is>
      </c>
      <c r="J174" s="13" t="inlineStr">
        <is>
          <t>HRAC Grupo G (9) — Inibidores da EPSPs</t>
        </is>
      </c>
      <c r="K174" s="13" t="inlineStr">
        <is>
          <t>Inibidores da enzima EPSPs (Enoil Piruvil Shiquimato Fosfato Sintase)</t>
        </is>
      </c>
      <c r="L174" s="15" t="n">
        <v>588</v>
      </c>
      <c r="M174" s="13" t="inlineStr">
        <is>
          <t>g/L</t>
        </is>
      </c>
      <c r="N174" s="13" t="inlineStr">
        <is>
          <t>Glifosato Técnico Albaugh</t>
        </is>
      </c>
    </row>
    <row r="175" ht="22" customHeight="1">
      <c r="A175" s="6" t="inlineStr">
        <is>
          <t>CMP-0171</t>
        </is>
      </c>
      <c r="B175" s="5" t="n">
        <v>122</v>
      </c>
      <c r="C175" s="7" t="inlineStr">
        <is>
          <t>Nº 3422</t>
        </is>
      </c>
      <c r="D175" s="8" t="inlineStr">
        <is>
          <t>FOX SUPRA</t>
        </is>
      </c>
      <c r="E175" s="5" t="n">
        <v>1</v>
      </c>
      <c r="F175" s="7" t="inlineStr">
        <is>
          <t>Ingrediente Ativo Principal</t>
        </is>
      </c>
      <c r="G175" s="7" t="inlineStr">
        <is>
          <t>IMPIRFLUXAM 120</t>
        </is>
      </c>
      <c r="H175" s="7" t="inlineStr">
        <is>
          <t>3-(difluoromethyl)-1-methyl-N-[(3R)-1,1,3-trimethyl-2,3-dihydro-1H-inden-4-yl]-1H-pyrazole-4-carboxamide</t>
        </is>
      </c>
      <c r="I175" s="7" t="inlineStr">
        <is>
          <t>Carboxamida (Pirazol-4-carboxamida)</t>
        </is>
      </c>
      <c r="J175" s="7" t="inlineStr">
        <is>
          <t>FRAC Grupo 7 (C2 — SDHI)</t>
        </is>
      </c>
      <c r="K175" s="7" t="inlineStr">
        <is>
          <t>Inibidores da enzima succinato desidrogenase (Complexo II respiratório)</t>
        </is>
      </c>
      <c r="L175" s="9" t="n">
        <v>120</v>
      </c>
      <c r="M175" s="7" t="inlineStr">
        <is>
          <t>g/L</t>
        </is>
      </c>
      <c r="N175" s="7" t="inlineStr">
        <is>
          <t>Registro Técnico Vinculado MAPA</t>
        </is>
      </c>
    </row>
    <row r="176" ht="22" customHeight="1">
      <c r="A176" s="12" t="inlineStr">
        <is>
          <t>CMP-0172</t>
        </is>
      </c>
      <c r="B176" s="11" t="n">
        <v>122</v>
      </c>
      <c r="C176" s="13" t="inlineStr">
        <is>
          <t>Nº 3422</t>
        </is>
      </c>
      <c r="D176" s="14" t="inlineStr">
        <is>
          <t>FOX SUPRA</t>
        </is>
      </c>
      <c r="E176" s="11" t="n">
        <v>2</v>
      </c>
      <c r="F176" s="13" t="inlineStr">
        <is>
          <t>Ingrediente Ativo Principal</t>
        </is>
      </c>
      <c r="G176" s="13" t="inlineStr">
        <is>
          <t>PROTICONAZOL 240</t>
        </is>
      </c>
      <c r="H176" s="13" t="inlineStr">
        <is>
          <t>(RS)-2-[2-(1-chlorocyclopropyl)-3-(2-chlorophenyl)-2-hydroxypropyl]-2,4-dihydro-1,2,4-triazole-3-thione</t>
        </is>
      </c>
      <c r="I176" s="13" t="inlineStr">
        <is>
          <t>Triazolintiona</t>
        </is>
      </c>
      <c r="J176" s="13" t="inlineStr">
        <is>
          <t>FRAC Grupo 3 (G1 — DMI)</t>
        </is>
      </c>
      <c r="K176" s="13" t="inlineStr">
        <is>
          <t>Inibidores da desmetilação do C14 na biossíntese do ergosterol</t>
        </is>
      </c>
      <c r="L176" s="15" t="n">
        <v>240</v>
      </c>
      <c r="M176" s="13" t="inlineStr">
        <is>
          <t>g/L</t>
        </is>
      </c>
      <c r="N176" s="13" t="inlineStr">
        <is>
          <t>Registro Técnico Vinculado MAPA</t>
        </is>
      </c>
    </row>
    <row r="177" ht="22" customHeight="1">
      <c r="A177" s="6" t="inlineStr">
        <is>
          <t>CMP-0173</t>
        </is>
      </c>
      <c r="B177" s="5" t="n">
        <v>123</v>
      </c>
      <c r="C177" s="7" t="inlineStr">
        <is>
          <t>Nº 34621</t>
        </is>
      </c>
      <c r="D177" s="8" t="inlineStr">
        <is>
          <t>RATEIO 200 SL</t>
        </is>
      </c>
      <c r="E177" s="5" t="n">
        <v>1</v>
      </c>
      <c r="F177" s="7" t="inlineStr">
        <is>
          <t>Ingrediente Ativo Principal</t>
        </is>
      </c>
      <c r="G177" s="7" t="inlineStr">
        <is>
          <t>DIQUATE ÍON 200 g/L (Dibrometo de Diquate 373,5 g/L)</t>
        </is>
      </c>
      <c r="H177" s="7" t="inlineStr">
        <is>
          <t>9,10-dihydro-8a,10a-diazoniaphenanthrene dibromide (Dibrometo de Diquate)</t>
        </is>
      </c>
      <c r="I177" s="7" t="inlineStr">
        <is>
          <t>Bipiridílio</t>
        </is>
      </c>
      <c r="J177" s="7" t="inlineStr">
        <is>
          <t>HRAC Grupo D (22) — Desviadores de Elétrons do Fotossistema I</t>
        </is>
      </c>
      <c r="K177" s="7" t="inlineStr">
        <is>
          <t>Inibidores do Fotossistema I (geração de radicais livres peróxidos)</t>
        </is>
      </c>
      <c r="L177" s="9" t="n">
        <v>200</v>
      </c>
      <c r="M177" s="7" t="inlineStr">
        <is>
          <t>g/L</t>
        </is>
      </c>
      <c r="N177" s="7" t="inlineStr">
        <is>
          <t>Registro Técnico Vinculado MAPA</t>
        </is>
      </c>
    </row>
    <row r="178" ht="22" customHeight="1">
      <c r="A178" s="12" t="inlineStr">
        <is>
          <t>CMP-0174</t>
        </is>
      </c>
      <c r="B178" s="11" t="n">
        <v>124</v>
      </c>
      <c r="C178" s="13" t="inlineStr">
        <is>
          <t>Nº 18022</t>
        </is>
      </c>
      <c r="D178" s="14" t="inlineStr">
        <is>
          <t>TARBOX</t>
        </is>
      </c>
      <c r="E178" s="11" t="n">
        <v>1</v>
      </c>
      <c r="F178" s="13" t="inlineStr">
        <is>
          <t>Ingrediente Ativo Principal</t>
        </is>
      </c>
      <c r="G178" s="13" t="inlineStr">
        <is>
          <t>GLUFOSINATO 850</t>
        </is>
      </c>
      <c r="H178" s="13" t="inlineStr">
        <is>
          <t>Ammonium (2RS)-2-amino-4-(methylphosphinato)butyric acid (Glufosinato Sal de Amônio)</t>
        </is>
      </c>
      <c r="I178" s="13" t="inlineStr">
        <is>
          <t>Homoalanina substituída (Ácido fosfínico)</t>
        </is>
      </c>
      <c r="J178" s="13" t="inlineStr">
        <is>
          <t>HRAC Grupo H (10) — Inibidores da Glutamina Sintetase</t>
        </is>
      </c>
      <c r="K178" s="13" t="inlineStr">
        <is>
          <t>Inibição da enzima glutamina sintetase (acúmulo de amônia intracelular)</t>
        </is>
      </c>
      <c r="L178" s="15" t="n">
        <v>850</v>
      </c>
      <c r="M178" s="13" t="inlineStr">
        <is>
          <t>g/kg</t>
        </is>
      </c>
      <c r="N178" s="13" t="inlineStr">
        <is>
          <t>Registro Técnico Vinculado MAPA</t>
        </is>
      </c>
    </row>
    <row r="179" ht="22" customHeight="1">
      <c r="A179" s="6" t="inlineStr">
        <is>
          <t>CMP-0175</t>
        </is>
      </c>
      <c r="B179" s="5" t="n">
        <v>125</v>
      </c>
      <c r="C179" s="7" t="inlineStr">
        <is>
          <t>SIPEAGRO (UF-XXXXX)</t>
        </is>
      </c>
      <c r="D179" s="8" t="inlineStr">
        <is>
          <t>FOSFATO MONOAMONICO CRISTAL MAP</t>
        </is>
      </c>
      <c r="E179" s="5" t="n">
        <v>1</v>
      </c>
      <c r="F179" s="7" t="inlineStr">
        <is>
          <t>Nutriente Garantido</t>
        </is>
      </c>
      <c r="G179" s="7" t="inlineStr">
        <is>
          <t>MAP PURIFICADO</t>
        </is>
      </c>
      <c r="H179" s="7" t="inlineStr">
        <is>
          <t>Composição Nutricional Oficial (MAP PURIFICADO)</t>
        </is>
      </c>
      <c r="I179" s="7" t="inlineStr">
        <is>
          <t>Fertilizante Mineral / Organomineral (Lei nº 6.894/1980)</t>
        </is>
      </c>
      <c r="J179" s="7" t="inlineStr">
        <is>
          <t>Nutrição Vegetal SIPEAGRO</t>
        </is>
      </c>
      <c r="K179" s="7" t="inlineStr">
        <is>
          <t>Fornecimento de macro e micronutrientes essenciais ao metabolismo vegetal</t>
        </is>
      </c>
      <c r="L179" s="9" t="n">
        <v>100</v>
      </c>
      <c r="M179" s="7" t="inlineStr">
        <is>
          <t>% m/m</t>
        </is>
      </c>
      <c r="N179" s="7" t="inlineStr">
        <is>
          <t>Registro Técnico Vinculado MAPA</t>
        </is>
      </c>
    </row>
    <row r="180" ht="22" customHeight="1">
      <c r="A180" s="12" t="inlineStr">
        <is>
          <t>CMP-0176</t>
        </is>
      </c>
      <c r="B180" s="11" t="n">
        <v>126</v>
      </c>
      <c r="C180" s="13" t="inlineStr">
        <is>
          <t>Nº 1119</t>
        </is>
      </c>
      <c r="D180" s="14" t="inlineStr">
        <is>
          <t>ROUNDUP ORIGINAL MAIS</t>
        </is>
      </c>
      <c r="E180" s="11" t="n">
        <v>1</v>
      </c>
      <c r="F180" s="13" t="inlineStr">
        <is>
          <t>Ingrediente Ativo Principal</t>
        </is>
      </c>
      <c r="G180" s="13" t="inlineStr">
        <is>
          <t>GLIFOSATO 480</t>
        </is>
      </c>
      <c r="H180" s="13" t="inlineStr">
        <is>
          <t>N-(phosphonomethyl)glycine (Sal de Amônio / Isopropilamina / Potássico)</t>
        </is>
      </c>
      <c r="I180" s="13" t="inlineStr">
        <is>
          <t>Glicina substituída</t>
        </is>
      </c>
      <c r="J180" s="13" t="inlineStr">
        <is>
          <t>HRAC Grupo G (EPSPs)</t>
        </is>
      </c>
      <c r="K180" s="13" t="inlineStr">
        <is>
          <t>Inibidores da enzima EPSPs (Enoil Piruvil Shiquimato Fosfato Sintase)</t>
        </is>
      </c>
      <c r="L180" s="15" t="n">
        <v>480</v>
      </c>
      <c r="M180" s="13" t="inlineStr">
        <is>
          <t>g/L</t>
        </is>
      </c>
      <c r="N180" s="13" t="inlineStr">
        <is>
          <t>Registro Técnico Vinculado MAPA</t>
        </is>
      </c>
    </row>
    <row r="181" ht="22" customHeight="1">
      <c r="A181" s="6" t="inlineStr">
        <is>
          <t>CMP-0177</t>
        </is>
      </c>
      <c r="B181" s="5" t="n">
        <v>127</v>
      </c>
      <c r="C181" s="7" t="inlineStr">
        <is>
          <t>Nº 9920</t>
        </is>
      </c>
      <c r="D181" s="8" t="inlineStr">
        <is>
          <t>SURRENA</t>
        </is>
      </c>
      <c r="E181" s="5" t="n">
        <v>1</v>
      </c>
      <c r="F181" s="7" t="inlineStr">
        <is>
          <t>Ingrediente Ativo Principal</t>
        </is>
      </c>
      <c r="G181" s="7" t="inlineStr">
        <is>
          <t>SULFENTRAZONA 500</t>
        </is>
      </c>
      <c r="H181" s="7" t="inlineStr">
        <is>
          <t>2,4-dichloro-5-(4-difluoromethyl-4,5-dihydro-3-methyl-5-oxo-1H-1,2,4-triazol-1-yl)methanesulfonanilide</t>
        </is>
      </c>
      <c r="I181" s="7" t="inlineStr">
        <is>
          <t>Triazolinona</t>
        </is>
      </c>
      <c r="J181" s="7" t="inlineStr">
        <is>
          <t>HRAC Grupo E (14) — Inibidores da PROTOX</t>
        </is>
      </c>
      <c r="K181" s="7" t="inlineStr">
        <is>
          <t>Inibição da enzima protoporfirinogênio oxidase (PROTOX / PPO)</t>
        </is>
      </c>
      <c r="L181" s="9" t="n">
        <v>500</v>
      </c>
      <c r="M181" s="7" t="inlineStr">
        <is>
          <t>g/L</t>
        </is>
      </c>
      <c r="N181" s="7" t="inlineStr">
        <is>
          <t>Registro Técnico Vinculado MAPA</t>
        </is>
      </c>
    </row>
    <row r="182" ht="22" customHeight="1">
      <c r="A182" s="12" t="inlineStr">
        <is>
          <t>CMP-0178</t>
        </is>
      </c>
      <c r="B182" s="11" t="n">
        <v>128</v>
      </c>
      <c r="C182" s="13" t="inlineStr">
        <is>
          <t>Nº 2020</t>
        </is>
      </c>
      <c r="D182" s="14" t="inlineStr">
        <is>
          <t>SAMURAI</t>
        </is>
      </c>
      <c r="E182" s="11" t="n">
        <v>1</v>
      </c>
      <c r="F182" s="13" t="inlineStr">
        <is>
          <t>Ingrediente Ativo Principal</t>
        </is>
      </c>
      <c r="G182" s="13" t="inlineStr">
        <is>
          <t>LAMBDA-CIALOTRINA 250</t>
        </is>
      </c>
      <c r="H182" s="13" t="inlineStr">
        <is>
          <t>(R)-a-cyano-3-phenoxybenzyl (1S)-cis-3-[(Z)-2-chloro-3,3,3-trifluoropropenyl]-2,2-dimethylcyclopropanecarboxylate</t>
        </is>
      </c>
      <c r="I182" s="13" t="inlineStr">
        <is>
          <t>Piretroide (Tipo II)</t>
        </is>
      </c>
      <c r="J182" s="13" t="inlineStr">
        <is>
          <t>IRAC Grupo 3A</t>
        </is>
      </c>
      <c r="K182" s="13" t="inlineStr">
        <is>
          <t>Moduladores de canais de sódio em axônios nervosos</t>
        </is>
      </c>
      <c r="L182" s="15" t="n">
        <v>250</v>
      </c>
      <c r="M182" s="13" t="inlineStr">
        <is>
          <t>g/L</t>
        </is>
      </c>
      <c r="N182" s="13" t="inlineStr">
        <is>
          <t>Registro Técnico Vinculado MAPA</t>
        </is>
      </c>
    </row>
    <row r="183" ht="22" customHeight="1">
      <c r="A183" s="6" t="inlineStr">
        <is>
          <t>CMP-0179</t>
        </is>
      </c>
      <c r="B183" s="5" t="n">
        <v>129</v>
      </c>
      <c r="C183" s="7" t="inlineStr">
        <is>
          <t>Nº 0315</t>
        </is>
      </c>
      <c r="D183" s="8" t="inlineStr">
        <is>
          <t>AGCN 2,4-D</t>
        </is>
      </c>
      <c r="E183" s="5" t="n">
        <v>1</v>
      </c>
      <c r="F183" s="7" t="inlineStr">
        <is>
          <t>Ingrediente Ativo Principal</t>
        </is>
      </c>
      <c r="G183" s="7" t="inlineStr">
        <is>
          <t>2,4-D SAL DIMETILAMINA 806 g/L (Equiv. 670 g/L 2,4-D Ácido)</t>
        </is>
      </c>
      <c r="H183" s="7" t="inlineStr">
        <is>
          <t>(2,4-dichlorophenoxy)acetic acid (Sal Dimetilamina)</t>
        </is>
      </c>
      <c r="I183" s="7" t="inlineStr">
        <is>
          <t>Ácido ariloxialcanoico</t>
        </is>
      </c>
      <c r="J183" s="7" t="inlineStr">
        <is>
          <t>HRAC Grupo O (4) — Auxinas Sintéticas</t>
        </is>
      </c>
      <c r="K183" s="7" t="inlineStr">
        <is>
          <t>Mimetizadores da auxina (ácido indolacético - AIA)</t>
        </is>
      </c>
      <c r="L183" s="9" t="n">
        <v>806</v>
      </c>
      <c r="M183" s="7" t="inlineStr">
        <is>
          <t>g/L</t>
        </is>
      </c>
      <c r="N183" s="7" t="inlineStr">
        <is>
          <t>Registro Técnico Vinculado MAPA</t>
        </is>
      </c>
    </row>
    <row r="184" ht="22" customHeight="1">
      <c r="A184" s="12" t="inlineStr">
        <is>
          <t>CMP-0180</t>
        </is>
      </c>
      <c r="B184" s="11" t="n">
        <v>130</v>
      </c>
      <c r="C184" s="13" t="inlineStr">
        <is>
          <t>SIPEAGRO (UF-XXXXX)</t>
        </is>
      </c>
      <c r="D184" s="14" t="inlineStr">
        <is>
          <t>TOTALNITRO FEIJAO 8X1,5L (DOSE)</t>
        </is>
      </c>
      <c r="E184" s="11" t="n">
        <v>1</v>
      </c>
      <c r="F184" s="13" t="inlineStr">
        <is>
          <t>Agente Biológico / Cepa</t>
        </is>
      </c>
      <c r="G184" s="13" t="inlineStr">
        <is>
          <t>RHIZOBIUM TROPICI (SEMIA 4077 / SEMIA 4080 / SEMIA 4088 — mín. 3,0x10^9 UFC/mL)</t>
        </is>
      </c>
      <c r="H184" s="13" t="inlineStr">
        <is>
          <t>Rhizobium tropici SEMIA 4077 / SEMIA 4080</t>
        </is>
      </c>
      <c r="I184" s="13" t="inlineStr">
        <is>
          <t>Inoculante Biológico Fixador Simbiótico de Nitrogênio (Feijoeiro)</t>
        </is>
      </c>
      <c r="J184" s="13" t="inlineStr">
        <is>
          <t>Inoculante Registrado SIPEAGRO/MAPA</t>
        </is>
      </c>
      <c r="K184" s="13" t="inlineStr">
        <is>
          <t>Nodulação radicular e fixação biológica de N2 no feijoeiro-comum</t>
        </is>
      </c>
      <c r="L184" s="15" t="n">
        <v>100</v>
      </c>
      <c r="M184" s="13" t="inlineStr">
        <is>
          <t>% v/v (Veículo Inoculante Estéril)</t>
        </is>
      </c>
      <c r="N184" s="13" t="inlineStr">
        <is>
          <t>Registro Técnico Vinculado MAPA</t>
        </is>
      </c>
    </row>
    <row r="185" ht="22" customHeight="1">
      <c r="A185" s="6" t="inlineStr">
        <is>
          <t>CMP-0181</t>
        </is>
      </c>
      <c r="B185" s="5" t="n">
        <v>131</v>
      </c>
      <c r="C185" s="7" t="inlineStr">
        <is>
          <t>Nº 0120</t>
        </is>
      </c>
      <c r="D185" s="8" t="inlineStr">
        <is>
          <t>GLUCARE</t>
        </is>
      </c>
      <c r="E185" s="5" t="n">
        <v>1</v>
      </c>
      <c r="F185" s="7" t="inlineStr">
        <is>
          <t>Ingrediente Ativo Principal</t>
        </is>
      </c>
      <c r="G185" s="7" t="inlineStr">
        <is>
          <t>GLUFOSINATO 200</t>
        </is>
      </c>
      <c r="H185" s="7" t="inlineStr">
        <is>
          <t>Ammonium (2RS)-2-amino-4-(methylphosphinato)butyric acid (Glufosinato Sal de Amônio)</t>
        </is>
      </c>
      <c r="I185" s="7" t="inlineStr">
        <is>
          <t>Homoalanina substituída (Ácido fosfínico)</t>
        </is>
      </c>
      <c r="J185" s="7" t="inlineStr">
        <is>
          <t>HRAC Grupo H (10) — Inibidores da Glutamina Sintetase</t>
        </is>
      </c>
      <c r="K185" s="7" t="inlineStr">
        <is>
          <t>Inibição da enzima glutamina sintetase (acúmulo de amônia intracelular)</t>
        </is>
      </c>
      <c r="L185" s="9" t="n">
        <v>200</v>
      </c>
      <c r="M185" s="7" t="inlineStr">
        <is>
          <t>g/L</t>
        </is>
      </c>
      <c r="N185" s="7" t="inlineStr">
        <is>
          <t>Registro Técnico Vinculado MAPA</t>
        </is>
      </c>
    </row>
    <row r="186" ht="22" customHeight="1">
      <c r="A186" s="12" t="inlineStr">
        <is>
          <t>CMP-0182</t>
        </is>
      </c>
      <c r="B186" s="11" t="n">
        <v>132</v>
      </c>
      <c r="C186" s="13" t="inlineStr">
        <is>
          <t>Nº 31817</t>
        </is>
      </c>
      <c r="D186" s="14" t="inlineStr">
        <is>
          <t>RAINIL</t>
        </is>
      </c>
      <c r="E186" s="11" t="n">
        <v>1</v>
      </c>
      <c r="F186" s="13" t="inlineStr">
        <is>
          <t>Ingrediente Ativo Principal</t>
        </is>
      </c>
      <c r="G186" s="13" t="inlineStr">
        <is>
          <t>FIPRONIL 800</t>
        </is>
      </c>
      <c r="H186" s="13" t="inlineStr">
        <is>
          <t>(RS)-5-amino-1-(2,6-dichloro-a,a,a-trifluoro-p-tolyl)-4-trifluoromethylsulfinylpyrazole-3-carbonitrile</t>
        </is>
      </c>
      <c r="I186" s="13" t="inlineStr">
        <is>
          <t>Pirazol (Fenilpirazol)</t>
        </is>
      </c>
      <c r="J186" s="13" t="inlineStr">
        <is>
          <t>IRAC Grupo 2B</t>
        </is>
      </c>
      <c r="K186" s="13" t="inlineStr">
        <is>
          <t>Bloqueadores de canais de cloro mediados pelo GABA</t>
        </is>
      </c>
      <c r="L186" s="15" t="n">
        <v>800</v>
      </c>
      <c r="M186" s="13" t="inlineStr">
        <is>
          <t>g/kg</t>
        </is>
      </c>
      <c r="N186" s="13" t="inlineStr">
        <is>
          <t>Registro Técnico Vinculado MAPA</t>
        </is>
      </c>
    </row>
    <row r="187" ht="22" customHeight="1">
      <c r="A187" s="6" t="inlineStr">
        <is>
          <t>CMP-0183</t>
        </is>
      </c>
      <c r="B187" s="5" t="n">
        <v>133</v>
      </c>
      <c r="C187" s="7" t="inlineStr">
        <is>
          <t>Nº 32322</t>
        </is>
      </c>
      <c r="D187" s="8" t="inlineStr">
        <is>
          <t>JOYA BB</t>
        </is>
      </c>
      <c r="E187" s="5" t="n">
        <v>1</v>
      </c>
      <c r="F187" s="7" t="inlineStr">
        <is>
          <t>Ingrediente Ativo Principal</t>
        </is>
      </c>
      <c r="G187" s="7" t="inlineStr">
        <is>
          <t>FLUMIOXAZINA 480</t>
        </is>
      </c>
      <c r="H187" s="7" t="inlineStr">
        <is>
          <t>N-(7-fluoro-3,4-dihydro-3-oxo-4-prop-2-ynyl-2H-1,4-benzoxazin-6-yl)cyclohex-1-ene-1,2-dicarboximide</t>
        </is>
      </c>
      <c r="I187" s="7" t="inlineStr">
        <is>
          <t>N-fenilftalimida</t>
        </is>
      </c>
      <c r="J187" s="7" t="inlineStr">
        <is>
          <t>HRAC Grupo E (14) — Inibidores da PROTOX</t>
        </is>
      </c>
      <c r="K187" s="7" t="inlineStr">
        <is>
          <t>Inibidores da enzima protoporfirinogênio oxidase (PROTOX)</t>
        </is>
      </c>
      <c r="L187" s="9" t="n">
        <v>480</v>
      </c>
      <c r="M187" s="7" t="inlineStr">
        <is>
          <t>g/L</t>
        </is>
      </c>
      <c r="N187" s="7" t="inlineStr">
        <is>
          <t>Registro Técnico Vinculado MAPA</t>
        </is>
      </c>
    </row>
    <row r="188" ht="22" customHeight="1">
      <c r="A188" s="12" t="inlineStr">
        <is>
          <t>CMP-0184</t>
        </is>
      </c>
      <c r="B188" s="11" t="n">
        <v>134</v>
      </c>
      <c r="C188" s="13" t="inlineStr">
        <is>
          <t>Nº 2020</t>
        </is>
      </c>
      <c r="D188" s="14" t="inlineStr">
        <is>
          <t>BUSHI</t>
        </is>
      </c>
      <c r="E188" s="11" t="n">
        <v>1</v>
      </c>
      <c r="F188" s="13" t="inlineStr">
        <is>
          <t>Ingrediente Ativo Principal</t>
        </is>
      </c>
      <c r="G188" s="13" t="inlineStr">
        <is>
          <t>LAMBDA-CIALOTRINA 250</t>
        </is>
      </c>
      <c r="H188" s="13" t="inlineStr">
        <is>
          <t>(R)-a-cyano-3-phenoxybenzyl (1S)-cis-3-[(Z)-2-chloro-3,3,3-trifluoropropenyl]-2,2-dimethylcyclopropanecarboxylate</t>
        </is>
      </c>
      <c r="I188" s="13" t="inlineStr">
        <is>
          <t>Piretroide (Tipo II)</t>
        </is>
      </c>
      <c r="J188" s="13" t="inlineStr">
        <is>
          <t>IRAC Grupo 3A</t>
        </is>
      </c>
      <c r="K188" s="13" t="inlineStr">
        <is>
          <t>Moduladores de canais de sódio em axônios nervosos</t>
        </is>
      </c>
      <c r="L188" s="15" t="n">
        <v>250</v>
      </c>
      <c r="M188" s="13" t="inlineStr">
        <is>
          <t>g/L</t>
        </is>
      </c>
      <c r="N188" s="13" t="inlineStr">
        <is>
          <t>Registro Técnico Vinculado MAPA</t>
        </is>
      </c>
    </row>
    <row r="189" ht="22" customHeight="1">
      <c r="A189" s="6" t="inlineStr">
        <is>
          <t>CMP-0185</t>
        </is>
      </c>
      <c r="B189" s="5" t="n">
        <v>135</v>
      </c>
      <c r="C189" s="7" t="inlineStr">
        <is>
          <t>Nº 10018</t>
        </is>
      </c>
      <c r="D189" s="8" t="inlineStr">
        <is>
          <t>ATRAZINA</t>
        </is>
      </c>
      <c r="E189" s="5" t="n">
        <v>1</v>
      </c>
      <c r="F189" s="7" t="inlineStr">
        <is>
          <t>Ingrediente Ativo Principal</t>
        </is>
      </c>
      <c r="G189" s="7" t="inlineStr">
        <is>
          <t>ATRAZINA 500</t>
        </is>
      </c>
      <c r="H189" s="7" t="inlineStr">
        <is>
          <t>6-chloro-N2-ethyl-N4-isopropyl-1,3,5-triazine-2,4-diamine</t>
        </is>
      </c>
      <c r="I189" s="7" t="inlineStr">
        <is>
          <t>Triazina</t>
        </is>
      </c>
      <c r="J189" s="7" t="inlineStr">
        <is>
          <t>HRAC Grupo C1 (5) — Inibidores do Fotossistema II</t>
        </is>
      </c>
      <c r="K189" s="7" t="inlineStr">
        <is>
          <t>Inibição do transporte de elétrons no Fotossistema II (sítio Serina 264)</t>
        </is>
      </c>
      <c r="L189" s="9" t="n">
        <v>500</v>
      </c>
      <c r="M189" s="7" t="inlineStr">
        <is>
          <t>g/L</t>
        </is>
      </c>
      <c r="N189" s="7" t="inlineStr">
        <is>
          <t>Registro Técnico Vinculado MAPA</t>
        </is>
      </c>
    </row>
    <row r="190" ht="22" customHeight="1">
      <c r="A190" s="12" t="inlineStr">
        <is>
          <t>CMP-0186</t>
        </is>
      </c>
      <c r="B190" s="11" t="n">
        <v>136</v>
      </c>
      <c r="C190" s="13" t="inlineStr">
        <is>
          <t>Nº 938801</t>
        </is>
      </c>
      <c r="D190" s="14" t="inlineStr">
        <is>
          <t>CLASSIC 4X2 KG (IMP)</t>
        </is>
      </c>
      <c r="E190" s="11" t="n">
        <v>1</v>
      </c>
      <c r="F190" s="13" t="inlineStr">
        <is>
          <t>Ingrediente Ativo Principal</t>
        </is>
      </c>
      <c r="G190" s="13" t="inlineStr">
        <is>
          <t>CLORIMUROM 250</t>
        </is>
      </c>
      <c r="H190" s="13" t="inlineStr">
        <is>
          <t>Ethyl 2-(4-chloro-6-methoxypyrimidin-2-ylcarbamoylsulfamoyl)benzoate</t>
        </is>
      </c>
      <c r="I190" s="13" t="inlineStr">
        <is>
          <t>Sulfonilureia</t>
        </is>
      </c>
      <c r="J190" s="13" t="inlineStr">
        <is>
          <t>HRAC Grupo B (2) — Inibidores da ALS</t>
        </is>
      </c>
      <c r="K190" s="13" t="inlineStr">
        <is>
          <t>Inibição da enzima acetolactato sintase (ALS / AHAS)</t>
        </is>
      </c>
      <c r="L190" s="15" t="n">
        <v>250</v>
      </c>
      <c r="M190" s="13" t="inlineStr">
        <is>
          <t>g/kg</t>
        </is>
      </c>
      <c r="N190" s="13" t="inlineStr">
        <is>
          <t>Registro Técnico Vinculado MAPA</t>
        </is>
      </c>
    </row>
    <row r="191" ht="22" customHeight="1">
      <c r="A191" s="6" t="inlineStr">
        <is>
          <t>CMP-0187</t>
        </is>
      </c>
      <c r="B191" s="5" t="n">
        <v>137</v>
      </c>
      <c r="C191" s="7" t="inlineStr">
        <is>
          <t>Nº 11320</t>
        </is>
      </c>
      <c r="D191" s="8" t="inlineStr">
        <is>
          <t>SURVEY 800 WG</t>
        </is>
      </c>
      <c r="E191" s="5" t="n">
        <v>1</v>
      </c>
      <c r="F191" s="7" t="inlineStr">
        <is>
          <t>Ingrediente Ativo Principal</t>
        </is>
      </c>
      <c r="G191" s="7" t="inlineStr">
        <is>
          <t>FIPRONIL 800</t>
        </is>
      </c>
      <c r="H191" s="7" t="inlineStr">
        <is>
          <t>(RS)-5-amino-1-(2,6-dichloro-a,a,a-trifluoro-p-tolyl)-4-trifluoromethylsulfinylpyrazole-3-carbonitrile</t>
        </is>
      </c>
      <c r="I191" s="7" t="inlineStr">
        <is>
          <t>Pirazol (Fenilpirazol)</t>
        </is>
      </c>
      <c r="J191" s="7" t="inlineStr">
        <is>
          <t>IRAC Grupo 2B</t>
        </is>
      </c>
      <c r="K191" s="7" t="inlineStr">
        <is>
          <t>Bloqueadores de canais de cloro mediados pelo GABA</t>
        </is>
      </c>
      <c r="L191" s="9" t="n">
        <v>800</v>
      </c>
      <c r="M191" s="7" t="inlineStr">
        <is>
          <t>g/kg</t>
        </is>
      </c>
      <c r="N191" s="7" t="inlineStr">
        <is>
          <t>Registro Técnico Vinculado MAPA</t>
        </is>
      </c>
    </row>
    <row r="192" ht="22" customHeight="1">
      <c r="A192" s="12" t="inlineStr">
        <is>
          <t>CMP-0188</t>
        </is>
      </c>
      <c r="B192" s="11" t="n">
        <v>138</v>
      </c>
      <c r="C192" s="13" t="inlineStr">
        <is>
          <t>SIPEAGRO (UF-XXXXX)</t>
        </is>
      </c>
      <c r="D192" s="14" t="inlineStr">
        <is>
          <t>AGCN GRANU S BAG 120</t>
        </is>
      </c>
      <c r="E192" s="11" t="n">
        <v>1</v>
      </c>
      <c r="F192" s="13" t="inlineStr">
        <is>
          <t>Ingrediente Ativo Principal</t>
        </is>
      </c>
      <c r="G192" s="13" t="inlineStr">
        <is>
          <t>ENXOFRE PASTILHADO 90%</t>
        </is>
      </c>
      <c r="H192" s="13" t="inlineStr">
        <is>
          <t>Corretivo / Condicionador Mineral (ENXOFRE PASTILHADO 90%)</t>
        </is>
      </c>
      <c r="I192" s="13" t="inlineStr">
        <is>
          <t>Corretivo de Acidez / Condicionador de Solo (SIPEAGRO)</t>
        </is>
      </c>
      <c r="J192" s="13" t="inlineStr">
        <is>
          <t>Correção Química de Solo</t>
        </is>
      </c>
      <c r="K192" s="13" t="inlineStr">
        <is>
          <t>Neutralização de Al3+ tóxico e fornecimento de Ca2+, Mg2+, S ou B</t>
        </is>
      </c>
      <c r="L192" s="15" t="n">
        <v>90</v>
      </c>
      <c r="M192" s="13" t="inlineStr">
        <is>
          <t>% m/m</t>
        </is>
      </c>
      <c r="N192" s="13" t="inlineStr">
        <is>
          <t>Registro Técnico Vinculado MAPA</t>
        </is>
      </c>
    </row>
    <row r="193" ht="22" customHeight="1">
      <c r="A193" s="6" t="inlineStr">
        <is>
          <t>CMP-0189</t>
        </is>
      </c>
      <c r="B193" s="5" t="n">
        <v>138</v>
      </c>
      <c r="C193" s="7" t="inlineStr">
        <is>
          <t>SIPEAGRO (UF-XXXXX)</t>
        </is>
      </c>
      <c r="D193" s="8" t="inlineStr">
        <is>
          <t>AGCN GRANU S BAG 120</t>
        </is>
      </c>
      <c r="E193" s="5" t="n">
        <v>2</v>
      </c>
      <c r="F193" s="7" t="inlineStr">
        <is>
          <t>Ingrediente Ativo Principal</t>
        </is>
      </c>
      <c r="G193" s="7" t="inlineStr">
        <is>
          <t>BENTONITA 10%</t>
        </is>
      </c>
      <c r="H193" s="7" t="inlineStr">
        <is>
          <t>Corretivo / Condicionador Mineral (BENTONITA 10%)</t>
        </is>
      </c>
      <c r="I193" s="7" t="inlineStr">
        <is>
          <t>Corretivo de Acidez / Condicionador de Solo (SIPEAGRO)</t>
        </is>
      </c>
      <c r="J193" s="7" t="inlineStr">
        <is>
          <t>Correção Química de Solo</t>
        </is>
      </c>
      <c r="K193" s="7" t="inlineStr">
        <is>
          <t>Neutralização de Al3+ tóxico e fornecimento de Ca2+, Mg2+, S ou B</t>
        </is>
      </c>
      <c r="L193" s="9" t="n">
        <v>10</v>
      </c>
      <c r="M193" s="7" t="inlineStr">
        <is>
          <t>% m/m</t>
        </is>
      </c>
      <c r="N193" s="7" t="inlineStr">
        <is>
          <t>Registro Técnico Vinculado MAPA</t>
        </is>
      </c>
    </row>
    <row r="194" ht="22" customHeight="1">
      <c r="A194" s="12" t="inlineStr">
        <is>
          <t>CMP-0190</t>
        </is>
      </c>
      <c r="B194" s="11" t="n">
        <v>139</v>
      </c>
      <c r="C194" s="13" t="inlineStr">
        <is>
          <t>Nº 13419</t>
        </is>
      </c>
      <c r="D194" s="14" t="inlineStr">
        <is>
          <t>FRENO 240 EC</t>
        </is>
      </c>
      <c r="E194" s="11" t="n">
        <v>1</v>
      </c>
      <c r="F194" s="13" t="inlineStr">
        <is>
          <t>Ingrediente Ativo Principal</t>
        </is>
      </c>
      <c r="G194" s="13" t="inlineStr">
        <is>
          <t>CLETODIM 240</t>
        </is>
      </c>
      <c r="H194" s="13" t="inlineStr">
        <is>
          <t>(RS)-2-[(E)-1-[(E)-3-chloroallyloxyimino]propyl]-5-[2-(ethylthio)propyl]-3-hydroxycyclohex-2-en-1-one</t>
        </is>
      </c>
      <c r="I194" s="13" t="inlineStr">
        <is>
          <t>Oxima ciclohexanodiona (DIM)</t>
        </is>
      </c>
      <c r="J194" s="13" t="inlineStr">
        <is>
          <t>HRAC Grupo A (1) — Inibidores da ACCase</t>
        </is>
      </c>
      <c r="K194" s="13" t="inlineStr">
        <is>
          <t>Inibidores da Acetil CoA Carboxilase (ACCase)</t>
        </is>
      </c>
      <c r="L194" s="15" t="n">
        <v>240</v>
      </c>
      <c r="M194" s="13" t="inlineStr">
        <is>
          <t>g/L</t>
        </is>
      </c>
      <c r="N194" s="13" t="inlineStr">
        <is>
          <t>Registro Técnico Vinculado MAPA</t>
        </is>
      </c>
    </row>
    <row r="195" ht="22" customHeight="1">
      <c r="A195" s="6" t="inlineStr">
        <is>
          <t>CMP-0191</t>
        </is>
      </c>
      <c r="B195" s="5" t="n">
        <v>140</v>
      </c>
      <c r="C195" s="7" t="inlineStr">
        <is>
          <t>ISENTO (ATO 104/2017)</t>
        </is>
      </c>
      <c r="D195" s="8" t="inlineStr">
        <is>
          <t>AGRICOIL VEGETAL</t>
        </is>
      </c>
      <c r="E195" s="5" t="n">
        <v>1</v>
      </c>
      <c r="F195" s="7" t="inlineStr">
        <is>
          <t>Ingrediente Ativo Principal</t>
        </is>
      </c>
      <c r="G195" s="7" t="inlineStr">
        <is>
          <t>ÉSTER METÍLICO DE ÓLEO DE SOJA (Óleo Vegetal Metilado)</t>
        </is>
      </c>
      <c r="H195" s="7" t="inlineStr">
        <is>
          <t>Methyl soyate (Soybean oil, methylated)</t>
        </is>
      </c>
      <c r="I195" s="7" t="inlineStr">
        <is>
          <t>Adjuvante Espalhante Adesivo (Óleo Vegetal Metilado)</t>
        </is>
      </c>
      <c r="J195" s="7" t="inlineStr">
        <is>
          <t>Auxiliar de Tecnologia de Aplicação (Ato SDA 104/2017)</t>
        </is>
      </c>
      <c r="K195" s="7" t="inlineStr">
        <is>
          <t>Aumento da aderência, espalhamento e absorção translaminar da calda</t>
        </is>
      </c>
      <c r="L195" s="9" t="n">
        <v>720</v>
      </c>
      <c r="M195" s="7" t="inlineStr">
        <is>
          <t>g/L</t>
        </is>
      </c>
      <c r="N195" s="7" t="inlineStr">
        <is>
          <t>Registro Técnico Vinculado MAPA</t>
        </is>
      </c>
    </row>
    <row r="196" ht="22" customHeight="1">
      <c r="A196" s="12" t="inlineStr">
        <is>
          <t>CMP-0192</t>
        </is>
      </c>
      <c r="B196" s="11" t="n">
        <v>141</v>
      </c>
      <c r="C196" s="13" t="inlineStr">
        <is>
          <t>SIPEAGRO (UF-XXXXX)</t>
        </is>
      </c>
      <c r="D196" s="14" t="inlineStr">
        <is>
          <t>AGCN ULTRA S</t>
        </is>
      </c>
      <c r="E196" s="11" t="n">
        <v>1</v>
      </c>
      <c r="F196" s="13" t="inlineStr">
        <is>
          <t>Ingrediente Ativo Principal</t>
        </is>
      </c>
      <c r="G196" s="13" t="inlineStr">
        <is>
          <t>ENXOFRE ELEMENTAR FLUIDO (55% S m/m — 770 g/L)</t>
        </is>
      </c>
      <c r="H196" s="13" t="inlineStr">
        <is>
          <t>Corretivo / Condicionador Mineral (ENXOFRE ELEMENTAR)</t>
        </is>
      </c>
      <c r="I196" s="13" t="inlineStr">
        <is>
          <t>Corretivo de Acidez / Condicionador de Solo (SIPEAGRO)</t>
        </is>
      </c>
      <c r="J196" s="13" t="inlineStr">
        <is>
          <t>Correção Química de Solo</t>
        </is>
      </c>
      <c r="K196" s="13" t="inlineStr">
        <is>
          <t>Neutralização de Al3+ tóxico e fornecimento de Ca2+, Mg2+, S ou B</t>
        </is>
      </c>
      <c r="L196" s="15" t="n">
        <v>770</v>
      </c>
      <c r="M196" s="13" t="inlineStr">
        <is>
          <t>g/L</t>
        </is>
      </c>
      <c r="N196" s="13" t="inlineStr">
        <is>
          <t>Registro Técnico Vinculado MAPA</t>
        </is>
      </c>
    </row>
    <row r="197" ht="22" customHeight="1">
      <c r="A197" s="6" t="inlineStr">
        <is>
          <t>CMP-0193</t>
        </is>
      </c>
      <c r="B197" s="5" t="n">
        <v>142</v>
      </c>
      <c r="C197" s="7" t="inlineStr">
        <is>
          <t>Nº 0115</t>
        </is>
      </c>
      <c r="D197" s="8" t="inlineStr">
        <is>
          <t>2,4-D DECORUM</t>
        </is>
      </c>
      <c r="E197" s="5" t="n">
        <v>1</v>
      </c>
      <c r="F197" s="7" t="inlineStr">
        <is>
          <t>Ingrediente Ativo Principal</t>
        </is>
      </c>
      <c r="G197" s="7" t="inlineStr">
        <is>
          <t>2,4-D SAL DIMETILAMINA 806 g/L (Equiv. 670 g/L 2,4-D Ácido)</t>
        </is>
      </c>
      <c r="H197" s="7" t="inlineStr">
        <is>
          <t>(2,4-dichlorophenoxy)acetic acid (Sal Dimetilamina)</t>
        </is>
      </c>
      <c r="I197" s="7" t="inlineStr">
        <is>
          <t>Ácido ariloxialcanoico</t>
        </is>
      </c>
      <c r="J197" s="7" t="inlineStr">
        <is>
          <t>HRAC Grupo O (4) — Auxinas Sintéticas</t>
        </is>
      </c>
      <c r="K197" s="7" t="inlineStr">
        <is>
          <t>Mimetizadores da auxina (ácido indolacético - AIA)</t>
        </is>
      </c>
      <c r="L197" s="9" t="n">
        <v>806</v>
      </c>
      <c r="M197" s="7" t="inlineStr">
        <is>
          <t>g/L</t>
        </is>
      </c>
      <c r="N197" s="7" t="inlineStr">
        <is>
          <t>Registro Técnico Vinculado MAPA</t>
        </is>
      </c>
    </row>
    <row r="198" ht="22" customHeight="1">
      <c r="A198" s="12" t="inlineStr">
        <is>
          <t>CMP-0194</t>
        </is>
      </c>
      <c r="B198" s="11" t="n">
        <v>143</v>
      </c>
      <c r="C198" s="13" t="inlineStr">
        <is>
          <t>Nº 31522</t>
        </is>
      </c>
      <c r="D198" s="14" t="inlineStr">
        <is>
          <t>METOMY</t>
        </is>
      </c>
      <c r="E198" s="11" t="n">
        <v>1</v>
      </c>
      <c r="F198" s="13" t="inlineStr">
        <is>
          <t>Ingrediente Ativo Principal</t>
        </is>
      </c>
      <c r="G198" s="13" t="inlineStr">
        <is>
          <t>METOMIL 900</t>
        </is>
      </c>
      <c r="H198" s="13" t="inlineStr">
        <is>
          <t>S-methyl N-(methylcarbamoyloxy)thioacetimidate</t>
        </is>
      </c>
      <c r="I198" s="13" t="inlineStr">
        <is>
          <t>Metilcarbamato de oxima</t>
        </is>
      </c>
      <c r="J198" s="13" t="inlineStr">
        <is>
          <t>IRAC Grupo 1A</t>
        </is>
      </c>
      <c r="K198" s="13" t="inlineStr">
        <is>
          <t>Inibidores reversíveis da enzima acetilcolinesterase (AChE)</t>
        </is>
      </c>
      <c r="L198" s="15" t="n">
        <v>900</v>
      </c>
      <c r="M198" s="13" t="inlineStr">
        <is>
          <t>g/kg</t>
        </is>
      </c>
      <c r="N198" s="13" t="inlineStr">
        <is>
          <t>Registro Técnico Vinculado MAPA</t>
        </is>
      </c>
    </row>
    <row r="199" ht="22" customHeight="1">
      <c r="A199" s="6" t="inlineStr">
        <is>
          <t>CMP-0195</t>
        </is>
      </c>
      <c r="B199" s="5" t="n">
        <v>144</v>
      </c>
      <c r="C199" s="7" t="inlineStr">
        <is>
          <t>Nº 34122</t>
        </is>
      </c>
      <c r="D199" s="8" t="inlineStr">
        <is>
          <t>METRARO EC</t>
        </is>
      </c>
      <c r="E199" s="5" t="n">
        <v>1</v>
      </c>
      <c r="F199" s="7" t="inlineStr">
        <is>
          <t>Ingrediente Ativo Principal</t>
        </is>
      </c>
      <c r="G199" s="7" t="inlineStr">
        <is>
          <t>S-METOLACLORO 960</t>
        </is>
      </c>
      <c r="H199" s="7" t="inlineStr">
        <is>
          <t>Mixture of (aRS,1S)-2-chloro-6'-ethyl-N-(2-methoxy-1-methylethyl)aceto-o-toluidide</t>
        </is>
      </c>
      <c r="I199" s="7" t="inlineStr">
        <is>
          <t>Cloroacetanilida</t>
        </is>
      </c>
      <c r="J199" s="7" t="inlineStr">
        <is>
          <t>HRAC Grupo K3 (15) — Inibidores de VLCFAs</t>
        </is>
      </c>
      <c r="K199" s="7" t="inlineStr">
        <is>
          <t>Inibidores da síntese de ácidos graxos de cadeia muito longa (divisão celular)</t>
        </is>
      </c>
      <c r="L199" s="9" t="n">
        <v>960</v>
      </c>
      <c r="M199" s="7" t="inlineStr">
        <is>
          <t>g/L</t>
        </is>
      </c>
      <c r="N199" s="7" t="inlineStr">
        <is>
          <t>Registro Técnico Vinculado MAPA</t>
        </is>
      </c>
    </row>
    <row r="200" ht="22" customHeight="1">
      <c r="A200" s="12" t="inlineStr">
        <is>
          <t>CMP-0196</t>
        </is>
      </c>
      <c r="B200" s="11" t="n">
        <v>145</v>
      </c>
      <c r="C200" s="13" t="inlineStr">
        <is>
          <t>Nº 13720</t>
        </is>
      </c>
      <c r="D200" s="14" t="inlineStr">
        <is>
          <t>VELBOW</t>
        </is>
      </c>
      <c r="E200" s="11" t="n">
        <v>1</v>
      </c>
      <c r="F200" s="13" t="inlineStr">
        <is>
          <t>Ingrediente Ativo Principal</t>
        </is>
      </c>
      <c r="G200" s="13" t="inlineStr">
        <is>
          <t>DIUROM 468</t>
        </is>
      </c>
      <c r="H200" s="13" t="inlineStr">
        <is>
          <t>3-(3,4-dichlorophenyl)-1,1-dimethylurea</t>
        </is>
      </c>
      <c r="I200" s="13" t="inlineStr">
        <is>
          <t>Ureia Substituída (Fenilureia)</t>
        </is>
      </c>
      <c r="J200" s="13" t="inlineStr">
        <is>
          <t>HRAC Grupo C2 (5) — Inibidores do Fotossistema II</t>
        </is>
      </c>
      <c r="K200" s="13" t="inlineStr">
        <is>
          <t>Inibição do transporte de elétrons no Fotossistema II (sítio Serina 264)</t>
        </is>
      </c>
      <c r="L200" s="15" t="n">
        <v>468</v>
      </c>
      <c r="M200" s="13" t="inlineStr">
        <is>
          <t>g/kg</t>
        </is>
      </c>
      <c r="N200" s="13" t="inlineStr">
        <is>
          <t>Registro Técnico Vinculado MAPA</t>
        </is>
      </c>
    </row>
    <row r="201" ht="22" customHeight="1">
      <c r="A201" s="6" t="inlineStr">
        <is>
          <t>CMP-0197</t>
        </is>
      </c>
      <c r="B201" s="5" t="n">
        <v>145</v>
      </c>
      <c r="C201" s="7" t="inlineStr">
        <is>
          <t>Nº 13720</t>
        </is>
      </c>
      <c r="D201" s="8" t="inlineStr">
        <is>
          <t>VELBOW</t>
        </is>
      </c>
      <c r="E201" s="5" t="n">
        <v>2</v>
      </c>
      <c r="F201" s="7" t="inlineStr">
        <is>
          <t>Ingrediente Ativo Principal</t>
        </is>
      </c>
      <c r="G201" s="7" t="inlineStr">
        <is>
          <t>HEXAZINONA 132</t>
        </is>
      </c>
      <c r="H201" s="7" t="inlineStr">
        <is>
          <t>3-cyclohexyl-6-dimethylamino-1-methyl-1,3,5-triazine-2,4(1H,3H)-dione</t>
        </is>
      </c>
      <c r="I201" s="7" t="inlineStr">
        <is>
          <t>Triazinona</t>
        </is>
      </c>
      <c r="J201" s="7" t="inlineStr">
        <is>
          <t>HRAC Grupo C1 (5) — Inibidores do Fotossistema II</t>
        </is>
      </c>
      <c r="K201" s="7" t="inlineStr">
        <is>
          <t>Inibição do transporte de elétrons no Fotossistema II</t>
        </is>
      </c>
      <c r="L201" s="9" t="n">
        <v>132</v>
      </c>
      <c r="M201" s="7" t="inlineStr">
        <is>
          <t>g/kg</t>
        </is>
      </c>
      <c r="N201" s="7" t="inlineStr">
        <is>
          <t>Registro Técnico Vinculado MAPA</t>
        </is>
      </c>
    </row>
    <row r="202" ht="22" customHeight="1">
      <c r="A202" s="12" t="inlineStr">
        <is>
          <t>CMP-0198</t>
        </is>
      </c>
      <c r="B202" s="11" t="n">
        <v>146</v>
      </c>
      <c r="C202" s="13" t="inlineStr">
        <is>
          <t>Nº 3522</t>
        </is>
      </c>
      <c r="D202" s="14" t="inlineStr">
        <is>
          <t>TAGZOLE 250 EC</t>
        </is>
      </c>
      <c r="E202" s="11" t="n">
        <v>1</v>
      </c>
      <c r="F202" s="13" t="inlineStr">
        <is>
          <t>Ingrediente Ativo Principal</t>
        </is>
      </c>
      <c r="G202" s="13" t="inlineStr">
        <is>
          <t>DIFENOCONAZOL 250</t>
        </is>
      </c>
      <c r="H202" s="13" t="inlineStr">
        <is>
          <t>cis,trans-3-chloro-4-[4-methyl-2-(1H-1,2,4-triazol-1-ylmethyl)-1,3-dioxolan-2-yl]phenyl 4-chlorophenyl ether</t>
        </is>
      </c>
      <c r="I202" s="13" t="inlineStr">
        <is>
          <t>Triazol</t>
        </is>
      </c>
      <c r="J202" s="13" t="inlineStr">
        <is>
          <t>FRAC Grupo 3 (DMI)</t>
        </is>
      </c>
      <c r="K202" s="13" t="inlineStr">
        <is>
          <t>Inibidores da desmetilação de esteróis (C14-desmetilase na síntese de ergosterol)</t>
        </is>
      </c>
      <c r="L202" s="15" t="n">
        <v>250</v>
      </c>
      <c r="M202" s="13" t="inlineStr">
        <is>
          <t>g/L</t>
        </is>
      </c>
      <c r="N202" s="13" t="inlineStr">
        <is>
          <t>Registro Técnico Vinculado MAPA</t>
        </is>
      </c>
    </row>
    <row r="203" ht="22" customHeight="1">
      <c r="A203" s="6" t="inlineStr">
        <is>
          <t>CMP-0199</t>
        </is>
      </c>
      <c r="B203" s="5" t="n">
        <v>147</v>
      </c>
      <c r="C203" s="7" t="inlineStr">
        <is>
          <t>Nº 5417</t>
        </is>
      </c>
      <c r="D203" s="8" t="inlineStr">
        <is>
          <t>GLIFOSATO IPA 480 RAINBOW</t>
        </is>
      </c>
      <c r="E203" s="5" t="n">
        <v>1</v>
      </c>
      <c r="F203" s="7" t="inlineStr">
        <is>
          <t>Ingrediente Ativo Principal</t>
        </is>
      </c>
      <c r="G203" s="7" t="inlineStr">
        <is>
          <t>GLIFOSATO SAL DE ISOPROPILAMINA 480 g/L (Equiv. 360 g/L Ácido)</t>
        </is>
      </c>
      <c r="H203" s="7" t="inlineStr">
        <is>
          <t>N-(phosphonomethyl)glycine (Isopropylamine salt)</t>
        </is>
      </c>
      <c r="I203" s="7" t="inlineStr">
        <is>
          <t>Glicina substituída</t>
        </is>
      </c>
      <c r="J203" s="7" t="inlineStr">
        <is>
          <t>HRAC Grupo G (9) — Inibidores da EPSPs</t>
        </is>
      </c>
      <c r="K203" s="7" t="inlineStr">
        <is>
          <t>Inibidores da enzima EPSPs (Enoil Piruvil Shiquimato Fosfato Sintase)</t>
        </is>
      </c>
      <c r="L203" s="9" t="n">
        <v>480</v>
      </c>
      <c r="M203" s="7" t="inlineStr">
        <is>
          <t>g/L</t>
        </is>
      </c>
      <c r="N203" s="7" t="inlineStr">
        <is>
          <t>Glifosato Técnico Rainbow</t>
        </is>
      </c>
    </row>
    <row r="204" ht="22" customHeight="1">
      <c r="A204" s="12" t="inlineStr">
        <is>
          <t>CMP-0200</t>
        </is>
      </c>
      <c r="B204" s="11" t="n">
        <v>148</v>
      </c>
      <c r="C204" s="13" t="inlineStr">
        <is>
          <t>Nº 44024</t>
        </is>
      </c>
      <c r="D204" s="14" t="inlineStr">
        <is>
          <t>BIOLOGIC BRAVIA</t>
        </is>
      </c>
      <c r="E204" s="11" t="n">
        <v>1</v>
      </c>
      <c r="F204" s="13" t="inlineStr">
        <is>
          <t>Agente Biológico / Cepa</t>
        </is>
      </c>
      <c r="G204" s="13" t="inlineStr">
        <is>
          <t>BEAUVERIA BASSIANA ISOLADO IBCB 66 (mín. 1,0x10^9 conídios/g)</t>
        </is>
      </c>
      <c r="H204" s="13" t="inlineStr">
        <is>
          <t>Fungo entomopatogênico Beauveria bassiana (Isolado IBCB 66)</t>
        </is>
      </c>
      <c r="I204" s="13" t="inlineStr">
        <is>
          <t>Agente Microbiológico de Controle (Fungo Entomopatogênico)</t>
        </is>
      </c>
      <c r="J204" s="13" t="inlineStr">
        <is>
          <t>IRAC Grupo UNF — Biológico Multissítio</t>
        </is>
      </c>
      <c r="K204" s="13" t="inlineStr">
        <is>
          <t>Infecção tegumentar por conídios, penetração enzimática e colonização da hemocele</t>
        </is>
      </c>
      <c r="L204" s="15" t="n">
        <v>100</v>
      </c>
      <c r="M204" s="13" t="inlineStr">
        <is>
          <t>g/kg</t>
        </is>
      </c>
      <c r="N204" s="13" t="inlineStr">
        <is>
          <t>Registro Técnico Vinculado MAPA</t>
        </is>
      </c>
    </row>
    <row r="205" ht="22" customHeight="1">
      <c r="A205" s="6" t="inlineStr">
        <is>
          <t>CMP-0201</t>
        </is>
      </c>
      <c r="B205" s="5" t="n">
        <v>148</v>
      </c>
      <c r="C205" s="7" t="inlineStr">
        <is>
          <t>Nº 44024</t>
        </is>
      </c>
      <c r="D205" s="8" t="inlineStr">
        <is>
          <t>BIOLOGIC BRAVIA</t>
        </is>
      </c>
      <c r="E205" s="5" t="n">
        <v>2</v>
      </c>
      <c r="F205" s="7" t="inlineStr">
        <is>
          <t>Ingrediente Ativo Principal</t>
        </is>
      </c>
      <c r="G205" s="7" t="inlineStr">
        <is>
          <t>METARHIZIUM ANISOPLIAE ISOLADO IBCB 425 (mín. 1,0x10^9 conídios/g)</t>
        </is>
      </c>
      <c r="H205" s="7" t="inlineStr">
        <is>
          <t>Metarhizium anisopliae (Isolado IBCB 425 / Cepa entomopatogênica)</t>
        </is>
      </c>
      <c r="I205" s="7" t="inlineStr">
        <is>
          <t>Agente Microbiológico de Controle (Fungo Entomopatogênico)</t>
        </is>
      </c>
      <c r="J205" s="7" t="inlineStr">
        <is>
          <t>IRAC Grupo UNF — Bioinseticida Microbiológico</t>
        </is>
      </c>
      <c r="K205" s="7" t="inlineStr">
        <is>
          <t>Infecção tegumentar por conídios, penetração hemocélica e produção de destruxinas</t>
        </is>
      </c>
      <c r="L205" s="9" t="n">
        <v>100</v>
      </c>
      <c r="M205" s="7" t="inlineStr">
        <is>
          <t>g/kg</t>
        </is>
      </c>
      <c r="N205" s="7" t="inlineStr">
        <is>
          <t>Registro Técnico Vinculado MAPA</t>
        </is>
      </c>
    </row>
    <row r="206" ht="22" customHeight="1">
      <c r="A206" s="12" t="inlineStr">
        <is>
          <t>CMP-0202</t>
        </is>
      </c>
      <c r="B206" s="11" t="n">
        <v>149</v>
      </c>
      <c r="C206" s="13" t="inlineStr">
        <is>
          <t>Nº 40818</t>
        </is>
      </c>
      <c r="D206" s="14" t="inlineStr">
        <is>
          <t>GLUFOSINATE-AMMONIUN 200 SL YONON</t>
        </is>
      </c>
      <c r="E206" s="11" t="n">
        <v>1</v>
      </c>
      <c r="F206" s="13" t="inlineStr">
        <is>
          <t>Ingrediente Ativo Principal</t>
        </is>
      </c>
      <c r="G206" s="13" t="inlineStr">
        <is>
          <t>GLUFOSINATO 200</t>
        </is>
      </c>
      <c r="H206" s="13" t="inlineStr">
        <is>
          <t>Ammonium (2RS)-2-amino-4-(methylphosphinato)butyric acid (Glufosinato Sal de Amônio)</t>
        </is>
      </c>
      <c r="I206" s="13" t="inlineStr">
        <is>
          <t>Homoalanina substituída (Ácido fosfínico)</t>
        </is>
      </c>
      <c r="J206" s="13" t="inlineStr">
        <is>
          <t>HRAC Grupo H (10) — Inibidores da Glutamina Sintetase</t>
        </is>
      </c>
      <c r="K206" s="13" t="inlineStr">
        <is>
          <t>Inibição da enzima glutamina sintetase (acúmulo de amônia intracelular)</t>
        </is>
      </c>
      <c r="L206" s="15" t="n">
        <v>200</v>
      </c>
      <c r="M206" s="13" t="inlineStr">
        <is>
          <t>g/L</t>
        </is>
      </c>
      <c r="N206" s="13" t="inlineStr">
        <is>
          <t>Registro Técnico Vinculado MAPA</t>
        </is>
      </c>
    </row>
    <row r="207" ht="22" customHeight="1">
      <c r="A207" s="6" t="inlineStr">
        <is>
          <t>CMP-0203</t>
        </is>
      </c>
      <c r="B207" s="5" t="n">
        <v>150</v>
      </c>
      <c r="C207" s="7" t="inlineStr">
        <is>
          <t>Nº 9420</t>
        </is>
      </c>
      <c r="D207" s="8" t="inlineStr">
        <is>
          <t>ENSIS-TURBO</t>
        </is>
      </c>
      <c r="E207" s="5" t="n">
        <v>1</v>
      </c>
      <c r="F207" s="7" t="inlineStr">
        <is>
          <t>Ingrediente Ativo Principal</t>
        </is>
      </c>
      <c r="G207" s="7" t="inlineStr">
        <is>
          <t>AZOXISTROBINA 120</t>
        </is>
      </c>
      <c r="H207" s="7" t="inlineStr">
        <is>
          <t>Methyl (E)-2-{2-[6-(2-cyanophenoxy)pyrimidin-4-yloxy]phenyl}-3-methoxyacrylate</t>
        </is>
      </c>
      <c r="I207" s="7" t="inlineStr">
        <is>
          <t>Estrobilurina (Metoxiacrilato)</t>
        </is>
      </c>
      <c r="J207" s="7" t="inlineStr">
        <is>
          <t>FRAC Grupo 11 (QoI)</t>
        </is>
      </c>
      <c r="K207" s="7" t="inlineStr">
        <is>
          <t>Inibidores da respiração mitocondrial no complexo III (citocromo bc1)</t>
        </is>
      </c>
      <c r="L207" s="9" t="n">
        <v>120</v>
      </c>
      <c r="M207" s="7" t="inlineStr">
        <is>
          <t>g/L</t>
        </is>
      </c>
      <c r="N207" s="7" t="inlineStr">
        <is>
          <t>Registro Técnico Vinculado MAPA</t>
        </is>
      </c>
    </row>
    <row r="208" ht="22" customHeight="1">
      <c r="A208" s="12" t="inlineStr">
        <is>
          <t>CMP-0204</t>
        </is>
      </c>
      <c r="B208" s="11" t="n">
        <v>150</v>
      </c>
      <c r="C208" s="13" t="inlineStr">
        <is>
          <t>Nº 9420</t>
        </is>
      </c>
      <c r="D208" s="14" t="inlineStr">
        <is>
          <t>ENSIS-TURBO</t>
        </is>
      </c>
      <c r="E208" s="11" t="n">
        <v>2</v>
      </c>
      <c r="F208" s="13" t="inlineStr">
        <is>
          <t>Ingrediente Ativo Principal</t>
        </is>
      </c>
      <c r="G208" s="13" t="inlineStr">
        <is>
          <t>TEBUCONAZOL 360</t>
        </is>
      </c>
      <c r="H208" s="13" t="inlineStr">
        <is>
          <t>(RS)-1-p-chlorophenyl-4,4-dimethyl-3-(1H-1,2,4-triazol-1-ylmethyl)pentan-3-ol</t>
        </is>
      </c>
      <c r="I208" s="13" t="inlineStr">
        <is>
          <t>Triazol</t>
        </is>
      </c>
      <c r="J208" s="13" t="inlineStr">
        <is>
          <t>FRAC Grupo 3 (DMI)</t>
        </is>
      </c>
      <c r="K208" s="13" t="inlineStr">
        <is>
          <t>Inibidores da desmetilação de C14 na biossíntese de ergosterol</t>
        </is>
      </c>
      <c r="L208" s="15" t="n">
        <v>360</v>
      </c>
      <c r="M208" s="13" t="inlineStr">
        <is>
          <t>g/L</t>
        </is>
      </c>
      <c r="N208" s="13" t="inlineStr">
        <is>
          <t>Registro Técnico Vinculado MAPA</t>
        </is>
      </c>
    </row>
    <row r="209" ht="22" customHeight="1">
      <c r="A209" s="6" t="inlineStr">
        <is>
          <t>CMP-0205</t>
        </is>
      </c>
      <c r="B209" s="5" t="n">
        <v>151</v>
      </c>
      <c r="C209" s="7" t="inlineStr">
        <is>
          <t>Nº 15508</t>
        </is>
      </c>
      <c r="D209" s="8" t="inlineStr">
        <is>
          <t>TRINITY</t>
        </is>
      </c>
      <c r="E209" s="5" t="n">
        <v>1</v>
      </c>
      <c r="F209" s="7" t="inlineStr">
        <is>
          <t>Ingrediente Ativo Principal</t>
        </is>
      </c>
      <c r="G209" s="7" t="inlineStr">
        <is>
          <t>FLUTRIAFOL 250</t>
        </is>
      </c>
      <c r="H209" s="7" t="inlineStr">
        <is>
          <t>(RS)-2,4-difluoro-alpha-(1H-1,2,4-triazol-1-ylmethyl)benzhydryl alcohol</t>
        </is>
      </c>
      <c r="I209" s="7" t="inlineStr">
        <is>
          <t>Triazol</t>
        </is>
      </c>
      <c r="J209" s="7" t="inlineStr">
        <is>
          <t>FRAC Grupo 3 (G1 — DMI)</t>
        </is>
      </c>
      <c r="K209" s="7" t="inlineStr">
        <is>
          <t>Inibidores da desmetilação do C14 na biossíntese do ergosterol</t>
        </is>
      </c>
      <c r="L209" s="9" t="n">
        <v>250</v>
      </c>
      <c r="M209" s="7" t="inlineStr">
        <is>
          <t>g/L</t>
        </is>
      </c>
      <c r="N209" s="7" t="inlineStr">
        <is>
          <t>Registro Técnico Vinculado MAPA</t>
        </is>
      </c>
    </row>
    <row r="210" ht="22" customHeight="1">
      <c r="A210" s="12" t="inlineStr">
        <is>
          <t>CMP-0206</t>
        </is>
      </c>
      <c r="B210" s="11" t="n">
        <v>152</v>
      </c>
      <c r="C210" s="13" t="inlineStr">
        <is>
          <t>Nº 9621</t>
        </is>
      </c>
      <c r="D210" s="14" t="inlineStr">
        <is>
          <t>PRECISO XK</t>
        </is>
      </c>
      <c r="E210" s="11" t="n">
        <v>1</v>
      </c>
      <c r="F210" s="13" t="inlineStr">
        <is>
          <t>Ingrediente Ativo Principal</t>
        </is>
      </c>
      <c r="G210" s="13" t="inlineStr">
        <is>
          <t>GLIFOSATO SAL DE POTÁSSIO 660 g/L (Equiv. 540 g/L Ácido)</t>
        </is>
      </c>
      <c r="H210" s="13" t="inlineStr">
        <is>
          <t>N-(phosphonomethyl)glycine (Potassium salt)</t>
        </is>
      </c>
      <c r="I210" s="13" t="inlineStr">
        <is>
          <t>Glicina substituída</t>
        </is>
      </c>
      <c r="J210" s="13" t="inlineStr">
        <is>
          <t>HRAC Grupo G (9) — Inibidores da EPSPs</t>
        </is>
      </c>
      <c r="K210" s="13" t="inlineStr">
        <is>
          <t>Inibidores da enzima EPSPs (Enoil Piruvil Shiquimato Fosfato Sintase)</t>
        </is>
      </c>
      <c r="L210" s="15" t="n">
        <v>540</v>
      </c>
      <c r="M210" s="13" t="inlineStr">
        <is>
          <t>g/L</t>
        </is>
      </c>
      <c r="N210" s="13" t="inlineStr">
        <is>
          <t>Glifosato Técnico Albaugh</t>
        </is>
      </c>
    </row>
    <row r="211" ht="22" customHeight="1">
      <c r="A211" s="6" t="inlineStr">
        <is>
          <t>CMP-0207</t>
        </is>
      </c>
      <c r="B211" s="5" t="n">
        <v>153</v>
      </c>
      <c r="C211" s="7" t="inlineStr">
        <is>
          <t>SIPEAGRO (UF-XXXXX)</t>
        </is>
      </c>
      <c r="D211" s="8" t="inlineStr">
        <is>
          <t>BIOMAX AZUM</t>
        </is>
      </c>
      <c r="E211" s="5" t="n">
        <v>1</v>
      </c>
      <c r="F211" s="7" t="inlineStr">
        <is>
          <t>Agente Biológico / Cepa</t>
        </is>
      </c>
      <c r="G211" s="7" t="inlineStr">
        <is>
          <t>AZOSPIRILLUM BRASILENSE CEPAS Ab-V5 E Ab-V6 (Garantia mín. 2,0x10^8 UFC/mL)</t>
        </is>
      </c>
      <c r="H211" s="7" t="inlineStr">
        <is>
          <t>Azospirillum brasilense estirpes Ab-V5 (CNPSo 2083) e Ab-V6 (CNPSo 2084)</t>
        </is>
      </c>
      <c r="I211" s="7" t="inlineStr">
        <is>
          <t>Inoculante Biológico Fixador de Nitrogênio e Promotor de Crescimento (PGPR)</t>
        </is>
      </c>
      <c r="J211" s="7" t="inlineStr">
        <is>
          <t>Inoculante Registrado SIPEAGRO/MAPA</t>
        </is>
      </c>
      <c r="K211" s="7" t="inlineStr">
        <is>
          <t>Fixação biológica de nitrogênio (FBN) e síntese de fitormônios enraizadores (AIA)</t>
        </is>
      </c>
      <c r="L211" s="9" t="n">
        <v>100</v>
      </c>
      <c r="M211" s="7" t="inlineStr">
        <is>
          <t>% v/v (Veículo Inoculante Estéril)</t>
        </is>
      </c>
      <c r="N211" s="7" t="inlineStr">
        <is>
          <t>Registro Técnico Vinculado MAPA</t>
        </is>
      </c>
    </row>
    <row r="212" ht="22" customHeight="1">
      <c r="A212" s="12" t="inlineStr">
        <is>
          <t>CMP-0208</t>
        </is>
      </c>
      <c r="B212" s="11" t="n">
        <v>154</v>
      </c>
      <c r="C212" s="13" t="inlineStr">
        <is>
          <t>Nº 3307</t>
        </is>
      </c>
      <c r="D212" s="14" t="inlineStr">
        <is>
          <t>BRIGADE 400 EC</t>
        </is>
      </c>
      <c r="E212" s="11" t="n">
        <v>1</v>
      </c>
      <c r="F212" s="13" t="inlineStr">
        <is>
          <t>Ingrediente Ativo Principal</t>
        </is>
      </c>
      <c r="G212" s="13" t="inlineStr">
        <is>
          <t>BIFENTRINA 400</t>
        </is>
      </c>
      <c r="H212" s="13" t="inlineStr">
        <is>
          <t>2-methylbiphenyl-3-ylmethyl (Z)-(1RS,3RS)-3-(2-chloro-3,3,3-trifluoroprop-1-enyl)-2,2-dimethylcyclopropanecarboxylate</t>
        </is>
      </c>
      <c r="I212" s="13" t="inlineStr">
        <is>
          <t>Piretroide (Tipo I)</t>
        </is>
      </c>
      <c r="J212" s="13" t="inlineStr">
        <is>
          <t>IRAC Grupo 3A</t>
        </is>
      </c>
      <c r="K212" s="13" t="inlineStr">
        <is>
          <t>Moduladores de canais de sódio em membranas nervosas</t>
        </is>
      </c>
      <c r="L212" s="15" t="n">
        <v>400</v>
      </c>
      <c r="M212" s="13" t="inlineStr">
        <is>
          <t>g/L</t>
        </is>
      </c>
      <c r="N212" s="13" t="inlineStr">
        <is>
          <t>Registro Técnico Vinculado MAPA</t>
        </is>
      </c>
    </row>
    <row r="213" ht="22" customHeight="1">
      <c r="A213" s="6" t="inlineStr">
        <is>
          <t>CMP-0209</t>
        </is>
      </c>
      <c r="B213" s="5" t="n">
        <v>155</v>
      </c>
      <c r="C213" s="7" t="inlineStr">
        <is>
          <t>SIPEAGRO (UF-XXXXX)</t>
        </is>
      </c>
      <c r="D213" s="8" t="inlineStr">
        <is>
          <t>NITRATO DE MAGNESIO 1000 X</t>
        </is>
      </c>
      <c r="E213" s="5" t="n">
        <v>1</v>
      </c>
      <c r="F213" s="7" t="inlineStr">
        <is>
          <t>Nutriente Garantido</t>
        </is>
      </c>
      <c r="G213" s="7" t="inlineStr">
        <is>
          <t>NITRATO DE MAGNESIO</t>
        </is>
      </c>
      <c r="H213" s="7" t="inlineStr">
        <is>
          <t>Composição Nutricional Oficial (NITRATO DE MAGNESIO)</t>
        </is>
      </c>
      <c r="I213" s="7" t="inlineStr">
        <is>
          <t>Fertilizante Mineral / Organomineral (Lei nº 6.894/1980)</t>
        </is>
      </c>
      <c r="J213" s="7" t="inlineStr">
        <is>
          <t>Nutrição Vegetal SIPEAGRO</t>
        </is>
      </c>
      <c r="K213" s="7" t="inlineStr">
        <is>
          <t>Fornecimento de macro e micronutrientes essenciais ao metabolismo vegetal</t>
        </is>
      </c>
      <c r="L213" s="9" t="n">
        <v>100</v>
      </c>
      <c r="M213" s="7" t="inlineStr">
        <is>
          <t>% m/m</t>
        </is>
      </c>
      <c r="N213" s="7" t="inlineStr">
        <is>
          <t>Registro Técnico Vinculado MAPA</t>
        </is>
      </c>
    </row>
    <row r="214" ht="22" customHeight="1">
      <c r="A214" s="12" t="inlineStr">
        <is>
          <t>CMP-0210</t>
        </is>
      </c>
      <c r="B214" s="11" t="n">
        <v>156</v>
      </c>
      <c r="C214" s="13" t="inlineStr">
        <is>
          <t>Nº 36321</t>
        </is>
      </c>
      <c r="D214" s="14" t="inlineStr">
        <is>
          <t>ERRADIK</t>
        </is>
      </c>
      <c r="E214" s="11" t="n">
        <v>1</v>
      </c>
      <c r="F214" s="13" t="inlineStr">
        <is>
          <t>Ingrediente Ativo Principal</t>
        </is>
      </c>
      <c r="G214" s="13" t="inlineStr">
        <is>
          <t>DIFENOCONAZOL 250</t>
        </is>
      </c>
      <c r="H214" s="13" t="inlineStr">
        <is>
          <t>cis,trans-3-chloro-4-[4-methyl-2-(1H-1,2,4-triazol-1-ylmethyl)-1,3-dioxolan-2-yl]phenyl 4-chlorophenyl ether</t>
        </is>
      </c>
      <c r="I214" s="13" t="inlineStr">
        <is>
          <t>Triazol</t>
        </is>
      </c>
      <c r="J214" s="13" t="inlineStr">
        <is>
          <t>FRAC Grupo 3 (DMI)</t>
        </is>
      </c>
      <c r="K214" s="13" t="inlineStr">
        <is>
          <t>Inibidores da desmetilação de esteróis (C14-desmetilase na síntese de ergosterol)</t>
        </is>
      </c>
      <c r="L214" s="15" t="n">
        <v>250</v>
      </c>
      <c r="M214" s="13" t="inlineStr">
        <is>
          <t>g/L</t>
        </is>
      </c>
      <c r="N214" s="13" t="inlineStr">
        <is>
          <t>Registro Técnico Vinculado MAPA</t>
        </is>
      </c>
    </row>
    <row r="215" ht="22" customHeight="1">
      <c r="A215" s="6" t="inlineStr">
        <is>
          <t>CMP-0211</t>
        </is>
      </c>
      <c r="B215" s="5" t="n">
        <v>157</v>
      </c>
      <c r="C215" s="7" t="inlineStr">
        <is>
          <t>Nº 31618</t>
        </is>
      </c>
      <c r="D215" s="8" t="inlineStr">
        <is>
          <t>ASSARIS</t>
        </is>
      </c>
      <c r="E215" s="5" t="n">
        <v>1</v>
      </c>
      <c r="F215" s="7" t="inlineStr">
        <is>
          <t>Ingrediente Ativo Principal</t>
        </is>
      </c>
      <c r="G215" s="7" t="inlineStr">
        <is>
          <t>METOMIL 215</t>
        </is>
      </c>
      <c r="H215" s="7" t="inlineStr">
        <is>
          <t>S-methyl N-(methylcarbamoyloxy)thioacetimidate</t>
        </is>
      </c>
      <c r="I215" s="7" t="inlineStr">
        <is>
          <t>Metilcarbamato de oxima</t>
        </is>
      </c>
      <c r="J215" s="7" t="inlineStr">
        <is>
          <t>IRAC Grupo 1A</t>
        </is>
      </c>
      <c r="K215" s="7" t="inlineStr">
        <is>
          <t>Inibidores reversíveis da enzima acetilcolinesterase (AChE)</t>
        </is>
      </c>
      <c r="L215" s="9" t="n">
        <v>215</v>
      </c>
      <c r="M215" s="7" t="inlineStr">
        <is>
          <t>g/L</t>
        </is>
      </c>
      <c r="N215" s="7" t="inlineStr">
        <is>
          <t>Registro Técnico Vinculado MAPA</t>
        </is>
      </c>
    </row>
    <row r="216" ht="22" customHeight="1">
      <c r="A216" s="12" t="inlineStr">
        <is>
          <t>CMP-0212</t>
        </is>
      </c>
      <c r="B216" s="11" t="n">
        <v>158</v>
      </c>
      <c r="C216" s="13" t="inlineStr">
        <is>
          <t>Nº 17219</t>
        </is>
      </c>
      <c r="D216" s="14" t="inlineStr">
        <is>
          <t>FLUAZINAM</t>
        </is>
      </c>
      <c r="E216" s="11" t="n">
        <v>1</v>
      </c>
      <c r="F216" s="13" t="inlineStr">
        <is>
          <t>Ingrediente Ativo Principal</t>
        </is>
      </c>
      <c r="G216" s="13" t="inlineStr">
        <is>
          <t>FLUAZINAM 500</t>
        </is>
      </c>
      <c r="H216" s="13" t="inlineStr">
        <is>
          <t>3-chloro-N-(3-chloro-5-trifluoromethyl-2-pyridyl)-a,a,a-trifluoro-2,6-dinitro-p-toluidine</t>
        </is>
      </c>
      <c r="I216" s="13" t="inlineStr">
        <is>
          <t>Fenilpiridinamina (2,6-dinitroanilina)</t>
        </is>
      </c>
      <c r="J216" s="13" t="inlineStr">
        <is>
          <t>FRAC Grupo 29</t>
        </is>
      </c>
      <c r="K216" s="13" t="inlineStr">
        <is>
          <t>Desacopladores da fosforilação oxidativa mitocondrial</t>
        </is>
      </c>
      <c r="L216" s="15" t="n">
        <v>500</v>
      </c>
      <c r="M216" s="13" t="inlineStr">
        <is>
          <t>g/L</t>
        </is>
      </c>
      <c r="N216" s="13" t="inlineStr">
        <is>
          <t>Registro Técnico Vinculado MAPA</t>
        </is>
      </c>
    </row>
    <row r="217" ht="22" customHeight="1">
      <c r="A217" s="6" t="inlineStr">
        <is>
          <t>CMP-0213</t>
        </is>
      </c>
      <c r="B217" s="5" t="n">
        <v>159</v>
      </c>
      <c r="C217" s="7" t="inlineStr">
        <is>
          <t>SIPEAGRO (UF-XXXXX)</t>
        </is>
      </c>
      <c r="D217" s="8" t="inlineStr">
        <is>
          <t>D0323.02-B1A (CU-9,0% MN-18,0% K20-1,0%)</t>
        </is>
      </c>
      <c r="E217" s="5" t="n">
        <v>1</v>
      </c>
      <c r="F217" s="7" t="inlineStr">
        <is>
          <t>Nutriente Garantido</t>
        </is>
      </c>
      <c r="G217" s="7" t="inlineStr">
        <is>
          <t>B 8%, N 5%, CU 0,3%, MO 0,03%</t>
        </is>
      </c>
      <c r="H217" s="7" t="inlineStr">
        <is>
          <t>Composição Nutricional Oficial (B 8%, N 5%, CU 0,3%, MO 0,03%)</t>
        </is>
      </c>
      <c r="I217" s="7" t="inlineStr">
        <is>
          <t>Fertilizante Mineral / Organomineral (Lei nº 6.894/1980)</t>
        </is>
      </c>
      <c r="J217" s="7" t="inlineStr">
        <is>
          <t>Nutrição Vegetal SIPEAGRO</t>
        </is>
      </c>
      <c r="K217" s="7" t="inlineStr">
        <is>
          <t>Fornecimento de macro e micronutrientes essenciais ao metabolismo vegetal</t>
        </is>
      </c>
      <c r="L217" s="9" t="n">
        <v>8</v>
      </c>
      <c r="M217" s="7" t="inlineStr">
        <is>
          <t>% m/m</t>
        </is>
      </c>
      <c r="N217" s="7" t="inlineStr">
        <is>
          <t>Registro Técnico Vinculado MAPA</t>
        </is>
      </c>
    </row>
    <row r="218" ht="22" customHeight="1">
      <c r="A218" s="12" t="inlineStr">
        <is>
          <t>CMP-0214</t>
        </is>
      </c>
      <c r="B218" s="11" t="n">
        <v>159</v>
      </c>
      <c r="C218" s="13" t="inlineStr">
        <is>
          <t>SIPEAGRO (UF-XXXXX)</t>
        </is>
      </c>
      <c r="D218" s="14" t="inlineStr">
        <is>
          <t>D0323.02-B1A (CU-9,0% MN-18,0% K20-1,0%)</t>
        </is>
      </c>
      <c r="E218" s="11" t="n">
        <v>2</v>
      </c>
      <c r="F218" s="13" t="inlineStr">
        <is>
          <t>Nutriente Garantido</t>
        </is>
      </c>
      <c r="G218" s="13" t="inlineStr">
        <is>
          <t>AA</t>
        </is>
      </c>
      <c r="H218" s="13" t="inlineStr">
        <is>
          <t>Composição Nutricional Oficial (AA)</t>
        </is>
      </c>
      <c r="I218" s="13" t="inlineStr">
        <is>
          <t>Fertilizante Mineral / Organomineral (Lei nº 6.894/1980)</t>
        </is>
      </c>
      <c r="J218" s="13" t="inlineStr">
        <is>
          <t>Nutrição Vegetal SIPEAGRO</t>
        </is>
      </c>
      <c r="K218" s="13" t="inlineStr">
        <is>
          <t>Fornecimento de macro e micronutrientes essenciais ao metabolismo vegetal</t>
        </is>
      </c>
      <c r="L218" s="15" t="n">
        <v>10</v>
      </c>
      <c r="M218" s="13" t="inlineStr">
        <is>
          <t>% m/m</t>
        </is>
      </c>
      <c r="N218" s="13" t="inlineStr">
        <is>
          <t>Registro Técnico Vinculado MAPA</t>
        </is>
      </c>
    </row>
    <row r="219" ht="22" customHeight="1">
      <c r="A219" s="6" t="inlineStr">
        <is>
          <t>CMP-0215</t>
        </is>
      </c>
      <c r="B219" s="5" t="n">
        <v>160</v>
      </c>
      <c r="C219" s="7" t="inlineStr">
        <is>
          <t>SIPEAGRO (UF-XXXXX)</t>
        </is>
      </c>
      <c r="D219" s="8" t="inlineStr">
        <is>
          <t>BIOLOGIC SOY 4X1,8L</t>
        </is>
      </c>
      <c r="E219" s="5" t="n">
        <v>1</v>
      </c>
      <c r="F219" s="7" t="inlineStr">
        <is>
          <t>Agente Biológico / Cepa</t>
        </is>
      </c>
      <c r="G219" s="7" t="inlineStr">
        <is>
          <t>BRADYRHIZOBIUM JAPONICUM / ELKANII (SEMIA 5079 + SEMIA 5080 — mín. 5,0x10^9 UFC/mL)</t>
        </is>
      </c>
      <c r="H219" s="7" t="inlineStr">
        <is>
          <t>Bradyrhizobium japonicum SEMIA 5079 e SEMIA 5080</t>
        </is>
      </c>
      <c r="I219" s="7" t="inlineStr">
        <is>
          <t>Inoculante Biológico Fixador Simbiótico de Nitrogênio</t>
        </is>
      </c>
      <c r="J219" s="7" t="inlineStr">
        <is>
          <t>Inoculante Registrado SIPEAGRO/MAPA</t>
        </is>
      </c>
      <c r="K219" s="7" t="inlineStr">
        <is>
          <t>Nodulação radicular e fixação biológica simbiótica de N2 atmosférico em leguminosas</t>
        </is>
      </c>
      <c r="L219" s="9" t="n">
        <v>100</v>
      </c>
      <c r="M219" s="7" t="inlineStr">
        <is>
          <t>% v/v (Veículo Inoculante Estéril)</t>
        </is>
      </c>
      <c r="N219" s="7" t="inlineStr">
        <is>
          <t>Registro Técnico Vinculado MAPA</t>
        </is>
      </c>
    </row>
    <row r="220" ht="22" customHeight="1">
      <c r="A220" s="12" t="inlineStr">
        <is>
          <t>CMP-0216</t>
        </is>
      </c>
      <c r="B220" s="11" t="n">
        <v>161</v>
      </c>
      <c r="C220" s="13" t="inlineStr">
        <is>
          <t>Nº 10816</t>
        </is>
      </c>
      <c r="D220" s="14" t="inlineStr">
        <is>
          <t>MAESTRO FS</t>
        </is>
      </c>
      <c r="E220" s="11" t="n">
        <v>1</v>
      </c>
      <c r="F220" s="13" t="inlineStr">
        <is>
          <t>Ingrediente Ativo Principal</t>
        </is>
      </c>
      <c r="G220" s="13" t="inlineStr">
        <is>
          <t>FIPRONIL 250</t>
        </is>
      </c>
      <c r="H220" s="13" t="inlineStr">
        <is>
          <t>(RS)-5-amino-1-(2,6-dichloro-a,a,a-trifluoro-p-tolyl)-4-trifluoromethylsulfinylpyrazole-3-carbonitrile</t>
        </is>
      </c>
      <c r="I220" s="13" t="inlineStr">
        <is>
          <t>Pirazol (Fenilpirazol)</t>
        </is>
      </c>
      <c r="J220" s="13" t="inlineStr">
        <is>
          <t>IRAC Grupo 2B</t>
        </is>
      </c>
      <c r="K220" s="13" t="inlineStr">
        <is>
          <t>Bloqueadores de canais de cloro mediados pelo GABA</t>
        </is>
      </c>
      <c r="L220" s="15" t="n">
        <v>250</v>
      </c>
      <c r="M220" s="13" t="inlineStr">
        <is>
          <t>g/L</t>
        </is>
      </c>
      <c r="N220" s="13" t="inlineStr">
        <is>
          <t>Registro Técnico Vinculado MAPA</t>
        </is>
      </c>
    </row>
    <row r="221" ht="22" customHeight="1">
      <c r="A221" s="6" t="inlineStr">
        <is>
          <t>CMP-0217</t>
        </is>
      </c>
      <c r="B221" s="5" t="n">
        <v>162</v>
      </c>
      <c r="C221" s="7" t="inlineStr">
        <is>
          <t>SIPEAGRO (UF-XXXXX)</t>
        </is>
      </c>
      <c r="D221" s="8" t="inlineStr">
        <is>
          <t>ECOBOR 10 - ULEXITA BAG 1.273 KG (IMP)</t>
        </is>
      </c>
      <c r="E221" s="5" t="n">
        <v>1</v>
      </c>
      <c r="F221" s="7" t="inlineStr">
        <is>
          <t>Ingrediente Ativo Principal</t>
        </is>
      </c>
      <c r="G221" s="7" t="inlineStr">
        <is>
          <t>BORO 10% - ULEXITA</t>
        </is>
      </c>
      <c r="H221" s="7" t="inlineStr">
        <is>
          <t>Corretivo / Condicionador Mineral (BORO 10% - ULEXITA)</t>
        </is>
      </c>
      <c r="I221" s="7" t="inlineStr">
        <is>
          <t>Corretivo de Acidez / Condicionador de Solo (SIPEAGRO)</t>
        </is>
      </c>
      <c r="J221" s="7" t="inlineStr">
        <is>
          <t>Correção Química de Solo</t>
        </is>
      </c>
      <c r="K221" s="7" t="inlineStr">
        <is>
          <t>Neutralização de Al3+ tóxico e fornecimento de Ca2+, Mg2+, S ou B</t>
        </is>
      </c>
      <c r="L221" s="9" t="n">
        <v>10</v>
      </c>
      <c r="M221" s="7" t="inlineStr">
        <is>
          <t>% m/m</t>
        </is>
      </c>
      <c r="N221" s="7" t="inlineStr">
        <is>
          <t>Registro Técnico Vinculado MAPA</t>
        </is>
      </c>
    </row>
    <row r="222" ht="22" customHeight="1">
      <c r="A222" s="12" t="inlineStr">
        <is>
          <t>CMP-0218</t>
        </is>
      </c>
      <c r="B222" s="11" t="n">
        <v>163</v>
      </c>
      <c r="C222" s="13" t="inlineStr">
        <is>
          <t>SIPEAGRO (UF-XXXXX)</t>
        </is>
      </c>
      <c r="D222" s="14" t="inlineStr">
        <is>
          <t>NODOFIX AZP 4X1,8L</t>
        </is>
      </c>
      <c r="E222" s="11" t="n">
        <v>1</v>
      </c>
      <c r="F222" s="13" t="inlineStr">
        <is>
          <t>Agente Biológico / Cepa</t>
        </is>
      </c>
      <c r="G222" s="13" t="inlineStr">
        <is>
          <t>AZOSPIRILLUM BRASILENSE CEPAS Ab-V5 E Ab-V6 (Garantia mín. 2,0x10^8 UFC/mL)</t>
        </is>
      </c>
      <c r="H222" s="13" t="inlineStr">
        <is>
          <t>Azospirillum brasilense estirpes Ab-V5 (CNPSo 2083) e Ab-V6 (CNPSo 2084)</t>
        </is>
      </c>
      <c r="I222" s="13" t="inlineStr">
        <is>
          <t>Inoculante Biológico Fixador de Nitrogênio e Promotor de Crescimento (PGPR)</t>
        </is>
      </c>
      <c r="J222" s="13" t="inlineStr">
        <is>
          <t>Inoculante Registrado SIPEAGRO/MAPA</t>
        </is>
      </c>
      <c r="K222" s="13" t="inlineStr">
        <is>
          <t>Fixação biológica de nitrogênio (FBN) e síntese de fitormônios enraizadores (AIA)</t>
        </is>
      </c>
      <c r="L222" s="15" t="n">
        <v>100</v>
      </c>
      <c r="M222" s="13" t="inlineStr">
        <is>
          <t>% v/v (Veículo Inoculante Estéril)</t>
        </is>
      </c>
      <c r="N222" s="13" t="inlineStr">
        <is>
          <t>Registro Técnico Vinculado MAPA</t>
        </is>
      </c>
    </row>
    <row r="223" ht="22" customHeight="1">
      <c r="A223" s="6" t="inlineStr">
        <is>
          <t>CMP-0219</t>
        </is>
      </c>
      <c r="B223" s="5" t="n">
        <v>164</v>
      </c>
      <c r="C223" s="7" t="inlineStr">
        <is>
          <t>Nº 3010</t>
        </is>
      </c>
      <c r="D223" s="8" t="inlineStr">
        <is>
          <t>BAZUKA 216 SL</t>
        </is>
      </c>
      <c r="E223" s="5" t="n">
        <v>1</v>
      </c>
      <c r="F223" s="7" t="inlineStr">
        <is>
          <t>Ingrediente Ativo Principal</t>
        </is>
      </c>
      <c r="G223" s="7" t="inlineStr">
        <is>
          <t>METOMIL 215</t>
        </is>
      </c>
      <c r="H223" s="7" t="inlineStr">
        <is>
          <t>S-methyl N-(methylcarbamoyloxy)thioacetimidate</t>
        </is>
      </c>
      <c r="I223" s="7" t="inlineStr">
        <is>
          <t>Metilcarbamato de oxima</t>
        </is>
      </c>
      <c r="J223" s="7" t="inlineStr">
        <is>
          <t>IRAC Grupo 1A</t>
        </is>
      </c>
      <c r="K223" s="7" t="inlineStr">
        <is>
          <t>Inibidores reversíveis da enzima acetilcolinesterase (AChE)</t>
        </is>
      </c>
      <c r="L223" s="9" t="n">
        <v>215</v>
      </c>
      <c r="M223" s="7" t="inlineStr">
        <is>
          <t>g/L</t>
        </is>
      </c>
      <c r="N223" s="7" t="inlineStr">
        <is>
          <t>Registro Técnico Vinculado MAPA</t>
        </is>
      </c>
    </row>
    <row r="224" ht="22" customHeight="1">
      <c r="A224" s="12" t="inlineStr">
        <is>
          <t>CMP-0220</t>
        </is>
      </c>
      <c r="B224" s="11" t="n">
        <v>165</v>
      </c>
      <c r="C224" s="13" t="inlineStr">
        <is>
          <t>Nº 8319</t>
        </is>
      </c>
      <c r="D224" s="14" t="inlineStr">
        <is>
          <t>DIUROM 500</t>
        </is>
      </c>
      <c r="E224" s="11" t="n">
        <v>1</v>
      </c>
      <c r="F224" s="13" t="inlineStr">
        <is>
          <t>Ingrediente Ativo Principal</t>
        </is>
      </c>
      <c r="G224" s="13" t="inlineStr">
        <is>
          <t>DIUROM 500</t>
        </is>
      </c>
      <c r="H224" s="13" t="inlineStr">
        <is>
          <t>3-(3,4-dichlorophenyl)-1,1-dimethylurea</t>
        </is>
      </c>
      <c r="I224" s="13" t="inlineStr">
        <is>
          <t>Ureia Substituída (Fenilureia)</t>
        </is>
      </c>
      <c r="J224" s="13" t="inlineStr">
        <is>
          <t>HRAC Grupo C2 (5) — Inibidores do Fotossistema II</t>
        </is>
      </c>
      <c r="K224" s="13" t="inlineStr">
        <is>
          <t>Inibição do transporte de elétrons no Fotossistema II (sítio Serina 264)</t>
        </is>
      </c>
      <c r="L224" s="15" t="n">
        <v>500</v>
      </c>
      <c r="M224" s="13" t="inlineStr">
        <is>
          <t>g/L</t>
        </is>
      </c>
      <c r="N224" s="13" t="inlineStr">
        <is>
          <t>Registro Técnico Vinculado MAPA</t>
        </is>
      </c>
    </row>
    <row r="225" ht="22" customHeight="1">
      <c r="A225" s="6" t="inlineStr">
        <is>
          <t>CMP-0221</t>
        </is>
      </c>
      <c r="B225" s="5" t="n">
        <v>166</v>
      </c>
      <c r="C225" s="7" t="inlineStr">
        <is>
          <t>Nº 31222</t>
        </is>
      </c>
      <c r="D225" s="8" t="inlineStr">
        <is>
          <t>GLINT FULL</t>
        </is>
      </c>
      <c r="E225" s="5" t="n">
        <v>1</v>
      </c>
      <c r="F225" s="7" t="inlineStr">
        <is>
          <t>Ingrediente Ativo Principal</t>
        </is>
      </c>
      <c r="G225" s="7" t="inlineStr">
        <is>
          <t>HALOXIFOPE-P-METILICO 540</t>
        </is>
      </c>
      <c r="H225" s="7" t="inlineStr">
        <is>
          <t>Methyl (R)-2-{4-[3-chloro-5-(trifluoromethyl)-2-pyridyloxy]phenoxy}propionate</t>
        </is>
      </c>
      <c r="I225" s="7" t="inlineStr">
        <is>
          <t>Ariloxifenoxipropionato (FOP)</t>
        </is>
      </c>
      <c r="J225" s="7" t="inlineStr">
        <is>
          <t>HRAC Grupo A (1) — Inibidores da ACCase</t>
        </is>
      </c>
      <c r="K225" s="7" t="inlineStr">
        <is>
          <t>Inibição da enzima acetil-CoA carboxilase (síntese de ácidos graxos)</t>
        </is>
      </c>
      <c r="L225" s="9" t="n">
        <v>540</v>
      </c>
      <c r="M225" s="7" t="inlineStr">
        <is>
          <t>g/L</t>
        </is>
      </c>
      <c r="N225" s="7" t="inlineStr">
        <is>
          <t>Registro Técnico Vinculado MAPA</t>
        </is>
      </c>
    </row>
    <row r="226" ht="22" customHeight="1">
      <c r="A226" s="12" t="inlineStr">
        <is>
          <t>CMP-0222</t>
        </is>
      </c>
      <c r="B226" s="11" t="n">
        <v>167</v>
      </c>
      <c r="C226" s="13" t="inlineStr">
        <is>
          <t>Nº 17208</t>
        </is>
      </c>
      <c r="D226" s="14" t="inlineStr">
        <is>
          <t>TRICLON</t>
        </is>
      </c>
      <c r="E226" s="11" t="n">
        <v>1</v>
      </c>
      <c r="F226" s="13" t="inlineStr">
        <is>
          <t>Ingrediente Ativo Principal</t>
        </is>
      </c>
      <c r="G226" s="13" t="inlineStr">
        <is>
          <t>TRICLOPIR-BUTOTÍLICO 667 g/L (Equiv. 480 g/L Triclopir Ácido)</t>
        </is>
      </c>
      <c r="H226" s="13" t="inlineStr">
        <is>
          <t>2-butoxyethyl [(3,5,6-trichloro-2-pyridinyl)oxy]acetate (Triclopir-butotílico)</t>
        </is>
      </c>
      <c r="I226" s="13" t="inlineStr">
        <is>
          <t>Ácido piridiniloxialcanoico</t>
        </is>
      </c>
      <c r="J226" s="13" t="inlineStr">
        <is>
          <t>HRAC Grupo O (4) — Auxinas Sintéticas</t>
        </is>
      </c>
      <c r="K226" s="13" t="inlineStr">
        <is>
          <t>Mimetizadores da auxina (crescimento desordenado e epinastia)</t>
        </is>
      </c>
      <c r="L226" s="15" t="n">
        <v>480</v>
      </c>
      <c r="M226" s="13" t="inlineStr">
        <is>
          <t>g/L</t>
        </is>
      </c>
      <c r="N226" s="13" t="inlineStr">
        <is>
          <t>Registro Técnico Vinculado MAPA</t>
        </is>
      </c>
    </row>
    <row r="227" ht="22" customHeight="1">
      <c r="A227" s="6" t="inlineStr">
        <is>
          <t>CMP-0223</t>
        </is>
      </c>
      <c r="B227" s="5" t="n">
        <v>168</v>
      </c>
      <c r="C227" s="7" t="inlineStr">
        <is>
          <t>Nº 10416</t>
        </is>
      </c>
      <c r="D227" s="8" t="inlineStr">
        <is>
          <t>ZETHAMAXX</t>
        </is>
      </c>
      <c r="E227" s="5" t="n">
        <v>1</v>
      </c>
      <c r="F227" s="7" t="inlineStr">
        <is>
          <t>Ingrediente Ativo Principal</t>
        </is>
      </c>
      <c r="G227" s="7" t="inlineStr">
        <is>
          <t>FLUMIOXAZINA 100</t>
        </is>
      </c>
      <c r="H227" s="7" t="inlineStr">
        <is>
          <t>N-(7-fluoro-3,4-dihydro-3-oxo-4-prop-2-ynyl-2H-1,4-benzoxazin-6-yl)cyclohex-1-ene-1,2-dicarboximide</t>
        </is>
      </c>
      <c r="I227" s="7" t="inlineStr">
        <is>
          <t>N-fenilftalimida</t>
        </is>
      </c>
      <c r="J227" s="7" t="inlineStr">
        <is>
          <t>HRAC Grupo E (14) — Inibidores da PROTOX</t>
        </is>
      </c>
      <c r="K227" s="7" t="inlineStr">
        <is>
          <t>Inibidores da enzima protoporfirinogênio oxidase (PROTOX)</t>
        </is>
      </c>
      <c r="L227" s="9" t="n">
        <v>100</v>
      </c>
      <c r="M227" s="7" t="inlineStr">
        <is>
          <t>g/L</t>
        </is>
      </c>
      <c r="N227" s="7" t="inlineStr">
        <is>
          <t>Registro Técnico Vinculado MAPA</t>
        </is>
      </c>
    </row>
    <row r="228" ht="22" customHeight="1">
      <c r="A228" s="12" t="inlineStr">
        <is>
          <t>CMP-0224</t>
        </is>
      </c>
      <c r="B228" s="11" t="n">
        <v>168</v>
      </c>
      <c r="C228" s="13" t="inlineStr">
        <is>
          <t>Nº 10416</t>
        </is>
      </c>
      <c r="D228" s="14" t="inlineStr">
        <is>
          <t>ZETHAMAXX</t>
        </is>
      </c>
      <c r="E228" s="11" t="n">
        <v>2</v>
      </c>
      <c r="F228" s="13" t="inlineStr">
        <is>
          <t>Ingrediente Ativo Principal</t>
        </is>
      </c>
      <c r="G228" s="13" t="inlineStr">
        <is>
          <t>IMAZETAPIR 212</t>
        </is>
      </c>
      <c r="H228" s="13" t="inlineStr">
        <is>
          <t>(RS)-5-ethyl-2-(4-isopropyl-4-methyl-5-oxo-2-imidazolin-2-yl)nicotinic acid</t>
        </is>
      </c>
      <c r="I228" s="13" t="inlineStr">
        <is>
          <t>Imidazolinona</t>
        </is>
      </c>
      <c r="J228" s="13" t="inlineStr">
        <is>
          <t>HRAC Grupo B (2) — Inibidores da ALS</t>
        </is>
      </c>
      <c r="K228" s="13" t="inlineStr">
        <is>
          <t>Inibição da enzima acetolactato sintase (ALS / AHAS)</t>
        </is>
      </c>
      <c r="L228" s="15" t="n">
        <v>212</v>
      </c>
      <c r="M228" s="13" t="inlineStr">
        <is>
          <t>g/L</t>
        </is>
      </c>
      <c r="N228" s="13" t="inlineStr">
        <is>
          <t>Registro Técnico Vinculado MAPA</t>
        </is>
      </c>
    </row>
    <row r="229" ht="22" customHeight="1">
      <c r="A229" s="6" t="inlineStr">
        <is>
          <t>CMP-0225</t>
        </is>
      </c>
      <c r="B229" s="5" t="n">
        <v>169</v>
      </c>
      <c r="C229" s="7" t="inlineStr">
        <is>
          <t>SIPEAGRO (UF-XXXXX)</t>
        </is>
      </c>
      <c r="D229" s="8" t="inlineStr">
        <is>
          <t>AZOKOP 15X1,5L</t>
        </is>
      </c>
      <c r="E229" s="5" t="n">
        <v>1</v>
      </c>
      <c r="F229" s="7" t="inlineStr">
        <is>
          <t>Agente Biológico / Cepa</t>
        </is>
      </c>
      <c r="G229" s="7" t="inlineStr">
        <is>
          <t>AZOSPIRILLUM BRASILENSE CEPAS Ab-V5 E Ab-V6 (Garantia mín. 2,0x10^8 UFC/mL)</t>
        </is>
      </c>
      <c r="H229" s="7" t="inlineStr">
        <is>
          <t>Azospirillum brasilense estirpes Ab-V5 (CNPSo 2083) e Ab-V6 (CNPSo 2084)</t>
        </is>
      </c>
      <c r="I229" s="7" t="inlineStr">
        <is>
          <t>Inoculante Biológico Fixador de Nitrogênio e Promotor de Crescimento (PGPR)</t>
        </is>
      </c>
      <c r="J229" s="7" t="inlineStr">
        <is>
          <t>Inoculante Registrado SIPEAGRO/MAPA</t>
        </is>
      </c>
      <c r="K229" s="7" t="inlineStr">
        <is>
          <t>Fixação biológica de nitrogênio (FBN) e síntese de fitormônios enraizadores (AIA)</t>
        </is>
      </c>
      <c r="L229" s="9" t="n">
        <v>100</v>
      </c>
      <c r="M229" s="7" t="inlineStr">
        <is>
          <t>% v/v (Veículo Inoculante Estéril)</t>
        </is>
      </c>
      <c r="N229" s="7" t="inlineStr">
        <is>
          <t>Registro Técnico Vinculado MAPA</t>
        </is>
      </c>
    </row>
    <row r="230" ht="22" customHeight="1">
      <c r="A230" s="12" t="inlineStr">
        <is>
          <t>CMP-0226</t>
        </is>
      </c>
      <c r="B230" s="11" t="n">
        <v>170</v>
      </c>
      <c r="C230" s="13" t="inlineStr">
        <is>
          <t>Nº 17921</t>
        </is>
      </c>
      <c r="D230" s="14" t="inlineStr">
        <is>
          <t>TIOFANATO METILICO 500</t>
        </is>
      </c>
      <c r="E230" s="11" t="n">
        <v>1</v>
      </c>
      <c r="F230" s="13" t="inlineStr">
        <is>
          <t>Ingrediente Ativo Principal</t>
        </is>
      </c>
      <c r="G230" s="13" t="inlineStr">
        <is>
          <t>TIOFANATO METILICO 500</t>
        </is>
      </c>
      <c r="H230" s="13" t="inlineStr">
        <is>
          <t>Dimethyl 4,4'-(o-phenylene)bis(3-thioallophanate)</t>
        </is>
      </c>
      <c r="I230" s="13" t="inlineStr">
        <is>
          <t>Benzimidazol (Precursor de MBC)</t>
        </is>
      </c>
      <c r="J230" s="13" t="inlineStr">
        <is>
          <t>FRAC Grupo 1 (MBC)</t>
        </is>
      </c>
      <c r="K230" s="13" t="inlineStr">
        <is>
          <t>Inibidores da montagem de beta-tubulina na mitose celular</t>
        </is>
      </c>
      <c r="L230" s="15" t="n">
        <v>500</v>
      </c>
      <c r="M230" s="13" t="inlineStr">
        <is>
          <t>g/L</t>
        </is>
      </c>
      <c r="N230" s="13" t="inlineStr">
        <is>
          <t>Registro Técnico Vinculado MAPA</t>
        </is>
      </c>
    </row>
    <row r="231" ht="22" customHeight="1">
      <c r="A231" s="6" t="inlineStr">
        <is>
          <t>CMP-0227</t>
        </is>
      </c>
      <c r="B231" s="5" t="n">
        <v>171</v>
      </c>
      <c r="C231" s="7" t="inlineStr">
        <is>
          <t>Nº 30917</t>
        </is>
      </c>
      <c r="D231" s="8" t="inlineStr">
        <is>
          <t>BIOLOGIC RAZOR</t>
        </is>
      </c>
      <c r="E231" s="5" t="n">
        <v>1</v>
      </c>
      <c r="F231" s="7" t="inlineStr">
        <is>
          <t>Ingrediente Ativo Principal</t>
        </is>
      </c>
      <c r="G231" s="7" t="inlineStr">
        <is>
          <t>CORDYCEPS FUMOSOROSEA (ISARIA FUMOSOROSEA) CEPA ESALQ-1296 (mín. 1,2x10^9 conídios/mL)</t>
        </is>
      </c>
      <c r="H231" s="7" t="inlineStr">
        <is>
          <t>Cordyceps fumosorosea (Isaria fumosorosea) cepa ESALQ-1296</t>
        </is>
      </c>
      <c r="I231" s="7" t="inlineStr">
        <is>
          <t>Agente Microbiológico de Controle (Fungo Entomopatogênico)</t>
        </is>
      </c>
      <c r="J231" s="7" t="inlineStr">
        <is>
          <t>IRAC Grupo UNF — Bioinseticida Microbiológico</t>
        </is>
      </c>
      <c r="K231" s="7" t="inlineStr">
        <is>
          <t>Penetração cuticular e colonização micelial de insetos sugadores (cigarrinha, mosca-branca e psilídeo)</t>
        </is>
      </c>
      <c r="L231" s="9" t="n">
        <v>300</v>
      </c>
      <c r="M231" s="7" t="inlineStr">
        <is>
          <t>g/L</t>
        </is>
      </c>
      <c r="N231" s="7" t="inlineStr">
        <is>
          <t>Registro Técnico Vinculado MAPA</t>
        </is>
      </c>
    </row>
    <row r="232" ht="22" customHeight="1">
      <c r="A232" s="12" t="inlineStr">
        <is>
          <t>CMP-0228</t>
        </is>
      </c>
      <c r="B232" s="11" t="n">
        <v>172</v>
      </c>
      <c r="C232" s="13" t="inlineStr">
        <is>
          <t>SIPEAGRO (UF-XXXXX)</t>
        </is>
      </c>
      <c r="D232" s="14" t="inlineStr">
        <is>
          <t>AGCN MANGANES 100</t>
        </is>
      </c>
      <c r="E232" s="11" t="n">
        <v>1</v>
      </c>
      <c r="F232" s="13" t="inlineStr">
        <is>
          <t>Nutriente Garantido</t>
        </is>
      </c>
      <c r="G232" s="13" t="inlineStr">
        <is>
          <t>MN 10% - S 5,5%</t>
        </is>
      </c>
      <c r="H232" s="13" t="inlineStr">
        <is>
          <t>Composição Nutricional Oficial (MN 10% - S 5,5%)</t>
        </is>
      </c>
      <c r="I232" s="13" t="inlineStr">
        <is>
          <t>Fertilizante Mineral / Organomineral (Lei nº 6.894/1980)</t>
        </is>
      </c>
      <c r="J232" s="13" t="inlineStr">
        <is>
          <t>Nutrição Vegetal SIPEAGRO</t>
        </is>
      </c>
      <c r="K232" s="13" t="inlineStr">
        <is>
          <t>Fornecimento de macro e micronutrientes essenciais ao metabolismo vegetal</t>
        </is>
      </c>
      <c r="L232" s="15" t="n">
        <v>10</v>
      </c>
      <c r="M232" s="13" t="inlineStr">
        <is>
          <t>% m/m</t>
        </is>
      </c>
      <c r="N232" s="13" t="inlineStr">
        <is>
          <t>Registro Técnico Vinculado MAPA</t>
        </is>
      </c>
    </row>
    <row r="233" ht="22" customHeight="1">
      <c r="A233" s="6" t="inlineStr">
        <is>
          <t>CMP-0229</t>
        </is>
      </c>
      <c r="B233" s="5" t="n">
        <v>173</v>
      </c>
      <c r="C233" s="7" t="inlineStr">
        <is>
          <t>SIPEAGRO (UF-XXXXX)</t>
        </is>
      </c>
      <c r="D233" s="8" t="inlineStr">
        <is>
          <t>AGCN ENXOFRE 100</t>
        </is>
      </c>
      <c r="E233" s="5" t="n">
        <v>1</v>
      </c>
      <c r="F233" s="7" t="inlineStr">
        <is>
          <t>Nutriente Garantido</t>
        </is>
      </c>
      <c r="G233" s="7" t="inlineStr">
        <is>
          <t>S 25%</t>
        </is>
      </c>
      <c r="H233" s="7" t="inlineStr">
        <is>
          <t>Composição Nutricional Oficial (S 25%)</t>
        </is>
      </c>
      <c r="I233" s="7" t="inlineStr">
        <is>
          <t>Fertilizante Mineral / Organomineral (Lei nº 6.894/1980)</t>
        </is>
      </c>
      <c r="J233" s="7" t="inlineStr">
        <is>
          <t>Nutrição Vegetal SIPEAGRO</t>
        </is>
      </c>
      <c r="K233" s="7" t="inlineStr">
        <is>
          <t>Fornecimento de macro e micronutrientes essenciais ao metabolismo vegetal</t>
        </is>
      </c>
      <c r="L233" s="9" t="n">
        <v>25</v>
      </c>
      <c r="M233" s="7" t="inlineStr">
        <is>
          <t>% m/m</t>
        </is>
      </c>
      <c r="N233" s="7" t="inlineStr">
        <is>
          <t>Registro Técnico Vinculado MAPA</t>
        </is>
      </c>
    </row>
    <row r="234" ht="22" customHeight="1">
      <c r="A234" s="12" t="inlineStr">
        <is>
          <t>CMP-0230</t>
        </is>
      </c>
      <c r="B234" s="11" t="n">
        <v>173</v>
      </c>
      <c r="C234" s="13" t="inlineStr">
        <is>
          <t>SIPEAGRO (UF-XXXXX)</t>
        </is>
      </c>
      <c r="D234" s="14" t="inlineStr">
        <is>
          <t>AGCN ENXOFRE 100</t>
        </is>
      </c>
      <c r="E234" s="11" t="n">
        <v>2</v>
      </c>
      <c r="F234" s="13" t="inlineStr">
        <is>
          <t>Nutriente Garantido</t>
        </is>
      </c>
      <c r="G234" s="13" t="inlineStr">
        <is>
          <t>N 12%</t>
        </is>
      </c>
      <c r="H234" s="13" t="inlineStr">
        <is>
          <t>Composição Nutricional Oficial (N 12%)</t>
        </is>
      </c>
      <c r="I234" s="13" t="inlineStr">
        <is>
          <t>Fertilizante Mineral / Organomineral (Lei nº 6.894/1980)</t>
        </is>
      </c>
      <c r="J234" s="13" t="inlineStr">
        <is>
          <t>Nutrição Vegetal SIPEAGRO</t>
        </is>
      </c>
      <c r="K234" s="13" t="inlineStr">
        <is>
          <t>Fornecimento de macro e micronutrientes essenciais ao metabolismo vegetal</t>
        </is>
      </c>
      <c r="L234" s="15" t="n">
        <v>12</v>
      </c>
      <c r="M234" s="13" t="inlineStr">
        <is>
          <t>% m/m</t>
        </is>
      </c>
      <c r="N234" s="13" t="inlineStr">
        <is>
          <t>Registro Técnico Vinculado MAPA</t>
        </is>
      </c>
    </row>
    <row r="235" ht="22" customHeight="1">
      <c r="A235" s="6" t="inlineStr">
        <is>
          <t>CMP-0231</t>
        </is>
      </c>
      <c r="B235" s="5" t="n">
        <v>174</v>
      </c>
      <c r="C235" s="7" t="inlineStr">
        <is>
          <t>SIPEAGRO (UF-XXXXX)</t>
        </is>
      </c>
      <c r="D235" s="8" t="inlineStr">
        <is>
          <t>AGCN FULL 100</t>
        </is>
      </c>
      <c r="E235" s="5" t="n">
        <v>1</v>
      </c>
      <c r="F235" s="7" t="inlineStr">
        <is>
          <t>Nutriente Garantido</t>
        </is>
      </c>
      <c r="G235" s="7" t="inlineStr">
        <is>
          <t>MACRO</t>
        </is>
      </c>
      <c r="H235" s="7" t="inlineStr">
        <is>
          <t>Composição Nutricional Oficial (MACRO)</t>
        </is>
      </c>
      <c r="I235" s="7" t="inlineStr">
        <is>
          <t>Fertilizante Mineral / Organomineral (Lei nº 6.894/1980)</t>
        </is>
      </c>
      <c r="J235" s="7" t="inlineStr">
        <is>
          <t>Nutrição Vegetal SIPEAGRO</t>
        </is>
      </c>
      <c r="K235" s="7" t="inlineStr">
        <is>
          <t>Fornecimento de macro e micronutrientes essenciais ao metabolismo vegetal</t>
        </is>
      </c>
      <c r="L235" s="9" t="n">
        <v>12</v>
      </c>
      <c r="M235" s="7" t="inlineStr">
        <is>
          <t>% m/m</t>
        </is>
      </c>
      <c r="N235" s="7" t="inlineStr">
        <is>
          <t>Registro Técnico Vinculado MAPA</t>
        </is>
      </c>
    </row>
    <row r="236" ht="22" customHeight="1">
      <c r="A236" s="12" t="inlineStr">
        <is>
          <t>CMP-0232</t>
        </is>
      </c>
      <c r="B236" s="11" t="n">
        <v>174</v>
      </c>
      <c r="C236" s="13" t="inlineStr">
        <is>
          <t>SIPEAGRO (UF-XXXXX)</t>
        </is>
      </c>
      <c r="D236" s="14" t="inlineStr">
        <is>
          <t>AGCN FULL 100</t>
        </is>
      </c>
      <c r="E236" s="11" t="n">
        <v>2</v>
      </c>
      <c r="F236" s="13" t="inlineStr">
        <is>
          <t>Nutriente Garantido</t>
        </is>
      </c>
      <c r="G236" s="13" t="inlineStr">
        <is>
          <t>MICRO</t>
        </is>
      </c>
      <c r="H236" s="13" t="inlineStr">
        <is>
          <t>Composição Nutricional Oficial (MICRO)</t>
        </is>
      </c>
      <c r="I236" s="13" t="inlineStr">
        <is>
          <t>Fertilizante Mineral / Organomineral (Lei nº 6.894/1980)</t>
        </is>
      </c>
      <c r="J236" s="13" t="inlineStr">
        <is>
          <t>Nutrição Vegetal SIPEAGRO</t>
        </is>
      </c>
      <c r="K236" s="13" t="inlineStr">
        <is>
          <t>Fornecimento de macro e micronutrientes essenciais ao metabolismo vegetal</t>
        </is>
      </c>
      <c r="L236" s="15" t="n">
        <v>5</v>
      </c>
      <c r="M236" s="13" t="inlineStr">
        <is>
          <t>% m/m</t>
        </is>
      </c>
      <c r="N236" s="13" t="inlineStr">
        <is>
          <t>Registro Técnico Vinculado MAPA</t>
        </is>
      </c>
    </row>
    <row r="237" ht="22" customHeight="1">
      <c r="A237" s="6" t="inlineStr">
        <is>
          <t>CMP-0233</t>
        </is>
      </c>
      <c r="B237" s="5" t="n">
        <v>174</v>
      </c>
      <c r="C237" s="7" t="inlineStr">
        <is>
          <t>SIPEAGRO (UF-XXXXX)</t>
        </is>
      </c>
      <c r="D237" s="8" t="inlineStr">
        <is>
          <t>AGCN FULL 100</t>
        </is>
      </c>
      <c r="E237" s="5" t="n">
        <v>3</v>
      </c>
      <c r="F237" s="7" t="inlineStr">
        <is>
          <t>Nutriente Garantido</t>
        </is>
      </c>
      <c r="G237" s="7" t="inlineStr">
        <is>
          <t>COT 18%</t>
        </is>
      </c>
      <c r="H237" s="7" t="inlineStr">
        <is>
          <t>Composição Nutricional Oficial (COT 18%)</t>
        </is>
      </c>
      <c r="I237" s="7" t="inlineStr">
        <is>
          <t>Fertilizante Mineral / Organomineral (Lei nº 6.894/1980)</t>
        </is>
      </c>
      <c r="J237" s="7" t="inlineStr">
        <is>
          <t>Nutrição Vegetal SIPEAGRO</t>
        </is>
      </c>
      <c r="K237" s="7" t="inlineStr">
        <is>
          <t>Fornecimento de macro e micronutrientes essenciais ao metabolismo vegetal</t>
        </is>
      </c>
      <c r="L237" s="9" t="n">
        <v>18</v>
      </c>
      <c r="M237" s="7" t="inlineStr">
        <is>
          <t>% m/m</t>
        </is>
      </c>
      <c r="N237" s="7" t="inlineStr">
        <is>
          <t>Registro Técnico Vinculado MAPA</t>
        </is>
      </c>
    </row>
    <row r="238" ht="22" customHeight="1">
      <c r="A238" s="12" t="inlineStr">
        <is>
          <t>CMP-0234</t>
        </is>
      </c>
      <c r="B238" s="11" t="n">
        <v>175</v>
      </c>
      <c r="C238" s="13" t="inlineStr">
        <is>
          <t>SIPEAGRO (UF-XXXXX)</t>
        </is>
      </c>
      <c r="D238" s="14" t="inlineStr">
        <is>
          <t>AGCN MN</t>
        </is>
      </c>
      <c r="E238" s="11" t="n">
        <v>1</v>
      </c>
      <c r="F238" s="13" t="inlineStr">
        <is>
          <t>Nutriente Garantido</t>
        </is>
      </c>
      <c r="G238" s="13" t="inlineStr">
        <is>
          <t>MN 5%</t>
        </is>
      </c>
      <c r="H238" s="13" t="inlineStr">
        <is>
          <t>Composição Nutricional Oficial (MN 5%)</t>
        </is>
      </c>
      <c r="I238" s="13" t="inlineStr">
        <is>
          <t>Fertilizante Mineral / Organomineral (Lei nº 6.894/1980)</t>
        </is>
      </c>
      <c r="J238" s="13" t="inlineStr">
        <is>
          <t>Nutrição Vegetal SIPEAGRO</t>
        </is>
      </c>
      <c r="K238" s="13" t="inlineStr">
        <is>
          <t>Fornecimento de macro e micronutrientes essenciais ao metabolismo vegetal</t>
        </is>
      </c>
      <c r="L238" s="15" t="n">
        <v>5</v>
      </c>
      <c r="M238" s="13" t="inlineStr">
        <is>
          <t>% m/m</t>
        </is>
      </c>
      <c r="N238" s="13" t="inlineStr">
        <is>
          <t>Registro Técnico Vinculado MAPA</t>
        </is>
      </c>
    </row>
    <row r="239" ht="22" customHeight="1">
      <c r="A239" s="6" t="inlineStr">
        <is>
          <t>CMP-0235</t>
        </is>
      </c>
      <c r="B239" s="5" t="n">
        <v>175</v>
      </c>
      <c r="C239" s="7" t="inlineStr">
        <is>
          <t>SIPEAGRO (UF-XXXXX)</t>
        </is>
      </c>
      <c r="D239" s="8" t="inlineStr">
        <is>
          <t>AGCN MN</t>
        </is>
      </c>
      <c r="E239" s="5" t="n">
        <v>2</v>
      </c>
      <c r="F239" s="7" t="inlineStr">
        <is>
          <t>Nutriente Garantido</t>
        </is>
      </c>
      <c r="G239" s="7" t="inlineStr">
        <is>
          <t>N 1%</t>
        </is>
      </c>
      <c r="H239" s="7" t="inlineStr">
        <is>
          <t>Composição Nutricional Oficial (N 1%)</t>
        </is>
      </c>
      <c r="I239" s="7" t="inlineStr">
        <is>
          <t>Fertilizante Mineral / Organomineral (Lei nº 6.894/1980)</t>
        </is>
      </c>
      <c r="J239" s="7" t="inlineStr">
        <is>
          <t>Nutrição Vegetal SIPEAGRO</t>
        </is>
      </c>
      <c r="K239" s="7" t="inlineStr">
        <is>
          <t>Fornecimento de macro e micronutrientes essenciais ao metabolismo vegetal</t>
        </is>
      </c>
      <c r="L239" s="9" t="n">
        <v>1</v>
      </c>
      <c r="M239" s="7" t="inlineStr">
        <is>
          <t>% m/m</t>
        </is>
      </c>
      <c r="N239" s="7" t="inlineStr">
        <is>
          <t>Registro Técnico Vinculado MAPA</t>
        </is>
      </c>
    </row>
    <row r="240" ht="22" customHeight="1">
      <c r="A240" s="12" t="inlineStr">
        <is>
          <t>CMP-0236</t>
        </is>
      </c>
      <c r="B240" s="11" t="n">
        <v>175</v>
      </c>
      <c r="C240" s="13" t="inlineStr">
        <is>
          <t>SIPEAGRO (UF-XXXXX)</t>
        </is>
      </c>
      <c r="D240" s="14" t="inlineStr">
        <is>
          <t>AGCN MN</t>
        </is>
      </c>
      <c r="E240" s="11" t="n">
        <v>3</v>
      </c>
      <c r="F240" s="13" t="inlineStr">
        <is>
          <t>Nutriente Garantido</t>
        </is>
      </c>
      <c r="G240" s="13" t="inlineStr">
        <is>
          <t>ENXOFRE 4%</t>
        </is>
      </c>
      <c r="H240" s="13" t="inlineStr">
        <is>
          <t>Composição Nutricional Oficial (ENXOFRE 4%)</t>
        </is>
      </c>
      <c r="I240" s="13" t="inlineStr">
        <is>
          <t>Fertilizante Mineral / Organomineral (Lei nº 6.894/1980)</t>
        </is>
      </c>
      <c r="J240" s="13" t="inlineStr">
        <is>
          <t>Nutrição Vegetal SIPEAGRO</t>
        </is>
      </c>
      <c r="K240" s="13" t="inlineStr">
        <is>
          <t>Fornecimento de macro e micronutrientes essenciais ao metabolismo vegetal</t>
        </is>
      </c>
      <c r="L240" s="15" t="n">
        <v>4</v>
      </c>
      <c r="M240" s="13" t="inlineStr">
        <is>
          <t>% m/m</t>
        </is>
      </c>
      <c r="N240" s="13" t="inlineStr">
        <is>
          <t>Registro Técnico Vinculado MAPA</t>
        </is>
      </c>
    </row>
    <row r="241" ht="22" customHeight="1">
      <c r="A241" s="6" t="inlineStr">
        <is>
          <t>CMP-0237</t>
        </is>
      </c>
      <c r="B241" s="5" t="n">
        <v>175</v>
      </c>
      <c r="C241" s="7" t="inlineStr">
        <is>
          <t>SIPEAGRO (UF-XXXXX)</t>
        </is>
      </c>
      <c r="D241" s="8" t="inlineStr">
        <is>
          <t>AGCN MN</t>
        </is>
      </c>
      <c r="E241" s="5" t="n">
        <v>4</v>
      </c>
      <c r="F241" s="7" t="inlineStr">
        <is>
          <t>Nutriente Garantido</t>
        </is>
      </c>
      <c r="G241" s="7" t="inlineStr">
        <is>
          <t>BORO 0,3%</t>
        </is>
      </c>
      <c r="H241" s="7" t="inlineStr">
        <is>
          <t>Composição Nutricional Oficial (BORO 0,3%)</t>
        </is>
      </c>
      <c r="I241" s="7" t="inlineStr">
        <is>
          <t>Fertilizante Mineral / Organomineral (Lei nº 6.894/1980)</t>
        </is>
      </c>
      <c r="J241" s="7" t="inlineStr">
        <is>
          <t>Nutrição Vegetal SIPEAGRO</t>
        </is>
      </c>
      <c r="K241" s="7" t="inlineStr">
        <is>
          <t>Fornecimento de macro e micronutrientes essenciais ao metabolismo vegetal</t>
        </is>
      </c>
      <c r="L241" s="17" t="n">
        <v>0.3</v>
      </c>
      <c r="M241" s="7" t="inlineStr">
        <is>
          <t>% m/m</t>
        </is>
      </c>
      <c r="N241" s="7" t="inlineStr">
        <is>
          <t>Registro Técnico Vinculado MAPA</t>
        </is>
      </c>
    </row>
    <row r="242" ht="22" customHeight="1">
      <c r="A242" s="12" t="inlineStr">
        <is>
          <t>CMP-0238</t>
        </is>
      </c>
      <c r="B242" s="11" t="n">
        <v>175</v>
      </c>
      <c r="C242" s="13" t="inlineStr">
        <is>
          <t>SIPEAGRO (UF-XXXXX)</t>
        </is>
      </c>
      <c r="D242" s="14" t="inlineStr">
        <is>
          <t>AGCN MN</t>
        </is>
      </c>
      <c r="E242" s="11" t="n">
        <v>5</v>
      </c>
      <c r="F242" s="13" t="inlineStr">
        <is>
          <t>Nutriente Garantido</t>
        </is>
      </c>
      <c r="G242" s="13" t="inlineStr">
        <is>
          <t>COBRE 0,3%</t>
        </is>
      </c>
      <c r="H242" s="13" t="inlineStr">
        <is>
          <t>Composição Nutricional Oficial (COBRE 0,3%)</t>
        </is>
      </c>
      <c r="I242" s="13" t="inlineStr">
        <is>
          <t>Fertilizante Mineral / Organomineral (Lei nº 6.894/1980)</t>
        </is>
      </c>
      <c r="J242" s="13" t="inlineStr">
        <is>
          <t>Nutrição Vegetal SIPEAGRO</t>
        </is>
      </c>
      <c r="K242" s="13" t="inlineStr">
        <is>
          <t>Fornecimento de macro e micronutrientes essenciais ao metabolismo vegetal</t>
        </is>
      </c>
      <c r="L242" s="18" t="n">
        <v>0.3</v>
      </c>
      <c r="M242" s="13" t="inlineStr">
        <is>
          <t>% m/m</t>
        </is>
      </c>
      <c r="N242" s="13" t="inlineStr">
        <is>
          <t>Registro Técnico Vinculado MAPA</t>
        </is>
      </c>
    </row>
    <row r="243" ht="22" customHeight="1">
      <c r="A243" s="6" t="inlineStr">
        <is>
          <t>CMP-0239</t>
        </is>
      </c>
      <c r="B243" s="5" t="n">
        <v>175</v>
      </c>
      <c r="C243" s="7" t="inlineStr">
        <is>
          <t>SIPEAGRO (UF-XXXXX)</t>
        </is>
      </c>
      <c r="D243" s="8" t="inlineStr">
        <is>
          <t>AGCN MN</t>
        </is>
      </c>
      <c r="E243" s="5" t="n">
        <v>6</v>
      </c>
      <c r="F243" s="7" t="inlineStr">
        <is>
          <t>Nutriente Garantido</t>
        </is>
      </c>
      <c r="G243" s="7" t="inlineStr">
        <is>
          <t>ZN 3%</t>
        </is>
      </c>
      <c r="H243" s="7" t="inlineStr">
        <is>
          <t>Composição Nutricional Oficial (ZN 3%)</t>
        </is>
      </c>
      <c r="I243" s="7" t="inlineStr">
        <is>
          <t>Fertilizante Mineral / Organomineral (Lei nº 6.894/1980)</t>
        </is>
      </c>
      <c r="J243" s="7" t="inlineStr">
        <is>
          <t>Nutrição Vegetal SIPEAGRO</t>
        </is>
      </c>
      <c r="K243" s="7" t="inlineStr">
        <is>
          <t>Fornecimento de macro e micronutrientes essenciais ao metabolismo vegetal</t>
        </is>
      </c>
      <c r="L243" s="9" t="n">
        <v>3</v>
      </c>
      <c r="M243" s="7" t="inlineStr">
        <is>
          <t>% m/m</t>
        </is>
      </c>
      <c r="N243" s="7" t="inlineStr">
        <is>
          <t>Registro Técnico Vinculado MAPA</t>
        </is>
      </c>
    </row>
    <row r="244" ht="22" customHeight="1">
      <c r="A244" s="12" t="inlineStr">
        <is>
          <t>CMP-0240</t>
        </is>
      </c>
      <c r="B244" s="11" t="n">
        <v>176</v>
      </c>
      <c r="C244" s="13" t="inlineStr">
        <is>
          <t>SIPEAGRO (UF-XXXXX)</t>
        </is>
      </c>
      <c r="D244" s="14" t="inlineStr">
        <is>
          <t>AGCN MN ULTRA 100</t>
        </is>
      </c>
      <c r="E244" s="11" t="n">
        <v>1</v>
      </c>
      <c r="F244" s="13" t="inlineStr">
        <is>
          <t>Nutriente Garantido</t>
        </is>
      </c>
      <c r="G244" s="13" t="inlineStr">
        <is>
          <t>MN 7%</t>
        </is>
      </c>
      <c r="H244" s="13" t="inlineStr">
        <is>
          <t>Composição Nutricional Oficial (MN 7%)</t>
        </is>
      </c>
      <c r="I244" s="13" t="inlineStr">
        <is>
          <t>Fertilizante Mineral / Organomineral (Lei nº 6.894/1980)</t>
        </is>
      </c>
      <c r="J244" s="13" t="inlineStr">
        <is>
          <t>Nutrição Vegetal SIPEAGRO</t>
        </is>
      </c>
      <c r="K244" s="13" t="inlineStr">
        <is>
          <t>Fornecimento de macro e micronutrientes essenciais ao metabolismo vegetal</t>
        </is>
      </c>
      <c r="L244" s="15" t="n">
        <v>7</v>
      </c>
      <c r="M244" s="13" t="inlineStr">
        <is>
          <t>% m/m</t>
        </is>
      </c>
      <c r="N244" s="13" t="inlineStr">
        <is>
          <t>Registro Técnico Vinculado MAPA</t>
        </is>
      </c>
    </row>
    <row r="245" ht="22" customHeight="1">
      <c r="A245" s="6" t="inlineStr">
        <is>
          <t>CMP-0241</t>
        </is>
      </c>
      <c r="B245" s="5" t="n">
        <v>176</v>
      </c>
      <c r="C245" s="7" t="inlineStr">
        <is>
          <t>SIPEAGRO (UF-XXXXX)</t>
        </is>
      </c>
      <c r="D245" s="8" t="inlineStr">
        <is>
          <t>AGCN MN ULTRA 100</t>
        </is>
      </c>
      <c r="E245" s="5" t="n">
        <v>2</v>
      </c>
      <c r="F245" s="7" t="inlineStr">
        <is>
          <t>Nutriente Garantido</t>
        </is>
      </c>
      <c r="G245" s="7" t="inlineStr">
        <is>
          <t>COT 10%</t>
        </is>
      </c>
      <c r="H245" s="7" t="inlineStr">
        <is>
          <t>Composição Nutricional Oficial (COT 10%)</t>
        </is>
      </c>
      <c r="I245" s="7" t="inlineStr">
        <is>
          <t>Fertilizante Mineral / Organomineral (Lei nº 6.894/1980)</t>
        </is>
      </c>
      <c r="J245" s="7" t="inlineStr">
        <is>
          <t>Nutrição Vegetal SIPEAGRO</t>
        </is>
      </c>
      <c r="K245" s="7" t="inlineStr">
        <is>
          <t>Fornecimento de macro e micronutrientes essenciais ao metabolismo vegetal</t>
        </is>
      </c>
      <c r="L245" s="9" t="n">
        <v>10</v>
      </c>
      <c r="M245" s="7" t="inlineStr">
        <is>
          <t>% m/m</t>
        </is>
      </c>
      <c r="N245" s="7" t="inlineStr">
        <is>
          <t>Registro Técnico Vinculado MAPA</t>
        </is>
      </c>
    </row>
    <row r="246" ht="22" customHeight="1">
      <c r="A246" s="12" t="inlineStr">
        <is>
          <t>CMP-0242</t>
        </is>
      </c>
      <c r="B246" s="11" t="n">
        <v>176</v>
      </c>
      <c r="C246" s="13" t="inlineStr">
        <is>
          <t>SIPEAGRO (UF-XXXXX)</t>
        </is>
      </c>
      <c r="D246" s="14" t="inlineStr">
        <is>
          <t>AGCN MN ULTRA 100</t>
        </is>
      </c>
      <c r="E246" s="11" t="n">
        <v>3</v>
      </c>
      <c r="F246" s="13" t="inlineStr">
        <is>
          <t>Nutriente Garantido</t>
        </is>
      </c>
      <c r="G246" s="13" t="inlineStr">
        <is>
          <t>EDTA</t>
        </is>
      </c>
      <c r="H246" s="13" t="inlineStr">
        <is>
          <t>Composição Nutricional Oficial (EDTA)</t>
        </is>
      </c>
      <c r="I246" s="13" t="inlineStr">
        <is>
          <t>Fertilizante Mineral / Organomineral (Lei nº 6.894/1980)</t>
        </is>
      </c>
      <c r="J246" s="13" t="inlineStr">
        <is>
          <t>Nutrição Vegetal SIPEAGRO</t>
        </is>
      </c>
      <c r="K246" s="13" t="inlineStr">
        <is>
          <t>Fornecimento de macro e micronutrientes essenciais ao metabolismo vegetal</t>
        </is>
      </c>
      <c r="L246" s="15" t="n">
        <v>5</v>
      </c>
      <c r="M246" s="13" t="inlineStr">
        <is>
          <t>% m/m</t>
        </is>
      </c>
      <c r="N246" s="13" t="inlineStr">
        <is>
          <t>Registro Técnico Vinculado MAPA</t>
        </is>
      </c>
    </row>
    <row r="247" ht="22" customHeight="1">
      <c r="A247" s="6" t="inlineStr">
        <is>
          <t>CMP-0243</t>
        </is>
      </c>
      <c r="B247" s="5" t="n">
        <v>177</v>
      </c>
      <c r="C247" s="7" t="inlineStr">
        <is>
          <t>SIPEAGRO (UF-XXXXX)</t>
        </is>
      </c>
      <c r="D247" s="8" t="inlineStr">
        <is>
          <t>AGCN MN+</t>
        </is>
      </c>
      <c r="E247" s="5" t="n">
        <v>1</v>
      </c>
      <c r="F247" s="7" t="inlineStr">
        <is>
          <t>Nutriente Garantido</t>
        </is>
      </c>
      <c r="G247" s="7" t="inlineStr">
        <is>
          <t>MN 5%</t>
        </is>
      </c>
      <c r="H247" s="7" t="inlineStr">
        <is>
          <t>Composição Nutricional Oficial (MN 5%)</t>
        </is>
      </c>
      <c r="I247" s="7" t="inlineStr">
        <is>
          <t>Fertilizante Mineral / Organomineral (Lei nº 6.894/1980)</t>
        </is>
      </c>
      <c r="J247" s="7" t="inlineStr">
        <is>
          <t>Nutrição Vegetal SIPEAGRO</t>
        </is>
      </c>
      <c r="K247" s="7" t="inlineStr">
        <is>
          <t>Fornecimento de macro e micronutrientes essenciais ao metabolismo vegetal</t>
        </is>
      </c>
      <c r="L247" s="9" t="n">
        <v>5</v>
      </c>
      <c r="M247" s="7" t="inlineStr">
        <is>
          <t>% m/m</t>
        </is>
      </c>
      <c r="N247" s="7" t="inlineStr">
        <is>
          <t>Registro Técnico Vinculado MAPA</t>
        </is>
      </c>
    </row>
    <row r="248" ht="22" customHeight="1">
      <c r="A248" s="12" t="inlineStr">
        <is>
          <t>CMP-0244</t>
        </is>
      </c>
      <c r="B248" s="11" t="n">
        <v>177</v>
      </c>
      <c r="C248" s="13" t="inlineStr">
        <is>
          <t>SIPEAGRO (UF-XXXXX)</t>
        </is>
      </c>
      <c r="D248" s="14" t="inlineStr">
        <is>
          <t>AGCN MN+</t>
        </is>
      </c>
      <c r="E248" s="11" t="n">
        <v>2</v>
      </c>
      <c r="F248" s="13" t="inlineStr">
        <is>
          <t>Nutriente Garantido</t>
        </is>
      </c>
      <c r="G248" s="13" t="inlineStr">
        <is>
          <t>N 1%</t>
        </is>
      </c>
      <c r="H248" s="13" t="inlineStr">
        <is>
          <t>Composição Nutricional Oficial (N 1%)</t>
        </is>
      </c>
      <c r="I248" s="13" t="inlineStr">
        <is>
          <t>Fertilizante Mineral / Organomineral (Lei nº 6.894/1980)</t>
        </is>
      </c>
      <c r="J248" s="13" t="inlineStr">
        <is>
          <t>Nutrição Vegetal SIPEAGRO</t>
        </is>
      </c>
      <c r="K248" s="13" t="inlineStr">
        <is>
          <t>Fornecimento de macro e micronutrientes essenciais ao metabolismo vegetal</t>
        </is>
      </c>
      <c r="L248" s="15" t="n">
        <v>1</v>
      </c>
      <c r="M248" s="13" t="inlineStr">
        <is>
          <t>% m/m</t>
        </is>
      </c>
      <c r="N248" s="13" t="inlineStr">
        <is>
          <t>Registro Técnico Vinculado MAPA</t>
        </is>
      </c>
    </row>
    <row r="249" ht="22" customHeight="1">
      <c r="A249" s="6" t="inlineStr">
        <is>
          <t>CMP-0245</t>
        </is>
      </c>
      <c r="B249" s="5" t="n">
        <v>177</v>
      </c>
      <c r="C249" s="7" t="inlineStr">
        <is>
          <t>SIPEAGRO (UF-XXXXX)</t>
        </is>
      </c>
      <c r="D249" s="8" t="inlineStr">
        <is>
          <t>AGCN MN+</t>
        </is>
      </c>
      <c r="E249" s="5" t="n">
        <v>3</v>
      </c>
      <c r="F249" s="7" t="inlineStr">
        <is>
          <t>Nutriente Garantido</t>
        </is>
      </c>
      <c r="G249" s="7" t="inlineStr">
        <is>
          <t>ENXOFRE 4%</t>
        </is>
      </c>
      <c r="H249" s="7" t="inlineStr">
        <is>
          <t>Composição Nutricional Oficial (ENXOFRE 4%)</t>
        </is>
      </c>
      <c r="I249" s="7" t="inlineStr">
        <is>
          <t>Fertilizante Mineral / Organomineral (Lei nº 6.894/1980)</t>
        </is>
      </c>
      <c r="J249" s="7" t="inlineStr">
        <is>
          <t>Nutrição Vegetal SIPEAGRO</t>
        </is>
      </c>
      <c r="K249" s="7" t="inlineStr">
        <is>
          <t>Fornecimento de macro e micronutrientes essenciais ao metabolismo vegetal</t>
        </is>
      </c>
      <c r="L249" s="9" t="n">
        <v>4</v>
      </c>
      <c r="M249" s="7" t="inlineStr">
        <is>
          <t>% m/m</t>
        </is>
      </c>
      <c r="N249" s="7" t="inlineStr">
        <is>
          <t>Registro Técnico Vinculado MAPA</t>
        </is>
      </c>
    </row>
    <row r="250" ht="22" customHeight="1">
      <c r="A250" s="12" t="inlineStr">
        <is>
          <t>CMP-0246</t>
        </is>
      </c>
      <c r="B250" s="11" t="n">
        <v>177</v>
      </c>
      <c r="C250" s="13" t="inlineStr">
        <is>
          <t>SIPEAGRO (UF-XXXXX)</t>
        </is>
      </c>
      <c r="D250" s="14" t="inlineStr">
        <is>
          <t>AGCN MN+</t>
        </is>
      </c>
      <c r="E250" s="11" t="n">
        <v>4</v>
      </c>
      <c r="F250" s="13" t="inlineStr">
        <is>
          <t>Nutriente Garantido</t>
        </is>
      </c>
      <c r="G250" s="13" t="inlineStr">
        <is>
          <t>BORO 0,3%</t>
        </is>
      </c>
      <c r="H250" s="13" t="inlineStr">
        <is>
          <t>Composição Nutricional Oficial (BORO 0,3%)</t>
        </is>
      </c>
      <c r="I250" s="13" t="inlineStr">
        <is>
          <t>Fertilizante Mineral / Organomineral (Lei nº 6.894/1980)</t>
        </is>
      </c>
      <c r="J250" s="13" t="inlineStr">
        <is>
          <t>Nutrição Vegetal SIPEAGRO</t>
        </is>
      </c>
      <c r="K250" s="13" t="inlineStr">
        <is>
          <t>Fornecimento de macro e micronutrientes essenciais ao metabolismo vegetal</t>
        </is>
      </c>
      <c r="L250" s="18" t="n">
        <v>0.3</v>
      </c>
      <c r="M250" s="13" t="inlineStr">
        <is>
          <t>% m/m</t>
        </is>
      </c>
      <c r="N250" s="13" t="inlineStr">
        <is>
          <t>Registro Técnico Vinculado MAPA</t>
        </is>
      </c>
    </row>
    <row r="251" ht="22" customHeight="1">
      <c r="A251" s="6" t="inlineStr">
        <is>
          <t>CMP-0247</t>
        </is>
      </c>
      <c r="B251" s="5" t="n">
        <v>177</v>
      </c>
      <c r="C251" s="7" t="inlineStr">
        <is>
          <t>SIPEAGRO (UF-XXXXX)</t>
        </is>
      </c>
      <c r="D251" s="8" t="inlineStr">
        <is>
          <t>AGCN MN+</t>
        </is>
      </c>
      <c r="E251" s="5" t="n">
        <v>5</v>
      </c>
      <c r="F251" s="7" t="inlineStr">
        <is>
          <t>Nutriente Garantido</t>
        </is>
      </c>
      <c r="G251" s="7" t="inlineStr">
        <is>
          <t>COBRE 0,3%</t>
        </is>
      </c>
      <c r="H251" s="7" t="inlineStr">
        <is>
          <t>Composição Nutricional Oficial (COBRE 0,3%)</t>
        </is>
      </c>
      <c r="I251" s="7" t="inlineStr">
        <is>
          <t>Fertilizante Mineral / Organomineral (Lei nº 6.894/1980)</t>
        </is>
      </c>
      <c r="J251" s="7" t="inlineStr">
        <is>
          <t>Nutrição Vegetal SIPEAGRO</t>
        </is>
      </c>
      <c r="K251" s="7" t="inlineStr">
        <is>
          <t>Fornecimento de macro e micronutrientes essenciais ao metabolismo vegetal</t>
        </is>
      </c>
      <c r="L251" s="17" t="n">
        <v>0.3</v>
      </c>
      <c r="M251" s="7" t="inlineStr">
        <is>
          <t>% m/m</t>
        </is>
      </c>
      <c r="N251" s="7" t="inlineStr">
        <is>
          <t>Registro Técnico Vinculado MAPA</t>
        </is>
      </c>
    </row>
    <row r="252" ht="22" customHeight="1">
      <c r="A252" s="12" t="inlineStr">
        <is>
          <t>CMP-0248</t>
        </is>
      </c>
      <c r="B252" s="11" t="n">
        <v>177</v>
      </c>
      <c r="C252" s="13" t="inlineStr">
        <is>
          <t>SIPEAGRO (UF-XXXXX)</t>
        </is>
      </c>
      <c r="D252" s="14" t="inlineStr">
        <is>
          <t>AGCN MN+</t>
        </is>
      </c>
      <c r="E252" s="11" t="n">
        <v>6</v>
      </c>
      <c r="F252" s="13" t="inlineStr">
        <is>
          <t>Nutriente Garantido</t>
        </is>
      </c>
      <c r="G252" s="13" t="inlineStr">
        <is>
          <t>ZN 3%</t>
        </is>
      </c>
      <c r="H252" s="13" t="inlineStr">
        <is>
          <t>Composição Nutricional Oficial (ZN 3%)</t>
        </is>
      </c>
      <c r="I252" s="13" t="inlineStr">
        <is>
          <t>Fertilizante Mineral / Organomineral (Lei nº 6.894/1980)</t>
        </is>
      </c>
      <c r="J252" s="13" t="inlineStr">
        <is>
          <t>Nutrição Vegetal SIPEAGRO</t>
        </is>
      </c>
      <c r="K252" s="13" t="inlineStr">
        <is>
          <t>Fornecimento de macro e micronutrientes essenciais ao metabolismo vegetal</t>
        </is>
      </c>
      <c r="L252" s="15" t="n">
        <v>3</v>
      </c>
      <c r="M252" s="13" t="inlineStr">
        <is>
          <t>% m/m</t>
        </is>
      </c>
      <c r="N252" s="13" t="inlineStr">
        <is>
          <t>Registro Técnico Vinculado MAPA</t>
        </is>
      </c>
    </row>
    <row r="253" ht="22" customHeight="1">
      <c r="A253" s="6" t="inlineStr">
        <is>
          <t>CMP-0249</t>
        </is>
      </c>
      <c r="B253" s="5" t="n">
        <v>178</v>
      </c>
      <c r="C253" s="7" t="inlineStr">
        <is>
          <t>SIPEAGRO (UF-XXXXX)</t>
        </is>
      </c>
      <c r="D253" s="8" t="inlineStr">
        <is>
          <t>AGCN NITROGEN 30% 100</t>
        </is>
      </c>
      <c r="E253" s="5" t="n">
        <v>1</v>
      </c>
      <c r="F253" s="7" t="inlineStr">
        <is>
          <t>Nutriente Garantido</t>
        </is>
      </c>
      <c r="G253" s="7" t="inlineStr">
        <is>
          <t>N 30%</t>
        </is>
      </c>
      <c r="H253" s="7" t="inlineStr">
        <is>
          <t>Composição Nutricional Oficial (N 30%)</t>
        </is>
      </c>
      <c r="I253" s="7" t="inlineStr">
        <is>
          <t>Fertilizante Mineral / Organomineral (Lei nº 6.894/1980)</t>
        </is>
      </c>
      <c r="J253" s="7" t="inlineStr">
        <is>
          <t>Nutrição Vegetal SIPEAGRO</t>
        </is>
      </c>
      <c r="K253" s="7" t="inlineStr">
        <is>
          <t>Fornecimento de macro e micronutrientes essenciais ao metabolismo vegetal</t>
        </is>
      </c>
      <c r="L253" s="9" t="n">
        <v>30</v>
      </c>
      <c r="M253" s="7" t="inlineStr">
        <is>
          <t>% m/m</t>
        </is>
      </c>
      <c r="N253" s="7" t="inlineStr">
        <is>
          <t>Registro Técnico Vinculado MAPA</t>
        </is>
      </c>
    </row>
    <row r="254" ht="22" customHeight="1">
      <c r="A254" s="12" t="inlineStr">
        <is>
          <t>CMP-0250</t>
        </is>
      </c>
      <c r="B254" s="11" t="n">
        <v>179</v>
      </c>
      <c r="C254" s="13" t="inlineStr">
        <is>
          <t>SIPEAGRO (UF-XXXXX)</t>
        </is>
      </c>
      <c r="D254" s="14" t="inlineStr">
        <is>
          <t>BIOLOGIC NEMA</t>
        </is>
      </c>
      <c r="E254" s="11" t="n">
        <v>1</v>
      </c>
      <c r="F254" s="13" t="inlineStr">
        <is>
          <t>Agente Biológico / Cepa</t>
        </is>
      </c>
      <c r="G254" s="13" t="inlineStr">
        <is>
          <t>COMPLEXO DE BACILLUS (B. amyloliquefaciens, B. subtilis, B. aryabhattai, B. megaterium, B. licheniformis — mín. 1,0x10^9 UFC/mL)</t>
        </is>
      </c>
      <c r="H254" s="13" t="inlineStr">
        <is>
          <t>Consórcio microbiológico do gênero Bacillus spp.</t>
        </is>
      </c>
      <c r="I254" s="13" t="inlineStr">
        <is>
          <t>Agente Microbiológico Condicionador de Rizosfera e Bionematicida</t>
        </is>
      </c>
      <c r="J254" s="13" t="inlineStr">
        <is>
          <t>Bioinsumo Microbiológico SIPEAGRO/MAPA</t>
        </is>
      </c>
      <c r="K254" s="13" t="inlineStr">
        <is>
          <t>Formação de biofilme radicular, degradação de exsudatos e antagonismo a fitonematoides</t>
        </is>
      </c>
      <c r="L254" s="15" t="n">
        <v>100</v>
      </c>
      <c r="M254" s="13" t="inlineStr">
        <is>
          <t>% v/v (Veículo Inoculante Estéril)</t>
        </is>
      </c>
      <c r="N254" s="13" t="inlineStr">
        <is>
          <t>Registro Técnico Vinculado MAPA</t>
        </is>
      </c>
    </row>
    <row r="255" ht="22" customHeight="1">
      <c r="A255" s="6" t="inlineStr">
        <is>
          <t>CMP-0251</t>
        </is>
      </c>
      <c r="B255" s="5" t="n">
        <v>180</v>
      </c>
      <c r="C255" s="7" t="inlineStr">
        <is>
          <t>SIPEAGRO (UF-XXXXX)</t>
        </is>
      </c>
      <c r="D255" s="8" t="inlineStr">
        <is>
          <t>BIOLOGIC PHOS</t>
        </is>
      </c>
      <c r="E255" s="5" t="n">
        <v>1</v>
      </c>
      <c r="F255" s="7" t="inlineStr">
        <is>
          <t>Agente Biológico / Cepa</t>
        </is>
      </c>
      <c r="G255" s="7" t="inlineStr">
        <is>
          <t>BACILLUS SUBTILIS + BACILLUS MEGATERIUM (Garantia mín. 1,0x10^8 UFC/mL)</t>
        </is>
      </c>
      <c r="H255" s="7" t="inlineStr">
        <is>
          <t>Bacillus subtilis + Bacillus megaterium</t>
        </is>
      </c>
      <c r="I255" s="7" t="inlineStr">
        <is>
          <t>Inoculante Solubilizador de Fósforo e Promotor Radicular</t>
        </is>
      </c>
      <c r="J255" s="7" t="inlineStr">
        <is>
          <t>Inoculante Registrado SIPEAGRO/MAPA</t>
        </is>
      </c>
      <c r="K255" s="7" t="inlineStr">
        <is>
          <t>Mineralização de fósforo orgânico (fitases) e solubilização de fosfatos (ácidos orgânicos)</t>
        </is>
      </c>
      <c r="L255" s="9" t="n">
        <v>100</v>
      </c>
      <c r="M255" s="7" t="inlineStr">
        <is>
          <t>% v/v (Veículo Inoculante Estéril)</t>
        </is>
      </c>
      <c r="N255" s="7" t="inlineStr">
        <is>
          <t>Registro Técnico Vinculado MAPA</t>
        </is>
      </c>
    </row>
    <row r="256" ht="22" customHeight="1">
      <c r="A256" s="12" t="inlineStr">
        <is>
          <t>CMP-0252</t>
        </is>
      </c>
      <c r="B256" s="11" t="n">
        <v>181</v>
      </c>
      <c r="C256" s="13" t="inlineStr">
        <is>
          <t>Nº 13620</t>
        </is>
      </c>
      <c r="D256" s="14" t="inlineStr">
        <is>
          <t>CLIMUR</t>
        </is>
      </c>
      <c r="E256" s="11" t="n">
        <v>1</v>
      </c>
      <c r="F256" s="13" t="inlineStr">
        <is>
          <t>Ingrediente Ativo Principal</t>
        </is>
      </c>
      <c r="G256" s="13" t="inlineStr">
        <is>
          <t>CLORIMUROM 250</t>
        </is>
      </c>
      <c r="H256" s="13" t="inlineStr">
        <is>
          <t>Ethyl 2-(4-chloro-6-methoxypyrimidin-2-ylcarbamoylsulfamoyl)benzoate</t>
        </is>
      </c>
      <c r="I256" s="13" t="inlineStr">
        <is>
          <t>Sulfonilureia</t>
        </is>
      </c>
      <c r="J256" s="13" t="inlineStr">
        <is>
          <t>HRAC Grupo B (2) — Inibidores da ALS</t>
        </is>
      </c>
      <c r="K256" s="13" t="inlineStr">
        <is>
          <t>Inibição da enzima acetolactato sintase (ALS / AHAS)</t>
        </is>
      </c>
      <c r="L256" s="15" t="n">
        <v>250</v>
      </c>
      <c r="M256" s="13" t="inlineStr">
        <is>
          <t>g/kg</t>
        </is>
      </c>
      <c r="N256" s="13" t="inlineStr">
        <is>
          <t>Registro Técnico Vinculado MAPA</t>
        </is>
      </c>
    </row>
    <row r="257" ht="22" customHeight="1">
      <c r="A257" s="6" t="inlineStr">
        <is>
          <t>CMP-0253</t>
        </is>
      </c>
      <c r="B257" s="5" t="n">
        <v>182</v>
      </c>
      <c r="C257" s="7" t="inlineStr">
        <is>
          <t>Nº 43219</t>
        </is>
      </c>
      <c r="D257" s="8" t="inlineStr">
        <is>
          <t>CLORPIRIFOS 480 EC GHARDA</t>
        </is>
      </c>
      <c r="E257" s="5" t="n">
        <v>1</v>
      </c>
      <c r="F257" s="7" t="inlineStr">
        <is>
          <t>Ingrediente Ativo Principal</t>
        </is>
      </c>
      <c r="G257" s="7" t="inlineStr">
        <is>
          <t>CLORPIRIFOS 480</t>
        </is>
      </c>
      <c r="H257" s="7" t="inlineStr">
        <is>
          <t>O,O-diethyl O-3,5,6-trichloro-2-pyridyl phosphorothioate</t>
        </is>
      </c>
      <c r="I257" s="7" t="inlineStr">
        <is>
          <t>Organofosforado</t>
        </is>
      </c>
      <c r="J257" s="7" t="inlineStr">
        <is>
          <t>IRAC Grupo 1B</t>
        </is>
      </c>
      <c r="K257" s="7" t="inlineStr">
        <is>
          <t>Inibidores da acetilcolinesterase (AChE)</t>
        </is>
      </c>
      <c r="L257" s="9" t="n">
        <v>480</v>
      </c>
      <c r="M257" s="7" t="inlineStr">
        <is>
          <t>g/L</t>
        </is>
      </c>
      <c r="N257" s="7" t="inlineStr">
        <is>
          <t>Registro Técnico Vinculado MAPA</t>
        </is>
      </c>
    </row>
    <row r="258" ht="22" customHeight="1">
      <c r="A258" s="12" t="inlineStr">
        <is>
          <t>CMP-0254</t>
        </is>
      </c>
      <c r="B258" s="11" t="n">
        <v>183</v>
      </c>
      <c r="C258" s="13" t="inlineStr">
        <is>
          <t>Nº 26820</t>
        </is>
      </c>
      <c r="D258" s="14" t="inlineStr">
        <is>
          <t>CRUZARO 480 EC</t>
        </is>
      </c>
      <c r="E258" s="11" t="n">
        <v>1</v>
      </c>
      <c r="F258" s="13" t="inlineStr">
        <is>
          <t>Ingrediente Ativo Principal</t>
        </is>
      </c>
      <c r="G258" s="13" t="inlineStr">
        <is>
          <t>TRICLOPIR-BUTOTÍLICO 667 g/L (Equiv. 480 g/L Triclopir Ácido)</t>
        </is>
      </c>
      <c r="H258" s="13" t="inlineStr">
        <is>
          <t>2-butoxyethyl [(3,5,6-trichloro-2-pyridinyl)oxy]acetate (Triclopir-butotílico)</t>
        </is>
      </c>
      <c r="I258" s="13" t="inlineStr">
        <is>
          <t>Ácido piridiniloxialcanoico</t>
        </is>
      </c>
      <c r="J258" s="13" t="inlineStr">
        <is>
          <t>HRAC Grupo O (4) — Auxinas Sintéticas</t>
        </is>
      </c>
      <c r="K258" s="13" t="inlineStr">
        <is>
          <t>Mimetizadores da auxina (crescimento desordenado e epinastia)</t>
        </is>
      </c>
      <c r="L258" s="15" t="n">
        <v>480</v>
      </c>
      <c r="M258" s="13" t="inlineStr">
        <is>
          <t>g/L</t>
        </is>
      </c>
      <c r="N258" s="13" t="inlineStr">
        <is>
          <t>Registro Técnico Vinculado MAPA</t>
        </is>
      </c>
    </row>
    <row r="259" ht="22" customHeight="1">
      <c r="A259" s="6" t="inlineStr">
        <is>
          <t>CMP-0255</t>
        </is>
      </c>
      <c r="B259" s="5" t="n">
        <v>184</v>
      </c>
      <c r="C259" s="7" t="inlineStr">
        <is>
          <t>Nº 3915</t>
        </is>
      </c>
      <c r="D259" s="8" t="inlineStr">
        <is>
          <t>CYPER COPA 250 EC</t>
        </is>
      </c>
      <c r="E259" s="5" t="n">
        <v>1</v>
      </c>
      <c r="F259" s="7" t="inlineStr">
        <is>
          <t>Ingrediente Ativo Principal</t>
        </is>
      </c>
      <c r="G259" s="7" t="inlineStr">
        <is>
          <t>CIPERMETRINA 250</t>
        </is>
      </c>
      <c r="H259" s="7" t="inlineStr">
        <is>
          <t>(RS)-alpha-cyano-3-phenoxybenzyl (1RS,3RS;1RS,3SR)-3-(2,2-dichlorovinyl)-2,2-dimethylcyclopropanecarboxylate</t>
        </is>
      </c>
      <c r="I259" s="7" t="inlineStr">
        <is>
          <t>Piretroide (Tipo II)</t>
        </is>
      </c>
      <c r="J259" s="7" t="inlineStr">
        <is>
          <t>IRAC Grupo 3A</t>
        </is>
      </c>
      <c r="K259" s="7" t="inlineStr">
        <is>
          <t>Moduladores de canais de sódio em membranas nervosas</t>
        </is>
      </c>
      <c r="L259" s="9" t="n">
        <v>250</v>
      </c>
      <c r="M259" s="7" t="inlineStr">
        <is>
          <t>g/L</t>
        </is>
      </c>
      <c r="N259" s="7" t="inlineStr">
        <is>
          <t>Registro Técnico Vinculado MAPA</t>
        </is>
      </c>
    </row>
    <row r="260" ht="22" customHeight="1">
      <c r="A260" s="12" t="inlineStr">
        <is>
          <t>CMP-0256</t>
        </is>
      </c>
      <c r="B260" s="11" t="n">
        <v>185</v>
      </c>
      <c r="C260" s="13" t="inlineStr">
        <is>
          <t>Nº 22221</t>
        </is>
      </c>
      <c r="D260" s="14" t="inlineStr">
        <is>
          <t>GRASIDIM</t>
        </is>
      </c>
      <c r="E260" s="11" t="n">
        <v>1</v>
      </c>
      <c r="F260" s="13" t="inlineStr">
        <is>
          <t>Ingrediente Ativo Principal</t>
        </is>
      </c>
      <c r="G260" s="13" t="inlineStr">
        <is>
          <t>CLETODIM 240</t>
        </is>
      </c>
      <c r="H260" s="13" t="inlineStr">
        <is>
          <t>(RS)-2-[(E)-1-[(E)-3-chloroallyloxyimino]propyl]-5-[2-(ethylthio)propyl]-3-hydroxycyclohex-2-en-1-one</t>
        </is>
      </c>
      <c r="I260" s="13" t="inlineStr">
        <is>
          <t>Oxima ciclohexanodiona (DIM)</t>
        </is>
      </c>
      <c r="J260" s="13" t="inlineStr">
        <is>
          <t>HRAC Grupo A (1) — Inibidores da ACCase</t>
        </is>
      </c>
      <c r="K260" s="13" t="inlineStr">
        <is>
          <t>Inibidores da Acetil CoA Carboxilase (ACCase)</t>
        </is>
      </c>
      <c r="L260" s="15" t="n">
        <v>240</v>
      </c>
      <c r="M260" s="13" t="inlineStr">
        <is>
          <t>g/L</t>
        </is>
      </c>
      <c r="N260" s="13" t="inlineStr">
        <is>
          <t>Registro Técnico Vinculado MAPA</t>
        </is>
      </c>
    </row>
    <row r="261" ht="22" customHeight="1">
      <c r="A261" s="6" t="inlineStr">
        <is>
          <t>CMP-0257</t>
        </is>
      </c>
      <c r="B261" s="5" t="n">
        <v>186</v>
      </c>
      <c r="C261" s="7" t="inlineStr">
        <is>
          <t>Nº 6421</t>
        </is>
      </c>
      <c r="D261" s="8" t="inlineStr">
        <is>
          <t>KINGSTAR XTRA</t>
        </is>
      </c>
      <c r="E261" s="5" t="n">
        <v>1</v>
      </c>
      <c r="F261" s="7" t="inlineStr">
        <is>
          <t>Ingrediente Ativo Principal</t>
        </is>
      </c>
      <c r="G261" s="7" t="inlineStr">
        <is>
          <t>AZOXISTROBINA 600</t>
        </is>
      </c>
      <c r="H261" s="7" t="inlineStr">
        <is>
          <t>Methyl (E)-2-{2-[6-(2-cyanophenoxy)pyrimidin-4-yloxy]phenyl}-3-methoxyacrylate</t>
        </is>
      </c>
      <c r="I261" s="7" t="inlineStr">
        <is>
          <t>Estrobilurina (Metoxiacrilato)</t>
        </is>
      </c>
      <c r="J261" s="7" t="inlineStr">
        <is>
          <t>FRAC Grupo 11 (QoI)</t>
        </is>
      </c>
      <c r="K261" s="7" t="inlineStr">
        <is>
          <t>Inibidores da respiração mitocondrial no complexo III (citocromo bc1)</t>
        </is>
      </c>
      <c r="L261" s="9" t="n">
        <v>600</v>
      </c>
      <c r="M261" s="7" t="inlineStr">
        <is>
          <t>g/kg</t>
        </is>
      </c>
      <c r="N261" s="7" t="inlineStr">
        <is>
          <t>Registro Técnico Vinculado MAPA</t>
        </is>
      </c>
    </row>
    <row r="262" ht="22" customHeight="1">
      <c r="A262" s="12" t="inlineStr">
        <is>
          <t>CMP-0258</t>
        </is>
      </c>
      <c r="B262" s="11" t="n">
        <v>186</v>
      </c>
      <c r="C262" s="13" t="inlineStr">
        <is>
          <t>Nº 6421</t>
        </is>
      </c>
      <c r="D262" s="14" t="inlineStr">
        <is>
          <t>KINGSTAR XTRA</t>
        </is>
      </c>
      <c r="E262" s="11" t="n">
        <v>2</v>
      </c>
      <c r="F262" s="13" t="inlineStr">
        <is>
          <t>Ingrediente Ativo Principal</t>
        </is>
      </c>
      <c r="G262" s="13" t="inlineStr">
        <is>
          <t>CIPROCONAZOL 240</t>
        </is>
      </c>
      <c r="H262" s="13" t="inlineStr">
        <is>
          <t>(2RS,3RS;2RS,3SR)-2-(4-chlorophenyl)-3-cyclopropyl-1-(1H-1,2,4-triazol-1-yl)butan-2-ol</t>
        </is>
      </c>
      <c r="I262" s="13" t="inlineStr">
        <is>
          <t>Triazol</t>
        </is>
      </c>
      <c r="J262" s="13" t="inlineStr">
        <is>
          <t>FRAC Grupo 3 (G1 — DMI)</t>
        </is>
      </c>
      <c r="K262" s="13" t="inlineStr">
        <is>
          <t>Inibidores da desmetilação do C14 na biossíntese do ergosterol</t>
        </is>
      </c>
      <c r="L262" s="15" t="n">
        <v>240</v>
      </c>
      <c r="M262" s="13" t="inlineStr">
        <is>
          <t>g/kg</t>
        </is>
      </c>
      <c r="N262" s="13" t="inlineStr">
        <is>
          <t>Registro Técnico Vinculado MAPA</t>
        </is>
      </c>
    </row>
    <row r="263" ht="22" customHeight="1">
      <c r="A263" s="6" t="inlineStr">
        <is>
          <t>CMP-0259</t>
        </is>
      </c>
      <c r="B263" s="5" t="n">
        <v>187</v>
      </c>
      <c r="C263" s="7" t="inlineStr">
        <is>
          <t>Nº 31522</t>
        </is>
      </c>
      <c r="D263" s="8" t="inlineStr">
        <is>
          <t>METOMY 900</t>
        </is>
      </c>
      <c r="E263" s="5" t="n">
        <v>1</v>
      </c>
      <c r="F263" s="7" t="inlineStr">
        <is>
          <t>Ingrediente Ativo Principal</t>
        </is>
      </c>
      <c r="G263" s="7" t="inlineStr">
        <is>
          <t>METOMIL 900</t>
        </is>
      </c>
      <c r="H263" s="7" t="inlineStr">
        <is>
          <t>S-methyl N-(methylcarbamoyloxy)thioacetimidate</t>
        </is>
      </c>
      <c r="I263" s="7" t="inlineStr">
        <is>
          <t>Metilcarbamato de oxima</t>
        </is>
      </c>
      <c r="J263" s="7" t="inlineStr">
        <is>
          <t>IRAC Grupo 1A</t>
        </is>
      </c>
      <c r="K263" s="7" t="inlineStr">
        <is>
          <t>Inibidores reversíveis da enzima acetilcolinesterase (AChE)</t>
        </is>
      </c>
      <c r="L263" s="9" t="n">
        <v>900</v>
      </c>
      <c r="M263" s="7" t="inlineStr">
        <is>
          <t>g/kg</t>
        </is>
      </c>
      <c r="N263" s="7" t="inlineStr">
        <is>
          <t>Registro Técnico Vinculado MAPA</t>
        </is>
      </c>
    </row>
    <row r="264" ht="22" customHeight="1">
      <c r="A264" s="12" t="inlineStr">
        <is>
          <t>CMP-0260</t>
        </is>
      </c>
      <c r="B264" s="11" t="n">
        <v>188</v>
      </c>
      <c r="C264" s="13" t="inlineStr">
        <is>
          <t>Nº 28017</t>
        </is>
      </c>
      <c r="D264" s="14" t="inlineStr">
        <is>
          <t>RODOLIA 200 SP</t>
        </is>
      </c>
      <c r="E264" s="11" t="n">
        <v>1</v>
      </c>
      <c r="F264" s="13" t="inlineStr">
        <is>
          <t>Ingrediente Ativo Principal</t>
        </is>
      </c>
      <c r="G264" s="13" t="inlineStr">
        <is>
          <t>ACETAMIPRID 200</t>
        </is>
      </c>
      <c r="H264" s="13" t="inlineStr">
        <is>
          <t>(E)-N1-[(6-chloro-3-pyridyl)methyl]-N2-cyano-N1-methylacetamidine</t>
        </is>
      </c>
      <c r="I264" s="13" t="inlineStr">
        <is>
          <t>Neonicotinoide</t>
        </is>
      </c>
      <c r="J264" s="13" t="inlineStr">
        <is>
          <t>IRAC Grupo 4A</t>
        </is>
      </c>
      <c r="K264" s="13" t="inlineStr">
        <is>
          <t>Moduladores competitivos de receptores nicotínicos da acetilcolina (nAChR)</t>
        </is>
      </c>
      <c r="L264" s="15" t="n">
        <v>200</v>
      </c>
      <c r="M264" s="13" t="inlineStr">
        <is>
          <t>g/kg</t>
        </is>
      </c>
      <c r="N264" s="13" t="inlineStr">
        <is>
          <t>Registro Técnico Vinculado MAPA</t>
        </is>
      </c>
    </row>
    <row r="265" ht="22" customHeight="1">
      <c r="A265" s="6" t="inlineStr">
        <is>
          <t>CMP-0261</t>
        </is>
      </c>
      <c r="B265" s="5" t="n">
        <v>189</v>
      </c>
      <c r="C265" s="7" t="inlineStr">
        <is>
          <t>Nº 12222</t>
        </is>
      </c>
      <c r="D265" s="8" t="inlineStr">
        <is>
          <t>SUNGAIN XTRA</t>
        </is>
      </c>
      <c r="E265" s="5" t="n">
        <v>1</v>
      </c>
      <c r="F265" s="7" t="inlineStr">
        <is>
          <t>Ingrediente Ativo Principal</t>
        </is>
      </c>
      <c r="G265" s="7" t="inlineStr">
        <is>
          <t>FLUMIOXAZINA 800</t>
        </is>
      </c>
      <c r="H265" s="7" t="inlineStr">
        <is>
          <t>N-(7-fluoro-3,4-dihydro-3-oxo-4-prop-2-ynyl-2H-1,4-benzoxazin-6-yl)cyclohex-1-ene-1,2-dicarboximide</t>
        </is>
      </c>
      <c r="I265" s="7" t="inlineStr">
        <is>
          <t>N-fenilftalimida</t>
        </is>
      </c>
      <c r="J265" s="7" t="inlineStr">
        <is>
          <t>HRAC Grupo E (14) — Inibidores da PROTOX</t>
        </is>
      </c>
      <c r="K265" s="7" t="inlineStr">
        <is>
          <t>Inibidores da enzima protoporfirinogênio oxidase (PROTOX)</t>
        </is>
      </c>
      <c r="L265" s="9" t="n">
        <v>800</v>
      </c>
      <c r="M265" s="7" t="inlineStr">
        <is>
          <t>g/kg</t>
        </is>
      </c>
      <c r="N265" s="7" t="inlineStr">
        <is>
          <t>Registro Técnico Vinculado MAPA</t>
        </is>
      </c>
    </row>
    <row r="266" ht="22" customHeight="1">
      <c r="A266" s="12" t="inlineStr">
        <is>
          <t>CMP-0262</t>
        </is>
      </c>
      <c r="B266" s="11" t="n">
        <v>190</v>
      </c>
      <c r="C266" s="13" t="inlineStr">
        <is>
          <t>Nº 19623</t>
        </is>
      </c>
      <c r="D266" s="14" t="inlineStr">
        <is>
          <t>TORBAN PLUS</t>
        </is>
      </c>
      <c r="E266" s="11" t="n">
        <v>1</v>
      </c>
      <c r="F266" s="13" t="inlineStr">
        <is>
          <t>Ingrediente Ativo Principal</t>
        </is>
      </c>
      <c r="G266" s="13" t="inlineStr">
        <is>
          <t>2,4-D (Sal Dimetilamina — Eq. Ácido)</t>
        </is>
      </c>
      <c r="H266" s="13" t="inlineStr">
        <is>
          <t>(2,4-dichlorophenoxy)acetic acid</t>
        </is>
      </c>
      <c r="I266" s="13" t="inlineStr">
        <is>
          <t>Ácido ariloxialcanoico</t>
        </is>
      </c>
      <c r="J266" s="13" t="inlineStr">
        <is>
          <t>HRAC Grupo O (4) — Auxinas Sintéticas</t>
        </is>
      </c>
      <c r="K266" s="13" t="inlineStr">
        <is>
          <t>Mimetizadores de auxina sintética</t>
        </is>
      </c>
      <c r="L266" s="15" t="n">
        <v>240</v>
      </c>
      <c r="M266" s="13" t="inlineStr">
        <is>
          <t>g/L</t>
        </is>
      </c>
      <c r="N266" s="13" t="inlineStr">
        <is>
          <t>2,4-D Técnico Vinculado MAPA</t>
        </is>
      </c>
    </row>
    <row r="267" ht="22" customHeight="1">
      <c r="A267" s="6" t="inlineStr">
        <is>
          <t>CMP-0263</t>
        </is>
      </c>
      <c r="B267" s="5" t="n">
        <v>190</v>
      </c>
      <c r="C267" s="7" t="inlineStr">
        <is>
          <t>Nº 19623</t>
        </is>
      </c>
      <c r="D267" s="8" t="inlineStr">
        <is>
          <t>TORBAN PLUS</t>
        </is>
      </c>
      <c r="E267" s="5" t="n">
        <v>2</v>
      </c>
      <c r="F267" s="7" t="inlineStr">
        <is>
          <t>Ingrediente Ativo Principal</t>
        </is>
      </c>
      <c r="G267" s="7" t="inlineStr">
        <is>
          <t>PICLORAM (Sal Dimetilamina — Eq. Ácido)</t>
        </is>
      </c>
      <c r="H267" s="7" t="inlineStr">
        <is>
          <t>4-amino-3,5,6-trichloropyridine-2-carboxylic acid</t>
        </is>
      </c>
      <c r="I267" s="7" t="inlineStr">
        <is>
          <t>Ácido piridinocarboxílico</t>
        </is>
      </c>
      <c r="J267" s="7" t="inlineStr">
        <is>
          <t>HRAC Grupo O (4) — Auxinas Sintéticas</t>
        </is>
      </c>
      <c r="K267" s="7" t="inlineStr">
        <is>
          <t>Mimetizadores de auxina sintética</t>
        </is>
      </c>
      <c r="L267" s="9" t="n">
        <v>64</v>
      </c>
      <c r="M267" s="7" t="inlineStr">
        <is>
          <t>g/L</t>
        </is>
      </c>
      <c r="N267" s="7" t="inlineStr">
        <is>
          <t>Picloram Técnico Vinculado MAPA</t>
        </is>
      </c>
    </row>
    <row r="268" ht="22" customHeight="1">
      <c r="A268" s="12" t="inlineStr">
        <is>
          <t>CMP-0264</t>
        </is>
      </c>
      <c r="B268" s="11" t="n">
        <v>191</v>
      </c>
      <c r="C268" s="13" t="inlineStr">
        <is>
          <t>Nº 19623</t>
        </is>
      </c>
      <c r="D268" s="14" t="inlineStr">
        <is>
          <t>TORBAN PLUS</t>
        </is>
      </c>
      <c r="E268" s="11" t="n">
        <v>1</v>
      </c>
      <c r="F268" s="13" t="inlineStr">
        <is>
          <t>Ingrediente Ativo Principal</t>
        </is>
      </c>
      <c r="G268" s="13" t="inlineStr">
        <is>
          <t>2,4-D (Sal Dimetilamina — Eq. Ácido)</t>
        </is>
      </c>
      <c r="H268" s="13" t="inlineStr">
        <is>
          <t>(2,4-dichlorophenoxy)acetic acid</t>
        </is>
      </c>
      <c r="I268" s="13" t="inlineStr">
        <is>
          <t>Ácido ariloxialcanoico</t>
        </is>
      </c>
      <c r="J268" s="13" t="inlineStr">
        <is>
          <t>HRAC Grupo O (4) — Auxinas Sintéticas</t>
        </is>
      </c>
      <c r="K268" s="13" t="inlineStr">
        <is>
          <t>Mimetizadores de auxina sintética</t>
        </is>
      </c>
      <c r="L268" s="15" t="n">
        <v>240</v>
      </c>
      <c r="M268" s="13" t="inlineStr">
        <is>
          <t>g/L</t>
        </is>
      </c>
      <c r="N268" s="13" t="inlineStr">
        <is>
          <t>2,4-D Técnico Vinculado MAPA</t>
        </is>
      </c>
    </row>
    <row r="269" ht="22" customHeight="1">
      <c r="A269" s="6" t="inlineStr">
        <is>
          <t>CMP-0265</t>
        </is>
      </c>
      <c r="B269" s="5" t="n">
        <v>191</v>
      </c>
      <c r="C269" s="7" t="inlineStr">
        <is>
          <t>Nº 19623</t>
        </is>
      </c>
      <c r="D269" s="8" t="inlineStr">
        <is>
          <t>TORBAN PLUS</t>
        </is>
      </c>
      <c r="E269" s="5" t="n">
        <v>2</v>
      </c>
      <c r="F269" s="7" t="inlineStr">
        <is>
          <t>Ingrediente Ativo Principal</t>
        </is>
      </c>
      <c r="G269" s="7" t="inlineStr">
        <is>
          <t>PICLORAM (Sal Dimetilamina — Eq. Ácido)</t>
        </is>
      </c>
      <c r="H269" s="7" t="inlineStr">
        <is>
          <t>4-amino-3,5,6-trichloropyridine-2-carboxylic acid</t>
        </is>
      </c>
      <c r="I269" s="7" t="inlineStr">
        <is>
          <t>Ácido piridinocarboxílico</t>
        </is>
      </c>
      <c r="J269" s="7" t="inlineStr">
        <is>
          <t>HRAC Grupo O (4) — Auxinas Sintéticas</t>
        </is>
      </c>
      <c r="K269" s="7" t="inlineStr">
        <is>
          <t>Mimetizadores de auxina sintética</t>
        </is>
      </c>
      <c r="L269" s="9" t="n">
        <v>64</v>
      </c>
      <c r="M269" s="7" t="inlineStr">
        <is>
          <t>g/L</t>
        </is>
      </c>
      <c r="N269" s="7" t="inlineStr">
        <is>
          <t>Picloram Técnico Vinculado MAPA</t>
        </is>
      </c>
    </row>
    <row r="270" ht="22" customHeight="1">
      <c r="A270" s="12" t="inlineStr">
        <is>
          <t>CMP-0266</t>
        </is>
      </c>
      <c r="B270" s="11" t="n">
        <v>192</v>
      </c>
      <c r="C270" s="13" t="inlineStr">
        <is>
          <t>Nº 31422</t>
        </is>
      </c>
      <c r="D270" s="14" t="inlineStr">
        <is>
          <t>ZARPAL</t>
        </is>
      </c>
      <c r="E270" s="11" t="n">
        <v>1</v>
      </c>
      <c r="F270" s="13" t="inlineStr">
        <is>
          <t>Ingrediente Ativo Principal</t>
        </is>
      </c>
      <c r="G270" s="13" t="inlineStr">
        <is>
          <t>LUFENUROM</t>
        </is>
      </c>
      <c r="H270" s="13" t="inlineStr">
        <is>
          <t>(RS)-1-[2,5-dichloro-4-(1,1,2,3,3,3-hexafluoropropoxy)phenyl]-3-(2,6-difluorobenzoyl)urea</t>
        </is>
      </c>
      <c r="I270" s="13" t="inlineStr">
        <is>
          <t>Benzoilureia</t>
        </is>
      </c>
      <c r="J270" s="13" t="inlineStr">
        <is>
          <t>IRAC Grupo 15</t>
        </is>
      </c>
      <c r="K270" s="13" t="inlineStr">
        <is>
          <t>Inibidores da biossíntese de quitina, Tipo 0</t>
        </is>
      </c>
      <c r="L270" s="15" t="n">
        <v>140</v>
      </c>
      <c r="M270" s="13" t="inlineStr">
        <is>
          <t>g/L</t>
        </is>
      </c>
      <c r="N270" s="13" t="inlineStr">
        <is>
          <t>Lufenuron Técnico Globachem Vinculado MAPA</t>
        </is>
      </c>
    </row>
    <row r="271" ht="22" customHeight="1">
      <c r="A271" s="6" t="inlineStr">
        <is>
          <t>CMP-0267</t>
        </is>
      </c>
      <c r="B271" s="5" t="n">
        <v>192</v>
      </c>
      <c r="C271" s="7" t="inlineStr">
        <is>
          <t>Nº 31422</t>
        </is>
      </c>
      <c r="D271" s="8" t="inlineStr">
        <is>
          <t>ZARPAL</t>
        </is>
      </c>
      <c r="E271" s="5" t="n">
        <v>2</v>
      </c>
      <c r="F271" s="7" t="inlineStr">
        <is>
          <t>Ingrediente Ativo Principal</t>
        </is>
      </c>
      <c r="G271" s="7" t="inlineStr">
        <is>
          <t>BIFENTRINA</t>
        </is>
      </c>
      <c r="H271" s="7" t="inlineStr">
        <is>
          <t>2-methylbiphenyl-3-ylmethyl (Z)-(1RS,3RS)-3-(2-chloro-3,3,3-trifluoroprop-1-enyl)-2,2-dimethylcyclopropanecarboxylate</t>
        </is>
      </c>
      <c r="I271" s="7" t="inlineStr">
        <is>
          <t>Piretroide (Tipo I)</t>
        </is>
      </c>
      <c r="J271" s="7" t="inlineStr">
        <is>
          <t>IRAC Grupo 3A</t>
        </is>
      </c>
      <c r="K271" s="7" t="inlineStr">
        <is>
          <t>Moduladores de canais de sódio em membranas nervosas</t>
        </is>
      </c>
      <c r="L271" s="9" t="n">
        <v>120</v>
      </c>
      <c r="M271" s="7" t="inlineStr">
        <is>
          <t>g/L</t>
        </is>
      </c>
      <c r="N271" s="7" t="inlineStr">
        <is>
          <t>Bifentrina Técnico Globachem Vinculado MAPA</t>
        </is>
      </c>
    </row>
    <row r="272" ht="22" customHeight="1">
      <c r="A272" s="12" t="inlineStr">
        <is>
          <t>CMP-0268</t>
        </is>
      </c>
      <c r="B272" s="11" t="n">
        <v>193</v>
      </c>
      <c r="C272" s="13" t="inlineStr">
        <is>
          <t>Nº 10317</t>
        </is>
      </c>
      <c r="D272" s="14" t="inlineStr">
        <is>
          <t>XEQUE MATE</t>
        </is>
      </c>
      <c r="E272" s="11" t="n">
        <v>1</v>
      </c>
      <c r="F272" s="13" t="inlineStr">
        <is>
          <t>Ingrediente Ativo Principal</t>
        </is>
      </c>
      <c r="G272" s="13" t="inlineStr">
        <is>
          <t>GLIFOSATO SAL DE ISOPROPILAMINA 620 g/L (Equiv. 480 g/L Ácido)</t>
        </is>
      </c>
      <c r="H272" s="13" t="inlineStr">
        <is>
          <t>N-(phosphonomethyl)glycine (Isopropylamine salt)</t>
        </is>
      </c>
      <c r="I272" s="13" t="inlineStr">
        <is>
          <t>Glicina substituída</t>
        </is>
      </c>
      <c r="J272" s="13" t="inlineStr">
        <is>
          <t>HRAC Grupo G (9) — Inibidores da EPSPs</t>
        </is>
      </c>
      <c r="K272" s="13" t="inlineStr">
        <is>
          <t>Inibidores da enzima EPSPs (Enoil Piruvil Shiquimato Fosfato Sintase)</t>
        </is>
      </c>
      <c r="L272" s="15" t="n">
        <v>620</v>
      </c>
      <c r="M272" s="13" t="inlineStr">
        <is>
          <t>g/L</t>
        </is>
      </c>
      <c r="N272" s="13" t="inlineStr">
        <is>
          <t>Glifosato Técnico Albaugh</t>
        </is>
      </c>
    </row>
    <row r="273" ht="22" customHeight="1">
      <c r="A273" s="6" t="inlineStr">
        <is>
          <t>CMP-0269</t>
        </is>
      </c>
      <c r="B273" s="5" t="n">
        <v>194</v>
      </c>
      <c r="C273" s="7" t="inlineStr">
        <is>
          <t>Nº 6313</t>
        </is>
      </c>
      <c r="D273" s="8" t="inlineStr">
        <is>
          <t>MANFIL 800 WP</t>
        </is>
      </c>
      <c r="E273" s="5" t="n">
        <v>1</v>
      </c>
      <c r="F273" s="7" t="inlineStr">
        <is>
          <t>Ingrediente Ativo Principal</t>
        </is>
      </c>
      <c r="G273" s="7" t="inlineStr">
        <is>
          <t>MANCOZEB 800</t>
        </is>
      </c>
      <c r="H273" s="7" t="inlineStr">
        <is>
          <t>Manganese ethylenebis(dithiocarbamate) (polymeric) complex with zinc salt</t>
        </is>
      </c>
      <c r="I273" s="7" t="inlineStr">
        <is>
          <t>Alquilenobis(ditiocarbamato)</t>
        </is>
      </c>
      <c r="J273" s="7" t="inlineStr">
        <is>
          <t>FRAC Grupo M03 — Multissítio</t>
        </is>
      </c>
      <c r="K273" s="7" t="inlineStr">
        <is>
          <t>Inibidor multissítio de enzimas contendo grupos sulfidrila e aminoácidos fúngicos</t>
        </is>
      </c>
      <c r="L273" s="9" t="n">
        <v>800</v>
      </c>
      <c r="M273" s="7" t="inlineStr">
        <is>
          <t>g/kg</t>
        </is>
      </c>
      <c r="N273" s="7" t="inlineStr">
        <is>
          <t>Registro Técnico Vinculado MAPA</t>
        </is>
      </c>
    </row>
    <row r="274" ht="22" customHeight="1">
      <c r="A274" s="12" t="inlineStr">
        <is>
          <t>CMP-0270</t>
        </is>
      </c>
      <c r="B274" s="11" t="n">
        <v>195</v>
      </c>
      <c r="C274" s="13" t="inlineStr">
        <is>
          <t>Nº 15716</t>
        </is>
      </c>
      <c r="D274" s="14" t="inlineStr">
        <is>
          <t>DIFCOR 250 EC BR</t>
        </is>
      </c>
      <c r="E274" s="11" t="n">
        <v>1</v>
      </c>
      <c r="F274" s="13" t="inlineStr">
        <is>
          <t>Ingrediente Ativo Principal</t>
        </is>
      </c>
      <c r="G274" s="13" t="inlineStr">
        <is>
          <t>DIFENOCONAZOL 250</t>
        </is>
      </c>
      <c r="H274" s="13" t="inlineStr">
        <is>
          <t>cis,trans-3-chloro-4-[4-methyl-2-(1H-1,2,4-triazol-1-ylmethyl)-1,3-dioxolan-2-yl]phenyl 4-chlorophenyl ether</t>
        </is>
      </c>
      <c r="I274" s="13" t="inlineStr">
        <is>
          <t>Triazol</t>
        </is>
      </c>
      <c r="J274" s="13" t="inlineStr">
        <is>
          <t>FRAC Grupo 3 (DMI)</t>
        </is>
      </c>
      <c r="K274" s="13" t="inlineStr">
        <is>
          <t>Inibidores da desmetilação de esteróis (C14-desmetilase na síntese de ergosterol)</t>
        </is>
      </c>
      <c r="L274" s="15" t="n">
        <v>250</v>
      </c>
      <c r="M274" s="13" t="inlineStr">
        <is>
          <t>g/L</t>
        </is>
      </c>
      <c r="N274" s="13" t="inlineStr">
        <is>
          <t>Registro Técnico Vinculado MAPA</t>
        </is>
      </c>
    </row>
    <row r="275" ht="22" customHeight="1">
      <c r="A275" s="6" t="inlineStr">
        <is>
          <t>CMP-0271</t>
        </is>
      </c>
      <c r="B275" s="5" t="n">
        <v>196</v>
      </c>
      <c r="C275" s="7" t="inlineStr">
        <is>
          <t>SIPEAGRO (UF-XXXXX)</t>
        </is>
      </c>
      <c r="D275" s="8" t="inlineStr">
        <is>
          <t>BIOMAX PREMIUM LIQ SOJA 4X1,8L</t>
        </is>
      </c>
      <c r="E275" s="5" t="n">
        <v>1</v>
      </c>
      <c r="F275" s="7" t="inlineStr">
        <is>
          <t>Agente Biológico / Cepa</t>
        </is>
      </c>
      <c r="G275" s="7" t="inlineStr">
        <is>
          <t>BRADYRHIZOBIUM JAPONICUM / ELKANII (SEMIA 5079 + SEMIA 5080 — mín. 5,0x10^9 UFC/mL)</t>
        </is>
      </c>
      <c r="H275" s="7" t="inlineStr">
        <is>
          <t>Bradyrhizobium japonicum SEMIA 5079 e SEMIA 5080</t>
        </is>
      </c>
      <c r="I275" s="7" t="inlineStr">
        <is>
          <t>Inoculante Biológico Fixador Simbiótico de Nitrogênio</t>
        </is>
      </c>
      <c r="J275" s="7" t="inlineStr">
        <is>
          <t>Inoculante Registrado SIPEAGRO/MAPA</t>
        </is>
      </c>
      <c r="K275" s="7" t="inlineStr">
        <is>
          <t>Nodulação radicular e fixação biológica simbiótica de N2 atmosférico em leguminosas</t>
        </is>
      </c>
      <c r="L275" s="9" t="n">
        <v>100</v>
      </c>
      <c r="M275" s="7" t="inlineStr">
        <is>
          <t>% v/v (Veículo Inoculante Estéril)</t>
        </is>
      </c>
      <c r="N275" s="7" t="inlineStr">
        <is>
          <t>Registro Técnico Vinculado MAPA</t>
        </is>
      </c>
    </row>
    <row r="276" ht="22" customHeight="1">
      <c r="A276" s="12" t="inlineStr">
        <is>
          <t>CMP-0272</t>
        </is>
      </c>
      <c r="B276" s="11" t="n">
        <v>197</v>
      </c>
      <c r="C276" s="13" t="inlineStr">
        <is>
          <t>Nº 12812</t>
        </is>
      </c>
      <c r="D276" s="14" t="inlineStr">
        <is>
          <t>INSIDE FS</t>
        </is>
      </c>
      <c r="E276" s="11" t="n">
        <v>1</v>
      </c>
      <c r="F276" s="13" t="inlineStr">
        <is>
          <t>Ingrediente Ativo Principal</t>
        </is>
      </c>
      <c r="G276" s="13" t="inlineStr">
        <is>
          <t>CLOTIANIDINA 600</t>
        </is>
      </c>
      <c r="H276" s="13" t="inlineStr">
        <is>
          <t>(E)-1-(2-chloro-1,3-thiazol-5-ylmethyl)-3-methyl-2-nitroguanidine</t>
        </is>
      </c>
      <c r="I276" s="13" t="inlineStr">
        <is>
          <t>Neonicotinoide</t>
        </is>
      </c>
      <c r="J276" s="13" t="inlineStr">
        <is>
          <t>IRAC Grupo 4A</t>
        </is>
      </c>
      <c r="K276" s="13" t="inlineStr">
        <is>
          <t>Moduladores competitivos dos receptores nicotínicos da acetilcolina (nAChR)</t>
        </is>
      </c>
      <c r="L276" s="15" t="n">
        <v>600</v>
      </c>
      <c r="M276" s="13" t="inlineStr">
        <is>
          <t>g/L</t>
        </is>
      </c>
      <c r="N276" s="13" t="inlineStr">
        <is>
          <t>Registro Técnico Vinculado MAPA</t>
        </is>
      </c>
    </row>
    <row r="277" ht="22" customHeight="1">
      <c r="A277" s="6" t="inlineStr">
        <is>
          <t>CMP-0273</t>
        </is>
      </c>
      <c r="B277" s="5" t="n">
        <v>198</v>
      </c>
      <c r="C277" s="7" t="inlineStr">
        <is>
          <t>Nº 22417</t>
        </is>
      </c>
      <c r="D277" s="8" t="inlineStr">
        <is>
          <t>SUMYZIN</t>
        </is>
      </c>
      <c r="E277" s="5" t="n">
        <v>1</v>
      </c>
      <c r="F277" s="7" t="inlineStr">
        <is>
          <t>Ingrediente Ativo Principal</t>
        </is>
      </c>
      <c r="G277" s="7" t="inlineStr">
        <is>
          <t>FLUMIOXAZINA 500</t>
        </is>
      </c>
      <c r="H277" s="7" t="inlineStr">
        <is>
          <t>N-(7-fluoro-3,4-dihydro-3-oxo-4-prop-2-ynyl-2H-1,4-benzoxazin-6-yl)cyclohex-1-ene-1,2-dicarboximide</t>
        </is>
      </c>
      <c r="I277" s="7" t="inlineStr">
        <is>
          <t>N-fenilftalimida</t>
        </is>
      </c>
      <c r="J277" s="7" t="inlineStr">
        <is>
          <t>HRAC Grupo E (14) — Inibidores da PROTOX</t>
        </is>
      </c>
      <c r="K277" s="7" t="inlineStr">
        <is>
          <t>Inibidores da enzima protoporfirinogênio oxidase (PROTOX)</t>
        </is>
      </c>
      <c r="L277" s="9" t="n">
        <v>500</v>
      </c>
      <c r="M277" s="7" t="inlineStr">
        <is>
          <t>g/L</t>
        </is>
      </c>
      <c r="N277" s="7" t="inlineStr">
        <is>
          <t>Registro Técnico Vinculado MAPA</t>
        </is>
      </c>
    </row>
    <row r="278" ht="22" customHeight="1">
      <c r="A278" s="12" t="inlineStr">
        <is>
          <t>CMP-0274</t>
        </is>
      </c>
      <c r="B278" s="11" t="n">
        <v>199</v>
      </c>
      <c r="C278" s="13" t="inlineStr">
        <is>
          <t>Nº 28520</t>
        </is>
      </c>
      <c r="D278" s="14" t="inlineStr">
        <is>
          <t>SENHA 720 WG</t>
        </is>
      </c>
      <c r="E278" s="11" t="n">
        <v>1</v>
      </c>
      <c r="F278" s="13" t="inlineStr">
        <is>
          <t>Ingrediente Ativo Principal</t>
        </is>
      </c>
      <c r="G278" s="13" t="inlineStr">
        <is>
          <t>GLIFOSATO 720</t>
        </is>
      </c>
      <c r="H278" s="13" t="inlineStr">
        <is>
          <t>N-(phosphonomethyl)glycine (Sal de Amônio / Isopropilamina / Potássico)</t>
        </is>
      </c>
      <c r="I278" s="13" t="inlineStr">
        <is>
          <t>Glicina substituída</t>
        </is>
      </c>
      <c r="J278" s="13" t="inlineStr">
        <is>
          <t>HRAC Grupo G (EPSPs)</t>
        </is>
      </c>
      <c r="K278" s="13" t="inlineStr">
        <is>
          <t>Inibidores da enzima EPSPs (Enoil Piruvil Shiquimato Fosfato Sintase)</t>
        </is>
      </c>
      <c r="L278" s="15" t="n">
        <v>720</v>
      </c>
      <c r="M278" s="13" t="inlineStr">
        <is>
          <t>g/kg</t>
        </is>
      </c>
      <c r="N278" s="13" t="inlineStr">
        <is>
          <t>Registro Técnico Vinculado MAPA</t>
        </is>
      </c>
    </row>
    <row r="279" ht="22" customHeight="1">
      <c r="A279" s="6" t="inlineStr">
        <is>
          <t>CMP-0275</t>
        </is>
      </c>
      <c r="B279" s="5" t="n">
        <v>200</v>
      </c>
      <c r="C279" s="7" t="inlineStr">
        <is>
          <t>SIPEAGRO (UF-XXXXX)</t>
        </is>
      </c>
      <c r="D279" s="8" t="inlineStr">
        <is>
          <t>AGCN MG 16</t>
        </is>
      </c>
      <c r="E279" s="5" t="n">
        <v>1</v>
      </c>
      <c r="F279" s="7" t="inlineStr">
        <is>
          <t>Nutriente Garantido</t>
        </is>
      </c>
      <c r="G279" s="7" t="inlineStr">
        <is>
          <t>MG 16%</t>
        </is>
      </c>
      <c r="H279" s="7" t="inlineStr">
        <is>
          <t>Composição Nutricional Oficial (MG 16%)</t>
        </is>
      </c>
      <c r="I279" s="7" t="inlineStr">
        <is>
          <t>Fertilizante Mineral / Organomineral (Lei nº 6.894/1980)</t>
        </is>
      </c>
      <c r="J279" s="7" t="inlineStr">
        <is>
          <t>Nutrição Vegetal SIPEAGRO</t>
        </is>
      </c>
      <c r="K279" s="7" t="inlineStr">
        <is>
          <t>Fornecimento de macro e micronutrientes essenciais ao metabolismo vegetal</t>
        </is>
      </c>
      <c r="L279" s="9" t="n">
        <v>16</v>
      </c>
      <c r="M279" s="7" t="inlineStr">
        <is>
          <t>% m/m</t>
        </is>
      </c>
      <c r="N279" s="7" t="inlineStr">
        <is>
          <t>Registro Técnico Vinculado MAPA</t>
        </is>
      </c>
    </row>
    <row r="280" ht="22" customHeight="1">
      <c r="A280" s="12" t="inlineStr">
        <is>
          <t>CMP-0276</t>
        </is>
      </c>
      <c r="B280" s="11" t="n">
        <v>201</v>
      </c>
      <c r="C280" s="13" t="inlineStr">
        <is>
          <t>Nº 25119</t>
        </is>
      </c>
      <c r="D280" s="14" t="inlineStr">
        <is>
          <t>GLIFOSATO 72WG ALAMOS</t>
        </is>
      </c>
      <c r="E280" s="11" t="n">
        <v>1</v>
      </c>
      <c r="F280" s="13" t="inlineStr">
        <is>
          <t>Ingrediente Ativo Principal</t>
        </is>
      </c>
      <c r="G280" s="13" t="inlineStr">
        <is>
          <t>GLIFOSATO 720</t>
        </is>
      </c>
      <c r="H280" s="13" t="inlineStr">
        <is>
          <t>N-(phosphonomethyl)glycine (Sal de Amônio / Isopropilamina / Potássico)</t>
        </is>
      </c>
      <c r="I280" s="13" t="inlineStr">
        <is>
          <t>Glicina substituída</t>
        </is>
      </c>
      <c r="J280" s="13" t="inlineStr">
        <is>
          <t>HRAC Grupo G (EPSPs)</t>
        </is>
      </c>
      <c r="K280" s="13" t="inlineStr">
        <is>
          <t>Inibidores da enzima EPSPs (Enoil Piruvil Shiquimato Fosfato Sintase)</t>
        </is>
      </c>
      <c r="L280" s="15" t="n">
        <v>720</v>
      </c>
      <c r="M280" s="13" t="inlineStr">
        <is>
          <t>g/kg</t>
        </is>
      </c>
      <c r="N280" s="13" t="inlineStr">
        <is>
          <t>Registro Técnico Vinculado MAPA</t>
        </is>
      </c>
    </row>
    <row r="281" ht="22" customHeight="1">
      <c r="A281" s="6" t="inlineStr">
        <is>
          <t>CMP-0277</t>
        </is>
      </c>
      <c r="B281" s="5" t="n">
        <v>202</v>
      </c>
      <c r="C281" s="7" t="inlineStr">
        <is>
          <t>Nº 28923</t>
        </is>
      </c>
      <c r="D281" s="8" t="inlineStr">
        <is>
          <t>PREVENTIS</t>
        </is>
      </c>
      <c r="E281" s="5" t="n">
        <v>1</v>
      </c>
      <c r="F281" s="7" t="inlineStr">
        <is>
          <t>Ingrediente Ativo Principal</t>
        </is>
      </c>
      <c r="G281" s="7" t="inlineStr">
        <is>
          <t>MANCOZEB 445</t>
        </is>
      </c>
      <c r="H281" s="7" t="inlineStr">
        <is>
          <t>Manganese ethylenebis(dithiocarbamate) (polymeric) complex with zinc salt</t>
        </is>
      </c>
      <c r="I281" s="7" t="inlineStr">
        <is>
          <t>Alquilenobis(ditiocarbamato)</t>
        </is>
      </c>
      <c r="J281" s="7" t="inlineStr">
        <is>
          <t>FRAC Grupo M03 — Multissítio</t>
        </is>
      </c>
      <c r="K281" s="7" t="inlineStr">
        <is>
          <t>Inibidor multissítio de enzimas contendo grupos sulfidrila e aminoácidos fúngicos</t>
        </is>
      </c>
      <c r="L281" s="9" t="n">
        <v>445</v>
      </c>
      <c r="M281" s="7" t="inlineStr">
        <is>
          <t>g/kg</t>
        </is>
      </c>
      <c r="N281" s="7" t="inlineStr">
        <is>
          <t>Registro Técnico Vinculado MAPA</t>
        </is>
      </c>
    </row>
    <row r="282" ht="22" customHeight="1">
      <c r="A282" s="12" t="inlineStr">
        <is>
          <t>CMP-0278</t>
        </is>
      </c>
      <c r="B282" s="11" t="n">
        <v>203</v>
      </c>
      <c r="C282" s="13" t="inlineStr">
        <is>
          <t>SIPEAGRO (UF-XXXXX)</t>
        </is>
      </c>
      <c r="D282" s="14" t="inlineStr">
        <is>
          <t>F.M.A. BR B6,0 CU1,0 MN7,5 ZN1,0</t>
        </is>
      </c>
      <c r="E282" s="11" t="n">
        <v>1</v>
      </c>
      <c r="F282" s="13" t="inlineStr">
        <is>
          <t>Nutriente Garantido</t>
        </is>
      </c>
      <c r="G282" s="13" t="inlineStr">
        <is>
          <t>OXISULFATOS</t>
        </is>
      </c>
      <c r="H282" s="13" t="inlineStr">
        <is>
          <t>Composição Nutricional Oficial (OXISULFATOS)</t>
        </is>
      </c>
      <c r="I282" s="13" t="inlineStr">
        <is>
          <t>Fertilizante Mineral / Organomineral (Lei nº 6.894/1980)</t>
        </is>
      </c>
      <c r="J282" s="13" t="inlineStr">
        <is>
          <t>Nutrição Vegetal SIPEAGRO</t>
        </is>
      </c>
      <c r="K282" s="13" t="inlineStr">
        <is>
          <t>Fornecimento de macro e micronutrientes essenciais ao metabolismo vegetal</t>
        </is>
      </c>
      <c r="L282" s="15" t="n">
        <v>100</v>
      </c>
      <c r="M282" s="13" t="inlineStr">
        <is>
          <t>% m/m</t>
        </is>
      </c>
      <c r="N282" s="13" t="inlineStr">
        <is>
          <t>Registro Técnico Vinculado MAPA</t>
        </is>
      </c>
    </row>
    <row r="283" ht="22" customHeight="1">
      <c r="A283" s="6" t="inlineStr">
        <is>
          <t>CMP-0279</t>
        </is>
      </c>
      <c r="B283" s="5" t="n">
        <v>204</v>
      </c>
      <c r="C283" s="7" t="inlineStr">
        <is>
          <t>Nº 15407</t>
        </is>
      </c>
      <c r="D283" s="8" t="inlineStr">
        <is>
          <t>SMITE</t>
        </is>
      </c>
      <c r="E283" s="5" t="n">
        <v>1</v>
      </c>
      <c r="F283" s="7" t="inlineStr">
        <is>
          <t>Ingrediente Ativo Principal</t>
        </is>
      </c>
      <c r="G283" s="7" t="inlineStr">
        <is>
          <t>ETOXAZOL 110</t>
        </is>
      </c>
      <c r="H283" s="7" t="inlineStr">
        <is>
          <t>(RS)-5-tert-butyl-2-[2-(2,6-difluorophenyl)-4,5-dihydro-1,3-oxazol-4-yl]phenetole</t>
        </is>
      </c>
      <c r="I283" s="7" t="inlineStr">
        <is>
          <t>Difeniloxazolina</t>
        </is>
      </c>
      <c r="J283" s="7" t="inlineStr">
        <is>
          <t>IRAC Grupo 10B</t>
        </is>
      </c>
      <c r="K283" s="7" t="inlineStr">
        <is>
          <t>Inibidores do crescimento de ácaros (inibição da síntese de quitina)</t>
        </is>
      </c>
      <c r="L283" s="9" t="n">
        <v>110</v>
      </c>
      <c r="M283" s="7" t="inlineStr">
        <is>
          <t>g/L</t>
        </is>
      </c>
      <c r="N283" s="7" t="inlineStr">
        <is>
          <t>Registro Técnico Vinculado MAPA</t>
        </is>
      </c>
    </row>
    <row r="284" ht="22" customHeight="1">
      <c r="A284" s="12" t="inlineStr">
        <is>
          <t>CMP-0280</t>
        </is>
      </c>
      <c r="B284" s="11" t="n">
        <v>205</v>
      </c>
      <c r="C284" s="13" t="inlineStr">
        <is>
          <t>Nº 9420</t>
        </is>
      </c>
      <c r="D284" s="14" t="inlineStr">
        <is>
          <t>ENSIS-TURBO</t>
        </is>
      </c>
      <c r="E284" s="11" t="n">
        <v>1</v>
      </c>
      <c r="F284" s="13" t="inlineStr">
        <is>
          <t>Ingrediente Ativo Principal</t>
        </is>
      </c>
      <c r="G284" s="13" t="inlineStr">
        <is>
          <t>AZOXISTROBINA 120</t>
        </is>
      </c>
      <c r="H284" s="13" t="inlineStr">
        <is>
          <t>Methyl (E)-2-{2-[6-(2-cyanophenoxy)pyrimidin-4-yloxy]phenyl}-3-methoxyacrylate</t>
        </is>
      </c>
      <c r="I284" s="13" t="inlineStr">
        <is>
          <t>Estrobilurina (Metoxiacrilato)</t>
        </is>
      </c>
      <c r="J284" s="13" t="inlineStr">
        <is>
          <t>FRAC Grupo 11 (QoI)</t>
        </is>
      </c>
      <c r="K284" s="13" t="inlineStr">
        <is>
          <t>Inibidores da respiração mitocondrial no complexo III (citocromo bc1)</t>
        </is>
      </c>
      <c r="L284" s="15" t="n">
        <v>120</v>
      </c>
      <c r="M284" s="13" t="inlineStr">
        <is>
          <t>g/L</t>
        </is>
      </c>
      <c r="N284" s="13" t="inlineStr">
        <is>
          <t>Registro Técnico Vinculado MAPA</t>
        </is>
      </c>
    </row>
    <row r="285" ht="22" customHeight="1">
      <c r="A285" s="6" t="inlineStr">
        <is>
          <t>CMP-0281</t>
        </is>
      </c>
      <c r="B285" s="5" t="n">
        <v>205</v>
      </c>
      <c r="C285" s="7" t="inlineStr">
        <is>
          <t>Nº 9420</t>
        </is>
      </c>
      <c r="D285" s="8" t="inlineStr">
        <is>
          <t>ENSIS-TURBO</t>
        </is>
      </c>
      <c r="E285" s="5" t="n">
        <v>2</v>
      </c>
      <c r="F285" s="7" t="inlineStr">
        <is>
          <t>Ingrediente Ativo Principal</t>
        </is>
      </c>
      <c r="G285" s="7" t="inlineStr">
        <is>
          <t>TEBUCONAZOL 360</t>
        </is>
      </c>
      <c r="H285" s="7" t="inlineStr">
        <is>
          <t>(RS)-1-p-chlorophenyl-4,4-dimethyl-3-(1H-1,2,4-triazol-1-ylmethyl)pentan-3-ol</t>
        </is>
      </c>
      <c r="I285" s="7" t="inlineStr">
        <is>
          <t>Triazol</t>
        </is>
      </c>
      <c r="J285" s="7" t="inlineStr">
        <is>
          <t>FRAC Grupo 3 (DMI)</t>
        </is>
      </c>
      <c r="K285" s="7" t="inlineStr">
        <is>
          <t>Inibidores da desmetilação de C14 na biossíntese de ergosterol</t>
        </is>
      </c>
      <c r="L285" s="9" t="n">
        <v>360</v>
      </c>
      <c r="M285" s="7" t="inlineStr">
        <is>
          <t>g/L</t>
        </is>
      </c>
      <c r="N285" s="7" t="inlineStr">
        <is>
          <t>Registro Técnico Vinculado MAPA</t>
        </is>
      </c>
    </row>
    <row r="286" ht="22" customHeight="1">
      <c r="A286" s="12" t="inlineStr">
        <is>
          <t>CMP-0282</t>
        </is>
      </c>
      <c r="B286" s="11" t="n">
        <v>206</v>
      </c>
      <c r="C286" s="13" t="inlineStr">
        <is>
          <t>Nº 27323</t>
        </is>
      </c>
      <c r="D286" s="14" t="inlineStr">
        <is>
          <t>ACEGOL</t>
        </is>
      </c>
      <c r="E286" s="11" t="n">
        <v>1</v>
      </c>
      <c r="F286" s="13" t="inlineStr">
        <is>
          <t>Ingrediente Ativo Principal</t>
        </is>
      </c>
      <c r="G286" s="13" t="inlineStr">
        <is>
          <t>ACETAMIPRIDO 725</t>
        </is>
      </c>
      <c r="H286" s="13" t="inlineStr">
        <is>
          <t>(E)-N1-[(6-chloro-3-pyridyl)methyl]-N2-cyano-N1-methylacetamidine</t>
        </is>
      </c>
      <c r="I286" s="13" t="inlineStr">
        <is>
          <t>Neonicotinoide</t>
        </is>
      </c>
      <c r="J286" s="13" t="inlineStr">
        <is>
          <t>IRAC Grupo 4A</t>
        </is>
      </c>
      <c r="K286" s="13" t="inlineStr">
        <is>
          <t>Moduladores competitivos de receptores nicotínicos da acetilcolina (nAChR)</t>
        </is>
      </c>
      <c r="L286" s="15" t="n">
        <v>725</v>
      </c>
      <c r="M286" s="13" t="inlineStr">
        <is>
          <t>g/kg</t>
        </is>
      </c>
      <c r="N286" s="13" t="inlineStr">
        <is>
          <t>Registro Técnico Vinculado MAPA</t>
        </is>
      </c>
    </row>
    <row r="287" ht="22" customHeight="1">
      <c r="A287" s="6" t="inlineStr">
        <is>
          <t>CMP-0283</t>
        </is>
      </c>
      <c r="B287" s="5" t="n">
        <v>207</v>
      </c>
      <c r="C287" s="7" t="inlineStr">
        <is>
          <t>Nº 43818</t>
        </is>
      </c>
      <c r="D287" s="8" t="inlineStr">
        <is>
          <t>DIAFENTIURON</t>
        </is>
      </c>
      <c r="E287" s="5" t="n">
        <v>1</v>
      </c>
      <c r="F287" s="7" t="inlineStr">
        <is>
          <t>Ingrediente Ativo Principal</t>
        </is>
      </c>
      <c r="G287" s="7" t="inlineStr">
        <is>
          <t>DIAFENTIURON 500</t>
        </is>
      </c>
      <c r="H287" s="7" t="inlineStr">
        <is>
          <t>1-tert-butyl-3-(2,6-di-isopropyl-4-phenoxyphenyl)thiourea</t>
        </is>
      </c>
      <c r="I287" s="7" t="inlineStr">
        <is>
          <t>Tioureia</t>
        </is>
      </c>
      <c r="J287" s="7" t="inlineStr">
        <is>
          <t>IRAC Grupo 12A</t>
        </is>
      </c>
      <c r="K287" s="7" t="inlineStr">
        <is>
          <t>Inibidores da ATP sintase mitocondrial</t>
        </is>
      </c>
      <c r="L287" s="9" t="n">
        <v>500</v>
      </c>
      <c r="M287" s="7" t="inlineStr">
        <is>
          <t>g/L</t>
        </is>
      </c>
      <c r="N287" s="7" t="inlineStr">
        <is>
          <t>Registro Técnico Vinculado MAPA</t>
        </is>
      </c>
    </row>
    <row r="288" ht="22" customHeight="1">
      <c r="A288" s="12" t="inlineStr">
        <is>
          <t>CMP-0284</t>
        </is>
      </c>
      <c r="B288" s="11" t="n">
        <v>208</v>
      </c>
      <c r="C288" s="13" t="inlineStr">
        <is>
          <t>Nº 26017</t>
        </is>
      </c>
      <c r="D288" s="14" t="inlineStr">
        <is>
          <t>MESOTRIONE</t>
        </is>
      </c>
      <c r="E288" s="11" t="n">
        <v>1</v>
      </c>
      <c r="F288" s="13" t="inlineStr">
        <is>
          <t>Ingrediente Ativo Principal</t>
        </is>
      </c>
      <c r="G288" s="13" t="inlineStr">
        <is>
          <t>MESOTRIONA 480</t>
        </is>
      </c>
      <c r="H288" s="13" t="inlineStr">
        <is>
          <t>2-(4-mesyl-2-nitrobenzoyl)cyclohexane-1,3-dione</t>
        </is>
      </c>
      <c r="I288" s="13" t="inlineStr">
        <is>
          <t>Tricetona</t>
        </is>
      </c>
      <c r="J288" s="13" t="inlineStr">
        <is>
          <t>HRAC Grupo F2 (27) — Inibidores da HPPD</t>
        </is>
      </c>
      <c r="K288" s="13" t="inlineStr">
        <is>
          <t>Inibidores da enzima 4-hidroxifenil-piruvato-dioxigenase (HPPD - biossíntese de carotenoides)</t>
        </is>
      </c>
      <c r="L288" s="15" t="n">
        <v>480</v>
      </c>
      <c r="M288" s="13" t="inlineStr">
        <is>
          <t>g/L</t>
        </is>
      </c>
      <c r="N288" s="13" t="inlineStr">
        <is>
          <t>Registro Técnico Vinculado MAPA</t>
        </is>
      </c>
    </row>
    <row r="289" ht="22" customHeight="1">
      <c r="A289" s="6" t="inlineStr">
        <is>
          <t>CMP-0285</t>
        </is>
      </c>
      <c r="B289" s="5" t="n">
        <v>209</v>
      </c>
      <c r="C289" s="7" t="inlineStr">
        <is>
          <t>Nº 9823</t>
        </is>
      </c>
      <c r="D289" s="8" t="inlineStr">
        <is>
          <t>OLASOJA</t>
        </is>
      </c>
      <c r="E289" s="5" t="n">
        <v>1</v>
      </c>
      <c r="F289" s="7" t="inlineStr">
        <is>
          <t>Ingrediente Ativo Principal</t>
        </is>
      </c>
      <c r="G289" s="7" t="inlineStr">
        <is>
          <t>FLUMIOXAZINA 500</t>
        </is>
      </c>
      <c r="H289" s="7" t="inlineStr">
        <is>
          <t>N-(7-fluoro-3,4-dihydro-3-oxo-4-prop-2-ynyl-2H-1,4-benzoxazin-6-yl)cyclohex-1-ene-1,2-dicarboximide</t>
        </is>
      </c>
      <c r="I289" s="7" t="inlineStr">
        <is>
          <t>N-fenilftalimida</t>
        </is>
      </c>
      <c r="J289" s="7" t="inlineStr">
        <is>
          <t>HRAC Grupo E (14) — Inibidores da PROTOX</t>
        </is>
      </c>
      <c r="K289" s="7" t="inlineStr">
        <is>
          <t>Inibidores da enzima protoporfirinogênio oxidase (PROTOX)</t>
        </is>
      </c>
      <c r="L289" s="9" t="n">
        <v>500</v>
      </c>
      <c r="M289" s="7" t="inlineStr">
        <is>
          <t>g/L</t>
        </is>
      </c>
      <c r="N289" s="7" t="inlineStr">
        <is>
          <t>Registro Técnico Vinculado MAPA</t>
        </is>
      </c>
    </row>
    <row r="290" ht="22" customHeight="1">
      <c r="A290" s="12" t="inlineStr">
        <is>
          <t>CMP-0286</t>
        </is>
      </c>
      <c r="B290" s="11" t="n">
        <v>210</v>
      </c>
      <c r="C290" s="13" t="inlineStr">
        <is>
          <t>SIPEAGRO (UF-XXXXX)</t>
        </is>
      </c>
      <c r="D290" s="14" t="inlineStr">
        <is>
          <t>MAGNIFIC</t>
        </is>
      </c>
      <c r="E290" s="11" t="n">
        <v>1</v>
      </c>
      <c r="F290" s="13" t="inlineStr">
        <is>
          <t>Nutriente Garantido</t>
        </is>
      </c>
      <c r="G290" s="13" t="inlineStr">
        <is>
          <t>MG 8,5%</t>
        </is>
      </c>
      <c r="H290" s="13" t="inlineStr">
        <is>
          <t>Composição Nutricional Oficial (MG 8,5%)</t>
        </is>
      </c>
      <c r="I290" s="13" t="inlineStr">
        <is>
          <t>Fertilizante Mineral / Organomineral (Lei nº 6.894/1980)</t>
        </is>
      </c>
      <c r="J290" s="13" t="inlineStr">
        <is>
          <t>Nutrição Vegetal SIPEAGRO</t>
        </is>
      </c>
      <c r="K290" s="13" t="inlineStr">
        <is>
          <t>Fornecimento de macro e micronutrientes essenciais ao metabolismo vegetal</t>
        </is>
      </c>
      <c r="L290" s="18" t="n">
        <v>8.5</v>
      </c>
      <c r="M290" s="13" t="inlineStr">
        <is>
          <t>% m/m</t>
        </is>
      </c>
      <c r="N290" s="13" t="inlineStr">
        <is>
          <t>Registro Técnico Vinculado MAPA</t>
        </is>
      </c>
    </row>
    <row r="291" ht="22" customHeight="1">
      <c r="A291" s="6" t="inlineStr">
        <is>
          <t>CMP-0287</t>
        </is>
      </c>
      <c r="B291" s="5" t="n">
        <v>210</v>
      </c>
      <c r="C291" s="7" t="inlineStr">
        <is>
          <t>SIPEAGRO (UF-XXXXX)</t>
        </is>
      </c>
      <c r="D291" s="8" t="inlineStr">
        <is>
          <t>MAGNIFIC</t>
        </is>
      </c>
      <c r="E291" s="5" t="n">
        <v>2</v>
      </c>
      <c r="F291" s="7" t="inlineStr">
        <is>
          <t>Nutriente Garantido</t>
        </is>
      </c>
      <c r="G291" s="7" t="inlineStr">
        <is>
          <t>MACRO E MICRO</t>
        </is>
      </c>
      <c r="H291" s="7" t="inlineStr">
        <is>
          <t>Composição Nutricional Oficial (MACRO E MICRO)</t>
        </is>
      </c>
      <c r="I291" s="7" t="inlineStr">
        <is>
          <t>Fertilizante Mineral / Organomineral (Lei nº 6.894/1980)</t>
        </is>
      </c>
      <c r="J291" s="7" t="inlineStr">
        <is>
          <t>Nutrição Vegetal SIPEAGRO</t>
        </is>
      </c>
      <c r="K291" s="7" t="inlineStr">
        <is>
          <t>Fornecimento de macro e micronutrientes essenciais ao metabolismo vegetal</t>
        </is>
      </c>
      <c r="L291" s="9" t="n">
        <v>10</v>
      </c>
      <c r="M291" s="7" t="inlineStr">
        <is>
          <t>% m/m</t>
        </is>
      </c>
      <c r="N291" s="7" t="inlineStr">
        <is>
          <t>Registro Técnico Vinculado MAPA</t>
        </is>
      </c>
    </row>
    <row r="292" ht="22" customHeight="1">
      <c r="A292" s="12" t="inlineStr">
        <is>
          <t>CMP-0288</t>
        </is>
      </c>
      <c r="B292" s="11" t="n">
        <v>211</v>
      </c>
      <c r="C292" s="13" t="inlineStr">
        <is>
          <t>SIPEAGRO (UF-XXXXX)</t>
        </is>
      </c>
      <c r="D292" s="14" t="inlineStr">
        <is>
          <t>BORON</t>
        </is>
      </c>
      <c r="E292" s="11" t="n">
        <v>1</v>
      </c>
      <c r="F292" s="13" t="inlineStr">
        <is>
          <t>Ingrediente Ativo Principal</t>
        </is>
      </c>
      <c r="G292" s="13" t="inlineStr">
        <is>
          <t>BORO 10% - ULEXITA</t>
        </is>
      </c>
      <c r="H292" s="13" t="inlineStr">
        <is>
          <t>Corretivo / Condicionador Mineral (BORO 10% - ULEXITA)</t>
        </is>
      </c>
      <c r="I292" s="13" t="inlineStr">
        <is>
          <t>Corretivo de Acidez / Condicionador de Solo (SIPEAGRO)</t>
        </is>
      </c>
      <c r="J292" s="13" t="inlineStr">
        <is>
          <t>Correção Química de Solo</t>
        </is>
      </c>
      <c r="K292" s="13" t="inlineStr">
        <is>
          <t>Neutralização de Al3+ tóxico e fornecimento de Ca2+, Mg2+, S ou B</t>
        </is>
      </c>
      <c r="L292" s="15" t="n">
        <v>10</v>
      </c>
      <c r="M292" s="13" t="inlineStr">
        <is>
          <t>% m/m</t>
        </is>
      </c>
      <c r="N292" s="13" t="inlineStr">
        <is>
          <t>Registro Técnico Vinculado MAPA</t>
        </is>
      </c>
    </row>
    <row r="293" ht="22" customHeight="1">
      <c r="A293" s="6" t="inlineStr">
        <is>
          <t>CMP-0289</t>
        </is>
      </c>
      <c r="B293" s="5" t="n">
        <v>212</v>
      </c>
      <c r="C293" s="7" t="inlineStr">
        <is>
          <t>Nº 28520</t>
        </is>
      </c>
      <c r="D293" s="8" t="inlineStr">
        <is>
          <t>SENHA 720 WG</t>
        </is>
      </c>
      <c r="E293" s="5" t="n">
        <v>1</v>
      </c>
      <c r="F293" s="7" t="inlineStr">
        <is>
          <t>Ingrediente Ativo Principal</t>
        </is>
      </c>
      <c r="G293" s="7" t="inlineStr">
        <is>
          <t>GLIFOSATO 720</t>
        </is>
      </c>
      <c r="H293" s="7" t="inlineStr">
        <is>
          <t>N-(phosphonomethyl)glycine (Sal de Amônio / Isopropilamina / Potássico)</t>
        </is>
      </c>
      <c r="I293" s="7" t="inlineStr">
        <is>
          <t>Glicina substituída</t>
        </is>
      </c>
      <c r="J293" s="7" t="inlineStr">
        <is>
          <t>HRAC Grupo G (EPSPs)</t>
        </is>
      </c>
      <c r="K293" s="7" t="inlineStr">
        <is>
          <t>Inibidores da enzima EPSPs (Enoil Piruvil Shiquimato Fosfato Sintase)</t>
        </is>
      </c>
      <c r="L293" s="9" t="n">
        <v>720</v>
      </c>
      <c r="M293" s="7" t="inlineStr">
        <is>
          <t>g/kg</t>
        </is>
      </c>
      <c r="N293" s="7" t="inlineStr">
        <is>
          <t>Registro Técnico Vinculado MAPA</t>
        </is>
      </c>
    </row>
    <row r="294" ht="22" customHeight="1">
      <c r="A294" s="12" t="inlineStr">
        <is>
          <t>CMP-0290</t>
        </is>
      </c>
      <c r="B294" s="11" t="n">
        <v>213</v>
      </c>
      <c r="C294" s="13" t="inlineStr">
        <is>
          <t>Nº 24823</t>
        </is>
      </c>
      <c r="D294" s="14" t="inlineStr">
        <is>
          <t>OLASUL</t>
        </is>
      </c>
      <c r="E294" s="11" t="n">
        <v>1</v>
      </c>
      <c r="F294" s="13" t="inlineStr">
        <is>
          <t>Ingrediente Ativo Principal</t>
        </is>
      </c>
      <c r="G294" s="13" t="inlineStr">
        <is>
          <t>SULFENTRAZONA 500</t>
        </is>
      </c>
      <c r="H294" s="13" t="inlineStr">
        <is>
          <t>2,4-dichloro-5-(4-difluoromethyl-4,5-dihydro-3-methyl-5-oxo-1H-1,2,4-triazol-1-yl)methanesulfonanilide</t>
        </is>
      </c>
      <c r="I294" s="13" t="inlineStr">
        <is>
          <t>Triazolinona</t>
        </is>
      </c>
      <c r="J294" s="13" t="inlineStr">
        <is>
          <t>HRAC Grupo E (14) — Inibidores da PROTOX</t>
        </is>
      </c>
      <c r="K294" s="13" t="inlineStr">
        <is>
          <t>Inibição da enzima protoporfirinogênio oxidase (PROTOX / PPO)</t>
        </is>
      </c>
      <c r="L294" s="15" t="n">
        <v>500</v>
      </c>
      <c r="M294" s="13" t="inlineStr">
        <is>
          <t>g/L</t>
        </is>
      </c>
      <c r="N294" s="13" t="inlineStr">
        <is>
          <t>Registro Técnico Vinculado MAPA</t>
        </is>
      </c>
    </row>
    <row r="295" ht="22" customHeight="1">
      <c r="A295" s="6" t="inlineStr">
        <is>
          <t>CMP-0291</t>
        </is>
      </c>
      <c r="B295" s="5" t="n">
        <v>214</v>
      </c>
      <c r="C295" s="7" t="inlineStr">
        <is>
          <t>Nº 32323</t>
        </is>
      </c>
      <c r="D295" s="8" t="inlineStr">
        <is>
          <t>OLATAZON 400 EC</t>
        </is>
      </c>
      <c r="E295" s="5" t="n">
        <v>1</v>
      </c>
      <c r="F295" s="7" t="inlineStr">
        <is>
          <t>Ingrediente Ativo Principal</t>
        </is>
      </c>
      <c r="G295" s="7" t="inlineStr">
        <is>
          <t>CARFENTRAZONA ETILICA 400</t>
        </is>
      </c>
      <c r="H295" s="7" t="inlineStr">
        <is>
          <t>Ethyl (RS)-2-chloro-3-[2-chloro-5-[4-(difluoromethyl)-4,5-dihydro-3-methyl-5-oxo-1H-1,2,4-triazol-1-yl]-4-fluorophenyl]propionate</t>
        </is>
      </c>
      <c r="I295" s="7" t="inlineStr">
        <is>
          <t>Triazolinona</t>
        </is>
      </c>
      <c r="J295" s="7" t="inlineStr">
        <is>
          <t>HRAC Grupo E (14) — Inibidores da PROTOX</t>
        </is>
      </c>
      <c r="K295" s="7" t="inlineStr">
        <is>
          <t>Inibidores da enzima protoporfirinogênio oxidase (PROTOX)</t>
        </is>
      </c>
      <c r="L295" s="9" t="n">
        <v>400</v>
      </c>
      <c r="M295" s="7" t="inlineStr">
        <is>
          <t>g/L</t>
        </is>
      </c>
      <c r="N295" s="7" t="inlineStr">
        <is>
          <t>Registro Técnico Vinculado MAPA</t>
        </is>
      </c>
    </row>
    <row r="296" ht="22" customHeight="1">
      <c r="A296" s="12" t="inlineStr">
        <is>
          <t>CMP-0292</t>
        </is>
      </c>
      <c r="B296" s="11" t="n">
        <v>215</v>
      </c>
      <c r="C296" s="13" t="inlineStr">
        <is>
          <t>Nº 30520</t>
        </is>
      </c>
      <c r="D296" s="14" t="inlineStr">
        <is>
          <t>MAXAPAC 250 EC</t>
        </is>
      </c>
      <c r="E296" s="11" t="n">
        <v>1</v>
      </c>
      <c r="F296" s="13" t="inlineStr">
        <is>
          <t>Ingrediente Ativo Principal</t>
        </is>
      </c>
      <c r="G296" s="13" t="inlineStr">
        <is>
          <t>TRINEXAPAQUE-ETILICO 250</t>
        </is>
      </c>
      <c r="H296" s="13" t="inlineStr">
        <is>
          <t>Ethyl 4-cyclopropyl(hydroxy)methylene-3,5-dioxocyclohexanecarboxylate</t>
        </is>
      </c>
      <c r="I296" s="13" t="inlineStr">
        <is>
          <t>Ciclohexanodiona Carboxilato (Fitorregulador)</t>
        </is>
      </c>
      <c r="J296" s="13" t="inlineStr">
        <is>
          <t>Regulador de Crescimento Vegetal (Inibidor de Giberelina)</t>
        </is>
      </c>
      <c r="K296" s="13" t="inlineStr">
        <is>
          <t>Inibição da 3-beta-hidroxilase na rota biossintética do ácido giberélico (GA1)</t>
        </is>
      </c>
      <c r="L296" s="15" t="n">
        <v>250</v>
      </c>
      <c r="M296" s="13" t="inlineStr">
        <is>
          <t>g/L</t>
        </is>
      </c>
      <c r="N296" s="13" t="inlineStr">
        <is>
          <t>Registro Técnico Vinculado MAPA</t>
        </is>
      </c>
    </row>
    <row r="297" ht="22" customHeight="1">
      <c r="A297" s="6" t="inlineStr">
        <is>
          <t>CMP-0293</t>
        </is>
      </c>
      <c r="B297" s="5" t="n">
        <v>216</v>
      </c>
      <c r="C297" s="7" t="inlineStr">
        <is>
          <t>Nº 6922</t>
        </is>
      </c>
      <c r="D297" s="8" t="inlineStr">
        <is>
          <t>COFENRIN</t>
        </is>
      </c>
      <c r="E297" s="5" t="n">
        <v>1</v>
      </c>
      <c r="F297" s="7" t="inlineStr">
        <is>
          <t>Ingrediente Ativo Principal</t>
        </is>
      </c>
      <c r="G297" s="7" t="inlineStr">
        <is>
          <t>BIFENTRINA 400</t>
        </is>
      </c>
      <c r="H297" s="7" t="inlineStr">
        <is>
          <t>2-methylbiphenyl-3-ylmethyl (Z)-(1RS,3RS)-3-(2-chloro-3,3,3-trifluoroprop-1-enyl)-2,2-dimethylcyclopropanecarboxylate</t>
        </is>
      </c>
      <c r="I297" s="7" t="inlineStr">
        <is>
          <t>Piretroide (Tipo I)</t>
        </is>
      </c>
      <c r="J297" s="7" t="inlineStr">
        <is>
          <t>IRAC Grupo 3A</t>
        </is>
      </c>
      <c r="K297" s="7" t="inlineStr">
        <is>
          <t>Moduladores de canais de sódio em membranas nervosas</t>
        </is>
      </c>
      <c r="L297" s="9" t="n">
        <v>400</v>
      </c>
      <c r="M297" s="7" t="inlineStr">
        <is>
          <t>g/L</t>
        </is>
      </c>
      <c r="N297" s="7" t="inlineStr">
        <is>
          <t>Registro Técnico Vinculado MAPA</t>
        </is>
      </c>
    </row>
    <row r="298" ht="22" customHeight="1">
      <c r="A298" s="12" t="inlineStr">
        <is>
          <t>CMP-0294</t>
        </is>
      </c>
      <c r="B298" s="11" t="n">
        <v>217</v>
      </c>
      <c r="C298" s="13" t="inlineStr">
        <is>
          <t>SIPEAGRO (UF-XXXXX)</t>
        </is>
      </c>
      <c r="D298" s="14" t="inlineStr">
        <is>
          <t>AGCN ZINCO ULTRA</t>
        </is>
      </c>
      <c r="E298" s="11" t="n">
        <v>1</v>
      </c>
      <c r="F298" s="13" t="inlineStr">
        <is>
          <t>Nutriente Garantido</t>
        </is>
      </c>
      <c r="G298" s="13" t="inlineStr">
        <is>
          <t>ZN 43%</t>
        </is>
      </c>
      <c r="H298" s="13" t="inlineStr">
        <is>
          <t>Composição Nutricional Oficial (ZN 43%)</t>
        </is>
      </c>
      <c r="I298" s="13" t="inlineStr">
        <is>
          <t>Fertilizante Mineral / Organomineral (Lei nº 6.894/1980)</t>
        </is>
      </c>
      <c r="J298" s="13" t="inlineStr">
        <is>
          <t>Nutrição Vegetal SIPEAGRO</t>
        </is>
      </c>
      <c r="K298" s="13" t="inlineStr">
        <is>
          <t>Fornecimento de macro e micronutrientes essenciais ao metabolismo vegetal</t>
        </is>
      </c>
      <c r="L298" s="15" t="n">
        <v>43</v>
      </c>
      <c r="M298" s="13" t="inlineStr">
        <is>
          <t>% m/m</t>
        </is>
      </c>
      <c r="N298" s="13" t="inlineStr">
        <is>
          <t>Registro Técnico Vinculado MAPA</t>
        </is>
      </c>
    </row>
    <row r="299" ht="22" customHeight="1">
      <c r="A299" s="6" t="inlineStr">
        <is>
          <t>CMP-0295</t>
        </is>
      </c>
      <c r="B299" s="5" t="n">
        <v>218</v>
      </c>
      <c r="C299" s="7" t="inlineStr">
        <is>
          <t>ISENTO (ATO 104/2017)</t>
        </is>
      </c>
      <c r="D299" s="8" t="inlineStr">
        <is>
          <t>AGCN SAFE SPRAY</t>
        </is>
      </c>
      <c r="E299" s="5" t="n">
        <v>1</v>
      </c>
      <c r="F299" s="7" t="inlineStr">
        <is>
          <t>Ingrediente Ativo Principal</t>
        </is>
      </c>
      <c r="G299" s="7" t="inlineStr">
        <is>
          <t>ADJUVANTE (MULTI FUNCAO)</t>
        </is>
      </c>
      <c r="H299" s="7" t="inlineStr">
        <is>
          <t>Adjuvante Agrícola de Calda (ADJUVANTE (MULTI FUNCAO))</t>
        </is>
      </c>
      <c r="I299" s="7" t="inlineStr">
        <is>
          <t>Éster Metílico / Hidrocarboneto Parafínico / Tensoativo Siliconado</t>
        </is>
      </c>
      <c r="J299" s="7" t="inlineStr">
        <is>
          <t>Adjuvante Tecnológico de Pulverização</t>
        </is>
      </c>
      <c r="K299" s="7" t="inlineStr">
        <is>
          <t>Redução da tensão superficial, espalhamento, anti-deriva e penetração cuticular</t>
        </is>
      </c>
      <c r="L299" s="9" t="n">
        <v>500</v>
      </c>
      <c r="M299" s="7" t="inlineStr">
        <is>
          <t>g/L</t>
        </is>
      </c>
      <c r="N299" s="7" t="inlineStr">
        <is>
          <t>Registro Técnico Vinculado MAPA</t>
        </is>
      </c>
    </row>
    <row r="300" ht="22" customHeight="1">
      <c r="A300" s="12" t="inlineStr">
        <is>
          <t>CMP-0296</t>
        </is>
      </c>
      <c r="B300" s="11" t="n">
        <v>219</v>
      </c>
      <c r="C300" s="13" t="inlineStr">
        <is>
          <t>SIPEAGRO (UF-XXXXX)</t>
        </is>
      </c>
      <c r="D300" s="14" t="inlineStr">
        <is>
          <t>AGCN MN 10</t>
        </is>
      </c>
      <c r="E300" s="11" t="n">
        <v>1</v>
      </c>
      <c r="F300" s="13" t="inlineStr">
        <is>
          <t>Nutriente Garantido</t>
        </is>
      </c>
      <c r="G300" s="13" t="inlineStr">
        <is>
          <t>MN 5%</t>
        </is>
      </c>
      <c r="H300" s="13" t="inlineStr">
        <is>
          <t>Composição Nutricional Oficial (MN 5%)</t>
        </is>
      </c>
      <c r="I300" s="13" t="inlineStr">
        <is>
          <t>Fertilizante Mineral / Organomineral (Lei nº 6.894/1980)</t>
        </is>
      </c>
      <c r="J300" s="13" t="inlineStr">
        <is>
          <t>Nutrição Vegetal SIPEAGRO</t>
        </is>
      </c>
      <c r="K300" s="13" t="inlineStr">
        <is>
          <t>Fornecimento de macro e micronutrientes essenciais ao metabolismo vegetal</t>
        </is>
      </c>
      <c r="L300" s="15" t="n">
        <v>5</v>
      </c>
      <c r="M300" s="13" t="inlineStr">
        <is>
          <t>% m/m</t>
        </is>
      </c>
      <c r="N300" s="13" t="inlineStr">
        <is>
          <t>Registro Técnico Vinculado MAPA</t>
        </is>
      </c>
    </row>
    <row r="301" ht="22" customHeight="1">
      <c r="A301" s="6" t="inlineStr">
        <is>
          <t>CMP-0297</t>
        </is>
      </c>
      <c r="B301" s="5" t="n">
        <v>219</v>
      </c>
      <c r="C301" s="7" t="inlineStr">
        <is>
          <t>SIPEAGRO (UF-XXXXX)</t>
        </is>
      </c>
      <c r="D301" s="8" t="inlineStr">
        <is>
          <t>AGCN MN 10</t>
        </is>
      </c>
      <c r="E301" s="5" t="n">
        <v>2</v>
      </c>
      <c r="F301" s="7" t="inlineStr">
        <is>
          <t>Nutriente Garantido</t>
        </is>
      </c>
      <c r="G301" s="7" t="inlineStr">
        <is>
          <t>N 1%</t>
        </is>
      </c>
      <c r="H301" s="7" t="inlineStr">
        <is>
          <t>Composição Nutricional Oficial (N 1%)</t>
        </is>
      </c>
      <c r="I301" s="7" t="inlineStr">
        <is>
          <t>Fertilizante Mineral / Organomineral (Lei nº 6.894/1980)</t>
        </is>
      </c>
      <c r="J301" s="7" t="inlineStr">
        <is>
          <t>Nutrição Vegetal SIPEAGRO</t>
        </is>
      </c>
      <c r="K301" s="7" t="inlineStr">
        <is>
          <t>Fornecimento de macro e micronutrientes essenciais ao metabolismo vegetal</t>
        </is>
      </c>
      <c r="L301" s="9" t="n">
        <v>1</v>
      </c>
      <c r="M301" s="7" t="inlineStr">
        <is>
          <t>% m/m</t>
        </is>
      </c>
      <c r="N301" s="7" t="inlineStr">
        <is>
          <t>Registro Técnico Vinculado MAPA</t>
        </is>
      </c>
    </row>
    <row r="302" ht="22" customHeight="1">
      <c r="A302" s="12" t="inlineStr">
        <is>
          <t>CMP-0298</t>
        </is>
      </c>
      <c r="B302" s="11" t="n">
        <v>219</v>
      </c>
      <c r="C302" s="13" t="inlineStr">
        <is>
          <t>SIPEAGRO (UF-XXXXX)</t>
        </is>
      </c>
      <c r="D302" s="14" t="inlineStr">
        <is>
          <t>AGCN MN 10</t>
        </is>
      </c>
      <c r="E302" s="11" t="n">
        <v>3</v>
      </c>
      <c r="F302" s="13" t="inlineStr">
        <is>
          <t>Nutriente Garantido</t>
        </is>
      </c>
      <c r="G302" s="13" t="inlineStr">
        <is>
          <t>ENXOFRE 4%</t>
        </is>
      </c>
      <c r="H302" s="13" t="inlineStr">
        <is>
          <t>Composição Nutricional Oficial (ENXOFRE 4%)</t>
        </is>
      </c>
      <c r="I302" s="13" t="inlineStr">
        <is>
          <t>Fertilizante Mineral / Organomineral (Lei nº 6.894/1980)</t>
        </is>
      </c>
      <c r="J302" s="13" t="inlineStr">
        <is>
          <t>Nutrição Vegetal SIPEAGRO</t>
        </is>
      </c>
      <c r="K302" s="13" t="inlineStr">
        <is>
          <t>Fornecimento de macro e micronutrientes essenciais ao metabolismo vegetal</t>
        </is>
      </c>
      <c r="L302" s="15" t="n">
        <v>4</v>
      </c>
      <c r="M302" s="13" t="inlineStr">
        <is>
          <t>% m/m</t>
        </is>
      </c>
      <c r="N302" s="13" t="inlineStr">
        <is>
          <t>Registro Técnico Vinculado MAPA</t>
        </is>
      </c>
    </row>
    <row r="303" ht="22" customHeight="1">
      <c r="A303" s="6" t="inlineStr">
        <is>
          <t>CMP-0299</t>
        </is>
      </c>
      <c r="B303" s="5" t="n">
        <v>219</v>
      </c>
      <c r="C303" s="7" t="inlineStr">
        <is>
          <t>SIPEAGRO (UF-XXXXX)</t>
        </is>
      </c>
      <c r="D303" s="8" t="inlineStr">
        <is>
          <t>AGCN MN 10</t>
        </is>
      </c>
      <c r="E303" s="5" t="n">
        <v>4</v>
      </c>
      <c r="F303" s="7" t="inlineStr">
        <is>
          <t>Nutriente Garantido</t>
        </is>
      </c>
      <c r="G303" s="7" t="inlineStr">
        <is>
          <t>BORO 0,3%</t>
        </is>
      </c>
      <c r="H303" s="7" t="inlineStr">
        <is>
          <t>Composição Nutricional Oficial (BORO 0,3%)</t>
        </is>
      </c>
      <c r="I303" s="7" t="inlineStr">
        <is>
          <t>Fertilizante Mineral / Organomineral (Lei nº 6.894/1980)</t>
        </is>
      </c>
      <c r="J303" s="7" t="inlineStr">
        <is>
          <t>Nutrição Vegetal SIPEAGRO</t>
        </is>
      </c>
      <c r="K303" s="7" t="inlineStr">
        <is>
          <t>Fornecimento de macro e micronutrientes essenciais ao metabolismo vegetal</t>
        </is>
      </c>
      <c r="L303" s="17" t="n">
        <v>0.3</v>
      </c>
      <c r="M303" s="7" t="inlineStr">
        <is>
          <t>% m/m</t>
        </is>
      </c>
      <c r="N303" s="7" t="inlineStr">
        <is>
          <t>Registro Técnico Vinculado MAPA</t>
        </is>
      </c>
    </row>
    <row r="304" ht="22" customHeight="1">
      <c r="A304" s="12" t="inlineStr">
        <is>
          <t>CMP-0300</t>
        </is>
      </c>
      <c r="B304" s="11" t="n">
        <v>219</v>
      </c>
      <c r="C304" s="13" t="inlineStr">
        <is>
          <t>SIPEAGRO (UF-XXXXX)</t>
        </is>
      </c>
      <c r="D304" s="14" t="inlineStr">
        <is>
          <t>AGCN MN 10</t>
        </is>
      </c>
      <c r="E304" s="11" t="n">
        <v>5</v>
      </c>
      <c r="F304" s="13" t="inlineStr">
        <is>
          <t>Nutriente Garantido</t>
        </is>
      </c>
      <c r="G304" s="13" t="inlineStr">
        <is>
          <t>COBRE 0,3%</t>
        </is>
      </c>
      <c r="H304" s="13" t="inlineStr">
        <is>
          <t>Composição Nutricional Oficial (COBRE 0,3%)</t>
        </is>
      </c>
      <c r="I304" s="13" t="inlineStr">
        <is>
          <t>Fertilizante Mineral / Organomineral (Lei nº 6.894/1980)</t>
        </is>
      </c>
      <c r="J304" s="13" t="inlineStr">
        <is>
          <t>Nutrição Vegetal SIPEAGRO</t>
        </is>
      </c>
      <c r="K304" s="13" t="inlineStr">
        <is>
          <t>Fornecimento de macro e micronutrientes essenciais ao metabolismo vegetal</t>
        </is>
      </c>
      <c r="L304" s="18" t="n">
        <v>0.3</v>
      </c>
      <c r="M304" s="13" t="inlineStr">
        <is>
          <t>% m/m</t>
        </is>
      </c>
      <c r="N304" s="13" t="inlineStr">
        <is>
          <t>Registro Técnico Vinculado MAPA</t>
        </is>
      </c>
    </row>
    <row r="305" ht="22" customHeight="1">
      <c r="A305" s="6" t="inlineStr">
        <is>
          <t>CMP-0301</t>
        </is>
      </c>
      <c r="B305" s="5" t="n">
        <v>219</v>
      </c>
      <c r="C305" s="7" t="inlineStr">
        <is>
          <t>SIPEAGRO (UF-XXXXX)</t>
        </is>
      </c>
      <c r="D305" s="8" t="inlineStr">
        <is>
          <t>AGCN MN 10</t>
        </is>
      </c>
      <c r="E305" s="5" t="n">
        <v>6</v>
      </c>
      <c r="F305" s="7" t="inlineStr">
        <is>
          <t>Nutriente Garantido</t>
        </is>
      </c>
      <c r="G305" s="7" t="inlineStr">
        <is>
          <t>ZN 3%</t>
        </is>
      </c>
      <c r="H305" s="7" t="inlineStr">
        <is>
          <t>Composição Nutricional Oficial (ZN 3%)</t>
        </is>
      </c>
      <c r="I305" s="7" t="inlineStr">
        <is>
          <t>Fertilizante Mineral / Organomineral (Lei nº 6.894/1980)</t>
        </is>
      </c>
      <c r="J305" s="7" t="inlineStr">
        <is>
          <t>Nutrição Vegetal SIPEAGRO</t>
        </is>
      </c>
      <c r="K305" s="7" t="inlineStr">
        <is>
          <t>Fornecimento de macro e micronutrientes essenciais ao metabolismo vegetal</t>
        </is>
      </c>
      <c r="L305" s="9" t="n">
        <v>3</v>
      </c>
      <c r="M305" s="7" t="inlineStr">
        <is>
          <t>% m/m</t>
        </is>
      </c>
      <c r="N305" s="7" t="inlineStr">
        <is>
          <t>Registro Técnico Vinculado MAPA</t>
        </is>
      </c>
    </row>
    <row r="306" ht="22" customHeight="1">
      <c r="A306" s="12" t="inlineStr">
        <is>
          <t>CMP-0302</t>
        </is>
      </c>
      <c r="B306" s="11" t="n">
        <v>220</v>
      </c>
      <c r="C306" s="13" t="inlineStr">
        <is>
          <t>SIPEAGRO (UF-XXXXX)</t>
        </is>
      </c>
      <c r="D306" s="14" t="inlineStr">
        <is>
          <t>AGCN MAGNESIO</t>
        </is>
      </c>
      <c r="E306" s="11" t="n">
        <v>1</v>
      </c>
      <c r="F306" s="13" t="inlineStr">
        <is>
          <t>Nutriente Garantido</t>
        </is>
      </c>
      <c r="G306" s="13" t="inlineStr">
        <is>
          <t>MG 8,5%</t>
        </is>
      </c>
      <c r="H306" s="13" t="inlineStr">
        <is>
          <t>Composição Nutricional Oficial (MG 8,5%)</t>
        </is>
      </c>
      <c r="I306" s="13" t="inlineStr">
        <is>
          <t>Fertilizante Mineral / Organomineral (Lei nº 6.894/1980)</t>
        </is>
      </c>
      <c r="J306" s="13" t="inlineStr">
        <is>
          <t>Nutrição Vegetal SIPEAGRO</t>
        </is>
      </c>
      <c r="K306" s="13" t="inlineStr">
        <is>
          <t>Fornecimento de macro e micronutrientes essenciais ao metabolismo vegetal</t>
        </is>
      </c>
      <c r="L306" s="18" t="n">
        <v>8.5</v>
      </c>
      <c r="M306" s="13" t="inlineStr">
        <is>
          <t>% m/m</t>
        </is>
      </c>
      <c r="N306" s="13" t="inlineStr">
        <is>
          <t>Registro Técnico Vinculado MAPA</t>
        </is>
      </c>
    </row>
    <row r="307" ht="22" customHeight="1">
      <c r="A307" s="6" t="inlineStr">
        <is>
          <t>CMP-0303</t>
        </is>
      </c>
      <c r="B307" s="5" t="n">
        <v>220</v>
      </c>
      <c r="C307" s="7" t="inlineStr">
        <is>
          <t>SIPEAGRO (UF-XXXXX)</t>
        </is>
      </c>
      <c r="D307" s="8" t="inlineStr">
        <is>
          <t>AGCN MAGNESIO</t>
        </is>
      </c>
      <c r="E307" s="5" t="n">
        <v>2</v>
      </c>
      <c r="F307" s="7" t="inlineStr">
        <is>
          <t>Nutriente Garantido</t>
        </is>
      </c>
      <c r="G307" s="7" t="inlineStr">
        <is>
          <t>MACRO E MICRO</t>
        </is>
      </c>
      <c r="H307" s="7" t="inlineStr">
        <is>
          <t>Composição Nutricional Oficial (MACRO E MICRO)</t>
        </is>
      </c>
      <c r="I307" s="7" t="inlineStr">
        <is>
          <t>Fertilizante Mineral / Organomineral (Lei nº 6.894/1980)</t>
        </is>
      </c>
      <c r="J307" s="7" t="inlineStr">
        <is>
          <t>Nutrição Vegetal SIPEAGRO</t>
        </is>
      </c>
      <c r="K307" s="7" t="inlineStr">
        <is>
          <t>Fornecimento de macro e micronutrientes essenciais ao metabolismo vegetal</t>
        </is>
      </c>
      <c r="L307" s="9" t="n">
        <v>10</v>
      </c>
      <c r="M307" s="7" t="inlineStr">
        <is>
          <t>% m/m</t>
        </is>
      </c>
      <c r="N307" s="7" t="inlineStr">
        <is>
          <t>Registro Técnico Vinculado MAPA</t>
        </is>
      </c>
    </row>
    <row r="308" ht="22" customHeight="1">
      <c r="A308" s="12" t="inlineStr">
        <is>
          <t>CMP-0304</t>
        </is>
      </c>
      <c r="B308" s="11" t="n">
        <v>221</v>
      </c>
      <c r="C308" s="13" t="inlineStr">
        <is>
          <t>SIPEAGRO (UF-XXXXX)</t>
        </is>
      </c>
      <c r="D308" s="14" t="inlineStr">
        <is>
          <t>AGCN FULL ULTRA</t>
        </is>
      </c>
      <c r="E308" s="11" t="n">
        <v>1</v>
      </c>
      <c r="F308" s="13" t="inlineStr">
        <is>
          <t>Nutriente Garantido</t>
        </is>
      </c>
      <c r="G308" s="13" t="inlineStr">
        <is>
          <t>N15%</t>
        </is>
      </c>
      <c r="H308" s="13" t="inlineStr">
        <is>
          <t>Composição Nutricional Oficial (N15%)</t>
        </is>
      </c>
      <c r="I308" s="13" t="inlineStr">
        <is>
          <t>Fertilizante Mineral / Organomineral (Lei nº 6.894/1980)</t>
        </is>
      </c>
      <c r="J308" s="13" t="inlineStr">
        <is>
          <t>Nutrição Vegetal SIPEAGRO</t>
        </is>
      </c>
      <c r="K308" s="13" t="inlineStr">
        <is>
          <t>Fornecimento de macro e micronutrientes essenciais ao metabolismo vegetal</t>
        </is>
      </c>
      <c r="L308" s="15" t="n">
        <v>15</v>
      </c>
      <c r="M308" s="13" t="inlineStr">
        <is>
          <t>% m/m</t>
        </is>
      </c>
      <c r="N308" s="13" t="inlineStr">
        <is>
          <t>Registro Técnico Vinculado MAPA</t>
        </is>
      </c>
    </row>
    <row r="309" ht="22" customHeight="1">
      <c r="A309" s="6" t="inlineStr">
        <is>
          <t>CMP-0305</t>
        </is>
      </c>
      <c r="B309" s="5" t="n">
        <v>221</v>
      </c>
      <c r="C309" s="7" t="inlineStr">
        <is>
          <t>SIPEAGRO (UF-XXXXX)</t>
        </is>
      </c>
      <c r="D309" s="8" t="inlineStr">
        <is>
          <t>AGCN FULL ULTRA</t>
        </is>
      </c>
      <c r="E309" s="5" t="n">
        <v>2</v>
      </c>
      <c r="F309" s="7" t="inlineStr">
        <is>
          <t>Nutriente Garantido</t>
        </is>
      </c>
      <c r="G309" s="7" t="inlineStr">
        <is>
          <t>P5%</t>
        </is>
      </c>
      <c r="H309" s="7" t="inlineStr">
        <is>
          <t>Composição Nutricional Oficial (P5%)</t>
        </is>
      </c>
      <c r="I309" s="7" t="inlineStr">
        <is>
          <t>Fertilizante Mineral / Organomineral (Lei nº 6.894/1980)</t>
        </is>
      </c>
      <c r="J309" s="7" t="inlineStr">
        <is>
          <t>Nutrição Vegetal SIPEAGRO</t>
        </is>
      </c>
      <c r="K309" s="7" t="inlineStr">
        <is>
          <t>Fornecimento de macro e micronutrientes essenciais ao metabolismo vegetal</t>
        </is>
      </c>
      <c r="L309" s="9" t="n">
        <v>5</v>
      </c>
      <c r="M309" s="7" t="inlineStr">
        <is>
          <t>% m/m</t>
        </is>
      </c>
      <c r="N309" s="7" t="inlineStr">
        <is>
          <t>Registro Técnico Vinculado MAPA</t>
        </is>
      </c>
    </row>
    <row r="310" ht="22" customHeight="1">
      <c r="A310" s="12" t="inlineStr">
        <is>
          <t>CMP-0306</t>
        </is>
      </c>
      <c r="B310" s="11" t="n">
        <v>221</v>
      </c>
      <c r="C310" s="13" t="inlineStr">
        <is>
          <t>SIPEAGRO (UF-XXXXX)</t>
        </is>
      </c>
      <c r="D310" s="14" t="inlineStr">
        <is>
          <t>AGCN FULL ULTRA</t>
        </is>
      </c>
      <c r="E310" s="11" t="n">
        <v>3</v>
      </c>
      <c r="F310" s="13" t="inlineStr">
        <is>
          <t>Nutriente Garantido</t>
        </is>
      </c>
      <c r="G310" s="13" t="inlineStr">
        <is>
          <t>K2O 5%</t>
        </is>
      </c>
      <c r="H310" s="13" t="inlineStr">
        <is>
          <t>Composição Nutricional Oficial (K205%)</t>
        </is>
      </c>
      <c r="I310" s="13" t="inlineStr">
        <is>
          <t>Fertilizante Mineral / Organomineral (Lei nº 6.894/1980)</t>
        </is>
      </c>
      <c r="J310" s="13" t="inlineStr">
        <is>
          <t>Nutrição Vegetal SIPEAGRO</t>
        </is>
      </c>
      <c r="K310" s="13" t="inlineStr">
        <is>
          <t>Fornecimento de macro e micronutrientes essenciais ao metabolismo vegetal</t>
        </is>
      </c>
      <c r="L310" s="15" t="n">
        <v>5</v>
      </c>
      <c r="M310" s="13" t="inlineStr">
        <is>
          <t>% m/m</t>
        </is>
      </c>
      <c r="N310" s="13" t="inlineStr">
        <is>
          <t>Registro Técnico Vinculado MAPA</t>
        </is>
      </c>
    </row>
    <row r="311" ht="22" customHeight="1">
      <c r="A311" s="6" t="inlineStr">
        <is>
          <t>CMP-0307</t>
        </is>
      </c>
      <c r="B311" s="5" t="n">
        <v>221</v>
      </c>
      <c r="C311" s="7" t="inlineStr">
        <is>
          <t>SIPEAGRO (UF-XXXXX)</t>
        </is>
      </c>
      <c r="D311" s="8" t="inlineStr">
        <is>
          <t>AGCN FULL ULTRA</t>
        </is>
      </c>
      <c r="E311" s="5" t="n">
        <v>4</v>
      </c>
      <c r="F311" s="7" t="inlineStr">
        <is>
          <t>Nutriente Garantido</t>
        </is>
      </c>
      <c r="G311" s="7" t="inlineStr">
        <is>
          <t>CA1%</t>
        </is>
      </c>
      <c r="H311" s="7" t="inlineStr">
        <is>
          <t>Composição Nutricional Oficial (CA1%)</t>
        </is>
      </c>
      <c r="I311" s="7" t="inlineStr">
        <is>
          <t>Fertilizante Mineral / Organomineral (Lei nº 6.894/1980)</t>
        </is>
      </c>
      <c r="J311" s="7" t="inlineStr">
        <is>
          <t>Nutrição Vegetal SIPEAGRO</t>
        </is>
      </c>
      <c r="K311" s="7" t="inlineStr">
        <is>
          <t>Fornecimento de macro e micronutrientes essenciais ao metabolismo vegetal</t>
        </is>
      </c>
      <c r="L311" s="9" t="n">
        <v>1</v>
      </c>
      <c r="M311" s="7" t="inlineStr">
        <is>
          <t>% m/m</t>
        </is>
      </c>
      <c r="N311" s="7" t="inlineStr">
        <is>
          <t>Registro Técnico Vinculado MAPA</t>
        </is>
      </c>
    </row>
    <row r="312" ht="22" customHeight="1">
      <c r="A312" s="12" t="inlineStr">
        <is>
          <t>CMP-0308</t>
        </is>
      </c>
      <c r="B312" s="11" t="n">
        <v>221</v>
      </c>
      <c r="C312" s="13" t="inlineStr">
        <is>
          <t>SIPEAGRO (UF-XXXXX)</t>
        </is>
      </c>
      <c r="D312" s="14" t="inlineStr">
        <is>
          <t>AGCN FULL ULTRA</t>
        </is>
      </c>
      <c r="E312" s="11" t="n">
        <v>5</v>
      </c>
      <c r="F312" s="13" t="inlineStr">
        <is>
          <t>Nutriente Garantido</t>
        </is>
      </c>
      <c r="G312" s="13" t="inlineStr">
        <is>
          <t>MG1%</t>
        </is>
      </c>
      <c r="H312" s="13" t="inlineStr">
        <is>
          <t>Composição Nutricional Oficial (MG1%)</t>
        </is>
      </c>
      <c r="I312" s="13" t="inlineStr">
        <is>
          <t>Fertilizante Mineral / Organomineral (Lei nº 6.894/1980)</t>
        </is>
      </c>
      <c r="J312" s="13" t="inlineStr">
        <is>
          <t>Nutrição Vegetal SIPEAGRO</t>
        </is>
      </c>
      <c r="K312" s="13" t="inlineStr">
        <is>
          <t>Fornecimento de macro e micronutrientes essenciais ao metabolismo vegetal</t>
        </is>
      </c>
      <c r="L312" s="15" t="n">
        <v>1</v>
      </c>
      <c r="M312" s="13" t="inlineStr">
        <is>
          <t>% m/m</t>
        </is>
      </c>
      <c r="N312" s="13" t="inlineStr">
        <is>
          <t>Registro Técnico Vinculado MAPA</t>
        </is>
      </c>
    </row>
    <row r="313" ht="22" customHeight="1">
      <c r="A313" s="6" t="inlineStr">
        <is>
          <t>CMP-0309</t>
        </is>
      </c>
      <c r="B313" s="5" t="n">
        <v>221</v>
      </c>
      <c r="C313" s="7" t="inlineStr">
        <is>
          <t>SIPEAGRO (UF-XXXXX)</t>
        </is>
      </c>
      <c r="D313" s="8" t="inlineStr">
        <is>
          <t>AGCN FULL ULTRA</t>
        </is>
      </c>
      <c r="E313" s="5" t="n">
        <v>6</v>
      </c>
      <c r="F313" s="7" t="inlineStr">
        <is>
          <t>Nutriente Garantido</t>
        </is>
      </c>
      <c r="G313" s="7" t="inlineStr">
        <is>
          <t>B0,04%</t>
        </is>
      </c>
      <c r="H313" s="7" t="inlineStr">
        <is>
          <t>Composição Nutricional Oficial (B0,04%)</t>
        </is>
      </c>
      <c r="I313" s="7" t="inlineStr">
        <is>
          <t>Fertilizante Mineral / Organomineral (Lei nº 6.894/1980)</t>
        </is>
      </c>
      <c r="J313" s="7" t="inlineStr">
        <is>
          <t>Nutrição Vegetal SIPEAGRO</t>
        </is>
      </c>
      <c r="K313" s="7" t="inlineStr">
        <is>
          <t>Fornecimento de macro e micronutrientes essenciais ao metabolismo vegetal</t>
        </is>
      </c>
      <c r="L313" s="17" t="n">
        <v>0.04</v>
      </c>
      <c r="M313" s="7" t="inlineStr">
        <is>
          <t>% m/m</t>
        </is>
      </c>
      <c r="N313" s="7" t="inlineStr">
        <is>
          <t>Registro Técnico Vinculado MAPA</t>
        </is>
      </c>
    </row>
    <row r="314" ht="22" customHeight="1">
      <c r="A314" s="12" t="inlineStr">
        <is>
          <t>CMP-0310</t>
        </is>
      </c>
      <c r="B314" s="11" t="n">
        <v>221</v>
      </c>
      <c r="C314" s="13" t="inlineStr">
        <is>
          <t>SIPEAGRO (UF-XXXXX)</t>
        </is>
      </c>
      <c r="D314" s="14" t="inlineStr">
        <is>
          <t>AGCN FULL ULTRA</t>
        </is>
      </c>
      <c r="E314" s="11" t="n">
        <v>7</v>
      </c>
      <c r="F314" s="13" t="inlineStr">
        <is>
          <t>Nutriente Garantido</t>
        </is>
      </c>
      <c r="G314" s="13" t="inlineStr">
        <is>
          <t>COT</t>
        </is>
      </c>
      <c r="H314" s="13" t="inlineStr">
        <is>
          <t>Composição Nutricional Oficial (COT)</t>
        </is>
      </c>
      <c r="I314" s="13" t="inlineStr">
        <is>
          <t>Fertilizante Mineral / Organomineral (Lei nº 6.894/1980)</t>
        </is>
      </c>
      <c r="J314" s="13" t="inlineStr">
        <is>
          <t>Nutrição Vegetal SIPEAGRO</t>
        </is>
      </c>
      <c r="K314" s="13" t="inlineStr">
        <is>
          <t>Fornecimento de macro e micronutrientes essenciais ao metabolismo vegetal</t>
        </is>
      </c>
      <c r="L314" s="15" t="n">
        <v>8</v>
      </c>
      <c r="M314" s="13" t="inlineStr">
        <is>
          <t>% m/m</t>
        </is>
      </c>
      <c r="N314" s="13" t="inlineStr">
        <is>
          <t>Registro Técnico Vinculado MAPA</t>
        </is>
      </c>
    </row>
    <row r="315" ht="22" customHeight="1">
      <c r="A315" s="6" t="inlineStr">
        <is>
          <t>CMP-0311</t>
        </is>
      </c>
      <c r="B315" s="5" t="n">
        <v>221</v>
      </c>
      <c r="C315" s="7" t="inlineStr">
        <is>
          <t>SIPEAGRO (UF-XXXXX)</t>
        </is>
      </c>
      <c r="D315" s="8" t="inlineStr">
        <is>
          <t>AGCN FULL ULTRA</t>
        </is>
      </c>
      <c r="E315" s="5" t="n">
        <v>8</v>
      </c>
      <c r="F315" s="7" t="inlineStr">
        <is>
          <t>Nutriente Garantido</t>
        </is>
      </c>
      <c r="G315" s="7" t="inlineStr">
        <is>
          <t>4%EXT. ALGA</t>
        </is>
      </c>
      <c r="H315" s="7" t="inlineStr">
        <is>
          <t>Composição Nutricional Oficial (4%EXT. ALGA)</t>
        </is>
      </c>
      <c r="I315" s="7" t="inlineStr">
        <is>
          <t>Fertilizante Mineral / Organomineral (Lei nº 6.894/1980)</t>
        </is>
      </c>
      <c r="J315" s="7" t="inlineStr">
        <is>
          <t>Nutrição Vegetal SIPEAGRO</t>
        </is>
      </c>
      <c r="K315" s="7" t="inlineStr">
        <is>
          <t>Fornecimento de macro e micronutrientes essenciais ao metabolismo vegetal</t>
        </is>
      </c>
      <c r="L315" s="9" t="n">
        <v>4</v>
      </c>
      <c r="M315" s="7" t="inlineStr">
        <is>
          <t>% m/m</t>
        </is>
      </c>
      <c r="N315" s="7" t="inlineStr">
        <is>
          <t>Registro Técnico Vinculado MAPA</t>
        </is>
      </c>
    </row>
    <row r="316" ht="22" customHeight="1">
      <c r="A316" s="12" t="inlineStr">
        <is>
          <t>CMP-0312</t>
        </is>
      </c>
      <c r="B316" s="11" t="n">
        <v>222</v>
      </c>
      <c r="C316" s="13" t="inlineStr">
        <is>
          <t>SIPEAGRO (UF-XXXXX)</t>
        </is>
      </c>
      <c r="D316" s="14" t="inlineStr">
        <is>
          <t>AGCN FULL</t>
        </is>
      </c>
      <c r="E316" s="11" t="n">
        <v>1</v>
      </c>
      <c r="F316" s="13" t="inlineStr">
        <is>
          <t>Nutriente Garantido</t>
        </is>
      </c>
      <c r="G316" s="13" t="inlineStr">
        <is>
          <t>MACRO</t>
        </is>
      </c>
      <c r="H316" s="13" t="inlineStr">
        <is>
          <t>Composição Nutricional Oficial (MACRO)</t>
        </is>
      </c>
      <c r="I316" s="13" t="inlineStr">
        <is>
          <t>Fertilizante Mineral / Organomineral (Lei nº 6.894/1980)</t>
        </is>
      </c>
      <c r="J316" s="13" t="inlineStr">
        <is>
          <t>Nutrição Vegetal SIPEAGRO</t>
        </is>
      </c>
      <c r="K316" s="13" t="inlineStr">
        <is>
          <t>Fornecimento de macro e micronutrientes essenciais ao metabolismo vegetal</t>
        </is>
      </c>
      <c r="L316" s="15" t="n">
        <v>12</v>
      </c>
      <c r="M316" s="13" t="inlineStr">
        <is>
          <t>% m/m</t>
        </is>
      </c>
      <c r="N316" s="13" t="inlineStr">
        <is>
          <t>Registro Técnico Vinculado MAPA</t>
        </is>
      </c>
    </row>
    <row r="317" ht="22" customHeight="1">
      <c r="A317" s="6" t="inlineStr">
        <is>
          <t>CMP-0313</t>
        </is>
      </c>
      <c r="B317" s="5" t="n">
        <v>222</v>
      </c>
      <c r="C317" s="7" t="inlineStr">
        <is>
          <t>SIPEAGRO (UF-XXXXX)</t>
        </is>
      </c>
      <c r="D317" s="8" t="inlineStr">
        <is>
          <t>AGCN FULL</t>
        </is>
      </c>
      <c r="E317" s="5" t="n">
        <v>2</v>
      </c>
      <c r="F317" s="7" t="inlineStr">
        <is>
          <t>Nutriente Garantido</t>
        </is>
      </c>
      <c r="G317" s="7" t="inlineStr">
        <is>
          <t>MICRO</t>
        </is>
      </c>
      <c r="H317" s="7" t="inlineStr">
        <is>
          <t>Composição Nutricional Oficial (MICRO)</t>
        </is>
      </c>
      <c r="I317" s="7" t="inlineStr">
        <is>
          <t>Fertilizante Mineral / Organomineral (Lei nº 6.894/1980)</t>
        </is>
      </c>
      <c r="J317" s="7" t="inlineStr">
        <is>
          <t>Nutrição Vegetal SIPEAGRO</t>
        </is>
      </c>
      <c r="K317" s="7" t="inlineStr">
        <is>
          <t>Fornecimento de macro e micronutrientes essenciais ao metabolismo vegetal</t>
        </is>
      </c>
      <c r="L317" s="9" t="n">
        <v>5</v>
      </c>
      <c r="M317" s="7" t="inlineStr">
        <is>
          <t>% m/m</t>
        </is>
      </c>
      <c r="N317" s="7" t="inlineStr">
        <is>
          <t>Registro Técnico Vinculado MAPA</t>
        </is>
      </c>
    </row>
    <row r="318" ht="22" customHeight="1">
      <c r="A318" s="12" t="inlineStr">
        <is>
          <t>CMP-0314</t>
        </is>
      </c>
      <c r="B318" s="11" t="n">
        <v>222</v>
      </c>
      <c r="C318" s="13" t="inlineStr">
        <is>
          <t>SIPEAGRO (UF-XXXXX)</t>
        </is>
      </c>
      <c r="D318" s="14" t="inlineStr">
        <is>
          <t>AGCN FULL</t>
        </is>
      </c>
      <c r="E318" s="11" t="n">
        <v>3</v>
      </c>
      <c r="F318" s="13" t="inlineStr">
        <is>
          <t>Nutriente Garantido</t>
        </is>
      </c>
      <c r="G318" s="13" t="inlineStr">
        <is>
          <t>COT 18%</t>
        </is>
      </c>
      <c r="H318" s="13" t="inlineStr">
        <is>
          <t>Composição Nutricional Oficial (COT 18%)</t>
        </is>
      </c>
      <c r="I318" s="13" t="inlineStr">
        <is>
          <t>Fertilizante Mineral / Organomineral (Lei nº 6.894/1980)</t>
        </is>
      </c>
      <c r="J318" s="13" t="inlineStr">
        <is>
          <t>Nutrição Vegetal SIPEAGRO</t>
        </is>
      </c>
      <c r="K318" s="13" t="inlineStr">
        <is>
          <t>Fornecimento de macro e micronutrientes essenciais ao metabolismo vegetal</t>
        </is>
      </c>
      <c r="L318" s="15" t="n">
        <v>18</v>
      </c>
      <c r="M318" s="13" t="inlineStr">
        <is>
          <t>% m/m</t>
        </is>
      </c>
      <c r="N318" s="13" t="inlineStr">
        <is>
          <t>Registro Técnico Vinculado MAPA</t>
        </is>
      </c>
    </row>
    <row r="319" ht="22" customHeight="1">
      <c r="A319" s="6" t="inlineStr">
        <is>
          <t>CMP-0315</t>
        </is>
      </c>
      <c r="B319" s="5" t="n">
        <v>223</v>
      </c>
      <c r="C319" s="7" t="inlineStr">
        <is>
          <t>ISENTO (ATO 104/2017)</t>
        </is>
      </c>
      <c r="D319" s="8" t="inlineStr">
        <is>
          <t>AGRICOIL CITRUS</t>
        </is>
      </c>
      <c r="E319" s="5" t="n">
        <v>1</v>
      </c>
      <c r="F319" s="7" t="inlineStr">
        <is>
          <t>Ingrediente Ativo Principal</t>
        </is>
      </c>
      <c r="G319" s="7" t="inlineStr">
        <is>
          <t>ÓLEO ESSENCIAL CÍTRICO (D-Limoneno 150 g/L + Tensoativos Emulsionantes)</t>
        </is>
      </c>
      <c r="H319" s="7" t="inlineStr">
        <is>
          <t>(4R)-1-methyl-4-(prop-1-en-2-yl)cyclohex-1-ene (D-Limonene)</t>
        </is>
      </c>
      <c r="I319" s="7" t="inlineStr">
        <is>
          <t>Adjuvante Natural Terpênico e Espalhante Adesivo</t>
        </is>
      </c>
      <c r="J319" s="7" t="inlineStr">
        <is>
          <t>Auxiliar de Tecnologia de Aplicação (Ato SDA 104/2017)</t>
        </is>
      </c>
      <c r="K319" s="7" t="inlineStr">
        <is>
          <t>Desestruturação da camada cerosa e otimização da deposição de gotas</t>
        </is>
      </c>
      <c r="L319" s="9" t="n">
        <v>150</v>
      </c>
      <c r="M319" s="7" t="inlineStr">
        <is>
          <t>g/L</t>
        </is>
      </c>
      <c r="N319" s="7" t="inlineStr">
        <is>
          <t>Registro Técnico Vinculado MAPA</t>
        </is>
      </c>
    </row>
    <row r="320" ht="22" customHeight="1">
      <c r="A320" s="12" t="inlineStr">
        <is>
          <t>CMP-0316</t>
        </is>
      </c>
      <c r="B320" s="11" t="n">
        <v>224</v>
      </c>
      <c r="C320" s="13" t="inlineStr">
        <is>
          <t>ISENTO (ATO 104/2017)</t>
        </is>
      </c>
      <c r="D320" s="14" t="inlineStr">
        <is>
          <t>AGRICOIL CITRUS PLUS</t>
        </is>
      </c>
      <c r="E320" s="11" t="n">
        <v>1</v>
      </c>
      <c r="F320" s="13" t="inlineStr">
        <is>
          <t>Ingrediente Ativo Principal</t>
        </is>
      </c>
      <c r="G320" s="13" t="inlineStr">
        <is>
          <t>ÓLEO ESSENCIAL CÍTRICO (D-Limoneno 150 g/L + Tensoativos Emulsionantes)</t>
        </is>
      </c>
      <c r="H320" s="13" t="inlineStr">
        <is>
          <t>(4R)-1-methyl-4-(prop-1-en-2-yl)cyclohex-1-ene (D-Limonene)</t>
        </is>
      </c>
      <c r="I320" s="13" t="inlineStr">
        <is>
          <t>Adjuvante Natural Terpênico e Espalhante Adesivo</t>
        </is>
      </c>
      <c r="J320" s="13" t="inlineStr">
        <is>
          <t>Auxiliar de Tecnologia de Aplicação (Ato SDA 104/2017)</t>
        </is>
      </c>
      <c r="K320" s="13" t="inlineStr">
        <is>
          <t>Desestruturação da camada cerosa e otimização da deposição de gotas</t>
        </is>
      </c>
      <c r="L320" s="15" t="n">
        <v>150</v>
      </c>
      <c r="M320" s="13" t="inlineStr">
        <is>
          <t>g/L</t>
        </is>
      </c>
      <c r="N320" s="13" t="inlineStr">
        <is>
          <t>Registro Técnico Vinculado MAPA</t>
        </is>
      </c>
    </row>
    <row r="321" ht="22" customHeight="1">
      <c r="A321" s="6" t="inlineStr">
        <is>
          <t>CMP-0317</t>
        </is>
      </c>
      <c r="B321" s="5" t="n">
        <v>225</v>
      </c>
      <c r="C321" s="7" t="inlineStr">
        <is>
          <t>ISENTO (ATO 104/2017)</t>
        </is>
      </c>
      <c r="D321" s="8" t="inlineStr">
        <is>
          <t>AGCN SAFE AIR</t>
        </is>
      </c>
      <c r="E321" s="5" t="n">
        <v>1</v>
      </c>
      <c r="F321" s="7" t="inlineStr">
        <is>
          <t>Ingrediente Ativo Principal</t>
        </is>
      </c>
      <c r="G321" s="7" t="inlineStr">
        <is>
          <t>ADJUVANTE</t>
        </is>
      </c>
      <c r="H321" s="7" t="inlineStr">
        <is>
          <t>Adjuvante Agrícola de Calda (ADJUVANTE)</t>
        </is>
      </c>
      <c r="I321" s="7" t="inlineStr">
        <is>
          <t>Éster Metílico / Hidrocarboneto Parafínico / Tensoativo Siliconado</t>
        </is>
      </c>
      <c r="J321" s="7" t="inlineStr">
        <is>
          <t>Adjuvante Tecnológico de Pulverização</t>
        </is>
      </c>
      <c r="K321" s="7" t="inlineStr">
        <is>
          <t>Redução da tensão superficial, espalhamento, anti-deriva e penetração cuticular</t>
        </is>
      </c>
      <c r="L321" s="9" t="n">
        <v>500</v>
      </c>
      <c r="M321" s="7" t="inlineStr">
        <is>
          <t>g/L</t>
        </is>
      </c>
      <c r="N321" s="7" t="inlineStr">
        <is>
          <t>Registro Técnico Vinculado MAPA</t>
        </is>
      </c>
    </row>
    <row r="322" ht="22" customHeight="1">
      <c r="A322" s="12" t="inlineStr">
        <is>
          <t>CMP-0318</t>
        </is>
      </c>
      <c r="B322" s="11" t="n">
        <v>226</v>
      </c>
      <c r="C322" s="13" t="inlineStr">
        <is>
          <t>SIPEAGRO (UF-XXXXX)</t>
        </is>
      </c>
      <c r="D322" s="14" t="inlineStr">
        <is>
          <t>AGCN MG 16</t>
        </is>
      </c>
      <c r="E322" s="11" t="n">
        <v>1</v>
      </c>
      <c r="F322" s="13" t="inlineStr">
        <is>
          <t>Nutriente Garantido</t>
        </is>
      </c>
      <c r="G322" s="13" t="inlineStr">
        <is>
          <t>MG 8,5%</t>
        </is>
      </c>
      <c r="H322" s="13" t="inlineStr">
        <is>
          <t>Composição Nutricional Oficial (MG 8,5%)</t>
        </is>
      </c>
      <c r="I322" s="13" t="inlineStr">
        <is>
          <t>Fertilizante Mineral / Organomineral (Lei nº 6.894/1980)</t>
        </is>
      </c>
      <c r="J322" s="13" t="inlineStr">
        <is>
          <t>Nutrição Vegetal SIPEAGRO</t>
        </is>
      </c>
      <c r="K322" s="13" t="inlineStr">
        <is>
          <t>Fornecimento de macro e micronutrientes essenciais ao metabolismo vegetal</t>
        </is>
      </c>
      <c r="L322" s="18" t="n">
        <v>8.5</v>
      </c>
      <c r="M322" s="13" t="inlineStr">
        <is>
          <t>% m/m</t>
        </is>
      </c>
      <c r="N322" s="13" t="inlineStr">
        <is>
          <t>Registro Técnico Vinculado MAPA</t>
        </is>
      </c>
    </row>
    <row r="323" ht="22" customHeight="1">
      <c r="A323" s="6" t="inlineStr">
        <is>
          <t>CMP-0319</t>
        </is>
      </c>
      <c r="B323" s="5" t="n">
        <v>226</v>
      </c>
      <c r="C323" s="7" t="inlineStr">
        <is>
          <t>SIPEAGRO (UF-XXXXX)</t>
        </is>
      </c>
      <c r="D323" s="8" t="inlineStr">
        <is>
          <t>AGCN MG 16</t>
        </is>
      </c>
      <c r="E323" s="5" t="n">
        <v>2</v>
      </c>
      <c r="F323" s="7" t="inlineStr">
        <is>
          <t>Nutriente Garantido</t>
        </is>
      </c>
      <c r="G323" s="7" t="inlineStr">
        <is>
          <t>MACRO E MICRO</t>
        </is>
      </c>
      <c r="H323" s="7" t="inlineStr">
        <is>
          <t>Composição Nutricional Oficial (MACRO E MICRO)</t>
        </is>
      </c>
      <c r="I323" s="7" t="inlineStr">
        <is>
          <t>Fertilizante Mineral / Organomineral (Lei nº 6.894/1980)</t>
        </is>
      </c>
      <c r="J323" s="7" t="inlineStr">
        <is>
          <t>Nutrição Vegetal SIPEAGRO</t>
        </is>
      </c>
      <c r="K323" s="7" t="inlineStr">
        <is>
          <t>Fornecimento de macro e micronutrientes essenciais ao metabolismo vegetal</t>
        </is>
      </c>
      <c r="L323" s="9" t="n">
        <v>10</v>
      </c>
      <c r="M323" s="7" t="inlineStr">
        <is>
          <t>% m/m</t>
        </is>
      </c>
      <c r="N323" s="7" t="inlineStr">
        <is>
          <t>Registro Técnico Vinculado MAPA</t>
        </is>
      </c>
    </row>
    <row r="324" ht="22" customHeight="1">
      <c r="A324" s="12" t="inlineStr">
        <is>
          <t>CMP-0320</t>
        </is>
      </c>
      <c r="B324" s="11" t="n">
        <v>227</v>
      </c>
      <c r="C324" s="13" t="inlineStr">
        <is>
          <t>SIPEAGRO (UF-XXXXX)</t>
        </is>
      </c>
      <c r="D324" s="14" t="inlineStr">
        <is>
          <t>BIOLOGIC GRAM 5X1,8L</t>
        </is>
      </c>
      <c r="E324" s="11" t="n">
        <v>1</v>
      </c>
      <c r="F324" s="13" t="inlineStr">
        <is>
          <t>Agente Biológico / Cepa</t>
        </is>
      </c>
      <c r="G324" s="13" t="inlineStr">
        <is>
          <t>AZOSPIRILLUM BRASILENSE CEPAS Ab-V5 E Ab-V6 (Garantia mín. 2,0x10^8 UFC/mL)</t>
        </is>
      </c>
      <c r="H324" s="13" t="inlineStr">
        <is>
          <t>Azospirillum brasilense estirpes Ab-V5 (CNPSo 2083) e Ab-V6 (CNPSo 2084)</t>
        </is>
      </c>
      <c r="I324" s="13" t="inlineStr">
        <is>
          <t>Inoculante Biológico Fixador de Nitrogênio e Promotor de Crescimento (PGPR)</t>
        </is>
      </c>
      <c r="J324" s="13" t="inlineStr">
        <is>
          <t>Inoculante Registrado SIPEAGRO/MAPA</t>
        </is>
      </c>
      <c r="K324" s="13" t="inlineStr">
        <is>
          <t>Fixação biológica de nitrogênio (FBN) e síntese de fitormônios enraizadores (AIA)</t>
        </is>
      </c>
      <c r="L324" s="15" t="n">
        <v>100</v>
      </c>
      <c r="M324" s="13" t="inlineStr">
        <is>
          <t>% v/v (Veículo Inoculante Estéril)</t>
        </is>
      </c>
      <c r="N324" s="13" t="inlineStr">
        <is>
          <t>Registro Técnico Vinculado MAPA</t>
        </is>
      </c>
    </row>
    <row r="325" ht="22" customHeight="1">
      <c r="A325" s="6" t="inlineStr">
        <is>
          <t>CMP-0321</t>
        </is>
      </c>
      <c r="B325" s="5" t="n">
        <v>228</v>
      </c>
      <c r="C325" s="7" t="inlineStr">
        <is>
          <t>Nº 34018</t>
        </is>
      </c>
      <c r="D325" s="8" t="inlineStr">
        <is>
          <t>BIOLOGIC GUARD</t>
        </is>
      </c>
      <c r="E325" s="5" t="n">
        <v>1</v>
      </c>
      <c r="F325" s="7" t="inlineStr">
        <is>
          <t>Ingrediente Ativo Principal</t>
        </is>
      </c>
      <c r="G325" s="7" t="inlineStr">
        <is>
          <t>TRICHODERMA ASPERELLUM ISOLADO BV-10 (mín. 1,0x10^9 conídios/mL)</t>
        </is>
      </c>
      <c r="H325" s="7" t="inlineStr">
        <is>
          <t>Microrganismo Viável (TRICHODERMA ASPERELLUM ISOLADO BV -10)</t>
        </is>
      </c>
      <c r="I325" s="7" t="inlineStr">
        <is>
          <t>Inoculante / Agente Biológico de Controle</t>
        </is>
      </c>
      <c r="J325" s="7" t="inlineStr">
        <is>
          <t>Bioinsumo Agrícola</t>
        </is>
      </c>
      <c r="K325" s="7" t="inlineStr">
        <is>
          <t>Simbiose radicular, antagonismo biológico ou controle entomopatogênico</t>
        </is>
      </c>
      <c r="L325" s="9" t="n">
        <v>30</v>
      </c>
      <c r="M325" s="7" t="inlineStr">
        <is>
          <t>g/L</t>
        </is>
      </c>
      <c r="N325" s="7" t="inlineStr">
        <is>
          <t>Registro Técnico Vinculado MAPA</t>
        </is>
      </c>
    </row>
    <row r="326" ht="22" customHeight="1">
      <c r="A326" s="12" t="inlineStr">
        <is>
          <t>CMP-0322</t>
        </is>
      </c>
      <c r="B326" s="11" t="n">
        <v>229</v>
      </c>
      <c r="C326" s="13" t="inlineStr">
        <is>
          <t>SIPEAGRO (UF-XXXXX)</t>
        </is>
      </c>
      <c r="D326" s="14" t="inlineStr">
        <is>
          <t>PREBIOTIC GL</t>
        </is>
      </c>
      <c r="E326" s="11" t="n">
        <v>1</v>
      </c>
      <c r="F326" s="13" t="inlineStr">
        <is>
          <t>Nutriente Garantido</t>
        </is>
      </c>
      <c r="G326" s="13" t="inlineStr">
        <is>
          <t>MN 7%</t>
        </is>
      </c>
      <c r="H326" s="13" t="inlineStr">
        <is>
          <t>Composição Nutricional Oficial (MN 7%)</t>
        </is>
      </c>
      <c r="I326" s="13" t="inlineStr">
        <is>
          <t>Fertilizante Mineral / Organomineral (Lei nº 6.894/1980)</t>
        </is>
      </c>
      <c r="J326" s="13" t="inlineStr">
        <is>
          <t>Nutrição Vegetal SIPEAGRO</t>
        </is>
      </c>
      <c r="K326" s="13" t="inlineStr">
        <is>
          <t>Fornecimento de macro e micronutrientes essenciais ao metabolismo vegetal</t>
        </is>
      </c>
      <c r="L326" s="15" t="n">
        <v>7</v>
      </c>
      <c r="M326" s="13" t="inlineStr">
        <is>
          <t>% m/m</t>
        </is>
      </c>
      <c r="N326" s="13" t="inlineStr">
        <is>
          <t>Registro Técnico Vinculado MAPA</t>
        </is>
      </c>
    </row>
    <row r="327" ht="22" customHeight="1">
      <c r="A327" s="6" t="inlineStr">
        <is>
          <t>CMP-0323</t>
        </is>
      </c>
      <c r="B327" s="5" t="n">
        <v>229</v>
      </c>
      <c r="C327" s="7" t="inlineStr">
        <is>
          <t>SIPEAGRO (UF-XXXXX)</t>
        </is>
      </c>
      <c r="D327" s="8" t="inlineStr">
        <is>
          <t>PREBIOTIC GL</t>
        </is>
      </c>
      <c r="E327" s="5" t="n">
        <v>2</v>
      </c>
      <c r="F327" s="7" t="inlineStr">
        <is>
          <t>Nutriente Garantido</t>
        </is>
      </c>
      <c r="G327" s="7" t="inlineStr">
        <is>
          <t>COT 10%</t>
        </is>
      </c>
      <c r="H327" s="7" t="inlineStr">
        <is>
          <t>Composição Nutricional Oficial (COT 10%)</t>
        </is>
      </c>
      <c r="I327" s="7" t="inlineStr">
        <is>
          <t>Fertilizante Mineral / Organomineral (Lei nº 6.894/1980)</t>
        </is>
      </c>
      <c r="J327" s="7" t="inlineStr">
        <is>
          <t>Nutrição Vegetal SIPEAGRO</t>
        </is>
      </c>
      <c r="K327" s="7" t="inlineStr">
        <is>
          <t>Fornecimento de macro e micronutrientes essenciais ao metabolismo vegetal</t>
        </is>
      </c>
      <c r="L327" s="9" t="n">
        <v>10</v>
      </c>
      <c r="M327" s="7" t="inlineStr">
        <is>
          <t>% m/m</t>
        </is>
      </c>
      <c r="N327" s="7" t="inlineStr">
        <is>
          <t>Registro Técnico Vinculado MAPA</t>
        </is>
      </c>
    </row>
    <row r="328" ht="22" customHeight="1">
      <c r="A328" s="12" t="inlineStr">
        <is>
          <t>CMP-0324</t>
        </is>
      </c>
      <c r="B328" s="11" t="n">
        <v>229</v>
      </c>
      <c r="C328" s="13" t="inlineStr">
        <is>
          <t>SIPEAGRO (UF-XXXXX)</t>
        </is>
      </c>
      <c r="D328" s="14" t="inlineStr">
        <is>
          <t>PREBIOTIC GL</t>
        </is>
      </c>
      <c r="E328" s="11" t="n">
        <v>3</v>
      </c>
      <c r="F328" s="13" t="inlineStr">
        <is>
          <t>Nutriente Garantido</t>
        </is>
      </c>
      <c r="G328" s="13" t="inlineStr">
        <is>
          <t>EDTA</t>
        </is>
      </c>
      <c r="H328" s="13" t="inlineStr">
        <is>
          <t>Composição Nutricional Oficial (EDTA)</t>
        </is>
      </c>
      <c r="I328" s="13" t="inlineStr">
        <is>
          <t>Fertilizante Mineral / Organomineral (Lei nº 6.894/1980)</t>
        </is>
      </c>
      <c r="J328" s="13" t="inlineStr">
        <is>
          <t>Nutrição Vegetal SIPEAGRO</t>
        </is>
      </c>
      <c r="K328" s="13" t="inlineStr">
        <is>
          <t>Fornecimento de macro e micronutrientes essenciais ao metabolismo vegetal</t>
        </is>
      </c>
      <c r="L328" s="15" t="n">
        <v>5</v>
      </c>
      <c r="M328" s="13" t="inlineStr">
        <is>
          <t>% m/m</t>
        </is>
      </c>
      <c r="N328" s="13" t="inlineStr">
        <is>
          <t>Registro Técnico Vinculado MAPA</t>
        </is>
      </c>
    </row>
    <row r="329" ht="22" customHeight="1">
      <c r="A329" s="6" t="inlineStr">
        <is>
          <t>CMP-0325</t>
        </is>
      </c>
      <c r="B329" s="5" t="n">
        <v>230</v>
      </c>
      <c r="C329" s="7" t="inlineStr">
        <is>
          <t>Nº 9420</t>
        </is>
      </c>
      <c r="D329" s="8" t="inlineStr">
        <is>
          <t>OFEK-TURBO</t>
        </is>
      </c>
      <c r="E329" s="5" t="n">
        <v>1</v>
      </c>
      <c r="F329" s="7" t="inlineStr">
        <is>
          <t>Ingrediente Ativo Principal</t>
        </is>
      </c>
      <c r="G329" s="7" t="inlineStr">
        <is>
          <t>AZOXISTROBINA 120</t>
        </is>
      </c>
      <c r="H329" s="7" t="inlineStr">
        <is>
          <t>Methyl (E)-2-{2-[6-(2-cyanophenoxy)pyrimidin-4-yloxy]phenyl}-3-methoxyacrylate</t>
        </is>
      </c>
      <c r="I329" s="7" t="inlineStr">
        <is>
          <t>Estrobilurina (Metoxiacrilato)</t>
        </is>
      </c>
      <c r="J329" s="7" t="inlineStr">
        <is>
          <t>FRAC Grupo 11 (QoI)</t>
        </is>
      </c>
      <c r="K329" s="7" t="inlineStr">
        <is>
          <t>Inibidores da respiração mitocondrial no complexo III (citocromo bc1)</t>
        </is>
      </c>
      <c r="L329" s="9" t="n">
        <v>120</v>
      </c>
      <c r="M329" s="7" t="inlineStr">
        <is>
          <t>g/L</t>
        </is>
      </c>
      <c r="N329" s="7" t="inlineStr">
        <is>
          <t>Registro Técnico Vinculado MAPA</t>
        </is>
      </c>
    </row>
    <row r="330" ht="22" customHeight="1">
      <c r="A330" s="12" t="inlineStr">
        <is>
          <t>CMP-0326</t>
        </is>
      </c>
      <c r="B330" s="11" t="n">
        <v>230</v>
      </c>
      <c r="C330" s="13" t="inlineStr">
        <is>
          <t>Nº 9420</t>
        </is>
      </c>
      <c r="D330" s="14" t="inlineStr">
        <is>
          <t>OFEK-TURBO</t>
        </is>
      </c>
      <c r="E330" s="11" t="n">
        <v>2</v>
      </c>
      <c r="F330" s="13" t="inlineStr">
        <is>
          <t>Ingrediente Ativo Principal</t>
        </is>
      </c>
      <c r="G330" s="13" t="inlineStr">
        <is>
          <t>TEBUCONAZOL 360</t>
        </is>
      </c>
      <c r="H330" s="13" t="inlineStr">
        <is>
          <t>(RS)-1-p-chlorophenyl-4,4-dimethyl-3-(1H-1,2,4-triazol-1-ylmethyl)pentan-3-ol</t>
        </is>
      </c>
      <c r="I330" s="13" t="inlineStr">
        <is>
          <t>Triazol</t>
        </is>
      </c>
      <c r="J330" s="13" t="inlineStr">
        <is>
          <t>FRAC Grupo 3 (DMI)</t>
        </is>
      </c>
      <c r="K330" s="13" t="inlineStr">
        <is>
          <t>Inibidores da desmetilação de C14 na biossíntese de ergosterol</t>
        </is>
      </c>
      <c r="L330" s="15" t="n">
        <v>360</v>
      </c>
      <c r="M330" s="13" t="inlineStr">
        <is>
          <t>g/L</t>
        </is>
      </c>
      <c r="N330" s="13" t="inlineStr">
        <is>
          <t>Registro Técnico Vinculado MAPA</t>
        </is>
      </c>
    </row>
    <row r="331" ht="22" customHeight="1">
      <c r="A331" s="6" t="inlineStr">
        <is>
          <t>CMP-0327</t>
        </is>
      </c>
      <c r="B331" s="5" t="n">
        <v>231</v>
      </c>
      <c r="C331" s="7" t="inlineStr">
        <is>
          <t>VINCULAR MARCA</t>
        </is>
      </c>
      <c r="D331" s="8" t="inlineStr">
        <is>
          <t>ETIPROLE</t>
        </is>
      </c>
      <c r="E331" s="5" t="n">
        <v>1</v>
      </c>
      <c r="F331" s="7" t="inlineStr">
        <is>
          <t>Ingrediente Ativo Principal</t>
        </is>
      </c>
      <c r="G331" s="7" t="inlineStr">
        <is>
          <t>ETIPROLE 200 SC</t>
        </is>
      </c>
      <c r="H331" s="7" t="inlineStr">
        <is>
          <t>5-amino-1-(2,6-dichloro-alpha,alpha,alpha-trifluoro-p-tolyl)-4-ethylsulfinylpyrazole-3-carbonitrile</t>
        </is>
      </c>
      <c r="I331" s="7" t="inlineStr">
        <is>
          <t>Fenilpirazol</t>
        </is>
      </c>
      <c r="J331" s="7" t="inlineStr">
        <is>
          <t>IRAC Grupo 2B</t>
        </is>
      </c>
      <c r="K331" s="7" t="inlineStr">
        <is>
          <t>Bloqueadores de canais de cloro mediados pelo GABA</t>
        </is>
      </c>
      <c r="L331" s="9" t="n">
        <v>200</v>
      </c>
      <c r="M331" s="7" t="inlineStr">
        <is>
          <t>g/kg</t>
        </is>
      </c>
      <c r="N331" s="7" t="inlineStr">
        <is>
          <t>Produto Técnico Próprio</t>
        </is>
      </c>
    </row>
    <row r="332" ht="22" customHeight="1">
      <c r="A332" s="12" t="inlineStr">
        <is>
          <t>CMP-0328</t>
        </is>
      </c>
      <c r="B332" s="11" t="n">
        <v>232</v>
      </c>
      <c r="C332" s="13" t="inlineStr">
        <is>
          <t>Nº 8215</t>
        </is>
      </c>
      <c r="D332" s="14" t="inlineStr">
        <is>
          <t>TEBUCONAZOLE</t>
        </is>
      </c>
      <c r="E332" s="11" t="n">
        <v>1</v>
      </c>
      <c r="F332" s="13" t="inlineStr">
        <is>
          <t>Ingrediente Ativo Principal</t>
        </is>
      </c>
      <c r="G332" s="13" t="inlineStr">
        <is>
          <t>TEBUCONAZOL 430</t>
        </is>
      </c>
      <c r="H332" s="13" t="inlineStr">
        <is>
          <t>(RS)-1-p-chlorophenyl-4,4-dimethyl-3-(1H-1,2,4-triazol-1-ylmethyl)pentan-3-ol</t>
        </is>
      </c>
      <c r="I332" s="13" t="inlineStr">
        <is>
          <t>Triazol</t>
        </is>
      </c>
      <c r="J332" s="13" t="inlineStr">
        <is>
          <t>FRAC Grupo 3 (DMI)</t>
        </is>
      </c>
      <c r="K332" s="13" t="inlineStr">
        <is>
          <t>Inibidores da desmetilação de C14 na biossíntese de ergosterol</t>
        </is>
      </c>
      <c r="L332" s="15" t="n">
        <v>430</v>
      </c>
      <c r="M332" s="13" t="inlineStr">
        <is>
          <t>g/kg</t>
        </is>
      </c>
      <c r="N332" s="13" t="inlineStr">
        <is>
          <t>Produto Técnico Próprio</t>
        </is>
      </c>
    </row>
    <row r="333" ht="22" customHeight="1">
      <c r="A333" s="6" t="inlineStr">
        <is>
          <t>CMP-0329</t>
        </is>
      </c>
      <c r="B333" s="5" t="n">
        <v>233</v>
      </c>
      <c r="C333" s="7" t="inlineStr">
        <is>
          <t>Nº 14421</t>
        </is>
      </c>
      <c r="D333" s="8" t="inlineStr">
        <is>
          <t>FIPRONIL 250 (PRINCIPIOA ATIVO)</t>
        </is>
      </c>
      <c r="E333" s="5" t="n">
        <v>1</v>
      </c>
      <c r="F333" s="7" t="inlineStr">
        <is>
          <t>Ingrediente Ativo Principal</t>
        </is>
      </c>
      <c r="G333" s="7" t="inlineStr">
        <is>
          <t>FIPRONIL 250</t>
        </is>
      </c>
      <c r="H333" s="7" t="inlineStr">
        <is>
          <t>(RS)-5-amino-1-(2,6-dichloro-a,a,a-trifluoro-p-tolyl)-4-trifluoromethylsulfinylpyrazole-3-carbonitrile</t>
        </is>
      </c>
      <c r="I333" s="7" t="inlineStr">
        <is>
          <t>Pirazol (Fenilpirazol)</t>
        </is>
      </c>
      <c r="J333" s="7" t="inlineStr">
        <is>
          <t>IRAC Grupo 2B</t>
        </is>
      </c>
      <c r="K333" s="7" t="inlineStr">
        <is>
          <t>Bloqueadores de canais de cloro mediados pelo GABA</t>
        </is>
      </c>
      <c r="L333" s="9" t="n">
        <v>250</v>
      </c>
      <c r="M333" s="7" t="inlineStr">
        <is>
          <t>g/L</t>
        </is>
      </c>
      <c r="N333" s="7" t="inlineStr">
        <is>
          <t>Produto Técnico Próprio</t>
        </is>
      </c>
    </row>
    <row r="334" ht="22" customHeight="1">
      <c r="A334" s="12" t="inlineStr">
        <is>
          <t>CMP-0330</t>
        </is>
      </c>
      <c r="B334" s="11" t="n">
        <v>234</v>
      </c>
      <c r="C334" s="13" t="inlineStr">
        <is>
          <t>Nº 4798</t>
        </is>
      </c>
      <c r="D334" s="14" t="inlineStr">
        <is>
          <t>VOLCANE 790</t>
        </is>
      </c>
      <c r="E334" s="11" t="n">
        <v>1</v>
      </c>
      <c r="F334" s="13" t="inlineStr">
        <is>
          <t>Ingrediente Ativo Principal</t>
        </is>
      </c>
      <c r="G334" s="13" t="inlineStr">
        <is>
          <t>MSMA 790</t>
        </is>
      </c>
      <c r="H334" s="13" t="inlineStr">
        <is>
          <t>Sodium hydrogen methylarsonate (Metanoarsonato ácido de sódio)</t>
        </is>
      </c>
      <c r="I334" s="13" t="inlineStr">
        <is>
          <t>Organoarsênico</t>
        </is>
      </c>
      <c r="J334" s="13" t="inlineStr">
        <is>
          <t>HRAC Grupo Z (0) — Mecanismo Desconhecido</t>
        </is>
      </c>
      <c r="K334" s="13" t="inlineStr">
        <is>
          <t>Perturbação da membrana celular e desacoplamento energético</t>
        </is>
      </c>
      <c r="L334" s="15" t="n">
        <v>790</v>
      </c>
      <c r="M334" s="13" t="inlineStr">
        <is>
          <t>g/L</t>
        </is>
      </c>
      <c r="N334" s="13" t="inlineStr">
        <is>
          <t>Registro Técnico Vinculado MAPA</t>
        </is>
      </c>
    </row>
    <row r="335" ht="22" customHeight="1">
      <c r="A335" s="6" t="inlineStr">
        <is>
          <t>CMP-0331</t>
        </is>
      </c>
      <c r="B335" s="5" t="n">
        <v>235</v>
      </c>
      <c r="C335" s="7" t="inlineStr">
        <is>
          <t>Nº 11922</t>
        </is>
      </c>
      <c r="D335" s="8" t="inlineStr">
        <is>
          <t>TRICLOPIR</t>
        </is>
      </c>
      <c r="E335" s="5" t="n">
        <v>1</v>
      </c>
      <c r="F335" s="7" t="inlineStr">
        <is>
          <t>Ingrediente Ativo Principal</t>
        </is>
      </c>
      <c r="G335" s="7" t="inlineStr">
        <is>
          <t>TRICLOPIR-BUTOTÍLICO 667 g/L (Equiv. 480 g/L Triclopir Ácido)</t>
        </is>
      </c>
      <c r="H335" s="7" t="inlineStr">
        <is>
          <t>2-butoxyethyl [(3,5,6-trichloro-2-pyridinyl)oxy]acetate (Triclopir-butotílico)</t>
        </is>
      </c>
      <c r="I335" s="7" t="inlineStr">
        <is>
          <t>Ácido piridiniloxialcanoico</t>
        </is>
      </c>
      <c r="J335" s="7" t="inlineStr">
        <is>
          <t>HRAC Grupo O (4) — Auxinas Sintéticas</t>
        </is>
      </c>
      <c r="K335" s="7" t="inlineStr">
        <is>
          <t>Mimetizadores da auxina (crescimento desordenado e epinastia)</t>
        </is>
      </c>
      <c r="L335" s="9" t="n">
        <v>480</v>
      </c>
      <c r="M335" s="7" t="inlineStr">
        <is>
          <t>g/L</t>
        </is>
      </c>
      <c r="N335" s="7" t="inlineStr">
        <is>
          <t>Registro Técnico Vinculado MAPA</t>
        </is>
      </c>
    </row>
    <row r="336" ht="22" customHeight="1">
      <c r="A336" s="12" t="inlineStr">
        <is>
          <t>CMP-0332</t>
        </is>
      </c>
      <c r="B336" s="11" t="n">
        <v>236</v>
      </c>
      <c r="C336" s="13" t="inlineStr">
        <is>
          <t>Nº 13520</t>
        </is>
      </c>
      <c r="D336" s="14" t="inlineStr">
        <is>
          <t>CLORIMURON 250 WG 48X0,3KG (AGUARDAR FISCAL)</t>
        </is>
      </c>
      <c r="E336" s="11" t="n">
        <v>1</v>
      </c>
      <c r="F336" s="13" t="inlineStr">
        <is>
          <t>Ingrediente Ativo Principal</t>
        </is>
      </c>
      <c r="G336" s="13" t="inlineStr">
        <is>
          <t>CLORIMUROM 250</t>
        </is>
      </c>
      <c r="H336" s="13" t="inlineStr">
        <is>
          <t>Ethyl 2-(4-chloro-6-methoxypyrimidin-2-ylcarbamoylsulfamoyl)benzoate</t>
        </is>
      </c>
      <c r="I336" s="13" t="inlineStr">
        <is>
          <t>Sulfonilureia</t>
        </is>
      </c>
      <c r="J336" s="13" t="inlineStr">
        <is>
          <t>HRAC Grupo B (2) — Inibidores da ALS</t>
        </is>
      </c>
      <c r="K336" s="13" t="inlineStr">
        <is>
          <t>Inibição da enzima acetolactato sintase (ALS / AHAS)</t>
        </is>
      </c>
      <c r="L336" s="15" t="n">
        <v>250</v>
      </c>
      <c r="M336" s="13" t="inlineStr">
        <is>
          <t>g/kg</t>
        </is>
      </c>
      <c r="N336" s="13" t="inlineStr">
        <is>
          <t>Registro Técnico Vinculado MAPA</t>
        </is>
      </c>
    </row>
    <row r="337" ht="22" customHeight="1">
      <c r="A337" s="6" t="inlineStr">
        <is>
          <t>CMP-0333</t>
        </is>
      </c>
      <c r="B337" s="5" t="n">
        <v>237</v>
      </c>
      <c r="C337" s="7" t="inlineStr">
        <is>
          <t>Nº 13520</t>
        </is>
      </c>
      <c r="D337" s="8" t="inlineStr">
        <is>
          <t>CLORIMURON 250 WG  15X0,300KG (AGUARDAR FISCAL)</t>
        </is>
      </c>
      <c r="E337" s="5" t="n">
        <v>1</v>
      </c>
      <c r="F337" s="7" t="inlineStr">
        <is>
          <t>Ingrediente Ativo Principal</t>
        </is>
      </c>
      <c r="G337" s="7" t="inlineStr">
        <is>
          <t>CLORIMUROM 250</t>
        </is>
      </c>
      <c r="H337" s="7" t="inlineStr">
        <is>
          <t>Ethyl 2-(4-chloro-6-methoxypyrimidin-2-ylcarbamoylsulfamoyl)benzoate</t>
        </is>
      </c>
      <c r="I337" s="7" t="inlineStr">
        <is>
          <t>Sulfonilureia</t>
        </is>
      </c>
      <c r="J337" s="7" t="inlineStr">
        <is>
          <t>HRAC Grupo B (2) — Inibidores da ALS</t>
        </is>
      </c>
      <c r="K337" s="7" t="inlineStr">
        <is>
          <t>Inibição da enzima acetolactato sintase (ALS / AHAS)</t>
        </is>
      </c>
      <c r="L337" s="9" t="n">
        <v>250</v>
      </c>
      <c r="M337" s="7" t="inlineStr">
        <is>
          <t>g/kg</t>
        </is>
      </c>
      <c r="N337" s="7" t="inlineStr">
        <is>
          <t>Registro Técnico Vinculado MAPA</t>
        </is>
      </c>
    </row>
    <row r="338" ht="22" customHeight="1">
      <c r="A338" s="12" t="inlineStr">
        <is>
          <t>CMP-0334</t>
        </is>
      </c>
      <c r="B338" s="11" t="n">
        <v>238</v>
      </c>
      <c r="C338" s="13" t="inlineStr">
        <is>
          <t>Nº 13520</t>
        </is>
      </c>
      <c r="D338" s="14" t="inlineStr">
        <is>
          <t>CLORIMURON 250 WG RAIMBOW 15X0,300KG (VALIDAR FISC</t>
        </is>
      </c>
      <c r="E338" s="11" t="n">
        <v>1</v>
      </c>
      <c r="F338" s="13" t="inlineStr">
        <is>
          <t>Ingrediente Ativo Principal</t>
        </is>
      </c>
      <c r="G338" s="13" t="inlineStr">
        <is>
          <t>CLORIMUROM 250</t>
        </is>
      </c>
      <c r="H338" s="13" t="inlineStr">
        <is>
          <t>Ethyl 2-(4-chloro-6-methoxypyrimidin-2-ylcarbamoylsulfamoyl)benzoate</t>
        </is>
      </c>
      <c r="I338" s="13" t="inlineStr">
        <is>
          <t>Sulfonilureia</t>
        </is>
      </c>
      <c r="J338" s="13" t="inlineStr">
        <is>
          <t>HRAC Grupo B (2) — Inibidores da ALS</t>
        </is>
      </c>
      <c r="K338" s="13" t="inlineStr">
        <is>
          <t>Inibição da enzima acetolactato sintase (ALS / AHAS)</t>
        </is>
      </c>
      <c r="L338" s="15" t="n">
        <v>250</v>
      </c>
      <c r="M338" s="13" t="inlineStr">
        <is>
          <t>g/kg</t>
        </is>
      </c>
      <c r="N338" s="13" t="inlineStr">
        <is>
          <t>Registro Técnico Vinculado MAPA</t>
        </is>
      </c>
    </row>
    <row r="339" ht="22" customHeight="1">
      <c r="A339" s="6" t="inlineStr">
        <is>
          <t>CMP-0335</t>
        </is>
      </c>
      <c r="B339" s="5" t="n">
        <v>239</v>
      </c>
      <c r="C339" s="7" t="inlineStr">
        <is>
          <t>Nº 11922</t>
        </is>
      </c>
      <c r="D339" s="8" t="inlineStr">
        <is>
          <t>TRICLOPIR</t>
        </is>
      </c>
      <c r="E339" s="5" t="n">
        <v>1</v>
      </c>
      <c r="F339" s="7" t="inlineStr">
        <is>
          <t>Ingrediente Ativo Principal</t>
        </is>
      </c>
      <c r="G339" s="7" t="inlineStr">
        <is>
          <t>TRICLOPIR-BUTOTÍLICO 667 g/L (Equiv. 480 g/L Triclopir Ácido)</t>
        </is>
      </c>
      <c r="H339" s="7" t="inlineStr">
        <is>
          <t>2-butoxyethyl [(3,5,6-trichloro-2-pyridinyl)oxy]acetate (Triclopir-butotílico)</t>
        </is>
      </c>
      <c r="I339" s="7" t="inlineStr">
        <is>
          <t>Ácido piridiniloxialcanoico</t>
        </is>
      </c>
      <c r="J339" s="7" t="inlineStr">
        <is>
          <t>HRAC Grupo O (4) — Auxinas Sintéticas</t>
        </is>
      </c>
      <c r="K339" s="7" t="inlineStr">
        <is>
          <t>Mimetizadores da auxina (crescimento desordenado e epinastia)</t>
        </is>
      </c>
      <c r="L339" s="9" t="n">
        <v>480</v>
      </c>
      <c r="M339" s="7" t="inlineStr">
        <is>
          <t>g/L</t>
        </is>
      </c>
      <c r="N339" s="7" t="inlineStr">
        <is>
          <t>Registro Técnico Vinculado MAPA</t>
        </is>
      </c>
    </row>
    <row r="340" ht="22" customHeight="1">
      <c r="A340" s="12" t="inlineStr">
        <is>
          <t>CMP-0336</t>
        </is>
      </c>
      <c r="B340" s="11" t="n">
        <v>240</v>
      </c>
      <c r="C340" s="13" t="inlineStr">
        <is>
          <t>Nº 11320</t>
        </is>
      </c>
      <c r="D340" s="14" t="inlineStr">
        <is>
          <t>SURVEY 800 WG</t>
        </is>
      </c>
      <c r="E340" s="11" t="n">
        <v>1</v>
      </c>
      <c r="F340" s="13" t="inlineStr">
        <is>
          <t>Ingrediente Ativo Principal</t>
        </is>
      </c>
      <c r="G340" s="13" t="inlineStr">
        <is>
          <t>FIPRONIL 800</t>
        </is>
      </c>
      <c r="H340" s="13" t="inlineStr">
        <is>
          <t>(RS)-5-amino-1-(2,6-dichloro-a,a,a-trifluoro-p-tolyl)-4-trifluoromethylsulfinylpyrazole-3-carbonitrile</t>
        </is>
      </c>
      <c r="I340" s="13" t="inlineStr">
        <is>
          <t>Pirazol (Fenilpirazol)</t>
        </is>
      </c>
      <c r="J340" s="13" t="inlineStr">
        <is>
          <t>IRAC Grupo 2B</t>
        </is>
      </c>
      <c r="K340" s="13" t="inlineStr">
        <is>
          <t>Bloqueadores de canais de cloro mediados pelo GABA</t>
        </is>
      </c>
      <c r="L340" s="15" t="n">
        <v>800</v>
      </c>
      <c r="M340" s="13" t="inlineStr">
        <is>
          <t>g/kg</t>
        </is>
      </c>
      <c r="N340" s="13" t="inlineStr">
        <is>
          <t>Registro Técnico Vinculado MAPA</t>
        </is>
      </c>
    </row>
    <row r="341" ht="22" customHeight="1">
      <c r="A341" s="6" t="inlineStr">
        <is>
          <t>CMP-0337</t>
        </is>
      </c>
      <c r="B341" s="5" t="n">
        <v>241</v>
      </c>
      <c r="C341" s="7" t="inlineStr">
        <is>
          <t>Nº 12621</t>
        </is>
      </c>
      <c r="D341" s="8" t="inlineStr">
        <is>
          <t>NADRAN 250SL (PRINCIPIO ATIVO)</t>
        </is>
      </c>
      <c r="E341" s="5" t="n">
        <v>1</v>
      </c>
      <c r="F341" s="7" t="inlineStr">
        <is>
          <t>Ingrediente Ativo Principal</t>
        </is>
      </c>
      <c r="G341" s="7" t="inlineStr">
        <is>
          <t>CLORETO DE MEPIQUATE 250</t>
        </is>
      </c>
      <c r="H341" s="7" t="inlineStr">
        <is>
          <t>1,1-dimethylpiperidinium chloride</t>
        </is>
      </c>
      <c r="I341" s="7" t="inlineStr">
        <is>
          <t>Amônio Quaternário (Fitorregulador)</t>
        </is>
      </c>
      <c r="J341" s="7" t="inlineStr">
        <is>
          <t>Regulador de Crescimento Vegetal (Inibidor de Giberelina)</t>
        </is>
      </c>
      <c r="K341" s="7" t="inlineStr">
        <is>
          <t>Inibição da biossíntese de giberelinas (redução do crescimento vegetativo)</t>
        </is>
      </c>
      <c r="L341" s="9" t="n">
        <v>250</v>
      </c>
      <c r="M341" s="7" t="inlineStr">
        <is>
          <t>g/kg</t>
        </is>
      </c>
      <c r="N341" s="7" t="inlineStr">
        <is>
          <t>Produto Técnico Próprio</t>
        </is>
      </c>
    </row>
    <row r="342" ht="22" customHeight="1">
      <c r="A342" s="12" t="inlineStr">
        <is>
          <t>CMP-0338</t>
        </is>
      </c>
      <c r="B342" s="11" t="n">
        <v>242</v>
      </c>
      <c r="C342" s="13" t="inlineStr">
        <is>
          <t>Nº 12418</t>
        </is>
      </c>
      <c r="D342" s="14" t="inlineStr">
        <is>
          <t>PENNCOZEB - MANCOZEB 750 (PRINCIPIO ATIVO)</t>
        </is>
      </c>
      <c r="E342" s="11" t="n">
        <v>1</v>
      </c>
      <c r="F342" s="13" t="inlineStr">
        <is>
          <t>Ingrediente Ativo Principal</t>
        </is>
      </c>
      <c r="G342" s="13" t="inlineStr">
        <is>
          <t>MANCOZEB 750</t>
        </is>
      </c>
      <c r="H342" s="13" t="inlineStr">
        <is>
          <t>Manganese ethylenebis(dithiocarbamate) (polymeric) complex with zinc salt</t>
        </is>
      </c>
      <c r="I342" s="13" t="inlineStr">
        <is>
          <t>Alquilenobis(ditiocarbamato)</t>
        </is>
      </c>
      <c r="J342" s="13" t="inlineStr">
        <is>
          <t>FRAC Grupo M03 — Multissítio</t>
        </is>
      </c>
      <c r="K342" s="13" t="inlineStr">
        <is>
          <t>Inibidor multissítio de enzimas contendo grupos sulfidrila e aminoácidos fúngicos</t>
        </is>
      </c>
      <c r="L342" s="15" t="n">
        <v>750</v>
      </c>
      <c r="M342" s="13" t="inlineStr">
        <is>
          <t>g/kg</t>
        </is>
      </c>
      <c r="N342" s="13" t="inlineStr">
        <is>
          <t>Produto Técnico Próprio</t>
        </is>
      </c>
    </row>
    <row r="343" ht="22" customHeight="1">
      <c r="A343" s="6" t="inlineStr">
        <is>
          <t>CMP-0339</t>
        </is>
      </c>
      <c r="B343" s="5" t="n">
        <v>243</v>
      </c>
      <c r="C343" s="7" t="inlineStr">
        <is>
          <t>Nº 43418</t>
        </is>
      </c>
      <c r="D343" s="8" t="inlineStr">
        <is>
          <t>BIOLOGIC AERUM</t>
        </is>
      </c>
      <c r="E343" s="5" t="n">
        <v>1</v>
      </c>
      <c r="F343" s="7" t="inlineStr">
        <is>
          <t>Agente Biológico / Cepa</t>
        </is>
      </c>
      <c r="G343" s="7" t="inlineStr">
        <is>
          <t>BACILLUS SUBTILIS ISOLADO BV02 (mín. 1,0x10^9 UFC/mL)</t>
        </is>
      </c>
      <c r="H343" s="7" t="inlineStr">
        <is>
          <t>Bactéria entomopatogênica / antagonista / promotora de crescimento (Bacillus spp.)</t>
        </is>
      </c>
      <c r="I343" s="7" t="inlineStr">
        <is>
          <t>Agente Microbiológico / Rizobactéria (PGPR)</t>
        </is>
      </c>
      <c r="J343" s="7" t="inlineStr">
        <is>
          <t>FRAC Grupo BM02 / IRAC Grupo 11A / Bioinsumo</t>
        </is>
      </c>
      <c r="K343" s="7" t="inlineStr">
        <is>
          <t>Lipopeptídeos antifúngicos, competição na rizosfera e solubilização de nutrientes</t>
        </is>
      </c>
      <c r="L343" s="9" t="n">
        <v>30</v>
      </c>
      <c r="M343" s="7" t="inlineStr">
        <is>
          <t>g/L</t>
        </is>
      </c>
      <c r="N343" s="7" t="inlineStr">
        <is>
          <t>Registro Técnico Vinculado MAPA</t>
        </is>
      </c>
    </row>
    <row r="344" ht="22" customHeight="1">
      <c r="A344" s="12" t="inlineStr">
        <is>
          <t>CMP-0340</t>
        </is>
      </c>
      <c r="B344" s="11" t="n">
        <v>244</v>
      </c>
      <c r="C344" s="13" t="inlineStr">
        <is>
          <t>SIPEAGRO (UF-XXXXX)</t>
        </is>
      </c>
      <c r="D344" s="14" t="inlineStr">
        <is>
          <t>BRENNFEED BR 251</t>
        </is>
      </c>
      <c r="E344" s="11" t="n">
        <v>1</v>
      </c>
      <c r="F344" s="13" t="inlineStr">
        <is>
          <t>Nutriente Garantido</t>
        </is>
      </c>
      <c r="G344" s="13" t="inlineStr">
        <is>
          <t>FERTILIZANTE MINERAL MISTO / MICRONUTRIENTES</t>
        </is>
      </c>
      <c r="H344" s="13" t="inlineStr">
        <is>
          <t>Composição Nutricional Oficial (FERTILIZANTE MINERAL MISTO / MICRONUTRIENTES)</t>
        </is>
      </c>
      <c r="I344" s="13" t="inlineStr">
        <is>
          <t>Fertilizante Mineral / Organomineral (Lei nº 6.894/1980)</t>
        </is>
      </c>
      <c r="J344" s="13" t="inlineStr">
        <is>
          <t>Nutrição Vegetal SIPEAGRO</t>
        </is>
      </c>
      <c r="K344" s="13" t="inlineStr">
        <is>
          <t>Fornecimento de macro e micronutrientes essenciais ao metabolismo vegetal</t>
        </is>
      </c>
      <c r="L344" s="15" t="n">
        <v>100</v>
      </c>
      <c r="M344" s="13" t="inlineStr">
        <is>
          <t>% m/m</t>
        </is>
      </c>
      <c r="N344" s="13" t="inlineStr">
        <is>
          <t>Registro Técnico Vinculado MAPA</t>
        </is>
      </c>
    </row>
    <row r="345" ht="22" customHeight="1">
      <c r="A345" s="6" t="inlineStr">
        <is>
          <t>CMP-0341</t>
        </is>
      </c>
      <c r="B345" s="5" t="n">
        <v>245</v>
      </c>
      <c r="C345" s="7" t="inlineStr">
        <is>
          <t>SIPEAGRO (UF-XXXXX)</t>
        </is>
      </c>
      <c r="D345" s="8" t="inlineStr">
        <is>
          <t>BRENNFEED BR 256</t>
        </is>
      </c>
      <c r="E345" s="5" t="n">
        <v>1</v>
      </c>
      <c r="F345" s="7" t="inlineStr">
        <is>
          <t>Nutriente Garantido</t>
        </is>
      </c>
      <c r="G345" s="7" t="inlineStr">
        <is>
          <t>FERTILIZANTE MINERAL MISTO / MICRONUTRIENTES</t>
        </is>
      </c>
      <c r="H345" s="7" t="inlineStr">
        <is>
          <t>Composição Nutricional Oficial (FERTILIZANTE MINERAL MISTO / MICRONUTRIENTES)</t>
        </is>
      </c>
      <c r="I345" s="7" t="inlineStr">
        <is>
          <t>Fertilizante Mineral / Organomineral (Lei nº 6.894/1980)</t>
        </is>
      </c>
      <c r="J345" s="7" t="inlineStr">
        <is>
          <t>Nutrição Vegetal SIPEAGRO</t>
        </is>
      </c>
      <c r="K345" s="7" t="inlineStr">
        <is>
          <t>Fornecimento de macro e micronutrientes essenciais ao metabolismo vegetal</t>
        </is>
      </c>
      <c r="L345" s="9" t="n">
        <v>100</v>
      </c>
      <c r="M345" s="7" t="inlineStr">
        <is>
          <t>% m/m</t>
        </is>
      </c>
      <c r="N345" s="7" t="inlineStr">
        <is>
          <t>Registro Técnico Vinculado MAPA</t>
        </is>
      </c>
    </row>
    <row r="346" ht="22" customHeight="1">
      <c r="A346" s="12" t="inlineStr">
        <is>
          <t>CMP-0342</t>
        </is>
      </c>
      <c r="B346" s="11" t="n">
        <v>246</v>
      </c>
      <c r="C346" s="13" t="inlineStr">
        <is>
          <t>SIPEAGRO (UF-XXXXX)</t>
        </is>
      </c>
      <c r="D346" s="14" t="inlineStr">
        <is>
          <t>BRENNBRA 12 B 4,5KG (AMOSTRA)</t>
        </is>
      </c>
      <c r="E346" s="11" t="n">
        <v>1</v>
      </c>
      <c r="F346" s="13" t="inlineStr">
        <is>
          <t>Nutriente Garantido</t>
        </is>
      </c>
      <c r="G346" s="13" t="inlineStr">
        <is>
          <t>BORO SOLUVEL 12% (FERTILIZANTE BORATADO)</t>
        </is>
      </c>
      <c r="H346" s="13" t="inlineStr">
        <is>
          <t>Composição Nutricional Oficial (BORO SOLUVEL 12% (FERTILIZANTE BORATADO))</t>
        </is>
      </c>
      <c r="I346" s="13" t="inlineStr">
        <is>
          <t>Fertilizante Mineral / Organomineral (Lei nº 6.894/1980)</t>
        </is>
      </c>
      <c r="J346" s="13" t="inlineStr">
        <is>
          <t>Nutrição Vegetal SIPEAGRO</t>
        </is>
      </c>
      <c r="K346" s="13" t="inlineStr">
        <is>
          <t>Fornecimento de macro e micronutrientes essenciais ao metabolismo vegetal</t>
        </is>
      </c>
      <c r="L346" s="15" t="n">
        <v>12</v>
      </c>
      <c r="M346" s="13" t="inlineStr">
        <is>
          <t>% m/m</t>
        </is>
      </c>
      <c r="N346" s="13" t="inlineStr">
        <is>
          <t>Registro Técnico Vinculado MAPA</t>
        </is>
      </c>
    </row>
    <row r="347" ht="22" customHeight="1">
      <c r="A347" s="6" t="inlineStr">
        <is>
          <t>CMP-0343</t>
        </is>
      </c>
      <c r="B347" s="5" t="n">
        <v>247</v>
      </c>
      <c r="C347" s="7" t="inlineStr">
        <is>
          <t>SIPEAGRO (UF-XXXXX)</t>
        </is>
      </c>
      <c r="D347" s="8" t="inlineStr">
        <is>
          <t>AGCN N-15,0% P205-5,0% K20-5,0% MG-1,6% (AMOSTRA)</t>
        </is>
      </c>
      <c r="E347" s="5" t="n">
        <v>1</v>
      </c>
      <c r="F347" s="7" t="inlineStr">
        <is>
          <t>Nutriente Garantido</t>
        </is>
      </c>
      <c r="G347" s="7" t="inlineStr">
        <is>
          <t>COMPLEXO DE MACRO E MICRO</t>
        </is>
      </c>
      <c r="H347" s="7" t="inlineStr">
        <is>
          <t>Composição Nutricional Oficial (COMPLEXO DE MACRO E MICRO)</t>
        </is>
      </c>
      <c r="I347" s="7" t="inlineStr">
        <is>
          <t>Fertilizante Mineral / Organomineral (Lei nº 6.894/1980)</t>
        </is>
      </c>
      <c r="J347" s="7" t="inlineStr">
        <is>
          <t>Nutrição Vegetal SIPEAGRO</t>
        </is>
      </c>
      <c r="K347" s="7" t="inlineStr">
        <is>
          <t>Fornecimento de macro e micronutrientes essenciais ao metabolismo vegetal</t>
        </is>
      </c>
      <c r="L347" s="9" t="n">
        <v>100</v>
      </c>
      <c r="M347" s="7" t="inlineStr">
        <is>
          <t>% m/m</t>
        </is>
      </c>
      <c r="N347" s="7" t="inlineStr">
        <is>
          <t>Registro Técnico Vinculado MAPA</t>
        </is>
      </c>
    </row>
    <row r="348" ht="22" customHeight="1">
      <c r="A348" s="12" t="inlineStr">
        <is>
          <t>CMP-0344</t>
        </is>
      </c>
      <c r="B348" s="11" t="n">
        <v>248</v>
      </c>
      <c r="C348" s="13" t="inlineStr">
        <is>
          <t>SIPEAGRO (UF-XXXXX)</t>
        </is>
      </c>
      <c r="D348" s="14" t="inlineStr">
        <is>
          <t>AGCN N-15,0% K20-7,0% CA-1,0% MG-1,0% (AMOSTRA)</t>
        </is>
      </c>
      <c r="E348" s="11" t="n">
        <v>1</v>
      </c>
      <c r="F348" s="13" t="inlineStr">
        <is>
          <t>Nutriente Garantido</t>
        </is>
      </c>
      <c r="G348" s="13" t="inlineStr">
        <is>
          <t>COMPLEXO DE MACRO E MICRO</t>
        </is>
      </c>
      <c r="H348" s="13" t="inlineStr">
        <is>
          <t>Composição Nutricional Oficial (COMPLEXO DE MACRO E MICRO)</t>
        </is>
      </c>
      <c r="I348" s="13" t="inlineStr">
        <is>
          <t>Fertilizante Mineral / Organomineral (Lei nº 6.894/1980)</t>
        </is>
      </c>
      <c r="J348" s="13" t="inlineStr">
        <is>
          <t>Nutrição Vegetal SIPEAGRO</t>
        </is>
      </c>
      <c r="K348" s="13" t="inlineStr">
        <is>
          <t>Fornecimento de macro e micronutrientes essenciais ao metabolismo vegetal</t>
        </is>
      </c>
      <c r="L348" s="15" t="n">
        <v>100</v>
      </c>
      <c r="M348" s="13" t="inlineStr">
        <is>
          <t>% m/m</t>
        </is>
      </c>
      <c r="N348" s="13" t="inlineStr">
        <is>
          <t>Registro Técnico Vinculado MAPA</t>
        </is>
      </c>
    </row>
    <row r="349" ht="22" customHeight="1">
      <c r="A349" s="6" t="inlineStr">
        <is>
          <t>CMP-0345</t>
        </is>
      </c>
      <c r="B349" s="5" t="n">
        <v>249</v>
      </c>
      <c r="C349" s="7" t="inlineStr">
        <is>
          <t>SIPEAGRO (UF-XXXXX)</t>
        </is>
      </c>
      <c r="D349" s="8" t="inlineStr">
        <is>
          <t>AGCN N-5,0% K20-7,0% CA-1,0% MG-1,0% (AMOSTRA)</t>
        </is>
      </c>
      <c r="E349" s="5" t="n">
        <v>1</v>
      </c>
      <c r="F349" s="7" t="inlineStr">
        <is>
          <t>Nutriente Garantido</t>
        </is>
      </c>
      <c r="G349" s="7" t="inlineStr">
        <is>
          <t>COMPLEXO DE MACRO E MICRO</t>
        </is>
      </c>
      <c r="H349" s="7" t="inlineStr">
        <is>
          <t>Composição Nutricional Oficial (COMPLEXO DE MACRO E MICRO)</t>
        </is>
      </c>
      <c r="I349" s="7" t="inlineStr">
        <is>
          <t>Fertilizante Mineral / Organomineral (Lei nº 6.894/1980)</t>
        </is>
      </c>
      <c r="J349" s="7" t="inlineStr">
        <is>
          <t>Nutrição Vegetal SIPEAGRO</t>
        </is>
      </c>
      <c r="K349" s="7" t="inlineStr">
        <is>
          <t>Fornecimento de macro e micronutrientes essenciais ao metabolismo vegetal</t>
        </is>
      </c>
      <c r="L349" s="9" t="n">
        <v>100</v>
      </c>
      <c r="M349" s="7" t="inlineStr">
        <is>
          <t>% m/m</t>
        </is>
      </c>
      <c r="N349" s="7" t="inlineStr">
        <is>
          <t>Registro Técnico Vinculado MAPA</t>
        </is>
      </c>
    </row>
    <row r="350" ht="22" customHeight="1">
      <c r="A350" s="12" t="inlineStr">
        <is>
          <t>CMP-0346</t>
        </is>
      </c>
      <c r="B350" s="11" t="n">
        <v>250</v>
      </c>
      <c r="C350" s="13" t="inlineStr">
        <is>
          <t>Nº 28319</t>
        </is>
      </c>
      <c r="D350" s="14" t="inlineStr">
        <is>
          <t>TOPINAM BALDE</t>
        </is>
      </c>
      <c r="E350" s="11" t="n">
        <v>1</v>
      </c>
      <c r="F350" s="13" t="inlineStr">
        <is>
          <t>Ingrediente Ativo Principal</t>
        </is>
      </c>
      <c r="G350" s="13" t="inlineStr">
        <is>
          <t>TRICLOPIR-BUTOTÍLICO 667 g/L (Equiv. 480 g/L Triclopir Ácido)</t>
        </is>
      </c>
      <c r="H350" s="13" t="inlineStr">
        <is>
          <t>2-butoxyethyl [(3,5,6-trichloro-2-pyridinyl)oxy]acetate (Triclopir-butotílico)</t>
        </is>
      </c>
      <c r="I350" s="13" t="inlineStr">
        <is>
          <t>Ácido piridiniloxialcanoico</t>
        </is>
      </c>
      <c r="J350" s="13" t="inlineStr">
        <is>
          <t>HRAC Grupo O (4) — Auxinas Sintéticas</t>
        </is>
      </c>
      <c r="K350" s="13" t="inlineStr">
        <is>
          <t>Mimetizadores da auxina (crescimento desordenado e epinastia)</t>
        </is>
      </c>
      <c r="L350" s="15" t="n">
        <v>480</v>
      </c>
      <c r="M350" s="13" t="inlineStr">
        <is>
          <t>g/L</t>
        </is>
      </c>
      <c r="N350" s="13" t="inlineStr">
        <is>
          <t>Registro Técnico Vinculado MAPA</t>
        </is>
      </c>
    </row>
    <row r="351" ht="22" customHeight="1">
      <c r="A351" s="6" t="inlineStr">
        <is>
          <t>CMP-0347</t>
        </is>
      </c>
      <c r="B351" s="5" t="n">
        <v>251</v>
      </c>
      <c r="C351" s="7" t="inlineStr">
        <is>
          <t>Nº 17208</t>
        </is>
      </c>
      <c r="D351" s="8" t="inlineStr">
        <is>
          <t>TRICLON</t>
        </is>
      </c>
      <c r="E351" s="5" t="n">
        <v>1</v>
      </c>
      <c r="F351" s="7" t="inlineStr">
        <is>
          <t>Ingrediente Ativo Principal</t>
        </is>
      </c>
      <c r="G351" s="7" t="inlineStr">
        <is>
          <t>TRICLOPIR-BUTOTÍLICO 667 g/L (Equiv. 480 g/L Triclopir Ácido)</t>
        </is>
      </c>
      <c r="H351" s="7" t="inlineStr">
        <is>
          <t>2-butoxyethyl [(3,5,6-trichloro-2-pyridinyl)oxy]acetate (Triclopir-butotílico)</t>
        </is>
      </c>
      <c r="I351" s="7" t="inlineStr">
        <is>
          <t>Ácido piridiniloxialcanoico</t>
        </is>
      </c>
      <c r="J351" s="7" t="inlineStr">
        <is>
          <t>HRAC Grupo O (4) — Auxinas Sintéticas</t>
        </is>
      </c>
      <c r="K351" s="7" t="inlineStr">
        <is>
          <t>Mimetizadores da auxina (crescimento desordenado e epinastia)</t>
        </is>
      </c>
      <c r="L351" s="9" t="n">
        <v>480</v>
      </c>
      <c r="M351" s="7" t="inlineStr">
        <is>
          <t>g/L</t>
        </is>
      </c>
      <c r="N351" s="7" t="inlineStr">
        <is>
          <t>Registro Técnico Vinculado MAPA</t>
        </is>
      </c>
    </row>
    <row r="352" ht="22" customHeight="1">
      <c r="A352" s="12" t="inlineStr">
        <is>
          <t>CMP-0348</t>
        </is>
      </c>
      <c r="B352" s="11" t="n">
        <v>252</v>
      </c>
      <c r="C352" s="13" t="inlineStr">
        <is>
          <t>Nº 34122</t>
        </is>
      </c>
      <c r="D352" s="14" t="inlineStr">
        <is>
          <t>DURAX</t>
        </is>
      </c>
      <c r="E352" s="11" t="n">
        <v>1</v>
      </c>
      <c r="F352" s="13" t="inlineStr">
        <is>
          <t>Ingrediente Ativo Principal</t>
        </is>
      </c>
      <c r="G352" s="13" t="inlineStr">
        <is>
          <t>S-METOLACLORO 960</t>
        </is>
      </c>
      <c r="H352" s="13" t="inlineStr">
        <is>
          <t>Mixture of (aRS,1S)-2-chloro-6'-ethyl-N-(2-methoxy-1-methylethyl)aceto-o-toluidide</t>
        </is>
      </c>
      <c r="I352" s="13" t="inlineStr">
        <is>
          <t>Cloroacetanilida</t>
        </is>
      </c>
      <c r="J352" s="13" t="inlineStr">
        <is>
          <t>HRAC Grupo K3 (15) — Inibidores de VLCFAs</t>
        </is>
      </c>
      <c r="K352" s="13" t="inlineStr">
        <is>
          <t>Inibidores da síntese de ácidos graxos de cadeia muito longa (divisão celular)</t>
        </is>
      </c>
      <c r="L352" s="15" t="n">
        <v>960</v>
      </c>
      <c r="M352" s="13" t="inlineStr">
        <is>
          <t>g/L</t>
        </is>
      </c>
      <c r="N352" s="13" t="inlineStr">
        <is>
          <t>Registro Técnico Vinculado MAPA</t>
        </is>
      </c>
    </row>
    <row r="353" ht="22" customHeight="1">
      <c r="A353" s="6" t="inlineStr">
        <is>
          <t>CMP-0349</t>
        </is>
      </c>
      <c r="B353" s="5" t="n">
        <v>253</v>
      </c>
      <c r="C353" s="7" t="inlineStr">
        <is>
          <t>Nº 20723</t>
        </is>
      </c>
      <c r="D353" s="8" t="inlineStr">
        <is>
          <t>ACEMIP</t>
        </is>
      </c>
      <c r="E353" s="5" t="n">
        <v>1</v>
      </c>
      <c r="F353" s="7" t="inlineStr">
        <is>
          <t>Ingrediente Ativo Principal</t>
        </is>
      </c>
      <c r="G353" s="7" t="inlineStr">
        <is>
          <t>ACETAMIPRID 200</t>
        </is>
      </c>
      <c r="H353" s="7" t="inlineStr">
        <is>
          <t>(E)-N1-[(6-chloro-3-pyridyl)methyl]-N2-cyano-N1-methylacetamidine</t>
        </is>
      </c>
      <c r="I353" s="7" t="inlineStr">
        <is>
          <t>Neonicotinoide</t>
        </is>
      </c>
      <c r="J353" s="7" t="inlineStr">
        <is>
          <t>IRAC Grupo 4A</t>
        </is>
      </c>
      <c r="K353" s="7" t="inlineStr">
        <is>
          <t>Moduladores competitivos de receptores nicotínicos da acetilcolina (nAChR)</t>
        </is>
      </c>
      <c r="L353" s="9" t="n">
        <v>200</v>
      </c>
      <c r="M353" s="7" t="inlineStr">
        <is>
          <t>g/kg</t>
        </is>
      </c>
      <c r="N353" s="7" t="inlineStr">
        <is>
          <t>Registro Técnico Vinculado MAPA</t>
        </is>
      </c>
    </row>
    <row r="354" ht="22" customHeight="1">
      <c r="A354" s="12" t="inlineStr">
        <is>
          <t>CMP-0350</t>
        </is>
      </c>
      <c r="B354" s="11" t="n">
        <v>254</v>
      </c>
      <c r="C354" s="13" t="inlineStr">
        <is>
          <t>Nº 22921</t>
        </is>
      </c>
      <c r="D354" s="14" t="inlineStr">
        <is>
          <t>CLOMAZONA 360 (PRINCIPIO ATIVO)</t>
        </is>
      </c>
      <c r="E354" s="11" t="n">
        <v>1</v>
      </c>
      <c r="F354" s="13" t="inlineStr">
        <is>
          <t>Ingrediente Ativo Principal</t>
        </is>
      </c>
      <c r="G354" s="13" t="inlineStr">
        <is>
          <t>CLOMAZONA 360</t>
        </is>
      </c>
      <c r="H354" s="13" t="inlineStr">
        <is>
          <t>2-(2-chlorobenzyl)-4,4-dimethyl-1,2-oxazolidin-3-one</t>
        </is>
      </c>
      <c r="I354" s="13" t="inlineStr">
        <is>
          <t>Isoxazolidinona</t>
        </is>
      </c>
      <c r="J354" s="13" t="inlineStr">
        <is>
          <t>HRAC Grupo F4 (13) — Inibidores da DOXP sintase</t>
        </is>
      </c>
      <c r="K354" s="13" t="inlineStr">
        <is>
          <t>Inibidores da 1-deoxi-D-xilulose 5-fosfato sintase (biossíntese de plastoquinona/carotenoides)</t>
        </is>
      </c>
      <c r="L354" s="15" t="n">
        <v>360</v>
      </c>
      <c r="M354" s="13" t="inlineStr">
        <is>
          <t>g/kg</t>
        </is>
      </c>
      <c r="N354" s="13" t="inlineStr">
        <is>
          <t>Produto Técnico Próprio</t>
        </is>
      </c>
    </row>
    <row r="355" ht="22" customHeight="1">
      <c r="A355" s="6" t="inlineStr">
        <is>
          <t>CMP-0351</t>
        </is>
      </c>
      <c r="B355" s="5" t="n">
        <v>255</v>
      </c>
      <c r="C355" s="7" t="inlineStr">
        <is>
          <t>SIPEAGRO (UF-XXXXX)</t>
        </is>
      </c>
      <c r="D355" s="8" t="inlineStr">
        <is>
          <t>AGCN MN+ 100</t>
        </is>
      </c>
      <c r="E355" s="5" t="n">
        <v>1</v>
      </c>
      <c r="F355" s="7" t="inlineStr">
        <is>
          <t>Nutriente Garantido</t>
        </is>
      </c>
      <c r="G355" s="7" t="inlineStr">
        <is>
          <t>MN 5%</t>
        </is>
      </c>
      <c r="H355" s="7" t="inlineStr">
        <is>
          <t>Composição Nutricional Oficial (MN 5%)</t>
        </is>
      </c>
      <c r="I355" s="7" t="inlineStr">
        <is>
          <t>Fertilizante Mineral / Organomineral (Lei nº 6.894/1980)</t>
        </is>
      </c>
      <c r="J355" s="7" t="inlineStr">
        <is>
          <t>Nutrição Vegetal SIPEAGRO</t>
        </is>
      </c>
      <c r="K355" s="7" t="inlineStr">
        <is>
          <t>Fornecimento de macro e micronutrientes essenciais ao metabolismo vegetal</t>
        </is>
      </c>
      <c r="L355" s="9" t="n">
        <v>5</v>
      </c>
      <c r="M355" s="7" t="inlineStr">
        <is>
          <t>% m/m</t>
        </is>
      </c>
      <c r="N355" s="7" t="inlineStr">
        <is>
          <t>Registro Técnico Vinculado MAPA</t>
        </is>
      </c>
    </row>
    <row r="356" ht="22" customHeight="1">
      <c r="A356" s="12" t="inlineStr">
        <is>
          <t>CMP-0352</t>
        </is>
      </c>
      <c r="B356" s="11" t="n">
        <v>255</v>
      </c>
      <c r="C356" s="13" t="inlineStr">
        <is>
          <t>SIPEAGRO (UF-XXXXX)</t>
        </is>
      </c>
      <c r="D356" s="14" t="inlineStr">
        <is>
          <t>AGCN MN+ 100</t>
        </is>
      </c>
      <c r="E356" s="11" t="n">
        <v>2</v>
      </c>
      <c r="F356" s="13" t="inlineStr">
        <is>
          <t>Nutriente Garantido</t>
        </is>
      </c>
      <c r="G356" s="13" t="inlineStr">
        <is>
          <t>N 1%</t>
        </is>
      </c>
      <c r="H356" s="13" t="inlineStr">
        <is>
          <t>Composição Nutricional Oficial (N 1%)</t>
        </is>
      </c>
      <c r="I356" s="13" t="inlineStr">
        <is>
          <t>Fertilizante Mineral / Organomineral (Lei nº 6.894/1980)</t>
        </is>
      </c>
      <c r="J356" s="13" t="inlineStr">
        <is>
          <t>Nutrição Vegetal SIPEAGRO</t>
        </is>
      </c>
      <c r="K356" s="13" t="inlineStr">
        <is>
          <t>Fornecimento de macro e micronutrientes essenciais ao metabolismo vegetal</t>
        </is>
      </c>
      <c r="L356" s="15" t="n">
        <v>1</v>
      </c>
      <c r="M356" s="13" t="inlineStr">
        <is>
          <t>% m/m</t>
        </is>
      </c>
      <c r="N356" s="13" t="inlineStr">
        <is>
          <t>Registro Técnico Vinculado MAPA</t>
        </is>
      </c>
    </row>
    <row r="357" ht="22" customHeight="1">
      <c r="A357" s="6" t="inlineStr">
        <is>
          <t>CMP-0353</t>
        </is>
      </c>
      <c r="B357" s="5" t="n">
        <v>255</v>
      </c>
      <c r="C357" s="7" t="inlineStr">
        <is>
          <t>SIPEAGRO (UF-XXXXX)</t>
        </is>
      </c>
      <c r="D357" s="8" t="inlineStr">
        <is>
          <t>AGCN MN+ 100</t>
        </is>
      </c>
      <c r="E357" s="5" t="n">
        <v>3</v>
      </c>
      <c r="F357" s="7" t="inlineStr">
        <is>
          <t>Nutriente Garantido</t>
        </is>
      </c>
      <c r="G357" s="7" t="inlineStr">
        <is>
          <t>ENXOFRE 4%</t>
        </is>
      </c>
      <c r="H357" s="7" t="inlineStr">
        <is>
          <t>Composição Nutricional Oficial (ENXOFRE 4%)</t>
        </is>
      </c>
      <c r="I357" s="7" t="inlineStr">
        <is>
          <t>Fertilizante Mineral / Organomineral (Lei nº 6.894/1980)</t>
        </is>
      </c>
      <c r="J357" s="7" t="inlineStr">
        <is>
          <t>Nutrição Vegetal SIPEAGRO</t>
        </is>
      </c>
      <c r="K357" s="7" t="inlineStr">
        <is>
          <t>Fornecimento de macro e micronutrientes essenciais ao metabolismo vegetal</t>
        </is>
      </c>
      <c r="L357" s="9" t="n">
        <v>4</v>
      </c>
      <c r="M357" s="7" t="inlineStr">
        <is>
          <t>% m/m</t>
        </is>
      </c>
      <c r="N357" s="7" t="inlineStr">
        <is>
          <t>Registro Técnico Vinculado MAPA</t>
        </is>
      </c>
    </row>
    <row r="358" ht="22" customHeight="1">
      <c r="A358" s="12" t="inlineStr">
        <is>
          <t>CMP-0354</t>
        </is>
      </c>
      <c r="B358" s="11" t="n">
        <v>255</v>
      </c>
      <c r="C358" s="13" t="inlineStr">
        <is>
          <t>SIPEAGRO (UF-XXXXX)</t>
        </is>
      </c>
      <c r="D358" s="14" t="inlineStr">
        <is>
          <t>AGCN MN+ 100</t>
        </is>
      </c>
      <c r="E358" s="11" t="n">
        <v>4</v>
      </c>
      <c r="F358" s="13" t="inlineStr">
        <is>
          <t>Nutriente Garantido</t>
        </is>
      </c>
      <c r="G358" s="13" t="inlineStr">
        <is>
          <t>BORO 0,3%</t>
        </is>
      </c>
      <c r="H358" s="13" t="inlineStr">
        <is>
          <t>Composição Nutricional Oficial (BORO 0,3%)</t>
        </is>
      </c>
      <c r="I358" s="13" t="inlineStr">
        <is>
          <t>Fertilizante Mineral / Organomineral (Lei nº 6.894/1980)</t>
        </is>
      </c>
      <c r="J358" s="13" t="inlineStr">
        <is>
          <t>Nutrição Vegetal SIPEAGRO</t>
        </is>
      </c>
      <c r="K358" s="13" t="inlineStr">
        <is>
          <t>Fornecimento de macro e micronutrientes essenciais ao metabolismo vegetal</t>
        </is>
      </c>
      <c r="L358" s="18" t="n">
        <v>0.3</v>
      </c>
      <c r="M358" s="13" t="inlineStr">
        <is>
          <t>% m/m</t>
        </is>
      </c>
      <c r="N358" s="13" t="inlineStr">
        <is>
          <t>Registro Técnico Vinculado MAPA</t>
        </is>
      </c>
    </row>
    <row r="359" ht="22" customHeight="1">
      <c r="A359" s="6" t="inlineStr">
        <is>
          <t>CMP-0355</t>
        </is>
      </c>
      <c r="B359" s="5" t="n">
        <v>255</v>
      </c>
      <c r="C359" s="7" t="inlineStr">
        <is>
          <t>SIPEAGRO (UF-XXXXX)</t>
        </is>
      </c>
      <c r="D359" s="8" t="inlineStr">
        <is>
          <t>AGCN MN+ 100</t>
        </is>
      </c>
      <c r="E359" s="5" t="n">
        <v>5</v>
      </c>
      <c r="F359" s="7" t="inlineStr">
        <is>
          <t>Nutriente Garantido</t>
        </is>
      </c>
      <c r="G359" s="7" t="inlineStr">
        <is>
          <t>COBRE 0,3%</t>
        </is>
      </c>
      <c r="H359" s="7" t="inlineStr">
        <is>
          <t>Composição Nutricional Oficial (COBRE 0,3%)</t>
        </is>
      </c>
      <c r="I359" s="7" t="inlineStr">
        <is>
          <t>Fertilizante Mineral / Organomineral (Lei nº 6.894/1980)</t>
        </is>
      </c>
      <c r="J359" s="7" t="inlineStr">
        <is>
          <t>Nutrição Vegetal SIPEAGRO</t>
        </is>
      </c>
      <c r="K359" s="7" t="inlineStr">
        <is>
          <t>Fornecimento de macro e micronutrientes essenciais ao metabolismo vegetal</t>
        </is>
      </c>
      <c r="L359" s="17" t="n">
        <v>0.3</v>
      </c>
      <c r="M359" s="7" t="inlineStr">
        <is>
          <t>% m/m</t>
        </is>
      </c>
      <c r="N359" s="7" t="inlineStr">
        <is>
          <t>Registro Técnico Vinculado MAPA</t>
        </is>
      </c>
    </row>
    <row r="360" ht="22" customHeight="1">
      <c r="A360" s="12" t="inlineStr">
        <is>
          <t>CMP-0356</t>
        </is>
      </c>
      <c r="B360" s="11" t="n">
        <v>255</v>
      </c>
      <c r="C360" s="13" t="inlineStr">
        <is>
          <t>SIPEAGRO (UF-XXXXX)</t>
        </is>
      </c>
      <c r="D360" s="14" t="inlineStr">
        <is>
          <t>AGCN MN+ 100</t>
        </is>
      </c>
      <c r="E360" s="11" t="n">
        <v>6</v>
      </c>
      <c r="F360" s="13" t="inlineStr">
        <is>
          <t>Nutriente Garantido</t>
        </is>
      </c>
      <c r="G360" s="13" t="inlineStr">
        <is>
          <t>ZN 3%</t>
        </is>
      </c>
      <c r="H360" s="13" t="inlineStr">
        <is>
          <t>Composição Nutricional Oficial (ZN 3%)</t>
        </is>
      </c>
      <c r="I360" s="13" t="inlineStr">
        <is>
          <t>Fertilizante Mineral / Organomineral (Lei nº 6.894/1980)</t>
        </is>
      </c>
      <c r="J360" s="13" t="inlineStr">
        <is>
          <t>Nutrição Vegetal SIPEAGRO</t>
        </is>
      </c>
      <c r="K360" s="13" t="inlineStr">
        <is>
          <t>Fornecimento de macro e micronutrientes essenciais ao metabolismo vegetal</t>
        </is>
      </c>
      <c r="L360" s="15" t="n">
        <v>3</v>
      </c>
      <c r="M360" s="13" t="inlineStr">
        <is>
          <t>% m/m</t>
        </is>
      </c>
      <c r="N360" s="13" t="inlineStr">
        <is>
          <t>Registro Técnico Vinculado MAPA</t>
        </is>
      </c>
    </row>
    <row r="361" ht="22" customHeight="1">
      <c r="A361" s="6" t="inlineStr">
        <is>
          <t>CMP-0357</t>
        </is>
      </c>
      <c r="B361" s="5" t="n">
        <v>256</v>
      </c>
      <c r="C361" s="7" t="inlineStr">
        <is>
          <t>Nº 1411</t>
        </is>
      </c>
      <c r="D361" s="8" t="inlineStr">
        <is>
          <t>CLORIMUROM 360 (PRINCIPIO ATIVO)</t>
        </is>
      </c>
      <c r="E361" s="5" t="n">
        <v>1</v>
      </c>
      <c r="F361" s="7" t="inlineStr">
        <is>
          <t>Ingrediente Ativo Principal</t>
        </is>
      </c>
      <c r="G361" s="7" t="inlineStr">
        <is>
          <t>CLORIMUROM 360</t>
        </is>
      </c>
      <c r="H361" s="7" t="inlineStr">
        <is>
          <t>Ethyl 2-(4-chloro-6-methoxypyrimidin-2-ylcarbamoylsulfamoyl)benzoate</t>
        </is>
      </c>
      <c r="I361" s="7" t="inlineStr">
        <is>
          <t>Sulfonilureia</t>
        </is>
      </c>
      <c r="J361" s="7" t="inlineStr">
        <is>
          <t>HRAC Grupo B (2) — Inibidores da ALS</t>
        </is>
      </c>
      <c r="K361" s="7" t="inlineStr">
        <is>
          <t>Inibição da enzima acetolactato sintase (ALS / AHAS)</t>
        </is>
      </c>
      <c r="L361" s="9" t="n">
        <v>360</v>
      </c>
      <c r="M361" s="7" t="inlineStr">
        <is>
          <t>g/kg</t>
        </is>
      </c>
      <c r="N361" s="7" t="inlineStr">
        <is>
          <t>Produto Técnico Próprio</t>
        </is>
      </c>
    </row>
    <row r="362" ht="22" customHeight="1">
      <c r="A362" s="12" t="inlineStr">
        <is>
          <t>CMP-0358</t>
        </is>
      </c>
      <c r="B362" s="11" t="n">
        <v>257</v>
      </c>
      <c r="C362" s="13" t="inlineStr">
        <is>
          <t>Nº 28517</t>
        </is>
      </c>
      <c r="D362" s="14" t="inlineStr">
        <is>
          <t>ABSOLUTO FIX</t>
        </is>
      </c>
      <c r="E362" s="11" t="n">
        <v>1</v>
      </c>
      <c r="F362" s="13" t="inlineStr">
        <is>
          <t>Ingrediente Ativo Principal</t>
        </is>
      </c>
      <c r="G362" s="13" t="inlineStr">
        <is>
          <t>CLOROTALONIL 720</t>
        </is>
      </c>
      <c r="H362" s="13" t="inlineStr">
        <is>
          <t>Tetrachloroisophthalonitrile</t>
        </is>
      </c>
      <c r="I362" s="13" t="inlineStr">
        <is>
          <t>Isoftalonitrila</t>
        </is>
      </c>
      <c r="J362" s="13" t="inlineStr">
        <is>
          <t>FRAC Grupo M05 — Multissítio</t>
        </is>
      </c>
      <c r="K362" s="13" t="inlineStr">
        <is>
          <t>Atividade de contato multissítio (inativação de grupos tiol enzimáticos)</t>
        </is>
      </c>
      <c r="L362" s="15" t="n">
        <v>720</v>
      </c>
      <c r="M362" s="13" t="inlineStr">
        <is>
          <t>g/L</t>
        </is>
      </c>
      <c r="N362" s="13" t="inlineStr">
        <is>
          <t>Registro Técnico Vinculado MAPA</t>
        </is>
      </c>
    </row>
    <row r="363" ht="22" customHeight="1">
      <c r="A363" s="6" t="inlineStr">
        <is>
          <t>CMP-0359</t>
        </is>
      </c>
      <c r="B363" s="5" t="n">
        <v>258</v>
      </c>
      <c r="C363" s="7" t="inlineStr">
        <is>
          <t>Nº 28517</t>
        </is>
      </c>
      <c r="D363" s="8" t="inlineStr">
        <is>
          <t>ABSOLUTO FIX</t>
        </is>
      </c>
      <c r="E363" s="5" t="n">
        <v>1</v>
      </c>
      <c r="F363" s="7" t="inlineStr">
        <is>
          <t>Ingrediente Ativo Principal</t>
        </is>
      </c>
      <c r="G363" s="7" t="inlineStr">
        <is>
          <t>CLOROTALONIL 720</t>
        </is>
      </c>
      <c r="H363" s="7" t="inlineStr">
        <is>
          <t>Tetrachloroisophthalonitrile</t>
        </is>
      </c>
      <c r="I363" s="7" t="inlineStr">
        <is>
          <t>Isoftalonitrila</t>
        </is>
      </c>
      <c r="J363" s="7" t="inlineStr">
        <is>
          <t>FRAC Grupo M05 — Multissítio</t>
        </is>
      </c>
      <c r="K363" s="7" t="inlineStr">
        <is>
          <t>Atividade de contato multissítio (inativação de grupos tiol enzimáticos)</t>
        </is>
      </c>
      <c r="L363" s="9" t="n">
        <v>720</v>
      </c>
      <c r="M363" s="7" t="inlineStr">
        <is>
          <t>g/L</t>
        </is>
      </c>
      <c r="N363" s="7" t="inlineStr">
        <is>
          <t>Registro Técnico Vinculado MAPA</t>
        </is>
      </c>
    </row>
    <row r="364" ht="22" customHeight="1">
      <c r="A364" s="12" t="inlineStr">
        <is>
          <t>CMP-0360</t>
        </is>
      </c>
      <c r="B364" s="11" t="n">
        <v>259</v>
      </c>
      <c r="C364" s="13" t="inlineStr">
        <is>
          <t>Nº 16318</t>
        </is>
      </c>
      <c r="D364" s="14" t="inlineStr">
        <is>
          <t>AMETRINA</t>
        </is>
      </c>
      <c r="E364" s="11" t="n">
        <v>1</v>
      </c>
      <c r="F364" s="13" t="inlineStr">
        <is>
          <t>Ingrediente Ativo Principal</t>
        </is>
      </c>
      <c r="G364" s="13" t="inlineStr">
        <is>
          <t>AMETRINA 500</t>
        </is>
      </c>
      <c r="H364" s="13" t="inlineStr">
        <is>
          <t>N2-ethyl-N4-isopropyl-6-methylthio-1,3,5-triazine-2,4-diamine</t>
        </is>
      </c>
      <c r="I364" s="13" t="inlineStr">
        <is>
          <t>Triazina (Metiltiotriazina)</t>
        </is>
      </c>
      <c r="J364" s="13" t="inlineStr">
        <is>
          <t>HRAC Grupo C1 (5) — Inibidores do Fotossistema II</t>
        </is>
      </c>
      <c r="K364" s="13" t="inlineStr">
        <is>
          <t>Inibição do transporte de elétrons no Fotossistema II</t>
        </is>
      </c>
      <c r="L364" s="15" t="n">
        <v>500</v>
      </c>
      <c r="M364" s="13" t="inlineStr">
        <is>
          <t>g/L</t>
        </is>
      </c>
      <c r="N364" s="13" t="inlineStr">
        <is>
          <t>Registro Técnico Vinculado MAPA</t>
        </is>
      </c>
    </row>
    <row r="365" ht="22" customHeight="1">
      <c r="A365" s="6" t="inlineStr">
        <is>
          <t>CMP-0361</t>
        </is>
      </c>
      <c r="B365" s="5" t="n">
        <v>260</v>
      </c>
      <c r="C365" s="7" t="inlineStr">
        <is>
          <t>Nº 1924</t>
        </is>
      </c>
      <c r="D365" s="8" t="inlineStr">
        <is>
          <t>FORCEPS</t>
        </is>
      </c>
      <c r="E365" s="5" t="n">
        <v>1</v>
      </c>
      <c r="F365" s="7" t="inlineStr">
        <is>
          <t>Ingrediente Ativo Principal</t>
        </is>
      </c>
      <c r="G365" s="7" t="inlineStr">
        <is>
          <t>ACETAMIPRIDO 250</t>
        </is>
      </c>
      <c r="H365" s="7" t="inlineStr">
        <is>
          <t>(E)-N1-[(6-chloro-3-pyridyl)methyl]-N2-cyano-N1-methylacetamidine</t>
        </is>
      </c>
      <c r="I365" s="7" t="inlineStr">
        <is>
          <t>Neonicotinoide</t>
        </is>
      </c>
      <c r="J365" s="7" t="inlineStr">
        <is>
          <t>IRAC Grupo 4A</t>
        </is>
      </c>
      <c r="K365" s="7" t="inlineStr">
        <is>
          <t>Moduladores competitivos de receptores nicotínicos da acetilcolina (nAChR)</t>
        </is>
      </c>
      <c r="L365" s="9" t="n">
        <v>250</v>
      </c>
      <c r="M365" s="7" t="inlineStr">
        <is>
          <t>g/kg</t>
        </is>
      </c>
      <c r="N365" s="7" t="inlineStr">
        <is>
          <t>Registro Técnico Vinculado MAPA</t>
        </is>
      </c>
    </row>
    <row r="366" ht="22" customHeight="1">
      <c r="A366" s="12" t="inlineStr">
        <is>
          <t>CMP-0362</t>
        </is>
      </c>
      <c r="B366" s="11" t="n">
        <v>260</v>
      </c>
      <c r="C366" s="13" t="inlineStr">
        <is>
          <t>Nº 1924</t>
        </is>
      </c>
      <c r="D366" s="14" t="inlineStr">
        <is>
          <t>FORCEPS</t>
        </is>
      </c>
      <c r="E366" s="11" t="n">
        <v>2</v>
      </c>
      <c r="F366" s="13" t="inlineStr">
        <is>
          <t>Ingrediente Ativo Principal</t>
        </is>
      </c>
      <c r="G366" s="13" t="inlineStr">
        <is>
          <t>BIFENTRINA 250</t>
        </is>
      </c>
      <c r="H366" s="13" t="inlineStr">
        <is>
          <t>2-methylbiphenyl-3-ylmethyl (Z)-(1RS,3RS)-3-(2-chloro-3,3,3-trifluoroprop-1-enyl)-2,2-dimethylcyclopropanecarboxylate</t>
        </is>
      </c>
      <c r="I366" s="13" t="inlineStr">
        <is>
          <t>Piretroide (Tipo I)</t>
        </is>
      </c>
      <c r="J366" s="13" t="inlineStr">
        <is>
          <t>IRAC Grupo 3A</t>
        </is>
      </c>
      <c r="K366" s="13" t="inlineStr">
        <is>
          <t>Moduladores de canais de sódio em membranas nervosas</t>
        </is>
      </c>
      <c r="L366" s="15" t="n">
        <v>250</v>
      </c>
      <c r="M366" s="13" t="inlineStr">
        <is>
          <t>g/kg</t>
        </is>
      </c>
      <c r="N366" s="13" t="inlineStr">
        <is>
          <t>Registro Técnico Vinculado MAPA</t>
        </is>
      </c>
    </row>
    <row r="367" ht="22" customHeight="1">
      <c r="A367" s="6" t="inlineStr">
        <is>
          <t>CMP-0363</t>
        </is>
      </c>
      <c r="B367" s="5" t="n">
        <v>261</v>
      </c>
      <c r="C367" s="7" t="inlineStr">
        <is>
          <t>Nº 3915</t>
        </is>
      </c>
      <c r="D367" s="8" t="inlineStr">
        <is>
          <t>CYPER COPA 250 EC</t>
        </is>
      </c>
      <c r="E367" s="5" t="n">
        <v>1</v>
      </c>
      <c r="F367" s="7" t="inlineStr">
        <is>
          <t>Ingrediente Ativo Principal</t>
        </is>
      </c>
      <c r="G367" s="7" t="inlineStr">
        <is>
          <t>CIPERMETRINA 250</t>
        </is>
      </c>
      <c r="H367" s="7" t="inlineStr">
        <is>
          <t>(RS)-alpha-cyano-3-phenoxybenzyl (1RS,3RS;1RS,3SR)-3-(2,2-dichlorovinyl)-2,2-dimethylcyclopropanecarboxylate</t>
        </is>
      </c>
      <c r="I367" s="7" t="inlineStr">
        <is>
          <t>Piretroide (Tipo II)</t>
        </is>
      </c>
      <c r="J367" s="7" t="inlineStr">
        <is>
          <t>IRAC Grupo 3A</t>
        </is>
      </c>
      <c r="K367" s="7" t="inlineStr">
        <is>
          <t>Moduladores de canais de sódio em membranas nervosas</t>
        </is>
      </c>
      <c r="L367" s="9" t="n">
        <v>250</v>
      </c>
      <c r="M367" s="7" t="inlineStr">
        <is>
          <t>g/L</t>
        </is>
      </c>
      <c r="N367" s="7" t="inlineStr">
        <is>
          <t>Registro Técnico Vinculado MAPA</t>
        </is>
      </c>
    </row>
    <row r="368" ht="22" customHeight="1">
      <c r="A368" s="12" t="inlineStr">
        <is>
          <t>CMP-0364</t>
        </is>
      </c>
      <c r="B368" s="11" t="n">
        <v>262</v>
      </c>
      <c r="C368" s="13" t="inlineStr">
        <is>
          <t>VINCULAR MARCA</t>
        </is>
      </c>
      <c r="D368" s="14" t="inlineStr">
        <is>
          <t>GLUFOSINATO 880 (PRINCIPIO ATIVO)</t>
        </is>
      </c>
      <c r="E368" s="11" t="n">
        <v>1</v>
      </c>
      <c r="F368" s="13" t="inlineStr">
        <is>
          <t>Ingrediente Ativo Principal</t>
        </is>
      </c>
      <c r="G368" s="13" t="inlineStr">
        <is>
          <t>GLUFOSINATO 880</t>
        </is>
      </c>
      <c r="H368" s="13" t="inlineStr">
        <is>
          <t>Ammonium (2RS)-2-amino-4-(methylphosphinato)butyric acid (Glufosinato Sal de Amônio)</t>
        </is>
      </c>
      <c r="I368" s="13" t="inlineStr">
        <is>
          <t>Homoalanina substituída (Ácido fosfínico)</t>
        </is>
      </c>
      <c r="J368" s="13" t="inlineStr">
        <is>
          <t>HRAC Grupo H (10) — Inibidores da Glutamina Sintetase</t>
        </is>
      </c>
      <c r="K368" s="13" t="inlineStr">
        <is>
          <t>Inibição da enzima glutamina sintetase (acúmulo de amônia intracelular)</t>
        </is>
      </c>
      <c r="L368" s="15" t="n">
        <v>880</v>
      </c>
      <c r="M368" s="13" t="inlineStr">
        <is>
          <t>g/kg</t>
        </is>
      </c>
      <c r="N368" s="13" t="inlineStr">
        <is>
          <t>Produto Técnico Próprio</t>
        </is>
      </c>
    </row>
    <row r="369" ht="22" customHeight="1">
      <c r="A369" s="6" t="inlineStr">
        <is>
          <t>CMP-0365</t>
        </is>
      </c>
      <c r="B369" s="5" t="n">
        <v>263</v>
      </c>
      <c r="C369" s="7" t="inlineStr">
        <is>
          <t>SIPEAGRO (UF-XXXXX)</t>
        </is>
      </c>
      <c r="D369" s="8" t="inlineStr">
        <is>
          <t>AGCN ULTRA COPPER</t>
        </is>
      </c>
      <c r="E369" s="5" t="n">
        <v>1</v>
      </c>
      <c r="F369" s="7" t="inlineStr">
        <is>
          <t>Nutriente Garantido</t>
        </is>
      </c>
      <c r="G369" s="7" t="inlineStr">
        <is>
          <t>COBRE (SULFATO</t>
        </is>
      </c>
      <c r="H369" s="7" t="inlineStr">
        <is>
          <t>Composição Nutricional Oficial (COBRE (SULFATO)</t>
        </is>
      </c>
      <c r="I369" s="7" t="inlineStr">
        <is>
          <t>Fertilizante Mineral / Organomineral (Lei nº 6.894/1980)</t>
        </is>
      </c>
      <c r="J369" s="7" t="inlineStr">
        <is>
          <t>Nutrição Vegetal SIPEAGRO</t>
        </is>
      </c>
      <c r="K369" s="7" t="inlineStr">
        <is>
          <t>Fornecimento de macro e micronutrientes essenciais ao metabolismo vegetal</t>
        </is>
      </c>
      <c r="L369" s="9" t="n">
        <v>100</v>
      </c>
      <c r="M369" s="7" t="inlineStr">
        <is>
          <t>% m/m</t>
        </is>
      </c>
      <c r="N369" s="7" t="inlineStr">
        <is>
          <t>Registro Técnico Vinculado MAPA</t>
        </is>
      </c>
    </row>
    <row r="370" ht="22" customHeight="1">
      <c r="A370" s="12" t="inlineStr">
        <is>
          <t>CMP-0366</t>
        </is>
      </c>
      <c r="B370" s="11" t="n">
        <v>263</v>
      </c>
      <c r="C370" s="13" t="inlineStr">
        <is>
          <t>SIPEAGRO (UF-XXXXX)</t>
        </is>
      </c>
      <c r="D370" s="14" t="inlineStr">
        <is>
          <t>AGCN ULTRA COPPER</t>
        </is>
      </c>
      <c r="E370" s="11" t="n">
        <v>2</v>
      </c>
      <c r="F370" s="13" t="inlineStr">
        <is>
          <t>Nutriente Garantido</t>
        </is>
      </c>
      <c r="G370" s="13" t="inlineStr">
        <is>
          <t>OXIDO)</t>
        </is>
      </c>
      <c r="H370" s="13" t="inlineStr">
        <is>
          <t>Composição Nutricional Oficial (OXIDO))</t>
        </is>
      </c>
      <c r="I370" s="13" t="inlineStr">
        <is>
          <t>Fertilizante Mineral / Organomineral (Lei nº 6.894/1980)</t>
        </is>
      </c>
      <c r="J370" s="13" t="inlineStr">
        <is>
          <t>Nutrição Vegetal SIPEAGRO</t>
        </is>
      </c>
      <c r="K370" s="13" t="inlineStr">
        <is>
          <t>Fornecimento de macro e micronutrientes essenciais ao metabolismo vegetal</t>
        </is>
      </c>
      <c r="L370" s="15" t="n">
        <v>100</v>
      </c>
      <c r="M370" s="13" t="inlineStr">
        <is>
          <t>% m/m</t>
        </is>
      </c>
      <c r="N370" s="13" t="inlineStr">
        <is>
          <t>Registro Técnico Vinculado MAPA</t>
        </is>
      </c>
    </row>
    <row r="371" ht="22" customHeight="1">
      <c r="A371" s="6" t="inlineStr">
        <is>
          <t>CMP-0367</t>
        </is>
      </c>
      <c r="B371" s="5" t="n">
        <v>264</v>
      </c>
      <c r="C371" s="7" t="inlineStr">
        <is>
          <t>Nº 17219</t>
        </is>
      </c>
      <c r="D371" s="8" t="inlineStr">
        <is>
          <t>FLUAZINAM</t>
        </is>
      </c>
      <c r="E371" s="5" t="n">
        <v>1</v>
      </c>
      <c r="F371" s="7" t="inlineStr">
        <is>
          <t>Ingrediente Ativo Principal</t>
        </is>
      </c>
      <c r="G371" s="7" t="inlineStr">
        <is>
          <t>FLUAZINAM 500</t>
        </is>
      </c>
      <c r="H371" s="7" t="inlineStr">
        <is>
          <t>3-chloro-N-(3-chloro-5-trifluoromethyl-2-pyridyl)-a,a,a-trifluoro-2,6-dinitro-p-toluidine</t>
        </is>
      </c>
      <c r="I371" s="7" t="inlineStr">
        <is>
          <t>Fenilpiridinamina (2,6-dinitroanilina)</t>
        </is>
      </c>
      <c r="J371" s="7" t="inlineStr">
        <is>
          <t>FRAC Grupo 29</t>
        </is>
      </c>
      <c r="K371" s="7" t="inlineStr">
        <is>
          <t>Desacopladores da fosforilação oxidativa mitocondrial</t>
        </is>
      </c>
      <c r="L371" s="9" t="n">
        <v>500</v>
      </c>
      <c r="M371" s="7" t="inlineStr">
        <is>
          <t>g/L</t>
        </is>
      </c>
      <c r="N371" s="7" t="inlineStr">
        <is>
          <t>Registro Técnico Vinculado MAPA</t>
        </is>
      </c>
    </row>
    <row r="372" ht="22" customHeight="1">
      <c r="A372" s="12" t="inlineStr">
        <is>
          <t>CMP-0368</t>
        </is>
      </c>
      <c r="B372" s="11" t="n">
        <v>265</v>
      </c>
      <c r="C372" s="13" t="inlineStr">
        <is>
          <t>Nº 14421</t>
        </is>
      </c>
      <c r="D372" s="14" t="inlineStr">
        <is>
          <t>FIPRONIL 250 FS AGCN</t>
        </is>
      </c>
      <c r="E372" s="11" t="n">
        <v>1</v>
      </c>
      <c r="F372" s="13" t="inlineStr">
        <is>
          <t>Ingrediente Ativo Principal</t>
        </is>
      </c>
      <c r="G372" s="13" t="inlineStr">
        <is>
          <t>FIPRONIL 250</t>
        </is>
      </c>
      <c r="H372" s="13" t="inlineStr">
        <is>
          <t>(RS)-5-amino-1-(2,6-dichloro-a,a,a-trifluoro-p-tolyl)-4-trifluoromethylsulfinylpyrazole-3-carbonitrile</t>
        </is>
      </c>
      <c r="I372" s="13" t="inlineStr">
        <is>
          <t>Pirazol (Fenilpirazol)</t>
        </is>
      </c>
      <c r="J372" s="13" t="inlineStr">
        <is>
          <t>IRAC Grupo 2B</t>
        </is>
      </c>
      <c r="K372" s="13" t="inlineStr">
        <is>
          <t>Bloqueadores de canais de cloro mediados pelo GABA</t>
        </is>
      </c>
      <c r="L372" s="15" t="n">
        <v>250</v>
      </c>
      <c r="M372" s="13" t="inlineStr">
        <is>
          <t>g/L</t>
        </is>
      </c>
      <c r="N372" s="13" t="inlineStr">
        <is>
          <t>Registro Técnico Vinculado MAPA</t>
        </is>
      </c>
    </row>
    <row r="373" ht="22" customHeight="1">
      <c r="A373" s="6" t="inlineStr">
        <is>
          <t>CMP-0369</t>
        </is>
      </c>
      <c r="B373" s="5" t="n">
        <v>266</v>
      </c>
      <c r="C373" s="7" t="inlineStr">
        <is>
          <t>Nº 14024</t>
        </is>
      </c>
      <c r="D373" s="8" t="inlineStr">
        <is>
          <t>ETHIPROLE</t>
        </is>
      </c>
      <c r="E373" s="5" t="n">
        <v>1</v>
      </c>
      <c r="F373" s="7" t="inlineStr">
        <is>
          <t>Ingrediente Ativo Principal</t>
        </is>
      </c>
      <c r="G373" s="7" t="inlineStr">
        <is>
          <t>ETIPROLE 200 SC</t>
        </is>
      </c>
      <c r="H373" s="7" t="inlineStr">
        <is>
          <t>5-amino-1-(2,6-dichloro-alpha,alpha,alpha-trifluoro-p-tolyl)-4-ethylsulfinylpyrazole-3-carbonitrile</t>
        </is>
      </c>
      <c r="I373" s="7" t="inlineStr">
        <is>
          <t>Fenilpirazol</t>
        </is>
      </c>
      <c r="J373" s="7" t="inlineStr">
        <is>
          <t>IRAC Grupo 2B</t>
        </is>
      </c>
      <c r="K373" s="7" t="inlineStr">
        <is>
          <t>Bloqueadores de canais de cloro mediados pelo GABA</t>
        </is>
      </c>
      <c r="L373" s="9" t="n">
        <v>200</v>
      </c>
      <c r="M373" s="7" t="inlineStr">
        <is>
          <t>g/L</t>
        </is>
      </c>
      <c r="N373" s="7" t="inlineStr">
        <is>
          <t>Registro Técnico Vinculado MAPA</t>
        </is>
      </c>
    </row>
    <row r="374" ht="22" customHeight="1">
      <c r="A374" s="12" t="inlineStr">
        <is>
          <t>CMP-0370</t>
        </is>
      </c>
      <c r="B374" s="11" t="n">
        <v>267</v>
      </c>
      <c r="C374" s="13" t="inlineStr">
        <is>
          <t>Nº 2004</t>
        </is>
      </c>
      <c r="D374" s="14" t="inlineStr">
        <is>
          <t>PENNCOZEB</t>
        </is>
      </c>
      <c r="E374" s="11" t="n">
        <v>1</v>
      </c>
      <c r="F374" s="13" t="inlineStr">
        <is>
          <t>Ingrediente Ativo Principal</t>
        </is>
      </c>
      <c r="G374" s="13" t="inlineStr">
        <is>
          <t>MANCOZEB 750</t>
        </is>
      </c>
      <c r="H374" s="13" t="inlineStr">
        <is>
          <t>Manganese ethylenebis(dithiocarbamate) (polymeric) complex with zinc salt</t>
        </is>
      </c>
      <c r="I374" s="13" t="inlineStr">
        <is>
          <t>Alquilenobis(ditiocarbamato)</t>
        </is>
      </c>
      <c r="J374" s="13" t="inlineStr">
        <is>
          <t>FRAC Grupo M03 — Multissítio</t>
        </is>
      </c>
      <c r="K374" s="13" t="inlineStr">
        <is>
          <t>Inibidor multissítio de enzimas contendo grupos sulfidrila e aminoácidos fúngicos</t>
        </is>
      </c>
      <c r="L374" s="15" t="n">
        <v>750</v>
      </c>
      <c r="M374" s="13" t="inlineStr">
        <is>
          <t>g/kg</t>
        </is>
      </c>
      <c r="N374" s="13" t="inlineStr">
        <is>
          <t>Registro Técnico Vinculado MAPA</t>
        </is>
      </c>
    </row>
    <row r="375" ht="22" customHeight="1">
      <c r="A375" s="6" t="inlineStr">
        <is>
          <t>CMP-0371</t>
        </is>
      </c>
      <c r="B375" s="5" t="n">
        <v>268</v>
      </c>
      <c r="C375" s="7" t="inlineStr">
        <is>
          <t>Nº 7124</t>
        </is>
      </c>
      <c r="D375" s="8" t="inlineStr">
        <is>
          <t>OPTIBEX</t>
        </is>
      </c>
      <c r="E375" s="5" t="n">
        <v>1</v>
      </c>
      <c r="F375" s="7" t="inlineStr">
        <is>
          <t>Ingrediente Ativo Principal</t>
        </is>
      </c>
      <c r="G375" s="7" t="inlineStr">
        <is>
          <t>GLUFOSINATO 880</t>
        </is>
      </c>
      <c r="H375" s="7" t="inlineStr">
        <is>
          <t>Ammonium (2RS)-2-amino-4-(methylphosphinato)butyric acid (Glufosinato Sal de Amônio)</t>
        </is>
      </c>
      <c r="I375" s="7" t="inlineStr">
        <is>
          <t>Homoalanina substituída (Ácido fosfínico)</t>
        </is>
      </c>
      <c r="J375" s="7" t="inlineStr">
        <is>
          <t>HRAC Grupo H (10) — Inibidores da Glutamina Sintetase</t>
        </is>
      </c>
      <c r="K375" s="7" t="inlineStr">
        <is>
          <t>Inibição da enzima glutamina sintetase (acúmulo de amônia intracelular)</t>
        </is>
      </c>
      <c r="L375" s="9" t="n">
        <v>880</v>
      </c>
      <c r="M375" s="7" t="inlineStr">
        <is>
          <t>g/kg</t>
        </is>
      </c>
      <c r="N375" s="7" t="inlineStr">
        <is>
          <t>Registro Técnico Vinculado MAPA</t>
        </is>
      </c>
    </row>
    <row r="376" ht="22" customHeight="1">
      <c r="A376" s="12" t="inlineStr">
        <is>
          <t>CMP-0372</t>
        </is>
      </c>
      <c r="B376" s="11" t="n">
        <v>269</v>
      </c>
      <c r="C376" s="13" t="inlineStr">
        <is>
          <t>Nº 16407</t>
        </is>
      </c>
      <c r="D376" s="14" t="inlineStr">
        <is>
          <t>ARENA</t>
        </is>
      </c>
      <c r="E376" s="11" t="n">
        <v>1</v>
      </c>
      <c r="F376" s="13" t="inlineStr">
        <is>
          <t>Ingrediente Ativo Principal</t>
        </is>
      </c>
      <c r="G376" s="13" t="inlineStr">
        <is>
          <t>2,4-D (Equivalente Ácido)</t>
        </is>
      </c>
      <c r="H376" s="13" t="inlineStr">
        <is>
          <t>(2,4-dichlorophenoxy)acetic acid</t>
        </is>
      </c>
      <c r="I376" s="13" t="inlineStr">
        <is>
          <t>Ácido ariloxialcanoico</t>
        </is>
      </c>
      <c r="J376" s="13" t="inlineStr">
        <is>
          <t>HRAC Grupo O (4) — Auxinas Sintéticas</t>
        </is>
      </c>
      <c r="K376" s="13" t="inlineStr">
        <is>
          <t>Mimetizadores de auxina sintética</t>
        </is>
      </c>
      <c r="L376" s="15" t="n">
        <v>240</v>
      </c>
      <c r="M376" s="13" t="inlineStr">
        <is>
          <t>g/L</t>
        </is>
      </c>
      <c r="N376" s="13" t="inlineStr">
        <is>
          <t>2,4-D Técnico Vinculado MAPA</t>
        </is>
      </c>
    </row>
    <row r="377" ht="22" customHeight="1">
      <c r="A377" s="6" t="inlineStr">
        <is>
          <t>CMP-0373</t>
        </is>
      </c>
      <c r="B377" s="5" t="n">
        <v>269</v>
      </c>
      <c r="C377" s="7" t="inlineStr">
        <is>
          <t>Nº 16407</t>
        </is>
      </c>
      <c r="D377" s="8" t="inlineStr">
        <is>
          <t>ARENA</t>
        </is>
      </c>
      <c r="E377" s="5" t="n">
        <v>2</v>
      </c>
      <c r="F377" s="7" t="inlineStr">
        <is>
          <t>Ingrediente Ativo Principal</t>
        </is>
      </c>
      <c r="G377" s="7" t="inlineStr">
        <is>
          <t>PICLORAM (Equivalente Ácido)</t>
        </is>
      </c>
      <c r="H377" s="7" t="inlineStr">
        <is>
          <t>4-amino-3,5,6-trichloropyridine-2-carboxylic acid</t>
        </is>
      </c>
      <c r="I377" s="7" t="inlineStr">
        <is>
          <t>Ácido piridinocarboxílico</t>
        </is>
      </c>
      <c r="J377" s="7" t="inlineStr">
        <is>
          <t>HRAC Grupo O (4) — Auxinas Sintéticas</t>
        </is>
      </c>
      <c r="K377" s="7" t="inlineStr">
        <is>
          <t>Mimetizadores de auxina sintética</t>
        </is>
      </c>
      <c r="L377" s="9" t="n">
        <v>64</v>
      </c>
      <c r="M377" s="7" t="inlineStr">
        <is>
          <t>g/L</t>
        </is>
      </c>
      <c r="N377" s="7" t="inlineStr">
        <is>
          <t>Picloram Técnico Vinculado MAPA</t>
        </is>
      </c>
    </row>
    <row r="378" ht="22" customHeight="1">
      <c r="A378" s="12" t="inlineStr">
        <is>
          <t>CMP-0374</t>
        </is>
      </c>
      <c r="B378" s="11" t="n">
        <v>270</v>
      </c>
      <c r="C378" s="13" t="inlineStr">
        <is>
          <t>Nº 22023</t>
        </is>
      </c>
      <c r="D378" s="14" t="inlineStr">
        <is>
          <t>TEBUCONAZOLE 430 SINO-AGRI</t>
        </is>
      </c>
      <c r="E378" s="11" t="n">
        <v>1</v>
      </c>
      <c r="F378" s="13" t="inlineStr">
        <is>
          <t>Ingrediente Ativo Principal</t>
        </is>
      </c>
      <c r="G378" s="13" t="inlineStr">
        <is>
          <t>TEBUCONAZOL 430</t>
        </is>
      </c>
      <c r="H378" s="13" t="inlineStr">
        <is>
          <t>(RS)-1-p-chlorophenyl-4,4-dimethyl-3-(1H-1,2,4-triazol-1-ylmethyl)pentan-3-ol</t>
        </is>
      </c>
      <c r="I378" s="13" t="inlineStr">
        <is>
          <t>Triazol</t>
        </is>
      </c>
      <c r="J378" s="13" t="inlineStr">
        <is>
          <t>FRAC Grupo 3 (DMI)</t>
        </is>
      </c>
      <c r="K378" s="13" t="inlineStr">
        <is>
          <t>Inibidores da desmetilação de C14 na biossíntese de ergosterol</t>
        </is>
      </c>
      <c r="L378" s="15" t="n">
        <v>430</v>
      </c>
      <c r="M378" s="13" t="inlineStr">
        <is>
          <t>g/L</t>
        </is>
      </c>
      <c r="N378" s="13" t="inlineStr">
        <is>
          <t>Registro Técnico Vinculado MAPA</t>
        </is>
      </c>
    </row>
    <row r="379" ht="22" customHeight="1">
      <c r="A379" s="6" t="inlineStr">
        <is>
          <t>CMP-0375</t>
        </is>
      </c>
      <c r="B379" s="5" t="n">
        <v>271</v>
      </c>
      <c r="C379" s="7" t="inlineStr">
        <is>
          <t>Nº 22023</t>
        </is>
      </c>
      <c r="D379" s="8" t="inlineStr">
        <is>
          <t>TEBUCONAZOLE 430 SINO-AGRI</t>
        </is>
      </c>
      <c r="E379" s="5" t="n">
        <v>1</v>
      </c>
      <c r="F379" s="7" t="inlineStr">
        <is>
          <t>Ingrediente Ativo Principal</t>
        </is>
      </c>
      <c r="G379" s="7" t="inlineStr">
        <is>
          <t>TEBUCONAZOL 430</t>
        </is>
      </c>
      <c r="H379" s="7" t="inlineStr">
        <is>
          <t>(RS)-1-p-chlorophenyl-4,4-dimethyl-3-(1H-1,2,4-triazol-1-ylmethyl)pentan-3-ol</t>
        </is>
      </c>
      <c r="I379" s="7" t="inlineStr">
        <is>
          <t>Triazol</t>
        </is>
      </c>
      <c r="J379" s="7" t="inlineStr">
        <is>
          <t>FRAC Grupo 3 (DMI)</t>
        </is>
      </c>
      <c r="K379" s="7" t="inlineStr">
        <is>
          <t>Inibidores da desmetilação de C14 na biossíntese de ergosterol</t>
        </is>
      </c>
      <c r="L379" s="9" t="n">
        <v>430</v>
      </c>
      <c r="M379" s="7" t="inlineStr">
        <is>
          <t>g/L</t>
        </is>
      </c>
      <c r="N379" s="7" t="inlineStr">
        <is>
          <t>Registro Técnico Vinculado MAPA</t>
        </is>
      </c>
    </row>
    <row r="380" ht="22" customHeight="1">
      <c r="A380" s="12" t="inlineStr">
        <is>
          <t>CMP-0376</t>
        </is>
      </c>
      <c r="B380" s="11" t="n">
        <v>272</v>
      </c>
      <c r="C380" s="13" t="inlineStr">
        <is>
          <t>Nº 10010</t>
        </is>
      </c>
      <c r="D380" s="14" t="inlineStr">
        <is>
          <t>BRILHANTE BR</t>
        </is>
      </c>
      <c r="E380" s="11" t="n">
        <v>1</v>
      </c>
      <c r="F380" s="13" t="inlineStr">
        <is>
          <t>Ingrediente Ativo Principal</t>
        </is>
      </c>
      <c r="G380" s="13" t="inlineStr">
        <is>
          <t>METOMIL 215</t>
        </is>
      </c>
      <c r="H380" s="13" t="inlineStr">
        <is>
          <t>S-methyl N-(methylcarbamoyloxy)thioacetimidate</t>
        </is>
      </c>
      <c r="I380" s="13" t="inlineStr">
        <is>
          <t>Metilcarbamato de oxima</t>
        </is>
      </c>
      <c r="J380" s="13" t="inlineStr">
        <is>
          <t>IRAC Grupo 1A</t>
        </is>
      </c>
      <c r="K380" s="13" t="inlineStr">
        <is>
          <t>Inibidores reversíveis da enzima acetilcolinesterase (AChE)</t>
        </is>
      </c>
      <c r="L380" s="15" t="n">
        <v>215</v>
      </c>
      <c r="M380" s="13" t="inlineStr">
        <is>
          <t>g/L</t>
        </is>
      </c>
      <c r="N380" s="13" t="inlineStr">
        <is>
          <t>Registro Técnico Vinculado MAPA</t>
        </is>
      </c>
    </row>
    <row r="381" ht="22" customHeight="1">
      <c r="A381" s="6" t="inlineStr">
        <is>
          <t>CMP-0377</t>
        </is>
      </c>
      <c r="B381" s="5" t="n">
        <v>273</v>
      </c>
      <c r="C381" s="7" t="inlineStr">
        <is>
          <t>ISENTO (ATO 104/2017)</t>
        </is>
      </c>
      <c r="D381" s="8" t="inlineStr">
        <is>
          <t>FERTILIZANTES 3 -</t>
        </is>
      </c>
      <c r="E381" s="5" t="n">
        <v>1</v>
      </c>
      <c r="F381" s="7" t="inlineStr">
        <is>
          <t>Ingrediente Ativo Principal</t>
        </is>
      </c>
      <c r="G381" s="7" t="inlineStr">
        <is>
          <t>ADJUVANTE</t>
        </is>
      </c>
      <c r="H381" s="7" t="inlineStr">
        <is>
          <t>Adjuvante Agrícola de Calda (ADJUVANTE)</t>
        </is>
      </c>
      <c r="I381" s="7" t="inlineStr">
        <is>
          <t>Éster Metílico / Hidrocarboneto Parafínico / Tensoativo Siliconado</t>
        </is>
      </c>
      <c r="J381" s="7" t="inlineStr">
        <is>
          <t>Adjuvante Tecnológico de Pulverização</t>
        </is>
      </c>
      <c r="K381" s="7" t="inlineStr">
        <is>
          <t>Redução da tensão superficial, espalhamento, anti-deriva e penetração cuticular</t>
        </is>
      </c>
      <c r="L381" s="9" t="n">
        <v>500</v>
      </c>
      <c r="M381" s="7" t="inlineStr">
        <is>
          <t>g/L</t>
        </is>
      </c>
      <c r="N381" s="7" t="inlineStr">
        <is>
          <t>Registro Técnico Vinculado MAPA</t>
        </is>
      </c>
    </row>
    <row r="382" ht="22" customHeight="1">
      <c r="A382" s="12" t="inlineStr">
        <is>
          <t>CMP-0378</t>
        </is>
      </c>
      <c r="B382" s="11" t="n">
        <v>274</v>
      </c>
      <c r="C382" s="13" t="inlineStr">
        <is>
          <t>Nº 12621</t>
        </is>
      </c>
      <c r="D382" s="14" t="inlineStr">
        <is>
          <t>NADRAN 250</t>
        </is>
      </c>
      <c r="E382" s="11" t="n">
        <v>1</v>
      </c>
      <c r="F382" s="13" t="inlineStr">
        <is>
          <t>Ingrediente Ativo Principal</t>
        </is>
      </c>
      <c r="G382" s="13" t="inlineStr">
        <is>
          <t>CLORETO DE MEPIQUATE 250</t>
        </is>
      </c>
      <c r="H382" s="13" t="inlineStr">
        <is>
          <t>1,1-dimethylpiperidinium chloride</t>
        </is>
      </c>
      <c r="I382" s="13" t="inlineStr">
        <is>
          <t>Amônio Quaternário (Fitorregulador)</t>
        </is>
      </c>
      <c r="J382" s="13" t="inlineStr">
        <is>
          <t>Regulador de Crescimento Vegetal (Inibidor de Giberelina)</t>
        </is>
      </c>
      <c r="K382" s="13" t="inlineStr">
        <is>
          <t>Inibição da biossíntese de giberelinas (redução do crescimento vegetativo)</t>
        </is>
      </c>
      <c r="L382" s="15" t="n">
        <v>250</v>
      </c>
      <c r="M382" s="13" t="inlineStr">
        <is>
          <t>g/L</t>
        </is>
      </c>
      <c r="N382" s="13" t="inlineStr">
        <is>
          <t>Registro Técnico Vinculado MAPA</t>
        </is>
      </c>
    </row>
    <row r="383" ht="22" customHeight="1">
      <c r="A383" s="6" t="inlineStr">
        <is>
          <t>CMP-0379</t>
        </is>
      </c>
      <c r="B383" s="5" t="n">
        <v>275</v>
      </c>
      <c r="C383" s="7" t="inlineStr">
        <is>
          <t>SIPEAGRO (UF-XXXXX)</t>
        </is>
      </c>
      <c r="D383" s="8" t="inlineStr">
        <is>
          <t>BRENNFEED BR 248</t>
        </is>
      </c>
      <c r="E383" s="5" t="n">
        <v>1</v>
      </c>
      <c r="F383" s="7" t="inlineStr">
        <is>
          <t>Nutriente Garantido</t>
        </is>
      </c>
      <c r="G383" s="7" t="inlineStr">
        <is>
          <t>FERTILIZANTE MINERAL MISTO / MICRONUTRIENTES</t>
        </is>
      </c>
      <c r="H383" s="7" t="inlineStr">
        <is>
          <t>Composição Nutricional Oficial (FERTILIZANTE MINERAL MISTO / MICRONUTRIENTES)</t>
        </is>
      </c>
      <c r="I383" s="7" t="inlineStr">
        <is>
          <t>Fertilizante Mineral / Organomineral (Lei nº 6.894/1980)</t>
        </is>
      </c>
      <c r="J383" s="7" t="inlineStr">
        <is>
          <t>Nutrição Vegetal SIPEAGRO</t>
        </is>
      </c>
      <c r="K383" s="7" t="inlineStr">
        <is>
          <t>Fornecimento de macro e micronutrientes essenciais ao metabolismo vegetal</t>
        </is>
      </c>
      <c r="L383" s="9" t="n">
        <v>100</v>
      </c>
      <c r="M383" s="7" t="inlineStr">
        <is>
          <t>% m/m</t>
        </is>
      </c>
      <c r="N383" s="7" t="inlineStr">
        <is>
          <t>Registro Técnico Vinculado MAPA</t>
        </is>
      </c>
    </row>
    <row r="384" ht="22" customHeight="1">
      <c r="A384" s="12" t="inlineStr">
        <is>
          <t>CMP-0380</t>
        </is>
      </c>
      <c r="B384" s="11" t="n">
        <v>276</v>
      </c>
      <c r="C384" s="13" t="inlineStr">
        <is>
          <t>Nº 31817</t>
        </is>
      </c>
      <c r="D384" s="14" t="inlineStr">
        <is>
          <t>RAINIL</t>
        </is>
      </c>
      <c r="E384" s="11" t="n">
        <v>1</v>
      </c>
      <c r="F384" s="13" t="inlineStr">
        <is>
          <t>Ingrediente Ativo Principal</t>
        </is>
      </c>
      <c r="G384" s="13" t="inlineStr">
        <is>
          <t>FIPRONIL 800</t>
        </is>
      </c>
      <c r="H384" s="13" t="inlineStr">
        <is>
          <t>(RS)-5-amino-1-(2,6-dichloro-a,a,a-trifluoro-p-tolyl)-4-trifluoromethylsulfinylpyrazole-3-carbonitrile</t>
        </is>
      </c>
      <c r="I384" s="13" t="inlineStr">
        <is>
          <t>Pirazol (Fenilpirazol)</t>
        </is>
      </c>
      <c r="J384" s="13" t="inlineStr">
        <is>
          <t>IRAC Grupo 2B</t>
        </is>
      </c>
      <c r="K384" s="13" t="inlineStr">
        <is>
          <t>Bloqueadores de canais de cloro mediados pelo GABA</t>
        </is>
      </c>
      <c r="L384" s="15" t="n">
        <v>800</v>
      </c>
      <c r="M384" s="13" t="inlineStr">
        <is>
          <t>g/kg</t>
        </is>
      </c>
      <c r="N384" s="13" t="inlineStr">
        <is>
          <t>Registro Técnico Vinculado MAPA</t>
        </is>
      </c>
    </row>
    <row r="385" ht="22" customHeight="1">
      <c r="A385" s="6" t="inlineStr">
        <is>
          <t>CMP-0381</t>
        </is>
      </c>
      <c r="B385" s="5" t="n">
        <v>277</v>
      </c>
      <c r="C385" s="7" t="inlineStr">
        <is>
          <t>Nº 17119</t>
        </is>
      </c>
      <c r="D385" s="8" t="inlineStr">
        <is>
          <t>DIFENCONAZOLE 25% EC</t>
        </is>
      </c>
      <c r="E385" s="5" t="n">
        <v>1</v>
      </c>
      <c r="F385" s="7" t="inlineStr">
        <is>
          <t>Ingrediente Ativo Principal</t>
        </is>
      </c>
      <c r="G385" s="7" t="inlineStr">
        <is>
          <t>DIFENOCONAZOL 250</t>
        </is>
      </c>
      <c r="H385" s="7" t="inlineStr">
        <is>
          <t>cis,trans-3-chloro-4-[4-methyl-2-(1H-1,2,4-triazol-1-ylmethyl)-1,3-dioxolan-2-yl]phenyl 4-chlorophenyl ether</t>
        </is>
      </c>
      <c r="I385" s="7" t="inlineStr">
        <is>
          <t>Triazol</t>
        </is>
      </c>
      <c r="J385" s="7" t="inlineStr">
        <is>
          <t>FRAC Grupo 3 (DMI)</t>
        </is>
      </c>
      <c r="K385" s="7" t="inlineStr">
        <is>
          <t>Inibidores da desmetilação de esteróis (C14-desmetilase na síntese de ergosterol)</t>
        </is>
      </c>
      <c r="L385" s="9" t="n">
        <v>250</v>
      </c>
      <c r="M385" s="7" t="inlineStr">
        <is>
          <t>g/L</t>
        </is>
      </c>
      <c r="N385" s="7" t="inlineStr">
        <is>
          <t>Registro Técnico Vinculado MAPA</t>
        </is>
      </c>
    </row>
    <row r="386" ht="22" customHeight="1">
      <c r="A386" s="12" t="inlineStr">
        <is>
          <t>CMP-0382</t>
        </is>
      </c>
      <c r="B386" s="11" t="n">
        <v>278</v>
      </c>
      <c r="C386" s="13" t="inlineStr">
        <is>
          <t>Nº 2788394</t>
        </is>
      </c>
      <c r="D386" s="14" t="inlineStr">
        <is>
          <t>ORTHENE 750 BR</t>
        </is>
      </c>
      <c r="E386" s="11" t="n">
        <v>1</v>
      </c>
      <c r="F386" s="13" t="inlineStr">
        <is>
          <t>Ingrediente Ativo Principal</t>
        </is>
      </c>
      <c r="G386" s="13" t="inlineStr">
        <is>
          <t>ACEFATO 750</t>
        </is>
      </c>
      <c r="H386" s="13" t="inlineStr">
        <is>
          <t>O,S-dimethyl acetylphosphoramidothioate</t>
        </is>
      </c>
      <c r="I386" s="13" t="inlineStr">
        <is>
          <t>Organofosforado</t>
        </is>
      </c>
      <c r="J386" s="13" t="inlineStr">
        <is>
          <t>IRAC Grupo 1B</t>
        </is>
      </c>
      <c r="K386" s="13" t="inlineStr">
        <is>
          <t>Inibidores da enzima acetilcolinesterase (AChE)</t>
        </is>
      </c>
      <c r="L386" s="15" t="n">
        <v>750</v>
      </c>
      <c r="M386" s="13" t="inlineStr">
        <is>
          <t>g/kg</t>
        </is>
      </c>
      <c r="N386" s="13" t="inlineStr">
        <is>
          <t>Registro Técnico Vinculado MAPA</t>
        </is>
      </c>
    </row>
    <row r="387" ht="22" customHeight="1">
      <c r="A387" s="6" t="inlineStr">
        <is>
          <t>CMP-0383</t>
        </is>
      </c>
      <c r="B387" s="5" t="n">
        <v>279</v>
      </c>
      <c r="C387" s="7" t="inlineStr">
        <is>
          <t>Nº 16223</t>
        </is>
      </c>
      <c r="D387" s="8" t="inlineStr">
        <is>
          <t>CLOMASTER</t>
        </is>
      </c>
      <c r="E387" s="5" t="n">
        <v>1</v>
      </c>
      <c r="F387" s="7" t="inlineStr">
        <is>
          <t>Ingrediente Ativo Principal</t>
        </is>
      </c>
      <c r="G387" s="7" t="inlineStr">
        <is>
          <t>CLOMAZONA 360</t>
        </is>
      </c>
      <c r="H387" s="7" t="inlineStr">
        <is>
          <t>2-(2-chlorobenzyl)-4,4-dimethyl-1,2-oxazolidin-3-one</t>
        </is>
      </c>
      <c r="I387" s="7" t="inlineStr">
        <is>
          <t>Isoxazolidinona</t>
        </is>
      </c>
      <c r="J387" s="7" t="inlineStr">
        <is>
          <t>HRAC Grupo F4 (13) — Inibidores da DOXP sintase</t>
        </is>
      </c>
      <c r="K387" s="7" t="inlineStr">
        <is>
          <t>Inibidores da 1-deoxi-D-xilulose 5-fosfato sintase (biossíntese de plastoquinona/carotenoides)</t>
        </is>
      </c>
      <c r="L387" s="9" t="n">
        <v>360</v>
      </c>
      <c r="M387" s="7" t="inlineStr">
        <is>
          <t>g/L</t>
        </is>
      </c>
      <c r="N387" s="7" t="inlineStr">
        <is>
          <t>Registro Técnico Vinculado MAPA</t>
        </is>
      </c>
    </row>
    <row r="388" ht="22" customHeight="1">
      <c r="A388" s="12" t="inlineStr">
        <is>
          <t>CMP-0384</t>
        </is>
      </c>
      <c r="B388" s="11" t="n">
        <v>280</v>
      </c>
      <c r="C388" s="13" t="inlineStr">
        <is>
          <t>ISENTO (ATO 104/2017)</t>
        </is>
      </c>
      <c r="D388" s="14" t="inlineStr">
        <is>
          <t>AGCN SAFE AIR</t>
        </is>
      </c>
      <c r="E388" s="11" t="n">
        <v>1</v>
      </c>
      <c r="F388" s="13" t="inlineStr">
        <is>
          <t>Ingrediente Ativo Principal</t>
        </is>
      </c>
      <c r="G388" s="13" t="inlineStr">
        <is>
          <t>ADJUVANTE</t>
        </is>
      </c>
      <c r="H388" s="13" t="inlineStr">
        <is>
          <t>Adjuvante Agrícola de Calda (ADJUVANTE)</t>
        </is>
      </c>
      <c r="I388" s="13" t="inlineStr">
        <is>
          <t>Éster Metílico / Hidrocarboneto Parafínico / Tensoativo Siliconado</t>
        </is>
      </c>
      <c r="J388" s="13" t="inlineStr">
        <is>
          <t>Adjuvante Tecnológico de Pulverização</t>
        </is>
      </c>
      <c r="K388" s="13" t="inlineStr">
        <is>
          <t>Redução da tensão superficial, espalhamento, anti-deriva e penetração cuticular</t>
        </is>
      </c>
      <c r="L388" s="15" t="n">
        <v>500</v>
      </c>
      <c r="M388" s="13" t="inlineStr">
        <is>
          <t>g/L</t>
        </is>
      </c>
      <c r="N388" s="13" t="inlineStr">
        <is>
          <t>Registro Técnico Vinculado MAPA</t>
        </is>
      </c>
    </row>
    <row r="389" ht="22" customHeight="1">
      <c r="A389" s="6" t="inlineStr">
        <is>
          <t>CMP-0385</t>
        </is>
      </c>
      <c r="B389" s="5" t="n">
        <v>281</v>
      </c>
      <c r="C389" s="7" t="inlineStr">
        <is>
          <t>SIPEAGRO (UF-XXXXX)</t>
        </is>
      </c>
      <c r="D389" s="8" t="inlineStr">
        <is>
          <t>AGCN SEED ULTRA</t>
        </is>
      </c>
      <c r="E389" s="5" t="n">
        <v>1</v>
      </c>
      <c r="F389" s="7" t="inlineStr">
        <is>
          <t>Nutriente Garantido</t>
        </is>
      </c>
      <c r="G389" s="7" t="inlineStr">
        <is>
          <t>CO 1,5%</t>
        </is>
      </c>
      <c r="H389" s="7" t="inlineStr">
        <is>
          <t>Composição Nutricional Oficial (CO 1,5%)</t>
        </is>
      </c>
      <c r="I389" s="7" t="inlineStr">
        <is>
          <t>Fertilizante Mineral / Organomineral (Lei nº 6.894/1980)</t>
        </is>
      </c>
      <c r="J389" s="7" t="inlineStr">
        <is>
          <t>Nutrição Vegetal SIPEAGRO</t>
        </is>
      </c>
      <c r="K389" s="7" t="inlineStr">
        <is>
          <t>Fornecimento de macro e micronutrientes essenciais ao metabolismo vegetal</t>
        </is>
      </c>
      <c r="L389" s="17" t="n">
        <v>1.5</v>
      </c>
      <c r="M389" s="7" t="inlineStr">
        <is>
          <t>% m/m</t>
        </is>
      </c>
      <c r="N389" s="7" t="inlineStr">
        <is>
          <t>Registro Técnico Vinculado MAPA</t>
        </is>
      </c>
    </row>
    <row r="390" ht="22" customHeight="1">
      <c r="A390" s="12" t="inlineStr">
        <is>
          <t>CMP-0386</t>
        </is>
      </c>
      <c r="B390" s="11" t="n">
        <v>281</v>
      </c>
      <c r="C390" s="13" t="inlineStr">
        <is>
          <t>SIPEAGRO (UF-XXXXX)</t>
        </is>
      </c>
      <c r="D390" s="14" t="inlineStr">
        <is>
          <t>AGCN SEED ULTRA</t>
        </is>
      </c>
      <c r="E390" s="11" t="n">
        <v>2</v>
      </c>
      <c r="F390" s="13" t="inlineStr">
        <is>
          <t>Nutriente Garantido</t>
        </is>
      </c>
      <c r="G390" s="13" t="inlineStr">
        <is>
          <t>MO 6%</t>
        </is>
      </c>
      <c r="H390" s="13" t="inlineStr">
        <is>
          <t>Composição Nutricional Oficial (MO 6%)</t>
        </is>
      </c>
      <c r="I390" s="13" t="inlineStr">
        <is>
          <t>Fertilizante Mineral / Organomineral (Lei nº 6.894/1980)</t>
        </is>
      </c>
      <c r="J390" s="13" t="inlineStr">
        <is>
          <t>Nutrição Vegetal SIPEAGRO</t>
        </is>
      </c>
      <c r="K390" s="13" t="inlineStr">
        <is>
          <t>Fornecimento de macro e micronutrientes essenciais ao metabolismo vegetal</t>
        </is>
      </c>
      <c r="L390" s="15" t="n">
        <v>6</v>
      </c>
      <c r="M390" s="13" t="inlineStr">
        <is>
          <t>% m/m</t>
        </is>
      </c>
      <c r="N390" s="13" t="inlineStr">
        <is>
          <t>Registro Técnico Vinculado MAPA</t>
        </is>
      </c>
    </row>
    <row r="391" ht="22" customHeight="1">
      <c r="A391" s="6" t="inlineStr">
        <is>
          <t>CMP-0387</t>
        </is>
      </c>
      <c r="B391" s="5" t="n">
        <v>281</v>
      </c>
      <c r="C391" s="7" t="inlineStr">
        <is>
          <t>SIPEAGRO (UF-XXXXX)</t>
        </is>
      </c>
      <c r="D391" s="8" t="inlineStr">
        <is>
          <t>AGCN SEED ULTRA</t>
        </is>
      </c>
      <c r="E391" s="5" t="n">
        <v>3</v>
      </c>
      <c r="F391" s="7" t="inlineStr">
        <is>
          <t>Nutriente Garantido</t>
        </is>
      </c>
      <c r="G391" s="7" t="inlineStr">
        <is>
          <t>NI 0,5%</t>
        </is>
      </c>
      <c r="H391" s="7" t="inlineStr">
        <is>
          <t>Composição Nutricional Oficial (NI 0,5%)</t>
        </is>
      </c>
      <c r="I391" s="7" t="inlineStr">
        <is>
          <t>Fertilizante Mineral / Organomineral (Lei nº 6.894/1980)</t>
        </is>
      </c>
      <c r="J391" s="7" t="inlineStr">
        <is>
          <t>Nutrição Vegetal SIPEAGRO</t>
        </is>
      </c>
      <c r="K391" s="7" t="inlineStr">
        <is>
          <t>Fornecimento de macro e micronutrientes essenciais ao metabolismo vegetal</t>
        </is>
      </c>
      <c r="L391" s="17" t="n">
        <v>0.5</v>
      </c>
      <c r="M391" s="7" t="inlineStr">
        <is>
          <t>% m/m</t>
        </is>
      </c>
      <c r="N391" s="7" t="inlineStr">
        <is>
          <t>Registro Técnico Vinculado MAPA</t>
        </is>
      </c>
    </row>
    <row r="392" ht="22" customHeight="1">
      <c r="A392" s="12" t="inlineStr">
        <is>
          <t>CMP-0388</t>
        </is>
      </c>
      <c r="B392" s="11" t="n">
        <v>281</v>
      </c>
      <c r="C392" s="13" t="inlineStr">
        <is>
          <t>SIPEAGRO (UF-XXXXX)</t>
        </is>
      </c>
      <c r="D392" s="14" t="inlineStr">
        <is>
          <t>AGCN SEED ULTRA</t>
        </is>
      </c>
      <c r="E392" s="11" t="n">
        <v>4</v>
      </c>
      <c r="F392" s="13" t="inlineStr">
        <is>
          <t>Nutriente Garantido</t>
        </is>
      </c>
      <c r="G392" s="13" t="inlineStr">
        <is>
          <t>ZN 2,5%</t>
        </is>
      </c>
      <c r="H392" s="13" t="inlineStr">
        <is>
          <t>Composição Nutricional Oficial (ZN 2,5%)</t>
        </is>
      </c>
      <c r="I392" s="13" t="inlineStr">
        <is>
          <t>Fertilizante Mineral / Organomineral (Lei nº 6.894/1980)</t>
        </is>
      </c>
      <c r="J392" s="13" t="inlineStr">
        <is>
          <t>Nutrição Vegetal SIPEAGRO</t>
        </is>
      </c>
      <c r="K392" s="13" t="inlineStr">
        <is>
          <t>Fornecimento de macro e micronutrientes essenciais ao metabolismo vegetal</t>
        </is>
      </c>
      <c r="L392" s="18" t="n">
        <v>2.5</v>
      </c>
      <c r="M392" s="13" t="inlineStr">
        <is>
          <t>% m/m</t>
        </is>
      </c>
      <c r="N392" s="13" t="inlineStr">
        <is>
          <t>Registro Técnico Vinculado MAPA</t>
        </is>
      </c>
    </row>
    <row r="393" ht="22" customHeight="1">
      <c r="A393" s="6" t="inlineStr">
        <is>
          <t>CMP-0389</t>
        </is>
      </c>
      <c r="B393" s="5" t="n">
        <v>281</v>
      </c>
      <c r="C393" s="7" t="inlineStr">
        <is>
          <t>SIPEAGRO (UF-XXXXX)</t>
        </is>
      </c>
      <c r="D393" s="8" t="inlineStr">
        <is>
          <t>AGCN SEED ULTRA</t>
        </is>
      </c>
      <c r="E393" s="5" t="n">
        <v>5</v>
      </c>
      <c r="F393" s="7" t="inlineStr">
        <is>
          <t>Nutriente Garantido</t>
        </is>
      </c>
      <c r="G393" s="7" t="inlineStr">
        <is>
          <t>AA 25%</t>
        </is>
      </c>
      <c r="H393" s="7" t="inlineStr">
        <is>
          <t>Composição Nutricional Oficial (AA 25%)</t>
        </is>
      </c>
      <c r="I393" s="7" t="inlineStr">
        <is>
          <t>Fertilizante Mineral / Organomineral (Lei nº 6.894/1980)</t>
        </is>
      </c>
      <c r="J393" s="7" t="inlineStr">
        <is>
          <t>Nutrição Vegetal SIPEAGRO</t>
        </is>
      </c>
      <c r="K393" s="7" t="inlineStr">
        <is>
          <t>Fornecimento de macro e micronutrientes essenciais ao metabolismo vegetal</t>
        </is>
      </c>
      <c r="L393" s="9" t="n">
        <v>25</v>
      </c>
      <c r="M393" s="7" t="inlineStr">
        <is>
          <t>% m/m</t>
        </is>
      </c>
      <c r="N393" s="7" t="inlineStr">
        <is>
          <t>Registro Técnico Vinculado MAPA</t>
        </is>
      </c>
    </row>
    <row r="394" ht="22" customHeight="1">
      <c r="A394" s="12" t="inlineStr">
        <is>
          <t>CMP-0390</t>
        </is>
      </c>
      <c r="B394" s="11" t="n">
        <v>281</v>
      </c>
      <c r="C394" s="13" t="inlineStr">
        <is>
          <t>SIPEAGRO (UF-XXXXX)</t>
        </is>
      </c>
      <c r="D394" s="14" t="inlineStr">
        <is>
          <t>AGCN SEED ULTRA</t>
        </is>
      </c>
      <c r="E394" s="11" t="n">
        <v>6</v>
      </c>
      <c r="F394" s="13" t="inlineStr">
        <is>
          <t>Nutriente Garantido</t>
        </is>
      </c>
      <c r="G394" s="13" t="inlineStr">
        <is>
          <t>HORMONIOS</t>
        </is>
      </c>
      <c r="H394" s="13" t="inlineStr">
        <is>
          <t>Composição Nutricional Oficial (HORMONIOS)</t>
        </is>
      </c>
      <c r="I394" s="13" t="inlineStr">
        <is>
          <t>Fertilizante Mineral / Organomineral (Lei nº 6.894/1980)</t>
        </is>
      </c>
      <c r="J394" s="13" t="inlineStr">
        <is>
          <t>Nutrição Vegetal SIPEAGRO</t>
        </is>
      </c>
      <c r="K394" s="13" t="inlineStr">
        <is>
          <t>Fornecimento de macro e micronutrientes essenciais ao metabolismo vegetal</t>
        </is>
      </c>
      <c r="L394" s="18" t="n">
        <v>0.5</v>
      </c>
      <c r="M394" s="13" t="inlineStr">
        <is>
          <t>% m/m</t>
        </is>
      </c>
      <c r="N394" s="13" t="inlineStr">
        <is>
          <t>Registro Técnico Vinculado MAPA</t>
        </is>
      </c>
    </row>
    <row r="395" ht="22" customHeight="1">
      <c r="A395" s="6" t="inlineStr">
        <is>
          <t>CMP-0391</t>
        </is>
      </c>
      <c r="B395" s="5" t="n">
        <v>282</v>
      </c>
      <c r="C395" s="7" t="inlineStr">
        <is>
          <t>SIPEAGRO (UF-XXXXX)</t>
        </is>
      </c>
      <c r="D395" s="8" t="inlineStr">
        <is>
          <t>AGCN FULL ULTRA</t>
        </is>
      </c>
      <c r="E395" s="5" t="n">
        <v>1</v>
      </c>
      <c r="F395" s="7" t="inlineStr">
        <is>
          <t>Nutriente Garantido</t>
        </is>
      </c>
      <c r="G395" s="7" t="inlineStr">
        <is>
          <t>N15%</t>
        </is>
      </c>
      <c r="H395" s="7" t="inlineStr">
        <is>
          <t>Composição Nutricional Oficial (N15%)</t>
        </is>
      </c>
      <c r="I395" s="7" t="inlineStr">
        <is>
          <t>Fertilizante Mineral / Organomineral (Lei nº 6.894/1980)</t>
        </is>
      </c>
      <c r="J395" s="7" t="inlineStr">
        <is>
          <t>Nutrição Vegetal SIPEAGRO</t>
        </is>
      </c>
      <c r="K395" s="7" t="inlineStr">
        <is>
          <t>Fornecimento de macro e micronutrientes essenciais ao metabolismo vegetal</t>
        </is>
      </c>
      <c r="L395" s="9" t="n">
        <v>15</v>
      </c>
      <c r="M395" s="7" t="inlineStr">
        <is>
          <t>% m/m</t>
        </is>
      </c>
      <c r="N395" s="7" t="inlineStr">
        <is>
          <t>Registro Técnico Vinculado MAPA</t>
        </is>
      </c>
    </row>
    <row r="396" ht="22" customHeight="1">
      <c r="A396" s="12" t="inlineStr">
        <is>
          <t>CMP-0392</t>
        </is>
      </c>
      <c r="B396" s="11" t="n">
        <v>282</v>
      </c>
      <c r="C396" s="13" t="inlineStr">
        <is>
          <t>SIPEAGRO (UF-XXXXX)</t>
        </is>
      </c>
      <c r="D396" s="14" t="inlineStr">
        <is>
          <t>AGCN FULL ULTRA</t>
        </is>
      </c>
      <c r="E396" s="11" t="n">
        <v>2</v>
      </c>
      <c r="F396" s="13" t="inlineStr">
        <is>
          <t>Nutriente Garantido</t>
        </is>
      </c>
      <c r="G396" s="13" t="inlineStr">
        <is>
          <t>P5%</t>
        </is>
      </c>
      <c r="H396" s="13" t="inlineStr">
        <is>
          <t>Composição Nutricional Oficial (P5%)</t>
        </is>
      </c>
      <c r="I396" s="13" t="inlineStr">
        <is>
          <t>Fertilizante Mineral / Organomineral (Lei nº 6.894/1980)</t>
        </is>
      </c>
      <c r="J396" s="13" t="inlineStr">
        <is>
          <t>Nutrição Vegetal SIPEAGRO</t>
        </is>
      </c>
      <c r="K396" s="13" t="inlineStr">
        <is>
          <t>Fornecimento de macro e micronutrientes essenciais ao metabolismo vegetal</t>
        </is>
      </c>
      <c r="L396" s="15" t="n">
        <v>5</v>
      </c>
      <c r="M396" s="13" t="inlineStr">
        <is>
          <t>% m/m</t>
        </is>
      </c>
      <c r="N396" s="13" t="inlineStr">
        <is>
          <t>Registro Técnico Vinculado MAPA</t>
        </is>
      </c>
    </row>
    <row r="397" ht="22" customHeight="1">
      <c r="A397" s="6" t="inlineStr">
        <is>
          <t>CMP-0393</t>
        </is>
      </c>
      <c r="B397" s="5" t="n">
        <v>282</v>
      </c>
      <c r="C397" s="7" t="inlineStr">
        <is>
          <t>SIPEAGRO (UF-XXXXX)</t>
        </is>
      </c>
      <c r="D397" s="8" t="inlineStr">
        <is>
          <t>AGCN FULL ULTRA</t>
        </is>
      </c>
      <c r="E397" s="5" t="n">
        <v>3</v>
      </c>
      <c r="F397" s="7" t="inlineStr">
        <is>
          <t>Nutriente Garantido</t>
        </is>
      </c>
      <c r="G397" s="7" t="inlineStr">
        <is>
          <t>K2O 5%</t>
        </is>
      </c>
      <c r="H397" s="7" t="inlineStr">
        <is>
          <t>Composição Nutricional Oficial (K205%)</t>
        </is>
      </c>
      <c r="I397" s="7" t="inlineStr">
        <is>
          <t>Fertilizante Mineral / Organomineral (Lei nº 6.894/1980)</t>
        </is>
      </c>
      <c r="J397" s="7" t="inlineStr">
        <is>
          <t>Nutrição Vegetal SIPEAGRO</t>
        </is>
      </c>
      <c r="K397" s="7" t="inlineStr">
        <is>
          <t>Fornecimento de macro e micronutrientes essenciais ao metabolismo vegetal</t>
        </is>
      </c>
      <c r="L397" s="9" t="n">
        <v>5</v>
      </c>
      <c r="M397" s="7" t="inlineStr">
        <is>
          <t>% m/m</t>
        </is>
      </c>
      <c r="N397" s="7" t="inlineStr">
        <is>
          <t>Registro Técnico Vinculado MAPA</t>
        </is>
      </c>
    </row>
    <row r="398" ht="22" customHeight="1">
      <c r="A398" s="12" t="inlineStr">
        <is>
          <t>CMP-0394</t>
        </is>
      </c>
      <c r="B398" s="11" t="n">
        <v>282</v>
      </c>
      <c r="C398" s="13" t="inlineStr">
        <is>
          <t>SIPEAGRO (UF-XXXXX)</t>
        </is>
      </c>
      <c r="D398" s="14" t="inlineStr">
        <is>
          <t>AGCN FULL ULTRA</t>
        </is>
      </c>
      <c r="E398" s="11" t="n">
        <v>4</v>
      </c>
      <c r="F398" s="13" t="inlineStr">
        <is>
          <t>Nutriente Garantido</t>
        </is>
      </c>
      <c r="G398" s="13" t="inlineStr">
        <is>
          <t>CA1%</t>
        </is>
      </c>
      <c r="H398" s="13" t="inlineStr">
        <is>
          <t>Composição Nutricional Oficial (CA1%)</t>
        </is>
      </c>
      <c r="I398" s="13" t="inlineStr">
        <is>
          <t>Fertilizante Mineral / Organomineral (Lei nº 6.894/1980)</t>
        </is>
      </c>
      <c r="J398" s="13" t="inlineStr">
        <is>
          <t>Nutrição Vegetal SIPEAGRO</t>
        </is>
      </c>
      <c r="K398" s="13" t="inlineStr">
        <is>
          <t>Fornecimento de macro e micronutrientes essenciais ao metabolismo vegetal</t>
        </is>
      </c>
      <c r="L398" s="15" t="n">
        <v>1</v>
      </c>
      <c r="M398" s="13" t="inlineStr">
        <is>
          <t>% m/m</t>
        </is>
      </c>
      <c r="N398" s="13" t="inlineStr">
        <is>
          <t>Registro Técnico Vinculado MAPA</t>
        </is>
      </c>
    </row>
    <row r="399" ht="22" customHeight="1">
      <c r="A399" s="6" t="inlineStr">
        <is>
          <t>CMP-0395</t>
        </is>
      </c>
      <c r="B399" s="5" t="n">
        <v>282</v>
      </c>
      <c r="C399" s="7" t="inlineStr">
        <is>
          <t>SIPEAGRO (UF-XXXXX)</t>
        </is>
      </c>
      <c r="D399" s="8" t="inlineStr">
        <is>
          <t>AGCN FULL ULTRA</t>
        </is>
      </c>
      <c r="E399" s="5" t="n">
        <v>5</v>
      </c>
      <c r="F399" s="7" t="inlineStr">
        <is>
          <t>Nutriente Garantido</t>
        </is>
      </c>
      <c r="G399" s="7" t="inlineStr">
        <is>
          <t>MG1%</t>
        </is>
      </c>
      <c r="H399" s="7" t="inlineStr">
        <is>
          <t>Composição Nutricional Oficial (MG1%)</t>
        </is>
      </c>
      <c r="I399" s="7" t="inlineStr">
        <is>
          <t>Fertilizante Mineral / Organomineral (Lei nº 6.894/1980)</t>
        </is>
      </c>
      <c r="J399" s="7" t="inlineStr">
        <is>
          <t>Nutrição Vegetal SIPEAGRO</t>
        </is>
      </c>
      <c r="K399" s="7" t="inlineStr">
        <is>
          <t>Fornecimento de macro e micronutrientes essenciais ao metabolismo vegetal</t>
        </is>
      </c>
      <c r="L399" s="9" t="n">
        <v>1</v>
      </c>
      <c r="M399" s="7" t="inlineStr">
        <is>
          <t>% m/m</t>
        </is>
      </c>
      <c r="N399" s="7" t="inlineStr">
        <is>
          <t>Registro Técnico Vinculado MAPA</t>
        </is>
      </c>
    </row>
    <row r="400" ht="22" customHeight="1">
      <c r="A400" s="12" t="inlineStr">
        <is>
          <t>CMP-0396</t>
        </is>
      </c>
      <c r="B400" s="11" t="n">
        <v>282</v>
      </c>
      <c r="C400" s="13" t="inlineStr">
        <is>
          <t>SIPEAGRO (UF-XXXXX)</t>
        </is>
      </c>
      <c r="D400" s="14" t="inlineStr">
        <is>
          <t>AGCN FULL ULTRA</t>
        </is>
      </c>
      <c r="E400" s="11" t="n">
        <v>6</v>
      </c>
      <c r="F400" s="13" t="inlineStr">
        <is>
          <t>Nutriente Garantido</t>
        </is>
      </c>
      <c r="G400" s="13" t="inlineStr">
        <is>
          <t>B0,04%</t>
        </is>
      </c>
      <c r="H400" s="13" t="inlineStr">
        <is>
          <t>Composição Nutricional Oficial (B0,04%)</t>
        </is>
      </c>
      <c r="I400" s="13" t="inlineStr">
        <is>
          <t>Fertilizante Mineral / Organomineral (Lei nº 6.894/1980)</t>
        </is>
      </c>
      <c r="J400" s="13" t="inlineStr">
        <is>
          <t>Nutrição Vegetal SIPEAGRO</t>
        </is>
      </c>
      <c r="K400" s="13" t="inlineStr">
        <is>
          <t>Fornecimento de macro e micronutrientes essenciais ao metabolismo vegetal</t>
        </is>
      </c>
      <c r="L400" s="18" t="n">
        <v>0.04</v>
      </c>
      <c r="M400" s="13" t="inlineStr">
        <is>
          <t>% m/m</t>
        </is>
      </c>
      <c r="N400" s="13" t="inlineStr">
        <is>
          <t>Registro Técnico Vinculado MAPA</t>
        </is>
      </c>
    </row>
    <row r="401" ht="22" customHeight="1">
      <c r="A401" s="6" t="inlineStr">
        <is>
          <t>CMP-0397</t>
        </is>
      </c>
      <c r="B401" s="5" t="n">
        <v>282</v>
      </c>
      <c r="C401" s="7" t="inlineStr">
        <is>
          <t>SIPEAGRO (UF-XXXXX)</t>
        </is>
      </c>
      <c r="D401" s="8" t="inlineStr">
        <is>
          <t>AGCN FULL ULTRA</t>
        </is>
      </c>
      <c r="E401" s="5" t="n">
        <v>7</v>
      </c>
      <c r="F401" s="7" t="inlineStr">
        <is>
          <t>Nutriente Garantido</t>
        </is>
      </c>
      <c r="G401" s="7" t="inlineStr">
        <is>
          <t>COT</t>
        </is>
      </c>
      <c r="H401" s="7" t="inlineStr">
        <is>
          <t>Composição Nutricional Oficial (COT)</t>
        </is>
      </c>
      <c r="I401" s="7" t="inlineStr">
        <is>
          <t>Fertilizante Mineral / Organomineral (Lei nº 6.894/1980)</t>
        </is>
      </c>
      <c r="J401" s="7" t="inlineStr">
        <is>
          <t>Nutrição Vegetal SIPEAGRO</t>
        </is>
      </c>
      <c r="K401" s="7" t="inlineStr">
        <is>
          <t>Fornecimento de macro e micronutrientes essenciais ao metabolismo vegetal</t>
        </is>
      </c>
      <c r="L401" s="9" t="n">
        <v>8</v>
      </c>
      <c r="M401" s="7" t="inlineStr">
        <is>
          <t>% m/m</t>
        </is>
      </c>
      <c r="N401" s="7" t="inlineStr">
        <is>
          <t>Registro Técnico Vinculado MAPA</t>
        </is>
      </c>
    </row>
    <row r="402" ht="22" customHeight="1">
      <c r="A402" s="12" t="inlineStr">
        <is>
          <t>CMP-0398</t>
        </is>
      </c>
      <c r="B402" s="11" t="n">
        <v>282</v>
      </c>
      <c r="C402" s="13" t="inlineStr">
        <is>
          <t>SIPEAGRO (UF-XXXXX)</t>
        </is>
      </c>
      <c r="D402" s="14" t="inlineStr">
        <is>
          <t>AGCN FULL ULTRA</t>
        </is>
      </c>
      <c r="E402" s="11" t="n">
        <v>8</v>
      </c>
      <c r="F402" s="13" t="inlineStr">
        <is>
          <t>Nutriente Garantido</t>
        </is>
      </c>
      <c r="G402" s="13" t="inlineStr">
        <is>
          <t>4%EXT. ALGA</t>
        </is>
      </c>
      <c r="H402" s="13" t="inlineStr">
        <is>
          <t>Composição Nutricional Oficial (4%EXT. ALGA)</t>
        </is>
      </c>
      <c r="I402" s="13" t="inlineStr">
        <is>
          <t>Fertilizante Mineral / Organomineral (Lei nº 6.894/1980)</t>
        </is>
      </c>
      <c r="J402" s="13" t="inlineStr">
        <is>
          <t>Nutrição Vegetal SIPEAGRO</t>
        </is>
      </c>
      <c r="K402" s="13" t="inlineStr">
        <is>
          <t>Fornecimento de macro e micronutrientes essenciais ao metabolismo vegetal</t>
        </is>
      </c>
      <c r="L402" s="15" t="n">
        <v>4</v>
      </c>
      <c r="M402" s="13" t="inlineStr">
        <is>
          <t>% m/m</t>
        </is>
      </c>
      <c r="N402" s="13" t="inlineStr">
        <is>
          <t>Registro Técnico Vinculado MAPA</t>
        </is>
      </c>
    </row>
    <row r="403" ht="22" customHeight="1">
      <c r="A403" s="6" t="inlineStr">
        <is>
          <t>CMP-0399</t>
        </is>
      </c>
      <c r="B403" s="5" t="n">
        <v>283</v>
      </c>
      <c r="C403" s="7" t="inlineStr">
        <is>
          <t>ISENTO (ATO 104/2017)</t>
        </is>
      </c>
      <c r="D403" s="8" t="inlineStr">
        <is>
          <t>AGCN SAFE SPRAY</t>
        </is>
      </c>
      <c r="E403" s="5" t="n">
        <v>1</v>
      </c>
      <c r="F403" s="7" t="inlineStr">
        <is>
          <t>Ingrediente Ativo Principal</t>
        </is>
      </c>
      <c r="G403" s="7" t="inlineStr">
        <is>
          <t>ADJUVANTE (MULTI FUNCAO)</t>
        </is>
      </c>
      <c r="H403" s="7" t="inlineStr">
        <is>
          <t>Adjuvante Agrícola de Calda (ADJUVANTE (MULTI FUNCAO))</t>
        </is>
      </c>
      <c r="I403" s="7" t="inlineStr">
        <is>
          <t>Éster Metílico / Hidrocarboneto Parafínico / Tensoativo Siliconado</t>
        </is>
      </c>
      <c r="J403" s="7" t="inlineStr">
        <is>
          <t>Adjuvante Tecnológico de Pulverização</t>
        </is>
      </c>
      <c r="K403" s="7" t="inlineStr">
        <is>
          <t>Redução da tensão superficial, espalhamento, anti-deriva e penetração cuticular</t>
        </is>
      </c>
      <c r="L403" s="9" t="n">
        <v>500</v>
      </c>
      <c r="M403" s="7" t="inlineStr">
        <is>
          <t>g/L</t>
        </is>
      </c>
      <c r="N403" s="7" t="inlineStr">
        <is>
          <t>Registro Técnico Vinculado MAPA</t>
        </is>
      </c>
    </row>
    <row r="404" ht="22" customHeight="1">
      <c r="A404" s="12" t="inlineStr">
        <is>
          <t>CMP-0400</t>
        </is>
      </c>
      <c r="B404" s="11" t="n">
        <v>284</v>
      </c>
      <c r="C404" s="13" t="inlineStr">
        <is>
          <t>SIPEAGRO (UF-XXXXX)</t>
        </is>
      </c>
      <c r="D404" s="14" t="inlineStr">
        <is>
          <t>AGCN SEED +</t>
        </is>
      </c>
      <c r="E404" s="11" t="n">
        <v>1</v>
      </c>
      <c r="F404" s="13" t="inlineStr">
        <is>
          <t>Nutriente Garantido</t>
        </is>
      </c>
      <c r="G404" s="13" t="inlineStr">
        <is>
          <t>Mo:15,0%</t>
        </is>
      </c>
      <c r="H404" s="13" t="inlineStr">
        <is>
          <t>Composição Nutricional Oficial (Mo:15,0%)</t>
        </is>
      </c>
      <c r="I404" s="13" t="inlineStr">
        <is>
          <t>Fertilizante Mineral / Organomineral (Lei nº 6.894/1980)</t>
        </is>
      </c>
      <c r="J404" s="13" t="inlineStr">
        <is>
          <t>Nutrição Vegetal SIPEAGRO</t>
        </is>
      </c>
      <c r="K404" s="13" t="inlineStr">
        <is>
          <t>Fornecimento de macro e micronutrientes essenciais ao metabolismo vegetal</t>
        </is>
      </c>
      <c r="L404" s="15" t="n">
        <v>15</v>
      </c>
      <c r="M404" s="13" t="inlineStr">
        <is>
          <t>% m/m</t>
        </is>
      </c>
      <c r="N404" s="13" t="inlineStr">
        <is>
          <t>Registro Técnico Vinculado MAPA</t>
        </is>
      </c>
    </row>
    <row r="405" ht="22" customHeight="1">
      <c r="A405" s="6" t="inlineStr">
        <is>
          <t>CMP-0401</t>
        </is>
      </c>
      <c r="B405" s="5" t="n">
        <v>284</v>
      </c>
      <c r="C405" s="7" t="inlineStr">
        <is>
          <t>SIPEAGRO (UF-XXXXX)</t>
        </is>
      </c>
      <c r="D405" s="8" t="inlineStr">
        <is>
          <t>AGCN SEED +</t>
        </is>
      </c>
      <c r="E405" s="5" t="n">
        <v>2</v>
      </c>
      <c r="F405" s="7" t="inlineStr">
        <is>
          <t>Nutriente Garantido</t>
        </is>
      </c>
      <c r="G405" s="7" t="inlineStr">
        <is>
          <t>Co:1,5%</t>
        </is>
      </c>
      <c r="H405" s="7" t="inlineStr">
        <is>
          <t>Composição Nutricional Oficial (Co:1,5%)</t>
        </is>
      </c>
      <c r="I405" s="7" t="inlineStr">
        <is>
          <t>Fertilizante Mineral / Organomineral (Lei nº 6.894/1980)</t>
        </is>
      </c>
      <c r="J405" s="7" t="inlineStr">
        <is>
          <t>Nutrição Vegetal SIPEAGRO</t>
        </is>
      </c>
      <c r="K405" s="7" t="inlineStr">
        <is>
          <t>Fornecimento de macro e micronutrientes essenciais ao metabolismo vegetal</t>
        </is>
      </c>
      <c r="L405" s="17" t="n">
        <v>1.5</v>
      </c>
      <c r="M405" s="7" t="inlineStr">
        <is>
          <t>% m/m</t>
        </is>
      </c>
      <c r="N405" s="7" t="inlineStr">
        <is>
          <t>Registro Técnico Vinculado MAPA</t>
        </is>
      </c>
    </row>
    <row r="406" ht="22" customHeight="1">
      <c r="A406" s="12" t="inlineStr">
        <is>
          <t>CMP-0402</t>
        </is>
      </c>
      <c r="B406" s="11" t="n">
        <v>285</v>
      </c>
      <c r="C406" s="13" t="inlineStr">
        <is>
          <t>SIPEAGRO (UF-XXXXX)</t>
        </is>
      </c>
      <c r="D406" s="14" t="inlineStr">
        <is>
          <t>SULFATO DE ZINCO</t>
        </is>
      </c>
      <c r="E406" s="11" t="n">
        <v>1</v>
      </c>
      <c r="F406" s="13" t="inlineStr">
        <is>
          <t>Nutriente Garantido</t>
        </is>
      </c>
      <c r="G406" s="13" t="inlineStr">
        <is>
          <t>SULFATO DE ZINCO HEPTAHIDRATADO (ZnSO4.7H2O — Garantia 20% Zn e 9% S)</t>
        </is>
      </c>
      <c r="H406" s="13" t="inlineStr">
        <is>
          <t>Composição Nutricional Oficial (ZnSO4.7H20)</t>
        </is>
      </c>
      <c r="I406" s="13" t="inlineStr">
        <is>
          <t>Fertilizante Mineral / Organomineral (Lei nº 6.894/1980)</t>
        </is>
      </c>
      <c r="J406" s="13" t="inlineStr">
        <is>
          <t>Nutrição Vegetal SIPEAGRO</t>
        </is>
      </c>
      <c r="K406" s="13" t="inlineStr">
        <is>
          <t>Fornecimento de macro e micronutrientes essenciais ao metabolismo vegetal</t>
        </is>
      </c>
      <c r="L406" s="15" t="n">
        <v>20</v>
      </c>
      <c r="M406" s="13" t="inlineStr">
        <is>
          <t>% m/m</t>
        </is>
      </c>
      <c r="N406" s="13" t="inlineStr">
        <is>
          <t>Registro Técnico Vinculado MAPA</t>
        </is>
      </c>
    </row>
    <row r="407" ht="22" customHeight="1">
      <c r="A407" s="6" t="inlineStr">
        <is>
          <t>CMP-0403</t>
        </is>
      </c>
      <c r="B407" s="5" t="n">
        <v>286</v>
      </c>
      <c r="C407" s="7" t="inlineStr">
        <is>
          <t>SIPEAGRO (UF-XXXXX)</t>
        </is>
      </c>
      <c r="D407" s="8" t="inlineStr">
        <is>
          <t>MAGNESIO ULTRA</t>
        </is>
      </c>
      <c r="E407" s="5" t="n">
        <v>1</v>
      </c>
      <c r="F407" s="7" t="inlineStr">
        <is>
          <t>Nutriente Garantido</t>
        </is>
      </c>
      <c r="G407" s="7" t="inlineStr">
        <is>
          <t>K20 1,00%</t>
        </is>
      </c>
      <c r="H407" s="7" t="inlineStr">
        <is>
          <t>Composição Nutricional Oficial (K20 1,00%)</t>
        </is>
      </c>
      <c r="I407" s="7" t="inlineStr">
        <is>
          <t>Fertilizante Mineral / Organomineral (Lei nº 6.894/1980)</t>
        </is>
      </c>
      <c r="J407" s="7" t="inlineStr">
        <is>
          <t>Nutrição Vegetal SIPEAGRO</t>
        </is>
      </c>
      <c r="K407" s="7" t="inlineStr">
        <is>
          <t>Fornecimento de macro e micronutrientes essenciais ao metabolismo vegetal</t>
        </is>
      </c>
      <c r="L407" s="9" t="n">
        <v>1</v>
      </c>
      <c r="M407" s="7" t="inlineStr">
        <is>
          <t>% m/m</t>
        </is>
      </c>
      <c r="N407" s="7" t="inlineStr">
        <is>
          <t>Registro Técnico Vinculado MAPA</t>
        </is>
      </c>
    </row>
    <row r="408" ht="22" customHeight="1">
      <c r="A408" s="12" t="inlineStr">
        <is>
          <t>CMP-0404</t>
        </is>
      </c>
      <c r="B408" s="11" t="n">
        <v>286</v>
      </c>
      <c r="C408" s="13" t="inlineStr">
        <is>
          <t>SIPEAGRO (UF-XXXXX)</t>
        </is>
      </c>
      <c r="D408" s="14" t="inlineStr">
        <is>
          <t>MAGNESIO ULTRA</t>
        </is>
      </c>
      <c r="E408" s="11" t="n">
        <v>2</v>
      </c>
      <c r="F408" s="13" t="inlineStr">
        <is>
          <t>Nutriente Garantido</t>
        </is>
      </c>
      <c r="G408" s="13" t="inlineStr">
        <is>
          <t>MG9,00%</t>
        </is>
      </c>
      <c r="H408" s="13" t="inlineStr">
        <is>
          <t>Composição Nutricional Oficial (MG9,00%)</t>
        </is>
      </c>
      <c r="I408" s="13" t="inlineStr">
        <is>
          <t>Fertilizante Mineral / Organomineral (Lei nº 6.894/1980)</t>
        </is>
      </c>
      <c r="J408" s="13" t="inlineStr">
        <is>
          <t>Nutrição Vegetal SIPEAGRO</t>
        </is>
      </c>
      <c r="K408" s="13" t="inlineStr">
        <is>
          <t>Fornecimento de macro e micronutrientes essenciais ao metabolismo vegetal</t>
        </is>
      </c>
      <c r="L408" s="15" t="n">
        <v>9</v>
      </c>
      <c r="M408" s="13" t="inlineStr">
        <is>
          <t>% m/m</t>
        </is>
      </c>
      <c r="N408" s="13" t="inlineStr">
        <is>
          <t>Registro Técnico Vinculado MAPA</t>
        </is>
      </c>
    </row>
    <row r="409" ht="22" customHeight="1">
      <c r="A409" s="6" t="inlineStr">
        <is>
          <t>CMP-0405</t>
        </is>
      </c>
      <c r="B409" s="5" t="n">
        <v>286</v>
      </c>
      <c r="C409" s="7" t="inlineStr">
        <is>
          <t>SIPEAGRO (UF-XXXXX)</t>
        </is>
      </c>
      <c r="D409" s="8" t="inlineStr">
        <is>
          <t>MAGNESIO ULTRA</t>
        </is>
      </c>
      <c r="E409" s="5" t="n">
        <v>3</v>
      </c>
      <c r="F409" s="7" t="inlineStr">
        <is>
          <t>Nutriente Garantido</t>
        </is>
      </c>
      <c r="G409" s="7" t="inlineStr">
        <is>
          <t>S 11,80</t>
        </is>
      </c>
      <c r="H409" s="7" t="inlineStr">
        <is>
          <t>Composição Nutricional Oficial (S 11,80)</t>
        </is>
      </c>
      <c r="I409" s="7" t="inlineStr">
        <is>
          <t>Fertilizante Mineral / Organomineral (Lei nº 6.894/1980)</t>
        </is>
      </c>
      <c r="J409" s="7" t="inlineStr">
        <is>
          <t>Nutrição Vegetal SIPEAGRO</t>
        </is>
      </c>
      <c r="K409" s="7" t="inlineStr">
        <is>
          <t>Fornecimento de macro e micronutrientes essenciais ao metabolismo vegetal</t>
        </is>
      </c>
      <c r="L409" s="17" t="n">
        <v>11.8</v>
      </c>
      <c r="M409" s="7" t="inlineStr">
        <is>
          <t>g/kg</t>
        </is>
      </c>
      <c r="N409" s="7" t="inlineStr">
        <is>
          <t>Registro Técnico Vinculado MAPA</t>
        </is>
      </c>
    </row>
    <row r="410" ht="22" customHeight="1">
      <c r="A410" s="12" t="inlineStr">
        <is>
          <t>CMP-0406</t>
        </is>
      </c>
      <c r="B410" s="11" t="n">
        <v>287</v>
      </c>
      <c r="C410" s="13" t="inlineStr">
        <is>
          <t>SIPEAGRO (UF-XXXXX)</t>
        </is>
      </c>
      <c r="D410" s="14" t="inlineStr">
        <is>
          <t>MFL MULTINITROPOTASSIO</t>
        </is>
      </c>
      <c r="E410" s="11" t="n">
        <v>1</v>
      </c>
      <c r="F410" s="13" t="inlineStr">
        <is>
          <t>Nutriente Garantido</t>
        </is>
      </c>
      <c r="G410" s="13" t="inlineStr">
        <is>
          <t>K2O 44,0%</t>
        </is>
      </c>
      <c r="H410" s="13" t="inlineStr">
        <is>
          <t>Composição Nutricional Oficial (K2O 44,0%)</t>
        </is>
      </c>
      <c r="I410" s="13" t="inlineStr">
        <is>
          <t>Fertilizante Mineral / Organomineral (Lei nº 6.894/1980)</t>
        </is>
      </c>
      <c r="J410" s="13" t="inlineStr">
        <is>
          <t>Nutrição Vegetal SIPEAGRO</t>
        </is>
      </c>
      <c r="K410" s="13" t="inlineStr">
        <is>
          <t>Fornecimento de macro e micronutrientes essenciais ao metabolismo vegetal</t>
        </is>
      </c>
      <c r="L410" s="15" t="n">
        <v>44</v>
      </c>
      <c r="M410" s="13" t="inlineStr">
        <is>
          <t>% m/m</t>
        </is>
      </c>
      <c r="N410" s="13" t="inlineStr">
        <is>
          <t>Registro Técnico Vinculado MAPA</t>
        </is>
      </c>
    </row>
    <row r="411" ht="22" customHeight="1">
      <c r="A411" s="6" t="inlineStr">
        <is>
          <t>CMP-0407</t>
        </is>
      </c>
      <c r="B411" s="5" t="n">
        <v>287</v>
      </c>
      <c r="C411" s="7" t="inlineStr">
        <is>
          <t>SIPEAGRO (UF-XXXXX)</t>
        </is>
      </c>
      <c r="D411" s="8" t="inlineStr">
        <is>
          <t>MFL MULTINITROPOTASSIO</t>
        </is>
      </c>
      <c r="E411" s="5" t="n">
        <v>2</v>
      </c>
      <c r="F411" s="7" t="inlineStr">
        <is>
          <t>Nutriente Garantido</t>
        </is>
      </c>
      <c r="G411" s="7" t="inlineStr">
        <is>
          <t>N 12,0%</t>
        </is>
      </c>
      <c r="H411" s="7" t="inlineStr">
        <is>
          <t>Composição Nutricional Oficial (N 12,0%)</t>
        </is>
      </c>
      <c r="I411" s="7" t="inlineStr">
        <is>
          <t>Fertilizante Mineral / Organomineral (Lei nº 6.894/1980)</t>
        </is>
      </c>
      <c r="J411" s="7" t="inlineStr">
        <is>
          <t>Nutrição Vegetal SIPEAGRO</t>
        </is>
      </c>
      <c r="K411" s="7" t="inlineStr">
        <is>
          <t>Fornecimento de macro e micronutrientes essenciais ao metabolismo vegetal</t>
        </is>
      </c>
      <c r="L411" s="9" t="n">
        <v>12</v>
      </c>
      <c r="M411" s="7" t="inlineStr">
        <is>
          <t>% m/m</t>
        </is>
      </c>
      <c r="N411" s="7" t="inlineStr">
        <is>
          <t>Registro Técnico Vinculado MAPA</t>
        </is>
      </c>
    </row>
    <row r="412" ht="22" customHeight="1">
      <c r="A412" s="12" t="inlineStr">
        <is>
          <t>CMP-0408</t>
        </is>
      </c>
      <c r="B412" s="11" t="n">
        <v>288</v>
      </c>
      <c r="C412" s="13" t="inlineStr">
        <is>
          <t>SIPEAGRO (UF-XXXXX)</t>
        </is>
      </c>
      <c r="D412" s="14" t="inlineStr">
        <is>
          <t>AGCN BORO 100</t>
        </is>
      </c>
      <c r="E412" s="11" t="n">
        <v>1</v>
      </c>
      <c r="F412" s="13" t="inlineStr">
        <is>
          <t>Nutriente Garantido</t>
        </is>
      </c>
      <c r="G412" s="13" t="inlineStr">
        <is>
          <t>BORO 10%  - MEA</t>
        </is>
      </c>
      <c r="H412" s="13" t="inlineStr">
        <is>
          <t>Composição Nutricional Oficial (BORO 10%  - MEA)</t>
        </is>
      </c>
      <c r="I412" s="13" t="inlineStr">
        <is>
          <t>Fertilizante Mineral / Organomineral (Lei nº 6.894/1980)</t>
        </is>
      </c>
      <c r="J412" s="13" t="inlineStr">
        <is>
          <t>Nutrição Vegetal SIPEAGRO</t>
        </is>
      </c>
      <c r="K412" s="13" t="inlineStr">
        <is>
          <t>Fornecimento de macro e micronutrientes essenciais ao metabolismo vegetal</t>
        </is>
      </c>
      <c r="L412" s="15" t="n">
        <v>10</v>
      </c>
      <c r="M412" s="13" t="inlineStr">
        <is>
          <t>% m/m</t>
        </is>
      </c>
      <c r="N412" s="13" t="inlineStr">
        <is>
          <t>Registro Técnico Vinculado MAPA</t>
        </is>
      </c>
    </row>
    <row r="413" ht="22" customHeight="1">
      <c r="A413" s="6" t="inlineStr">
        <is>
          <t>CMP-0409</t>
        </is>
      </c>
      <c r="B413" s="5" t="n">
        <v>289</v>
      </c>
      <c r="C413" s="7" t="inlineStr">
        <is>
          <t>ISENTO (ATO 104/2017)</t>
        </is>
      </c>
      <c r="D413" s="8" t="inlineStr">
        <is>
          <t>AGCN EASY OIL</t>
        </is>
      </c>
      <c r="E413" s="5" t="n">
        <v>1</v>
      </c>
      <c r="F413" s="7" t="inlineStr">
        <is>
          <t>Ingrediente Ativo Principal</t>
        </is>
      </c>
      <c r="G413" s="7" t="inlineStr">
        <is>
          <t>ÓLEO MINERAL PARAFÍNICO (Hidrocarbonetos Alifáticos)</t>
        </is>
      </c>
      <c r="H413" s="7" t="inlineStr">
        <is>
          <t>Aliphatic hydrocarbons (Mineral paraffin oil)</t>
        </is>
      </c>
      <c r="I413" s="7" t="inlineStr">
        <is>
          <t>Adjuvante Espalhante e Antievaporante (Óleo Mineral)</t>
        </is>
      </c>
      <c r="J413" s="7" t="inlineStr">
        <is>
          <t>Auxiliar de Tecnologia de Aplicação (Ato SDA 104/2017)</t>
        </is>
      </c>
      <c r="K413" s="7" t="inlineStr">
        <is>
          <t>Redução de deriva, efeito antievaporante e penetração na cutícula foliar</t>
        </is>
      </c>
      <c r="L413" s="9" t="n">
        <v>800</v>
      </c>
      <c r="M413" s="7" t="inlineStr">
        <is>
          <t>g/L</t>
        </is>
      </c>
      <c r="N413" s="7" t="inlineStr">
        <is>
          <t>Registro Técnico Vinculado MAPA</t>
        </is>
      </c>
    </row>
    <row r="414" ht="22" customHeight="1">
      <c r="A414" s="12" t="inlineStr">
        <is>
          <t>CMP-0410</t>
        </is>
      </c>
      <c r="B414" s="11" t="n">
        <v>290</v>
      </c>
      <c r="C414" s="13" t="inlineStr">
        <is>
          <t>SIPEAGRO (UF-XXXXX)</t>
        </is>
      </c>
      <c r="D414" s="14" t="inlineStr">
        <is>
          <t>AGCN MN RR</t>
        </is>
      </c>
      <c r="E414" s="11" t="n">
        <v>1</v>
      </c>
      <c r="F414" s="13" t="inlineStr">
        <is>
          <t>Nutriente Garantido</t>
        </is>
      </c>
      <c r="G414" s="13" t="inlineStr">
        <is>
          <t>MN 7%</t>
        </is>
      </c>
      <c r="H414" s="13" t="inlineStr">
        <is>
          <t>Composição Nutricional Oficial (MN 7%)</t>
        </is>
      </c>
      <c r="I414" s="13" t="inlineStr">
        <is>
          <t>Fertilizante Mineral / Organomineral (Lei nº 6.894/1980)</t>
        </is>
      </c>
      <c r="J414" s="13" t="inlineStr">
        <is>
          <t>Nutrição Vegetal SIPEAGRO</t>
        </is>
      </c>
      <c r="K414" s="13" t="inlineStr">
        <is>
          <t>Fornecimento de macro e micronutrientes essenciais ao metabolismo vegetal</t>
        </is>
      </c>
      <c r="L414" s="15" t="n">
        <v>7</v>
      </c>
      <c r="M414" s="13" t="inlineStr">
        <is>
          <t>% m/m</t>
        </is>
      </c>
      <c r="N414" s="13" t="inlineStr">
        <is>
          <t>Registro Técnico Vinculado MAPA</t>
        </is>
      </c>
    </row>
    <row r="415" ht="22" customHeight="1">
      <c r="A415" s="6" t="inlineStr">
        <is>
          <t>CMP-0411</t>
        </is>
      </c>
      <c r="B415" s="5" t="n">
        <v>290</v>
      </c>
      <c r="C415" s="7" t="inlineStr">
        <is>
          <t>SIPEAGRO (UF-XXXXX)</t>
        </is>
      </c>
      <c r="D415" s="8" t="inlineStr">
        <is>
          <t>AGCN MN RR</t>
        </is>
      </c>
      <c r="E415" s="5" t="n">
        <v>2</v>
      </c>
      <c r="F415" s="7" t="inlineStr">
        <is>
          <t>Nutriente Garantido</t>
        </is>
      </c>
      <c r="G415" s="7" t="inlineStr">
        <is>
          <t>S 4%</t>
        </is>
      </c>
      <c r="H415" s="7" t="inlineStr">
        <is>
          <t>Composição Nutricional Oficial (S 4%)</t>
        </is>
      </c>
      <c r="I415" s="7" t="inlineStr">
        <is>
          <t>Fertilizante Mineral / Organomineral (Lei nº 6.894/1980)</t>
        </is>
      </c>
      <c r="J415" s="7" t="inlineStr">
        <is>
          <t>Nutrição Vegetal SIPEAGRO</t>
        </is>
      </c>
      <c r="K415" s="7" t="inlineStr">
        <is>
          <t>Fornecimento de macro e micronutrientes essenciais ao metabolismo vegetal</t>
        </is>
      </c>
      <c r="L415" s="9" t="n">
        <v>4</v>
      </c>
      <c r="M415" s="7" t="inlineStr">
        <is>
          <t>% m/m</t>
        </is>
      </c>
      <c r="N415" s="7" t="inlineStr">
        <is>
          <t>Registro Técnico Vinculado MAPA</t>
        </is>
      </c>
    </row>
    <row r="416" ht="22" customHeight="1">
      <c r="A416" s="12" t="inlineStr">
        <is>
          <t>CMP-0412</t>
        </is>
      </c>
      <c r="B416" s="11" t="n">
        <v>291</v>
      </c>
      <c r="C416" s="13" t="inlineStr">
        <is>
          <t>SIPEAGRO (UF-XXXXX)</t>
        </is>
      </c>
      <c r="D416" s="14" t="inlineStr">
        <is>
          <t>AGCN MN RR 100</t>
        </is>
      </c>
      <c r="E416" s="11" t="n">
        <v>1</v>
      </c>
      <c r="F416" s="13" t="inlineStr">
        <is>
          <t>Nutriente Garantido</t>
        </is>
      </c>
      <c r="G416" s="13" t="inlineStr">
        <is>
          <t>MN 7%</t>
        </is>
      </c>
      <c r="H416" s="13" t="inlineStr">
        <is>
          <t>Composição Nutricional Oficial (MN 7%)</t>
        </is>
      </c>
      <c r="I416" s="13" t="inlineStr">
        <is>
          <t>Fertilizante Mineral / Organomineral (Lei nº 6.894/1980)</t>
        </is>
      </c>
      <c r="J416" s="13" t="inlineStr">
        <is>
          <t>Nutrição Vegetal SIPEAGRO</t>
        </is>
      </c>
      <c r="K416" s="13" t="inlineStr">
        <is>
          <t>Fornecimento de macro e micronutrientes essenciais ao metabolismo vegetal</t>
        </is>
      </c>
      <c r="L416" s="15" t="n">
        <v>7</v>
      </c>
      <c r="M416" s="13" t="inlineStr">
        <is>
          <t>% m/m</t>
        </is>
      </c>
      <c r="N416" s="13" t="inlineStr">
        <is>
          <t>Registro Técnico Vinculado MAPA</t>
        </is>
      </c>
    </row>
    <row r="417" ht="22" customHeight="1">
      <c r="A417" s="6" t="inlineStr">
        <is>
          <t>CMP-0413</t>
        </is>
      </c>
      <c r="B417" s="5" t="n">
        <v>291</v>
      </c>
      <c r="C417" s="7" t="inlineStr">
        <is>
          <t>SIPEAGRO (UF-XXXXX)</t>
        </is>
      </c>
      <c r="D417" s="8" t="inlineStr">
        <is>
          <t>AGCN MN RR 100</t>
        </is>
      </c>
      <c r="E417" s="5" t="n">
        <v>2</v>
      </c>
      <c r="F417" s="7" t="inlineStr">
        <is>
          <t>Nutriente Garantido</t>
        </is>
      </c>
      <c r="G417" s="7" t="inlineStr">
        <is>
          <t>S 4%</t>
        </is>
      </c>
      <c r="H417" s="7" t="inlineStr">
        <is>
          <t>Composição Nutricional Oficial (S 4%)</t>
        </is>
      </c>
      <c r="I417" s="7" t="inlineStr">
        <is>
          <t>Fertilizante Mineral / Organomineral (Lei nº 6.894/1980)</t>
        </is>
      </c>
      <c r="J417" s="7" t="inlineStr">
        <is>
          <t>Nutrição Vegetal SIPEAGRO</t>
        </is>
      </c>
      <c r="K417" s="7" t="inlineStr">
        <is>
          <t>Fornecimento de macro e micronutrientes essenciais ao metabolismo vegetal</t>
        </is>
      </c>
      <c r="L417" s="9" t="n">
        <v>4</v>
      </c>
      <c r="M417" s="7" t="inlineStr">
        <is>
          <t>% m/m</t>
        </is>
      </c>
      <c r="N417" s="7" t="inlineStr">
        <is>
          <t>Registro Técnico Vinculado MAPA</t>
        </is>
      </c>
    </row>
    <row r="418" ht="22" customHeight="1">
      <c r="A418" s="12" t="inlineStr">
        <is>
          <t>CMP-0414</t>
        </is>
      </c>
      <c r="B418" s="11" t="n">
        <v>292</v>
      </c>
      <c r="C418" s="13" t="inlineStr">
        <is>
          <t>Nº 27717</t>
        </is>
      </c>
      <c r="D418" s="14" t="inlineStr">
        <is>
          <t>FIPRONIL 800 WG AGCN</t>
        </is>
      </c>
      <c r="E418" s="11" t="n">
        <v>1</v>
      </c>
      <c r="F418" s="13" t="inlineStr">
        <is>
          <t>Ingrediente Ativo Principal</t>
        </is>
      </c>
      <c r="G418" s="13" t="inlineStr">
        <is>
          <t>FIPRONIL 800</t>
        </is>
      </c>
      <c r="H418" s="13" t="inlineStr">
        <is>
          <t>(RS)-5-amino-1-(2,6-dichloro-a,a,a-trifluoro-p-tolyl)-4-trifluoromethylsulfinylpyrazole-3-carbonitrile</t>
        </is>
      </c>
      <c r="I418" s="13" t="inlineStr">
        <is>
          <t>Pirazol (Fenilpirazol)</t>
        </is>
      </c>
      <c r="J418" s="13" t="inlineStr">
        <is>
          <t>IRAC Grupo 2B</t>
        </is>
      </c>
      <c r="K418" s="13" t="inlineStr">
        <is>
          <t>Bloqueadores de canais de cloro mediados pelo GABA</t>
        </is>
      </c>
      <c r="L418" s="15" t="n">
        <v>800</v>
      </c>
      <c r="M418" s="13" t="inlineStr">
        <is>
          <t>g/kg</t>
        </is>
      </c>
      <c r="N418" s="13" t="inlineStr">
        <is>
          <t>Registro Técnico Vinculado MAPA</t>
        </is>
      </c>
    </row>
    <row r="419" ht="22" customHeight="1">
      <c r="A419" s="6" t="inlineStr">
        <is>
          <t>CMP-0415</t>
        </is>
      </c>
      <c r="B419" s="5" t="n">
        <v>293</v>
      </c>
      <c r="C419" s="7" t="inlineStr">
        <is>
          <t>Nº 44018</t>
        </is>
      </c>
      <c r="D419" s="8" t="inlineStr">
        <is>
          <t>SUMMIT 250 FS</t>
        </is>
      </c>
      <c r="E419" s="5" t="n">
        <v>1</v>
      </c>
      <c r="F419" s="7" t="inlineStr">
        <is>
          <t>Ingrediente Ativo Principal</t>
        </is>
      </c>
      <c r="G419" s="7" t="inlineStr">
        <is>
          <t>FIPRONIL 250</t>
        </is>
      </c>
      <c r="H419" s="7" t="inlineStr">
        <is>
          <t>(RS)-5-amino-1-(2,6-dichloro-a,a,a-trifluoro-p-tolyl)-4-trifluoromethylsulfinylpyrazole-3-carbonitrile</t>
        </is>
      </c>
      <c r="I419" s="7" t="inlineStr">
        <is>
          <t>Pirazol (Fenilpirazol)</t>
        </is>
      </c>
      <c r="J419" s="7" t="inlineStr">
        <is>
          <t>IRAC Grupo 2B</t>
        </is>
      </c>
      <c r="K419" s="7" t="inlineStr">
        <is>
          <t>Bloqueadores de canais de cloro mediados pelo GABA</t>
        </is>
      </c>
      <c r="L419" s="9" t="n">
        <v>250</v>
      </c>
      <c r="M419" s="7" t="inlineStr">
        <is>
          <t>g/L</t>
        </is>
      </c>
      <c r="N419" s="7" t="inlineStr">
        <is>
          <t>Registro Técnico Vinculado MAPA</t>
        </is>
      </c>
    </row>
    <row r="420" ht="22" customHeight="1">
      <c r="A420" s="12" t="inlineStr">
        <is>
          <t>CMP-0416</t>
        </is>
      </c>
      <c r="B420" s="11" t="n">
        <v>294</v>
      </c>
      <c r="C420" s="13" t="inlineStr">
        <is>
          <t>Nº 10421</t>
        </is>
      </c>
      <c r="D420" s="14" t="inlineStr">
        <is>
          <t>LANEX 800 WG</t>
        </is>
      </c>
      <c r="E420" s="11" t="n">
        <v>1</v>
      </c>
      <c r="F420" s="13" t="inlineStr">
        <is>
          <t>Ingrediente Ativo Principal</t>
        </is>
      </c>
      <c r="G420" s="13" t="inlineStr">
        <is>
          <t>FIPRONIL 800</t>
        </is>
      </c>
      <c r="H420" s="13" t="inlineStr">
        <is>
          <t>(RS)-5-amino-1-(2,6-dichloro-a,a,a-trifluoro-p-tolyl)-4-trifluoromethylsulfinylpyrazole-3-carbonitrile</t>
        </is>
      </c>
      <c r="I420" s="13" t="inlineStr">
        <is>
          <t>Pirazol (Fenilpirazol)</t>
        </is>
      </c>
      <c r="J420" s="13" t="inlineStr">
        <is>
          <t>IRAC Grupo 2B</t>
        </is>
      </c>
      <c r="K420" s="13" t="inlineStr">
        <is>
          <t>Bloqueadores de canais de cloro mediados pelo GABA</t>
        </is>
      </c>
      <c r="L420" s="15" t="n">
        <v>800</v>
      </c>
      <c r="M420" s="13" t="inlineStr">
        <is>
          <t>g/kg</t>
        </is>
      </c>
      <c r="N420" s="13" t="inlineStr">
        <is>
          <t>Registro Técnico Vinculado MAPA</t>
        </is>
      </c>
    </row>
    <row r="421" ht="22" customHeight="1">
      <c r="A421" s="6" t="inlineStr">
        <is>
          <t>CMP-0417</t>
        </is>
      </c>
      <c r="B421" s="5" t="n">
        <v>295</v>
      </c>
      <c r="C421" s="7" t="inlineStr">
        <is>
          <t>Nº 16223</t>
        </is>
      </c>
      <c r="D421" s="8" t="inlineStr">
        <is>
          <t>COMPRAY</t>
        </is>
      </c>
      <c r="E421" s="5" t="n">
        <v>1</v>
      </c>
      <c r="F421" s="7" t="inlineStr">
        <is>
          <t>Ingrediente Ativo Principal</t>
        </is>
      </c>
      <c r="G421" s="7" t="inlineStr">
        <is>
          <t>CLOMAZONA 360</t>
        </is>
      </c>
      <c r="H421" s="7" t="inlineStr">
        <is>
          <t>2-(2-chlorobenzyl)-4,4-dimethyl-1,2-oxazolidin-3-one</t>
        </is>
      </c>
      <c r="I421" s="7" t="inlineStr">
        <is>
          <t>Isoxazolidinona</t>
        </is>
      </c>
      <c r="J421" s="7" t="inlineStr">
        <is>
          <t>HRAC Grupo F4 (13) — Inibidores da DOXP sintase</t>
        </is>
      </c>
      <c r="K421" s="7" t="inlineStr">
        <is>
          <t>Inibidores da 1-deoxi-D-xilulose 5-fosfato sintase (biossíntese de plastoquinona/carotenoides)</t>
        </is>
      </c>
      <c r="L421" s="9" t="n">
        <v>360</v>
      </c>
      <c r="M421" s="7" t="inlineStr">
        <is>
          <t>g/L</t>
        </is>
      </c>
      <c r="N421" s="7" t="inlineStr">
        <is>
          <t>Registro Técnico Vinculado MAPA</t>
        </is>
      </c>
    </row>
    <row r="422" ht="22" customHeight="1">
      <c r="A422" s="12" t="inlineStr">
        <is>
          <t>CMP-0418</t>
        </is>
      </c>
      <c r="B422" s="11" t="n">
        <v>296</v>
      </c>
      <c r="C422" s="13" t="inlineStr">
        <is>
          <t>Nº 31222</t>
        </is>
      </c>
      <c r="D422" s="14" t="inlineStr">
        <is>
          <t>GLINT FULL</t>
        </is>
      </c>
      <c r="E422" s="11" t="n">
        <v>1</v>
      </c>
      <c r="F422" s="13" t="inlineStr">
        <is>
          <t>Ingrediente Ativo Principal</t>
        </is>
      </c>
      <c r="G422" s="13" t="inlineStr">
        <is>
          <t>HALOXIFOPE-P-METILICO 540</t>
        </is>
      </c>
      <c r="H422" s="13" t="inlineStr">
        <is>
          <t>Methyl (R)-2-{4-[3-chloro-5-(trifluoromethyl)-2-pyridyloxy]phenoxy}propionate</t>
        </is>
      </c>
      <c r="I422" s="13" t="inlineStr">
        <is>
          <t>Ariloxifenoxipropionato (FOP)</t>
        </is>
      </c>
      <c r="J422" s="13" t="inlineStr">
        <is>
          <t>HRAC Grupo A (1) — Inibidores da ACCase</t>
        </is>
      </c>
      <c r="K422" s="13" t="inlineStr">
        <is>
          <t>Inibição da enzima acetil-CoA carboxilase (síntese de ácidos graxos)</t>
        </is>
      </c>
      <c r="L422" s="15" t="n">
        <v>540</v>
      </c>
      <c r="M422" s="13" t="inlineStr">
        <is>
          <t>g/L</t>
        </is>
      </c>
      <c r="N422" s="13" t="inlineStr">
        <is>
          <t>Registro Técnico Vinculado MAPA</t>
        </is>
      </c>
    </row>
    <row r="423" ht="22" customHeight="1">
      <c r="A423" s="6" t="inlineStr">
        <is>
          <t>CMP-0419</t>
        </is>
      </c>
      <c r="B423" s="5" t="n">
        <v>297</v>
      </c>
      <c r="C423" s="7" t="inlineStr">
        <is>
          <t>SIPEAGRO (UF-XXXXX)</t>
        </is>
      </c>
      <c r="D423" s="8" t="inlineStr">
        <is>
          <t>AGCN FULL</t>
        </is>
      </c>
      <c r="E423" s="5" t="n">
        <v>1</v>
      </c>
      <c r="F423" s="7" t="inlineStr">
        <is>
          <t>Nutriente Garantido</t>
        </is>
      </c>
      <c r="G423" s="7" t="inlineStr">
        <is>
          <t>MACRO</t>
        </is>
      </c>
      <c r="H423" s="7" t="inlineStr">
        <is>
          <t>Composição Nutricional Oficial (MACRO)</t>
        </is>
      </c>
      <c r="I423" s="7" t="inlineStr">
        <is>
          <t>Fertilizante Mineral / Organomineral (Lei nº 6.894/1980)</t>
        </is>
      </c>
      <c r="J423" s="7" t="inlineStr">
        <is>
          <t>Nutrição Vegetal SIPEAGRO</t>
        </is>
      </c>
      <c r="K423" s="7" t="inlineStr">
        <is>
          <t>Fornecimento de macro e micronutrientes essenciais ao metabolismo vegetal</t>
        </is>
      </c>
      <c r="L423" s="9" t="n">
        <v>12</v>
      </c>
      <c r="M423" s="7" t="inlineStr">
        <is>
          <t>% m/m</t>
        </is>
      </c>
      <c r="N423" s="7" t="inlineStr">
        <is>
          <t>Registro Técnico Vinculado MAPA</t>
        </is>
      </c>
    </row>
    <row r="424" ht="22" customHeight="1">
      <c r="A424" s="12" t="inlineStr">
        <is>
          <t>CMP-0420</t>
        </is>
      </c>
      <c r="B424" s="11" t="n">
        <v>297</v>
      </c>
      <c r="C424" s="13" t="inlineStr">
        <is>
          <t>SIPEAGRO (UF-XXXXX)</t>
        </is>
      </c>
      <c r="D424" s="14" t="inlineStr">
        <is>
          <t>AGCN FULL</t>
        </is>
      </c>
      <c r="E424" s="11" t="n">
        <v>2</v>
      </c>
      <c r="F424" s="13" t="inlineStr">
        <is>
          <t>Nutriente Garantido</t>
        </is>
      </c>
      <c r="G424" s="13" t="inlineStr">
        <is>
          <t>MICRO</t>
        </is>
      </c>
      <c r="H424" s="13" t="inlineStr">
        <is>
          <t>Composição Nutricional Oficial (MICRO)</t>
        </is>
      </c>
      <c r="I424" s="13" t="inlineStr">
        <is>
          <t>Fertilizante Mineral / Organomineral (Lei nº 6.894/1980)</t>
        </is>
      </c>
      <c r="J424" s="13" t="inlineStr">
        <is>
          <t>Nutrição Vegetal SIPEAGRO</t>
        </is>
      </c>
      <c r="K424" s="13" t="inlineStr">
        <is>
          <t>Fornecimento de macro e micronutrientes essenciais ao metabolismo vegetal</t>
        </is>
      </c>
      <c r="L424" s="15" t="n">
        <v>5</v>
      </c>
      <c r="M424" s="13" t="inlineStr">
        <is>
          <t>% m/m</t>
        </is>
      </c>
      <c r="N424" s="13" t="inlineStr">
        <is>
          <t>Registro Técnico Vinculado MAPA</t>
        </is>
      </c>
    </row>
    <row r="425" ht="22" customHeight="1">
      <c r="A425" s="6" t="inlineStr">
        <is>
          <t>CMP-0421</t>
        </is>
      </c>
      <c r="B425" s="5" t="n">
        <v>297</v>
      </c>
      <c r="C425" s="7" t="inlineStr">
        <is>
          <t>SIPEAGRO (UF-XXXXX)</t>
        </is>
      </c>
      <c r="D425" s="8" t="inlineStr">
        <is>
          <t>AGCN FULL</t>
        </is>
      </c>
      <c r="E425" s="5" t="n">
        <v>3</v>
      </c>
      <c r="F425" s="7" t="inlineStr">
        <is>
          <t>Nutriente Garantido</t>
        </is>
      </c>
      <c r="G425" s="7" t="inlineStr">
        <is>
          <t>COT 18%</t>
        </is>
      </c>
      <c r="H425" s="7" t="inlineStr">
        <is>
          <t>Composição Nutricional Oficial (COT 18%)</t>
        </is>
      </c>
      <c r="I425" s="7" t="inlineStr">
        <is>
          <t>Fertilizante Mineral / Organomineral (Lei nº 6.894/1980)</t>
        </is>
      </c>
      <c r="J425" s="7" t="inlineStr">
        <is>
          <t>Nutrição Vegetal SIPEAGRO</t>
        </is>
      </c>
      <c r="K425" s="7" t="inlineStr">
        <is>
          <t>Fornecimento de macro e micronutrientes essenciais ao metabolismo vegetal</t>
        </is>
      </c>
      <c r="L425" s="9" t="n">
        <v>18</v>
      </c>
      <c r="M425" s="7" t="inlineStr">
        <is>
          <t>% m/m</t>
        </is>
      </c>
      <c r="N425" s="7" t="inlineStr">
        <is>
          <t>Registro Técnico Vinculado MAPA</t>
        </is>
      </c>
    </row>
    <row r="426" ht="22" customHeight="1">
      <c r="A426" s="12" t="inlineStr">
        <is>
          <t>CMP-0422</t>
        </is>
      </c>
      <c r="B426" s="11" t="n">
        <v>298</v>
      </c>
      <c r="C426" s="13" t="inlineStr">
        <is>
          <t>ISENTO (ATO 104/2017)</t>
        </is>
      </c>
      <c r="D426" s="14" t="inlineStr">
        <is>
          <t>AGCN SAFE AIR</t>
        </is>
      </c>
      <c r="E426" s="11" t="n">
        <v>1</v>
      </c>
      <c r="F426" s="13" t="inlineStr">
        <is>
          <t>Ingrediente Ativo Principal</t>
        </is>
      </c>
      <c r="G426" s="13" t="inlineStr">
        <is>
          <t>ADJUVANTE</t>
        </is>
      </c>
      <c r="H426" s="13" t="inlineStr">
        <is>
          <t>Adjuvante Agrícola de Calda (ADJUVANTE)</t>
        </is>
      </c>
      <c r="I426" s="13" t="inlineStr">
        <is>
          <t>Éster Metílico / Hidrocarboneto Parafínico / Tensoativo Siliconado</t>
        </is>
      </c>
      <c r="J426" s="13" t="inlineStr">
        <is>
          <t>Adjuvante Tecnológico de Pulverização</t>
        </is>
      </c>
      <c r="K426" s="13" t="inlineStr">
        <is>
          <t>Redução da tensão superficial, espalhamento, anti-deriva e penetração cuticular</t>
        </is>
      </c>
      <c r="L426" s="15" t="n">
        <v>500</v>
      </c>
      <c r="M426" s="13" t="inlineStr">
        <is>
          <t>g/L</t>
        </is>
      </c>
      <c r="N426" s="13" t="inlineStr">
        <is>
          <t>Registro Técnico Vinculado MAPA</t>
        </is>
      </c>
    </row>
    <row r="427" ht="22" customHeight="1">
      <c r="A427" s="6" t="inlineStr">
        <is>
          <t>CMP-0423</t>
        </is>
      </c>
      <c r="B427" s="5" t="n">
        <v>299</v>
      </c>
      <c r="C427" s="7" t="inlineStr">
        <is>
          <t>ISENTO (ATO 104/2017)</t>
        </is>
      </c>
      <c r="D427" s="8" t="inlineStr">
        <is>
          <t>AGCN SAFE SPRAY</t>
        </is>
      </c>
      <c r="E427" s="5" t="n">
        <v>1</v>
      </c>
      <c r="F427" s="7" t="inlineStr">
        <is>
          <t>Ingrediente Ativo Principal</t>
        </is>
      </c>
      <c r="G427" s="7" t="inlineStr">
        <is>
          <t>ADJUVANTE (MULTI FUNCAO)</t>
        </is>
      </c>
      <c r="H427" s="7" t="inlineStr">
        <is>
          <t>Adjuvante Agrícola de Calda (ADJUVANTE (MULTI FUNCAO))</t>
        </is>
      </c>
      <c r="I427" s="7" t="inlineStr">
        <is>
          <t>Éster Metílico / Hidrocarboneto Parafínico / Tensoativo Siliconado</t>
        </is>
      </c>
      <c r="J427" s="7" t="inlineStr">
        <is>
          <t>Adjuvante Tecnológico de Pulverização</t>
        </is>
      </c>
      <c r="K427" s="7" t="inlineStr">
        <is>
          <t>Redução da tensão superficial, espalhamento, anti-deriva e penetração cuticular</t>
        </is>
      </c>
      <c r="L427" s="9" t="n">
        <v>500</v>
      </c>
      <c r="M427" s="7" t="inlineStr">
        <is>
          <t>g/L</t>
        </is>
      </c>
      <c r="N427" s="7" t="inlineStr">
        <is>
          <t>Registro Técnico Vinculado MAPA</t>
        </is>
      </c>
    </row>
    <row r="428" ht="22" customHeight="1">
      <c r="A428" s="12" t="inlineStr">
        <is>
          <t>CMP-0424</t>
        </is>
      </c>
      <c r="B428" s="11" t="n">
        <v>300</v>
      </c>
      <c r="C428" s="13" t="inlineStr">
        <is>
          <t>SIPEAGRO (UF-XXXXX)</t>
        </is>
      </c>
      <c r="D428" s="14" t="inlineStr">
        <is>
          <t>AGCN CAB</t>
        </is>
      </c>
      <c r="E428" s="11" t="n">
        <v>1</v>
      </c>
      <c r="F428" s="13" t="inlineStr">
        <is>
          <t>Nutriente Garantido</t>
        </is>
      </c>
      <c r="G428" s="13" t="inlineStr">
        <is>
          <t>CALCIO</t>
        </is>
      </c>
      <c r="H428" s="13" t="inlineStr">
        <is>
          <t>Composição Nutricional Oficial (CALCIO)</t>
        </is>
      </c>
      <c r="I428" s="13" t="inlineStr">
        <is>
          <t>Fertilizante Mineral / Organomineral (Lei nº 6.894/1980)</t>
        </is>
      </c>
      <c r="J428" s="13" t="inlineStr">
        <is>
          <t>Nutrição Vegetal SIPEAGRO</t>
        </is>
      </c>
      <c r="K428" s="13" t="inlineStr">
        <is>
          <t>Fornecimento de macro e micronutrientes essenciais ao metabolismo vegetal</t>
        </is>
      </c>
      <c r="L428" s="15" t="n">
        <v>100</v>
      </c>
      <c r="M428" s="13" t="inlineStr">
        <is>
          <t>% m/m</t>
        </is>
      </c>
      <c r="N428" s="13" t="inlineStr">
        <is>
          <t>Registro Técnico Vinculado MAPA</t>
        </is>
      </c>
    </row>
    <row r="429" ht="22" customHeight="1">
      <c r="A429" s="6" t="inlineStr">
        <is>
          <t>CMP-0425</t>
        </is>
      </c>
      <c r="B429" s="5" t="n">
        <v>300</v>
      </c>
      <c r="C429" s="7" t="inlineStr">
        <is>
          <t>SIPEAGRO (UF-XXXXX)</t>
        </is>
      </c>
      <c r="D429" s="8" t="inlineStr">
        <is>
          <t>AGCN CAB</t>
        </is>
      </c>
      <c r="E429" s="5" t="n">
        <v>2</v>
      </c>
      <c r="F429" s="7" t="inlineStr">
        <is>
          <t>Nutriente Garantido</t>
        </is>
      </c>
      <c r="G429" s="7" t="inlineStr">
        <is>
          <t>BORO</t>
        </is>
      </c>
      <c r="H429" s="7" t="inlineStr">
        <is>
          <t>Composição Nutricional Oficial (BORO)</t>
        </is>
      </c>
      <c r="I429" s="7" t="inlineStr">
        <is>
          <t>Fertilizante Mineral / Organomineral (Lei nº 6.894/1980)</t>
        </is>
      </c>
      <c r="J429" s="7" t="inlineStr">
        <is>
          <t>Nutrição Vegetal SIPEAGRO</t>
        </is>
      </c>
      <c r="K429" s="7" t="inlineStr">
        <is>
          <t>Fornecimento de macro e micronutrientes essenciais ao metabolismo vegetal</t>
        </is>
      </c>
      <c r="L429" s="9" t="n">
        <v>100</v>
      </c>
      <c r="M429" s="7" t="inlineStr">
        <is>
          <t>% m/m</t>
        </is>
      </c>
      <c r="N429" s="7" t="inlineStr">
        <is>
          <t>Registro Técnico Vinculado MAPA</t>
        </is>
      </c>
    </row>
    <row r="430" ht="22" customHeight="1">
      <c r="A430" s="12" t="inlineStr">
        <is>
          <t>CMP-0426</t>
        </is>
      </c>
      <c r="B430" s="11" t="n">
        <v>301</v>
      </c>
      <c r="C430" s="13" t="inlineStr">
        <is>
          <t>Nº 16223</t>
        </is>
      </c>
      <c r="D430" s="14" t="inlineStr">
        <is>
          <t>GUNTER PRO 360</t>
        </is>
      </c>
      <c r="E430" s="11" t="n">
        <v>1</v>
      </c>
      <c r="F430" s="13" t="inlineStr">
        <is>
          <t>Ingrediente Ativo Principal</t>
        </is>
      </c>
      <c r="G430" s="13" t="inlineStr">
        <is>
          <t>CLOMAZONA 360</t>
        </is>
      </c>
      <c r="H430" s="13" t="inlineStr">
        <is>
          <t>2-(2-chlorobenzyl)-4,4-dimethyl-1,2-oxazolidin-3-one</t>
        </is>
      </c>
      <c r="I430" s="13" t="inlineStr">
        <is>
          <t>Isoxazolidinona</t>
        </is>
      </c>
      <c r="J430" s="13" t="inlineStr">
        <is>
          <t>HRAC Grupo F4 (13) — Inibidores da DOXP sintase</t>
        </is>
      </c>
      <c r="K430" s="13" t="inlineStr">
        <is>
          <t>Inibidores da 1-deoxi-D-xilulose 5-fosfato sintase (biossíntese de plastoquinona/carotenoides)</t>
        </is>
      </c>
      <c r="L430" s="15" t="n">
        <v>360</v>
      </c>
      <c r="M430" s="13" t="inlineStr">
        <is>
          <t>g/L</t>
        </is>
      </c>
      <c r="N430" s="13" t="inlineStr">
        <is>
          <t>Registro Técnico Vinculado MAPA</t>
        </is>
      </c>
    </row>
    <row r="431" ht="22" customHeight="1">
      <c r="A431" s="6" t="inlineStr">
        <is>
          <t>CMP-0427</t>
        </is>
      </c>
      <c r="B431" s="5" t="n">
        <v>302</v>
      </c>
      <c r="C431" s="7" t="inlineStr">
        <is>
          <t>SIPEAGRO (UF-XXXXX)</t>
        </is>
      </c>
      <c r="D431" s="8" t="inlineStr">
        <is>
          <t>AGCN MN+</t>
        </is>
      </c>
      <c r="E431" s="5" t="n">
        <v>1</v>
      </c>
      <c r="F431" s="7" t="inlineStr">
        <is>
          <t>Nutriente Garantido</t>
        </is>
      </c>
      <c r="G431" s="7" t="inlineStr">
        <is>
          <t>MN 5%</t>
        </is>
      </c>
      <c r="H431" s="7" t="inlineStr">
        <is>
          <t>Composição Nutricional Oficial (MN 5%)</t>
        </is>
      </c>
      <c r="I431" s="7" t="inlineStr">
        <is>
          <t>Fertilizante Mineral / Organomineral (Lei nº 6.894/1980)</t>
        </is>
      </c>
      <c r="J431" s="7" t="inlineStr">
        <is>
          <t>Nutrição Vegetal SIPEAGRO</t>
        </is>
      </c>
      <c r="K431" s="7" t="inlineStr">
        <is>
          <t>Fornecimento de macro e micronutrientes essenciais ao metabolismo vegetal</t>
        </is>
      </c>
      <c r="L431" s="9" t="n">
        <v>5</v>
      </c>
      <c r="M431" s="7" t="inlineStr">
        <is>
          <t>% m/m</t>
        </is>
      </c>
      <c r="N431" s="7" t="inlineStr">
        <is>
          <t>Registro Técnico Vinculado MAPA</t>
        </is>
      </c>
    </row>
    <row r="432" ht="22" customHeight="1">
      <c r="A432" s="12" t="inlineStr">
        <is>
          <t>CMP-0428</t>
        </is>
      </c>
      <c r="B432" s="11" t="n">
        <v>302</v>
      </c>
      <c r="C432" s="13" t="inlineStr">
        <is>
          <t>SIPEAGRO (UF-XXXXX)</t>
        </is>
      </c>
      <c r="D432" s="14" t="inlineStr">
        <is>
          <t>AGCN MN+</t>
        </is>
      </c>
      <c r="E432" s="11" t="n">
        <v>2</v>
      </c>
      <c r="F432" s="13" t="inlineStr">
        <is>
          <t>Nutriente Garantido</t>
        </is>
      </c>
      <c r="G432" s="13" t="inlineStr">
        <is>
          <t>N 1%</t>
        </is>
      </c>
      <c r="H432" s="13" t="inlineStr">
        <is>
          <t>Composição Nutricional Oficial (N 1%)</t>
        </is>
      </c>
      <c r="I432" s="13" t="inlineStr">
        <is>
          <t>Fertilizante Mineral / Organomineral (Lei nº 6.894/1980)</t>
        </is>
      </c>
      <c r="J432" s="13" t="inlineStr">
        <is>
          <t>Nutrição Vegetal SIPEAGRO</t>
        </is>
      </c>
      <c r="K432" s="13" t="inlineStr">
        <is>
          <t>Fornecimento de macro e micronutrientes essenciais ao metabolismo vegetal</t>
        </is>
      </c>
      <c r="L432" s="15" t="n">
        <v>1</v>
      </c>
      <c r="M432" s="13" t="inlineStr">
        <is>
          <t>% m/m</t>
        </is>
      </c>
      <c r="N432" s="13" t="inlineStr">
        <is>
          <t>Registro Técnico Vinculado MAPA</t>
        </is>
      </c>
    </row>
    <row r="433" ht="22" customHeight="1">
      <c r="A433" s="6" t="inlineStr">
        <is>
          <t>CMP-0429</t>
        </is>
      </c>
      <c r="B433" s="5" t="n">
        <v>302</v>
      </c>
      <c r="C433" s="7" t="inlineStr">
        <is>
          <t>SIPEAGRO (UF-XXXXX)</t>
        </is>
      </c>
      <c r="D433" s="8" t="inlineStr">
        <is>
          <t>AGCN MN+</t>
        </is>
      </c>
      <c r="E433" s="5" t="n">
        <v>3</v>
      </c>
      <c r="F433" s="7" t="inlineStr">
        <is>
          <t>Nutriente Garantido</t>
        </is>
      </c>
      <c r="G433" s="7" t="inlineStr">
        <is>
          <t>ENXOFRE 4%</t>
        </is>
      </c>
      <c r="H433" s="7" t="inlineStr">
        <is>
          <t>Composição Nutricional Oficial (ENXOFRE 4%)</t>
        </is>
      </c>
      <c r="I433" s="7" t="inlineStr">
        <is>
          <t>Fertilizante Mineral / Organomineral (Lei nº 6.894/1980)</t>
        </is>
      </c>
      <c r="J433" s="7" t="inlineStr">
        <is>
          <t>Nutrição Vegetal SIPEAGRO</t>
        </is>
      </c>
      <c r="K433" s="7" t="inlineStr">
        <is>
          <t>Fornecimento de macro e micronutrientes essenciais ao metabolismo vegetal</t>
        </is>
      </c>
      <c r="L433" s="9" t="n">
        <v>4</v>
      </c>
      <c r="M433" s="7" t="inlineStr">
        <is>
          <t>% m/m</t>
        </is>
      </c>
      <c r="N433" s="7" t="inlineStr">
        <is>
          <t>Registro Técnico Vinculado MAPA</t>
        </is>
      </c>
    </row>
    <row r="434" ht="22" customHeight="1">
      <c r="A434" s="12" t="inlineStr">
        <is>
          <t>CMP-0430</t>
        </is>
      </c>
      <c r="B434" s="11" t="n">
        <v>302</v>
      </c>
      <c r="C434" s="13" t="inlineStr">
        <is>
          <t>SIPEAGRO (UF-XXXXX)</t>
        </is>
      </c>
      <c r="D434" s="14" t="inlineStr">
        <is>
          <t>AGCN MN+</t>
        </is>
      </c>
      <c r="E434" s="11" t="n">
        <v>4</v>
      </c>
      <c r="F434" s="13" t="inlineStr">
        <is>
          <t>Nutriente Garantido</t>
        </is>
      </c>
      <c r="G434" s="13" t="inlineStr">
        <is>
          <t>BORO 0,3%</t>
        </is>
      </c>
      <c r="H434" s="13" t="inlineStr">
        <is>
          <t>Composição Nutricional Oficial (BORO 0,3%)</t>
        </is>
      </c>
      <c r="I434" s="13" t="inlineStr">
        <is>
          <t>Fertilizante Mineral / Organomineral (Lei nº 6.894/1980)</t>
        </is>
      </c>
      <c r="J434" s="13" t="inlineStr">
        <is>
          <t>Nutrição Vegetal SIPEAGRO</t>
        </is>
      </c>
      <c r="K434" s="13" t="inlineStr">
        <is>
          <t>Fornecimento de macro e micronutrientes essenciais ao metabolismo vegetal</t>
        </is>
      </c>
      <c r="L434" s="18" t="n">
        <v>0.3</v>
      </c>
      <c r="M434" s="13" t="inlineStr">
        <is>
          <t>% m/m</t>
        </is>
      </c>
      <c r="N434" s="13" t="inlineStr">
        <is>
          <t>Registro Técnico Vinculado MAPA</t>
        </is>
      </c>
    </row>
    <row r="435" ht="22" customHeight="1">
      <c r="A435" s="6" t="inlineStr">
        <is>
          <t>CMP-0431</t>
        </is>
      </c>
      <c r="B435" s="5" t="n">
        <v>302</v>
      </c>
      <c r="C435" s="7" t="inlineStr">
        <is>
          <t>SIPEAGRO (UF-XXXXX)</t>
        </is>
      </c>
      <c r="D435" s="8" t="inlineStr">
        <is>
          <t>AGCN MN+</t>
        </is>
      </c>
      <c r="E435" s="5" t="n">
        <v>5</v>
      </c>
      <c r="F435" s="7" t="inlineStr">
        <is>
          <t>Nutriente Garantido</t>
        </is>
      </c>
      <c r="G435" s="7" t="inlineStr">
        <is>
          <t>COBRE 0,3%</t>
        </is>
      </c>
      <c r="H435" s="7" t="inlineStr">
        <is>
          <t>Composição Nutricional Oficial (COBRE 0,3%)</t>
        </is>
      </c>
      <c r="I435" s="7" t="inlineStr">
        <is>
          <t>Fertilizante Mineral / Organomineral (Lei nº 6.894/1980)</t>
        </is>
      </c>
      <c r="J435" s="7" t="inlineStr">
        <is>
          <t>Nutrição Vegetal SIPEAGRO</t>
        </is>
      </c>
      <c r="K435" s="7" t="inlineStr">
        <is>
          <t>Fornecimento de macro e micronutrientes essenciais ao metabolismo vegetal</t>
        </is>
      </c>
      <c r="L435" s="17" t="n">
        <v>0.3</v>
      </c>
      <c r="M435" s="7" t="inlineStr">
        <is>
          <t>% m/m</t>
        </is>
      </c>
      <c r="N435" s="7" t="inlineStr">
        <is>
          <t>Registro Técnico Vinculado MAPA</t>
        </is>
      </c>
    </row>
    <row r="436" ht="22" customHeight="1">
      <c r="A436" s="12" t="inlineStr">
        <is>
          <t>CMP-0432</t>
        </is>
      </c>
      <c r="B436" s="11" t="n">
        <v>302</v>
      </c>
      <c r="C436" s="13" t="inlineStr">
        <is>
          <t>SIPEAGRO (UF-XXXXX)</t>
        </is>
      </c>
      <c r="D436" s="14" t="inlineStr">
        <is>
          <t>AGCN MN+</t>
        </is>
      </c>
      <c r="E436" s="11" t="n">
        <v>6</v>
      </c>
      <c r="F436" s="13" t="inlineStr">
        <is>
          <t>Nutriente Garantido</t>
        </is>
      </c>
      <c r="G436" s="13" t="inlineStr">
        <is>
          <t>ZN 3%</t>
        </is>
      </c>
      <c r="H436" s="13" t="inlineStr">
        <is>
          <t>Composição Nutricional Oficial (ZN 3%)</t>
        </is>
      </c>
      <c r="I436" s="13" t="inlineStr">
        <is>
          <t>Fertilizante Mineral / Organomineral (Lei nº 6.894/1980)</t>
        </is>
      </c>
      <c r="J436" s="13" t="inlineStr">
        <is>
          <t>Nutrição Vegetal SIPEAGRO</t>
        </is>
      </c>
      <c r="K436" s="13" t="inlineStr">
        <is>
          <t>Fornecimento de macro e micronutrientes essenciais ao metabolismo vegetal</t>
        </is>
      </c>
      <c r="L436" s="15" t="n">
        <v>3</v>
      </c>
      <c r="M436" s="13" t="inlineStr">
        <is>
          <t>% m/m</t>
        </is>
      </c>
      <c r="N436" s="13" t="inlineStr">
        <is>
          <t>Registro Técnico Vinculado MAPA</t>
        </is>
      </c>
    </row>
    <row r="437" ht="22" customHeight="1">
      <c r="A437" s="6" t="inlineStr">
        <is>
          <t>CMP-0433</t>
        </is>
      </c>
      <c r="B437" s="5" t="n">
        <v>303</v>
      </c>
      <c r="C437" s="7" t="inlineStr">
        <is>
          <t>SIPEAGRO (UF-XXXXX)</t>
        </is>
      </c>
      <c r="D437" s="8" t="inlineStr">
        <is>
          <t>QUALY OCTOBORATO DE SODIO-E</t>
        </is>
      </c>
      <c r="E437" s="5" t="n">
        <v>1</v>
      </c>
      <c r="F437" s="7" t="inlineStr">
        <is>
          <t>Nutriente Garantido</t>
        </is>
      </c>
      <c r="G437" s="7" t="inlineStr">
        <is>
          <t>OCTOBORATO DE SÓDIO TETRAHIDRATADO (Na2B8O13.4H2O — Garantia 20,5% B)</t>
        </is>
      </c>
      <c r="H437" s="7" t="inlineStr">
        <is>
          <t>Composição Nutricional Oficial (Na2B8O13.4H2O)</t>
        </is>
      </c>
      <c r="I437" s="7" t="inlineStr">
        <is>
          <t>Fertilizante Mineral / Organomineral (Lei nº 6.894/1980)</t>
        </is>
      </c>
      <c r="J437" s="7" t="inlineStr">
        <is>
          <t>Nutrição Vegetal SIPEAGRO</t>
        </is>
      </c>
      <c r="K437" s="7" t="inlineStr">
        <is>
          <t>Fornecimento de macro e micronutrientes essenciais ao metabolismo vegetal</t>
        </is>
      </c>
      <c r="L437" s="17" t="n">
        <v>20.5</v>
      </c>
      <c r="M437" s="7" t="inlineStr">
        <is>
          <t>% m/m</t>
        </is>
      </c>
      <c r="N437" s="7" t="inlineStr">
        <is>
          <t>Registro Técnico Vinculado MAPA</t>
        </is>
      </c>
    </row>
    <row r="438" ht="22" customHeight="1">
      <c r="A438" s="12" t="inlineStr">
        <is>
          <t>CMP-0434</t>
        </is>
      </c>
      <c r="B438" s="11" t="n">
        <v>304</v>
      </c>
      <c r="C438" s="13" t="inlineStr">
        <is>
          <t>ISENTO (ATO 104/2017)</t>
        </is>
      </c>
      <c r="D438" s="14" t="inlineStr">
        <is>
          <t>FORMIATO DE POTASSIO 75%</t>
        </is>
      </c>
      <c r="E438" s="11" t="n">
        <v>1</v>
      </c>
      <c r="F438" s="13" t="inlineStr">
        <is>
          <t>Ingrediente Ativo Principal</t>
        </is>
      </c>
      <c r="G438" s="13" t="inlineStr">
        <is>
          <t>FORMIATO DE POTASSIO 75%</t>
        </is>
      </c>
      <c r="H438" s="13" t="inlineStr">
        <is>
          <t>Formiato de Potássio (HCOOK) / Formiato de Cálcio (Ca(HCOO)2)</t>
        </is>
      </c>
      <c r="I438" s="13" t="inlineStr">
        <is>
          <t>Sal Orgânico Carboxílico (Insumo Químico Cap. 29)</t>
        </is>
      </c>
      <c r="J438" s="13" t="inlineStr">
        <is>
          <t>Aditivo / Estabilizante Químico Industrial (Ato 104)</t>
        </is>
      </c>
      <c r="K438" s="13" t="inlineStr">
        <is>
          <t>Estabilização físico-química, tamponamento e crioproteção de formulações</t>
        </is>
      </c>
      <c r="L438" s="15" t="n">
        <v>75</v>
      </c>
      <c r="M438" s="13" t="inlineStr">
        <is>
          <t>% m/m</t>
        </is>
      </c>
      <c r="N438" s="13" t="inlineStr">
        <is>
          <t>Registro Técnico Vinculado MAPA</t>
        </is>
      </c>
    </row>
    <row r="439" ht="22" customHeight="1">
      <c r="A439" s="6" t="inlineStr">
        <is>
          <t>CMP-0435</t>
        </is>
      </c>
      <c r="B439" s="5" t="n">
        <v>305</v>
      </c>
      <c r="C439" s="7" t="inlineStr">
        <is>
          <t>ISENTO (ATO 104/2017)</t>
        </is>
      </c>
      <c r="D439" s="8" t="inlineStr">
        <is>
          <t>FORMIATO DE CALCIO</t>
        </is>
      </c>
      <c r="E439" s="5" t="n">
        <v>1</v>
      </c>
      <c r="F439" s="7" t="inlineStr">
        <is>
          <t>Ingrediente Ativo Principal</t>
        </is>
      </c>
      <c r="G439" s="7" t="inlineStr">
        <is>
          <t>FORMIATO DE CÁLCIO TÉCNICO (Ca(HCOO)2 — Pureza mín. 98%)</t>
        </is>
      </c>
      <c r="H439" s="7" t="inlineStr">
        <is>
          <t>Formiato de Potássio (HCOOK) / Formiato de Cálcio (Ca(HCOO)2)</t>
        </is>
      </c>
      <c r="I439" s="7" t="inlineStr">
        <is>
          <t>Sal Orgânico Carboxílico (Insumo Químico Cap. 29)</t>
        </is>
      </c>
      <c r="J439" s="7" t="inlineStr">
        <is>
          <t>Aditivo / Estabilizante Químico Industrial (Ato 104)</t>
        </is>
      </c>
      <c r="K439" s="7" t="inlineStr">
        <is>
          <t>Estabilização físico-química, tamponamento e crioproteção de formulações</t>
        </is>
      </c>
      <c r="L439" s="9" t="n">
        <v>980</v>
      </c>
      <c r="M439" s="7" t="inlineStr">
        <is>
          <t>g/kg</t>
        </is>
      </c>
      <c r="N439" s="7" t="inlineStr">
        <is>
          <t>Registro Técnico Vinculado MAPA</t>
        </is>
      </c>
    </row>
    <row r="440" ht="22" customHeight="1">
      <c r="A440" s="12" t="inlineStr">
        <is>
          <t>CMP-0436</t>
        </is>
      </c>
      <c r="B440" s="11" t="n">
        <v>306</v>
      </c>
      <c r="C440" s="13" t="inlineStr">
        <is>
          <t>SIPEAGRO (UF-XXXXX)</t>
        </is>
      </c>
      <c r="D440" s="14" t="inlineStr">
        <is>
          <t>PREBIOTIC GL</t>
        </is>
      </c>
      <c r="E440" s="11" t="n">
        <v>1</v>
      </c>
      <c r="F440" s="13" t="inlineStr">
        <is>
          <t>Nutriente Garantido</t>
        </is>
      </c>
      <c r="G440" s="13" t="inlineStr">
        <is>
          <t>MN 7%</t>
        </is>
      </c>
      <c r="H440" s="13" t="inlineStr">
        <is>
          <t>Composição Nutricional Oficial (MN 7%)</t>
        </is>
      </c>
      <c r="I440" s="13" t="inlineStr">
        <is>
          <t>Fertilizante Mineral / Organomineral (Lei nº 6.894/1980)</t>
        </is>
      </c>
      <c r="J440" s="13" t="inlineStr">
        <is>
          <t>Nutrição Vegetal SIPEAGRO</t>
        </is>
      </c>
      <c r="K440" s="13" t="inlineStr">
        <is>
          <t>Fornecimento de macro e micronutrientes essenciais ao metabolismo vegetal</t>
        </is>
      </c>
      <c r="L440" s="15" t="n">
        <v>7</v>
      </c>
      <c r="M440" s="13" t="inlineStr">
        <is>
          <t>% m/m</t>
        </is>
      </c>
      <c r="N440" s="13" t="inlineStr">
        <is>
          <t>Registro Técnico Vinculado MAPA</t>
        </is>
      </c>
    </row>
    <row r="441" ht="22" customHeight="1">
      <c r="A441" s="6" t="inlineStr">
        <is>
          <t>CMP-0437</t>
        </is>
      </c>
      <c r="B441" s="5" t="n">
        <v>306</v>
      </c>
      <c r="C441" s="7" t="inlineStr">
        <is>
          <t>SIPEAGRO (UF-XXXXX)</t>
        </is>
      </c>
      <c r="D441" s="8" t="inlineStr">
        <is>
          <t>PREBIOTIC GL</t>
        </is>
      </c>
      <c r="E441" s="5" t="n">
        <v>2</v>
      </c>
      <c r="F441" s="7" t="inlineStr">
        <is>
          <t>Nutriente Garantido</t>
        </is>
      </c>
      <c r="G441" s="7" t="inlineStr">
        <is>
          <t>COT 10%</t>
        </is>
      </c>
      <c r="H441" s="7" t="inlineStr">
        <is>
          <t>Composição Nutricional Oficial (COT 10%)</t>
        </is>
      </c>
      <c r="I441" s="7" t="inlineStr">
        <is>
          <t>Fertilizante Mineral / Organomineral (Lei nº 6.894/1980)</t>
        </is>
      </c>
      <c r="J441" s="7" t="inlineStr">
        <is>
          <t>Nutrição Vegetal SIPEAGRO</t>
        </is>
      </c>
      <c r="K441" s="7" t="inlineStr">
        <is>
          <t>Fornecimento de macro e micronutrientes essenciais ao metabolismo vegetal</t>
        </is>
      </c>
      <c r="L441" s="9" t="n">
        <v>10</v>
      </c>
      <c r="M441" s="7" t="inlineStr">
        <is>
          <t>% m/m</t>
        </is>
      </c>
      <c r="N441" s="7" t="inlineStr">
        <is>
          <t>Registro Técnico Vinculado MAPA</t>
        </is>
      </c>
    </row>
    <row r="442" ht="22" customHeight="1">
      <c r="A442" s="12" t="inlineStr">
        <is>
          <t>CMP-0438</t>
        </is>
      </c>
      <c r="B442" s="11" t="n">
        <v>306</v>
      </c>
      <c r="C442" s="13" t="inlineStr">
        <is>
          <t>SIPEAGRO (UF-XXXXX)</t>
        </is>
      </c>
      <c r="D442" s="14" t="inlineStr">
        <is>
          <t>PREBIOTIC GL</t>
        </is>
      </c>
      <c r="E442" s="11" t="n">
        <v>3</v>
      </c>
      <c r="F442" s="13" t="inlineStr">
        <is>
          <t>Nutriente Garantido</t>
        </is>
      </c>
      <c r="G442" s="13" t="inlineStr">
        <is>
          <t>EDTA</t>
        </is>
      </c>
      <c r="H442" s="13" t="inlineStr">
        <is>
          <t>Composição Nutricional Oficial (EDTA)</t>
        </is>
      </c>
      <c r="I442" s="13" t="inlineStr">
        <is>
          <t>Fertilizante Mineral / Organomineral (Lei nº 6.894/1980)</t>
        </is>
      </c>
      <c r="J442" s="13" t="inlineStr">
        <is>
          <t>Nutrição Vegetal SIPEAGRO</t>
        </is>
      </c>
      <c r="K442" s="13" t="inlineStr">
        <is>
          <t>Fornecimento de macro e micronutrientes essenciais ao metabolismo vegetal</t>
        </is>
      </c>
      <c r="L442" s="15" t="n">
        <v>5</v>
      </c>
      <c r="M442" s="13" t="inlineStr">
        <is>
          <t>% m/m</t>
        </is>
      </c>
      <c r="N442" s="13" t="inlineStr">
        <is>
          <t>Registro Técnico Vinculado MAPA</t>
        </is>
      </c>
    </row>
    <row r="443" ht="22" customHeight="1">
      <c r="A443" s="6" t="inlineStr">
        <is>
          <t>CMP-0439</t>
        </is>
      </c>
      <c r="B443" s="5" t="n">
        <v>307</v>
      </c>
      <c r="C443" s="7" t="inlineStr">
        <is>
          <t>SIPEAGRO (UF-XXXXX)</t>
        </is>
      </c>
      <c r="D443" s="8" t="inlineStr">
        <is>
          <t>SMARTSOIL WP</t>
        </is>
      </c>
      <c r="E443" s="5" t="n">
        <v>1</v>
      </c>
      <c r="F443" s="7" t="inlineStr">
        <is>
          <t>Nutriente Garantido</t>
        </is>
      </c>
      <c r="G443" s="7" t="inlineStr">
        <is>
          <t>MN 7%</t>
        </is>
      </c>
      <c r="H443" s="7" t="inlineStr">
        <is>
          <t>Composição Nutricional Oficial (MN 7%)</t>
        </is>
      </c>
      <c r="I443" s="7" t="inlineStr">
        <is>
          <t>Fertilizante Mineral / Organomineral (Lei nº 6.894/1980)</t>
        </is>
      </c>
      <c r="J443" s="7" t="inlineStr">
        <is>
          <t>Nutrição Vegetal SIPEAGRO</t>
        </is>
      </c>
      <c r="K443" s="7" t="inlineStr">
        <is>
          <t>Fornecimento de macro e micronutrientes essenciais ao metabolismo vegetal</t>
        </is>
      </c>
      <c r="L443" s="9" t="n">
        <v>7</v>
      </c>
      <c r="M443" s="7" t="inlineStr">
        <is>
          <t>% m/m</t>
        </is>
      </c>
      <c r="N443" s="7" t="inlineStr">
        <is>
          <t>Registro Técnico Vinculado MAPA</t>
        </is>
      </c>
    </row>
    <row r="444" ht="22" customHeight="1">
      <c r="A444" s="12" t="inlineStr">
        <is>
          <t>CMP-0440</t>
        </is>
      </c>
      <c r="B444" s="11" t="n">
        <v>307</v>
      </c>
      <c r="C444" s="13" t="inlineStr">
        <is>
          <t>SIPEAGRO (UF-XXXXX)</t>
        </is>
      </c>
      <c r="D444" s="14" t="inlineStr">
        <is>
          <t>SMARTSOIL WP</t>
        </is>
      </c>
      <c r="E444" s="11" t="n">
        <v>2</v>
      </c>
      <c r="F444" s="13" t="inlineStr">
        <is>
          <t>Nutriente Garantido</t>
        </is>
      </c>
      <c r="G444" s="13" t="inlineStr">
        <is>
          <t>COT 10%</t>
        </is>
      </c>
      <c r="H444" s="13" t="inlineStr">
        <is>
          <t>Composição Nutricional Oficial (COT 10%)</t>
        </is>
      </c>
      <c r="I444" s="13" t="inlineStr">
        <is>
          <t>Fertilizante Mineral / Organomineral (Lei nº 6.894/1980)</t>
        </is>
      </c>
      <c r="J444" s="13" t="inlineStr">
        <is>
          <t>Nutrição Vegetal SIPEAGRO</t>
        </is>
      </c>
      <c r="K444" s="13" t="inlineStr">
        <is>
          <t>Fornecimento de macro e micronutrientes essenciais ao metabolismo vegetal</t>
        </is>
      </c>
      <c r="L444" s="15" t="n">
        <v>10</v>
      </c>
      <c r="M444" s="13" t="inlineStr">
        <is>
          <t>% m/m</t>
        </is>
      </c>
      <c r="N444" s="13" t="inlineStr">
        <is>
          <t>Registro Técnico Vinculado MAPA</t>
        </is>
      </c>
    </row>
    <row r="445" ht="22" customHeight="1">
      <c r="A445" s="6" t="inlineStr">
        <is>
          <t>CMP-0441</t>
        </is>
      </c>
      <c r="B445" s="5" t="n">
        <v>307</v>
      </c>
      <c r="C445" s="7" t="inlineStr">
        <is>
          <t>SIPEAGRO (UF-XXXXX)</t>
        </is>
      </c>
      <c r="D445" s="8" t="inlineStr">
        <is>
          <t>SMARTSOIL WP</t>
        </is>
      </c>
      <c r="E445" s="5" t="n">
        <v>3</v>
      </c>
      <c r="F445" s="7" t="inlineStr">
        <is>
          <t>Nutriente Garantido</t>
        </is>
      </c>
      <c r="G445" s="7" t="inlineStr">
        <is>
          <t>EDTA</t>
        </is>
      </c>
      <c r="H445" s="7" t="inlineStr">
        <is>
          <t>Composição Nutricional Oficial (EDTA)</t>
        </is>
      </c>
      <c r="I445" s="7" t="inlineStr">
        <is>
          <t>Fertilizante Mineral / Organomineral (Lei nº 6.894/1980)</t>
        </is>
      </c>
      <c r="J445" s="7" t="inlineStr">
        <is>
          <t>Nutrição Vegetal SIPEAGRO</t>
        </is>
      </c>
      <c r="K445" s="7" t="inlineStr">
        <is>
          <t>Fornecimento de macro e micronutrientes essenciais ao metabolismo vegetal</t>
        </is>
      </c>
      <c r="L445" s="9" t="n">
        <v>5</v>
      </c>
      <c r="M445" s="7" t="inlineStr">
        <is>
          <t>% m/m</t>
        </is>
      </c>
      <c r="N445" s="7" t="inlineStr">
        <is>
          <t>Registro Técnico Vinculado MAPA</t>
        </is>
      </c>
    </row>
    <row r="446" ht="22" customHeight="1">
      <c r="A446" s="12" t="inlineStr">
        <is>
          <t>CMP-0442</t>
        </is>
      </c>
      <c r="B446" s="11" t="n">
        <v>308</v>
      </c>
      <c r="C446" s="13" t="inlineStr">
        <is>
          <t>SIPEAGRO (UF-XXXXX)</t>
        </is>
      </c>
      <c r="D446" s="14" t="inlineStr">
        <is>
          <t>AGCN MANGANES</t>
        </is>
      </c>
      <c r="E446" s="11" t="n">
        <v>1</v>
      </c>
      <c r="F446" s="13" t="inlineStr">
        <is>
          <t>Nutriente Garantido</t>
        </is>
      </c>
      <c r="G446" s="13" t="inlineStr">
        <is>
          <t>N 1% , MN 27%</t>
        </is>
      </c>
      <c r="H446" s="13" t="inlineStr">
        <is>
          <t>Composição Nutricional Oficial (N 1% , MN 27%)</t>
        </is>
      </c>
      <c r="I446" s="13" t="inlineStr">
        <is>
          <t>Fertilizante Mineral / Organomineral (Lei nº 6.894/1980)</t>
        </is>
      </c>
      <c r="J446" s="13" t="inlineStr">
        <is>
          <t>Nutrição Vegetal SIPEAGRO</t>
        </is>
      </c>
      <c r="K446" s="13" t="inlineStr">
        <is>
          <t>Fornecimento de macro e micronutrientes essenciais ao metabolismo vegetal</t>
        </is>
      </c>
      <c r="L446" s="15" t="n">
        <v>1</v>
      </c>
      <c r="M446" s="13" t="inlineStr">
        <is>
          <t>% m/m</t>
        </is>
      </c>
      <c r="N446" s="13" t="inlineStr">
        <is>
          <t>Registro Técnico Vinculado MAPA</t>
        </is>
      </c>
    </row>
    <row r="447" ht="22" customHeight="1">
      <c r="A447" s="6" t="inlineStr">
        <is>
          <t>CMP-0443</t>
        </is>
      </c>
      <c r="B447" s="5" t="n">
        <v>309</v>
      </c>
      <c r="C447" s="7" t="inlineStr">
        <is>
          <t>Nº 11819</t>
        </is>
      </c>
      <c r="D447" s="8" t="inlineStr">
        <is>
          <t>MANCOZEB 800 WP AGCN</t>
        </is>
      </c>
      <c r="E447" s="5" t="n">
        <v>1</v>
      </c>
      <c r="F447" s="7" t="inlineStr">
        <is>
          <t>Ingrediente Ativo Principal</t>
        </is>
      </c>
      <c r="G447" s="7" t="inlineStr">
        <is>
          <t>MANCOZEB 800</t>
        </is>
      </c>
      <c r="H447" s="7" t="inlineStr">
        <is>
          <t>Manganese ethylenebis(dithiocarbamate) (polymeric) complex with zinc salt</t>
        </is>
      </c>
      <c r="I447" s="7" t="inlineStr">
        <is>
          <t>Alquilenobis(ditiocarbamato)</t>
        </is>
      </c>
      <c r="J447" s="7" t="inlineStr">
        <is>
          <t>FRAC Grupo M03 — Multissítio</t>
        </is>
      </c>
      <c r="K447" s="7" t="inlineStr">
        <is>
          <t>Inibidor multissítio de enzimas contendo grupos sulfidrila e aminoácidos fúngicos</t>
        </is>
      </c>
      <c r="L447" s="9" t="n">
        <v>800</v>
      </c>
      <c r="M447" s="7" t="inlineStr">
        <is>
          <t>g/kg</t>
        </is>
      </c>
      <c r="N447" s="7" t="inlineStr">
        <is>
          <t>Registro Técnico Vinculado MAPA</t>
        </is>
      </c>
    </row>
    <row r="448" ht="22" customHeight="1">
      <c r="A448" s="12" t="inlineStr">
        <is>
          <t>CMP-0444</t>
        </is>
      </c>
      <c r="B448" s="11" t="n">
        <v>310</v>
      </c>
      <c r="C448" s="13" t="inlineStr">
        <is>
          <t>Nº 11819</t>
        </is>
      </c>
      <c r="D448" s="14" t="inlineStr">
        <is>
          <t>MANCOZEB 800 WP AGCN</t>
        </is>
      </c>
      <c r="E448" s="11" t="n">
        <v>1</v>
      </c>
      <c r="F448" s="13" t="inlineStr">
        <is>
          <t>Ingrediente Ativo Principal</t>
        </is>
      </c>
      <c r="G448" s="13" t="inlineStr">
        <is>
          <t>MANCOZEB 800</t>
        </is>
      </c>
      <c r="H448" s="13" t="inlineStr">
        <is>
          <t>Manganese ethylenebis(dithiocarbamate) (polymeric) complex with zinc salt</t>
        </is>
      </c>
      <c r="I448" s="13" t="inlineStr">
        <is>
          <t>Alquilenobis(ditiocarbamato)</t>
        </is>
      </c>
      <c r="J448" s="13" t="inlineStr">
        <is>
          <t>FRAC Grupo M03 — Multissítio</t>
        </is>
      </c>
      <c r="K448" s="13" t="inlineStr">
        <is>
          <t>Inibidor multissítio de enzimas contendo grupos sulfidrila e aminoácidos fúngicos</t>
        </is>
      </c>
      <c r="L448" s="15" t="n">
        <v>800</v>
      </c>
      <c r="M448" s="13" t="inlineStr">
        <is>
          <t>g/kg</t>
        </is>
      </c>
      <c r="N448" s="13" t="inlineStr">
        <is>
          <t>Registro Técnico Vinculado MAPA</t>
        </is>
      </c>
    </row>
    <row r="449" ht="22" customHeight="1">
      <c r="A449" s="6" t="inlineStr">
        <is>
          <t>CMP-0445</t>
        </is>
      </c>
      <c r="B449" s="5" t="n">
        <v>311</v>
      </c>
      <c r="C449" s="7" t="inlineStr">
        <is>
          <t>ISENTO (ATO 104/2017)</t>
        </is>
      </c>
      <c r="D449" s="8" t="inlineStr">
        <is>
          <t>AGRICOIL MINERAL YPF 100</t>
        </is>
      </c>
      <c r="E449" s="5" t="n">
        <v>1</v>
      </c>
      <c r="F449" s="7" t="inlineStr">
        <is>
          <t>Ingrediente Ativo Principal</t>
        </is>
      </c>
      <c r="G449" s="7" t="inlineStr">
        <is>
          <t>ÓLEO MINERAL PARAFÍNICO (Hidrocarbonetos Alifáticos)</t>
        </is>
      </c>
      <c r="H449" s="7" t="inlineStr">
        <is>
          <t>Aliphatic hydrocarbons (Mineral paraffin oil)</t>
        </is>
      </c>
      <c r="I449" s="7" t="inlineStr">
        <is>
          <t>Adjuvante Espalhante e Antievaporante (Óleo Mineral)</t>
        </is>
      </c>
      <c r="J449" s="7" t="inlineStr">
        <is>
          <t>Auxiliar de Tecnologia de Aplicação (Ato SDA 104/2017)</t>
        </is>
      </c>
      <c r="K449" s="7" t="inlineStr">
        <is>
          <t>Redução de deriva, efeito antievaporante e penetração na cutícula foliar</t>
        </is>
      </c>
      <c r="L449" s="9" t="n">
        <v>800</v>
      </c>
      <c r="M449" s="7" t="inlineStr">
        <is>
          <t>g/L</t>
        </is>
      </c>
      <c r="N449" s="7" t="inlineStr">
        <is>
          <t>Registro Técnico Vinculado MAPA</t>
        </is>
      </c>
    </row>
    <row r="450" ht="22" customHeight="1">
      <c r="A450" s="12" t="inlineStr">
        <is>
          <t>CMP-0446</t>
        </is>
      </c>
      <c r="B450" s="11" t="n">
        <v>312</v>
      </c>
      <c r="C450" s="13" t="inlineStr">
        <is>
          <t>SIPEAGRO (UF-XXXXX)</t>
        </is>
      </c>
      <c r="D450" s="14" t="inlineStr">
        <is>
          <t>AGCN K20-10,0% MG-2,0% S-11, 5% NI-0,4% (AMOSTRA)</t>
        </is>
      </c>
      <c r="E450" s="11" t="n">
        <v>1</v>
      </c>
      <c r="F450" s="13" t="inlineStr">
        <is>
          <t>Nutriente Garantido</t>
        </is>
      </c>
      <c r="G450" s="13" t="inlineStr">
        <is>
          <t>COMPLEXO DE MACRO E MICRO</t>
        </is>
      </c>
      <c r="H450" s="13" t="inlineStr">
        <is>
          <t>Composição Nutricional Oficial (COMPLEXO DE MACRO E MICRO)</t>
        </is>
      </c>
      <c r="I450" s="13" t="inlineStr">
        <is>
          <t>Fertilizante Mineral / Organomineral (Lei nº 6.894/1980)</t>
        </is>
      </c>
      <c r="J450" s="13" t="inlineStr">
        <is>
          <t>Nutrição Vegetal SIPEAGRO</t>
        </is>
      </c>
      <c r="K450" s="13" t="inlineStr">
        <is>
          <t>Fornecimento de macro e micronutrientes essenciais ao metabolismo vegetal</t>
        </is>
      </c>
      <c r="L450" s="15" t="n">
        <v>100</v>
      </c>
      <c r="M450" s="13" t="inlineStr">
        <is>
          <t>% m/m</t>
        </is>
      </c>
      <c r="N450" s="13" t="inlineStr">
        <is>
          <t>Registro Técnico Vinculado MAPA</t>
        </is>
      </c>
    </row>
    <row r="451" ht="22" customHeight="1">
      <c r="A451" s="6" t="inlineStr">
        <is>
          <t>CMP-0447</t>
        </is>
      </c>
      <c r="B451" s="5" t="n">
        <v>313</v>
      </c>
      <c r="C451" s="7" t="inlineStr">
        <is>
          <t>Nº 18220</t>
        </is>
      </c>
      <c r="D451" s="8" t="inlineStr">
        <is>
          <t>TORA</t>
        </is>
      </c>
      <c r="E451" s="5" t="n">
        <v>1</v>
      </c>
      <c r="F451" s="7" t="inlineStr">
        <is>
          <t>Ingrediente Ativo Principal</t>
        </is>
      </c>
      <c r="G451" s="7" t="inlineStr">
        <is>
          <t>MALATIONA 1000</t>
        </is>
      </c>
      <c r="H451" s="7" t="inlineStr">
        <is>
          <t>Diethyl (dimethoxyphosphinothioylthio)succinate</t>
        </is>
      </c>
      <c r="I451" s="7" t="inlineStr">
        <is>
          <t>Organofosforado</t>
        </is>
      </c>
      <c r="J451" s="7" t="inlineStr">
        <is>
          <t>IRAC Grupo 1B</t>
        </is>
      </c>
      <c r="K451" s="7" t="inlineStr">
        <is>
          <t>Inibidores da acetilcolinesterase (AChE)</t>
        </is>
      </c>
      <c r="L451" s="9" t="n">
        <v>1000</v>
      </c>
      <c r="M451" s="7" t="inlineStr">
        <is>
          <t>g/L</t>
        </is>
      </c>
      <c r="N451" s="7" t="inlineStr">
        <is>
          <t>Registro Técnico Vinculado MAPA</t>
        </is>
      </c>
    </row>
    <row r="452" ht="22" customHeight="1">
      <c r="A452" s="12" t="inlineStr">
        <is>
          <t>CMP-0448</t>
        </is>
      </c>
      <c r="B452" s="11" t="n">
        <v>314</v>
      </c>
      <c r="C452" s="13" t="inlineStr">
        <is>
          <t>Nº 1924</t>
        </is>
      </c>
      <c r="D452" s="14" t="inlineStr">
        <is>
          <t>FORCEPS</t>
        </is>
      </c>
      <c r="E452" s="11" t="n">
        <v>1</v>
      </c>
      <c r="F452" s="13" t="inlineStr">
        <is>
          <t>Ingrediente Ativo Principal</t>
        </is>
      </c>
      <c r="G452" s="13" t="inlineStr">
        <is>
          <t>ACETAMIPRIDO 250</t>
        </is>
      </c>
      <c r="H452" s="13" t="inlineStr">
        <is>
          <t>(E)-N1-[(6-chloro-3-pyridyl)methyl]-N2-cyano-N1-methylacetamidine</t>
        </is>
      </c>
      <c r="I452" s="13" t="inlineStr">
        <is>
          <t>Neonicotinoide</t>
        </is>
      </c>
      <c r="J452" s="13" t="inlineStr">
        <is>
          <t>IRAC Grupo 4A</t>
        </is>
      </c>
      <c r="K452" s="13" t="inlineStr">
        <is>
          <t>Moduladores competitivos de receptores nicotínicos da acetilcolina (nAChR)</t>
        </is>
      </c>
      <c r="L452" s="15" t="n">
        <v>250</v>
      </c>
      <c r="M452" s="13" t="inlineStr">
        <is>
          <t>g/kg</t>
        </is>
      </c>
      <c r="N452" s="13" t="inlineStr">
        <is>
          <t>Registro Técnico Vinculado MAPA</t>
        </is>
      </c>
    </row>
    <row r="453" ht="22" customHeight="1">
      <c r="A453" s="6" t="inlineStr">
        <is>
          <t>CMP-0449</t>
        </is>
      </c>
      <c r="B453" s="5" t="n">
        <v>314</v>
      </c>
      <c r="C453" s="7" t="inlineStr">
        <is>
          <t>Nº 1924</t>
        </is>
      </c>
      <c r="D453" s="8" t="inlineStr">
        <is>
          <t>FORCEPS</t>
        </is>
      </c>
      <c r="E453" s="5" t="n">
        <v>2</v>
      </c>
      <c r="F453" s="7" t="inlineStr">
        <is>
          <t>Ingrediente Ativo Principal</t>
        </is>
      </c>
      <c r="G453" s="7" t="inlineStr">
        <is>
          <t>BIFENTRINA 250</t>
        </is>
      </c>
      <c r="H453" s="7" t="inlineStr">
        <is>
          <t>2-methylbiphenyl-3-ylmethyl (Z)-(1RS,3RS)-3-(2-chloro-3,3,3-trifluoroprop-1-enyl)-2,2-dimethylcyclopropanecarboxylate</t>
        </is>
      </c>
      <c r="I453" s="7" t="inlineStr">
        <is>
          <t>Piretroide (Tipo I)</t>
        </is>
      </c>
      <c r="J453" s="7" t="inlineStr">
        <is>
          <t>IRAC Grupo 3A</t>
        </is>
      </c>
      <c r="K453" s="7" t="inlineStr">
        <is>
          <t>Moduladores de canais de sódio em membranas nervosas</t>
        </is>
      </c>
      <c r="L453" s="9" t="n">
        <v>250</v>
      </c>
      <c r="M453" s="7" t="inlineStr">
        <is>
          <t>g/kg</t>
        </is>
      </c>
      <c r="N453" s="7" t="inlineStr">
        <is>
          <t>Registro Técnico Vinculado MAPA</t>
        </is>
      </c>
    </row>
    <row r="454" ht="22" customHeight="1">
      <c r="A454" s="12" t="inlineStr">
        <is>
          <t>CMP-0450</t>
        </is>
      </c>
      <c r="B454" s="11" t="n">
        <v>315</v>
      </c>
      <c r="C454" s="13" t="inlineStr">
        <is>
          <t>Nº 2721</t>
        </is>
      </c>
      <c r="D454" s="14" t="inlineStr">
        <is>
          <t>CLETODIM 240 EC PROVENTIS</t>
        </is>
      </c>
      <c r="E454" s="11" t="n">
        <v>1</v>
      </c>
      <c r="F454" s="13" t="inlineStr">
        <is>
          <t>Ingrediente Ativo Principal</t>
        </is>
      </c>
      <c r="G454" s="13" t="inlineStr">
        <is>
          <t>CLETODIM 240</t>
        </is>
      </c>
      <c r="H454" s="13" t="inlineStr">
        <is>
          <t>(RS)-2-[(E)-1-[(E)-3-chloroallyloxyimino]propyl]-5-[2-(ethylthio)propyl]-3-hydroxycyclohex-2-en-1-one</t>
        </is>
      </c>
      <c r="I454" s="13" t="inlineStr">
        <is>
          <t>Oxima ciclohexanodiona (DIM)</t>
        </is>
      </c>
      <c r="J454" s="13" t="inlineStr">
        <is>
          <t>HRAC Grupo A (1) — Inibidores da ACCase</t>
        </is>
      </c>
      <c r="K454" s="13" t="inlineStr">
        <is>
          <t>Inibidores da Acetil CoA Carboxilase (ACCase)</t>
        </is>
      </c>
      <c r="L454" s="15" t="n">
        <v>240</v>
      </c>
      <c r="M454" s="13" t="inlineStr">
        <is>
          <t>g/L</t>
        </is>
      </c>
      <c r="N454" s="13" t="inlineStr">
        <is>
          <t>Registro Técnico Vinculado MAPA</t>
        </is>
      </c>
    </row>
    <row r="455" ht="22" customHeight="1">
      <c r="A455" s="6" t="inlineStr">
        <is>
          <t>CMP-0451</t>
        </is>
      </c>
      <c r="B455" s="5" t="n">
        <v>316</v>
      </c>
      <c r="C455" s="7" t="inlineStr">
        <is>
          <t>ISENTO (ATO 104/2017)</t>
        </is>
      </c>
      <c r="D455" s="8" t="inlineStr">
        <is>
          <t>AGRICOIL VEGETAL MV</t>
        </is>
      </c>
      <c r="E455" s="5" t="n">
        <v>1</v>
      </c>
      <c r="F455" s="7" t="inlineStr">
        <is>
          <t>Ingrediente Ativo Principal</t>
        </is>
      </c>
      <c r="G455" s="7" t="inlineStr">
        <is>
          <t>ÉSTER METÍLICO DE ÓLEO DE SOJA (Óleo Vegetal Metilado)</t>
        </is>
      </c>
      <c r="H455" s="7" t="inlineStr">
        <is>
          <t>Methyl soyate (Soybean oil, methylated)</t>
        </is>
      </c>
      <c r="I455" s="7" t="inlineStr">
        <is>
          <t>Adjuvante Espalhante Adesivo (Óleo Vegetal Metilado)</t>
        </is>
      </c>
      <c r="J455" s="7" t="inlineStr">
        <is>
          <t>Auxiliar de Tecnologia de Aplicação (Ato SDA 104/2017)</t>
        </is>
      </c>
      <c r="K455" s="7" t="inlineStr">
        <is>
          <t>Aumento da aderência, espalhamento e absorção translaminar da calda</t>
        </is>
      </c>
      <c r="L455" s="9" t="n">
        <v>720</v>
      </c>
      <c r="M455" s="7" t="inlineStr">
        <is>
          <t>g/L</t>
        </is>
      </c>
      <c r="N455" s="7" t="inlineStr">
        <is>
          <t>Registro Técnico Vinculado MAPA</t>
        </is>
      </c>
    </row>
    <row r="456" ht="22" customHeight="1">
      <c r="A456" s="12" t="inlineStr">
        <is>
          <t>CMP-0452</t>
        </is>
      </c>
      <c r="B456" s="11" t="n">
        <v>317</v>
      </c>
      <c r="C456" s="13" t="inlineStr">
        <is>
          <t>Nº 27717</t>
        </is>
      </c>
      <c r="D456" s="14" t="inlineStr">
        <is>
          <t>FIPRONIL 800 WG AGCN</t>
        </is>
      </c>
      <c r="E456" s="11" t="n">
        <v>1</v>
      </c>
      <c r="F456" s="13" t="inlineStr">
        <is>
          <t>Ingrediente Ativo Principal</t>
        </is>
      </c>
      <c r="G456" s="13" t="inlineStr">
        <is>
          <t>FIPRONIL 800</t>
        </is>
      </c>
      <c r="H456" s="13" t="inlineStr">
        <is>
          <t>(RS)-5-amino-1-(2,6-dichloro-a,a,a-trifluoro-p-tolyl)-4-trifluoromethylsulfinylpyrazole-3-carbonitrile</t>
        </is>
      </c>
      <c r="I456" s="13" t="inlineStr">
        <is>
          <t>Pirazol (Fenilpirazol)</t>
        </is>
      </c>
      <c r="J456" s="13" t="inlineStr">
        <is>
          <t>IRAC Grupo 2B</t>
        </is>
      </c>
      <c r="K456" s="13" t="inlineStr">
        <is>
          <t>Bloqueadores de canais de cloro mediados pelo GABA</t>
        </is>
      </c>
      <c r="L456" s="15" t="n">
        <v>800</v>
      </c>
      <c r="M456" s="13" t="inlineStr">
        <is>
          <t>g/kg</t>
        </is>
      </c>
      <c r="N456" s="13" t="inlineStr">
        <is>
          <t>Registro Técnico Vinculado MAPA</t>
        </is>
      </c>
    </row>
    <row r="457" ht="22" customHeight="1">
      <c r="A457" s="6" t="inlineStr">
        <is>
          <t>CMP-0453</t>
        </is>
      </c>
      <c r="B457" s="5" t="n">
        <v>318</v>
      </c>
      <c r="C457" s="7" t="inlineStr">
        <is>
          <t>SIPEAGRO (UF-XXXXX)</t>
        </is>
      </c>
      <c r="D457" s="8" t="inlineStr">
        <is>
          <t>QUALY SULFATO MAGNESIO 16 - E</t>
        </is>
      </c>
      <c r="E457" s="5" t="n">
        <v>1</v>
      </c>
      <c r="F457" s="7" t="inlineStr">
        <is>
          <t>Nutriente Garantido</t>
        </is>
      </c>
      <c r="G457" s="7" t="inlineStr">
        <is>
          <t>SULFATO DE MAGNESIO (MG 16%</t>
        </is>
      </c>
      <c r="H457" s="7" t="inlineStr">
        <is>
          <t>Composição Nutricional Oficial (SULFATO DE MAGNESIO (MG 16%)</t>
        </is>
      </c>
      <c r="I457" s="7" t="inlineStr">
        <is>
          <t>Fertilizante Mineral / Organomineral (Lei nº 6.894/1980)</t>
        </is>
      </c>
      <c r="J457" s="7" t="inlineStr">
        <is>
          <t>Nutrição Vegetal SIPEAGRO</t>
        </is>
      </c>
      <c r="K457" s="7" t="inlineStr">
        <is>
          <t>Fornecimento de macro e micronutrientes essenciais ao metabolismo vegetal</t>
        </is>
      </c>
      <c r="L457" s="9" t="n">
        <v>16</v>
      </c>
      <c r="M457" s="7" t="inlineStr">
        <is>
          <t>% m/m</t>
        </is>
      </c>
      <c r="N457" s="7" t="inlineStr">
        <is>
          <t>Registro Técnico Vinculado MAPA</t>
        </is>
      </c>
    </row>
    <row r="458" ht="22" customHeight="1">
      <c r="A458" s="12" t="inlineStr">
        <is>
          <t>CMP-0454</t>
        </is>
      </c>
      <c r="B458" s="11" t="n">
        <v>318</v>
      </c>
      <c r="C458" s="13" t="inlineStr">
        <is>
          <t>SIPEAGRO (UF-XXXXX)</t>
        </is>
      </c>
      <c r="D458" s="14" t="inlineStr">
        <is>
          <t>QUALY SULFATO MAGNESIO 16 - E</t>
        </is>
      </c>
      <c r="E458" s="11" t="n">
        <v>2</v>
      </c>
      <c r="F458" s="13" t="inlineStr">
        <is>
          <t>Nutriente Garantido</t>
        </is>
      </c>
      <c r="G458" s="13" t="inlineStr">
        <is>
          <t>S 13%)</t>
        </is>
      </c>
      <c r="H458" s="13" t="inlineStr">
        <is>
          <t>Composição Nutricional Oficial (S 13%))</t>
        </is>
      </c>
      <c r="I458" s="13" t="inlineStr">
        <is>
          <t>Fertilizante Mineral / Organomineral (Lei nº 6.894/1980)</t>
        </is>
      </c>
      <c r="J458" s="13" t="inlineStr">
        <is>
          <t>Nutrição Vegetal SIPEAGRO</t>
        </is>
      </c>
      <c r="K458" s="13" t="inlineStr">
        <is>
          <t>Fornecimento de macro e micronutrientes essenciais ao metabolismo vegetal</t>
        </is>
      </c>
      <c r="L458" s="15" t="n">
        <v>13</v>
      </c>
      <c r="M458" s="13" t="inlineStr">
        <is>
          <t>% m/m</t>
        </is>
      </c>
      <c r="N458" s="13" t="inlineStr">
        <is>
          <t>Registro Técnico Vinculado MAPA</t>
        </is>
      </c>
    </row>
    <row r="459" ht="22" customHeight="1">
      <c r="A459" s="6" t="inlineStr">
        <is>
          <t>CMP-0455</t>
        </is>
      </c>
      <c r="B459" s="5" t="n">
        <v>319</v>
      </c>
      <c r="C459" s="7" t="inlineStr">
        <is>
          <t>Nº 12621</t>
        </is>
      </c>
      <c r="D459" s="8" t="inlineStr">
        <is>
          <t>NADRAN 250</t>
        </is>
      </c>
      <c r="E459" s="5" t="n">
        <v>1</v>
      </c>
      <c r="F459" s="7" t="inlineStr">
        <is>
          <t>Ingrediente Ativo Principal</t>
        </is>
      </c>
      <c r="G459" s="7" t="inlineStr">
        <is>
          <t>CLORETO DE MEPIQUATE 250</t>
        </is>
      </c>
      <c r="H459" s="7" t="inlineStr">
        <is>
          <t>1,1-dimethylpiperidinium chloride</t>
        </is>
      </c>
      <c r="I459" s="7" t="inlineStr">
        <is>
          <t>Amônio Quaternário (Fitorregulador)</t>
        </is>
      </c>
      <c r="J459" s="7" t="inlineStr">
        <is>
          <t>Regulador de Crescimento Vegetal (Inibidor de Giberelina)</t>
        </is>
      </c>
      <c r="K459" s="7" t="inlineStr">
        <is>
          <t>Inibição da biossíntese de giberelinas (redução do crescimento vegetativo)</t>
        </is>
      </c>
      <c r="L459" s="9" t="n">
        <v>250</v>
      </c>
      <c r="M459" s="7" t="inlineStr">
        <is>
          <t>g/L</t>
        </is>
      </c>
      <c r="N459" s="7" t="inlineStr">
        <is>
          <t>Registro Técnico Vinculado MAPA</t>
        </is>
      </c>
    </row>
    <row r="460" ht="22" customHeight="1">
      <c r="A460" s="12" t="inlineStr">
        <is>
          <t>CMP-0456</t>
        </is>
      </c>
      <c r="B460" s="11" t="n">
        <v>320</v>
      </c>
      <c r="C460" s="13" t="inlineStr">
        <is>
          <t>Nº 7723</t>
        </is>
      </c>
      <c r="D460" s="14" t="inlineStr">
        <is>
          <t>ALVOFIX</t>
        </is>
      </c>
      <c r="E460" s="11" t="n">
        <v>1</v>
      </c>
      <c r="F460" s="13" t="inlineStr">
        <is>
          <t>Ingrediente Ativo Principal</t>
        </is>
      </c>
      <c r="G460" s="13" t="inlineStr">
        <is>
          <t>BIFENTRINA 400</t>
        </is>
      </c>
      <c r="H460" s="13" t="inlineStr">
        <is>
          <t>2-methylbiphenyl-3-ylmethyl (Z)-(1RS,3RS)-3-(2-chloro-3,3,3-trifluoroprop-1-enyl)-2,2-dimethylcyclopropanecarboxylate</t>
        </is>
      </c>
      <c r="I460" s="13" t="inlineStr">
        <is>
          <t>Piretroide (Tipo I)</t>
        </is>
      </c>
      <c r="J460" s="13" t="inlineStr">
        <is>
          <t>IRAC Grupo 3A</t>
        </is>
      </c>
      <c r="K460" s="13" t="inlineStr">
        <is>
          <t>Moduladores de canais de sódio em membranas nervosas</t>
        </is>
      </c>
      <c r="L460" s="15" t="n">
        <v>400</v>
      </c>
      <c r="M460" s="13" t="inlineStr">
        <is>
          <t>g/L</t>
        </is>
      </c>
      <c r="N460" s="13" t="inlineStr">
        <is>
          <t>Registro Técnico Vinculado MAPA</t>
        </is>
      </c>
    </row>
    <row r="461" ht="22" customHeight="1">
      <c r="A461" s="6" t="inlineStr">
        <is>
          <t>CMP-0457</t>
        </is>
      </c>
      <c r="B461" s="5" t="n">
        <v>321</v>
      </c>
      <c r="C461" s="7" t="inlineStr">
        <is>
          <t>SIPEAGRO (UF-XXXXX)</t>
        </is>
      </c>
      <c r="D461" s="8" t="inlineStr">
        <is>
          <t>BIOLOGIC NEMA</t>
        </is>
      </c>
      <c r="E461" s="5" t="n">
        <v>1</v>
      </c>
      <c r="F461" s="7" t="inlineStr">
        <is>
          <t>Agente Biológico / Cepa</t>
        </is>
      </c>
      <c r="G461" s="7" t="inlineStr">
        <is>
          <t>COMPLEXO DE BACILLUS (B. amyloliquefaciens, B. subtilis, B. aryabhattai, B. megaterium, B. licheniformis — mín. 1,0x10^9 UFC/mL)</t>
        </is>
      </c>
      <c r="H461" s="7" t="inlineStr">
        <is>
          <t>Consórcio microbiológico do gênero Bacillus spp.</t>
        </is>
      </c>
      <c r="I461" s="7" t="inlineStr">
        <is>
          <t>Agente Microbiológico Condicionador de Rizosfera e Bionematicida</t>
        </is>
      </c>
      <c r="J461" s="7" t="inlineStr">
        <is>
          <t>Bioinsumo Microbiológico SIPEAGRO/MAPA</t>
        </is>
      </c>
      <c r="K461" s="7" t="inlineStr">
        <is>
          <t>Formação de biofilme radicular, degradação de exsudatos e antagonismo a fitonematoides</t>
        </is>
      </c>
      <c r="L461" s="9" t="n">
        <v>100</v>
      </c>
      <c r="M461" s="7" t="inlineStr">
        <is>
          <t>% v/v (Veículo Inoculante Estéril)</t>
        </is>
      </c>
      <c r="N461" s="7" t="inlineStr">
        <is>
          <t>Registro Técnico Vinculado MAPA</t>
        </is>
      </c>
    </row>
    <row r="462" ht="22" customHeight="1">
      <c r="A462" s="12" t="inlineStr">
        <is>
          <t>CMP-0458</t>
        </is>
      </c>
      <c r="B462" s="11" t="n">
        <v>322</v>
      </c>
      <c r="C462" s="13" t="inlineStr">
        <is>
          <t>Nº 109009</t>
        </is>
      </c>
      <c r="D462" s="14" t="inlineStr">
        <is>
          <t>MANZATE WG</t>
        </is>
      </c>
      <c r="E462" s="11" t="n">
        <v>1</v>
      </c>
      <c r="F462" s="13" t="inlineStr">
        <is>
          <t>Ingrediente Ativo Principal</t>
        </is>
      </c>
      <c r="G462" s="13" t="inlineStr">
        <is>
          <t>MANCOZEB 750</t>
        </is>
      </c>
      <c r="H462" s="13" t="inlineStr">
        <is>
          <t>Manganese ethylenebis(dithiocarbamate) (polymeric) complex with zinc salt</t>
        </is>
      </c>
      <c r="I462" s="13" t="inlineStr">
        <is>
          <t>Alquilenobis(ditiocarbamato)</t>
        </is>
      </c>
      <c r="J462" s="13" t="inlineStr">
        <is>
          <t>FRAC Grupo M03 — Multissítio</t>
        </is>
      </c>
      <c r="K462" s="13" t="inlineStr">
        <is>
          <t>Inibidor multissítio de enzimas contendo grupos sulfidrila e aminoácidos fúngicos</t>
        </is>
      </c>
      <c r="L462" s="15" t="n">
        <v>750</v>
      </c>
      <c r="M462" s="13" t="inlineStr">
        <is>
          <t>g/kg</t>
        </is>
      </c>
      <c r="N462" s="13" t="inlineStr">
        <is>
          <t>Registro Técnico Vinculado MAPA</t>
        </is>
      </c>
    </row>
    <row r="463" ht="22" customHeight="1">
      <c r="A463" s="6" t="inlineStr">
        <is>
          <t>CMP-0459</t>
        </is>
      </c>
      <c r="B463" s="5" t="n">
        <v>323</v>
      </c>
      <c r="C463" s="7" t="inlineStr">
        <is>
          <t>SIPEAGRO (UF-XXXXX)</t>
        </is>
      </c>
      <c r="D463" s="8" t="inlineStr">
        <is>
          <t>RIZOKOP</t>
        </is>
      </c>
      <c r="E463" s="5" t="n">
        <v>1</v>
      </c>
      <c r="F463" s="7" t="inlineStr">
        <is>
          <t>Agente Biológico / Cepa</t>
        </is>
      </c>
      <c r="G463" s="7" t="inlineStr">
        <is>
          <t>AZOSPIRILLUM BRASILENSE CEPAS Ab-V5 E Ab-V6 (Garantia mín. 2,0x10^8 UFC/mL)</t>
        </is>
      </c>
      <c r="H463" s="7" t="inlineStr">
        <is>
          <t>Azospirillum brasilense estirpes Ab-V5 (CNPSo 2083) e Ab-V6 (CNPSo 2084)</t>
        </is>
      </c>
      <c r="I463" s="7" t="inlineStr">
        <is>
          <t>Inoculante Biológico Fixador de Nitrogênio e Promotor de Crescimento (PGPR)</t>
        </is>
      </c>
      <c r="J463" s="7" t="inlineStr">
        <is>
          <t>Inoculante Registrado SIPEAGRO/MAPA</t>
        </is>
      </c>
      <c r="K463" s="7" t="inlineStr">
        <is>
          <t>Fixação biológica de nitrogênio (FBN) e síntese de fitormônios enraizadores (AIA)</t>
        </is>
      </c>
      <c r="L463" s="9" t="n">
        <v>100</v>
      </c>
      <c r="M463" s="7" t="inlineStr">
        <is>
          <t>% v/v (Veículo Inoculante Estéril)</t>
        </is>
      </c>
      <c r="N463" s="7" t="inlineStr">
        <is>
          <t>Registro Técnico Vinculado MAPA</t>
        </is>
      </c>
    </row>
    <row r="464" ht="22" customHeight="1">
      <c r="A464" s="12" t="inlineStr">
        <is>
          <t>CMP-0460</t>
        </is>
      </c>
      <c r="B464" s="11" t="n">
        <v>324</v>
      </c>
      <c r="C464" s="13" t="inlineStr">
        <is>
          <t>Nº 9622</t>
        </is>
      </c>
      <c r="D464" s="14" t="inlineStr">
        <is>
          <t>CLOROTALONIL C</t>
        </is>
      </c>
      <c r="E464" s="11" t="n">
        <v>1</v>
      </c>
      <c r="F464" s="13" t="inlineStr">
        <is>
          <t>Ingrediente Ativo Principal</t>
        </is>
      </c>
      <c r="G464" s="13" t="inlineStr">
        <is>
          <t>CLOROTALONIL 720</t>
        </is>
      </c>
      <c r="H464" s="13" t="inlineStr">
        <is>
          <t>Tetrachloroisophthalonitrile</t>
        </is>
      </c>
      <c r="I464" s="13" t="inlineStr">
        <is>
          <t>Isoftalonitrila</t>
        </is>
      </c>
      <c r="J464" s="13" t="inlineStr">
        <is>
          <t>FRAC Grupo M05 — Multissítio</t>
        </is>
      </c>
      <c r="K464" s="13" t="inlineStr">
        <is>
          <t>Atividade de contato multissítio (inativação de grupos tiol enzimáticos)</t>
        </is>
      </c>
      <c r="L464" s="15" t="n">
        <v>720</v>
      </c>
      <c r="M464" s="13" t="inlineStr">
        <is>
          <t>g/L</t>
        </is>
      </c>
      <c r="N464" s="13" t="inlineStr">
        <is>
          <t>Registro Técnico Vinculado MAPA</t>
        </is>
      </c>
    </row>
    <row r="465" ht="22" customHeight="1">
      <c r="A465" s="6" t="inlineStr">
        <is>
          <t>CMP-0461</t>
        </is>
      </c>
      <c r="B465" s="5" t="n">
        <v>325</v>
      </c>
      <c r="C465" s="7" t="inlineStr">
        <is>
          <t>Nº 17119</t>
        </is>
      </c>
      <c r="D465" s="8" t="inlineStr">
        <is>
          <t>DIFO 250 EC</t>
        </is>
      </c>
      <c r="E465" s="5" t="n">
        <v>1</v>
      </c>
      <c r="F465" s="7" t="inlineStr">
        <is>
          <t>Ingrediente Ativo Principal</t>
        </is>
      </c>
      <c r="G465" s="7" t="inlineStr">
        <is>
          <t>DIFENOCONAZOL 250</t>
        </is>
      </c>
      <c r="H465" s="7" t="inlineStr">
        <is>
          <t>cis,trans-3-chloro-4-[4-methyl-2-(1H-1,2,4-triazol-1-ylmethyl)-1,3-dioxolan-2-yl]phenyl 4-chlorophenyl ether</t>
        </is>
      </c>
      <c r="I465" s="7" t="inlineStr">
        <is>
          <t>Triazol</t>
        </is>
      </c>
      <c r="J465" s="7" t="inlineStr">
        <is>
          <t>FRAC Grupo 3 (DMI)</t>
        </is>
      </c>
      <c r="K465" s="7" t="inlineStr">
        <is>
          <t>Inibidores da desmetilação de esteróis (C14-desmetilase na síntese de ergosterol)</t>
        </is>
      </c>
      <c r="L465" s="9" t="n">
        <v>250</v>
      </c>
      <c r="M465" s="7" t="inlineStr">
        <is>
          <t>g/L</t>
        </is>
      </c>
      <c r="N465" s="7" t="inlineStr">
        <is>
          <t>Registro Técnico Vinculado MAPA</t>
        </is>
      </c>
    </row>
    <row r="466" ht="22" customHeight="1">
      <c r="A466" s="12" t="inlineStr">
        <is>
          <t>CMP-0462</t>
        </is>
      </c>
      <c r="B466" s="11" t="n">
        <v>326</v>
      </c>
      <c r="C466" s="13" t="inlineStr">
        <is>
          <t>Nº 10023</t>
        </is>
      </c>
      <c r="D466" s="14" t="inlineStr">
        <is>
          <t>XEQUE MATE SG</t>
        </is>
      </c>
      <c r="E466" s="11" t="n">
        <v>1</v>
      </c>
      <c r="F466" s="13" t="inlineStr">
        <is>
          <t>Ingrediente Ativo Principal</t>
        </is>
      </c>
      <c r="G466" s="13" t="inlineStr">
        <is>
          <t>GLIFOSATO 720</t>
        </is>
      </c>
      <c r="H466" s="13" t="inlineStr">
        <is>
          <t>N-(phosphonomethyl)glycine (Sal de Amônio / Isopropilamina / Potássico)</t>
        </is>
      </c>
      <c r="I466" s="13" t="inlineStr">
        <is>
          <t>Glicina substituída</t>
        </is>
      </c>
      <c r="J466" s="13" t="inlineStr">
        <is>
          <t>HRAC Grupo G (EPSPs)</t>
        </is>
      </c>
      <c r="K466" s="13" t="inlineStr">
        <is>
          <t>Inibidores da enzima EPSPs (Enoil Piruvil Shiquimato Fosfato Sintase)</t>
        </is>
      </c>
      <c r="L466" s="15" t="n">
        <v>720</v>
      </c>
      <c r="M466" s="13" t="inlineStr">
        <is>
          <t>g/kg</t>
        </is>
      </c>
      <c r="N466" s="13" t="inlineStr">
        <is>
          <t>Registro Técnico Vinculado MAPA</t>
        </is>
      </c>
    </row>
    <row r="467" ht="22" customHeight="1">
      <c r="A467" s="6" t="inlineStr">
        <is>
          <t>CMP-0463</t>
        </is>
      </c>
      <c r="B467" s="5" t="n">
        <v>327</v>
      </c>
      <c r="C467" s="7" t="inlineStr">
        <is>
          <t>Nº 10623</t>
        </is>
      </c>
      <c r="D467" s="8" t="inlineStr">
        <is>
          <t>PREVENT GOLD</t>
        </is>
      </c>
      <c r="E467" s="5" t="n">
        <v>1</v>
      </c>
      <c r="F467" s="7" t="inlineStr">
        <is>
          <t>Ingrediente Ativo Principal</t>
        </is>
      </c>
      <c r="G467" s="7" t="inlineStr">
        <is>
          <t>S-METOLACLORO 960</t>
        </is>
      </c>
      <c r="H467" s="7" t="inlineStr">
        <is>
          <t>Mixture of (aRS,1S)-2-chloro-6'-ethyl-N-(2-methoxy-1-methylethyl)aceto-o-toluidide</t>
        </is>
      </c>
      <c r="I467" s="7" t="inlineStr">
        <is>
          <t>Cloroacetanilida</t>
        </is>
      </c>
      <c r="J467" s="7" t="inlineStr">
        <is>
          <t>HRAC Grupo K3 (15) — Inibidores de VLCFAs</t>
        </is>
      </c>
      <c r="K467" s="7" t="inlineStr">
        <is>
          <t>Inibidores da síntese de ácidos graxos de cadeia muito longa (divisão celular)</t>
        </is>
      </c>
      <c r="L467" s="9" t="n">
        <v>960</v>
      </c>
      <c r="M467" s="7" t="inlineStr">
        <is>
          <t>g/L</t>
        </is>
      </c>
      <c r="N467" s="7" t="inlineStr">
        <is>
          <t>Registro Técnico Vinculado MAPA</t>
        </is>
      </c>
    </row>
    <row r="468" ht="22" customHeight="1">
      <c r="A468" s="12" t="inlineStr">
        <is>
          <t>CMP-0464</t>
        </is>
      </c>
      <c r="B468" s="11" t="n">
        <v>328</v>
      </c>
      <c r="C468" s="13" t="inlineStr">
        <is>
          <t>Nº 3518</t>
        </is>
      </c>
      <c r="D468" s="14" t="inlineStr">
        <is>
          <t>VERDICT(TM)</t>
        </is>
      </c>
      <c r="E468" s="11" t="n">
        <v>1</v>
      </c>
      <c r="F468" s="13" t="inlineStr">
        <is>
          <t>Ingrediente Ativo Principal</t>
        </is>
      </c>
      <c r="G468" s="13" t="inlineStr">
        <is>
          <t>HALOXIFOPE-P-METÍLICO (Equiv. 120 g/L Ácido)</t>
        </is>
      </c>
      <c r="H468" s="13" t="inlineStr">
        <is>
          <t>Methyl (R)-2-{4-[3-chloro-5-(trifluoromethyl)-2-pyridyloxy]phenoxy}propionate</t>
        </is>
      </c>
      <c r="I468" s="13" t="inlineStr">
        <is>
          <t>Ariloxifenoxipropionato (FOP)</t>
        </is>
      </c>
      <c r="J468" s="13" t="inlineStr">
        <is>
          <t>HRAC Grupo A (1) — Inibidores da ACCase</t>
        </is>
      </c>
      <c r="K468" s="13" t="inlineStr">
        <is>
          <t>Inibição da enzima acetil-CoA carboxilase (ACCase)</t>
        </is>
      </c>
      <c r="L468" s="18" t="n">
        <v>124.7</v>
      </c>
      <c r="M468" s="13" t="inlineStr">
        <is>
          <t>g/L</t>
        </is>
      </c>
      <c r="N468" s="13" t="inlineStr">
        <is>
          <t>Haloxyfop-P-Methyl Técnico Corteva</t>
        </is>
      </c>
    </row>
    <row r="469" ht="22" customHeight="1">
      <c r="A469" s="6" t="inlineStr">
        <is>
          <t>CMP-0465</t>
        </is>
      </c>
      <c r="B469" s="5" t="n">
        <v>329</v>
      </c>
      <c r="C469" s="7" t="inlineStr">
        <is>
          <t>ISENTO (ATO 104/2017)</t>
        </is>
      </c>
      <c r="D469" s="8" t="inlineStr">
        <is>
          <t>AGCN EASY OIL</t>
        </is>
      </c>
      <c r="E469" s="5" t="n">
        <v>1</v>
      </c>
      <c r="F469" s="7" t="inlineStr">
        <is>
          <t>Ingrediente Ativo Principal</t>
        </is>
      </c>
      <c r="G469" s="7" t="inlineStr">
        <is>
          <t>ÓLEO MINERAL PARAFÍNICO (Hidrocarbonetos Alifáticos)</t>
        </is>
      </c>
      <c r="H469" s="7" t="inlineStr">
        <is>
          <t>Aliphatic hydrocarbons (Mineral paraffin oil)</t>
        </is>
      </c>
      <c r="I469" s="7" t="inlineStr">
        <is>
          <t>Adjuvante Espalhante e Antievaporante (Óleo Mineral)</t>
        </is>
      </c>
      <c r="J469" s="7" t="inlineStr">
        <is>
          <t>Auxiliar de Tecnologia de Aplicação (Ato SDA 104/2017)</t>
        </is>
      </c>
      <c r="K469" s="7" t="inlineStr">
        <is>
          <t>Redução de deriva, efeito antievaporante e penetração na cutícula foliar</t>
        </is>
      </c>
      <c r="L469" s="9" t="n">
        <v>800</v>
      </c>
      <c r="M469" s="7" t="inlineStr">
        <is>
          <t>g/L</t>
        </is>
      </c>
      <c r="N469" s="7" t="inlineStr">
        <is>
          <t>Registro Técnico Vinculado MAPA</t>
        </is>
      </c>
    </row>
    <row r="470" ht="22" customHeight="1">
      <c r="A470" s="12" t="inlineStr">
        <is>
          <t>CMP-0466</t>
        </is>
      </c>
      <c r="B470" s="11" t="n">
        <v>330</v>
      </c>
      <c r="C470" s="13" t="inlineStr">
        <is>
          <t>ISENTO (ATO 104/2017)</t>
        </is>
      </c>
      <c r="D470" s="14" t="inlineStr">
        <is>
          <t>AGRICOIL PREMIUM PURO</t>
        </is>
      </c>
      <c r="E470" s="11" t="n">
        <v>1</v>
      </c>
      <c r="F470" s="13" t="inlineStr">
        <is>
          <t>Ingrediente Ativo Principal</t>
        </is>
      </c>
      <c r="G470" s="13" t="inlineStr">
        <is>
          <t>ÓLEO MINERAL PARAFÍNICO (Hidrocarbonetos Alifáticos)</t>
        </is>
      </c>
      <c r="H470" s="13" t="inlineStr">
        <is>
          <t>Aliphatic hydrocarbons (Mineral paraffin oil)</t>
        </is>
      </c>
      <c r="I470" s="13" t="inlineStr">
        <is>
          <t>Adjuvante Espalhante e Antievaporante (Óleo Mineral)</t>
        </is>
      </c>
      <c r="J470" s="13" t="inlineStr">
        <is>
          <t>Auxiliar de Tecnologia de Aplicação (Ato SDA 104/2017)</t>
        </is>
      </c>
      <c r="K470" s="13" t="inlineStr">
        <is>
          <t>Redução de deriva, efeito antievaporante e penetração na cutícula foliar</t>
        </is>
      </c>
      <c r="L470" s="15" t="n">
        <v>800</v>
      </c>
      <c r="M470" s="13" t="inlineStr">
        <is>
          <t>g/L</t>
        </is>
      </c>
      <c r="N470" s="13" t="inlineStr">
        <is>
          <t>Registro Técnico Vinculado MAPA</t>
        </is>
      </c>
    </row>
    <row r="471" ht="22" customHeight="1">
      <c r="A471" s="6" t="inlineStr">
        <is>
          <t>CMP-0467</t>
        </is>
      </c>
      <c r="B471" s="5" t="n">
        <v>331</v>
      </c>
      <c r="C471" s="7" t="inlineStr">
        <is>
          <t>Nº 9621</t>
        </is>
      </c>
      <c r="D471" s="8" t="inlineStr">
        <is>
          <t>GLIFOSATO 540 (PRINCIPIO ATIVO)</t>
        </is>
      </c>
      <c r="E471" s="5" t="n">
        <v>1</v>
      </c>
      <c r="F471" s="7" t="inlineStr">
        <is>
          <t>Ingrediente Ativo Principal</t>
        </is>
      </c>
      <c r="G471" s="7" t="inlineStr">
        <is>
          <t>GLIFOSATO SAL DE POTÁSSIO 660 g/L (Equiv. 540 g/L Ácido)</t>
        </is>
      </c>
      <c r="H471" s="7" t="inlineStr">
        <is>
          <t>N-(phosphonomethyl)glycine (Potassium salt)</t>
        </is>
      </c>
      <c r="I471" s="7" t="inlineStr">
        <is>
          <t>Glicina substituída</t>
        </is>
      </c>
      <c r="J471" s="7" t="inlineStr">
        <is>
          <t>HRAC Grupo G (9) — Inibidores da EPSPs</t>
        </is>
      </c>
      <c r="K471" s="7" t="inlineStr">
        <is>
          <t>Inibidores da enzima EPSPs (Enoil Piruvil Shiquimato Fosfato Sintase)</t>
        </is>
      </c>
      <c r="L471" s="9" t="n">
        <v>540</v>
      </c>
      <c r="M471" s="7" t="inlineStr">
        <is>
          <t>g/L</t>
        </is>
      </c>
      <c r="N471" s="7" t="inlineStr">
        <is>
          <t>Glifosato Técnico Albaugh</t>
        </is>
      </c>
    </row>
    <row r="472" ht="22" customHeight="1">
      <c r="A472" s="12" t="inlineStr">
        <is>
          <t>CMP-0468</t>
        </is>
      </c>
      <c r="B472" s="11" t="n">
        <v>332</v>
      </c>
      <c r="C472" s="13" t="inlineStr">
        <is>
          <t>Nº 12319</t>
        </is>
      </c>
      <c r="D472" s="14" t="inlineStr">
        <is>
          <t>MANCOZEB 800 SINO-AGRI</t>
        </is>
      </c>
      <c r="E472" s="11" t="n">
        <v>1</v>
      </c>
      <c r="F472" s="13" t="inlineStr">
        <is>
          <t>Ingrediente Ativo Principal</t>
        </is>
      </c>
      <c r="G472" s="13" t="inlineStr">
        <is>
          <t>MANCOZEB 800</t>
        </is>
      </c>
      <c r="H472" s="13" t="inlineStr">
        <is>
          <t>Manganese ethylenebis(dithiocarbamate) (polymeric) complex with zinc salt</t>
        </is>
      </c>
      <c r="I472" s="13" t="inlineStr">
        <is>
          <t>Alquilenobis(ditiocarbamato)</t>
        </is>
      </c>
      <c r="J472" s="13" t="inlineStr">
        <is>
          <t>FRAC Grupo M03 — Multissítio</t>
        </is>
      </c>
      <c r="K472" s="13" t="inlineStr">
        <is>
          <t>Inibidor multissítio de enzimas contendo grupos sulfidrila e aminoácidos fúngicos</t>
        </is>
      </c>
      <c r="L472" s="15" t="n">
        <v>800</v>
      </c>
      <c r="M472" s="13" t="inlineStr">
        <is>
          <t>g/kg</t>
        </is>
      </c>
      <c r="N472" s="13" t="inlineStr">
        <is>
          <t>Registro Técnico Vinculado MAPA</t>
        </is>
      </c>
    </row>
    <row r="473" ht="22" customHeight="1">
      <c r="A473" s="6" t="inlineStr">
        <is>
          <t>CMP-0469</t>
        </is>
      </c>
      <c r="B473" s="5" t="n">
        <v>333</v>
      </c>
      <c r="C473" s="7" t="inlineStr">
        <is>
          <t>SIPEAGRO (UF-XXXXX)</t>
        </is>
      </c>
      <c r="D473" s="8" t="inlineStr">
        <is>
          <t>SULFATO DE AMONIO 21N AMONIACAL 24S GRANULADO</t>
        </is>
      </c>
      <c r="E473" s="5" t="n">
        <v>1</v>
      </c>
      <c r="F473" s="7" t="inlineStr">
        <is>
          <t>Nutriente Garantido</t>
        </is>
      </c>
      <c r="G473" s="7" t="inlineStr">
        <is>
          <t>NITROGENIO</t>
        </is>
      </c>
      <c r="H473" s="7" t="inlineStr">
        <is>
          <t>Composição Nutricional Oficial (NITROGENIO)</t>
        </is>
      </c>
      <c r="I473" s="7" t="inlineStr">
        <is>
          <t>Fertilizante Mineral / Organomineral (Lei nº 6.894/1980)</t>
        </is>
      </c>
      <c r="J473" s="7" t="inlineStr">
        <is>
          <t>Nutrição Vegetal SIPEAGRO</t>
        </is>
      </c>
      <c r="K473" s="7" t="inlineStr">
        <is>
          <t>Fornecimento de macro e micronutrientes essenciais ao metabolismo vegetal</t>
        </is>
      </c>
      <c r="L473" s="9" t="n">
        <v>100</v>
      </c>
      <c r="M473" s="7" t="inlineStr">
        <is>
          <t>% m/m</t>
        </is>
      </c>
      <c r="N473" s="7" t="inlineStr">
        <is>
          <t>Registro Técnico Vinculado MAPA</t>
        </is>
      </c>
    </row>
    <row r="474" ht="22" customHeight="1">
      <c r="A474" s="12" t="inlineStr">
        <is>
          <t>CMP-0470</t>
        </is>
      </c>
      <c r="B474" s="11" t="n">
        <v>333</v>
      </c>
      <c r="C474" s="13" t="inlineStr">
        <is>
          <t>SIPEAGRO (UF-XXXXX)</t>
        </is>
      </c>
      <c r="D474" s="14" t="inlineStr">
        <is>
          <t>SULFATO DE AMONIO 21N AMONIACAL 24S GRANULADO</t>
        </is>
      </c>
      <c r="E474" s="11" t="n">
        <v>2</v>
      </c>
      <c r="F474" s="13" t="inlineStr">
        <is>
          <t>Nutriente Garantido</t>
        </is>
      </c>
      <c r="G474" s="13" t="inlineStr">
        <is>
          <t>ENXOFRE</t>
        </is>
      </c>
      <c r="H474" s="13" t="inlineStr">
        <is>
          <t>Composição Nutricional Oficial (ENXOFRE)</t>
        </is>
      </c>
      <c r="I474" s="13" t="inlineStr">
        <is>
          <t>Fertilizante Mineral / Organomineral (Lei nº 6.894/1980)</t>
        </is>
      </c>
      <c r="J474" s="13" t="inlineStr">
        <is>
          <t>Nutrição Vegetal SIPEAGRO</t>
        </is>
      </c>
      <c r="K474" s="13" t="inlineStr">
        <is>
          <t>Fornecimento de macro e micronutrientes essenciais ao metabolismo vegetal</t>
        </is>
      </c>
      <c r="L474" s="15" t="n">
        <v>100</v>
      </c>
      <c r="M474" s="13" t="inlineStr">
        <is>
          <t>% m/m</t>
        </is>
      </c>
      <c r="N474" s="13" t="inlineStr">
        <is>
          <t>Registro Técnico Vinculado MAPA</t>
        </is>
      </c>
    </row>
    <row r="475" ht="22" customHeight="1">
      <c r="A475" s="6" t="inlineStr">
        <is>
          <t>CMP-0471</t>
        </is>
      </c>
      <c r="B475" s="5" t="n">
        <v>334</v>
      </c>
      <c r="C475" s="7" t="inlineStr">
        <is>
          <t>Nº 34118</t>
        </is>
      </c>
      <c r="D475" s="8" t="inlineStr">
        <is>
          <t>TEMPLO</t>
        </is>
      </c>
      <c r="E475" s="5" t="n">
        <v>1</v>
      </c>
      <c r="F475" s="7" t="inlineStr">
        <is>
          <t>Ingrediente Ativo Principal</t>
        </is>
      </c>
      <c r="G475" s="7" t="inlineStr">
        <is>
          <t>GLIFOSATO SAL DE POTÁSSIO (Equiv. 540 g/L Ácido)</t>
        </is>
      </c>
      <c r="H475" s="7" t="inlineStr">
        <is>
          <t>N-(phosphonomethyl)glycine (Potassium salt)</t>
        </is>
      </c>
      <c r="I475" s="7" t="inlineStr">
        <is>
          <t>Glicina substituída</t>
        </is>
      </c>
      <c r="J475" s="7" t="inlineStr">
        <is>
          <t>HRAC Grupo G (9) — Inibidores da EPSPs</t>
        </is>
      </c>
      <c r="K475" s="7" t="inlineStr">
        <is>
          <t>Inibidores da enzima EPSPs (Enoil Piruvil Shiquimato Fosfato Sintase)</t>
        </is>
      </c>
      <c r="L475" s="9" t="n">
        <v>540</v>
      </c>
      <c r="M475" s="7" t="inlineStr">
        <is>
          <t>g/L</t>
        </is>
      </c>
      <c r="N475" s="7" t="inlineStr">
        <is>
          <t>Glifosato Técnico Syngenta</t>
        </is>
      </c>
    </row>
    <row r="476" ht="22" customHeight="1">
      <c r="A476" s="12" t="inlineStr">
        <is>
          <t>CMP-0472</t>
        </is>
      </c>
      <c r="B476" s="11" t="n">
        <v>335</v>
      </c>
      <c r="C476" s="13" t="inlineStr">
        <is>
          <t>Nº 13614</t>
        </is>
      </c>
      <c r="D476" s="14" t="inlineStr">
        <is>
          <t>SOLDIER</t>
        </is>
      </c>
      <c r="E476" s="11" t="n">
        <v>1</v>
      </c>
      <c r="F476" s="13" t="inlineStr">
        <is>
          <t>Ingrediente Ativo Principal</t>
        </is>
      </c>
      <c r="G476" s="13" t="inlineStr">
        <is>
          <t>GLIFOSATO 720</t>
        </is>
      </c>
      <c r="H476" s="13" t="inlineStr">
        <is>
          <t>N-(phosphonomethyl)glycine (Sal de Amônio / Isopropilamina / Potássico)</t>
        </is>
      </c>
      <c r="I476" s="13" t="inlineStr">
        <is>
          <t>Glicina substituída</t>
        </is>
      </c>
      <c r="J476" s="13" t="inlineStr">
        <is>
          <t>HRAC Grupo G (EPSPs)</t>
        </is>
      </c>
      <c r="K476" s="13" t="inlineStr">
        <is>
          <t>Inibidores da enzima EPSPs (Enoil Piruvil Shiquimato Fosfato Sintase)</t>
        </is>
      </c>
      <c r="L476" s="15" t="n">
        <v>720</v>
      </c>
      <c r="M476" s="13" t="inlineStr">
        <is>
          <t>g/kg</t>
        </is>
      </c>
      <c r="N476" s="13" t="inlineStr">
        <is>
          <t>Registro Técnico Vinculado MAPA</t>
        </is>
      </c>
    </row>
    <row r="477" ht="22" customHeight="1">
      <c r="A477" s="6" t="inlineStr">
        <is>
          <t>CMP-0473</t>
        </is>
      </c>
      <c r="B477" s="5" t="n">
        <v>336</v>
      </c>
      <c r="C477" s="7" t="inlineStr">
        <is>
          <t>Nº 26222</t>
        </is>
      </c>
      <c r="D477" s="8" t="inlineStr">
        <is>
          <t>DIQUAT VANON 200 SL</t>
        </is>
      </c>
      <c r="E477" s="5" t="n">
        <v>1</v>
      </c>
      <c r="F477" s="7" t="inlineStr">
        <is>
          <t>Ingrediente Ativo Principal</t>
        </is>
      </c>
      <c r="G477" s="7" t="inlineStr">
        <is>
          <t>DIQUATE ÍON 200 g/L (Dibrometo de Diquate 373,5 g/L)</t>
        </is>
      </c>
      <c r="H477" s="7" t="inlineStr">
        <is>
          <t>9,10-dihydro-8a,10a-diazoniaphenanthrene dibromide (Dibrometo de Diquate)</t>
        </is>
      </c>
      <c r="I477" s="7" t="inlineStr">
        <is>
          <t>Bipiridílio</t>
        </is>
      </c>
      <c r="J477" s="7" t="inlineStr">
        <is>
          <t>HRAC Grupo D (22) — Desviadores de Elétrons do Fotossistema I</t>
        </is>
      </c>
      <c r="K477" s="7" t="inlineStr">
        <is>
          <t>Inibidores do Fotossistema I (geração de radicais livres peróxidos)</t>
        </is>
      </c>
      <c r="L477" s="9" t="n">
        <v>200</v>
      </c>
      <c r="M477" s="7" t="inlineStr">
        <is>
          <t>g/L</t>
        </is>
      </c>
      <c r="N477" s="7" t="inlineStr">
        <is>
          <t>Registro Técnico Vinculado MAPA</t>
        </is>
      </c>
    </row>
    <row r="478" ht="22" customHeight="1">
      <c r="A478" s="12" t="inlineStr">
        <is>
          <t>CMP-0474</t>
        </is>
      </c>
      <c r="B478" s="11" t="n">
        <v>337</v>
      </c>
      <c r="C478" s="13" t="inlineStr">
        <is>
          <t>Nº 0921</t>
        </is>
      </c>
      <c r="D478" s="14" t="inlineStr">
        <is>
          <t>ELIMINATE</t>
        </is>
      </c>
      <c r="E478" s="11" t="n">
        <v>1</v>
      </c>
      <c r="F478" s="13" t="inlineStr">
        <is>
          <t>Ingrediente Ativo Principal</t>
        </is>
      </c>
      <c r="G478" s="13" t="inlineStr">
        <is>
          <t>GLUFOSINATO 200</t>
        </is>
      </c>
      <c r="H478" s="13" t="inlineStr">
        <is>
          <t>Ammonium (2RS)-2-amino-4-(methylphosphinato)butyric acid (Glufosinato Sal de Amônio)</t>
        </is>
      </c>
      <c r="I478" s="13" t="inlineStr">
        <is>
          <t>Homoalanina substituída (Ácido fosfínico)</t>
        </is>
      </c>
      <c r="J478" s="13" t="inlineStr">
        <is>
          <t>HRAC Grupo H (10) — Inibidores da Glutamina Sintetase</t>
        </is>
      </c>
      <c r="K478" s="13" t="inlineStr">
        <is>
          <t>Inibição da enzima glutamina sintetase (acúmulo de amônia intracelular)</t>
        </is>
      </c>
      <c r="L478" s="15" t="n">
        <v>200</v>
      </c>
      <c r="M478" s="13" t="inlineStr">
        <is>
          <t>g/L</t>
        </is>
      </c>
      <c r="N478" s="13" t="inlineStr">
        <is>
          <t>Registro Técnico Vinculado MAPA</t>
        </is>
      </c>
    </row>
    <row r="479" ht="22" customHeight="1">
      <c r="A479" s="6" t="inlineStr">
        <is>
          <t>CMP-0475</t>
        </is>
      </c>
      <c r="B479" s="5" t="n">
        <v>338</v>
      </c>
      <c r="C479" s="7" t="inlineStr">
        <is>
          <t>Nº 6217</t>
        </is>
      </c>
      <c r="D479" s="8" t="inlineStr">
        <is>
          <t>COMBOIO 800 WG</t>
        </is>
      </c>
      <c r="E479" s="5" t="n">
        <v>1</v>
      </c>
      <c r="F479" s="7" t="inlineStr">
        <is>
          <t>Ingrediente Ativo Principal</t>
        </is>
      </c>
      <c r="G479" s="7" t="inlineStr">
        <is>
          <t>FIPRONIL 800</t>
        </is>
      </c>
      <c r="H479" s="7" t="inlineStr">
        <is>
          <t>(RS)-5-amino-1-(2,6-dichloro-a,a,a-trifluoro-p-tolyl)-4-trifluoromethylsulfinylpyrazole-3-carbonitrile</t>
        </is>
      </c>
      <c r="I479" s="7" t="inlineStr">
        <is>
          <t>Pirazol (Fenilpirazol)</t>
        </is>
      </c>
      <c r="J479" s="7" t="inlineStr">
        <is>
          <t>IRAC Grupo 2B</t>
        </is>
      </c>
      <c r="K479" s="7" t="inlineStr">
        <is>
          <t>Bloqueadores de canais de cloro mediados pelo GABA</t>
        </is>
      </c>
      <c r="L479" s="9" t="n">
        <v>800</v>
      </c>
      <c r="M479" s="7" t="inlineStr">
        <is>
          <t>g/kg</t>
        </is>
      </c>
      <c r="N479" s="7" t="inlineStr">
        <is>
          <t>Registro Técnico Vinculado MAPA</t>
        </is>
      </c>
    </row>
    <row r="480" ht="22" customHeight="1">
      <c r="A480" s="12" t="inlineStr">
        <is>
          <t>CMP-0476</t>
        </is>
      </c>
      <c r="B480" s="11" t="n">
        <v>339</v>
      </c>
      <c r="C480" s="13" t="inlineStr">
        <is>
          <t>Nº 28421</t>
        </is>
      </c>
      <c r="D480" s="14" t="inlineStr">
        <is>
          <t>CLORFENAPIR 240 (PRINCIPIO ATIVO)</t>
        </is>
      </c>
      <c r="E480" s="11" t="n">
        <v>1</v>
      </c>
      <c r="F480" s="13" t="inlineStr">
        <is>
          <t>Ingrediente Ativo Principal</t>
        </is>
      </c>
      <c r="G480" s="13" t="inlineStr">
        <is>
          <t>CLORFENAPIR 240</t>
        </is>
      </c>
      <c r="H480" s="13" t="inlineStr">
        <is>
          <t>4-bromo-2-(4-chlorophenyl)-1-ethoxymethyl-5-trifluoromethyl-1H-pyrrole-3-carbonitrile</t>
        </is>
      </c>
      <c r="I480" s="13" t="inlineStr">
        <is>
          <t>Análogo de pirazol (Arilpirrol)</t>
        </is>
      </c>
      <c r="J480" s="13" t="inlineStr">
        <is>
          <t>IRAC Grupo 13</t>
        </is>
      </c>
      <c r="K480" s="13" t="inlineStr">
        <is>
          <t>Desacopladores da fosforilação oxidativa via disrupção do gradiente de prótons</t>
        </is>
      </c>
      <c r="L480" s="15" t="n">
        <v>240</v>
      </c>
      <c r="M480" s="13" t="inlineStr">
        <is>
          <t>g/kg</t>
        </is>
      </c>
      <c r="N480" s="13" t="inlineStr">
        <is>
          <t>Produto Técnico Próprio</t>
        </is>
      </c>
    </row>
    <row r="481" ht="22" customHeight="1">
      <c r="A481" s="6" t="inlineStr">
        <is>
          <t>CMP-0477</t>
        </is>
      </c>
      <c r="B481" s="5" t="n">
        <v>340</v>
      </c>
      <c r="C481" s="7" t="inlineStr">
        <is>
          <t>Nº 5321</t>
        </is>
      </c>
      <c r="D481" s="8" t="inlineStr">
        <is>
          <t>ELUNEY</t>
        </is>
      </c>
      <c r="E481" s="5" t="n">
        <v>1</v>
      </c>
      <c r="F481" s="7" t="inlineStr">
        <is>
          <t>Ingrediente Ativo Principal</t>
        </is>
      </c>
      <c r="G481" s="7" t="inlineStr">
        <is>
          <t>FLUAZINAM 500</t>
        </is>
      </c>
      <c r="H481" s="7" t="inlineStr">
        <is>
          <t>3-chloro-N-(3-chloro-5-trifluoromethyl-2-pyridyl)-a,a,a-trifluoro-2,6-dinitro-p-toluidine</t>
        </is>
      </c>
      <c r="I481" s="7" t="inlineStr">
        <is>
          <t>Fenilpiridinamina (2,6-dinitroanilina)</t>
        </is>
      </c>
      <c r="J481" s="7" t="inlineStr">
        <is>
          <t>FRAC Grupo 29</t>
        </is>
      </c>
      <c r="K481" s="7" t="inlineStr">
        <is>
          <t>Desacopladores da fosforilação oxidativa mitocondrial</t>
        </is>
      </c>
      <c r="L481" s="9" t="n">
        <v>500</v>
      </c>
      <c r="M481" s="7" t="inlineStr">
        <is>
          <t>g/L</t>
        </is>
      </c>
      <c r="N481" s="7" t="inlineStr">
        <is>
          <t>Registro Técnico Vinculado MAPA</t>
        </is>
      </c>
    </row>
    <row r="482" ht="22" customHeight="1">
      <c r="A482" s="12" t="inlineStr">
        <is>
          <t>CMP-0478</t>
        </is>
      </c>
      <c r="B482" s="11" t="n">
        <v>341</v>
      </c>
      <c r="C482" s="13" t="inlineStr">
        <is>
          <t>Nº 44024</t>
        </is>
      </c>
      <c r="D482" s="14" t="inlineStr">
        <is>
          <t>BIOLOGIC BRAVIA</t>
        </is>
      </c>
      <c r="E482" s="11" t="n">
        <v>1</v>
      </c>
      <c r="F482" s="13" t="inlineStr">
        <is>
          <t>Agente Biológico / Cepa</t>
        </is>
      </c>
      <c r="G482" s="13" t="inlineStr">
        <is>
          <t>BEAUVERIA BASSIANA ISOLADO IBCB 66 (mín. 1,0x10^9 conídios/g)</t>
        </is>
      </c>
      <c r="H482" s="13" t="inlineStr">
        <is>
          <t>Fungo entomopatogênico Beauveria bassiana (Isolado IBCB 66)</t>
        </is>
      </c>
      <c r="I482" s="13" t="inlineStr">
        <is>
          <t>Agente Microbiológico de Controle (Fungo Entomopatogênico)</t>
        </is>
      </c>
      <c r="J482" s="13" t="inlineStr">
        <is>
          <t>IRAC Grupo UNF — Biológico Multissítio</t>
        </is>
      </c>
      <c r="K482" s="13" t="inlineStr">
        <is>
          <t>Infecção tegumentar por conídios, penetração enzimática e colonização da hemocele</t>
        </is>
      </c>
      <c r="L482" s="15" t="n">
        <v>50</v>
      </c>
      <c r="M482" s="13" t="inlineStr">
        <is>
          <t>g/L</t>
        </is>
      </c>
      <c r="N482" s="13" t="inlineStr">
        <is>
          <t>Registro Técnico Vinculado MAPA</t>
        </is>
      </c>
    </row>
    <row r="483" ht="22" customHeight="1">
      <c r="A483" s="6" t="inlineStr">
        <is>
          <t>CMP-0479</t>
        </is>
      </c>
      <c r="B483" s="5" t="n">
        <v>341</v>
      </c>
      <c r="C483" s="7" t="inlineStr">
        <is>
          <t>Nº 44024</t>
        </is>
      </c>
      <c r="D483" s="8" t="inlineStr">
        <is>
          <t>BIOLOGIC BRAVIA</t>
        </is>
      </c>
      <c r="E483" s="5" t="n">
        <v>2</v>
      </c>
      <c r="F483" s="7" t="inlineStr">
        <is>
          <t>Ingrediente Ativo Principal</t>
        </is>
      </c>
      <c r="G483" s="7" t="inlineStr">
        <is>
          <t>METARHIZIUM ANISOPLIAE ISOLADO IBCB 425 (mín. 1,0x10^9 conídios/g)</t>
        </is>
      </c>
      <c r="H483" s="7" t="inlineStr">
        <is>
          <t>Metarhizium anisopliae (Isolado IBCB 425 / Cepa entomopatogênica)</t>
        </is>
      </c>
      <c r="I483" s="7" t="inlineStr">
        <is>
          <t>Agente Microbiológico de Controle (Fungo Entomopatogênico)</t>
        </is>
      </c>
      <c r="J483" s="7" t="inlineStr">
        <is>
          <t>IRAC Grupo UNF — Bioinseticida Microbiológico</t>
        </is>
      </c>
      <c r="K483" s="7" t="inlineStr">
        <is>
          <t>Infecção tegumentar por conídios, penetração hemocélica e produção de destruxinas</t>
        </is>
      </c>
      <c r="L483" s="9" t="n">
        <v>50</v>
      </c>
      <c r="M483" s="7" t="inlineStr">
        <is>
          <t>g/L</t>
        </is>
      </c>
      <c r="N483" s="7" t="inlineStr">
        <is>
          <t>Registro Técnico Vinculado MAPA</t>
        </is>
      </c>
    </row>
    <row r="484" ht="22" customHeight="1">
      <c r="A484" s="12" t="inlineStr">
        <is>
          <t>CMP-0480</t>
        </is>
      </c>
      <c r="B484" s="11" t="n">
        <v>342</v>
      </c>
      <c r="C484" s="13" t="inlineStr">
        <is>
          <t>VINCULAR MARCA</t>
        </is>
      </c>
      <c r="D484" s="14" t="inlineStr">
        <is>
          <t>CARFENTRAZONE 400 EC (PRINCIPIO ATIVO)</t>
        </is>
      </c>
      <c r="E484" s="11" t="n">
        <v>1</v>
      </c>
      <c r="F484" s="13" t="inlineStr">
        <is>
          <t>Ingrediente Ativo Principal</t>
        </is>
      </c>
      <c r="G484" s="13" t="inlineStr">
        <is>
          <t>CARFENTRAZONA ETILICA 400</t>
        </is>
      </c>
      <c r="H484" s="13" t="inlineStr">
        <is>
          <t>Ethyl (RS)-2-chloro-3-[2-chloro-5-[4-(difluoromethyl)-4,5-dihydro-3-methyl-5-oxo-1H-1,2,4-triazol-1-yl]-4-fluorophenyl]propionate</t>
        </is>
      </c>
      <c r="I484" s="13" t="inlineStr">
        <is>
          <t>Triazolinona</t>
        </is>
      </c>
      <c r="J484" s="13" t="inlineStr">
        <is>
          <t>HRAC Grupo E (14) — Inibidores da PROTOX</t>
        </is>
      </c>
      <c r="K484" s="13" t="inlineStr">
        <is>
          <t>Inibidores da enzima protoporfirinogênio oxidase (PROTOX)</t>
        </is>
      </c>
      <c r="L484" s="15" t="n">
        <v>400</v>
      </c>
      <c r="M484" s="13" t="inlineStr">
        <is>
          <t>g/kg</t>
        </is>
      </c>
      <c r="N484" s="13" t="inlineStr">
        <is>
          <t>Produto Técnico Próprio</t>
        </is>
      </c>
    </row>
    <row r="485" ht="22" customHeight="1">
      <c r="A485" s="6" t="inlineStr">
        <is>
          <t>CMP-0481</t>
        </is>
      </c>
      <c r="B485" s="5" t="n">
        <v>343</v>
      </c>
      <c r="C485" s="7" t="inlineStr">
        <is>
          <t>Nº 14521</t>
        </is>
      </c>
      <c r="D485" s="8" t="inlineStr">
        <is>
          <t>SAURUS WG</t>
        </is>
      </c>
      <c r="E485" s="5" t="n">
        <v>1</v>
      </c>
      <c r="F485" s="7" t="inlineStr">
        <is>
          <t>Ingrediente Ativo Principal</t>
        </is>
      </c>
      <c r="G485" s="7" t="inlineStr">
        <is>
          <t>ACETAMIPRIDO 725</t>
        </is>
      </c>
      <c r="H485" s="7" t="inlineStr">
        <is>
          <t>(E)-N1-[(6-chloro-3-pyridyl)methyl]-N2-cyano-N1-methylacetamidine</t>
        </is>
      </c>
      <c r="I485" s="7" t="inlineStr">
        <is>
          <t>Neonicotinoide</t>
        </is>
      </c>
      <c r="J485" s="7" t="inlineStr">
        <is>
          <t>IRAC Grupo 4A</t>
        </is>
      </c>
      <c r="K485" s="7" t="inlineStr">
        <is>
          <t>Moduladores competitivos de receptores nicotínicos da acetilcolina (nAChR)</t>
        </is>
      </c>
      <c r="L485" s="9" t="n">
        <v>725</v>
      </c>
      <c r="M485" s="7" t="inlineStr">
        <is>
          <t>g/kg</t>
        </is>
      </c>
      <c r="N485" s="7" t="inlineStr">
        <is>
          <t>Registro Técnico Vinculado MAPA</t>
        </is>
      </c>
    </row>
    <row r="486" ht="22" customHeight="1">
      <c r="A486" s="12" t="inlineStr">
        <is>
          <t>CMP-0482</t>
        </is>
      </c>
      <c r="B486" s="11" t="n">
        <v>344</v>
      </c>
      <c r="C486" s="13" t="inlineStr">
        <is>
          <t>Nº 0122</t>
        </is>
      </c>
      <c r="D486" s="14" t="inlineStr">
        <is>
          <t>EXCALIA MAX</t>
        </is>
      </c>
      <c r="E486" s="11" t="n">
        <v>1</v>
      </c>
      <c r="F486" s="13" t="inlineStr">
        <is>
          <t>Ingrediente Ativo Principal</t>
        </is>
      </c>
      <c r="G486" s="13" t="inlineStr">
        <is>
          <t>TEBUCONAZOL</t>
        </is>
      </c>
      <c r="H486" s="13" t="inlineStr">
        <is>
          <t>(RS)-1-p-chlorophenyl-4,4-dimethyl-3-(1H-1,2,4-triazol-1-ylmethyl)pentan-3-ol</t>
        </is>
      </c>
      <c r="I486" s="13" t="inlineStr">
        <is>
          <t>Triazol</t>
        </is>
      </c>
      <c r="J486" s="13" t="inlineStr">
        <is>
          <t>FRAC Grupo 3 (G1 — DMI)</t>
        </is>
      </c>
      <c r="K486" s="13" t="inlineStr">
        <is>
          <t>Inibidores da desmetilação do C14 na biossíntese do ergosterol</t>
        </is>
      </c>
      <c r="L486" s="15" t="n">
        <v>200</v>
      </c>
      <c r="M486" s="13" t="inlineStr">
        <is>
          <t>g/L</t>
        </is>
      </c>
      <c r="N486" s="13" t="inlineStr">
        <is>
          <t>Tebuconazole Técnico Sumitomo</t>
        </is>
      </c>
    </row>
    <row r="487" ht="22" customHeight="1">
      <c r="A487" s="6" t="inlineStr">
        <is>
          <t>CMP-0483</t>
        </is>
      </c>
      <c r="B487" s="5" t="n">
        <v>344</v>
      </c>
      <c r="C487" s="7" t="inlineStr">
        <is>
          <t>Nº 0122</t>
        </is>
      </c>
      <c r="D487" s="8" t="inlineStr">
        <is>
          <t>EXCALIA MAX</t>
        </is>
      </c>
      <c r="E487" s="5" t="n">
        <v>2</v>
      </c>
      <c r="F487" s="7" t="inlineStr">
        <is>
          <t>Ingrediente Ativo Principal</t>
        </is>
      </c>
      <c r="G487" s="7" t="inlineStr">
        <is>
          <t>IMPIRFLUXAM</t>
        </is>
      </c>
      <c r="H487" s="7" t="inlineStr">
        <is>
          <t>3-(difluoromethyl)-1-methyl-N-[(3R)-1,1,3-trimethyl-2,3-dihydro-1H-inden-4-yl]-1H-pyrazole-4-carboxamide</t>
        </is>
      </c>
      <c r="I487" s="7" t="inlineStr">
        <is>
          <t>Carboxamida (Pirazol-4-carboxamida)</t>
        </is>
      </c>
      <c r="J487" s="7" t="inlineStr">
        <is>
          <t>FRAC Grupo 7 (C2 — SDHI)</t>
        </is>
      </c>
      <c r="K487" s="7" t="inlineStr">
        <is>
          <t>Inibidores da enzima succinato desidrogenase (Complexo II)</t>
        </is>
      </c>
      <c r="L487" s="9" t="n">
        <v>60</v>
      </c>
      <c r="M487" s="7" t="inlineStr">
        <is>
          <t>g/L</t>
        </is>
      </c>
      <c r="N487" s="7" t="inlineStr">
        <is>
          <t>Inpyrfluxam Técnico Sumitomo</t>
        </is>
      </c>
    </row>
    <row r="488" ht="22" customHeight="1">
      <c r="A488" s="12" t="inlineStr">
        <is>
          <t>CMP-0484</t>
        </is>
      </c>
      <c r="B488" s="11" t="n">
        <v>345</v>
      </c>
      <c r="C488" s="13" t="inlineStr">
        <is>
          <t>Nº 3922</t>
        </is>
      </c>
      <c r="D488" s="14" t="inlineStr">
        <is>
          <t>BELYAN</t>
        </is>
      </c>
      <c r="E488" s="11" t="n">
        <v>1</v>
      </c>
      <c r="F488" s="13" t="inlineStr">
        <is>
          <t>Ingrediente Ativo Principal</t>
        </is>
      </c>
      <c r="G488" s="13" t="inlineStr">
        <is>
          <t>FLUXAPIROXADE 88,9</t>
        </is>
      </c>
      <c r="H488" s="13" t="inlineStr">
        <is>
          <t>3-(difluoromethyl)-1-methyl-N-(3,4,5-trifluorobiphenyl-2-yl)pyrazole-4-carboxamide</t>
        </is>
      </c>
      <c r="I488" s="13" t="inlineStr">
        <is>
          <t>Carboxamida (Pirazol-4-carboxamida)</t>
        </is>
      </c>
      <c r="J488" s="13" t="inlineStr">
        <is>
          <t>FRAC Grupo 7 (C2 — SDHI)</t>
        </is>
      </c>
      <c r="K488" s="13" t="inlineStr">
        <is>
          <t>Inibidores da enzima succinato desidrogenase (Complexo II respiratório)</t>
        </is>
      </c>
      <c r="L488" s="18" t="n">
        <v>88.90000000000001</v>
      </c>
      <c r="M488" s="13" t="inlineStr">
        <is>
          <t>g/L</t>
        </is>
      </c>
      <c r="N488" s="13" t="inlineStr">
        <is>
          <t>Registro Técnico Vinculado MAPA</t>
        </is>
      </c>
    </row>
    <row r="489" ht="22" customHeight="1">
      <c r="A489" s="6" t="inlineStr">
        <is>
          <t>CMP-0485</t>
        </is>
      </c>
      <c r="B489" s="5" t="n">
        <v>345</v>
      </c>
      <c r="C489" s="7" t="inlineStr">
        <is>
          <t>Nº 3922</t>
        </is>
      </c>
      <c r="D489" s="8" t="inlineStr">
        <is>
          <t>BELYAN</t>
        </is>
      </c>
      <c r="E489" s="5" t="n">
        <v>2</v>
      </c>
      <c r="F489" s="7" t="inlineStr">
        <is>
          <t>Ingrediente Ativo Principal</t>
        </is>
      </c>
      <c r="G489" s="7" t="inlineStr">
        <is>
          <t>MEFENTRIFLUCONAZOLE 133</t>
        </is>
      </c>
      <c r="H489" s="7" t="inlineStr">
        <is>
          <t>(2RS)-2-[4-(4-chlorophenoxy)-2-(trifluoromethyl)phenyl]-1-(1H-1,2,4-triazol-1-yl)propan-2-ol</t>
        </is>
      </c>
      <c r="I489" s="7" t="inlineStr">
        <is>
          <t>Triazol (Isopropanol-azol)</t>
        </is>
      </c>
      <c r="J489" s="7" t="inlineStr">
        <is>
          <t>FRAC Grupo 3 (G1 — DMI)</t>
        </is>
      </c>
      <c r="K489" s="7" t="inlineStr">
        <is>
          <t>Inibidores da desmetilação do C14 na biossíntese do ergosterol</t>
        </is>
      </c>
      <c r="L489" s="9" t="n">
        <v>133</v>
      </c>
      <c r="M489" s="7" t="inlineStr">
        <is>
          <t>g/L</t>
        </is>
      </c>
      <c r="N489" s="7" t="inlineStr">
        <is>
          <t>Registro Técnico Vinculado MAPA</t>
        </is>
      </c>
    </row>
    <row r="490" ht="22" customHeight="1">
      <c r="A490" s="12" t="inlineStr">
        <is>
          <t>CMP-0486</t>
        </is>
      </c>
      <c r="B490" s="11" t="n">
        <v>345</v>
      </c>
      <c r="C490" s="13" t="inlineStr">
        <is>
          <t>Nº 3922</t>
        </is>
      </c>
      <c r="D490" s="14" t="inlineStr">
        <is>
          <t>BELYAN</t>
        </is>
      </c>
      <c r="E490" s="11" t="n">
        <v>3</v>
      </c>
      <c r="F490" s="13" t="inlineStr">
        <is>
          <t>Ingrediente Ativo Principal</t>
        </is>
      </c>
      <c r="G490" s="13" t="inlineStr">
        <is>
          <t>PIRACLOSTROBINA 177,87</t>
        </is>
      </c>
      <c r="H490" s="13" t="inlineStr">
        <is>
          <t>Methyl N-{2-[1-(4-chlorophenyl)-1H-pyrazol-3-yloxymethyl]phenyl}(N-methoxy)carbamate</t>
        </is>
      </c>
      <c r="I490" s="13" t="inlineStr">
        <is>
          <t>Estrobilurina (Metoxicarbamato)</t>
        </is>
      </c>
      <c r="J490" s="13" t="inlineStr">
        <is>
          <t>FRAC Grupo 11 (C3 — QoI)</t>
        </is>
      </c>
      <c r="K490" s="13" t="inlineStr">
        <is>
          <t>Inibidores da respiração mitocondrial no Complexo III (sítio Qo)</t>
        </is>
      </c>
      <c r="L490" s="18" t="n">
        <v>177.87</v>
      </c>
      <c r="M490" s="13" t="inlineStr">
        <is>
          <t>g/L</t>
        </is>
      </c>
      <c r="N490" s="13" t="inlineStr">
        <is>
          <t>Registro Técnico Vinculado MAPA</t>
        </is>
      </c>
    </row>
    <row r="491" ht="22" customHeight="1">
      <c r="A491" s="6" t="inlineStr">
        <is>
          <t>CMP-0487</t>
        </is>
      </c>
      <c r="B491" s="5" t="n">
        <v>346</v>
      </c>
      <c r="C491" s="7" t="inlineStr">
        <is>
          <t>Nº 9517</t>
        </is>
      </c>
      <c r="D491" s="8" t="inlineStr">
        <is>
          <t>FUSAO EC</t>
        </is>
      </c>
      <c r="E491" s="5" t="n">
        <v>1</v>
      </c>
      <c r="F491" s="7" t="inlineStr">
        <is>
          <t>Ingrediente Ativo Principal</t>
        </is>
      </c>
      <c r="G491" s="7" t="inlineStr">
        <is>
          <t>METOMINOSTROBINA 110</t>
        </is>
      </c>
      <c r="H491" s="7" t="inlineStr">
        <is>
          <t>(E)-2-methoxyimino-N-methyl-2-(2-phenoxyphenyl)acetamide</t>
        </is>
      </c>
      <c r="I491" s="7" t="inlineStr">
        <is>
          <t>Estrobilurina (Oximinoacetamida)</t>
        </is>
      </c>
      <c r="J491" s="7" t="inlineStr">
        <is>
          <t>FRAC Grupo 11 (C3 — QoI)</t>
        </is>
      </c>
      <c r="K491" s="7" t="inlineStr">
        <is>
          <t>Inibidores da respiração mitocondrial no Complexo III (sítio Qo)</t>
        </is>
      </c>
      <c r="L491" s="9" t="n">
        <v>110</v>
      </c>
      <c r="M491" s="7" t="inlineStr">
        <is>
          <t>g/L</t>
        </is>
      </c>
      <c r="N491" s="7" t="inlineStr">
        <is>
          <t>Registro Técnico Vinculado MAPA</t>
        </is>
      </c>
    </row>
    <row r="492" ht="22" customHeight="1">
      <c r="A492" s="12" t="inlineStr">
        <is>
          <t>CMP-0488</t>
        </is>
      </c>
      <c r="B492" s="11" t="n">
        <v>346</v>
      </c>
      <c r="C492" s="13" t="inlineStr">
        <is>
          <t>Nº 9517</t>
        </is>
      </c>
      <c r="D492" s="14" t="inlineStr">
        <is>
          <t>FUSAO EC</t>
        </is>
      </c>
      <c r="E492" s="11" t="n">
        <v>2</v>
      </c>
      <c r="F492" s="13" t="inlineStr">
        <is>
          <t>Ingrediente Ativo Principal</t>
        </is>
      </c>
      <c r="G492" s="13" t="inlineStr">
        <is>
          <t>TEBUCONAZOL 165</t>
        </is>
      </c>
      <c r="H492" s="13" t="inlineStr">
        <is>
          <t>(RS)-1-p-chlorophenyl-4,4-dimethyl-3-(1H-1,2,4-triazol-1-ylmethyl)pentan-3-ol</t>
        </is>
      </c>
      <c r="I492" s="13" t="inlineStr">
        <is>
          <t>Triazol</t>
        </is>
      </c>
      <c r="J492" s="13" t="inlineStr">
        <is>
          <t>FRAC Grupo 3 (DMI)</t>
        </is>
      </c>
      <c r="K492" s="13" t="inlineStr">
        <is>
          <t>Inibidores da desmetilação de C14 na biossíntese de ergosterol</t>
        </is>
      </c>
      <c r="L492" s="15" t="n">
        <v>165</v>
      </c>
      <c r="M492" s="13" t="inlineStr">
        <is>
          <t>g/L</t>
        </is>
      </c>
      <c r="N492" s="13" t="inlineStr">
        <is>
          <t>Registro Técnico Vinculado MAPA</t>
        </is>
      </c>
    </row>
    <row r="493" ht="22" customHeight="1">
      <c r="A493" s="6" t="inlineStr">
        <is>
          <t>CMP-0489</t>
        </is>
      </c>
      <c r="B493" s="5" t="n">
        <v>347</v>
      </c>
      <c r="C493" s="7" t="inlineStr">
        <is>
          <t>Nº 8912</t>
        </is>
      </c>
      <c r="D493" s="8" t="inlineStr">
        <is>
          <t>GLIFOSATO 698 CRUCIAL SL</t>
        </is>
      </c>
      <c r="E493" s="5" t="n">
        <v>1</v>
      </c>
      <c r="F493" s="7" t="inlineStr">
        <is>
          <t>Ingrediente Ativo Principal</t>
        </is>
      </c>
      <c r="G493" s="7" t="inlineStr">
        <is>
          <t>GLIFOSATO (Sais de Potássio + MIPA 698 g/L — Equiv. 540 g/L Ácido)</t>
        </is>
      </c>
      <c r="H493" s="7" t="inlineStr">
        <is>
          <t>N-(phosphonomethyl)glycine (Potassium + Monoisopropylamine salts)</t>
        </is>
      </c>
      <c r="I493" s="7" t="inlineStr">
        <is>
          <t>Glicina substituída</t>
        </is>
      </c>
      <c r="J493" s="7" t="inlineStr">
        <is>
          <t>HRAC Grupo G (9) — Inibidores da EPSPs</t>
        </is>
      </c>
      <c r="K493" s="7" t="inlineStr">
        <is>
          <t>Inibidores da enzima EPSPs (Enoil Piruvil Shiquimato Fosfato Sintase)</t>
        </is>
      </c>
      <c r="L493" s="9" t="n">
        <v>540</v>
      </c>
      <c r="M493" s="7" t="inlineStr">
        <is>
          <t>g/L</t>
        </is>
      </c>
      <c r="N493" s="7" t="inlineStr">
        <is>
          <t>Glifosato Técnico Sumitomo/Nufarm</t>
        </is>
      </c>
    </row>
    <row r="494" ht="22" customHeight="1">
      <c r="A494" s="12" t="inlineStr">
        <is>
          <t>CMP-0490</t>
        </is>
      </c>
      <c r="B494" s="11" t="n">
        <v>348</v>
      </c>
      <c r="C494" s="13" t="inlineStr">
        <is>
          <t>Nº 36822</t>
        </is>
      </c>
      <c r="D494" s="14" t="inlineStr">
        <is>
          <t>CLORPIRIFOS 48 EC LUBA</t>
        </is>
      </c>
      <c r="E494" s="11" t="n">
        <v>1</v>
      </c>
      <c r="F494" s="13" t="inlineStr">
        <is>
          <t>Ingrediente Ativo Principal</t>
        </is>
      </c>
      <c r="G494" s="13" t="inlineStr">
        <is>
          <t>CLORPIRIFOS 480</t>
        </is>
      </c>
      <c r="H494" s="13" t="inlineStr">
        <is>
          <t>O,O-diethyl O-3,5,6-trichloro-2-pyridyl phosphorothioate</t>
        </is>
      </c>
      <c r="I494" s="13" t="inlineStr">
        <is>
          <t>Organofosforado</t>
        </is>
      </c>
      <c r="J494" s="13" t="inlineStr">
        <is>
          <t>IRAC Grupo 1B</t>
        </is>
      </c>
      <c r="K494" s="13" t="inlineStr">
        <is>
          <t>Inibidores da acetilcolinesterase (AChE)</t>
        </is>
      </c>
      <c r="L494" s="15" t="n">
        <v>480</v>
      </c>
      <c r="M494" s="13" t="inlineStr">
        <is>
          <t>g/L</t>
        </is>
      </c>
      <c r="N494" s="13" t="inlineStr">
        <is>
          <t>Registro Técnico Vinculado MAPA</t>
        </is>
      </c>
    </row>
    <row r="495" ht="22" customHeight="1">
      <c r="A495" s="6" t="inlineStr">
        <is>
          <t>CMP-0491</t>
        </is>
      </c>
      <c r="B495" s="5" t="n">
        <v>349</v>
      </c>
      <c r="C495" s="7" t="inlineStr">
        <is>
          <t>Nº 34621</t>
        </is>
      </c>
      <c r="D495" s="8" t="inlineStr">
        <is>
          <t>RATEIO 200 SL</t>
        </is>
      </c>
      <c r="E495" s="5" t="n">
        <v>1</v>
      </c>
      <c r="F495" s="7" t="inlineStr">
        <is>
          <t>Ingrediente Ativo Principal</t>
        </is>
      </c>
      <c r="G495" s="7" t="inlineStr">
        <is>
          <t>DIQUATE ÍON 200 g/L (Dibrometo de Diquate 373,5 g/L)</t>
        </is>
      </c>
      <c r="H495" s="7" t="inlineStr">
        <is>
          <t>9,10-dihydro-8a,10a-diazoniaphenanthrene dibromide (Dibrometo de Diquate)</t>
        </is>
      </c>
      <c r="I495" s="7" t="inlineStr">
        <is>
          <t>Bipiridílio</t>
        </is>
      </c>
      <c r="J495" s="7" t="inlineStr">
        <is>
          <t>HRAC Grupo D (22) — Desviadores de Elétrons do Fotossistema I</t>
        </is>
      </c>
      <c r="K495" s="7" t="inlineStr">
        <is>
          <t>Inibidores do Fotossistema I (geração de radicais livres peróxidos)</t>
        </is>
      </c>
      <c r="L495" s="9" t="n">
        <v>200</v>
      </c>
      <c r="M495" s="7" t="inlineStr">
        <is>
          <t>g/L</t>
        </is>
      </c>
      <c r="N495" s="7" t="inlineStr">
        <is>
          <t>Registro Técnico Vinculado MAPA</t>
        </is>
      </c>
    </row>
    <row r="496" ht="22" customHeight="1">
      <c r="A496" s="12" t="inlineStr">
        <is>
          <t>CMP-0492</t>
        </is>
      </c>
      <c r="B496" s="11" t="n">
        <v>350</v>
      </c>
      <c r="C496" s="13" t="inlineStr">
        <is>
          <t>Nº 34621</t>
        </is>
      </c>
      <c r="D496" s="14" t="inlineStr">
        <is>
          <t>RATEIO 200 SL</t>
        </is>
      </c>
      <c r="E496" s="11" t="n">
        <v>1</v>
      </c>
      <c r="F496" s="13" t="inlineStr">
        <is>
          <t>Ingrediente Ativo Principal</t>
        </is>
      </c>
      <c r="G496" s="13" t="inlineStr">
        <is>
          <t>DIQUATE ÍON 200 g/L (Dibrometo de Diquate 373,5 g/L)</t>
        </is>
      </c>
      <c r="H496" s="13" t="inlineStr">
        <is>
          <t>9,10-dihydro-8a,10a-diazoniaphenanthrene dibromide (Dibrometo de Diquate)</t>
        </is>
      </c>
      <c r="I496" s="13" t="inlineStr">
        <is>
          <t>Bipiridílio</t>
        </is>
      </c>
      <c r="J496" s="13" t="inlineStr">
        <is>
          <t>HRAC Grupo D (22) — Desviadores de Elétrons do Fotossistema I</t>
        </is>
      </c>
      <c r="K496" s="13" t="inlineStr">
        <is>
          <t>Inibidores do Fotossistema I (geração de radicais livres peróxidos)</t>
        </is>
      </c>
      <c r="L496" s="15" t="n">
        <v>200</v>
      </c>
      <c r="M496" s="13" t="inlineStr">
        <is>
          <t>g/L</t>
        </is>
      </c>
      <c r="N496" s="13" t="inlineStr">
        <is>
          <t>Registro Técnico Vinculado MAPA</t>
        </is>
      </c>
    </row>
    <row r="497" ht="22" customHeight="1">
      <c r="A497" s="6" t="inlineStr">
        <is>
          <t>CMP-0493</t>
        </is>
      </c>
      <c r="B497" s="5" t="n">
        <v>351</v>
      </c>
      <c r="C497" s="7" t="inlineStr">
        <is>
          <t>Nº 23917</t>
        </is>
      </c>
      <c r="D497" s="8" t="inlineStr">
        <is>
          <t>MESOTRIONA CCAB</t>
        </is>
      </c>
      <c r="E497" s="5" t="n">
        <v>1</v>
      </c>
      <c r="F497" s="7" t="inlineStr">
        <is>
          <t>Ingrediente Ativo Principal</t>
        </is>
      </c>
      <c r="G497" s="7" t="inlineStr">
        <is>
          <t>MESOTRIONA 480</t>
        </is>
      </c>
      <c r="H497" s="7" t="inlineStr">
        <is>
          <t>2-(4-mesyl-2-nitrobenzoyl)cyclohexane-1,3-dione</t>
        </is>
      </c>
      <c r="I497" s="7" t="inlineStr">
        <is>
          <t>Tricetona</t>
        </is>
      </c>
      <c r="J497" s="7" t="inlineStr">
        <is>
          <t>HRAC Grupo F2 (27) — Inibidores da HPPD</t>
        </is>
      </c>
      <c r="K497" s="7" t="inlineStr">
        <is>
          <t>Inibidores da enzima 4-hidroxifenil-piruvato-dioxigenase (HPPD - biossíntese de carotenoides)</t>
        </is>
      </c>
      <c r="L497" s="9" t="n">
        <v>480</v>
      </c>
      <c r="M497" s="7" t="inlineStr">
        <is>
          <t>g/L</t>
        </is>
      </c>
      <c r="N497" s="7" t="inlineStr">
        <is>
          <t>Registro Técnico Vinculado MAPA</t>
        </is>
      </c>
    </row>
    <row r="498" ht="22" customHeight="1">
      <c r="A498" s="12" t="inlineStr">
        <is>
          <t>CMP-0494</t>
        </is>
      </c>
      <c r="B498" s="11" t="n">
        <v>352</v>
      </c>
      <c r="C498" s="13" t="inlineStr">
        <is>
          <t>Nº 23917</t>
        </is>
      </c>
      <c r="D498" s="14" t="inlineStr">
        <is>
          <t>MESOTRIONA CCAB</t>
        </is>
      </c>
      <c r="E498" s="11" t="n">
        <v>1</v>
      </c>
      <c r="F498" s="13" t="inlineStr">
        <is>
          <t>Ingrediente Ativo Principal</t>
        </is>
      </c>
      <c r="G498" s="13" t="inlineStr">
        <is>
          <t>MESOTRIONA 480</t>
        </is>
      </c>
      <c r="H498" s="13" t="inlineStr">
        <is>
          <t>2-(4-mesyl-2-nitrobenzoyl)cyclohexane-1,3-dione</t>
        </is>
      </c>
      <c r="I498" s="13" t="inlineStr">
        <is>
          <t>Tricetona</t>
        </is>
      </c>
      <c r="J498" s="13" t="inlineStr">
        <is>
          <t>HRAC Grupo F2 (27) — Inibidores da HPPD</t>
        </is>
      </c>
      <c r="K498" s="13" t="inlineStr">
        <is>
          <t>Inibidores da enzima 4-hidroxifenil-piruvato-dioxigenase (HPPD - biossíntese de carotenoides)</t>
        </is>
      </c>
      <c r="L498" s="15" t="n">
        <v>480</v>
      </c>
      <c r="M498" s="13" t="inlineStr">
        <is>
          <t>g/L</t>
        </is>
      </c>
      <c r="N498" s="13" t="inlineStr">
        <is>
          <t>Registro Técnico Vinculado MAPA</t>
        </is>
      </c>
    </row>
    <row r="499" ht="22" customHeight="1">
      <c r="A499" s="6" t="inlineStr">
        <is>
          <t>CMP-0495</t>
        </is>
      </c>
      <c r="B499" s="5" t="n">
        <v>353</v>
      </c>
      <c r="C499" s="7" t="inlineStr">
        <is>
          <t>SIPEAGRO (UF-XXXXX)</t>
        </is>
      </c>
      <c r="D499" s="8" t="inlineStr">
        <is>
          <t>BEEOGARDEN (ADUBO FOLIAR)</t>
        </is>
      </c>
      <c r="E499" s="5" t="n">
        <v>1</v>
      </c>
      <c r="F499" s="7" t="inlineStr">
        <is>
          <t>Nutriente Garantido</t>
        </is>
      </c>
      <c r="G499" s="7" t="inlineStr">
        <is>
          <t>FERTILIZANTES</t>
        </is>
      </c>
      <c r="H499" s="7" t="inlineStr">
        <is>
          <t>Composição Nutricional Oficial (FERTILIZANTES)</t>
        </is>
      </c>
      <c r="I499" s="7" t="inlineStr">
        <is>
          <t>Fertilizante Mineral / Organomineral (Lei nº 6.894/1980)</t>
        </is>
      </c>
      <c r="J499" s="7" t="inlineStr">
        <is>
          <t>Nutrição Vegetal SIPEAGRO</t>
        </is>
      </c>
      <c r="K499" s="7" t="inlineStr">
        <is>
          <t>Fornecimento de macro e micronutrientes essenciais ao metabolismo vegetal</t>
        </is>
      </c>
      <c r="L499" s="9" t="n">
        <v>100</v>
      </c>
      <c r="M499" s="7" t="inlineStr">
        <is>
          <t>% m/m</t>
        </is>
      </c>
      <c r="N499" s="7" t="inlineStr">
        <is>
          <t>Registro Técnico Vinculado MAPA</t>
        </is>
      </c>
    </row>
    <row r="500" ht="22" customHeight="1">
      <c r="A500" s="12" t="inlineStr">
        <is>
          <t>CMP-0496</t>
        </is>
      </c>
      <c r="B500" s="11" t="n">
        <v>354</v>
      </c>
      <c r="C500" s="13" t="inlineStr">
        <is>
          <t>SIPEAGRO (UF-XXXXX)</t>
        </is>
      </c>
      <c r="D500" s="14" t="inlineStr">
        <is>
          <t>TECH. GROW IV 460000 (IMP)</t>
        </is>
      </c>
      <c r="E500" s="11" t="n">
        <v>1</v>
      </c>
      <c r="F500" s="13" t="inlineStr">
        <is>
          <t>Nutriente Garantido</t>
        </is>
      </c>
      <c r="G500" s="13" t="inlineStr">
        <is>
          <t>FERTILIZANTES</t>
        </is>
      </c>
      <c r="H500" s="13" t="inlineStr">
        <is>
          <t>Composição Nutricional Oficial (FERTILIZANTES)</t>
        </is>
      </c>
      <c r="I500" s="13" t="inlineStr">
        <is>
          <t>Fertilizante Mineral / Organomineral (Lei nº 6.894/1980)</t>
        </is>
      </c>
      <c r="J500" s="13" t="inlineStr">
        <is>
          <t>Nutrição Vegetal SIPEAGRO</t>
        </is>
      </c>
      <c r="K500" s="13" t="inlineStr">
        <is>
          <t>Fornecimento de macro e micronutrientes essenciais ao metabolismo vegetal</t>
        </is>
      </c>
      <c r="L500" s="15" t="n">
        <v>100</v>
      </c>
      <c r="M500" s="13" t="inlineStr">
        <is>
          <t>% m/m</t>
        </is>
      </c>
      <c r="N500" s="13" t="inlineStr">
        <is>
          <t>Registro Técnico Vinculado MAPA</t>
        </is>
      </c>
    </row>
    <row r="501" ht="22" customHeight="1">
      <c r="A501" s="6" t="inlineStr">
        <is>
          <t>CMP-0497</t>
        </is>
      </c>
      <c r="B501" s="5" t="n">
        <v>355</v>
      </c>
      <c r="C501" s="7" t="inlineStr">
        <is>
          <t>SIPEAGRO (UF-XXXXX)</t>
        </is>
      </c>
      <c r="D501" s="8" t="inlineStr">
        <is>
          <t>NPK NK200020 20-00-20 - 1.000KG (IMP)</t>
        </is>
      </c>
      <c r="E501" s="5" t="n">
        <v>1</v>
      </c>
      <c r="F501" s="7" t="inlineStr">
        <is>
          <t>Nutriente Garantido</t>
        </is>
      </c>
      <c r="G501" s="7" t="inlineStr">
        <is>
          <t>FERTILIZANTES</t>
        </is>
      </c>
      <c r="H501" s="7" t="inlineStr">
        <is>
          <t>Composição Nutricional Oficial (FERTILIZANTES)</t>
        </is>
      </c>
      <c r="I501" s="7" t="inlineStr">
        <is>
          <t>Fertilizante Mineral / Organomineral (Lei nº 6.894/1980)</t>
        </is>
      </c>
      <c r="J501" s="7" t="inlineStr">
        <is>
          <t>Nutrição Vegetal SIPEAGRO</t>
        </is>
      </c>
      <c r="K501" s="7" t="inlineStr">
        <is>
          <t>Fornecimento de macro e micronutrientes essenciais ao metabolismo vegetal</t>
        </is>
      </c>
      <c r="L501" s="9" t="n">
        <v>100</v>
      </c>
      <c r="M501" s="7" t="inlineStr">
        <is>
          <t>% m/m</t>
        </is>
      </c>
      <c r="N501" s="7" t="inlineStr">
        <is>
          <t>Registro Técnico Vinculado MAPA</t>
        </is>
      </c>
    </row>
    <row r="502" ht="22" customHeight="1">
      <c r="A502" s="12" t="inlineStr">
        <is>
          <t>CMP-0498</t>
        </is>
      </c>
      <c r="B502" s="11" t="n">
        <v>356</v>
      </c>
      <c r="C502" s="13" t="inlineStr">
        <is>
          <t>Nº 27922</t>
        </is>
      </c>
      <c r="D502" s="14" t="inlineStr">
        <is>
          <t>S-METOLACHLOR PROVENTIS 960 EC</t>
        </is>
      </c>
      <c r="E502" s="11" t="n">
        <v>1</v>
      </c>
      <c r="F502" s="13" t="inlineStr">
        <is>
          <t>Ingrediente Ativo Principal</t>
        </is>
      </c>
      <c r="G502" s="13" t="inlineStr">
        <is>
          <t>S-METOLACLORO 960</t>
        </is>
      </c>
      <c r="H502" s="13" t="inlineStr">
        <is>
          <t>Mixture of (aRS,1S)-2-chloro-6'-ethyl-N-(2-methoxy-1-methylethyl)aceto-o-toluidide</t>
        </is>
      </c>
      <c r="I502" s="13" t="inlineStr">
        <is>
          <t>Cloroacetanilida</t>
        </is>
      </c>
      <c r="J502" s="13" t="inlineStr">
        <is>
          <t>HRAC Grupo K3 (15) — Inibidores de VLCFAs</t>
        </is>
      </c>
      <c r="K502" s="13" t="inlineStr">
        <is>
          <t>Inibidores da síntese de ácidos graxos de cadeia muito longa (divisão celular)</t>
        </is>
      </c>
      <c r="L502" s="15" t="n">
        <v>960</v>
      </c>
      <c r="M502" s="13" t="inlineStr">
        <is>
          <t>g/L</t>
        </is>
      </c>
      <c r="N502" s="13" t="inlineStr">
        <is>
          <t>Registro Técnico Vinculado MAPA</t>
        </is>
      </c>
    </row>
    <row r="503" ht="22" customHeight="1">
      <c r="A503" s="6" t="inlineStr">
        <is>
          <t>CMP-0499</t>
        </is>
      </c>
      <c r="B503" s="5" t="n">
        <v>357</v>
      </c>
      <c r="C503" s="7" t="inlineStr">
        <is>
          <t>SIPEAGRO (UF-XXXXX)</t>
        </is>
      </c>
      <c r="D503" s="8" t="inlineStr">
        <is>
          <t>AGCN FULL (D)</t>
        </is>
      </c>
      <c r="E503" s="5" t="n">
        <v>1</v>
      </c>
      <c r="F503" s="7" t="inlineStr">
        <is>
          <t>Nutriente Garantido</t>
        </is>
      </c>
      <c r="G503" s="7" t="inlineStr">
        <is>
          <t>MACRO</t>
        </is>
      </c>
      <c r="H503" s="7" t="inlineStr">
        <is>
          <t>Composição Nutricional Oficial (MACRO)</t>
        </is>
      </c>
      <c r="I503" s="7" t="inlineStr">
        <is>
          <t>Fertilizante Mineral / Organomineral (Lei nº 6.894/1980)</t>
        </is>
      </c>
      <c r="J503" s="7" t="inlineStr">
        <is>
          <t>Nutrição Vegetal SIPEAGRO</t>
        </is>
      </c>
      <c r="K503" s="7" t="inlineStr">
        <is>
          <t>Fornecimento de macro e micronutrientes essenciais ao metabolismo vegetal</t>
        </is>
      </c>
      <c r="L503" s="9" t="n">
        <v>12</v>
      </c>
      <c r="M503" s="7" t="inlineStr">
        <is>
          <t>% m/m</t>
        </is>
      </c>
      <c r="N503" s="7" t="inlineStr">
        <is>
          <t>Registro Técnico Vinculado MAPA</t>
        </is>
      </c>
    </row>
    <row r="504" ht="22" customHeight="1">
      <c r="A504" s="12" t="inlineStr">
        <is>
          <t>CMP-0500</t>
        </is>
      </c>
      <c r="B504" s="11" t="n">
        <v>357</v>
      </c>
      <c r="C504" s="13" t="inlineStr">
        <is>
          <t>SIPEAGRO (UF-XXXXX)</t>
        </is>
      </c>
      <c r="D504" s="14" t="inlineStr">
        <is>
          <t>AGCN FULL (D)</t>
        </is>
      </c>
      <c r="E504" s="11" t="n">
        <v>2</v>
      </c>
      <c r="F504" s="13" t="inlineStr">
        <is>
          <t>Nutriente Garantido</t>
        </is>
      </c>
      <c r="G504" s="13" t="inlineStr">
        <is>
          <t>MICRO</t>
        </is>
      </c>
      <c r="H504" s="13" t="inlineStr">
        <is>
          <t>Composição Nutricional Oficial (MICRO)</t>
        </is>
      </c>
      <c r="I504" s="13" t="inlineStr">
        <is>
          <t>Fertilizante Mineral / Organomineral (Lei nº 6.894/1980)</t>
        </is>
      </c>
      <c r="J504" s="13" t="inlineStr">
        <is>
          <t>Nutrição Vegetal SIPEAGRO</t>
        </is>
      </c>
      <c r="K504" s="13" t="inlineStr">
        <is>
          <t>Fornecimento de macro e micronutrientes essenciais ao metabolismo vegetal</t>
        </is>
      </c>
      <c r="L504" s="15" t="n">
        <v>5</v>
      </c>
      <c r="M504" s="13" t="inlineStr">
        <is>
          <t>% m/m</t>
        </is>
      </c>
      <c r="N504" s="13" t="inlineStr">
        <is>
          <t>Registro Técnico Vinculado MAPA</t>
        </is>
      </c>
    </row>
    <row r="505" ht="22" customHeight="1">
      <c r="A505" s="6" t="inlineStr">
        <is>
          <t>CMP-0501</t>
        </is>
      </c>
      <c r="B505" s="5" t="n">
        <v>357</v>
      </c>
      <c r="C505" s="7" t="inlineStr">
        <is>
          <t>SIPEAGRO (UF-XXXXX)</t>
        </is>
      </c>
      <c r="D505" s="8" t="inlineStr">
        <is>
          <t>AGCN FULL (D)</t>
        </is>
      </c>
      <c r="E505" s="5" t="n">
        <v>3</v>
      </c>
      <c r="F505" s="7" t="inlineStr">
        <is>
          <t>Nutriente Garantido</t>
        </is>
      </c>
      <c r="G505" s="7" t="inlineStr">
        <is>
          <t>COT 18%</t>
        </is>
      </c>
      <c r="H505" s="7" t="inlineStr">
        <is>
          <t>Composição Nutricional Oficial (COT 18%)</t>
        </is>
      </c>
      <c r="I505" s="7" t="inlineStr">
        <is>
          <t>Fertilizante Mineral / Organomineral (Lei nº 6.894/1980)</t>
        </is>
      </c>
      <c r="J505" s="7" t="inlineStr">
        <is>
          <t>Nutrição Vegetal SIPEAGRO</t>
        </is>
      </c>
      <c r="K505" s="7" t="inlineStr">
        <is>
          <t>Fornecimento de macro e micronutrientes essenciais ao metabolismo vegetal</t>
        </is>
      </c>
      <c r="L505" s="9" t="n">
        <v>18</v>
      </c>
      <c r="M505" s="7" t="inlineStr">
        <is>
          <t>% m/m</t>
        </is>
      </c>
      <c r="N505" s="7" t="inlineStr">
        <is>
          <t>Registro Técnico Vinculado MAPA</t>
        </is>
      </c>
    </row>
    <row r="506" ht="22" customHeight="1">
      <c r="A506" s="12" t="inlineStr">
        <is>
          <t>CMP-0502</t>
        </is>
      </c>
      <c r="B506" s="11" t="n">
        <v>358</v>
      </c>
      <c r="C506" s="13" t="inlineStr">
        <is>
          <t>SIPEAGRO (UF-XXXXX)</t>
        </is>
      </c>
      <c r="D506" s="14" t="inlineStr">
        <is>
          <t>AGCN FULL ULTRA (D)</t>
        </is>
      </c>
      <c r="E506" s="11" t="n">
        <v>1</v>
      </c>
      <c r="F506" s="13" t="inlineStr">
        <is>
          <t>Nutriente Garantido</t>
        </is>
      </c>
      <c r="G506" s="13" t="inlineStr">
        <is>
          <t>N15%</t>
        </is>
      </c>
      <c r="H506" s="13" t="inlineStr">
        <is>
          <t>Composição Nutricional Oficial (N15%)</t>
        </is>
      </c>
      <c r="I506" s="13" t="inlineStr">
        <is>
          <t>Fertilizante Mineral / Organomineral (Lei nº 6.894/1980)</t>
        </is>
      </c>
      <c r="J506" s="13" t="inlineStr">
        <is>
          <t>Nutrição Vegetal SIPEAGRO</t>
        </is>
      </c>
      <c r="K506" s="13" t="inlineStr">
        <is>
          <t>Fornecimento de macro e micronutrientes essenciais ao metabolismo vegetal</t>
        </is>
      </c>
      <c r="L506" s="15" t="n">
        <v>15</v>
      </c>
      <c r="M506" s="13" t="inlineStr">
        <is>
          <t>% m/m</t>
        </is>
      </c>
      <c r="N506" s="13" t="inlineStr">
        <is>
          <t>Registro Técnico Vinculado MAPA</t>
        </is>
      </c>
    </row>
    <row r="507" ht="22" customHeight="1">
      <c r="A507" s="6" t="inlineStr">
        <is>
          <t>CMP-0503</t>
        </is>
      </c>
      <c r="B507" s="5" t="n">
        <v>358</v>
      </c>
      <c r="C507" s="7" t="inlineStr">
        <is>
          <t>SIPEAGRO (UF-XXXXX)</t>
        </is>
      </c>
      <c r="D507" s="8" t="inlineStr">
        <is>
          <t>AGCN FULL ULTRA (D)</t>
        </is>
      </c>
      <c r="E507" s="5" t="n">
        <v>2</v>
      </c>
      <c r="F507" s="7" t="inlineStr">
        <is>
          <t>Nutriente Garantido</t>
        </is>
      </c>
      <c r="G507" s="7" t="inlineStr">
        <is>
          <t>P5%</t>
        </is>
      </c>
      <c r="H507" s="7" t="inlineStr">
        <is>
          <t>Composição Nutricional Oficial (P5%)</t>
        </is>
      </c>
      <c r="I507" s="7" t="inlineStr">
        <is>
          <t>Fertilizante Mineral / Organomineral (Lei nº 6.894/1980)</t>
        </is>
      </c>
      <c r="J507" s="7" t="inlineStr">
        <is>
          <t>Nutrição Vegetal SIPEAGRO</t>
        </is>
      </c>
      <c r="K507" s="7" t="inlineStr">
        <is>
          <t>Fornecimento de macro e micronutrientes essenciais ao metabolismo vegetal</t>
        </is>
      </c>
      <c r="L507" s="9" t="n">
        <v>5</v>
      </c>
      <c r="M507" s="7" t="inlineStr">
        <is>
          <t>% m/m</t>
        </is>
      </c>
      <c r="N507" s="7" t="inlineStr">
        <is>
          <t>Registro Técnico Vinculado MAPA</t>
        </is>
      </c>
    </row>
    <row r="508" ht="22" customHeight="1">
      <c r="A508" s="12" t="inlineStr">
        <is>
          <t>CMP-0504</t>
        </is>
      </c>
      <c r="B508" s="11" t="n">
        <v>358</v>
      </c>
      <c r="C508" s="13" t="inlineStr">
        <is>
          <t>SIPEAGRO (UF-XXXXX)</t>
        </is>
      </c>
      <c r="D508" s="14" t="inlineStr">
        <is>
          <t>AGCN FULL ULTRA (D)</t>
        </is>
      </c>
      <c r="E508" s="11" t="n">
        <v>3</v>
      </c>
      <c r="F508" s="13" t="inlineStr">
        <is>
          <t>Nutriente Garantido</t>
        </is>
      </c>
      <c r="G508" s="13" t="inlineStr">
        <is>
          <t>K2O 5%</t>
        </is>
      </c>
      <c r="H508" s="13" t="inlineStr">
        <is>
          <t>Composição Nutricional Oficial (K205%)</t>
        </is>
      </c>
      <c r="I508" s="13" t="inlineStr">
        <is>
          <t>Fertilizante Mineral / Organomineral (Lei nº 6.894/1980)</t>
        </is>
      </c>
      <c r="J508" s="13" t="inlineStr">
        <is>
          <t>Nutrição Vegetal SIPEAGRO</t>
        </is>
      </c>
      <c r="K508" s="13" t="inlineStr">
        <is>
          <t>Fornecimento de macro e micronutrientes essenciais ao metabolismo vegetal</t>
        </is>
      </c>
      <c r="L508" s="15" t="n">
        <v>5</v>
      </c>
      <c r="M508" s="13" t="inlineStr">
        <is>
          <t>% m/m</t>
        </is>
      </c>
      <c r="N508" s="13" t="inlineStr">
        <is>
          <t>Registro Técnico Vinculado MAPA</t>
        </is>
      </c>
    </row>
    <row r="509" ht="22" customHeight="1">
      <c r="A509" s="6" t="inlineStr">
        <is>
          <t>CMP-0505</t>
        </is>
      </c>
      <c r="B509" s="5" t="n">
        <v>358</v>
      </c>
      <c r="C509" s="7" t="inlineStr">
        <is>
          <t>SIPEAGRO (UF-XXXXX)</t>
        </is>
      </c>
      <c r="D509" s="8" t="inlineStr">
        <is>
          <t>AGCN FULL ULTRA (D)</t>
        </is>
      </c>
      <c r="E509" s="5" t="n">
        <v>4</v>
      </c>
      <c r="F509" s="7" t="inlineStr">
        <is>
          <t>Nutriente Garantido</t>
        </is>
      </c>
      <c r="G509" s="7" t="inlineStr">
        <is>
          <t>CA1%</t>
        </is>
      </c>
      <c r="H509" s="7" t="inlineStr">
        <is>
          <t>Composição Nutricional Oficial (CA1%)</t>
        </is>
      </c>
      <c r="I509" s="7" t="inlineStr">
        <is>
          <t>Fertilizante Mineral / Organomineral (Lei nº 6.894/1980)</t>
        </is>
      </c>
      <c r="J509" s="7" t="inlineStr">
        <is>
          <t>Nutrição Vegetal SIPEAGRO</t>
        </is>
      </c>
      <c r="K509" s="7" t="inlineStr">
        <is>
          <t>Fornecimento de macro e micronutrientes essenciais ao metabolismo vegetal</t>
        </is>
      </c>
      <c r="L509" s="9" t="n">
        <v>1</v>
      </c>
      <c r="M509" s="7" t="inlineStr">
        <is>
          <t>% m/m</t>
        </is>
      </c>
      <c r="N509" s="7" t="inlineStr">
        <is>
          <t>Registro Técnico Vinculado MAPA</t>
        </is>
      </c>
    </row>
    <row r="510" ht="22" customHeight="1">
      <c r="A510" s="12" t="inlineStr">
        <is>
          <t>CMP-0506</t>
        </is>
      </c>
      <c r="B510" s="11" t="n">
        <v>358</v>
      </c>
      <c r="C510" s="13" t="inlineStr">
        <is>
          <t>SIPEAGRO (UF-XXXXX)</t>
        </is>
      </c>
      <c r="D510" s="14" t="inlineStr">
        <is>
          <t>AGCN FULL ULTRA (D)</t>
        </is>
      </c>
      <c r="E510" s="11" t="n">
        <v>5</v>
      </c>
      <c r="F510" s="13" t="inlineStr">
        <is>
          <t>Nutriente Garantido</t>
        </is>
      </c>
      <c r="G510" s="13" t="inlineStr">
        <is>
          <t>MG1%</t>
        </is>
      </c>
      <c r="H510" s="13" t="inlineStr">
        <is>
          <t>Composição Nutricional Oficial (MG1%)</t>
        </is>
      </c>
      <c r="I510" s="13" t="inlineStr">
        <is>
          <t>Fertilizante Mineral / Organomineral (Lei nº 6.894/1980)</t>
        </is>
      </c>
      <c r="J510" s="13" t="inlineStr">
        <is>
          <t>Nutrição Vegetal SIPEAGRO</t>
        </is>
      </c>
      <c r="K510" s="13" t="inlineStr">
        <is>
          <t>Fornecimento de macro e micronutrientes essenciais ao metabolismo vegetal</t>
        </is>
      </c>
      <c r="L510" s="15" t="n">
        <v>1</v>
      </c>
      <c r="M510" s="13" t="inlineStr">
        <is>
          <t>% m/m</t>
        </is>
      </c>
      <c r="N510" s="13" t="inlineStr">
        <is>
          <t>Registro Técnico Vinculado MAPA</t>
        </is>
      </c>
    </row>
    <row r="511" ht="22" customHeight="1">
      <c r="A511" s="6" t="inlineStr">
        <is>
          <t>CMP-0507</t>
        </is>
      </c>
      <c r="B511" s="5" t="n">
        <v>358</v>
      </c>
      <c r="C511" s="7" t="inlineStr">
        <is>
          <t>SIPEAGRO (UF-XXXXX)</t>
        </is>
      </c>
      <c r="D511" s="8" t="inlineStr">
        <is>
          <t>AGCN FULL ULTRA (D)</t>
        </is>
      </c>
      <c r="E511" s="5" t="n">
        <v>6</v>
      </c>
      <c r="F511" s="7" t="inlineStr">
        <is>
          <t>Nutriente Garantido</t>
        </is>
      </c>
      <c r="G511" s="7" t="inlineStr">
        <is>
          <t>B0,04%</t>
        </is>
      </c>
      <c r="H511" s="7" t="inlineStr">
        <is>
          <t>Composição Nutricional Oficial (B0,04%)</t>
        </is>
      </c>
      <c r="I511" s="7" t="inlineStr">
        <is>
          <t>Fertilizante Mineral / Organomineral (Lei nº 6.894/1980)</t>
        </is>
      </c>
      <c r="J511" s="7" t="inlineStr">
        <is>
          <t>Nutrição Vegetal SIPEAGRO</t>
        </is>
      </c>
      <c r="K511" s="7" t="inlineStr">
        <is>
          <t>Fornecimento de macro e micronutrientes essenciais ao metabolismo vegetal</t>
        </is>
      </c>
      <c r="L511" s="17" t="n">
        <v>0.04</v>
      </c>
      <c r="M511" s="7" t="inlineStr">
        <is>
          <t>% m/m</t>
        </is>
      </c>
      <c r="N511" s="7" t="inlineStr">
        <is>
          <t>Registro Técnico Vinculado MAPA</t>
        </is>
      </c>
    </row>
    <row r="512" ht="22" customHeight="1">
      <c r="A512" s="12" t="inlineStr">
        <is>
          <t>CMP-0508</t>
        </is>
      </c>
      <c r="B512" s="11" t="n">
        <v>358</v>
      </c>
      <c r="C512" s="13" t="inlineStr">
        <is>
          <t>SIPEAGRO (UF-XXXXX)</t>
        </is>
      </c>
      <c r="D512" s="14" t="inlineStr">
        <is>
          <t>AGCN FULL ULTRA (D)</t>
        </is>
      </c>
      <c r="E512" s="11" t="n">
        <v>7</v>
      </c>
      <c r="F512" s="13" t="inlineStr">
        <is>
          <t>Nutriente Garantido</t>
        </is>
      </c>
      <c r="G512" s="13" t="inlineStr">
        <is>
          <t>COT</t>
        </is>
      </c>
      <c r="H512" s="13" t="inlineStr">
        <is>
          <t>Composição Nutricional Oficial (COT)</t>
        </is>
      </c>
      <c r="I512" s="13" t="inlineStr">
        <is>
          <t>Fertilizante Mineral / Organomineral (Lei nº 6.894/1980)</t>
        </is>
      </c>
      <c r="J512" s="13" t="inlineStr">
        <is>
          <t>Nutrição Vegetal SIPEAGRO</t>
        </is>
      </c>
      <c r="K512" s="13" t="inlineStr">
        <is>
          <t>Fornecimento de macro e micronutrientes essenciais ao metabolismo vegetal</t>
        </is>
      </c>
      <c r="L512" s="15" t="n">
        <v>8</v>
      </c>
      <c r="M512" s="13" t="inlineStr">
        <is>
          <t>% m/m</t>
        </is>
      </c>
      <c r="N512" s="13" t="inlineStr">
        <is>
          <t>Registro Técnico Vinculado MAPA</t>
        </is>
      </c>
    </row>
    <row r="513" ht="22" customHeight="1">
      <c r="A513" s="6" t="inlineStr">
        <is>
          <t>CMP-0509</t>
        </is>
      </c>
      <c r="B513" s="5" t="n">
        <v>358</v>
      </c>
      <c r="C513" s="7" t="inlineStr">
        <is>
          <t>SIPEAGRO (UF-XXXXX)</t>
        </is>
      </c>
      <c r="D513" s="8" t="inlineStr">
        <is>
          <t>AGCN FULL ULTRA (D)</t>
        </is>
      </c>
      <c r="E513" s="5" t="n">
        <v>8</v>
      </c>
      <c r="F513" s="7" t="inlineStr">
        <is>
          <t>Nutriente Garantido</t>
        </is>
      </c>
      <c r="G513" s="7" t="inlineStr">
        <is>
          <t>4%EXT. ALGA</t>
        </is>
      </c>
      <c r="H513" s="7" t="inlineStr">
        <is>
          <t>Composição Nutricional Oficial (4%EXT. ALGA)</t>
        </is>
      </c>
      <c r="I513" s="7" t="inlineStr">
        <is>
          <t>Fertilizante Mineral / Organomineral (Lei nº 6.894/1980)</t>
        </is>
      </c>
      <c r="J513" s="7" t="inlineStr">
        <is>
          <t>Nutrição Vegetal SIPEAGRO</t>
        </is>
      </c>
      <c r="K513" s="7" t="inlineStr">
        <is>
          <t>Fornecimento de macro e micronutrientes essenciais ao metabolismo vegetal</t>
        </is>
      </c>
      <c r="L513" s="9" t="n">
        <v>4</v>
      </c>
      <c r="M513" s="7" t="inlineStr">
        <is>
          <t>% m/m</t>
        </is>
      </c>
      <c r="N513" s="7" t="inlineStr">
        <is>
          <t>Registro Técnico Vinculado MAPA</t>
        </is>
      </c>
    </row>
    <row r="514" ht="22" customHeight="1">
      <c r="A514" s="12" t="inlineStr">
        <is>
          <t>CMP-0510</t>
        </is>
      </c>
      <c r="B514" s="11" t="n">
        <v>359</v>
      </c>
      <c r="C514" s="13" t="inlineStr">
        <is>
          <t>Nº 23922</t>
        </is>
      </c>
      <c r="D514" s="14" t="inlineStr">
        <is>
          <t>CLETODIM 360 (PRINCIPIO ATIVO)</t>
        </is>
      </c>
      <c r="E514" s="11" t="n">
        <v>1</v>
      </c>
      <c r="F514" s="13" t="inlineStr">
        <is>
          <t>Ingrediente Ativo Principal</t>
        </is>
      </c>
      <c r="G514" s="13" t="inlineStr">
        <is>
          <t>CLETODIM 360</t>
        </is>
      </c>
      <c r="H514" s="13" t="inlineStr">
        <is>
          <t>(RS)-2-[(E)-1-[(E)-3-chloroallyloxyimino]propyl]-5-[2-(ethylthio)propyl]-3-hydroxycyclohex-2-en-1-one</t>
        </is>
      </c>
      <c r="I514" s="13" t="inlineStr">
        <is>
          <t>Oxima ciclohexanodiona (DIM)</t>
        </is>
      </c>
      <c r="J514" s="13" t="inlineStr">
        <is>
          <t>HRAC Grupo A (1) — Inibidores da ACCase</t>
        </is>
      </c>
      <c r="K514" s="13" t="inlineStr">
        <is>
          <t>Inibidores da Acetil CoA Carboxilase (ACCase)</t>
        </is>
      </c>
      <c r="L514" s="15" t="n">
        <v>360</v>
      </c>
      <c r="M514" s="13" t="inlineStr">
        <is>
          <t>g/L</t>
        </is>
      </c>
      <c r="N514" s="13" t="inlineStr">
        <is>
          <t>Produto Técnico Próprio</t>
        </is>
      </c>
    </row>
    <row r="515" ht="22" customHeight="1">
      <c r="A515" s="6" t="inlineStr">
        <is>
          <t>CMP-0511</t>
        </is>
      </c>
      <c r="B515" s="5" t="n">
        <v>360</v>
      </c>
      <c r="C515" s="7" t="inlineStr">
        <is>
          <t>Nº 27717</t>
        </is>
      </c>
      <c r="D515" s="8" t="inlineStr">
        <is>
          <t>FIPRONIL 800 WG AGCN</t>
        </is>
      </c>
      <c r="E515" s="5" t="n">
        <v>1</v>
      </c>
      <c r="F515" s="7" t="inlineStr">
        <is>
          <t>Ingrediente Ativo Principal</t>
        </is>
      </c>
      <c r="G515" s="7" t="inlineStr">
        <is>
          <t>FIPRONIL 800</t>
        </is>
      </c>
      <c r="H515" s="7" t="inlineStr">
        <is>
          <t>(RS)-5-amino-1-(2,6-dichloro-a,a,a-trifluoro-p-tolyl)-4-trifluoromethylsulfinylpyrazole-3-carbonitrile</t>
        </is>
      </c>
      <c r="I515" s="7" t="inlineStr">
        <is>
          <t>Pirazol (Fenilpirazol)</t>
        </is>
      </c>
      <c r="J515" s="7" t="inlineStr">
        <is>
          <t>IRAC Grupo 2B</t>
        </is>
      </c>
      <c r="K515" s="7" t="inlineStr">
        <is>
          <t>Bloqueadores de canais de cloro mediados pelo GABA</t>
        </is>
      </c>
      <c r="L515" s="9" t="n">
        <v>800</v>
      </c>
      <c r="M515" s="7" t="inlineStr">
        <is>
          <t>g/kg</t>
        </is>
      </c>
      <c r="N515" s="7" t="inlineStr">
        <is>
          <t>Registro Técnico Vinculado MAPA</t>
        </is>
      </c>
    </row>
    <row r="516" ht="22" customHeight="1">
      <c r="A516" s="12" t="inlineStr">
        <is>
          <t>CMP-0512</t>
        </is>
      </c>
      <c r="B516" s="11" t="n">
        <v>361</v>
      </c>
      <c r="C516" s="13" t="inlineStr">
        <is>
          <t>Nº 27717</t>
        </is>
      </c>
      <c r="D516" s="14" t="inlineStr">
        <is>
          <t>FIPRONIL 800 WG AGCN</t>
        </is>
      </c>
      <c r="E516" s="11" t="n">
        <v>1</v>
      </c>
      <c r="F516" s="13" t="inlineStr">
        <is>
          <t>Ingrediente Ativo Principal</t>
        </is>
      </c>
      <c r="G516" s="13" t="inlineStr">
        <is>
          <t>FIPRONIL 800</t>
        </is>
      </c>
      <c r="H516" s="13" t="inlineStr">
        <is>
          <t>(RS)-5-amino-1-(2,6-dichloro-a,a,a-trifluoro-p-tolyl)-4-trifluoromethylsulfinylpyrazole-3-carbonitrile</t>
        </is>
      </c>
      <c r="I516" s="13" t="inlineStr">
        <is>
          <t>Pirazol (Fenilpirazol)</t>
        </is>
      </c>
      <c r="J516" s="13" t="inlineStr">
        <is>
          <t>IRAC Grupo 2B</t>
        </is>
      </c>
      <c r="K516" s="13" t="inlineStr">
        <is>
          <t>Bloqueadores de canais de cloro mediados pelo GABA</t>
        </is>
      </c>
      <c r="L516" s="15" t="n">
        <v>800</v>
      </c>
      <c r="M516" s="13" t="inlineStr">
        <is>
          <t>g/kg</t>
        </is>
      </c>
      <c r="N516" s="13" t="inlineStr">
        <is>
          <t>Registro Técnico Vinculado MAPA</t>
        </is>
      </c>
    </row>
    <row r="517" ht="22" customHeight="1">
      <c r="A517" s="6" t="inlineStr">
        <is>
          <t>CMP-0513</t>
        </is>
      </c>
      <c r="B517" s="5" t="n">
        <v>362</v>
      </c>
      <c r="C517" s="7" t="inlineStr">
        <is>
          <t>Nº 22023</t>
        </is>
      </c>
      <c r="D517" s="8" t="inlineStr">
        <is>
          <t>TEBUCONAZOLE 430 SINO-AGRI</t>
        </is>
      </c>
      <c r="E517" s="5" t="n">
        <v>1</v>
      </c>
      <c r="F517" s="7" t="inlineStr">
        <is>
          <t>Ingrediente Ativo Principal</t>
        </is>
      </c>
      <c r="G517" s="7" t="inlineStr">
        <is>
          <t>TEBUCONAZOL 430</t>
        </is>
      </c>
      <c r="H517" s="7" t="inlineStr">
        <is>
          <t>(RS)-1-p-chlorophenyl-4,4-dimethyl-3-(1H-1,2,4-triazol-1-ylmethyl)pentan-3-ol</t>
        </is>
      </c>
      <c r="I517" s="7" t="inlineStr">
        <is>
          <t>Triazol</t>
        </is>
      </c>
      <c r="J517" s="7" t="inlineStr">
        <is>
          <t>FRAC Grupo 3 (DMI)</t>
        </is>
      </c>
      <c r="K517" s="7" t="inlineStr">
        <is>
          <t>Inibidores da desmetilação de C14 na biossíntese de ergosterol</t>
        </is>
      </c>
      <c r="L517" s="9" t="n">
        <v>430</v>
      </c>
      <c r="M517" s="7" t="inlineStr">
        <is>
          <t>g/L</t>
        </is>
      </c>
      <c r="N517" s="7" t="inlineStr">
        <is>
          <t>Registro Técnico Vinculado MAPA</t>
        </is>
      </c>
    </row>
    <row r="518" ht="22" customHeight="1">
      <c r="A518" s="12" t="inlineStr">
        <is>
          <t>CMP-0514</t>
        </is>
      </c>
      <c r="B518" s="11" t="n">
        <v>363</v>
      </c>
      <c r="C518" s="13" t="inlineStr">
        <is>
          <t>Nº 22023</t>
        </is>
      </c>
      <c r="D518" s="14" t="inlineStr">
        <is>
          <t>TEBUCONAZOLE 430 SINO-AGRI</t>
        </is>
      </c>
      <c r="E518" s="11" t="n">
        <v>1</v>
      </c>
      <c r="F518" s="13" t="inlineStr">
        <is>
          <t>Ingrediente Ativo Principal</t>
        </is>
      </c>
      <c r="G518" s="13" t="inlineStr">
        <is>
          <t>TEBUCONAZOL 430</t>
        </is>
      </c>
      <c r="H518" s="13" t="inlineStr">
        <is>
          <t>(RS)-1-p-chlorophenyl-4,4-dimethyl-3-(1H-1,2,4-triazol-1-ylmethyl)pentan-3-ol</t>
        </is>
      </c>
      <c r="I518" s="13" t="inlineStr">
        <is>
          <t>Triazol</t>
        </is>
      </c>
      <c r="J518" s="13" t="inlineStr">
        <is>
          <t>FRAC Grupo 3 (DMI)</t>
        </is>
      </c>
      <c r="K518" s="13" t="inlineStr">
        <is>
          <t>Inibidores da desmetilação de C14 na biossíntese de ergosterol</t>
        </is>
      </c>
      <c r="L518" s="15" t="n">
        <v>430</v>
      </c>
      <c r="M518" s="13" t="inlineStr">
        <is>
          <t>g/L</t>
        </is>
      </c>
      <c r="N518" s="13" t="inlineStr">
        <is>
          <t>Registro Técnico Vinculado MAPA</t>
        </is>
      </c>
    </row>
    <row r="519" ht="22" customHeight="1">
      <c r="A519" s="6" t="inlineStr">
        <is>
          <t>CMP-0515</t>
        </is>
      </c>
      <c r="B519" s="5" t="n">
        <v>364</v>
      </c>
      <c r="C519" s="7" t="inlineStr">
        <is>
          <t>Nº 0315</t>
        </is>
      </c>
      <c r="D519" s="8" t="inlineStr">
        <is>
          <t>2-4 D AGCN</t>
        </is>
      </c>
      <c r="E519" s="5" t="n">
        <v>1</v>
      </c>
      <c r="F519" s="7" t="inlineStr">
        <is>
          <t>Ingrediente Ativo Principal</t>
        </is>
      </c>
      <c r="G519" s="7" t="inlineStr">
        <is>
          <t>2,4-D SAL DIMETILAMINA 806 g/L (Equiv. 670 g/L 2,4-D Ácido)</t>
        </is>
      </c>
      <c r="H519" s="7" t="inlineStr">
        <is>
          <t>(2,4-dichlorophenoxy)acetic acid (Sal Dimetilamina)</t>
        </is>
      </c>
      <c r="I519" s="7" t="inlineStr">
        <is>
          <t>Ácido ariloxialcanoico</t>
        </is>
      </c>
      <c r="J519" s="7" t="inlineStr">
        <is>
          <t>HRAC Grupo O (4) — Auxinas Sintéticas</t>
        </is>
      </c>
      <c r="K519" s="7" t="inlineStr">
        <is>
          <t>Mimetizadores da auxina (ácido indolacético - AIA)</t>
        </is>
      </c>
      <c r="L519" s="9" t="n">
        <v>806</v>
      </c>
      <c r="M519" s="7" t="inlineStr">
        <is>
          <t>g/L</t>
        </is>
      </c>
      <c r="N519" s="7" t="inlineStr">
        <is>
          <t>Registro Técnico Vinculado MAPA</t>
        </is>
      </c>
    </row>
    <row r="520" ht="22" customHeight="1">
      <c r="A520" s="12" t="inlineStr">
        <is>
          <t>CMP-0516</t>
        </is>
      </c>
      <c r="B520" s="11" t="n">
        <v>365</v>
      </c>
      <c r="C520" s="13" t="inlineStr">
        <is>
          <t>Nº 7124</t>
        </is>
      </c>
      <c r="D520" s="14" t="inlineStr">
        <is>
          <t>OPTIBEX</t>
        </is>
      </c>
      <c r="E520" s="11" t="n">
        <v>1</v>
      </c>
      <c r="F520" s="13" t="inlineStr">
        <is>
          <t>Ingrediente Ativo Principal</t>
        </is>
      </c>
      <c r="G520" s="13" t="inlineStr">
        <is>
          <t>GLUFOSINATO 880</t>
        </is>
      </c>
      <c r="H520" s="13" t="inlineStr">
        <is>
          <t>Ammonium (2RS)-2-amino-4-(methylphosphinato)butyric acid (Glufosinato Sal de Amônio)</t>
        </is>
      </c>
      <c r="I520" s="13" t="inlineStr">
        <is>
          <t>Homoalanina substituída (Ácido fosfínico)</t>
        </is>
      </c>
      <c r="J520" s="13" t="inlineStr">
        <is>
          <t>HRAC Grupo H (10) — Inibidores da Glutamina Sintetase</t>
        </is>
      </c>
      <c r="K520" s="13" t="inlineStr">
        <is>
          <t>Inibição da enzima glutamina sintetase (acúmulo de amônia intracelular)</t>
        </is>
      </c>
      <c r="L520" s="15" t="n">
        <v>880</v>
      </c>
      <c r="M520" s="13" t="inlineStr">
        <is>
          <t>g/kg</t>
        </is>
      </c>
      <c r="N520" s="13" t="inlineStr">
        <is>
          <t>Registro Técnico Vinculado MAPA</t>
        </is>
      </c>
    </row>
    <row r="521" ht="22" customHeight="1">
      <c r="A521" s="6" t="inlineStr">
        <is>
          <t>CMP-0517</t>
        </is>
      </c>
      <c r="B521" s="5" t="n">
        <v>366</v>
      </c>
      <c r="C521" s="7" t="inlineStr">
        <is>
          <t>Nº 34621</t>
        </is>
      </c>
      <c r="D521" s="8" t="inlineStr">
        <is>
          <t>RATEIO 200 SL</t>
        </is>
      </c>
      <c r="E521" s="5" t="n">
        <v>1</v>
      </c>
      <c r="F521" s="7" t="inlineStr">
        <is>
          <t>Ingrediente Ativo Principal</t>
        </is>
      </c>
      <c r="G521" s="7" t="inlineStr">
        <is>
          <t>DIQUATE ÍON 200 g/L (Dibrometo de Diquate 373,5 g/L)</t>
        </is>
      </c>
      <c r="H521" s="7" t="inlineStr">
        <is>
          <t>9,10-dihydro-8a,10a-diazoniaphenanthrene dibromide (Dibrometo de Diquate)</t>
        </is>
      </c>
      <c r="I521" s="7" t="inlineStr">
        <is>
          <t>Bipiridílio</t>
        </is>
      </c>
      <c r="J521" s="7" t="inlineStr">
        <is>
          <t>HRAC Grupo D (22) — Desviadores de Elétrons do Fotossistema I</t>
        </is>
      </c>
      <c r="K521" s="7" t="inlineStr">
        <is>
          <t>Inibidores do Fotossistema I (geração de radicais livres peróxidos)</t>
        </is>
      </c>
      <c r="L521" s="9" t="n">
        <v>200</v>
      </c>
      <c r="M521" s="7" t="inlineStr">
        <is>
          <t>g/L</t>
        </is>
      </c>
      <c r="N521" s="7" t="inlineStr">
        <is>
          <t>Registro Técnico Vinculado MAPA</t>
        </is>
      </c>
    </row>
    <row r="522" ht="22" customHeight="1">
      <c r="A522" s="12" t="inlineStr">
        <is>
          <t>CMP-0518</t>
        </is>
      </c>
      <c r="B522" s="11" t="n">
        <v>367</v>
      </c>
      <c r="C522" s="13" t="inlineStr">
        <is>
          <t>SIPEAGRO (UF-XXXXX)</t>
        </is>
      </c>
      <c r="D522" s="14" t="inlineStr">
        <is>
          <t>CLORETO DE POTASSIO 000060 1.000KG</t>
        </is>
      </c>
      <c r="E522" s="11" t="n">
        <v>1</v>
      </c>
      <c r="F522" s="13" t="inlineStr">
        <is>
          <t>Nutriente Garantido</t>
        </is>
      </c>
      <c r="G522" s="13" t="inlineStr">
        <is>
          <t>CLORETO DE POTASSIO</t>
        </is>
      </c>
      <c r="H522" s="13" t="inlineStr">
        <is>
          <t>Composição Nutricional Oficial (CLORETO DE POTASSIO)</t>
        </is>
      </c>
      <c r="I522" s="13" t="inlineStr">
        <is>
          <t>Fertilizante Mineral / Organomineral (Lei nº 6.894/1980)</t>
        </is>
      </c>
      <c r="J522" s="13" t="inlineStr">
        <is>
          <t>Nutrição Vegetal SIPEAGRO</t>
        </is>
      </c>
      <c r="K522" s="13" t="inlineStr">
        <is>
          <t>Fornecimento de macro e micronutrientes essenciais ao metabolismo vegetal</t>
        </is>
      </c>
      <c r="L522" s="15" t="n">
        <v>100</v>
      </c>
      <c r="M522" s="13" t="inlineStr">
        <is>
          <t>% m/m</t>
        </is>
      </c>
      <c r="N522" s="13" t="inlineStr">
        <is>
          <t>Registro Técnico Vinculado MAPA</t>
        </is>
      </c>
    </row>
    <row r="523" ht="22" customHeight="1">
      <c r="A523" s="6" t="inlineStr">
        <is>
          <t>CMP-0519</t>
        </is>
      </c>
      <c r="B523" s="5" t="n">
        <v>368</v>
      </c>
      <c r="C523" s="7" t="inlineStr">
        <is>
          <t>VINCULAR MARCA</t>
        </is>
      </c>
      <c r="D523" s="8" t="inlineStr">
        <is>
          <t>ABAMECTINA 600 (PRINCIPIO ATIVO)</t>
        </is>
      </c>
      <c r="E523" s="5" t="n">
        <v>1</v>
      </c>
      <c r="F523" s="7" t="inlineStr">
        <is>
          <t>Ingrediente Ativo Principal</t>
        </is>
      </c>
      <c r="G523" s="7" t="inlineStr">
        <is>
          <t>ABAMECTINA 600</t>
        </is>
      </c>
      <c r="H523" s="7" t="inlineStr">
        <is>
          <t>Mistura &gt;=80% Avermectina B1a e &lt;=20% Avermectina B1b</t>
        </is>
      </c>
      <c r="I523" s="7" t="inlineStr">
        <is>
          <t>Avermectina (Lactona Macrocíclica)</t>
        </is>
      </c>
      <c r="J523" s="7" t="inlineStr">
        <is>
          <t>IRAC Grupo 6</t>
        </is>
      </c>
      <c r="K523" s="7" t="inlineStr">
        <is>
          <t>Moduladores alostéricos de canais de cloro mediados pelo glutamato (GluCl)</t>
        </is>
      </c>
      <c r="L523" s="9" t="n">
        <v>600</v>
      </c>
      <c r="M523" s="7" t="inlineStr">
        <is>
          <t>g/kg</t>
        </is>
      </c>
      <c r="N523" s="7" t="inlineStr">
        <is>
          <t>Produto Técnico Próprio</t>
        </is>
      </c>
    </row>
    <row r="524" ht="22" customHeight="1">
      <c r="A524" s="12" t="inlineStr">
        <is>
          <t>CMP-0520</t>
        </is>
      </c>
      <c r="B524" s="11" t="n">
        <v>369</v>
      </c>
      <c r="C524" s="13" t="inlineStr">
        <is>
          <t>Nº 0120</t>
        </is>
      </c>
      <c r="D524" s="14" t="inlineStr">
        <is>
          <t>GLUFOSINATO 200 (PRINCIPIO ATIVO)</t>
        </is>
      </c>
      <c r="E524" s="11" t="n">
        <v>1</v>
      </c>
      <c r="F524" s="13" t="inlineStr">
        <is>
          <t>Ingrediente Ativo Principal</t>
        </is>
      </c>
      <c r="G524" s="13" t="inlineStr">
        <is>
          <t>GLUFOSINATO 200</t>
        </is>
      </c>
      <c r="H524" s="13" t="inlineStr">
        <is>
          <t>Ammonium (2RS)-2-amino-4-(methylphosphinato)butyric acid (Glufosinato Sal de Amônio)</t>
        </is>
      </c>
      <c r="I524" s="13" t="inlineStr">
        <is>
          <t>Homoalanina substituída (Ácido fosfínico)</t>
        </is>
      </c>
      <c r="J524" s="13" t="inlineStr">
        <is>
          <t>HRAC Grupo H (10) — Inibidores da Glutamina Sintetase</t>
        </is>
      </c>
      <c r="K524" s="13" t="inlineStr">
        <is>
          <t>Inibição da enzima glutamina sintetase (acúmulo de amônia intracelular)</t>
        </is>
      </c>
      <c r="L524" s="15" t="n">
        <v>200</v>
      </c>
      <c r="M524" s="13" t="inlineStr">
        <is>
          <t>g/kg</t>
        </is>
      </c>
      <c r="N524" s="13" t="inlineStr">
        <is>
          <t>Produto Técnico Próprio</t>
        </is>
      </c>
    </row>
    <row r="525" ht="22" customHeight="1">
      <c r="A525" s="6" t="inlineStr">
        <is>
          <t>CMP-0521</t>
        </is>
      </c>
      <c r="B525" s="5" t="n">
        <v>370</v>
      </c>
      <c r="C525" s="7" t="inlineStr">
        <is>
          <t>Nº 36419</t>
        </is>
      </c>
      <c r="D525" s="8" t="inlineStr">
        <is>
          <t>PIRIPROXIFEM 100 (PRINCIPIO ATIVO)</t>
        </is>
      </c>
      <c r="E525" s="5" t="n">
        <v>1</v>
      </c>
      <c r="F525" s="7" t="inlineStr">
        <is>
          <t>Ingrediente Ativo Principal</t>
        </is>
      </c>
      <c r="G525" s="7" t="inlineStr">
        <is>
          <t>PIRIPROXIFEM 100</t>
        </is>
      </c>
      <c r="H525" s="7" t="inlineStr">
        <is>
          <t>4-phenoxyphenyl (RS)-2-(2-pyridyloxy)propyl ether</t>
        </is>
      </c>
      <c r="I525" s="7" t="inlineStr">
        <is>
          <t>Éter piridiloxipropílico</t>
        </is>
      </c>
      <c r="J525" s="7" t="inlineStr">
        <is>
          <t>IRAC Grupo 7C</t>
        </is>
      </c>
      <c r="K525" s="7" t="inlineStr">
        <is>
          <t>Mimetizadores do hormônio juvenil (Juvenoides)</t>
        </is>
      </c>
      <c r="L525" s="9" t="n">
        <v>100</v>
      </c>
      <c r="M525" s="7" t="inlineStr">
        <is>
          <t>g/kg</t>
        </is>
      </c>
      <c r="N525" s="7" t="inlineStr">
        <is>
          <t>Produto Técnico Próprio</t>
        </is>
      </c>
    </row>
    <row r="526" ht="22" customHeight="1">
      <c r="A526" s="12" t="inlineStr">
        <is>
          <t>CMP-0522</t>
        </is>
      </c>
      <c r="B526" s="11" t="n">
        <v>371</v>
      </c>
      <c r="C526" s="13" t="inlineStr">
        <is>
          <t>Nº 26322</t>
        </is>
      </c>
      <c r="D526" s="14" t="inlineStr">
        <is>
          <t>FIPRONIL 800 WG YONON</t>
        </is>
      </c>
      <c r="E526" s="11" t="n">
        <v>1</v>
      </c>
      <c r="F526" s="13" t="inlineStr">
        <is>
          <t>Ingrediente Ativo Principal</t>
        </is>
      </c>
      <c r="G526" s="13" t="inlineStr">
        <is>
          <t>FIPRONIL 800</t>
        </is>
      </c>
      <c r="H526" s="13" t="inlineStr">
        <is>
          <t>(RS)-5-amino-1-(2,6-dichloro-a,a,a-trifluoro-p-tolyl)-4-trifluoromethylsulfinylpyrazole-3-carbonitrile</t>
        </is>
      </c>
      <c r="I526" s="13" t="inlineStr">
        <is>
          <t>Pirazol (Fenilpirazol)</t>
        </is>
      </c>
      <c r="J526" s="13" t="inlineStr">
        <is>
          <t>IRAC Grupo 2B</t>
        </is>
      </c>
      <c r="K526" s="13" t="inlineStr">
        <is>
          <t>Bloqueadores de canais de cloro mediados pelo GABA</t>
        </is>
      </c>
      <c r="L526" s="15" t="n">
        <v>800</v>
      </c>
      <c r="M526" s="13" t="inlineStr">
        <is>
          <t>g/kg</t>
        </is>
      </c>
      <c r="N526" s="13" t="inlineStr">
        <is>
          <t>Registro Técnico Vinculado MAPA</t>
        </is>
      </c>
    </row>
    <row r="527" ht="22" customHeight="1">
      <c r="A527" s="6" t="inlineStr">
        <is>
          <t>CMP-0523</t>
        </is>
      </c>
      <c r="B527" s="5" t="n">
        <v>372</v>
      </c>
      <c r="C527" s="7" t="inlineStr">
        <is>
          <t>Nº 1522</t>
        </is>
      </c>
      <c r="D527" s="8" t="inlineStr">
        <is>
          <t>ADVER</t>
        </is>
      </c>
      <c r="E527" s="5" t="n">
        <v>1</v>
      </c>
      <c r="F527" s="7" t="inlineStr">
        <is>
          <t>Ingrediente Ativo Principal</t>
        </is>
      </c>
      <c r="G527" s="7" t="inlineStr">
        <is>
          <t>CLORFENAPIR 240</t>
        </is>
      </c>
      <c r="H527" s="7" t="inlineStr">
        <is>
          <t>4-bromo-2-(4-chlorophenyl)-1-ethoxymethyl-5-trifluoromethyl-1H-pyrrole-3-carbonitrile</t>
        </is>
      </c>
      <c r="I527" s="7" t="inlineStr">
        <is>
          <t>Análogo de pirazol (Arilpirrol)</t>
        </is>
      </c>
      <c r="J527" s="7" t="inlineStr">
        <is>
          <t>IRAC Grupo 13</t>
        </is>
      </c>
      <c r="K527" s="7" t="inlineStr">
        <is>
          <t>Desacopladores da fosforilação oxidativa via disrupção do gradiente de prótons</t>
        </is>
      </c>
      <c r="L527" s="9" t="n">
        <v>240</v>
      </c>
      <c r="M527" s="7" t="inlineStr">
        <is>
          <t>g/L</t>
        </is>
      </c>
      <c r="N527" s="7" t="inlineStr">
        <is>
          <t>Registro Técnico Vinculado MAPA</t>
        </is>
      </c>
    </row>
    <row r="528" ht="22" customHeight="1">
      <c r="A528" s="12" t="inlineStr">
        <is>
          <t>CMP-0524</t>
        </is>
      </c>
      <c r="B528" s="11" t="n">
        <v>373</v>
      </c>
      <c r="C528" s="13" t="inlineStr">
        <is>
          <t>Nº 36419</t>
        </is>
      </c>
      <c r="D528" s="14" t="inlineStr">
        <is>
          <t>PIRIPROXIFEM CCAB 100 EC</t>
        </is>
      </c>
      <c r="E528" s="11" t="n">
        <v>1</v>
      </c>
      <c r="F528" s="13" t="inlineStr">
        <is>
          <t>Ingrediente Ativo Principal</t>
        </is>
      </c>
      <c r="G528" s="13" t="inlineStr">
        <is>
          <t>PIRIPROXIFEM 100</t>
        </is>
      </c>
      <c r="H528" s="13" t="inlineStr">
        <is>
          <t>4-phenoxyphenyl (RS)-2-(2-pyridyloxy)propyl ether</t>
        </is>
      </c>
      <c r="I528" s="13" t="inlineStr">
        <is>
          <t>Éter piridiloxipropílico</t>
        </is>
      </c>
      <c r="J528" s="13" t="inlineStr">
        <is>
          <t>IRAC Grupo 7C</t>
        </is>
      </c>
      <c r="K528" s="13" t="inlineStr">
        <is>
          <t>Mimetizadores do hormônio juvenil (Juvenoides)</t>
        </is>
      </c>
      <c r="L528" s="15" t="n">
        <v>100</v>
      </c>
      <c r="M528" s="13" t="inlineStr">
        <is>
          <t>g/L</t>
        </is>
      </c>
      <c r="N528" s="13" t="inlineStr">
        <is>
          <t>Registro Técnico Vinculado MAPA</t>
        </is>
      </c>
    </row>
    <row r="529" ht="22" customHeight="1">
      <c r="A529" s="6" t="inlineStr">
        <is>
          <t>CMP-0525</t>
        </is>
      </c>
      <c r="B529" s="5" t="n">
        <v>374</v>
      </c>
      <c r="C529" s="7" t="inlineStr">
        <is>
          <t>Nº 6922</t>
        </is>
      </c>
      <c r="D529" s="8" t="inlineStr">
        <is>
          <t>COFENRIN</t>
        </is>
      </c>
      <c r="E529" s="5" t="n">
        <v>1</v>
      </c>
      <c r="F529" s="7" t="inlineStr">
        <is>
          <t>Ingrediente Ativo Principal</t>
        </is>
      </c>
      <c r="G529" s="7" t="inlineStr">
        <is>
          <t>BIFENTRINA 400</t>
        </is>
      </c>
      <c r="H529" s="7" t="inlineStr">
        <is>
          <t>2-methylbiphenyl-3-ylmethyl (Z)-(1RS,3RS)-3-(2-chloro-3,3,3-trifluoroprop-1-enyl)-2,2-dimethylcyclopropanecarboxylate</t>
        </is>
      </c>
      <c r="I529" s="7" t="inlineStr">
        <is>
          <t>Piretroide (Tipo I)</t>
        </is>
      </c>
      <c r="J529" s="7" t="inlineStr">
        <is>
          <t>IRAC Grupo 3A</t>
        </is>
      </c>
      <c r="K529" s="7" t="inlineStr">
        <is>
          <t>Moduladores de canais de sódio em membranas nervosas</t>
        </is>
      </c>
      <c r="L529" s="9" t="n">
        <v>400</v>
      </c>
      <c r="M529" s="7" t="inlineStr">
        <is>
          <t>g/L</t>
        </is>
      </c>
      <c r="N529" s="7" t="inlineStr">
        <is>
          <t>Registro Técnico Vinculado MAPA</t>
        </is>
      </c>
    </row>
    <row r="530" ht="22" customHeight="1">
      <c r="A530" s="12" t="inlineStr">
        <is>
          <t>CMP-0526</t>
        </is>
      </c>
      <c r="B530" s="11" t="n">
        <v>375</v>
      </c>
      <c r="C530" s="13" t="inlineStr">
        <is>
          <t>Nº 3623</t>
        </is>
      </c>
      <c r="D530" s="14" t="inlineStr">
        <is>
          <t>FLUMIOXAZINA 250 + IMAZETAPIR 530 (PRINC. ATIVO)</t>
        </is>
      </c>
      <c r="E530" s="11" t="n">
        <v>1</v>
      </c>
      <c r="F530" s="13" t="inlineStr">
        <is>
          <t>Ingrediente Ativo Principal</t>
        </is>
      </c>
      <c r="G530" s="13" t="inlineStr">
        <is>
          <t>FLUMIOXAZINA 250</t>
        </is>
      </c>
      <c r="H530" s="13" t="inlineStr">
        <is>
          <t>N-(7-fluoro-3,4-dihydro-3-oxo-4-prop-2-ynyl-2H-1,4-benzoxazin-6-yl)cyclohex-1-ene-1,2-dicarboximide</t>
        </is>
      </c>
      <c r="I530" s="13" t="inlineStr">
        <is>
          <t>N-fenilftalimida</t>
        </is>
      </c>
      <c r="J530" s="13" t="inlineStr">
        <is>
          <t>HRAC Grupo E (14) — Inibidores da PROTOX</t>
        </is>
      </c>
      <c r="K530" s="13" t="inlineStr">
        <is>
          <t>Inibidores da enzima protoporfirinogênio oxidase (PROTOX)</t>
        </is>
      </c>
      <c r="L530" s="15" t="n">
        <v>250</v>
      </c>
      <c r="M530" s="13" t="inlineStr">
        <is>
          <t>g/kg</t>
        </is>
      </c>
      <c r="N530" s="13" t="inlineStr">
        <is>
          <t>Produto Técnico Próprio</t>
        </is>
      </c>
    </row>
    <row r="531" ht="22" customHeight="1">
      <c r="A531" s="6" t="inlineStr">
        <is>
          <t>CMP-0527</t>
        </is>
      </c>
      <c r="B531" s="5" t="n">
        <v>375</v>
      </c>
      <c r="C531" s="7" t="inlineStr">
        <is>
          <t>Nº 3623</t>
        </is>
      </c>
      <c r="D531" s="8" t="inlineStr">
        <is>
          <t>FLUMIOXAZINA 250 + IMAZETAPIR 530 (PRINC. ATIVO)</t>
        </is>
      </c>
      <c r="E531" s="5" t="n">
        <v>2</v>
      </c>
      <c r="F531" s="7" t="inlineStr">
        <is>
          <t>Ingrediente Ativo Principal</t>
        </is>
      </c>
      <c r="G531" s="7" t="inlineStr">
        <is>
          <t>IMAZETAPIR 530</t>
        </is>
      </c>
      <c r="H531" s="7" t="inlineStr">
        <is>
          <t>(RS)-5-ethyl-2-(4-isopropyl-4-methyl-5-oxo-2-imidazolin-2-yl)nicotinic acid</t>
        </is>
      </c>
      <c r="I531" s="7" t="inlineStr">
        <is>
          <t>Imidazolinona</t>
        </is>
      </c>
      <c r="J531" s="7" t="inlineStr">
        <is>
          <t>HRAC Grupo B (2) — Inibidores da ALS</t>
        </is>
      </c>
      <c r="K531" s="7" t="inlineStr">
        <is>
          <t>Inibição da enzima acetolactato sintase (ALS / AHAS)</t>
        </is>
      </c>
      <c r="L531" s="9" t="n">
        <v>530</v>
      </c>
      <c r="M531" s="7" t="inlineStr">
        <is>
          <t>g/kg</t>
        </is>
      </c>
      <c r="N531" s="7" t="inlineStr">
        <is>
          <t>Produto Técnico Próprio</t>
        </is>
      </c>
    </row>
    <row r="532" ht="22" customHeight="1">
      <c r="A532" s="12" t="inlineStr">
        <is>
          <t>CMP-0528</t>
        </is>
      </c>
      <c r="B532" s="11" t="n">
        <v>376</v>
      </c>
      <c r="C532" s="13" t="inlineStr">
        <is>
          <t>Nº 28120</t>
        </is>
      </c>
      <c r="D532" s="14" t="inlineStr">
        <is>
          <t>FLUROXIPIR 200 (PRINCIPIO ATIVO)</t>
        </is>
      </c>
      <c r="E532" s="11" t="n">
        <v>1</v>
      </c>
      <c r="F532" s="13" t="inlineStr">
        <is>
          <t>Ingrediente Ativo Principal</t>
        </is>
      </c>
      <c r="G532" s="13" t="inlineStr">
        <is>
          <t>FLUROXIPIR 200</t>
        </is>
      </c>
      <c r="H532" s="13" t="inlineStr">
        <is>
          <t>[(4-amino-3,5-dichloro-6-fluoro-2-pyridinyl)oxy]acetic acid (Éster Meptílico)</t>
        </is>
      </c>
      <c r="I532" s="13" t="inlineStr">
        <is>
          <t>Ácido piridiniloxialcanoico</t>
        </is>
      </c>
      <c r="J532" s="13" t="inlineStr">
        <is>
          <t>HRAC Grupo O (4) — Auxinas Sintéticas</t>
        </is>
      </c>
      <c r="K532" s="13" t="inlineStr">
        <is>
          <t>Mimetizadores de auxina sintética (desregulação do crescimento celular)</t>
        </is>
      </c>
      <c r="L532" s="15" t="n">
        <v>200</v>
      </c>
      <c r="M532" s="13" t="inlineStr">
        <is>
          <t>g/kg</t>
        </is>
      </c>
      <c r="N532" s="13" t="inlineStr">
        <is>
          <t>Produto Técnico Próprio</t>
        </is>
      </c>
    </row>
    <row r="533" ht="22" customHeight="1">
      <c r="A533" s="6" t="inlineStr">
        <is>
          <t>CMP-0529</t>
        </is>
      </c>
      <c r="B533" s="5" t="n">
        <v>377</v>
      </c>
      <c r="C533" s="7" t="inlineStr">
        <is>
          <t>Nº 31422</t>
        </is>
      </c>
      <c r="D533" s="8" t="inlineStr">
        <is>
          <t>ZARPAL</t>
        </is>
      </c>
      <c r="E533" s="5" t="n">
        <v>1</v>
      </c>
      <c r="F533" s="7" t="inlineStr">
        <is>
          <t>Ingrediente Ativo Principal</t>
        </is>
      </c>
      <c r="G533" s="7" t="inlineStr">
        <is>
          <t>LUFENUROM</t>
        </is>
      </c>
      <c r="H533" s="7" t="inlineStr">
        <is>
          <t>(RS)-1-[2,5-dichloro-4-(1,1,2,3,3,3-hexafluoropropoxy)phenyl]-3-(2,6-difluorobenzoyl)urea</t>
        </is>
      </c>
      <c r="I533" s="7" t="inlineStr">
        <is>
          <t>Benzoilureia</t>
        </is>
      </c>
      <c r="J533" s="7" t="inlineStr">
        <is>
          <t>IRAC Grupo 15</t>
        </is>
      </c>
      <c r="K533" s="7" t="inlineStr">
        <is>
          <t>Inibidores da biossíntese de quitina, Tipo 0</t>
        </is>
      </c>
      <c r="L533" s="9" t="n">
        <v>140</v>
      </c>
      <c r="M533" s="7" t="inlineStr">
        <is>
          <t>g/L</t>
        </is>
      </c>
      <c r="N533" s="7" t="inlineStr">
        <is>
          <t>Lufenuron Técnico Globachem Vinculado MAPA</t>
        </is>
      </c>
    </row>
    <row r="534" ht="22" customHeight="1">
      <c r="A534" s="12" t="inlineStr">
        <is>
          <t>CMP-0530</t>
        </is>
      </c>
      <c r="B534" s="11" t="n">
        <v>377</v>
      </c>
      <c r="C534" s="13" t="inlineStr">
        <is>
          <t>Nº 31422</t>
        </is>
      </c>
      <c r="D534" s="14" t="inlineStr">
        <is>
          <t>ZARPAL</t>
        </is>
      </c>
      <c r="E534" s="11" t="n">
        <v>2</v>
      </c>
      <c r="F534" s="13" t="inlineStr">
        <is>
          <t>Ingrediente Ativo Principal</t>
        </is>
      </c>
      <c r="G534" s="13" t="inlineStr">
        <is>
          <t>BIFENTRINA</t>
        </is>
      </c>
      <c r="H534" s="13" t="inlineStr">
        <is>
          <t>2-methylbiphenyl-3-ylmethyl (Z)-(1RS,3RS)-3-(2-chloro-3,3,3-trifluoroprop-1-enyl)-2,2-dimethylcyclopropanecarboxylate</t>
        </is>
      </c>
      <c r="I534" s="13" t="inlineStr">
        <is>
          <t>Piretroide (Tipo I)</t>
        </is>
      </c>
      <c r="J534" s="13" t="inlineStr">
        <is>
          <t>IRAC Grupo 3A</t>
        </is>
      </c>
      <c r="K534" s="13" t="inlineStr">
        <is>
          <t>Moduladores de canais de sódio em membranas nervosas</t>
        </is>
      </c>
      <c r="L534" s="15" t="n">
        <v>120</v>
      </c>
      <c r="M534" s="13" t="inlineStr">
        <is>
          <t>g/L</t>
        </is>
      </c>
      <c r="N534" s="13" t="inlineStr">
        <is>
          <t>Bifentrina Técnico Globachem Vinculado MAPA</t>
        </is>
      </c>
    </row>
    <row r="535" ht="22" customHeight="1">
      <c r="A535" s="6" t="inlineStr">
        <is>
          <t>CMP-0531</t>
        </is>
      </c>
      <c r="B535" s="5" t="n">
        <v>378</v>
      </c>
      <c r="C535" s="7" t="inlineStr">
        <is>
          <t>SIPEAGRO (UF-XXXXX)</t>
        </is>
      </c>
      <c r="D535" s="8" t="inlineStr">
        <is>
          <t>AGCN PRODUZ +</t>
        </is>
      </c>
      <c r="E535" s="5" t="n">
        <v>1</v>
      </c>
      <c r="F535" s="7" t="inlineStr">
        <is>
          <t>Nutriente Garantido</t>
        </is>
      </c>
      <c r="G535" s="7" t="inlineStr">
        <is>
          <t>Macros e Micros K2O 10%</t>
        </is>
      </c>
      <c r="H535" s="7" t="inlineStr">
        <is>
          <t>Composição Nutricional Oficial (Macros e Micros K2O 10%)</t>
        </is>
      </c>
      <c r="I535" s="7" t="inlineStr">
        <is>
          <t>Fertilizante Mineral / Organomineral (Lei nº 6.894/1980)</t>
        </is>
      </c>
      <c r="J535" s="7" t="inlineStr">
        <is>
          <t>Nutrição Vegetal SIPEAGRO</t>
        </is>
      </c>
      <c r="K535" s="7" t="inlineStr">
        <is>
          <t>Fornecimento de macro e micronutrientes essenciais ao metabolismo vegetal</t>
        </is>
      </c>
      <c r="L535" s="9" t="n">
        <v>10</v>
      </c>
      <c r="M535" s="7" t="inlineStr">
        <is>
          <t>% m/m</t>
        </is>
      </c>
      <c r="N535" s="7" t="inlineStr">
        <is>
          <t>Registro Técnico Vinculado MAPA</t>
        </is>
      </c>
    </row>
    <row r="536" ht="22" customHeight="1">
      <c r="A536" s="12" t="inlineStr">
        <is>
          <t>CMP-0532</t>
        </is>
      </c>
      <c r="B536" s="11" t="n">
        <v>378</v>
      </c>
      <c r="C536" s="13" t="inlineStr">
        <is>
          <t>SIPEAGRO (UF-XXXXX)</t>
        </is>
      </c>
      <c r="D536" s="14" t="inlineStr">
        <is>
          <t>AGCN PRODUZ +</t>
        </is>
      </c>
      <c r="E536" s="11" t="n">
        <v>2</v>
      </c>
      <c r="F536" s="13" t="inlineStr">
        <is>
          <t>Nutriente Garantido</t>
        </is>
      </c>
      <c r="G536" s="13" t="inlineStr">
        <is>
          <t>S 8,7%</t>
        </is>
      </c>
      <c r="H536" s="13" t="inlineStr">
        <is>
          <t>Composição Nutricional Oficial (S 8,7%)</t>
        </is>
      </c>
      <c r="I536" s="13" t="inlineStr">
        <is>
          <t>Fertilizante Mineral / Organomineral (Lei nº 6.894/1980)</t>
        </is>
      </c>
      <c r="J536" s="13" t="inlineStr">
        <is>
          <t>Nutrição Vegetal SIPEAGRO</t>
        </is>
      </c>
      <c r="K536" s="13" t="inlineStr">
        <is>
          <t>Fornecimento de macro e micronutrientes essenciais ao metabolismo vegetal</t>
        </is>
      </c>
      <c r="L536" s="18" t="n">
        <v>8.699999999999999</v>
      </c>
      <c r="M536" s="13" t="inlineStr">
        <is>
          <t>% m/m</t>
        </is>
      </c>
      <c r="N536" s="13" t="inlineStr">
        <is>
          <t>Registro Técnico Vinculado MAPA</t>
        </is>
      </c>
    </row>
    <row r="537" ht="22" customHeight="1">
      <c r="A537" s="6" t="inlineStr">
        <is>
          <t>CMP-0533</t>
        </is>
      </c>
      <c r="B537" s="5" t="n">
        <v>378</v>
      </c>
      <c r="C537" s="7" t="inlineStr">
        <is>
          <t>SIPEAGRO (UF-XXXXX)</t>
        </is>
      </c>
      <c r="D537" s="8" t="inlineStr">
        <is>
          <t>AGCN PRODUZ +</t>
        </is>
      </c>
      <c r="E537" s="5" t="n">
        <v>3</v>
      </c>
      <c r="F537" s="7" t="inlineStr">
        <is>
          <t>Nutriente Garantido</t>
        </is>
      </c>
      <c r="G537" s="7" t="inlineStr">
        <is>
          <t>Mn 14%</t>
        </is>
      </c>
      <c r="H537" s="7" t="inlineStr">
        <is>
          <t>Composição Nutricional Oficial (Mn 14%)</t>
        </is>
      </c>
      <c r="I537" s="7" t="inlineStr">
        <is>
          <t>Fertilizante Mineral / Organomineral (Lei nº 6.894/1980)</t>
        </is>
      </c>
      <c r="J537" s="7" t="inlineStr">
        <is>
          <t>Nutrição Vegetal SIPEAGRO</t>
        </is>
      </c>
      <c r="K537" s="7" t="inlineStr">
        <is>
          <t>Fornecimento de macro e micronutrientes essenciais ao metabolismo vegetal</t>
        </is>
      </c>
      <c r="L537" s="9" t="n">
        <v>14</v>
      </c>
      <c r="M537" s="7" t="inlineStr">
        <is>
          <t>% m/m</t>
        </is>
      </c>
      <c r="N537" s="7" t="inlineStr">
        <is>
          <t>Registro Técnico Vinculado MAPA</t>
        </is>
      </c>
    </row>
    <row r="538" ht="22" customHeight="1">
      <c r="A538" s="12" t="inlineStr">
        <is>
          <t>CMP-0534</t>
        </is>
      </c>
      <c r="B538" s="11" t="n">
        <v>378</v>
      </c>
      <c r="C538" s="13" t="inlineStr">
        <is>
          <t>SIPEAGRO (UF-XXXXX)</t>
        </is>
      </c>
      <c r="D538" s="14" t="inlineStr">
        <is>
          <t>AGCN PRODUZ +</t>
        </is>
      </c>
      <c r="E538" s="11" t="n">
        <v>4</v>
      </c>
      <c r="F538" s="13" t="inlineStr">
        <is>
          <t>Nutriente Garantido</t>
        </is>
      </c>
      <c r="G538" s="13" t="inlineStr">
        <is>
          <t>Zn 4,0%</t>
        </is>
      </c>
      <c r="H538" s="13" t="inlineStr">
        <is>
          <t>Composição Nutricional Oficial (Zn 4,0%)</t>
        </is>
      </c>
      <c r="I538" s="13" t="inlineStr">
        <is>
          <t>Fertilizante Mineral / Organomineral (Lei nº 6.894/1980)</t>
        </is>
      </c>
      <c r="J538" s="13" t="inlineStr">
        <is>
          <t>Nutrição Vegetal SIPEAGRO</t>
        </is>
      </c>
      <c r="K538" s="13" t="inlineStr">
        <is>
          <t>Fornecimento de macro e micronutrientes essenciais ao metabolismo vegetal</t>
        </is>
      </c>
      <c r="L538" s="15" t="n">
        <v>4</v>
      </c>
      <c r="M538" s="13" t="inlineStr">
        <is>
          <t>% m/m</t>
        </is>
      </c>
      <c r="N538" s="13" t="inlineStr">
        <is>
          <t>Registro Técnico Vinculado MAPA</t>
        </is>
      </c>
    </row>
    <row r="539" ht="22" customHeight="1">
      <c r="A539" s="6" t="inlineStr">
        <is>
          <t>CMP-0535</t>
        </is>
      </c>
      <c r="B539" s="5" t="n">
        <v>378</v>
      </c>
      <c r="C539" s="7" t="inlineStr">
        <is>
          <t>SIPEAGRO (UF-XXXXX)</t>
        </is>
      </c>
      <c r="D539" s="8" t="inlineStr">
        <is>
          <t>AGCN PRODUZ +</t>
        </is>
      </c>
      <c r="E539" s="5" t="n">
        <v>5</v>
      </c>
      <c r="F539" s="7" t="inlineStr">
        <is>
          <t>Nutriente Garantido</t>
        </is>
      </c>
      <c r="G539" s="7" t="inlineStr">
        <is>
          <t>Mg 2,0%</t>
        </is>
      </c>
      <c r="H539" s="7" t="inlineStr">
        <is>
          <t>Composição Nutricional Oficial (Mg 2,0%)</t>
        </is>
      </c>
      <c r="I539" s="7" t="inlineStr">
        <is>
          <t>Fertilizante Mineral / Organomineral (Lei nº 6.894/1980)</t>
        </is>
      </c>
      <c r="J539" s="7" t="inlineStr">
        <is>
          <t>Nutrição Vegetal SIPEAGRO</t>
        </is>
      </c>
      <c r="K539" s="7" t="inlineStr">
        <is>
          <t>Fornecimento de macro e micronutrientes essenciais ao metabolismo vegetal</t>
        </is>
      </c>
      <c r="L539" s="9" t="n">
        <v>2</v>
      </c>
      <c r="M539" s="7" t="inlineStr">
        <is>
          <t>% m/m</t>
        </is>
      </c>
      <c r="N539" s="7" t="inlineStr">
        <is>
          <t>Registro Técnico Vinculado MAPA</t>
        </is>
      </c>
    </row>
    <row r="540" ht="22" customHeight="1">
      <c r="A540" s="12" t="inlineStr">
        <is>
          <t>CMP-0536</t>
        </is>
      </c>
      <c r="B540" s="11" t="n">
        <v>378</v>
      </c>
      <c r="C540" s="13" t="inlineStr">
        <is>
          <t>SIPEAGRO (UF-XXXXX)</t>
        </is>
      </c>
      <c r="D540" s="14" t="inlineStr">
        <is>
          <t>AGCN PRODUZ +</t>
        </is>
      </c>
      <c r="E540" s="11" t="n">
        <v>6</v>
      </c>
      <c r="F540" s="13" t="inlineStr">
        <is>
          <t>Nutriente Garantido</t>
        </is>
      </c>
      <c r="G540" s="13" t="inlineStr">
        <is>
          <t>B1,5%</t>
        </is>
      </c>
      <c r="H540" s="13" t="inlineStr">
        <is>
          <t>Composição Nutricional Oficial (B1,5%)</t>
        </is>
      </c>
      <c r="I540" s="13" t="inlineStr">
        <is>
          <t>Fertilizante Mineral / Organomineral (Lei nº 6.894/1980)</t>
        </is>
      </c>
      <c r="J540" s="13" t="inlineStr">
        <is>
          <t>Nutrição Vegetal SIPEAGRO</t>
        </is>
      </c>
      <c r="K540" s="13" t="inlineStr">
        <is>
          <t>Fornecimento de macro e micronutrientes essenciais ao metabolismo vegetal</t>
        </is>
      </c>
      <c r="L540" s="18" t="n">
        <v>1.5</v>
      </c>
      <c r="M540" s="13" t="inlineStr">
        <is>
          <t>% m/m</t>
        </is>
      </c>
      <c r="N540" s="13" t="inlineStr">
        <is>
          <t>Registro Técnico Vinculado MAPA</t>
        </is>
      </c>
    </row>
    <row r="541" ht="22" customHeight="1">
      <c r="A541" s="6" t="inlineStr">
        <is>
          <t>CMP-0537</t>
        </is>
      </c>
      <c r="B541" s="5" t="n">
        <v>378</v>
      </c>
      <c r="C541" s="7" t="inlineStr">
        <is>
          <t>SIPEAGRO (UF-XXXXX)</t>
        </is>
      </c>
      <c r="D541" s="8" t="inlineStr">
        <is>
          <t>AGCN PRODUZ +</t>
        </is>
      </c>
      <c r="E541" s="5" t="n">
        <v>7</v>
      </c>
      <c r="F541" s="7" t="inlineStr">
        <is>
          <t>Nutriente Garantido</t>
        </is>
      </c>
      <c r="G541" s="7" t="inlineStr">
        <is>
          <t>Cu 0,5%</t>
        </is>
      </c>
      <c r="H541" s="7" t="inlineStr">
        <is>
          <t>Composição Nutricional Oficial (Cu 0,5%)</t>
        </is>
      </c>
      <c r="I541" s="7" t="inlineStr">
        <is>
          <t>Fertilizante Mineral / Organomineral (Lei nº 6.894/1980)</t>
        </is>
      </c>
      <c r="J541" s="7" t="inlineStr">
        <is>
          <t>Nutrição Vegetal SIPEAGRO</t>
        </is>
      </c>
      <c r="K541" s="7" t="inlineStr">
        <is>
          <t>Fornecimento de macro e micronutrientes essenciais ao metabolismo vegetal</t>
        </is>
      </c>
      <c r="L541" s="17" t="n">
        <v>0.5</v>
      </c>
      <c r="M541" s="7" t="inlineStr">
        <is>
          <t>% m/m</t>
        </is>
      </c>
      <c r="N541" s="7" t="inlineStr">
        <is>
          <t>Registro Técnico Vinculado MAPA</t>
        </is>
      </c>
    </row>
    <row r="542" ht="22" customHeight="1">
      <c r="A542" s="12" t="inlineStr">
        <is>
          <t>CMP-0538</t>
        </is>
      </c>
      <c r="B542" s="11" t="n">
        <v>379</v>
      </c>
      <c r="C542" s="13" t="inlineStr">
        <is>
          <t>SIPEAGRO (UF-XXXXX)</t>
        </is>
      </c>
      <c r="D542" s="14" t="inlineStr">
        <is>
          <t>AGCN PLUM</t>
        </is>
      </c>
      <c r="E542" s="11" t="n">
        <v>1</v>
      </c>
      <c r="F542" s="13" t="inlineStr">
        <is>
          <t>Nutriente Garantido</t>
        </is>
      </c>
      <c r="G542" s="13" t="inlineStr">
        <is>
          <t>Macros e Micros N 8,0%</t>
        </is>
      </c>
      <c r="H542" s="13" t="inlineStr">
        <is>
          <t>Composição Nutricional Oficial (Macros e Micros N 8,0%)</t>
        </is>
      </c>
      <c r="I542" s="13" t="inlineStr">
        <is>
          <t>Fertilizante Mineral / Organomineral (Lei nº 6.894/1980)</t>
        </is>
      </c>
      <c r="J542" s="13" t="inlineStr">
        <is>
          <t>Nutrição Vegetal SIPEAGRO</t>
        </is>
      </c>
      <c r="K542" s="13" t="inlineStr">
        <is>
          <t>Fornecimento de macro e micronutrientes essenciais ao metabolismo vegetal</t>
        </is>
      </c>
      <c r="L542" s="15" t="n">
        <v>8</v>
      </c>
      <c r="M542" s="13" t="inlineStr">
        <is>
          <t>% m/m</t>
        </is>
      </c>
      <c r="N542" s="13" t="inlineStr">
        <is>
          <t>Registro Técnico Vinculado MAPA</t>
        </is>
      </c>
    </row>
    <row r="543" ht="22" customHeight="1">
      <c r="A543" s="6" t="inlineStr">
        <is>
          <t>CMP-0539</t>
        </is>
      </c>
      <c r="B543" s="5" t="n">
        <v>379</v>
      </c>
      <c r="C543" s="7" t="inlineStr">
        <is>
          <t>SIPEAGRO (UF-XXXXX)</t>
        </is>
      </c>
      <c r="D543" s="8" t="inlineStr">
        <is>
          <t>AGCN PLUM</t>
        </is>
      </c>
      <c r="E543" s="5" t="n">
        <v>2</v>
      </c>
      <c r="F543" s="7" t="inlineStr">
        <is>
          <t>Nutriente Garantido</t>
        </is>
      </c>
      <c r="G543" s="7" t="inlineStr">
        <is>
          <t>P2O5 13%</t>
        </is>
      </c>
      <c r="H543" s="7" t="inlineStr">
        <is>
          <t>Composição Nutricional Oficial (P2O5 13%)</t>
        </is>
      </c>
      <c r="I543" s="7" t="inlineStr">
        <is>
          <t>Fertilizante Mineral / Organomineral (Lei nº 6.894/1980)</t>
        </is>
      </c>
      <c r="J543" s="7" t="inlineStr">
        <is>
          <t>Nutrição Vegetal SIPEAGRO</t>
        </is>
      </c>
      <c r="K543" s="7" t="inlineStr">
        <is>
          <t>Fornecimento de macro e micronutrientes essenciais ao metabolismo vegetal</t>
        </is>
      </c>
      <c r="L543" s="9" t="n">
        <v>13</v>
      </c>
      <c r="M543" s="7" t="inlineStr">
        <is>
          <t>% m/m</t>
        </is>
      </c>
      <c r="N543" s="7" t="inlineStr">
        <is>
          <t>Registro Técnico Vinculado MAPA</t>
        </is>
      </c>
    </row>
    <row r="544" ht="22" customHeight="1">
      <c r="A544" s="12" t="inlineStr">
        <is>
          <t>CMP-0540</t>
        </is>
      </c>
      <c r="B544" s="11" t="n">
        <v>379</v>
      </c>
      <c r="C544" s="13" t="inlineStr">
        <is>
          <t>SIPEAGRO (UF-XXXXX)</t>
        </is>
      </c>
      <c r="D544" s="14" t="inlineStr">
        <is>
          <t>AGCN PLUM</t>
        </is>
      </c>
      <c r="E544" s="11" t="n">
        <v>3</v>
      </c>
      <c r="F544" s="13" t="inlineStr">
        <is>
          <t>Nutriente Garantido</t>
        </is>
      </c>
      <c r="G544" s="13" t="inlineStr">
        <is>
          <t>K2O 9,0%</t>
        </is>
      </c>
      <c r="H544" s="13" t="inlineStr">
        <is>
          <t>Composição Nutricional Oficial (K2O 9,0%)</t>
        </is>
      </c>
      <c r="I544" s="13" t="inlineStr">
        <is>
          <t>Fertilizante Mineral / Organomineral (Lei nº 6.894/1980)</t>
        </is>
      </c>
      <c r="J544" s="13" t="inlineStr">
        <is>
          <t>Nutrição Vegetal SIPEAGRO</t>
        </is>
      </c>
      <c r="K544" s="13" t="inlineStr">
        <is>
          <t>Fornecimento de macro e micronutrientes essenciais ao metabolismo vegetal</t>
        </is>
      </c>
      <c r="L544" s="15" t="n">
        <v>9</v>
      </c>
      <c r="M544" s="13" t="inlineStr">
        <is>
          <t>% m/m</t>
        </is>
      </c>
      <c r="N544" s="13" t="inlineStr">
        <is>
          <t>Registro Técnico Vinculado MAPA</t>
        </is>
      </c>
    </row>
    <row r="545" ht="22" customHeight="1">
      <c r="A545" s="6" t="inlineStr">
        <is>
          <t>CMP-0541</t>
        </is>
      </c>
      <c r="B545" s="5" t="n">
        <v>379</v>
      </c>
      <c r="C545" s="7" t="inlineStr">
        <is>
          <t>SIPEAGRO (UF-XXXXX)</t>
        </is>
      </c>
      <c r="D545" s="8" t="inlineStr">
        <is>
          <t>AGCN PLUM</t>
        </is>
      </c>
      <c r="E545" s="5" t="n">
        <v>4</v>
      </c>
      <c r="F545" s="7" t="inlineStr">
        <is>
          <t>Nutriente Garantido</t>
        </is>
      </c>
      <c r="G545" s="7" t="inlineStr">
        <is>
          <t>S 8,0%</t>
        </is>
      </c>
      <c r="H545" s="7" t="inlineStr">
        <is>
          <t>Composição Nutricional Oficial (S 8,0%)</t>
        </is>
      </c>
      <c r="I545" s="7" t="inlineStr">
        <is>
          <t>Fertilizante Mineral / Organomineral (Lei nº 6.894/1980)</t>
        </is>
      </c>
      <c r="J545" s="7" t="inlineStr">
        <is>
          <t>Nutrição Vegetal SIPEAGRO</t>
        </is>
      </c>
      <c r="K545" s="7" t="inlineStr">
        <is>
          <t>Fornecimento de macro e micronutrientes essenciais ao metabolismo vegetal</t>
        </is>
      </c>
      <c r="L545" s="9" t="n">
        <v>8</v>
      </c>
      <c r="M545" s="7" t="inlineStr">
        <is>
          <t>% m/m</t>
        </is>
      </c>
      <c r="N545" s="7" t="inlineStr">
        <is>
          <t>Registro Técnico Vinculado MAPA</t>
        </is>
      </c>
    </row>
    <row r="546" ht="22" customHeight="1">
      <c r="A546" s="12" t="inlineStr">
        <is>
          <t>CMP-0542</t>
        </is>
      </c>
      <c r="B546" s="11" t="n">
        <v>379</v>
      </c>
      <c r="C546" s="13" t="inlineStr">
        <is>
          <t>SIPEAGRO (UF-XXXXX)</t>
        </is>
      </c>
      <c r="D546" s="14" t="inlineStr">
        <is>
          <t>AGCN PLUM</t>
        </is>
      </c>
      <c r="E546" s="11" t="n">
        <v>5</v>
      </c>
      <c r="F546" s="13" t="inlineStr">
        <is>
          <t>Nutriente Garantido</t>
        </is>
      </c>
      <c r="G546" s="13" t="inlineStr">
        <is>
          <t>B 4,0%</t>
        </is>
      </c>
      <c r="H546" s="13" t="inlineStr">
        <is>
          <t>Composição Nutricional Oficial (B 4,0%)</t>
        </is>
      </c>
      <c r="I546" s="13" t="inlineStr">
        <is>
          <t>Fertilizante Mineral / Organomineral (Lei nº 6.894/1980)</t>
        </is>
      </c>
      <c r="J546" s="13" t="inlineStr">
        <is>
          <t>Nutrição Vegetal SIPEAGRO</t>
        </is>
      </c>
      <c r="K546" s="13" t="inlineStr">
        <is>
          <t>Fornecimento de macro e micronutrientes essenciais ao metabolismo vegetal</t>
        </is>
      </c>
      <c r="L546" s="15" t="n">
        <v>4</v>
      </c>
      <c r="M546" s="13" t="inlineStr">
        <is>
          <t>% m/m</t>
        </is>
      </c>
      <c r="N546" s="13" t="inlineStr">
        <is>
          <t>Registro Técnico Vinculado MAPA</t>
        </is>
      </c>
    </row>
    <row r="547" ht="22" customHeight="1">
      <c r="A547" s="6" t="inlineStr">
        <is>
          <t>CMP-0543</t>
        </is>
      </c>
      <c r="B547" s="5" t="n">
        <v>379</v>
      </c>
      <c r="C547" s="7" t="inlineStr">
        <is>
          <t>SIPEAGRO (UF-XXXXX)</t>
        </is>
      </c>
      <c r="D547" s="8" t="inlineStr">
        <is>
          <t>AGCN PLUM</t>
        </is>
      </c>
      <c r="E547" s="5" t="n">
        <v>6</v>
      </c>
      <c r="F547" s="7" t="inlineStr">
        <is>
          <t>Nutriente Garantido</t>
        </is>
      </c>
      <c r="G547" s="7" t="inlineStr">
        <is>
          <t>Mn 3,0%</t>
        </is>
      </c>
      <c r="H547" s="7" t="inlineStr">
        <is>
          <t>Composição Nutricional Oficial (Mn 3,0%)</t>
        </is>
      </c>
      <c r="I547" s="7" t="inlineStr">
        <is>
          <t>Fertilizante Mineral / Organomineral (Lei nº 6.894/1980)</t>
        </is>
      </c>
      <c r="J547" s="7" t="inlineStr">
        <is>
          <t>Nutrição Vegetal SIPEAGRO</t>
        </is>
      </c>
      <c r="K547" s="7" t="inlineStr">
        <is>
          <t>Fornecimento de macro e micronutrientes essenciais ao metabolismo vegetal</t>
        </is>
      </c>
      <c r="L547" s="9" t="n">
        <v>3</v>
      </c>
      <c r="M547" s="7" t="inlineStr">
        <is>
          <t>% m/m</t>
        </is>
      </c>
      <c r="N547" s="7" t="inlineStr">
        <is>
          <t>Registro Técnico Vinculado MAPA</t>
        </is>
      </c>
    </row>
    <row r="548" ht="22" customHeight="1">
      <c r="A548" s="12" t="inlineStr">
        <is>
          <t>CMP-0544</t>
        </is>
      </c>
      <c r="B548" s="11" t="n">
        <v>379</v>
      </c>
      <c r="C548" s="13" t="inlineStr">
        <is>
          <t>SIPEAGRO (UF-XXXXX)</t>
        </is>
      </c>
      <c r="D548" s="14" t="inlineStr">
        <is>
          <t>AGCN PLUM</t>
        </is>
      </c>
      <c r="E548" s="11" t="n">
        <v>7</v>
      </c>
      <c r="F548" s="13" t="inlineStr">
        <is>
          <t>Nutriente Garantido</t>
        </is>
      </c>
      <c r="G548" s="13" t="inlineStr">
        <is>
          <t>Zn 2,0%</t>
        </is>
      </c>
      <c r="H548" s="13" t="inlineStr">
        <is>
          <t>Composição Nutricional Oficial (Zn 2,0%)</t>
        </is>
      </c>
      <c r="I548" s="13" t="inlineStr">
        <is>
          <t>Fertilizante Mineral / Organomineral (Lei nº 6.894/1980)</t>
        </is>
      </c>
      <c r="J548" s="13" t="inlineStr">
        <is>
          <t>Nutrição Vegetal SIPEAGRO</t>
        </is>
      </c>
      <c r="K548" s="13" t="inlineStr">
        <is>
          <t>Fornecimento de macro e micronutrientes essenciais ao metabolismo vegetal</t>
        </is>
      </c>
      <c r="L548" s="15" t="n">
        <v>2</v>
      </c>
      <c r="M548" s="13" t="inlineStr">
        <is>
          <t>% m/m</t>
        </is>
      </c>
      <c r="N548" s="13" t="inlineStr">
        <is>
          <t>Registro Técnico Vinculado MAPA</t>
        </is>
      </c>
    </row>
    <row r="549" ht="22" customHeight="1">
      <c r="A549" s="6" t="inlineStr">
        <is>
          <t>CMP-0545</t>
        </is>
      </c>
      <c r="B549" s="5" t="n">
        <v>379</v>
      </c>
      <c r="C549" s="7" t="inlineStr">
        <is>
          <t>SIPEAGRO (UF-XXXXX)</t>
        </is>
      </c>
      <c r="D549" s="8" t="inlineStr">
        <is>
          <t>AGCN PLUM</t>
        </is>
      </c>
      <c r="E549" s="5" t="n">
        <v>8</v>
      </c>
      <c r="F549" s="7" t="inlineStr">
        <is>
          <t>Nutriente Garantido</t>
        </is>
      </c>
      <c r="G549" s="7" t="inlineStr">
        <is>
          <t>Mg</t>
        </is>
      </c>
      <c r="H549" s="7" t="inlineStr">
        <is>
          <t>Composição Nutricional Oficial (Mg)</t>
        </is>
      </c>
      <c r="I549" s="7" t="inlineStr">
        <is>
          <t>Fertilizante Mineral / Organomineral (Lei nº 6.894/1980)</t>
        </is>
      </c>
      <c r="J549" s="7" t="inlineStr">
        <is>
          <t>Nutrição Vegetal SIPEAGRO</t>
        </is>
      </c>
      <c r="K549" s="7" t="inlineStr">
        <is>
          <t>Fornecimento de macro e micronutrientes essenciais ao metabolismo vegetal</t>
        </is>
      </c>
      <c r="L549" s="17" t="n">
        <v>1.5</v>
      </c>
      <c r="M549" s="7" t="inlineStr">
        <is>
          <t>% m/m</t>
        </is>
      </c>
      <c r="N549" s="7" t="inlineStr">
        <is>
          <t>Registro Técnico Vinculado MAPA</t>
        </is>
      </c>
    </row>
    <row r="550" ht="22" customHeight="1">
      <c r="A550" s="12" t="inlineStr">
        <is>
          <t>CMP-0546</t>
        </is>
      </c>
      <c r="B550" s="11" t="n">
        <v>380</v>
      </c>
      <c r="C550" s="13" t="inlineStr">
        <is>
          <t>SIPEAGRO (UF-XXXXX)</t>
        </is>
      </c>
      <c r="D550" s="14" t="inlineStr">
        <is>
          <t>AGCN PRO+</t>
        </is>
      </c>
      <c r="E550" s="11" t="n">
        <v>1</v>
      </c>
      <c r="F550" s="13" t="inlineStr">
        <is>
          <t>Nutriente Garantido</t>
        </is>
      </c>
      <c r="G550" s="13" t="inlineStr">
        <is>
          <t>Macros e Micros N 12,0%</t>
        </is>
      </c>
      <c r="H550" s="13" t="inlineStr">
        <is>
          <t>Composição Nutricional Oficial (Macros e Micros N 12,0%)</t>
        </is>
      </c>
      <c r="I550" s="13" t="inlineStr">
        <is>
          <t>Fertilizante Mineral / Organomineral (Lei nº 6.894/1980)</t>
        </is>
      </c>
      <c r="J550" s="13" t="inlineStr">
        <is>
          <t>Nutrição Vegetal SIPEAGRO</t>
        </is>
      </c>
      <c r="K550" s="13" t="inlineStr">
        <is>
          <t>Fornecimento de macro e micronutrientes essenciais ao metabolismo vegetal</t>
        </is>
      </c>
      <c r="L550" s="15" t="n">
        <v>12</v>
      </c>
      <c r="M550" s="13" t="inlineStr">
        <is>
          <t>% m/m</t>
        </is>
      </c>
      <c r="N550" s="13" t="inlineStr">
        <is>
          <t>Registro Técnico Vinculado MAPA</t>
        </is>
      </c>
    </row>
    <row r="551" ht="22" customHeight="1">
      <c r="A551" s="6" t="inlineStr">
        <is>
          <t>CMP-0547</t>
        </is>
      </c>
      <c r="B551" s="5" t="n">
        <v>380</v>
      </c>
      <c r="C551" s="7" t="inlineStr">
        <is>
          <t>SIPEAGRO (UF-XXXXX)</t>
        </is>
      </c>
      <c r="D551" s="8" t="inlineStr">
        <is>
          <t>AGCN PRO+</t>
        </is>
      </c>
      <c r="E551" s="5" t="n">
        <v>2</v>
      </c>
      <c r="F551" s="7" t="inlineStr">
        <is>
          <t>Nutriente Garantido</t>
        </is>
      </c>
      <c r="G551" s="7" t="inlineStr">
        <is>
          <t>K2O 3,0%</t>
        </is>
      </c>
      <c r="H551" s="7" t="inlineStr">
        <is>
          <t>Composição Nutricional Oficial (K2O 3,0%)</t>
        </is>
      </c>
      <c r="I551" s="7" t="inlineStr">
        <is>
          <t>Fertilizante Mineral / Organomineral (Lei nº 6.894/1980)</t>
        </is>
      </c>
      <c r="J551" s="7" t="inlineStr">
        <is>
          <t>Nutrição Vegetal SIPEAGRO</t>
        </is>
      </c>
      <c r="K551" s="7" t="inlineStr">
        <is>
          <t>Fornecimento de macro e micronutrientes essenciais ao metabolismo vegetal</t>
        </is>
      </c>
      <c r="L551" s="9" t="n">
        <v>3</v>
      </c>
      <c r="M551" s="7" t="inlineStr">
        <is>
          <t>% m/m</t>
        </is>
      </c>
      <c r="N551" s="7" t="inlineStr">
        <is>
          <t>Registro Técnico Vinculado MAPA</t>
        </is>
      </c>
    </row>
    <row r="552" ht="22" customHeight="1">
      <c r="A552" s="12" t="inlineStr">
        <is>
          <t>CMP-0548</t>
        </is>
      </c>
      <c r="B552" s="11" t="n">
        <v>380</v>
      </c>
      <c r="C552" s="13" t="inlineStr">
        <is>
          <t>SIPEAGRO (UF-XXXXX)</t>
        </is>
      </c>
      <c r="D552" s="14" t="inlineStr">
        <is>
          <t>AGCN PRO+</t>
        </is>
      </c>
      <c r="E552" s="11" t="n">
        <v>3</v>
      </c>
      <c r="F552" s="13" t="inlineStr">
        <is>
          <t>Nutriente Garantido</t>
        </is>
      </c>
      <c r="G552" s="13" t="inlineStr">
        <is>
          <t>S 8,5%</t>
        </is>
      </c>
      <c r="H552" s="13" t="inlineStr">
        <is>
          <t>Composição Nutricional Oficial (S 8,5%)</t>
        </is>
      </c>
      <c r="I552" s="13" t="inlineStr">
        <is>
          <t>Fertilizante Mineral / Organomineral (Lei nº 6.894/1980)</t>
        </is>
      </c>
      <c r="J552" s="13" t="inlineStr">
        <is>
          <t>Nutrição Vegetal SIPEAGRO</t>
        </is>
      </c>
      <c r="K552" s="13" t="inlineStr">
        <is>
          <t>Fornecimento de macro e micronutrientes essenciais ao metabolismo vegetal</t>
        </is>
      </c>
      <c r="L552" s="18" t="n">
        <v>8.5</v>
      </c>
      <c r="M552" s="13" t="inlineStr">
        <is>
          <t>% m/m</t>
        </is>
      </c>
      <c r="N552" s="13" t="inlineStr">
        <is>
          <t>Registro Técnico Vinculado MAPA</t>
        </is>
      </c>
    </row>
    <row r="553" ht="22" customHeight="1">
      <c r="A553" s="6" t="inlineStr">
        <is>
          <t>CMP-0549</t>
        </is>
      </c>
      <c r="B553" s="5" t="n">
        <v>380</v>
      </c>
      <c r="C553" s="7" t="inlineStr">
        <is>
          <t>SIPEAGRO (UF-XXXXX)</t>
        </is>
      </c>
      <c r="D553" s="8" t="inlineStr">
        <is>
          <t>AGCN PRO+</t>
        </is>
      </c>
      <c r="E553" s="5" t="n">
        <v>4</v>
      </c>
      <c r="F553" s="7" t="inlineStr">
        <is>
          <t>Nutriente Garantido</t>
        </is>
      </c>
      <c r="G553" s="7" t="inlineStr">
        <is>
          <t>Zn 9,0%</t>
        </is>
      </c>
      <c r="H553" s="7" t="inlineStr">
        <is>
          <t>Composição Nutricional Oficial (Zn 9,0%)</t>
        </is>
      </c>
      <c r="I553" s="7" t="inlineStr">
        <is>
          <t>Fertilizante Mineral / Organomineral (Lei nº 6.894/1980)</t>
        </is>
      </c>
      <c r="J553" s="7" t="inlineStr">
        <is>
          <t>Nutrição Vegetal SIPEAGRO</t>
        </is>
      </c>
      <c r="K553" s="7" t="inlineStr">
        <is>
          <t>Fornecimento de macro e micronutrientes essenciais ao metabolismo vegetal</t>
        </is>
      </c>
      <c r="L553" s="9" t="n">
        <v>9</v>
      </c>
      <c r="M553" s="7" t="inlineStr">
        <is>
          <t>% m/m</t>
        </is>
      </c>
      <c r="N553" s="7" t="inlineStr">
        <is>
          <t>Registro Técnico Vinculado MAPA</t>
        </is>
      </c>
    </row>
    <row r="554" ht="22" customHeight="1">
      <c r="A554" s="12" t="inlineStr">
        <is>
          <t>CMP-0550</t>
        </is>
      </c>
      <c r="B554" s="11" t="n">
        <v>380</v>
      </c>
      <c r="C554" s="13" t="inlineStr">
        <is>
          <t>SIPEAGRO (UF-XXXXX)</t>
        </is>
      </c>
      <c r="D554" s="14" t="inlineStr">
        <is>
          <t>AGCN PRO+</t>
        </is>
      </c>
      <c r="E554" s="11" t="n">
        <v>5</v>
      </c>
      <c r="F554" s="13" t="inlineStr">
        <is>
          <t>Nutriente Garantido</t>
        </is>
      </c>
      <c r="G554" s="13" t="inlineStr">
        <is>
          <t>Mn 6,5%</t>
        </is>
      </c>
      <c r="H554" s="13" t="inlineStr">
        <is>
          <t>Composição Nutricional Oficial (Mn 6,5%)</t>
        </is>
      </c>
      <c r="I554" s="13" t="inlineStr">
        <is>
          <t>Fertilizante Mineral / Organomineral (Lei nº 6.894/1980)</t>
        </is>
      </c>
      <c r="J554" s="13" t="inlineStr">
        <is>
          <t>Nutrição Vegetal SIPEAGRO</t>
        </is>
      </c>
      <c r="K554" s="13" t="inlineStr">
        <is>
          <t>Fornecimento de macro e micronutrientes essenciais ao metabolismo vegetal</t>
        </is>
      </c>
      <c r="L554" s="18" t="n">
        <v>6.5</v>
      </c>
      <c r="M554" s="13" t="inlineStr">
        <is>
          <t>% m/m</t>
        </is>
      </c>
      <c r="N554" s="13" t="inlineStr">
        <is>
          <t>Registro Técnico Vinculado MAPA</t>
        </is>
      </c>
    </row>
    <row r="555" ht="22" customHeight="1">
      <c r="A555" s="6" t="inlineStr">
        <is>
          <t>CMP-0551</t>
        </is>
      </c>
      <c r="B555" s="5" t="n">
        <v>380</v>
      </c>
      <c r="C555" s="7" t="inlineStr">
        <is>
          <t>SIPEAGRO (UF-XXXXX)</t>
        </is>
      </c>
      <c r="D555" s="8" t="inlineStr">
        <is>
          <t>AGCN PRO+</t>
        </is>
      </c>
      <c r="E555" s="5" t="n">
        <v>6</v>
      </c>
      <c r="F555" s="7" t="inlineStr">
        <is>
          <t>Nutriente Garantido</t>
        </is>
      </c>
      <c r="G555" s="7" t="inlineStr">
        <is>
          <t>B 2,0%</t>
        </is>
      </c>
      <c r="H555" s="7" t="inlineStr">
        <is>
          <t>Composição Nutricional Oficial (B 2,0%)</t>
        </is>
      </c>
      <c r="I555" s="7" t="inlineStr">
        <is>
          <t>Fertilizante Mineral / Organomineral (Lei nº 6.894/1980)</t>
        </is>
      </c>
      <c r="J555" s="7" t="inlineStr">
        <is>
          <t>Nutrição Vegetal SIPEAGRO</t>
        </is>
      </c>
      <c r="K555" s="7" t="inlineStr">
        <is>
          <t>Fornecimento de macro e micronutrientes essenciais ao metabolismo vegetal</t>
        </is>
      </c>
      <c r="L555" s="9" t="n">
        <v>2</v>
      </c>
      <c r="M555" s="7" t="inlineStr">
        <is>
          <t>% m/m</t>
        </is>
      </c>
      <c r="N555" s="7" t="inlineStr">
        <is>
          <t>Registro Técnico Vinculado MAPA</t>
        </is>
      </c>
    </row>
    <row r="556" ht="22" customHeight="1">
      <c r="A556" s="12" t="inlineStr">
        <is>
          <t>CMP-0552</t>
        </is>
      </c>
      <c r="B556" s="11" t="n">
        <v>380</v>
      </c>
      <c r="C556" s="13" t="inlineStr">
        <is>
          <t>SIPEAGRO (UF-XXXXX)</t>
        </is>
      </c>
      <c r="D556" s="14" t="inlineStr">
        <is>
          <t>AGCN PRO+</t>
        </is>
      </c>
      <c r="E556" s="11" t="n">
        <v>7</v>
      </c>
      <c r="F556" s="13" t="inlineStr">
        <is>
          <t>Nutriente Garantido</t>
        </is>
      </c>
      <c r="G556" s="13" t="inlineStr">
        <is>
          <t>Mg 1,0%</t>
        </is>
      </c>
      <c r="H556" s="13" t="inlineStr">
        <is>
          <t>Composição Nutricional Oficial (Mg 1,0%)</t>
        </is>
      </c>
      <c r="I556" s="13" t="inlineStr">
        <is>
          <t>Fertilizante Mineral / Organomineral (Lei nº 6.894/1980)</t>
        </is>
      </c>
      <c r="J556" s="13" t="inlineStr">
        <is>
          <t>Nutrição Vegetal SIPEAGRO</t>
        </is>
      </c>
      <c r="K556" s="13" t="inlineStr">
        <is>
          <t>Fornecimento de macro e micronutrientes essenciais ao metabolismo vegetal</t>
        </is>
      </c>
      <c r="L556" s="15" t="n">
        <v>1</v>
      </c>
      <c r="M556" s="13" t="inlineStr">
        <is>
          <t>% m/m</t>
        </is>
      </c>
      <c r="N556" s="13" t="inlineStr">
        <is>
          <t>Registro Técnico Vinculado MAPA</t>
        </is>
      </c>
    </row>
    <row r="557" ht="22" customHeight="1">
      <c r="A557" s="6" t="inlineStr">
        <is>
          <t>CMP-0553</t>
        </is>
      </c>
      <c r="B557" s="5" t="n">
        <v>380</v>
      </c>
      <c r="C557" s="7" t="inlineStr">
        <is>
          <t>SIPEAGRO (UF-XXXXX)</t>
        </is>
      </c>
      <c r="D557" s="8" t="inlineStr">
        <is>
          <t>AGCN PRO+</t>
        </is>
      </c>
      <c r="E557" s="5" t="n">
        <v>8</v>
      </c>
      <c r="F557" s="7" t="inlineStr">
        <is>
          <t>Nutriente Garantido</t>
        </is>
      </c>
      <c r="G557" s="7" t="inlineStr">
        <is>
          <t>Mo</t>
        </is>
      </c>
      <c r="H557" s="7" t="inlineStr">
        <is>
          <t>Composição Nutricional Oficial (Mo)</t>
        </is>
      </c>
      <c r="I557" s="7" t="inlineStr">
        <is>
          <t>Fertilizante Mineral / Organomineral (Lei nº 6.894/1980)</t>
        </is>
      </c>
      <c r="J557" s="7" t="inlineStr">
        <is>
          <t>Nutrição Vegetal SIPEAGRO</t>
        </is>
      </c>
      <c r="K557" s="7" t="inlineStr">
        <is>
          <t>Fornecimento de macro e micronutrientes essenciais ao metabolismo vegetal</t>
        </is>
      </c>
      <c r="L557" s="17" t="n">
        <v>0.1</v>
      </c>
      <c r="M557" s="7" t="inlineStr">
        <is>
          <t>% m/m</t>
        </is>
      </c>
      <c r="N557" s="7" t="inlineStr">
        <is>
          <t>Registro Técnico Vinculado MAPA</t>
        </is>
      </c>
    </row>
    <row r="558" ht="22" customHeight="1">
      <c r="A558" s="12" t="inlineStr">
        <is>
          <t>CMP-0554</t>
        </is>
      </c>
      <c r="B558" s="11" t="n">
        <v>381</v>
      </c>
      <c r="C558" s="13" t="inlineStr">
        <is>
          <t>Nº 34018</t>
        </is>
      </c>
      <c r="D558" s="14" t="inlineStr">
        <is>
          <t>BIOLOGIC GUARD</t>
        </is>
      </c>
      <c r="E558" s="11" t="n">
        <v>1</v>
      </c>
      <c r="F558" s="13" t="inlineStr">
        <is>
          <t>Ingrediente Ativo Principal</t>
        </is>
      </c>
      <c r="G558" s="13" t="inlineStr">
        <is>
          <t>TRICHODERMA ASPERELLUM ISOLADO BV-10 (mín. 1,0x10^9 conídios/mL)</t>
        </is>
      </c>
      <c r="H558" s="13" t="inlineStr">
        <is>
          <t>Microrganismo Viável (TRICHODERMA ASPERELLUM ISOLADO BV -10)</t>
        </is>
      </c>
      <c r="I558" s="13" t="inlineStr">
        <is>
          <t>Inoculante / Agente Biológico de Controle</t>
        </is>
      </c>
      <c r="J558" s="13" t="inlineStr">
        <is>
          <t>Bioinsumo Agrícola</t>
        </is>
      </c>
      <c r="K558" s="13" t="inlineStr">
        <is>
          <t>Simbiose radicular, antagonismo biológico ou controle entomopatogênico</t>
        </is>
      </c>
      <c r="L558" s="15" t="n">
        <v>30</v>
      </c>
      <c r="M558" s="13" t="inlineStr">
        <is>
          <t>g/L</t>
        </is>
      </c>
      <c r="N558" s="13" t="inlineStr">
        <is>
          <t>Registro Técnico Vinculado MAPA</t>
        </is>
      </c>
    </row>
    <row r="559" ht="22" customHeight="1">
      <c r="A559" s="6" t="inlineStr">
        <is>
          <t>CMP-0555</t>
        </is>
      </c>
      <c r="B559" s="5" t="n">
        <v>382</v>
      </c>
      <c r="C559" s="7" t="inlineStr">
        <is>
          <t>Nº 18022</t>
        </is>
      </c>
      <c r="D559" s="8" t="inlineStr">
        <is>
          <t>TARBOX</t>
        </is>
      </c>
      <c r="E559" s="5" t="n">
        <v>1</v>
      </c>
      <c r="F559" s="7" t="inlineStr">
        <is>
          <t>Ingrediente Ativo Principal</t>
        </is>
      </c>
      <c r="G559" s="7" t="inlineStr">
        <is>
          <t>GLUFOSINATO 850</t>
        </is>
      </c>
      <c r="H559" s="7" t="inlineStr">
        <is>
          <t>Ammonium (2RS)-2-amino-4-(methylphosphinato)butyric acid (Glufosinato Sal de Amônio)</t>
        </is>
      </c>
      <c r="I559" s="7" t="inlineStr">
        <is>
          <t>Homoalanina substituída (Ácido fosfínico)</t>
        </is>
      </c>
      <c r="J559" s="7" t="inlineStr">
        <is>
          <t>HRAC Grupo H (10) — Inibidores da Glutamina Sintetase</t>
        </is>
      </c>
      <c r="K559" s="7" t="inlineStr">
        <is>
          <t>Inibição da enzima glutamina sintetase (acúmulo de amônia intracelular)</t>
        </is>
      </c>
      <c r="L559" s="9" t="n">
        <v>850</v>
      </c>
      <c r="M559" s="7" t="inlineStr">
        <is>
          <t>g/kg</t>
        </is>
      </c>
      <c r="N559" s="7" t="inlineStr">
        <is>
          <t>Registro Técnico Vinculado MAPA</t>
        </is>
      </c>
    </row>
    <row r="560" ht="22" customHeight="1">
      <c r="A560" s="12" t="inlineStr">
        <is>
          <t>CMP-0556</t>
        </is>
      </c>
      <c r="B560" s="11" t="n">
        <v>383</v>
      </c>
      <c r="C560" s="13" t="inlineStr">
        <is>
          <t>Nº 6922</t>
        </is>
      </c>
      <c r="D560" s="14" t="inlineStr">
        <is>
          <t>COFENRIN</t>
        </is>
      </c>
      <c r="E560" s="11" t="n">
        <v>1</v>
      </c>
      <c r="F560" s="13" t="inlineStr">
        <is>
          <t>Ingrediente Ativo Principal</t>
        </is>
      </c>
      <c r="G560" s="13" t="inlineStr">
        <is>
          <t>BIFENTRINA 400</t>
        </is>
      </c>
      <c r="H560" s="13" t="inlineStr">
        <is>
          <t>2-methylbiphenyl-3-ylmethyl (Z)-(1RS,3RS)-3-(2-chloro-3,3,3-trifluoroprop-1-enyl)-2,2-dimethylcyclopropanecarboxylate</t>
        </is>
      </c>
      <c r="I560" s="13" t="inlineStr">
        <is>
          <t>Piretroide (Tipo I)</t>
        </is>
      </c>
      <c r="J560" s="13" t="inlineStr">
        <is>
          <t>IRAC Grupo 3A</t>
        </is>
      </c>
      <c r="K560" s="13" t="inlineStr">
        <is>
          <t>Moduladores de canais de sódio em membranas nervosas</t>
        </is>
      </c>
      <c r="L560" s="15" t="n">
        <v>400</v>
      </c>
      <c r="M560" s="13" t="inlineStr">
        <is>
          <t>g/L</t>
        </is>
      </c>
      <c r="N560" s="13" t="inlineStr">
        <is>
          <t>Registro Técnico Vinculado MAPA</t>
        </is>
      </c>
    </row>
    <row r="561" ht="22" customHeight="1">
      <c r="A561" s="6" t="inlineStr">
        <is>
          <t>CMP-0557</t>
        </is>
      </c>
      <c r="B561" s="5" t="n">
        <v>384</v>
      </c>
      <c r="C561" s="7" t="inlineStr">
        <is>
          <t>SIPEAGRO (UF-XXXXX)</t>
        </is>
      </c>
      <c r="D561" s="8" t="inlineStr">
        <is>
          <t>SSP FERTLIZANTE SIMPLES (VALIDAR FISCAL)</t>
        </is>
      </c>
      <c r="E561" s="5" t="n">
        <v>1</v>
      </c>
      <c r="F561" s="7" t="inlineStr">
        <is>
          <t>Nutriente Garantido</t>
        </is>
      </c>
      <c r="G561" s="7" t="inlineStr">
        <is>
          <t>SUPERFOSFATO SIMPLES - SSP (P2O5 18-21%</t>
        </is>
      </c>
      <c r="H561" s="7" t="inlineStr">
        <is>
          <t>Composição Nutricional Oficial (SUPERFOSFATO SIMPLES - SSP (P2O5 18-21%)</t>
        </is>
      </c>
      <c r="I561" s="7" t="inlineStr">
        <is>
          <t>Fertilizante Mineral / Organomineral (Lei nº 6.894/1980)</t>
        </is>
      </c>
      <c r="J561" s="7" t="inlineStr">
        <is>
          <t>Nutrição Vegetal SIPEAGRO</t>
        </is>
      </c>
      <c r="K561" s="7" t="inlineStr">
        <is>
          <t>Fornecimento de macro e micronutrientes essenciais ao metabolismo vegetal</t>
        </is>
      </c>
      <c r="L561" s="9" t="n">
        <v>2</v>
      </c>
      <c r="M561" s="7" t="inlineStr">
        <is>
          <t>% m/m</t>
        </is>
      </c>
      <c r="N561" s="7" t="inlineStr">
        <is>
          <t>Registro Técnico Vinculado MAPA</t>
        </is>
      </c>
    </row>
    <row r="562" ht="22" customHeight="1">
      <c r="A562" s="12" t="inlineStr">
        <is>
          <t>CMP-0558</t>
        </is>
      </c>
      <c r="B562" s="11" t="n">
        <v>384</v>
      </c>
      <c r="C562" s="13" t="inlineStr">
        <is>
          <t>SIPEAGRO (UF-XXXXX)</t>
        </is>
      </c>
      <c r="D562" s="14" t="inlineStr">
        <is>
          <t>SSP FERTLIZANTE SIMPLES (VALIDAR FISCAL)</t>
        </is>
      </c>
      <c r="E562" s="11" t="n">
        <v>2</v>
      </c>
      <c r="F562" s="13" t="inlineStr">
        <is>
          <t>Nutriente Garantido</t>
        </is>
      </c>
      <c r="G562" s="13" t="inlineStr">
        <is>
          <t>CA</t>
        </is>
      </c>
      <c r="H562" s="13" t="inlineStr">
        <is>
          <t>Composição Nutricional Oficial (CA)</t>
        </is>
      </c>
      <c r="I562" s="13" t="inlineStr">
        <is>
          <t>Fertilizante Mineral / Organomineral (Lei nº 6.894/1980)</t>
        </is>
      </c>
      <c r="J562" s="13" t="inlineStr">
        <is>
          <t>Nutrição Vegetal SIPEAGRO</t>
        </is>
      </c>
      <c r="K562" s="13" t="inlineStr">
        <is>
          <t>Fornecimento de macro e micronutrientes essenciais ao metabolismo vegetal</t>
        </is>
      </c>
      <c r="L562" s="15" t="n">
        <v>100</v>
      </c>
      <c r="M562" s="13" t="inlineStr">
        <is>
          <t>% m/m</t>
        </is>
      </c>
      <c r="N562" s="13" t="inlineStr">
        <is>
          <t>Registro Técnico Vinculado MAPA</t>
        </is>
      </c>
    </row>
    <row r="563" ht="22" customHeight="1">
      <c r="A563" s="6" t="inlineStr">
        <is>
          <t>CMP-0559</t>
        </is>
      </c>
      <c r="B563" s="5" t="n">
        <v>384</v>
      </c>
      <c r="C563" s="7" t="inlineStr">
        <is>
          <t>SIPEAGRO (UF-XXXXX)</t>
        </is>
      </c>
      <c r="D563" s="8" t="inlineStr">
        <is>
          <t>SSP FERTLIZANTE SIMPLES (VALIDAR FISCAL)</t>
        </is>
      </c>
      <c r="E563" s="5" t="n">
        <v>3</v>
      </c>
      <c r="F563" s="7" t="inlineStr">
        <is>
          <t>Nutriente Garantido</t>
        </is>
      </c>
      <c r="G563" s="7" t="inlineStr">
        <is>
          <t>S)</t>
        </is>
      </c>
      <c r="H563" s="7" t="inlineStr">
        <is>
          <t>Composição Nutricional Oficial (S))</t>
        </is>
      </c>
      <c r="I563" s="7" t="inlineStr">
        <is>
          <t>Fertilizante Mineral / Organomineral (Lei nº 6.894/1980)</t>
        </is>
      </c>
      <c r="J563" s="7" t="inlineStr">
        <is>
          <t>Nutrição Vegetal SIPEAGRO</t>
        </is>
      </c>
      <c r="K563" s="7" t="inlineStr">
        <is>
          <t>Fornecimento de macro e micronutrientes essenciais ao metabolismo vegetal</t>
        </is>
      </c>
      <c r="L563" s="9" t="n">
        <v>100</v>
      </c>
      <c r="M563" s="7" t="inlineStr">
        <is>
          <t>% m/m</t>
        </is>
      </c>
      <c r="N563" s="7" t="inlineStr">
        <is>
          <t>Registro Técnico Vinculado MAPA</t>
        </is>
      </c>
    </row>
    <row r="564" ht="22" customHeight="1">
      <c r="A564" s="12" t="inlineStr">
        <is>
          <t>CMP-0560</t>
        </is>
      </c>
      <c r="B564" s="11" t="n">
        <v>385</v>
      </c>
      <c r="C564" s="13" t="inlineStr">
        <is>
          <t>SIPEAGRO (UF-XXXXX)</t>
        </is>
      </c>
      <c r="D564" s="14" t="inlineStr">
        <is>
          <t>MAP FERTLIZANTES SIMPLES</t>
        </is>
      </c>
      <c r="E564" s="11" t="n">
        <v>1</v>
      </c>
      <c r="F564" s="13" t="inlineStr">
        <is>
          <t>Nutriente Garantido</t>
        </is>
      </c>
      <c r="G564" s="13" t="inlineStr">
        <is>
          <t>MAP PURIFICADO</t>
        </is>
      </c>
      <c r="H564" s="13" t="inlineStr">
        <is>
          <t>Composição Nutricional Oficial (MAP PURIFICADO)</t>
        </is>
      </c>
      <c r="I564" s="13" t="inlineStr">
        <is>
          <t>Fertilizante Mineral / Organomineral (Lei nº 6.894/1980)</t>
        </is>
      </c>
      <c r="J564" s="13" t="inlineStr">
        <is>
          <t>Nutrição Vegetal SIPEAGRO</t>
        </is>
      </c>
      <c r="K564" s="13" t="inlineStr">
        <is>
          <t>Fornecimento de macro e micronutrientes essenciais ao metabolismo vegetal</t>
        </is>
      </c>
      <c r="L564" s="15" t="n">
        <v>100</v>
      </c>
      <c r="M564" s="13" t="inlineStr">
        <is>
          <t>% m/m</t>
        </is>
      </c>
      <c r="N564" s="13" t="inlineStr">
        <is>
          <t>Registro Técnico Vinculado MAPA</t>
        </is>
      </c>
    </row>
    <row r="565" ht="22" customHeight="1">
      <c r="A565" s="6" t="inlineStr">
        <is>
          <t>CMP-0561</t>
        </is>
      </c>
      <c r="B565" s="5" t="n">
        <v>386</v>
      </c>
      <c r="C565" s="7" t="inlineStr">
        <is>
          <t>SIPEAGRO (UF-XXXXX)</t>
        </is>
      </c>
      <c r="D565" s="8" t="inlineStr">
        <is>
          <t>VITA ACCION</t>
        </is>
      </c>
      <c r="E565" s="5" t="n">
        <v>1</v>
      </c>
      <c r="F565" s="7" t="inlineStr">
        <is>
          <t>Nutriente Garantido</t>
        </is>
      </c>
      <c r="G565" s="7" t="inlineStr">
        <is>
          <t>L-AMINOACIDOS LIVRES</t>
        </is>
      </c>
      <c r="H565" s="7" t="inlineStr">
        <is>
          <t>Composição Nutricional Oficial (L-AMINOACIDOS LIVRES)</t>
        </is>
      </c>
      <c r="I565" s="7" t="inlineStr">
        <is>
          <t>Fertilizante Mineral / Organomineral (Lei nº 6.894/1980)</t>
        </is>
      </c>
      <c r="J565" s="7" t="inlineStr">
        <is>
          <t>Nutrição Vegetal SIPEAGRO</t>
        </is>
      </c>
      <c r="K565" s="7" t="inlineStr">
        <is>
          <t>Fornecimento de macro e micronutrientes essenciais ao metabolismo vegetal</t>
        </is>
      </c>
      <c r="L565" s="9" t="n">
        <v>100</v>
      </c>
      <c r="M565" s="7" t="inlineStr">
        <is>
          <t>% m/m</t>
        </is>
      </c>
      <c r="N565" s="7" t="inlineStr">
        <is>
          <t>Registro Técnico Vinculado MAPA</t>
        </is>
      </c>
    </row>
    <row r="566" ht="22" customHeight="1">
      <c r="A566" s="12" t="inlineStr">
        <is>
          <t>CMP-0562</t>
        </is>
      </c>
      <c r="B566" s="11" t="n">
        <v>387</v>
      </c>
      <c r="C566" s="13" t="inlineStr">
        <is>
          <t>SIPEAGRO (UF-XXXXX)</t>
        </is>
      </c>
      <c r="D566" s="14" t="inlineStr">
        <is>
          <t>EFISOIL SUPERBIA</t>
        </is>
      </c>
      <c r="E566" s="11" t="n">
        <v>1</v>
      </c>
      <c r="F566" s="13" t="inlineStr">
        <is>
          <t>Nutriente Garantido</t>
        </is>
      </c>
      <c r="G566" s="13" t="inlineStr">
        <is>
          <t>FOSFITO DE POTASSIO</t>
        </is>
      </c>
      <c r="H566" s="13" t="inlineStr">
        <is>
          <t>Composição Nutricional Oficial (FOSFITO DE POTASSIO)</t>
        </is>
      </c>
      <c r="I566" s="13" t="inlineStr">
        <is>
          <t>Fertilizante Mineral / Organomineral (Lei nº 6.894/1980)</t>
        </is>
      </c>
      <c r="J566" s="13" t="inlineStr">
        <is>
          <t>Nutrição Vegetal SIPEAGRO</t>
        </is>
      </c>
      <c r="K566" s="13" t="inlineStr">
        <is>
          <t>Fornecimento de macro e micronutrientes essenciais ao metabolismo vegetal</t>
        </is>
      </c>
      <c r="L566" s="15" t="n">
        <v>100</v>
      </c>
      <c r="M566" s="13" t="inlineStr">
        <is>
          <t>% m/m</t>
        </is>
      </c>
      <c r="N566" s="13" t="inlineStr">
        <is>
          <t>Registro Técnico Vinculado MAPA</t>
        </is>
      </c>
    </row>
    <row r="567" ht="22" customHeight="1">
      <c r="A567" s="6" t="inlineStr">
        <is>
          <t>CMP-0563</t>
        </is>
      </c>
      <c r="B567" s="5" t="n">
        <v>388</v>
      </c>
      <c r="C567" s="7" t="inlineStr">
        <is>
          <t>SIPEAGRO (UF-XXXXX)</t>
        </is>
      </c>
      <c r="D567" s="8" t="inlineStr">
        <is>
          <t>EFISOIL SUPERBIA AZON</t>
        </is>
      </c>
      <c r="E567" s="5" t="n">
        <v>1</v>
      </c>
      <c r="F567" s="7" t="inlineStr">
        <is>
          <t>Nutriente Garantido</t>
        </is>
      </c>
      <c r="G567" s="7" t="inlineStr">
        <is>
          <t>FOSFITO DE POTASSIO</t>
        </is>
      </c>
      <c r="H567" s="7" t="inlineStr">
        <is>
          <t>Composição Nutricional Oficial (FOSFITO DE POTASSIO)</t>
        </is>
      </c>
      <c r="I567" s="7" t="inlineStr">
        <is>
          <t>Fertilizante Mineral / Organomineral (Lei nº 6.894/1980)</t>
        </is>
      </c>
      <c r="J567" s="7" t="inlineStr">
        <is>
          <t>Nutrição Vegetal SIPEAGRO</t>
        </is>
      </c>
      <c r="K567" s="7" t="inlineStr">
        <is>
          <t>Fornecimento de macro e micronutrientes essenciais ao metabolismo vegetal</t>
        </is>
      </c>
      <c r="L567" s="9" t="n">
        <v>100</v>
      </c>
      <c r="M567" s="7" t="inlineStr">
        <is>
          <t>% m/m</t>
        </is>
      </c>
      <c r="N567" s="7" t="inlineStr">
        <is>
          <t>Registro Técnico Vinculado MAPA</t>
        </is>
      </c>
    </row>
    <row r="568" ht="22" customHeight="1">
      <c r="A568" s="12" t="inlineStr">
        <is>
          <t>CMP-0564</t>
        </is>
      </c>
      <c r="B568" s="11" t="n">
        <v>389</v>
      </c>
      <c r="C568" s="13" t="inlineStr">
        <is>
          <t>SIPEAGRO (UF-XXXXX)</t>
        </is>
      </c>
      <c r="D568" s="14" t="inlineStr">
        <is>
          <t>FOSFORITA 25 FARELADO BAG</t>
        </is>
      </c>
      <c r="E568" s="11" t="n">
        <v>1</v>
      </c>
      <c r="F568" s="13" t="inlineStr">
        <is>
          <t>Nutriente Garantido</t>
        </is>
      </c>
      <c r="G568" s="13" t="inlineStr">
        <is>
          <t>FERTILIZANTES</t>
        </is>
      </c>
      <c r="H568" s="13" t="inlineStr">
        <is>
          <t>Composição Nutricional Oficial (FERTILIZANTES)</t>
        </is>
      </c>
      <c r="I568" s="13" t="inlineStr">
        <is>
          <t>Fertilizante Mineral / Organomineral (Lei nº 6.894/1980)</t>
        </is>
      </c>
      <c r="J568" s="13" t="inlineStr">
        <is>
          <t>Nutrição Vegetal SIPEAGRO</t>
        </is>
      </c>
      <c r="K568" s="13" t="inlineStr">
        <is>
          <t>Fornecimento de macro e micronutrientes essenciais ao metabolismo vegetal</t>
        </is>
      </c>
      <c r="L568" s="15" t="n">
        <v>100</v>
      </c>
      <c r="M568" s="13" t="inlineStr">
        <is>
          <t>% m/m</t>
        </is>
      </c>
      <c r="N568" s="13" t="inlineStr">
        <is>
          <t>Registro Técnico Vinculado MAPA</t>
        </is>
      </c>
    </row>
    <row r="569" ht="22" customHeight="1">
      <c r="A569" s="6" t="inlineStr">
        <is>
          <t>CMP-0565</t>
        </is>
      </c>
      <c r="B569" s="5" t="n">
        <v>390</v>
      </c>
      <c r="C569" s="7" t="inlineStr">
        <is>
          <t>SIPEAGRO (UF-XXXXX)</t>
        </is>
      </c>
      <c r="D569" s="8" t="inlineStr">
        <is>
          <t>HIPHOS 25 GR 00-25-00 BAG</t>
        </is>
      </c>
      <c r="E569" s="5" t="n">
        <v>1</v>
      </c>
      <c r="F569" s="7" t="inlineStr">
        <is>
          <t>Nutriente Garantido</t>
        </is>
      </c>
      <c r="G569" s="7" t="inlineStr">
        <is>
          <t>FERTILIZANTES</t>
        </is>
      </c>
      <c r="H569" s="7" t="inlineStr">
        <is>
          <t>Composição Nutricional Oficial (FERTILIZANTES)</t>
        </is>
      </c>
      <c r="I569" s="7" t="inlineStr">
        <is>
          <t>Fertilizante Mineral / Organomineral (Lei nº 6.894/1980)</t>
        </is>
      </c>
      <c r="J569" s="7" t="inlineStr">
        <is>
          <t>Nutrição Vegetal SIPEAGRO</t>
        </is>
      </c>
      <c r="K569" s="7" t="inlineStr">
        <is>
          <t>Fornecimento de macro e micronutrientes essenciais ao metabolismo vegetal</t>
        </is>
      </c>
      <c r="L569" s="9" t="n">
        <v>100</v>
      </c>
      <c r="M569" s="7" t="inlineStr">
        <is>
          <t>% m/m</t>
        </is>
      </c>
      <c r="N569" s="7" t="inlineStr">
        <is>
          <t>Registro Técnico Vinculado MAPA</t>
        </is>
      </c>
    </row>
    <row r="570" ht="22" customHeight="1">
      <c r="A570" s="12" t="inlineStr">
        <is>
          <t>CMP-0566</t>
        </is>
      </c>
      <c r="B570" s="11" t="n">
        <v>391</v>
      </c>
      <c r="C570" s="13" t="inlineStr">
        <is>
          <t>SIPEAGRO (UF-XXXXX)</t>
        </is>
      </c>
      <c r="D570" s="14" t="inlineStr">
        <is>
          <t>HIPHOS 28 GR 00-28-00 BAG</t>
        </is>
      </c>
      <c r="E570" s="11" t="n">
        <v>1</v>
      </c>
      <c r="F570" s="13" t="inlineStr">
        <is>
          <t>Nutriente Garantido</t>
        </is>
      </c>
      <c r="G570" s="13" t="inlineStr">
        <is>
          <t>FERTILIZANTES</t>
        </is>
      </c>
      <c r="H570" s="13" t="inlineStr">
        <is>
          <t>Composição Nutricional Oficial (FERTILIZANTES)</t>
        </is>
      </c>
      <c r="I570" s="13" t="inlineStr">
        <is>
          <t>Fertilizante Mineral / Organomineral (Lei nº 6.894/1980)</t>
        </is>
      </c>
      <c r="J570" s="13" t="inlineStr">
        <is>
          <t>Nutrição Vegetal SIPEAGRO</t>
        </is>
      </c>
      <c r="K570" s="13" t="inlineStr">
        <is>
          <t>Fornecimento de macro e micronutrientes essenciais ao metabolismo vegetal</t>
        </is>
      </c>
      <c r="L570" s="15" t="n">
        <v>100</v>
      </c>
      <c r="M570" s="13" t="inlineStr">
        <is>
          <t>% m/m</t>
        </is>
      </c>
      <c r="N570" s="13" t="inlineStr">
        <is>
          <t>Registro Técnico Vinculado MAPA</t>
        </is>
      </c>
    </row>
    <row r="571" ht="22" customHeight="1">
      <c r="A571" s="6" t="inlineStr">
        <is>
          <t>CMP-0567</t>
        </is>
      </c>
      <c r="B571" s="5" t="n">
        <v>392</v>
      </c>
      <c r="C571" s="7" t="inlineStr">
        <is>
          <t>SIPEAGRO (UF-XXXXX)</t>
        </is>
      </c>
      <c r="D571" s="8" t="inlineStr">
        <is>
          <t>HIPHOS 28 GR 00-28-00 BAG</t>
        </is>
      </c>
      <c r="E571" s="5" t="n">
        <v>1</v>
      </c>
      <c r="F571" s="7" t="inlineStr">
        <is>
          <t>Nutriente Garantido</t>
        </is>
      </c>
      <c r="G571" s="7" t="inlineStr">
        <is>
          <t>FERTILIZANTES</t>
        </is>
      </c>
      <c r="H571" s="7" t="inlineStr">
        <is>
          <t>Composição Nutricional Oficial (FERTILIZANTES)</t>
        </is>
      </c>
      <c r="I571" s="7" t="inlineStr">
        <is>
          <t>Fertilizante Mineral / Organomineral (Lei nº 6.894/1980)</t>
        </is>
      </c>
      <c r="J571" s="7" t="inlineStr">
        <is>
          <t>Nutrição Vegetal SIPEAGRO</t>
        </is>
      </c>
      <c r="K571" s="7" t="inlineStr">
        <is>
          <t>Fornecimento de macro e micronutrientes essenciais ao metabolismo vegetal</t>
        </is>
      </c>
      <c r="L571" s="9" t="n">
        <v>100</v>
      </c>
      <c r="M571" s="7" t="inlineStr">
        <is>
          <t>% m/m</t>
        </is>
      </c>
      <c r="N571" s="7" t="inlineStr">
        <is>
          <t>Registro Técnico Vinculado MAPA</t>
        </is>
      </c>
    </row>
    <row r="572" ht="22" customHeight="1">
      <c r="A572" s="12" t="inlineStr">
        <is>
          <t>CMP-0568</t>
        </is>
      </c>
      <c r="B572" s="11" t="n">
        <v>393</v>
      </c>
      <c r="C572" s="13" t="inlineStr">
        <is>
          <t>SIPEAGRO (UF-XXXXX)</t>
        </is>
      </c>
      <c r="D572" s="14" t="inlineStr">
        <is>
          <t>FNR BIOPHOS 25 GRANEL (VALIDAR)</t>
        </is>
      </c>
      <c r="E572" s="11" t="n">
        <v>1</v>
      </c>
      <c r="F572" s="13" t="inlineStr">
        <is>
          <t>Ingrediente Ativo Principal</t>
        </is>
      </c>
      <c r="G572" s="13" t="inlineStr">
        <is>
          <t>P2O5 TOTAL (25% P2O5 Total / 9% Solúvel em Ácido Cítrico 2% + 28% Ca)</t>
        </is>
      </c>
      <c r="H572" s="13" t="inlineStr">
        <is>
          <t>Fosfato Natural Reativo (Apatita sedimentar)</t>
        </is>
      </c>
      <c r="I572" s="13" t="inlineStr">
        <is>
          <t>Fertilizante Mineral Simples Fosfatado (FNR)</t>
        </is>
      </c>
      <c r="J572" s="13" t="inlineStr">
        <is>
          <t>Nutrição Vegetal — Grupo P (Fósforo)</t>
        </is>
      </c>
      <c r="K572" s="13" t="inlineStr">
        <is>
          <t>Fornecimento gradual de fósforo e cálcio na solução do solo</t>
        </is>
      </c>
      <c r="L572" s="15" t="n">
        <v>25</v>
      </c>
      <c r="M572" s="13" t="inlineStr">
        <is>
          <t>% m/m</t>
        </is>
      </c>
      <c r="N572" s="13" t="inlineStr">
        <is>
          <t>Registro Técnico Vinculado MAPA</t>
        </is>
      </c>
    </row>
    <row r="573" ht="22" customHeight="1">
      <c r="A573" s="6" t="inlineStr">
        <is>
          <t>CMP-0569</t>
        </is>
      </c>
      <c r="B573" s="5" t="n">
        <v>394</v>
      </c>
      <c r="C573" s="7" t="inlineStr">
        <is>
          <t>SIPEAGRO (UF-XXXXX)</t>
        </is>
      </c>
      <c r="D573" s="8" t="inlineStr">
        <is>
          <t>UREIA 46-00-00  BAG 1.000 KG</t>
        </is>
      </c>
      <c r="E573" s="5" t="n">
        <v>1</v>
      </c>
      <c r="F573" s="7" t="inlineStr">
        <is>
          <t>Nutriente Garantido</t>
        </is>
      </c>
      <c r="G573" s="7" t="inlineStr">
        <is>
          <t>FERTILIZANTES</t>
        </is>
      </c>
      <c r="H573" s="7" t="inlineStr">
        <is>
          <t>Composição Nutricional Oficial (FERTILIZANTES)</t>
        </is>
      </c>
      <c r="I573" s="7" t="inlineStr">
        <is>
          <t>Fertilizante Mineral / Organomineral (Lei nº 6.894/1980)</t>
        </is>
      </c>
      <c r="J573" s="7" t="inlineStr">
        <is>
          <t>Nutrição Vegetal SIPEAGRO</t>
        </is>
      </c>
      <c r="K573" s="7" t="inlineStr">
        <is>
          <t>Fornecimento de macro e micronutrientes essenciais ao metabolismo vegetal</t>
        </is>
      </c>
      <c r="L573" s="9" t="n">
        <v>100</v>
      </c>
      <c r="M573" s="7" t="inlineStr">
        <is>
          <t>% m/m</t>
        </is>
      </c>
      <c r="N573" s="7" t="inlineStr">
        <is>
          <t>Registro Técnico Vinculado MAPA</t>
        </is>
      </c>
    </row>
    <row r="574" ht="22" customHeight="1">
      <c r="A574" s="12" t="inlineStr">
        <is>
          <t>CMP-0570</t>
        </is>
      </c>
      <c r="B574" s="11" t="n">
        <v>395</v>
      </c>
      <c r="C574" s="13" t="inlineStr">
        <is>
          <t>SIPEAGRO (UF-XXXXX)</t>
        </is>
      </c>
      <c r="D574" s="14" t="inlineStr">
        <is>
          <t>SULFATO DE AMONIO GR (IMP) (VALIDAR)</t>
        </is>
      </c>
      <c r="E574" s="11" t="n">
        <v>1</v>
      </c>
      <c r="F574" s="13" t="inlineStr">
        <is>
          <t>Nutriente Garantido</t>
        </is>
      </c>
      <c r="G574" s="13" t="inlineStr">
        <is>
          <t>FERTILIZANTES</t>
        </is>
      </c>
      <c r="H574" s="13" t="inlineStr">
        <is>
          <t>Composição Nutricional Oficial (FERTILIZANTES)</t>
        </is>
      </c>
      <c r="I574" s="13" t="inlineStr">
        <is>
          <t>Fertilizante Mineral / Organomineral (Lei nº 6.894/1980)</t>
        </is>
      </c>
      <c r="J574" s="13" t="inlineStr">
        <is>
          <t>Nutrição Vegetal SIPEAGRO</t>
        </is>
      </c>
      <c r="K574" s="13" t="inlineStr">
        <is>
          <t>Fornecimento de macro e micronutrientes essenciais ao metabolismo vegetal</t>
        </is>
      </c>
      <c r="L574" s="15" t="n">
        <v>100</v>
      </c>
      <c r="M574" s="13" t="inlineStr">
        <is>
          <t>% m/m</t>
        </is>
      </c>
      <c r="N574" s="13" t="inlineStr">
        <is>
          <t>Registro Técnico Vinculado MAPA</t>
        </is>
      </c>
    </row>
    <row r="575" ht="22" customHeight="1">
      <c r="A575" s="6" t="inlineStr">
        <is>
          <t>CMP-0571</t>
        </is>
      </c>
      <c r="B575" s="5" t="n">
        <v>396</v>
      </c>
      <c r="C575" s="7" t="inlineStr">
        <is>
          <t>SIPEAGRO (UF-XXXXX)</t>
        </is>
      </c>
      <c r="D575" s="8" t="inlineStr">
        <is>
          <t>SULFATO DE AMONIO STD GRANEL (VALIDAR)</t>
        </is>
      </c>
      <c r="E575" s="5" t="n">
        <v>1</v>
      </c>
      <c r="F575" s="7" t="inlineStr">
        <is>
          <t>Nutriente Garantido</t>
        </is>
      </c>
      <c r="G575" s="7" t="inlineStr">
        <is>
          <t>FERTILIZANTES</t>
        </is>
      </c>
      <c r="H575" s="7" t="inlineStr">
        <is>
          <t>Composição Nutricional Oficial (FERTILIZANTES)</t>
        </is>
      </c>
      <c r="I575" s="7" t="inlineStr">
        <is>
          <t>Fertilizante Mineral / Organomineral (Lei nº 6.894/1980)</t>
        </is>
      </c>
      <c r="J575" s="7" t="inlineStr">
        <is>
          <t>Nutrição Vegetal SIPEAGRO</t>
        </is>
      </c>
      <c r="K575" s="7" t="inlineStr">
        <is>
          <t>Fornecimento de macro e micronutrientes essenciais ao metabolismo vegetal</t>
        </is>
      </c>
      <c r="L575" s="9" t="n">
        <v>100</v>
      </c>
      <c r="M575" s="7" t="inlineStr">
        <is>
          <t>% m/m</t>
        </is>
      </c>
      <c r="N575" s="7" t="inlineStr">
        <is>
          <t>Registro Técnico Vinculado MAPA</t>
        </is>
      </c>
    </row>
    <row r="576" ht="22" customHeight="1">
      <c r="A576" s="12" t="inlineStr">
        <is>
          <t>CMP-0572</t>
        </is>
      </c>
      <c r="B576" s="11" t="n">
        <v>397</v>
      </c>
      <c r="C576" s="13" t="inlineStr">
        <is>
          <t>SIPEAGRO (UF-XXXXX)</t>
        </is>
      </c>
      <c r="D576" s="14" t="inlineStr">
        <is>
          <t>HIPHOS 19 FARELADO BAG</t>
        </is>
      </c>
      <c r="E576" s="11" t="n">
        <v>1</v>
      </c>
      <c r="F576" s="13" t="inlineStr">
        <is>
          <t>Nutriente Garantido</t>
        </is>
      </c>
      <c r="G576" s="13" t="inlineStr">
        <is>
          <t>FERTILIZANTES</t>
        </is>
      </c>
      <c r="H576" s="13" t="inlineStr">
        <is>
          <t>Composição Nutricional Oficial (FERTILIZANTES)</t>
        </is>
      </c>
      <c r="I576" s="13" t="inlineStr">
        <is>
          <t>Fertilizante Mineral / Organomineral (Lei nº 6.894/1980)</t>
        </is>
      </c>
      <c r="J576" s="13" t="inlineStr">
        <is>
          <t>Nutrição Vegetal SIPEAGRO</t>
        </is>
      </c>
      <c r="K576" s="13" t="inlineStr">
        <is>
          <t>Fornecimento de macro e micronutrientes essenciais ao metabolismo vegetal</t>
        </is>
      </c>
      <c r="L576" s="15" t="n">
        <v>100</v>
      </c>
      <c r="M576" s="13" t="inlineStr">
        <is>
          <t>% m/m</t>
        </is>
      </c>
      <c r="N576" s="13" t="inlineStr">
        <is>
          <t>Registro Técnico Vinculado MAPA</t>
        </is>
      </c>
    </row>
    <row r="577" ht="22" customHeight="1">
      <c r="A577" s="6" t="inlineStr">
        <is>
          <t>CMP-0573</t>
        </is>
      </c>
      <c r="B577" s="5" t="n">
        <v>398</v>
      </c>
      <c r="C577" s="7" t="inlineStr">
        <is>
          <t>SIPEAGRO (UF-XXXXX)</t>
        </is>
      </c>
      <c r="D577" s="8" t="inlineStr">
        <is>
          <t>HIPHOS 02-20-00 17%CA 1,5%MG 6%S</t>
        </is>
      </c>
      <c r="E577" s="5" t="n">
        <v>1</v>
      </c>
      <c r="F577" s="7" t="inlineStr">
        <is>
          <t>Nutriente Garantido</t>
        </is>
      </c>
      <c r="G577" s="7" t="inlineStr">
        <is>
          <t>FERTILIZANTES</t>
        </is>
      </c>
      <c r="H577" s="7" t="inlineStr">
        <is>
          <t>Composição Nutricional Oficial (FERTILIZANTES)</t>
        </is>
      </c>
      <c r="I577" s="7" t="inlineStr">
        <is>
          <t>Fertilizante Mineral / Organomineral (Lei nº 6.894/1980)</t>
        </is>
      </c>
      <c r="J577" s="7" t="inlineStr">
        <is>
          <t>Nutrição Vegetal SIPEAGRO</t>
        </is>
      </c>
      <c r="K577" s="7" t="inlineStr">
        <is>
          <t>Fornecimento de macro e micronutrientes essenciais ao metabolismo vegetal</t>
        </is>
      </c>
      <c r="L577" s="9" t="n">
        <v>100</v>
      </c>
      <c r="M577" s="7" t="inlineStr">
        <is>
          <t>% m/m</t>
        </is>
      </c>
      <c r="N577" s="7" t="inlineStr">
        <is>
          <t>Registro Técnico Vinculado MAPA</t>
        </is>
      </c>
    </row>
    <row r="578" ht="22" customHeight="1">
      <c r="A578" s="12" t="inlineStr">
        <is>
          <t>CMP-0574</t>
        </is>
      </c>
      <c r="B578" s="11" t="n">
        <v>399</v>
      </c>
      <c r="C578" s="13" t="inlineStr">
        <is>
          <t>SIPEAGRO (UF-XXXXX)</t>
        </is>
      </c>
      <c r="D578" s="14" t="inlineStr">
        <is>
          <t>HIPHOS NPK 02-19-19 10%CA 0,50%MG</t>
        </is>
      </c>
      <c r="E578" s="11" t="n">
        <v>1</v>
      </c>
      <c r="F578" s="13" t="inlineStr">
        <is>
          <t>Nutriente Garantido</t>
        </is>
      </c>
      <c r="G578" s="13" t="inlineStr">
        <is>
          <t>FERTILIZANTES</t>
        </is>
      </c>
      <c r="H578" s="13" t="inlineStr">
        <is>
          <t>Composição Nutricional Oficial (FERTILIZANTES)</t>
        </is>
      </c>
      <c r="I578" s="13" t="inlineStr">
        <is>
          <t>Fertilizante Mineral / Organomineral (Lei nº 6.894/1980)</t>
        </is>
      </c>
      <c r="J578" s="13" t="inlineStr">
        <is>
          <t>Nutrição Vegetal SIPEAGRO</t>
        </is>
      </c>
      <c r="K578" s="13" t="inlineStr">
        <is>
          <t>Fornecimento de macro e micronutrientes essenciais ao metabolismo vegetal</t>
        </is>
      </c>
      <c r="L578" s="15" t="n">
        <v>100</v>
      </c>
      <c r="M578" s="13" t="inlineStr">
        <is>
          <t>% m/m</t>
        </is>
      </c>
      <c r="N578" s="13" t="inlineStr">
        <is>
          <t>Registro Técnico Vinculado MAPA</t>
        </is>
      </c>
    </row>
    <row r="579" ht="22" customHeight="1">
      <c r="A579" s="6" t="inlineStr">
        <is>
          <t>CMP-0575</t>
        </is>
      </c>
      <c r="B579" s="5" t="n">
        <v>400</v>
      </c>
      <c r="C579" s="7" t="inlineStr">
        <is>
          <t>SIPEAGRO (UF-XXXXX)</t>
        </is>
      </c>
      <c r="D579" s="8" t="inlineStr">
        <is>
          <t>HIPHOS NPK 02-21-05 15%CA 0,8%MG</t>
        </is>
      </c>
      <c r="E579" s="5" t="n">
        <v>1</v>
      </c>
      <c r="F579" s="7" t="inlineStr">
        <is>
          <t>Nutriente Garantido</t>
        </is>
      </c>
      <c r="G579" s="7" t="inlineStr">
        <is>
          <t>FERTILIZANTES</t>
        </is>
      </c>
      <c r="H579" s="7" t="inlineStr">
        <is>
          <t>Composição Nutricional Oficial (FERTILIZANTES)</t>
        </is>
      </c>
      <c r="I579" s="7" t="inlineStr">
        <is>
          <t>Fertilizante Mineral / Organomineral (Lei nº 6.894/1980)</t>
        </is>
      </c>
      <c r="J579" s="7" t="inlineStr">
        <is>
          <t>Nutrição Vegetal SIPEAGRO</t>
        </is>
      </c>
      <c r="K579" s="7" t="inlineStr">
        <is>
          <t>Fornecimento de macro e micronutrientes essenciais ao metabolismo vegetal</t>
        </is>
      </c>
      <c r="L579" s="9" t="n">
        <v>100</v>
      </c>
      <c r="M579" s="7" t="inlineStr">
        <is>
          <t>% m/m</t>
        </is>
      </c>
      <c r="N579" s="7" t="inlineStr">
        <is>
          <t>Registro Técnico Vinculado MAPA</t>
        </is>
      </c>
    </row>
    <row r="580" ht="22" customHeight="1">
      <c r="A580" s="12" t="inlineStr">
        <is>
          <t>CMP-0576</t>
        </is>
      </c>
      <c r="B580" s="11" t="n">
        <v>401</v>
      </c>
      <c r="C580" s="13" t="inlineStr">
        <is>
          <t>SIPEAGRO (UF-XXXXX)</t>
        </is>
      </c>
      <c r="D580" s="14" t="inlineStr">
        <is>
          <t>HIPHOS NPK 04-31-06 10%CA 0,30%MG</t>
        </is>
      </c>
      <c r="E580" s="11" t="n">
        <v>1</v>
      </c>
      <c r="F580" s="13" t="inlineStr">
        <is>
          <t>Nutriente Garantido</t>
        </is>
      </c>
      <c r="G580" s="13" t="inlineStr">
        <is>
          <t>FERTILIZANTES</t>
        </is>
      </c>
      <c r="H580" s="13" t="inlineStr">
        <is>
          <t>Composição Nutricional Oficial (FERTILIZANTES)</t>
        </is>
      </c>
      <c r="I580" s="13" t="inlineStr">
        <is>
          <t>Fertilizante Mineral / Organomineral (Lei nº 6.894/1980)</t>
        </is>
      </c>
      <c r="J580" s="13" t="inlineStr">
        <is>
          <t>Nutrição Vegetal SIPEAGRO</t>
        </is>
      </c>
      <c r="K580" s="13" t="inlineStr">
        <is>
          <t>Fornecimento de macro e micronutrientes essenciais ao metabolismo vegetal</t>
        </is>
      </c>
      <c r="L580" s="15" t="n">
        <v>100</v>
      </c>
      <c r="M580" s="13" t="inlineStr">
        <is>
          <t>% m/m</t>
        </is>
      </c>
      <c r="N580" s="13" t="inlineStr">
        <is>
          <t>Registro Técnico Vinculado MAPA</t>
        </is>
      </c>
    </row>
    <row r="581" ht="22" customHeight="1">
      <c r="A581" s="6" t="inlineStr">
        <is>
          <t>CMP-0577</t>
        </is>
      </c>
      <c r="B581" s="5" t="n">
        <v>402</v>
      </c>
      <c r="C581" s="7" t="inlineStr">
        <is>
          <t>SIPEAGRO (UF-XXXXX)</t>
        </is>
      </c>
      <c r="D581" s="8" t="inlineStr">
        <is>
          <t>HIPHOS NPK 05-28-08 7%CA 0,25%MG</t>
        </is>
      </c>
      <c r="E581" s="5" t="n">
        <v>1</v>
      </c>
      <c r="F581" s="7" t="inlineStr">
        <is>
          <t>Nutriente Garantido</t>
        </is>
      </c>
      <c r="G581" s="7" t="inlineStr">
        <is>
          <t>FERTILIZANTES</t>
        </is>
      </c>
      <c r="H581" s="7" t="inlineStr">
        <is>
          <t>Composição Nutricional Oficial (FERTILIZANTES)</t>
        </is>
      </c>
      <c r="I581" s="7" t="inlineStr">
        <is>
          <t>Fertilizante Mineral / Organomineral (Lei nº 6.894/1980)</t>
        </is>
      </c>
      <c r="J581" s="7" t="inlineStr">
        <is>
          <t>Nutrição Vegetal SIPEAGRO</t>
        </is>
      </c>
      <c r="K581" s="7" t="inlineStr">
        <is>
          <t>Fornecimento de macro e micronutrientes essenciais ao metabolismo vegetal</t>
        </is>
      </c>
      <c r="L581" s="9" t="n">
        <v>100</v>
      </c>
      <c r="M581" s="7" t="inlineStr">
        <is>
          <t>% m/m</t>
        </is>
      </c>
      <c r="N581" s="7" t="inlineStr">
        <is>
          <t>Registro Técnico Vinculado MAPA</t>
        </is>
      </c>
    </row>
    <row r="582" ht="22" customHeight="1">
      <c r="A582" s="12" t="inlineStr">
        <is>
          <t>CMP-0578</t>
        </is>
      </c>
      <c r="B582" s="11" t="n">
        <v>403</v>
      </c>
      <c r="C582" s="13" t="inlineStr">
        <is>
          <t>SIPEAGRO (UF-XXXXX)</t>
        </is>
      </c>
      <c r="D582" s="14" t="inlineStr">
        <is>
          <t>HIPHOS NPK 07-15-15 8%CA 0,5%MG BG1000 KG (VALIDAR</t>
        </is>
      </c>
      <c r="E582" s="11" t="n">
        <v>1</v>
      </c>
      <c r="F582" s="13" t="inlineStr">
        <is>
          <t>Nutriente Garantido</t>
        </is>
      </c>
      <c r="G582" s="13" t="inlineStr">
        <is>
          <t>FERTILIZANTES</t>
        </is>
      </c>
      <c r="H582" s="13" t="inlineStr">
        <is>
          <t>Composição Nutricional Oficial (FERTILIZANTES)</t>
        </is>
      </c>
      <c r="I582" s="13" t="inlineStr">
        <is>
          <t>Fertilizante Mineral / Organomineral (Lei nº 6.894/1980)</t>
        </is>
      </c>
      <c r="J582" s="13" t="inlineStr">
        <is>
          <t>Nutrição Vegetal SIPEAGRO</t>
        </is>
      </c>
      <c r="K582" s="13" t="inlineStr">
        <is>
          <t>Fornecimento de macro e micronutrientes essenciais ao metabolismo vegetal</t>
        </is>
      </c>
      <c r="L582" s="15" t="n">
        <v>100</v>
      </c>
      <c r="M582" s="13" t="inlineStr">
        <is>
          <t>% m/m</t>
        </is>
      </c>
      <c r="N582" s="13" t="inlineStr">
        <is>
          <t>Registro Técnico Vinculado MAPA</t>
        </is>
      </c>
    </row>
    <row r="583" ht="22" customHeight="1">
      <c r="A583" s="6" t="inlineStr">
        <is>
          <t>CMP-0579</t>
        </is>
      </c>
      <c r="B583" s="5" t="n">
        <v>404</v>
      </c>
      <c r="C583" s="7" t="inlineStr">
        <is>
          <t>SIPEAGRO (UF-XXXXX)</t>
        </is>
      </c>
      <c r="D583" s="8" t="inlineStr">
        <is>
          <t>HIPHOS NPK 09-14-14 5%CA 7%S BG1000 KG (VALIDAR</t>
        </is>
      </c>
      <c r="E583" s="5" t="n">
        <v>1</v>
      </c>
      <c r="F583" s="7" t="inlineStr">
        <is>
          <t>Nutriente Garantido</t>
        </is>
      </c>
      <c r="G583" s="7" t="inlineStr">
        <is>
          <t>FERTILIZANTES</t>
        </is>
      </c>
      <c r="H583" s="7" t="inlineStr">
        <is>
          <t>Composição Nutricional Oficial (FERTILIZANTES)</t>
        </is>
      </c>
      <c r="I583" s="7" t="inlineStr">
        <is>
          <t>Fertilizante Mineral / Organomineral (Lei nº 6.894/1980)</t>
        </is>
      </c>
      <c r="J583" s="7" t="inlineStr">
        <is>
          <t>Nutrição Vegetal SIPEAGRO</t>
        </is>
      </c>
      <c r="K583" s="7" t="inlineStr">
        <is>
          <t>Fornecimento de macro e micronutrientes essenciais ao metabolismo vegetal</t>
        </is>
      </c>
      <c r="L583" s="9" t="n">
        <v>100</v>
      </c>
      <c r="M583" s="7" t="inlineStr">
        <is>
          <t>% m/m</t>
        </is>
      </c>
      <c r="N583" s="7" t="inlineStr">
        <is>
          <t>Registro Técnico Vinculado MAPA</t>
        </is>
      </c>
    </row>
    <row r="584" ht="22" customHeight="1">
      <c r="A584" s="12" t="inlineStr">
        <is>
          <t>CMP-0580</t>
        </is>
      </c>
      <c r="B584" s="11" t="n">
        <v>405</v>
      </c>
      <c r="C584" s="13" t="inlineStr">
        <is>
          <t>SIPEAGRO (UF-XXXXX)</t>
        </is>
      </c>
      <c r="D584" s="14" t="inlineStr">
        <is>
          <t>CLORETO POTÁSSIO 60% GR (IMP) KG (VALIDAR)</t>
        </is>
      </c>
      <c r="E584" s="11" t="n">
        <v>1</v>
      </c>
      <c r="F584" s="13" t="inlineStr">
        <is>
          <t>Nutriente Garantido</t>
        </is>
      </c>
      <c r="G584" s="13" t="inlineStr">
        <is>
          <t>FERTILIZANTES</t>
        </is>
      </c>
      <c r="H584" s="13" t="inlineStr">
        <is>
          <t>Composição Nutricional Oficial (FERTILIZANTES)</t>
        </is>
      </c>
      <c r="I584" s="13" t="inlineStr">
        <is>
          <t>Fertilizante Mineral / Organomineral (Lei nº 6.894/1980)</t>
        </is>
      </c>
      <c r="J584" s="13" t="inlineStr">
        <is>
          <t>Nutrição Vegetal SIPEAGRO</t>
        </is>
      </c>
      <c r="K584" s="13" t="inlineStr">
        <is>
          <t>Fornecimento de macro e micronutrientes essenciais ao metabolismo vegetal</t>
        </is>
      </c>
      <c r="L584" s="15" t="n">
        <v>100</v>
      </c>
      <c r="M584" s="13" t="inlineStr">
        <is>
          <t>% m/m</t>
        </is>
      </c>
      <c r="N584" s="13" t="inlineStr">
        <is>
          <t>Registro Técnico Vinculado MAPA</t>
        </is>
      </c>
    </row>
    <row r="585" ht="22" customHeight="1">
      <c r="A585" s="6" t="inlineStr">
        <is>
          <t>CMP-0581</t>
        </is>
      </c>
      <c r="B585" s="5" t="n">
        <v>406</v>
      </c>
      <c r="C585" s="7" t="inlineStr">
        <is>
          <t>SIPEAGRO (UF-XXXXX)</t>
        </is>
      </c>
      <c r="D585" s="8" t="inlineStr">
        <is>
          <t>CLORETO DE POTÁSSIO STD 62% GRANEL KG (VALIDAR)</t>
        </is>
      </c>
      <c r="E585" s="5" t="n">
        <v>1</v>
      </c>
      <c r="F585" s="7" t="inlineStr">
        <is>
          <t>Nutriente Garantido</t>
        </is>
      </c>
      <c r="G585" s="7" t="inlineStr">
        <is>
          <t>FERTILIZANTES</t>
        </is>
      </c>
      <c r="H585" s="7" t="inlineStr">
        <is>
          <t>Composição Nutricional Oficial (FERTILIZANTES)</t>
        </is>
      </c>
      <c r="I585" s="7" t="inlineStr">
        <is>
          <t>Fertilizante Mineral / Organomineral (Lei nº 6.894/1980)</t>
        </is>
      </c>
      <c r="J585" s="7" t="inlineStr">
        <is>
          <t>Nutrição Vegetal SIPEAGRO</t>
        </is>
      </c>
      <c r="K585" s="7" t="inlineStr">
        <is>
          <t>Fornecimento de macro e micronutrientes essenciais ao metabolismo vegetal</t>
        </is>
      </c>
      <c r="L585" s="9" t="n">
        <v>100</v>
      </c>
      <c r="M585" s="7" t="inlineStr">
        <is>
          <t>% m/m</t>
        </is>
      </c>
      <c r="N585" s="7" t="inlineStr">
        <is>
          <t>Registro Técnico Vinculado MAPA</t>
        </is>
      </c>
    </row>
    <row r="586" ht="22" customHeight="1">
      <c r="A586" s="12" t="inlineStr">
        <is>
          <t>CMP-0582</t>
        </is>
      </c>
      <c r="B586" s="11" t="n">
        <v>407</v>
      </c>
      <c r="C586" s="13" t="inlineStr">
        <is>
          <t>SIPEAGRO (UF-XXXXX)</t>
        </is>
      </c>
      <c r="D586" s="14" t="inlineStr">
        <is>
          <t>KCL-60%K2O-GRANULADO-FERT.MINERAL SIMPLES - AUTEM</t>
        </is>
      </c>
      <c r="E586" s="11" t="n">
        <v>1</v>
      </c>
      <c r="F586" s="13" t="inlineStr">
        <is>
          <t>Nutriente Garantido</t>
        </is>
      </c>
      <c r="G586" s="13" t="inlineStr">
        <is>
          <t>FERTILIZANTES</t>
        </is>
      </c>
      <c r="H586" s="13" t="inlineStr">
        <is>
          <t>Composição Nutricional Oficial (FERTILIZANTES)</t>
        </is>
      </c>
      <c r="I586" s="13" t="inlineStr">
        <is>
          <t>Fertilizante Mineral / Organomineral (Lei nº 6.894/1980)</t>
        </is>
      </c>
      <c r="J586" s="13" t="inlineStr">
        <is>
          <t>Nutrição Vegetal SIPEAGRO</t>
        </is>
      </c>
      <c r="K586" s="13" t="inlineStr">
        <is>
          <t>Fornecimento de macro e micronutrientes essenciais ao metabolismo vegetal</t>
        </is>
      </c>
      <c r="L586" s="15" t="n">
        <v>100</v>
      </c>
      <c r="M586" s="13" t="inlineStr">
        <is>
          <t>% m/m</t>
        </is>
      </c>
      <c r="N586" s="13" t="inlineStr">
        <is>
          <t>Registro Técnico Vinculado MAPA</t>
        </is>
      </c>
    </row>
    <row r="587" ht="22" customHeight="1">
      <c r="A587" s="6" t="inlineStr">
        <is>
          <t>CMP-0583</t>
        </is>
      </c>
      <c r="B587" s="5" t="n">
        <v>408</v>
      </c>
      <c r="C587" s="7" t="inlineStr">
        <is>
          <t>SIPEAGRO (UF-XXXXX)</t>
        </is>
      </c>
      <c r="D587" s="8" t="inlineStr">
        <is>
          <t>MAP 12-52-00 GR GRANEL KG (VALIDAR)</t>
        </is>
      </c>
      <c r="E587" s="5" t="n">
        <v>1</v>
      </c>
      <c r="F587" s="7" t="inlineStr">
        <is>
          <t>Nutriente Garantido</t>
        </is>
      </c>
      <c r="G587" s="7" t="inlineStr">
        <is>
          <t>FERTILIZANTES</t>
        </is>
      </c>
      <c r="H587" s="7" t="inlineStr">
        <is>
          <t>Composição Nutricional Oficial (FERTILIZANTES)</t>
        </is>
      </c>
      <c r="I587" s="7" t="inlineStr">
        <is>
          <t>Fertilizante Mineral / Organomineral (Lei nº 6.894/1980)</t>
        </is>
      </c>
      <c r="J587" s="7" t="inlineStr">
        <is>
          <t>Nutrição Vegetal SIPEAGRO</t>
        </is>
      </c>
      <c r="K587" s="7" t="inlineStr">
        <is>
          <t>Fornecimento de macro e micronutrientes essenciais ao metabolismo vegetal</t>
        </is>
      </c>
      <c r="L587" s="9" t="n">
        <v>100</v>
      </c>
      <c r="M587" s="7" t="inlineStr">
        <is>
          <t>% m/m</t>
        </is>
      </c>
      <c r="N587" s="7" t="inlineStr">
        <is>
          <t>Registro Técnico Vinculado MAPA</t>
        </is>
      </c>
    </row>
    <row r="588" ht="22" customHeight="1">
      <c r="A588" s="12" t="inlineStr">
        <is>
          <t>CMP-0584</t>
        </is>
      </c>
      <c r="B588" s="11" t="n">
        <v>409</v>
      </c>
      <c r="C588" s="13" t="inlineStr">
        <is>
          <t>SIPEAGRO (UF-XXXXX)</t>
        </is>
      </c>
      <c r="D588" s="14" t="inlineStr">
        <is>
          <t>FERTLIZANTE FOSFATADO 10.45.00 GRANULADO KG</t>
        </is>
      </c>
      <c r="E588" s="11" t="n">
        <v>1</v>
      </c>
      <c r="F588" s="13" t="inlineStr">
        <is>
          <t>Nutriente Garantido</t>
        </is>
      </c>
      <c r="G588" s="13" t="inlineStr">
        <is>
          <t>FERTILIZANTES</t>
        </is>
      </c>
      <c r="H588" s="13" t="inlineStr">
        <is>
          <t>Composição Nutricional Oficial (FERTILIZANTES)</t>
        </is>
      </c>
      <c r="I588" s="13" t="inlineStr">
        <is>
          <t>Fertilizante Mineral / Organomineral (Lei nº 6.894/1980)</t>
        </is>
      </c>
      <c r="J588" s="13" t="inlineStr">
        <is>
          <t>Nutrição Vegetal SIPEAGRO</t>
        </is>
      </c>
      <c r="K588" s="13" t="inlineStr">
        <is>
          <t>Fornecimento de macro e micronutrientes essenciais ao metabolismo vegetal</t>
        </is>
      </c>
      <c r="L588" s="15" t="n">
        <v>100</v>
      </c>
      <c r="M588" s="13" t="inlineStr">
        <is>
          <t>% m/m</t>
        </is>
      </c>
      <c r="N588" s="13" t="inlineStr">
        <is>
          <t>Registro Técnico Vinculado MAPA</t>
        </is>
      </c>
    </row>
    <row r="589" ht="22" customHeight="1">
      <c r="A589" s="6" t="inlineStr">
        <is>
          <t>CMP-0585</t>
        </is>
      </c>
      <c r="B589" s="5" t="n">
        <v>410</v>
      </c>
      <c r="C589" s="7" t="inlineStr">
        <is>
          <t>SIPEAGRO (UF-XXXXX)</t>
        </is>
      </c>
      <c r="D589" s="8" t="inlineStr">
        <is>
          <t>RANKING MANGANES</t>
        </is>
      </c>
      <c r="E589" s="5" t="n">
        <v>1</v>
      </c>
      <c r="F589" s="7" t="inlineStr">
        <is>
          <t>Nutriente Garantido</t>
        </is>
      </c>
      <c r="G589" s="7" t="inlineStr">
        <is>
          <t>MN 10% - S 5,5%</t>
        </is>
      </c>
      <c r="H589" s="7" t="inlineStr">
        <is>
          <t>Composição Nutricional Oficial (MN 10% - S 5,5%)</t>
        </is>
      </c>
      <c r="I589" s="7" t="inlineStr">
        <is>
          <t>Fertilizante Mineral / Organomineral (Lei nº 6.894/1980)</t>
        </is>
      </c>
      <c r="J589" s="7" t="inlineStr">
        <is>
          <t>Nutrição Vegetal SIPEAGRO</t>
        </is>
      </c>
      <c r="K589" s="7" t="inlineStr">
        <is>
          <t>Fornecimento de macro e micronutrientes essenciais ao metabolismo vegetal</t>
        </is>
      </c>
      <c r="L589" s="9" t="n">
        <v>10</v>
      </c>
      <c r="M589" s="7" t="inlineStr">
        <is>
          <t>% m/m</t>
        </is>
      </c>
      <c r="N589" s="7" t="inlineStr">
        <is>
          <t>Registro Técnico Vinculado MAPA</t>
        </is>
      </c>
    </row>
    <row r="590" ht="22" customHeight="1">
      <c r="A590" s="12" t="inlineStr">
        <is>
          <t>CMP-0586</t>
        </is>
      </c>
      <c r="B590" s="11" t="n">
        <v>411</v>
      </c>
      <c r="C590" s="13" t="inlineStr">
        <is>
          <t>VINCULAR MARCA</t>
        </is>
      </c>
      <c r="D590" s="14" t="inlineStr">
        <is>
          <t>CLORPIRIFOS 480 (PRINCIPIO ATIVO)</t>
        </is>
      </c>
      <c r="E590" s="11" t="n">
        <v>1</v>
      </c>
      <c r="F590" s="13" t="inlineStr">
        <is>
          <t>Ingrediente Ativo Principal</t>
        </is>
      </c>
      <c r="G590" s="13" t="inlineStr">
        <is>
          <t>CLORPIRIFOS 480</t>
        </is>
      </c>
      <c r="H590" s="13" t="inlineStr">
        <is>
          <t>O,O-diethyl O-3,5,6-trichloro-2-pyridyl phosphorothioate</t>
        </is>
      </c>
      <c r="I590" s="13" t="inlineStr">
        <is>
          <t>Organofosforado</t>
        </is>
      </c>
      <c r="J590" s="13" t="inlineStr">
        <is>
          <t>IRAC Grupo 1B</t>
        </is>
      </c>
      <c r="K590" s="13" t="inlineStr">
        <is>
          <t>Inibidores da acetilcolinesterase (AChE)</t>
        </is>
      </c>
      <c r="L590" s="15" t="n">
        <v>480</v>
      </c>
      <c r="M590" s="13" t="inlineStr">
        <is>
          <t>g/kg</t>
        </is>
      </c>
      <c r="N590" s="13" t="inlineStr">
        <is>
          <t>Produto Técnico Próprio</t>
        </is>
      </c>
    </row>
    <row r="591" ht="22" customHeight="1">
      <c r="A591" s="6" t="inlineStr">
        <is>
          <t>CMP-0587</t>
        </is>
      </c>
      <c r="B591" s="5" t="n">
        <v>412</v>
      </c>
      <c r="C591" s="7" t="inlineStr">
        <is>
          <t>VINCULAR MARCA</t>
        </is>
      </c>
      <c r="D591" s="8" t="inlineStr">
        <is>
          <t>CLOROTAL. 580 + CIPRO 12,8 + TRIFLOXIS. 30 (P. A.)</t>
        </is>
      </c>
      <c r="E591" s="5" t="n">
        <v>1</v>
      </c>
      <c r="F591" s="7" t="inlineStr">
        <is>
          <t>Ingrediente Ativo Principal</t>
        </is>
      </c>
      <c r="G591" s="7" t="inlineStr">
        <is>
          <t>CLOROTALONIL</t>
        </is>
      </c>
      <c r="H591" s="7" t="inlineStr">
        <is>
          <t>Tetrachloroisophthalonitrile</t>
        </is>
      </c>
      <c r="I591" s="7" t="inlineStr">
        <is>
          <t>Isoftalonitrila</t>
        </is>
      </c>
      <c r="J591" s="7" t="inlineStr">
        <is>
          <t>FRAC Grupo M05 — Multissítio</t>
        </is>
      </c>
      <c r="K591" s="7" t="inlineStr">
        <is>
          <t>Atividade de contato multissítio (inativação de grupos tiol enzimáticos)</t>
        </is>
      </c>
      <c r="L591" s="9" t="n">
        <v>580</v>
      </c>
      <c r="M591" s="7" t="inlineStr">
        <is>
          <t>g/L</t>
        </is>
      </c>
      <c r="N591" s="7" t="inlineStr">
        <is>
          <t>Clorotalonil Técnico Vinculado MAPA</t>
        </is>
      </c>
    </row>
    <row r="592" ht="22" customHeight="1">
      <c r="A592" s="12" t="inlineStr">
        <is>
          <t>CMP-0588</t>
        </is>
      </c>
      <c r="B592" s="11" t="n">
        <v>412</v>
      </c>
      <c r="C592" s="13" t="inlineStr">
        <is>
          <t>VINCULAR MARCA</t>
        </is>
      </c>
      <c r="D592" s="14" t="inlineStr">
        <is>
          <t>CLOROTAL. 580 + CIPRO 12,8 + TRIFLOXIS. 30 (P. A.)</t>
        </is>
      </c>
      <c r="E592" s="11" t="n">
        <v>2</v>
      </c>
      <c r="F592" s="13" t="inlineStr">
        <is>
          <t>Ingrediente Ativo Principal</t>
        </is>
      </c>
      <c r="G592" s="13" t="inlineStr">
        <is>
          <t>TRIFLOXISTROBINA</t>
        </is>
      </c>
      <c r="H592" s="13" t="inlineStr">
        <is>
          <t>Methyl (E)-methoxyimino-{(E)-alpha-[1-(alpha,alpha,alpha-trifluoro-m-tolyl)ethylideneaminooxy]-o-tolyl}acetate</t>
        </is>
      </c>
      <c r="I592" s="13" t="inlineStr">
        <is>
          <t>Estrobilurina (Oximinoacetato)</t>
        </is>
      </c>
      <c r="J592" s="13" t="inlineStr">
        <is>
          <t>FRAC Grupo 11 (C3 — QoI)</t>
        </is>
      </c>
      <c r="K592" s="13" t="inlineStr">
        <is>
          <t>Inibidores da respiração mitocondrial no Complexo III (sítio Qo)</t>
        </is>
      </c>
      <c r="L592" s="15" t="n">
        <v>30</v>
      </c>
      <c r="M592" s="13" t="inlineStr">
        <is>
          <t>g/L</t>
        </is>
      </c>
      <c r="N592" s="13" t="inlineStr">
        <is>
          <t>Trifloxystrobin Técnico Vinculado MAPA</t>
        </is>
      </c>
    </row>
    <row r="593" ht="22" customHeight="1">
      <c r="A593" s="6" t="inlineStr">
        <is>
          <t>CMP-0589</t>
        </is>
      </c>
      <c r="B593" s="5" t="n">
        <v>412</v>
      </c>
      <c r="C593" s="7" t="inlineStr">
        <is>
          <t>VINCULAR MARCA</t>
        </is>
      </c>
      <c r="D593" s="8" t="inlineStr">
        <is>
          <t>CLOROTAL. 580 + CIPRO 12,8 + TRIFLOXIS. 30 (P. A.)</t>
        </is>
      </c>
      <c r="E593" s="5" t="n">
        <v>3</v>
      </c>
      <c r="F593" s="7" t="inlineStr">
        <is>
          <t>Ingrediente Ativo Principal</t>
        </is>
      </c>
      <c r="G593" s="7" t="inlineStr">
        <is>
          <t>CIPROCONAZOL</t>
        </is>
      </c>
      <c r="H593" s="7" t="inlineStr">
        <is>
          <t>(2RS,3RS;2RS,3SR)-2-(4-chlorophenyl)-3-cyclopropyl-1-(1H-1,2,4-triazol-1-yl)butan-2-ol</t>
        </is>
      </c>
      <c r="I593" s="7" t="inlineStr">
        <is>
          <t>Triazol</t>
        </is>
      </c>
      <c r="J593" s="7" t="inlineStr">
        <is>
          <t>FRAC Grupo 3 (G1 — DMI)</t>
        </is>
      </c>
      <c r="K593" s="7" t="inlineStr">
        <is>
          <t>Inibidores da desmetilação do C14 na biossíntese do ergosterol</t>
        </is>
      </c>
      <c r="L593" s="17" t="n">
        <v>12.8</v>
      </c>
      <c r="M593" s="7" t="inlineStr">
        <is>
          <t>g/L</t>
        </is>
      </c>
      <c r="N593" s="7" t="inlineStr">
        <is>
          <t>Cyproconazole Técnico Vinculado MAPA</t>
        </is>
      </c>
    </row>
    <row r="594" ht="22" customHeight="1">
      <c r="A594" s="12" t="inlineStr">
        <is>
          <t>CMP-0590</t>
        </is>
      </c>
      <c r="B594" s="11" t="n">
        <v>413</v>
      </c>
      <c r="C594" s="13" t="inlineStr">
        <is>
          <t>Nº 9621</t>
        </is>
      </c>
      <c r="D594" s="14" t="inlineStr">
        <is>
          <t>GLIFOSATO 506 (PRINCIPIO ATIVO)</t>
        </is>
      </c>
      <c r="E594" s="11" t="n">
        <v>1</v>
      </c>
      <c r="F594" s="13" t="inlineStr">
        <is>
          <t>Ingrediente Ativo Principal</t>
        </is>
      </c>
      <c r="G594" s="13" t="inlineStr">
        <is>
          <t>GLIFOSATO EQUIVALENTE ÁCIDO</t>
        </is>
      </c>
      <c r="H594" s="13" t="inlineStr">
        <is>
          <t>N-(phosphonomethyl)glycine</t>
        </is>
      </c>
      <c r="I594" s="13" t="inlineStr">
        <is>
          <t>Glicina substituída</t>
        </is>
      </c>
      <c r="J594" s="13" t="inlineStr">
        <is>
          <t>HRAC Grupo G (9) — Inibidores da EPSPs</t>
        </is>
      </c>
      <c r="K594" s="13" t="inlineStr">
        <is>
          <t>Inibidores da enzima EPSPs (Enoil Piruvil Shiquimato Fosfato Sintase)</t>
        </is>
      </c>
      <c r="L594" s="15" t="n">
        <v>506</v>
      </c>
      <c r="M594" s="13" t="inlineStr">
        <is>
          <t>g/L</t>
        </is>
      </c>
      <c r="N594" s="13" t="inlineStr">
        <is>
          <t>Glifosato Técnico Vinculado MAPA</t>
        </is>
      </c>
    </row>
    <row r="595" ht="22" customHeight="1">
      <c r="A595" s="6" t="inlineStr">
        <is>
          <t>CMP-0591</t>
        </is>
      </c>
      <c r="B595" s="5" t="n">
        <v>414</v>
      </c>
      <c r="C595" s="7" t="inlineStr">
        <is>
          <t>SIPEAGRO (UF-XXXXX)</t>
        </is>
      </c>
      <c r="D595" s="8" t="inlineStr">
        <is>
          <t>FERTILIZANTE 00-25-00 2S (VALIDAR)</t>
        </is>
      </c>
      <c r="E595" s="5" t="n">
        <v>1</v>
      </c>
      <c r="F595" s="7" t="inlineStr">
        <is>
          <t>Nutriente Garantido</t>
        </is>
      </c>
      <c r="G595" s="7" t="inlineStr">
        <is>
          <t>FERTILIZANTES</t>
        </is>
      </c>
      <c r="H595" s="7" t="inlineStr">
        <is>
          <t>Composição Nutricional Oficial (FERTILIZANTES)</t>
        </is>
      </c>
      <c r="I595" s="7" t="inlineStr">
        <is>
          <t>Fertilizante Mineral / Organomineral (Lei nº 6.894/1980)</t>
        </is>
      </c>
      <c r="J595" s="7" t="inlineStr">
        <is>
          <t>Nutrição Vegetal SIPEAGRO</t>
        </is>
      </c>
      <c r="K595" s="7" t="inlineStr">
        <is>
          <t>Fornecimento de macro e micronutrientes essenciais ao metabolismo vegetal</t>
        </is>
      </c>
      <c r="L595" s="9" t="n">
        <v>100</v>
      </c>
      <c r="M595" s="7" t="inlineStr">
        <is>
          <t>% m/m</t>
        </is>
      </c>
      <c r="N595" s="7" t="inlineStr">
        <is>
          <t>Registro Técnico Vinculado MAPA</t>
        </is>
      </c>
    </row>
    <row r="596" ht="22" customHeight="1">
      <c r="A596" s="12" t="inlineStr">
        <is>
          <t>CMP-0592</t>
        </is>
      </c>
      <c r="B596" s="11" t="n">
        <v>415</v>
      </c>
      <c r="C596" s="13" t="inlineStr">
        <is>
          <t>ISENTO (ATO 104/2017)</t>
        </is>
      </c>
      <c r="D596" s="14" t="inlineStr">
        <is>
          <t>AGRICOIL MINERAL</t>
        </is>
      </c>
      <c r="E596" s="11" t="n">
        <v>1</v>
      </c>
      <c r="F596" s="13" t="inlineStr">
        <is>
          <t>Ingrediente Ativo Principal</t>
        </is>
      </c>
      <c r="G596" s="13" t="inlineStr">
        <is>
          <t>ÓLEO MINERAL PARAFÍNICO (Hidrocarbonetos Alifáticos)</t>
        </is>
      </c>
      <c r="H596" s="13" t="inlineStr">
        <is>
          <t>Aliphatic hydrocarbons (Mineral paraffin oil)</t>
        </is>
      </c>
      <c r="I596" s="13" t="inlineStr">
        <is>
          <t>Adjuvante Espalhante e Antievaporante (Óleo Mineral)</t>
        </is>
      </c>
      <c r="J596" s="13" t="inlineStr">
        <is>
          <t>Auxiliar de Tecnologia de Aplicação (Ato SDA 104/2017)</t>
        </is>
      </c>
      <c r="K596" s="13" t="inlineStr">
        <is>
          <t>Redução de deriva, efeito antievaporante e penetração na cutícula foliar</t>
        </is>
      </c>
      <c r="L596" s="15" t="n">
        <v>800</v>
      </c>
      <c r="M596" s="13" t="inlineStr">
        <is>
          <t>g/L</t>
        </is>
      </c>
      <c r="N596" s="13" t="inlineStr">
        <is>
          <t>Registro Técnico Vinculado MAPA</t>
        </is>
      </c>
    </row>
    <row r="597" ht="22" customHeight="1">
      <c r="A597" s="6" t="inlineStr">
        <is>
          <t>CMP-0593</t>
        </is>
      </c>
      <c r="B597" s="5" t="n">
        <v>416</v>
      </c>
      <c r="C597" s="7" t="inlineStr">
        <is>
          <t>Nº 23922</t>
        </is>
      </c>
      <c r="D597" s="8" t="inlineStr">
        <is>
          <t>GRASIDIM FULL</t>
        </is>
      </c>
      <c r="E597" s="5" t="n">
        <v>1</v>
      </c>
      <c r="F597" s="7" t="inlineStr">
        <is>
          <t>Ingrediente Ativo Principal</t>
        </is>
      </c>
      <c r="G597" s="7" t="inlineStr">
        <is>
          <t>CLETODIM 360</t>
        </is>
      </c>
      <c r="H597" s="7" t="inlineStr">
        <is>
          <t>(RS)-2-[(E)-1-[(E)-3-chloroallyloxyimino]propyl]-5-[2-(ethylthio)propyl]-3-hydroxycyclohex-2-en-1-one</t>
        </is>
      </c>
      <c r="I597" s="7" t="inlineStr">
        <is>
          <t>Oxima ciclohexanodiona (DIM)</t>
        </is>
      </c>
      <c r="J597" s="7" t="inlineStr">
        <is>
          <t>HRAC Grupo A (1) — Inibidores da ACCase</t>
        </is>
      </c>
      <c r="K597" s="7" t="inlineStr">
        <is>
          <t>Inibidores da Acetil CoA Carboxilase (ACCase)</t>
        </is>
      </c>
      <c r="L597" s="9" t="n">
        <v>360</v>
      </c>
      <c r="M597" s="7" t="inlineStr">
        <is>
          <t>g/L</t>
        </is>
      </c>
      <c r="N597" s="7" t="inlineStr">
        <is>
          <t>Registro Técnico Vinculado MAPA</t>
        </is>
      </c>
    </row>
    <row r="598" ht="22" customHeight="1">
      <c r="A598" s="12" t="inlineStr">
        <is>
          <t>CMP-0594</t>
        </is>
      </c>
      <c r="B598" s="11" t="n">
        <v>417</v>
      </c>
      <c r="C598" s="13" t="inlineStr">
        <is>
          <t>Nº 4623</t>
        </is>
      </c>
      <c r="D598" s="14" t="inlineStr">
        <is>
          <t>WERIFE - ACEFATO 970 - (PRINCIPIO ATIVO)</t>
        </is>
      </c>
      <c r="E598" s="11" t="n">
        <v>1</v>
      </c>
      <c r="F598" s="13" t="inlineStr">
        <is>
          <t>Ingrediente Ativo Principal</t>
        </is>
      </c>
      <c r="G598" s="13" t="inlineStr">
        <is>
          <t>ACEFATO 970</t>
        </is>
      </c>
      <c r="H598" s="13" t="inlineStr">
        <is>
          <t>O,S-dimethyl acetylphosphoramidothioate</t>
        </is>
      </c>
      <c r="I598" s="13" t="inlineStr">
        <is>
          <t>Organofosforado</t>
        </is>
      </c>
      <c r="J598" s="13" t="inlineStr">
        <is>
          <t>IRAC Grupo 1B</t>
        </is>
      </c>
      <c r="K598" s="13" t="inlineStr">
        <is>
          <t>Inibidores da enzima acetilcolinesterase (AChE)</t>
        </is>
      </c>
      <c r="L598" s="15" t="n">
        <v>970</v>
      </c>
      <c r="M598" s="13" t="inlineStr">
        <is>
          <t>g/kg</t>
        </is>
      </c>
      <c r="N598" s="13" t="inlineStr">
        <is>
          <t>Produto Técnico Próprio</t>
        </is>
      </c>
    </row>
    <row r="599" ht="22" customHeight="1">
      <c r="A599" s="6" t="inlineStr">
        <is>
          <t>CMP-0595</t>
        </is>
      </c>
      <c r="B599" s="5" t="n">
        <v>418</v>
      </c>
      <c r="C599" s="7" t="inlineStr">
        <is>
          <t>Nº 28120</t>
        </is>
      </c>
      <c r="D599" s="8" t="inlineStr">
        <is>
          <t>WILD CLEAR - FLUROXIPIR 200 EC - (PRINCIPIO ATIVO)</t>
        </is>
      </c>
      <c r="E599" s="5" t="n">
        <v>1</v>
      </c>
      <c r="F599" s="7" t="inlineStr">
        <is>
          <t>Ingrediente Ativo Principal</t>
        </is>
      </c>
      <c r="G599" s="7" t="inlineStr">
        <is>
          <t>FLUROXIPIR 200</t>
        </is>
      </c>
      <c r="H599" s="7" t="inlineStr">
        <is>
          <t>[(4-amino-3,5-dichloro-6-fluoro-2-pyridinyl)oxy]acetic acid (Éster Meptílico)</t>
        </is>
      </c>
      <c r="I599" s="7" t="inlineStr">
        <is>
          <t>Ácido piridiniloxialcanoico</t>
        </is>
      </c>
      <c r="J599" s="7" t="inlineStr">
        <is>
          <t>HRAC Grupo O (4) — Auxinas Sintéticas</t>
        </is>
      </c>
      <c r="K599" s="7" t="inlineStr">
        <is>
          <t>Mimetizadores de auxina sintética (desregulação do crescimento celular)</t>
        </is>
      </c>
      <c r="L599" s="9" t="n">
        <v>200</v>
      </c>
      <c r="M599" s="7" t="inlineStr">
        <is>
          <t>g/kg</t>
        </is>
      </c>
      <c r="N599" s="7" t="inlineStr">
        <is>
          <t>Produto Técnico Próprio</t>
        </is>
      </c>
    </row>
    <row r="600" ht="22" customHeight="1">
      <c r="A600" s="12" t="inlineStr">
        <is>
          <t>CMP-0596</t>
        </is>
      </c>
      <c r="B600" s="11" t="n">
        <v>419</v>
      </c>
      <c r="C600" s="13" t="inlineStr">
        <is>
          <t>Nº 36822</t>
        </is>
      </c>
      <c r="D600" s="14" t="inlineStr">
        <is>
          <t>CLORPIRIFOS 48 EC AGCN</t>
        </is>
      </c>
      <c r="E600" s="11" t="n">
        <v>1</v>
      </c>
      <c r="F600" s="13" t="inlineStr">
        <is>
          <t>Ingrediente Ativo Principal</t>
        </is>
      </c>
      <c r="G600" s="13" t="inlineStr">
        <is>
          <t>CLORPIRIFOS 480</t>
        </is>
      </c>
      <c r="H600" s="13" t="inlineStr">
        <is>
          <t>O,O-diethyl O-3,5,6-trichloro-2-pyridyl phosphorothioate</t>
        </is>
      </c>
      <c r="I600" s="13" t="inlineStr">
        <is>
          <t>Organofosforado</t>
        </is>
      </c>
      <c r="J600" s="13" t="inlineStr">
        <is>
          <t>IRAC Grupo 1B</t>
        </is>
      </c>
      <c r="K600" s="13" t="inlineStr">
        <is>
          <t>Inibidores da acetilcolinesterase (AChE)</t>
        </is>
      </c>
      <c r="L600" s="15" t="n">
        <v>480</v>
      </c>
      <c r="M600" s="13" t="inlineStr">
        <is>
          <t>g/L</t>
        </is>
      </c>
      <c r="N600" s="13" t="inlineStr">
        <is>
          <t>Registro Técnico Vinculado MAPA</t>
        </is>
      </c>
    </row>
    <row r="601" ht="22" customHeight="1">
      <c r="A601" s="6" t="inlineStr">
        <is>
          <t>CMP-0597</t>
        </is>
      </c>
      <c r="B601" s="5" t="n">
        <v>420</v>
      </c>
      <c r="C601" s="7" t="inlineStr">
        <is>
          <t>Nº 11819</t>
        </is>
      </c>
      <c r="D601" s="8" t="inlineStr">
        <is>
          <t>MANCOZEB 800 WP AGCN</t>
        </is>
      </c>
      <c r="E601" s="5" t="n">
        <v>1</v>
      </c>
      <c r="F601" s="7" t="inlineStr">
        <is>
          <t>Ingrediente Ativo Principal</t>
        </is>
      </c>
      <c r="G601" s="7" t="inlineStr">
        <is>
          <t>MANCOZEB 800</t>
        </is>
      </c>
      <c r="H601" s="7" t="inlineStr">
        <is>
          <t>Manganese ethylenebis(dithiocarbamate) (polymeric) complex with zinc salt</t>
        </is>
      </c>
      <c r="I601" s="7" t="inlineStr">
        <is>
          <t>Alquilenobis(ditiocarbamato)</t>
        </is>
      </c>
      <c r="J601" s="7" t="inlineStr">
        <is>
          <t>FRAC Grupo M03 — Multissítio</t>
        </is>
      </c>
      <c r="K601" s="7" t="inlineStr">
        <is>
          <t>Inibidor multissítio de enzimas contendo grupos sulfidrila e aminoácidos fúngicos</t>
        </is>
      </c>
      <c r="L601" s="9" t="n">
        <v>800</v>
      </c>
      <c r="M601" s="7" t="inlineStr">
        <is>
          <t>g/kg</t>
        </is>
      </c>
      <c r="N601" s="7" t="inlineStr">
        <is>
          <t>Registro Técnico Vinculado MAPA</t>
        </is>
      </c>
    </row>
    <row r="602" ht="22" customHeight="1">
      <c r="A602" s="12" t="inlineStr">
        <is>
          <t>CMP-0598</t>
        </is>
      </c>
      <c r="B602" s="11" t="n">
        <v>421</v>
      </c>
      <c r="C602" s="13" t="inlineStr">
        <is>
          <t>Nº 10210</t>
        </is>
      </c>
      <c r="D602" s="14" t="inlineStr">
        <is>
          <t>LAMBDA CIALOTRINA 250 EC</t>
        </is>
      </c>
      <c r="E602" s="11" t="n">
        <v>1</v>
      </c>
      <c r="F602" s="13" t="inlineStr">
        <is>
          <t>Ingrediente Ativo Principal</t>
        </is>
      </c>
      <c r="G602" s="13" t="inlineStr">
        <is>
          <t>LAMBDA-CIALOTRINA 250</t>
        </is>
      </c>
      <c r="H602" s="13" t="inlineStr">
        <is>
          <t>(R)-a-cyano-3-phenoxybenzyl (1S)-cis-3-[(Z)-2-chloro-3,3,3-trifluoropropenyl]-2,2-dimethylcyclopropanecarboxylate</t>
        </is>
      </c>
      <c r="I602" s="13" t="inlineStr">
        <is>
          <t>Piretroide (Tipo II)</t>
        </is>
      </c>
      <c r="J602" s="13" t="inlineStr">
        <is>
          <t>IRAC Grupo 3A</t>
        </is>
      </c>
      <c r="K602" s="13" t="inlineStr">
        <is>
          <t>Moduladores de canais de sódio em axônios nervosos</t>
        </is>
      </c>
      <c r="L602" s="15" t="n">
        <v>250</v>
      </c>
      <c r="M602" s="13" t="inlineStr">
        <is>
          <t>g/L</t>
        </is>
      </c>
      <c r="N602" s="13" t="inlineStr">
        <is>
          <t>Registro Técnico Vinculado MAPA</t>
        </is>
      </c>
    </row>
    <row r="603" ht="22" customHeight="1">
      <c r="A603" s="6" t="inlineStr">
        <is>
          <t>CMP-0599</t>
        </is>
      </c>
      <c r="B603" s="5" t="n">
        <v>422</v>
      </c>
      <c r="C603" s="7" t="inlineStr">
        <is>
          <t>Nº 1923</t>
        </is>
      </c>
      <c r="D603" s="8" t="inlineStr">
        <is>
          <t>PUPENO-CLOROTAL 580+CIPRO 12,8+TRIFLOXI 30 (P.A)</t>
        </is>
      </c>
      <c r="E603" s="5" t="n">
        <v>1</v>
      </c>
      <c r="F603" s="7" t="inlineStr">
        <is>
          <t>Ingrediente Ativo Principal</t>
        </is>
      </c>
      <c r="G603" s="7" t="inlineStr">
        <is>
          <t>CLOROTALONIL</t>
        </is>
      </c>
      <c r="H603" s="7" t="inlineStr">
        <is>
          <t>Tetrachloroisophthalonitrile</t>
        </is>
      </c>
      <c r="I603" s="7" t="inlineStr">
        <is>
          <t>Isoftalonitrila</t>
        </is>
      </c>
      <c r="J603" s="7" t="inlineStr">
        <is>
          <t>FRAC Grupo M05 — Multissítio</t>
        </is>
      </c>
      <c r="K603" s="7" t="inlineStr">
        <is>
          <t>Atividade de contato multissítio (inativação de grupos tiol enzimáticos)</t>
        </is>
      </c>
      <c r="L603" s="9" t="n">
        <v>580</v>
      </c>
      <c r="M603" s="7" t="inlineStr">
        <is>
          <t>g/L</t>
        </is>
      </c>
      <c r="N603" s="7" t="inlineStr">
        <is>
          <t>Clorotalonil Técnico Globachem</t>
        </is>
      </c>
    </row>
    <row r="604" ht="22" customHeight="1">
      <c r="A604" s="12" t="inlineStr">
        <is>
          <t>CMP-0600</t>
        </is>
      </c>
      <c r="B604" s="11" t="n">
        <v>422</v>
      </c>
      <c r="C604" s="13" t="inlineStr">
        <is>
          <t>Nº 1923</t>
        </is>
      </c>
      <c r="D604" s="14" t="inlineStr">
        <is>
          <t>PUPENO-CLOROTAL 580+CIPRO 12,8+TRIFLOXI 30 (P.A)</t>
        </is>
      </c>
      <c r="E604" s="11" t="n">
        <v>2</v>
      </c>
      <c r="F604" s="13" t="inlineStr">
        <is>
          <t>Ingrediente Ativo Principal</t>
        </is>
      </c>
      <c r="G604" s="13" t="inlineStr">
        <is>
          <t>TRIFLOXISTROBINA</t>
        </is>
      </c>
      <c r="H604" s="13" t="inlineStr">
        <is>
          <t>Methyl (E)-methoxyimino-{(E)-alpha-[1-(alpha,alpha,alpha-trifluoro-m-tolyl)ethylideneaminooxy]-o-tolyl}acetate</t>
        </is>
      </c>
      <c r="I604" s="13" t="inlineStr">
        <is>
          <t>Estrobilurina (Oximinoacetato)</t>
        </is>
      </c>
      <c r="J604" s="13" t="inlineStr">
        <is>
          <t>FRAC Grupo 11 (C3 — QoI)</t>
        </is>
      </c>
      <c r="K604" s="13" t="inlineStr">
        <is>
          <t>Inibidores da respiração mitocondrial no Complexo III (sítio Qo)</t>
        </is>
      </c>
      <c r="L604" s="15" t="n">
        <v>30</v>
      </c>
      <c r="M604" s="13" t="inlineStr">
        <is>
          <t>g/L</t>
        </is>
      </c>
      <c r="N604" s="13" t="inlineStr">
        <is>
          <t>Trifloxystrobin Técnico Globachem</t>
        </is>
      </c>
    </row>
    <row r="605" ht="22" customHeight="1">
      <c r="A605" s="6" t="inlineStr">
        <is>
          <t>CMP-0601</t>
        </is>
      </c>
      <c r="B605" s="5" t="n">
        <v>422</v>
      </c>
      <c r="C605" s="7" t="inlineStr">
        <is>
          <t>Nº 1923</t>
        </is>
      </c>
      <c r="D605" s="8" t="inlineStr">
        <is>
          <t>PUPENO-CLOROTAL 580+CIPRO 12,8+TRIFLOXI 30 (P.A)</t>
        </is>
      </c>
      <c r="E605" s="5" t="n">
        <v>3</v>
      </c>
      <c r="F605" s="7" t="inlineStr">
        <is>
          <t>Ingrediente Ativo Principal</t>
        </is>
      </c>
      <c r="G605" s="7" t="inlineStr">
        <is>
          <t>CIPROCONAZOL</t>
        </is>
      </c>
      <c r="H605" s="7" t="inlineStr">
        <is>
          <t>(2RS,3RS;2RS,3SR)-2-(4-chlorophenyl)-3-cyclopropyl-1-(1H-1,2,4-triazol-1-yl)butan-2-ol</t>
        </is>
      </c>
      <c r="I605" s="7" t="inlineStr">
        <is>
          <t>Triazol</t>
        </is>
      </c>
      <c r="J605" s="7" t="inlineStr">
        <is>
          <t>FRAC Grupo 3 (G1 — DMI)</t>
        </is>
      </c>
      <c r="K605" s="7" t="inlineStr">
        <is>
          <t>Inibidores da desmetilação do C14 na biossíntese do ergosterol</t>
        </is>
      </c>
      <c r="L605" s="17" t="n">
        <v>12.8</v>
      </c>
      <c r="M605" s="7" t="inlineStr">
        <is>
          <t>g/L</t>
        </is>
      </c>
      <c r="N605" s="7" t="inlineStr">
        <is>
          <t>Cyproconazole Técnico Globachem</t>
        </is>
      </c>
    </row>
    <row r="606" ht="22" customHeight="1">
      <c r="A606" s="12" t="inlineStr">
        <is>
          <t>CMP-0602</t>
        </is>
      </c>
      <c r="B606" s="11" t="n">
        <v>423</v>
      </c>
      <c r="C606" s="13" t="inlineStr">
        <is>
          <t>Nº 1923</t>
        </is>
      </c>
      <c r="D606" s="14" t="inlineStr">
        <is>
          <t>PARACHUTE-CLOROTAL 580+DIFENO 30+TRIFLOXI 24 (P.A)</t>
        </is>
      </c>
      <c r="E606" s="11" t="n">
        <v>1</v>
      </c>
      <c r="F606" s="13" t="inlineStr">
        <is>
          <t>Ingrediente Ativo Principal</t>
        </is>
      </c>
      <c r="G606" s="13" t="inlineStr">
        <is>
          <t>CLOROTALONIL 580</t>
        </is>
      </c>
      <c r="H606" s="13" t="inlineStr">
        <is>
          <t>Tetrachloroisophthalonitrile</t>
        </is>
      </c>
      <c r="I606" s="13" t="inlineStr">
        <is>
          <t>Isoftalonitrila</t>
        </is>
      </c>
      <c r="J606" s="13" t="inlineStr">
        <is>
          <t>FRAC Grupo M05 — Multissítio</t>
        </is>
      </c>
      <c r="K606" s="13" t="inlineStr">
        <is>
          <t>Atividade de contato multissítio (inativação de grupos tiol enzimáticos)</t>
        </is>
      </c>
      <c r="L606" s="15" t="n">
        <v>580</v>
      </c>
      <c r="M606" s="13" t="inlineStr">
        <is>
          <t>g/L</t>
        </is>
      </c>
      <c r="N606" s="13" t="inlineStr">
        <is>
          <t>Produto Técnico Próprio</t>
        </is>
      </c>
    </row>
    <row r="607" ht="22" customHeight="1">
      <c r="A607" s="6" t="inlineStr">
        <is>
          <t>CMP-0603</t>
        </is>
      </c>
      <c r="B607" s="5" t="n">
        <v>423</v>
      </c>
      <c r="C607" s="7" t="inlineStr">
        <is>
          <t>Nº 1923</t>
        </is>
      </c>
      <c r="D607" s="8" t="inlineStr">
        <is>
          <t>PARACHUTE-CLOROTAL 580+DIFENO 30+TRIFLOXI 24 (P.A)</t>
        </is>
      </c>
      <c r="E607" s="5" t="n">
        <v>2</v>
      </c>
      <c r="F607" s="7" t="inlineStr">
        <is>
          <t>Ingrediente Ativo Principal</t>
        </is>
      </c>
      <c r="G607" s="7" t="inlineStr">
        <is>
          <t>DIFENOCONAZOL 30</t>
        </is>
      </c>
      <c r="H607" s="7" t="inlineStr">
        <is>
          <t>cis,trans-3-chloro-4-[4-methyl-2-(1H-1,2,4-triazol-1-ylmethyl)-1,3-dioxolan-2-yl]phenyl 4-chlorophenyl ether</t>
        </is>
      </c>
      <c r="I607" s="7" t="inlineStr">
        <is>
          <t>Triazol</t>
        </is>
      </c>
      <c r="J607" s="7" t="inlineStr">
        <is>
          <t>FRAC Grupo 3 (DMI)</t>
        </is>
      </c>
      <c r="K607" s="7" t="inlineStr">
        <is>
          <t>Inibidores da desmetilação de esteróis (C14-desmetilase na síntese de ergosterol)</t>
        </is>
      </c>
      <c r="L607" s="9" t="n">
        <v>30</v>
      </c>
      <c r="M607" s="7" t="inlineStr">
        <is>
          <t>g/L</t>
        </is>
      </c>
      <c r="N607" s="7" t="inlineStr">
        <is>
          <t>Produto Técnico Próprio</t>
        </is>
      </c>
    </row>
    <row r="608" ht="22" customHeight="1">
      <c r="A608" s="12" t="inlineStr">
        <is>
          <t>CMP-0604</t>
        </is>
      </c>
      <c r="B608" s="11" t="n">
        <v>423</v>
      </c>
      <c r="C608" s="13" t="inlineStr">
        <is>
          <t>Nº 1923</t>
        </is>
      </c>
      <c r="D608" s="14" t="inlineStr">
        <is>
          <t>PARACHUTE-CLOROTAL 580+DIFENO 30+TRIFLOXI 24 (P.A)</t>
        </is>
      </c>
      <c r="E608" s="11" t="n">
        <v>3</v>
      </c>
      <c r="F608" s="13" t="inlineStr">
        <is>
          <t>Ingrediente Ativo Principal</t>
        </is>
      </c>
      <c r="G608" s="13" t="inlineStr">
        <is>
          <t>TRIFLOXISTROBINA 24</t>
        </is>
      </c>
      <c r="H608" s="13" t="inlineStr">
        <is>
          <t>Methyl (E)-methoxyimino-{(E)-a-[1-(a,a,a-trifluoro-m-tolyl)ethylideneaminooxy]-o-tolyl}acetate</t>
        </is>
      </c>
      <c r="I608" s="13" t="inlineStr">
        <is>
          <t>Estrobilurina (Oximinoacetato)</t>
        </is>
      </c>
      <c r="J608" s="13" t="inlineStr">
        <is>
          <t>FRAC Grupo 11 (QoI)</t>
        </is>
      </c>
      <c r="K608" s="13" t="inlineStr">
        <is>
          <t>Inibidores da respiração mitocondrial no complexo III (sítio Qo)</t>
        </is>
      </c>
      <c r="L608" s="15" t="n">
        <v>24</v>
      </c>
      <c r="M608" s="13" t="inlineStr">
        <is>
          <t>g/L</t>
        </is>
      </c>
      <c r="N608" s="13" t="inlineStr">
        <is>
          <t>Produto Técnico Próprio</t>
        </is>
      </c>
    </row>
    <row r="609" ht="22" customHeight="1">
      <c r="A609" s="6" t="inlineStr">
        <is>
          <t>CMP-0605</t>
        </is>
      </c>
      <c r="B609" s="5" t="n">
        <v>424</v>
      </c>
      <c r="C609" s="7" t="inlineStr">
        <is>
          <t>Nº 31422</t>
        </is>
      </c>
      <c r="D609" s="8" t="inlineStr">
        <is>
          <t>ZARPAL</t>
        </is>
      </c>
      <c r="E609" s="5" t="n">
        <v>1</v>
      </c>
      <c r="F609" s="7" t="inlineStr">
        <is>
          <t>Ingrediente Ativo Principal</t>
        </is>
      </c>
      <c r="G609" s="7" t="inlineStr">
        <is>
          <t>LUFENUROM</t>
        </is>
      </c>
      <c r="H609" s="7" t="inlineStr">
        <is>
          <t>(RS)-1-[2,5-dichloro-4-(1,1,2,3,3,3-hexafluoropropoxy)phenyl]-3-(2,6-difluorobenzoyl)urea</t>
        </is>
      </c>
      <c r="I609" s="7" t="inlineStr">
        <is>
          <t>Benzoilureia</t>
        </is>
      </c>
      <c r="J609" s="7" t="inlineStr">
        <is>
          <t>IRAC Grupo 15</t>
        </is>
      </c>
      <c r="K609" s="7" t="inlineStr">
        <is>
          <t>Inibidores da biossíntese de quitina, Tipo 0</t>
        </is>
      </c>
      <c r="L609" s="9" t="n">
        <v>140</v>
      </c>
      <c r="M609" s="7" t="inlineStr">
        <is>
          <t>g/L</t>
        </is>
      </c>
      <c r="N609" s="7" t="inlineStr">
        <is>
          <t>Lufenuron Técnico Globachem Vinculado MAPA</t>
        </is>
      </c>
    </row>
    <row r="610" ht="22" customHeight="1">
      <c r="A610" s="12" t="inlineStr">
        <is>
          <t>CMP-0606</t>
        </is>
      </c>
      <c r="B610" s="11" t="n">
        <v>424</v>
      </c>
      <c r="C610" s="13" t="inlineStr">
        <is>
          <t>Nº 31422</t>
        </is>
      </c>
      <c r="D610" s="14" t="inlineStr">
        <is>
          <t>ZARPAL</t>
        </is>
      </c>
      <c r="E610" s="11" t="n">
        <v>2</v>
      </c>
      <c r="F610" s="13" t="inlineStr">
        <is>
          <t>Ingrediente Ativo Principal</t>
        </is>
      </c>
      <c r="G610" s="13" t="inlineStr">
        <is>
          <t>BIFENTRINA</t>
        </is>
      </c>
      <c r="H610" s="13" t="inlineStr">
        <is>
          <t>2-methylbiphenyl-3-ylmethyl (Z)-(1RS,3RS)-3-(2-chloro-3,3,3-trifluoroprop-1-enyl)-2,2-dimethylcyclopropanecarboxylate</t>
        </is>
      </c>
      <c r="I610" s="13" t="inlineStr">
        <is>
          <t>Piretroide (Tipo I)</t>
        </is>
      </c>
      <c r="J610" s="13" t="inlineStr">
        <is>
          <t>IRAC Grupo 3A</t>
        </is>
      </c>
      <c r="K610" s="13" t="inlineStr">
        <is>
          <t>Moduladores de canais de sódio em membranas nervosas</t>
        </is>
      </c>
      <c r="L610" s="15" t="n">
        <v>120</v>
      </c>
      <c r="M610" s="13" t="inlineStr">
        <is>
          <t>g/L</t>
        </is>
      </c>
      <c r="N610" s="13" t="inlineStr">
        <is>
          <t>Bifentrina Técnico Globachem Vinculado MAPA</t>
        </is>
      </c>
    </row>
    <row r="611" ht="22" customHeight="1">
      <c r="A611" s="6" t="inlineStr">
        <is>
          <t>CMP-0607</t>
        </is>
      </c>
      <c r="B611" s="5" t="n">
        <v>425</v>
      </c>
      <c r="C611" s="7" t="inlineStr">
        <is>
          <t>Nº 3307</t>
        </is>
      </c>
      <c r="D611" s="8" t="inlineStr">
        <is>
          <t>BIFENTRINA 400 EC</t>
        </is>
      </c>
      <c r="E611" s="5" t="n">
        <v>1</v>
      </c>
      <c r="F611" s="7" t="inlineStr">
        <is>
          <t>Ingrediente Ativo Principal</t>
        </is>
      </c>
      <c r="G611" s="7" t="inlineStr">
        <is>
          <t>BIFENTRINA 400</t>
        </is>
      </c>
      <c r="H611" s="7" t="inlineStr">
        <is>
          <t>2-methylbiphenyl-3-ylmethyl (Z)-(1RS,3RS)-3-(2-chloro-3,3,3-trifluoroprop-1-enyl)-2,2-dimethylcyclopropanecarboxylate</t>
        </is>
      </c>
      <c r="I611" s="7" t="inlineStr">
        <is>
          <t>Piretroide (Tipo I)</t>
        </is>
      </c>
      <c r="J611" s="7" t="inlineStr">
        <is>
          <t>IRAC Grupo 3A</t>
        </is>
      </c>
      <c r="K611" s="7" t="inlineStr">
        <is>
          <t>Moduladores de canais de sódio em membranas nervosas</t>
        </is>
      </c>
      <c r="L611" s="9" t="n">
        <v>400</v>
      </c>
      <c r="M611" s="7" t="inlineStr">
        <is>
          <t>g/L</t>
        </is>
      </c>
      <c r="N611" s="7" t="inlineStr">
        <is>
          <t>Registro Técnico Vinculado MAPA</t>
        </is>
      </c>
    </row>
    <row r="612" ht="22" customHeight="1">
      <c r="A612" s="12" t="inlineStr">
        <is>
          <t>CMP-0608</t>
        </is>
      </c>
      <c r="B612" s="11" t="n">
        <v>426</v>
      </c>
      <c r="C612" s="13" t="inlineStr">
        <is>
          <t>Nº 36822</t>
        </is>
      </c>
      <c r="D612" s="14" t="inlineStr">
        <is>
          <t>CLORPIRIFOS 48 EC AGCN</t>
        </is>
      </c>
      <c r="E612" s="11" t="n">
        <v>1</v>
      </c>
      <c r="F612" s="13" t="inlineStr">
        <is>
          <t>Ingrediente Ativo Principal</t>
        </is>
      </c>
      <c r="G612" s="13" t="inlineStr">
        <is>
          <t>CLORPIRIFOS 480</t>
        </is>
      </c>
      <c r="H612" s="13" t="inlineStr">
        <is>
          <t>O,O-diethyl O-3,5,6-trichloro-2-pyridyl phosphorothioate</t>
        </is>
      </c>
      <c r="I612" s="13" t="inlineStr">
        <is>
          <t>Organofosforado</t>
        </is>
      </c>
      <c r="J612" s="13" t="inlineStr">
        <is>
          <t>IRAC Grupo 1B</t>
        </is>
      </c>
      <c r="K612" s="13" t="inlineStr">
        <is>
          <t>Inibidores da acetilcolinesterase (AChE)</t>
        </is>
      </c>
      <c r="L612" s="15" t="n">
        <v>480</v>
      </c>
      <c r="M612" s="13" t="inlineStr">
        <is>
          <t>g/L</t>
        </is>
      </c>
      <c r="N612" s="13" t="inlineStr">
        <is>
          <t>Registro Técnico Vinculado MAPA</t>
        </is>
      </c>
    </row>
    <row r="613" ht="22" customHeight="1">
      <c r="A613" s="6" t="inlineStr">
        <is>
          <t>CMP-0609</t>
        </is>
      </c>
      <c r="B613" s="5" t="n">
        <v>427</v>
      </c>
      <c r="C613" s="7" t="inlineStr">
        <is>
          <t>Nº 27717</t>
        </is>
      </c>
      <c r="D613" s="8" t="inlineStr">
        <is>
          <t>FIPRONIL 800 WG AGCN</t>
        </is>
      </c>
      <c r="E613" s="5" t="n">
        <v>1</v>
      </c>
      <c r="F613" s="7" t="inlineStr">
        <is>
          <t>Ingrediente Ativo Principal</t>
        </is>
      </c>
      <c r="G613" s="7" t="inlineStr">
        <is>
          <t>FIPRONIL 800</t>
        </is>
      </c>
      <c r="H613" s="7" t="inlineStr">
        <is>
          <t>(RS)-5-amino-1-(2,6-dichloro-a,a,a-trifluoro-p-tolyl)-4-trifluoromethylsulfinylpyrazole-3-carbonitrile</t>
        </is>
      </c>
      <c r="I613" s="7" t="inlineStr">
        <is>
          <t>Pirazol (Fenilpirazol)</t>
        </is>
      </c>
      <c r="J613" s="7" t="inlineStr">
        <is>
          <t>IRAC Grupo 2B</t>
        </is>
      </c>
      <c r="K613" s="7" t="inlineStr">
        <is>
          <t>Bloqueadores de canais de cloro mediados pelo GABA</t>
        </is>
      </c>
      <c r="L613" s="9" t="n">
        <v>800</v>
      </c>
      <c r="M613" s="7" t="inlineStr">
        <is>
          <t>g/kg</t>
        </is>
      </c>
      <c r="N613" s="7" t="inlineStr">
        <is>
          <t>Registro Técnico Vinculado MAPA</t>
        </is>
      </c>
    </row>
    <row r="614" ht="22" customHeight="1">
      <c r="A614" s="12" t="inlineStr">
        <is>
          <t>CMP-0610</t>
        </is>
      </c>
      <c r="B614" s="11" t="n">
        <v>428</v>
      </c>
      <c r="C614" s="13" t="inlineStr">
        <is>
          <t>Nº 24824</t>
        </is>
      </c>
      <c r="D614" s="14" t="inlineStr">
        <is>
          <t>CARFENTRAZONE 400 EC</t>
        </is>
      </c>
      <c r="E614" s="11" t="n">
        <v>1</v>
      </c>
      <c r="F614" s="13" t="inlineStr">
        <is>
          <t>Ingrediente Ativo Principal</t>
        </is>
      </c>
      <c r="G614" s="13" t="inlineStr">
        <is>
          <t>CARFENTRAZONA ETILICA 400</t>
        </is>
      </c>
      <c r="H614" s="13" t="inlineStr">
        <is>
          <t>Ethyl (RS)-2-chloro-3-[2-chloro-5-[4-(difluoromethyl)-4,5-dihydro-3-methyl-5-oxo-1H-1,2,4-triazol-1-yl]-4-fluorophenyl]propionate</t>
        </is>
      </c>
      <c r="I614" s="13" t="inlineStr">
        <is>
          <t>Triazolinona</t>
        </is>
      </c>
      <c r="J614" s="13" t="inlineStr">
        <is>
          <t>HRAC Grupo E (14) — Inibidores da PROTOX</t>
        </is>
      </c>
      <c r="K614" s="13" t="inlineStr">
        <is>
          <t>Inibidores da enzima protoporfirinogênio oxidase (PROTOX)</t>
        </is>
      </c>
      <c r="L614" s="15" t="n">
        <v>400</v>
      </c>
      <c r="M614" s="13" t="inlineStr">
        <is>
          <t>g/L</t>
        </is>
      </c>
      <c r="N614" s="13" t="inlineStr">
        <is>
          <t>Registro Técnico Vinculado MAPA</t>
        </is>
      </c>
    </row>
    <row r="615" ht="22" customHeight="1">
      <c r="A615" s="6" t="inlineStr">
        <is>
          <t>CMP-0611</t>
        </is>
      </c>
      <c r="B615" s="5" t="n">
        <v>429</v>
      </c>
      <c r="C615" s="7" t="inlineStr">
        <is>
          <t>Nº 24824</t>
        </is>
      </c>
      <c r="D615" s="8" t="inlineStr">
        <is>
          <t>CARFENTRAZONE 400 EC1X20L (VALIDAR)</t>
        </is>
      </c>
      <c r="E615" s="5" t="n">
        <v>1</v>
      </c>
      <c r="F615" s="7" t="inlineStr">
        <is>
          <t>Ingrediente Ativo Principal</t>
        </is>
      </c>
      <c r="G615" s="7" t="inlineStr">
        <is>
          <t>CARFENTRAZONA ETILICA 400</t>
        </is>
      </c>
      <c r="H615" s="7" t="inlineStr">
        <is>
          <t>Ethyl (RS)-2-chloro-3-[2-chloro-5-[4-(difluoromethyl)-4,5-dihydro-3-methyl-5-oxo-1H-1,2,4-triazol-1-yl]-4-fluorophenyl]propionate</t>
        </is>
      </c>
      <c r="I615" s="7" t="inlineStr">
        <is>
          <t>Triazolinona</t>
        </is>
      </c>
      <c r="J615" s="7" t="inlineStr">
        <is>
          <t>HRAC Grupo E (14) — Inibidores da PROTOX</t>
        </is>
      </c>
      <c r="K615" s="7" t="inlineStr">
        <is>
          <t>Inibidores da enzima protoporfirinogênio oxidase (PROTOX)</t>
        </is>
      </c>
      <c r="L615" s="9" t="n">
        <v>400</v>
      </c>
      <c r="M615" s="7" t="inlineStr">
        <is>
          <t>g/L</t>
        </is>
      </c>
      <c r="N615" s="7" t="inlineStr">
        <is>
          <t>Registro Técnico Vinculado MAPA</t>
        </is>
      </c>
    </row>
    <row r="616" ht="22" customHeight="1">
      <c r="A616" s="12" t="inlineStr">
        <is>
          <t>CMP-0612</t>
        </is>
      </c>
      <c r="B616" s="11" t="n">
        <v>430</v>
      </c>
      <c r="C616" s="13" t="inlineStr">
        <is>
          <t>Nº 16607</t>
        </is>
      </c>
      <c r="D616" s="14" t="inlineStr">
        <is>
          <t>CAMPEON</t>
        </is>
      </c>
      <c r="E616" s="11" t="n">
        <v>1</v>
      </c>
      <c r="F616" s="13" t="inlineStr">
        <is>
          <t>Ingrediente Ativo Principal</t>
        </is>
      </c>
      <c r="G616" s="13" t="inlineStr">
        <is>
          <t>2,4-D SAL DIMETILAMINA 806 g/L (Equiv. 670 g/L 2,4-D Ácido)</t>
        </is>
      </c>
      <c r="H616" s="13" t="inlineStr">
        <is>
          <t>(2,4-dichlorophenoxy)acetic acid (Sal Dimetilamina)</t>
        </is>
      </c>
      <c r="I616" s="13" t="inlineStr">
        <is>
          <t>Ácido ariloxialcanoico</t>
        </is>
      </c>
      <c r="J616" s="13" t="inlineStr">
        <is>
          <t>HRAC Grupo O (4) — Auxinas Sintéticas</t>
        </is>
      </c>
      <c r="K616" s="13" t="inlineStr">
        <is>
          <t>Mimetizadores da auxina (ácido indolacético - AIA)</t>
        </is>
      </c>
      <c r="L616" s="15" t="n">
        <v>806</v>
      </c>
      <c r="M616" s="13" t="inlineStr">
        <is>
          <t>g/L</t>
        </is>
      </c>
      <c r="N616" s="13" t="inlineStr">
        <is>
          <t>Registro Técnico Vinculado MAPA</t>
        </is>
      </c>
    </row>
    <row r="617" ht="22" customHeight="1">
      <c r="A617" s="6" t="inlineStr">
        <is>
          <t>CMP-0613</t>
        </is>
      </c>
      <c r="B617" s="5" t="n">
        <v>431</v>
      </c>
      <c r="C617" s="7" t="inlineStr">
        <is>
          <t>Nº 1923</t>
        </is>
      </c>
      <c r="D617" s="8" t="inlineStr">
        <is>
          <t>PARACHUTE</t>
        </is>
      </c>
      <c r="E617" s="5" t="n">
        <v>1</v>
      </c>
      <c r="F617" s="7" t="inlineStr">
        <is>
          <t>Ingrediente Ativo Principal</t>
        </is>
      </c>
      <c r="G617" s="7" t="inlineStr">
        <is>
          <t>CLOROTALONIL 580</t>
        </is>
      </c>
      <c r="H617" s="7" t="inlineStr">
        <is>
          <t>Tetrachloroisophthalonitrile</t>
        </is>
      </c>
      <c r="I617" s="7" t="inlineStr">
        <is>
          <t>Isoftalonitrila</t>
        </is>
      </c>
      <c r="J617" s="7" t="inlineStr">
        <is>
          <t>FRAC Grupo M05 — Multissítio</t>
        </is>
      </c>
      <c r="K617" s="7" t="inlineStr">
        <is>
          <t>Atividade de contato multissítio (inativação de grupos tiol enzimáticos)</t>
        </is>
      </c>
      <c r="L617" s="9" t="n">
        <v>580</v>
      </c>
      <c r="M617" s="7" t="inlineStr">
        <is>
          <t>g/L</t>
        </is>
      </c>
      <c r="N617" s="7" t="inlineStr">
        <is>
          <t>Registro Técnico Vinculado MAPA</t>
        </is>
      </c>
    </row>
    <row r="618" ht="22" customHeight="1">
      <c r="A618" s="12" t="inlineStr">
        <is>
          <t>CMP-0614</t>
        </is>
      </c>
      <c r="B618" s="11" t="n">
        <v>431</v>
      </c>
      <c r="C618" s="13" t="inlineStr">
        <is>
          <t>Nº 1923</t>
        </is>
      </c>
      <c r="D618" s="14" t="inlineStr">
        <is>
          <t>PARACHUTE</t>
        </is>
      </c>
      <c r="E618" s="11" t="n">
        <v>2</v>
      </c>
      <c r="F618" s="13" t="inlineStr">
        <is>
          <t>Ingrediente Ativo Principal</t>
        </is>
      </c>
      <c r="G618" s="13" t="inlineStr">
        <is>
          <t>DIFENOCONAZOL 30</t>
        </is>
      </c>
      <c r="H618" s="13" t="inlineStr">
        <is>
          <t>cis,trans-3-chloro-4-[4-methyl-2-(1H-1,2,4-triazol-1-ylmethyl)-1,3-dioxolan-2-yl]phenyl 4-chlorophenyl ether</t>
        </is>
      </c>
      <c r="I618" s="13" t="inlineStr">
        <is>
          <t>Triazol</t>
        </is>
      </c>
      <c r="J618" s="13" t="inlineStr">
        <is>
          <t>FRAC Grupo 3 (DMI)</t>
        </is>
      </c>
      <c r="K618" s="13" t="inlineStr">
        <is>
          <t>Inibidores da desmetilação de esteróis (C14-desmetilase na síntese de ergosterol)</t>
        </is>
      </c>
      <c r="L618" s="15" t="n">
        <v>30</v>
      </c>
      <c r="M618" s="13" t="inlineStr">
        <is>
          <t>g/L</t>
        </is>
      </c>
      <c r="N618" s="13" t="inlineStr">
        <is>
          <t>Registro Técnico Vinculado MAPA</t>
        </is>
      </c>
    </row>
    <row r="619" ht="22" customHeight="1">
      <c r="A619" s="6" t="inlineStr">
        <is>
          <t>CMP-0615</t>
        </is>
      </c>
      <c r="B619" s="5" t="n">
        <v>431</v>
      </c>
      <c r="C619" s="7" t="inlineStr">
        <is>
          <t>Nº 1923</t>
        </is>
      </c>
      <c r="D619" s="8" t="inlineStr">
        <is>
          <t>PARACHUTE</t>
        </is>
      </c>
      <c r="E619" s="5" t="n">
        <v>3</v>
      </c>
      <c r="F619" s="7" t="inlineStr">
        <is>
          <t>Ingrediente Ativo Principal</t>
        </is>
      </c>
      <c r="G619" s="7" t="inlineStr">
        <is>
          <t>TRIFLOXISTROBINA 24</t>
        </is>
      </c>
      <c r="H619" s="7" t="inlineStr">
        <is>
          <t>Methyl (E)-methoxyimino-{(E)-a-[1-(a,a,a-trifluoro-m-tolyl)ethylideneaminooxy]-o-tolyl}acetate</t>
        </is>
      </c>
      <c r="I619" s="7" t="inlineStr">
        <is>
          <t>Estrobilurina (Oximinoacetato)</t>
        </is>
      </c>
      <c r="J619" s="7" t="inlineStr">
        <is>
          <t>FRAC Grupo 11 (QoI)</t>
        </is>
      </c>
      <c r="K619" s="7" t="inlineStr">
        <is>
          <t>Inibidores da respiração mitocondrial no complexo III (sítio Qo)</t>
        </is>
      </c>
      <c r="L619" s="9" t="n">
        <v>24</v>
      </c>
      <c r="M619" s="7" t="inlineStr">
        <is>
          <t>g/L</t>
        </is>
      </c>
      <c r="N619" s="7" t="inlineStr">
        <is>
          <t>Registro Técnico Vinculado MAPA</t>
        </is>
      </c>
    </row>
    <row r="620" ht="22" customHeight="1">
      <c r="A620" s="12" t="inlineStr">
        <is>
          <t>CMP-0616</t>
        </is>
      </c>
      <c r="B620" s="11" t="n">
        <v>432</v>
      </c>
      <c r="C620" s="13" t="inlineStr">
        <is>
          <t>Nº 1923</t>
        </is>
      </c>
      <c r="D620" s="14" t="inlineStr">
        <is>
          <t>PARACHUTE</t>
        </is>
      </c>
      <c r="E620" s="11" t="n">
        <v>1</v>
      </c>
      <c r="F620" s="13" t="inlineStr">
        <is>
          <t>Ingrediente Ativo Principal</t>
        </is>
      </c>
      <c r="G620" s="13" t="inlineStr">
        <is>
          <t>CLOROTALONIL 580</t>
        </is>
      </c>
      <c r="H620" s="13" t="inlineStr">
        <is>
          <t>Tetrachloroisophthalonitrile</t>
        </is>
      </c>
      <c r="I620" s="13" t="inlineStr">
        <is>
          <t>Isoftalonitrila</t>
        </is>
      </c>
      <c r="J620" s="13" t="inlineStr">
        <is>
          <t>FRAC Grupo M05 — Multissítio</t>
        </is>
      </c>
      <c r="K620" s="13" t="inlineStr">
        <is>
          <t>Atividade de contato multissítio (inativação de grupos tiol enzimáticos)</t>
        </is>
      </c>
      <c r="L620" s="15" t="n">
        <v>580</v>
      </c>
      <c r="M620" s="13" t="inlineStr">
        <is>
          <t>g/L</t>
        </is>
      </c>
      <c r="N620" s="13" t="inlineStr">
        <is>
          <t>Registro Técnico Vinculado MAPA</t>
        </is>
      </c>
    </row>
    <row r="621" ht="22" customHeight="1">
      <c r="A621" s="6" t="inlineStr">
        <is>
          <t>CMP-0617</t>
        </is>
      </c>
      <c r="B621" s="5" t="n">
        <v>432</v>
      </c>
      <c r="C621" s="7" t="inlineStr">
        <is>
          <t>Nº 1923</t>
        </is>
      </c>
      <c r="D621" s="8" t="inlineStr">
        <is>
          <t>PARACHUTE</t>
        </is>
      </c>
      <c r="E621" s="5" t="n">
        <v>2</v>
      </c>
      <c r="F621" s="7" t="inlineStr">
        <is>
          <t>Ingrediente Ativo Principal</t>
        </is>
      </c>
      <c r="G621" s="7" t="inlineStr">
        <is>
          <t>DIFENOCONAZOL 30</t>
        </is>
      </c>
      <c r="H621" s="7" t="inlineStr">
        <is>
          <t>cis,trans-3-chloro-4-[4-methyl-2-(1H-1,2,4-triazol-1-ylmethyl)-1,3-dioxolan-2-yl]phenyl 4-chlorophenyl ether</t>
        </is>
      </c>
      <c r="I621" s="7" t="inlineStr">
        <is>
          <t>Triazol</t>
        </is>
      </c>
      <c r="J621" s="7" t="inlineStr">
        <is>
          <t>FRAC Grupo 3 (DMI)</t>
        </is>
      </c>
      <c r="K621" s="7" t="inlineStr">
        <is>
          <t>Inibidores da desmetilação de esteróis (C14-desmetilase na síntese de ergosterol)</t>
        </is>
      </c>
      <c r="L621" s="9" t="n">
        <v>30</v>
      </c>
      <c r="M621" s="7" t="inlineStr">
        <is>
          <t>g/L</t>
        </is>
      </c>
      <c r="N621" s="7" t="inlineStr">
        <is>
          <t>Registro Técnico Vinculado MAPA</t>
        </is>
      </c>
    </row>
    <row r="622" ht="22" customHeight="1">
      <c r="A622" s="12" t="inlineStr">
        <is>
          <t>CMP-0618</t>
        </is>
      </c>
      <c r="B622" s="11" t="n">
        <v>432</v>
      </c>
      <c r="C622" s="13" t="inlineStr">
        <is>
          <t>Nº 1923</t>
        </is>
      </c>
      <c r="D622" s="14" t="inlineStr">
        <is>
          <t>PARACHUTE</t>
        </is>
      </c>
      <c r="E622" s="11" t="n">
        <v>3</v>
      </c>
      <c r="F622" s="13" t="inlineStr">
        <is>
          <t>Ingrediente Ativo Principal</t>
        </is>
      </c>
      <c r="G622" s="13" t="inlineStr">
        <is>
          <t>TRIFLOXISTROBINA 24</t>
        </is>
      </c>
      <c r="H622" s="13" t="inlineStr">
        <is>
          <t>Methyl (E)-methoxyimino-{(E)-a-[1-(a,a,a-trifluoro-m-tolyl)ethylideneaminooxy]-o-tolyl}acetate</t>
        </is>
      </c>
      <c r="I622" s="13" t="inlineStr">
        <is>
          <t>Estrobilurina (Oximinoacetato)</t>
        </is>
      </c>
      <c r="J622" s="13" t="inlineStr">
        <is>
          <t>FRAC Grupo 11 (QoI)</t>
        </is>
      </c>
      <c r="K622" s="13" t="inlineStr">
        <is>
          <t>Inibidores da respiração mitocondrial no complexo III (sítio Qo)</t>
        </is>
      </c>
      <c r="L622" s="15" t="n">
        <v>24</v>
      </c>
      <c r="M622" s="13" t="inlineStr">
        <is>
          <t>g/L</t>
        </is>
      </c>
      <c r="N622" s="13" t="inlineStr">
        <is>
          <t>Registro Técnico Vinculado MAPA</t>
        </is>
      </c>
    </row>
    <row r="623" ht="22" customHeight="1">
      <c r="A623" s="6" t="inlineStr">
        <is>
          <t>CMP-0619</t>
        </is>
      </c>
      <c r="B623" s="5" t="n">
        <v>433</v>
      </c>
      <c r="C623" s="7" t="inlineStr">
        <is>
          <t>Nº 15716</t>
        </is>
      </c>
      <c r="D623" s="8" t="inlineStr">
        <is>
          <t>DIFCOR 250 EC BR</t>
        </is>
      </c>
      <c r="E623" s="5" t="n">
        <v>1</v>
      </c>
      <c r="F623" s="7" t="inlineStr">
        <is>
          <t>Ingrediente Ativo Principal</t>
        </is>
      </c>
      <c r="G623" s="7" t="inlineStr">
        <is>
          <t>DIFENOCONAZOL 250</t>
        </is>
      </c>
      <c r="H623" s="7" t="inlineStr">
        <is>
          <t>cis,trans-3-chloro-4-[4-methyl-2-(1H-1,2,4-triazol-1-ylmethyl)-1,3-dioxolan-2-yl]phenyl 4-chlorophenyl ether</t>
        </is>
      </c>
      <c r="I623" s="7" t="inlineStr">
        <is>
          <t>Triazol</t>
        </is>
      </c>
      <c r="J623" s="7" t="inlineStr">
        <is>
          <t>FRAC Grupo 3 (DMI)</t>
        </is>
      </c>
      <c r="K623" s="7" t="inlineStr">
        <is>
          <t>Inibidores da desmetilação de esteróis (C14-desmetilase na síntese de ergosterol)</t>
        </is>
      </c>
      <c r="L623" s="9" t="n">
        <v>250</v>
      </c>
      <c r="M623" s="7" t="inlineStr">
        <is>
          <t>g/L</t>
        </is>
      </c>
      <c r="N623" s="7" t="inlineStr">
        <is>
          <t>Registro Técnico Vinculado MAPA</t>
        </is>
      </c>
    </row>
    <row r="624" ht="22" customHeight="1">
      <c r="A624" s="12" t="inlineStr">
        <is>
          <t>CMP-0620</t>
        </is>
      </c>
      <c r="B624" s="11" t="n">
        <v>434</v>
      </c>
      <c r="C624" s="13" t="inlineStr">
        <is>
          <t>Nº 40624</t>
        </is>
      </c>
      <c r="D624" s="14" t="inlineStr">
        <is>
          <t>CHLORPYRIFOS 480 EC AGCN</t>
        </is>
      </c>
      <c r="E624" s="11" t="n">
        <v>1</v>
      </c>
      <c r="F624" s="13" t="inlineStr">
        <is>
          <t>Ingrediente Ativo Principal</t>
        </is>
      </c>
      <c r="G624" s="13" t="inlineStr">
        <is>
          <t>CLORPIRIFOS 480</t>
        </is>
      </c>
      <c r="H624" s="13" t="inlineStr">
        <is>
          <t>O,O-diethyl O-3,5,6-trichloro-2-pyridyl phosphorothioate</t>
        </is>
      </c>
      <c r="I624" s="13" t="inlineStr">
        <is>
          <t>Organofosforado</t>
        </is>
      </c>
      <c r="J624" s="13" t="inlineStr">
        <is>
          <t>IRAC Grupo 1B</t>
        </is>
      </c>
      <c r="K624" s="13" t="inlineStr">
        <is>
          <t>Inibidores da acetilcolinesterase (AChE)</t>
        </is>
      </c>
      <c r="L624" s="15" t="n">
        <v>480</v>
      </c>
      <c r="M624" s="13" t="inlineStr">
        <is>
          <t>g/L</t>
        </is>
      </c>
      <c r="N624" s="13" t="inlineStr">
        <is>
          <t>Registro Técnico Vinculado MAPA</t>
        </is>
      </c>
    </row>
    <row r="625" ht="22" customHeight="1">
      <c r="A625" s="6" t="inlineStr">
        <is>
          <t>CMP-0621</t>
        </is>
      </c>
      <c r="B625" s="5" t="n">
        <v>435</v>
      </c>
      <c r="C625" s="7" t="inlineStr">
        <is>
          <t>Nº 31422</t>
        </is>
      </c>
      <c r="D625" s="8" t="inlineStr">
        <is>
          <t>ZARPAL</t>
        </is>
      </c>
      <c r="E625" s="5" t="n">
        <v>1</v>
      </c>
      <c r="F625" s="7" t="inlineStr">
        <is>
          <t>Ingrediente Ativo Principal</t>
        </is>
      </c>
      <c r="G625" s="7" t="inlineStr">
        <is>
          <t>LUFENUROM</t>
        </is>
      </c>
      <c r="H625" s="7" t="inlineStr">
        <is>
          <t>(RS)-1-[2,5-dichloro-4-(1,1,2,3,3,3-hexafluoropropoxy)phenyl]-3-(2,6-difluorobenzoyl)urea</t>
        </is>
      </c>
      <c r="I625" s="7" t="inlineStr">
        <is>
          <t>Benzoilureia</t>
        </is>
      </c>
      <c r="J625" s="7" t="inlineStr">
        <is>
          <t>IRAC Grupo 15</t>
        </is>
      </c>
      <c r="K625" s="7" t="inlineStr">
        <is>
          <t>Inibidores da biossíntese de quitina, Tipo 0</t>
        </is>
      </c>
      <c r="L625" s="9" t="n">
        <v>140</v>
      </c>
      <c r="M625" s="7" t="inlineStr">
        <is>
          <t>g/L</t>
        </is>
      </c>
      <c r="N625" s="7" t="inlineStr">
        <is>
          <t>Lufenuron Técnico Globachem Vinculado MAPA</t>
        </is>
      </c>
    </row>
    <row r="626" ht="22" customHeight="1">
      <c r="A626" s="12" t="inlineStr">
        <is>
          <t>CMP-0622</t>
        </is>
      </c>
      <c r="B626" s="11" t="n">
        <v>435</v>
      </c>
      <c r="C626" s="13" t="inlineStr">
        <is>
          <t>Nº 31422</t>
        </is>
      </c>
      <c r="D626" s="14" t="inlineStr">
        <is>
          <t>ZARPAL</t>
        </is>
      </c>
      <c r="E626" s="11" t="n">
        <v>2</v>
      </c>
      <c r="F626" s="13" t="inlineStr">
        <is>
          <t>Ingrediente Ativo Principal</t>
        </is>
      </c>
      <c r="G626" s="13" t="inlineStr">
        <is>
          <t>BIFENTRINA</t>
        </is>
      </c>
      <c r="H626" s="13" t="inlineStr">
        <is>
          <t>2-methylbiphenyl-3-ylmethyl (Z)-(1RS,3RS)-3-(2-chloro-3,3,3-trifluoroprop-1-enyl)-2,2-dimethylcyclopropanecarboxylate</t>
        </is>
      </c>
      <c r="I626" s="13" t="inlineStr">
        <is>
          <t>Piretroide (Tipo I)</t>
        </is>
      </c>
      <c r="J626" s="13" t="inlineStr">
        <is>
          <t>IRAC Grupo 3A</t>
        </is>
      </c>
      <c r="K626" s="13" t="inlineStr">
        <is>
          <t>Moduladores de canais de sódio em membranas nervosas</t>
        </is>
      </c>
      <c r="L626" s="15" t="n">
        <v>120</v>
      </c>
      <c r="M626" s="13" t="inlineStr">
        <is>
          <t>g/L</t>
        </is>
      </c>
      <c r="N626" s="13" t="inlineStr">
        <is>
          <t>Bifentrina Técnico Globachem Vinculado MAPA</t>
        </is>
      </c>
    </row>
    <row r="627" ht="22" customHeight="1">
      <c r="A627" s="6" t="inlineStr">
        <is>
          <t>CMP-0623</t>
        </is>
      </c>
      <c r="B627" s="5" t="n">
        <v>436</v>
      </c>
      <c r="C627" s="7" t="inlineStr">
        <is>
          <t>Nº 39617</t>
        </is>
      </c>
      <c r="D627" s="8" t="inlineStr">
        <is>
          <t>SHYPER 250 EC</t>
        </is>
      </c>
      <c r="E627" s="5" t="n">
        <v>1</v>
      </c>
      <c r="F627" s="7" t="inlineStr">
        <is>
          <t>Ingrediente Ativo Principal</t>
        </is>
      </c>
      <c r="G627" s="7" t="inlineStr">
        <is>
          <t>CIPERMETRINA 250</t>
        </is>
      </c>
      <c r="H627" s="7" t="inlineStr">
        <is>
          <t>(RS)-alpha-cyano-3-phenoxybenzyl (1RS,3RS;1RS,3SR)-3-(2,2-dichlorovinyl)-2,2-dimethylcyclopropanecarboxylate</t>
        </is>
      </c>
      <c r="I627" s="7" t="inlineStr">
        <is>
          <t>Piretroide (Tipo II)</t>
        </is>
      </c>
      <c r="J627" s="7" t="inlineStr">
        <is>
          <t>IRAC Grupo 3A</t>
        </is>
      </c>
      <c r="K627" s="7" t="inlineStr">
        <is>
          <t>Moduladores de canais de sódio em membranas nervosas</t>
        </is>
      </c>
      <c r="L627" s="9" t="n">
        <v>250</v>
      </c>
      <c r="M627" s="7" t="inlineStr">
        <is>
          <t>g/L</t>
        </is>
      </c>
      <c r="N627" s="7" t="inlineStr">
        <is>
          <t>Registro Técnico Vinculado MAPA</t>
        </is>
      </c>
    </row>
    <row r="628" ht="22" customHeight="1">
      <c r="A628" s="12" t="inlineStr">
        <is>
          <t>CMP-0624</t>
        </is>
      </c>
      <c r="B628" s="11" t="n">
        <v>437</v>
      </c>
      <c r="C628" s="13" t="inlineStr">
        <is>
          <t>Nº 32821</t>
        </is>
      </c>
      <c r="D628" s="14" t="inlineStr">
        <is>
          <t>SIRTAKI 360 CS</t>
        </is>
      </c>
      <c r="E628" s="11" t="n">
        <v>1</v>
      </c>
      <c r="F628" s="13" t="inlineStr">
        <is>
          <t>Ingrediente Ativo Principal</t>
        </is>
      </c>
      <c r="G628" s="13" t="inlineStr">
        <is>
          <t>CLOMAZONA 360</t>
        </is>
      </c>
      <c r="H628" s="13" t="inlineStr">
        <is>
          <t>2-(2-chlorobenzyl)-4,4-dimethyl-1,2-oxazolidin-3-one</t>
        </is>
      </c>
      <c r="I628" s="13" t="inlineStr">
        <is>
          <t>Isoxazolidinona</t>
        </is>
      </c>
      <c r="J628" s="13" t="inlineStr">
        <is>
          <t>HRAC Grupo F4 (13) — Inibidores da DOXP sintase</t>
        </is>
      </c>
      <c r="K628" s="13" t="inlineStr">
        <is>
          <t>Inibidores da 1-deoxi-D-xilulose 5-fosfato sintase (biossíntese de plastoquinona/carotenoides)</t>
        </is>
      </c>
      <c r="L628" s="15" t="n">
        <v>360</v>
      </c>
      <c r="M628" s="13" t="inlineStr">
        <is>
          <t>g/L</t>
        </is>
      </c>
      <c r="N628" s="13" t="inlineStr">
        <is>
          <t>Registro Técnico Vinculado MAPA</t>
        </is>
      </c>
    </row>
    <row r="629" ht="22" customHeight="1">
      <c r="A629" s="6" t="inlineStr">
        <is>
          <t>CMP-0625</t>
        </is>
      </c>
      <c r="B629" s="5" t="n">
        <v>438</v>
      </c>
      <c r="C629" s="7" t="inlineStr">
        <is>
          <t>Nº 24218</t>
        </is>
      </c>
      <c r="D629" s="8" t="inlineStr">
        <is>
          <t>2,4-D 806 SL (PRINCIPIO ATIVO)</t>
        </is>
      </c>
      <c r="E629" s="5" t="n">
        <v>1</v>
      </c>
      <c r="F629" s="7" t="inlineStr">
        <is>
          <t>Ingrediente Ativo Principal</t>
        </is>
      </c>
      <c r="G629" s="7" t="inlineStr">
        <is>
          <t>2,4-D SAL DIMETILAMINA 806 g/L (Equiv. 670 g/L 2,4-D Ácido)</t>
        </is>
      </c>
      <c r="H629" s="7" t="inlineStr">
        <is>
          <t>(2,4-dichlorophenoxy)acetic acid (Sal Dimetilamina)</t>
        </is>
      </c>
      <c r="I629" s="7" t="inlineStr">
        <is>
          <t>Ácido ariloxialcanoico</t>
        </is>
      </c>
      <c r="J629" s="7" t="inlineStr">
        <is>
          <t>HRAC Grupo O (4) — Auxinas Sintéticas</t>
        </is>
      </c>
      <c r="K629" s="7" t="inlineStr">
        <is>
          <t>Mimetizadores da auxina (ácido indolacético - AIA)</t>
        </is>
      </c>
      <c r="L629" s="9" t="n">
        <v>806</v>
      </c>
      <c r="M629" s="7" t="inlineStr">
        <is>
          <t>g/L</t>
        </is>
      </c>
      <c r="N629" s="7" t="inlineStr">
        <is>
          <t>Produto Técnico Próprio</t>
        </is>
      </c>
    </row>
    <row r="630" ht="22" customHeight="1">
      <c r="A630" s="12" t="inlineStr">
        <is>
          <t>CMP-0626</t>
        </is>
      </c>
      <c r="B630" s="11" t="n">
        <v>439</v>
      </c>
      <c r="C630" s="13" t="inlineStr">
        <is>
          <t>Nº 12225</t>
        </is>
      </c>
      <c r="D630" s="14" t="inlineStr">
        <is>
          <t>IMPACTUS CS (PRINCIPIO ATIVO)</t>
        </is>
      </c>
      <c r="E630" s="11" t="n">
        <v>1</v>
      </c>
      <c r="F630" s="13" t="inlineStr">
        <is>
          <t>Ingrediente Ativo Principal</t>
        </is>
      </c>
      <c r="G630" s="13" t="inlineStr">
        <is>
          <t>LAMBDA-CIALOTRINA 250</t>
        </is>
      </c>
      <c r="H630" s="13" t="inlineStr">
        <is>
          <t>(R)-a-cyano-3-phenoxybenzyl (1S)-cis-3-[(Z)-2-chloro-3,3,3-trifluoropropenyl]-2,2-dimethylcyclopropanecarboxylate</t>
        </is>
      </c>
      <c r="I630" s="13" t="inlineStr">
        <is>
          <t>Piretroide (Tipo II)</t>
        </is>
      </c>
      <c r="J630" s="13" t="inlineStr">
        <is>
          <t>IRAC Grupo 3A</t>
        </is>
      </c>
      <c r="K630" s="13" t="inlineStr">
        <is>
          <t>Moduladores de canais de sódio em axônios nervosos</t>
        </is>
      </c>
      <c r="L630" s="15" t="n">
        <v>250</v>
      </c>
      <c r="M630" s="13" t="inlineStr">
        <is>
          <t>g/kg</t>
        </is>
      </c>
      <c r="N630" s="13" t="inlineStr">
        <is>
          <t>Produto Técnico Próprio</t>
        </is>
      </c>
    </row>
    <row r="631" ht="22" customHeight="1">
      <c r="A631" s="6" t="inlineStr">
        <is>
          <t>CMP-0627</t>
        </is>
      </c>
      <c r="B631" s="5" t="n">
        <v>440</v>
      </c>
      <c r="C631" s="7" t="inlineStr">
        <is>
          <t>Nº 28421</t>
        </is>
      </c>
      <c r="D631" s="8" t="inlineStr">
        <is>
          <t>CLORFENAPIR CCAB</t>
        </is>
      </c>
      <c r="E631" s="5" t="n">
        <v>1</v>
      </c>
      <c r="F631" s="7" t="inlineStr">
        <is>
          <t>Ingrediente Ativo Principal</t>
        </is>
      </c>
      <c r="G631" s="7" t="inlineStr">
        <is>
          <t>CLORFENAPIR 240</t>
        </is>
      </c>
      <c r="H631" s="7" t="inlineStr">
        <is>
          <t>4-bromo-2-(4-chlorophenyl)-1-ethoxymethyl-5-trifluoromethyl-1H-pyrrole-3-carbonitrile</t>
        </is>
      </c>
      <c r="I631" s="7" t="inlineStr">
        <is>
          <t>Análogo de pirazol (Arilpirrol)</t>
        </is>
      </c>
      <c r="J631" s="7" t="inlineStr">
        <is>
          <t>IRAC Grupo 13</t>
        </is>
      </c>
      <c r="K631" s="7" t="inlineStr">
        <is>
          <t>Desacopladores da fosforilação oxidativa via disrupção do gradiente de prótons</t>
        </is>
      </c>
      <c r="L631" s="9" t="n">
        <v>240</v>
      </c>
      <c r="M631" s="7" t="inlineStr">
        <is>
          <t>g/kg</t>
        </is>
      </c>
      <c r="N631" s="7" t="inlineStr">
        <is>
          <t>Produto Técnico Próprio</t>
        </is>
      </c>
    </row>
    <row r="632" ht="22" customHeight="1">
      <c r="A632" s="12" t="inlineStr">
        <is>
          <t>CMP-0628</t>
        </is>
      </c>
      <c r="B632" s="11" t="n">
        <v>441</v>
      </c>
      <c r="C632" s="13" t="inlineStr">
        <is>
          <t>Nº 26017</t>
        </is>
      </c>
      <c r="D632" s="14" t="inlineStr">
        <is>
          <t>MESOTRIONA PROVENTIS (PRINCIPIO ATIVO)</t>
        </is>
      </c>
      <c r="E632" s="11" t="n">
        <v>1</v>
      </c>
      <c r="F632" s="13" t="inlineStr">
        <is>
          <t>Ingrediente Ativo Principal</t>
        </is>
      </c>
      <c r="G632" s="13" t="inlineStr">
        <is>
          <t>MESOTRIONA 480</t>
        </is>
      </c>
      <c r="H632" s="13" t="inlineStr">
        <is>
          <t>2-(4-mesyl-2-nitrobenzoyl)cyclohexane-1,3-dione</t>
        </is>
      </c>
      <c r="I632" s="13" t="inlineStr">
        <is>
          <t>Tricetona</t>
        </is>
      </c>
      <c r="J632" s="13" t="inlineStr">
        <is>
          <t>HRAC Grupo F2 (27) — Inibidores da HPPD</t>
        </is>
      </c>
      <c r="K632" s="13" t="inlineStr">
        <is>
          <t>Inibidores da enzima 4-hidroxifenil-piruvato-dioxigenase (HPPD - biossíntese de carotenoides)</t>
        </is>
      </c>
      <c r="L632" s="15" t="n">
        <v>480</v>
      </c>
      <c r="M632" s="13" t="inlineStr">
        <is>
          <t>g/kg</t>
        </is>
      </c>
      <c r="N632" s="13" t="inlineStr">
        <is>
          <t>Produto Técnico Próprio</t>
        </is>
      </c>
    </row>
    <row r="633" ht="22" customHeight="1">
      <c r="A633" s="6" t="inlineStr">
        <is>
          <t>CMP-0629</t>
        </is>
      </c>
      <c r="B633" s="5" t="n">
        <v>442</v>
      </c>
      <c r="C633" s="7" t="inlineStr">
        <is>
          <t>Nº 1218</t>
        </is>
      </c>
      <c r="D633" s="8" t="inlineStr">
        <is>
          <t>ACETAMIPRID 200 (PRINCIPIO ATVO)</t>
        </is>
      </c>
      <c r="E633" s="5" t="n">
        <v>1</v>
      </c>
      <c r="F633" s="7" t="inlineStr">
        <is>
          <t>Ingrediente Ativo Principal</t>
        </is>
      </c>
      <c r="G633" s="7" t="inlineStr">
        <is>
          <t>ACETAMIPRID 200</t>
        </is>
      </c>
      <c r="H633" s="7" t="inlineStr">
        <is>
          <t>(E)-N1-[(6-chloro-3-pyridyl)methyl]-N2-cyano-N1-methylacetamidine</t>
        </is>
      </c>
      <c r="I633" s="7" t="inlineStr">
        <is>
          <t>Neonicotinoide</t>
        </is>
      </c>
      <c r="J633" s="7" t="inlineStr">
        <is>
          <t>IRAC Grupo 4A</t>
        </is>
      </c>
      <c r="K633" s="7" t="inlineStr">
        <is>
          <t>Moduladores competitivos de receptores nicotínicos da acetilcolina (nAChR)</t>
        </is>
      </c>
      <c r="L633" s="9" t="n">
        <v>200</v>
      </c>
      <c r="M633" s="7" t="inlineStr">
        <is>
          <t>g/kg</t>
        </is>
      </c>
      <c r="N633" s="7" t="inlineStr">
        <is>
          <t>Produto Técnico Próprio</t>
        </is>
      </c>
    </row>
    <row r="634" ht="22" customHeight="1">
      <c r="A634" s="12" t="inlineStr">
        <is>
          <t>CMP-0630</t>
        </is>
      </c>
      <c r="B634" s="11" t="n">
        <v>443</v>
      </c>
      <c r="C634" s="13" t="inlineStr">
        <is>
          <t>Nº 39617</t>
        </is>
      </c>
      <c r="D634" s="14" t="inlineStr">
        <is>
          <t>SHYPER 250 EC</t>
        </is>
      </c>
      <c r="E634" s="11" t="n">
        <v>1</v>
      </c>
      <c r="F634" s="13" t="inlineStr">
        <is>
          <t>Ingrediente Ativo Principal</t>
        </is>
      </c>
      <c r="G634" s="13" t="inlineStr">
        <is>
          <t>CIPERMETRINA 250</t>
        </is>
      </c>
      <c r="H634" s="13" t="inlineStr">
        <is>
          <t>(RS)-alpha-cyano-3-phenoxybenzyl (1RS,3RS;1RS,3SR)-3-(2,2-dichlorovinyl)-2,2-dimethylcyclopropanecarboxylate</t>
        </is>
      </c>
      <c r="I634" s="13" t="inlineStr">
        <is>
          <t>Piretroide (Tipo II)</t>
        </is>
      </c>
      <c r="J634" s="13" t="inlineStr">
        <is>
          <t>IRAC Grupo 3A</t>
        </is>
      </c>
      <c r="K634" s="13" t="inlineStr">
        <is>
          <t>Moduladores de canais de sódio em membranas nervosas</t>
        </is>
      </c>
      <c r="L634" s="15" t="n">
        <v>250</v>
      </c>
      <c r="M634" s="13" t="inlineStr">
        <is>
          <t>g/L</t>
        </is>
      </c>
      <c r="N634" s="13" t="inlineStr">
        <is>
          <t>Registro Técnico Vinculado MAPA</t>
        </is>
      </c>
    </row>
    <row r="635" ht="22" customHeight="1">
      <c r="A635" s="6" t="inlineStr">
        <is>
          <t>CMP-0631</t>
        </is>
      </c>
      <c r="B635" s="5" t="n">
        <v>444</v>
      </c>
      <c r="C635" s="7" t="inlineStr">
        <is>
          <t>Nº 1223</t>
        </is>
      </c>
      <c r="D635" s="8" t="inlineStr">
        <is>
          <t>FULLGUARD</t>
        </is>
      </c>
      <c r="E635" s="5" t="n">
        <v>1</v>
      </c>
      <c r="F635" s="7" t="inlineStr">
        <is>
          <t>Ingrediente Ativo Principal</t>
        </is>
      </c>
      <c r="G635" s="7" t="inlineStr">
        <is>
          <t>CARFENTRAZONA ETILICA 400</t>
        </is>
      </c>
      <c r="H635" s="7" t="inlineStr">
        <is>
          <t>Ethyl (RS)-2-chloro-3-[2-chloro-5-[4-(difluoromethyl)-4,5-dihydro-3-methyl-5-oxo-1H-1,2,4-triazol-1-yl]-4-fluorophenyl]propionate</t>
        </is>
      </c>
      <c r="I635" s="7" t="inlineStr">
        <is>
          <t>Triazolinona</t>
        </is>
      </c>
      <c r="J635" s="7" t="inlineStr">
        <is>
          <t>HRAC Grupo E (14) — Inibidores da PROTOX</t>
        </is>
      </c>
      <c r="K635" s="7" t="inlineStr">
        <is>
          <t>Inibidores da enzima protoporfirinogênio oxidase (PROTOX)</t>
        </is>
      </c>
      <c r="L635" s="9" t="n">
        <v>400</v>
      </c>
      <c r="M635" s="7" t="inlineStr">
        <is>
          <t>g/L</t>
        </is>
      </c>
      <c r="N635" s="7" t="inlineStr">
        <is>
          <t>Registro Técnico Vinculado MAPA</t>
        </is>
      </c>
    </row>
    <row r="636" ht="22" customHeight="1">
      <c r="A636" s="12" t="inlineStr">
        <is>
          <t>CMP-0632</t>
        </is>
      </c>
      <c r="B636" s="11" t="n">
        <v>445</v>
      </c>
      <c r="C636" s="13" t="inlineStr">
        <is>
          <t>Nº 1223</t>
        </is>
      </c>
      <c r="D636" s="14" t="inlineStr">
        <is>
          <t>FULLGUARD</t>
        </is>
      </c>
      <c r="E636" s="11" t="n">
        <v>1</v>
      </c>
      <c r="F636" s="13" t="inlineStr">
        <is>
          <t>Ingrediente Ativo Principal</t>
        </is>
      </c>
      <c r="G636" s="13" t="inlineStr">
        <is>
          <t>CARFENTRAZONA ETILICA 400</t>
        </is>
      </c>
      <c r="H636" s="13" t="inlineStr">
        <is>
          <t>Ethyl (RS)-2-chloro-3-[2-chloro-5-[4-(difluoromethyl)-4,5-dihydro-3-methyl-5-oxo-1H-1,2,4-triazol-1-yl]-4-fluorophenyl]propionate</t>
        </is>
      </c>
      <c r="I636" s="13" t="inlineStr">
        <is>
          <t>Triazolinona</t>
        </is>
      </c>
      <c r="J636" s="13" t="inlineStr">
        <is>
          <t>HRAC Grupo E (14) — Inibidores da PROTOX</t>
        </is>
      </c>
      <c r="K636" s="13" t="inlineStr">
        <is>
          <t>Inibidores da enzima protoporfirinogênio oxidase (PROTOX)</t>
        </is>
      </c>
      <c r="L636" s="15" t="n">
        <v>400</v>
      </c>
      <c r="M636" s="13" t="inlineStr">
        <is>
          <t>g/L</t>
        </is>
      </c>
      <c r="N636" s="13" t="inlineStr">
        <is>
          <t>Registro Técnico Vinculado MAPA</t>
        </is>
      </c>
    </row>
    <row r="637" ht="22" customHeight="1">
      <c r="A637" s="6" t="inlineStr">
        <is>
          <t>CMP-0633</t>
        </is>
      </c>
      <c r="B637" s="5" t="n">
        <v>446</v>
      </c>
      <c r="C637" s="7" t="inlineStr">
        <is>
          <t>Nº 5217</t>
        </is>
      </c>
      <c r="D637" s="8" t="inlineStr">
        <is>
          <t>HERBIZINA PLUS</t>
        </is>
      </c>
      <c r="E637" s="5" t="n">
        <v>1</v>
      </c>
      <c r="F637" s="7" t="inlineStr">
        <is>
          <t>Ingrediente Ativo Principal</t>
        </is>
      </c>
      <c r="G637" s="7" t="inlineStr">
        <is>
          <t>ATRAZINA 900</t>
        </is>
      </c>
      <c r="H637" s="7" t="inlineStr">
        <is>
          <t>6-chloro-N2-ethyl-N4-isopropyl-1,3,5-triazine-2,4-diamine</t>
        </is>
      </c>
      <c r="I637" s="7" t="inlineStr">
        <is>
          <t>Triazina</t>
        </is>
      </c>
      <c r="J637" s="7" t="inlineStr">
        <is>
          <t>HRAC Grupo C1 (5) — Inibidores do Fotossistema II</t>
        </is>
      </c>
      <c r="K637" s="7" t="inlineStr">
        <is>
          <t>Inibição do transporte de elétrons no Fotossistema II (sítio Serina 264)</t>
        </is>
      </c>
      <c r="L637" s="9" t="n">
        <v>900</v>
      </c>
      <c r="M637" s="7" t="inlineStr">
        <is>
          <t>g/kg</t>
        </is>
      </c>
      <c r="N637" s="7" t="inlineStr">
        <is>
          <t>Registro Técnico Vinculado MAPA</t>
        </is>
      </c>
    </row>
    <row r="638" ht="22" customHeight="1">
      <c r="A638" s="12" t="inlineStr">
        <is>
          <t>CMP-0634</t>
        </is>
      </c>
      <c r="B638" s="11" t="n">
        <v>447</v>
      </c>
      <c r="C638" s="13" t="inlineStr">
        <is>
          <t>Nº 22225</t>
        </is>
      </c>
      <c r="D638" s="14" t="inlineStr">
        <is>
          <t>KILLIGAN</t>
        </is>
      </c>
      <c r="E638" s="11" t="n">
        <v>1</v>
      </c>
      <c r="F638" s="13" t="inlineStr">
        <is>
          <t>Ingrediente Ativo Principal</t>
        </is>
      </c>
      <c r="G638" s="13" t="inlineStr">
        <is>
          <t>CLORFENAPIR 240</t>
        </is>
      </c>
      <c r="H638" s="13" t="inlineStr">
        <is>
          <t>4-bromo-2-(4-chlorophenyl)-1-ethoxymethyl-5-trifluoromethyl-1H-pyrrole-3-carbonitrile</t>
        </is>
      </c>
      <c r="I638" s="13" t="inlineStr">
        <is>
          <t>Análogo de pirazol (Arilpirrol)</t>
        </is>
      </c>
      <c r="J638" s="13" t="inlineStr">
        <is>
          <t>IRAC Grupo 13</t>
        </is>
      </c>
      <c r="K638" s="13" t="inlineStr">
        <is>
          <t>Desacopladores da fosforilação oxidativa via disrupção do gradiente de prótons</t>
        </is>
      </c>
      <c r="L638" s="15" t="n">
        <v>240</v>
      </c>
      <c r="M638" s="13" t="inlineStr">
        <is>
          <t>g/L</t>
        </is>
      </c>
      <c r="N638" s="13" t="inlineStr">
        <is>
          <t>Registro Técnico Vinculado MAPA</t>
        </is>
      </c>
    </row>
    <row r="639" ht="22" customHeight="1">
      <c r="A639" s="6" t="inlineStr">
        <is>
          <t>CMP-0635</t>
        </is>
      </c>
      <c r="B639" s="5" t="n">
        <v>448</v>
      </c>
      <c r="C639" s="7" t="inlineStr">
        <is>
          <t>Nº 26924</t>
        </is>
      </c>
      <c r="D639" s="8" t="inlineStr">
        <is>
          <t>CHLOROCIL</t>
        </is>
      </c>
      <c r="E639" s="5" t="n">
        <v>1</v>
      </c>
      <c r="F639" s="7" t="inlineStr">
        <is>
          <t>Ingrediente Ativo Principal</t>
        </is>
      </c>
      <c r="G639" s="7" t="inlineStr">
        <is>
          <t>CLORPIRIFOS 480</t>
        </is>
      </c>
      <c r="H639" s="7" t="inlineStr">
        <is>
          <t>O,O-diethyl O-3,5,6-trichloro-2-pyridyl phosphorothioate</t>
        </is>
      </c>
      <c r="I639" s="7" t="inlineStr">
        <is>
          <t>Organofosforado</t>
        </is>
      </c>
      <c r="J639" s="7" t="inlineStr">
        <is>
          <t>IRAC Grupo 1B</t>
        </is>
      </c>
      <c r="K639" s="7" t="inlineStr">
        <is>
          <t>Inibidores da acetilcolinesterase (AChE)</t>
        </is>
      </c>
      <c r="L639" s="9" t="n">
        <v>480</v>
      </c>
      <c r="M639" s="7" t="inlineStr">
        <is>
          <t>g/L</t>
        </is>
      </c>
      <c r="N639" s="7" t="inlineStr">
        <is>
          <t>Registro Técnico Vinculado MAPA</t>
        </is>
      </c>
    </row>
    <row r="640" ht="22" customHeight="1">
      <c r="A640" s="12" t="inlineStr">
        <is>
          <t>CMP-0636</t>
        </is>
      </c>
      <c r="B640" s="11" t="n">
        <v>449</v>
      </c>
      <c r="C640" s="13" t="inlineStr">
        <is>
          <t>SIPEAGRO (UF-XXXXX)</t>
        </is>
      </c>
      <c r="D640" s="14" t="inlineStr">
        <is>
          <t>MAP 1261 FARELADO</t>
        </is>
      </c>
      <c r="E640" s="11" t="n">
        <v>1</v>
      </c>
      <c r="F640" s="13" t="inlineStr">
        <is>
          <t>Nutriente Garantido</t>
        </is>
      </c>
      <c r="G640" s="13" t="inlineStr">
        <is>
          <t>MAP PURIFICADO</t>
        </is>
      </c>
      <c r="H640" s="13" t="inlineStr">
        <is>
          <t>Composição Nutricional Oficial (MAP PURIFICADO)</t>
        </is>
      </c>
      <c r="I640" s="13" t="inlineStr">
        <is>
          <t>Fertilizante Mineral / Organomineral (Lei nº 6.894/1980)</t>
        </is>
      </c>
      <c r="J640" s="13" t="inlineStr">
        <is>
          <t>Nutrição Vegetal SIPEAGRO</t>
        </is>
      </c>
      <c r="K640" s="13" t="inlineStr">
        <is>
          <t>Fornecimento de macro e micronutrientes essenciais ao metabolismo vegetal</t>
        </is>
      </c>
      <c r="L640" s="15" t="n">
        <v>100</v>
      </c>
      <c r="M640" s="13" t="inlineStr">
        <is>
          <t>% m/m</t>
        </is>
      </c>
      <c r="N640" s="13" t="inlineStr">
        <is>
          <t>Registro Técnico Vinculado MAPA</t>
        </is>
      </c>
    </row>
    <row r="641" ht="22" customHeight="1">
      <c r="A641" s="6" t="inlineStr">
        <is>
          <t>CMP-0637</t>
        </is>
      </c>
      <c r="B641" s="5" t="n">
        <v>450</v>
      </c>
      <c r="C641" s="7" t="inlineStr">
        <is>
          <t>Nº 40624</t>
        </is>
      </c>
      <c r="D641" s="8" t="inlineStr">
        <is>
          <t>CHLORPYRIFOS 480 EC AGCN</t>
        </is>
      </c>
      <c r="E641" s="5" t="n">
        <v>1</v>
      </c>
      <c r="F641" s="7" t="inlineStr">
        <is>
          <t>Ingrediente Ativo Principal</t>
        </is>
      </c>
      <c r="G641" s="7" t="inlineStr">
        <is>
          <t>CLORPIRIFOS 480</t>
        </is>
      </c>
      <c r="H641" s="7" t="inlineStr">
        <is>
          <t>O,O-diethyl O-3,5,6-trichloro-2-pyridyl phosphorothioate</t>
        </is>
      </c>
      <c r="I641" s="7" t="inlineStr">
        <is>
          <t>Organofosforado</t>
        </is>
      </c>
      <c r="J641" s="7" t="inlineStr">
        <is>
          <t>IRAC Grupo 1B</t>
        </is>
      </c>
      <c r="K641" s="7" t="inlineStr">
        <is>
          <t>Inibidores da acetilcolinesterase (AChE)</t>
        </is>
      </c>
      <c r="L641" s="9" t="n">
        <v>480</v>
      </c>
      <c r="M641" s="7" t="inlineStr">
        <is>
          <t>g/L</t>
        </is>
      </c>
      <c r="N641" s="7" t="inlineStr">
        <is>
          <t>Registro Técnico Vinculado MAPA</t>
        </is>
      </c>
    </row>
    <row r="642" ht="22" customHeight="1">
      <c r="A642" s="12" t="inlineStr">
        <is>
          <t>CMP-0638</t>
        </is>
      </c>
      <c r="B642" s="11" t="n">
        <v>451</v>
      </c>
      <c r="C642" s="13" t="inlineStr">
        <is>
          <t>Nº 6223</t>
        </is>
      </c>
      <c r="D642" s="14" t="inlineStr">
        <is>
          <t>RIDOWN FULL</t>
        </is>
      </c>
      <c r="E642" s="11" t="n">
        <v>1</v>
      </c>
      <c r="F642" s="13" t="inlineStr">
        <is>
          <t>Ingrediente Ativo Principal</t>
        </is>
      </c>
      <c r="G642" s="13" t="inlineStr">
        <is>
          <t>GLIFOSATO SAL DE AMÔNIO/POTÁSSIO (Equiv. 506 g/L Ácido)</t>
        </is>
      </c>
      <c r="H642" s="13" t="inlineStr">
        <is>
          <t>N-(phosphonomethyl)glycine</t>
        </is>
      </c>
      <c r="I642" s="13" t="inlineStr">
        <is>
          <t>Glicina substituída</t>
        </is>
      </c>
      <c r="J642" s="13" t="inlineStr">
        <is>
          <t>HRAC Grupo G (9) — Inibidores da EPSPs</t>
        </is>
      </c>
      <c r="K642" s="13" t="inlineStr">
        <is>
          <t>Inibidores da enzima EPSPs (Enoil Piruvil Shiquimato Fosfato Sintase)</t>
        </is>
      </c>
      <c r="L642" s="15" t="n">
        <v>506</v>
      </c>
      <c r="M642" s="13" t="inlineStr">
        <is>
          <t>g/L</t>
        </is>
      </c>
      <c r="N642" s="13" t="inlineStr">
        <is>
          <t>Glifosato Técnico Rainbow</t>
        </is>
      </c>
    </row>
    <row r="643" ht="22" customHeight="1">
      <c r="A643" s="6" t="inlineStr">
        <is>
          <t>CMP-0639</t>
        </is>
      </c>
      <c r="B643" s="5" t="n">
        <v>452</v>
      </c>
      <c r="C643" s="7" t="inlineStr">
        <is>
          <t>Nº 12225</t>
        </is>
      </c>
      <c r="D643" s="8" t="inlineStr">
        <is>
          <t>IMPACTUS CS</t>
        </is>
      </c>
      <c r="E643" s="5" t="n">
        <v>1</v>
      </c>
      <c r="F643" s="7" t="inlineStr">
        <is>
          <t>Ingrediente Ativo Principal</t>
        </is>
      </c>
      <c r="G643" s="7" t="inlineStr">
        <is>
          <t>LAMBDA-CIALOTRINA 250</t>
        </is>
      </c>
      <c r="H643" s="7" t="inlineStr">
        <is>
          <t>(R)-a-cyano-3-phenoxybenzyl (1S)-cis-3-[(Z)-2-chloro-3,3,3-trifluoropropenyl]-2,2-dimethylcyclopropanecarboxylate</t>
        </is>
      </c>
      <c r="I643" s="7" t="inlineStr">
        <is>
          <t>Piretroide (Tipo II)</t>
        </is>
      </c>
      <c r="J643" s="7" t="inlineStr">
        <is>
          <t>IRAC Grupo 3A</t>
        </is>
      </c>
      <c r="K643" s="7" t="inlineStr">
        <is>
          <t>Moduladores de canais de sódio em axônios nervosos</t>
        </is>
      </c>
      <c r="L643" s="9" t="n">
        <v>250</v>
      </c>
      <c r="M643" s="7" t="inlineStr">
        <is>
          <t>g/L</t>
        </is>
      </c>
      <c r="N643" s="7" t="inlineStr">
        <is>
          <t>Registro Técnico Vinculado MAPA</t>
        </is>
      </c>
    </row>
    <row r="644" ht="22" customHeight="1">
      <c r="A644" s="12" t="inlineStr">
        <is>
          <t>CMP-0640</t>
        </is>
      </c>
      <c r="B644" s="11" t="n">
        <v>453</v>
      </c>
      <c r="C644" s="13" t="inlineStr">
        <is>
          <t>Nº 6922</t>
        </is>
      </c>
      <c r="D644" s="14" t="inlineStr">
        <is>
          <t>INSECTRIN</t>
        </is>
      </c>
      <c r="E644" s="11" t="n">
        <v>1</v>
      </c>
      <c r="F644" s="13" t="inlineStr">
        <is>
          <t>Ingrediente Ativo Principal</t>
        </is>
      </c>
      <c r="G644" s="13" t="inlineStr">
        <is>
          <t>BIFENTRINA 400</t>
        </is>
      </c>
      <c r="H644" s="13" t="inlineStr">
        <is>
          <t>2-methylbiphenyl-3-ylmethyl (Z)-(1RS,3RS)-3-(2-chloro-3,3,3-trifluoroprop-1-enyl)-2,2-dimethylcyclopropanecarboxylate</t>
        </is>
      </c>
      <c r="I644" s="13" t="inlineStr">
        <is>
          <t>Piretroide (Tipo I)</t>
        </is>
      </c>
      <c r="J644" s="13" t="inlineStr">
        <is>
          <t>IRAC Grupo 3A</t>
        </is>
      </c>
      <c r="K644" s="13" t="inlineStr">
        <is>
          <t>Moduladores de canais de sódio em membranas nervosas</t>
        </is>
      </c>
      <c r="L644" s="15" t="n">
        <v>400</v>
      </c>
      <c r="M644" s="13" t="inlineStr">
        <is>
          <t>g/L</t>
        </is>
      </c>
      <c r="N644" s="13" t="inlineStr">
        <is>
          <t>Registro Técnico Vinculado MAPA</t>
        </is>
      </c>
    </row>
    <row r="645" ht="22" customHeight="1">
      <c r="A645" s="6" t="inlineStr">
        <is>
          <t>CMP-0641</t>
        </is>
      </c>
      <c r="B645" s="5" t="n">
        <v>454</v>
      </c>
      <c r="C645" s="7" t="inlineStr">
        <is>
          <t>Nº 6922</t>
        </is>
      </c>
      <c r="D645" s="8" t="inlineStr">
        <is>
          <t>INSECTRIN</t>
        </is>
      </c>
      <c r="E645" s="5" t="n">
        <v>1</v>
      </c>
      <c r="F645" s="7" t="inlineStr">
        <is>
          <t>Ingrediente Ativo Principal</t>
        </is>
      </c>
      <c r="G645" s="7" t="inlineStr">
        <is>
          <t>BIFENTRINA 400</t>
        </is>
      </c>
      <c r="H645" s="7" t="inlineStr">
        <is>
          <t>2-methylbiphenyl-3-ylmethyl (Z)-(1RS,3RS)-3-(2-chloro-3,3,3-trifluoroprop-1-enyl)-2,2-dimethylcyclopropanecarboxylate</t>
        </is>
      </c>
      <c r="I645" s="7" t="inlineStr">
        <is>
          <t>Piretroide (Tipo I)</t>
        </is>
      </c>
      <c r="J645" s="7" t="inlineStr">
        <is>
          <t>IRAC Grupo 3A</t>
        </is>
      </c>
      <c r="K645" s="7" t="inlineStr">
        <is>
          <t>Moduladores de canais de sódio em membranas nervosas</t>
        </is>
      </c>
      <c r="L645" s="9" t="n">
        <v>400</v>
      </c>
      <c r="M645" s="7" t="inlineStr">
        <is>
          <t>g/L</t>
        </is>
      </c>
      <c r="N645" s="7" t="inlineStr">
        <is>
          <t>Registro Técnico Vinculado MAPA</t>
        </is>
      </c>
    </row>
    <row r="646" ht="22" customHeight="1">
      <c r="A646" s="12" t="inlineStr">
        <is>
          <t>CMP-0642</t>
        </is>
      </c>
      <c r="B646" s="11" t="n">
        <v>455</v>
      </c>
      <c r="C646" s="13" t="inlineStr">
        <is>
          <t>Nº 6223</t>
        </is>
      </c>
      <c r="D646" s="14" t="inlineStr">
        <is>
          <t>RIDOWN FULL</t>
        </is>
      </c>
      <c r="E646" s="11" t="n">
        <v>1</v>
      </c>
      <c r="F646" s="13" t="inlineStr">
        <is>
          <t>Ingrediente Ativo Principal</t>
        </is>
      </c>
      <c r="G646" s="13" t="inlineStr">
        <is>
          <t>GLIFOSATO SAL DE AMÔNIO/POTÁSSIO (Equiv. 506 g/L Ácido)</t>
        </is>
      </c>
      <c r="H646" s="13" t="inlineStr">
        <is>
          <t>N-(phosphonomethyl)glycine</t>
        </is>
      </c>
      <c r="I646" s="13" t="inlineStr">
        <is>
          <t>Glicina substituída</t>
        </is>
      </c>
      <c r="J646" s="13" t="inlineStr">
        <is>
          <t>HRAC Grupo G (9) — Inibidores da EPSPs</t>
        </is>
      </c>
      <c r="K646" s="13" t="inlineStr">
        <is>
          <t>Inibidores da enzima EPSPs (Enoil Piruvil Shiquimato Fosfato Sintase)</t>
        </is>
      </c>
      <c r="L646" s="15" t="n">
        <v>506</v>
      </c>
      <c r="M646" s="13" t="inlineStr">
        <is>
          <t>g/L</t>
        </is>
      </c>
      <c r="N646" s="13" t="inlineStr">
        <is>
          <t>Glifosato Técnico Rainbow</t>
        </is>
      </c>
    </row>
    <row r="647" ht="22" customHeight="1">
      <c r="A647" s="6" t="inlineStr">
        <is>
          <t>CMP-0643</t>
        </is>
      </c>
      <c r="B647" s="5" t="n">
        <v>456</v>
      </c>
      <c r="C647" s="7" t="inlineStr">
        <is>
          <t>Nº 28120</t>
        </is>
      </c>
      <c r="D647" s="8" t="inlineStr">
        <is>
          <t>WIDCLEAR</t>
        </is>
      </c>
      <c r="E647" s="5" t="n">
        <v>1</v>
      </c>
      <c r="F647" s="7" t="inlineStr">
        <is>
          <t>Ingrediente Ativo Principal</t>
        </is>
      </c>
      <c r="G647" s="7" t="inlineStr">
        <is>
          <t>FLUROXIPIR 200</t>
        </is>
      </c>
      <c r="H647" s="7" t="inlineStr">
        <is>
          <t>[(4-amino-3,5-dichloro-6-fluoro-2-pyridinyl)oxy]acetic acid (Éster Meptílico)</t>
        </is>
      </c>
      <c r="I647" s="7" t="inlineStr">
        <is>
          <t>Ácido piridiniloxialcanoico</t>
        </is>
      </c>
      <c r="J647" s="7" t="inlineStr">
        <is>
          <t>HRAC Grupo O (4) — Auxinas Sintéticas</t>
        </is>
      </c>
      <c r="K647" s="7" t="inlineStr">
        <is>
          <t>Mimetizadores de auxina sintética (desregulação do crescimento celular)</t>
        </is>
      </c>
      <c r="L647" s="9" t="n">
        <v>200</v>
      </c>
      <c r="M647" s="7" t="inlineStr">
        <is>
          <t>g/L</t>
        </is>
      </c>
      <c r="N647" s="7" t="inlineStr">
        <is>
          <t>Registro Técnico Vinculado MAPA</t>
        </is>
      </c>
    </row>
    <row r="648" ht="22" customHeight="1">
      <c r="A648" s="12" t="inlineStr">
        <is>
          <t>CMP-0644</t>
        </is>
      </c>
      <c r="B648" s="11" t="n">
        <v>457</v>
      </c>
      <c r="C648" s="13" t="inlineStr">
        <is>
          <t>Nº 34122</t>
        </is>
      </c>
      <c r="D648" s="14" t="inlineStr">
        <is>
          <t>DURAX</t>
        </is>
      </c>
      <c r="E648" s="11" t="n">
        <v>1</v>
      </c>
      <c r="F648" s="13" t="inlineStr">
        <is>
          <t>Ingrediente Ativo Principal</t>
        </is>
      </c>
      <c r="G648" s="13" t="inlineStr">
        <is>
          <t>S-METOLACLORO 960</t>
        </is>
      </c>
      <c r="H648" s="13" t="inlineStr">
        <is>
          <t>Mixture of (aRS,1S)-2-chloro-6'-ethyl-N-(2-methoxy-1-methylethyl)aceto-o-toluidide</t>
        </is>
      </c>
      <c r="I648" s="13" t="inlineStr">
        <is>
          <t>Cloroacetanilida</t>
        </is>
      </c>
      <c r="J648" s="13" t="inlineStr">
        <is>
          <t>HRAC Grupo K3 (15) — Inibidores de VLCFAs</t>
        </is>
      </c>
      <c r="K648" s="13" t="inlineStr">
        <is>
          <t>Inibidores da síntese de ácidos graxos de cadeia muito longa (divisão celular)</t>
        </is>
      </c>
      <c r="L648" s="15" t="n">
        <v>960</v>
      </c>
      <c r="M648" s="13" t="inlineStr">
        <is>
          <t>g/L</t>
        </is>
      </c>
      <c r="N648" s="13" t="inlineStr">
        <is>
          <t>Registro Técnico Vinculado MAPA</t>
        </is>
      </c>
    </row>
    <row r="649" ht="22" customHeight="1">
      <c r="A649" s="6" t="inlineStr">
        <is>
          <t>CMP-0645</t>
        </is>
      </c>
      <c r="B649" s="5" t="n">
        <v>458</v>
      </c>
      <c r="C649" s="7" t="inlineStr">
        <is>
          <t>Nº 6922</t>
        </is>
      </c>
      <c r="D649" s="8" t="inlineStr">
        <is>
          <t>COFENRIN</t>
        </is>
      </c>
      <c r="E649" s="5" t="n">
        <v>1</v>
      </c>
      <c r="F649" s="7" t="inlineStr">
        <is>
          <t>Ingrediente Ativo Principal</t>
        </is>
      </c>
      <c r="G649" s="7" t="inlineStr">
        <is>
          <t>BIFENTRINA 400</t>
        </is>
      </c>
      <c r="H649" s="7" t="inlineStr">
        <is>
          <t>2-methylbiphenyl-3-ylmethyl (Z)-(1RS,3RS)-3-(2-chloro-3,3,3-trifluoroprop-1-enyl)-2,2-dimethylcyclopropanecarboxylate</t>
        </is>
      </c>
      <c r="I649" s="7" t="inlineStr">
        <is>
          <t>Piretroide (Tipo I)</t>
        </is>
      </c>
      <c r="J649" s="7" t="inlineStr">
        <is>
          <t>IRAC Grupo 3A</t>
        </is>
      </c>
      <c r="K649" s="7" t="inlineStr">
        <is>
          <t>Moduladores de canais de sódio em membranas nervosas</t>
        </is>
      </c>
      <c r="L649" s="9" t="n">
        <v>400</v>
      </c>
      <c r="M649" s="7" t="inlineStr">
        <is>
          <t>g/L</t>
        </is>
      </c>
      <c r="N649" s="7" t="inlineStr">
        <is>
          <t>Registro Técnico Vinculado MAPA</t>
        </is>
      </c>
    </row>
    <row r="650" ht="22" customHeight="1">
      <c r="A650" s="12" t="inlineStr">
        <is>
          <t>CMP-0646</t>
        </is>
      </c>
      <c r="B650" s="11" t="n">
        <v>459</v>
      </c>
      <c r="C650" s="13" t="inlineStr">
        <is>
          <t>Nº 27323</t>
        </is>
      </c>
      <c r="D650" s="14" t="inlineStr">
        <is>
          <t>ACEGOL</t>
        </is>
      </c>
      <c r="E650" s="11" t="n">
        <v>1</v>
      </c>
      <c r="F650" s="13" t="inlineStr">
        <is>
          <t>Ingrediente Ativo Principal</t>
        </is>
      </c>
      <c r="G650" s="13" t="inlineStr">
        <is>
          <t>ACETAMIPRIDO 725</t>
        </is>
      </c>
      <c r="H650" s="13" t="inlineStr">
        <is>
          <t>(E)-N1-[(6-chloro-3-pyridyl)methyl]-N2-cyano-N1-methylacetamidine</t>
        </is>
      </c>
      <c r="I650" s="13" t="inlineStr">
        <is>
          <t>Neonicotinoide</t>
        </is>
      </c>
      <c r="J650" s="13" t="inlineStr">
        <is>
          <t>IRAC Grupo 4A</t>
        </is>
      </c>
      <c r="K650" s="13" t="inlineStr">
        <is>
          <t>Moduladores competitivos de receptores nicotínicos da acetilcolina (nAChR)</t>
        </is>
      </c>
      <c r="L650" s="15" t="n">
        <v>725</v>
      </c>
      <c r="M650" s="13" t="inlineStr">
        <is>
          <t>g/kg</t>
        </is>
      </c>
      <c r="N650" s="13" t="inlineStr">
        <is>
          <t>Registro Técnico Vinculado MAPA</t>
        </is>
      </c>
    </row>
    <row r="651" ht="22" customHeight="1">
      <c r="A651" s="6" t="inlineStr">
        <is>
          <t>CMP-0647</t>
        </is>
      </c>
      <c r="B651" s="5" t="n">
        <v>460</v>
      </c>
      <c r="C651" s="7" t="inlineStr">
        <is>
          <t>Nº 45419</t>
        </is>
      </c>
      <c r="D651" s="8" t="inlineStr">
        <is>
          <t>CLORPIRI 480 EC</t>
        </is>
      </c>
      <c r="E651" s="5" t="n">
        <v>1</v>
      </c>
      <c r="F651" s="7" t="inlineStr">
        <is>
          <t>Ingrediente Ativo Principal</t>
        </is>
      </c>
      <c r="G651" s="7" t="inlineStr">
        <is>
          <t>CLORPIRIFOS 480</t>
        </is>
      </c>
      <c r="H651" s="7" t="inlineStr">
        <is>
          <t>O,O-diethyl O-3,5,6-trichloro-2-pyridyl phosphorothioate</t>
        </is>
      </c>
      <c r="I651" s="7" t="inlineStr">
        <is>
          <t>Organofosforado</t>
        </is>
      </c>
      <c r="J651" s="7" t="inlineStr">
        <is>
          <t>IRAC Grupo 1B</t>
        </is>
      </c>
      <c r="K651" s="7" t="inlineStr">
        <is>
          <t>Inibidores da acetilcolinesterase (AChE)</t>
        </is>
      </c>
      <c r="L651" s="9" t="n">
        <v>480</v>
      </c>
      <c r="M651" s="7" t="inlineStr">
        <is>
          <t>g/L</t>
        </is>
      </c>
      <c r="N651" s="7" t="inlineStr">
        <is>
          <t>Registro Técnico Vinculado MAPA</t>
        </is>
      </c>
    </row>
    <row r="652" ht="22" customHeight="1">
      <c r="A652" s="12" t="inlineStr">
        <is>
          <t>CMP-0648</t>
        </is>
      </c>
      <c r="B652" s="11" t="n">
        <v>461</v>
      </c>
      <c r="C652" s="13" t="inlineStr">
        <is>
          <t>Nº 33424</t>
        </is>
      </c>
      <c r="D652" s="14" t="inlineStr">
        <is>
          <t>SANKARI</t>
        </is>
      </c>
      <c r="E652" s="11" t="n">
        <v>1</v>
      </c>
      <c r="F652" s="13" t="inlineStr">
        <is>
          <t>Ingrediente Ativo Principal</t>
        </is>
      </c>
      <c r="G652" s="13" t="inlineStr">
        <is>
          <t>ACIDO NONANOICO</t>
        </is>
      </c>
      <c r="H652" s="13" t="inlineStr">
        <is>
          <t>Nonanoic acid (Ácido Pelargônico)</t>
        </is>
      </c>
      <c r="I652" s="13" t="inlineStr">
        <is>
          <t>Ácido Graxo Carboxílico (Bio-herbicida)</t>
        </is>
      </c>
      <c r="J652" s="13" t="inlineStr">
        <is>
          <t>HRAC Grupo Z (0) — Herbicida de Contato Dessecante</t>
        </is>
      </c>
      <c r="K652" s="13" t="inlineStr">
        <is>
          <t>Ruptura física da cutícula cerosa e desestruturação de membranas celulares</t>
        </is>
      </c>
      <c r="L652" s="15" t="n">
        <v>680</v>
      </c>
      <c r="M652" s="13" t="inlineStr">
        <is>
          <t>g/L</t>
        </is>
      </c>
      <c r="N652" s="13" t="inlineStr">
        <is>
          <t>Registro Técnico Vinculado MAPA</t>
        </is>
      </c>
    </row>
    <row r="653" ht="22" customHeight="1">
      <c r="A653" s="6" t="inlineStr">
        <is>
          <t>CMP-0649</t>
        </is>
      </c>
      <c r="B653" s="5" t="n">
        <v>462</v>
      </c>
      <c r="C653" s="7" t="inlineStr">
        <is>
          <t>Nº 37624</t>
        </is>
      </c>
      <c r="D653" s="8" t="inlineStr">
        <is>
          <t>SIGOLI</t>
        </is>
      </c>
      <c r="E653" s="5" t="n">
        <v>1</v>
      </c>
      <c r="F653" s="7" t="inlineStr">
        <is>
          <t>Ingrediente Ativo Principal</t>
        </is>
      </c>
      <c r="G653" s="7" t="inlineStr">
        <is>
          <t>ACIDO NONANOICO</t>
        </is>
      </c>
      <c r="H653" s="7" t="inlineStr">
        <is>
          <t>Nonanoic acid (Ácido Pelargônico)</t>
        </is>
      </c>
      <c r="I653" s="7" t="inlineStr">
        <is>
          <t>Ácido Graxo Carboxílico (Bio-herbicida)</t>
        </is>
      </c>
      <c r="J653" s="7" t="inlineStr">
        <is>
          <t>HRAC Grupo Z (0) — Herbicida de Contato Dessecante</t>
        </is>
      </c>
      <c r="K653" s="7" t="inlineStr">
        <is>
          <t>Ruptura física da cutícula cerosa e desestruturação de membranas celulares</t>
        </is>
      </c>
      <c r="L653" s="9" t="n">
        <v>680</v>
      </c>
      <c r="M653" s="7" t="inlineStr">
        <is>
          <t>g/L</t>
        </is>
      </c>
      <c r="N653" s="7" t="inlineStr">
        <is>
          <t>Registro Técnico Vinculado MAPA</t>
        </is>
      </c>
    </row>
    <row r="654" ht="22" customHeight="1">
      <c r="A654" s="12" t="inlineStr">
        <is>
          <t>CMP-0650</t>
        </is>
      </c>
      <c r="B654" s="11" t="n">
        <v>463</v>
      </c>
      <c r="C654" s="13" t="inlineStr">
        <is>
          <t>Nº 34122</t>
        </is>
      </c>
      <c r="D654" s="14" t="inlineStr">
        <is>
          <t>DURAX</t>
        </is>
      </c>
      <c r="E654" s="11" t="n">
        <v>1</v>
      </c>
      <c r="F654" s="13" t="inlineStr">
        <is>
          <t>Ingrediente Ativo Principal</t>
        </is>
      </c>
      <c r="G654" s="13" t="inlineStr">
        <is>
          <t>S-METOLACLORO 960</t>
        </is>
      </c>
      <c r="H654" s="13" t="inlineStr">
        <is>
          <t>Mixture of (aRS,1S)-2-chloro-6'-ethyl-N-(2-methoxy-1-methylethyl)aceto-o-toluidide</t>
        </is>
      </c>
      <c r="I654" s="13" t="inlineStr">
        <is>
          <t>Cloroacetanilida</t>
        </is>
      </c>
      <c r="J654" s="13" t="inlineStr">
        <is>
          <t>HRAC Grupo K3 (15) — Inibidores de VLCFAs</t>
        </is>
      </c>
      <c r="K654" s="13" t="inlineStr">
        <is>
          <t>Inibidores da síntese de ácidos graxos de cadeia muito longa (divisão celular)</t>
        </is>
      </c>
      <c r="L654" s="15" t="n">
        <v>960</v>
      </c>
      <c r="M654" s="13" t="inlineStr">
        <is>
          <t>g/L</t>
        </is>
      </c>
      <c r="N654" s="13" t="inlineStr">
        <is>
          <t>Registro Técnico Vinculado MAPA</t>
        </is>
      </c>
    </row>
    <row r="655" ht="22" customHeight="1">
      <c r="A655" s="6" t="inlineStr">
        <is>
          <t>CMP-0651</t>
        </is>
      </c>
      <c r="B655" s="5" t="n">
        <v>464</v>
      </c>
      <c r="C655" s="7" t="inlineStr">
        <is>
          <t>Nº 1223</t>
        </is>
      </c>
      <c r="D655" s="8" t="inlineStr">
        <is>
          <t>FULLGUARD</t>
        </is>
      </c>
      <c r="E655" s="5" t="n">
        <v>1</v>
      </c>
      <c r="F655" s="7" t="inlineStr">
        <is>
          <t>Ingrediente Ativo Principal</t>
        </is>
      </c>
      <c r="G655" s="7" t="inlineStr">
        <is>
          <t>CARFENTRAZONA ETILICA 400</t>
        </is>
      </c>
      <c r="H655" s="7" t="inlineStr">
        <is>
          <t>Ethyl (RS)-2-chloro-3-[2-chloro-5-[4-(difluoromethyl)-4,5-dihydro-3-methyl-5-oxo-1H-1,2,4-triazol-1-yl]-4-fluorophenyl]propionate</t>
        </is>
      </c>
      <c r="I655" s="7" t="inlineStr">
        <is>
          <t>Triazolinona</t>
        </is>
      </c>
      <c r="J655" s="7" t="inlineStr">
        <is>
          <t>HRAC Grupo E (14) — Inibidores da PROTOX</t>
        </is>
      </c>
      <c r="K655" s="7" t="inlineStr">
        <is>
          <t>Inibidores da enzima protoporfirinogênio oxidase (PROTOX)</t>
        </is>
      </c>
      <c r="L655" s="9" t="n">
        <v>400</v>
      </c>
      <c r="M655" s="7" t="inlineStr">
        <is>
          <t>g/L</t>
        </is>
      </c>
      <c r="N655" s="7" t="inlineStr">
        <is>
          <t>Registro Técnico Vinculado MAPA</t>
        </is>
      </c>
    </row>
    <row r="656" ht="22" customHeight="1">
      <c r="A656" s="12" t="inlineStr">
        <is>
          <t>CMP-0652</t>
        </is>
      </c>
      <c r="B656" s="11" t="n">
        <v>465</v>
      </c>
      <c r="C656" s="13" t="inlineStr">
        <is>
          <t>Nº 13714</t>
        </is>
      </c>
      <c r="D656" s="14" t="inlineStr">
        <is>
          <t>WIPE OUT</t>
        </is>
      </c>
      <c r="E656" s="11" t="n">
        <v>1</v>
      </c>
      <c r="F656" s="13" t="inlineStr">
        <is>
          <t>Ingrediente Ativo Principal</t>
        </is>
      </c>
      <c r="G656" s="13" t="inlineStr">
        <is>
          <t>GLIFOSATO 720</t>
        </is>
      </c>
      <c r="H656" s="13" t="inlineStr">
        <is>
          <t>N-(phosphonomethyl)glycine (Sal de Amônio / Isopropilamina / Potássico)</t>
        </is>
      </c>
      <c r="I656" s="13" t="inlineStr">
        <is>
          <t>Glicina substituída</t>
        </is>
      </c>
      <c r="J656" s="13" t="inlineStr">
        <is>
          <t>HRAC Grupo G (EPSPs)</t>
        </is>
      </c>
      <c r="K656" s="13" t="inlineStr">
        <is>
          <t>Inibidores da enzima EPSPs (Enoil Piruvil Shiquimato Fosfato Sintase)</t>
        </is>
      </c>
      <c r="L656" s="15" t="n">
        <v>720</v>
      </c>
      <c r="M656" s="13" t="inlineStr">
        <is>
          <t>g/kg</t>
        </is>
      </c>
      <c r="N656" s="13" t="inlineStr">
        <is>
          <t>Registro Técnico Vinculado MAPA</t>
        </is>
      </c>
    </row>
    <row r="657" ht="22" customHeight="1">
      <c r="A657" s="6" t="inlineStr">
        <is>
          <t>CMP-0653</t>
        </is>
      </c>
      <c r="B657" s="5" t="n">
        <v>466</v>
      </c>
      <c r="C657" s="7" t="inlineStr">
        <is>
          <t>Nº 32224</t>
        </is>
      </c>
      <c r="D657" s="8" t="inlineStr">
        <is>
          <t>PYRIPROXYFEN 100 SINO-AGRI</t>
        </is>
      </c>
      <c r="E657" s="5" t="n">
        <v>1</v>
      </c>
      <c r="F657" s="7" t="inlineStr">
        <is>
          <t>Ingrediente Ativo Principal</t>
        </is>
      </c>
      <c r="G657" s="7" t="inlineStr">
        <is>
          <t>PIRIPROXIFEM 100</t>
        </is>
      </c>
      <c r="H657" s="7" t="inlineStr">
        <is>
          <t>4-phenoxyphenyl (RS)-2-(2-pyridyloxy)propyl ether</t>
        </is>
      </c>
      <c r="I657" s="7" t="inlineStr">
        <is>
          <t>Éter piridiloxipropílico</t>
        </is>
      </c>
      <c r="J657" s="7" t="inlineStr">
        <is>
          <t>IRAC Grupo 7C</t>
        </is>
      </c>
      <c r="K657" s="7" t="inlineStr">
        <is>
          <t>Mimetizadores do hormônio juvenil (Juvenoides)</t>
        </is>
      </c>
      <c r="L657" s="9" t="n">
        <v>100</v>
      </c>
      <c r="M657" s="7" t="inlineStr">
        <is>
          <t>g/L</t>
        </is>
      </c>
      <c r="N657" s="7" t="inlineStr">
        <is>
          <t>Registro Técnico Vinculado MAPA</t>
        </is>
      </c>
    </row>
    <row r="658" ht="22" customHeight="1">
      <c r="A658" s="12" t="inlineStr">
        <is>
          <t>CMP-0654</t>
        </is>
      </c>
      <c r="B658" s="11" t="n">
        <v>467</v>
      </c>
      <c r="C658" s="13" t="inlineStr">
        <is>
          <t>Nº 15925</t>
        </is>
      </c>
      <c r="D658" s="14" t="inlineStr">
        <is>
          <t>CHETTAK GOLD</t>
        </is>
      </c>
      <c r="E658" s="11" t="n">
        <v>1</v>
      </c>
      <c r="F658" s="13" t="inlineStr">
        <is>
          <t>Ingrediente Ativo Principal</t>
        </is>
      </c>
      <c r="G658" s="13" t="inlineStr">
        <is>
          <t>ACEFATO 970</t>
        </is>
      </c>
      <c r="H658" s="13" t="inlineStr">
        <is>
          <t>O,S-dimethyl acetylphosphoramidothioate</t>
        </is>
      </c>
      <c r="I658" s="13" t="inlineStr">
        <is>
          <t>Organofosforado</t>
        </is>
      </c>
      <c r="J658" s="13" t="inlineStr">
        <is>
          <t>IRAC Grupo 1B</t>
        </is>
      </c>
      <c r="K658" s="13" t="inlineStr">
        <is>
          <t>Inibidores da enzima acetilcolinesterase (AChE)</t>
        </is>
      </c>
      <c r="L658" s="15" t="n">
        <v>970</v>
      </c>
      <c r="M658" s="13" t="inlineStr">
        <is>
          <t>g/kg</t>
        </is>
      </c>
      <c r="N658" s="13" t="inlineStr">
        <is>
          <t>Registro Técnico Vinculado MAPA</t>
        </is>
      </c>
    </row>
    <row r="659" ht="22" customHeight="1">
      <c r="A659" s="6" t="inlineStr">
        <is>
          <t>CMP-0655</t>
        </is>
      </c>
      <c r="B659" s="5" t="n">
        <v>468</v>
      </c>
      <c r="C659" s="7" t="inlineStr">
        <is>
          <t>SIPEAGRO (UF-XXXXX)</t>
        </is>
      </c>
      <c r="D659" s="8" t="inlineStr">
        <is>
          <t>NPK 05-30-10 BB MCF (TON) (AGENCIADA)</t>
        </is>
      </c>
      <c r="E659" s="5" t="n">
        <v>1</v>
      </c>
      <c r="F659" s="7" t="inlineStr">
        <is>
          <t>Nutriente Garantido</t>
        </is>
      </c>
      <c r="G659" s="7" t="inlineStr">
        <is>
          <t>FERTILIZANTES</t>
        </is>
      </c>
      <c r="H659" s="7" t="inlineStr">
        <is>
          <t>Composição Nutricional Oficial (FERTILIZANTES)</t>
        </is>
      </c>
      <c r="I659" s="7" t="inlineStr">
        <is>
          <t>Fertilizante Mineral / Organomineral (Lei nº 6.894/1980)</t>
        </is>
      </c>
      <c r="J659" s="7" t="inlineStr">
        <is>
          <t>Nutrição Vegetal SIPEAGRO</t>
        </is>
      </c>
      <c r="K659" s="7" t="inlineStr">
        <is>
          <t>Fornecimento de macro e micronutrientes essenciais ao metabolismo vegetal</t>
        </is>
      </c>
      <c r="L659" s="9" t="n">
        <v>100</v>
      </c>
      <c r="M659" s="7" t="inlineStr">
        <is>
          <t>% m/m</t>
        </is>
      </c>
      <c r="N659" s="7" t="inlineStr">
        <is>
          <t>Registro Técnico Vinculado MAPA</t>
        </is>
      </c>
    </row>
    <row r="660" ht="22" customHeight="1">
      <c r="A660" s="12" t="inlineStr">
        <is>
          <t>CMP-0656</t>
        </is>
      </c>
      <c r="B660" s="11" t="n">
        <v>469</v>
      </c>
      <c r="C660" s="13" t="inlineStr">
        <is>
          <t>SIPEAGRO (UF-XXXXX)</t>
        </is>
      </c>
      <c r="D660" s="14" t="inlineStr">
        <is>
          <t>NPK 20-00-20 (TON) (AGENCIADA)</t>
        </is>
      </c>
      <c r="E660" s="11" t="n">
        <v>1</v>
      </c>
      <c r="F660" s="13" t="inlineStr">
        <is>
          <t>Nutriente Garantido</t>
        </is>
      </c>
      <c r="G660" s="13" t="inlineStr">
        <is>
          <t>FERTILIZANTES</t>
        </is>
      </c>
      <c r="H660" s="13" t="inlineStr">
        <is>
          <t>Composição Nutricional Oficial (FERTILIZANTES)</t>
        </is>
      </c>
      <c r="I660" s="13" t="inlineStr">
        <is>
          <t>Fertilizante Mineral / Organomineral (Lei nº 6.894/1980)</t>
        </is>
      </c>
      <c r="J660" s="13" t="inlineStr">
        <is>
          <t>Nutrição Vegetal SIPEAGRO</t>
        </is>
      </c>
      <c r="K660" s="13" t="inlineStr">
        <is>
          <t>Fornecimento de macro e micronutrientes essenciais ao metabolismo vegetal</t>
        </is>
      </c>
      <c r="L660" s="15" t="n">
        <v>100</v>
      </c>
      <c r="M660" s="13" t="inlineStr">
        <is>
          <t>% m/m</t>
        </is>
      </c>
      <c r="N660" s="13" t="inlineStr">
        <is>
          <t>Registro Técnico Vinculado MAPA</t>
        </is>
      </c>
    </row>
    <row r="661" ht="22" customHeight="1">
      <c r="A661" s="6" t="inlineStr">
        <is>
          <t>CMP-0657</t>
        </is>
      </c>
      <c r="B661" s="5" t="n">
        <v>470</v>
      </c>
      <c r="C661" s="7" t="inlineStr">
        <is>
          <t>Nº 23922</t>
        </is>
      </c>
      <c r="D661" s="8" t="inlineStr">
        <is>
          <t>GRASIDIM FULL</t>
        </is>
      </c>
      <c r="E661" s="5" t="n">
        <v>1</v>
      </c>
      <c r="F661" s="7" t="inlineStr">
        <is>
          <t>Ingrediente Ativo Principal</t>
        </is>
      </c>
      <c r="G661" s="7" t="inlineStr">
        <is>
          <t>CLETODIM 360</t>
        </is>
      </c>
      <c r="H661" s="7" t="inlineStr">
        <is>
          <t>(RS)-2-[(E)-1-[(E)-3-chloroallyloxyimino]propyl]-5-[2-(ethylthio)propyl]-3-hydroxycyclohex-2-en-1-one</t>
        </is>
      </c>
      <c r="I661" s="7" t="inlineStr">
        <is>
          <t>Oxima ciclohexanodiona (DIM)</t>
        </is>
      </c>
      <c r="J661" s="7" t="inlineStr">
        <is>
          <t>HRAC Grupo A (1) — Inibidores da ACCase</t>
        </is>
      </c>
      <c r="K661" s="7" t="inlineStr">
        <is>
          <t>Inibidores da Acetil CoA Carboxilase (ACCase)</t>
        </is>
      </c>
      <c r="L661" s="9" t="n">
        <v>360</v>
      </c>
      <c r="M661" s="7" t="inlineStr">
        <is>
          <t>g/L</t>
        </is>
      </c>
      <c r="N661" s="7" t="inlineStr">
        <is>
          <t>Registro Técnico Vinculado MAPA</t>
        </is>
      </c>
    </row>
    <row r="662" ht="22" customHeight="1">
      <c r="A662" s="12" t="inlineStr">
        <is>
          <t>CMP-0658</t>
        </is>
      </c>
      <c r="B662" s="11" t="n">
        <v>471</v>
      </c>
      <c r="C662" s="13" t="inlineStr">
        <is>
          <t>Nº 31522</t>
        </is>
      </c>
      <c r="D662" s="14" t="inlineStr">
        <is>
          <t>METOMY 900</t>
        </is>
      </c>
      <c r="E662" s="11" t="n">
        <v>1</v>
      </c>
      <c r="F662" s="13" t="inlineStr">
        <is>
          <t>Ingrediente Ativo Principal</t>
        </is>
      </c>
      <c r="G662" s="13" t="inlineStr">
        <is>
          <t>METOMIL 900</t>
        </is>
      </c>
      <c r="H662" s="13" t="inlineStr">
        <is>
          <t>S-methyl N-(methylcarbamoyloxy)thioacetimidate</t>
        </is>
      </c>
      <c r="I662" s="13" t="inlineStr">
        <is>
          <t>Metilcarbamato de oxima</t>
        </is>
      </c>
      <c r="J662" s="13" t="inlineStr">
        <is>
          <t>IRAC Grupo 1A</t>
        </is>
      </c>
      <c r="K662" s="13" t="inlineStr">
        <is>
          <t>Inibidores reversíveis da enzima acetilcolinesterase (AChE)</t>
        </is>
      </c>
      <c r="L662" s="15" t="n">
        <v>900</v>
      </c>
      <c r="M662" s="13" t="inlineStr">
        <is>
          <t>g/kg</t>
        </is>
      </c>
      <c r="N662" s="13" t="inlineStr">
        <is>
          <t>Registro Técnico Vinculado MAPA</t>
        </is>
      </c>
    </row>
    <row r="663" ht="22" customHeight="1">
      <c r="A663" s="6" t="inlineStr">
        <is>
          <t>CMP-0659</t>
        </is>
      </c>
      <c r="B663" s="5" t="n">
        <v>472</v>
      </c>
      <c r="C663" s="7" t="inlineStr">
        <is>
          <t>SIPEAGRO (UF-XXXXX)</t>
        </is>
      </c>
      <c r="D663" s="8" t="inlineStr">
        <is>
          <t>BORO ULEXITA (TON) (AGENCIADA)</t>
        </is>
      </c>
      <c r="E663" s="5" t="n">
        <v>1</v>
      </c>
      <c r="F663" s="7" t="inlineStr">
        <is>
          <t>Ingrediente Ativo Principal</t>
        </is>
      </c>
      <c r="G663" s="7" t="inlineStr">
        <is>
          <t>BORO 10% - ULEXITA</t>
        </is>
      </c>
      <c r="H663" s="7" t="inlineStr">
        <is>
          <t>Corretivo / Condicionador Mineral (BORO 10% - ULEXITA)</t>
        </is>
      </c>
      <c r="I663" s="7" t="inlineStr">
        <is>
          <t>Corretivo de Acidez / Condicionador de Solo (SIPEAGRO)</t>
        </is>
      </c>
      <c r="J663" s="7" t="inlineStr">
        <is>
          <t>Correção Química de Solo</t>
        </is>
      </c>
      <c r="K663" s="7" t="inlineStr">
        <is>
          <t>Neutralização de Al3+ tóxico e fornecimento de Ca2+, Mg2+, S ou B</t>
        </is>
      </c>
      <c r="L663" s="9" t="n">
        <v>10</v>
      </c>
      <c r="M663" s="7" t="inlineStr">
        <is>
          <t>% m/m</t>
        </is>
      </c>
      <c r="N663" s="7" t="inlineStr">
        <is>
          <t>Registro Técnico Vinculado MAPA</t>
        </is>
      </c>
    </row>
    <row r="664" ht="22" customHeight="1">
      <c r="A664" s="12" t="inlineStr">
        <is>
          <t>CMP-0660</t>
        </is>
      </c>
      <c r="B664" s="11" t="n">
        <v>473</v>
      </c>
      <c r="C664" s="13" t="inlineStr">
        <is>
          <t>SIPEAGRO (UF-XXXXX)</t>
        </is>
      </c>
      <c r="D664" s="14" t="inlineStr">
        <is>
          <t>BORO ULEXITA (TON) (IMP)</t>
        </is>
      </c>
      <c r="E664" s="11" t="n">
        <v>1</v>
      </c>
      <c r="F664" s="13" t="inlineStr">
        <is>
          <t>Ingrediente Ativo Principal</t>
        </is>
      </c>
      <c r="G664" s="13" t="inlineStr">
        <is>
          <t>BORO 10% - ULEXITA</t>
        </is>
      </c>
      <c r="H664" s="13" t="inlineStr">
        <is>
          <t>Corretivo / Condicionador Mineral (BORO 10% - ULEXITA)</t>
        </is>
      </c>
      <c r="I664" s="13" t="inlineStr">
        <is>
          <t>Corretivo de Acidez / Condicionador de Solo (SIPEAGRO)</t>
        </is>
      </c>
      <c r="J664" s="13" t="inlineStr">
        <is>
          <t>Correção Química de Solo</t>
        </is>
      </c>
      <c r="K664" s="13" t="inlineStr">
        <is>
          <t>Neutralização de Al3+ tóxico e fornecimento de Ca2+, Mg2+, S ou B</t>
        </is>
      </c>
      <c r="L664" s="15" t="n">
        <v>10</v>
      </c>
      <c r="M664" s="13" t="inlineStr">
        <is>
          <t>% m/m</t>
        </is>
      </c>
      <c r="N664" s="13" t="inlineStr">
        <is>
          <t>Registro Técnico Vinculado MAPA</t>
        </is>
      </c>
    </row>
    <row r="665" ht="22" customHeight="1">
      <c r="A665" s="6" t="inlineStr">
        <is>
          <t>CMP-0661</t>
        </is>
      </c>
      <c r="B665" s="5" t="n">
        <v>474</v>
      </c>
      <c r="C665" s="7" t="inlineStr">
        <is>
          <t>Nº 20920</t>
        </is>
      </c>
      <c r="D665" s="8" t="inlineStr">
        <is>
          <t>TERBUTILAZINA 500 (PRINCIPIO ATIVO)</t>
        </is>
      </c>
      <c r="E665" s="5" t="n">
        <v>1</v>
      </c>
      <c r="F665" s="7" t="inlineStr">
        <is>
          <t>Ingrediente Ativo Principal</t>
        </is>
      </c>
      <c r="G665" s="7" t="inlineStr">
        <is>
          <t>TERBUTILAZINA 500</t>
        </is>
      </c>
      <c r="H665" s="7" t="inlineStr">
        <is>
          <t>N2-tert-butyl-6-chloro-N4-ethyl-1,3,5-triazine-2,4-diamine</t>
        </is>
      </c>
      <c r="I665" s="7" t="inlineStr">
        <is>
          <t>Triazina (Clorotriazina)</t>
        </is>
      </c>
      <c r="J665" s="7" t="inlineStr">
        <is>
          <t>HRAC Grupo C1 (5) — Inibidores do Fotossistema II</t>
        </is>
      </c>
      <c r="K665" s="7" t="inlineStr">
        <is>
          <t>Inibição do transporte de elétrons no Fotossistema II</t>
        </is>
      </c>
      <c r="L665" s="9" t="n">
        <v>500</v>
      </c>
      <c r="M665" s="7" t="inlineStr">
        <is>
          <t>g/kg</t>
        </is>
      </c>
      <c r="N665" s="7" t="inlineStr">
        <is>
          <t>Produto Técnico Próprio</t>
        </is>
      </c>
    </row>
    <row r="666" ht="22" customHeight="1">
      <c r="A666" s="12" t="inlineStr">
        <is>
          <t>CMP-0662</t>
        </is>
      </c>
      <c r="B666" s="11" t="n">
        <v>475</v>
      </c>
      <c r="C666" s="13" t="inlineStr">
        <is>
          <t>Nº 3623</t>
        </is>
      </c>
      <c r="D666" s="14" t="inlineStr">
        <is>
          <t>SUNGAIN PLUS 4X5(IMP)</t>
        </is>
      </c>
      <c r="E666" s="11" t="n">
        <v>1</v>
      </c>
      <c r="F666" s="13" t="inlineStr">
        <is>
          <t>Ingrediente Ativo Principal</t>
        </is>
      </c>
      <c r="G666" s="13" t="inlineStr">
        <is>
          <t>FLUMIOXAZINA 250</t>
        </is>
      </c>
      <c r="H666" s="13" t="inlineStr">
        <is>
          <t>N-(7-fluoro-3,4-dihydro-3-oxo-4-prop-2-ynyl-2H-1,4-benzoxazin-6-yl)cyclohex-1-ene-1,2-dicarboximide</t>
        </is>
      </c>
      <c r="I666" s="13" t="inlineStr">
        <is>
          <t>N-fenilftalimida</t>
        </is>
      </c>
      <c r="J666" s="13" t="inlineStr">
        <is>
          <t>HRAC Grupo E (14) — Inibidores da PROTOX</t>
        </is>
      </c>
      <c r="K666" s="13" t="inlineStr">
        <is>
          <t>Inibidores da enzima protoporfirinogênio oxidase (PROTOX)</t>
        </is>
      </c>
      <c r="L666" s="15" t="n">
        <v>250</v>
      </c>
      <c r="M666" s="13" t="inlineStr">
        <is>
          <t>g/kg</t>
        </is>
      </c>
      <c r="N666" s="13" t="inlineStr">
        <is>
          <t>Registro Técnico Vinculado MAPA</t>
        </is>
      </c>
    </row>
    <row r="667" ht="22" customHeight="1">
      <c r="A667" s="6" t="inlineStr">
        <is>
          <t>CMP-0663</t>
        </is>
      </c>
      <c r="B667" s="5" t="n">
        <v>475</v>
      </c>
      <c r="C667" s="7" t="inlineStr">
        <is>
          <t>Nº 3623</t>
        </is>
      </c>
      <c r="D667" s="8" t="inlineStr">
        <is>
          <t>SUNGAIN PLUS 4X5(IMP)</t>
        </is>
      </c>
      <c r="E667" s="5" t="n">
        <v>2</v>
      </c>
      <c r="F667" s="7" t="inlineStr">
        <is>
          <t>Ingrediente Ativo Principal</t>
        </is>
      </c>
      <c r="G667" s="7" t="inlineStr">
        <is>
          <t>IMAZETAPIR 530</t>
        </is>
      </c>
      <c r="H667" s="7" t="inlineStr">
        <is>
          <t>(RS)-5-ethyl-2-(4-isopropyl-4-methyl-5-oxo-2-imidazolin-2-yl)nicotinic acid</t>
        </is>
      </c>
      <c r="I667" s="7" t="inlineStr">
        <is>
          <t>Imidazolinona</t>
        </is>
      </c>
      <c r="J667" s="7" t="inlineStr">
        <is>
          <t>HRAC Grupo B (2) — Inibidores da ALS</t>
        </is>
      </c>
      <c r="K667" s="7" t="inlineStr">
        <is>
          <t>Inibição da enzima acetolactato sintase (ALS / AHAS)</t>
        </is>
      </c>
      <c r="L667" s="9" t="n">
        <v>530</v>
      </c>
      <c r="M667" s="7" t="inlineStr">
        <is>
          <t>g/kg</t>
        </is>
      </c>
      <c r="N667" s="7" t="inlineStr">
        <is>
          <t>Registro Técnico Vinculado MAPA</t>
        </is>
      </c>
    </row>
    <row r="668" ht="22" customHeight="1">
      <c r="A668" s="12" t="inlineStr">
        <is>
          <t>CMP-0664</t>
        </is>
      </c>
      <c r="B668" s="11" t="n">
        <v>476</v>
      </c>
      <c r="C668" s="13" t="inlineStr">
        <is>
          <t>Nº 32224</t>
        </is>
      </c>
      <c r="D668" s="14" t="inlineStr">
        <is>
          <t>PYRIPROXYFEN 100 SINO-AGRI</t>
        </is>
      </c>
      <c r="E668" s="11" t="n">
        <v>1</v>
      </c>
      <c r="F668" s="13" t="inlineStr">
        <is>
          <t>Ingrediente Ativo Principal</t>
        </is>
      </c>
      <c r="G668" s="13" t="inlineStr">
        <is>
          <t>PIRIPROXIFEM 100</t>
        </is>
      </c>
      <c r="H668" s="13" t="inlineStr">
        <is>
          <t>4-phenoxyphenyl (RS)-2-(2-pyridyloxy)propyl ether</t>
        </is>
      </c>
      <c r="I668" s="13" t="inlineStr">
        <is>
          <t>Éter piridiloxipropílico</t>
        </is>
      </c>
      <c r="J668" s="13" t="inlineStr">
        <is>
          <t>IRAC Grupo 7C</t>
        </is>
      </c>
      <c r="K668" s="13" t="inlineStr">
        <is>
          <t>Mimetizadores do hormônio juvenil (Juvenoides)</t>
        </is>
      </c>
      <c r="L668" s="15" t="n">
        <v>100</v>
      </c>
      <c r="M668" s="13" t="inlineStr">
        <is>
          <t>g/L</t>
        </is>
      </c>
      <c r="N668" s="13" t="inlineStr">
        <is>
          <t>Registro Técnico Vinculado MAPA</t>
        </is>
      </c>
    </row>
    <row r="669" ht="22" customHeight="1">
      <c r="A669" s="6" t="inlineStr">
        <is>
          <t>CMP-0665</t>
        </is>
      </c>
      <c r="B669" s="5" t="n">
        <v>477</v>
      </c>
      <c r="C669" s="7" t="inlineStr">
        <is>
          <t>Nº 1924</t>
        </is>
      </c>
      <c r="D669" s="8" t="inlineStr">
        <is>
          <t>FORCEPS</t>
        </is>
      </c>
      <c r="E669" s="5" t="n">
        <v>1</v>
      </c>
      <c r="F669" s="7" t="inlineStr">
        <is>
          <t>Ingrediente Ativo Principal</t>
        </is>
      </c>
      <c r="G669" s="7" t="inlineStr">
        <is>
          <t>ACETAMIPRIDO 250</t>
        </is>
      </c>
      <c r="H669" s="7" t="inlineStr">
        <is>
          <t>(E)-N1-[(6-chloro-3-pyridyl)methyl]-N2-cyano-N1-methylacetamidine</t>
        </is>
      </c>
      <c r="I669" s="7" t="inlineStr">
        <is>
          <t>Neonicotinoide</t>
        </is>
      </c>
      <c r="J669" s="7" t="inlineStr">
        <is>
          <t>IRAC Grupo 4A</t>
        </is>
      </c>
      <c r="K669" s="7" t="inlineStr">
        <is>
          <t>Moduladores competitivos de receptores nicotínicos da acetilcolina (nAChR)</t>
        </is>
      </c>
      <c r="L669" s="9" t="n">
        <v>250</v>
      </c>
      <c r="M669" s="7" t="inlineStr">
        <is>
          <t>g/kg</t>
        </is>
      </c>
      <c r="N669" s="7" t="inlineStr">
        <is>
          <t>Registro Técnico Vinculado MAPA</t>
        </is>
      </c>
    </row>
    <row r="670" ht="22" customHeight="1">
      <c r="A670" s="12" t="inlineStr">
        <is>
          <t>CMP-0666</t>
        </is>
      </c>
      <c r="B670" s="11" t="n">
        <v>477</v>
      </c>
      <c r="C670" s="13" t="inlineStr">
        <is>
          <t>Nº 1924</t>
        </is>
      </c>
      <c r="D670" s="14" t="inlineStr">
        <is>
          <t>FORCEPS</t>
        </is>
      </c>
      <c r="E670" s="11" t="n">
        <v>2</v>
      </c>
      <c r="F670" s="13" t="inlineStr">
        <is>
          <t>Ingrediente Ativo Principal</t>
        </is>
      </c>
      <c r="G670" s="13" t="inlineStr">
        <is>
          <t>BIFENTRINA 250</t>
        </is>
      </c>
      <c r="H670" s="13" t="inlineStr">
        <is>
          <t>2-methylbiphenyl-3-ylmethyl (Z)-(1RS,3RS)-3-(2-chloro-3,3,3-trifluoroprop-1-enyl)-2,2-dimethylcyclopropanecarboxylate</t>
        </is>
      </c>
      <c r="I670" s="13" t="inlineStr">
        <is>
          <t>Piretroide (Tipo I)</t>
        </is>
      </c>
      <c r="J670" s="13" t="inlineStr">
        <is>
          <t>IRAC Grupo 3A</t>
        </is>
      </c>
      <c r="K670" s="13" t="inlineStr">
        <is>
          <t>Moduladores de canais de sódio em membranas nervosas</t>
        </is>
      </c>
      <c r="L670" s="15" t="n">
        <v>250</v>
      </c>
      <c r="M670" s="13" t="inlineStr">
        <is>
          <t>g/kg</t>
        </is>
      </c>
      <c r="N670" s="13" t="inlineStr">
        <is>
          <t>Registro Técnico Vinculado MAPA</t>
        </is>
      </c>
    </row>
    <row r="671" ht="22" customHeight="1">
      <c r="A671" s="6" t="inlineStr">
        <is>
          <t>CMP-0667</t>
        </is>
      </c>
      <c r="B671" s="5" t="n">
        <v>478</v>
      </c>
      <c r="C671" s="7" t="inlineStr">
        <is>
          <t>VINCULAR MARCA</t>
        </is>
      </c>
      <c r="D671" s="8" t="inlineStr">
        <is>
          <t>PROCIMIDONA 500 (PRINCIPIO ATIVO)</t>
        </is>
      </c>
      <c r="E671" s="5" t="n">
        <v>1</v>
      </c>
      <c r="F671" s="7" t="inlineStr">
        <is>
          <t>Ingrediente Ativo Principal</t>
        </is>
      </c>
      <c r="G671" s="7" t="inlineStr">
        <is>
          <t>PROCIMIDONA 500</t>
        </is>
      </c>
      <c r="H671" s="7" t="inlineStr">
        <is>
          <t>N-(3,5-dichlorophenyl)-1,2-dimethylcyclopropane-1,2-dicarboximide</t>
        </is>
      </c>
      <c r="I671" s="7" t="inlineStr">
        <is>
          <t>Dicarboximida</t>
        </is>
      </c>
      <c r="J671" s="7" t="inlineStr">
        <is>
          <t>FRAC Grupo 2 (E3)</t>
        </is>
      </c>
      <c r="K671" s="7" t="inlineStr">
        <is>
          <t>Inibidores da transdução de sinal osmótico (MAP/Histidina-quinase)</t>
        </is>
      </c>
      <c r="L671" s="9" t="n">
        <v>500</v>
      </c>
      <c r="M671" s="7" t="inlineStr">
        <is>
          <t>g/kg</t>
        </is>
      </c>
      <c r="N671" s="7" t="inlineStr">
        <is>
          <t>Produto Técnico Próprio</t>
        </is>
      </c>
    </row>
    <row r="672" ht="22" customHeight="1">
      <c r="A672" s="12" t="inlineStr">
        <is>
          <t>CMP-0668</t>
        </is>
      </c>
      <c r="B672" s="11" t="n">
        <v>479</v>
      </c>
      <c r="C672" s="13" t="inlineStr">
        <is>
          <t>Nº 19018</t>
        </is>
      </c>
      <c r="D672" s="14" t="inlineStr">
        <is>
          <t>CARTAGO</t>
        </is>
      </c>
      <c r="E672" s="11" t="n">
        <v>1</v>
      </c>
      <c r="F672" s="13" t="inlineStr">
        <is>
          <t>Ingrediente Ativo Principal</t>
        </is>
      </c>
      <c r="G672" s="13" t="inlineStr">
        <is>
          <t>CLETODIM 240</t>
        </is>
      </c>
      <c r="H672" s="13" t="inlineStr">
        <is>
          <t>(RS)-2-[(E)-1-[(E)-3-chloroallyloxyimino]propyl]-5-[2-(ethylthio)propyl]-3-hydroxycyclohex-2-en-1-one</t>
        </is>
      </c>
      <c r="I672" s="13" t="inlineStr">
        <is>
          <t>Oxima ciclohexanodiona (DIM)</t>
        </is>
      </c>
      <c r="J672" s="13" t="inlineStr">
        <is>
          <t>HRAC Grupo A (1) — Inibidores da ACCase</t>
        </is>
      </c>
      <c r="K672" s="13" t="inlineStr">
        <is>
          <t>Inibidores da Acetil CoA Carboxilase (ACCase)</t>
        </is>
      </c>
      <c r="L672" s="15" t="n">
        <v>240</v>
      </c>
      <c r="M672" s="13" t="inlineStr">
        <is>
          <t>g/L</t>
        </is>
      </c>
      <c r="N672" s="13" t="inlineStr">
        <is>
          <t>Registro Técnico Vinculado MAPA</t>
        </is>
      </c>
    </row>
    <row r="673" ht="22" customHeight="1">
      <c r="A673" s="6" t="inlineStr">
        <is>
          <t>CMP-0669</t>
        </is>
      </c>
      <c r="B673" s="5" t="n">
        <v>480</v>
      </c>
      <c r="C673" s="7" t="inlineStr">
        <is>
          <t>ISENTO (ATO 104/2017)</t>
        </is>
      </c>
      <c r="D673" s="8" t="inlineStr">
        <is>
          <t>AGRICOIL PREMIUM</t>
        </is>
      </c>
      <c r="E673" s="5" t="n">
        <v>1</v>
      </c>
      <c r="F673" s="7" t="inlineStr">
        <is>
          <t>Ingrediente Ativo Principal</t>
        </is>
      </c>
      <c r="G673" s="7" t="inlineStr">
        <is>
          <t>ÉSTER METÍLICO DE ÓLEO DE SOJA (Óleo Vegetal Metilado)</t>
        </is>
      </c>
      <c r="H673" s="7" t="inlineStr">
        <is>
          <t>Methyl soyate (Soybean oil, methylated)</t>
        </is>
      </c>
      <c r="I673" s="7" t="inlineStr">
        <is>
          <t>Adjuvante Espalhante Adesivo (Óleo Vegetal Metilado)</t>
        </is>
      </c>
      <c r="J673" s="7" t="inlineStr">
        <is>
          <t>Auxiliar de Tecnologia de Aplicação (Ato SDA 104/2017)</t>
        </is>
      </c>
      <c r="K673" s="7" t="inlineStr">
        <is>
          <t>Aumento da aderência, espalhamento e absorção translaminar da calda</t>
        </is>
      </c>
      <c r="L673" s="9" t="n">
        <v>720</v>
      </c>
      <c r="M673" s="7" t="inlineStr">
        <is>
          <t>g/L</t>
        </is>
      </c>
      <c r="N673" s="7" t="inlineStr">
        <is>
          <t>Registro Técnico Vinculado MAPA</t>
        </is>
      </c>
    </row>
    <row r="674" ht="22" customHeight="1">
      <c r="A674" s="12" t="inlineStr">
        <is>
          <t>CMP-0670</t>
        </is>
      </c>
      <c r="B674" s="11" t="n">
        <v>481</v>
      </c>
      <c r="C674" s="13" t="inlineStr">
        <is>
          <t>Nº 10122</t>
        </is>
      </c>
      <c r="D674" s="14" t="inlineStr">
        <is>
          <t>SONDA HT</t>
        </is>
      </c>
      <c r="E674" s="11" t="n">
        <v>1</v>
      </c>
      <c r="F674" s="13" t="inlineStr">
        <is>
          <t>Ingrediente Ativo Principal</t>
        </is>
      </c>
      <c r="G674" s="13" t="inlineStr">
        <is>
          <t>TERBUTILAZINA 500</t>
        </is>
      </c>
      <c r="H674" s="13" t="inlineStr">
        <is>
          <t>N2-tert-butyl-6-chloro-N4-ethyl-1,3,5-triazine-2,4-diamine</t>
        </is>
      </c>
      <c r="I674" s="13" t="inlineStr">
        <is>
          <t>Triazina (Clorotriazina)</t>
        </is>
      </c>
      <c r="J674" s="13" t="inlineStr">
        <is>
          <t>HRAC Grupo C1 (5) — Inibidores do Fotossistema II</t>
        </is>
      </c>
      <c r="K674" s="13" t="inlineStr">
        <is>
          <t>Inibição do transporte de elétrons no Fotossistema II</t>
        </is>
      </c>
      <c r="L674" s="15" t="n">
        <v>500</v>
      </c>
      <c r="M674" s="13" t="inlineStr">
        <is>
          <t>g/L</t>
        </is>
      </c>
      <c r="N674" s="13" t="inlineStr">
        <is>
          <t>Registro Técnico Vinculado MAPA</t>
        </is>
      </c>
    </row>
    <row r="675" ht="22" customHeight="1">
      <c r="A675" s="6" t="inlineStr">
        <is>
          <t>CMP-0671</t>
        </is>
      </c>
      <c r="B675" s="5" t="n">
        <v>482</v>
      </c>
      <c r="C675" s="7" t="inlineStr">
        <is>
          <t>VINCULAR MARCA</t>
        </is>
      </c>
      <c r="D675" s="8" t="inlineStr">
        <is>
          <t>BOSCALIDA 500 (PRINCIPIO ATIVO)</t>
        </is>
      </c>
      <c r="E675" s="5" t="n">
        <v>1</v>
      </c>
      <c r="F675" s="7" t="inlineStr">
        <is>
          <t>Ingrediente Ativo Principal</t>
        </is>
      </c>
      <c r="G675" s="7" t="inlineStr">
        <is>
          <t>BOSCALIDA 500</t>
        </is>
      </c>
      <c r="H675" s="7" t="inlineStr">
        <is>
          <t>2-chloro-N-(4-chlorobiphenyl-2-yl)nicotinamide</t>
        </is>
      </c>
      <c r="I675" s="7" t="inlineStr">
        <is>
          <t>Carboxamida ( Piridinacarboxamida)</t>
        </is>
      </c>
      <c r="J675" s="7" t="inlineStr">
        <is>
          <t>FRAC Grupo 7 (C2 — SDHI)</t>
        </is>
      </c>
      <c r="K675" s="7" t="inlineStr">
        <is>
          <t>Inibidores da enzima succinato desidrogenase (Complexo II respiratório)</t>
        </is>
      </c>
      <c r="L675" s="9" t="n">
        <v>500</v>
      </c>
      <c r="M675" s="7" t="inlineStr">
        <is>
          <t>g/kg</t>
        </is>
      </c>
      <c r="N675" s="7" t="inlineStr">
        <is>
          <t>Produto Técnico Próprio</t>
        </is>
      </c>
    </row>
    <row r="676" ht="22" customHeight="1">
      <c r="A676" s="12" t="inlineStr">
        <is>
          <t>CMP-0672</t>
        </is>
      </c>
      <c r="B676" s="11" t="n">
        <v>483</v>
      </c>
      <c r="C676" s="13" t="inlineStr">
        <is>
          <t>Nº 40818</t>
        </is>
      </c>
      <c r="D676" s="14" t="inlineStr">
        <is>
          <t>GLUFOSINATE-AMMONIUN 200 SL YONON 0,200L AMOSTRA</t>
        </is>
      </c>
      <c r="E676" s="11" t="n">
        <v>1</v>
      </c>
      <c r="F676" s="13" t="inlineStr">
        <is>
          <t>Ingrediente Ativo Principal</t>
        </is>
      </c>
      <c r="G676" s="13" t="inlineStr">
        <is>
          <t>GLUFOSINATO 200</t>
        </is>
      </c>
      <c r="H676" s="13" t="inlineStr">
        <is>
          <t>Ammonium (2RS)-2-amino-4-(methylphosphinato)butyric acid (Glufosinato Sal de Amônio)</t>
        </is>
      </c>
      <c r="I676" s="13" t="inlineStr">
        <is>
          <t>Homoalanina substituída (Ácido fosfínico)</t>
        </is>
      </c>
      <c r="J676" s="13" t="inlineStr">
        <is>
          <t>HRAC Grupo H (10) — Inibidores da Glutamina Sintetase</t>
        </is>
      </c>
      <c r="K676" s="13" t="inlineStr">
        <is>
          <t>Inibição da enzima glutamina sintetase (acúmulo de amônia intracelular)</t>
        </is>
      </c>
      <c r="L676" s="15" t="n">
        <v>200</v>
      </c>
      <c r="M676" s="13" t="inlineStr">
        <is>
          <t>g/L</t>
        </is>
      </c>
      <c r="N676" s="13" t="inlineStr">
        <is>
          <t>Registro Técnico Vinculado MAPA</t>
        </is>
      </c>
    </row>
    <row r="677" ht="22" customHeight="1">
      <c r="A677" s="6" t="inlineStr">
        <is>
          <t>CMP-0673</t>
        </is>
      </c>
      <c r="B677" s="5" t="n">
        <v>484</v>
      </c>
      <c r="C677" s="7" t="inlineStr">
        <is>
          <t>Nº 3224</t>
        </is>
      </c>
      <c r="D677" s="8" t="inlineStr">
        <is>
          <t>CHLOROTHALONIL</t>
        </is>
      </c>
      <c r="E677" s="5" t="n">
        <v>1</v>
      </c>
      <c r="F677" s="7" t="inlineStr">
        <is>
          <t>Ingrediente Ativo Principal</t>
        </is>
      </c>
      <c r="G677" s="7" t="inlineStr">
        <is>
          <t>CLOROTALONIL 720</t>
        </is>
      </c>
      <c r="H677" s="7" t="inlineStr">
        <is>
          <t>Tetrachloroisophthalonitrile</t>
        </is>
      </c>
      <c r="I677" s="7" t="inlineStr">
        <is>
          <t>Isoftalonitrila</t>
        </is>
      </c>
      <c r="J677" s="7" t="inlineStr">
        <is>
          <t>FRAC Grupo M05 — Multissítio</t>
        </is>
      </c>
      <c r="K677" s="7" t="inlineStr">
        <is>
          <t>Atividade de contato multissítio (inativação de grupos tiol enzimáticos)</t>
        </is>
      </c>
      <c r="L677" s="9" t="n">
        <v>720</v>
      </c>
      <c r="M677" s="7" t="inlineStr">
        <is>
          <t>g/L</t>
        </is>
      </c>
      <c r="N677" s="7" t="inlineStr">
        <is>
          <t>Registro Técnico Vinculado MAPA</t>
        </is>
      </c>
    </row>
    <row r="678" ht="22" customHeight="1">
      <c r="A678" s="12" t="inlineStr">
        <is>
          <t>CMP-0674</t>
        </is>
      </c>
      <c r="B678" s="11" t="n">
        <v>485</v>
      </c>
      <c r="C678" s="13" t="inlineStr">
        <is>
          <t>Nº 16724</t>
        </is>
      </c>
      <c r="D678" s="14" t="inlineStr">
        <is>
          <t>FLUAZINAM</t>
        </is>
      </c>
      <c r="E678" s="11" t="n">
        <v>1</v>
      </c>
      <c r="F678" s="13" t="inlineStr">
        <is>
          <t>Ingrediente Ativo Principal</t>
        </is>
      </c>
      <c r="G678" s="13" t="inlineStr">
        <is>
          <t>FLUAZINAM 500</t>
        </is>
      </c>
      <c r="H678" s="13" t="inlineStr">
        <is>
          <t>3-chloro-N-(3-chloro-5-trifluoromethyl-2-pyridyl)-a,a,a-trifluoro-2,6-dinitro-p-toluidine</t>
        </is>
      </c>
      <c r="I678" s="13" t="inlineStr">
        <is>
          <t>Fenilpiridinamina (2,6-dinitroanilina)</t>
        </is>
      </c>
      <c r="J678" s="13" t="inlineStr">
        <is>
          <t>FRAC Grupo 29</t>
        </is>
      </c>
      <c r="K678" s="13" t="inlineStr">
        <is>
          <t>Desacopladores da fosforilação oxidativa mitocondrial</t>
        </is>
      </c>
      <c r="L678" s="15" t="n">
        <v>500</v>
      </c>
      <c r="M678" s="13" t="inlineStr">
        <is>
          <t>g/L</t>
        </is>
      </c>
      <c r="N678" s="13" t="inlineStr">
        <is>
          <t>Registro Técnico Vinculado MAPA</t>
        </is>
      </c>
    </row>
    <row r="679" ht="22" customHeight="1">
      <c r="A679" s="6" t="inlineStr">
        <is>
          <t>CMP-0675</t>
        </is>
      </c>
      <c r="B679" s="5" t="n">
        <v>486</v>
      </c>
      <c r="C679" s="7" t="inlineStr">
        <is>
          <t>Nº 7925</t>
        </is>
      </c>
      <c r="D679" s="8" t="inlineStr">
        <is>
          <t>BONAFIDE 500 WG 20X0,5KG (IMP) SJ</t>
        </is>
      </c>
      <c r="E679" s="5" t="n">
        <v>1</v>
      </c>
      <c r="F679" s="7" t="inlineStr">
        <is>
          <t>Ingrediente Ativo Principal</t>
        </is>
      </c>
      <c r="G679" s="7" t="inlineStr">
        <is>
          <t>BOSCALIDA 500</t>
        </is>
      </c>
      <c r="H679" s="7" t="inlineStr">
        <is>
          <t>2-chloro-N-(4-chlorobiphenyl-2-yl)nicotinamide</t>
        </is>
      </c>
      <c r="I679" s="7" t="inlineStr">
        <is>
          <t>Carboxamida ( Piridinacarboxamida)</t>
        </is>
      </c>
      <c r="J679" s="7" t="inlineStr">
        <is>
          <t>FRAC Grupo 7 (C2 — SDHI)</t>
        </is>
      </c>
      <c r="K679" s="7" t="inlineStr">
        <is>
          <t>Inibidores da enzima succinato desidrogenase (Complexo II respiratório)</t>
        </is>
      </c>
      <c r="L679" s="9" t="n">
        <v>500</v>
      </c>
      <c r="M679" s="7" t="inlineStr">
        <is>
          <t>g/kg</t>
        </is>
      </c>
      <c r="N679" s="7" t="inlineStr">
        <is>
          <t>Registro Técnico Vinculado MAPA</t>
        </is>
      </c>
    </row>
    <row r="680" ht="22" customHeight="1">
      <c r="A680" s="12" t="inlineStr">
        <is>
          <t>CMP-0676</t>
        </is>
      </c>
      <c r="B680" s="11" t="n">
        <v>487</v>
      </c>
      <c r="C680" s="13" t="inlineStr">
        <is>
          <t>Nº 24324</t>
        </is>
      </c>
      <c r="D680" s="14" t="inlineStr">
        <is>
          <t>PROCYMIDONE</t>
        </is>
      </c>
      <c r="E680" s="11" t="n">
        <v>1</v>
      </c>
      <c r="F680" s="13" t="inlineStr">
        <is>
          <t>Ingrediente Ativo Principal</t>
        </is>
      </c>
      <c r="G680" s="13" t="inlineStr">
        <is>
          <t>PROCIMIDONA 500</t>
        </is>
      </c>
      <c r="H680" s="13" t="inlineStr">
        <is>
          <t>N-(3,5-dichlorophenyl)-1,2-dimethylcyclopropane-1,2-dicarboximide</t>
        </is>
      </c>
      <c r="I680" s="13" t="inlineStr">
        <is>
          <t>Dicarboximida</t>
        </is>
      </c>
      <c r="J680" s="13" t="inlineStr">
        <is>
          <t>FRAC Grupo 2 (E3)</t>
        </is>
      </c>
      <c r="K680" s="13" t="inlineStr">
        <is>
          <t>Inibidores da transdução de sinal osmótico (MAP/Histidina-quinase)</t>
        </is>
      </c>
      <c r="L680" s="15" t="n">
        <v>500</v>
      </c>
      <c r="M680" s="13" t="inlineStr">
        <is>
          <t>g/L</t>
        </is>
      </c>
      <c r="N680" s="13" t="inlineStr">
        <is>
          <t>Registro Técnico Vinculado MAPA</t>
        </is>
      </c>
    </row>
    <row r="681" ht="22" customHeight="1">
      <c r="A681" s="6" t="inlineStr">
        <is>
          <t>CMP-0677</t>
        </is>
      </c>
      <c r="B681" s="5" t="n">
        <v>488</v>
      </c>
      <c r="C681" s="7" t="inlineStr">
        <is>
          <t>Nº 26023</t>
        </is>
      </c>
      <c r="D681" s="8" t="inlineStr">
        <is>
          <t>MAJESTUOSO</t>
        </is>
      </c>
      <c r="E681" s="5" t="n">
        <v>1</v>
      </c>
      <c r="F681" s="7" t="inlineStr">
        <is>
          <t>Ingrediente Ativo Principal</t>
        </is>
      </c>
      <c r="G681" s="7" t="inlineStr">
        <is>
          <t>MALATIONA 1000</t>
        </is>
      </c>
      <c r="H681" s="7" t="inlineStr">
        <is>
          <t>Diethyl (dimethoxyphosphinothioylthio)succinate</t>
        </is>
      </c>
      <c r="I681" s="7" t="inlineStr">
        <is>
          <t>Organofosforado</t>
        </is>
      </c>
      <c r="J681" s="7" t="inlineStr">
        <is>
          <t>IRAC Grupo 1B</t>
        </is>
      </c>
      <c r="K681" s="7" t="inlineStr">
        <is>
          <t>Inibidores da acetilcolinesterase (AChE)</t>
        </is>
      </c>
      <c r="L681" s="9" t="n">
        <v>1000</v>
      </c>
      <c r="M681" s="7" t="inlineStr">
        <is>
          <t>g/L</t>
        </is>
      </c>
      <c r="N681" s="7" t="inlineStr">
        <is>
          <t>Registro Técnico Vinculado MAPA</t>
        </is>
      </c>
    </row>
    <row r="682" ht="22" customHeight="1">
      <c r="A682" s="12" t="inlineStr">
        <is>
          <t>CMP-0678</t>
        </is>
      </c>
      <c r="B682" s="11" t="n">
        <v>489</v>
      </c>
      <c r="C682" s="13" t="inlineStr">
        <is>
          <t>SIPEAGRO (UF-XXXXX)</t>
        </is>
      </c>
      <c r="D682" s="14" t="inlineStr">
        <is>
          <t>NPK 19-04-19 (TON) (AGENCIADA)</t>
        </is>
      </c>
      <c r="E682" s="11" t="n">
        <v>1</v>
      </c>
      <c r="F682" s="13" t="inlineStr">
        <is>
          <t>Nutriente Garantido</t>
        </is>
      </c>
      <c r="G682" s="13" t="inlineStr">
        <is>
          <t>FERTILIZANTES</t>
        </is>
      </c>
      <c r="H682" s="13" t="inlineStr">
        <is>
          <t>Composição Nutricional Oficial (FERTILIZANTES)</t>
        </is>
      </c>
      <c r="I682" s="13" t="inlineStr">
        <is>
          <t>Fertilizante Mineral / Organomineral (Lei nº 6.894/1980)</t>
        </is>
      </c>
      <c r="J682" s="13" t="inlineStr">
        <is>
          <t>Nutrição Vegetal SIPEAGRO</t>
        </is>
      </c>
      <c r="K682" s="13" t="inlineStr">
        <is>
          <t>Fornecimento de macro e micronutrientes essenciais ao metabolismo vegetal</t>
        </is>
      </c>
      <c r="L682" s="15" t="n">
        <v>100</v>
      </c>
      <c r="M682" s="13" t="inlineStr">
        <is>
          <t>% m/m</t>
        </is>
      </c>
      <c r="N682" s="13" t="inlineStr">
        <is>
          <t>Registro Técnico Vinculado MAPA</t>
        </is>
      </c>
    </row>
    <row r="683" ht="22" customHeight="1">
      <c r="A683" s="6" t="inlineStr">
        <is>
          <t>CMP-0679</t>
        </is>
      </c>
      <c r="B683" s="5" t="n">
        <v>490</v>
      </c>
      <c r="C683" s="7" t="inlineStr">
        <is>
          <t>Nº 27323</t>
        </is>
      </c>
      <c r="D683" s="8" t="inlineStr">
        <is>
          <t>ACEGOL</t>
        </is>
      </c>
      <c r="E683" s="5" t="n">
        <v>1</v>
      </c>
      <c r="F683" s="7" t="inlineStr">
        <is>
          <t>Ingrediente Ativo Principal</t>
        </is>
      </c>
      <c r="G683" s="7" t="inlineStr">
        <is>
          <t>ACETAMIPRIDO 725</t>
        </is>
      </c>
      <c r="H683" s="7" t="inlineStr">
        <is>
          <t>(E)-N1-[(6-chloro-3-pyridyl)methyl]-N2-cyano-N1-methylacetamidine</t>
        </is>
      </c>
      <c r="I683" s="7" t="inlineStr">
        <is>
          <t>Neonicotinoide</t>
        </is>
      </c>
      <c r="J683" s="7" t="inlineStr">
        <is>
          <t>IRAC Grupo 4A</t>
        </is>
      </c>
      <c r="K683" s="7" t="inlineStr">
        <is>
          <t>Moduladores competitivos de receptores nicotínicos da acetilcolina (nAChR)</t>
        </is>
      </c>
      <c r="L683" s="9" t="n">
        <v>725</v>
      </c>
      <c r="M683" s="7" t="inlineStr">
        <is>
          <t>g/kg</t>
        </is>
      </c>
      <c r="N683" s="7" t="inlineStr">
        <is>
          <t>Registro Técnico Vinculado MAPA</t>
        </is>
      </c>
    </row>
    <row r="684" ht="22" customHeight="1">
      <c r="A684" s="12" t="inlineStr">
        <is>
          <t>CMP-0680</t>
        </is>
      </c>
      <c r="B684" s="11" t="n">
        <v>491</v>
      </c>
      <c r="C684" s="13" t="inlineStr">
        <is>
          <t>Nº 31522</t>
        </is>
      </c>
      <c r="D684" s="14" t="inlineStr">
        <is>
          <t>METOMY</t>
        </is>
      </c>
      <c r="E684" s="11" t="n">
        <v>1</v>
      </c>
      <c r="F684" s="13" t="inlineStr">
        <is>
          <t>Ingrediente Ativo Principal</t>
        </is>
      </c>
      <c r="G684" s="13" t="inlineStr">
        <is>
          <t>METOMIL 900</t>
        </is>
      </c>
      <c r="H684" s="13" t="inlineStr">
        <is>
          <t>S-methyl N-(methylcarbamoyloxy)thioacetimidate</t>
        </is>
      </c>
      <c r="I684" s="13" t="inlineStr">
        <is>
          <t>Metilcarbamato de oxima</t>
        </is>
      </c>
      <c r="J684" s="13" t="inlineStr">
        <is>
          <t>IRAC Grupo 1A</t>
        </is>
      </c>
      <c r="K684" s="13" t="inlineStr">
        <is>
          <t>Inibidores reversíveis da enzima acetilcolinesterase (AChE)</t>
        </is>
      </c>
      <c r="L684" s="15" t="n">
        <v>900</v>
      </c>
      <c r="M684" s="13" t="inlineStr">
        <is>
          <t>g/kg</t>
        </is>
      </c>
      <c r="N684" s="13" t="inlineStr">
        <is>
          <t>Registro Técnico Vinculado MAPA</t>
        </is>
      </c>
    </row>
    <row r="685" ht="22" customHeight="1">
      <c r="A685" s="6" t="inlineStr">
        <is>
          <t>CMP-0681</t>
        </is>
      </c>
      <c r="B685" s="5" t="n">
        <v>492</v>
      </c>
      <c r="C685" s="7" t="inlineStr">
        <is>
          <t>SIPEAGRO (UF-XXXXX)</t>
        </is>
      </c>
      <c r="D685" s="8" t="inlineStr">
        <is>
          <t>HIPHOS 25 GR 00-25-00 BAG</t>
        </is>
      </c>
      <c r="E685" s="5" t="n">
        <v>1</v>
      </c>
      <c r="F685" s="7" t="inlineStr">
        <is>
          <t>Nutriente Garantido</t>
        </is>
      </c>
      <c r="G685" s="7" t="inlineStr">
        <is>
          <t>FERTILIZANTES</t>
        </is>
      </c>
      <c r="H685" s="7" t="inlineStr">
        <is>
          <t>Composição Nutricional Oficial (FERTILIZANTES)</t>
        </is>
      </c>
      <c r="I685" s="7" t="inlineStr">
        <is>
          <t>Fertilizante Mineral / Organomineral (Lei nº 6.894/1980)</t>
        </is>
      </c>
      <c r="J685" s="7" t="inlineStr">
        <is>
          <t>Nutrição Vegetal SIPEAGRO</t>
        </is>
      </c>
      <c r="K685" s="7" t="inlineStr">
        <is>
          <t>Fornecimento de macro e micronutrientes essenciais ao metabolismo vegetal</t>
        </is>
      </c>
      <c r="L685" s="9" t="n">
        <v>100</v>
      </c>
      <c r="M685" s="7" t="inlineStr">
        <is>
          <t>% m/m</t>
        </is>
      </c>
      <c r="N685" s="7" t="inlineStr">
        <is>
          <t>Registro Técnico Vinculado MAPA</t>
        </is>
      </c>
    </row>
    <row r="686" ht="22" customHeight="1">
      <c r="A686" s="12" t="inlineStr">
        <is>
          <t>CMP-0682</t>
        </is>
      </c>
      <c r="B686" s="11" t="n">
        <v>493</v>
      </c>
      <c r="C686" s="13" t="inlineStr">
        <is>
          <t>Nº 4900</t>
        </is>
      </c>
      <c r="D686" s="14" t="inlineStr">
        <is>
          <t>CONVERGE 400 EC</t>
        </is>
      </c>
      <c r="E686" s="11" t="n">
        <v>1</v>
      </c>
      <c r="F686" s="13" t="inlineStr">
        <is>
          <t>Ingrediente Ativo Principal</t>
        </is>
      </c>
      <c r="G686" s="13" t="inlineStr">
        <is>
          <t>CARFENTRAZONA ETILICA 400</t>
        </is>
      </c>
      <c r="H686" s="13" t="inlineStr">
        <is>
          <t>Ethyl (RS)-2-chloro-3-[2-chloro-5-[4-(difluoromethyl)-4,5-dihydro-3-methyl-5-oxo-1H-1,2,4-triazol-1-yl]-4-fluorophenyl]propionate</t>
        </is>
      </c>
      <c r="I686" s="13" t="inlineStr">
        <is>
          <t>Triazolinona</t>
        </is>
      </c>
      <c r="J686" s="13" t="inlineStr">
        <is>
          <t>HRAC Grupo E (14) — Inibidores da PROTOX</t>
        </is>
      </c>
      <c r="K686" s="13" t="inlineStr">
        <is>
          <t>Inibidores da enzima protoporfirinogênio oxidase (PROTOX)</t>
        </is>
      </c>
      <c r="L686" s="15" t="n">
        <v>400</v>
      </c>
      <c r="M686" s="13" t="inlineStr">
        <is>
          <t>g/L</t>
        </is>
      </c>
      <c r="N686" s="13" t="inlineStr">
        <is>
          <t>Registro Técnico Vinculado MAPA</t>
        </is>
      </c>
    </row>
    <row r="687" ht="22" customHeight="1">
      <c r="A687" s="6" t="inlineStr">
        <is>
          <t>CMP-0683</t>
        </is>
      </c>
      <c r="B687" s="5" t="n">
        <v>494</v>
      </c>
      <c r="C687" s="7" t="inlineStr">
        <is>
          <t>Nº 1109</t>
        </is>
      </c>
      <c r="D687" s="8" t="inlineStr">
        <is>
          <t>TROVATI 360 CS</t>
        </is>
      </c>
      <c r="E687" s="5" t="n">
        <v>1</v>
      </c>
      <c r="F687" s="7" t="inlineStr">
        <is>
          <t>Ingrediente Ativo Principal</t>
        </is>
      </c>
      <c r="G687" s="7" t="inlineStr">
        <is>
          <t>CLOMAZONA 360</t>
        </is>
      </c>
      <c r="H687" s="7" t="inlineStr">
        <is>
          <t>2-(2-chlorobenzyl)-4,4-dimethyl-1,2-oxazolidin-3-one</t>
        </is>
      </c>
      <c r="I687" s="7" t="inlineStr">
        <is>
          <t>Isoxazolidinona</t>
        </is>
      </c>
      <c r="J687" s="7" t="inlineStr">
        <is>
          <t>HRAC Grupo F4 (13) — Inibidores da DOXP sintase</t>
        </is>
      </c>
      <c r="K687" s="7" t="inlineStr">
        <is>
          <t>Inibidores da 1-deoxi-D-xilulose 5-fosfato sintase (biossíntese de plastoquinona/carotenoides)</t>
        </is>
      </c>
      <c r="L687" s="9" t="n">
        <v>360</v>
      </c>
      <c r="M687" s="7" t="inlineStr">
        <is>
          <t>g/L</t>
        </is>
      </c>
      <c r="N687" s="7" t="inlineStr">
        <is>
          <t>Registro Técnico Vinculado MAPA</t>
        </is>
      </c>
    </row>
    <row r="688" ht="22" customHeight="1">
      <c r="A688" s="12" t="inlineStr">
        <is>
          <t>CMP-0684</t>
        </is>
      </c>
      <c r="B688" s="11" t="n">
        <v>495</v>
      </c>
      <c r="C688" s="13" t="inlineStr">
        <is>
          <t>SIPEAGRO (UF-XXXXX)</t>
        </is>
      </c>
      <c r="D688" s="14" t="inlineStr">
        <is>
          <t>BENTONITA 90%S - GRANULADO - 1.200 KG</t>
        </is>
      </c>
      <c r="E688" s="11" t="n">
        <v>1</v>
      </c>
      <c r="F688" s="13" t="inlineStr">
        <is>
          <t>Ingrediente Ativo Principal</t>
        </is>
      </c>
      <c r="G688" s="13" t="inlineStr">
        <is>
          <t>ENXOFRE ELEMENTAR (S 90% m/m em Matriz de Bentonita 10%)</t>
        </is>
      </c>
      <c r="H688" s="13" t="inlineStr">
        <is>
          <t>Elemental Sulfur (S8) + Bentonite clay</t>
        </is>
      </c>
      <c r="I688" s="13" t="inlineStr">
        <is>
          <t>Fertilizante Mineral Simples Sulfurico (Pastilha Granulada)</t>
        </is>
      </c>
      <c r="J688" s="13" t="inlineStr">
        <is>
          <t>Nutrição Vegetal — Grupo S (Enxofre Elementar)</t>
        </is>
      </c>
      <c r="K688" s="13" t="inlineStr">
        <is>
          <t>Oxidação microbiológica gradual a sulfato (SO4 2-) no solo</t>
        </is>
      </c>
      <c r="L688" s="15" t="n">
        <v>90</v>
      </c>
      <c r="M688" s="13" t="inlineStr">
        <is>
          <t>% m/m</t>
        </is>
      </c>
      <c r="N688" s="13" t="inlineStr">
        <is>
          <t>Registro Técnico Vinculado MAPA</t>
        </is>
      </c>
    </row>
    <row r="689" ht="22" customHeight="1">
      <c r="A689" s="6" t="inlineStr">
        <is>
          <t>CMP-0685</t>
        </is>
      </c>
      <c r="B689" s="5" t="n">
        <v>496</v>
      </c>
      <c r="C689" s="7" t="inlineStr">
        <is>
          <t>Nº 40624</t>
        </is>
      </c>
      <c r="D689" s="8" t="inlineStr">
        <is>
          <t>CLORPIRIFOS 480 EC AGCN (IMP) AMOSTRA</t>
        </is>
      </c>
      <c r="E689" s="5" t="n">
        <v>1</v>
      </c>
      <c r="F689" s="7" t="inlineStr">
        <is>
          <t>Ingrediente Ativo Principal</t>
        </is>
      </c>
      <c r="G689" s="7" t="inlineStr">
        <is>
          <t>CLORPIRIFOS 480</t>
        </is>
      </c>
      <c r="H689" s="7" t="inlineStr">
        <is>
          <t>O,O-diethyl O-3,5,6-trichloro-2-pyridyl phosphorothioate</t>
        </is>
      </c>
      <c r="I689" s="7" t="inlineStr">
        <is>
          <t>Organofosforado</t>
        </is>
      </c>
      <c r="J689" s="7" t="inlineStr">
        <is>
          <t>IRAC Grupo 1B</t>
        </is>
      </c>
      <c r="K689" s="7" t="inlineStr">
        <is>
          <t>Inibidores da acetilcolinesterase (AChE)</t>
        </is>
      </c>
      <c r="L689" s="9" t="n">
        <v>480</v>
      </c>
      <c r="M689" s="7" t="inlineStr">
        <is>
          <t>g/L</t>
        </is>
      </c>
      <c r="N689" s="7" t="inlineStr">
        <is>
          <t>Registro Técnico Vinculado MAPA</t>
        </is>
      </c>
    </row>
    <row r="690" ht="22" customHeight="1">
      <c r="A690" s="12" t="inlineStr">
        <is>
          <t>CMP-0686</t>
        </is>
      </c>
      <c r="B690" s="11" t="n">
        <v>497</v>
      </c>
      <c r="C690" s="13" t="inlineStr">
        <is>
          <t>Nº 27717</t>
        </is>
      </c>
      <c r="D690" s="14" t="inlineStr">
        <is>
          <t>FIPRONIL 800 WG AGCN AMOSTRA 0,200KG FF IMP</t>
        </is>
      </c>
      <c r="E690" s="11" t="n">
        <v>1</v>
      </c>
      <c r="F690" s="13" t="inlineStr">
        <is>
          <t>Ingrediente Ativo Principal</t>
        </is>
      </c>
      <c r="G690" s="13" t="inlineStr">
        <is>
          <t>FIPRONIL 800</t>
        </is>
      </c>
      <c r="H690" s="13" t="inlineStr">
        <is>
          <t>(RS)-5-amino-1-(2,6-dichloro-a,a,a-trifluoro-p-tolyl)-4-trifluoromethylsulfinylpyrazole-3-carbonitrile</t>
        </is>
      </c>
      <c r="I690" s="13" t="inlineStr">
        <is>
          <t>Pirazol (Fenilpirazol)</t>
        </is>
      </c>
      <c r="J690" s="13" t="inlineStr">
        <is>
          <t>IRAC Grupo 2B</t>
        </is>
      </c>
      <c r="K690" s="13" t="inlineStr">
        <is>
          <t>Bloqueadores de canais de cloro mediados pelo GABA</t>
        </is>
      </c>
      <c r="L690" s="15" t="n">
        <v>800</v>
      </c>
      <c r="M690" s="13" t="inlineStr">
        <is>
          <t>g/kg</t>
        </is>
      </c>
      <c r="N690" s="13" t="inlineStr">
        <is>
          <t>Registro Técnico Vinculado MAPA</t>
        </is>
      </c>
    </row>
    <row r="691" ht="22" customHeight="1">
      <c r="A691" s="6" t="inlineStr">
        <is>
          <t>CMP-0687</t>
        </is>
      </c>
      <c r="B691" s="5" t="n">
        <v>498</v>
      </c>
      <c r="C691" s="7" t="inlineStr">
        <is>
          <t>Nº 14421</t>
        </is>
      </c>
      <c r="D691" s="8" t="inlineStr">
        <is>
          <t>FIPRONIL 250 FS AGCN IMP FF 0,200KG AMOSTRA</t>
        </is>
      </c>
      <c r="E691" s="5" t="n">
        <v>1</v>
      </c>
      <c r="F691" s="7" t="inlineStr">
        <is>
          <t>Ingrediente Ativo Principal</t>
        </is>
      </c>
      <c r="G691" s="7" t="inlineStr">
        <is>
          <t>FIPRONIL 250</t>
        </is>
      </c>
      <c r="H691" s="7" t="inlineStr">
        <is>
          <t>(RS)-5-amino-1-(2,6-dichloro-a,a,a-trifluoro-p-tolyl)-4-trifluoromethylsulfinylpyrazole-3-carbonitrile</t>
        </is>
      </c>
      <c r="I691" s="7" t="inlineStr">
        <is>
          <t>Pirazol (Fenilpirazol)</t>
        </is>
      </c>
      <c r="J691" s="7" t="inlineStr">
        <is>
          <t>IRAC Grupo 2B</t>
        </is>
      </c>
      <c r="K691" s="7" t="inlineStr">
        <is>
          <t>Bloqueadores de canais de cloro mediados pelo GABA</t>
        </is>
      </c>
      <c r="L691" s="9" t="n">
        <v>250</v>
      </c>
      <c r="M691" s="7" t="inlineStr">
        <is>
          <t>g/L</t>
        </is>
      </c>
      <c r="N691" s="7" t="inlineStr">
        <is>
          <t>Registro Técnico Vinculado MAPA</t>
        </is>
      </c>
    </row>
    <row r="692" ht="22" customHeight="1">
      <c r="A692" s="12" t="inlineStr">
        <is>
          <t>CMP-0688</t>
        </is>
      </c>
      <c r="B692" s="11" t="n">
        <v>499</v>
      </c>
      <c r="C692" s="13" t="inlineStr">
        <is>
          <t>Nº 34621</t>
        </is>
      </c>
      <c r="D692" s="14" t="inlineStr">
        <is>
          <t>RATEIO 200SL AMOSTRA 0,200L</t>
        </is>
      </c>
      <c r="E692" s="11" t="n">
        <v>1</v>
      </c>
      <c r="F692" s="13" t="inlineStr">
        <is>
          <t>Ingrediente Ativo Principal</t>
        </is>
      </c>
      <c r="G692" s="13" t="inlineStr">
        <is>
          <t>DIQUATE ÍON 200 g/L (Dibrometo de Diquate 373,5 g/L)</t>
        </is>
      </c>
      <c r="H692" s="13" t="inlineStr">
        <is>
          <t>9,10-dihydro-8a,10a-diazoniaphenanthrene dibromide (Dibrometo de Diquate)</t>
        </is>
      </c>
      <c r="I692" s="13" t="inlineStr">
        <is>
          <t>Bipiridílio</t>
        </is>
      </c>
      <c r="J692" s="13" t="inlineStr">
        <is>
          <t>HRAC Grupo D (22) — Desviadores de Elétrons do Fotossistema I</t>
        </is>
      </c>
      <c r="K692" s="13" t="inlineStr">
        <is>
          <t>Inibidores do Fotossistema I (geração de radicais livres peróxidos)</t>
        </is>
      </c>
      <c r="L692" s="15" t="n">
        <v>200</v>
      </c>
      <c r="M692" s="13" t="inlineStr">
        <is>
          <t>g/L</t>
        </is>
      </c>
      <c r="N692" s="13" t="inlineStr">
        <is>
          <t>Registro Técnico Vinculado MAPA</t>
        </is>
      </c>
    </row>
    <row r="693" ht="22" customHeight="1">
      <c r="A693" s="6" t="inlineStr">
        <is>
          <t>CMP-0689</t>
        </is>
      </c>
      <c r="B693" s="5" t="n">
        <v>500</v>
      </c>
      <c r="C693" s="7" t="inlineStr">
        <is>
          <t>Nº 14024</t>
        </is>
      </c>
      <c r="D693" s="8" t="inlineStr">
        <is>
          <t>ETHIPROLE</t>
        </is>
      </c>
      <c r="E693" s="5" t="n">
        <v>1</v>
      </c>
      <c r="F693" s="7" t="inlineStr">
        <is>
          <t>Ingrediente Ativo Principal</t>
        </is>
      </c>
      <c r="G693" s="7" t="inlineStr">
        <is>
          <t>ETIPROLE 200 SC</t>
        </is>
      </c>
      <c r="H693" s="7" t="inlineStr">
        <is>
          <t>5-amino-1-(2,6-dichloro-alpha,alpha,alpha-trifluoro-p-tolyl)-4-ethylsulfinylpyrazole-3-carbonitrile</t>
        </is>
      </c>
      <c r="I693" s="7" t="inlineStr">
        <is>
          <t>Fenilpirazol</t>
        </is>
      </c>
      <c r="J693" s="7" t="inlineStr">
        <is>
          <t>IRAC Grupo 2B</t>
        </is>
      </c>
      <c r="K693" s="7" t="inlineStr">
        <is>
          <t>Bloqueadores de canais de cloro mediados pelo GABA</t>
        </is>
      </c>
      <c r="L693" s="9" t="n">
        <v>200</v>
      </c>
      <c r="M693" s="7" t="inlineStr">
        <is>
          <t>g/L</t>
        </is>
      </c>
      <c r="N693" s="7" t="inlineStr">
        <is>
          <t>Registro Técnico Vinculado MAPA</t>
        </is>
      </c>
    </row>
    <row r="694" ht="22" customHeight="1">
      <c r="A694" s="12" t="inlineStr">
        <is>
          <t>CMP-0690</t>
        </is>
      </c>
      <c r="B694" s="11" t="n">
        <v>501</v>
      </c>
      <c r="C694" s="13" t="inlineStr">
        <is>
          <t>SIPEAGRO (UF-XXXXX)</t>
        </is>
      </c>
      <c r="D694" s="14" t="inlineStr">
        <is>
          <t>FERT 08.40.00 + 5 S (VALIDAR)</t>
        </is>
      </c>
      <c r="E694" s="11" t="n">
        <v>1</v>
      </c>
      <c r="F694" s="13" t="inlineStr">
        <is>
          <t>Nutriente Garantido</t>
        </is>
      </c>
      <c r="G694" s="13" t="inlineStr">
        <is>
          <t>FERTILIZANTES</t>
        </is>
      </c>
      <c r="H694" s="13" t="inlineStr">
        <is>
          <t>Composição Nutricional Oficial (FERTILIZANTES)</t>
        </is>
      </c>
      <c r="I694" s="13" t="inlineStr">
        <is>
          <t>Fertilizante Mineral / Organomineral (Lei nº 6.894/1980)</t>
        </is>
      </c>
      <c r="J694" s="13" t="inlineStr">
        <is>
          <t>Nutrição Vegetal SIPEAGRO</t>
        </is>
      </c>
      <c r="K694" s="13" t="inlineStr">
        <is>
          <t>Fornecimento de macro e micronutrientes essenciais ao metabolismo vegetal</t>
        </is>
      </c>
      <c r="L694" s="15" t="n">
        <v>100</v>
      </c>
      <c r="M694" s="13" t="inlineStr">
        <is>
          <t>% m/m</t>
        </is>
      </c>
      <c r="N694" s="13" t="inlineStr">
        <is>
          <t>Registro Técnico Vinculado MAPA</t>
        </is>
      </c>
    </row>
    <row r="695" ht="22" customHeight="1">
      <c r="A695" s="6" t="inlineStr">
        <is>
          <t>CMP-0691</t>
        </is>
      </c>
      <c r="B695" s="5" t="n">
        <v>502</v>
      </c>
      <c r="C695" s="7" t="inlineStr">
        <is>
          <t>Nº 28520</t>
        </is>
      </c>
      <c r="D695" s="8" t="inlineStr">
        <is>
          <t>SENHA WG AMOSTRA 0,200KG GG IMP</t>
        </is>
      </c>
      <c r="E695" s="5" t="n">
        <v>1</v>
      </c>
      <c r="F695" s="7" t="inlineStr">
        <is>
          <t>Ingrediente Ativo Principal</t>
        </is>
      </c>
      <c r="G695" s="7" t="inlineStr">
        <is>
          <t>GLIFOSATO 720</t>
        </is>
      </c>
      <c r="H695" s="7" t="inlineStr">
        <is>
          <t>N-(phosphonomethyl)glycine (Sal de Amônio / Isopropilamina / Potássico)</t>
        </is>
      </c>
      <c r="I695" s="7" t="inlineStr">
        <is>
          <t>Glicina substituída</t>
        </is>
      </c>
      <c r="J695" s="7" t="inlineStr">
        <is>
          <t>HRAC Grupo G (EPSPs)</t>
        </is>
      </c>
      <c r="K695" s="7" t="inlineStr">
        <is>
          <t>Inibidores da enzima EPSPs (Enoil Piruvil Shiquimato Fosfato Sintase)</t>
        </is>
      </c>
      <c r="L695" s="9" t="n">
        <v>720</v>
      </c>
      <c r="M695" s="7" t="inlineStr">
        <is>
          <t>g/kg</t>
        </is>
      </c>
      <c r="N695" s="7" t="inlineStr">
        <is>
          <t>Registro Técnico Vinculado MAPA</t>
        </is>
      </c>
    </row>
    <row r="696" ht="22" customHeight="1">
      <c r="A696" s="12" t="inlineStr">
        <is>
          <t>CMP-0692</t>
        </is>
      </c>
      <c r="B696" s="11" t="n">
        <v>503</v>
      </c>
      <c r="C696" s="13" t="inlineStr">
        <is>
          <t>Nº 26718</t>
        </is>
      </c>
      <c r="D696" s="14" t="inlineStr">
        <is>
          <t>DINKY</t>
        </is>
      </c>
      <c r="E696" s="11" t="n">
        <v>1</v>
      </c>
      <c r="F696" s="13" t="inlineStr">
        <is>
          <t>Ingrediente Ativo Principal</t>
        </is>
      </c>
      <c r="G696" s="13" t="inlineStr">
        <is>
          <t>ACETAMIPRID 200</t>
        </is>
      </c>
      <c r="H696" s="13" t="inlineStr">
        <is>
          <t>(E)-N1-[(6-chloro-3-pyridyl)methyl]-N2-cyano-N1-methylacetamidine</t>
        </is>
      </c>
      <c r="I696" s="13" t="inlineStr">
        <is>
          <t>Neonicotinoide</t>
        </is>
      </c>
      <c r="J696" s="13" t="inlineStr">
        <is>
          <t>IRAC Grupo 4A</t>
        </is>
      </c>
      <c r="K696" s="13" t="inlineStr">
        <is>
          <t>Moduladores competitivos de receptores nicotínicos da acetilcolina (nAChR)</t>
        </is>
      </c>
      <c r="L696" s="15" t="n">
        <v>200</v>
      </c>
      <c r="M696" s="13" t="inlineStr">
        <is>
          <t>g/kg</t>
        </is>
      </c>
      <c r="N696" s="13" t="inlineStr">
        <is>
          <t>Registro Técnico Vinculado MAPA</t>
        </is>
      </c>
    </row>
    <row r="697" ht="22" customHeight="1">
      <c r="A697" s="6" t="inlineStr">
        <is>
          <t>CMP-0693</t>
        </is>
      </c>
      <c r="B697" s="5" t="n">
        <v>504</v>
      </c>
      <c r="C697" s="7" t="inlineStr">
        <is>
          <t>Nº 5924</t>
        </is>
      </c>
      <c r="D697" s="8" t="inlineStr">
        <is>
          <t>FLAME WG</t>
        </is>
      </c>
      <c r="E697" s="5" t="n">
        <v>1</v>
      </c>
      <c r="F697" s="7" t="inlineStr">
        <is>
          <t>Ingrediente Ativo Principal</t>
        </is>
      </c>
      <c r="G697" s="7" t="inlineStr">
        <is>
          <t>ACETAMIPRIDO 250</t>
        </is>
      </c>
      <c r="H697" s="7" t="inlineStr">
        <is>
          <t>(E)-N1-[(6-chloro-3-pyridyl)methyl]-N2-cyano-N1-methylacetamidine</t>
        </is>
      </c>
      <c r="I697" s="7" t="inlineStr">
        <is>
          <t>Neonicotinoide</t>
        </is>
      </c>
      <c r="J697" s="7" t="inlineStr">
        <is>
          <t>IRAC Grupo 4A</t>
        </is>
      </c>
      <c r="K697" s="7" t="inlineStr">
        <is>
          <t>Moduladores competitivos de receptores nicotínicos da acetilcolina (nAChR)</t>
        </is>
      </c>
      <c r="L697" s="9" t="n">
        <v>250</v>
      </c>
      <c r="M697" s="7" t="inlineStr">
        <is>
          <t>g/kg</t>
        </is>
      </c>
      <c r="N697" s="7" t="inlineStr">
        <is>
          <t>Registro Técnico Vinculado MAPA</t>
        </is>
      </c>
    </row>
    <row r="698" ht="22" customHeight="1">
      <c r="A698" s="12" t="inlineStr">
        <is>
          <t>CMP-0694</t>
        </is>
      </c>
      <c r="B698" s="11" t="n">
        <v>504</v>
      </c>
      <c r="C698" s="13" t="inlineStr">
        <is>
          <t>Nº 5924</t>
        </is>
      </c>
      <c r="D698" s="14" t="inlineStr">
        <is>
          <t>FLAME WG</t>
        </is>
      </c>
      <c r="E698" s="11" t="n">
        <v>2</v>
      </c>
      <c r="F698" s="13" t="inlineStr">
        <is>
          <t>Ingrediente Ativo Principal</t>
        </is>
      </c>
      <c r="G698" s="13" t="inlineStr">
        <is>
          <t>BIFENTRINA 250</t>
        </is>
      </c>
      <c r="H698" s="13" t="inlineStr">
        <is>
          <t>2-methylbiphenyl-3-ylmethyl (Z)-(1RS,3RS)-3-(2-chloro-3,3,3-trifluoroprop-1-enyl)-2,2-dimethylcyclopropanecarboxylate</t>
        </is>
      </c>
      <c r="I698" s="13" t="inlineStr">
        <is>
          <t>Piretroide (Tipo I)</t>
        </is>
      </c>
      <c r="J698" s="13" t="inlineStr">
        <is>
          <t>IRAC Grupo 3A</t>
        </is>
      </c>
      <c r="K698" s="13" t="inlineStr">
        <is>
          <t>Moduladores de canais de sódio em membranas nervosas</t>
        </is>
      </c>
      <c r="L698" s="15" t="n">
        <v>250</v>
      </c>
      <c r="M698" s="13" t="inlineStr">
        <is>
          <t>g/kg</t>
        </is>
      </c>
      <c r="N698" s="13" t="inlineStr">
        <is>
          <t>Registro Técnico Vinculado MAPA</t>
        </is>
      </c>
    </row>
    <row r="699" ht="22" customHeight="1">
      <c r="A699" s="6" t="inlineStr">
        <is>
          <t>CMP-0695</t>
        </is>
      </c>
      <c r="B699" s="5" t="n">
        <v>505</v>
      </c>
      <c r="C699" s="7" t="inlineStr">
        <is>
          <t>Nº 6313</t>
        </is>
      </c>
      <c r="D699" s="8" t="inlineStr">
        <is>
          <t>MANFIL 800 WP</t>
        </is>
      </c>
      <c r="E699" s="5" t="n">
        <v>1</v>
      </c>
      <c r="F699" s="7" t="inlineStr">
        <is>
          <t>Ingrediente Ativo Principal</t>
        </is>
      </c>
      <c r="G699" s="7" t="inlineStr">
        <is>
          <t>MANCOZEB 800</t>
        </is>
      </c>
      <c r="H699" s="7" t="inlineStr">
        <is>
          <t>Manganese ethylenebis(dithiocarbamate) (polymeric) complex with zinc salt</t>
        </is>
      </c>
      <c r="I699" s="7" t="inlineStr">
        <is>
          <t>Alquilenobis(ditiocarbamato)</t>
        </is>
      </c>
      <c r="J699" s="7" t="inlineStr">
        <is>
          <t>FRAC Grupo M03 — Multissítio</t>
        </is>
      </c>
      <c r="K699" s="7" t="inlineStr">
        <is>
          <t>Inibidor multissítio de enzimas contendo grupos sulfidrila e aminoácidos fúngicos</t>
        </is>
      </c>
      <c r="L699" s="9" t="n">
        <v>800</v>
      </c>
      <c r="M699" s="7" t="inlineStr">
        <is>
          <t>g/kg</t>
        </is>
      </c>
      <c r="N699" s="7" t="inlineStr">
        <is>
          <t>Registro Técnico Vinculado MAPA</t>
        </is>
      </c>
    </row>
    <row r="700" ht="22" customHeight="1">
      <c r="A700" s="12" t="inlineStr">
        <is>
          <t>CMP-0696</t>
        </is>
      </c>
      <c r="B700" s="11" t="n">
        <v>506</v>
      </c>
      <c r="C700" s="13" t="inlineStr">
        <is>
          <t>Nº 4900</t>
        </is>
      </c>
      <c r="D700" s="14" t="inlineStr">
        <is>
          <t>CONVERGE 400 EC</t>
        </is>
      </c>
      <c r="E700" s="11" t="n">
        <v>1</v>
      </c>
      <c r="F700" s="13" t="inlineStr">
        <is>
          <t>Ingrediente Ativo Principal</t>
        </is>
      </c>
      <c r="G700" s="13" t="inlineStr">
        <is>
          <t>CARFENTRAZONA ETILICA 400</t>
        </is>
      </c>
      <c r="H700" s="13" t="inlineStr">
        <is>
          <t>Ethyl (RS)-2-chloro-3-[2-chloro-5-[4-(difluoromethyl)-4,5-dihydro-3-methyl-5-oxo-1H-1,2,4-triazol-1-yl]-4-fluorophenyl]propionate</t>
        </is>
      </c>
      <c r="I700" s="13" t="inlineStr">
        <is>
          <t>Triazolinona</t>
        </is>
      </c>
      <c r="J700" s="13" t="inlineStr">
        <is>
          <t>HRAC Grupo E (14) — Inibidores da PROTOX</t>
        </is>
      </c>
      <c r="K700" s="13" t="inlineStr">
        <is>
          <t>Inibidores da enzima protoporfirinogênio oxidase (PROTOX)</t>
        </is>
      </c>
      <c r="L700" s="15" t="n">
        <v>400</v>
      </c>
      <c r="M700" s="13" t="inlineStr">
        <is>
          <t>g/L</t>
        </is>
      </c>
      <c r="N700" s="13" t="inlineStr">
        <is>
          <t>Registro Técnico Vinculado MAPA</t>
        </is>
      </c>
    </row>
    <row r="701" ht="22" customHeight="1">
      <c r="A701" s="6" t="inlineStr">
        <is>
          <t>CMP-0697</t>
        </is>
      </c>
      <c r="B701" s="5" t="n">
        <v>507</v>
      </c>
      <c r="C701" s="7" t="inlineStr">
        <is>
          <t>Nº 1109</t>
        </is>
      </c>
      <c r="D701" s="8" t="inlineStr">
        <is>
          <t>TROVATI 360 CS</t>
        </is>
      </c>
      <c r="E701" s="5" t="n">
        <v>1</v>
      </c>
      <c r="F701" s="7" t="inlineStr">
        <is>
          <t>Ingrediente Ativo Principal</t>
        </is>
      </c>
      <c r="G701" s="7" t="inlineStr">
        <is>
          <t>CLOMAZONA 360</t>
        </is>
      </c>
      <c r="H701" s="7" t="inlineStr">
        <is>
          <t>2-(2-chlorobenzyl)-4,4-dimethyl-1,2-oxazolidin-3-one</t>
        </is>
      </c>
      <c r="I701" s="7" t="inlineStr">
        <is>
          <t>Isoxazolidinona</t>
        </is>
      </c>
      <c r="J701" s="7" t="inlineStr">
        <is>
          <t>HRAC Grupo F4 (13) — Inibidores da DOXP sintase</t>
        </is>
      </c>
      <c r="K701" s="7" t="inlineStr">
        <is>
          <t>Inibidores da 1-deoxi-D-xilulose 5-fosfato sintase (biossíntese de plastoquinona/carotenoides)</t>
        </is>
      </c>
      <c r="L701" s="9" t="n">
        <v>360</v>
      </c>
      <c r="M701" s="7" t="inlineStr">
        <is>
          <t>g/L</t>
        </is>
      </c>
      <c r="N701" s="7" t="inlineStr">
        <is>
          <t>Registro Técnico Vinculado MAPA</t>
        </is>
      </c>
    </row>
    <row r="702" ht="22" customHeight="1">
      <c r="A702" s="12" t="inlineStr">
        <is>
          <t>CMP-0698</t>
        </is>
      </c>
      <c r="B702" s="11" t="n">
        <v>508</v>
      </c>
      <c r="C702" s="13" t="inlineStr">
        <is>
          <t>Nº 19018</t>
        </is>
      </c>
      <c r="D702" s="14" t="inlineStr">
        <is>
          <t>CLETODIM CARTAGO BLD I</t>
        </is>
      </c>
      <c r="E702" s="11" t="n">
        <v>1</v>
      </c>
      <c r="F702" s="13" t="inlineStr">
        <is>
          <t>Ingrediente Ativo Principal</t>
        </is>
      </c>
      <c r="G702" s="13" t="inlineStr">
        <is>
          <t>CLETODIM 240</t>
        </is>
      </c>
      <c r="H702" s="13" t="inlineStr">
        <is>
          <t>(RS)-2-[(E)-1-[(E)-3-chloroallyloxyimino]propyl]-5-[2-(ethylthio)propyl]-3-hydroxycyclohex-2-en-1-one</t>
        </is>
      </c>
      <c r="I702" s="13" t="inlineStr">
        <is>
          <t>Oxima ciclohexanodiona (DIM)</t>
        </is>
      </c>
      <c r="J702" s="13" t="inlineStr">
        <is>
          <t>HRAC Grupo A (1) — Inibidores da ACCase</t>
        </is>
      </c>
      <c r="K702" s="13" t="inlineStr">
        <is>
          <t>Inibidores da Acetil CoA Carboxilase (ACCase)</t>
        </is>
      </c>
      <c r="L702" s="15" t="n">
        <v>240</v>
      </c>
      <c r="M702" s="13" t="inlineStr">
        <is>
          <t>g/L</t>
        </is>
      </c>
      <c r="N702" s="13" t="inlineStr">
        <is>
          <t>Registro Técnico Vinculado MAPA</t>
        </is>
      </c>
    </row>
    <row r="703" ht="22" customHeight="1">
      <c r="A703" s="6" t="inlineStr">
        <is>
          <t>CMP-0699</t>
        </is>
      </c>
      <c r="B703" s="5" t="n">
        <v>509</v>
      </c>
      <c r="C703" s="7" t="inlineStr">
        <is>
          <t>Nº 36419</t>
        </is>
      </c>
      <c r="D703" s="8" t="inlineStr">
        <is>
          <t>PIRIPROXIFEM 100 SINO-AGRI IMP 0,200L AMOSTRA</t>
        </is>
      </c>
      <c r="E703" s="5" t="n">
        <v>1</v>
      </c>
      <c r="F703" s="7" t="inlineStr">
        <is>
          <t>Ingrediente Ativo Principal</t>
        </is>
      </c>
      <c r="G703" s="7" t="inlineStr">
        <is>
          <t>PIRIPROXIFEM 100</t>
        </is>
      </c>
      <c r="H703" s="7" t="inlineStr">
        <is>
          <t>4-phenoxyphenyl (RS)-2-(2-pyridyloxy)propyl ether</t>
        </is>
      </c>
      <c r="I703" s="7" t="inlineStr">
        <is>
          <t>Éter piridiloxipropílico</t>
        </is>
      </c>
      <c r="J703" s="7" t="inlineStr">
        <is>
          <t>IRAC Grupo 7C</t>
        </is>
      </c>
      <c r="K703" s="7" t="inlineStr">
        <is>
          <t>Mimetizadores do hormônio juvenil (Juvenoides)</t>
        </is>
      </c>
      <c r="L703" s="9" t="n">
        <v>100</v>
      </c>
      <c r="M703" s="7" t="inlineStr">
        <is>
          <t>g/L</t>
        </is>
      </c>
      <c r="N703" s="7" t="inlineStr">
        <is>
          <t>Registro Técnico Vinculado MAPA</t>
        </is>
      </c>
    </row>
    <row r="704" ht="22" customHeight="1">
      <c r="A704" s="12" t="inlineStr">
        <is>
          <t>CMP-0700</t>
        </is>
      </c>
      <c r="B704" s="11" t="n">
        <v>510</v>
      </c>
      <c r="C704" s="13" t="inlineStr">
        <is>
          <t>Nº 2520</t>
        </is>
      </c>
      <c r="D704" s="14" t="inlineStr">
        <is>
          <t>SURVEY 250 FS</t>
        </is>
      </c>
      <c r="E704" s="11" t="n">
        <v>1</v>
      </c>
      <c r="F704" s="13" t="inlineStr">
        <is>
          <t>Ingrediente Ativo Principal</t>
        </is>
      </c>
      <c r="G704" s="13" t="inlineStr">
        <is>
          <t>FIPRONIL 250</t>
        </is>
      </c>
      <c r="H704" s="13" t="inlineStr">
        <is>
          <t>(RS)-5-amino-1-(2,6-dichloro-a,a,a-trifluoro-p-tolyl)-4-trifluoromethylsulfinylpyrazole-3-carbonitrile</t>
        </is>
      </c>
      <c r="I704" s="13" t="inlineStr">
        <is>
          <t>Pirazol (Fenilpirazol)</t>
        </is>
      </c>
      <c r="J704" s="13" t="inlineStr">
        <is>
          <t>IRAC Grupo 2B</t>
        </is>
      </c>
      <c r="K704" s="13" t="inlineStr">
        <is>
          <t>Bloqueadores de canais de cloro mediados pelo GABA</t>
        </is>
      </c>
      <c r="L704" s="15" t="n">
        <v>250</v>
      </c>
      <c r="M704" s="13" t="inlineStr">
        <is>
          <t>g/L</t>
        </is>
      </c>
      <c r="N704" s="13" t="inlineStr">
        <is>
          <t>Registro Técnico Vinculado MAPA</t>
        </is>
      </c>
    </row>
    <row r="705" ht="22" customHeight="1">
      <c r="A705" s="6" t="inlineStr">
        <is>
          <t>CMP-0701</t>
        </is>
      </c>
      <c r="B705" s="5" t="n">
        <v>511</v>
      </c>
      <c r="C705" s="7" t="inlineStr">
        <is>
          <t>Nº 34621</t>
        </is>
      </c>
      <c r="D705" s="8" t="inlineStr">
        <is>
          <t>RATEIO 200 SL</t>
        </is>
      </c>
      <c r="E705" s="5" t="n">
        <v>1</v>
      </c>
      <c r="F705" s="7" t="inlineStr">
        <is>
          <t>Ingrediente Ativo Principal</t>
        </is>
      </c>
      <c r="G705" s="7" t="inlineStr">
        <is>
          <t>DIQUATE ÍON 200 g/L (Dibrometo de Diquate 373,5 g/L)</t>
        </is>
      </c>
      <c r="H705" s="7" t="inlineStr">
        <is>
          <t>9,10-dihydro-8a,10a-diazoniaphenanthrene dibromide (Dibrometo de Diquate)</t>
        </is>
      </c>
      <c r="I705" s="7" t="inlineStr">
        <is>
          <t>Bipiridílio</t>
        </is>
      </c>
      <c r="J705" s="7" t="inlineStr">
        <is>
          <t>HRAC Grupo D (22) — Desviadores de Elétrons do Fotossistema I</t>
        </is>
      </c>
      <c r="K705" s="7" t="inlineStr">
        <is>
          <t>Inibidores do Fotossistema I (geração de radicais livres peróxidos)</t>
        </is>
      </c>
      <c r="L705" s="9" t="n">
        <v>200</v>
      </c>
      <c r="M705" s="7" t="inlineStr">
        <is>
          <t>g/L</t>
        </is>
      </c>
      <c r="N705" s="7" t="inlineStr">
        <is>
          <t>Registro Técnico Vinculado MAPA</t>
        </is>
      </c>
    </row>
    <row r="706" ht="22" customHeight="1">
      <c r="A706" s="12" t="inlineStr">
        <is>
          <t>CMP-0702</t>
        </is>
      </c>
      <c r="B706" s="11" t="n">
        <v>512</v>
      </c>
      <c r="C706" s="13" t="inlineStr">
        <is>
          <t>Nº 5924</t>
        </is>
      </c>
      <c r="D706" s="14" t="inlineStr">
        <is>
          <t>FLAME WG</t>
        </is>
      </c>
      <c r="E706" s="11" t="n">
        <v>1</v>
      </c>
      <c r="F706" s="13" t="inlineStr">
        <is>
          <t>Ingrediente Ativo Principal</t>
        </is>
      </c>
      <c r="G706" s="13" t="inlineStr">
        <is>
          <t>ACETAMIPRIDO 250</t>
        </is>
      </c>
      <c r="H706" s="13" t="inlineStr">
        <is>
          <t>(E)-N1-[(6-chloro-3-pyridyl)methyl]-N2-cyano-N1-methylacetamidine</t>
        </is>
      </c>
      <c r="I706" s="13" t="inlineStr">
        <is>
          <t>Neonicotinoide</t>
        </is>
      </c>
      <c r="J706" s="13" t="inlineStr">
        <is>
          <t>IRAC Grupo 4A</t>
        </is>
      </c>
      <c r="K706" s="13" t="inlineStr">
        <is>
          <t>Moduladores competitivos de receptores nicotínicos da acetilcolina (nAChR)</t>
        </is>
      </c>
      <c r="L706" s="15" t="n">
        <v>250</v>
      </c>
      <c r="M706" s="13" t="inlineStr">
        <is>
          <t>g/kg</t>
        </is>
      </c>
      <c r="N706" s="13" t="inlineStr">
        <is>
          <t>Registro Técnico Vinculado MAPA</t>
        </is>
      </c>
    </row>
    <row r="707" ht="22" customHeight="1">
      <c r="A707" s="6" t="inlineStr">
        <is>
          <t>CMP-0703</t>
        </is>
      </c>
      <c r="B707" s="5" t="n">
        <v>512</v>
      </c>
      <c r="C707" s="7" t="inlineStr">
        <is>
          <t>Nº 5924</t>
        </is>
      </c>
      <c r="D707" s="8" t="inlineStr">
        <is>
          <t>FLAME WG</t>
        </is>
      </c>
      <c r="E707" s="5" t="n">
        <v>2</v>
      </c>
      <c r="F707" s="7" t="inlineStr">
        <is>
          <t>Ingrediente Ativo Principal</t>
        </is>
      </c>
      <c r="G707" s="7" t="inlineStr">
        <is>
          <t>BIFENTRINA 250</t>
        </is>
      </c>
      <c r="H707" s="7" t="inlineStr">
        <is>
          <t>2-methylbiphenyl-3-ylmethyl (Z)-(1RS,3RS)-3-(2-chloro-3,3,3-trifluoroprop-1-enyl)-2,2-dimethylcyclopropanecarboxylate</t>
        </is>
      </c>
      <c r="I707" s="7" t="inlineStr">
        <is>
          <t>Piretroide (Tipo I)</t>
        </is>
      </c>
      <c r="J707" s="7" t="inlineStr">
        <is>
          <t>IRAC Grupo 3A</t>
        </is>
      </c>
      <c r="K707" s="7" t="inlineStr">
        <is>
          <t>Moduladores de canais de sódio em membranas nervosas</t>
        </is>
      </c>
      <c r="L707" s="9" t="n">
        <v>250</v>
      </c>
      <c r="M707" s="7" t="inlineStr">
        <is>
          <t>g/kg</t>
        </is>
      </c>
      <c r="N707" s="7" t="inlineStr">
        <is>
          <t>Registro Técnico Vinculado MAPA</t>
        </is>
      </c>
    </row>
    <row r="708" ht="22" customHeight="1">
      <c r="A708" s="12" t="inlineStr">
        <is>
          <t>CMP-0704</t>
        </is>
      </c>
      <c r="B708" s="11" t="n">
        <v>513</v>
      </c>
      <c r="C708" s="13" t="inlineStr">
        <is>
          <t>SIPEAGRO (UF-XXXXX)</t>
        </is>
      </c>
      <c r="D708" s="14" t="inlineStr">
        <is>
          <t>AGCN PRO +</t>
        </is>
      </c>
      <c r="E708" s="11" t="n">
        <v>1</v>
      </c>
      <c r="F708" s="13" t="inlineStr">
        <is>
          <t>Nutriente Garantido</t>
        </is>
      </c>
      <c r="G708" s="13" t="inlineStr">
        <is>
          <t>Macros e Micros N 12,0%</t>
        </is>
      </c>
      <c r="H708" s="13" t="inlineStr">
        <is>
          <t>Composição Nutricional Oficial (Macros e Micros N 12,0%)</t>
        </is>
      </c>
      <c r="I708" s="13" t="inlineStr">
        <is>
          <t>Fertilizante Mineral / Organomineral (Lei nº 6.894/1980)</t>
        </is>
      </c>
      <c r="J708" s="13" t="inlineStr">
        <is>
          <t>Nutrição Vegetal SIPEAGRO</t>
        </is>
      </c>
      <c r="K708" s="13" t="inlineStr">
        <is>
          <t>Fornecimento de macro e micronutrientes essenciais ao metabolismo vegetal</t>
        </is>
      </c>
      <c r="L708" s="15" t="n">
        <v>12</v>
      </c>
      <c r="M708" s="13" t="inlineStr">
        <is>
          <t>% m/m</t>
        </is>
      </c>
      <c r="N708" s="13" t="inlineStr">
        <is>
          <t>Registro Técnico Vinculado MAPA</t>
        </is>
      </c>
    </row>
    <row r="709" ht="22" customHeight="1">
      <c r="A709" s="6" t="inlineStr">
        <is>
          <t>CMP-0705</t>
        </is>
      </c>
      <c r="B709" s="5" t="n">
        <v>513</v>
      </c>
      <c r="C709" s="7" t="inlineStr">
        <is>
          <t>SIPEAGRO (UF-XXXXX)</t>
        </is>
      </c>
      <c r="D709" s="8" t="inlineStr">
        <is>
          <t>AGCN PRO +</t>
        </is>
      </c>
      <c r="E709" s="5" t="n">
        <v>2</v>
      </c>
      <c r="F709" s="7" t="inlineStr">
        <is>
          <t>Nutriente Garantido</t>
        </is>
      </c>
      <c r="G709" s="7" t="inlineStr">
        <is>
          <t>K2O 3,0%</t>
        </is>
      </c>
      <c r="H709" s="7" t="inlineStr">
        <is>
          <t>Composição Nutricional Oficial (K2O 3,0%)</t>
        </is>
      </c>
      <c r="I709" s="7" t="inlineStr">
        <is>
          <t>Fertilizante Mineral / Organomineral (Lei nº 6.894/1980)</t>
        </is>
      </c>
      <c r="J709" s="7" t="inlineStr">
        <is>
          <t>Nutrição Vegetal SIPEAGRO</t>
        </is>
      </c>
      <c r="K709" s="7" t="inlineStr">
        <is>
          <t>Fornecimento de macro e micronutrientes essenciais ao metabolismo vegetal</t>
        </is>
      </c>
      <c r="L709" s="9" t="n">
        <v>3</v>
      </c>
      <c r="M709" s="7" t="inlineStr">
        <is>
          <t>% m/m</t>
        </is>
      </c>
      <c r="N709" s="7" t="inlineStr">
        <is>
          <t>Registro Técnico Vinculado MAPA</t>
        </is>
      </c>
    </row>
    <row r="710" ht="22" customHeight="1">
      <c r="A710" s="12" t="inlineStr">
        <is>
          <t>CMP-0706</t>
        </is>
      </c>
      <c r="B710" s="11" t="n">
        <v>513</v>
      </c>
      <c r="C710" s="13" t="inlineStr">
        <is>
          <t>SIPEAGRO (UF-XXXXX)</t>
        </is>
      </c>
      <c r="D710" s="14" t="inlineStr">
        <is>
          <t>AGCN PRO +</t>
        </is>
      </c>
      <c r="E710" s="11" t="n">
        <v>3</v>
      </c>
      <c r="F710" s="13" t="inlineStr">
        <is>
          <t>Nutriente Garantido</t>
        </is>
      </c>
      <c r="G710" s="13" t="inlineStr">
        <is>
          <t>S 8,5%</t>
        </is>
      </c>
      <c r="H710" s="13" t="inlineStr">
        <is>
          <t>Composição Nutricional Oficial (S 8,5%)</t>
        </is>
      </c>
      <c r="I710" s="13" t="inlineStr">
        <is>
          <t>Fertilizante Mineral / Organomineral (Lei nº 6.894/1980)</t>
        </is>
      </c>
      <c r="J710" s="13" t="inlineStr">
        <is>
          <t>Nutrição Vegetal SIPEAGRO</t>
        </is>
      </c>
      <c r="K710" s="13" t="inlineStr">
        <is>
          <t>Fornecimento de macro e micronutrientes essenciais ao metabolismo vegetal</t>
        </is>
      </c>
      <c r="L710" s="18" t="n">
        <v>8.5</v>
      </c>
      <c r="M710" s="13" t="inlineStr">
        <is>
          <t>% m/m</t>
        </is>
      </c>
      <c r="N710" s="13" t="inlineStr">
        <is>
          <t>Registro Técnico Vinculado MAPA</t>
        </is>
      </c>
    </row>
    <row r="711" ht="22" customHeight="1">
      <c r="A711" s="6" t="inlineStr">
        <is>
          <t>CMP-0707</t>
        </is>
      </c>
      <c r="B711" s="5" t="n">
        <v>513</v>
      </c>
      <c r="C711" s="7" t="inlineStr">
        <is>
          <t>SIPEAGRO (UF-XXXXX)</t>
        </is>
      </c>
      <c r="D711" s="8" t="inlineStr">
        <is>
          <t>AGCN PRO +</t>
        </is>
      </c>
      <c r="E711" s="5" t="n">
        <v>4</v>
      </c>
      <c r="F711" s="7" t="inlineStr">
        <is>
          <t>Nutriente Garantido</t>
        </is>
      </c>
      <c r="G711" s="7" t="inlineStr">
        <is>
          <t>Zn 9,0%</t>
        </is>
      </c>
      <c r="H711" s="7" t="inlineStr">
        <is>
          <t>Composição Nutricional Oficial (Zn 9,0%)</t>
        </is>
      </c>
      <c r="I711" s="7" t="inlineStr">
        <is>
          <t>Fertilizante Mineral / Organomineral (Lei nº 6.894/1980)</t>
        </is>
      </c>
      <c r="J711" s="7" t="inlineStr">
        <is>
          <t>Nutrição Vegetal SIPEAGRO</t>
        </is>
      </c>
      <c r="K711" s="7" t="inlineStr">
        <is>
          <t>Fornecimento de macro e micronutrientes essenciais ao metabolismo vegetal</t>
        </is>
      </c>
      <c r="L711" s="9" t="n">
        <v>9</v>
      </c>
      <c r="M711" s="7" t="inlineStr">
        <is>
          <t>% m/m</t>
        </is>
      </c>
      <c r="N711" s="7" t="inlineStr">
        <is>
          <t>Registro Técnico Vinculado MAPA</t>
        </is>
      </c>
    </row>
    <row r="712" ht="22" customHeight="1">
      <c r="A712" s="12" t="inlineStr">
        <is>
          <t>CMP-0708</t>
        </is>
      </c>
      <c r="B712" s="11" t="n">
        <v>513</v>
      </c>
      <c r="C712" s="13" t="inlineStr">
        <is>
          <t>SIPEAGRO (UF-XXXXX)</t>
        </is>
      </c>
      <c r="D712" s="14" t="inlineStr">
        <is>
          <t>AGCN PRO +</t>
        </is>
      </c>
      <c r="E712" s="11" t="n">
        <v>5</v>
      </c>
      <c r="F712" s="13" t="inlineStr">
        <is>
          <t>Nutriente Garantido</t>
        </is>
      </c>
      <c r="G712" s="13" t="inlineStr">
        <is>
          <t>Mn 6,5%</t>
        </is>
      </c>
      <c r="H712" s="13" t="inlineStr">
        <is>
          <t>Composição Nutricional Oficial (Mn 6,5%)</t>
        </is>
      </c>
      <c r="I712" s="13" t="inlineStr">
        <is>
          <t>Fertilizante Mineral / Organomineral (Lei nº 6.894/1980)</t>
        </is>
      </c>
      <c r="J712" s="13" t="inlineStr">
        <is>
          <t>Nutrição Vegetal SIPEAGRO</t>
        </is>
      </c>
      <c r="K712" s="13" t="inlineStr">
        <is>
          <t>Fornecimento de macro e micronutrientes essenciais ao metabolismo vegetal</t>
        </is>
      </c>
      <c r="L712" s="18" t="n">
        <v>6.5</v>
      </c>
      <c r="M712" s="13" t="inlineStr">
        <is>
          <t>% m/m</t>
        </is>
      </c>
      <c r="N712" s="13" t="inlineStr">
        <is>
          <t>Registro Técnico Vinculado MAPA</t>
        </is>
      </c>
    </row>
    <row r="713" ht="22" customHeight="1">
      <c r="A713" s="6" t="inlineStr">
        <is>
          <t>CMP-0709</t>
        </is>
      </c>
      <c r="B713" s="5" t="n">
        <v>513</v>
      </c>
      <c r="C713" s="7" t="inlineStr">
        <is>
          <t>SIPEAGRO (UF-XXXXX)</t>
        </is>
      </c>
      <c r="D713" s="8" t="inlineStr">
        <is>
          <t>AGCN PRO +</t>
        </is>
      </c>
      <c r="E713" s="5" t="n">
        <v>6</v>
      </c>
      <c r="F713" s="7" t="inlineStr">
        <is>
          <t>Nutriente Garantido</t>
        </is>
      </c>
      <c r="G713" s="7" t="inlineStr">
        <is>
          <t>B 2,0%</t>
        </is>
      </c>
      <c r="H713" s="7" t="inlineStr">
        <is>
          <t>Composição Nutricional Oficial (B 2,0%)</t>
        </is>
      </c>
      <c r="I713" s="7" t="inlineStr">
        <is>
          <t>Fertilizante Mineral / Organomineral (Lei nº 6.894/1980)</t>
        </is>
      </c>
      <c r="J713" s="7" t="inlineStr">
        <is>
          <t>Nutrição Vegetal SIPEAGRO</t>
        </is>
      </c>
      <c r="K713" s="7" t="inlineStr">
        <is>
          <t>Fornecimento de macro e micronutrientes essenciais ao metabolismo vegetal</t>
        </is>
      </c>
      <c r="L713" s="9" t="n">
        <v>2</v>
      </c>
      <c r="M713" s="7" t="inlineStr">
        <is>
          <t>% m/m</t>
        </is>
      </c>
      <c r="N713" s="7" t="inlineStr">
        <is>
          <t>Registro Técnico Vinculado MAPA</t>
        </is>
      </c>
    </row>
    <row r="714" ht="22" customHeight="1">
      <c r="A714" s="12" t="inlineStr">
        <is>
          <t>CMP-0710</t>
        </is>
      </c>
      <c r="B714" s="11" t="n">
        <v>513</v>
      </c>
      <c r="C714" s="13" t="inlineStr">
        <is>
          <t>SIPEAGRO (UF-XXXXX)</t>
        </is>
      </c>
      <c r="D714" s="14" t="inlineStr">
        <is>
          <t>AGCN PRO +</t>
        </is>
      </c>
      <c r="E714" s="11" t="n">
        <v>7</v>
      </c>
      <c r="F714" s="13" t="inlineStr">
        <is>
          <t>Nutriente Garantido</t>
        </is>
      </c>
      <c r="G714" s="13" t="inlineStr">
        <is>
          <t>Mg 1,0%</t>
        </is>
      </c>
      <c r="H714" s="13" t="inlineStr">
        <is>
          <t>Composição Nutricional Oficial (Mg 1,0%)</t>
        </is>
      </c>
      <c r="I714" s="13" t="inlineStr">
        <is>
          <t>Fertilizante Mineral / Organomineral (Lei nº 6.894/1980)</t>
        </is>
      </c>
      <c r="J714" s="13" t="inlineStr">
        <is>
          <t>Nutrição Vegetal SIPEAGRO</t>
        </is>
      </c>
      <c r="K714" s="13" t="inlineStr">
        <is>
          <t>Fornecimento de macro e micronutrientes essenciais ao metabolismo vegetal</t>
        </is>
      </c>
      <c r="L714" s="15" t="n">
        <v>1</v>
      </c>
      <c r="M714" s="13" t="inlineStr">
        <is>
          <t>% m/m</t>
        </is>
      </c>
      <c r="N714" s="13" t="inlineStr">
        <is>
          <t>Registro Técnico Vinculado MAPA</t>
        </is>
      </c>
    </row>
    <row r="715" ht="22" customHeight="1">
      <c r="A715" s="6" t="inlineStr">
        <is>
          <t>CMP-0711</t>
        </is>
      </c>
      <c r="B715" s="5" t="n">
        <v>513</v>
      </c>
      <c r="C715" s="7" t="inlineStr">
        <is>
          <t>SIPEAGRO (UF-XXXXX)</t>
        </is>
      </c>
      <c r="D715" s="8" t="inlineStr">
        <is>
          <t>AGCN PRO +</t>
        </is>
      </c>
      <c r="E715" s="5" t="n">
        <v>8</v>
      </c>
      <c r="F715" s="7" t="inlineStr">
        <is>
          <t>Nutriente Garantido</t>
        </is>
      </c>
      <c r="G715" s="7" t="inlineStr">
        <is>
          <t>Mo</t>
        </is>
      </c>
      <c r="H715" s="7" t="inlineStr">
        <is>
          <t>Composição Nutricional Oficial (Mo)</t>
        </is>
      </c>
      <c r="I715" s="7" t="inlineStr">
        <is>
          <t>Fertilizante Mineral / Organomineral (Lei nº 6.894/1980)</t>
        </is>
      </c>
      <c r="J715" s="7" t="inlineStr">
        <is>
          <t>Nutrição Vegetal SIPEAGRO</t>
        </is>
      </c>
      <c r="K715" s="7" t="inlineStr">
        <is>
          <t>Fornecimento de macro e micronutrientes essenciais ao metabolismo vegetal</t>
        </is>
      </c>
      <c r="L715" s="17" t="n">
        <v>0.1</v>
      </c>
      <c r="M715" s="7" t="inlineStr">
        <is>
          <t>% m/m</t>
        </is>
      </c>
      <c r="N715" s="7" t="inlineStr">
        <is>
          <t>Registro Técnico Vinculado MAPA</t>
        </is>
      </c>
    </row>
    <row r="716" ht="22" customHeight="1">
      <c r="A716" s="12" t="inlineStr">
        <is>
          <t>CMP-0712</t>
        </is>
      </c>
      <c r="B716" s="11" t="n">
        <v>514</v>
      </c>
      <c r="C716" s="13" t="inlineStr">
        <is>
          <t>Nº 31522</t>
        </is>
      </c>
      <c r="D716" s="14" t="inlineStr">
        <is>
          <t>METOMY 900 IMP 0,200L AMOSTRA</t>
        </is>
      </c>
      <c r="E716" s="11" t="n">
        <v>1</v>
      </c>
      <c r="F716" s="13" t="inlineStr">
        <is>
          <t>Ingrediente Ativo Principal</t>
        </is>
      </c>
      <c r="G716" s="13" t="inlineStr">
        <is>
          <t>METOMIL 900</t>
        </is>
      </c>
      <c r="H716" s="13" t="inlineStr">
        <is>
          <t>S-methyl N-(methylcarbamoyloxy)thioacetimidate</t>
        </is>
      </c>
      <c r="I716" s="13" t="inlineStr">
        <is>
          <t>Metilcarbamato de oxima</t>
        </is>
      </c>
      <c r="J716" s="13" t="inlineStr">
        <is>
          <t>IRAC Grupo 1A</t>
        </is>
      </c>
      <c r="K716" s="13" t="inlineStr">
        <is>
          <t>Inibidores reversíveis da enzima acetilcolinesterase (AChE)</t>
        </is>
      </c>
      <c r="L716" s="15" t="n">
        <v>900</v>
      </c>
      <c r="M716" s="13" t="inlineStr">
        <is>
          <t>g/kg</t>
        </is>
      </c>
      <c r="N716" s="13" t="inlineStr">
        <is>
          <t>Registro Técnico Vinculado MAPA</t>
        </is>
      </c>
    </row>
    <row r="717" ht="22" customHeight="1">
      <c r="A717" s="6" t="inlineStr">
        <is>
          <t>CMP-0713</t>
        </is>
      </c>
      <c r="B717" s="5" t="n">
        <v>515</v>
      </c>
      <c r="C717" s="7" t="inlineStr">
        <is>
          <t>Nº 22221</t>
        </is>
      </c>
      <c r="D717" s="8" t="inlineStr">
        <is>
          <t>GRASIDIM IMP 0,200L AMOSTRA</t>
        </is>
      </c>
      <c r="E717" s="5" t="n">
        <v>1</v>
      </c>
      <c r="F717" s="7" t="inlineStr">
        <is>
          <t>Ingrediente Ativo Principal</t>
        </is>
      </c>
      <c r="G717" s="7" t="inlineStr">
        <is>
          <t>CLETODIM 240</t>
        </is>
      </c>
      <c r="H717" s="7" t="inlineStr">
        <is>
          <t>(RS)-2-[(E)-1-[(E)-3-chloroallyloxyimino]propyl]-5-[2-(ethylthio)propyl]-3-hydroxycyclohex-2-en-1-one</t>
        </is>
      </c>
      <c r="I717" s="7" t="inlineStr">
        <is>
          <t>Oxima ciclohexanodiona (DIM)</t>
        </is>
      </c>
      <c r="J717" s="7" t="inlineStr">
        <is>
          <t>HRAC Grupo A (1) — Inibidores da ACCase</t>
        </is>
      </c>
      <c r="K717" s="7" t="inlineStr">
        <is>
          <t>Inibidores da Acetil CoA Carboxilase (ACCase)</t>
        </is>
      </c>
      <c r="L717" s="9" t="n">
        <v>240</v>
      </c>
      <c r="M717" s="7" t="inlineStr">
        <is>
          <t>g/L</t>
        </is>
      </c>
      <c r="N717" s="7" t="inlineStr">
        <is>
          <t>Registro Técnico Vinculado MAPA</t>
        </is>
      </c>
    </row>
    <row r="718" ht="22" customHeight="1">
      <c r="A718" s="12" t="inlineStr">
        <is>
          <t>CMP-0714</t>
        </is>
      </c>
      <c r="B718" s="11" t="n">
        <v>516</v>
      </c>
      <c r="C718" s="13" t="inlineStr">
        <is>
          <t>Nº 12123</t>
        </is>
      </c>
      <c r="D718" s="14" t="inlineStr">
        <is>
          <t>PYRIPROXYFEN 100 EC AGCN</t>
        </is>
      </c>
      <c r="E718" s="11" t="n">
        <v>1</v>
      </c>
      <c r="F718" s="13" t="inlineStr">
        <is>
          <t>Ingrediente Ativo Principal</t>
        </is>
      </c>
      <c r="G718" s="13" t="inlineStr">
        <is>
          <t>PIRIPROXIFEM 100</t>
        </is>
      </c>
      <c r="H718" s="13" t="inlineStr">
        <is>
          <t>4-phenoxyphenyl (RS)-2-(2-pyridyloxy)propyl ether</t>
        </is>
      </c>
      <c r="I718" s="13" t="inlineStr">
        <is>
          <t>Éter piridiloxipropílico</t>
        </is>
      </c>
      <c r="J718" s="13" t="inlineStr">
        <is>
          <t>IRAC Grupo 7C</t>
        </is>
      </c>
      <c r="K718" s="13" t="inlineStr">
        <is>
          <t>Mimetizadores do hormônio juvenil (Juvenoides)</t>
        </is>
      </c>
      <c r="L718" s="15" t="n">
        <v>100</v>
      </c>
      <c r="M718" s="13" t="inlineStr">
        <is>
          <t>g/L</t>
        </is>
      </c>
      <c r="N718" s="13" t="inlineStr">
        <is>
          <t>Registro Técnico Vinculado MAPA</t>
        </is>
      </c>
    </row>
    <row r="719" ht="22" customHeight="1">
      <c r="A719" s="6" t="inlineStr">
        <is>
          <t>CMP-0715</t>
        </is>
      </c>
      <c r="B719" s="5" t="n">
        <v>517</v>
      </c>
      <c r="C719" s="7" t="inlineStr">
        <is>
          <t>Nº 28421</t>
        </is>
      </c>
      <c r="D719" s="8" t="inlineStr">
        <is>
          <t>CLORFENAPIR CCAB</t>
        </is>
      </c>
      <c r="E719" s="5" t="n">
        <v>1</v>
      </c>
      <c r="F719" s="7" t="inlineStr">
        <is>
          <t>Ingrediente Ativo Principal</t>
        </is>
      </c>
      <c r="G719" s="7" t="inlineStr">
        <is>
          <t>CLORFENAPIR 240</t>
        </is>
      </c>
      <c r="H719" s="7" t="inlineStr">
        <is>
          <t>4-bromo-2-(4-chlorophenyl)-1-ethoxymethyl-5-trifluoromethyl-1H-pyrrole-3-carbonitrile</t>
        </is>
      </c>
      <c r="I719" s="7" t="inlineStr">
        <is>
          <t>Análogo de pirazol (Arilpirrol)</t>
        </is>
      </c>
      <c r="J719" s="7" t="inlineStr">
        <is>
          <t>IRAC Grupo 13</t>
        </is>
      </c>
      <c r="K719" s="7" t="inlineStr">
        <is>
          <t>Desacopladores da fosforilação oxidativa via disrupção do gradiente de prótons</t>
        </is>
      </c>
      <c r="L719" s="9" t="n">
        <v>240</v>
      </c>
      <c r="M719" s="7" t="inlineStr">
        <is>
          <t>g/L</t>
        </is>
      </c>
      <c r="N719" s="7" t="inlineStr">
        <is>
          <t>Registro Técnico Vinculado MAPA</t>
        </is>
      </c>
    </row>
    <row r="720" ht="22" customHeight="1">
      <c r="A720" s="12" t="inlineStr">
        <is>
          <t>CMP-0716</t>
        </is>
      </c>
      <c r="B720" s="11" t="n">
        <v>518</v>
      </c>
      <c r="C720" s="13" t="inlineStr">
        <is>
          <t>Nº 2004</t>
        </is>
      </c>
      <c r="D720" s="14" t="inlineStr">
        <is>
          <t>PENNCOZEB WG</t>
        </is>
      </c>
      <c r="E720" s="11" t="n">
        <v>1</v>
      </c>
      <c r="F720" s="13" t="inlineStr">
        <is>
          <t>Ingrediente Ativo Principal</t>
        </is>
      </c>
      <c r="G720" s="13" t="inlineStr">
        <is>
          <t>MANCOZEB 750</t>
        </is>
      </c>
      <c r="H720" s="13" t="inlineStr">
        <is>
          <t>Manganese ethylenebis(dithiocarbamate) (polymeric) complex with zinc salt</t>
        </is>
      </c>
      <c r="I720" s="13" t="inlineStr">
        <is>
          <t>Alquilenobis(ditiocarbamato)</t>
        </is>
      </c>
      <c r="J720" s="13" t="inlineStr">
        <is>
          <t>FRAC Grupo M03 — Multissítio</t>
        </is>
      </c>
      <c r="K720" s="13" t="inlineStr">
        <is>
          <t>Inibidor multissítio de enzimas contendo grupos sulfidrila e aminoácidos fúngicos</t>
        </is>
      </c>
      <c r="L720" s="15" t="n">
        <v>750</v>
      </c>
      <c r="M720" s="13" t="inlineStr">
        <is>
          <t>g/kg</t>
        </is>
      </c>
      <c r="N720" s="13" t="inlineStr">
        <is>
          <t>Registro Técnico Vinculado MAPA</t>
        </is>
      </c>
    </row>
    <row r="721" ht="22" customHeight="1">
      <c r="A721" s="6" t="inlineStr">
        <is>
          <t>CMP-0717</t>
        </is>
      </c>
      <c r="B721" s="5" t="n">
        <v>519</v>
      </c>
      <c r="C721" s="7" t="inlineStr">
        <is>
          <t>Nº 8510</t>
        </is>
      </c>
      <c r="D721" s="8" t="inlineStr">
        <is>
          <t>POQUER</t>
        </is>
      </c>
      <c r="E721" s="5" t="n">
        <v>1</v>
      </c>
      <c r="F721" s="7" t="inlineStr">
        <is>
          <t>Ingrediente Ativo Principal</t>
        </is>
      </c>
      <c r="G721" s="7" t="inlineStr">
        <is>
          <t>CLETODIM 240</t>
        </is>
      </c>
      <c r="H721" s="7" t="inlineStr">
        <is>
          <t>(RS)-2-[(E)-1-[(E)-3-chloroallyloxyimino]propyl]-5-[2-(ethylthio)propyl]-3-hydroxycyclohex-2-en-1-one</t>
        </is>
      </c>
      <c r="I721" s="7" t="inlineStr">
        <is>
          <t>Oxima ciclohexanodiona (DIM)</t>
        </is>
      </c>
      <c r="J721" s="7" t="inlineStr">
        <is>
          <t>HRAC Grupo A (1) — Inibidores da ACCase</t>
        </is>
      </c>
      <c r="K721" s="7" t="inlineStr">
        <is>
          <t>Inibidores da Acetil CoA Carboxilase (ACCase)</t>
        </is>
      </c>
      <c r="L721" s="9" t="n">
        <v>240</v>
      </c>
      <c r="M721" s="7" t="inlineStr">
        <is>
          <t>g/L</t>
        </is>
      </c>
      <c r="N721" s="7" t="inlineStr">
        <is>
          <t>Registro Técnico Vinculado MAPA</t>
        </is>
      </c>
    </row>
    <row r="722" ht="22" customHeight="1">
      <c r="A722" s="12" t="inlineStr">
        <is>
          <t>CMP-0718</t>
        </is>
      </c>
      <c r="B722" s="11" t="n">
        <v>520</v>
      </c>
      <c r="C722" s="13" t="inlineStr">
        <is>
          <t>Nº 23522</t>
        </is>
      </c>
      <c r="D722" s="14" t="inlineStr">
        <is>
          <t>VALLEX</t>
        </is>
      </c>
      <c r="E722" s="11" t="n">
        <v>1</v>
      </c>
      <c r="F722" s="13" t="inlineStr">
        <is>
          <t>Ingrediente Ativo Principal</t>
        </is>
      </c>
      <c r="G722" s="13" t="inlineStr">
        <is>
          <t>PIRIPROXIFEM 100</t>
        </is>
      </c>
      <c r="H722" s="13" t="inlineStr">
        <is>
          <t>4-phenoxyphenyl (RS)-2-(2-pyridyloxy)propyl ether</t>
        </is>
      </c>
      <c r="I722" s="13" t="inlineStr">
        <is>
          <t>Éter piridiloxipropílico</t>
        </is>
      </c>
      <c r="J722" s="13" t="inlineStr">
        <is>
          <t>IRAC Grupo 7C</t>
        </is>
      </c>
      <c r="K722" s="13" t="inlineStr">
        <is>
          <t>Mimetizadores do hormônio juvenil (Juvenoides)</t>
        </is>
      </c>
      <c r="L722" s="15" t="n">
        <v>100</v>
      </c>
      <c r="M722" s="13" t="inlineStr">
        <is>
          <t>g/L</t>
        </is>
      </c>
      <c r="N722" s="13" t="inlineStr">
        <is>
          <t>Registro Técnico Vinculado MAPA</t>
        </is>
      </c>
    </row>
    <row r="723" ht="22" customHeight="1">
      <c r="A723" s="6" t="inlineStr">
        <is>
          <t>CMP-0719</t>
        </is>
      </c>
      <c r="B723" s="5" t="n">
        <v>521</v>
      </c>
      <c r="C723" s="7" t="inlineStr">
        <is>
          <t>Nº 23922</t>
        </is>
      </c>
      <c r="D723" s="8" t="inlineStr">
        <is>
          <t>GRASIDIM FULL IMP 0,200L AMOSTRA</t>
        </is>
      </c>
      <c r="E723" s="5" t="n">
        <v>1</v>
      </c>
      <c r="F723" s="7" t="inlineStr">
        <is>
          <t>Ingrediente Ativo Principal</t>
        </is>
      </c>
      <c r="G723" s="7" t="inlineStr">
        <is>
          <t>CLETODIM 360</t>
        </is>
      </c>
      <c r="H723" s="7" t="inlineStr">
        <is>
          <t>(RS)-2-[(E)-1-[(E)-3-chloroallyloxyimino]propyl]-5-[2-(ethylthio)propyl]-3-hydroxycyclohex-2-en-1-one</t>
        </is>
      </c>
      <c r="I723" s="7" t="inlineStr">
        <is>
          <t>Oxima ciclohexanodiona (DIM)</t>
        </is>
      </c>
      <c r="J723" s="7" t="inlineStr">
        <is>
          <t>HRAC Grupo A (1) — Inibidores da ACCase</t>
        </is>
      </c>
      <c r="K723" s="7" t="inlineStr">
        <is>
          <t>Inibidores da Acetil CoA Carboxilase (ACCase)</t>
        </is>
      </c>
      <c r="L723" s="9" t="n">
        <v>360</v>
      </c>
      <c r="M723" s="7" t="inlineStr">
        <is>
          <t>g/L</t>
        </is>
      </c>
      <c r="N723" s="7" t="inlineStr">
        <is>
          <t>Registro Técnico Vinculado MAPA</t>
        </is>
      </c>
    </row>
    <row r="724" ht="22" customHeight="1">
      <c r="A724" s="12" t="inlineStr">
        <is>
          <t>CMP-0720</t>
        </is>
      </c>
      <c r="B724" s="11" t="n">
        <v>522</v>
      </c>
      <c r="C724" s="13" t="inlineStr">
        <is>
          <t>Nº 26017</t>
        </is>
      </c>
      <c r="D724" s="14" t="inlineStr">
        <is>
          <t>MESOTRIONE</t>
        </is>
      </c>
      <c r="E724" s="11" t="n">
        <v>1</v>
      </c>
      <c r="F724" s="13" t="inlineStr">
        <is>
          <t>Ingrediente Ativo Principal</t>
        </is>
      </c>
      <c r="G724" s="13" t="inlineStr">
        <is>
          <t>MESOTRIONA 480</t>
        </is>
      </c>
      <c r="H724" s="13" t="inlineStr">
        <is>
          <t>2-(4-mesyl-2-nitrobenzoyl)cyclohexane-1,3-dione</t>
        </is>
      </c>
      <c r="I724" s="13" t="inlineStr">
        <is>
          <t>Tricetona</t>
        </is>
      </c>
      <c r="J724" s="13" t="inlineStr">
        <is>
          <t>HRAC Grupo F2 (27) — Inibidores da HPPD</t>
        </is>
      </c>
      <c r="K724" s="13" t="inlineStr">
        <is>
          <t>Inibidores da enzima 4-hidroxifenil-piruvato-dioxigenase (HPPD - biossíntese de carotenoides)</t>
        </is>
      </c>
      <c r="L724" s="15" t="n">
        <v>480</v>
      </c>
      <c r="M724" s="13" t="inlineStr">
        <is>
          <t>g/L</t>
        </is>
      </c>
      <c r="N724" s="13" t="inlineStr">
        <is>
          <t>Registro Técnico Vinculado MAPA</t>
        </is>
      </c>
    </row>
    <row r="725" ht="22" customHeight="1">
      <c r="A725" s="6" t="inlineStr">
        <is>
          <t>CMP-0721</t>
        </is>
      </c>
      <c r="B725" s="5" t="n">
        <v>523</v>
      </c>
      <c r="C725" s="7" t="inlineStr">
        <is>
          <t>Nº 8813</t>
        </is>
      </c>
      <c r="D725" s="8" t="inlineStr">
        <is>
          <t>ORKESTRA SC</t>
        </is>
      </c>
      <c r="E725" s="5" t="n">
        <v>1</v>
      </c>
      <c r="F725" s="7" t="inlineStr">
        <is>
          <t>Ingrediente Ativo Principal</t>
        </is>
      </c>
      <c r="G725" s="7" t="inlineStr">
        <is>
          <t>FLUXAPIROXADE 167</t>
        </is>
      </c>
      <c r="H725" s="7" t="inlineStr">
        <is>
          <t>3-(difluoromethyl)-1-methyl-N-(3,4,5-trifluorobiphenyl-2-yl)pyrazole-4-carboxamide</t>
        </is>
      </c>
      <c r="I725" s="7" t="inlineStr">
        <is>
          <t>Carboxamida (Pirazol-4-carboxamida)</t>
        </is>
      </c>
      <c r="J725" s="7" t="inlineStr">
        <is>
          <t>FRAC Grupo 7 (C2 — SDHI)</t>
        </is>
      </c>
      <c r="K725" s="7" t="inlineStr">
        <is>
          <t>Inibidores da enzima succinato desidrogenase (Complexo II respiratório)</t>
        </is>
      </c>
      <c r="L725" s="9" t="n">
        <v>167</v>
      </c>
      <c r="M725" s="7" t="inlineStr">
        <is>
          <t>g/L</t>
        </is>
      </c>
      <c r="N725" s="7" t="inlineStr">
        <is>
          <t>Registro Técnico Vinculado MAPA</t>
        </is>
      </c>
    </row>
    <row r="726" ht="22" customHeight="1">
      <c r="A726" s="12" t="inlineStr">
        <is>
          <t>CMP-0722</t>
        </is>
      </c>
      <c r="B726" s="11" t="n">
        <v>523</v>
      </c>
      <c r="C726" s="13" t="inlineStr">
        <is>
          <t>Nº 8813</t>
        </is>
      </c>
      <c r="D726" s="14" t="inlineStr">
        <is>
          <t>ORKESTRA SC</t>
        </is>
      </c>
      <c r="E726" s="11" t="n">
        <v>2</v>
      </c>
      <c r="F726" s="13" t="inlineStr">
        <is>
          <t>Ingrediente Ativo Principal</t>
        </is>
      </c>
      <c r="G726" s="13" t="inlineStr">
        <is>
          <t>PIRACLOSTROBINA 333</t>
        </is>
      </c>
      <c r="H726" s="13" t="inlineStr">
        <is>
          <t>Methyl N-{2-[1-(4-chlorophenyl)-1H-pyrazol-3-yloxymethyl]phenyl}(N-methoxy)carbamate</t>
        </is>
      </c>
      <c r="I726" s="13" t="inlineStr">
        <is>
          <t>Estrobilurina (Metoxicarbamato)</t>
        </is>
      </c>
      <c r="J726" s="13" t="inlineStr">
        <is>
          <t>FRAC Grupo 11 (C3 — QoI)</t>
        </is>
      </c>
      <c r="K726" s="13" t="inlineStr">
        <is>
          <t>Inibidores da respiração mitocondrial no Complexo III (sítio Qo)</t>
        </is>
      </c>
      <c r="L726" s="15" t="n">
        <v>333</v>
      </c>
      <c r="M726" s="13" t="inlineStr">
        <is>
          <t>g/L</t>
        </is>
      </c>
      <c r="N726" s="13" t="inlineStr">
        <is>
          <t>Registro Técnico Vinculado MAPA</t>
        </is>
      </c>
    </row>
    <row r="727" ht="22" customHeight="1">
      <c r="A727" s="6" t="inlineStr">
        <is>
          <t>CMP-0723</t>
        </is>
      </c>
      <c r="B727" s="5" t="n">
        <v>524</v>
      </c>
      <c r="C727" s="7" t="inlineStr">
        <is>
          <t>SIPEAGRO (UF-XXXXX)</t>
        </is>
      </c>
      <c r="D727" s="8" t="inlineStr">
        <is>
          <t>AGCN MAG ULTRA</t>
        </is>
      </c>
      <c r="E727" s="5" t="n">
        <v>1</v>
      </c>
      <c r="F727" s="7" t="inlineStr">
        <is>
          <t>Nutriente Garantido</t>
        </is>
      </c>
      <c r="G727" s="7" t="inlineStr">
        <is>
          <t>MG 5%</t>
        </is>
      </c>
      <c r="H727" s="7" t="inlineStr">
        <is>
          <t>Composição Nutricional Oficial (MG 5%)</t>
        </is>
      </c>
      <c r="I727" s="7" t="inlineStr">
        <is>
          <t>Fertilizante Mineral / Organomineral (Lei nº 6.894/1980)</t>
        </is>
      </c>
      <c r="J727" s="7" t="inlineStr">
        <is>
          <t>Nutrição Vegetal SIPEAGRO</t>
        </is>
      </c>
      <c r="K727" s="7" t="inlineStr">
        <is>
          <t>Fornecimento de macro e micronutrientes essenciais ao metabolismo vegetal</t>
        </is>
      </c>
      <c r="L727" s="9" t="n">
        <v>5</v>
      </c>
      <c r="M727" s="7" t="inlineStr">
        <is>
          <t>% m/m</t>
        </is>
      </c>
      <c r="N727" s="7" t="inlineStr">
        <is>
          <t>Registro Técnico Vinculado MAPA</t>
        </is>
      </c>
    </row>
    <row r="728" ht="22" customHeight="1">
      <c r="A728" s="12" t="inlineStr">
        <is>
          <t>CMP-0724</t>
        </is>
      </c>
      <c r="B728" s="11" t="n">
        <v>524</v>
      </c>
      <c r="C728" s="13" t="inlineStr">
        <is>
          <t>SIPEAGRO (UF-XXXXX)</t>
        </is>
      </c>
      <c r="D728" s="14" t="inlineStr">
        <is>
          <t>AGCN MAG ULTRA</t>
        </is>
      </c>
      <c r="E728" s="11" t="n">
        <v>2</v>
      </c>
      <c r="F728" s="13" t="inlineStr">
        <is>
          <t>Nutriente Garantido</t>
        </is>
      </c>
      <c r="G728" s="13" t="inlineStr">
        <is>
          <t>N 6%</t>
        </is>
      </c>
      <c r="H728" s="13" t="inlineStr">
        <is>
          <t>Composição Nutricional Oficial (N 6%)</t>
        </is>
      </c>
      <c r="I728" s="13" t="inlineStr">
        <is>
          <t>Fertilizante Mineral / Organomineral (Lei nº 6.894/1980)</t>
        </is>
      </c>
      <c r="J728" s="13" t="inlineStr">
        <is>
          <t>Nutrição Vegetal SIPEAGRO</t>
        </is>
      </c>
      <c r="K728" s="13" t="inlineStr">
        <is>
          <t>Fornecimento de macro e micronutrientes essenciais ao metabolismo vegetal</t>
        </is>
      </c>
      <c r="L728" s="15" t="n">
        <v>6</v>
      </c>
      <c r="M728" s="13" t="inlineStr">
        <is>
          <t>% m/m</t>
        </is>
      </c>
      <c r="N728" s="13" t="inlineStr">
        <is>
          <t>Registro Técnico Vinculado MAPA</t>
        </is>
      </c>
    </row>
    <row r="729" ht="22" customHeight="1">
      <c r="A729" s="6" t="inlineStr">
        <is>
          <t>CMP-0725</t>
        </is>
      </c>
      <c r="B729" s="5" t="n">
        <v>524</v>
      </c>
      <c r="C729" s="7" t="inlineStr">
        <is>
          <t>SIPEAGRO (UF-XXXXX)</t>
        </is>
      </c>
      <c r="D729" s="8" t="inlineStr">
        <is>
          <t>AGCN MAG ULTRA</t>
        </is>
      </c>
      <c r="E729" s="5" t="n">
        <v>3</v>
      </c>
      <c r="F729" s="7" t="inlineStr">
        <is>
          <t>Nutriente Garantido</t>
        </is>
      </c>
      <c r="G729" s="7" t="inlineStr">
        <is>
          <t>B 0,05%</t>
        </is>
      </c>
      <c r="H729" s="7" t="inlineStr">
        <is>
          <t>Composição Nutricional Oficial (B 0,05%)</t>
        </is>
      </c>
      <c r="I729" s="7" t="inlineStr">
        <is>
          <t>Fertilizante Mineral / Organomineral (Lei nº 6.894/1980)</t>
        </is>
      </c>
      <c r="J729" s="7" t="inlineStr">
        <is>
          <t>Nutrição Vegetal SIPEAGRO</t>
        </is>
      </c>
      <c r="K729" s="7" t="inlineStr">
        <is>
          <t>Fornecimento de macro e micronutrientes essenciais ao metabolismo vegetal</t>
        </is>
      </c>
      <c r="L729" s="17" t="n">
        <v>0.05</v>
      </c>
      <c r="M729" s="7" t="inlineStr">
        <is>
          <t>% m/m</t>
        </is>
      </c>
      <c r="N729" s="7" t="inlineStr">
        <is>
          <t>Registro Técnico Vinculado MAPA</t>
        </is>
      </c>
    </row>
    <row r="730" ht="22" customHeight="1">
      <c r="A730" s="12" t="inlineStr">
        <is>
          <t>CMP-0726</t>
        </is>
      </c>
      <c r="B730" s="11" t="n">
        <v>524</v>
      </c>
      <c r="C730" s="13" t="inlineStr">
        <is>
          <t>SIPEAGRO (UF-XXXXX)</t>
        </is>
      </c>
      <c r="D730" s="14" t="inlineStr">
        <is>
          <t>AGCN MAG ULTRA</t>
        </is>
      </c>
      <c r="E730" s="11" t="n">
        <v>4</v>
      </c>
      <c r="F730" s="13" t="inlineStr">
        <is>
          <t>Nutriente Garantido</t>
        </is>
      </c>
      <c r="G730" s="13" t="inlineStr">
        <is>
          <t>MN 0,08%</t>
        </is>
      </c>
      <c r="H730" s="13" t="inlineStr">
        <is>
          <t>Composição Nutricional Oficial (MN 0,08%)</t>
        </is>
      </c>
      <c r="I730" s="13" t="inlineStr">
        <is>
          <t>Fertilizante Mineral / Organomineral (Lei nº 6.894/1980)</t>
        </is>
      </c>
      <c r="J730" s="13" t="inlineStr">
        <is>
          <t>Nutrição Vegetal SIPEAGRO</t>
        </is>
      </c>
      <c r="K730" s="13" t="inlineStr">
        <is>
          <t>Fornecimento de macro e micronutrientes essenciais ao metabolismo vegetal</t>
        </is>
      </c>
      <c r="L730" s="18" t="n">
        <v>0.08</v>
      </c>
      <c r="M730" s="13" t="inlineStr">
        <is>
          <t>% m/m</t>
        </is>
      </c>
      <c r="N730" s="13" t="inlineStr">
        <is>
          <t>Registro Técnico Vinculado MAPA</t>
        </is>
      </c>
    </row>
    <row r="731" ht="22" customHeight="1">
      <c r="A731" s="6" t="inlineStr">
        <is>
          <t>CMP-0727</t>
        </is>
      </c>
      <c r="B731" s="5" t="n">
        <v>524</v>
      </c>
      <c r="C731" s="7" t="inlineStr">
        <is>
          <t>SIPEAGRO (UF-XXXXX)</t>
        </is>
      </c>
      <c r="D731" s="8" t="inlineStr">
        <is>
          <t>AGCN MAG ULTRA</t>
        </is>
      </c>
      <c r="E731" s="5" t="n">
        <v>5</v>
      </c>
      <c r="F731" s="7" t="inlineStr">
        <is>
          <t>Nutriente Garantido</t>
        </is>
      </c>
      <c r="G731" s="7" t="inlineStr">
        <is>
          <t>FE 0,05%</t>
        </is>
      </c>
      <c r="H731" s="7" t="inlineStr">
        <is>
          <t>Composição Nutricional Oficial (FE 0,05%)</t>
        </is>
      </c>
      <c r="I731" s="7" t="inlineStr">
        <is>
          <t>Fertilizante Mineral / Organomineral (Lei nº 6.894/1980)</t>
        </is>
      </c>
      <c r="J731" s="7" t="inlineStr">
        <is>
          <t>Nutrição Vegetal SIPEAGRO</t>
        </is>
      </c>
      <c r="K731" s="7" t="inlineStr">
        <is>
          <t>Fornecimento de macro e micronutrientes essenciais ao metabolismo vegetal</t>
        </is>
      </c>
      <c r="L731" s="17" t="n">
        <v>0.05</v>
      </c>
      <c r="M731" s="7" t="inlineStr">
        <is>
          <t>% m/m</t>
        </is>
      </c>
      <c r="N731" s="7" t="inlineStr">
        <is>
          <t>Registro Técnico Vinculado MAPA</t>
        </is>
      </c>
    </row>
    <row r="732" ht="22" customHeight="1">
      <c r="A732" s="12" t="inlineStr">
        <is>
          <t>CMP-0728</t>
        </is>
      </c>
      <c r="B732" s="11" t="n">
        <v>524</v>
      </c>
      <c r="C732" s="13" t="inlineStr">
        <is>
          <t>SIPEAGRO (UF-XXXXX)</t>
        </is>
      </c>
      <c r="D732" s="14" t="inlineStr">
        <is>
          <t>AGCN MAG ULTRA</t>
        </is>
      </c>
      <c r="E732" s="11" t="n">
        <v>6</v>
      </c>
      <c r="F732" s="13" t="inlineStr">
        <is>
          <t>Nutriente Garantido</t>
        </is>
      </c>
      <c r="G732" s="13" t="inlineStr">
        <is>
          <t>Cu 0,02%</t>
        </is>
      </c>
      <c r="H732" s="13" t="inlineStr">
        <is>
          <t>Composição Nutricional Oficial (Cu 0,02%)</t>
        </is>
      </c>
      <c r="I732" s="13" t="inlineStr">
        <is>
          <t>Fertilizante Mineral / Organomineral (Lei nº 6.894/1980)</t>
        </is>
      </c>
      <c r="J732" s="13" t="inlineStr">
        <is>
          <t>Nutrição Vegetal SIPEAGRO</t>
        </is>
      </c>
      <c r="K732" s="13" t="inlineStr">
        <is>
          <t>Fornecimento de macro e micronutrientes essenciais ao metabolismo vegetal</t>
        </is>
      </c>
      <c r="L732" s="18" t="n">
        <v>0.02</v>
      </c>
      <c r="M732" s="13" t="inlineStr">
        <is>
          <t>% m/m</t>
        </is>
      </c>
      <c r="N732" s="13" t="inlineStr">
        <is>
          <t>Registro Técnico Vinculado MAPA</t>
        </is>
      </c>
    </row>
    <row r="733" ht="22" customHeight="1">
      <c r="A733" s="6" t="inlineStr">
        <is>
          <t>CMP-0729</t>
        </is>
      </c>
      <c r="B733" s="5" t="n">
        <v>524</v>
      </c>
      <c r="C733" s="7" t="inlineStr">
        <is>
          <t>SIPEAGRO (UF-XXXXX)</t>
        </is>
      </c>
      <c r="D733" s="8" t="inlineStr">
        <is>
          <t>AGCN MAG ULTRA</t>
        </is>
      </c>
      <c r="E733" s="5" t="n">
        <v>7</v>
      </c>
      <c r="F733" s="7" t="inlineStr">
        <is>
          <t>Nutriente Garantido</t>
        </is>
      </c>
      <c r="G733" s="7" t="inlineStr">
        <is>
          <t>MO 0,01%</t>
        </is>
      </c>
      <c r="H733" s="7" t="inlineStr">
        <is>
          <t>Composição Nutricional Oficial (MO 0,01%)</t>
        </is>
      </c>
      <c r="I733" s="7" t="inlineStr">
        <is>
          <t>Fertilizante Mineral / Organomineral (Lei nº 6.894/1980)</t>
        </is>
      </c>
      <c r="J733" s="7" t="inlineStr">
        <is>
          <t>Nutrição Vegetal SIPEAGRO</t>
        </is>
      </c>
      <c r="K733" s="7" t="inlineStr">
        <is>
          <t>Fornecimento de macro e micronutrientes essenciais ao metabolismo vegetal</t>
        </is>
      </c>
      <c r="L733" s="17" t="n">
        <v>0.01</v>
      </c>
      <c r="M733" s="7" t="inlineStr">
        <is>
          <t>% m/m</t>
        </is>
      </c>
      <c r="N733" s="7" t="inlineStr">
        <is>
          <t>Registro Técnico Vinculado MAPA</t>
        </is>
      </c>
    </row>
    <row r="734" ht="22" customHeight="1">
      <c r="A734" s="12" t="inlineStr">
        <is>
          <t>CMP-0730</t>
        </is>
      </c>
      <c r="B734" s="11" t="n">
        <v>524</v>
      </c>
      <c r="C734" s="13" t="inlineStr">
        <is>
          <t>SIPEAGRO (UF-XXXXX)</t>
        </is>
      </c>
      <c r="D734" s="14" t="inlineStr">
        <is>
          <t>AGCN MAG ULTRA</t>
        </is>
      </c>
      <c r="E734" s="11" t="n">
        <v>8</v>
      </c>
      <c r="F734" s="13" t="inlineStr">
        <is>
          <t>Nutriente Garantido</t>
        </is>
      </c>
      <c r="G734" s="13" t="inlineStr">
        <is>
          <t>COT 6%</t>
        </is>
      </c>
      <c r="H734" s="13" t="inlineStr">
        <is>
          <t>Composição Nutricional Oficial (COT 6%)</t>
        </is>
      </c>
      <c r="I734" s="13" t="inlineStr">
        <is>
          <t>Fertilizante Mineral / Organomineral (Lei nº 6.894/1980)</t>
        </is>
      </c>
      <c r="J734" s="13" t="inlineStr">
        <is>
          <t>Nutrição Vegetal SIPEAGRO</t>
        </is>
      </c>
      <c r="K734" s="13" t="inlineStr">
        <is>
          <t>Fornecimento de macro e micronutrientes essenciais ao metabolismo vegetal</t>
        </is>
      </c>
      <c r="L734" s="15" t="n">
        <v>6</v>
      </c>
      <c r="M734" s="13" t="inlineStr">
        <is>
          <t>% m/m</t>
        </is>
      </c>
      <c r="N734" s="13" t="inlineStr">
        <is>
          <t>Registro Técnico Vinculado MAPA</t>
        </is>
      </c>
    </row>
    <row r="735" ht="22" customHeight="1">
      <c r="A735" s="6" t="inlineStr">
        <is>
          <t>CMP-0731</t>
        </is>
      </c>
      <c r="B735" s="5" t="n">
        <v>525</v>
      </c>
      <c r="C735" s="7" t="inlineStr">
        <is>
          <t>Nº 45419</t>
        </is>
      </c>
      <c r="D735" s="8" t="inlineStr">
        <is>
          <t>CLORPIRI 480 EC 0,200L (IMP) AMOSTRA</t>
        </is>
      </c>
      <c r="E735" s="5" t="n">
        <v>1</v>
      </c>
      <c r="F735" s="7" t="inlineStr">
        <is>
          <t>Ingrediente Ativo Principal</t>
        </is>
      </c>
      <c r="G735" s="7" t="inlineStr">
        <is>
          <t>CLORPIRIFOS 480</t>
        </is>
      </c>
      <c r="H735" s="7" t="inlineStr">
        <is>
          <t>O,O-diethyl O-3,5,6-trichloro-2-pyridyl phosphorothioate</t>
        </is>
      </c>
      <c r="I735" s="7" t="inlineStr">
        <is>
          <t>Organofosforado</t>
        </is>
      </c>
      <c r="J735" s="7" t="inlineStr">
        <is>
          <t>IRAC Grupo 1B</t>
        </is>
      </c>
      <c r="K735" s="7" t="inlineStr">
        <is>
          <t>Inibidores da acetilcolinesterase (AChE)</t>
        </is>
      </c>
      <c r="L735" s="9" t="n">
        <v>480</v>
      </c>
      <c r="M735" s="7" t="inlineStr">
        <is>
          <t>g/L</t>
        </is>
      </c>
      <c r="N735" s="7" t="inlineStr">
        <is>
          <t>Registro Técnico Vinculado MAPA</t>
        </is>
      </c>
    </row>
    <row r="736" ht="22" customHeight="1">
      <c r="A736" s="12" t="inlineStr">
        <is>
          <t>CMP-0732</t>
        </is>
      </c>
      <c r="B736" s="11" t="n">
        <v>526</v>
      </c>
      <c r="C736" s="13" t="inlineStr">
        <is>
          <t>Nº 12225</t>
        </is>
      </c>
      <c r="D736" s="14" t="inlineStr">
        <is>
          <t>IMPACTUS CS 0,200L (IMP) AMOSTRA</t>
        </is>
      </c>
      <c r="E736" s="11" t="n">
        <v>1</v>
      </c>
      <c r="F736" s="13" t="inlineStr">
        <is>
          <t>Ingrediente Ativo Principal</t>
        </is>
      </c>
      <c r="G736" s="13" t="inlineStr">
        <is>
          <t>LAMBDA-CIALOTRINA 250</t>
        </is>
      </c>
      <c r="H736" s="13" t="inlineStr">
        <is>
          <t>(R)-a-cyano-3-phenoxybenzyl (1S)-cis-3-[(Z)-2-chloro-3,3,3-trifluoropropenyl]-2,2-dimethylcyclopropanecarboxylate</t>
        </is>
      </c>
      <c r="I736" s="13" t="inlineStr">
        <is>
          <t>Piretroide (Tipo II)</t>
        </is>
      </c>
      <c r="J736" s="13" t="inlineStr">
        <is>
          <t>IRAC Grupo 3A</t>
        </is>
      </c>
      <c r="K736" s="13" t="inlineStr">
        <is>
          <t>Moduladores de canais de sódio em axônios nervosos</t>
        </is>
      </c>
      <c r="L736" s="15" t="n">
        <v>250</v>
      </c>
      <c r="M736" s="13" t="inlineStr">
        <is>
          <t>g/L</t>
        </is>
      </c>
      <c r="N736" s="13" t="inlineStr">
        <is>
          <t>Registro Técnico Vinculado MAPA</t>
        </is>
      </c>
    </row>
    <row r="737" ht="22" customHeight="1">
      <c r="A737" s="6" t="inlineStr">
        <is>
          <t>CMP-0733</t>
        </is>
      </c>
      <c r="B737" s="5" t="n">
        <v>527</v>
      </c>
      <c r="C737" s="7" t="inlineStr">
        <is>
          <t>Nº 26924</t>
        </is>
      </c>
      <c r="D737" s="8" t="inlineStr">
        <is>
          <t>CHLOROCIL 0,200L (IMP) GG AMOSTRA</t>
        </is>
      </c>
      <c r="E737" s="5" t="n">
        <v>1</v>
      </c>
      <c r="F737" s="7" t="inlineStr">
        <is>
          <t>Ingrediente Ativo Principal</t>
        </is>
      </c>
      <c r="G737" s="7" t="inlineStr">
        <is>
          <t>CLORPIRIFOS 480</t>
        </is>
      </c>
      <c r="H737" s="7" t="inlineStr">
        <is>
          <t>O,O-diethyl O-3,5,6-trichloro-2-pyridyl phosphorothioate</t>
        </is>
      </c>
      <c r="I737" s="7" t="inlineStr">
        <is>
          <t>Organofosforado</t>
        </is>
      </c>
      <c r="J737" s="7" t="inlineStr">
        <is>
          <t>IRAC Grupo 1B</t>
        </is>
      </c>
      <c r="K737" s="7" t="inlineStr">
        <is>
          <t>Inibidores da acetilcolinesterase (AChE)</t>
        </is>
      </c>
      <c r="L737" s="9" t="n">
        <v>480</v>
      </c>
      <c r="M737" s="7" t="inlineStr">
        <is>
          <t>g/L</t>
        </is>
      </c>
      <c r="N737" s="7" t="inlineStr">
        <is>
          <t>Registro Técnico Vinculado MAPA</t>
        </is>
      </c>
    </row>
    <row r="738" ht="22" customHeight="1">
      <c r="A738" s="12" t="inlineStr">
        <is>
          <t>CMP-0734</t>
        </is>
      </c>
      <c r="B738" s="11" t="n">
        <v>528</v>
      </c>
      <c r="C738" s="13" t="inlineStr">
        <is>
          <t>Nº 31422</t>
        </is>
      </c>
      <c r="D738" s="14" t="inlineStr">
        <is>
          <t>ZARPAL 0,200L (IMP) AMOSTRA</t>
        </is>
      </c>
      <c r="E738" s="11" t="n">
        <v>1</v>
      </c>
      <c r="F738" s="13" t="inlineStr">
        <is>
          <t>Ingrediente Ativo Principal</t>
        </is>
      </c>
      <c r="G738" s="13" t="inlineStr">
        <is>
          <t>LUFENUROM</t>
        </is>
      </c>
      <c r="H738" s="13" t="inlineStr">
        <is>
          <t>(RS)-1-[2,5-dichloro-4-(1,1,2,3,3,3-hexafluoropropoxy)phenyl]-3-(2,6-difluorobenzoyl)urea</t>
        </is>
      </c>
      <c r="I738" s="13" t="inlineStr">
        <is>
          <t>Benzoilureia</t>
        </is>
      </c>
      <c r="J738" s="13" t="inlineStr">
        <is>
          <t>IRAC Grupo 15</t>
        </is>
      </c>
      <c r="K738" s="13" t="inlineStr">
        <is>
          <t>Inibidores da biossíntese de quitina, Tipo 0</t>
        </is>
      </c>
      <c r="L738" s="15" t="n">
        <v>140</v>
      </c>
      <c r="M738" s="13" t="inlineStr">
        <is>
          <t>g/L</t>
        </is>
      </c>
      <c r="N738" s="13" t="inlineStr">
        <is>
          <t>Lufenuron Técnico Globachem Vinculado MAPA</t>
        </is>
      </c>
    </row>
    <row r="739" ht="22" customHeight="1">
      <c r="A739" s="6" t="inlineStr">
        <is>
          <t>CMP-0735</t>
        </is>
      </c>
      <c r="B739" s="5" t="n">
        <v>528</v>
      </c>
      <c r="C739" s="7" t="inlineStr">
        <is>
          <t>Nº 31422</t>
        </is>
      </c>
      <c r="D739" s="8" t="inlineStr">
        <is>
          <t>ZARPAL 0,200L (IMP) AMOSTRA</t>
        </is>
      </c>
      <c r="E739" s="5" t="n">
        <v>2</v>
      </c>
      <c r="F739" s="7" t="inlineStr">
        <is>
          <t>Ingrediente Ativo Principal</t>
        </is>
      </c>
      <c r="G739" s="7" t="inlineStr">
        <is>
          <t>BIFENTRINA</t>
        </is>
      </c>
      <c r="H739" s="7" t="inlineStr">
        <is>
          <t>2-methylbiphenyl-3-ylmethyl (Z)-(1RS,3RS)-3-(2-chloro-3,3,3-trifluoroprop-1-enyl)-2,2-dimethylcyclopropanecarboxylate</t>
        </is>
      </c>
      <c r="I739" s="7" t="inlineStr">
        <is>
          <t>Piretroide (Tipo I)</t>
        </is>
      </c>
      <c r="J739" s="7" t="inlineStr">
        <is>
          <t>IRAC Grupo 3A</t>
        </is>
      </c>
      <c r="K739" s="7" t="inlineStr">
        <is>
          <t>Moduladores de canais de sódio em membranas nervosas</t>
        </is>
      </c>
      <c r="L739" s="9" t="n">
        <v>120</v>
      </c>
      <c r="M739" s="7" t="inlineStr">
        <is>
          <t>g/L</t>
        </is>
      </c>
      <c r="N739" s="7" t="inlineStr">
        <is>
          <t>Bifentrina Técnico Globachem Vinculado MAPA</t>
        </is>
      </c>
    </row>
    <row r="740" ht="22" customHeight="1">
      <c r="A740" s="12" t="inlineStr">
        <is>
          <t>CMP-0736</t>
        </is>
      </c>
      <c r="B740" s="11" t="n">
        <v>529</v>
      </c>
      <c r="C740" s="13" t="inlineStr">
        <is>
          <t>Nº 15716</t>
        </is>
      </c>
      <c r="D740" s="14" t="inlineStr">
        <is>
          <t>DIFCOR 250 EC 0,200L IMP AMOSTRA</t>
        </is>
      </c>
      <c r="E740" s="11" t="n">
        <v>1</v>
      </c>
      <c r="F740" s="13" t="inlineStr">
        <is>
          <t>Ingrediente Ativo Principal</t>
        </is>
      </c>
      <c r="G740" s="13" t="inlineStr">
        <is>
          <t>DIFENOCONAZOL 250</t>
        </is>
      </c>
      <c r="H740" s="13" t="inlineStr">
        <is>
          <t>cis,trans-3-chloro-4-[4-methyl-2-(1H-1,2,4-triazol-1-ylmethyl)-1,3-dioxolan-2-yl]phenyl 4-chlorophenyl ether</t>
        </is>
      </c>
      <c r="I740" s="13" t="inlineStr">
        <is>
          <t>Triazol</t>
        </is>
      </c>
      <c r="J740" s="13" t="inlineStr">
        <is>
          <t>FRAC Grupo 3 (DMI)</t>
        </is>
      </c>
      <c r="K740" s="13" t="inlineStr">
        <is>
          <t>Inibidores da desmetilação de esteróis (C14-desmetilase na síntese de ergosterol)</t>
        </is>
      </c>
      <c r="L740" s="15" t="n">
        <v>250</v>
      </c>
      <c r="M740" s="13" t="inlineStr">
        <is>
          <t>g/L</t>
        </is>
      </c>
      <c r="N740" s="13" t="inlineStr">
        <is>
          <t>Registro Técnico Vinculado MAPA</t>
        </is>
      </c>
    </row>
    <row r="741" ht="22" customHeight="1">
      <c r="A741" s="6" t="inlineStr">
        <is>
          <t>CMP-0737</t>
        </is>
      </c>
      <c r="B741" s="5" t="n">
        <v>530</v>
      </c>
      <c r="C741" s="7" t="inlineStr">
        <is>
          <t>Nº 26017</t>
        </is>
      </c>
      <c r="D741" s="8" t="inlineStr">
        <is>
          <t>MESOTRIONE</t>
        </is>
      </c>
      <c r="E741" s="5" t="n">
        <v>1</v>
      </c>
      <c r="F741" s="7" t="inlineStr">
        <is>
          <t>Ingrediente Ativo Principal</t>
        </is>
      </c>
      <c r="G741" s="7" t="inlineStr">
        <is>
          <t>MESOTRIONA 480</t>
        </is>
      </c>
      <c r="H741" s="7" t="inlineStr">
        <is>
          <t>2-(4-mesyl-2-nitrobenzoyl)cyclohexane-1,3-dione</t>
        </is>
      </c>
      <c r="I741" s="7" t="inlineStr">
        <is>
          <t>Tricetona</t>
        </is>
      </c>
      <c r="J741" s="7" t="inlineStr">
        <is>
          <t>HRAC Grupo F2 (27) — Inibidores da HPPD</t>
        </is>
      </c>
      <c r="K741" s="7" t="inlineStr">
        <is>
          <t>Inibidores da enzima 4-hidroxifenil-piruvato-dioxigenase (HPPD - biossíntese de carotenoides)</t>
        </is>
      </c>
      <c r="L741" s="9" t="n">
        <v>480</v>
      </c>
      <c r="M741" s="7" t="inlineStr">
        <is>
          <t>g/L</t>
        </is>
      </c>
      <c r="N741" s="7" t="inlineStr">
        <is>
          <t>Registro Técnico Vinculado MAPA</t>
        </is>
      </c>
    </row>
    <row r="742" ht="22" customHeight="1">
      <c r="A742" s="12" t="inlineStr">
        <is>
          <t>CMP-0738</t>
        </is>
      </c>
      <c r="B742" s="11" t="n">
        <v>531</v>
      </c>
      <c r="C742" s="13" t="inlineStr">
        <is>
          <t>Nº 22221</t>
        </is>
      </c>
      <c r="D742" s="14" t="inlineStr">
        <is>
          <t>GRASIDIM</t>
        </is>
      </c>
      <c r="E742" s="11" t="n">
        <v>1</v>
      </c>
      <c r="F742" s="13" t="inlineStr">
        <is>
          <t>Ingrediente Ativo Principal</t>
        </is>
      </c>
      <c r="G742" s="13" t="inlineStr">
        <is>
          <t>CLETODIM 240</t>
        </is>
      </c>
      <c r="H742" s="13" t="inlineStr">
        <is>
          <t>(RS)-2-[(E)-1-[(E)-3-chloroallyloxyimino]propyl]-5-[2-(ethylthio)propyl]-3-hydroxycyclohex-2-en-1-one</t>
        </is>
      </c>
      <c r="I742" s="13" t="inlineStr">
        <is>
          <t>Oxima ciclohexanodiona (DIM)</t>
        </is>
      </c>
      <c r="J742" s="13" t="inlineStr">
        <is>
          <t>HRAC Grupo A (1) — Inibidores da ACCase</t>
        </is>
      </c>
      <c r="K742" s="13" t="inlineStr">
        <is>
          <t>Inibidores da Acetil CoA Carboxilase (ACCase)</t>
        </is>
      </c>
      <c r="L742" s="15" t="n">
        <v>240</v>
      </c>
      <c r="M742" s="13" t="inlineStr">
        <is>
          <t>g/L</t>
        </is>
      </c>
      <c r="N742" s="13" t="inlineStr">
        <is>
          <t>Registro Técnico Vinculado MAPA</t>
        </is>
      </c>
    </row>
    <row r="743" ht="22" customHeight="1">
      <c r="A743" s="6" t="inlineStr">
        <is>
          <t>CMP-0739</t>
        </is>
      </c>
      <c r="B743" s="5" t="n">
        <v>532</v>
      </c>
      <c r="C743" s="7" t="inlineStr">
        <is>
          <t>Nº 28520</t>
        </is>
      </c>
      <c r="D743" s="8" t="inlineStr">
        <is>
          <t>SENHA 720 WG</t>
        </is>
      </c>
      <c r="E743" s="5" t="n">
        <v>1</v>
      </c>
      <c r="F743" s="7" t="inlineStr">
        <is>
          <t>Ingrediente Ativo Principal</t>
        </is>
      </c>
      <c r="G743" s="7" t="inlineStr">
        <is>
          <t>GLIFOSATO 720</t>
        </is>
      </c>
      <c r="H743" s="7" t="inlineStr">
        <is>
          <t>N-(phosphonomethyl)glycine (Sal de Amônio / Isopropilamina / Potássico)</t>
        </is>
      </c>
      <c r="I743" s="7" t="inlineStr">
        <is>
          <t>Glicina substituída</t>
        </is>
      </c>
      <c r="J743" s="7" t="inlineStr">
        <is>
          <t>HRAC Grupo G (EPSPs)</t>
        </is>
      </c>
      <c r="K743" s="7" t="inlineStr">
        <is>
          <t>Inibidores da enzima EPSPs (Enoil Piruvil Shiquimato Fosfato Sintase)</t>
        </is>
      </c>
      <c r="L743" s="9" t="n">
        <v>720</v>
      </c>
      <c r="M743" s="7" t="inlineStr">
        <is>
          <t>g/kg</t>
        </is>
      </c>
      <c r="N743" s="7" t="inlineStr">
        <is>
          <t>Registro Técnico Vinculado MAPA</t>
        </is>
      </c>
    </row>
    <row r="744" ht="22" customHeight="1">
      <c r="A744" s="12" t="inlineStr">
        <is>
          <t>CMP-0740</t>
        </is>
      </c>
      <c r="B744" s="11" t="n">
        <v>533</v>
      </c>
      <c r="C744" s="13" t="inlineStr">
        <is>
          <t>ISENTO (ATO 104/2017)</t>
        </is>
      </c>
      <c r="D744" s="14" t="inlineStr">
        <is>
          <t>AGRICOIL CITRUS</t>
        </is>
      </c>
      <c r="E744" s="11" t="n">
        <v>1</v>
      </c>
      <c r="F744" s="13" t="inlineStr">
        <is>
          <t>Ingrediente Ativo Principal</t>
        </is>
      </c>
      <c r="G744" s="13" t="inlineStr">
        <is>
          <t>ÓLEO ESSENCIAL CÍTRICO (D-Limoneno 150 g/L + Tensoativos Emulsionantes)</t>
        </is>
      </c>
      <c r="H744" s="13" t="inlineStr">
        <is>
          <t>(4R)-1-methyl-4-(prop-1-en-2-yl)cyclohex-1-ene (D-Limonene)</t>
        </is>
      </c>
      <c r="I744" s="13" t="inlineStr">
        <is>
          <t>Adjuvante Natural Terpênico e Espalhante Adesivo</t>
        </is>
      </c>
      <c r="J744" s="13" t="inlineStr">
        <is>
          <t>Auxiliar de Tecnologia de Aplicação (Ato SDA 104/2017)</t>
        </is>
      </c>
      <c r="K744" s="13" t="inlineStr">
        <is>
          <t>Desestruturação da camada cerosa e otimização da deposição de gotas</t>
        </is>
      </c>
      <c r="L744" s="15" t="n">
        <v>150</v>
      </c>
      <c r="M744" s="13" t="inlineStr">
        <is>
          <t>g/L</t>
        </is>
      </c>
      <c r="N744" s="13" t="inlineStr">
        <is>
          <t>Registro Técnico Vinculado MAPA</t>
        </is>
      </c>
    </row>
    <row r="745" ht="22" customHeight="1">
      <c r="A745" s="6" t="inlineStr">
        <is>
          <t>CMP-0741</t>
        </is>
      </c>
      <c r="B745" s="5" t="n">
        <v>534</v>
      </c>
      <c r="C745" s="7" t="inlineStr">
        <is>
          <t>Nº 26718</t>
        </is>
      </c>
      <c r="D745" s="8" t="inlineStr">
        <is>
          <t>DINKY 200 SP 0,200KG (IMP) (AMOSTRA)</t>
        </is>
      </c>
      <c r="E745" s="5" t="n">
        <v>1</v>
      </c>
      <c r="F745" s="7" t="inlineStr">
        <is>
          <t>Ingrediente Ativo Principal</t>
        </is>
      </c>
      <c r="G745" s="7" t="inlineStr">
        <is>
          <t>ACETAMIPRID 200</t>
        </is>
      </c>
      <c r="H745" s="7" t="inlineStr">
        <is>
          <t>(E)-N1-[(6-chloro-3-pyridyl)methyl]-N2-cyano-N1-methylacetamidine</t>
        </is>
      </c>
      <c r="I745" s="7" t="inlineStr">
        <is>
          <t>Neonicotinoide</t>
        </is>
      </c>
      <c r="J745" s="7" t="inlineStr">
        <is>
          <t>IRAC Grupo 4A</t>
        </is>
      </c>
      <c r="K745" s="7" t="inlineStr">
        <is>
          <t>Moduladores competitivos de receptores nicotínicos da acetilcolina (nAChR)</t>
        </is>
      </c>
      <c r="L745" s="9" t="n">
        <v>200</v>
      </c>
      <c r="M745" s="7" t="inlineStr">
        <is>
          <t>g/kg</t>
        </is>
      </c>
      <c r="N745" s="7" t="inlineStr">
        <is>
          <t>Registro Técnico Vinculado MAPA</t>
        </is>
      </c>
    </row>
    <row r="746" ht="22" customHeight="1">
      <c r="A746" s="12" t="inlineStr">
        <is>
          <t>CMP-0742</t>
        </is>
      </c>
      <c r="B746" s="11" t="n">
        <v>535</v>
      </c>
      <c r="C746" s="13" t="inlineStr">
        <is>
          <t>Nº 6922</t>
        </is>
      </c>
      <c r="D746" s="14" t="inlineStr">
        <is>
          <t>INSECTRIN 0,200L (IMP) AMOSTRA</t>
        </is>
      </c>
      <c r="E746" s="11" t="n">
        <v>1</v>
      </c>
      <c r="F746" s="13" t="inlineStr">
        <is>
          <t>Ingrediente Ativo Principal</t>
        </is>
      </c>
      <c r="G746" s="13" t="inlineStr">
        <is>
          <t>BIFENTRINA 400</t>
        </is>
      </c>
      <c r="H746" s="13" t="inlineStr">
        <is>
          <t>2-methylbiphenyl-3-ylmethyl (Z)-(1RS,3RS)-3-(2-chloro-3,3,3-trifluoroprop-1-enyl)-2,2-dimethylcyclopropanecarboxylate</t>
        </is>
      </c>
      <c r="I746" s="13" t="inlineStr">
        <is>
          <t>Piretroide (Tipo I)</t>
        </is>
      </c>
      <c r="J746" s="13" t="inlineStr">
        <is>
          <t>IRAC Grupo 3A</t>
        </is>
      </c>
      <c r="K746" s="13" t="inlineStr">
        <is>
          <t>Moduladores de canais de sódio em membranas nervosas</t>
        </is>
      </c>
      <c r="L746" s="15" t="n">
        <v>400</v>
      </c>
      <c r="M746" s="13" t="inlineStr">
        <is>
          <t>g/L</t>
        </is>
      </c>
      <c r="N746" s="13" t="inlineStr">
        <is>
          <t>Registro Técnico Vinculado MAPA</t>
        </is>
      </c>
    </row>
    <row r="747" ht="22" customHeight="1">
      <c r="A747" s="6" t="inlineStr">
        <is>
          <t>CMP-0743</t>
        </is>
      </c>
      <c r="B747" s="5" t="n">
        <v>536</v>
      </c>
      <c r="C747" s="7" t="inlineStr">
        <is>
          <t>Nº 3224</t>
        </is>
      </c>
      <c r="D747" s="8" t="inlineStr">
        <is>
          <t>CHLOROTHALONIL</t>
        </is>
      </c>
      <c r="E747" s="5" t="n">
        <v>1</v>
      </c>
      <c r="F747" s="7" t="inlineStr">
        <is>
          <t>Ingrediente Ativo Principal</t>
        </is>
      </c>
      <c r="G747" s="7" t="inlineStr">
        <is>
          <t>CLOROTALONIL 720</t>
        </is>
      </c>
      <c r="H747" s="7" t="inlineStr">
        <is>
          <t>Tetrachloroisophthalonitrile</t>
        </is>
      </c>
      <c r="I747" s="7" t="inlineStr">
        <is>
          <t>Isoftalonitrila</t>
        </is>
      </c>
      <c r="J747" s="7" t="inlineStr">
        <is>
          <t>FRAC Grupo M05 — Multissítio</t>
        </is>
      </c>
      <c r="K747" s="7" t="inlineStr">
        <is>
          <t>Atividade de contato multissítio (inativação de grupos tiol enzimáticos)</t>
        </is>
      </c>
      <c r="L747" s="9" t="n">
        <v>720</v>
      </c>
      <c r="M747" s="7" t="inlineStr">
        <is>
          <t>g/L</t>
        </is>
      </c>
      <c r="N747" s="7" t="inlineStr">
        <is>
          <t>Registro Técnico Vinculado MAPA</t>
        </is>
      </c>
    </row>
    <row r="748" ht="22" customHeight="1">
      <c r="A748" s="12" t="inlineStr">
        <is>
          <t>CMP-0744</t>
        </is>
      </c>
      <c r="B748" s="11" t="n">
        <v>537</v>
      </c>
      <c r="C748" s="13" t="inlineStr">
        <is>
          <t>Nº 40624</t>
        </is>
      </c>
      <c r="D748" s="14" t="inlineStr">
        <is>
          <t>CHLORPYRIFOS 480 EC AGCN 0,200 (IMP) AMOSTRA LL</t>
        </is>
      </c>
      <c r="E748" s="11" t="n">
        <v>1</v>
      </c>
      <c r="F748" s="13" t="inlineStr">
        <is>
          <t>Ingrediente Ativo Principal</t>
        </is>
      </c>
      <c r="G748" s="13" t="inlineStr">
        <is>
          <t>CLORPIRIFOS 480</t>
        </is>
      </c>
      <c r="H748" s="13" t="inlineStr">
        <is>
          <t>O,O-diethyl O-3,5,6-trichloro-2-pyridyl phosphorothioate</t>
        </is>
      </c>
      <c r="I748" s="13" t="inlineStr">
        <is>
          <t>Organofosforado</t>
        </is>
      </c>
      <c r="J748" s="13" t="inlineStr">
        <is>
          <t>IRAC Grupo 1B</t>
        </is>
      </c>
      <c r="K748" s="13" t="inlineStr">
        <is>
          <t>Inibidores da acetilcolinesterase (AChE)</t>
        </is>
      </c>
      <c r="L748" s="15" t="n">
        <v>480</v>
      </c>
      <c r="M748" s="13" t="inlineStr">
        <is>
          <t>g/L</t>
        </is>
      </c>
      <c r="N748" s="13" t="inlineStr">
        <is>
          <t>Registro Técnico Vinculado MAPA</t>
        </is>
      </c>
    </row>
    <row r="749" ht="22" customHeight="1">
      <c r="A749" s="6" t="inlineStr">
        <is>
          <t>CMP-0745</t>
        </is>
      </c>
      <c r="B749" s="5" t="n">
        <v>538</v>
      </c>
      <c r="C749" s="7" t="inlineStr">
        <is>
          <t>Nº 18022</t>
        </is>
      </c>
      <c r="D749" s="8" t="inlineStr">
        <is>
          <t>TARBOX BR 0,200KG (IMP) AMOSTRA</t>
        </is>
      </c>
      <c r="E749" s="5" t="n">
        <v>1</v>
      </c>
      <c r="F749" s="7" t="inlineStr">
        <is>
          <t>Ingrediente Ativo Principal</t>
        </is>
      </c>
      <c r="G749" s="7" t="inlineStr">
        <is>
          <t>GLUFOSINATO 850</t>
        </is>
      </c>
      <c r="H749" s="7" t="inlineStr">
        <is>
          <t>Ammonium (2RS)-2-amino-4-(methylphosphinato)butyric acid (Glufosinato Sal de Amônio)</t>
        </is>
      </c>
      <c r="I749" s="7" t="inlineStr">
        <is>
          <t>Homoalanina substituída (Ácido fosfínico)</t>
        </is>
      </c>
      <c r="J749" s="7" t="inlineStr">
        <is>
          <t>HRAC Grupo H (10) — Inibidores da Glutamina Sintetase</t>
        </is>
      </c>
      <c r="K749" s="7" t="inlineStr">
        <is>
          <t>Inibição da enzima glutamina sintetase (acúmulo de amônia intracelular)</t>
        </is>
      </c>
      <c r="L749" s="9" t="n">
        <v>850</v>
      </c>
      <c r="M749" s="7" t="inlineStr">
        <is>
          <t>g/kg</t>
        </is>
      </c>
      <c r="N749" s="7" t="inlineStr">
        <is>
          <t>Registro Técnico Vinculado MAPA</t>
        </is>
      </c>
    </row>
    <row r="750" ht="22" customHeight="1">
      <c r="A750" s="12" t="inlineStr">
        <is>
          <t>CMP-0746</t>
        </is>
      </c>
      <c r="B750" s="11" t="n">
        <v>539</v>
      </c>
      <c r="C750" s="13" t="inlineStr">
        <is>
          <t>Nº 22225</t>
        </is>
      </c>
      <c r="D750" s="14" t="inlineStr">
        <is>
          <t>KILLIGAN 0,200L (IMP) RW AMOSTRA</t>
        </is>
      </c>
      <c r="E750" s="11" t="n">
        <v>1</v>
      </c>
      <c r="F750" s="13" t="inlineStr">
        <is>
          <t>Ingrediente Ativo Principal</t>
        </is>
      </c>
      <c r="G750" s="13" t="inlineStr">
        <is>
          <t>CLORFENAPIR 240</t>
        </is>
      </c>
      <c r="H750" s="13" t="inlineStr">
        <is>
          <t>4-bromo-2-(4-chlorophenyl)-1-ethoxymethyl-5-trifluoromethyl-1H-pyrrole-3-carbonitrile</t>
        </is>
      </c>
      <c r="I750" s="13" t="inlineStr">
        <is>
          <t>Análogo de pirazol (Arilpirrol)</t>
        </is>
      </c>
      <c r="J750" s="13" t="inlineStr">
        <is>
          <t>IRAC Grupo 13</t>
        </is>
      </c>
      <c r="K750" s="13" t="inlineStr">
        <is>
          <t>Desacopladores da fosforilação oxidativa via disrupção do gradiente de prótons</t>
        </is>
      </c>
      <c r="L750" s="15" t="n">
        <v>240</v>
      </c>
      <c r="M750" s="13" t="inlineStr">
        <is>
          <t>g/L</t>
        </is>
      </c>
      <c r="N750" s="13" t="inlineStr">
        <is>
          <t>Registro Técnico Vinculado MAPA</t>
        </is>
      </c>
    </row>
    <row r="751" ht="22" customHeight="1">
      <c r="A751" s="6" t="inlineStr">
        <is>
          <t>CMP-0747</t>
        </is>
      </c>
      <c r="B751" s="5" t="n">
        <v>540</v>
      </c>
      <c r="C751" s="7" t="inlineStr">
        <is>
          <t>SIPEAGRO (UF-XXXXX)</t>
        </is>
      </c>
      <c r="D751" s="8" t="inlineStr">
        <is>
          <t>FOSFATO MONOAMONICO GRANULADO - MAP</t>
        </is>
      </c>
      <c r="E751" s="5" t="n">
        <v>1</v>
      </c>
      <c r="F751" s="7" t="inlineStr">
        <is>
          <t>Nutriente Garantido</t>
        </is>
      </c>
      <c r="G751" s="7" t="inlineStr">
        <is>
          <t>MAP PURIFICADO</t>
        </is>
      </c>
      <c r="H751" s="7" t="inlineStr">
        <is>
          <t>Composição Nutricional Oficial (MAP PURIFICADO)</t>
        </is>
      </c>
      <c r="I751" s="7" t="inlineStr">
        <is>
          <t>Fertilizante Mineral / Organomineral (Lei nº 6.894/1980)</t>
        </is>
      </c>
      <c r="J751" s="7" t="inlineStr">
        <is>
          <t>Nutrição Vegetal SIPEAGRO</t>
        </is>
      </c>
      <c r="K751" s="7" t="inlineStr">
        <is>
          <t>Fornecimento de macro e micronutrientes essenciais ao metabolismo vegetal</t>
        </is>
      </c>
      <c r="L751" s="9" t="n">
        <v>100</v>
      </c>
      <c r="M751" s="7" t="inlineStr">
        <is>
          <t>% m/m</t>
        </is>
      </c>
      <c r="N751" s="7" t="inlineStr">
        <is>
          <t>Registro Técnico Vinculado MAPA</t>
        </is>
      </c>
    </row>
    <row r="752" ht="22" customHeight="1">
      <c r="A752" s="12" t="inlineStr">
        <is>
          <t>CMP-0748</t>
        </is>
      </c>
      <c r="B752" s="11" t="n">
        <v>541</v>
      </c>
      <c r="C752" s="13" t="inlineStr">
        <is>
          <t>Nº 24922</t>
        </is>
      </c>
      <c r="D752" s="14" t="inlineStr">
        <is>
          <t>CEFANOL GOLD</t>
        </is>
      </c>
      <c r="E752" s="11" t="n">
        <v>1</v>
      </c>
      <c r="F752" s="13" t="inlineStr">
        <is>
          <t>Ingrediente Ativo Principal</t>
        </is>
      </c>
      <c r="G752" s="13" t="inlineStr">
        <is>
          <t>ACEFATO 920</t>
        </is>
      </c>
      <c r="H752" s="13" t="inlineStr">
        <is>
          <t>O,S-dimethyl acetylphosphoramidothioate</t>
        </is>
      </c>
      <c r="I752" s="13" t="inlineStr">
        <is>
          <t>Organofosforado</t>
        </is>
      </c>
      <c r="J752" s="13" t="inlineStr">
        <is>
          <t>IRAC Grupo 1B</t>
        </is>
      </c>
      <c r="K752" s="13" t="inlineStr">
        <is>
          <t>Inibidores da enzima acetilcolinesterase (AChE)</t>
        </is>
      </c>
      <c r="L752" s="15" t="n">
        <v>920</v>
      </c>
      <c r="M752" s="13" t="inlineStr">
        <is>
          <t>g/kg</t>
        </is>
      </c>
      <c r="N752" s="13" t="inlineStr">
        <is>
          <t>Registro Técnico Vinculado MAPA</t>
        </is>
      </c>
    </row>
    <row r="753" ht="22" customHeight="1">
      <c r="A753" s="6" t="inlineStr">
        <is>
          <t>CMP-0749</t>
        </is>
      </c>
      <c r="B753" s="5" t="n">
        <v>542</v>
      </c>
      <c r="C753" s="7" t="inlineStr">
        <is>
          <t>Nº 22225</t>
        </is>
      </c>
      <c r="D753" s="8" t="inlineStr">
        <is>
          <t>KILLIGAN</t>
        </is>
      </c>
      <c r="E753" s="5" t="n">
        <v>1</v>
      </c>
      <c r="F753" s="7" t="inlineStr">
        <is>
          <t>Ingrediente Ativo Principal</t>
        </is>
      </c>
      <c r="G753" s="7" t="inlineStr">
        <is>
          <t>CLORFENAPIR 240</t>
        </is>
      </c>
      <c r="H753" s="7" t="inlineStr">
        <is>
          <t>4-bromo-2-(4-chlorophenyl)-1-ethoxymethyl-5-trifluoromethyl-1H-pyrrole-3-carbonitrile</t>
        </is>
      </c>
      <c r="I753" s="7" t="inlineStr">
        <is>
          <t>Análogo de pirazol (Arilpirrol)</t>
        </is>
      </c>
      <c r="J753" s="7" t="inlineStr">
        <is>
          <t>IRAC Grupo 13</t>
        </is>
      </c>
      <c r="K753" s="7" t="inlineStr">
        <is>
          <t>Desacopladores da fosforilação oxidativa via disrupção do gradiente de prótons</t>
        </is>
      </c>
      <c r="L753" s="9" t="n">
        <v>240</v>
      </c>
      <c r="M753" s="7" t="inlineStr">
        <is>
          <t>g/L</t>
        </is>
      </c>
      <c r="N753" s="7" t="inlineStr">
        <is>
          <t>Registro Técnico Vinculado MAPA</t>
        </is>
      </c>
    </row>
    <row r="754" ht="22" customHeight="1">
      <c r="A754" s="12" t="inlineStr">
        <is>
          <t>CMP-0750</t>
        </is>
      </c>
      <c r="B754" s="11" t="n">
        <v>543</v>
      </c>
      <c r="C754" s="13" t="inlineStr">
        <is>
          <t>Nº 17921</t>
        </is>
      </c>
      <c r="D754" s="14" t="inlineStr">
        <is>
          <t>TIOFANATO</t>
        </is>
      </c>
      <c r="E754" s="11" t="n">
        <v>1</v>
      </c>
      <c r="F754" s="13" t="inlineStr">
        <is>
          <t>Ingrediente Ativo Principal</t>
        </is>
      </c>
      <c r="G754" s="13" t="inlineStr">
        <is>
          <t>TIOFANATO METILICO 500</t>
        </is>
      </c>
      <c r="H754" s="13" t="inlineStr">
        <is>
          <t>Dimethyl 4,4'-(o-phenylene)bis(3-thioallophanate)</t>
        </is>
      </c>
      <c r="I754" s="13" t="inlineStr">
        <is>
          <t>Benzimidazol (Precursor de MBC)</t>
        </is>
      </c>
      <c r="J754" s="13" t="inlineStr">
        <is>
          <t>FRAC Grupo 1 (MBC)</t>
        </is>
      </c>
      <c r="K754" s="13" t="inlineStr">
        <is>
          <t>Inibidores da montagem de beta-tubulina na mitose celular</t>
        </is>
      </c>
      <c r="L754" s="15" t="n">
        <v>500</v>
      </c>
      <c r="M754" s="13" t="inlineStr">
        <is>
          <t>g/L</t>
        </is>
      </c>
      <c r="N754" s="13" t="inlineStr">
        <is>
          <t>Registro Técnico Vinculado MAPA</t>
        </is>
      </c>
    </row>
    <row r="755" ht="22" customHeight="1">
      <c r="A755" s="6" t="inlineStr">
        <is>
          <t>CMP-0751</t>
        </is>
      </c>
      <c r="B755" s="5" t="n">
        <v>544</v>
      </c>
      <c r="C755" s="7" t="inlineStr">
        <is>
          <t>Nº 17921</t>
        </is>
      </c>
      <c r="D755" s="8" t="inlineStr">
        <is>
          <t>TIOFANATO</t>
        </is>
      </c>
      <c r="E755" s="5" t="n">
        <v>1</v>
      </c>
      <c r="F755" s="7" t="inlineStr">
        <is>
          <t>Ingrediente Ativo Principal</t>
        </is>
      </c>
      <c r="G755" s="7" t="inlineStr">
        <is>
          <t>TIOFANATO METILICO 500</t>
        </is>
      </c>
      <c r="H755" s="7" t="inlineStr">
        <is>
          <t>Dimethyl 4,4'-(o-phenylene)bis(3-thioallophanate)</t>
        </is>
      </c>
      <c r="I755" s="7" t="inlineStr">
        <is>
          <t>Benzimidazol (Precursor de MBC)</t>
        </is>
      </c>
      <c r="J755" s="7" t="inlineStr">
        <is>
          <t>FRAC Grupo 1 (MBC)</t>
        </is>
      </c>
      <c r="K755" s="7" t="inlineStr">
        <is>
          <t>Inibidores da montagem de beta-tubulina na mitose celular</t>
        </is>
      </c>
      <c r="L755" s="9" t="n">
        <v>500</v>
      </c>
      <c r="M755" s="7" t="inlineStr">
        <is>
          <t>g/L</t>
        </is>
      </c>
      <c r="N755" s="7" t="inlineStr">
        <is>
          <t>Registro Técnico Vinculado MAPA</t>
        </is>
      </c>
    </row>
    <row r="756" ht="22" customHeight="1">
      <c r="A756" s="12" t="inlineStr">
        <is>
          <t>CMP-0752</t>
        </is>
      </c>
      <c r="B756" s="11" t="n">
        <v>545</v>
      </c>
      <c r="C756" s="13" t="inlineStr">
        <is>
          <t>Nº 17219</t>
        </is>
      </c>
      <c r="D756" s="14" t="inlineStr">
        <is>
          <t>FLUAZINAM</t>
        </is>
      </c>
      <c r="E756" s="11" t="n">
        <v>1</v>
      </c>
      <c r="F756" s="13" t="inlineStr">
        <is>
          <t>Ingrediente Ativo Principal</t>
        </is>
      </c>
      <c r="G756" s="13" t="inlineStr">
        <is>
          <t>FLUAZINAM 500</t>
        </is>
      </c>
      <c r="H756" s="13" t="inlineStr">
        <is>
          <t>3-chloro-N-(3-chloro-5-trifluoromethyl-2-pyridyl)-a,a,a-trifluoro-2,6-dinitro-p-toluidine</t>
        </is>
      </c>
      <c r="I756" s="13" t="inlineStr">
        <is>
          <t>Fenilpiridinamina (2,6-dinitroanilina)</t>
        </is>
      </c>
      <c r="J756" s="13" t="inlineStr">
        <is>
          <t>FRAC Grupo 29</t>
        </is>
      </c>
      <c r="K756" s="13" t="inlineStr">
        <is>
          <t>Desacopladores da fosforilação oxidativa mitocondrial</t>
        </is>
      </c>
      <c r="L756" s="15" t="n">
        <v>500</v>
      </c>
      <c r="M756" s="13" t="inlineStr">
        <is>
          <t>g/L</t>
        </is>
      </c>
      <c r="N756" s="13" t="inlineStr">
        <is>
          <t>Registro Técnico Vinculado MAPA</t>
        </is>
      </c>
    </row>
    <row r="757" ht="22" customHeight="1">
      <c r="A757" s="6" t="inlineStr">
        <is>
          <t>CMP-0753</t>
        </is>
      </c>
      <c r="B757" s="5" t="n">
        <v>546</v>
      </c>
      <c r="C757" s="7" t="inlineStr">
        <is>
          <t>Nº 24324</t>
        </is>
      </c>
      <c r="D757" s="8" t="inlineStr">
        <is>
          <t>PROCYMIDONE</t>
        </is>
      </c>
      <c r="E757" s="5" t="n">
        <v>1</v>
      </c>
      <c r="F757" s="7" t="inlineStr">
        <is>
          <t>Ingrediente Ativo Principal</t>
        </is>
      </c>
      <c r="G757" s="7" t="inlineStr">
        <is>
          <t>PROCIMIDONA 500</t>
        </is>
      </c>
      <c r="H757" s="7" t="inlineStr">
        <is>
          <t>N-(3,5-dichlorophenyl)-1,2-dimethylcyclopropane-1,2-dicarboximide</t>
        </is>
      </c>
      <c r="I757" s="7" t="inlineStr">
        <is>
          <t>Dicarboximida</t>
        </is>
      </c>
      <c r="J757" s="7" t="inlineStr">
        <is>
          <t>FRAC Grupo 2 (E3)</t>
        </is>
      </c>
      <c r="K757" s="7" t="inlineStr">
        <is>
          <t>Inibidores da transdução de sinal osmótico (MAP/Histidina-quinase)</t>
        </is>
      </c>
      <c r="L757" s="9" t="n">
        <v>500</v>
      </c>
      <c r="M757" s="7" t="inlineStr">
        <is>
          <t>g/L</t>
        </is>
      </c>
      <c r="N757" s="7" t="inlineStr">
        <is>
          <t>Registro Técnico Vinculado MAPA</t>
        </is>
      </c>
    </row>
    <row r="758" ht="22" customHeight="1">
      <c r="A758" s="12" t="inlineStr">
        <is>
          <t>CMP-0754</t>
        </is>
      </c>
      <c r="B758" s="11" t="n">
        <v>547</v>
      </c>
      <c r="C758" s="13" t="inlineStr">
        <is>
          <t>Nº 9019</t>
        </is>
      </c>
      <c r="D758" s="14" t="inlineStr">
        <is>
          <t>LIMUZINA WG</t>
        </is>
      </c>
      <c r="E758" s="11" t="n">
        <v>1</v>
      </c>
      <c r="F758" s="13" t="inlineStr">
        <is>
          <t>Ingrediente Ativo Principal</t>
        </is>
      </c>
      <c r="G758" s="13" t="inlineStr">
        <is>
          <t>ATRAZINA 900</t>
        </is>
      </c>
      <c r="H758" s="13" t="inlineStr">
        <is>
          <t>6-chloro-N2-ethyl-N4-isopropyl-1,3,5-triazine-2,4-diamine</t>
        </is>
      </c>
      <c r="I758" s="13" t="inlineStr">
        <is>
          <t>Triazina</t>
        </is>
      </c>
      <c r="J758" s="13" t="inlineStr">
        <is>
          <t>HRAC Grupo C1 (5) — Inibidores do Fotossistema II</t>
        </is>
      </c>
      <c r="K758" s="13" t="inlineStr">
        <is>
          <t>Inibição do transporte de elétrons no Fotossistema II (sítio Serina 264)</t>
        </is>
      </c>
      <c r="L758" s="15" t="n">
        <v>900</v>
      </c>
      <c r="M758" s="13" t="inlineStr">
        <is>
          <t>g/kg</t>
        </is>
      </c>
      <c r="N758" s="13" t="inlineStr">
        <is>
          <t>Registro Técnico Vinculado MAPA</t>
        </is>
      </c>
    </row>
    <row r="759" ht="22" customHeight="1">
      <c r="A759" s="6" t="inlineStr">
        <is>
          <t>CMP-0755</t>
        </is>
      </c>
      <c r="B759" s="5" t="n">
        <v>548</v>
      </c>
      <c r="C759" s="7" t="inlineStr">
        <is>
          <t>Nº 11819</t>
        </is>
      </c>
      <c r="D759" s="8" t="inlineStr">
        <is>
          <t>MANCOZEB 800 WP AGCN 0,200KG AMOSTRA IMP LS</t>
        </is>
      </c>
      <c r="E759" s="5" t="n">
        <v>1</v>
      </c>
      <c r="F759" s="7" t="inlineStr">
        <is>
          <t>Ingrediente Ativo Principal</t>
        </is>
      </c>
      <c r="G759" s="7" t="inlineStr">
        <is>
          <t>MANCOZEB 800</t>
        </is>
      </c>
      <c r="H759" s="7" t="inlineStr">
        <is>
          <t>Manganese ethylenebis(dithiocarbamate) (polymeric) complex with zinc salt</t>
        </is>
      </c>
      <c r="I759" s="7" t="inlineStr">
        <is>
          <t>Alquilenobis(ditiocarbamato)</t>
        </is>
      </c>
      <c r="J759" s="7" t="inlineStr">
        <is>
          <t>FRAC Grupo M03 — Multissítio</t>
        </is>
      </c>
      <c r="K759" s="7" t="inlineStr">
        <is>
          <t>Inibidor multissítio de enzimas contendo grupos sulfidrila e aminoácidos fúngicos</t>
        </is>
      </c>
      <c r="L759" s="9" t="n">
        <v>800</v>
      </c>
      <c r="M759" s="7" t="inlineStr">
        <is>
          <t>g/kg</t>
        </is>
      </c>
      <c r="N759" s="7" t="inlineStr">
        <is>
          <t>Registro Técnico Vinculado MAPA</t>
        </is>
      </c>
    </row>
    <row r="760" ht="22" customHeight="1">
      <c r="A760" s="12" t="inlineStr">
        <is>
          <t>CMP-0756</t>
        </is>
      </c>
      <c r="B760" s="11" t="n">
        <v>549</v>
      </c>
      <c r="C760" s="13" t="inlineStr">
        <is>
          <t>Nº 16724</t>
        </is>
      </c>
      <c r="D760" s="14" t="inlineStr">
        <is>
          <t>FLUAZINAM</t>
        </is>
      </c>
      <c r="E760" s="11" t="n">
        <v>1</v>
      </c>
      <c r="F760" s="13" t="inlineStr">
        <is>
          <t>Ingrediente Ativo Principal</t>
        </is>
      </c>
      <c r="G760" s="13" t="inlineStr">
        <is>
          <t>FLUAZINAM 500</t>
        </is>
      </c>
      <c r="H760" s="13" t="inlineStr">
        <is>
          <t>3-chloro-N-(3-chloro-5-trifluoromethyl-2-pyridyl)-a,a,a-trifluoro-2,6-dinitro-p-toluidine</t>
        </is>
      </c>
      <c r="I760" s="13" t="inlineStr">
        <is>
          <t>Fenilpiridinamina (2,6-dinitroanilina)</t>
        </is>
      </c>
      <c r="J760" s="13" t="inlineStr">
        <is>
          <t>FRAC Grupo 29</t>
        </is>
      </c>
      <c r="K760" s="13" t="inlineStr">
        <is>
          <t>Desacopladores da fosforilação oxidativa mitocondrial</t>
        </is>
      </c>
      <c r="L760" s="15" t="n">
        <v>500</v>
      </c>
      <c r="M760" s="13" t="inlineStr">
        <is>
          <t>g/L</t>
        </is>
      </c>
      <c r="N760" s="13" t="inlineStr">
        <is>
          <t>Registro Técnico Vinculado MAPA</t>
        </is>
      </c>
    </row>
    <row r="761" ht="22" customHeight="1">
      <c r="A761" s="6" t="inlineStr">
        <is>
          <t>CMP-0757</t>
        </is>
      </c>
      <c r="B761" s="5" t="n">
        <v>550</v>
      </c>
      <c r="C761" s="7" t="inlineStr">
        <is>
          <t>Nº 24922</t>
        </is>
      </c>
      <c r="D761" s="8" t="inlineStr">
        <is>
          <t>CEFANOL GOLD</t>
        </is>
      </c>
      <c r="E761" s="5" t="n">
        <v>1</v>
      </c>
      <c r="F761" s="7" t="inlineStr">
        <is>
          <t>Ingrediente Ativo Principal</t>
        </is>
      </c>
      <c r="G761" s="7" t="inlineStr">
        <is>
          <t>ACEFATO 920</t>
        </is>
      </c>
      <c r="H761" s="7" t="inlineStr">
        <is>
          <t>O,S-dimethyl acetylphosphoramidothioate</t>
        </is>
      </c>
      <c r="I761" s="7" t="inlineStr">
        <is>
          <t>Organofosforado</t>
        </is>
      </c>
      <c r="J761" s="7" t="inlineStr">
        <is>
          <t>IRAC Grupo 1B</t>
        </is>
      </c>
      <c r="K761" s="7" t="inlineStr">
        <is>
          <t>Inibidores da enzima acetilcolinesterase (AChE)</t>
        </is>
      </c>
      <c r="L761" s="9" t="n">
        <v>920</v>
      </c>
      <c r="M761" s="7" t="inlineStr">
        <is>
          <t>g/kg</t>
        </is>
      </c>
      <c r="N761" s="7" t="inlineStr">
        <is>
          <t>Registro Técnico Vinculado MAPA</t>
        </is>
      </c>
    </row>
    <row r="762" ht="22" customHeight="1">
      <c r="A762" s="12" t="inlineStr">
        <is>
          <t>CMP-0758</t>
        </is>
      </c>
      <c r="B762" s="11" t="n">
        <v>551</v>
      </c>
      <c r="C762" s="13" t="inlineStr">
        <is>
          <t>SIPEAGRO (UF-XXXXX)</t>
        </is>
      </c>
      <c r="D762" s="14" t="inlineStr">
        <is>
          <t>FERTILIZANTE MINERAL MISTO 20-00-20</t>
        </is>
      </c>
      <c r="E762" s="11" t="n">
        <v>1</v>
      </c>
      <c r="F762" s="13" t="inlineStr">
        <is>
          <t>Nutriente Garantido</t>
        </is>
      </c>
      <c r="G762" s="13" t="inlineStr">
        <is>
          <t>FERTILIZANTES</t>
        </is>
      </c>
      <c r="H762" s="13" t="inlineStr">
        <is>
          <t>Composição Nutricional Oficial (FERTILIZANTES)</t>
        </is>
      </c>
      <c r="I762" s="13" t="inlineStr">
        <is>
          <t>Fertilizante Mineral / Organomineral (Lei nº 6.894/1980)</t>
        </is>
      </c>
      <c r="J762" s="13" t="inlineStr">
        <is>
          <t>Nutrição Vegetal SIPEAGRO</t>
        </is>
      </c>
      <c r="K762" s="13" t="inlineStr">
        <is>
          <t>Fornecimento de macro e micronutrientes essenciais ao metabolismo vegetal</t>
        </is>
      </c>
      <c r="L762" s="15" t="n">
        <v>100</v>
      </c>
      <c r="M762" s="13" t="inlineStr">
        <is>
          <t>% m/m</t>
        </is>
      </c>
      <c r="N762" s="13" t="inlineStr">
        <is>
          <t>Registro Técnico Vinculado MAPA</t>
        </is>
      </c>
    </row>
    <row r="763" ht="22" customHeight="1">
      <c r="A763" s="6" t="inlineStr">
        <is>
          <t>CMP-0759</t>
        </is>
      </c>
      <c r="B763" s="5" t="n">
        <v>552</v>
      </c>
      <c r="C763" s="7" t="inlineStr">
        <is>
          <t>Nº 15925</t>
        </is>
      </c>
      <c r="D763" s="8" t="inlineStr">
        <is>
          <t>CHETTAK GOLD 0,200KG (IMP) AMOSTRA</t>
        </is>
      </c>
      <c r="E763" s="5" t="n">
        <v>1</v>
      </c>
      <c r="F763" s="7" t="inlineStr">
        <is>
          <t>Ingrediente Ativo Principal</t>
        </is>
      </c>
      <c r="G763" s="7" t="inlineStr">
        <is>
          <t>ACEFATO 970</t>
        </is>
      </c>
      <c r="H763" s="7" t="inlineStr">
        <is>
          <t>O,S-dimethyl acetylphosphoramidothioate</t>
        </is>
      </c>
      <c r="I763" s="7" t="inlineStr">
        <is>
          <t>Organofosforado</t>
        </is>
      </c>
      <c r="J763" s="7" t="inlineStr">
        <is>
          <t>IRAC Grupo 1B</t>
        </is>
      </c>
      <c r="K763" s="7" t="inlineStr">
        <is>
          <t>Inibidores da enzima acetilcolinesterase (AChE)</t>
        </is>
      </c>
      <c r="L763" s="9" t="n">
        <v>970</v>
      </c>
      <c r="M763" s="7" t="inlineStr">
        <is>
          <t>g/kg</t>
        </is>
      </c>
      <c r="N763" s="7" t="inlineStr">
        <is>
          <t>Registro Técnico Vinculado MAPA</t>
        </is>
      </c>
    </row>
    <row r="764" ht="22" customHeight="1">
      <c r="A764" s="12" t="inlineStr">
        <is>
          <t>CMP-0760</t>
        </is>
      </c>
      <c r="B764" s="11" t="n">
        <v>553</v>
      </c>
      <c r="C764" s="13" t="inlineStr">
        <is>
          <t>Nº 31618</t>
        </is>
      </c>
      <c r="D764" s="14" t="inlineStr">
        <is>
          <t>ASSARIS</t>
        </is>
      </c>
      <c r="E764" s="11" t="n">
        <v>1</v>
      </c>
      <c r="F764" s="13" t="inlineStr">
        <is>
          <t>Ingrediente Ativo Principal</t>
        </is>
      </c>
      <c r="G764" s="13" t="inlineStr">
        <is>
          <t>METOMIL 215</t>
        </is>
      </c>
      <c r="H764" s="13" t="inlineStr">
        <is>
          <t>S-methyl N-(methylcarbamoyloxy)thioacetimidate</t>
        </is>
      </c>
      <c r="I764" s="13" t="inlineStr">
        <is>
          <t>Metilcarbamato de oxima</t>
        </is>
      </c>
      <c r="J764" s="13" t="inlineStr">
        <is>
          <t>IRAC Grupo 1A</t>
        </is>
      </c>
      <c r="K764" s="13" t="inlineStr">
        <is>
          <t>Inibidores reversíveis da enzima acetilcolinesterase (AChE)</t>
        </is>
      </c>
      <c r="L764" s="15" t="n">
        <v>215</v>
      </c>
      <c r="M764" s="13" t="inlineStr">
        <is>
          <t>g/L</t>
        </is>
      </c>
      <c r="N764" s="13" t="inlineStr">
        <is>
          <t>Registro Técnico Vinculado MAPA</t>
        </is>
      </c>
    </row>
    <row r="765" ht="22" customHeight="1">
      <c r="A765" s="6" t="inlineStr">
        <is>
          <t>CMP-0761</t>
        </is>
      </c>
      <c r="B765" s="5" t="n">
        <v>554</v>
      </c>
      <c r="C765" s="7" t="inlineStr">
        <is>
          <t>SIPEAGRO (UF-XXXXX)</t>
        </is>
      </c>
      <c r="D765" s="8" t="inlineStr">
        <is>
          <t>AGCN POTASSIO</t>
        </is>
      </c>
      <c r="E765" s="5" t="n">
        <v>1</v>
      </c>
      <c r="F765" s="7" t="inlineStr">
        <is>
          <t>Nutriente Garantido</t>
        </is>
      </c>
      <c r="G765" s="7" t="inlineStr">
        <is>
          <t>K 25%</t>
        </is>
      </c>
      <c r="H765" s="7" t="inlineStr">
        <is>
          <t>Composição Nutricional Oficial (K 25%)</t>
        </is>
      </c>
      <c r="I765" s="7" t="inlineStr">
        <is>
          <t>Fertilizante Mineral / Organomineral (Lei nº 6.894/1980)</t>
        </is>
      </c>
      <c r="J765" s="7" t="inlineStr">
        <is>
          <t>Nutrição Vegetal SIPEAGRO</t>
        </is>
      </c>
      <c r="K765" s="7" t="inlineStr">
        <is>
          <t>Fornecimento de macro e micronutrientes essenciais ao metabolismo vegetal</t>
        </is>
      </c>
      <c r="L765" s="9" t="n">
        <v>25</v>
      </c>
      <c r="M765" s="7" t="inlineStr">
        <is>
          <t>% m/m</t>
        </is>
      </c>
      <c r="N765" s="7" t="inlineStr">
        <is>
          <t>Registro Técnico Vinculado MAPA</t>
        </is>
      </c>
    </row>
    <row r="766" ht="22" customHeight="1">
      <c r="A766" s="12" t="inlineStr">
        <is>
          <t>CMP-0762</t>
        </is>
      </c>
      <c r="B766" s="11" t="n">
        <v>554</v>
      </c>
      <c r="C766" s="13" t="inlineStr">
        <is>
          <t>SIPEAGRO (UF-XXXXX)</t>
        </is>
      </c>
      <c r="D766" s="14" t="inlineStr">
        <is>
          <t>AGCN POTASSIO</t>
        </is>
      </c>
      <c r="E766" s="11" t="n">
        <v>2</v>
      </c>
      <c r="F766" s="13" t="inlineStr">
        <is>
          <t>Nutriente Garantido</t>
        </is>
      </c>
      <c r="G766" s="13" t="inlineStr">
        <is>
          <t>S 17%</t>
        </is>
      </c>
      <c r="H766" s="13" t="inlineStr">
        <is>
          <t>Composição Nutricional Oficial (S 17%)</t>
        </is>
      </c>
      <c r="I766" s="13" t="inlineStr">
        <is>
          <t>Fertilizante Mineral / Organomineral (Lei nº 6.894/1980)</t>
        </is>
      </c>
      <c r="J766" s="13" t="inlineStr">
        <is>
          <t>Nutrição Vegetal SIPEAGRO</t>
        </is>
      </c>
      <c r="K766" s="13" t="inlineStr">
        <is>
          <t>Fornecimento de macro e micronutrientes essenciais ao metabolismo vegetal</t>
        </is>
      </c>
      <c r="L766" s="15" t="n">
        <v>17</v>
      </c>
      <c r="M766" s="13" t="inlineStr">
        <is>
          <t>% m/m</t>
        </is>
      </c>
      <c r="N766" s="13" t="inlineStr">
        <is>
          <t>Registro Técnico Vinculado MAPA</t>
        </is>
      </c>
    </row>
    <row r="767" ht="22" customHeight="1">
      <c r="A767" s="6" t="inlineStr">
        <is>
          <t>CMP-0763</t>
        </is>
      </c>
      <c r="B767" s="5" t="n">
        <v>555</v>
      </c>
      <c r="C767" s="7" t="inlineStr">
        <is>
          <t>ISENTO (ATO 104/2017)</t>
        </is>
      </c>
      <c r="D767" s="8" t="inlineStr">
        <is>
          <t>AGCN SAFE SPRAY</t>
        </is>
      </c>
      <c r="E767" s="5" t="n">
        <v>1</v>
      </c>
      <c r="F767" s="7" t="inlineStr">
        <is>
          <t>Ingrediente Ativo Principal</t>
        </is>
      </c>
      <c r="G767" s="7" t="inlineStr">
        <is>
          <t>ADJUVANTE (MULTI FUNCAO)</t>
        </is>
      </c>
      <c r="H767" s="7" t="inlineStr">
        <is>
          <t>Adjuvante Agrícola de Calda (ADJUVANTE (MULTI FUNCAO))</t>
        </is>
      </c>
      <c r="I767" s="7" t="inlineStr">
        <is>
          <t>Éster Metílico / Hidrocarboneto Parafínico / Tensoativo Siliconado</t>
        </is>
      </c>
      <c r="J767" s="7" t="inlineStr">
        <is>
          <t>Adjuvante Tecnológico de Pulverização</t>
        </is>
      </c>
      <c r="K767" s="7" t="inlineStr">
        <is>
          <t>Redução da tensão superficial, espalhamento, anti-deriva e penetração cuticular</t>
        </is>
      </c>
      <c r="L767" s="9" t="n">
        <v>500</v>
      </c>
      <c r="M767" s="7" t="inlineStr">
        <is>
          <t>g/L</t>
        </is>
      </c>
      <c r="N767" s="7" t="inlineStr">
        <is>
          <t>Registro Técnico Vinculado MAPA</t>
        </is>
      </c>
    </row>
    <row r="768" ht="22" customHeight="1">
      <c r="A768" s="12" t="inlineStr">
        <is>
          <t>CMP-0764</t>
        </is>
      </c>
      <c r="B768" s="11" t="n">
        <v>556</v>
      </c>
      <c r="C768" s="13" t="inlineStr">
        <is>
          <t>Nº 10018</t>
        </is>
      </c>
      <c r="D768" s="14" t="inlineStr">
        <is>
          <t>ATRAZINA</t>
        </is>
      </c>
      <c r="E768" s="11" t="n">
        <v>1</v>
      </c>
      <c r="F768" s="13" t="inlineStr">
        <is>
          <t>Ingrediente Ativo Principal</t>
        </is>
      </c>
      <c r="G768" s="13" t="inlineStr">
        <is>
          <t>ATRAZINA 500</t>
        </is>
      </c>
      <c r="H768" s="13" t="inlineStr">
        <is>
          <t>6-chloro-N2-ethyl-N4-isopropyl-1,3,5-triazine-2,4-diamine</t>
        </is>
      </c>
      <c r="I768" s="13" t="inlineStr">
        <is>
          <t>Triazina</t>
        </is>
      </c>
      <c r="J768" s="13" t="inlineStr">
        <is>
          <t>HRAC Grupo C1 (5) — Inibidores do Fotossistema II</t>
        </is>
      </c>
      <c r="K768" s="13" t="inlineStr">
        <is>
          <t>Inibição do transporte de elétrons no Fotossistema II (sítio Serina 264)</t>
        </is>
      </c>
      <c r="L768" s="15" t="n">
        <v>500</v>
      </c>
      <c r="M768" s="13" t="inlineStr">
        <is>
          <t>g/L</t>
        </is>
      </c>
      <c r="N768" s="13" t="inlineStr">
        <is>
          <t>Registro Técnico Vinculado MAPA</t>
        </is>
      </c>
    </row>
    <row r="769" ht="22" customHeight="1">
      <c r="A769" s="6" t="inlineStr">
        <is>
          <t>CMP-0765</t>
        </is>
      </c>
      <c r="B769" s="5" t="n">
        <v>557</v>
      </c>
      <c r="C769" s="7" t="inlineStr">
        <is>
          <t>Nº 10018</t>
        </is>
      </c>
      <c r="D769" s="8" t="inlineStr">
        <is>
          <t>ATRAZINA</t>
        </is>
      </c>
      <c r="E769" s="5" t="n">
        <v>1</v>
      </c>
      <c r="F769" s="7" t="inlineStr">
        <is>
          <t>Ingrediente Ativo Principal</t>
        </is>
      </c>
      <c r="G769" s="7" t="inlineStr">
        <is>
          <t>ATRAZINA 500</t>
        </is>
      </c>
      <c r="H769" s="7" t="inlineStr">
        <is>
          <t>6-chloro-N2-ethyl-N4-isopropyl-1,3,5-triazine-2,4-diamine</t>
        </is>
      </c>
      <c r="I769" s="7" t="inlineStr">
        <is>
          <t>Triazina</t>
        </is>
      </c>
      <c r="J769" s="7" t="inlineStr">
        <is>
          <t>HRAC Grupo C1 (5) — Inibidores do Fotossistema II</t>
        </is>
      </c>
      <c r="K769" s="7" t="inlineStr">
        <is>
          <t>Inibição do transporte de elétrons no Fotossistema II (sítio Serina 264)</t>
        </is>
      </c>
      <c r="L769" s="9" t="n">
        <v>500</v>
      </c>
      <c r="M769" s="7" t="inlineStr">
        <is>
          <t>g/L</t>
        </is>
      </c>
      <c r="N769" s="7" t="inlineStr">
        <is>
          <t>Registro Técnico Vinculado MAPA</t>
        </is>
      </c>
    </row>
    <row r="770" ht="22" customHeight="1">
      <c r="A770" s="12" t="inlineStr">
        <is>
          <t>CMP-0766</t>
        </is>
      </c>
      <c r="B770" s="11" t="n">
        <v>558</v>
      </c>
      <c r="C770" s="13" t="inlineStr">
        <is>
          <t>Nº 5217</t>
        </is>
      </c>
      <c r="D770" s="14" t="inlineStr">
        <is>
          <t>HERBIZINA PLUS</t>
        </is>
      </c>
      <c r="E770" s="11" t="n">
        <v>1</v>
      </c>
      <c r="F770" s="13" t="inlineStr">
        <is>
          <t>Ingrediente Ativo Principal</t>
        </is>
      </c>
      <c r="G770" s="13" t="inlineStr">
        <is>
          <t>ATRAZINA 900</t>
        </is>
      </c>
      <c r="H770" s="13" t="inlineStr">
        <is>
          <t>6-chloro-N2-ethyl-N4-isopropyl-1,3,5-triazine-2,4-diamine</t>
        </is>
      </c>
      <c r="I770" s="13" t="inlineStr">
        <is>
          <t>Triazina</t>
        </is>
      </c>
      <c r="J770" s="13" t="inlineStr">
        <is>
          <t>HRAC Grupo C1 (5) — Inibidores do Fotossistema II</t>
        </is>
      </c>
      <c r="K770" s="13" t="inlineStr">
        <is>
          <t>Inibição do transporte de elétrons no Fotossistema II (sítio Serina 264)</t>
        </is>
      </c>
      <c r="L770" s="15" t="n">
        <v>900</v>
      </c>
      <c r="M770" s="13" t="inlineStr">
        <is>
          <t>g/kg</t>
        </is>
      </c>
      <c r="N770" s="13" t="inlineStr">
        <is>
          <t>Registro Técnico Vinculado MAPA</t>
        </is>
      </c>
    </row>
    <row r="771" ht="22" customHeight="1">
      <c r="A771" s="6" t="inlineStr">
        <is>
          <t>CMP-0767</t>
        </is>
      </c>
      <c r="B771" s="5" t="n">
        <v>559</v>
      </c>
      <c r="C771" s="7" t="inlineStr">
        <is>
          <t>SIPEAGRO (UF-XXXXX)</t>
        </is>
      </c>
      <c r="D771" s="8" t="inlineStr">
        <is>
          <t>BENTONITA 90%S - GRANULADO - 1.250 KG</t>
        </is>
      </c>
      <c r="E771" s="5" t="n">
        <v>1</v>
      </c>
      <c r="F771" s="7" t="inlineStr">
        <is>
          <t>Ingrediente Ativo Principal</t>
        </is>
      </c>
      <c r="G771" s="7" t="inlineStr">
        <is>
          <t>ENXOFRE ELEMENTAR (S 90% m/m em Matriz de Bentonita 10%)</t>
        </is>
      </c>
      <c r="H771" s="7" t="inlineStr">
        <is>
          <t>Elemental Sulfur (S8) + Bentonite clay</t>
        </is>
      </c>
      <c r="I771" s="7" t="inlineStr">
        <is>
          <t>Fertilizante Mineral Simples Sulfurico (Pastilha Granulada)</t>
        </is>
      </c>
      <c r="J771" s="7" t="inlineStr">
        <is>
          <t>Nutrição Vegetal — Grupo S (Enxofre Elementar)</t>
        </is>
      </c>
      <c r="K771" s="7" t="inlineStr">
        <is>
          <t>Oxidação microbiológica gradual a sulfato (SO4 2-) no solo</t>
        </is>
      </c>
      <c r="L771" s="9" t="n">
        <v>90</v>
      </c>
      <c r="M771" s="7" t="inlineStr">
        <is>
          <t>% m/m</t>
        </is>
      </c>
      <c r="N771" s="7" t="inlineStr">
        <is>
          <t>Registro Técnico Vinculado MAPA</t>
        </is>
      </c>
    </row>
    <row r="772" ht="22" customHeight="1">
      <c r="A772" s="12" t="inlineStr">
        <is>
          <t>CMP-0768</t>
        </is>
      </c>
      <c r="B772" s="11" t="n">
        <v>560</v>
      </c>
      <c r="C772" s="13" t="inlineStr">
        <is>
          <t>Nº 12123</t>
        </is>
      </c>
      <c r="D772" s="14" t="inlineStr">
        <is>
          <t>PYRIPROXYFEN 100 EC AGCN 0,200L AMOSTRA</t>
        </is>
      </c>
      <c r="E772" s="11" t="n">
        <v>1</v>
      </c>
      <c r="F772" s="13" t="inlineStr">
        <is>
          <t>Ingrediente Ativo Principal</t>
        </is>
      </c>
      <c r="G772" s="13" t="inlineStr">
        <is>
          <t>PIRIPROXIFEM 100</t>
        </is>
      </c>
      <c r="H772" s="13" t="inlineStr">
        <is>
          <t>4-phenoxyphenyl (RS)-2-(2-pyridyloxy)propyl ether</t>
        </is>
      </c>
      <c r="I772" s="13" t="inlineStr">
        <is>
          <t>Éter piridiloxipropílico</t>
        </is>
      </c>
      <c r="J772" s="13" t="inlineStr">
        <is>
          <t>IRAC Grupo 7C</t>
        </is>
      </c>
      <c r="K772" s="13" t="inlineStr">
        <is>
          <t>Mimetizadores do hormônio juvenil (Juvenoides)</t>
        </is>
      </c>
      <c r="L772" s="15" t="n">
        <v>100</v>
      </c>
      <c r="M772" s="13" t="inlineStr">
        <is>
          <t>g/L</t>
        </is>
      </c>
      <c r="N772" s="13" t="inlineStr">
        <is>
          <t>Registro Técnico Vinculado MAPA</t>
        </is>
      </c>
    </row>
    <row r="773" ht="22" customHeight="1">
      <c r="A773" s="6" t="inlineStr">
        <is>
          <t>CMP-0769</t>
        </is>
      </c>
      <c r="B773" s="5" t="n">
        <v>561</v>
      </c>
      <c r="C773" s="7" t="inlineStr">
        <is>
          <t>Nº 43818</t>
        </is>
      </c>
      <c r="D773" s="8" t="inlineStr">
        <is>
          <t>DIAFENTIURON</t>
        </is>
      </c>
      <c r="E773" s="5" t="n">
        <v>1</v>
      </c>
      <c r="F773" s="7" t="inlineStr">
        <is>
          <t>Ingrediente Ativo Principal</t>
        </is>
      </c>
      <c r="G773" s="7" t="inlineStr">
        <is>
          <t>DIAFENTIURON 500</t>
        </is>
      </c>
      <c r="H773" s="7" t="inlineStr">
        <is>
          <t>1-tert-butyl-3-(2,6-di-isopropyl-4-phenoxyphenyl)thiourea</t>
        </is>
      </c>
      <c r="I773" s="7" t="inlineStr">
        <is>
          <t>Tioureia</t>
        </is>
      </c>
      <c r="J773" s="7" t="inlineStr">
        <is>
          <t>IRAC Grupo 12A</t>
        </is>
      </c>
      <c r="K773" s="7" t="inlineStr">
        <is>
          <t>Inibidores da ATP sintase mitocondrial</t>
        </is>
      </c>
      <c r="L773" s="9" t="n">
        <v>500</v>
      </c>
      <c r="M773" s="7" t="inlineStr">
        <is>
          <t>g/L</t>
        </is>
      </c>
      <c r="N773" s="7" t="inlineStr">
        <is>
          <t>Registro Técnico Vinculado MAPA</t>
        </is>
      </c>
    </row>
    <row r="774" ht="22" customHeight="1">
      <c r="A774" s="12" t="inlineStr">
        <is>
          <t>CMP-0770</t>
        </is>
      </c>
      <c r="B774" s="11" t="n">
        <v>562</v>
      </c>
      <c r="C774" s="13" t="inlineStr">
        <is>
          <t>Nº 43818</t>
        </is>
      </c>
      <c r="D774" s="14" t="inlineStr">
        <is>
          <t>DIAFENTIURON</t>
        </is>
      </c>
      <c r="E774" s="11" t="n">
        <v>1</v>
      </c>
      <c r="F774" s="13" t="inlineStr">
        <is>
          <t>Ingrediente Ativo Principal</t>
        </is>
      </c>
      <c r="G774" s="13" t="inlineStr">
        <is>
          <t>DIAFENTIURON 500</t>
        </is>
      </c>
      <c r="H774" s="13" t="inlineStr">
        <is>
          <t>1-tert-butyl-3-(2,6-di-isopropyl-4-phenoxyphenyl)thiourea</t>
        </is>
      </c>
      <c r="I774" s="13" t="inlineStr">
        <is>
          <t>Tioureia</t>
        </is>
      </c>
      <c r="J774" s="13" t="inlineStr">
        <is>
          <t>IRAC Grupo 12A</t>
        </is>
      </c>
      <c r="K774" s="13" t="inlineStr">
        <is>
          <t>Inibidores da ATP sintase mitocondrial</t>
        </is>
      </c>
      <c r="L774" s="15" t="n">
        <v>500</v>
      </c>
      <c r="M774" s="13" t="inlineStr">
        <is>
          <t>g/L</t>
        </is>
      </c>
      <c r="N774" s="13" t="inlineStr">
        <is>
          <t>Registro Técnico Vinculado MAPA</t>
        </is>
      </c>
    </row>
    <row r="775" ht="22" customHeight="1">
      <c r="A775" s="6" t="inlineStr">
        <is>
          <t>CMP-0771</t>
        </is>
      </c>
      <c r="B775" s="5" t="n">
        <v>563</v>
      </c>
      <c r="C775" s="7" t="inlineStr">
        <is>
          <t>Nº 27922</t>
        </is>
      </c>
      <c r="D775" s="8" t="inlineStr">
        <is>
          <t>S-METOLACHLOR PROVENTIS 960 EC 0,200L (AMOSTRA)</t>
        </is>
      </c>
      <c r="E775" s="5" t="n">
        <v>1</v>
      </c>
      <c r="F775" s="7" t="inlineStr">
        <is>
          <t>Ingrediente Ativo Principal</t>
        </is>
      </c>
      <c r="G775" s="7" t="inlineStr">
        <is>
          <t>S-METOLACLORO 960</t>
        </is>
      </c>
      <c r="H775" s="7" t="inlineStr">
        <is>
          <t>Mixture of (aRS,1S)-2-chloro-6'-ethyl-N-(2-methoxy-1-methylethyl)aceto-o-toluidide</t>
        </is>
      </c>
      <c r="I775" s="7" t="inlineStr">
        <is>
          <t>Cloroacetanilida</t>
        </is>
      </c>
      <c r="J775" s="7" t="inlineStr">
        <is>
          <t>HRAC Grupo K3 (15) — Inibidores de VLCFAs</t>
        </is>
      </c>
      <c r="K775" s="7" t="inlineStr">
        <is>
          <t>Inibidores da síntese de ácidos graxos de cadeia muito longa (divisão celular)</t>
        </is>
      </c>
      <c r="L775" s="9" t="n">
        <v>960</v>
      </c>
      <c r="M775" s="7" t="inlineStr">
        <is>
          <t>g/L</t>
        </is>
      </c>
      <c r="N775" s="7" t="inlineStr">
        <is>
          <t>Registro Técnico Vinculado MAPA</t>
        </is>
      </c>
    </row>
    <row r="776" ht="22" customHeight="1">
      <c r="A776" s="12" t="inlineStr">
        <is>
          <t>CMP-0772</t>
        </is>
      </c>
      <c r="B776" s="11" t="n">
        <v>564</v>
      </c>
      <c r="C776" s="13" t="inlineStr">
        <is>
          <t>Nº 26023</t>
        </is>
      </c>
      <c r="D776" s="14" t="inlineStr">
        <is>
          <t>MAJESTUOSO 0,2L (IMP) AMOSTRA</t>
        </is>
      </c>
      <c r="E776" s="11" t="n">
        <v>1</v>
      </c>
      <c r="F776" s="13" t="inlineStr">
        <is>
          <t>Ingrediente Ativo Principal</t>
        </is>
      </c>
      <c r="G776" s="13" t="inlineStr">
        <is>
          <t>MALATIONA 1000</t>
        </is>
      </c>
      <c r="H776" s="13" t="inlineStr">
        <is>
          <t>Diethyl (dimethoxyphosphinothioylthio)succinate</t>
        </is>
      </c>
      <c r="I776" s="13" t="inlineStr">
        <is>
          <t>Organofosforado</t>
        </is>
      </c>
      <c r="J776" s="13" t="inlineStr">
        <is>
          <t>IRAC Grupo 1B</t>
        </is>
      </c>
      <c r="K776" s="13" t="inlineStr">
        <is>
          <t>Inibidores da acetilcolinesterase (AChE)</t>
        </is>
      </c>
      <c r="L776" s="15" t="n">
        <v>1000</v>
      </c>
      <c r="M776" s="13" t="inlineStr">
        <is>
          <t>g/L</t>
        </is>
      </c>
      <c r="N776" s="13" t="inlineStr">
        <is>
          <t>Registro Técnico Vinculado MAPA</t>
        </is>
      </c>
    </row>
    <row r="777" ht="22" customHeight="1">
      <c r="A777" s="6" t="inlineStr">
        <is>
          <t>CMP-0773</t>
        </is>
      </c>
      <c r="B777" s="5" t="n">
        <v>565</v>
      </c>
      <c r="C777" s="7" t="inlineStr">
        <is>
          <t>Nº 5924</t>
        </is>
      </c>
      <c r="D777" s="8" t="inlineStr">
        <is>
          <t>FLAME WG</t>
        </is>
      </c>
      <c r="E777" s="5" t="n">
        <v>1</v>
      </c>
      <c r="F777" s="7" t="inlineStr">
        <is>
          <t>Ingrediente Ativo Principal</t>
        </is>
      </c>
      <c r="G777" s="7" t="inlineStr">
        <is>
          <t>ACETAMIPRIDO 250</t>
        </is>
      </c>
      <c r="H777" s="7" t="inlineStr">
        <is>
          <t>(E)-N1-[(6-chloro-3-pyridyl)methyl]-N2-cyano-N1-methylacetamidine</t>
        </is>
      </c>
      <c r="I777" s="7" t="inlineStr">
        <is>
          <t>Neonicotinoide</t>
        </is>
      </c>
      <c r="J777" s="7" t="inlineStr">
        <is>
          <t>IRAC Grupo 4A</t>
        </is>
      </c>
      <c r="K777" s="7" t="inlineStr">
        <is>
          <t>Moduladores competitivos de receptores nicotínicos da acetilcolina (nAChR)</t>
        </is>
      </c>
      <c r="L777" s="9" t="n">
        <v>250</v>
      </c>
      <c r="M777" s="7" t="inlineStr">
        <is>
          <t>g/kg</t>
        </is>
      </c>
      <c r="N777" s="7" t="inlineStr">
        <is>
          <t>Registro Técnico Vinculado MAPA</t>
        </is>
      </c>
    </row>
    <row r="778" ht="22" customHeight="1">
      <c r="A778" s="12" t="inlineStr">
        <is>
          <t>CMP-0774</t>
        </is>
      </c>
      <c r="B778" s="11" t="n">
        <v>565</v>
      </c>
      <c r="C778" s="13" t="inlineStr">
        <is>
          <t>Nº 5924</t>
        </is>
      </c>
      <c r="D778" s="14" t="inlineStr">
        <is>
          <t>FLAME WG</t>
        </is>
      </c>
      <c r="E778" s="11" t="n">
        <v>2</v>
      </c>
      <c r="F778" s="13" t="inlineStr">
        <is>
          <t>Ingrediente Ativo Principal</t>
        </is>
      </c>
      <c r="G778" s="13" t="inlineStr">
        <is>
          <t>BIFENTRINA 250</t>
        </is>
      </c>
      <c r="H778" s="13" t="inlineStr">
        <is>
          <t>2-methylbiphenyl-3-ylmethyl (Z)-(1RS,3RS)-3-(2-chloro-3,3,3-trifluoroprop-1-enyl)-2,2-dimethylcyclopropanecarboxylate</t>
        </is>
      </c>
      <c r="I778" s="13" t="inlineStr">
        <is>
          <t>Piretroide (Tipo I)</t>
        </is>
      </c>
      <c r="J778" s="13" t="inlineStr">
        <is>
          <t>IRAC Grupo 3A</t>
        </is>
      </c>
      <c r="K778" s="13" t="inlineStr">
        <is>
          <t>Moduladores de canais de sódio em membranas nervosas</t>
        </is>
      </c>
      <c r="L778" s="15" t="n">
        <v>250</v>
      </c>
      <c r="M778" s="13" t="inlineStr">
        <is>
          <t>g/kg</t>
        </is>
      </c>
      <c r="N778" s="13" t="inlineStr">
        <is>
          <t>Registro Técnico Vinculado MAPA</t>
        </is>
      </c>
    </row>
    <row r="779" ht="22" customHeight="1">
      <c r="A779" s="6" t="inlineStr">
        <is>
          <t>CMP-0775</t>
        </is>
      </c>
      <c r="B779" s="5" t="n">
        <v>566</v>
      </c>
      <c r="C779" s="7" t="inlineStr">
        <is>
          <t>Nº 15925</t>
        </is>
      </c>
      <c r="D779" s="8" t="inlineStr">
        <is>
          <t>CHETTAK GOLD</t>
        </is>
      </c>
      <c r="E779" s="5" t="n">
        <v>1</v>
      </c>
      <c r="F779" s="7" t="inlineStr">
        <is>
          <t>Ingrediente Ativo Principal</t>
        </is>
      </c>
      <c r="G779" s="7" t="inlineStr">
        <is>
          <t>ACEFATO 970</t>
        </is>
      </c>
      <c r="H779" s="7" t="inlineStr">
        <is>
          <t>O,S-dimethyl acetylphosphoramidothioate</t>
        </is>
      </c>
      <c r="I779" s="7" t="inlineStr">
        <is>
          <t>Organofosforado</t>
        </is>
      </c>
      <c r="J779" s="7" t="inlineStr">
        <is>
          <t>IRAC Grupo 1B</t>
        </is>
      </c>
      <c r="K779" s="7" t="inlineStr">
        <is>
          <t>Inibidores da enzima acetilcolinesterase (AChE)</t>
        </is>
      </c>
      <c r="L779" s="9" t="n">
        <v>970</v>
      </c>
      <c r="M779" s="7" t="inlineStr">
        <is>
          <t>g/kg</t>
        </is>
      </c>
      <c r="N779" s="7" t="inlineStr">
        <is>
          <t>Registro Técnico Vinculado MAPA</t>
        </is>
      </c>
    </row>
    <row r="780" ht="22" customHeight="1">
      <c r="A780" s="12" t="inlineStr">
        <is>
          <t>CMP-0776</t>
        </is>
      </c>
      <c r="B780" s="11" t="n">
        <v>567</v>
      </c>
      <c r="C780" s="13" t="inlineStr">
        <is>
          <t>Nº 14024</t>
        </is>
      </c>
      <c r="D780" s="14" t="inlineStr">
        <is>
          <t>ETHIPROLE</t>
        </is>
      </c>
      <c r="E780" s="11" t="n">
        <v>1</v>
      </c>
      <c r="F780" s="13" t="inlineStr">
        <is>
          <t>Ingrediente Ativo Principal</t>
        </is>
      </c>
      <c r="G780" s="13" t="inlineStr">
        <is>
          <t>ETIPROLE 200 SC</t>
        </is>
      </c>
      <c r="H780" s="13" t="inlineStr">
        <is>
          <t>5-amino-1-(2,6-dichloro-alpha,alpha,alpha-trifluoro-p-tolyl)-4-ethylsulfinylpyrazole-3-carbonitrile</t>
        </is>
      </c>
      <c r="I780" s="13" t="inlineStr">
        <is>
          <t>Fenilpirazol</t>
        </is>
      </c>
      <c r="J780" s="13" t="inlineStr">
        <is>
          <t>IRAC Grupo 2B</t>
        </is>
      </c>
      <c r="K780" s="13" t="inlineStr">
        <is>
          <t>Bloqueadores de canais de cloro mediados pelo GABA</t>
        </is>
      </c>
      <c r="L780" s="15" t="n">
        <v>200</v>
      </c>
      <c r="M780" s="13" t="inlineStr">
        <is>
          <t>g/L</t>
        </is>
      </c>
      <c r="N780" s="13" t="inlineStr">
        <is>
          <t>Registro Técnico Vinculado MAPA</t>
        </is>
      </c>
    </row>
    <row r="781" ht="22" customHeight="1">
      <c r="A781" s="6" t="inlineStr">
        <is>
          <t>CMP-0777</t>
        </is>
      </c>
      <c r="B781" s="5" t="n">
        <v>568</v>
      </c>
      <c r="C781" s="7" t="inlineStr">
        <is>
          <t>Nº 14024</t>
        </is>
      </c>
      <c r="D781" s="8" t="inlineStr">
        <is>
          <t>ETHIPROLE</t>
        </is>
      </c>
      <c r="E781" s="5" t="n">
        <v>1</v>
      </c>
      <c r="F781" s="7" t="inlineStr">
        <is>
          <t>Ingrediente Ativo Principal</t>
        </is>
      </c>
      <c r="G781" s="7" t="inlineStr">
        <is>
          <t>ETIPROLE 200 SC</t>
        </is>
      </c>
      <c r="H781" s="7" t="inlineStr">
        <is>
          <t>5-amino-1-(2,6-dichloro-alpha,alpha,alpha-trifluoro-p-tolyl)-4-ethylsulfinylpyrazole-3-carbonitrile</t>
        </is>
      </c>
      <c r="I781" s="7" t="inlineStr">
        <is>
          <t>Fenilpirazol</t>
        </is>
      </c>
      <c r="J781" s="7" t="inlineStr">
        <is>
          <t>IRAC Grupo 2B</t>
        </is>
      </c>
      <c r="K781" s="7" t="inlineStr">
        <is>
          <t>Bloqueadores de canais de cloro mediados pelo GABA</t>
        </is>
      </c>
      <c r="L781" s="9" t="n">
        <v>200</v>
      </c>
      <c r="M781" s="7" t="inlineStr">
        <is>
          <t>g/L</t>
        </is>
      </c>
      <c r="N781" s="7" t="inlineStr">
        <is>
          <t>Registro Técnico Vinculado MAPA</t>
        </is>
      </c>
    </row>
    <row r="782" ht="22" customHeight="1">
      <c r="A782" s="12" t="inlineStr">
        <is>
          <t>CMP-0778</t>
        </is>
      </c>
      <c r="B782" s="11" t="n">
        <v>569</v>
      </c>
      <c r="C782" s="13" t="inlineStr">
        <is>
          <t>Nº 34723</t>
        </is>
      </c>
      <c r="D782" s="14" t="inlineStr">
        <is>
          <t>CURATIS</t>
        </is>
      </c>
      <c r="E782" s="11" t="n">
        <v>1</v>
      </c>
      <c r="F782" s="13" t="inlineStr">
        <is>
          <t>Ingrediente Ativo Principal</t>
        </is>
      </c>
      <c r="G782" s="13" t="inlineStr">
        <is>
          <t>MANCOZEBE 413</t>
        </is>
      </c>
      <c r="H782" s="13" t="inlineStr">
        <is>
          <t>Manganese ethylenebis(dithiocarbamate) (polymeric) complex with zinc salt</t>
        </is>
      </c>
      <c r="I782" s="13" t="inlineStr">
        <is>
          <t>Alquilenobis(ditiocarbamato)</t>
        </is>
      </c>
      <c r="J782" s="13" t="inlineStr">
        <is>
          <t>FRAC Grupo M03 — Multissítio</t>
        </is>
      </c>
      <c r="K782" s="13" t="inlineStr">
        <is>
          <t>Inibidor multissítio de enzimas contendo grupos sulfidrila e aminoácidos fúngicos</t>
        </is>
      </c>
      <c r="L782" s="15" t="n">
        <v>413</v>
      </c>
      <c r="M782" s="13" t="inlineStr">
        <is>
          <t>g/kg</t>
        </is>
      </c>
      <c r="N782" s="13" t="inlineStr">
        <is>
          <t>Registro Técnico Vinculado MAPA</t>
        </is>
      </c>
    </row>
    <row r="783" ht="22" customHeight="1">
      <c r="A783" s="6" t="inlineStr">
        <is>
          <t>CMP-0779</t>
        </is>
      </c>
      <c r="B783" s="5" t="n">
        <v>569</v>
      </c>
      <c r="C783" s="7" t="inlineStr">
        <is>
          <t>Nº 34723</t>
        </is>
      </c>
      <c r="D783" s="8" t="inlineStr">
        <is>
          <t>CURATIS</t>
        </is>
      </c>
      <c r="E783" s="5" t="n">
        <v>2</v>
      </c>
      <c r="F783" s="7" t="inlineStr">
        <is>
          <t>Ingrediente Ativo Principal</t>
        </is>
      </c>
      <c r="G783" s="7" t="inlineStr">
        <is>
          <t>PICOXISTROBINA 33</t>
        </is>
      </c>
      <c r="H783" s="7" t="inlineStr">
        <is>
          <t>Methyl (E)-3-methoxy-2-{2-[6-(trifluoromethyl)-2-pyridyloxymethyl]phenyl}acrylate</t>
        </is>
      </c>
      <c r="I783" s="7" t="inlineStr">
        <is>
          <t>Estrobilurina (Metoxiacrilato)</t>
        </is>
      </c>
      <c r="J783" s="7" t="inlineStr">
        <is>
          <t>FRAC Grupo 11 (C3 — QoI)</t>
        </is>
      </c>
      <c r="K783" s="7" t="inlineStr">
        <is>
          <t>Inibidores da respiração mitocondrial no Complexo III (sítio Qo)</t>
        </is>
      </c>
      <c r="L783" s="9" t="n">
        <v>33</v>
      </c>
      <c r="M783" s="7" t="inlineStr">
        <is>
          <t>g/kg</t>
        </is>
      </c>
      <c r="N783" s="7" t="inlineStr">
        <is>
          <t>Registro Técnico Vinculado MAPA</t>
        </is>
      </c>
    </row>
    <row r="784" ht="22" customHeight="1">
      <c r="A784" s="12" t="inlineStr">
        <is>
          <t>CMP-0780</t>
        </is>
      </c>
      <c r="B784" s="11" t="n">
        <v>569</v>
      </c>
      <c r="C784" s="13" t="inlineStr">
        <is>
          <t>Nº 34723</t>
        </is>
      </c>
      <c r="D784" s="14" t="inlineStr">
        <is>
          <t>CURATIS</t>
        </is>
      </c>
      <c r="E784" s="11" t="n">
        <v>3</v>
      </c>
      <c r="F784" s="13" t="inlineStr">
        <is>
          <t>Ingrediente Ativo Principal</t>
        </is>
      </c>
      <c r="G784" s="13" t="inlineStr">
        <is>
          <t>PROTIOCONAZOL 29</t>
        </is>
      </c>
      <c r="H784" s="13" t="inlineStr">
        <is>
          <t>(RS)-2-[2-(1-chlorocyclopropyl)-3-(2-chlorophenyl)-2-hydroxypropyl]-2,4-dihydro-1,2,4-triazole-3-thione</t>
        </is>
      </c>
      <c r="I784" s="13" t="inlineStr">
        <is>
          <t>Triazolinthiona</t>
        </is>
      </c>
      <c r="J784" s="13" t="inlineStr">
        <is>
          <t>FRAC Grupo 3 (DMI)</t>
        </is>
      </c>
      <c r="K784" s="13" t="inlineStr">
        <is>
          <t>Inibidores da desmetilação de esteróis (DMI - C14-desmetilase)</t>
        </is>
      </c>
      <c r="L784" s="15" t="n">
        <v>29</v>
      </c>
      <c r="M784" s="13" t="inlineStr">
        <is>
          <t>g/kg</t>
        </is>
      </c>
      <c r="N784" s="13" t="inlineStr">
        <is>
          <t>Registro Técnico Vinculado MAPA</t>
        </is>
      </c>
    </row>
    <row r="785" ht="22" customHeight="1">
      <c r="A785" s="6" t="inlineStr">
        <is>
          <t>CMP-0781</t>
        </is>
      </c>
      <c r="B785" s="5" t="n">
        <v>570</v>
      </c>
      <c r="C785" s="7" t="inlineStr">
        <is>
          <t>Nº 0315</t>
        </is>
      </c>
      <c r="D785" s="8" t="inlineStr">
        <is>
          <t>2-4 D (AMOSTRA LABORATORIAL)</t>
        </is>
      </c>
      <c r="E785" s="5" t="n">
        <v>1</v>
      </c>
      <c r="F785" s="7" t="inlineStr">
        <is>
          <t>Ingrediente Ativo Principal</t>
        </is>
      </c>
      <c r="G785" s="7" t="inlineStr">
        <is>
          <t>2,4-D SAL DIMETILAMINA 806 g/L (Equiv. 670 g/L 2,4-D Ácido)</t>
        </is>
      </c>
      <c r="H785" s="7" t="inlineStr">
        <is>
          <t>(2,4-dichlorophenoxy)acetic acid (Sal Dimetilamina)</t>
        </is>
      </c>
      <c r="I785" s="7" t="inlineStr">
        <is>
          <t>Ácido ariloxialcanoico</t>
        </is>
      </c>
      <c r="J785" s="7" t="inlineStr">
        <is>
          <t>HRAC Grupo O (4) — Auxinas Sintéticas</t>
        </is>
      </c>
      <c r="K785" s="7" t="inlineStr">
        <is>
          <t>Mimetizadores da auxina (ácido indolacético - AIA)</t>
        </is>
      </c>
      <c r="L785" s="9" t="n">
        <v>806</v>
      </c>
      <c r="M785" s="7" t="inlineStr">
        <is>
          <t>g/L</t>
        </is>
      </c>
      <c r="N785" s="7" t="inlineStr">
        <is>
          <t>Registro Técnico Vinculado MAPA</t>
        </is>
      </c>
    </row>
    <row r="786" ht="22" customHeight="1">
      <c r="A786" s="12" t="inlineStr">
        <is>
          <t>CMP-0782</t>
        </is>
      </c>
      <c r="B786" s="11" t="n">
        <v>571</v>
      </c>
      <c r="C786" s="13" t="inlineStr">
        <is>
          <t>Nº 10018</t>
        </is>
      </c>
      <c r="D786" s="14" t="inlineStr">
        <is>
          <t>ATRAZINA</t>
        </is>
      </c>
      <c r="E786" s="11" t="n">
        <v>1</v>
      </c>
      <c r="F786" s="13" t="inlineStr">
        <is>
          <t>Ingrediente Ativo Principal</t>
        </is>
      </c>
      <c r="G786" s="13" t="inlineStr">
        <is>
          <t>ATRAZINA 500</t>
        </is>
      </c>
      <c r="H786" s="13" t="inlineStr">
        <is>
          <t>6-chloro-N2-ethyl-N4-isopropyl-1,3,5-triazine-2,4-diamine</t>
        </is>
      </c>
      <c r="I786" s="13" t="inlineStr">
        <is>
          <t>Triazina</t>
        </is>
      </c>
      <c r="J786" s="13" t="inlineStr">
        <is>
          <t>HRAC Grupo C1 (5) — Inibidores do Fotossistema II</t>
        </is>
      </c>
      <c r="K786" s="13" t="inlineStr">
        <is>
          <t>Inibição do transporte de elétrons no Fotossistema II (sítio Serina 264)</t>
        </is>
      </c>
      <c r="L786" s="15" t="n">
        <v>500</v>
      </c>
      <c r="M786" s="13" t="inlineStr">
        <is>
          <t>g/L</t>
        </is>
      </c>
      <c r="N786" s="13" t="inlineStr">
        <is>
          <t>Registro Técnico Vinculado MAPA</t>
        </is>
      </c>
    </row>
    <row r="787" ht="22" customHeight="1">
      <c r="A787" s="6" t="inlineStr">
        <is>
          <t>CMP-0783</t>
        </is>
      </c>
      <c r="B787" s="5" t="n">
        <v>572</v>
      </c>
      <c r="C787" s="7" t="inlineStr">
        <is>
          <t>Nº 34723</t>
        </is>
      </c>
      <c r="D787" s="8" t="inlineStr">
        <is>
          <t>CURATIS</t>
        </is>
      </c>
      <c r="E787" s="5" t="n">
        <v>1</v>
      </c>
      <c r="F787" s="7" t="inlineStr">
        <is>
          <t>Ingrediente Ativo Principal</t>
        </is>
      </c>
      <c r="G787" s="7" t="inlineStr">
        <is>
          <t>MANCOZEBE 413</t>
        </is>
      </c>
      <c r="H787" s="7" t="inlineStr">
        <is>
          <t>Manganese ethylenebis(dithiocarbamate) (polymeric) complex with zinc salt</t>
        </is>
      </c>
      <c r="I787" s="7" t="inlineStr">
        <is>
          <t>Alquilenobis(ditiocarbamato)</t>
        </is>
      </c>
      <c r="J787" s="7" t="inlineStr">
        <is>
          <t>FRAC Grupo M03 — Multissítio</t>
        </is>
      </c>
      <c r="K787" s="7" t="inlineStr">
        <is>
          <t>Inibidor multissítio de enzimas contendo grupos sulfidrila e aminoácidos fúngicos</t>
        </is>
      </c>
      <c r="L787" s="9" t="n">
        <v>413</v>
      </c>
      <c r="M787" s="7" t="inlineStr">
        <is>
          <t>g/kg</t>
        </is>
      </c>
      <c r="N787" s="7" t="inlineStr">
        <is>
          <t>Registro Técnico Vinculado MAPA</t>
        </is>
      </c>
    </row>
    <row r="788" ht="22" customHeight="1">
      <c r="A788" s="12" t="inlineStr">
        <is>
          <t>CMP-0784</t>
        </is>
      </c>
      <c r="B788" s="11" t="n">
        <v>572</v>
      </c>
      <c r="C788" s="13" t="inlineStr">
        <is>
          <t>Nº 34723</t>
        </is>
      </c>
      <c r="D788" s="14" t="inlineStr">
        <is>
          <t>CURATIS</t>
        </is>
      </c>
      <c r="E788" s="11" t="n">
        <v>2</v>
      </c>
      <c r="F788" s="13" t="inlineStr">
        <is>
          <t>Ingrediente Ativo Principal</t>
        </is>
      </c>
      <c r="G788" s="13" t="inlineStr">
        <is>
          <t>PICOXISTROBINA 33</t>
        </is>
      </c>
      <c r="H788" s="13" t="inlineStr">
        <is>
          <t>Methyl (E)-3-methoxy-2-{2-[6-(trifluoromethyl)-2-pyridyloxymethyl]phenyl}acrylate</t>
        </is>
      </c>
      <c r="I788" s="13" t="inlineStr">
        <is>
          <t>Estrobilurina (Metoxiacrilato)</t>
        </is>
      </c>
      <c r="J788" s="13" t="inlineStr">
        <is>
          <t>FRAC Grupo 11 (C3 — QoI)</t>
        </is>
      </c>
      <c r="K788" s="13" t="inlineStr">
        <is>
          <t>Inibidores da respiração mitocondrial no Complexo III (sítio Qo)</t>
        </is>
      </c>
      <c r="L788" s="15" t="n">
        <v>33</v>
      </c>
      <c r="M788" s="13" t="inlineStr">
        <is>
          <t>g/kg</t>
        </is>
      </c>
      <c r="N788" s="13" t="inlineStr">
        <is>
          <t>Registro Técnico Vinculado MAPA</t>
        </is>
      </c>
    </row>
    <row r="789" ht="22" customHeight="1">
      <c r="A789" s="6" t="inlineStr">
        <is>
          <t>CMP-0785</t>
        </is>
      </c>
      <c r="B789" s="5" t="n">
        <v>572</v>
      </c>
      <c r="C789" s="7" t="inlineStr">
        <is>
          <t>Nº 34723</t>
        </is>
      </c>
      <c r="D789" s="8" t="inlineStr">
        <is>
          <t>CURATIS</t>
        </is>
      </c>
      <c r="E789" s="5" t="n">
        <v>3</v>
      </c>
      <c r="F789" s="7" t="inlineStr">
        <is>
          <t>Ingrediente Ativo Principal</t>
        </is>
      </c>
      <c r="G789" s="7" t="inlineStr">
        <is>
          <t>PROTIOCONAZOL 29</t>
        </is>
      </c>
      <c r="H789" s="7" t="inlineStr">
        <is>
          <t>(RS)-2-[2-(1-chlorocyclopropyl)-3-(2-chlorophenyl)-2-hydroxypropyl]-2,4-dihydro-1,2,4-triazole-3-thione</t>
        </is>
      </c>
      <c r="I789" s="7" t="inlineStr">
        <is>
          <t>Triazolinthiona</t>
        </is>
      </c>
      <c r="J789" s="7" t="inlineStr">
        <is>
          <t>FRAC Grupo 3 (DMI)</t>
        </is>
      </c>
      <c r="K789" s="7" t="inlineStr">
        <is>
          <t>Inibidores da desmetilação de esteróis (DMI - C14-desmetilase)</t>
        </is>
      </c>
      <c r="L789" s="9" t="n">
        <v>29</v>
      </c>
      <c r="M789" s="7" t="inlineStr">
        <is>
          <t>g/kg</t>
        </is>
      </c>
      <c r="N789" s="7" t="inlineStr">
        <is>
          <t>Registro Técnico Vinculado MAPA</t>
        </is>
      </c>
    </row>
    <row r="790" ht="22" customHeight="1">
      <c r="A790" s="12" t="inlineStr">
        <is>
          <t>CMP-0786</t>
        </is>
      </c>
      <c r="B790" s="11" t="n">
        <v>573</v>
      </c>
      <c r="C790" s="13" t="inlineStr">
        <is>
          <t>Nº 13716</t>
        </is>
      </c>
      <c r="D790" s="14" t="inlineStr">
        <is>
          <t>EFICAX</t>
        </is>
      </c>
      <c r="E790" s="11" t="n">
        <v>1</v>
      </c>
      <c r="F790" s="13" t="inlineStr">
        <is>
          <t>Ingrediente Ativo Principal</t>
        </is>
      </c>
      <c r="G790" s="13" t="inlineStr">
        <is>
          <t>METOMIL 215</t>
        </is>
      </c>
      <c r="H790" s="13" t="inlineStr">
        <is>
          <t>S-methyl N-(methylcarbamoyloxy)thioacetimidate</t>
        </is>
      </c>
      <c r="I790" s="13" t="inlineStr">
        <is>
          <t>Metilcarbamato de oxima</t>
        </is>
      </c>
      <c r="J790" s="13" t="inlineStr">
        <is>
          <t>IRAC Grupo 1A</t>
        </is>
      </c>
      <c r="K790" s="13" t="inlineStr">
        <is>
          <t>Inibidores reversíveis da enzima acetilcolinesterase (AChE)</t>
        </is>
      </c>
      <c r="L790" s="15" t="n">
        <v>215</v>
      </c>
      <c r="M790" s="13" t="inlineStr">
        <is>
          <t>g/L</t>
        </is>
      </c>
      <c r="N790" s="13" t="inlineStr">
        <is>
          <t>Registro Técnico Vinculado MAPA</t>
        </is>
      </c>
    </row>
    <row r="791" ht="22" customHeight="1">
      <c r="A791" s="6" t="inlineStr">
        <is>
          <t>CMP-0787</t>
        </is>
      </c>
      <c r="B791" s="5" t="n">
        <v>574</v>
      </c>
      <c r="C791" s="7" t="inlineStr">
        <is>
          <t>Nº 17921</t>
        </is>
      </c>
      <c r="D791" s="8" t="inlineStr">
        <is>
          <t>TIOFANATO</t>
        </is>
      </c>
      <c r="E791" s="5" t="n">
        <v>1</v>
      </c>
      <c r="F791" s="7" t="inlineStr">
        <is>
          <t>Ingrediente Ativo Principal</t>
        </is>
      </c>
      <c r="G791" s="7" t="inlineStr">
        <is>
          <t>TIOFANATO METILICO 500</t>
        </is>
      </c>
      <c r="H791" s="7" t="inlineStr">
        <is>
          <t>Dimethyl 4,4'-(o-phenylene)bis(3-thioallophanate)</t>
        </is>
      </c>
      <c r="I791" s="7" t="inlineStr">
        <is>
          <t>Benzimidazol (Precursor de MBC)</t>
        </is>
      </c>
      <c r="J791" s="7" t="inlineStr">
        <is>
          <t>FRAC Grupo 1 (MBC)</t>
        </is>
      </c>
      <c r="K791" s="7" t="inlineStr">
        <is>
          <t>Inibidores da montagem de beta-tubulina na mitose celular</t>
        </is>
      </c>
      <c r="L791" s="9" t="n">
        <v>500</v>
      </c>
      <c r="M791" s="7" t="inlineStr">
        <is>
          <t>g/L</t>
        </is>
      </c>
      <c r="N791" s="7" t="inlineStr">
        <is>
          <t>Registro Técnico Vinculado MAPA</t>
        </is>
      </c>
    </row>
    <row r="792" ht="22" customHeight="1">
      <c r="A792" s="12" t="inlineStr">
        <is>
          <t>CMP-0788</t>
        </is>
      </c>
      <c r="B792" s="11" t="n">
        <v>575</v>
      </c>
      <c r="C792" s="13" t="inlineStr">
        <is>
          <t>SIPEAGRO (UF-XXXXX)</t>
        </is>
      </c>
      <c r="D792" s="14" t="inlineStr">
        <is>
          <t>NEU</t>
        </is>
      </c>
      <c r="E792" s="11" t="n">
        <v>1</v>
      </c>
      <c r="F792" s="13" t="inlineStr">
        <is>
          <t>Nutriente Garantido</t>
        </is>
      </c>
      <c r="G792" s="13" t="inlineStr">
        <is>
          <t>FERTILIZANTES</t>
        </is>
      </c>
      <c r="H792" s="13" t="inlineStr">
        <is>
          <t>Composição Nutricional Oficial (FERTILIZANTES)</t>
        </is>
      </c>
      <c r="I792" s="13" t="inlineStr">
        <is>
          <t>Fertilizante Mineral / Organomineral (Lei nº 6.894/1980)</t>
        </is>
      </c>
      <c r="J792" s="13" t="inlineStr">
        <is>
          <t>Nutrição Vegetal SIPEAGRO</t>
        </is>
      </c>
      <c r="K792" s="13" t="inlineStr">
        <is>
          <t>Fornecimento de macro e micronutrientes essenciais ao metabolismo vegetal</t>
        </is>
      </c>
      <c r="L792" s="15" t="n">
        <v>100</v>
      </c>
      <c r="M792" s="13" t="inlineStr">
        <is>
          <t>% m/m</t>
        </is>
      </c>
      <c r="N792" s="13" t="inlineStr">
        <is>
          <t>Registro Técnico Vinculado MAPA</t>
        </is>
      </c>
    </row>
    <row r="793" ht="22" customHeight="1">
      <c r="A793" s="6" t="inlineStr">
        <is>
          <t>CMP-0789</t>
        </is>
      </c>
      <c r="B793" s="5" t="n">
        <v>576</v>
      </c>
      <c r="C793" s="7" t="inlineStr">
        <is>
          <t>Nº 11216</t>
        </is>
      </c>
      <c r="D793" s="8" t="inlineStr">
        <is>
          <t>ATIVUM (TM) EC</t>
        </is>
      </c>
      <c r="E793" s="5" t="n">
        <v>1</v>
      </c>
      <c r="F793" s="7" t="inlineStr">
        <is>
          <t>Ingrediente Ativo Principal</t>
        </is>
      </c>
      <c r="G793" s="7" t="inlineStr">
        <is>
          <t>PIRACLOSTROBINA 81</t>
        </is>
      </c>
      <c r="H793" s="7" t="inlineStr">
        <is>
          <t>Methyl N-{2-[1-(4-chlorophenyl)-1H-pyrazol-3-yloxymethyl]phenyl}(N-methoxy)carbamate</t>
        </is>
      </c>
      <c r="I793" s="7" t="inlineStr">
        <is>
          <t>Estrobilurina (Metoxicarbamato)</t>
        </is>
      </c>
      <c r="J793" s="7" t="inlineStr">
        <is>
          <t>FRAC Grupo 11 (C3 — QoI)</t>
        </is>
      </c>
      <c r="K793" s="7" t="inlineStr">
        <is>
          <t>Inibidores da respiração mitocondrial no Complexo III (sítio Qo)</t>
        </is>
      </c>
      <c r="L793" s="9" t="n">
        <v>81</v>
      </c>
      <c r="M793" s="7" t="inlineStr">
        <is>
          <t>g/L</t>
        </is>
      </c>
      <c r="N793" s="7" t="inlineStr">
        <is>
          <t>Registro Técnico Vinculado MAPA</t>
        </is>
      </c>
    </row>
    <row r="794" ht="22" customHeight="1">
      <c r="A794" s="12" t="inlineStr">
        <is>
          <t>CMP-0790</t>
        </is>
      </c>
      <c r="B794" s="11" t="n">
        <v>576</v>
      </c>
      <c r="C794" s="13" t="inlineStr">
        <is>
          <t>Nº 11216</t>
        </is>
      </c>
      <c r="D794" s="14" t="inlineStr">
        <is>
          <t>ATIVUM (TM) EC</t>
        </is>
      </c>
      <c r="E794" s="11" t="n">
        <v>2</v>
      </c>
      <c r="F794" s="13" t="inlineStr">
        <is>
          <t>Ingrediente Ativo Principal</t>
        </is>
      </c>
      <c r="G794" s="13" t="inlineStr">
        <is>
          <t>FLUXAPIROXADE50</t>
        </is>
      </c>
      <c r="H794" s="13" t="inlineStr">
        <is>
          <t>3-(difluoromethyl)-1-methyl-N-(3,4,5-trifluorobiphenyl-2-yl)pyrazole-4-carboxamide</t>
        </is>
      </c>
      <c r="I794" s="13" t="inlineStr">
        <is>
          <t>Carboxamida (Pirazol-4-carboxamida)</t>
        </is>
      </c>
      <c r="J794" s="13" t="inlineStr">
        <is>
          <t>FRAC Grupo 7 (C2 — SDHI)</t>
        </is>
      </c>
      <c r="K794" s="13" t="inlineStr">
        <is>
          <t>Inibidores da enzima succinato desidrogenase (Complexo II respiratório)</t>
        </is>
      </c>
      <c r="L794" s="15" t="n">
        <v>50</v>
      </c>
      <c r="M794" s="13" t="inlineStr">
        <is>
          <t>g/L</t>
        </is>
      </c>
      <c r="N794" s="13" t="inlineStr">
        <is>
          <t>Registro Técnico Vinculado MAPA</t>
        </is>
      </c>
    </row>
    <row r="795" ht="22" customHeight="1">
      <c r="A795" s="6" t="inlineStr">
        <is>
          <t>CMP-0791</t>
        </is>
      </c>
      <c r="B795" s="5" t="n">
        <v>576</v>
      </c>
      <c r="C795" s="7" t="inlineStr">
        <is>
          <t>Nº 11216</t>
        </is>
      </c>
      <c r="D795" s="8" t="inlineStr">
        <is>
          <t>ATIVUM (TM) EC</t>
        </is>
      </c>
      <c r="E795" s="5" t="n">
        <v>3</v>
      </c>
      <c r="F795" s="7" t="inlineStr">
        <is>
          <t>Ingrediente Ativo Principal</t>
        </is>
      </c>
      <c r="G795" s="7" t="inlineStr">
        <is>
          <t>EPOXICONAZOL50</t>
        </is>
      </c>
      <c r="H795" s="7" t="inlineStr">
        <is>
          <t>(2RS,3SR)-1-[3-(2-chlorophenyl)-2,3-epoxy-2-(4-fluorophenyl)propyl]-1H-1,2,4-triazole</t>
        </is>
      </c>
      <c r="I795" s="7" t="inlineStr">
        <is>
          <t>Triazol</t>
        </is>
      </c>
      <c r="J795" s="7" t="inlineStr">
        <is>
          <t>FRAC Grupo 3 (G1 — DMI)</t>
        </is>
      </c>
      <c r="K795" s="7" t="inlineStr">
        <is>
          <t>Inibidores da desmetilação do C14 na biossíntese do ergosterol</t>
        </is>
      </c>
      <c r="L795" s="9" t="n">
        <v>50</v>
      </c>
      <c r="M795" s="7" t="inlineStr">
        <is>
          <t>g/L</t>
        </is>
      </c>
      <c r="N795" s="7" t="inlineStr">
        <is>
          <t>Registro Técnico Vinculado MAPA</t>
        </is>
      </c>
    </row>
    <row r="796" ht="22" customHeight="1">
      <c r="A796" s="12" t="inlineStr">
        <is>
          <t>CMP-0792</t>
        </is>
      </c>
      <c r="B796" s="11" t="n">
        <v>577</v>
      </c>
      <c r="C796" s="13" t="inlineStr">
        <is>
          <t>Nº 8319</t>
        </is>
      </c>
      <c r="D796" s="14" t="inlineStr">
        <is>
          <t>DIURON</t>
        </is>
      </c>
      <c r="E796" s="11" t="n">
        <v>1</v>
      </c>
      <c r="F796" s="13" t="inlineStr">
        <is>
          <t>Ingrediente Ativo Principal</t>
        </is>
      </c>
      <c r="G796" s="13" t="inlineStr">
        <is>
          <t>DIUROM 500</t>
        </is>
      </c>
      <c r="H796" s="13" t="inlineStr">
        <is>
          <t>3-(3,4-dichlorophenyl)-1,1-dimethylurea</t>
        </is>
      </c>
      <c r="I796" s="13" t="inlineStr">
        <is>
          <t>Ureia Substituída (Fenilureia)</t>
        </is>
      </c>
      <c r="J796" s="13" t="inlineStr">
        <is>
          <t>HRAC Grupo C2 (5) — Inibidores do Fotossistema II</t>
        </is>
      </c>
      <c r="K796" s="13" t="inlineStr">
        <is>
          <t>Inibição do transporte de elétrons no Fotossistema II (sítio Serina 264)</t>
        </is>
      </c>
      <c r="L796" s="15" t="n">
        <v>500</v>
      </c>
      <c r="M796" s="13" t="inlineStr">
        <is>
          <t>g/L</t>
        </is>
      </c>
      <c r="N796" s="13" t="inlineStr">
        <is>
          <t>Registro Técnico Vinculado MAPA</t>
        </is>
      </c>
    </row>
    <row r="797" ht="22" customHeight="1">
      <c r="A797" s="6" t="inlineStr">
        <is>
          <t>CMP-0793</t>
        </is>
      </c>
      <c r="B797" s="5" t="n">
        <v>578</v>
      </c>
      <c r="C797" s="7" t="inlineStr">
        <is>
          <t>SIPEAGRO (UF-XXXXX)</t>
        </is>
      </c>
      <c r="D797" s="8" t="inlineStr">
        <is>
          <t>SALT BASE MILHO PLUS</t>
        </is>
      </c>
      <c r="E797" s="5" t="n">
        <v>1</v>
      </c>
      <c r="F797" s="7" t="inlineStr">
        <is>
          <t>Nutriente Garantido</t>
        </is>
      </c>
      <c r="G797" s="7" t="inlineStr">
        <is>
          <t>FERTILIZANTES</t>
        </is>
      </c>
      <c r="H797" s="7" t="inlineStr">
        <is>
          <t>Composição Nutricional Oficial (FERTILIZANTES)</t>
        </is>
      </c>
      <c r="I797" s="7" t="inlineStr">
        <is>
          <t>Fertilizante Mineral / Organomineral (Lei nº 6.894/1980)</t>
        </is>
      </c>
      <c r="J797" s="7" t="inlineStr">
        <is>
          <t>Nutrição Vegetal SIPEAGRO</t>
        </is>
      </c>
      <c r="K797" s="7" t="inlineStr">
        <is>
          <t>Fornecimento de macro e micronutrientes essenciais ao metabolismo vegetal</t>
        </is>
      </c>
      <c r="L797" s="9" t="n">
        <v>100</v>
      </c>
      <c r="M797" s="7" t="inlineStr">
        <is>
          <t>% m/m</t>
        </is>
      </c>
      <c r="N797" s="7" t="inlineStr">
        <is>
          <t>Registro Técnico Vinculado MAPA</t>
        </is>
      </c>
    </row>
    <row r="798" ht="22" customHeight="1">
      <c r="A798" s="12" t="inlineStr">
        <is>
          <t>CMP-0794</t>
        </is>
      </c>
      <c r="B798" s="11" t="n">
        <v>579</v>
      </c>
      <c r="C798" s="13" t="inlineStr">
        <is>
          <t>SIPEAGRO (UF-XXXXX)</t>
        </is>
      </c>
      <c r="D798" s="14" t="inlineStr">
        <is>
          <t>ESTIMULUS EVO</t>
        </is>
      </c>
      <c r="E798" s="11" t="n">
        <v>1</v>
      </c>
      <c r="F798" s="13" t="inlineStr">
        <is>
          <t>Nutriente Garantido</t>
        </is>
      </c>
      <c r="G798" s="13" t="inlineStr">
        <is>
          <t>FERTILIZANTES</t>
        </is>
      </c>
      <c r="H798" s="13" t="inlineStr">
        <is>
          <t>Composição Nutricional Oficial (FERTILIZANTES)</t>
        </is>
      </c>
      <c r="I798" s="13" t="inlineStr">
        <is>
          <t>Fertilizante Mineral / Organomineral (Lei nº 6.894/1980)</t>
        </is>
      </c>
      <c r="J798" s="13" t="inlineStr">
        <is>
          <t>Nutrição Vegetal SIPEAGRO</t>
        </is>
      </c>
      <c r="K798" s="13" t="inlineStr">
        <is>
          <t>Fornecimento de macro e micronutrientes essenciais ao metabolismo vegetal</t>
        </is>
      </c>
      <c r="L798" s="15" t="n">
        <v>100</v>
      </c>
      <c r="M798" s="13" t="inlineStr">
        <is>
          <t>% m/m</t>
        </is>
      </c>
      <c r="N798" s="13" t="inlineStr">
        <is>
          <t>Registro Técnico Vinculado MAPA</t>
        </is>
      </c>
    </row>
    <row r="799" ht="22" customHeight="1">
      <c r="A799" s="6" t="inlineStr">
        <is>
          <t>CMP-0795</t>
        </is>
      </c>
      <c r="B799" s="5" t="n">
        <v>580</v>
      </c>
      <c r="C799" s="7" t="inlineStr">
        <is>
          <t>Nº 1209</t>
        </is>
      </c>
      <c r="D799" s="8" t="inlineStr">
        <is>
          <t>STANDAK TOP</t>
        </is>
      </c>
      <c r="E799" s="5" t="n">
        <v>1</v>
      </c>
      <c r="F799" s="7" t="inlineStr">
        <is>
          <t>Ingrediente Ativo Principal</t>
        </is>
      </c>
      <c r="G799" s="7" t="inlineStr">
        <is>
          <t>PIRACLOSTROBINA 25</t>
        </is>
      </c>
      <c r="H799" s="7" t="inlineStr">
        <is>
          <t>Methyl N-{2-[1-(4-chlorophenyl)-1H-pyrazol-3-yloxymethyl]phenyl}(N-methoxy)carbamate</t>
        </is>
      </c>
      <c r="I799" s="7" t="inlineStr">
        <is>
          <t>Estrobilurina (Metoxicarbamato)</t>
        </is>
      </c>
      <c r="J799" s="7" t="inlineStr">
        <is>
          <t>FRAC Grupo 11 (C3 — QoI)</t>
        </is>
      </c>
      <c r="K799" s="7" t="inlineStr">
        <is>
          <t>Inibidores da respiração mitocondrial no Complexo III (sítio Qo)</t>
        </is>
      </c>
      <c r="L799" s="9" t="n">
        <v>25</v>
      </c>
      <c r="M799" s="7" t="inlineStr">
        <is>
          <t>g/L</t>
        </is>
      </c>
      <c r="N799" s="7" t="inlineStr">
        <is>
          <t>Registro Técnico Vinculado MAPA</t>
        </is>
      </c>
    </row>
    <row r="800" ht="22" customHeight="1">
      <c r="A800" s="12" t="inlineStr">
        <is>
          <t>CMP-0796</t>
        </is>
      </c>
      <c r="B800" s="11" t="n">
        <v>580</v>
      </c>
      <c r="C800" s="13" t="inlineStr">
        <is>
          <t>Nº 1209</t>
        </is>
      </c>
      <c r="D800" s="14" t="inlineStr">
        <is>
          <t>STANDAK TOP</t>
        </is>
      </c>
      <c r="E800" s="11" t="n">
        <v>2</v>
      </c>
      <c r="F800" s="13" t="inlineStr">
        <is>
          <t>Ingrediente Ativo Principal</t>
        </is>
      </c>
      <c r="G800" s="13" t="inlineStr">
        <is>
          <t>TIOFANATO 225</t>
        </is>
      </c>
      <c r="H800" s="13" t="inlineStr">
        <is>
          <t>Dimethyl 4,4'-(o-phenylene)bis(3-thioallophanate)</t>
        </is>
      </c>
      <c r="I800" s="13" t="inlineStr">
        <is>
          <t>Benzimidazol (Precursor de MBC)</t>
        </is>
      </c>
      <c r="J800" s="13" t="inlineStr">
        <is>
          <t>FRAC Grupo 1 (MBC)</t>
        </is>
      </c>
      <c r="K800" s="13" t="inlineStr">
        <is>
          <t>Inibidores da montagem de beta-tubulina na mitose celular</t>
        </is>
      </c>
      <c r="L800" s="15" t="n">
        <v>225</v>
      </c>
      <c r="M800" s="13" t="inlineStr">
        <is>
          <t>g/L</t>
        </is>
      </c>
      <c r="N800" s="13" t="inlineStr">
        <is>
          <t>Registro Técnico Vinculado MAPA</t>
        </is>
      </c>
    </row>
    <row r="801" ht="22" customHeight="1">
      <c r="A801" s="6" t="inlineStr">
        <is>
          <t>CMP-0797</t>
        </is>
      </c>
      <c r="B801" s="5" t="n">
        <v>580</v>
      </c>
      <c r="C801" s="7" t="inlineStr">
        <is>
          <t>Nº 1209</t>
        </is>
      </c>
      <c r="D801" s="8" t="inlineStr">
        <is>
          <t>STANDAK TOP</t>
        </is>
      </c>
      <c r="E801" s="5" t="n">
        <v>3</v>
      </c>
      <c r="F801" s="7" t="inlineStr">
        <is>
          <t>Ingrediente Ativo Principal</t>
        </is>
      </c>
      <c r="G801" s="7" t="inlineStr">
        <is>
          <t>FIPRONIL 250</t>
        </is>
      </c>
      <c r="H801" s="7" t="inlineStr">
        <is>
          <t>(RS)-5-amino-1-(2,6-dichloro-a,a,a-trifluoro-p-tolyl)-4-trifluoromethylsulfinylpyrazole-3-carbonitrile</t>
        </is>
      </c>
      <c r="I801" s="7" t="inlineStr">
        <is>
          <t>Pirazol (Fenilpirazol)</t>
        </is>
      </c>
      <c r="J801" s="7" t="inlineStr">
        <is>
          <t>IRAC Grupo 2B</t>
        </is>
      </c>
      <c r="K801" s="7" t="inlineStr">
        <is>
          <t>Bloqueadores de canais de cloro mediados pelo GABA</t>
        </is>
      </c>
      <c r="L801" s="9" t="n">
        <v>250</v>
      </c>
      <c r="M801" s="7" t="inlineStr">
        <is>
          <t>g/L</t>
        </is>
      </c>
      <c r="N801" s="7" t="inlineStr">
        <is>
          <t>Registro Técnico Vinculado MAPA</t>
        </is>
      </c>
    </row>
    <row r="802" ht="22" customHeight="1">
      <c r="A802" s="12" t="inlineStr">
        <is>
          <t>CMP-0798</t>
        </is>
      </c>
      <c r="B802" s="11" t="n">
        <v>581</v>
      </c>
      <c r="C802" s="13" t="inlineStr">
        <is>
          <t>SIPEAGRO (UF-XXXXX)</t>
        </is>
      </c>
      <c r="D802" s="14" t="inlineStr">
        <is>
          <t>ESTIMULUS GRASS</t>
        </is>
      </c>
      <c r="E802" s="11" t="n">
        <v>1</v>
      </c>
      <c r="F802" s="13" t="inlineStr">
        <is>
          <t>Nutriente Garantido</t>
        </is>
      </c>
      <c r="G802" s="13" t="inlineStr">
        <is>
          <t>FERTILIZANTES</t>
        </is>
      </c>
      <c r="H802" s="13" t="inlineStr">
        <is>
          <t>Composição Nutricional Oficial (FERTILIZANTES)</t>
        </is>
      </c>
      <c r="I802" s="13" t="inlineStr">
        <is>
          <t>Fertilizante Mineral / Organomineral (Lei nº 6.894/1980)</t>
        </is>
      </c>
      <c r="J802" s="13" t="inlineStr">
        <is>
          <t>Nutrição Vegetal SIPEAGRO</t>
        </is>
      </c>
      <c r="K802" s="13" t="inlineStr">
        <is>
          <t>Fornecimento de macro e micronutrientes essenciais ao metabolismo vegetal</t>
        </is>
      </c>
      <c r="L802" s="15" t="n">
        <v>100</v>
      </c>
      <c r="M802" s="13" t="inlineStr">
        <is>
          <t>% m/m</t>
        </is>
      </c>
      <c r="N802" s="13" t="inlineStr">
        <is>
          <t>Registro Técnico Vinculado MAPA</t>
        </is>
      </c>
    </row>
    <row r="803" ht="22" customHeight="1">
      <c r="A803" s="6" t="inlineStr">
        <is>
          <t>CMP-0799</t>
        </is>
      </c>
      <c r="B803" s="5" t="n">
        <v>582</v>
      </c>
      <c r="C803" s="7" t="inlineStr">
        <is>
          <t>Nº 24518</t>
        </is>
      </c>
      <c r="D803" s="8" t="inlineStr">
        <is>
          <t>KENNOX</t>
        </is>
      </c>
      <c r="E803" s="5" t="n">
        <v>1</v>
      </c>
      <c r="F803" s="7" t="inlineStr">
        <is>
          <t>Ingrediente Ativo Principal</t>
        </is>
      </c>
      <c r="G803" s="7" t="inlineStr">
        <is>
          <t>CLETODIM</t>
        </is>
      </c>
      <c r="H803" s="7" t="inlineStr">
        <is>
          <t>(5RS)-2-{(1E)-1-[(2E)-3-chloroallyloxyimino]propyl}-5-[(2RS)-2-(ethylthio)propyl]-3-hydroxycyclohex-2-en-1-one</t>
        </is>
      </c>
      <c r="I803" s="7" t="inlineStr">
        <is>
          <t>Oxima Ciclohexanodiona (DIM)</t>
        </is>
      </c>
      <c r="J803" s="7" t="inlineStr">
        <is>
          <t>HRAC Grupo A (1) — Inibidores da ACCase</t>
        </is>
      </c>
      <c r="K803" s="7" t="inlineStr">
        <is>
          <t>Inibição da enzima acetil-CoA carboxilase (ACCase)</t>
        </is>
      </c>
      <c r="L803" s="9" t="n">
        <v>240</v>
      </c>
      <c r="M803" s="7" t="inlineStr">
        <is>
          <t>g/L</t>
        </is>
      </c>
      <c r="N803" s="7" t="inlineStr">
        <is>
          <t>Clethodim Técnico Adama</t>
        </is>
      </c>
    </row>
    <row r="804" ht="22" customHeight="1">
      <c r="A804" s="12" t="inlineStr">
        <is>
          <t>CMP-0800</t>
        </is>
      </c>
      <c r="B804" s="11" t="n">
        <v>582</v>
      </c>
      <c r="C804" s="13" t="inlineStr">
        <is>
          <t>Nº 24518</t>
        </is>
      </c>
      <c r="D804" s="14" t="inlineStr">
        <is>
          <t>KENNOX</t>
        </is>
      </c>
      <c r="E804" s="11" t="n">
        <v>2</v>
      </c>
      <c r="F804" s="13" t="inlineStr">
        <is>
          <t>Ingrediente Ativo Principal</t>
        </is>
      </c>
      <c r="G804" s="13" t="inlineStr">
        <is>
          <t>HALOXIFOPE-P-METÍLICO</t>
        </is>
      </c>
      <c r="H804" s="13" t="inlineStr">
        <is>
          <t>Methyl (R)-2-{4-[3-chloro-5-(trifluoromethyl)-2-pyridyloxy]phenoxy}propionate</t>
        </is>
      </c>
      <c r="I804" s="13" t="inlineStr">
        <is>
          <t>Ariloxifenoxipropionato (FOP)</t>
        </is>
      </c>
      <c r="J804" s="13" t="inlineStr">
        <is>
          <t>HRAC Grupo A (1) — Inibidores da ACCase</t>
        </is>
      </c>
      <c r="K804" s="13" t="inlineStr">
        <is>
          <t>Inibição da enzima acetil-CoA carboxilase (ACCase)</t>
        </is>
      </c>
      <c r="L804" s="15" t="n">
        <v>60</v>
      </c>
      <c r="M804" s="13" t="inlineStr">
        <is>
          <t>g/L</t>
        </is>
      </c>
      <c r="N804" s="13" t="inlineStr">
        <is>
          <t>Haloxyfop-P-methyl Técnico Adama</t>
        </is>
      </c>
    </row>
    <row r="805" ht="22" customHeight="1">
      <c r="A805" s="6" t="inlineStr">
        <is>
          <t>CMP-0801</t>
        </is>
      </c>
      <c r="B805" s="5" t="n">
        <v>583</v>
      </c>
      <c r="C805" s="7" t="inlineStr">
        <is>
          <t>Nº 12320</t>
        </is>
      </c>
      <c r="D805" s="8" t="inlineStr">
        <is>
          <t>AVEO EZ 0,500L</t>
        </is>
      </c>
      <c r="E805" s="5" t="n">
        <v>1</v>
      </c>
      <c r="F805" s="7" t="inlineStr">
        <is>
          <t>Agente Biológico / Cepa</t>
        </is>
      </c>
      <c r="G805" s="7" t="inlineStr">
        <is>
          <t>BACILLUS AMYLOLIQUEFACIENS CEPA PTA-4838 (6,1x10^10 UFC/mL)</t>
        </is>
      </c>
      <c r="H805" s="7" t="inlineStr">
        <is>
          <t>Bacillus amyloliquefaciens cepa PTA-4838</t>
        </is>
      </c>
      <c r="I805" s="7" t="inlineStr">
        <is>
          <t>Agente Microbiológico / Rizobactéria (Bionematicida)</t>
        </is>
      </c>
      <c r="J805" s="7" t="inlineStr">
        <is>
          <t>Bionematicida Microbiológico (MAPA)</t>
        </is>
      </c>
      <c r="K805" s="7" t="inlineStr">
        <is>
          <t>Colonização da rizosfera, formação de biofilme protetor e ação nematicida/nematostática</t>
        </is>
      </c>
      <c r="L805" s="9" t="n">
        <v>270</v>
      </c>
      <c r="M805" s="7" t="inlineStr">
        <is>
          <t>g/L</t>
        </is>
      </c>
      <c r="N805" s="7" t="inlineStr">
        <is>
          <t>Cepa Própria PTA-4838 (Sumitomo/Valent)</t>
        </is>
      </c>
    </row>
    <row r="806" ht="22" customHeight="1">
      <c r="A806" s="12" t="inlineStr">
        <is>
          <t>CMP-0802</t>
        </is>
      </c>
      <c r="B806" s="11" t="n">
        <v>584</v>
      </c>
      <c r="C806" s="13" t="inlineStr">
        <is>
          <t>Nº 10598</t>
        </is>
      </c>
      <c r="D806" s="14" t="inlineStr">
        <is>
          <t>PIREPHOS EC</t>
        </is>
      </c>
      <c r="E806" s="11" t="n">
        <v>1</v>
      </c>
      <c r="F806" s="13" t="inlineStr">
        <is>
          <t>Ingrediente Ativo Principal</t>
        </is>
      </c>
      <c r="G806" s="13" t="inlineStr">
        <is>
          <t>FENITROTIONA 800</t>
        </is>
      </c>
      <c r="H806" s="13" t="inlineStr">
        <is>
          <t>O,O-dimethyl O-4-nitro-m-tolyl phosphorothioate</t>
        </is>
      </c>
      <c r="I806" s="13" t="inlineStr">
        <is>
          <t>Organofosforado</t>
        </is>
      </c>
      <c r="J806" s="13" t="inlineStr">
        <is>
          <t>IRAC Grupo 1B</t>
        </is>
      </c>
      <c r="K806" s="13" t="inlineStr">
        <is>
          <t>Inibidores da acetilcolinesterase (AChE)</t>
        </is>
      </c>
      <c r="L806" s="15" t="n">
        <v>800</v>
      </c>
      <c r="M806" s="13" t="inlineStr">
        <is>
          <t>g/L</t>
        </is>
      </c>
      <c r="N806" s="13" t="inlineStr">
        <is>
          <t>Registro Técnico Vinculado MAPA</t>
        </is>
      </c>
    </row>
    <row r="807" ht="22" customHeight="1">
      <c r="A807" s="6" t="inlineStr">
        <is>
          <t>CMP-0803</t>
        </is>
      </c>
      <c r="B807" s="5" t="n">
        <v>584</v>
      </c>
      <c r="C807" s="7" t="inlineStr">
        <is>
          <t>Nº 10598</t>
        </is>
      </c>
      <c r="D807" s="8" t="inlineStr">
        <is>
          <t>PIREPHOS EC</t>
        </is>
      </c>
      <c r="E807" s="5" t="n">
        <v>2</v>
      </c>
      <c r="F807" s="7" t="inlineStr">
        <is>
          <t>Ingrediente Ativo Principal</t>
        </is>
      </c>
      <c r="G807" s="7" t="inlineStr">
        <is>
          <t>ESFENVALERATO 40</t>
        </is>
      </c>
      <c r="H807" s="7" t="inlineStr">
        <is>
          <t>(S)-alpha-cyano-3-phenoxybenzyl (S)-2-(4-chlorophenyl)-3-methylbutyrate</t>
        </is>
      </c>
      <c r="I807" s="7" t="inlineStr">
        <is>
          <t>Piretroide (Tipo II)</t>
        </is>
      </c>
      <c r="J807" s="7" t="inlineStr">
        <is>
          <t>IRAC Grupo 3A</t>
        </is>
      </c>
      <c r="K807" s="7" t="inlineStr">
        <is>
          <t>Moduladores de canais de sódio em membranas nervosas</t>
        </is>
      </c>
      <c r="L807" s="9" t="n">
        <v>40</v>
      </c>
      <c r="M807" s="7" t="inlineStr">
        <is>
          <t>g/L</t>
        </is>
      </c>
      <c r="N807" s="7" t="inlineStr">
        <is>
          <t>Registro Técnico Vinculado MAPA</t>
        </is>
      </c>
    </row>
    <row r="808" ht="22" customHeight="1">
      <c r="A808" s="12" t="inlineStr">
        <is>
          <t>CMP-0804</t>
        </is>
      </c>
      <c r="B808" s="11" t="n">
        <v>585</v>
      </c>
      <c r="C808" s="13" t="inlineStr">
        <is>
          <t>Nº 11216</t>
        </is>
      </c>
      <c r="D808" s="14" t="inlineStr">
        <is>
          <t>ATIVUM (TM) EC</t>
        </is>
      </c>
      <c r="E808" s="11" t="n">
        <v>1</v>
      </c>
      <c r="F808" s="13" t="inlineStr">
        <is>
          <t>Ingrediente Ativo Principal</t>
        </is>
      </c>
      <c r="G808" s="13" t="inlineStr">
        <is>
          <t>PIRACLOSTROBINA 81</t>
        </is>
      </c>
      <c r="H808" s="13" t="inlineStr">
        <is>
          <t>Methyl N-{2-[1-(4-chlorophenyl)-1H-pyrazol-3-yloxymethyl]phenyl}(N-methoxy)carbamate</t>
        </is>
      </c>
      <c r="I808" s="13" t="inlineStr">
        <is>
          <t>Estrobilurina (Metoxicarbamato)</t>
        </is>
      </c>
      <c r="J808" s="13" t="inlineStr">
        <is>
          <t>FRAC Grupo 11 (C3 — QoI)</t>
        </is>
      </c>
      <c r="K808" s="13" t="inlineStr">
        <is>
          <t>Inibidores da respiração mitocondrial no Complexo III (sítio Qo)</t>
        </is>
      </c>
      <c r="L808" s="15" t="n">
        <v>81</v>
      </c>
      <c r="M808" s="13" t="inlineStr">
        <is>
          <t>g/L</t>
        </is>
      </c>
      <c r="N808" s="13" t="inlineStr">
        <is>
          <t>Registro Técnico Vinculado MAPA</t>
        </is>
      </c>
    </row>
    <row r="809" ht="22" customHeight="1">
      <c r="A809" s="6" t="inlineStr">
        <is>
          <t>CMP-0805</t>
        </is>
      </c>
      <c r="B809" s="5" t="n">
        <v>585</v>
      </c>
      <c r="C809" s="7" t="inlineStr">
        <is>
          <t>Nº 11216</t>
        </is>
      </c>
      <c r="D809" s="8" t="inlineStr">
        <is>
          <t>ATIVUM (TM) EC</t>
        </is>
      </c>
      <c r="E809" s="5" t="n">
        <v>2</v>
      </c>
      <c r="F809" s="7" t="inlineStr">
        <is>
          <t>Ingrediente Ativo Principal</t>
        </is>
      </c>
      <c r="G809" s="7" t="inlineStr">
        <is>
          <t>FLUXAPIROXADE50</t>
        </is>
      </c>
      <c r="H809" s="7" t="inlineStr">
        <is>
          <t>3-(difluoromethyl)-1-methyl-N-(3,4,5-trifluorobiphenyl-2-yl)pyrazole-4-carboxamide</t>
        </is>
      </c>
      <c r="I809" s="7" t="inlineStr">
        <is>
          <t>Carboxamida (Pirazol-4-carboxamida)</t>
        </is>
      </c>
      <c r="J809" s="7" t="inlineStr">
        <is>
          <t>FRAC Grupo 7 (C2 — SDHI)</t>
        </is>
      </c>
      <c r="K809" s="7" t="inlineStr">
        <is>
          <t>Inibidores da enzima succinato desidrogenase (Complexo II respiratório)</t>
        </is>
      </c>
      <c r="L809" s="9" t="n">
        <v>50</v>
      </c>
      <c r="M809" s="7" t="inlineStr">
        <is>
          <t>g/L</t>
        </is>
      </c>
      <c r="N809" s="7" t="inlineStr">
        <is>
          <t>Registro Técnico Vinculado MAPA</t>
        </is>
      </c>
    </row>
    <row r="810" ht="22" customHeight="1">
      <c r="A810" s="12" t="inlineStr">
        <is>
          <t>CMP-0806</t>
        </is>
      </c>
      <c r="B810" s="11" t="n">
        <v>585</v>
      </c>
      <c r="C810" s="13" t="inlineStr">
        <is>
          <t>Nº 11216</t>
        </is>
      </c>
      <c r="D810" s="14" t="inlineStr">
        <is>
          <t>ATIVUM (TM) EC</t>
        </is>
      </c>
      <c r="E810" s="11" t="n">
        <v>3</v>
      </c>
      <c r="F810" s="13" t="inlineStr">
        <is>
          <t>Ingrediente Ativo Principal</t>
        </is>
      </c>
      <c r="G810" s="13" t="inlineStr">
        <is>
          <t>EPOXICONAZOL50</t>
        </is>
      </c>
      <c r="H810" s="13" t="inlineStr">
        <is>
          <t>(2RS,3SR)-1-[3-(2-chlorophenyl)-2,3-epoxy-2-(4-fluorophenyl)propyl]-1H-1,2,4-triazole</t>
        </is>
      </c>
      <c r="I810" s="13" t="inlineStr">
        <is>
          <t>Triazol</t>
        </is>
      </c>
      <c r="J810" s="13" t="inlineStr">
        <is>
          <t>FRAC Grupo 3 (G1 — DMI)</t>
        </is>
      </c>
      <c r="K810" s="13" t="inlineStr">
        <is>
          <t>Inibidores da desmetilação do C14 na biossíntese do ergosterol</t>
        </is>
      </c>
      <c r="L810" s="15" t="n">
        <v>50</v>
      </c>
      <c r="M810" s="13" t="inlineStr">
        <is>
          <t>g/L</t>
        </is>
      </c>
      <c r="N810" s="13" t="inlineStr">
        <is>
          <t>Registro Técnico Vinculado MAPA</t>
        </is>
      </c>
    </row>
    <row r="811" ht="22" customHeight="1">
      <c r="A811" s="6" t="inlineStr">
        <is>
          <t>CMP-0807</t>
        </is>
      </c>
      <c r="B811" s="5" t="n">
        <v>586</v>
      </c>
      <c r="C811" s="7" t="inlineStr">
        <is>
          <t>Nº 9519</t>
        </is>
      </c>
      <c r="D811" s="8" t="inlineStr">
        <is>
          <t>ATRAZINA CCAB</t>
        </is>
      </c>
      <c r="E811" s="5" t="n">
        <v>1</v>
      </c>
      <c r="F811" s="7" t="inlineStr">
        <is>
          <t>Ingrediente Ativo Principal</t>
        </is>
      </c>
      <c r="G811" s="7" t="inlineStr">
        <is>
          <t>ATRAZINA 500</t>
        </is>
      </c>
      <c r="H811" s="7" t="inlineStr">
        <is>
          <t>6-chloro-N2-ethyl-N4-isopropyl-1,3,5-triazine-2,4-diamine</t>
        </is>
      </c>
      <c r="I811" s="7" t="inlineStr">
        <is>
          <t>Triazina</t>
        </is>
      </c>
      <c r="J811" s="7" t="inlineStr">
        <is>
          <t>HRAC Grupo C1 (5) — Inibidores do Fotossistema II</t>
        </is>
      </c>
      <c r="K811" s="7" t="inlineStr">
        <is>
          <t>Inibição do transporte de elétrons no Fotossistema II (sítio Serina 264)</t>
        </is>
      </c>
      <c r="L811" s="9" t="n">
        <v>500</v>
      </c>
      <c r="M811" s="7" t="inlineStr">
        <is>
          <t>g/L</t>
        </is>
      </c>
      <c r="N811" s="7" t="inlineStr">
        <is>
          <t>Registro Técnico Vinculado MAPA</t>
        </is>
      </c>
    </row>
    <row r="812" ht="22" customHeight="1">
      <c r="A812" s="12" t="inlineStr">
        <is>
          <t>CMP-0808</t>
        </is>
      </c>
      <c r="B812" s="11" t="n">
        <v>587</v>
      </c>
      <c r="C812" s="13" t="inlineStr">
        <is>
          <t>Nº 0816</t>
        </is>
      </c>
      <c r="D812" s="14" t="inlineStr">
        <is>
          <t>RACIO</t>
        </is>
      </c>
      <c r="E812" s="11" t="n">
        <v>1</v>
      </c>
      <c r="F812" s="13" t="inlineStr">
        <is>
          <t>Ingrediente Ativo Principal</t>
        </is>
      </c>
      <c r="G812" s="13" t="inlineStr">
        <is>
          <t>ACEFATO 750</t>
        </is>
      </c>
      <c r="H812" s="13" t="inlineStr">
        <is>
          <t>O,S-dimethyl acetylphosphoramidothioate</t>
        </is>
      </c>
      <c r="I812" s="13" t="inlineStr">
        <is>
          <t>Organofosforado</t>
        </is>
      </c>
      <c r="J812" s="13" t="inlineStr">
        <is>
          <t>IRAC Grupo 1B</t>
        </is>
      </c>
      <c r="K812" s="13" t="inlineStr">
        <is>
          <t>Inibidores da enzima acetilcolinesterase (AChE)</t>
        </is>
      </c>
      <c r="L812" s="15" t="n">
        <v>750</v>
      </c>
      <c r="M812" s="13" t="inlineStr">
        <is>
          <t>g/kg</t>
        </is>
      </c>
      <c r="N812" s="13" t="inlineStr">
        <is>
          <t>Registro Técnico Vinculado MAPA</t>
        </is>
      </c>
    </row>
    <row r="813" ht="22" customHeight="1">
      <c r="A813" s="6" t="inlineStr">
        <is>
          <t>CMP-0809</t>
        </is>
      </c>
      <c r="B813" s="5" t="n">
        <v>588</v>
      </c>
      <c r="C813" s="7" t="inlineStr">
        <is>
          <t>SIPEAGRO (UF-XXXXX)</t>
        </is>
      </c>
      <c r="D813" s="8" t="inlineStr">
        <is>
          <t>ESTIMULUS ROOT +</t>
        </is>
      </c>
      <c r="E813" s="5" t="n">
        <v>1</v>
      </c>
      <c r="F813" s="7" t="inlineStr">
        <is>
          <t>Nutriente Garantido</t>
        </is>
      </c>
      <c r="G813" s="7" t="inlineStr">
        <is>
          <t>FERTILIZANTES</t>
        </is>
      </c>
      <c r="H813" s="7" t="inlineStr">
        <is>
          <t>Composição Nutricional Oficial (FERTILIZANTES)</t>
        </is>
      </c>
      <c r="I813" s="7" t="inlineStr">
        <is>
          <t>Fertilizante Mineral / Organomineral (Lei nº 6.894/1980)</t>
        </is>
      </c>
      <c r="J813" s="7" t="inlineStr">
        <is>
          <t>Nutrição Vegetal SIPEAGRO</t>
        </is>
      </c>
      <c r="K813" s="7" t="inlineStr">
        <is>
          <t>Fornecimento de macro e micronutrientes essenciais ao metabolismo vegetal</t>
        </is>
      </c>
      <c r="L813" s="9" t="n">
        <v>100</v>
      </c>
      <c r="M813" s="7" t="inlineStr">
        <is>
          <t>% m/m</t>
        </is>
      </c>
      <c r="N813" s="7" t="inlineStr">
        <is>
          <t>Registro Técnico Vinculado MAPA</t>
        </is>
      </c>
    </row>
    <row r="814" ht="22" customHeight="1">
      <c r="A814" s="12" t="inlineStr">
        <is>
          <t>CMP-0810</t>
        </is>
      </c>
      <c r="B814" s="11" t="n">
        <v>589</v>
      </c>
      <c r="C814" s="13" t="inlineStr">
        <is>
          <t>Nº 23419</t>
        </is>
      </c>
      <c r="D814" s="14" t="inlineStr">
        <is>
          <t>SAFENITH</t>
        </is>
      </c>
      <c r="E814" s="11" t="n">
        <v>1</v>
      </c>
      <c r="F814" s="13" t="inlineStr">
        <is>
          <t>Ingrediente Ativo Principal</t>
        </is>
      </c>
      <c r="G814" s="13" t="inlineStr">
        <is>
          <t>CLOROTALONIL 720</t>
        </is>
      </c>
      <c r="H814" s="13" t="inlineStr">
        <is>
          <t>Tetrachloroisophthalonitrile</t>
        </is>
      </c>
      <c r="I814" s="13" t="inlineStr">
        <is>
          <t>Isoftalonitrila</t>
        </is>
      </c>
      <c r="J814" s="13" t="inlineStr">
        <is>
          <t>FRAC Grupo M05 — Multissítio</t>
        </is>
      </c>
      <c r="K814" s="13" t="inlineStr">
        <is>
          <t>Atividade de contato multissítio (inativação de grupos tiol enzimáticos)</t>
        </is>
      </c>
      <c r="L814" s="15" t="n">
        <v>720</v>
      </c>
      <c r="M814" s="13" t="inlineStr">
        <is>
          <t>g/L</t>
        </is>
      </c>
      <c r="N814" s="13" t="inlineStr">
        <is>
          <t>Registro Técnico Vinculado MAPA</t>
        </is>
      </c>
    </row>
    <row r="815" ht="22" customHeight="1">
      <c r="A815" s="6" t="inlineStr">
        <is>
          <t>CMP-0811</t>
        </is>
      </c>
      <c r="B815" s="5" t="n">
        <v>590</v>
      </c>
      <c r="C815" s="7" t="inlineStr">
        <is>
          <t>Nº 5615</t>
        </is>
      </c>
      <c r="D815" s="8" t="inlineStr">
        <is>
          <t>PREVINIL</t>
        </is>
      </c>
      <c r="E815" s="5" t="n">
        <v>1</v>
      </c>
      <c r="F815" s="7" t="inlineStr">
        <is>
          <t>Ingrediente Ativo Principal</t>
        </is>
      </c>
      <c r="G815" s="7" t="inlineStr">
        <is>
          <t>CLOROTALONIL 720</t>
        </is>
      </c>
      <c r="H815" s="7" t="inlineStr">
        <is>
          <t>Tetrachloroisophthalonitrile</t>
        </is>
      </c>
      <c r="I815" s="7" t="inlineStr">
        <is>
          <t>Isoftalonitrila</t>
        </is>
      </c>
      <c r="J815" s="7" t="inlineStr">
        <is>
          <t>FRAC Grupo M05 — Multissítio</t>
        </is>
      </c>
      <c r="K815" s="7" t="inlineStr">
        <is>
          <t>Atividade de contato multissítio (inativação de grupos tiol enzimáticos)</t>
        </is>
      </c>
      <c r="L815" s="9" t="n">
        <v>720</v>
      </c>
      <c r="M815" s="7" t="inlineStr">
        <is>
          <t>g/L</t>
        </is>
      </c>
      <c r="N815" s="7" t="inlineStr">
        <is>
          <t>Registro Técnico Vinculado MAPA</t>
        </is>
      </c>
    </row>
    <row r="816" ht="22" customHeight="1">
      <c r="A816" s="12" t="inlineStr">
        <is>
          <t>CMP-0812</t>
        </is>
      </c>
      <c r="B816" s="11" t="n">
        <v>591</v>
      </c>
      <c r="C816" s="13" t="inlineStr">
        <is>
          <t>Nº 14617</t>
        </is>
      </c>
      <c r="D816" s="14" t="inlineStr">
        <is>
          <t>SPERTO - UPL 138 FP BR</t>
        </is>
      </c>
      <c r="E816" s="11" t="n">
        <v>1</v>
      </c>
      <c r="F816" s="13" t="inlineStr">
        <is>
          <t>Ingrediente Ativo Principal</t>
        </is>
      </c>
      <c r="G816" s="13" t="inlineStr">
        <is>
          <t>ACETAMIPRIDO 250</t>
        </is>
      </c>
      <c r="H816" s="13" t="inlineStr">
        <is>
          <t>(E)-N1-[(6-chloro-3-pyridyl)methyl]-N2-cyano-N1-methylacetamidine</t>
        </is>
      </c>
      <c r="I816" s="13" t="inlineStr">
        <is>
          <t>Neonicotinoide</t>
        </is>
      </c>
      <c r="J816" s="13" t="inlineStr">
        <is>
          <t>IRAC Grupo 4A</t>
        </is>
      </c>
      <c r="K816" s="13" t="inlineStr">
        <is>
          <t>Moduladores competitivos de receptores nicotínicos da acetilcolina (nAChR)</t>
        </is>
      </c>
      <c r="L816" s="15" t="n">
        <v>250</v>
      </c>
      <c r="M816" s="13" t="inlineStr">
        <is>
          <t>g/kg</t>
        </is>
      </c>
      <c r="N816" s="13" t="inlineStr">
        <is>
          <t>Registro Técnico Vinculado MAPA</t>
        </is>
      </c>
    </row>
    <row r="817" ht="22" customHeight="1">
      <c r="A817" s="6" t="inlineStr">
        <is>
          <t>CMP-0813</t>
        </is>
      </c>
      <c r="B817" s="5" t="n">
        <v>591</v>
      </c>
      <c r="C817" s="7" t="inlineStr">
        <is>
          <t>Nº 14617</t>
        </is>
      </c>
      <c r="D817" s="8" t="inlineStr">
        <is>
          <t>SPERTO - UPL 138 FP BR</t>
        </is>
      </c>
      <c r="E817" s="5" t="n">
        <v>2</v>
      </c>
      <c r="F817" s="7" t="inlineStr">
        <is>
          <t>Ingrediente Ativo Principal</t>
        </is>
      </c>
      <c r="G817" s="7" t="inlineStr">
        <is>
          <t>BIFENTRINA 250</t>
        </is>
      </c>
      <c r="H817" s="7" t="inlineStr">
        <is>
          <t>2-methylbiphenyl-3-ylmethyl (Z)-(1RS,3RS)-3-(2-chloro-3,3,3-trifluoroprop-1-enyl)-2,2-dimethylcyclopropanecarboxylate</t>
        </is>
      </c>
      <c r="I817" s="7" t="inlineStr">
        <is>
          <t>Piretroide (Tipo I)</t>
        </is>
      </c>
      <c r="J817" s="7" t="inlineStr">
        <is>
          <t>IRAC Grupo 3A</t>
        </is>
      </c>
      <c r="K817" s="7" t="inlineStr">
        <is>
          <t>Moduladores de canais de sódio em membranas nervosas</t>
        </is>
      </c>
      <c r="L817" s="9" t="n">
        <v>250</v>
      </c>
      <c r="M817" s="7" t="inlineStr">
        <is>
          <t>g/kg</t>
        </is>
      </c>
      <c r="N817" s="7" t="inlineStr">
        <is>
          <t>Registro Técnico Vinculado MAPA</t>
        </is>
      </c>
    </row>
    <row r="818" ht="22" customHeight="1">
      <c r="A818" s="12" t="inlineStr">
        <is>
          <t>CMP-0814</t>
        </is>
      </c>
      <c r="B818" s="11" t="n">
        <v>592</v>
      </c>
      <c r="C818" s="13" t="inlineStr">
        <is>
          <t>SIPEAGRO (UF-XXXXX)</t>
        </is>
      </c>
      <c r="D818" s="14" t="inlineStr">
        <is>
          <t>NITROBASE 30</t>
        </is>
      </c>
      <c r="E818" s="11" t="n">
        <v>1</v>
      </c>
      <c r="F818" s="13" t="inlineStr">
        <is>
          <t>Nutriente Garantido</t>
        </is>
      </c>
      <c r="G818" s="13" t="inlineStr">
        <is>
          <t>NITROGENIO</t>
        </is>
      </c>
      <c r="H818" s="13" t="inlineStr">
        <is>
          <t>Composição Nutricional Oficial (NITROGENIO)</t>
        </is>
      </c>
      <c r="I818" s="13" t="inlineStr">
        <is>
          <t>Fertilizante Mineral / Organomineral (Lei nº 6.894/1980)</t>
        </is>
      </c>
      <c r="J818" s="13" t="inlineStr">
        <is>
          <t>Nutrição Vegetal SIPEAGRO</t>
        </is>
      </c>
      <c r="K818" s="13" t="inlineStr">
        <is>
          <t>Fornecimento de macro e micronutrientes essenciais ao metabolismo vegetal</t>
        </is>
      </c>
      <c r="L818" s="15" t="n">
        <v>100</v>
      </c>
      <c r="M818" s="13" t="inlineStr">
        <is>
          <t>% m/m</t>
        </is>
      </c>
      <c r="N818" s="13" t="inlineStr">
        <is>
          <t>Registro Técnico Vinculado MAPA</t>
        </is>
      </c>
    </row>
    <row r="819" ht="22" customHeight="1">
      <c r="A819" s="6" t="inlineStr">
        <is>
          <t>CMP-0815</t>
        </is>
      </c>
      <c r="B819" s="5" t="n">
        <v>592</v>
      </c>
      <c r="C819" s="7" t="inlineStr">
        <is>
          <t>SIPEAGRO (UF-XXXXX)</t>
        </is>
      </c>
      <c r="D819" s="8" t="inlineStr">
        <is>
          <t>NITROBASE 30</t>
        </is>
      </c>
      <c r="E819" s="5" t="n">
        <v>2</v>
      </c>
      <c r="F819" s="7" t="inlineStr">
        <is>
          <t>Nutriente Garantido</t>
        </is>
      </c>
      <c r="G819" s="7" t="inlineStr">
        <is>
          <t>CARBONO ORGANICO</t>
        </is>
      </c>
      <c r="H819" s="7" t="inlineStr">
        <is>
          <t>Composição Nutricional Oficial (CARBONO ORGANICO)</t>
        </is>
      </c>
      <c r="I819" s="7" t="inlineStr">
        <is>
          <t>Fertilizante Mineral / Organomineral (Lei nº 6.894/1980)</t>
        </is>
      </c>
      <c r="J819" s="7" t="inlineStr">
        <is>
          <t>Nutrição Vegetal SIPEAGRO</t>
        </is>
      </c>
      <c r="K819" s="7" t="inlineStr">
        <is>
          <t>Fornecimento de macro e micronutrientes essenciais ao metabolismo vegetal</t>
        </is>
      </c>
      <c r="L819" s="9" t="n">
        <v>10</v>
      </c>
      <c r="M819" s="7" t="inlineStr">
        <is>
          <t>% m/m</t>
        </is>
      </c>
      <c r="N819" s="7" t="inlineStr">
        <is>
          <t>Registro Técnico Vinculado MAPA</t>
        </is>
      </c>
    </row>
    <row r="820" ht="22" customHeight="1">
      <c r="A820" s="12" t="inlineStr">
        <is>
          <t>CMP-0816</t>
        </is>
      </c>
      <c r="B820" s="11" t="n">
        <v>593</v>
      </c>
      <c r="C820" s="13" t="inlineStr">
        <is>
          <t>Nº 18817</t>
        </is>
      </c>
      <c r="D820" s="14" t="inlineStr">
        <is>
          <t>VERISMO</t>
        </is>
      </c>
      <c r="E820" s="11" t="n">
        <v>1</v>
      </c>
      <c r="F820" s="13" t="inlineStr">
        <is>
          <t>Ingrediente Ativo Principal</t>
        </is>
      </c>
      <c r="G820" s="13" t="inlineStr">
        <is>
          <t>METAFLUMIZONE 240</t>
        </is>
      </c>
      <c r="H820" s="13" t="inlineStr">
        <is>
          <t>(EZ)-2-[2-(4-cyanophenyl)-1-(alpha,alpha,alpha-trifluoro-m-tolyl)ethylidene]-4-(trifluoromethoxy)carbanilohydrazide</t>
        </is>
      </c>
      <c r="I820" s="13" t="inlineStr">
        <is>
          <t>Semicarbazona</t>
        </is>
      </c>
      <c r="J820" s="13" t="inlineStr">
        <is>
          <t>IRAC Grupo 22B</t>
        </is>
      </c>
      <c r="K820" s="13" t="inlineStr">
        <is>
          <t>Bloqueadores de canais de sódio dependentes de voltagem</t>
        </is>
      </c>
      <c r="L820" s="15" t="n">
        <v>240</v>
      </c>
      <c r="M820" s="13" t="inlineStr">
        <is>
          <t>g/L</t>
        </is>
      </c>
      <c r="N820" s="13" t="inlineStr">
        <is>
          <t>Registro Técnico Vinculado MAPA</t>
        </is>
      </c>
    </row>
    <row r="821" ht="22" customHeight="1">
      <c r="A821" s="6" t="inlineStr">
        <is>
          <t>CMP-0817</t>
        </is>
      </c>
      <c r="B821" s="5" t="n">
        <v>594</v>
      </c>
      <c r="C821" s="7" t="inlineStr">
        <is>
          <t>SIPEAGRO (UF-XXXXX)</t>
        </is>
      </c>
      <c r="D821" s="8" t="inlineStr">
        <is>
          <t>INOCULANTE GRAP NOD AL 1,5L</t>
        </is>
      </c>
      <c r="E821" s="5" t="n">
        <v>1</v>
      </c>
      <c r="F821" s="7" t="inlineStr">
        <is>
          <t>Agente Biológico / Cepa</t>
        </is>
      </c>
      <c r="G821" s="7" t="inlineStr">
        <is>
          <t>AZOSPIRILLUM BRASILENSE CEPAS Ab-V5 E Ab-V6 (Garantia mín. 2,0x10^8 UFC/mL)</t>
        </is>
      </c>
      <c r="H821" s="7" t="inlineStr">
        <is>
          <t>Azospirillum brasilense estirpes Ab-V5 (CNPSo 2083) e Ab-V6 (CNPSo 2084)</t>
        </is>
      </c>
      <c r="I821" s="7" t="inlineStr">
        <is>
          <t>Inoculante Biológico Fixador de Nitrogênio e Promotor de Crescimento (PGPR)</t>
        </is>
      </c>
      <c r="J821" s="7" t="inlineStr">
        <is>
          <t>Inoculante Registrado SIPEAGRO/MAPA</t>
        </is>
      </c>
      <c r="K821" s="7" t="inlineStr">
        <is>
          <t>Fixação biológica de nitrogênio (FBN) e síntese de fitormônios enraizadores (AIA)</t>
        </is>
      </c>
      <c r="L821" s="9" t="n">
        <v>100</v>
      </c>
      <c r="M821" s="7" t="inlineStr">
        <is>
          <t>% v/v (Veículo Inoculante Estéril)</t>
        </is>
      </c>
      <c r="N821" s="7" t="inlineStr">
        <is>
          <t>Registro Técnico Vinculado MAPA</t>
        </is>
      </c>
    </row>
    <row r="822" ht="22" customHeight="1">
      <c r="A822" s="12" t="inlineStr">
        <is>
          <t>CMP-0818</t>
        </is>
      </c>
      <c r="B822" s="11" t="n">
        <v>595</v>
      </c>
      <c r="C822" s="13" t="inlineStr">
        <is>
          <t>Nº 0322</t>
        </is>
      </c>
      <c r="D822" s="14" t="inlineStr">
        <is>
          <t>DORAI MAX</t>
        </is>
      </c>
      <c r="E822" s="11" t="n">
        <v>1</v>
      </c>
      <c r="F822" s="13" t="inlineStr">
        <is>
          <t>Ingrediente Ativo Principal</t>
        </is>
      </c>
      <c r="G822" s="13" t="inlineStr">
        <is>
          <t>DIQUATE ÍON 200 g/L (Dibrometo de Diquate 373,5 g/L)</t>
        </is>
      </c>
      <c r="H822" s="13" t="inlineStr">
        <is>
          <t>9,10-dihydro-8a,10a-diazoniaphenanthrene dibromide (Dibrometo de Diquate)</t>
        </is>
      </c>
      <c r="I822" s="13" t="inlineStr">
        <is>
          <t>Bipiridílio</t>
        </is>
      </c>
      <c r="J822" s="13" t="inlineStr">
        <is>
          <t>HRAC Grupo D (22) — Desviadores de Elétrons do Fotossistema I</t>
        </is>
      </c>
      <c r="K822" s="13" t="inlineStr">
        <is>
          <t>Inibidores do Fotossistema I (geração de radicais livres peróxidos)</t>
        </is>
      </c>
      <c r="L822" s="15" t="n">
        <v>200</v>
      </c>
      <c r="M822" s="13" t="inlineStr">
        <is>
          <t>g/L</t>
        </is>
      </c>
      <c r="N822" s="13" t="inlineStr">
        <is>
          <t>Registro Técnico Vinculado MAPA</t>
        </is>
      </c>
    </row>
    <row r="823" ht="22" customHeight="1">
      <c r="A823" s="6" t="inlineStr">
        <is>
          <t>CMP-0819</t>
        </is>
      </c>
      <c r="B823" s="5" t="n">
        <v>596</v>
      </c>
      <c r="C823" s="7" t="inlineStr">
        <is>
          <t>Nº 1192</t>
        </is>
      </c>
      <c r="D823" s="8" t="inlineStr">
        <is>
          <t>BULLDOCK</t>
        </is>
      </c>
      <c r="E823" s="5" t="n">
        <v>1</v>
      </c>
      <c r="F823" s="7" t="inlineStr">
        <is>
          <t>Ingrediente Ativo Principal</t>
        </is>
      </c>
      <c r="G823" s="7" t="inlineStr">
        <is>
          <t>BETA-CIFLUTRINA 125</t>
        </is>
      </c>
      <c r="H823" s="7" t="inlineStr">
        <is>
          <t>(RS)-alpha-cyano-4-fluoro-3-phenoxybenzyl (1RS,3RS;1RS,3SR)-3-(2,2-dichlorovinyl)-2,2-dimethylcyclopropanecarboxylate</t>
        </is>
      </c>
      <c r="I823" s="7" t="inlineStr">
        <is>
          <t>Piretroide (Tipo II)</t>
        </is>
      </c>
      <c r="J823" s="7" t="inlineStr">
        <is>
          <t>IRAC Grupo 3A</t>
        </is>
      </c>
      <c r="K823" s="7" t="inlineStr">
        <is>
          <t>Moduladores de canais de sódio em membranas nervosas</t>
        </is>
      </c>
      <c r="L823" s="9" t="n">
        <v>125</v>
      </c>
      <c r="M823" s="7" t="inlineStr">
        <is>
          <t>g/L</t>
        </is>
      </c>
      <c r="N823" s="7" t="inlineStr">
        <is>
          <t>Registro Técnico Vinculado MAPA</t>
        </is>
      </c>
    </row>
    <row r="824" ht="22" customHeight="1">
      <c r="A824" s="12" t="inlineStr">
        <is>
          <t>CMP-0820</t>
        </is>
      </c>
      <c r="B824" s="11" t="n">
        <v>597</v>
      </c>
      <c r="C824" s="13" t="inlineStr">
        <is>
          <t>Nº 21720</t>
        </is>
      </c>
      <c r="D824" s="14" t="inlineStr">
        <is>
          <t>MEGATRAZ</t>
        </is>
      </c>
      <c r="E824" s="11" t="n">
        <v>1</v>
      </c>
      <c r="F824" s="13" t="inlineStr">
        <is>
          <t>Ingrediente Ativo Principal</t>
        </is>
      </c>
      <c r="G824" s="13" t="inlineStr">
        <is>
          <t>ATRAZINA 500</t>
        </is>
      </c>
      <c r="H824" s="13" t="inlineStr">
        <is>
          <t>6-chloro-N2-ethyl-N4-isopropyl-1,3,5-triazine-2,4-diamine</t>
        </is>
      </c>
      <c r="I824" s="13" t="inlineStr">
        <is>
          <t>Triazina</t>
        </is>
      </c>
      <c r="J824" s="13" t="inlineStr">
        <is>
          <t>HRAC Grupo C1 (5) — Inibidores do Fotossistema II</t>
        </is>
      </c>
      <c r="K824" s="13" t="inlineStr">
        <is>
          <t>Inibição do transporte de elétrons no Fotossistema II (sítio Serina 264)</t>
        </is>
      </c>
      <c r="L824" s="15" t="n">
        <v>500</v>
      </c>
      <c r="M824" s="13" t="inlineStr">
        <is>
          <t>g/L</t>
        </is>
      </c>
      <c r="N824" s="13" t="inlineStr">
        <is>
          <t>Registro Técnico Vinculado MAPA</t>
        </is>
      </c>
    </row>
    <row r="825" ht="22" customHeight="1">
      <c r="A825" s="6" t="inlineStr">
        <is>
          <t>CMP-0821</t>
        </is>
      </c>
      <c r="B825" s="5" t="n">
        <v>598</v>
      </c>
      <c r="C825" s="7" t="inlineStr">
        <is>
          <t>SIPEAGRO (UF-XXXXX)</t>
        </is>
      </c>
      <c r="D825" s="8" t="inlineStr">
        <is>
          <t>GRUN OBER</t>
        </is>
      </c>
      <c r="E825" s="5" t="n">
        <v>1</v>
      </c>
      <c r="F825" s="7" t="inlineStr">
        <is>
          <t>Nutriente Garantido</t>
        </is>
      </c>
      <c r="G825" s="7" t="inlineStr">
        <is>
          <t>NITROGENIO</t>
        </is>
      </c>
      <c r="H825" s="7" t="inlineStr">
        <is>
          <t>Composição Nutricional Oficial (NITROGENIO)</t>
        </is>
      </c>
      <c r="I825" s="7" t="inlineStr">
        <is>
          <t>Fertilizante Mineral / Organomineral (Lei nº 6.894/1980)</t>
        </is>
      </c>
      <c r="J825" s="7" t="inlineStr">
        <is>
          <t>Nutrição Vegetal SIPEAGRO</t>
        </is>
      </c>
      <c r="K825" s="7" t="inlineStr">
        <is>
          <t>Fornecimento de macro e micronutrientes essenciais ao metabolismo vegetal</t>
        </is>
      </c>
      <c r="L825" s="9" t="n">
        <v>100</v>
      </c>
      <c r="M825" s="7" t="inlineStr">
        <is>
          <t>% m/m</t>
        </is>
      </c>
      <c r="N825" s="7" t="inlineStr">
        <is>
          <t>Registro Técnico Vinculado MAPA</t>
        </is>
      </c>
    </row>
    <row r="826" ht="22" customHeight="1">
      <c r="A826" s="12" t="inlineStr">
        <is>
          <t>CMP-0822</t>
        </is>
      </c>
      <c r="B826" s="11" t="n">
        <v>598</v>
      </c>
      <c r="C826" s="13" t="inlineStr">
        <is>
          <t>SIPEAGRO (UF-XXXXX)</t>
        </is>
      </c>
      <c r="D826" s="14" t="inlineStr">
        <is>
          <t>GRUN OBER</t>
        </is>
      </c>
      <c r="E826" s="11" t="n">
        <v>2</v>
      </c>
      <c r="F826" s="13" t="inlineStr">
        <is>
          <t>Nutriente Garantido</t>
        </is>
      </c>
      <c r="G826" s="13" t="inlineStr">
        <is>
          <t>CARBONO ORGANICO</t>
        </is>
      </c>
      <c r="H826" s="13" t="inlineStr">
        <is>
          <t>Composição Nutricional Oficial (CARBONO ORGANICO)</t>
        </is>
      </c>
      <c r="I826" s="13" t="inlineStr">
        <is>
          <t>Fertilizante Mineral / Organomineral (Lei nº 6.894/1980)</t>
        </is>
      </c>
      <c r="J826" s="13" t="inlineStr">
        <is>
          <t>Nutrição Vegetal SIPEAGRO</t>
        </is>
      </c>
      <c r="K826" s="13" t="inlineStr">
        <is>
          <t>Fornecimento de macro e micronutrientes essenciais ao metabolismo vegetal</t>
        </is>
      </c>
      <c r="L826" s="15" t="n">
        <v>10</v>
      </c>
      <c r="M826" s="13" t="inlineStr">
        <is>
          <t>% m/m</t>
        </is>
      </c>
      <c r="N826" s="13" t="inlineStr">
        <is>
          <t>Registro Técnico Vinculado MAPA</t>
        </is>
      </c>
    </row>
    <row r="827" ht="22" customHeight="1">
      <c r="A827" s="6" t="inlineStr">
        <is>
          <t>CMP-0823</t>
        </is>
      </c>
      <c r="B827" s="5" t="n">
        <v>599</v>
      </c>
      <c r="C827" s="7" t="inlineStr">
        <is>
          <t>Nº 8017</t>
        </is>
      </c>
      <c r="D827" s="8" t="inlineStr">
        <is>
          <t>BOLD</t>
        </is>
      </c>
      <c r="E827" s="5" t="n">
        <v>1</v>
      </c>
      <c r="F827" s="7" t="inlineStr">
        <is>
          <t>Ingrediente Ativo Principal</t>
        </is>
      </c>
      <c r="G827" s="7" t="inlineStr">
        <is>
          <t>ACETAMIPRIDO 725</t>
        </is>
      </c>
      <c r="H827" s="7" t="inlineStr">
        <is>
          <t>(E)-N1-[(6-chloro-3-pyridyl)methyl]-N2-cyano-N1-methylacetamidine</t>
        </is>
      </c>
      <c r="I827" s="7" t="inlineStr">
        <is>
          <t>Neonicotinoide</t>
        </is>
      </c>
      <c r="J827" s="7" t="inlineStr">
        <is>
          <t>IRAC Grupo 4A</t>
        </is>
      </c>
      <c r="K827" s="7" t="inlineStr">
        <is>
          <t>Moduladores competitivos de receptores nicotínicos da acetilcolina (nAChR)</t>
        </is>
      </c>
      <c r="L827" s="9" t="n">
        <v>725</v>
      </c>
      <c r="M827" s="7" t="inlineStr">
        <is>
          <t>g/L</t>
        </is>
      </c>
      <c r="N827" s="7" t="inlineStr">
        <is>
          <t>Registro Técnico Vinculado MAPA</t>
        </is>
      </c>
    </row>
    <row r="828" ht="22" customHeight="1">
      <c r="A828" s="12" t="inlineStr">
        <is>
          <t>CMP-0824</t>
        </is>
      </c>
      <c r="B828" s="11" t="n">
        <v>600</v>
      </c>
      <c r="C828" s="13" t="inlineStr">
        <is>
          <t>SIPEAGRO (UF-XXXXX)</t>
        </is>
      </c>
      <c r="D828" s="14" t="inlineStr">
        <is>
          <t>KALIUM</t>
        </is>
      </c>
      <c r="E828" s="11" t="n">
        <v>1</v>
      </c>
      <c r="F828" s="13" t="inlineStr">
        <is>
          <t>Nutriente Garantido</t>
        </is>
      </c>
      <c r="G828" s="13" t="inlineStr">
        <is>
          <t>POTASSIO</t>
        </is>
      </c>
      <c r="H828" s="13" t="inlineStr">
        <is>
          <t>Composição Nutricional Oficial (POTASSIO)</t>
        </is>
      </c>
      <c r="I828" s="13" t="inlineStr">
        <is>
          <t>Fertilizante Mineral / Organomineral (Lei nº 6.894/1980)</t>
        </is>
      </c>
      <c r="J828" s="13" t="inlineStr">
        <is>
          <t>Nutrição Vegetal SIPEAGRO</t>
        </is>
      </c>
      <c r="K828" s="13" t="inlineStr">
        <is>
          <t>Fornecimento de macro e micronutrientes essenciais ao metabolismo vegetal</t>
        </is>
      </c>
      <c r="L828" s="15" t="n">
        <v>100</v>
      </c>
      <c r="M828" s="13" t="inlineStr">
        <is>
          <t>% m/m</t>
        </is>
      </c>
      <c r="N828" s="13" t="inlineStr">
        <is>
          <t>Registro Técnico Vinculado MAPA</t>
        </is>
      </c>
    </row>
    <row r="829" ht="22" customHeight="1">
      <c r="A829" s="6" t="inlineStr">
        <is>
          <t>CMP-0825</t>
        </is>
      </c>
      <c r="B829" s="5" t="n">
        <v>601</v>
      </c>
      <c r="C829" s="7" t="inlineStr">
        <is>
          <t>Nº 26220</t>
        </is>
      </c>
      <c r="D829" s="8" t="inlineStr">
        <is>
          <t>VIVANTHA</t>
        </is>
      </c>
      <c r="E829" s="5" t="n">
        <v>1</v>
      </c>
      <c r="F829" s="7" t="inlineStr">
        <is>
          <t>Ingrediente Ativo Principal</t>
        </is>
      </c>
      <c r="G829" s="7" t="inlineStr">
        <is>
          <t>TIAMETOXAM 500</t>
        </is>
      </c>
      <c r="H829" s="7" t="inlineStr">
        <is>
          <t>(EZ)-3-(2-chloro-1,3-thiazol-5-ylmethyl)-5-methyl-1,3,5-oxadiazinan-4-ylidene(nitro)amine</t>
        </is>
      </c>
      <c r="I829" s="7" t="inlineStr">
        <is>
          <t>Neonicotinoide (Tianicotinil)</t>
        </is>
      </c>
      <c r="J829" s="7" t="inlineStr">
        <is>
          <t>IRAC Grupo 4A</t>
        </is>
      </c>
      <c r="K829" s="7" t="inlineStr">
        <is>
          <t>Moduladores competitivos dos receptores nicotínicos da acetilcolina (nAChR)</t>
        </is>
      </c>
      <c r="L829" s="9" t="n">
        <v>500</v>
      </c>
      <c r="M829" s="7" t="inlineStr">
        <is>
          <t>g/kg</t>
        </is>
      </c>
      <c r="N829" s="7" t="inlineStr">
        <is>
          <t>Registro Técnico Vinculado MAPA</t>
        </is>
      </c>
    </row>
    <row r="830" ht="22" customHeight="1">
      <c r="A830" s="12" t="inlineStr">
        <is>
          <t>CMP-0826</t>
        </is>
      </c>
      <c r="B830" s="11" t="n">
        <v>602</v>
      </c>
      <c r="C830" s="13" t="inlineStr">
        <is>
          <t>SIPEAGRO (UF-XXXXX)</t>
        </is>
      </c>
      <c r="D830" s="14" t="inlineStr">
        <is>
          <t>MAP - FOSFATO MONOAMONICO CRISTAL</t>
        </is>
      </c>
      <c r="E830" s="11" t="n">
        <v>1</v>
      </c>
      <c r="F830" s="13" t="inlineStr">
        <is>
          <t>Nutriente Garantido</t>
        </is>
      </c>
      <c r="G830" s="13" t="inlineStr">
        <is>
          <t>MAP PURIFICADO</t>
        </is>
      </c>
      <c r="H830" s="13" t="inlineStr">
        <is>
          <t>Composição Nutricional Oficial (MAP PURIFICADO)</t>
        </is>
      </c>
      <c r="I830" s="13" t="inlineStr">
        <is>
          <t>Fertilizante Mineral / Organomineral (Lei nº 6.894/1980)</t>
        </is>
      </c>
      <c r="J830" s="13" t="inlineStr">
        <is>
          <t>Nutrição Vegetal SIPEAGRO</t>
        </is>
      </c>
      <c r="K830" s="13" t="inlineStr">
        <is>
          <t>Fornecimento de macro e micronutrientes essenciais ao metabolismo vegetal</t>
        </is>
      </c>
      <c r="L830" s="15" t="n">
        <v>100</v>
      </c>
      <c r="M830" s="13" t="inlineStr">
        <is>
          <t>% m/m</t>
        </is>
      </c>
      <c r="N830" s="13" t="inlineStr">
        <is>
          <t>Registro Técnico Vinculado MAPA</t>
        </is>
      </c>
    </row>
    <row r="831" ht="22" customHeight="1">
      <c r="A831" s="6" t="inlineStr">
        <is>
          <t>CMP-0827</t>
        </is>
      </c>
      <c r="B831" s="5" t="n">
        <v>603</v>
      </c>
      <c r="C831" s="7" t="inlineStr">
        <is>
          <t>Nº 2509</t>
        </is>
      </c>
      <c r="D831" s="8" t="inlineStr">
        <is>
          <t>BELT</t>
        </is>
      </c>
      <c r="E831" s="5" t="n">
        <v>1</v>
      </c>
      <c r="F831" s="7" t="inlineStr">
        <is>
          <t>Ingrediente Ativo Principal</t>
        </is>
      </c>
      <c r="G831" s="7" t="inlineStr">
        <is>
          <t>FLUBENDIAMIDA 480</t>
        </is>
      </c>
      <c r="H831" s="7" t="inlineStr">
        <is>
          <t>N2-[1,1-dimethyl-2-(methylsulfonyl)ethyl]-3-iodo-N1-[2-methyl-4-[1,2,2,2-tetrafluoro-1-(trifluoromethyl)ethyl]phenyl]phthalamide</t>
        </is>
      </c>
      <c r="I831" s="7" t="inlineStr">
        <is>
          <t>Diamida do Ácido Ftálico</t>
        </is>
      </c>
      <c r="J831" s="7" t="inlineStr">
        <is>
          <t>IRAC Grupo 28</t>
        </is>
      </c>
      <c r="K831" s="7" t="inlineStr">
        <is>
          <t>Moduladores dos receptores de rianodina (RyR)</t>
        </is>
      </c>
      <c r="L831" s="9" t="n">
        <v>480</v>
      </c>
      <c r="M831" s="7" t="inlineStr">
        <is>
          <t>g/L</t>
        </is>
      </c>
      <c r="N831" s="7" t="inlineStr">
        <is>
          <t>Registro Técnico Vinculado MAPA</t>
        </is>
      </c>
    </row>
    <row r="832" ht="22" customHeight="1">
      <c r="A832" s="12" t="inlineStr">
        <is>
          <t>CMP-0828</t>
        </is>
      </c>
      <c r="B832" s="11" t="n">
        <v>604</v>
      </c>
      <c r="C832" s="13" t="inlineStr">
        <is>
          <t>SIPEAGRO (UF-XXXXX)</t>
        </is>
      </c>
      <c r="D832" s="14" t="inlineStr">
        <is>
          <t>BIOAZOS 1,5L</t>
        </is>
      </c>
      <c r="E832" s="11" t="n">
        <v>1</v>
      </c>
      <c r="F832" s="13" t="inlineStr">
        <is>
          <t>Agente Biológico / Cepa</t>
        </is>
      </c>
      <c r="G832" s="13" t="inlineStr">
        <is>
          <t>AZOSPIRILLUM BRASILENSE CEPAS Ab-V5 E Ab-V6 (Garantia mín. 2,0x10^8 UFC/mL)</t>
        </is>
      </c>
      <c r="H832" s="13" t="inlineStr">
        <is>
          <t>Azospirillum brasilense estirpes Ab-V5 (CNPSo 2083) e Ab-V6 (CNPSo 2084)</t>
        </is>
      </c>
      <c r="I832" s="13" t="inlineStr">
        <is>
          <t>Inoculante Biológico Fixador de Nitrogênio e Promotor de Crescimento (PGPR)</t>
        </is>
      </c>
      <c r="J832" s="13" t="inlineStr">
        <is>
          <t>Inoculante Registrado SIPEAGRO/MAPA</t>
        </is>
      </c>
      <c r="K832" s="13" t="inlineStr">
        <is>
          <t>Fixação biológica de nitrogênio (FBN) e síntese de fitormônios enraizadores (AIA)</t>
        </is>
      </c>
      <c r="L832" s="15" t="n">
        <v>100</v>
      </c>
      <c r="M832" s="13" t="inlineStr">
        <is>
          <t>% v/v (Veículo Inoculante Estéril)</t>
        </is>
      </c>
      <c r="N832" s="13" t="inlineStr">
        <is>
          <t>Registro Técnico Vinculado MAPA</t>
        </is>
      </c>
    </row>
    <row r="833" ht="22" customHeight="1">
      <c r="A833" s="6" t="inlineStr">
        <is>
          <t>CMP-0829</t>
        </is>
      </c>
      <c r="B833" s="5" t="n">
        <v>605</v>
      </c>
      <c r="C833" s="7" t="inlineStr">
        <is>
          <t>Nº 4899</t>
        </is>
      </c>
      <c r="D833" s="8" t="inlineStr">
        <is>
          <t>CERTERO SC</t>
        </is>
      </c>
      <c r="E833" s="5" t="n">
        <v>1</v>
      </c>
      <c r="F833" s="7" t="inlineStr">
        <is>
          <t>Ingrediente Ativo Principal</t>
        </is>
      </c>
      <c r="G833" s="7" t="inlineStr">
        <is>
          <t>TRIFLUMUROM</t>
        </is>
      </c>
      <c r="H833" s="7" t="inlineStr">
        <is>
          <t>1-(2-chlorobenzoyl)-3-(4-trifluoromethoxyphenyl)urea</t>
        </is>
      </c>
      <c r="I833" s="7" t="inlineStr">
        <is>
          <t>Benzoilureia</t>
        </is>
      </c>
      <c r="J833" s="7" t="inlineStr">
        <is>
          <t>IRAC Grupo 15</t>
        </is>
      </c>
      <c r="K833" s="7" t="inlineStr">
        <is>
          <t>Inibidores da biossíntese de quitina, Tipo 0</t>
        </is>
      </c>
      <c r="L833" s="9" t="n">
        <v>480</v>
      </c>
      <c r="M833" s="7" t="inlineStr">
        <is>
          <t>g/L</t>
        </is>
      </c>
      <c r="N833" s="7" t="inlineStr">
        <is>
          <t>Triflumuron Técnico Bayer</t>
        </is>
      </c>
    </row>
    <row r="834" ht="22" customHeight="1">
      <c r="A834" s="12" t="inlineStr">
        <is>
          <t>CMP-0830</t>
        </is>
      </c>
      <c r="B834" s="11" t="n">
        <v>606</v>
      </c>
      <c r="C834" s="13" t="inlineStr">
        <is>
          <t>Nº 6105</t>
        </is>
      </c>
      <c r="D834" s="14" t="inlineStr">
        <is>
          <t>ENGEO PLENO S</t>
        </is>
      </c>
      <c r="E834" s="11" t="n">
        <v>1</v>
      </c>
      <c r="F834" s="13" t="inlineStr">
        <is>
          <t>Ingrediente Ativo Principal</t>
        </is>
      </c>
      <c r="G834" s="13" t="inlineStr">
        <is>
          <t>TIAMETOXAM</t>
        </is>
      </c>
      <c r="H834" s="13" t="inlineStr">
        <is>
          <t>(EZ)-3-(2-chloro-1,3-thiazol-5-ylmethyl)-5-methyl-1,3,5-oxadiazinan-4-ylidene(nitro)amine</t>
        </is>
      </c>
      <c r="I834" s="13" t="inlineStr">
        <is>
          <t>Neonicotinoide (Tianicotinil)</t>
        </is>
      </c>
      <c r="J834" s="13" t="inlineStr">
        <is>
          <t>IRAC Grupo 4A</t>
        </is>
      </c>
      <c r="K834" s="13" t="inlineStr">
        <is>
          <t>Moduladores competitivos dos receptores nicotínicos da acetilcolina (nAChR)</t>
        </is>
      </c>
      <c r="L834" s="15" t="n">
        <v>141</v>
      </c>
      <c r="M834" s="13" t="inlineStr">
        <is>
          <t>g/L</t>
        </is>
      </c>
      <c r="N834" s="13" t="inlineStr">
        <is>
          <t>Thiamethoxam Técnico Syngenta</t>
        </is>
      </c>
    </row>
    <row r="835" ht="22" customHeight="1">
      <c r="A835" s="6" t="inlineStr">
        <is>
          <t>CMP-0831</t>
        </is>
      </c>
      <c r="B835" s="5" t="n">
        <v>606</v>
      </c>
      <c r="C835" s="7" t="inlineStr">
        <is>
          <t>Nº 6105</t>
        </is>
      </c>
      <c r="D835" s="8" t="inlineStr">
        <is>
          <t>ENGEO PLENO S</t>
        </is>
      </c>
      <c r="E835" s="5" t="n">
        <v>2</v>
      </c>
      <c r="F835" s="7" t="inlineStr">
        <is>
          <t>Ingrediente Ativo Principal</t>
        </is>
      </c>
      <c r="G835" s="7" t="inlineStr">
        <is>
          <t>LAMBDA-CIALOTRINA</t>
        </is>
      </c>
      <c r="H835" s="7" t="inlineStr">
        <is>
          <t>(R)-a-cyano-3-phenoxybenzyl (1S,3S)-3-[(Z)-2-chloro-3,3,3-trifluoropropenyl]-2,2-dimethylcyclopropanecarboxylate</t>
        </is>
      </c>
      <c r="I835" s="7" t="inlineStr">
        <is>
          <t>Piretroide (Tipo II)</t>
        </is>
      </c>
      <c r="J835" s="7" t="inlineStr">
        <is>
          <t>IRAC Grupo 3A</t>
        </is>
      </c>
      <c r="K835" s="7" t="inlineStr">
        <is>
          <t>Moduladores de canais de sódio em membranas nervosas</t>
        </is>
      </c>
      <c r="L835" s="9" t="n">
        <v>106</v>
      </c>
      <c r="M835" s="7" t="inlineStr">
        <is>
          <t>g/L</t>
        </is>
      </c>
      <c r="N835" s="7" t="inlineStr">
        <is>
          <t>Lambda-Cyhalothrin Técnico Syngenta</t>
        </is>
      </c>
    </row>
    <row r="836" ht="22" customHeight="1">
      <c r="A836" s="12" t="inlineStr">
        <is>
          <t>CMP-0832</t>
        </is>
      </c>
      <c r="B836" s="11" t="n">
        <v>607</v>
      </c>
      <c r="C836" s="13" t="inlineStr">
        <is>
          <t>Nº 5108</t>
        </is>
      </c>
      <c r="D836" s="14" t="inlineStr">
        <is>
          <t>SOBERAN SC</t>
        </is>
      </c>
      <c r="E836" s="11" t="n">
        <v>1</v>
      </c>
      <c r="F836" s="13" t="inlineStr">
        <is>
          <t>Ingrediente Ativo Principal</t>
        </is>
      </c>
      <c r="G836" s="13" t="inlineStr">
        <is>
          <t>TEMBOTRIONA 420</t>
        </is>
      </c>
      <c r="H836" s="13" t="inlineStr">
        <is>
          <t>2-{2-chloro-4-mesyl-3-[(2,2,2-trifluoroethoxy)methyl]benzoyl}cyclohexane-1,3-dione</t>
        </is>
      </c>
      <c r="I836" s="13" t="inlineStr">
        <is>
          <t>Tricetona</t>
        </is>
      </c>
      <c r="J836" s="13" t="inlineStr">
        <is>
          <t>HRAC Grupo F2 (27) — Inibidores da HPPD</t>
        </is>
      </c>
      <c r="K836" s="13" t="inlineStr">
        <is>
          <t>Inibição da enzima 4-hidroxifenilpiruvato dioxigenase (HPPD)</t>
        </is>
      </c>
      <c r="L836" s="15" t="n">
        <v>420</v>
      </c>
      <c r="M836" s="13" t="inlineStr">
        <is>
          <t>g/L</t>
        </is>
      </c>
      <c r="N836" s="13" t="inlineStr">
        <is>
          <t>Registro Técnico Vinculado MAPA</t>
        </is>
      </c>
    </row>
    <row r="837" ht="22" customHeight="1">
      <c r="A837" s="6" t="inlineStr">
        <is>
          <t>CMP-0833</t>
        </is>
      </c>
      <c r="B837" s="5" t="n">
        <v>608</v>
      </c>
      <c r="C837" s="7" t="inlineStr">
        <is>
          <t>Nº 4822</t>
        </is>
      </c>
      <c r="D837" s="8" t="inlineStr">
        <is>
          <t>FEROCE</t>
        </is>
      </c>
      <c r="E837" s="5" t="n">
        <v>1</v>
      </c>
      <c r="F837" s="7" t="inlineStr">
        <is>
          <t>Ingrediente Ativo Principal</t>
        </is>
      </c>
      <c r="G837" s="7" t="inlineStr">
        <is>
          <t>ACEFATO 850</t>
        </is>
      </c>
      <c r="H837" s="7" t="inlineStr">
        <is>
          <t>O,S-dimethyl acetylphosphoramidothioate</t>
        </is>
      </c>
      <c r="I837" s="7" t="inlineStr">
        <is>
          <t>Organofosforado</t>
        </is>
      </c>
      <c r="J837" s="7" t="inlineStr">
        <is>
          <t>IRAC Grupo 1B</t>
        </is>
      </c>
      <c r="K837" s="7" t="inlineStr">
        <is>
          <t>Inibidores da enzima acetilcolinesterase (AChE)</t>
        </is>
      </c>
      <c r="L837" s="9" t="n">
        <v>850</v>
      </c>
      <c r="M837" s="7" t="inlineStr">
        <is>
          <t>g/kg</t>
        </is>
      </c>
      <c r="N837" s="7" t="inlineStr">
        <is>
          <t>Registro Técnico Vinculado MAPA</t>
        </is>
      </c>
    </row>
    <row r="838" ht="22" customHeight="1">
      <c r="A838" s="12" t="inlineStr">
        <is>
          <t>CMP-0834</t>
        </is>
      </c>
      <c r="B838" s="11" t="n">
        <v>609</v>
      </c>
      <c r="C838" s="13" t="inlineStr">
        <is>
          <t>Nº 8514</t>
        </is>
      </c>
      <c r="D838" s="14" t="inlineStr">
        <is>
          <t>GLIFORTE</t>
        </is>
      </c>
      <c r="E838" s="11" t="n">
        <v>1</v>
      </c>
      <c r="F838" s="13" t="inlineStr">
        <is>
          <t>Ingrediente Ativo Principal</t>
        </is>
      </c>
      <c r="G838" s="13" t="inlineStr">
        <is>
          <t>GLIFOSATO 480</t>
        </is>
      </c>
      <c r="H838" s="13" t="inlineStr">
        <is>
          <t>N-(phosphonomethyl)glycine (Sal de Amônio / Isopropilamina / Potássico)</t>
        </is>
      </c>
      <c r="I838" s="13" t="inlineStr">
        <is>
          <t>Glicina substituída</t>
        </is>
      </c>
      <c r="J838" s="13" t="inlineStr">
        <is>
          <t>HRAC Grupo G (EPSPs)</t>
        </is>
      </c>
      <c r="K838" s="13" t="inlineStr">
        <is>
          <t>Inibidores da enzima EPSPs (Enoil Piruvil Shiquimato Fosfato Sintase)</t>
        </is>
      </c>
      <c r="L838" s="15" t="n">
        <v>480</v>
      </c>
      <c r="M838" s="13" t="inlineStr">
        <is>
          <t>g/kg</t>
        </is>
      </c>
      <c r="N838" s="13" t="inlineStr">
        <is>
          <t>Registro Técnico Vinculado MAPA</t>
        </is>
      </c>
    </row>
    <row r="839" ht="22" customHeight="1">
      <c r="A839" s="6" t="inlineStr">
        <is>
          <t>CMP-0835</t>
        </is>
      </c>
      <c r="B839" s="5" t="n">
        <v>610</v>
      </c>
      <c r="C839" s="7" t="inlineStr">
        <is>
          <t>Nº 8806</t>
        </is>
      </c>
      <c r="D839" s="8" t="inlineStr">
        <is>
          <t>IMUNIT</t>
        </is>
      </c>
      <c r="E839" s="5" t="n">
        <v>1</v>
      </c>
      <c r="F839" s="7" t="inlineStr">
        <is>
          <t>Ingrediente Ativo Principal</t>
        </is>
      </c>
      <c r="G839" s="7" t="inlineStr">
        <is>
          <t>ALFA-CIPERMETRINA</t>
        </is>
      </c>
      <c r="H839" s="7" t="inlineStr">
        <is>
          <t>Racemato de (S)-alfa-ciano-3-fenoxibenzil (1R,3R)-3-(2,2-diclorovinil)-2,2-dimetilciclopropanocarboxilato</t>
        </is>
      </c>
      <c r="I839" s="7" t="inlineStr">
        <is>
          <t>Piretroide (Tipo II)</t>
        </is>
      </c>
      <c r="J839" s="7" t="inlineStr">
        <is>
          <t>IRAC Grupo 3A</t>
        </is>
      </c>
      <c r="K839" s="7" t="inlineStr">
        <is>
          <t>Moduladores de canais de sódio em membranas nervosas</t>
        </is>
      </c>
      <c r="L839" s="9" t="n">
        <v>75</v>
      </c>
      <c r="M839" s="7" t="inlineStr">
        <is>
          <t>g/L</t>
        </is>
      </c>
      <c r="N839" s="7" t="inlineStr">
        <is>
          <t>Alfa-Cipermetrina Técnico BASF</t>
        </is>
      </c>
    </row>
    <row r="840" ht="22" customHeight="1">
      <c r="A840" s="12" t="inlineStr">
        <is>
          <t>CMP-0836</t>
        </is>
      </c>
      <c r="B840" s="11" t="n">
        <v>610</v>
      </c>
      <c r="C840" s="13" t="inlineStr">
        <is>
          <t>Nº 8806</t>
        </is>
      </c>
      <c r="D840" s="14" t="inlineStr">
        <is>
          <t>IMUNIT</t>
        </is>
      </c>
      <c r="E840" s="11" t="n">
        <v>2</v>
      </c>
      <c r="F840" s="13" t="inlineStr">
        <is>
          <t>Ingrediente Ativo Principal</t>
        </is>
      </c>
      <c r="G840" s="13" t="inlineStr">
        <is>
          <t>TEFLUBENZUROM</t>
        </is>
      </c>
      <c r="H840" s="13" t="inlineStr">
        <is>
          <t>1-(3,5-dichloro-2,4-difluorophenyl)-3-(2,6-difluorobenzoyl)urea</t>
        </is>
      </c>
      <c r="I840" s="13" t="inlineStr">
        <is>
          <t>Benzoilureia</t>
        </is>
      </c>
      <c r="J840" s="13" t="inlineStr">
        <is>
          <t>IRAC Grupo 15</t>
        </is>
      </c>
      <c r="K840" s="13" t="inlineStr">
        <is>
          <t>Inibidores da biossíntese de quitina, Tipo 0</t>
        </is>
      </c>
      <c r="L840" s="15" t="n">
        <v>75</v>
      </c>
      <c r="M840" s="13" t="inlineStr">
        <is>
          <t>g/L</t>
        </is>
      </c>
      <c r="N840" s="13" t="inlineStr">
        <is>
          <t>Teflubenzuron Técnico BASF</t>
        </is>
      </c>
    </row>
    <row r="841" ht="22" customHeight="1">
      <c r="A841" s="6" t="inlineStr">
        <is>
          <t>CMP-0837</t>
        </is>
      </c>
      <c r="B841" s="5" t="n">
        <v>611</v>
      </c>
      <c r="C841" s="7" t="inlineStr">
        <is>
          <t>SIPEAGRO (UF-XXXXX)</t>
        </is>
      </c>
      <c r="D841" s="8" t="inlineStr">
        <is>
          <t>INOCULANTE GRAP NOD+ 1X1,5KG</t>
        </is>
      </c>
      <c r="E841" s="5" t="n">
        <v>1</v>
      </c>
      <c r="F841" s="7" t="inlineStr">
        <is>
          <t>Agente Biológico / Cepa</t>
        </is>
      </c>
      <c r="G841" s="7" t="inlineStr">
        <is>
          <t>AZOSPIRILLUM BRASILENSE CEPAS Ab-V5 E Ab-V6 (Garantia mín. 2,0x10^8 UFC/mL)</t>
        </is>
      </c>
      <c r="H841" s="7" t="inlineStr">
        <is>
          <t>Azospirillum brasilense estirpes Ab-V5 (CNPSo 2083) e Ab-V6 (CNPSo 2084)</t>
        </is>
      </c>
      <c r="I841" s="7" t="inlineStr">
        <is>
          <t>Inoculante Biológico Fixador de Nitrogênio e Promotor de Crescimento (PGPR)</t>
        </is>
      </c>
      <c r="J841" s="7" t="inlineStr">
        <is>
          <t>Inoculante Registrado SIPEAGRO/MAPA</t>
        </is>
      </c>
      <c r="K841" s="7" t="inlineStr">
        <is>
          <t>Fixação biológica de nitrogênio (FBN) e síntese de fitormônios enraizadores (AIA)</t>
        </is>
      </c>
      <c r="L841" s="9" t="n">
        <v>100</v>
      </c>
      <c r="M841" s="7" t="inlineStr">
        <is>
          <t>% m/m (Turfa/Veículo Sólido)</t>
        </is>
      </c>
      <c r="N841" s="7" t="inlineStr">
        <is>
          <t>Registro Técnico Vinculado MAPA</t>
        </is>
      </c>
    </row>
    <row r="842" ht="22" customHeight="1">
      <c r="A842" s="12" t="inlineStr">
        <is>
          <t>CMP-0838</t>
        </is>
      </c>
      <c r="B842" s="11" t="n">
        <v>612</v>
      </c>
      <c r="C842" s="13" t="inlineStr">
        <is>
          <t>SIPEAGRO (UF-XXXXX)</t>
        </is>
      </c>
      <c r="D842" s="14" t="inlineStr">
        <is>
          <t>NITROBASE Z21</t>
        </is>
      </c>
      <c r="E842" s="11" t="n">
        <v>1</v>
      </c>
      <c r="F842" s="13" t="inlineStr">
        <is>
          <t>Nutriente Garantido</t>
        </is>
      </c>
      <c r="G842" s="13" t="inlineStr">
        <is>
          <t>NITROGENIO</t>
        </is>
      </c>
      <c r="H842" s="13" t="inlineStr">
        <is>
          <t>Composição Nutricional Oficial (NITROGENIO)</t>
        </is>
      </c>
      <c r="I842" s="13" t="inlineStr">
        <is>
          <t>Fertilizante Mineral / Organomineral (Lei nº 6.894/1980)</t>
        </is>
      </c>
      <c r="J842" s="13" t="inlineStr">
        <is>
          <t>Nutrição Vegetal SIPEAGRO</t>
        </is>
      </c>
      <c r="K842" s="13" t="inlineStr">
        <is>
          <t>Fornecimento de macro e micronutrientes essenciais ao metabolismo vegetal</t>
        </is>
      </c>
      <c r="L842" s="15" t="n">
        <v>100</v>
      </c>
      <c r="M842" s="13" t="inlineStr">
        <is>
          <t>% m/m</t>
        </is>
      </c>
      <c r="N842" s="13" t="inlineStr">
        <is>
          <t>Registro Técnico Vinculado MAPA</t>
        </is>
      </c>
    </row>
    <row r="843" ht="22" customHeight="1">
      <c r="A843" s="6" t="inlineStr">
        <is>
          <t>CMP-0839</t>
        </is>
      </c>
      <c r="B843" s="5" t="n">
        <v>612</v>
      </c>
      <c r="C843" s="7" t="inlineStr">
        <is>
          <t>SIPEAGRO (UF-XXXXX)</t>
        </is>
      </c>
      <c r="D843" s="8" t="inlineStr">
        <is>
          <t>NITROBASE Z21</t>
        </is>
      </c>
      <c r="E843" s="5" t="n">
        <v>2</v>
      </c>
      <c r="F843" s="7" t="inlineStr">
        <is>
          <t>Nutriente Garantido</t>
        </is>
      </c>
      <c r="G843" s="7" t="inlineStr">
        <is>
          <t>CARBONO ORGANICO</t>
        </is>
      </c>
      <c r="H843" s="7" t="inlineStr">
        <is>
          <t>Composição Nutricional Oficial (CARBONO ORGANICO)</t>
        </is>
      </c>
      <c r="I843" s="7" t="inlineStr">
        <is>
          <t>Fertilizante Mineral / Organomineral (Lei nº 6.894/1980)</t>
        </is>
      </c>
      <c r="J843" s="7" t="inlineStr">
        <is>
          <t>Nutrição Vegetal SIPEAGRO</t>
        </is>
      </c>
      <c r="K843" s="7" t="inlineStr">
        <is>
          <t>Fornecimento de macro e micronutrientes essenciais ao metabolismo vegetal</t>
        </is>
      </c>
      <c r="L843" s="9" t="n">
        <v>10</v>
      </c>
      <c r="M843" s="7" t="inlineStr">
        <is>
          <t>% m/m</t>
        </is>
      </c>
      <c r="N843" s="7" t="inlineStr">
        <is>
          <t>Registro Técnico Vinculado MAPA</t>
        </is>
      </c>
    </row>
    <row r="844" ht="22" customHeight="1">
      <c r="A844" s="12" t="inlineStr">
        <is>
          <t>CMP-0840</t>
        </is>
      </c>
      <c r="B844" s="11" t="n">
        <v>613</v>
      </c>
      <c r="C844" s="13" t="inlineStr">
        <is>
          <t>SIPEAGRO (UF-XXXXX)</t>
        </is>
      </c>
      <c r="D844" s="14" t="inlineStr">
        <is>
          <t>RESISTANCE DRILLFLY</t>
        </is>
      </c>
      <c r="E844" s="11" t="n">
        <v>1</v>
      </c>
      <c r="F844" s="13" t="inlineStr">
        <is>
          <t>Nutriente Garantido</t>
        </is>
      </c>
      <c r="G844" s="13" t="inlineStr">
        <is>
          <t>FERTILIZANTES</t>
        </is>
      </c>
      <c r="H844" s="13" t="inlineStr">
        <is>
          <t>Composição Nutricional Oficial (FERTILIZANTES)</t>
        </is>
      </c>
      <c r="I844" s="13" t="inlineStr">
        <is>
          <t>Fertilizante Mineral / Organomineral (Lei nº 6.894/1980)</t>
        </is>
      </c>
      <c r="J844" s="13" t="inlineStr">
        <is>
          <t>Nutrição Vegetal SIPEAGRO</t>
        </is>
      </c>
      <c r="K844" s="13" t="inlineStr">
        <is>
          <t>Fornecimento de macro e micronutrientes essenciais ao metabolismo vegetal</t>
        </is>
      </c>
      <c r="L844" s="15" t="n">
        <v>100</v>
      </c>
      <c r="M844" s="13" t="inlineStr">
        <is>
          <t>% m/m</t>
        </is>
      </c>
      <c r="N844" s="13" t="inlineStr">
        <is>
          <t>Registro Técnico Vinculado MAPA</t>
        </is>
      </c>
    </row>
    <row r="845" ht="22" customHeight="1">
      <c r="A845" s="6" t="inlineStr">
        <is>
          <t>CMP-0841</t>
        </is>
      </c>
      <c r="B845" s="5" t="n">
        <v>614</v>
      </c>
      <c r="C845" s="7" t="inlineStr">
        <is>
          <t>Nº 13709</t>
        </is>
      </c>
      <c r="D845" s="8" t="inlineStr">
        <is>
          <t>SEIZER 100 EC</t>
        </is>
      </c>
      <c r="E845" s="5" t="n">
        <v>1</v>
      </c>
      <c r="F845" s="7" t="inlineStr">
        <is>
          <t>Ingrediente Ativo Principal</t>
        </is>
      </c>
      <c r="G845" s="7" t="inlineStr">
        <is>
          <t>BIFENTRINA 100</t>
        </is>
      </c>
      <c r="H845" s="7" t="inlineStr">
        <is>
          <t>2-methylbiphenyl-3-ylmethyl (Z)-(1RS,3RS)-3-(2-chloro-3,3,3-trifluoroprop-1-enyl)-2,2-dimethylcyclopropanecarboxylate</t>
        </is>
      </c>
      <c r="I845" s="7" t="inlineStr">
        <is>
          <t>Piretroide (Tipo I)</t>
        </is>
      </c>
      <c r="J845" s="7" t="inlineStr">
        <is>
          <t>IRAC Grupo 3A</t>
        </is>
      </c>
      <c r="K845" s="7" t="inlineStr">
        <is>
          <t>Moduladores de canais de sódio em membranas nervosas</t>
        </is>
      </c>
      <c r="L845" s="9" t="n">
        <v>100</v>
      </c>
      <c r="M845" s="7" t="inlineStr">
        <is>
          <t>g/L</t>
        </is>
      </c>
      <c r="N845" s="7" t="inlineStr">
        <is>
          <t>Registro Técnico Vinculado MAPA</t>
        </is>
      </c>
    </row>
    <row r="846" ht="22" customHeight="1">
      <c r="A846" s="12" t="inlineStr">
        <is>
          <t>CMP-0842</t>
        </is>
      </c>
      <c r="B846" s="11" t="n">
        <v>615</v>
      </c>
      <c r="C846" s="13" t="inlineStr">
        <is>
          <t>Nº 3994</t>
        </is>
      </c>
      <c r="D846" s="14" t="inlineStr">
        <is>
          <t>SIALEX 500</t>
        </is>
      </c>
      <c r="E846" s="11" t="n">
        <v>1</v>
      </c>
      <c r="F846" s="13" t="inlineStr">
        <is>
          <t>Ingrediente Ativo Principal</t>
        </is>
      </c>
      <c r="G846" s="13" t="inlineStr">
        <is>
          <t>TIOFANATO METILICO 500</t>
        </is>
      </c>
      <c r="H846" s="13" t="inlineStr">
        <is>
          <t>Dimethyl 4,4'-(o-phenylene)bis(3-thioallophanate)</t>
        </is>
      </c>
      <c r="I846" s="13" t="inlineStr">
        <is>
          <t>Benzimidazol (Precursor de MBC)</t>
        </is>
      </c>
      <c r="J846" s="13" t="inlineStr">
        <is>
          <t>FRAC Grupo 1 (MBC)</t>
        </is>
      </c>
      <c r="K846" s="13" t="inlineStr">
        <is>
          <t>Inibidores da montagem de beta-tubulina na mitose celular</t>
        </is>
      </c>
      <c r="L846" s="15" t="n">
        <v>500</v>
      </c>
      <c r="M846" s="13" t="inlineStr">
        <is>
          <t>g/kg</t>
        </is>
      </c>
      <c r="N846" s="13" t="inlineStr">
        <is>
          <t>Registro Técnico Vinculado MAPA</t>
        </is>
      </c>
    </row>
    <row r="847" ht="22" customHeight="1">
      <c r="A847" s="6" t="inlineStr">
        <is>
          <t>CMP-0843</t>
        </is>
      </c>
      <c r="B847" s="5" t="n">
        <v>616</v>
      </c>
      <c r="C847" s="7" t="inlineStr">
        <is>
          <t>Nº 28920</t>
        </is>
      </c>
      <c r="D847" s="8" t="inlineStr">
        <is>
          <t>SONDA</t>
        </is>
      </c>
      <c r="E847" s="5" t="n">
        <v>1</v>
      </c>
      <c r="F847" s="7" t="inlineStr">
        <is>
          <t>Ingrediente Ativo Principal</t>
        </is>
      </c>
      <c r="G847" s="7" t="inlineStr">
        <is>
          <t>TERBUTILAZINA 500</t>
        </is>
      </c>
      <c r="H847" s="7" t="inlineStr">
        <is>
          <t>N2-tert-butyl-6-chloro-N4-ethyl-1,3,5-triazine-2,4-diamine</t>
        </is>
      </c>
      <c r="I847" s="7" t="inlineStr">
        <is>
          <t>Triazina (Clorotriazina)</t>
        </is>
      </c>
      <c r="J847" s="7" t="inlineStr">
        <is>
          <t>HRAC Grupo C1 (5) — Inibidores do Fotossistema II</t>
        </is>
      </c>
      <c r="K847" s="7" t="inlineStr">
        <is>
          <t>Inibição do transporte de elétrons no Fotossistema II</t>
        </is>
      </c>
      <c r="L847" s="9" t="n">
        <v>500</v>
      </c>
      <c r="M847" s="7" t="inlineStr">
        <is>
          <t>g/L</t>
        </is>
      </c>
      <c r="N847" s="7" t="inlineStr">
        <is>
          <t>Registro Técnico Vinculado MAPA</t>
        </is>
      </c>
    </row>
    <row r="848" ht="22" customHeight="1">
      <c r="A848" s="12" t="inlineStr">
        <is>
          <t>CMP-0844</t>
        </is>
      </c>
      <c r="B848" s="11" t="n">
        <v>617</v>
      </c>
      <c r="C848" s="13" t="inlineStr">
        <is>
          <t>Nº 6210</t>
        </is>
      </c>
      <c r="D848" s="14" t="inlineStr">
        <is>
          <t>STATUS</t>
        </is>
      </c>
      <c r="E848" s="11" t="n">
        <v>1</v>
      </c>
      <c r="F848" s="13" t="inlineStr">
        <is>
          <t>Ingrediente Ativo Principal</t>
        </is>
      </c>
      <c r="G848" s="13" t="inlineStr">
        <is>
          <t>OXICLORETO DE COBRE (Equiv. 350 g/L Cu metálico)</t>
        </is>
      </c>
      <c r="H848" s="13" t="inlineStr">
        <is>
          <t>Dicopper chloride trihydroxide (Cu2Cl(OH)3)</t>
        </is>
      </c>
      <c r="I848" s="13" t="inlineStr">
        <is>
          <t>Inorgânico Cúprico</t>
        </is>
      </c>
      <c r="J848" s="13" t="inlineStr">
        <is>
          <t>FRAC Grupo M01 — Multissítio Inorgânico</t>
        </is>
      </c>
      <c r="K848" s="13" t="inlineStr">
        <is>
          <t>Inativação multissítio de enzimas e proteínas celulares por íons Cu2+</t>
        </is>
      </c>
      <c r="L848" s="15" t="n">
        <v>588</v>
      </c>
      <c r="M848" s="13" t="inlineStr">
        <is>
          <t>g/L</t>
        </is>
      </c>
      <c r="N848" s="13" t="inlineStr">
        <is>
          <t>Oxicloreto de Cobre Técnico Oxiquímica</t>
        </is>
      </c>
    </row>
    <row r="849" ht="22" customHeight="1">
      <c r="A849" s="6" t="inlineStr">
        <is>
          <t>CMP-0845</t>
        </is>
      </c>
      <c r="B849" s="5" t="n">
        <v>618</v>
      </c>
      <c r="C849" s="7" t="inlineStr">
        <is>
          <t>SIPEAGRO (UF-XXXXX)</t>
        </is>
      </c>
      <c r="D849" s="8" t="inlineStr">
        <is>
          <t>VITAL BORO POLYOL</t>
        </is>
      </c>
      <c r="E849" s="5" t="n">
        <v>1</v>
      </c>
      <c r="F849" s="7" t="inlineStr">
        <is>
          <t>Nutriente Garantido</t>
        </is>
      </c>
      <c r="G849" s="7" t="inlineStr">
        <is>
          <t>FERTILIZANTES</t>
        </is>
      </c>
      <c r="H849" s="7" t="inlineStr">
        <is>
          <t>Composição Nutricional Oficial (FERTILIZANTES)</t>
        </is>
      </c>
      <c r="I849" s="7" t="inlineStr">
        <is>
          <t>Fertilizante Mineral / Organomineral (Lei nº 6.894/1980)</t>
        </is>
      </c>
      <c r="J849" s="7" t="inlineStr">
        <is>
          <t>Nutrição Vegetal SIPEAGRO</t>
        </is>
      </c>
      <c r="K849" s="7" t="inlineStr">
        <is>
          <t>Fornecimento de macro e micronutrientes essenciais ao metabolismo vegetal</t>
        </is>
      </c>
      <c r="L849" s="9" t="n">
        <v>100</v>
      </c>
      <c r="M849" s="7" t="inlineStr">
        <is>
          <t>% m/m</t>
        </is>
      </c>
      <c r="N849" s="7" t="inlineStr">
        <is>
          <t>Registro Técnico Vinculado MAPA</t>
        </is>
      </c>
    </row>
    <row r="850" ht="22" customHeight="1">
      <c r="A850" s="12" t="inlineStr">
        <is>
          <t>CMP-0846</t>
        </is>
      </c>
      <c r="B850" s="11" t="n">
        <v>619</v>
      </c>
      <c r="C850" s="13" t="inlineStr">
        <is>
          <t>Nº 32717</t>
        </is>
      </c>
      <c r="D850" s="14" t="inlineStr">
        <is>
          <t>VOTIVO PRIME</t>
        </is>
      </c>
      <c r="E850" s="11" t="n">
        <v>1</v>
      </c>
      <c r="F850" s="13" t="inlineStr">
        <is>
          <t>Agente Biológico / Cepa</t>
        </is>
      </c>
      <c r="G850" s="13" t="inlineStr">
        <is>
          <t>BACILLUS FIRMUS CEPA I-1582 (mín. 4,0x10^9 UFC/g)</t>
        </is>
      </c>
      <c r="H850" s="13" t="inlineStr">
        <is>
          <t>Bacillus firmus cepa I-1582</t>
        </is>
      </c>
      <c r="I850" s="13" t="inlineStr">
        <is>
          <t>Agente Microbiológico / Rizobactéria (Bionematicida)</t>
        </is>
      </c>
      <c r="J850" s="13" t="inlineStr">
        <is>
          <t>Bionematicida Microbiológico (MAPA)</t>
        </is>
      </c>
      <c r="K850" s="13" t="inlineStr">
        <is>
          <t>Parasitismo e degradação enzimática do córion de ovos de fitonematoides e desorientação radicular</t>
        </is>
      </c>
      <c r="L850" s="15" t="n">
        <v>240</v>
      </c>
      <c r="M850" s="13" t="inlineStr">
        <is>
          <t>g/L</t>
        </is>
      </c>
      <c r="N850" s="13" t="inlineStr">
        <is>
          <t>Cepa Própria I-1582 (BASF)</t>
        </is>
      </c>
    </row>
    <row r="851" ht="22" customHeight="1">
      <c r="A851" s="6" t="inlineStr">
        <is>
          <t>CMP-0847</t>
        </is>
      </c>
      <c r="B851" s="5" t="n">
        <v>620</v>
      </c>
      <c r="C851" s="7" t="inlineStr">
        <is>
          <t>Nº 2506</t>
        </is>
      </c>
      <c r="D851" s="8" t="inlineStr">
        <is>
          <t>CROPSTAR FS 600</t>
        </is>
      </c>
      <c r="E851" s="5" t="n">
        <v>1</v>
      </c>
      <c r="F851" s="7" t="inlineStr">
        <is>
          <t>Ingrediente Ativo Principal</t>
        </is>
      </c>
      <c r="G851" s="7" t="inlineStr">
        <is>
          <t>TIODICARBE 450</t>
        </is>
      </c>
      <c r="H851" s="7" t="inlineStr">
        <is>
          <t>3,7,9,13-tetramethyl-5,11-dioxa-2,8,14-trithia-4,7,9,12-tetra-azapentadeca-3,12-diene-6,10-dione</t>
        </is>
      </c>
      <c r="I851" s="7" t="inlineStr">
        <is>
          <t>Metilcarbamato de Oxima</t>
        </is>
      </c>
      <c r="J851" s="7" t="inlineStr">
        <is>
          <t>IRAC Grupo 1A</t>
        </is>
      </c>
      <c r="K851" s="7" t="inlineStr">
        <is>
          <t>Inibidores da acetilcolinesterase (AChE)</t>
        </is>
      </c>
      <c r="L851" s="9" t="n">
        <v>450</v>
      </c>
      <c r="M851" s="7" t="inlineStr">
        <is>
          <t>g/L</t>
        </is>
      </c>
      <c r="N851" s="7" t="inlineStr">
        <is>
          <t>Registro Técnico Vinculado MAPA</t>
        </is>
      </c>
    </row>
    <row r="852" ht="22" customHeight="1">
      <c r="A852" s="12" t="inlineStr">
        <is>
          <t>CMP-0848</t>
        </is>
      </c>
      <c r="B852" s="11" t="n">
        <v>620</v>
      </c>
      <c r="C852" s="13" t="inlineStr">
        <is>
          <t>Nº 2506</t>
        </is>
      </c>
      <c r="D852" s="14" t="inlineStr">
        <is>
          <t>CROPSTAR FS 600</t>
        </is>
      </c>
      <c r="E852" s="11" t="n">
        <v>2</v>
      </c>
      <c r="F852" s="13" t="inlineStr">
        <is>
          <t>Ingrediente Ativo Principal</t>
        </is>
      </c>
      <c r="G852" s="13" t="inlineStr">
        <is>
          <t>IMIDACLOPRIDO 150</t>
        </is>
      </c>
      <c r="H852" s="13" t="inlineStr">
        <is>
          <t>(E)-1-(6-chloro-3-pyridylmethyl)-N-nitroimidazolidin-2-ylideneamine</t>
        </is>
      </c>
      <c r="I852" s="13" t="inlineStr">
        <is>
          <t>Neonicotinoide</t>
        </is>
      </c>
      <c r="J852" s="13" t="inlineStr">
        <is>
          <t>IRAC Grupo 4A</t>
        </is>
      </c>
      <c r="K852" s="13" t="inlineStr">
        <is>
          <t>Moduladores competitivos dos receptores nicotínicos da acetilcolina (nAChR)</t>
        </is>
      </c>
      <c r="L852" s="15" t="n">
        <v>150</v>
      </c>
      <c r="M852" s="13" t="inlineStr">
        <is>
          <t>g/L</t>
        </is>
      </c>
      <c r="N852" s="13" t="inlineStr">
        <is>
          <t>Registro Técnico Vinculado MAPA</t>
        </is>
      </c>
    </row>
    <row r="853" ht="22" customHeight="1">
      <c r="A853" s="6" t="inlineStr">
        <is>
          <t>CMP-0849</t>
        </is>
      </c>
      <c r="B853" s="5" t="n">
        <v>621</v>
      </c>
      <c r="C853" s="7" t="inlineStr">
        <is>
          <t>Nº 8912</t>
        </is>
      </c>
      <c r="D853" s="8" t="inlineStr">
        <is>
          <t>CRUCIAL</t>
        </is>
      </c>
      <c r="E853" s="5" t="n">
        <v>1</v>
      </c>
      <c r="F853" s="7" t="inlineStr">
        <is>
          <t>Ingrediente Ativo Principal</t>
        </is>
      </c>
      <c r="G853" s="7" t="inlineStr">
        <is>
          <t>GLIFOSATO (Sais de Potássio + MIPA 698 g/L — Equiv. 540 g/L Ácido)</t>
        </is>
      </c>
      <c r="H853" s="7" t="inlineStr">
        <is>
          <t>N-(phosphonomethyl)glycine (Potassium + Monoisopropylamine salts)</t>
        </is>
      </c>
      <c r="I853" s="7" t="inlineStr">
        <is>
          <t>Glicina substituída</t>
        </is>
      </c>
      <c r="J853" s="7" t="inlineStr">
        <is>
          <t>HRAC Grupo G (9) — Inibidores da EPSPs</t>
        </is>
      </c>
      <c r="K853" s="7" t="inlineStr">
        <is>
          <t>Inibidores da enzima EPSPs (Enoil Piruvil Shiquimato Fosfato Sintase)</t>
        </is>
      </c>
      <c r="L853" s="9" t="n">
        <v>540</v>
      </c>
      <c r="M853" s="7" t="inlineStr">
        <is>
          <t>g/L</t>
        </is>
      </c>
      <c r="N853" s="7" t="inlineStr">
        <is>
          <t>Glifosato Técnico Sumitomo/Nufarm</t>
        </is>
      </c>
    </row>
    <row r="854" ht="22" customHeight="1">
      <c r="A854" s="12" t="inlineStr">
        <is>
          <t>CMP-0850</t>
        </is>
      </c>
      <c r="B854" s="11" t="n">
        <v>622</v>
      </c>
      <c r="C854" s="13" t="inlineStr">
        <is>
          <t>Nº 0122</t>
        </is>
      </c>
      <c r="D854" s="14" t="inlineStr">
        <is>
          <t>EXCALIA MAX</t>
        </is>
      </c>
      <c r="E854" s="11" t="n">
        <v>1</v>
      </c>
      <c r="F854" s="13" t="inlineStr">
        <is>
          <t>Ingrediente Ativo Principal</t>
        </is>
      </c>
      <c r="G854" s="13" t="inlineStr">
        <is>
          <t>TEBUCONAZOL</t>
        </is>
      </c>
      <c r="H854" s="13" t="inlineStr">
        <is>
          <t>(RS)-1-p-chlorophenyl-4,4-dimethyl-3-(1H-1,2,4-triazol-1-ylmethyl)pentan-3-ol</t>
        </is>
      </c>
      <c r="I854" s="13" t="inlineStr">
        <is>
          <t>Triazol</t>
        </is>
      </c>
      <c r="J854" s="13" t="inlineStr">
        <is>
          <t>FRAC Grupo 3 (G1 — DMI)</t>
        </is>
      </c>
      <c r="K854" s="13" t="inlineStr">
        <is>
          <t>Inibidores da desmetilação do C14 na biossíntese do ergosterol</t>
        </is>
      </c>
      <c r="L854" s="15" t="n">
        <v>200</v>
      </c>
      <c r="M854" s="13" t="inlineStr">
        <is>
          <t>g/L</t>
        </is>
      </c>
      <c r="N854" s="13" t="inlineStr">
        <is>
          <t>Tebuconazole Técnico Sumitomo</t>
        </is>
      </c>
    </row>
    <row r="855" ht="22" customHeight="1">
      <c r="A855" s="6" t="inlineStr">
        <is>
          <t>CMP-0851</t>
        </is>
      </c>
      <c r="B855" s="5" t="n">
        <v>622</v>
      </c>
      <c r="C855" s="7" t="inlineStr">
        <is>
          <t>Nº 0122</t>
        </is>
      </c>
      <c r="D855" s="8" t="inlineStr">
        <is>
          <t>EXCALIA MAX</t>
        </is>
      </c>
      <c r="E855" s="5" t="n">
        <v>2</v>
      </c>
      <c r="F855" s="7" t="inlineStr">
        <is>
          <t>Ingrediente Ativo Principal</t>
        </is>
      </c>
      <c r="G855" s="7" t="inlineStr">
        <is>
          <t>IMPIRFLUXAM</t>
        </is>
      </c>
      <c r="H855" s="7" t="inlineStr">
        <is>
          <t>3-(difluoromethyl)-1-methyl-N-[(3R)-1,1,3-trimethyl-2,3-dihydro-1H-inden-4-yl]-1H-pyrazole-4-carboxamide</t>
        </is>
      </c>
      <c r="I855" s="7" t="inlineStr">
        <is>
          <t>Carboxamida (Pirazol-4-carboxamida)</t>
        </is>
      </c>
      <c r="J855" s="7" t="inlineStr">
        <is>
          <t>FRAC Grupo 7 (C2 — SDHI)</t>
        </is>
      </c>
      <c r="K855" s="7" t="inlineStr">
        <is>
          <t>Inibidores da enzima succinato desidrogenase (Complexo II)</t>
        </is>
      </c>
      <c r="L855" s="9" t="n">
        <v>60</v>
      </c>
      <c r="M855" s="7" t="inlineStr">
        <is>
          <t>g/L</t>
        </is>
      </c>
      <c r="N855" s="7" t="inlineStr">
        <is>
          <t>Inpyrfluxam Técnico Sumitomo</t>
        </is>
      </c>
    </row>
    <row r="856" ht="22" customHeight="1">
      <c r="A856" s="12" t="inlineStr">
        <is>
          <t>CMP-0852</t>
        </is>
      </c>
      <c r="B856" s="11" t="n">
        <v>623</v>
      </c>
      <c r="C856" s="13" t="inlineStr">
        <is>
          <t>SIPEAGRO (UF-XXXXX)</t>
        </is>
      </c>
      <c r="D856" s="14" t="inlineStr">
        <is>
          <t>FERT VITAL MANGANES</t>
        </is>
      </c>
      <c r="E856" s="11" t="n">
        <v>1</v>
      </c>
      <c r="F856" s="13" t="inlineStr">
        <is>
          <t>Nutriente Garantido</t>
        </is>
      </c>
      <c r="G856" s="13" t="inlineStr">
        <is>
          <t>MN 10% - S 5,5%</t>
        </is>
      </c>
      <c r="H856" s="13" t="inlineStr">
        <is>
          <t>Composição Nutricional Oficial (MN 10% - S 5,5%)</t>
        </is>
      </c>
      <c r="I856" s="13" t="inlineStr">
        <is>
          <t>Fertilizante Mineral / Organomineral (Lei nº 6.894/1980)</t>
        </is>
      </c>
      <c r="J856" s="13" t="inlineStr">
        <is>
          <t>Nutrição Vegetal SIPEAGRO</t>
        </is>
      </c>
      <c r="K856" s="13" t="inlineStr">
        <is>
          <t>Fornecimento de macro e micronutrientes essenciais ao metabolismo vegetal</t>
        </is>
      </c>
      <c r="L856" s="15" t="n">
        <v>10</v>
      </c>
      <c r="M856" s="13" t="inlineStr">
        <is>
          <t>% m/m</t>
        </is>
      </c>
      <c r="N856" s="13" t="inlineStr">
        <is>
          <t>Registro Técnico Vinculado MAPA</t>
        </is>
      </c>
    </row>
    <row r="857" ht="22" customHeight="1">
      <c r="A857" s="6" t="inlineStr">
        <is>
          <t>CMP-0853</t>
        </is>
      </c>
      <c r="B857" s="5" t="n">
        <v>624</v>
      </c>
      <c r="C857" s="7" t="inlineStr">
        <is>
          <t>Nº 27617</t>
        </is>
      </c>
      <c r="D857" s="8" t="inlineStr">
        <is>
          <t>FLAXTON</t>
        </is>
      </c>
      <c r="E857" s="5" t="n">
        <v>1</v>
      </c>
      <c r="F857" s="7" t="inlineStr">
        <is>
          <t>Ingrediente Ativo Principal</t>
        </is>
      </c>
      <c r="G857" s="7" t="inlineStr">
        <is>
          <t>CLORETO DE MEPIQUATE 250</t>
        </is>
      </c>
      <c r="H857" s="7" t="inlineStr">
        <is>
          <t>1,1-dimethylpiperidinium chloride</t>
        </is>
      </c>
      <c r="I857" s="7" t="inlineStr">
        <is>
          <t>Amônio Quaternário (Fitorregulador)</t>
        </is>
      </c>
      <c r="J857" s="7" t="inlineStr">
        <is>
          <t>Regulador de Crescimento Vegetal (Inibidor de Giberelina)</t>
        </is>
      </c>
      <c r="K857" s="7" t="inlineStr">
        <is>
          <t>Inibição da biossíntese de giberelinas (redução do crescimento vegetativo)</t>
        </is>
      </c>
      <c r="L857" s="9" t="n">
        <v>250</v>
      </c>
      <c r="M857" s="7" t="inlineStr">
        <is>
          <t>g/L</t>
        </is>
      </c>
      <c r="N857" s="7" t="inlineStr">
        <is>
          <t>Registro Técnico Vinculado MAPA</t>
        </is>
      </c>
    </row>
    <row r="858" ht="22" customHeight="1">
      <c r="A858" s="12" t="inlineStr">
        <is>
          <t>CMP-0854</t>
        </is>
      </c>
      <c r="B858" s="11" t="n">
        <v>625</v>
      </c>
      <c r="C858" s="13" t="inlineStr">
        <is>
          <t>ISENTO (ATO 104/2017)</t>
        </is>
      </c>
      <c r="D858" s="14" t="inlineStr">
        <is>
          <t>SPREAD COMBO</t>
        </is>
      </c>
      <c r="E858" s="11" t="n">
        <v>1</v>
      </c>
      <c r="F858" s="13" t="inlineStr">
        <is>
          <t>Ingrediente Ativo Principal</t>
        </is>
      </c>
      <c r="G858" s="13" t="inlineStr">
        <is>
          <t>COPOLÍMERO DE POLIMETILSILOXANO POLIÉTER (Tensoativo Organossiliconado)</t>
        </is>
      </c>
      <c r="H858" s="13" t="inlineStr">
        <is>
          <t>Polyalkyleneoxide modified heptamethyltrisiloxane</t>
        </is>
      </c>
      <c r="I858" s="13" t="inlineStr">
        <is>
          <t>Adjuvante Surfactante Organossiliconado</t>
        </is>
      </c>
      <c r="J858" s="13" t="inlineStr">
        <is>
          <t>Auxiliar de Tecnologia de Aplicação (Ato SDA 104/2017)</t>
        </is>
      </c>
      <c r="K858" s="13" t="inlineStr">
        <is>
          <t>Quebra da tensão superficial da gota e superespalhamento foliar</t>
        </is>
      </c>
      <c r="L858" s="15" t="n">
        <v>1000</v>
      </c>
      <c r="M858" s="13" t="inlineStr">
        <is>
          <t>g/L</t>
        </is>
      </c>
      <c r="N858" s="13" t="inlineStr">
        <is>
          <t>Registro Técnico Vinculado MAPA</t>
        </is>
      </c>
    </row>
    <row r="859" ht="22" customHeight="1">
      <c r="A859" s="6" t="inlineStr">
        <is>
          <t>CMP-0855</t>
        </is>
      </c>
      <c r="B859" s="5" t="n">
        <v>626</v>
      </c>
      <c r="C859" s="7" t="inlineStr">
        <is>
          <t>Nº 21221</t>
        </is>
      </c>
      <c r="D859" s="8" t="inlineStr">
        <is>
          <t>GOEMON</t>
        </is>
      </c>
      <c r="E859" s="5" t="n">
        <v>1</v>
      </c>
      <c r="F859" s="7" t="inlineStr">
        <is>
          <t>Ingrediente Ativo Principal</t>
        </is>
      </c>
      <c r="G859" s="7" t="inlineStr">
        <is>
          <t>Ciclaniliprole 50</t>
        </is>
      </c>
      <c r="H859" s="7" t="inlineStr">
        <is>
          <t>2,3-dibromo-4-chloro-1-(3-chloro-2-pyridyl)-6-{[(1RS)-1-cyclopropylethyl]carbamoyl}pyrazole-5-carboxanilide</t>
        </is>
      </c>
      <c r="I859" s="7" t="inlineStr">
        <is>
          <t>Diamida Antranílica</t>
        </is>
      </c>
      <c r="J859" s="7" t="inlineStr">
        <is>
          <t>IRAC Grupo 28</t>
        </is>
      </c>
      <c r="K859" s="7" t="inlineStr">
        <is>
          <t>Moduladores dos receptores de rianodina (RyR)</t>
        </is>
      </c>
      <c r="L859" s="9" t="n">
        <v>50</v>
      </c>
      <c r="M859" s="7" t="inlineStr">
        <is>
          <t>g/L</t>
        </is>
      </c>
      <c r="N859" s="7" t="inlineStr">
        <is>
          <t>Registro Técnico Vinculado MAPA</t>
        </is>
      </c>
    </row>
    <row r="860" ht="22" customHeight="1">
      <c r="A860" s="12" t="inlineStr">
        <is>
          <t>CMP-0856</t>
        </is>
      </c>
      <c r="B860" s="11" t="n">
        <v>627</v>
      </c>
      <c r="C860" s="13" t="inlineStr">
        <is>
          <t>Nº 22622</t>
        </is>
      </c>
      <c r="D860" s="14" t="inlineStr">
        <is>
          <t>SENSUS</t>
        </is>
      </c>
      <c r="E860" s="11" t="n">
        <v>1</v>
      </c>
      <c r="F860" s="13" t="inlineStr">
        <is>
          <t>Ingrediente Ativo Principal</t>
        </is>
      </c>
      <c r="G860" s="13" t="inlineStr">
        <is>
          <t>Clomazona 250</t>
        </is>
      </c>
      <c r="H860" s="13" t="inlineStr">
        <is>
          <t>2-(2-chlorobenzyl)-4,4-dimethyl-1,2-oxazolidin-3-one</t>
        </is>
      </c>
      <c r="I860" s="13" t="inlineStr">
        <is>
          <t>Isoxazolidinona</t>
        </is>
      </c>
      <c r="J860" s="13" t="inlineStr">
        <is>
          <t>HRAC Grupo F4 (13) — Inibidores da DOXP sintase</t>
        </is>
      </c>
      <c r="K860" s="13" t="inlineStr">
        <is>
          <t>Inibidores da 1-deoxi-D-xilulose 5-fosfato sintase (biossíntese de plastoquinona/carotenoides)</t>
        </is>
      </c>
      <c r="L860" s="15" t="n">
        <v>250</v>
      </c>
      <c r="M860" s="13" t="inlineStr">
        <is>
          <t>g/L</t>
        </is>
      </c>
      <c r="N860" s="13" t="inlineStr">
        <is>
          <t>Registro Técnico Vinculado MAPA</t>
        </is>
      </c>
    </row>
    <row r="861" ht="22" customHeight="1">
      <c r="A861" s="6" t="inlineStr">
        <is>
          <t>CMP-0857</t>
        </is>
      </c>
      <c r="B861" s="5" t="n">
        <v>628</v>
      </c>
      <c r="C861" s="7" t="inlineStr">
        <is>
          <t>Nº 35619</t>
        </is>
      </c>
      <c r="D861" s="8" t="inlineStr">
        <is>
          <t>MAXSAN</t>
        </is>
      </c>
      <c r="E861" s="5" t="n">
        <v>1</v>
      </c>
      <c r="F861" s="7" t="inlineStr">
        <is>
          <t>Ingrediente Ativo Principal</t>
        </is>
      </c>
      <c r="G861" s="7" t="inlineStr">
        <is>
          <t>Dinotefuram 100</t>
        </is>
      </c>
      <c r="H861" s="7" t="inlineStr">
        <is>
          <t>(RS)-1-methyl-2-nitro-3-(tetrahydro-3-furylmethyl)guanidine</t>
        </is>
      </c>
      <c r="I861" s="7" t="inlineStr">
        <is>
          <t>Neonicotinoide (Nitroguanidina)</t>
        </is>
      </c>
      <c r="J861" s="7" t="inlineStr">
        <is>
          <t>IRAC Grupo 4A</t>
        </is>
      </c>
      <c r="K861" s="7" t="inlineStr">
        <is>
          <t>Moduladores competitivos dos receptores nicotínicos da acetilcolina (nAChR)</t>
        </is>
      </c>
      <c r="L861" s="9" t="n">
        <v>100</v>
      </c>
      <c r="M861" s="7" t="inlineStr">
        <is>
          <t>g/L</t>
        </is>
      </c>
      <c r="N861" s="7" t="inlineStr">
        <is>
          <t>Registro Técnico Vinculado MAPA</t>
        </is>
      </c>
    </row>
    <row r="862" ht="22" customHeight="1">
      <c r="A862" s="12" t="inlineStr">
        <is>
          <t>CMP-0858</t>
        </is>
      </c>
      <c r="B862" s="11" t="n">
        <v>628</v>
      </c>
      <c r="C862" s="13" t="inlineStr">
        <is>
          <t>Nº 35619</t>
        </is>
      </c>
      <c r="D862" s="14" t="inlineStr">
        <is>
          <t>MAXSAN</t>
        </is>
      </c>
      <c r="E862" s="11" t="n">
        <v>2</v>
      </c>
      <c r="F862" s="13" t="inlineStr">
        <is>
          <t>Ingrediente Ativo Principal</t>
        </is>
      </c>
      <c r="G862" s="13" t="inlineStr">
        <is>
          <t>Piriproxifem 25</t>
        </is>
      </c>
      <c r="H862" s="13" t="inlineStr">
        <is>
          <t>4-phenoxyphenyl (RS)-2-(2-pyridyloxy)propyl ether</t>
        </is>
      </c>
      <c r="I862" s="13" t="inlineStr">
        <is>
          <t>Éter piridiloxipropílico</t>
        </is>
      </c>
      <c r="J862" s="13" t="inlineStr">
        <is>
          <t>IRAC Grupo 7C</t>
        </is>
      </c>
      <c r="K862" s="13" t="inlineStr">
        <is>
          <t>Mimetizadores do hormônio juvenil (Juvenoides)</t>
        </is>
      </c>
      <c r="L862" s="15" t="n">
        <v>25</v>
      </c>
      <c r="M862" s="13" t="inlineStr">
        <is>
          <t>g/L</t>
        </is>
      </c>
      <c r="N862" s="13" t="inlineStr">
        <is>
          <t>Registro Técnico Vinculado MAPA</t>
        </is>
      </c>
    </row>
    <row r="863" ht="22" customHeight="1">
      <c r="A863" s="6" t="inlineStr">
        <is>
          <t>CMP-0859</t>
        </is>
      </c>
      <c r="B863" s="5" t="n">
        <v>629</v>
      </c>
      <c r="C863" s="7" t="inlineStr">
        <is>
          <t>SIPEAGRO (UF-XXXXX)</t>
        </is>
      </c>
      <c r="D863" s="8" t="inlineStr">
        <is>
          <t>SOJA KRAFT 10</t>
        </is>
      </c>
      <c r="E863" s="5" t="n">
        <v>1</v>
      </c>
      <c r="F863" s="7" t="inlineStr">
        <is>
          <t>Nutriente Garantido</t>
        </is>
      </c>
      <c r="G863" s="7" t="inlineStr">
        <is>
          <t>FERTILIZANTES</t>
        </is>
      </c>
      <c r="H863" s="7" t="inlineStr">
        <is>
          <t>Composição Nutricional Oficial (FERTILIZANTES)</t>
        </is>
      </c>
      <c r="I863" s="7" t="inlineStr">
        <is>
          <t>Fertilizante Mineral / Organomineral (Lei nº 6.894/1980)</t>
        </is>
      </c>
      <c r="J863" s="7" t="inlineStr">
        <is>
          <t>Nutrição Vegetal SIPEAGRO</t>
        </is>
      </c>
      <c r="K863" s="7" t="inlineStr">
        <is>
          <t>Fornecimento de macro e micronutrientes essenciais ao metabolismo vegetal</t>
        </is>
      </c>
      <c r="L863" s="9" t="n">
        <v>100</v>
      </c>
      <c r="M863" s="7" t="inlineStr">
        <is>
          <t>% m/m</t>
        </is>
      </c>
      <c r="N863" s="7" t="inlineStr">
        <is>
          <t>Registro Técnico Vinculado MAPA</t>
        </is>
      </c>
    </row>
    <row r="864" ht="22" customHeight="1">
      <c r="A864" s="12" t="inlineStr">
        <is>
          <t>CMP-0860</t>
        </is>
      </c>
      <c r="B864" s="11" t="n">
        <v>630</v>
      </c>
      <c r="C864" s="13" t="inlineStr">
        <is>
          <t>Nº 8608</t>
        </is>
      </c>
      <c r="D864" s="14" t="inlineStr">
        <is>
          <t>SPHERE MAX SC</t>
        </is>
      </c>
      <c r="E864" s="11" t="n">
        <v>1</v>
      </c>
      <c r="F864" s="13" t="inlineStr">
        <is>
          <t>Ingrediente Ativo Principal</t>
        </is>
      </c>
      <c r="G864" s="13" t="inlineStr">
        <is>
          <t>TRIFLOXISTROBINA</t>
        </is>
      </c>
      <c r="H864" s="13" t="inlineStr">
        <is>
          <t>Methyl (E)-methoxyimino-{(E)-alpha-[1-(alpha,alpha,alpha-trifluoro-m-tolyl)ethylideneaminooxy]-o-tolyl}acetate</t>
        </is>
      </c>
      <c r="I864" s="13" t="inlineStr">
        <is>
          <t>Estrobilurina (Oximinoacetato)</t>
        </is>
      </c>
      <c r="J864" s="13" t="inlineStr">
        <is>
          <t>FRAC Grupo 11 (C3 — QoI)</t>
        </is>
      </c>
      <c r="K864" s="13" t="inlineStr">
        <is>
          <t>Inibidores da respiração mitocondrial no Complexo III (sítio Qo)</t>
        </is>
      </c>
      <c r="L864" s="15" t="n">
        <v>375</v>
      </c>
      <c r="M864" s="13" t="inlineStr">
        <is>
          <t>g/L</t>
        </is>
      </c>
      <c r="N864" s="13" t="inlineStr">
        <is>
          <t>Trifloxystrobin Técnico Bayer</t>
        </is>
      </c>
    </row>
    <row r="865" ht="22" customHeight="1">
      <c r="A865" s="6" t="inlineStr">
        <is>
          <t>CMP-0861</t>
        </is>
      </c>
      <c r="B865" s="5" t="n">
        <v>630</v>
      </c>
      <c r="C865" s="7" t="inlineStr">
        <is>
          <t>Nº 8608</t>
        </is>
      </c>
      <c r="D865" s="8" t="inlineStr">
        <is>
          <t>SPHERE MAX SC</t>
        </is>
      </c>
      <c r="E865" s="5" t="n">
        <v>2</v>
      </c>
      <c r="F865" s="7" t="inlineStr">
        <is>
          <t>Ingrediente Ativo Principal</t>
        </is>
      </c>
      <c r="G865" s="7" t="inlineStr">
        <is>
          <t>CIPROCONAZOL</t>
        </is>
      </c>
      <c r="H865" s="7" t="inlineStr">
        <is>
          <t>(2RS,3RS;2RS,3SR)-2-(4-chlorophenyl)-3-cyclopropyl-1-(1H-1,2,4-triazol-1-yl)butan-2-ol</t>
        </is>
      </c>
      <c r="I865" s="7" t="inlineStr">
        <is>
          <t>Triazol</t>
        </is>
      </c>
      <c r="J865" s="7" t="inlineStr">
        <is>
          <t>FRAC Grupo 3 (G1 — DMI)</t>
        </is>
      </c>
      <c r="K865" s="7" t="inlineStr">
        <is>
          <t>Inibidores da desmetilação do C14 na biossíntese do ergosterol</t>
        </is>
      </c>
      <c r="L865" s="9" t="n">
        <v>160</v>
      </c>
      <c r="M865" s="7" t="inlineStr">
        <is>
          <t>g/L</t>
        </is>
      </c>
      <c r="N865" s="7" t="inlineStr">
        <is>
          <t>Cyproconazole Técnico Bayer</t>
        </is>
      </c>
    </row>
    <row r="866" ht="22" customHeight="1">
      <c r="A866" s="12" t="inlineStr">
        <is>
          <t>CMP-0862</t>
        </is>
      </c>
      <c r="B866" s="11" t="n">
        <v>631</v>
      </c>
      <c r="C866" s="13" t="inlineStr">
        <is>
          <t>Nº 37019</t>
        </is>
      </c>
      <c r="D866" s="14" t="inlineStr">
        <is>
          <t>IMPAR BR</t>
        </is>
      </c>
      <c r="E866" s="11" t="n">
        <v>1</v>
      </c>
      <c r="F866" s="13" t="inlineStr">
        <is>
          <t>Ingrediente Ativo Principal</t>
        </is>
      </c>
      <c r="G866" s="13" t="inlineStr">
        <is>
          <t>Tiametoxam 350</t>
        </is>
      </c>
      <c r="H866" s="13" t="inlineStr">
        <is>
          <t>(EZ)-3-(2-chloro-1,3-thiazol-5-ylmethyl)-5-methyl-1,3,5-oxadiazinan-4-ylidene(nitro)amine</t>
        </is>
      </c>
      <c r="I866" s="13" t="inlineStr">
        <is>
          <t>Neonicotinoide (Tianicotinil)</t>
        </is>
      </c>
      <c r="J866" s="13" t="inlineStr">
        <is>
          <t>IRAC Grupo 4A</t>
        </is>
      </c>
      <c r="K866" s="13" t="inlineStr">
        <is>
          <t>Moduladores competitivos dos receptores nicotínicos da acetilcolina (nAChR)</t>
        </is>
      </c>
      <c r="L866" s="15" t="n">
        <v>350</v>
      </c>
      <c r="M866" s="13" t="inlineStr">
        <is>
          <t>g/L</t>
        </is>
      </c>
      <c r="N866" s="13" t="inlineStr">
        <is>
          <t>Registro Técnico Vinculado MAPA</t>
        </is>
      </c>
    </row>
    <row r="867" ht="22" customHeight="1">
      <c r="A867" s="6" t="inlineStr">
        <is>
          <t>CMP-0863</t>
        </is>
      </c>
      <c r="B867" s="5" t="n">
        <v>632</v>
      </c>
      <c r="C867" s="7" t="inlineStr">
        <is>
          <t>Nº 28320</t>
        </is>
      </c>
      <c r="D867" s="8" t="inlineStr">
        <is>
          <t>ALLUS</t>
        </is>
      </c>
      <c r="E867" s="5" t="n">
        <v>1</v>
      </c>
      <c r="F867" s="7" t="inlineStr">
        <is>
          <t>Ingrediente Ativo Principal</t>
        </is>
      </c>
      <c r="G867" s="7" t="inlineStr">
        <is>
          <t>SULFENTRAZONA 300</t>
        </is>
      </c>
      <c r="H867" s="7" t="inlineStr">
        <is>
          <t>2,4-dichloro-5-(4-difluoromethyl-4,5-dihydro-3-methyl-5-oxo-1H-1,2,4-triazol-1-yl)methanesulfonanilide</t>
        </is>
      </c>
      <c r="I867" s="7" t="inlineStr">
        <is>
          <t>Triazolinona</t>
        </is>
      </c>
      <c r="J867" s="7" t="inlineStr">
        <is>
          <t>HRAC Grupo E (14) — Inibidores da PROTOX</t>
        </is>
      </c>
      <c r="K867" s="7" t="inlineStr">
        <is>
          <t>Inibição da enzima protoporfirinogênio oxidase (PROTOX / PPO)</t>
        </is>
      </c>
      <c r="L867" s="9" t="n">
        <v>300</v>
      </c>
      <c r="M867" s="7" t="inlineStr">
        <is>
          <t>g/L</t>
        </is>
      </c>
      <c r="N867" s="7" t="inlineStr">
        <is>
          <t>Registro Técnico Vinculado MAPA</t>
        </is>
      </c>
    </row>
    <row r="868" ht="22" customHeight="1">
      <c r="A868" s="12" t="inlineStr">
        <is>
          <t>CMP-0864</t>
        </is>
      </c>
      <c r="B868" s="11" t="n">
        <v>632</v>
      </c>
      <c r="C868" s="13" t="inlineStr">
        <is>
          <t>Nº 28320</t>
        </is>
      </c>
      <c r="D868" s="14" t="inlineStr">
        <is>
          <t>ALLUS</t>
        </is>
      </c>
      <c r="E868" s="11" t="n">
        <v>2</v>
      </c>
      <c r="F868" s="13" t="inlineStr">
        <is>
          <t>Ingrediente Ativo Principal</t>
        </is>
      </c>
      <c r="G868" s="13" t="inlineStr">
        <is>
          <t>IMAZETAPIR 80</t>
        </is>
      </c>
      <c r="H868" s="13" t="inlineStr">
        <is>
          <t>(RS)-5-ethyl-2-(4-isopropyl-4-methyl-5-oxo-2-imidazolin-2-yl)nicotinic acid</t>
        </is>
      </c>
      <c r="I868" s="13" t="inlineStr">
        <is>
          <t>Imidazolinona</t>
        </is>
      </c>
      <c r="J868" s="13" t="inlineStr">
        <is>
          <t>HRAC Grupo B (2) — Inibidores da ALS</t>
        </is>
      </c>
      <c r="K868" s="13" t="inlineStr">
        <is>
          <t>Inibição da enzima acetolactato sintase (ALS / AHAS)</t>
        </is>
      </c>
      <c r="L868" s="15" t="n">
        <v>80</v>
      </c>
      <c r="M868" s="13" t="inlineStr">
        <is>
          <t>g/L</t>
        </is>
      </c>
      <c r="N868" s="13" t="inlineStr">
        <is>
          <t>Registro Técnico Vinculado MAPA</t>
        </is>
      </c>
    </row>
    <row r="869" ht="22" customHeight="1">
      <c r="A869" s="6" t="inlineStr">
        <is>
          <t>CMP-0865</t>
        </is>
      </c>
      <c r="B869" s="5" t="n">
        <v>633</v>
      </c>
      <c r="C869" s="7" t="inlineStr">
        <is>
          <t>Nº 4007</t>
        </is>
      </c>
      <c r="D869" s="8" t="inlineStr">
        <is>
          <t>APRON RFC</t>
        </is>
      </c>
      <c r="E869" s="5" t="n">
        <v>1</v>
      </c>
      <c r="F869" s="7" t="inlineStr">
        <is>
          <t>Ingrediente Ativo Principal</t>
        </is>
      </c>
      <c r="G869" s="7" t="inlineStr">
        <is>
          <t>FLUDIOXONIL 25</t>
        </is>
      </c>
      <c r="H869" s="7" t="inlineStr">
        <is>
          <t>4-(2,2-difluoro-1,3-benzodioxol-4-yl)-1H-pyrrole-3-carbonitrile</t>
        </is>
      </c>
      <c r="I869" s="7" t="inlineStr">
        <is>
          <t>Fenilpirrol</t>
        </is>
      </c>
      <c r="J869" s="7" t="inlineStr">
        <is>
          <t>FRAC Grupo 12 (E2)</t>
        </is>
      </c>
      <c r="K869" s="7" t="inlineStr">
        <is>
          <t>Inibidor da transdução de sinal osmótico (MAP/Histidina-quinase)</t>
        </is>
      </c>
      <c r="L869" s="9" t="n">
        <v>25</v>
      </c>
      <c r="M869" s="7" t="inlineStr">
        <is>
          <t>g/L</t>
        </is>
      </c>
      <c r="N869" s="7" t="inlineStr">
        <is>
          <t>Registro Técnico Vinculado MAPA</t>
        </is>
      </c>
    </row>
    <row r="870" ht="22" customHeight="1">
      <c r="A870" s="12" t="inlineStr">
        <is>
          <t>CMP-0866</t>
        </is>
      </c>
      <c r="B870" s="11" t="n">
        <v>633</v>
      </c>
      <c r="C870" s="13" t="inlineStr">
        <is>
          <t>Nº 4007</t>
        </is>
      </c>
      <c r="D870" s="14" t="inlineStr">
        <is>
          <t>APRON RFC</t>
        </is>
      </c>
      <c r="E870" s="11" t="n">
        <v>2</v>
      </c>
      <c r="F870" s="13" t="inlineStr">
        <is>
          <t>Ingrediente Ativo Principal</t>
        </is>
      </c>
      <c r="G870" s="13" t="inlineStr">
        <is>
          <t>METALAXIL-M 37,5</t>
        </is>
      </c>
      <c r="H870" s="13" t="inlineStr">
        <is>
          <t>Methyl N-(methoxyacetyl)-N-(2,6-xylyl)-D-alaninate</t>
        </is>
      </c>
      <c r="I870" s="13" t="inlineStr">
        <is>
          <t>Acilalanina (Fenilamida)</t>
        </is>
      </c>
      <c r="J870" s="13" t="inlineStr">
        <is>
          <t>FRAC Grupo 4 (A1 — PA)</t>
        </is>
      </c>
      <c r="K870" s="13" t="inlineStr">
        <is>
          <t>Inibidor da RNA polimerase I (síntese de ácido nucleico)</t>
        </is>
      </c>
      <c r="L870" s="18" t="n">
        <v>37.5</v>
      </c>
      <c r="M870" s="13" t="inlineStr">
        <is>
          <t>g/L</t>
        </is>
      </c>
      <c r="N870" s="13" t="inlineStr">
        <is>
          <t>Registro Técnico Vinculado MAPA</t>
        </is>
      </c>
    </row>
    <row r="871" ht="22" customHeight="1">
      <c r="A871" s="6" t="inlineStr">
        <is>
          <t>CMP-0867</t>
        </is>
      </c>
      <c r="B871" s="5" t="n">
        <v>634</v>
      </c>
      <c r="C871" s="7" t="inlineStr">
        <is>
          <t>SIPEAGRO (UF-XXXXX)</t>
        </is>
      </c>
      <c r="D871" s="8" t="inlineStr">
        <is>
          <t>BASEK S25</t>
        </is>
      </c>
      <c r="E871" s="5" t="n">
        <v>1</v>
      </c>
      <c r="F871" s="7" t="inlineStr">
        <is>
          <t>Nutriente Garantido</t>
        </is>
      </c>
      <c r="G871" s="7" t="inlineStr">
        <is>
          <t>FERTILIZANTES</t>
        </is>
      </c>
      <c r="H871" s="7" t="inlineStr">
        <is>
          <t>Composição Nutricional Oficial (FERTILIZANTES)</t>
        </is>
      </c>
      <c r="I871" s="7" t="inlineStr">
        <is>
          <t>Fertilizante Mineral / Organomineral (Lei nº 6.894/1980)</t>
        </is>
      </c>
      <c r="J871" s="7" t="inlineStr">
        <is>
          <t>Nutrição Vegetal SIPEAGRO</t>
        </is>
      </c>
      <c r="K871" s="7" t="inlineStr">
        <is>
          <t>Fornecimento de macro e micronutrientes essenciais ao metabolismo vegetal</t>
        </is>
      </c>
      <c r="L871" s="9" t="n">
        <v>100</v>
      </c>
      <c r="M871" s="7" t="inlineStr">
        <is>
          <t>% m/m</t>
        </is>
      </c>
      <c r="N871" s="7" t="inlineStr">
        <is>
          <t>Registro Técnico Vinculado MAPA</t>
        </is>
      </c>
    </row>
    <row r="872" ht="22" customHeight="1">
      <c r="A872" s="12" t="inlineStr">
        <is>
          <t>CMP-0868</t>
        </is>
      </c>
      <c r="B872" s="11" t="n">
        <v>635</v>
      </c>
      <c r="C872" s="13" t="inlineStr">
        <is>
          <t>Nº 44024</t>
        </is>
      </c>
      <c r="D872" s="14" t="inlineStr">
        <is>
          <t>BIOKILLER</t>
        </is>
      </c>
      <c r="E872" s="11" t="n">
        <v>1</v>
      </c>
      <c r="F872" s="13" t="inlineStr">
        <is>
          <t>Agente Biológico / Cepa</t>
        </is>
      </c>
      <c r="G872" s="13" t="inlineStr">
        <is>
          <t>BEAUVERIA BASSIANA ISOLADO IBCB 66 (mín. 1,0x10^9 conídios/g)</t>
        </is>
      </c>
      <c r="H872" s="13" t="inlineStr">
        <is>
          <t>Fungo entomopatogênico Beauveria bassiana (Isolado IBCB 66)</t>
        </is>
      </c>
      <c r="I872" s="13" t="inlineStr">
        <is>
          <t>Agente Microbiológico de Controle (Fungo Entomopatogênico)</t>
        </is>
      </c>
      <c r="J872" s="13" t="inlineStr">
        <is>
          <t>IRAC Grupo UNF — Biológico Multissítio</t>
        </is>
      </c>
      <c r="K872" s="13" t="inlineStr">
        <is>
          <t>Infecção tegumentar por conídios, penetração enzimática e colonização da hemocele</t>
        </is>
      </c>
      <c r="L872" s="15" t="n">
        <v>50</v>
      </c>
      <c r="M872" s="13" t="inlineStr">
        <is>
          <t>g/L</t>
        </is>
      </c>
      <c r="N872" s="13" t="inlineStr">
        <is>
          <t>Registro Técnico Vinculado MAPA</t>
        </is>
      </c>
    </row>
    <row r="873" ht="22" customHeight="1">
      <c r="A873" s="6" t="inlineStr">
        <is>
          <t>CMP-0869</t>
        </is>
      </c>
      <c r="B873" s="5" t="n">
        <v>635</v>
      </c>
      <c r="C873" s="7" t="inlineStr">
        <is>
          <t>Nº 44024</t>
        </is>
      </c>
      <c r="D873" s="8" t="inlineStr">
        <is>
          <t>BIOKILLER</t>
        </is>
      </c>
      <c r="E873" s="5" t="n">
        <v>2</v>
      </c>
      <c r="F873" s="7" t="inlineStr">
        <is>
          <t>Ingrediente Ativo Principal</t>
        </is>
      </c>
      <c r="G873" s="7" t="inlineStr">
        <is>
          <t>METARHIZIUM ANISOPLIAE ISOLADO IBCB 425 (mín. 1,0x10^9 conídios/g)</t>
        </is>
      </c>
      <c r="H873" s="7" t="inlineStr">
        <is>
          <t>Metarhizium anisopliae (Isolado IBCB 425 / Cepa entomopatogênica)</t>
        </is>
      </c>
      <c r="I873" s="7" t="inlineStr">
        <is>
          <t>Agente Microbiológico de Controle (Fungo Entomopatogênico)</t>
        </is>
      </c>
      <c r="J873" s="7" t="inlineStr">
        <is>
          <t>IRAC Grupo UNF — Bioinseticida Microbiológico</t>
        </is>
      </c>
      <c r="K873" s="7" t="inlineStr">
        <is>
          <t>Infecção tegumentar por conídios, penetração hemocélica e produção de destruxinas</t>
        </is>
      </c>
      <c r="L873" s="9" t="n">
        <v>50</v>
      </c>
      <c r="M873" s="7" t="inlineStr">
        <is>
          <t>g/L</t>
        </is>
      </c>
      <c r="N873" s="7" t="inlineStr">
        <is>
          <t>Registro Técnico Vinculado MAPA</t>
        </is>
      </c>
    </row>
    <row r="874" ht="22" customHeight="1">
      <c r="A874" s="12" t="inlineStr">
        <is>
          <t>CMP-0870</t>
        </is>
      </c>
      <c r="B874" s="11" t="n">
        <v>636</v>
      </c>
      <c r="C874" s="13" t="inlineStr">
        <is>
          <t>Nº 13019</t>
        </is>
      </c>
      <c r="D874" s="14" t="inlineStr">
        <is>
          <t>CONVENCE FS</t>
        </is>
      </c>
      <c r="E874" s="11" t="n">
        <v>1</v>
      </c>
      <c r="F874" s="13" t="inlineStr">
        <is>
          <t>Ingrediente Ativo Principal</t>
        </is>
      </c>
      <c r="G874" s="13" t="inlineStr">
        <is>
          <t>ACETAMIPRIDO 400</t>
        </is>
      </c>
      <c r="H874" s="13" t="inlineStr">
        <is>
          <t>(E)-N1-[(6-chloro-3-pyridyl)methyl]-N2-cyano-N1-methylacetamidine</t>
        </is>
      </c>
      <c r="I874" s="13" t="inlineStr">
        <is>
          <t>Neonicotinoide</t>
        </is>
      </c>
      <c r="J874" s="13" t="inlineStr">
        <is>
          <t>IRAC Grupo 4A</t>
        </is>
      </c>
      <c r="K874" s="13" t="inlineStr">
        <is>
          <t>Moduladores competitivos de receptores nicotínicos da acetilcolina (nAChR)</t>
        </is>
      </c>
      <c r="L874" s="15" t="n">
        <v>400</v>
      </c>
      <c r="M874" s="13" t="inlineStr">
        <is>
          <t>g/L</t>
        </is>
      </c>
      <c r="N874" s="13" t="inlineStr">
        <is>
          <t>Registro Técnico Vinculado MAPA</t>
        </is>
      </c>
    </row>
    <row r="875" ht="22" customHeight="1">
      <c r="A875" s="6" t="inlineStr">
        <is>
          <t>CMP-0871</t>
        </is>
      </c>
      <c r="B875" s="5" t="n">
        <v>636</v>
      </c>
      <c r="C875" s="7" t="inlineStr">
        <is>
          <t>Nº 13019</t>
        </is>
      </c>
      <c r="D875" s="8" t="inlineStr">
        <is>
          <t>CONVENCE FS</t>
        </is>
      </c>
      <c r="E875" s="5" t="n">
        <v>2</v>
      </c>
      <c r="F875" s="7" t="inlineStr">
        <is>
          <t>Ingrediente Ativo Principal</t>
        </is>
      </c>
      <c r="G875" s="7" t="inlineStr">
        <is>
          <t>FIPRONIL 100</t>
        </is>
      </c>
      <c r="H875" s="7" t="inlineStr">
        <is>
          <t>(RS)-5-amino-1-(2,6-dichloro-a,a,a-trifluoro-p-tolyl)-4-trifluoromethylsulfinylpyrazole-3-carbonitrile</t>
        </is>
      </c>
      <c r="I875" s="7" t="inlineStr">
        <is>
          <t>Pirazol (Fenilpirazol)</t>
        </is>
      </c>
      <c r="J875" s="7" t="inlineStr">
        <is>
          <t>IRAC Grupo 2B</t>
        </is>
      </c>
      <c r="K875" s="7" t="inlineStr">
        <is>
          <t>Bloqueadores de canais de cloro mediados pelo GABA</t>
        </is>
      </c>
      <c r="L875" s="9" t="n">
        <v>100</v>
      </c>
      <c r="M875" s="7" t="inlineStr">
        <is>
          <t>g/L</t>
        </is>
      </c>
      <c r="N875" s="7" t="inlineStr">
        <is>
          <t>Registro Técnico Vinculado MAPA</t>
        </is>
      </c>
    </row>
    <row r="876" ht="22" customHeight="1">
      <c r="A876" s="12" t="inlineStr">
        <is>
          <t>CMP-0872</t>
        </is>
      </c>
      <c r="B876" s="11" t="n">
        <v>637</v>
      </c>
      <c r="C876" s="13" t="inlineStr">
        <is>
          <t>SIPEAGRO (UF-XXXXX)</t>
        </is>
      </c>
      <c r="D876" s="14" t="inlineStr">
        <is>
          <t>MANGANES 10%</t>
        </is>
      </c>
      <c r="E876" s="11" t="n">
        <v>1</v>
      </c>
      <c r="F876" s="13" t="inlineStr">
        <is>
          <t>Nutriente Garantido</t>
        </is>
      </c>
      <c r="G876" s="13" t="inlineStr">
        <is>
          <t>NITROGENIO</t>
        </is>
      </c>
      <c r="H876" s="13" t="inlineStr">
        <is>
          <t>Composição Nutricional Oficial (NITROGENIO)</t>
        </is>
      </c>
      <c r="I876" s="13" t="inlineStr">
        <is>
          <t>Fertilizante Mineral / Organomineral (Lei nº 6.894/1980)</t>
        </is>
      </c>
      <c r="J876" s="13" t="inlineStr">
        <is>
          <t>Nutrição Vegetal SIPEAGRO</t>
        </is>
      </c>
      <c r="K876" s="13" t="inlineStr">
        <is>
          <t>Fornecimento de macro e micronutrientes essenciais ao metabolismo vegetal</t>
        </is>
      </c>
      <c r="L876" s="15" t="n">
        <v>100</v>
      </c>
      <c r="M876" s="13" t="inlineStr">
        <is>
          <t>% m/m</t>
        </is>
      </c>
      <c r="N876" s="13" t="inlineStr">
        <is>
          <t>Registro Técnico Vinculado MAPA</t>
        </is>
      </c>
    </row>
    <row r="877" ht="22" customHeight="1">
      <c r="A877" s="6" t="inlineStr">
        <is>
          <t>CMP-0873</t>
        </is>
      </c>
      <c r="B877" s="5" t="n">
        <v>637</v>
      </c>
      <c r="C877" s="7" t="inlineStr">
        <is>
          <t>SIPEAGRO (UF-XXXXX)</t>
        </is>
      </c>
      <c r="D877" s="8" t="inlineStr">
        <is>
          <t>MANGANES 10%</t>
        </is>
      </c>
      <c r="E877" s="5" t="n">
        <v>2</v>
      </c>
      <c r="F877" s="7" t="inlineStr">
        <is>
          <t>Nutriente Garantido</t>
        </is>
      </c>
      <c r="G877" s="7" t="inlineStr">
        <is>
          <t>CARBONO ORGANICO</t>
        </is>
      </c>
      <c r="H877" s="7" t="inlineStr">
        <is>
          <t>Composição Nutricional Oficial (CARBONO ORGANICO)</t>
        </is>
      </c>
      <c r="I877" s="7" t="inlineStr">
        <is>
          <t>Fertilizante Mineral / Organomineral (Lei nº 6.894/1980)</t>
        </is>
      </c>
      <c r="J877" s="7" t="inlineStr">
        <is>
          <t>Nutrição Vegetal SIPEAGRO</t>
        </is>
      </c>
      <c r="K877" s="7" t="inlineStr">
        <is>
          <t>Fornecimento de macro e micronutrientes essenciais ao metabolismo vegetal</t>
        </is>
      </c>
      <c r="L877" s="9" t="n">
        <v>10</v>
      </c>
      <c r="M877" s="7" t="inlineStr">
        <is>
          <t>% m/m</t>
        </is>
      </c>
      <c r="N877" s="7" t="inlineStr">
        <is>
          <t>Registro Técnico Vinculado MAPA</t>
        </is>
      </c>
    </row>
    <row r="878" ht="22" customHeight="1">
      <c r="A878" s="12" t="inlineStr">
        <is>
          <t>CMP-0874</t>
        </is>
      </c>
      <c r="B878" s="11" t="n">
        <v>638</v>
      </c>
      <c r="C878" s="13" t="inlineStr">
        <is>
          <t>Nº 1393</t>
        </is>
      </c>
      <c r="D878" s="14" t="inlineStr">
        <is>
          <t>NOMOLT 150</t>
        </is>
      </c>
      <c r="E878" s="11" t="n">
        <v>1</v>
      </c>
      <c r="F878" s="13" t="inlineStr">
        <is>
          <t>Ingrediente Ativo Principal</t>
        </is>
      </c>
      <c r="G878" s="13" t="inlineStr">
        <is>
          <t>TEFLUBENZUROM</t>
        </is>
      </c>
      <c r="H878" s="13" t="inlineStr">
        <is>
          <t>1-(3,5-dichloro-2,4-difluorophenyl)-3-(2,6-difluorobenzoyl)urea</t>
        </is>
      </c>
      <c r="I878" s="13" t="inlineStr">
        <is>
          <t>Benzoilureia</t>
        </is>
      </c>
      <c r="J878" s="13" t="inlineStr">
        <is>
          <t>IRAC Grupo 15</t>
        </is>
      </c>
      <c r="K878" s="13" t="inlineStr">
        <is>
          <t>Inibidores da biossíntese de quitina, Tipo 0</t>
        </is>
      </c>
      <c r="L878" s="15" t="n">
        <v>150</v>
      </c>
      <c r="M878" s="13" t="inlineStr">
        <is>
          <t>g/L</t>
        </is>
      </c>
      <c r="N878" s="13" t="inlineStr">
        <is>
          <t>Teflubenzuron Técnico BASF</t>
        </is>
      </c>
    </row>
    <row r="879" ht="22" customHeight="1">
      <c r="A879" s="6" t="inlineStr">
        <is>
          <t>CMP-0875</t>
        </is>
      </c>
      <c r="B879" s="5" t="n">
        <v>639</v>
      </c>
      <c r="C879" s="7" t="inlineStr">
        <is>
          <t>SIPEAGRO (UF-XXXXX)</t>
        </is>
      </c>
      <c r="D879" s="8" t="inlineStr">
        <is>
          <t>STARKE</t>
        </is>
      </c>
      <c r="E879" s="5" t="n">
        <v>1</v>
      </c>
      <c r="F879" s="7" t="inlineStr">
        <is>
          <t>Nutriente Garantido</t>
        </is>
      </c>
      <c r="G879" s="7" t="inlineStr">
        <is>
          <t>FERTILIZANTES</t>
        </is>
      </c>
      <c r="H879" s="7" t="inlineStr">
        <is>
          <t>Composição Nutricional Oficial (FERTILIZANTES)</t>
        </is>
      </c>
      <c r="I879" s="7" t="inlineStr">
        <is>
          <t>Fertilizante Mineral / Organomineral (Lei nº 6.894/1980)</t>
        </is>
      </c>
      <c r="J879" s="7" t="inlineStr">
        <is>
          <t>Nutrição Vegetal SIPEAGRO</t>
        </is>
      </c>
      <c r="K879" s="7" t="inlineStr">
        <is>
          <t>Fornecimento de macro e micronutrientes essenciais ao metabolismo vegetal</t>
        </is>
      </c>
      <c r="L879" s="9" t="n">
        <v>100</v>
      </c>
      <c r="M879" s="7" t="inlineStr">
        <is>
          <t>% m/m</t>
        </is>
      </c>
      <c r="N879" s="7" t="inlineStr">
        <is>
          <t>Registro Técnico Vinculado MAPA</t>
        </is>
      </c>
    </row>
    <row r="880" ht="22" customHeight="1">
      <c r="A880" s="12" t="inlineStr">
        <is>
          <t>CMP-0876</t>
        </is>
      </c>
      <c r="B880" s="11" t="n">
        <v>640</v>
      </c>
      <c r="C880" s="13" t="inlineStr">
        <is>
          <t>Nº 18220</t>
        </is>
      </c>
      <c r="D880" s="14" t="inlineStr">
        <is>
          <t>TORA</t>
        </is>
      </c>
      <c r="E880" s="11" t="n">
        <v>1</v>
      </c>
      <c r="F880" s="13" t="inlineStr">
        <is>
          <t>Ingrediente Ativo Principal</t>
        </is>
      </c>
      <c r="G880" s="13" t="inlineStr">
        <is>
          <t>MELATIONA 1000</t>
        </is>
      </c>
      <c r="H880" s="13" t="inlineStr">
        <is>
          <t>Diethyl (dimethoxyphosphinothioylthio)succinate</t>
        </is>
      </c>
      <c r="I880" s="13" t="inlineStr">
        <is>
          <t>Organofosforado</t>
        </is>
      </c>
      <c r="J880" s="13" t="inlineStr">
        <is>
          <t>IRAC Grupo 1B</t>
        </is>
      </c>
      <c r="K880" s="13" t="inlineStr">
        <is>
          <t>Inibidores da acetilcolinesterase (AChE)</t>
        </is>
      </c>
      <c r="L880" s="15" t="n">
        <v>1000</v>
      </c>
      <c r="M880" s="13" t="inlineStr">
        <is>
          <t>g/L</t>
        </is>
      </c>
      <c r="N880" s="13" t="inlineStr">
        <is>
          <t>Registro Técnico Vinculado MAPA</t>
        </is>
      </c>
    </row>
    <row r="881" ht="22" customHeight="1">
      <c r="A881" s="6" t="inlineStr">
        <is>
          <t>CMP-0877</t>
        </is>
      </c>
      <c r="B881" s="5" t="n">
        <v>641</v>
      </c>
      <c r="C881" s="7" t="inlineStr">
        <is>
          <t>Nº 27821</t>
        </is>
      </c>
      <c r="D881" s="8" t="inlineStr">
        <is>
          <t>PONTUAL</t>
        </is>
      </c>
      <c r="E881" s="5" t="n">
        <v>1</v>
      </c>
      <c r="F881" s="7" t="inlineStr">
        <is>
          <t>Ingrediente Ativo Principal</t>
        </is>
      </c>
      <c r="G881" s="7" t="inlineStr">
        <is>
          <t>CLOROTALONIL 650</t>
        </is>
      </c>
      <c r="H881" s="7" t="inlineStr">
        <is>
          <t>Tetrachloroisophthalonitrile</t>
        </is>
      </c>
      <c r="I881" s="7" t="inlineStr">
        <is>
          <t>Isoftalonitrila</t>
        </is>
      </c>
      <c r="J881" s="7" t="inlineStr">
        <is>
          <t>FRAC Grupo M05 — Multissítio</t>
        </is>
      </c>
      <c r="K881" s="7" t="inlineStr">
        <is>
          <t>Atividade de contato multissítio (inativação de grupos tiol enzimáticos)</t>
        </is>
      </c>
      <c r="L881" s="9" t="n">
        <v>650</v>
      </c>
      <c r="M881" s="7" t="inlineStr">
        <is>
          <t>g/L</t>
        </is>
      </c>
      <c r="N881" s="7" t="inlineStr">
        <is>
          <t>Registro Técnico Vinculado MAPA</t>
        </is>
      </c>
    </row>
    <row r="882" ht="22" customHeight="1">
      <c r="A882" s="12" t="inlineStr">
        <is>
          <t>CMP-0878</t>
        </is>
      </c>
      <c r="B882" s="11" t="n">
        <v>642</v>
      </c>
      <c r="C882" s="13" t="inlineStr">
        <is>
          <t>SIPEAGRO (UF-XXXXX)</t>
        </is>
      </c>
      <c r="D882" s="14" t="inlineStr">
        <is>
          <t>RESISTANCE TM</t>
        </is>
      </c>
      <c r="E882" s="11" t="n">
        <v>1</v>
      </c>
      <c r="F882" s="13" t="inlineStr">
        <is>
          <t>Nutriente Garantido</t>
        </is>
      </c>
      <c r="G882" s="13" t="inlineStr">
        <is>
          <t>FERTILIZANTES</t>
        </is>
      </c>
      <c r="H882" s="13" t="inlineStr">
        <is>
          <t>Composição Nutricional Oficial (FERTILIZANTES)</t>
        </is>
      </c>
      <c r="I882" s="13" t="inlineStr">
        <is>
          <t>Fertilizante Mineral / Organomineral (Lei nº 6.894/1980)</t>
        </is>
      </c>
      <c r="J882" s="13" t="inlineStr">
        <is>
          <t>Nutrição Vegetal SIPEAGRO</t>
        </is>
      </c>
      <c r="K882" s="13" t="inlineStr">
        <is>
          <t>Fornecimento de macro e micronutrientes essenciais ao metabolismo vegetal</t>
        </is>
      </c>
      <c r="L882" s="15" t="n">
        <v>100</v>
      </c>
      <c r="M882" s="13" t="inlineStr">
        <is>
          <t>% m/m</t>
        </is>
      </c>
      <c r="N882" s="13" t="inlineStr">
        <is>
          <t>Registro Técnico Vinculado MAPA</t>
        </is>
      </c>
    </row>
    <row r="883" ht="22" customHeight="1">
      <c r="A883" s="6" t="inlineStr">
        <is>
          <t>CMP-0879</t>
        </is>
      </c>
      <c r="B883" s="5" t="n">
        <v>643</v>
      </c>
      <c r="C883" s="7" t="inlineStr">
        <is>
          <t>Nº 6697</t>
        </is>
      </c>
      <c r="D883" s="8" t="inlineStr">
        <is>
          <t>VEZIR</t>
        </is>
      </c>
      <c r="E883" s="5" t="n">
        <v>1</v>
      </c>
      <c r="F883" s="7" t="inlineStr">
        <is>
          <t>Ingrediente Ativo Principal</t>
        </is>
      </c>
      <c r="G883" s="7" t="inlineStr">
        <is>
          <t>IMAZETAPIR 212</t>
        </is>
      </c>
      <c r="H883" s="7" t="inlineStr">
        <is>
          <t>(RS)-5-ethyl-2-(4-isopropyl-4-methyl-5-oxo-2-imidazolin-2-yl)nicotinic acid</t>
        </is>
      </c>
      <c r="I883" s="7" t="inlineStr">
        <is>
          <t>Imidazolinona</t>
        </is>
      </c>
      <c r="J883" s="7" t="inlineStr">
        <is>
          <t>HRAC Grupo B (2) — Inibidores da ALS</t>
        </is>
      </c>
      <c r="K883" s="7" t="inlineStr">
        <is>
          <t>Inibição da enzima acetolactato sintase (ALS / AHAS)</t>
        </is>
      </c>
      <c r="L883" s="9" t="n">
        <v>212</v>
      </c>
      <c r="M883" s="7" t="inlineStr">
        <is>
          <t>g/L</t>
        </is>
      </c>
      <c r="N883" s="7" t="inlineStr">
        <is>
          <t>Registro Técnico Vinculado MAPA</t>
        </is>
      </c>
    </row>
    <row r="884" ht="22" customHeight="1">
      <c r="A884" s="12" t="inlineStr">
        <is>
          <t>CMP-0880</t>
        </is>
      </c>
      <c r="B884" s="11" t="n">
        <v>644</v>
      </c>
      <c r="C884" s="13" t="inlineStr">
        <is>
          <t>Nº 8520</t>
        </is>
      </c>
      <c r="D884" s="14" t="inlineStr">
        <is>
          <t>ROMEO SC</t>
        </is>
      </c>
      <c r="E884" s="11" t="n">
        <v>1</v>
      </c>
      <c r="F884" s="13" t="inlineStr">
        <is>
          <t>Agente Biológico / Cepa</t>
        </is>
      </c>
      <c r="G884" s="13" t="inlineStr">
        <is>
          <t>CEREVISANE (Paredes Celulares de Saccharomyces cerevisiae LAS117)</t>
        </is>
      </c>
      <c r="H884" s="13" t="inlineStr">
        <is>
          <t>Paredes celulares de Saccharomyces cerevisiae cepa LAS117</t>
        </is>
      </c>
      <c r="I884" s="13" t="inlineStr">
        <is>
          <t>Extrato de Parede Celular de Levedura (Indutor de Resistência)</t>
        </is>
      </c>
      <c r="J884" s="13" t="inlineStr">
        <is>
          <t>FRAC Grupo P04 / BM01 — Indutor Biológico de Defesa</t>
        </is>
      </c>
      <c r="K884" s="13" t="inlineStr">
        <is>
          <t>Indução sistêmica de resistência adquirida (SAR) na planta hospedeira</t>
        </is>
      </c>
      <c r="L884" s="15" t="n">
        <v>941</v>
      </c>
      <c r="M884" s="13" t="inlineStr">
        <is>
          <t>g/kg</t>
        </is>
      </c>
      <c r="N884" s="13" t="inlineStr">
        <is>
          <t>Lasaffre / AgBiTech LAS117</t>
        </is>
      </c>
    </row>
    <row r="885" ht="22" customHeight="1">
      <c r="A885" s="6" t="inlineStr">
        <is>
          <t>CMP-0881</t>
        </is>
      </c>
      <c r="B885" s="5" t="n">
        <v>645</v>
      </c>
      <c r="C885" s="7" t="inlineStr">
        <is>
          <t>ISENTO (ATO 104/2017)</t>
        </is>
      </c>
      <c r="D885" s="8" t="inlineStr">
        <is>
          <t>ZATO ADJ</t>
        </is>
      </c>
      <c r="E885" s="5" t="n">
        <v>1</v>
      </c>
      <c r="F885" s="7" t="inlineStr">
        <is>
          <t>Ingrediente Ativo Principal</t>
        </is>
      </c>
      <c r="G885" s="7" t="inlineStr">
        <is>
          <t>ADJUVANTE</t>
        </is>
      </c>
      <c r="H885" s="7" t="inlineStr">
        <is>
          <t>Adjuvante Agrícola de Calda (ADJUVANTE)</t>
        </is>
      </c>
      <c r="I885" s="7" t="inlineStr">
        <is>
          <t>Éster Metílico / Hidrocarboneto Parafínico / Tensoativo Siliconado</t>
        </is>
      </c>
      <c r="J885" s="7" t="inlineStr">
        <is>
          <t>Adjuvante Tecnológico de Pulverização</t>
        </is>
      </c>
      <c r="K885" s="7" t="inlineStr">
        <is>
          <t>Redução da tensão superficial, espalhamento, anti-deriva e penetração cuticular</t>
        </is>
      </c>
      <c r="L885" s="9" t="n">
        <v>500</v>
      </c>
      <c r="M885" s="7" t="inlineStr">
        <is>
          <t>g/L</t>
        </is>
      </c>
      <c r="N885" s="7" t="inlineStr">
        <is>
          <t>Registro Técnico Vinculado MAPA</t>
        </is>
      </c>
    </row>
    <row r="886" ht="22" customHeight="1">
      <c r="A886" s="12" t="inlineStr">
        <is>
          <t>CMP-0882</t>
        </is>
      </c>
      <c r="B886" s="11" t="n">
        <v>646</v>
      </c>
      <c r="C886" s="13" t="inlineStr">
        <is>
          <t>Nº 5110</t>
        </is>
      </c>
      <c r="D886" s="14" t="inlineStr">
        <is>
          <t>PLATINUM NEO</t>
        </is>
      </c>
      <c r="E886" s="11" t="n">
        <v>1</v>
      </c>
      <c r="F886" s="13" t="inlineStr">
        <is>
          <t>Ingrediente Ativo Principal</t>
        </is>
      </c>
      <c r="G886" s="13" t="inlineStr">
        <is>
          <t>TIAMETOXAM 141</t>
        </is>
      </c>
      <c r="H886" s="13" t="inlineStr">
        <is>
          <t>(EZ)-3-(2-chloro-1,3-thiazol-5-ylmethyl)-5-methyl-1,3,5-oxadiazinan-4-ylidene(nitro)amine</t>
        </is>
      </c>
      <c r="I886" s="13" t="inlineStr">
        <is>
          <t>Neonicotinoide (Tianicotinil)</t>
        </is>
      </c>
      <c r="J886" s="13" t="inlineStr">
        <is>
          <t>IRAC Grupo 4A</t>
        </is>
      </c>
      <c r="K886" s="13" t="inlineStr">
        <is>
          <t>Moduladores competitivos dos receptores nicotínicos da acetilcolina (nAChR)</t>
        </is>
      </c>
      <c r="L886" s="15" t="n">
        <v>141</v>
      </c>
      <c r="M886" s="13" t="inlineStr">
        <is>
          <t>g/L</t>
        </is>
      </c>
      <c r="N886" s="13" t="inlineStr">
        <is>
          <t>Registro Técnico Vinculado MAPA</t>
        </is>
      </c>
    </row>
    <row r="887" ht="22" customHeight="1">
      <c r="A887" s="6" t="inlineStr">
        <is>
          <t>CMP-0883</t>
        </is>
      </c>
      <c r="B887" s="5" t="n">
        <v>646</v>
      </c>
      <c r="C887" s="7" t="inlineStr">
        <is>
          <t>Nº 5110</t>
        </is>
      </c>
      <c r="D887" s="8" t="inlineStr">
        <is>
          <t>PLATINUM NEO</t>
        </is>
      </c>
      <c r="E887" s="5" t="n">
        <v>2</v>
      </c>
      <c r="F887" s="7" t="inlineStr">
        <is>
          <t>Ingrediente Ativo Principal</t>
        </is>
      </c>
      <c r="G887" s="7" t="inlineStr">
        <is>
          <t>LAMBDA-CIALOTRINA 106</t>
        </is>
      </c>
      <c r="H887" s="7" t="inlineStr">
        <is>
          <t>(R)-a-cyano-3-phenoxybenzyl (1S)-cis-3-[(Z)-2-chloro-3,3,3-trifluoropropenyl]-2,2-dimethylcyclopropanecarboxylate</t>
        </is>
      </c>
      <c r="I887" s="7" t="inlineStr">
        <is>
          <t>Piretroide (Tipo II)</t>
        </is>
      </c>
      <c r="J887" s="7" t="inlineStr">
        <is>
          <t>IRAC Grupo 3A</t>
        </is>
      </c>
      <c r="K887" s="7" t="inlineStr">
        <is>
          <t>Moduladores de canais de sódio em axônios nervosos</t>
        </is>
      </c>
      <c r="L887" s="9" t="n">
        <v>106</v>
      </c>
      <c r="M887" s="7" t="inlineStr">
        <is>
          <t>g/L</t>
        </is>
      </c>
      <c r="N887" s="7" t="inlineStr">
        <is>
          <t>Registro Técnico Vinculado MAPA</t>
        </is>
      </c>
    </row>
    <row r="888" ht="22" customHeight="1">
      <c r="A888" s="12" t="inlineStr">
        <is>
          <t>CMP-0884</t>
        </is>
      </c>
      <c r="B888" s="11" t="n">
        <v>647</v>
      </c>
      <c r="C888" s="13" t="inlineStr">
        <is>
          <t>SIPEAGRO (UF-XXXXX)</t>
        </is>
      </c>
      <c r="D888" s="14" t="inlineStr">
        <is>
          <t>BIOBRADY 1,75L</t>
        </is>
      </c>
      <c r="E888" s="11" t="n">
        <v>1</v>
      </c>
      <c r="F888" s="13" t="inlineStr">
        <is>
          <t>Agente Biológico / Cepa</t>
        </is>
      </c>
      <c r="G888" s="13" t="inlineStr">
        <is>
          <t>BRADYRHIZOBIUM JAPONICUM / ELKANII (SEMIA 5079 + SEMIA 5080 — mín. 5,0x10^9 UFC/mL)</t>
        </is>
      </c>
      <c r="H888" s="13" t="inlineStr">
        <is>
          <t>Bradyrhizobium japonicum SEMIA 5079 e SEMIA 5080</t>
        </is>
      </c>
      <c r="I888" s="13" t="inlineStr">
        <is>
          <t>Inoculante Biológico Fixador Simbiótico de Nitrogênio</t>
        </is>
      </c>
      <c r="J888" s="13" t="inlineStr">
        <is>
          <t>Inoculante Registrado SIPEAGRO/MAPA</t>
        </is>
      </c>
      <c r="K888" s="13" t="inlineStr">
        <is>
          <t>Nodulação radicular e fixação biológica simbiótica de N2 atmosférico em leguminosas</t>
        </is>
      </c>
      <c r="L888" s="15" t="n">
        <v>100</v>
      </c>
      <c r="M888" s="13" t="inlineStr">
        <is>
          <t>% v/v (Veículo Inoculante Estéril)</t>
        </is>
      </c>
      <c r="N888" s="13" t="inlineStr">
        <is>
          <t>Registro Técnico Vinculado MAPA</t>
        </is>
      </c>
    </row>
    <row r="889" ht="22" customHeight="1">
      <c r="A889" s="6" t="inlineStr">
        <is>
          <t>CMP-0885</t>
        </is>
      </c>
      <c r="B889" s="5" t="n">
        <v>648</v>
      </c>
      <c r="C889" s="7" t="inlineStr">
        <is>
          <t>SIPEAGRO (UF-XXXXX)</t>
        </is>
      </c>
      <c r="D889" s="8" t="inlineStr">
        <is>
          <t>INOCULANTE GRAP NOD L+</t>
        </is>
      </c>
      <c r="E889" s="5" t="n">
        <v>1</v>
      </c>
      <c r="F889" s="7" t="inlineStr">
        <is>
          <t>Agente Biológico / Cepa</t>
        </is>
      </c>
      <c r="G889" s="7" t="inlineStr">
        <is>
          <t>AZOSPIRILLUM BRASILENSE CEPAS Ab-V5 E Ab-V6 (Garantia mín. 2,0x10^8 UFC/mL)</t>
        </is>
      </c>
      <c r="H889" s="7" t="inlineStr">
        <is>
          <t>Azospirillum brasilense estirpes Ab-V5 (CNPSo 2083) e Ab-V6 (CNPSo 2084)</t>
        </is>
      </c>
      <c r="I889" s="7" t="inlineStr">
        <is>
          <t>Inoculante Biológico Fixador de Nitrogênio e Promotor de Crescimento (PGPR)</t>
        </is>
      </c>
      <c r="J889" s="7" t="inlineStr">
        <is>
          <t>Inoculante Registrado SIPEAGRO/MAPA</t>
        </is>
      </c>
      <c r="K889" s="7" t="inlineStr">
        <is>
          <t>Fixação biológica de nitrogênio (FBN) e síntese de fitormônios enraizadores (AIA)</t>
        </is>
      </c>
      <c r="L889" s="9" t="n">
        <v>100</v>
      </c>
      <c r="M889" s="7" t="inlineStr">
        <is>
          <t>% v/v (Veículo Inoculante Estéril)</t>
        </is>
      </c>
      <c r="N889" s="7" t="inlineStr">
        <is>
          <t>Registro Técnico Vinculado MAPA</t>
        </is>
      </c>
    </row>
    <row r="890" ht="22" customHeight="1">
      <c r="A890" s="12" t="inlineStr">
        <is>
          <t>CMP-0886</t>
        </is>
      </c>
      <c r="B890" s="11" t="n">
        <v>649</v>
      </c>
      <c r="C890" s="13" t="inlineStr">
        <is>
          <t>Nº 18107</t>
        </is>
      </c>
      <c r="D890" s="14" t="inlineStr">
        <is>
          <t>TALISMAN</t>
        </is>
      </c>
      <c r="E890" s="11" t="n">
        <v>1</v>
      </c>
      <c r="F890" s="13" t="inlineStr">
        <is>
          <t>Ingrediente Ativo Principal</t>
        </is>
      </c>
      <c r="G890" s="13" t="inlineStr">
        <is>
          <t>BIFENTRINA 50</t>
        </is>
      </c>
      <c r="H890" s="13" t="inlineStr">
        <is>
          <t>2-methylbiphenyl-3-ylmethyl (Z)-(1RS,3RS)-3-(2-chloro-3,3,3-trifluoroprop-1-enyl)-2,2-dimethylcyclopropanecarboxylate</t>
        </is>
      </c>
      <c r="I890" s="13" t="inlineStr">
        <is>
          <t>Piretroide (Tipo I)</t>
        </is>
      </c>
      <c r="J890" s="13" t="inlineStr">
        <is>
          <t>IRAC Grupo 3A</t>
        </is>
      </c>
      <c r="K890" s="13" t="inlineStr">
        <is>
          <t>Moduladores de canais de sódio em membranas nervosas</t>
        </is>
      </c>
      <c r="L890" s="15" t="n">
        <v>50</v>
      </c>
      <c r="M890" s="13" t="inlineStr">
        <is>
          <t>g/L</t>
        </is>
      </c>
      <c r="N890" s="13" t="inlineStr">
        <is>
          <t>Registro Técnico Vinculado MAPA</t>
        </is>
      </c>
    </row>
    <row r="891" ht="22" customHeight="1">
      <c r="A891" s="6" t="inlineStr">
        <is>
          <t>CMP-0887</t>
        </is>
      </c>
      <c r="B891" s="5" t="n">
        <v>649</v>
      </c>
      <c r="C891" s="7" t="inlineStr">
        <is>
          <t>Nº 18107</t>
        </is>
      </c>
      <c r="D891" s="8" t="inlineStr">
        <is>
          <t>TALISMAN</t>
        </is>
      </c>
      <c r="E891" s="5" t="n">
        <v>2</v>
      </c>
      <c r="F891" s="7" t="inlineStr">
        <is>
          <t>Ingrediente Ativo Principal</t>
        </is>
      </c>
      <c r="G891" s="7" t="inlineStr">
        <is>
          <t>CARBOSULFANO 150</t>
        </is>
      </c>
      <c r="H891" s="7" t="inlineStr">
        <is>
          <t>2,3-dihydro-2,2-dimethylbenzofuran-7-yl (dibutylaminothio)methylcarbamate</t>
        </is>
      </c>
      <c r="I891" s="7" t="inlineStr">
        <is>
          <t>Carbamato (Benzofurano)</t>
        </is>
      </c>
      <c r="J891" s="7" t="inlineStr">
        <is>
          <t>IRAC Grupo 1A</t>
        </is>
      </c>
      <c r="K891" s="7" t="inlineStr">
        <is>
          <t>Inibidores da acetilcolinesterase (AChE)</t>
        </is>
      </c>
      <c r="L891" s="9" t="n">
        <v>150</v>
      </c>
      <c r="M891" s="7" t="inlineStr">
        <is>
          <t>g/L</t>
        </is>
      </c>
      <c r="N891" s="7" t="inlineStr">
        <is>
          <t>Registro Técnico Vinculado MAPA</t>
        </is>
      </c>
    </row>
    <row r="892" ht="22" customHeight="1">
      <c r="A892" s="12" t="inlineStr">
        <is>
          <t>CMP-0888</t>
        </is>
      </c>
      <c r="B892" s="11" t="n">
        <v>650</v>
      </c>
      <c r="C892" s="13" t="inlineStr">
        <is>
          <t>SIPEAGRO (UF-XXXXX)</t>
        </is>
      </c>
      <c r="D892" s="14" t="inlineStr">
        <is>
          <t>ENDOFUSE 0,5L</t>
        </is>
      </c>
      <c r="E892" s="11" t="n">
        <v>1</v>
      </c>
      <c r="F892" s="13" t="inlineStr">
        <is>
          <t>Nutriente Garantido</t>
        </is>
      </c>
      <c r="G892" s="13" t="inlineStr">
        <is>
          <t>FERTILIZANTES</t>
        </is>
      </c>
      <c r="H892" s="13" t="inlineStr">
        <is>
          <t>Composição Nutricional Oficial (FERTILIZANTES)</t>
        </is>
      </c>
      <c r="I892" s="13" t="inlineStr">
        <is>
          <t>Fertilizante Mineral / Organomineral (Lei nº 6.894/1980)</t>
        </is>
      </c>
      <c r="J892" s="13" t="inlineStr">
        <is>
          <t>Nutrição Vegetal SIPEAGRO</t>
        </is>
      </c>
      <c r="K892" s="13" t="inlineStr">
        <is>
          <t>Fornecimento de macro e micronutrientes essenciais ao metabolismo vegetal</t>
        </is>
      </c>
      <c r="L892" s="15" t="n">
        <v>100</v>
      </c>
      <c r="M892" s="13" t="inlineStr">
        <is>
          <t>% m/m</t>
        </is>
      </c>
      <c r="N892" s="13" t="inlineStr">
        <is>
          <t>Registro Técnico Vinculado MAPA</t>
        </is>
      </c>
    </row>
    <row r="893" ht="22" customHeight="1">
      <c r="A893" s="6" t="inlineStr">
        <is>
          <t>CMP-0889</t>
        </is>
      </c>
      <c r="B893" s="5" t="n">
        <v>651</v>
      </c>
      <c r="C893" s="7" t="inlineStr">
        <is>
          <t>Nº 479097</t>
        </is>
      </c>
      <c r="D893" s="8" t="inlineStr">
        <is>
          <t>SELECT 240 EC</t>
        </is>
      </c>
      <c r="E893" s="5" t="n">
        <v>1</v>
      </c>
      <c r="F893" s="7" t="inlineStr">
        <is>
          <t>Ingrediente Ativo Principal</t>
        </is>
      </c>
      <c r="G893" s="7" t="inlineStr">
        <is>
          <t>CLETODIM 240</t>
        </is>
      </c>
      <c r="H893" s="7" t="inlineStr">
        <is>
          <t>(RS)-2-[(E)-1-[(E)-3-chloroallyloxyimino]propyl]-5-[2-(ethylthio)propyl]-3-hydroxycyclohex-2-en-1-one</t>
        </is>
      </c>
      <c r="I893" s="7" t="inlineStr">
        <is>
          <t>Oxima ciclohexanodiona (DIM)</t>
        </is>
      </c>
      <c r="J893" s="7" t="inlineStr">
        <is>
          <t>HRAC Grupo A (1) — Inibidores da ACCase</t>
        </is>
      </c>
      <c r="K893" s="7" t="inlineStr">
        <is>
          <t>Inibidores da Acetil CoA Carboxilase (ACCase)</t>
        </is>
      </c>
      <c r="L893" s="9" t="n">
        <v>240</v>
      </c>
      <c r="M893" s="7" t="inlineStr">
        <is>
          <t>g/L</t>
        </is>
      </c>
      <c r="N893" s="7" t="inlineStr">
        <is>
          <t>Registro Técnico Vinculado MAPA</t>
        </is>
      </c>
    </row>
    <row r="894" ht="22" customHeight="1">
      <c r="A894" s="12" t="inlineStr">
        <is>
          <t>CMP-0890</t>
        </is>
      </c>
      <c r="B894" s="11" t="n">
        <v>652</v>
      </c>
      <c r="C894" s="13" t="inlineStr">
        <is>
          <t>SIPEAGRO (UF-XXXXX)</t>
        </is>
      </c>
      <c r="D894" s="14" t="inlineStr">
        <is>
          <t>ESTIMULUS ROOT +</t>
        </is>
      </c>
      <c r="E894" s="11" t="n">
        <v>1</v>
      </c>
      <c r="F894" s="13" t="inlineStr">
        <is>
          <t>Nutriente Garantido</t>
        </is>
      </c>
      <c r="G894" s="13" t="inlineStr">
        <is>
          <t>FERTILIZANTES</t>
        </is>
      </c>
      <c r="H894" s="13" t="inlineStr">
        <is>
          <t>Composição Nutricional Oficial (FERTILIZANTES)</t>
        </is>
      </c>
      <c r="I894" s="13" t="inlineStr">
        <is>
          <t>Fertilizante Mineral / Organomineral (Lei nº 6.894/1980)</t>
        </is>
      </c>
      <c r="J894" s="13" t="inlineStr">
        <is>
          <t>Nutrição Vegetal SIPEAGRO</t>
        </is>
      </c>
      <c r="K894" s="13" t="inlineStr">
        <is>
          <t>Fornecimento de macro e micronutrientes essenciais ao metabolismo vegetal</t>
        </is>
      </c>
      <c r="L894" s="15" t="n">
        <v>100</v>
      </c>
      <c r="M894" s="13" t="inlineStr">
        <is>
          <t>% m/m</t>
        </is>
      </c>
      <c r="N894" s="13" t="inlineStr">
        <is>
          <t>Registro Técnico Vinculado MAPA</t>
        </is>
      </c>
    </row>
    <row r="895" ht="22" customHeight="1">
      <c r="A895" s="6" t="inlineStr">
        <is>
          <t>CMP-0891</t>
        </is>
      </c>
      <c r="B895" s="5" t="n">
        <v>653</v>
      </c>
      <c r="C895" s="7" t="inlineStr">
        <is>
          <t>ISENTO (ATO 104/2017)</t>
        </is>
      </c>
      <c r="D895" s="8" t="inlineStr">
        <is>
          <t>SPREAD MPO</t>
        </is>
      </c>
      <c r="E895" s="5" t="n">
        <v>1</v>
      </c>
      <c r="F895" s="7" t="inlineStr">
        <is>
          <t>Ingrediente Ativo Principal</t>
        </is>
      </c>
      <c r="G895" s="7" t="inlineStr">
        <is>
          <t>COPOLÍMERO DE POLIMETILSILOXANO POLIÉTER (Tensoativo Organossiliconado)</t>
        </is>
      </c>
      <c r="H895" s="7" t="inlineStr">
        <is>
          <t>Polyalkyleneoxide modified heptamethyltrisiloxane</t>
        </is>
      </c>
      <c r="I895" s="7" t="inlineStr">
        <is>
          <t>Adjuvante Surfactante Organossiliconado</t>
        </is>
      </c>
      <c r="J895" s="7" t="inlineStr">
        <is>
          <t>Auxiliar de Tecnologia de Aplicação (Ato SDA 104/2017)</t>
        </is>
      </c>
      <c r="K895" s="7" t="inlineStr">
        <is>
          <t>Quebra da tensão superficial da gota e superespalhamento foliar</t>
        </is>
      </c>
      <c r="L895" s="9" t="n">
        <v>1000</v>
      </c>
      <c r="M895" s="7" t="inlineStr">
        <is>
          <t>g/L</t>
        </is>
      </c>
      <c r="N895" s="7" t="inlineStr">
        <is>
          <t>Registro Técnico Vinculado MAPA</t>
        </is>
      </c>
    </row>
    <row r="896" ht="22" customHeight="1">
      <c r="A896" s="12" t="inlineStr">
        <is>
          <t>CMP-0892</t>
        </is>
      </c>
      <c r="B896" s="11" t="n">
        <v>654</v>
      </c>
      <c r="C896" s="13" t="inlineStr">
        <is>
          <t>ISENTO (ATO 104/2017)</t>
        </is>
      </c>
      <c r="D896" s="14" t="inlineStr">
        <is>
          <t>AGRIS</t>
        </is>
      </c>
      <c r="E896" s="11" t="n">
        <v>1</v>
      </c>
      <c r="F896" s="13" t="inlineStr">
        <is>
          <t>Ingrediente Ativo Principal</t>
        </is>
      </c>
      <c r="G896" s="13" t="inlineStr">
        <is>
          <t>ADJUVANTE</t>
        </is>
      </c>
      <c r="H896" s="13" t="inlineStr">
        <is>
          <t>Adjuvante Agrícola de Calda (ADJUVANTE)</t>
        </is>
      </c>
      <c r="I896" s="13" t="inlineStr">
        <is>
          <t>Éster Metílico / Hidrocarboneto Parafínico / Tensoativo Siliconado</t>
        </is>
      </c>
      <c r="J896" s="13" t="inlineStr">
        <is>
          <t>Adjuvante Tecnológico de Pulverização</t>
        </is>
      </c>
      <c r="K896" s="13" t="inlineStr">
        <is>
          <t>Redução da tensão superficial, espalhamento, anti-deriva e penetração cuticular</t>
        </is>
      </c>
      <c r="L896" s="15" t="n">
        <v>500</v>
      </c>
      <c r="M896" s="13" t="inlineStr">
        <is>
          <t>g/L</t>
        </is>
      </c>
      <c r="N896" s="13" t="inlineStr">
        <is>
          <t>Registro Técnico Vinculado MAPA</t>
        </is>
      </c>
    </row>
    <row r="897" ht="22" customHeight="1">
      <c r="A897" s="6" t="inlineStr">
        <is>
          <t>CMP-0893</t>
        </is>
      </c>
      <c r="B897" s="5" t="n">
        <v>655</v>
      </c>
      <c r="C897" s="7" t="inlineStr">
        <is>
          <t>SIPEAGRO (UF-XXXXX)</t>
        </is>
      </c>
      <c r="D897" s="8" t="inlineStr">
        <is>
          <t>VITAL SOLO BORO</t>
        </is>
      </c>
      <c r="E897" s="5" t="n">
        <v>1</v>
      </c>
      <c r="F897" s="7" t="inlineStr">
        <is>
          <t>Nutriente Garantido</t>
        </is>
      </c>
      <c r="G897" s="7" t="inlineStr">
        <is>
          <t>FERTILIZANTES</t>
        </is>
      </c>
      <c r="H897" s="7" t="inlineStr">
        <is>
          <t>Composição Nutricional Oficial (FERTILIZANTES)</t>
        </is>
      </c>
      <c r="I897" s="7" t="inlineStr">
        <is>
          <t>Fertilizante Mineral / Organomineral (Lei nº 6.894/1980)</t>
        </is>
      </c>
      <c r="J897" s="7" t="inlineStr">
        <is>
          <t>Nutrição Vegetal SIPEAGRO</t>
        </is>
      </c>
      <c r="K897" s="7" t="inlineStr">
        <is>
          <t>Fornecimento de macro e micronutrientes essenciais ao metabolismo vegetal</t>
        </is>
      </c>
      <c r="L897" s="9" t="n">
        <v>100</v>
      </c>
      <c r="M897" s="7" t="inlineStr">
        <is>
          <t>% m/m</t>
        </is>
      </c>
      <c r="N897" s="7" t="inlineStr">
        <is>
          <t>Registro Técnico Vinculado MAPA</t>
        </is>
      </c>
    </row>
    <row r="898" ht="22" customHeight="1">
      <c r="A898" s="12" t="inlineStr">
        <is>
          <t>CMP-0894</t>
        </is>
      </c>
      <c r="B898" s="11" t="n">
        <v>656</v>
      </c>
      <c r="C898" s="13" t="inlineStr">
        <is>
          <t>SIPEAGRO (UF-XXXXX)</t>
        </is>
      </c>
      <c r="D898" s="14" t="inlineStr">
        <is>
          <t>RESISTANCE BAC-F</t>
        </is>
      </c>
      <c r="E898" s="11" t="n">
        <v>1</v>
      </c>
      <c r="F898" s="13" t="inlineStr">
        <is>
          <t>Nutriente Garantido</t>
        </is>
      </c>
      <c r="G898" s="13" t="inlineStr">
        <is>
          <t>FERTILIZANTES</t>
        </is>
      </c>
      <c r="H898" s="13" t="inlineStr">
        <is>
          <t>Composição Nutricional Oficial (FERTILIZANTES)</t>
        </is>
      </c>
      <c r="I898" s="13" t="inlineStr">
        <is>
          <t>Fertilizante Mineral / Organomineral (Lei nº 6.894/1980)</t>
        </is>
      </c>
      <c r="J898" s="13" t="inlineStr">
        <is>
          <t>Nutrição Vegetal SIPEAGRO</t>
        </is>
      </c>
      <c r="K898" s="13" t="inlineStr">
        <is>
          <t>Fornecimento de macro e micronutrientes essenciais ao metabolismo vegetal</t>
        </is>
      </c>
      <c r="L898" s="15" t="n">
        <v>100</v>
      </c>
      <c r="M898" s="13" t="inlineStr">
        <is>
          <t>% m/m</t>
        </is>
      </c>
      <c r="N898" s="13" t="inlineStr">
        <is>
          <t>Registro Técnico Vinculado MAPA</t>
        </is>
      </c>
    </row>
    <row r="899" ht="22" customHeight="1">
      <c r="A899" s="6" t="inlineStr">
        <is>
          <t>CMP-0895</t>
        </is>
      </c>
      <c r="B899" s="5" t="n">
        <v>657</v>
      </c>
      <c r="C899" s="7" t="inlineStr">
        <is>
          <t>SIPEAGRO (UF-XXXXX)</t>
        </is>
      </c>
      <c r="D899" s="8" t="inlineStr">
        <is>
          <t>RESISTANCE BAC-F</t>
        </is>
      </c>
      <c r="E899" s="5" t="n">
        <v>1</v>
      </c>
      <c r="F899" s="7" t="inlineStr">
        <is>
          <t>Nutriente Garantido</t>
        </is>
      </c>
      <c r="G899" s="7" t="inlineStr">
        <is>
          <t>FERTILIZANTES</t>
        </is>
      </c>
      <c r="H899" s="7" t="inlineStr">
        <is>
          <t>Composição Nutricional Oficial (FERTILIZANTES)</t>
        </is>
      </c>
      <c r="I899" s="7" t="inlineStr">
        <is>
          <t>Fertilizante Mineral / Organomineral (Lei nº 6.894/1980)</t>
        </is>
      </c>
      <c r="J899" s="7" t="inlineStr">
        <is>
          <t>Nutrição Vegetal SIPEAGRO</t>
        </is>
      </c>
      <c r="K899" s="7" t="inlineStr">
        <is>
          <t>Fornecimento de macro e micronutrientes essenciais ao metabolismo vegetal</t>
        </is>
      </c>
      <c r="L899" s="9" t="n">
        <v>100</v>
      </c>
      <c r="M899" s="7" t="inlineStr">
        <is>
          <t>% m/m</t>
        </is>
      </c>
      <c r="N899" s="7" t="inlineStr">
        <is>
          <t>Registro Técnico Vinculado MAPA</t>
        </is>
      </c>
    </row>
    <row r="900" ht="22" customHeight="1">
      <c r="A900" s="12" t="inlineStr">
        <is>
          <t>CMP-0896</t>
        </is>
      </c>
      <c r="B900" s="11" t="n">
        <v>658</v>
      </c>
      <c r="C900" s="13" t="inlineStr">
        <is>
          <t>Nº 3123</t>
        </is>
      </c>
      <c r="D900" s="14" t="inlineStr">
        <is>
          <t>IMIDACLOPRID NORTOX</t>
        </is>
      </c>
      <c r="E900" s="11" t="n">
        <v>1</v>
      </c>
      <c r="F900" s="13" t="inlineStr">
        <is>
          <t>Ingrediente Ativo Principal</t>
        </is>
      </c>
      <c r="G900" s="13" t="inlineStr">
        <is>
          <t>IMIDACLOPRIDO 480</t>
        </is>
      </c>
      <c r="H900" s="13" t="inlineStr">
        <is>
          <t>(E)-1-(6-chloro-3-pyridylmethyl)-N-nitroimidazolidin-2-ylideneamine</t>
        </is>
      </c>
      <c r="I900" s="13" t="inlineStr">
        <is>
          <t>Neonicotinoide</t>
        </is>
      </c>
      <c r="J900" s="13" t="inlineStr">
        <is>
          <t>IRAC Grupo 4A</t>
        </is>
      </c>
      <c r="K900" s="13" t="inlineStr">
        <is>
          <t>Moduladores competitivos dos receptores nicotínicos da acetilcolina (nAChR)</t>
        </is>
      </c>
      <c r="L900" s="15" t="n">
        <v>480</v>
      </c>
      <c r="M900" s="13" t="inlineStr">
        <is>
          <t>g/L</t>
        </is>
      </c>
      <c r="N900" s="13" t="inlineStr">
        <is>
          <t>Registro Técnico Vinculado MAPA</t>
        </is>
      </c>
    </row>
    <row r="901" ht="22" customHeight="1">
      <c r="A901" s="6" t="inlineStr">
        <is>
          <t>CMP-0897</t>
        </is>
      </c>
      <c r="B901" s="5" t="n">
        <v>659</v>
      </c>
      <c r="C901" s="7" t="inlineStr">
        <is>
          <t>Nº 15420</t>
        </is>
      </c>
      <c r="D901" s="8" t="inlineStr">
        <is>
          <t>KYOJIN</t>
        </is>
      </c>
      <c r="E901" s="5" t="n">
        <v>1</v>
      </c>
      <c r="F901" s="7" t="inlineStr">
        <is>
          <t>Ingrediente Ativo Principal</t>
        </is>
      </c>
      <c r="G901" s="7" t="inlineStr">
        <is>
          <t>Piroxasulfona 300</t>
        </is>
      </c>
      <c r="H901" s="7" t="inlineStr">
        <is>
          <t>3-[5-(difluoromethoxy)-1-methyl-3-(trifluoromethyl)pyrazol-4-ylmethylsulfonyl]-4,5-dihydro-5,5-dimethyl-1,2-oxazole</t>
        </is>
      </c>
      <c r="I901" s="7" t="inlineStr">
        <is>
          <t>Isoxazolina</t>
        </is>
      </c>
      <c r="J901" s="7" t="inlineStr">
        <is>
          <t>HRAC Grupo K3 (15) — Inibidores de VLCFA</t>
        </is>
      </c>
      <c r="K901" s="7" t="inlineStr">
        <is>
          <t>Inibição da síntese de ácidos graxos de cadeia muito longa (VLCFA)</t>
        </is>
      </c>
      <c r="L901" s="9" t="n">
        <v>300</v>
      </c>
      <c r="M901" s="7" t="inlineStr">
        <is>
          <t>g/L</t>
        </is>
      </c>
      <c r="N901" s="7" t="inlineStr">
        <is>
          <t>Registro Técnico Vinculado MAPA</t>
        </is>
      </c>
    </row>
    <row r="902" ht="22" customHeight="1">
      <c r="A902" s="12" t="inlineStr">
        <is>
          <t>CMP-0898</t>
        </is>
      </c>
      <c r="B902" s="11" t="n">
        <v>659</v>
      </c>
      <c r="C902" s="13" t="inlineStr">
        <is>
          <t>Nº 15420</t>
        </is>
      </c>
      <c r="D902" s="14" t="inlineStr">
        <is>
          <t>KYOJIN</t>
        </is>
      </c>
      <c r="E902" s="11" t="n">
        <v>2</v>
      </c>
      <c r="F902" s="13" t="inlineStr">
        <is>
          <t>Ingrediente Ativo Principal</t>
        </is>
      </c>
      <c r="G902" s="13" t="inlineStr">
        <is>
          <t>Flumioxazina 200</t>
        </is>
      </c>
      <c r="H902" s="13" t="inlineStr">
        <is>
          <t>N-(7-fluoro-3,4-dihydro-3-oxo-4-prop-2-ynyl-2H-1,4-benzoxazin-6-yl)cyclohex-1-ene-1,2-dicarboximide</t>
        </is>
      </c>
      <c r="I902" s="13" t="inlineStr">
        <is>
          <t>N-fenilftalimida</t>
        </is>
      </c>
      <c r="J902" s="13" t="inlineStr">
        <is>
          <t>HRAC Grupo E (14) — Inibidores da PROTOX</t>
        </is>
      </c>
      <c r="K902" s="13" t="inlineStr">
        <is>
          <t>Inibidores da enzima protoporfirinogênio oxidase (PROTOX)</t>
        </is>
      </c>
      <c r="L902" s="15" t="n">
        <v>200</v>
      </c>
      <c r="M902" s="13" t="inlineStr">
        <is>
          <t>g/L</t>
        </is>
      </c>
      <c r="N902" s="13" t="inlineStr">
        <is>
          <t>Registro Técnico Vinculado MAPA</t>
        </is>
      </c>
    </row>
    <row r="903" ht="22" customHeight="1">
      <c r="A903" s="6" t="inlineStr">
        <is>
          <t>CMP-0899</t>
        </is>
      </c>
      <c r="B903" s="5" t="n">
        <v>660</v>
      </c>
      <c r="C903" s="7" t="inlineStr">
        <is>
          <t>Nº 9917</t>
        </is>
      </c>
      <c r="D903" s="8" t="inlineStr">
        <is>
          <t>PRISMA PLUS</t>
        </is>
      </c>
      <c r="E903" s="5" t="n">
        <v>1</v>
      </c>
      <c r="F903" s="7" t="inlineStr">
        <is>
          <t>Ingrediente Ativo Principal</t>
        </is>
      </c>
      <c r="G903" s="7" t="inlineStr">
        <is>
          <t>DIFENOCONAZOL 250</t>
        </is>
      </c>
      <c r="H903" s="7" t="inlineStr">
        <is>
          <t>cis,trans-3-chloro-4-[4-methyl-2-(1H-1,2,4-triazol-1-ylmethyl)-1,3-dioxolan-2-yl]phenyl 4-chlorophenyl ether</t>
        </is>
      </c>
      <c r="I903" s="7" t="inlineStr">
        <is>
          <t>Triazol</t>
        </is>
      </c>
      <c r="J903" s="7" t="inlineStr">
        <is>
          <t>FRAC Grupo 3 (DMI)</t>
        </is>
      </c>
      <c r="K903" s="7" t="inlineStr">
        <is>
          <t>Inibidores da desmetilação de esteróis (C14-desmetilase na síntese de ergosterol)</t>
        </is>
      </c>
      <c r="L903" s="9" t="n">
        <v>250</v>
      </c>
      <c r="M903" s="7" t="inlineStr">
        <is>
          <t>g/L</t>
        </is>
      </c>
      <c r="N903" s="7" t="inlineStr">
        <is>
          <t>Registro Técnico Vinculado MAPA</t>
        </is>
      </c>
    </row>
    <row r="904" ht="22" customHeight="1">
      <c r="A904" s="12" t="inlineStr">
        <is>
          <t>CMP-0900</t>
        </is>
      </c>
      <c r="B904" s="11" t="n">
        <v>661</v>
      </c>
      <c r="C904" s="13" t="inlineStr">
        <is>
          <t>Nº 12407</t>
        </is>
      </c>
      <c r="D904" s="14" t="inlineStr">
        <is>
          <t>ECHO</t>
        </is>
      </c>
      <c r="E904" s="11" t="n">
        <v>1</v>
      </c>
      <c r="F904" s="13" t="inlineStr">
        <is>
          <t>Ingrediente Ativo Principal</t>
        </is>
      </c>
      <c r="G904" s="13" t="inlineStr">
        <is>
          <t>CLOROTALONIL</t>
        </is>
      </c>
      <c r="H904" s="13" t="inlineStr">
        <is>
          <t>Tetrachloroisophthalonitrile</t>
        </is>
      </c>
      <c r="I904" s="13" t="inlineStr">
        <is>
          <t>Isoftalonitrila</t>
        </is>
      </c>
      <c r="J904" s="13" t="inlineStr">
        <is>
          <t>FRAC Grupo M05 — Multissítio</t>
        </is>
      </c>
      <c r="K904" s="13" t="inlineStr">
        <is>
          <t>Atividade de contato multissítio (inativação de grupos tiol enzimáticos)</t>
        </is>
      </c>
      <c r="L904" s="15" t="n">
        <v>720</v>
      </c>
      <c r="M904" s="13" t="inlineStr">
        <is>
          <t>g/L</t>
        </is>
      </c>
      <c r="N904" s="13" t="inlineStr">
        <is>
          <t>Clorotalonil Técnico Oxon</t>
        </is>
      </c>
    </row>
    <row r="905" ht="22" customHeight="1">
      <c r="A905" s="6" t="inlineStr">
        <is>
          <t>CMP-0901</t>
        </is>
      </c>
      <c r="B905" s="5" t="n">
        <v>662</v>
      </c>
      <c r="C905" s="7" t="inlineStr">
        <is>
          <t>VINCULAR MARCA</t>
        </is>
      </c>
      <c r="D905" s="8" t="inlineStr">
        <is>
          <t>ACTTRA NOCTUIDEO</t>
        </is>
      </c>
      <c r="E905" s="5" t="n">
        <v>1</v>
      </c>
      <c r="F905" s="7" t="inlineStr">
        <is>
          <t>Ingrediente Ativo Principal</t>
        </is>
      </c>
      <c r="G905" s="7" t="inlineStr">
        <is>
          <t>ATRATIVO ALIMENTAR / SEMIOQUIMICO NOCTUIDEOS</t>
        </is>
      </c>
      <c r="H905" s="7" t="inlineStr">
        <is>
          <t>Composto de extratos vegetais, açúcares e voláteis atrativos para Lepidópteros</t>
        </is>
      </c>
      <c r="I905" s="7" t="inlineStr">
        <is>
          <t>Semioquímico / Atrativo Alimentar de Noctuídeos</t>
        </is>
      </c>
      <c r="J905" s="7" t="inlineStr">
        <is>
          <t>Manejo Comportamental (Atrai-e-Mata / Monitoramento)</t>
        </is>
      </c>
      <c r="K905" s="7" t="inlineStr">
        <is>
          <t>Atração olfativa e fagorreguladora de adultos de mariposas Noctuidae</t>
        </is>
      </c>
      <c r="L905" s="9" t="n">
        <v>500</v>
      </c>
      <c r="M905" s="7" t="inlineStr">
        <is>
          <t>g/L</t>
        </is>
      </c>
      <c r="N905" s="7" t="inlineStr">
        <is>
          <t>Registro Técnico Vinculado MAPA</t>
        </is>
      </c>
    </row>
    <row r="906" ht="22" customHeight="1">
      <c r="A906" s="12" t="inlineStr">
        <is>
          <t>CMP-0902</t>
        </is>
      </c>
      <c r="B906" s="11" t="n">
        <v>663</v>
      </c>
      <c r="C906" s="13" t="inlineStr">
        <is>
          <t>Nº 3202</t>
        </is>
      </c>
      <c r="D906" s="14" t="inlineStr">
        <is>
          <t>IMPULSE</t>
        </is>
      </c>
      <c r="E906" s="11" t="n">
        <v>1</v>
      </c>
      <c r="F906" s="13" t="inlineStr">
        <is>
          <t>Ingrediente Ativo Principal</t>
        </is>
      </c>
      <c r="G906" s="13" t="inlineStr">
        <is>
          <t>ETEFOM</t>
        </is>
      </c>
      <c r="H906" s="13" t="inlineStr">
        <is>
          <t>2-chloroethylphosphonic acid</t>
        </is>
      </c>
      <c r="I906" s="13" t="inlineStr">
        <is>
          <t>Ácido Fosfônico (Gerador de Etileno)</t>
        </is>
      </c>
      <c r="J906" s="13" t="inlineStr">
        <is>
          <t>Regulador de Crescimento Vegetal (Precursor de Etileno)</t>
        </is>
      </c>
      <c r="K906" s="13" t="inlineStr">
        <is>
          <t>Liberação de etileno nos tecidos vegetais (maturação e desfolha)</t>
        </is>
      </c>
      <c r="L906" s="15" t="n">
        <v>720</v>
      </c>
      <c r="M906" s="13" t="inlineStr">
        <is>
          <t>g/L</t>
        </is>
      </c>
      <c r="N906" s="13" t="inlineStr">
        <is>
          <t>Ethephon Técnico Bayer</t>
        </is>
      </c>
    </row>
    <row r="907" ht="22" customHeight="1">
      <c r="A907" s="6" t="inlineStr">
        <is>
          <t>CMP-0903</t>
        </is>
      </c>
      <c r="B907" s="5" t="n">
        <v>664</v>
      </c>
      <c r="C907" s="7" t="inlineStr">
        <is>
          <t>Nº 0820</t>
        </is>
      </c>
      <c r="D907" s="8" t="inlineStr">
        <is>
          <t>MESOPEC</t>
        </is>
      </c>
      <c r="E907" s="5" t="n">
        <v>1</v>
      </c>
      <c r="F907" s="7" t="inlineStr">
        <is>
          <t>Ingrediente Ativo Principal</t>
        </is>
      </c>
      <c r="G907" s="7" t="inlineStr">
        <is>
          <t>MESOTRIONA 480</t>
        </is>
      </c>
      <c r="H907" s="7" t="inlineStr">
        <is>
          <t>2-(4-mesyl-2-nitrobenzoyl)cyclohexane-1,3-dione</t>
        </is>
      </c>
      <c r="I907" s="7" t="inlineStr">
        <is>
          <t>Tricetona</t>
        </is>
      </c>
      <c r="J907" s="7" t="inlineStr">
        <is>
          <t>HRAC Grupo F2 (27) — Inibidores da HPPD</t>
        </is>
      </c>
      <c r="K907" s="7" t="inlineStr">
        <is>
          <t>Inibidores da enzima 4-hidroxifenil-piruvato-dioxigenase (HPPD - biossíntese de carotenoides)</t>
        </is>
      </c>
      <c r="L907" s="9" t="n">
        <v>480</v>
      </c>
      <c r="M907" s="7" t="inlineStr">
        <is>
          <t>g/L</t>
        </is>
      </c>
      <c r="N907" s="7" t="inlineStr">
        <is>
          <t>Registro Técnico Vinculado MAPA</t>
        </is>
      </c>
    </row>
    <row r="908" ht="22" customHeight="1">
      <c r="A908" s="12" t="inlineStr">
        <is>
          <t>CMP-0904</t>
        </is>
      </c>
      <c r="B908" s="11" t="n">
        <v>665</v>
      </c>
      <c r="C908" s="13" t="inlineStr">
        <is>
          <t>Nº 16320</t>
        </is>
      </c>
      <c r="D908" s="14" t="inlineStr">
        <is>
          <t>TAKUMI</t>
        </is>
      </c>
      <c r="E908" s="11" t="n">
        <v>1</v>
      </c>
      <c r="F908" s="13" t="inlineStr">
        <is>
          <t>Ingrediente Ativo Principal</t>
        </is>
      </c>
      <c r="G908" s="13" t="inlineStr">
        <is>
          <t>FLUBENDIAMIDA 222</t>
        </is>
      </c>
      <c r="H908" s="13" t="inlineStr">
        <is>
          <t>N2-[1,1-dimethyl-2-(methylsulfonyl)ethyl]-3-iodo-N1-[2-methyl-4-[1,2,2,2-tetrafluoro-1-(trifluoromethyl)ethyl]phenyl]phthalamide</t>
        </is>
      </c>
      <c r="I908" s="13" t="inlineStr">
        <is>
          <t>Diamida do Ácido Ftálico</t>
        </is>
      </c>
      <c r="J908" s="13" t="inlineStr">
        <is>
          <t>IRAC Grupo 28</t>
        </is>
      </c>
      <c r="K908" s="13" t="inlineStr">
        <is>
          <t>Moduladores dos receptores de rianodina (RyR)</t>
        </is>
      </c>
      <c r="L908" s="15" t="n">
        <v>222</v>
      </c>
      <c r="M908" s="13" t="inlineStr">
        <is>
          <t>g/L</t>
        </is>
      </c>
      <c r="N908" s="13" t="inlineStr">
        <is>
          <t>Registro Técnico Vinculado MAPA</t>
        </is>
      </c>
    </row>
    <row r="909" ht="22" customHeight="1">
      <c r="A909" s="6" t="inlineStr">
        <is>
          <t>CMP-0905</t>
        </is>
      </c>
      <c r="B909" s="5" t="n">
        <v>666</v>
      </c>
      <c r="C909" s="7" t="inlineStr">
        <is>
          <t>Nº 3101</t>
        </is>
      </c>
      <c r="D909" s="8" t="inlineStr">
        <is>
          <t>CIPERMETRINA NORTOX 250 EC</t>
        </is>
      </c>
      <c r="E909" s="5" t="n">
        <v>1</v>
      </c>
      <c r="F909" s="7" t="inlineStr">
        <is>
          <t>Ingrediente Ativo Principal</t>
        </is>
      </c>
      <c r="G909" s="7" t="inlineStr">
        <is>
          <t>CIPERMETRINA 250</t>
        </is>
      </c>
      <c r="H909" s="7" t="inlineStr">
        <is>
          <t>(RS)-alpha-cyano-3-phenoxybenzyl (1RS,3RS;1RS,3SR)-3-(2,2-dichlorovinyl)-2,2-dimethylcyclopropanecarboxylate</t>
        </is>
      </c>
      <c r="I909" s="7" t="inlineStr">
        <is>
          <t>Piretroide (Tipo II)</t>
        </is>
      </c>
      <c r="J909" s="7" t="inlineStr">
        <is>
          <t>IRAC Grupo 3A</t>
        </is>
      </c>
      <c r="K909" s="7" t="inlineStr">
        <is>
          <t>Moduladores de canais de sódio em membranas nervosas</t>
        </is>
      </c>
      <c r="L909" s="9" t="n">
        <v>250</v>
      </c>
      <c r="M909" s="7" t="inlineStr">
        <is>
          <t>g/L</t>
        </is>
      </c>
      <c r="N909" s="7" t="inlineStr">
        <is>
          <t>Registro Técnico Vinculado MAPA</t>
        </is>
      </c>
    </row>
    <row r="910" ht="22" customHeight="1">
      <c r="A910" s="12" t="inlineStr">
        <is>
          <t>CMP-0906</t>
        </is>
      </c>
      <c r="B910" s="11" t="n">
        <v>667</v>
      </c>
      <c r="C910" s="13" t="inlineStr">
        <is>
          <t>SIPEAGRO (UF-XXXXX)</t>
        </is>
      </c>
      <c r="D910" s="14" t="inlineStr">
        <is>
          <t>INOCULANTE BS GRAMINEAS</t>
        </is>
      </c>
      <c r="E910" s="11" t="n">
        <v>1</v>
      </c>
      <c r="F910" s="13" t="inlineStr">
        <is>
          <t>Agente Biológico / Cepa</t>
        </is>
      </c>
      <c r="G910" s="13" t="inlineStr">
        <is>
          <t>AZOSPIRILLUM BRASILENSE CEPAS Ab-V5 E Ab-V6 (Garantia mín. 2,0x10^8 UFC/mL)</t>
        </is>
      </c>
      <c r="H910" s="13" t="inlineStr">
        <is>
          <t>Azospirillum brasilense estirpes Ab-V5 (CNPSo 2083) e Ab-V6 (CNPSo 2084)</t>
        </is>
      </c>
      <c r="I910" s="13" t="inlineStr">
        <is>
          <t>Inoculante Biológico Fixador de Nitrogênio e Promotor de Crescimento (PGPR)</t>
        </is>
      </c>
      <c r="J910" s="13" t="inlineStr">
        <is>
          <t>Inoculante Registrado SIPEAGRO/MAPA</t>
        </is>
      </c>
      <c r="K910" s="13" t="inlineStr">
        <is>
          <t>Fixação biológica de nitrogênio (FBN) e síntese de fitormônios enraizadores (AIA)</t>
        </is>
      </c>
      <c r="L910" s="15" t="n">
        <v>100</v>
      </c>
      <c r="M910" s="13" t="inlineStr">
        <is>
          <t>% v/v (Veículo Inoculante Estéril)</t>
        </is>
      </c>
      <c r="N910" s="13" t="inlineStr">
        <is>
          <t>Registro Técnico Vinculado MAPA</t>
        </is>
      </c>
    </row>
    <row r="911" ht="22" customHeight="1">
      <c r="A911" s="6" t="inlineStr">
        <is>
          <t>CMP-0907</t>
        </is>
      </c>
      <c r="B911" s="5" t="n">
        <v>668</v>
      </c>
      <c r="C911" s="7" t="inlineStr">
        <is>
          <t>SIPEAGRO (UF-XXXXX)</t>
        </is>
      </c>
      <c r="D911" s="8" t="inlineStr">
        <is>
          <t>INOCULANTE GRAP NOD L + 1,75L</t>
        </is>
      </c>
      <c r="E911" s="5" t="n">
        <v>1</v>
      </c>
      <c r="F911" s="7" t="inlineStr">
        <is>
          <t>Agente Biológico / Cepa</t>
        </is>
      </c>
      <c r="G911" s="7" t="inlineStr">
        <is>
          <t>BRADYRHIZOBIUM JAPONICUM / ELKANII (SEMIA 5079 + SEMIA 5080 — mín. 5,0x10^9 UFC/mL)</t>
        </is>
      </c>
      <c r="H911" s="7" t="inlineStr">
        <is>
          <t>Bradyrhizobium japonicum SEMIA 5079 e SEMIA 5080</t>
        </is>
      </c>
      <c r="I911" s="7" t="inlineStr">
        <is>
          <t>Inoculante Biológico Fixador Simbiótico de Nitrogênio</t>
        </is>
      </c>
      <c r="J911" s="7" t="inlineStr">
        <is>
          <t>Inoculante Registrado SIPEAGRO/MAPA</t>
        </is>
      </c>
      <c r="K911" s="7" t="inlineStr">
        <is>
          <t>Nodulação radicular e fixação biológica simbiótica de N2 atmosférico em leguminosas</t>
        </is>
      </c>
      <c r="L911" s="9" t="n">
        <v>100</v>
      </c>
      <c r="M911" s="7" t="inlineStr">
        <is>
          <t>% v/v (Veículo Inoculante Estéril)</t>
        </is>
      </c>
      <c r="N911" s="7" t="inlineStr">
        <is>
          <t>Registro Técnico Vinculado MAPA</t>
        </is>
      </c>
    </row>
    <row r="912" ht="22" customHeight="1">
      <c r="A912" s="12" t="inlineStr">
        <is>
          <t>CMP-0908</t>
        </is>
      </c>
      <c r="B912" s="11" t="n">
        <v>669</v>
      </c>
      <c r="C912" s="13" t="inlineStr">
        <is>
          <t>Nº 18007</t>
        </is>
      </c>
      <c r="D912" s="14" t="inlineStr">
        <is>
          <t>UNIZEB GOLD BR</t>
        </is>
      </c>
      <c r="E912" s="11" t="n">
        <v>1</v>
      </c>
      <c r="F912" s="13" t="inlineStr">
        <is>
          <t>Ingrediente Ativo Principal</t>
        </is>
      </c>
      <c r="G912" s="13" t="inlineStr">
        <is>
          <t>MANCOZEB 750</t>
        </is>
      </c>
      <c r="H912" s="13" t="inlineStr">
        <is>
          <t>Manganese ethylenebis(dithiocarbamate) (polymeric) complex with zinc salt</t>
        </is>
      </c>
      <c r="I912" s="13" t="inlineStr">
        <is>
          <t>Alquilenobis(ditiocarbamato)</t>
        </is>
      </c>
      <c r="J912" s="13" t="inlineStr">
        <is>
          <t>FRAC Grupo M03 — Multissítio</t>
        </is>
      </c>
      <c r="K912" s="13" t="inlineStr">
        <is>
          <t>Inibidor multissítio de enzimas contendo grupos sulfidrila e aminoácidos fúngicos</t>
        </is>
      </c>
      <c r="L912" s="15" t="n">
        <v>750</v>
      </c>
      <c r="M912" s="13" t="inlineStr">
        <is>
          <t>g/kg</t>
        </is>
      </c>
      <c r="N912" s="13" t="inlineStr">
        <is>
          <t>Registro Técnico Vinculado MAPA</t>
        </is>
      </c>
    </row>
    <row r="913" ht="22" customHeight="1">
      <c r="A913" s="6" t="inlineStr">
        <is>
          <t>CMP-0909</t>
        </is>
      </c>
      <c r="B913" s="5" t="n">
        <v>670</v>
      </c>
      <c r="C913" s="7" t="inlineStr">
        <is>
          <t>Nº 4810</t>
        </is>
      </c>
      <c r="D913" s="8" t="inlineStr">
        <is>
          <t>CERTEZA N</t>
        </is>
      </c>
      <c r="E913" s="5" t="n">
        <v>1</v>
      </c>
      <c r="F913" s="7" t="inlineStr">
        <is>
          <t>Ingrediente Ativo Principal</t>
        </is>
      </c>
      <c r="G913" s="7" t="inlineStr">
        <is>
          <t>TIOFANATO-METÍLICO</t>
        </is>
      </c>
      <c r="H913" s="7" t="inlineStr">
        <is>
          <t>Dimethyl 4,4-(o-phenylene)bis(3-thioallophanate)</t>
        </is>
      </c>
      <c r="I913" s="7" t="inlineStr">
        <is>
          <t>Benzimidazol (Precursor de MBC)</t>
        </is>
      </c>
      <c r="J913" s="7" t="inlineStr">
        <is>
          <t>FRAC Grupo 1 (B1 — MBC)</t>
        </is>
      </c>
      <c r="K913" s="7" t="inlineStr">
        <is>
          <t>Inibição da montagem da beta-tubulina durante a mitose celular fúngica</t>
        </is>
      </c>
      <c r="L913" s="9" t="n">
        <v>350</v>
      </c>
      <c r="M913" s="7" t="inlineStr">
        <is>
          <t>g/L</t>
        </is>
      </c>
      <c r="N913" s="7" t="inlineStr">
        <is>
          <t>Tiofanato-Metílico Técnico Iharabras</t>
        </is>
      </c>
    </row>
    <row r="914" ht="22" customHeight="1">
      <c r="A914" s="12" t="inlineStr">
        <is>
          <t>CMP-0910</t>
        </is>
      </c>
      <c r="B914" s="11" t="n">
        <v>670</v>
      </c>
      <c r="C914" s="13" t="inlineStr">
        <is>
          <t>Nº 4810</t>
        </is>
      </c>
      <c r="D914" s="14" t="inlineStr">
        <is>
          <t>CERTEZA N</t>
        </is>
      </c>
      <c r="E914" s="11" t="n">
        <v>2</v>
      </c>
      <c r="F914" s="13" t="inlineStr">
        <is>
          <t>Ingrediente Ativo Principal</t>
        </is>
      </c>
      <c r="G914" s="13" t="inlineStr">
        <is>
          <t>FLUAZINAM</t>
        </is>
      </c>
      <c r="H914" s="13" t="inlineStr">
        <is>
          <t>3-chloro-N-(3-chloro-5-trifluoromethyl-2-pyridyl)-alpha,alpha,alpha-trifluoro-2,6-dinitro-p-toluidine</t>
        </is>
      </c>
      <c r="I914" s="13" t="inlineStr">
        <is>
          <t>Fenilpiridinamina (2,6-dinitroanilina)</t>
        </is>
      </c>
      <c r="J914" s="13" t="inlineStr">
        <is>
          <t>FRAC Grupo 29 (C5)</t>
        </is>
      </c>
      <c r="K914" s="13" t="inlineStr">
        <is>
          <t>Desacoplador da fosforilação oxidativa mitocondrial</t>
        </is>
      </c>
      <c r="L914" s="18" t="n">
        <v>52.5</v>
      </c>
      <c r="M914" s="13" t="inlineStr">
        <is>
          <t>g/L</t>
        </is>
      </c>
      <c r="N914" s="13" t="inlineStr">
        <is>
          <t>Fluazinam Técnico Iharabras</t>
        </is>
      </c>
    </row>
    <row r="915" ht="22" customHeight="1">
      <c r="A915" s="6" t="inlineStr">
        <is>
          <t>CMP-0911</t>
        </is>
      </c>
      <c r="B915" s="5" t="n">
        <v>671</v>
      </c>
      <c r="C915" s="7" t="inlineStr">
        <is>
          <t>Nº 19123</t>
        </is>
      </c>
      <c r="D915" s="8" t="inlineStr">
        <is>
          <t>BRUCIA</t>
        </is>
      </c>
      <c r="E915" s="5" t="n">
        <v>1</v>
      </c>
      <c r="F915" s="7" t="inlineStr">
        <is>
          <t>Ingrediente Ativo Principal</t>
        </is>
      </c>
      <c r="G915" s="7" t="inlineStr">
        <is>
          <t>Tolpiralate 400</t>
        </is>
      </c>
      <c r="H915" s="7" t="inlineStr">
        <is>
          <t>1-[1-ethyl-4-[3-(2-methoxyethoxy)-2-methyl-4-(methylsulfonyl)benzoyl]-1H-pyrazol-5-yloxy]ethyl methyl carbonate</t>
        </is>
      </c>
      <c r="I915" s="7" t="inlineStr">
        <is>
          <t>Benzoilpirazol</t>
        </is>
      </c>
      <c r="J915" s="7" t="inlineStr">
        <is>
          <t>HRAC Grupo F2 (27) — Inibidores da HPPD</t>
        </is>
      </c>
      <c r="K915" s="7" t="inlineStr">
        <is>
          <t>Inibição da enzima 4-hidroxifenilpiruvato dioxigenase (HPPD)</t>
        </is>
      </c>
      <c r="L915" s="9" t="n">
        <v>400</v>
      </c>
      <c r="M915" s="7" t="inlineStr">
        <is>
          <t>g/L</t>
        </is>
      </c>
      <c r="N915" s="7" t="inlineStr">
        <is>
          <t>Registro Técnico Vinculado MAPA</t>
        </is>
      </c>
    </row>
    <row r="916" ht="22" customHeight="1">
      <c r="A916" s="12" t="inlineStr">
        <is>
          <t>CMP-0912</t>
        </is>
      </c>
      <c r="B916" s="11" t="n">
        <v>672</v>
      </c>
      <c r="C916" s="13" t="inlineStr">
        <is>
          <t>SIPEAGRO (UF-XXXXX)</t>
        </is>
      </c>
      <c r="D916" s="14" t="inlineStr">
        <is>
          <t>CELLERON</t>
        </is>
      </c>
      <c r="E916" s="11" t="n">
        <v>1</v>
      </c>
      <c r="F916" s="13" t="inlineStr">
        <is>
          <t>Nutriente Garantido</t>
        </is>
      </c>
      <c r="G916" s="13" t="inlineStr">
        <is>
          <t>POTASSIO</t>
        </is>
      </c>
      <c r="H916" s="13" t="inlineStr">
        <is>
          <t>Composição Nutricional Oficial (POTASSIO)</t>
        </is>
      </c>
      <c r="I916" s="13" t="inlineStr">
        <is>
          <t>Fertilizante Mineral / Organomineral (Lei nº 6.894/1980)</t>
        </is>
      </c>
      <c r="J916" s="13" t="inlineStr">
        <is>
          <t>Nutrição Vegetal SIPEAGRO</t>
        </is>
      </c>
      <c r="K916" s="13" t="inlineStr">
        <is>
          <t>Fornecimento de macro e micronutrientes essenciais ao metabolismo vegetal</t>
        </is>
      </c>
      <c r="L916" s="15" t="n">
        <v>100</v>
      </c>
      <c r="M916" s="13" t="inlineStr">
        <is>
          <t>% m/m</t>
        </is>
      </c>
      <c r="N916" s="13" t="inlineStr">
        <is>
          <t>Registro Técnico Vinculado MAPA</t>
        </is>
      </c>
    </row>
    <row r="917" ht="22" customHeight="1">
      <c r="A917" s="6" t="inlineStr">
        <is>
          <t>CMP-0913</t>
        </is>
      </c>
      <c r="B917" s="5" t="n">
        <v>673</v>
      </c>
      <c r="C917" s="7" t="inlineStr">
        <is>
          <t>SIPEAGRO (UF-XXXXX)</t>
        </is>
      </c>
      <c r="D917" s="8" t="inlineStr">
        <is>
          <t>AGCN FULL</t>
        </is>
      </c>
      <c r="E917" s="5" t="n">
        <v>1</v>
      </c>
      <c r="F917" s="7" t="inlineStr">
        <is>
          <t>Nutriente Garantido</t>
        </is>
      </c>
      <c r="G917" s="7" t="inlineStr">
        <is>
          <t>MACRO</t>
        </is>
      </c>
      <c r="H917" s="7" t="inlineStr">
        <is>
          <t>Composição Nutricional Oficial (MACRO)</t>
        </is>
      </c>
      <c r="I917" s="7" t="inlineStr">
        <is>
          <t>Fertilizante Mineral / Organomineral (Lei nº 6.894/1980)</t>
        </is>
      </c>
      <c r="J917" s="7" t="inlineStr">
        <is>
          <t>Nutrição Vegetal SIPEAGRO</t>
        </is>
      </c>
      <c r="K917" s="7" t="inlineStr">
        <is>
          <t>Fornecimento de macro e micronutrientes essenciais ao metabolismo vegetal</t>
        </is>
      </c>
      <c r="L917" s="9" t="n">
        <v>12</v>
      </c>
      <c r="M917" s="7" t="inlineStr">
        <is>
          <t>% m/m</t>
        </is>
      </c>
      <c r="N917" s="7" t="inlineStr">
        <is>
          <t>Registro Técnico Vinculado MAPA</t>
        </is>
      </c>
    </row>
    <row r="918" ht="22" customHeight="1">
      <c r="A918" s="12" t="inlineStr">
        <is>
          <t>CMP-0914</t>
        </is>
      </c>
      <c r="B918" s="11" t="n">
        <v>673</v>
      </c>
      <c r="C918" s="13" t="inlineStr">
        <is>
          <t>SIPEAGRO (UF-XXXXX)</t>
        </is>
      </c>
      <c r="D918" s="14" t="inlineStr">
        <is>
          <t>AGCN FULL</t>
        </is>
      </c>
      <c r="E918" s="11" t="n">
        <v>2</v>
      </c>
      <c r="F918" s="13" t="inlineStr">
        <is>
          <t>Nutriente Garantido</t>
        </is>
      </c>
      <c r="G918" s="13" t="inlineStr">
        <is>
          <t>MICRO</t>
        </is>
      </c>
      <c r="H918" s="13" t="inlineStr">
        <is>
          <t>Composição Nutricional Oficial (MICRO)</t>
        </is>
      </c>
      <c r="I918" s="13" t="inlineStr">
        <is>
          <t>Fertilizante Mineral / Organomineral (Lei nº 6.894/1980)</t>
        </is>
      </c>
      <c r="J918" s="13" t="inlineStr">
        <is>
          <t>Nutrição Vegetal SIPEAGRO</t>
        </is>
      </c>
      <c r="K918" s="13" t="inlineStr">
        <is>
          <t>Fornecimento de macro e micronutrientes essenciais ao metabolismo vegetal</t>
        </is>
      </c>
      <c r="L918" s="15" t="n">
        <v>5</v>
      </c>
      <c r="M918" s="13" t="inlineStr">
        <is>
          <t>% m/m</t>
        </is>
      </c>
      <c r="N918" s="13" t="inlineStr">
        <is>
          <t>Registro Técnico Vinculado MAPA</t>
        </is>
      </c>
    </row>
    <row r="919" ht="22" customHeight="1">
      <c r="A919" s="6" t="inlineStr">
        <is>
          <t>CMP-0915</t>
        </is>
      </c>
      <c r="B919" s="5" t="n">
        <v>673</v>
      </c>
      <c r="C919" s="7" t="inlineStr">
        <is>
          <t>SIPEAGRO (UF-XXXXX)</t>
        </is>
      </c>
      <c r="D919" s="8" t="inlineStr">
        <is>
          <t>AGCN FULL</t>
        </is>
      </c>
      <c r="E919" s="5" t="n">
        <v>3</v>
      </c>
      <c r="F919" s="7" t="inlineStr">
        <is>
          <t>Nutriente Garantido</t>
        </is>
      </c>
      <c r="G919" s="7" t="inlineStr">
        <is>
          <t>COT 18%</t>
        </is>
      </c>
      <c r="H919" s="7" t="inlineStr">
        <is>
          <t>Composição Nutricional Oficial (COT 18%)</t>
        </is>
      </c>
      <c r="I919" s="7" t="inlineStr">
        <is>
          <t>Fertilizante Mineral / Organomineral (Lei nº 6.894/1980)</t>
        </is>
      </c>
      <c r="J919" s="7" t="inlineStr">
        <is>
          <t>Nutrição Vegetal SIPEAGRO</t>
        </is>
      </c>
      <c r="K919" s="7" t="inlineStr">
        <is>
          <t>Fornecimento de macro e micronutrientes essenciais ao metabolismo vegetal</t>
        </is>
      </c>
      <c r="L919" s="9" t="n">
        <v>18</v>
      </c>
      <c r="M919" s="7" t="inlineStr">
        <is>
          <t>% m/m</t>
        </is>
      </c>
      <c r="N919" s="7" t="inlineStr">
        <is>
          <t>Registro Técnico Vinculado MAPA</t>
        </is>
      </c>
    </row>
    <row r="920" ht="22" customHeight="1">
      <c r="A920" s="12" t="inlineStr">
        <is>
          <t>CMP-0916</t>
        </is>
      </c>
      <c r="B920" s="11" t="n">
        <v>674</v>
      </c>
      <c r="C920" s="13" t="inlineStr">
        <is>
          <t>Nº 1802</t>
        </is>
      </c>
      <c r="D920" s="14" t="inlineStr">
        <is>
          <t>PROMALIN</t>
        </is>
      </c>
      <c r="E920" s="11" t="n">
        <v>1</v>
      </c>
      <c r="F920" s="13" t="inlineStr">
        <is>
          <t>Ingrediente Ativo Principal</t>
        </is>
      </c>
      <c r="G920" s="13" t="inlineStr">
        <is>
          <t>GIBERELINAS GA4 + GA7 (Ácido Giberélico)</t>
        </is>
      </c>
      <c r="H920" s="13" t="inlineStr">
        <is>
          <t>Gibberellin A4 + Gibberellin A7</t>
        </is>
      </c>
      <c r="I920" s="13" t="inlineStr">
        <is>
          <t>Giberelina (Fitormônio)</t>
        </is>
      </c>
      <c r="J920" s="13" t="inlineStr">
        <is>
          <t>Regulador de Crescimento Vegetal (Promotor Fisiológico)</t>
        </is>
      </c>
      <c r="K920" s="13" t="inlineStr">
        <is>
          <t>Alongamento e divisão celular vegetal</t>
        </is>
      </c>
      <c r="L920" s="18" t="n">
        <v>18.8</v>
      </c>
      <c r="M920" s="13" t="inlineStr">
        <is>
          <t>g/L</t>
        </is>
      </c>
      <c r="N920" s="13" t="inlineStr">
        <is>
          <t>Gibberellins Técnico Valent/Sumitomo</t>
        </is>
      </c>
    </row>
    <row r="921" ht="22" customHeight="1">
      <c r="A921" s="6" t="inlineStr">
        <is>
          <t>CMP-0917</t>
        </is>
      </c>
      <c r="B921" s="5" t="n">
        <v>674</v>
      </c>
      <c r="C921" s="7" t="inlineStr">
        <is>
          <t>Nº 1802</t>
        </is>
      </c>
      <c r="D921" s="8" t="inlineStr">
        <is>
          <t>PROMALIN</t>
        </is>
      </c>
      <c r="E921" s="5" t="n">
        <v>2</v>
      </c>
      <c r="F921" s="7" t="inlineStr">
        <is>
          <t>Ingrediente Ativo Principal</t>
        </is>
      </c>
      <c r="G921" s="7" t="inlineStr">
        <is>
          <t>6-BENZILADENINA (Benziladenina)</t>
        </is>
      </c>
      <c r="H921" s="7" t="inlineStr">
        <is>
          <t>N-(phenylmethyl)-1H-purin-6-amine</t>
        </is>
      </c>
      <c r="I921" s="7" t="inlineStr">
        <is>
          <t>Citocinina (Fitormônio)</t>
        </is>
      </c>
      <c r="J921" s="7" t="inlineStr">
        <is>
          <t>Regulador de Crescimento Vegetal (Citocinina)</t>
        </is>
      </c>
      <c r="K921" s="7" t="inlineStr">
        <is>
          <t>Estímulo à divisão celular (citocinese) e desenvolvimento de frutos</t>
        </is>
      </c>
      <c r="L921" s="17" t="n">
        <v>18.8</v>
      </c>
      <c r="M921" s="7" t="inlineStr">
        <is>
          <t>g/L</t>
        </is>
      </c>
      <c r="N921" s="7" t="inlineStr">
        <is>
          <t>6-Benzyladenine Técnico Valent/Sumitomo</t>
        </is>
      </c>
    </row>
    <row r="922" ht="22" customHeight="1">
      <c r="A922" s="12" t="inlineStr">
        <is>
          <t>CMP-0918</t>
        </is>
      </c>
      <c r="B922" s="11" t="n">
        <v>675</v>
      </c>
      <c r="C922" s="13" t="inlineStr">
        <is>
          <t>Nº 33217</t>
        </is>
      </c>
      <c r="D922" s="14" t="inlineStr">
        <is>
          <t>PANGA 900 WG</t>
        </is>
      </c>
      <c r="E922" s="11" t="n">
        <v>1</v>
      </c>
      <c r="F922" s="13" t="inlineStr">
        <is>
          <t>Ingrediente Ativo Principal</t>
        </is>
      </c>
      <c r="G922" s="13" t="inlineStr">
        <is>
          <t>ATRAZINA 900</t>
        </is>
      </c>
      <c r="H922" s="13" t="inlineStr">
        <is>
          <t>6-chloro-N2-ethyl-N4-isopropyl-1,3,5-triazine-2,4-diamine</t>
        </is>
      </c>
      <c r="I922" s="13" t="inlineStr">
        <is>
          <t>Triazina</t>
        </is>
      </c>
      <c r="J922" s="13" t="inlineStr">
        <is>
          <t>HRAC Grupo C1 (5) — Inibidores do Fotossistema II</t>
        </is>
      </c>
      <c r="K922" s="13" t="inlineStr">
        <is>
          <t>Inibição do transporte de elétrons no Fotossistema II (sítio Serina 264)</t>
        </is>
      </c>
      <c r="L922" s="15" t="n">
        <v>900</v>
      </c>
      <c r="M922" s="13" t="inlineStr">
        <is>
          <t>g/kg</t>
        </is>
      </c>
      <c r="N922" s="13" t="inlineStr">
        <is>
          <t>Registro Técnico Vinculado MAPA</t>
        </is>
      </c>
    </row>
    <row r="923" ht="22" customHeight="1">
      <c r="A923" s="6" t="inlineStr">
        <is>
          <t>CMP-0919</t>
        </is>
      </c>
      <c r="B923" s="5" t="n">
        <v>676</v>
      </c>
      <c r="C923" s="7" t="inlineStr">
        <is>
          <t>Nº 31017</t>
        </is>
      </c>
      <c r="D923" s="8" t="inlineStr">
        <is>
          <t>TRIDIUM</t>
        </is>
      </c>
      <c r="E923" s="5" t="n">
        <v>1</v>
      </c>
      <c r="F923" s="7" t="inlineStr">
        <is>
          <t>Ingrediente Ativo Principal</t>
        </is>
      </c>
      <c r="G923" s="7" t="inlineStr">
        <is>
          <t>MANCOZEBE</t>
        </is>
      </c>
      <c r="H923" s="7" t="inlineStr">
        <is>
          <t>Manganese ethylenebis(dithiocarbamate) (polymeric) complex with zinc salt</t>
        </is>
      </c>
      <c r="I923" s="7" t="inlineStr">
        <is>
          <t>Alquilenobis(ditiocarbamato)</t>
        </is>
      </c>
      <c r="J923" s="7" t="inlineStr">
        <is>
          <t>FRAC Grupo M03 — Multissítio</t>
        </is>
      </c>
      <c r="K923" s="7" t="inlineStr">
        <is>
          <t>Inativação multissítio de grupos sulfidrila de aminoácidos e enzimas fúngicas</t>
        </is>
      </c>
      <c r="L923" s="9" t="n">
        <v>597</v>
      </c>
      <c r="M923" s="7" t="inlineStr">
        <is>
          <t>g/kg</t>
        </is>
      </c>
      <c r="N923" s="7" t="inlineStr">
        <is>
          <t>Mancozeb Técnico UPL</t>
        </is>
      </c>
    </row>
    <row r="924" ht="22" customHeight="1">
      <c r="A924" s="12" t="inlineStr">
        <is>
          <t>CMP-0920</t>
        </is>
      </c>
      <c r="B924" s="11" t="n">
        <v>676</v>
      </c>
      <c r="C924" s="13" t="inlineStr">
        <is>
          <t>Nº 31017</t>
        </is>
      </c>
      <c r="D924" s="14" t="inlineStr">
        <is>
          <t>TRIDIUM</t>
        </is>
      </c>
      <c r="E924" s="11" t="n">
        <v>2</v>
      </c>
      <c r="F924" s="13" t="inlineStr">
        <is>
          <t>Ingrediente Ativo Principal</t>
        </is>
      </c>
      <c r="G924" s="13" t="inlineStr">
        <is>
          <t>TEBUCONAZOL</t>
        </is>
      </c>
      <c r="H924" s="13" t="inlineStr">
        <is>
          <t>(RS)-1-p-chlorophenyl-4,4-dimethyl-3-(1H-1,2,4-triazol-1-ylmethyl)pentan-3-ol</t>
        </is>
      </c>
      <c r="I924" s="13" t="inlineStr">
        <is>
          <t>Triazol</t>
        </is>
      </c>
      <c r="J924" s="13" t="inlineStr">
        <is>
          <t>FRAC Grupo 3 (G1 — DMI)</t>
        </is>
      </c>
      <c r="K924" s="13" t="inlineStr">
        <is>
          <t>Inibidores da desmetilação do C14 na biossíntese do ergosterol</t>
        </is>
      </c>
      <c r="L924" s="15" t="n">
        <v>56</v>
      </c>
      <c r="M924" s="13" t="inlineStr">
        <is>
          <t>g/kg</t>
        </is>
      </c>
      <c r="N924" s="13" t="inlineStr">
        <is>
          <t>Tebuconazole Técnico UPL</t>
        </is>
      </c>
    </row>
    <row r="925" ht="22" customHeight="1">
      <c r="A925" s="6" t="inlineStr">
        <is>
          <t>CMP-0921</t>
        </is>
      </c>
      <c r="B925" s="5" t="n">
        <v>676</v>
      </c>
      <c r="C925" s="7" t="inlineStr">
        <is>
          <t>Nº 31017</t>
        </is>
      </c>
      <c r="D925" s="8" t="inlineStr">
        <is>
          <t>TRIDIUM</t>
        </is>
      </c>
      <c r="E925" s="5" t="n">
        <v>3</v>
      </c>
      <c r="F925" s="7" t="inlineStr">
        <is>
          <t>Ingrediente Ativo Principal</t>
        </is>
      </c>
      <c r="G925" s="7" t="inlineStr">
        <is>
          <t>AZOXISTROBINA</t>
        </is>
      </c>
      <c r="H925" s="7" t="inlineStr">
        <is>
          <t>Methyl (E)-2-{2-[6-(2-cyanophenoxy)pyrimidin-4-yloxy]phenyl}-3-methoxyacrylate</t>
        </is>
      </c>
      <c r="I925" s="7" t="inlineStr">
        <is>
          <t>Estrobilurina (Metoxiacrilato)</t>
        </is>
      </c>
      <c r="J925" s="7" t="inlineStr">
        <is>
          <t>FRAC Grupo 11 (C3 — QoI)</t>
        </is>
      </c>
      <c r="K925" s="7" t="inlineStr">
        <is>
          <t>Inibidores da respiração mitocondrial no Complexo III (sítio Qo)</t>
        </is>
      </c>
      <c r="L925" s="9" t="n">
        <v>47</v>
      </c>
      <c r="M925" s="7" t="inlineStr">
        <is>
          <t>g/kg</t>
        </is>
      </c>
      <c r="N925" s="7" t="inlineStr">
        <is>
          <t>Azoxystrobin Técnico UPL</t>
        </is>
      </c>
    </row>
    <row r="926" ht="22" customHeight="1">
      <c r="A926" s="12" t="inlineStr">
        <is>
          <t>CMP-0922</t>
        </is>
      </c>
      <c r="B926" s="11" t="n">
        <v>677</v>
      </c>
      <c r="C926" s="13" t="inlineStr">
        <is>
          <t>Nº 9407</t>
        </is>
      </c>
      <c r="D926" s="14" t="inlineStr">
        <is>
          <t>ARIETE</t>
        </is>
      </c>
      <c r="E926" s="11" t="n">
        <v>1</v>
      </c>
      <c r="F926" s="13" t="inlineStr">
        <is>
          <t>Ingrediente Ativo Principal</t>
        </is>
      </c>
      <c r="G926" s="13" t="inlineStr">
        <is>
          <t>BIFENTRINA 100</t>
        </is>
      </c>
      <c r="H926" s="13" t="inlineStr">
        <is>
          <t>2-methylbiphenyl-3-ylmethyl (Z)-(1RS,3RS)-3-(2-chloro-3,3,3-trifluoroprop-1-enyl)-2,2-dimethylcyclopropanecarboxylate</t>
        </is>
      </c>
      <c r="I926" s="13" t="inlineStr">
        <is>
          <t>Piretroide (Tipo I)</t>
        </is>
      </c>
      <c r="J926" s="13" t="inlineStr">
        <is>
          <t>IRAC Grupo 3A</t>
        </is>
      </c>
      <c r="K926" s="13" t="inlineStr">
        <is>
          <t>Moduladores de canais de sódio em membranas nervosas</t>
        </is>
      </c>
      <c r="L926" s="15" t="n">
        <v>100</v>
      </c>
      <c r="M926" s="13" t="inlineStr">
        <is>
          <t>g/L</t>
        </is>
      </c>
      <c r="N926" s="13" t="inlineStr">
        <is>
          <t>Registro Técnico Vinculado MAPA</t>
        </is>
      </c>
    </row>
    <row r="927" ht="22" customHeight="1">
      <c r="A927" s="6" t="inlineStr">
        <is>
          <t>CMP-0923</t>
        </is>
      </c>
      <c r="B927" s="5" t="n">
        <v>678</v>
      </c>
      <c r="C927" s="7" t="inlineStr">
        <is>
          <t>SIPEAGRO (UF-XXXXX)</t>
        </is>
      </c>
      <c r="D927" s="8" t="inlineStr">
        <is>
          <t>BACSTIM 100</t>
        </is>
      </c>
      <c r="E927" s="5" t="n">
        <v>1</v>
      </c>
      <c r="F927" s="7" t="inlineStr">
        <is>
          <t>Agente Biológico / Cepa</t>
        </is>
      </c>
      <c r="G927" s="7" t="inlineStr">
        <is>
          <t>BACILLUS SUBTILIS + BACILLUS MEGATERIUM (Garantia mín. 1,0x10^8 UFC/mL)</t>
        </is>
      </c>
      <c r="H927" s="7" t="inlineStr">
        <is>
          <t>Bacillus subtilis + Bacillus megaterium</t>
        </is>
      </c>
      <c r="I927" s="7" t="inlineStr">
        <is>
          <t>Inoculante Solubilizador de Fósforo e Promotor Radicular</t>
        </is>
      </c>
      <c r="J927" s="7" t="inlineStr">
        <is>
          <t>Inoculante Registrado SIPEAGRO/MAPA</t>
        </is>
      </c>
      <c r="K927" s="7" t="inlineStr">
        <is>
          <t>Mineralização de fósforo orgânico (fitases) e solubilização de fosfatos (ácidos orgânicos)</t>
        </is>
      </c>
      <c r="L927" s="9" t="n">
        <v>100</v>
      </c>
      <c r="M927" s="7" t="inlineStr">
        <is>
          <t>% v/v (Veículo Inoculante Estéril)</t>
        </is>
      </c>
      <c r="N927" s="7" t="inlineStr">
        <is>
          <t>Registro Técnico Vinculado MAPA</t>
        </is>
      </c>
    </row>
    <row r="928" ht="22" customHeight="1">
      <c r="A928" s="12" t="inlineStr">
        <is>
          <t>CMP-0924</t>
        </is>
      </c>
      <c r="B928" s="11" t="n">
        <v>679</v>
      </c>
      <c r="C928" s="13" t="inlineStr">
        <is>
          <t>Nº 1188593</t>
        </is>
      </c>
      <c r="D928" s="14" t="inlineStr">
        <is>
          <t>VERSATILIS</t>
        </is>
      </c>
      <c r="E928" s="11" t="n">
        <v>1</v>
      </c>
      <c r="F928" s="13" t="inlineStr">
        <is>
          <t>Ingrediente Ativo Principal</t>
        </is>
      </c>
      <c r="G928" s="13" t="inlineStr">
        <is>
          <t>FENPROPIMORFE 750</t>
        </is>
      </c>
      <c r="H928" s="13" t="inlineStr">
        <is>
          <t>(RS)-cis-4-[3-(4-tert-butylphenyl)-2-methylpropyl]-2,6-dimethylmorpholine</t>
        </is>
      </c>
      <c r="I928" s="13" t="inlineStr">
        <is>
          <t>Morfolina</t>
        </is>
      </c>
      <c r="J928" s="13" t="inlineStr">
        <is>
          <t>FRAC Grupo 5 (G2 — Aminas)</t>
        </is>
      </c>
      <c r="K928" s="13" t="inlineStr">
        <is>
          <t>Inibidor da Delta14-redutase e Delta8-&gt;Delta7-isomerase na síntese de esteróis</t>
        </is>
      </c>
      <c r="L928" s="15" t="n">
        <v>750</v>
      </c>
      <c r="M928" s="13" t="inlineStr">
        <is>
          <t>g/L</t>
        </is>
      </c>
      <c r="N928" s="13" t="inlineStr">
        <is>
          <t>Registro Técnico Vinculado MAPA</t>
        </is>
      </c>
    </row>
    <row r="929" ht="22" customHeight="1">
      <c r="A929" s="6" t="inlineStr">
        <is>
          <t>CMP-0925</t>
        </is>
      </c>
      <c r="B929" s="5" t="n">
        <v>680</v>
      </c>
      <c r="C929" s="7" t="inlineStr">
        <is>
          <t>Nº 7823</t>
        </is>
      </c>
      <c r="D929" s="8" t="inlineStr">
        <is>
          <t>INEDITO</t>
        </is>
      </c>
      <c r="E929" s="5" t="n">
        <v>1</v>
      </c>
      <c r="F929" s="7" t="inlineStr">
        <is>
          <t>Ingrediente Ativo Principal</t>
        </is>
      </c>
      <c r="G929" s="7" t="inlineStr">
        <is>
          <t>GLUFOSINATO 200</t>
        </is>
      </c>
      <c r="H929" s="7" t="inlineStr">
        <is>
          <t>Ammonium (2RS)-2-amino-4-(methylphosphinato)butyric acid (Glufosinato Sal de Amônio)</t>
        </is>
      </c>
      <c r="I929" s="7" t="inlineStr">
        <is>
          <t>Homoalanina substituída (Ácido fosfínico)</t>
        </is>
      </c>
      <c r="J929" s="7" t="inlineStr">
        <is>
          <t>HRAC Grupo H (10) — Inibidores da Glutamina Sintetase</t>
        </is>
      </c>
      <c r="K929" s="7" t="inlineStr">
        <is>
          <t>Inibição da enzima glutamina sintetase (acúmulo de amônia intracelular)</t>
        </is>
      </c>
      <c r="L929" s="9" t="n">
        <v>200</v>
      </c>
      <c r="M929" s="7" t="inlineStr">
        <is>
          <t>g/L</t>
        </is>
      </c>
      <c r="N929" s="7" t="inlineStr">
        <is>
          <t>Registro Técnico Vinculado MAPA</t>
        </is>
      </c>
    </row>
    <row r="930" ht="22" customHeight="1">
      <c r="A930" s="12" t="inlineStr">
        <is>
          <t>CMP-0926</t>
        </is>
      </c>
      <c r="B930" s="11" t="n">
        <v>681</v>
      </c>
      <c r="C930" s="13" t="inlineStr">
        <is>
          <t>Nº 1613</t>
        </is>
      </c>
      <c r="D930" s="14" t="inlineStr">
        <is>
          <t>GAME</t>
        </is>
      </c>
      <c r="E930" s="11" t="n">
        <v>1</v>
      </c>
      <c r="F930" s="13" t="inlineStr">
        <is>
          <t>Ingrediente Ativo Principal</t>
        </is>
      </c>
      <c r="G930" s="13" t="inlineStr">
        <is>
          <t>LUFENUROM 50</t>
        </is>
      </c>
      <c r="H930" s="13" t="inlineStr">
        <is>
          <t>(RS)-1-[2,5-dichloro-4-(1,1,2,3,3,3-hexafluoropropoxy)phenyl]-3-(2,6-difluorobenzoyl)urea</t>
        </is>
      </c>
      <c r="I930" s="13" t="inlineStr">
        <is>
          <t>Benzoilureia</t>
        </is>
      </c>
      <c r="J930" s="13" t="inlineStr">
        <is>
          <t>IRAC Grupo 15</t>
        </is>
      </c>
      <c r="K930" s="13" t="inlineStr">
        <is>
          <t>Inibidores da biossíntese de quitina (Tipo 0 - Lepidoptera)</t>
        </is>
      </c>
      <c r="L930" s="15" t="n">
        <v>50</v>
      </c>
      <c r="M930" s="13" t="inlineStr">
        <is>
          <t>g/L</t>
        </is>
      </c>
      <c r="N930" s="13" t="inlineStr">
        <is>
          <t>Registro Técnico Vinculado MAPA</t>
        </is>
      </c>
    </row>
    <row r="931" ht="22" customHeight="1">
      <c r="A931" s="6" t="inlineStr">
        <is>
          <t>CMP-0927</t>
        </is>
      </c>
      <c r="B931" s="5" t="n">
        <v>682</v>
      </c>
      <c r="C931" s="7" t="inlineStr">
        <is>
          <t>Nº 18122</t>
        </is>
      </c>
      <c r="D931" s="8" t="inlineStr">
        <is>
          <t>TRICLOMAX</t>
        </is>
      </c>
      <c r="E931" s="5" t="n">
        <v>1</v>
      </c>
      <c r="F931" s="7" t="inlineStr">
        <is>
          <t>Ingrediente Ativo Principal</t>
        </is>
      </c>
      <c r="G931" s="7" t="inlineStr">
        <is>
          <t>TRICLOPIR-BUTOTÍLICO 667 g/L (Equiv. 480 g/L Triclopir Ácido)</t>
        </is>
      </c>
      <c r="H931" s="7" t="inlineStr">
        <is>
          <t>2-butoxyethyl [(3,5,6-trichloro-2-pyridinyl)oxy]acetate (Triclopir-butotílico)</t>
        </is>
      </c>
      <c r="I931" s="7" t="inlineStr">
        <is>
          <t>Ácido piridiniloxialcanoico</t>
        </is>
      </c>
      <c r="J931" s="7" t="inlineStr">
        <is>
          <t>HRAC Grupo O (4) — Auxinas Sintéticas</t>
        </is>
      </c>
      <c r="K931" s="7" t="inlineStr">
        <is>
          <t>Mimetizadores da auxina (crescimento desordenado e epinastia)</t>
        </is>
      </c>
      <c r="L931" s="9" t="n">
        <v>480</v>
      </c>
      <c r="M931" s="7" t="inlineStr">
        <is>
          <t>g/L</t>
        </is>
      </c>
      <c r="N931" s="7" t="inlineStr">
        <is>
          <t>Registro Técnico Vinculado MAPA</t>
        </is>
      </c>
    </row>
    <row r="932" ht="22" customHeight="1">
      <c r="A932" s="12" t="inlineStr">
        <is>
          <t>CMP-0928</t>
        </is>
      </c>
      <c r="B932" s="11" t="n">
        <v>683</v>
      </c>
      <c r="C932" s="13" t="inlineStr">
        <is>
          <t>Nº 18122</t>
        </is>
      </c>
      <c r="D932" s="14" t="inlineStr">
        <is>
          <t>TRICLOMAX 0,200L AMOSTRA (IMP) RW</t>
        </is>
      </c>
      <c r="E932" s="11" t="n">
        <v>1</v>
      </c>
      <c r="F932" s="13" t="inlineStr">
        <is>
          <t>Ingrediente Ativo Principal</t>
        </is>
      </c>
      <c r="G932" s="13" t="inlineStr">
        <is>
          <t>TRICLOPIR-BUTOTÍLICO 667 g/L (Equiv. 480 g/L Triclopir Ácido)</t>
        </is>
      </c>
      <c r="H932" s="13" t="inlineStr">
        <is>
          <t>2-butoxyethyl [(3,5,6-trichloro-2-pyridinyl)oxy]acetate (Triclopir-butotílico)</t>
        </is>
      </c>
      <c r="I932" s="13" t="inlineStr">
        <is>
          <t>Ácido piridiniloxialcanoico</t>
        </is>
      </c>
      <c r="J932" s="13" t="inlineStr">
        <is>
          <t>HRAC Grupo O (4) — Auxinas Sintéticas</t>
        </is>
      </c>
      <c r="K932" s="13" t="inlineStr">
        <is>
          <t>Mimetizadores da auxina (crescimento desordenado e epinastia)</t>
        </is>
      </c>
      <c r="L932" s="15" t="n">
        <v>480</v>
      </c>
      <c r="M932" s="13" t="inlineStr">
        <is>
          <t>g/L</t>
        </is>
      </c>
      <c r="N932" s="13" t="inlineStr">
        <is>
          <t>Registro Técnico Vinculado MAPA</t>
        </is>
      </c>
    </row>
    <row r="933" ht="22" customHeight="1">
      <c r="A933" s="6" t="inlineStr">
        <is>
          <t>CMP-0929</t>
        </is>
      </c>
      <c r="B933" s="5" t="n">
        <v>684</v>
      </c>
      <c r="C933" s="7" t="inlineStr">
        <is>
          <t>Nº 25423</t>
        </is>
      </c>
      <c r="D933" s="8" t="inlineStr">
        <is>
          <t>GLUFE 200 SL</t>
        </is>
      </c>
      <c r="E933" s="5" t="n">
        <v>1</v>
      </c>
      <c r="F933" s="7" t="inlineStr">
        <is>
          <t>Ingrediente Ativo Principal</t>
        </is>
      </c>
      <c r="G933" s="7" t="inlineStr">
        <is>
          <t>GLUFOSINATO 200</t>
        </is>
      </c>
      <c r="H933" s="7" t="inlineStr">
        <is>
          <t>Ammonium (2RS)-2-amino-4-(methylphosphinato)butyric acid (Glufosinato Sal de Amônio)</t>
        </is>
      </c>
      <c r="I933" s="7" t="inlineStr">
        <is>
          <t>Homoalanina substituída (Ácido fosfínico)</t>
        </is>
      </c>
      <c r="J933" s="7" t="inlineStr">
        <is>
          <t>HRAC Grupo H (10) — Inibidores da Glutamina Sintetase</t>
        </is>
      </c>
      <c r="K933" s="7" t="inlineStr">
        <is>
          <t>Inibição da enzima glutamina sintetase (acúmulo de amônia intracelular)</t>
        </is>
      </c>
      <c r="L933" s="9" t="n">
        <v>200</v>
      </c>
      <c r="M933" s="7" t="inlineStr">
        <is>
          <t>g/L</t>
        </is>
      </c>
      <c r="N933" s="7" t="inlineStr">
        <is>
          <t>Registro Técnico Vinculado MAPA</t>
        </is>
      </c>
    </row>
    <row r="934" ht="22" customHeight="1">
      <c r="A934" s="12" t="inlineStr">
        <is>
          <t>CMP-0930</t>
        </is>
      </c>
      <c r="B934" s="11" t="n">
        <v>685</v>
      </c>
      <c r="C934" s="13" t="inlineStr">
        <is>
          <t>Nº 25423</t>
        </is>
      </c>
      <c r="D934" s="14" t="inlineStr">
        <is>
          <t>GLUFOSINATE 200 SL LIBEN 0,200L AMOSTRA (IMP) LL</t>
        </is>
      </c>
      <c r="E934" s="11" t="n">
        <v>1</v>
      </c>
      <c r="F934" s="13" t="inlineStr">
        <is>
          <t>Ingrediente Ativo Principal</t>
        </is>
      </c>
      <c r="G934" s="13" t="inlineStr">
        <is>
          <t>GLUFOSINATO 200</t>
        </is>
      </c>
      <c r="H934" s="13" t="inlineStr">
        <is>
          <t>Ammonium (2RS)-2-amino-4-(methylphosphinato)butyric acid (Glufosinato Sal de Amônio)</t>
        </is>
      </c>
      <c r="I934" s="13" t="inlineStr">
        <is>
          <t>Homoalanina substituída (Ácido fosfínico)</t>
        </is>
      </c>
      <c r="J934" s="13" t="inlineStr">
        <is>
          <t>HRAC Grupo H (10) — Inibidores da Glutamina Sintetase</t>
        </is>
      </c>
      <c r="K934" s="13" t="inlineStr">
        <is>
          <t>Inibição da enzima glutamina sintetase (acúmulo de amônia intracelular)</t>
        </is>
      </c>
      <c r="L934" s="15" t="n">
        <v>200</v>
      </c>
      <c r="M934" s="13" t="inlineStr">
        <is>
          <t>g/L</t>
        </is>
      </c>
      <c r="N934" s="13" t="inlineStr">
        <is>
          <t>Registro Técnico Vinculado MAPA</t>
        </is>
      </c>
    </row>
    <row r="935" ht="22" customHeight="1">
      <c r="A935" s="6" t="inlineStr">
        <is>
          <t>CMP-0931</t>
        </is>
      </c>
      <c r="B935" s="5" t="n">
        <v>686</v>
      </c>
      <c r="C935" s="7" t="inlineStr">
        <is>
          <t>Nº 9520</t>
        </is>
      </c>
      <c r="D935" s="8" t="inlineStr">
        <is>
          <t>DK MAX</t>
        </is>
      </c>
      <c r="E935" s="5" t="n">
        <v>1</v>
      </c>
      <c r="F935" s="7" t="inlineStr">
        <is>
          <t>Ingrediente Ativo Principal</t>
        </is>
      </c>
      <c r="G935" s="7" t="inlineStr">
        <is>
          <t>ATRAZINA 900</t>
        </is>
      </c>
      <c r="H935" s="7" t="inlineStr">
        <is>
          <t>6-chloro-N2-ethyl-N4-isopropyl-1,3,5-triazine-2,4-diamine</t>
        </is>
      </c>
      <c r="I935" s="7" t="inlineStr">
        <is>
          <t>Triazina</t>
        </is>
      </c>
      <c r="J935" s="7" t="inlineStr">
        <is>
          <t>HRAC Grupo C1 (5) — Inibidores do Fotossistema II</t>
        </is>
      </c>
      <c r="K935" s="7" t="inlineStr">
        <is>
          <t>Inibição do transporte de elétrons no Fotossistema II (sítio Serina 264)</t>
        </is>
      </c>
      <c r="L935" s="9" t="n">
        <v>900</v>
      </c>
      <c r="M935" s="7" t="inlineStr">
        <is>
          <t>g/kg</t>
        </is>
      </c>
      <c r="N935" s="7" t="inlineStr">
        <is>
          <t>Registro Técnico Vinculado MAPA</t>
        </is>
      </c>
    </row>
    <row r="936" ht="22" customHeight="1">
      <c r="A936" s="12" t="inlineStr">
        <is>
          <t>CMP-0932</t>
        </is>
      </c>
      <c r="B936" s="11" t="n">
        <v>687</v>
      </c>
      <c r="C936" s="13" t="inlineStr">
        <is>
          <t>Nº 2024</t>
        </is>
      </c>
      <c r="D936" s="14" t="inlineStr">
        <is>
          <t>THIOPHANATE METHYL</t>
        </is>
      </c>
      <c r="E936" s="11" t="n">
        <v>1</v>
      </c>
      <c r="F936" s="13" t="inlineStr">
        <is>
          <t>Ingrediente Ativo Principal</t>
        </is>
      </c>
      <c r="G936" s="13" t="inlineStr">
        <is>
          <t>TIOFANATO METILICO 500</t>
        </is>
      </c>
      <c r="H936" s="13" t="inlineStr">
        <is>
          <t>Dimethyl 4,4'-(o-phenylene)bis(3-thioallophanate)</t>
        </is>
      </c>
      <c r="I936" s="13" t="inlineStr">
        <is>
          <t>Benzimidazol (Precursor de MBC)</t>
        </is>
      </c>
      <c r="J936" s="13" t="inlineStr">
        <is>
          <t>FRAC Grupo 1 (MBC)</t>
        </is>
      </c>
      <c r="K936" s="13" t="inlineStr">
        <is>
          <t>Inibidores da montagem de beta-tubulina na mitose celular</t>
        </is>
      </c>
      <c r="L936" s="15" t="n">
        <v>500</v>
      </c>
      <c r="M936" s="13" t="inlineStr">
        <is>
          <t>g/L</t>
        </is>
      </c>
      <c r="N936" s="13" t="inlineStr">
        <is>
          <t>Registro Técnico Vinculado MAPA</t>
        </is>
      </c>
    </row>
    <row r="937" ht="22" customHeight="1">
      <c r="A937" s="6" t="inlineStr">
        <is>
          <t>CMP-0933</t>
        </is>
      </c>
      <c r="B937" s="5" t="n">
        <v>688</v>
      </c>
      <c r="C937" s="7" t="inlineStr">
        <is>
          <t>Nº 17921</t>
        </is>
      </c>
      <c r="D937" s="8" t="inlineStr">
        <is>
          <t>TIOFANATO</t>
        </is>
      </c>
      <c r="E937" s="5" t="n">
        <v>1</v>
      </c>
      <c r="F937" s="7" t="inlineStr">
        <is>
          <t>Ingrediente Ativo Principal</t>
        </is>
      </c>
      <c r="G937" s="7" t="inlineStr">
        <is>
          <t>TIOFANATO METILICO 500</t>
        </is>
      </c>
      <c r="H937" s="7" t="inlineStr">
        <is>
          <t>Dimethyl 4,4'-(o-phenylene)bis(3-thioallophanate)</t>
        </is>
      </c>
      <c r="I937" s="7" t="inlineStr">
        <is>
          <t>Benzimidazol (Precursor de MBC)</t>
        </is>
      </c>
      <c r="J937" s="7" t="inlineStr">
        <is>
          <t>FRAC Grupo 1 (MBC)</t>
        </is>
      </c>
      <c r="K937" s="7" t="inlineStr">
        <is>
          <t>Inibidores da montagem de beta-tubulina na mitose celular</t>
        </is>
      </c>
      <c r="L937" s="9" t="n">
        <v>500</v>
      </c>
      <c r="M937" s="7" t="inlineStr">
        <is>
          <t>g/L</t>
        </is>
      </c>
      <c r="N937" s="7" t="inlineStr">
        <is>
          <t>Registro Técnico Vinculado MAPA</t>
        </is>
      </c>
    </row>
    <row r="938" ht="22" customHeight="1">
      <c r="A938" s="12" t="inlineStr">
        <is>
          <t>CMP-0934</t>
        </is>
      </c>
      <c r="B938" s="11" t="n">
        <v>689</v>
      </c>
      <c r="C938" s="13" t="inlineStr">
        <is>
          <t>Nº 6715</t>
        </is>
      </c>
      <c r="D938" s="14" t="inlineStr">
        <is>
          <t>2,4-D 806 SL CROTECT BBA</t>
        </is>
      </c>
      <c r="E938" s="11" t="n">
        <v>1</v>
      </c>
      <c r="F938" s="13" t="inlineStr">
        <is>
          <t>Ingrediente Ativo Principal</t>
        </is>
      </c>
      <c r="G938" s="13" t="inlineStr">
        <is>
          <t>2,4-D SAL DIMETILAMINA 806 g/L (Equiv. 670 g/L 2,4-D Ácido)</t>
        </is>
      </c>
      <c r="H938" s="13" t="inlineStr">
        <is>
          <t>(2,4-dichlorophenoxy)acetic acid (Sal Dimetilamina)</t>
        </is>
      </c>
      <c r="I938" s="13" t="inlineStr">
        <is>
          <t>Ácido ariloxialcanoico</t>
        </is>
      </c>
      <c r="J938" s="13" t="inlineStr">
        <is>
          <t>HRAC Grupo O (4) — Auxinas Sintéticas</t>
        </is>
      </c>
      <c r="K938" s="13" t="inlineStr">
        <is>
          <t>Mimetizadores da auxina (ácido indolacético - AIA)</t>
        </is>
      </c>
      <c r="L938" s="15" t="n">
        <v>806</v>
      </c>
      <c r="M938" s="13" t="inlineStr">
        <is>
          <t>g/L</t>
        </is>
      </c>
      <c r="N938" s="13" t="inlineStr">
        <is>
          <t>Registro Técnico Vinculado MAPA</t>
        </is>
      </c>
    </row>
    <row r="939" ht="22" customHeight="1">
      <c r="A939" s="6" t="inlineStr">
        <is>
          <t>CMP-0935</t>
        </is>
      </c>
      <c r="B939" s="5" t="n">
        <v>690</v>
      </c>
      <c r="C939" s="7" t="inlineStr">
        <is>
          <t>Nº 16922</t>
        </is>
      </c>
      <c r="D939" s="8" t="inlineStr">
        <is>
          <t>GLUFOS-WYN 200 SL</t>
        </is>
      </c>
      <c r="E939" s="5" t="n">
        <v>1</v>
      </c>
      <c r="F939" s="7" t="inlineStr">
        <is>
          <t>Ingrediente Ativo Principal</t>
        </is>
      </c>
      <c r="G939" s="7" t="inlineStr">
        <is>
          <t>GLUFOSINATO 200</t>
        </is>
      </c>
      <c r="H939" s="7" t="inlineStr">
        <is>
          <t>Ammonium (2RS)-2-amino-4-(methylphosphinato)butyric acid (Glufosinato Sal de Amônio)</t>
        </is>
      </c>
      <c r="I939" s="7" t="inlineStr">
        <is>
          <t>Homoalanina substituída (Ácido fosfínico)</t>
        </is>
      </c>
      <c r="J939" s="7" t="inlineStr">
        <is>
          <t>HRAC Grupo H (10) — Inibidores da Glutamina Sintetase</t>
        </is>
      </c>
      <c r="K939" s="7" t="inlineStr">
        <is>
          <t>Inibição da enzima glutamina sintetase (acúmulo de amônia intracelular)</t>
        </is>
      </c>
      <c r="L939" s="9" t="n">
        <v>200</v>
      </c>
      <c r="M939" s="7" t="inlineStr">
        <is>
          <t>g/L</t>
        </is>
      </c>
      <c r="N939" s="7" t="inlineStr">
        <is>
          <t>Registro Técnico Vinculado MAPA</t>
        </is>
      </c>
    </row>
    <row r="940" ht="22" customHeight="1">
      <c r="A940" s="12" t="inlineStr">
        <is>
          <t>CMP-0936</t>
        </is>
      </c>
      <c r="B940" s="11" t="n">
        <v>691</v>
      </c>
      <c r="C940" s="13" t="inlineStr">
        <is>
          <t>Nº 25423</t>
        </is>
      </c>
      <c r="D940" s="14" t="inlineStr">
        <is>
          <t>GLUFOSINATE 200 SL LIBEN</t>
        </is>
      </c>
      <c r="E940" s="11" t="n">
        <v>1</v>
      </c>
      <c r="F940" s="13" t="inlineStr">
        <is>
          <t>Ingrediente Ativo Principal</t>
        </is>
      </c>
      <c r="G940" s="13" t="inlineStr">
        <is>
          <t>GLUFOSINATO 200</t>
        </is>
      </c>
      <c r="H940" s="13" t="inlineStr">
        <is>
          <t>Ammonium (2RS)-2-amino-4-(methylphosphinato)butyric acid (Glufosinato Sal de Amônio)</t>
        </is>
      </c>
      <c r="I940" s="13" t="inlineStr">
        <is>
          <t>Homoalanina substituída (Ácido fosfínico)</t>
        </is>
      </c>
      <c r="J940" s="13" t="inlineStr">
        <is>
          <t>HRAC Grupo H (10) — Inibidores da Glutamina Sintetase</t>
        </is>
      </c>
      <c r="K940" s="13" t="inlineStr">
        <is>
          <t>Inibição da enzima glutamina sintetase (acúmulo de amônia intracelular)</t>
        </is>
      </c>
      <c r="L940" s="15" t="n">
        <v>200</v>
      </c>
      <c r="M940" s="13" t="inlineStr">
        <is>
          <t>g/L</t>
        </is>
      </c>
      <c r="N940" s="13" t="inlineStr">
        <is>
          <t>Registro Técnico Vinculado MAPA</t>
        </is>
      </c>
    </row>
    <row r="941" ht="22" customHeight="1">
      <c r="A941" s="6" t="inlineStr">
        <is>
          <t>CMP-0937</t>
        </is>
      </c>
      <c r="B941" s="5" t="n">
        <v>692</v>
      </c>
      <c r="C941" s="7" t="inlineStr">
        <is>
          <t>Nº 34318</t>
        </is>
      </c>
      <c r="D941" s="8" t="inlineStr">
        <is>
          <t>MAGNUM</t>
        </is>
      </c>
      <c r="E941" s="5" t="n">
        <v>1</v>
      </c>
      <c r="F941" s="7" t="inlineStr">
        <is>
          <t>Ingrediente Ativo Principal</t>
        </is>
      </c>
      <c r="G941" s="7" t="inlineStr">
        <is>
          <t>ACEFATO 970</t>
        </is>
      </c>
      <c r="H941" s="7" t="inlineStr">
        <is>
          <t>O,S-dimethyl acetylphosphoramidothioate</t>
        </is>
      </c>
      <c r="I941" s="7" t="inlineStr">
        <is>
          <t>Organofosforado</t>
        </is>
      </c>
      <c r="J941" s="7" t="inlineStr">
        <is>
          <t>IRAC Grupo 1B</t>
        </is>
      </c>
      <c r="K941" s="7" t="inlineStr">
        <is>
          <t>Inibidores da enzima acetilcolinesterase (AChE)</t>
        </is>
      </c>
      <c r="L941" s="9" t="n">
        <v>970</v>
      </c>
      <c r="M941" s="7" t="inlineStr">
        <is>
          <t>g/kg</t>
        </is>
      </c>
      <c r="N941" s="7" t="inlineStr">
        <is>
          <t>Registro Técnico Vinculado MAPA</t>
        </is>
      </c>
    </row>
    <row r="942" ht="22" customHeight="1">
      <c r="A942" s="12" t="inlineStr">
        <is>
          <t>CMP-0938</t>
        </is>
      </c>
      <c r="B942" s="11" t="n">
        <v>693</v>
      </c>
      <c r="C942" s="13" t="inlineStr">
        <is>
          <t>Nº 9420</t>
        </is>
      </c>
      <c r="D942" s="14" t="inlineStr">
        <is>
          <t>ENSIS-TURBO 0,200L (IMP) AMOSTRA</t>
        </is>
      </c>
      <c r="E942" s="11" t="n">
        <v>1</v>
      </c>
      <c r="F942" s="13" t="inlineStr">
        <is>
          <t>Ingrediente Ativo Principal</t>
        </is>
      </c>
      <c r="G942" s="13" t="inlineStr">
        <is>
          <t>AZOXISTROBINA 120</t>
        </is>
      </c>
      <c r="H942" s="13" t="inlineStr">
        <is>
          <t>Methyl (E)-2-{2-[6-(2-cyanophenoxy)pyrimidin-4-yloxy]phenyl}-3-methoxyacrylate</t>
        </is>
      </c>
      <c r="I942" s="13" t="inlineStr">
        <is>
          <t>Estrobilurina (Metoxiacrilato)</t>
        </is>
      </c>
      <c r="J942" s="13" t="inlineStr">
        <is>
          <t>FRAC Grupo 11 (QoI)</t>
        </is>
      </c>
      <c r="K942" s="13" t="inlineStr">
        <is>
          <t>Inibidores da respiração mitocondrial no complexo III (citocromo bc1)</t>
        </is>
      </c>
      <c r="L942" s="15" t="n">
        <v>120</v>
      </c>
      <c r="M942" s="13" t="inlineStr">
        <is>
          <t>g/L</t>
        </is>
      </c>
      <c r="N942" s="13" t="inlineStr">
        <is>
          <t>Registro Técnico Vinculado MAPA</t>
        </is>
      </c>
    </row>
    <row r="943" ht="22" customHeight="1">
      <c r="A943" s="6" t="inlineStr">
        <is>
          <t>CMP-0939</t>
        </is>
      </c>
      <c r="B943" s="5" t="n">
        <v>693</v>
      </c>
      <c r="C943" s="7" t="inlineStr">
        <is>
          <t>Nº 9420</t>
        </is>
      </c>
      <c r="D943" s="8" t="inlineStr">
        <is>
          <t>ENSIS-TURBO 0,200L (IMP) AMOSTRA</t>
        </is>
      </c>
      <c r="E943" s="5" t="n">
        <v>2</v>
      </c>
      <c r="F943" s="7" t="inlineStr">
        <is>
          <t>Ingrediente Ativo Principal</t>
        </is>
      </c>
      <c r="G943" s="7" t="inlineStr">
        <is>
          <t>TEBUCONAZOL 360</t>
        </is>
      </c>
      <c r="H943" s="7" t="inlineStr">
        <is>
          <t>(RS)-1-p-chlorophenyl-4,4-dimethyl-3-(1H-1,2,4-triazol-1-ylmethyl)pentan-3-ol</t>
        </is>
      </c>
      <c r="I943" s="7" t="inlineStr">
        <is>
          <t>Triazol</t>
        </is>
      </c>
      <c r="J943" s="7" t="inlineStr">
        <is>
          <t>FRAC Grupo 3 (DMI)</t>
        </is>
      </c>
      <c r="K943" s="7" t="inlineStr">
        <is>
          <t>Inibidores da desmetilação de C14 na biossíntese de ergosterol</t>
        </is>
      </c>
      <c r="L943" s="9" t="n">
        <v>360</v>
      </c>
      <c r="M943" s="7" t="inlineStr">
        <is>
          <t>g/L</t>
        </is>
      </c>
      <c r="N943" s="7" t="inlineStr">
        <is>
          <t>Registro Técnico Vinculado MAPA</t>
        </is>
      </c>
    </row>
    <row r="944" ht="22" customHeight="1">
      <c r="A944" s="12" t="inlineStr">
        <is>
          <t>CMP-0940</t>
        </is>
      </c>
      <c r="B944" s="11" t="n">
        <v>694</v>
      </c>
      <c r="C944" s="13" t="inlineStr">
        <is>
          <t>SIPEAGRO (UF-XXXXX)</t>
        </is>
      </c>
      <c r="D944" s="14" t="inlineStr">
        <is>
          <t>FOSFATO MONOAMONICO 11-52-00 (44% H2O) (VALIDAR)</t>
        </is>
      </c>
      <c r="E944" s="11" t="n">
        <v>1</v>
      </c>
      <c r="F944" s="13" t="inlineStr">
        <is>
          <t>Nutriente Garantido</t>
        </is>
      </c>
      <c r="G944" s="13" t="inlineStr">
        <is>
          <t>FOSFATO MONOAMONICO CRISTAL MAP</t>
        </is>
      </c>
      <c r="H944" s="13" t="inlineStr">
        <is>
          <t>Composição Nutricional Oficial (FOSFATO MONOAMONICO CRISTAL MAP)</t>
        </is>
      </c>
      <c r="I944" s="13" t="inlineStr">
        <is>
          <t>Fertilizante Mineral / Organomineral (Lei nº 6.894/1980)</t>
        </is>
      </c>
      <c r="J944" s="13" t="inlineStr">
        <is>
          <t>Nutrição Vegetal SIPEAGRO</t>
        </is>
      </c>
      <c r="K944" s="13" t="inlineStr">
        <is>
          <t>Fornecimento de macro e micronutrientes essenciais ao metabolismo vegetal</t>
        </is>
      </c>
      <c r="L944" s="15" t="n">
        <v>100</v>
      </c>
      <c r="M944" s="13" t="inlineStr">
        <is>
          <t>% m/m</t>
        </is>
      </c>
      <c r="N944" s="13" t="inlineStr">
        <is>
          <t>Registro Técnico Vinculado MAPA</t>
        </is>
      </c>
    </row>
    <row r="945" ht="22" customHeight="1">
      <c r="A945" s="6" t="inlineStr">
        <is>
          <t>CMP-0941</t>
        </is>
      </c>
      <c r="B945" s="5" t="n">
        <v>695</v>
      </c>
      <c r="C945" s="7" t="inlineStr">
        <is>
          <t>Nº 14421</t>
        </is>
      </c>
      <c r="D945" s="8" t="inlineStr">
        <is>
          <t>FIPRONIL 250 FS ( PRINCIPIO ATIVO)</t>
        </is>
      </c>
      <c r="E945" s="5" t="n">
        <v>1</v>
      </c>
      <c r="F945" s="7" t="inlineStr">
        <is>
          <t>Ingrediente Ativo Principal</t>
        </is>
      </c>
      <c r="G945" s="7" t="inlineStr">
        <is>
          <t>FIPRONIL 250</t>
        </is>
      </c>
      <c r="H945" s="7" t="inlineStr">
        <is>
          <t>(RS)-5-amino-1-(2,6-dichloro-a,a,a-trifluoro-p-tolyl)-4-trifluoromethylsulfinylpyrazole-3-carbonitrile</t>
        </is>
      </c>
      <c r="I945" s="7" t="inlineStr">
        <is>
          <t>Pirazol (Fenilpirazol)</t>
        </is>
      </c>
      <c r="J945" s="7" t="inlineStr">
        <is>
          <t>IRAC Grupo 2B</t>
        </is>
      </c>
      <c r="K945" s="7" t="inlineStr">
        <is>
          <t>Bloqueadores de canais de cloro mediados pelo GABA</t>
        </is>
      </c>
      <c r="L945" s="9" t="n">
        <v>250</v>
      </c>
      <c r="M945" s="7" t="inlineStr">
        <is>
          <t>g/L</t>
        </is>
      </c>
      <c r="N945" s="7" t="inlineStr">
        <is>
          <t>Produto Técnico Próprio</t>
        </is>
      </c>
    </row>
    <row r="946" ht="22" customHeight="1">
      <c r="A946" s="12" t="inlineStr">
        <is>
          <t>CMP-0942</t>
        </is>
      </c>
      <c r="B946" s="11" t="n">
        <v>696</v>
      </c>
      <c r="C946" s="13" t="inlineStr">
        <is>
          <t>Nº 14623</t>
        </is>
      </c>
      <c r="D946" s="14" t="inlineStr">
        <is>
          <t>METSULFUROM - METILICO (PRINCIPIO ATIVO)</t>
        </is>
      </c>
      <c r="E946" s="11" t="n">
        <v>1</v>
      </c>
      <c r="F946" s="13" t="inlineStr">
        <is>
          <t>Ingrediente Ativo Principal</t>
        </is>
      </c>
      <c r="G946" s="13" t="inlineStr">
        <is>
          <t>METSULFUROM-METÍLICO</t>
        </is>
      </c>
      <c r="H946" s="13" t="inlineStr">
        <is>
          <t>Methyl 2-(4-methoxy-6-methyl-1,3,5-triazin-2-ylcarbamoylsulfamoyl)benzoate</t>
        </is>
      </c>
      <c r="I946" s="13" t="inlineStr">
        <is>
          <t>Sulfonilureia</t>
        </is>
      </c>
      <c r="J946" s="13" t="inlineStr">
        <is>
          <t>HRAC Grupo B (2) — Inibidores da ALS</t>
        </is>
      </c>
      <c r="K946" s="13" t="inlineStr">
        <is>
          <t>Inibição da enzima acetolactato sintase (ALS / AHAS)</t>
        </is>
      </c>
      <c r="L946" s="15" t="n">
        <v>600</v>
      </c>
      <c r="M946" s="13" t="inlineStr">
        <is>
          <t>g/kg</t>
        </is>
      </c>
      <c r="N946" s="13" t="inlineStr">
        <is>
          <t>Metsulfuron-Methyl Técnico Vinculado MAPA</t>
        </is>
      </c>
    </row>
    <row r="947" ht="22" customHeight="1">
      <c r="A947" s="6" t="inlineStr">
        <is>
          <t>CMP-0943</t>
        </is>
      </c>
      <c r="B947" s="5" t="n">
        <v>697</v>
      </c>
      <c r="C947" s="7" t="inlineStr">
        <is>
          <t>Nº 34725</t>
        </is>
      </c>
      <c r="D947" s="8" t="inlineStr">
        <is>
          <t>PROTIOCONAZOLE175+TRIFLOXYSTROBIN150 (PRINC ATIVO)</t>
        </is>
      </c>
      <c r="E947" s="5" t="n">
        <v>1</v>
      </c>
      <c r="F947" s="7" t="inlineStr">
        <is>
          <t>Ingrediente Ativo Principal</t>
        </is>
      </c>
      <c r="G947" s="7" t="inlineStr">
        <is>
          <t>TRIFLOXISTROBINA 150</t>
        </is>
      </c>
      <c r="H947" s="7" t="inlineStr">
        <is>
          <t>Methyl (E)-methoxyimino-{(E)-a-[1-(a,a,a-trifluoro-m-tolyl)ethylideneaminooxy]-o-tolyl}acetate</t>
        </is>
      </c>
      <c r="I947" s="7" t="inlineStr">
        <is>
          <t>Estrobilurina (Oximinoacetato)</t>
        </is>
      </c>
      <c r="J947" s="7" t="inlineStr">
        <is>
          <t>FRAC Grupo 11 (QoI)</t>
        </is>
      </c>
      <c r="K947" s="7" t="inlineStr">
        <is>
          <t>Inibidores da respiração mitocondrial no complexo III (sítio Qo)</t>
        </is>
      </c>
      <c r="L947" s="9" t="n">
        <v>150</v>
      </c>
      <c r="M947" s="7" t="inlineStr">
        <is>
          <t>g/kg</t>
        </is>
      </c>
      <c r="N947" s="7" t="inlineStr">
        <is>
          <t>Produto Técnico Próprio</t>
        </is>
      </c>
    </row>
    <row r="948" ht="22" customHeight="1">
      <c r="A948" s="12" t="inlineStr">
        <is>
          <t>CMP-0944</t>
        </is>
      </c>
      <c r="B948" s="11" t="n">
        <v>697</v>
      </c>
      <c r="C948" s="13" t="inlineStr">
        <is>
          <t>Nº 34725</t>
        </is>
      </c>
      <c r="D948" s="14" t="inlineStr">
        <is>
          <t>PROTIOCONAZOLE175+TRIFLOXYSTROBIN150 (PRINC ATIVO)</t>
        </is>
      </c>
      <c r="E948" s="11" t="n">
        <v>2</v>
      </c>
      <c r="F948" s="13" t="inlineStr">
        <is>
          <t>Ingrediente Ativo Principal</t>
        </is>
      </c>
      <c r="G948" s="13" t="inlineStr">
        <is>
          <t>PROTIOCONAZOL 175</t>
        </is>
      </c>
      <c r="H948" s="13" t="inlineStr">
        <is>
          <t>(RS)-2-[2-(1-chlorocyclopropyl)-3-(2-chlorophenyl)-2-hydroxypropyl]-2,4-dihydro-1,2,4-triazole-3-thione</t>
        </is>
      </c>
      <c r="I948" s="13" t="inlineStr">
        <is>
          <t>Triazolinthiona</t>
        </is>
      </c>
      <c r="J948" s="13" t="inlineStr">
        <is>
          <t>FRAC Grupo 3 (DMI)</t>
        </is>
      </c>
      <c r="K948" s="13" t="inlineStr">
        <is>
          <t>Inibidores da desmetilação de esteróis (DMI - C14-desmetilase)</t>
        </is>
      </c>
      <c r="L948" s="15" t="n">
        <v>175</v>
      </c>
      <c r="M948" s="13" t="inlineStr">
        <is>
          <t>g/kg</t>
        </is>
      </c>
      <c r="N948" s="13" t="inlineStr">
        <is>
          <t>Produto Técnico Próprio</t>
        </is>
      </c>
    </row>
    <row r="949" ht="22" customHeight="1">
      <c r="A949" s="6" t="inlineStr">
        <is>
          <t>CMP-0945</t>
        </is>
      </c>
      <c r="B949" s="5" t="n">
        <v>698</v>
      </c>
      <c r="C949" s="7" t="inlineStr">
        <is>
          <t>Nº 1838604</t>
        </is>
      </c>
      <c r="D949" s="8" t="inlineStr">
        <is>
          <t>OXIFLUORFEM 240 (PRINCIPIO ATIVO)</t>
        </is>
      </c>
      <c r="E949" s="5" t="n">
        <v>1</v>
      </c>
      <c r="F949" s="7" t="inlineStr">
        <is>
          <t>Ingrediente Ativo Principal</t>
        </is>
      </c>
      <c r="G949" s="7" t="inlineStr">
        <is>
          <t>OXIFLUORFEM 240</t>
        </is>
      </c>
      <c r="H949" s="7" t="inlineStr">
        <is>
          <t>2-chloro-alpha,alpha,alpha-trifluoro-p-tolyl 3-ethoxy-4-nitrophenyl ether</t>
        </is>
      </c>
      <c r="I949" s="7" t="inlineStr">
        <is>
          <t>Éter Difenílico</t>
        </is>
      </c>
      <c r="J949" s="7" t="inlineStr">
        <is>
          <t>HRAC Grupo E (14) — Inibidores da PROTOX</t>
        </is>
      </c>
      <c r="K949" s="7" t="inlineStr">
        <is>
          <t>Inibição da enzima protoporfirinogênio oxidase (PROTOX / PPO)</t>
        </is>
      </c>
      <c r="L949" s="9" t="n">
        <v>240</v>
      </c>
      <c r="M949" s="7" t="inlineStr">
        <is>
          <t>g/kg</t>
        </is>
      </c>
      <c r="N949" s="7" t="inlineStr">
        <is>
          <t>Produto Técnico Próprio</t>
        </is>
      </c>
    </row>
    <row r="950" ht="22" customHeight="1">
      <c r="A950" s="12" t="inlineStr">
        <is>
          <t>CMP-0946</t>
        </is>
      </c>
      <c r="B950" s="11" t="n">
        <v>699</v>
      </c>
      <c r="C950" s="13" t="inlineStr">
        <is>
          <t>Nº 40024</t>
        </is>
      </c>
      <c r="D950" s="14" t="inlineStr">
        <is>
          <t>CYPROCONAZOLE80+PICOXYSTROBIN200 (PRINCIPIO ATIVO)</t>
        </is>
      </c>
      <c r="E950" s="11" t="n">
        <v>1</v>
      </c>
      <c r="F950" s="13" t="inlineStr">
        <is>
          <t>Ingrediente Ativo Principal</t>
        </is>
      </c>
      <c r="G950" s="13" t="inlineStr">
        <is>
          <t>CYPROCONAZOLE 80</t>
        </is>
      </c>
      <c r="H950" s="13" t="inlineStr">
        <is>
          <t>(2RS,3RS;2RS,3SR)-2-(4-chlorophenyl)-3-cyclopropyl-1-(1H-1,2,4-triazol-1-yl)butan-2-ol</t>
        </is>
      </c>
      <c r="I950" s="13" t="inlineStr">
        <is>
          <t>Triazol</t>
        </is>
      </c>
      <c r="J950" s="13" t="inlineStr">
        <is>
          <t>FRAC Grupo 3 (G1 — DMI)</t>
        </is>
      </c>
      <c r="K950" s="13" t="inlineStr">
        <is>
          <t>Inibidores da desmetilação do C14 na biossíntese do ergosterol</t>
        </is>
      </c>
      <c r="L950" s="15" t="n">
        <v>80</v>
      </c>
      <c r="M950" s="13" t="inlineStr">
        <is>
          <t>g/kg</t>
        </is>
      </c>
      <c r="N950" s="13" t="inlineStr">
        <is>
          <t>Produto Técnico Próprio</t>
        </is>
      </c>
    </row>
    <row r="951" ht="22" customHeight="1">
      <c r="A951" s="6" t="inlineStr">
        <is>
          <t>CMP-0947</t>
        </is>
      </c>
      <c r="B951" s="5" t="n">
        <v>699</v>
      </c>
      <c r="C951" s="7" t="inlineStr">
        <is>
          <t>Nº 40024</t>
        </is>
      </c>
      <c r="D951" s="8" t="inlineStr">
        <is>
          <t>CYPROCONAZOLE80+PICOXYSTROBIN200 (PRINCIPIO ATIVO)</t>
        </is>
      </c>
      <c r="E951" s="5" t="n">
        <v>2</v>
      </c>
      <c r="F951" s="7" t="inlineStr">
        <is>
          <t>Ingrediente Ativo Principal</t>
        </is>
      </c>
      <c r="G951" s="7" t="inlineStr">
        <is>
          <t>PICOXYSTROBIN 200</t>
        </is>
      </c>
      <c r="H951" s="7" t="inlineStr">
        <is>
          <t>Methyl (E)-3-methoxy-2-{2-[6-(trifluoromethyl)-2-pyridyloxymethyl]phenyl}acrylate</t>
        </is>
      </c>
      <c r="I951" s="7" t="inlineStr">
        <is>
          <t>Estrobilurina (Metoxiacrilato)</t>
        </is>
      </c>
      <c r="J951" s="7" t="inlineStr">
        <is>
          <t>FRAC Grupo 11 (C3 — QoI)</t>
        </is>
      </c>
      <c r="K951" s="7" t="inlineStr">
        <is>
          <t>Inibidores da respiração mitocondrial no Complexo III (sítio Qo)</t>
        </is>
      </c>
      <c r="L951" s="9" t="n">
        <v>200</v>
      </c>
      <c r="M951" s="7" t="inlineStr">
        <is>
          <t>g/kg</t>
        </is>
      </c>
      <c r="N951" s="7" t="inlineStr">
        <is>
          <t>Produto Técnico Próprio</t>
        </is>
      </c>
    </row>
    <row r="952" ht="22" customHeight="1">
      <c r="A952" s="12" t="inlineStr">
        <is>
          <t>CMP-0948</t>
        </is>
      </c>
      <c r="B952" s="11" t="n">
        <v>700</v>
      </c>
      <c r="C952" s="13" t="inlineStr">
        <is>
          <t>Nº 14623</t>
        </is>
      </c>
      <c r="D952" s="14" t="inlineStr">
        <is>
          <t>METSULFUROM 600 (PRINCIPIO ATIVO)</t>
        </is>
      </c>
      <c r="E952" s="11" t="n">
        <v>1</v>
      </c>
      <c r="F952" s="13" t="inlineStr">
        <is>
          <t>Ingrediente Ativo Principal</t>
        </is>
      </c>
      <c r="G952" s="13" t="inlineStr">
        <is>
          <t>METSULFUROM-METÍLICO</t>
        </is>
      </c>
      <c r="H952" s="13" t="inlineStr">
        <is>
          <t>Methyl 2-(4-methoxy-6-methyl-1,3,5-triazin-2-ylcarbamoylsulfamoyl)benzoate</t>
        </is>
      </c>
      <c r="I952" s="13" t="inlineStr">
        <is>
          <t>Sulfonilureia</t>
        </is>
      </c>
      <c r="J952" s="13" t="inlineStr">
        <is>
          <t>HRAC Grupo B (2) — Inibidores da ALS</t>
        </is>
      </c>
      <c r="K952" s="13" t="inlineStr">
        <is>
          <t>Inibição da enzima acetolactato sintase (ALS / AHAS)</t>
        </is>
      </c>
      <c r="L952" s="15" t="n">
        <v>600</v>
      </c>
      <c r="M952" s="13" t="inlineStr">
        <is>
          <t>g/kg</t>
        </is>
      </c>
      <c r="N952" s="13" t="inlineStr">
        <is>
          <t>Metsulfuron-Methyl Técnico Vinculado MAPA</t>
        </is>
      </c>
    </row>
    <row r="953" ht="22" customHeight="1">
      <c r="A953" s="6" t="inlineStr">
        <is>
          <t>CMP-0949</t>
        </is>
      </c>
      <c r="B953" s="5" t="n">
        <v>701</v>
      </c>
      <c r="C953" s="7" t="inlineStr">
        <is>
          <t>Nº 24925</t>
        </is>
      </c>
      <c r="D953" s="8" t="inlineStr">
        <is>
          <t>ATOL TRIO (METOLACHLOR+ATRAZINE+MESOTRIONE) (P. A)</t>
        </is>
      </c>
      <c r="E953" s="5" t="n">
        <v>1</v>
      </c>
      <c r="F953" s="7" t="inlineStr">
        <is>
          <t>Ingrediente Ativo Principal</t>
        </is>
      </c>
      <c r="G953" s="7" t="inlineStr">
        <is>
          <t>S-METOLACHLOR 290 G/L</t>
        </is>
      </c>
      <c r="H953" s="7" t="inlineStr">
        <is>
          <t>Mistura de (aRS,1S)- e (aRS,1R)-2-chloro-6-ethyl-N-(2-methoxy-1-methylethyl)acet-o-toluidide</t>
        </is>
      </c>
      <c r="I953" s="7" t="inlineStr">
        <is>
          <t>Cloroacetanilida</t>
        </is>
      </c>
      <c r="J953" s="7" t="inlineStr">
        <is>
          <t>HRAC Grupo K3 (15) — Inibidores de VLCFA</t>
        </is>
      </c>
      <c r="K953" s="7" t="inlineStr">
        <is>
          <t>Inibição da síntese de ácidos graxos de cadeia muito longa (VLCFA)</t>
        </is>
      </c>
      <c r="L953" s="9" t="n">
        <v>290</v>
      </c>
      <c r="M953" s="7" t="inlineStr">
        <is>
          <t>g/L</t>
        </is>
      </c>
      <c r="N953" s="7" t="inlineStr">
        <is>
          <t>Produto Técnico Próprio</t>
        </is>
      </c>
    </row>
    <row r="954" ht="22" customHeight="1">
      <c r="A954" s="12" t="inlineStr">
        <is>
          <t>CMP-0950</t>
        </is>
      </c>
      <c r="B954" s="11" t="n">
        <v>701</v>
      </c>
      <c r="C954" s="13" t="inlineStr">
        <is>
          <t>Nº 24925</t>
        </is>
      </c>
      <c r="D954" s="14" t="inlineStr">
        <is>
          <t>ATOL TRIO (METOLACHLOR+ATRAZINE+MESOTRIONE) (P. A)</t>
        </is>
      </c>
      <c r="E954" s="11" t="n">
        <v>2</v>
      </c>
      <c r="F954" s="13" t="inlineStr">
        <is>
          <t>Ingrediente Ativo Principal</t>
        </is>
      </c>
      <c r="G954" s="13" t="inlineStr">
        <is>
          <t>ATRAZINE 200 G/L</t>
        </is>
      </c>
      <c r="H954" s="13" t="inlineStr">
        <is>
          <t>6-chloro-N2-ethyl-N4-isopropyl-1,3,5-triazine-2,4-diamine</t>
        </is>
      </c>
      <c r="I954" s="13" t="inlineStr">
        <is>
          <t>Triazina (Clorotriazina)</t>
        </is>
      </c>
      <c r="J954" s="13" t="inlineStr">
        <is>
          <t>HRAC Grupo C1 (5) — Inibidores do Fotossistema II</t>
        </is>
      </c>
      <c r="K954" s="13" t="inlineStr">
        <is>
          <t>Inibição do transporte de elétrons no Fotossistema II</t>
        </is>
      </c>
      <c r="L954" s="15" t="n">
        <v>200</v>
      </c>
      <c r="M954" s="13" t="inlineStr">
        <is>
          <t>g/L</t>
        </is>
      </c>
      <c r="N954" s="13" t="inlineStr">
        <is>
          <t>Produto Técnico Próprio</t>
        </is>
      </c>
    </row>
    <row r="955" ht="22" customHeight="1">
      <c r="A955" s="6" t="inlineStr">
        <is>
          <t>CMP-0951</t>
        </is>
      </c>
      <c r="B955" s="5" t="n">
        <v>701</v>
      </c>
      <c r="C955" s="7" t="inlineStr">
        <is>
          <t>Nº 24925</t>
        </is>
      </c>
      <c r="D955" s="8" t="inlineStr">
        <is>
          <t>ATOL TRIO (METOLACHLOR+ATRAZINE+MESOTRIONE) (P. A)</t>
        </is>
      </c>
      <c r="E955" s="5" t="n">
        <v>3</v>
      </c>
      <c r="F955" s="7" t="inlineStr">
        <is>
          <t>Ingrediente Ativo Principal</t>
        </is>
      </c>
      <c r="G955" s="7" t="inlineStr">
        <is>
          <t>MESOTRIONE 40 G/L SE</t>
        </is>
      </c>
      <c r="H955" s="7" t="inlineStr">
        <is>
          <t>2-(4-mesyl-2-nitrobenzoyl)cyclohexane-1,3-dione</t>
        </is>
      </c>
      <c r="I955" s="7" t="inlineStr">
        <is>
          <t>Tricetona</t>
        </is>
      </c>
      <c r="J955" s="7" t="inlineStr">
        <is>
          <t>HRAC Grupo F2 (27) — Inibidores da HPPD</t>
        </is>
      </c>
      <c r="K955" s="7" t="inlineStr">
        <is>
          <t>Inibição da enzima 4-hidroxifenilpiruvato dioxigenase (HPPD)</t>
        </is>
      </c>
      <c r="L955" s="9" t="n">
        <v>40</v>
      </c>
      <c r="M955" s="7" t="inlineStr">
        <is>
          <t>g/L</t>
        </is>
      </c>
      <c r="N955" s="7" t="inlineStr">
        <is>
          <t>Produto Técnico Próprio</t>
        </is>
      </c>
    </row>
    <row r="956" ht="22" customHeight="1">
      <c r="A956" s="12" t="inlineStr">
        <is>
          <t>CMP-0952</t>
        </is>
      </c>
      <c r="B956" s="11" t="n">
        <v>702</v>
      </c>
      <c r="C956" s="13" t="inlineStr">
        <is>
          <t>Nº 4810</t>
        </is>
      </c>
      <c r="D956" s="14" t="inlineStr">
        <is>
          <t>CERTEZA N</t>
        </is>
      </c>
      <c r="E956" s="11" t="n">
        <v>1</v>
      </c>
      <c r="F956" s="13" t="inlineStr">
        <is>
          <t>Ingrediente Ativo Principal</t>
        </is>
      </c>
      <c r="G956" s="13" t="inlineStr">
        <is>
          <t>TIOFANATO-METÍLICO</t>
        </is>
      </c>
      <c r="H956" s="13" t="inlineStr">
        <is>
          <t>Dimethyl 4,4-(o-phenylene)bis(3-thioallophanate)</t>
        </is>
      </c>
      <c r="I956" s="13" t="inlineStr">
        <is>
          <t>Benzimidazol (Precursor de MBC)</t>
        </is>
      </c>
      <c r="J956" s="13" t="inlineStr">
        <is>
          <t>FRAC Grupo 1 (B1 — MBC)</t>
        </is>
      </c>
      <c r="K956" s="13" t="inlineStr">
        <is>
          <t>Inibição da montagem da beta-tubulina durante a mitose celular fúngica</t>
        </is>
      </c>
      <c r="L956" s="15" t="n">
        <v>350</v>
      </c>
      <c r="M956" s="13" t="inlineStr">
        <is>
          <t>g/L</t>
        </is>
      </c>
      <c r="N956" s="13" t="inlineStr">
        <is>
          <t>Tiofanato-Metílico Técnico Iharabras</t>
        </is>
      </c>
    </row>
    <row r="957" ht="22" customHeight="1">
      <c r="A957" s="6" t="inlineStr">
        <is>
          <t>CMP-0953</t>
        </is>
      </c>
      <c r="B957" s="5" t="n">
        <v>702</v>
      </c>
      <c r="C957" s="7" t="inlineStr">
        <is>
          <t>Nº 4810</t>
        </is>
      </c>
      <c r="D957" s="8" t="inlineStr">
        <is>
          <t>CERTEZA N</t>
        </is>
      </c>
      <c r="E957" s="5" t="n">
        <v>2</v>
      </c>
      <c r="F957" s="7" t="inlineStr">
        <is>
          <t>Ingrediente Ativo Principal</t>
        </is>
      </c>
      <c r="G957" s="7" t="inlineStr">
        <is>
          <t>FLUAZINAM</t>
        </is>
      </c>
      <c r="H957" s="7" t="inlineStr">
        <is>
          <t>3-chloro-N-(3-chloro-5-trifluoromethyl-2-pyridyl)-alpha,alpha,alpha-trifluoro-2,6-dinitro-p-toluidine</t>
        </is>
      </c>
      <c r="I957" s="7" t="inlineStr">
        <is>
          <t>Fenilpiridinamina (2,6-dinitroanilina)</t>
        </is>
      </c>
      <c r="J957" s="7" t="inlineStr">
        <is>
          <t>FRAC Grupo 29 (C5)</t>
        </is>
      </c>
      <c r="K957" s="7" t="inlineStr">
        <is>
          <t>Desacoplador da fosforilação oxidativa mitocondrial</t>
        </is>
      </c>
      <c r="L957" s="17" t="n">
        <v>52.5</v>
      </c>
      <c r="M957" s="7" t="inlineStr">
        <is>
          <t>g/L</t>
        </is>
      </c>
      <c r="N957" s="7" t="inlineStr">
        <is>
          <t>Fluazinam Técnico Iharabras</t>
        </is>
      </c>
    </row>
    <row r="958" ht="22" customHeight="1">
      <c r="A958" s="12" t="inlineStr">
        <is>
          <t>CMP-0954</t>
        </is>
      </c>
      <c r="B958" s="11" t="n">
        <v>703</v>
      </c>
      <c r="C958" s="13" t="inlineStr">
        <is>
          <t>Nº 4810</t>
        </is>
      </c>
      <c r="D958" s="14" t="inlineStr">
        <is>
          <t>CERTEZA N</t>
        </is>
      </c>
      <c r="E958" s="11" t="n">
        <v>1</v>
      </c>
      <c r="F958" s="13" t="inlineStr">
        <is>
          <t>Ingrediente Ativo Principal</t>
        </is>
      </c>
      <c r="G958" s="13" t="inlineStr">
        <is>
          <t>TIOFANATO-METÍLICO</t>
        </is>
      </c>
      <c r="H958" s="13" t="inlineStr">
        <is>
          <t>Dimethyl 4,4-(o-phenylene)bis(3-thioallophanate)</t>
        </is>
      </c>
      <c r="I958" s="13" t="inlineStr">
        <is>
          <t>Benzimidazol (Precursor de MBC)</t>
        </is>
      </c>
      <c r="J958" s="13" t="inlineStr">
        <is>
          <t>FRAC Grupo 1 (B1 — MBC)</t>
        </is>
      </c>
      <c r="K958" s="13" t="inlineStr">
        <is>
          <t>Inibição da montagem da beta-tubulina durante a mitose celular fúngica</t>
        </is>
      </c>
      <c r="L958" s="15" t="n">
        <v>350</v>
      </c>
      <c r="M958" s="13" t="inlineStr">
        <is>
          <t>g/L</t>
        </is>
      </c>
      <c r="N958" s="13" t="inlineStr">
        <is>
          <t>Tiofanato-Metílico Técnico Iharabras</t>
        </is>
      </c>
    </row>
    <row r="959" ht="22" customHeight="1">
      <c r="A959" s="6" t="inlineStr">
        <is>
          <t>CMP-0955</t>
        </is>
      </c>
      <c r="B959" s="5" t="n">
        <v>703</v>
      </c>
      <c r="C959" s="7" t="inlineStr">
        <is>
          <t>Nº 4810</t>
        </is>
      </c>
      <c r="D959" s="8" t="inlineStr">
        <is>
          <t>CERTEZA N</t>
        </is>
      </c>
      <c r="E959" s="5" t="n">
        <v>2</v>
      </c>
      <c r="F959" s="7" t="inlineStr">
        <is>
          <t>Ingrediente Ativo Principal</t>
        </is>
      </c>
      <c r="G959" s="7" t="inlineStr">
        <is>
          <t>FLUAZINAM</t>
        </is>
      </c>
      <c r="H959" s="7" t="inlineStr">
        <is>
          <t>3-chloro-N-(3-chloro-5-trifluoromethyl-2-pyridyl)-alpha,alpha,alpha-trifluoro-2,6-dinitro-p-toluidine</t>
        </is>
      </c>
      <c r="I959" s="7" t="inlineStr">
        <is>
          <t>Fenilpiridinamina (2,6-dinitroanilina)</t>
        </is>
      </c>
      <c r="J959" s="7" t="inlineStr">
        <is>
          <t>FRAC Grupo 29 (C5)</t>
        </is>
      </c>
      <c r="K959" s="7" t="inlineStr">
        <is>
          <t>Desacoplador da fosforilação oxidativa mitocondrial</t>
        </is>
      </c>
      <c r="L959" s="17" t="n">
        <v>52.5</v>
      </c>
      <c r="M959" s="7" t="inlineStr">
        <is>
          <t>g/L</t>
        </is>
      </c>
      <c r="N959" s="7" t="inlineStr">
        <is>
          <t>Fluazinam Técnico Iharabras</t>
        </is>
      </c>
    </row>
    <row r="960" ht="22" customHeight="1">
      <c r="A960" s="12" t="inlineStr">
        <is>
          <t>CMP-0956</t>
        </is>
      </c>
      <c r="B960" s="11" t="n">
        <v>704</v>
      </c>
      <c r="C960" s="13" t="inlineStr">
        <is>
          <t>SIPEAGRO (UF-XXXXX)</t>
        </is>
      </c>
      <c r="D960" s="14" t="inlineStr">
        <is>
          <t>ENXOFRE BENTONITA - BG 1.097 KG - CAMPO RICO</t>
        </is>
      </c>
      <c r="E960" s="11" t="n">
        <v>1</v>
      </c>
      <c r="F960" s="13" t="inlineStr">
        <is>
          <t>Ingrediente Ativo Principal</t>
        </is>
      </c>
      <c r="G960" s="13" t="inlineStr">
        <is>
          <t>ENXOFRE ELEMENTAR (S 90% m/m em Matriz de Bentonita 10%)</t>
        </is>
      </c>
      <c r="H960" s="13" t="inlineStr">
        <is>
          <t>Elemental Sulfur (S8) + Bentonite clay</t>
        </is>
      </c>
      <c r="I960" s="13" t="inlineStr">
        <is>
          <t>Fertilizante Mineral Simples Sulfurico (Pastilha Granulada)</t>
        </is>
      </c>
      <c r="J960" s="13" t="inlineStr">
        <is>
          <t>Nutrição Vegetal — Grupo S (Enxofre Elementar)</t>
        </is>
      </c>
      <c r="K960" s="13" t="inlineStr">
        <is>
          <t>Oxidação microbiológica gradual a sulfato (SO4 2-) no solo</t>
        </is>
      </c>
      <c r="L960" s="15" t="n">
        <v>90</v>
      </c>
      <c r="M960" s="13" t="inlineStr">
        <is>
          <t>% m/m</t>
        </is>
      </c>
      <c r="N960" s="13" t="inlineStr">
        <is>
          <t>Registro Técnico Vinculado MAPA</t>
        </is>
      </c>
    </row>
    <row r="961" ht="22" customHeight="1">
      <c r="A961" s="6" t="inlineStr">
        <is>
          <t>CMP-0957</t>
        </is>
      </c>
      <c r="B961" s="5" t="n">
        <v>705</v>
      </c>
      <c r="C961" s="7" t="inlineStr">
        <is>
          <t>Nº 27025</t>
        </is>
      </c>
      <c r="D961" s="8" t="inlineStr">
        <is>
          <t>FLUMIOXAZINA 100 + IMAZETAPIR 200 (PRINC. ATIVO)</t>
        </is>
      </c>
      <c r="E961" s="5" t="n">
        <v>1</v>
      </c>
      <c r="F961" s="7" t="inlineStr">
        <is>
          <t>Ingrediente Ativo Principal</t>
        </is>
      </c>
      <c r="G961" s="7" t="inlineStr">
        <is>
          <t>FLUMIOXAZINA 100</t>
        </is>
      </c>
      <c r="H961" s="7" t="inlineStr">
        <is>
          <t>N-(7-fluoro-3,4-dihydro-3-oxo-4-prop-2-ynyl-2H-1,4-benzoxazin-6-yl)cyclohex-1-ene-1,2-dicarboximide</t>
        </is>
      </c>
      <c r="I961" s="7" t="inlineStr">
        <is>
          <t>N-fenilftalimida</t>
        </is>
      </c>
      <c r="J961" s="7" t="inlineStr">
        <is>
          <t>HRAC Grupo E (14) — Inibidores da PROTOX</t>
        </is>
      </c>
      <c r="K961" s="7" t="inlineStr">
        <is>
          <t>Inibidores da enzima protoporfirinogênio oxidase (PROTOX)</t>
        </is>
      </c>
      <c r="L961" s="9" t="n">
        <v>100</v>
      </c>
      <c r="M961" s="7" t="inlineStr">
        <is>
          <t>g/kg</t>
        </is>
      </c>
      <c r="N961" s="7" t="inlineStr">
        <is>
          <t>Produto Técnico Próprio</t>
        </is>
      </c>
    </row>
    <row r="962" ht="22" customHeight="1">
      <c r="A962" s="12" t="inlineStr">
        <is>
          <t>CMP-0958</t>
        </is>
      </c>
      <c r="B962" s="11" t="n">
        <v>705</v>
      </c>
      <c r="C962" s="13" t="inlineStr">
        <is>
          <t>Nº 27025</t>
        </is>
      </c>
      <c r="D962" s="14" t="inlineStr">
        <is>
          <t>FLUMIOXAZINA 100 + IMAZETAPIR 200 (PRINC. ATIVO)</t>
        </is>
      </c>
      <c r="E962" s="11" t="n">
        <v>2</v>
      </c>
      <c r="F962" s="13" t="inlineStr">
        <is>
          <t>Ingrediente Ativo Principal</t>
        </is>
      </c>
      <c r="G962" s="13" t="inlineStr">
        <is>
          <t>IMAZETAPIR 200</t>
        </is>
      </c>
      <c r="H962" s="13" t="inlineStr">
        <is>
          <t>(RS)-5-ethyl-2-(4-isopropyl-4-methyl-5-oxo-2-imidazolin-2-yl)nicotinic acid</t>
        </is>
      </c>
      <c r="I962" s="13" t="inlineStr">
        <is>
          <t>Imidazolinona</t>
        </is>
      </c>
      <c r="J962" s="13" t="inlineStr">
        <is>
          <t>HRAC Grupo B (2) — Inibidores da ALS</t>
        </is>
      </c>
      <c r="K962" s="13" t="inlineStr">
        <is>
          <t>Inibição da enzima acetolactato sintase (ALS / AHAS)</t>
        </is>
      </c>
      <c r="L962" s="15" t="n">
        <v>200</v>
      </c>
      <c r="M962" s="13" t="inlineStr">
        <is>
          <t>g/kg</t>
        </is>
      </c>
      <c r="N962" s="13" t="inlineStr">
        <is>
          <t>Produto Técnico Próprio</t>
        </is>
      </c>
    </row>
    <row r="963" ht="22" customHeight="1">
      <c r="A963" s="6" t="inlineStr">
        <is>
          <t>CMP-0959</t>
        </is>
      </c>
      <c r="B963" s="5" t="n">
        <v>706</v>
      </c>
      <c r="C963" s="7" t="inlineStr">
        <is>
          <t>VINCULAR MARCA</t>
        </is>
      </c>
      <c r="D963" s="8" t="inlineStr">
        <is>
          <t>PIRIPROXIFEM 100 + LUFENUROM 30 (PRINC. ATIVO)</t>
        </is>
      </c>
      <c r="E963" s="5" t="n">
        <v>1</v>
      </c>
      <c r="F963" s="7" t="inlineStr">
        <is>
          <t>Ingrediente Ativo Principal</t>
        </is>
      </c>
      <c r="G963" s="7" t="inlineStr">
        <is>
          <t>PIRIPROXIFEM 100</t>
        </is>
      </c>
      <c r="H963" s="7" t="inlineStr">
        <is>
          <t>4-phenoxyphenyl (RS)-2-(2-pyridyloxy)propyl ether</t>
        </is>
      </c>
      <c r="I963" s="7" t="inlineStr">
        <is>
          <t>Éter piridiloxipropílico</t>
        </is>
      </c>
      <c r="J963" s="7" t="inlineStr">
        <is>
          <t>IRAC Grupo 7C</t>
        </is>
      </c>
      <c r="K963" s="7" t="inlineStr">
        <is>
          <t>Mimetizadores do hormônio juvenil (Juvenoides)</t>
        </is>
      </c>
      <c r="L963" s="9" t="n">
        <v>100</v>
      </c>
      <c r="M963" s="7" t="inlineStr">
        <is>
          <t>g/kg</t>
        </is>
      </c>
      <c r="N963" s="7" t="inlineStr">
        <is>
          <t>Produto Técnico Próprio</t>
        </is>
      </c>
    </row>
    <row r="964" ht="22" customHeight="1">
      <c r="A964" s="12" t="inlineStr">
        <is>
          <t>CMP-0960</t>
        </is>
      </c>
      <c r="B964" s="11" t="n">
        <v>706</v>
      </c>
      <c r="C964" s="13" t="inlineStr">
        <is>
          <t>VINCULAR MARCA</t>
        </is>
      </c>
      <c r="D964" s="14" t="inlineStr">
        <is>
          <t>PIRIPROXIFEM 100 + LUFENUROM 30 (PRINC. ATIVO)</t>
        </is>
      </c>
      <c r="E964" s="11" t="n">
        <v>2</v>
      </c>
      <c r="F964" s="13" t="inlineStr">
        <is>
          <t>Ingrediente Ativo Principal</t>
        </is>
      </c>
      <c r="G964" s="13" t="inlineStr">
        <is>
          <t>LUFENUROM 30</t>
        </is>
      </c>
      <c r="H964" s="13" t="inlineStr">
        <is>
          <t>(RS)-1-[2,5-dichloro-4-(1,1,2,3,3,3-hexafluoropropoxy)phenyl]-3-(2,6-difluorobenzoyl)urea</t>
        </is>
      </c>
      <c r="I964" s="13" t="inlineStr">
        <is>
          <t>Benzoilureia</t>
        </is>
      </c>
      <c r="J964" s="13" t="inlineStr">
        <is>
          <t>IRAC Grupo 15</t>
        </is>
      </c>
      <c r="K964" s="13" t="inlineStr">
        <is>
          <t>Inibidores da biossíntese de quitina (Tipo 0 - Lepidoptera)</t>
        </is>
      </c>
      <c r="L964" s="15" t="n">
        <v>30</v>
      </c>
      <c r="M964" s="13" t="inlineStr">
        <is>
          <t>g/kg</t>
        </is>
      </c>
      <c r="N964" s="13" t="inlineStr">
        <is>
          <t>Produto Técnico Próprio</t>
        </is>
      </c>
    </row>
    <row r="965" ht="22" customHeight="1">
      <c r="A965" s="6" t="inlineStr">
        <is>
          <t>CMP-0961</t>
        </is>
      </c>
      <c r="B965" s="5" t="n">
        <v>707</v>
      </c>
      <c r="C965" s="7" t="inlineStr">
        <is>
          <t>Nº 32518</t>
        </is>
      </c>
      <c r="D965" s="8" t="inlineStr">
        <is>
          <t>ACETAMIPRIDO 186 + PIRIPROXIFEM 124 (PRINC. ATIVO)</t>
        </is>
      </c>
      <c r="E965" s="5" t="n">
        <v>1</v>
      </c>
      <c r="F965" s="7" t="inlineStr">
        <is>
          <t>Ingrediente Ativo Principal</t>
        </is>
      </c>
      <c r="G965" s="7" t="inlineStr">
        <is>
          <t>ACETAMIPRIDO 186</t>
        </is>
      </c>
      <c r="H965" s="7" t="inlineStr">
        <is>
          <t>(E)-N1-[(6-chloro-3-pyridyl)methyl]-N2-cyano-N1-methylacetamidine</t>
        </is>
      </c>
      <c r="I965" s="7" t="inlineStr">
        <is>
          <t>Neonicotinoide</t>
        </is>
      </c>
      <c r="J965" s="7" t="inlineStr">
        <is>
          <t>IRAC Grupo 4A</t>
        </is>
      </c>
      <c r="K965" s="7" t="inlineStr">
        <is>
          <t>Moduladores competitivos de receptores nicotínicos da acetilcolina (nAChR)</t>
        </is>
      </c>
      <c r="L965" s="9" t="n">
        <v>186</v>
      </c>
      <c r="M965" s="7" t="inlineStr">
        <is>
          <t>g/kg</t>
        </is>
      </c>
      <c r="N965" s="7" t="inlineStr">
        <is>
          <t>Produto Técnico Próprio</t>
        </is>
      </c>
    </row>
    <row r="966" ht="22" customHeight="1">
      <c r="A966" s="12" t="inlineStr">
        <is>
          <t>CMP-0962</t>
        </is>
      </c>
      <c r="B966" s="11" t="n">
        <v>707</v>
      </c>
      <c r="C966" s="13" t="inlineStr">
        <is>
          <t>Nº 32518</t>
        </is>
      </c>
      <c r="D966" s="14" t="inlineStr">
        <is>
          <t>ACETAMIPRIDO 186 + PIRIPROXIFEM 124 (PRINC. ATIVO)</t>
        </is>
      </c>
      <c r="E966" s="11" t="n">
        <v>2</v>
      </c>
      <c r="F966" s="13" t="inlineStr">
        <is>
          <t>Ingrediente Ativo Principal</t>
        </is>
      </c>
      <c r="G966" s="13" t="inlineStr">
        <is>
          <t>PIRIPROXIFEM 124</t>
        </is>
      </c>
      <c r="H966" s="13" t="inlineStr">
        <is>
          <t>4-phenoxyphenyl (RS)-2-(2-pyridyloxy)propyl ether</t>
        </is>
      </c>
      <c r="I966" s="13" t="inlineStr">
        <is>
          <t>Éter piridiloxipropílico</t>
        </is>
      </c>
      <c r="J966" s="13" t="inlineStr">
        <is>
          <t>IRAC Grupo 7C</t>
        </is>
      </c>
      <c r="K966" s="13" t="inlineStr">
        <is>
          <t>Mimetizadores do hormônio juvenil (Juvenoides)</t>
        </is>
      </c>
      <c r="L966" s="15" t="n">
        <v>124</v>
      </c>
      <c r="M966" s="13" t="inlineStr">
        <is>
          <t>g/kg</t>
        </is>
      </c>
      <c r="N966" s="13" t="inlineStr">
        <is>
          <t>Produto Técnico Próprio</t>
        </is>
      </c>
    </row>
    <row r="967" ht="22" customHeight="1">
      <c r="A967" s="6" t="inlineStr">
        <is>
          <t>CMP-0963</t>
        </is>
      </c>
      <c r="B967" s="5" t="n">
        <v>708</v>
      </c>
      <c r="C967" s="7" t="inlineStr">
        <is>
          <t>VINCULAR MARCA</t>
        </is>
      </c>
      <c r="D967" s="8" t="inlineStr">
        <is>
          <t>FLUMIOXAZINA 500 + DICLOSULAM 340 (PRINC. ATIVO)</t>
        </is>
      </c>
      <c r="E967" s="5" t="n">
        <v>1</v>
      </c>
      <c r="F967" s="7" t="inlineStr">
        <is>
          <t>Ingrediente Ativo Principal</t>
        </is>
      </c>
      <c r="G967" s="7" t="inlineStr">
        <is>
          <t>FLUMIOXAZINA 500</t>
        </is>
      </c>
      <c r="H967" s="7" t="inlineStr">
        <is>
          <t>N-(7-fluoro-3,4-dihydro-3-oxo-4-prop-2-ynyl-2H-1,4-benzoxazin-6-yl)cyclohex-1-ene-1,2-dicarboximide</t>
        </is>
      </c>
      <c r="I967" s="7" t="inlineStr">
        <is>
          <t>N-fenilftalimida</t>
        </is>
      </c>
      <c r="J967" s="7" t="inlineStr">
        <is>
          <t>HRAC Grupo E (14) — Inibidores da PROTOX</t>
        </is>
      </c>
      <c r="K967" s="7" t="inlineStr">
        <is>
          <t>Inibidores da enzima protoporfirinogênio oxidase (PROTOX)</t>
        </is>
      </c>
      <c r="L967" s="9" t="n">
        <v>500</v>
      </c>
      <c r="M967" s="7" t="inlineStr">
        <is>
          <t>g/kg</t>
        </is>
      </c>
      <c r="N967" s="7" t="inlineStr">
        <is>
          <t>Produto Técnico Próprio</t>
        </is>
      </c>
    </row>
    <row r="968" ht="22" customHeight="1">
      <c r="A968" s="12" t="inlineStr">
        <is>
          <t>CMP-0964</t>
        </is>
      </c>
      <c r="B968" s="11" t="n">
        <v>708</v>
      </c>
      <c r="C968" s="13" t="inlineStr">
        <is>
          <t>VINCULAR MARCA</t>
        </is>
      </c>
      <c r="D968" s="14" t="inlineStr">
        <is>
          <t>FLUMIOXAZINA 500 + DICLOSULAM 340 (PRINC. ATIVO)</t>
        </is>
      </c>
      <c r="E968" s="11" t="n">
        <v>2</v>
      </c>
      <c r="F968" s="13" t="inlineStr">
        <is>
          <t>Ingrediente Ativo Principal</t>
        </is>
      </c>
      <c r="G968" s="13" t="inlineStr">
        <is>
          <t>DICLOSULAM 340</t>
        </is>
      </c>
      <c r="H968" s="13" t="inlineStr">
        <is>
          <t>N-(2,6-dichlorophenyl)-5-ethoxy-7-fluoro[1,2,4]triazolo[1,5-c]pyrimidine-2-sulfonamide</t>
        </is>
      </c>
      <c r="I968" s="13" t="inlineStr">
        <is>
          <t>Triazolopirimidina Sulfonanilida</t>
        </is>
      </c>
      <c r="J968" s="13" t="inlineStr">
        <is>
          <t>HRAC Grupo B (2) — Inibidores da ALS</t>
        </is>
      </c>
      <c r="K968" s="13" t="inlineStr">
        <is>
          <t>Inibição da enzima acetolactato sintase (ALS / AHAS)</t>
        </is>
      </c>
      <c r="L968" s="15" t="n">
        <v>340</v>
      </c>
      <c r="M968" s="13" t="inlineStr">
        <is>
          <t>g/kg</t>
        </is>
      </c>
      <c r="N968" s="13" t="inlineStr">
        <is>
          <t>Produto Técnico Próprio</t>
        </is>
      </c>
    </row>
    <row r="969" ht="22" customHeight="1">
      <c r="A969" s="6" t="inlineStr">
        <is>
          <t>CMP-0965</t>
        </is>
      </c>
      <c r="B969" s="5" t="n">
        <v>709</v>
      </c>
      <c r="C969" s="7" t="inlineStr">
        <is>
          <t>VINCULAR MARCA</t>
        </is>
      </c>
      <c r="D969" s="8" t="inlineStr">
        <is>
          <t>INDOXAC. 100 + BIFENT. 90 + ACETAM. 137,5 (PR.AT.)</t>
        </is>
      </c>
      <c r="E969" s="5" t="n">
        <v>1</v>
      </c>
      <c r="F969" s="7" t="inlineStr">
        <is>
          <t>Ingrediente Ativo Principal</t>
        </is>
      </c>
      <c r="G969" s="7" t="inlineStr">
        <is>
          <t>INDOXACARBE 100</t>
        </is>
      </c>
      <c r="H969" s="7" t="inlineStr">
        <is>
          <t>Methyl (S)-N-[7-chloro-2,3,4a,5-tetrahydro-4a-(methoxycarbonyl)indeno[1,2-e][1,3,4]oxadiazin-2-ylcarbonyl]-4-(trifluoromethoxy)carbanilate</t>
        </is>
      </c>
      <c r="I969" s="7" t="inlineStr">
        <is>
          <t>Oxadiazina</t>
        </is>
      </c>
      <c r="J969" s="7" t="inlineStr">
        <is>
          <t>IRAC Grupo 22A</t>
        </is>
      </c>
      <c r="K969" s="7" t="inlineStr">
        <is>
          <t>Bloqueadores de canais de sódio dependentes de voltagem</t>
        </is>
      </c>
      <c r="L969" s="9" t="n">
        <v>100</v>
      </c>
      <c r="M969" s="7" t="inlineStr">
        <is>
          <t>g/kg</t>
        </is>
      </c>
      <c r="N969" s="7" t="inlineStr">
        <is>
          <t>Produto Técnico Próprio</t>
        </is>
      </c>
    </row>
    <row r="970" ht="22" customHeight="1">
      <c r="A970" s="12" t="inlineStr">
        <is>
          <t>CMP-0966</t>
        </is>
      </c>
      <c r="B970" s="11" t="n">
        <v>709</v>
      </c>
      <c r="C970" s="13" t="inlineStr">
        <is>
          <t>VINCULAR MARCA</t>
        </is>
      </c>
      <c r="D970" s="14" t="inlineStr">
        <is>
          <t>INDOXAC. 100 + BIFENT. 90 + ACETAM. 137,5 (PR.AT.)</t>
        </is>
      </c>
      <c r="E970" s="11" t="n">
        <v>2</v>
      </c>
      <c r="F970" s="13" t="inlineStr">
        <is>
          <t>Ingrediente Ativo Principal</t>
        </is>
      </c>
      <c r="G970" s="13" t="inlineStr">
        <is>
          <t>BIFENTRINA 90</t>
        </is>
      </c>
      <c r="H970" s="13" t="inlineStr">
        <is>
          <t>2-methylbiphenyl-3-ylmethyl (Z)-(1RS,3RS)-3-(2-chloro-3,3,3-trifluoroprop-1-enyl)-2,2-dimethylcyclopropanecarboxylate</t>
        </is>
      </c>
      <c r="I970" s="13" t="inlineStr">
        <is>
          <t>Piretroide (Tipo I)</t>
        </is>
      </c>
      <c r="J970" s="13" t="inlineStr">
        <is>
          <t>IRAC Grupo 3A</t>
        </is>
      </c>
      <c r="K970" s="13" t="inlineStr">
        <is>
          <t>Moduladores de canais de sódio em membranas nervosas</t>
        </is>
      </c>
      <c r="L970" s="15" t="n">
        <v>90</v>
      </c>
      <c r="M970" s="13" t="inlineStr">
        <is>
          <t>g/kg</t>
        </is>
      </c>
      <c r="N970" s="13" t="inlineStr">
        <is>
          <t>Produto Técnico Próprio</t>
        </is>
      </c>
    </row>
    <row r="971" ht="22" customHeight="1">
      <c r="A971" s="6" t="inlineStr">
        <is>
          <t>CMP-0967</t>
        </is>
      </c>
      <c r="B971" s="5" t="n">
        <v>709</v>
      </c>
      <c r="C971" s="7" t="inlineStr">
        <is>
          <t>VINCULAR MARCA</t>
        </is>
      </c>
      <c r="D971" s="8" t="inlineStr">
        <is>
          <t>INDOXAC. 100 + BIFENT. 90 + ACETAM. 137,5 (PR.AT.)</t>
        </is>
      </c>
      <c r="E971" s="5" t="n">
        <v>3</v>
      </c>
      <c r="F971" s="7" t="inlineStr">
        <is>
          <t>Ingrediente Ativo Principal</t>
        </is>
      </c>
      <c r="G971" s="7" t="inlineStr">
        <is>
          <t>ACETAMIPRIDO 137,5</t>
        </is>
      </c>
      <c r="H971" s="7" t="inlineStr">
        <is>
          <t>(E)-N1-[(6-chloro-3-pyridyl)methyl]-N2-cyano-N1-methylacetamidine</t>
        </is>
      </c>
      <c r="I971" s="7" t="inlineStr">
        <is>
          <t>Neonicotinoide</t>
        </is>
      </c>
      <c r="J971" s="7" t="inlineStr">
        <is>
          <t>IRAC Grupo 4A</t>
        </is>
      </c>
      <c r="K971" s="7" t="inlineStr">
        <is>
          <t>Moduladores competitivos de receptores nicotínicos da acetilcolina (nAChR)</t>
        </is>
      </c>
      <c r="L971" s="17" t="n">
        <v>137.5</v>
      </c>
      <c r="M971" s="7" t="inlineStr">
        <is>
          <t>g/kg</t>
        </is>
      </c>
      <c r="N971" s="7" t="inlineStr">
        <is>
          <t>Produto Técnico Próprio</t>
        </is>
      </c>
    </row>
    <row r="972" ht="22" customHeight="1">
      <c r="A972" s="12" t="inlineStr">
        <is>
          <t>CMP-0968</t>
        </is>
      </c>
      <c r="B972" s="11" t="n">
        <v>710</v>
      </c>
      <c r="C972" s="13" t="inlineStr">
        <is>
          <t>VINCULAR MARCA</t>
        </is>
      </c>
      <c r="D972" s="14" t="inlineStr">
        <is>
          <t>BIFENTRINA 360 + CLORANTRANILIPRO. 200 (PR. ATIVO)</t>
        </is>
      </c>
      <c r="E972" s="11" t="n">
        <v>1</v>
      </c>
      <c r="F972" s="13" t="inlineStr">
        <is>
          <t>Ingrediente Ativo Principal</t>
        </is>
      </c>
      <c r="G972" s="13" t="inlineStr">
        <is>
          <t>BIFENTRINA 360</t>
        </is>
      </c>
      <c r="H972" s="13" t="inlineStr">
        <is>
          <t>2-methylbiphenyl-3-ylmethyl (Z)-(1RS,3RS)-3-(2-chloro-3,3,3-trifluoroprop-1-enyl)-2,2-dimethylcyclopropanecarboxylate</t>
        </is>
      </c>
      <c r="I972" s="13" t="inlineStr">
        <is>
          <t>Piretroide (Tipo I)</t>
        </is>
      </c>
      <c r="J972" s="13" t="inlineStr">
        <is>
          <t>IRAC Grupo 3A</t>
        </is>
      </c>
      <c r="K972" s="13" t="inlineStr">
        <is>
          <t>Moduladores de canais de sódio em membranas nervosas</t>
        </is>
      </c>
      <c r="L972" s="15" t="n">
        <v>360</v>
      </c>
      <c r="M972" s="13" t="inlineStr">
        <is>
          <t>g/L</t>
        </is>
      </c>
      <c r="N972" s="13" t="inlineStr">
        <is>
          <t>Registro Técnico Vinculado MAPA</t>
        </is>
      </c>
    </row>
    <row r="973" ht="22" customHeight="1">
      <c r="A973" s="6" t="inlineStr">
        <is>
          <t>CMP-0969</t>
        </is>
      </c>
      <c r="B973" s="5" t="n">
        <v>710</v>
      </c>
      <c r="C973" s="7" t="inlineStr">
        <is>
          <t>VINCULAR MARCA</t>
        </is>
      </c>
      <c r="D973" s="8" t="inlineStr">
        <is>
          <t>BIFENTRINA 360 + CLORANTRANILIPRO. 200 (PR. ATIVO)</t>
        </is>
      </c>
      <c r="E973" s="5" t="n">
        <v>2</v>
      </c>
      <c r="F973" s="7" t="inlineStr">
        <is>
          <t>Ingrediente Ativo Principal</t>
        </is>
      </c>
      <c r="G973" s="7" t="inlineStr">
        <is>
          <t>CLORANTRANILIPROLE 200</t>
        </is>
      </c>
      <c r="H973" s="7" t="inlineStr">
        <is>
          <t>3-bromo-N-[4-chloro-2-methyl-6-(methylcarbamoyl)phenyl]-1-(3-chloropyridin-2-yl)-1H-pyrazole-5-carboxamide</t>
        </is>
      </c>
      <c r="I973" s="7" t="inlineStr">
        <is>
          <t>Diamida Antranílica</t>
        </is>
      </c>
      <c r="J973" s="7" t="inlineStr">
        <is>
          <t>IRAC Grupo 28</t>
        </is>
      </c>
      <c r="K973" s="7" t="inlineStr">
        <is>
          <t>Moduladores dos receptores de rianodina (RyR) no músculo</t>
        </is>
      </c>
      <c r="L973" s="9" t="n">
        <v>200</v>
      </c>
      <c r="M973" s="7" t="inlineStr">
        <is>
          <t>g/L</t>
        </is>
      </c>
      <c r="N973" s="7" t="inlineStr">
        <is>
          <t>Registro Técnico Vinculado MAPA</t>
        </is>
      </c>
    </row>
    <row r="974" ht="22" customHeight="1">
      <c r="A974" s="12" t="inlineStr">
        <is>
          <t>CMP-0970</t>
        </is>
      </c>
      <c r="B974" s="11" t="n">
        <v>711</v>
      </c>
      <c r="C974" s="13" t="inlineStr">
        <is>
          <t>VINCULAR MARCA</t>
        </is>
      </c>
      <c r="D974" s="14" t="inlineStr">
        <is>
          <t>GLUFOSINATO 490 + FLUMIOXAZINA 49 (PRINC. ATIVO)</t>
        </is>
      </c>
      <c r="E974" s="11" t="n">
        <v>1</v>
      </c>
      <c r="F974" s="13" t="inlineStr">
        <is>
          <t>Ingrediente Ativo Principal</t>
        </is>
      </c>
      <c r="G974" s="13" t="inlineStr">
        <is>
          <t>GLUFOSINATO 490</t>
        </is>
      </c>
      <c r="H974" s="13" t="inlineStr">
        <is>
          <t>Ammonium (2RS)-2-amino-4-(methylphosphinato)butyric acid (Glufosinato Sal de Amônio)</t>
        </is>
      </c>
      <c r="I974" s="13" t="inlineStr">
        <is>
          <t>Homoalanina substituída (Ácido fosfínico)</t>
        </is>
      </c>
      <c r="J974" s="13" t="inlineStr">
        <is>
          <t>HRAC Grupo H (10) — Inibidores da Glutamina Sintetase</t>
        </is>
      </c>
      <c r="K974" s="13" t="inlineStr">
        <is>
          <t>Inibição da enzima glutamina sintetase (acúmulo de amônia intracelular)</t>
        </is>
      </c>
      <c r="L974" s="15" t="n">
        <v>490</v>
      </c>
      <c r="M974" s="13" t="inlineStr">
        <is>
          <t>g/kg</t>
        </is>
      </c>
      <c r="N974" s="13" t="inlineStr">
        <is>
          <t>Produto Técnico Próprio</t>
        </is>
      </c>
    </row>
    <row r="975" ht="22" customHeight="1">
      <c r="A975" s="6" t="inlineStr">
        <is>
          <t>CMP-0971</t>
        </is>
      </c>
      <c r="B975" s="5" t="n">
        <v>711</v>
      </c>
      <c r="C975" s="7" t="inlineStr">
        <is>
          <t>VINCULAR MARCA</t>
        </is>
      </c>
      <c r="D975" s="8" t="inlineStr">
        <is>
          <t>GLUFOSINATO 490 + FLUMIOXAZINA 49 (PRINC. ATIVO)</t>
        </is>
      </c>
      <c r="E975" s="5" t="n">
        <v>2</v>
      </c>
      <c r="F975" s="7" t="inlineStr">
        <is>
          <t>Ingrediente Ativo Principal</t>
        </is>
      </c>
      <c r="G975" s="7" t="inlineStr">
        <is>
          <t>FLUMIOXAZINA 49</t>
        </is>
      </c>
      <c r="H975" s="7" t="inlineStr">
        <is>
          <t>N-(7-fluoro-3,4-dihydro-3-oxo-4-prop-2-ynyl-2H-1,4-benzoxazin-6-yl)cyclohex-1-ene-1,2-dicarboximide</t>
        </is>
      </c>
      <c r="I975" s="7" t="inlineStr">
        <is>
          <t>N-fenilftalimida</t>
        </is>
      </c>
      <c r="J975" s="7" t="inlineStr">
        <is>
          <t>HRAC Grupo E (14) — Inibidores da PROTOX</t>
        </is>
      </c>
      <c r="K975" s="7" t="inlineStr">
        <is>
          <t>Inibidores da enzima protoporfirinogênio oxidase (PROTOX)</t>
        </is>
      </c>
      <c r="L975" s="9" t="n">
        <v>49</v>
      </c>
      <c r="M975" s="7" t="inlineStr">
        <is>
          <t>g/kg</t>
        </is>
      </c>
      <c r="N975" s="7" t="inlineStr">
        <is>
          <t>Produto Técnico Próprio</t>
        </is>
      </c>
    </row>
    <row r="976" ht="22" customHeight="1">
      <c r="A976" s="12" t="inlineStr">
        <is>
          <t>CMP-0972</t>
        </is>
      </c>
      <c r="B976" s="11" t="n">
        <v>712</v>
      </c>
      <c r="C976" s="13" t="inlineStr">
        <is>
          <t>Nº 24925</t>
        </is>
      </c>
      <c r="D976" s="14" t="inlineStr">
        <is>
          <t>S-METOLACL. 290 + ATRAZ. 200 + MESOT. 40 (PR. AT.)</t>
        </is>
      </c>
      <c r="E976" s="11" t="n">
        <v>1</v>
      </c>
      <c r="F976" s="13" t="inlineStr">
        <is>
          <t>Ingrediente Ativo Principal</t>
        </is>
      </c>
      <c r="G976" s="13" t="inlineStr">
        <is>
          <t>S-METOLACLORO 290</t>
        </is>
      </c>
      <c r="H976" s="13" t="inlineStr">
        <is>
          <t>Mixture of (aRS,1S)-2-chloro-6'-ethyl-N-(2-methoxy-1-methylethyl)aceto-o-toluidide</t>
        </is>
      </c>
      <c r="I976" s="13" t="inlineStr">
        <is>
          <t>Cloroacetanilida</t>
        </is>
      </c>
      <c r="J976" s="13" t="inlineStr">
        <is>
          <t>HRAC Grupo K3 (15) — Inibidores de VLCFAs</t>
        </is>
      </c>
      <c r="K976" s="13" t="inlineStr">
        <is>
          <t>Inibidores da síntese de ácidos graxos de cadeia muito longa (divisão celular)</t>
        </is>
      </c>
      <c r="L976" s="15" t="n">
        <v>290</v>
      </c>
      <c r="M976" s="13" t="inlineStr">
        <is>
          <t>g/L</t>
        </is>
      </c>
      <c r="N976" s="13" t="inlineStr">
        <is>
          <t>Produto Técnico Próprio</t>
        </is>
      </c>
    </row>
    <row r="977" ht="22" customHeight="1">
      <c r="A977" s="6" t="inlineStr">
        <is>
          <t>CMP-0973</t>
        </is>
      </c>
      <c r="B977" s="5" t="n">
        <v>712</v>
      </c>
      <c r="C977" s="7" t="inlineStr">
        <is>
          <t>Nº 24925</t>
        </is>
      </c>
      <c r="D977" s="8" t="inlineStr">
        <is>
          <t>S-METOLACL. 290 + ATRAZ. 200 + MESOT. 40 (PR. AT.)</t>
        </is>
      </c>
      <c r="E977" s="5" t="n">
        <v>2</v>
      </c>
      <c r="F977" s="7" t="inlineStr">
        <is>
          <t>Ingrediente Ativo Principal</t>
        </is>
      </c>
      <c r="G977" s="7" t="inlineStr">
        <is>
          <t>ATRAZINA 200</t>
        </is>
      </c>
      <c r="H977" s="7" t="inlineStr">
        <is>
          <t>6-chloro-N2-ethyl-N4-isopropyl-1,3,5-triazine-2,4-diamine</t>
        </is>
      </c>
      <c r="I977" s="7" t="inlineStr">
        <is>
          <t>Triazina</t>
        </is>
      </c>
      <c r="J977" s="7" t="inlineStr">
        <is>
          <t>HRAC Grupo C1 (5) — Inibidores do Fotossistema II</t>
        </is>
      </c>
      <c r="K977" s="7" t="inlineStr">
        <is>
          <t>Inibição do transporte de elétrons no Fotossistema II (sítio Serina 264)</t>
        </is>
      </c>
      <c r="L977" s="9" t="n">
        <v>200</v>
      </c>
      <c r="M977" s="7" t="inlineStr">
        <is>
          <t>g/L</t>
        </is>
      </c>
      <c r="N977" s="7" t="inlineStr">
        <is>
          <t>Produto Técnico Próprio</t>
        </is>
      </c>
    </row>
    <row r="978" ht="22" customHeight="1">
      <c r="A978" s="12" t="inlineStr">
        <is>
          <t>CMP-0974</t>
        </is>
      </c>
      <c r="B978" s="11" t="n">
        <v>712</v>
      </c>
      <c r="C978" s="13" t="inlineStr">
        <is>
          <t>Nº 24925</t>
        </is>
      </c>
      <c r="D978" s="14" t="inlineStr">
        <is>
          <t>S-METOLACL. 290 + ATRAZ. 200 + MESOT. 40 (PR. AT.)</t>
        </is>
      </c>
      <c r="E978" s="11" t="n">
        <v>3</v>
      </c>
      <c r="F978" s="13" t="inlineStr">
        <is>
          <t>Ingrediente Ativo Principal</t>
        </is>
      </c>
      <c r="G978" s="13" t="inlineStr">
        <is>
          <t>MESOTRIONA 40</t>
        </is>
      </c>
      <c r="H978" s="13" t="inlineStr">
        <is>
          <t>2-(4-mesyl-2-nitrobenzoyl)cyclohexane-1,3-dione</t>
        </is>
      </c>
      <c r="I978" s="13" t="inlineStr">
        <is>
          <t>Tricetona</t>
        </is>
      </c>
      <c r="J978" s="13" t="inlineStr">
        <is>
          <t>HRAC Grupo F2 (27) — Inibidores da HPPD</t>
        </is>
      </c>
      <c r="K978" s="13" t="inlineStr">
        <is>
          <t>Inibidores da enzima 4-hidroxifenil-piruvato-dioxigenase (HPPD - biossíntese de carotenoides)</t>
        </is>
      </c>
      <c r="L978" s="15" t="n">
        <v>40</v>
      </c>
      <c r="M978" s="13" t="inlineStr">
        <is>
          <t>g/L</t>
        </is>
      </c>
      <c r="N978" s="13" t="inlineStr">
        <is>
          <t>Produto Técnico Próprio</t>
        </is>
      </c>
    </row>
    <row r="979" ht="22" customHeight="1">
      <c r="A979" s="6" t="inlineStr">
        <is>
          <t>CMP-0975</t>
        </is>
      </c>
      <c r="B979" s="5" t="n">
        <v>713</v>
      </c>
      <c r="C979" s="7" t="inlineStr">
        <is>
          <t>VINCULAR MARCA</t>
        </is>
      </c>
      <c r="D979" s="8" t="inlineStr">
        <is>
          <t>CLOROTALONIL 580 + DIFENOCONAZOL 30 (PRINC. ATIVO)</t>
        </is>
      </c>
      <c r="E979" s="5" t="n">
        <v>1</v>
      </c>
      <c r="F979" s="7" t="inlineStr">
        <is>
          <t>Ingrediente Ativo Principal</t>
        </is>
      </c>
      <c r="G979" s="7" t="inlineStr">
        <is>
          <t>CLOROTALONIL 580</t>
        </is>
      </c>
      <c r="H979" s="7" t="inlineStr">
        <is>
          <t>Tetrachloroisophthalonitrile</t>
        </is>
      </c>
      <c r="I979" s="7" t="inlineStr">
        <is>
          <t>Isoftalonitrila</t>
        </is>
      </c>
      <c r="J979" s="7" t="inlineStr">
        <is>
          <t>FRAC Grupo M05 — Multissítio</t>
        </is>
      </c>
      <c r="K979" s="7" t="inlineStr">
        <is>
          <t>Atividade de contato multissítio (inativação de grupos tiol enzimáticos)</t>
        </is>
      </c>
      <c r="L979" s="9" t="n">
        <v>580</v>
      </c>
      <c r="M979" s="7" t="inlineStr">
        <is>
          <t>g/kg</t>
        </is>
      </c>
      <c r="N979" s="7" t="inlineStr">
        <is>
          <t>Produto Técnico Próprio</t>
        </is>
      </c>
    </row>
    <row r="980" ht="22" customHeight="1">
      <c r="A980" s="12" t="inlineStr">
        <is>
          <t>CMP-0976</t>
        </is>
      </c>
      <c r="B980" s="11" t="n">
        <v>713</v>
      </c>
      <c r="C980" s="13" t="inlineStr">
        <is>
          <t>VINCULAR MARCA</t>
        </is>
      </c>
      <c r="D980" s="14" t="inlineStr">
        <is>
          <t>CLOROTALONIL 580 + DIFENOCONAZOL 30 (PRINC. ATIVO)</t>
        </is>
      </c>
      <c r="E980" s="11" t="n">
        <v>2</v>
      </c>
      <c r="F980" s="13" t="inlineStr">
        <is>
          <t>Ingrediente Ativo Principal</t>
        </is>
      </c>
      <c r="G980" s="13" t="inlineStr">
        <is>
          <t>DIFENOCONAZOL 30</t>
        </is>
      </c>
      <c r="H980" s="13" t="inlineStr">
        <is>
          <t>cis,trans-3-chloro-4-[4-methyl-2-(1H-1,2,4-triazol-1-ylmethyl)-1,3-dioxolan-2-yl]phenyl 4-chlorophenyl ether</t>
        </is>
      </c>
      <c r="I980" s="13" t="inlineStr">
        <is>
          <t>Triazol</t>
        </is>
      </c>
      <c r="J980" s="13" t="inlineStr">
        <is>
          <t>FRAC Grupo 3 (DMI)</t>
        </is>
      </c>
      <c r="K980" s="13" t="inlineStr">
        <is>
          <t>Inibidores da desmetilação de esteróis (C14-desmetilase na síntese de ergosterol)</t>
        </is>
      </c>
      <c r="L980" s="15" t="n">
        <v>30</v>
      </c>
      <c r="M980" s="13" t="inlineStr">
        <is>
          <t>g/kg</t>
        </is>
      </c>
      <c r="N980" s="13" t="inlineStr">
        <is>
          <t>Produto Técnico Próprio</t>
        </is>
      </c>
    </row>
    <row r="981" ht="22" customHeight="1">
      <c r="A981" s="6" t="inlineStr">
        <is>
          <t>CMP-0977</t>
        </is>
      </c>
      <c r="B981" s="5" t="n">
        <v>713</v>
      </c>
      <c r="C981" s="7" t="inlineStr">
        <is>
          <t>VINCULAR MARCA</t>
        </is>
      </c>
      <c r="D981" s="8" t="inlineStr">
        <is>
          <t>CLOROTALONIL 580 + DIFENOCONAZOL 30 (PRINC. ATIVO)</t>
        </is>
      </c>
      <c r="E981" s="5" t="n">
        <v>3</v>
      </c>
      <c r="F981" s="7" t="inlineStr">
        <is>
          <t>Ingrediente Ativo Principal</t>
        </is>
      </c>
      <c r="G981" s="7" t="inlineStr">
        <is>
          <t>TRIFLOXISTROBINA 24</t>
        </is>
      </c>
      <c r="H981" s="7" t="inlineStr">
        <is>
          <t>Methyl (E)-methoxyimino-{(E)-a-[1-(a,a,a-trifluoro-m-tolyl)ethylideneaminooxy]-o-tolyl}acetate</t>
        </is>
      </c>
      <c r="I981" s="7" t="inlineStr">
        <is>
          <t>Estrobilurina (Oximinoacetato)</t>
        </is>
      </c>
      <c r="J981" s="7" t="inlineStr">
        <is>
          <t>FRAC Grupo 11 (QoI)</t>
        </is>
      </c>
      <c r="K981" s="7" t="inlineStr">
        <is>
          <t>Inibidores da respiração mitocondrial no complexo III (sítio Qo)</t>
        </is>
      </c>
      <c r="L981" s="9" t="n">
        <v>24</v>
      </c>
      <c r="M981" s="7" t="inlineStr">
        <is>
          <t>g/kg</t>
        </is>
      </c>
      <c r="N981" s="7" t="inlineStr">
        <is>
          <t>Produto Técnico Próprio</t>
        </is>
      </c>
    </row>
    <row r="982" ht="22" customHeight="1">
      <c r="A982" s="12" t="inlineStr">
        <is>
          <t>CMP-0978</t>
        </is>
      </c>
      <c r="B982" s="11" t="n">
        <v>714</v>
      </c>
      <c r="C982" s="13" t="inlineStr">
        <is>
          <t>Nº 4810</t>
        </is>
      </c>
      <c r="D982" s="14" t="inlineStr">
        <is>
          <t>TIOFANATO-METILICO + FLUAZINAM</t>
        </is>
      </c>
      <c r="E982" s="11" t="n">
        <v>1</v>
      </c>
      <c r="F982" s="13" t="inlineStr">
        <is>
          <t>Ingrediente Ativo Principal</t>
        </is>
      </c>
      <c r="G982" s="13" t="inlineStr">
        <is>
          <t>TIOFANATO-METÍLICO</t>
        </is>
      </c>
      <c r="H982" s="13" t="inlineStr">
        <is>
          <t>Dimethyl 4,4-(o-phenylene)bis(3-thioallophanate)</t>
        </is>
      </c>
      <c r="I982" s="13" t="inlineStr">
        <is>
          <t>Benzimidazol (Precursor de MBC)</t>
        </is>
      </c>
      <c r="J982" s="13" t="inlineStr">
        <is>
          <t>FRAC Grupo 1 (B1 — MBC)</t>
        </is>
      </c>
      <c r="K982" s="13" t="inlineStr">
        <is>
          <t>Inibição da montagem da beta-tubulina durante a mitose celular fúngica</t>
        </is>
      </c>
      <c r="L982" s="15" t="n">
        <v>350</v>
      </c>
      <c r="M982" s="13" t="inlineStr">
        <is>
          <t>g/L</t>
        </is>
      </c>
      <c r="N982" s="13" t="inlineStr">
        <is>
          <t>Tiofanato-Metílico Técnico Iharabras</t>
        </is>
      </c>
    </row>
    <row r="983" ht="22" customHeight="1">
      <c r="A983" s="6" t="inlineStr">
        <is>
          <t>CMP-0979</t>
        </is>
      </c>
      <c r="B983" s="5" t="n">
        <v>714</v>
      </c>
      <c r="C983" s="7" t="inlineStr">
        <is>
          <t>Nº 4810</t>
        </is>
      </c>
      <c r="D983" s="8" t="inlineStr">
        <is>
          <t>TIOFANATO-METILICO + FLUAZINAM</t>
        </is>
      </c>
      <c r="E983" s="5" t="n">
        <v>2</v>
      </c>
      <c r="F983" s="7" t="inlineStr">
        <is>
          <t>Ingrediente Ativo Principal</t>
        </is>
      </c>
      <c r="G983" s="7" t="inlineStr">
        <is>
          <t>FLUAZINAM</t>
        </is>
      </c>
      <c r="H983" s="7" t="inlineStr">
        <is>
          <t>3-chloro-N-(3-chloro-5-trifluoromethyl-2-pyridyl)-alpha,alpha,alpha-trifluoro-2,6-dinitro-p-toluidine</t>
        </is>
      </c>
      <c r="I983" s="7" t="inlineStr">
        <is>
          <t>Fenilpiridinamina (2,6-dinitroanilina)</t>
        </is>
      </c>
      <c r="J983" s="7" t="inlineStr">
        <is>
          <t>FRAC Grupo 29 (C5)</t>
        </is>
      </c>
      <c r="K983" s="7" t="inlineStr">
        <is>
          <t>Desacoplador da fosforilação oxidativa mitocondrial</t>
        </is>
      </c>
      <c r="L983" s="17" t="n">
        <v>52.5</v>
      </c>
      <c r="M983" s="7" t="inlineStr">
        <is>
          <t>g/L</t>
        </is>
      </c>
      <c r="N983" s="7" t="inlineStr">
        <is>
          <t>Fluazinam Técnico Iharabras</t>
        </is>
      </c>
    </row>
    <row r="984" ht="22" customHeight="1">
      <c r="A984" s="12" t="inlineStr">
        <is>
          <t>CMP-0980</t>
        </is>
      </c>
      <c r="B984" s="11" t="n">
        <v>715</v>
      </c>
      <c r="C984" s="13" t="inlineStr">
        <is>
          <t>VINCULAR MARCA</t>
        </is>
      </c>
      <c r="D984" s="14" t="inlineStr">
        <is>
          <t>TEBUCONAZOL 50 + CLOROTALONIL 450  (PRINC. ATIVO)</t>
        </is>
      </c>
      <c r="E984" s="11" t="n">
        <v>1</v>
      </c>
      <c r="F984" s="13" t="inlineStr">
        <is>
          <t>Ingrediente Ativo Principal</t>
        </is>
      </c>
      <c r="G984" s="13" t="inlineStr">
        <is>
          <t>TEBUCONAZOL 50</t>
        </is>
      </c>
      <c r="H984" s="13" t="inlineStr">
        <is>
          <t>(RS)-1-p-chlorophenyl-4,4-dimethyl-3-(1H-1,2,4-triazol-1-ylmethyl)pentan-3-ol</t>
        </is>
      </c>
      <c r="I984" s="13" t="inlineStr">
        <is>
          <t>Triazol</t>
        </is>
      </c>
      <c r="J984" s="13" t="inlineStr">
        <is>
          <t>FRAC Grupo 3 (DMI)</t>
        </is>
      </c>
      <c r="K984" s="13" t="inlineStr">
        <is>
          <t>Inibidores da desmetilação de C14 na biossíntese de ergosterol</t>
        </is>
      </c>
      <c r="L984" s="15" t="n">
        <v>50</v>
      </c>
      <c r="M984" s="13" t="inlineStr">
        <is>
          <t>g/kg</t>
        </is>
      </c>
      <c r="N984" s="13" t="inlineStr">
        <is>
          <t>Produto Técnico Próprio</t>
        </is>
      </c>
    </row>
    <row r="985" ht="22" customHeight="1">
      <c r="A985" s="6" t="inlineStr">
        <is>
          <t>CMP-0981</t>
        </is>
      </c>
      <c r="B985" s="5" t="n">
        <v>715</v>
      </c>
      <c r="C985" s="7" t="inlineStr">
        <is>
          <t>VINCULAR MARCA</t>
        </is>
      </c>
      <c r="D985" s="8" t="inlineStr">
        <is>
          <t>TEBUCONAZOL 50 + CLOROTALONIL 450  (PRINC. ATIVO)</t>
        </is>
      </c>
      <c r="E985" s="5" t="n">
        <v>2</v>
      </c>
      <c r="F985" s="7" t="inlineStr">
        <is>
          <t>Ingrediente Ativo Principal</t>
        </is>
      </c>
      <c r="G985" s="7" t="inlineStr">
        <is>
          <t>CLOROTALONIL 450</t>
        </is>
      </c>
      <c r="H985" s="7" t="inlineStr">
        <is>
          <t>Tetrachloroisophthalonitrile</t>
        </is>
      </c>
      <c r="I985" s="7" t="inlineStr">
        <is>
          <t>Isoftalonitrila</t>
        </is>
      </c>
      <c r="J985" s="7" t="inlineStr">
        <is>
          <t>FRAC Grupo M05 — Multissítio</t>
        </is>
      </c>
      <c r="K985" s="7" t="inlineStr">
        <is>
          <t>Atividade de contato multissítio (inativação de grupos tiol enzimáticos)</t>
        </is>
      </c>
      <c r="L985" s="9" t="n">
        <v>450</v>
      </c>
      <c r="M985" s="7" t="inlineStr">
        <is>
          <t>g/kg</t>
        </is>
      </c>
      <c r="N985" s="7" t="inlineStr">
        <is>
          <t>Produto Técnico Próprio</t>
        </is>
      </c>
    </row>
    <row r="986" ht="22" customHeight="1">
      <c r="A986" s="12" t="inlineStr">
        <is>
          <t>CMP-0982</t>
        </is>
      </c>
      <c r="B986" s="11" t="n">
        <v>716</v>
      </c>
      <c r="C986" s="13" t="inlineStr">
        <is>
          <t>SIPEAGRO (UF-XXXXX)</t>
        </is>
      </c>
      <c r="D986" s="14" t="inlineStr">
        <is>
          <t>KCL 00-00-60 (TON) EUROCHEM</t>
        </is>
      </c>
      <c r="E986" s="11" t="n">
        <v>1</v>
      </c>
      <c r="F986" s="13" t="inlineStr">
        <is>
          <t>Nutriente Garantido</t>
        </is>
      </c>
      <c r="G986" s="13" t="inlineStr">
        <is>
          <t>FERTILIZANTES</t>
        </is>
      </c>
      <c r="H986" s="13" t="inlineStr">
        <is>
          <t>Composição Nutricional Oficial (FERTILIZANTES)</t>
        </is>
      </c>
      <c r="I986" s="13" t="inlineStr">
        <is>
          <t>Fertilizante Mineral / Organomineral (Lei nº 6.894/1980)</t>
        </is>
      </c>
      <c r="J986" s="13" t="inlineStr">
        <is>
          <t>Nutrição Vegetal SIPEAGRO</t>
        </is>
      </c>
      <c r="K986" s="13" t="inlineStr">
        <is>
          <t>Fornecimento de macro e micronutrientes essenciais ao metabolismo vegetal</t>
        </is>
      </c>
      <c r="L986" s="15" t="n">
        <v>100</v>
      </c>
      <c r="M986" s="13" t="inlineStr">
        <is>
          <t>% m/m</t>
        </is>
      </c>
      <c r="N986" s="13" t="inlineStr">
        <is>
          <t>Registro Técnico Vinculado MAPA</t>
        </is>
      </c>
    </row>
    <row r="987" ht="22" customHeight="1">
      <c r="A987" s="6" t="inlineStr">
        <is>
          <t>CMP-0983</t>
        </is>
      </c>
      <c r="B987" s="5" t="n">
        <v>717</v>
      </c>
      <c r="C987" s="7" t="inlineStr">
        <is>
          <t>Nº 27717</t>
        </is>
      </c>
      <c r="D987" s="8" t="inlineStr">
        <is>
          <t>LEALTY WG</t>
        </is>
      </c>
      <c r="E987" s="5" t="n">
        <v>1</v>
      </c>
      <c r="F987" s="7" t="inlineStr">
        <is>
          <t>Ingrediente Ativo Principal</t>
        </is>
      </c>
      <c r="G987" s="7" t="inlineStr">
        <is>
          <t>FIPRONIL 800</t>
        </is>
      </c>
      <c r="H987" s="7" t="inlineStr">
        <is>
          <t>(RS)-5-amino-1-(2,6-dichloro-a,a,a-trifluoro-p-tolyl)-4-trifluoromethylsulfinylpyrazole-3-carbonitrile</t>
        </is>
      </c>
      <c r="I987" s="7" t="inlineStr">
        <is>
          <t>Pirazol (Fenilpirazol)</t>
        </is>
      </c>
      <c r="J987" s="7" t="inlineStr">
        <is>
          <t>IRAC Grupo 2B</t>
        </is>
      </c>
      <c r="K987" s="7" t="inlineStr">
        <is>
          <t>Bloqueadores de canais de cloro mediados pelo GABA</t>
        </is>
      </c>
      <c r="L987" s="9" t="n">
        <v>800</v>
      </c>
      <c r="M987" s="7" t="inlineStr">
        <is>
          <t>g/kg</t>
        </is>
      </c>
      <c r="N987" s="7" t="inlineStr">
        <is>
          <t>Registro Técnico Vinculado MAPA</t>
        </is>
      </c>
    </row>
    <row r="988" ht="22" customHeight="1">
      <c r="A988" s="12" t="inlineStr">
        <is>
          <t>CMP-0984</t>
        </is>
      </c>
      <c r="B988" s="11" t="n">
        <v>718</v>
      </c>
      <c r="C988" s="13" t="inlineStr">
        <is>
          <t>Nº 27717</t>
        </is>
      </c>
      <c r="D988" s="14" t="inlineStr">
        <is>
          <t>LEALTY WG</t>
        </is>
      </c>
      <c r="E988" s="11" t="n">
        <v>1</v>
      </c>
      <c r="F988" s="13" t="inlineStr">
        <is>
          <t>Ingrediente Ativo Principal</t>
        </is>
      </c>
      <c r="G988" s="13" t="inlineStr">
        <is>
          <t>FIPRONIL 800</t>
        </is>
      </c>
      <c r="H988" s="13" t="inlineStr">
        <is>
          <t>(RS)-5-amino-1-(2,6-dichloro-a,a,a-trifluoro-p-tolyl)-4-trifluoromethylsulfinylpyrazole-3-carbonitrile</t>
        </is>
      </c>
      <c r="I988" s="13" t="inlineStr">
        <is>
          <t>Pirazol (Fenilpirazol)</t>
        </is>
      </c>
      <c r="J988" s="13" t="inlineStr">
        <is>
          <t>IRAC Grupo 2B</t>
        </is>
      </c>
      <c r="K988" s="13" t="inlineStr">
        <is>
          <t>Bloqueadores de canais de cloro mediados pelo GABA</t>
        </is>
      </c>
      <c r="L988" s="15" t="n">
        <v>800</v>
      </c>
      <c r="M988" s="13" t="inlineStr">
        <is>
          <t>g/kg</t>
        </is>
      </c>
      <c r="N988" s="13" t="inlineStr">
        <is>
          <t>Registro Técnico Vinculado MAPA</t>
        </is>
      </c>
    </row>
    <row r="989" ht="22" customHeight="1">
      <c r="A989" s="6" t="inlineStr">
        <is>
          <t>CMP-0985</t>
        </is>
      </c>
      <c r="B989" s="5" t="n">
        <v>719</v>
      </c>
      <c r="C989" s="7" t="inlineStr">
        <is>
          <t>SIPEAGRO (UF-XXXXX)</t>
        </is>
      </c>
      <c r="D989" s="8" t="inlineStr">
        <is>
          <t>1003057 - ES - FOSF  MAP GR 11N 52/44 P2O5- MOSAIC</t>
        </is>
      </c>
      <c r="E989" s="5" t="n">
        <v>1</v>
      </c>
      <c r="F989" s="7" t="inlineStr">
        <is>
          <t>Nutriente Garantido</t>
        </is>
      </c>
      <c r="G989" s="7" t="inlineStr">
        <is>
          <t>FOSFATO MONOAMONICO CRISTAL MAP</t>
        </is>
      </c>
      <c r="H989" s="7" t="inlineStr">
        <is>
          <t>Composição Nutricional Oficial (FOSFATO MONOAMONICO CRISTAL MAP)</t>
        </is>
      </c>
      <c r="I989" s="7" t="inlineStr">
        <is>
          <t>Fertilizante Mineral / Organomineral (Lei nº 6.894/1980)</t>
        </is>
      </c>
      <c r="J989" s="7" t="inlineStr">
        <is>
          <t>Nutrição Vegetal SIPEAGRO</t>
        </is>
      </c>
      <c r="K989" s="7" t="inlineStr">
        <is>
          <t>Fornecimento de macro e micronutrientes essenciais ao metabolismo vegetal</t>
        </is>
      </c>
      <c r="L989" s="9" t="n">
        <v>100</v>
      </c>
      <c r="M989" s="7" t="inlineStr">
        <is>
          <t>% m/m</t>
        </is>
      </c>
      <c r="N989" s="7" t="inlineStr">
        <is>
          <t>Registro Técnico Vinculado MAPA</t>
        </is>
      </c>
    </row>
    <row r="990" ht="22" customHeight="1">
      <c r="A990" s="12" t="inlineStr">
        <is>
          <t>CMP-0986</t>
        </is>
      </c>
      <c r="B990" s="11" t="n">
        <v>720</v>
      </c>
      <c r="C990" s="13" t="inlineStr">
        <is>
          <t>SIPEAGRO (UF-XXXXX)</t>
        </is>
      </c>
      <c r="D990" s="14" t="inlineStr">
        <is>
          <t>1014099 - ES - MICROESSENTIALS S9 10 46 00-MOSAIC</t>
        </is>
      </c>
      <c r="E990" s="11" t="n">
        <v>1</v>
      </c>
      <c r="F990" s="13" t="inlineStr">
        <is>
          <t>Nutriente Garantido</t>
        </is>
      </c>
      <c r="G990" s="13" t="inlineStr">
        <is>
          <t>NITROGENIO</t>
        </is>
      </c>
      <c r="H990" s="13" t="inlineStr">
        <is>
          <t>Composição Nutricional Oficial (NITROGENIO)</t>
        </is>
      </c>
      <c r="I990" s="13" t="inlineStr">
        <is>
          <t>Fertilizante Mineral / Organomineral (Lei nº 6.894/1980)</t>
        </is>
      </c>
      <c r="J990" s="13" t="inlineStr">
        <is>
          <t>Nutrição Vegetal SIPEAGRO</t>
        </is>
      </c>
      <c r="K990" s="13" t="inlineStr">
        <is>
          <t>Fornecimento de macro e micronutrientes essenciais ao metabolismo vegetal</t>
        </is>
      </c>
      <c r="L990" s="15" t="n">
        <v>100</v>
      </c>
      <c r="M990" s="13" t="inlineStr">
        <is>
          <t>% m/m</t>
        </is>
      </c>
      <c r="N990" s="13" t="inlineStr">
        <is>
          <t>Registro Técnico Vinculado MAPA</t>
        </is>
      </c>
    </row>
    <row r="991" ht="22" customHeight="1">
      <c r="A991" s="6" t="inlineStr">
        <is>
          <t>CMP-0987</t>
        </is>
      </c>
      <c r="B991" s="5" t="n">
        <v>720</v>
      </c>
      <c r="C991" s="7" t="inlineStr">
        <is>
          <t>SIPEAGRO (UF-XXXXX)</t>
        </is>
      </c>
      <c r="D991" s="8" t="inlineStr">
        <is>
          <t>1014099 - ES - MICROESSENTIALS S9 10 46 00-MOSAIC</t>
        </is>
      </c>
      <c r="E991" s="5" t="n">
        <v>2</v>
      </c>
      <c r="F991" s="7" t="inlineStr">
        <is>
          <t>Nutriente Garantido</t>
        </is>
      </c>
      <c r="G991" s="7" t="inlineStr">
        <is>
          <t>ENXOFRE</t>
        </is>
      </c>
      <c r="H991" s="7" t="inlineStr">
        <is>
          <t>Composição Nutricional Oficial (ENXOFRE)</t>
        </is>
      </c>
      <c r="I991" s="7" t="inlineStr">
        <is>
          <t>Fertilizante Mineral / Organomineral (Lei nº 6.894/1980)</t>
        </is>
      </c>
      <c r="J991" s="7" t="inlineStr">
        <is>
          <t>Nutrição Vegetal SIPEAGRO</t>
        </is>
      </c>
      <c r="K991" s="7" t="inlineStr">
        <is>
          <t>Fornecimento de macro e micronutrientes essenciais ao metabolismo vegetal</t>
        </is>
      </c>
      <c r="L991" s="9" t="n">
        <v>100</v>
      </c>
      <c r="M991" s="7" t="inlineStr">
        <is>
          <t>% m/m</t>
        </is>
      </c>
      <c r="N991" s="7" t="inlineStr">
        <is>
          <t>Registro Técnico Vinculado MAPA</t>
        </is>
      </c>
    </row>
    <row r="992" ht="22" customHeight="1">
      <c r="A992" s="12" t="inlineStr">
        <is>
          <t>CMP-0988</t>
        </is>
      </c>
      <c r="B992" s="11" t="n">
        <v>721</v>
      </c>
      <c r="C992" s="13" t="inlineStr">
        <is>
          <t>SIPEAGRO (UF-XXXXX)</t>
        </is>
      </c>
      <c r="D992" s="14" t="inlineStr">
        <is>
          <t>1017068 - MP - CLOR  POTASS. 60,5 K2O GRAN</t>
        </is>
      </c>
      <c r="E992" s="11" t="n">
        <v>1</v>
      </c>
      <c r="F992" s="13" t="inlineStr">
        <is>
          <t>Nutriente Garantido</t>
        </is>
      </c>
      <c r="G992" s="13" t="inlineStr">
        <is>
          <t>CLORETO DE POTASSIO</t>
        </is>
      </c>
      <c r="H992" s="13" t="inlineStr">
        <is>
          <t>Composição Nutricional Oficial (CLORETO DE POTASSIO)</t>
        </is>
      </c>
      <c r="I992" s="13" t="inlineStr">
        <is>
          <t>Fertilizante Mineral / Organomineral (Lei nº 6.894/1980)</t>
        </is>
      </c>
      <c r="J992" s="13" t="inlineStr">
        <is>
          <t>Nutrição Vegetal SIPEAGRO</t>
        </is>
      </c>
      <c r="K992" s="13" t="inlineStr">
        <is>
          <t>Fornecimento de macro e micronutrientes essenciais ao metabolismo vegetal</t>
        </is>
      </c>
      <c r="L992" s="15" t="n">
        <v>100</v>
      </c>
      <c r="M992" s="13" t="inlineStr">
        <is>
          <t>% m/m</t>
        </is>
      </c>
      <c r="N992" s="13" t="inlineStr">
        <is>
          <t>Registro Técnico Vinculado MAPA</t>
        </is>
      </c>
    </row>
    <row r="993" ht="22" customHeight="1">
      <c r="A993" s="6" t="inlineStr">
        <is>
          <t>CMP-0989</t>
        </is>
      </c>
      <c r="B993" s="5" t="n">
        <v>722</v>
      </c>
      <c r="C993" s="7" t="inlineStr">
        <is>
          <t>SIPEAGRO (UF-XXXXX)</t>
        </is>
      </c>
      <c r="D993" s="8" t="inlineStr">
        <is>
          <t>1003007-SUPERFOS TRIP GR 46/36 P2O5+ 10 CA VALIDAR</t>
        </is>
      </c>
      <c r="E993" s="5" t="n">
        <v>1</v>
      </c>
      <c r="F993" s="7" t="inlineStr">
        <is>
          <t>Nutriente Garantido</t>
        </is>
      </c>
      <c r="G993" s="7" t="inlineStr">
        <is>
          <t>SUPERFOSFATO TRIPLO (TSP) - FOSFORO E CALCIO (CA)</t>
        </is>
      </c>
      <c r="H993" s="7" t="inlineStr">
        <is>
          <t>Composição Nutricional Oficial (SUPERFOSFATO TRIPLO (TSP) - FOSFORO E CALCIO (CA))</t>
        </is>
      </c>
      <c r="I993" s="7" t="inlineStr">
        <is>
          <t>Fertilizante Mineral / Organomineral (Lei nº 6.894/1980)</t>
        </is>
      </c>
      <c r="J993" s="7" t="inlineStr">
        <is>
          <t>Nutrição Vegetal SIPEAGRO</t>
        </is>
      </c>
      <c r="K993" s="7" t="inlineStr">
        <is>
          <t>Fornecimento de macro e micronutrientes essenciais ao metabolismo vegetal</t>
        </is>
      </c>
      <c r="L993" s="9" t="n">
        <v>100</v>
      </c>
      <c r="M993" s="7" t="inlineStr">
        <is>
          <t>% m/m</t>
        </is>
      </c>
      <c r="N993" s="7" t="inlineStr">
        <is>
          <t>Registro Técnico Vinculado MAPA</t>
        </is>
      </c>
    </row>
    <row r="994" ht="22" customHeight="1">
      <c r="A994" s="12" t="inlineStr">
        <is>
          <t>CMP-0990</t>
        </is>
      </c>
      <c r="B994" s="11" t="n">
        <v>723</v>
      </c>
      <c r="C994" s="13" t="inlineStr">
        <is>
          <t>SIPEAGRO (UF-XXXXX)</t>
        </is>
      </c>
      <c r="D994" s="14" t="inlineStr">
        <is>
          <t>KCL 00-00-60 - GRAN</t>
        </is>
      </c>
      <c r="E994" s="11" t="n">
        <v>1</v>
      </c>
      <c r="F994" s="13" t="inlineStr">
        <is>
          <t>Nutriente Garantido</t>
        </is>
      </c>
      <c r="G994" s="13" t="inlineStr">
        <is>
          <t>FERTILIZANTES</t>
        </is>
      </c>
      <c r="H994" s="13" t="inlineStr">
        <is>
          <t>Composição Nutricional Oficial (FERTILIZANTES)</t>
        </is>
      </c>
      <c r="I994" s="13" t="inlineStr">
        <is>
          <t>Fertilizante Mineral / Organomineral (Lei nº 6.894/1980)</t>
        </is>
      </c>
      <c r="J994" s="13" t="inlineStr">
        <is>
          <t>Nutrição Vegetal SIPEAGRO</t>
        </is>
      </c>
      <c r="K994" s="13" t="inlineStr">
        <is>
          <t>Fornecimento de macro e micronutrientes essenciais ao metabolismo vegetal</t>
        </is>
      </c>
      <c r="L994" s="15" t="n">
        <v>100</v>
      </c>
      <c r="M994" s="13" t="inlineStr">
        <is>
          <t>% m/m</t>
        </is>
      </c>
      <c r="N994" s="13" t="inlineStr">
        <is>
          <t>Registro Técnico Vinculado MAPA</t>
        </is>
      </c>
    </row>
    <row r="995" ht="22" customHeight="1">
      <c r="A995" s="6" t="inlineStr">
        <is>
          <t>CMP-0991</t>
        </is>
      </c>
      <c r="B995" s="5" t="n">
        <v>724</v>
      </c>
      <c r="C995" s="7" t="inlineStr">
        <is>
          <t>Nº 14421</t>
        </is>
      </c>
      <c r="D995" s="8" t="inlineStr">
        <is>
          <t>LEALTY FS IBC 1.000L (IMP) SS</t>
        </is>
      </c>
      <c r="E995" s="5" t="n">
        <v>1</v>
      </c>
      <c r="F995" s="7" t="inlineStr">
        <is>
          <t>Ingrediente Ativo Principal</t>
        </is>
      </c>
      <c r="G995" s="7" t="inlineStr">
        <is>
          <t>FIPRONIL 250</t>
        </is>
      </c>
      <c r="H995" s="7" t="inlineStr">
        <is>
          <t>(RS)-5-amino-1-(2,6-dichloro-a,a,a-trifluoro-p-tolyl)-4-trifluoromethylsulfinylpyrazole-3-carbonitrile</t>
        </is>
      </c>
      <c r="I995" s="7" t="inlineStr">
        <is>
          <t>Pirazol (Fenilpirazol)</t>
        </is>
      </c>
      <c r="J995" s="7" t="inlineStr">
        <is>
          <t>IRAC Grupo 2B</t>
        </is>
      </c>
      <c r="K995" s="7" t="inlineStr">
        <is>
          <t>Bloqueadores de canais de cloro mediados pelo GABA</t>
        </is>
      </c>
      <c r="L995" s="9" t="n">
        <v>250</v>
      </c>
      <c r="M995" s="7" t="inlineStr">
        <is>
          <t>g/L</t>
        </is>
      </c>
      <c r="N995" s="7" t="inlineStr">
        <is>
          <t>Registro Técnico Vinculado MAPA</t>
        </is>
      </c>
    </row>
    <row r="996" ht="22" customHeight="1">
      <c r="A996" s="12" t="inlineStr">
        <is>
          <t>CMP-0992</t>
        </is>
      </c>
      <c r="B996" s="11" t="n">
        <v>725</v>
      </c>
      <c r="C996" s="13" t="inlineStr">
        <is>
          <t>Nº 11819</t>
        </is>
      </c>
      <c r="D996" s="14" t="inlineStr">
        <is>
          <t>MANCOZEB 800 (PRINCIPIO ATIVO)</t>
        </is>
      </c>
      <c r="E996" s="11" t="n">
        <v>1</v>
      </c>
      <c r="F996" s="13" t="inlineStr">
        <is>
          <t>Ingrediente Ativo Principal</t>
        </is>
      </c>
      <c r="G996" s="13" t="inlineStr">
        <is>
          <t>MANCOZEB 800</t>
        </is>
      </c>
      <c r="H996" s="13" t="inlineStr">
        <is>
          <t>Manganese ethylenebis(dithiocarbamate) (polymeric) complex with zinc salt</t>
        </is>
      </c>
      <c r="I996" s="13" t="inlineStr">
        <is>
          <t>Alquilenobis(ditiocarbamato)</t>
        </is>
      </c>
      <c r="J996" s="13" t="inlineStr">
        <is>
          <t>FRAC Grupo M03 — Multissítio</t>
        </is>
      </c>
      <c r="K996" s="13" t="inlineStr">
        <is>
          <t>Inibidor multissítio de enzimas contendo grupos sulfidrila e aminoácidos fúngicos</t>
        </is>
      </c>
      <c r="L996" s="15" t="n">
        <v>800</v>
      </c>
      <c r="M996" s="13" t="inlineStr">
        <is>
          <t>g/kg</t>
        </is>
      </c>
      <c r="N996" s="13" t="inlineStr">
        <is>
          <t>Produto Técnico Próprio</t>
        </is>
      </c>
    </row>
    <row r="997" ht="22" customHeight="1">
      <c r="A997" s="6" t="inlineStr">
        <is>
          <t>CMP-0993</t>
        </is>
      </c>
      <c r="B997" s="5" t="n">
        <v>726</v>
      </c>
      <c r="C997" s="7" t="inlineStr">
        <is>
          <t>Nº 28925</t>
        </is>
      </c>
      <c r="D997" s="8" t="inlineStr">
        <is>
          <t>S-METOLACHLOR 960 EC BINNONG</t>
        </is>
      </c>
      <c r="E997" s="5" t="n">
        <v>1</v>
      </c>
      <c r="F997" s="7" t="inlineStr">
        <is>
          <t>Ingrediente Ativo Principal</t>
        </is>
      </c>
      <c r="G997" s="7" t="inlineStr">
        <is>
          <t>S-METOLACLORO 960</t>
        </is>
      </c>
      <c r="H997" s="7" t="inlineStr">
        <is>
          <t>Mixture of (aRS,1S)-2-chloro-6'-ethyl-N-(2-methoxy-1-methylethyl)aceto-o-toluidide</t>
        </is>
      </c>
      <c r="I997" s="7" t="inlineStr">
        <is>
          <t>Cloroacetanilida</t>
        </is>
      </c>
      <c r="J997" s="7" t="inlineStr">
        <is>
          <t>HRAC Grupo K3 (15) — Inibidores de VLCFAs</t>
        </is>
      </c>
      <c r="K997" s="7" t="inlineStr">
        <is>
          <t>Inibidores da síntese de ácidos graxos de cadeia muito longa (divisão celular)</t>
        </is>
      </c>
      <c r="L997" s="9" t="n">
        <v>960</v>
      </c>
      <c r="M997" s="7" t="inlineStr">
        <is>
          <t>g/L</t>
        </is>
      </c>
      <c r="N997" s="7" t="inlineStr">
        <is>
          <t>Registro Técnico Vinculado MAPA</t>
        </is>
      </c>
    </row>
    <row r="998" ht="22" customHeight="1">
      <c r="A998" s="12" t="inlineStr">
        <is>
          <t>CMP-0994</t>
        </is>
      </c>
      <c r="B998" s="11" t="n">
        <v>727</v>
      </c>
      <c r="C998" s="13" t="inlineStr">
        <is>
          <t>Nº 2020</t>
        </is>
      </c>
      <c r="D998" s="14" t="inlineStr">
        <is>
          <t>BUSHI</t>
        </is>
      </c>
      <c r="E998" s="11" t="n">
        <v>1</v>
      </c>
      <c r="F998" s="13" t="inlineStr">
        <is>
          <t>Ingrediente Ativo Principal</t>
        </is>
      </c>
      <c r="G998" s="13" t="inlineStr">
        <is>
          <t>LAMBDA-CIALOTRINA 250</t>
        </is>
      </c>
      <c r="H998" s="13" t="inlineStr">
        <is>
          <t>(R)-a-cyano-3-phenoxybenzyl (1S)-cis-3-[(Z)-2-chloro-3,3,3-trifluoropropenyl]-2,2-dimethylcyclopropanecarboxylate</t>
        </is>
      </c>
      <c r="I998" s="13" t="inlineStr">
        <is>
          <t>Piretroide (Tipo II)</t>
        </is>
      </c>
      <c r="J998" s="13" t="inlineStr">
        <is>
          <t>IRAC Grupo 3A</t>
        </is>
      </c>
      <c r="K998" s="13" t="inlineStr">
        <is>
          <t>Moduladores de canais de sódio em axônios nervosos</t>
        </is>
      </c>
      <c r="L998" s="15" t="n">
        <v>250</v>
      </c>
      <c r="M998" s="13" t="inlineStr">
        <is>
          <t>g/L</t>
        </is>
      </c>
      <c r="N998" s="13" t="inlineStr">
        <is>
          <t>Registro Técnico Vinculado MAPA</t>
        </is>
      </c>
    </row>
    <row r="999" ht="22" customHeight="1">
      <c r="A999" s="6" t="inlineStr">
        <is>
          <t>CMP-0995</t>
        </is>
      </c>
      <c r="B999" s="5" t="n">
        <v>728</v>
      </c>
      <c r="C999" s="7" t="inlineStr">
        <is>
          <t>Nº 2710</t>
        </is>
      </c>
      <c r="D999" s="8" t="inlineStr">
        <is>
          <t>IMIDACLOPRIDO 700 (PRINCIPIO ATIVO)</t>
        </is>
      </c>
      <c r="E999" s="5" t="n">
        <v>1</v>
      </c>
      <c r="F999" s="7" t="inlineStr">
        <is>
          <t>Ingrediente Ativo Principal</t>
        </is>
      </c>
      <c r="G999" s="7" t="inlineStr">
        <is>
          <t>IMIDACLOPRIDO 700</t>
        </is>
      </c>
      <c r="H999" s="7" t="inlineStr">
        <is>
          <t>(E)-1-(6-chloro-3-pyridylmethyl)-N-nitroimidazolidin-2-ylideneamine</t>
        </is>
      </c>
      <c r="I999" s="7" t="inlineStr">
        <is>
          <t>Neonicotinoide</t>
        </is>
      </c>
      <c r="J999" s="7" t="inlineStr">
        <is>
          <t>IRAC Grupo 4A</t>
        </is>
      </c>
      <c r="K999" s="7" t="inlineStr">
        <is>
          <t>Moduladores competitivos dos receptores nicotínicos da acetilcolina (nAChR)</t>
        </is>
      </c>
      <c r="L999" s="9" t="n">
        <v>700</v>
      </c>
      <c r="M999" s="7" t="inlineStr">
        <is>
          <t>g/kg</t>
        </is>
      </c>
      <c r="N999" s="7" t="inlineStr">
        <is>
          <t>Produto Técnico Próprio</t>
        </is>
      </c>
    </row>
    <row r="1000" ht="22" customHeight="1">
      <c r="A1000" s="12" t="inlineStr">
        <is>
          <t>CMP-0996</t>
        </is>
      </c>
      <c r="B1000" s="11" t="n">
        <v>729</v>
      </c>
      <c r="C1000" s="13" t="inlineStr">
        <is>
          <t>Nº 2820</t>
        </is>
      </c>
      <c r="D1000" s="14" t="inlineStr">
        <is>
          <t>LIMPA</t>
        </is>
      </c>
      <c r="E1000" s="11" t="n">
        <v>1</v>
      </c>
      <c r="F1000" s="13" t="inlineStr">
        <is>
          <t>Ingrediente Ativo Principal</t>
        </is>
      </c>
      <c r="G1000" s="13" t="inlineStr">
        <is>
          <t>ATRAZINA 900</t>
        </is>
      </c>
      <c r="H1000" s="13" t="inlineStr">
        <is>
          <t>6-chloro-N2-ethyl-N4-isopropyl-1,3,5-triazine-2,4-diamine</t>
        </is>
      </c>
      <c r="I1000" s="13" t="inlineStr">
        <is>
          <t>Triazina</t>
        </is>
      </c>
      <c r="J1000" s="13" t="inlineStr">
        <is>
          <t>HRAC Grupo C1 (5) — Inibidores do Fotossistema II</t>
        </is>
      </c>
      <c r="K1000" s="13" t="inlineStr">
        <is>
          <t>Inibição do transporte de elétrons no Fotossistema II (sítio Serina 264)</t>
        </is>
      </c>
      <c r="L1000" s="15" t="n">
        <v>900</v>
      </c>
      <c r="M1000" s="13" t="inlineStr">
        <is>
          <t>g/kg</t>
        </is>
      </c>
      <c r="N1000" s="13" t="inlineStr">
        <is>
          <t>Registro Técnico Vinculado MAPA</t>
        </is>
      </c>
    </row>
    <row r="1001" ht="22" customHeight="1">
      <c r="A1001" s="6" t="inlineStr">
        <is>
          <t>CMP-0997</t>
        </is>
      </c>
      <c r="B1001" s="5" t="n">
        <v>730</v>
      </c>
      <c r="C1001" s="7" t="inlineStr">
        <is>
          <t>Nº 18723</t>
        </is>
      </c>
      <c r="D1001" s="8" t="inlineStr">
        <is>
          <t>S-METOLACLORO (PRINCIPIO ATIVO)</t>
        </is>
      </c>
      <c r="E1001" s="5" t="n">
        <v>1</v>
      </c>
      <c r="F1001" s="7" t="inlineStr">
        <is>
          <t>Ingrediente Ativo Principal</t>
        </is>
      </c>
      <c r="G1001" s="7" t="inlineStr">
        <is>
          <t>S-METOLACLORO 960</t>
        </is>
      </c>
      <c r="H1001" s="7" t="inlineStr">
        <is>
          <t>Mixture of (aRS,1S)-2-chloro-6'-ethyl-N-(2-methoxy-1-methylethyl)aceto-o-toluidide</t>
        </is>
      </c>
      <c r="I1001" s="7" t="inlineStr">
        <is>
          <t>Cloroacetanilida</t>
        </is>
      </c>
      <c r="J1001" s="7" t="inlineStr">
        <is>
          <t>HRAC Grupo K3 (15) — Inibidores de VLCFAs</t>
        </is>
      </c>
      <c r="K1001" s="7" t="inlineStr">
        <is>
          <t>Inibidores da síntese de ácidos graxos de cadeia muito longa (divisão celular)</t>
        </is>
      </c>
      <c r="L1001" s="9" t="n">
        <v>960</v>
      </c>
      <c r="M1001" s="7" t="inlineStr">
        <is>
          <t>g/kg</t>
        </is>
      </c>
      <c r="N1001" s="7" t="inlineStr">
        <is>
          <t>Produto Técnico Próprio</t>
        </is>
      </c>
    </row>
    <row r="1002" ht="22" customHeight="1">
      <c r="A1002" s="12" t="inlineStr">
        <is>
          <t>CMP-0998</t>
        </is>
      </c>
      <c r="B1002" s="11" t="n">
        <v>731</v>
      </c>
      <c r="C1002" s="13" t="inlineStr">
        <is>
          <t>Nº 14518</t>
        </is>
      </c>
      <c r="D1002" s="14" t="inlineStr">
        <is>
          <t>IMAZETAPIR 700 (PRINCIPIO ATIVO)</t>
        </is>
      </c>
      <c r="E1002" s="11" t="n">
        <v>1</v>
      </c>
      <c r="F1002" s="13" t="inlineStr">
        <is>
          <t>Ingrediente Ativo Principal</t>
        </is>
      </c>
      <c r="G1002" s="13" t="inlineStr">
        <is>
          <t>IMAZETAPIR 700</t>
        </is>
      </c>
      <c r="H1002" s="13" t="inlineStr">
        <is>
          <t>(RS)-5-ethyl-2-(4-isopropyl-4-methyl-5-oxo-2-imidazolin-2-yl)nicotinic acid</t>
        </is>
      </c>
      <c r="I1002" s="13" t="inlineStr">
        <is>
          <t>Imidazolinona</t>
        </is>
      </c>
      <c r="J1002" s="13" t="inlineStr">
        <is>
          <t>HRAC Grupo B (2) — Inibidores da ALS</t>
        </is>
      </c>
      <c r="K1002" s="13" t="inlineStr">
        <is>
          <t>Inibição da enzima acetolactato sintase (ALS / AHAS)</t>
        </is>
      </c>
      <c r="L1002" s="15" t="n">
        <v>700</v>
      </c>
      <c r="M1002" s="13" t="inlineStr">
        <is>
          <t>g/kg</t>
        </is>
      </c>
      <c r="N1002" s="13" t="inlineStr">
        <is>
          <t>Produto Técnico Próprio</t>
        </is>
      </c>
    </row>
    <row r="1003" ht="22" customHeight="1">
      <c r="A1003" s="6" t="inlineStr">
        <is>
          <t>CMP-0999</t>
        </is>
      </c>
      <c r="B1003" s="5" t="n">
        <v>732</v>
      </c>
      <c r="C1003" s="7" t="inlineStr">
        <is>
          <t>Nº 9210</t>
        </is>
      </c>
      <c r="D1003" s="8" t="inlineStr">
        <is>
          <t>PIRACLOSTROBINA 133 + EPOXICONAZOL 50 (PR. ATIVO)</t>
        </is>
      </c>
      <c r="E1003" s="5" t="n">
        <v>1</v>
      </c>
      <c r="F1003" s="7" t="inlineStr">
        <is>
          <t>Ingrediente Ativo Principal</t>
        </is>
      </c>
      <c r="G1003" s="7" t="inlineStr">
        <is>
          <t>PIRACLOSTROBINA 133</t>
        </is>
      </c>
      <c r="H1003" s="7" t="inlineStr">
        <is>
          <t>Methyl N-{2-[1-(4-chlorophenyl)-1H-pyrazol-3-yloxymethyl]phenyl}(N-methoxy)carbamate</t>
        </is>
      </c>
      <c r="I1003" s="7" t="inlineStr">
        <is>
          <t>Estrobilurina (Metoxicarbamato)</t>
        </is>
      </c>
      <c r="J1003" s="7" t="inlineStr">
        <is>
          <t>FRAC Grupo 11 (C3 — QoI)</t>
        </is>
      </c>
      <c r="K1003" s="7" t="inlineStr">
        <is>
          <t>Inibidores da respiração mitocondrial no Complexo III (sítio Qo)</t>
        </is>
      </c>
      <c r="L1003" s="9" t="n">
        <v>133</v>
      </c>
      <c r="M1003" s="7" t="inlineStr">
        <is>
          <t>g/L</t>
        </is>
      </c>
      <c r="N1003" s="7" t="inlineStr">
        <is>
          <t>Registro Técnico Vinculado MAPA</t>
        </is>
      </c>
    </row>
    <row r="1004" ht="22" customHeight="1">
      <c r="A1004" s="12" t="inlineStr">
        <is>
          <t>CMP-1000</t>
        </is>
      </c>
      <c r="B1004" s="11" t="n">
        <v>732</v>
      </c>
      <c r="C1004" s="13" t="inlineStr">
        <is>
          <t>Nº 9210</t>
        </is>
      </c>
      <c r="D1004" s="14" t="inlineStr">
        <is>
          <t>PIRACLOSTROBINA 133 + EPOXICONAZOL 50 (PR. ATIVO)</t>
        </is>
      </c>
      <c r="E1004" s="11" t="n">
        <v>2</v>
      </c>
      <c r="F1004" s="13" t="inlineStr">
        <is>
          <t>Ingrediente Ativo Principal</t>
        </is>
      </c>
      <c r="G1004" s="13" t="inlineStr">
        <is>
          <t>EPOXICONAZOL 50</t>
        </is>
      </c>
      <c r="H1004" s="13" t="inlineStr">
        <is>
          <t>(2RS,3SR)-1-[3-(2-chlorophenyl)-2,3-epoxy-2-(4-fluorophenyl)propyl]-1H-1,2,4-triazole</t>
        </is>
      </c>
      <c r="I1004" s="13" t="inlineStr">
        <is>
          <t>Triazol</t>
        </is>
      </c>
      <c r="J1004" s="13" t="inlineStr">
        <is>
          <t>FRAC Grupo 3 (G1 — DMI)</t>
        </is>
      </c>
      <c r="K1004" s="13" t="inlineStr">
        <is>
          <t>Inibidores da desmetilação do C14 na biossíntese do ergosterol</t>
        </is>
      </c>
      <c r="L1004" s="15" t="n">
        <v>50</v>
      </c>
      <c r="M1004" s="13" t="inlineStr">
        <is>
          <t>g/L</t>
        </is>
      </c>
      <c r="N1004" s="13" t="inlineStr">
        <is>
          <t>Registro Técnico Vinculado MAPA</t>
        </is>
      </c>
    </row>
    <row r="1005" ht="22" customHeight="1">
      <c r="A1005" s="6" t="inlineStr">
        <is>
          <t>CMP-1001</t>
        </is>
      </c>
      <c r="B1005" s="5" t="n">
        <v>733</v>
      </c>
      <c r="C1005" s="7" t="inlineStr">
        <is>
          <t>SIPEAGRO (UF-XXXXX)</t>
        </is>
      </c>
      <c r="D1005" s="8" t="inlineStr">
        <is>
          <t>FFALM 00 45 00 + 160 BBD - MOSAIC</t>
        </is>
      </c>
      <c r="E1005" s="5" t="n">
        <v>1</v>
      </c>
      <c r="F1005" s="7" t="inlineStr">
        <is>
          <t>Nutriente Garantido</t>
        </is>
      </c>
      <c r="G1005" s="7" t="inlineStr">
        <is>
          <t>FÓSFORO SOLÚVEL (45% P2O5)</t>
        </is>
      </c>
      <c r="H1005" s="7" t="inlineStr">
        <is>
          <t>Composição Nutricional Oficial (FOSFATO MONOPOTASSICO (KH2PO4))</t>
        </is>
      </c>
      <c r="I1005" s="7" t="inlineStr">
        <is>
          <t>Fertilizante Mineral / Organomineral (Lei nº 6.894/1980)</t>
        </is>
      </c>
      <c r="J1005" s="7" t="inlineStr">
        <is>
          <t>Nutrição Vegetal SIPEAGRO</t>
        </is>
      </c>
      <c r="K1005" s="7" t="inlineStr">
        <is>
          <t>Fornecimento de macro e micronutrientes essenciais ao metabolismo vegetal</t>
        </is>
      </c>
      <c r="L1005" s="9" t="n">
        <v>45</v>
      </c>
      <c r="M1005" s="7" t="inlineStr">
        <is>
          <t>% m/m</t>
        </is>
      </c>
      <c r="N1005" s="7" t="inlineStr">
        <is>
          <t>Registro Técnico Vinculado MAPA</t>
        </is>
      </c>
    </row>
    <row r="1006" ht="22" customHeight="1">
      <c r="A1006" s="12" t="inlineStr">
        <is>
          <t>CMP-1002</t>
        </is>
      </c>
      <c r="B1006" s="11" t="n">
        <v>734</v>
      </c>
      <c r="C1006" s="13" t="inlineStr">
        <is>
          <t>Nº 34725</t>
        </is>
      </c>
      <c r="D1006" s="14" t="inlineStr">
        <is>
          <t>TRIFLOXISTROBINA 150+PROTIOCONAZOL 175 (P. ATIVO)</t>
        </is>
      </c>
      <c r="E1006" s="11" t="n">
        <v>1</v>
      </c>
      <c r="F1006" s="13" t="inlineStr">
        <is>
          <t>Ingrediente Ativo Principal</t>
        </is>
      </c>
      <c r="G1006" s="13" t="inlineStr">
        <is>
          <t>TRIFLOXISTROBINA 150</t>
        </is>
      </c>
      <c r="H1006" s="13" t="inlineStr">
        <is>
          <t>Methyl (E)-methoxyimino-{(E)-a-[1-(a,a,a-trifluoro-m-tolyl)ethylideneaminooxy]-o-tolyl}acetate</t>
        </is>
      </c>
      <c r="I1006" s="13" t="inlineStr">
        <is>
          <t>Estrobilurina (Oximinoacetato)</t>
        </is>
      </c>
      <c r="J1006" s="13" t="inlineStr">
        <is>
          <t>FRAC Grupo 11 (QoI)</t>
        </is>
      </c>
      <c r="K1006" s="13" t="inlineStr">
        <is>
          <t>Inibidores da respiração mitocondrial no complexo III (sítio Qo)</t>
        </is>
      </c>
      <c r="L1006" s="15" t="n">
        <v>150</v>
      </c>
      <c r="M1006" s="13" t="inlineStr">
        <is>
          <t>g/L</t>
        </is>
      </c>
      <c r="N1006" s="13" t="inlineStr">
        <is>
          <t>Registro Técnico Vinculado MAPA</t>
        </is>
      </c>
    </row>
    <row r="1007" ht="22" customHeight="1">
      <c r="A1007" s="6" t="inlineStr">
        <is>
          <t>CMP-1003</t>
        </is>
      </c>
      <c r="B1007" s="5" t="n">
        <v>734</v>
      </c>
      <c r="C1007" s="7" t="inlineStr">
        <is>
          <t>Nº 34725</t>
        </is>
      </c>
      <c r="D1007" s="8" t="inlineStr">
        <is>
          <t>TRIFLOXISTROBINA 150+PROTIOCONAZOL 175 (P. ATIVO)</t>
        </is>
      </c>
      <c r="E1007" s="5" t="n">
        <v>2</v>
      </c>
      <c r="F1007" s="7" t="inlineStr">
        <is>
          <t>Ingrediente Ativo Principal</t>
        </is>
      </c>
      <c r="G1007" s="7" t="inlineStr">
        <is>
          <t>PROTIOCONAZOL 175</t>
        </is>
      </c>
      <c r="H1007" s="7" t="inlineStr">
        <is>
          <t>(RS)-2-[2-(1-chlorocyclopropyl)-3-(2-chlorophenyl)-2-hydroxypropyl]-2,4-dihydro-1,2,4-triazole-3-thione</t>
        </is>
      </c>
      <c r="I1007" s="7" t="inlineStr">
        <is>
          <t>Triazolinthiona</t>
        </is>
      </c>
      <c r="J1007" s="7" t="inlineStr">
        <is>
          <t>FRAC Grupo 3 (DMI)</t>
        </is>
      </c>
      <c r="K1007" s="7" t="inlineStr">
        <is>
          <t>Inibidores da desmetilação de esteróis (DMI - C14-desmetilase)</t>
        </is>
      </c>
      <c r="L1007" s="9" t="n">
        <v>175</v>
      </c>
      <c r="M1007" s="7" t="inlineStr">
        <is>
          <t>g/L</t>
        </is>
      </c>
      <c r="N1007" s="7" t="inlineStr">
        <is>
          <t>Registro Técnico Vinculado MAPA</t>
        </is>
      </c>
    </row>
    <row r="1008" ht="22" customHeight="1">
      <c r="A1008" s="12" t="inlineStr">
        <is>
          <t>CMP-1004</t>
        </is>
      </c>
      <c r="B1008" s="11" t="n">
        <v>735</v>
      </c>
      <c r="C1008" s="13" t="inlineStr">
        <is>
          <t>Nº 28520</t>
        </is>
      </c>
      <c r="D1008" s="14" t="inlineStr">
        <is>
          <t>GLIFOSATO 720 (PRINCIPIO ATIVO)</t>
        </is>
      </c>
      <c r="E1008" s="11" t="n">
        <v>1</v>
      </c>
      <c r="F1008" s="13" t="inlineStr">
        <is>
          <t>Ingrediente Ativo Principal</t>
        </is>
      </c>
      <c r="G1008" s="13" t="inlineStr">
        <is>
          <t>GLIFOSATO 720</t>
        </is>
      </c>
      <c r="H1008" s="13" t="inlineStr">
        <is>
          <t>N-(phosphonomethyl)glycine (Sal de Amônio / Isopropilamina / Potássico)</t>
        </is>
      </c>
      <c r="I1008" s="13" t="inlineStr">
        <is>
          <t>Glicina substituída</t>
        </is>
      </c>
      <c r="J1008" s="13" t="inlineStr">
        <is>
          <t>HRAC Grupo G (EPSPs)</t>
        </is>
      </c>
      <c r="K1008" s="13" t="inlineStr">
        <is>
          <t>Inibidores da enzima EPSPs (Enoil Piruvil Shiquimato Fosfato Sintase)</t>
        </is>
      </c>
      <c r="L1008" s="15" t="n">
        <v>720</v>
      </c>
      <c r="M1008" s="13" t="inlineStr">
        <is>
          <t>g/kg</t>
        </is>
      </c>
      <c r="N1008" s="13" t="inlineStr">
        <is>
          <t>Produto Técnico Próprio</t>
        </is>
      </c>
    </row>
    <row r="1009" ht="22" customHeight="1">
      <c r="A1009" s="6" t="inlineStr">
        <is>
          <t>CMP-1005</t>
        </is>
      </c>
      <c r="B1009" s="5" t="n">
        <v>736</v>
      </c>
      <c r="C1009" s="7" t="inlineStr">
        <is>
          <t>Nº 14421</t>
        </is>
      </c>
      <c r="D1009" s="8" t="inlineStr">
        <is>
          <t>LEALTY FS</t>
        </is>
      </c>
      <c r="E1009" s="5" t="n">
        <v>1</v>
      </c>
      <c r="F1009" s="7" t="inlineStr">
        <is>
          <t>Ingrediente Ativo Principal</t>
        </is>
      </c>
      <c r="G1009" s="7" t="inlineStr">
        <is>
          <t>FIPRONIL 250</t>
        </is>
      </c>
      <c r="H1009" s="7" t="inlineStr">
        <is>
          <t>(RS)-5-amino-1-(2,6-dichloro-a,a,a-trifluoro-p-tolyl)-4-trifluoromethylsulfinylpyrazole-3-carbonitrile</t>
        </is>
      </c>
      <c r="I1009" s="7" t="inlineStr">
        <is>
          <t>Pirazol (Fenilpirazol)</t>
        </is>
      </c>
      <c r="J1009" s="7" t="inlineStr">
        <is>
          <t>IRAC Grupo 2B</t>
        </is>
      </c>
      <c r="K1009" s="7" t="inlineStr">
        <is>
          <t>Bloqueadores de canais de cloro mediados pelo GABA</t>
        </is>
      </c>
      <c r="L1009" s="9" t="n">
        <v>250</v>
      </c>
      <c r="M1009" s="7" t="inlineStr">
        <is>
          <t>g/L</t>
        </is>
      </c>
      <c r="N1009" s="7" t="inlineStr">
        <is>
          <t>Registro Técnico Vinculado MAPA</t>
        </is>
      </c>
    </row>
    <row r="1010" ht="22" customHeight="1">
      <c r="A1010" s="12" t="inlineStr">
        <is>
          <t>CMP-1006</t>
        </is>
      </c>
      <c r="B1010" s="11" t="n">
        <v>737</v>
      </c>
      <c r="C1010" s="13" t="inlineStr">
        <is>
          <t>Nº 25224</t>
        </is>
      </c>
      <c r="D1010" s="14" t="inlineStr">
        <is>
          <t>CLETODIM 240 EC BRILLIANCE</t>
        </is>
      </c>
      <c r="E1010" s="11" t="n">
        <v>1</v>
      </c>
      <c r="F1010" s="13" t="inlineStr">
        <is>
          <t>Ingrediente Ativo Principal</t>
        </is>
      </c>
      <c r="G1010" s="13" t="inlineStr">
        <is>
          <t>CLETODIM 240</t>
        </is>
      </c>
      <c r="H1010" s="13" t="inlineStr">
        <is>
          <t>(RS)-2-[(E)-1-[(E)-3-chloroallyloxyimino]propyl]-5-[2-(ethylthio)propyl]-3-hydroxycyclohex-2-en-1-one</t>
        </is>
      </c>
      <c r="I1010" s="13" t="inlineStr">
        <is>
          <t>Oxima ciclohexanodiona (DIM)</t>
        </is>
      </c>
      <c r="J1010" s="13" t="inlineStr">
        <is>
          <t>HRAC Grupo A (1) — Inibidores da ACCase</t>
        </is>
      </c>
      <c r="K1010" s="13" t="inlineStr">
        <is>
          <t>Inibidores da Acetil CoA Carboxilase (ACCase)</t>
        </is>
      </c>
      <c r="L1010" s="15" t="n">
        <v>240</v>
      </c>
      <c r="M1010" s="13" t="inlineStr">
        <is>
          <t>g/L</t>
        </is>
      </c>
      <c r="N1010" s="13" t="inlineStr">
        <is>
          <t>Registro Técnico Vinculado MAPA</t>
        </is>
      </c>
    </row>
    <row r="1011" ht="22" customHeight="1">
      <c r="A1011" s="6" t="inlineStr">
        <is>
          <t>CMP-1007</t>
        </is>
      </c>
      <c r="B1011" s="5" t="n">
        <v>738</v>
      </c>
      <c r="C1011" s="7" t="inlineStr">
        <is>
          <t>Nº 16223</t>
        </is>
      </c>
      <c r="D1011" s="8" t="inlineStr">
        <is>
          <t>COMPRAY</t>
        </is>
      </c>
      <c r="E1011" s="5" t="n">
        <v>1</v>
      </c>
      <c r="F1011" s="7" t="inlineStr">
        <is>
          <t>Ingrediente Ativo Principal</t>
        </is>
      </c>
      <c r="G1011" s="7" t="inlineStr">
        <is>
          <t>CLOMAZONA 360</t>
        </is>
      </c>
      <c r="H1011" s="7" t="inlineStr">
        <is>
          <t>2-(2-chlorobenzyl)-4,4-dimethyl-1,2-oxazolidin-3-one</t>
        </is>
      </c>
      <c r="I1011" s="7" t="inlineStr">
        <is>
          <t>Isoxazolidinona</t>
        </is>
      </c>
      <c r="J1011" s="7" t="inlineStr">
        <is>
          <t>HRAC Grupo F4 (13) — Inibidores da DOXP sintase</t>
        </is>
      </c>
      <c r="K1011" s="7" t="inlineStr">
        <is>
          <t>Inibidores da 1-deoxi-D-xilulose 5-fosfato sintase (biossíntese de plastoquinona/carotenoides)</t>
        </is>
      </c>
      <c r="L1011" s="9" t="n">
        <v>360</v>
      </c>
      <c r="M1011" s="7" t="inlineStr">
        <is>
          <t>g/L</t>
        </is>
      </c>
      <c r="N1011" s="7" t="inlineStr">
        <is>
          <t>Registro Técnico Vinculado MAPA</t>
        </is>
      </c>
    </row>
    <row r="1012" ht="22" customHeight="1">
      <c r="A1012" s="12" t="inlineStr">
        <is>
          <t>CMP-1008</t>
        </is>
      </c>
      <c r="B1012" s="11" t="n">
        <v>739</v>
      </c>
      <c r="C1012" s="13" t="inlineStr">
        <is>
          <t>Nº 34725</t>
        </is>
      </c>
      <c r="D1012" s="14" t="inlineStr">
        <is>
          <t>SPIREEL</t>
        </is>
      </c>
      <c r="E1012" s="11" t="n">
        <v>1</v>
      </c>
      <c r="F1012" s="13" t="inlineStr">
        <is>
          <t>Ingrediente Ativo Principal</t>
        </is>
      </c>
      <c r="G1012" s="13" t="inlineStr">
        <is>
          <t>TRIFLOXISTROBINA 150</t>
        </is>
      </c>
      <c r="H1012" s="13" t="inlineStr">
        <is>
          <t>Methyl (E)-methoxyimino-{(E)-a-[1-(a,a,a-trifluoro-m-tolyl)ethylideneaminooxy]-o-tolyl}acetate</t>
        </is>
      </c>
      <c r="I1012" s="13" t="inlineStr">
        <is>
          <t>Estrobilurina (Oximinoacetato)</t>
        </is>
      </c>
      <c r="J1012" s="13" t="inlineStr">
        <is>
          <t>FRAC Grupo 11 (QoI)</t>
        </is>
      </c>
      <c r="K1012" s="13" t="inlineStr">
        <is>
          <t>Inibidores da respiração mitocondrial no complexo III (sítio Qo)</t>
        </is>
      </c>
      <c r="L1012" s="15" t="n">
        <v>150</v>
      </c>
      <c r="M1012" s="13" t="inlineStr">
        <is>
          <t>g/L</t>
        </is>
      </c>
      <c r="N1012" s="13" t="inlineStr">
        <is>
          <t>Registro Técnico Vinculado MAPA</t>
        </is>
      </c>
    </row>
    <row r="1013" ht="22" customHeight="1">
      <c r="A1013" s="6" t="inlineStr">
        <is>
          <t>CMP-1009</t>
        </is>
      </c>
      <c r="B1013" s="5" t="n">
        <v>739</v>
      </c>
      <c r="C1013" s="7" t="inlineStr">
        <is>
          <t>Nº 34725</t>
        </is>
      </c>
      <c r="D1013" s="8" t="inlineStr">
        <is>
          <t>SPIREEL</t>
        </is>
      </c>
      <c r="E1013" s="5" t="n">
        <v>2</v>
      </c>
      <c r="F1013" s="7" t="inlineStr">
        <is>
          <t>Ingrediente Ativo Principal</t>
        </is>
      </c>
      <c r="G1013" s="7" t="inlineStr">
        <is>
          <t>PROTIOCONAZOL 175</t>
        </is>
      </c>
      <c r="H1013" s="7" t="inlineStr">
        <is>
          <t>(RS)-2-[2-(1-chlorocyclopropyl)-3-(2-chlorophenyl)-2-hydroxypropyl]-2,4-dihydro-1,2,4-triazole-3-thione</t>
        </is>
      </c>
      <c r="I1013" s="7" t="inlineStr">
        <is>
          <t>Triazolinthiona</t>
        </is>
      </c>
      <c r="J1013" s="7" t="inlineStr">
        <is>
          <t>FRAC Grupo 3 (DMI)</t>
        </is>
      </c>
      <c r="K1013" s="7" t="inlineStr">
        <is>
          <t>Inibidores da desmetilação de esteróis (DMI - C14-desmetilase)</t>
        </is>
      </c>
      <c r="L1013" s="9" t="n">
        <v>175</v>
      </c>
      <c r="M1013" s="7" t="inlineStr">
        <is>
          <t>g/L</t>
        </is>
      </c>
      <c r="N1013" s="7" t="inlineStr">
        <is>
          <t>Registro Técnico Vinculado MAPA</t>
        </is>
      </c>
    </row>
    <row r="1014" ht="22" customHeight="1">
      <c r="A1014" s="12" t="inlineStr">
        <is>
          <t>CMP-1010</t>
        </is>
      </c>
      <c r="B1014" s="11" t="n">
        <v>740</v>
      </c>
      <c r="C1014" s="13" t="inlineStr">
        <is>
          <t>Nº 14518</t>
        </is>
      </c>
      <c r="D1014" s="14" t="inlineStr">
        <is>
          <t>SOYACLEAN XTRA</t>
        </is>
      </c>
      <c r="E1014" s="11" t="n">
        <v>1</v>
      </c>
      <c r="F1014" s="13" t="inlineStr">
        <is>
          <t>Ingrediente Ativo Principal</t>
        </is>
      </c>
      <c r="G1014" s="13" t="inlineStr">
        <is>
          <t>IMAZETAPIR 700</t>
        </is>
      </c>
      <c r="H1014" s="13" t="inlineStr">
        <is>
          <t>(RS)-5-ethyl-2-(4-isopropyl-4-methyl-5-oxo-2-imidazolin-2-yl)nicotinic acid</t>
        </is>
      </c>
      <c r="I1014" s="13" t="inlineStr">
        <is>
          <t>Imidazolinona</t>
        </is>
      </c>
      <c r="J1014" s="13" t="inlineStr">
        <is>
          <t>HRAC Grupo B (2) — Inibidores da ALS</t>
        </is>
      </c>
      <c r="K1014" s="13" t="inlineStr">
        <is>
          <t>Inibição da enzima acetolactato sintase (ALS / AHAS)</t>
        </is>
      </c>
      <c r="L1014" s="15" t="n">
        <v>700</v>
      </c>
      <c r="M1014" s="13" t="inlineStr">
        <is>
          <t>g/kg</t>
        </is>
      </c>
      <c r="N1014" s="13" t="inlineStr">
        <is>
          <t>Registro Técnico Vinculado MAPA</t>
        </is>
      </c>
    </row>
    <row r="1015" ht="22" customHeight="1">
      <c r="A1015" s="6" t="inlineStr">
        <is>
          <t>CMP-1011</t>
        </is>
      </c>
      <c r="B1015" s="5" t="n">
        <v>741</v>
      </c>
      <c r="C1015" s="7" t="inlineStr">
        <is>
          <t>Nº 31522</t>
        </is>
      </c>
      <c r="D1015" s="8" t="inlineStr">
        <is>
          <t>MITTO 900 (5X1KG)X4 (IMP) RW (VALIDAR)</t>
        </is>
      </c>
      <c r="E1015" s="5" t="n">
        <v>1</v>
      </c>
      <c r="F1015" s="7" t="inlineStr">
        <is>
          <t>Ingrediente Ativo Principal</t>
        </is>
      </c>
      <c r="G1015" s="7" t="inlineStr">
        <is>
          <t>METOMIL 900</t>
        </is>
      </c>
      <c r="H1015" s="7" t="inlineStr">
        <is>
          <t>S-methyl N-(methylcarbamoyloxy)thioacetimidate</t>
        </is>
      </c>
      <c r="I1015" s="7" t="inlineStr">
        <is>
          <t>Metilcarbamato de oxima</t>
        </is>
      </c>
      <c r="J1015" s="7" t="inlineStr">
        <is>
          <t>IRAC Grupo 1A</t>
        </is>
      </c>
      <c r="K1015" s="7" t="inlineStr">
        <is>
          <t>Inibidores reversíveis da enzima acetilcolinesterase (AChE)</t>
        </is>
      </c>
      <c r="L1015" s="9" t="n">
        <v>900</v>
      </c>
      <c r="M1015" s="7" t="inlineStr">
        <is>
          <t>g/kg</t>
        </is>
      </c>
      <c r="N1015" s="7" t="inlineStr">
        <is>
          <t>Registro Técnico Vinculado MAPA</t>
        </is>
      </c>
    </row>
    <row r="1016" ht="22" customHeight="1">
      <c r="A1016" s="12" t="inlineStr">
        <is>
          <t>CMP-1012</t>
        </is>
      </c>
      <c r="B1016" s="11" t="n">
        <v>742</v>
      </c>
      <c r="C1016" s="13" t="inlineStr">
        <is>
          <t>SIPEAGRO (UF-XXXXX)</t>
        </is>
      </c>
      <c r="D1016" s="14" t="inlineStr">
        <is>
          <t>BORO GRANULADO 14.5%B - DREYMOOR</t>
        </is>
      </c>
      <c r="E1016" s="11" t="n">
        <v>1</v>
      </c>
      <c r="F1016" s="13" t="inlineStr">
        <is>
          <t>Nutriente Garantido</t>
        </is>
      </c>
      <c r="G1016" s="13" t="inlineStr">
        <is>
          <t>BORAX</t>
        </is>
      </c>
      <c r="H1016" s="13" t="inlineStr">
        <is>
          <t>Composição Nutricional Oficial (BORAX)</t>
        </is>
      </c>
      <c r="I1016" s="13" t="inlineStr">
        <is>
          <t>Fertilizante Mineral / Organomineral (Lei nº 6.894/1980)</t>
        </is>
      </c>
      <c r="J1016" s="13" t="inlineStr">
        <is>
          <t>Nutrição Vegetal SIPEAGRO</t>
        </is>
      </c>
      <c r="K1016" s="13" t="inlineStr">
        <is>
          <t>Fornecimento de macro e micronutrientes essenciais ao metabolismo vegetal</t>
        </is>
      </c>
      <c r="L1016" s="15" t="n">
        <v>100</v>
      </c>
      <c r="M1016" s="13" t="inlineStr">
        <is>
          <t>% m/m</t>
        </is>
      </c>
      <c r="N1016" s="13" t="inlineStr">
        <is>
          <t>Registro Técnico Vinculado MAPA</t>
        </is>
      </c>
    </row>
    <row r="1017" ht="22" customHeight="1">
      <c r="A1017" s="6" t="inlineStr">
        <is>
          <t>CMP-1013</t>
        </is>
      </c>
      <c r="B1017" s="5" t="n">
        <v>743</v>
      </c>
      <c r="C1017" s="7" t="inlineStr">
        <is>
          <t>Nº 27025</t>
        </is>
      </c>
      <c r="D1017" s="8" t="inlineStr">
        <is>
          <t>PYROX</t>
        </is>
      </c>
      <c r="E1017" s="5" t="n">
        <v>1</v>
      </c>
      <c r="F1017" s="7" t="inlineStr">
        <is>
          <t>Ingrediente Ativo Principal</t>
        </is>
      </c>
      <c r="G1017" s="7" t="inlineStr">
        <is>
          <t>FLUMIOXAZINA 100</t>
        </is>
      </c>
      <c r="H1017" s="7" t="inlineStr">
        <is>
          <t>N-(7-fluoro-3,4-dihydro-3-oxo-4-prop-2-ynyl-2H-1,4-benzoxazin-6-yl)cyclohex-1-ene-1,2-dicarboximide</t>
        </is>
      </c>
      <c r="I1017" s="7" t="inlineStr">
        <is>
          <t>N-fenilftalimida</t>
        </is>
      </c>
      <c r="J1017" s="7" t="inlineStr">
        <is>
          <t>HRAC Grupo E (14) — Inibidores da PROTOX</t>
        </is>
      </c>
      <c r="K1017" s="7" t="inlineStr">
        <is>
          <t>Inibidores da enzima protoporfirinogênio oxidase (PROTOX)</t>
        </is>
      </c>
      <c r="L1017" s="9" t="n">
        <v>100</v>
      </c>
      <c r="M1017" s="7" t="inlineStr">
        <is>
          <t>g/L</t>
        </is>
      </c>
      <c r="N1017" s="7" t="inlineStr">
        <is>
          <t>Registro Técnico Vinculado MAPA</t>
        </is>
      </c>
    </row>
    <row r="1018" ht="22" customHeight="1">
      <c r="A1018" s="12" t="inlineStr">
        <is>
          <t>CMP-1014</t>
        </is>
      </c>
      <c r="B1018" s="11" t="n">
        <v>743</v>
      </c>
      <c r="C1018" s="13" t="inlineStr">
        <is>
          <t>Nº 27025</t>
        </is>
      </c>
      <c r="D1018" s="14" t="inlineStr">
        <is>
          <t>PYROX</t>
        </is>
      </c>
      <c r="E1018" s="11" t="n">
        <v>2</v>
      </c>
      <c r="F1018" s="13" t="inlineStr">
        <is>
          <t>Ingrediente Ativo Principal</t>
        </is>
      </c>
      <c r="G1018" s="13" t="inlineStr">
        <is>
          <t>IMAZETAPIR 200</t>
        </is>
      </c>
      <c r="H1018" s="13" t="inlineStr">
        <is>
          <t>(RS)-5-ethyl-2-(4-isopropyl-4-methyl-5-oxo-2-imidazolin-2-yl)nicotinic acid</t>
        </is>
      </c>
      <c r="I1018" s="13" t="inlineStr">
        <is>
          <t>Imidazolinona</t>
        </is>
      </c>
      <c r="J1018" s="13" t="inlineStr">
        <is>
          <t>HRAC Grupo B (2) — Inibidores da ALS</t>
        </is>
      </c>
      <c r="K1018" s="13" t="inlineStr">
        <is>
          <t>Inibição da enzima acetolactato sintase (ALS / AHAS)</t>
        </is>
      </c>
      <c r="L1018" s="15" t="n">
        <v>200</v>
      </c>
      <c r="M1018" s="13" t="inlineStr">
        <is>
          <t>g/L</t>
        </is>
      </c>
      <c r="N1018" s="13" t="inlineStr">
        <is>
          <t>Registro Técnico Vinculado MAPA</t>
        </is>
      </c>
    </row>
    <row r="1019" ht="22" customHeight="1">
      <c r="A1019" s="6" t="inlineStr">
        <is>
          <t>CMP-1015</t>
        </is>
      </c>
      <c r="B1019" s="5" t="n">
        <v>744</v>
      </c>
      <c r="C1019" s="7" t="inlineStr">
        <is>
          <t>Nº 28925</t>
        </is>
      </c>
      <c r="D1019" s="8" t="inlineStr">
        <is>
          <t>S-METOLACHLOR 960 EC BINNONG</t>
        </is>
      </c>
      <c r="E1019" s="5" t="n">
        <v>1</v>
      </c>
      <c r="F1019" s="7" t="inlineStr">
        <is>
          <t>Ingrediente Ativo Principal</t>
        </is>
      </c>
      <c r="G1019" s="7" t="inlineStr">
        <is>
          <t>S-METOLACLORO 960</t>
        </is>
      </c>
      <c r="H1019" s="7" t="inlineStr">
        <is>
          <t>Mixture of (aRS,1S)-2-chloro-6'-ethyl-N-(2-methoxy-1-methylethyl)aceto-o-toluidide</t>
        </is>
      </c>
      <c r="I1019" s="7" t="inlineStr">
        <is>
          <t>Cloroacetanilida</t>
        </is>
      </c>
      <c r="J1019" s="7" t="inlineStr">
        <is>
          <t>HRAC Grupo K3 (15) — Inibidores de VLCFAs</t>
        </is>
      </c>
      <c r="K1019" s="7" t="inlineStr">
        <is>
          <t>Inibidores da síntese de ácidos graxos de cadeia muito longa (divisão celular)</t>
        </is>
      </c>
      <c r="L1019" s="9" t="n">
        <v>960</v>
      </c>
      <c r="M1019" s="7" t="inlineStr">
        <is>
          <t>g/L</t>
        </is>
      </c>
      <c r="N1019" s="7" t="inlineStr">
        <is>
          <t>Registro Técnico Vinculado MAPA</t>
        </is>
      </c>
    </row>
    <row r="1020" ht="22" customHeight="1">
      <c r="A1020" s="12" t="inlineStr">
        <is>
          <t>CMP-1016</t>
        </is>
      </c>
      <c r="B1020" s="11" t="n">
        <v>745</v>
      </c>
      <c r="C1020" s="13" t="inlineStr">
        <is>
          <t>Nº 47125</t>
        </is>
      </c>
      <c r="D1020" s="14" t="inlineStr">
        <is>
          <t>CHLORFENAPYR</t>
        </is>
      </c>
      <c r="E1020" s="11" t="n">
        <v>1</v>
      </c>
      <c r="F1020" s="13" t="inlineStr">
        <is>
          <t>Ingrediente Ativo Principal</t>
        </is>
      </c>
      <c r="G1020" s="13" t="inlineStr">
        <is>
          <t>CLORFENAPIR 240</t>
        </is>
      </c>
      <c r="H1020" s="13" t="inlineStr">
        <is>
          <t>4-bromo-2-(4-chlorophenyl)-1-ethoxymethyl-5-trifluoromethyl-1H-pyrrole-3-carbonitrile</t>
        </is>
      </c>
      <c r="I1020" s="13" t="inlineStr">
        <is>
          <t>Análogo de pirazol (Arilpirrol)</t>
        </is>
      </c>
      <c r="J1020" s="13" t="inlineStr">
        <is>
          <t>IRAC Grupo 13</t>
        </is>
      </c>
      <c r="K1020" s="13" t="inlineStr">
        <is>
          <t>Desacopladores da fosforilação oxidativa via disrupção do gradiente de prótons</t>
        </is>
      </c>
      <c r="L1020" s="15" t="n">
        <v>240</v>
      </c>
      <c r="M1020" s="13" t="inlineStr">
        <is>
          <t>g/L</t>
        </is>
      </c>
      <c r="N1020" s="13" t="inlineStr">
        <is>
          <t>Registro Técnico Vinculado MAPA</t>
        </is>
      </c>
    </row>
    <row r="1021" ht="22" customHeight="1">
      <c r="A1021" s="6" t="inlineStr">
        <is>
          <t>CMP-1017</t>
        </is>
      </c>
      <c r="B1021" s="5" t="n">
        <v>746</v>
      </c>
      <c r="C1021" s="7" t="inlineStr">
        <is>
          <t>Nº 23623</t>
        </is>
      </c>
      <c r="D1021" s="8" t="inlineStr">
        <is>
          <t>GLIMOR WG</t>
        </is>
      </c>
      <c r="E1021" s="5" t="n">
        <v>1</v>
      </c>
      <c r="F1021" s="7" t="inlineStr">
        <is>
          <t>Ingrediente Ativo Principal</t>
        </is>
      </c>
      <c r="G1021" s="7" t="inlineStr">
        <is>
          <t>GLIFOSATO 720</t>
        </is>
      </c>
      <c r="H1021" s="7" t="inlineStr">
        <is>
          <t>N-(phosphonomethyl)glycine (Sal de Amônio / Isopropilamina / Potássico)</t>
        </is>
      </c>
      <c r="I1021" s="7" t="inlineStr">
        <is>
          <t>Glicina substituída</t>
        </is>
      </c>
      <c r="J1021" s="7" t="inlineStr">
        <is>
          <t>HRAC Grupo G (EPSPs)</t>
        </is>
      </c>
      <c r="K1021" s="7" t="inlineStr">
        <is>
          <t>Inibidores da enzima EPSPs (Enoil Piruvil Shiquimato Fosfato Sintase)</t>
        </is>
      </c>
      <c r="L1021" s="9" t="n">
        <v>720</v>
      </c>
      <c r="M1021" s="7" t="inlineStr">
        <is>
          <t>g/kg</t>
        </is>
      </c>
      <c r="N1021" s="7" t="inlineStr">
        <is>
          <t>Registro Técnico Vinculado MAPA</t>
        </is>
      </c>
    </row>
    <row r="1022" ht="22" customHeight="1">
      <c r="A1022" s="12" t="inlineStr">
        <is>
          <t>CMP-1018</t>
        </is>
      </c>
      <c r="B1022" s="11" t="n">
        <v>747</v>
      </c>
      <c r="C1022" s="13" t="inlineStr">
        <is>
          <t>Nº 25224</t>
        </is>
      </c>
      <c r="D1022" s="14" t="inlineStr">
        <is>
          <t>CLETODIM 240 EC BRILLIANCE</t>
        </is>
      </c>
      <c r="E1022" s="11" t="n">
        <v>1</v>
      </c>
      <c r="F1022" s="13" t="inlineStr">
        <is>
          <t>Ingrediente Ativo Principal</t>
        </is>
      </c>
      <c r="G1022" s="13" t="inlineStr">
        <is>
          <t>CLETODIM 240</t>
        </is>
      </c>
      <c r="H1022" s="13" t="inlineStr">
        <is>
          <t>(RS)-2-[(E)-1-[(E)-3-chloroallyloxyimino]propyl]-5-[2-(ethylthio)propyl]-3-hydroxycyclohex-2-en-1-one</t>
        </is>
      </c>
      <c r="I1022" s="13" t="inlineStr">
        <is>
          <t>Oxima ciclohexanodiona (DIM)</t>
        </is>
      </c>
      <c r="J1022" s="13" t="inlineStr">
        <is>
          <t>HRAC Grupo A (1) — Inibidores da ACCase</t>
        </is>
      </c>
      <c r="K1022" s="13" t="inlineStr">
        <is>
          <t>Inibidores da Acetil CoA Carboxilase (ACCase)</t>
        </is>
      </c>
      <c r="L1022" s="15" t="n">
        <v>240</v>
      </c>
      <c r="M1022" s="13" t="inlineStr">
        <is>
          <t>g/L</t>
        </is>
      </c>
      <c r="N1022" s="13" t="inlineStr">
        <is>
          <t>Registro Técnico Vinculado MAPA</t>
        </is>
      </c>
    </row>
    <row r="1023" ht="22" customHeight="1">
      <c r="A1023" s="6" t="inlineStr">
        <is>
          <t>CMP-1019</t>
        </is>
      </c>
      <c r="B1023" s="5" t="n">
        <v>748</v>
      </c>
      <c r="C1023" s="7" t="inlineStr">
        <is>
          <t>Nº 15725</t>
        </is>
      </c>
      <c r="D1023" s="8" t="inlineStr">
        <is>
          <t>CLETODIM 360 EC BRILLIANCE</t>
        </is>
      </c>
      <c r="E1023" s="5" t="n">
        <v>1</v>
      </c>
      <c r="F1023" s="7" t="inlineStr">
        <is>
          <t>Ingrediente Ativo Principal</t>
        </is>
      </c>
      <c r="G1023" s="7" t="inlineStr">
        <is>
          <t>CLETODIM 360</t>
        </is>
      </c>
      <c r="H1023" s="7" t="inlineStr">
        <is>
          <t>(RS)-2-[(E)-1-[(E)-3-chloroallyloxyimino]propyl]-5-[2-(ethylthio)propyl]-3-hydroxycyclohex-2-en-1-one</t>
        </is>
      </c>
      <c r="I1023" s="7" t="inlineStr">
        <is>
          <t>Oxima ciclohexanodiona (DIM)</t>
        </is>
      </c>
      <c r="J1023" s="7" t="inlineStr">
        <is>
          <t>HRAC Grupo A (1) — Inibidores da ACCase</t>
        </is>
      </c>
      <c r="K1023" s="7" t="inlineStr">
        <is>
          <t>Inibidores da Acetil CoA Carboxilase (ACCase)</t>
        </is>
      </c>
      <c r="L1023" s="9" t="n">
        <v>360</v>
      </c>
      <c r="M1023" s="7" t="inlineStr">
        <is>
          <t>g/L</t>
        </is>
      </c>
      <c r="N1023" s="7" t="inlineStr">
        <is>
          <t>Registro Técnico Vinculado MAPA</t>
        </is>
      </c>
    </row>
    <row r="1024" ht="22" customHeight="1">
      <c r="A1024" s="12" t="inlineStr">
        <is>
          <t>CMP-1020</t>
        </is>
      </c>
      <c r="B1024" s="11" t="n">
        <v>749</v>
      </c>
      <c r="C1024" s="13" t="inlineStr">
        <is>
          <t>Nº 49425</t>
        </is>
      </c>
      <c r="D1024" s="14" t="inlineStr">
        <is>
          <t>GAZINA</t>
        </is>
      </c>
      <c r="E1024" s="11" t="n">
        <v>1</v>
      </c>
      <c r="F1024" s="13" t="inlineStr">
        <is>
          <t>Ingrediente Ativo Principal</t>
        </is>
      </c>
      <c r="G1024" s="13" t="inlineStr">
        <is>
          <t>FLUMIOXAZINA 500</t>
        </is>
      </c>
      <c r="H1024" s="13" t="inlineStr">
        <is>
          <t>N-(7-fluoro-3,4-dihydro-3-oxo-4-prop-2-ynyl-2H-1,4-benzoxazin-6-yl)cyclohex-1-ene-1,2-dicarboximide</t>
        </is>
      </c>
      <c r="I1024" s="13" t="inlineStr">
        <is>
          <t>N-fenilftalimida</t>
        </is>
      </c>
      <c r="J1024" s="13" t="inlineStr">
        <is>
          <t>HRAC Grupo E (14) — Inibidores da PROTOX</t>
        </is>
      </c>
      <c r="K1024" s="13" t="inlineStr">
        <is>
          <t>Inibidores da enzima protoporfirinogênio oxidase (PROTOX)</t>
        </is>
      </c>
      <c r="L1024" s="15" t="n">
        <v>500</v>
      </c>
      <c r="M1024" s="13" t="inlineStr">
        <is>
          <t>g/L</t>
        </is>
      </c>
      <c r="N1024" s="13" t="inlineStr">
        <is>
          <t>Registro Técnico Vinculado MAPA</t>
        </is>
      </c>
    </row>
    <row r="1025" ht="22" customHeight="1">
      <c r="A1025" s="6" t="inlineStr">
        <is>
          <t>CMP-1021</t>
        </is>
      </c>
      <c r="B1025" s="5" t="n">
        <v>750</v>
      </c>
      <c r="C1025" s="7" t="inlineStr">
        <is>
          <t>Nº 52425</t>
        </is>
      </c>
      <c r="D1025" s="8" t="inlineStr">
        <is>
          <t>GEODO</t>
        </is>
      </c>
      <c r="E1025" s="5" t="n">
        <v>1</v>
      </c>
      <c r="F1025" s="7" t="inlineStr">
        <is>
          <t>Ingrediente Ativo Principal</t>
        </is>
      </c>
      <c r="G1025" s="7" t="inlineStr">
        <is>
          <t>ACETAMIPRIDO 250</t>
        </is>
      </c>
      <c r="H1025" s="7" t="inlineStr">
        <is>
          <t>(E)-N1-[(6-chloro-3-pyridyl)methyl]-N2-cyano-N1-methylacetamidine</t>
        </is>
      </c>
      <c r="I1025" s="7" t="inlineStr">
        <is>
          <t>Neonicotinoide</t>
        </is>
      </c>
      <c r="J1025" s="7" t="inlineStr">
        <is>
          <t>IRAC Grupo 4A</t>
        </is>
      </c>
      <c r="K1025" s="7" t="inlineStr">
        <is>
          <t>Moduladores competitivos de receptores nicotínicos da acetilcolina (nAChR)</t>
        </is>
      </c>
      <c r="L1025" s="9" t="n">
        <v>250</v>
      </c>
      <c r="M1025" s="7" t="inlineStr">
        <is>
          <t>g/kg</t>
        </is>
      </c>
      <c r="N1025" s="7" t="inlineStr">
        <is>
          <t>Registro Técnico Vinculado MAPA</t>
        </is>
      </c>
    </row>
    <row r="1026" ht="22" customHeight="1">
      <c r="A1026" s="12" t="inlineStr">
        <is>
          <t>CMP-1022</t>
        </is>
      </c>
      <c r="B1026" s="11" t="n">
        <v>750</v>
      </c>
      <c r="C1026" s="13" t="inlineStr">
        <is>
          <t>Nº 52425</t>
        </is>
      </c>
      <c r="D1026" s="14" t="inlineStr">
        <is>
          <t>GEODO</t>
        </is>
      </c>
      <c r="E1026" s="11" t="n">
        <v>2</v>
      </c>
      <c r="F1026" s="13" t="inlineStr">
        <is>
          <t>Ingrediente Ativo Principal</t>
        </is>
      </c>
      <c r="G1026" s="13" t="inlineStr">
        <is>
          <t>BIFENTRINA 250</t>
        </is>
      </c>
      <c r="H1026" s="13" t="inlineStr">
        <is>
          <t>2-methylbiphenyl-3-ylmethyl (Z)-(1RS,3RS)-3-(2-chloro-3,3,3-trifluoroprop-1-enyl)-2,2-dimethylcyclopropanecarboxylate</t>
        </is>
      </c>
      <c r="I1026" s="13" t="inlineStr">
        <is>
          <t>Piretroide (Tipo I)</t>
        </is>
      </c>
      <c r="J1026" s="13" t="inlineStr">
        <is>
          <t>IRAC Grupo 3A</t>
        </is>
      </c>
      <c r="K1026" s="13" t="inlineStr">
        <is>
          <t>Moduladores de canais de sódio em membranas nervosas</t>
        </is>
      </c>
      <c r="L1026" s="15" t="n">
        <v>250</v>
      </c>
      <c r="M1026" s="13" t="inlineStr">
        <is>
          <t>g/kg</t>
        </is>
      </c>
      <c r="N1026" s="13" t="inlineStr">
        <is>
          <t>Registro Técnico Vinculado MAPA</t>
        </is>
      </c>
    </row>
    <row r="1027" ht="22" customHeight="1">
      <c r="A1027" s="6" t="inlineStr">
        <is>
          <t>CMP-1023</t>
        </is>
      </c>
      <c r="B1027" s="5" t="n">
        <v>751</v>
      </c>
      <c r="C1027" s="7" t="inlineStr">
        <is>
          <t>Nº 14421</t>
        </is>
      </c>
      <c r="D1027" s="8" t="inlineStr">
        <is>
          <t>LEALTY FS</t>
        </is>
      </c>
      <c r="E1027" s="5" t="n">
        <v>1</v>
      </c>
      <c r="F1027" s="7" t="inlineStr">
        <is>
          <t>Ingrediente Ativo Principal</t>
        </is>
      </c>
      <c r="G1027" s="7" t="inlineStr">
        <is>
          <t>FIPRONIL 250</t>
        </is>
      </c>
      <c r="H1027" s="7" t="inlineStr">
        <is>
          <t>(RS)-5-amino-1-(2,6-dichloro-a,a,a-trifluoro-p-tolyl)-4-trifluoromethylsulfinylpyrazole-3-carbonitrile</t>
        </is>
      </c>
      <c r="I1027" s="7" t="inlineStr">
        <is>
          <t>Pirazol (Fenilpirazol)</t>
        </is>
      </c>
      <c r="J1027" s="7" t="inlineStr">
        <is>
          <t>IRAC Grupo 2B</t>
        </is>
      </c>
      <c r="K1027" s="7" t="inlineStr">
        <is>
          <t>Bloqueadores de canais de cloro mediados pelo GABA</t>
        </is>
      </c>
      <c r="L1027" s="9" t="n">
        <v>250</v>
      </c>
      <c r="M1027" s="7" t="inlineStr">
        <is>
          <t>g/L</t>
        </is>
      </c>
      <c r="N1027" s="7" t="inlineStr">
        <is>
          <t>Registro Técnico Vinculado MAPA</t>
        </is>
      </c>
    </row>
    <row r="1028" ht="22" customHeight="1">
      <c r="A1028" s="12" t="inlineStr">
        <is>
          <t>CMP-1024</t>
        </is>
      </c>
      <c r="B1028" s="11" t="n">
        <v>752</v>
      </c>
      <c r="C1028" s="13" t="inlineStr">
        <is>
          <t>Nº 7023</t>
        </is>
      </c>
      <c r="D1028" s="14" t="inlineStr">
        <is>
          <t>TORINO</t>
        </is>
      </c>
      <c r="E1028" s="11" t="n">
        <v>1</v>
      </c>
      <c r="F1028" s="13" t="inlineStr">
        <is>
          <t>Ingrediente Ativo Principal</t>
        </is>
      </c>
      <c r="G1028" s="13" t="inlineStr">
        <is>
          <t>TIOFANATO-METÍLICO</t>
        </is>
      </c>
      <c r="H1028" s="13" t="inlineStr">
        <is>
          <t>Dimethyl 4,4-(o-phenylene)bis(3-thioallophanate)</t>
        </is>
      </c>
      <c r="I1028" s="13" t="inlineStr">
        <is>
          <t>Benzimidazol (Precursor de MBC)</t>
        </is>
      </c>
      <c r="J1028" s="13" t="inlineStr">
        <is>
          <t>FRAC Grupo 1 (B1 — MBC)</t>
        </is>
      </c>
      <c r="K1028" s="13" t="inlineStr">
        <is>
          <t>Inibição da montagem da beta-tubulina durante a mitose celular fúngica</t>
        </is>
      </c>
      <c r="L1028" s="15" t="n">
        <v>350</v>
      </c>
      <c r="M1028" s="13" t="inlineStr">
        <is>
          <t>g/L</t>
        </is>
      </c>
      <c r="N1028" s="13" t="inlineStr">
        <is>
          <t>Tiofanato-Metílico Técnico Sipcam</t>
        </is>
      </c>
    </row>
    <row r="1029" ht="22" customHeight="1">
      <c r="A1029" s="6" t="inlineStr">
        <is>
          <t>CMP-1025</t>
        </is>
      </c>
      <c r="B1029" s="5" t="n">
        <v>752</v>
      </c>
      <c r="C1029" s="7" t="inlineStr">
        <is>
          <t>Nº 7023</t>
        </is>
      </c>
      <c r="D1029" s="8" t="inlineStr">
        <is>
          <t>TORINO</t>
        </is>
      </c>
      <c r="E1029" s="5" t="n">
        <v>2</v>
      </c>
      <c r="F1029" s="7" t="inlineStr">
        <is>
          <t>Ingrediente Ativo Principal</t>
        </is>
      </c>
      <c r="G1029" s="7" t="inlineStr">
        <is>
          <t>FLUAZINAM</t>
        </is>
      </c>
      <c r="H1029" s="7" t="inlineStr">
        <is>
          <t>3-chloro-N-(3-chloro-5-trifluoromethyl-2-pyridyl)-alpha,alpha,alpha-trifluoro-2,6-dinitro-p-toluidine</t>
        </is>
      </c>
      <c r="I1029" s="7" t="inlineStr">
        <is>
          <t>Fenilpiridinamina (2,6-dinitroanilina)</t>
        </is>
      </c>
      <c r="J1029" s="7" t="inlineStr">
        <is>
          <t>FRAC Grupo 29 (C5)</t>
        </is>
      </c>
      <c r="K1029" s="7" t="inlineStr">
        <is>
          <t>Desacoplador da fosforilação oxidativa mitocondrial</t>
        </is>
      </c>
      <c r="L1029" s="17" t="n">
        <v>52.5</v>
      </c>
      <c r="M1029" s="7" t="inlineStr">
        <is>
          <t>g/L</t>
        </is>
      </c>
      <c r="N1029" s="7" t="inlineStr">
        <is>
          <t>Fluazinam Técnico Sipcam</t>
        </is>
      </c>
    </row>
    <row r="1030" ht="22" customHeight="1">
      <c r="A1030" s="12" t="inlineStr">
        <is>
          <t>CMP-1026</t>
        </is>
      </c>
      <c r="B1030" s="11" t="n">
        <v>753</v>
      </c>
      <c r="C1030" s="13" t="inlineStr">
        <is>
          <t>Nº 2218</t>
        </is>
      </c>
      <c r="D1030" s="14" t="inlineStr">
        <is>
          <t>ACETA 4X5 KG IMP AH</t>
        </is>
      </c>
      <c r="E1030" s="11" t="n">
        <v>1</v>
      </c>
      <c r="F1030" s="13" t="inlineStr">
        <is>
          <t>Ingrediente Ativo Principal</t>
        </is>
      </c>
      <c r="G1030" s="13" t="inlineStr">
        <is>
          <t>ACETAMIPRID 200</t>
        </is>
      </c>
      <c r="H1030" s="13" t="inlineStr">
        <is>
          <t>(E)-N1-[(6-chloro-3-pyridyl)methyl]-N2-cyano-N1-methylacetamidine</t>
        </is>
      </c>
      <c r="I1030" s="13" t="inlineStr">
        <is>
          <t>Neonicotinoide</t>
        </is>
      </c>
      <c r="J1030" s="13" t="inlineStr">
        <is>
          <t>IRAC Grupo 4A</t>
        </is>
      </c>
      <c r="K1030" s="13" t="inlineStr">
        <is>
          <t>Moduladores competitivos de receptores nicotínicos da acetilcolina (nAChR)</t>
        </is>
      </c>
      <c r="L1030" s="15" t="n">
        <v>200</v>
      </c>
      <c r="M1030" s="13" t="inlineStr">
        <is>
          <t>g/kg</t>
        </is>
      </c>
      <c r="N1030" s="13" t="inlineStr">
        <is>
          <t>Registro Técnico Vinculado MAPA</t>
        </is>
      </c>
    </row>
    <row r="1031" ht="22" customHeight="1">
      <c r="A1031" s="6" t="inlineStr">
        <is>
          <t>CMP-1027</t>
        </is>
      </c>
      <c r="B1031" s="5" t="n">
        <v>754</v>
      </c>
      <c r="C1031" s="7" t="inlineStr">
        <is>
          <t>Nº 1223</t>
        </is>
      </c>
      <c r="D1031" s="8" t="inlineStr">
        <is>
          <t>FULLGUARD</t>
        </is>
      </c>
      <c r="E1031" s="5" t="n">
        <v>1</v>
      </c>
      <c r="F1031" s="7" t="inlineStr">
        <is>
          <t>Ingrediente Ativo Principal</t>
        </is>
      </c>
      <c r="G1031" s="7" t="inlineStr">
        <is>
          <t>CARFENTRAZONA ETILICA 400</t>
        </is>
      </c>
      <c r="H1031" s="7" t="inlineStr">
        <is>
          <t>Ethyl (RS)-2-chloro-3-[2-chloro-5-[4-(difluoromethyl)-4,5-dihydro-3-methyl-5-oxo-1H-1,2,4-triazol-1-yl]-4-fluorophenyl]propionate</t>
        </is>
      </c>
      <c r="I1031" s="7" t="inlineStr">
        <is>
          <t>Triazolinona</t>
        </is>
      </c>
      <c r="J1031" s="7" t="inlineStr">
        <is>
          <t>HRAC Grupo E (14) — Inibidores da PROTOX</t>
        </is>
      </c>
      <c r="K1031" s="7" t="inlineStr">
        <is>
          <t>Inibidores da enzima protoporfirinogênio oxidase (PROTOX)</t>
        </is>
      </c>
      <c r="L1031" s="9" t="n">
        <v>400</v>
      </c>
      <c r="M1031" s="7" t="inlineStr">
        <is>
          <t>g/L</t>
        </is>
      </c>
      <c r="N1031" s="7" t="inlineStr">
        <is>
          <t>Registro Técnico Vinculado MAPA</t>
        </is>
      </c>
    </row>
    <row r="1032" ht="22" customHeight="1">
      <c r="A1032" s="12" t="inlineStr">
        <is>
          <t>CMP-1028</t>
        </is>
      </c>
      <c r="B1032" s="11" t="n">
        <v>755</v>
      </c>
      <c r="C1032" s="13" t="inlineStr">
        <is>
          <t>Nº 19122</t>
        </is>
      </c>
      <c r="D1032" s="14" t="inlineStr">
        <is>
          <t>AVENCA</t>
        </is>
      </c>
      <c r="E1032" s="11" t="n">
        <v>1</v>
      </c>
      <c r="F1032" s="13" t="inlineStr">
        <is>
          <t>Ingrediente Ativo Principal</t>
        </is>
      </c>
      <c r="G1032" s="13" t="inlineStr">
        <is>
          <t>CLOROTALONIL 720</t>
        </is>
      </c>
      <c r="H1032" s="13" t="inlineStr">
        <is>
          <t>Tetrachloroisophthalonitrile</t>
        </is>
      </c>
      <c r="I1032" s="13" t="inlineStr">
        <is>
          <t>Isoftalonitrila</t>
        </is>
      </c>
      <c r="J1032" s="13" t="inlineStr">
        <is>
          <t>FRAC Grupo M05 — Multissítio</t>
        </is>
      </c>
      <c r="K1032" s="13" t="inlineStr">
        <is>
          <t>Atividade de contato multissítio (inativação de grupos tiol enzimáticos)</t>
        </is>
      </c>
      <c r="L1032" s="15" t="n">
        <v>720</v>
      </c>
      <c r="M1032" s="13" t="inlineStr">
        <is>
          <t>g/L</t>
        </is>
      </c>
      <c r="N1032" s="13" t="inlineStr">
        <is>
          <t>Registro Técnico Vinculado MAPA</t>
        </is>
      </c>
    </row>
    <row r="1033" ht="22" customHeight="1">
      <c r="A1033" s="6" t="inlineStr">
        <is>
          <t>CMP-1029</t>
        </is>
      </c>
      <c r="B1033" s="5" t="n">
        <v>756</v>
      </c>
      <c r="C1033" s="7" t="inlineStr">
        <is>
          <t>Nº 3621</t>
        </is>
      </c>
      <c r="D1033" s="8" t="inlineStr">
        <is>
          <t>TECNUP MAX 720 WG</t>
        </is>
      </c>
      <c r="E1033" s="5" t="n">
        <v>1</v>
      </c>
      <c r="F1033" s="7" t="inlineStr">
        <is>
          <t>Ingrediente Ativo Principal</t>
        </is>
      </c>
      <c r="G1033" s="7" t="inlineStr">
        <is>
          <t>GLIFOSATO 720</t>
        </is>
      </c>
      <c r="H1033" s="7" t="inlineStr">
        <is>
          <t>N-(phosphonomethyl)glycine (Sal de Amônio / Isopropilamina / Potássico)</t>
        </is>
      </c>
      <c r="I1033" s="7" t="inlineStr">
        <is>
          <t>Glicina substituída</t>
        </is>
      </c>
      <c r="J1033" s="7" t="inlineStr">
        <is>
          <t>HRAC Grupo G (EPSPs)</t>
        </is>
      </c>
      <c r="K1033" s="7" t="inlineStr">
        <is>
          <t>Inibidores da enzima EPSPs (Enoil Piruvil Shiquimato Fosfato Sintase)</t>
        </is>
      </c>
      <c r="L1033" s="9" t="n">
        <v>720</v>
      </c>
      <c r="M1033" s="7" t="inlineStr">
        <is>
          <t>g/kg</t>
        </is>
      </c>
      <c r="N1033" s="7" t="inlineStr">
        <is>
          <t>Registro Técnico Vinculado MAPA</t>
        </is>
      </c>
    </row>
    <row r="1034" ht="22" customHeight="1">
      <c r="A1034" s="12" t="inlineStr">
        <is>
          <t>CMP-1030</t>
        </is>
      </c>
      <c r="B1034" s="11" t="n">
        <v>757</v>
      </c>
      <c r="C1034" s="13" t="inlineStr">
        <is>
          <t>Nº 5622</t>
        </is>
      </c>
      <c r="D1034" s="14" t="inlineStr">
        <is>
          <t>FIERA SC</t>
        </is>
      </c>
      <c r="E1034" s="11" t="n">
        <v>1</v>
      </c>
      <c r="F1034" s="13" t="inlineStr">
        <is>
          <t>Ingrediente Ativo Principal</t>
        </is>
      </c>
      <c r="G1034" s="13" t="inlineStr">
        <is>
          <t>BUPROFEZINA 250</t>
        </is>
      </c>
      <c r="H1034" s="13" t="inlineStr">
        <is>
          <t>(Z)-2-tert-butylimino-3-isopropyl-5-phenyl-1,3,5-thiadiazinan-4-one</t>
        </is>
      </c>
      <c r="I1034" s="13" t="inlineStr">
        <is>
          <t>Tiadiazinona</t>
        </is>
      </c>
      <c r="J1034" s="13" t="inlineStr">
        <is>
          <t>IRAC Grupo 16</t>
        </is>
      </c>
      <c r="K1034" s="13" t="inlineStr">
        <is>
          <t>Inibidores da biossíntese de quitina, Tipo 1 (Hemípteros)</t>
        </is>
      </c>
      <c r="L1034" s="15" t="n">
        <v>250</v>
      </c>
      <c r="M1034" s="13" t="inlineStr">
        <is>
          <t>g/L</t>
        </is>
      </c>
      <c r="N1034" s="13" t="inlineStr">
        <is>
          <t>Registro Técnico Vinculado MAPA</t>
        </is>
      </c>
    </row>
    <row r="1035" ht="22" customHeight="1">
      <c r="A1035" s="6" t="inlineStr">
        <is>
          <t>CMP-1031</t>
        </is>
      </c>
      <c r="B1035" s="5" t="n">
        <v>758</v>
      </c>
      <c r="C1035" s="7" t="inlineStr">
        <is>
          <t>Nº 5725</t>
        </is>
      </c>
      <c r="D1035" s="8" t="inlineStr">
        <is>
          <t>ESIFON FULL</t>
        </is>
      </c>
      <c r="E1035" s="5" t="n">
        <v>1</v>
      </c>
      <c r="F1035" s="7" t="inlineStr">
        <is>
          <t>Ingrediente Ativo Principal</t>
        </is>
      </c>
      <c r="G1035" s="7" t="inlineStr">
        <is>
          <t>ETEFOM</t>
        </is>
      </c>
      <c r="H1035" s="7" t="inlineStr">
        <is>
          <t>2-chloroethylphosphonic acid</t>
        </is>
      </c>
      <c r="I1035" s="7" t="inlineStr">
        <is>
          <t>Ácido Fosfônico (Gerador de Etileno)</t>
        </is>
      </c>
      <c r="J1035" s="7" t="inlineStr">
        <is>
          <t>Regulador de Crescimento Vegetal (Precursor de Etileno)</t>
        </is>
      </c>
      <c r="K1035" s="7" t="inlineStr">
        <is>
          <t>Liberação de etileno nos tecidos vegetais (maturação e desfolha)</t>
        </is>
      </c>
      <c r="L1035" s="9" t="n">
        <v>720</v>
      </c>
      <c r="M1035" s="7" t="inlineStr">
        <is>
          <t>g/L</t>
        </is>
      </c>
      <c r="N1035" s="7" t="inlineStr">
        <is>
          <t>Ethephon Técnico Rainbow</t>
        </is>
      </c>
    </row>
    <row r="1036" ht="22" customHeight="1">
      <c r="A1036" s="12" t="inlineStr">
        <is>
          <t>CMP-1032</t>
        </is>
      </c>
      <c r="B1036" s="11" t="n">
        <v>759</v>
      </c>
      <c r="C1036" s="13" t="inlineStr">
        <is>
          <t>Nº 14421</t>
        </is>
      </c>
      <c r="D1036" s="14" t="inlineStr">
        <is>
          <t>LEALTY FS</t>
        </is>
      </c>
      <c r="E1036" s="11" t="n">
        <v>1</v>
      </c>
      <c r="F1036" s="13" t="inlineStr">
        <is>
          <t>Ingrediente Ativo Principal</t>
        </is>
      </c>
      <c r="G1036" s="13" t="inlineStr">
        <is>
          <t>FIPRONIL 250</t>
        </is>
      </c>
      <c r="H1036" s="13" t="inlineStr">
        <is>
          <t>(RS)-5-amino-1-(2,6-dichloro-a,a,a-trifluoro-p-tolyl)-4-trifluoromethylsulfinylpyrazole-3-carbonitrile</t>
        </is>
      </c>
      <c r="I1036" s="13" t="inlineStr">
        <is>
          <t>Pirazol (Fenilpirazol)</t>
        </is>
      </c>
      <c r="J1036" s="13" t="inlineStr">
        <is>
          <t>IRAC Grupo 2B</t>
        </is>
      </c>
      <c r="K1036" s="13" t="inlineStr">
        <is>
          <t>Bloqueadores de canais de cloro mediados pelo GABA</t>
        </is>
      </c>
      <c r="L1036" s="15" t="n">
        <v>250</v>
      </c>
      <c r="M1036" s="13" t="inlineStr">
        <is>
          <t>g/L</t>
        </is>
      </c>
      <c r="N1036" s="13" t="inlineStr">
        <is>
          <t>Registro Técnico Vinculado MAPA</t>
        </is>
      </c>
    </row>
    <row r="1037" ht="22" customHeight="1">
      <c r="A1037" s="6" t="inlineStr">
        <is>
          <t>CMP-1033</t>
        </is>
      </c>
      <c r="B1037" s="5" t="n">
        <v>760</v>
      </c>
      <c r="C1037" s="7" t="inlineStr">
        <is>
          <t>Nº 5622</t>
        </is>
      </c>
      <c r="D1037" s="8" t="inlineStr">
        <is>
          <t>FIERA SC</t>
        </is>
      </c>
      <c r="E1037" s="5" t="n">
        <v>1</v>
      </c>
      <c r="F1037" s="7" t="inlineStr">
        <is>
          <t>Ingrediente Ativo Principal</t>
        </is>
      </c>
      <c r="G1037" s="7" t="inlineStr">
        <is>
          <t>BUPROFEZINA 250</t>
        </is>
      </c>
      <c r="H1037" s="7" t="inlineStr">
        <is>
          <t>(Z)-2-tert-butylimino-3-isopropyl-5-phenyl-1,3,5-thiadiazinan-4-one</t>
        </is>
      </c>
      <c r="I1037" s="7" t="inlineStr">
        <is>
          <t>Tiadiazinona</t>
        </is>
      </c>
      <c r="J1037" s="7" t="inlineStr">
        <is>
          <t>IRAC Grupo 16</t>
        </is>
      </c>
      <c r="K1037" s="7" t="inlineStr">
        <is>
          <t>Inibidores da biossíntese de quitina, Tipo 1 (Hemípteros)</t>
        </is>
      </c>
      <c r="L1037" s="9" t="n">
        <v>250</v>
      </c>
      <c r="M1037" s="7" t="inlineStr">
        <is>
          <t>g/L</t>
        </is>
      </c>
      <c r="N1037" s="7" t="inlineStr">
        <is>
          <t>Registro Técnico Vinculado MAPA</t>
        </is>
      </c>
    </row>
    <row r="1038" ht="22" customHeight="1">
      <c r="A1038" s="12" t="inlineStr">
        <is>
          <t>CMP-1034</t>
        </is>
      </c>
      <c r="B1038" s="11" t="n">
        <v>761</v>
      </c>
      <c r="C1038" s="13" t="inlineStr">
        <is>
          <t>SIPEAGRO (UF-XXXXX)</t>
        </is>
      </c>
      <c r="D1038" s="14" t="inlineStr">
        <is>
          <t>FERTILIZANTE 00 00 60 KCL - YARA</t>
        </is>
      </c>
      <c r="E1038" s="11" t="n">
        <v>1</v>
      </c>
      <c r="F1038" s="13" t="inlineStr">
        <is>
          <t>Nutriente Garantido</t>
        </is>
      </c>
      <c r="G1038" s="13" t="inlineStr">
        <is>
          <t>CLORETO DE POTASSIO</t>
        </is>
      </c>
      <c r="H1038" s="13" t="inlineStr">
        <is>
          <t>Composição Nutricional Oficial (CLORETO DE POTASSIO)</t>
        </is>
      </c>
      <c r="I1038" s="13" t="inlineStr">
        <is>
          <t>Fertilizante Mineral / Organomineral (Lei nº 6.894/1980)</t>
        </is>
      </c>
      <c r="J1038" s="13" t="inlineStr">
        <is>
          <t>Nutrição Vegetal SIPEAGRO</t>
        </is>
      </c>
      <c r="K1038" s="13" t="inlineStr">
        <is>
          <t>Fornecimento de macro e micronutrientes essenciais ao metabolismo vegetal</t>
        </is>
      </c>
      <c r="L1038" s="15" t="n">
        <v>100</v>
      </c>
      <c r="M1038" s="13" t="inlineStr">
        <is>
          <t>% m/m</t>
        </is>
      </c>
      <c r="N1038" s="13" t="inlineStr">
        <is>
          <t>Registro Técnico Vinculado MAPA</t>
        </is>
      </c>
    </row>
    <row r="1039" ht="22" customHeight="1">
      <c r="A1039" s="6" t="inlineStr">
        <is>
          <t>CMP-1035</t>
        </is>
      </c>
      <c r="B1039" s="5" t="n">
        <v>762</v>
      </c>
      <c r="C1039" s="7" t="inlineStr">
        <is>
          <t>Nº 40624</t>
        </is>
      </c>
      <c r="D1039" s="8" t="inlineStr">
        <is>
          <t>SHARK - CLORPIRIFOS 480 EC (PRINCIPIO ATIVO)</t>
        </is>
      </c>
      <c r="E1039" s="5" t="n">
        <v>1</v>
      </c>
      <c r="F1039" s="7" t="inlineStr">
        <is>
          <t>Ingrediente Ativo Principal</t>
        </is>
      </c>
      <c r="G1039" s="7" t="inlineStr">
        <is>
          <t>CLORPIRIFOS 480</t>
        </is>
      </c>
      <c r="H1039" s="7" t="inlineStr">
        <is>
          <t>O,O-diethyl O-3,5,6-trichloro-2-pyridyl phosphorothioate</t>
        </is>
      </c>
      <c r="I1039" s="7" t="inlineStr">
        <is>
          <t>Organofosforado</t>
        </is>
      </c>
      <c r="J1039" s="7" t="inlineStr">
        <is>
          <t>IRAC Grupo 1B</t>
        </is>
      </c>
      <c r="K1039" s="7" t="inlineStr">
        <is>
          <t>Inibidores da acetilcolinesterase (AChE)</t>
        </is>
      </c>
      <c r="L1039" s="9" t="n">
        <v>480</v>
      </c>
      <c r="M1039" s="7" t="inlineStr">
        <is>
          <t>g/L</t>
        </is>
      </c>
      <c r="N1039" s="7" t="inlineStr">
        <is>
          <t>Produto Técnico Próprio</t>
        </is>
      </c>
    </row>
    <row r="1040" ht="22" customHeight="1">
      <c r="A1040" s="12" t="inlineStr">
        <is>
          <t>CMP-1036</t>
        </is>
      </c>
      <c r="B1040" s="11" t="n">
        <v>763</v>
      </c>
      <c r="C1040" s="13" t="inlineStr">
        <is>
          <t>SIPEAGRO (UF-XXXXX)</t>
        </is>
      </c>
      <c r="D1040" s="14" t="inlineStr">
        <is>
          <t>CLORETO DE POTASSIO GRAN KCL - FERTIPAR</t>
        </is>
      </c>
      <c r="E1040" s="11" t="n">
        <v>1</v>
      </c>
      <c r="F1040" s="13" t="inlineStr">
        <is>
          <t>Nutriente Garantido</t>
        </is>
      </c>
      <c r="G1040" s="13" t="inlineStr">
        <is>
          <t>CLORETO DE POTASSIO</t>
        </is>
      </c>
      <c r="H1040" s="13" t="inlineStr">
        <is>
          <t>Composição Nutricional Oficial (CLORETO DE POTASSIO)</t>
        </is>
      </c>
      <c r="I1040" s="13" t="inlineStr">
        <is>
          <t>Fertilizante Mineral / Organomineral (Lei nº 6.894/1980)</t>
        </is>
      </c>
      <c r="J1040" s="13" t="inlineStr">
        <is>
          <t>Nutrição Vegetal SIPEAGRO</t>
        </is>
      </c>
      <c r="K1040" s="13" t="inlineStr">
        <is>
          <t>Fornecimento de macro e micronutrientes essenciais ao metabolismo vegetal</t>
        </is>
      </c>
      <c r="L1040" s="15" t="n">
        <v>100</v>
      </c>
      <c r="M1040" s="13" t="inlineStr">
        <is>
          <t>% m/m</t>
        </is>
      </c>
      <c r="N1040" s="13" t="inlineStr">
        <is>
          <t>Registro Técnico Vinculado MAPA</t>
        </is>
      </c>
    </row>
    <row r="1041" ht="22" customHeight="1">
      <c r="A1041" s="6" t="inlineStr">
        <is>
          <t>CMP-1037</t>
        </is>
      </c>
      <c r="B1041" s="5" t="n">
        <v>764</v>
      </c>
      <c r="C1041" s="7" t="inlineStr">
        <is>
          <t>Nº 15025</t>
        </is>
      </c>
      <c r="D1041" s="8" t="inlineStr">
        <is>
          <t>PROTHIOCONAZOLE + TRIFLOXYSTROBIN</t>
        </is>
      </c>
      <c r="E1041" s="5" t="n">
        <v>1</v>
      </c>
      <c r="F1041" s="7" t="inlineStr">
        <is>
          <t>Ingrediente Ativo Principal</t>
        </is>
      </c>
      <c r="G1041" s="7" t="inlineStr">
        <is>
          <t>TRIFLOXISTROBINA 150</t>
        </is>
      </c>
      <c r="H1041" s="7" t="inlineStr">
        <is>
          <t>Methyl (E)-methoxyimino-{(E)-a-[1-(a,a,a-trifluoro-m-tolyl)ethylideneaminooxy]-o-tolyl}acetate</t>
        </is>
      </c>
      <c r="I1041" s="7" t="inlineStr">
        <is>
          <t>Estrobilurina (Oximinoacetato)</t>
        </is>
      </c>
      <c r="J1041" s="7" t="inlineStr">
        <is>
          <t>FRAC Grupo 11 (QoI)</t>
        </is>
      </c>
      <c r="K1041" s="7" t="inlineStr">
        <is>
          <t>Inibidores da respiração mitocondrial no complexo III (sítio Qo)</t>
        </is>
      </c>
      <c r="L1041" s="9" t="n">
        <v>150</v>
      </c>
      <c r="M1041" s="7" t="inlineStr">
        <is>
          <t>g/L</t>
        </is>
      </c>
      <c r="N1041" s="7" t="inlineStr">
        <is>
          <t>Registro Técnico Vinculado MAPA</t>
        </is>
      </c>
    </row>
    <row r="1042" ht="22" customHeight="1">
      <c r="A1042" s="12" t="inlineStr">
        <is>
          <t>CMP-1038</t>
        </is>
      </c>
      <c r="B1042" s="11" t="n">
        <v>764</v>
      </c>
      <c r="C1042" s="13" t="inlineStr">
        <is>
          <t>Nº 15025</t>
        </is>
      </c>
      <c r="D1042" s="14" t="inlineStr">
        <is>
          <t>PROTHIOCONAZOLE + TRIFLOXYSTROBIN</t>
        </is>
      </c>
      <c r="E1042" s="11" t="n">
        <v>2</v>
      </c>
      <c r="F1042" s="13" t="inlineStr">
        <is>
          <t>Ingrediente Ativo Principal</t>
        </is>
      </c>
      <c r="G1042" s="13" t="inlineStr">
        <is>
          <t>PROTIOCONAZOL 175</t>
        </is>
      </c>
      <c r="H1042" s="13" t="inlineStr">
        <is>
          <t>(RS)-2-[2-(1-chlorocyclopropyl)-3-(2-chlorophenyl)-2-hydroxypropyl]-2,4-dihydro-1,2,4-triazole-3-thione</t>
        </is>
      </c>
      <c r="I1042" s="13" t="inlineStr">
        <is>
          <t>Triazolinthiona</t>
        </is>
      </c>
      <c r="J1042" s="13" t="inlineStr">
        <is>
          <t>FRAC Grupo 3 (DMI)</t>
        </is>
      </c>
      <c r="K1042" s="13" t="inlineStr">
        <is>
          <t>Inibidores da desmetilação de esteróis (DMI - C14-desmetilase)</t>
        </is>
      </c>
      <c r="L1042" s="15" t="n">
        <v>175</v>
      </c>
      <c r="M1042" s="13" t="inlineStr">
        <is>
          <t>g/L</t>
        </is>
      </c>
      <c r="N1042" s="13" t="inlineStr">
        <is>
          <t>Registro Técnico Vinculado MAPA</t>
        </is>
      </c>
    </row>
    <row r="1043" ht="22" customHeight="1">
      <c r="A1043" s="6" t="inlineStr">
        <is>
          <t>CMP-1039</t>
        </is>
      </c>
      <c r="B1043" s="5" t="n">
        <v>765</v>
      </c>
      <c r="C1043" s="7" t="inlineStr">
        <is>
          <t>Nº 15025</t>
        </is>
      </c>
      <c r="D1043" s="8" t="inlineStr">
        <is>
          <t>PROTHIOCONAZOLE + TRIFLOXYSTROBIN</t>
        </is>
      </c>
      <c r="E1043" s="5" t="n">
        <v>1</v>
      </c>
      <c r="F1043" s="7" t="inlineStr">
        <is>
          <t>Ingrediente Ativo Principal</t>
        </is>
      </c>
      <c r="G1043" s="7" t="inlineStr">
        <is>
          <t>TRIFLOXISTROBINA 150</t>
        </is>
      </c>
      <c r="H1043" s="7" t="inlineStr">
        <is>
          <t>Methyl (E)-methoxyimino-{(E)-a-[1-(a,a,a-trifluoro-m-tolyl)ethylideneaminooxy]-o-tolyl}acetate</t>
        </is>
      </c>
      <c r="I1043" s="7" t="inlineStr">
        <is>
          <t>Estrobilurina (Oximinoacetato)</t>
        </is>
      </c>
      <c r="J1043" s="7" t="inlineStr">
        <is>
          <t>FRAC Grupo 11 (QoI)</t>
        </is>
      </c>
      <c r="K1043" s="7" t="inlineStr">
        <is>
          <t>Inibidores da respiração mitocondrial no complexo III (sítio Qo)</t>
        </is>
      </c>
      <c r="L1043" s="9" t="n">
        <v>150</v>
      </c>
      <c r="M1043" s="7" t="inlineStr">
        <is>
          <t>g/L</t>
        </is>
      </c>
      <c r="N1043" s="7" t="inlineStr">
        <is>
          <t>Registro Técnico Vinculado MAPA</t>
        </is>
      </c>
    </row>
    <row r="1044" ht="22" customHeight="1">
      <c r="A1044" s="12" t="inlineStr">
        <is>
          <t>CMP-1040</t>
        </is>
      </c>
      <c r="B1044" s="11" t="n">
        <v>765</v>
      </c>
      <c r="C1044" s="13" t="inlineStr">
        <is>
          <t>Nº 15025</t>
        </is>
      </c>
      <c r="D1044" s="14" t="inlineStr">
        <is>
          <t>PROTHIOCONAZOLE + TRIFLOXYSTROBIN</t>
        </is>
      </c>
      <c r="E1044" s="11" t="n">
        <v>2</v>
      </c>
      <c r="F1044" s="13" t="inlineStr">
        <is>
          <t>Ingrediente Ativo Principal</t>
        </is>
      </c>
      <c r="G1044" s="13" t="inlineStr">
        <is>
          <t>PROTIOCONAZOL 175</t>
        </is>
      </c>
      <c r="H1044" s="13" t="inlineStr">
        <is>
          <t>(RS)-2-[2-(1-chlorocyclopropyl)-3-(2-chlorophenyl)-2-hydroxypropyl]-2,4-dihydro-1,2,4-triazole-3-thione</t>
        </is>
      </c>
      <c r="I1044" s="13" t="inlineStr">
        <is>
          <t>Triazolinthiona</t>
        </is>
      </c>
      <c r="J1044" s="13" t="inlineStr">
        <is>
          <t>FRAC Grupo 3 (DMI)</t>
        </is>
      </c>
      <c r="K1044" s="13" t="inlineStr">
        <is>
          <t>Inibidores da desmetilação de esteróis (DMI - C14-desmetilase)</t>
        </is>
      </c>
      <c r="L1044" s="15" t="n">
        <v>175</v>
      </c>
      <c r="M1044" s="13" t="inlineStr">
        <is>
          <t>g/L</t>
        </is>
      </c>
      <c r="N1044" s="13" t="inlineStr">
        <is>
          <t>Registro Técnico Vinculado MAPA</t>
        </is>
      </c>
    </row>
    <row r="1045" ht="22" customHeight="1">
      <c r="A1045" s="6" t="inlineStr">
        <is>
          <t>CMP-1041</t>
        </is>
      </c>
      <c r="B1045" s="5" t="n">
        <v>766</v>
      </c>
      <c r="C1045" s="7" t="inlineStr">
        <is>
          <t>Nº 15025</t>
        </is>
      </c>
      <c r="D1045" s="8" t="inlineStr">
        <is>
          <t>PROTHIOCONAZOLE + TRIFLOXYSTROBIN</t>
        </is>
      </c>
      <c r="E1045" s="5" t="n">
        <v>1</v>
      </c>
      <c r="F1045" s="7" t="inlineStr">
        <is>
          <t>Ingrediente Ativo Principal</t>
        </is>
      </c>
      <c r="G1045" s="7" t="inlineStr">
        <is>
          <t>TRIFLOXISTROBINA 150</t>
        </is>
      </c>
      <c r="H1045" s="7" t="inlineStr">
        <is>
          <t>Methyl (E)-methoxyimino-{(E)-a-[1-(a,a,a-trifluoro-m-tolyl)ethylideneaminooxy]-o-tolyl}acetate</t>
        </is>
      </c>
      <c r="I1045" s="7" t="inlineStr">
        <is>
          <t>Estrobilurina (Oximinoacetato)</t>
        </is>
      </c>
      <c r="J1045" s="7" t="inlineStr">
        <is>
          <t>FRAC Grupo 11 (QoI)</t>
        </is>
      </c>
      <c r="K1045" s="7" t="inlineStr">
        <is>
          <t>Inibidores da respiração mitocondrial no complexo III (sítio Qo)</t>
        </is>
      </c>
      <c r="L1045" s="9" t="n">
        <v>150</v>
      </c>
      <c r="M1045" s="7" t="inlineStr">
        <is>
          <t>g/L</t>
        </is>
      </c>
      <c r="N1045" s="7" t="inlineStr">
        <is>
          <t>Registro Técnico Vinculado MAPA</t>
        </is>
      </c>
    </row>
    <row r="1046" ht="22" customHeight="1">
      <c r="A1046" s="12" t="inlineStr">
        <is>
          <t>CMP-1042</t>
        </is>
      </c>
      <c r="B1046" s="11" t="n">
        <v>766</v>
      </c>
      <c r="C1046" s="13" t="inlineStr">
        <is>
          <t>Nº 15025</t>
        </is>
      </c>
      <c r="D1046" s="14" t="inlineStr">
        <is>
          <t>PROTHIOCONAZOLE + TRIFLOXYSTROBIN</t>
        </is>
      </c>
      <c r="E1046" s="11" t="n">
        <v>2</v>
      </c>
      <c r="F1046" s="13" t="inlineStr">
        <is>
          <t>Ingrediente Ativo Principal</t>
        </is>
      </c>
      <c r="G1046" s="13" t="inlineStr">
        <is>
          <t>PROTIOCONAZOL 175</t>
        </is>
      </c>
      <c r="H1046" s="13" t="inlineStr">
        <is>
          <t>(RS)-2-[2-(1-chlorocyclopropyl)-3-(2-chlorophenyl)-2-hydroxypropyl]-2,4-dihydro-1,2,4-triazole-3-thione</t>
        </is>
      </c>
      <c r="I1046" s="13" t="inlineStr">
        <is>
          <t>Triazolinthiona</t>
        </is>
      </c>
      <c r="J1046" s="13" t="inlineStr">
        <is>
          <t>FRAC Grupo 3 (DMI)</t>
        </is>
      </c>
      <c r="K1046" s="13" t="inlineStr">
        <is>
          <t>Inibidores da desmetilação de esteróis (DMI - C14-desmetilase)</t>
        </is>
      </c>
      <c r="L1046" s="15" t="n">
        <v>175</v>
      </c>
      <c r="M1046" s="13" t="inlineStr">
        <is>
          <t>g/L</t>
        </is>
      </c>
      <c r="N1046" s="13" t="inlineStr">
        <is>
          <t>Registro Técnico Vinculado MAPA</t>
        </is>
      </c>
    </row>
    <row r="1047" ht="22" customHeight="1">
      <c r="A1047" s="6" t="inlineStr">
        <is>
          <t>CMP-1043</t>
        </is>
      </c>
      <c r="B1047" s="5" t="n">
        <v>767</v>
      </c>
      <c r="C1047" s="7" t="inlineStr">
        <is>
          <t>Nº 15025</t>
        </is>
      </c>
      <c r="D1047" s="8" t="inlineStr">
        <is>
          <t>PROTHIOCONAZOLE + TRIFLOXYSTROBIN</t>
        </is>
      </c>
      <c r="E1047" s="5" t="n">
        <v>1</v>
      </c>
      <c r="F1047" s="7" t="inlineStr">
        <is>
          <t>Ingrediente Ativo Principal</t>
        </is>
      </c>
      <c r="G1047" s="7" t="inlineStr">
        <is>
          <t>TRIFLOXISTROBINA 150</t>
        </is>
      </c>
      <c r="H1047" s="7" t="inlineStr">
        <is>
          <t>Methyl (E)-methoxyimino-{(E)-a-[1-(a,a,a-trifluoro-m-tolyl)ethylideneaminooxy]-o-tolyl}acetate</t>
        </is>
      </c>
      <c r="I1047" s="7" t="inlineStr">
        <is>
          <t>Estrobilurina (Oximinoacetato)</t>
        </is>
      </c>
      <c r="J1047" s="7" t="inlineStr">
        <is>
          <t>FRAC Grupo 11 (QoI)</t>
        </is>
      </c>
      <c r="K1047" s="7" t="inlineStr">
        <is>
          <t>Inibidores da respiração mitocondrial no complexo III (sítio Qo)</t>
        </is>
      </c>
      <c r="L1047" s="9" t="n">
        <v>150</v>
      </c>
      <c r="M1047" s="7" t="inlineStr">
        <is>
          <t>g/L</t>
        </is>
      </c>
      <c r="N1047" s="7" t="inlineStr">
        <is>
          <t>Registro Técnico Vinculado MAPA</t>
        </is>
      </c>
    </row>
    <row r="1048" ht="22" customHeight="1">
      <c r="A1048" s="12" t="inlineStr">
        <is>
          <t>CMP-1044</t>
        </is>
      </c>
      <c r="B1048" s="11" t="n">
        <v>767</v>
      </c>
      <c r="C1048" s="13" t="inlineStr">
        <is>
          <t>Nº 15025</t>
        </is>
      </c>
      <c r="D1048" s="14" t="inlineStr">
        <is>
          <t>PROTHIOCONAZOLE + TRIFLOXYSTROBIN</t>
        </is>
      </c>
      <c r="E1048" s="11" t="n">
        <v>2</v>
      </c>
      <c r="F1048" s="13" t="inlineStr">
        <is>
          <t>Ingrediente Ativo Principal</t>
        </is>
      </c>
      <c r="G1048" s="13" t="inlineStr">
        <is>
          <t>PROTIOCONAZOL 175</t>
        </is>
      </c>
      <c r="H1048" s="13" t="inlineStr">
        <is>
          <t>(RS)-2-[2-(1-chlorocyclopropyl)-3-(2-chlorophenyl)-2-hydroxypropyl]-2,4-dihydro-1,2,4-triazole-3-thione</t>
        </is>
      </c>
      <c r="I1048" s="13" t="inlineStr">
        <is>
          <t>Triazolinthiona</t>
        </is>
      </c>
      <c r="J1048" s="13" t="inlineStr">
        <is>
          <t>FRAC Grupo 3 (DMI)</t>
        </is>
      </c>
      <c r="K1048" s="13" t="inlineStr">
        <is>
          <t>Inibidores da desmetilação de esteróis (DMI - C14-desmetilase)</t>
        </is>
      </c>
      <c r="L1048" s="15" t="n">
        <v>175</v>
      </c>
      <c r="M1048" s="13" t="inlineStr">
        <is>
          <t>g/L</t>
        </is>
      </c>
      <c r="N1048" s="13" t="inlineStr">
        <is>
          <t>Registro Técnico Vinculado MAPA</t>
        </is>
      </c>
    </row>
    <row r="1049" ht="22" customHeight="1">
      <c r="A1049" s="6" t="inlineStr">
        <is>
          <t>CMP-1045</t>
        </is>
      </c>
      <c r="B1049" s="5" t="n">
        <v>768</v>
      </c>
      <c r="C1049" s="7" t="inlineStr">
        <is>
          <t>Nº 15623</t>
        </is>
      </c>
      <c r="D1049" s="8" t="inlineStr">
        <is>
          <t>FLUMIOXAZINA 500 (PRINCIPIO ATIVO)</t>
        </is>
      </c>
      <c r="E1049" s="5" t="n">
        <v>1</v>
      </c>
      <c r="F1049" s="7" t="inlineStr">
        <is>
          <t>Ingrediente Ativo Principal</t>
        </is>
      </c>
      <c r="G1049" s="7" t="inlineStr">
        <is>
          <t>FLUMIOXAZINA 500</t>
        </is>
      </c>
      <c r="H1049" s="7" t="inlineStr">
        <is>
          <t>N-(7-fluoro-3,4-dihydro-3-oxo-4-prop-2-ynyl-2H-1,4-benzoxazin-6-yl)cyclohex-1-ene-1,2-dicarboximide</t>
        </is>
      </c>
      <c r="I1049" s="7" t="inlineStr">
        <is>
          <t>N-fenilftalimida</t>
        </is>
      </c>
      <c r="J1049" s="7" t="inlineStr">
        <is>
          <t>HRAC Grupo E (14) — Inibidores da PROTOX</t>
        </is>
      </c>
      <c r="K1049" s="7" t="inlineStr">
        <is>
          <t>Inibidores da enzima protoporfirinogênio oxidase (PROTOX)</t>
        </is>
      </c>
      <c r="L1049" s="9" t="n">
        <v>500</v>
      </c>
      <c r="M1049" s="7" t="inlineStr">
        <is>
          <t>g/kg</t>
        </is>
      </c>
      <c r="N1049" s="7" t="inlineStr">
        <is>
          <t>Produto Técnico Próprio</t>
        </is>
      </c>
    </row>
    <row r="1050" ht="22" customHeight="1">
      <c r="A1050" s="12" t="inlineStr">
        <is>
          <t>CMP-1046</t>
        </is>
      </c>
      <c r="B1050" s="11" t="n">
        <v>769</v>
      </c>
      <c r="C1050" s="13" t="inlineStr">
        <is>
          <t>Nº 2520</t>
        </is>
      </c>
      <c r="D1050" s="14" t="inlineStr">
        <is>
          <t>SURVEY 250 FS</t>
        </is>
      </c>
      <c r="E1050" s="11" t="n">
        <v>1</v>
      </c>
      <c r="F1050" s="13" t="inlineStr">
        <is>
          <t>Ingrediente Ativo Principal</t>
        </is>
      </c>
      <c r="G1050" s="13" t="inlineStr">
        <is>
          <t>FIPRONIL 250</t>
        </is>
      </c>
      <c r="H1050" s="13" t="inlineStr">
        <is>
          <t>(RS)-5-amino-1-(2,6-dichloro-a,a,a-trifluoro-p-tolyl)-4-trifluoromethylsulfinylpyrazole-3-carbonitrile</t>
        </is>
      </c>
      <c r="I1050" s="13" t="inlineStr">
        <is>
          <t>Pirazol (Fenilpirazol)</t>
        </is>
      </c>
      <c r="J1050" s="13" t="inlineStr">
        <is>
          <t>IRAC Grupo 2B</t>
        </is>
      </c>
      <c r="K1050" s="13" t="inlineStr">
        <is>
          <t>Bloqueadores de canais de cloro mediados pelo GABA</t>
        </is>
      </c>
      <c r="L1050" s="15" t="n">
        <v>250</v>
      </c>
      <c r="M1050" s="13" t="inlineStr">
        <is>
          <t>g/L</t>
        </is>
      </c>
      <c r="N1050" s="13" t="inlineStr">
        <is>
          <t>Registro Técnico Vinculado MAPA</t>
        </is>
      </c>
    </row>
    <row r="1051" ht="22" customHeight="1">
      <c r="A1051" s="6" t="inlineStr">
        <is>
          <t>CMP-1047</t>
        </is>
      </c>
      <c r="B1051" s="5" t="n">
        <v>770</v>
      </c>
      <c r="C1051" s="7" t="inlineStr">
        <is>
          <t>SIPEAGRO (UF-XXXXX)</t>
        </is>
      </c>
      <c r="D1051" s="8" t="inlineStr">
        <is>
          <t>ADUBO SUPER TRIPLO 00-46-00 FERT. MIN - IMPACTPVA</t>
        </is>
      </c>
      <c r="E1051" s="5" t="n">
        <v>1</v>
      </c>
      <c r="F1051" s="7" t="inlineStr">
        <is>
          <t>Nutriente Garantido</t>
        </is>
      </c>
      <c r="G1051" s="7" t="inlineStr">
        <is>
          <t>P2O5 SOLÚVEL EM CNA + H2O (46% P2O5)</t>
        </is>
      </c>
      <c r="H1051" s="7" t="inlineStr">
        <is>
          <t>Composição Nutricional Oficial (P2O5 sol. CNA)</t>
        </is>
      </c>
      <c r="I1051" s="7" t="inlineStr">
        <is>
          <t>Fertilizante Mineral / Organomineral (Lei nº 6.894/1980)</t>
        </is>
      </c>
      <c r="J1051" s="7" t="inlineStr">
        <is>
          <t>Nutrição Vegetal SIPEAGRO</t>
        </is>
      </c>
      <c r="K1051" s="7" t="inlineStr">
        <is>
          <t>Fornecimento de macro e micronutrientes essenciais ao metabolismo vegetal</t>
        </is>
      </c>
      <c r="L1051" s="9" t="n">
        <v>46</v>
      </c>
      <c r="M1051" s="7" t="inlineStr">
        <is>
          <t>% m/m</t>
        </is>
      </c>
      <c r="N1051" s="7" t="inlineStr">
        <is>
          <t>Registro Técnico Vinculado MAPA</t>
        </is>
      </c>
    </row>
    <row r="1052" ht="22" customHeight="1">
      <c r="A1052" s="12" t="inlineStr">
        <is>
          <t>CMP-1048</t>
        </is>
      </c>
      <c r="B1052" s="11" t="n">
        <v>770</v>
      </c>
      <c r="C1052" s="13" t="inlineStr">
        <is>
          <t>SIPEAGRO (UF-XXXXX)</t>
        </is>
      </c>
      <c r="D1052" s="14" t="inlineStr">
        <is>
          <t>ADUBO SUPER TRIPLO 00-46-00 FERT. MIN - IMPACTPVA</t>
        </is>
      </c>
      <c r="E1052" s="11" t="n">
        <v>2</v>
      </c>
      <c r="F1052" s="13" t="inlineStr">
        <is>
          <t>Nutriente Garantido</t>
        </is>
      </c>
      <c r="G1052" s="13" t="inlineStr">
        <is>
          <t>CÁLCIO TOTAL (12% Ca)</t>
        </is>
      </c>
      <c r="H1052" s="13" t="inlineStr">
        <is>
          <t>Composição Nutricional Oficial (H2O)</t>
        </is>
      </c>
      <c r="I1052" s="13" t="inlineStr">
        <is>
          <t>Fertilizante Mineral / Organomineral (Lei nº 6.894/1980)</t>
        </is>
      </c>
      <c r="J1052" s="13" t="inlineStr">
        <is>
          <t>Nutrição Vegetal SIPEAGRO</t>
        </is>
      </c>
      <c r="K1052" s="13" t="inlineStr">
        <is>
          <t>Fornecimento de macro e micronutrientes essenciais ao metabolismo vegetal</t>
        </is>
      </c>
      <c r="L1052" s="15" t="n">
        <v>12</v>
      </c>
      <c r="M1052" s="13" t="inlineStr">
        <is>
          <t>% m/m</t>
        </is>
      </c>
      <c r="N1052" s="13" t="inlineStr">
        <is>
          <t>Registro Técnico Vinculado MAPA</t>
        </is>
      </c>
    </row>
    <row r="1053" ht="22" customHeight="1">
      <c r="A1053" s="6" t="inlineStr">
        <is>
          <t>CMP-1049</t>
        </is>
      </c>
      <c r="B1053" s="5" t="n">
        <v>771</v>
      </c>
      <c r="C1053" s="7" t="inlineStr">
        <is>
          <t>Nº 40624</t>
        </is>
      </c>
      <c r="D1053" s="8" t="inlineStr">
        <is>
          <t>SHARK</t>
        </is>
      </c>
      <c r="E1053" s="5" t="n">
        <v>1</v>
      </c>
      <c r="F1053" s="7" t="inlineStr">
        <is>
          <t>Ingrediente Ativo Principal</t>
        </is>
      </c>
      <c r="G1053" s="7" t="inlineStr">
        <is>
          <t>CLORPIRIFOS 480</t>
        </is>
      </c>
      <c r="H1053" s="7" t="inlineStr">
        <is>
          <t>O,O-diethyl O-3,5,6-trichloro-2-pyridyl phosphorothioate</t>
        </is>
      </c>
      <c r="I1053" s="7" t="inlineStr">
        <is>
          <t>Organofosforado</t>
        </is>
      </c>
      <c r="J1053" s="7" t="inlineStr">
        <is>
          <t>IRAC Grupo 1B</t>
        </is>
      </c>
      <c r="K1053" s="7" t="inlineStr">
        <is>
          <t>Inibidores da acetilcolinesterase (AChE)</t>
        </is>
      </c>
      <c r="L1053" s="9" t="n">
        <v>480</v>
      </c>
      <c r="M1053" s="7" t="inlineStr">
        <is>
          <t>g/L</t>
        </is>
      </c>
      <c r="N1053" s="7" t="inlineStr">
        <is>
          <t>Registro Técnico Vinculado MAPA</t>
        </is>
      </c>
    </row>
    <row r="1054" ht="22" customHeight="1">
      <c r="A1054" s="12" t="inlineStr">
        <is>
          <t>CMP-1050</t>
        </is>
      </c>
      <c r="B1054" s="11" t="n">
        <v>772</v>
      </c>
      <c r="C1054" s="13" t="inlineStr">
        <is>
          <t>Nº 14623</t>
        </is>
      </c>
      <c r="D1054" s="14" t="inlineStr">
        <is>
          <t>METSULFUROM ULTRA 50X0,1KG (IMP) JA (VALIDAR)</t>
        </is>
      </c>
      <c r="E1054" s="11" t="n">
        <v>1</v>
      </c>
      <c r="F1054" s="13" t="inlineStr">
        <is>
          <t>Ingrediente Ativo Principal</t>
        </is>
      </c>
      <c r="G1054" s="13" t="inlineStr">
        <is>
          <t>METSULFUROM-METÍLICO</t>
        </is>
      </c>
      <c r="H1054" s="13" t="inlineStr">
        <is>
          <t>Methyl 2-(4-methoxy-6-methyl-1,3,5-triazin-2-ylcarbamoylsulfamoyl)benzoate</t>
        </is>
      </c>
      <c r="I1054" s="13" t="inlineStr">
        <is>
          <t>Sulfonilureia</t>
        </is>
      </c>
      <c r="J1054" s="13" t="inlineStr">
        <is>
          <t>HRAC Grupo B (2) — Inibidores da ALS</t>
        </is>
      </c>
      <c r="K1054" s="13" t="inlineStr">
        <is>
          <t>Inibição da enzima acetolactato sintase (ALS / AHAS)</t>
        </is>
      </c>
      <c r="L1054" s="15" t="n">
        <v>600</v>
      </c>
      <c r="M1054" s="13" t="inlineStr">
        <is>
          <t>g/kg</t>
        </is>
      </c>
      <c r="N1054" s="13" t="inlineStr">
        <is>
          <t>Metsulfuron-Methyl Técnico Vinculado MAPA</t>
        </is>
      </c>
    </row>
    <row r="1055" ht="22" customHeight="1">
      <c r="A1055" s="6" t="inlineStr">
        <is>
          <t>CMP-1051</t>
        </is>
      </c>
      <c r="B1055" s="5" t="n">
        <v>773</v>
      </c>
      <c r="C1055" s="7" t="inlineStr">
        <is>
          <t>Nº 1838604</t>
        </is>
      </c>
      <c r="D1055" s="8" t="inlineStr">
        <is>
          <t>OXYFLUORFEN 240 EC PROVENTIS</t>
        </is>
      </c>
      <c r="E1055" s="5" t="n">
        <v>1</v>
      </c>
      <c r="F1055" s="7" t="inlineStr">
        <is>
          <t>Ingrediente Ativo Principal</t>
        </is>
      </c>
      <c r="G1055" s="7" t="inlineStr">
        <is>
          <t>OXIFLUORFEM 240</t>
        </is>
      </c>
      <c r="H1055" s="7" t="inlineStr">
        <is>
          <t>2-chloro-alpha,alpha,alpha-trifluoro-p-tolyl 3-ethoxy-4-nitrophenyl ether</t>
        </is>
      </c>
      <c r="I1055" s="7" t="inlineStr">
        <is>
          <t>Éter Difenílico</t>
        </is>
      </c>
      <c r="J1055" s="7" t="inlineStr">
        <is>
          <t>HRAC Grupo E (14) — Inibidores da PROTOX</t>
        </is>
      </c>
      <c r="K1055" s="7" t="inlineStr">
        <is>
          <t>Inibição da enzima protoporfirinogênio oxidase (PROTOX / PPO)</t>
        </is>
      </c>
      <c r="L1055" s="9" t="n">
        <v>240</v>
      </c>
      <c r="M1055" s="7" t="inlineStr">
        <is>
          <t>g/L</t>
        </is>
      </c>
      <c r="N1055" s="7" t="inlineStr">
        <is>
          <t>Registro Técnico Vinculado MAPA</t>
        </is>
      </c>
    </row>
    <row r="1056" ht="22" customHeight="1">
      <c r="A1056" s="12" t="inlineStr">
        <is>
          <t>CMP-1052</t>
        </is>
      </c>
      <c r="B1056" s="11" t="n">
        <v>774</v>
      </c>
      <c r="C1056" s="13" t="inlineStr">
        <is>
          <t>Nº 47125</t>
        </is>
      </c>
      <c r="D1056" s="14" t="inlineStr">
        <is>
          <t>CHLORFENAPYR</t>
        </is>
      </c>
      <c r="E1056" s="11" t="n">
        <v>1</v>
      </c>
      <c r="F1056" s="13" t="inlineStr">
        <is>
          <t>Ingrediente Ativo Principal</t>
        </is>
      </c>
      <c r="G1056" s="13" t="inlineStr">
        <is>
          <t>CLORFENAPIR 240</t>
        </is>
      </c>
      <c r="H1056" s="13" t="inlineStr">
        <is>
          <t>4-bromo-2-(4-chlorophenyl)-1-ethoxymethyl-5-trifluoromethyl-1H-pyrrole-3-carbonitrile</t>
        </is>
      </c>
      <c r="I1056" s="13" t="inlineStr">
        <is>
          <t>Análogo de pirazol (Arilpirrol)</t>
        </is>
      </c>
      <c r="J1056" s="13" t="inlineStr">
        <is>
          <t>IRAC Grupo 13</t>
        </is>
      </c>
      <c r="K1056" s="13" t="inlineStr">
        <is>
          <t>Desacopladores da fosforilação oxidativa via disrupção do gradiente de prótons</t>
        </is>
      </c>
      <c r="L1056" s="15" t="n">
        <v>240</v>
      </c>
      <c r="M1056" s="13" t="inlineStr">
        <is>
          <t>g/L</t>
        </is>
      </c>
      <c r="N1056" s="13" t="inlineStr">
        <is>
          <t>Registro Técnico Vinculado MAPA</t>
        </is>
      </c>
    </row>
    <row r="1057" ht="22" customHeight="1">
      <c r="A1057" s="6" t="inlineStr">
        <is>
          <t>CMP-1053</t>
        </is>
      </c>
      <c r="B1057" s="5" t="n">
        <v>775</v>
      </c>
      <c r="C1057" s="7" t="inlineStr">
        <is>
          <t>Nº 5725</t>
        </is>
      </c>
      <c r="D1057" s="8" t="inlineStr">
        <is>
          <t>ESIFON FULL</t>
        </is>
      </c>
      <c r="E1057" s="5" t="n">
        <v>1</v>
      </c>
      <c r="F1057" s="7" t="inlineStr">
        <is>
          <t>Ingrediente Ativo Principal</t>
        </is>
      </c>
      <c r="G1057" s="7" t="inlineStr">
        <is>
          <t>ETEFOM</t>
        </is>
      </c>
      <c r="H1057" s="7" t="inlineStr">
        <is>
          <t>2-chloroethylphosphonic acid</t>
        </is>
      </c>
      <c r="I1057" s="7" t="inlineStr">
        <is>
          <t>Ácido Fosfônico (Gerador de Etileno)</t>
        </is>
      </c>
      <c r="J1057" s="7" t="inlineStr">
        <is>
          <t>Regulador de Crescimento Vegetal (Precursor de Etileno)</t>
        </is>
      </c>
      <c r="K1057" s="7" t="inlineStr">
        <is>
          <t>Liberação de etileno nos tecidos vegetais (maturação e desfolha)</t>
        </is>
      </c>
      <c r="L1057" s="9" t="n">
        <v>720</v>
      </c>
      <c r="M1057" s="7" t="inlineStr">
        <is>
          <t>g/L</t>
        </is>
      </c>
      <c r="N1057" s="7" t="inlineStr">
        <is>
          <t>Ethephon Técnico Rainbow</t>
        </is>
      </c>
    </row>
    <row r="1058" ht="22" customHeight="1">
      <c r="A1058" s="12" t="inlineStr">
        <is>
          <t>CMP-1054</t>
        </is>
      </c>
      <c r="B1058" s="11" t="n">
        <v>776</v>
      </c>
      <c r="C1058" s="13" t="inlineStr">
        <is>
          <t>Nº 14623</t>
        </is>
      </c>
      <c r="D1058" s="14" t="inlineStr">
        <is>
          <t>MILHA</t>
        </is>
      </c>
      <c r="E1058" s="11" t="n">
        <v>1</v>
      </c>
      <c r="F1058" s="13" t="inlineStr">
        <is>
          <t>Ingrediente Ativo Principal</t>
        </is>
      </c>
      <c r="G1058" s="13" t="inlineStr">
        <is>
          <t>METSULFUROM-METÍLICO</t>
        </is>
      </c>
      <c r="H1058" s="13" t="inlineStr">
        <is>
          <t>Methyl 2-(4-methoxy-6-methyl-1,3,5-triazin-2-ylcarbamoylsulfamoyl)benzoate</t>
        </is>
      </c>
      <c r="I1058" s="13" t="inlineStr">
        <is>
          <t>Sulfonilureia</t>
        </is>
      </c>
      <c r="J1058" s="13" t="inlineStr">
        <is>
          <t>HRAC Grupo B (2) — Inibidores da ALS</t>
        </is>
      </c>
      <c r="K1058" s="13" t="inlineStr">
        <is>
          <t>Inibição da enzima acetolactato sintase (ALS / AHAS)</t>
        </is>
      </c>
      <c r="L1058" s="15" t="n">
        <v>600</v>
      </c>
      <c r="M1058" s="13" t="inlineStr">
        <is>
          <t>g/kg</t>
        </is>
      </c>
      <c r="N1058" s="13" t="inlineStr">
        <is>
          <t>Metsulfuron-Methyl Técnico Vinculado MAPA</t>
        </is>
      </c>
    </row>
    <row r="1059" ht="22" customHeight="1">
      <c r="A1059" s="6" t="inlineStr">
        <is>
          <t>CMP-1055</t>
        </is>
      </c>
      <c r="B1059" s="5" t="n">
        <v>777</v>
      </c>
      <c r="C1059" s="7" t="inlineStr">
        <is>
          <t>VINCULAR MARCA</t>
        </is>
      </c>
      <c r="D1059" s="8" t="inlineStr">
        <is>
          <t>FLUMIOXAZINA 480 (PRINCIPIO ATIVO)</t>
        </is>
      </c>
      <c r="E1059" s="5" t="n">
        <v>1</v>
      </c>
      <c r="F1059" s="7" t="inlineStr">
        <is>
          <t>Ingrediente Ativo Principal</t>
        </is>
      </c>
      <c r="G1059" s="7" t="inlineStr">
        <is>
          <t>FLUMIOXAZINA 480</t>
        </is>
      </c>
      <c r="H1059" s="7" t="inlineStr">
        <is>
          <t>N-(7-fluoro-3,4-dihydro-3-oxo-4-prop-2-ynyl-2H-1,4-benzoxazin-6-yl)cyclohex-1-ene-1,2-dicarboximide</t>
        </is>
      </c>
      <c r="I1059" s="7" t="inlineStr">
        <is>
          <t>N-fenilftalimida</t>
        </is>
      </c>
      <c r="J1059" s="7" t="inlineStr">
        <is>
          <t>HRAC Grupo E (14) — Inibidores da PROTOX</t>
        </is>
      </c>
      <c r="K1059" s="7" t="inlineStr">
        <is>
          <t>Inibidores da enzima protoporfirinogênio oxidase (PROTOX)</t>
        </is>
      </c>
      <c r="L1059" s="9" t="n">
        <v>480</v>
      </c>
      <c r="M1059" s="7" t="inlineStr">
        <is>
          <t>g/kg</t>
        </is>
      </c>
      <c r="N1059" s="7" t="inlineStr">
        <is>
          <t>Produto Técnico Próprio</t>
        </is>
      </c>
    </row>
    <row r="1060" ht="22" customHeight="1">
      <c r="A1060" s="12" t="inlineStr">
        <is>
          <t>CMP-1056</t>
        </is>
      </c>
      <c r="B1060" s="11" t="n">
        <v>778</v>
      </c>
      <c r="C1060" s="13" t="inlineStr">
        <is>
          <t>SIPEAGRO (UF-XXXXX)</t>
        </is>
      </c>
      <c r="D1060" s="14" t="inlineStr">
        <is>
          <t>KCL VERMELHO 60% K2O - JBS</t>
        </is>
      </c>
      <c r="E1060" s="11" t="n">
        <v>1</v>
      </c>
      <c r="F1060" s="13" t="inlineStr">
        <is>
          <t>Nutriente Garantido</t>
        </is>
      </c>
      <c r="G1060" s="13" t="inlineStr">
        <is>
          <t>FERTILIZANTES</t>
        </is>
      </c>
      <c r="H1060" s="13" t="inlineStr">
        <is>
          <t>Composição Nutricional Oficial (FERTILIZANTES)</t>
        </is>
      </c>
      <c r="I1060" s="13" t="inlineStr">
        <is>
          <t>Fertilizante Mineral / Organomineral (Lei nº 6.894/1980)</t>
        </is>
      </c>
      <c r="J1060" s="13" t="inlineStr">
        <is>
          <t>Nutrição Vegetal SIPEAGRO</t>
        </is>
      </c>
      <c r="K1060" s="13" t="inlineStr">
        <is>
          <t>Fornecimento de macro e micronutrientes essenciais ao metabolismo vegetal</t>
        </is>
      </c>
      <c r="L1060" s="15" t="n">
        <v>100</v>
      </c>
      <c r="M1060" s="13" t="inlineStr">
        <is>
          <t>% m/m</t>
        </is>
      </c>
      <c r="N1060" s="13" t="inlineStr">
        <is>
          <t>Registro Técnico Vinculado MAPA</t>
        </is>
      </c>
    </row>
    <row r="1061" ht="22" customHeight="1">
      <c r="A1061" s="6" t="inlineStr">
        <is>
          <t>CMP-1057</t>
        </is>
      </c>
      <c r="B1061" s="5" t="n">
        <v>779</v>
      </c>
      <c r="C1061" s="7" t="inlineStr">
        <is>
          <t>Nº 25224</t>
        </is>
      </c>
      <c r="D1061" s="8" t="inlineStr">
        <is>
          <t>CLETODIM 240 EC BRILLIANCE 0,2L AMOSTRA (IMP) GB</t>
        </is>
      </c>
      <c r="E1061" s="5" t="n">
        <v>1</v>
      </c>
      <c r="F1061" s="7" t="inlineStr">
        <is>
          <t>Ingrediente Ativo Principal</t>
        </is>
      </c>
      <c r="G1061" s="7" t="inlineStr">
        <is>
          <t>CLETODIM 240</t>
        </is>
      </c>
      <c r="H1061" s="7" t="inlineStr">
        <is>
          <t>(RS)-2-[(E)-1-[(E)-3-chloroallyloxyimino]propyl]-5-[2-(ethylthio)propyl]-3-hydroxycyclohex-2-en-1-one</t>
        </is>
      </c>
      <c r="I1061" s="7" t="inlineStr">
        <is>
          <t>Oxima ciclohexanodiona (DIM)</t>
        </is>
      </c>
      <c r="J1061" s="7" t="inlineStr">
        <is>
          <t>HRAC Grupo A (1) — Inibidores da ACCase</t>
        </is>
      </c>
      <c r="K1061" s="7" t="inlineStr">
        <is>
          <t>Inibidores da Acetil CoA Carboxilase (ACCase)</t>
        </is>
      </c>
      <c r="L1061" s="9" t="n">
        <v>240</v>
      </c>
      <c r="M1061" s="7" t="inlineStr">
        <is>
          <t>g/L</t>
        </is>
      </c>
      <c r="N1061" s="7" t="inlineStr">
        <is>
          <t>Registro Técnico Vinculado MAPA</t>
        </is>
      </c>
    </row>
    <row r="1062" ht="22" customHeight="1">
      <c r="A1062" s="12" t="inlineStr">
        <is>
          <t>CMP-1058</t>
        </is>
      </c>
      <c r="B1062" s="11" t="n">
        <v>780</v>
      </c>
      <c r="C1062" s="13" t="inlineStr">
        <is>
          <t>Nº 26820</t>
        </is>
      </c>
      <c r="D1062" s="14" t="inlineStr">
        <is>
          <t>CRUZARO 480 EC 0,2L AMOSTRA (IMP) GL</t>
        </is>
      </c>
      <c r="E1062" s="11" t="n">
        <v>1</v>
      </c>
      <c r="F1062" s="13" t="inlineStr">
        <is>
          <t>Ingrediente Ativo Principal</t>
        </is>
      </c>
      <c r="G1062" s="13" t="inlineStr">
        <is>
          <t>TRICLOPIR-BUTOTÍLICO 667 g/L (Equiv. 480 g/L Triclopir Ácido)</t>
        </is>
      </c>
      <c r="H1062" s="13" t="inlineStr">
        <is>
          <t>2-butoxyethyl [(3,5,6-trichloro-2-pyridinyl)oxy]acetate (Triclopir-butotílico)</t>
        </is>
      </c>
      <c r="I1062" s="13" t="inlineStr">
        <is>
          <t>Ácido piridiniloxialcanoico</t>
        </is>
      </c>
      <c r="J1062" s="13" t="inlineStr">
        <is>
          <t>HRAC Grupo O (4) — Auxinas Sintéticas</t>
        </is>
      </c>
      <c r="K1062" s="13" t="inlineStr">
        <is>
          <t>Mimetizadores da auxina (crescimento desordenado e epinastia)</t>
        </is>
      </c>
      <c r="L1062" s="15" t="n">
        <v>480</v>
      </c>
      <c r="M1062" s="13" t="inlineStr">
        <is>
          <t>g/L</t>
        </is>
      </c>
      <c r="N1062" s="13" t="inlineStr">
        <is>
          <t>Registro Técnico Vinculado MAPA</t>
        </is>
      </c>
    </row>
    <row r="1063" ht="22" customHeight="1">
      <c r="A1063" s="6" t="inlineStr">
        <is>
          <t>CMP-1059</t>
        </is>
      </c>
      <c r="B1063" s="5" t="n">
        <v>781</v>
      </c>
      <c r="C1063" s="7" t="inlineStr">
        <is>
          <t>Nº 40024</t>
        </is>
      </c>
      <c r="D1063" s="8" t="inlineStr">
        <is>
          <t>FOLICRON</t>
        </is>
      </c>
      <c r="E1063" s="5" t="n">
        <v>1</v>
      </c>
      <c r="F1063" s="7" t="inlineStr">
        <is>
          <t>Ingrediente Ativo Principal</t>
        </is>
      </c>
      <c r="G1063" s="7" t="inlineStr">
        <is>
          <t>CIPROCONAZOL 80</t>
        </is>
      </c>
      <c r="H1063" s="7" t="inlineStr">
        <is>
          <t>(2RS,3RS;2RS,3SR)-2-(4-chlorophenyl)-3-cyclopropyl-1-(1H-1,2,4-triazol-1-yl)butan-2-ol</t>
        </is>
      </c>
      <c r="I1063" s="7" t="inlineStr">
        <is>
          <t>Triazol</t>
        </is>
      </c>
      <c r="J1063" s="7" t="inlineStr">
        <is>
          <t>FRAC Grupo 3 (G1 — DMI)</t>
        </is>
      </c>
      <c r="K1063" s="7" t="inlineStr">
        <is>
          <t>Inibidores da desmetilação do C14 na biossíntese do ergosterol</t>
        </is>
      </c>
      <c r="L1063" s="9" t="n">
        <v>80</v>
      </c>
      <c r="M1063" s="7" t="inlineStr">
        <is>
          <t>g/L</t>
        </is>
      </c>
      <c r="N1063" s="7" t="inlineStr">
        <is>
          <t>Registro Técnico Vinculado MAPA</t>
        </is>
      </c>
    </row>
    <row r="1064" ht="22" customHeight="1">
      <c r="A1064" s="12" t="inlineStr">
        <is>
          <t>CMP-1060</t>
        </is>
      </c>
      <c r="B1064" s="11" t="n">
        <v>781</v>
      </c>
      <c r="C1064" s="13" t="inlineStr">
        <is>
          <t>Nº 40024</t>
        </is>
      </c>
      <c r="D1064" s="14" t="inlineStr">
        <is>
          <t>FOLICRON</t>
        </is>
      </c>
      <c r="E1064" s="11" t="n">
        <v>2</v>
      </c>
      <c r="F1064" s="13" t="inlineStr">
        <is>
          <t>Ingrediente Ativo Principal</t>
        </is>
      </c>
      <c r="G1064" s="13" t="inlineStr">
        <is>
          <t>PICOXISTROBINA 200</t>
        </is>
      </c>
      <c r="H1064" s="13" t="inlineStr">
        <is>
          <t>Methyl (E)-3-methoxy-2-{2-[6-(trifluoromethyl)-2-pyridyloxymethyl]phenyl}acrylate</t>
        </is>
      </c>
      <c r="I1064" s="13" t="inlineStr">
        <is>
          <t>Estrobilurina (Metoxiacrilato)</t>
        </is>
      </c>
      <c r="J1064" s="13" t="inlineStr">
        <is>
          <t>FRAC Grupo 11 (C3 — QoI)</t>
        </is>
      </c>
      <c r="K1064" s="13" t="inlineStr">
        <is>
          <t>Inibidores da respiração mitocondrial no Complexo III (sítio Qo)</t>
        </is>
      </c>
      <c r="L1064" s="15" t="n">
        <v>200</v>
      </c>
      <c r="M1064" s="13" t="inlineStr">
        <is>
          <t>g/L</t>
        </is>
      </c>
      <c r="N1064" s="13" t="inlineStr">
        <is>
          <t>Registro Técnico Vinculado MAPA</t>
        </is>
      </c>
    </row>
    <row r="1065" ht="22" customHeight="1">
      <c r="A1065" s="6" t="inlineStr">
        <is>
          <t>CMP-1061</t>
        </is>
      </c>
      <c r="B1065" s="5" t="n">
        <v>782</v>
      </c>
      <c r="C1065" s="7" t="inlineStr">
        <is>
          <t>Nº 11325</t>
        </is>
      </c>
      <c r="D1065" s="8" t="inlineStr">
        <is>
          <t>VISTARA</t>
        </is>
      </c>
      <c r="E1065" s="5" t="n">
        <v>1</v>
      </c>
      <c r="F1065" s="7" t="inlineStr">
        <is>
          <t>Ingrediente Ativo Principal</t>
        </is>
      </c>
      <c r="G1065" s="7" t="inlineStr">
        <is>
          <t>PIRACLOSTROBINA 133</t>
        </is>
      </c>
      <c r="H1065" s="7" t="inlineStr">
        <is>
          <t>Methyl N-{2-[1-(4-chlorophenyl)-1H-pyrazol-3-yloxymethyl]phenyl}(N-methoxy)carbamate</t>
        </is>
      </c>
      <c r="I1065" s="7" t="inlineStr">
        <is>
          <t>Estrobilurina (Metoxicarbamato)</t>
        </is>
      </c>
      <c r="J1065" s="7" t="inlineStr">
        <is>
          <t>FRAC Grupo 11 (C3 — QoI)</t>
        </is>
      </c>
      <c r="K1065" s="7" t="inlineStr">
        <is>
          <t>Inibidores da respiração mitocondrial no Complexo III (sítio Qo)</t>
        </is>
      </c>
      <c r="L1065" s="9" t="n">
        <v>133</v>
      </c>
      <c r="M1065" s="7" t="inlineStr">
        <is>
          <t>g/L</t>
        </is>
      </c>
      <c r="N1065" s="7" t="inlineStr">
        <is>
          <t>Registro Técnico Vinculado MAPA</t>
        </is>
      </c>
    </row>
    <row r="1066" ht="22" customHeight="1">
      <c r="A1066" s="12" t="inlineStr">
        <is>
          <t>CMP-1062</t>
        </is>
      </c>
      <c r="B1066" s="11" t="n">
        <v>782</v>
      </c>
      <c r="C1066" s="13" t="inlineStr">
        <is>
          <t>Nº 11325</t>
        </is>
      </c>
      <c r="D1066" s="14" t="inlineStr">
        <is>
          <t>VISTARA</t>
        </is>
      </c>
      <c r="E1066" s="11" t="n">
        <v>2</v>
      </c>
      <c r="F1066" s="13" t="inlineStr">
        <is>
          <t>Ingrediente Ativo Principal</t>
        </is>
      </c>
      <c r="G1066" s="13" t="inlineStr">
        <is>
          <t>EPOXICONAZOL 50</t>
        </is>
      </c>
      <c r="H1066" s="13" t="inlineStr">
        <is>
          <t>(2RS,3SR)-1-[3-(2-chlorophenyl)-2,3-epoxy-2-(4-fluorophenyl)propyl]-1H-1,2,4-triazole</t>
        </is>
      </c>
      <c r="I1066" s="13" t="inlineStr">
        <is>
          <t>Triazol</t>
        </is>
      </c>
      <c r="J1066" s="13" t="inlineStr">
        <is>
          <t>FRAC Grupo 3 (G1 — DMI)</t>
        </is>
      </c>
      <c r="K1066" s="13" t="inlineStr">
        <is>
          <t>Inibidores da desmetilação do C14 na biossíntese do ergosterol</t>
        </is>
      </c>
      <c r="L1066" s="15" t="n">
        <v>50</v>
      </c>
      <c r="M1066" s="13" t="inlineStr">
        <is>
          <t>g/L</t>
        </is>
      </c>
      <c r="N1066" s="13" t="inlineStr">
        <is>
          <t>Registro Técnico Vinculado MAPA</t>
        </is>
      </c>
    </row>
    <row r="1067" ht="22" customHeight="1">
      <c r="A1067" s="6" t="inlineStr">
        <is>
          <t>CMP-1063</t>
        </is>
      </c>
      <c r="B1067" s="5" t="n">
        <v>783</v>
      </c>
      <c r="C1067" s="7" t="inlineStr">
        <is>
          <t>Nº 27025</t>
        </is>
      </c>
      <c r="D1067" s="8" t="inlineStr">
        <is>
          <t>PYROX</t>
        </is>
      </c>
      <c r="E1067" s="5" t="n">
        <v>1</v>
      </c>
      <c r="F1067" s="7" t="inlineStr">
        <is>
          <t>Ingrediente Ativo Principal</t>
        </is>
      </c>
      <c r="G1067" s="7" t="inlineStr">
        <is>
          <t>FLUMIOXAZINA 100</t>
        </is>
      </c>
      <c r="H1067" s="7" t="inlineStr">
        <is>
          <t>N-(7-fluoro-3,4-dihydro-3-oxo-4-prop-2-ynyl-2H-1,4-benzoxazin-6-yl)cyclohex-1-ene-1,2-dicarboximide</t>
        </is>
      </c>
      <c r="I1067" s="7" t="inlineStr">
        <is>
          <t>N-fenilftalimida</t>
        </is>
      </c>
      <c r="J1067" s="7" t="inlineStr">
        <is>
          <t>HRAC Grupo E (14) — Inibidores da PROTOX</t>
        </is>
      </c>
      <c r="K1067" s="7" t="inlineStr">
        <is>
          <t>Inibidores da enzima protoporfirinogênio oxidase (PROTOX)</t>
        </is>
      </c>
      <c r="L1067" s="9" t="n">
        <v>100</v>
      </c>
      <c r="M1067" s="7" t="inlineStr">
        <is>
          <t>g/L</t>
        </is>
      </c>
      <c r="N1067" s="7" t="inlineStr">
        <is>
          <t>Registro Técnico Vinculado MAPA</t>
        </is>
      </c>
    </row>
    <row r="1068" ht="22" customHeight="1">
      <c r="A1068" s="12" t="inlineStr">
        <is>
          <t>CMP-1064</t>
        </is>
      </c>
      <c r="B1068" s="11" t="n">
        <v>783</v>
      </c>
      <c r="C1068" s="13" t="inlineStr">
        <is>
          <t>Nº 27025</t>
        </is>
      </c>
      <c r="D1068" s="14" t="inlineStr">
        <is>
          <t>PYROX</t>
        </is>
      </c>
      <c r="E1068" s="11" t="n">
        <v>2</v>
      </c>
      <c r="F1068" s="13" t="inlineStr">
        <is>
          <t>Ingrediente Ativo Principal</t>
        </is>
      </c>
      <c r="G1068" s="13" t="inlineStr">
        <is>
          <t>IMAZETAPIR 200</t>
        </is>
      </c>
      <c r="H1068" s="13" t="inlineStr">
        <is>
          <t>(RS)-5-ethyl-2-(4-isopropyl-4-methyl-5-oxo-2-imidazolin-2-yl)nicotinic acid</t>
        </is>
      </c>
      <c r="I1068" s="13" t="inlineStr">
        <is>
          <t>Imidazolinona</t>
        </is>
      </c>
      <c r="J1068" s="13" t="inlineStr">
        <is>
          <t>HRAC Grupo B (2) — Inibidores da ALS</t>
        </is>
      </c>
      <c r="K1068" s="13" t="inlineStr">
        <is>
          <t>Inibição da enzima acetolactato sintase (ALS / AHAS)</t>
        </is>
      </c>
      <c r="L1068" s="15" t="n">
        <v>200</v>
      </c>
      <c r="M1068" s="13" t="inlineStr">
        <is>
          <t>g/L</t>
        </is>
      </c>
      <c r="N1068" s="13" t="inlineStr">
        <is>
          <t>Registro Técnico Vinculado MAPA</t>
        </is>
      </c>
    </row>
    <row r="1069" ht="22" customHeight="1">
      <c r="A1069" s="6" t="inlineStr">
        <is>
          <t>CMP-1065</t>
        </is>
      </c>
      <c r="B1069" s="5" t="n">
        <v>784</v>
      </c>
      <c r="C1069" s="7" t="inlineStr">
        <is>
          <t>Nº 13714</t>
        </is>
      </c>
      <c r="D1069" s="8" t="inlineStr">
        <is>
          <t>WIPE OUT</t>
        </is>
      </c>
      <c r="E1069" s="5" t="n">
        <v>1</v>
      </c>
      <c r="F1069" s="7" t="inlineStr">
        <is>
          <t>Ingrediente Ativo Principal</t>
        </is>
      </c>
      <c r="G1069" s="7" t="inlineStr">
        <is>
          <t>GLIFOSATO 720</t>
        </is>
      </c>
      <c r="H1069" s="7" t="inlineStr">
        <is>
          <t>N-(phosphonomethyl)glycine (Sal de Amônio / Isopropilamina / Potássico)</t>
        </is>
      </c>
      <c r="I1069" s="7" t="inlineStr">
        <is>
          <t>Glicina substituída</t>
        </is>
      </c>
      <c r="J1069" s="7" t="inlineStr">
        <is>
          <t>HRAC Grupo G (EPSPs)</t>
        </is>
      </c>
      <c r="K1069" s="7" t="inlineStr">
        <is>
          <t>Inibidores da enzima EPSPs (Enoil Piruvil Shiquimato Fosfato Sintase)</t>
        </is>
      </c>
      <c r="L1069" s="9" t="n">
        <v>720</v>
      </c>
      <c r="M1069" s="7" t="inlineStr">
        <is>
          <t>g/kg</t>
        </is>
      </c>
      <c r="N1069" s="7" t="inlineStr">
        <is>
          <t>Registro Técnico Vinculado MAPA</t>
        </is>
      </c>
    </row>
    <row r="1070" ht="22" customHeight="1">
      <c r="A1070" s="12" t="inlineStr">
        <is>
          <t>CMP-1066</t>
        </is>
      </c>
      <c r="B1070" s="11" t="n">
        <v>785</v>
      </c>
      <c r="C1070" s="13" t="inlineStr">
        <is>
          <t>Nº 16223</t>
        </is>
      </c>
      <c r="D1070" s="14" t="inlineStr">
        <is>
          <t>COMPRAY</t>
        </is>
      </c>
      <c r="E1070" s="11" t="n">
        <v>1</v>
      </c>
      <c r="F1070" s="13" t="inlineStr">
        <is>
          <t>Ingrediente Ativo Principal</t>
        </is>
      </c>
      <c r="G1070" s="13" t="inlineStr">
        <is>
          <t>CLOMAZONA 360</t>
        </is>
      </c>
      <c r="H1070" s="13" t="inlineStr">
        <is>
          <t>2-(2-chlorobenzyl)-4,4-dimethyl-1,2-oxazolidin-3-one</t>
        </is>
      </c>
      <c r="I1070" s="13" t="inlineStr">
        <is>
          <t>Isoxazolidinona</t>
        </is>
      </c>
      <c r="J1070" s="13" t="inlineStr">
        <is>
          <t>HRAC Grupo F4 (13) — Inibidores da DOXP sintase</t>
        </is>
      </c>
      <c r="K1070" s="13" t="inlineStr">
        <is>
          <t>Inibidores da 1-deoxi-D-xilulose 5-fosfato sintase (biossíntese de plastoquinona/carotenoides)</t>
        </is>
      </c>
      <c r="L1070" s="15" t="n">
        <v>360</v>
      </c>
      <c r="M1070" s="13" t="inlineStr">
        <is>
          <t>g/L</t>
        </is>
      </c>
      <c r="N1070" s="13" t="inlineStr">
        <is>
          <t>Registro Técnico Vinculado MAPA</t>
        </is>
      </c>
    </row>
    <row r="1071" ht="22" customHeight="1">
      <c r="A1071" s="6" t="inlineStr">
        <is>
          <t>CMP-1067</t>
        </is>
      </c>
      <c r="B1071" s="5" t="n">
        <v>786</v>
      </c>
      <c r="C1071" s="7" t="inlineStr">
        <is>
          <t>SIPEAGRO (UF-XXXXX)</t>
        </is>
      </c>
      <c r="D1071" s="8" t="inlineStr">
        <is>
          <t>MAP 11-52 - GRANULADO - REVENDA - JBS</t>
        </is>
      </c>
      <c r="E1071" s="5" t="n">
        <v>1</v>
      </c>
      <c r="F1071" s="7" t="inlineStr">
        <is>
          <t>Nutriente Garantido</t>
        </is>
      </c>
      <c r="G1071" s="7" t="inlineStr">
        <is>
          <t>FERTILIZANTES</t>
        </is>
      </c>
      <c r="H1071" s="7" t="inlineStr">
        <is>
          <t>Composição Nutricional Oficial (FERTILIZANTES)</t>
        </is>
      </c>
      <c r="I1071" s="7" t="inlineStr">
        <is>
          <t>Fertilizante Mineral / Organomineral (Lei nº 6.894/1980)</t>
        </is>
      </c>
      <c r="J1071" s="7" t="inlineStr">
        <is>
          <t>Nutrição Vegetal SIPEAGRO</t>
        </is>
      </c>
      <c r="K1071" s="7" t="inlineStr">
        <is>
          <t>Fornecimento de macro e micronutrientes essenciais ao metabolismo vegetal</t>
        </is>
      </c>
      <c r="L1071" s="9" t="n">
        <v>100</v>
      </c>
      <c r="M1071" s="7" t="inlineStr">
        <is>
          <t>% m/m</t>
        </is>
      </c>
      <c r="N1071" s="7" t="inlineStr">
        <is>
          <t>Registro Técnico Vinculado MAPA</t>
        </is>
      </c>
    </row>
    <row r="1072" ht="22" customHeight="1">
      <c r="A1072" s="12" t="inlineStr">
        <is>
          <t>CMP-1068</t>
        </is>
      </c>
      <c r="B1072" s="11" t="n">
        <v>787</v>
      </c>
      <c r="C1072" s="13" t="inlineStr">
        <is>
          <t>Nº 3524</t>
        </is>
      </c>
      <c r="D1072" s="14" t="inlineStr">
        <is>
          <t>GLUFOSINATO 200 SL CROTECT</t>
        </is>
      </c>
      <c r="E1072" s="11" t="n">
        <v>1</v>
      </c>
      <c r="F1072" s="13" t="inlineStr">
        <is>
          <t>Ingrediente Ativo Principal</t>
        </is>
      </c>
      <c r="G1072" s="13" t="inlineStr">
        <is>
          <t>GLUFOSINATO 200</t>
        </is>
      </c>
      <c r="H1072" s="13" t="inlineStr">
        <is>
          <t>Ammonium (2RS)-2-amino-4-(methylphosphinato)butyric acid (Glufosinato Sal de Amônio)</t>
        </is>
      </c>
      <c r="I1072" s="13" t="inlineStr">
        <is>
          <t>Homoalanina substituída (Ácido fosfínico)</t>
        </is>
      </c>
      <c r="J1072" s="13" t="inlineStr">
        <is>
          <t>HRAC Grupo H (10) — Inibidores da Glutamina Sintetase</t>
        </is>
      </c>
      <c r="K1072" s="13" t="inlineStr">
        <is>
          <t>Inibição da enzima glutamina sintetase (acúmulo de amônia intracelular)</t>
        </is>
      </c>
      <c r="L1072" s="15" t="n">
        <v>200</v>
      </c>
      <c r="M1072" s="13" t="inlineStr">
        <is>
          <t>g/L</t>
        </is>
      </c>
      <c r="N1072" s="13" t="inlineStr">
        <is>
          <t>Registro Técnico Vinculado MAPA</t>
        </is>
      </c>
    </row>
    <row r="1073" ht="22" customHeight="1">
      <c r="A1073" s="6" t="inlineStr">
        <is>
          <t>CMP-1069</t>
        </is>
      </c>
      <c r="B1073" s="5" t="n">
        <v>788</v>
      </c>
      <c r="C1073" s="7" t="inlineStr">
        <is>
          <t>Nº 12123</t>
        </is>
      </c>
      <c r="D1073" s="8" t="inlineStr">
        <is>
          <t>ARCAR</t>
        </is>
      </c>
      <c r="E1073" s="5" t="n">
        <v>1</v>
      </c>
      <c r="F1073" s="7" t="inlineStr">
        <is>
          <t>Ingrediente Ativo Principal</t>
        </is>
      </c>
      <c r="G1073" s="7" t="inlineStr">
        <is>
          <t>PIRIPROXIFEM 100</t>
        </is>
      </c>
      <c r="H1073" s="7" t="inlineStr">
        <is>
          <t>4-phenoxyphenyl (RS)-2-(2-pyridyloxy)propyl ether</t>
        </is>
      </c>
      <c r="I1073" s="7" t="inlineStr">
        <is>
          <t>Éter piridiloxipropílico</t>
        </is>
      </c>
      <c r="J1073" s="7" t="inlineStr">
        <is>
          <t>IRAC Grupo 7C</t>
        </is>
      </c>
      <c r="K1073" s="7" t="inlineStr">
        <is>
          <t>Mimetizadores do hormônio juvenil (Juvenoides)</t>
        </is>
      </c>
      <c r="L1073" s="9" t="n">
        <v>100</v>
      </c>
      <c r="M1073" s="7" t="inlineStr">
        <is>
          <t>g/L</t>
        </is>
      </c>
      <c r="N1073" s="7" t="inlineStr">
        <is>
          <t>Registro Técnico Vinculado MAPA</t>
        </is>
      </c>
    </row>
    <row r="1074" ht="22" customHeight="1">
      <c r="A1074" s="12" t="inlineStr">
        <is>
          <t>CMP-1070</t>
        </is>
      </c>
      <c r="B1074" s="11" t="n">
        <v>789</v>
      </c>
      <c r="C1074" s="13" t="inlineStr">
        <is>
          <t>Nº 28925</t>
        </is>
      </c>
      <c r="D1074" s="14" t="inlineStr">
        <is>
          <t>S-METOLACHLOR 960 EC BINNONG 0,200L (AMOSTRA)</t>
        </is>
      </c>
      <c r="E1074" s="11" t="n">
        <v>1</v>
      </c>
      <c r="F1074" s="13" t="inlineStr">
        <is>
          <t>Ingrediente Ativo Principal</t>
        </is>
      </c>
      <c r="G1074" s="13" t="inlineStr">
        <is>
          <t>S-METOLACLORO 960</t>
        </is>
      </c>
      <c r="H1074" s="13" t="inlineStr">
        <is>
          <t>Mixture of (aRS,1S)-2-chloro-6'-ethyl-N-(2-methoxy-1-methylethyl)aceto-o-toluidide</t>
        </is>
      </c>
      <c r="I1074" s="13" t="inlineStr">
        <is>
          <t>Cloroacetanilida</t>
        </is>
      </c>
      <c r="J1074" s="13" t="inlineStr">
        <is>
          <t>HRAC Grupo K3 (15) — Inibidores de VLCFAs</t>
        </is>
      </c>
      <c r="K1074" s="13" t="inlineStr">
        <is>
          <t>Inibidores da síntese de ácidos graxos de cadeia muito longa (divisão celular)</t>
        </is>
      </c>
      <c r="L1074" s="15" t="n">
        <v>960</v>
      </c>
      <c r="M1074" s="13" t="inlineStr">
        <is>
          <t>g/L</t>
        </is>
      </c>
      <c r="N1074" s="13" t="inlineStr">
        <is>
          <t>Registro Técnico Vinculado MAPA</t>
        </is>
      </c>
    </row>
    <row r="1075" ht="22" customHeight="1">
      <c r="A1075" s="6" t="inlineStr">
        <is>
          <t>CMP-1071</t>
        </is>
      </c>
      <c r="B1075" s="5" t="n">
        <v>790</v>
      </c>
      <c r="C1075" s="7" t="inlineStr">
        <is>
          <t>Nº 31422</t>
        </is>
      </c>
      <c r="D1075" s="8" t="inlineStr">
        <is>
          <t>ZARPAL</t>
        </is>
      </c>
      <c r="E1075" s="5" t="n">
        <v>1</v>
      </c>
      <c r="F1075" s="7" t="inlineStr">
        <is>
          <t>Ingrediente Ativo Principal</t>
        </is>
      </c>
      <c r="G1075" s="7" t="inlineStr">
        <is>
          <t>LUFENUROM</t>
        </is>
      </c>
      <c r="H1075" s="7" t="inlineStr">
        <is>
          <t>(RS)-1-[2,5-dichloro-4-(1,1,2,3,3,3-hexafluoropropoxy)phenyl]-3-(2,6-difluorobenzoyl)urea</t>
        </is>
      </c>
      <c r="I1075" s="7" t="inlineStr">
        <is>
          <t>Benzoilureia</t>
        </is>
      </c>
      <c r="J1075" s="7" t="inlineStr">
        <is>
          <t>IRAC Grupo 15</t>
        </is>
      </c>
      <c r="K1075" s="7" t="inlineStr">
        <is>
          <t>Inibidores da biossíntese de quitina, Tipo 0</t>
        </is>
      </c>
      <c r="L1075" s="9" t="n">
        <v>140</v>
      </c>
      <c r="M1075" s="7" t="inlineStr">
        <is>
          <t>g/L</t>
        </is>
      </c>
      <c r="N1075" s="7" t="inlineStr">
        <is>
          <t>Lufenuron Técnico Globachem Vinculado MAPA</t>
        </is>
      </c>
    </row>
    <row r="1076" ht="22" customHeight="1">
      <c r="A1076" s="12" t="inlineStr">
        <is>
          <t>CMP-1072</t>
        </is>
      </c>
      <c r="B1076" s="11" t="n">
        <v>790</v>
      </c>
      <c r="C1076" s="13" t="inlineStr">
        <is>
          <t>Nº 31422</t>
        </is>
      </c>
      <c r="D1076" s="14" t="inlineStr">
        <is>
          <t>ZARPAL</t>
        </is>
      </c>
      <c r="E1076" s="11" t="n">
        <v>2</v>
      </c>
      <c r="F1076" s="13" t="inlineStr">
        <is>
          <t>Ingrediente Ativo Principal</t>
        </is>
      </c>
      <c r="G1076" s="13" t="inlineStr">
        <is>
          <t>BIFENTRINA</t>
        </is>
      </c>
      <c r="H1076" s="13" t="inlineStr">
        <is>
          <t>2-methylbiphenyl-3-ylmethyl (Z)-(1RS,3RS)-3-(2-chloro-3,3,3-trifluoroprop-1-enyl)-2,2-dimethylcyclopropanecarboxylate</t>
        </is>
      </c>
      <c r="I1076" s="13" t="inlineStr">
        <is>
          <t>Piretroide (Tipo I)</t>
        </is>
      </c>
      <c r="J1076" s="13" t="inlineStr">
        <is>
          <t>IRAC Grupo 3A</t>
        </is>
      </c>
      <c r="K1076" s="13" t="inlineStr">
        <is>
          <t>Moduladores de canais de sódio em membranas nervosas</t>
        </is>
      </c>
      <c r="L1076" s="15" t="n">
        <v>120</v>
      </c>
      <c r="M1076" s="13" t="inlineStr">
        <is>
          <t>g/L</t>
        </is>
      </c>
      <c r="N1076" s="13" t="inlineStr">
        <is>
          <t>Bifentrina Técnico Globachem Vinculado MAPA</t>
        </is>
      </c>
    </row>
    <row r="1077" ht="22" customHeight="1">
      <c r="A1077" s="6" t="inlineStr">
        <is>
          <t>CMP-1073</t>
        </is>
      </c>
      <c r="B1077" s="5" t="n">
        <v>791</v>
      </c>
      <c r="C1077" s="7" t="inlineStr">
        <is>
          <t>Nº 40024</t>
        </is>
      </c>
      <c r="D1077" s="8" t="inlineStr">
        <is>
          <t>CIPROCONAZOL 80 + PICOXISTROBINA 200 (PRINCIPIO ATIVO)</t>
        </is>
      </c>
      <c r="E1077" s="5" t="n">
        <v>1</v>
      </c>
      <c r="F1077" s="7" t="inlineStr">
        <is>
          <t>Ingrediente Ativo Principal</t>
        </is>
      </c>
      <c r="G1077" s="7" t="inlineStr">
        <is>
          <t>CIPROCONAZOL 80</t>
        </is>
      </c>
      <c r="H1077" s="7" t="inlineStr">
        <is>
          <t>(2RS,3RS;2RS,3SR)-2-(4-chlorophenyl)-3-cyclopropyl-1-(1H-1,2,4-triazol-1-yl)butan-2-ol</t>
        </is>
      </c>
      <c r="I1077" s="7" t="inlineStr">
        <is>
          <t>Triazol</t>
        </is>
      </c>
      <c r="J1077" s="7" t="inlineStr">
        <is>
          <t>FRAC Grupo 3 (G1 — DMI)</t>
        </is>
      </c>
      <c r="K1077" s="7" t="inlineStr">
        <is>
          <t>Inibidores da desmetilação do C14 na biossíntese do ergosterol</t>
        </is>
      </c>
      <c r="L1077" s="9" t="n">
        <v>80</v>
      </c>
      <c r="M1077" s="7" t="inlineStr">
        <is>
          <t>g/kg</t>
        </is>
      </c>
      <c r="N1077" s="7" t="inlineStr">
        <is>
          <t>Produto Técnico Próprio</t>
        </is>
      </c>
    </row>
    <row r="1078" ht="22" customHeight="1">
      <c r="A1078" s="12" t="inlineStr">
        <is>
          <t>CMP-1074</t>
        </is>
      </c>
      <c r="B1078" s="11" t="n">
        <v>791</v>
      </c>
      <c r="C1078" s="13" t="inlineStr">
        <is>
          <t>Nº 40024</t>
        </is>
      </c>
      <c r="D1078" s="14" t="inlineStr">
        <is>
          <t>CIPROCONAZOL 80 + PICOXISTROBINA 200 (PRINCIPIO ATIVO)</t>
        </is>
      </c>
      <c r="E1078" s="11" t="n">
        <v>2</v>
      </c>
      <c r="F1078" s="13" t="inlineStr">
        <is>
          <t>Ingrediente Ativo Principal</t>
        </is>
      </c>
      <c r="G1078" s="13" t="inlineStr">
        <is>
          <t>PICOXISTROBINA 200</t>
        </is>
      </c>
      <c r="H1078" s="13" t="inlineStr">
        <is>
          <t>Methyl (E)-3-methoxy-2-{2-[6-(trifluoromethyl)-2-pyridyloxymethyl]phenyl}acrylate</t>
        </is>
      </c>
      <c r="I1078" s="13" t="inlineStr">
        <is>
          <t>Estrobilurina (Metoxiacrilato)</t>
        </is>
      </c>
      <c r="J1078" s="13" t="inlineStr">
        <is>
          <t>FRAC Grupo 11 (C3 — QoI)</t>
        </is>
      </c>
      <c r="K1078" s="13" t="inlineStr">
        <is>
          <t>Inibidores da respiração mitocondrial no Complexo III (sítio Qo)</t>
        </is>
      </c>
      <c r="L1078" s="15" t="n">
        <v>200</v>
      </c>
      <c r="M1078" s="13" t="inlineStr">
        <is>
          <t>g/kg</t>
        </is>
      </c>
      <c r="N1078" s="13" t="inlineStr">
        <is>
          <t>Produto Técnico Próprio</t>
        </is>
      </c>
    </row>
    <row r="1079" ht="22" customHeight="1">
      <c r="A1079" s="6" t="inlineStr">
        <is>
          <t>CMP-1075</t>
        </is>
      </c>
      <c r="B1079" s="5" t="n">
        <v>792</v>
      </c>
      <c r="C1079" s="7" t="inlineStr">
        <is>
          <t>VINCULAR MARCA</t>
        </is>
      </c>
      <c r="D1079" s="8" t="inlineStr">
        <is>
          <t>CLORPIRIFOS 480 -</t>
        </is>
      </c>
      <c r="E1079" s="5" t="n">
        <v>1</v>
      </c>
      <c r="F1079" s="7" t="inlineStr">
        <is>
          <t>Ingrediente Ativo Principal</t>
        </is>
      </c>
      <c r="G1079" s="7" t="inlineStr">
        <is>
          <t>CLORPIRIFOS 480</t>
        </is>
      </c>
      <c r="H1079" s="7" t="inlineStr">
        <is>
          <t>O,O-diethyl O-3,5,6-trichloro-2-pyridyl phosphorothioate</t>
        </is>
      </c>
      <c r="I1079" s="7" t="inlineStr">
        <is>
          <t>Organofosforado</t>
        </is>
      </c>
      <c r="J1079" s="7" t="inlineStr">
        <is>
          <t>IRAC Grupo 1B</t>
        </is>
      </c>
      <c r="K1079" s="7" t="inlineStr">
        <is>
          <t>Inibidores da acetilcolinesterase (AChE)</t>
        </is>
      </c>
      <c r="L1079" s="9" t="n">
        <v>480</v>
      </c>
      <c r="M1079" s="7" t="inlineStr">
        <is>
          <t>g/kg</t>
        </is>
      </c>
      <c r="N1079" s="7" t="inlineStr">
        <is>
          <t>Produto Técnico Próprio</t>
        </is>
      </c>
    </row>
    <row r="1080" ht="22" customHeight="1">
      <c r="A1080" s="12" t="inlineStr">
        <is>
          <t>CMP-1076</t>
        </is>
      </c>
      <c r="B1080" s="11" t="n">
        <v>793</v>
      </c>
      <c r="C1080" s="13" t="inlineStr">
        <is>
          <t>VINCULAR MARCA</t>
        </is>
      </c>
      <c r="D1080" s="14" t="inlineStr">
        <is>
          <t>CLORPIRIFOS 480 -</t>
        </is>
      </c>
      <c r="E1080" s="11" t="n">
        <v>1</v>
      </c>
      <c r="F1080" s="13" t="inlineStr">
        <is>
          <t>Ingrediente Ativo Principal</t>
        </is>
      </c>
      <c r="G1080" s="13" t="inlineStr">
        <is>
          <t>CLORPIRIFOS 480</t>
        </is>
      </c>
      <c r="H1080" s="13" t="inlineStr">
        <is>
          <t>O,O-diethyl O-3,5,6-trichloro-2-pyridyl phosphorothioate</t>
        </is>
      </c>
      <c r="I1080" s="13" t="inlineStr">
        <is>
          <t>Organofosforado</t>
        </is>
      </c>
      <c r="J1080" s="13" t="inlineStr">
        <is>
          <t>IRAC Grupo 1B</t>
        </is>
      </c>
      <c r="K1080" s="13" t="inlineStr">
        <is>
          <t>Inibidores da acetilcolinesterase (AChE)</t>
        </is>
      </c>
      <c r="L1080" s="15" t="n">
        <v>480</v>
      </c>
      <c r="M1080" s="13" t="inlineStr">
        <is>
          <t>g/kg</t>
        </is>
      </c>
      <c r="N1080" s="13" t="inlineStr">
        <is>
          <t>Produto Técnico Próprio</t>
        </is>
      </c>
    </row>
    <row r="1081" ht="22" customHeight="1">
      <c r="A1081" s="6" t="inlineStr">
        <is>
          <t>CMP-1077</t>
        </is>
      </c>
      <c r="B1081" s="5" t="n">
        <v>794</v>
      </c>
      <c r="C1081" s="7" t="inlineStr">
        <is>
          <t>Nº 27717</t>
        </is>
      </c>
      <c r="D1081" s="8" t="inlineStr">
        <is>
          <t>FIPRONIL 800 (PRINCIPIO ATIVO)</t>
        </is>
      </c>
      <c r="E1081" s="5" t="n">
        <v>1</v>
      </c>
      <c r="F1081" s="7" t="inlineStr">
        <is>
          <t>Ingrediente Ativo Principal</t>
        </is>
      </c>
      <c r="G1081" s="7" t="inlineStr">
        <is>
          <t>FIPRONIL 800</t>
        </is>
      </c>
      <c r="H1081" s="7" t="inlineStr">
        <is>
          <t>(RS)-5-amino-1-(2,6-dichloro-a,a,a-trifluoro-p-tolyl)-4-trifluoromethylsulfinylpyrazole-3-carbonitrile</t>
        </is>
      </c>
      <c r="I1081" s="7" t="inlineStr">
        <is>
          <t>Pirazol (Fenilpirazol)</t>
        </is>
      </c>
      <c r="J1081" s="7" t="inlineStr">
        <is>
          <t>IRAC Grupo 2B</t>
        </is>
      </c>
      <c r="K1081" s="7" t="inlineStr">
        <is>
          <t>Bloqueadores de canais de cloro mediados pelo GABA</t>
        </is>
      </c>
      <c r="L1081" s="9" t="n">
        <v>800</v>
      </c>
      <c r="M1081" s="7" t="inlineStr">
        <is>
          <t>g/kg</t>
        </is>
      </c>
      <c r="N1081" s="7" t="inlineStr">
        <is>
          <t>Produto Técnico Próprio</t>
        </is>
      </c>
    </row>
    <row r="1082" ht="22" customHeight="1">
      <c r="A1082" s="12" t="inlineStr">
        <is>
          <t>CMP-1078</t>
        </is>
      </c>
      <c r="B1082" s="11" t="n">
        <v>795</v>
      </c>
      <c r="C1082" s="13" t="inlineStr">
        <is>
          <t>Nº 12920</t>
        </is>
      </c>
      <c r="D1082" s="14" t="inlineStr">
        <is>
          <t>ATRAZINA 900 (PRINCIPIO ATIVO)</t>
        </is>
      </c>
      <c r="E1082" s="11" t="n">
        <v>1</v>
      </c>
      <c r="F1082" s="13" t="inlineStr">
        <is>
          <t>Ingrediente Ativo Principal</t>
        </is>
      </c>
      <c r="G1082" s="13" t="inlineStr">
        <is>
          <t>ATRAZINA 900</t>
        </is>
      </c>
      <c r="H1082" s="13" t="inlineStr">
        <is>
          <t>6-chloro-N2-ethyl-N4-isopropyl-1,3,5-triazine-2,4-diamine</t>
        </is>
      </c>
      <c r="I1082" s="13" t="inlineStr">
        <is>
          <t>Triazina</t>
        </is>
      </c>
      <c r="J1082" s="13" t="inlineStr">
        <is>
          <t>HRAC Grupo C1 (5) — Inibidores do Fotossistema II</t>
        </is>
      </c>
      <c r="K1082" s="13" t="inlineStr">
        <is>
          <t>Inibição do transporte de elétrons no Fotossistema II (sítio Serina 264)</t>
        </is>
      </c>
      <c r="L1082" s="15" t="n">
        <v>900</v>
      </c>
      <c r="M1082" s="13" t="inlineStr">
        <is>
          <t>g/kg</t>
        </is>
      </c>
      <c r="N1082" s="13" t="inlineStr">
        <is>
          <t>Produto Técnico Próprio</t>
        </is>
      </c>
    </row>
    <row r="1083" ht="22" customHeight="1">
      <c r="A1083" s="6" t="inlineStr">
        <is>
          <t>CMP-1079</t>
        </is>
      </c>
      <c r="B1083" s="5" t="n">
        <v>796</v>
      </c>
      <c r="C1083" s="7" t="inlineStr">
        <is>
          <t>Nº 26222</t>
        </is>
      </c>
      <c r="D1083" s="8" t="inlineStr">
        <is>
          <t>DIQUATE (PRINCIPIO ATIVO)</t>
        </is>
      </c>
      <c r="E1083" s="5" t="n">
        <v>1</v>
      </c>
      <c r="F1083" s="7" t="inlineStr">
        <is>
          <t>Ingrediente Ativo Principal</t>
        </is>
      </c>
      <c r="G1083" s="7" t="inlineStr">
        <is>
          <t>DIQUATE ÍON 200 g/L (Dibrometo de Diquate 373,5 g/L)</t>
        </is>
      </c>
      <c r="H1083" s="7" t="inlineStr">
        <is>
          <t>9,10-dihydro-8a,10a-diazoniaphenanthrene dibromide (Dibrometo de Diquate)</t>
        </is>
      </c>
      <c r="I1083" s="7" t="inlineStr">
        <is>
          <t>Bipiridílio</t>
        </is>
      </c>
      <c r="J1083" s="7" t="inlineStr">
        <is>
          <t>HRAC Grupo D (22) — Desviadores de Elétrons do Fotossistema I</t>
        </is>
      </c>
      <c r="K1083" s="7" t="inlineStr">
        <is>
          <t>Inibidores do Fotossistema I (geração de radicais livres peróxidos)</t>
        </is>
      </c>
      <c r="L1083" s="9" t="n">
        <v>200</v>
      </c>
      <c r="M1083" s="7" t="inlineStr">
        <is>
          <t>g/L</t>
        </is>
      </c>
      <c r="N1083" s="7" t="inlineStr">
        <is>
          <t>Produto Técnico Próprio</t>
        </is>
      </c>
    </row>
    <row r="1084" ht="22" customHeight="1">
      <c r="A1084" s="12" t="inlineStr">
        <is>
          <t>CMP-1080</t>
        </is>
      </c>
      <c r="B1084" s="11" t="n">
        <v>797</v>
      </c>
      <c r="C1084" s="13" t="inlineStr">
        <is>
          <t>Nº 4026</t>
        </is>
      </c>
      <c r="D1084" s="14" t="inlineStr">
        <is>
          <t>PROTIOCONAZOLE 480 (PRINCIPIO ATIVO)</t>
        </is>
      </c>
      <c r="E1084" s="11" t="n">
        <v>1</v>
      </c>
      <c r="F1084" s="13" t="inlineStr">
        <is>
          <t>Ingrediente Ativo Principal</t>
        </is>
      </c>
      <c r="G1084" s="13" t="inlineStr">
        <is>
          <t>PROTIOCONAZOLE 480</t>
        </is>
      </c>
      <c r="H1084" s="13" t="inlineStr">
        <is>
          <t>(RS)-2-[2-(1-chlorocyclopropyl)-3-(2-chlorophenyl)-2-hydroxypropyl]-2,4-dihydro-1,2,4-triazole-3-thione</t>
        </is>
      </c>
      <c r="I1084" s="13" t="inlineStr">
        <is>
          <t>Triazolinthiona</t>
        </is>
      </c>
      <c r="J1084" s="13" t="inlineStr">
        <is>
          <t>FRAC Grupo 3 (DMI)</t>
        </is>
      </c>
      <c r="K1084" s="13" t="inlineStr">
        <is>
          <t>Inibidores da desmetilação de esteróis (DMI - C14-desmetilase)</t>
        </is>
      </c>
      <c r="L1084" s="15" t="n">
        <v>480</v>
      </c>
      <c r="M1084" s="13" t="inlineStr">
        <is>
          <t>g/kg</t>
        </is>
      </c>
      <c r="N1084" s="13" t="inlineStr">
        <is>
          <t>Produto Técnico Próprio</t>
        </is>
      </c>
    </row>
    <row r="1085" ht="22" customHeight="1">
      <c r="A1085" s="6" t="inlineStr">
        <is>
          <t>CMP-1081</t>
        </is>
      </c>
      <c r="B1085" s="5" t="n">
        <v>798</v>
      </c>
      <c r="C1085" s="7" t="inlineStr">
        <is>
          <t>Nº 43818</t>
        </is>
      </c>
      <c r="D1085" s="8" t="inlineStr">
        <is>
          <t>RUBY</t>
        </is>
      </c>
      <c r="E1085" s="5" t="n">
        <v>1</v>
      </c>
      <c r="F1085" s="7" t="inlineStr">
        <is>
          <t>Ingrediente Ativo Principal</t>
        </is>
      </c>
      <c r="G1085" s="7" t="inlineStr">
        <is>
          <t>DIAFENTIURON 500</t>
        </is>
      </c>
      <c r="H1085" s="7" t="inlineStr">
        <is>
          <t>1-tert-butyl-3-(2,6-di-isopropyl-4-phenoxyphenyl)thiourea</t>
        </is>
      </c>
      <c r="I1085" s="7" t="inlineStr">
        <is>
          <t>Tioureia</t>
        </is>
      </c>
      <c r="J1085" s="7" t="inlineStr">
        <is>
          <t>IRAC Grupo 12A</t>
        </is>
      </c>
      <c r="K1085" s="7" t="inlineStr">
        <is>
          <t>Inibidores da ATP sintase mitocondrial</t>
        </is>
      </c>
      <c r="L1085" s="9" t="n">
        <v>500</v>
      </c>
      <c r="M1085" s="7" t="inlineStr">
        <is>
          <t>g/L</t>
        </is>
      </c>
      <c r="N1085" s="7" t="inlineStr">
        <is>
          <t>Registro Técnico Vinculado MAPA</t>
        </is>
      </c>
    </row>
    <row r="1086" ht="22" customHeight="1">
      <c r="A1086" s="12" t="inlineStr">
        <is>
          <t>CMP-1082</t>
        </is>
      </c>
      <c r="B1086" s="11" t="n">
        <v>799</v>
      </c>
      <c r="C1086" s="13" t="inlineStr">
        <is>
          <t>Nº 40624</t>
        </is>
      </c>
      <c r="D1086" s="14" t="inlineStr">
        <is>
          <t>SHARK</t>
        </is>
      </c>
      <c r="E1086" s="11" t="n">
        <v>1</v>
      </c>
      <c r="F1086" s="13" t="inlineStr">
        <is>
          <t>Ingrediente Ativo Principal</t>
        </is>
      </c>
      <c r="G1086" s="13" t="inlineStr">
        <is>
          <t>CLORPIRIFOS 480</t>
        </is>
      </c>
      <c r="H1086" s="13" t="inlineStr">
        <is>
          <t>O,O-diethyl O-3,5,6-trichloro-2-pyridyl phosphorothioate</t>
        </is>
      </c>
      <c r="I1086" s="13" t="inlineStr">
        <is>
          <t>Organofosforado</t>
        </is>
      </c>
      <c r="J1086" s="13" t="inlineStr">
        <is>
          <t>IRAC Grupo 1B</t>
        </is>
      </c>
      <c r="K1086" s="13" t="inlineStr">
        <is>
          <t>Inibidores da acetilcolinesterase (AChE)</t>
        </is>
      </c>
      <c r="L1086" s="15" t="n">
        <v>480</v>
      </c>
      <c r="M1086" s="13" t="inlineStr">
        <is>
          <t>g/L</t>
        </is>
      </c>
      <c r="N1086" s="13" t="inlineStr">
        <is>
          <t>Registro Técnico Vinculado MAPA</t>
        </is>
      </c>
    </row>
    <row r="1087" ht="22" customHeight="1">
      <c r="A1087" s="6" t="inlineStr">
        <is>
          <t>CMP-1083</t>
        </is>
      </c>
      <c r="B1087" s="5" t="n">
        <v>800</v>
      </c>
      <c r="C1087" s="7" t="inlineStr">
        <is>
          <t>Nº 40624</t>
        </is>
      </c>
      <c r="D1087" s="8" t="inlineStr">
        <is>
          <t>SHARK</t>
        </is>
      </c>
      <c r="E1087" s="5" t="n">
        <v>1</v>
      </c>
      <c r="F1087" s="7" t="inlineStr">
        <is>
          <t>Ingrediente Ativo Principal</t>
        </is>
      </c>
      <c r="G1087" s="7" t="inlineStr">
        <is>
          <t>CLORPIRIFOS 480</t>
        </is>
      </c>
      <c r="H1087" s="7" t="inlineStr">
        <is>
          <t>O,O-diethyl O-3,5,6-trichloro-2-pyridyl phosphorothioate</t>
        </is>
      </c>
      <c r="I1087" s="7" t="inlineStr">
        <is>
          <t>Organofosforado</t>
        </is>
      </c>
      <c r="J1087" s="7" t="inlineStr">
        <is>
          <t>IRAC Grupo 1B</t>
        </is>
      </c>
      <c r="K1087" s="7" t="inlineStr">
        <is>
          <t>Inibidores da acetilcolinesterase (AChE)</t>
        </is>
      </c>
      <c r="L1087" s="9" t="n">
        <v>480</v>
      </c>
      <c r="M1087" s="7" t="inlineStr">
        <is>
          <t>g/L</t>
        </is>
      </c>
      <c r="N1087" s="7" t="inlineStr">
        <is>
          <t>Registro Técnico Vinculado MAPA</t>
        </is>
      </c>
    </row>
    <row r="1088" ht="22" customHeight="1">
      <c r="A1088" s="12" t="inlineStr">
        <is>
          <t>CMP-1084</t>
        </is>
      </c>
      <c r="B1088" s="11" t="n">
        <v>801</v>
      </c>
      <c r="C1088" s="13" t="inlineStr">
        <is>
          <t>Nº 17219</t>
        </is>
      </c>
      <c r="D1088" s="14" t="inlineStr">
        <is>
          <t>PERAK</t>
        </is>
      </c>
      <c r="E1088" s="11" t="n">
        <v>1</v>
      </c>
      <c r="F1088" s="13" t="inlineStr">
        <is>
          <t>Ingrediente Ativo Principal</t>
        </is>
      </c>
      <c r="G1088" s="13" t="inlineStr">
        <is>
          <t>FLUAZINAM 500</t>
        </is>
      </c>
      <c r="H1088" s="13" t="inlineStr">
        <is>
          <t>3-chloro-N-(3-chloro-5-trifluoromethyl-2-pyridyl)-a,a,a-trifluoro-2,6-dinitro-p-toluidine</t>
        </is>
      </c>
      <c r="I1088" s="13" t="inlineStr">
        <is>
          <t>Fenilpiridinamina (2,6-dinitroanilina)</t>
        </is>
      </c>
      <c r="J1088" s="13" t="inlineStr">
        <is>
          <t>FRAC Grupo 29</t>
        </is>
      </c>
      <c r="K1088" s="13" t="inlineStr">
        <is>
          <t>Desacopladores da fosforilação oxidativa mitocondrial</t>
        </is>
      </c>
      <c r="L1088" s="15" t="n">
        <v>500</v>
      </c>
      <c r="M1088" s="13" t="inlineStr">
        <is>
          <t>g/L</t>
        </is>
      </c>
      <c r="N1088" s="13" t="inlineStr">
        <is>
          <t>Registro Técnico Vinculado MAPA</t>
        </is>
      </c>
    </row>
    <row r="1089" ht="22" customHeight="1">
      <c r="A1089" s="6" t="inlineStr">
        <is>
          <t>CMP-1085</t>
        </is>
      </c>
      <c r="B1089" s="5" t="n">
        <v>802</v>
      </c>
      <c r="C1089" s="7" t="inlineStr">
        <is>
          <t>SIPEAGRO (UF-XXXXX)</t>
        </is>
      </c>
      <c r="D1089" s="8" t="inlineStr">
        <is>
          <t>TSP - 46%P2O5 - GRAN - REVENDA - JBS</t>
        </is>
      </c>
      <c r="E1089" s="5" t="n">
        <v>1</v>
      </c>
      <c r="F1089" s="7" t="inlineStr">
        <is>
          <t>Nutriente Garantido</t>
        </is>
      </c>
      <c r="G1089" s="7" t="inlineStr">
        <is>
          <t>P2O5 SOLÚVEL EM CNA + H2O (46% P2O5)</t>
        </is>
      </c>
      <c r="H1089" s="7" t="inlineStr">
        <is>
          <t>Composição Nutricional Oficial (P2O5 sol. CNA)</t>
        </is>
      </c>
      <c r="I1089" s="7" t="inlineStr">
        <is>
          <t>Fertilizante Mineral / Organomineral (Lei nº 6.894/1980)</t>
        </is>
      </c>
      <c r="J1089" s="7" t="inlineStr">
        <is>
          <t>Nutrição Vegetal SIPEAGRO</t>
        </is>
      </c>
      <c r="K1089" s="7" t="inlineStr">
        <is>
          <t>Fornecimento de macro e micronutrientes essenciais ao metabolismo vegetal</t>
        </is>
      </c>
      <c r="L1089" s="9" t="n">
        <v>46</v>
      </c>
      <c r="M1089" s="7" t="inlineStr">
        <is>
          <t>% m/m</t>
        </is>
      </c>
      <c r="N1089" s="7" t="inlineStr">
        <is>
          <t>Registro Técnico Vinculado MAPA</t>
        </is>
      </c>
    </row>
    <row r="1090" ht="22" customHeight="1">
      <c r="A1090" s="12" t="inlineStr">
        <is>
          <t>CMP-1086</t>
        </is>
      </c>
      <c r="B1090" s="11" t="n">
        <v>802</v>
      </c>
      <c r="C1090" s="13" t="inlineStr">
        <is>
          <t>SIPEAGRO (UF-XXXXX)</t>
        </is>
      </c>
      <c r="D1090" s="14" t="inlineStr">
        <is>
          <t>TSP - 46%P2O5 - GRAN - REVENDA - JBS</t>
        </is>
      </c>
      <c r="E1090" s="11" t="n">
        <v>2</v>
      </c>
      <c r="F1090" s="13" t="inlineStr">
        <is>
          <t>Nutriente Garantido</t>
        </is>
      </c>
      <c r="G1090" s="13" t="inlineStr">
        <is>
          <t>CÁLCIO TOTAL (12% Ca)</t>
        </is>
      </c>
      <c r="H1090" s="13" t="inlineStr">
        <is>
          <t>Composição Nutricional Oficial (H2O)</t>
        </is>
      </c>
      <c r="I1090" s="13" t="inlineStr">
        <is>
          <t>Fertilizante Mineral / Organomineral (Lei nº 6.894/1980)</t>
        </is>
      </c>
      <c r="J1090" s="13" t="inlineStr">
        <is>
          <t>Nutrição Vegetal SIPEAGRO</t>
        </is>
      </c>
      <c r="K1090" s="13" t="inlineStr">
        <is>
          <t>Fornecimento de macro e micronutrientes essenciais ao metabolismo vegetal</t>
        </is>
      </c>
      <c r="L1090" s="15" t="n">
        <v>12</v>
      </c>
      <c r="M1090" s="13" t="inlineStr">
        <is>
          <t>% m/m</t>
        </is>
      </c>
      <c r="N1090" s="13" t="inlineStr">
        <is>
          <t>Registro Técnico Vinculado MAPA</t>
        </is>
      </c>
    </row>
    <row r="1091" ht="22" customHeight="1">
      <c r="A1091" s="6" t="inlineStr">
        <is>
          <t>CMP-1087</t>
        </is>
      </c>
      <c r="B1091" s="5" t="n">
        <v>803</v>
      </c>
      <c r="C1091" s="7" t="inlineStr">
        <is>
          <t>Nº 2020</t>
        </is>
      </c>
      <c r="D1091" s="8" t="inlineStr">
        <is>
          <t>BUSHI 0,2L (AMOSTRA) IMP</t>
        </is>
      </c>
      <c r="E1091" s="5" t="n">
        <v>1</v>
      </c>
      <c r="F1091" s="7" t="inlineStr">
        <is>
          <t>Ingrediente Ativo Principal</t>
        </is>
      </c>
      <c r="G1091" s="7" t="inlineStr">
        <is>
          <t>LAMBDA-CIALOTRINA 250</t>
        </is>
      </c>
      <c r="H1091" s="7" t="inlineStr">
        <is>
          <t>(R)-a-cyano-3-phenoxybenzyl (1S)-cis-3-[(Z)-2-chloro-3,3,3-trifluoropropenyl]-2,2-dimethylcyclopropanecarboxylate</t>
        </is>
      </c>
      <c r="I1091" s="7" t="inlineStr">
        <is>
          <t>Piretroide (Tipo II)</t>
        </is>
      </c>
      <c r="J1091" s="7" t="inlineStr">
        <is>
          <t>IRAC Grupo 3A</t>
        </is>
      </c>
      <c r="K1091" s="7" t="inlineStr">
        <is>
          <t>Moduladores de canais de sódio em axônios nervosos</t>
        </is>
      </c>
      <c r="L1091" s="9" t="n">
        <v>250</v>
      </c>
      <c r="M1091" s="7" t="inlineStr">
        <is>
          <t>g/L</t>
        </is>
      </c>
      <c r="N1091" s="7" t="inlineStr">
        <is>
          <t>Registro Técnico Vinculado MAPA</t>
        </is>
      </c>
    </row>
    <row r="1092" ht="22" customHeight="1">
      <c r="A1092" s="12" t="inlineStr">
        <is>
          <t>CMP-1088</t>
        </is>
      </c>
      <c r="B1092" s="11" t="n">
        <v>804</v>
      </c>
      <c r="C1092" s="13" t="inlineStr">
        <is>
          <t>Nº 34621</t>
        </is>
      </c>
      <c r="D1092" s="14" t="inlineStr">
        <is>
          <t>DIBROMETO DE DIQUATE</t>
        </is>
      </c>
      <c r="E1092" s="11" t="n">
        <v>1</v>
      </c>
      <c r="F1092" s="13" t="inlineStr">
        <is>
          <t>Ingrediente Ativo Principal</t>
        </is>
      </c>
      <c r="G1092" s="13" t="inlineStr">
        <is>
          <t>DIQUATE ÍON 200 g/L (Dibrometo de Diquate 373,5 g/L)</t>
        </is>
      </c>
      <c r="H1092" s="13" t="inlineStr">
        <is>
          <t>9,10-dihydro-8a,10a-diazoniaphenanthrene dibromide (Dibrometo de Diquate)</t>
        </is>
      </c>
      <c r="I1092" s="13" t="inlineStr">
        <is>
          <t>Bipiridílio</t>
        </is>
      </c>
      <c r="J1092" s="13" t="inlineStr">
        <is>
          <t>HRAC Grupo D (22) — Desviadores de Elétrons do Fotossistema I</t>
        </is>
      </c>
      <c r="K1092" s="13" t="inlineStr">
        <is>
          <t>Inibidores do Fotossistema I (geração de radicais livres peróxidos)</t>
        </is>
      </c>
      <c r="L1092" s="15" t="n">
        <v>200</v>
      </c>
      <c r="M1092" s="13" t="inlineStr">
        <is>
          <t>g/L</t>
        </is>
      </c>
      <c r="N1092" s="13" t="inlineStr">
        <is>
          <t>Registro Técnico Vinculado MAPA</t>
        </is>
      </c>
    </row>
    <row r="1093" ht="22" customHeight="1">
      <c r="A1093" s="6" t="inlineStr">
        <is>
          <t>CMP-1089</t>
        </is>
      </c>
      <c r="B1093" s="5" t="n">
        <v>805</v>
      </c>
      <c r="C1093" s="7" t="inlineStr">
        <is>
          <t>Nº 25423</t>
        </is>
      </c>
      <c r="D1093" s="8" t="inlineStr">
        <is>
          <t>GLUFE 200 SL</t>
        </is>
      </c>
      <c r="E1093" s="5" t="n">
        <v>1</v>
      </c>
      <c r="F1093" s="7" t="inlineStr">
        <is>
          <t>Ingrediente Ativo Principal</t>
        </is>
      </c>
      <c r="G1093" s="7" t="inlineStr">
        <is>
          <t>GLUFOSINATO 200</t>
        </is>
      </c>
      <c r="H1093" s="7" t="inlineStr">
        <is>
          <t>Ammonium (2RS)-2-amino-4-(methylphosphinato)butyric acid (Glufosinato Sal de Amônio)</t>
        </is>
      </c>
      <c r="I1093" s="7" t="inlineStr">
        <is>
          <t>Homoalanina substituída (Ácido fosfínico)</t>
        </is>
      </c>
      <c r="J1093" s="7" t="inlineStr">
        <is>
          <t>HRAC Grupo H (10) — Inibidores da Glutamina Sintetase</t>
        </is>
      </c>
      <c r="K1093" s="7" t="inlineStr">
        <is>
          <t>Inibição da enzima glutamina sintetase (acúmulo de amônia intracelular)</t>
        </is>
      </c>
      <c r="L1093" s="9" t="n">
        <v>200</v>
      </c>
      <c r="M1093" s="7" t="inlineStr">
        <is>
          <t>g/L</t>
        </is>
      </c>
      <c r="N1093" s="7" t="inlineStr">
        <is>
          <t>Registro Técnico Vinculado MAPA</t>
        </is>
      </c>
    </row>
    <row r="1094" ht="22" customHeight="1">
      <c r="A1094" s="12" t="inlineStr">
        <is>
          <t>CMP-1090</t>
        </is>
      </c>
      <c r="B1094" s="11" t="n">
        <v>806</v>
      </c>
      <c r="C1094" s="13" t="inlineStr">
        <is>
          <t>SIPEAGRO (UF-XXXXX)</t>
        </is>
      </c>
      <c r="D1094" s="14" t="inlineStr">
        <is>
          <t>MS09E 04 24 24 S9 - MOSAIC (VALIDAR)</t>
        </is>
      </c>
      <c r="E1094" s="11" t="n">
        <v>1</v>
      </c>
      <c r="F1094" s="13" t="inlineStr">
        <is>
          <t>Nutriente Garantido</t>
        </is>
      </c>
      <c r="G1094" s="13" t="inlineStr">
        <is>
          <t>N: 4% (Nitrogênio) P: 24% (Fósforo) K: 24% (Potássio)  S: 9% (Enxofre) -Tec MOSA</t>
        </is>
      </c>
      <c r="H1094" s="13" t="inlineStr">
        <is>
          <t>Composição Nutricional Oficial (N: 4% (Nitrogênio) P: 24% (Fósforo) K: 24% (Potássio)  S: 9% (Enxofre) -Tec MOSA)</t>
        </is>
      </c>
      <c r="I1094" s="13" t="inlineStr">
        <is>
          <t>Fertilizante Mineral / Organomineral (Lei nº 6.894/1980)</t>
        </is>
      </c>
      <c r="J1094" s="13" t="inlineStr">
        <is>
          <t>Nutrição Vegetal SIPEAGRO</t>
        </is>
      </c>
      <c r="K1094" s="13" t="inlineStr">
        <is>
          <t>Fornecimento de macro e micronutrientes essenciais ao metabolismo vegetal</t>
        </is>
      </c>
      <c r="L1094" s="15" t="n">
        <v>4</v>
      </c>
      <c r="M1094" s="13" t="inlineStr">
        <is>
          <t>% m/m</t>
        </is>
      </c>
      <c r="N1094" s="13" t="inlineStr">
        <is>
          <t>Registro Técnico Vinculado MAPA</t>
        </is>
      </c>
    </row>
    <row r="1095" ht="22" customHeight="1">
      <c r="A1095" s="6" t="inlineStr">
        <is>
          <t>CMP-1091</t>
        </is>
      </c>
      <c r="B1095" s="5" t="n">
        <v>807</v>
      </c>
      <c r="C1095" s="7" t="inlineStr">
        <is>
          <t>Nº 15623</t>
        </is>
      </c>
      <c r="D1095" s="8" t="inlineStr">
        <is>
          <t>TUCANO</t>
        </is>
      </c>
      <c r="E1095" s="5" t="n">
        <v>1</v>
      </c>
      <c r="F1095" s="7" t="inlineStr">
        <is>
          <t>Ingrediente Ativo Principal</t>
        </is>
      </c>
      <c r="G1095" s="7" t="inlineStr">
        <is>
          <t>FLUMIOXAZINA 500</t>
        </is>
      </c>
      <c r="H1095" s="7" t="inlineStr">
        <is>
          <t>N-(7-fluoro-3,4-dihydro-3-oxo-4-prop-2-ynyl-2H-1,4-benzoxazin-6-yl)cyclohex-1-ene-1,2-dicarboximide</t>
        </is>
      </c>
      <c r="I1095" s="7" t="inlineStr">
        <is>
          <t>N-fenilftalimida</t>
        </is>
      </c>
      <c r="J1095" s="7" t="inlineStr">
        <is>
          <t>HRAC Grupo E (14) — Inibidores da PROTOX</t>
        </is>
      </c>
      <c r="K1095" s="7" t="inlineStr">
        <is>
          <t>Inibidores da enzima protoporfirinogênio oxidase (PROTOX)</t>
        </is>
      </c>
      <c r="L1095" s="9" t="n">
        <v>500</v>
      </c>
      <c r="M1095" s="7" t="inlineStr">
        <is>
          <t>g/kg</t>
        </is>
      </c>
      <c r="N1095" s="7" t="inlineStr">
        <is>
          <t>Registro Técnico Vinculado MAPA</t>
        </is>
      </c>
    </row>
    <row r="1096" ht="22" customHeight="1">
      <c r="A1096" s="12" t="inlineStr">
        <is>
          <t>CMP-1092</t>
        </is>
      </c>
      <c r="B1096" s="11" t="n">
        <v>808</v>
      </c>
      <c r="C1096" s="13" t="inlineStr">
        <is>
          <t>Nº 11325</t>
        </is>
      </c>
      <c r="D1096" s="14" t="inlineStr">
        <is>
          <t>VISTARA</t>
        </is>
      </c>
      <c r="E1096" s="11" t="n">
        <v>1</v>
      </c>
      <c r="F1096" s="13" t="inlineStr">
        <is>
          <t>Ingrediente Ativo Principal</t>
        </is>
      </c>
      <c r="G1096" s="13" t="inlineStr">
        <is>
          <t>PIRACLOSTROBINA 133</t>
        </is>
      </c>
      <c r="H1096" s="13" t="inlineStr">
        <is>
          <t>Methyl N-{2-[1-(4-chlorophenyl)-1H-pyrazol-3-yloxymethyl]phenyl}(N-methoxy)carbamate</t>
        </is>
      </c>
      <c r="I1096" s="13" t="inlineStr">
        <is>
          <t>Estrobilurina (Metoxicarbamato)</t>
        </is>
      </c>
      <c r="J1096" s="13" t="inlineStr">
        <is>
          <t>FRAC Grupo 11 (C3 — QoI)</t>
        </is>
      </c>
      <c r="K1096" s="13" t="inlineStr">
        <is>
          <t>Inibidores da respiração mitocondrial no Complexo III (sítio Qo)</t>
        </is>
      </c>
      <c r="L1096" s="15" t="n">
        <v>133</v>
      </c>
      <c r="M1096" s="13" t="inlineStr">
        <is>
          <t>g/L</t>
        </is>
      </c>
      <c r="N1096" s="13" t="inlineStr">
        <is>
          <t>Registro Técnico Vinculado MAPA</t>
        </is>
      </c>
    </row>
    <row r="1097" ht="22" customHeight="1">
      <c r="A1097" s="6" t="inlineStr">
        <is>
          <t>CMP-1093</t>
        </is>
      </c>
      <c r="B1097" s="5" t="n">
        <v>808</v>
      </c>
      <c r="C1097" s="7" t="inlineStr">
        <is>
          <t>Nº 11325</t>
        </is>
      </c>
      <c r="D1097" s="8" t="inlineStr">
        <is>
          <t>VISTARA</t>
        </is>
      </c>
      <c r="E1097" s="5" t="n">
        <v>2</v>
      </c>
      <c r="F1097" s="7" t="inlineStr">
        <is>
          <t>Ingrediente Ativo Principal</t>
        </is>
      </c>
      <c r="G1097" s="7" t="inlineStr">
        <is>
          <t>EPOXICONAZOL 50</t>
        </is>
      </c>
      <c r="H1097" s="7" t="inlineStr">
        <is>
          <t>(2RS,3SR)-1-[3-(2-chlorophenyl)-2,3-epoxy-2-(4-fluorophenyl)propyl]-1H-1,2,4-triazole</t>
        </is>
      </c>
      <c r="I1097" s="7" t="inlineStr">
        <is>
          <t>Triazol</t>
        </is>
      </c>
      <c r="J1097" s="7" t="inlineStr">
        <is>
          <t>FRAC Grupo 3 (G1 — DMI)</t>
        </is>
      </c>
      <c r="K1097" s="7" t="inlineStr">
        <is>
          <t>Inibidores da desmetilação do C14 na biossíntese do ergosterol</t>
        </is>
      </c>
      <c r="L1097" s="9" t="n">
        <v>50</v>
      </c>
      <c r="M1097" s="7" t="inlineStr">
        <is>
          <t>g/L</t>
        </is>
      </c>
      <c r="N1097" s="7" t="inlineStr">
        <is>
          <t>Registro Técnico Vinculado MAPA</t>
        </is>
      </c>
    </row>
    <row r="1098" ht="22" customHeight="1">
      <c r="A1098" s="12" t="inlineStr">
        <is>
          <t>CMP-1094</t>
        </is>
      </c>
      <c r="B1098" s="11" t="n">
        <v>809</v>
      </c>
      <c r="C1098" s="13" t="inlineStr">
        <is>
          <t>Nº 12123</t>
        </is>
      </c>
      <c r="D1098" s="14" t="inlineStr">
        <is>
          <t>ARCAR</t>
        </is>
      </c>
      <c r="E1098" s="11" t="n">
        <v>1</v>
      </c>
      <c r="F1098" s="13" t="inlineStr">
        <is>
          <t>Ingrediente Ativo Principal</t>
        </is>
      </c>
      <c r="G1098" s="13" t="inlineStr">
        <is>
          <t>PIRIPROXIFEM 100</t>
        </is>
      </c>
      <c r="H1098" s="13" t="inlineStr">
        <is>
          <t>4-phenoxyphenyl (RS)-2-(2-pyridyloxy)propyl ether</t>
        </is>
      </c>
      <c r="I1098" s="13" t="inlineStr">
        <is>
          <t>Éter piridiloxipropílico</t>
        </is>
      </c>
      <c r="J1098" s="13" t="inlineStr">
        <is>
          <t>IRAC Grupo 7C</t>
        </is>
      </c>
      <c r="K1098" s="13" t="inlineStr">
        <is>
          <t>Mimetizadores do hormônio juvenil (Juvenoides)</t>
        </is>
      </c>
      <c r="L1098" s="15" t="n">
        <v>100</v>
      </c>
      <c r="M1098" s="13" t="inlineStr">
        <is>
          <t>g/L</t>
        </is>
      </c>
      <c r="N1098" s="13" t="inlineStr">
        <is>
          <t>Registro Técnico Vinculado MAPA</t>
        </is>
      </c>
    </row>
    <row r="1099" ht="22" customHeight="1">
      <c r="A1099" s="6" t="inlineStr">
        <is>
          <t>CMP-1095</t>
        </is>
      </c>
      <c r="B1099" s="5" t="n">
        <v>810</v>
      </c>
      <c r="C1099" s="7" t="inlineStr">
        <is>
          <t>Nº 12123</t>
        </is>
      </c>
      <c r="D1099" s="8" t="inlineStr">
        <is>
          <t>ARCAR</t>
        </is>
      </c>
      <c r="E1099" s="5" t="n">
        <v>1</v>
      </c>
      <c r="F1099" s="7" t="inlineStr">
        <is>
          <t>Ingrediente Ativo Principal</t>
        </is>
      </c>
      <c r="G1099" s="7" t="inlineStr">
        <is>
          <t>PIRIPROXIFEM 100</t>
        </is>
      </c>
      <c r="H1099" s="7" t="inlineStr">
        <is>
          <t>4-phenoxyphenyl (RS)-2-(2-pyridyloxy)propyl ether</t>
        </is>
      </c>
      <c r="I1099" s="7" t="inlineStr">
        <is>
          <t>Éter piridiloxipropílico</t>
        </is>
      </c>
      <c r="J1099" s="7" t="inlineStr">
        <is>
          <t>IRAC Grupo 7C</t>
        </is>
      </c>
      <c r="K1099" s="7" t="inlineStr">
        <is>
          <t>Mimetizadores do hormônio juvenil (Juvenoides)</t>
        </is>
      </c>
      <c r="L1099" s="9" t="n">
        <v>100</v>
      </c>
      <c r="M1099" s="7" t="inlineStr">
        <is>
          <t>g/L</t>
        </is>
      </c>
      <c r="N1099" s="7" t="inlineStr">
        <is>
          <t>Registro Técnico Vinculado MAPA</t>
        </is>
      </c>
    </row>
    <row r="1100" ht="22" customHeight="1">
      <c r="A1100" s="12" t="inlineStr">
        <is>
          <t>CMP-1096</t>
        </is>
      </c>
      <c r="B1100" s="11" t="n">
        <v>811</v>
      </c>
      <c r="C1100" s="13" t="inlineStr">
        <is>
          <t>Nº 23623</t>
        </is>
      </c>
      <c r="D1100" s="14" t="inlineStr">
        <is>
          <t>GLIMOR WG</t>
        </is>
      </c>
      <c r="E1100" s="11" t="n">
        <v>1</v>
      </c>
      <c r="F1100" s="13" t="inlineStr">
        <is>
          <t>Ingrediente Ativo Principal</t>
        </is>
      </c>
      <c r="G1100" s="13" t="inlineStr">
        <is>
          <t>GLIFOSATO 720</t>
        </is>
      </c>
      <c r="H1100" s="13" t="inlineStr">
        <is>
          <t>N-(phosphonomethyl)glycine (Sal de Amônio / Isopropilamina / Potássico)</t>
        </is>
      </c>
      <c r="I1100" s="13" t="inlineStr">
        <is>
          <t>Glicina substituída</t>
        </is>
      </c>
      <c r="J1100" s="13" t="inlineStr">
        <is>
          <t>HRAC Grupo G (EPSPs)</t>
        </is>
      </c>
      <c r="K1100" s="13" t="inlineStr">
        <is>
          <t>Inibidores da enzima EPSPs (Enoil Piruvil Shiquimato Fosfato Sintase)</t>
        </is>
      </c>
      <c r="L1100" s="15" t="n">
        <v>720</v>
      </c>
      <c r="M1100" s="13" t="inlineStr">
        <is>
          <t>g/kg</t>
        </is>
      </c>
      <c r="N1100" s="13" t="inlineStr">
        <is>
          <t>Registro Técnico Vinculado MAPA</t>
        </is>
      </c>
    </row>
    <row r="1101" ht="22" customHeight="1">
      <c r="A1101" s="6" t="inlineStr">
        <is>
          <t>CMP-1097</t>
        </is>
      </c>
      <c r="B1101" s="5" t="n">
        <v>812</v>
      </c>
      <c r="C1101" s="7" t="inlineStr">
        <is>
          <t>Nº 12712</t>
        </is>
      </c>
      <c r="D1101" s="8" t="inlineStr">
        <is>
          <t>FASON</t>
        </is>
      </c>
      <c r="E1101" s="5" t="n">
        <v>1</v>
      </c>
      <c r="F1101" s="7" t="inlineStr">
        <is>
          <t>Ingrediente Ativo Principal</t>
        </is>
      </c>
      <c r="G1101" s="7" t="inlineStr">
        <is>
          <t>NICOSSULFUROM 40</t>
        </is>
      </c>
      <c r="H1101" s="7" t="inlineStr">
        <is>
          <t>2-(4,6-dimethoxypyrimidin-2-ylcarbamoylsulfamoyl)-N,N-dimethylnicotinamide</t>
        </is>
      </c>
      <c r="I1101" s="7" t="inlineStr">
        <is>
          <t>Sulfonilureia</t>
        </is>
      </c>
      <c r="J1101" s="7" t="inlineStr">
        <is>
          <t>HRAC Grupo B (2) — Inibidores da ALS</t>
        </is>
      </c>
      <c r="K1101" s="7" t="inlineStr">
        <is>
          <t>Inibição da enzima acetolactato sintase (ALS / AHAS)</t>
        </is>
      </c>
      <c r="L1101" s="9" t="n">
        <v>40</v>
      </c>
      <c r="M1101" s="7" t="inlineStr">
        <is>
          <t>g/L</t>
        </is>
      </c>
      <c r="N1101" s="7" t="inlineStr">
        <is>
          <t>Registro Técnico Vinculado MAPA</t>
        </is>
      </c>
    </row>
    <row r="1102" ht="22" customHeight="1">
      <c r="A1102" s="12" t="inlineStr">
        <is>
          <t>CMP-1098</t>
        </is>
      </c>
      <c r="B1102" s="11" t="n">
        <v>813</v>
      </c>
      <c r="C1102" s="13" t="inlineStr">
        <is>
          <t>Nº 5524</t>
        </is>
      </c>
      <c r="D1102" s="14" t="inlineStr">
        <is>
          <t>EVOLIN</t>
        </is>
      </c>
      <c r="E1102" s="11" t="n">
        <v>1</v>
      </c>
      <c r="F1102" s="13" t="inlineStr">
        <is>
          <t>Ingrediente Ativo Principal</t>
        </is>
      </c>
      <c r="G1102" s="13" t="inlineStr">
        <is>
          <t>ETIPROLE 200 SC</t>
        </is>
      </c>
      <c r="H1102" s="13" t="inlineStr">
        <is>
          <t>5-amino-1-(2,6-dichloro-alpha,alpha,alpha-trifluoro-p-tolyl)-4-ethylsulfinylpyrazole-3-carbonitrile</t>
        </is>
      </c>
      <c r="I1102" s="13" t="inlineStr">
        <is>
          <t>Fenilpirazol</t>
        </is>
      </c>
      <c r="J1102" s="13" t="inlineStr">
        <is>
          <t>IRAC Grupo 2B</t>
        </is>
      </c>
      <c r="K1102" s="13" t="inlineStr">
        <is>
          <t>Bloqueadores de canais de cloro mediados pelo GABA</t>
        </is>
      </c>
      <c r="L1102" s="15" t="n">
        <v>200</v>
      </c>
      <c r="M1102" s="13" t="inlineStr">
        <is>
          <t>g/L</t>
        </is>
      </c>
      <c r="N1102" s="13" t="inlineStr">
        <is>
          <t>Registro Técnico Vinculado MAPA</t>
        </is>
      </c>
    </row>
    <row r="1103" ht="22" customHeight="1">
      <c r="A1103" s="6" t="inlineStr">
        <is>
          <t>CMP-1099</t>
        </is>
      </c>
      <c r="B1103" s="5" t="n">
        <v>814</v>
      </c>
      <c r="C1103" s="7" t="inlineStr">
        <is>
          <t>Nº 4623</t>
        </is>
      </c>
      <c r="D1103" s="8" t="inlineStr">
        <is>
          <t>WEXITE</t>
        </is>
      </c>
      <c r="E1103" s="5" t="n">
        <v>1</v>
      </c>
      <c r="F1103" s="7" t="inlineStr">
        <is>
          <t>Ingrediente Ativo Principal</t>
        </is>
      </c>
      <c r="G1103" s="7" t="inlineStr">
        <is>
          <t>ACEFATO 970</t>
        </is>
      </c>
      <c r="H1103" s="7" t="inlineStr">
        <is>
          <t>O,S-dimethyl acetylphosphoramidothioate</t>
        </is>
      </c>
      <c r="I1103" s="7" t="inlineStr">
        <is>
          <t>Organofosforado</t>
        </is>
      </c>
      <c r="J1103" s="7" t="inlineStr">
        <is>
          <t>IRAC Grupo 1B</t>
        </is>
      </c>
      <c r="K1103" s="7" t="inlineStr">
        <is>
          <t>Inibidores da enzima acetilcolinesterase (AChE)</t>
        </is>
      </c>
      <c r="L1103" s="9" t="n">
        <v>970</v>
      </c>
      <c r="M1103" s="7" t="inlineStr">
        <is>
          <t>g/kg</t>
        </is>
      </c>
      <c r="N1103" s="7" t="inlineStr">
        <is>
          <t>Registro Técnico Vinculado MAPA</t>
        </is>
      </c>
    </row>
    <row r="1104" ht="22" customHeight="1">
      <c r="A1104" s="12" t="inlineStr">
        <is>
          <t>CMP-1100</t>
        </is>
      </c>
      <c r="B1104" s="11" t="n">
        <v>815</v>
      </c>
      <c r="C1104" s="13" t="inlineStr">
        <is>
          <t>SIPEAGRO (UF-XXXXX)</t>
        </is>
      </c>
      <c r="D1104" s="14" t="inlineStr">
        <is>
          <t>SSP 19% P2O5 - GRANULADO - REVENDA - JBS</t>
        </is>
      </c>
      <c r="E1104" s="11" t="n">
        <v>1</v>
      </c>
      <c r="F1104" s="13" t="inlineStr">
        <is>
          <t>Nutriente Garantido</t>
        </is>
      </c>
      <c r="G1104" s="13" t="inlineStr">
        <is>
          <t>S Teor total 12%. P2O5 sol. CNA</t>
        </is>
      </c>
      <c r="H1104" s="13" t="inlineStr">
        <is>
          <t>Composição Nutricional Oficial (S Teor total 12%. P2O5 sol. CNA)</t>
        </is>
      </c>
      <c r="I1104" s="13" t="inlineStr">
        <is>
          <t>Fertilizante Mineral / Organomineral (Lei nº 6.894/1980)</t>
        </is>
      </c>
      <c r="J1104" s="13" t="inlineStr">
        <is>
          <t>Nutrição Vegetal SIPEAGRO</t>
        </is>
      </c>
      <c r="K1104" s="13" t="inlineStr">
        <is>
          <t>Fornecimento de macro e micronutrientes essenciais ao metabolismo vegetal</t>
        </is>
      </c>
      <c r="L1104" s="15" t="n">
        <v>12</v>
      </c>
      <c r="M1104" s="13" t="inlineStr">
        <is>
          <t>% m/m</t>
        </is>
      </c>
      <c r="N1104" s="13" t="inlineStr">
        <is>
          <t>Registro Técnico Vinculado MAPA</t>
        </is>
      </c>
    </row>
    <row r="1105" ht="22" customHeight="1">
      <c r="A1105" s="6" t="inlineStr">
        <is>
          <t>CMP-1101</t>
        </is>
      </c>
      <c r="B1105" s="5" t="n">
        <v>815</v>
      </c>
      <c r="C1105" s="7" t="inlineStr">
        <is>
          <t>SIPEAGRO (UF-XXXXX)</t>
        </is>
      </c>
      <c r="D1105" s="8" t="inlineStr">
        <is>
          <t>SSP 19% P2O5 - GRANULADO - REVENDA - JBS</t>
        </is>
      </c>
      <c r="E1105" s="5" t="n">
        <v>2</v>
      </c>
      <c r="F1105" s="7" t="inlineStr">
        <is>
          <t>Nutriente Garantido</t>
        </is>
      </c>
      <c r="G1105" s="7" t="inlineStr">
        <is>
          <t>H2O 19%. Ca Total 18%</t>
        </is>
      </c>
      <c r="H1105" s="7" t="inlineStr">
        <is>
          <t>Composição Nutricional Oficial (H2O 19%. Ca Total 18%)</t>
        </is>
      </c>
      <c r="I1105" s="7" t="inlineStr">
        <is>
          <t>Fertilizante Mineral / Organomineral (Lei nº 6.894/1980)</t>
        </is>
      </c>
      <c r="J1105" s="7" t="inlineStr">
        <is>
          <t>Nutrição Vegetal SIPEAGRO</t>
        </is>
      </c>
      <c r="K1105" s="7" t="inlineStr">
        <is>
          <t>Fornecimento de macro e micronutrientes essenciais ao metabolismo vegetal</t>
        </is>
      </c>
      <c r="L1105" s="9" t="n">
        <v>19</v>
      </c>
      <c r="M1105" s="7" t="inlineStr">
        <is>
          <t>% m/m</t>
        </is>
      </c>
      <c r="N1105" s="7" t="inlineStr">
        <is>
          <t>Registro Técnico Vinculado MAPA</t>
        </is>
      </c>
    </row>
    <row r="1106" ht="22" customHeight="1">
      <c r="A1106" s="12" t="inlineStr">
        <is>
          <t>CMP-1102</t>
        </is>
      </c>
      <c r="B1106" s="11" t="n">
        <v>816</v>
      </c>
      <c r="C1106" s="13" t="inlineStr">
        <is>
          <t>SIPEAGRO (UF-XXXXX)</t>
        </is>
      </c>
      <c r="D1106" s="14" t="inlineStr">
        <is>
          <t>SSP 22% P2O5 - GRANULADO - REVENDA - JBS</t>
        </is>
      </c>
      <c r="E1106" s="11" t="n">
        <v>1</v>
      </c>
      <c r="F1106" s="13" t="inlineStr">
        <is>
          <t>Nutriente Garantido</t>
        </is>
      </c>
      <c r="G1106" s="13" t="inlineStr">
        <is>
          <t>S Teor total 12%. P2O5 sol. CNA</t>
        </is>
      </c>
      <c r="H1106" s="13" t="inlineStr">
        <is>
          <t>Composição Nutricional Oficial (S Teor total 12%. P2O5 sol. CNA)</t>
        </is>
      </c>
      <c r="I1106" s="13" t="inlineStr">
        <is>
          <t>Fertilizante Mineral / Organomineral (Lei nº 6.894/1980)</t>
        </is>
      </c>
      <c r="J1106" s="13" t="inlineStr">
        <is>
          <t>Nutrição Vegetal SIPEAGRO</t>
        </is>
      </c>
      <c r="K1106" s="13" t="inlineStr">
        <is>
          <t>Fornecimento de macro e micronutrientes essenciais ao metabolismo vegetal</t>
        </is>
      </c>
      <c r="L1106" s="15" t="n">
        <v>12</v>
      </c>
      <c r="M1106" s="13" t="inlineStr">
        <is>
          <t>% m/m</t>
        </is>
      </c>
      <c r="N1106" s="13" t="inlineStr">
        <is>
          <t>Registro Técnico Vinculado MAPA</t>
        </is>
      </c>
    </row>
    <row r="1107" ht="22" customHeight="1">
      <c r="A1107" s="6" t="inlineStr">
        <is>
          <t>CMP-1103</t>
        </is>
      </c>
      <c r="B1107" s="5" t="n">
        <v>816</v>
      </c>
      <c r="C1107" s="7" t="inlineStr">
        <is>
          <t>SIPEAGRO (UF-XXXXX)</t>
        </is>
      </c>
      <c r="D1107" s="8" t="inlineStr">
        <is>
          <t>SSP 22% P2O5 - GRANULADO - REVENDA - JBS</t>
        </is>
      </c>
      <c r="E1107" s="5" t="n">
        <v>2</v>
      </c>
      <c r="F1107" s="7" t="inlineStr">
        <is>
          <t>Nutriente Garantido</t>
        </is>
      </c>
      <c r="G1107" s="7" t="inlineStr">
        <is>
          <t>H2O 19%. Ca Total 18%</t>
        </is>
      </c>
      <c r="H1107" s="7" t="inlineStr">
        <is>
          <t>Composição Nutricional Oficial (H2O 19%. Ca Total 18%)</t>
        </is>
      </c>
      <c r="I1107" s="7" t="inlineStr">
        <is>
          <t>Fertilizante Mineral / Organomineral (Lei nº 6.894/1980)</t>
        </is>
      </c>
      <c r="J1107" s="7" t="inlineStr">
        <is>
          <t>Nutrição Vegetal SIPEAGRO</t>
        </is>
      </c>
      <c r="K1107" s="7" t="inlineStr">
        <is>
          <t>Fornecimento de macro e micronutrientes essenciais ao metabolismo vegetal</t>
        </is>
      </c>
      <c r="L1107" s="9" t="n">
        <v>19</v>
      </c>
      <c r="M1107" s="7" t="inlineStr">
        <is>
          <t>% m/m</t>
        </is>
      </c>
      <c r="N1107" s="7" t="inlineStr">
        <is>
          <t>Registro Técnico Vinculado MAPA</t>
        </is>
      </c>
    </row>
    <row r="1108" ht="22" customHeight="1">
      <c r="A1108" s="12" t="inlineStr">
        <is>
          <t>CMP-1104</t>
        </is>
      </c>
      <c r="B1108" s="11" t="n">
        <v>817</v>
      </c>
      <c r="C1108" s="13" t="inlineStr">
        <is>
          <t>SIPEAGRO (UF-XXXXX)</t>
        </is>
      </c>
      <c r="D1108" s="14" t="inlineStr">
        <is>
          <t>PLUS 05 24 24 + 0,26 B + 50BMI2 - REVENDA - MOSAIC</t>
        </is>
      </c>
      <c r="E1108" s="11" t="n">
        <v>1</v>
      </c>
      <c r="F1108" s="13" t="inlineStr">
        <is>
          <t>Nutriente Garantido</t>
        </is>
      </c>
      <c r="G1108" s="13" t="inlineStr">
        <is>
          <t>FERTILIZANTES</t>
        </is>
      </c>
      <c r="H1108" s="13" t="inlineStr">
        <is>
          <t>Composição Nutricional Oficial (FERTILIZANTES)</t>
        </is>
      </c>
      <c r="I1108" s="13" t="inlineStr">
        <is>
          <t>Fertilizante Mineral / Organomineral (Lei nº 6.894/1980)</t>
        </is>
      </c>
      <c r="J1108" s="13" t="inlineStr">
        <is>
          <t>Nutrição Vegetal SIPEAGRO</t>
        </is>
      </c>
      <c r="K1108" s="13" t="inlineStr">
        <is>
          <t>Fornecimento de macro e micronutrientes essenciais ao metabolismo vegetal</t>
        </is>
      </c>
      <c r="L1108" s="15" t="n">
        <v>100</v>
      </c>
      <c r="M1108" s="13" t="inlineStr">
        <is>
          <t>% m/m</t>
        </is>
      </c>
      <c r="N1108" s="13" t="inlineStr">
        <is>
          <t>Registro Técnico Vinculado MAPA</t>
        </is>
      </c>
    </row>
    <row r="1109" ht="22" customHeight="1">
      <c r="A1109" s="6" t="inlineStr">
        <is>
          <t>CMP-1105</t>
        </is>
      </c>
      <c r="B1109" s="5" t="n">
        <v>818</v>
      </c>
      <c r="C1109" s="7" t="inlineStr">
        <is>
          <t>SIPEAGRO (UF-XXXXX)</t>
        </is>
      </c>
      <c r="D1109" s="8" t="inlineStr">
        <is>
          <t>MAP SOLUVEL 12-61-00 - OCP</t>
        </is>
      </c>
      <c r="E1109" s="5" t="n">
        <v>1</v>
      </c>
      <c r="F1109" s="7" t="inlineStr">
        <is>
          <t>Nutriente Garantido</t>
        </is>
      </c>
      <c r="G1109" s="7" t="inlineStr">
        <is>
          <t>MAP PURIFICADO</t>
        </is>
      </c>
      <c r="H1109" s="7" t="inlineStr">
        <is>
          <t>Composição Nutricional Oficial (MAP PURIFICADO)</t>
        </is>
      </c>
      <c r="I1109" s="7" t="inlineStr">
        <is>
          <t>Fertilizante Mineral / Organomineral (Lei nº 6.894/1980)</t>
        </is>
      </c>
      <c r="J1109" s="7" t="inlineStr">
        <is>
          <t>Nutrição Vegetal SIPEAGRO</t>
        </is>
      </c>
      <c r="K1109" s="7" t="inlineStr">
        <is>
          <t>Fornecimento de macro e micronutrientes essenciais ao metabolismo vegetal</t>
        </is>
      </c>
      <c r="L1109" s="9" t="n">
        <v>100</v>
      </c>
      <c r="M1109" s="7" t="inlineStr">
        <is>
          <t>% m/m</t>
        </is>
      </c>
      <c r="N1109" s="7" t="inlineStr">
        <is>
          <t>Registro Técnico Vinculado MAPA</t>
        </is>
      </c>
    </row>
    <row r="1110" ht="22" customHeight="1">
      <c r="A1110" s="12" t="inlineStr">
        <is>
          <t>CMP-1106</t>
        </is>
      </c>
      <c r="B1110" s="11" t="n">
        <v>819</v>
      </c>
      <c r="C1110" s="13" t="inlineStr">
        <is>
          <t>Nº 2218</t>
        </is>
      </c>
      <c r="D1110" s="14" t="inlineStr">
        <is>
          <t>ACETA</t>
        </is>
      </c>
      <c r="E1110" s="11" t="n">
        <v>1</v>
      </c>
      <c r="F1110" s="13" t="inlineStr">
        <is>
          <t>Ingrediente Ativo Principal</t>
        </is>
      </c>
      <c r="G1110" s="13" t="inlineStr">
        <is>
          <t>ACETAMIPRID 200</t>
        </is>
      </c>
      <c r="H1110" s="13" t="inlineStr">
        <is>
          <t>(E)-N1-[(6-chloro-3-pyridyl)methyl]-N2-cyano-N1-methylacetamidine</t>
        </is>
      </c>
      <c r="I1110" s="13" t="inlineStr">
        <is>
          <t>Neonicotinoide</t>
        </is>
      </c>
      <c r="J1110" s="13" t="inlineStr">
        <is>
          <t>IRAC Grupo 4A</t>
        </is>
      </c>
      <c r="K1110" s="13" t="inlineStr">
        <is>
          <t>Moduladores competitivos de receptores nicotínicos da acetilcolina (nAChR)</t>
        </is>
      </c>
      <c r="L1110" s="15" t="n">
        <v>200</v>
      </c>
      <c r="M1110" s="13" t="inlineStr">
        <is>
          <t>g/kg</t>
        </is>
      </c>
      <c r="N1110" s="13" t="inlineStr">
        <is>
          <t>Registro Técnico Vinculado MAPA</t>
        </is>
      </c>
    </row>
    <row r="1111" ht="22" customHeight="1">
      <c r="A1111" s="6" t="inlineStr">
        <is>
          <t>CMP-1107</t>
        </is>
      </c>
      <c r="B1111" s="5" t="n">
        <v>820</v>
      </c>
      <c r="C1111" s="7" t="inlineStr">
        <is>
          <t>Nº 2520</t>
        </is>
      </c>
      <c r="D1111" s="8" t="inlineStr">
        <is>
          <t>SURVEY 250 FS AMOSTRA 0,200L</t>
        </is>
      </c>
      <c r="E1111" s="5" t="n">
        <v>1</v>
      </c>
      <c r="F1111" s="7" t="inlineStr">
        <is>
          <t>Ingrediente Ativo Principal</t>
        </is>
      </c>
      <c r="G1111" s="7" t="inlineStr">
        <is>
          <t>FIPRONIL 250</t>
        </is>
      </c>
      <c r="H1111" s="7" t="inlineStr">
        <is>
          <t>(RS)-5-amino-1-(2,6-dichloro-a,a,a-trifluoro-p-tolyl)-4-trifluoromethylsulfinylpyrazole-3-carbonitrile</t>
        </is>
      </c>
      <c r="I1111" s="7" t="inlineStr">
        <is>
          <t>Pirazol (Fenilpirazol)</t>
        </is>
      </c>
      <c r="J1111" s="7" t="inlineStr">
        <is>
          <t>IRAC Grupo 2B</t>
        </is>
      </c>
      <c r="K1111" s="7" t="inlineStr">
        <is>
          <t>Bloqueadores de canais de cloro mediados pelo GABA</t>
        </is>
      </c>
      <c r="L1111" s="9" t="n">
        <v>250</v>
      </c>
      <c r="M1111" s="7" t="inlineStr">
        <is>
          <t>g/L</t>
        </is>
      </c>
      <c r="N1111" s="7" t="inlineStr">
        <is>
          <t>Registro Técnico Vinculado MAPA</t>
        </is>
      </c>
    </row>
    <row r="1112" ht="22" customHeight="1">
      <c r="A1112" s="12" t="inlineStr">
        <is>
          <t>CMP-1108</t>
        </is>
      </c>
      <c r="B1112" s="11" t="n">
        <v>821</v>
      </c>
      <c r="C1112" s="13" t="inlineStr">
        <is>
          <t>Nº 34224</t>
        </is>
      </c>
      <c r="D1112" s="14" t="inlineStr">
        <is>
          <t>MESTRONG</t>
        </is>
      </c>
      <c r="E1112" s="11" t="n">
        <v>1</v>
      </c>
      <c r="F1112" s="13" t="inlineStr">
        <is>
          <t>Ingrediente Ativo Principal</t>
        </is>
      </c>
      <c r="G1112" s="13" t="inlineStr">
        <is>
          <t>MESOTRIONA 480</t>
        </is>
      </c>
      <c r="H1112" s="13" t="inlineStr">
        <is>
          <t>2-(4-mesyl-2-nitrobenzoyl)cyclohexane-1,3-dione</t>
        </is>
      </c>
      <c r="I1112" s="13" t="inlineStr">
        <is>
          <t>Tricetona</t>
        </is>
      </c>
      <c r="J1112" s="13" t="inlineStr">
        <is>
          <t>HRAC Grupo F2 (27) — Inibidores da HPPD</t>
        </is>
      </c>
      <c r="K1112" s="13" t="inlineStr">
        <is>
          <t>Inibidores da enzima 4-hidroxifenil-piruvato-dioxigenase (HPPD - biossíntese de carotenoides)</t>
        </is>
      </c>
      <c r="L1112" s="15" t="n">
        <v>480</v>
      </c>
      <c r="M1112" s="13" t="inlineStr">
        <is>
          <t>g/L</t>
        </is>
      </c>
      <c r="N1112" s="13" t="inlineStr">
        <is>
          <t>Registro Técnico Vinculado MAPA</t>
        </is>
      </c>
    </row>
    <row r="1113" ht="22" customHeight="1">
      <c r="A1113" s="6" t="inlineStr">
        <is>
          <t>CMP-1109</t>
        </is>
      </c>
      <c r="B1113" s="5" t="n">
        <v>822</v>
      </c>
      <c r="C1113" s="7" t="inlineStr">
        <is>
          <t>Nº 14421</t>
        </is>
      </c>
      <c r="D1113" s="8" t="inlineStr">
        <is>
          <t>LEALTY FS</t>
        </is>
      </c>
      <c r="E1113" s="5" t="n">
        <v>1</v>
      </c>
      <c r="F1113" s="7" t="inlineStr">
        <is>
          <t>Ingrediente Ativo Principal</t>
        </is>
      </c>
      <c r="G1113" s="7" t="inlineStr">
        <is>
          <t>FIPRONIL 250</t>
        </is>
      </c>
      <c r="H1113" s="7" t="inlineStr">
        <is>
          <t>(RS)-5-amino-1-(2,6-dichloro-a,a,a-trifluoro-p-tolyl)-4-trifluoromethylsulfinylpyrazole-3-carbonitrile</t>
        </is>
      </c>
      <c r="I1113" s="7" t="inlineStr">
        <is>
          <t>Pirazol (Fenilpirazol)</t>
        </is>
      </c>
      <c r="J1113" s="7" t="inlineStr">
        <is>
          <t>IRAC Grupo 2B</t>
        </is>
      </c>
      <c r="K1113" s="7" t="inlineStr">
        <is>
          <t>Bloqueadores de canais de cloro mediados pelo GABA</t>
        </is>
      </c>
      <c r="L1113" s="9" t="n">
        <v>250</v>
      </c>
      <c r="M1113" s="7" t="inlineStr">
        <is>
          <t>g/L</t>
        </is>
      </c>
      <c r="N1113" s="7" t="inlineStr">
        <is>
          <t>Registro Técnico Vinculado MAPA</t>
        </is>
      </c>
    </row>
    <row r="1114" ht="22" customHeight="1">
      <c r="A1114" s="12" t="inlineStr">
        <is>
          <t>CMP-1110</t>
        </is>
      </c>
      <c r="B1114" s="11" t="n">
        <v>823</v>
      </c>
      <c r="C1114" s="13" t="inlineStr">
        <is>
          <t>Nº 32224</t>
        </is>
      </c>
      <c r="D1114" s="14" t="inlineStr">
        <is>
          <t>PYRIPROXYFEN 100 SINO-AGRI AMOSTRA 0,200L</t>
        </is>
      </c>
      <c r="E1114" s="11" t="n">
        <v>1</v>
      </c>
      <c r="F1114" s="13" t="inlineStr">
        <is>
          <t>Ingrediente Ativo Principal</t>
        </is>
      </c>
      <c r="G1114" s="13" t="inlineStr">
        <is>
          <t>PIRIPROXIFEM 100</t>
        </is>
      </c>
      <c r="H1114" s="13" t="inlineStr">
        <is>
          <t>4-phenoxyphenyl (RS)-2-(2-pyridyloxy)propyl ether</t>
        </is>
      </c>
      <c r="I1114" s="13" t="inlineStr">
        <is>
          <t>Éter piridiloxipropílico</t>
        </is>
      </c>
      <c r="J1114" s="13" t="inlineStr">
        <is>
          <t>IRAC Grupo 7C</t>
        </is>
      </c>
      <c r="K1114" s="13" t="inlineStr">
        <is>
          <t>Mimetizadores do hormônio juvenil (Juvenoides)</t>
        </is>
      </c>
      <c r="L1114" s="15" t="n">
        <v>100</v>
      </c>
      <c r="M1114" s="13" t="inlineStr">
        <is>
          <t>g/L</t>
        </is>
      </c>
      <c r="N1114" s="13" t="inlineStr">
        <is>
          <t>Registro Técnico Vinculado MAPA</t>
        </is>
      </c>
    </row>
    <row r="1115" ht="22" customHeight="1">
      <c r="A1115" s="6" t="inlineStr">
        <is>
          <t>CMP-1111</t>
        </is>
      </c>
      <c r="B1115" s="5" t="n">
        <v>824</v>
      </c>
      <c r="C1115" s="7" t="inlineStr">
        <is>
          <t>SIPEAGRO (UF-XXXXX)</t>
        </is>
      </c>
      <c r="D1115" s="8" t="inlineStr">
        <is>
          <t>ULEXITA 10B GRANULADO (NaCaB5O9.8H2O) - PROBORO</t>
        </is>
      </c>
      <c r="E1115" s="5" t="n">
        <v>1</v>
      </c>
      <c r="F1115" s="7" t="inlineStr">
        <is>
          <t>Ingrediente Ativo Principal</t>
        </is>
      </c>
      <c r="G1115" s="7" t="inlineStr">
        <is>
          <t>10% BORO TOTAL 6% B SOL. ACIDO CITRICO A 2%</t>
        </is>
      </c>
      <c r="H1115" s="7" t="inlineStr">
        <is>
          <t>Corretivo / Condicionador Mineral (10% BORO TOTAL 6% B SOL. ACIDO CITRICO A 2%)</t>
        </is>
      </c>
      <c r="I1115" s="7" t="inlineStr">
        <is>
          <t>Corretivo de Acidez / Condicionador de Solo (SIPEAGRO)</t>
        </is>
      </c>
      <c r="J1115" s="7" t="inlineStr">
        <is>
          <t>Correção Química de Solo</t>
        </is>
      </c>
      <c r="K1115" s="7" t="inlineStr">
        <is>
          <t>Neutralização de Al3+ tóxico e fornecimento de Ca2+, Mg2+, S ou B</t>
        </is>
      </c>
      <c r="L1115" s="9" t="n">
        <v>10</v>
      </c>
      <c r="M1115" s="7" t="inlineStr">
        <is>
          <t>% m/m</t>
        </is>
      </c>
      <c r="N1115" s="7" t="inlineStr">
        <is>
          <t>Registro Técnico Vinculado MAPA</t>
        </is>
      </c>
    </row>
    <row r="1116" ht="22" customHeight="1">
      <c r="A1116" s="12" t="inlineStr">
        <is>
          <t>CMP-1112</t>
        </is>
      </c>
      <c r="B1116" s="11" t="n">
        <v>825</v>
      </c>
      <c r="C1116" s="13" t="inlineStr">
        <is>
          <t>Nº 32322</t>
        </is>
      </c>
      <c r="D1116" s="14" t="inlineStr">
        <is>
          <t>JOYA BB</t>
        </is>
      </c>
      <c r="E1116" s="11" t="n">
        <v>1</v>
      </c>
      <c r="F1116" s="13" t="inlineStr">
        <is>
          <t>Ingrediente Ativo Principal</t>
        </is>
      </c>
      <c r="G1116" s="13" t="inlineStr">
        <is>
          <t>FLUMIOXAZINA 480</t>
        </is>
      </c>
      <c r="H1116" s="13" t="inlineStr">
        <is>
          <t>N-(7-fluoro-3,4-dihydro-3-oxo-4-prop-2-ynyl-2H-1,4-benzoxazin-6-yl)cyclohex-1-ene-1,2-dicarboximide</t>
        </is>
      </c>
      <c r="I1116" s="13" t="inlineStr">
        <is>
          <t>N-fenilftalimida</t>
        </is>
      </c>
      <c r="J1116" s="13" t="inlineStr">
        <is>
          <t>HRAC Grupo E (14) — Inibidores da PROTOX</t>
        </is>
      </c>
      <c r="K1116" s="13" t="inlineStr">
        <is>
          <t>Inibidores da enzima protoporfirinogênio oxidase (PROTOX)</t>
        </is>
      </c>
      <c r="L1116" s="15" t="n">
        <v>480</v>
      </c>
      <c r="M1116" s="13" t="inlineStr">
        <is>
          <t>g/L</t>
        </is>
      </c>
      <c r="N1116" s="13" t="inlineStr">
        <is>
          <t>Registro Técnico Vinculado MAPA</t>
        </is>
      </c>
    </row>
    <row r="1117" ht="22" customHeight="1">
      <c r="A1117" s="6" t="inlineStr">
        <is>
          <t>CMP-1113</t>
        </is>
      </c>
      <c r="B1117" s="5" t="n">
        <v>826</v>
      </c>
      <c r="C1117" s="7" t="inlineStr">
        <is>
          <t>Nº 40024</t>
        </is>
      </c>
      <c r="D1117" s="8" t="inlineStr">
        <is>
          <t>KROMSTAR</t>
        </is>
      </c>
      <c r="E1117" s="5" t="n">
        <v>1</v>
      </c>
      <c r="F1117" s="7" t="inlineStr">
        <is>
          <t>Ingrediente Ativo Principal</t>
        </is>
      </c>
      <c r="G1117" s="7" t="inlineStr">
        <is>
          <t>CIPROCONAZOL 80</t>
        </is>
      </c>
      <c r="H1117" s="7" t="inlineStr">
        <is>
          <t>(2RS,3RS;2RS,3SR)-2-(4-chlorophenyl)-3-cyclopropyl-1-(1H-1,2,4-triazol-1-yl)butan-2-ol</t>
        </is>
      </c>
      <c r="I1117" s="7" t="inlineStr">
        <is>
          <t>Triazol</t>
        </is>
      </c>
      <c r="J1117" s="7" t="inlineStr">
        <is>
          <t>FRAC Grupo 3 (G1 — DMI)</t>
        </is>
      </c>
      <c r="K1117" s="7" t="inlineStr">
        <is>
          <t>Inibidores da desmetilação do C14 na biossíntese do ergosterol</t>
        </is>
      </c>
      <c r="L1117" s="9" t="n">
        <v>80</v>
      </c>
      <c r="M1117" s="7" t="inlineStr">
        <is>
          <t>g/L</t>
        </is>
      </c>
      <c r="N1117" s="7" t="inlineStr">
        <is>
          <t>Registro Técnico Vinculado MAPA</t>
        </is>
      </c>
    </row>
    <row r="1118" ht="22" customHeight="1">
      <c r="A1118" s="12" t="inlineStr">
        <is>
          <t>CMP-1114</t>
        </is>
      </c>
      <c r="B1118" s="11" t="n">
        <v>826</v>
      </c>
      <c r="C1118" s="13" t="inlineStr">
        <is>
          <t>Nº 40024</t>
        </is>
      </c>
      <c r="D1118" s="14" t="inlineStr">
        <is>
          <t>KROMSTAR</t>
        </is>
      </c>
      <c r="E1118" s="11" t="n">
        <v>2</v>
      </c>
      <c r="F1118" s="13" t="inlineStr">
        <is>
          <t>Ingrediente Ativo Principal</t>
        </is>
      </c>
      <c r="G1118" s="13" t="inlineStr">
        <is>
          <t>PICOXISTROBINA 200</t>
        </is>
      </c>
      <c r="H1118" s="13" t="inlineStr">
        <is>
          <t>Methyl (E)-3-methoxy-2-{2-[6-(trifluoromethyl)-2-pyridyloxymethyl]phenyl}acrylate</t>
        </is>
      </c>
      <c r="I1118" s="13" t="inlineStr">
        <is>
          <t>Estrobilurina (Metoxiacrilato)</t>
        </is>
      </c>
      <c r="J1118" s="13" t="inlineStr">
        <is>
          <t>FRAC Grupo 11 (C3 — QoI)</t>
        </is>
      </c>
      <c r="K1118" s="13" t="inlineStr">
        <is>
          <t>Inibidores da respiração mitocondrial no Complexo III (sítio Qo)</t>
        </is>
      </c>
      <c r="L1118" s="15" t="n">
        <v>200</v>
      </c>
      <c r="M1118" s="13" t="inlineStr">
        <is>
          <t>g/L</t>
        </is>
      </c>
      <c r="N1118" s="13" t="inlineStr">
        <is>
          <t>Registro Técnico Vinculado MAPA</t>
        </is>
      </c>
    </row>
    <row r="1119" ht="22" customHeight="1">
      <c r="A1119" s="6" t="inlineStr">
        <is>
          <t>CMP-1115</t>
        </is>
      </c>
      <c r="B1119" s="5" t="n">
        <v>827</v>
      </c>
      <c r="C1119" s="7" t="inlineStr">
        <is>
          <t>Nº 22225</t>
        </is>
      </c>
      <c r="D1119" s="8" t="inlineStr">
        <is>
          <t>KILLIGAN</t>
        </is>
      </c>
      <c r="E1119" s="5" t="n">
        <v>1</v>
      </c>
      <c r="F1119" s="7" t="inlineStr">
        <is>
          <t>Ingrediente Ativo Principal</t>
        </is>
      </c>
      <c r="G1119" s="7" t="inlineStr">
        <is>
          <t>CLORFENAPIR 240</t>
        </is>
      </c>
      <c r="H1119" s="7" t="inlineStr">
        <is>
          <t>4-bromo-2-(4-chlorophenyl)-1-ethoxymethyl-5-trifluoromethyl-1H-pyrrole-3-carbonitrile</t>
        </is>
      </c>
      <c r="I1119" s="7" t="inlineStr">
        <is>
          <t>Análogo de pirazol (Arilpirrol)</t>
        </is>
      </c>
      <c r="J1119" s="7" t="inlineStr">
        <is>
          <t>IRAC Grupo 13</t>
        </is>
      </c>
      <c r="K1119" s="7" t="inlineStr">
        <is>
          <t>Desacopladores da fosforilação oxidativa via disrupção do gradiente de prótons</t>
        </is>
      </c>
      <c r="L1119" s="9" t="n">
        <v>240</v>
      </c>
      <c r="M1119" s="7" t="inlineStr">
        <is>
          <t>g/L</t>
        </is>
      </c>
      <c r="N1119" s="7" t="inlineStr">
        <is>
          <t>Registro Técnico Vinculado MAPA</t>
        </is>
      </c>
    </row>
    <row r="1120" ht="22" customHeight="1">
      <c r="A1120" s="12" t="inlineStr">
        <is>
          <t>CMP-1116</t>
        </is>
      </c>
      <c r="B1120" s="11" t="n">
        <v>828</v>
      </c>
      <c r="C1120" s="13" t="inlineStr">
        <is>
          <t>Nº 22824</t>
        </is>
      </c>
      <c r="D1120" s="14" t="inlineStr">
        <is>
          <t>FLAIL</t>
        </is>
      </c>
      <c r="E1120" s="11" t="n">
        <v>1</v>
      </c>
      <c r="F1120" s="13" t="inlineStr">
        <is>
          <t>Ingrediente Ativo Principal</t>
        </is>
      </c>
      <c r="G1120" s="13" t="inlineStr">
        <is>
          <t>FLUMIOXAZINA 480</t>
        </is>
      </c>
      <c r="H1120" s="13" t="inlineStr">
        <is>
          <t>N-(7-fluoro-3,4-dihydro-3-oxo-4-prop-2-ynyl-2H-1,4-benzoxazin-6-yl)cyclohex-1-ene-1,2-dicarboximide</t>
        </is>
      </c>
      <c r="I1120" s="13" t="inlineStr">
        <is>
          <t>N-fenilftalimida</t>
        </is>
      </c>
      <c r="J1120" s="13" t="inlineStr">
        <is>
          <t>HRAC Grupo E (14) — Inibidores da PROTOX</t>
        </is>
      </c>
      <c r="K1120" s="13" t="inlineStr">
        <is>
          <t>Inibidores da enzima protoporfirinogênio oxidase (PROTOX)</t>
        </is>
      </c>
      <c r="L1120" s="15" t="n">
        <v>480</v>
      </c>
      <c r="M1120" s="13" t="inlineStr">
        <is>
          <t>g/L</t>
        </is>
      </c>
      <c r="N1120" s="13" t="inlineStr">
        <is>
          <t>Registro Técnico Vinculado MAPA</t>
        </is>
      </c>
    </row>
    <row r="1121" ht="22" customHeight="1">
      <c r="A1121" s="6" t="inlineStr">
        <is>
          <t>CMP-1117</t>
        </is>
      </c>
      <c r="B1121" s="5" t="n">
        <v>829</v>
      </c>
      <c r="C1121" s="7" t="inlineStr">
        <is>
          <t>Nº 4623</t>
        </is>
      </c>
      <c r="D1121" s="8" t="inlineStr">
        <is>
          <t>WEXITE</t>
        </is>
      </c>
      <c r="E1121" s="5" t="n">
        <v>1</v>
      </c>
      <c r="F1121" s="7" t="inlineStr">
        <is>
          <t>Ingrediente Ativo Principal</t>
        </is>
      </c>
      <c r="G1121" s="7" t="inlineStr">
        <is>
          <t>ACEFATO 970</t>
        </is>
      </c>
      <c r="H1121" s="7" t="inlineStr">
        <is>
          <t>O,S-dimethyl acetylphosphoramidothioate</t>
        </is>
      </c>
      <c r="I1121" s="7" t="inlineStr">
        <is>
          <t>Organofosforado</t>
        </is>
      </c>
      <c r="J1121" s="7" t="inlineStr">
        <is>
          <t>IRAC Grupo 1B</t>
        </is>
      </c>
      <c r="K1121" s="7" t="inlineStr">
        <is>
          <t>Inibidores da enzima acetilcolinesterase (AChE)</t>
        </is>
      </c>
      <c r="L1121" s="9" t="n">
        <v>970</v>
      </c>
      <c r="M1121" s="7" t="inlineStr">
        <is>
          <t>g/kg</t>
        </is>
      </c>
      <c r="N1121" s="7" t="inlineStr">
        <is>
          <t>Registro Técnico Vinculado MAPA</t>
        </is>
      </c>
    </row>
    <row r="1122" ht="22" customHeight="1">
      <c r="A1122" s="12" t="inlineStr">
        <is>
          <t>CMP-1118</t>
        </is>
      </c>
      <c r="B1122" s="11" t="n">
        <v>830</v>
      </c>
      <c r="C1122" s="13" t="inlineStr">
        <is>
          <t>SIPEAGRO (UF-XXXXX)</t>
        </is>
      </c>
      <c r="D1122" s="14" t="inlineStr">
        <is>
          <t>ENXOFRE BENTONITA - BG 1.097 KG - IMPACTPVA</t>
        </is>
      </c>
      <c r="E1122" s="11" t="n">
        <v>1</v>
      </c>
      <c r="F1122" s="13" t="inlineStr">
        <is>
          <t>Ingrediente Ativo Principal</t>
        </is>
      </c>
      <c r="G1122" s="13" t="inlineStr">
        <is>
          <t>ENXOFRE ELEMENTAR (S 90% m/m em Matriz de Bentonita 10%)</t>
        </is>
      </c>
      <c r="H1122" s="13" t="inlineStr">
        <is>
          <t>Elemental Sulfur (S8) + Bentonite clay</t>
        </is>
      </c>
      <c r="I1122" s="13" t="inlineStr">
        <is>
          <t>Fertilizante Mineral Simples Sulfurico (Pastilha Granulada)</t>
        </is>
      </c>
      <c r="J1122" s="13" t="inlineStr">
        <is>
          <t>Nutrição Vegetal — Grupo S (Enxofre Elementar)</t>
        </is>
      </c>
      <c r="K1122" s="13" t="inlineStr">
        <is>
          <t>Oxidação microbiológica gradual a sulfato (SO4 2-) no solo</t>
        </is>
      </c>
      <c r="L1122" s="15" t="n">
        <v>90</v>
      </c>
      <c r="M1122" s="13" t="inlineStr">
        <is>
          <t>% m/m</t>
        </is>
      </c>
      <c r="N1122" s="13" t="inlineStr">
        <is>
          <t>Registro Técnico Vinculado MAPA</t>
        </is>
      </c>
    </row>
    <row r="1123" ht="22" customHeight="1">
      <c r="A1123" s="6" t="inlineStr">
        <is>
          <t>CMP-1119</t>
        </is>
      </c>
      <c r="B1123" s="5" t="n">
        <v>831</v>
      </c>
      <c r="C1123" s="7" t="inlineStr">
        <is>
          <t>Nº 47125</t>
        </is>
      </c>
      <c r="D1123" s="8" t="inlineStr">
        <is>
          <t>CHLORFENAPYR</t>
        </is>
      </c>
      <c r="E1123" s="5" t="n">
        <v>1</v>
      </c>
      <c r="F1123" s="7" t="inlineStr">
        <is>
          <t>Ingrediente Ativo Principal</t>
        </is>
      </c>
      <c r="G1123" s="7" t="inlineStr">
        <is>
          <t>CLORFENAPIR 240</t>
        </is>
      </c>
      <c r="H1123" s="7" t="inlineStr">
        <is>
          <t>4-bromo-2-(4-chlorophenyl)-1-ethoxymethyl-5-trifluoromethyl-1H-pyrrole-3-carbonitrile</t>
        </is>
      </c>
      <c r="I1123" s="7" t="inlineStr">
        <is>
          <t>Análogo de pirazol (Arilpirrol)</t>
        </is>
      </c>
      <c r="J1123" s="7" t="inlineStr">
        <is>
          <t>IRAC Grupo 13</t>
        </is>
      </c>
      <c r="K1123" s="7" t="inlineStr">
        <is>
          <t>Desacopladores da fosforilação oxidativa via disrupção do gradiente de prótons</t>
        </is>
      </c>
      <c r="L1123" s="9" t="n">
        <v>240</v>
      </c>
      <c r="M1123" s="7" t="inlineStr">
        <is>
          <t>g/L</t>
        </is>
      </c>
      <c r="N1123" s="7" t="inlineStr">
        <is>
          <t>Registro Técnico Vinculado MAPA</t>
        </is>
      </c>
    </row>
    <row r="1124" ht="22" customHeight="1">
      <c r="A1124" s="12" t="inlineStr">
        <is>
          <t>CMP-1120</t>
        </is>
      </c>
      <c r="B1124" s="11" t="n">
        <v>832</v>
      </c>
      <c r="C1124" s="13" t="inlineStr">
        <is>
          <t>Nº 2218</t>
        </is>
      </c>
      <c r="D1124" s="14" t="inlineStr">
        <is>
          <t>ACETA</t>
        </is>
      </c>
      <c r="E1124" s="11" t="n">
        <v>1</v>
      </c>
      <c r="F1124" s="13" t="inlineStr">
        <is>
          <t>Ingrediente Ativo Principal</t>
        </is>
      </c>
      <c r="G1124" s="13" t="inlineStr">
        <is>
          <t>ACETAMIPRID 200</t>
        </is>
      </c>
      <c r="H1124" s="13" t="inlineStr">
        <is>
          <t>(E)-N1-[(6-chloro-3-pyridyl)methyl]-N2-cyano-N1-methylacetamidine</t>
        </is>
      </c>
      <c r="I1124" s="13" t="inlineStr">
        <is>
          <t>Neonicotinoide</t>
        </is>
      </c>
      <c r="J1124" s="13" t="inlineStr">
        <is>
          <t>IRAC Grupo 4A</t>
        </is>
      </c>
      <c r="K1124" s="13" t="inlineStr">
        <is>
          <t>Moduladores competitivos de receptores nicotínicos da acetilcolina (nAChR)</t>
        </is>
      </c>
      <c r="L1124" s="15" t="n">
        <v>200</v>
      </c>
      <c r="M1124" s="13" t="inlineStr">
        <is>
          <t>g/kg</t>
        </is>
      </c>
      <c r="N1124" s="13" t="inlineStr">
        <is>
          <t>Registro Técnico Vinculado MAPA</t>
        </is>
      </c>
    </row>
    <row r="1125" ht="22" customHeight="1">
      <c r="A1125" s="6" t="inlineStr">
        <is>
          <t>CMP-1121</t>
        </is>
      </c>
      <c r="B1125" s="5" t="n">
        <v>833</v>
      </c>
      <c r="C1125" s="7" t="inlineStr">
        <is>
          <t>Nº 47125</t>
        </is>
      </c>
      <c r="D1125" s="8" t="inlineStr">
        <is>
          <t>CHLORFENAPYR</t>
        </is>
      </c>
      <c r="E1125" s="5" t="n">
        <v>1</v>
      </c>
      <c r="F1125" s="7" t="inlineStr">
        <is>
          <t>Ingrediente Ativo Principal</t>
        </is>
      </c>
      <c r="G1125" s="7" t="inlineStr">
        <is>
          <t>CLORFENAPIR 240</t>
        </is>
      </c>
      <c r="H1125" s="7" t="inlineStr">
        <is>
          <t>4-bromo-2-(4-chlorophenyl)-1-ethoxymethyl-5-trifluoromethyl-1H-pyrrole-3-carbonitrile</t>
        </is>
      </c>
      <c r="I1125" s="7" t="inlineStr">
        <is>
          <t>Análogo de pirazol (Arilpirrol)</t>
        </is>
      </c>
      <c r="J1125" s="7" t="inlineStr">
        <is>
          <t>IRAC Grupo 13</t>
        </is>
      </c>
      <c r="K1125" s="7" t="inlineStr">
        <is>
          <t>Desacopladores da fosforilação oxidativa via disrupção do gradiente de prótons</t>
        </is>
      </c>
      <c r="L1125" s="9" t="n">
        <v>240</v>
      </c>
      <c r="M1125" s="7" t="inlineStr">
        <is>
          <t>g/L</t>
        </is>
      </c>
      <c r="N1125" s="7" t="inlineStr">
        <is>
          <t>Registro Técnico Vinculado MAPA</t>
        </is>
      </c>
    </row>
    <row r="1126" ht="22" customHeight="1">
      <c r="A1126" s="12" t="inlineStr">
        <is>
          <t>CMP-1122</t>
        </is>
      </c>
      <c r="B1126" s="11" t="n">
        <v>834</v>
      </c>
      <c r="C1126" s="13" t="inlineStr">
        <is>
          <t>SIPEAGRO (UF-XXXXX)</t>
        </is>
      </c>
      <c r="D1126" s="14" t="inlineStr">
        <is>
          <t>SUPERFOSFATO TRIPLO 46%  - FERTALVO</t>
        </is>
      </c>
      <c r="E1126" s="11" t="n">
        <v>1</v>
      </c>
      <c r="F1126" s="13" t="inlineStr">
        <is>
          <t>Nutriente Garantido</t>
        </is>
      </c>
      <c r="G1126" s="13" t="inlineStr">
        <is>
          <t>46% P2O5</t>
        </is>
      </c>
      <c r="H1126" s="13" t="inlineStr">
        <is>
          <t>Composição Nutricional Oficial (46% P2O5)</t>
        </is>
      </c>
      <c r="I1126" s="13" t="inlineStr">
        <is>
          <t>Fertilizante Mineral / Organomineral (Lei nº 6.894/1980)</t>
        </is>
      </c>
      <c r="J1126" s="13" t="inlineStr">
        <is>
          <t>Nutrição Vegetal SIPEAGRO</t>
        </is>
      </c>
      <c r="K1126" s="13" t="inlineStr">
        <is>
          <t>Fornecimento de macro e micronutrientes essenciais ao metabolismo vegetal</t>
        </is>
      </c>
      <c r="L1126" s="15" t="n">
        <v>46</v>
      </c>
      <c r="M1126" s="13" t="inlineStr">
        <is>
          <t>% m/m</t>
        </is>
      </c>
      <c r="N1126" s="13" t="inlineStr">
        <is>
          <t>Registro Técnico Vinculado MAPA</t>
        </is>
      </c>
    </row>
    <row r="1127" ht="22" customHeight="1">
      <c r="A1127" s="6" t="inlineStr">
        <is>
          <t>CMP-1123</t>
        </is>
      </c>
      <c r="B1127" s="5" t="n">
        <v>835</v>
      </c>
      <c r="C1127" s="7" t="inlineStr">
        <is>
          <t>Nº 47125</t>
        </is>
      </c>
      <c r="D1127" s="8" t="inlineStr">
        <is>
          <t>CHLORFENAPYR</t>
        </is>
      </c>
      <c r="E1127" s="5" t="n">
        <v>1</v>
      </c>
      <c r="F1127" s="7" t="inlineStr">
        <is>
          <t>Ingrediente Ativo Principal</t>
        </is>
      </c>
      <c r="G1127" s="7" t="inlineStr">
        <is>
          <t>CLORFENAPIR 240</t>
        </is>
      </c>
      <c r="H1127" s="7" t="inlineStr">
        <is>
          <t>4-bromo-2-(4-chlorophenyl)-1-ethoxymethyl-5-trifluoromethyl-1H-pyrrole-3-carbonitrile</t>
        </is>
      </c>
      <c r="I1127" s="7" t="inlineStr">
        <is>
          <t>Análogo de pirazol (Arilpirrol)</t>
        </is>
      </c>
      <c r="J1127" s="7" t="inlineStr">
        <is>
          <t>IRAC Grupo 13</t>
        </is>
      </c>
      <c r="K1127" s="7" t="inlineStr">
        <is>
          <t>Desacopladores da fosforilação oxidativa via disrupção do gradiente de prótons</t>
        </is>
      </c>
      <c r="L1127" s="9" t="n">
        <v>240</v>
      </c>
      <c r="M1127" s="7" t="inlineStr">
        <is>
          <t>g/L</t>
        </is>
      </c>
      <c r="N1127" s="7" t="inlineStr">
        <is>
          <t>Registro Técnico Vinculado MAPA</t>
        </is>
      </c>
    </row>
    <row r="1128" ht="22" customHeight="1">
      <c r="A1128" s="12" t="inlineStr">
        <is>
          <t>CMP-1124</t>
        </is>
      </c>
      <c r="B1128" s="11" t="n">
        <v>836</v>
      </c>
      <c r="C1128" s="13" t="inlineStr">
        <is>
          <t>Nº 8406</t>
        </is>
      </c>
      <c r="D1128" s="14" t="inlineStr">
        <is>
          <t>CUREFORCE 250 EC IMP</t>
        </is>
      </c>
      <c r="E1128" s="11" t="n">
        <v>1</v>
      </c>
      <c r="F1128" s="13" t="inlineStr">
        <is>
          <t>Ingrediente Ativo Principal</t>
        </is>
      </c>
      <c r="G1128" s="13" t="inlineStr">
        <is>
          <t>DIFENOCONAZOL 250</t>
        </is>
      </c>
      <c r="H1128" s="13" t="inlineStr">
        <is>
          <t>cis,trans-3-chloro-4-[4-methyl-2-(1H-1,2,4-triazol-1-ylmethyl)-1,3-dioxolan-2-yl]phenyl 4-chlorophenyl ether</t>
        </is>
      </c>
      <c r="I1128" s="13" t="inlineStr">
        <is>
          <t>Triazol</t>
        </is>
      </c>
      <c r="J1128" s="13" t="inlineStr">
        <is>
          <t>FRAC Grupo 3 (DMI)</t>
        </is>
      </c>
      <c r="K1128" s="13" t="inlineStr">
        <is>
          <t>Inibidores da desmetilação de esteróis (C14-desmetilase na síntese de ergosterol)</t>
        </is>
      </c>
      <c r="L1128" s="15" t="n">
        <v>250</v>
      </c>
      <c r="M1128" s="13" t="inlineStr">
        <is>
          <t>g/L</t>
        </is>
      </c>
      <c r="N1128" s="13" t="inlineStr">
        <is>
          <t>Registro Técnico Vinculado MAPA</t>
        </is>
      </c>
    </row>
    <row r="1129" ht="22" customHeight="1">
      <c r="A1129" s="6" t="inlineStr">
        <is>
          <t>CMP-1125</t>
        </is>
      </c>
      <c r="B1129" s="5" t="n">
        <v>837</v>
      </c>
      <c r="C1129" s="7" t="inlineStr">
        <is>
          <t>Nº 28421</t>
        </is>
      </c>
      <c r="D1129" s="8" t="inlineStr">
        <is>
          <t>BALLA IMP (VALIDAR)</t>
        </is>
      </c>
      <c r="E1129" s="5" t="n">
        <v>1</v>
      </c>
      <c r="F1129" s="7" t="inlineStr">
        <is>
          <t>Ingrediente Ativo Principal</t>
        </is>
      </c>
      <c r="G1129" s="7" t="inlineStr">
        <is>
          <t>CLORFENAPIR 240</t>
        </is>
      </c>
      <c r="H1129" s="7" t="inlineStr">
        <is>
          <t>4-bromo-2-(4-chlorophenyl)-1-ethoxymethyl-5-trifluoromethyl-1H-pyrrole-3-carbonitrile</t>
        </is>
      </c>
      <c r="I1129" s="7" t="inlineStr">
        <is>
          <t>Análogo de pirazol (Arilpirrol)</t>
        </is>
      </c>
      <c r="J1129" s="7" t="inlineStr">
        <is>
          <t>IRAC Grupo 13</t>
        </is>
      </c>
      <c r="K1129" s="7" t="inlineStr">
        <is>
          <t>Desacopladores da fosforilação oxidativa via disrupção do gradiente de prótons</t>
        </is>
      </c>
      <c r="L1129" s="9" t="n">
        <v>240</v>
      </c>
      <c r="M1129" s="7" t="inlineStr">
        <is>
          <t>g/L</t>
        </is>
      </c>
      <c r="N1129" s="7" t="inlineStr">
        <is>
          <t>Registro Técnico Vinculado MAPA</t>
        </is>
      </c>
    </row>
    <row r="1130" ht="22" customHeight="1">
      <c r="A1130" s="12" t="inlineStr">
        <is>
          <t>CMP-1126</t>
        </is>
      </c>
      <c r="B1130" s="11" t="n">
        <v>838</v>
      </c>
      <c r="C1130" s="13" t="inlineStr">
        <is>
          <t>Nº 36721</t>
        </is>
      </c>
      <c r="D1130" s="14" t="inlineStr">
        <is>
          <t>MAIZEFORCE IMP</t>
        </is>
      </c>
      <c r="E1130" s="11" t="n">
        <v>1</v>
      </c>
      <c r="F1130" s="13" t="inlineStr">
        <is>
          <t>Ingrediente Ativo Principal</t>
        </is>
      </c>
      <c r="G1130" s="13" t="inlineStr">
        <is>
          <t>MESOTRIONA 480</t>
        </is>
      </c>
      <c r="H1130" s="13" t="inlineStr">
        <is>
          <t>2-(4-mesyl-2-nitrobenzoyl)cyclohexane-1,3-dione</t>
        </is>
      </c>
      <c r="I1130" s="13" t="inlineStr">
        <is>
          <t>Tricetona</t>
        </is>
      </c>
      <c r="J1130" s="13" t="inlineStr">
        <is>
          <t>HRAC Grupo F2 (27) — Inibidores da HPPD</t>
        </is>
      </c>
      <c r="K1130" s="13" t="inlineStr">
        <is>
          <t>Inibidores da enzima 4-hidroxifenil-piruvato-dioxigenase (HPPD - biossíntese de carotenoides)</t>
        </is>
      </c>
      <c r="L1130" s="15" t="n">
        <v>480</v>
      </c>
      <c r="M1130" s="13" t="inlineStr">
        <is>
          <t>g/L</t>
        </is>
      </c>
      <c r="N1130" s="13" t="inlineStr">
        <is>
          <t>Registro Técnico Vinculado MAPA</t>
        </is>
      </c>
    </row>
    <row r="1131" ht="22" customHeight="1">
      <c r="A1131" s="6" t="inlineStr">
        <is>
          <t>CMP-1127</t>
        </is>
      </c>
      <c r="B1131" s="5" t="n">
        <v>839</v>
      </c>
      <c r="C1131" s="7" t="inlineStr">
        <is>
          <t>Nº 19217</t>
        </is>
      </c>
      <c r="D1131" s="8" t="inlineStr">
        <is>
          <t>BLOWOUT</t>
        </is>
      </c>
      <c r="E1131" s="5" t="n">
        <v>1</v>
      </c>
      <c r="F1131" s="7" t="inlineStr">
        <is>
          <t>Ingrediente Ativo Principal</t>
        </is>
      </c>
      <c r="G1131" s="7" t="inlineStr">
        <is>
          <t>DIQUATE ÍON 200 g/L (Dibrometo de Diquate 373,5 g/L)</t>
        </is>
      </c>
      <c r="H1131" s="7" t="inlineStr">
        <is>
          <t>9,10-dihydro-8a,10a-diazoniaphenanthrene dibromide (Dibrometo de Diquate)</t>
        </is>
      </c>
      <c r="I1131" s="7" t="inlineStr">
        <is>
          <t>Bipiridílio</t>
        </is>
      </c>
      <c r="J1131" s="7" t="inlineStr">
        <is>
          <t>HRAC Grupo D (22) — Desviadores de Elétrons do Fotossistema I</t>
        </is>
      </c>
      <c r="K1131" s="7" t="inlineStr">
        <is>
          <t>Inibidores do Fotossistema I (geração de radicais livres peróxidos)</t>
        </is>
      </c>
      <c r="L1131" s="9" t="n">
        <v>200</v>
      </c>
      <c r="M1131" s="7" t="inlineStr">
        <is>
          <t>g/L</t>
        </is>
      </c>
      <c r="N1131" s="7" t="inlineStr">
        <is>
          <t>Registro Técnico Vinculado MAPA</t>
        </is>
      </c>
    </row>
    <row r="1132" ht="22" customHeight="1">
      <c r="A1132" s="12" t="inlineStr">
        <is>
          <t>CMP-1128</t>
        </is>
      </c>
      <c r="B1132" s="11" t="n">
        <v>840</v>
      </c>
      <c r="C1132" s="13" t="inlineStr">
        <is>
          <t>Nº 4026</t>
        </is>
      </c>
      <c r="D1132" s="14" t="inlineStr">
        <is>
          <t>SYNPROLE</t>
        </is>
      </c>
      <c r="E1132" s="11" t="n">
        <v>1</v>
      </c>
      <c r="F1132" s="13" t="inlineStr">
        <is>
          <t>Ingrediente Ativo Principal</t>
        </is>
      </c>
      <c r="G1132" s="13" t="inlineStr">
        <is>
          <t>PROTIOCONAZOLE 480</t>
        </is>
      </c>
      <c r="H1132" s="13" t="inlineStr">
        <is>
          <t>(RS)-2-[2-(1-chlorocyclopropyl)-3-(2-chlorophenyl)-2-hydroxypropyl]-2,4-dihydro-1,2,4-triazole-3-thione</t>
        </is>
      </c>
      <c r="I1132" s="13" t="inlineStr">
        <is>
          <t>Triazolinthiona</t>
        </is>
      </c>
      <c r="J1132" s="13" t="inlineStr">
        <is>
          <t>FRAC Grupo 3 (DMI)</t>
        </is>
      </c>
      <c r="K1132" s="13" t="inlineStr">
        <is>
          <t>Inibidores da desmetilação de esteróis (DMI - C14-desmetilase)</t>
        </is>
      </c>
      <c r="L1132" s="15" t="n">
        <v>480</v>
      </c>
      <c r="M1132" s="13" t="inlineStr">
        <is>
          <t>g/L</t>
        </is>
      </c>
      <c r="N1132" s="13" t="inlineStr">
        <is>
          <t>Registro Técnico Vinculado MAPA</t>
        </is>
      </c>
    </row>
    <row r="1133" ht="22" customHeight="1">
      <c r="A1133" s="6" t="inlineStr">
        <is>
          <t>CMP-1129</t>
        </is>
      </c>
      <c r="B1133" s="5" t="n">
        <v>841</v>
      </c>
      <c r="C1133" s="7" t="inlineStr">
        <is>
          <t>VINCULAR MARCA</t>
        </is>
      </c>
      <c r="D1133" s="8" t="inlineStr">
        <is>
          <t>FLUAZINAM TECNICO 98% (AMOSTRA)</t>
        </is>
      </c>
      <c r="E1133" s="5" t="n">
        <v>1</v>
      </c>
      <c r="F1133" s="7" t="inlineStr">
        <is>
          <t>Ingrediente Ativo Grau Técnico</t>
        </is>
      </c>
      <c r="G1133" s="7" t="inlineStr">
        <is>
          <t>FLUAZINAM</t>
        </is>
      </c>
      <c r="H1133" s="7" t="inlineStr">
        <is>
          <t>3-chloro-N-(3-chloro-5-trifluoromethyl-2-pyridyl)-alpha,alpha,alpha-trifluoro-2,6-dinitro-p-toluidine</t>
        </is>
      </c>
      <c r="I1133" s="7" t="inlineStr">
        <is>
          <t>Fenilpiridinamina (2,6-dinitroanilina)</t>
        </is>
      </c>
      <c r="J1133" s="7" t="inlineStr">
        <is>
          <t>FRAC Grupo 29 (C5)</t>
        </is>
      </c>
      <c r="K1133" s="7" t="inlineStr">
        <is>
          <t>Desacoplador da fosforilação oxidativa mitocondrial</t>
        </is>
      </c>
      <c r="L1133" s="9" t="n">
        <v>960</v>
      </c>
      <c r="M1133" s="7" t="inlineStr">
        <is>
          <t>g/kg</t>
        </is>
      </c>
      <c r="N1133" s="7" t="inlineStr">
        <is>
          <t>Registro de Produto Técnico MAPA</t>
        </is>
      </c>
    </row>
    <row r="1134" ht="22" customHeight="1">
      <c r="A1134" s="12" t="inlineStr">
        <is>
          <t>CMP-1130</t>
        </is>
      </c>
      <c r="B1134" s="11" t="n">
        <v>842</v>
      </c>
      <c r="C1134" s="13" t="inlineStr">
        <is>
          <t>Nº 40624</t>
        </is>
      </c>
      <c r="D1134" s="14" t="inlineStr">
        <is>
          <t>SHARK</t>
        </is>
      </c>
      <c r="E1134" s="11" t="n">
        <v>1</v>
      </c>
      <c r="F1134" s="13" t="inlineStr">
        <is>
          <t>Ingrediente Ativo Principal</t>
        </is>
      </c>
      <c r="G1134" s="13" t="inlineStr">
        <is>
          <t>CLORPIRIFOS 480</t>
        </is>
      </c>
      <c r="H1134" s="13" t="inlineStr">
        <is>
          <t>O,O-diethyl O-3,5,6-trichloro-2-pyridyl phosphorothioate</t>
        </is>
      </c>
      <c r="I1134" s="13" t="inlineStr">
        <is>
          <t>Organofosforado</t>
        </is>
      </c>
      <c r="J1134" s="13" t="inlineStr">
        <is>
          <t>IRAC Grupo 1B</t>
        </is>
      </c>
      <c r="K1134" s="13" t="inlineStr">
        <is>
          <t>Inibidores da acetilcolinesterase (AChE)</t>
        </is>
      </c>
      <c r="L1134" s="15" t="n">
        <v>480</v>
      </c>
      <c r="M1134" s="13" t="inlineStr">
        <is>
          <t>g/L</t>
        </is>
      </c>
      <c r="N1134" s="13" t="inlineStr">
        <is>
          <t>Registro Técnico Vinculado MAPA</t>
        </is>
      </c>
    </row>
    <row r="1135" ht="22" customHeight="1">
      <c r="A1135" s="6" t="inlineStr">
        <is>
          <t>CMP-1131</t>
        </is>
      </c>
      <c r="B1135" s="5" t="n">
        <v>843</v>
      </c>
      <c r="C1135" s="7" t="inlineStr">
        <is>
          <t>Nº 15716</t>
        </is>
      </c>
      <c r="D1135" s="8" t="inlineStr">
        <is>
          <t>DIFCOR 250 EC</t>
        </is>
      </c>
      <c r="E1135" s="5" t="n">
        <v>1</v>
      </c>
      <c r="F1135" s="7" t="inlineStr">
        <is>
          <t>Ingrediente Ativo Principal</t>
        </is>
      </c>
      <c r="G1135" s="7" t="inlineStr">
        <is>
          <t>DIFENOCONAZOL 250</t>
        </is>
      </c>
      <c r="H1135" s="7" t="inlineStr">
        <is>
          <t>cis,trans-3-chloro-4-[4-methyl-2-(1H-1,2,4-triazol-1-ylmethyl)-1,3-dioxolan-2-yl]phenyl 4-chlorophenyl ether</t>
        </is>
      </c>
      <c r="I1135" s="7" t="inlineStr">
        <is>
          <t>Triazol</t>
        </is>
      </c>
      <c r="J1135" s="7" t="inlineStr">
        <is>
          <t>FRAC Grupo 3 (DMI)</t>
        </is>
      </c>
      <c r="K1135" s="7" t="inlineStr">
        <is>
          <t>Inibidores da desmetilação de esteróis (C14-desmetilase na síntese de ergosterol)</t>
        </is>
      </c>
      <c r="L1135" s="9" t="n">
        <v>250</v>
      </c>
      <c r="M1135" s="7" t="inlineStr">
        <is>
          <t>g/L</t>
        </is>
      </c>
      <c r="N1135" s="7" t="inlineStr">
        <is>
          <t>Registro Técnico Vinculado MAPA</t>
        </is>
      </c>
    </row>
    <row r="1136" ht="22" customHeight="1">
      <c r="A1136" s="12" t="inlineStr">
        <is>
          <t>CMP-1132</t>
        </is>
      </c>
      <c r="B1136" s="11" t="n">
        <v>844</v>
      </c>
      <c r="C1136" s="13" t="inlineStr">
        <is>
          <t>Nº 52425</t>
        </is>
      </c>
      <c r="D1136" s="14" t="inlineStr">
        <is>
          <t>GEODO AMOSTRA 0,100KG IMP</t>
        </is>
      </c>
      <c r="E1136" s="11" t="n">
        <v>1</v>
      </c>
      <c r="F1136" s="13" t="inlineStr">
        <is>
          <t>Ingrediente Ativo Principal</t>
        </is>
      </c>
      <c r="G1136" s="13" t="inlineStr">
        <is>
          <t>ACETAMIPRIDO 250</t>
        </is>
      </c>
      <c r="H1136" s="13" t="inlineStr">
        <is>
          <t>(E)-N1-[(6-chloro-3-pyridyl)methyl]-N2-cyano-N1-methylacetamidine</t>
        </is>
      </c>
      <c r="I1136" s="13" t="inlineStr">
        <is>
          <t>Neonicotinoide</t>
        </is>
      </c>
      <c r="J1136" s="13" t="inlineStr">
        <is>
          <t>IRAC Grupo 4A</t>
        </is>
      </c>
      <c r="K1136" s="13" t="inlineStr">
        <is>
          <t>Moduladores competitivos de receptores nicotínicos da acetilcolina (nAChR)</t>
        </is>
      </c>
      <c r="L1136" s="15" t="n">
        <v>250</v>
      </c>
      <c r="M1136" s="13" t="inlineStr">
        <is>
          <t>g/kg</t>
        </is>
      </c>
      <c r="N1136" s="13" t="inlineStr">
        <is>
          <t>Registro Técnico Vinculado MAPA</t>
        </is>
      </c>
    </row>
    <row r="1137" ht="22" customHeight="1">
      <c r="A1137" s="6" t="inlineStr">
        <is>
          <t>CMP-1133</t>
        </is>
      </c>
      <c r="B1137" s="5" t="n">
        <v>844</v>
      </c>
      <c r="C1137" s="7" t="inlineStr">
        <is>
          <t>Nº 52425</t>
        </is>
      </c>
      <c r="D1137" s="8" t="inlineStr">
        <is>
          <t>GEODO AMOSTRA 0,100KG IMP</t>
        </is>
      </c>
      <c r="E1137" s="5" t="n">
        <v>2</v>
      </c>
      <c r="F1137" s="7" t="inlineStr">
        <is>
          <t>Ingrediente Ativo Principal</t>
        </is>
      </c>
      <c r="G1137" s="7" t="inlineStr">
        <is>
          <t>BIFENTRINA 250</t>
        </is>
      </c>
      <c r="H1137" s="7" t="inlineStr">
        <is>
          <t>2-methylbiphenyl-3-ylmethyl (Z)-(1RS,3RS)-3-(2-chloro-3,3,3-trifluoroprop-1-enyl)-2,2-dimethylcyclopropanecarboxylate</t>
        </is>
      </c>
      <c r="I1137" s="7" t="inlineStr">
        <is>
          <t>Piretroide (Tipo I)</t>
        </is>
      </c>
      <c r="J1137" s="7" t="inlineStr">
        <is>
          <t>IRAC Grupo 3A</t>
        </is>
      </c>
      <c r="K1137" s="7" t="inlineStr">
        <is>
          <t>Moduladores de canais de sódio em membranas nervosas</t>
        </is>
      </c>
      <c r="L1137" s="9" t="n">
        <v>250</v>
      </c>
      <c r="M1137" s="7" t="inlineStr">
        <is>
          <t>g/kg</t>
        </is>
      </c>
      <c r="N1137" s="7" t="inlineStr">
        <is>
          <t>Registro Técnico Vinculado MAPA</t>
        </is>
      </c>
    </row>
    <row r="1138" ht="22" customHeight="1">
      <c r="A1138" s="12" t="inlineStr">
        <is>
          <t>CMP-1134</t>
        </is>
      </c>
      <c r="B1138" s="11" t="n">
        <v>845</v>
      </c>
      <c r="C1138" s="13" t="inlineStr">
        <is>
          <t>Nº 4516</t>
        </is>
      </c>
      <c r="D1138" s="14" t="inlineStr">
        <is>
          <t>STRONGFORCE</t>
        </is>
      </c>
      <c r="E1138" s="11" t="n">
        <v>1</v>
      </c>
      <c r="F1138" s="13" t="inlineStr">
        <is>
          <t>Ingrediente Ativo Principal</t>
        </is>
      </c>
      <c r="G1138" s="13" t="inlineStr">
        <is>
          <t>METOMIL 215</t>
        </is>
      </c>
      <c r="H1138" s="13" t="inlineStr">
        <is>
          <t>S-methyl N-(methylcarbamoyloxy)thioacetimidate</t>
        </is>
      </c>
      <c r="I1138" s="13" t="inlineStr">
        <is>
          <t>Metilcarbamato de oxima</t>
        </is>
      </c>
      <c r="J1138" s="13" t="inlineStr">
        <is>
          <t>IRAC Grupo 1A</t>
        </is>
      </c>
      <c r="K1138" s="13" t="inlineStr">
        <is>
          <t>Inibidores reversíveis da enzima acetilcolinesterase (AChE)</t>
        </is>
      </c>
      <c r="L1138" s="15" t="n">
        <v>215</v>
      </c>
      <c r="M1138" s="13" t="inlineStr">
        <is>
          <t>g/L</t>
        </is>
      </c>
      <c r="N1138" s="13" t="inlineStr">
        <is>
          <t>Registro Técnico Vinculado MAPA</t>
        </is>
      </c>
    </row>
    <row r="1139" ht="22" customHeight="1">
      <c r="A1139" s="6" t="inlineStr">
        <is>
          <t>CMP-1135</t>
        </is>
      </c>
      <c r="B1139" s="5" t="n">
        <v>846</v>
      </c>
      <c r="C1139" s="7" t="inlineStr">
        <is>
          <t>SIPEAGRO (UF-XXXXX)</t>
        </is>
      </c>
      <c r="D1139" s="8" t="inlineStr">
        <is>
          <t>GESSO AGRICOLA MINERAL NATURAL (GIPSITA MOIDA) GRANEL</t>
        </is>
      </c>
      <c r="E1139" s="5" t="n">
        <v>1</v>
      </c>
      <c r="F1139" s="7" t="inlineStr">
        <is>
          <t>Ingrediente Ativo Principal</t>
        </is>
      </c>
      <c r="G1139" s="7" t="inlineStr">
        <is>
          <t>SULFATO DE CALCIO DI-HIDRATADO (CA 16% MIN</t>
        </is>
      </c>
      <c r="H1139" s="7" t="inlineStr">
        <is>
          <t>Corretivo / Condicionador Mineral (SULFATO DE CALCIO DI-HIDRATADO (CA 16% MIN)</t>
        </is>
      </c>
      <c r="I1139" s="7" t="inlineStr">
        <is>
          <t>Corretivo de Acidez / Condicionador de Solo (SIPEAGRO)</t>
        </is>
      </c>
      <c r="J1139" s="7" t="inlineStr">
        <is>
          <t>Correção Química de Solo</t>
        </is>
      </c>
      <c r="K1139" s="7" t="inlineStr">
        <is>
          <t>Neutralização de Al3+ tóxico e fornecimento de Ca2+, Mg2+, S ou B</t>
        </is>
      </c>
      <c r="L1139" s="9" t="n">
        <v>16</v>
      </c>
      <c r="M1139" s="7" t="inlineStr">
        <is>
          <t>% m/m</t>
        </is>
      </c>
      <c r="N1139" s="7" t="inlineStr">
        <is>
          <t>Registro Técnico Vinculado MAPA</t>
        </is>
      </c>
    </row>
    <row r="1140" ht="22" customHeight="1">
      <c r="A1140" s="12" t="inlineStr">
        <is>
          <t>CMP-1136</t>
        </is>
      </c>
      <c r="B1140" s="11" t="n">
        <v>846</v>
      </c>
      <c r="C1140" s="13" t="inlineStr">
        <is>
          <t>SIPEAGRO (UF-XXXXX)</t>
        </is>
      </c>
      <c r="D1140" s="14" t="inlineStr">
        <is>
          <t>GESSO AGRICOLA MINERAL NATURAL (GIPSITA MOIDA) GRANEL</t>
        </is>
      </c>
      <c r="E1140" s="11" t="n">
        <v>2</v>
      </c>
      <c r="F1140" s="13" t="inlineStr">
        <is>
          <t>Ingrediente Ativo Principal</t>
        </is>
      </c>
      <c r="G1140" s="13" t="inlineStr">
        <is>
          <t>S 13% MIN)</t>
        </is>
      </c>
      <c r="H1140" s="13" t="inlineStr">
        <is>
          <t>Corretivo / Condicionador Mineral (S 13% MIN))</t>
        </is>
      </c>
      <c r="I1140" s="13" t="inlineStr">
        <is>
          <t>Corretivo de Acidez / Condicionador de Solo (SIPEAGRO)</t>
        </is>
      </c>
      <c r="J1140" s="13" t="inlineStr">
        <is>
          <t>Correção Química de Solo</t>
        </is>
      </c>
      <c r="K1140" s="13" t="inlineStr">
        <is>
          <t>Neutralização de Al3+ tóxico e fornecimento de Ca2+, Mg2+, S ou B</t>
        </is>
      </c>
      <c r="L1140" s="15" t="n">
        <v>13</v>
      </c>
      <c r="M1140" s="13" t="inlineStr">
        <is>
          <t>% m/m</t>
        </is>
      </c>
      <c r="N1140" s="13" t="inlineStr">
        <is>
          <t>Registro Técnico Vinculado MAPA</t>
        </is>
      </c>
    </row>
    <row r="1141" ht="22" customHeight="1">
      <c r="A1141" s="6" t="inlineStr">
        <is>
          <t>CMP-1137</t>
        </is>
      </c>
      <c r="B1141" s="5" t="n">
        <v>847</v>
      </c>
      <c r="C1141" s="7" t="inlineStr">
        <is>
          <t>SIPEAGRO (UF-XXXXX)</t>
        </is>
      </c>
      <c r="D1141" s="8" t="inlineStr">
        <is>
          <t>FOSFOGESSO AGRICOLA (SUBPRODUTO INDUSTRIAL) GRANEL</t>
        </is>
      </c>
      <c r="E1141" s="5" t="n">
        <v>1</v>
      </c>
      <c r="F1141" s="7" t="inlineStr">
        <is>
          <t>Ingrediente Ativo Principal</t>
        </is>
      </c>
      <c r="G1141" s="7" t="inlineStr">
        <is>
          <t>SULFATO DE CALCIO DI-HIDRATADO INDUSTRIAL (CA 16%</t>
        </is>
      </c>
      <c r="H1141" s="7" t="inlineStr">
        <is>
          <t>Corretivo / Condicionador Mineral (SULFATO DE CALCIO DI-HIDRATADO INDUSTRIAL (CA 16%)</t>
        </is>
      </c>
      <c r="I1141" s="7" t="inlineStr">
        <is>
          <t>Corretivo de Acidez / Condicionador de Solo (SIPEAGRO)</t>
        </is>
      </c>
      <c r="J1141" s="7" t="inlineStr">
        <is>
          <t>Correção Química de Solo</t>
        </is>
      </c>
      <c r="K1141" s="7" t="inlineStr">
        <is>
          <t>Neutralização de Al3+ tóxico e fornecimento de Ca2+, Mg2+, S ou B</t>
        </is>
      </c>
      <c r="L1141" s="9" t="n">
        <v>16</v>
      </c>
      <c r="M1141" s="7" t="inlineStr">
        <is>
          <t>% m/m</t>
        </is>
      </c>
      <c r="N1141" s="7" t="inlineStr">
        <is>
          <t>Registro Técnico Vinculado MAPA</t>
        </is>
      </c>
    </row>
    <row r="1142" ht="22" customHeight="1">
      <c r="A1142" s="12" t="inlineStr">
        <is>
          <t>CMP-1138</t>
        </is>
      </c>
      <c r="B1142" s="11" t="n">
        <v>847</v>
      </c>
      <c r="C1142" s="13" t="inlineStr">
        <is>
          <t>SIPEAGRO (UF-XXXXX)</t>
        </is>
      </c>
      <c r="D1142" s="14" t="inlineStr">
        <is>
          <t>FOSFOGESSO AGRICOLA (SUBPRODUTO INDUSTRIAL) GRANEL</t>
        </is>
      </c>
      <c r="E1142" s="11" t="n">
        <v>2</v>
      </c>
      <c r="F1142" s="13" t="inlineStr">
        <is>
          <t>Ingrediente Ativo Principal</t>
        </is>
      </c>
      <c r="G1142" s="13" t="inlineStr">
        <is>
          <t>S 13%)</t>
        </is>
      </c>
      <c r="H1142" s="13" t="inlineStr">
        <is>
          <t>Corretivo / Condicionador Mineral (S 13%))</t>
        </is>
      </c>
      <c r="I1142" s="13" t="inlineStr">
        <is>
          <t>Corretivo de Acidez / Condicionador de Solo (SIPEAGRO)</t>
        </is>
      </c>
      <c r="J1142" s="13" t="inlineStr">
        <is>
          <t>Correção Química de Solo</t>
        </is>
      </c>
      <c r="K1142" s="13" t="inlineStr">
        <is>
          <t>Neutralização de Al3+ tóxico e fornecimento de Ca2+, Mg2+, S ou B</t>
        </is>
      </c>
      <c r="L1142" s="15" t="n">
        <v>13</v>
      </c>
      <c r="M1142" s="13" t="inlineStr">
        <is>
          <t>% m/m</t>
        </is>
      </c>
      <c r="N1142" s="13" t="inlineStr">
        <is>
          <t>Registro Técnico Vinculado MAPA</t>
        </is>
      </c>
    </row>
    <row r="1143" ht="22" customHeight="1">
      <c r="A1143" s="6" t="inlineStr">
        <is>
          <t>CMP-1139</t>
        </is>
      </c>
      <c r="B1143" s="5" t="n">
        <v>848</v>
      </c>
      <c r="C1143" s="7" t="inlineStr">
        <is>
          <t>SIPEAGRO (UF-XXXXX)</t>
        </is>
      </c>
      <c r="D1143" s="8" t="inlineStr">
        <is>
          <t>CALCARIO AGRICOLA DOLOMITICO / CALCITICO GRANEL (TON)</t>
        </is>
      </c>
      <c r="E1143" s="5" t="n">
        <v>1</v>
      </c>
      <c r="F1143" s="7" t="inlineStr">
        <is>
          <t>Ingrediente Ativo Principal</t>
        </is>
      </c>
      <c r="G1143" s="7" t="inlineStr">
        <is>
          <t>ÓXIDO DE CÁLCIO (CaO — Garantia Mínima 30% m/m | PRNT mín. 85%)</t>
        </is>
      </c>
      <c r="H1143" s="7" t="inlineStr">
        <is>
          <t>Calcium carbonate (CaCO3)</t>
        </is>
      </c>
      <c r="I1143" s="7" t="inlineStr">
        <is>
          <t>Corretivo de Acidez do Solo (Calcário Agrícola)</t>
        </is>
      </c>
      <c r="J1143" s="7" t="inlineStr">
        <is>
          <t>Corretivo de Acidez — SIPEAGRO/MAPA</t>
        </is>
      </c>
      <c r="K1143" s="7" t="inlineStr">
        <is>
          <t>Neutralização da acidez ativa/potencial (H+Al) e fornecimento de Ca2+</t>
        </is>
      </c>
      <c r="L1143" s="9" t="n">
        <v>30</v>
      </c>
      <c r="M1143" s="7" t="inlineStr">
        <is>
          <t>% m/m</t>
        </is>
      </c>
      <c r="N1143" s="7" t="inlineStr">
        <is>
          <t>Registro Técnico Vinculado MAPA</t>
        </is>
      </c>
    </row>
    <row r="1144" ht="22" customHeight="1">
      <c r="A1144" s="12" t="inlineStr">
        <is>
          <t>CMP-1140</t>
        </is>
      </c>
      <c r="B1144" s="11" t="n">
        <v>848</v>
      </c>
      <c r="C1144" s="13" t="inlineStr">
        <is>
          <t>SIPEAGRO (UF-XXXXX)</t>
        </is>
      </c>
      <c r="D1144" s="14" t="inlineStr">
        <is>
          <t>CALCARIO AGRICOLA DOLOMITICO / CALCITICO GRANEL (TON)</t>
        </is>
      </c>
      <c r="E1144" s="11" t="n">
        <v>2</v>
      </c>
      <c r="F1144" s="13" t="inlineStr">
        <is>
          <t>Ingrediente Ativo Principal</t>
        </is>
      </c>
      <c r="G1144" s="13" t="inlineStr">
        <is>
          <t>ÓXIDO DE MAGNÉSIO (MgO — Garantia Mínima 14% m/m | Soma CaO+MgO mín. 44%)</t>
        </is>
      </c>
      <c r="H1144" s="13" t="inlineStr">
        <is>
          <t>Magnesium carbonate (MgCO3)</t>
        </is>
      </c>
      <c r="I1144" s="13" t="inlineStr">
        <is>
          <t>Corretivo de Acidez do Solo (Calcário Agrícola)</t>
        </is>
      </c>
      <c r="J1144" s="13" t="inlineStr">
        <is>
          <t>Corretivo de Acidez — SIPEAGRO/MAPA</t>
        </is>
      </c>
      <c r="K1144" s="13" t="inlineStr">
        <is>
          <t>Neutralização da acidez do solo e fornecimento de Mg2+</t>
        </is>
      </c>
      <c r="L1144" s="15" t="n">
        <v>14</v>
      </c>
      <c r="M1144" s="13" t="inlineStr">
        <is>
          <t>% m/m</t>
        </is>
      </c>
      <c r="N1144" s="13" t="inlineStr">
        <is>
          <t>Registro Técnico Vinculado MAPA</t>
        </is>
      </c>
    </row>
    <row r="1145" ht="22" customHeight="1">
      <c r="A1145" s="6" t="inlineStr">
        <is>
          <t>CMP-1141</t>
        </is>
      </c>
      <c r="B1145" s="5" t="n">
        <v>849</v>
      </c>
      <c r="C1145" s="7" t="inlineStr">
        <is>
          <t>SIPEAGRO (UF-XXXXX)</t>
        </is>
      </c>
      <c r="D1145" s="8" t="inlineStr">
        <is>
          <t>CAL HIDRATADA / VIRGEM AGRICOLA</t>
        </is>
      </c>
      <c r="E1145" s="5" t="n">
        <v>1</v>
      </c>
      <c r="F1145" s="7" t="inlineStr">
        <is>
          <t>Ingrediente Ativo Principal</t>
        </is>
      </c>
      <c r="G1145" s="7" t="inlineStr">
        <is>
          <t>ÓXIDO DE CÁLCIO E MAGNÉSIO TOTAL (CaO 48% + MgO 24% — PRNT mín. 125%)</t>
        </is>
      </c>
      <c r="H1145" s="7" t="inlineStr">
        <is>
          <t>Corretivo / Condicionador Mineral (HIDROXIDO / OXIDO DE CALCIO E MAGNESIO AGRICOLA)</t>
        </is>
      </c>
      <c r="I1145" s="7" t="inlineStr">
        <is>
          <t>Corretivo de Acidez / Condicionador de Solo (SIPEAGRO)</t>
        </is>
      </c>
      <c r="J1145" s="7" t="inlineStr">
        <is>
          <t>Correção Química de Solo</t>
        </is>
      </c>
      <c r="K1145" s="7" t="inlineStr">
        <is>
          <t>Neutralização de Al3+ tóxico e fornecimento de Ca2+, Mg2+, S ou B</t>
        </is>
      </c>
      <c r="L1145" s="9" t="n">
        <v>72</v>
      </c>
      <c r="M1145" s="7" t="inlineStr">
        <is>
          <t>% m/m</t>
        </is>
      </c>
      <c r="N1145" s="7" t="inlineStr">
        <is>
          <t>Registro Técnico Vinculado MAPA</t>
        </is>
      </c>
    </row>
    <row r="1146" ht="22" customHeight="1">
      <c r="A1146" s="12" t="inlineStr">
        <is>
          <t>CMP-1142</t>
        </is>
      </c>
      <c r="B1146" s="11" t="n">
        <v>850</v>
      </c>
      <c r="C1146" s="13" t="inlineStr">
        <is>
          <t>SIPEAGRO (UF-XXXXX)</t>
        </is>
      </c>
      <c r="D1146" s="14" t="inlineStr">
        <is>
          <t>FOSFATO DIAMONICO (DAP 18-46-00) GRANULADO GRANEL</t>
        </is>
      </c>
      <c r="E1146" s="11" t="n">
        <v>1</v>
      </c>
      <c r="F1146" s="13" t="inlineStr">
        <is>
          <t>Nutriente Garantido</t>
        </is>
      </c>
      <c r="G1146" s="13" t="inlineStr">
        <is>
          <t>HIDROGENOORTOFOSFATO DE DIAMONIO (DAP - N 18%</t>
        </is>
      </c>
      <c r="H1146" s="13" t="inlineStr">
        <is>
          <t>Composição Nutricional Oficial (HIDROGENOORTOFOSFATO DE DIAMONIO (DAP - N 18%)</t>
        </is>
      </c>
      <c r="I1146" s="13" t="inlineStr">
        <is>
          <t>Fertilizante Mineral / Organomineral (Lei nº 6.894/1980)</t>
        </is>
      </c>
      <c r="J1146" s="13" t="inlineStr">
        <is>
          <t>Nutrição Vegetal SIPEAGRO</t>
        </is>
      </c>
      <c r="K1146" s="13" t="inlineStr">
        <is>
          <t>Fornecimento de macro e micronutrientes essenciais ao metabolismo vegetal</t>
        </is>
      </c>
      <c r="L1146" s="15" t="n">
        <v>18</v>
      </c>
      <c r="M1146" s="13" t="inlineStr">
        <is>
          <t>% m/m</t>
        </is>
      </c>
      <c r="N1146" s="13" t="inlineStr">
        <is>
          <t>Registro Técnico Vinculado MAPA</t>
        </is>
      </c>
    </row>
    <row r="1147" ht="22" customHeight="1">
      <c r="A1147" s="6" t="inlineStr">
        <is>
          <t>CMP-1143</t>
        </is>
      </c>
      <c r="B1147" s="5" t="n">
        <v>850</v>
      </c>
      <c r="C1147" s="7" t="inlineStr">
        <is>
          <t>SIPEAGRO (UF-XXXXX)</t>
        </is>
      </c>
      <c r="D1147" s="8" t="inlineStr">
        <is>
          <t>FOSFATO DIAMONICO (DAP 18-46-00) GRANULADO GRANEL</t>
        </is>
      </c>
      <c r="E1147" s="5" t="n">
        <v>2</v>
      </c>
      <c r="F1147" s="7" t="inlineStr">
        <is>
          <t>Nutriente Garantido</t>
        </is>
      </c>
      <c r="G1147" s="7" t="inlineStr">
        <is>
          <t>P2O5 46%)</t>
        </is>
      </c>
      <c r="H1147" s="7" t="inlineStr">
        <is>
          <t>Composição Nutricional Oficial (P2O5 46%))</t>
        </is>
      </c>
      <c r="I1147" s="7" t="inlineStr">
        <is>
          <t>Fertilizante Mineral / Organomineral (Lei nº 6.894/1980)</t>
        </is>
      </c>
      <c r="J1147" s="7" t="inlineStr">
        <is>
          <t>Nutrição Vegetal SIPEAGRO</t>
        </is>
      </c>
      <c r="K1147" s="7" t="inlineStr">
        <is>
          <t>Fornecimento de macro e micronutrientes essenciais ao metabolismo vegetal</t>
        </is>
      </c>
      <c r="L1147" s="9" t="n">
        <v>46</v>
      </c>
      <c r="M1147" s="7" t="inlineStr">
        <is>
          <t>% m/m</t>
        </is>
      </c>
      <c r="N1147" s="7" t="inlineStr">
        <is>
          <t>Registro Técnico Vinculado MAPA</t>
        </is>
      </c>
    </row>
    <row r="1148" ht="22" customHeight="1">
      <c r="A1148" s="12" t="inlineStr">
        <is>
          <t>CMP-1144</t>
        </is>
      </c>
      <c r="B1148" s="11" t="n">
        <v>851</v>
      </c>
      <c r="C1148" s="13" t="inlineStr">
        <is>
          <t>SIPEAGRO (UF-XXXXX)</t>
        </is>
      </c>
      <c r="D1148" s="14" t="inlineStr">
        <is>
          <t>TERMOFOSFATO MAGNESIANO FUNDIDO (YOORIN)</t>
        </is>
      </c>
      <c r="E1148" s="11" t="n">
        <v>1</v>
      </c>
      <c r="F1148" s="13" t="inlineStr">
        <is>
          <t>Nutriente Garantido</t>
        </is>
      </c>
      <c r="G1148" s="13" t="inlineStr">
        <is>
          <t>TERMOFOSFATO MAGNESIANO (P2O5 17%</t>
        </is>
      </c>
      <c r="H1148" s="13" t="inlineStr">
        <is>
          <t>Composição Nutricional Oficial (TERMOFOSFATO MAGNESIANO (P2O5 17%)</t>
        </is>
      </c>
      <c r="I1148" s="13" t="inlineStr">
        <is>
          <t>Fertilizante Mineral / Organomineral (Lei nº 6.894/1980)</t>
        </is>
      </c>
      <c r="J1148" s="13" t="inlineStr">
        <is>
          <t>Nutrição Vegetal SIPEAGRO</t>
        </is>
      </c>
      <c r="K1148" s="13" t="inlineStr">
        <is>
          <t>Fornecimento de macro e micronutrientes essenciais ao metabolismo vegetal</t>
        </is>
      </c>
      <c r="L1148" s="15" t="n">
        <v>17</v>
      </c>
      <c r="M1148" s="13" t="inlineStr">
        <is>
          <t>% m/m</t>
        </is>
      </c>
      <c r="N1148" s="13" t="inlineStr">
        <is>
          <t>Registro Técnico Vinculado MAPA</t>
        </is>
      </c>
    </row>
    <row r="1149" ht="22" customHeight="1">
      <c r="A1149" s="6" t="inlineStr">
        <is>
          <t>CMP-1145</t>
        </is>
      </c>
      <c r="B1149" s="5" t="n">
        <v>851</v>
      </c>
      <c r="C1149" s="7" t="inlineStr">
        <is>
          <t>SIPEAGRO (UF-XXXXX)</t>
        </is>
      </c>
      <c r="D1149" s="8" t="inlineStr">
        <is>
          <t>TERMOFOSFATO MAGNESIANO FUNDIDO (YOORIN)</t>
        </is>
      </c>
      <c r="E1149" s="5" t="n">
        <v>2</v>
      </c>
      <c r="F1149" s="7" t="inlineStr">
        <is>
          <t>Nutriente Garantido</t>
        </is>
      </c>
      <c r="G1149" s="7" t="inlineStr">
        <is>
          <t>CA 18%</t>
        </is>
      </c>
      <c r="H1149" s="7" t="inlineStr">
        <is>
          <t>Composição Nutricional Oficial (CA 18%)</t>
        </is>
      </c>
      <c r="I1149" s="7" t="inlineStr">
        <is>
          <t>Fertilizante Mineral / Organomineral (Lei nº 6.894/1980)</t>
        </is>
      </c>
      <c r="J1149" s="7" t="inlineStr">
        <is>
          <t>Nutrição Vegetal SIPEAGRO</t>
        </is>
      </c>
      <c r="K1149" s="7" t="inlineStr">
        <is>
          <t>Fornecimento de macro e micronutrientes essenciais ao metabolismo vegetal</t>
        </is>
      </c>
      <c r="L1149" s="9" t="n">
        <v>18</v>
      </c>
      <c r="M1149" s="7" t="inlineStr">
        <is>
          <t>% m/m</t>
        </is>
      </c>
      <c r="N1149" s="7" t="inlineStr">
        <is>
          <t>Registro Técnico Vinculado MAPA</t>
        </is>
      </c>
    </row>
    <row r="1150" ht="22" customHeight="1">
      <c r="A1150" s="12" t="inlineStr">
        <is>
          <t>CMP-1146</t>
        </is>
      </c>
      <c r="B1150" s="11" t="n">
        <v>851</v>
      </c>
      <c r="C1150" s="13" t="inlineStr">
        <is>
          <t>SIPEAGRO (UF-XXXXX)</t>
        </is>
      </c>
      <c r="D1150" s="14" t="inlineStr">
        <is>
          <t>TERMOFOSFATO MAGNESIANO FUNDIDO (YOORIN)</t>
        </is>
      </c>
      <c r="E1150" s="11" t="n">
        <v>3</v>
      </c>
      <c r="F1150" s="13" t="inlineStr">
        <is>
          <t>Nutriente Garantido</t>
        </is>
      </c>
      <c r="G1150" s="13" t="inlineStr">
        <is>
          <t>MG 7%</t>
        </is>
      </c>
      <c r="H1150" s="13" t="inlineStr">
        <is>
          <t>Composição Nutricional Oficial (MG 7%)</t>
        </is>
      </c>
      <c r="I1150" s="13" t="inlineStr">
        <is>
          <t>Fertilizante Mineral / Organomineral (Lei nº 6.894/1980)</t>
        </is>
      </c>
      <c r="J1150" s="13" t="inlineStr">
        <is>
          <t>Nutrição Vegetal SIPEAGRO</t>
        </is>
      </c>
      <c r="K1150" s="13" t="inlineStr">
        <is>
          <t>Fornecimento de macro e micronutrientes essenciais ao metabolismo vegetal</t>
        </is>
      </c>
      <c r="L1150" s="15" t="n">
        <v>7</v>
      </c>
      <c r="M1150" s="13" t="inlineStr">
        <is>
          <t>% m/m</t>
        </is>
      </c>
      <c r="N1150" s="13" t="inlineStr">
        <is>
          <t>Registro Técnico Vinculado MAPA</t>
        </is>
      </c>
    </row>
    <row r="1151" ht="22" customHeight="1">
      <c r="A1151" s="6" t="inlineStr">
        <is>
          <t>CMP-1147</t>
        </is>
      </c>
      <c r="B1151" s="5" t="n">
        <v>851</v>
      </c>
      <c r="C1151" s="7" t="inlineStr">
        <is>
          <t>SIPEAGRO (UF-XXXXX)</t>
        </is>
      </c>
      <c r="D1151" s="8" t="inlineStr">
        <is>
          <t>TERMOFOSFATO MAGNESIANO FUNDIDO (YOORIN)</t>
        </is>
      </c>
      <c r="E1151" s="5" t="n">
        <v>4</v>
      </c>
      <c r="F1151" s="7" t="inlineStr">
        <is>
          <t>Nutriente Garantido</t>
        </is>
      </c>
      <c r="G1151" s="7" t="inlineStr">
        <is>
          <t>SI)</t>
        </is>
      </c>
      <c r="H1151" s="7" t="inlineStr">
        <is>
          <t>Composição Nutricional Oficial (SI))</t>
        </is>
      </c>
      <c r="I1151" s="7" t="inlineStr">
        <is>
          <t>Fertilizante Mineral / Organomineral (Lei nº 6.894/1980)</t>
        </is>
      </c>
      <c r="J1151" s="7" t="inlineStr">
        <is>
          <t>Nutrição Vegetal SIPEAGRO</t>
        </is>
      </c>
      <c r="K1151" s="7" t="inlineStr">
        <is>
          <t>Fornecimento de macro e micronutrientes essenciais ao metabolismo vegetal</t>
        </is>
      </c>
      <c r="L1151" s="9" t="n">
        <v>15</v>
      </c>
      <c r="M1151" s="7" t="inlineStr">
        <is>
          <t>% m/m</t>
        </is>
      </c>
      <c r="N1151" s="7" t="inlineStr">
        <is>
          <t>Registro Técnico Vinculado MAPA</t>
        </is>
      </c>
    </row>
    <row r="1152" ht="22" customHeight="1">
      <c r="A1152" s="12" t="inlineStr">
        <is>
          <t>CMP-1148</t>
        </is>
      </c>
      <c r="B1152" s="11" t="n">
        <v>852</v>
      </c>
      <c r="C1152" s="13" t="inlineStr">
        <is>
          <t>SIPEAGRO (UF-XXXXX)</t>
        </is>
      </c>
      <c r="D1152" s="14" t="inlineStr">
        <is>
          <t>NITRATO DE AMONIO AGRICOLA (33% A 34% N) BIG BAG</t>
        </is>
      </c>
      <c r="E1152" s="11" t="n">
        <v>1</v>
      </c>
      <c r="F1152" s="13" t="inlineStr">
        <is>
          <t>Nutriente Garantido</t>
        </is>
      </c>
      <c r="G1152" s="13" t="inlineStr">
        <is>
          <t>NITRATO DE AMONIO SOLIDO AGRICOLA (N 33% A 34%)</t>
        </is>
      </c>
      <c r="H1152" s="13" t="inlineStr">
        <is>
          <t>Composição Nutricional Oficial (NITRATO DE AMONIO SOLIDO AGRICOLA (N 33% A 34%))</t>
        </is>
      </c>
      <c r="I1152" s="13" t="inlineStr">
        <is>
          <t>Fertilizante Mineral / Organomineral (Lei nº 6.894/1980)</t>
        </is>
      </c>
      <c r="J1152" s="13" t="inlineStr">
        <is>
          <t>Nutrição Vegetal SIPEAGRO</t>
        </is>
      </c>
      <c r="K1152" s="13" t="inlineStr">
        <is>
          <t>Fornecimento de macro e micronutrientes essenciais ao metabolismo vegetal</t>
        </is>
      </c>
      <c r="L1152" s="15" t="n">
        <v>33</v>
      </c>
      <c r="M1152" s="13" t="inlineStr">
        <is>
          <t>% m/m</t>
        </is>
      </c>
      <c r="N1152" s="13" t="inlineStr">
        <is>
          <t>Registro Técnico Vinculado MAPA</t>
        </is>
      </c>
    </row>
    <row r="1153" ht="22" customHeight="1">
      <c r="A1153" s="6" t="inlineStr">
        <is>
          <t>CMP-1149</t>
        </is>
      </c>
      <c r="B1153" s="5" t="n">
        <v>853</v>
      </c>
      <c r="C1153" s="7" t="inlineStr">
        <is>
          <t>SIPEAGRO (UF-XXXXX)</t>
        </is>
      </c>
      <c r="D1153" s="8" t="inlineStr">
        <is>
          <t>ACIDO BORICO TECNICO AGRICOLA (H3BO3 - 17% B)</t>
        </is>
      </c>
      <c r="E1153" s="5" t="n">
        <v>1</v>
      </c>
      <c r="F1153" s="7" t="inlineStr">
        <is>
          <t>Nutriente Garantido</t>
        </is>
      </c>
      <c r="G1153" s="7" t="inlineStr">
        <is>
          <t>ACIDO BORICO PURO (H3BO3 - BORO 17%)</t>
        </is>
      </c>
      <c r="H1153" s="7" t="inlineStr">
        <is>
          <t>Composição Nutricional Oficial (ACIDO BORICO PURO (H3BO3 - BORO 17%))</t>
        </is>
      </c>
      <c r="I1153" s="7" t="inlineStr">
        <is>
          <t>Fertilizante Mineral / Organomineral (Lei nº 6.894/1980)</t>
        </is>
      </c>
      <c r="J1153" s="7" t="inlineStr">
        <is>
          <t>Nutrição Vegetal SIPEAGRO</t>
        </is>
      </c>
      <c r="K1153" s="7" t="inlineStr">
        <is>
          <t>Fornecimento de macro e micronutrientes essenciais ao metabolismo vegetal</t>
        </is>
      </c>
      <c r="L1153" s="9" t="n">
        <v>17</v>
      </c>
      <c r="M1153" s="7" t="inlineStr">
        <is>
          <t>% m/m</t>
        </is>
      </c>
      <c r="N1153" s="7" t="inlineStr">
        <is>
          <t>Registro Técnico Vinculado MAPA</t>
        </is>
      </c>
    </row>
    <row r="1154" ht="22" customHeight="1">
      <c r="A1154" s="12" t="inlineStr">
        <is>
          <t>CMP-1150</t>
        </is>
      </c>
      <c r="B1154" s="11" t="n">
        <v>854</v>
      </c>
      <c r="C1154" s="13" t="inlineStr">
        <is>
          <t>SIPEAGRO (UF-XXXXX)</t>
        </is>
      </c>
      <c r="D1154" s="14" t="inlineStr">
        <is>
          <t>SULFATO DE COBRE PENTAHIDRATADO AGRICOLA (25% CU)</t>
        </is>
      </c>
      <c r="E1154" s="11" t="n">
        <v>1</v>
      </c>
      <c r="F1154" s="13" t="inlineStr">
        <is>
          <t>Nutriente Garantido</t>
        </is>
      </c>
      <c r="G1154" s="13" t="inlineStr">
        <is>
          <t>SULFATO DE COBRE PENTAHIDRATADO (CU 25%</t>
        </is>
      </c>
      <c r="H1154" s="13" t="inlineStr">
        <is>
          <t>Composição Nutricional Oficial (SULFATO DE COBRE PENTAHIDRATADO (CU 25%)</t>
        </is>
      </c>
      <c r="I1154" s="13" t="inlineStr">
        <is>
          <t>Fertilizante Mineral / Organomineral (Lei nº 6.894/1980)</t>
        </is>
      </c>
      <c r="J1154" s="13" t="inlineStr">
        <is>
          <t>Nutrição Vegetal SIPEAGRO</t>
        </is>
      </c>
      <c r="K1154" s="13" t="inlineStr">
        <is>
          <t>Fornecimento de macro e micronutrientes essenciais ao metabolismo vegetal</t>
        </is>
      </c>
      <c r="L1154" s="15" t="n">
        <v>25</v>
      </c>
      <c r="M1154" s="13" t="inlineStr">
        <is>
          <t>% m/m</t>
        </is>
      </c>
      <c r="N1154" s="13" t="inlineStr">
        <is>
          <t>Registro Técnico Vinculado MAPA</t>
        </is>
      </c>
    </row>
    <row r="1155" ht="22" customHeight="1">
      <c r="A1155" s="6" t="inlineStr">
        <is>
          <t>CMP-1151</t>
        </is>
      </c>
      <c r="B1155" s="5" t="n">
        <v>854</v>
      </c>
      <c r="C1155" s="7" t="inlineStr">
        <is>
          <t>SIPEAGRO (UF-XXXXX)</t>
        </is>
      </c>
      <c r="D1155" s="8" t="inlineStr">
        <is>
          <t>SULFATO DE COBRE PENTAHIDRATADO AGRICOLA (25% CU)</t>
        </is>
      </c>
      <c r="E1155" s="5" t="n">
        <v>2</v>
      </c>
      <c r="F1155" s="7" t="inlineStr">
        <is>
          <t>Nutriente Garantido</t>
        </is>
      </c>
      <c r="G1155" s="7" t="inlineStr">
        <is>
          <t>S 12%)</t>
        </is>
      </c>
      <c r="H1155" s="7" t="inlineStr">
        <is>
          <t>Composição Nutricional Oficial (S 12%))</t>
        </is>
      </c>
      <c r="I1155" s="7" t="inlineStr">
        <is>
          <t>Fertilizante Mineral / Organomineral (Lei nº 6.894/1980)</t>
        </is>
      </c>
      <c r="J1155" s="7" t="inlineStr">
        <is>
          <t>Nutrição Vegetal SIPEAGRO</t>
        </is>
      </c>
      <c r="K1155" s="7" t="inlineStr">
        <is>
          <t>Fornecimento de macro e micronutrientes essenciais ao metabolismo vegetal</t>
        </is>
      </c>
      <c r="L1155" s="9" t="n">
        <v>12</v>
      </c>
      <c r="M1155" s="7" t="inlineStr">
        <is>
          <t>% m/m</t>
        </is>
      </c>
      <c r="N1155" s="7" t="inlineStr">
        <is>
          <t>Registro Técnico Vinculado MAPA</t>
        </is>
      </c>
    </row>
    <row r="1156" ht="22" customHeight="1">
      <c r="A1156" s="12" t="inlineStr">
        <is>
          <t>CMP-1152</t>
        </is>
      </c>
      <c r="B1156" s="11" t="n">
        <v>855</v>
      </c>
      <c r="C1156" s="13" t="inlineStr">
        <is>
          <t>SIPEAGRO (UF-XXXXX)</t>
        </is>
      </c>
      <c r="D1156" s="14" t="inlineStr">
        <is>
          <t>BIOMAPHOS INOCULANTE SOLUBILIZADOR DE FOSFORO</t>
        </is>
      </c>
      <c r="E1156" s="11" t="n">
        <v>1</v>
      </c>
      <c r="F1156" s="13" t="inlineStr">
        <is>
          <t>Agente Biológico / Cepa</t>
        </is>
      </c>
      <c r="G1156" s="13" t="inlineStr">
        <is>
          <t>BACILLUS MEGATERIUM CEPA CNPMS B119 (mín. 1,0x10^8 UFC/mL)</t>
        </is>
      </c>
      <c r="H1156" s="13" t="inlineStr">
        <is>
          <t>Bacillus megaterium cepa CNPMS B119 (Embrapa)</t>
        </is>
      </c>
      <c r="I1156" s="13" t="inlineStr">
        <is>
          <t>Agente Microbiológico / Rizobactéria Solubilizadora de Fósforo (PGPR)</t>
        </is>
      </c>
      <c r="J1156" s="13" t="inlineStr">
        <is>
          <t>Inoculante Solubilizador de Fósforo — SIPEAGRO/MAPA</t>
        </is>
      </c>
      <c r="K1156" s="13" t="inlineStr">
        <is>
          <t>Solubilização de fosfatos inorgânicos e mineralização de fósforo orgânico via ácidos orgânicos e fitases</t>
        </is>
      </c>
      <c r="L1156" s="15" t="n">
        <v>15</v>
      </c>
      <c r="M1156" s="13" t="inlineStr">
        <is>
          <t>g/L</t>
        </is>
      </c>
      <c r="N1156" s="13" t="inlineStr">
        <is>
          <t>Cepa Oficial Embrapa CNPMS B119</t>
        </is>
      </c>
    </row>
    <row r="1157" ht="22" customHeight="1">
      <c r="A1157" s="6" t="inlineStr">
        <is>
          <t>CMP-1153</t>
        </is>
      </c>
      <c r="B1157" s="5" t="n">
        <v>855</v>
      </c>
      <c r="C1157" s="7" t="inlineStr">
        <is>
          <t>SIPEAGRO (UF-XXXXX)</t>
        </is>
      </c>
      <c r="D1157" s="8" t="inlineStr">
        <is>
          <t>BIOMAPHOS INOCULANTE SOLUBILIZADOR DE FOSFORO</t>
        </is>
      </c>
      <c r="E1157" s="5" t="n">
        <v>2</v>
      </c>
      <c r="F1157" s="7" t="inlineStr">
        <is>
          <t>Agente Biológico / Cepa</t>
        </is>
      </c>
      <c r="G1157" s="7" t="inlineStr">
        <is>
          <t>BACILLUS SUBTILIS CEPA CNPMS B2084 (mín. 1,0x10^8 UFC/mL)</t>
        </is>
      </c>
      <c r="H1157" s="7" t="inlineStr">
        <is>
          <t>Bacillus subtilis cepa CNPMS B2084 (Embrapa)</t>
        </is>
      </c>
      <c r="I1157" s="7" t="inlineStr">
        <is>
          <t>Agente Microbiológico / Rizobactéria Solubilizadora de Fósforo (PGPR)</t>
        </is>
      </c>
      <c r="J1157" s="7" t="inlineStr">
        <is>
          <t>Inoculante Solubilizador de Fósforo — SIPEAGRO/MAPA</t>
        </is>
      </c>
      <c r="K1157" s="7" t="inlineStr">
        <is>
          <t>Promoção de crescimento radicular (AIA) e solubilização de fósforo na rizosfera</t>
        </is>
      </c>
      <c r="L1157" s="9" t="n">
        <v>15</v>
      </c>
      <c r="M1157" s="7" t="inlineStr">
        <is>
          <t>g/L</t>
        </is>
      </c>
      <c r="N1157" s="7" t="inlineStr">
        <is>
          <t>Cepa Oficial Embrapa CNPMS B2084</t>
        </is>
      </c>
    </row>
    <row r="1158" ht="22" customHeight="1">
      <c r="A1158" s="12" t="inlineStr">
        <is>
          <t>CMP-1154</t>
        </is>
      </c>
      <c r="B1158" s="11" t="n">
        <v>856</v>
      </c>
      <c r="C1158" s="13" t="inlineStr">
        <is>
          <t>Nº 16124</t>
        </is>
      </c>
      <c r="D1158" s="14" t="inlineStr">
        <is>
          <t>ALTO</t>
        </is>
      </c>
      <c r="E1158" s="11" t="n">
        <v>1</v>
      </c>
      <c r="F1158" s="13" t="inlineStr">
        <is>
          <t>Ingrediente Ativo Principal</t>
        </is>
      </c>
      <c r="G1158" s="13" t="inlineStr">
        <is>
          <t>CIPROCONAZOL 80</t>
        </is>
      </c>
      <c r="H1158" s="13" t="inlineStr">
        <is>
          <t>(2RS,3RS;2RS,3SR)-2-(4-chlorophenyl)-3-cyclopropyl-1-(1H-1,2,4-triazol-1-yl)butan-2-ol</t>
        </is>
      </c>
      <c r="I1158" s="13" t="inlineStr">
        <is>
          <t>Triazol</t>
        </is>
      </c>
      <c r="J1158" s="13" t="inlineStr">
        <is>
          <t>FRAC Grupo 3 (G1 — DMI)</t>
        </is>
      </c>
      <c r="K1158" s="13" t="inlineStr">
        <is>
          <t>Inibidores da desmetilação do C14 na biossíntese do ergosterol</t>
        </is>
      </c>
      <c r="L1158" s="15" t="n">
        <v>80</v>
      </c>
      <c r="M1158" s="13" t="inlineStr">
        <is>
          <t>g/L</t>
        </is>
      </c>
      <c r="N1158" s="13" t="inlineStr">
        <is>
          <t>Registro Técnico Vinculado MAPA</t>
        </is>
      </c>
    </row>
    <row r="1159" ht="22" customHeight="1">
      <c r="A1159" s="6" t="inlineStr">
        <is>
          <t>CMP-1155</t>
        </is>
      </c>
      <c r="B1159" s="5" t="n">
        <v>856</v>
      </c>
      <c r="C1159" s="7" t="inlineStr">
        <is>
          <t>Nº 16124</t>
        </is>
      </c>
      <c r="D1159" s="8" t="inlineStr">
        <is>
          <t>ALTO</t>
        </is>
      </c>
      <c r="E1159" s="5" t="n">
        <v>2</v>
      </c>
      <c r="F1159" s="7" t="inlineStr">
        <is>
          <t>Ingrediente Ativo Principal</t>
        </is>
      </c>
      <c r="G1159" s="7" t="inlineStr">
        <is>
          <t>PICOXISTROBINA 200</t>
        </is>
      </c>
      <c r="H1159" s="7" t="inlineStr">
        <is>
          <t>Methyl (E)-3-methoxy-2-{2-[6-(trifluoromethyl)-2-pyridyloxymethyl]phenyl}acrylate</t>
        </is>
      </c>
      <c r="I1159" s="7" t="inlineStr">
        <is>
          <t>Estrobilurina (Metoxiacrilato)</t>
        </is>
      </c>
      <c r="J1159" s="7" t="inlineStr">
        <is>
          <t>FRAC Grupo 11 (C3 — QoI)</t>
        </is>
      </c>
      <c r="K1159" s="7" t="inlineStr">
        <is>
          <t>Inibidores da respiração mitocondrial no Complexo III (sítio Qo)</t>
        </is>
      </c>
      <c r="L1159" s="9" t="n">
        <v>200</v>
      </c>
      <c r="M1159" s="7" t="inlineStr">
        <is>
          <t>g/L</t>
        </is>
      </c>
      <c r="N1159" s="7" t="inlineStr">
        <is>
          <t>Registro Técnico Vinculado MAPA</t>
        </is>
      </c>
    </row>
    <row r="1160" ht="22" customHeight="1">
      <c r="A1160" s="12" t="inlineStr">
        <is>
          <t>CMP-1156</t>
        </is>
      </c>
      <c r="B1160" s="11" t="n">
        <v>857</v>
      </c>
      <c r="C1160" s="13" t="inlineStr">
        <is>
          <t>VINC-16124</t>
        </is>
      </c>
      <c r="D1160" s="14" t="inlineStr">
        <is>
          <t>Ciproconazol Técnico Syn</t>
        </is>
      </c>
      <c r="E1160" s="11" t="n">
        <v>1</v>
      </c>
      <c r="F1160" s="13" t="inlineStr">
        <is>
          <t>Ingrediente Ativo Grau Técnico</t>
        </is>
      </c>
      <c r="G1160" s="13" t="inlineStr">
        <is>
          <t>CIPROCONAZOL</t>
        </is>
      </c>
      <c r="H1160" s="13" t="inlineStr">
        <is>
          <t>(2RS,3RS;2RS,3SR)-2-(4-chlorophenyl)-3-cyclopropyl-1-(1H-1,2,4-triazol-1-yl)butan-2-ol</t>
        </is>
      </c>
      <c r="I1160" s="13" t="inlineStr">
        <is>
          <t>Triazol</t>
        </is>
      </c>
      <c r="J1160" s="13" t="inlineStr">
        <is>
          <t>FRAC Grupo 3 (G1 — DMI)</t>
        </is>
      </c>
      <c r="K1160" s="13" t="inlineStr">
        <is>
          <t>Inibidores da desmetilação do C14 na biossíntese do ergosterol</t>
        </is>
      </c>
      <c r="L1160" s="15" t="n">
        <v>960</v>
      </c>
      <c r="M1160" s="13" t="inlineStr">
        <is>
          <t>g/kg</t>
        </is>
      </c>
      <c r="N1160" s="13" t="inlineStr">
        <is>
          <t>Registro de Produto Técnico MAPA</t>
        </is>
      </c>
    </row>
    <row r="1161" ht="22" customHeight="1">
      <c r="A1161" s="6" t="inlineStr">
        <is>
          <t>CMP-1157</t>
        </is>
      </c>
      <c r="B1161" s="5" t="n">
        <v>858</v>
      </c>
      <c r="C1161" s="7" t="inlineStr">
        <is>
          <t>VINC-16124</t>
        </is>
      </c>
      <c r="D1161" s="8" t="inlineStr">
        <is>
          <t>Cyproconazole Técnico</t>
        </is>
      </c>
      <c r="E1161" s="5" t="n">
        <v>1</v>
      </c>
      <c r="F1161" s="7" t="inlineStr">
        <is>
          <t>Ingrediente Ativo Grau Técnico</t>
        </is>
      </c>
      <c r="G1161" s="7" t="inlineStr">
        <is>
          <t>CIPROCONAZOL</t>
        </is>
      </c>
      <c r="H1161" s="7" t="inlineStr">
        <is>
          <t>(2RS,3RS;2RS,3SR)-2-(4-chlorophenyl)-3-cyclopropyl-1-(1H-1,2,4-triazol-1-yl)butan-2-ol</t>
        </is>
      </c>
      <c r="I1161" s="7" t="inlineStr">
        <is>
          <t>Triazol</t>
        </is>
      </c>
      <c r="J1161" s="7" t="inlineStr">
        <is>
          <t>FRAC Grupo 3 (G1 — DMI)</t>
        </is>
      </c>
      <c r="K1161" s="7" t="inlineStr">
        <is>
          <t>Inibidores da desmetilação do C14 na biossíntese do ergosterol</t>
        </is>
      </c>
      <c r="L1161" s="9" t="n">
        <v>960</v>
      </c>
      <c r="M1161" s="7" t="inlineStr">
        <is>
          <t>g/kg</t>
        </is>
      </c>
      <c r="N1161" s="7" t="inlineStr">
        <is>
          <t>Registro de Produto Técnico MAPA</t>
        </is>
      </c>
    </row>
    <row r="1162" ht="22" customHeight="1">
      <c r="A1162" s="12" t="inlineStr">
        <is>
          <t>CMP-1158</t>
        </is>
      </c>
      <c r="B1162" s="11" t="n">
        <v>859</v>
      </c>
      <c r="C1162" s="13" t="inlineStr">
        <is>
          <t>Nº 16224</t>
        </is>
      </c>
      <c r="D1162" s="14" t="inlineStr">
        <is>
          <t>PEÃO 200 EC</t>
        </is>
      </c>
      <c r="E1162" s="11" t="n">
        <v>1</v>
      </c>
      <c r="F1162" s="13" t="inlineStr">
        <is>
          <t>Ingrediente Ativo Principal</t>
        </is>
      </c>
      <c r="G1162" s="13" t="inlineStr">
        <is>
          <t>FLUROXIPIR 200</t>
        </is>
      </c>
      <c r="H1162" s="13" t="inlineStr">
        <is>
          <t>[(4-amino-3,5-dichloro-6-fluoro-2-pyridinyl)oxy]acetic acid (Éster Meptílico)</t>
        </is>
      </c>
      <c r="I1162" s="13" t="inlineStr">
        <is>
          <t>Ácido piridiniloxialcanoico</t>
        </is>
      </c>
      <c r="J1162" s="13" t="inlineStr">
        <is>
          <t>HRAC Grupo O (4) — Auxinas Sintéticas</t>
        </is>
      </c>
      <c r="K1162" s="13" t="inlineStr">
        <is>
          <t>Mimetizadores de auxina sintética (desregulação do crescimento celular)</t>
        </is>
      </c>
      <c r="L1162" s="15" t="n">
        <v>200</v>
      </c>
      <c r="M1162" s="13" t="inlineStr">
        <is>
          <t>g/L</t>
        </is>
      </c>
      <c r="N1162" s="13" t="inlineStr">
        <is>
          <t>Produto Técnico Próprio</t>
        </is>
      </c>
    </row>
    <row r="1163" ht="22" customHeight="1">
      <c r="A1163" s="6" t="inlineStr">
        <is>
          <t>CMP-1159</t>
        </is>
      </c>
      <c r="B1163" s="5" t="n">
        <v>860</v>
      </c>
      <c r="C1163" s="7" t="inlineStr">
        <is>
          <t>VINC-16224</t>
        </is>
      </c>
      <c r="D1163" s="8" t="inlineStr">
        <is>
          <t>Fluroxipir Técnico CropChem</t>
        </is>
      </c>
      <c r="E1163" s="5" t="n">
        <v>1</v>
      </c>
      <c r="F1163" s="7" t="inlineStr">
        <is>
          <t>Ingrediente Ativo Grau Técnico</t>
        </is>
      </c>
      <c r="G1163" s="7" t="inlineStr">
        <is>
          <t>FLUROXIPIR-MEPTÍLICO</t>
        </is>
      </c>
      <c r="H1163" s="7" t="inlineStr">
        <is>
          <t>[(4-amino-3,5-dichloro-6-fluoro-2-pyridinyl)oxy]acetic acid (Éster Meptílico)</t>
        </is>
      </c>
      <c r="I1163" s="7" t="inlineStr">
        <is>
          <t>Ácido piridiniloxialcanoico</t>
        </is>
      </c>
      <c r="J1163" s="7" t="inlineStr">
        <is>
          <t>HRAC Grupo O (4) — Auxinas Sintéticas</t>
        </is>
      </c>
      <c r="K1163" s="7" t="inlineStr">
        <is>
          <t>Mimetizadores de auxina sintética (desregulação do crescimento celular)</t>
        </is>
      </c>
      <c r="L1163" s="9" t="n">
        <v>960</v>
      </c>
      <c r="M1163" s="7" t="inlineStr">
        <is>
          <t>g/kg</t>
        </is>
      </c>
      <c r="N1163" s="7" t="inlineStr">
        <is>
          <t>Registro de Produto Técnico MAPA</t>
        </is>
      </c>
    </row>
    <row r="1164" ht="22" customHeight="1">
      <c r="A1164" s="12" t="inlineStr">
        <is>
          <t>CMP-1160</t>
        </is>
      </c>
      <c r="B1164" s="11" t="n">
        <v>861</v>
      </c>
      <c r="C1164" s="13" t="inlineStr">
        <is>
          <t>Nº 16324</t>
        </is>
      </c>
      <c r="D1164" s="14" t="inlineStr">
        <is>
          <t>METRIBUZIM</t>
        </is>
      </c>
      <c r="E1164" s="11" t="n">
        <v>1</v>
      </c>
      <c r="F1164" s="13" t="inlineStr">
        <is>
          <t>Ingrediente Ativo Principal</t>
        </is>
      </c>
      <c r="G1164" s="13" t="inlineStr">
        <is>
          <t>METRIBUZIM</t>
        </is>
      </c>
      <c r="H1164" s="13" t="inlineStr">
        <is>
          <t>4-amino-6-tert-butyl-3-methylthio-1,2,4-triazin-5(4H)-one</t>
        </is>
      </c>
      <c r="I1164" s="13" t="inlineStr">
        <is>
          <t>Triazinona</t>
        </is>
      </c>
      <c r="J1164" s="13" t="inlineStr">
        <is>
          <t>HRAC Grupo C1 (5) — Inibidores do Fotossistema II</t>
        </is>
      </c>
      <c r="K1164" s="13" t="inlineStr">
        <is>
          <t>Inibição do transporte de elétrons no Fotossistema II</t>
        </is>
      </c>
      <c r="L1164" s="15" t="n">
        <v>480</v>
      </c>
      <c r="M1164" s="13" t="inlineStr">
        <is>
          <t>g/L</t>
        </is>
      </c>
      <c r="N1164" s="13" t="inlineStr">
        <is>
          <t>Metribuzin Técnico Rallis</t>
        </is>
      </c>
    </row>
    <row r="1165" ht="22" customHeight="1">
      <c r="A1165" s="6" t="inlineStr">
        <is>
          <t>CMP-1161</t>
        </is>
      </c>
      <c r="B1165" s="5" t="n">
        <v>862</v>
      </c>
      <c r="C1165" s="7" t="inlineStr">
        <is>
          <t>VINC-16324</t>
        </is>
      </c>
      <c r="D1165" s="8" t="inlineStr">
        <is>
          <t>Metribuzin Técnico Rallis</t>
        </is>
      </c>
      <c r="E1165" s="5" t="n">
        <v>1</v>
      </c>
      <c r="F1165" s="7" t="inlineStr">
        <is>
          <t>Ingrediente Ativo Grau Técnico</t>
        </is>
      </c>
      <c r="G1165" s="7" t="inlineStr">
        <is>
          <t>METRIBUZIM</t>
        </is>
      </c>
      <c r="H1165" s="7" t="inlineStr">
        <is>
          <t>4-amino-6-tert-butyl-3-methylthio-1,2,4-triazin-5(4H)-one</t>
        </is>
      </c>
      <c r="I1165" s="7" t="inlineStr">
        <is>
          <t>Triazinona</t>
        </is>
      </c>
      <c r="J1165" s="7" t="inlineStr">
        <is>
          <t>HRAC Grupo C1 (5) — Inibidores do Fotossistema II</t>
        </is>
      </c>
      <c r="K1165" s="7" t="inlineStr">
        <is>
          <t>Inibição do transporte de elétrons no Fotossistema II</t>
        </is>
      </c>
      <c r="L1165" s="9" t="n">
        <v>960</v>
      </c>
      <c r="M1165" s="7" t="inlineStr">
        <is>
          <t>g/kg</t>
        </is>
      </c>
      <c r="N1165" s="7" t="inlineStr">
        <is>
          <t>Registro de Produto Técnico MAPA</t>
        </is>
      </c>
    </row>
    <row r="1166" ht="22" customHeight="1">
      <c r="A1166" s="12" t="inlineStr">
        <is>
          <t>CMP-1162</t>
        </is>
      </c>
      <c r="B1166" s="11" t="n">
        <v>863</v>
      </c>
      <c r="C1166" s="13" t="inlineStr">
        <is>
          <t>Nº 16424</t>
        </is>
      </c>
      <c r="D1166" s="14" t="inlineStr">
        <is>
          <t>SOLEADO 50 WG</t>
        </is>
      </c>
      <c r="E1166" s="11" t="n">
        <v>1</v>
      </c>
      <c r="F1166" s="13" t="inlineStr">
        <is>
          <t>Ingrediente Ativo Principal</t>
        </is>
      </c>
      <c r="G1166" s="13" t="inlineStr">
        <is>
          <t>BOSCALIDA 500</t>
        </is>
      </c>
      <c r="H1166" s="13" t="inlineStr">
        <is>
          <t>2-chloro-N-(4-chlorobiphenyl-2-yl)nicotinamide</t>
        </is>
      </c>
      <c r="I1166" s="13" t="inlineStr">
        <is>
          <t>Carboxamida ( Piridinacarboxamida)</t>
        </is>
      </c>
      <c r="J1166" s="13" t="inlineStr">
        <is>
          <t>FRAC Grupo 7 (C2 — SDHI)</t>
        </is>
      </c>
      <c r="K1166" s="13" t="inlineStr">
        <is>
          <t>Inibidores da enzima succinato desidrogenase (Complexo II respiratório)</t>
        </is>
      </c>
      <c r="L1166" s="15" t="n">
        <v>500</v>
      </c>
      <c r="M1166" s="13" t="inlineStr">
        <is>
          <t>g/kg</t>
        </is>
      </c>
      <c r="N1166" s="13" t="inlineStr">
        <is>
          <t>Produto Técnico Próprio</t>
        </is>
      </c>
    </row>
    <row r="1167" ht="22" customHeight="1">
      <c r="A1167" s="6" t="inlineStr">
        <is>
          <t>CMP-1163</t>
        </is>
      </c>
      <c r="B1167" s="5" t="n">
        <v>864</v>
      </c>
      <c r="C1167" s="7" t="inlineStr">
        <is>
          <t>VINC-16424</t>
        </is>
      </c>
      <c r="D1167" s="8" t="inlineStr">
        <is>
          <t>Boscalid Técnico Oxon</t>
        </is>
      </c>
      <c r="E1167" s="5" t="n">
        <v>1</v>
      </c>
      <c r="F1167" s="7" t="inlineStr">
        <is>
          <t>Ingrediente Ativo Grau Técnico</t>
        </is>
      </c>
      <c r="G1167" s="7" t="inlineStr">
        <is>
          <t>BOSCALIDA</t>
        </is>
      </c>
      <c r="H1167" s="7" t="inlineStr">
        <is>
          <t>2-chloro-N-(4-chlorobiphenyl-2-yl)nicotinamide</t>
        </is>
      </c>
      <c r="I1167" s="7" t="inlineStr">
        <is>
          <t>Carboxamida ( Piridinacarboxamida)</t>
        </is>
      </c>
      <c r="J1167" s="7" t="inlineStr">
        <is>
          <t>FRAC Grupo 7 (C2 — SDHI)</t>
        </is>
      </c>
      <c r="K1167" s="7" t="inlineStr">
        <is>
          <t>Inibidores da enzima succinato desidrogenase (Complexo II respiratório)</t>
        </is>
      </c>
      <c r="L1167" s="9" t="n">
        <v>980</v>
      </c>
      <c r="M1167" s="7" t="inlineStr">
        <is>
          <t>g/kg</t>
        </is>
      </c>
      <c r="N1167" s="7" t="inlineStr">
        <is>
          <t>Registro de Produto Técnico MAPA</t>
        </is>
      </c>
    </row>
    <row r="1168" ht="22" customHeight="1">
      <c r="A1168" s="12" t="inlineStr">
        <is>
          <t>CMP-1164</t>
        </is>
      </c>
      <c r="B1168" s="11" t="n">
        <v>865</v>
      </c>
      <c r="C1168" s="13" t="inlineStr">
        <is>
          <t>Nº 16524</t>
        </is>
      </c>
      <c r="D1168" s="14" t="inlineStr">
        <is>
          <t>ALLURE BR</t>
        </is>
      </c>
      <c r="E1168" s="11" t="n">
        <v>1</v>
      </c>
      <c r="F1168" s="13" t="inlineStr">
        <is>
          <t>Ingrediente Ativo Principal</t>
        </is>
      </c>
      <c r="G1168" s="13" t="inlineStr">
        <is>
          <t>DIUROM</t>
        </is>
      </c>
      <c r="H1168" s="13" t="inlineStr">
        <is>
          <t>3-(3,4-dichlorophenyl)-1,1-dimethylurea</t>
        </is>
      </c>
      <c r="I1168" s="13" t="inlineStr">
        <is>
          <t>Ureia Substituída (Fenilureia)</t>
        </is>
      </c>
      <c r="J1168" s="13" t="inlineStr">
        <is>
          <t>HRAC Grupo C2 (5) — Inibidores do Fotossistema II</t>
        </is>
      </c>
      <c r="K1168" s="13" t="inlineStr">
        <is>
          <t>Inibição do transporte de elétrons no Fotossistema II</t>
        </is>
      </c>
      <c r="L1168" s="15" t="n">
        <v>400</v>
      </c>
      <c r="M1168" s="13" t="inlineStr">
        <is>
          <t>g/kg</t>
        </is>
      </c>
      <c r="N1168" s="13" t="inlineStr">
        <is>
          <t>Diuron Técnico 970 BR Adama</t>
        </is>
      </c>
    </row>
    <row r="1169" ht="22" customHeight="1">
      <c r="A1169" s="6" t="inlineStr">
        <is>
          <t>CMP-1165</t>
        </is>
      </c>
      <c r="B1169" s="5" t="n">
        <v>865</v>
      </c>
      <c r="C1169" s="7" t="inlineStr">
        <is>
          <t>Nº 16524</t>
        </is>
      </c>
      <c r="D1169" s="8" t="inlineStr">
        <is>
          <t>ALLURE BR</t>
        </is>
      </c>
      <c r="E1169" s="5" t="n">
        <v>2</v>
      </c>
      <c r="F1169" s="7" t="inlineStr">
        <is>
          <t>Ingrediente Ativo Principal</t>
        </is>
      </c>
      <c r="G1169" s="7" t="inlineStr">
        <is>
          <t>CLOMAZONA</t>
        </is>
      </c>
      <c r="H1169" s="7" t="inlineStr">
        <is>
          <t>2-(2-chlorobenzyl)-4,4-dimethyl-1,2-oxazolidin-3-one</t>
        </is>
      </c>
      <c r="I1169" s="7" t="inlineStr">
        <is>
          <t>Isoxazolidinona</t>
        </is>
      </c>
      <c r="J1169" s="7" t="inlineStr">
        <is>
          <t>HRAC Grupo F4 (13) — Inibidores da DOXP sintase</t>
        </is>
      </c>
      <c r="K1169" s="7" t="inlineStr">
        <is>
          <t>Inibição da biossíntese de carotenoides (via DOXP sintase)</t>
        </is>
      </c>
      <c r="L1169" s="9" t="n">
        <v>150</v>
      </c>
      <c r="M1169" s="7" t="inlineStr">
        <is>
          <t>g/kg</t>
        </is>
      </c>
      <c r="N1169" s="7" t="inlineStr">
        <is>
          <t>Clomazone Técnico Milenia/Adama</t>
        </is>
      </c>
    </row>
    <row r="1170" ht="22" customHeight="1">
      <c r="A1170" s="12" t="inlineStr">
        <is>
          <t>CMP-1166</t>
        </is>
      </c>
      <c r="B1170" s="11" t="n">
        <v>865</v>
      </c>
      <c r="C1170" s="13" t="inlineStr">
        <is>
          <t>Nº 16524</t>
        </is>
      </c>
      <c r="D1170" s="14" t="inlineStr">
        <is>
          <t>ALLURE BR</t>
        </is>
      </c>
      <c r="E1170" s="11" t="n">
        <v>3</v>
      </c>
      <c r="F1170" s="13" t="inlineStr">
        <is>
          <t>Ingrediente Ativo Principal</t>
        </is>
      </c>
      <c r="G1170" s="13" t="inlineStr">
        <is>
          <t>HEXAZINONA</t>
        </is>
      </c>
      <c r="H1170" s="13" t="inlineStr">
        <is>
          <t>3-cyclohexyl-6-dimethylamino-1-methyl-1,3,5-triazine-2,4(1H,3H)-dione</t>
        </is>
      </c>
      <c r="I1170" s="13" t="inlineStr">
        <is>
          <t>Triazinona</t>
        </is>
      </c>
      <c r="J1170" s="13" t="inlineStr">
        <is>
          <t>HRAC Grupo C1 (5) — Inibidores do Fotossistema II</t>
        </is>
      </c>
      <c r="K1170" s="13" t="inlineStr">
        <is>
          <t>Inibição do transporte de elétrons no Fotossistema II</t>
        </is>
      </c>
      <c r="L1170" s="15" t="n">
        <v>110</v>
      </c>
      <c r="M1170" s="13" t="inlineStr">
        <is>
          <t>g/kg</t>
        </is>
      </c>
      <c r="N1170" s="13" t="inlineStr">
        <is>
          <t>Hexazinona Técnico Milenia/Adama</t>
        </is>
      </c>
    </row>
    <row r="1171" ht="22" customHeight="1">
      <c r="A1171" s="6" t="inlineStr">
        <is>
          <t>CMP-1167</t>
        </is>
      </c>
      <c r="B1171" s="5" t="n">
        <v>866</v>
      </c>
      <c r="C1171" s="7" t="inlineStr">
        <is>
          <t>VINC-16524</t>
        </is>
      </c>
      <c r="D1171" s="8" t="inlineStr">
        <is>
          <t>Clomazone Técnico Milenia</t>
        </is>
      </c>
      <c r="E1171" s="5" t="n">
        <v>1</v>
      </c>
      <c r="F1171" s="7" t="inlineStr">
        <is>
          <t>Ingrediente Ativo Grau Técnico</t>
        </is>
      </c>
      <c r="G1171" s="7" t="inlineStr">
        <is>
          <t>CLOMAZONA TÉCNICO</t>
        </is>
      </c>
      <c r="H1171" s="7" t="inlineStr">
        <is>
          <t>2-(2-chlorobenzyl)-4,4-dimethyl-1,2-oxazolidin-3-one</t>
        </is>
      </c>
      <c r="I1171" s="7" t="inlineStr">
        <is>
          <t>Isoxazolidinona</t>
        </is>
      </c>
      <c r="J1171" s="7" t="inlineStr">
        <is>
          <t>HRAC Grupo F4 (13) — Inibidores da DOXP sintase</t>
        </is>
      </c>
      <c r="K1171" s="7" t="inlineStr">
        <is>
          <t>Inibição da biossíntese de carotenoides (via DOXP sintase)</t>
        </is>
      </c>
      <c r="L1171" s="9" t="n">
        <v>960</v>
      </c>
      <c r="M1171" s="7" t="inlineStr">
        <is>
          <t>g/kg</t>
        </is>
      </c>
      <c r="N1171" s="7" t="inlineStr">
        <is>
          <t>Registro de Produto Técnico MAPA</t>
        </is>
      </c>
    </row>
    <row r="1172" ht="22" customHeight="1">
      <c r="A1172" s="12" t="inlineStr">
        <is>
          <t>CMP-1168</t>
        </is>
      </c>
      <c r="B1172" s="11" t="n">
        <v>867</v>
      </c>
      <c r="C1172" s="13" t="inlineStr">
        <is>
          <t>VINC-16524</t>
        </is>
      </c>
      <c r="D1172" s="14" t="inlineStr">
        <is>
          <t>Diuron Técnico 970 BR</t>
        </is>
      </c>
      <c r="E1172" s="11" t="n">
        <v>1</v>
      </c>
      <c r="F1172" s="13" t="inlineStr">
        <is>
          <t>Ingrediente Ativo Grau Técnico</t>
        </is>
      </c>
      <c r="G1172" s="13" t="inlineStr">
        <is>
          <t>DIUROM TÉCNICO</t>
        </is>
      </c>
      <c r="H1172" s="13" t="inlineStr">
        <is>
          <t>3-(3,4-dichlorophenyl)-1,1-dimethylurea</t>
        </is>
      </c>
      <c r="I1172" s="13" t="inlineStr">
        <is>
          <t>Ureia Substituída (Fenilureia)</t>
        </is>
      </c>
      <c r="J1172" s="13" t="inlineStr">
        <is>
          <t>HRAC Grupo C2 (5) — Inibidores do Fotossistema II</t>
        </is>
      </c>
      <c r="K1172" s="13" t="inlineStr">
        <is>
          <t>Inibição do transporte de elétrons no Fotossistema II (sítio Serina 264)</t>
        </is>
      </c>
      <c r="L1172" s="15" t="n">
        <v>970</v>
      </c>
      <c r="M1172" s="13" t="inlineStr">
        <is>
          <t>g/kg</t>
        </is>
      </c>
      <c r="N1172" s="13" t="inlineStr">
        <is>
          <t>Registro de Produto Técnico MAPA</t>
        </is>
      </c>
    </row>
    <row r="1173" ht="22" customHeight="1">
      <c r="A1173" s="6" t="inlineStr">
        <is>
          <t>CMP-1169</t>
        </is>
      </c>
      <c r="B1173" s="5" t="n">
        <v>868</v>
      </c>
      <c r="C1173" s="7" t="inlineStr">
        <is>
          <t>VINC-16524</t>
        </is>
      </c>
      <c r="D1173" s="8" t="inlineStr">
        <is>
          <t>Hexazinona Técnico Milenia</t>
        </is>
      </c>
      <c r="E1173" s="5" t="n">
        <v>1</v>
      </c>
      <c r="F1173" s="7" t="inlineStr">
        <is>
          <t>Ingrediente Ativo Grau Técnico</t>
        </is>
      </c>
      <c r="G1173" s="7" t="inlineStr">
        <is>
          <t>HEXAZINONA TÉCNICO</t>
        </is>
      </c>
      <c r="H1173" s="7" t="inlineStr">
        <is>
          <t>3-cyclohexyl-6-dimethylamino-1-methyl-1,3,5-triazine-2,4(1H,3H)-dione</t>
        </is>
      </c>
      <c r="I1173" s="7" t="inlineStr">
        <is>
          <t>Triazinona</t>
        </is>
      </c>
      <c r="J1173" s="7" t="inlineStr">
        <is>
          <t>HRAC Grupo C1 (5) — Inibidores do Fotossistema II</t>
        </is>
      </c>
      <c r="K1173" s="7" t="inlineStr">
        <is>
          <t>Inibição do transporte de elétrons no Fotossistema II</t>
        </is>
      </c>
      <c r="L1173" s="9" t="n">
        <v>980</v>
      </c>
      <c r="M1173" s="7" t="inlineStr">
        <is>
          <t>g/kg</t>
        </is>
      </c>
      <c r="N1173" s="7" t="inlineStr">
        <is>
          <t>Registro de Produto Técnico MAPA</t>
        </is>
      </c>
    </row>
    <row r="1174" ht="22" customHeight="1">
      <c r="A1174" s="12" t="inlineStr">
        <is>
          <t>CMP-1170</t>
        </is>
      </c>
      <c r="B1174" s="11" t="n">
        <v>869</v>
      </c>
      <c r="C1174" s="13" t="inlineStr">
        <is>
          <t>VINC-16524</t>
        </is>
      </c>
      <c r="D1174" s="14" t="inlineStr">
        <is>
          <t>Hexazinona Técnico Milenia BR</t>
        </is>
      </c>
      <c r="E1174" s="11" t="n">
        <v>1</v>
      </c>
      <c r="F1174" s="13" t="inlineStr">
        <is>
          <t>Ingrediente Ativo Grau Técnico</t>
        </is>
      </c>
      <c r="G1174" s="13" t="inlineStr">
        <is>
          <t>HEXAZINONA TÉCNICO</t>
        </is>
      </c>
      <c r="H1174" s="13" t="inlineStr">
        <is>
          <t>3-cyclohexyl-6-dimethylamino-1-methyl-1,3,5-triazine-2,4(1H,3H)-dione</t>
        </is>
      </c>
      <c r="I1174" s="13" t="inlineStr">
        <is>
          <t>Triazinona</t>
        </is>
      </c>
      <c r="J1174" s="13" t="inlineStr">
        <is>
          <t>HRAC Grupo C1 (5) — Inibidores do Fotossistema II</t>
        </is>
      </c>
      <c r="K1174" s="13" t="inlineStr">
        <is>
          <t>Inibição do transporte de elétrons no Fotossistema II</t>
        </is>
      </c>
      <c r="L1174" s="15" t="n">
        <v>980</v>
      </c>
      <c r="M1174" s="13" t="inlineStr">
        <is>
          <t>g/kg</t>
        </is>
      </c>
      <c r="N1174" s="13" t="inlineStr">
        <is>
          <t>Registro de Produto Técnico MAPA</t>
        </is>
      </c>
    </row>
    <row r="1175" ht="22" customHeight="1">
      <c r="A1175" s="6" t="inlineStr">
        <is>
          <t>CMP-1171</t>
        </is>
      </c>
      <c r="B1175" s="5" t="n">
        <v>870</v>
      </c>
      <c r="C1175" s="7" t="inlineStr">
        <is>
          <t>VINC-16524</t>
        </is>
      </c>
      <c r="D1175" s="8" t="inlineStr">
        <is>
          <t>Hexazinona Técnico Adama BR</t>
        </is>
      </c>
      <c r="E1175" s="5" t="n">
        <v>1</v>
      </c>
      <c r="F1175" s="7" t="inlineStr">
        <is>
          <t>Ingrediente Ativo Grau Técnico</t>
        </is>
      </c>
      <c r="G1175" s="7" t="inlineStr">
        <is>
          <t>HEXAZINONA TÉCNICO</t>
        </is>
      </c>
      <c r="H1175" s="7" t="inlineStr">
        <is>
          <t>3-cyclohexyl-6-dimethylamino-1-methyl-1,3,5-triazine-2,4(1H,3H)-dione</t>
        </is>
      </c>
      <c r="I1175" s="7" t="inlineStr">
        <is>
          <t>Triazinona</t>
        </is>
      </c>
      <c r="J1175" s="7" t="inlineStr">
        <is>
          <t>HRAC Grupo C1 (5) — Inibidores do Fotossistema II</t>
        </is>
      </c>
      <c r="K1175" s="7" t="inlineStr">
        <is>
          <t>Inibição do transporte de elétrons no Fotossistema II</t>
        </is>
      </c>
      <c r="L1175" s="9" t="n">
        <v>980</v>
      </c>
      <c r="M1175" s="7" t="inlineStr">
        <is>
          <t>g/kg</t>
        </is>
      </c>
      <c r="N1175" s="7" t="inlineStr">
        <is>
          <t>Registro de Produto Técnico MAPA</t>
        </is>
      </c>
    </row>
    <row r="1176" ht="22" customHeight="1">
      <c r="A1176" s="12" t="inlineStr">
        <is>
          <t>CMP-1172</t>
        </is>
      </c>
      <c r="B1176" s="11" t="n">
        <v>871</v>
      </c>
      <c r="C1176" s="13" t="inlineStr">
        <is>
          <t>Nº 16624</t>
        </is>
      </c>
      <c r="D1176" s="14" t="inlineStr">
        <is>
          <t>TIOFANIL SNB</t>
        </is>
      </c>
      <c r="E1176" s="11" t="n">
        <v>1</v>
      </c>
      <c r="F1176" s="13" t="inlineStr">
        <is>
          <t>Ingrediente Ativo Principal</t>
        </is>
      </c>
      <c r="G1176" s="13" t="inlineStr">
        <is>
          <t>CLOROTALONIL</t>
        </is>
      </c>
      <c r="H1176" s="13" t="inlineStr">
        <is>
          <t>Tetrachloroisophthalonitrile</t>
        </is>
      </c>
      <c r="I1176" s="13" t="inlineStr">
        <is>
          <t>Isoftalonitrila</t>
        </is>
      </c>
      <c r="J1176" s="13" t="inlineStr">
        <is>
          <t>FRAC Grupo M05 — Multissítio</t>
        </is>
      </c>
      <c r="K1176" s="13" t="inlineStr">
        <is>
          <t>Atividade de contato multissítio (inativação de grupos tiol enzimáticos)</t>
        </is>
      </c>
      <c r="L1176" s="15" t="n">
        <v>425</v>
      </c>
      <c r="M1176" s="13" t="inlineStr">
        <is>
          <t>g/L</t>
        </is>
      </c>
      <c r="N1176" s="13" t="inlineStr">
        <is>
          <t>Clorotalonil Técnico Oxon</t>
        </is>
      </c>
    </row>
    <row r="1177" ht="22" customHeight="1">
      <c r="A1177" s="6" t="inlineStr">
        <is>
          <t>CMP-1173</t>
        </is>
      </c>
      <c r="B1177" s="5" t="n">
        <v>871</v>
      </c>
      <c r="C1177" s="7" t="inlineStr">
        <is>
          <t>Nº 16624</t>
        </is>
      </c>
      <c r="D1177" s="8" t="inlineStr">
        <is>
          <t>TIOFANIL SNB</t>
        </is>
      </c>
      <c r="E1177" s="5" t="n">
        <v>2</v>
      </c>
      <c r="F1177" s="7" t="inlineStr">
        <is>
          <t>Ingrediente Ativo Principal</t>
        </is>
      </c>
      <c r="G1177" s="7" t="inlineStr">
        <is>
          <t>TIOFANATO-METÍLICO</t>
        </is>
      </c>
      <c r="H1177" s="7" t="inlineStr">
        <is>
          <t>Dimethyl 4,4-(o-phenylene)bis(3-thioallophanate)</t>
        </is>
      </c>
      <c r="I1177" s="7" t="inlineStr">
        <is>
          <t>Benzimidazol (Precursor de MBC)</t>
        </is>
      </c>
      <c r="J1177" s="7" t="inlineStr">
        <is>
          <t>FRAC Grupo 1 (B1 — MBC)</t>
        </is>
      </c>
      <c r="K1177" s="7" t="inlineStr">
        <is>
          <t>Inibição da montagem da beta-tubulina durante a mitose celular fúngica</t>
        </is>
      </c>
      <c r="L1177" s="9" t="n">
        <v>170</v>
      </c>
      <c r="M1177" s="7" t="inlineStr">
        <is>
          <t>g/L</t>
        </is>
      </c>
      <c r="N1177" s="7" t="inlineStr">
        <is>
          <t>Thiophanate Methyl Técnico Rallis</t>
        </is>
      </c>
    </row>
    <row r="1178" ht="22" customHeight="1">
      <c r="A1178" s="12" t="inlineStr">
        <is>
          <t>CMP-1174</t>
        </is>
      </c>
      <c r="B1178" s="11" t="n">
        <v>872</v>
      </c>
      <c r="C1178" s="13" t="inlineStr">
        <is>
          <t>VINC-16624</t>
        </is>
      </c>
      <c r="D1178" s="14" t="inlineStr">
        <is>
          <t>Clorotalonil Técnico Oxon</t>
        </is>
      </c>
      <c r="E1178" s="11" t="n">
        <v>1</v>
      </c>
      <c r="F1178" s="13" t="inlineStr">
        <is>
          <t>Ingrediente Ativo Grau Técnico</t>
        </is>
      </c>
      <c r="G1178" s="13" t="inlineStr">
        <is>
          <t>CLOROTALONIL TÉCNICO</t>
        </is>
      </c>
      <c r="H1178" s="13" t="inlineStr">
        <is>
          <t>Tetrachloroisophthalonitrile</t>
        </is>
      </c>
      <c r="I1178" s="13" t="inlineStr">
        <is>
          <t>Isoftalonitrila</t>
        </is>
      </c>
      <c r="J1178" s="13" t="inlineStr">
        <is>
          <t>FRAC Grupo M05 — Multissítio</t>
        </is>
      </c>
      <c r="K1178" s="13" t="inlineStr">
        <is>
          <t>Atividade de contato multissítio (inativação de grupos tiol enzimáticos)</t>
        </is>
      </c>
      <c r="L1178" s="15" t="n">
        <v>980</v>
      </c>
      <c r="M1178" s="13" t="inlineStr">
        <is>
          <t>g/kg</t>
        </is>
      </c>
      <c r="N1178" s="13" t="inlineStr">
        <is>
          <t>Registro de Produto Técnico MAPA</t>
        </is>
      </c>
    </row>
    <row r="1179" ht="22" customHeight="1">
      <c r="A1179" s="6" t="inlineStr">
        <is>
          <t>CMP-1175</t>
        </is>
      </c>
      <c r="B1179" s="5" t="n">
        <v>873</v>
      </c>
      <c r="C1179" s="7" t="inlineStr">
        <is>
          <t>Nº 16724</t>
        </is>
      </c>
      <c r="D1179" s="8" t="inlineStr">
        <is>
          <t>FLUAZINAM LOVELAND</t>
        </is>
      </c>
      <c r="E1179" s="5" t="n">
        <v>1</v>
      </c>
      <c r="F1179" s="7" t="inlineStr">
        <is>
          <t>Ingrediente Ativo Principal</t>
        </is>
      </c>
      <c r="G1179" s="7" t="inlineStr">
        <is>
          <t>FLUAZINAM</t>
        </is>
      </c>
      <c r="H1179" s="7" t="inlineStr">
        <is>
          <t>3-chloro-N-(3-chloro-5-trifluoromethyl-2-pyridyl)-a,a,a-trifluoro-2,6-dinitro-p-toluidine</t>
        </is>
      </c>
      <c r="I1179" s="7" t="inlineStr">
        <is>
          <t>Fenilpiridinamina (2,6-dinitroanilina)</t>
        </is>
      </c>
      <c r="J1179" s="7" t="inlineStr">
        <is>
          <t>FRAC Grupo 29</t>
        </is>
      </c>
      <c r="K1179" s="7" t="inlineStr">
        <is>
          <t>Desacopladores da fosforilação oxidativa mitocondrial</t>
        </is>
      </c>
      <c r="L1179" s="9" t="n">
        <v>500</v>
      </c>
      <c r="M1179" s="7" t="inlineStr">
        <is>
          <t>g/L</t>
        </is>
      </c>
      <c r="N1179" s="7" t="inlineStr">
        <is>
          <t>Produto Técnico Próprio</t>
        </is>
      </c>
    </row>
    <row r="1180" ht="22" customHeight="1">
      <c r="A1180" s="12" t="inlineStr">
        <is>
          <t>CMP-1176</t>
        </is>
      </c>
      <c r="B1180" s="11" t="n">
        <v>874</v>
      </c>
      <c r="C1180" s="13" t="inlineStr">
        <is>
          <t>VINC-16724</t>
        </is>
      </c>
      <c r="D1180" s="14" t="inlineStr">
        <is>
          <t>Fluazinam Técnico Loveland</t>
        </is>
      </c>
      <c r="E1180" s="11" t="n">
        <v>1</v>
      </c>
      <c r="F1180" s="13" t="inlineStr">
        <is>
          <t>Ingrediente Ativo Grau Técnico</t>
        </is>
      </c>
      <c r="G1180" s="13" t="inlineStr">
        <is>
          <t>FLUAZINAM</t>
        </is>
      </c>
      <c r="H1180" s="13" t="inlineStr">
        <is>
          <t>3-chloro-N-(3-chloro-5-trifluoromethyl-2-pyridyl)-alpha,alpha,alpha-trifluoro-2,6-dinitro-p-toluidine</t>
        </is>
      </c>
      <c r="I1180" s="13" t="inlineStr">
        <is>
          <t>Fenilpiridinamina (2,6-dinitroanilina)</t>
        </is>
      </c>
      <c r="J1180" s="13" t="inlineStr">
        <is>
          <t>FRAC Grupo 29 (C5)</t>
        </is>
      </c>
      <c r="K1180" s="13" t="inlineStr">
        <is>
          <t>Desacoplador da fosforilação oxidativa mitocondrial</t>
        </is>
      </c>
      <c r="L1180" s="15" t="n">
        <v>960</v>
      </c>
      <c r="M1180" s="13" t="inlineStr">
        <is>
          <t>g/kg</t>
        </is>
      </c>
      <c r="N1180" s="13" t="inlineStr">
        <is>
          <t>Registro de Produto Técnico MAPA</t>
        </is>
      </c>
    </row>
    <row r="1181" ht="22" customHeight="1">
      <c r="A1181" s="6" t="inlineStr">
        <is>
          <t>CMP-1177</t>
        </is>
      </c>
      <c r="B1181" s="5" t="n">
        <v>875</v>
      </c>
      <c r="C1181" s="7" t="inlineStr">
        <is>
          <t>Nº 16824</t>
        </is>
      </c>
      <c r="D1181" s="8" t="inlineStr">
        <is>
          <t>TROIA 750 WG</t>
        </is>
      </c>
      <c r="E1181" s="5" t="n">
        <v>1</v>
      </c>
      <c r="F1181" s="7" t="inlineStr">
        <is>
          <t>Ingrediente Ativo Principal</t>
        </is>
      </c>
      <c r="G1181" s="7" t="inlineStr">
        <is>
          <t>MANCOZEBE</t>
        </is>
      </c>
      <c r="H1181" s="7" t="inlineStr">
        <is>
          <t>Manganese ethylenebis(dithiocarbamate) (polymeric) complex with zinc salt</t>
        </is>
      </c>
      <c r="I1181" s="7" t="inlineStr">
        <is>
          <t>Alquilenobis(ditiocarbamato)</t>
        </is>
      </c>
      <c r="J1181" s="7" t="inlineStr">
        <is>
          <t>FRAC Grupo M03 — Multissítio</t>
        </is>
      </c>
      <c r="K1181" s="7" t="inlineStr">
        <is>
          <t>Inativação multissítio de grupos sulfidrila de aminoácidos e enzimas fúngicas</t>
        </is>
      </c>
      <c r="L1181" s="9" t="n">
        <v>750</v>
      </c>
      <c r="M1181" s="7" t="inlineStr">
        <is>
          <t>g/kg</t>
        </is>
      </c>
      <c r="N1181" s="7" t="inlineStr">
        <is>
          <t>Mancozeb Técnico Sumitomo</t>
        </is>
      </c>
    </row>
    <row r="1182" ht="22" customHeight="1">
      <c r="A1182" s="12" t="inlineStr">
        <is>
          <t>CMP-1178</t>
        </is>
      </c>
      <c r="B1182" s="11" t="n">
        <v>876</v>
      </c>
      <c r="C1182" s="13" t="inlineStr">
        <is>
          <t>VINC-16824</t>
        </is>
      </c>
      <c r="D1182" s="14" t="inlineStr">
        <is>
          <t>Mancozeb Técnico Sumitomo</t>
        </is>
      </c>
      <c r="E1182" s="11" t="n">
        <v>1</v>
      </c>
      <c r="F1182" s="13" t="inlineStr">
        <is>
          <t>Ingrediente Ativo Grau Técnico</t>
        </is>
      </c>
      <c r="G1182" s="13" t="inlineStr">
        <is>
          <t>MANCOZEBE</t>
        </is>
      </c>
      <c r="H1182" s="13" t="inlineStr">
        <is>
          <t>Manganese ethylenebis(dithiocarbamate) (polymeric) complex with zinc salt</t>
        </is>
      </c>
      <c r="I1182" s="13" t="inlineStr">
        <is>
          <t>Alquilenobis(ditiocarbamato)</t>
        </is>
      </c>
      <c r="J1182" s="13" t="inlineStr">
        <is>
          <t>FRAC Grupo M03 — Multissítio</t>
        </is>
      </c>
      <c r="K1182" s="13" t="inlineStr">
        <is>
          <t>Inativação multissítio de grupos sulfidrila de aminoácidos e enzimas fúngicas</t>
        </is>
      </c>
      <c r="L1182" s="15" t="n">
        <v>960</v>
      </c>
      <c r="M1182" s="13" t="inlineStr">
        <is>
          <t>g/kg</t>
        </is>
      </c>
      <c r="N1182" s="13" t="inlineStr">
        <is>
          <t>Registro de Produto Técnico MAPA</t>
        </is>
      </c>
    </row>
    <row r="1183" ht="22" customHeight="1">
      <c r="A1183" s="6" t="inlineStr">
        <is>
          <t>CMP-1179</t>
        </is>
      </c>
      <c r="B1183" s="5" t="n">
        <v>877</v>
      </c>
      <c r="C1183" s="7" t="inlineStr">
        <is>
          <t>Nº 16924</t>
        </is>
      </c>
      <c r="D1183" s="8" t="inlineStr">
        <is>
          <t>PRIMEPLUS</t>
        </is>
      </c>
      <c r="E1183" s="5" t="n">
        <v>1</v>
      </c>
      <c r="F1183" s="7" t="inlineStr">
        <is>
          <t>Ingrediente Ativo Principal</t>
        </is>
      </c>
      <c r="G1183" s="7" t="inlineStr">
        <is>
          <t>FLUMETRALINA</t>
        </is>
      </c>
      <c r="H1183" s="7" t="inlineStr">
        <is>
          <t>N-(2-chloro-6-fluorobenzyl)-N-ethyl-alpha,alpha,alpha-trifluoro-2,6-dinitro-p-toluidine</t>
        </is>
      </c>
      <c r="I1183" s="7" t="inlineStr">
        <is>
          <t>Dinitroanilina (Antibrotante)</t>
        </is>
      </c>
      <c r="J1183" s="7" t="inlineStr">
        <is>
          <t>Regulador de Crescimento Vegetal / HRAC Grupo K1 (3)</t>
        </is>
      </c>
      <c r="K1183" s="7" t="inlineStr">
        <is>
          <t>Inibição da polimerização de microtúbulos e divisão celular meristemática (antibrotante)</t>
        </is>
      </c>
      <c r="L1183" s="9" t="n">
        <v>125</v>
      </c>
      <c r="M1183" s="7" t="inlineStr">
        <is>
          <t>g/L</t>
        </is>
      </c>
      <c r="N1183" s="7" t="inlineStr">
        <is>
          <t>Flumetralin Técnico Syngenta</t>
        </is>
      </c>
    </row>
    <row r="1184" ht="22" customHeight="1">
      <c r="A1184" s="12" t="inlineStr">
        <is>
          <t>CMP-1180</t>
        </is>
      </c>
      <c r="B1184" s="11" t="n">
        <v>878</v>
      </c>
      <c r="C1184" s="13" t="inlineStr">
        <is>
          <t>VINC-16924</t>
        </is>
      </c>
      <c r="D1184" s="14" t="inlineStr">
        <is>
          <t>Flumetralin Técnico Syngenta</t>
        </is>
      </c>
      <c r="E1184" s="11" t="n">
        <v>1</v>
      </c>
      <c r="F1184" s="13" t="inlineStr">
        <is>
          <t>Ingrediente Ativo Grau Técnico</t>
        </is>
      </c>
      <c r="G1184" s="13" t="inlineStr">
        <is>
          <t>FLUMETRALINA</t>
        </is>
      </c>
      <c r="H1184" s="13" t="inlineStr">
        <is>
          <t>N-(2-chloro-6-fluorobenzyl)-N-ethyl-alpha,alpha,alpha-trifluoro-2,6-dinitro-p-toluidine</t>
        </is>
      </c>
      <c r="I1184" s="13" t="inlineStr">
        <is>
          <t>Dinitroanilina (Antibrotante)</t>
        </is>
      </c>
      <c r="J1184" s="13" t="inlineStr">
        <is>
          <t>Regulador de Crescimento Vegetal / HRAC Grupo K1 (3)</t>
        </is>
      </c>
      <c r="K1184" s="13" t="inlineStr">
        <is>
          <t>Inibição da polimerização de microtúbulos e divisão celular meristemática</t>
        </is>
      </c>
      <c r="L1184" s="15" t="n">
        <v>960</v>
      </c>
      <c r="M1184" s="13" t="inlineStr">
        <is>
          <t>g/kg</t>
        </is>
      </c>
      <c r="N1184" s="13" t="inlineStr">
        <is>
          <t>Registro de Produto Técnico MAPA</t>
        </is>
      </c>
    </row>
    <row r="1185" ht="22" customHeight="1">
      <c r="A1185" s="6" t="inlineStr">
        <is>
          <t>CMP-1181</t>
        </is>
      </c>
      <c r="B1185" s="5" t="n">
        <v>879</v>
      </c>
      <c r="C1185" s="7" t="inlineStr">
        <is>
          <t>Nº 17024</t>
        </is>
      </c>
      <c r="D1185" s="8" t="inlineStr">
        <is>
          <t>GLIFOSATO 720 WG PERTERRA</t>
        </is>
      </c>
      <c r="E1185" s="5" t="n">
        <v>1</v>
      </c>
      <c r="F1185" s="7" t="inlineStr">
        <is>
          <t>Ingrediente Ativo Principal</t>
        </is>
      </c>
      <c r="G1185" s="7" t="inlineStr">
        <is>
          <t>GLIFOSATO EQUIVALENTE ÁCIDO (Sal de Amônio 792,5 g/kg)</t>
        </is>
      </c>
      <c r="H1185" s="7" t="inlineStr">
        <is>
          <t>N-(phosphonomethyl)glycine (Ammonium salt)</t>
        </is>
      </c>
      <c r="I1185" s="7" t="inlineStr">
        <is>
          <t>Glicina substituída</t>
        </is>
      </c>
      <c r="J1185" s="7" t="inlineStr">
        <is>
          <t>HRAC Grupo G (9) — Inibidores da EPSPs</t>
        </is>
      </c>
      <c r="K1185" s="7" t="inlineStr">
        <is>
          <t>Inibidores da enzima EPSPs (Enoil Piruvil Shiquimato Fosfato Sintase)</t>
        </is>
      </c>
      <c r="L1185" s="9" t="n">
        <v>720</v>
      </c>
      <c r="M1185" s="7" t="inlineStr">
        <is>
          <t>g/kg</t>
        </is>
      </c>
      <c r="N1185" s="7" t="inlineStr">
        <is>
          <t>Glifosato G Técnico Rainbow</t>
        </is>
      </c>
    </row>
    <row r="1186" ht="22" customHeight="1">
      <c r="A1186" s="12" t="inlineStr">
        <is>
          <t>CMP-1182</t>
        </is>
      </c>
      <c r="B1186" s="11" t="n">
        <v>880</v>
      </c>
      <c r="C1186" s="13" t="inlineStr">
        <is>
          <t>VINC-17024</t>
        </is>
      </c>
      <c r="D1186" s="14" t="inlineStr">
        <is>
          <t>Glifosato G Técnico Rainbow</t>
        </is>
      </c>
      <c r="E1186" s="11" t="n">
        <v>1</v>
      </c>
      <c r="F1186" s="13" t="inlineStr">
        <is>
          <t>Ingrediente Ativo Grau Técnico</t>
        </is>
      </c>
      <c r="G1186" s="13" t="inlineStr">
        <is>
          <t>GLIFOSATO, SAL DE AMÔNIO</t>
        </is>
      </c>
      <c r="H1186" s="13" t="inlineStr">
        <is>
          <t>N-(phosphonomethyl)glycine (Sal de Amônio / Isopropilamina / Potássico)</t>
        </is>
      </c>
      <c r="I1186" s="13" t="inlineStr">
        <is>
          <t>Glicina substituída</t>
        </is>
      </c>
      <c r="J1186" s="13" t="inlineStr">
        <is>
          <t>HRAC Grupo G (EPSPs)</t>
        </is>
      </c>
      <c r="K1186" s="13" t="inlineStr">
        <is>
          <t>Inibidores da enzima EPSPs (Enoil Piruvil Shiquimato Fosfato Sintase)</t>
        </is>
      </c>
      <c r="L1186" s="15" t="n">
        <v>950</v>
      </c>
      <c r="M1186" s="13" t="inlineStr">
        <is>
          <t>g/kg</t>
        </is>
      </c>
      <c r="N1186" s="13" t="inlineStr">
        <is>
          <t>Registro de Produto Técnico MAPA</t>
        </is>
      </c>
    </row>
    <row r="1187" ht="22" customHeight="1">
      <c r="A1187" s="6" t="inlineStr">
        <is>
          <t>CMP-1183</t>
        </is>
      </c>
      <c r="B1187" s="5" t="n">
        <v>881</v>
      </c>
      <c r="C1187" s="7" t="inlineStr">
        <is>
          <t>Nº 17124</t>
        </is>
      </c>
      <c r="D1187" s="8" t="inlineStr">
        <is>
          <t>DANTOTSU</t>
        </is>
      </c>
      <c r="E1187" s="5" t="n">
        <v>1</v>
      </c>
      <c r="F1187" s="7" t="inlineStr">
        <is>
          <t>Ingrediente Ativo Principal</t>
        </is>
      </c>
      <c r="G1187" s="7" t="inlineStr">
        <is>
          <t>CLOTIANIDINA</t>
        </is>
      </c>
      <c r="H1187" s="7" t="inlineStr">
        <is>
          <t>(E)-1-(2-chloro-1,3-thiazol-5-ylmethyl)-3-methyl-2-nitroguanidine</t>
        </is>
      </c>
      <c r="I1187" s="7" t="inlineStr">
        <is>
          <t>Neonicotinoide</t>
        </is>
      </c>
      <c r="J1187" s="7" t="inlineStr">
        <is>
          <t>IRAC Grupo 4A</t>
        </is>
      </c>
      <c r="K1187" s="7" t="inlineStr">
        <is>
          <t>Moduladores competitivos dos receptores nicotínicos da acetilcolina (nAChR)</t>
        </is>
      </c>
      <c r="L1187" s="9" t="n">
        <v>500</v>
      </c>
      <c r="M1187" s="7" t="inlineStr">
        <is>
          <t>g/kg</t>
        </is>
      </c>
      <c r="N1187" s="7" t="inlineStr">
        <is>
          <t>Focus Técnico / Clothianidin Técnico SCB</t>
        </is>
      </c>
    </row>
    <row r="1188" ht="22" customHeight="1">
      <c r="A1188" s="12" t="inlineStr">
        <is>
          <t>CMP-1184</t>
        </is>
      </c>
      <c r="B1188" s="11" t="n">
        <v>882</v>
      </c>
      <c r="C1188" s="13" t="inlineStr">
        <is>
          <t>VINC-17124</t>
        </is>
      </c>
      <c r="D1188" s="14" t="inlineStr">
        <is>
          <t>Focus Técnico</t>
        </is>
      </c>
      <c r="E1188" s="11" t="n">
        <v>1</v>
      </c>
      <c r="F1188" s="13" t="inlineStr">
        <is>
          <t>Ingrediente Ativo Grau Técnico</t>
        </is>
      </c>
      <c r="G1188" s="13" t="inlineStr">
        <is>
          <t>CLOTIANIDINA</t>
        </is>
      </c>
      <c r="H1188" s="13" t="inlineStr">
        <is>
          <t>(E)-1-(2-chloro-1,3-thiazol-5-ylmethyl)-3-methyl-2-nitroguanidine</t>
        </is>
      </c>
      <c r="I1188" s="13" t="inlineStr">
        <is>
          <t>Neonicotinoide</t>
        </is>
      </c>
      <c r="J1188" s="13" t="inlineStr">
        <is>
          <t>IRAC Grupo 4A</t>
        </is>
      </c>
      <c r="K1188" s="13" t="inlineStr">
        <is>
          <t>Moduladores competitivos dos receptores nicotínicos da acetilcolina (nAChR)</t>
        </is>
      </c>
      <c r="L1188" s="15" t="n">
        <v>960</v>
      </c>
      <c r="M1188" s="13" t="inlineStr">
        <is>
          <t>g/kg</t>
        </is>
      </c>
      <c r="N1188" s="13" t="inlineStr">
        <is>
          <t>Registro de Produto Técnico MAPA</t>
        </is>
      </c>
    </row>
    <row r="1189" ht="22" customHeight="1">
      <c r="A1189" s="6" t="inlineStr">
        <is>
          <t>CMP-1185</t>
        </is>
      </c>
      <c r="B1189" s="5" t="n">
        <v>883</v>
      </c>
      <c r="C1189" s="7" t="inlineStr">
        <is>
          <t>VINC-17124</t>
        </is>
      </c>
      <c r="D1189" s="8" t="inlineStr">
        <is>
          <t>Clothianidin Técnico SCB</t>
        </is>
      </c>
      <c r="E1189" s="5" t="n">
        <v>1</v>
      </c>
      <c r="F1189" s="7" t="inlineStr">
        <is>
          <t>Ingrediente Ativo Grau Técnico</t>
        </is>
      </c>
      <c r="G1189" s="7" t="inlineStr">
        <is>
          <t>CLOTIANIDINA</t>
        </is>
      </c>
      <c r="H1189" s="7" t="inlineStr">
        <is>
          <t>(E)-1-(2-chloro-1,3-thiazol-5-ylmethyl)-3-methyl-2-nitroguanidine</t>
        </is>
      </c>
      <c r="I1189" s="7" t="inlineStr">
        <is>
          <t>Neonicotinoide</t>
        </is>
      </c>
      <c r="J1189" s="7" t="inlineStr">
        <is>
          <t>IRAC Grupo 4A</t>
        </is>
      </c>
      <c r="K1189" s="7" t="inlineStr">
        <is>
          <t>Moduladores competitivos dos receptores nicotínicos da acetilcolina (nAChR)</t>
        </is>
      </c>
      <c r="L1189" s="9" t="n">
        <v>960</v>
      </c>
      <c r="M1189" s="7" t="inlineStr">
        <is>
          <t>g/kg</t>
        </is>
      </c>
      <c r="N1189" s="7" t="inlineStr">
        <is>
          <t>Registro de Produto Técnico MAPA</t>
        </is>
      </c>
    </row>
    <row r="1190" ht="22" customHeight="1">
      <c r="A1190" s="12" t="inlineStr">
        <is>
          <t>CMP-1186</t>
        </is>
      </c>
      <c r="B1190" s="11" t="n">
        <v>884</v>
      </c>
      <c r="C1190" s="13" t="inlineStr">
        <is>
          <t>Nº 17224</t>
        </is>
      </c>
      <c r="D1190" s="14" t="inlineStr">
        <is>
          <t>LUMISURE</t>
        </is>
      </c>
      <c r="E1190" s="11" t="n">
        <v>1</v>
      </c>
      <c r="F1190" s="13" t="inlineStr">
        <is>
          <t>Ingrediente Ativo Principal</t>
        </is>
      </c>
      <c r="G1190" s="13" t="inlineStr">
        <is>
          <t>CLOTIANIDINA</t>
        </is>
      </c>
      <c r="H1190" s="13" t="inlineStr">
        <is>
          <t>(E)-1-(2-chloro-1,3-thiazol-5-ylmethyl)-3-methyl-2-nitroguanidine</t>
        </is>
      </c>
      <c r="I1190" s="13" t="inlineStr">
        <is>
          <t>Neonicotinoide</t>
        </is>
      </c>
      <c r="J1190" s="13" t="inlineStr">
        <is>
          <t>IRAC Grupo 4A</t>
        </is>
      </c>
      <c r="K1190" s="13" t="inlineStr">
        <is>
          <t>Moduladores competitivos dos receptores nicotínicos da acetilcolina (nAChR)</t>
        </is>
      </c>
      <c r="L1190" s="15" t="n">
        <v>600</v>
      </c>
      <c r="M1190" s="13" t="inlineStr">
        <is>
          <t>g/L</t>
        </is>
      </c>
      <c r="N1190" s="13" t="inlineStr">
        <is>
          <t>Clothianidin Técnico SCB Sumitomo</t>
        </is>
      </c>
    </row>
    <row r="1191" ht="22" customHeight="1">
      <c r="A1191" s="6" t="inlineStr">
        <is>
          <t>CMP-1187</t>
        </is>
      </c>
      <c r="B1191" s="5" t="n">
        <v>885</v>
      </c>
      <c r="C1191" s="7" t="inlineStr">
        <is>
          <t>Nº 17324</t>
        </is>
      </c>
      <c r="D1191" s="8" t="inlineStr">
        <is>
          <t>ELIOS WG</t>
        </is>
      </c>
      <c r="E1191" s="5" t="n">
        <v>1</v>
      </c>
      <c r="F1191" s="7" t="inlineStr">
        <is>
          <t>Ingrediente Ativo Principal</t>
        </is>
      </c>
      <c r="G1191" s="7" t="inlineStr">
        <is>
          <t>IMIDACLOPRIDO</t>
        </is>
      </c>
      <c r="H1191" s="7" t="inlineStr">
        <is>
          <t>(E)-1-(6-chloro-3-pyridylmethyl)-N-nitroimidazolidin-2-ylideneamine</t>
        </is>
      </c>
      <c r="I1191" s="7" t="inlineStr">
        <is>
          <t>Neonicotinoide</t>
        </is>
      </c>
      <c r="J1191" s="7" t="inlineStr">
        <is>
          <t>IRAC Grupo 4A</t>
        </is>
      </c>
      <c r="K1191" s="7" t="inlineStr">
        <is>
          <t>Moduladores competitivos dos receptores nicotínicos da acetilcolina (nAChR)</t>
        </is>
      </c>
      <c r="L1191" s="9" t="n">
        <v>300</v>
      </c>
      <c r="M1191" s="7" t="inlineStr">
        <is>
          <t>g/kg</t>
        </is>
      </c>
      <c r="N1191" s="7" t="inlineStr">
        <is>
          <t>Imidacloprid Técnico Agroqualita SNB</t>
        </is>
      </c>
    </row>
    <row r="1192" ht="22" customHeight="1">
      <c r="A1192" s="12" t="inlineStr">
        <is>
          <t>CMP-1188</t>
        </is>
      </c>
      <c r="B1192" s="11" t="n">
        <v>885</v>
      </c>
      <c r="C1192" s="13" t="inlineStr">
        <is>
          <t>Nº 17324</t>
        </is>
      </c>
      <c r="D1192" s="14" t="inlineStr">
        <is>
          <t>ELIOS WG</t>
        </is>
      </c>
      <c r="E1192" s="11" t="n">
        <v>2</v>
      </c>
      <c r="F1192" s="13" t="inlineStr">
        <is>
          <t>Ingrediente Ativo Principal</t>
        </is>
      </c>
      <c r="G1192" s="13" t="inlineStr">
        <is>
          <t>FLUTRIAFOL</t>
        </is>
      </c>
      <c r="H1192" s="13" t="inlineStr">
        <is>
          <t>(RS)-2,4-difluoro-alpha-(1H-1,2,4-triazol-1-ylmethyl)benzhydryl alcohol</t>
        </is>
      </c>
      <c r="I1192" s="13" t="inlineStr">
        <is>
          <t>Triazol</t>
        </is>
      </c>
      <c r="J1192" s="13" t="inlineStr">
        <is>
          <t>FRAC Grupo 3 (G1 — DMI)</t>
        </is>
      </c>
      <c r="K1192" s="13" t="inlineStr">
        <is>
          <t>Inibidores da desmetilação do C14 na biossíntese do ergosterol</t>
        </is>
      </c>
      <c r="L1192" s="15" t="n">
        <v>250</v>
      </c>
      <c r="M1192" s="13" t="inlineStr">
        <is>
          <t>g/kg</t>
        </is>
      </c>
      <c r="N1192" s="13" t="inlineStr">
        <is>
          <t>Flutriafol Técnico SUP Sipcam</t>
        </is>
      </c>
    </row>
    <row r="1193" ht="22" customHeight="1">
      <c r="A1193" s="6" t="inlineStr">
        <is>
          <t>CMP-1189</t>
        </is>
      </c>
      <c r="B1193" s="5" t="n">
        <v>886</v>
      </c>
      <c r="C1193" s="7" t="inlineStr">
        <is>
          <t>VINC-17324</t>
        </is>
      </c>
      <c r="D1193" s="8" t="inlineStr">
        <is>
          <t>Imidacloprid Tecnico Agroqualita SNB</t>
        </is>
      </c>
      <c r="E1193" s="5" t="n">
        <v>1</v>
      </c>
      <c r="F1193" s="7" t="inlineStr">
        <is>
          <t>Ingrediente Ativo Grau Técnico</t>
        </is>
      </c>
      <c r="G1193" s="7" t="inlineStr">
        <is>
          <t>IMIDACLOPRIDO TÉCNICO</t>
        </is>
      </c>
      <c r="H1193" s="7" t="inlineStr">
        <is>
          <t>(E)-1-(6-chloro-3-pyridylmethyl)-N-nitroimidazolidin-2-ylideneamine</t>
        </is>
      </c>
      <c r="I1193" s="7" t="inlineStr">
        <is>
          <t>Neonicotinoide</t>
        </is>
      </c>
      <c r="J1193" s="7" t="inlineStr">
        <is>
          <t>IRAC Grupo 4A</t>
        </is>
      </c>
      <c r="K1193" s="7" t="inlineStr">
        <is>
          <t>Moduladores competitivos dos receptores nicotínicos da acetilcolina (nAChR)</t>
        </is>
      </c>
      <c r="L1193" s="9" t="n">
        <v>970</v>
      </c>
      <c r="M1193" s="7" t="inlineStr">
        <is>
          <t>g/kg</t>
        </is>
      </c>
      <c r="N1193" s="7" t="inlineStr">
        <is>
          <t>Registro de Produto Técnico MAPA</t>
        </is>
      </c>
    </row>
    <row r="1194" ht="22" customHeight="1">
      <c r="A1194" s="12" t="inlineStr">
        <is>
          <t>CMP-1190</t>
        </is>
      </c>
      <c r="B1194" s="11" t="n">
        <v>887</v>
      </c>
      <c r="C1194" s="13" t="inlineStr">
        <is>
          <t>Nº 17424</t>
        </is>
      </c>
      <c r="D1194" s="14" t="inlineStr">
        <is>
          <t>CROPSTAR FLEXX</t>
        </is>
      </c>
      <c r="E1194" s="11" t="n">
        <v>1</v>
      </c>
      <c r="F1194" s="13" t="inlineStr">
        <is>
          <t>Ingrediente Ativo Principal</t>
        </is>
      </c>
      <c r="G1194" s="13" t="inlineStr">
        <is>
          <t>TIODICARBE</t>
        </is>
      </c>
      <c r="H1194" s="13" t="inlineStr">
        <is>
          <t>3,7,9,13-tetramethyl-5,11-dioxa-2,8,14-trithia-4,7,9,12-tetra-azapentadeca-3,12-diene-6,10-dione</t>
        </is>
      </c>
      <c r="I1194" s="13" t="inlineStr">
        <is>
          <t>Metilcarbamato de Oxima</t>
        </is>
      </c>
      <c r="J1194" s="13" t="inlineStr">
        <is>
          <t>IRAC Grupo 1A</t>
        </is>
      </c>
      <c r="K1194" s="13" t="inlineStr">
        <is>
          <t>Inibidores da acetilcolinesterase (AChE)</t>
        </is>
      </c>
      <c r="L1194" s="15" t="n">
        <v>450</v>
      </c>
      <c r="M1194" s="13" t="inlineStr">
        <is>
          <t>g/L</t>
        </is>
      </c>
      <c r="N1194" s="13" t="inlineStr">
        <is>
          <t>Larvin Técnico Bayer</t>
        </is>
      </c>
    </row>
    <row r="1195" ht="22" customHeight="1">
      <c r="A1195" s="6" t="inlineStr">
        <is>
          <t>CMP-1191</t>
        </is>
      </c>
      <c r="B1195" s="5" t="n">
        <v>887</v>
      </c>
      <c r="C1195" s="7" t="inlineStr">
        <is>
          <t>Nº 17424</t>
        </is>
      </c>
      <c r="D1195" s="8" t="inlineStr">
        <is>
          <t>CROPSTAR FLEXX</t>
        </is>
      </c>
      <c r="E1195" s="5" t="n">
        <v>2</v>
      </c>
      <c r="F1195" s="7" t="inlineStr">
        <is>
          <t>Ingrediente Ativo Principal</t>
        </is>
      </c>
      <c r="G1195" s="7" t="inlineStr">
        <is>
          <t>IMIDACLOPRIDO</t>
        </is>
      </c>
      <c r="H1195" s="7" t="inlineStr">
        <is>
          <t>(E)-1-(6-chloro-3-pyridylmethyl)-N-nitroimidazolidin-2-ylideneamine</t>
        </is>
      </c>
      <c r="I1195" s="7" t="inlineStr">
        <is>
          <t>Neonicotinoide</t>
        </is>
      </c>
      <c r="J1195" s="7" t="inlineStr">
        <is>
          <t>IRAC Grupo 4A</t>
        </is>
      </c>
      <c r="K1195" s="7" t="inlineStr">
        <is>
          <t>Moduladores competitivos dos receptores nicotínicos da acetilcolina (nAChR)</t>
        </is>
      </c>
      <c r="L1195" s="9" t="n">
        <v>150</v>
      </c>
      <c r="M1195" s="7" t="inlineStr">
        <is>
          <t>g/L</t>
        </is>
      </c>
      <c r="N1195" s="7" t="inlineStr">
        <is>
          <t>Premier Técnico Bayer</t>
        </is>
      </c>
    </row>
    <row r="1196" ht="22" customHeight="1">
      <c r="A1196" s="12" t="inlineStr">
        <is>
          <t>CMP-1192</t>
        </is>
      </c>
      <c r="B1196" s="11" t="n">
        <v>888</v>
      </c>
      <c r="C1196" s="13" t="inlineStr">
        <is>
          <t>VINC-17424</t>
        </is>
      </c>
      <c r="D1196" s="14" t="inlineStr">
        <is>
          <t>Premier Técnico</t>
        </is>
      </c>
      <c r="E1196" s="11" t="n">
        <v>1</v>
      </c>
      <c r="F1196" s="13" t="inlineStr">
        <is>
          <t>Ingrediente Ativo Grau Técnico</t>
        </is>
      </c>
      <c r="G1196" s="13" t="inlineStr">
        <is>
          <t>IMIDACLOPRIDO TÉCNICO</t>
        </is>
      </c>
      <c r="H1196" s="13" t="inlineStr">
        <is>
          <t>(E)-1-(6-chloro-3-pyridylmethyl)-N-nitroimidazolidin-2-ylideneamine</t>
        </is>
      </c>
      <c r="I1196" s="13" t="inlineStr">
        <is>
          <t>Neonicotinoide</t>
        </is>
      </c>
      <c r="J1196" s="13" t="inlineStr">
        <is>
          <t>IRAC Grupo 4A</t>
        </is>
      </c>
      <c r="K1196" s="13" t="inlineStr">
        <is>
          <t>Moduladores competitivos dos receptores nicotínicos da acetilcolina (nAChR)</t>
        </is>
      </c>
      <c r="L1196" s="15" t="n">
        <v>970</v>
      </c>
      <c r="M1196" s="13" t="inlineStr">
        <is>
          <t>g/kg</t>
        </is>
      </c>
      <c r="N1196" s="13" t="inlineStr">
        <is>
          <t>Registro de Produto Técnico MAPA</t>
        </is>
      </c>
    </row>
    <row r="1197" ht="22" customHeight="1">
      <c r="A1197" s="6" t="inlineStr">
        <is>
          <t>CMP-1193</t>
        </is>
      </c>
      <c r="B1197" s="5" t="n">
        <v>889</v>
      </c>
      <c r="C1197" s="7" t="inlineStr">
        <is>
          <t>Nº 17524</t>
        </is>
      </c>
      <c r="D1197" s="8" t="inlineStr">
        <is>
          <t>SUMIRODY</t>
        </is>
      </c>
      <c r="E1197" s="5" t="n">
        <v>1</v>
      </c>
      <c r="F1197" s="7" t="inlineStr">
        <is>
          <t>Ingrediente Ativo Principal</t>
        </is>
      </c>
      <c r="G1197" s="7" t="inlineStr">
        <is>
          <t>FENPROPATRINA</t>
        </is>
      </c>
      <c r="H1197" s="7" t="inlineStr">
        <is>
          <t>(RS)-alpha-cyano-3-phenoxybenzyl 2,2,3,3-tetramethylcyclopropanecarboxylate</t>
        </is>
      </c>
      <c r="I1197" s="7" t="inlineStr">
        <is>
          <t>Piretroide (Éster Piretroide)</t>
        </is>
      </c>
      <c r="J1197" s="7" t="inlineStr">
        <is>
          <t>IRAC Grupo 3A</t>
        </is>
      </c>
      <c r="K1197" s="7" t="inlineStr">
        <is>
          <t>Moduladores de canais de sódio em membranas nervosas</t>
        </is>
      </c>
      <c r="L1197" s="9" t="n">
        <v>300</v>
      </c>
      <c r="M1197" s="7" t="inlineStr">
        <is>
          <t>g/L</t>
        </is>
      </c>
      <c r="N1197" s="7" t="inlineStr">
        <is>
          <t>Danimen Técnico 900 Sumitomo</t>
        </is>
      </c>
    </row>
    <row r="1198" ht="22" customHeight="1">
      <c r="A1198" s="12" t="inlineStr">
        <is>
          <t>CMP-1194</t>
        </is>
      </c>
      <c r="B1198" s="11" t="n">
        <v>890</v>
      </c>
      <c r="C1198" s="13" t="inlineStr">
        <is>
          <t>VINC-17524</t>
        </is>
      </c>
      <c r="D1198" s="14" t="inlineStr">
        <is>
          <t>Danimen Técnico 900</t>
        </is>
      </c>
      <c r="E1198" s="11" t="n">
        <v>1</v>
      </c>
      <c r="F1198" s="13" t="inlineStr">
        <is>
          <t>Ingrediente Ativo Grau Técnico</t>
        </is>
      </c>
      <c r="G1198" s="13" t="inlineStr">
        <is>
          <t>FENPROPATRINA</t>
        </is>
      </c>
      <c r="H1198" s="13" t="inlineStr">
        <is>
          <t>(RS)-alpha-cyano-3-phenoxybenzyl 2,2,3,3-tetramethylcyclopropanecarboxylate</t>
        </is>
      </c>
      <c r="I1198" s="13" t="inlineStr">
        <is>
          <t>Piretroide (Éster Piretroide)</t>
        </is>
      </c>
      <c r="J1198" s="13" t="inlineStr">
        <is>
          <t>IRAC Grupo 3A</t>
        </is>
      </c>
      <c r="K1198" s="13" t="inlineStr">
        <is>
          <t>Moduladores de canais de sódio em membranas nervosas</t>
        </is>
      </c>
      <c r="L1198" s="15" t="n">
        <v>900</v>
      </c>
      <c r="M1198" s="13" t="inlineStr">
        <is>
          <t>g/kg</t>
        </is>
      </c>
      <c r="N1198" s="13" t="inlineStr">
        <is>
          <t>Registro de Produto Técnico MAPA</t>
        </is>
      </c>
    </row>
    <row r="1199" ht="22" customHeight="1">
      <c r="A1199" s="6" t="inlineStr">
        <is>
          <t>CMP-1195</t>
        </is>
      </c>
      <c r="B1199" s="5" t="n">
        <v>891</v>
      </c>
      <c r="C1199" s="7" t="inlineStr">
        <is>
          <t>Nº 17624</t>
        </is>
      </c>
      <c r="D1199" s="8" t="inlineStr">
        <is>
          <t>SONUTRIR</t>
        </is>
      </c>
      <c r="E1199" s="5" t="n">
        <v>1</v>
      </c>
      <c r="F1199" s="7" t="inlineStr">
        <is>
          <t>Ingrediente Ativo Principal</t>
        </is>
      </c>
      <c r="G1199" s="7" t="inlineStr">
        <is>
          <t>S-METOLACLORO 290</t>
        </is>
      </c>
      <c r="H1199" s="7" t="inlineStr">
        <is>
          <t>Mixture of (aRS,1S)-2-chloro-6'-ethyl-N-(2-methoxy-1-methylethyl)aceto-o-toluidide</t>
        </is>
      </c>
      <c r="I1199" s="7" t="inlineStr">
        <is>
          <t>Cloroacetanilida</t>
        </is>
      </c>
      <c r="J1199" s="7" t="inlineStr">
        <is>
          <t>HRAC Grupo K3 (15) — Inibidores de VLCFAs</t>
        </is>
      </c>
      <c r="K1199" s="7" t="inlineStr">
        <is>
          <t>Inibidores da síntese de ácidos graxos de cadeia muito longa (divisão celular)</t>
        </is>
      </c>
      <c r="L1199" s="9" t="n">
        <v>290</v>
      </c>
      <c r="M1199" s="7" t="inlineStr">
        <is>
          <t>g/L</t>
        </is>
      </c>
      <c r="N1199" s="7" t="inlineStr">
        <is>
          <t>Produto Técnico Próprio</t>
        </is>
      </c>
    </row>
    <row r="1200" ht="22" customHeight="1">
      <c r="A1200" s="12" t="inlineStr">
        <is>
          <t>CMP-1196</t>
        </is>
      </c>
      <c r="B1200" s="11" t="n">
        <v>891</v>
      </c>
      <c r="C1200" s="13" t="inlineStr">
        <is>
          <t>Nº 17624</t>
        </is>
      </c>
      <c r="D1200" s="14" t="inlineStr">
        <is>
          <t>SONUTRIR</t>
        </is>
      </c>
      <c r="E1200" s="11" t="n">
        <v>2</v>
      </c>
      <c r="F1200" s="13" t="inlineStr">
        <is>
          <t>Ingrediente Ativo Principal</t>
        </is>
      </c>
      <c r="G1200" s="13" t="inlineStr">
        <is>
          <t>ATRAZINA 200</t>
        </is>
      </c>
      <c r="H1200" s="13" t="inlineStr">
        <is>
          <t>6-chloro-N2-ethyl-N4-isopropyl-1,3,5-triazine-2,4-diamine</t>
        </is>
      </c>
      <c r="I1200" s="13" t="inlineStr">
        <is>
          <t>Triazina</t>
        </is>
      </c>
      <c r="J1200" s="13" t="inlineStr">
        <is>
          <t>HRAC Grupo C1 (5) — Inibidores do Fotossistema II</t>
        </is>
      </c>
      <c r="K1200" s="13" t="inlineStr">
        <is>
          <t>Inibição do transporte de elétrons no Fotossistema II (sítio Serina 264)</t>
        </is>
      </c>
      <c r="L1200" s="15" t="n">
        <v>200</v>
      </c>
      <c r="M1200" s="13" t="inlineStr">
        <is>
          <t>g/L</t>
        </is>
      </c>
      <c r="N1200" s="13" t="inlineStr">
        <is>
          <t>Produto Técnico Próprio</t>
        </is>
      </c>
    </row>
    <row r="1201" ht="22" customHeight="1">
      <c r="A1201" s="6" t="inlineStr">
        <is>
          <t>CMP-1197</t>
        </is>
      </c>
      <c r="B1201" s="5" t="n">
        <v>891</v>
      </c>
      <c r="C1201" s="7" t="inlineStr">
        <is>
          <t>Nº 17624</t>
        </is>
      </c>
      <c r="D1201" s="8" t="inlineStr">
        <is>
          <t>SONUTRIR</t>
        </is>
      </c>
      <c r="E1201" s="5" t="n">
        <v>3</v>
      </c>
      <c r="F1201" s="7" t="inlineStr">
        <is>
          <t>Ingrediente Ativo Principal</t>
        </is>
      </c>
      <c r="G1201" s="7" t="inlineStr">
        <is>
          <t>MESOTRIONA 40</t>
        </is>
      </c>
      <c r="H1201" s="7" t="inlineStr">
        <is>
          <t>2-(4-mesyl-2-nitrobenzoyl)cyclohexane-1,3-dione</t>
        </is>
      </c>
      <c r="I1201" s="7" t="inlineStr">
        <is>
          <t>Tricetona</t>
        </is>
      </c>
      <c r="J1201" s="7" t="inlineStr">
        <is>
          <t>HRAC Grupo F2 (27) — Inibidores da HPPD</t>
        </is>
      </c>
      <c r="K1201" s="7" t="inlineStr">
        <is>
          <t>Inibidores da enzima 4-hidroxifenil-piruvato-dioxigenase (HPPD - biossíntese de carotenoides)</t>
        </is>
      </c>
      <c r="L1201" s="9" t="n">
        <v>40</v>
      </c>
      <c r="M1201" s="7" t="inlineStr">
        <is>
          <t>g/L</t>
        </is>
      </c>
      <c r="N1201" s="7" t="inlineStr">
        <is>
          <t>Produto Técnico Próprio</t>
        </is>
      </c>
    </row>
    <row r="1202" ht="22" customHeight="1">
      <c r="A1202" s="12" t="inlineStr">
        <is>
          <t>CMP-1198</t>
        </is>
      </c>
      <c r="B1202" s="11" t="n">
        <v>892</v>
      </c>
      <c r="C1202" s="13" t="inlineStr">
        <is>
          <t>VINC-17624</t>
        </is>
      </c>
      <c r="D1202" s="14" t="inlineStr">
        <is>
          <t>S-Metolacloro Técnico Rainbow</t>
        </is>
      </c>
      <c r="E1202" s="11" t="n">
        <v>1</v>
      </c>
      <c r="F1202" s="13" t="inlineStr">
        <is>
          <t>Ingrediente Ativo Grau Técnico</t>
        </is>
      </c>
      <c r="G1202" s="13" t="inlineStr">
        <is>
          <t>S-METOLACLORO</t>
        </is>
      </c>
      <c r="H1202" s="13" t="inlineStr">
        <is>
          <t>Mistura de (aRS,1S)- e (aRS,1R)-2-chloro-6-ethyl-N-(2-methoxy-1-methylethyl)acet-o-toluidide</t>
        </is>
      </c>
      <c r="I1202" s="13" t="inlineStr">
        <is>
          <t>Cloroacetanilida</t>
        </is>
      </c>
      <c r="J1202" s="13" t="inlineStr">
        <is>
          <t>HRAC Grupo K3 (15) — Inibidores de VLCFA</t>
        </is>
      </c>
      <c r="K1202" s="13" t="inlineStr">
        <is>
          <t>Inibição da síntese de ácidos graxos de cadeia muito longa (VLCFA)</t>
        </is>
      </c>
      <c r="L1202" s="15" t="n">
        <v>960</v>
      </c>
      <c r="M1202" s="13" t="inlineStr">
        <is>
          <t>g/kg</t>
        </is>
      </c>
      <c r="N1202" s="13" t="inlineStr">
        <is>
          <t>Registro de Produto Técnico MAPA</t>
        </is>
      </c>
    </row>
    <row r="1203" ht="22" customHeight="1">
      <c r="A1203" s="6" t="inlineStr">
        <is>
          <t>CMP-1199</t>
        </is>
      </c>
      <c r="B1203" s="5" t="n">
        <v>893</v>
      </c>
      <c r="C1203" s="7" t="inlineStr">
        <is>
          <t>Nº 17724</t>
        </is>
      </c>
      <c r="D1203" s="8" t="inlineStr">
        <is>
          <t>TECANOA</t>
        </is>
      </c>
      <c r="E1203" s="5" t="n">
        <v>1</v>
      </c>
      <c r="F1203" s="7" t="inlineStr">
        <is>
          <t>Ingrediente Ativo Principal</t>
        </is>
      </c>
      <c r="G1203" s="7" t="inlineStr">
        <is>
          <t>TEBUTIUROM</t>
        </is>
      </c>
      <c r="H1203" s="7" t="inlineStr">
        <is>
          <t>1-(5-tert-butyl-1,3,4-thiadiazol-2-yl)-1,3-dimethylurea</t>
        </is>
      </c>
      <c r="I1203" s="7" t="inlineStr">
        <is>
          <t>Ureia Substituída (Tiadiazolilureia)</t>
        </is>
      </c>
      <c r="J1203" s="7" t="inlineStr">
        <is>
          <t>HRAC Grupo C2 (5) — Inibidores do Fotossistema II</t>
        </is>
      </c>
      <c r="K1203" s="7" t="inlineStr">
        <is>
          <t>Inibição do transporte de elétrons no Fotossistema II</t>
        </is>
      </c>
      <c r="L1203" s="9" t="n">
        <v>500</v>
      </c>
      <c r="M1203" s="7" t="inlineStr">
        <is>
          <t>g/L</t>
        </is>
      </c>
      <c r="N1203" s="7" t="inlineStr">
        <is>
          <t>Tebuthiuron Técnico Rainbow (Reg. 5219)</t>
        </is>
      </c>
    </row>
    <row r="1204" ht="22" customHeight="1">
      <c r="A1204" s="12" t="inlineStr">
        <is>
          <t>CMP-1200</t>
        </is>
      </c>
      <c r="B1204" s="11" t="n">
        <v>894</v>
      </c>
      <c r="C1204" s="13" t="inlineStr">
        <is>
          <t>VINC-17724</t>
        </is>
      </c>
      <c r="D1204" s="14" t="inlineStr">
        <is>
          <t>Tebuthiuron Técnico Rainbow</t>
        </is>
      </c>
      <c r="E1204" s="11" t="n">
        <v>1</v>
      </c>
      <c r="F1204" s="13" t="inlineStr">
        <is>
          <t>Ingrediente Ativo Grau Técnico</t>
        </is>
      </c>
      <c r="G1204" s="13" t="inlineStr">
        <is>
          <t>TEBUTIUROM</t>
        </is>
      </c>
      <c r="H1204" s="13" t="inlineStr">
        <is>
          <t>1-(5-tert-butyl-1,3,4-thiadiazol-2-yl)-1,3-dimethylurea</t>
        </is>
      </c>
      <c r="I1204" s="13" t="inlineStr">
        <is>
          <t>Ureia Substituída (Tiadiazolilureia)</t>
        </is>
      </c>
      <c r="J1204" s="13" t="inlineStr">
        <is>
          <t>HRAC Grupo C2 (5) — Inibidores do Fotossistema II</t>
        </is>
      </c>
      <c r="K1204" s="13" t="inlineStr">
        <is>
          <t>Inibição do transporte de elétrons no Fotossistema II</t>
        </is>
      </c>
      <c r="L1204" s="15" t="n">
        <v>980</v>
      </c>
      <c r="M1204" s="13" t="inlineStr">
        <is>
          <t>g/kg</t>
        </is>
      </c>
      <c r="N1204" s="13" t="inlineStr">
        <is>
          <t>Registro de Produto Técnico MAPA</t>
        </is>
      </c>
    </row>
    <row r="1205" ht="22" customHeight="1">
      <c r="A1205" s="6" t="inlineStr">
        <is>
          <t>CMP-1201</t>
        </is>
      </c>
      <c r="B1205" s="5" t="n">
        <v>895</v>
      </c>
      <c r="C1205" s="7" t="inlineStr">
        <is>
          <t>Nº 17824</t>
        </is>
      </c>
      <c r="D1205" s="8" t="inlineStr">
        <is>
          <t>NUF150F400</t>
        </is>
      </c>
      <c r="E1205" s="5" t="n">
        <v>1</v>
      </c>
      <c r="F1205" s="7" t="inlineStr">
        <is>
          <t>Ingrediente Ativo Principal</t>
        </is>
      </c>
      <c r="G1205" s="7" t="inlineStr">
        <is>
          <t>TRICLOPIR-BUTOTÍLICO (Equiv. 300 g/L Triclopir ácido)</t>
        </is>
      </c>
      <c r="H1205" s="7" t="inlineStr">
        <is>
          <t>2-butoxyethyl [(3,5,6-trichloro-2-pyridinyl)oxy]acetate</t>
        </is>
      </c>
      <c r="I1205" s="7" t="inlineStr">
        <is>
          <t>Ácido piridiniloxialcanoico</t>
        </is>
      </c>
      <c r="J1205" s="7" t="inlineStr">
        <is>
          <t>HRAC Grupo O (4) — Auxinas Sintéticas</t>
        </is>
      </c>
      <c r="K1205" s="7" t="inlineStr">
        <is>
          <t>Mimetizadores de auxina sintética</t>
        </is>
      </c>
      <c r="L1205" s="17" t="n">
        <v>417.3</v>
      </c>
      <c r="M1205" s="7" t="inlineStr">
        <is>
          <t>g/L</t>
        </is>
      </c>
      <c r="N1205" s="7" t="inlineStr">
        <is>
          <t>Triclopir-Butotílico Técnico Sumitomo</t>
        </is>
      </c>
    </row>
    <row r="1206" ht="22" customHeight="1">
      <c r="A1206" s="12" t="inlineStr">
        <is>
          <t>CMP-1202</t>
        </is>
      </c>
      <c r="B1206" s="11" t="n">
        <v>895</v>
      </c>
      <c r="C1206" s="13" t="inlineStr">
        <is>
          <t>Nº 17824</t>
        </is>
      </c>
      <c r="D1206" s="14" t="inlineStr">
        <is>
          <t>NUF150F400</t>
        </is>
      </c>
      <c r="E1206" s="11" t="n">
        <v>2</v>
      </c>
      <c r="F1206" s="13" t="inlineStr">
        <is>
          <t>Ingrediente Ativo Principal</t>
        </is>
      </c>
      <c r="G1206" s="13" t="inlineStr">
        <is>
          <t>PICLORAM SAL DE HEXILPROPILAMINA (Equiv. 150 g/L Picloram ácido)</t>
        </is>
      </c>
      <c r="H1206" s="13" t="inlineStr">
        <is>
          <t>4-amino-3,5,6-trichloropyridine-2-carboxylic acid</t>
        </is>
      </c>
      <c r="I1206" s="13" t="inlineStr">
        <is>
          <t>Ácido piridinocarboxílico</t>
        </is>
      </c>
      <c r="J1206" s="13" t="inlineStr">
        <is>
          <t>HRAC Grupo O (4) — Auxinas Sintéticas</t>
        </is>
      </c>
      <c r="K1206" s="13" t="inlineStr">
        <is>
          <t>Mimetizadores de auxina sintética</t>
        </is>
      </c>
      <c r="L1206" s="18" t="n">
        <v>168.8</v>
      </c>
      <c r="M1206" s="13" t="inlineStr">
        <is>
          <t>g/L</t>
        </is>
      </c>
      <c r="N1206" s="13" t="inlineStr">
        <is>
          <t>Picloram Técnico Sumitomo</t>
        </is>
      </c>
    </row>
    <row r="1207" ht="22" customHeight="1">
      <c r="A1207" s="6" t="inlineStr">
        <is>
          <t>CMP-1203</t>
        </is>
      </c>
      <c r="B1207" s="5" t="n">
        <v>896</v>
      </c>
      <c r="C1207" s="7" t="inlineStr">
        <is>
          <t>VINC-17824</t>
        </is>
      </c>
      <c r="D1207" s="8" t="inlineStr">
        <is>
          <t>Triclopir-Butotílico Técnico Sumitomo</t>
        </is>
      </c>
      <c r="E1207" s="5" t="n">
        <v>1</v>
      </c>
      <c r="F1207" s="7" t="inlineStr">
        <is>
          <t>Ingrediente Ativo Grau Técnico</t>
        </is>
      </c>
      <c r="G1207" s="7" t="inlineStr">
        <is>
          <t>TRICLOPIR-BUTOTÍLICO TÉCNICO</t>
        </is>
      </c>
      <c r="H1207" s="7" t="inlineStr">
        <is>
          <t>[(3,5,6-trichloro-2-pyridinyl)oxy]acetic acid (Éster Butotílico)</t>
        </is>
      </c>
      <c r="I1207" s="7" t="inlineStr">
        <is>
          <t>Ácido piridiniloxialcanoico</t>
        </is>
      </c>
      <c r="J1207" s="7" t="inlineStr">
        <is>
          <t>HRAC Grupo O (4) — Auxinas Sintéticas</t>
        </is>
      </c>
      <c r="K1207" s="7" t="inlineStr">
        <is>
          <t>Mimetizadores de auxina sintética</t>
        </is>
      </c>
      <c r="L1207" s="9" t="n">
        <v>960</v>
      </c>
      <c r="M1207" s="7" t="inlineStr">
        <is>
          <t>g/kg</t>
        </is>
      </c>
      <c r="N1207" s="7" t="inlineStr">
        <is>
          <t>Registro de Produto Técnico MAPA</t>
        </is>
      </c>
    </row>
    <row r="1208" ht="22" customHeight="1">
      <c r="A1208" s="12" t="inlineStr">
        <is>
          <t>CMP-1204</t>
        </is>
      </c>
      <c r="B1208" s="11" t="n">
        <v>897</v>
      </c>
      <c r="C1208" s="13" t="inlineStr">
        <is>
          <t>Nº 17924</t>
        </is>
      </c>
      <c r="D1208" s="14" t="inlineStr">
        <is>
          <t>CIFRÃO</t>
        </is>
      </c>
      <c r="E1208" s="11" t="n">
        <v>1</v>
      </c>
      <c r="F1208" s="13" t="inlineStr">
        <is>
          <t>Ingrediente Ativo Principal</t>
        </is>
      </c>
      <c r="G1208" s="13" t="inlineStr">
        <is>
          <t>IMIDACLOPRIDO</t>
        </is>
      </c>
      <c r="H1208" s="13" t="inlineStr">
        <is>
          <t>(E)-1-(6-chloro-3-pyridylmethyl)-N-nitroimidazolidin-2-ylideneamine</t>
        </is>
      </c>
      <c r="I1208" s="13" t="inlineStr">
        <is>
          <t>Neonicotinoide</t>
        </is>
      </c>
      <c r="J1208" s="13" t="inlineStr">
        <is>
          <t>IRAC Grupo 4A</t>
        </is>
      </c>
      <c r="K1208" s="13" t="inlineStr">
        <is>
          <t>Moduladores competitivos dos receptores nicotínicos da acetilcolina (nAChR)</t>
        </is>
      </c>
      <c r="L1208" s="15" t="n">
        <v>320</v>
      </c>
      <c r="M1208" s="13" t="inlineStr">
        <is>
          <t>g/L</t>
        </is>
      </c>
      <c r="N1208" s="13" t="inlineStr">
        <is>
          <t>Imidacloprid 97 Técnico Helm</t>
        </is>
      </c>
    </row>
    <row r="1209" ht="22" customHeight="1">
      <c r="A1209" s="6" t="inlineStr">
        <is>
          <t>CMP-1205</t>
        </is>
      </c>
      <c r="B1209" s="5" t="n">
        <v>897</v>
      </c>
      <c r="C1209" s="7" t="inlineStr">
        <is>
          <t>Nº 17924</t>
        </is>
      </c>
      <c r="D1209" s="8" t="inlineStr">
        <is>
          <t>CIFRÃO</t>
        </is>
      </c>
      <c r="E1209" s="5" t="n">
        <v>2</v>
      </c>
      <c r="F1209" s="7" t="inlineStr">
        <is>
          <t>Ingrediente Ativo Principal</t>
        </is>
      </c>
      <c r="G1209" s="7" t="inlineStr">
        <is>
          <t>LAMBDA-CIALOTRINA</t>
        </is>
      </c>
      <c r="H1209" s="7" t="inlineStr">
        <is>
          <t>(R)-a-cyano-3-phenoxybenzyl (1S,3S)-3-[(Z)-2-chloro-3,3,3-trifluoropropenyl]-2,2-dimethylcyclopropanecarboxylate</t>
        </is>
      </c>
      <c r="I1209" s="7" t="inlineStr">
        <is>
          <t>Piretroide (Tipo II)</t>
        </is>
      </c>
      <c r="J1209" s="7" t="inlineStr">
        <is>
          <t>IRAC Grupo 3A</t>
        </is>
      </c>
      <c r="K1209" s="7" t="inlineStr">
        <is>
          <t>Moduladores de canais de sódio em membranas nervosas</t>
        </is>
      </c>
      <c r="L1209" s="9" t="n">
        <v>80</v>
      </c>
      <c r="M1209" s="7" t="inlineStr">
        <is>
          <t>g/L</t>
        </is>
      </c>
      <c r="N1209" s="7" t="inlineStr">
        <is>
          <t>Lambda-Cyhalothrin 97 Técnico Helm</t>
        </is>
      </c>
    </row>
    <row r="1210" ht="22" customHeight="1">
      <c r="A1210" s="12" t="inlineStr">
        <is>
          <t>CMP-1206</t>
        </is>
      </c>
      <c r="B1210" s="11" t="n">
        <v>898</v>
      </c>
      <c r="C1210" s="13" t="inlineStr">
        <is>
          <t>VINC-17924</t>
        </is>
      </c>
      <c r="D1210" s="14" t="inlineStr">
        <is>
          <t>Imidacloprid 97 Técnico Helm</t>
        </is>
      </c>
      <c r="E1210" s="11" t="n">
        <v>1</v>
      </c>
      <c r="F1210" s="13" t="inlineStr">
        <is>
          <t>Ingrediente Ativo Grau Técnico</t>
        </is>
      </c>
      <c r="G1210" s="13" t="inlineStr">
        <is>
          <t>IMIDACLOPRIDO TÉCNICO</t>
        </is>
      </c>
      <c r="H1210" s="13" t="inlineStr">
        <is>
          <t>(E)-1-(6-chloro-3-pyridylmethyl)-N-nitroimidazolidin-2-ylideneamine</t>
        </is>
      </c>
      <c r="I1210" s="13" t="inlineStr">
        <is>
          <t>Neonicotinoide</t>
        </is>
      </c>
      <c r="J1210" s="13" t="inlineStr">
        <is>
          <t>IRAC Grupo 4A</t>
        </is>
      </c>
      <c r="K1210" s="13" t="inlineStr">
        <is>
          <t>Moduladores competitivos dos receptores nicotínicos da acetilcolina (nAChR)</t>
        </is>
      </c>
      <c r="L1210" s="15" t="n">
        <v>970</v>
      </c>
      <c r="M1210" s="13" t="inlineStr">
        <is>
          <t>g/kg</t>
        </is>
      </c>
      <c r="N1210" s="13" t="inlineStr">
        <is>
          <t>Registro de Produto Técnico MAPA</t>
        </is>
      </c>
    </row>
    <row r="1211" ht="22" customHeight="1">
      <c r="A1211" s="6" t="inlineStr">
        <is>
          <t>CMP-1207</t>
        </is>
      </c>
      <c r="B1211" s="5" t="n">
        <v>899</v>
      </c>
      <c r="C1211" s="7" t="inlineStr">
        <is>
          <t>Nº 18024</t>
        </is>
      </c>
      <c r="D1211" s="8" t="inlineStr">
        <is>
          <t>P&amp;D 149 B</t>
        </is>
      </c>
      <c r="E1211" s="5" t="n">
        <v>1</v>
      </c>
      <c r="F1211" s="7" t="inlineStr">
        <is>
          <t>Agente Biológico / Cepa</t>
        </is>
      </c>
      <c r="G1211" s="7" t="inlineStr">
        <is>
          <t>BEAUVERIA BASSIANA IBCB 66</t>
        </is>
      </c>
      <c r="H1211" s="7" t="inlineStr">
        <is>
          <t>Fungo entomopatogênico Beauveria bassiana (Isolado IBCB 66)</t>
        </is>
      </c>
      <c r="I1211" s="7" t="inlineStr">
        <is>
          <t>Agente Microbiológico de Controle (Fungo Entomopatogênico)</t>
        </is>
      </c>
      <c r="J1211" s="7" t="inlineStr">
        <is>
          <t>IRAC Grupo UNF — Biológico Multissítio</t>
        </is>
      </c>
      <c r="K1211" s="7" t="inlineStr">
        <is>
          <t>Infecção tegumentar por conídios, penetração enzimática e colonização da hemocele</t>
        </is>
      </c>
      <c r="L1211" s="9" t="n">
        <v>100</v>
      </c>
      <c r="M1211" s="7" t="inlineStr">
        <is>
          <t>g/kg</t>
        </is>
      </c>
      <c r="N1211" s="7" t="inlineStr">
        <is>
          <t>Registro Técnico Vinculado MAPA</t>
        </is>
      </c>
    </row>
    <row r="1212" ht="22" customHeight="1">
      <c r="A1212" s="12" t="inlineStr">
        <is>
          <t>CMP-1208</t>
        </is>
      </c>
      <c r="B1212" s="11" t="n">
        <v>900</v>
      </c>
      <c r="C1212" s="13" t="inlineStr">
        <is>
          <t>Nº 18124</t>
        </is>
      </c>
      <c r="D1212" s="14" t="inlineStr">
        <is>
          <t>EVOLUT DUO</t>
        </is>
      </c>
      <c r="E1212" s="11" t="n">
        <v>1</v>
      </c>
      <c r="F1212" s="13" t="inlineStr">
        <is>
          <t>Agente Biológico / Cepa</t>
        </is>
      </c>
      <c r="G1212" s="13" t="inlineStr">
        <is>
          <t>BEAUVERIA BASSIANA IBCB 66</t>
        </is>
      </c>
      <c r="H1212" s="13" t="inlineStr">
        <is>
          <t>Fungo entomopatogênico Beauveria bassiana (Isolado IBCB 66)</t>
        </is>
      </c>
      <c r="I1212" s="13" t="inlineStr">
        <is>
          <t>Agente Microbiológico de Controle (Fungo Entomopatogênico)</t>
        </is>
      </c>
      <c r="J1212" s="13" t="inlineStr">
        <is>
          <t>IRAC Grupo UNF — Biológico Multissítio</t>
        </is>
      </c>
      <c r="K1212" s="13" t="inlineStr">
        <is>
          <t>Infecção tegumentar por conídios, penetração enzimática e colonização da hemocele</t>
        </is>
      </c>
      <c r="L1212" s="15" t="n">
        <v>100</v>
      </c>
      <c r="M1212" s="13" t="inlineStr">
        <is>
          <t>g/kg</t>
        </is>
      </c>
      <c r="N1212" s="13" t="inlineStr">
        <is>
          <t>Registro Técnico Vinculado MAPA</t>
        </is>
      </c>
    </row>
    <row r="1213" ht="22" customHeight="1">
      <c r="A1213" s="6" t="inlineStr">
        <is>
          <t>CMP-1209</t>
        </is>
      </c>
      <c r="B1213" s="5" t="n">
        <v>901</v>
      </c>
      <c r="C1213" s="7" t="inlineStr">
        <is>
          <t>Nº 18224</t>
        </is>
      </c>
      <c r="D1213" s="8" t="inlineStr">
        <is>
          <t>FUNGUS HIZIUM</t>
        </is>
      </c>
      <c r="E1213" s="5" t="n">
        <v>1</v>
      </c>
      <c r="F1213" s="7" t="inlineStr">
        <is>
          <t>Agente Biológico / Cepa</t>
        </is>
      </c>
      <c r="G1213" s="7" t="inlineStr">
        <is>
          <t>METARHIZIUM ANISOPLIAE ISOLADO IBCB 425 (mín. 1,0x10^9 conídios/g)</t>
        </is>
      </c>
      <c r="H1213" s="7" t="inlineStr">
        <is>
          <t>Metarhizium anisopliae isolado IBCB 425</t>
        </is>
      </c>
      <c r="I1213" s="7" t="inlineStr">
        <is>
          <t>Agente Microbiológico de Controle (Fungo Entomopatogênico)</t>
        </is>
      </c>
      <c r="J1213" s="7" t="inlineStr">
        <is>
          <t>IRAC Grupo UNF — Bioinseticida Microbiológico</t>
        </is>
      </c>
      <c r="K1213" s="7" t="inlineStr">
        <is>
          <t>Infecção tegumentar por conídios, penetração hemocélica e produção de destruxinas</t>
        </is>
      </c>
      <c r="L1213" s="9" t="n">
        <v>100</v>
      </c>
      <c r="M1213" s="7" t="inlineStr">
        <is>
          <t>g/kg</t>
        </is>
      </c>
      <c r="N1213" s="7" t="inlineStr">
        <is>
          <t>Isolado Oficial IBCB 425</t>
        </is>
      </c>
    </row>
    <row r="1214" ht="22" customHeight="1">
      <c r="A1214" s="12" t="inlineStr">
        <is>
          <t>CMP-1210</t>
        </is>
      </c>
      <c r="B1214" s="11" t="n">
        <v>902</v>
      </c>
      <c r="C1214" s="13" t="inlineStr">
        <is>
          <t>Nº 18324</t>
        </is>
      </c>
      <c r="D1214" s="14" t="inlineStr">
        <is>
          <t>GLÁDIOS</t>
        </is>
      </c>
      <c r="E1214" s="11" t="n">
        <v>1</v>
      </c>
      <c r="F1214" s="13" t="inlineStr">
        <is>
          <t>Agente Biológico / Cepa</t>
        </is>
      </c>
      <c r="G1214" s="13" t="inlineStr">
        <is>
          <t>PURPUREOCILLIUM LILACINUM (PAECILOMYCES LILACINUS) CEPA CCT 8068 (mín. 8,0x10^9 conídios/g)</t>
        </is>
      </c>
      <c r="H1214" s="13" t="inlineStr">
        <is>
          <t>Purpureocillium lilacinum (Paecilomyces lilacinus) cepa CCT 8068</t>
        </is>
      </c>
      <c r="I1214" s="13" t="inlineStr">
        <is>
          <t>Agente Microbiológico de Controle (Fungo Nematófago)</t>
        </is>
      </c>
      <c r="J1214" s="13" t="inlineStr">
        <is>
          <t>Bionematicida Microbiológico (MAPA)</t>
        </is>
      </c>
      <c r="K1214" s="13" t="inlineStr">
        <is>
          <t>Parasitismo de ovos, juvenis e fêmeas de fitonematoides por hifas e enzimas quitinolíticas</t>
        </is>
      </c>
      <c r="L1214" s="15" t="n">
        <v>100</v>
      </c>
      <c r="M1214" s="13" t="inlineStr">
        <is>
          <t>g/kg</t>
        </is>
      </c>
      <c r="N1214" s="13" t="inlineStr">
        <is>
          <t>Cepa Própria CCT 8068 (Nitro Química)</t>
        </is>
      </c>
    </row>
    <row r="1215" ht="22" customHeight="1">
      <c r="A1215" s="6" t="inlineStr">
        <is>
          <t>CMP-1211</t>
        </is>
      </c>
      <c r="B1215" s="5" t="n">
        <v>903</v>
      </c>
      <c r="C1215" s="7" t="inlineStr">
        <is>
          <t>Nº 18424</t>
        </is>
      </c>
      <c r="D1215" s="8" t="inlineStr">
        <is>
          <t>PHOSAL</t>
        </is>
      </c>
      <c r="E1215" s="5" t="n">
        <v>1</v>
      </c>
      <c r="F1215" s="7" t="inlineStr">
        <is>
          <t>Ingrediente Ativo Principal</t>
        </is>
      </c>
      <c r="G1215" s="7" t="inlineStr">
        <is>
          <t>FOSFETO DE ALUMÍNIO (Gerador de Fosfina PH3)</t>
        </is>
      </c>
      <c r="H1215" s="7" t="inlineStr">
        <is>
          <t>Aluminium phosphide (AlP)</t>
        </is>
      </c>
      <c r="I1215" s="7" t="inlineStr">
        <is>
          <t>Inorgânico Fosfeto Metálico (Gerador de Fosfina)</t>
        </is>
      </c>
      <c r="J1215" s="7" t="inlineStr">
        <is>
          <t>IRAC Grupo 24A — Fumigante Inibidor do Complexo IV</t>
        </is>
      </c>
      <c r="K1215" s="7" t="inlineStr">
        <is>
          <t>Inibição do transporte de elétrons mitocondrial no Complexo IV via gás fosfina</t>
        </is>
      </c>
      <c r="L1215" s="9" t="n">
        <v>560</v>
      </c>
      <c r="M1215" s="7" t="inlineStr">
        <is>
          <t>g/kg</t>
        </is>
      </c>
      <c r="N1215" s="7" t="inlineStr">
        <is>
          <t>Fosfeto de Alumínio Técnico Vinculado MAPA</t>
        </is>
      </c>
    </row>
    <row r="1216" ht="22" customHeight="1">
      <c r="A1216" s="12" t="inlineStr">
        <is>
          <t>CMP-1212</t>
        </is>
      </c>
      <c r="B1216" s="11" t="n">
        <v>904</v>
      </c>
      <c r="C1216" s="13" t="inlineStr">
        <is>
          <t>Nº 18524</t>
        </is>
      </c>
      <c r="D1216" s="14" t="inlineStr">
        <is>
          <t>BRADOOCK 72 WG BR</t>
        </is>
      </c>
      <c r="E1216" s="11" t="n">
        <v>1</v>
      </c>
      <c r="F1216" s="13" t="inlineStr">
        <is>
          <t>Ingrediente Ativo Principal</t>
        </is>
      </c>
      <c r="G1216" s="13" t="inlineStr">
        <is>
          <t>GLIFOSATO EQUIVALENTE ÁCIDO (Sal de Amônio 792,5 g/kg)</t>
        </is>
      </c>
      <c r="H1216" s="13" t="inlineStr">
        <is>
          <t>N-(phosphonomethyl)glycine (Ammonium salt)</t>
        </is>
      </c>
      <c r="I1216" s="13" t="inlineStr">
        <is>
          <t>Glicina substituída</t>
        </is>
      </c>
      <c r="J1216" s="13" t="inlineStr">
        <is>
          <t>HRAC Grupo G (9) — Inibidores da EPSPs</t>
        </is>
      </c>
      <c r="K1216" s="13" t="inlineStr">
        <is>
          <t>Inibidores da enzima EPSPs (Enoil Piruvil Shiquimato Fosfato Sintase)</t>
        </is>
      </c>
      <c r="L1216" s="15" t="n">
        <v>720</v>
      </c>
      <c r="M1216" s="13" t="inlineStr">
        <is>
          <t>g/kg</t>
        </is>
      </c>
      <c r="N1216" s="13" t="inlineStr">
        <is>
          <t>Glifosato Técnico Biorisk</t>
        </is>
      </c>
    </row>
    <row r="1217" ht="22" customHeight="1">
      <c r="A1217" s="6" t="inlineStr">
        <is>
          <t>CMP-1213</t>
        </is>
      </c>
      <c r="B1217" s="5" t="n">
        <v>905</v>
      </c>
      <c r="C1217" s="7" t="inlineStr">
        <is>
          <t>VINC-18524</t>
        </is>
      </c>
      <c r="D1217" s="8" t="inlineStr">
        <is>
          <t>Glifosato Técnico Biorisk</t>
        </is>
      </c>
      <c r="E1217" s="5" t="n">
        <v>1</v>
      </c>
      <c r="F1217" s="7" t="inlineStr">
        <is>
          <t>Ingrediente Ativo Grau Técnico</t>
        </is>
      </c>
      <c r="G1217" s="7" t="inlineStr">
        <is>
          <t>GLIFOSATO, SAL DE AMÔNIO</t>
        </is>
      </c>
      <c r="H1217" s="7" t="inlineStr">
        <is>
          <t>N-(phosphonomethyl)glycine (Sal de Amônio / Isopropilamina / Potássico)</t>
        </is>
      </c>
      <c r="I1217" s="7" t="inlineStr">
        <is>
          <t>Glicina substituída</t>
        </is>
      </c>
      <c r="J1217" s="7" t="inlineStr">
        <is>
          <t>HRAC Grupo G (EPSPs)</t>
        </is>
      </c>
      <c r="K1217" s="7" t="inlineStr">
        <is>
          <t>Inibidores da enzima EPSPs (Enoil Piruvil Shiquimato Fosfato Sintase)</t>
        </is>
      </c>
      <c r="L1217" s="9" t="n">
        <v>950</v>
      </c>
      <c r="M1217" s="7" t="inlineStr">
        <is>
          <t>g/kg</t>
        </is>
      </c>
      <c r="N1217" s="7" t="inlineStr">
        <is>
          <t>Registro de Produto Técnico MAPA</t>
        </is>
      </c>
    </row>
    <row r="1218" ht="22" customHeight="1">
      <c r="A1218" s="12" t="inlineStr">
        <is>
          <t>CMP-1214</t>
        </is>
      </c>
      <c r="B1218" s="11" t="n">
        <v>906</v>
      </c>
      <c r="C1218" s="13" t="inlineStr">
        <is>
          <t>Nº 18624</t>
        </is>
      </c>
      <c r="D1218" s="14" t="inlineStr">
        <is>
          <t>ORSA 400 EC</t>
        </is>
      </c>
      <c r="E1218" s="11" t="n">
        <v>1</v>
      </c>
      <c r="F1218" s="13" t="inlineStr">
        <is>
          <t>Ingrediente Ativo Principal</t>
        </is>
      </c>
      <c r="G1218" s="13" t="inlineStr">
        <is>
          <t>BIFENTRINA</t>
        </is>
      </c>
      <c r="H1218" s="13" t="inlineStr">
        <is>
          <t>2-methylbiphenyl-3-ylmethyl (Z)-(1RS,3RS)-3-(2-chloro-3,3,3-trifluoroprop-1-enyl)-2,2-dimethylcyclopropanecarboxylate</t>
        </is>
      </c>
      <c r="I1218" s="13" t="inlineStr">
        <is>
          <t>Piretroide (Tipo I)</t>
        </is>
      </c>
      <c r="J1218" s="13" t="inlineStr">
        <is>
          <t>IRAC Grupo 3A</t>
        </is>
      </c>
      <c r="K1218" s="13" t="inlineStr">
        <is>
          <t>Moduladores de canais de sódio em membranas nervosas</t>
        </is>
      </c>
      <c r="L1218" s="15" t="n">
        <v>400</v>
      </c>
      <c r="M1218" s="13" t="inlineStr">
        <is>
          <t>g/L</t>
        </is>
      </c>
      <c r="N1218" s="13" t="inlineStr">
        <is>
          <t>Bifentrina Técnico Tecnomyl</t>
        </is>
      </c>
    </row>
    <row r="1219" ht="22" customHeight="1">
      <c r="A1219" s="6" t="inlineStr">
        <is>
          <t>CMP-1215</t>
        </is>
      </c>
      <c r="B1219" s="5" t="n">
        <v>907</v>
      </c>
      <c r="C1219" s="7" t="inlineStr">
        <is>
          <t>Nº 18624</t>
        </is>
      </c>
      <c r="D1219" s="8" t="inlineStr">
        <is>
          <t>BIFENTRINA 400 EC TECNOMYL</t>
        </is>
      </c>
      <c r="E1219" s="5" t="n">
        <v>1</v>
      </c>
      <c r="F1219" s="7" t="inlineStr">
        <is>
          <t>Ingrediente Ativo Principal</t>
        </is>
      </c>
      <c r="G1219" s="7" t="inlineStr">
        <is>
          <t>BIFENTRINA</t>
        </is>
      </c>
      <c r="H1219" s="7" t="inlineStr">
        <is>
          <t>2-methylbiphenyl-3-ylmethyl (Z)-(1RS,3RS)-3-(2-chloro-3,3,3-trifluoroprop-1-enyl)-2,2-dimethylcyclopropanecarboxylate</t>
        </is>
      </c>
      <c r="I1219" s="7" t="inlineStr">
        <is>
          <t>Piretroide (Tipo I)</t>
        </is>
      </c>
      <c r="J1219" s="7" t="inlineStr">
        <is>
          <t>IRAC Grupo 3A</t>
        </is>
      </c>
      <c r="K1219" s="7" t="inlineStr">
        <is>
          <t>Moduladores de canais de sódio em membranas nervosas</t>
        </is>
      </c>
      <c r="L1219" s="9" t="n">
        <v>400</v>
      </c>
      <c r="M1219" s="7" t="inlineStr">
        <is>
          <t>g/L</t>
        </is>
      </c>
      <c r="N1219" s="7" t="inlineStr">
        <is>
          <t>Bifentrina Técnico Tecnomyl</t>
        </is>
      </c>
    </row>
    <row r="1220" ht="22" customHeight="1">
      <c r="A1220" s="12" t="inlineStr">
        <is>
          <t>CMP-1216</t>
        </is>
      </c>
      <c r="B1220" s="11" t="n">
        <v>908</v>
      </c>
      <c r="C1220" s="13" t="inlineStr">
        <is>
          <t>Nº 18624</t>
        </is>
      </c>
      <c r="D1220" s="14" t="inlineStr">
        <is>
          <t>BIFENTRINA 400 EC TECNOMYL I</t>
        </is>
      </c>
      <c r="E1220" s="11" t="n">
        <v>1</v>
      </c>
      <c r="F1220" s="13" t="inlineStr">
        <is>
          <t>Ingrediente Ativo Principal</t>
        </is>
      </c>
      <c r="G1220" s="13" t="inlineStr">
        <is>
          <t>BIFENTRINA</t>
        </is>
      </c>
      <c r="H1220" s="13" t="inlineStr">
        <is>
          <t>2-methylbiphenyl-3-ylmethyl (Z)-(1RS,3RS)-3-(2-chloro-3,3,3-trifluoroprop-1-enyl)-2,2-dimethylcyclopropanecarboxylate</t>
        </is>
      </c>
      <c r="I1220" s="13" t="inlineStr">
        <is>
          <t>Piretroide (Tipo I)</t>
        </is>
      </c>
      <c r="J1220" s="13" t="inlineStr">
        <is>
          <t>IRAC Grupo 3A</t>
        </is>
      </c>
      <c r="K1220" s="13" t="inlineStr">
        <is>
          <t>Moduladores de canais de sódio em membranas nervosas</t>
        </is>
      </c>
      <c r="L1220" s="15" t="n">
        <v>400</v>
      </c>
      <c r="M1220" s="13" t="inlineStr">
        <is>
          <t>g/L</t>
        </is>
      </c>
      <c r="N1220" s="13" t="inlineStr">
        <is>
          <t>Bifentrina Técnico Tecnomyl</t>
        </is>
      </c>
    </row>
    <row r="1221" ht="22" customHeight="1">
      <c r="A1221" s="6" t="inlineStr">
        <is>
          <t>CMP-1217</t>
        </is>
      </c>
      <c r="B1221" s="5" t="n">
        <v>909</v>
      </c>
      <c r="C1221" s="7" t="inlineStr">
        <is>
          <t>Nº 18624</t>
        </is>
      </c>
      <c r="D1221" s="8" t="inlineStr">
        <is>
          <t>BIFENTRINA 400 EC TECNOMYL II</t>
        </is>
      </c>
      <c r="E1221" s="5" t="n">
        <v>1</v>
      </c>
      <c r="F1221" s="7" t="inlineStr">
        <is>
          <t>Ingrediente Ativo Principal</t>
        </is>
      </c>
      <c r="G1221" s="7" t="inlineStr">
        <is>
          <t>BIFENTRINA</t>
        </is>
      </c>
      <c r="H1221" s="7" t="inlineStr">
        <is>
          <t>2-methylbiphenyl-3-ylmethyl (Z)-(1RS,3RS)-3-(2-chloro-3,3,3-trifluoroprop-1-enyl)-2,2-dimethylcyclopropanecarboxylate</t>
        </is>
      </c>
      <c r="I1221" s="7" t="inlineStr">
        <is>
          <t>Piretroide (Tipo I)</t>
        </is>
      </c>
      <c r="J1221" s="7" t="inlineStr">
        <is>
          <t>IRAC Grupo 3A</t>
        </is>
      </c>
      <c r="K1221" s="7" t="inlineStr">
        <is>
          <t>Moduladores de canais de sódio em membranas nervosas</t>
        </is>
      </c>
      <c r="L1221" s="9" t="n">
        <v>400</v>
      </c>
      <c r="M1221" s="7" t="inlineStr">
        <is>
          <t>g/L</t>
        </is>
      </c>
      <c r="N1221" s="7" t="inlineStr">
        <is>
          <t>Bifentrina Técnico Tecnomyl</t>
        </is>
      </c>
    </row>
    <row r="1222" ht="22" customHeight="1">
      <c r="A1222" s="12" t="inlineStr">
        <is>
          <t>CMP-1218</t>
        </is>
      </c>
      <c r="B1222" s="11" t="n">
        <v>910</v>
      </c>
      <c r="C1222" s="13" t="inlineStr">
        <is>
          <t>Nº 18624</t>
        </is>
      </c>
      <c r="D1222" s="14" t="inlineStr">
        <is>
          <t>BIFENTRINA 400 EC TECNOMYL III</t>
        </is>
      </c>
      <c r="E1222" s="11" t="n">
        <v>1</v>
      </c>
      <c r="F1222" s="13" t="inlineStr">
        <is>
          <t>Ingrediente Ativo Principal</t>
        </is>
      </c>
      <c r="G1222" s="13" t="inlineStr">
        <is>
          <t>BIFENTRINA</t>
        </is>
      </c>
      <c r="H1222" s="13" t="inlineStr">
        <is>
          <t>2-methylbiphenyl-3-ylmethyl (Z)-(1RS,3RS)-3-(2-chloro-3,3,3-trifluoroprop-1-enyl)-2,2-dimethylcyclopropanecarboxylate</t>
        </is>
      </c>
      <c r="I1222" s="13" t="inlineStr">
        <is>
          <t>Piretroide (Tipo I)</t>
        </is>
      </c>
      <c r="J1222" s="13" t="inlineStr">
        <is>
          <t>IRAC Grupo 3A</t>
        </is>
      </c>
      <c r="K1222" s="13" t="inlineStr">
        <is>
          <t>Moduladores de canais de sódio em membranas nervosas</t>
        </is>
      </c>
      <c r="L1222" s="15" t="n">
        <v>400</v>
      </c>
      <c r="M1222" s="13" t="inlineStr">
        <is>
          <t>g/L</t>
        </is>
      </c>
      <c r="N1222" s="13" t="inlineStr">
        <is>
          <t>Bifentrina Técnico Tecnomyl</t>
        </is>
      </c>
    </row>
    <row r="1223" ht="22" customHeight="1">
      <c r="A1223" s="6" t="inlineStr">
        <is>
          <t>CMP-1219</t>
        </is>
      </c>
      <c r="B1223" s="5" t="n">
        <v>911</v>
      </c>
      <c r="C1223" s="7" t="inlineStr">
        <is>
          <t>VINC-18624</t>
        </is>
      </c>
      <c r="D1223" s="8" t="inlineStr">
        <is>
          <t>Bifentrina Técnico Tecnomyl</t>
        </is>
      </c>
      <c r="E1223" s="5" t="n">
        <v>1</v>
      </c>
      <c r="F1223" s="7" t="inlineStr">
        <is>
          <t>Ingrediente Ativo Grau Técnico</t>
        </is>
      </c>
      <c r="G1223" s="7" t="inlineStr">
        <is>
          <t>BIFENTRINA</t>
        </is>
      </c>
      <c r="H1223" s="7" t="inlineStr">
        <is>
          <t>2-methylbiphenyl-3-ylmethyl (Z)-(1RS,3RS)-3-(2-chloro-3,3,3-trifluoroprop-1-enyl)-2,2-dimethylcyclopropanecarboxylate</t>
        </is>
      </c>
      <c r="I1223" s="7" t="inlineStr">
        <is>
          <t>Piretroide (Tipo I)</t>
        </is>
      </c>
      <c r="J1223" s="7" t="inlineStr">
        <is>
          <t>IRAC Grupo 3A</t>
        </is>
      </c>
      <c r="K1223" s="7" t="inlineStr">
        <is>
          <t>Moduladores de canais de sódio em membranas nervosas</t>
        </is>
      </c>
      <c r="L1223" s="9" t="n">
        <v>960</v>
      </c>
      <c r="M1223" s="7" t="inlineStr">
        <is>
          <t>g/kg</t>
        </is>
      </c>
      <c r="N1223" s="7" t="inlineStr">
        <is>
          <t>Registro de Produto Técnico MAPA</t>
        </is>
      </c>
    </row>
    <row r="1224" ht="22" customHeight="1">
      <c r="A1224" s="12" t="inlineStr">
        <is>
          <t>CMP-1220</t>
        </is>
      </c>
      <c r="B1224" s="11" t="n">
        <v>912</v>
      </c>
      <c r="C1224" s="13" t="inlineStr">
        <is>
          <t>Nº 18724</t>
        </is>
      </c>
      <c r="D1224" s="14" t="inlineStr">
        <is>
          <t>PYRIPROXYFEN WOOD 100 EC</t>
        </is>
      </c>
      <c r="E1224" s="11" t="n">
        <v>1</v>
      </c>
      <c r="F1224" s="13" t="inlineStr">
        <is>
          <t>Ingrediente Ativo Principal</t>
        </is>
      </c>
      <c r="G1224" s="13" t="inlineStr">
        <is>
          <t>PIRIPROXIFEM 100</t>
        </is>
      </c>
      <c r="H1224" s="13" t="inlineStr">
        <is>
          <t>4-phenoxyphenyl (RS)-2-(2-pyridyloxy)propyl ether</t>
        </is>
      </c>
      <c r="I1224" s="13" t="inlineStr">
        <is>
          <t>Éter piridiloxipropílico</t>
        </is>
      </c>
      <c r="J1224" s="13" t="inlineStr">
        <is>
          <t>IRAC Grupo 7C</t>
        </is>
      </c>
      <c r="K1224" s="13" t="inlineStr">
        <is>
          <t>Mimetizadores do hormônio juvenil (Juvenoides)</t>
        </is>
      </c>
      <c r="L1224" s="15" t="n">
        <v>100</v>
      </c>
      <c r="M1224" s="13" t="inlineStr">
        <is>
          <t>g/L</t>
        </is>
      </c>
      <c r="N1224" s="13" t="inlineStr">
        <is>
          <t>Produto Técnico Próprio</t>
        </is>
      </c>
    </row>
    <row r="1225" ht="22" customHeight="1">
      <c r="A1225" s="6" t="inlineStr">
        <is>
          <t>CMP-1221</t>
        </is>
      </c>
      <c r="B1225" s="5" t="n">
        <v>913</v>
      </c>
      <c r="C1225" s="7" t="inlineStr">
        <is>
          <t>VINC-18724</t>
        </is>
      </c>
      <c r="D1225" s="8" t="inlineStr">
        <is>
          <t>Pyriproxyfen Técnico Sino-Agri</t>
        </is>
      </c>
      <c r="E1225" s="5" t="n">
        <v>1</v>
      </c>
      <c r="F1225" s="7" t="inlineStr">
        <is>
          <t>Ingrediente Ativo Grau Técnico</t>
        </is>
      </c>
      <c r="G1225" s="7" t="inlineStr">
        <is>
          <t>PIRIPROXIFEM</t>
        </is>
      </c>
      <c r="H1225" s="7" t="inlineStr">
        <is>
          <t>4-phenoxyphenyl (RS)-2-(2-pyridyloxy)propyl ether</t>
        </is>
      </c>
      <c r="I1225" s="7" t="inlineStr">
        <is>
          <t>Éter Piridiloxipropílico</t>
        </is>
      </c>
      <c r="J1225" s="7" t="inlineStr">
        <is>
          <t>IRAC Grupo 7C</t>
        </is>
      </c>
      <c r="K1225" s="7" t="inlineStr">
        <is>
          <t>Mimetizadores do hormônio juvenil (JHM)</t>
        </is>
      </c>
      <c r="L1225" s="9" t="n">
        <v>960</v>
      </c>
      <c r="M1225" s="7" t="inlineStr">
        <is>
          <t>g/kg</t>
        </is>
      </c>
      <c r="N1225" s="7" t="inlineStr">
        <is>
          <t>Registro de Produto Técnico MAPA</t>
        </is>
      </c>
    </row>
    <row r="1226" ht="22" customHeight="1">
      <c r="A1226" s="12" t="inlineStr">
        <is>
          <t>CMP-1222</t>
        </is>
      </c>
      <c r="B1226" s="11" t="n">
        <v>914</v>
      </c>
      <c r="C1226" s="13" t="inlineStr">
        <is>
          <t>Nº 18824</t>
        </is>
      </c>
      <c r="D1226" s="14" t="inlineStr">
        <is>
          <t>TKI-15 BR</t>
        </is>
      </c>
      <c r="E1226" s="11" t="n">
        <v>1</v>
      </c>
      <c r="F1226" s="13" t="inlineStr">
        <is>
          <t>Ingrediente Ativo Principal</t>
        </is>
      </c>
      <c r="G1226" s="13" t="inlineStr">
        <is>
          <t>SILICATO DE ALUMÍNIO ANIDRO (Caulim Calcinado)</t>
        </is>
      </c>
      <c r="H1226" s="13" t="inlineStr">
        <is>
          <t>Aluminium silicate anhydrous (Al2Si2O5(OH)4 calcinado)</t>
        </is>
      </c>
      <c r="I1226" s="13" t="inlineStr">
        <is>
          <t>Silicato Mineral Inorgânico (Protetor Solar Agrícola)</t>
        </is>
      </c>
      <c r="J1226" s="13" t="inlineStr">
        <is>
          <t>Barreira Física Mineral Refletora UV/IR</t>
        </is>
      </c>
      <c r="K1226" s="13" t="inlineStr">
        <is>
          <t>Redução da temperatura foliar/epiderme de frutos e proteção contra radiação solar excessiva</t>
        </is>
      </c>
      <c r="L1226" s="15" t="n">
        <v>950</v>
      </c>
      <c r="M1226" s="13" t="inlineStr">
        <is>
          <t>g/kg</t>
        </is>
      </c>
      <c r="N1226" s="13" t="inlineStr">
        <is>
          <t>Registro Técnico Vinculado MAPA</t>
        </is>
      </c>
    </row>
    <row r="1227" ht="22" customHeight="1">
      <c r="A1227" s="6" t="inlineStr">
        <is>
          <t>CMP-1223</t>
        </is>
      </c>
      <c r="B1227" s="5" t="n">
        <v>915</v>
      </c>
      <c r="C1227" s="7" t="inlineStr">
        <is>
          <t>Nº 18924</t>
        </is>
      </c>
      <c r="D1227" s="8" t="inlineStr">
        <is>
          <t>TRINEXAPAC 250 EC MAXUNITECH</t>
        </is>
      </c>
      <c r="E1227" s="5" t="n">
        <v>1</v>
      </c>
      <c r="F1227" s="7" t="inlineStr">
        <is>
          <t>Ingrediente Ativo Principal</t>
        </is>
      </c>
      <c r="G1227" s="7" t="inlineStr">
        <is>
          <t>TRINEXAPAQUE-ETÍLICO</t>
        </is>
      </c>
      <c r="H1227" s="7" t="inlineStr">
        <is>
          <t>Ethyl 4-cyclopropyl(hydroxy)methylene-3,5-dioxocyclohexanecarboxylate</t>
        </is>
      </c>
      <c r="I1227" s="7" t="inlineStr">
        <is>
          <t>Ciclohexanodiona Carboxilato (Fitorregulador)</t>
        </is>
      </c>
      <c r="J1227" s="7" t="inlineStr">
        <is>
          <t>Regulador de Crescimento Vegetal (Inibidor de Giberelina)</t>
        </is>
      </c>
      <c r="K1227" s="7" t="inlineStr">
        <is>
          <t>Inibição da 3-beta-hidroxilase na rota biossintética do ácido giberélico (GA1)</t>
        </is>
      </c>
      <c r="L1227" s="9" t="n">
        <v>250</v>
      </c>
      <c r="M1227" s="7" t="inlineStr">
        <is>
          <t>g/L</t>
        </is>
      </c>
      <c r="N1227" s="7" t="inlineStr">
        <is>
          <t>Trinexapaque-etílico Técnico Max</t>
        </is>
      </c>
    </row>
    <row r="1228" ht="22" customHeight="1">
      <c r="A1228" s="12" t="inlineStr">
        <is>
          <t>CMP-1224</t>
        </is>
      </c>
      <c r="B1228" s="11" t="n">
        <v>916</v>
      </c>
      <c r="C1228" s="13" t="inlineStr">
        <is>
          <t>VINC-18924</t>
        </is>
      </c>
      <c r="D1228" s="14" t="inlineStr">
        <is>
          <t>Trinexapaque-etílico Técnico Max</t>
        </is>
      </c>
      <c r="E1228" s="11" t="n">
        <v>1</v>
      </c>
      <c r="F1228" s="13" t="inlineStr">
        <is>
          <t>Ingrediente Ativo Grau Técnico</t>
        </is>
      </c>
      <c r="G1228" s="13" t="inlineStr">
        <is>
          <t>TRINEXAPAQUE-ETÍLICO</t>
        </is>
      </c>
      <c r="H1228" s="13" t="inlineStr">
        <is>
          <t>Ethyl 4-cyclopropyl(hydroxy)methylene-3,5-dioxocyclohexanecarboxylate</t>
        </is>
      </c>
      <c r="I1228" s="13" t="inlineStr">
        <is>
          <t>Ciclohexanodiona Carboxilato (Fitorregulador)</t>
        </is>
      </c>
      <c r="J1228" s="13" t="inlineStr">
        <is>
          <t>Regulador de Crescimento Vegetal (Inibidor de Giberelina)</t>
        </is>
      </c>
      <c r="K1228" s="13" t="inlineStr">
        <is>
          <t>Inibição da 3-beta-hidroxilase na rota biossintética do ácido giberélico (GA1)</t>
        </is>
      </c>
      <c r="L1228" s="15" t="n">
        <v>960</v>
      </c>
      <c r="M1228" s="13" t="inlineStr">
        <is>
          <t>g/kg</t>
        </is>
      </c>
      <c r="N1228" s="13" t="inlineStr">
        <is>
          <t>Registro de Produto Técnico MAPA</t>
        </is>
      </c>
    </row>
    <row r="1229" ht="22" customHeight="1">
      <c r="A1229" s="6" t="inlineStr">
        <is>
          <t>CMP-1225</t>
        </is>
      </c>
      <c r="B1229" s="5" t="n">
        <v>917</v>
      </c>
      <c r="C1229" s="7" t="inlineStr">
        <is>
          <t>Nº 19024</t>
        </is>
      </c>
      <c r="D1229" s="8" t="inlineStr">
        <is>
          <t>CALIZI</t>
        </is>
      </c>
      <c r="E1229" s="5" t="n">
        <v>1</v>
      </c>
      <c r="F1229" s="7" t="inlineStr">
        <is>
          <t>Ingrediente Ativo Principal</t>
        </is>
      </c>
      <c r="G1229" s="7" t="inlineStr">
        <is>
          <t>AZOXISTROBINA 120</t>
        </is>
      </c>
      <c r="H1229" s="7" t="inlineStr">
        <is>
          <t>Methyl (E)-2-{2-[6-(2-cyanophenoxy)pyrimidin-4-yloxy]phenyl}-3-methoxyacrylate</t>
        </is>
      </c>
      <c r="I1229" s="7" t="inlineStr">
        <is>
          <t>Estrobilurina (Metoxiacrilato)</t>
        </is>
      </c>
      <c r="J1229" s="7" t="inlineStr">
        <is>
          <t>FRAC Grupo 11 (QoI)</t>
        </is>
      </c>
      <c r="K1229" s="7" t="inlineStr">
        <is>
          <t>Inibidores da respiração mitocondrial no complexo III (citocromo bc1)</t>
        </is>
      </c>
      <c r="L1229" s="9" t="n">
        <v>120</v>
      </c>
      <c r="M1229" s="7" t="inlineStr">
        <is>
          <t>g/L</t>
        </is>
      </c>
      <c r="N1229" s="7" t="inlineStr">
        <is>
          <t>Registro Técnico Vinculado MAPA</t>
        </is>
      </c>
    </row>
    <row r="1230" ht="22" customHeight="1">
      <c r="A1230" s="12" t="inlineStr">
        <is>
          <t>CMP-1226</t>
        </is>
      </c>
      <c r="B1230" s="11" t="n">
        <v>917</v>
      </c>
      <c r="C1230" s="13" t="inlineStr">
        <is>
          <t>Nº 19024</t>
        </is>
      </c>
      <c r="D1230" s="14" t="inlineStr">
        <is>
          <t>CALIZI</t>
        </is>
      </c>
      <c r="E1230" s="11" t="n">
        <v>2</v>
      </c>
      <c r="F1230" s="13" t="inlineStr">
        <is>
          <t>Ingrediente Ativo Principal</t>
        </is>
      </c>
      <c r="G1230" s="13" t="inlineStr">
        <is>
          <t>TEBUCONAZOL 360</t>
        </is>
      </c>
      <c r="H1230" s="13" t="inlineStr">
        <is>
          <t>(RS)-1-p-chlorophenyl-4,4-dimethyl-3-(1H-1,2,4-triazol-1-ylmethyl)pentan-3-ol</t>
        </is>
      </c>
      <c r="I1230" s="13" t="inlineStr">
        <is>
          <t>Triazol</t>
        </is>
      </c>
      <c r="J1230" s="13" t="inlineStr">
        <is>
          <t>FRAC Grupo 3 (DMI)</t>
        </is>
      </c>
      <c r="K1230" s="13" t="inlineStr">
        <is>
          <t>Inibidores da desmetilação de C14 na biossíntese de ergosterol</t>
        </is>
      </c>
      <c r="L1230" s="15" t="n">
        <v>360</v>
      </c>
      <c r="M1230" s="13" t="inlineStr">
        <is>
          <t>g/L</t>
        </is>
      </c>
      <c r="N1230" s="13" t="inlineStr">
        <is>
          <t>Registro Técnico Vinculado MAPA</t>
        </is>
      </c>
    </row>
    <row r="1231" ht="22" customHeight="1">
      <c r="A1231" s="6" t="inlineStr">
        <is>
          <t>CMP-1227</t>
        </is>
      </c>
      <c r="B1231" s="5" t="n">
        <v>918</v>
      </c>
      <c r="C1231" s="7" t="inlineStr">
        <is>
          <t>VINC-19024</t>
        </is>
      </c>
      <c r="D1231" s="8" t="inlineStr">
        <is>
          <t>Azoxistrobin Técnico Sinon</t>
        </is>
      </c>
      <c r="E1231" s="5" t="n">
        <v>1</v>
      </c>
      <c r="F1231" s="7" t="inlineStr">
        <is>
          <t>Ingrediente Ativo Grau Técnico</t>
        </is>
      </c>
      <c r="G1231" s="7" t="inlineStr">
        <is>
          <t>AZOXISTROBINA</t>
        </is>
      </c>
      <c r="H1231" s="7" t="inlineStr">
        <is>
          <t>Methyl (E)-2-{2-[6-(2-cyanophenoxy)pyrimidin-4-yloxy]phenyl}-3-methoxyacrylate</t>
        </is>
      </c>
      <c r="I1231" s="7" t="inlineStr">
        <is>
          <t>Estrobilurina (Metoxiacrilato)</t>
        </is>
      </c>
      <c r="J1231" s="7" t="inlineStr">
        <is>
          <t>FRAC Grupo 11 (C3 — QoI)</t>
        </is>
      </c>
      <c r="K1231" s="7" t="inlineStr">
        <is>
          <t>Inibidores da respiração mitocondrial no Complexo III (sítio Qo)</t>
        </is>
      </c>
      <c r="L1231" s="9" t="n">
        <v>960</v>
      </c>
      <c r="M1231" s="7" t="inlineStr">
        <is>
          <t>g/kg</t>
        </is>
      </c>
      <c r="N1231" s="7" t="inlineStr">
        <is>
          <t>Registro de Produto Técnico MAPA</t>
        </is>
      </c>
    </row>
    <row r="1232" ht="22" customHeight="1">
      <c r="A1232" s="12" t="inlineStr">
        <is>
          <t>CMP-1228</t>
        </is>
      </c>
      <c r="B1232" s="11" t="n">
        <v>919</v>
      </c>
      <c r="C1232" s="13" t="inlineStr">
        <is>
          <t>Nº 19124</t>
        </is>
      </c>
      <c r="D1232" s="14" t="inlineStr">
        <is>
          <t>FLUTRIAFOL AS</t>
        </is>
      </c>
      <c r="E1232" s="11" t="n">
        <v>1</v>
      </c>
      <c r="F1232" s="13" t="inlineStr">
        <is>
          <t>Ingrediente Ativo Principal</t>
        </is>
      </c>
      <c r="G1232" s="13" t="inlineStr">
        <is>
          <t>FLUTRIAFOL</t>
        </is>
      </c>
      <c r="H1232" s="13" t="inlineStr">
        <is>
          <t>(RS)-2,4-difluoro-alpha-(1H-1,2,4-triazol-1-ylmethyl)benzhydryl alcohol</t>
        </is>
      </c>
      <c r="I1232" s="13" t="inlineStr">
        <is>
          <t>Triazol</t>
        </is>
      </c>
      <c r="J1232" s="13" t="inlineStr">
        <is>
          <t>FRAC Grupo 3 (G1 — DMI)</t>
        </is>
      </c>
      <c r="K1232" s="13" t="inlineStr">
        <is>
          <t>Inibidores da desmetilação do C14 na biossíntese do ergosterol</t>
        </is>
      </c>
      <c r="L1232" s="15" t="n">
        <v>500</v>
      </c>
      <c r="M1232" s="13" t="inlineStr">
        <is>
          <t>g/L</t>
        </is>
      </c>
      <c r="N1232" s="13" t="inlineStr">
        <is>
          <t>Flutriafol Tradecorp Técnico</t>
        </is>
      </c>
    </row>
    <row r="1233" ht="22" customHeight="1">
      <c r="A1233" s="6" t="inlineStr">
        <is>
          <t>CMP-1229</t>
        </is>
      </c>
      <c r="B1233" s="5" t="n">
        <v>920</v>
      </c>
      <c r="C1233" s="7" t="inlineStr">
        <is>
          <t>VINC-19124</t>
        </is>
      </c>
      <c r="D1233" s="8" t="inlineStr">
        <is>
          <t>Flutriafol Tradecorp Técnico</t>
        </is>
      </c>
      <c r="E1233" s="5" t="n">
        <v>1</v>
      </c>
      <c r="F1233" s="7" t="inlineStr">
        <is>
          <t>Ingrediente Ativo Grau Técnico</t>
        </is>
      </c>
      <c r="G1233" s="7" t="inlineStr">
        <is>
          <t>FLUTRIAFOL</t>
        </is>
      </c>
      <c r="H1233" s="7" t="inlineStr">
        <is>
          <t>(RS)-2,4-difluoro-alpha-(1H-1,2,4-triazol-1-ylmethyl)benzhydryl alcohol</t>
        </is>
      </c>
      <c r="I1233" s="7" t="inlineStr">
        <is>
          <t>Triazol</t>
        </is>
      </c>
      <c r="J1233" s="7" t="inlineStr">
        <is>
          <t>FRAC Grupo 3 (G1 — DMI)</t>
        </is>
      </c>
      <c r="K1233" s="7" t="inlineStr">
        <is>
          <t>Inibidores da desmetilação do C14 na biossíntese do ergosterol</t>
        </is>
      </c>
      <c r="L1233" s="9" t="n">
        <v>980</v>
      </c>
      <c r="M1233" s="7" t="inlineStr">
        <is>
          <t>g/kg</t>
        </is>
      </c>
      <c r="N1233" s="7" t="inlineStr">
        <is>
          <t>Registro de Produto Técnico MAPA</t>
        </is>
      </c>
    </row>
    <row r="1234" ht="22" customHeight="1">
      <c r="A1234" s="12" t="inlineStr">
        <is>
          <t>CMP-1230</t>
        </is>
      </c>
      <c r="B1234" s="11" t="n">
        <v>921</v>
      </c>
      <c r="C1234" s="13" t="inlineStr">
        <is>
          <t>Nº 19224</t>
        </is>
      </c>
      <c r="D1234" s="14" t="inlineStr">
        <is>
          <t>ZOOM TOP</t>
        </is>
      </c>
      <c r="E1234" s="11" t="n">
        <v>1</v>
      </c>
      <c r="F1234" s="13" t="inlineStr">
        <is>
          <t>Ingrediente Ativo Principal</t>
        </is>
      </c>
      <c r="G1234" s="13" t="inlineStr">
        <is>
          <t>FLUTRIAFOL</t>
        </is>
      </c>
      <c r="H1234" s="13" t="inlineStr">
        <is>
          <t>(RS)-2,4-difluoro-alpha-(1H-1,2,4-triazol-1-ylmethyl)benzhydryl alcohol</t>
        </is>
      </c>
      <c r="I1234" s="13" t="inlineStr">
        <is>
          <t>Triazol</t>
        </is>
      </c>
      <c r="J1234" s="13" t="inlineStr">
        <is>
          <t>FRAC Grupo 3 (G1 — DMI)</t>
        </is>
      </c>
      <c r="K1234" s="13" t="inlineStr">
        <is>
          <t>Inibidores da desmetilação do C14 na biossíntese do ergosterol</t>
        </is>
      </c>
      <c r="L1234" s="15" t="n">
        <v>500</v>
      </c>
      <c r="M1234" s="13" t="inlineStr">
        <is>
          <t>g/L</t>
        </is>
      </c>
      <c r="N1234" s="13" t="inlineStr">
        <is>
          <t>Produto Técnico Próprio</t>
        </is>
      </c>
    </row>
    <row r="1235" ht="22" customHeight="1">
      <c r="A1235" s="6" t="inlineStr">
        <is>
          <t>CMP-1231</t>
        </is>
      </c>
      <c r="B1235" s="5" t="n">
        <v>922</v>
      </c>
      <c r="C1235" s="7" t="inlineStr">
        <is>
          <t>VINC-19224</t>
        </is>
      </c>
      <c r="D1235" s="8" t="inlineStr">
        <is>
          <t>Flutriafol Técnico Sinon</t>
        </is>
      </c>
      <c r="E1235" s="5" t="n">
        <v>1</v>
      </c>
      <c r="F1235" s="7" t="inlineStr">
        <is>
          <t>Ingrediente Ativo Grau Técnico</t>
        </is>
      </c>
      <c r="G1235" s="7" t="inlineStr">
        <is>
          <t>FLUTRIAFOL</t>
        </is>
      </c>
      <c r="H1235" s="7" t="inlineStr">
        <is>
          <t>(RS)-2,4-difluoro-alpha-(1H-1,2,4-triazol-1-ylmethyl)benzhydryl alcohol</t>
        </is>
      </c>
      <c r="I1235" s="7" t="inlineStr">
        <is>
          <t>Triazol</t>
        </is>
      </c>
      <c r="J1235" s="7" t="inlineStr">
        <is>
          <t>FRAC Grupo 3 (G1 — DMI)</t>
        </is>
      </c>
      <c r="K1235" s="7" t="inlineStr">
        <is>
          <t>Inibidores da desmetilação do C14 na biossíntese do ergosterol</t>
        </is>
      </c>
      <c r="L1235" s="9" t="n">
        <v>980</v>
      </c>
      <c r="M1235" s="7" t="inlineStr">
        <is>
          <t>g/kg</t>
        </is>
      </c>
      <c r="N1235" s="7" t="inlineStr">
        <is>
          <t>Registro de Produto Técnico MAPA</t>
        </is>
      </c>
    </row>
    <row r="1236" ht="22" customHeight="1">
      <c r="A1236" s="12" t="inlineStr">
        <is>
          <t>CMP-1232</t>
        </is>
      </c>
      <c r="B1236" s="11" t="n">
        <v>923</v>
      </c>
      <c r="C1236" s="13" t="inlineStr">
        <is>
          <t>Nº 19324</t>
        </is>
      </c>
      <c r="D1236" s="14" t="inlineStr">
        <is>
          <t>MESOTRIONA SOLUS</t>
        </is>
      </c>
      <c r="E1236" s="11" t="n">
        <v>1</v>
      </c>
      <c r="F1236" s="13" t="inlineStr">
        <is>
          <t>Ingrediente Ativo Principal</t>
        </is>
      </c>
      <c r="G1236" s="13" t="inlineStr">
        <is>
          <t>MESOTRIONA 480</t>
        </is>
      </c>
      <c r="H1236" s="13" t="inlineStr">
        <is>
          <t>2-(4-mesyl-2-nitrobenzoyl)cyclohexane-1,3-dione</t>
        </is>
      </c>
      <c r="I1236" s="13" t="inlineStr">
        <is>
          <t>Tricetona</t>
        </is>
      </c>
      <c r="J1236" s="13" t="inlineStr">
        <is>
          <t>HRAC Grupo F2 (27) — Inibidores da HPPD</t>
        </is>
      </c>
      <c r="K1236" s="13" t="inlineStr">
        <is>
          <t>Inibidores da enzima 4-hidroxifenil-piruvato-dioxigenase (HPPD - biossíntese de carotenoides)</t>
        </is>
      </c>
      <c r="L1236" s="15" t="n">
        <v>480</v>
      </c>
      <c r="M1236" s="13" t="inlineStr">
        <is>
          <t>g/L</t>
        </is>
      </c>
      <c r="N1236" s="13" t="inlineStr">
        <is>
          <t>Registro Técnico Vinculado MAPA</t>
        </is>
      </c>
    </row>
    <row r="1237" ht="22" customHeight="1">
      <c r="A1237" s="6" t="inlineStr">
        <is>
          <t>CMP-1233</t>
        </is>
      </c>
      <c r="B1237" s="5" t="n">
        <v>924</v>
      </c>
      <c r="C1237" s="7" t="inlineStr">
        <is>
          <t>VINC-19324</t>
        </is>
      </c>
      <c r="D1237" s="8" t="inlineStr">
        <is>
          <t>Mesotriona Técnico Solus</t>
        </is>
      </c>
      <c r="E1237" s="5" t="n">
        <v>1</v>
      </c>
      <c r="F1237" s="7" t="inlineStr">
        <is>
          <t>Ingrediente Ativo Grau Técnico</t>
        </is>
      </c>
      <c r="G1237" s="7" t="inlineStr">
        <is>
          <t>MESOTRIONA</t>
        </is>
      </c>
      <c r="H1237" s="7" t="inlineStr">
        <is>
          <t>2-(4-mesyl-2-nitrobenzoyl)cyclohexane-1,3-dione</t>
        </is>
      </c>
      <c r="I1237" s="7" t="inlineStr">
        <is>
          <t>Tricetona</t>
        </is>
      </c>
      <c r="J1237" s="7" t="inlineStr">
        <is>
          <t>HRAC Grupo F2 (27) — Inibidores da HPPD</t>
        </is>
      </c>
      <c r="K1237" s="7" t="inlineStr">
        <is>
          <t>Inibição da enzima 4-hidroxifenilpiruvato dioxigenase (HPPD)</t>
        </is>
      </c>
      <c r="L1237" s="9" t="n">
        <v>960</v>
      </c>
      <c r="M1237" s="7" t="inlineStr">
        <is>
          <t>g/kg</t>
        </is>
      </c>
      <c r="N1237" s="7" t="inlineStr">
        <is>
          <t>Registro de Produto Técnico MAPA</t>
        </is>
      </c>
    </row>
    <row r="1238" ht="22" customHeight="1">
      <c r="A1238" s="12" t="inlineStr">
        <is>
          <t>CMP-1234</t>
        </is>
      </c>
      <c r="B1238" s="11" t="n">
        <v>925</v>
      </c>
      <c r="C1238" s="13" t="inlineStr">
        <is>
          <t>Nº 19424</t>
        </is>
      </c>
      <c r="D1238" s="14" t="inlineStr">
        <is>
          <t>TRINEXAPAQUE ASCENZA EC</t>
        </is>
      </c>
      <c r="E1238" s="11" t="n">
        <v>1</v>
      </c>
      <c r="F1238" s="13" t="inlineStr">
        <is>
          <t>Ingrediente Ativo Principal</t>
        </is>
      </c>
      <c r="G1238" s="13" t="inlineStr">
        <is>
          <t>TRINEXAPAQUE-ETÍLICO</t>
        </is>
      </c>
      <c r="H1238" s="13" t="inlineStr">
        <is>
          <t>Ethyl 4-cyclopropyl(hydroxy)methylene-3,5-dioxocyclohexanecarboxylate</t>
        </is>
      </c>
      <c r="I1238" s="13" t="inlineStr">
        <is>
          <t>Ciclohexanodiona Carboxilato (Fitorregulador)</t>
        </is>
      </c>
      <c r="J1238" s="13" t="inlineStr">
        <is>
          <t>Regulador de Crescimento Vegetal (Inibidor de Giberelina)</t>
        </is>
      </c>
      <c r="K1238" s="13" t="inlineStr">
        <is>
          <t>Inibição da 3-beta-hidroxilase na rota biossintética do ácido giberélico (GA1)</t>
        </is>
      </c>
      <c r="L1238" s="15" t="n">
        <v>250</v>
      </c>
      <c r="M1238" s="13" t="inlineStr">
        <is>
          <t>g/L</t>
        </is>
      </c>
      <c r="N1238" s="13" t="inlineStr">
        <is>
          <t>Trinexapaque-Etílico Ascenza Técnico</t>
        </is>
      </c>
    </row>
    <row r="1239" ht="22" customHeight="1">
      <c r="A1239" s="6" t="inlineStr">
        <is>
          <t>CMP-1235</t>
        </is>
      </c>
      <c r="B1239" s="5" t="n">
        <v>926</v>
      </c>
      <c r="C1239" s="7" t="inlineStr">
        <is>
          <t>VINC-19424</t>
        </is>
      </c>
      <c r="D1239" s="8" t="inlineStr">
        <is>
          <t>Trinexapaque-Etílico Ascenza Técnico</t>
        </is>
      </c>
      <c r="E1239" s="5" t="n">
        <v>1</v>
      </c>
      <c r="F1239" s="7" t="inlineStr">
        <is>
          <t>Ingrediente Ativo Grau Técnico</t>
        </is>
      </c>
      <c r="G1239" s="7" t="inlineStr">
        <is>
          <t>TRINEXAPAQUE ETÍLICO</t>
        </is>
      </c>
      <c r="H1239" s="7" t="inlineStr">
        <is>
          <t>Ethyl 4-cyclopropyl(hydroxy)methylene-3,5-dioxocyclohexanecarboxylate</t>
        </is>
      </c>
      <c r="I1239" s="7" t="inlineStr">
        <is>
          <t>Ciclohexanodiona Carboxilato (Fitorregulador)</t>
        </is>
      </c>
      <c r="J1239" s="7" t="inlineStr">
        <is>
          <t>Regulador de Crescimento Vegetal (Inibidor de Giberelina)</t>
        </is>
      </c>
      <c r="K1239" s="7" t="inlineStr">
        <is>
          <t>Inibição da 3-beta-hidroxilase na rota biossintética do ácido giberélico (GA1)</t>
        </is>
      </c>
      <c r="L1239" s="9" t="n">
        <v>960</v>
      </c>
      <c r="M1239" s="7" t="inlineStr">
        <is>
          <t>g/kg</t>
        </is>
      </c>
      <c r="N1239" s="7" t="inlineStr">
        <is>
          <t>Registro de Produto Técnico MAPA</t>
        </is>
      </c>
    </row>
    <row r="1240" ht="22" customHeight="1">
      <c r="A1240" s="12" t="inlineStr">
        <is>
          <t>CMP-1236</t>
        </is>
      </c>
      <c r="B1240" s="11" t="n">
        <v>927</v>
      </c>
      <c r="C1240" s="13" t="inlineStr">
        <is>
          <t>Nº 19524</t>
        </is>
      </c>
      <c r="D1240" s="14" t="inlineStr">
        <is>
          <t>CARAVANA 806 SL</t>
        </is>
      </c>
      <c r="E1240" s="11" t="n">
        <v>1</v>
      </c>
      <c r="F1240" s="13" t="inlineStr">
        <is>
          <t>Ingrediente Ativo Principal</t>
        </is>
      </c>
      <c r="G1240" s="13" t="inlineStr">
        <is>
          <t>2,4-D SAL DIMETILAMINA 806 g/L (Equiv. 670 g/L 2,4-D Ácido)</t>
        </is>
      </c>
      <c r="H1240" s="13" t="inlineStr">
        <is>
          <t>(2,4-dichlorophenoxy)acetic acid (Sal Dimetilamina / Colina / Éster)</t>
        </is>
      </c>
      <c r="I1240" s="13" t="inlineStr">
        <is>
          <t>Ácido ariloxialcanoico</t>
        </is>
      </c>
      <c r="J1240" s="13" t="inlineStr">
        <is>
          <t>HRAC Grupo O (4) — Auxinas Sintéticas</t>
        </is>
      </c>
      <c r="K1240" s="13" t="inlineStr">
        <is>
          <t>Mimetizadores da auxina (ácido indolacético - AIA)</t>
        </is>
      </c>
      <c r="L1240" s="15" t="n">
        <v>806</v>
      </c>
      <c r="M1240" s="13" t="inlineStr">
        <is>
          <t>g/L</t>
        </is>
      </c>
      <c r="N1240" s="13" t="inlineStr">
        <is>
          <t>Registro Técnico Vinculado MAPA</t>
        </is>
      </c>
    </row>
    <row r="1241" ht="22" customHeight="1">
      <c r="A1241" s="6" t="inlineStr">
        <is>
          <t>CMP-1237</t>
        </is>
      </c>
      <c r="B1241" s="5" t="n">
        <v>928</v>
      </c>
      <c r="C1241" s="7" t="inlineStr">
        <is>
          <t>VINC-19524</t>
        </is>
      </c>
      <c r="D1241" s="8" t="inlineStr">
        <is>
          <t>2,4-D Técnico MCR</t>
        </is>
      </c>
      <c r="E1241" s="5" t="n">
        <v>1</v>
      </c>
      <c r="F1241" s="7" t="inlineStr">
        <is>
          <t>Ingrediente Ativo Grau Técnico</t>
        </is>
      </c>
      <c r="G1241" s="7" t="inlineStr">
        <is>
          <t>2,4-D</t>
        </is>
      </c>
      <c r="H1241" s="7" t="inlineStr">
        <is>
          <t>(2,4-dichlorophenoxy)acetic acid (Sal Dimetilamina / Colina / Amina)</t>
        </is>
      </c>
      <c r="I1241" s="7" t="inlineStr">
        <is>
          <t>Ácido ariloxialcanoico</t>
        </is>
      </c>
      <c r="J1241" s="7" t="inlineStr">
        <is>
          <t>HRAC Grupo O (4) — Auxinas Sintéticas</t>
        </is>
      </c>
      <c r="K1241" s="7" t="inlineStr">
        <is>
          <t>Mimetizadores de auxina sintética</t>
        </is>
      </c>
      <c r="L1241" s="9" t="n">
        <v>960</v>
      </c>
      <c r="M1241" s="7" t="inlineStr">
        <is>
          <t>g/kg</t>
        </is>
      </c>
      <c r="N1241" s="7" t="inlineStr">
        <is>
          <t>Registro de Produto Técnico MAPA</t>
        </is>
      </c>
    </row>
    <row r="1242" ht="22" customHeight="1">
      <c r="A1242" s="12" t="inlineStr">
        <is>
          <t>CMP-1238</t>
        </is>
      </c>
      <c r="B1242" s="11" t="n">
        <v>929</v>
      </c>
      <c r="C1242" s="13" t="inlineStr">
        <is>
          <t>Nº 19624</t>
        </is>
      </c>
      <c r="D1242" s="14" t="inlineStr">
        <is>
          <t>PIRIPROXIFEM BRX</t>
        </is>
      </c>
      <c r="E1242" s="11" t="n">
        <v>1</v>
      </c>
      <c r="F1242" s="13" t="inlineStr">
        <is>
          <t>Ingrediente Ativo Principal</t>
        </is>
      </c>
      <c r="G1242" s="13" t="inlineStr">
        <is>
          <t>PIRIPROXIFEM</t>
        </is>
      </c>
      <c r="H1242" s="13" t="inlineStr">
        <is>
          <t>4-phenoxyphenyl (RS)-2-(2-pyridyloxy)propyl ether</t>
        </is>
      </c>
      <c r="I1242" s="13" t="inlineStr">
        <is>
          <t>Éter Piridiloxipropílico</t>
        </is>
      </c>
      <c r="J1242" s="13" t="inlineStr">
        <is>
          <t>IRAC Grupo 7C</t>
        </is>
      </c>
      <c r="K1242" s="13" t="inlineStr">
        <is>
          <t>Mimetizadores do hormônio juvenil (JHM)</t>
        </is>
      </c>
      <c r="L1242" s="15" t="n">
        <v>100</v>
      </c>
      <c r="M1242" s="13" t="inlineStr">
        <is>
          <t>g/L</t>
        </is>
      </c>
      <c r="N1242" s="13" t="inlineStr">
        <is>
          <t>Piriproxifen Técnico Nortox</t>
        </is>
      </c>
    </row>
    <row r="1243" ht="22" customHeight="1">
      <c r="A1243" s="6" t="inlineStr">
        <is>
          <t>CMP-1239</t>
        </is>
      </c>
      <c r="B1243" s="5" t="n">
        <v>930</v>
      </c>
      <c r="C1243" s="7" t="inlineStr">
        <is>
          <t>VINC-19624</t>
        </is>
      </c>
      <c r="D1243" s="8" t="inlineStr">
        <is>
          <t>Piriproxifen Técnico Nortox</t>
        </is>
      </c>
      <c r="E1243" s="5" t="n">
        <v>1</v>
      </c>
      <c r="F1243" s="7" t="inlineStr">
        <is>
          <t>Ingrediente Ativo Grau Técnico</t>
        </is>
      </c>
      <c r="G1243" s="7" t="inlineStr">
        <is>
          <t>PIRIPROXIFEM</t>
        </is>
      </c>
      <c r="H1243" s="7" t="inlineStr">
        <is>
          <t>4-phenoxyphenyl (RS)-2-(2-pyridyloxy)propyl ether</t>
        </is>
      </c>
      <c r="I1243" s="7" t="inlineStr">
        <is>
          <t>Éter Piridiloxipropílico</t>
        </is>
      </c>
      <c r="J1243" s="7" t="inlineStr">
        <is>
          <t>IRAC Grupo 7C</t>
        </is>
      </c>
      <c r="K1243" s="7" t="inlineStr">
        <is>
          <t>Mimetizadores do hormônio juvenil (JHM)</t>
        </is>
      </c>
      <c r="L1243" s="9" t="n">
        <v>960</v>
      </c>
      <c r="M1243" s="7" t="inlineStr">
        <is>
          <t>g/kg</t>
        </is>
      </c>
      <c r="N1243" s="7" t="inlineStr">
        <is>
          <t>Registro de Produto Técnico MAPA</t>
        </is>
      </c>
    </row>
    <row r="1244" ht="22" customHeight="1">
      <c r="A1244" s="12" t="inlineStr">
        <is>
          <t>CMP-1240</t>
        </is>
      </c>
      <c r="B1244" s="11" t="n">
        <v>931</v>
      </c>
      <c r="C1244" s="13" t="inlineStr">
        <is>
          <t>Nº 19724</t>
        </is>
      </c>
      <c r="D1244" s="14" t="inlineStr">
        <is>
          <t>SONET</t>
        </is>
      </c>
      <c r="E1244" s="11" t="n">
        <v>1</v>
      </c>
      <c r="F1244" s="13" t="inlineStr">
        <is>
          <t>Ingrediente Ativo Principal</t>
        </is>
      </c>
      <c r="G1244" s="13" t="inlineStr">
        <is>
          <t>DINOTEFURAM</t>
        </is>
      </c>
      <c r="H1244" s="13" t="inlineStr">
        <is>
          <t>(RS)-1-methyl-2-nitro-3-(tetrahydro-3-furylmethyl)guanidine</t>
        </is>
      </c>
      <c r="I1244" s="13" t="inlineStr">
        <is>
          <t>Neonicotinoide (Nitroguanidina)</t>
        </is>
      </c>
      <c r="J1244" s="13" t="inlineStr">
        <is>
          <t>IRAC Grupo 4A</t>
        </is>
      </c>
      <c r="K1244" s="13" t="inlineStr">
        <is>
          <t>Moduladores competitivos dos receptores nicotínicos da acetilcolina (nAChR)</t>
        </is>
      </c>
      <c r="L1244" s="15" t="n">
        <v>250</v>
      </c>
      <c r="M1244" s="13" t="inlineStr">
        <is>
          <t>g/L</t>
        </is>
      </c>
      <c r="N1244" s="13" t="inlineStr">
        <is>
          <t>Dinno Técnico Mitsui/Ihara</t>
        </is>
      </c>
    </row>
    <row r="1245" ht="22" customHeight="1">
      <c r="A1245" s="6" t="inlineStr">
        <is>
          <t>CMP-1241</t>
        </is>
      </c>
      <c r="B1245" s="5" t="n">
        <v>931</v>
      </c>
      <c r="C1245" s="7" t="inlineStr">
        <is>
          <t>Nº 19724</t>
        </is>
      </c>
      <c r="D1245" s="8" t="inlineStr">
        <is>
          <t>SONET</t>
        </is>
      </c>
      <c r="E1245" s="5" t="n">
        <v>2</v>
      </c>
      <c r="F1245" s="7" t="inlineStr">
        <is>
          <t>Ingrediente Ativo Principal</t>
        </is>
      </c>
      <c r="G1245" s="7" t="inlineStr">
        <is>
          <t>LAMBDA-CIALOTRINA</t>
        </is>
      </c>
      <c r="H1245" s="7" t="inlineStr">
        <is>
          <t>(R)-a-cyano-3-phenoxybenzyl (1S,3S)-3-[(Z)-2-chloro-3,3,3-trifluoropropenyl]-2,2-dimethylcyclopropanecarboxylate</t>
        </is>
      </c>
      <c r="I1245" s="7" t="inlineStr">
        <is>
          <t>Piretroide (Tipo II)</t>
        </is>
      </c>
      <c r="J1245" s="7" t="inlineStr">
        <is>
          <t>IRAC Grupo 3A</t>
        </is>
      </c>
      <c r="K1245" s="7" t="inlineStr">
        <is>
          <t>Moduladores de canais de sódio em membranas nervosas</t>
        </is>
      </c>
      <c r="L1245" s="9" t="n">
        <v>50</v>
      </c>
      <c r="M1245" s="7" t="inlineStr">
        <is>
          <t>g/L</t>
        </is>
      </c>
      <c r="N1245" s="7" t="inlineStr">
        <is>
          <t>Lambda-Cialotrina Técnico Ihara</t>
        </is>
      </c>
    </row>
    <row r="1246" ht="22" customHeight="1">
      <c r="A1246" s="12" t="inlineStr">
        <is>
          <t>CMP-1242</t>
        </is>
      </c>
      <c r="B1246" s="11" t="n">
        <v>932</v>
      </c>
      <c r="C1246" s="13" t="inlineStr">
        <is>
          <t>VINC-19724</t>
        </is>
      </c>
      <c r="D1246" s="14" t="inlineStr">
        <is>
          <t>Dinno Técnico</t>
        </is>
      </c>
      <c r="E1246" s="11" t="n">
        <v>1</v>
      </c>
      <c r="F1246" s="13" t="inlineStr">
        <is>
          <t>Ingrediente Ativo Grau Técnico</t>
        </is>
      </c>
      <c r="G1246" s="13" t="inlineStr">
        <is>
          <t>DINOTEFURAM TÉCNICO</t>
        </is>
      </c>
      <c r="H1246" s="13" t="inlineStr">
        <is>
          <t>(RS)-1-methyl-2-nitro-3-(tetrahydro-3-furylmethyl)guanidine</t>
        </is>
      </c>
      <c r="I1246" s="13" t="inlineStr">
        <is>
          <t>Neonicotinoide (Nitroguanidina)</t>
        </is>
      </c>
      <c r="J1246" s="13" t="inlineStr">
        <is>
          <t>IRAC Grupo 4A</t>
        </is>
      </c>
      <c r="K1246" s="13" t="inlineStr">
        <is>
          <t>Moduladores competitivos dos receptores nicotínicos da acetilcolina (nAChR)</t>
        </is>
      </c>
      <c r="L1246" s="15" t="n">
        <v>980</v>
      </c>
      <c r="M1246" s="13" t="inlineStr">
        <is>
          <t>g/kg</t>
        </is>
      </c>
      <c r="N1246" s="13" t="inlineStr">
        <is>
          <t>Registro de Produto Técnico MAPA</t>
        </is>
      </c>
    </row>
    <row r="1247" ht="22" customHeight="1">
      <c r="A1247" s="6" t="inlineStr">
        <is>
          <t>CMP-1243</t>
        </is>
      </c>
      <c r="B1247" s="5" t="n">
        <v>933</v>
      </c>
      <c r="C1247" s="7" t="inlineStr">
        <is>
          <t>VINC-19724</t>
        </is>
      </c>
      <c r="D1247" s="8" t="inlineStr">
        <is>
          <t>Lambda-Cialotrina Técnico Ihara</t>
        </is>
      </c>
      <c r="E1247" s="5" t="n">
        <v>1</v>
      </c>
      <c r="F1247" s="7" t="inlineStr">
        <is>
          <t>Ingrediente Ativo Grau Técnico</t>
        </is>
      </c>
      <c r="G1247" s="7" t="inlineStr">
        <is>
          <t>LAMBDA-CIALOTRINA TÉCNICO</t>
        </is>
      </c>
      <c r="H1247" s="7" t="inlineStr">
        <is>
          <t>(R)-a-cyano-3-phenoxybenzyl (1S,3S)-3-[(Z)-2-chloro-3,3,3-trifluoropropenyl]-2,2-dimethylcyclopropanecarboxylate</t>
        </is>
      </c>
      <c r="I1247" s="7" t="inlineStr">
        <is>
          <t>Piretroide (Tipo II)</t>
        </is>
      </c>
      <c r="J1247" s="7" t="inlineStr">
        <is>
          <t>IRAC Grupo 3A</t>
        </is>
      </c>
      <c r="K1247" s="7" t="inlineStr">
        <is>
          <t>Moduladores de canais de sódio em membranas nervosas</t>
        </is>
      </c>
      <c r="L1247" s="9" t="n">
        <v>970</v>
      </c>
      <c r="M1247" s="7" t="inlineStr">
        <is>
          <t>g/kg</t>
        </is>
      </c>
      <c r="N1247" s="7" t="inlineStr">
        <is>
          <t>Registro de Produto Técnico MAPA</t>
        </is>
      </c>
    </row>
    <row r="1248" ht="22" customHeight="1">
      <c r="A1248" s="12" t="inlineStr">
        <is>
          <t>CMP-1244</t>
        </is>
      </c>
      <c r="B1248" s="11" t="n">
        <v>934</v>
      </c>
      <c r="C1248" s="13" t="inlineStr">
        <is>
          <t>VINC-19724</t>
        </is>
      </c>
      <c r="D1248" s="14" t="inlineStr">
        <is>
          <t>Lambda-Cyhalothrin Técnico Oxon</t>
        </is>
      </c>
      <c r="E1248" s="11" t="n">
        <v>1</v>
      </c>
      <c r="F1248" s="13" t="inlineStr">
        <is>
          <t>Ingrediente Ativo Grau Técnico</t>
        </is>
      </c>
      <c r="G1248" s="13" t="inlineStr">
        <is>
          <t>LAMBDA-CIALOTRINA TÉCNICO</t>
        </is>
      </c>
      <c r="H1248" s="13" t="inlineStr">
        <is>
          <t>(R)-a-cyano-3-phenoxybenzyl (1S,3S)-3-[(Z)-2-chloro-3,3,3-trifluoropropenyl]-2,2-dimethylcyclopropanecarboxylate</t>
        </is>
      </c>
      <c r="I1248" s="13" t="inlineStr">
        <is>
          <t>Piretroide (Tipo II)</t>
        </is>
      </c>
      <c r="J1248" s="13" t="inlineStr">
        <is>
          <t>IRAC Grupo 3A</t>
        </is>
      </c>
      <c r="K1248" s="13" t="inlineStr">
        <is>
          <t>Moduladores de canais de sódio em membranas nervosas</t>
        </is>
      </c>
      <c r="L1248" s="15" t="n">
        <v>970</v>
      </c>
      <c r="M1248" s="13" t="inlineStr">
        <is>
          <t>g/kg</t>
        </is>
      </c>
      <c r="N1248" s="13" t="inlineStr">
        <is>
          <t>Registro de Produto Técnico MAPA</t>
        </is>
      </c>
    </row>
    <row r="1249" ht="22" customHeight="1">
      <c r="A1249" s="6" t="inlineStr">
        <is>
          <t>CMP-1245</t>
        </is>
      </c>
      <c r="B1249" s="5" t="n">
        <v>935</v>
      </c>
      <c r="C1249" s="7" t="inlineStr">
        <is>
          <t>VINC-19724</t>
        </is>
      </c>
      <c r="D1249" s="8" t="inlineStr">
        <is>
          <t>Lambda Cyhalothrin Técnico Sulphur Mills</t>
        </is>
      </c>
      <c r="E1249" s="5" t="n">
        <v>1</v>
      </c>
      <c r="F1249" s="7" t="inlineStr">
        <is>
          <t>Ingrediente Ativo Grau Técnico</t>
        </is>
      </c>
      <c r="G1249" s="7" t="inlineStr">
        <is>
          <t>LAMBDA-CIALOTRINA TÉCNICO</t>
        </is>
      </c>
      <c r="H1249" s="7" t="inlineStr">
        <is>
          <t>(R)-a-cyano-3-phenoxybenzyl (1S,3S)-3-[(Z)-2-chloro-3,3,3-trifluoropropenyl]-2,2-dimethylcyclopropanecarboxylate</t>
        </is>
      </c>
      <c r="I1249" s="7" t="inlineStr">
        <is>
          <t>Piretroide (Tipo II)</t>
        </is>
      </c>
      <c r="J1249" s="7" t="inlineStr">
        <is>
          <t>IRAC Grupo 3A</t>
        </is>
      </c>
      <c r="K1249" s="7" t="inlineStr">
        <is>
          <t>Moduladores de canais de sódio em membranas nervosas</t>
        </is>
      </c>
      <c r="L1249" s="9" t="n">
        <v>970</v>
      </c>
      <c r="M1249" s="7" t="inlineStr">
        <is>
          <t>g/kg</t>
        </is>
      </c>
      <c r="N1249" s="7" t="inlineStr">
        <is>
          <t>Registro de Produto Técnico MAPA</t>
        </is>
      </c>
    </row>
    <row r="1250" ht="22" customHeight="1">
      <c r="A1250" s="12" t="inlineStr">
        <is>
          <t>CMP-1246</t>
        </is>
      </c>
      <c r="B1250" s="11" t="n">
        <v>936</v>
      </c>
      <c r="C1250" s="13" t="inlineStr">
        <is>
          <t>Nº 19824</t>
        </is>
      </c>
      <c r="D1250" s="14" t="inlineStr">
        <is>
          <t>AHEAD</t>
        </is>
      </c>
      <c r="E1250" s="11" t="n">
        <v>1</v>
      </c>
      <c r="F1250" s="13" t="inlineStr">
        <is>
          <t>Ingrediente Ativo Principal</t>
        </is>
      </c>
      <c r="G1250" s="13" t="inlineStr">
        <is>
          <t>DINOTEFURAM 100</t>
        </is>
      </c>
      <c r="H1250" s="13" t="inlineStr">
        <is>
          <t>(RS)-1-methyl-2-nitro-3-(tetrahydro-3-furylmethyl)guanidine</t>
        </is>
      </c>
      <c r="I1250" s="13" t="inlineStr">
        <is>
          <t>Neonicotinoide (Nitroguanidina)</t>
        </is>
      </c>
      <c r="J1250" s="13" t="inlineStr">
        <is>
          <t>IRAC Grupo 4A</t>
        </is>
      </c>
      <c r="K1250" s="13" t="inlineStr">
        <is>
          <t>Moduladores competitivos dos receptores nicotínicos da acetilcolina (nAChR)</t>
        </is>
      </c>
      <c r="L1250" s="15" t="n">
        <v>100</v>
      </c>
      <c r="M1250" s="13" t="inlineStr">
        <is>
          <t>g/L</t>
        </is>
      </c>
      <c r="N1250" s="13" t="inlineStr">
        <is>
          <t>Registro Técnico Vinculado MAPA</t>
        </is>
      </c>
    </row>
    <row r="1251" ht="22" customHeight="1">
      <c r="A1251" s="6" t="inlineStr">
        <is>
          <t>CMP-1247</t>
        </is>
      </c>
      <c r="B1251" s="5" t="n">
        <v>936</v>
      </c>
      <c r="C1251" s="7" t="inlineStr">
        <is>
          <t>Nº 19824</t>
        </is>
      </c>
      <c r="D1251" s="8" t="inlineStr">
        <is>
          <t>AHEAD</t>
        </is>
      </c>
      <c r="E1251" s="5" t="n">
        <v>2</v>
      </c>
      <c r="F1251" s="7" t="inlineStr">
        <is>
          <t>Ingrediente Ativo Principal</t>
        </is>
      </c>
      <c r="G1251" s="7" t="inlineStr">
        <is>
          <t>PIRIPROXIFEM 25</t>
        </is>
      </c>
      <c r="H1251" s="7" t="inlineStr">
        <is>
          <t>4-phenoxyphenyl (RS)-2-(2-pyridyloxy)propyl ether</t>
        </is>
      </c>
      <c r="I1251" s="7" t="inlineStr">
        <is>
          <t>Éter piridiloxipropílico</t>
        </is>
      </c>
      <c r="J1251" s="7" t="inlineStr">
        <is>
          <t>IRAC Grupo 7C</t>
        </is>
      </c>
      <c r="K1251" s="7" t="inlineStr">
        <is>
          <t>Mimetizadores do hormônio juvenil (Juvenoides)</t>
        </is>
      </c>
      <c r="L1251" s="9" t="n">
        <v>25</v>
      </c>
      <c r="M1251" s="7" t="inlineStr">
        <is>
          <t>g/L</t>
        </is>
      </c>
      <c r="N1251" s="7" t="inlineStr">
        <is>
          <t>Registro Técnico Vinculado MAPA</t>
        </is>
      </c>
    </row>
    <row r="1252" ht="22" customHeight="1">
      <c r="A1252" s="12" t="inlineStr">
        <is>
          <t>CMP-1248</t>
        </is>
      </c>
      <c r="B1252" s="11" t="n">
        <v>937</v>
      </c>
      <c r="C1252" s="13" t="inlineStr">
        <is>
          <t>VINC-19824</t>
        </is>
      </c>
      <c r="D1252" s="14" t="inlineStr">
        <is>
          <t>Tiger Técnico</t>
        </is>
      </c>
      <c r="E1252" s="11" t="n">
        <v>1</v>
      </c>
      <c r="F1252" s="13" t="inlineStr">
        <is>
          <t>Ingrediente Ativo Grau Técnico</t>
        </is>
      </c>
      <c r="G1252" s="13" t="inlineStr">
        <is>
          <t>PIRIPROXIFEM TÉCNICO</t>
        </is>
      </c>
      <c r="H1252" s="13" t="inlineStr">
        <is>
          <t>4-phenoxyphenyl (RS)-2-(2-pyridyloxy)propyl ether</t>
        </is>
      </c>
      <c r="I1252" s="13" t="inlineStr">
        <is>
          <t>Éter Piridiloxipropílico</t>
        </is>
      </c>
      <c r="J1252" s="13" t="inlineStr">
        <is>
          <t>IRAC Grupo 7C</t>
        </is>
      </c>
      <c r="K1252" s="13" t="inlineStr">
        <is>
          <t>Mimetizadores do hormônio juvenil (JHM)</t>
        </is>
      </c>
      <c r="L1252" s="15" t="n">
        <v>970</v>
      </c>
      <c r="M1252" s="13" t="inlineStr">
        <is>
          <t>g/kg</t>
        </is>
      </c>
      <c r="N1252" s="13" t="inlineStr">
        <is>
          <t>Registro de Produto Técnico MAPA</t>
        </is>
      </c>
    </row>
    <row r="1253" ht="22" customHeight="1">
      <c r="A1253" s="6" t="inlineStr">
        <is>
          <t>CMP-1249</t>
        </is>
      </c>
      <c r="B1253" s="5" t="n">
        <v>938</v>
      </c>
      <c r="C1253" s="7" t="inlineStr">
        <is>
          <t>Nº 19924</t>
        </is>
      </c>
      <c r="D1253" s="8" t="inlineStr">
        <is>
          <t>DOPPIO</t>
        </is>
      </c>
      <c r="E1253" s="5" t="n">
        <v>1</v>
      </c>
      <c r="F1253" s="7" t="inlineStr">
        <is>
          <t>Ingrediente Ativo Principal</t>
        </is>
      </c>
      <c r="G1253" s="7" t="inlineStr">
        <is>
          <t>DIBROMETO DE DIQUATE (Equiv. 200 g/L Diquate íon)</t>
        </is>
      </c>
      <c r="H1253" s="7" t="inlineStr">
        <is>
          <t>9,10-dihydro-8a,10a-diazoniaphenanthrene dibromide</t>
        </is>
      </c>
      <c r="I1253" s="7" t="inlineStr">
        <is>
          <t>Bipiridílio</t>
        </is>
      </c>
      <c r="J1253" s="7" t="inlineStr">
        <is>
          <t>HRAC Grupo D (22) — Desviadores de Elétrons do Fotossistema I</t>
        </is>
      </c>
      <c r="K1253" s="7" t="inlineStr">
        <is>
          <t>Desvio de elétrons no Fotossistema I e formação de radicais peróxido</t>
        </is>
      </c>
      <c r="L1253" s="17" t="n">
        <v>373.5</v>
      </c>
      <c r="M1253" s="7" t="inlineStr">
        <is>
          <t>g/L</t>
        </is>
      </c>
      <c r="N1253" s="7" t="inlineStr">
        <is>
          <t>Diquat Técnico Ihara</t>
        </is>
      </c>
    </row>
    <row r="1254" ht="22" customHeight="1">
      <c r="A1254" s="12" t="inlineStr">
        <is>
          <t>CMP-1250</t>
        </is>
      </c>
      <c r="B1254" s="11" t="n">
        <v>938</v>
      </c>
      <c r="C1254" s="13" t="inlineStr">
        <is>
          <t>Nº 19924</t>
        </is>
      </c>
      <c r="D1254" s="14" t="inlineStr">
        <is>
          <t>DOPPIO</t>
        </is>
      </c>
      <c r="E1254" s="11" t="n">
        <v>2</v>
      </c>
      <c r="F1254" s="13" t="inlineStr">
        <is>
          <t>Ingrediente Ativo Principal</t>
        </is>
      </c>
      <c r="G1254" s="13" t="inlineStr">
        <is>
          <t>AMICARBAZONA</t>
        </is>
      </c>
      <c r="H1254" s="13" t="inlineStr">
        <is>
          <t>4-amino-N-tert-butyl-4,5-dihydro-3-isopropyl-5-oxo-1H-1,2,4-triazole-1-carboxamide</t>
        </is>
      </c>
      <c r="I1254" s="13" t="inlineStr">
        <is>
          <t>Triazolinona</t>
        </is>
      </c>
      <c r="J1254" s="13" t="inlineStr">
        <is>
          <t>HRAC Grupo C1 (5) — Inibidores do Fotossistema II</t>
        </is>
      </c>
      <c r="K1254" s="13" t="inlineStr">
        <is>
          <t>Inibição do transporte de elétrons no Fotossistema II</t>
        </is>
      </c>
      <c r="L1254" s="15" t="n">
        <v>250</v>
      </c>
      <c r="M1254" s="13" t="inlineStr">
        <is>
          <t>g/L</t>
        </is>
      </c>
      <c r="N1254" s="13" t="inlineStr">
        <is>
          <t>Magneto Técnico Iharabras</t>
        </is>
      </c>
    </row>
    <row r="1255" ht="22" customHeight="1">
      <c r="A1255" s="6" t="inlineStr">
        <is>
          <t>CMP-1251</t>
        </is>
      </c>
      <c r="B1255" s="5" t="n">
        <v>939</v>
      </c>
      <c r="C1255" s="7" t="inlineStr">
        <is>
          <t>VINC-19924</t>
        </is>
      </c>
      <c r="D1255" s="8" t="inlineStr">
        <is>
          <t>Diquat Técnico</t>
        </is>
      </c>
      <c r="E1255" s="5" t="n">
        <v>1</v>
      </c>
      <c r="F1255" s="7" t="inlineStr">
        <is>
          <t>Ingrediente Ativo Grau Técnico</t>
        </is>
      </c>
      <c r="G1255" s="7" t="inlineStr">
        <is>
          <t>DIBROMETO DE DIQUATE TÉCNICO</t>
        </is>
      </c>
      <c r="H1255" s="7" t="inlineStr">
        <is>
          <t>DIBROMETO DE DIQUATE TÉCNICO</t>
        </is>
      </c>
      <c r="I1255" s="7" t="inlineStr">
        <is>
          <t>Produto Técnico Industrial</t>
        </is>
      </c>
      <c r="J1255" s="7" t="inlineStr">
        <is>
          <t>Insumo Técnico MAPA</t>
        </is>
      </c>
      <c r="K1255" s="7" t="inlineStr">
        <is>
          <t>Matéria-prima ativa de grau técnico industrial</t>
        </is>
      </c>
      <c r="L1255" s="9" t="n">
        <v>400</v>
      </c>
      <c r="M1255" s="7" t="inlineStr">
        <is>
          <t>g/kg</t>
        </is>
      </c>
      <c r="N1255" s="7" t="inlineStr">
        <is>
          <t>Registro de Produto Técnico MAPA</t>
        </is>
      </c>
    </row>
    <row r="1256" ht="22" customHeight="1">
      <c r="A1256" s="12" t="inlineStr">
        <is>
          <t>CMP-1252</t>
        </is>
      </c>
      <c r="B1256" s="11" t="n">
        <v>940</v>
      </c>
      <c r="C1256" s="13" t="inlineStr">
        <is>
          <t>VINC-19924</t>
        </is>
      </c>
      <c r="D1256" s="14" t="inlineStr">
        <is>
          <t>Diquat Técnico Ihara</t>
        </is>
      </c>
      <c r="E1256" s="11" t="n">
        <v>1</v>
      </c>
      <c r="F1256" s="13" t="inlineStr">
        <is>
          <t>Ingrediente Ativo Grau Técnico</t>
        </is>
      </c>
      <c r="G1256" s="13" t="inlineStr">
        <is>
          <t>DIBROMETO DE DIQUATE TÉCNICO</t>
        </is>
      </c>
      <c r="H1256" s="13" t="inlineStr">
        <is>
          <t>DIBROMETO DE DIQUATE TÉCNICO</t>
        </is>
      </c>
      <c r="I1256" s="13" t="inlineStr">
        <is>
          <t>Produto Técnico Industrial</t>
        </is>
      </c>
      <c r="J1256" s="13" t="inlineStr">
        <is>
          <t>Insumo Técnico MAPA</t>
        </is>
      </c>
      <c r="K1256" s="13" t="inlineStr">
        <is>
          <t>Matéria-prima ativa de grau técnico industrial</t>
        </is>
      </c>
      <c r="L1256" s="15" t="n">
        <v>400</v>
      </c>
      <c r="M1256" s="13" t="inlineStr">
        <is>
          <t>g/kg</t>
        </is>
      </c>
      <c r="N1256" s="13" t="inlineStr">
        <is>
          <t>Registro de Produto Técnico MAPA</t>
        </is>
      </c>
    </row>
    <row r="1257" ht="22" customHeight="1">
      <c r="A1257" s="6" t="inlineStr">
        <is>
          <t>CMP-1253</t>
        </is>
      </c>
      <c r="B1257" s="5" t="n">
        <v>941</v>
      </c>
      <c r="C1257" s="7" t="inlineStr">
        <is>
          <t>VINC-19924</t>
        </is>
      </c>
      <c r="D1257" s="8" t="inlineStr">
        <is>
          <t>Magneto Técnico</t>
        </is>
      </c>
      <c r="E1257" s="5" t="n">
        <v>1</v>
      </c>
      <c r="F1257" s="7" t="inlineStr">
        <is>
          <t>Ingrediente Ativo Grau Técnico</t>
        </is>
      </c>
      <c r="G1257" s="7" t="inlineStr">
        <is>
          <t>AMICARBAZONA TÉCNICO</t>
        </is>
      </c>
      <c r="H1257" s="7" t="inlineStr">
        <is>
          <t>4-amino-N-tert-butyl-4,5-dihydro-3-isopropyl-5-oxo-1H-1,2,4-triazole-1-carboxamide</t>
        </is>
      </c>
      <c r="I1257" s="7" t="inlineStr">
        <is>
          <t>Triazolinona</t>
        </is>
      </c>
      <c r="J1257" s="7" t="inlineStr">
        <is>
          <t>HRAC Grupo C1 (5) — Inibidores do Fotossistema II</t>
        </is>
      </c>
      <c r="K1257" s="7" t="inlineStr">
        <is>
          <t>Inibição do transporte de elétrons no Fotossistema II</t>
        </is>
      </c>
      <c r="L1257" s="9" t="n">
        <v>970</v>
      </c>
      <c r="M1257" s="7" t="inlineStr">
        <is>
          <t>g/kg</t>
        </is>
      </c>
      <c r="N1257" s="7" t="inlineStr">
        <is>
          <t>Registro de Produto Técnico MAPA</t>
        </is>
      </c>
    </row>
    <row r="1258" ht="22" customHeight="1">
      <c r="A1258" s="12" t="inlineStr">
        <is>
          <t>CMP-1254</t>
        </is>
      </c>
      <c r="B1258" s="11" t="n">
        <v>942</v>
      </c>
      <c r="C1258" s="13" t="inlineStr">
        <is>
          <t>Nº 20024</t>
        </is>
      </c>
      <c r="D1258" s="14" t="inlineStr">
        <is>
          <t>DANTAI</t>
        </is>
      </c>
      <c r="E1258" s="11" t="n">
        <v>1</v>
      </c>
      <c r="F1258" s="13" t="inlineStr">
        <is>
          <t>Ingrediente Ativo Principal</t>
        </is>
      </c>
      <c r="G1258" s="13" t="inlineStr">
        <is>
          <t>CLOROTALONIL</t>
        </is>
      </c>
      <c r="H1258" s="13" t="inlineStr">
        <is>
          <t>Tetrachloroisophthalonitrile</t>
        </is>
      </c>
      <c r="I1258" s="13" t="inlineStr">
        <is>
          <t>Isoftalonitrila</t>
        </is>
      </c>
      <c r="J1258" s="13" t="inlineStr">
        <is>
          <t>FRAC Grupo M05 — Multissítio</t>
        </is>
      </c>
      <c r="K1258" s="13" t="inlineStr">
        <is>
          <t>Atividade de contato multissítio (inativação de grupos tiol enzimáticos)</t>
        </is>
      </c>
      <c r="L1258" s="15" t="n">
        <v>500</v>
      </c>
      <c r="M1258" s="13" t="inlineStr">
        <is>
          <t>g/L</t>
        </is>
      </c>
      <c r="N1258" s="13" t="inlineStr">
        <is>
          <t>Clorotalonil Técnico CN / Daconil Técnico</t>
        </is>
      </c>
    </row>
    <row r="1259" ht="22" customHeight="1">
      <c r="A1259" s="6" t="inlineStr">
        <is>
          <t>CMP-1255</t>
        </is>
      </c>
      <c r="B1259" s="5" t="n">
        <v>942</v>
      </c>
      <c r="C1259" s="7" t="inlineStr">
        <is>
          <t>Nº 20024</t>
        </is>
      </c>
      <c r="D1259" s="8" t="inlineStr">
        <is>
          <t>DANTAI</t>
        </is>
      </c>
      <c r="E1259" s="5" t="n">
        <v>2</v>
      </c>
      <c r="F1259" s="7" t="inlineStr">
        <is>
          <t>Ingrediente Ativo Principal</t>
        </is>
      </c>
      <c r="G1259" s="7" t="inlineStr">
        <is>
          <t>BENTIAVALICARBE-ISOPROPÍLICO</t>
        </is>
      </c>
      <c r="H1259" s="7" t="inlineStr">
        <is>
          <t>Isopropyl [(S)-1-{[(1R)-1-(6-fluoro-1,3-benzothiazol-2-yl)ethyl]carbamoyl}-2-methylpropyl]carbamate</t>
        </is>
      </c>
      <c r="I1259" s="7" t="inlineStr">
        <is>
          <t>Carbamato de Valinamida (CAA)</t>
        </is>
      </c>
      <c r="J1259" s="7" t="inlineStr">
        <is>
          <t>FRAC Grupo 40 (F5 — CAA)</t>
        </is>
      </c>
      <c r="K1259" s="7" t="inlineStr">
        <is>
          <t>Inibidores da síntese de celulose na parede celular de Oomicetos</t>
        </is>
      </c>
      <c r="L1259" s="9" t="n">
        <v>35</v>
      </c>
      <c r="M1259" s="7" t="inlineStr">
        <is>
          <t>g/L</t>
        </is>
      </c>
      <c r="N1259" s="7" t="inlineStr">
        <is>
          <t>Completto Técnico Kumiai</t>
        </is>
      </c>
    </row>
    <row r="1260" ht="22" customHeight="1">
      <c r="A1260" s="12" t="inlineStr">
        <is>
          <t>CMP-1256</t>
        </is>
      </c>
      <c r="B1260" s="11" t="n">
        <v>943</v>
      </c>
      <c r="C1260" s="13" t="inlineStr">
        <is>
          <t>VINC-20024</t>
        </is>
      </c>
      <c r="D1260" s="14" t="inlineStr">
        <is>
          <t>Completto Técnico</t>
        </is>
      </c>
      <c r="E1260" s="11" t="n">
        <v>1</v>
      </c>
      <c r="F1260" s="13" t="inlineStr">
        <is>
          <t>Ingrediente Ativo Grau Técnico</t>
        </is>
      </c>
      <c r="G1260" s="13" t="inlineStr">
        <is>
          <t>BENTIAVALICARBE-ISOPROPÍLICO TÉCNICO</t>
        </is>
      </c>
      <c r="H1260" s="13" t="inlineStr">
        <is>
          <t>Isopropyl [(S)-1-{[(1R)-1-(6-fluoro-1,3-benzothiazol-2-yl)ethyl]carbamoyl}-2-methylpropyl]carbamate</t>
        </is>
      </c>
      <c r="I1260" s="13" t="inlineStr">
        <is>
          <t>Carbamato de Valinamida (CAA)</t>
        </is>
      </c>
      <c r="J1260" s="13" t="inlineStr">
        <is>
          <t>FRAC Grupo 40 (F5 — CAA)</t>
        </is>
      </c>
      <c r="K1260" s="13" t="inlineStr">
        <is>
          <t>Inibidores da síntese de celulose na parede celular de Oomicetos</t>
        </is>
      </c>
      <c r="L1260" s="15" t="n">
        <v>970</v>
      </c>
      <c r="M1260" s="13" t="inlineStr">
        <is>
          <t>g/kg</t>
        </is>
      </c>
      <c r="N1260" s="13" t="inlineStr">
        <is>
          <t>Registro de Produto Técnico MAPA</t>
        </is>
      </c>
    </row>
    <row r="1261" ht="22" customHeight="1">
      <c r="A1261" s="6" t="inlineStr">
        <is>
          <t>CMP-1257</t>
        </is>
      </c>
      <c r="B1261" s="5" t="n">
        <v>944</v>
      </c>
      <c r="C1261" s="7" t="inlineStr">
        <is>
          <t>VINC-20024</t>
        </is>
      </c>
      <c r="D1261" s="8" t="inlineStr">
        <is>
          <t>Pilarich Técnico</t>
        </is>
      </c>
      <c r="E1261" s="5" t="n">
        <v>1</v>
      </c>
      <c r="F1261" s="7" t="inlineStr">
        <is>
          <t>Ingrediente Ativo Grau Técnico</t>
        </is>
      </c>
      <c r="G1261" s="7" t="inlineStr">
        <is>
          <t>CLOROTALONIL TÉCNICO</t>
        </is>
      </c>
      <c r="H1261" s="7" t="inlineStr">
        <is>
          <t>Tetrachloroisophthalonitrile</t>
        </is>
      </c>
      <c r="I1261" s="7" t="inlineStr">
        <is>
          <t>Isoftalonitrila</t>
        </is>
      </c>
      <c r="J1261" s="7" t="inlineStr">
        <is>
          <t>FRAC Grupo M05 — Multissítio</t>
        </is>
      </c>
      <c r="K1261" s="7" t="inlineStr">
        <is>
          <t>Atividade de contato multissítio (inativação de grupos tiol enzimáticos)</t>
        </is>
      </c>
      <c r="L1261" s="9" t="n">
        <v>980</v>
      </c>
      <c r="M1261" s="7" t="inlineStr">
        <is>
          <t>g/kg</t>
        </is>
      </c>
      <c r="N1261" s="7" t="inlineStr">
        <is>
          <t>Registro de Produto Técnico MAPA</t>
        </is>
      </c>
    </row>
    <row r="1262" ht="22" customHeight="1">
      <c r="A1262" s="12" t="inlineStr">
        <is>
          <t>CMP-1258</t>
        </is>
      </c>
      <c r="B1262" s="11" t="n">
        <v>945</v>
      </c>
      <c r="C1262" s="13" t="inlineStr">
        <is>
          <t>Nº 20124</t>
        </is>
      </c>
      <c r="D1262" s="14" t="inlineStr">
        <is>
          <t>TEBUTIURON 800 WG PERTERRA</t>
        </is>
      </c>
      <c r="E1262" s="11" t="n">
        <v>1</v>
      </c>
      <c r="F1262" s="13" t="inlineStr">
        <is>
          <t>Ingrediente Ativo Principal</t>
        </is>
      </c>
      <c r="G1262" s="13" t="inlineStr">
        <is>
          <t>TEBUTIUROM</t>
        </is>
      </c>
      <c r="H1262" s="13" t="inlineStr">
        <is>
          <t>1-(5-tert-butyl-1,3,4-thiadiazol-2-yl)-1,3-dimethylurea</t>
        </is>
      </c>
      <c r="I1262" s="13" t="inlineStr">
        <is>
          <t>Ureia Substituída (Tiadiazolilureia)</t>
        </is>
      </c>
      <c r="J1262" s="13" t="inlineStr">
        <is>
          <t>HRAC Grupo C2 (5) — Inibidores do Fotossistema II</t>
        </is>
      </c>
      <c r="K1262" s="13" t="inlineStr">
        <is>
          <t>Inibição do transporte de elétrons no Fotossistema II</t>
        </is>
      </c>
      <c r="L1262" s="15" t="n">
        <v>800</v>
      </c>
      <c r="M1262" s="13" t="inlineStr">
        <is>
          <t>g/kg</t>
        </is>
      </c>
      <c r="N1262" s="13" t="inlineStr">
        <is>
          <t>Tebuthiuron Técnico Vinculado MAPA</t>
        </is>
      </c>
    </row>
    <row r="1263" ht="22" customHeight="1">
      <c r="A1263" s="6" t="inlineStr">
        <is>
          <t>CMP-1259</t>
        </is>
      </c>
      <c r="B1263" s="5" t="n">
        <v>946</v>
      </c>
      <c r="C1263" s="7" t="inlineStr">
        <is>
          <t>Nº 20224</t>
        </is>
      </c>
      <c r="D1263" s="8" t="inlineStr">
        <is>
          <t>PRO-PIC 720 WG</t>
        </is>
      </c>
      <c r="E1263" s="5" t="n">
        <v>1</v>
      </c>
      <c r="F1263" s="7" t="inlineStr">
        <is>
          <t>Ingrediente Ativo Principal</t>
        </is>
      </c>
      <c r="G1263" s="7" t="inlineStr">
        <is>
          <t>GLIFOSATO EQUIVALENTE ÁCIDO (Sal de Amônio 792,5 g/kg)</t>
        </is>
      </c>
      <c r="H1263" s="7" t="inlineStr">
        <is>
          <t>N-(phosphonomethyl)glycine (Ammonium salt)</t>
        </is>
      </c>
      <c r="I1263" s="7" t="inlineStr">
        <is>
          <t>Glicina substituída</t>
        </is>
      </c>
      <c r="J1263" s="7" t="inlineStr">
        <is>
          <t>HRAC Grupo G (9) — Inibidores da EPSPs</t>
        </is>
      </c>
      <c r="K1263" s="7" t="inlineStr">
        <is>
          <t>Inibidores da enzima EPSPs (Enoil Piruvil Shiquimato Fosfato Sintase)</t>
        </is>
      </c>
      <c r="L1263" s="9" t="n">
        <v>720</v>
      </c>
      <c r="M1263" s="7" t="inlineStr">
        <is>
          <t>g/kg</t>
        </is>
      </c>
      <c r="N1263" s="7" t="inlineStr">
        <is>
          <t>Glifosato Técnico GHA</t>
        </is>
      </c>
    </row>
    <row r="1264" ht="22" customHeight="1">
      <c r="A1264" s="12" t="inlineStr">
        <is>
          <t>CMP-1260</t>
        </is>
      </c>
      <c r="B1264" s="11" t="n">
        <v>947</v>
      </c>
      <c r="C1264" s="13" t="inlineStr">
        <is>
          <t>VINC-20224</t>
        </is>
      </c>
      <c r="D1264" s="14" t="inlineStr">
        <is>
          <t>Glifosato Técnico GHA</t>
        </is>
      </c>
      <c r="E1264" s="11" t="n">
        <v>1</v>
      </c>
      <c r="F1264" s="13" t="inlineStr">
        <is>
          <t>Ingrediente Ativo Grau Técnico</t>
        </is>
      </c>
      <c r="G1264" s="13" t="inlineStr">
        <is>
          <t>GLIFOSATO, SAL DE AMÔNIO</t>
        </is>
      </c>
      <c r="H1264" s="13" t="inlineStr">
        <is>
          <t>N-(phosphonomethyl)glycine (Sal de Amônio / Isopropilamina / Potássico)</t>
        </is>
      </c>
      <c r="I1264" s="13" t="inlineStr">
        <is>
          <t>Glicina substituída</t>
        </is>
      </c>
      <c r="J1264" s="13" t="inlineStr">
        <is>
          <t>HRAC Grupo G (EPSPs)</t>
        </is>
      </c>
      <c r="K1264" s="13" t="inlineStr">
        <is>
          <t>Inibidores da enzima EPSPs (Enoil Piruvil Shiquimato Fosfato Sintase)</t>
        </is>
      </c>
      <c r="L1264" s="15" t="n">
        <v>950</v>
      </c>
      <c r="M1264" s="13" t="inlineStr">
        <is>
          <t>g/kg</t>
        </is>
      </c>
      <c r="N1264" s="13" t="inlineStr">
        <is>
          <t>Registro de Produto Técnico MAPA</t>
        </is>
      </c>
    </row>
    <row r="1265" ht="22" customHeight="1">
      <c r="A1265" s="6" t="inlineStr">
        <is>
          <t>CMP-1261</t>
        </is>
      </c>
      <c r="B1265" s="5" t="n">
        <v>948</v>
      </c>
      <c r="C1265" s="7" t="inlineStr">
        <is>
          <t>Nº 20324</t>
        </is>
      </c>
      <c r="D1265" s="8" t="inlineStr">
        <is>
          <t>OLAPAQUE</t>
        </is>
      </c>
      <c r="E1265" s="5" t="n">
        <v>1</v>
      </c>
      <c r="F1265" s="7" t="inlineStr">
        <is>
          <t>Ingrediente Ativo Principal</t>
        </is>
      </c>
      <c r="G1265" s="7" t="inlineStr">
        <is>
          <t>TRINEXAPAQUE-ETÍLICO</t>
        </is>
      </c>
      <c r="H1265" s="7" t="inlineStr">
        <is>
          <t>Ethyl 4-cyclopropyl(hydroxy)methylene-3,5-dioxocyclohexanecarboxylate</t>
        </is>
      </c>
      <c r="I1265" s="7" t="inlineStr">
        <is>
          <t>Ciclohexanodiona Carboxilato (Fitorregulador)</t>
        </is>
      </c>
      <c r="J1265" s="7" t="inlineStr">
        <is>
          <t>Regulador de Crescimento Vegetal (Inibidor de Giberelina)</t>
        </is>
      </c>
      <c r="K1265" s="7" t="inlineStr">
        <is>
          <t>Inibição da 3-beta-hidroxilase na rota biossintética do ácido giberélico (GA1)</t>
        </is>
      </c>
      <c r="L1265" s="9" t="n">
        <v>250</v>
      </c>
      <c r="M1265" s="7" t="inlineStr">
        <is>
          <t>g/L</t>
        </is>
      </c>
      <c r="N1265" s="7" t="inlineStr">
        <is>
          <t>Trinexapaque-Etílico Técnico Vinculado MAPA</t>
        </is>
      </c>
    </row>
    <row r="1266" ht="22" customHeight="1">
      <c r="A1266" s="12" t="inlineStr">
        <is>
          <t>CMP-1262</t>
        </is>
      </c>
      <c r="B1266" s="11" t="n">
        <v>949</v>
      </c>
      <c r="C1266" s="13" t="inlineStr">
        <is>
          <t>Nº 20424</t>
        </is>
      </c>
      <c r="D1266" s="14" t="inlineStr">
        <is>
          <t>BIOPAK 720 WG</t>
        </is>
      </c>
      <c r="E1266" s="11" t="n">
        <v>1</v>
      </c>
      <c r="F1266" s="13" t="inlineStr">
        <is>
          <t>Ingrediente Ativo Principal</t>
        </is>
      </c>
      <c r="G1266" s="13" t="inlineStr">
        <is>
          <t>GLIFOSATO EQUIVALENTE ÁCIDO (Sal de Amônio 792,5 g/kg)</t>
        </is>
      </c>
      <c r="H1266" s="13" t="inlineStr">
        <is>
          <t>N-(phosphonomethyl)glycine (Ammonium salt)</t>
        </is>
      </c>
      <c r="I1266" s="13" t="inlineStr">
        <is>
          <t>Glicina substituída</t>
        </is>
      </c>
      <c r="J1266" s="13" t="inlineStr">
        <is>
          <t>HRAC Grupo G (9) — Inibidores da EPSPs</t>
        </is>
      </c>
      <c r="K1266" s="13" t="inlineStr">
        <is>
          <t>Inibidores da enzima EPSPs (Enoil Piruvil Shiquimato Fosfato Sintase)</t>
        </is>
      </c>
      <c r="L1266" s="15" t="n">
        <v>720</v>
      </c>
      <c r="M1266" s="13" t="inlineStr">
        <is>
          <t>g/kg</t>
        </is>
      </c>
      <c r="N1266" s="13" t="inlineStr">
        <is>
          <t>Glifosato Técnico Vinculado MAPA</t>
        </is>
      </c>
    </row>
    <row r="1267" ht="22" customHeight="1">
      <c r="A1267" s="6" t="inlineStr">
        <is>
          <t>CMP-1263</t>
        </is>
      </c>
      <c r="B1267" s="5" t="n">
        <v>950</v>
      </c>
      <c r="C1267" s="7" t="inlineStr">
        <is>
          <t>Nº 20524</t>
        </is>
      </c>
      <c r="D1267" s="8" t="inlineStr">
        <is>
          <t>NAVEGANTE 806 SL</t>
        </is>
      </c>
      <c r="E1267" s="5" t="n">
        <v>1</v>
      </c>
      <c r="F1267" s="7" t="inlineStr">
        <is>
          <t>Ingrediente Ativo Principal</t>
        </is>
      </c>
      <c r="G1267" s="7" t="inlineStr">
        <is>
          <t>2,4-D SAL DIMETILAMINA 806 g/L (Equiv. 670 g/L 2,4-D Ácido)</t>
        </is>
      </c>
      <c r="H1267" s="7" t="inlineStr">
        <is>
          <t>(2,4-dichlorophenoxy)acetic acid (Sal Dimetilamina / Colina / Éster)</t>
        </is>
      </c>
      <c r="I1267" s="7" t="inlineStr">
        <is>
          <t>Ácido ariloxialcanoico</t>
        </is>
      </c>
      <c r="J1267" s="7" t="inlineStr">
        <is>
          <t>HRAC Grupo O (4) — Auxinas Sintéticas</t>
        </is>
      </c>
      <c r="K1267" s="7" t="inlineStr">
        <is>
          <t>Mimetizadores da auxina (ácido indolacético - AIA)</t>
        </is>
      </c>
      <c r="L1267" s="9" t="n">
        <v>806</v>
      </c>
      <c r="M1267" s="7" t="inlineStr">
        <is>
          <t>g/L</t>
        </is>
      </c>
      <c r="N1267" s="7" t="inlineStr">
        <is>
          <t>Registro Técnico Vinculado MAPA</t>
        </is>
      </c>
    </row>
    <row r="1268" ht="22" customHeight="1">
      <c r="A1268" s="12" t="inlineStr">
        <is>
          <t>CMP-1264</t>
        </is>
      </c>
      <c r="B1268" s="11" t="n">
        <v>951</v>
      </c>
      <c r="C1268" s="13" t="inlineStr">
        <is>
          <t>Nº 20624</t>
        </is>
      </c>
      <c r="D1268" s="14" t="inlineStr">
        <is>
          <t>CISHA 250 EC</t>
        </is>
      </c>
      <c r="E1268" s="11" t="n">
        <v>1</v>
      </c>
      <c r="F1268" s="13" t="inlineStr">
        <is>
          <t>Ingrediente Ativo Principal</t>
        </is>
      </c>
      <c r="G1268" s="13" t="inlineStr">
        <is>
          <t>CIPERMETRINA 250</t>
        </is>
      </c>
      <c r="H1268" s="13" t="inlineStr">
        <is>
          <t>(RS)-alpha-cyano-3-phenoxybenzyl (1RS,3RS;1RS,3SR)-3-(2,2-dichlorovinyl)-2,2-dimethylcyclopropanecarboxylate</t>
        </is>
      </c>
      <c r="I1268" s="13" t="inlineStr">
        <is>
          <t>Piretroide (Tipo II)</t>
        </is>
      </c>
      <c r="J1268" s="13" t="inlineStr">
        <is>
          <t>IRAC Grupo 3A</t>
        </is>
      </c>
      <c r="K1268" s="13" t="inlineStr">
        <is>
          <t>Moduladores de canais de sódio em membranas nervosas</t>
        </is>
      </c>
      <c r="L1268" s="15" t="n">
        <v>250</v>
      </c>
      <c r="M1268" s="13" t="inlineStr">
        <is>
          <t>g/L</t>
        </is>
      </c>
      <c r="N1268" s="13" t="inlineStr">
        <is>
          <t>Registro Técnico Vinculado MAPA</t>
        </is>
      </c>
    </row>
    <row r="1269" ht="22" customHeight="1">
      <c r="A1269" s="6" t="inlineStr">
        <is>
          <t>CMP-1265</t>
        </is>
      </c>
      <c r="B1269" s="5" t="n">
        <v>952</v>
      </c>
      <c r="C1269" s="7" t="inlineStr">
        <is>
          <t>VINC-20624</t>
        </is>
      </c>
      <c r="D1269" s="8" t="inlineStr">
        <is>
          <t>Shyper Técnico</t>
        </is>
      </c>
      <c r="E1269" s="5" t="n">
        <v>1</v>
      </c>
      <c r="F1269" s="7" t="inlineStr">
        <is>
          <t>Ingrediente Ativo Grau Técnico</t>
        </is>
      </c>
      <c r="G1269" s="7" t="inlineStr">
        <is>
          <t>CIPERMETRINA</t>
        </is>
      </c>
      <c r="H1269" s="7" t="inlineStr">
        <is>
          <t>(RS)-alpha-cyano-3-phenoxybenzyl (1RS,3RS;1RS,3SR)-3-(2,2-dichlorovinyl)-2,2-dimethylcyclopropanecarboxylate</t>
        </is>
      </c>
      <c r="I1269" s="7" t="inlineStr">
        <is>
          <t>Piretroide (Tipo II)</t>
        </is>
      </c>
      <c r="J1269" s="7" t="inlineStr">
        <is>
          <t>IRAC Grupo 3A</t>
        </is>
      </c>
      <c r="K1269" s="7" t="inlineStr">
        <is>
          <t>Moduladores de canais de sódio em membranas nervosas</t>
        </is>
      </c>
      <c r="L1269" s="9" t="n">
        <v>960</v>
      </c>
      <c r="M1269" s="7" t="inlineStr">
        <is>
          <t>g/kg</t>
        </is>
      </c>
      <c r="N1269" s="7" t="inlineStr">
        <is>
          <t>Registro de Produto Técnico MAPA</t>
        </is>
      </c>
    </row>
    <row r="1270" ht="22" customHeight="1">
      <c r="A1270" s="12" t="inlineStr">
        <is>
          <t>CMP-1266</t>
        </is>
      </c>
      <c r="B1270" s="11" t="n">
        <v>953</v>
      </c>
      <c r="C1270" s="13" t="inlineStr">
        <is>
          <t>Nº 20724</t>
        </is>
      </c>
      <c r="D1270" s="14" t="inlineStr">
        <is>
          <t>GLUFORCE</t>
        </is>
      </c>
      <c r="E1270" s="11" t="n">
        <v>1</v>
      </c>
      <c r="F1270" s="13" t="inlineStr">
        <is>
          <t>Ingrediente Ativo Principal</t>
        </is>
      </c>
      <c r="G1270" s="13" t="inlineStr">
        <is>
          <t>GLUFOSINATO 200</t>
        </is>
      </c>
      <c r="H1270" s="13" t="inlineStr">
        <is>
          <t>Ammonium (2RS)-2-amino-4-(methylphosphinato)butyric acid (Glufosinato Sal de Amônio)</t>
        </is>
      </c>
      <c r="I1270" s="13" t="inlineStr">
        <is>
          <t>Homoalanina substituída (Ácido fosfínico)</t>
        </is>
      </c>
      <c r="J1270" s="13" t="inlineStr">
        <is>
          <t>HRAC Grupo H (10) — Inibidores da Glutamina Sintetase</t>
        </is>
      </c>
      <c r="K1270" s="13" t="inlineStr">
        <is>
          <t>Inibição da enzima glutamina sintetase (acúmulo de amônia intracelular)</t>
        </is>
      </c>
      <c r="L1270" s="15" t="n">
        <v>200</v>
      </c>
      <c r="M1270" s="13" t="inlineStr">
        <is>
          <t>g/L</t>
        </is>
      </c>
      <c r="N1270" s="13" t="inlineStr">
        <is>
          <t>Registro Técnico Vinculado MAPA</t>
        </is>
      </c>
    </row>
    <row r="1271" ht="22" customHeight="1">
      <c r="A1271" s="6" t="inlineStr">
        <is>
          <t>CMP-1267</t>
        </is>
      </c>
      <c r="B1271" s="5" t="n">
        <v>954</v>
      </c>
      <c r="C1271" s="7" t="inlineStr">
        <is>
          <t>VINC-20724</t>
        </is>
      </c>
      <c r="D1271" s="8" t="inlineStr">
        <is>
          <t>Glufosinato Técnico Dinagro</t>
        </is>
      </c>
      <c r="E1271" s="5" t="n">
        <v>1</v>
      </c>
      <c r="F1271" s="7" t="inlineStr">
        <is>
          <t>Ingrediente Ativo Grau Técnico</t>
        </is>
      </c>
      <c r="G1271" s="7" t="inlineStr">
        <is>
          <t>GLUFOSINATO-SAL DE AMÓNIO</t>
        </is>
      </c>
      <c r="H1271" s="7" t="inlineStr">
        <is>
          <t>Ammonium (2RS)-2-amino-4-(methylphosphinato)butyric acid (Glufosinato Sal de Amônio)</t>
        </is>
      </c>
      <c r="I1271" s="7" t="inlineStr">
        <is>
          <t>Homoalanina substituída (Ácido fosfínico)</t>
        </is>
      </c>
      <c r="J1271" s="7" t="inlineStr">
        <is>
          <t>HRAC Grupo H (10) — Inibidores da Glutamina Sintetase</t>
        </is>
      </c>
      <c r="K1271" s="7" t="inlineStr">
        <is>
          <t>Inibição da enzima glutamina sintetase (acúmulo de amônia intracelular)</t>
        </is>
      </c>
      <c r="L1271" s="9" t="n">
        <v>960</v>
      </c>
      <c r="M1271" s="7" t="inlineStr">
        <is>
          <t>g/kg</t>
        </is>
      </c>
      <c r="N1271" s="7" t="inlineStr">
        <is>
          <t>Registro de Produto Técnico MAPA</t>
        </is>
      </c>
    </row>
    <row r="1272" ht="22" customHeight="1">
      <c r="A1272" s="12" t="inlineStr">
        <is>
          <t>CMP-1268</t>
        </is>
      </c>
      <c r="B1272" s="11" t="n">
        <v>955</v>
      </c>
      <c r="C1272" s="13" t="inlineStr">
        <is>
          <t>Nº 20824</t>
        </is>
      </c>
      <c r="D1272" s="14" t="inlineStr">
        <is>
          <t>BIOMETATRIL</t>
        </is>
      </c>
      <c r="E1272" s="11" t="n">
        <v>1</v>
      </c>
      <c r="F1272" s="13" t="inlineStr">
        <is>
          <t>Agente Biológico / Cepa</t>
        </is>
      </c>
      <c r="G1272" s="13" t="inlineStr">
        <is>
          <t>BEAUVERIA BASSIANA IBCB 66</t>
        </is>
      </c>
      <c r="H1272" s="13" t="inlineStr">
        <is>
          <t>Fungo entomopatogênico Beauveria bassiana (Isolado IBCB 66)</t>
        </is>
      </c>
      <c r="I1272" s="13" t="inlineStr">
        <is>
          <t>Agente Microbiológico de Controle (Fungo Entomopatogênico)</t>
        </is>
      </c>
      <c r="J1272" s="13" t="inlineStr">
        <is>
          <t>IRAC Grupo UNF — Biológico Multissítio</t>
        </is>
      </c>
      <c r="K1272" s="13" t="inlineStr">
        <is>
          <t>Infecção tegumentar por conídios, penetração enzimática e colonização da hemocele</t>
        </is>
      </c>
      <c r="L1272" s="15" t="n">
        <v>100</v>
      </c>
      <c r="M1272" s="13" t="inlineStr">
        <is>
          <t>g/kg</t>
        </is>
      </c>
      <c r="N1272" s="13" t="inlineStr">
        <is>
          <t>Registro Técnico Vinculado MAPA</t>
        </is>
      </c>
    </row>
    <row r="1273" ht="22" customHeight="1">
      <c r="A1273" s="6" t="inlineStr">
        <is>
          <t>CMP-1269</t>
        </is>
      </c>
      <c r="B1273" s="5" t="n">
        <v>956</v>
      </c>
      <c r="C1273" s="7" t="inlineStr">
        <is>
          <t>Nº 20924</t>
        </is>
      </c>
      <c r="D1273" s="8" t="inlineStr">
        <is>
          <t>FOLPEC 50</t>
        </is>
      </c>
      <c r="E1273" s="5" t="n">
        <v>1</v>
      </c>
      <c r="F1273" s="7" t="inlineStr">
        <is>
          <t>Ingrediente Ativo Principal</t>
        </is>
      </c>
      <c r="G1273" s="7" t="inlineStr">
        <is>
          <t>FOLPETE</t>
        </is>
      </c>
      <c r="H1273" s="7" t="inlineStr">
        <is>
          <t>N-(trichloromethylthio)phthalimide</t>
        </is>
      </c>
      <c r="I1273" s="7" t="inlineStr">
        <is>
          <t>Ftalimida</t>
        </is>
      </c>
      <c r="J1273" s="7" t="inlineStr">
        <is>
          <t>FRAC Grupo M04 — Multissítio</t>
        </is>
      </c>
      <c r="K1273" s="7" t="inlineStr">
        <is>
          <t>Inativação multissítio de grupos tiol (-SH) em enzimas respiratórias fúngicas</t>
        </is>
      </c>
      <c r="L1273" s="9" t="n">
        <v>500</v>
      </c>
      <c r="M1273" s="7" t="inlineStr">
        <is>
          <t>g/L</t>
        </is>
      </c>
      <c r="N1273" s="7" t="inlineStr">
        <is>
          <t>Registro Técnico Vinculado MAPA</t>
        </is>
      </c>
    </row>
    <row r="1274" ht="22" customHeight="1">
      <c r="A1274" s="12" t="inlineStr">
        <is>
          <t>CMP-1270</t>
        </is>
      </c>
      <c r="B1274" s="11" t="n">
        <v>957</v>
      </c>
      <c r="C1274" s="13" t="inlineStr">
        <is>
          <t>VINC-20924</t>
        </is>
      </c>
      <c r="D1274" s="14" t="inlineStr">
        <is>
          <t>Folpete Tradecorp Técnico</t>
        </is>
      </c>
      <c r="E1274" s="11" t="n">
        <v>1</v>
      </c>
      <c r="F1274" s="13" t="inlineStr">
        <is>
          <t>Ingrediente Ativo Grau Técnico</t>
        </is>
      </c>
      <c r="G1274" s="13" t="inlineStr">
        <is>
          <t>FOLPETE</t>
        </is>
      </c>
      <c r="H1274" s="13" t="inlineStr">
        <is>
          <t>N-(trichloromethylthio)phthalimide</t>
        </is>
      </c>
      <c r="I1274" s="13" t="inlineStr">
        <is>
          <t>Ftalimida</t>
        </is>
      </c>
      <c r="J1274" s="13" t="inlineStr">
        <is>
          <t>FRAC Grupo M04 — Multissítio</t>
        </is>
      </c>
      <c r="K1274" s="13" t="inlineStr">
        <is>
          <t>Inativação multissítio de grupos tiol (-SH) em enzimas respiratórias fúngicas</t>
        </is>
      </c>
      <c r="L1274" s="15" t="n">
        <v>960</v>
      </c>
      <c r="M1274" s="13" t="inlineStr">
        <is>
          <t>g/kg</t>
        </is>
      </c>
      <c r="N1274" s="13" t="inlineStr">
        <is>
          <t>Registro de Produto Técnico MAPA</t>
        </is>
      </c>
    </row>
    <row r="1275" ht="22" customHeight="1">
      <c r="A1275" s="6" t="inlineStr">
        <is>
          <t>CMP-1271</t>
        </is>
      </c>
      <c r="B1275" s="5" t="n">
        <v>958</v>
      </c>
      <c r="C1275" s="7" t="inlineStr">
        <is>
          <t>Nº 21024</t>
        </is>
      </c>
      <c r="D1275" s="8" t="inlineStr">
        <is>
          <t>METABOV</t>
        </is>
      </c>
      <c r="E1275" s="5" t="n">
        <v>1</v>
      </c>
      <c r="F1275" s="7" t="inlineStr">
        <is>
          <t>Agente Biológico / Cepa</t>
        </is>
      </c>
      <c r="G1275" s="7" t="inlineStr">
        <is>
          <t>BEAUVERIA BASSIANA IBCB 66</t>
        </is>
      </c>
      <c r="H1275" s="7" t="inlineStr">
        <is>
          <t>Fungo entomopatogênico Beauveria bassiana (Isolado IBCB 66)</t>
        </is>
      </c>
      <c r="I1275" s="7" t="inlineStr">
        <is>
          <t>Agente Microbiológico de Controle (Fungo Entomopatogênico)</t>
        </is>
      </c>
      <c r="J1275" s="7" t="inlineStr">
        <is>
          <t>IRAC Grupo UNF — Biológico Multissítio</t>
        </is>
      </c>
      <c r="K1275" s="7" t="inlineStr">
        <is>
          <t>Infecção tegumentar por conídios, penetração enzimática e colonização da hemocele</t>
        </is>
      </c>
      <c r="L1275" s="9" t="n">
        <v>100</v>
      </c>
      <c r="M1275" s="7" t="inlineStr">
        <is>
          <t>g/kg</t>
        </is>
      </c>
      <c r="N1275" s="7" t="inlineStr">
        <is>
          <t>Registro Técnico Vinculado MAPA</t>
        </is>
      </c>
    </row>
    <row r="1276" ht="22" customHeight="1">
      <c r="A1276" s="12" t="inlineStr">
        <is>
          <t>CMP-1272</t>
        </is>
      </c>
      <c r="B1276" s="11" t="n">
        <v>959</v>
      </c>
      <c r="C1276" s="13" t="inlineStr">
        <is>
          <t>Nº 21024</t>
        </is>
      </c>
      <c r="D1276" s="14" t="inlineStr">
        <is>
          <t>ATLASMIX</t>
        </is>
      </c>
      <c r="E1276" s="11" t="n">
        <v>1</v>
      </c>
      <c r="F1276" s="13" t="inlineStr">
        <is>
          <t>Agente Biológico / Cepa</t>
        </is>
      </c>
      <c r="G1276" s="13" t="inlineStr">
        <is>
          <t>BEAUVERIA BASSIANA IBCB 66</t>
        </is>
      </c>
      <c r="H1276" s="13" t="inlineStr">
        <is>
          <t>Fungo entomopatogênico Beauveria bassiana (Isolado IBCB 66)</t>
        </is>
      </c>
      <c r="I1276" s="13" t="inlineStr">
        <is>
          <t>Agente Microbiológico de Controle (Fungo Entomopatogênico)</t>
        </is>
      </c>
      <c r="J1276" s="13" t="inlineStr">
        <is>
          <t>IRAC Grupo UNF — Biológico Multissítio</t>
        </is>
      </c>
      <c r="K1276" s="13" t="inlineStr">
        <is>
          <t>Infecção tegumentar por conídios, penetração enzimática e colonização da hemocele</t>
        </is>
      </c>
      <c r="L1276" s="15" t="n">
        <v>100</v>
      </c>
      <c r="M1276" s="13" t="inlineStr">
        <is>
          <t>g/kg</t>
        </is>
      </c>
      <c r="N1276" s="13" t="inlineStr">
        <is>
          <t>Registro Técnico Vinculado MAPA</t>
        </is>
      </c>
    </row>
    <row r="1277" ht="22" customHeight="1">
      <c r="A1277" s="6" t="inlineStr">
        <is>
          <t>CMP-1273</t>
        </is>
      </c>
      <c r="B1277" s="5" t="n">
        <v>960</v>
      </c>
      <c r="C1277" s="7" t="inlineStr">
        <is>
          <t>Nº 21024</t>
        </is>
      </c>
      <c r="D1277" s="8" t="inlineStr">
        <is>
          <t>GRIFOS</t>
        </is>
      </c>
      <c r="E1277" s="5" t="n">
        <v>1</v>
      </c>
      <c r="F1277" s="7" t="inlineStr">
        <is>
          <t>Agente Biológico / Cepa</t>
        </is>
      </c>
      <c r="G1277" s="7" t="inlineStr">
        <is>
          <t>BEAUVERIA BASSIANA IBCB 66</t>
        </is>
      </c>
      <c r="H1277" s="7" t="inlineStr">
        <is>
          <t>Fungo entomopatogênico Beauveria bassiana (Isolado IBCB 66)</t>
        </is>
      </c>
      <c r="I1277" s="7" t="inlineStr">
        <is>
          <t>Agente Microbiológico de Controle (Fungo Entomopatogênico)</t>
        </is>
      </c>
      <c r="J1277" s="7" t="inlineStr">
        <is>
          <t>IRAC Grupo UNF — Biológico Multissítio</t>
        </is>
      </c>
      <c r="K1277" s="7" t="inlineStr">
        <is>
          <t>Infecção tegumentar por conídios, penetração enzimática e colonização da hemocele</t>
        </is>
      </c>
      <c r="L1277" s="9" t="n">
        <v>100</v>
      </c>
      <c r="M1277" s="7" t="inlineStr">
        <is>
          <t>g/kg</t>
        </is>
      </c>
      <c r="N1277" s="7" t="inlineStr">
        <is>
          <t>Registro Técnico Vinculado MAPA</t>
        </is>
      </c>
    </row>
    <row r="1278" ht="22" customHeight="1">
      <c r="A1278" s="12" t="inlineStr">
        <is>
          <t>CMP-1274</t>
        </is>
      </c>
      <c r="B1278" s="11" t="n">
        <v>961</v>
      </c>
      <c r="C1278" s="13" t="inlineStr">
        <is>
          <t>Nº 21124</t>
        </is>
      </c>
      <c r="D1278" s="14" t="inlineStr">
        <is>
          <t>TRATTARE</t>
        </is>
      </c>
      <c r="E1278" s="11" t="n">
        <v>1</v>
      </c>
      <c r="F1278" s="13" t="inlineStr">
        <is>
          <t>Ingrediente Ativo Principal</t>
        </is>
      </c>
      <c r="G1278" s="13" t="inlineStr">
        <is>
          <t>PROTIOCONAZOL</t>
        </is>
      </c>
      <c r="H1278" s="13" t="inlineStr">
        <is>
          <t>(RS)-2-[2-(1-chlorocyclopropyl)-3-(2-chlorophenyl)-2-hydroxypropyl]-2,4-dihydro-1,2,4-triazole-3-thione</t>
        </is>
      </c>
      <c r="I1278" s="13" t="inlineStr">
        <is>
          <t>Triazolintiona</t>
        </is>
      </c>
      <c r="J1278" s="13" t="inlineStr">
        <is>
          <t>FRAC Grupo 3 (G1 — DMI)</t>
        </is>
      </c>
      <c r="K1278" s="13" t="inlineStr">
        <is>
          <t>Inibidores da desmetilação do C14 na biossíntese do ergosterol</t>
        </is>
      </c>
      <c r="L1278" s="15" t="n">
        <v>250</v>
      </c>
      <c r="M1278" s="13" t="inlineStr">
        <is>
          <t>g/L</t>
        </is>
      </c>
      <c r="N1278" s="13" t="inlineStr">
        <is>
          <t>Protioconazol Técnico Ouro Fino (TC25322)</t>
        </is>
      </c>
    </row>
    <row r="1279" ht="22" customHeight="1">
      <c r="A1279" s="6" t="inlineStr">
        <is>
          <t>CMP-1275</t>
        </is>
      </c>
      <c r="B1279" s="5" t="n">
        <v>962</v>
      </c>
      <c r="C1279" s="7" t="inlineStr">
        <is>
          <t>VINC-21124</t>
        </is>
      </c>
      <c r="D1279" s="8" t="inlineStr">
        <is>
          <t>Protioconazol Técnico Ouro Fino</t>
        </is>
      </c>
      <c r="E1279" s="5" t="n">
        <v>1</v>
      </c>
      <c r="F1279" s="7" t="inlineStr">
        <is>
          <t>Ingrediente Ativo Grau Técnico</t>
        </is>
      </c>
      <c r="G1279" s="7" t="inlineStr">
        <is>
          <t>PROTIOCONAZOL</t>
        </is>
      </c>
      <c r="H1279" s="7" t="inlineStr">
        <is>
          <t>(RS)-2-[2-(1-chlorocyclopropyl)-3-(2-chlorophenyl)-2-hydroxypropyl]-2,4-dihydro-1,2,4-triazole-3-thione</t>
        </is>
      </c>
      <c r="I1279" s="7" t="inlineStr">
        <is>
          <t>Triazolintiona</t>
        </is>
      </c>
      <c r="J1279" s="7" t="inlineStr">
        <is>
          <t>FRAC Grupo 3 (G1 — DMI)</t>
        </is>
      </c>
      <c r="K1279" s="7" t="inlineStr">
        <is>
          <t>Inibidores da desmetilação do C14 na biossíntese do ergosterol</t>
        </is>
      </c>
      <c r="L1279" s="9" t="n">
        <v>980</v>
      </c>
      <c r="M1279" s="7" t="inlineStr">
        <is>
          <t>g/kg</t>
        </is>
      </c>
      <c r="N1279" s="7" t="inlineStr">
        <is>
          <t>Registro de Produto Técnico MAPA</t>
        </is>
      </c>
    </row>
    <row r="1280" ht="22" customHeight="1">
      <c r="A1280" s="12" t="inlineStr">
        <is>
          <t>CMP-1276</t>
        </is>
      </c>
      <c r="B1280" s="11" t="n">
        <v>963</v>
      </c>
      <c r="C1280" s="13" t="inlineStr">
        <is>
          <t>Nº 21224</t>
        </is>
      </c>
      <c r="D1280" s="14" t="inlineStr">
        <is>
          <t>ECLIPSE</t>
        </is>
      </c>
      <c r="E1280" s="11" t="n">
        <v>1</v>
      </c>
      <c r="F1280" s="13" t="inlineStr">
        <is>
          <t>Ingrediente Ativo Principal</t>
        </is>
      </c>
      <c r="G1280" s="13" t="inlineStr">
        <is>
          <t>TIAMETOXAM</t>
        </is>
      </c>
      <c r="H1280" s="13" t="inlineStr">
        <is>
          <t>(EZ)-3-(2-chloro-1,3-thiazol-5-ylmethyl)-5-methyl-1,3,5-oxadiazinan-4-ylidene(nitro)amine</t>
        </is>
      </c>
      <c r="I1280" s="13" t="inlineStr">
        <is>
          <t>Neonicotinoide (Tianicotinil)</t>
        </is>
      </c>
      <c r="J1280" s="13" t="inlineStr">
        <is>
          <t>IRAC Grupo 4A</t>
        </is>
      </c>
      <c r="K1280" s="13" t="inlineStr">
        <is>
          <t>Moduladores competitivos dos receptores nicotínicos da acetilcolina (nAChR)</t>
        </is>
      </c>
      <c r="L1280" s="15" t="n">
        <v>750</v>
      </c>
      <c r="M1280" s="13" t="inlineStr">
        <is>
          <t>g/kg</t>
        </is>
      </c>
      <c r="N1280" s="13" t="inlineStr">
        <is>
          <t>Tiametoxam Técnico IN</t>
        </is>
      </c>
    </row>
    <row r="1281" ht="22" customHeight="1">
      <c r="A1281" s="6" t="inlineStr">
        <is>
          <t>CMP-1277</t>
        </is>
      </c>
      <c r="B1281" s="5" t="n">
        <v>964</v>
      </c>
      <c r="C1281" s="7" t="inlineStr">
        <is>
          <t>VINC-21224</t>
        </is>
      </c>
      <c r="D1281" s="8" t="inlineStr">
        <is>
          <t>Tiametoxam Técnico IN</t>
        </is>
      </c>
      <c r="E1281" s="5" t="n">
        <v>1</v>
      </c>
      <c r="F1281" s="7" t="inlineStr">
        <is>
          <t>Ingrediente Ativo Grau Técnico</t>
        </is>
      </c>
      <c r="G1281" s="7" t="inlineStr">
        <is>
          <t>TIAMETOXAM</t>
        </is>
      </c>
      <c r="H1281" s="7" t="inlineStr">
        <is>
          <t>(EZ)-3-(2-chloro-1,3-thiazol-5-ylmethyl)-5-methyl-1,3,5-oxadiazinan-4-ylidene(nitro)amine</t>
        </is>
      </c>
      <c r="I1281" s="7" t="inlineStr">
        <is>
          <t>Neonicotinoide (Tianicotinil)</t>
        </is>
      </c>
      <c r="J1281" s="7" t="inlineStr">
        <is>
          <t>IRAC Grupo 4A</t>
        </is>
      </c>
      <c r="K1281" s="7" t="inlineStr">
        <is>
          <t>Moduladores competitivos dos receptores nicotínicos da acetilcolina (nAChR)</t>
        </is>
      </c>
      <c r="L1281" s="9" t="n">
        <v>980</v>
      </c>
      <c r="M1281" s="7" t="inlineStr">
        <is>
          <t>g/kg</t>
        </is>
      </c>
      <c r="N1281" s="7" t="inlineStr">
        <is>
          <t>Registro de Produto Técnico MAPA</t>
        </is>
      </c>
    </row>
    <row r="1282" ht="22" customHeight="1">
      <c r="A1282" s="12" t="inlineStr">
        <is>
          <t>CMP-1278</t>
        </is>
      </c>
      <c r="B1282" s="11" t="n">
        <v>965</v>
      </c>
      <c r="C1282" s="13" t="inlineStr">
        <is>
          <t>Nº 21324</t>
        </is>
      </c>
      <c r="D1282" s="14" t="inlineStr">
        <is>
          <t>TRICHO-HARMAX</t>
        </is>
      </c>
      <c r="E1282" s="11" t="n">
        <v>1</v>
      </c>
      <c r="F1282" s="13" t="inlineStr">
        <is>
          <t>Ingrediente Ativo Principal</t>
        </is>
      </c>
      <c r="G1282" s="13" t="inlineStr">
        <is>
          <t>TRICHODERMA ASPERELLUM ISOLADO BV-10 (mín. 1,0x10^9 conídios/mL)</t>
        </is>
      </c>
      <c r="H1282" s="13" t="inlineStr">
        <is>
          <t>Microrganismo Viável (TRICHODERMA ASPERELLUM ISOLADO BV -10)</t>
        </is>
      </c>
      <c r="I1282" s="13" t="inlineStr">
        <is>
          <t>Inoculante / Agente Biológico de Controle</t>
        </is>
      </c>
      <c r="J1282" s="13" t="inlineStr">
        <is>
          <t>Bioinsumo Agrícola</t>
        </is>
      </c>
      <c r="K1282" s="13" t="inlineStr">
        <is>
          <t>Simbiose radicular, antagonismo biológico ou controle entomopatogênico</t>
        </is>
      </c>
      <c r="L1282" s="15" t="n">
        <v>30</v>
      </c>
      <c r="M1282" s="13" t="inlineStr">
        <is>
          <t>g/L</t>
        </is>
      </c>
      <c r="N1282" s="13" t="inlineStr">
        <is>
          <t>Registro Técnico Vinculado MAPA</t>
        </is>
      </c>
    </row>
    <row r="1283" ht="22" customHeight="1">
      <c r="A1283" s="6" t="inlineStr">
        <is>
          <t>CMP-1279</t>
        </is>
      </c>
      <c r="B1283" s="5" t="n">
        <v>966</v>
      </c>
      <c r="C1283" s="7" t="inlineStr">
        <is>
          <t>Nº 21424</t>
        </is>
      </c>
      <c r="D1283" s="8" t="inlineStr">
        <is>
          <t>ÉGIDE</t>
        </is>
      </c>
      <c r="E1283" s="5" t="n">
        <v>1</v>
      </c>
      <c r="F1283" s="7" t="inlineStr">
        <is>
          <t>Agente Biológico / Cepa</t>
        </is>
      </c>
      <c r="G1283" s="7" t="inlineStr">
        <is>
          <t>BACILLUS AMYLOLIQUEFACIENS CEPA CCT 8135 (mín. 1,5x10^8 UFC/mL)</t>
        </is>
      </c>
      <c r="H1283" s="7" t="inlineStr">
        <is>
          <t>Bacillus amyloliquefaciens cepa CCT 8135</t>
        </is>
      </c>
      <c r="I1283" s="7" t="inlineStr">
        <is>
          <t>Agente Microbiológico / Rizobactéria (PGPR e Biofungicida)</t>
        </is>
      </c>
      <c r="J1283" s="7" t="inlineStr">
        <is>
          <t>FRAC Grupo BM02 — Agente Microbiológico de Controle</t>
        </is>
      </c>
      <c r="K1283" s="7" t="inlineStr">
        <is>
          <t>Antagonismo direto, competição e síntese de lipopeptídeos antifúngicos</t>
        </is>
      </c>
      <c r="L1283" s="9" t="n">
        <v>475</v>
      </c>
      <c r="M1283" s="7" t="inlineStr">
        <is>
          <t>g/L</t>
        </is>
      </c>
      <c r="N1283" s="7" t="inlineStr">
        <is>
          <t>Cepa Própria CCT 8135 (Nitro Química)</t>
        </is>
      </c>
    </row>
    <row r="1284" ht="22" customHeight="1">
      <c r="A1284" s="12" t="inlineStr">
        <is>
          <t>CMP-1280</t>
        </is>
      </c>
      <c r="B1284" s="11" t="n">
        <v>966</v>
      </c>
      <c r="C1284" s="13" t="inlineStr">
        <is>
          <t>Nº 21424</t>
        </is>
      </c>
      <c r="D1284" s="14" t="inlineStr">
        <is>
          <t>ÉGIDE</t>
        </is>
      </c>
      <c r="E1284" s="11" t="n">
        <v>2</v>
      </c>
      <c r="F1284" s="13" t="inlineStr">
        <is>
          <t>Agente Biológico / Cepa</t>
        </is>
      </c>
      <c r="G1284" s="13" t="inlineStr">
        <is>
          <t>BACILLUS VELEZENSIS CEPA CCT 8136 (mín. 1,5x10^8 UFC/mL)</t>
        </is>
      </c>
      <c r="H1284" s="13" t="inlineStr">
        <is>
          <t>Bacillus velezensis cepa CCT 8136</t>
        </is>
      </c>
      <c r="I1284" s="13" t="inlineStr">
        <is>
          <t>Agente Microbiológico / Rizobactéria (PGPR e Biofungicida)</t>
        </is>
      </c>
      <c r="J1284" s="13" t="inlineStr">
        <is>
          <t>FRAC Grupo BM02 — Agente Microbiológico de Controle</t>
        </is>
      </c>
      <c r="K1284" s="13" t="inlineStr">
        <is>
          <t>Antagonismo direto, indução de resistência sistêmica e síntese de metabólitos antimicrobianos</t>
        </is>
      </c>
      <c r="L1284" s="15" t="n">
        <v>475</v>
      </c>
      <c r="M1284" s="13" t="inlineStr">
        <is>
          <t>g/L</t>
        </is>
      </c>
      <c r="N1284" s="13" t="inlineStr">
        <is>
          <t>Cepa Própria CCT 8136 (Nitro Química)</t>
        </is>
      </c>
    </row>
    <row r="1285" ht="22" customHeight="1">
      <c r="A1285" s="6" t="inlineStr">
        <is>
          <t>CMP-1281</t>
        </is>
      </c>
      <c r="B1285" s="5" t="n">
        <v>967</v>
      </c>
      <c r="C1285" s="7" t="inlineStr">
        <is>
          <t>Nº 21524</t>
        </is>
      </c>
      <c r="D1285" s="8" t="inlineStr">
        <is>
          <t>MAVIC BIO</t>
        </is>
      </c>
      <c r="E1285" s="5" t="n">
        <v>1</v>
      </c>
      <c r="F1285" s="7" t="inlineStr">
        <is>
          <t>Agente Biológico / Cepa</t>
        </is>
      </c>
      <c r="G1285" s="7" t="inlineStr">
        <is>
          <t>METARHIZIUM ANISOPLIAE ISOLADO IBCB 425 (mín. 1,0x10^9 conídios/mL)</t>
        </is>
      </c>
      <c r="H1285" s="7" t="inlineStr">
        <is>
          <t>Metarhizium anisopliae isolado IBCB 425</t>
        </is>
      </c>
      <c r="I1285" s="7" t="inlineStr">
        <is>
          <t>Agente Microbiológico de Controle (Fungo Entomopatogênico)</t>
        </is>
      </c>
      <c r="J1285" s="7" t="inlineStr">
        <is>
          <t>IRAC Grupo UNF — Bioinseticida Microbiológico</t>
        </is>
      </c>
      <c r="K1285" s="7" t="inlineStr">
        <is>
          <t>Infecção tegumentar por conídios, penetração hemocélica e produção de destruxinas</t>
        </is>
      </c>
      <c r="L1285" s="9" t="n">
        <v>22</v>
      </c>
      <c r="M1285" s="7" t="inlineStr">
        <is>
          <t>g/L</t>
        </is>
      </c>
      <c r="N1285" s="7" t="inlineStr">
        <is>
          <t>Isolado Oficial IBCB 425</t>
        </is>
      </c>
    </row>
    <row r="1286" ht="22" customHeight="1">
      <c r="A1286" s="12" t="inlineStr">
        <is>
          <t>CMP-1282</t>
        </is>
      </c>
      <c r="B1286" s="11" t="n">
        <v>968</v>
      </c>
      <c r="C1286" s="13" t="inlineStr">
        <is>
          <t>Nº 21624</t>
        </is>
      </c>
      <c r="D1286" s="14" t="inlineStr">
        <is>
          <t>GRANT 970 WG</t>
        </is>
      </c>
      <c r="E1286" s="11" t="n">
        <v>1</v>
      </c>
      <c r="F1286" s="13" t="inlineStr">
        <is>
          <t>Ingrediente Ativo Principal</t>
        </is>
      </c>
      <c r="G1286" s="13" t="inlineStr">
        <is>
          <t>2,4-D SAL (Equiv. 800 g/kg 2,4-D Ácido)</t>
        </is>
      </c>
      <c r="H1286" s="13" t="inlineStr">
        <is>
          <t>(2,4-dichlorophenoxy)acetic acid</t>
        </is>
      </c>
      <c r="I1286" s="13" t="inlineStr">
        <is>
          <t>Ácido ariloxialcanoico</t>
        </is>
      </c>
      <c r="J1286" s="13" t="inlineStr">
        <is>
          <t>HRAC Grupo O (4) — Auxinas Sintéticas</t>
        </is>
      </c>
      <c r="K1286" s="13" t="inlineStr">
        <is>
          <t>Mimetizadores de auxina sintética</t>
        </is>
      </c>
      <c r="L1286" s="15" t="n">
        <v>970</v>
      </c>
      <c r="M1286" s="13" t="inlineStr">
        <is>
          <t>g/kg</t>
        </is>
      </c>
      <c r="N1286" s="13" t="inlineStr">
        <is>
          <t>2,4-D Técnico TW Loveland</t>
        </is>
      </c>
    </row>
    <row r="1287" ht="22" customHeight="1">
      <c r="A1287" s="6" t="inlineStr">
        <is>
          <t>CMP-1283</t>
        </is>
      </c>
      <c r="B1287" s="5" t="n">
        <v>969</v>
      </c>
      <c r="C1287" s="7" t="inlineStr">
        <is>
          <t>VINC-21624</t>
        </is>
      </c>
      <c r="D1287" s="8" t="inlineStr">
        <is>
          <t>2,4-D Tecnico TW Loveland</t>
        </is>
      </c>
      <c r="E1287" s="5" t="n">
        <v>1</v>
      </c>
      <c r="F1287" s="7" t="inlineStr">
        <is>
          <t>Ingrediente Ativo Grau Técnico</t>
        </is>
      </c>
      <c r="G1287" s="7" t="inlineStr">
        <is>
          <t>2,4-D</t>
        </is>
      </c>
      <c r="H1287" s="7" t="inlineStr">
        <is>
          <t>(2,4-dichlorophenoxy)acetic acid (Sal Dimetilamina / Colina / Amina)</t>
        </is>
      </c>
      <c r="I1287" s="7" t="inlineStr">
        <is>
          <t>Ácido ariloxialcanoico</t>
        </is>
      </c>
      <c r="J1287" s="7" t="inlineStr">
        <is>
          <t>HRAC Grupo O (4) — Auxinas Sintéticas</t>
        </is>
      </c>
      <c r="K1287" s="7" t="inlineStr">
        <is>
          <t>Mimetizadores de auxina sintética</t>
        </is>
      </c>
      <c r="L1287" s="9" t="n">
        <v>960</v>
      </c>
      <c r="M1287" s="7" t="inlineStr">
        <is>
          <t>g/kg</t>
        </is>
      </c>
      <c r="N1287" s="7" t="inlineStr">
        <is>
          <t>Registro de Produto Técnico MAPA</t>
        </is>
      </c>
    </row>
    <row r="1288" ht="22" customHeight="1">
      <c r="A1288" s="12" t="inlineStr">
        <is>
          <t>CMP-1284</t>
        </is>
      </c>
      <c r="B1288" s="11" t="n">
        <v>970</v>
      </c>
      <c r="C1288" s="13" t="inlineStr">
        <is>
          <t>Nº 21724</t>
        </is>
      </c>
      <c r="D1288" s="14" t="inlineStr">
        <is>
          <t>ORONDIS OPTI</t>
        </is>
      </c>
      <c r="E1288" s="11" t="n">
        <v>1</v>
      </c>
      <c r="F1288" s="13" t="inlineStr">
        <is>
          <t>Ingrediente Ativo Principal</t>
        </is>
      </c>
      <c r="G1288" s="13" t="inlineStr">
        <is>
          <t>CLOROTALONIL</t>
        </is>
      </c>
      <c r="H1288" s="13" t="inlineStr">
        <is>
          <t>Tetrachloroisophthalonitrile</t>
        </is>
      </c>
      <c r="I1288" s="13" t="inlineStr">
        <is>
          <t>Isoftalonitrila</t>
        </is>
      </c>
      <c r="J1288" s="13" t="inlineStr">
        <is>
          <t>FRAC Grupo M05 — Multissítio</t>
        </is>
      </c>
      <c r="K1288" s="13" t="inlineStr">
        <is>
          <t>Atividade de contato multissítio (inativação de grupos tiol enzimáticos)</t>
        </is>
      </c>
      <c r="L1288" s="15" t="n">
        <v>400</v>
      </c>
      <c r="M1288" s="13" t="inlineStr">
        <is>
          <t>g/L</t>
        </is>
      </c>
      <c r="N1288" s="13" t="inlineStr">
        <is>
          <t>Clorotalonil Técnico Syngenta</t>
        </is>
      </c>
    </row>
    <row r="1289" ht="22" customHeight="1">
      <c r="A1289" s="6" t="inlineStr">
        <is>
          <t>CMP-1285</t>
        </is>
      </c>
      <c r="B1289" s="5" t="n">
        <v>970</v>
      </c>
      <c r="C1289" s="7" t="inlineStr">
        <is>
          <t>Nº 21724</t>
        </is>
      </c>
      <c r="D1289" s="8" t="inlineStr">
        <is>
          <t>ORONDIS OPTI</t>
        </is>
      </c>
      <c r="E1289" s="5" t="n">
        <v>2</v>
      </c>
      <c r="F1289" s="7" t="inlineStr">
        <is>
          <t>Ingrediente Ativo Principal</t>
        </is>
      </c>
      <c r="G1289" s="7" t="inlineStr">
        <is>
          <t>OXATIAPIPROLINA</t>
        </is>
      </c>
      <c r="H1289" s="7" t="inlineStr">
        <is>
          <t>1-(4-{4-[(5RS)-5-(2,6-difluorophenyl)-4,5-dihydro-1,2-oxazol-3-yl]-1,3-thiazol-2-yl}-1-piperidyl)-2-[5-methyl-3-(trifluoromethyl)-1H-pyrazol-1-yl]ethanone</t>
        </is>
      </c>
      <c r="I1289" s="7" t="inlineStr">
        <is>
          <t>Piperidinil-tiazol-isoxazolina</t>
        </is>
      </c>
      <c r="J1289" s="7" t="inlineStr">
        <is>
          <t>FRAC Grupo 49 (F9 — OSBPI)</t>
        </is>
      </c>
      <c r="K1289" s="7" t="inlineStr">
        <is>
          <t>Modulador da proteína ligante de oxisterol (OSBP) em Oomicetos</t>
        </is>
      </c>
      <c r="L1289" s="9" t="n">
        <v>24</v>
      </c>
      <c r="M1289" s="7" t="inlineStr">
        <is>
          <t>g/L</t>
        </is>
      </c>
      <c r="N1289" s="7" t="inlineStr">
        <is>
          <t>Oxathiapiprolin Técnico Saltigo/Syngenta</t>
        </is>
      </c>
    </row>
    <row r="1290" ht="22" customHeight="1">
      <c r="A1290" s="12" t="inlineStr">
        <is>
          <t>CMP-1286</t>
        </is>
      </c>
      <c r="B1290" s="11" t="n">
        <v>971</v>
      </c>
      <c r="C1290" s="13" t="inlineStr">
        <is>
          <t>VINC-21724</t>
        </is>
      </c>
      <c r="D1290" s="14" t="inlineStr">
        <is>
          <t>Clorotalonil Técnico</t>
        </is>
      </c>
      <c r="E1290" s="11" t="n">
        <v>1</v>
      </c>
      <c r="F1290" s="13" t="inlineStr">
        <is>
          <t>Ingrediente Ativo Grau Técnico</t>
        </is>
      </c>
      <c r="G1290" s="13" t="inlineStr">
        <is>
          <t>CLOROTALONIL TÉCNICO</t>
        </is>
      </c>
      <c r="H1290" s="13" t="inlineStr">
        <is>
          <t>Tetrachloroisophthalonitrile</t>
        </is>
      </c>
      <c r="I1290" s="13" t="inlineStr">
        <is>
          <t>Isoftalonitrila</t>
        </is>
      </c>
      <c r="J1290" s="13" t="inlineStr">
        <is>
          <t>FRAC Grupo M05 — Multissítio</t>
        </is>
      </c>
      <c r="K1290" s="13" t="inlineStr">
        <is>
          <t>Atividade de contato multissítio (inativação de grupos tiol enzimáticos)</t>
        </is>
      </c>
      <c r="L1290" s="15" t="n">
        <v>980</v>
      </c>
      <c r="M1290" s="13" t="inlineStr">
        <is>
          <t>g/kg</t>
        </is>
      </c>
      <c r="N1290" s="13" t="inlineStr">
        <is>
          <t>Registro de Produto Técnico MAPA</t>
        </is>
      </c>
    </row>
    <row r="1291" ht="22" customHeight="1">
      <c r="A1291" s="6" t="inlineStr">
        <is>
          <t>CMP-1287</t>
        </is>
      </c>
      <c r="B1291" s="5" t="n">
        <v>972</v>
      </c>
      <c r="C1291" s="7" t="inlineStr">
        <is>
          <t>VINC-21724</t>
        </is>
      </c>
      <c r="D1291" s="8" t="inlineStr">
        <is>
          <t>Oxathiapiprolin Técnico</t>
        </is>
      </c>
      <c r="E1291" s="5" t="n">
        <v>1</v>
      </c>
      <c r="F1291" s="7" t="inlineStr">
        <is>
          <t>Ingrediente Ativo Grau Técnico</t>
        </is>
      </c>
      <c r="G1291" s="7" t="inlineStr">
        <is>
          <t>OXATIAPIPROLINA TÉCNICO</t>
        </is>
      </c>
      <c r="H1291" s="7" t="inlineStr">
        <is>
          <t>1-(4-{4-[(5RS)-5-(2,6-difluorophenyl)-4,5-dihydro-1,2-oxazol-3-yl]-1,3-thiazol-2-yl}-1-piperidyl)-2-[5-methyl-3-(trifluoromethyl)-1H-pyrazol-1-yl]ethanone</t>
        </is>
      </c>
      <c r="I1291" s="7" t="inlineStr">
        <is>
          <t>Piperidinil-tiazol-isoxazolina</t>
        </is>
      </c>
      <c r="J1291" s="7" t="inlineStr">
        <is>
          <t>FRAC Grupo 49 (F9 — OSBPI)</t>
        </is>
      </c>
      <c r="K1291" s="7" t="inlineStr">
        <is>
          <t>Modulador da proteína ligante de oxisterol (OSBP) em Oomicetos</t>
        </is>
      </c>
      <c r="L1291" s="9" t="n">
        <v>950</v>
      </c>
      <c r="M1291" s="7" t="inlineStr">
        <is>
          <t>g/kg</t>
        </is>
      </c>
      <c r="N1291" s="7" t="inlineStr">
        <is>
          <t>Registro de Produto Técnico MAPA</t>
        </is>
      </c>
    </row>
    <row r="1292" ht="22" customHeight="1">
      <c r="A1292" s="12" t="inlineStr">
        <is>
          <t>CMP-1288</t>
        </is>
      </c>
      <c r="B1292" s="11" t="n">
        <v>973</v>
      </c>
      <c r="C1292" s="13" t="inlineStr">
        <is>
          <t>Nº 21824</t>
        </is>
      </c>
      <c r="D1292" s="14" t="inlineStr">
        <is>
          <t>CLOROTALONIL NORTOX</t>
        </is>
      </c>
      <c r="E1292" s="11" t="n">
        <v>1</v>
      </c>
      <c r="F1292" s="13" t="inlineStr">
        <is>
          <t>Ingrediente Ativo Principal</t>
        </is>
      </c>
      <c r="G1292" s="13" t="inlineStr">
        <is>
          <t>CLOROTALONIL</t>
        </is>
      </c>
      <c r="H1292" s="13" t="inlineStr">
        <is>
          <t>Tetrachloroisophthalonitrile</t>
        </is>
      </c>
      <c r="I1292" s="13" t="inlineStr">
        <is>
          <t>Isoftalonitrila</t>
        </is>
      </c>
      <c r="J1292" s="13" t="inlineStr">
        <is>
          <t>FRAC Grupo M05 — Multissítio</t>
        </is>
      </c>
      <c r="K1292" s="13" t="inlineStr">
        <is>
          <t>Atividade de contato multissítio (inativação de grupos tiol enzimáticos)</t>
        </is>
      </c>
      <c r="L1292" s="15" t="n">
        <v>720</v>
      </c>
      <c r="M1292" s="13" t="inlineStr">
        <is>
          <t>g/L</t>
        </is>
      </c>
      <c r="N1292" s="13" t="inlineStr">
        <is>
          <t>Clorotalonil Técnico Nortox</t>
        </is>
      </c>
    </row>
    <row r="1293" ht="22" customHeight="1">
      <c r="A1293" s="6" t="inlineStr">
        <is>
          <t>CMP-1289</t>
        </is>
      </c>
      <c r="B1293" s="5" t="n">
        <v>974</v>
      </c>
      <c r="C1293" s="7" t="inlineStr">
        <is>
          <t>VINC-21824</t>
        </is>
      </c>
      <c r="D1293" s="8" t="inlineStr">
        <is>
          <t>Clorotalonil Técnico Nortox</t>
        </is>
      </c>
      <c r="E1293" s="5" t="n">
        <v>1</v>
      </c>
      <c r="F1293" s="7" t="inlineStr">
        <is>
          <t>Ingrediente Ativo Grau Técnico</t>
        </is>
      </c>
      <c r="G1293" s="7" t="inlineStr">
        <is>
          <t>CLOROTALONIL</t>
        </is>
      </c>
      <c r="H1293" s="7" t="inlineStr">
        <is>
          <t>Tetrachloroisophthalonitrile</t>
        </is>
      </c>
      <c r="I1293" s="7" t="inlineStr">
        <is>
          <t>Isoftalonitrila</t>
        </is>
      </c>
      <c r="J1293" s="7" t="inlineStr">
        <is>
          <t>FRAC Grupo M05 — Multissítio</t>
        </is>
      </c>
      <c r="K1293" s="7" t="inlineStr">
        <is>
          <t>Atividade de contato multissítio (inativação de grupos tiol enzimáticos)</t>
        </is>
      </c>
      <c r="L1293" s="9" t="n">
        <v>980</v>
      </c>
      <c r="M1293" s="7" t="inlineStr">
        <is>
          <t>g/kg</t>
        </is>
      </c>
      <c r="N1293" s="7" t="inlineStr">
        <is>
          <t>Registro de Produto Técnico MAPA</t>
        </is>
      </c>
    </row>
    <row r="1294" ht="22" customHeight="1">
      <c r="A1294" s="12" t="inlineStr">
        <is>
          <t>CMP-1290</t>
        </is>
      </c>
      <c r="B1294" s="11" t="n">
        <v>975</v>
      </c>
      <c r="C1294" s="13" t="inlineStr">
        <is>
          <t>VINC-21824</t>
        </is>
      </c>
      <c r="D1294" s="14" t="inlineStr">
        <is>
          <t>Clorotalonil Técnico Cropchem</t>
        </is>
      </c>
      <c r="E1294" s="11" t="n">
        <v>1</v>
      </c>
      <c r="F1294" s="13" t="inlineStr">
        <is>
          <t>Ingrediente Ativo Grau Técnico</t>
        </is>
      </c>
      <c r="G1294" s="13" t="inlineStr">
        <is>
          <t>CLOROTALONIL</t>
        </is>
      </c>
      <c r="H1294" s="13" t="inlineStr">
        <is>
          <t>Tetrachloroisophthalonitrile</t>
        </is>
      </c>
      <c r="I1294" s="13" t="inlineStr">
        <is>
          <t>Isoftalonitrila</t>
        </is>
      </c>
      <c r="J1294" s="13" t="inlineStr">
        <is>
          <t>FRAC Grupo M05 — Multissítio</t>
        </is>
      </c>
      <c r="K1294" s="13" t="inlineStr">
        <is>
          <t>Atividade de contato multissítio (inativação de grupos tiol enzimáticos)</t>
        </is>
      </c>
      <c r="L1294" s="15" t="n">
        <v>980</v>
      </c>
      <c r="M1294" s="13" t="inlineStr">
        <is>
          <t>g/kg</t>
        </is>
      </c>
      <c r="N1294" s="13" t="inlineStr">
        <is>
          <t>Registro de Produto Técnico MAPA</t>
        </is>
      </c>
    </row>
    <row r="1295" ht="22" customHeight="1">
      <c r="A1295" s="6" t="inlineStr">
        <is>
          <t>CMP-1291</t>
        </is>
      </c>
      <c r="B1295" s="5" t="n">
        <v>976</v>
      </c>
      <c r="C1295" s="7" t="inlineStr">
        <is>
          <t>Nº 21924</t>
        </is>
      </c>
      <c r="D1295" s="8" t="inlineStr">
        <is>
          <t>FRONDEO</t>
        </is>
      </c>
      <c r="E1295" s="5" t="n">
        <v>1</v>
      </c>
      <c r="F1295" s="7" t="inlineStr">
        <is>
          <t>Ingrediente Ativo Principal</t>
        </is>
      </c>
      <c r="G1295" s="7" t="inlineStr">
        <is>
          <t>ISOCICLOSERAM</t>
        </is>
      </c>
      <c r="H1295" s="7" t="inlineStr">
        <is>
          <t>4-[5-(3,5-dichloro-4-fluorophenyl)-5-(trifluoromethyl)-4,5-dihydro-1,2-oxazol-3-yl]-N-(2-ethyl-3-oxo-1,2-oxazolidin-4-yl)-2-methylbenzamide</t>
        </is>
      </c>
      <c r="I1295" s="7" t="inlineStr">
        <is>
          <t>Isoxazolina</t>
        </is>
      </c>
      <c r="J1295" s="7" t="inlineStr">
        <is>
          <t>IRAC Grupo 30</t>
        </is>
      </c>
      <c r="K1295" s="7" t="inlineStr">
        <is>
          <t>Moduladores alostéricos de canais de cloro mediados pelo GABA</t>
        </is>
      </c>
      <c r="L1295" s="9" t="n">
        <v>400</v>
      </c>
      <c r="M1295" s="7" t="inlineStr">
        <is>
          <t>g/L</t>
        </is>
      </c>
      <c r="N1295" s="7" t="inlineStr">
        <is>
          <t>Isocycloseram Técnico Syngenta</t>
        </is>
      </c>
    </row>
    <row r="1296" ht="22" customHeight="1">
      <c r="A1296" s="12" t="inlineStr">
        <is>
          <t>CMP-1292</t>
        </is>
      </c>
      <c r="B1296" s="11" t="n">
        <v>977</v>
      </c>
      <c r="C1296" s="13" t="inlineStr">
        <is>
          <t>VINC-21924</t>
        </is>
      </c>
      <c r="D1296" s="14" t="inlineStr">
        <is>
          <t>Isocycloseram Técnico</t>
        </is>
      </c>
      <c r="E1296" s="11" t="n">
        <v>1</v>
      </c>
      <c r="F1296" s="13" t="inlineStr">
        <is>
          <t>Ingrediente Ativo Grau Técnico</t>
        </is>
      </c>
      <c r="G1296" s="13" t="inlineStr">
        <is>
          <t>ISOCICLOSERAM</t>
        </is>
      </c>
      <c r="H1296" s="13" t="inlineStr">
        <is>
          <t>4-[5-(3,5-dichloro-4-fluorophenyl)-5-(trifluoromethyl)-4,5-dihydro-1,2-oxazol-3-yl]-N-(2-ethyl-3-oxo-1,2-oxazolidin-4-yl)-2-methylbenzamide</t>
        </is>
      </c>
      <c r="I1296" s="13" t="inlineStr">
        <is>
          <t>Isoxazolina</t>
        </is>
      </c>
      <c r="J1296" s="13" t="inlineStr">
        <is>
          <t>IRAC Grupo 30</t>
        </is>
      </c>
      <c r="K1296" s="13" t="inlineStr">
        <is>
          <t>Moduladores alostéricos de canais de cloro mediados pelo GABA</t>
        </is>
      </c>
      <c r="L1296" s="15" t="n">
        <v>980</v>
      </c>
      <c r="M1296" s="13" t="inlineStr">
        <is>
          <t>g/kg</t>
        </is>
      </c>
      <c r="N1296" s="13" t="inlineStr">
        <is>
          <t>Registro de Produto Técnico MAPA</t>
        </is>
      </c>
    </row>
    <row r="1297" ht="22" customHeight="1">
      <c r="A1297" s="6" t="inlineStr">
        <is>
          <t>CMP-1293</t>
        </is>
      </c>
      <c r="B1297" s="5" t="n">
        <v>978</v>
      </c>
      <c r="C1297" s="7" t="inlineStr">
        <is>
          <t>Nº 22024</t>
        </is>
      </c>
      <c r="D1297" s="8" t="inlineStr">
        <is>
          <t>FUNGUS BVERIA</t>
        </is>
      </c>
      <c r="E1297" s="5" t="n">
        <v>1</v>
      </c>
      <c r="F1297" s="7" t="inlineStr">
        <is>
          <t>Agente Biológico / Cepa</t>
        </is>
      </c>
      <c r="G1297" s="7" t="inlineStr">
        <is>
          <t>BEAUVERIA BASSIANA IBCB 66</t>
        </is>
      </c>
      <c r="H1297" s="7" t="inlineStr">
        <is>
          <t>Fungo entomopatogênico Beauveria bassiana (Isolado IBCB 66)</t>
        </is>
      </c>
      <c r="I1297" s="7" t="inlineStr">
        <is>
          <t>Agente Microbiológico de Controle (Fungo Entomopatogênico)</t>
        </is>
      </c>
      <c r="J1297" s="7" t="inlineStr">
        <is>
          <t>IRAC Grupo UNF — Biológico Multissítio</t>
        </is>
      </c>
      <c r="K1297" s="7" t="inlineStr">
        <is>
          <t>Infecção tegumentar por conídios, penetração enzimática e colonização da hemocele</t>
        </is>
      </c>
      <c r="L1297" s="9" t="n">
        <v>100</v>
      </c>
      <c r="M1297" s="7" t="inlineStr">
        <is>
          <t>g/kg</t>
        </is>
      </c>
      <c r="N1297" s="7" t="inlineStr">
        <is>
          <t>Registro Técnico Vinculado MAPA</t>
        </is>
      </c>
    </row>
    <row r="1298" ht="22" customHeight="1">
      <c r="A1298" s="12" t="inlineStr">
        <is>
          <t>CMP-1294</t>
        </is>
      </c>
      <c r="B1298" s="11" t="n">
        <v>979</v>
      </c>
      <c r="C1298" s="13" t="inlineStr">
        <is>
          <t>Nº 22024</t>
        </is>
      </c>
      <c r="D1298" s="14" t="inlineStr">
        <is>
          <t>FUNGUS BVERIA RBR</t>
        </is>
      </c>
      <c r="E1298" s="11" t="n">
        <v>1</v>
      </c>
      <c r="F1298" s="13" t="inlineStr">
        <is>
          <t>Agente Biológico / Cepa</t>
        </is>
      </c>
      <c r="G1298" s="13" t="inlineStr">
        <is>
          <t>BEAUVERIA BASSIANA IBCB 66</t>
        </is>
      </c>
      <c r="H1298" s="13" t="inlineStr">
        <is>
          <t>Fungo entomopatogênico Beauveria bassiana (Isolado IBCB 66)</t>
        </is>
      </c>
      <c r="I1298" s="13" t="inlineStr">
        <is>
          <t>Agente Microbiológico de Controle (Fungo Entomopatogênico)</t>
        </is>
      </c>
      <c r="J1298" s="13" t="inlineStr">
        <is>
          <t>IRAC Grupo UNF — Biológico Multissítio</t>
        </is>
      </c>
      <c r="K1298" s="13" t="inlineStr">
        <is>
          <t>Infecção tegumentar por conídios, penetração enzimática e colonização da hemocele</t>
        </is>
      </c>
      <c r="L1298" s="15" t="n">
        <v>100</v>
      </c>
      <c r="M1298" s="13" t="inlineStr">
        <is>
          <t>g/kg</t>
        </is>
      </c>
      <c r="N1298" s="13" t="inlineStr">
        <is>
          <t>Registro Técnico Vinculado MAPA</t>
        </is>
      </c>
    </row>
    <row r="1299" ht="22" customHeight="1">
      <c r="A1299" s="6" t="inlineStr">
        <is>
          <t>CMP-1295</t>
        </is>
      </c>
      <c r="B1299" s="5" t="n">
        <v>980</v>
      </c>
      <c r="C1299" s="7" t="inlineStr">
        <is>
          <t>Nº 22024</t>
        </is>
      </c>
      <c r="D1299" s="8" t="inlineStr">
        <is>
          <t>FUNGUS BVERIA INC</t>
        </is>
      </c>
      <c r="E1299" s="5" t="n">
        <v>1</v>
      </c>
      <c r="F1299" s="7" t="inlineStr">
        <is>
          <t>Agente Biológico / Cepa</t>
        </is>
      </c>
      <c r="G1299" s="7" t="inlineStr">
        <is>
          <t>BEAUVERIA BASSIANA IBCB 66</t>
        </is>
      </c>
      <c r="H1299" s="7" t="inlineStr">
        <is>
          <t>Fungo entomopatogênico Beauveria bassiana (Isolado IBCB 66)</t>
        </is>
      </c>
      <c r="I1299" s="7" t="inlineStr">
        <is>
          <t>Agente Microbiológico de Controle (Fungo Entomopatogênico)</t>
        </is>
      </c>
      <c r="J1299" s="7" t="inlineStr">
        <is>
          <t>IRAC Grupo UNF — Biológico Multissítio</t>
        </is>
      </c>
      <c r="K1299" s="7" t="inlineStr">
        <is>
          <t>Infecção tegumentar por conídios, penetração enzimática e colonização da hemocele</t>
        </is>
      </c>
      <c r="L1299" s="9" t="n">
        <v>100</v>
      </c>
      <c r="M1299" s="7" t="inlineStr">
        <is>
          <t>g/kg</t>
        </is>
      </c>
      <c r="N1299" s="7" t="inlineStr">
        <is>
          <t>Registro Técnico Vinculado MAPA</t>
        </is>
      </c>
    </row>
    <row r="1300" ht="22" customHeight="1">
      <c r="A1300" s="12" t="inlineStr">
        <is>
          <t>CMP-1296</t>
        </is>
      </c>
      <c r="B1300" s="11" t="n">
        <v>981</v>
      </c>
      <c r="C1300" s="13" t="inlineStr">
        <is>
          <t>Nº 22024</t>
        </is>
      </c>
      <c r="D1300" s="14" t="inlineStr">
        <is>
          <t>FUNGUS BVERIA MAX</t>
        </is>
      </c>
      <c r="E1300" s="11" t="n">
        <v>1</v>
      </c>
      <c r="F1300" s="13" t="inlineStr">
        <is>
          <t>Agente Biológico / Cepa</t>
        </is>
      </c>
      <c r="G1300" s="13" t="inlineStr">
        <is>
          <t>BEAUVERIA BASSIANA IBCB 66</t>
        </is>
      </c>
      <c r="H1300" s="13" t="inlineStr">
        <is>
          <t>Fungo entomopatogênico Beauveria bassiana (Isolado IBCB 66)</t>
        </is>
      </c>
      <c r="I1300" s="13" t="inlineStr">
        <is>
          <t>Agente Microbiológico de Controle (Fungo Entomopatogênico)</t>
        </is>
      </c>
      <c r="J1300" s="13" t="inlineStr">
        <is>
          <t>IRAC Grupo UNF — Biológico Multissítio</t>
        </is>
      </c>
      <c r="K1300" s="13" t="inlineStr">
        <is>
          <t>Infecção tegumentar por conídios, penetração enzimática e colonização da hemocele</t>
        </is>
      </c>
      <c r="L1300" s="15" t="n">
        <v>100</v>
      </c>
      <c r="M1300" s="13" t="inlineStr">
        <is>
          <t>g/kg</t>
        </is>
      </c>
      <c r="N1300" s="13" t="inlineStr">
        <is>
          <t>Registro Técnico Vinculado MAPA</t>
        </is>
      </c>
    </row>
    <row r="1301" ht="22" customHeight="1">
      <c r="A1301" s="6" t="inlineStr">
        <is>
          <t>CMP-1297</t>
        </is>
      </c>
      <c r="B1301" s="5" t="n">
        <v>982</v>
      </c>
      <c r="C1301" s="7" t="inlineStr">
        <is>
          <t>Nº 22024</t>
        </is>
      </c>
      <c r="D1301" s="8" t="inlineStr">
        <is>
          <t>FUNGUS BVERIA OGN</t>
        </is>
      </c>
      <c r="E1301" s="5" t="n">
        <v>1</v>
      </c>
      <c r="F1301" s="7" t="inlineStr">
        <is>
          <t>Agente Biológico / Cepa</t>
        </is>
      </c>
      <c r="G1301" s="7" t="inlineStr">
        <is>
          <t>BEAUVERIA BASSIANA IBCB 66</t>
        </is>
      </c>
      <c r="H1301" s="7" t="inlineStr">
        <is>
          <t>Fungo entomopatogênico Beauveria bassiana (Isolado IBCB 66)</t>
        </is>
      </c>
      <c r="I1301" s="7" t="inlineStr">
        <is>
          <t>Agente Microbiológico de Controle (Fungo Entomopatogênico)</t>
        </is>
      </c>
      <c r="J1301" s="7" t="inlineStr">
        <is>
          <t>IRAC Grupo UNF — Biológico Multissítio</t>
        </is>
      </c>
      <c r="K1301" s="7" t="inlineStr">
        <is>
          <t>Infecção tegumentar por conídios, penetração enzimática e colonização da hemocele</t>
        </is>
      </c>
      <c r="L1301" s="9" t="n">
        <v>100</v>
      </c>
      <c r="M1301" s="7" t="inlineStr">
        <is>
          <t>g/kg</t>
        </is>
      </c>
      <c r="N1301" s="7" t="inlineStr">
        <is>
          <t>Registro Técnico Vinculado MAPA</t>
        </is>
      </c>
    </row>
    <row r="1302" ht="22" customHeight="1">
      <c r="A1302" s="12" t="inlineStr">
        <is>
          <t>CMP-1298</t>
        </is>
      </c>
      <c r="B1302" s="11" t="n">
        <v>983</v>
      </c>
      <c r="C1302" s="13" t="inlineStr">
        <is>
          <t>Nº 22024</t>
        </is>
      </c>
      <c r="D1302" s="14" t="inlineStr">
        <is>
          <t>FUNGUS BVERIA GOLD</t>
        </is>
      </c>
      <c r="E1302" s="11" t="n">
        <v>1</v>
      </c>
      <c r="F1302" s="13" t="inlineStr">
        <is>
          <t>Agente Biológico / Cepa</t>
        </is>
      </c>
      <c r="G1302" s="13" t="inlineStr">
        <is>
          <t>BEAUVERIA BASSIANA IBCB 66</t>
        </is>
      </c>
      <c r="H1302" s="13" t="inlineStr">
        <is>
          <t>Fungo entomopatogênico Beauveria bassiana (Isolado IBCB 66)</t>
        </is>
      </c>
      <c r="I1302" s="13" t="inlineStr">
        <is>
          <t>Agente Microbiológico de Controle (Fungo Entomopatogênico)</t>
        </is>
      </c>
      <c r="J1302" s="13" t="inlineStr">
        <is>
          <t>IRAC Grupo UNF — Biológico Multissítio</t>
        </is>
      </c>
      <c r="K1302" s="13" t="inlineStr">
        <is>
          <t>Infecção tegumentar por conídios, penetração enzimática e colonização da hemocele</t>
        </is>
      </c>
      <c r="L1302" s="15" t="n">
        <v>100</v>
      </c>
      <c r="M1302" s="13" t="inlineStr">
        <is>
          <t>g/kg</t>
        </is>
      </c>
      <c r="N1302" s="13" t="inlineStr">
        <is>
          <t>Registro Técnico Vinculado MAPA</t>
        </is>
      </c>
    </row>
    <row r="1303" ht="22" customHeight="1">
      <c r="A1303" s="6" t="inlineStr">
        <is>
          <t>CMP-1299</t>
        </is>
      </c>
      <c r="B1303" s="5" t="n">
        <v>984</v>
      </c>
      <c r="C1303" s="7" t="inlineStr">
        <is>
          <t>Nº 02801</t>
        </is>
      </c>
      <c r="D1303" s="8" t="inlineStr">
        <is>
          <t>2,4-D AGRITEC</t>
        </is>
      </c>
      <c r="E1303" s="5" t="n">
        <v>1</v>
      </c>
      <c r="F1303" s="7" t="inlineStr">
        <is>
          <t>Ingrediente Ativo Principal</t>
        </is>
      </c>
      <c r="G1303" s="7" t="inlineStr">
        <is>
          <t>2,4-D SAL DIMETILAMINA 806 g/L (Equiv. 670 g/L 2,4-D Ácido)</t>
        </is>
      </c>
      <c r="H1303" s="7" t="inlineStr">
        <is>
          <t>(2,4-dichlorophenoxy)acetic acid (Sal Dimetilamina / Colina / Éster)</t>
        </is>
      </c>
      <c r="I1303" s="7" t="inlineStr">
        <is>
          <t>Ácido ariloxialcanoico</t>
        </is>
      </c>
      <c r="J1303" s="7" t="inlineStr">
        <is>
          <t>HRAC Grupo O (4) — Auxinas Sintéticas</t>
        </is>
      </c>
      <c r="K1303" s="7" t="inlineStr">
        <is>
          <t>Mimetizadores da auxina (ácido indolacético - AIA)</t>
        </is>
      </c>
      <c r="L1303" s="9" t="n">
        <v>806</v>
      </c>
      <c r="M1303" s="7" t="inlineStr">
        <is>
          <t>g/L</t>
        </is>
      </c>
      <c r="N1303" s="7" t="inlineStr">
        <is>
          <t>Registro Técnico Vinculado MAPA</t>
        </is>
      </c>
    </row>
    <row r="1304" ht="22" customHeight="1">
      <c r="A1304" s="12" t="inlineStr">
        <is>
          <t>CMP-1300</t>
        </is>
      </c>
      <c r="B1304" s="11" t="n">
        <v>985</v>
      </c>
      <c r="C1304" s="13" t="inlineStr">
        <is>
          <t>Nº 2500</t>
        </is>
      </c>
      <c r="D1304" s="14" t="inlineStr">
        <is>
          <t>PILARSATO</t>
        </is>
      </c>
      <c r="E1304" s="11" t="n">
        <v>1</v>
      </c>
      <c r="F1304" s="13" t="inlineStr">
        <is>
          <t>Ingrediente Ativo Principal</t>
        </is>
      </c>
      <c r="G1304" s="13" t="inlineStr">
        <is>
          <t>GLIFOSATO SAL DE ISOPROPILAMINA 480 g/L (Equiv. 360 g/L Ácido)</t>
        </is>
      </c>
      <c r="H1304" s="13" t="inlineStr">
        <is>
          <t>N-(phosphonomethyl)glycine (Isopropylamine salt)</t>
        </is>
      </c>
      <c r="I1304" s="13" t="inlineStr">
        <is>
          <t>Glicina substituída</t>
        </is>
      </c>
      <c r="J1304" s="13" t="inlineStr">
        <is>
          <t>HRAC Grupo G (9) — Inibidores da EPSPs</t>
        </is>
      </c>
      <c r="K1304" s="13" t="inlineStr">
        <is>
          <t>Inibidores da enzima EPSPs (Enoil Piruvil Shiquimato Fosfato Sintase)</t>
        </is>
      </c>
      <c r="L1304" s="15" t="n">
        <v>480</v>
      </c>
      <c r="M1304" s="13" t="inlineStr">
        <is>
          <t>g/L</t>
        </is>
      </c>
      <c r="N1304" s="13" t="inlineStr">
        <is>
          <t>Glifosato Técnico Pilarquim</t>
        </is>
      </c>
    </row>
    <row r="1305" ht="22" customHeight="1">
      <c r="A1305" s="6" t="inlineStr">
        <is>
          <t>CMP-1301</t>
        </is>
      </c>
      <c r="B1305" s="5" t="n">
        <v>986</v>
      </c>
      <c r="C1305" s="7" t="inlineStr">
        <is>
          <t>Nº 14308</t>
        </is>
      </c>
      <c r="D1305" s="8" t="inlineStr">
        <is>
          <t>SUMÔ</t>
        </is>
      </c>
      <c r="E1305" s="5" t="n">
        <v>1</v>
      </c>
      <c r="F1305" s="7" t="inlineStr">
        <is>
          <t>Ingrediente Ativo Principal</t>
        </is>
      </c>
      <c r="G1305" s="7" t="inlineStr">
        <is>
          <t>FLUMIOXAZINA 100</t>
        </is>
      </c>
      <c r="H1305" s="7" t="inlineStr">
        <is>
          <t>N-(7-fluoro-3,4-dihydro-3-oxo-4-prop-2-ynyl-2H-1,4-benzoxazin-6-yl)cyclohex-1-ene-1,2-dicarboximide</t>
        </is>
      </c>
      <c r="I1305" s="7" t="inlineStr">
        <is>
          <t>N-fenilftalimida</t>
        </is>
      </c>
      <c r="J1305" s="7" t="inlineStr">
        <is>
          <t>HRAC Grupo E (14) — Inibidores da PROTOX</t>
        </is>
      </c>
      <c r="K1305" s="7" t="inlineStr">
        <is>
          <t>Inibidores da enzima protoporfirinogênio oxidase (PROTOX)</t>
        </is>
      </c>
      <c r="L1305" s="9" t="n">
        <v>100</v>
      </c>
      <c r="M1305" s="7" t="inlineStr">
        <is>
          <t>g/L</t>
        </is>
      </c>
      <c r="N1305" s="7" t="inlineStr">
        <is>
          <t>Produto Técnico Próprio</t>
        </is>
      </c>
    </row>
    <row r="1306" ht="22" customHeight="1">
      <c r="A1306" s="12" t="inlineStr">
        <is>
          <t>CMP-1302</t>
        </is>
      </c>
      <c r="B1306" s="11" t="n">
        <v>986</v>
      </c>
      <c r="C1306" s="13" t="inlineStr">
        <is>
          <t>Nº 14308</t>
        </is>
      </c>
      <c r="D1306" s="14" t="inlineStr">
        <is>
          <t>SUMÔ</t>
        </is>
      </c>
      <c r="E1306" s="11" t="n">
        <v>2</v>
      </c>
      <c r="F1306" s="13" t="inlineStr">
        <is>
          <t>Ingrediente Ativo Principal</t>
        </is>
      </c>
      <c r="G1306" s="13" t="inlineStr">
        <is>
          <t>IMAZETAPIR 200</t>
        </is>
      </c>
      <c r="H1306" s="13" t="inlineStr">
        <is>
          <t>(RS)-5-ethyl-2-(4-isopropyl-4-methyl-5-oxo-2-imidazolin-2-yl)nicotinic acid</t>
        </is>
      </c>
      <c r="I1306" s="13" t="inlineStr">
        <is>
          <t>Imidazolinona</t>
        </is>
      </c>
      <c r="J1306" s="13" t="inlineStr">
        <is>
          <t>HRAC Grupo B (2) — Inibidores da ALS</t>
        </is>
      </c>
      <c r="K1306" s="13" t="inlineStr">
        <is>
          <t>Inibição da enzima acetolactato sintase (ALS / AHAS)</t>
        </is>
      </c>
      <c r="L1306" s="15" t="n">
        <v>200</v>
      </c>
      <c r="M1306" s="13" t="inlineStr">
        <is>
          <t>g/L</t>
        </is>
      </c>
      <c r="N1306" s="13" t="inlineStr">
        <is>
          <t>Produto Técnico Próprio</t>
        </is>
      </c>
    </row>
    <row r="1307" ht="22" customHeight="1">
      <c r="A1307" s="6" t="inlineStr">
        <is>
          <t>CMP-1303</t>
        </is>
      </c>
      <c r="B1307" s="5" t="n">
        <v>987</v>
      </c>
      <c r="C1307" s="7" t="inlineStr">
        <is>
          <t>Nº 0314</t>
        </is>
      </c>
      <c r="D1307" s="8" t="inlineStr">
        <is>
          <t>2,4-D TÉCNICO SWR AGROIMPORT</t>
        </is>
      </c>
      <c r="E1307" s="5" t="n">
        <v>1</v>
      </c>
      <c r="F1307" s="7" t="inlineStr">
        <is>
          <t>Ingrediente Ativo Grau Técnico</t>
        </is>
      </c>
      <c r="G1307" s="7" t="inlineStr">
        <is>
          <t>2,4-D TÉCNICO</t>
        </is>
      </c>
      <c r="H1307" s="7" t="inlineStr">
        <is>
          <t>(2,4-dichlorophenoxy)acetic acid (Sal Dimetilamina / Colina / Amina)</t>
        </is>
      </c>
      <c r="I1307" s="7" t="inlineStr">
        <is>
          <t>Ácido ariloxialcanoico</t>
        </is>
      </c>
      <c r="J1307" s="7" t="inlineStr">
        <is>
          <t>HRAC Grupo O (4) — Auxinas Sintéticas</t>
        </is>
      </c>
      <c r="K1307" s="7" t="inlineStr">
        <is>
          <t>Mimetizadores de auxina sintética</t>
        </is>
      </c>
      <c r="L1307" s="9" t="n">
        <v>960</v>
      </c>
      <c r="M1307" s="7" t="inlineStr">
        <is>
          <t>g/kg</t>
        </is>
      </c>
      <c r="N1307" s="7" t="inlineStr">
        <is>
          <t>Registro de Produto Técnico MAPA</t>
        </is>
      </c>
    </row>
    <row r="1308" ht="22" customHeight="1">
      <c r="A1308" s="12" t="inlineStr">
        <is>
          <t>CMP-1304</t>
        </is>
      </c>
      <c r="B1308" s="11" t="n">
        <v>988</v>
      </c>
      <c r="C1308" s="13" t="inlineStr">
        <is>
          <t>Nº 10618</t>
        </is>
      </c>
      <c r="D1308" s="14" t="inlineStr">
        <is>
          <t>2,4-D TÉCNICO AGROIMPORT</t>
        </is>
      </c>
      <c r="E1308" s="11" t="n">
        <v>1</v>
      </c>
      <c r="F1308" s="13" t="inlineStr">
        <is>
          <t>Ingrediente Ativo Grau Técnico</t>
        </is>
      </c>
      <c r="G1308" s="13" t="inlineStr">
        <is>
          <t>2,4-D TÉCNICO</t>
        </is>
      </c>
      <c r="H1308" s="13" t="inlineStr">
        <is>
          <t>(2,4-dichlorophenoxy)acetic acid (Sal Dimetilamina / Colina / Amina)</t>
        </is>
      </c>
      <c r="I1308" s="13" t="inlineStr">
        <is>
          <t>Ácido ariloxialcanoico</t>
        </is>
      </c>
      <c r="J1308" s="13" t="inlineStr">
        <is>
          <t>HRAC Grupo O (4) — Auxinas Sintéticas</t>
        </is>
      </c>
      <c r="K1308" s="13" t="inlineStr">
        <is>
          <t>Mimetizadores de auxina sintética</t>
        </is>
      </c>
      <c r="L1308" s="15" t="n">
        <v>960</v>
      </c>
      <c r="M1308" s="13" t="inlineStr">
        <is>
          <t>g/kg</t>
        </is>
      </c>
      <c r="N1308" s="13" t="inlineStr">
        <is>
          <t>Registro de Produto Técnico MAPA</t>
        </is>
      </c>
    </row>
    <row r="1309" ht="22" customHeight="1">
      <c r="A1309" s="6" t="inlineStr">
        <is>
          <t>CMP-1305</t>
        </is>
      </c>
      <c r="B1309" s="5" t="n">
        <v>989</v>
      </c>
      <c r="C1309" s="7" t="inlineStr">
        <is>
          <t>Nº 18816</t>
        </is>
      </c>
      <c r="D1309" s="8" t="inlineStr">
        <is>
          <t>GLIFOSATO G TÉCNICO AGROIMPORT</t>
        </is>
      </c>
      <c r="E1309" s="5" t="n">
        <v>1</v>
      </c>
      <c r="F1309" s="7" t="inlineStr">
        <is>
          <t>Ingrediente Ativo Grau Técnico</t>
        </is>
      </c>
      <c r="G1309" s="7" t="inlineStr">
        <is>
          <t>GLIFOSATO TÉCNICO</t>
        </is>
      </c>
      <c r="H1309" s="7" t="inlineStr">
        <is>
          <t>N-(phosphonomethyl)glycine (Sal de Amônio / Isopropilamina / Potássico)</t>
        </is>
      </c>
      <c r="I1309" s="7" t="inlineStr">
        <is>
          <t>Glicina substituída</t>
        </is>
      </c>
      <c r="J1309" s="7" t="inlineStr">
        <is>
          <t>HRAC Grupo G (EPSPs)</t>
        </is>
      </c>
      <c r="K1309" s="7" t="inlineStr">
        <is>
          <t>Inibidores da enzima EPSPs (Enoil Piruvil Shiquimato Fosfato Sintase)</t>
        </is>
      </c>
      <c r="L1309" s="9" t="n">
        <v>950</v>
      </c>
      <c r="M1309" s="7" t="inlineStr">
        <is>
          <t>g/kg</t>
        </is>
      </c>
      <c r="N1309" s="7" t="inlineStr">
        <is>
          <t>Registro de Produto Técnico MAPA</t>
        </is>
      </c>
    </row>
    <row r="1310" ht="22" customHeight="1">
      <c r="A1310" s="12" t="inlineStr">
        <is>
          <t>CMP-1306</t>
        </is>
      </c>
      <c r="B1310" s="11" t="n">
        <v>990</v>
      </c>
      <c r="C1310" s="13" t="inlineStr">
        <is>
          <t>Nº 12515</t>
        </is>
      </c>
      <c r="D1310" s="14" t="inlineStr">
        <is>
          <t>GLIFOSATO TÉCNICO SWR AGROIMPORT</t>
        </is>
      </c>
      <c r="E1310" s="11" t="n">
        <v>1</v>
      </c>
      <c r="F1310" s="13" t="inlineStr">
        <is>
          <t>Ingrediente Ativo Grau Técnico</t>
        </is>
      </c>
      <c r="G1310" s="13" t="inlineStr">
        <is>
          <t>GLIFOSATO TÉCNICO</t>
        </is>
      </c>
      <c r="H1310" s="13" t="inlineStr">
        <is>
          <t>N-(phosphonomethyl)glycine (Sal de Amônio / Isopropilamina / Potássico)</t>
        </is>
      </c>
      <c r="I1310" s="13" t="inlineStr">
        <is>
          <t>Glicina substituída</t>
        </is>
      </c>
      <c r="J1310" s="13" t="inlineStr">
        <is>
          <t>HRAC Grupo G (EPSPs)</t>
        </is>
      </c>
      <c r="K1310" s="13" t="inlineStr">
        <is>
          <t>Inibidores da enzima EPSPs (Enoil Piruvil Shiquimato Fosfato Sintase)</t>
        </is>
      </c>
      <c r="L1310" s="15" t="n">
        <v>950</v>
      </c>
      <c r="M1310" s="13" t="inlineStr">
        <is>
          <t>g/kg</t>
        </is>
      </c>
      <c r="N1310" s="13" t="inlineStr">
        <is>
          <t>Registro de Produto Técnico MAPA</t>
        </is>
      </c>
    </row>
    <row r="1311" ht="22" customHeight="1">
      <c r="A1311" s="6" t="inlineStr">
        <is>
          <t>CMP-1307</t>
        </is>
      </c>
      <c r="B1311" s="5" t="n">
        <v>991</v>
      </c>
      <c r="C1311" s="7" t="inlineStr">
        <is>
          <t>Nº 10714</t>
        </is>
      </c>
      <c r="D1311" s="8" t="inlineStr">
        <is>
          <t>MEGASATO TÉCNICO</t>
        </is>
      </c>
      <c r="E1311" s="5" t="n">
        <v>1</v>
      </c>
      <c r="F1311" s="7" t="inlineStr">
        <is>
          <t>Ingrediente Ativo Grau Técnico</t>
        </is>
      </c>
      <c r="G1311" s="7" t="inlineStr">
        <is>
          <t>GLIFOSATO TÉCNICO</t>
        </is>
      </c>
      <c r="H1311" s="7" t="inlineStr">
        <is>
          <t>N-(phosphonomethyl)glycine (Sal de Amônio / Isopropilamina / Potássico)</t>
        </is>
      </c>
      <c r="I1311" s="7" t="inlineStr">
        <is>
          <t>Glicina substituída</t>
        </is>
      </c>
      <c r="J1311" s="7" t="inlineStr">
        <is>
          <t>HRAC Grupo G (EPSPs)</t>
        </is>
      </c>
      <c r="K1311" s="7" t="inlineStr">
        <is>
          <t>Inibidores da enzima EPSPs (Enoil Piruvil Shiquimato Fosfato Sintase)</t>
        </is>
      </c>
      <c r="L1311" s="9" t="n">
        <v>950</v>
      </c>
      <c r="M1311" s="7" t="inlineStr">
        <is>
          <t>g/kg</t>
        </is>
      </c>
      <c r="N1311" s="7" t="inlineStr">
        <is>
          <t>Registro de Produto Técnico MAPA</t>
        </is>
      </c>
    </row>
    <row r="1312" ht="22" customHeight="1">
      <c r="A1312" s="12" t="inlineStr">
        <is>
          <t>CMP-1308</t>
        </is>
      </c>
      <c r="B1312" s="11" t="n">
        <v>992</v>
      </c>
      <c r="C1312" s="13" t="inlineStr">
        <is>
          <t>TC08623</t>
        </is>
      </c>
      <c r="D1312" s="14" t="inlineStr">
        <is>
          <t>2,4-D TÉCNICO ALBAUGH 02 HF</t>
        </is>
      </c>
      <c r="E1312" s="11" t="n">
        <v>1</v>
      </c>
      <c r="F1312" s="13" t="inlineStr">
        <is>
          <t>Ingrediente Ativo Grau Técnico</t>
        </is>
      </c>
      <c r="G1312" s="13" t="inlineStr">
        <is>
          <t>2,4-D TÉCNICO</t>
        </is>
      </c>
      <c r="H1312" s="13" t="inlineStr">
        <is>
          <t>(2,4-dichlorophenoxy)acetic acid (Sal Dimetilamina / Colina / Amina)</t>
        </is>
      </c>
      <c r="I1312" s="13" t="inlineStr">
        <is>
          <t>Ácido ariloxialcanoico</t>
        </is>
      </c>
      <c r="J1312" s="13" t="inlineStr">
        <is>
          <t>HRAC Grupo O (4) — Auxinas Sintéticas</t>
        </is>
      </c>
      <c r="K1312" s="13" t="inlineStr">
        <is>
          <t>Mimetizadores de auxina sintética</t>
        </is>
      </c>
      <c r="L1312" s="15" t="n">
        <v>960</v>
      </c>
      <c r="M1312" s="13" t="inlineStr">
        <is>
          <t>g/kg</t>
        </is>
      </c>
      <c r="N1312" s="13" t="inlineStr">
        <is>
          <t>Registro de Produto Técnico MAPA</t>
        </is>
      </c>
    </row>
    <row r="1313" ht="22" customHeight="1">
      <c r="A1313" s="6" t="inlineStr">
        <is>
          <t>CMP-1309</t>
        </is>
      </c>
      <c r="B1313" s="5" t="n">
        <v>993</v>
      </c>
      <c r="C1313" s="7" t="inlineStr">
        <is>
          <t>Nº 13914</t>
        </is>
      </c>
      <c r="D1313" s="8" t="inlineStr">
        <is>
          <t>2,4-D ÁCIDO TÉCNICO CCAB</t>
        </is>
      </c>
      <c r="E1313" s="5" t="n">
        <v>1</v>
      </c>
      <c r="F1313" s="7" t="inlineStr">
        <is>
          <t>Ingrediente Ativo Grau Técnico</t>
        </is>
      </c>
      <c r="G1313" s="7" t="inlineStr">
        <is>
          <t>2,4-D ÁCIDO TÉCNICO</t>
        </is>
      </c>
      <c r="H1313" s="7" t="inlineStr">
        <is>
          <t>(2,4-dichlorophenoxy)acetic acid (Sal Dimetilamina / Colina / Amina)</t>
        </is>
      </c>
      <c r="I1313" s="7" t="inlineStr">
        <is>
          <t>Ácido ariloxialcanoico</t>
        </is>
      </c>
      <c r="J1313" s="7" t="inlineStr">
        <is>
          <t>HRAC Grupo O (4) — Auxinas Sintéticas</t>
        </is>
      </c>
      <c r="K1313" s="7" t="inlineStr">
        <is>
          <t>Mimetizadores de auxina sintética</t>
        </is>
      </c>
      <c r="L1313" s="9" t="n">
        <v>960</v>
      </c>
      <c r="M1313" s="7" t="inlineStr">
        <is>
          <t>g/kg</t>
        </is>
      </c>
      <c r="N1313" s="7" t="inlineStr">
        <is>
          <t>Registro de Produto Técnico MAPA</t>
        </is>
      </c>
    </row>
    <row r="1314" ht="22" customHeight="1">
      <c r="A1314" s="12" t="inlineStr">
        <is>
          <t>CMP-1310</t>
        </is>
      </c>
      <c r="B1314" s="11" t="n">
        <v>994</v>
      </c>
      <c r="C1314" s="13" t="inlineStr">
        <is>
          <t>Nº 10216</t>
        </is>
      </c>
      <c r="D1314" s="14" t="inlineStr">
        <is>
          <t>GLIFOSATO TÉCNICO CCAB II</t>
        </is>
      </c>
      <c r="E1314" s="11" t="n">
        <v>1</v>
      </c>
      <c r="F1314" s="13" t="inlineStr">
        <is>
          <t>Ingrediente Ativo Grau Técnico</t>
        </is>
      </c>
      <c r="G1314" s="13" t="inlineStr">
        <is>
          <t>GLIFOSATO TÉCNICO</t>
        </is>
      </c>
      <c r="H1314" s="13" t="inlineStr">
        <is>
          <t>N-(phosphonomethyl)glycine (Sal de Amônio / Isopropilamina / Potássico)</t>
        </is>
      </c>
      <c r="I1314" s="13" t="inlineStr">
        <is>
          <t>Glicina substituída</t>
        </is>
      </c>
      <c r="J1314" s="13" t="inlineStr">
        <is>
          <t>HRAC Grupo G (EPSPs)</t>
        </is>
      </c>
      <c r="K1314" s="13" t="inlineStr">
        <is>
          <t>Inibidores da enzima EPSPs (Enoil Piruvil Shiquimato Fosfato Sintase)</t>
        </is>
      </c>
      <c r="L1314" s="15" t="n">
        <v>950</v>
      </c>
      <c r="M1314" s="13" t="inlineStr">
        <is>
          <t>g/kg</t>
        </is>
      </c>
      <c r="N1314" s="13" t="inlineStr">
        <is>
          <t>Registro de Produto Técnico MAPA</t>
        </is>
      </c>
    </row>
    <row r="1315" ht="22" customHeight="1">
      <c r="A1315" s="6" t="inlineStr">
        <is>
          <t>CMP-1311</t>
        </is>
      </c>
      <c r="B1315" s="5" t="n">
        <v>995</v>
      </c>
      <c r="C1315" s="7" t="inlineStr">
        <is>
          <t>Nº 3316</t>
        </is>
      </c>
      <c r="D1315" s="8" t="inlineStr">
        <is>
          <t>2,4-D TÉCNICO MCR</t>
        </is>
      </c>
      <c r="E1315" s="5" t="n">
        <v>1</v>
      </c>
      <c r="F1315" s="7" t="inlineStr">
        <is>
          <t>Ingrediente Ativo Grau Técnico</t>
        </is>
      </c>
      <c r="G1315" s="7" t="inlineStr">
        <is>
          <t>2,4-D TÉCNICO</t>
        </is>
      </c>
      <c r="H1315" s="7" t="inlineStr">
        <is>
          <t>(2,4-dichlorophenoxy)acetic acid (Sal Dimetilamina / Colina / Amina)</t>
        </is>
      </c>
      <c r="I1315" s="7" t="inlineStr">
        <is>
          <t>Ácido ariloxialcanoico</t>
        </is>
      </c>
      <c r="J1315" s="7" t="inlineStr">
        <is>
          <t>HRAC Grupo O (4) — Auxinas Sintéticas</t>
        </is>
      </c>
      <c r="K1315" s="7" t="inlineStr">
        <is>
          <t>Mimetizadores de auxina sintética</t>
        </is>
      </c>
      <c r="L1315" s="9" t="n">
        <v>960</v>
      </c>
      <c r="M1315" s="7" t="inlineStr">
        <is>
          <t>g/kg</t>
        </is>
      </c>
      <c r="N1315" s="7" t="inlineStr">
        <is>
          <t>Registro de Produto Técnico MAPA</t>
        </is>
      </c>
    </row>
    <row r="1316" ht="22" customHeight="1">
      <c r="A1316" s="12" t="inlineStr">
        <is>
          <t>CMP-1312</t>
        </is>
      </c>
      <c r="B1316" s="11" t="n">
        <v>996</v>
      </c>
      <c r="C1316" s="13" t="inlineStr">
        <is>
          <t>Nº 1114</t>
        </is>
      </c>
      <c r="D1316" s="14" t="inlineStr">
        <is>
          <t>GLIFOSATO TÉCNICO COPALLIANCE</t>
        </is>
      </c>
      <c r="E1316" s="11" t="n">
        <v>1</v>
      </c>
      <c r="F1316" s="13" t="inlineStr">
        <is>
          <t>Ingrediente Ativo Grau Técnico</t>
        </is>
      </c>
      <c r="G1316" s="13" t="inlineStr">
        <is>
          <t>GLIFOSATO TÉCNICO</t>
        </is>
      </c>
      <c r="H1316" s="13" t="inlineStr">
        <is>
          <t>N-(phosphonomethyl)glycine (Sal de Amônio / Isopropilamina / Potássico)</t>
        </is>
      </c>
      <c r="I1316" s="13" t="inlineStr">
        <is>
          <t>Glicina substituída</t>
        </is>
      </c>
      <c r="J1316" s="13" t="inlineStr">
        <is>
          <t>HRAC Grupo G (EPSPs)</t>
        </is>
      </c>
      <c r="K1316" s="13" t="inlineStr">
        <is>
          <t>Inibidores da enzima EPSPs (Enoil Piruvil Shiquimato Fosfato Sintase)</t>
        </is>
      </c>
      <c r="L1316" s="15" t="n">
        <v>950</v>
      </c>
      <c r="M1316" s="13" t="inlineStr">
        <is>
          <t>g/kg</t>
        </is>
      </c>
      <c r="N1316" s="13" t="inlineStr">
        <is>
          <t>Registro de Produto Técnico MAPA</t>
        </is>
      </c>
    </row>
    <row r="1317" ht="22" customHeight="1">
      <c r="A1317" s="6" t="inlineStr">
        <is>
          <t>CMP-1313</t>
        </is>
      </c>
      <c r="B1317" s="5" t="n">
        <v>997</v>
      </c>
      <c r="C1317" s="7" t="inlineStr">
        <is>
          <t>Nº 10901</t>
        </is>
      </c>
      <c r="D1317" s="8" t="inlineStr">
        <is>
          <t>ROUNDUP AMÔNIO PRÉ MIX</t>
        </is>
      </c>
      <c r="E1317" s="5" t="n">
        <v>1</v>
      </c>
      <c r="F1317" s="7" t="inlineStr">
        <is>
          <t>Ingrediente Ativo Principal</t>
        </is>
      </c>
      <c r="G1317" s="7" t="inlineStr">
        <is>
          <t>GLIFOSATO SAL DE AMÔNIO PRÉ-MISTURA</t>
        </is>
      </c>
      <c r="H1317" s="7" t="inlineStr">
        <is>
          <t>N-(phosphonomethyl)glycine (Sal de Amônio / Isopropilamina / Potássico)</t>
        </is>
      </c>
      <c r="I1317" s="7" t="inlineStr">
        <is>
          <t>Glicina substituída</t>
        </is>
      </c>
      <c r="J1317" s="7" t="inlineStr">
        <is>
          <t>HRAC Grupo G (EPSPs)</t>
        </is>
      </c>
      <c r="K1317" s="7" t="inlineStr">
        <is>
          <t>Inibidores da enzima EPSPs (Enoil Piruvil Shiquimato Fosfato Sintase)</t>
        </is>
      </c>
      <c r="L1317" s="9" t="n">
        <v>780</v>
      </c>
      <c r="M1317" s="7" t="inlineStr">
        <is>
          <t>g/kg</t>
        </is>
      </c>
      <c r="N1317" s="7" t="inlineStr">
        <is>
          <t>Produto Técnico Próprio</t>
        </is>
      </c>
    </row>
    <row r="1318" ht="22" customHeight="1">
      <c r="A1318" s="12" t="inlineStr">
        <is>
          <t>CMP-1314</t>
        </is>
      </c>
      <c r="B1318" s="11" t="n">
        <v>998</v>
      </c>
      <c r="C1318" s="13" t="inlineStr">
        <is>
          <t>TC08525</t>
        </is>
      </c>
      <c r="D1318" s="14" t="inlineStr">
        <is>
          <t>ROUNDUP MEA PREMIX</t>
        </is>
      </c>
      <c r="E1318" s="11" t="n">
        <v>1</v>
      </c>
      <c r="F1318" s="13" t="inlineStr">
        <is>
          <t>Ingrediente Ativo Grau Técnico</t>
        </is>
      </c>
      <c r="G1318" s="13" t="inlineStr">
        <is>
          <t>GLIFOSATO SAL DE MONOETANOLAMINA PRÉ-MISTURA</t>
        </is>
      </c>
      <c r="H1318" s="13" t="inlineStr">
        <is>
          <t>N-(phosphonomethyl)glycine (Sal de Amônio / Isopropilamina / Potássico)</t>
        </is>
      </c>
      <c r="I1318" s="13" t="inlineStr">
        <is>
          <t>Glicina substituída</t>
        </is>
      </c>
      <c r="J1318" s="13" t="inlineStr">
        <is>
          <t>HRAC Grupo G (EPSPs)</t>
        </is>
      </c>
      <c r="K1318" s="13" t="inlineStr">
        <is>
          <t>Inibidores da enzima EPSPs (Enoil Piruvil Shiquimato Fosfato Sintase)</t>
        </is>
      </c>
      <c r="L1318" s="15" t="n">
        <v>780</v>
      </c>
      <c r="M1318" s="13" t="inlineStr">
        <is>
          <t>g/kg</t>
        </is>
      </c>
      <c r="N1318" s="13" t="inlineStr">
        <is>
          <t>Registro de Produto Técnico MAPA</t>
        </is>
      </c>
    </row>
    <row r="1319" ht="22" customHeight="1">
      <c r="A1319" s="6" t="inlineStr">
        <is>
          <t>CMP-1315</t>
        </is>
      </c>
      <c r="B1319" s="5" t="n">
        <v>999</v>
      </c>
      <c r="C1319" s="7" t="inlineStr">
        <is>
          <t>TC00623</t>
        </is>
      </c>
      <c r="D1319" s="8" t="inlineStr">
        <is>
          <t>2,4-D TÉCNICO NORTOX V</t>
        </is>
      </c>
      <c r="E1319" s="5" t="n">
        <v>1</v>
      </c>
      <c r="F1319" s="7" t="inlineStr">
        <is>
          <t>Ingrediente Ativo Grau Técnico</t>
        </is>
      </c>
      <c r="G1319" s="7" t="inlineStr">
        <is>
          <t>2,4-D TÉCNICO</t>
        </is>
      </c>
      <c r="H1319" s="7" t="inlineStr">
        <is>
          <t>(2,4-dichlorophenoxy)acetic acid (Sal Dimetilamina / Colina / Amina)</t>
        </is>
      </c>
      <c r="I1319" s="7" t="inlineStr">
        <is>
          <t>Ácido ariloxialcanoico</t>
        </is>
      </c>
      <c r="J1319" s="7" t="inlineStr">
        <is>
          <t>HRAC Grupo O (4) — Auxinas Sintéticas</t>
        </is>
      </c>
      <c r="K1319" s="7" t="inlineStr">
        <is>
          <t>Mimetizadores de auxina sintética</t>
        </is>
      </c>
      <c r="L1319" s="9" t="n">
        <v>960</v>
      </c>
      <c r="M1319" s="7" t="inlineStr">
        <is>
          <t>g/kg</t>
        </is>
      </c>
      <c r="N1319" s="7" t="inlineStr">
        <is>
          <t>Registro de Produto Técnico MAPA</t>
        </is>
      </c>
    </row>
    <row r="1320" ht="22" customHeight="1">
      <c r="A1320" s="12" t="inlineStr">
        <is>
          <t>CMP-1316</t>
        </is>
      </c>
      <c r="B1320" s="11" t="n">
        <v>1000</v>
      </c>
      <c r="C1320" s="13" t="inlineStr">
        <is>
          <t>Nº 1414</t>
        </is>
      </c>
      <c r="D1320" s="14" t="inlineStr">
        <is>
          <t>2,4-D TÉCNICO RED SURCOS</t>
        </is>
      </c>
      <c r="E1320" s="11" t="n">
        <v>1</v>
      </c>
      <c r="F1320" s="13" t="inlineStr">
        <is>
          <t>Ingrediente Ativo Grau Técnico</t>
        </is>
      </c>
      <c r="G1320" s="13" t="inlineStr">
        <is>
          <t>2,4-D TÉCNICO</t>
        </is>
      </c>
      <c r="H1320" s="13" t="inlineStr">
        <is>
          <t>(2,4-dichlorophenoxy)acetic acid (Sal Dimetilamina / Colina / Amina)</t>
        </is>
      </c>
      <c r="I1320" s="13" t="inlineStr">
        <is>
          <t>Ácido ariloxialcanoico</t>
        </is>
      </c>
      <c r="J1320" s="13" t="inlineStr">
        <is>
          <t>HRAC Grupo O (4) — Auxinas Sintéticas</t>
        </is>
      </c>
      <c r="K1320" s="13" t="inlineStr">
        <is>
          <t>Mimetizadores de auxina sintética</t>
        </is>
      </c>
      <c r="L1320" s="15" t="n">
        <v>960</v>
      </c>
      <c r="M1320" s="13" t="inlineStr">
        <is>
          <t>g/kg</t>
        </is>
      </c>
      <c r="N1320" s="13" t="inlineStr">
        <is>
          <t>Registro de Produto Técnico MAPA</t>
        </is>
      </c>
    </row>
    <row r="1321" ht="22" customHeight="1">
      <c r="A1321" s="6" t="inlineStr">
        <is>
          <t>CMP-1317</t>
        </is>
      </c>
      <c r="B1321" s="5" t="n">
        <v>1001</v>
      </c>
      <c r="C1321" s="7" t="inlineStr">
        <is>
          <t>Nº 12415</t>
        </is>
      </c>
      <c r="D1321" s="8" t="inlineStr">
        <is>
          <t>GLIFOSATO TÉCNICO RED SURCOS II</t>
        </is>
      </c>
      <c r="E1321" s="5" t="n">
        <v>1</v>
      </c>
      <c r="F1321" s="7" t="inlineStr">
        <is>
          <t>Ingrediente Ativo Grau Técnico</t>
        </is>
      </c>
      <c r="G1321" s="7" t="inlineStr">
        <is>
          <t>GLIFOSATO TÉCNICO</t>
        </is>
      </c>
      <c r="H1321" s="7" t="inlineStr">
        <is>
          <t>N-(phosphonomethyl)glycine (Sal de Amônio / Isopropilamina / Potássico)</t>
        </is>
      </c>
      <c r="I1321" s="7" t="inlineStr">
        <is>
          <t>Glicina substituída</t>
        </is>
      </c>
      <c r="J1321" s="7" t="inlineStr">
        <is>
          <t>HRAC Grupo G (EPSPs)</t>
        </is>
      </c>
      <c r="K1321" s="7" t="inlineStr">
        <is>
          <t>Inibidores da enzima EPSPs (Enoil Piruvil Shiquimato Fosfato Sintase)</t>
        </is>
      </c>
      <c r="L1321" s="9" t="n">
        <v>950</v>
      </c>
      <c r="M1321" s="7" t="inlineStr">
        <is>
          <t>g/kg</t>
        </is>
      </c>
      <c r="N1321" s="7" t="inlineStr">
        <is>
          <t>Registro de Produto Técnico MAPA</t>
        </is>
      </c>
    </row>
    <row r="1322" ht="22" customHeight="1">
      <c r="A1322" s="12" t="inlineStr">
        <is>
          <t>CMP-1318</t>
        </is>
      </c>
      <c r="B1322" s="11" t="n">
        <v>1002</v>
      </c>
      <c r="C1322" s="13" t="inlineStr">
        <is>
          <t>Nº 4901</t>
        </is>
      </c>
      <c r="D1322" s="14" t="inlineStr">
        <is>
          <t>2,4-D ÁCIDO TÉCNICO SUMITOMO</t>
        </is>
      </c>
      <c r="E1322" s="11" t="n">
        <v>1</v>
      </c>
      <c r="F1322" s="13" t="inlineStr">
        <is>
          <t>Ingrediente Ativo Grau Técnico</t>
        </is>
      </c>
      <c r="G1322" s="13" t="inlineStr">
        <is>
          <t>2,4-D ÁCIDO TÉCNICO</t>
        </is>
      </c>
      <c r="H1322" s="13" t="inlineStr">
        <is>
          <t>(2,4-dichlorophenoxy)acetic acid (Sal Dimetilamina / Colina / Amina)</t>
        </is>
      </c>
      <c r="I1322" s="13" t="inlineStr">
        <is>
          <t>Ácido ariloxialcanoico</t>
        </is>
      </c>
      <c r="J1322" s="13" t="inlineStr">
        <is>
          <t>HRAC Grupo O (4) — Auxinas Sintéticas</t>
        </is>
      </c>
      <c r="K1322" s="13" t="inlineStr">
        <is>
          <t>Mimetizadores de auxina sintética</t>
        </is>
      </c>
      <c r="L1322" s="15" t="n">
        <v>960</v>
      </c>
      <c r="M1322" s="13" t="inlineStr">
        <is>
          <t>g/kg</t>
        </is>
      </c>
      <c r="N1322" s="13" t="inlineStr">
        <is>
          <t>Registro de Produto Técnico MAPA</t>
        </is>
      </c>
    </row>
    <row r="1323" ht="22" customHeight="1">
      <c r="A1323" s="6" t="inlineStr">
        <is>
          <t>CMP-1319</t>
        </is>
      </c>
      <c r="B1323" s="5" t="n">
        <v>1003</v>
      </c>
      <c r="C1323" s="7" t="inlineStr">
        <is>
          <t>TC07621</t>
        </is>
      </c>
      <c r="D1323" s="8" t="inlineStr">
        <is>
          <t>2,4-D TÉCNICO DT</t>
        </is>
      </c>
      <c r="E1323" s="5" t="n">
        <v>1</v>
      </c>
      <c r="F1323" s="7" t="inlineStr">
        <is>
          <t>Ingrediente Ativo Grau Técnico</t>
        </is>
      </c>
      <c r="G1323" s="7" t="inlineStr">
        <is>
          <t>2,4-D TÉCNICO</t>
        </is>
      </c>
      <c r="H1323" s="7" t="inlineStr">
        <is>
          <t>(2,4-dichlorophenoxy)acetic acid (Sal Dimetilamina / Colina / Amina)</t>
        </is>
      </c>
      <c r="I1323" s="7" t="inlineStr">
        <is>
          <t>Ácido ariloxialcanoico</t>
        </is>
      </c>
      <c r="J1323" s="7" t="inlineStr">
        <is>
          <t>HRAC Grupo O (4) — Auxinas Sintéticas</t>
        </is>
      </c>
      <c r="K1323" s="7" t="inlineStr">
        <is>
          <t>Mimetizadores de auxina sintética</t>
        </is>
      </c>
      <c r="L1323" s="9" t="n">
        <v>960</v>
      </c>
      <c r="M1323" s="7" t="inlineStr">
        <is>
          <t>g/kg</t>
        </is>
      </c>
      <c r="N1323" s="7" t="inlineStr">
        <is>
          <t>Registro de Produto Técnico MAPA</t>
        </is>
      </c>
    </row>
    <row r="1324" ht="22" customHeight="1">
      <c r="A1324" s="12" t="inlineStr">
        <is>
          <t>CMP-1320</t>
        </is>
      </c>
      <c r="B1324" s="11" t="n">
        <v>1004</v>
      </c>
      <c r="C1324" s="13" t="inlineStr">
        <is>
          <t>Nº 36721</t>
        </is>
      </c>
      <c r="D1324" s="14" t="inlineStr">
        <is>
          <t>MAIZEFORCE</t>
        </is>
      </c>
      <c r="E1324" s="11" t="n">
        <v>1</v>
      </c>
      <c r="F1324" s="13" t="inlineStr">
        <is>
          <t>Ingrediente Ativo Principal</t>
        </is>
      </c>
      <c r="G1324" s="13" t="inlineStr">
        <is>
          <t>MESOTRIONA 480</t>
        </is>
      </c>
      <c r="H1324" s="13" t="inlineStr">
        <is>
          <t>2-(4-mesyl-2-nitrobenzoyl)cyclohexane-1,3-dione</t>
        </is>
      </c>
      <c r="I1324" s="13" t="inlineStr">
        <is>
          <t>Tricetona</t>
        </is>
      </c>
      <c r="J1324" s="13" t="inlineStr">
        <is>
          <t>HRAC Grupo F2 (27) — Inibidores da HPPD</t>
        </is>
      </c>
      <c r="K1324" s="13" t="inlineStr">
        <is>
          <t>Inibidores da enzima 4-hidroxifenil-piruvato-dioxigenase (HPPD - biossíntese de carotenoides)</t>
        </is>
      </c>
      <c r="L1324" s="15" t="n">
        <v>480</v>
      </c>
      <c r="M1324" s="13" t="inlineStr">
        <is>
          <t>g/L</t>
        </is>
      </c>
      <c r="N1324" s="13" t="inlineStr">
        <is>
          <t>Registro Técnico Vinculado MAPA</t>
        </is>
      </c>
    </row>
    <row r="1325" ht="22" customHeight="1">
      <c r="A1325" s="6" t="inlineStr">
        <is>
          <t>CMP-1321</t>
        </is>
      </c>
      <c r="B1325" s="5" t="n">
        <v>1005</v>
      </c>
      <c r="C1325" s="7" t="inlineStr">
        <is>
          <t>Nº 17416</t>
        </is>
      </c>
      <c r="D1325" s="8" t="inlineStr">
        <is>
          <t>MESOTRIONE TÉCNICO ROTAM</t>
        </is>
      </c>
      <c r="E1325" s="5" t="n">
        <v>1</v>
      </c>
      <c r="F1325" s="7" t="inlineStr">
        <is>
          <t>Ingrediente Ativo Grau Técnico</t>
        </is>
      </c>
      <c r="G1325" s="7" t="inlineStr">
        <is>
          <t>MESOTRIONA TÉCNICO</t>
        </is>
      </c>
      <c r="H1325" s="7" t="inlineStr">
        <is>
          <t>2-(4-mesyl-2-nitrobenzoyl)cyclohexane-1,3-dione</t>
        </is>
      </c>
      <c r="I1325" s="7" t="inlineStr">
        <is>
          <t>Tricetona</t>
        </is>
      </c>
      <c r="J1325" s="7" t="inlineStr">
        <is>
          <t>HRAC Grupo F2 (27) — Inibidores da HPPD</t>
        </is>
      </c>
      <c r="K1325" s="7" t="inlineStr">
        <is>
          <t>Inibição da enzima 4-hidroxifenilpiruvato dioxigenase (HPPD)</t>
        </is>
      </c>
      <c r="L1325" s="9" t="n">
        <v>960</v>
      </c>
      <c r="M1325" s="7" t="inlineStr">
        <is>
          <t>g/kg</t>
        </is>
      </c>
      <c r="N1325" s="7" t="inlineStr">
        <is>
          <t>Registro de Produto Técnico MAPA</t>
        </is>
      </c>
    </row>
    <row r="1326" ht="22" customHeight="1">
      <c r="A1326" s="12" t="inlineStr">
        <is>
          <t>CMP-1322</t>
        </is>
      </c>
      <c r="B1326" s="11" t="n">
        <v>1006</v>
      </c>
      <c r="C1326" s="13" t="inlineStr">
        <is>
          <t>TC07920</t>
        </is>
      </c>
      <c r="D1326" s="14" t="inlineStr">
        <is>
          <t>MESOTRIONE TÉCNICO ALBAUGH</t>
        </is>
      </c>
      <c r="E1326" s="11" t="n">
        <v>1</v>
      </c>
      <c r="F1326" s="13" t="inlineStr">
        <is>
          <t>Ingrediente Ativo Grau Técnico</t>
        </is>
      </c>
      <c r="G1326" s="13" t="inlineStr">
        <is>
          <t>MESOTRIONA TÉCNICO</t>
        </is>
      </c>
      <c r="H1326" s="13" t="inlineStr">
        <is>
          <t>2-(4-mesyl-2-nitrobenzoyl)cyclohexane-1,3-dione</t>
        </is>
      </c>
      <c r="I1326" s="13" t="inlineStr">
        <is>
          <t>Tricetona</t>
        </is>
      </c>
      <c r="J1326" s="13" t="inlineStr">
        <is>
          <t>HRAC Grupo F2 (27) — Inibidores da HPPD</t>
        </is>
      </c>
      <c r="K1326" s="13" t="inlineStr">
        <is>
          <t>Inibição da enzima 4-hidroxifenilpiruvato dioxigenase (HPPD)</t>
        </is>
      </c>
      <c r="L1326" s="15" t="n">
        <v>960</v>
      </c>
      <c r="M1326" s="13" t="inlineStr">
        <is>
          <t>g/kg</t>
        </is>
      </c>
      <c r="N1326" s="13" t="inlineStr">
        <is>
          <t>Registro de Produto Técnico MAPA</t>
        </is>
      </c>
    </row>
    <row r="1327" ht="22" customHeight="1">
      <c r="A1327" s="6" t="inlineStr">
        <is>
          <t>CMP-1323</t>
        </is>
      </c>
      <c r="B1327" s="5" t="n">
        <v>1007</v>
      </c>
      <c r="C1327" s="7" t="inlineStr">
        <is>
          <t>TC26122</t>
        </is>
      </c>
      <c r="D1327" s="8" t="inlineStr">
        <is>
          <t>MESOTRIONE TÉCNICO ALBAUGH AZ</t>
        </is>
      </c>
      <c r="E1327" s="5" t="n">
        <v>1</v>
      </c>
      <c r="F1327" s="7" t="inlineStr">
        <is>
          <t>Ingrediente Ativo Grau Técnico</t>
        </is>
      </c>
      <c r="G1327" s="7" t="inlineStr">
        <is>
          <t>MESOTRIONA TÉCNICO</t>
        </is>
      </c>
      <c r="H1327" s="7" t="inlineStr">
        <is>
          <t>2-(4-mesyl-2-nitrobenzoyl)cyclohexane-1,3-dione</t>
        </is>
      </c>
      <c r="I1327" s="7" t="inlineStr">
        <is>
          <t>Tricetona</t>
        </is>
      </c>
      <c r="J1327" s="7" t="inlineStr">
        <is>
          <t>HRAC Grupo F2 (27) — Inibidores da HPPD</t>
        </is>
      </c>
      <c r="K1327" s="7" t="inlineStr">
        <is>
          <t>Inibição da enzima 4-hidroxifenilpiruvato dioxigenase (HPPD)</t>
        </is>
      </c>
      <c r="L1327" s="9" t="n">
        <v>960</v>
      </c>
      <c r="M1327" s="7" t="inlineStr">
        <is>
          <t>g/kg</t>
        </is>
      </c>
      <c r="N1327" s="7" t="inlineStr">
        <is>
          <t>Registro de Produto Técnico MAPA</t>
        </is>
      </c>
    </row>
    <row r="1328" ht="22" customHeight="1">
      <c r="A1328" s="12" t="inlineStr">
        <is>
          <t>CMP-1324</t>
        </is>
      </c>
      <c r="B1328" s="11" t="n">
        <v>1008</v>
      </c>
      <c r="C1328" s="13" t="inlineStr">
        <is>
          <t>TC00921</t>
        </is>
      </c>
      <c r="D1328" s="14" t="inlineStr">
        <is>
          <t>MESOTRIONE TÉCNICO ALBAUGH BN</t>
        </is>
      </c>
      <c r="E1328" s="11" t="n">
        <v>1</v>
      </c>
      <c r="F1328" s="13" t="inlineStr">
        <is>
          <t>Ingrediente Ativo Grau Técnico</t>
        </is>
      </c>
      <c r="G1328" s="13" t="inlineStr">
        <is>
          <t>MESOTRIONA TÉCNICO</t>
        </is>
      </c>
      <c r="H1328" s="13" t="inlineStr">
        <is>
          <t>2-(4-mesyl-2-nitrobenzoyl)cyclohexane-1,3-dione</t>
        </is>
      </c>
      <c r="I1328" s="13" t="inlineStr">
        <is>
          <t>Tricetona</t>
        </is>
      </c>
      <c r="J1328" s="13" t="inlineStr">
        <is>
          <t>HRAC Grupo F2 (27) — Inibidores da HPPD</t>
        </is>
      </c>
      <c r="K1328" s="13" t="inlineStr">
        <is>
          <t>Inibição da enzima 4-hidroxifenilpiruvato dioxigenase (HPPD)</t>
        </is>
      </c>
      <c r="L1328" s="15" t="n">
        <v>960</v>
      </c>
      <c r="M1328" s="13" t="inlineStr">
        <is>
          <t>g/kg</t>
        </is>
      </c>
      <c r="N1328" s="13" t="inlineStr">
        <is>
          <t>Registro de Produto Técnico MAPA</t>
        </is>
      </c>
    </row>
    <row r="1329" ht="22" customHeight="1">
      <c r="A1329" s="6" t="inlineStr">
        <is>
          <t>CMP-1325</t>
        </is>
      </c>
      <c r="B1329" s="5" t="n">
        <v>1009</v>
      </c>
      <c r="C1329" s="7" t="inlineStr">
        <is>
          <t>Nº 44024</t>
        </is>
      </c>
      <c r="D1329" s="8" t="inlineStr">
        <is>
          <t>BIOFOLL DUO</t>
        </is>
      </c>
      <c r="E1329" s="5" t="n">
        <v>1</v>
      </c>
      <c r="F1329" s="7" t="inlineStr">
        <is>
          <t>Agente Biológico / Cepa</t>
        </is>
      </c>
      <c r="G1329" s="7" t="inlineStr">
        <is>
          <t>BEAUVERIA BASSIANA IBCB 66</t>
        </is>
      </c>
      <c r="H1329" s="7" t="inlineStr">
        <is>
          <t>Fungo entomopatogênico Beauveria bassiana (Isolado IBCB 66)</t>
        </is>
      </c>
      <c r="I1329" s="7" t="inlineStr">
        <is>
          <t>Agente Microbiológico de Controle (Fungo Entomopatogênico)</t>
        </is>
      </c>
      <c r="J1329" s="7" t="inlineStr">
        <is>
          <t>IRAC Grupo UNF — Biológico Multissítio</t>
        </is>
      </c>
      <c r="K1329" s="7" t="inlineStr">
        <is>
          <t>Infecção tegumentar por conídios, penetração enzimática e colonização da hemocele</t>
        </is>
      </c>
      <c r="L1329" s="9" t="n">
        <v>100</v>
      </c>
      <c r="M1329" s="7" t="inlineStr">
        <is>
          <t>g/L</t>
        </is>
      </c>
      <c r="N1329" s="7" t="inlineStr">
        <is>
          <t>Registro Técnico Vinculado MAPA</t>
        </is>
      </c>
    </row>
    <row r="1330" ht="22" customHeight="1">
      <c r="A1330" s="12" t="inlineStr">
        <is>
          <t>CMP-1326</t>
        </is>
      </c>
      <c r="B1330" s="11" t="n">
        <v>1010</v>
      </c>
      <c r="C1330" s="13" t="inlineStr">
        <is>
          <t>Nº 44024</t>
        </is>
      </c>
      <c r="D1330" s="14" t="inlineStr">
        <is>
          <t>CROPBIO BIOKILLER</t>
        </is>
      </c>
      <c r="E1330" s="11" t="n">
        <v>1</v>
      </c>
      <c r="F1330" s="13" t="inlineStr">
        <is>
          <t>Agente Biológico / Cepa</t>
        </is>
      </c>
      <c r="G1330" s="13" t="inlineStr">
        <is>
          <t>BEAUVERIA BASSIANA IBCB 66</t>
        </is>
      </c>
      <c r="H1330" s="13" t="inlineStr">
        <is>
          <t>Fungo entomopatogênico Beauveria bassiana (Isolado IBCB 66)</t>
        </is>
      </c>
      <c r="I1330" s="13" t="inlineStr">
        <is>
          <t>Agente Microbiológico de Controle (Fungo Entomopatogênico)</t>
        </is>
      </c>
      <c r="J1330" s="13" t="inlineStr">
        <is>
          <t>IRAC Grupo UNF — Biológico Multissítio</t>
        </is>
      </c>
      <c r="K1330" s="13" t="inlineStr">
        <is>
          <t>Infecção tegumentar por conídios, penetração enzimática e colonização da hemocele</t>
        </is>
      </c>
      <c r="L1330" s="15" t="n">
        <v>100</v>
      </c>
      <c r="M1330" s="13" t="inlineStr">
        <is>
          <t>g/kg</t>
        </is>
      </c>
      <c r="N1330" s="13" t="inlineStr">
        <is>
          <t>Registro Técnico Vinculado MAPA</t>
        </is>
      </c>
    </row>
    <row r="1331" ht="22" customHeight="1">
      <c r="A1331" s="6" t="inlineStr">
        <is>
          <t>CMP-1327</t>
        </is>
      </c>
      <c r="B1331" s="5" t="n">
        <v>1011</v>
      </c>
      <c r="C1331" s="7" t="inlineStr">
        <is>
          <t>Nº 44024</t>
        </is>
      </c>
      <c r="D1331" s="8" t="inlineStr">
        <is>
          <t>BIOTOP DUO</t>
        </is>
      </c>
      <c r="E1331" s="5" t="n">
        <v>1</v>
      </c>
      <c r="F1331" s="7" t="inlineStr">
        <is>
          <t>Agente Biológico / Cepa</t>
        </is>
      </c>
      <c r="G1331" s="7" t="inlineStr">
        <is>
          <t>BEAUVERIA BASSIANA IBCB 66</t>
        </is>
      </c>
      <c r="H1331" s="7" t="inlineStr">
        <is>
          <t>Fungo entomopatogênico Beauveria bassiana (Isolado IBCB 66)</t>
        </is>
      </c>
      <c r="I1331" s="7" t="inlineStr">
        <is>
          <t>Agente Microbiológico de Controle (Fungo Entomopatogênico)</t>
        </is>
      </c>
      <c r="J1331" s="7" t="inlineStr">
        <is>
          <t>IRAC Grupo UNF — Biológico Multissítio</t>
        </is>
      </c>
      <c r="K1331" s="7" t="inlineStr">
        <is>
          <t>Infecção tegumentar por conídios, penetração enzimática e colonização da hemocele</t>
        </is>
      </c>
      <c r="L1331" s="9" t="n">
        <v>100</v>
      </c>
      <c r="M1331" s="7" t="inlineStr">
        <is>
          <t>g/kg</t>
        </is>
      </c>
      <c r="N1331" s="7" t="inlineStr">
        <is>
          <t>Registro Técnico Vinculado MAPA</t>
        </is>
      </c>
    </row>
    <row r="1332" ht="22" customHeight="1">
      <c r="A1332" s="12" t="inlineStr">
        <is>
          <t>CMP-1328</t>
        </is>
      </c>
      <c r="B1332" s="11" t="n">
        <v>1012</v>
      </c>
      <c r="C1332" s="13" t="inlineStr">
        <is>
          <t>Nº 44024</t>
        </is>
      </c>
      <c r="D1332" s="14" t="inlineStr">
        <is>
          <t>INSECTA BM</t>
        </is>
      </c>
      <c r="E1332" s="11" t="n">
        <v>1</v>
      </c>
      <c r="F1332" s="13" t="inlineStr">
        <is>
          <t>Agente Biológico / Cepa</t>
        </is>
      </c>
      <c r="G1332" s="13" t="inlineStr">
        <is>
          <t>BEAUVERIA BASSIANA IBCB 66</t>
        </is>
      </c>
      <c r="H1332" s="13" t="inlineStr">
        <is>
          <t>Fungo entomopatogênico Beauveria bassiana (Isolado IBCB 66)</t>
        </is>
      </c>
      <c r="I1332" s="13" t="inlineStr">
        <is>
          <t>Agente Microbiológico de Controle (Fungo Entomopatogênico)</t>
        </is>
      </c>
      <c r="J1332" s="13" t="inlineStr">
        <is>
          <t>IRAC Grupo UNF — Biológico Multissítio</t>
        </is>
      </c>
      <c r="K1332" s="13" t="inlineStr">
        <is>
          <t>Infecção tegumentar por conídios, penetração enzimática e colonização da hemocele</t>
        </is>
      </c>
      <c r="L1332" s="15" t="n">
        <v>100</v>
      </c>
      <c r="M1332" s="13" t="inlineStr">
        <is>
          <t>g/kg</t>
        </is>
      </c>
      <c r="N1332" s="13" t="inlineStr">
        <is>
          <t>Registro Técnico Vinculado MAPA</t>
        </is>
      </c>
    </row>
    <row r="1333" ht="22" customHeight="1">
      <c r="A1333" s="6" t="inlineStr">
        <is>
          <t>CMP-1329</t>
        </is>
      </c>
      <c r="B1333" s="5" t="n">
        <v>1013</v>
      </c>
      <c r="C1333" s="7" t="inlineStr">
        <is>
          <t>Nº 44024</t>
        </is>
      </c>
      <c r="D1333" s="8" t="inlineStr">
        <is>
          <t>BOWE</t>
        </is>
      </c>
      <c r="E1333" s="5" t="n">
        <v>1</v>
      </c>
      <c r="F1333" s="7" t="inlineStr">
        <is>
          <t>Agente Biológico / Cepa</t>
        </is>
      </c>
      <c r="G1333" s="7" t="inlineStr">
        <is>
          <t>BEAUVERIA BASSIANA IBCB 66</t>
        </is>
      </c>
      <c r="H1333" s="7" t="inlineStr">
        <is>
          <t>Fungo entomopatogênico Beauveria bassiana (Isolado IBCB 66)</t>
        </is>
      </c>
      <c r="I1333" s="7" t="inlineStr">
        <is>
          <t>Agente Microbiológico de Controle (Fungo Entomopatogênico)</t>
        </is>
      </c>
      <c r="J1333" s="7" t="inlineStr">
        <is>
          <t>IRAC Grupo UNF — Biológico Multissítio</t>
        </is>
      </c>
      <c r="K1333" s="7" t="inlineStr">
        <is>
          <t>Infecção tegumentar por conídios, penetração enzimática e colonização da hemocele</t>
        </is>
      </c>
      <c r="L1333" s="9" t="n">
        <v>100</v>
      </c>
      <c r="M1333" s="7" t="inlineStr">
        <is>
          <t>g/kg</t>
        </is>
      </c>
      <c r="N1333" s="7" t="inlineStr">
        <is>
          <t>Registro Técnico Vinculado MAPA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50" customWidth="1" min="4" max="4"/>
    <col width="46" customWidth="1" min="5" max="5"/>
    <col width="43" customWidth="1" min="6" max="6"/>
    <col width="50" customWidth="1" min="7" max="7"/>
    <col width="38" customWidth="1" min="8" max="8"/>
    <col width="34" customWidth="1" min="9" max="9"/>
    <col width="44" customWidth="1" min="10" max="10"/>
    <col width="50" customWidth="1" min="11" max="11"/>
    <col width="18" customWidth="1" min="12" max="12"/>
    <col width="40" customWidth="1" min="13" max="13"/>
  </cols>
  <sheetData>
    <row r="1" ht="30" customHeight="1">
      <c r="A1" s="1" t="inlineStr">
        <is>
          <t>4. EMPRESAS PARTICIPANTES DA CADEIA REGULATÓRIA E FABRIL EM LINHAS (1 EMPRESA / PLANTA POR LINHA) — [BASE OFICIAL SANEADA E CORRIGIDA CONFORME BULAS MAPA / ANVISA / SIPEAGRO]</t>
        </is>
      </c>
    </row>
    <row r="2" ht="20" customHeight="1">
      <c r="A2" s="2" t="inlineStr">
        <is>
          <t>Titulares, Fabricantes de Produto Técnico, Formuladores, Importadores e Manipuladores de todos os produtos distribuídos em linhas individuais na coluna padrão 'Papel na Cadeia'. | Total de Registros: 1216</t>
        </is>
      </c>
    </row>
    <row r="3" ht="8" customHeight="1"/>
    <row r="4" ht="26" customHeight="1">
      <c r="A4" s="3" t="inlineStr">
        <is>
          <t>ID Vínculo</t>
        </is>
      </c>
      <c r="B4" s="3" t="inlineStr">
        <is>
          <t>ID Produto Base</t>
        </is>
      </c>
      <c r="C4" s="3" t="inlineStr">
        <is>
          <t>Nº Registro MAPA</t>
        </is>
      </c>
      <c r="D4" s="4" t="inlineStr">
        <is>
          <t>Marca Comercial</t>
        </is>
      </c>
      <c r="E4" s="4" t="inlineStr">
        <is>
          <t>Papel na Cadeia (Coluna Padrão)</t>
        </is>
      </c>
      <c r="F4" s="4" t="inlineStr">
        <is>
          <t>Escopo do Vínculo</t>
        </is>
      </c>
      <c r="G4" s="4" t="inlineStr">
        <is>
          <t>Razão Social da Empresa (1 por Linha)</t>
        </is>
      </c>
      <c r="H4" s="4" t="inlineStr">
        <is>
          <t>Planta / Unidade Operacional</t>
        </is>
      </c>
      <c r="I4" s="4" t="inlineStr">
        <is>
          <t>CNPJ (Brasil) / ID Exterior</t>
        </is>
      </c>
      <c r="J4" s="4" t="inlineStr">
        <is>
          <t>Registro Estadual (CDA/INDEA/ADAPAR/IMA)</t>
        </is>
      </c>
      <c r="K4" s="4" t="inlineStr">
        <is>
          <t>Endereço / Localização Oficial</t>
        </is>
      </c>
      <c r="L4" s="4" t="inlineStr">
        <is>
          <t>País de Origem</t>
        </is>
      </c>
      <c r="M4" s="4" t="inlineStr">
        <is>
          <t>Impacto Fiscal ICMS (CST Origem)</t>
        </is>
      </c>
    </row>
    <row r="5" ht="22" customHeight="1">
      <c r="A5" s="6" t="inlineStr">
        <is>
          <t>EMP-0001</t>
        </is>
      </c>
      <c r="B5" s="5" t="n">
        <v>1</v>
      </c>
      <c r="C5" s="7" t="inlineStr">
        <is>
          <t>Nº 0315</t>
        </is>
      </c>
      <c r="D5" s="8" t="inlineStr">
        <is>
          <t>2-4 D AGCN</t>
        </is>
      </c>
      <c r="E5" s="7" t="inlineStr">
        <is>
          <t>1. Titular do Registro / Produtor</t>
        </is>
      </c>
      <c r="F5" s="7" t="inlineStr">
        <is>
          <t>Produto Formulado Comercial</t>
        </is>
      </c>
      <c r="G5" s="7" t="inlineStr">
        <is>
          <t>Agriconnection</t>
        </is>
      </c>
      <c r="H5" s="7" t="inlineStr">
        <is>
          <t>Matriz / Estabelecimento Principal</t>
        </is>
      </c>
      <c r="I5" s="7" t="inlineStr">
        <is>
          <t>39.496.730/0001-60</t>
        </is>
      </c>
      <c r="J5" s="7" t="inlineStr">
        <is>
          <t>INDEA/MT nº 27326 / CDA/SP nº 4354</t>
        </is>
      </c>
      <c r="K5" s="7" t="inlineStr">
        <is>
          <t>Av. Manoel Genildo de Araujo, 188, Campo Verde/MT / Barueri/SP</t>
        </is>
      </c>
      <c r="L5" s="7" t="inlineStr">
        <is>
          <t>Brasil</t>
        </is>
      </c>
      <c r="M5" s="7" t="inlineStr">
        <is>
          <t>0 - Nacional / 1 - Importação Direta</t>
        </is>
      </c>
    </row>
    <row r="6" ht="22" customHeight="1">
      <c r="A6" s="12" t="inlineStr">
        <is>
          <t>EMP-0002</t>
        </is>
      </c>
      <c r="B6" s="11" t="n">
        <v>2</v>
      </c>
      <c r="C6" s="13" t="inlineStr">
        <is>
          <t>Nº 0315</t>
        </is>
      </c>
      <c r="D6" s="14" t="inlineStr">
        <is>
          <t>AGCN 2,4-D</t>
        </is>
      </c>
      <c r="E6" s="13" t="inlineStr">
        <is>
          <t>1. Titular do Registro / Produtor</t>
        </is>
      </c>
      <c r="F6" s="13" t="inlineStr">
        <is>
          <t>Produto Formulado Comercial</t>
        </is>
      </c>
      <c r="G6" s="13" t="inlineStr">
        <is>
          <t>Agriconnection</t>
        </is>
      </c>
      <c r="H6" s="13" t="inlineStr">
        <is>
          <t>Matriz / Estabelecimento Principal</t>
        </is>
      </c>
      <c r="I6" s="13" t="inlineStr">
        <is>
          <t>39.496.730/0001-60</t>
        </is>
      </c>
      <c r="J6" s="13" t="inlineStr">
        <is>
          <t>INDEA/MT nº 27326 / CDA/SP nº 4354</t>
        </is>
      </c>
      <c r="K6" s="13" t="inlineStr">
        <is>
          <t>Av. Manoel Genildo de Araujo, 188, Campo Verde/MT / Barueri/SP</t>
        </is>
      </c>
      <c r="L6" s="13" t="inlineStr">
        <is>
          <t>Brasil</t>
        </is>
      </c>
      <c r="M6" s="13" t="inlineStr">
        <is>
          <t>0 - Nacional / 1 - Importação Direta</t>
        </is>
      </c>
    </row>
    <row r="7" ht="22" customHeight="1">
      <c r="A7" s="6" t="inlineStr">
        <is>
          <t>EMP-0003</t>
        </is>
      </c>
      <c r="B7" s="5" t="n">
        <v>3</v>
      </c>
      <c r="C7" s="7" t="inlineStr">
        <is>
          <t>Nº 6908</t>
        </is>
      </c>
      <c r="D7" s="8" t="inlineStr">
        <is>
          <t>MIRANT</t>
        </is>
      </c>
      <c r="E7" s="7" t="inlineStr">
        <is>
          <t>1. Titular do Registro / Produtor</t>
        </is>
      </c>
      <c r="F7" s="7" t="inlineStr">
        <is>
          <t>Produto Formulado Comercial</t>
        </is>
      </c>
      <c r="G7" s="7" t="inlineStr">
        <is>
          <t>Iharabras S.A. Indústrias Químicas</t>
        </is>
      </c>
      <c r="H7" s="7" t="inlineStr">
        <is>
          <t>Matriz / Estabelecimento Principal</t>
        </is>
      </c>
      <c r="I7" s="7" t="inlineStr">
        <is>
          <t>CNPJ Credenciado MAPA/SIPEAGRO</t>
        </is>
      </c>
      <c r="J7" s="7" t="inlineStr">
        <is>
          <t>Registro Estadual Vigente</t>
        </is>
      </c>
      <c r="K7" s="7" t="inlineStr">
        <is>
          <t>Estabelecimento Credenciado no Brasil</t>
        </is>
      </c>
      <c r="L7" s="7" t="inlineStr">
        <is>
          <t>Brasil</t>
        </is>
      </c>
      <c r="M7" s="7" t="inlineStr">
        <is>
          <t>0 - Nacional / 1 - Importação Direta</t>
        </is>
      </c>
    </row>
    <row r="8" ht="22" customHeight="1">
      <c r="A8" s="12" t="inlineStr">
        <is>
          <t>EMP-0004</t>
        </is>
      </c>
      <c r="B8" s="11" t="n">
        <v>4</v>
      </c>
      <c r="C8" s="13" t="inlineStr">
        <is>
          <t>Nº 2704</t>
        </is>
      </c>
      <c r="D8" s="14" t="inlineStr">
        <is>
          <t>U 46 PRIME</t>
        </is>
      </c>
      <c r="E8" s="13" t="inlineStr">
        <is>
          <t>1. Titular do Registro / Produtor</t>
        </is>
      </c>
      <c r="F8" s="13" t="inlineStr">
        <is>
          <t>Produto Formulado Comercial</t>
        </is>
      </c>
      <c r="G8" s="13" t="inlineStr">
        <is>
          <t>Sumitomo Chemical</t>
        </is>
      </c>
      <c r="H8" s="13" t="inlineStr">
        <is>
          <t>Matriz / Estabelecimento Principal</t>
        </is>
      </c>
      <c r="I8" s="13" t="inlineStr">
        <is>
          <t>CNPJ Credenciado MAPA/SIPEAGRO</t>
        </is>
      </c>
      <c r="J8" s="13" t="inlineStr">
        <is>
          <t>Registro Estadual Vigente</t>
        </is>
      </c>
      <c r="K8" s="13" t="inlineStr">
        <is>
          <t>Estabelecimento Credenciado no Brasil</t>
        </is>
      </c>
      <c r="L8" s="13" t="inlineStr">
        <is>
          <t>Brasil</t>
        </is>
      </c>
      <c r="M8" s="13" t="inlineStr">
        <is>
          <t>0 - Nacional / 1 - Importação Direta</t>
        </is>
      </c>
    </row>
    <row r="9" ht="22" customHeight="1">
      <c r="A9" s="6" t="inlineStr">
        <is>
          <t>EMP-0005</t>
        </is>
      </c>
      <c r="B9" s="5" t="n">
        <v>5</v>
      </c>
      <c r="C9" s="7" t="inlineStr">
        <is>
          <t>Nº 19917</t>
        </is>
      </c>
      <c r="D9" s="8" t="inlineStr">
        <is>
          <t>ABADIN 72 EC</t>
        </is>
      </c>
      <c r="E9" s="7" t="inlineStr">
        <is>
          <t>1. Titular do Registro / Produtor</t>
        </is>
      </c>
      <c r="F9" s="7" t="inlineStr">
        <is>
          <t>Produto Formulado Comercial</t>
        </is>
      </c>
      <c r="G9" s="7" t="inlineStr">
        <is>
          <t>CropChem</t>
        </is>
      </c>
      <c r="H9" s="7" t="inlineStr">
        <is>
          <t>Matriz / Estabelecimento Principal</t>
        </is>
      </c>
      <c r="I9" s="7" t="inlineStr">
        <is>
          <t>CNPJ Credenciado MAPA/SIPEAGRO</t>
        </is>
      </c>
      <c r="J9" s="7" t="inlineStr">
        <is>
          <t>Registro Estadual Vigente</t>
        </is>
      </c>
      <c r="K9" s="7" t="inlineStr">
        <is>
          <t>Estabelecimento Credenciado no Brasil</t>
        </is>
      </c>
      <c r="L9" s="7" t="inlineStr">
        <is>
          <t>Brasil</t>
        </is>
      </c>
      <c r="M9" s="7" t="inlineStr">
        <is>
          <t>0 - Nacional / 1 - Importação Direta</t>
        </is>
      </c>
    </row>
    <row r="10" ht="22" customHeight="1">
      <c r="A10" s="12" t="inlineStr">
        <is>
          <t>EMP-0006</t>
        </is>
      </c>
      <c r="B10" s="11" t="n">
        <v>6</v>
      </c>
      <c r="C10" s="13" t="inlineStr">
        <is>
          <t>Nº 1378704</t>
        </is>
      </c>
      <c r="D10" s="14" t="inlineStr">
        <is>
          <t>ACEFATO 750</t>
        </is>
      </c>
      <c r="E10" s="13" t="inlineStr">
        <is>
          <t>1. Titular do Registro / Produtor</t>
        </is>
      </c>
      <c r="F10" s="13" t="inlineStr">
        <is>
          <t>Produto Formulado Comercial</t>
        </is>
      </c>
      <c r="G10" s="13" t="inlineStr">
        <is>
          <t>Sipcam Nichino Brasil S.A.</t>
        </is>
      </c>
      <c r="H10" s="13" t="inlineStr">
        <is>
          <t>Matriz / Estabelecimento Principal</t>
        </is>
      </c>
      <c r="I10" s="13" t="inlineStr">
        <is>
          <t>CNPJ Credenciado MAPA/SIPEAGRO</t>
        </is>
      </c>
      <c r="J10" s="13" t="inlineStr">
        <is>
          <t>Registro Estadual Vigente</t>
        </is>
      </c>
      <c r="K10" s="13" t="inlineStr">
        <is>
          <t>Estabelecimento Credenciado no Brasil</t>
        </is>
      </c>
      <c r="L10" s="13" t="inlineStr">
        <is>
          <t>Brasil</t>
        </is>
      </c>
      <c r="M10" s="13" t="inlineStr">
        <is>
          <t>0 - Nacional / 1 - Importação Direta</t>
        </is>
      </c>
    </row>
    <row r="11" ht="22" customHeight="1">
      <c r="A11" s="6" t="inlineStr">
        <is>
          <t>EMP-0007</t>
        </is>
      </c>
      <c r="B11" s="5" t="n">
        <v>7</v>
      </c>
      <c r="C11" s="7" t="inlineStr">
        <is>
          <t>Nº 458294</t>
        </is>
      </c>
      <c r="D11" s="8" t="inlineStr">
        <is>
          <t>ACEFATO FERSOL 750</t>
        </is>
      </c>
      <c r="E11" s="7" t="inlineStr">
        <is>
          <t>1. Titular do Registro / Produtor</t>
        </is>
      </c>
      <c r="F11" s="7" t="inlineStr">
        <is>
          <t>Produto Formulado Comercial</t>
        </is>
      </c>
      <c r="G11" s="7" t="inlineStr">
        <is>
          <t>AMERIBRAS INDUSTRIA E COMERCIO LTDA</t>
        </is>
      </c>
      <c r="H11" s="7" t="inlineStr">
        <is>
          <t>Matriz / Estabelecimento Principal</t>
        </is>
      </c>
      <c r="I11" s="7" t="inlineStr">
        <is>
          <t>CNPJ Credenciado MAPA/SIPEAGRO</t>
        </is>
      </c>
      <c r="J11" s="7" t="inlineStr">
        <is>
          <t>Registro Estadual Vigente</t>
        </is>
      </c>
      <c r="K11" s="7" t="inlineStr">
        <is>
          <t>Estabelecimento Credenciado no Brasil</t>
        </is>
      </c>
      <c r="L11" s="7" t="inlineStr">
        <is>
          <t>Brasil</t>
        </is>
      </c>
      <c r="M11" s="7" t="inlineStr">
        <is>
          <t>0 - Nacional / 1 - Importação Direta</t>
        </is>
      </c>
    </row>
    <row r="12" ht="22" customHeight="1">
      <c r="A12" s="12" t="inlineStr">
        <is>
          <t>EMP-0008</t>
        </is>
      </c>
      <c r="B12" s="11" t="n">
        <v>8</v>
      </c>
      <c r="C12" s="13" t="inlineStr">
        <is>
          <t>Nº 20817</t>
        </is>
      </c>
      <c r="D12" s="14" t="inlineStr">
        <is>
          <t>TRISHUL 750 SP</t>
        </is>
      </c>
      <c r="E12" s="13" t="inlineStr">
        <is>
          <t>1. Titular do Registro / Produtor</t>
        </is>
      </c>
      <c r="F12" s="13" t="inlineStr">
        <is>
          <t>Produto Formulado Comercial</t>
        </is>
      </c>
      <c r="G12" s="13" t="inlineStr">
        <is>
          <t>Sharda do Brasil</t>
        </is>
      </c>
      <c r="H12" s="13" t="inlineStr">
        <is>
          <t>Matriz / Estabelecimento Principal</t>
        </is>
      </c>
      <c r="I12" s="13" t="inlineStr">
        <is>
          <t>CNPJ Credenciado MAPA/SIPEAGRO</t>
        </is>
      </c>
      <c r="J12" s="13" t="inlineStr">
        <is>
          <t>Registro Estadual Vigente</t>
        </is>
      </c>
      <c r="K12" s="13" t="inlineStr">
        <is>
          <t>Estabelecimento Credenciado no Brasil</t>
        </is>
      </c>
      <c r="L12" s="13" t="inlineStr">
        <is>
          <t>Brasil</t>
        </is>
      </c>
      <c r="M12" s="13" t="inlineStr">
        <is>
          <t>0 - Nacional / 1 - Importação Direta</t>
        </is>
      </c>
    </row>
    <row r="13" ht="22" customHeight="1">
      <c r="A13" s="6" t="inlineStr">
        <is>
          <t>EMP-0009</t>
        </is>
      </c>
      <c r="B13" s="5" t="n">
        <v>9</v>
      </c>
      <c r="C13" s="7" t="inlineStr">
        <is>
          <t>Nº 1378704</t>
        </is>
      </c>
      <c r="D13" s="8" t="inlineStr">
        <is>
          <t>CEFANOL</t>
        </is>
      </c>
      <c r="E13" s="7" t="inlineStr">
        <is>
          <t>1. Titular do Registro / Produtor</t>
        </is>
      </c>
      <c r="F13" s="7" t="inlineStr">
        <is>
          <t>Produto Formulado Comercial</t>
        </is>
      </c>
      <c r="G13" s="7" t="inlineStr">
        <is>
          <t>Sipcam Nichino Brasil S.A.</t>
        </is>
      </c>
      <c r="H13" s="7" t="inlineStr">
        <is>
          <t>Matriz / Estabelecimento Principal</t>
        </is>
      </c>
      <c r="I13" s="7" t="inlineStr">
        <is>
          <t>CNPJ Credenciado MAPA/SIPEAGRO</t>
        </is>
      </c>
      <c r="J13" s="7" t="inlineStr">
        <is>
          <t>Registro Estadual Vigente</t>
        </is>
      </c>
      <c r="K13" s="7" t="inlineStr">
        <is>
          <t>Estabelecimento Credenciado no Brasil</t>
        </is>
      </c>
      <c r="L13" s="7" t="inlineStr">
        <is>
          <t>Brasil</t>
        </is>
      </c>
      <c r="M13" s="7" t="inlineStr">
        <is>
          <t>0 - Nacional / 1 - Importação Direta</t>
        </is>
      </c>
    </row>
    <row r="14" ht="22" customHeight="1">
      <c r="A14" s="12" t="inlineStr">
        <is>
          <t>EMP-0010</t>
        </is>
      </c>
      <c r="B14" s="11" t="n">
        <v>10</v>
      </c>
      <c r="C14" s="13" t="inlineStr">
        <is>
          <t>Nº 23121</t>
        </is>
      </c>
      <c r="D14" s="14" t="inlineStr">
        <is>
          <t>ASLAN SL</t>
        </is>
      </c>
      <c r="E14" s="13" t="inlineStr">
        <is>
          <t>1. Titular do Registro / Produtor</t>
        </is>
      </c>
      <c r="F14" s="13" t="inlineStr">
        <is>
          <t>Produto Formulado Comercial</t>
        </is>
      </c>
      <c r="G14" s="13" t="inlineStr">
        <is>
          <t>CropChem</t>
        </is>
      </c>
      <c r="H14" s="13" t="inlineStr">
        <is>
          <t>Matriz / Estabelecimento Principal</t>
        </is>
      </c>
      <c r="I14" s="13" t="inlineStr">
        <is>
          <t>CNPJ Credenciado MAPA/SIPEAGRO</t>
        </is>
      </c>
      <c r="J14" s="13" t="inlineStr">
        <is>
          <t>Registro Estadual Vigente</t>
        </is>
      </c>
      <c r="K14" s="13" t="inlineStr">
        <is>
          <t>Estabelecimento Credenciado no Brasil</t>
        </is>
      </c>
      <c r="L14" s="13" t="inlineStr">
        <is>
          <t>Brasil</t>
        </is>
      </c>
      <c r="M14" s="13" t="inlineStr">
        <is>
          <t>0 - Nacional / 1 - Importação Direta</t>
        </is>
      </c>
    </row>
    <row r="15" ht="22" customHeight="1">
      <c r="A15" s="6" t="inlineStr">
        <is>
          <t>EMP-0011</t>
        </is>
      </c>
      <c r="B15" s="5" t="n">
        <v>11</v>
      </c>
      <c r="C15" s="7" t="inlineStr">
        <is>
          <t>Nº 26718</t>
        </is>
      </c>
      <c r="D15" s="8" t="inlineStr">
        <is>
          <t>DINKY</t>
        </is>
      </c>
      <c r="E15" s="7" t="inlineStr">
        <is>
          <t>1. Titular do Registro / Produtor</t>
        </is>
      </c>
      <c r="F15" s="7" t="inlineStr">
        <is>
          <t>Produto Formulado Comercial</t>
        </is>
      </c>
      <c r="G15" s="7" t="inlineStr">
        <is>
          <t>GLOBACHEM PROTEÇÃO DE CULTIVOS DO BRASIL LTDA.</t>
        </is>
      </c>
      <c r="H15" s="7" t="inlineStr">
        <is>
          <t>Matriz / Estabelecimento Principal</t>
        </is>
      </c>
      <c r="I15" s="7" t="inlineStr">
        <is>
          <t>CNPJ Credenciado MAPA/SIPEAGRO</t>
        </is>
      </c>
      <c r="J15" s="7" t="inlineStr">
        <is>
          <t>Registro Estadual Vigente</t>
        </is>
      </c>
      <c r="K15" s="7" t="inlineStr">
        <is>
          <t>Estabelecimento Credenciado no Brasil</t>
        </is>
      </c>
      <c r="L15" s="7" t="inlineStr">
        <is>
          <t>Brasil</t>
        </is>
      </c>
      <c r="M15" s="7" t="inlineStr">
        <is>
          <t>0 - Nacional / 1 - Importação Direta</t>
        </is>
      </c>
    </row>
    <row r="16" ht="22" customHeight="1">
      <c r="A16" s="12" t="inlineStr">
        <is>
          <t>EMP-0012</t>
        </is>
      </c>
      <c r="B16" s="11" t="n">
        <v>12</v>
      </c>
      <c r="C16" s="13" t="inlineStr">
        <is>
          <t>Nº 11018</t>
        </is>
      </c>
      <c r="D16" s="14" t="inlineStr">
        <is>
          <t>JAVA 200 SP</t>
        </is>
      </c>
      <c r="E16" s="13" t="inlineStr">
        <is>
          <t>1. Titular do Registro / Produtor</t>
        </is>
      </c>
      <c r="F16" s="13" t="inlineStr">
        <is>
          <t>Produto Formulado Comercial</t>
        </is>
      </c>
      <c r="G16" s="13" t="inlineStr">
        <is>
          <t>CROPCHEM LTDA.</t>
        </is>
      </c>
      <c r="H16" s="13" t="inlineStr">
        <is>
          <t>Matriz / Estabelecimento Principal</t>
        </is>
      </c>
      <c r="I16" s="13" t="inlineStr">
        <is>
          <t>CNPJ Credenciado MAPA/SIPEAGRO</t>
        </is>
      </c>
      <c r="J16" s="13" t="inlineStr">
        <is>
          <t>Registro Estadual Vigente</t>
        </is>
      </c>
      <c r="K16" s="13" t="inlineStr">
        <is>
          <t>Estabelecimento Credenciado no Brasil</t>
        </is>
      </c>
      <c r="L16" s="13" t="inlineStr">
        <is>
          <t>Brasil</t>
        </is>
      </c>
      <c r="M16" s="13" t="inlineStr">
        <is>
          <t>0 - Nacional / 1 - Importação Direta</t>
        </is>
      </c>
    </row>
    <row r="17" ht="22" customHeight="1">
      <c r="A17" s="6" t="inlineStr">
        <is>
          <t>EMP-0013</t>
        </is>
      </c>
      <c r="B17" s="5" t="n">
        <v>13</v>
      </c>
      <c r="C17" s="7" t="inlineStr">
        <is>
          <t>Nº 28017</t>
        </is>
      </c>
      <c r="D17" s="8" t="inlineStr">
        <is>
          <t>RODOLIA 200 SP</t>
        </is>
      </c>
      <c r="E17" s="7" t="inlineStr">
        <is>
          <t>1. Titular do Registro / Produtor</t>
        </is>
      </c>
      <c r="F17" s="7" t="inlineStr">
        <is>
          <t>Produto Formulado Comercial</t>
        </is>
      </c>
      <c r="G17" s="7" t="inlineStr">
        <is>
          <t>ALLIERBRASIL AGRO LTDA.</t>
        </is>
      </c>
      <c r="H17" s="7" t="inlineStr">
        <is>
          <t>Matriz / Estabelecimento Principal</t>
        </is>
      </c>
      <c r="I17" s="7" t="inlineStr">
        <is>
          <t>CNPJ Credenciado MAPA/SIPEAGRO</t>
        </is>
      </c>
      <c r="J17" s="7" t="inlineStr">
        <is>
          <t>Registro Estadual Vigente</t>
        </is>
      </c>
      <c r="K17" s="7" t="inlineStr">
        <is>
          <t>Estabelecimento Credenciado no Brasil</t>
        </is>
      </c>
      <c r="L17" s="7" t="inlineStr">
        <is>
          <t>Brasil</t>
        </is>
      </c>
      <c r="M17" s="7" t="inlineStr">
        <is>
          <t>0 - Nacional / 1 - Importação Direta</t>
        </is>
      </c>
    </row>
    <row r="18" ht="22" customHeight="1">
      <c r="A18" s="12" t="inlineStr">
        <is>
          <t>EMP-0014</t>
        </is>
      </c>
      <c r="B18" s="11" t="n">
        <v>14</v>
      </c>
      <c r="C18" s="13" t="inlineStr">
        <is>
          <t>ISENTO (ATO 104/2017)</t>
        </is>
      </c>
      <c r="D18" s="14" t="inlineStr">
        <is>
          <t>AGCN SAFE AIR</t>
        </is>
      </c>
      <c r="E18" s="13" t="inlineStr">
        <is>
          <t>1. Titular do Registro / Produtor</t>
        </is>
      </c>
      <c r="F18" s="13" t="inlineStr">
        <is>
          <t>Adjuvante / Espalhante Adesivo</t>
        </is>
      </c>
      <c r="G18" s="13" t="inlineStr">
        <is>
          <t>Dispensado de Registro (Ato SDA nº 104/2017)</t>
        </is>
      </c>
      <c r="H18" s="13" t="inlineStr">
        <is>
          <t>Matriz / Estabelecimento Principal</t>
        </is>
      </c>
      <c r="I18" s="13" t="inlineStr">
        <is>
          <t>CNPJ Credenciado MAPA/SIPEAGRO</t>
        </is>
      </c>
      <c r="J18" s="13" t="inlineStr">
        <is>
          <t>Registro Estadual Vigente</t>
        </is>
      </c>
      <c r="K18" s="13" t="inlineStr">
        <is>
          <t>Estabelecimento Credenciado no Brasil</t>
        </is>
      </c>
      <c r="L18" s="13" t="inlineStr">
        <is>
          <t>Brasil</t>
        </is>
      </c>
      <c r="M18" s="13" t="inlineStr">
        <is>
          <t>0 - Nacional / 1 - Importação Direta</t>
        </is>
      </c>
    </row>
    <row r="19" ht="22" customHeight="1">
      <c r="A19" s="6" t="inlineStr">
        <is>
          <t>EMP-0015</t>
        </is>
      </c>
      <c r="B19" s="5" t="n">
        <v>15</v>
      </c>
      <c r="C19" s="7" t="inlineStr">
        <is>
          <t>ISENTO (ATO 104/2017)</t>
        </is>
      </c>
      <c r="D19" s="8" t="inlineStr">
        <is>
          <t>AGCN SAFE DESSEK</t>
        </is>
      </c>
      <c r="E19" s="7" t="inlineStr">
        <is>
          <t>1. Titular do Registro / Produtor</t>
        </is>
      </c>
      <c r="F19" s="7" t="inlineStr">
        <is>
          <t>Adjuvante / Espalhante Adesivo</t>
        </is>
      </c>
      <c r="G19" s="7" t="inlineStr">
        <is>
          <t>Dispensado de Registro (Ato SDA nº 104/2017)</t>
        </is>
      </c>
      <c r="H19" s="7" t="inlineStr">
        <is>
          <t>Matriz / Estabelecimento Principal</t>
        </is>
      </c>
      <c r="I19" s="7" t="inlineStr">
        <is>
          <t>CNPJ Credenciado MAPA/SIPEAGRO</t>
        </is>
      </c>
      <c r="J19" s="7" t="inlineStr">
        <is>
          <t>Registro Estadual Vigente</t>
        </is>
      </c>
      <c r="K19" s="7" t="inlineStr">
        <is>
          <t>Estabelecimento Credenciado no Brasil</t>
        </is>
      </c>
      <c r="L19" s="7" t="inlineStr">
        <is>
          <t>Brasil</t>
        </is>
      </c>
      <c r="M19" s="7" t="inlineStr">
        <is>
          <t>0 - Nacional / 1 - Importação Direta</t>
        </is>
      </c>
    </row>
    <row r="20" ht="22" customHeight="1">
      <c r="A20" s="12" t="inlineStr">
        <is>
          <t>EMP-0016</t>
        </is>
      </c>
      <c r="B20" s="11" t="n">
        <v>16</v>
      </c>
      <c r="C20" s="13" t="inlineStr">
        <is>
          <t>ISENTO (ATO 104/2017)</t>
        </is>
      </c>
      <c r="D20" s="14" t="inlineStr">
        <is>
          <t>AGCN SAFE SPRAY</t>
        </is>
      </c>
      <c r="E20" s="13" t="inlineStr">
        <is>
          <t>1. Titular do Registro / Produtor</t>
        </is>
      </c>
      <c r="F20" s="13" t="inlineStr">
        <is>
          <t>Adjuvante / Espalhante Adesivo</t>
        </is>
      </c>
      <c r="G20" s="13" t="inlineStr">
        <is>
          <t>Dispensado de Registro (Ato SDA nº 104/2017)</t>
        </is>
      </c>
      <c r="H20" s="13" t="inlineStr">
        <is>
          <t>Matriz / Estabelecimento Principal</t>
        </is>
      </c>
      <c r="I20" s="13" t="inlineStr">
        <is>
          <t>CNPJ Credenciado MAPA/SIPEAGRO</t>
        </is>
      </c>
      <c r="J20" s="13" t="inlineStr">
        <is>
          <t>Registro Estadual Vigente</t>
        </is>
      </c>
      <c r="K20" s="13" t="inlineStr">
        <is>
          <t>Estabelecimento Credenciado no Brasil</t>
        </is>
      </c>
      <c r="L20" s="13" t="inlineStr">
        <is>
          <t>Brasil</t>
        </is>
      </c>
      <c r="M20" s="13" t="inlineStr">
        <is>
          <t>0 - Nacional / 1 - Importação Direta</t>
        </is>
      </c>
    </row>
    <row r="21" ht="22" customHeight="1">
      <c r="A21" s="6" t="inlineStr">
        <is>
          <t>EMP-0017</t>
        </is>
      </c>
      <c r="B21" s="5" t="n">
        <v>17</v>
      </c>
      <c r="C21" s="7" t="inlineStr">
        <is>
          <t>SIPEAGRO (UF-XXXXX)</t>
        </is>
      </c>
      <c r="D21" s="8" t="inlineStr">
        <is>
          <t>AGCN SEED</t>
        </is>
      </c>
      <c r="E21" s="7" t="inlineStr">
        <is>
          <t>1. Titular do Registro / Produtor</t>
        </is>
      </c>
      <c r="F21" s="7" t="inlineStr">
        <is>
          <t>Fertilizante Mineral / Organomineral</t>
        </is>
      </c>
      <c r="G21" s="7" t="inlineStr">
        <is>
          <t>Estabelecimento Produtor SIPEAGRO/MAPA</t>
        </is>
      </c>
      <c r="H21" s="7" t="inlineStr">
        <is>
          <t>Matriz / Estabelecimento Principal</t>
        </is>
      </c>
      <c r="I21" s="7" t="inlineStr">
        <is>
          <t>CNPJ Credenciado MAPA/SIPEAGRO</t>
        </is>
      </c>
      <c r="J21" s="7" t="inlineStr">
        <is>
          <t>Registro Estadual Vigente</t>
        </is>
      </c>
      <c r="K21" s="7" t="inlineStr">
        <is>
          <t>Estabelecimento Credenciado no Brasil</t>
        </is>
      </c>
      <c r="L21" s="7" t="inlineStr">
        <is>
          <t>Brasil</t>
        </is>
      </c>
      <c r="M21" s="7" t="inlineStr">
        <is>
          <t>0 - Nacional / 1 - Importação Direta</t>
        </is>
      </c>
    </row>
    <row r="22" ht="22" customHeight="1">
      <c r="A22" s="12" t="inlineStr">
        <is>
          <t>EMP-0018</t>
        </is>
      </c>
      <c r="B22" s="11" t="n">
        <v>18</v>
      </c>
      <c r="C22" s="13" t="inlineStr">
        <is>
          <t>SIPEAGRO (UF-XXXXX)</t>
        </is>
      </c>
      <c r="D22" s="14" t="inlineStr">
        <is>
          <t>AGCN SEED ULTRA</t>
        </is>
      </c>
      <c r="E22" s="13" t="inlineStr">
        <is>
          <t>1. Titular do Registro / Produtor</t>
        </is>
      </c>
      <c r="F22" s="13" t="inlineStr">
        <is>
          <t>Fertilizante Mineral / Organomineral</t>
        </is>
      </c>
      <c r="G22" s="13" t="inlineStr">
        <is>
          <t>Estabelecimento Produtor SIPEAGRO/MAPA</t>
        </is>
      </c>
      <c r="H22" s="13" t="inlineStr">
        <is>
          <t>Matriz / Estabelecimento Principal</t>
        </is>
      </c>
      <c r="I22" s="13" t="inlineStr">
        <is>
          <t>CNPJ Credenciado MAPA/SIPEAGRO</t>
        </is>
      </c>
      <c r="J22" s="13" t="inlineStr">
        <is>
          <t>Registro Estadual Vigente</t>
        </is>
      </c>
      <c r="K22" s="13" t="inlineStr">
        <is>
          <t>Estabelecimento Credenciado no Brasil</t>
        </is>
      </c>
      <c r="L22" s="13" t="inlineStr">
        <is>
          <t>Brasil</t>
        </is>
      </c>
      <c r="M22" s="13" t="inlineStr">
        <is>
          <t>0 - Nacional / 1 - Importação Direta</t>
        </is>
      </c>
    </row>
    <row r="23" ht="22" customHeight="1">
      <c r="A23" s="6" t="inlineStr">
        <is>
          <t>EMP-0019</t>
        </is>
      </c>
      <c r="B23" s="5" t="n">
        <v>19</v>
      </c>
      <c r="C23" s="7" t="inlineStr">
        <is>
          <t>Nº 10018</t>
        </is>
      </c>
      <c r="D23" s="8" t="inlineStr">
        <is>
          <t>ATRAZINA</t>
        </is>
      </c>
      <c r="E23" s="7" t="inlineStr">
        <is>
          <t>1. Titular do Registro / Produtor</t>
        </is>
      </c>
      <c r="F23" s="7" t="inlineStr">
        <is>
          <t>Produto Formulado Comercial</t>
        </is>
      </c>
      <c r="G23" s="7" t="inlineStr">
        <is>
          <t>RAINBOW DEFENSIVOS AGRICOLAS LTDA</t>
        </is>
      </c>
      <c r="H23" s="7" t="inlineStr">
        <is>
          <t>Matriz / Estabelecimento Principal</t>
        </is>
      </c>
      <c r="I23" s="7" t="inlineStr">
        <is>
          <t>10.486.463/0001-69</t>
        </is>
      </c>
      <c r="J23" s="7" t="inlineStr">
        <is>
          <t>SEAPA/RS nº 1928/09</t>
        </is>
      </c>
      <c r="K23" s="7" t="inlineStr">
        <is>
          <t>Estabelecimento Credenciado no Brasil</t>
        </is>
      </c>
      <c r="L23" s="7" t="inlineStr">
        <is>
          <t>Brasil</t>
        </is>
      </c>
      <c r="M23" s="7" t="inlineStr">
        <is>
          <t>0 - Nacional / 1 - Importação Direta</t>
        </is>
      </c>
    </row>
    <row r="24" ht="22" customHeight="1">
      <c r="A24" s="12" t="inlineStr">
        <is>
          <t>EMP-0020</t>
        </is>
      </c>
      <c r="B24" s="11" t="n">
        <v>20</v>
      </c>
      <c r="C24" s="13" t="inlineStr">
        <is>
          <t>Nº 12920</t>
        </is>
      </c>
      <c r="D24" s="14" t="inlineStr">
        <is>
          <t>ATRAZINA 900 WG</t>
        </is>
      </c>
      <c r="E24" s="13" t="inlineStr">
        <is>
          <t>1. Titular do Registro / Produtor</t>
        </is>
      </c>
      <c r="F24" s="13" t="inlineStr">
        <is>
          <t>Produto Formulado Comercial</t>
        </is>
      </c>
      <c r="G24" s="13" t="inlineStr">
        <is>
          <t>CROTECT CROP SCIENCE LTDA</t>
        </is>
      </c>
      <c r="H24" s="13" t="inlineStr">
        <is>
          <t>Matriz / Estabelecimento Principal</t>
        </is>
      </c>
      <c r="I24" s="13" t="inlineStr">
        <is>
          <t>CNPJ Credenciado MAPA/SIPEAGRO</t>
        </is>
      </c>
      <c r="J24" s="13" t="inlineStr">
        <is>
          <t>Registro Estadual Vigente</t>
        </is>
      </c>
      <c r="K24" s="13" t="inlineStr">
        <is>
          <t>Estabelecimento Credenciado no Brasil</t>
        </is>
      </c>
      <c r="L24" s="13" t="inlineStr">
        <is>
          <t>Brasil</t>
        </is>
      </c>
      <c r="M24" s="13" t="inlineStr">
        <is>
          <t>0 - Nacional / 1 - Importação Direta</t>
        </is>
      </c>
    </row>
    <row r="25" ht="22" customHeight="1">
      <c r="A25" s="6" t="inlineStr">
        <is>
          <t>EMP-0021</t>
        </is>
      </c>
      <c r="B25" s="5" t="n">
        <v>21</v>
      </c>
      <c r="C25" s="7" t="inlineStr">
        <is>
          <t>Nº 12920</t>
        </is>
      </c>
      <c r="D25" s="8" t="inlineStr">
        <is>
          <t>ATRAZINA 900 WG</t>
        </is>
      </c>
      <c r="E25" s="7" t="inlineStr">
        <is>
          <t>1. Titular do Registro / Produtor</t>
        </is>
      </c>
      <c r="F25" s="7" t="inlineStr">
        <is>
          <t>Produto Formulado Comercial</t>
        </is>
      </c>
      <c r="G25" s="7" t="inlineStr">
        <is>
          <t>CROTECT CROP SCIENCE LTDA</t>
        </is>
      </c>
      <c r="H25" s="7" t="inlineStr">
        <is>
          <t>Matriz / Estabelecimento Principal</t>
        </is>
      </c>
      <c r="I25" s="7" t="inlineStr">
        <is>
          <t>CNPJ Credenciado MAPA/SIPEAGRO</t>
        </is>
      </c>
      <c r="J25" s="7" t="inlineStr">
        <is>
          <t>Registro Estadual Vigente</t>
        </is>
      </c>
      <c r="K25" s="7" t="inlineStr">
        <is>
          <t>Estabelecimento Credenciado no Brasil</t>
        </is>
      </c>
      <c r="L25" s="7" t="inlineStr">
        <is>
          <t>Brasil</t>
        </is>
      </c>
      <c r="M25" s="7" t="inlineStr">
        <is>
          <t>0 - Nacional / 1 - Importação Direta</t>
        </is>
      </c>
    </row>
    <row r="26" ht="22" customHeight="1">
      <c r="A26" s="12" t="inlineStr">
        <is>
          <t>EMP-0022</t>
        </is>
      </c>
      <c r="B26" s="11" t="n">
        <v>22</v>
      </c>
      <c r="C26" s="13" t="inlineStr">
        <is>
          <t>Nº 5217</t>
        </is>
      </c>
      <c r="D26" s="14" t="inlineStr">
        <is>
          <t>HERBZINA PLUS 900 WG</t>
        </is>
      </c>
      <c r="E26" s="13" t="inlineStr">
        <is>
          <t>1. Titular do Registro</t>
        </is>
      </c>
      <c r="F26" s="13" t="inlineStr">
        <is>
          <t>Produto Formulado Comercial</t>
        </is>
      </c>
      <c r="G26" s="13" t="inlineStr">
        <is>
          <t>Adama</t>
        </is>
      </c>
      <c r="H26" s="13" t="inlineStr">
        <is>
          <t>Estabelecimento Credenciado</t>
        </is>
      </c>
      <c r="I26" s="13" t="inlineStr">
        <is>
          <t>CNPJ Credenciado MAPA</t>
        </is>
      </c>
      <c r="J26" s="13" t="inlineStr">
        <is>
          <t>Registro Estadual Vigente</t>
        </is>
      </c>
      <c r="K26" s="13" t="inlineStr">
        <is>
          <t>Unidade Operacional Brasil</t>
        </is>
      </c>
      <c r="L26" s="13" t="inlineStr">
        <is>
          <t>Brasil</t>
        </is>
      </c>
      <c r="M26" s="13" t="inlineStr">
        <is>
          <t>0/1/2 - Conforme Origem do Lote</t>
        </is>
      </c>
    </row>
    <row r="27" ht="22" customHeight="1">
      <c r="A27" s="6" t="inlineStr">
        <is>
          <t>EMP-0023</t>
        </is>
      </c>
      <c r="B27" s="5" t="n">
        <v>22</v>
      </c>
      <c r="C27" s="7" t="inlineStr">
        <is>
          <t>Nº 5217</t>
        </is>
      </c>
      <c r="D27" s="8" t="inlineStr">
        <is>
          <t>HERBZINA PLUS 900 WG</t>
        </is>
      </c>
      <c r="E27" s="7" t="inlineStr">
        <is>
          <t>3. Formulador / Co-Distribuidor Autorizado</t>
        </is>
      </c>
      <c r="F27" s="7" t="inlineStr">
        <is>
          <t>Produto Formulado Comercial</t>
        </is>
      </c>
      <c r="G27" s="7" t="inlineStr">
        <is>
          <t>Ourofino</t>
        </is>
      </c>
      <c r="H27" s="7" t="inlineStr">
        <is>
          <t>Estabelecimento Credenciado</t>
        </is>
      </c>
      <c r="I27" s="7" t="inlineStr">
        <is>
          <t>CNPJ Credenciado MAPA</t>
        </is>
      </c>
      <c r="J27" s="7" t="inlineStr">
        <is>
          <t>Registro Estadual Vigente</t>
        </is>
      </c>
      <c r="K27" s="7" t="inlineStr">
        <is>
          <t>Unidade Operacional Brasil</t>
        </is>
      </c>
      <c r="L27" s="7" t="inlineStr">
        <is>
          <t>Brasil</t>
        </is>
      </c>
      <c r="M27" s="7" t="inlineStr">
        <is>
          <t>0/1/2 - Conforme Origem do Lote</t>
        </is>
      </c>
    </row>
    <row r="28" ht="22" customHeight="1">
      <c r="A28" s="12" t="inlineStr">
        <is>
          <t>EMP-0024</t>
        </is>
      </c>
      <c r="B28" s="11" t="n">
        <v>23</v>
      </c>
      <c r="C28" s="13" t="inlineStr">
        <is>
          <t>Nº 33217</t>
        </is>
      </c>
      <c r="D28" s="14" t="inlineStr">
        <is>
          <t>PANGA 900 WG</t>
        </is>
      </c>
      <c r="E28" s="13" t="inlineStr">
        <is>
          <t>1. Titular do Registro / Produtor</t>
        </is>
      </c>
      <c r="F28" s="13" t="inlineStr">
        <is>
          <t>Produto Formulado Comercial</t>
        </is>
      </c>
      <c r="G28" s="13" t="inlineStr">
        <is>
          <t>RAINBOW DEFENSIVOS AGRÍCOLAS LTDA.</t>
        </is>
      </c>
      <c r="H28" s="13" t="inlineStr">
        <is>
          <t>Matriz / Estabelecimento Principal</t>
        </is>
      </c>
      <c r="I28" s="13" t="inlineStr">
        <is>
          <t>CNPJ Credenciado MAPA/SIPEAGRO</t>
        </is>
      </c>
      <c r="J28" s="13" t="inlineStr">
        <is>
          <t>Registro Estadual Vigente</t>
        </is>
      </c>
      <c r="K28" s="13" t="inlineStr">
        <is>
          <t>Estabelecimento Credenciado no Brasil</t>
        </is>
      </c>
      <c r="L28" s="13" t="inlineStr">
        <is>
          <t>Brasil</t>
        </is>
      </c>
      <c r="M28" s="13" t="inlineStr">
        <is>
          <t>0 - Nacional / 1 - Importação Direta</t>
        </is>
      </c>
    </row>
    <row r="29" ht="22" customHeight="1">
      <c r="A29" s="6" t="inlineStr">
        <is>
          <t>EMP-0025</t>
        </is>
      </c>
      <c r="B29" s="5" t="n">
        <v>24</v>
      </c>
      <c r="C29" s="7" t="inlineStr">
        <is>
          <t>Nº 22922</t>
        </is>
      </c>
      <c r="D29" s="8" t="inlineStr">
        <is>
          <t>PRILAN DUO</t>
        </is>
      </c>
      <c r="E29" s="7" t="inlineStr">
        <is>
          <t>1. Titular do Registro / Produtor</t>
        </is>
      </c>
      <c r="F29" s="7" t="inlineStr">
        <is>
          <t>Produto Formulado Comercial</t>
        </is>
      </c>
      <c r="G29" s="7" t="inlineStr">
        <is>
          <t>CropChem Ltda.</t>
        </is>
      </c>
      <c r="H29" s="7" t="inlineStr">
        <is>
          <t>Matriz / Estabelecimento Principal</t>
        </is>
      </c>
      <c r="I29" s="7" t="inlineStr">
        <is>
          <t>CNPJ Credenciado MAPA/SIPEAGRO</t>
        </is>
      </c>
      <c r="J29" s="7" t="inlineStr">
        <is>
          <t>Registro Estadual Vigente</t>
        </is>
      </c>
      <c r="K29" s="7" t="inlineStr">
        <is>
          <t>Estabelecimento Credenciado no Brasil</t>
        </is>
      </c>
      <c r="L29" s="7" t="inlineStr">
        <is>
          <t>Brasil</t>
        </is>
      </c>
      <c r="M29" s="7" t="inlineStr">
        <is>
          <t>0 - Nacional / 1 - Importação Direta</t>
        </is>
      </c>
    </row>
    <row r="30" ht="22" customHeight="1">
      <c r="A30" s="12" t="inlineStr">
        <is>
          <t>EMP-0026</t>
        </is>
      </c>
      <c r="B30" s="11" t="n">
        <v>25</v>
      </c>
      <c r="C30" s="13" t="inlineStr">
        <is>
          <t>SIPEAGRO (UF-XXXXX)</t>
        </is>
      </c>
      <c r="D30" s="14" t="inlineStr">
        <is>
          <t>AGCN BORO ULTRA</t>
        </is>
      </c>
      <c r="E30" s="13" t="inlineStr">
        <is>
          <t>1. Titular do Registro / Produtor</t>
        </is>
      </c>
      <c r="F30" s="13" t="inlineStr">
        <is>
          <t>Fertilizante Mineral / Organomineral</t>
        </is>
      </c>
      <c r="G30" s="13" t="inlineStr">
        <is>
          <t>Estabelecimento Produtor SIPEAGRO/MAPA</t>
        </is>
      </c>
      <c r="H30" s="13" t="inlineStr">
        <is>
          <t>Matriz / Estabelecimento Principal</t>
        </is>
      </c>
      <c r="I30" s="13" t="inlineStr">
        <is>
          <t>CNPJ Credenciado MAPA/SIPEAGRO</t>
        </is>
      </c>
      <c r="J30" s="13" t="inlineStr">
        <is>
          <t>Registro Estadual Vigente</t>
        </is>
      </c>
      <c r="K30" s="13" t="inlineStr">
        <is>
          <t>Estabelecimento Credenciado no Brasil</t>
        </is>
      </c>
      <c r="L30" s="13" t="inlineStr">
        <is>
          <t>Brasil</t>
        </is>
      </c>
      <c r="M30" s="13" t="inlineStr">
        <is>
          <t>0 - Nacional / 1 - Importação Direta</t>
        </is>
      </c>
    </row>
    <row r="31" ht="22" customHeight="1">
      <c r="A31" s="6" t="inlineStr">
        <is>
          <t>EMP-0027</t>
        </is>
      </c>
      <c r="B31" s="5" t="n">
        <v>26</v>
      </c>
      <c r="C31" s="7" t="inlineStr">
        <is>
          <t>Nº 44024</t>
        </is>
      </c>
      <c r="D31" s="8" t="inlineStr">
        <is>
          <t>AGCN DUX</t>
        </is>
      </c>
      <c r="E31" s="7" t="inlineStr">
        <is>
          <t>1. Titular do Registro / Produtor</t>
        </is>
      </c>
      <c r="F31" s="7" t="inlineStr">
        <is>
          <t>Produto Formulado Comercial</t>
        </is>
      </c>
      <c r="G31" s="7" t="inlineStr">
        <is>
          <t>Serquibio Biotecnologia Agrícola Ltda. - Santa Bárbara d'Oeste/SP</t>
        </is>
      </c>
      <c r="H31" s="7" t="inlineStr">
        <is>
          <t>Matriz / Estabelecimento Principal</t>
        </is>
      </c>
      <c r="I31" s="7" t="inlineStr">
        <is>
          <t>CNPJ Credenciado MAPA/SIPEAGRO</t>
        </is>
      </c>
      <c r="J31" s="7" t="inlineStr">
        <is>
          <t>Registro Estadual Vigente</t>
        </is>
      </c>
      <c r="K31" s="7" t="inlineStr">
        <is>
          <t>Estabelecimento Credenciado no Brasil</t>
        </is>
      </c>
      <c r="L31" s="7" t="inlineStr">
        <is>
          <t>Brasil</t>
        </is>
      </c>
      <c r="M31" s="7" t="inlineStr">
        <is>
          <t>0 - Nacional / 1 - Importação Direta</t>
        </is>
      </c>
    </row>
    <row r="32" ht="22" customHeight="1">
      <c r="A32" s="12" t="inlineStr">
        <is>
          <t>EMP-0028</t>
        </is>
      </c>
      <c r="B32" s="11" t="n">
        <v>27</v>
      </c>
      <c r="C32" s="13" t="inlineStr">
        <is>
          <t>Nº 24117</t>
        </is>
      </c>
      <c r="D32" s="14" t="inlineStr">
        <is>
          <t>FOX XPRO</t>
        </is>
      </c>
      <c r="E32" s="13" t="inlineStr">
        <is>
          <t>1. Titular do Registro / Produtor</t>
        </is>
      </c>
      <c r="F32" s="13" t="inlineStr">
        <is>
          <t>Produto Formulado Comercial</t>
        </is>
      </c>
      <c r="G32" s="13" t="inlineStr">
        <is>
          <t>Bayer S.A.</t>
        </is>
      </c>
      <c r="H32" s="13" t="inlineStr">
        <is>
          <t>Matriz / Estabelecimento Principal</t>
        </is>
      </c>
      <c r="I32" s="13" t="inlineStr">
        <is>
          <t>CNPJ Credenciado MAPA/SIPEAGRO</t>
        </is>
      </c>
      <c r="J32" s="13" t="inlineStr">
        <is>
          <t>Registro Estadual Vigente</t>
        </is>
      </c>
      <c r="K32" s="13" t="inlineStr">
        <is>
          <t>Estabelecimento Credenciado no Brasil</t>
        </is>
      </c>
      <c r="L32" s="13" t="inlineStr">
        <is>
          <t>Brasil</t>
        </is>
      </c>
      <c r="M32" s="13" t="inlineStr">
        <is>
          <t>0 - Nacional / 1 - Importação Direta</t>
        </is>
      </c>
    </row>
    <row r="33" ht="22" customHeight="1">
      <c r="A33" s="6" t="inlineStr">
        <is>
          <t>EMP-0029</t>
        </is>
      </c>
      <c r="B33" s="5" t="n">
        <v>28</v>
      </c>
      <c r="C33" s="7" t="inlineStr">
        <is>
          <t>SIPEAGRO (UF-XXXXX)</t>
        </is>
      </c>
      <c r="D33" s="8" t="inlineStr">
        <is>
          <t>AGCN BORO</t>
        </is>
      </c>
      <c r="E33" s="7" t="inlineStr">
        <is>
          <t>1. Titular do Registro / Produtor</t>
        </is>
      </c>
      <c r="F33" s="7" t="inlineStr">
        <is>
          <t>Fertilizante Mineral / Organomineral</t>
        </is>
      </c>
      <c r="G33" s="7" t="inlineStr">
        <is>
          <t>Estabelecimento Produtor SIPEAGRO/MAPA</t>
        </is>
      </c>
      <c r="H33" s="7" t="inlineStr">
        <is>
          <t>Matriz / Estabelecimento Principal</t>
        </is>
      </c>
      <c r="I33" s="7" t="inlineStr">
        <is>
          <t>CNPJ Credenciado MAPA/SIPEAGRO</t>
        </is>
      </c>
      <c r="J33" s="7" t="inlineStr">
        <is>
          <t>Registro Estadual Vigente</t>
        </is>
      </c>
      <c r="K33" s="7" t="inlineStr">
        <is>
          <t>Estabelecimento Credenciado no Brasil</t>
        </is>
      </c>
      <c r="L33" s="7" t="inlineStr">
        <is>
          <t>Brasil</t>
        </is>
      </c>
      <c r="M33" s="7" t="inlineStr">
        <is>
          <t>0 - Nacional / 1 - Importação Direta</t>
        </is>
      </c>
    </row>
    <row r="34" ht="22" customHeight="1">
      <c r="A34" s="12" t="inlineStr">
        <is>
          <t>EMP-0030</t>
        </is>
      </c>
      <c r="B34" s="11" t="n">
        <v>29</v>
      </c>
      <c r="C34" s="13" t="inlineStr">
        <is>
          <t>SIPEAGRO (UF-XXXXX)</t>
        </is>
      </c>
      <c r="D34" s="14" t="inlineStr">
        <is>
          <t>AGCN CAB</t>
        </is>
      </c>
      <c r="E34" s="13" t="inlineStr">
        <is>
          <t>1. Titular do Registro / Produtor</t>
        </is>
      </c>
      <c r="F34" s="13" t="inlineStr">
        <is>
          <t>Fertilizante Mineral / Organomineral</t>
        </is>
      </c>
      <c r="G34" s="13" t="inlineStr">
        <is>
          <t>Estabelecimento Produtor SIPEAGRO/MAPA</t>
        </is>
      </c>
      <c r="H34" s="13" t="inlineStr">
        <is>
          <t>Matriz / Estabelecimento Principal</t>
        </is>
      </c>
      <c r="I34" s="13" t="inlineStr">
        <is>
          <t>CNPJ Credenciado MAPA/SIPEAGRO</t>
        </is>
      </c>
      <c r="J34" s="13" t="inlineStr">
        <is>
          <t>Registro Estadual Vigente</t>
        </is>
      </c>
      <c r="K34" s="13" t="inlineStr">
        <is>
          <t>Estabelecimento Credenciado no Brasil</t>
        </is>
      </c>
      <c r="L34" s="13" t="inlineStr">
        <is>
          <t>Brasil</t>
        </is>
      </c>
      <c r="M34" s="13" t="inlineStr">
        <is>
          <t>0 - Nacional / 1 - Importação Direta</t>
        </is>
      </c>
    </row>
    <row r="35" ht="22" customHeight="1">
      <c r="A35" s="6" t="inlineStr">
        <is>
          <t>EMP-0031</t>
        </is>
      </c>
      <c r="B35" s="5" t="n">
        <v>30</v>
      </c>
      <c r="C35" s="7" t="inlineStr">
        <is>
          <t>Nº 8214</t>
        </is>
      </c>
      <c r="D35" s="8" t="inlineStr">
        <is>
          <t>BRIT</t>
        </is>
      </c>
      <c r="E35" s="7" t="inlineStr">
        <is>
          <t>1. Titular do Registro</t>
        </is>
      </c>
      <c r="F35" s="7" t="inlineStr">
        <is>
          <t>Produto Formulado Comercial</t>
        </is>
      </c>
      <c r="G35" s="7" t="inlineStr">
        <is>
          <t>Nortox</t>
        </is>
      </c>
      <c r="H35" s="7" t="inlineStr">
        <is>
          <t>Estabelecimento Credenciado</t>
        </is>
      </c>
      <c r="I35" s="7" t="inlineStr">
        <is>
          <t>CNPJ Credenciado MAPA</t>
        </is>
      </c>
      <c r="J35" s="7" t="inlineStr">
        <is>
          <t>Registro Estadual Vigente</t>
        </is>
      </c>
      <c r="K35" s="7" t="inlineStr">
        <is>
          <t>Unidade Operacional Brasil</t>
        </is>
      </c>
      <c r="L35" s="7" t="inlineStr">
        <is>
          <t>Brasil</t>
        </is>
      </c>
      <c r="M35" s="7" t="inlineStr">
        <is>
          <t>0/1/2 - Conforme Origem do Lote</t>
        </is>
      </c>
    </row>
    <row r="36" ht="22" customHeight="1">
      <c r="A36" s="12" t="inlineStr">
        <is>
          <t>EMP-0032</t>
        </is>
      </c>
      <c r="B36" s="11" t="n">
        <v>30</v>
      </c>
      <c r="C36" s="13" t="inlineStr">
        <is>
          <t>Nº 8214</t>
        </is>
      </c>
      <c r="D36" s="14" t="inlineStr">
        <is>
          <t>BRIT</t>
        </is>
      </c>
      <c r="E36" s="13" t="inlineStr">
        <is>
          <t>3. Formulador / Co-Distribuidor Autorizado</t>
        </is>
      </c>
      <c r="F36" s="13" t="inlineStr">
        <is>
          <t>Produto Formulado Comercial</t>
        </is>
      </c>
      <c r="G36" s="13" t="inlineStr">
        <is>
          <t>Ourofino</t>
        </is>
      </c>
      <c r="H36" s="13" t="inlineStr">
        <is>
          <t>Estabelecimento Credenciado</t>
        </is>
      </c>
      <c r="I36" s="13" t="inlineStr">
        <is>
          <t>CNPJ Credenciado MAPA</t>
        </is>
      </c>
      <c r="J36" s="13" t="inlineStr">
        <is>
          <t>Registro Estadual Vigente</t>
        </is>
      </c>
      <c r="K36" s="13" t="inlineStr">
        <is>
          <t>Unidade Operacional Brasil</t>
        </is>
      </c>
      <c r="L36" s="13" t="inlineStr">
        <is>
          <t>Brasil</t>
        </is>
      </c>
      <c r="M36" s="13" t="inlineStr">
        <is>
          <t>0/1/2 - Conforme Origem do Lote</t>
        </is>
      </c>
    </row>
    <row r="37" ht="22" customHeight="1">
      <c r="A37" s="6" t="inlineStr">
        <is>
          <t>EMP-0033</t>
        </is>
      </c>
      <c r="B37" s="5" t="n">
        <v>31</v>
      </c>
      <c r="C37" s="7" t="inlineStr">
        <is>
          <t>Nº 11117</t>
        </is>
      </c>
      <c r="D37" s="8" t="inlineStr">
        <is>
          <t>CLETODIM CCAB 240 EC</t>
        </is>
      </c>
      <c r="E37" s="7" t="inlineStr">
        <is>
          <t>1. Titular do Registro / Produtor</t>
        </is>
      </c>
      <c r="F37" s="7" t="inlineStr">
        <is>
          <t>Produto Formulado Comercial</t>
        </is>
      </c>
      <c r="G37" s="7" t="inlineStr">
        <is>
          <t>CCAB AGRO S.A.</t>
        </is>
      </c>
      <c r="H37" s="7" t="inlineStr">
        <is>
          <t>Matriz / Estabelecimento Principal</t>
        </is>
      </c>
      <c r="I37" s="7" t="inlineStr">
        <is>
          <t>CNPJ Credenciado MAPA/SIPEAGRO</t>
        </is>
      </c>
      <c r="J37" s="7" t="inlineStr">
        <is>
          <t>Registro Estadual Vigente</t>
        </is>
      </c>
      <c r="K37" s="7" t="inlineStr">
        <is>
          <t>Estabelecimento Credenciado no Brasil</t>
        </is>
      </c>
      <c r="L37" s="7" t="inlineStr">
        <is>
          <t>Brasil</t>
        </is>
      </c>
      <c r="M37" s="7" t="inlineStr">
        <is>
          <t>0 - Nacional / 1 - Importação Direta</t>
        </is>
      </c>
    </row>
    <row r="38" ht="22" customHeight="1">
      <c r="A38" s="12" t="inlineStr">
        <is>
          <t>EMP-0034</t>
        </is>
      </c>
      <c r="B38" s="11" t="n">
        <v>32</v>
      </c>
      <c r="C38" s="13" t="inlineStr">
        <is>
          <t>Nº 22221</t>
        </is>
      </c>
      <c r="D38" s="14" t="inlineStr">
        <is>
          <t>GRASIDIM</t>
        </is>
      </c>
      <c r="E38" s="13" t="inlineStr">
        <is>
          <t>1. Titular do Registro / Produtor</t>
        </is>
      </c>
      <c r="F38" s="13" t="inlineStr">
        <is>
          <t>Produto Formulado Comercial</t>
        </is>
      </c>
      <c r="G38" s="13" t="inlineStr">
        <is>
          <t>RAINBOW DEFENSIVOS AGRÍCOLAS LTDA.</t>
        </is>
      </c>
      <c r="H38" s="13" t="inlineStr">
        <is>
          <t>Matriz / Estabelecimento Principal</t>
        </is>
      </c>
      <c r="I38" s="13" t="inlineStr">
        <is>
          <t>10.486.463/0001-69</t>
        </is>
      </c>
      <c r="J38" s="13" t="inlineStr">
        <is>
          <t>SEAPA/RS nº 1928/09</t>
        </is>
      </c>
      <c r="K38" s="13" t="inlineStr">
        <is>
          <t>Av. Carlos Gomes, 258, Porto Alegre/RS</t>
        </is>
      </c>
      <c r="L38" s="13" t="inlineStr">
        <is>
          <t>Brasil</t>
        </is>
      </c>
      <c r="M38" s="13" t="inlineStr">
        <is>
          <t>0 - Nacional / 1 - Importação Direta</t>
        </is>
      </c>
    </row>
    <row r="39" ht="22" customHeight="1">
      <c r="A39" s="6" t="inlineStr">
        <is>
          <t>EMP-0035</t>
        </is>
      </c>
      <c r="B39" s="5" t="n">
        <v>33</v>
      </c>
      <c r="C39" s="7" t="inlineStr">
        <is>
          <t>Nº 479097</t>
        </is>
      </c>
      <c r="D39" s="8" t="inlineStr">
        <is>
          <t>SELECT 240 EC</t>
        </is>
      </c>
      <c r="E39" s="7" t="inlineStr">
        <is>
          <t>1. Titular do Registro</t>
        </is>
      </c>
      <c r="F39" s="7" t="inlineStr">
        <is>
          <t>Produto Formulado Comercial</t>
        </is>
      </c>
      <c r="G39" s="7" t="inlineStr">
        <is>
          <t>UPL</t>
        </is>
      </c>
      <c r="H39" s="7" t="inlineStr">
        <is>
          <t>Estabelecimento Credenciado</t>
        </is>
      </c>
      <c r="I39" s="7" t="inlineStr">
        <is>
          <t>CNPJ Credenciado MAPA</t>
        </is>
      </c>
      <c r="J39" s="7" t="inlineStr">
        <is>
          <t>Registro Estadual Vigente</t>
        </is>
      </c>
      <c r="K39" s="7" t="inlineStr">
        <is>
          <t>Unidade Operacional Brasil</t>
        </is>
      </c>
      <c r="L39" s="7" t="inlineStr">
        <is>
          <t>Brasil</t>
        </is>
      </c>
      <c r="M39" s="7" t="inlineStr">
        <is>
          <t>0/1/2 - Conforme Origem do Lote</t>
        </is>
      </c>
    </row>
    <row r="40" ht="22" customHeight="1">
      <c r="A40" s="12" t="inlineStr">
        <is>
          <t>EMP-0036</t>
        </is>
      </c>
      <c r="B40" s="11" t="n">
        <v>33</v>
      </c>
      <c r="C40" s="13" t="inlineStr">
        <is>
          <t>Nº 479097</t>
        </is>
      </c>
      <c r="D40" s="14" t="inlineStr">
        <is>
          <t>SELECT 240 EC</t>
        </is>
      </c>
      <c r="E40" s="13" t="inlineStr">
        <is>
          <t>3. Formulador / Co-Distribuidor Autorizado</t>
        </is>
      </c>
      <c r="F40" s="13" t="inlineStr">
        <is>
          <t>Produto Formulado Comercial</t>
        </is>
      </c>
      <c r="G40" s="13" t="inlineStr">
        <is>
          <t>Arysta Lifescience</t>
        </is>
      </c>
      <c r="H40" s="13" t="inlineStr">
        <is>
          <t>Estabelecimento Credenciado</t>
        </is>
      </c>
      <c r="I40" s="13" t="inlineStr">
        <is>
          <t>CNPJ Credenciado MAPA</t>
        </is>
      </c>
      <c r="J40" s="13" t="inlineStr">
        <is>
          <t>Registro Estadual Vigente</t>
        </is>
      </c>
      <c r="K40" s="13" t="inlineStr">
        <is>
          <t>Unidade Operacional Brasil</t>
        </is>
      </c>
      <c r="L40" s="13" t="inlineStr">
        <is>
          <t>Brasil</t>
        </is>
      </c>
      <c r="M40" s="13" t="inlineStr">
        <is>
          <t>0/1/2 - Conforme Origem do Lote</t>
        </is>
      </c>
    </row>
    <row r="41" ht="22" customHeight="1">
      <c r="A41" s="6" t="inlineStr">
        <is>
          <t>EMP-0037</t>
        </is>
      </c>
      <c r="B41" s="5" t="n">
        <v>34</v>
      </c>
      <c r="C41" s="7" t="inlineStr">
        <is>
          <t>Nº 28917</t>
        </is>
      </c>
      <c r="D41" s="8" t="inlineStr">
        <is>
          <t>VIANCE</t>
        </is>
      </c>
      <c r="E41" s="7" t="inlineStr">
        <is>
          <t>1. Titular do Registro / Produtor</t>
        </is>
      </c>
      <c r="F41" s="7" t="inlineStr">
        <is>
          <t>Produto Formulado Comercial</t>
        </is>
      </c>
      <c r="G41" s="7" t="inlineStr">
        <is>
          <t>ALBAUGH AGRO BRASIL LTDA.</t>
        </is>
      </c>
      <c r="H41" s="7" t="inlineStr">
        <is>
          <t>Matriz / Estabelecimento Principal</t>
        </is>
      </c>
      <c r="I41" s="7" t="inlineStr">
        <is>
          <t>CNPJ Credenciado MAPA/SIPEAGRO</t>
        </is>
      </c>
      <c r="J41" s="7" t="inlineStr">
        <is>
          <t>Registro Estadual Vigente</t>
        </is>
      </c>
      <c r="K41" s="7" t="inlineStr">
        <is>
          <t>Estabelecimento Credenciado no Brasil</t>
        </is>
      </c>
      <c r="L41" s="7" t="inlineStr">
        <is>
          <t>Brasil</t>
        </is>
      </c>
      <c r="M41" s="7" t="inlineStr">
        <is>
          <t>0 - Nacional / 1 - Importação Direta</t>
        </is>
      </c>
    </row>
    <row r="42" ht="22" customHeight="1">
      <c r="A42" s="12" t="inlineStr">
        <is>
          <t>EMP-0038</t>
        </is>
      </c>
      <c r="B42" s="11" t="n">
        <v>35</v>
      </c>
      <c r="C42" s="13" t="inlineStr">
        <is>
          <t>Nº 7398</t>
        </is>
      </c>
      <c r="D42" s="14" t="inlineStr">
        <is>
          <t>PACTO 10X0,240 KG</t>
        </is>
      </c>
      <c r="E42" s="13" t="inlineStr">
        <is>
          <t>1. Titular do Registro / Produtor</t>
        </is>
      </c>
      <c r="F42" s="13" t="inlineStr">
        <is>
          <t>Produto Formulado Comercial</t>
        </is>
      </c>
      <c r="G42" s="13" t="inlineStr">
        <is>
          <t>Corteva Agriscience</t>
        </is>
      </c>
      <c r="H42" s="13" t="inlineStr">
        <is>
          <t>Matriz / Estabelecimento Principal</t>
        </is>
      </c>
      <c r="I42" s="13" t="inlineStr">
        <is>
          <t>CNPJ Credenciado MAPA/SIPEAGRO</t>
        </is>
      </c>
      <c r="J42" s="13" t="inlineStr">
        <is>
          <t>Registro Estadual Vigente</t>
        </is>
      </c>
      <c r="K42" s="13" t="inlineStr">
        <is>
          <t>Estabelecimento Credenciado no Brasil</t>
        </is>
      </c>
      <c r="L42" s="13" t="inlineStr">
        <is>
          <t>Brasil</t>
        </is>
      </c>
      <c r="M42" s="13" t="inlineStr">
        <is>
          <t>0 - Nacional / 1 - Importação Direta</t>
        </is>
      </c>
    </row>
    <row r="43" ht="22" customHeight="1">
      <c r="A43" s="6" t="inlineStr">
        <is>
          <t>EMP-0039</t>
        </is>
      </c>
      <c r="B43" s="5" t="n">
        <v>36</v>
      </c>
      <c r="C43" s="7" t="inlineStr">
        <is>
          <t>Nº 9109</t>
        </is>
      </c>
      <c r="D43" s="8" t="inlineStr">
        <is>
          <t>PREMIO</t>
        </is>
      </c>
      <c r="E43" s="7" t="inlineStr">
        <is>
          <t>1. Titular do Registro</t>
        </is>
      </c>
      <c r="F43" s="7" t="inlineStr">
        <is>
          <t>Produto Formulado Comercial</t>
        </is>
      </c>
      <c r="G43" s="7" t="inlineStr">
        <is>
          <t>FMC</t>
        </is>
      </c>
      <c r="H43" s="7" t="inlineStr">
        <is>
          <t>Estabelecimento Credenciado</t>
        </is>
      </c>
      <c r="I43" s="7" t="inlineStr">
        <is>
          <t>CNPJ Credenciado MAPA</t>
        </is>
      </c>
      <c r="J43" s="7" t="inlineStr">
        <is>
          <t>Registro Estadual Vigente</t>
        </is>
      </c>
      <c r="K43" s="7" t="inlineStr">
        <is>
          <t>Unidade Operacional Brasil</t>
        </is>
      </c>
      <c r="L43" s="7" t="inlineStr">
        <is>
          <t>Brasil</t>
        </is>
      </c>
      <c r="M43" s="7" t="inlineStr">
        <is>
          <t>0/1/2 - Conforme Origem do Lote</t>
        </is>
      </c>
    </row>
    <row r="44" ht="22" customHeight="1">
      <c r="A44" s="12" t="inlineStr">
        <is>
          <t>EMP-0040</t>
        </is>
      </c>
      <c r="B44" s="11" t="n">
        <v>36</v>
      </c>
      <c r="C44" s="13" t="inlineStr">
        <is>
          <t>Nº 9109</t>
        </is>
      </c>
      <c r="D44" s="14" t="inlineStr">
        <is>
          <t>PREMIO</t>
        </is>
      </c>
      <c r="E44" s="13" t="inlineStr">
        <is>
          <t>3. Formulador / Co-Distribuidor Autorizado</t>
        </is>
      </c>
      <c r="F44" s="13" t="inlineStr">
        <is>
          <t>Produto Formulado Comercial</t>
        </is>
      </c>
      <c r="G44" s="13" t="inlineStr">
        <is>
          <t>Corteva</t>
        </is>
      </c>
      <c r="H44" s="13" t="inlineStr">
        <is>
          <t>Estabelecimento Credenciado</t>
        </is>
      </c>
      <c r="I44" s="13" t="inlineStr">
        <is>
          <t>CNPJ Credenciado MAPA</t>
        </is>
      </c>
      <c r="J44" s="13" t="inlineStr">
        <is>
          <t>Registro Estadual Vigente</t>
        </is>
      </c>
      <c r="K44" s="13" t="inlineStr">
        <is>
          <t>Unidade Operacional Brasil</t>
        </is>
      </c>
      <c r="L44" s="13" t="inlineStr">
        <is>
          <t>Brasil</t>
        </is>
      </c>
      <c r="M44" s="13" t="inlineStr">
        <is>
          <t>0/1/2 - Conforme Origem do Lote</t>
        </is>
      </c>
    </row>
    <row r="45" ht="22" customHeight="1">
      <c r="A45" s="6" t="inlineStr">
        <is>
          <t>EMP-0041</t>
        </is>
      </c>
      <c r="B45" s="5" t="n">
        <v>37</v>
      </c>
      <c r="C45" s="7" t="inlineStr">
        <is>
          <t>Nº 9515</t>
        </is>
      </c>
      <c r="D45" s="8" t="inlineStr">
        <is>
          <t>DERMACOR</t>
        </is>
      </c>
      <c r="E45" s="7" t="inlineStr">
        <is>
          <t>1. Titular do Registro</t>
        </is>
      </c>
      <c r="F45" s="7" t="inlineStr">
        <is>
          <t>Produto Formulado Comercial</t>
        </is>
      </c>
      <c r="G45" s="7" t="inlineStr">
        <is>
          <t>Corteva</t>
        </is>
      </c>
      <c r="H45" s="7" t="inlineStr">
        <is>
          <t>Estabelecimento Credenciado</t>
        </is>
      </c>
      <c r="I45" s="7" t="inlineStr">
        <is>
          <t>CNPJ Credenciado MAPA</t>
        </is>
      </c>
      <c r="J45" s="7" t="inlineStr">
        <is>
          <t>Registro Estadual Vigente</t>
        </is>
      </c>
      <c r="K45" s="7" t="inlineStr">
        <is>
          <t>Unidade Operacional Brasil</t>
        </is>
      </c>
      <c r="L45" s="7" t="inlineStr">
        <is>
          <t>Brasil</t>
        </is>
      </c>
      <c r="M45" s="7" t="inlineStr">
        <is>
          <t>0/1/2 - Conforme Origem do Lote</t>
        </is>
      </c>
    </row>
    <row r="46" ht="22" customHeight="1">
      <c r="A46" s="12" t="inlineStr">
        <is>
          <t>EMP-0042</t>
        </is>
      </c>
      <c r="B46" s="11" t="n">
        <v>37</v>
      </c>
      <c r="C46" s="13" t="inlineStr">
        <is>
          <t>Nº 9515</t>
        </is>
      </c>
      <c r="D46" s="14" t="inlineStr">
        <is>
          <t>DERMACOR</t>
        </is>
      </c>
      <c r="E46" s="13" t="inlineStr">
        <is>
          <t>3. Formulador / Co-Distribuidor Autorizado</t>
        </is>
      </c>
      <c r="F46" s="13" t="inlineStr">
        <is>
          <t>Produto Formulado Comercial</t>
        </is>
      </c>
      <c r="G46" s="13" t="inlineStr">
        <is>
          <t>FMC</t>
        </is>
      </c>
      <c r="H46" s="13" t="inlineStr">
        <is>
          <t>Estabelecimento Credenciado</t>
        </is>
      </c>
      <c r="I46" s="13" t="inlineStr">
        <is>
          <t>CNPJ Credenciado MAPA</t>
        </is>
      </c>
      <c r="J46" s="13" t="inlineStr">
        <is>
          <t>Registro Estadual Vigente</t>
        </is>
      </c>
      <c r="K46" s="13" t="inlineStr">
        <is>
          <t>Unidade Operacional Brasil</t>
        </is>
      </c>
      <c r="L46" s="13" t="inlineStr">
        <is>
          <t>Brasil</t>
        </is>
      </c>
      <c r="M46" s="13" t="inlineStr">
        <is>
          <t>0/1/2 - Conforme Origem do Lote</t>
        </is>
      </c>
    </row>
    <row r="47" ht="22" customHeight="1">
      <c r="A47" s="6" t="inlineStr">
        <is>
          <t>EMP-0043</t>
        </is>
      </c>
      <c r="B47" s="5" t="n">
        <v>38</v>
      </c>
      <c r="C47" s="7" t="inlineStr">
        <is>
          <t>Nº 0711</t>
        </is>
      </c>
      <c r="D47" s="8" t="inlineStr">
        <is>
          <t>CUPRODIL WG</t>
        </is>
      </c>
      <c r="E47" s="7" t="inlineStr">
        <is>
          <t>1. Titular do Registro</t>
        </is>
      </c>
      <c r="F47" s="7" t="inlineStr">
        <is>
          <t>Produto Formulado Comercial</t>
        </is>
      </c>
      <c r="G47" s="7" t="inlineStr">
        <is>
          <t>Sumitomo</t>
        </is>
      </c>
      <c r="H47" s="7" t="inlineStr">
        <is>
          <t>Estabelecimento Credenciado</t>
        </is>
      </c>
      <c r="I47" s="7" t="inlineStr">
        <is>
          <t>CNPJ Credenciado MAPA</t>
        </is>
      </c>
      <c r="J47" s="7" t="inlineStr">
        <is>
          <t>Registro Estadual Vigente</t>
        </is>
      </c>
      <c r="K47" s="7" t="inlineStr">
        <is>
          <t>Unidade Operacional Brasil</t>
        </is>
      </c>
      <c r="L47" s="7" t="inlineStr">
        <is>
          <t>Brasil</t>
        </is>
      </c>
      <c r="M47" s="7" t="inlineStr">
        <is>
          <t>0/1/2 - Conforme Origem do Lote</t>
        </is>
      </c>
    </row>
    <row r="48" ht="22" customHeight="1">
      <c r="A48" s="12" t="inlineStr">
        <is>
          <t>EMP-0044</t>
        </is>
      </c>
      <c r="B48" s="11" t="n">
        <v>38</v>
      </c>
      <c r="C48" s="13" t="inlineStr">
        <is>
          <t>Nº 0711</t>
        </is>
      </c>
      <c r="D48" s="14" t="inlineStr">
        <is>
          <t>CUPRODIL WG</t>
        </is>
      </c>
      <c r="E48" s="13" t="inlineStr">
        <is>
          <t>3. Formulador / Co-Distribuidor Autorizado</t>
        </is>
      </c>
      <c r="F48" s="13" t="inlineStr">
        <is>
          <t>Produto Formulado Comercial</t>
        </is>
      </c>
      <c r="G48" s="13" t="inlineStr">
        <is>
          <t>Sipcam</t>
        </is>
      </c>
      <c r="H48" s="13" t="inlineStr">
        <is>
          <t>Estabelecimento Credenciado</t>
        </is>
      </c>
      <c r="I48" s="13" t="inlineStr">
        <is>
          <t>CNPJ Credenciado MAPA</t>
        </is>
      </c>
      <c r="J48" s="13" t="inlineStr">
        <is>
          <t>Registro Estadual Vigente</t>
        </is>
      </c>
      <c r="K48" s="13" t="inlineStr">
        <is>
          <t>Unidade Operacional Brasil</t>
        </is>
      </c>
      <c r="L48" s="13" t="inlineStr">
        <is>
          <t>Brasil</t>
        </is>
      </c>
      <c r="M48" s="13" t="inlineStr">
        <is>
          <t>0/1/2 - Conforme Origem do Lote</t>
        </is>
      </c>
    </row>
    <row r="49" ht="22" customHeight="1">
      <c r="A49" s="6" t="inlineStr">
        <is>
          <t>EMP-0045</t>
        </is>
      </c>
      <c r="B49" s="5" t="n">
        <v>39</v>
      </c>
      <c r="C49" s="7" t="inlineStr">
        <is>
          <t>Nº 26321</t>
        </is>
      </c>
      <c r="D49" s="8" t="inlineStr">
        <is>
          <t>GUARDANIL</t>
        </is>
      </c>
      <c r="E49" s="7" t="inlineStr">
        <is>
          <t>1. Titular do Registro</t>
        </is>
      </c>
      <c r="F49" s="7" t="inlineStr">
        <is>
          <t>Produto Formulado Comercial</t>
        </is>
      </c>
      <c r="G49" s="7" t="inlineStr">
        <is>
          <t>CAC Chemical — Clorotalonil 720 g</t>
        </is>
      </c>
      <c r="H49" s="7" t="inlineStr">
        <is>
          <t>Estabelecimento Credenciado</t>
        </is>
      </c>
      <c r="I49" s="7" t="inlineStr">
        <is>
          <t>CNPJ Credenciado MAPA</t>
        </is>
      </c>
      <c r="J49" s="7" t="inlineStr">
        <is>
          <t>Registro Estadual Vigente</t>
        </is>
      </c>
      <c r="K49" s="7" t="inlineStr">
        <is>
          <t>Unidade Operacional Brasil</t>
        </is>
      </c>
      <c r="L49" s="7" t="inlineStr">
        <is>
          <t>Brasil</t>
        </is>
      </c>
      <c r="M49" s="7" t="inlineStr">
        <is>
          <t>0/1/2 - Conforme Origem do Lote</t>
        </is>
      </c>
    </row>
    <row r="50" ht="22" customHeight="1">
      <c r="A50" s="12" t="inlineStr">
        <is>
          <t>EMP-0046</t>
        </is>
      </c>
      <c r="B50" s="11" t="n">
        <v>39</v>
      </c>
      <c r="C50" s="13" t="inlineStr">
        <is>
          <t>Nº 26321</t>
        </is>
      </c>
      <c r="D50" s="14" t="inlineStr">
        <is>
          <t>GUARDANIL</t>
        </is>
      </c>
      <c r="E50" s="13" t="inlineStr">
        <is>
          <t>3. Formulador / Co-Distribuidor Autorizado</t>
        </is>
      </c>
      <c r="F50" s="13" t="inlineStr">
        <is>
          <t>Produto Formulado Comercial</t>
        </is>
      </c>
      <c r="G50" s="13" t="inlineStr">
        <is>
          <t>L SC</t>
        </is>
      </c>
      <c r="H50" s="13" t="inlineStr">
        <is>
          <t>Estabelecimento Credenciado</t>
        </is>
      </c>
      <c r="I50" s="13" t="inlineStr">
        <is>
          <t>CNPJ Credenciado MAPA</t>
        </is>
      </c>
      <c r="J50" s="13" t="inlineStr">
        <is>
          <t>Registro Estadual Vigente</t>
        </is>
      </c>
      <c r="K50" s="13" t="inlineStr">
        <is>
          <t>Unidade Operacional Brasil</t>
        </is>
      </c>
      <c r="L50" s="13" t="inlineStr">
        <is>
          <t>Brasil</t>
        </is>
      </c>
      <c r="M50" s="13" t="inlineStr">
        <is>
          <t>0/1/2 - Conforme Origem do Lote</t>
        </is>
      </c>
    </row>
    <row r="51" ht="22" customHeight="1">
      <c r="A51" s="6" t="inlineStr">
        <is>
          <t>EMP-0047</t>
        </is>
      </c>
      <c r="B51" s="5" t="n">
        <v>40</v>
      </c>
      <c r="C51" s="7" t="inlineStr">
        <is>
          <t>Nº 23419</t>
        </is>
      </c>
      <c r="D51" s="8" t="inlineStr">
        <is>
          <t>SAFENITH</t>
        </is>
      </c>
      <c r="E51" s="7" t="inlineStr">
        <is>
          <t>1. Titular do Registro / Produtor</t>
        </is>
      </c>
      <c r="F51" s="7" t="inlineStr">
        <is>
          <t>Produto Formulado Comercial</t>
        </is>
      </c>
      <c r="G51" s="7" t="inlineStr">
        <is>
          <t>RAINBOW DEFENSIVOS AGRÍCOLAS LTDA.</t>
        </is>
      </c>
      <c r="H51" s="7" t="inlineStr">
        <is>
          <t>Matriz / Estabelecimento Principal</t>
        </is>
      </c>
      <c r="I51" s="7" t="inlineStr">
        <is>
          <t>CNPJ Credenciado MAPA/SIPEAGRO</t>
        </is>
      </c>
      <c r="J51" s="7" t="inlineStr">
        <is>
          <t>Registro Estadual Vigente</t>
        </is>
      </c>
      <c r="K51" s="7" t="inlineStr">
        <is>
          <t>Estabelecimento Credenciado no Brasil</t>
        </is>
      </c>
      <c r="L51" s="7" t="inlineStr">
        <is>
          <t>Brasil</t>
        </is>
      </c>
      <c r="M51" s="7" t="inlineStr">
        <is>
          <t>0 - Nacional / 1 - Importação Direta</t>
        </is>
      </c>
    </row>
    <row r="52" ht="22" customHeight="1">
      <c r="A52" s="12" t="inlineStr">
        <is>
          <t>EMP-0048</t>
        </is>
      </c>
      <c r="B52" s="11" t="n">
        <v>41</v>
      </c>
      <c r="C52" s="13" t="inlineStr">
        <is>
          <t>Nº 24320</t>
        </is>
      </c>
      <c r="D52" s="14" t="inlineStr">
        <is>
          <t>CLOPANTO</t>
        </is>
      </c>
      <c r="E52" s="13" t="inlineStr">
        <is>
          <t>1. Titular do Registro / Produtor</t>
        </is>
      </c>
      <c r="F52" s="13" t="inlineStr">
        <is>
          <t>Produto Formulado Comercial</t>
        </is>
      </c>
      <c r="G52" s="13" t="inlineStr">
        <is>
          <t>RAINBOW DEFENSIVOS AGRÍCOLAS LTDA.</t>
        </is>
      </c>
      <c r="H52" s="13" t="inlineStr">
        <is>
          <t>Matriz / Estabelecimento Principal</t>
        </is>
      </c>
      <c r="I52" s="13" t="inlineStr">
        <is>
          <t>CNPJ Credenciado MAPA/SIPEAGRO</t>
        </is>
      </c>
      <c r="J52" s="13" t="inlineStr">
        <is>
          <t>Registro Estadual Vigente</t>
        </is>
      </c>
      <c r="K52" s="13" t="inlineStr">
        <is>
          <t>Estabelecimento Credenciado no Brasil</t>
        </is>
      </c>
      <c r="L52" s="13" t="inlineStr">
        <is>
          <t>Brasil</t>
        </is>
      </c>
      <c r="M52" s="13" t="inlineStr">
        <is>
          <t>0 - Nacional / 1 - Importação Direta</t>
        </is>
      </c>
    </row>
    <row r="53" ht="22" customHeight="1">
      <c r="A53" s="6" t="inlineStr">
        <is>
          <t>EMP-0049</t>
        </is>
      </c>
      <c r="B53" s="5" t="n">
        <v>42</v>
      </c>
      <c r="C53" s="7" t="inlineStr">
        <is>
          <t>Nº 7899</t>
        </is>
      </c>
      <c r="D53" s="8" t="inlineStr">
        <is>
          <t>KLORPAN 480 EC</t>
        </is>
      </c>
      <c r="E53" s="7" t="inlineStr">
        <is>
          <t>1. Titular do Registro</t>
        </is>
      </c>
      <c r="F53" s="7" t="inlineStr">
        <is>
          <t>Produto Formulado Comercial</t>
        </is>
      </c>
      <c r="G53" s="7" t="inlineStr">
        <is>
          <t>Nufarm</t>
        </is>
      </c>
      <c r="H53" s="7" t="inlineStr">
        <is>
          <t>Estabelecimento Credenciado</t>
        </is>
      </c>
      <c r="I53" s="7" t="inlineStr">
        <is>
          <t>CNPJ Credenciado MAPA</t>
        </is>
      </c>
      <c r="J53" s="7" t="inlineStr">
        <is>
          <t>Registro Estadual Vigente</t>
        </is>
      </c>
      <c r="K53" s="7" t="inlineStr">
        <is>
          <t>Unidade Operacional Brasil</t>
        </is>
      </c>
      <c r="L53" s="7" t="inlineStr">
        <is>
          <t>Brasil</t>
        </is>
      </c>
      <c r="M53" s="7" t="inlineStr">
        <is>
          <t>0/1/2 - Conforme Origem do Lote</t>
        </is>
      </c>
    </row>
    <row r="54" ht="22" customHeight="1">
      <c r="A54" s="12" t="inlineStr">
        <is>
          <t>EMP-0050</t>
        </is>
      </c>
      <c r="B54" s="11" t="n">
        <v>42</v>
      </c>
      <c r="C54" s="13" t="inlineStr">
        <is>
          <t>Nº 7899</t>
        </is>
      </c>
      <c r="D54" s="14" t="inlineStr">
        <is>
          <t>KLORPAN 480 EC</t>
        </is>
      </c>
      <c r="E54" s="13" t="inlineStr">
        <is>
          <t>3. Formulador / Co-Distribuidor Autorizado</t>
        </is>
      </c>
      <c r="F54" s="13" t="inlineStr">
        <is>
          <t>Produto Formulado Comercial</t>
        </is>
      </c>
      <c r="G54" s="13" t="inlineStr">
        <is>
          <t>Sumitomo</t>
        </is>
      </c>
      <c r="H54" s="13" t="inlineStr">
        <is>
          <t>Estabelecimento Credenciado</t>
        </is>
      </c>
      <c r="I54" s="13" t="inlineStr">
        <is>
          <t>CNPJ Credenciado MAPA</t>
        </is>
      </c>
      <c r="J54" s="13" t="inlineStr">
        <is>
          <t>Registro Estadual Vigente</t>
        </is>
      </c>
      <c r="K54" s="13" t="inlineStr">
        <is>
          <t>Unidade Operacional Brasil</t>
        </is>
      </c>
      <c r="L54" s="13" t="inlineStr">
        <is>
          <t>Brasil</t>
        </is>
      </c>
      <c r="M54" s="13" t="inlineStr">
        <is>
          <t>0/1/2 - Conforme Origem do Lote</t>
        </is>
      </c>
    </row>
    <row r="55" ht="22" customHeight="1">
      <c r="A55" s="6" t="inlineStr">
        <is>
          <t>EMP-0051</t>
        </is>
      </c>
      <c r="B55" s="5" t="n">
        <v>43</v>
      </c>
      <c r="C55" s="7" t="inlineStr">
        <is>
          <t>Nº 18618</t>
        </is>
      </c>
      <c r="D55" s="8" t="inlineStr">
        <is>
          <t>WILD</t>
        </is>
      </c>
      <c r="E55" s="7" t="inlineStr">
        <is>
          <t>1. Titular do Registro / Produtor</t>
        </is>
      </c>
      <c r="F55" s="7" t="inlineStr">
        <is>
          <t>Produto Formulado Comercial</t>
        </is>
      </c>
      <c r="G55" s="7" t="inlineStr">
        <is>
          <t>SUMITOMO CHEMICAL DO BRASIL REPRESENTAÇÕES LTDA.</t>
        </is>
      </c>
      <c r="H55" s="7" t="inlineStr">
        <is>
          <t>Matriz / Estabelecimento Principal</t>
        </is>
      </c>
      <c r="I55" s="7" t="inlineStr">
        <is>
          <t>CNPJ Credenciado MAPA/SIPEAGRO</t>
        </is>
      </c>
      <c r="J55" s="7" t="inlineStr">
        <is>
          <t>Registro Estadual Vigente</t>
        </is>
      </c>
      <c r="K55" s="7" t="inlineStr">
        <is>
          <t>Estabelecimento Credenciado no Brasil</t>
        </is>
      </c>
      <c r="L55" s="7" t="inlineStr">
        <is>
          <t>Brasil</t>
        </is>
      </c>
      <c r="M55" s="7" t="inlineStr">
        <is>
          <t>0 - Nacional / 1 - Importação Direta</t>
        </is>
      </c>
    </row>
    <row r="56" ht="22" customHeight="1">
      <c r="A56" s="12" t="inlineStr">
        <is>
          <t>EMP-0052</t>
        </is>
      </c>
      <c r="B56" s="11" t="n">
        <v>44</v>
      </c>
      <c r="C56" s="13" t="inlineStr">
        <is>
          <t>ISENTO (ATO 104/2017)</t>
        </is>
      </c>
      <c r="D56" s="14" t="inlineStr">
        <is>
          <t>AGCN DESALOJ TAB 12X0,8KG</t>
        </is>
      </c>
      <c r="E56" s="13" t="inlineStr">
        <is>
          <t>1. Titular do Registro / Produtor</t>
        </is>
      </c>
      <c r="F56" s="13" t="inlineStr">
        <is>
          <t>Produto Formulado Comercial</t>
        </is>
      </c>
      <c r="G56" s="13" t="inlineStr">
        <is>
          <t>AGRICONNECTION IMPORTADORA E EXPORTADORA DE INSUMOS AGRÍCOLAS LTDA.</t>
        </is>
      </c>
      <c r="H56" s="13" t="inlineStr">
        <is>
          <t>Matriz / Estabelecimento Principal</t>
        </is>
      </c>
      <c r="I56" s="13" t="inlineStr">
        <is>
          <t>39.496.730/0001-60</t>
        </is>
      </c>
      <c r="J56" s="13" t="inlineStr">
        <is>
          <t>INDEA/MT nº 27326 / CDA/SP nº 4354</t>
        </is>
      </c>
      <c r="K56" s="13" t="inlineStr">
        <is>
          <t>Av. Manoel Genildo de Araujo, 188, Campo Verde/MT / Barueri/SP</t>
        </is>
      </c>
      <c r="L56" s="13" t="inlineStr">
        <is>
          <t>Brasil</t>
        </is>
      </c>
      <c r="M56" s="13" t="inlineStr">
        <is>
          <t>0 - Nacional / 1 - Importação Direta</t>
        </is>
      </c>
    </row>
    <row r="57" ht="22" customHeight="1">
      <c r="A57" s="6" t="inlineStr">
        <is>
          <t>EMP-0053</t>
        </is>
      </c>
      <c r="B57" s="5" t="n">
        <v>45</v>
      </c>
      <c r="C57" s="7" t="inlineStr">
        <is>
          <t>Nº 5097</t>
        </is>
      </c>
      <c r="D57" s="8" t="inlineStr">
        <is>
          <t>SPIDER 840 WG 10X0,21KG</t>
        </is>
      </c>
      <c r="E57" s="7" t="inlineStr">
        <is>
          <t>1. Titular do Registro / Produtor</t>
        </is>
      </c>
      <c r="F57" s="7" t="inlineStr">
        <is>
          <t>Produto Formulado Comercial</t>
        </is>
      </c>
      <c r="G57" s="7" t="inlineStr">
        <is>
          <t>Corteva Agriscience</t>
        </is>
      </c>
      <c r="H57" s="7" t="inlineStr">
        <is>
          <t>Matriz / Estabelecimento Principal</t>
        </is>
      </c>
      <c r="I57" s="7" t="inlineStr">
        <is>
          <t>CNPJ Credenciado MAPA/SIPEAGRO</t>
        </is>
      </c>
      <c r="J57" s="7" t="inlineStr">
        <is>
          <t>Registro Estadual Vigente</t>
        </is>
      </c>
      <c r="K57" s="7" t="inlineStr">
        <is>
          <t>Estabelecimento Credenciado no Brasil</t>
        </is>
      </c>
      <c r="L57" s="7" t="inlineStr">
        <is>
          <t>Brasil</t>
        </is>
      </c>
      <c r="M57" s="7" t="inlineStr">
        <is>
          <t>0 - Nacional / 1 - Importação Direta</t>
        </is>
      </c>
    </row>
    <row r="58" ht="22" customHeight="1">
      <c r="A58" s="12" t="inlineStr">
        <is>
          <t>EMP-0054</t>
        </is>
      </c>
      <c r="B58" s="11" t="n">
        <v>46</v>
      </c>
      <c r="C58" s="13" t="inlineStr">
        <is>
          <t>Nº 15716</t>
        </is>
      </c>
      <c r="D58" s="14" t="inlineStr">
        <is>
          <t>DIFCOR 250 EC BR</t>
        </is>
      </c>
      <c r="E58" s="13" t="inlineStr">
        <is>
          <t>1. Titular do Registro / Produtor</t>
        </is>
      </c>
      <c r="F58" s="13" t="inlineStr">
        <is>
          <t>Produto Formulado Comercial</t>
        </is>
      </c>
      <c r="G58" s="13" t="inlineStr">
        <is>
          <t>GLOBACHEM PROTEÇÃO DE CULTIVOS DO BRASIL LTDA.</t>
        </is>
      </c>
      <c r="H58" s="13" t="inlineStr">
        <is>
          <t>Matriz / Estabelecimento Principal</t>
        </is>
      </c>
      <c r="I58" s="13" t="inlineStr">
        <is>
          <t>43.741.357/0001-33</t>
        </is>
      </c>
      <c r="J58" s="13" t="inlineStr">
        <is>
          <t>CDA/SP nº 4326</t>
        </is>
      </c>
      <c r="K58" s="13" t="inlineStr">
        <is>
          <t>Rua Doutor Emílio Ribas, 174, Sala 12, Campinas/SP</t>
        </is>
      </c>
      <c r="L58" s="13" t="inlineStr">
        <is>
          <t>Brasil</t>
        </is>
      </c>
      <c r="M58" s="13" t="inlineStr">
        <is>
          <t>0 - Nacional / 1 - Importação Direta</t>
        </is>
      </c>
    </row>
    <row r="59" ht="22" customHeight="1">
      <c r="A59" s="6" t="inlineStr">
        <is>
          <t>EMP-0055</t>
        </is>
      </c>
      <c r="B59" s="5" t="n">
        <v>47</v>
      </c>
      <c r="C59" s="7" t="inlineStr">
        <is>
          <t>Nº 19217</t>
        </is>
      </c>
      <c r="D59" s="8" t="inlineStr">
        <is>
          <t>BLOWOUT</t>
        </is>
      </c>
      <c r="E59" s="7" t="inlineStr">
        <is>
          <t>1. Titular do Registro / Produtor</t>
        </is>
      </c>
      <c r="F59" s="7" t="inlineStr">
        <is>
          <t>Produto Formulado Comercial</t>
        </is>
      </c>
      <c r="G59" s="7" t="inlineStr">
        <is>
          <t>RAINBOW DEFENSIVOS AGRICOLAS LTDA</t>
        </is>
      </c>
      <c r="H59" s="7" t="inlineStr">
        <is>
          <t>Matriz / Estabelecimento Principal</t>
        </is>
      </c>
      <c r="I59" s="7" t="inlineStr">
        <is>
          <t>10.486.463/0001-69</t>
        </is>
      </c>
      <c r="J59" s="7" t="inlineStr">
        <is>
          <t>SEAPA/RS nº 1928/09</t>
        </is>
      </c>
      <c r="K59" s="7" t="inlineStr">
        <is>
          <t>Estabelecimento Credenciado no Brasil</t>
        </is>
      </c>
      <c r="L59" s="7" t="inlineStr">
        <is>
          <t>Brasil</t>
        </is>
      </c>
      <c r="M59" s="7" t="inlineStr">
        <is>
          <t>0 - Nacional / 1 - Importação Direta</t>
        </is>
      </c>
    </row>
    <row r="60" ht="22" customHeight="1">
      <c r="A60" s="12" t="inlineStr">
        <is>
          <t>EMP-0056</t>
        </is>
      </c>
      <c r="B60" s="11" t="n">
        <v>48</v>
      </c>
      <c r="C60" s="13" t="inlineStr">
        <is>
          <t>Nº 25216</t>
        </is>
      </c>
      <c r="D60" s="14" t="inlineStr">
        <is>
          <t>DESSICASH 200</t>
        </is>
      </c>
      <c r="E60" s="13" t="inlineStr">
        <is>
          <t>1. Titular do Registro / Produtor</t>
        </is>
      </c>
      <c r="F60" s="13" t="inlineStr">
        <is>
          <t>Produto Formulado Comercial</t>
        </is>
      </c>
      <c r="G60" s="13" t="inlineStr">
        <is>
          <t>UPL DO BRASIL INDÚSTRIA E COMÉRCIO DE INSUMOS AGROPECUÁRIOS S.A.</t>
        </is>
      </c>
      <c r="H60" s="13" t="inlineStr">
        <is>
          <t>Matriz / Estabelecimento Principal</t>
        </is>
      </c>
      <c r="I60" s="13" t="inlineStr">
        <is>
          <t>CNPJ Credenciado MAPA/SIPEAGRO</t>
        </is>
      </c>
      <c r="J60" s="13" t="inlineStr">
        <is>
          <t>Registro Estadual Vigente</t>
        </is>
      </c>
      <c r="K60" s="13" t="inlineStr">
        <is>
          <t>Estabelecimento Credenciado no Brasil</t>
        </is>
      </c>
      <c r="L60" s="13" t="inlineStr">
        <is>
          <t>Brasil</t>
        </is>
      </c>
      <c r="M60" s="13" t="inlineStr">
        <is>
          <t>0 - Nacional / 1 - Importação Direta</t>
        </is>
      </c>
    </row>
    <row r="61" ht="22" customHeight="1">
      <c r="A61" s="6" t="inlineStr">
        <is>
          <t>EMP-0057</t>
        </is>
      </c>
      <c r="B61" s="5" t="n">
        <v>49</v>
      </c>
      <c r="C61" s="7" t="inlineStr">
        <is>
          <t>Nº 0812</t>
        </is>
      </c>
      <c r="D61" s="8" t="inlineStr">
        <is>
          <t>DIOX</t>
        </is>
      </c>
      <c r="E61" s="7" t="inlineStr">
        <is>
          <t>1. Titular do Registro</t>
        </is>
      </c>
      <c r="F61" s="7" t="inlineStr">
        <is>
          <t>Produto Formulado Comercial</t>
        </is>
      </c>
      <c r="G61" s="7" t="inlineStr">
        <is>
          <t>Ourofino</t>
        </is>
      </c>
      <c r="H61" s="7" t="inlineStr">
        <is>
          <t>Estabelecimento Credenciado</t>
        </is>
      </c>
      <c r="I61" s="7" t="inlineStr">
        <is>
          <t>CNPJ Credenciado MAPA</t>
        </is>
      </c>
      <c r="J61" s="7" t="inlineStr">
        <is>
          <t>Registro Estadual Vigente</t>
        </is>
      </c>
      <c r="K61" s="7" t="inlineStr">
        <is>
          <t>Unidade Operacional Brasil</t>
        </is>
      </c>
      <c r="L61" s="7" t="inlineStr">
        <is>
          <t>Brasil</t>
        </is>
      </c>
      <c r="M61" s="7" t="inlineStr">
        <is>
          <t>0/1/2 - Conforme Origem do Lote</t>
        </is>
      </c>
    </row>
    <row r="62" ht="22" customHeight="1">
      <c r="A62" s="12" t="inlineStr">
        <is>
          <t>EMP-0058</t>
        </is>
      </c>
      <c r="B62" s="11" t="n">
        <v>49</v>
      </c>
      <c r="C62" s="13" t="inlineStr">
        <is>
          <t>Nº 0812</t>
        </is>
      </c>
      <c r="D62" s="14" t="inlineStr">
        <is>
          <t>DIOX</t>
        </is>
      </c>
      <c r="E62" s="13" t="inlineStr">
        <is>
          <t>3. Formulador / Co-Distribuidor Autorizado</t>
        </is>
      </c>
      <c r="F62" s="13" t="inlineStr">
        <is>
          <t>Produto Formulado Comercial</t>
        </is>
      </c>
      <c r="G62" s="13" t="inlineStr">
        <is>
          <t>Sipcam</t>
        </is>
      </c>
      <c r="H62" s="13" t="inlineStr">
        <is>
          <t>Estabelecimento Credenciado</t>
        </is>
      </c>
      <c r="I62" s="13" t="inlineStr">
        <is>
          <t>CNPJ Credenciado MAPA</t>
        </is>
      </c>
      <c r="J62" s="13" t="inlineStr">
        <is>
          <t>Registro Estadual Vigente</t>
        </is>
      </c>
      <c r="K62" s="13" t="inlineStr">
        <is>
          <t>Unidade Operacional Brasil</t>
        </is>
      </c>
      <c r="L62" s="13" t="inlineStr">
        <is>
          <t>Brasil</t>
        </is>
      </c>
      <c r="M62" s="13" t="inlineStr">
        <is>
          <t>0/1/2 - Conforme Origem do Lote</t>
        </is>
      </c>
    </row>
    <row r="63" ht="22" customHeight="1">
      <c r="A63" s="6" t="inlineStr">
        <is>
          <t>EMP-0059</t>
        </is>
      </c>
      <c r="B63" s="5" t="n">
        <v>50</v>
      </c>
      <c r="C63" s="7" t="inlineStr">
        <is>
          <t>SIPEAGRO (UF-XXXXX)</t>
        </is>
      </c>
      <c r="D63" s="8" t="inlineStr">
        <is>
          <t>AGCN ENXOFRE</t>
        </is>
      </c>
      <c r="E63" s="7" t="inlineStr">
        <is>
          <t>1. Titular do Registro / Produtor</t>
        </is>
      </c>
      <c r="F63" s="7" t="inlineStr">
        <is>
          <t>Fertilizante Mineral / Organomineral</t>
        </is>
      </c>
      <c r="G63" s="7" t="inlineStr">
        <is>
          <t>Estabelecimento Produtor SIPEAGRO/MAPA</t>
        </is>
      </c>
      <c r="H63" s="7" t="inlineStr">
        <is>
          <t>Matriz / Estabelecimento Principal</t>
        </is>
      </c>
      <c r="I63" s="7" t="inlineStr">
        <is>
          <t>CNPJ Credenciado MAPA/SIPEAGRO</t>
        </is>
      </c>
      <c r="J63" s="7" t="inlineStr">
        <is>
          <t>Registro Estadual Vigente</t>
        </is>
      </c>
      <c r="K63" s="7" t="inlineStr">
        <is>
          <t>Estabelecimento Credenciado no Brasil</t>
        </is>
      </c>
      <c r="L63" s="7" t="inlineStr">
        <is>
          <t>Brasil</t>
        </is>
      </c>
      <c r="M63" s="7" t="inlineStr">
        <is>
          <t>0 - Nacional / 1 - Importação Direta</t>
        </is>
      </c>
    </row>
    <row r="64" ht="22" customHeight="1">
      <c r="A64" s="12" t="inlineStr">
        <is>
          <t>EMP-0060</t>
        </is>
      </c>
      <c r="B64" s="11" t="n">
        <v>51</v>
      </c>
      <c r="C64" s="13" t="inlineStr">
        <is>
          <t>SIPEAGRO (UF-XXXXX)</t>
        </is>
      </c>
      <c r="D64" s="14" t="inlineStr">
        <is>
          <t>AGCN MG 16</t>
        </is>
      </c>
      <c r="E64" s="13" t="inlineStr">
        <is>
          <t>1. Titular do Registro / Produtor</t>
        </is>
      </c>
      <c r="F64" s="13" t="inlineStr">
        <is>
          <t>Fertilizante Mineral / Organomineral</t>
        </is>
      </c>
      <c r="G64" s="13" t="inlineStr">
        <is>
          <t>Estabelecimento Produtor SIPEAGRO/MAPA</t>
        </is>
      </c>
      <c r="H64" s="13" t="inlineStr">
        <is>
          <t>Matriz / Estabelecimento Principal</t>
        </is>
      </c>
      <c r="I64" s="13" t="inlineStr">
        <is>
          <t>CNPJ Credenciado MAPA/SIPEAGRO</t>
        </is>
      </c>
      <c r="J64" s="13" t="inlineStr">
        <is>
          <t>Registro Estadual Vigente</t>
        </is>
      </c>
      <c r="K64" s="13" t="inlineStr">
        <is>
          <t>Estabelecimento Credenciado no Brasil</t>
        </is>
      </c>
      <c r="L64" s="13" t="inlineStr">
        <is>
          <t>Brasil</t>
        </is>
      </c>
      <c r="M64" s="13" t="inlineStr">
        <is>
          <t>0 - Nacional / 1 - Importação Direta</t>
        </is>
      </c>
    </row>
    <row r="65" ht="22" customHeight="1">
      <c r="A65" s="6" t="inlineStr">
        <is>
          <t>EMP-0061</t>
        </is>
      </c>
      <c r="B65" s="5" t="n">
        <v>52</v>
      </c>
      <c r="C65" s="7" t="inlineStr">
        <is>
          <t>Nº 14314</t>
        </is>
      </c>
      <c r="D65" s="8" t="inlineStr">
        <is>
          <t>EXALT</t>
        </is>
      </c>
      <c r="E65" s="7" t="inlineStr">
        <is>
          <t>1. Titular do Registro / Produtor</t>
        </is>
      </c>
      <c r="F65" s="7" t="inlineStr">
        <is>
          <t>Produto Formulado Comercial</t>
        </is>
      </c>
      <c r="G65" s="7" t="inlineStr">
        <is>
          <t>CORTEVA AGRISCIENCE DO BRASIL LTDA.</t>
        </is>
      </c>
      <c r="H65" s="7" t="inlineStr">
        <is>
          <t>Matriz / Estabelecimento Principal</t>
        </is>
      </c>
      <c r="I65" s="7" t="inlineStr">
        <is>
          <t>CNPJ Credenciado MAPA/SIPEAGRO</t>
        </is>
      </c>
      <c r="J65" s="7" t="inlineStr">
        <is>
          <t>Registro Estadual Vigente</t>
        </is>
      </c>
      <c r="K65" s="7" t="inlineStr">
        <is>
          <t>Estabelecimento Credenciado no Brasil</t>
        </is>
      </c>
      <c r="L65" s="7" t="inlineStr">
        <is>
          <t>Brasil</t>
        </is>
      </c>
      <c r="M65" s="7" t="inlineStr">
        <is>
          <t>0 - Nacional / 1 - Importação Direta</t>
        </is>
      </c>
    </row>
    <row r="66" ht="22" customHeight="1">
      <c r="A66" s="12" t="inlineStr">
        <is>
          <t>EMP-0062</t>
        </is>
      </c>
      <c r="B66" s="11" t="n">
        <v>53</v>
      </c>
      <c r="C66" s="13" t="inlineStr">
        <is>
          <t>Nº 2520</t>
        </is>
      </c>
      <c r="D66" s="14" t="inlineStr">
        <is>
          <t>SURVEY 250 FS</t>
        </is>
      </c>
      <c r="E66" s="13" t="inlineStr">
        <is>
          <t>1. Titular do Registro / Produtor</t>
        </is>
      </c>
      <c r="F66" s="13" t="inlineStr">
        <is>
          <t>Produto Formulado Comercial</t>
        </is>
      </c>
      <c r="G66" s="13" t="inlineStr">
        <is>
          <t>Rainbow Defensivos</t>
        </is>
      </c>
      <c r="H66" s="13" t="inlineStr">
        <is>
          <t>Matriz / Estabelecimento Principal</t>
        </is>
      </c>
      <c r="I66" s="13" t="inlineStr">
        <is>
          <t>10.486.463/0001-69</t>
        </is>
      </c>
      <c r="J66" s="13" t="inlineStr">
        <is>
          <t>SEAPA/RS nº 1928/09</t>
        </is>
      </c>
      <c r="K66" s="13" t="inlineStr">
        <is>
          <t>Estabelecimento Credenciado no Brasil</t>
        </is>
      </c>
      <c r="L66" s="13" t="inlineStr">
        <is>
          <t>Brasil</t>
        </is>
      </c>
      <c r="M66" s="13" t="inlineStr">
        <is>
          <t>0 - Nacional / 1 - Importação Direta</t>
        </is>
      </c>
    </row>
    <row r="67" ht="22" customHeight="1">
      <c r="A67" s="6" t="inlineStr">
        <is>
          <t>EMP-0063</t>
        </is>
      </c>
      <c r="B67" s="5" t="n">
        <v>54</v>
      </c>
      <c r="C67" s="7" t="inlineStr">
        <is>
          <t>Nº 0494</t>
        </is>
      </c>
      <c r="D67" s="8" t="inlineStr">
        <is>
          <t>SCORPION</t>
        </is>
      </c>
      <c r="E67" s="7" t="inlineStr">
        <is>
          <t>1. Titular do Registro / Produtor</t>
        </is>
      </c>
      <c r="F67" s="7" t="inlineStr">
        <is>
          <t>Produto Formulado Comercial</t>
        </is>
      </c>
      <c r="G67" s="7" t="inlineStr">
        <is>
          <t>Corteva Agriscience</t>
        </is>
      </c>
      <c r="H67" s="7" t="inlineStr">
        <is>
          <t>Matriz / Estabelecimento Principal</t>
        </is>
      </c>
      <c r="I67" s="7" t="inlineStr">
        <is>
          <t>CNPJ Credenciado MAPA/SIPEAGRO</t>
        </is>
      </c>
      <c r="J67" s="7" t="inlineStr">
        <is>
          <t>Registro Estadual Vigente</t>
        </is>
      </c>
      <c r="K67" s="7" t="inlineStr">
        <is>
          <t>Estabelecimento Credenciado no Brasil</t>
        </is>
      </c>
      <c r="L67" s="7" t="inlineStr">
        <is>
          <t>Brasil</t>
        </is>
      </c>
      <c r="M67" s="7" t="inlineStr">
        <is>
          <t>0 - Nacional / 1 - Importação Direta</t>
        </is>
      </c>
    </row>
    <row r="68" ht="22" customHeight="1">
      <c r="A68" s="12" t="inlineStr">
        <is>
          <t>EMP-0064</t>
        </is>
      </c>
      <c r="B68" s="11" t="n">
        <v>55</v>
      </c>
      <c r="C68" s="13" t="inlineStr">
        <is>
          <t>Nº 8813</t>
        </is>
      </c>
      <c r="D68" s="14" t="inlineStr">
        <is>
          <t>ORKESTRA</t>
        </is>
      </c>
      <c r="E68" s="13" t="inlineStr">
        <is>
          <t>1. Titular do Registro / Produtor</t>
        </is>
      </c>
      <c r="F68" s="13" t="inlineStr">
        <is>
          <t>Produto Formulado Comercial</t>
        </is>
      </c>
      <c r="G68" s="13" t="inlineStr">
        <is>
          <t>BASF S.A.</t>
        </is>
      </c>
      <c r="H68" s="13" t="inlineStr">
        <is>
          <t>Matriz / Estabelecimento Principal</t>
        </is>
      </c>
      <c r="I68" s="13" t="inlineStr">
        <is>
          <t>CNPJ Credenciado MAPA/SIPEAGRO</t>
        </is>
      </c>
      <c r="J68" s="13" t="inlineStr">
        <is>
          <t>Registro Estadual Vigente</t>
        </is>
      </c>
      <c r="K68" s="13" t="inlineStr">
        <is>
          <t>Estabelecimento Credenciado no Brasil</t>
        </is>
      </c>
      <c r="L68" s="13" t="inlineStr">
        <is>
          <t>Brasil</t>
        </is>
      </c>
      <c r="M68" s="13" t="inlineStr">
        <is>
          <t>0 - Nacional / 1 - Importação Direta</t>
        </is>
      </c>
    </row>
    <row r="69" ht="22" customHeight="1">
      <c r="A69" s="6" t="inlineStr">
        <is>
          <t>EMP-0065</t>
        </is>
      </c>
      <c r="B69" s="5" t="n">
        <v>56</v>
      </c>
      <c r="C69" s="7" t="inlineStr">
        <is>
          <t>Nº 25119</t>
        </is>
      </c>
      <c r="D69" s="8" t="inlineStr">
        <is>
          <t>GLIFOSATO 72WG ALAMOS</t>
        </is>
      </c>
      <c r="E69" s="7" t="inlineStr">
        <is>
          <t>1. Titular do Registro / Produtor</t>
        </is>
      </c>
      <c r="F69" s="7" t="inlineStr">
        <is>
          <t>Produto Formulado Comercial</t>
        </is>
      </c>
      <c r="G69" s="7" t="inlineStr">
        <is>
          <t>ALAMOS AGROQUÍMICA LTDA. / PERTERRA INSUMOS AGROPECUÁRIOS S.A.</t>
        </is>
      </c>
      <c r="H69" s="7" t="inlineStr">
        <is>
          <t>Matriz / Estabelecimento Principal</t>
        </is>
      </c>
      <c r="I69" s="7" t="inlineStr">
        <is>
          <t>CNPJ Credenciado MAPA/SIPEAGRO</t>
        </is>
      </c>
      <c r="J69" s="7" t="inlineStr">
        <is>
          <t>Registro Estadual Vigente</t>
        </is>
      </c>
      <c r="K69" s="7" t="inlineStr">
        <is>
          <t>Estabelecimento Credenciado no Brasil</t>
        </is>
      </c>
      <c r="L69" s="7" t="inlineStr">
        <is>
          <t>Brasil</t>
        </is>
      </c>
      <c r="M69" s="7" t="inlineStr">
        <is>
          <t>0 - Nacional / 1 - Importação Direta</t>
        </is>
      </c>
    </row>
    <row r="70" ht="22" customHeight="1">
      <c r="A70" s="12" t="inlineStr">
        <is>
          <t>EMP-0066</t>
        </is>
      </c>
      <c r="B70" s="11" t="n">
        <v>57</v>
      </c>
      <c r="C70" s="13" t="inlineStr">
        <is>
          <t>Nº 36518</t>
        </is>
      </c>
      <c r="D70" s="14" t="inlineStr">
        <is>
          <t>MAXIZATO</t>
        </is>
      </c>
      <c r="E70" s="13" t="inlineStr">
        <is>
          <t>1. Titular do Registro / Produtor</t>
        </is>
      </c>
      <c r="F70" s="13" t="inlineStr">
        <is>
          <t>Produto Formulado Comercial</t>
        </is>
      </c>
      <c r="G70" s="13" t="inlineStr">
        <is>
          <t>RAINBOW DEFENSIVOS AGRÍCOLAS LTDA.</t>
        </is>
      </c>
      <c r="H70" s="13" t="inlineStr">
        <is>
          <t>Matriz / Estabelecimento Principal</t>
        </is>
      </c>
      <c r="I70" s="13" t="inlineStr">
        <is>
          <t>CNPJ Credenciado MAPA/SIPEAGRO</t>
        </is>
      </c>
      <c r="J70" s="13" t="inlineStr">
        <is>
          <t>Registro Estadual Vigente</t>
        </is>
      </c>
      <c r="K70" s="13" t="inlineStr">
        <is>
          <t>Estabelecimento Credenciado no Brasil</t>
        </is>
      </c>
      <c r="L70" s="13" t="inlineStr">
        <is>
          <t>Brasil</t>
        </is>
      </c>
      <c r="M70" s="13" t="inlineStr">
        <is>
          <t>0 - Nacional / 1 - Importação Direta</t>
        </is>
      </c>
    </row>
    <row r="71" ht="22" customHeight="1">
      <c r="A71" s="6" t="inlineStr">
        <is>
          <t>EMP-0067</t>
        </is>
      </c>
      <c r="B71" s="5" t="n">
        <v>58</v>
      </c>
      <c r="C71" s="7" t="inlineStr">
        <is>
          <t>Nº 28520</t>
        </is>
      </c>
      <c r="D71" s="8" t="inlineStr">
        <is>
          <t>SENHA 720 WG</t>
        </is>
      </c>
      <c r="E71" s="7" t="inlineStr">
        <is>
          <t>1. Titular do Registro / Produtor</t>
        </is>
      </c>
      <c r="F71" s="7" t="inlineStr">
        <is>
          <t>Produto Formulado Comercial</t>
        </is>
      </c>
      <c r="G71" s="7" t="inlineStr">
        <is>
          <t>RAINBOW DEFENSIVOS AGRÍCOLAS LTDA.</t>
        </is>
      </c>
      <c r="H71" s="7" t="inlineStr">
        <is>
          <t>Matriz / Estabelecimento Principal</t>
        </is>
      </c>
      <c r="I71" s="7" t="inlineStr">
        <is>
          <t>10.486.463/0001-69</t>
        </is>
      </c>
      <c r="J71" s="7" t="inlineStr">
        <is>
          <t>SEAPA/RS nº 1928/09</t>
        </is>
      </c>
      <c r="K71" s="7" t="inlineStr">
        <is>
          <t>Av. Carlos Gomes, 258, Porto Alegre/RS</t>
        </is>
      </c>
      <c r="L71" s="7" t="inlineStr">
        <is>
          <t>Brasil</t>
        </is>
      </c>
      <c r="M71" s="7" t="inlineStr">
        <is>
          <t>0 - Nacional / 1 - Importação Direta</t>
        </is>
      </c>
    </row>
    <row r="72" ht="22" customHeight="1">
      <c r="A72" s="12" t="inlineStr">
        <is>
          <t>EMP-0068</t>
        </is>
      </c>
      <c r="B72" s="11" t="n">
        <v>59</v>
      </c>
      <c r="C72" s="13" t="inlineStr">
        <is>
          <t>Nº 13714</t>
        </is>
      </c>
      <c r="D72" s="14" t="inlineStr">
        <is>
          <t>WIPE OUT</t>
        </is>
      </c>
      <c r="E72" s="13" t="inlineStr">
        <is>
          <t>1. Titular do Registro / Produtor</t>
        </is>
      </c>
      <c r="F72" s="13" t="inlineStr">
        <is>
          <t>Produto Formulado Comercial</t>
        </is>
      </c>
      <c r="G72" s="13" t="inlineStr">
        <is>
          <t>RAINBOW DEFENSIVOS AGRÍCOLAS LTDA.</t>
        </is>
      </c>
      <c r="H72" s="13" t="inlineStr">
        <is>
          <t>Matriz / Estabelecimento Principal</t>
        </is>
      </c>
      <c r="I72" s="13" t="inlineStr">
        <is>
          <t>10.486.463/0001-69</t>
        </is>
      </c>
      <c r="J72" s="13" t="inlineStr">
        <is>
          <t>SEAPA/RS nº 1928/09</t>
        </is>
      </c>
      <c r="K72" s="13" t="inlineStr">
        <is>
          <t>Av. Carlos Gomes, 258, Porto Alegre/RS</t>
        </is>
      </c>
      <c r="L72" s="13" t="inlineStr">
        <is>
          <t>Brasil</t>
        </is>
      </c>
      <c r="M72" s="13" t="inlineStr">
        <is>
          <t>0 - Nacional / 1 - Importação Direta</t>
        </is>
      </c>
    </row>
    <row r="73" ht="22" customHeight="1">
      <c r="A73" s="6" t="inlineStr">
        <is>
          <t>EMP-0069</t>
        </is>
      </c>
      <c r="B73" s="5" t="n">
        <v>60</v>
      </c>
      <c r="C73" s="7" t="inlineStr">
        <is>
          <t>Nº 13714</t>
        </is>
      </c>
      <c r="D73" s="8" t="inlineStr">
        <is>
          <t>WIPE OUT</t>
        </is>
      </c>
      <c r="E73" s="7" t="inlineStr">
        <is>
          <t>1. Titular do Registro / Produtor</t>
        </is>
      </c>
      <c r="F73" s="7" t="inlineStr">
        <is>
          <t>Produto Formulado Comercial</t>
        </is>
      </c>
      <c r="G73" s="7" t="inlineStr">
        <is>
          <t>RAINBOW DEFENSIVOS AGRÍCOLAS LTDA.</t>
        </is>
      </c>
      <c r="H73" s="7" t="inlineStr">
        <is>
          <t>Matriz / Estabelecimento Principal</t>
        </is>
      </c>
      <c r="I73" s="7" t="inlineStr">
        <is>
          <t>10.486.463/0001-69</t>
        </is>
      </c>
      <c r="J73" s="7" t="inlineStr">
        <is>
          <t>SEAPA/RS nº 1928/09</t>
        </is>
      </c>
      <c r="K73" s="7" t="inlineStr">
        <is>
          <t>Av. Carlos Gomes, 258, Porto Alegre/RS</t>
        </is>
      </c>
      <c r="L73" s="7" t="inlineStr">
        <is>
          <t>Brasil</t>
        </is>
      </c>
      <c r="M73" s="7" t="inlineStr">
        <is>
          <t>0 - Nacional / 1 - Importação Direta</t>
        </is>
      </c>
    </row>
    <row r="74" ht="22" customHeight="1">
      <c r="A74" s="12" t="inlineStr">
        <is>
          <t>EMP-0070</t>
        </is>
      </c>
      <c r="B74" s="11" t="n">
        <v>61</v>
      </c>
      <c r="C74" s="13" t="inlineStr">
        <is>
          <t>Nº 34221</t>
        </is>
      </c>
      <c r="D74" s="14" t="inlineStr">
        <is>
          <t>SAPEK MAX</t>
        </is>
      </c>
      <c r="E74" s="13" t="inlineStr">
        <is>
          <t>1. Titular do Registro / Produtor</t>
        </is>
      </c>
      <c r="F74" s="13" t="inlineStr">
        <is>
          <t>Produto Formulado Comercial</t>
        </is>
      </c>
      <c r="G74" s="13" t="inlineStr">
        <is>
          <t>RAINBOW DEFENSIVOS AGRÍCOLAS LTDA.</t>
        </is>
      </c>
      <c r="H74" s="13" t="inlineStr">
        <is>
          <t>Matriz / Estabelecimento Principal</t>
        </is>
      </c>
      <c r="I74" s="13" t="inlineStr">
        <is>
          <t>CNPJ Credenciado MAPA/SIPEAGRO</t>
        </is>
      </c>
      <c r="J74" s="13" t="inlineStr">
        <is>
          <t>Registro Estadual Vigente</t>
        </is>
      </c>
      <c r="K74" s="13" t="inlineStr">
        <is>
          <t>Estabelecimento Credenciado no Brasil</t>
        </is>
      </c>
      <c r="L74" s="13" t="inlineStr">
        <is>
          <t>Brasil</t>
        </is>
      </c>
      <c r="M74" s="13" t="inlineStr">
        <is>
          <t>0 - Nacional / 1 - Importação Direta</t>
        </is>
      </c>
    </row>
    <row r="75" ht="22" customHeight="1">
      <c r="A75" s="6" t="inlineStr">
        <is>
          <t>EMP-0071</t>
        </is>
      </c>
      <c r="B75" s="5" t="n">
        <v>62</v>
      </c>
      <c r="C75" s="7" t="inlineStr">
        <is>
          <t>Nº 3518</t>
        </is>
      </c>
      <c r="D75" s="8" t="inlineStr">
        <is>
          <t>VERDICT MAX</t>
        </is>
      </c>
      <c r="E75" s="7" t="inlineStr">
        <is>
          <t>1. Titular do Registro / Produtor</t>
        </is>
      </c>
      <c r="F75" s="7" t="inlineStr">
        <is>
          <t>Produto Formulado Comercial</t>
        </is>
      </c>
      <c r="G75" s="7" t="inlineStr">
        <is>
          <t>Corteva Agriscience</t>
        </is>
      </c>
      <c r="H75" s="7" t="inlineStr">
        <is>
          <t>Matriz / Estabelecimento Principal</t>
        </is>
      </c>
      <c r="I75" s="7" t="inlineStr">
        <is>
          <t>CNPJ Credenciado MAPA/SIPEAGRO</t>
        </is>
      </c>
      <c r="J75" s="7" t="inlineStr">
        <is>
          <t>Registro Estadual Vigente</t>
        </is>
      </c>
      <c r="K75" s="7" t="inlineStr">
        <is>
          <t>Estabelecimento Credenciado no Brasil</t>
        </is>
      </c>
      <c r="L75" s="7" t="inlineStr">
        <is>
          <t>Brasil</t>
        </is>
      </c>
      <c r="M75" s="7" t="inlineStr">
        <is>
          <t>0 - Nacional / 1 - Importação Direta</t>
        </is>
      </c>
    </row>
    <row r="76" ht="22" customHeight="1">
      <c r="A76" s="12" t="inlineStr">
        <is>
          <t>EMP-0072</t>
        </is>
      </c>
      <c r="B76" s="11" t="n">
        <v>63</v>
      </c>
      <c r="C76" s="13" t="inlineStr">
        <is>
          <t>Nº 14518</t>
        </is>
      </c>
      <c r="D76" s="14" t="inlineStr">
        <is>
          <t>SOYACLEAN XTRA</t>
        </is>
      </c>
      <c r="E76" s="13" t="inlineStr">
        <is>
          <t>1. Titular do Registro / Produtor</t>
        </is>
      </c>
      <c r="F76" s="13" t="inlineStr">
        <is>
          <t>Produto Formulado Comercial</t>
        </is>
      </c>
      <c r="G76" s="13" t="inlineStr">
        <is>
          <t>RAINBOW DEFENSIVOS AGRÍCOLAS LTDA.</t>
        </is>
      </c>
      <c r="H76" s="13" t="inlineStr">
        <is>
          <t>Matriz / Estabelecimento Principal</t>
        </is>
      </c>
      <c r="I76" s="13" t="inlineStr">
        <is>
          <t>CNPJ Credenciado MAPA/SIPEAGRO</t>
        </is>
      </c>
      <c r="J76" s="13" t="inlineStr">
        <is>
          <t>Registro Estadual Vigente</t>
        </is>
      </c>
      <c r="K76" s="13" t="inlineStr">
        <is>
          <t>Estabelecimento Credenciado no Brasil</t>
        </is>
      </c>
      <c r="L76" s="13" t="inlineStr">
        <is>
          <t>Brasil</t>
        </is>
      </c>
      <c r="M76" s="13" t="inlineStr">
        <is>
          <t>0 - Nacional / 1 - Importação Direta</t>
        </is>
      </c>
    </row>
    <row r="77" ht="22" customHeight="1">
      <c r="A77" s="6" t="inlineStr">
        <is>
          <t>EMP-0073</t>
        </is>
      </c>
      <c r="B77" s="5" t="n">
        <v>64</v>
      </c>
      <c r="C77" s="7" t="inlineStr">
        <is>
          <t>SIPEAGRO (UF-XXXXX)</t>
        </is>
      </c>
      <c r="D77" s="8" t="inlineStr">
        <is>
          <t>AGCN NITROBIOT</t>
        </is>
      </c>
      <c r="E77" s="7" t="inlineStr">
        <is>
          <t>1. Titular do Registro / Produtor</t>
        </is>
      </c>
      <c r="F77" s="7" t="inlineStr">
        <is>
          <t>Inoculante / Biológico</t>
        </is>
      </c>
      <c r="G77" s="7" t="inlineStr">
        <is>
          <t>Estabelecimento Produtor SIPEAGRO/MAPA</t>
        </is>
      </c>
      <c r="H77" s="7" t="inlineStr">
        <is>
          <t>Matriz / Estabelecimento Principal</t>
        </is>
      </c>
      <c r="I77" s="7" t="inlineStr">
        <is>
          <t>CNPJ Credenciado MAPA/SIPEAGRO</t>
        </is>
      </c>
      <c r="J77" s="7" t="inlineStr">
        <is>
          <t>Registro Estadual Vigente</t>
        </is>
      </c>
      <c r="K77" s="7" t="inlineStr">
        <is>
          <t>Estabelecimento Credenciado no Brasil</t>
        </is>
      </c>
      <c r="L77" s="7" t="inlineStr">
        <is>
          <t>Brasil</t>
        </is>
      </c>
      <c r="M77" s="7" t="inlineStr">
        <is>
          <t>0 - Nacional / 1 - Importação Direta</t>
        </is>
      </c>
    </row>
    <row r="78" ht="22" customHeight="1">
      <c r="A78" s="12" t="inlineStr">
        <is>
          <t>EMP-0074</t>
        </is>
      </c>
      <c r="B78" s="11" t="n">
        <v>65</v>
      </c>
      <c r="C78" s="13" t="inlineStr">
        <is>
          <t>SIPEAGRO (UF-XXXXX)</t>
        </is>
      </c>
      <c r="D78" s="14" t="inlineStr">
        <is>
          <t>AGCN RIZODERMA CX 10X0,5KG</t>
        </is>
      </c>
      <c r="E78" s="13" t="inlineStr">
        <is>
          <t>1. Titular do Registro / Produtor</t>
        </is>
      </c>
      <c r="F78" s="13" t="inlineStr">
        <is>
          <t>Fertilizante Mineral / Organomineral</t>
        </is>
      </c>
      <c r="G78" s="13" t="inlineStr">
        <is>
          <t>Estabelecimento Produtor SIPEAGRO/MAPA</t>
        </is>
      </c>
      <c r="H78" s="13" t="inlineStr">
        <is>
          <t>Matriz / Estabelecimento Principal</t>
        </is>
      </c>
      <c r="I78" s="13" t="inlineStr">
        <is>
          <t>CNPJ Credenciado MAPA/SIPEAGRO</t>
        </is>
      </c>
      <c r="J78" s="13" t="inlineStr">
        <is>
          <t>Registro Estadual Vigente</t>
        </is>
      </c>
      <c r="K78" s="13" t="inlineStr">
        <is>
          <t>Estabelecimento Credenciado no Brasil</t>
        </is>
      </c>
      <c r="L78" s="13" t="inlineStr">
        <is>
          <t>Brasil</t>
        </is>
      </c>
      <c r="M78" s="13" t="inlineStr">
        <is>
          <t>0 - Nacional / 1 - Importação Direta</t>
        </is>
      </c>
    </row>
    <row r="79" ht="22" customHeight="1">
      <c r="A79" s="6" t="inlineStr">
        <is>
          <t>EMP-0075</t>
        </is>
      </c>
      <c r="B79" s="5" t="n">
        <v>66</v>
      </c>
      <c r="C79" s="7" t="inlineStr">
        <is>
          <t>SIPEAGRO (UF-XXXXX)</t>
        </is>
      </c>
      <c r="D79" s="8" t="inlineStr">
        <is>
          <t>AGCN RIZOFOS</t>
        </is>
      </c>
      <c r="E79" s="7" t="inlineStr">
        <is>
          <t>1. Titular do Registro / Produtor</t>
        </is>
      </c>
      <c r="F79" s="7" t="inlineStr">
        <is>
          <t>Inoculante / Biológico</t>
        </is>
      </c>
      <c r="G79" s="7" t="inlineStr">
        <is>
          <t>Estabelecimento Produtor SIPEAGRO/MAPA</t>
        </is>
      </c>
      <c r="H79" s="7" t="inlineStr">
        <is>
          <t>Matriz / Estabelecimento Principal</t>
        </is>
      </c>
      <c r="I79" s="7" t="inlineStr">
        <is>
          <t>CNPJ Credenciado MAPA/SIPEAGRO</t>
        </is>
      </c>
      <c r="J79" s="7" t="inlineStr">
        <is>
          <t>Registro Estadual Vigente</t>
        </is>
      </c>
      <c r="K79" s="7" t="inlineStr">
        <is>
          <t>Estabelecimento Credenciado no Brasil</t>
        </is>
      </c>
      <c r="L79" s="7" t="inlineStr">
        <is>
          <t>Brasil</t>
        </is>
      </c>
      <c r="M79" s="7" t="inlineStr">
        <is>
          <t>0 - Nacional / 1 - Importação Direta</t>
        </is>
      </c>
    </row>
    <row r="80" ht="22" customHeight="1">
      <c r="A80" s="12" t="inlineStr">
        <is>
          <t>EMP-0076</t>
        </is>
      </c>
      <c r="B80" s="11" t="n">
        <v>67</v>
      </c>
      <c r="C80" s="13" t="inlineStr">
        <is>
          <t>SIPEAGRO (UF-XXXXX)</t>
        </is>
      </c>
      <c r="D80" s="14" t="inlineStr">
        <is>
          <t>AGCN RIZOSPIRILLUM CX 14X1,5L</t>
        </is>
      </c>
      <c r="E80" s="13" t="inlineStr">
        <is>
          <t>1. Titular do Registro / Produtor</t>
        </is>
      </c>
      <c r="F80" s="13" t="inlineStr">
        <is>
          <t>Inoculante / Biológico</t>
        </is>
      </c>
      <c r="G80" s="13" t="inlineStr">
        <is>
          <t>Estabelecimento Produtor SIPEAGRO/MAPA</t>
        </is>
      </c>
      <c r="H80" s="13" t="inlineStr">
        <is>
          <t>Matriz / Estabelecimento Principal</t>
        </is>
      </c>
      <c r="I80" s="13" t="inlineStr">
        <is>
          <t>CNPJ Credenciado MAPA/SIPEAGRO</t>
        </is>
      </c>
      <c r="J80" s="13" t="inlineStr">
        <is>
          <t>Registro Estadual Vigente</t>
        </is>
      </c>
      <c r="K80" s="13" t="inlineStr">
        <is>
          <t>Estabelecimento Credenciado no Brasil</t>
        </is>
      </c>
      <c r="L80" s="13" t="inlineStr">
        <is>
          <t>Brasil</t>
        </is>
      </c>
      <c r="M80" s="13" t="inlineStr">
        <is>
          <t>0 - Nacional / 1 - Importação Direta</t>
        </is>
      </c>
    </row>
    <row r="81" ht="22" customHeight="1">
      <c r="A81" s="6" t="inlineStr">
        <is>
          <t>EMP-0077</t>
        </is>
      </c>
      <c r="B81" s="5" t="n">
        <v>68</v>
      </c>
      <c r="C81" s="7" t="inlineStr">
        <is>
          <t>ISENTO (ATO 104/2017)</t>
        </is>
      </c>
      <c r="D81" s="8" t="inlineStr">
        <is>
          <t>AGCN RIZOSPRAY EXTREMO</t>
        </is>
      </c>
      <c r="E81" s="7" t="inlineStr">
        <is>
          <t>1. Titular do Registro / Produtor</t>
        </is>
      </c>
      <c r="F81" s="7" t="inlineStr">
        <is>
          <t>Adjuvante / Espalhante Adesivo</t>
        </is>
      </c>
      <c r="G81" s="7" t="inlineStr">
        <is>
          <t>Dispensado de Registro (Ato SDA nº 104/2017)</t>
        </is>
      </c>
      <c r="H81" s="7" t="inlineStr">
        <is>
          <t>Matriz / Estabelecimento Principal</t>
        </is>
      </c>
      <c r="I81" s="7" t="inlineStr">
        <is>
          <t>CNPJ Credenciado MAPA/SIPEAGRO</t>
        </is>
      </c>
      <c r="J81" s="7" t="inlineStr">
        <is>
          <t>Registro Estadual Vigente</t>
        </is>
      </c>
      <c r="K81" s="7" t="inlineStr">
        <is>
          <t>Estabelecimento Credenciado no Brasil</t>
        </is>
      </c>
      <c r="L81" s="7" t="inlineStr">
        <is>
          <t>Brasil</t>
        </is>
      </c>
      <c r="M81" s="7" t="inlineStr">
        <is>
          <t>0 - Nacional / 1 - Importação Direta</t>
        </is>
      </c>
    </row>
    <row r="82" ht="22" customHeight="1">
      <c r="A82" s="12" t="inlineStr">
        <is>
          <t>EMP-0078</t>
        </is>
      </c>
      <c r="B82" s="11" t="n">
        <v>69</v>
      </c>
      <c r="C82" s="13" t="inlineStr">
        <is>
          <t>ISENTO (ATO 104/2017)</t>
        </is>
      </c>
      <c r="D82" s="14" t="inlineStr">
        <is>
          <t>AGCN SILWET AG</t>
        </is>
      </c>
      <c r="E82" s="13" t="inlineStr">
        <is>
          <t>1. Titular do Registro / Produtor</t>
        </is>
      </c>
      <c r="F82" s="13" t="inlineStr">
        <is>
          <t>Adjuvante / Espalhante Adesivo</t>
        </is>
      </c>
      <c r="G82" s="13" t="inlineStr">
        <is>
          <t>Dispensado de Registro (Ato SDA nº 104/2017)</t>
        </is>
      </c>
      <c r="H82" s="13" t="inlineStr">
        <is>
          <t>Matriz / Estabelecimento Principal</t>
        </is>
      </c>
      <c r="I82" s="13" t="inlineStr">
        <is>
          <t>CNPJ Credenciado MAPA/SIPEAGRO</t>
        </is>
      </c>
      <c r="J82" s="13" t="inlineStr">
        <is>
          <t>Registro Estadual Vigente</t>
        </is>
      </c>
      <c r="K82" s="13" t="inlineStr">
        <is>
          <t>Estabelecimento Credenciado no Brasil</t>
        </is>
      </c>
      <c r="L82" s="13" t="inlineStr">
        <is>
          <t>Brasil</t>
        </is>
      </c>
      <c r="M82" s="13" t="inlineStr">
        <is>
          <t>0 - Nacional / 1 - Importação Direta</t>
        </is>
      </c>
    </row>
    <row r="83" ht="22" customHeight="1">
      <c r="A83" s="6" t="inlineStr">
        <is>
          <t>EMP-0079</t>
        </is>
      </c>
      <c r="B83" s="5" t="n">
        <v>70</v>
      </c>
      <c r="C83" s="7" t="inlineStr">
        <is>
          <t>SIPEAGRO (UF-XXXXX)</t>
        </is>
      </c>
      <c r="D83" s="8" t="inlineStr">
        <is>
          <t>BIOMAX AZUM 5X1.8L</t>
        </is>
      </c>
      <c r="E83" s="7" t="inlineStr">
        <is>
          <t>1. Titular do Registro / Produtor</t>
        </is>
      </c>
      <c r="F83" s="7" t="inlineStr">
        <is>
          <t>Inoculante / Biológico</t>
        </is>
      </c>
      <c r="G83" s="7" t="inlineStr">
        <is>
          <t>Estabelecimento Produtor SIPEAGRO/MAPA</t>
        </is>
      </c>
      <c r="H83" s="7" t="inlineStr">
        <is>
          <t>Matriz / Estabelecimento Principal</t>
        </is>
      </c>
      <c r="I83" s="7" t="inlineStr">
        <is>
          <t>CNPJ Credenciado MAPA/SIPEAGRO</t>
        </is>
      </c>
      <c r="J83" s="7" t="inlineStr">
        <is>
          <t>Registro Estadual Vigente</t>
        </is>
      </c>
      <c r="K83" s="7" t="inlineStr">
        <is>
          <t>Estabelecimento Credenciado no Brasil</t>
        </is>
      </c>
      <c r="L83" s="7" t="inlineStr">
        <is>
          <t>Brasil</t>
        </is>
      </c>
      <c r="M83" s="7" t="inlineStr">
        <is>
          <t>0 - Nacional / 1 - Importação Direta</t>
        </is>
      </c>
    </row>
    <row r="84" ht="22" customHeight="1">
      <c r="A84" s="12" t="inlineStr">
        <is>
          <t>EMP-0080</t>
        </is>
      </c>
      <c r="B84" s="11" t="n">
        <v>71</v>
      </c>
      <c r="C84" s="13" t="inlineStr">
        <is>
          <t>SIPEAGRO (UF-XXXXX)</t>
        </is>
      </c>
      <c r="D84" s="14" t="inlineStr">
        <is>
          <t>AGCN POTASSIO</t>
        </is>
      </c>
      <c r="E84" s="13" t="inlineStr">
        <is>
          <t>1. Titular do Registro / Produtor</t>
        </is>
      </c>
      <c r="F84" s="13" t="inlineStr">
        <is>
          <t>Fertilizante Mineral / Organomineral</t>
        </is>
      </c>
      <c r="G84" s="13" t="inlineStr">
        <is>
          <t>Estabelecimento Produtor SIPEAGRO/MAPA</t>
        </is>
      </c>
      <c r="H84" s="13" t="inlineStr">
        <is>
          <t>Matriz / Estabelecimento Principal</t>
        </is>
      </c>
      <c r="I84" s="13" t="inlineStr">
        <is>
          <t>CNPJ Credenciado MAPA/SIPEAGRO</t>
        </is>
      </c>
      <c r="J84" s="13" t="inlineStr">
        <is>
          <t>Registro Estadual Vigente</t>
        </is>
      </c>
      <c r="K84" s="13" t="inlineStr">
        <is>
          <t>Estabelecimento Credenciado no Brasil</t>
        </is>
      </c>
      <c r="L84" s="13" t="inlineStr">
        <is>
          <t>Brasil</t>
        </is>
      </c>
      <c r="M84" s="13" t="inlineStr">
        <is>
          <t>0 - Nacional / 1 - Importação Direta</t>
        </is>
      </c>
    </row>
    <row r="85" ht="22" customHeight="1">
      <c r="A85" s="6" t="inlineStr">
        <is>
          <t>EMP-0081</t>
        </is>
      </c>
      <c r="B85" s="5" t="n">
        <v>72</v>
      </c>
      <c r="C85" s="7" t="inlineStr">
        <is>
          <t>Nº 2020</t>
        </is>
      </c>
      <c r="D85" s="8" t="inlineStr">
        <is>
          <t>SAMURAI</t>
        </is>
      </c>
      <c r="E85" s="7" t="inlineStr">
        <is>
          <t>1. Titular do Registro / Produtor</t>
        </is>
      </c>
      <c r="F85" s="7" t="inlineStr">
        <is>
          <t>Produto Formulado Comercial</t>
        </is>
      </c>
      <c r="G85" s="7" t="inlineStr">
        <is>
          <t>PILARQUIM BR COMERCIAL LTDA. / SYNGENTA</t>
        </is>
      </c>
      <c r="H85" s="7" t="inlineStr">
        <is>
          <t>Matriz / Estabelecimento Principal</t>
        </is>
      </c>
      <c r="I85" s="7" t="inlineStr">
        <is>
          <t>02.829.058/0001-24</t>
        </is>
      </c>
      <c r="J85" s="7" t="inlineStr">
        <is>
          <t>CDA/SP Vigente</t>
        </is>
      </c>
      <c r="K85" s="7" t="inlineStr">
        <is>
          <t>São Paulo/SP</t>
        </is>
      </c>
      <c r="L85" s="7" t="inlineStr">
        <is>
          <t>Brasil</t>
        </is>
      </c>
      <c r="M85" s="7" t="inlineStr">
        <is>
          <t>0 - Nacional / 1 - Importação Direta</t>
        </is>
      </c>
    </row>
    <row r="86" ht="22" customHeight="1">
      <c r="A86" s="12" t="inlineStr">
        <is>
          <t>EMP-0082</t>
        </is>
      </c>
      <c r="B86" s="11" t="n">
        <v>73</v>
      </c>
      <c r="C86" s="13" t="inlineStr">
        <is>
          <t>Nº 4110</t>
        </is>
      </c>
      <c r="D86" s="14" t="inlineStr">
        <is>
          <t>TRINCA CAPS</t>
        </is>
      </c>
      <c r="E86" s="13" t="inlineStr">
        <is>
          <t>1. Titular do Registro</t>
        </is>
      </c>
      <c r="F86" s="13" t="inlineStr">
        <is>
          <t>Produto Formulado Comercial</t>
        </is>
      </c>
      <c r="G86" s="13" t="inlineStr">
        <is>
          <t>UPL</t>
        </is>
      </c>
      <c r="H86" s="13" t="inlineStr">
        <is>
          <t>Estabelecimento Credenciado</t>
        </is>
      </c>
      <c r="I86" s="13" t="inlineStr">
        <is>
          <t>CNPJ Credenciado MAPA</t>
        </is>
      </c>
      <c r="J86" s="13" t="inlineStr">
        <is>
          <t>Registro Estadual Vigente</t>
        </is>
      </c>
      <c r="K86" s="13" t="inlineStr">
        <is>
          <t>Unidade Operacional Brasil</t>
        </is>
      </c>
      <c r="L86" s="13" t="inlineStr">
        <is>
          <t>Brasil</t>
        </is>
      </c>
      <c r="M86" s="13" t="inlineStr">
        <is>
          <t>0/1/2 - Conforme Origem do Lote</t>
        </is>
      </c>
    </row>
    <row r="87" ht="22" customHeight="1">
      <c r="A87" s="6" t="inlineStr">
        <is>
          <t>EMP-0083</t>
        </is>
      </c>
      <c r="B87" s="5" t="n">
        <v>73</v>
      </c>
      <c r="C87" s="7" t="inlineStr">
        <is>
          <t>Nº 4110</t>
        </is>
      </c>
      <c r="D87" s="8" t="inlineStr">
        <is>
          <t>TRINCA CAPS</t>
        </is>
      </c>
      <c r="E87" s="7" t="inlineStr">
        <is>
          <t>3. Formulador / Co-Distribuidor Autorizado</t>
        </is>
      </c>
      <c r="F87" s="7" t="inlineStr">
        <is>
          <t>Produto Formulado Comercial</t>
        </is>
      </c>
      <c r="G87" s="7" t="inlineStr">
        <is>
          <t>Sipcam</t>
        </is>
      </c>
      <c r="H87" s="7" t="inlineStr">
        <is>
          <t>Estabelecimento Credenciado</t>
        </is>
      </c>
      <c r="I87" s="7" t="inlineStr">
        <is>
          <t>CNPJ Credenciado MAPA</t>
        </is>
      </c>
      <c r="J87" s="7" t="inlineStr">
        <is>
          <t>Registro Estadual Vigente</t>
        </is>
      </c>
      <c r="K87" s="7" t="inlineStr">
        <is>
          <t>Unidade Operacional Brasil</t>
        </is>
      </c>
      <c r="L87" s="7" t="inlineStr">
        <is>
          <t>Brasil</t>
        </is>
      </c>
      <c r="M87" s="7" t="inlineStr">
        <is>
          <t>0/1/2 - Conforme Origem do Lote</t>
        </is>
      </c>
    </row>
    <row r="88" ht="22" customHeight="1">
      <c r="A88" s="12" t="inlineStr">
        <is>
          <t>EMP-0084</t>
        </is>
      </c>
      <c r="B88" s="11" t="n">
        <v>74</v>
      </c>
      <c r="C88" s="13" t="inlineStr">
        <is>
          <t>Nº 17618</t>
        </is>
      </c>
      <c r="D88" s="14" t="inlineStr">
        <is>
          <t>KRATON 100 EC</t>
        </is>
      </c>
      <c r="E88" s="13" t="inlineStr">
        <is>
          <t>1. Titular do Registro / Produtor</t>
        </is>
      </c>
      <c r="F88" s="13" t="inlineStr">
        <is>
          <t>Produto Formulado Comercial</t>
        </is>
      </c>
      <c r="G88" s="13" t="inlineStr">
        <is>
          <t>PERTERRA INSUMOS AGROPECUÁRIOS S.A.</t>
        </is>
      </c>
      <c r="H88" s="13" t="inlineStr">
        <is>
          <t>Matriz / Estabelecimento Principal</t>
        </is>
      </c>
      <c r="I88" s="13" t="inlineStr">
        <is>
          <t>CNPJ Credenciado MAPA/SIPEAGRO</t>
        </is>
      </c>
      <c r="J88" s="13" t="inlineStr">
        <is>
          <t>Registro Estadual Vigente</t>
        </is>
      </c>
      <c r="K88" s="13" t="inlineStr">
        <is>
          <t>Estabelecimento Credenciado no Brasil</t>
        </is>
      </c>
      <c r="L88" s="13" t="inlineStr">
        <is>
          <t>Brasil</t>
        </is>
      </c>
      <c r="M88" s="13" t="inlineStr">
        <is>
          <t>0 - Nacional / 1 - Importação Direta</t>
        </is>
      </c>
    </row>
    <row r="89" ht="22" customHeight="1">
      <c r="A89" s="6" t="inlineStr">
        <is>
          <t>EMP-0085</t>
        </is>
      </c>
      <c r="B89" s="5" t="n">
        <v>75</v>
      </c>
      <c r="C89" s="7" t="inlineStr">
        <is>
          <t>SIPEAGRO (UF-XXXXX)</t>
        </is>
      </c>
      <c r="D89" s="8" t="inlineStr">
        <is>
          <t>AGCN MAGNESIO</t>
        </is>
      </c>
      <c r="E89" s="7" t="inlineStr">
        <is>
          <t>1. Titular do Registro / Produtor</t>
        </is>
      </c>
      <c r="F89" s="7" t="inlineStr">
        <is>
          <t>Fertilizante Mineral / Organomineral</t>
        </is>
      </c>
      <c r="G89" s="7" t="inlineStr">
        <is>
          <t>Estabelecimento Produtor SIPEAGRO/MAPA</t>
        </is>
      </c>
      <c r="H89" s="7" t="inlineStr">
        <is>
          <t>Matriz / Estabelecimento Principal</t>
        </is>
      </c>
      <c r="I89" s="7" t="inlineStr">
        <is>
          <t>CNPJ Credenciado MAPA/SIPEAGRO</t>
        </is>
      </c>
      <c r="J89" s="7" t="inlineStr">
        <is>
          <t>Registro Estadual Vigente</t>
        </is>
      </c>
      <c r="K89" s="7" t="inlineStr">
        <is>
          <t>Estabelecimento Credenciado no Brasil</t>
        </is>
      </c>
      <c r="L89" s="7" t="inlineStr">
        <is>
          <t>Brasil</t>
        </is>
      </c>
      <c r="M89" s="7" t="inlineStr">
        <is>
          <t>0 - Nacional / 1 - Importação Direta</t>
        </is>
      </c>
    </row>
    <row r="90" ht="22" customHeight="1">
      <c r="A90" s="12" t="inlineStr">
        <is>
          <t>EMP-0086</t>
        </is>
      </c>
      <c r="B90" s="11" t="n">
        <v>76</v>
      </c>
      <c r="C90" s="13" t="inlineStr">
        <is>
          <t>SIPEAGRO (UF-XXXXX)</t>
        </is>
      </c>
      <c r="D90" s="14" t="inlineStr">
        <is>
          <t>HAIFA MAG</t>
        </is>
      </c>
      <c r="E90" s="13" t="inlineStr">
        <is>
          <t>1. Titular do Registro / Produtor</t>
        </is>
      </c>
      <c r="F90" s="13" t="inlineStr">
        <is>
          <t>Fertilizante Mineral / Organomineral</t>
        </is>
      </c>
      <c r="G90" s="13" t="inlineStr">
        <is>
          <t>Estabelecimento Produtor SIPEAGRO/MAPA</t>
        </is>
      </c>
      <c r="H90" s="13" t="inlineStr">
        <is>
          <t>Matriz / Estabelecimento Principal</t>
        </is>
      </c>
      <c r="I90" s="13" t="inlineStr">
        <is>
          <t>CNPJ Credenciado MAPA/SIPEAGRO</t>
        </is>
      </c>
      <c r="J90" s="13" t="inlineStr">
        <is>
          <t>Registro Estadual Vigente</t>
        </is>
      </c>
      <c r="K90" s="13" t="inlineStr">
        <is>
          <t>Estabelecimento Credenciado no Brasil</t>
        </is>
      </c>
      <c r="L90" s="13" t="inlineStr">
        <is>
          <t>Brasil</t>
        </is>
      </c>
      <c r="M90" s="13" t="inlineStr">
        <is>
          <t>0 - Nacional / 1 - Importação Direta</t>
        </is>
      </c>
    </row>
    <row r="91" ht="22" customHeight="1">
      <c r="A91" s="6" t="inlineStr">
        <is>
          <t>EMP-0087</t>
        </is>
      </c>
      <c r="B91" s="5" t="n">
        <v>77</v>
      </c>
      <c r="C91" s="7" t="inlineStr">
        <is>
          <t>Nº 1921</t>
        </is>
      </c>
      <c r="D91" s="8" t="inlineStr">
        <is>
          <t>EMZEB PLATINA 750 WG</t>
        </is>
      </c>
      <c r="E91" s="7" t="inlineStr">
        <is>
          <t>1. Titular do Registro</t>
        </is>
      </c>
      <c r="F91" s="7" t="inlineStr">
        <is>
          <t>Produto Formulado Comercial</t>
        </is>
      </c>
      <c r="G91" s="7" t="inlineStr">
        <is>
          <t>Sabero</t>
        </is>
      </c>
      <c r="H91" s="7" t="inlineStr">
        <is>
          <t>Estabelecimento Credenciado</t>
        </is>
      </c>
      <c r="I91" s="7" t="inlineStr">
        <is>
          <t>CNPJ Credenciado MAPA</t>
        </is>
      </c>
      <c r="J91" s="7" t="inlineStr">
        <is>
          <t>Registro Estadual Vigente</t>
        </is>
      </c>
      <c r="K91" s="7" t="inlineStr">
        <is>
          <t>Unidade Operacional Brasil</t>
        </is>
      </c>
      <c r="L91" s="7" t="inlineStr">
        <is>
          <t>Brasil</t>
        </is>
      </c>
      <c r="M91" s="7" t="inlineStr">
        <is>
          <t>0/1/2 - Conforme Origem do Lote</t>
        </is>
      </c>
    </row>
    <row r="92" ht="22" customHeight="1">
      <c r="A92" s="12" t="inlineStr">
        <is>
          <t>EMP-0088</t>
        </is>
      </c>
      <c r="B92" s="11" t="n">
        <v>77</v>
      </c>
      <c r="C92" s="13" t="inlineStr">
        <is>
          <t>Nº 1921</t>
        </is>
      </c>
      <c r="D92" s="14" t="inlineStr">
        <is>
          <t>EMZEB PLATINA 750 WG</t>
        </is>
      </c>
      <c r="E92" s="13" t="inlineStr">
        <is>
          <t>3. Formulador / Co-Distribuidor Autorizado</t>
        </is>
      </c>
      <c r="F92" s="13" t="inlineStr">
        <is>
          <t>Produto Formulado Comercial</t>
        </is>
      </c>
      <c r="G92" s="13" t="inlineStr">
        <is>
          <t>UPL</t>
        </is>
      </c>
      <c r="H92" s="13" t="inlineStr">
        <is>
          <t>Estabelecimento Credenciado</t>
        </is>
      </c>
      <c r="I92" s="13" t="inlineStr">
        <is>
          <t>CNPJ Credenciado MAPA</t>
        </is>
      </c>
      <c r="J92" s="13" t="inlineStr">
        <is>
          <t>Registro Estadual Vigente</t>
        </is>
      </c>
      <c r="K92" s="13" t="inlineStr">
        <is>
          <t>Unidade Operacional Brasil</t>
        </is>
      </c>
      <c r="L92" s="13" t="inlineStr">
        <is>
          <t>Brasil</t>
        </is>
      </c>
      <c r="M92" s="13" t="inlineStr">
        <is>
          <t>0/1/2 - Conforme Origem do Lote</t>
        </is>
      </c>
    </row>
    <row r="93" ht="22" customHeight="1">
      <c r="A93" s="6" t="inlineStr">
        <is>
          <t>EMP-0089</t>
        </is>
      </c>
      <c r="B93" s="5" t="n">
        <v>78</v>
      </c>
      <c r="C93" s="7" t="inlineStr">
        <is>
          <t>Nº 0720</t>
        </is>
      </c>
      <c r="D93" s="8" t="inlineStr">
        <is>
          <t>INDOZEB 750 WG</t>
        </is>
      </c>
      <c r="E93" s="7" t="inlineStr">
        <is>
          <t>1. Titular do Registro / Produtor</t>
        </is>
      </c>
      <c r="F93" s="7" t="inlineStr">
        <is>
          <t>Produto Formulado Comercial</t>
        </is>
      </c>
      <c r="G93" s="7" t="inlineStr">
        <is>
          <t>Indofil</t>
        </is>
      </c>
      <c r="H93" s="7" t="inlineStr">
        <is>
          <t>Matriz / Estabelecimento Principal</t>
        </is>
      </c>
      <c r="I93" s="7" t="inlineStr">
        <is>
          <t>CNPJ Credenciado MAPA/SIPEAGRO</t>
        </is>
      </c>
      <c r="J93" s="7" t="inlineStr">
        <is>
          <t>Registro Estadual Vigente</t>
        </is>
      </c>
      <c r="K93" s="7" t="inlineStr">
        <is>
          <t>Estabelecimento Credenciado no Brasil</t>
        </is>
      </c>
      <c r="L93" s="7" t="inlineStr">
        <is>
          <t>Brasil</t>
        </is>
      </c>
      <c r="M93" s="7" t="inlineStr">
        <is>
          <t>0 - Nacional / 1 - Importação Direta</t>
        </is>
      </c>
    </row>
    <row r="94" ht="22" customHeight="1">
      <c r="A94" s="12" t="inlineStr">
        <is>
          <t>EMP-0090</t>
        </is>
      </c>
      <c r="B94" s="11" t="n">
        <v>79</v>
      </c>
      <c r="C94" s="13" t="inlineStr">
        <is>
          <t>Nº 6313</t>
        </is>
      </c>
      <c r="D94" s="14" t="inlineStr">
        <is>
          <t>MANFIL 800 WP</t>
        </is>
      </c>
      <c r="E94" s="13" t="inlineStr">
        <is>
          <t>1. Titular do Registro / Produtor</t>
        </is>
      </c>
      <c r="F94" s="13" t="inlineStr">
        <is>
          <t>Produto Formulado Comercial</t>
        </is>
      </c>
      <c r="G94" s="13" t="inlineStr">
        <is>
          <t>INDOFIL INDUSTRIES DO BRASIL LTDA.</t>
        </is>
      </c>
      <c r="H94" s="13" t="inlineStr">
        <is>
          <t>Matriz / Estabelecimento Principal</t>
        </is>
      </c>
      <c r="I94" s="13" t="inlineStr">
        <is>
          <t>24.386.081/0001-78</t>
        </is>
      </c>
      <c r="J94" s="13" t="inlineStr">
        <is>
          <t>CDA/SP nº 1283</t>
        </is>
      </c>
      <c r="K94" s="13" t="inlineStr">
        <is>
          <t>Av. Roque Petroni Junior, 850, Jardim das Acácias, São Paulo/SP - CEP 04707-000</t>
        </is>
      </c>
      <c r="L94" s="13" t="inlineStr">
        <is>
          <t>Brasil</t>
        </is>
      </c>
      <c r="M94" s="13" t="inlineStr">
        <is>
          <t>0 - Nacional / 1 - Importação Direta</t>
        </is>
      </c>
    </row>
    <row r="95" ht="22" customHeight="1">
      <c r="A95" s="6" t="inlineStr">
        <is>
          <t>EMP-0091</t>
        </is>
      </c>
      <c r="B95" s="5" t="n">
        <v>79</v>
      </c>
      <c r="C95" s="7" t="inlineStr">
        <is>
          <t>Nº 6313</t>
        </is>
      </c>
      <c r="D95" s="8" t="inlineStr">
        <is>
          <t>MANFIL 800 WP</t>
        </is>
      </c>
      <c r="E95" s="7" t="inlineStr">
        <is>
          <t>2. Fabricante do Produto Técnico</t>
        </is>
      </c>
      <c r="F95" s="7" t="inlineStr">
        <is>
          <t>Produto Técnico Vinculado na Bula</t>
        </is>
      </c>
      <c r="G95" s="7" t="inlineStr">
        <is>
          <t>SHANDONG WEIFANG RAINBOW / YOUJIA CROP PROTECTION</t>
        </is>
      </c>
      <c r="H95" s="7" t="inlineStr">
        <is>
          <t>Planta Síntese Ásia</t>
        </is>
      </c>
      <c r="I95" s="7" t="inlineStr">
        <is>
          <t>EXT-CHN-TECH</t>
        </is>
      </c>
      <c r="J95" s="7" t="inlineStr">
        <is>
          <t>Isento Exterior</t>
        </is>
      </c>
      <c r="K95" s="7" t="inlineStr">
        <is>
          <t>Shandong / Jiangsu Industrial Park - China</t>
        </is>
      </c>
      <c r="L95" s="7" t="inlineStr">
        <is>
          <t>China</t>
        </is>
      </c>
      <c r="M95" s="7" t="inlineStr">
        <is>
          <t>1/2 - Importado</t>
        </is>
      </c>
    </row>
    <row r="96" ht="22" customHeight="1">
      <c r="A96" s="12" t="inlineStr">
        <is>
          <t>EMP-0092</t>
        </is>
      </c>
      <c r="B96" s="11" t="n">
        <v>79</v>
      </c>
      <c r="C96" s="13" t="inlineStr">
        <is>
          <t>Nº 6313</t>
        </is>
      </c>
      <c r="D96" s="14" t="inlineStr">
        <is>
          <t>MANFIL 800 WP</t>
        </is>
      </c>
      <c r="E96" s="13" t="inlineStr">
        <is>
          <t>3. Formulador</t>
        </is>
      </c>
      <c r="F96" s="13" t="inlineStr">
        <is>
          <t>Produto Formulado Comercial</t>
        </is>
      </c>
      <c r="G96" s="13" t="inlineStr">
        <is>
          <t>OURO FINO QUÍMICA S.A.</t>
        </is>
      </c>
      <c r="H96" s="13" t="inlineStr">
        <is>
          <t>Planta Uberaba/MG</t>
        </is>
      </c>
      <c r="I96" s="13" t="inlineStr">
        <is>
          <t>09.100.671/0001-07</t>
        </is>
      </c>
      <c r="J96" s="13" t="inlineStr">
        <is>
          <t>IMA/MG nº 8.764</t>
        </is>
      </c>
      <c r="K96" s="13" t="inlineStr">
        <is>
          <t>Av. Filomena Cartafina, 22335, Uberaba/MG</t>
        </is>
      </c>
      <c r="L96" s="13" t="inlineStr">
        <is>
          <t>Brasil</t>
        </is>
      </c>
      <c r="M96" s="13" t="inlineStr">
        <is>
          <t>0/3/5 - Nacional</t>
        </is>
      </c>
    </row>
    <row r="97" ht="22" customHeight="1">
      <c r="A97" s="6" t="inlineStr">
        <is>
          <t>EMP-0093</t>
        </is>
      </c>
      <c r="B97" s="5" t="n">
        <v>79</v>
      </c>
      <c r="C97" s="7" t="inlineStr">
        <is>
          <t>Nº 6313</t>
        </is>
      </c>
      <c r="D97" s="8" t="inlineStr">
        <is>
          <t>MANFIL 800 WP</t>
        </is>
      </c>
      <c r="E97" s="7" t="inlineStr">
        <is>
          <t>3. Formulador</t>
        </is>
      </c>
      <c r="F97" s="7" t="inlineStr">
        <is>
          <t>Produto Formulado Comercial</t>
        </is>
      </c>
      <c r="G97" s="7" t="inlineStr">
        <is>
          <t>FERSOL INDÚSTRIA E COMÉRCIO LTDA.</t>
        </is>
      </c>
      <c r="H97" s="7" t="inlineStr">
        <is>
          <t>Planta Mairinque/SP</t>
        </is>
      </c>
      <c r="I97" s="7" t="inlineStr">
        <is>
          <t>47.226.493/0001-46</t>
        </is>
      </c>
      <c r="J97" s="7" t="inlineStr">
        <is>
          <t>CDA/SP nº 31</t>
        </is>
      </c>
      <c r="K97" s="7" t="inlineStr">
        <is>
          <t>Rod. Pres. Castelo Branco, Km 68,5, Mairinque/SP</t>
        </is>
      </c>
      <c r="L97" s="7" t="inlineStr">
        <is>
          <t>Brasil</t>
        </is>
      </c>
      <c r="M97" s="7" t="inlineStr">
        <is>
          <t>0/3/5 - Nacional</t>
        </is>
      </c>
    </row>
    <row r="98" ht="22" customHeight="1">
      <c r="A98" s="12" t="inlineStr">
        <is>
          <t>EMP-0094</t>
        </is>
      </c>
      <c r="B98" s="11" t="n">
        <v>79</v>
      </c>
      <c r="C98" s="13" t="inlineStr">
        <is>
          <t>Nº 6313</t>
        </is>
      </c>
      <c r="D98" s="14" t="inlineStr">
        <is>
          <t>MANFIL 800 WP</t>
        </is>
      </c>
      <c r="E98" s="13" t="inlineStr">
        <is>
          <t>3. Formulador</t>
        </is>
      </c>
      <c r="F98" s="13" t="inlineStr">
        <is>
          <t>Produto Formulado Comercial</t>
        </is>
      </c>
      <c r="G98" s="13" t="inlineStr">
        <is>
          <t>ULTRAFINE TECHNOLOGIES IND. E COM. LTDA.</t>
        </is>
      </c>
      <c r="H98" s="13" t="inlineStr">
        <is>
          <t>Planta Indaiatuba/SP</t>
        </is>
      </c>
      <c r="I98" s="13" t="inlineStr">
        <is>
          <t>50.025.469/0004-04</t>
        </is>
      </c>
      <c r="J98" s="13" t="inlineStr">
        <is>
          <t>CDA/SP nº 1248</t>
        </is>
      </c>
      <c r="K98" s="13" t="inlineStr">
        <is>
          <t>Rua Bonifácio Rosso Ros, 260, Indaiatuba/SP</t>
        </is>
      </c>
      <c r="L98" s="13" t="inlineStr">
        <is>
          <t>Brasil</t>
        </is>
      </c>
      <c r="M98" s="13" t="inlineStr">
        <is>
          <t>0/3/5 - Nacional</t>
        </is>
      </c>
    </row>
    <row r="99" ht="22" customHeight="1">
      <c r="A99" s="6" t="inlineStr">
        <is>
          <t>EMP-0095</t>
        </is>
      </c>
      <c r="B99" s="5" t="n">
        <v>80</v>
      </c>
      <c r="C99" s="7" t="inlineStr">
        <is>
          <t>Nº 6313</t>
        </is>
      </c>
      <c r="D99" s="8" t="inlineStr">
        <is>
          <t>MANFIL 800 WP 1X7,5KG (AGUARDAR FISCAL)</t>
        </is>
      </c>
      <c r="E99" s="7" t="inlineStr">
        <is>
          <t>1. Titular do Registro / Produtor</t>
        </is>
      </c>
      <c r="F99" s="7" t="inlineStr">
        <is>
          <t>Produto Formulado Comercial</t>
        </is>
      </c>
      <c r="G99" s="7" t="inlineStr">
        <is>
          <t>INDOFIL INDUSTRIES DO BRASIL LTDA.</t>
        </is>
      </c>
      <c r="H99" s="7" t="inlineStr">
        <is>
          <t>Matriz / Estabelecimento Principal</t>
        </is>
      </c>
      <c r="I99" s="7" t="inlineStr">
        <is>
          <t>24.386.081/0001-78</t>
        </is>
      </c>
      <c r="J99" s="7" t="inlineStr">
        <is>
          <t>CDA/SP nº 1283</t>
        </is>
      </c>
      <c r="K99" s="7" t="inlineStr">
        <is>
          <t>Av. Roque Petroni Junior, 850, Jardim das Acácias, São Paulo/SP - CEP 04707-000</t>
        </is>
      </c>
      <c r="L99" s="7" t="inlineStr">
        <is>
          <t>Brasil</t>
        </is>
      </c>
      <c r="M99" s="7" t="inlineStr">
        <is>
          <t>0 - Nacional / 1 - Importação Direta</t>
        </is>
      </c>
    </row>
    <row r="100" ht="22" customHeight="1">
      <c r="A100" s="12" t="inlineStr">
        <is>
          <t>EMP-0096</t>
        </is>
      </c>
      <c r="B100" s="11" t="n">
        <v>81</v>
      </c>
      <c r="C100" s="13" t="inlineStr">
        <is>
          <t>Nº 38917</t>
        </is>
      </c>
      <c r="D100" s="14" t="inlineStr">
        <is>
          <t>MESON</t>
        </is>
      </c>
      <c r="E100" s="13" t="inlineStr">
        <is>
          <t>1. Titular do Registro / Produtor</t>
        </is>
      </c>
      <c r="F100" s="13" t="inlineStr">
        <is>
          <t>Produto Formulado Comercial</t>
        </is>
      </c>
      <c r="G100" s="13" t="inlineStr">
        <is>
          <t>RAINBOW DEFENSIVOS AGRÍCOLAS LTDA.</t>
        </is>
      </c>
      <c r="H100" s="13" t="inlineStr">
        <is>
          <t>Matriz / Estabelecimento Principal</t>
        </is>
      </c>
      <c r="I100" s="13" t="inlineStr">
        <is>
          <t>CNPJ Credenciado MAPA/SIPEAGRO</t>
        </is>
      </c>
      <c r="J100" s="13" t="inlineStr">
        <is>
          <t>Registro Estadual Vigente</t>
        </is>
      </c>
      <c r="K100" s="13" t="inlineStr">
        <is>
          <t>Estabelecimento Credenciado no Brasil</t>
        </is>
      </c>
      <c r="L100" s="13" t="inlineStr">
        <is>
          <t>Brasil</t>
        </is>
      </c>
      <c r="M100" s="13" t="inlineStr">
        <is>
          <t>0 - Nacional / 1 - Importação Direta</t>
        </is>
      </c>
    </row>
    <row r="101" ht="22" customHeight="1">
      <c r="A101" s="6" t="inlineStr">
        <is>
          <t>EMP-0097</t>
        </is>
      </c>
      <c r="B101" s="5" t="n">
        <v>82</v>
      </c>
      <c r="C101" s="7" t="inlineStr">
        <is>
          <t>Nº 14816</t>
        </is>
      </c>
      <c r="D101" s="8" t="inlineStr">
        <is>
          <t>CHIAVE SUP</t>
        </is>
      </c>
      <c r="E101" s="7" t="inlineStr">
        <is>
          <t>1. Titular do Registro / Produtor</t>
        </is>
      </c>
      <c r="F101" s="7" t="inlineStr">
        <is>
          <t>Produto Formulado Comercial</t>
        </is>
      </c>
      <c r="G101" s="7" t="inlineStr">
        <is>
          <t>SUPRA AGRO / CHDS DO BRASIL COMÉRCIO DE INSUMOS AGRÍCOLAS LTDA.</t>
        </is>
      </c>
      <c r="H101" s="7" t="inlineStr">
        <is>
          <t>Matriz / Estabelecimento Principal</t>
        </is>
      </c>
      <c r="I101" s="7" t="inlineStr">
        <is>
          <t>CNPJ Credenciado MAPA/SIPEAGRO</t>
        </is>
      </c>
      <c r="J101" s="7" t="inlineStr">
        <is>
          <t>Registro Estadual Vigente</t>
        </is>
      </c>
      <c r="K101" s="7" t="inlineStr">
        <is>
          <t>Estabelecimento Credenciado no Brasil</t>
        </is>
      </c>
      <c r="L101" s="7" t="inlineStr">
        <is>
          <t>Brasil</t>
        </is>
      </c>
      <c r="M101" s="7" t="inlineStr">
        <is>
          <t>0 - Nacional / 1 - Importação Direta</t>
        </is>
      </c>
    </row>
    <row r="102" ht="22" customHeight="1">
      <c r="A102" s="12" t="inlineStr">
        <is>
          <t>EMP-0098</t>
        </is>
      </c>
      <c r="B102" s="11" t="n">
        <v>83</v>
      </c>
      <c r="C102" s="13" t="inlineStr">
        <is>
          <t>Nº 27620</t>
        </is>
      </c>
      <c r="D102" s="14" t="inlineStr">
        <is>
          <t>METOMIL CHD S</t>
        </is>
      </c>
      <c r="E102" s="13" t="inlineStr">
        <is>
          <t>1. Titular do Registro / Produtor</t>
        </is>
      </c>
      <c r="F102" s="13" t="inlineStr">
        <is>
          <t>Produto Formulado Comercial</t>
        </is>
      </c>
      <c r="G102" s="13" t="inlineStr">
        <is>
          <t>CHDS DO BRASIL COMÉRCIO DE INSUMOS AGRÍCOLAS LTDA.</t>
        </is>
      </c>
      <c r="H102" s="13" t="inlineStr">
        <is>
          <t>Matriz / Estabelecimento Principal</t>
        </is>
      </c>
      <c r="I102" s="13" t="inlineStr">
        <is>
          <t>CNPJ Credenciado MAPA/SIPEAGRO</t>
        </is>
      </c>
      <c r="J102" s="13" t="inlineStr">
        <is>
          <t>Registro Estadual Vigente</t>
        </is>
      </c>
      <c r="K102" s="13" t="inlineStr">
        <is>
          <t>Estabelecimento Credenciado no Brasil</t>
        </is>
      </c>
      <c r="L102" s="13" t="inlineStr">
        <is>
          <t>Brasil</t>
        </is>
      </c>
      <c r="M102" s="13" t="inlineStr">
        <is>
          <t>0 - Nacional / 1 - Importação Direta</t>
        </is>
      </c>
    </row>
    <row r="103" ht="22" customHeight="1">
      <c r="A103" s="6" t="inlineStr">
        <is>
          <t>EMP-0099</t>
        </is>
      </c>
      <c r="B103" s="5" t="n">
        <v>84</v>
      </c>
      <c r="C103" s="7" t="inlineStr">
        <is>
          <t>Nº 31522</t>
        </is>
      </c>
      <c r="D103" s="8" t="inlineStr">
        <is>
          <t>METOMY 900</t>
        </is>
      </c>
      <c r="E103" s="7" t="inlineStr">
        <is>
          <t>1. Titular do Registro / Produtor</t>
        </is>
      </c>
      <c r="F103" s="7" t="inlineStr">
        <is>
          <t>Produto Formulado Comercial</t>
        </is>
      </c>
      <c r="G103" s="7" t="inlineStr">
        <is>
          <t>RAINBOW DEFENSIVOS AGRÍCOLAS LTDA.</t>
        </is>
      </c>
      <c r="H103" s="7" t="inlineStr">
        <is>
          <t>Matriz / Estabelecimento Principal</t>
        </is>
      </c>
      <c r="I103" s="7" t="inlineStr">
        <is>
          <t>10.486.463/0001-69</t>
        </is>
      </c>
      <c r="J103" s="7" t="inlineStr">
        <is>
          <t>SEAPA/RS nº 1928/09</t>
        </is>
      </c>
      <c r="K103" s="7" t="inlineStr">
        <is>
          <t>Av. Carlos Gomes, 258, Salas 1103-1106, Boa Vista, Porto Alegre/RS - CEP 90480-000</t>
        </is>
      </c>
      <c r="L103" s="7" t="inlineStr">
        <is>
          <t>Brasil</t>
        </is>
      </c>
      <c r="M103" s="7" t="inlineStr">
        <is>
          <t>0 - Nacional / 1 - Importação Direta</t>
        </is>
      </c>
    </row>
    <row r="104" ht="22" customHeight="1">
      <c r="A104" s="12" t="inlineStr">
        <is>
          <t>EMP-0100</t>
        </is>
      </c>
      <c r="B104" s="11" t="n">
        <v>84</v>
      </c>
      <c r="C104" s="13" t="inlineStr">
        <is>
          <t>Nº 31522</t>
        </is>
      </c>
      <c r="D104" s="14" t="inlineStr">
        <is>
          <t>METOMY 900</t>
        </is>
      </c>
      <c r="E104" s="13" t="inlineStr">
        <is>
          <t>2. Fabricante do Produto Técnico</t>
        </is>
      </c>
      <c r="F104" s="13" t="inlineStr">
        <is>
          <t>Produto Técnico Vinculado na Bula</t>
        </is>
      </c>
      <c r="G104" s="13" t="inlineStr">
        <is>
          <t>SHANDONG WEIFANG RAINBOW / YOUJIA CROP PROTECTION</t>
        </is>
      </c>
      <c r="H104" s="13" t="inlineStr">
        <is>
          <t>Planta Síntese Ásia</t>
        </is>
      </c>
      <c r="I104" s="13" t="inlineStr">
        <is>
          <t>EXT-CHN-TECH</t>
        </is>
      </c>
      <c r="J104" s="13" t="inlineStr">
        <is>
          <t>Isento Exterior</t>
        </is>
      </c>
      <c r="K104" s="13" t="inlineStr">
        <is>
          <t>Shandong / Jiangsu Industrial Park - China</t>
        </is>
      </c>
      <c r="L104" s="13" t="inlineStr">
        <is>
          <t>China</t>
        </is>
      </c>
      <c r="M104" s="13" t="inlineStr">
        <is>
          <t>1/2 - Importado</t>
        </is>
      </c>
    </row>
    <row r="105" ht="22" customHeight="1">
      <c r="A105" s="6" t="inlineStr">
        <is>
          <t>EMP-0101</t>
        </is>
      </c>
      <c r="B105" s="5" t="n">
        <v>84</v>
      </c>
      <c r="C105" s="7" t="inlineStr">
        <is>
          <t>Nº 31522</t>
        </is>
      </c>
      <c r="D105" s="8" t="inlineStr">
        <is>
          <t>METOMY 900</t>
        </is>
      </c>
      <c r="E105" s="7" t="inlineStr">
        <is>
          <t>3. Formulador</t>
        </is>
      </c>
      <c r="F105" s="7" t="inlineStr">
        <is>
          <t>Produto Formulado Comercial</t>
        </is>
      </c>
      <c r="G105" s="7" t="inlineStr">
        <is>
          <t>OURO FINO QUÍMICA S.A.</t>
        </is>
      </c>
      <c r="H105" s="7" t="inlineStr">
        <is>
          <t>Planta Uberaba/MG</t>
        </is>
      </c>
      <c r="I105" s="7" t="inlineStr">
        <is>
          <t>09.100.671/0001-07</t>
        </is>
      </c>
      <c r="J105" s="7" t="inlineStr">
        <is>
          <t>IMA/MG nº 8.764</t>
        </is>
      </c>
      <c r="K105" s="7" t="inlineStr">
        <is>
          <t>Av. Filomena Cartafina, 22335, Uberaba/MG</t>
        </is>
      </c>
      <c r="L105" s="7" t="inlineStr">
        <is>
          <t>Brasil</t>
        </is>
      </c>
      <c r="M105" s="7" t="inlineStr">
        <is>
          <t>0/3/5 - Nacional</t>
        </is>
      </c>
    </row>
    <row r="106" ht="22" customHeight="1">
      <c r="A106" s="12" t="inlineStr">
        <is>
          <t>EMP-0102</t>
        </is>
      </c>
      <c r="B106" s="11" t="n">
        <v>84</v>
      </c>
      <c r="C106" s="13" t="inlineStr">
        <is>
          <t>Nº 31522</t>
        </is>
      </c>
      <c r="D106" s="14" t="inlineStr">
        <is>
          <t>METOMY 900</t>
        </is>
      </c>
      <c r="E106" s="13" t="inlineStr">
        <is>
          <t>3. Formulador</t>
        </is>
      </c>
      <c r="F106" s="13" t="inlineStr">
        <is>
          <t>Produto Formulado Comercial</t>
        </is>
      </c>
      <c r="G106" s="13" t="inlineStr">
        <is>
          <t>FERSOL INDÚSTRIA E COMÉRCIO LTDA.</t>
        </is>
      </c>
      <c r="H106" s="13" t="inlineStr">
        <is>
          <t>Planta Mairinque/SP</t>
        </is>
      </c>
      <c r="I106" s="13" t="inlineStr">
        <is>
          <t>47.226.493/0001-46</t>
        </is>
      </c>
      <c r="J106" s="13" t="inlineStr">
        <is>
          <t>CDA/SP nº 31</t>
        </is>
      </c>
      <c r="K106" s="13" t="inlineStr">
        <is>
          <t>Rod. Pres. Castelo Branco, Km 68,5, Mairinque/SP</t>
        </is>
      </c>
      <c r="L106" s="13" t="inlineStr">
        <is>
          <t>Brasil</t>
        </is>
      </c>
      <c r="M106" s="13" t="inlineStr">
        <is>
          <t>0/3/5 - Nacional</t>
        </is>
      </c>
    </row>
    <row r="107" ht="22" customHeight="1">
      <c r="A107" s="6" t="inlineStr">
        <is>
          <t>EMP-0103</t>
        </is>
      </c>
      <c r="B107" s="5" t="n">
        <v>84</v>
      </c>
      <c r="C107" s="7" t="inlineStr">
        <is>
          <t>Nº 31522</t>
        </is>
      </c>
      <c r="D107" s="8" t="inlineStr">
        <is>
          <t>METOMY 900</t>
        </is>
      </c>
      <c r="E107" s="7" t="inlineStr">
        <is>
          <t>3. Formulador</t>
        </is>
      </c>
      <c r="F107" s="7" t="inlineStr">
        <is>
          <t>Produto Formulado Comercial</t>
        </is>
      </c>
      <c r="G107" s="7" t="inlineStr">
        <is>
          <t>ULTRAFINE TECHNOLOGIES IND. E COM. LTDA.</t>
        </is>
      </c>
      <c r="H107" s="7" t="inlineStr">
        <is>
          <t>Planta Indaiatuba/SP</t>
        </is>
      </c>
      <c r="I107" s="7" t="inlineStr">
        <is>
          <t>50.025.469/0004-04</t>
        </is>
      </c>
      <c r="J107" s="7" t="inlineStr">
        <is>
          <t>CDA/SP nº 1248</t>
        </is>
      </c>
      <c r="K107" s="7" t="inlineStr">
        <is>
          <t>Rua Bonifácio Rosso Ros, 260, Indaiatuba/SP</t>
        </is>
      </c>
      <c r="L107" s="7" t="inlineStr">
        <is>
          <t>Brasil</t>
        </is>
      </c>
      <c r="M107" s="7" t="inlineStr">
        <is>
          <t>0/3/5 - Nacional</t>
        </is>
      </c>
    </row>
    <row r="108" ht="22" customHeight="1">
      <c r="A108" s="12" t="inlineStr">
        <is>
          <t>EMP-0104</t>
        </is>
      </c>
      <c r="B108" s="11" t="n">
        <v>85</v>
      </c>
      <c r="C108" s="13" t="inlineStr">
        <is>
          <t>Nº 6914</t>
        </is>
      </c>
      <c r="D108" s="14" t="inlineStr">
        <is>
          <t>UPMYL</t>
        </is>
      </c>
      <c r="E108" s="13" t="inlineStr">
        <is>
          <t>1. Titular do Registro / Produtor</t>
        </is>
      </c>
      <c r="F108" s="13" t="inlineStr">
        <is>
          <t>Produto Formulado Comercial</t>
        </is>
      </c>
      <c r="G108" s="13" t="inlineStr">
        <is>
          <t>UPL do Brasil</t>
        </is>
      </c>
      <c r="H108" s="13" t="inlineStr">
        <is>
          <t>Matriz / Estabelecimento Principal</t>
        </is>
      </c>
      <c r="I108" s="13" t="inlineStr">
        <is>
          <t>CNPJ Credenciado MAPA/SIPEAGRO</t>
        </is>
      </c>
      <c r="J108" s="13" t="inlineStr">
        <is>
          <t>Registro Estadual Vigente</t>
        </is>
      </c>
      <c r="K108" s="13" t="inlineStr">
        <is>
          <t>Estabelecimento Credenciado no Brasil</t>
        </is>
      </c>
      <c r="L108" s="13" t="inlineStr">
        <is>
          <t>Brasil</t>
        </is>
      </c>
      <c r="M108" s="13" t="inlineStr">
        <is>
          <t>0 - Nacional / 1 - Importação Direta</t>
        </is>
      </c>
    </row>
    <row r="109" ht="22" customHeight="1">
      <c r="A109" s="6" t="inlineStr">
        <is>
          <t>EMP-0105</t>
        </is>
      </c>
      <c r="B109" s="5" t="n">
        <v>86</v>
      </c>
      <c r="C109" s="7" t="inlineStr">
        <is>
          <t>SIPEAGRO (UF-XXXXX)</t>
        </is>
      </c>
      <c r="D109" s="8" t="inlineStr">
        <is>
          <t>AGCN MANGANES</t>
        </is>
      </c>
      <c r="E109" s="7" t="inlineStr">
        <is>
          <t>1. Titular do Registro / Produtor</t>
        </is>
      </c>
      <c r="F109" s="7" t="inlineStr">
        <is>
          <t>Fertilizante Mineral / Organomineral</t>
        </is>
      </c>
      <c r="G109" s="7" t="inlineStr">
        <is>
          <t>Estabelecimento Produtor SIPEAGRO/MAPA</t>
        </is>
      </c>
      <c r="H109" s="7" t="inlineStr">
        <is>
          <t>Matriz / Estabelecimento Principal</t>
        </is>
      </c>
      <c r="I109" s="7" t="inlineStr">
        <is>
          <t>CNPJ Credenciado MAPA/SIPEAGRO</t>
        </is>
      </c>
      <c r="J109" s="7" t="inlineStr">
        <is>
          <t>Registro Estadual Vigente</t>
        </is>
      </c>
      <c r="K109" s="7" t="inlineStr">
        <is>
          <t>Estabelecimento Credenciado no Brasil</t>
        </is>
      </c>
      <c r="L109" s="7" t="inlineStr">
        <is>
          <t>Brasil</t>
        </is>
      </c>
      <c r="M109" s="7" t="inlineStr">
        <is>
          <t>0 - Nacional / 1 - Importação Direta</t>
        </is>
      </c>
    </row>
    <row r="110" ht="22" customHeight="1">
      <c r="A110" s="12" t="inlineStr">
        <is>
          <t>EMP-0106</t>
        </is>
      </c>
      <c r="B110" s="11" t="n">
        <v>87</v>
      </c>
      <c r="C110" s="13" t="inlineStr">
        <is>
          <t>SIPEAGRO (UF-XXXXX)</t>
        </is>
      </c>
      <c r="D110" s="14" t="inlineStr">
        <is>
          <t>AGCN MN ULTRA</t>
        </is>
      </c>
      <c r="E110" s="13" t="inlineStr">
        <is>
          <t>1. Titular do Registro / Produtor</t>
        </is>
      </c>
      <c r="F110" s="13" t="inlineStr">
        <is>
          <t>Fertilizante Mineral / Organomineral</t>
        </is>
      </c>
      <c r="G110" s="13" t="inlineStr">
        <is>
          <t>Estabelecimento Produtor SIPEAGRO/MAPA</t>
        </is>
      </c>
      <c r="H110" s="13" t="inlineStr">
        <is>
          <t>Matriz / Estabelecimento Principal</t>
        </is>
      </c>
      <c r="I110" s="13" t="inlineStr">
        <is>
          <t>CNPJ Credenciado MAPA/SIPEAGRO</t>
        </is>
      </c>
      <c r="J110" s="13" t="inlineStr">
        <is>
          <t>Registro Estadual Vigente</t>
        </is>
      </c>
      <c r="K110" s="13" t="inlineStr">
        <is>
          <t>Estabelecimento Credenciado no Brasil</t>
        </is>
      </c>
      <c r="L110" s="13" t="inlineStr">
        <is>
          <t>Brasil</t>
        </is>
      </c>
      <c r="M110" s="13" t="inlineStr">
        <is>
          <t>0 - Nacional / 1 - Importação Direta</t>
        </is>
      </c>
    </row>
    <row r="111" ht="22" customHeight="1">
      <c r="A111" s="6" t="inlineStr">
        <is>
          <t>EMP-0107</t>
        </is>
      </c>
      <c r="B111" s="5" t="n">
        <v>88</v>
      </c>
      <c r="C111" s="7" t="inlineStr">
        <is>
          <t>SIPEAGRO (UF-XXXXX)</t>
        </is>
      </c>
      <c r="D111" s="8" t="inlineStr">
        <is>
          <t>AGCN MOLIBIDENIO</t>
        </is>
      </c>
      <c r="E111" s="7" t="inlineStr">
        <is>
          <t>1. Titular do Registro / Produtor</t>
        </is>
      </c>
      <c r="F111" s="7" t="inlineStr">
        <is>
          <t>Fertilizante Mineral / Organomineral</t>
        </is>
      </c>
      <c r="G111" s="7" t="inlineStr">
        <is>
          <t>Estabelecimento Produtor SIPEAGRO/MAPA</t>
        </is>
      </c>
      <c r="H111" s="7" t="inlineStr">
        <is>
          <t>Matriz / Estabelecimento Principal</t>
        </is>
      </c>
      <c r="I111" s="7" t="inlineStr">
        <is>
          <t>CNPJ Credenciado MAPA/SIPEAGRO</t>
        </is>
      </c>
      <c r="J111" s="7" t="inlineStr">
        <is>
          <t>Registro Estadual Vigente</t>
        </is>
      </c>
      <c r="K111" s="7" t="inlineStr">
        <is>
          <t>Estabelecimento Credenciado no Brasil</t>
        </is>
      </c>
      <c r="L111" s="7" t="inlineStr">
        <is>
          <t>Brasil</t>
        </is>
      </c>
      <c r="M111" s="7" t="inlineStr">
        <is>
          <t>0 - Nacional / 1 - Importação Direta</t>
        </is>
      </c>
    </row>
    <row r="112" ht="22" customHeight="1">
      <c r="A112" s="12" t="inlineStr">
        <is>
          <t>EMP-0108</t>
        </is>
      </c>
      <c r="B112" s="11" t="n">
        <v>89</v>
      </c>
      <c r="C112" s="13" t="inlineStr">
        <is>
          <t>SIPEAGRO (UF-XXXXX)</t>
        </is>
      </c>
      <c r="D112" s="14" t="inlineStr">
        <is>
          <t>AGCN MN ULTRA AA</t>
        </is>
      </c>
      <c r="E112" s="13" t="inlineStr">
        <is>
          <t>1. Titular do Registro / Produtor</t>
        </is>
      </c>
      <c r="F112" s="13" t="inlineStr">
        <is>
          <t>Fertilizante Mineral / Organomineral</t>
        </is>
      </c>
      <c r="G112" s="13" t="inlineStr">
        <is>
          <t>Estabelecimento Produtor SIPEAGRO/MAPA</t>
        </is>
      </c>
      <c r="H112" s="13" t="inlineStr">
        <is>
          <t>Matriz / Estabelecimento Principal</t>
        </is>
      </c>
      <c r="I112" s="13" t="inlineStr">
        <is>
          <t>CNPJ Credenciado MAPA/SIPEAGRO</t>
        </is>
      </c>
      <c r="J112" s="13" t="inlineStr">
        <is>
          <t>Registro Estadual Vigente</t>
        </is>
      </c>
      <c r="K112" s="13" t="inlineStr">
        <is>
          <t>Estabelecimento Credenciado no Brasil</t>
        </is>
      </c>
      <c r="L112" s="13" t="inlineStr">
        <is>
          <t>Brasil</t>
        </is>
      </c>
      <c r="M112" s="13" t="inlineStr">
        <is>
          <t>0 - Nacional / 1 - Importação Direta</t>
        </is>
      </c>
    </row>
    <row r="113" ht="22" customHeight="1">
      <c r="A113" s="6" t="inlineStr">
        <is>
          <t>EMP-0109</t>
        </is>
      </c>
      <c r="B113" s="5" t="n">
        <v>90</v>
      </c>
      <c r="C113" s="7" t="inlineStr">
        <is>
          <t>SIPEAGRO (UF-XXXXX)</t>
        </is>
      </c>
      <c r="D113" s="8" t="inlineStr">
        <is>
          <t>AGCN MOLIB ULTRA</t>
        </is>
      </c>
      <c r="E113" s="7" t="inlineStr">
        <is>
          <t>1. Titular do Registro / Produtor</t>
        </is>
      </c>
      <c r="F113" s="7" t="inlineStr">
        <is>
          <t>Fertilizante Mineral / Organomineral</t>
        </is>
      </c>
      <c r="G113" s="7" t="inlineStr">
        <is>
          <t>Estabelecimento Produtor SIPEAGRO/MAPA</t>
        </is>
      </c>
      <c r="H113" s="7" t="inlineStr">
        <is>
          <t>Matriz / Estabelecimento Principal</t>
        </is>
      </c>
      <c r="I113" s="7" t="inlineStr">
        <is>
          <t>CNPJ Credenciado MAPA/SIPEAGRO</t>
        </is>
      </c>
      <c r="J113" s="7" t="inlineStr">
        <is>
          <t>Registro Estadual Vigente</t>
        </is>
      </c>
      <c r="K113" s="7" t="inlineStr">
        <is>
          <t>Estabelecimento Credenciado no Brasil</t>
        </is>
      </c>
      <c r="L113" s="7" t="inlineStr">
        <is>
          <t>Brasil</t>
        </is>
      </c>
      <c r="M113" s="7" t="inlineStr">
        <is>
          <t>0 - Nacional / 1 - Importação Direta</t>
        </is>
      </c>
    </row>
    <row r="114" ht="22" customHeight="1">
      <c r="A114" s="12" t="inlineStr">
        <is>
          <t>EMP-0110</t>
        </is>
      </c>
      <c r="B114" s="11" t="n">
        <v>91</v>
      </c>
      <c r="C114" s="13" t="inlineStr">
        <is>
          <t>Nº 3705</t>
        </is>
      </c>
      <c r="D114" s="14" t="inlineStr">
        <is>
          <t>ANCOSAR 720</t>
        </is>
      </c>
      <c r="E114" s="13" t="inlineStr">
        <is>
          <t>1. Titular do Registro</t>
        </is>
      </c>
      <c r="F114" s="13" t="inlineStr">
        <is>
          <t>Produto Formulado Comercial</t>
        </is>
      </c>
      <c r="G114" s="13" t="inlineStr">
        <is>
          <t>Adama</t>
        </is>
      </c>
      <c r="H114" s="13" t="inlineStr">
        <is>
          <t>Estabelecimento Credenciado</t>
        </is>
      </c>
      <c r="I114" s="13" t="inlineStr">
        <is>
          <t>CNPJ Credenciado MAPA</t>
        </is>
      </c>
      <c r="J114" s="13" t="inlineStr">
        <is>
          <t>Registro Estadual Vigente</t>
        </is>
      </c>
      <c r="K114" s="13" t="inlineStr">
        <is>
          <t>Unidade Operacional Brasil</t>
        </is>
      </c>
      <c r="L114" s="13" t="inlineStr">
        <is>
          <t>Brasil</t>
        </is>
      </c>
      <c r="M114" s="13" t="inlineStr">
        <is>
          <t>0/1/2 - Conforme Origem do Lote</t>
        </is>
      </c>
    </row>
    <row r="115" ht="22" customHeight="1">
      <c r="A115" s="6" t="inlineStr">
        <is>
          <t>EMP-0111</t>
        </is>
      </c>
      <c r="B115" s="5" t="n">
        <v>91</v>
      </c>
      <c r="C115" s="7" t="inlineStr">
        <is>
          <t>Nº 3705</t>
        </is>
      </c>
      <c r="D115" s="8" t="inlineStr">
        <is>
          <t>ANCOSAR 720</t>
        </is>
      </c>
      <c r="E115" s="7" t="inlineStr">
        <is>
          <t>3. Formulador / Co-Distribuidor Autorizado</t>
        </is>
      </c>
      <c r="F115" s="7" t="inlineStr">
        <is>
          <t>Produto Formulado Comercial</t>
        </is>
      </c>
      <c r="G115" s="7" t="inlineStr">
        <is>
          <t>Milenia</t>
        </is>
      </c>
      <c r="H115" s="7" t="inlineStr">
        <is>
          <t>Estabelecimento Credenciado</t>
        </is>
      </c>
      <c r="I115" s="7" t="inlineStr">
        <is>
          <t>CNPJ Credenciado MAPA</t>
        </is>
      </c>
      <c r="J115" s="7" t="inlineStr">
        <is>
          <t>Registro Estadual Vigente</t>
        </is>
      </c>
      <c r="K115" s="7" t="inlineStr">
        <is>
          <t>Unidade Operacional Brasil</t>
        </is>
      </c>
      <c r="L115" s="7" t="inlineStr">
        <is>
          <t>Brasil</t>
        </is>
      </c>
      <c r="M115" s="7" t="inlineStr">
        <is>
          <t>0/1/2 - Conforme Origem do Lote</t>
        </is>
      </c>
    </row>
    <row r="116" ht="22" customHeight="1">
      <c r="A116" s="12" t="inlineStr">
        <is>
          <t>EMP-0112</t>
        </is>
      </c>
      <c r="B116" s="11" t="n">
        <v>92</v>
      </c>
      <c r="C116" s="13" t="inlineStr">
        <is>
          <t>Nº 4798</t>
        </is>
      </c>
      <c r="D116" s="14" t="inlineStr">
        <is>
          <t>VOLCANE 790</t>
        </is>
      </c>
      <c r="E116" s="13" t="inlineStr">
        <is>
          <t>1. Titular do Registro</t>
        </is>
      </c>
      <c r="F116" s="13" t="inlineStr">
        <is>
          <t>Produto Formulado Comercial</t>
        </is>
      </c>
      <c r="G116" s="13" t="inlineStr">
        <is>
          <t>Adama</t>
        </is>
      </c>
      <c r="H116" s="13" t="inlineStr">
        <is>
          <t>Estabelecimento Credenciado</t>
        </is>
      </c>
      <c r="I116" s="13" t="inlineStr">
        <is>
          <t>CNPJ Credenciado MAPA</t>
        </is>
      </c>
      <c r="J116" s="13" t="inlineStr">
        <is>
          <t>Registro Estadual Vigente</t>
        </is>
      </c>
      <c r="K116" s="13" t="inlineStr">
        <is>
          <t>Unidade Operacional Brasil</t>
        </is>
      </c>
      <c r="L116" s="13" t="inlineStr">
        <is>
          <t>Brasil</t>
        </is>
      </c>
      <c r="M116" s="13" t="inlineStr">
        <is>
          <t>0/1/2 - Conforme Origem do Lote</t>
        </is>
      </c>
    </row>
    <row r="117" ht="22" customHeight="1">
      <c r="A117" s="6" t="inlineStr">
        <is>
          <t>EMP-0113</t>
        </is>
      </c>
      <c r="B117" s="5" t="n">
        <v>92</v>
      </c>
      <c r="C117" s="7" t="inlineStr">
        <is>
          <t>Nº 4798</t>
        </is>
      </c>
      <c r="D117" s="8" t="inlineStr">
        <is>
          <t>VOLCANE 790</t>
        </is>
      </c>
      <c r="E117" s="7" t="inlineStr">
        <is>
          <t>3. Formulador / Co-Distribuidor Autorizado</t>
        </is>
      </c>
      <c r="F117" s="7" t="inlineStr">
        <is>
          <t>Produto Formulado Comercial</t>
        </is>
      </c>
      <c r="G117" s="7" t="inlineStr">
        <is>
          <t>Luxembourg</t>
        </is>
      </c>
      <c r="H117" s="7" t="inlineStr">
        <is>
          <t>Estabelecimento Credenciado</t>
        </is>
      </c>
      <c r="I117" s="7" t="inlineStr">
        <is>
          <t>CNPJ Credenciado MAPA</t>
        </is>
      </c>
      <c r="J117" s="7" t="inlineStr">
        <is>
          <t>Registro Estadual Vigente</t>
        </is>
      </c>
      <c r="K117" s="7" t="inlineStr">
        <is>
          <t>Unidade Operacional Brasil</t>
        </is>
      </c>
      <c r="L117" s="7" t="inlineStr">
        <is>
          <t>Brasil</t>
        </is>
      </c>
      <c r="M117" s="7" t="inlineStr">
        <is>
          <t>0/1/2 - Conforme Origem do Lote</t>
        </is>
      </c>
    </row>
    <row r="118" ht="22" customHeight="1">
      <c r="A118" s="12" t="inlineStr">
        <is>
          <t>EMP-0114</t>
        </is>
      </c>
      <c r="B118" s="11" t="n">
        <v>93</v>
      </c>
      <c r="C118" s="13" t="inlineStr">
        <is>
          <t>SIPEAGRO (UF-XXXXX)</t>
        </is>
      </c>
      <c r="D118" s="14" t="inlineStr">
        <is>
          <t>AGCN FULL</t>
        </is>
      </c>
      <c r="E118" s="13" t="inlineStr">
        <is>
          <t>1. Titular do Registro / Produtor</t>
        </is>
      </c>
      <c r="F118" s="13" t="inlineStr">
        <is>
          <t>Fertilizante Mineral / Organomineral</t>
        </is>
      </c>
      <c r="G118" s="13" t="inlineStr">
        <is>
          <t>Estabelecimento Produtor SIPEAGRO/MAPA</t>
        </is>
      </c>
      <c r="H118" s="13" t="inlineStr">
        <is>
          <t>Matriz / Estabelecimento Principal</t>
        </is>
      </c>
      <c r="I118" s="13" t="inlineStr">
        <is>
          <t>CNPJ Credenciado MAPA/SIPEAGRO</t>
        </is>
      </c>
      <c r="J118" s="13" t="inlineStr">
        <is>
          <t>Registro Estadual Vigente</t>
        </is>
      </c>
      <c r="K118" s="13" t="inlineStr">
        <is>
          <t>Estabelecimento Credenciado no Brasil</t>
        </is>
      </c>
      <c r="L118" s="13" t="inlineStr">
        <is>
          <t>Brasil</t>
        </is>
      </c>
      <c r="M118" s="13" t="inlineStr">
        <is>
          <t>0 - Nacional / 1 - Importação Direta</t>
        </is>
      </c>
    </row>
    <row r="119" ht="22" customHeight="1">
      <c r="A119" s="6" t="inlineStr">
        <is>
          <t>EMP-0115</t>
        </is>
      </c>
      <c r="B119" s="5" t="n">
        <v>94</v>
      </c>
      <c r="C119" s="7" t="inlineStr">
        <is>
          <t>SIPEAGRO (UF-XXXXX)</t>
        </is>
      </c>
      <c r="D119" s="8" t="inlineStr">
        <is>
          <t>AGCN NITROGEN</t>
        </is>
      </c>
      <c r="E119" s="7" t="inlineStr">
        <is>
          <t>1. Titular do Registro / Produtor</t>
        </is>
      </c>
      <c r="F119" s="7" t="inlineStr">
        <is>
          <t>Fertilizante Mineral / Organomineral</t>
        </is>
      </c>
      <c r="G119" s="7" t="inlineStr">
        <is>
          <t>Estabelecimento Produtor SIPEAGRO/MAPA</t>
        </is>
      </c>
      <c r="H119" s="7" t="inlineStr">
        <is>
          <t>Matriz / Estabelecimento Principal</t>
        </is>
      </c>
      <c r="I119" s="7" t="inlineStr">
        <is>
          <t>CNPJ Credenciado MAPA/SIPEAGRO</t>
        </is>
      </c>
      <c r="J119" s="7" t="inlineStr">
        <is>
          <t>Registro Estadual Vigente</t>
        </is>
      </c>
      <c r="K119" s="7" t="inlineStr">
        <is>
          <t>Estabelecimento Credenciado no Brasil</t>
        </is>
      </c>
      <c r="L119" s="7" t="inlineStr">
        <is>
          <t>Brasil</t>
        </is>
      </c>
      <c r="M119" s="7" t="inlineStr">
        <is>
          <t>0 - Nacional / 1 - Importação Direta</t>
        </is>
      </c>
    </row>
    <row r="120" ht="22" customHeight="1">
      <c r="A120" s="12" t="inlineStr">
        <is>
          <t>EMP-0116</t>
        </is>
      </c>
      <c r="B120" s="11" t="n">
        <v>95</v>
      </c>
      <c r="C120" s="13" t="inlineStr">
        <is>
          <t>SIPEAGRO (UF-XXXXX)</t>
        </is>
      </c>
      <c r="D120" s="14" t="inlineStr">
        <is>
          <t>AGCN NITROGEN 30%</t>
        </is>
      </c>
      <c r="E120" s="13" t="inlineStr">
        <is>
          <t>1. Titular do Registro / Produtor</t>
        </is>
      </c>
      <c r="F120" s="13" t="inlineStr">
        <is>
          <t>Fertilizante Mineral / Organomineral</t>
        </is>
      </c>
      <c r="G120" s="13" t="inlineStr">
        <is>
          <t>Estabelecimento Produtor SIPEAGRO/MAPA</t>
        </is>
      </c>
      <c r="H120" s="13" t="inlineStr">
        <is>
          <t>Matriz / Estabelecimento Principal</t>
        </is>
      </c>
      <c r="I120" s="13" t="inlineStr">
        <is>
          <t>CNPJ Credenciado MAPA/SIPEAGRO</t>
        </is>
      </c>
      <c r="J120" s="13" t="inlineStr">
        <is>
          <t>Registro Estadual Vigente</t>
        </is>
      </c>
      <c r="K120" s="13" t="inlineStr">
        <is>
          <t>Estabelecimento Credenciado no Brasil</t>
        </is>
      </c>
      <c r="L120" s="13" t="inlineStr">
        <is>
          <t>Brasil</t>
        </is>
      </c>
      <c r="M120" s="13" t="inlineStr">
        <is>
          <t>0 - Nacional / 1 - Importação Direta</t>
        </is>
      </c>
    </row>
    <row r="121" ht="22" customHeight="1">
      <c r="A121" s="6" t="inlineStr">
        <is>
          <t>EMP-0117</t>
        </is>
      </c>
      <c r="B121" s="5" t="n">
        <v>96</v>
      </c>
      <c r="C121" s="7" t="inlineStr">
        <is>
          <t>SIPEAGRO (UF-XXXXX)</t>
        </is>
      </c>
      <c r="D121" s="8" t="inlineStr">
        <is>
          <t>AGCN MAG ULTRA</t>
        </is>
      </c>
      <c r="E121" s="7" t="inlineStr">
        <is>
          <t>1. Titular do Registro / Produtor</t>
        </is>
      </c>
      <c r="F121" s="7" t="inlineStr">
        <is>
          <t>Fertilizante Mineral / Organomineral</t>
        </is>
      </c>
      <c r="G121" s="7" t="inlineStr">
        <is>
          <t>Estabelecimento Produtor SIPEAGRO/MAPA</t>
        </is>
      </c>
      <c r="H121" s="7" t="inlineStr">
        <is>
          <t>Matriz / Estabelecimento Principal</t>
        </is>
      </c>
      <c r="I121" s="7" t="inlineStr">
        <is>
          <t>CNPJ Credenciado MAPA/SIPEAGRO</t>
        </is>
      </c>
      <c r="J121" s="7" t="inlineStr">
        <is>
          <t>Registro Estadual Vigente</t>
        </is>
      </c>
      <c r="K121" s="7" t="inlineStr">
        <is>
          <t>Estabelecimento Credenciado no Brasil</t>
        </is>
      </c>
      <c r="L121" s="7" t="inlineStr">
        <is>
          <t>Brasil</t>
        </is>
      </c>
      <c r="M121" s="7" t="inlineStr">
        <is>
          <t>0 - Nacional / 1 - Importação Direta</t>
        </is>
      </c>
    </row>
    <row r="122" ht="22" customHeight="1">
      <c r="A122" s="12" t="inlineStr">
        <is>
          <t>EMP-0118</t>
        </is>
      </c>
      <c r="B122" s="11" t="n">
        <v>97</v>
      </c>
      <c r="C122" s="13" t="inlineStr">
        <is>
          <t>SIPEAGRO (UF-XXXXX)</t>
        </is>
      </c>
      <c r="D122" s="14" t="inlineStr">
        <is>
          <t>AGCN FULL ULTRA</t>
        </is>
      </c>
      <c r="E122" s="13" t="inlineStr">
        <is>
          <t>1. Titular do Registro / Produtor</t>
        </is>
      </c>
      <c r="F122" s="13" t="inlineStr">
        <is>
          <t>Fertilizante Mineral / Organomineral</t>
        </is>
      </c>
      <c r="G122" s="13" t="inlineStr">
        <is>
          <t>Estabelecimento Produtor SIPEAGRO/MAPA</t>
        </is>
      </c>
      <c r="H122" s="13" t="inlineStr">
        <is>
          <t>Matriz / Estabelecimento Principal</t>
        </is>
      </c>
      <c r="I122" s="13" t="inlineStr">
        <is>
          <t>CNPJ Credenciado MAPA/SIPEAGRO</t>
        </is>
      </c>
      <c r="J122" s="13" t="inlineStr">
        <is>
          <t>Registro Estadual Vigente</t>
        </is>
      </c>
      <c r="K122" s="13" t="inlineStr">
        <is>
          <t>Estabelecimento Credenciado no Brasil</t>
        </is>
      </c>
      <c r="L122" s="13" t="inlineStr">
        <is>
          <t>Brasil</t>
        </is>
      </c>
      <c r="M122" s="13" t="inlineStr">
        <is>
          <t>0 - Nacional / 1 - Importação Direta</t>
        </is>
      </c>
    </row>
    <row r="123" ht="22" customHeight="1">
      <c r="A123" s="6" t="inlineStr">
        <is>
          <t>EMP-0119</t>
        </is>
      </c>
      <c r="B123" s="5" t="n">
        <v>98</v>
      </c>
      <c r="C123" s="7" t="inlineStr">
        <is>
          <t>ISENTO (ATO 104/2017)</t>
        </is>
      </c>
      <c r="D123" s="8" t="inlineStr">
        <is>
          <t>AGRICOIL CITRUS</t>
        </is>
      </c>
      <c r="E123" s="7" t="inlineStr">
        <is>
          <t>1. Titular do Registro / Produtor</t>
        </is>
      </c>
      <c r="F123" s="7" t="inlineStr">
        <is>
          <t>Adjuvante / Espalhante Adesivo</t>
        </is>
      </c>
      <c r="G123" s="7" t="inlineStr">
        <is>
          <t>Dispensado de Registro (Ato SDA nº 104/2017)</t>
        </is>
      </c>
      <c r="H123" s="7" t="inlineStr">
        <is>
          <t>Matriz / Estabelecimento Principal</t>
        </is>
      </c>
      <c r="I123" s="7" t="inlineStr">
        <is>
          <t>CNPJ Credenciado MAPA/SIPEAGRO</t>
        </is>
      </c>
      <c r="J123" s="7" t="inlineStr">
        <is>
          <t>Registro Estadual Vigente</t>
        </is>
      </c>
      <c r="K123" s="7" t="inlineStr">
        <is>
          <t>Estabelecimento Credenciado no Brasil</t>
        </is>
      </c>
      <c r="L123" s="7" t="inlineStr">
        <is>
          <t>Brasil</t>
        </is>
      </c>
      <c r="M123" s="7" t="inlineStr">
        <is>
          <t>0 - Nacional / 1 - Importação Direta</t>
        </is>
      </c>
    </row>
    <row r="124" ht="22" customHeight="1">
      <c r="A124" s="12" t="inlineStr">
        <is>
          <t>EMP-0120</t>
        </is>
      </c>
      <c r="B124" s="11" t="n">
        <v>99</v>
      </c>
      <c r="C124" s="13" t="inlineStr">
        <is>
          <t>ISENTO (ATO 104/2017)</t>
        </is>
      </c>
      <c r="D124" s="14" t="inlineStr">
        <is>
          <t>AGRICOIL CITRUS</t>
        </is>
      </c>
      <c r="E124" s="13" t="inlineStr">
        <is>
          <t>1. Titular do Registro / Produtor</t>
        </is>
      </c>
      <c r="F124" s="13" t="inlineStr">
        <is>
          <t>Adjuvante / Espalhante Adesivo</t>
        </is>
      </c>
      <c r="G124" s="13" t="inlineStr">
        <is>
          <t>Dispensado de Registro (Ato SDA nº 104/2017)</t>
        </is>
      </c>
      <c r="H124" s="13" t="inlineStr">
        <is>
          <t>Matriz / Estabelecimento Principal</t>
        </is>
      </c>
      <c r="I124" s="13" t="inlineStr">
        <is>
          <t>CNPJ Credenciado MAPA/SIPEAGRO</t>
        </is>
      </c>
      <c r="J124" s="13" t="inlineStr">
        <is>
          <t>Registro Estadual Vigente</t>
        </is>
      </c>
      <c r="K124" s="13" t="inlineStr">
        <is>
          <t>Estabelecimento Credenciado no Brasil</t>
        </is>
      </c>
      <c r="L124" s="13" t="inlineStr">
        <is>
          <t>Brasil</t>
        </is>
      </c>
      <c r="M124" s="13" t="inlineStr">
        <is>
          <t>0 - Nacional / 1 - Importação Direta</t>
        </is>
      </c>
    </row>
    <row r="125" ht="22" customHeight="1">
      <c r="A125" s="6" t="inlineStr">
        <is>
          <t>EMP-0121</t>
        </is>
      </c>
      <c r="B125" s="5" t="n">
        <v>100</v>
      </c>
      <c r="C125" s="7" t="inlineStr">
        <is>
          <t>ISENTO (ATO 104/2017)</t>
        </is>
      </c>
      <c r="D125" s="8" t="inlineStr">
        <is>
          <t>AGRICOIL MINERAL YPF</t>
        </is>
      </c>
      <c r="E125" s="7" t="inlineStr">
        <is>
          <t>1. Titular do Registro / Produtor</t>
        </is>
      </c>
      <c r="F125" s="7" t="inlineStr">
        <is>
          <t>Adjuvante / Espalhante Adesivo</t>
        </is>
      </c>
      <c r="G125" s="7" t="inlineStr">
        <is>
          <t>Dispensado de Registro (Ato SDA nº 104/2017)</t>
        </is>
      </c>
      <c r="H125" s="7" t="inlineStr">
        <is>
          <t>Matriz / Estabelecimento Principal</t>
        </is>
      </c>
      <c r="I125" s="7" t="inlineStr">
        <is>
          <t>CNPJ Credenciado MAPA/SIPEAGRO</t>
        </is>
      </c>
      <c r="J125" s="7" t="inlineStr">
        <is>
          <t>Registro Estadual Vigente</t>
        </is>
      </c>
      <c r="K125" s="7" t="inlineStr">
        <is>
          <t>Estabelecimento Credenciado no Brasil</t>
        </is>
      </c>
      <c r="L125" s="7" t="inlineStr">
        <is>
          <t>Brasil</t>
        </is>
      </c>
      <c r="M125" s="7" t="inlineStr">
        <is>
          <t>0 - Nacional / 1 - Importação Direta</t>
        </is>
      </c>
    </row>
    <row r="126" ht="22" customHeight="1">
      <c r="A126" s="12" t="inlineStr">
        <is>
          <t>EMP-0122</t>
        </is>
      </c>
      <c r="B126" s="11" t="n">
        <v>101</v>
      </c>
      <c r="C126" s="13" t="inlineStr">
        <is>
          <t>ISENTO (ATO 104/2017)</t>
        </is>
      </c>
      <c r="D126" s="14" t="inlineStr">
        <is>
          <t>AGRICOIL MINERAL</t>
        </is>
      </c>
      <c r="E126" s="13" t="inlineStr">
        <is>
          <t>1. Titular do Registro / Produtor</t>
        </is>
      </c>
      <c r="F126" s="13" t="inlineStr">
        <is>
          <t>Adjuvante / Espalhante Adesivo</t>
        </is>
      </c>
      <c r="G126" s="13" t="inlineStr">
        <is>
          <t>Dispensado de Registro (Ato SDA nº 104/2017)</t>
        </is>
      </c>
      <c r="H126" s="13" t="inlineStr">
        <is>
          <t>Matriz / Estabelecimento Principal</t>
        </is>
      </c>
      <c r="I126" s="13" t="inlineStr">
        <is>
          <t>CNPJ Credenciado MAPA/SIPEAGRO</t>
        </is>
      </c>
      <c r="J126" s="13" t="inlineStr">
        <is>
          <t>Registro Estadual Vigente</t>
        </is>
      </c>
      <c r="K126" s="13" t="inlineStr">
        <is>
          <t>Estabelecimento Credenciado no Brasil</t>
        </is>
      </c>
      <c r="L126" s="13" t="inlineStr">
        <is>
          <t>Brasil</t>
        </is>
      </c>
      <c r="M126" s="13" t="inlineStr">
        <is>
          <t>0 - Nacional / 1 - Importação Direta</t>
        </is>
      </c>
    </row>
    <row r="127" ht="22" customHeight="1">
      <c r="A127" s="6" t="inlineStr">
        <is>
          <t>EMP-0123</t>
        </is>
      </c>
      <c r="B127" s="5" t="n">
        <v>102</v>
      </c>
      <c r="C127" s="7" t="inlineStr">
        <is>
          <t>ISENTO (ATO 104/2017)</t>
        </is>
      </c>
      <c r="D127" s="8" t="inlineStr">
        <is>
          <t>AGRICOIL VEGETAL</t>
        </is>
      </c>
      <c r="E127" s="7" t="inlineStr">
        <is>
          <t>1. Titular do Registro / Produtor</t>
        </is>
      </c>
      <c r="F127" s="7" t="inlineStr">
        <is>
          <t>Adjuvante / Espalhante Adesivo</t>
        </is>
      </c>
      <c r="G127" s="7" t="inlineStr">
        <is>
          <t>Dispensado de Registro (Ato SDA nº 104/2017)</t>
        </is>
      </c>
      <c r="H127" s="7" t="inlineStr">
        <is>
          <t>Matriz / Estabelecimento Principal</t>
        </is>
      </c>
      <c r="I127" s="7" t="inlineStr">
        <is>
          <t>CNPJ Credenciado MAPA/SIPEAGRO</t>
        </is>
      </c>
      <c r="J127" s="7" t="inlineStr">
        <is>
          <t>Registro Estadual Vigente</t>
        </is>
      </c>
      <c r="K127" s="7" t="inlineStr">
        <is>
          <t>Estabelecimento Credenciado no Brasil</t>
        </is>
      </c>
      <c r="L127" s="7" t="inlineStr">
        <is>
          <t>Brasil</t>
        </is>
      </c>
      <c r="M127" s="7" t="inlineStr">
        <is>
          <t>0 - Nacional / 1 - Importação Direta</t>
        </is>
      </c>
    </row>
    <row r="128" ht="22" customHeight="1">
      <c r="A128" s="12" t="inlineStr">
        <is>
          <t>EMP-0124</t>
        </is>
      </c>
      <c r="B128" s="11" t="n">
        <v>103</v>
      </c>
      <c r="C128" s="13" t="inlineStr">
        <is>
          <t>SIPEAGRO (UF-XXXXX)</t>
        </is>
      </c>
      <c r="D128" s="14" t="inlineStr">
        <is>
          <t>SAGERSOLOS FORCE</t>
        </is>
      </c>
      <c r="E128" s="13" t="inlineStr">
        <is>
          <t>1. Titular do Registro / Produtor</t>
        </is>
      </c>
      <c r="F128" s="13" t="inlineStr">
        <is>
          <t>Fertilizante Mineral / Organomineral</t>
        </is>
      </c>
      <c r="G128" s="13" t="inlineStr">
        <is>
          <t>Estabelecimento Produtor SIPEAGRO/MAPA</t>
        </is>
      </c>
      <c r="H128" s="13" t="inlineStr">
        <is>
          <t>Matriz / Estabelecimento Principal</t>
        </is>
      </c>
      <c r="I128" s="13" t="inlineStr">
        <is>
          <t>CNPJ Credenciado MAPA/SIPEAGRO</t>
        </is>
      </c>
      <c r="J128" s="13" t="inlineStr">
        <is>
          <t>Registro Estadual Vigente</t>
        </is>
      </c>
      <c r="K128" s="13" t="inlineStr">
        <is>
          <t>Estabelecimento Credenciado no Brasil</t>
        </is>
      </c>
      <c r="L128" s="13" t="inlineStr">
        <is>
          <t>Brasil</t>
        </is>
      </c>
      <c r="M128" s="13" t="inlineStr">
        <is>
          <t>0 - Nacional / 1 - Importação Direta</t>
        </is>
      </c>
    </row>
    <row r="129" ht="22" customHeight="1">
      <c r="A129" s="6" t="inlineStr">
        <is>
          <t>EMP-0125</t>
        </is>
      </c>
      <c r="B129" s="5" t="n">
        <v>104</v>
      </c>
      <c r="C129" s="7" t="inlineStr">
        <is>
          <t>SIPEAGRO (UF-XXXXX)</t>
        </is>
      </c>
      <c r="D129" s="8" t="inlineStr">
        <is>
          <t>SAGERSOLOS SINERGY</t>
        </is>
      </c>
      <c r="E129" s="7" t="inlineStr">
        <is>
          <t>1. Titular do Registro / Produtor</t>
        </is>
      </c>
      <c r="F129" s="7" t="inlineStr">
        <is>
          <t>Fertilizante Mineral / Organomineral</t>
        </is>
      </c>
      <c r="G129" s="7" t="inlineStr">
        <is>
          <t>Estabelecimento Produtor SIPEAGRO/MAPA</t>
        </is>
      </c>
      <c r="H129" s="7" t="inlineStr">
        <is>
          <t>Matriz / Estabelecimento Principal</t>
        </is>
      </c>
      <c r="I129" s="7" t="inlineStr">
        <is>
          <t>CNPJ Credenciado MAPA/SIPEAGRO</t>
        </is>
      </c>
      <c r="J129" s="7" t="inlineStr">
        <is>
          <t>Registro Estadual Vigente</t>
        </is>
      </c>
      <c r="K129" s="7" t="inlineStr">
        <is>
          <t>Estabelecimento Credenciado no Brasil</t>
        </is>
      </c>
      <c r="L129" s="7" t="inlineStr">
        <is>
          <t>Brasil</t>
        </is>
      </c>
      <c r="M129" s="7" t="inlineStr">
        <is>
          <t>0 - Nacional / 1 - Importação Direta</t>
        </is>
      </c>
    </row>
    <row r="130" ht="22" customHeight="1">
      <c r="A130" s="12" t="inlineStr">
        <is>
          <t>EMP-0126</t>
        </is>
      </c>
      <c r="B130" s="11" t="n">
        <v>105</v>
      </c>
      <c r="C130" s="13" t="inlineStr">
        <is>
          <t>Nº 2808</t>
        </is>
      </c>
      <c r="D130" s="14" t="inlineStr">
        <is>
          <t>TROPERO</t>
        </is>
      </c>
      <c r="E130" s="13" t="inlineStr">
        <is>
          <t>1. Titular do Registro</t>
        </is>
      </c>
      <c r="F130" s="13" t="inlineStr">
        <is>
          <t>Produto Formulado Comercial</t>
        </is>
      </c>
      <c r="G130" s="13" t="inlineStr">
        <is>
          <t>Corteva</t>
        </is>
      </c>
      <c r="H130" s="13" t="inlineStr">
        <is>
          <t>Estabelecimento Credenciado</t>
        </is>
      </c>
      <c r="I130" s="13" t="inlineStr">
        <is>
          <t>CNPJ Credenciado MAPA</t>
        </is>
      </c>
      <c r="J130" s="13" t="inlineStr">
        <is>
          <t>Registro Estadual Vigente</t>
        </is>
      </c>
      <c r="K130" s="13" t="inlineStr">
        <is>
          <t>Unidade Operacional Brasil</t>
        </is>
      </c>
      <c r="L130" s="13" t="inlineStr">
        <is>
          <t>Brasil</t>
        </is>
      </c>
      <c r="M130" s="13" t="inlineStr">
        <is>
          <t>0/1/2 - Conforme Origem do Lote</t>
        </is>
      </c>
    </row>
    <row r="131" ht="22" customHeight="1">
      <c r="A131" s="6" t="inlineStr">
        <is>
          <t>EMP-0127</t>
        </is>
      </c>
      <c r="B131" s="5" t="n">
        <v>105</v>
      </c>
      <c r="C131" s="7" t="inlineStr">
        <is>
          <t>Nº 2808</t>
        </is>
      </c>
      <c r="D131" s="8" t="inlineStr">
        <is>
          <t>TROPERO</t>
        </is>
      </c>
      <c r="E131" s="7" t="inlineStr">
        <is>
          <t>3. Formulador / Co-Distribuidor Autorizado</t>
        </is>
      </c>
      <c r="F131" s="7" t="inlineStr">
        <is>
          <t>Produto Formulado Comercial</t>
        </is>
      </c>
      <c r="G131" s="7" t="inlineStr">
        <is>
          <t>Dow</t>
        </is>
      </c>
      <c r="H131" s="7" t="inlineStr">
        <is>
          <t>Estabelecimento Credenciado</t>
        </is>
      </c>
      <c r="I131" s="7" t="inlineStr">
        <is>
          <t>CNPJ Credenciado MAPA</t>
        </is>
      </c>
      <c r="J131" s="7" t="inlineStr">
        <is>
          <t>Registro Estadual Vigente</t>
        </is>
      </c>
      <c r="K131" s="7" t="inlineStr">
        <is>
          <t>Unidade Operacional Brasil</t>
        </is>
      </c>
      <c r="L131" s="7" t="inlineStr">
        <is>
          <t>Brasil</t>
        </is>
      </c>
      <c r="M131" s="7" t="inlineStr">
        <is>
          <t>0/1/2 - Conforme Origem do Lote</t>
        </is>
      </c>
    </row>
    <row r="132" ht="22" customHeight="1">
      <c r="A132" s="12" t="inlineStr">
        <is>
          <t>EMP-0128</t>
        </is>
      </c>
      <c r="B132" s="11" t="n">
        <v>106</v>
      </c>
      <c r="C132" s="13" t="inlineStr">
        <is>
          <t>Nº 14207</t>
        </is>
      </c>
      <c r="D132" s="14" t="inlineStr">
        <is>
          <t>TURUNA</t>
        </is>
      </c>
      <c r="E132" s="13" t="inlineStr">
        <is>
          <t>1. Titular do Registro / Produtor</t>
        </is>
      </c>
      <c r="F132" s="13" t="inlineStr">
        <is>
          <t>Produto Formulado Comercial</t>
        </is>
      </c>
      <c r="G132" s="13" t="inlineStr">
        <is>
          <t>OURO FINO QUÍMICA S.A.</t>
        </is>
      </c>
      <c r="H132" s="13" t="inlineStr">
        <is>
          <t>Matriz / Estabelecimento Principal</t>
        </is>
      </c>
      <c r="I132" s="13" t="inlineStr">
        <is>
          <t>CNPJ Credenciado MAPA/SIPEAGRO</t>
        </is>
      </c>
      <c r="J132" s="13" t="inlineStr">
        <is>
          <t>Registro Estadual Vigente</t>
        </is>
      </c>
      <c r="K132" s="13" t="inlineStr">
        <is>
          <t>Estabelecimento Credenciado no Brasil</t>
        </is>
      </c>
      <c r="L132" s="13" t="inlineStr">
        <is>
          <t>Brasil</t>
        </is>
      </c>
      <c r="M132" s="13" t="inlineStr">
        <is>
          <t>0 - Nacional / 1 - Importação Direta</t>
        </is>
      </c>
    </row>
    <row r="133" ht="22" customHeight="1">
      <c r="A133" s="6" t="inlineStr">
        <is>
          <t>EMP-0129</t>
        </is>
      </c>
      <c r="B133" s="5" t="n">
        <v>107</v>
      </c>
      <c r="C133" s="7" t="inlineStr">
        <is>
          <t>Nº 13420</t>
        </is>
      </c>
      <c r="D133" s="8" t="inlineStr">
        <is>
          <t>APROACH POWER</t>
        </is>
      </c>
      <c r="E133" s="7" t="inlineStr">
        <is>
          <t>1. Titular do Registro / Produtor</t>
        </is>
      </c>
      <c r="F133" s="7" t="inlineStr">
        <is>
          <t>Produto Formulado Comercial</t>
        </is>
      </c>
      <c r="G133" s="7" t="inlineStr">
        <is>
          <t>CTVA PROTECAO DE CULTIVOS LTDA.</t>
        </is>
      </c>
      <c r="H133" s="7" t="inlineStr">
        <is>
          <t>Matriz / Estabelecimento Principal</t>
        </is>
      </c>
      <c r="I133" s="7" t="inlineStr">
        <is>
          <t>CNPJ Credenciado MAPA/SIPEAGRO</t>
        </is>
      </c>
      <c r="J133" s="7" t="inlineStr">
        <is>
          <t>Registro Estadual Vigente</t>
        </is>
      </c>
      <c r="K133" s="7" t="inlineStr">
        <is>
          <t>Estabelecimento Credenciado no Brasil</t>
        </is>
      </c>
      <c r="L133" s="7" t="inlineStr">
        <is>
          <t>Brasil</t>
        </is>
      </c>
      <c r="M133" s="7" t="inlineStr">
        <is>
          <t>0 - Nacional / 1 - Importação Direta</t>
        </is>
      </c>
    </row>
    <row r="134" ht="22" customHeight="1">
      <c r="A134" s="12" t="inlineStr">
        <is>
          <t>EMP-0130</t>
        </is>
      </c>
      <c r="B134" s="11" t="n">
        <v>108</v>
      </c>
      <c r="C134" s="13" t="inlineStr">
        <is>
          <t>Nº 1419</t>
        </is>
      </c>
      <c r="D134" s="14" t="inlineStr">
        <is>
          <t>TAURA 200 EC</t>
        </is>
      </c>
      <c r="E134" s="13" t="inlineStr">
        <is>
          <t>1. Titular do Registro</t>
        </is>
      </c>
      <c r="F134" s="13" t="inlineStr">
        <is>
          <t>Produto Formulado Comercial</t>
        </is>
      </c>
      <c r="G134" s="13" t="inlineStr">
        <is>
          <t>Rainbow</t>
        </is>
      </c>
      <c r="H134" s="13" t="inlineStr">
        <is>
          <t>Estabelecimento Credenciado</t>
        </is>
      </c>
      <c r="I134" s="13" t="inlineStr">
        <is>
          <t>CNPJ Credenciado MAPA</t>
        </is>
      </c>
      <c r="J134" s="13" t="inlineStr">
        <is>
          <t>Registro Estadual Vigente</t>
        </is>
      </c>
      <c r="K134" s="13" t="inlineStr">
        <is>
          <t>Unidade Operacional Brasil</t>
        </is>
      </c>
      <c r="L134" s="13" t="inlineStr">
        <is>
          <t>Brasil</t>
        </is>
      </c>
      <c r="M134" s="13" t="inlineStr">
        <is>
          <t>0/1/2 - Conforme Origem do Lote</t>
        </is>
      </c>
    </row>
    <row r="135" ht="22" customHeight="1">
      <c r="A135" s="6" t="inlineStr">
        <is>
          <t>EMP-0131</t>
        </is>
      </c>
      <c r="B135" s="5" t="n">
        <v>108</v>
      </c>
      <c r="C135" s="7" t="inlineStr">
        <is>
          <t>Nº 1419</t>
        </is>
      </c>
      <c r="D135" s="8" t="inlineStr">
        <is>
          <t>TAURA 200 EC</t>
        </is>
      </c>
      <c r="E135" s="7" t="inlineStr">
        <is>
          <t>3. Formulador / Co-Distribuidor Autorizado</t>
        </is>
      </c>
      <c r="F135" s="7" t="inlineStr">
        <is>
          <t>Produto Formulado Comercial</t>
        </is>
      </c>
      <c r="G135" s="7" t="inlineStr">
        <is>
          <t>Ourofino</t>
        </is>
      </c>
      <c r="H135" s="7" t="inlineStr">
        <is>
          <t>Estabelecimento Credenciado</t>
        </is>
      </c>
      <c r="I135" s="7" t="inlineStr">
        <is>
          <t>CNPJ Credenciado MAPA</t>
        </is>
      </c>
      <c r="J135" s="7" t="inlineStr">
        <is>
          <t>Registro Estadual Vigente</t>
        </is>
      </c>
      <c r="K135" s="7" t="inlineStr">
        <is>
          <t>Unidade Operacional Brasil</t>
        </is>
      </c>
      <c r="L135" s="7" t="inlineStr">
        <is>
          <t>Brasil</t>
        </is>
      </c>
      <c r="M135" s="7" t="inlineStr">
        <is>
          <t>0/1/2 - Conforme Origem do Lote</t>
        </is>
      </c>
    </row>
    <row r="136" ht="22" customHeight="1">
      <c r="A136" s="12" t="inlineStr">
        <is>
          <t>EMP-0132</t>
        </is>
      </c>
      <c r="B136" s="11" t="n">
        <v>109</v>
      </c>
      <c r="C136" s="13" t="inlineStr">
        <is>
          <t>SIPEAGRO (UF-XXXXX)</t>
        </is>
      </c>
      <c r="D136" s="14" t="inlineStr">
        <is>
          <t>AGRIGENTO KIESER</t>
        </is>
      </c>
      <c r="E136" s="13" t="inlineStr">
        <is>
          <t>1. Titular do Registro / Produtor</t>
        </is>
      </c>
      <c r="F136" s="13" t="inlineStr">
        <is>
          <t>Fertilizante Mineral / Organomineral</t>
        </is>
      </c>
      <c r="G136" s="13" t="inlineStr">
        <is>
          <t>Estabelecimento Produtor SIPEAGRO/MAPA</t>
        </is>
      </c>
      <c r="H136" s="13" t="inlineStr">
        <is>
          <t>Matriz / Estabelecimento Principal</t>
        </is>
      </c>
      <c r="I136" s="13" t="inlineStr">
        <is>
          <t>CNPJ Credenciado MAPA/SIPEAGRO</t>
        </is>
      </c>
      <c r="J136" s="13" t="inlineStr">
        <is>
          <t>Registro Estadual Vigente</t>
        </is>
      </c>
      <c r="K136" s="13" t="inlineStr">
        <is>
          <t>Estabelecimento Credenciado no Brasil</t>
        </is>
      </c>
      <c r="L136" s="13" t="inlineStr">
        <is>
          <t>Brasil</t>
        </is>
      </c>
      <c r="M136" s="13" t="inlineStr">
        <is>
          <t>0 - Nacional / 1 - Importação Direta</t>
        </is>
      </c>
    </row>
    <row r="137" ht="22" customHeight="1">
      <c r="A137" s="6" t="inlineStr">
        <is>
          <t>EMP-0133</t>
        </is>
      </c>
      <c r="B137" s="5" t="n">
        <v>110</v>
      </c>
      <c r="C137" s="7" t="inlineStr">
        <is>
          <t>Nº 8215</t>
        </is>
      </c>
      <c r="D137" s="8" t="inlineStr">
        <is>
          <t>FEZAN GOLD</t>
        </is>
      </c>
      <c r="E137" s="7" t="inlineStr">
        <is>
          <t>1. Titular do Registro</t>
        </is>
      </c>
      <c r="F137" s="7" t="inlineStr">
        <is>
          <t>Produto Formulado Comercial</t>
        </is>
      </c>
      <c r="G137" s="7" t="inlineStr">
        <is>
          <t>Oxon</t>
        </is>
      </c>
      <c r="H137" s="7" t="inlineStr">
        <is>
          <t>Estabelecimento Credenciado</t>
        </is>
      </c>
      <c r="I137" s="7" t="inlineStr">
        <is>
          <t>CNPJ Credenciado MAPA</t>
        </is>
      </c>
      <c r="J137" s="7" t="inlineStr">
        <is>
          <t>Registro Estadual Vigente</t>
        </is>
      </c>
      <c r="K137" s="7" t="inlineStr">
        <is>
          <t>Unidade Operacional Brasil</t>
        </is>
      </c>
      <c r="L137" s="7" t="inlineStr">
        <is>
          <t>Brasil</t>
        </is>
      </c>
      <c r="M137" s="7" t="inlineStr">
        <is>
          <t>0/1/2 - Conforme Origem do Lote</t>
        </is>
      </c>
    </row>
    <row r="138" ht="22" customHeight="1">
      <c r="A138" s="12" t="inlineStr">
        <is>
          <t>EMP-0134</t>
        </is>
      </c>
      <c r="B138" s="11" t="n">
        <v>110</v>
      </c>
      <c r="C138" s="13" t="inlineStr">
        <is>
          <t>Nº 8215</t>
        </is>
      </c>
      <c r="D138" s="14" t="inlineStr">
        <is>
          <t>FEZAN GOLD</t>
        </is>
      </c>
      <c r="E138" s="13" t="inlineStr">
        <is>
          <t>3. Formulador / Co-Distribuidor Autorizado</t>
        </is>
      </c>
      <c r="F138" s="13" t="inlineStr">
        <is>
          <t>Produto Formulado Comercial</t>
        </is>
      </c>
      <c r="G138" s="13" t="inlineStr">
        <is>
          <t>Sipcam Nichino</t>
        </is>
      </c>
      <c r="H138" s="13" t="inlineStr">
        <is>
          <t>Estabelecimento Credenciado</t>
        </is>
      </c>
      <c r="I138" s="13" t="inlineStr">
        <is>
          <t>CNPJ Credenciado MAPA</t>
        </is>
      </c>
      <c r="J138" s="13" t="inlineStr">
        <is>
          <t>Registro Estadual Vigente</t>
        </is>
      </c>
      <c r="K138" s="13" t="inlineStr">
        <is>
          <t>Unidade Operacional Brasil</t>
        </is>
      </c>
      <c r="L138" s="13" t="inlineStr">
        <is>
          <t>Brasil</t>
        </is>
      </c>
      <c r="M138" s="13" t="inlineStr">
        <is>
          <t>0/1/2 - Conforme Origem do Lote</t>
        </is>
      </c>
    </row>
    <row r="139" ht="22" customHeight="1">
      <c r="A139" s="6" t="inlineStr">
        <is>
          <t>EMP-0135</t>
        </is>
      </c>
      <c r="B139" s="5" t="n">
        <v>111</v>
      </c>
      <c r="C139" s="7" t="inlineStr">
        <is>
          <t>Nº 20920</t>
        </is>
      </c>
      <c r="D139" s="8" t="inlineStr">
        <is>
          <t>CLICK</t>
        </is>
      </c>
      <c r="E139" s="7" t="inlineStr">
        <is>
          <t>1. Titular do Registro / Produtor</t>
        </is>
      </c>
      <c r="F139" s="7" t="inlineStr">
        <is>
          <t>Produto Formulado Comercial</t>
        </is>
      </c>
      <c r="G139" s="7" t="inlineStr">
        <is>
          <t>SIPCAM NICHINO BRASIL S.A.</t>
        </is>
      </c>
      <c r="H139" s="7" t="inlineStr">
        <is>
          <t>Matriz / Estabelecimento Principal</t>
        </is>
      </c>
      <c r="I139" s="7" t="inlineStr">
        <is>
          <t>CNPJ Credenciado MAPA/SIPEAGRO</t>
        </is>
      </c>
      <c r="J139" s="7" t="inlineStr">
        <is>
          <t>Registro Estadual Vigente</t>
        </is>
      </c>
      <c r="K139" s="7" t="inlineStr">
        <is>
          <t>Estabelecimento Credenciado no Brasil</t>
        </is>
      </c>
      <c r="L139" s="7" t="inlineStr">
        <is>
          <t>Brasil</t>
        </is>
      </c>
      <c r="M139" s="7" t="inlineStr">
        <is>
          <t>0 - Nacional / 1 - Importação Direta</t>
        </is>
      </c>
    </row>
    <row r="140" ht="22" customHeight="1">
      <c r="A140" s="12" t="inlineStr">
        <is>
          <t>EMP-0136</t>
        </is>
      </c>
      <c r="B140" s="11" t="n">
        <v>112</v>
      </c>
      <c r="C140" s="13" t="inlineStr">
        <is>
          <t>Nº 238904</t>
        </is>
      </c>
      <c r="D140" s="14" t="inlineStr">
        <is>
          <t>SUPPORT</t>
        </is>
      </c>
      <c r="E140" s="13" t="inlineStr">
        <is>
          <t>1. Titular do Registro</t>
        </is>
      </c>
      <c r="F140" s="13" t="inlineStr">
        <is>
          <t>Produto Formulado Comercial</t>
        </is>
      </c>
      <c r="G140" s="13" t="inlineStr">
        <is>
          <t>Iharabras</t>
        </is>
      </c>
      <c r="H140" s="13" t="inlineStr">
        <is>
          <t>Estabelecimento Credenciado</t>
        </is>
      </c>
      <c r="I140" s="13" t="inlineStr">
        <is>
          <t>CNPJ Credenciado MAPA</t>
        </is>
      </c>
      <c r="J140" s="13" t="inlineStr">
        <is>
          <t>Registro Estadual Vigente</t>
        </is>
      </c>
      <c r="K140" s="13" t="inlineStr">
        <is>
          <t>Unidade Operacional Brasil</t>
        </is>
      </c>
      <c r="L140" s="13" t="inlineStr">
        <is>
          <t>Brasil</t>
        </is>
      </c>
      <c r="M140" s="13" t="inlineStr">
        <is>
          <t>0/1/2 - Conforme Origem do Lote</t>
        </is>
      </c>
    </row>
    <row r="141" ht="22" customHeight="1">
      <c r="A141" s="6" t="inlineStr">
        <is>
          <t>EMP-0137</t>
        </is>
      </c>
      <c r="B141" s="5" t="n">
        <v>112</v>
      </c>
      <c r="C141" s="7" t="inlineStr">
        <is>
          <t>Nº 238904</t>
        </is>
      </c>
      <c r="D141" s="8" t="inlineStr">
        <is>
          <t>SUPPORT</t>
        </is>
      </c>
      <c r="E141" s="7" t="inlineStr">
        <is>
          <t>3. Formulador / Co-Distribuidor Autorizado</t>
        </is>
      </c>
      <c r="F141" s="7" t="inlineStr">
        <is>
          <t>Produto Formulado Comercial</t>
        </is>
      </c>
      <c r="G141" s="7" t="inlineStr">
        <is>
          <t>Sipcam</t>
        </is>
      </c>
      <c r="H141" s="7" t="inlineStr">
        <is>
          <t>Estabelecimento Credenciado</t>
        </is>
      </c>
      <c r="I141" s="7" t="inlineStr">
        <is>
          <t>CNPJ Credenciado MAPA</t>
        </is>
      </c>
      <c r="J141" s="7" t="inlineStr">
        <is>
          <t>Registro Estadual Vigente</t>
        </is>
      </c>
      <c r="K141" s="7" t="inlineStr">
        <is>
          <t>Unidade Operacional Brasil</t>
        </is>
      </c>
      <c r="L141" s="7" t="inlineStr">
        <is>
          <t>Brasil</t>
        </is>
      </c>
      <c r="M141" s="7" t="inlineStr">
        <is>
          <t>0/1/2 - Conforme Origem do Lote</t>
        </is>
      </c>
    </row>
    <row r="142" ht="22" customHeight="1">
      <c r="A142" s="12" t="inlineStr">
        <is>
          <t>EMP-0138</t>
        </is>
      </c>
      <c r="B142" s="11" t="n">
        <v>113</v>
      </c>
      <c r="C142" s="13" t="inlineStr">
        <is>
          <t>SIPEAGRO (UF-XXXXX)</t>
        </is>
      </c>
      <c r="D142" s="14" t="inlineStr">
        <is>
          <t>AGCN ZINCO ULTRA</t>
        </is>
      </c>
      <c r="E142" s="13" t="inlineStr">
        <is>
          <t>1. Titular do Registro / Produtor</t>
        </is>
      </c>
      <c r="F142" s="13" t="inlineStr">
        <is>
          <t>Fertilizante Mineral / Organomineral</t>
        </is>
      </c>
      <c r="G142" s="13" t="inlineStr">
        <is>
          <t>Estabelecimento Produtor SIPEAGRO/MAPA</t>
        </is>
      </c>
      <c r="H142" s="13" t="inlineStr">
        <is>
          <t>Matriz / Estabelecimento Principal</t>
        </is>
      </c>
      <c r="I142" s="13" t="inlineStr">
        <is>
          <t>CNPJ Credenciado MAPA/SIPEAGRO</t>
        </is>
      </c>
      <c r="J142" s="13" t="inlineStr">
        <is>
          <t>Registro Estadual Vigente</t>
        </is>
      </c>
      <c r="K142" s="13" t="inlineStr">
        <is>
          <t>Estabelecimento Credenciado no Brasil</t>
        </is>
      </c>
      <c r="L142" s="13" t="inlineStr">
        <is>
          <t>Brasil</t>
        </is>
      </c>
      <c r="M142" s="13" t="inlineStr">
        <is>
          <t>0 - Nacional / 1 - Importação Direta</t>
        </is>
      </c>
    </row>
    <row r="143" ht="22" customHeight="1">
      <c r="A143" s="6" t="inlineStr">
        <is>
          <t>EMP-0139</t>
        </is>
      </c>
      <c r="B143" s="5" t="n">
        <v>114</v>
      </c>
      <c r="C143" s="7" t="inlineStr">
        <is>
          <t>SIPEAGRO (UF-XXXXX)</t>
        </is>
      </c>
      <c r="D143" s="8" t="inlineStr">
        <is>
          <t>AGCN ZINCO ULTRA</t>
        </is>
      </c>
      <c r="E143" s="7" t="inlineStr">
        <is>
          <t>1. Titular do Registro / Produtor</t>
        </is>
      </c>
      <c r="F143" s="7" t="inlineStr">
        <is>
          <t>Fertilizante Mineral / Organomineral</t>
        </is>
      </c>
      <c r="G143" s="7" t="inlineStr">
        <is>
          <t>Estabelecimento Produtor SIPEAGRO/MAPA</t>
        </is>
      </c>
      <c r="H143" s="7" t="inlineStr">
        <is>
          <t>Matriz / Estabelecimento Principal</t>
        </is>
      </c>
      <c r="I143" s="7" t="inlineStr">
        <is>
          <t>CNPJ Credenciado MAPA/SIPEAGRO</t>
        </is>
      </c>
      <c r="J143" s="7" t="inlineStr">
        <is>
          <t>Registro Estadual Vigente</t>
        </is>
      </c>
      <c r="K143" s="7" t="inlineStr">
        <is>
          <t>Estabelecimento Credenciado no Brasil</t>
        </is>
      </c>
      <c r="L143" s="7" t="inlineStr">
        <is>
          <t>Brasil</t>
        </is>
      </c>
      <c r="M143" s="7" t="inlineStr">
        <is>
          <t>0 - Nacional / 1 - Importação Direta</t>
        </is>
      </c>
    </row>
    <row r="144" ht="22" customHeight="1">
      <c r="A144" s="12" t="inlineStr">
        <is>
          <t>EMP-0140</t>
        </is>
      </c>
      <c r="B144" s="11" t="n">
        <v>115</v>
      </c>
      <c r="C144" s="13" t="inlineStr">
        <is>
          <t>SIPEAGRO (UF-XXXXX)</t>
        </is>
      </c>
      <c r="D144" s="14" t="inlineStr">
        <is>
          <t>AGCN ZINCO ULTRA</t>
        </is>
      </c>
      <c r="E144" s="13" t="inlineStr">
        <is>
          <t>1. Titular do Registro / Produtor</t>
        </is>
      </c>
      <c r="F144" s="13" t="inlineStr">
        <is>
          <t>Fertilizante Mineral / Organomineral</t>
        </is>
      </c>
      <c r="G144" s="13" t="inlineStr">
        <is>
          <t>Estabelecimento Produtor SIPEAGRO/MAPA</t>
        </is>
      </c>
      <c r="H144" s="13" t="inlineStr">
        <is>
          <t>Matriz / Estabelecimento Principal</t>
        </is>
      </c>
      <c r="I144" s="13" t="inlineStr">
        <is>
          <t>CNPJ Credenciado MAPA/SIPEAGRO</t>
        </is>
      </c>
      <c r="J144" s="13" t="inlineStr">
        <is>
          <t>Registro Estadual Vigente</t>
        </is>
      </c>
      <c r="K144" s="13" t="inlineStr">
        <is>
          <t>Estabelecimento Credenciado no Brasil</t>
        </is>
      </c>
      <c r="L144" s="13" t="inlineStr">
        <is>
          <t>Brasil</t>
        </is>
      </c>
      <c r="M144" s="13" t="inlineStr">
        <is>
          <t>0 - Nacional / 1 - Importação Direta</t>
        </is>
      </c>
    </row>
    <row r="145" ht="22" customHeight="1">
      <c r="A145" s="6" t="inlineStr">
        <is>
          <t>EMP-0141</t>
        </is>
      </c>
      <c r="B145" s="5" t="n">
        <v>116</v>
      </c>
      <c r="C145" s="7" t="inlineStr">
        <is>
          <t>SIPEAGRO (UF-XXXXX)</t>
        </is>
      </c>
      <c r="D145" s="8" t="inlineStr">
        <is>
          <t>SOLO AGRI S90 120</t>
        </is>
      </c>
      <c r="E145" s="7" t="inlineStr">
        <is>
          <t>1. Titular do Registro / Produtor</t>
        </is>
      </c>
      <c r="F145" s="7" t="inlineStr">
        <is>
          <t>Corretivo / Condicionador de Solo</t>
        </is>
      </c>
      <c r="G145" s="7" t="inlineStr">
        <is>
          <t>Estabelecimento Produtor SIPEAGRO/MAPA</t>
        </is>
      </c>
      <c r="H145" s="7" t="inlineStr">
        <is>
          <t>Matriz / Estabelecimento Principal</t>
        </is>
      </c>
      <c r="I145" s="7" t="inlineStr">
        <is>
          <t>CNPJ Credenciado MAPA/SIPEAGRO</t>
        </is>
      </c>
      <c r="J145" s="7" t="inlineStr">
        <is>
          <t>Registro Estadual Vigente</t>
        </is>
      </c>
      <c r="K145" s="7" t="inlineStr">
        <is>
          <t>Estabelecimento Credenciado no Brasil</t>
        </is>
      </c>
      <c r="L145" s="7" t="inlineStr">
        <is>
          <t>Brasil</t>
        </is>
      </c>
      <c r="M145" s="7" t="inlineStr">
        <is>
          <t>0 - Nacional / 1 - Importação Direta</t>
        </is>
      </c>
    </row>
    <row r="146" ht="22" customHeight="1">
      <c r="A146" s="12" t="inlineStr">
        <is>
          <t>EMP-0142</t>
        </is>
      </c>
      <c r="B146" s="11" t="n">
        <v>117</v>
      </c>
      <c r="C146" s="13" t="inlineStr">
        <is>
          <t>SIPEAGRO (UF-XXXXX)</t>
        </is>
      </c>
      <c r="D146" s="14" t="inlineStr">
        <is>
          <t>ULEXITA 100</t>
        </is>
      </c>
      <c r="E146" s="13" t="inlineStr">
        <is>
          <t>1. Titular do Registro / Produtor</t>
        </is>
      </c>
      <c r="F146" s="13" t="inlineStr">
        <is>
          <t>Corretivo / Condicionador de Solo</t>
        </is>
      </c>
      <c r="G146" s="13" t="inlineStr">
        <is>
          <t>Estabelecimento Produtor SIPEAGRO/MAPA</t>
        </is>
      </c>
      <c r="H146" s="13" t="inlineStr">
        <is>
          <t>Matriz / Estabelecimento Principal</t>
        </is>
      </c>
      <c r="I146" s="13" t="inlineStr">
        <is>
          <t>CNPJ Credenciado MAPA/SIPEAGRO</t>
        </is>
      </c>
      <c r="J146" s="13" t="inlineStr">
        <is>
          <t>Registro Estadual Vigente</t>
        </is>
      </c>
      <c r="K146" s="13" t="inlineStr">
        <is>
          <t>Estabelecimento Credenciado no Brasil</t>
        </is>
      </c>
      <c r="L146" s="13" t="inlineStr">
        <is>
          <t>Brasil</t>
        </is>
      </c>
      <c r="M146" s="13" t="inlineStr">
        <is>
          <t>0 - Nacional / 1 - Importação Direta</t>
        </is>
      </c>
    </row>
    <row r="147" ht="22" customHeight="1">
      <c r="A147" s="6" t="inlineStr">
        <is>
          <t>EMP-0143</t>
        </is>
      </c>
      <c r="B147" s="5" t="n">
        <v>118</v>
      </c>
      <c r="C147" s="7" t="inlineStr">
        <is>
          <t>Nº 6922</t>
        </is>
      </c>
      <c r="D147" s="8" t="inlineStr">
        <is>
          <t>COFENRIN</t>
        </is>
      </c>
      <c r="E147" s="7" t="inlineStr">
        <is>
          <t>1. Titular do Registro / Produtor</t>
        </is>
      </c>
      <c r="F147" s="7" t="inlineStr">
        <is>
          <t>Produto Formulado Comercial</t>
        </is>
      </c>
      <c r="G147" s="7" t="inlineStr">
        <is>
          <t>RAINBOW DEFENSIVOS AGRÍCOLAS LTDA.</t>
        </is>
      </c>
      <c r="H147" s="7" t="inlineStr">
        <is>
          <t>Matriz / Estabelecimento Principal</t>
        </is>
      </c>
      <c r="I147" s="7" t="inlineStr">
        <is>
          <t>10.486.463/0001-69</t>
        </is>
      </c>
      <c r="J147" s="7" t="inlineStr">
        <is>
          <t>SEAPA/RS nº 1928/09</t>
        </is>
      </c>
      <c r="K147" s="7" t="inlineStr">
        <is>
          <t>Av. Carlos Gomes, 258, Salas 1103-1106, Boa Vista, Porto Alegre/RS - CEP 90480-000</t>
        </is>
      </c>
      <c r="L147" s="7" t="inlineStr">
        <is>
          <t>Brasil</t>
        </is>
      </c>
      <c r="M147" s="7" t="inlineStr">
        <is>
          <t>0 - Nacional / 1 - Importação Direta</t>
        </is>
      </c>
    </row>
    <row r="148" ht="22" customHeight="1">
      <c r="A148" s="12" t="inlineStr">
        <is>
          <t>EMP-0144</t>
        </is>
      </c>
      <c r="B148" s="11" t="n">
        <v>118</v>
      </c>
      <c r="C148" s="13" t="inlineStr">
        <is>
          <t>Nº 6922</t>
        </is>
      </c>
      <c r="D148" s="14" t="inlineStr">
        <is>
          <t>COFENRIN</t>
        </is>
      </c>
      <c r="E148" s="13" t="inlineStr">
        <is>
          <t>2. Fabricante do Produto Técnico</t>
        </is>
      </c>
      <c r="F148" s="13" t="inlineStr">
        <is>
          <t>Produto Técnico Vinculado na Bula</t>
        </is>
      </c>
      <c r="G148" s="13" t="inlineStr">
        <is>
          <t>SHANDONG WEIFANG RAINBOW / YOUJIA CROP PROTECTION</t>
        </is>
      </c>
      <c r="H148" s="13" t="inlineStr">
        <is>
          <t>Planta Síntese Ásia</t>
        </is>
      </c>
      <c r="I148" s="13" t="inlineStr">
        <is>
          <t>EXT-CHN-TECH</t>
        </is>
      </c>
      <c r="J148" s="13" t="inlineStr">
        <is>
          <t>Isento Exterior</t>
        </is>
      </c>
      <c r="K148" s="13" t="inlineStr">
        <is>
          <t>Shandong / Jiangsu Industrial Park - China</t>
        </is>
      </c>
      <c r="L148" s="13" t="inlineStr">
        <is>
          <t>China</t>
        </is>
      </c>
      <c r="M148" s="13" t="inlineStr">
        <is>
          <t>1/2 - Importado</t>
        </is>
      </c>
    </row>
    <row r="149" ht="22" customHeight="1">
      <c r="A149" s="6" t="inlineStr">
        <is>
          <t>EMP-0145</t>
        </is>
      </c>
      <c r="B149" s="5" t="n">
        <v>118</v>
      </c>
      <c r="C149" s="7" t="inlineStr">
        <is>
          <t>Nº 6922</t>
        </is>
      </c>
      <c r="D149" s="8" t="inlineStr">
        <is>
          <t>COFENRIN</t>
        </is>
      </c>
      <c r="E149" s="7" t="inlineStr">
        <is>
          <t>3. Formulador</t>
        </is>
      </c>
      <c r="F149" s="7" t="inlineStr">
        <is>
          <t>Produto Formulado Comercial</t>
        </is>
      </c>
      <c r="G149" s="7" t="inlineStr">
        <is>
          <t>OURO FINO QUÍMICA S.A.</t>
        </is>
      </c>
      <c r="H149" s="7" t="inlineStr">
        <is>
          <t>Planta Uberaba/MG</t>
        </is>
      </c>
      <c r="I149" s="7" t="inlineStr">
        <is>
          <t>09.100.671/0001-07</t>
        </is>
      </c>
      <c r="J149" s="7" t="inlineStr">
        <is>
          <t>IMA/MG nº 8.764</t>
        </is>
      </c>
      <c r="K149" s="7" t="inlineStr">
        <is>
          <t>Av. Filomena Cartafina, 22335, Uberaba/MG</t>
        </is>
      </c>
      <c r="L149" s="7" t="inlineStr">
        <is>
          <t>Brasil</t>
        </is>
      </c>
      <c r="M149" s="7" t="inlineStr">
        <is>
          <t>0/3/5 - Nacional</t>
        </is>
      </c>
    </row>
    <row r="150" ht="22" customHeight="1">
      <c r="A150" s="12" t="inlineStr">
        <is>
          <t>EMP-0146</t>
        </is>
      </c>
      <c r="B150" s="11" t="n">
        <v>118</v>
      </c>
      <c r="C150" s="13" t="inlineStr">
        <is>
          <t>Nº 6922</t>
        </is>
      </c>
      <c r="D150" s="14" t="inlineStr">
        <is>
          <t>COFENRIN</t>
        </is>
      </c>
      <c r="E150" s="13" t="inlineStr">
        <is>
          <t>3. Formulador</t>
        </is>
      </c>
      <c r="F150" s="13" t="inlineStr">
        <is>
          <t>Produto Formulado Comercial</t>
        </is>
      </c>
      <c r="G150" s="13" t="inlineStr">
        <is>
          <t>FERSOL INDÚSTRIA E COMÉRCIO LTDA.</t>
        </is>
      </c>
      <c r="H150" s="13" t="inlineStr">
        <is>
          <t>Planta Mairinque/SP</t>
        </is>
      </c>
      <c r="I150" s="13" t="inlineStr">
        <is>
          <t>47.226.493/0001-46</t>
        </is>
      </c>
      <c r="J150" s="13" t="inlineStr">
        <is>
          <t>CDA/SP nº 31</t>
        </is>
      </c>
      <c r="K150" s="13" t="inlineStr">
        <is>
          <t>Rod. Pres. Castelo Branco, Km 68,5, Mairinque/SP</t>
        </is>
      </c>
      <c r="L150" s="13" t="inlineStr">
        <is>
          <t>Brasil</t>
        </is>
      </c>
      <c r="M150" s="13" t="inlineStr">
        <is>
          <t>0/3/5 - Nacional</t>
        </is>
      </c>
    </row>
    <row r="151" ht="22" customHeight="1">
      <c r="A151" s="6" t="inlineStr">
        <is>
          <t>EMP-0147</t>
        </is>
      </c>
      <c r="B151" s="5" t="n">
        <v>118</v>
      </c>
      <c r="C151" s="7" t="inlineStr">
        <is>
          <t>Nº 6922</t>
        </is>
      </c>
      <c r="D151" s="8" t="inlineStr">
        <is>
          <t>COFENRIN</t>
        </is>
      </c>
      <c r="E151" s="7" t="inlineStr">
        <is>
          <t>3. Formulador</t>
        </is>
      </c>
      <c r="F151" s="7" t="inlineStr">
        <is>
          <t>Produto Formulado Comercial</t>
        </is>
      </c>
      <c r="G151" s="7" t="inlineStr">
        <is>
          <t>ULTRAFINE TECHNOLOGIES IND. E COM. LTDA.</t>
        </is>
      </c>
      <c r="H151" s="7" t="inlineStr">
        <is>
          <t>Planta Indaiatuba/SP</t>
        </is>
      </c>
      <c r="I151" s="7" t="inlineStr">
        <is>
          <t>50.025.469/0004-04</t>
        </is>
      </c>
      <c r="J151" s="7" t="inlineStr">
        <is>
          <t>CDA/SP nº 1248</t>
        </is>
      </c>
      <c r="K151" s="7" t="inlineStr">
        <is>
          <t>Rua Bonifácio Rosso Ros, 260, Indaiatuba/SP</t>
        </is>
      </c>
      <c r="L151" s="7" t="inlineStr">
        <is>
          <t>Brasil</t>
        </is>
      </c>
      <c r="M151" s="7" t="inlineStr">
        <is>
          <t>0/3/5 - Nacional</t>
        </is>
      </c>
    </row>
    <row r="152" ht="22" customHeight="1">
      <c r="A152" s="12" t="inlineStr">
        <is>
          <t>EMP-0148</t>
        </is>
      </c>
      <c r="B152" s="11" t="n">
        <v>119</v>
      </c>
      <c r="C152" s="13" t="inlineStr">
        <is>
          <t>Nº 8311</t>
        </is>
      </c>
      <c r="D152" s="14" t="inlineStr">
        <is>
          <t>ACEHERO</t>
        </is>
      </c>
      <c r="E152" s="13" t="inlineStr">
        <is>
          <t>1. Titular do Registro</t>
        </is>
      </c>
      <c r="F152" s="13" t="inlineStr">
        <is>
          <t>Produto Formulado Comercial</t>
        </is>
      </c>
      <c r="G152" s="13" t="inlineStr">
        <is>
          <t>Sabero</t>
        </is>
      </c>
      <c r="H152" s="13" t="inlineStr">
        <is>
          <t>Estabelecimento Credenciado</t>
        </is>
      </c>
      <c r="I152" s="13" t="inlineStr">
        <is>
          <t>CNPJ Credenciado MAPA</t>
        </is>
      </c>
      <c r="J152" s="13" t="inlineStr">
        <is>
          <t>Registro Estadual Vigente</t>
        </is>
      </c>
      <c r="K152" s="13" t="inlineStr">
        <is>
          <t>Unidade Operacional Brasil</t>
        </is>
      </c>
      <c r="L152" s="13" t="inlineStr">
        <is>
          <t>Brasil</t>
        </is>
      </c>
      <c r="M152" s="13" t="inlineStr">
        <is>
          <t>0/1/2 - Conforme Origem do Lote</t>
        </is>
      </c>
    </row>
    <row r="153" ht="22" customHeight="1">
      <c r="A153" s="6" t="inlineStr">
        <is>
          <t>EMP-0149</t>
        </is>
      </c>
      <c r="B153" s="5" t="n">
        <v>119</v>
      </c>
      <c r="C153" s="7" t="inlineStr">
        <is>
          <t>Nº 8311</t>
        </is>
      </c>
      <c r="D153" s="8" t="inlineStr">
        <is>
          <t>ACEHERO</t>
        </is>
      </c>
      <c r="E153" s="7" t="inlineStr">
        <is>
          <t>3. Formulador / Co-Distribuidor Autorizado</t>
        </is>
      </c>
      <c r="F153" s="7" t="inlineStr">
        <is>
          <t>Produto Formulado Comercial</t>
        </is>
      </c>
      <c r="G153" s="7" t="inlineStr">
        <is>
          <t>UPL</t>
        </is>
      </c>
      <c r="H153" s="7" t="inlineStr">
        <is>
          <t>Estabelecimento Credenciado</t>
        </is>
      </c>
      <c r="I153" s="7" t="inlineStr">
        <is>
          <t>CNPJ Credenciado MAPA</t>
        </is>
      </c>
      <c r="J153" s="7" t="inlineStr">
        <is>
          <t>Registro Estadual Vigente</t>
        </is>
      </c>
      <c r="K153" s="7" t="inlineStr">
        <is>
          <t>Unidade Operacional Brasil</t>
        </is>
      </c>
      <c r="L153" s="7" t="inlineStr">
        <is>
          <t>Brasil</t>
        </is>
      </c>
      <c r="M153" s="7" t="inlineStr">
        <is>
          <t>0/1/2 - Conforme Origem do Lote</t>
        </is>
      </c>
    </row>
    <row r="154" ht="22" customHeight="1">
      <c r="A154" s="12" t="inlineStr">
        <is>
          <t>EMP-0150</t>
        </is>
      </c>
      <c r="B154" s="11" t="n">
        <v>120</v>
      </c>
      <c r="C154" s="13" t="inlineStr">
        <is>
          <t>Nº 4623</t>
        </is>
      </c>
      <c r="D154" s="14" t="inlineStr">
        <is>
          <t>WEXITE</t>
        </is>
      </c>
      <c r="E154" s="13" t="inlineStr">
        <is>
          <t>1. Titular do Registro / Produtor</t>
        </is>
      </c>
      <c r="F154" s="13" t="inlineStr">
        <is>
          <t>Produto Formulado Comercial</t>
        </is>
      </c>
      <c r="G154" s="13" t="inlineStr">
        <is>
          <t>Rainbow Defensivos</t>
        </is>
      </c>
      <c r="H154" s="13" t="inlineStr">
        <is>
          <t>Matriz / Estabelecimento Principal</t>
        </is>
      </c>
      <c r="I154" s="13" t="inlineStr">
        <is>
          <t>10.486.463/0001-69</t>
        </is>
      </c>
      <c r="J154" s="13" t="inlineStr">
        <is>
          <t>SEAPA/RS nº 1928/09</t>
        </is>
      </c>
      <c r="K154" s="13" t="inlineStr">
        <is>
          <t>Estabelecimento Credenciado no Brasil</t>
        </is>
      </c>
      <c r="L154" s="13" t="inlineStr">
        <is>
          <t>Brasil</t>
        </is>
      </c>
      <c r="M154" s="13" t="inlineStr">
        <is>
          <t>0 - Nacional / 1 - Importação Direta</t>
        </is>
      </c>
    </row>
    <row r="155" ht="22" customHeight="1">
      <c r="A155" s="6" t="inlineStr">
        <is>
          <t>EMP-0151</t>
        </is>
      </c>
      <c r="B155" s="5" t="n">
        <v>121</v>
      </c>
      <c r="C155" s="7" t="inlineStr">
        <is>
          <t>Nº 0422</t>
        </is>
      </c>
      <c r="D155" s="8" t="inlineStr">
        <is>
          <t>XEQUE MATE HT</t>
        </is>
      </c>
      <c r="E155" s="7" t="inlineStr">
        <is>
          <t>1. Titular do Registro</t>
        </is>
      </c>
      <c r="F155" s="7" t="inlineStr">
        <is>
          <t>Produto Formulado Comercial</t>
        </is>
      </c>
      <c r="G155" s="7" t="inlineStr">
        <is>
          <t>Albaugh</t>
        </is>
      </c>
      <c r="H155" s="7" t="inlineStr">
        <is>
          <t>Estabelecimento Credenciado</t>
        </is>
      </c>
      <c r="I155" s="7" t="inlineStr">
        <is>
          <t>CNPJ Credenciado MAPA</t>
        </is>
      </c>
      <c r="J155" s="7" t="inlineStr">
        <is>
          <t>Registro Estadual Vigente</t>
        </is>
      </c>
      <c r="K155" s="7" t="inlineStr">
        <is>
          <t>Unidade Operacional Brasil</t>
        </is>
      </c>
      <c r="L155" s="7" t="inlineStr">
        <is>
          <t>Brasil</t>
        </is>
      </c>
      <c r="M155" s="7" t="inlineStr">
        <is>
          <t>0/1/2 - Conforme Origem do Lote</t>
        </is>
      </c>
    </row>
    <row r="156" ht="22" customHeight="1">
      <c r="A156" s="12" t="inlineStr">
        <is>
          <t>EMP-0152</t>
        </is>
      </c>
      <c r="B156" s="11" t="n">
        <v>121</v>
      </c>
      <c r="C156" s="13" t="inlineStr">
        <is>
          <t>Nº 0422</t>
        </is>
      </c>
      <c r="D156" s="14" t="inlineStr">
        <is>
          <t>XEQUE MATE HT</t>
        </is>
      </c>
      <c r="E156" s="13" t="inlineStr">
        <is>
          <t>3. Formulador / Co-Distribuidor Autorizado</t>
        </is>
      </c>
      <c r="F156" s="13" t="inlineStr">
        <is>
          <t>Produto Formulado Comercial</t>
        </is>
      </c>
      <c r="G156" s="13" t="inlineStr">
        <is>
          <t>Sino-Agri</t>
        </is>
      </c>
      <c r="H156" s="13" t="inlineStr">
        <is>
          <t>Estabelecimento Credenciado</t>
        </is>
      </c>
      <c r="I156" s="13" t="inlineStr">
        <is>
          <t>CNPJ Credenciado MAPA</t>
        </is>
      </c>
      <c r="J156" s="13" t="inlineStr">
        <is>
          <t>Registro Estadual Vigente</t>
        </is>
      </c>
      <c r="K156" s="13" t="inlineStr">
        <is>
          <t>Unidade Operacional Brasil</t>
        </is>
      </c>
      <c r="L156" s="13" t="inlineStr">
        <is>
          <t>Brasil</t>
        </is>
      </c>
      <c r="M156" s="13" t="inlineStr">
        <is>
          <t>0/1/2 - Conforme Origem do Lote</t>
        </is>
      </c>
    </row>
    <row r="157" ht="22" customHeight="1">
      <c r="A157" s="6" t="inlineStr">
        <is>
          <t>EMP-0153</t>
        </is>
      </c>
      <c r="B157" s="5" t="n">
        <v>122</v>
      </c>
      <c r="C157" s="7" t="inlineStr">
        <is>
          <t>Nº 3422</t>
        </is>
      </c>
      <c r="D157" s="8" t="inlineStr">
        <is>
          <t>FOX SUPRA</t>
        </is>
      </c>
      <c r="E157" s="7" t="inlineStr">
        <is>
          <t>1. Titular do Registro / Produtor</t>
        </is>
      </c>
      <c r="F157" s="7" t="inlineStr">
        <is>
          <t>Produto Formulado Comercial</t>
        </is>
      </c>
      <c r="G157" s="7" t="inlineStr">
        <is>
          <t>Bayer S.A.</t>
        </is>
      </c>
      <c r="H157" s="7" t="inlineStr">
        <is>
          <t>Matriz / Estabelecimento Principal</t>
        </is>
      </c>
      <c r="I157" s="7" t="inlineStr">
        <is>
          <t>CNPJ Credenciado MAPA/SIPEAGRO</t>
        </is>
      </c>
      <c r="J157" s="7" t="inlineStr">
        <is>
          <t>Registro Estadual Vigente</t>
        </is>
      </c>
      <c r="K157" s="7" t="inlineStr">
        <is>
          <t>Estabelecimento Credenciado no Brasil</t>
        </is>
      </c>
      <c r="L157" s="7" t="inlineStr">
        <is>
          <t>Brasil</t>
        </is>
      </c>
      <c r="M157" s="7" t="inlineStr">
        <is>
          <t>0 - Nacional / 1 - Importação Direta</t>
        </is>
      </c>
    </row>
    <row r="158" ht="22" customHeight="1">
      <c r="A158" s="12" t="inlineStr">
        <is>
          <t>EMP-0154</t>
        </is>
      </c>
      <c r="B158" s="11" t="n">
        <v>123</v>
      </c>
      <c r="C158" s="13" t="inlineStr">
        <is>
          <t>Nº 34621</t>
        </is>
      </c>
      <c r="D158" s="14" t="inlineStr">
        <is>
          <t>RATEIO 200 SL</t>
        </is>
      </c>
      <c r="E158" s="13" t="inlineStr">
        <is>
          <t>1. Titular do Registro / Produtor</t>
        </is>
      </c>
      <c r="F158" s="13" t="inlineStr">
        <is>
          <t>Produto Formulado Comercial</t>
        </is>
      </c>
      <c r="G158" s="13" t="inlineStr">
        <is>
          <t>YONON BRASIL DEFENSIVOS AGRÍCOLAS LTDA. / CCAB AGRO S.A.</t>
        </is>
      </c>
      <c r="H158" s="13" t="inlineStr">
        <is>
          <t>Matriz / Estabelecimento Principal</t>
        </is>
      </c>
      <c r="I158" s="13" t="inlineStr">
        <is>
          <t>18.858.234/0001-30</t>
        </is>
      </c>
      <c r="J158" s="13" t="inlineStr">
        <is>
          <t>ADAPAR/PR nº 004001</t>
        </is>
      </c>
      <c r="K158" s="13" t="inlineStr">
        <is>
          <t>São Paulo/SP e São Miguel do Iguaçu/PR</t>
        </is>
      </c>
      <c r="L158" s="13" t="inlineStr">
        <is>
          <t>Brasil</t>
        </is>
      </c>
      <c r="M158" s="13" t="inlineStr">
        <is>
          <t>0 - Nacional / 1 - Importação Direta</t>
        </is>
      </c>
    </row>
    <row r="159" ht="22" customHeight="1">
      <c r="A159" s="6" t="inlineStr">
        <is>
          <t>EMP-0155</t>
        </is>
      </c>
      <c r="B159" s="5" t="n">
        <v>124</v>
      </c>
      <c r="C159" s="7" t="inlineStr">
        <is>
          <t>Nº 18022</t>
        </is>
      </c>
      <c r="D159" s="8" t="inlineStr">
        <is>
          <t>TARBOX</t>
        </is>
      </c>
      <c r="E159" s="7" t="inlineStr">
        <is>
          <t>1. Titular do Registro / Produtor</t>
        </is>
      </c>
      <c r="F159" s="7" t="inlineStr">
        <is>
          <t>Produto Formulado Comercial</t>
        </is>
      </c>
      <c r="G159" s="7" t="inlineStr">
        <is>
          <t>GLOBACHEM PROTEÇÃO DE CULTIVOS DO BRASIL LTDA.</t>
        </is>
      </c>
      <c r="H159" s="7" t="inlineStr">
        <is>
          <t>Matriz / Estabelecimento Principal</t>
        </is>
      </c>
      <c r="I159" s="7" t="inlineStr">
        <is>
          <t>43.741.357/0001-33</t>
        </is>
      </c>
      <c r="J159" s="7" t="inlineStr">
        <is>
          <t>Registro Estadual Vigente</t>
        </is>
      </c>
      <c r="K159" s="7" t="inlineStr">
        <is>
          <t>Estabelecimento Credenciado no Brasil</t>
        </is>
      </c>
      <c r="L159" s="7" t="inlineStr">
        <is>
          <t>Brasil</t>
        </is>
      </c>
      <c r="M159" s="7" t="inlineStr">
        <is>
          <t>0 - Nacional / 1 - Importação Direta</t>
        </is>
      </c>
    </row>
    <row r="160" ht="22" customHeight="1">
      <c r="A160" s="12" t="inlineStr">
        <is>
          <t>EMP-0156</t>
        </is>
      </c>
      <c r="B160" s="11" t="n">
        <v>125</v>
      </c>
      <c r="C160" s="13" t="inlineStr">
        <is>
          <t>SIPEAGRO (UF-XXXXX)</t>
        </is>
      </c>
      <c r="D160" s="14" t="inlineStr">
        <is>
          <t>FOSFATO MONOAMONICO CRISTAL MAP</t>
        </is>
      </c>
      <c r="E160" s="13" t="inlineStr">
        <is>
          <t>1. Titular do Registro / Produtor</t>
        </is>
      </c>
      <c r="F160" s="13" t="inlineStr">
        <is>
          <t>Fertilizante Mineral / Organomineral</t>
        </is>
      </c>
      <c r="G160" s="13" t="inlineStr">
        <is>
          <t>Estabelecimento Produtor SIPEAGRO/MAPA</t>
        </is>
      </c>
      <c r="H160" s="13" t="inlineStr">
        <is>
          <t>Matriz / Estabelecimento Principal</t>
        </is>
      </c>
      <c r="I160" s="13" t="inlineStr">
        <is>
          <t>CNPJ Credenciado MAPA/SIPEAGRO</t>
        </is>
      </c>
      <c r="J160" s="13" t="inlineStr">
        <is>
          <t>Registro Estadual Vigente</t>
        </is>
      </c>
      <c r="K160" s="13" t="inlineStr">
        <is>
          <t>Estabelecimento Credenciado no Brasil</t>
        </is>
      </c>
      <c r="L160" s="13" t="inlineStr">
        <is>
          <t>Brasil</t>
        </is>
      </c>
      <c r="M160" s="13" t="inlineStr">
        <is>
          <t>0 - Nacional / 1 - Importação Direta</t>
        </is>
      </c>
    </row>
    <row r="161" ht="22" customHeight="1">
      <c r="A161" s="6" t="inlineStr">
        <is>
          <t>EMP-0157</t>
        </is>
      </c>
      <c r="B161" s="5" t="n">
        <v>126</v>
      </c>
      <c r="C161" s="7" t="inlineStr">
        <is>
          <t>Nº 1119</t>
        </is>
      </c>
      <c r="D161" s="8" t="inlineStr">
        <is>
          <t>ROUNDUP ORIGINAL MAIS</t>
        </is>
      </c>
      <c r="E161" s="7" t="inlineStr">
        <is>
          <t>1. Titular do Registro</t>
        </is>
      </c>
      <c r="F161" s="7" t="inlineStr">
        <is>
          <t>Produto Formulado Comercial</t>
        </is>
      </c>
      <c r="G161" s="7" t="inlineStr">
        <is>
          <t>Bayer</t>
        </is>
      </c>
      <c r="H161" s="7" t="inlineStr">
        <is>
          <t>Estabelecimento Credenciado</t>
        </is>
      </c>
      <c r="I161" s="7" t="inlineStr">
        <is>
          <t>CNPJ Credenciado MAPA</t>
        </is>
      </c>
      <c r="J161" s="7" t="inlineStr">
        <is>
          <t>Registro Estadual Vigente</t>
        </is>
      </c>
      <c r="K161" s="7" t="inlineStr">
        <is>
          <t>Unidade Operacional Brasil</t>
        </is>
      </c>
      <c r="L161" s="7" t="inlineStr">
        <is>
          <t>Brasil</t>
        </is>
      </c>
      <c r="M161" s="7" t="inlineStr">
        <is>
          <t>0/1/2 - Conforme Origem do Lote</t>
        </is>
      </c>
    </row>
    <row r="162" ht="22" customHeight="1">
      <c r="A162" s="12" t="inlineStr">
        <is>
          <t>EMP-0158</t>
        </is>
      </c>
      <c r="B162" s="11" t="n">
        <v>126</v>
      </c>
      <c r="C162" s="13" t="inlineStr">
        <is>
          <t>Nº 1119</t>
        </is>
      </c>
      <c r="D162" s="14" t="inlineStr">
        <is>
          <t>ROUNDUP ORIGINAL MAIS</t>
        </is>
      </c>
      <c r="E162" s="13" t="inlineStr">
        <is>
          <t>3. Formulador / Co-Distribuidor Autorizado</t>
        </is>
      </c>
      <c r="F162" s="13" t="inlineStr">
        <is>
          <t>Produto Formulado Comercial</t>
        </is>
      </c>
      <c r="G162" s="13" t="inlineStr">
        <is>
          <t>Monsanto</t>
        </is>
      </c>
      <c r="H162" s="13" t="inlineStr">
        <is>
          <t>Estabelecimento Credenciado</t>
        </is>
      </c>
      <c r="I162" s="13" t="inlineStr">
        <is>
          <t>CNPJ Credenciado MAPA</t>
        </is>
      </c>
      <c r="J162" s="13" t="inlineStr">
        <is>
          <t>Registro Estadual Vigente</t>
        </is>
      </c>
      <c r="K162" s="13" t="inlineStr">
        <is>
          <t>Unidade Operacional Brasil</t>
        </is>
      </c>
      <c r="L162" s="13" t="inlineStr">
        <is>
          <t>Brasil</t>
        </is>
      </c>
      <c r="M162" s="13" t="inlineStr">
        <is>
          <t>0/1/2 - Conforme Origem do Lote</t>
        </is>
      </c>
    </row>
    <row r="163" ht="22" customHeight="1">
      <c r="A163" s="6" t="inlineStr">
        <is>
          <t>EMP-0159</t>
        </is>
      </c>
      <c r="B163" s="5" t="n">
        <v>127</v>
      </c>
      <c r="C163" s="7" t="inlineStr">
        <is>
          <t>Nº 9920</t>
        </is>
      </c>
      <c r="D163" s="8" t="inlineStr">
        <is>
          <t>SURRENA</t>
        </is>
      </c>
      <c r="E163" s="7" t="inlineStr">
        <is>
          <t>1. Titular do Registro / Produtor</t>
        </is>
      </c>
      <c r="F163" s="7" t="inlineStr">
        <is>
          <t>Produto Formulado Comercial</t>
        </is>
      </c>
      <c r="G163" s="7" t="inlineStr">
        <is>
          <t>Rainbow Defensivos</t>
        </is>
      </c>
      <c r="H163" s="7" t="inlineStr">
        <is>
          <t>Matriz / Estabelecimento Principal</t>
        </is>
      </c>
      <c r="I163" s="7" t="inlineStr">
        <is>
          <t>10.486.463/0001-69</t>
        </is>
      </c>
      <c r="J163" s="7" t="inlineStr">
        <is>
          <t>SEAPA/RS nº 1928/09</t>
        </is>
      </c>
      <c r="K163" s="7" t="inlineStr">
        <is>
          <t>Estabelecimento Credenciado no Brasil</t>
        </is>
      </c>
      <c r="L163" s="7" t="inlineStr">
        <is>
          <t>Brasil</t>
        </is>
      </c>
      <c r="M163" s="7" t="inlineStr">
        <is>
          <t>0 - Nacional / 1 - Importação Direta</t>
        </is>
      </c>
    </row>
    <row r="164" ht="22" customHeight="1">
      <c r="A164" s="12" t="inlineStr">
        <is>
          <t>EMP-0160</t>
        </is>
      </c>
      <c r="B164" s="11" t="n">
        <v>128</v>
      </c>
      <c r="C164" s="13" t="inlineStr">
        <is>
          <t>Nº 2020</t>
        </is>
      </c>
      <c r="D164" s="14" t="inlineStr">
        <is>
          <t>SAMURAI</t>
        </is>
      </c>
      <c r="E164" s="13" t="inlineStr">
        <is>
          <t>1. Titular do Registro / Produtor</t>
        </is>
      </c>
      <c r="F164" s="13" t="inlineStr">
        <is>
          <t>Produto Formulado Comercial</t>
        </is>
      </c>
      <c r="G164" s="13" t="inlineStr">
        <is>
          <t>PILARQUIM BR COMERCIAL LTDA. / SYNGENTA</t>
        </is>
      </c>
      <c r="H164" s="13" t="inlineStr">
        <is>
          <t>Matriz / Estabelecimento Principal</t>
        </is>
      </c>
      <c r="I164" s="13" t="inlineStr">
        <is>
          <t>02.829.058/0001-24</t>
        </is>
      </c>
      <c r="J164" s="13" t="inlineStr">
        <is>
          <t>CDA/SP Vigente</t>
        </is>
      </c>
      <c r="K164" s="13" t="inlineStr">
        <is>
          <t>São Paulo/SP</t>
        </is>
      </c>
      <c r="L164" s="13" t="inlineStr">
        <is>
          <t>Brasil</t>
        </is>
      </c>
      <c r="M164" s="13" t="inlineStr">
        <is>
          <t>0 - Nacional / 1 - Importação Direta</t>
        </is>
      </c>
    </row>
    <row r="165" ht="22" customHeight="1">
      <c r="A165" s="6" t="inlineStr">
        <is>
          <t>EMP-0161</t>
        </is>
      </c>
      <c r="B165" s="5" t="n">
        <v>129</v>
      </c>
      <c r="C165" s="7" t="inlineStr">
        <is>
          <t>Nº 0315</t>
        </is>
      </c>
      <c r="D165" s="8" t="inlineStr">
        <is>
          <t>AGCN 2,4-D</t>
        </is>
      </c>
      <c r="E165" s="7" t="inlineStr">
        <is>
          <t>1. Titular do Registro / Produtor</t>
        </is>
      </c>
      <c r="F165" s="7" t="inlineStr">
        <is>
          <t>Produto Formulado Comercial</t>
        </is>
      </c>
      <c r="G165" s="7" t="inlineStr">
        <is>
          <t>Agriconnection</t>
        </is>
      </c>
      <c r="H165" s="7" t="inlineStr">
        <is>
          <t>Matriz / Estabelecimento Principal</t>
        </is>
      </c>
      <c r="I165" s="7" t="inlineStr">
        <is>
          <t>39.496.730/0001-60</t>
        </is>
      </c>
      <c r="J165" s="7" t="inlineStr">
        <is>
          <t>INDEA/MT nº 27326 / CDA/SP nº 4354</t>
        </is>
      </c>
      <c r="K165" s="7" t="inlineStr">
        <is>
          <t>Av. Manoel Genildo de Araujo, 188, Campo Verde/MT / Barueri/SP</t>
        </is>
      </c>
      <c r="L165" s="7" t="inlineStr">
        <is>
          <t>Brasil</t>
        </is>
      </c>
      <c r="M165" s="7" t="inlineStr">
        <is>
          <t>0 - Nacional / 1 - Importação Direta</t>
        </is>
      </c>
    </row>
    <row r="166" ht="22" customHeight="1">
      <c r="A166" s="12" t="inlineStr">
        <is>
          <t>EMP-0162</t>
        </is>
      </c>
      <c r="B166" s="11" t="n">
        <v>130</v>
      </c>
      <c r="C166" s="13" t="inlineStr">
        <is>
          <t>SIPEAGRO (UF-XXXXX)</t>
        </is>
      </c>
      <c r="D166" s="14" t="inlineStr">
        <is>
          <t>TOTALNITRO FEIJAO 8X1,5L (DOSE)</t>
        </is>
      </c>
      <c r="E166" s="13" t="inlineStr">
        <is>
          <t>1. Titular do Registro / Produtor</t>
        </is>
      </c>
      <c r="F166" s="13" t="inlineStr">
        <is>
          <t>Inoculante / Biológico</t>
        </is>
      </c>
      <c r="G166" s="13" t="inlineStr">
        <is>
          <t>Estabelecimento Produtor SIPEAGRO/MAPA</t>
        </is>
      </c>
      <c r="H166" s="13" t="inlineStr">
        <is>
          <t>Matriz / Estabelecimento Principal</t>
        </is>
      </c>
      <c r="I166" s="13" t="inlineStr">
        <is>
          <t>CNPJ Credenciado MAPA/SIPEAGRO</t>
        </is>
      </c>
      <c r="J166" s="13" t="inlineStr">
        <is>
          <t>Registro Estadual Vigente</t>
        </is>
      </c>
      <c r="K166" s="13" t="inlineStr">
        <is>
          <t>Estabelecimento Credenciado no Brasil</t>
        </is>
      </c>
      <c r="L166" s="13" t="inlineStr">
        <is>
          <t>Brasil</t>
        </is>
      </c>
      <c r="M166" s="13" t="inlineStr">
        <is>
          <t>0 - Nacional / 1 - Importação Direta</t>
        </is>
      </c>
    </row>
    <row r="167" ht="22" customHeight="1">
      <c r="A167" s="6" t="inlineStr">
        <is>
          <t>EMP-0163</t>
        </is>
      </c>
      <c r="B167" s="5" t="n">
        <v>131</v>
      </c>
      <c r="C167" s="7" t="inlineStr">
        <is>
          <t>Nº 0120</t>
        </is>
      </c>
      <c r="D167" s="8" t="inlineStr">
        <is>
          <t>GLUCARE</t>
        </is>
      </c>
      <c r="E167" s="7" t="inlineStr">
        <is>
          <t>1. Titular do Registro / Produtor</t>
        </is>
      </c>
      <c r="F167" s="7" t="inlineStr">
        <is>
          <t>Produto Formulado Comercial</t>
        </is>
      </c>
      <c r="G167" s="7" t="inlineStr">
        <is>
          <t>Rainbow Defensivos</t>
        </is>
      </c>
      <c r="H167" s="7" t="inlineStr">
        <is>
          <t>Matriz / Estabelecimento Principal</t>
        </is>
      </c>
      <c r="I167" s="7" t="inlineStr">
        <is>
          <t>10.486.463/0001-69</t>
        </is>
      </c>
      <c r="J167" s="7" t="inlineStr">
        <is>
          <t>SEAPA/RS nº 1928/09</t>
        </is>
      </c>
      <c r="K167" s="7" t="inlineStr">
        <is>
          <t>Estabelecimento Credenciado no Brasil</t>
        </is>
      </c>
      <c r="L167" s="7" t="inlineStr">
        <is>
          <t>Brasil</t>
        </is>
      </c>
      <c r="M167" s="7" t="inlineStr">
        <is>
          <t>0 - Nacional / 1 - Importação Direta</t>
        </is>
      </c>
    </row>
    <row r="168" ht="22" customHeight="1">
      <c r="A168" s="12" t="inlineStr">
        <is>
          <t>EMP-0164</t>
        </is>
      </c>
      <c r="B168" s="11" t="n">
        <v>132</v>
      </c>
      <c r="C168" s="13" t="inlineStr">
        <is>
          <t>Nº 31817</t>
        </is>
      </c>
      <c r="D168" s="14" t="inlineStr">
        <is>
          <t>RAINIL</t>
        </is>
      </c>
      <c r="E168" s="13" t="inlineStr">
        <is>
          <t>1. Titular do Registro / Produtor</t>
        </is>
      </c>
      <c r="F168" s="13" t="inlineStr">
        <is>
          <t>Produto Formulado Comercial</t>
        </is>
      </c>
      <c r="G168" s="13" t="inlineStr">
        <is>
          <t>RAINBOW DEFENSIVOS AGRÍCOLAS LTDA.</t>
        </is>
      </c>
      <c r="H168" s="13" t="inlineStr">
        <is>
          <t>Matriz / Estabelecimento Principal</t>
        </is>
      </c>
      <c r="I168" s="13" t="inlineStr">
        <is>
          <t>CNPJ Credenciado MAPA/SIPEAGRO</t>
        </is>
      </c>
      <c r="J168" s="13" t="inlineStr">
        <is>
          <t>Registro Estadual Vigente</t>
        </is>
      </c>
      <c r="K168" s="13" t="inlineStr">
        <is>
          <t>Estabelecimento Credenciado no Brasil</t>
        </is>
      </c>
      <c r="L168" s="13" t="inlineStr">
        <is>
          <t>Brasil</t>
        </is>
      </c>
      <c r="M168" s="13" t="inlineStr">
        <is>
          <t>0 - Nacional / 1 - Importação Direta</t>
        </is>
      </c>
    </row>
    <row r="169" ht="22" customHeight="1">
      <c r="A169" s="6" t="inlineStr">
        <is>
          <t>EMP-0165</t>
        </is>
      </c>
      <c r="B169" s="5" t="n">
        <v>133</v>
      </c>
      <c r="C169" s="7" t="inlineStr">
        <is>
          <t>Nº 32322</t>
        </is>
      </c>
      <c r="D169" s="8" t="inlineStr">
        <is>
          <t>JOYA BB</t>
        </is>
      </c>
      <c r="E169" s="7" t="inlineStr">
        <is>
          <t>1. Titular do Registro / Produtor</t>
        </is>
      </c>
      <c r="F169" s="7" t="inlineStr">
        <is>
          <t>Produto Formulado Comercial</t>
        </is>
      </c>
      <c r="G169" s="7" t="inlineStr">
        <is>
          <t>RAINBOW DEFENSIVOS AGRÍCOLAS LTDA.</t>
        </is>
      </c>
      <c r="H169" s="7" t="inlineStr">
        <is>
          <t>Matriz / Estabelecimento Principal</t>
        </is>
      </c>
      <c r="I169" s="7" t="inlineStr">
        <is>
          <t>CNPJ Credenciado MAPA/SIPEAGRO</t>
        </is>
      </c>
      <c r="J169" s="7" t="inlineStr">
        <is>
          <t>Registro Estadual Vigente</t>
        </is>
      </c>
      <c r="K169" s="7" t="inlineStr">
        <is>
          <t>Estabelecimento Credenciado no Brasil</t>
        </is>
      </c>
      <c r="L169" s="7" t="inlineStr">
        <is>
          <t>Brasil</t>
        </is>
      </c>
      <c r="M169" s="7" t="inlineStr">
        <is>
          <t>0 - Nacional / 1 - Importação Direta</t>
        </is>
      </c>
    </row>
    <row r="170" ht="22" customHeight="1">
      <c r="A170" s="12" t="inlineStr">
        <is>
          <t>EMP-0166</t>
        </is>
      </c>
      <c r="B170" s="11" t="n">
        <v>134</v>
      </c>
      <c r="C170" s="13" t="inlineStr">
        <is>
          <t>Nº 2020</t>
        </is>
      </c>
      <c r="D170" s="14" t="inlineStr">
        <is>
          <t>BUSHI</t>
        </is>
      </c>
      <c r="E170" s="13" t="inlineStr">
        <is>
          <t>1. Titular do Registro</t>
        </is>
      </c>
      <c r="F170" s="13" t="inlineStr">
        <is>
          <t>Produto Formulado Comercial</t>
        </is>
      </c>
      <c r="G170" s="13" t="inlineStr">
        <is>
          <t>Pilarquim BR Comercial Ltda. — Lambda-cialotrina 250 g</t>
        </is>
      </c>
      <c r="H170" s="13" t="inlineStr">
        <is>
          <t>Estabelecimento Credenciado</t>
        </is>
      </c>
      <c r="I170" s="13" t="inlineStr">
        <is>
          <t>CNPJ Credenciado MAPA</t>
        </is>
      </c>
      <c r="J170" s="13" t="inlineStr">
        <is>
          <t>Registro Estadual Vigente</t>
        </is>
      </c>
      <c r="K170" s="13" t="inlineStr">
        <is>
          <t>Unidade Operacional Brasil</t>
        </is>
      </c>
      <c r="L170" s="13" t="inlineStr">
        <is>
          <t>Brasil</t>
        </is>
      </c>
      <c r="M170" s="13" t="inlineStr">
        <is>
          <t>0/1/2 - Conforme Origem do Lote</t>
        </is>
      </c>
    </row>
    <row r="171" ht="22" customHeight="1">
      <c r="A171" s="6" t="inlineStr">
        <is>
          <t>EMP-0167</t>
        </is>
      </c>
      <c r="B171" s="5" t="n">
        <v>134</v>
      </c>
      <c r="C171" s="7" t="inlineStr">
        <is>
          <t>Nº 2020</t>
        </is>
      </c>
      <c r="D171" s="8" t="inlineStr">
        <is>
          <t>BUSHI</t>
        </is>
      </c>
      <c r="E171" s="7" t="inlineStr">
        <is>
          <t>3. Formulador / Co-Distribuidor Autorizado</t>
        </is>
      </c>
      <c r="F171" s="7" t="inlineStr">
        <is>
          <t>Produto Formulado Comercial</t>
        </is>
      </c>
      <c r="G171" s="7" t="inlineStr">
        <is>
          <t>L CS</t>
        </is>
      </c>
      <c r="H171" s="7" t="inlineStr">
        <is>
          <t>Estabelecimento Credenciado</t>
        </is>
      </c>
      <c r="I171" s="7" t="inlineStr">
        <is>
          <t>CNPJ Credenciado MAPA</t>
        </is>
      </c>
      <c r="J171" s="7" t="inlineStr">
        <is>
          <t>Registro Estadual Vigente</t>
        </is>
      </c>
      <c r="K171" s="7" t="inlineStr">
        <is>
          <t>Unidade Operacional Brasil</t>
        </is>
      </c>
      <c r="L171" s="7" t="inlineStr">
        <is>
          <t>Brasil</t>
        </is>
      </c>
      <c r="M171" s="7" t="inlineStr">
        <is>
          <t>0/1/2 - Conforme Origem do Lote</t>
        </is>
      </c>
    </row>
    <row r="172" ht="22" customHeight="1">
      <c r="A172" s="12" t="inlineStr">
        <is>
          <t>EMP-0168</t>
        </is>
      </c>
      <c r="B172" s="11" t="n">
        <v>135</v>
      </c>
      <c r="C172" s="13" t="inlineStr">
        <is>
          <t>Nº 10018</t>
        </is>
      </c>
      <c r="D172" s="14" t="inlineStr">
        <is>
          <t>ATRAZINA</t>
        </is>
      </c>
      <c r="E172" s="13" t="inlineStr">
        <is>
          <t>1. Titular do Registro / Produtor</t>
        </is>
      </c>
      <c r="F172" s="13" t="inlineStr">
        <is>
          <t>Produto Formulado Comercial</t>
        </is>
      </c>
      <c r="G172" s="13" t="inlineStr">
        <is>
          <t>RAINBOW DEFENSIVOS AGRICOLAS LTDA</t>
        </is>
      </c>
      <c r="H172" s="13" t="inlineStr">
        <is>
          <t>Matriz / Estabelecimento Principal</t>
        </is>
      </c>
      <c r="I172" s="13" t="inlineStr">
        <is>
          <t>10.486.463/0001-69</t>
        </is>
      </c>
      <c r="J172" s="13" t="inlineStr">
        <is>
          <t>SEAPA/RS nº 1928/09</t>
        </is>
      </c>
      <c r="K172" s="13" t="inlineStr">
        <is>
          <t>Estabelecimento Credenciado no Brasil</t>
        </is>
      </c>
      <c r="L172" s="13" t="inlineStr">
        <is>
          <t>Brasil</t>
        </is>
      </c>
      <c r="M172" s="13" t="inlineStr">
        <is>
          <t>0 - Nacional / 1 - Importação Direta</t>
        </is>
      </c>
    </row>
    <row r="173" ht="22" customHeight="1">
      <c r="A173" s="6" t="inlineStr">
        <is>
          <t>EMP-0169</t>
        </is>
      </c>
      <c r="B173" s="5" t="n">
        <v>136</v>
      </c>
      <c r="C173" s="7" t="inlineStr">
        <is>
          <t>Nº 938801</t>
        </is>
      </c>
      <c r="D173" s="8" t="inlineStr">
        <is>
          <t>CLASSIC 4X2 KG (IMP)</t>
        </is>
      </c>
      <c r="E173" s="7" t="inlineStr">
        <is>
          <t>1. Titular do Registro / Produtor</t>
        </is>
      </c>
      <c r="F173" s="7" t="inlineStr">
        <is>
          <t>Produto Formulado Comercial</t>
        </is>
      </c>
      <c r="G173" s="7" t="inlineStr">
        <is>
          <t>Corteva Agriscience</t>
        </is>
      </c>
      <c r="H173" s="7" t="inlineStr">
        <is>
          <t>Matriz / Estabelecimento Principal</t>
        </is>
      </c>
      <c r="I173" s="7" t="inlineStr">
        <is>
          <t>CNPJ Credenciado MAPA/SIPEAGRO</t>
        </is>
      </c>
      <c r="J173" s="7" t="inlineStr">
        <is>
          <t>Registro Estadual Vigente</t>
        </is>
      </c>
      <c r="K173" s="7" t="inlineStr">
        <is>
          <t>Estabelecimento Credenciado no Brasil</t>
        </is>
      </c>
      <c r="L173" s="7" t="inlineStr">
        <is>
          <t>Brasil</t>
        </is>
      </c>
      <c r="M173" s="7" t="inlineStr">
        <is>
          <t>0 - Nacional / 1 - Importação Direta</t>
        </is>
      </c>
    </row>
    <row r="174" ht="22" customHeight="1">
      <c r="A174" s="12" t="inlineStr">
        <is>
          <t>EMP-0170</t>
        </is>
      </c>
      <c r="B174" s="11" t="n">
        <v>137</v>
      </c>
      <c r="C174" s="13" t="inlineStr">
        <is>
          <t>Nº 11320</t>
        </is>
      </c>
      <c r="D174" s="14" t="inlineStr">
        <is>
          <t>SURVEY 800 WG</t>
        </is>
      </c>
      <c r="E174" s="13" t="inlineStr">
        <is>
          <t>1. Titular do Registro / Produtor</t>
        </is>
      </c>
      <c r="F174" s="13" t="inlineStr">
        <is>
          <t>Produto Formulado Comercial</t>
        </is>
      </c>
      <c r="G174" s="13" t="inlineStr">
        <is>
          <t>RAINBOW DEFENSIVOS AGRÍCOLAS LTDA.</t>
        </is>
      </c>
      <c r="H174" s="13" t="inlineStr">
        <is>
          <t>Matriz / Estabelecimento Principal</t>
        </is>
      </c>
      <c r="I174" s="13" t="inlineStr">
        <is>
          <t>CNPJ Credenciado MAPA/SIPEAGRO</t>
        </is>
      </c>
      <c r="J174" s="13" t="inlineStr">
        <is>
          <t>Registro Estadual Vigente</t>
        </is>
      </c>
      <c r="K174" s="13" t="inlineStr">
        <is>
          <t>Estabelecimento Credenciado no Brasil</t>
        </is>
      </c>
      <c r="L174" s="13" t="inlineStr">
        <is>
          <t>Brasil</t>
        </is>
      </c>
      <c r="M174" s="13" t="inlineStr">
        <is>
          <t>0 - Nacional / 1 - Importação Direta</t>
        </is>
      </c>
    </row>
    <row r="175" ht="22" customHeight="1">
      <c r="A175" s="6" t="inlineStr">
        <is>
          <t>EMP-0171</t>
        </is>
      </c>
      <c r="B175" s="5" t="n">
        <v>138</v>
      </c>
      <c r="C175" s="7" t="inlineStr">
        <is>
          <t>SIPEAGRO (UF-XXXXX)</t>
        </is>
      </c>
      <c r="D175" s="8" t="inlineStr">
        <is>
          <t>AGCN GRANU S BAG 120</t>
        </is>
      </c>
      <c r="E175" s="7" t="inlineStr">
        <is>
          <t>1. Titular do Registro / Produtor</t>
        </is>
      </c>
      <c r="F175" s="7" t="inlineStr">
        <is>
          <t>Corretivo / Condicionador de Solo</t>
        </is>
      </c>
      <c r="G175" s="7" t="inlineStr">
        <is>
          <t>Estabelecimento Produtor SIPEAGRO/MAPA</t>
        </is>
      </c>
      <c r="H175" s="7" t="inlineStr">
        <is>
          <t>Matriz / Estabelecimento Principal</t>
        </is>
      </c>
      <c r="I175" s="7" t="inlineStr">
        <is>
          <t>CNPJ Credenciado MAPA/SIPEAGRO</t>
        </is>
      </c>
      <c r="J175" s="7" t="inlineStr">
        <is>
          <t>Registro Estadual Vigente</t>
        </is>
      </c>
      <c r="K175" s="7" t="inlineStr">
        <is>
          <t>Estabelecimento Credenciado no Brasil</t>
        </is>
      </c>
      <c r="L175" s="7" t="inlineStr">
        <is>
          <t>Brasil</t>
        </is>
      </c>
      <c r="M175" s="7" t="inlineStr">
        <is>
          <t>0 - Nacional / 1 - Importação Direta</t>
        </is>
      </c>
    </row>
    <row r="176" ht="22" customHeight="1">
      <c r="A176" s="12" t="inlineStr">
        <is>
          <t>EMP-0172</t>
        </is>
      </c>
      <c r="B176" s="11" t="n">
        <v>139</v>
      </c>
      <c r="C176" s="13" t="inlineStr">
        <is>
          <t>Nº 13419</t>
        </is>
      </c>
      <c r="D176" s="14" t="inlineStr">
        <is>
          <t>FRENO 240 EC</t>
        </is>
      </c>
      <c r="E176" s="13" t="inlineStr">
        <is>
          <t>1. Titular do Registro / Produtor</t>
        </is>
      </c>
      <c r="F176" s="13" t="inlineStr">
        <is>
          <t>Produto Formulado Comercial</t>
        </is>
      </c>
      <c r="G176" s="13" t="inlineStr">
        <is>
          <t>ADAMA BRASIL S/A</t>
        </is>
      </c>
      <c r="H176" s="13" t="inlineStr">
        <is>
          <t>Matriz / Estabelecimento Principal</t>
        </is>
      </c>
      <c r="I176" s="13" t="inlineStr">
        <is>
          <t>CNPJ Credenciado MAPA/SIPEAGRO</t>
        </is>
      </c>
      <c r="J176" s="13" t="inlineStr">
        <is>
          <t>Registro Estadual Vigente</t>
        </is>
      </c>
      <c r="K176" s="13" t="inlineStr">
        <is>
          <t>Estabelecimento Credenciado no Brasil</t>
        </is>
      </c>
      <c r="L176" s="13" t="inlineStr">
        <is>
          <t>Brasil</t>
        </is>
      </c>
      <c r="M176" s="13" t="inlineStr">
        <is>
          <t>0 - Nacional / 1 - Importação Direta</t>
        </is>
      </c>
    </row>
    <row r="177" ht="22" customHeight="1">
      <c r="A177" s="6" t="inlineStr">
        <is>
          <t>EMP-0173</t>
        </is>
      </c>
      <c r="B177" s="5" t="n">
        <v>140</v>
      </c>
      <c r="C177" s="7" t="inlineStr">
        <is>
          <t>ISENTO (ATO 104/2017)</t>
        </is>
      </c>
      <c r="D177" s="8" t="inlineStr">
        <is>
          <t>AGRICOIL VEGETAL</t>
        </is>
      </c>
      <c r="E177" s="7" t="inlineStr">
        <is>
          <t>1. Titular do Registro / Produtor</t>
        </is>
      </c>
      <c r="F177" s="7" t="inlineStr">
        <is>
          <t>Adjuvante / Espalhante Adesivo</t>
        </is>
      </c>
      <c r="G177" s="7" t="inlineStr">
        <is>
          <t>Dispensado de Registro (Ato SDA nº 104/2017)</t>
        </is>
      </c>
      <c r="H177" s="7" t="inlineStr">
        <is>
          <t>Matriz / Estabelecimento Principal</t>
        </is>
      </c>
      <c r="I177" s="7" t="inlineStr">
        <is>
          <t>CNPJ Credenciado MAPA/SIPEAGRO</t>
        </is>
      </c>
      <c r="J177" s="7" t="inlineStr">
        <is>
          <t>Registro Estadual Vigente</t>
        </is>
      </c>
      <c r="K177" s="7" t="inlineStr">
        <is>
          <t>Estabelecimento Credenciado no Brasil</t>
        </is>
      </c>
      <c r="L177" s="7" t="inlineStr">
        <is>
          <t>Brasil</t>
        </is>
      </c>
      <c r="M177" s="7" t="inlineStr">
        <is>
          <t>0 - Nacional / 1 - Importação Direta</t>
        </is>
      </c>
    </row>
    <row r="178" ht="22" customHeight="1">
      <c r="A178" s="12" t="inlineStr">
        <is>
          <t>EMP-0174</t>
        </is>
      </c>
      <c r="B178" s="11" t="n">
        <v>141</v>
      </c>
      <c r="C178" s="13" t="inlineStr">
        <is>
          <t>SIPEAGRO (UF-XXXXX)</t>
        </is>
      </c>
      <c r="D178" s="14" t="inlineStr">
        <is>
          <t>AGCN ULTRA S</t>
        </is>
      </c>
      <c r="E178" s="13" t="inlineStr">
        <is>
          <t>1. Titular do Registro / Produtor</t>
        </is>
      </c>
      <c r="F178" s="13" t="inlineStr">
        <is>
          <t>Corretivo / Condicionador de Solo</t>
        </is>
      </c>
      <c r="G178" s="13" t="inlineStr">
        <is>
          <t>Estabelecimento Produtor SIPEAGRO/MAPA</t>
        </is>
      </c>
      <c r="H178" s="13" t="inlineStr">
        <is>
          <t>Matriz / Estabelecimento Principal</t>
        </is>
      </c>
      <c r="I178" s="13" t="inlineStr">
        <is>
          <t>CNPJ Credenciado MAPA/SIPEAGRO</t>
        </is>
      </c>
      <c r="J178" s="13" t="inlineStr">
        <is>
          <t>Registro Estadual Vigente</t>
        </is>
      </c>
      <c r="K178" s="13" t="inlineStr">
        <is>
          <t>Estabelecimento Credenciado no Brasil</t>
        </is>
      </c>
      <c r="L178" s="13" t="inlineStr">
        <is>
          <t>Brasil</t>
        </is>
      </c>
      <c r="M178" s="13" t="inlineStr">
        <is>
          <t>0 - Nacional / 1 - Importação Direta</t>
        </is>
      </c>
    </row>
    <row r="179" ht="22" customHeight="1">
      <c r="A179" s="6" t="inlineStr">
        <is>
          <t>EMP-0175</t>
        </is>
      </c>
      <c r="B179" s="5" t="n">
        <v>142</v>
      </c>
      <c r="C179" s="7" t="inlineStr">
        <is>
          <t>Nº 0115</t>
        </is>
      </c>
      <c r="D179" s="8" t="inlineStr">
        <is>
          <t>2,4-D DECORUM</t>
        </is>
      </c>
      <c r="E179" s="7" t="inlineStr">
        <is>
          <t>1. Titular do Registro</t>
        </is>
      </c>
      <c r="F179" s="7" t="inlineStr">
        <is>
          <t>Produto Formulado Comercial</t>
        </is>
      </c>
      <c r="G179" s="7" t="inlineStr">
        <is>
          <t>Decorum</t>
        </is>
      </c>
      <c r="H179" s="7" t="inlineStr">
        <is>
          <t>Estabelecimento Credenciado</t>
        </is>
      </c>
      <c r="I179" s="7" t="inlineStr">
        <is>
          <t>CNPJ Credenciado MAPA</t>
        </is>
      </c>
      <c r="J179" s="7" t="inlineStr">
        <is>
          <t>Registro Estadual Vigente</t>
        </is>
      </c>
      <c r="K179" s="7" t="inlineStr">
        <is>
          <t>Unidade Operacional Brasil</t>
        </is>
      </c>
      <c r="L179" s="7" t="inlineStr">
        <is>
          <t>Brasil</t>
        </is>
      </c>
      <c r="M179" s="7" t="inlineStr">
        <is>
          <t>0/1/2 - Conforme Origem do Lote</t>
        </is>
      </c>
    </row>
    <row r="180" ht="22" customHeight="1">
      <c r="A180" s="12" t="inlineStr">
        <is>
          <t>EMP-0176</t>
        </is>
      </c>
      <c r="B180" s="11" t="n">
        <v>142</v>
      </c>
      <c r="C180" s="13" t="inlineStr">
        <is>
          <t>Nº 0115</t>
        </is>
      </c>
      <c r="D180" s="14" t="inlineStr">
        <is>
          <t>2,4-D DECORUM</t>
        </is>
      </c>
      <c r="E180" s="13" t="inlineStr">
        <is>
          <t>3. Formulador / Co-Distribuidor Autorizado</t>
        </is>
      </c>
      <c r="F180" s="13" t="inlineStr">
        <is>
          <t>Produto Formulado Comercial</t>
        </is>
      </c>
      <c r="G180" s="13" t="inlineStr">
        <is>
          <t>Crotect</t>
        </is>
      </c>
      <c r="H180" s="13" t="inlineStr">
        <is>
          <t>Estabelecimento Credenciado</t>
        </is>
      </c>
      <c r="I180" s="13" t="inlineStr">
        <is>
          <t>CNPJ Credenciado MAPA</t>
        </is>
      </c>
      <c r="J180" s="13" t="inlineStr">
        <is>
          <t>Registro Estadual Vigente</t>
        </is>
      </c>
      <c r="K180" s="13" t="inlineStr">
        <is>
          <t>Unidade Operacional Brasil</t>
        </is>
      </c>
      <c r="L180" s="13" t="inlineStr">
        <is>
          <t>Brasil</t>
        </is>
      </c>
      <c r="M180" s="13" t="inlineStr">
        <is>
          <t>0/1/2 - Conforme Origem do Lote</t>
        </is>
      </c>
    </row>
    <row r="181" ht="22" customHeight="1">
      <c r="A181" s="6" t="inlineStr">
        <is>
          <t>EMP-0177</t>
        </is>
      </c>
      <c r="B181" s="5" t="n">
        <v>143</v>
      </c>
      <c r="C181" s="7" t="inlineStr">
        <is>
          <t>Nº 31522</t>
        </is>
      </c>
      <c r="D181" s="8" t="inlineStr">
        <is>
          <t>METOMY</t>
        </is>
      </c>
      <c r="E181" s="7" t="inlineStr">
        <is>
          <t>1. Titular do Registro / Produtor</t>
        </is>
      </c>
      <c r="F181" s="7" t="inlineStr">
        <is>
          <t>Produto Formulado Comercial</t>
        </is>
      </c>
      <c r="G181" s="7" t="inlineStr">
        <is>
          <t>RAINBOW DEFENSIVOS AGRÍCOLAS LTDA.</t>
        </is>
      </c>
      <c r="H181" s="7" t="inlineStr">
        <is>
          <t>Matriz / Estabelecimento Principal</t>
        </is>
      </c>
      <c r="I181" s="7" t="inlineStr">
        <is>
          <t>10.486.463/0001-69</t>
        </is>
      </c>
      <c r="J181" s="7" t="inlineStr">
        <is>
          <t>SEAPA/RS nº 1928/09</t>
        </is>
      </c>
      <c r="K181" s="7" t="inlineStr">
        <is>
          <t>Av. Carlos Gomes, 258, Salas 1103-1106, Boa Vista, Porto Alegre/RS - CEP 90480-000</t>
        </is>
      </c>
      <c r="L181" s="7" t="inlineStr">
        <is>
          <t>Brasil</t>
        </is>
      </c>
      <c r="M181" s="7" t="inlineStr">
        <is>
          <t>0 - Nacional / 1 - Importação Direta</t>
        </is>
      </c>
    </row>
    <row r="182" ht="22" customHeight="1">
      <c r="A182" s="12" t="inlineStr">
        <is>
          <t>EMP-0178</t>
        </is>
      </c>
      <c r="B182" s="11" t="n">
        <v>144</v>
      </c>
      <c r="C182" s="13" t="inlineStr">
        <is>
          <t>Nº 34122</t>
        </is>
      </c>
      <c r="D182" s="14" t="inlineStr">
        <is>
          <t>METRARO EC</t>
        </is>
      </c>
      <c r="E182" s="13" t="inlineStr">
        <is>
          <t>1. Titular do Registro / Produtor</t>
        </is>
      </c>
      <c r="F182" s="13" t="inlineStr">
        <is>
          <t>Produto Formulado Comercial</t>
        </is>
      </c>
      <c r="G182" s="13" t="inlineStr">
        <is>
          <t>RAINBOW DEFENSIVOS AGRÍCOLAS LTDA.</t>
        </is>
      </c>
      <c r="H182" s="13" t="inlineStr">
        <is>
          <t>Matriz / Estabelecimento Principal</t>
        </is>
      </c>
      <c r="I182" s="13" t="inlineStr">
        <is>
          <t>10.486.463/0001-69</t>
        </is>
      </c>
      <c r="J182" s="13" t="inlineStr">
        <is>
          <t>SEAPA/RS nº 1928/09</t>
        </is>
      </c>
      <c r="K182" s="13" t="inlineStr">
        <is>
          <t>Av. Carlos Gomes, 258, Porto Alegre/RS</t>
        </is>
      </c>
      <c r="L182" s="13" t="inlineStr">
        <is>
          <t>Brasil</t>
        </is>
      </c>
      <c r="M182" s="13" t="inlineStr">
        <is>
          <t>0 - Nacional / 1 - Importação Direta</t>
        </is>
      </c>
    </row>
    <row r="183" ht="22" customHeight="1">
      <c r="A183" s="6" t="inlineStr">
        <is>
          <t>EMP-0179</t>
        </is>
      </c>
      <c r="B183" s="5" t="n">
        <v>145</v>
      </c>
      <c r="C183" s="7" t="inlineStr">
        <is>
          <t>Nº 13720</t>
        </is>
      </c>
      <c r="D183" s="8" t="inlineStr">
        <is>
          <t>VELBOW</t>
        </is>
      </c>
      <c r="E183" s="7" t="inlineStr">
        <is>
          <t>1. Titular do Registro / Produtor</t>
        </is>
      </c>
      <c r="F183" s="7" t="inlineStr">
        <is>
          <t>Produto Formulado Comercial</t>
        </is>
      </c>
      <c r="G183" s="7" t="inlineStr">
        <is>
          <t>RAINBOW DEFENSIVOS AGRÍCOLAS LTDA.</t>
        </is>
      </c>
      <c r="H183" s="7" t="inlineStr">
        <is>
          <t>Matriz / Estabelecimento Principal</t>
        </is>
      </c>
      <c r="I183" s="7" t="inlineStr">
        <is>
          <t>CNPJ Credenciado MAPA/SIPEAGRO</t>
        </is>
      </c>
      <c r="J183" s="7" t="inlineStr">
        <is>
          <t>Registro Estadual Vigente</t>
        </is>
      </c>
      <c r="K183" s="7" t="inlineStr">
        <is>
          <t>Estabelecimento Credenciado no Brasil</t>
        </is>
      </c>
      <c r="L183" s="7" t="inlineStr">
        <is>
          <t>Brasil</t>
        </is>
      </c>
      <c r="M183" s="7" t="inlineStr">
        <is>
          <t>0 - Nacional / 1 - Importação Direta</t>
        </is>
      </c>
    </row>
    <row r="184" ht="22" customHeight="1">
      <c r="A184" s="12" t="inlineStr">
        <is>
          <t>EMP-0180</t>
        </is>
      </c>
      <c r="B184" s="11" t="n">
        <v>146</v>
      </c>
      <c r="C184" s="13" t="inlineStr">
        <is>
          <t>Nº 3522</t>
        </is>
      </c>
      <c r="D184" s="14" t="inlineStr">
        <is>
          <t>TAGZOLE 250 EC</t>
        </is>
      </c>
      <c r="E184" s="13" t="inlineStr">
        <is>
          <t>1. Titular do Registro</t>
        </is>
      </c>
      <c r="F184" s="13" t="inlineStr">
        <is>
          <t>Produto Formulado Comercial</t>
        </is>
      </c>
      <c r="G184" s="13" t="inlineStr">
        <is>
          <t>Tagros</t>
        </is>
      </c>
      <c r="H184" s="13" t="inlineStr">
        <is>
          <t>Estabelecimento Credenciado</t>
        </is>
      </c>
      <c r="I184" s="13" t="inlineStr">
        <is>
          <t>CNPJ Credenciado MAPA</t>
        </is>
      </c>
      <c r="J184" s="13" t="inlineStr">
        <is>
          <t>Registro Estadual Vigente</t>
        </is>
      </c>
      <c r="K184" s="13" t="inlineStr">
        <is>
          <t>Unidade Operacional Brasil</t>
        </is>
      </c>
      <c r="L184" s="13" t="inlineStr">
        <is>
          <t>Brasil</t>
        </is>
      </c>
      <c r="M184" s="13" t="inlineStr">
        <is>
          <t>0/1/2 - Conforme Origem do Lote</t>
        </is>
      </c>
    </row>
    <row r="185" ht="22" customHeight="1">
      <c r="A185" s="6" t="inlineStr">
        <is>
          <t>EMP-0181</t>
        </is>
      </c>
      <c r="B185" s="5" t="n">
        <v>146</v>
      </c>
      <c r="C185" s="7" t="inlineStr">
        <is>
          <t>Nº 3522</t>
        </is>
      </c>
      <c r="D185" s="8" t="inlineStr">
        <is>
          <t>TAGZOLE 250 EC</t>
        </is>
      </c>
      <c r="E185" s="7" t="inlineStr">
        <is>
          <t>3. Formulador / Co-Distribuidor Autorizado</t>
        </is>
      </c>
      <c r="F185" s="7" t="inlineStr">
        <is>
          <t>Produto Formulado Comercial</t>
        </is>
      </c>
      <c r="G185" s="7" t="inlineStr">
        <is>
          <t>Perterra</t>
        </is>
      </c>
      <c r="H185" s="7" t="inlineStr">
        <is>
          <t>Estabelecimento Credenciado</t>
        </is>
      </c>
      <c r="I185" s="7" t="inlineStr">
        <is>
          <t>CNPJ Credenciado MAPA</t>
        </is>
      </c>
      <c r="J185" s="7" t="inlineStr">
        <is>
          <t>Registro Estadual Vigente</t>
        </is>
      </c>
      <c r="K185" s="7" t="inlineStr">
        <is>
          <t>Unidade Operacional Brasil</t>
        </is>
      </c>
      <c r="L185" s="7" t="inlineStr">
        <is>
          <t>Brasil</t>
        </is>
      </c>
      <c r="M185" s="7" t="inlineStr">
        <is>
          <t>0/1/2 - Conforme Origem do Lote</t>
        </is>
      </c>
    </row>
    <row r="186" ht="22" customHeight="1">
      <c r="A186" s="12" t="inlineStr">
        <is>
          <t>EMP-0182</t>
        </is>
      </c>
      <c r="B186" s="11" t="n">
        <v>147</v>
      </c>
      <c r="C186" s="13" t="inlineStr">
        <is>
          <t>Nº 5417</t>
        </is>
      </c>
      <c r="D186" s="14" t="inlineStr">
        <is>
          <t>GLIFOSATO IPA 480 RAINBOW</t>
        </is>
      </c>
      <c r="E186" s="13" t="inlineStr">
        <is>
          <t>1. Titular do Registro / Produtor</t>
        </is>
      </c>
      <c r="F186" s="13" t="inlineStr">
        <is>
          <t>Produto Formulado Comercial</t>
        </is>
      </c>
      <c r="G186" s="13" t="inlineStr">
        <is>
          <t>Rainbow Defensivos</t>
        </is>
      </c>
      <c r="H186" s="13" t="inlineStr">
        <is>
          <t>Matriz / Estabelecimento Principal</t>
        </is>
      </c>
      <c r="I186" s="13" t="inlineStr">
        <is>
          <t>10.486.463/0001-69</t>
        </is>
      </c>
      <c r="J186" s="13" t="inlineStr">
        <is>
          <t>SEAPA/RS nº 1928/09</t>
        </is>
      </c>
      <c r="K186" s="13" t="inlineStr">
        <is>
          <t>Estabelecimento Credenciado no Brasil</t>
        </is>
      </c>
      <c r="L186" s="13" t="inlineStr">
        <is>
          <t>Brasil</t>
        </is>
      </c>
      <c r="M186" s="13" t="inlineStr">
        <is>
          <t>0 - Nacional / 1 - Importação Direta</t>
        </is>
      </c>
    </row>
    <row r="187" ht="22" customHeight="1">
      <c r="A187" s="6" t="inlineStr">
        <is>
          <t>EMP-0183</t>
        </is>
      </c>
      <c r="B187" s="5" t="n">
        <v>148</v>
      </c>
      <c r="C187" s="7" t="inlineStr">
        <is>
          <t>Nº 44024</t>
        </is>
      </c>
      <c r="D187" s="8" t="inlineStr">
        <is>
          <t>BIOLOGIC BRAVIA</t>
        </is>
      </c>
      <c r="E187" s="7" t="inlineStr">
        <is>
          <t>1. Titular do Registro / Produtor</t>
        </is>
      </c>
      <c r="F187" s="7" t="inlineStr">
        <is>
          <t>Produto Formulado Comercial</t>
        </is>
      </c>
      <c r="G187" s="7" t="inlineStr">
        <is>
          <t>Total Biotecnologia Industria e Comercio S/A</t>
        </is>
      </c>
      <c r="H187" s="7" t="inlineStr">
        <is>
          <t>Matriz / Estabelecimento Principal</t>
        </is>
      </c>
      <c r="I187" s="7" t="inlineStr">
        <is>
          <t>CNPJ Credenciado MAPA/SIPEAGRO</t>
        </is>
      </c>
      <c r="J187" s="7" t="inlineStr">
        <is>
          <t>Registro Estadual Vigente</t>
        </is>
      </c>
      <c r="K187" s="7" t="inlineStr">
        <is>
          <t>Estabelecimento Credenciado no Brasil</t>
        </is>
      </c>
      <c r="L187" s="7" t="inlineStr">
        <is>
          <t>Brasil</t>
        </is>
      </c>
      <c r="M187" s="7" t="inlineStr">
        <is>
          <t>0 - Nacional / 1 - Importação Direta</t>
        </is>
      </c>
    </row>
    <row r="188" ht="22" customHeight="1">
      <c r="A188" s="12" t="inlineStr">
        <is>
          <t>EMP-0184</t>
        </is>
      </c>
      <c r="B188" s="11" t="n">
        <v>149</v>
      </c>
      <c r="C188" s="13" t="inlineStr">
        <is>
          <t>Nº 40818</t>
        </is>
      </c>
      <c r="D188" s="14" t="inlineStr">
        <is>
          <t>GLUFOSINATE-AMMONIUN 200 SL YONON</t>
        </is>
      </c>
      <c r="E188" s="13" t="inlineStr">
        <is>
          <t>1. Titular do Registro / Produtor</t>
        </is>
      </c>
      <c r="F188" s="13" t="inlineStr">
        <is>
          <t>Produto Formulado Comercial</t>
        </is>
      </c>
      <c r="G188" s="13" t="inlineStr">
        <is>
          <t>YONON BRASIL DEFENSIVOS AGRÍCOLAS LTDA.</t>
        </is>
      </c>
      <c r="H188" s="13" t="inlineStr">
        <is>
          <t>Matriz / Estabelecimento Principal</t>
        </is>
      </c>
      <c r="I188" s="13" t="inlineStr">
        <is>
          <t>CNPJ Credenciado MAPA/SIPEAGRO</t>
        </is>
      </c>
      <c r="J188" s="13" t="inlineStr">
        <is>
          <t>Registro Estadual Vigente</t>
        </is>
      </c>
      <c r="K188" s="13" t="inlineStr">
        <is>
          <t>Estabelecimento Credenciado no Brasil</t>
        </is>
      </c>
      <c r="L188" s="13" t="inlineStr">
        <is>
          <t>Brasil</t>
        </is>
      </c>
      <c r="M188" s="13" t="inlineStr">
        <is>
          <t>0 - Nacional / 1 - Importação Direta</t>
        </is>
      </c>
    </row>
    <row r="189" ht="22" customHeight="1">
      <c r="A189" s="6" t="inlineStr">
        <is>
          <t>EMP-0185</t>
        </is>
      </c>
      <c r="B189" s="5" t="n">
        <v>150</v>
      </c>
      <c r="C189" s="7" t="inlineStr">
        <is>
          <t>Nº 9420</t>
        </is>
      </c>
      <c r="D189" s="8" t="inlineStr">
        <is>
          <t>ENSIS-TURBO</t>
        </is>
      </c>
      <c r="E189" s="7" t="inlineStr">
        <is>
          <t>1. Titular do Registro</t>
        </is>
      </c>
      <c r="F189" s="7" t="inlineStr">
        <is>
          <t>Produto Formulado Comercial</t>
        </is>
      </c>
      <c r="G189" s="7" t="inlineStr">
        <is>
          <t>Adama</t>
        </is>
      </c>
      <c r="H189" s="7" t="inlineStr">
        <is>
          <t>Estabelecimento Credenciado</t>
        </is>
      </c>
      <c r="I189" s="7" t="inlineStr">
        <is>
          <t>CNPJ Credenciado MAPA</t>
        </is>
      </c>
      <c r="J189" s="7" t="inlineStr">
        <is>
          <t>Registro Estadual Vigente</t>
        </is>
      </c>
      <c r="K189" s="7" t="inlineStr">
        <is>
          <t>Unidade Operacional Brasil</t>
        </is>
      </c>
      <c r="L189" s="7" t="inlineStr">
        <is>
          <t>Brasil</t>
        </is>
      </c>
      <c r="M189" s="7" t="inlineStr">
        <is>
          <t>0/1/2 - Conforme Origem do Lote</t>
        </is>
      </c>
    </row>
    <row r="190" ht="22" customHeight="1">
      <c r="A190" s="12" t="inlineStr">
        <is>
          <t>EMP-0186</t>
        </is>
      </c>
      <c r="B190" s="11" t="n">
        <v>150</v>
      </c>
      <c r="C190" s="13" t="inlineStr">
        <is>
          <t>Nº 9420</t>
        </is>
      </c>
      <c r="D190" s="14" t="inlineStr">
        <is>
          <t>ENSIS-TURBO</t>
        </is>
      </c>
      <c r="E190" s="13" t="inlineStr">
        <is>
          <t>3. Formulador / Co-Distribuidor Autorizado</t>
        </is>
      </c>
      <c r="F190" s="13" t="inlineStr">
        <is>
          <t>Produto Formulado Comercial</t>
        </is>
      </c>
      <c r="G190" s="13" t="inlineStr">
        <is>
          <t>Rainbow</t>
        </is>
      </c>
      <c r="H190" s="13" t="inlineStr">
        <is>
          <t>Estabelecimento Credenciado</t>
        </is>
      </c>
      <c r="I190" s="13" t="inlineStr">
        <is>
          <t>CNPJ Credenciado MAPA</t>
        </is>
      </c>
      <c r="J190" s="13" t="inlineStr">
        <is>
          <t>Registro Estadual Vigente</t>
        </is>
      </c>
      <c r="K190" s="13" t="inlineStr">
        <is>
          <t>Unidade Operacional Brasil</t>
        </is>
      </c>
      <c r="L190" s="13" t="inlineStr">
        <is>
          <t>Brasil</t>
        </is>
      </c>
      <c r="M190" s="13" t="inlineStr">
        <is>
          <t>0/1/2 - Conforme Origem do Lote</t>
        </is>
      </c>
    </row>
    <row r="191" ht="22" customHeight="1">
      <c r="A191" s="6" t="inlineStr">
        <is>
          <t>EMP-0187</t>
        </is>
      </c>
      <c r="B191" s="5" t="n">
        <v>151</v>
      </c>
      <c r="C191" s="7" t="inlineStr">
        <is>
          <t>Nº 15508</t>
        </is>
      </c>
      <c r="D191" s="8" t="inlineStr">
        <is>
          <t>TRINITY</t>
        </is>
      </c>
      <c r="E191" s="7" t="inlineStr">
        <is>
          <t>1. Titular do Registro / Produtor</t>
        </is>
      </c>
      <c r="F191" s="7" t="inlineStr">
        <is>
          <t>Produto Formulado Comercial</t>
        </is>
      </c>
      <c r="G191" s="7" t="inlineStr">
        <is>
          <t>ADAMA BRASIL S/A</t>
        </is>
      </c>
      <c r="H191" s="7" t="inlineStr">
        <is>
          <t>Matriz / Estabelecimento Principal</t>
        </is>
      </c>
      <c r="I191" s="7" t="inlineStr">
        <is>
          <t>CNPJ Credenciado MAPA/SIPEAGRO</t>
        </is>
      </c>
      <c r="J191" s="7" t="inlineStr">
        <is>
          <t>Registro Estadual Vigente</t>
        </is>
      </c>
      <c r="K191" s="7" t="inlineStr">
        <is>
          <t>Estabelecimento Credenciado no Brasil</t>
        </is>
      </c>
      <c r="L191" s="7" t="inlineStr">
        <is>
          <t>Brasil</t>
        </is>
      </c>
      <c r="M191" s="7" t="inlineStr">
        <is>
          <t>0 - Nacional / 1 - Importação Direta</t>
        </is>
      </c>
    </row>
    <row r="192" ht="22" customHeight="1">
      <c r="A192" s="12" t="inlineStr">
        <is>
          <t>EMP-0188</t>
        </is>
      </c>
      <c r="B192" s="11" t="n">
        <v>152</v>
      </c>
      <c r="C192" s="13" t="inlineStr">
        <is>
          <t>Nº 9621</t>
        </is>
      </c>
      <c r="D192" s="14" t="inlineStr">
        <is>
          <t>PRECISO XK</t>
        </is>
      </c>
      <c r="E192" s="13" t="inlineStr">
        <is>
          <t>1. Titular do Registro / Produtor</t>
        </is>
      </c>
      <c r="F192" s="13" t="inlineStr">
        <is>
          <t>Produto Formulado Comercial</t>
        </is>
      </c>
      <c r="G192" s="13" t="inlineStr">
        <is>
          <t>AlbaughAgro Brasil Ltda.</t>
        </is>
      </c>
      <c r="H192" s="13" t="inlineStr">
        <is>
          <t>Matriz / Estabelecimento Principal</t>
        </is>
      </c>
      <c r="I192" s="13" t="inlineStr">
        <is>
          <t>CNPJ Credenciado MAPA/SIPEAGRO</t>
        </is>
      </c>
      <c r="J192" s="13" t="inlineStr">
        <is>
          <t>Registro Estadual Vigente</t>
        </is>
      </c>
      <c r="K192" s="13" t="inlineStr">
        <is>
          <t>Estabelecimento Credenciado no Brasil</t>
        </is>
      </c>
      <c r="L192" s="13" t="inlineStr">
        <is>
          <t>Brasil</t>
        </is>
      </c>
      <c r="M192" s="13" t="inlineStr">
        <is>
          <t>0 - Nacional / 1 - Importação Direta</t>
        </is>
      </c>
    </row>
    <row r="193" ht="22" customHeight="1">
      <c r="A193" s="6" t="inlineStr">
        <is>
          <t>EMP-0189</t>
        </is>
      </c>
      <c r="B193" s="5" t="n">
        <v>153</v>
      </c>
      <c r="C193" s="7" t="inlineStr">
        <is>
          <t>SIPEAGRO (UF-XXXXX)</t>
        </is>
      </c>
      <c r="D193" s="8" t="inlineStr">
        <is>
          <t>BIOMAX AZUM</t>
        </is>
      </c>
      <c r="E193" s="7" t="inlineStr">
        <is>
          <t>1. Titular do Registro / Produtor</t>
        </is>
      </c>
      <c r="F193" s="7" t="inlineStr">
        <is>
          <t>Inoculante / Biológico</t>
        </is>
      </c>
      <c r="G193" s="7" t="inlineStr">
        <is>
          <t>Estabelecimento Produtor SIPEAGRO/MAPA</t>
        </is>
      </c>
      <c r="H193" s="7" t="inlineStr">
        <is>
          <t>Matriz / Estabelecimento Principal</t>
        </is>
      </c>
      <c r="I193" s="7" t="inlineStr">
        <is>
          <t>CNPJ Credenciado MAPA/SIPEAGRO</t>
        </is>
      </c>
      <c r="J193" s="7" t="inlineStr">
        <is>
          <t>Registro Estadual Vigente</t>
        </is>
      </c>
      <c r="K193" s="7" t="inlineStr">
        <is>
          <t>Estabelecimento Credenciado no Brasil</t>
        </is>
      </c>
      <c r="L193" s="7" t="inlineStr">
        <is>
          <t>Brasil</t>
        </is>
      </c>
      <c r="M193" s="7" t="inlineStr">
        <is>
          <t>0 - Nacional / 1 - Importação Direta</t>
        </is>
      </c>
    </row>
    <row r="194" ht="22" customHeight="1">
      <c r="A194" s="12" t="inlineStr">
        <is>
          <t>EMP-0190</t>
        </is>
      </c>
      <c r="B194" s="11" t="n">
        <v>154</v>
      </c>
      <c r="C194" s="13" t="inlineStr">
        <is>
          <t>Nº 3307</t>
        </is>
      </c>
      <c r="D194" s="14" t="inlineStr">
        <is>
          <t>BRIGADE 400 EC</t>
        </is>
      </c>
      <c r="E194" s="13" t="inlineStr">
        <is>
          <t>1. Titular do Registro / Produtor</t>
        </is>
      </c>
      <c r="F194" s="13" t="inlineStr">
        <is>
          <t>Produto Formulado Comercial</t>
        </is>
      </c>
      <c r="G194" s="13" t="inlineStr">
        <is>
          <t>FMC Química do Brasil</t>
        </is>
      </c>
      <c r="H194" s="13" t="inlineStr">
        <is>
          <t>Matriz / Estabelecimento Principal</t>
        </is>
      </c>
      <c r="I194" s="13" t="inlineStr">
        <is>
          <t>CNPJ Credenciado MAPA/SIPEAGRO</t>
        </is>
      </c>
      <c r="J194" s="13" t="inlineStr">
        <is>
          <t>Registro Estadual Vigente</t>
        </is>
      </c>
      <c r="K194" s="13" t="inlineStr">
        <is>
          <t>Estabelecimento Credenciado no Brasil</t>
        </is>
      </c>
      <c r="L194" s="13" t="inlineStr">
        <is>
          <t>Brasil</t>
        </is>
      </c>
      <c r="M194" s="13" t="inlineStr">
        <is>
          <t>0 - Nacional / 1 - Importação Direta</t>
        </is>
      </c>
    </row>
    <row r="195" ht="22" customHeight="1">
      <c r="A195" s="6" t="inlineStr">
        <is>
          <t>EMP-0191</t>
        </is>
      </c>
      <c r="B195" s="5" t="n">
        <v>155</v>
      </c>
      <c r="C195" s="7" t="inlineStr">
        <is>
          <t>SIPEAGRO (UF-XXXXX)</t>
        </is>
      </c>
      <c r="D195" s="8" t="inlineStr">
        <is>
          <t>NITRATO DE MAGNESIO 1000 X</t>
        </is>
      </c>
      <c r="E195" s="7" t="inlineStr">
        <is>
          <t>1. Titular do Registro / Produtor</t>
        </is>
      </c>
      <c r="F195" s="7" t="inlineStr">
        <is>
          <t>Fertilizante Mineral / Organomineral</t>
        </is>
      </c>
      <c r="G195" s="7" t="inlineStr">
        <is>
          <t>Estabelecimento Produtor SIPEAGRO/MAPA</t>
        </is>
      </c>
      <c r="H195" s="7" t="inlineStr">
        <is>
          <t>Matriz / Estabelecimento Principal</t>
        </is>
      </c>
      <c r="I195" s="7" t="inlineStr">
        <is>
          <t>CNPJ Credenciado MAPA/SIPEAGRO</t>
        </is>
      </c>
      <c r="J195" s="7" t="inlineStr">
        <is>
          <t>Registro Estadual Vigente</t>
        </is>
      </c>
      <c r="K195" s="7" t="inlineStr">
        <is>
          <t>Estabelecimento Credenciado no Brasil</t>
        </is>
      </c>
      <c r="L195" s="7" t="inlineStr">
        <is>
          <t>Brasil</t>
        </is>
      </c>
      <c r="M195" s="7" t="inlineStr">
        <is>
          <t>0 - Nacional / 1 - Importação Direta</t>
        </is>
      </c>
    </row>
    <row r="196" ht="22" customHeight="1">
      <c r="A196" s="12" t="inlineStr">
        <is>
          <t>EMP-0192</t>
        </is>
      </c>
      <c r="B196" s="11" t="n">
        <v>156</v>
      </c>
      <c r="C196" s="13" t="inlineStr">
        <is>
          <t>Nº 36321</t>
        </is>
      </c>
      <c r="D196" s="14" t="inlineStr">
        <is>
          <t>ERRADIK</t>
        </is>
      </c>
      <c r="E196" s="13" t="inlineStr">
        <is>
          <t>1. Titular do Registro / Produtor</t>
        </is>
      </c>
      <c r="F196" s="13" t="inlineStr">
        <is>
          <t>Produto Formulado Comercial</t>
        </is>
      </c>
      <c r="G196" s="13" t="inlineStr">
        <is>
          <t>OURO FINO QUÍMICA S.A.</t>
        </is>
      </c>
      <c r="H196" s="13" t="inlineStr">
        <is>
          <t>Matriz / Estabelecimento Principal</t>
        </is>
      </c>
      <c r="I196" s="13" t="inlineStr">
        <is>
          <t>CNPJ Credenciado MAPA/SIPEAGRO</t>
        </is>
      </c>
      <c r="J196" s="13" t="inlineStr">
        <is>
          <t>Registro Estadual Vigente</t>
        </is>
      </c>
      <c r="K196" s="13" t="inlineStr">
        <is>
          <t>Estabelecimento Credenciado no Brasil</t>
        </is>
      </c>
      <c r="L196" s="13" t="inlineStr">
        <is>
          <t>Brasil</t>
        </is>
      </c>
      <c r="M196" s="13" t="inlineStr">
        <is>
          <t>0 - Nacional / 1 - Importação Direta</t>
        </is>
      </c>
    </row>
    <row r="197" ht="22" customHeight="1">
      <c r="A197" s="6" t="inlineStr">
        <is>
          <t>EMP-0193</t>
        </is>
      </c>
      <c r="B197" s="5" t="n">
        <v>157</v>
      </c>
      <c r="C197" s="7" t="inlineStr">
        <is>
          <t>Nº 31618</t>
        </is>
      </c>
      <c r="D197" s="8" t="inlineStr">
        <is>
          <t>ASSARIS</t>
        </is>
      </c>
      <c r="E197" s="7" t="inlineStr">
        <is>
          <t>1. Titular do Registro / Produtor</t>
        </is>
      </c>
      <c r="F197" s="7" t="inlineStr">
        <is>
          <t>Produto Formulado Comercial</t>
        </is>
      </c>
      <c r="G197" s="7" t="inlineStr">
        <is>
          <t>SINON DO BRASIL LTDA</t>
        </is>
      </c>
      <c r="H197" s="7" t="inlineStr">
        <is>
          <t>Matriz / Estabelecimento Principal</t>
        </is>
      </c>
      <c r="I197" s="7" t="inlineStr">
        <is>
          <t>CNPJ Credenciado MAPA/SIPEAGRO</t>
        </is>
      </c>
      <c r="J197" s="7" t="inlineStr">
        <is>
          <t>Registro Estadual Vigente</t>
        </is>
      </c>
      <c r="K197" s="7" t="inlineStr">
        <is>
          <t>Estabelecimento Credenciado no Brasil</t>
        </is>
      </c>
      <c r="L197" s="7" t="inlineStr">
        <is>
          <t>Brasil</t>
        </is>
      </c>
      <c r="M197" s="7" t="inlineStr">
        <is>
          <t>0 - Nacional / 1 - Importação Direta</t>
        </is>
      </c>
    </row>
    <row r="198" ht="22" customHeight="1">
      <c r="A198" s="12" t="inlineStr">
        <is>
          <t>EMP-0194</t>
        </is>
      </c>
      <c r="B198" s="11" t="n">
        <v>158</v>
      </c>
      <c r="C198" s="13" t="inlineStr">
        <is>
          <t>Nº 17219</t>
        </is>
      </c>
      <c r="D198" s="14" t="inlineStr">
        <is>
          <t>FLUAZINAM</t>
        </is>
      </c>
      <c r="E198" s="13" t="inlineStr">
        <is>
          <t>1. Titular do Registro / Produtor</t>
        </is>
      </c>
      <c r="F198" s="13" t="inlineStr">
        <is>
          <t>Produto Formulado Comercial</t>
        </is>
      </c>
      <c r="G198" s="13" t="inlineStr">
        <is>
          <t>PROVENTIS LIFESCIENCE DEFENSIVOS AGRÍCOLAS LTDA.</t>
        </is>
      </c>
      <c r="H198" s="13" t="inlineStr">
        <is>
          <t>Matriz / Estabelecimento Principal</t>
        </is>
      </c>
      <c r="I198" s="13" t="inlineStr">
        <is>
          <t>26.632.190/0001-18</t>
        </is>
      </c>
      <c r="J198" s="13" t="inlineStr">
        <is>
          <t>CDA/SP Vigente</t>
        </is>
      </c>
      <c r="K198" s="13" t="inlineStr">
        <is>
          <t>Campinas/SP</t>
        </is>
      </c>
      <c r="L198" s="13" t="inlineStr">
        <is>
          <t>Brasil</t>
        </is>
      </c>
      <c r="M198" s="13" t="inlineStr">
        <is>
          <t>0 - Nacional / 1 - Importação Direta</t>
        </is>
      </c>
    </row>
    <row r="199" ht="22" customHeight="1">
      <c r="A199" s="6" t="inlineStr">
        <is>
          <t>EMP-0195</t>
        </is>
      </c>
      <c r="B199" s="5" t="n">
        <v>159</v>
      </c>
      <c r="C199" s="7" t="inlineStr">
        <is>
          <t>SIPEAGRO (UF-XXXXX)</t>
        </is>
      </c>
      <c r="D199" s="8" t="inlineStr">
        <is>
          <t>D0323.02-B1A (CU-9,0% MN-18,0% K20-1,0%)</t>
        </is>
      </c>
      <c r="E199" s="7" t="inlineStr">
        <is>
          <t>1. Titular do Registro / Produtor</t>
        </is>
      </c>
      <c r="F199" s="7" t="inlineStr">
        <is>
          <t>Fertilizante Mineral / Organomineral</t>
        </is>
      </c>
      <c r="G199" s="7" t="inlineStr">
        <is>
          <t>Estabelecimento Produtor SIPEAGRO/MAPA</t>
        </is>
      </c>
      <c r="H199" s="7" t="inlineStr">
        <is>
          <t>Matriz / Estabelecimento Principal</t>
        </is>
      </c>
      <c r="I199" s="7" t="inlineStr">
        <is>
          <t>CNPJ Credenciado MAPA/SIPEAGRO</t>
        </is>
      </c>
      <c r="J199" s="7" t="inlineStr">
        <is>
          <t>Registro Estadual Vigente</t>
        </is>
      </c>
      <c r="K199" s="7" t="inlineStr">
        <is>
          <t>Estabelecimento Credenciado no Brasil</t>
        </is>
      </c>
      <c r="L199" s="7" t="inlineStr">
        <is>
          <t>Brasil</t>
        </is>
      </c>
      <c r="M199" s="7" t="inlineStr">
        <is>
          <t>0 - Nacional / 1 - Importação Direta</t>
        </is>
      </c>
    </row>
    <row r="200" ht="22" customHeight="1">
      <c r="A200" s="12" t="inlineStr">
        <is>
          <t>EMP-0196</t>
        </is>
      </c>
      <c r="B200" s="11" t="n">
        <v>160</v>
      </c>
      <c r="C200" s="13" t="inlineStr">
        <is>
          <t>SIPEAGRO (UF-XXXXX)</t>
        </is>
      </c>
      <c r="D200" s="14" t="inlineStr">
        <is>
          <t>BIOLOGIC SOY 4X1,8L</t>
        </is>
      </c>
      <c r="E200" s="13" t="inlineStr">
        <is>
          <t>1. Titular do Registro / Produtor</t>
        </is>
      </c>
      <c r="F200" s="13" t="inlineStr">
        <is>
          <t>Inoculante / Biológico</t>
        </is>
      </c>
      <c r="G200" s="13" t="inlineStr">
        <is>
          <t>Estabelecimento Produtor SIPEAGRO/MAPA</t>
        </is>
      </c>
      <c r="H200" s="13" t="inlineStr">
        <is>
          <t>Matriz / Estabelecimento Principal</t>
        </is>
      </c>
      <c r="I200" s="13" t="inlineStr">
        <is>
          <t>CNPJ Credenciado MAPA/SIPEAGRO</t>
        </is>
      </c>
      <c r="J200" s="13" t="inlineStr">
        <is>
          <t>Registro Estadual Vigente</t>
        </is>
      </c>
      <c r="K200" s="13" t="inlineStr">
        <is>
          <t>Estabelecimento Credenciado no Brasil</t>
        </is>
      </c>
      <c r="L200" s="13" t="inlineStr">
        <is>
          <t>Brasil</t>
        </is>
      </c>
      <c r="M200" s="13" t="inlineStr">
        <is>
          <t>0 - Nacional / 1 - Importação Direta</t>
        </is>
      </c>
    </row>
    <row r="201" ht="22" customHeight="1">
      <c r="A201" s="6" t="inlineStr">
        <is>
          <t>EMP-0197</t>
        </is>
      </c>
      <c r="B201" s="5" t="n">
        <v>161</v>
      </c>
      <c r="C201" s="7" t="inlineStr">
        <is>
          <t>Nº 10816</t>
        </is>
      </c>
      <c r="D201" s="8" t="inlineStr">
        <is>
          <t>MAESTRO FS</t>
        </is>
      </c>
      <c r="E201" s="7" t="inlineStr">
        <is>
          <t>1. Titular do Registro / Produtor</t>
        </is>
      </c>
      <c r="F201" s="7" t="inlineStr">
        <is>
          <t>Produto Formulado Comercial</t>
        </is>
      </c>
      <c r="G201" s="7" t="inlineStr">
        <is>
          <t>OURO FINO QUÍMICA S.A.</t>
        </is>
      </c>
      <c r="H201" s="7" t="inlineStr">
        <is>
          <t>Matriz / Estabelecimento Principal</t>
        </is>
      </c>
      <c r="I201" s="7" t="inlineStr">
        <is>
          <t>CNPJ Credenciado MAPA/SIPEAGRO</t>
        </is>
      </c>
      <c r="J201" s="7" t="inlineStr">
        <is>
          <t>Registro Estadual Vigente</t>
        </is>
      </c>
      <c r="K201" s="7" t="inlineStr">
        <is>
          <t>Estabelecimento Credenciado no Brasil</t>
        </is>
      </c>
      <c r="L201" s="7" t="inlineStr">
        <is>
          <t>Brasil</t>
        </is>
      </c>
      <c r="M201" s="7" t="inlineStr">
        <is>
          <t>0 - Nacional / 1 - Importação Direta</t>
        </is>
      </c>
    </row>
    <row r="202" ht="22" customHeight="1">
      <c r="A202" s="12" t="inlineStr">
        <is>
          <t>EMP-0198</t>
        </is>
      </c>
      <c r="B202" s="11" t="n">
        <v>162</v>
      </c>
      <c r="C202" s="13" t="inlineStr">
        <is>
          <t>SIPEAGRO (UF-XXXXX)</t>
        </is>
      </c>
      <c r="D202" s="14" t="inlineStr">
        <is>
          <t>ECOBOR 10 - ULEXITA BAG 1.273 KG (IMP)</t>
        </is>
      </c>
      <c r="E202" s="13" t="inlineStr">
        <is>
          <t>1. Titular do Registro / Produtor</t>
        </is>
      </c>
      <c r="F202" s="13" t="inlineStr">
        <is>
          <t>Corretivo / Condicionador de Solo</t>
        </is>
      </c>
      <c r="G202" s="13" t="inlineStr">
        <is>
          <t>Estabelecimento Produtor SIPEAGRO/MAPA</t>
        </is>
      </c>
      <c r="H202" s="13" t="inlineStr">
        <is>
          <t>Matriz / Estabelecimento Principal</t>
        </is>
      </c>
      <c r="I202" s="13" t="inlineStr">
        <is>
          <t>CNPJ Credenciado MAPA/SIPEAGRO</t>
        </is>
      </c>
      <c r="J202" s="13" t="inlineStr">
        <is>
          <t>Registro Estadual Vigente</t>
        </is>
      </c>
      <c r="K202" s="13" t="inlineStr">
        <is>
          <t>Estabelecimento Credenciado no Brasil</t>
        </is>
      </c>
      <c r="L202" s="13" t="inlineStr">
        <is>
          <t>Brasil</t>
        </is>
      </c>
      <c r="M202" s="13" t="inlineStr">
        <is>
          <t>0 - Nacional / 1 - Importação Direta</t>
        </is>
      </c>
    </row>
    <row r="203" ht="22" customHeight="1">
      <c r="A203" s="6" t="inlineStr">
        <is>
          <t>EMP-0199</t>
        </is>
      </c>
      <c r="B203" s="5" t="n">
        <v>163</v>
      </c>
      <c r="C203" s="7" t="inlineStr">
        <is>
          <t>SIPEAGRO (UF-XXXXX)</t>
        </is>
      </c>
      <c r="D203" s="8" t="inlineStr">
        <is>
          <t>NODOFIX AZP 4X1,8L</t>
        </is>
      </c>
      <c r="E203" s="7" t="inlineStr">
        <is>
          <t>1. Titular do Registro / Produtor</t>
        </is>
      </c>
      <c r="F203" s="7" t="inlineStr">
        <is>
          <t>Inoculante / Biológico</t>
        </is>
      </c>
      <c r="G203" s="7" t="inlineStr">
        <is>
          <t>Estabelecimento Produtor SIPEAGRO/MAPA</t>
        </is>
      </c>
      <c r="H203" s="7" t="inlineStr">
        <is>
          <t>Matriz / Estabelecimento Principal</t>
        </is>
      </c>
      <c r="I203" s="7" t="inlineStr">
        <is>
          <t>CNPJ Credenciado MAPA/SIPEAGRO</t>
        </is>
      </c>
      <c r="J203" s="7" t="inlineStr">
        <is>
          <t>Registro Estadual Vigente</t>
        </is>
      </c>
      <c r="K203" s="7" t="inlineStr">
        <is>
          <t>Estabelecimento Credenciado no Brasil</t>
        </is>
      </c>
      <c r="L203" s="7" t="inlineStr">
        <is>
          <t>Brasil</t>
        </is>
      </c>
      <c r="M203" s="7" t="inlineStr">
        <is>
          <t>0 - Nacional / 1 - Importação Direta</t>
        </is>
      </c>
    </row>
    <row r="204" ht="22" customHeight="1">
      <c r="A204" s="12" t="inlineStr">
        <is>
          <t>EMP-0200</t>
        </is>
      </c>
      <c r="B204" s="11" t="n">
        <v>164</v>
      </c>
      <c r="C204" s="13" t="inlineStr">
        <is>
          <t>Nº 3010</t>
        </is>
      </c>
      <c r="D204" s="14" t="inlineStr">
        <is>
          <t>BAZUKA 216 SL</t>
        </is>
      </c>
      <c r="E204" s="13" t="inlineStr">
        <is>
          <t>1. Titular do Registro</t>
        </is>
      </c>
      <c r="F204" s="13" t="inlineStr">
        <is>
          <t>Produto Formulado Comercial</t>
        </is>
      </c>
      <c r="G204" s="13" t="inlineStr">
        <is>
          <t>Rotam</t>
        </is>
      </c>
      <c r="H204" s="13" t="inlineStr">
        <is>
          <t>Estabelecimento Credenciado</t>
        </is>
      </c>
      <c r="I204" s="13" t="inlineStr">
        <is>
          <t>CNPJ Credenciado MAPA</t>
        </is>
      </c>
      <c r="J204" s="13" t="inlineStr">
        <is>
          <t>Registro Estadual Vigente</t>
        </is>
      </c>
      <c r="K204" s="13" t="inlineStr">
        <is>
          <t>Unidade Operacional Brasil</t>
        </is>
      </c>
      <c r="L204" s="13" t="inlineStr">
        <is>
          <t>Brasil</t>
        </is>
      </c>
      <c r="M204" s="13" t="inlineStr">
        <is>
          <t>0/1/2 - Conforme Origem do Lote</t>
        </is>
      </c>
    </row>
    <row r="205" ht="22" customHeight="1">
      <c r="A205" s="6" t="inlineStr">
        <is>
          <t>EMP-0201</t>
        </is>
      </c>
      <c r="B205" s="5" t="n">
        <v>164</v>
      </c>
      <c r="C205" s="7" t="inlineStr">
        <is>
          <t>Nº 3010</t>
        </is>
      </c>
      <c r="D205" s="8" t="inlineStr">
        <is>
          <t>BAZUKA 216 SL</t>
        </is>
      </c>
      <c r="E205" s="7" t="inlineStr">
        <is>
          <t>3. Formulador / Co-Distribuidor Autorizado</t>
        </is>
      </c>
      <c r="F205" s="7" t="inlineStr">
        <is>
          <t>Produto Formulado Comercial</t>
        </is>
      </c>
      <c r="G205" s="7" t="inlineStr">
        <is>
          <t>Albaugh</t>
        </is>
      </c>
      <c r="H205" s="7" t="inlineStr">
        <is>
          <t>Estabelecimento Credenciado</t>
        </is>
      </c>
      <c r="I205" s="7" t="inlineStr">
        <is>
          <t>CNPJ Credenciado MAPA</t>
        </is>
      </c>
      <c r="J205" s="7" t="inlineStr">
        <is>
          <t>Registro Estadual Vigente</t>
        </is>
      </c>
      <c r="K205" s="7" t="inlineStr">
        <is>
          <t>Unidade Operacional Brasil</t>
        </is>
      </c>
      <c r="L205" s="7" t="inlineStr">
        <is>
          <t>Brasil</t>
        </is>
      </c>
      <c r="M205" s="7" t="inlineStr">
        <is>
          <t>0/1/2 - Conforme Origem do Lote</t>
        </is>
      </c>
    </row>
    <row r="206" ht="22" customHeight="1">
      <c r="A206" s="12" t="inlineStr">
        <is>
          <t>EMP-0202</t>
        </is>
      </c>
      <c r="B206" s="11" t="n">
        <v>165</v>
      </c>
      <c r="C206" s="13" t="inlineStr">
        <is>
          <t>Nº 8319</t>
        </is>
      </c>
      <c r="D206" s="14" t="inlineStr">
        <is>
          <t>DIUROM 500</t>
        </is>
      </c>
      <c r="E206" s="13" t="inlineStr">
        <is>
          <t>1. Titular do Registro / Produtor</t>
        </is>
      </c>
      <c r="F206" s="13" t="inlineStr">
        <is>
          <t>Produto Formulado Comercial</t>
        </is>
      </c>
      <c r="G206" s="13" t="inlineStr">
        <is>
          <t>Rainbow Defensivos</t>
        </is>
      </c>
      <c r="H206" s="13" t="inlineStr">
        <is>
          <t>Matriz / Estabelecimento Principal</t>
        </is>
      </c>
      <c r="I206" s="13" t="inlineStr">
        <is>
          <t>10.486.463/0001-69</t>
        </is>
      </c>
      <c r="J206" s="13" t="inlineStr">
        <is>
          <t>SEAPA/RS nº 1928/09</t>
        </is>
      </c>
      <c r="K206" s="13" t="inlineStr">
        <is>
          <t>Estabelecimento Credenciado no Brasil</t>
        </is>
      </c>
      <c r="L206" s="13" t="inlineStr">
        <is>
          <t>Brasil</t>
        </is>
      </c>
      <c r="M206" s="13" t="inlineStr">
        <is>
          <t>0 - Nacional / 1 - Importação Direta</t>
        </is>
      </c>
    </row>
    <row r="207" ht="22" customHeight="1">
      <c r="A207" s="6" t="inlineStr">
        <is>
          <t>EMP-0203</t>
        </is>
      </c>
      <c r="B207" s="5" t="n">
        <v>166</v>
      </c>
      <c r="C207" s="7" t="inlineStr">
        <is>
          <t>Nº 31222</t>
        </is>
      </c>
      <c r="D207" s="8" t="inlineStr">
        <is>
          <t>GLINT FULL</t>
        </is>
      </c>
      <c r="E207" s="7" t="inlineStr">
        <is>
          <t>1. Titular do Registro / Produtor</t>
        </is>
      </c>
      <c r="F207" s="7" t="inlineStr">
        <is>
          <t>Produto Formulado Comercial</t>
        </is>
      </c>
      <c r="G207" s="7" t="inlineStr">
        <is>
          <t>RAINBOW DEFENSIVOS AGRÍCOLAS LTDA.</t>
        </is>
      </c>
      <c r="H207" s="7" t="inlineStr">
        <is>
          <t>Matriz / Estabelecimento Principal</t>
        </is>
      </c>
      <c r="I207" s="7" t="inlineStr">
        <is>
          <t>CNPJ Credenciado MAPA/SIPEAGRO</t>
        </is>
      </c>
      <c r="J207" s="7" t="inlineStr">
        <is>
          <t>Registro Estadual Vigente</t>
        </is>
      </c>
      <c r="K207" s="7" t="inlineStr">
        <is>
          <t>Estabelecimento Credenciado no Brasil</t>
        </is>
      </c>
      <c r="L207" s="7" t="inlineStr">
        <is>
          <t>Brasil</t>
        </is>
      </c>
      <c r="M207" s="7" t="inlineStr">
        <is>
          <t>0 - Nacional / 1 - Importação Direta</t>
        </is>
      </c>
    </row>
    <row r="208" ht="22" customHeight="1">
      <c r="A208" s="12" t="inlineStr">
        <is>
          <t>EMP-0204</t>
        </is>
      </c>
      <c r="B208" s="11" t="n">
        <v>167</v>
      </c>
      <c r="C208" s="13" t="inlineStr">
        <is>
          <t>Nº 17208</t>
        </is>
      </c>
      <c r="D208" s="14" t="inlineStr">
        <is>
          <t>TRICLON</t>
        </is>
      </c>
      <c r="E208" s="13" t="inlineStr">
        <is>
          <t>1. Titular do Registro / Produtor</t>
        </is>
      </c>
      <c r="F208" s="13" t="inlineStr">
        <is>
          <t>Produto Formulado Comercial</t>
        </is>
      </c>
      <c r="G208" s="13" t="inlineStr">
        <is>
          <t>UPL DO BRASIL INDÚSTRIA E COMÉRCIO DE INSUMOS AGROPECUÁRIOS S.A.</t>
        </is>
      </c>
      <c r="H208" s="13" t="inlineStr">
        <is>
          <t>Matriz / Estabelecimento Principal</t>
        </is>
      </c>
      <c r="I208" s="13" t="inlineStr">
        <is>
          <t>CNPJ Credenciado MAPA/SIPEAGRO</t>
        </is>
      </c>
      <c r="J208" s="13" t="inlineStr">
        <is>
          <t>Registro Estadual Vigente</t>
        </is>
      </c>
      <c r="K208" s="13" t="inlineStr">
        <is>
          <t>Estabelecimento Credenciado no Brasil</t>
        </is>
      </c>
      <c r="L208" s="13" t="inlineStr">
        <is>
          <t>Brasil</t>
        </is>
      </c>
      <c r="M208" s="13" t="inlineStr">
        <is>
          <t>0 - Nacional / 1 - Importação Direta</t>
        </is>
      </c>
    </row>
    <row r="209" ht="22" customHeight="1">
      <c r="A209" s="6" t="inlineStr">
        <is>
          <t>EMP-0205</t>
        </is>
      </c>
      <c r="B209" s="5" t="n">
        <v>168</v>
      </c>
      <c r="C209" s="7" t="inlineStr">
        <is>
          <t>Nº 10416</t>
        </is>
      </c>
      <c r="D209" s="8" t="inlineStr">
        <is>
          <t>ZETHAMAXX</t>
        </is>
      </c>
      <c r="E209" s="7" t="inlineStr">
        <is>
          <t>1. Titular do Registro / Produtor</t>
        </is>
      </c>
      <c r="F209" s="7" t="inlineStr">
        <is>
          <t>Produto Formulado Comercial</t>
        </is>
      </c>
      <c r="G209" s="7" t="inlineStr">
        <is>
          <t>SUMITOMO CHEMICAL BRASIL INDÚSTRIA QUÍMICA S.A.</t>
        </is>
      </c>
      <c r="H209" s="7" t="inlineStr">
        <is>
          <t>Matriz / Estabelecimento Principal</t>
        </is>
      </c>
      <c r="I209" s="7" t="inlineStr">
        <is>
          <t>CNPJ Credenciado MAPA/SIPEAGRO</t>
        </is>
      </c>
      <c r="J209" s="7" t="inlineStr">
        <is>
          <t>Registro Estadual Vigente</t>
        </is>
      </c>
      <c r="K209" s="7" t="inlineStr">
        <is>
          <t>Estabelecimento Credenciado no Brasil</t>
        </is>
      </c>
      <c r="L209" s="7" t="inlineStr">
        <is>
          <t>Brasil</t>
        </is>
      </c>
      <c r="M209" s="7" t="inlineStr">
        <is>
          <t>0 - Nacional / 1 - Importação Direta</t>
        </is>
      </c>
    </row>
    <row r="210" ht="22" customHeight="1">
      <c r="A210" s="12" t="inlineStr">
        <is>
          <t>EMP-0206</t>
        </is>
      </c>
      <c r="B210" s="11" t="n">
        <v>169</v>
      </c>
      <c r="C210" s="13" t="inlineStr">
        <is>
          <t>SIPEAGRO (UF-XXXXX)</t>
        </is>
      </c>
      <c r="D210" s="14" t="inlineStr">
        <is>
          <t>AZOKOP 15X1,5L</t>
        </is>
      </c>
      <c r="E210" s="13" t="inlineStr">
        <is>
          <t>1. Titular do Registro / Produtor</t>
        </is>
      </c>
      <c r="F210" s="13" t="inlineStr">
        <is>
          <t>Inoculante / Biológico</t>
        </is>
      </c>
      <c r="G210" s="13" t="inlineStr">
        <is>
          <t>Estabelecimento Produtor SIPEAGRO/MAPA</t>
        </is>
      </c>
      <c r="H210" s="13" t="inlineStr">
        <is>
          <t>Matriz / Estabelecimento Principal</t>
        </is>
      </c>
      <c r="I210" s="13" t="inlineStr">
        <is>
          <t>CNPJ Credenciado MAPA/SIPEAGRO</t>
        </is>
      </c>
      <c r="J210" s="13" t="inlineStr">
        <is>
          <t>Registro Estadual Vigente</t>
        </is>
      </c>
      <c r="K210" s="13" t="inlineStr">
        <is>
          <t>Estabelecimento Credenciado no Brasil</t>
        </is>
      </c>
      <c r="L210" s="13" t="inlineStr">
        <is>
          <t>Brasil</t>
        </is>
      </c>
      <c r="M210" s="13" t="inlineStr">
        <is>
          <t>0 - Nacional / 1 - Importação Direta</t>
        </is>
      </c>
    </row>
    <row r="211" ht="22" customHeight="1">
      <c r="A211" s="6" t="inlineStr">
        <is>
          <t>EMP-0207</t>
        </is>
      </c>
      <c r="B211" s="5" t="n">
        <v>170</v>
      </c>
      <c r="C211" s="7" t="inlineStr">
        <is>
          <t>Nº 17921</t>
        </is>
      </c>
      <c r="D211" s="8" t="inlineStr">
        <is>
          <t>TIOFANATO METILICO 500</t>
        </is>
      </c>
      <c r="E211" s="7" t="inlineStr">
        <is>
          <t>1. Titular do Registro / Produtor</t>
        </is>
      </c>
      <c r="F211" s="7" t="inlineStr">
        <is>
          <t>Produto Formulado Comercial</t>
        </is>
      </c>
      <c r="G211" s="7" t="inlineStr">
        <is>
          <t>Proventis Lifescience</t>
        </is>
      </c>
      <c r="H211" s="7" t="inlineStr">
        <is>
          <t>Matriz / Estabelecimento Principal</t>
        </is>
      </c>
      <c r="I211" s="7" t="inlineStr">
        <is>
          <t>CNPJ Credenciado MAPA/SIPEAGRO</t>
        </is>
      </c>
      <c r="J211" s="7" t="inlineStr">
        <is>
          <t>Registro Estadual Vigente</t>
        </is>
      </c>
      <c r="K211" s="7" t="inlineStr">
        <is>
          <t>Estabelecimento Credenciado no Brasil</t>
        </is>
      </c>
      <c r="L211" s="7" t="inlineStr">
        <is>
          <t>Brasil</t>
        </is>
      </c>
      <c r="M211" s="7" t="inlineStr">
        <is>
          <t>0 - Nacional / 1 - Importação Direta</t>
        </is>
      </c>
    </row>
    <row r="212" ht="22" customHeight="1">
      <c r="A212" s="12" t="inlineStr">
        <is>
          <t>EMP-0208</t>
        </is>
      </c>
      <c r="B212" s="11" t="n">
        <v>171</v>
      </c>
      <c r="C212" s="13" t="inlineStr">
        <is>
          <t>Nº 30917</t>
        </is>
      </c>
      <c r="D212" s="14" t="inlineStr">
        <is>
          <t>BIOLOGIC RAZOR</t>
        </is>
      </c>
      <c r="E212" s="13" t="inlineStr">
        <is>
          <t>1. Titular do Registro / Produtor</t>
        </is>
      </c>
      <c r="F212" s="13" t="inlineStr">
        <is>
          <t>Produto Formulado Comercial</t>
        </is>
      </c>
      <c r="G212" s="13" t="inlineStr">
        <is>
          <t>KOPPERT DO BRASIL HOLDING LTDA.</t>
        </is>
      </c>
      <c r="H212" s="13" t="inlineStr">
        <is>
          <t>Matriz / Estabelecimento Principal</t>
        </is>
      </c>
      <c r="I212" s="13" t="inlineStr">
        <is>
          <t>CNPJ Credenciado MAPA/SIPEAGRO</t>
        </is>
      </c>
      <c r="J212" s="13" t="inlineStr">
        <is>
          <t>Registro Estadual Vigente</t>
        </is>
      </c>
      <c r="K212" s="13" t="inlineStr">
        <is>
          <t>Estabelecimento Credenciado no Brasil</t>
        </is>
      </c>
      <c r="L212" s="13" t="inlineStr">
        <is>
          <t>Brasil</t>
        </is>
      </c>
      <c r="M212" s="13" t="inlineStr">
        <is>
          <t>0 - Nacional / 1 - Importação Direta</t>
        </is>
      </c>
    </row>
    <row r="213" ht="22" customHeight="1">
      <c r="A213" s="6" t="inlineStr">
        <is>
          <t>EMP-0209</t>
        </is>
      </c>
      <c r="B213" s="5" t="n">
        <v>172</v>
      </c>
      <c r="C213" s="7" t="inlineStr">
        <is>
          <t>SIPEAGRO (UF-XXXXX)</t>
        </is>
      </c>
      <c r="D213" s="8" t="inlineStr">
        <is>
          <t>AGCN MANGANES 100</t>
        </is>
      </c>
      <c r="E213" s="7" t="inlineStr">
        <is>
          <t>1. Titular do Registro / Produtor</t>
        </is>
      </c>
      <c r="F213" s="7" t="inlineStr">
        <is>
          <t>Fertilizante Mineral / Organomineral</t>
        </is>
      </c>
      <c r="G213" s="7" t="inlineStr">
        <is>
          <t>Estabelecimento Produtor SIPEAGRO/MAPA</t>
        </is>
      </c>
      <c r="H213" s="7" t="inlineStr">
        <is>
          <t>Matriz / Estabelecimento Principal</t>
        </is>
      </c>
      <c r="I213" s="7" t="inlineStr">
        <is>
          <t>CNPJ Credenciado MAPA/SIPEAGRO</t>
        </is>
      </c>
      <c r="J213" s="7" t="inlineStr">
        <is>
          <t>Registro Estadual Vigente</t>
        </is>
      </c>
      <c r="K213" s="7" t="inlineStr">
        <is>
          <t>Estabelecimento Credenciado no Brasil</t>
        </is>
      </c>
      <c r="L213" s="7" t="inlineStr">
        <is>
          <t>Brasil</t>
        </is>
      </c>
      <c r="M213" s="7" t="inlineStr">
        <is>
          <t>0 - Nacional / 1 - Importação Direta</t>
        </is>
      </c>
    </row>
    <row r="214" ht="22" customHeight="1">
      <c r="A214" s="12" t="inlineStr">
        <is>
          <t>EMP-0210</t>
        </is>
      </c>
      <c r="B214" s="11" t="n">
        <v>173</v>
      </c>
      <c r="C214" s="13" t="inlineStr">
        <is>
          <t>SIPEAGRO (UF-XXXXX)</t>
        </is>
      </c>
      <c r="D214" s="14" t="inlineStr">
        <is>
          <t>AGCN ENXOFRE 100</t>
        </is>
      </c>
      <c r="E214" s="13" t="inlineStr">
        <is>
          <t>1. Titular do Registro / Produtor</t>
        </is>
      </c>
      <c r="F214" s="13" t="inlineStr">
        <is>
          <t>Fertilizante Mineral / Organomineral</t>
        </is>
      </c>
      <c r="G214" s="13" t="inlineStr">
        <is>
          <t>Estabelecimento Produtor SIPEAGRO/MAPA</t>
        </is>
      </c>
      <c r="H214" s="13" t="inlineStr">
        <is>
          <t>Matriz / Estabelecimento Principal</t>
        </is>
      </c>
      <c r="I214" s="13" t="inlineStr">
        <is>
          <t>CNPJ Credenciado MAPA/SIPEAGRO</t>
        </is>
      </c>
      <c r="J214" s="13" t="inlineStr">
        <is>
          <t>Registro Estadual Vigente</t>
        </is>
      </c>
      <c r="K214" s="13" t="inlineStr">
        <is>
          <t>Estabelecimento Credenciado no Brasil</t>
        </is>
      </c>
      <c r="L214" s="13" t="inlineStr">
        <is>
          <t>Brasil</t>
        </is>
      </c>
      <c r="M214" s="13" t="inlineStr">
        <is>
          <t>0 - Nacional / 1 - Importação Direta</t>
        </is>
      </c>
    </row>
    <row r="215" ht="22" customHeight="1">
      <c r="A215" s="6" t="inlineStr">
        <is>
          <t>EMP-0211</t>
        </is>
      </c>
      <c r="B215" s="5" t="n">
        <v>174</v>
      </c>
      <c r="C215" s="7" t="inlineStr">
        <is>
          <t>SIPEAGRO (UF-XXXXX)</t>
        </is>
      </c>
      <c r="D215" s="8" t="inlineStr">
        <is>
          <t>AGCN FULL 100</t>
        </is>
      </c>
      <c r="E215" s="7" t="inlineStr">
        <is>
          <t>1. Titular do Registro / Produtor</t>
        </is>
      </c>
      <c r="F215" s="7" t="inlineStr">
        <is>
          <t>Fertilizante Mineral / Organomineral</t>
        </is>
      </c>
      <c r="G215" s="7" t="inlineStr">
        <is>
          <t>Estabelecimento Produtor SIPEAGRO/MAPA</t>
        </is>
      </c>
      <c r="H215" s="7" t="inlineStr">
        <is>
          <t>Matriz / Estabelecimento Principal</t>
        </is>
      </c>
      <c r="I215" s="7" t="inlineStr">
        <is>
          <t>CNPJ Credenciado MAPA/SIPEAGRO</t>
        </is>
      </c>
      <c r="J215" s="7" t="inlineStr">
        <is>
          <t>Registro Estadual Vigente</t>
        </is>
      </c>
      <c r="K215" s="7" t="inlineStr">
        <is>
          <t>Estabelecimento Credenciado no Brasil</t>
        </is>
      </c>
      <c r="L215" s="7" t="inlineStr">
        <is>
          <t>Brasil</t>
        </is>
      </c>
      <c r="M215" s="7" t="inlineStr">
        <is>
          <t>0 - Nacional / 1 - Importação Direta</t>
        </is>
      </c>
    </row>
    <row r="216" ht="22" customHeight="1">
      <c r="A216" s="12" t="inlineStr">
        <is>
          <t>EMP-0212</t>
        </is>
      </c>
      <c r="B216" s="11" t="n">
        <v>175</v>
      </c>
      <c r="C216" s="13" t="inlineStr">
        <is>
          <t>SIPEAGRO (UF-XXXXX)</t>
        </is>
      </c>
      <c r="D216" s="14" t="inlineStr">
        <is>
          <t>AGCN MN</t>
        </is>
      </c>
      <c r="E216" s="13" t="inlineStr">
        <is>
          <t>1. Titular do Registro / Produtor</t>
        </is>
      </c>
      <c r="F216" s="13" t="inlineStr">
        <is>
          <t>Fertilizante Mineral / Organomineral</t>
        </is>
      </c>
      <c r="G216" s="13" t="inlineStr">
        <is>
          <t>Estabelecimento Produtor SIPEAGRO/MAPA</t>
        </is>
      </c>
      <c r="H216" s="13" t="inlineStr">
        <is>
          <t>Matriz / Estabelecimento Principal</t>
        </is>
      </c>
      <c r="I216" s="13" t="inlineStr">
        <is>
          <t>CNPJ Credenciado MAPA/SIPEAGRO</t>
        </is>
      </c>
      <c r="J216" s="13" t="inlineStr">
        <is>
          <t>Registro Estadual Vigente</t>
        </is>
      </c>
      <c r="K216" s="13" t="inlineStr">
        <is>
          <t>Estabelecimento Credenciado no Brasil</t>
        </is>
      </c>
      <c r="L216" s="13" t="inlineStr">
        <is>
          <t>Brasil</t>
        </is>
      </c>
      <c r="M216" s="13" t="inlineStr">
        <is>
          <t>0 - Nacional / 1 - Importação Direta</t>
        </is>
      </c>
    </row>
    <row r="217" ht="22" customHeight="1">
      <c r="A217" s="6" t="inlineStr">
        <is>
          <t>EMP-0213</t>
        </is>
      </c>
      <c r="B217" s="5" t="n">
        <v>176</v>
      </c>
      <c r="C217" s="7" t="inlineStr">
        <is>
          <t>SIPEAGRO (UF-XXXXX)</t>
        </is>
      </c>
      <c r="D217" s="8" t="inlineStr">
        <is>
          <t>AGCN MN ULTRA 100</t>
        </is>
      </c>
      <c r="E217" s="7" t="inlineStr">
        <is>
          <t>1. Titular do Registro / Produtor</t>
        </is>
      </c>
      <c r="F217" s="7" t="inlineStr">
        <is>
          <t>Fertilizante Mineral / Organomineral</t>
        </is>
      </c>
      <c r="G217" s="7" t="inlineStr">
        <is>
          <t>Estabelecimento Produtor SIPEAGRO/MAPA</t>
        </is>
      </c>
      <c r="H217" s="7" t="inlineStr">
        <is>
          <t>Matriz / Estabelecimento Principal</t>
        </is>
      </c>
      <c r="I217" s="7" t="inlineStr">
        <is>
          <t>CNPJ Credenciado MAPA/SIPEAGRO</t>
        </is>
      </c>
      <c r="J217" s="7" t="inlineStr">
        <is>
          <t>Registro Estadual Vigente</t>
        </is>
      </c>
      <c r="K217" s="7" t="inlineStr">
        <is>
          <t>Estabelecimento Credenciado no Brasil</t>
        </is>
      </c>
      <c r="L217" s="7" t="inlineStr">
        <is>
          <t>Brasil</t>
        </is>
      </c>
      <c r="M217" s="7" t="inlineStr">
        <is>
          <t>0 - Nacional / 1 - Importação Direta</t>
        </is>
      </c>
    </row>
    <row r="218" ht="22" customHeight="1">
      <c r="A218" s="12" t="inlineStr">
        <is>
          <t>EMP-0214</t>
        </is>
      </c>
      <c r="B218" s="11" t="n">
        <v>177</v>
      </c>
      <c r="C218" s="13" t="inlineStr">
        <is>
          <t>SIPEAGRO (UF-XXXXX)</t>
        </is>
      </c>
      <c r="D218" s="14" t="inlineStr">
        <is>
          <t>AGCN MN+</t>
        </is>
      </c>
      <c r="E218" s="13" t="inlineStr">
        <is>
          <t>1. Titular do Registro / Produtor</t>
        </is>
      </c>
      <c r="F218" s="13" t="inlineStr">
        <is>
          <t>Fertilizante Mineral / Organomineral</t>
        </is>
      </c>
      <c r="G218" s="13" t="inlineStr">
        <is>
          <t>Estabelecimento Produtor SIPEAGRO/MAPA</t>
        </is>
      </c>
      <c r="H218" s="13" t="inlineStr">
        <is>
          <t>Matriz / Estabelecimento Principal</t>
        </is>
      </c>
      <c r="I218" s="13" t="inlineStr">
        <is>
          <t>CNPJ Credenciado MAPA/SIPEAGRO</t>
        </is>
      </c>
      <c r="J218" s="13" t="inlineStr">
        <is>
          <t>Registro Estadual Vigente</t>
        </is>
      </c>
      <c r="K218" s="13" t="inlineStr">
        <is>
          <t>Estabelecimento Credenciado no Brasil</t>
        </is>
      </c>
      <c r="L218" s="13" t="inlineStr">
        <is>
          <t>Brasil</t>
        </is>
      </c>
      <c r="M218" s="13" t="inlineStr">
        <is>
          <t>0 - Nacional / 1 - Importação Direta</t>
        </is>
      </c>
    </row>
    <row r="219" ht="22" customHeight="1">
      <c r="A219" s="6" t="inlineStr">
        <is>
          <t>EMP-0215</t>
        </is>
      </c>
      <c r="B219" s="5" t="n">
        <v>178</v>
      </c>
      <c r="C219" s="7" t="inlineStr">
        <is>
          <t>SIPEAGRO (UF-XXXXX)</t>
        </is>
      </c>
      <c r="D219" s="8" t="inlineStr">
        <is>
          <t>AGCN NITROGEN 30% 100</t>
        </is>
      </c>
      <c r="E219" s="7" t="inlineStr">
        <is>
          <t>1. Titular do Registro / Produtor</t>
        </is>
      </c>
      <c r="F219" s="7" t="inlineStr">
        <is>
          <t>Fertilizante Mineral / Organomineral</t>
        </is>
      </c>
      <c r="G219" s="7" t="inlineStr">
        <is>
          <t>Estabelecimento Produtor SIPEAGRO/MAPA</t>
        </is>
      </c>
      <c r="H219" s="7" t="inlineStr">
        <is>
          <t>Matriz / Estabelecimento Principal</t>
        </is>
      </c>
      <c r="I219" s="7" t="inlineStr">
        <is>
          <t>CNPJ Credenciado MAPA/SIPEAGRO</t>
        </is>
      </c>
      <c r="J219" s="7" t="inlineStr">
        <is>
          <t>Registro Estadual Vigente</t>
        </is>
      </c>
      <c r="K219" s="7" t="inlineStr">
        <is>
          <t>Estabelecimento Credenciado no Brasil</t>
        </is>
      </c>
      <c r="L219" s="7" t="inlineStr">
        <is>
          <t>Brasil</t>
        </is>
      </c>
      <c r="M219" s="7" t="inlineStr">
        <is>
          <t>0 - Nacional / 1 - Importação Direta</t>
        </is>
      </c>
    </row>
    <row r="220" ht="22" customHeight="1">
      <c r="A220" s="12" t="inlineStr">
        <is>
          <t>EMP-0216</t>
        </is>
      </c>
      <c r="B220" s="11" t="n">
        <v>179</v>
      </c>
      <c r="C220" s="13" t="inlineStr">
        <is>
          <t>SIPEAGRO (UF-XXXXX)</t>
        </is>
      </c>
      <c r="D220" s="14" t="inlineStr">
        <is>
          <t>BIOLOGIC NEMA</t>
        </is>
      </c>
      <c r="E220" s="13" t="inlineStr">
        <is>
          <t>1. Titular do Registro / Produtor</t>
        </is>
      </c>
      <c r="F220" s="13" t="inlineStr">
        <is>
          <t>Produto Formulado Comercial</t>
        </is>
      </c>
      <c r="G220" s="13" t="inlineStr">
        <is>
          <t>BALLAGRO AGRO TECNOLOGIA LTDA. / BIOLOGIC</t>
        </is>
      </c>
      <c r="H220" s="13" t="inlineStr">
        <is>
          <t>Matriz / Estabelecimento Principal</t>
        </is>
      </c>
      <c r="I220" s="13" t="inlineStr">
        <is>
          <t>CNPJ Credenciado MAPA/SIPEAGRO</t>
        </is>
      </c>
      <c r="J220" s="13" t="inlineStr">
        <is>
          <t>Registro Estadual Vigente</t>
        </is>
      </c>
      <c r="K220" s="13" t="inlineStr">
        <is>
          <t>Estabelecimento Credenciado no Brasil</t>
        </is>
      </c>
      <c r="L220" s="13" t="inlineStr">
        <is>
          <t>Brasil</t>
        </is>
      </c>
      <c r="M220" s="13" t="inlineStr">
        <is>
          <t>0 - Nacional / 1 - Importação Direta</t>
        </is>
      </c>
    </row>
    <row r="221" ht="22" customHeight="1">
      <c r="A221" s="6" t="inlineStr">
        <is>
          <t>EMP-0217</t>
        </is>
      </c>
      <c r="B221" s="5" t="n">
        <v>180</v>
      </c>
      <c r="C221" s="7" t="inlineStr">
        <is>
          <t>SIPEAGRO (UF-XXXXX)</t>
        </is>
      </c>
      <c r="D221" s="8" t="inlineStr">
        <is>
          <t>BIOLOGIC PHOS</t>
        </is>
      </c>
      <c r="E221" s="7" t="inlineStr">
        <is>
          <t>1. Titular do Registro / Produtor</t>
        </is>
      </c>
      <c r="F221" s="7" t="inlineStr">
        <is>
          <t>Inoculante / Biológico</t>
        </is>
      </c>
      <c r="G221" s="7" t="inlineStr">
        <is>
          <t>Estabelecimento Produtor SIPEAGRO/MAPA</t>
        </is>
      </c>
      <c r="H221" s="7" t="inlineStr">
        <is>
          <t>Matriz / Estabelecimento Principal</t>
        </is>
      </c>
      <c r="I221" s="7" t="inlineStr">
        <is>
          <t>CNPJ Credenciado MAPA/SIPEAGRO</t>
        </is>
      </c>
      <c r="J221" s="7" t="inlineStr">
        <is>
          <t>Registro Estadual Vigente</t>
        </is>
      </c>
      <c r="K221" s="7" t="inlineStr">
        <is>
          <t>Estabelecimento Credenciado no Brasil</t>
        </is>
      </c>
      <c r="L221" s="7" t="inlineStr">
        <is>
          <t>Brasil</t>
        </is>
      </c>
      <c r="M221" s="7" t="inlineStr">
        <is>
          <t>0 - Nacional / 1 - Importação Direta</t>
        </is>
      </c>
    </row>
    <row r="222" ht="22" customHeight="1">
      <c r="A222" s="12" t="inlineStr">
        <is>
          <t>EMP-0218</t>
        </is>
      </c>
      <c r="B222" s="11" t="n">
        <v>181</v>
      </c>
      <c r="C222" s="13" t="inlineStr">
        <is>
          <t>Nº 13620</t>
        </is>
      </c>
      <c r="D222" s="14" t="inlineStr">
        <is>
          <t>CLIMUR</t>
        </is>
      </c>
      <c r="E222" s="13" t="inlineStr">
        <is>
          <t>1. Titular do Registro / Produtor</t>
        </is>
      </c>
      <c r="F222" s="13" t="inlineStr">
        <is>
          <t>Produto Formulado Comercial</t>
        </is>
      </c>
      <c r="G222" s="13" t="inlineStr">
        <is>
          <t>RAINBOW DEFENSIVOS AGRÍCOLAS LTDA.</t>
        </is>
      </c>
      <c r="H222" s="13" t="inlineStr">
        <is>
          <t>Matriz / Estabelecimento Principal</t>
        </is>
      </c>
      <c r="I222" s="13" t="inlineStr">
        <is>
          <t>CNPJ Credenciado MAPA/SIPEAGRO</t>
        </is>
      </c>
      <c r="J222" s="13" t="inlineStr">
        <is>
          <t>Registro Estadual Vigente</t>
        </is>
      </c>
      <c r="K222" s="13" t="inlineStr">
        <is>
          <t>Estabelecimento Credenciado no Brasil</t>
        </is>
      </c>
      <c r="L222" s="13" t="inlineStr">
        <is>
          <t>Brasil</t>
        </is>
      </c>
      <c r="M222" s="13" t="inlineStr">
        <is>
          <t>0 - Nacional / 1 - Importação Direta</t>
        </is>
      </c>
    </row>
    <row r="223" ht="22" customHeight="1">
      <c r="A223" s="6" t="inlineStr">
        <is>
          <t>EMP-0219</t>
        </is>
      </c>
      <c r="B223" s="5" t="n">
        <v>182</v>
      </c>
      <c r="C223" s="7" t="inlineStr">
        <is>
          <t>Nº 43219</t>
        </is>
      </c>
      <c r="D223" s="8" t="inlineStr">
        <is>
          <t>CLORPIRIFOS 480 EC GHARDA</t>
        </is>
      </c>
      <c r="E223" s="7" t="inlineStr">
        <is>
          <t>1. Titular do Registro / Produtor</t>
        </is>
      </c>
      <c r="F223" s="7" t="inlineStr">
        <is>
          <t>Produto Formulado Comercial</t>
        </is>
      </c>
      <c r="G223" s="7" t="inlineStr">
        <is>
          <t>GHARDA CHEMICALS LIMITED / CCAB AGRO S.A.</t>
        </is>
      </c>
      <c r="H223" s="7" t="inlineStr">
        <is>
          <t>Matriz / Estabelecimento Principal</t>
        </is>
      </c>
      <c r="I223" s="7" t="inlineStr">
        <is>
          <t>CNPJ Credenciado MAPA/SIPEAGRO</t>
        </is>
      </c>
      <c r="J223" s="7" t="inlineStr">
        <is>
          <t>Registro Estadual Vigente</t>
        </is>
      </c>
      <c r="K223" s="7" t="inlineStr">
        <is>
          <t>Estabelecimento Credenciado no Brasil</t>
        </is>
      </c>
      <c r="L223" s="7" t="inlineStr">
        <is>
          <t>Brasil</t>
        </is>
      </c>
      <c r="M223" s="7" t="inlineStr">
        <is>
          <t>0 - Nacional / 1 - Importação Direta</t>
        </is>
      </c>
    </row>
    <row r="224" ht="22" customHeight="1">
      <c r="A224" s="12" t="inlineStr">
        <is>
          <t>EMP-0220</t>
        </is>
      </c>
      <c r="B224" s="11" t="n">
        <v>183</v>
      </c>
      <c r="C224" s="13" t="inlineStr">
        <is>
          <t>Nº 26820</t>
        </is>
      </c>
      <c r="D224" s="14" t="inlineStr">
        <is>
          <t>CRUZARO 480 EC</t>
        </is>
      </c>
      <c r="E224" s="13" t="inlineStr">
        <is>
          <t>1. Titular do Registro / Produtor</t>
        </is>
      </c>
      <c r="F224" s="13" t="inlineStr">
        <is>
          <t>Produto Formulado Comercial</t>
        </is>
      </c>
      <c r="G224" s="13" t="inlineStr">
        <is>
          <t>GLOBACHEM PROTEÇÃO DE CULTIVOS DO BRASIL LTDA.</t>
        </is>
      </c>
      <c r="H224" s="13" t="inlineStr">
        <is>
          <t>Matriz / Estabelecimento Principal</t>
        </is>
      </c>
      <c r="I224" s="13" t="inlineStr">
        <is>
          <t>CNPJ Credenciado MAPA/SIPEAGRO</t>
        </is>
      </c>
      <c r="J224" s="13" t="inlineStr">
        <is>
          <t>Registro Estadual Vigente</t>
        </is>
      </c>
      <c r="K224" s="13" t="inlineStr">
        <is>
          <t>Estabelecimento Credenciado no Brasil</t>
        </is>
      </c>
      <c r="L224" s="13" t="inlineStr">
        <is>
          <t>Brasil</t>
        </is>
      </c>
      <c r="M224" s="13" t="inlineStr">
        <is>
          <t>0 - Nacional / 1 - Importação Direta</t>
        </is>
      </c>
    </row>
    <row r="225" ht="22" customHeight="1">
      <c r="A225" s="6" t="inlineStr">
        <is>
          <t>EMP-0221</t>
        </is>
      </c>
      <c r="B225" s="5" t="n">
        <v>184</v>
      </c>
      <c r="C225" s="7" t="inlineStr">
        <is>
          <t>Nº 3915</t>
        </is>
      </c>
      <c r="D225" s="8" t="inlineStr">
        <is>
          <t>CYPER COPA 250 EC</t>
        </is>
      </c>
      <c r="E225" s="7" t="inlineStr">
        <is>
          <t>1. Titular do Registro</t>
        </is>
      </c>
      <c r="F225" s="7" t="inlineStr">
        <is>
          <t>Produto Formulado Comercial</t>
        </is>
      </c>
      <c r="G225" s="7" t="inlineStr">
        <is>
          <t>UPL</t>
        </is>
      </c>
      <c r="H225" s="7" t="inlineStr">
        <is>
          <t>Estabelecimento Credenciado</t>
        </is>
      </c>
      <c r="I225" s="7" t="inlineStr">
        <is>
          <t>CNPJ Credenciado MAPA</t>
        </is>
      </c>
      <c r="J225" s="7" t="inlineStr">
        <is>
          <t>Registro Estadual Vigente</t>
        </is>
      </c>
      <c r="K225" s="7" t="inlineStr">
        <is>
          <t>Unidade Operacional Brasil</t>
        </is>
      </c>
      <c r="L225" s="7" t="inlineStr">
        <is>
          <t>Brasil</t>
        </is>
      </c>
      <c r="M225" s="7" t="inlineStr">
        <is>
          <t>0/1/2 - Conforme Origem do Lote</t>
        </is>
      </c>
    </row>
    <row r="226" ht="22" customHeight="1">
      <c r="A226" s="12" t="inlineStr">
        <is>
          <t>EMP-0222</t>
        </is>
      </c>
      <c r="B226" s="11" t="n">
        <v>184</v>
      </c>
      <c r="C226" s="13" t="inlineStr">
        <is>
          <t>Nº 3915</t>
        </is>
      </c>
      <c r="D226" s="14" t="inlineStr">
        <is>
          <t>CYPER COPA 250 EC</t>
        </is>
      </c>
      <c r="E226" s="13" t="inlineStr">
        <is>
          <t>3. Formulador / Co-Distribuidor Autorizado</t>
        </is>
      </c>
      <c r="F226" s="13" t="inlineStr">
        <is>
          <t>Produto Formulado Comercial</t>
        </is>
      </c>
      <c r="G226" s="13" t="inlineStr">
        <is>
          <t>Perterra</t>
        </is>
      </c>
      <c r="H226" s="13" t="inlineStr">
        <is>
          <t>Estabelecimento Credenciado</t>
        </is>
      </c>
      <c r="I226" s="13" t="inlineStr">
        <is>
          <t>CNPJ Credenciado MAPA</t>
        </is>
      </c>
      <c r="J226" s="13" t="inlineStr">
        <is>
          <t>Registro Estadual Vigente</t>
        </is>
      </c>
      <c r="K226" s="13" t="inlineStr">
        <is>
          <t>Unidade Operacional Brasil</t>
        </is>
      </c>
      <c r="L226" s="13" t="inlineStr">
        <is>
          <t>Brasil</t>
        </is>
      </c>
      <c r="M226" s="13" t="inlineStr">
        <is>
          <t>0/1/2 - Conforme Origem do Lote</t>
        </is>
      </c>
    </row>
    <row r="227" ht="22" customHeight="1">
      <c r="A227" s="6" t="inlineStr">
        <is>
          <t>EMP-0223</t>
        </is>
      </c>
      <c r="B227" s="5" t="n">
        <v>185</v>
      </c>
      <c r="C227" s="7" t="inlineStr">
        <is>
          <t>Nº 22221</t>
        </is>
      </c>
      <c r="D227" s="8" t="inlineStr">
        <is>
          <t>GRASIDIM</t>
        </is>
      </c>
      <c r="E227" s="7" t="inlineStr">
        <is>
          <t>1. Titular do Registro / Produtor</t>
        </is>
      </c>
      <c r="F227" s="7" t="inlineStr">
        <is>
          <t>Produto Formulado Comercial</t>
        </is>
      </c>
      <c r="G227" s="7" t="inlineStr">
        <is>
          <t>RAINBOW DEFENSIVOS AGRÍCOLAS LTDA.</t>
        </is>
      </c>
      <c r="H227" s="7" t="inlineStr">
        <is>
          <t>Matriz / Estabelecimento Principal</t>
        </is>
      </c>
      <c r="I227" s="7" t="inlineStr">
        <is>
          <t>10.486.463/0001-69</t>
        </is>
      </c>
      <c r="J227" s="7" t="inlineStr">
        <is>
          <t>SEAPA/RS nº 1928/09</t>
        </is>
      </c>
      <c r="K227" s="7" t="inlineStr">
        <is>
          <t>Av. Carlos Gomes, 258, Porto Alegre/RS</t>
        </is>
      </c>
      <c r="L227" s="7" t="inlineStr">
        <is>
          <t>Brasil</t>
        </is>
      </c>
      <c r="M227" s="7" t="inlineStr">
        <is>
          <t>0 - Nacional / 1 - Importação Direta</t>
        </is>
      </c>
    </row>
    <row r="228" ht="22" customHeight="1">
      <c r="A228" s="12" t="inlineStr">
        <is>
          <t>EMP-0224</t>
        </is>
      </c>
      <c r="B228" s="11" t="n">
        <v>186</v>
      </c>
      <c r="C228" s="13" t="inlineStr">
        <is>
          <t>Nº 6421</t>
        </is>
      </c>
      <c r="D228" s="14" t="inlineStr">
        <is>
          <t>KINGSTAR XTRA</t>
        </is>
      </c>
      <c r="E228" s="13" t="inlineStr">
        <is>
          <t>1. Titular do Registro / Produtor</t>
        </is>
      </c>
      <c r="F228" s="13" t="inlineStr">
        <is>
          <t>Produto Formulado Comercial</t>
        </is>
      </c>
      <c r="G228" s="13" t="inlineStr">
        <is>
          <t>Rainbow Defensivos</t>
        </is>
      </c>
      <c r="H228" s="13" t="inlineStr">
        <is>
          <t>Matriz / Estabelecimento Principal</t>
        </is>
      </c>
      <c r="I228" s="13" t="inlineStr">
        <is>
          <t>10.486.463/0001-69</t>
        </is>
      </c>
      <c r="J228" s="13" t="inlineStr">
        <is>
          <t>SEAPA/RS nº 1928/09</t>
        </is>
      </c>
      <c r="K228" s="13" t="inlineStr">
        <is>
          <t>Estabelecimento Credenciado no Brasil</t>
        </is>
      </c>
      <c r="L228" s="13" t="inlineStr">
        <is>
          <t>Brasil</t>
        </is>
      </c>
      <c r="M228" s="13" t="inlineStr">
        <is>
          <t>0 - Nacional / 1 - Importação Direta</t>
        </is>
      </c>
    </row>
    <row r="229" ht="22" customHeight="1">
      <c r="A229" s="6" t="inlineStr">
        <is>
          <t>EMP-0225</t>
        </is>
      </c>
      <c r="B229" s="5" t="n">
        <v>187</v>
      </c>
      <c r="C229" s="7" t="inlineStr">
        <is>
          <t>Nº 31522</t>
        </is>
      </c>
      <c r="D229" s="8" t="inlineStr">
        <is>
          <t>METOMY 900</t>
        </is>
      </c>
      <c r="E229" s="7" t="inlineStr">
        <is>
          <t>1. Titular do Registro / Produtor</t>
        </is>
      </c>
      <c r="F229" s="7" t="inlineStr">
        <is>
          <t>Produto Formulado Comercial</t>
        </is>
      </c>
      <c r="G229" s="7" t="inlineStr">
        <is>
          <t>RAINBOW DEFENSIVOS AGRÍCOLAS LTDA.</t>
        </is>
      </c>
      <c r="H229" s="7" t="inlineStr">
        <is>
          <t>Matriz / Estabelecimento Principal</t>
        </is>
      </c>
      <c r="I229" s="7" t="inlineStr">
        <is>
          <t>10.486.463/0001-69</t>
        </is>
      </c>
      <c r="J229" s="7" t="inlineStr">
        <is>
          <t>SEAPA/RS nº 1928/09</t>
        </is>
      </c>
      <c r="K229" s="7" t="inlineStr">
        <is>
          <t>Av. Carlos Gomes, 258, Salas 1103-1106, Boa Vista, Porto Alegre/RS - CEP 90480-000</t>
        </is>
      </c>
      <c r="L229" s="7" t="inlineStr">
        <is>
          <t>Brasil</t>
        </is>
      </c>
      <c r="M229" s="7" t="inlineStr">
        <is>
          <t>0 - Nacional / 1 - Importação Direta</t>
        </is>
      </c>
    </row>
    <row r="230" ht="22" customHeight="1">
      <c r="A230" s="12" t="inlineStr">
        <is>
          <t>EMP-0226</t>
        </is>
      </c>
      <c r="B230" s="11" t="n">
        <v>188</v>
      </c>
      <c r="C230" s="13" t="inlineStr">
        <is>
          <t>Nº 28017</t>
        </is>
      </c>
      <c r="D230" s="14" t="inlineStr">
        <is>
          <t>RODOLIA 200 SP</t>
        </is>
      </c>
      <c r="E230" s="13" t="inlineStr">
        <is>
          <t>1. Titular do Registro / Produtor</t>
        </is>
      </c>
      <c r="F230" s="13" t="inlineStr">
        <is>
          <t>Produto Formulado Comercial</t>
        </is>
      </c>
      <c r="G230" s="13" t="inlineStr">
        <is>
          <t>ALLIERBRASIL AGRO LTDA.</t>
        </is>
      </c>
      <c r="H230" s="13" t="inlineStr">
        <is>
          <t>Matriz / Estabelecimento Principal</t>
        </is>
      </c>
      <c r="I230" s="13" t="inlineStr">
        <is>
          <t>CNPJ Credenciado MAPA/SIPEAGRO</t>
        </is>
      </c>
      <c r="J230" s="13" t="inlineStr">
        <is>
          <t>Registro Estadual Vigente</t>
        </is>
      </c>
      <c r="K230" s="13" t="inlineStr">
        <is>
          <t>Estabelecimento Credenciado no Brasil</t>
        </is>
      </c>
      <c r="L230" s="13" t="inlineStr">
        <is>
          <t>Brasil</t>
        </is>
      </c>
      <c r="M230" s="13" t="inlineStr">
        <is>
          <t>0 - Nacional / 1 - Importação Direta</t>
        </is>
      </c>
    </row>
    <row r="231" ht="22" customHeight="1">
      <c r="A231" s="6" t="inlineStr">
        <is>
          <t>EMP-0227</t>
        </is>
      </c>
      <c r="B231" s="5" t="n">
        <v>189</v>
      </c>
      <c r="C231" s="7" t="inlineStr">
        <is>
          <t>Nº 12222</t>
        </is>
      </c>
      <c r="D231" s="8" t="inlineStr">
        <is>
          <t>SUNGAIN XTRA</t>
        </is>
      </c>
      <c r="E231" s="7" t="inlineStr">
        <is>
          <t>1. Titular do Registro / Produtor</t>
        </is>
      </c>
      <c r="F231" s="7" t="inlineStr">
        <is>
          <t>Produto Formulado Comercial</t>
        </is>
      </c>
      <c r="G231" s="7" t="inlineStr">
        <is>
          <t>RAINBOW DEFENSIVOS AGRÍCOLAS LTDA.</t>
        </is>
      </c>
      <c r="H231" s="7" t="inlineStr">
        <is>
          <t>Matriz / Estabelecimento Principal</t>
        </is>
      </c>
      <c r="I231" s="7" t="inlineStr">
        <is>
          <t>CNPJ Credenciado MAPA/SIPEAGRO</t>
        </is>
      </c>
      <c r="J231" s="7" t="inlineStr">
        <is>
          <t>Registro Estadual Vigente</t>
        </is>
      </c>
      <c r="K231" s="7" t="inlineStr">
        <is>
          <t>Estabelecimento Credenciado no Brasil</t>
        </is>
      </c>
      <c r="L231" s="7" t="inlineStr">
        <is>
          <t>Brasil</t>
        </is>
      </c>
      <c r="M231" s="7" t="inlineStr">
        <is>
          <t>0 - Nacional / 1 - Importação Direta</t>
        </is>
      </c>
    </row>
    <row r="232" ht="22" customHeight="1">
      <c r="A232" s="12" t="inlineStr">
        <is>
          <t>EMP-0228</t>
        </is>
      </c>
      <c r="B232" s="11" t="n">
        <v>190</v>
      </c>
      <c r="C232" s="13" t="inlineStr">
        <is>
          <t>Nº 19623</t>
        </is>
      </c>
      <c r="D232" s="14" t="inlineStr">
        <is>
          <t>TORBAN PLUS</t>
        </is>
      </c>
      <c r="E232" s="13" t="inlineStr">
        <is>
          <t>1. Titular do Registro / Produtor</t>
        </is>
      </c>
      <c r="F232" s="13" t="inlineStr">
        <is>
          <t>Produto Formulado Comercial</t>
        </is>
      </c>
      <c r="G232" s="13" t="inlineStr">
        <is>
          <t>SUMITOMO CHEMICAL BRASIL INDÚSTRIA QUÍMICA S.A.</t>
        </is>
      </c>
      <c r="H232" s="13" t="inlineStr">
        <is>
          <t>Matriz / Estabelecimento Principal</t>
        </is>
      </c>
      <c r="I232" s="13" t="inlineStr">
        <is>
          <t>CNPJ Credenciado MAPA/SIPEAGRO</t>
        </is>
      </c>
      <c r="J232" s="13" t="inlineStr">
        <is>
          <t>Registro Estadual Vigente</t>
        </is>
      </c>
      <c r="K232" s="13" t="inlineStr">
        <is>
          <t>Estabelecimento Credenciado no Brasil</t>
        </is>
      </c>
      <c r="L232" s="13" t="inlineStr">
        <is>
          <t>Brasil</t>
        </is>
      </c>
      <c r="M232" s="13" t="inlineStr">
        <is>
          <t>0 - Nacional / 1 - Importação Direta</t>
        </is>
      </c>
    </row>
    <row r="233" ht="22" customHeight="1">
      <c r="A233" s="6" t="inlineStr">
        <is>
          <t>EMP-0229</t>
        </is>
      </c>
      <c r="B233" s="5" t="n">
        <v>191</v>
      </c>
      <c r="C233" s="7" t="inlineStr">
        <is>
          <t>Nº 19623</t>
        </is>
      </c>
      <c r="D233" s="8" t="inlineStr">
        <is>
          <t>TORBAN PLUS</t>
        </is>
      </c>
      <c r="E233" s="7" t="inlineStr">
        <is>
          <t>1. Titular do Registro / Produtor</t>
        </is>
      </c>
      <c r="F233" s="7" t="inlineStr">
        <is>
          <t>Produto Formulado Comercial</t>
        </is>
      </c>
      <c r="G233" s="7" t="inlineStr">
        <is>
          <t>SUMITOMO CHEMICAL BRASIL INDÚSTRIA QUÍMICA S.A.</t>
        </is>
      </c>
      <c r="H233" s="7" t="inlineStr">
        <is>
          <t>Matriz / Estabelecimento Principal</t>
        </is>
      </c>
      <c r="I233" s="7" t="inlineStr">
        <is>
          <t>CNPJ Credenciado MAPA/SIPEAGRO</t>
        </is>
      </c>
      <c r="J233" s="7" t="inlineStr">
        <is>
          <t>Registro Estadual Vigente</t>
        </is>
      </c>
      <c r="K233" s="7" t="inlineStr">
        <is>
          <t>Estabelecimento Credenciado no Brasil</t>
        </is>
      </c>
      <c r="L233" s="7" t="inlineStr">
        <is>
          <t>Brasil</t>
        </is>
      </c>
      <c r="M233" s="7" t="inlineStr">
        <is>
          <t>0 - Nacional / 1 - Importação Direta</t>
        </is>
      </c>
    </row>
    <row r="234" ht="22" customHeight="1">
      <c r="A234" s="12" t="inlineStr">
        <is>
          <t>EMP-0230</t>
        </is>
      </c>
      <c r="B234" s="11" t="n">
        <v>192</v>
      </c>
      <c r="C234" s="13" t="inlineStr">
        <is>
          <t>Nº 31422</t>
        </is>
      </c>
      <c r="D234" s="14" t="inlineStr">
        <is>
          <t>ZARPAL</t>
        </is>
      </c>
      <c r="E234" s="13" t="inlineStr">
        <is>
          <t>1. Titular do Registro / Produtor</t>
        </is>
      </c>
      <c r="F234" s="13" t="inlineStr">
        <is>
          <t>Produto Formulado Comercial</t>
        </is>
      </c>
      <c r="G234" s="13" t="inlineStr">
        <is>
          <t>GLOBACHEM PROTEÇÃO DE CULTIVOS DO BRASIL LTDA.</t>
        </is>
      </c>
      <c r="H234" s="13" t="inlineStr">
        <is>
          <t>Matriz / Estabelecimento Principal</t>
        </is>
      </c>
      <c r="I234" s="13" t="inlineStr">
        <is>
          <t>43.741.357/0001-33</t>
        </is>
      </c>
      <c r="J234" s="13" t="inlineStr">
        <is>
          <t>CDA/SP nº 4326</t>
        </is>
      </c>
      <c r="K234" s="13" t="inlineStr">
        <is>
          <t>Rua Doutor Emílio Ribas, 174, Sala 12, Cambuí, Campinas/SP - CEP 13025-140</t>
        </is>
      </c>
      <c r="L234" s="13" t="inlineStr">
        <is>
          <t>Brasil</t>
        </is>
      </c>
      <c r="M234" s="13" t="inlineStr">
        <is>
          <t>0 - Nacional / 1 - Importação Direta</t>
        </is>
      </c>
    </row>
    <row r="235" ht="22" customHeight="1">
      <c r="A235" s="6" t="inlineStr">
        <is>
          <t>EMP-0231</t>
        </is>
      </c>
      <c r="B235" s="5" t="n">
        <v>192</v>
      </c>
      <c r="C235" s="7" t="inlineStr">
        <is>
          <t>Nº 31422</t>
        </is>
      </c>
      <c r="D235" s="8" t="inlineStr">
        <is>
          <t>ZARPAL</t>
        </is>
      </c>
      <c r="E235" s="7" t="inlineStr">
        <is>
          <t>2. Fabricante do Produto Técnico</t>
        </is>
      </c>
      <c r="F235" s="7" t="inlineStr">
        <is>
          <t>Produto Técnico Vinculado na Bula</t>
        </is>
      </c>
      <c r="G235" s="7" t="inlineStr">
        <is>
          <t>SHANDONG WEIFANG RAINBOW / YOUJIA CROP PROTECTION</t>
        </is>
      </c>
      <c r="H235" s="7" t="inlineStr">
        <is>
          <t>Planta Síntese Ásia</t>
        </is>
      </c>
      <c r="I235" s="7" t="inlineStr">
        <is>
          <t>EXT-CHN-TECH</t>
        </is>
      </c>
      <c r="J235" s="7" t="inlineStr">
        <is>
          <t>Isento Exterior</t>
        </is>
      </c>
      <c r="K235" s="7" t="inlineStr">
        <is>
          <t>Shandong / Jiangsu Industrial Park - China</t>
        </is>
      </c>
      <c r="L235" s="7" t="inlineStr">
        <is>
          <t>China</t>
        </is>
      </c>
      <c r="M235" s="7" t="inlineStr">
        <is>
          <t>1/2 - Importado</t>
        </is>
      </c>
    </row>
    <row r="236" ht="22" customHeight="1">
      <c r="A236" s="12" t="inlineStr">
        <is>
          <t>EMP-0232</t>
        </is>
      </c>
      <c r="B236" s="11" t="n">
        <v>192</v>
      </c>
      <c r="C236" s="13" t="inlineStr">
        <is>
          <t>Nº 31422</t>
        </is>
      </c>
      <c r="D236" s="14" t="inlineStr">
        <is>
          <t>ZARPAL</t>
        </is>
      </c>
      <c r="E236" s="13" t="inlineStr">
        <is>
          <t>3. Formulador</t>
        </is>
      </c>
      <c r="F236" s="13" t="inlineStr">
        <is>
          <t>Produto Formulado Comercial</t>
        </is>
      </c>
      <c r="G236" s="13" t="inlineStr">
        <is>
          <t>OURO FINO QUÍMICA S.A.</t>
        </is>
      </c>
      <c r="H236" s="13" t="inlineStr">
        <is>
          <t>Planta Uberaba/MG</t>
        </is>
      </c>
      <c r="I236" s="13" t="inlineStr">
        <is>
          <t>09.100.671/0001-07</t>
        </is>
      </c>
      <c r="J236" s="13" t="inlineStr">
        <is>
          <t>IMA/MG nº 8.764</t>
        </is>
      </c>
      <c r="K236" s="13" t="inlineStr">
        <is>
          <t>Av. Filomena Cartafina, 22335, Uberaba/MG</t>
        </is>
      </c>
      <c r="L236" s="13" t="inlineStr">
        <is>
          <t>Brasil</t>
        </is>
      </c>
      <c r="M236" s="13" t="inlineStr">
        <is>
          <t>0/3/5 - Nacional</t>
        </is>
      </c>
    </row>
    <row r="237" ht="22" customHeight="1">
      <c r="A237" s="6" t="inlineStr">
        <is>
          <t>EMP-0233</t>
        </is>
      </c>
      <c r="B237" s="5" t="n">
        <v>192</v>
      </c>
      <c r="C237" s="7" t="inlineStr">
        <is>
          <t>Nº 31422</t>
        </is>
      </c>
      <c r="D237" s="8" t="inlineStr">
        <is>
          <t>ZARPAL</t>
        </is>
      </c>
      <c r="E237" s="7" t="inlineStr">
        <is>
          <t>3. Formulador</t>
        </is>
      </c>
      <c r="F237" s="7" t="inlineStr">
        <is>
          <t>Produto Formulado Comercial</t>
        </is>
      </c>
      <c r="G237" s="7" t="inlineStr">
        <is>
          <t>FERSOL INDÚSTRIA E COMÉRCIO LTDA.</t>
        </is>
      </c>
      <c r="H237" s="7" t="inlineStr">
        <is>
          <t>Planta Mairinque/SP</t>
        </is>
      </c>
      <c r="I237" s="7" t="inlineStr">
        <is>
          <t>47.226.493/0001-46</t>
        </is>
      </c>
      <c r="J237" s="7" t="inlineStr">
        <is>
          <t>CDA/SP nº 31</t>
        </is>
      </c>
      <c r="K237" s="7" t="inlineStr">
        <is>
          <t>Rod. Pres. Castelo Branco, Km 68,5, Mairinque/SP</t>
        </is>
      </c>
      <c r="L237" s="7" t="inlineStr">
        <is>
          <t>Brasil</t>
        </is>
      </c>
      <c r="M237" s="7" t="inlineStr">
        <is>
          <t>0/3/5 - Nacional</t>
        </is>
      </c>
    </row>
    <row r="238" ht="22" customHeight="1">
      <c r="A238" s="12" t="inlineStr">
        <is>
          <t>EMP-0234</t>
        </is>
      </c>
      <c r="B238" s="11" t="n">
        <v>192</v>
      </c>
      <c r="C238" s="13" t="inlineStr">
        <is>
          <t>Nº 31422</t>
        </is>
      </c>
      <c r="D238" s="14" t="inlineStr">
        <is>
          <t>ZARPAL</t>
        </is>
      </c>
      <c r="E238" s="13" t="inlineStr">
        <is>
          <t>3. Formulador</t>
        </is>
      </c>
      <c r="F238" s="13" t="inlineStr">
        <is>
          <t>Produto Formulado Comercial</t>
        </is>
      </c>
      <c r="G238" s="13" t="inlineStr">
        <is>
          <t>ULTRAFINE TECHNOLOGIES IND. E COM. LTDA.</t>
        </is>
      </c>
      <c r="H238" s="13" t="inlineStr">
        <is>
          <t>Planta Indaiatuba/SP</t>
        </is>
      </c>
      <c r="I238" s="13" t="inlineStr">
        <is>
          <t>50.025.469/0004-04</t>
        </is>
      </c>
      <c r="J238" s="13" t="inlineStr">
        <is>
          <t>CDA/SP nº 1248</t>
        </is>
      </c>
      <c r="K238" s="13" t="inlineStr">
        <is>
          <t>Rua Bonifácio Rosso Ros, 260, Indaiatuba/SP</t>
        </is>
      </c>
      <c r="L238" s="13" t="inlineStr">
        <is>
          <t>Brasil</t>
        </is>
      </c>
      <c r="M238" s="13" t="inlineStr">
        <is>
          <t>0/3/5 - Nacional</t>
        </is>
      </c>
    </row>
    <row r="239" ht="22" customHeight="1">
      <c r="A239" s="6" t="inlineStr">
        <is>
          <t>EMP-0235</t>
        </is>
      </c>
      <c r="B239" s="5" t="n">
        <v>193</v>
      </c>
      <c r="C239" s="7" t="inlineStr">
        <is>
          <t>Nº 10317</t>
        </is>
      </c>
      <c r="D239" s="8" t="inlineStr">
        <is>
          <t>XEQUE MATE</t>
        </is>
      </c>
      <c r="E239" s="7" t="inlineStr">
        <is>
          <t>1. Titular do Registro / Produtor</t>
        </is>
      </c>
      <c r="F239" s="7" t="inlineStr">
        <is>
          <t>Produto Formulado Comercial</t>
        </is>
      </c>
      <c r="G239" s="7" t="inlineStr">
        <is>
          <t>ALBAUGH AGRO BRASIL LTDA.</t>
        </is>
      </c>
      <c r="H239" s="7" t="inlineStr">
        <is>
          <t>Matriz / Estabelecimento Principal</t>
        </is>
      </c>
      <c r="I239" s="7" t="inlineStr">
        <is>
          <t>CNPJ Credenciado MAPA/SIPEAGRO</t>
        </is>
      </c>
      <c r="J239" s="7" t="inlineStr">
        <is>
          <t>Registro Estadual Vigente</t>
        </is>
      </c>
      <c r="K239" s="7" t="inlineStr">
        <is>
          <t>Estabelecimento Credenciado no Brasil</t>
        </is>
      </c>
      <c r="L239" s="7" t="inlineStr">
        <is>
          <t>Brasil</t>
        </is>
      </c>
      <c r="M239" s="7" t="inlineStr">
        <is>
          <t>0 - Nacional / 1 - Importação Direta</t>
        </is>
      </c>
    </row>
    <row r="240" ht="22" customHeight="1">
      <c r="A240" s="12" t="inlineStr">
        <is>
          <t>EMP-0236</t>
        </is>
      </c>
      <c r="B240" s="11" t="n">
        <v>194</v>
      </c>
      <c r="C240" s="13" t="inlineStr">
        <is>
          <t>Nº 6313</t>
        </is>
      </c>
      <c r="D240" s="14" t="inlineStr">
        <is>
          <t>MANFIL 800 WP</t>
        </is>
      </c>
      <c r="E240" s="13" t="inlineStr">
        <is>
          <t>1. Titular do Registro / Produtor</t>
        </is>
      </c>
      <c r="F240" s="13" t="inlineStr">
        <is>
          <t>Produto Formulado Comercial</t>
        </is>
      </c>
      <c r="G240" s="13" t="inlineStr">
        <is>
          <t>INDOFIL INDUSTRIES DO BRASIL LTDA.</t>
        </is>
      </c>
      <c r="H240" s="13" t="inlineStr">
        <is>
          <t>Matriz / Estabelecimento Principal</t>
        </is>
      </c>
      <c r="I240" s="13" t="inlineStr">
        <is>
          <t>24.386.081/0001-78</t>
        </is>
      </c>
      <c r="J240" s="13" t="inlineStr">
        <is>
          <t>CDA/SP nº 1283</t>
        </is>
      </c>
      <c r="K240" s="13" t="inlineStr">
        <is>
          <t>Av. Roque Petroni Junior, 850, Jardim das Acácias, São Paulo/SP - CEP 04707-000</t>
        </is>
      </c>
      <c r="L240" s="13" t="inlineStr">
        <is>
          <t>Brasil</t>
        </is>
      </c>
      <c r="M240" s="13" t="inlineStr">
        <is>
          <t>0 - Nacional / 1 - Importação Direta</t>
        </is>
      </c>
    </row>
    <row r="241" ht="22" customHeight="1">
      <c r="A241" s="6" t="inlineStr">
        <is>
          <t>EMP-0237</t>
        </is>
      </c>
      <c r="B241" s="5" t="n">
        <v>195</v>
      </c>
      <c r="C241" s="7" t="inlineStr">
        <is>
          <t>Nº 15716</t>
        </is>
      </c>
      <c r="D241" s="8" t="inlineStr">
        <is>
          <t>DIFCOR 250 EC BR</t>
        </is>
      </c>
      <c r="E241" s="7" t="inlineStr">
        <is>
          <t>1. Titular do Registro / Produtor</t>
        </is>
      </c>
      <c r="F241" s="7" t="inlineStr">
        <is>
          <t>Produto Formulado Comercial</t>
        </is>
      </c>
      <c r="G241" s="7" t="inlineStr">
        <is>
          <t>GLOBACHEM PROTEÇÃO DE CULTIVOS DO BRASIL LTDA.</t>
        </is>
      </c>
      <c r="H241" s="7" t="inlineStr">
        <is>
          <t>Matriz / Estabelecimento Principal</t>
        </is>
      </c>
      <c r="I241" s="7" t="inlineStr">
        <is>
          <t>43.741.357/0001-33</t>
        </is>
      </c>
      <c r="J241" s="7" t="inlineStr">
        <is>
          <t>CDA/SP nº 4326</t>
        </is>
      </c>
      <c r="K241" s="7" t="inlineStr">
        <is>
          <t>Rua Doutor Emílio Ribas, 174, Sala 12, Campinas/SP</t>
        </is>
      </c>
      <c r="L241" s="7" t="inlineStr">
        <is>
          <t>Brasil</t>
        </is>
      </c>
      <c r="M241" s="7" t="inlineStr">
        <is>
          <t>0 - Nacional / 1 - Importação Direta</t>
        </is>
      </c>
    </row>
    <row r="242" ht="22" customHeight="1">
      <c r="A242" s="12" t="inlineStr">
        <is>
          <t>EMP-0238</t>
        </is>
      </c>
      <c r="B242" s="11" t="n">
        <v>196</v>
      </c>
      <c r="C242" s="13" t="inlineStr">
        <is>
          <t>SIPEAGRO (UF-XXXXX)</t>
        </is>
      </c>
      <c r="D242" s="14" t="inlineStr">
        <is>
          <t>BIOMAX PREMIUM LIQ SOJA 4X1,8L</t>
        </is>
      </c>
      <c r="E242" s="13" t="inlineStr">
        <is>
          <t>1. Titular do Registro / Produtor</t>
        </is>
      </c>
      <c r="F242" s="13" t="inlineStr">
        <is>
          <t>Inoculante / Biológico</t>
        </is>
      </c>
      <c r="G242" s="13" t="inlineStr">
        <is>
          <t>Estabelecimento Produtor SIPEAGRO/MAPA</t>
        </is>
      </c>
      <c r="H242" s="13" t="inlineStr">
        <is>
          <t>Matriz / Estabelecimento Principal</t>
        </is>
      </c>
      <c r="I242" s="13" t="inlineStr">
        <is>
          <t>CNPJ Credenciado MAPA/SIPEAGRO</t>
        </is>
      </c>
      <c r="J242" s="13" t="inlineStr">
        <is>
          <t>Registro Estadual Vigente</t>
        </is>
      </c>
      <c r="K242" s="13" t="inlineStr">
        <is>
          <t>Estabelecimento Credenciado no Brasil</t>
        </is>
      </c>
      <c r="L242" s="13" t="inlineStr">
        <is>
          <t>Brasil</t>
        </is>
      </c>
      <c r="M242" s="13" t="inlineStr">
        <is>
          <t>0 - Nacional / 1 - Importação Direta</t>
        </is>
      </c>
    </row>
    <row r="243" ht="22" customHeight="1">
      <c r="A243" s="6" t="inlineStr">
        <is>
          <t>EMP-0239</t>
        </is>
      </c>
      <c r="B243" s="5" t="n">
        <v>197</v>
      </c>
      <c r="C243" s="7" t="inlineStr">
        <is>
          <t>Nº 12812</t>
        </is>
      </c>
      <c r="D243" s="8" t="inlineStr">
        <is>
          <t>INSIDE FS</t>
        </is>
      </c>
      <c r="E243" s="7" t="inlineStr">
        <is>
          <t>1. Titular do Registro / Produtor</t>
        </is>
      </c>
      <c r="F243" s="7" t="inlineStr">
        <is>
          <t>Produto Formulado Comercial</t>
        </is>
      </c>
      <c r="G243" s="7" t="inlineStr">
        <is>
          <t>BAYER S.A. / SUMITOMO CHEMICAL</t>
        </is>
      </c>
      <c r="H243" s="7" t="inlineStr">
        <is>
          <t>Matriz / Estabelecimento Principal</t>
        </is>
      </c>
      <c r="I243" s="7" t="inlineStr">
        <is>
          <t>CNPJ Credenciado MAPA/SIPEAGRO</t>
        </is>
      </c>
      <c r="J243" s="7" t="inlineStr">
        <is>
          <t>Registro Estadual Vigente</t>
        </is>
      </c>
      <c r="K243" s="7" t="inlineStr">
        <is>
          <t>Estabelecimento Credenciado no Brasil</t>
        </is>
      </c>
      <c r="L243" s="7" t="inlineStr">
        <is>
          <t>Brasil</t>
        </is>
      </c>
      <c r="M243" s="7" t="inlineStr">
        <is>
          <t>0 - Nacional / 1 - Importação Direta</t>
        </is>
      </c>
    </row>
    <row r="244" ht="22" customHeight="1">
      <c r="A244" s="12" t="inlineStr">
        <is>
          <t>EMP-0240</t>
        </is>
      </c>
      <c r="B244" s="11" t="n">
        <v>198</v>
      </c>
      <c r="C244" s="13" t="inlineStr">
        <is>
          <t>Nº 22417</t>
        </is>
      </c>
      <c r="D244" s="14" t="inlineStr">
        <is>
          <t>SUMYZIN</t>
        </is>
      </c>
      <c r="E244" s="13" t="inlineStr">
        <is>
          <t>1. Titular do Registro / Produtor</t>
        </is>
      </c>
      <c r="F244" s="13" t="inlineStr">
        <is>
          <t>Produto Formulado Comercial</t>
        </is>
      </c>
      <c r="G244" s="13" t="inlineStr">
        <is>
          <t>SUMITOMO CHEMICAL BRASIL INDÚSTRIA QUÍMICA S.A.</t>
        </is>
      </c>
      <c r="H244" s="13" t="inlineStr">
        <is>
          <t>Matriz / Estabelecimento Principal</t>
        </is>
      </c>
      <c r="I244" s="13" t="inlineStr">
        <is>
          <t>CNPJ Credenciado MAPA/SIPEAGRO</t>
        </is>
      </c>
      <c r="J244" s="13" t="inlineStr">
        <is>
          <t>Registro Estadual Vigente</t>
        </is>
      </c>
      <c r="K244" s="13" t="inlineStr">
        <is>
          <t>Estabelecimento Credenciado no Brasil</t>
        </is>
      </c>
      <c r="L244" s="13" t="inlineStr">
        <is>
          <t>Brasil</t>
        </is>
      </c>
      <c r="M244" s="13" t="inlineStr">
        <is>
          <t>0 - Nacional / 1 - Importação Direta</t>
        </is>
      </c>
    </row>
    <row r="245" ht="22" customHeight="1">
      <c r="A245" s="6" t="inlineStr">
        <is>
          <t>EMP-0241</t>
        </is>
      </c>
      <c r="B245" s="5" t="n">
        <v>199</v>
      </c>
      <c r="C245" s="7" t="inlineStr">
        <is>
          <t>Nº 28520</t>
        </is>
      </c>
      <c r="D245" s="8" t="inlineStr">
        <is>
          <t>SENHA 720 WG</t>
        </is>
      </c>
      <c r="E245" s="7" t="inlineStr">
        <is>
          <t>1. Titular do Registro / Produtor</t>
        </is>
      </c>
      <c r="F245" s="7" t="inlineStr">
        <is>
          <t>Produto Formulado Comercial</t>
        </is>
      </c>
      <c r="G245" s="7" t="inlineStr">
        <is>
          <t>RAINBOW DEFENSIVOS AGRÍCOLAS LTDA.</t>
        </is>
      </c>
      <c r="H245" s="7" t="inlineStr">
        <is>
          <t>Matriz / Estabelecimento Principal</t>
        </is>
      </c>
      <c r="I245" s="7" t="inlineStr">
        <is>
          <t>10.486.463/0001-69</t>
        </is>
      </c>
      <c r="J245" s="7" t="inlineStr">
        <is>
          <t>SEAPA/RS nº 1928/09</t>
        </is>
      </c>
      <c r="K245" s="7" t="inlineStr">
        <is>
          <t>Av. Carlos Gomes, 258, Porto Alegre/RS</t>
        </is>
      </c>
      <c r="L245" s="7" t="inlineStr">
        <is>
          <t>Brasil</t>
        </is>
      </c>
      <c r="M245" s="7" t="inlineStr">
        <is>
          <t>0 - Nacional / 1 - Importação Direta</t>
        </is>
      </c>
    </row>
    <row r="246" ht="22" customHeight="1">
      <c r="A246" s="12" t="inlineStr">
        <is>
          <t>EMP-0242</t>
        </is>
      </c>
      <c r="B246" s="11" t="n">
        <v>200</v>
      </c>
      <c r="C246" s="13" t="inlineStr">
        <is>
          <t>SIPEAGRO (UF-XXXXX)</t>
        </is>
      </c>
      <c r="D246" s="14" t="inlineStr">
        <is>
          <t>AGCN MG 16</t>
        </is>
      </c>
      <c r="E246" s="13" t="inlineStr">
        <is>
          <t>1. Titular do Registro / Produtor</t>
        </is>
      </c>
      <c r="F246" s="13" t="inlineStr">
        <is>
          <t>Fertilizante Mineral / Organomineral</t>
        </is>
      </c>
      <c r="G246" s="13" t="inlineStr">
        <is>
          <t>Estabelecimento Produtor SIPEAGRO/MAPA</t>
        </is>
      </c>
      <c r="H246" s="13" t="inlineStr">
        <is>
          <t>Matriz / Estabelecimento Principal</t>
        </is>
      </c>
      <c r="I246" s="13" t="inlineStr">
        <is>
          <t>CNPJ Credenciado MAPA/SIPEAGRO</t>
        </is>
      </c>
      <c r="J246" s="13" t="inlineStr">
        <is>
          <t>Registro Estadual Vigente</t>
        </is>
      </c>
      <c r="K246" s="13" t="inlineStr">
        <is>
          <t>Estabelecimento Credenciado no Brasil</t>
        </is>
      </c>
      <c r="L246" s="13" t="inlineStr">
        <is>
          <t>Brasil</t>
        </is>
      </c>
      <c r="M246" s="13" t="inlineStr">
        <is>
          <t>0 - Nacional / 1 - Importação Direta</t>
        </is>
      </c>
    </row>
    <row r="247" ht="22" customHeight="1">
      <c r="A247" s="6" t="inlineStr">
        <is>
          <t>EMP-0243</t>
        </is>
      </c>
      <c r="B247" s="5" t="n">
        <v>201</v>
      </c>
      <c r="C247" s="7" t="inlineStr">
        <is>
          <t>Nº 25119</t>
        </is>
      </c>
      <c r="D247" s="8" t="inlineStr">
        <is>
          <t>GLIFOSATO 72WG ALAMOS</t>
        </is>
      </c>
      <c r="E247" s="7" t="inlineStr">
        <is>
          <t>1. Titular do Registro / Produtor</t>
        </is>
      </c>
      <c r="F247" s="7" t="inlineStr">
        <is>
          <t>Produto Formulado Comercial</t>
        </is>
      </c>
      <c r="G247" s="7" t="inlineStr">
        <is>
          <t>ALAMOS AGROQUÍMICA LTDA. / PERTERRA INSUMOS AGROPECUÁRIOS S.A.</t>
        </is>
      </c>
      <c r="H247" s="7" t="inlineStr">
        <is>
          <t>Matriz / Estabelecimento Principal</t>
        </is>
      </c>
      <c r="I247" s="7" t="inlineStr">
        <is>
          <t>CNPJ Credenciado MAPA/SIPEAGRO</t>
        </is>
      </c>
      <c r="J247" s="7" t="inlineStr">
        <is>
          <t>Registro Estadual Vigente</t>
        </is>
      </c>
      <c r="K247" s="7" t="inlineStr">
        <is>
          <t>Estabelecimento Credenciado no Brasil</t>
        </is>
      </c>
      <c r="L247" s="7" t="inlineStr">
        <is>
          <t>Brasil</t>
        </is>
      </c>
      <c r="M247" s="7" t="inlineStr">
        <is>
          <t>0 - Nacional / 1 - Importação Direta</t>
        </is>
      </c>
    </row>
    <row r="248" ht="22" customHeight="1">
      <c r="A248" s="12" t="inlineStr">
        <is>
          <t>EMP-0244</t>
        </is>
      </c>
      <c r="B248" s="11" t="n">
        <v>202</v>
      </c>
      <c r="C248" s="13" t="inlineStr">
        <is>
          <t>Nº 28923</t>
        </is>
      </c>
      <c r="D248" s="14" t="inlineStr">
        <is>
          <t>PREVENTIS</t>
        </is>
      </c>
      <c r="E248" s="13" t="inlineStr">
        <is>
          <t>1. Titular do Registro / Produtor</t>
        </is>
      </c>
      <c r="F248" s="13" t="inlineStr">
        <is>
          <t>Produto Formulado Comercial</t>
        </is>
      </c>
      <c r="G248" s="13" t="inlineStr">
        <is>
          <t>UPL DO BRASIL INDÚSTRIA E COMÉRCIO DE INSUMOS AGROPECUÁRIOS S.A.</t>
        </is>
      </c>
      <c r="H248" s="13" t="inlineStr">
        <is>
          <t>Matriz / Estabelecimento Principal</t>
        </is>
      </c>
      <c r="I248" s="13" t="inlineStr">
        <is>
          <t>CNPJ Credenciado MAPA/SIPEAGRO</t>
        </is>
      </c>
      <c r="J248" s="13" t="inlineStr">
        <is>
          <t>Registro Estadual Vigente</t>
        </is>
      </c>
      <c r="K248" s="13" t="inlineStr">
        <is>
          <t>Estabelecimento Credenciado no Brasil</t>
        </is>
      </c>
      <c r="L248" s="13" t="inlineStr">
        <is>
          <t>Brasil</t>
        </is>
      </c>
      <c r="M248" s="13" t="inlineStr">
        <is>
          <t>0 - Nacional / 1 - Importação Direta</t>
        </is>
      </c>
    </row>
    <row r="249" ht="22" customHeight="1">
      <c r="A249" s="6" t="inlineStr">
        <is>
          <t>EMP-0245</t>
        </is>
      </c>
      <c r="B249" s="5" t="n">
        <v>203</v>
      </c>
      <c r="C249" s="7" t="inlineStr">
        <is>
          <t>SIPEAGRO (UF-XXXXX)</t>
        </is>
      </c>
      <c r="D249" s="8" t="inlineStr">
        <is>
          <t>F.M.A. BR B6,0 CU1,0 MN7,5 ZN1,0</t>
        </is>
      </c>
      <c r="E249" s="7" t="inlineStr">
        <is>
          <t>1. Titular do Registro / Produtor</t>
        </is>
      </c>
      <c r="F249" s="7" t="inlineStr">
        <is>
          <t>Fertilizante Mineral / Organomineral</t>
        </is>
      </c>
      <c r="G249" s="7" t="inlineStr">
        <is>
          <t>Estabelecimento Produtor SIPEAGRO/MAPA</t>
        </is>
      </c>
      <c r="H249" s="7" t="inlineStr">
        <is>
          <t>Matriz / Estabelecimento Principal</t>
        </is>
      </c>
      <c r="I249" s="7" t="inlineStr">
        <is>
          <t>CNPJ Credenciado MAPA/SIPEAGRO</t>
        </is>
      </c>
      <c r="J249" s="7" t="inlineStr">
        <is>
          <t>Registro Estadual Vigente</t>
        </is>
      </c>
      <c r="K249" s="7" t="inlineStr">
        <is>
          <t>Estabelecimento Credenciado no Brasil</t>
        </is>
      </c>
      <c r="L249" s="7" t="inlineStr">
        <is>
          <t>Brasil</t>
        </is>
      </c>
      <c r="M249" s="7" t="inlineStr">
        <is>
          <t>0 - Nacional / 1 - Importação Direta</t>
        </is>
      </c>
    </row>
    <row r="250" ht="22" customHeight="1">
      <c r="A250" s="12" t="inlineStr">
        <is>
          <t>EMP-0246</t>
        </is>
      </c>
      <c r="B250" s="11" t="n">
        <v>204</v>
      </c>
      <c r="C250" s="13" t="inlineStr">
        <is>
          <t>Nº 15407</t>
        </is>
      </c>
      <c r="D250" s="14" t="inlineStr">
        <is>
          <t>SMITE</t>
        </is>
      </c>
      <c r="E250" s="13" t="inlineStr">
        <is>
          <t>1. Titular do Registro / Produtor</t>
        </is>
      </c>
      <c r="F250" s="13" t="inlineStr">
        <is>
          <t>Produto Formulado Comercial</t>
        </is>
      </c>
      <c r="G250" s="13" t="inlineStr">
        <is>
          <t>SUMITOMO CHEMICAL DO BRASIL REPRESENTAÇÕES LTDA.</t>
        </is>
      </c>
      <c r="H250" s="13" t="inlineStr">
        <is>
          <t>Matriz / Estabelecimento Principal</t>
        </is>
      </c>
      <c r="I250" s="13" t="inlineStr">
        <is>
          <t>CNPJ Credenciado MAPA/SIPEAGRO</t>
        </is>
      </c>
      <c r="J250" s="13" t="inlineStr">
        <is>
          <t>Registro Estadual Vigente</t>
        </is>
      </c>
      <c r="K250" s="13" t="inlineStr">
        <is>
          <t>Estabelecimento Credenciado no Brasil</t>
        </is>
      </c>
      <c r="L250" s="13" t="inlineStr">
        <is>
          <t>Brasil</t>
        </is>
      </c>
      <c r="M250" s="13" t="inlineStr">
        <is>
          <t>0 - Nacional / 1 - Importação Direta</t>
        </is>
      </c>
    </row>
    <row r="251" ht="22" customHeight="1">
      <c r="A251" s="6" t="inlineStr">
        <is>
          <t>EMP-0247</t>
        </is>
      </c>
      <c r="B251" s="5" t="n">
        <v>205</v>
      </c>
      <c r="C251" s="7" t="inlineStr">
        <is>
          <t>Nº 9420</t>
        </is>
      </c>
      <c r="D251" s="8" t="inlineStr">
        <is>
          <t>ENSIS-TURBO</t>
        </is>
      </c>
      <c r="E251" s="7" t="inlineStr">
        <is>
          <t>1. Titular do Registro</t>
        </is>
      </c>
      <c r="F251" s="7" t="inlineStr">
        <is>
          <t>Produto Formulado Comercial</t>
        </is>
      </c>
      <c r="G251" s="7" t="inlineStr">
        <is>
          <t>Adama</t>
        </is>
      </c>
      <c r="H251" s="7" t="inlineStr">
        <is>
          <t>Estabelecimento Credenciado</t>
        </is>
      </c>
      <c r="I251" s="7" t="inlineStr">
        <is>
          <t>CNPJ Credenciado MAPA</t>
        </is>
      </c>
      <c r="J251" s="7" t="inlineStr">
        <is>
          <t>Registro Estadual Vigente</t>
        </is>
      </c>
      <c r="K251" s="7" t="inlineStr">
        <is>
          <t>Unidade Operacional Brasil</t>
        </is>
      </c>
      <c r="L251" s="7" t="inlineStr">
        <is>
          <t>Brasil</t>
        </is>
      </c>
      <c r="M251" s="7" t="inlineStr">
        <is>
          <t>0/1/2 - Conforme Origem do Lote</t>
        </is>
      </c>
    </row>
    <row r="252" ht="22" customHeight="1">
      <c r="A252" s="12" t="inlineStr">
        <is>
          <t>EMP-0248</t>
        </is>
      </c>
      <c r="B252" s="11" t="n">
        <v>205</v>
      </c>
      <c r="C252" s="13" t="inlineStr">
        <is>
          <t>Nº 9420</t>
        </is>
      </c>
      <c r="D252" s="14" t="inlineStr">
        <is>
          <t>ENSIS-TURBO</t>
        </is>
      </c>
      <c r="E252" s="13" t="inlineStr">
        <is>
          <t>3. Formulador / Co-Distribuidor Autorizado</t>
        </is>
      </c>
      <c r="F252" s="13" t="inlineStr">
        <is>
          <t>Produto Formulado Comercial</t>
        </is>
      </c>
      <c r="G252" s="13" t="inlineStr">
        <is>
          <t>Rainbow</t>
        </is>
      </c>
      <c r="H252" s="13" t="inlineStr">
        <is>
          <t>Estabelecimento Credenciado</t>
        </is>
      </c>
      <c r="I252" s="13" t="inlineStr">
        <is>
          <t>CNPJ Credenciado MAPA</t>
        </is>
      </c>
      <c r="J252" s="13" t="inlineStr">
        <is>
          <t>Registro Estadual Vigente</t>
        </is>
      </c>
      <c r="K252" s="13" t="inlineStr">
        <is>
          <t>Unidade Operacional Brasil</t>
        </is>
      </c>
      <c r="L252" s="13" t="inlineStr">
        <is>
          <t>Brasil</t>
        </is>
      </c>
      <c r="M252" s="13" t="inlineStr">
        <is>
          <t>0/1/2 - Conforme Origem do Lote</t>
        </is>
      </c>
    </row>
    <row r="253" ht="22" customHeight="1">
      <c r="A253" s="6" t="inlineStr">
        <is>
          <t>EMP-0249</t>
        </is>
      </c>
      <c r="B253" s="5" t="n">
        <v>206</v>
      </c>
      <c r="C253" s="7" t="inlineStr">
        <is>
          <t>Nº 27323</t>
        </is>
      </c>
      <c r="D253" s="8" t="inlineStr">
        <is>
          <t>ACEGOL</t>
        </is>
      </c>
      <c r="E253" s="7" t="inlineStr">
        <is>
          <t>1. Titular do Registro / Produtor</t>
        </is>
      </c>
      <c r="F253" s="7" t="inlineStr">
        <is>
          <t>Produto Formulado Comercial</t>
        </is>
      </c>
      <c r="G253" s="7" t="inlineStr">
        <is>
          <t>RAINBOW DEFENSIVOS AGRICOLAS LTDA</t>
        </is>
      </c>
      <c r="H253" s="7" t="inlineStr">
        <is>
          <t>Matriz / Estabelecimento Principal</t>
        </is>
      </c>
      <c r="I253" s="7" t="inlineStr">
        <is>
          <t>10.486.463/0001-69</t>
        </is>
      </c>
      <c r="J253" s="7" t="inlineStr">
        <is>
          <t>SEAPA/RS nº 1928/09</t>
        </is>
      </c>
      <c r="K253" s="7" t="inlineStr">
        <is>
          <t>Estabelecimento Credenciado no Brasil</t>
        </is>
      </c>
      <c r="L253" s="7" t="inlineStr">
        <is>
          <t>Brasil</t>
        </is>
      </c>
      <c r="M253" s="7" t="inlineStr">
        <is>
          <t>0 - Nacional / 1 - Importação Direta</t>
        </is>
      </c>
    </row>
    <row r="254" ht="22" customHeight="1">
      <c r="A254" s="12" t="inlineStr">
        <is>
          <t>EMP-0250</t>
        </is>
      </c>
      <c r="B254" s="11" t="n">
        <v>207</v>
      </c>
      <c r="C254" s="13" t="inlineStr">
        <is>
          <t>Nº 43818</t>
        </is>
      </c>
      <c r="D254" s="14" t="inlineStr">
        <is>
          <t>DIAFENTIURON</t>
        </is>
      </c>
      <c r="E254" s="13" t="inlineStr">
        <is>
          <t>1. Titular do Registro / Produtor</t>
        </is>
      </c>
      <c r="F254" s="13" t="inlineStr">
        <is>
          <t>Produto Formulado Comercial</t>
        </is>
      </c>
      <c r="G254" s="13" t="inlineStr">
        <is>
          <t>PROVENTIS LIFESCIENCE DEFENSIVOS AGRÍCOLAS LTDA.</t>
        </is>
      </c>
      <c r="H254" s="13" t="inlineStr">
        <is>
          <t>Matriz / Estabelecimento Principal</t>
        </is>
      </c>
      <c r="I254" s="13" t="inlineStr">
        <is>
          <t>26.632.190/0001-18</t>
        </is>
      </c>
      <c r="J254" s="13" t="inlineStr">
        <is>
          <t>CDA/SP Vigente</t>
        </is>
      </c>
      <c r="K254" s="13" t="inlineStr">
        <is>
          <t>Campinas/SP</t>
        </is>
      </c>
      <c r="L254" s="13" t="inlineStr">
        <is>
          <t>Brasil</t>
        </is>
      </c>
      <c r="M254" s="13" t="inlineStr">
        <is>
          <t>0 - Nacional / 1 - Importação Direta</t>
        </is>
      </c>
    </row>
    <row r="255" ht="22" customHeight="1">
      <c r="A255" s="6" t="inlineStr">
        <is>
          <t>EMP-0251</t>
        </is>
      </c>
      <c r="B255" s="5" t="n">
        <v>208</v>
      </c>
      <c r="C255" s="7" t="inlineStr">
        <is>
          <t>Nº 26017</t>
        </is>
      </c>
      <c r="D255" s="8" t="inlineStr">
        <is>
          <t>MESOTRIONE</t>
        </is>
      </c>
      <c r="E255" s="7" t="inlineStr">
        <is>
          <t>1. Titular do Registro / Produtor</t>
        </is>
      </c>
      <c r="F255" s="7" t="inlineStr">
        <is>
          <t>Produto Formulado Comercial</t>
        </is>
      </c>
      <c r="G255" s="7" t="inlineStr">
        <is>
          <t>Proventis Lifescience</t>
        </is>
      </c>
      <c r="H255" s="7" t="inlineStr">
        <is>
          <t>Matriz / Estabelecimento Principal</t>
        </is>
      </c>
      <c r="I255" s="7" t="inlineStr">
        <is>
          <t>CNPJ Credenciado MAPA/SIPEAGRO</t>
        </is>
      </c>
      <c r="J255" s="7" t="inlineStr">
        <is>
          <t>Registro Estadual Vigente</t>
        </is>
      </c>
      <c r="K255" s="7" t="inlineStr">
        <is>
          <t>Estabelecimento Credenciado no Brasil</t>
        </is>
      </c>
      <c r="L255" s="7" t="inlineStr">
        <is>
          <t>Brasil</t>
        </is>
      </c>
      <c r="M255" s="7" t="inlineStr">
        <is>
          <t>0 - Nacional / 1 - Importação Direta</t>
        </is>
      </c>
    </row>
    <row r="256" ht="22" customHeight="1">
      <c r="A256" s="12" t="inlineStr">
        <is>
          <t>EMP-0252</t>
        </is>
      </c>
      <c r="B256" s="11" t="n">
        <v>209</v>
      </c>
      <c r="C256" s="13" t="inlineStr">
        <is>
          <t>Nº 9823</t>
        </is>
      </c>
      <c r="D256" s="14" t="inlineStr">
        <is>
          <t>OLASOJA</t>
        </is>
      </c>
      <c r="E256" s="13" t="inlineStr">
        <is>
          <t>1. Titular do Registro</t>
        </is>
      </c>
      <c r="F256" s="13" t="inlineStr">
        <is>
          <t>Produto Formulado Comercial</t>
        </is>
      </c>
      <c r="G256" s="13" t="inlineStr">
        <is>
          <t>Olam</t>
        </is>
      </c>
      <c r="H256" s="13" t="inlineStr">
        <is>
          <t>Estabelecimento Credenciado</t>
        </is>
      </c>
      <c r="I256" s="13" t="inlineStr">
        <is>
          <t>CNPJ Credenciado MAPA</t>
        </is>
      </c>
      <c r="J256" s="13" t="inlineStr">
        <is>
          <t>Registro Estadual Vigente</t>
        </is>
      </c>
      <c r="K256" s="13" t="inlineStr">
        <is>
          <t>Unidade Operacional Brasil</t>
        </is>
      </c>
      <c r="L256" s="13" t="inlineStr">
        <is>
          <t>Brasil</t>
        </is>
      </c>
      <c r="M256" s="13" t="inlineStr">
        <is>
          <t>0/1/2 - Conforme Origem do Lote</t>
        </is>
      </c>
    </row>
    <row r="257" ht="22" customHeight="1">
      <c r="A257" s="6" t="inlineStr">
        <is>
          <t>EMP-0253</t>
        </is>
      </c>
      <c r="B257" s="5" t="n">
        <v>209</v>
      </c>
      <c r="C257" s="7" t="inlineStr">
        <is>
          <t>Nº 9823</t>
        </is>
      </c>
      <c r="D257" s="8" t="inlineStr">
        <is>
          <t>OLASOJA</t>
        </is>
      </c>
      <c r="E257" s="7" t="inlineStr">
        <is>
          <t>3. Formulador / Co-Distribuidor Autorizado</t>
        </is>
      </c>
      <c r="F257" s="7" t="inlineStr">
        <is>
          <t>Produto Formulado Comercial</t>
        </is>
      </c>
      <c r="G257" s="7" t="inlineStr">
        <is>
          <t>Rainbow</t>
        </is>
      </c>
      <c r="H257" s="7" t="inlineStr">
        <is>
          <t>Estabelecimento Credenciado</t>
        </is>
      </c>
      <c r="I257" s="7" t="inlineStr">
        <is>
          <t>CNPJ Credenciado MAPA</t>
        </is>
      </c>
      <c r="J257" s="7" t="inlineStr">
        <is>
          <t>Registro Estadual Vigente</t>
        </is>
      </c>
      <c r="K257" s="7" t="inlineStr">
        <is>
          <t>Unidade Operacional Brasil</t>
        </is>
      </c>
      <c r="L257" s="7" t="inlineStr">
        <is>
          <t>Brasil</t>
        </is>
      </c>
      <c r="M257" s="7" t="inlineStr">
        <is>
          <t>0/1/2 - Conforme Origem do Lote</t>
        </is>
      </c>
    </row>
    <row r="258" ht="22" customHeight="1">
      <c r="A258" s="12" t="inlineStr">
        <is>
          <t>EMP-0254</t>
        </is>
      </c>
      <c r="B258" s="11" t="n">
        <v>210</v>
      </c>
      <c r="C258" s="13" t="inlineStr">
        <is>
          <t>SIPEAGRO (UF-XXXXX)</t>
        </is>
      </c>
      <c r="D258" s="14" t="inlineStr">
        <is>
          <t>MAGNIFIC</t>
        </is>
      </c>
      <c r="E258" s="13" t="inlineStr">
        <is>
          <t>1. Titular do Registro / Produtor</t>
        </is>
      </c>
      <c r="F258" s="13" t="inlineStr">
        <is>
          <t>Fertilizante Mineral / Organomineral</t>
        </is>
      </c>
      <c r="G258" s="13" t="inlineStr">
        <is>
          <t>Estabelecimento Produtor SIPEAGRO/MAPA</t>
        </is>
      </c>
      <c r="H258" s="13" t="inlineStr">
        <is>
          <t>Matriz / Estabelecimento Principal</t>
        </is>
      </c>
      <c r="I258" s="13" t="inlineStr">
        <is>
          <t>CNPJ Credenciado MAPA/SIPEAGRO</t>
        </is>
      </c>
      <c r="J258" s="13" t="inlineStr">
        <is>
          <t>Registro Estadual Vigente</t>
        </is>
      </c>
      <c r="K258" s="13" t="inlineStr">
        <is>
          <t>Estabelecimento Credenciado no Brasil</t>
        </is>
      </c>
      <c r="L258" s="13" t="inlineStr">
        <is>
          <t>Brasil</t>
        </is>
      </c>
      <c r="M258" s="13" t="inlineStr">
        <is>
          <t>0 - Nacional / 1 - Importação Direta</t>
        </is>
      </c>
    </row>
    <row r="259" ht="22" customHeight="1">
      <c r="A259" s="6" t="inlineStr">
        <is>
          <t>EMP-0255</t>
        </is>
      </c>
      <c r="B259" s="5" t="n">
        <v>211</v>
      </c>
      <c r="C259" s="7" t="inlineStr">
        <is>
          <t>SIPEAGRO (UF-XXXXX)</t>
        </is>
      </c>
      <c r="D259" s="8" t="inlineStr">
        <is>
          <t>BORON</t>
        </is>
      </c>
      <c r="E259" s="7" t="inlineStr">
        <is>
          <t>1. Titular do Registro / Produtor</t>
        </is>
      </c>
      <c r="F259" s="7" t="inlineStr">
        <is>
          <t>Corretivo / Condicionador de Solo</t>
        </is>
      </c>
      <c r="G259" s="7" t="inlineStr">
        <is>
          <t>Estabelecimento Produtor SIPEAGRO/MAPA</t>
        </is>
      </c>
      <c r="H259" s="7" t="inlineStr">
        <is>
          <t>Matriz / Estabelecimento Principal</t>
        </is>
      </c>
      <c r="I259" s="7" t="inlineStr">
        <is>
          <t>CNPJ Credenciado MAPA/SIPEAGRO</t>
        </is>
      </c>
      <c r="J259" s="7" t="inlineStr">
        <is>
          <t>Registro Estadual Vigente</t>
        </is>
      </c>
      <c r="K259" s="7" t="inlineStr">
        <is>
          <t>Estabelecimento Credenciado no Brasil</t>
        </is>
      </c>
      <c r="L259" s="7" t="inlineStr">
        <is>
          <t>Brasil</t>
        </is>
      </c>
      <c r="M259" s="7" t="inlineStr">
        <is>
          <t>0 - Nacional / 1 - Importação Direta</t>
        </is>
      </c>
    </row>
    <row r="260" ht="22" customHeight="1">
      <c r="A260" s="12" t="inlineStr">
        <is>
          <t>EMP-0256</t>
        </is>
      </c>
      <c r="B260" s="11" t="n">
        <v>212</v>
      </c>
      <c r="C260" s="13" t="inlineStr">
        <is>
          <t>Nº 28520</t>
        </is>
      </c>
      <c r="D260" s="14" t="inlineStr">
        <is>
          <t>SENHA 720 WG</t>
        </is>
      </c>
      <c r="E260" s="13" t="inlineStr">
        <is>
          <t>1. Titular do Registro / Produtor</t>
        </is>
      </c>
      <c r="F260" s="13" t="inlineStr">
        <is>
          <t>Produto Formulado Comercial</t>
        </is>
      </c>
      <c r="G260" s="13" t="inlineStr">
        <is>
          <t>RAINBOW DEFENSIVOS AGRÍCOLAS LTDA.</t>
        </is>
      </c>
      <c r="H260" s="13" t="inlineStr">
        <is>
          <t>Matriz / Estabelecimento Principal</t>
        </is>
      </c>
      <c r="I260" s="13" t="inlineStr">
        <is>
          <t>10.486.463/0001-69</t>
        </is>
      </c>
      <c r="J260" s="13" t="inlineStr">
        <is>
          <t>SEAPA/RS nº 1928/09</t>
        </is>
      </c>
      <c r="K260" s="13" t="inlineStr">
        <is>
          <t>Av. Carlos Gomes, 258, Porto Alegre/RS</t>
        </is>
      </c>
      <c r="L260" s="13" t="inlineStr">
        <is>
          <t>Brasil</t>
        </is>
      </c>
      <c r="M260" s="13" t="inlineStr">
        <is>
          <t>0 - Nacional / 1 - Importação Direta</t>
        </is>
      </c>
    </row>
    <row r="261" ht="22" customHeight="1">
      <c r="A261" s="6" t="inlineStr">
        <is>
          <t>EMP-0257</t>
        </is>
      </c>
      <c r="B261" s="5" t="n">
        <v>213</v>
      </c>
      <c r="C261" s="7" t="inlineStr">
        <is>
          <t>Nº 24823</t>
        </is>
      </c>
      <c r="D261" s="8" t="inlineStr">
        <is>
          <t>OLASUL</t>
        </is>
      </c>
      <c r="E261" s="7" t="inlineStr">
        <is>
          <t>1. Titular do Registro / Produtor</t>
        </is>
      </c>
      <c r="F261" s="7" t="inlineStr">
        <is>
          <t>Produto Formulado Comercial</t>
        </is>
      </c>
      <c r="G261" s="7" t="inlineStr">
        <is>
          <t>RAINBOW DEFENSIVOS AGRÍCOLAS LTDA.</t>
        </is>
      </c>
      <c r="H261" s="7" t="inlineStr">
        <is>
          <t>Matriz / Estabelecimento Principal</t>
        </is>
      </c>
      <c r="I261" s="7" t="inlineStr">
        <is>
          <t>CNPJ Credenciado MAPA/SIPEAGRO</t>
        </is>
      </c>
      <c r="J261" s="7" t="inlineStr">
        <is>
          <t>Registro Estadual Vigente</t>
        </is>
      </c>
      <c r="K261" s="7" t="inlineStr">
        <is>
          <t>Estabelecimento Credenciado no Brasil</t>
        </is>
      </c>
      <c r="L261" s="7" t="inlineStr">
        <is>
          <t>Brasil</t>
        </is>
      </c>
      <c r="M261" s="7" t="inlineStr">
        <is>
          <t>0 - Nacional / 1 - Importação Direta</t>
        </is>
      </c>
    </row>
    <row r="262" ht="22" customHeight="1">
      <c r="A262" s="12" t="inlineStr">
        <is>
          <t>EMP-0258</t>
        </is>
      </c>
      <c r="B262" s="11" t="n">
        <v>214</v>
      </c>
      <c r="C262" s="13" t="inlineStr">
        <is>
          <t>Nº 32323</t>
        </is>
      </c>
      <c r="D262" s="14" t="inlineStr">
        <is>
          <t>OLATAZON 400 EC</t>
        </is>
      </c>
      <c r="E262" s="13" t="inlineStr">
        <is>
          <t>1. Titular do Registro / Produtor</t>
        </is>
      </c>
      <c r="F262" s="13" t="inlineStr">
        <is>
          <t>Produto Formulado Comercial</t>
        </is>
      </c>
      <c r="G262" s="13" t="inlineStr">
        <is>
          <t>RAINBOW DEFENSIVOS AGRÍCOLAS LTDA.</t>
        </is>
      </c>
      <c r="H262" s="13" t="inlineStr">
        <is>
          <t>Matriz / Estabelecimento Principal</t>
        </is>
      </c>
      <c r="I262" s="13" t="inlineStr">
        <is>
          <t>CNPJ Credenciado MAPA/SIPEAGRO</t>
        </is>
      </c>
      <c r="J262" s="13" t="inlineStr">
        <is>
          <t>Registro Estadual Vigente</t>
        </is>
      </c>
      <c r="K262" s="13" t="inlineStr">
        <is>
          <t>Estabelecimento Credenciado no Brasil</t>
        </is>
      </c>
      <c r="L262" s="13" t="inlineStr">
        <is>
          <t>Brasil</t>
        </is>
      </c>
      <c r="M262" s="13" t="inlineStr">
        <is>
          <t>0 - Nacional / 1 - Importação Direta</t>
        </is>
      </c>
    </row>
    <row r="263" ht="22" customHeight="1">
      <c r="A263" s="6" t="inlineStr">
        <is>
          <t>EMP-0259</t>
        </is>
      </c>
      <c r="B263" s="5" t="n">
        <v>215</v>
      </c>
      <c r="C263" s="7" t="inlineStr">
        <is>
          <t>Nº 30520</t>
        </is>
      </c>
      <c r="D263" s="8" t="inlineStr">
        <is>
          <t>MAXAPAC 250 EC</t>
        </is>
      </c>
      <c r="E263" s="7" t="inlineStr">
        <is>
          <t>1. Titular do Registro</t>
        </is>
      </c>
      <c r="F263" s="7" t="inlineStr">
        <is>
          <t>Produto Formulado Comercial</t>
        </is>
      </c>
      <c r="G263" s="7" t="inlineStr">
        <is>
          <t>Maxunitech</t>
        </is>
      </c>
      <c r="H263" s="7" t="inlineStr">
        <is>
          <t>Estabelecimento Credenciado</t>
        </is>
      </c>
      <c r="I263" s="7" t="inlineStr">
        <is>
          <t>CNPJ Credenciado MAPA</t>
        </is>
      </c>
      <c r="J263" s="7" t="inlineStr">
        <is>
          <t>Registro Estadual Vigente</t>
        </is>
      </c>
      <c r="K263" s="7" t="inlineStr">
        <is>
          <t>Unidade Operacional Brasil</t>
        </is>
      </c>
      <c r="L263" s="7" t="inlineStr">
        <is>
          <t>Brasil</t>
        </is>
      </c>
      <c r="M263" s="7" t="inlineStr">
        <is>
          <t>0/1/2 - Conforme Origem do Lote</t>
        </is>
      </c>
    </row>
    <row r="264" ht="22" customHeight="1">
      <c r="A264" s="12" t="inlineStr">
        <is>
          <t>EMP-0260</t>
        </is>
      </c>
      <c r="B264" s="11" t="n">
        <v>215</v>
      </c>
      <c r="C264" s="13" t="inlineStr">
        <is>
          <t>Nº 30520</t>
        </is>
      </c>
      <c r="D264" s="14" t="inlineStr">
        <is>
          <t>MAXAPAC 250 EC</t>
        </is>
      </c>
      <c r="E264" s="13" t="inlineStr">
        <is>
          <t>3. Formulador / Co-Distribuidor Autorizado</t>
        </is>
      </c>
      <c r="F264" s="13" t="inlineStr">
        <is>
          <t>Produto Formulado Comercial</t>
        </is>
      </c>
      <c r="G264" s="13" t="inlineStr">
        <is>
          <t>Eagrow</t>
        </is>
      </c>
      <c r="H264" s="13" t="inlineStr">
        <is>
          <t>Estabelecimento Credenciado</t>
        </is>
      </c>
      <c r="I264" s="13" t="inlineStr">
        <is>
          <t>CNPJ Credenciado MAPA</t>
        </is>
      </c>
      <c r="J264" s="13" t="inlineStr">
        <is>
          <t>Registro Estadual Vigente</t>
        </is>
      </c>
      <c r="K264" s="13" t="inlineStr">
        <is>
          <t>Unidade Operacional Brasil</t>
        </is>
      </c>
      <c r="L264" s="13" t="inlineStr">
        <is>
          <t>Brasil</t>
        </is>
      </c>
      <c r="M264" s="13" t="inlineStr">
        <is>
          <t>0/1/2 - Conforme Origem do Lote</t>
        </is>
      </c>
    </row>
    <row r="265" ht="22" customHeight="1">
      <c r="A265" s="6" t="inlineStr">
        <is>
          <t>EMP-0261</t>
        </is>
      </c>
      <c r="B265" s="5" t="n">
        <v>216</v>
      </c>
      <c r="C265" s="7" t="inlineStr">
        <is>
          <t>Nº 6922</t>
        </is>
      </c>
      <c r="D265" s="8" t="inlineStr">
        <is>
          <t>COFENRIN</t>
        </is>
      </c>
      <c r="E265" s="7" t="inlineStr">
        <is>
          <t>1. Titular do Registro / Produtor</t>
        </is>
      </c>
      <c r="F265" s="7" t="inlineStr">
        <is>
          <t>Produto Formulado Comercial</t>
        </is>
      </c>
      <c r="G265" s="7" t="inlineStr">
        <is>
          <t>RAINBOW DEFENSIVOS AGRÍCOLAS LTDA.</t>
        </is>
      </c>
      <c r="H265" s="7" t="inlineStr">
        <is>
          <t>Matriz / Estabelecimento Principal</t>
        </is>
      </c>
      <c r="I265" s="7" t="inlineStr">
        <is>
          <t>10.486.463/0001-69</t>
        </is>
      </c>
      <c r="J265" s="7" t="inlineStr">
        <is>
          <t>SEAPA/RS nº 1928/09</t>
        </is>
      </c>
      <c r="K265" s="7" t="inlineStr">
        <is>
          <t>Av. Carlos Gomes, 258, Salas 1103-1106, Boa Vista, Porto Alegre/RS - CEP 90480-000</t>
        </is>
      </c>
      <c r="L265" s="7" t="inlineStr">
        <is>
          <t>Brasil</t>
        </is>
      </c>
      <c r="M265" s="7" t="inlineStr">
        <is>
          <t>0 - Nacional / 1 - Importação Direta</t>
        </is>
      </c>
    </row>
    <row r="266" ht="22" customHeight="1">
      <c r="A266" s="12" t="inlineStr">
        <is>
          <t>EMP-0262</t>
        </is>
      </c>
      <c r="B266" s="11" t="n">
        <v>217</v>
      </c>
      <c r="C266" s="13" t="inlineStr">
        <is>
          <t>SIPEAGRO (UF-XXXXX)</t>
        </is>
      </c>
      <c r="D266" s="14" t="inlineStr">
        <is>
          <t>AGCN ZINCO ULTRA</t>
        </is>
      </c>
      <c r="E266" s="13" t="inlineStr">
        <is>
          <t>1. Titular do Registro / Produtor</t>
        </is>
      </c>
      <c r="F266" s="13" t="inlineStr">
        <is>
          <t>Fertilizante Mineral / Organomineral</t>
        </is>
      </c>
      <c r="G266" s="13" t="inlineStr">
        <is>
          <t>Estabelecimento Produtor SIPEAGRO/MAPA</t>
        </is>
      </c>
      <c r="H266" s="13" t="inlineStr">
        <is>
          <t>Matriz / Estabelecimento Principal</t>
        </is>
      </c>
      <c r="I266" s="13" t="inlineStr">
        <is>
          <t>CNPJ Credenciado MAPA/SIPEAGRO</t>
        </is>
      </c>
      <c r="J266" s="13" t="inlineStr">
        <is>
          <t>Registro Estadual Vigente</t>
        </is>
      </c>
      <c r="K266" s="13" t="inlineStr">
        <is>
          <t>Estabelecimento Credenciado no Brasil</t>
        </is>
      </c>
      <c r="L266" s="13" t="inlineStr">
        <is>
          <t>Brasil</t>
        </is>
      </c>
      <c r="M266" s="13" t="inlineStr">
        <is>
          <t>0 - Nacional / 1 - Importação Direta</t>
        </is>
      </c>
    </row>
    <row r="267" ht="22" customHeight="1">
      <c r="A267" s="6" t="inlineStr">
        <is>
          <t>EMP-0263</t>
        </is>
      </c>
      <c r="B267" s="5" t="n">
        <v>218</v>
      </c>
      <c r="C267" s="7" t="inlineStr">
        <is>
          <t>ISENTO (ATO 104/2017)</t>
        </is>
      </c>
      <c r="D267" s="8" t="inlineStr">
        <is>
          <t>AGCN SAFE SPRAY</t>
        </is>
      </c>
      <c r="E267" s="7" t="inlineStr">
        <is>
          <t>1. Titular do Registro / Produtor</t>
        </is>
      </c>
      <c r="F267" s="7" t="inlineStr">
        <is>
          <t>Adjuvante / Espalhante Adesivo</t>
        </is>
      </c>
      <c r="G267" s="7" t="inlineStr">
        <is>
          <t>Dispensado de Registro (Ato SDA nº 104/2017)</t>
        </is>
      </c>
      <c r="H267" s="7" t="inlineStr">
        <is>
          <t>Matriz / Estabelecimento Principal</t>
        </is>
      </c>
      <c r="I267" s="7" t="inlineStr">
        <is>
          <t>CNPJ Credenciado MAPA/SIPEAGRO</t>
        </is>
      </c>
      <c r="J267" s="7" t="inlineStr">
        <is>
          <t>Registro Estadual Vigente</t>
        </is>
      </c>
      <c r="K267" s="7" t="inlineStr">
        <is>
          <t>Estabelecimento Credenciado no Brasil</t>
        </is>
      </c>
      <c r="L267" s="7" t="inlineStr">
        <is>
          <t>Brasil</t>
        </is>
      </c>
      <c r="M267" s="7" t="inlineStr">
        <is>
          <t>0 - Nacional / 1 - Importação Direta</t>
        </is>
      </c>
    </row>
    <row r="268" ht="22" customHeight="1">
      <c r="A268" s="12" t="inlineStr">
        <is>
          <t>EMP-0264</t>
        </is>
      </c>
      <c r="B268" s="11" t="n">
        <v>219</v>
      </c>
      <c r="C268" s="13" t="inlineStr">
        <is>
          <t>SIPEAGRO (UF-XXXXX)</t>
        </is>
      </c>
      <c r="D268" s="14" t="inlineStr">
        <is>
          <t>AGCN MN 10</t>
        </is>
      </c>
      <c r="E268" s="13" t="inlineStr">
        <is>
          <t>1. Titular do Registro / Produtor</t>
        </is>
      </c>
      <c r="F268" s="13" t="inlineStr">
        <is>
          <t>Fertilizante Mineral / Organomineral</t>
        </is>
      </c>
      <c r="G268" s="13" t="inlineStr">
        <is>
          <t>Estabelecimento Produtor SIPEAGRO/MAPA</t>
        </is>
      </c>
      <c r="H268" s="13" t="inlineStr">
        <is>
          <t>Matriz / Estabelecimento Principal</t>
        </is>
      </c>
      <c r="I268" s="13" t="inlineStr">
        <is>
          <t>CNPJ Credenciado MAPA/SIPEAGRO</t>
        </is>
      </c>
      <c r="J268" s="13" t="inlineStr">
        <is>
          <t>Registro Estadual Vigente</t>
        </is>
      </c>
      <c r="K268" s="13" t="inlineStr">
        <is>
          <t>Estabelecimento Credenciado no Brasil</t>
        </is>
      </c>
      <c r="L268" s="13" t="inlineStr">
        <is>
          <t>Brasil</t>
        </is>
      </c>
      <c r="M268" s="13" t="inlineStr">
        <is>
          <t>0 - Nacional / 1 - Importação Direta</t>
        </is>
      </c>
    </row>
    <row r="269" ht="22" customHeight="1">
      <c r="A269" s="6" t="inlineStr">
        <is>
          <t>EMP-0265</t>
        </is>
      </c>
      <c r="B269" s="5" t="n">
        <v>220</v>
      </c>
      <c r="C269" s="7" t="inlineStr">
        <is>
          <t>SIPEAGRO (UF-XXXXX)</t>
        </is>
      </c>
      <c r="D269" s="8" t="inlineStr">
        <is>
          <t>AGCN MAGNESIO</t>
        </is>
      </c>
      <c r="E269" s="7" t="inlineStr">
        <is>
          <t>1. Titular do Registro / Produtor</t>
        </is>
      </c>
      <c r="F269" s="7" t="inlineStr">
        <is>
          <t>Fertilizante Mineral / Organomineral</t>
        </is>
      </c>
      <c r="G269" s="7" t="inlineStr">
        <is>
          <t>Estabelecimento Produtor SIPEAGRO/MAPA</t>
        </is>
      </c>
      <c r="H269" s="7" t="inlineStr">
        <is>
          <t>Matriz / Estabelecimento Principal</t>
        </is>
      </c>
      <c r="I269" s="7" t="inlineStr">
        <is>
          <t>CNPJ Credenciado MAPA/SIPEAGRO</t>
        </is>
      </c>
      <c r="J269" s="7" t="inlineStr">
        <is>
          <t>Registro Estadual Vigente</t>
        </is>
      </c>
      <c r="K269" s="7" t="inlineStr">
        <is>
          <t>Estabelecimento Credenciado no Brasil</t>
        </is>
      </c>
      <c r="L269" s="7" t="inlineStr">
        <is>
          <t>Brasil</t>
        </is>
      </c>
      <c r="M269" s="7" t="inlineStr">
        <is>
          <t>0 - Nacional / 1 - Importação Direta</t>
        </is>
      </c>
    </row>
    <row r="270" ht="22" customHeight="1">
      <c r="A270" s="12" t="inlineStr">
        <is>
          <t>EMP-0266</t>
        </is>
      </c>
      <c r="B270" s="11" t="n">
        <v>221</v>
      </c>
      <c r="C270" s="13" t="inlineStr">
        <is>
          <t>SIPEAGRO (UF-XXXXX)</t>
        </is>
      </c>
      <c r="D270" s="14" t="inlineStr">
        <is>
          <t>AGCN FULL ULTRA</t>
        </is>
      </c>
      <c r="E270" s="13" t="inlineStr">
        <is>
          <t>1. Titular do Registro / Produtor</t>
        </is>
      </c>
      <c r="F270" s="13" t="inlineStr">
        <is>
          <t>Fertilizante Mineral / Organomineral</t>
        </is>
      </c>
      <c r="G270" s="13" t="inlineStr">
        <is>
          <t>Estabelecimento Produtor SIPEAGRO/MAPA</t>
        </is>
      </c>
      <c r="H270" s="13" t="inlineStr">
        <is>
          <t>Matriz / Estabelecimento Principal</t>
        </is>
      </c>
      <c r="I270" s="13" t="inlineStr">
        <is>
          <t>CNPJ Credenciado MAPA/SIPEAGRO</t>
        </is>
      </c>
      <c r="J270" s="13" t="inlineStr">
        <is>
          <t>Registro Estadual Vigente</t>
        </is>
      </c>
      <c r="K270" s="13" t="inlineStr">
        <is>
          <t>Estabelecimento Credenciado no Brasil</t>
        </is>
      </c>
      <c r="L270" s="13" t="inlineStr">
        <is>
          <t>Brasil</t>
        </is>
      </c>
      <c r="M270" s="13" t="inlineStr">
        <is>
          <t>0 - Nacional / 1 - Importação Direta</t>
        </is>
      </c>
    </row>
    <row r="271" ht="22" customHeight="1">
      <c r="A271" s="6" t="inlineStr">
        <is>
          <t>EMP-0267</t>
        </is>
      </c>
      <c r="B271" s="5" t="n">
        <v>222</v>
      </c>
      <c r="C271" s="7" t="inlineStr">
        <is>
          <t>SIPEAGRO (UF-XXXXX)</t>
        </is>
      </c>
      <c r="D271" s="8" t="inlineStr">
        <is>
          <t>AGCN FULL</t>
        </is>
      </c>
      <c r="E271" s="7" t="inlineStr">
        <is>
          <t>1. Titular do Registro / Produtor</t>
        </is>
      </c>
      <c r="F271" s="7" t="inlineStr">
        <is>
          <t>Fertilizante Mineral / Organomineral</t>
        </is>
      </c>
      <c r="G271" s="7" t="inlineStr">
        <is>
          <t>Estabelecimento Produtor SIPEAGRO/MAPA</t>
        </is>
      </c>
      <c r="H271" s="7" t="inlineStr">
        <is>
          <t>Matriz / Estabelecimento Principal</t>
        </is>
      </c>
      <c r="I271" s="7" t="inlineStr">
        <is>
          <t>CNPJ Credenciado MAPA/SIPEAGRO</t>
        </is>
      </c>
      <c r="J271" s="7" t="inlineStr">
        <is>
          <t>Registro Estadual Vigente</t>
        </is>
      </c>
      <c r="K271" s="7" t="inlineStr">
        <is>
          <t>Estabelecimento Credenciado no Brasil</t>
        </is>
      </c>
      <c r="L271" s="7" t="inlineStr">
        <is>
          <t>Brasil</t>
        </is>
      </c>
      <c r="M271" s="7" t="inlineStr">
        <is>
          <t>0 - Nacional / 1 - Importação Direta</t>
        </is>
      </c>
    </row>
    <row r="272" ht="22" customHeight="1">
      <c r="A272" s="12" t="inlineStr">
        <is>
          <t>EMP-0268</t>
        </is>
      </c>
      <c r="B272" s="11" t="n">
        <v>223</v>
      </c>
      <c r="C272" s="13" t="inlineStr">
        <is>
          <t>ISENTO (ATO 104/2017)</t>
        </is>
      </c>
      <c r="D272" s="14" t="inlineStr">
        <is>
          <t>AGRICOIL CITRUS</t>
        </is>
      </c>
      <c r="E272" s="13" t="inlineStr">
        <is>
          <t>1. Titular do Registro / Produtor</t>
        </is>
      </c>
      <c r="F272" s="13" t="inlineStr">
        <is>
          <t>Adjuvante / Espalhante Adesivo</t>
        </is>
      </c>
      <c r="G272" s="13" t="inlineStr">
        <is>
          <t>Dispensado de Registro (Ato SDA nº 104/2017)</t>
        </is>
      </c>
      <c r="H272" s="13" t="inlineStr">
        <is>
          <t>Matriz / Estabelecimento Principal</t>
        </is>
      </c>
      <c r="I272" s="13" t="inlineStr">
        <is>
          <t>CNPJ Credenciado MAPA/SIPEAGRO</t>
        </is>
      </c>
      <c r="J272" s="13" t="inlineStr">
        <is>
          <t>Registro Estadual Vigente</t>
        </is>
      </c>
      <c r="K272" s="13" t="inlineStr">
        <is>
          <t>Estabelecimento Credenciado no Brasil</t>
        </is>
      </c>
      <c r="L272" s="13" t="inlineStr">
        <is>
          <t>Brasil</t>
        </is>
      </c>
      <c r="M272" s="13" t="inlineStr">
        <is>
          <t>0 - Nacional / 1 - Importação Direta</t>
        </is>
      </c>
    </row>
    <row r="273" ht="22" customHeight="1">
      <c r="A273" s="6" t="inlineStr">
        <is>
          <t>EMP-0269</t>
        </is>
      </c>
      <c r="B273" s="5" t="n">
        <v>224</v>
      </c>
      <c r="C273" s="7" t="inlineStr">
        <is>
          <t>ISENTO (ATO 104/2017)</t>
        </is>
      </c>
      <c r="D273" s="8" t="inlineStr">
        <is>
          <t>AGRICOIL CITRUS PLUS</t>
        </is>
      </c>
      <c r="E273" s="7" t="inlineStr">
        <is>
          <t>1. Titular do Registro / Produtor</t>
        </is>
      </c>
      <c r="F273" s="7" t="inlineStr">
        <is>
          <t>Adjuvante / Espalhante Adesivo</t>
        </is>
      </c>
      <c r="G273" s="7" t="inlineStr">
        <is>
          <t>Dispensado de Registro (Ato SDA nº 104/2017)</t>
        </is>
      </c>
      <c r="H273" s="7" t="inlineStr">
        <is>
          <t>Matriz / Estabelecimento Principal</t>
        </is>
      </c>
      <c r="I273" s="7" t="inlineStr">
        <is>
          <t>CNPJ Credenciado MAPA/SIPEAGRO</t>
        </is>
      </c>
      <c r="J273" s="7" t="inlineStr">
        <is>
          <t>Registro Estadual Vigente</t>
        </is>
      </c>
      <c r="K273" s="7" t="inlineStr">
        <is>
          <t>Estabelecimento Credenciado no Brasil</t>
        </is>
      </c>
      <c r="L273" s="7" t="inlineStr">
        <is>
          <t>Brasil</t>
        </is>
      </c>
      <c r="M273" s="7" t="inlineStr">
        <is>
          <t>0 - Nacional / 1 - Importação Direta</t>
        </is>
      </c>
    </row>
    <row r="274" ht="22" customHeight="1">
      <c r="A274" s="12" t="inlineStr">
        <is>
          <t>EMP-0270</t>
        </is>
      </c>
      <c r="B274" s="11" t="n">
        <v>225</v>
      </c>
      <c r="C274" s="13" t="inlineStr">
        <is>
          <t>ISENTO (ATO 104/2017)</t>
        </is>
      </c>
      <c r="D274" s="14" t="inlineStr">
        <is>
          <t>AGCN SAFE AIR</t>
        </is>
      </c>
      <c r="E274" s="13" t="inlineStr">
        <is>
          <t>1. Titular do Registro / Produtor</t>
        </is>
      </c>
      <c r="F274" s="13" t="inlineStr">
        <is>
          <t>Adjuvante / Espalhante Adesivo</t>
        </is>
      </c>
      <c r="G274" s="13" t="inlineStr">
        <is>
          <t>Dispensado de Registro (Ato SDA nº 104/2017)</t>
        </is>
      </c>
      <c r="H274" s="13" t="inlineStr">
        <is>
          <t>Matriz / Estabelecimento Principal</t>
        </is>
      </c>
      <c r="I274" s="13" t="inlineStr">
        <is>
          <t>CNPJ Credenciado MAPA/SIPEAGRO</t>
        </is>
      </c>
      <c r="J274" s="13" t="inlineStr">
        <is>
          <t>Registro Estadual Vigente</t>
        </is>
      </c>
      <c r="K274" s="13" t="inlineStr">
        <is>
          <t>Estabelecimento Credenciado no Brasil</t>
        </is>
      </c>
      <c r="L274" s="13" t="inlineStr">
        <is>
          <t>Brasil</t>
        </is>
      </c>
      <c r="M274" s="13" t="inlineStr">
        <is>
          <t>0 - Nacional / 1 - Importação Direta</t>
        </is>
      </c>
    </row>
    <row r="275" ht="22" customHeight="1">
      <c r="A275" s="6" t="inlineStr">
        <is>
          <t>EMP-0271</t>
        </is>
      </c>
      <c r="B275" s="5" t="n">
        <v>226</v>
      </c>
      <c r="C275" s="7" t="inlineStr">
        <is>
          <t>SIPEAGRO (UF-XXXXX)</t>
        </is>
      </c>
      <c r="D275" s="8" t="inlineStr">
        <is>
          <t>AGCN MG 16</t>
        </is>
      </c>
      <c r="E275" s="7" t="inlineStr">
        <is>
          <t>1. Titular do Registro / Produtor</t>
        </is>
      </c>
      <c r="F275" s="7" t="inlineStr">
        <is>
          <t>Fertilizante Mineral / Organomineral</t>
        </is>
      </c>
      <c r="G275" s="7" t="inlineStr">
        <is>
          <t>Estabelecimento Produtor SIPEAGRO/MAPA</t>
        </is>
      </c>
      <c r="H275" s="7" t="inlineStr">
        <is>
          <t>Matriz / Estabelecimento Principal</t>
        </is>
      </c>
      <c r="I275" s="7" t="inlineStr">
        <is>
          <t>CNPJ Credenciado MAPA/SIPEAGRO</t>
        </is>
      </c>
      <c r="J275" s="7" t="inlineStr">
        <is>
          <t>Registro Estadual Vigente</t>
        </is>
      </c>
      <c r="K275" s="7" t="inlineStr">
        <is>
          <t>Estabelecimento Credenciado no Brasil</t>
        </is>
      </c>
      <c r="L275" s="7" t="inlineStr">
        <is>
          <t>Brasil</t>
        </is>
      </c>
      <c r="M275" s="7" t="inlineStr">
        <is>
          <t>0 - Nacional / 1 - Importação Direta</t>
        </is>
      </c>
    </row>
    <row r="276" ht="22" customHeight="1">
      <c r="A276" s="12" t="inlineStr">
        <is>
          <t>EMP-0272</t>
        </is>
      </c>
      <c r="B276" s="11" t="n">
        <v>227</v>
      </c>
      <c r="C276" s="13" t="inlineStr">
        <is>
          <t>SIPEAGRO (UF-XXXXX)</t>
        </is>
      </c>
      <c r="D276" s="14" t="inlineStr">
        <is>
          <t>BIOLOGIC GRAM 5X1,8L</t>
        </is>
      </c>
      <c r="E276" s="13" t="inlineStr">
        <is>
          <t>1. Titular do Registro / Produtor</t>
        </is>
      </c>
      <c r="F276" s="13" t="inlineStr">
        <is>
          <t>Inoculante / Biológico</t>
        </is>
      </c>
      <c r="G276" s="13" t="inlineStr">
        <is>
          <t>Estabelecimento Produtor SIPEAGRO/MAPA</t>
        </is>
      </c>
      <c r="H276" s="13" t="inlineStr">
        <is>
          <t>Matriz / Estabelecimento Principal</t>
        </is>
      </c>
      <c r="I276" s="13" t="inlineStr">
        <is>
          <t>CNPJ Credenciado MAPA/SIPEAGRO</t>
        </is>
      </c>
      <c r="J276" s="13" t="inlineStr">
        <is>
          <t>Registro Estadual Vigente</t>
        </is>
      </c>
      <c r="K276" s="13" t="inlineStr">
        <is>
          <t>Estabelecimento Credenciado no Brasil</t>
        </is>
      </c>
      <c r="L276" s="13" t="inlineStr">
        <is>
          <t>Brasil</t>
        </is>
      </c>
      <c r="M276" s="13" t="inlineStr">
        <is>
          <t>0 - Nacional / 1 - Importação Direta</t>
        </is>
      </c>
    </row>
    <row r="277" ht="22" customHeight="1">
      <c r="A277" s="6" t="inlineStr">
        <is>
          <t>EMP-0273</t>
        </is>
      </c>
      <c r="B277" s="5" t="n">
        <v>228</v>
      </c>
      <c r="C277" s="7" t="inlineStr">
        <is>
          <t>Nº 34018</t>
        </is>
      </c>
      <c r="D277" s="8" t="inlineStr">
        <is>
          <t>BIOLOGIC GUARD</t>
        </is>
      </c>
      <c r="E277" s="7" t="inlineStr">
        <is>
          <t>1. Titular do Registro / Produtor</t>
        </is>
      </c>
      <c r="F277" s="7" t="inlineStr">
        <is>
          <t>Produto Formulado Comercial</t>
        </is>
      </c>
      <c r="G277" s="7" t="inlineStr">
        <is>
          <t>BALLAGRO AGRO TECNOLOGIA LTDA.</t>
        </is>
      </c>
      <c r="H277" s="7" t="inlineStr">
        <is>
          <t>Matriz / Estabelecimento Principal</t>
        </is>
      </c>
      <c r="I277" s="7" t="inlineStr">
        <is>
          <t>CNPJ Credenciado MAPA/SIPEAGRO</t>
        </is>
      </c>
      <c r="J277" s="7" t="inlineStr">
        <is>
          <t>Registro Estadual Vigente</t>
        </is>
      </c>
      <c r="K277" s="7" t="inlineStr">
        <is>
          <t>Estabelecimento Credenciado no Brasil</t>
        </is>
      </c>
      <c r="L277" s="7" t="inlineStr">
        <is>
          <t>Brasil</t>
        </is>
      </c>
      <c r="M277" s="7" t="inlineStr">
        <is>
          <t>0 - Nacional / 1 - Importação Direta</t>
        </is>
      </c>
    </row>
    <row r="278" ht="22" customHeight="1">
      <c r="A278" s="12" t="inlineStr">
        <is>
          <t>EMP-0274</t>
        </is>
      </c>
      <c r="B278" s="11" t="n">
        <v>229</v>
      </c>
      <c r="C278" s="13" t="inlineStr">
        <is>
          <t>SIPEAGRO (UF-XXXXX)</t>
        </is>
      </c>
      <c r="D278" s="14" t="inlineStr">
        <is>
          <t>PREBIOTIC GL</t>
        </is>
      </c>
      <c r="E278" s="13" t="inlineStr">
        <is>
          <t>1. Titular do Registro / Produtor</t>
        </is>
      </c>
      <c r="F278" s="13" t="inlineStr">
        <is>
          <t>Fertilizante Mineral / Organomineral</t>
        </is>
      </c>
      <c r="G278" s="13" t="inlineStr">
        <is>
          <t>Estabelecimento Produtor SIPEAGRO/MAPA</t>
        </is>
      </c>
      <c r="H278" s="13" t="inlineStr">
        <is>
          <t>Matriz / Estabelecimento Principal</t>
        </is>
      </c>
      <c r="I278" s="13" t="inlineStr">
        <is>
          <t>CNPJ Credenciado MAPA/SIPEAGRO</t>
        </is>
      </c>
      <c r="J278" s="13" t="inlineStr">
        <is>
          <t>Registro Estadual Vigente</t>
        </is>
      </c>
      <c r="K278" s="13" t="inlineStr">
        <is>
          <t>Estabelecimento Credenciado no Brasil</t>
        </is>
      </c>
      <c r="L278" s="13" t="inlineStr">
        <is>
          <t>Brasil</t>
        </is>
      </c>
      <c r="M278" s="13" t="inlineStr">
        <is>
          <t>0 - Nacional / 1 - Importação Direta</t>
        </is>
      </c>
    </row>
    <row r="279" ht="22" customHeight="1">
      <c r="A279" s="6" t="inlineStr">
        <is>
          <t>EMP-0275</t>
        </is>
      </c>
      <c r="B279" s="5" t="n">
        <v>230</v>
      </c>
      <c r="C279" s="7" t="inlineStr">
        <is>
          <t>Nº 9420</t>
        </is>
      </c>
      <c r="D279" s="8" t="inlineStr">
        <is>
          <t>OFEK-TURBO</t>
        </is>
      </c>
      <c r="E279" s="7" t="inlineStr">
        <is>
          <t>1. Titular do Registro</t>
        </is>
      </c>
      <c r="F279" s="7" t="inlineStr">
        <is>
          <t>Produto Formulado Comercial</t>
        </is>
      </c>
      <c r="G279" s="7" t="inlineStr">
        <is>
          <t>Adama</t>
        </is>
      </c>
      <c r="H279" s="7" t="inlineStr">
        <is>
          <t>Estabelecimento Credenciado</t>
        </is>
      </c>
      <c r="I279" s="7" t="inlineStr">
        <is>
          <t>CNPJ Credenciado MAPA</t>
        </is>
      </c>
      <c r="J279" s="7" t="inlineStr">
        <is>
          <t>Registro Estadual Vigente</t>
        </is>
      </c>
      <c r="K279" s="7" t="inlineStr">
        <is>
          <t>Unidade Operacional Brasil</t>
        </is>
      </c>
      <c r="L279" s="7" t="inlineStr">
        <is>
          <t>Brasil</t>
        </is>
      </c>
      <c r="M279" s="7" t="inlineStr">
        <is>
          <t>0/1/2 - Conforme Origem do Lote</t>
        </is>
      </c>
    </row>
    <row r="280" ht="22" customHeight="1">
      <c r="A280" s="12" t="inlineStr">
        <is>
          <t>EMP-0276</t>
        </is>
      </c>
      <c r="B280" s="11" t="n">
        <v>230</v>
      </c>
      <c r="C280" s="13" t="inlineStr">
        <is>
          <t>Nº 9420</t>
        </is>
      </c>
      <c r="D280" s="14" t="inlineStr">
        <is>
          <t>OFEK-TURBO</t>
        </is>
      </c>
      <c r="E280" s="13" t="inlineStr">
        <is>
          <t>3. Formulador / Co-Distribuidor Autorizado</t>
        </is>
      </c>
      <c r="F280" s="13" t="inlineStr">
        <is>
          <t>Produto Formulado Comercial</t>
        </is>
      </c>
      <c r="G280" s="13" t="inlineStr">
        <is>
          <t>Rainbow</t>
        </is>
      </c>
      <c r="H280" s="13" t="inlineStr">
        <is>
          <t>Estabelecimento Credenciado</t>
        </is>
      </c>
      <c r="I280" s="13" t="inlineStr">
        <is>
          <t>CNPJ Credenciado MAPA</t>
        </is>
      </c>
      <c r="J280" s="13" t="inlineStr">
        <is>
          <t>Registro Estadual Vigente</t>
        </is>
      </c>
      <c r="K280" s="13" t="inlineStr">
        <is>
          <t>Unidade Operacional Brasil</t>
        </is>
      </c>
      <c r="L280" s="13" t="inlineStr">
        <is>
          <t>Brasil</t>
        </is>
      </c>
      <c r="M280" s="13" t="inlineStr">
        <is>
          <t>0/1/2 - Conforme Origem do Lote</t>
        </is>
      </c>
    </row>
    <row r="281" ht="22" customHeight="1">
      <c r="A281" s="6" t="inlineStr">
        <is>
          <t>EMP-0277</t>
        </is>
      </c>
      <c r="B281" s="5" t="n">
        <v>231</v>
      </c>
      <c r="C281" s="7" t="inlineStr">
        <is>
          <t>VINCULAR MARCA</t>
        </is>
      </c>
      <c r="D281" s="8" t="inlineStr">
        <is>
          <t>ETIPROLE</t>
        </is>
      </c>
      <c r="E281" s="7" t="inlineStr">
        <is>
          <t>1. Titular do Registro / Produtor</t>
        </is>
      </c>
      <c r="F281" s="7" t="inlineStr">
        <is>
          <t>Produto Técnico Industrial</t>
        </is>
      </c>
      <c r="G281" s="7" t="inlineStr">
        <is>
          <t>BAYER S.A.</t>
        </is>
      </c>
      <c r="H281" s="7" t="inlineStr">
        <is>
          <t>Matriz / Estabelecimento Principal</t>
        </is>
      </c>
      <c r="I281" s="7" t="inlineStr">
        <is>
          <t>CNPJ Credenciado MAPA/SIPEAGRO</t>
        </is>
      </c>
      <c r="J281" s="7" t="inlineStr">
        <is>
          <t>Registro Estadual Vigente</t>
        </is>
      </c>
      <c r="K281" s="7" t="inlineStr">
        <is>
          <t>Estabelecimento Credenciado no Brasil</t>
        </is>
      </c>
      <c r="L281" s="7" t="inlineStr">
        <is>
          <t>Brasil</t>
        </is>
      </c>
      <c r="M281" s="7" t="inlineStr">
        <is>
          <t>0 - Nacional / 1 - Importação Direta</t>
        </is>
      </c>
    </row>
    <row r="282" ht="22" customHeight="1">
      <c r="A282" s="12" t="inlineStr">
        <is>
          <t>EMP-0278</t>
        </is>
      </c>
      <c r="B282" s="11" t="n">
        <v>232</v>
      </c>
      <c r="C282" s="13" t="inlineStr">
        <is>
          <t>Nº 8215</t>
        </is>
      </c>
      <c r="D282" s="14" t="inlineStr">
        <is>
          <t>TEBUCONAZOLE</t>
        </is>
      </c>
      <c r="E282" s="13" t="inlineStr">
        <is>
          <t>1. Titular do Registro / Produtor</t>
        </is>
      </c>
      <c r="F282" s="13" t="inlineStr">
        <is>
          <t>Produto Técnico Industrial</t>
        </is>
      </c>
      <c r="G282" s="13" t="inlineStr">
        <is>
          <t>SIPCAM NICHINO BRASIL S.A.</t>
        </is>
      </c>
      <c r="H282" s="13" t="inlineStr">
        <is>
          <t>Matriz / Estabelecimento Principal</t>
        </is>
      </c>
      <c r="I282" s="13" t="inlineStr">
        <is>
          <t>CNPJ Credenciado MAPA/SIPEAGRO</t>
        </is>
      </c>
      <c r="J282" s="13" t="inlineStr">
        <is>
          <t>Registro Estadual Vigente</t>
        </is>
      </c>
      <c r="K282" s="13" t="inlineStr">
        <is>
          <t>Estabelecimento Credenciado no Brasil</t>
        </is>
      </c>
      <c r="L282" s="13" t="inlineStr">
        <is>
          <t>Brasil</t>
        </is>
      </c>
      <c r="M282" s="13" t="inlineStr">
        <is>
          <t>0 - Nacional / 1 - Importação Direta</t>
        </is>
      </c>
    </row>
    <row r="283" ht="22" customHeight="1">
      <c r="A283" s="6" t="inlineStr">
        <is>
          <t>EMP-0279</t>
        </is>
      </c>
      <c r="B283" s="5" t="n">
        <v>233</v>
      </c>
      <c r="C283" s="7" t="inlineStr">
        <is>
          <t>Nº 14421</t>
        </is>
      </c>
      <c r="D283" s="8" t="inlineStr">
        <is>
          <t>FIPRONIL 250 (PRINCIPIOA ATIVO)</t>
        </is>
      </c>
      <c r="E283" s="7" t="inlineStr">
        <is>
          <t>1. Titular do Registro / Produtor</t>
        </is>
      </c>
      <c r="F283" s="7" t="inlineStr">
        <is>
          <t>Produto Técnico Industrial</t>
        </is>
      </c>
      <c r="G283" s="7" t="inlineStr">
        <is>
          <t>AGRICONNECTION IMPORTADORA E EXPORTADORA DE INSUMOS AGRÍCOLAS LTDA.</t>
        </is>
      </c>
      <c r="H283" s="7" t="inlineStr">
        <is>
          <t>Matriz / Estabelecimento Principal</t>
        </is>
      </c>
      <c r="I283" s="7" t="inlineStr">
        <is>
          <t>39.496.730/0001-60</t>
        </is>
      </c>
      <c r="J283" s="7" t="inlineStr">
        <is>
          <t>INDEA/MT nº 27326 / CDA/SP nº 4354</t>
        </is>
      </c>
      <c r="K283" s="7" t="inlineStr">
        <is>
          <t>Av. Manoel Genildo de Araujo, 188, Sala 02, Campo Verde/MT - CEP 78840-085</t>
        </is>
      </c>
      <c r="L283" s="7" t="inlineStr">
        <is>
          <t>Brasil</t>
        </is>
      </c>
      <c r="M283" s="7" t="inlineStr">
        <is>
          <t>0 - Nacional / 1 - Importação Direta</t>
        </is>
      </c>
    </row>
    <row r="284" ht="22" customHeight="1">
      <c r="A284" s="12" t="inlineStr">
        <is>
          <t>EMP-0280</t>
        </is>
      </c>
      <c r="B284" s="11" t="n">
        <v>233</v>
      </c>
      <c r="C284" s="13" t="inlineStr">
        <is>
          <t>Nº 14421</t>
        </is>
      </c>
      <c r="D284" s="14" t="inlineStr">
        <is>
          <t>FIPRONIL 250 (PRINCIPIOA ATIVO)</t>
        </is>
      </c>
      <c r="E284" s="13" t="inlineStr">
        <is>
          <t>2. Fabricante do Produto Técnico</t>
        </is>
      </c>
      <c r="F284" s="13" t="inlineStr">
        <is>
          <t>Fipronil Técnico (Reg. 31418 / TC01320)</t>
        </is>
      </c>
      <c r="G284" s="13" t="inlineStr">
        <is>
          <t>HAILIR PESTICIDES AND CHEMICALS GROUP CO., LTD.</t>
        </is>
      </c>
      <c r="H284" s="13" t="inlineStr">
        <is>
          <t>Qingdao Plant</t>
        </is>
      </c>
      <c r="I284" s="13" t="inlineStr">
        <is>
          <t>EXT-CHN-HAILIR</t>
        </is>
      </c>
      <c r="J284" s="13" t="inlineStr">
        <is>
          <t>Isento Exterior</t>
        </is>
      </c>
      <c r="K284" s="13" t="inlineStr">
        <is>
          <t>Chengyang District, Qingdao, Shandong - China</t>
        </is>
      </c>
      <c r="L284" s="13" t="inlineStr">
        <is>
          <t>China</t>
        </is>
      </c>
      <c r="M284" s="13" t="inlineStr">
        <is>
          <t>1/2 - Importado</t>
        </is>
      </c>
    </row>
    <row r="285" ht="22" customHeight="1">
      <c r="A285" s="6" t="inlineStr">
        <is>
          <t>EMP-0281</t>
        </is>
      </c>
      <c r="B285" s="5" t="n">
        <v>233</v>
      </c>
      <c r="C285" s="7" t="inlineStr">
        <is>
          <t>Nº 14421</t>
        </is>
      </c>
      <c r="D285" s="8" t="inlineStr">
        <is>
          <t>FIPRONIL 250 (PRINCIPIOA ATIVO)</t>
        </is>
      </c>
      <c r="E285" s="7" t="inlineStr">
        <is>
          <t>3. Formulador</t>
        </is>
      </c>
      <c r="F285" s="7" t="inlineStr">
        <is>
          <t>Produto Formulado Comercial</t>
        </is>
      </c>
      <c r="G285" s="7" t="inlineStr">
        <is>
          <t>NINGBO SUNJOY AGROSCIENCE CO., LTD.</t>
        </is>
      </c>
      <c r="H285" s="7" t="inlineStr">
        <is>
          <t>Ningbo Plant</t>
        </is>
      </c>
      <c r="I285" s="7" t="inlineStr">
        <is>
          <t>EXT-CHN-SUNJOY</t>
        </is>
      </c>
      <c r="J285" s="7" t="inlineStr">
        <is>
          <t>Isento Exterior</t>
        </is>
      </c>
      <c r="K285" s="7" t="inlineStr">
        <is>
          <t>Zhenhai District, Ningbo, Zhejiang - China</t>
        </is>
      </c>
      <c r="L285" s="7" t="inlineStr">
        <is>
          <t>China</t>
        </is>
      </c>
      <c r="M285" s="7" t="inlineStr">
        <is>
          <t>1/2 - Importado</t>
        </is>
      </c>
    </row>
    <row r="286" ht="22" customHeight="1">
      <c r="A286" s="12" t="inlineStr">
        <is>
          <t>EMP-0282</t>
        </is>
      </c>
      <c r="B286" s="11" t="n">
        <v>233</v>
      </c>
      <c r="C286" s="13" t="inlineStr">
        <is>
          <t>Nº 14421</t>
        </is>
      </c>
      <c r="D286" s="14" t="inlineStr">
        <is>
          <t>FIPRONIL 250 (PRINCIPIOA ATIVO)</t>
        </is>
      </c>
      <c r="E286" s="13" t="inlineStr">
        <is>
          <t>3. Formulador</t>
        </is>
      </c>
      <c r="F286" s="13" t="inlineStr">
        <is>
          <t>Produto Formulado Comercial</t>
        </is>
      </c>
      <c r="G286" s="13" t="inlineStr">
        <is>
          <t>CHD'S AGROCHEMICALS SAIC</t>
        </is>
      </c>
      <c r="H286" s="13" t="inlineStr">
        <is>
          <t>Hernandarias Plant</t>
        </is>
      </c>
      <c r="I286" s="13" t="inlineStr">
        <is>
          <t>EXT-PRY-CHDS</t>
        </is>
      </c>
      <c r="J286" s="13" t="inlineStr">
        <is>
          <t>Isento Exterior</t>
        </is>
      </c>
      <c r="K286" s="13" t="inlineStr">
        <is>
          <t>Supercarretera km 32,5, Hernandarias - Paraguai</t>
        </is>
      </c>
      <c r="L286" s="13" t="inlineStr">
        <is>
          <t>Paraguai</t>
        </is>
      </c>
      <c r="M286" s="13" t="inlineStr">
        <is>
          <t>1/2 - Mercosul</t>
        </is>
      </c>
    </row>
    <row r="287" ht="22" customHeight="1">
      <c r="A287" s="6" t="inlineStr">
        <is>
          <t>EMP-0283</t>
        </is>
      </c>
      <c r="B287" s="5" t="n">
        <v>233</v>
      </c>
      <c r="C287" s="7" t="inlineStr">
        <is>
          <t>Nº 14421</t>
        </is>
      </c>
      <c r="D287" s="8" t="inlineStr">
        <is>
          <t>FIPRONIL 250 (PRINCIPIOA ATIVO)</t>
        </is>
      </c>
      <c r="E287" s="7" t="inlineStr">
        <is>
          <t>5. Manipulador</t>
        </is>
      </c>
      <c r="F287" s="7" t="inlineStr">
        <is>
          <t>Produto Formulado Comercial</t>
        </is>
      </c>
      <c r="G287" s="7" t="inlineStr">
        <is>
          <t>IHARABRÁS S.A. INDÚSTRIAS QUÍMICAS</t>
        </is>
      </c>
      <c r="H287" s="7" t="inlineStr">
        <is>
          <t>Planta Sorocaba/SP</t>
        </is>
      </c>
      <c r="I287" s="7" t="inlineStr">
        <is>
          <t>61.142.550/0001-30</t>
        </is>
      </c>
      <c r="J287" s="7" t="inlineStr">
        <is>
          <t>CDA/SP nº 8</t>
        </is>
      </c>
      <c r="K287" s="7" t="inlineStr">
        <is>
          <t>Av. Liberdade, 1701, Sorocaba/SP</t>
        </is>
      </c>
      <c r="L287" s="7" t="inlineStr">
        <is>
          <t>Brasil</t>
        </is>
      </c>
      <c r="M287" s="7" t="inlineStr">
        <is>
          <t>0/3/5 - Nacional</t>
        </is>
      </c>
    </row>
    <row r="288" ht="22" customHeight="1">
      <c r="A288" s="12" t="inlineStr">
        <is>
          <t>EMP-0284</t>
        </is>
      </c>
      <c r="B288" s="11" t="n">
        <v>233</v>
      </c>
      <c r="C288" s="13" t="inlineStr">
        <is>
          <t>Nº 14421</t>
        </is>
      </c>
      <c r="D288" s="14" t="inlineStr">
        <is>
          <t>FIPRONIL 250 (PRINCIPIOA ATIVO)</t>
        </is>
      </c>
      <c r="E288" s="13" t="inlineStr">
        <is>
          <t>5. Manipulador</t>
        </is>
      </c>
      <c r="F288" s="13" t="inlineStr">
        <is>
          <t>Produto Formulado Comercial</t>
        </is>
      </c>
      <c r="G288" s="13" t="inlineStr">
        <is>
          <t>TAGMA BRASIL IND. E COM. DE PROD. QUÍMICOS LTDA.</t>
        </is>
      </c>
      <c r="H288" s="13" t="inlineStr">
        <is>
          <t>Planta Paulínia/SP</t>
        </is>
      </c>
      <c r="I288" s="13" t="inlineStr">
        <is>
          <t>03.855.423/0001-81</t>
        </is>
      </c>
      <c r="J288" s="13" t="inlineStr">
        <is>
          <t>CDA/SP nº 477</t>
        </is>
      </c>
      <c r="K288" s="13" t="inlineStr">
        <is>
          <t>Av. Roberto Simonsen, 1459, Paulínia/SP</t>
        </is>
      </c>
      <c r="L288" s="13" t="inlineStr">
        <is>
          <t>Brasil</t>
        </is>
      </c>
      <c r="M288" s="13" t="inlineStr">
        <is>
          <t>0/3/5 - Nacional</t>
        </is>
      </c>
    </row>
    <row r="289" ht="22" customHeight="1">
      <c r="A289" s="6" t="inlineStr">
        <is>
          <t>EMP-0285</t>
        </is>
      </c>
      <c r="B289" s="5" t="n">
        <v>234</v>
      </c>
      <c r="C289" s="7" t="inlineStr">
        <is>
          <t>Nº 4798</t>
        </is>
      </c>
      <c r="D289" s="8" t="inlineStr">
        <is>
          <t>VOLCANE 790</t>
        </is>
      </c>
      <c r="E289" s="7" t="inlineStr">
        <is>
          <t>1. Titular do Registro</t>
        </is>
      </c>
      <c r="F289" s="7" t="inlineStr">
        <is>
          <t>Produto Formulado Comercial</t>
        </is>
      </c>
      <c r="G289" s="7" t="inlineStr">
        <is>
          <t>Adama</t>
        </is>
      </c>
      <c r="H289" s="7" t="inlineStr">
        <is>
          <t>Estabelecimento Credenciado</t>
        </is>
      </c>
      <c r="I289" s="7" t="inlineStr">
        <is>
          <t>CNPJ Credenciado MAPA</t>
        </is>
      </c>
      <c r="J289" s="7" t="inlineStr">
        <is>
          <t>Registro Estadual Vigente</t>
        </is>
      </c>
      <c r="K289" s="7" t="inlineStr">
        <is>
          <t>Unidade Operacional Brasil</t>
        </is>
      </c>
      <c r="L289" s="7" t="inlineStr">
        <is>
          <t>Brasil</t>
        </is>
      </c>
      <c r="M289" s="7" t="inlineStr">
        <is>
          <t>0/1/2 - Conforme Origem do Lote</t>
        </is>
      </c>
    </row>
    <row r="290" ht="22" customHeight="1">
      <c r="A290" s="12" t="inlineStr">
        <is>
          <t>EMP-0286</t>
        </is>
      </c>
      <c r="B290" s="11" t="n">
        <v>234</v>
      </c>
      <c r="C290" s="13" t="inlineStr">
        <is>
          <t>Nº 4798</t>
        </is>
      </c>
      <c r="D290" s="14" t="inlineStr">
        <is>
          <t>VOLCANE 790</t>
        </is>
      </c>
      <c r="E290" s="13" t="inlineStr">
        <is>
          <t>3. Formulador / Co-Distribuidor Autorizado</t>
        </is>
      </c>
      <c r="F290" s="13" t="inlineStr">
        <is>
          <t>Produto Formulado Comercial</t>
        </is>
      </c>
      <c r="G290" s="13" t="inlineStr">
        <is>
          <t>Luxembourg</t>
        </is>
      </c>
      <c r="H290" s="13" t="inlineStr">
        <is>
          <t>Estabelecimento Credenciado</t>
        </is>
      </c>
      <c r="I290" s="13" t="inlineStr">
        <is>
          <t>CNPJ Credenciado MAPA</t>
        </is>
      </c>
      <c r="J290" s="13" t="inlineStr">
        <is>
          <t>Registro Estadual Vigente</t>
        </is>
      </c>
      <c r="K290" s="13" t="inlineStr">
        <is>
          <t>Unidade Operacional Brasil</t>
        </is>
      </c>
      <c r="L290" s="13" t="inlineStr">
        <is>
          <t>Brasil</t>
        </is>
      </c>
      <c r="M290" s="13" t="inlineStr">
        <is>
          <t>0/1/2 - Conforme Origem do Lote</t>
        </is>
      </c>
    </row>
    <row r="291" ht="22" customHeight="1">
      <c r="A291" s="6" t="inlineStr">
        <is>
          <t>EMP-0287</t>
        </is>
      </c>
      <c r="B291" s="5" t="n">
        <v>235</v>
      </c>
      <c r="C291" s="7" t="inlineStr">
        <is>
          <t>Nº 11922</t>
        </is>
      </c>
      <c r="D291" s="8" t="inlineStr">
        <is>
          <t>TRICLOPIR</t>
        </is>
      </c>
      <c r="E291" s="7" t="inlineStr">
        <is>
          <t>1. Titular do Registro / Produtor</t>
        </is>
      </c>
      <c r="F291" s="7" t="inlineStr">
        <is>
          <t>Produto Formulado Comercial</t>
        </is>
      </c>
      <c r="G291" s="7" t="inlineStr">
        <is>
          <t>RAINBOW DEFENSIVOS AGRÍCOLAS LTDA.</t>
        </is>
      </c>
      <c r="H291" s="7" t="inlineStr">
        <is>
          <t>Matriz / Estabelecimento Principal</t>
        </is>
      </c>
      <c r="I291" s="7" t="inlineStr">
        <is>
          <t>CNPJ Credenciado MAPA/SIPEAGRO</t>
        </is>
      </c>
      <c r="J291" s="7" t="inlineStr">
        <is>
          <t>Registro Estadual Vigente</t>
        </is>
      </c>
      <c r="K291" s="7" t="inlineStr">
        <is>
          <t>Estabelecimento Credenciado no Brasil</t>
        </is>
      </c>
      <c r="L291" s="7" t="inlineStr">
        <is>
          <t>Brasil</t>
        </is>
      </c>
      <c r="M291" s="7" t="inlineStr">
        <is>
          <t>0 - Nacional / 1 - Importação Direta</t>
        </is>
      </c>
    </row>
    <row r="292" ht="22" customHeight="1">
      <c r="A292" s="12" t="inlineStr">
        <is>
          <t>EMP-0288</t>
        </is>
      </c>
      <c r="B292" s="11" t="n">
        <v>236</v>
      </c>
      <c r="C292" s="13" t="inlineStr">
        <is>
          <t>Nº 13520</t>
        </is>
      </c>
      <c r="D292" s="14" t="inlineStr">
        <is>
          <t>CLORIMURON 250 WG 48X0,3KG (AGUARDAR FISCAL)</t>
        </is>
      </c>
      <c r="E292" s="13" t="inlineStr">
        <is>
          <t>1. Titular do Registro / Produtor</t>
        </is>
      </c>
      <c r="F292" s="13" t="inlineStr">
        <is>
          <t>Produto Formulado Comercial</t>
        </is>
      </c>
      <c r="G292" s="13" t="inlineStr">
        <is>
          <t>Rainbow Defensivos</t>
        </is>
      </c>
      <c r="H292" s="13" t="inlineStr">
        <is>
          <t>Matriz / Estabelecimento Principal</t>
        </is>
      </c>
      <c r="I292" s="13" t="inlineStr">
        <is>
          <t>10.486.463/0001-69</t>
        </is>
      </c>
      <c r="J292" s="13" t="inlineStr">
        <is>
          <t>SEAPA/RS nº 1928/09</t>
        </is>
      </c>
      <c r="K292" s="13" t="inlineStr">
        <is>
          <t>Estabelecimento Credenciado no Brasil</t>
        </is>
      </c>
      <c r="L292" s="13" t="inlineStr">
        <is>
          <t>Brasil</t>
        </is>
      </c>
      <c r="M292" s="13" t="inlineStr">
        <is>
          <t>0 - Nacional / 1 - Importação Direta</t>
        </is>
      </c>
    </row>
    <row r="293" ht="22" customHeight="1">
      <c r="A293" s="6" t="inlineStr">
        <is>
          <t>EMP-0289</t>
        </is>
      </c>
      <c r="B293" s="5" t="n">
        <v>237</v>
      </c>
      <c r="C293" s="7" t="inlineStr">
        <is>
          <t>Nº 13520</t>
        </is>
      </c>
      <c r="D293" s="8" t="inlineStr">
        <is>
          <t>CLORIMURON 250 WG  15X0,300KG (AGUARDAR FISCAL)</t>
        </is>
      </c>
      <c r="E293" s="7" t="inlineStr">
        <is>
          <t>1. Titular do Registro / Produtor</t>
        </is>
      </c>
      <c r="F293" s="7" t="inlineStr">
        <is>
          <t>Produto Formulado Comercial</t>
        </is>
      </c>
      <c r="G293" s="7" t="inlineStr">
        <is>
          <t>Rainbow Defensivos</t>
        </is>
      </c>
      <c r="H293" s="7" t="inlineStr">
        <is>
          <t>Matriz / Estabelecimento Principal</t>
        </is>
      </c>
      <c r="I293" s="7" t="inlineStr">
        <is>
          <t>10.486.463/0001-69</t>
        </is>
      </c>
      <c r="J293" s="7" t="inlineStr">
        <is>
          <t>SEAPA/RS nº 1928/09</t>
        </is>
      </c>
      <c r="K293" s="7" t="inlineStr">
        <is>
          <t>Estabelecimento Credenciado no Brasil</t>
        </is>
      </c>
      <c r="L293" s="7" t="inlineStr">
        <is>
          <t>Brasil</t>
        </is>
      </c>
      <c r="M293" s="7" t="inlineStr">
        <is>
          <t>0 - Nacional / 1 - Importação Direta</t>
        </is>
      </c>
    </row>
    <row r="294" ht="22" customHeight="1">
      <c r="A294" s="12" t="inlineStr">
        <is>
          <t>EMP-0290</t>
        </is>
      </c>
      <c r="B294" s="11" t="n">
        <v>238</v>
      </c>
      <c r="C294" s="13" t="inlineStr">
        <is>
          <t>Nº 13520</t>
        </is>
      </c>
      <c r="D294" s="14" t="inlineStr">
        <is>
          <t>CLORIMURON 250 WG RAIMBOW 15X0,300KG (VALIDAR FISC</t>
        </is>
      </c>
      <c r="E294" s="13" t="inlineStr">
        <is>
          <t>1. Titular do Registro / Produtor</t>
        </is>
      </c>
      <c r="F294" s="13" t="inlineStr">
        <is>
          <t>Produto Formulado Comercial</t>
        </is>
      </c>
      <c r="G294" s="13" t="inlineStr">
        <is>
          <t>Rainbow Defensivos</t>
        </is>
      </c>
      <c r="H294" s="13" t="inlineStr">
        <is>
          <t>Matriz / Estabelecimento Principal</t>
        </is>
      </c>
      <c r="I294" s="13" t="inlineStr">
        <is>
          <t>10.486.463/0001-69</t>
        </is>
      </c>
      <c r="J294" s="13" t="inlineStr">
        <is>
          <t>SEAPA/RS nº 1928/09</t>
        </is>
      </c>
      <c r="K294" s="13" t="inlineStr">
        <is>
          <t>Estabelecimento Credenciado no Brasil</t>
        </is>
      </c>
      <c r="L294" s="13" t="inlineStr">
        <is>
          <t>Brasil</t>
        </is>
      </c>
      <c r="M294" s="13" t="inlineStr">
        <is>
          <t>0 - Nacional / 1 - Importação Direta</t>
        </is>
      </c>
    </row>
    <row r="295" ht="22" customHeight="1">
      <c r="A295" s="6" t="inlineStr">
        <is>
          <t>EMP-0291</t>
        </is>
      </c>
      <c r="B295" s="5" t="n">
        <v>239</v>
      </c>
      <c r="C295" s="7" t="inlineStr">
        <is>
          <t>Nº 11922</t>
        </is>
      </c>
      <c r="D295" s="8" t="inlineStr">
        <is>
          <t>TRICLOPIR</t>
        </is>
      </c>
      <c r="E295" s="7" t="inlineStr">
        <is>
          <t>1. Titular do Registro / Produtor</t>
        </is>
      </c>
      <c r="F295" s="7" t="inlineStr">
        <is>
          <t>Produto Formulado Comercial</t>
        </is>
      </c>
      <c r="G295" s="7" t="inlineStr">
        <is>
          <t>RAINBOW DEFENSIVOS AGRÍCOLAS LTDA.</t>
        </is>
      </c>
      <c r="H295" s="7" t="inlineStr">
        <is>
          <t>Matriz / Estabelecimento Principal</t>
        </is>
      </c>
      <c r="I295" s="7" t="inlineStr">
        <is>
          <t>CNPJ Credenciado MAPA/SIPEAGRO</t>
        </is>
      </c>
      <c r="J295" s="7" t="inlineStr">
        <is>
          <t>Registro Estadual Vigente</t>
        </is>
      </c>
      <c r="K295" s="7" t="inlineStr">
        <is>
          <t>Estabelecimento Credenciado no Brasil</t>
        </is>
      </c>
      <c r="L295" s="7" t="inlineStr">
        <is>
          <t>Brasil</t>
        </is>
      </c>
      <c r="M295" s="7" t="inlineStr">
        <is>
          <t>0 - Nacional / 1 - Importação Direta</t>
        </is>
      </c>
    </row>
    <row r="296" ht="22" customHeight="1">
      <c r="A296" s="12" t="inlineStr">
        <is>
          <t>EMP-0292</t>
        </is>
      </c>
      <c r="B296" s="11" t="n">
        <v>240</v>
      </c>
      <c r="C296" s="13" t="inlineStr">
        <is>
          <t>Nº 11320</t>
        </is>
      </c>
      <c r="D296" s="14" t="inlineStr">
        <is>
          <t>SURVEY 800 WG</t>
        </is>
      </c>
      <c r="E296" s="13" t="inlineStr">
        <is>
          <t>1. Titular do Registro / Produtor</t>
        </is>
      </c>
      <c r="F296" s="13" t="inlineStr">
        <is>
          <t>Produto Formulado Comercial</t>
        </is>
      </c>
      <c r="G296" s="13" t="inlineStr">
        <is>
          <t>RAINBOW DEFENSIVOS AGRÍCOLAS LTDA.</t>
        </is>
      </c>
      <c r="H296" s="13" t="inlineStr">
        <is>
          <t>Matriz / Estabelecimento Principal</t>
        </is>
      </c>
      <c r="I296" s="13" t="inlineStr">
        <is>
          <t>CNPJ Credenciado MAPA/SIPEAGRO</t>
        </is>
      </c>
      <c r="J296" s="13" t="inlineStr">
        <is>
          <t>Registro Estadual Vigente</t>
        </is>
      </c>
      <c r="K296" s="13" t="inlineStr">
        <is>
          <t>Estabelecimento Credenciado no Brasil</t>
        </is>
      </c>
      <c r="L296" s="13" t="inlineStr">
        <is>
          <t>Brasil</t>
        </is>
      </c>
      <c r="M296" s="13" t="inlineStr">
        <is>
          <t>0 - Nacional / 1 - Importação Direta</t>
        </is>
      </c>
    </row>
    <row r="297" ht="22" customHeight="1">
      <c r="A297" s="6" t="inlineStr">
        <is>
          <t>EMP-0293</t>
        </is>
      </c>
      <c r="B297" s="5" t="n">
        <v>241</v>
      </c>
      <c r="C297" s="7" t="inlineStr">
        <is>
          <t>Nº 12621</t>
        </is>
      </c>
      <c r="D297" s="8" t="inlineStr">
        <is>
          <t>NADRAN 250SL (PRINCIPIO ATIVO)</t>
        </is>
      </c>
      <c r="E297" s="7" t="inlineStr">
        <is>
          <t>1. Titular do Registro</t>
        </is>
      </c>
      <c r="F297" s="7" t="inlineStr">
        <is>
          <t>Produto Técnico Industrial</t>
        </is>
      </c>
      <c r="G297" s="7" t="inlineStr">
        <is>
          <t>Luxembourg Brasil — Cloreto de mepiquate 250 g</t>
        </is>
      </c>
      <c r="H297" s="7" t="inlineStr">
        <is>
          <t>Estabelecimento Credenciado</t>
        </is>
      </c>
      <c r="I297" s="7" t="inlineStr">
        <is>
          <t>CNPJ Credenciado MAPA</t>
        </is>
      </c>
      <c r="J297" s="7" t="inlineStr">
        <is>
          <t>Registro Estadual Vigente</t>
        </is>
      </c>
      <c r="K297" s="7" t="inlineStr">
        <is>
          <t>Unidade Operacional Brasil</t>
        </is>
      </c>
      <c r="L297" s="7" t="inlineStr">
        <is>
          <t>Brasil</t>
        </is>
      </c>
      <c r="M297" s="7" t="inlineStr">
        <is>
          <t>0/1/2 - Conforme Origem do Lote</t>
        </is>
      </c>
    </row>
    <row r="298" ht="22" customHeight="1">
      <c r="A298" s="12" t="inlineStr">
        <is>
          <t>EMP-0294</t>
        </is>
      </c>
      <c r="B298" s="11" t="n">
        <v>241</v>
      </c>
      <c r="C298" s="13" t="inlineStr">
        <is>
          <t>Nº 12621</t>
        </is>
      </c>
      <c r="D298" s="14" t="inlineStr">
        <is>
          <t>NADRAN 250SL (PRINCIPIO ATIVO)</t>
        </is>
      </c>
      <c r="E298" s="13" t="inlineStr">
        <is>
          <t>3. Formulador / Co-Distribuidor Autorizado</t>
        </is>
      </c>
      <c r="F298" s="13" t="inlineStr">
        <is>
          <t>Produto Técnico Industrial</t>
        </is>
      </c>
      <c r="G298" s="13" t="inlineStr">
        <is>
          <t>L SL, já cadastrado nos Cods 587 e 6291</t>
        </is>
      </c>
      <c r="H298" s="13" t="inlineStr">
        <is>
          <t>Estabelecimento Credenciado</t>
        </is>
      </c>
      <c r="I298" s="13" t="inlineStr">
        <is>
          <t>CNPJ Credenciado MAPA</t>
        </is>
      </c>
      <c r="J298" s="13" t="inlineStr">
        <is>
          <t>Registro Estadual Vigente</t>
        </is>
      </c>
      <c r="K298" s="13" t="inlineStr">
        <is>
          <t>Unidade Operacional Brasil</t>
        </is>
      </c>
      <c r="L298" s="13" t="inlineStr">
        <is>
          <t>Brasil</t>
        </is>
      </c>
      <c r="M298" s="13" t="inlineStr">
        <is>
          <t>0/1/2 - Conforme Origem do Lote</t>
        </is>
      </c>
    </row>
    <row r="299" ht="22" customHeight="1">
      <c r="A299" s="6" t="inlineStr">
        <is>
          <t>EMP-0295</t>
        </is>
      </c>
      <c r="B299" s="5" t="n">
        <v>242</v>
      </c>
      <c r="C299" s="7" t="inlineStr">
        <is>
          <t>Nº 12418</t>
        </is>
      </c>
      <c r="D299" s="8" t="inlineStr">
        <is>
          <t>PENNCOZEB - MANCOZEB 750 (PRINCIPIO ATIVO)</t>
        </is>
      </c>
      <c r="E299" s="7" t="inlineStr">
        <is>
          <t>1. Titular do Registro / Produtor</t>
        </is>
      </c>
      <c r="F299" s="7" t="inlineStr">
        <is>
          <t>Produto Técnico Industrial</t>
        </is>
      </c>
      <c r="G299" s="7" t="inlineStr">
        <is>
          <t>UPL DO BRASIL INDÚSTRIA E COMÉRCIO DE INSUMOS AGROPECUÁRIOS S.A.</t>
        </is>
      </c>
      <c r="H299" s="7" t="inlineStr">
        <is>
          <t>Matriz / Estabelecimento Principal</t>
        </is>
      </c>
      <c r="I299" s="7" t="inlineStr">
        <is>
          <t>CNPJ Credenciado MAPA/SIPEAGRO</t>
        </is>
      </c>
      <c r="J299" s="7" t="inlineStr">
        <is>
          <t>Registro Estadual Vigente</t>
        </is>
      </c>
      <c r="K299" s="7" t="inlineStr">
        <is>
          <t>Estabelecimento Credenciado no Brasil</t>
        </is>
      </c>
      <c r="L299" s="7" t="inlineStr">
        <is>
          <t>Brasil</t>
        </is>
      </c>
      <c r="M299" s="7" t="inlineStr">
        <is>
          <t>0 - Nacional / 1 - Importação Direta</t>
        </is>
      </c>
    </row>
    <row r="300" ht="22" customHeight="1">
      <c r="A300" s="12" t="inlineStr">
        <is>
          <t>EMP-0296</t>
        </is>
      </c>
      <c r="B300" s="11" t="n">
        <v>243</v>
      </c>
      <c r="C300" s="13" t="inlineStr">
        <is>
          <t>Nº 43418</t>
        </is>
      </c>
      <c r="D300" s="14" t="inlineStr">
        <is>
          <t>BIOLOGIC AERUM</t>
        </is>
      </c>
      <c r="E300" s="13" t="inlineStr">
        <is>
          <t>1. Titular do Registro</t>
        </is>
      </c>
      <c r="F300" s="13" t="inlineStr">
        <is>
          <t>Produto Formulado Comercial</t>
        </is>
      </c>
      <c r="G300" s="13" t="inlineStr">
        <is>
          <t>Vittia S.A. — Bacillus subtilis</t>
        </is>
      </c>
      <c r="H300" s="13" t="inlineStr">
        <is>
          <t>Estabelecimento Credenciado</t>
        </is>
      </c>
      <c r="I300" s="13" t="inlineStr">
        <is>
          <t>CNPJ Credenciado MAPA</t>
        </is>
      </c>
      <c r="J300" s="13" t="inlineStr">
        <is>
          <t>Registro Estadual Vigente</t>
        </is>
      </c>
      <c r="K300" s="13" t="inlineStr">
        <is>
          <t>Unidade Operacional Brasil</t>
        </is>
      </c>
      <c r="L300" s="13" t="inlineStr">
        <is>
          <t>Brasil</t>
        </is>
      </c>
      <c r="M300" s="13" t="inlineStr">
        <is>
          <t>0/1/2 - Conforme Origem do Lote</t>
        </is>
      </c>
    </row>
    <row r="301" ht="22" customHeight="1">
      <c r="A301" s="6" t="inlineStr">
        <is>
          <t>EMP-0297</t>
        </is>
      </c>
      <c r="B301" s="5" t="n">
        <v>243</v>
      </c>
      <c r="C301" s="7" t="inlineStr">
        <is>
          <t>Nº 43418</t>
        </is>
      </c>
      <c r="D301" s="8" t="inlineStr">
        <is>
          <t>BIOLOGIC AERUM</t>
        </is>
      </c>
      <c r="E301" s="7" t="inlineStr">
        <is>
          <t>3. Formulador / Co-Distribuidor Autorizado</t>
        </is>
      </c>
      <c r="F301" s="7" t="inlineStr">
        <is>
          <t>Produto Formulado Comercial</t>
        </is>
      </c>
      <c r="G301" s="7" t="inlineStr">
        <is>
          <t>velezensis cepa BV02</t>
        </is>
      </c>
      <c r="H301" s="7" t="inlineStr">
        <is>
          <t>Estabelecimento Credenciado</t>
        </is>
      </c>
      <c r="I301" s="7" t="inlineStr">
        <is>
          <t>CNPJ Credenciado MAPA</t>
        </is>
      </c>
      <c r="J301" s="7" t="inlineStr">
        <is>
          <t>Registro Estadual Vigente</t>
        </is>
      </c>
      <c r="K301" s="7" t="inlineStr">
        <is>
          <t>Unidade Operacional Brasil</t>
        </is>
      </c>
      <c r="L301" s="7" t="inlineStr">
        <is>
          <t>Brasil</t>
        </is>
      </c>
      <c r="M301" s="7" t="inlineStr">
        <is>
          <t>0/1/2 - Conforme Origem do Lote</t>
        </is>
      </c>
    </row>
    <row r="302" ht="22" customHeight="1">
      <c r="A302" s="12" t="inlineStr">
        <is>
          <t>EMP-0298</t>
        </is>
      </c>
      <c r="B302" s="11" t="n">
        <v>244</v>
      </c>
      <c r="C302" s="13" t="inlineStr">
        <is>
          <t>SIPEAGRO (UF-XXXXX)</t>
        </is>
      </c>
      <c r="D302" s="14" t="inlineStr">
        <is>
          <t>BRENNFEED BR 251</t>
        </is>
      </c>
      <c r="E302" s="13" t="inlineStr">
        <is>
          <t>1. Titular do Registro / Produtor</t>
        </is>
      </c>
      <c r="F302" s="13" t="inlineStr">
        <is>
          <t>Fertilizante Mineral / Organomineral</t>
        </is>
      </c>
      <c r="G302" s="13" t="inlineStr">
        <is>
          <t>Estabelecimento Produtor SIPEAGRO/MAPA</t>
        </is>
      </c>
      <c r="H302" s="13" t="inlineStr">
        <is>
          <t>Matriz / Estabelecimento Principal</t>
        </is>
      </c>
      <c r="I302" s="13" t="inlineStr">
        <is>
          <t>CNPJ Credenciado MAPA/SIPEAGRO</t>
        </is>
      </c>
      <c r="J302" s="13" t="inlineStr">
        <is>
          <t>Registro Estadual Vigente</t>
        </is>
      </c>
      <c r="K302" s="13" t="inlineStr">
        <is>
          <t>Estabelecimento Credenciado no Brasil</t>
        </is>
      </c>
      <c r="L302" s="13" t="inlineStr">
        <is>
          <t>Brasil</t>
        </is>
      </c>
      <c r="M302" s="13" t="inlineStr">
        <is>
          <t>0 - Nacional / 1 - Importação Direta</t>
        </is>
      </c>
    </row>
    <row r="303" ht="22" customHeight="1">
      <c r="A303" s="6" t="inlineStr">
        <is>
          <t>EMP-0299</t>
        </is>
      </c>
      <c r="B303" s="5" t="n">
        <v>245</v>
      </c>
      <c r="C303" s="7" t="inlineStr">
        <is>
          <t>SIPEAGRO (UF-XXXXX)</t>
        </is>
      </c>
      <c r="D303" s="8" t="inlineStr">
        <is>
          <t>BRENNFEED BR 256</t>
        </is>
      </c>
      <c r="E303" s="7" t="inlineStr">
        <is>
          <t>1. Titular do Registro / Produtor</t>
        </is>
      </c>
      <c r="F303" s="7" t="inlineStr">
        <is>
          <t>Fertilizante Mineral / Organomineral</t>
        </is>
      </c>
      <c r="G303" s="7" t="inlineStr">
        <is>
          <t>Estabelecimento Produtor SIPEAGRO/MAPA</t>
        </is>
      </c>
      <c r="H303" s="7" t="inlineStr">
        <is>
          <t>Matriz / Estabelecimento Principal</t>
        </is>
      </c>
      <c r="I303" s="7" t="inlineStr">
        <is>
          <t>CNPJ Credenciado MAPA/SIPEAGRO</t>
        </is>
      </c>
      <c r="J303" s="7" t="inlineStr">
        <is>
          <t>Registro Estadual Vigente</t>
        </is>
      </c>
      <c r="K303" s="7" t="inlineStr">
        <is>
          <t>Estabelecimento Credenciado no Brasil</t>
        </is>
      </c>
      <c r="L303" s="7" t="inlineStr">
        <is>
          <t>Brasil</t>
        </is>
      </c>
      <c r="M303" s="7" t="inlineStr">
        <is>
          <t>0 - Nacional / 1 - Importação Direta</t>
        </is>
      </c>
    </row>
    <row r="304" ht="22" customHeight="1">
      <c r="A304" s="12" t="inlineStr">
        <is>
          <t>EMP-0300</t>
        </is>
      </c>
      <c r="B304" s="11" t="n">
        <v>246</v>
      </c>
      <c r="C304" s="13" t="inlineStr">
        <is>
          <t>SIPEAGRO (UF-XXXXX)</t>
        </is>
      </c>
      <c r="D304" s="14" t="inlineStr">
        <is>
          <t>BRENNBRA 12 B 4,5KG (AMOSTRA)</t>
        </is>
      </c>
      <c r="E304" s="13" t="inlineStr">
        <is>
          <t>1. Titular do Registro / Produtor</t>
        </is>
      </c>
      <c r="F304" s="13" t="inlineStr">
        <is>
          <t>Fertilizante Mineral / Organomineral</t>
        </is>
      </c>
      <c r="G304" s="13" t="inlineStr">
        <is>
          <t>Estabelecimento Produtor SIPEAGRO/MAPA</t>
        </is>
      </c>
      <c r="H304" s="13" t="inlineStr">
        <is>
          <t>Matriz / Estabelecimento Principal</t>
        </is>
      </c>
      <c r="I304" s="13" t="inlineStr">
        <is>
          <t>CNPJ Credenciado MAPA/SIPEAGRO</t>
        </is>
      </c>
      <c r="J304" s="13" t="inlineStr">
        <is>
          <t>Registro Estadual Vigente</t>
        </is>
      </c>
      <c r="K304" s="13" t="inlineStr">
        <is>
          <t>Estabelecimento Credenciado no Brasil</t>
        </is>
      </c>
      <c r="L304" s="13" t="inlineStr">
        <is>
          <t>Brasil</t>
        </is>
      </c>
      <c r="M304" s="13" t="inlineStr">
        <is>
          <t>0 - Nacional / 1 - Importação Direta</t>
        </is>
      </c>
    </row>
    <row r="305" ht="22" customHeight="1">
      <c r="A305" s="6" t="inlineStr">
        <is>
          <t>EMP-0301</t>
        </is>
      </c>
      <c r="B305" s="5" t="n">
        <v>247</v>
      </c>
      <c r="C305" s="7" t="inlineStr">
        <is>
          <t>SIPEAGRO (UF-XXXXX)</t>
        </is>
      </c>
      <c r="D305" s="8" t="inlineStr">
        <is>
          <t>AGCN N-15,0% P205-5,0% K20-5,0% MG-1,6% (AMOSTRA)</t>
        </is>
      </c>
      <c r="E305" s="7" t="inlineStr">
        <is>
          <t>1. Titular do Registro / Produtor</t>
        </is>
      </c>
      <c r="F305" s="7" t="inlineStr">
        <is>
          <t>Fertilizante Mineral / Organomineral</t>
        </is>
      </c>
      <c r="G305" s="7" t="inlineStr">
        <is>
          <t>Estabelecimento Produtor SIPEAGRO/MAPA</t>
        </is>
      </c>
      <c r="H305" s="7" t="inlineStr">
        <is>
          <t>Matriz / Estabelecimento Principal</t>
        </is>
      </c>
      <c r="I305" s="7" t="inlineStr">
        <is>
          <t>CNPJ Credenciado MAPA/SIPEAGRO</t>
        </is>
      </c>
      <c r="J305" s="7" t="inlineStr">
        <is>
          <t>Registro Estadual Vigente</t>
        </is>
      </c>
      <c r="K305" s="7" t="inlineStr">
        <is>
          <t>Estabelecimento Credenciado no Brasil</t>
        </is>
      </c>
      <c r="L305" s="7" t="inlineStr">
        <is>
          <t>Brasil</t>
        </is>
      </c>
      <c r="M305" s="7" t="inlineStr">
        <is>
          <t>0 - Nacional / 1 - Importação Direta</t>
        </is>
      </c>
    </row>
    <row r="306" ht="22" customHeight="1">
      <c r="A306" s="12" t="inlineStr">
        <is>
          <t>EMP-0302</t>
        </is>
      </c>
      <c r="B306" s="11" t="n">
        <v>248</v>
      </c>
      <c r="C306" s="13" t="inlineStr">
        <is>
          <t>SIPEAGRO (UF-XXXXX)</t>
        </is>
      </c>
      <c r="D306" s="14" t="inlineStr">
        <is>
          <t>AGCN N-15,0% K20-7,0% CA-1,0% MG-1,0% (AMOSTRA)</t>
        </is>
      </c>
      <c r="E306" s="13" t="inlineStr">
        <is>
          <t>1. Titular do Registro / Produtor</t>
        </is>
      </c>
      <c r="F306" s="13" t="inlineStr">
        <is>
          <t>Fertilizante Mineral / Organomineral</t>
        </is>
      </c>
      <c r="G306" s="13" t="inlineStr">
        <is>
          <t>Estabelecimento Produtor SIPEAGRO/MAPA</t>
        </is>
      </c>
      <c r="H306" s="13" t="inlineStr">
        <is>
          <t>Matriz / Estabelecimento Principal</t>
        </is>
      </c>
      <c r="I306" s="13" t="inlineStr">
        <is>
          <t>CNPJ Credenciado MAPA/SIPEAGRO</t>
        </is>
      </c>
      <c r="J306" s="13" t="inlineStr">
        <is>
          <t>Registro Estadual Vigente</t>
        </is>
      </c>
      <c r="K306" s="13" t="inlineStr">
        <is>
          <t>Estabelecimento Credenciado no Brasil</t>
        </is>
      </c>
      <c r="L306" s="13" t="inlineStr">
        <is>
          <t>Brasil</t>
        </is>
      </c>
      <c r="M306" s="13" t="inlineStr">
        <is>
          <t>0 - Nacional / 1 - Importação Direta</t>
        </is>
      </c>
    </row>
    <row r="307" ht="22" customHeight="1">
      <c r="A307" s="6" t="inlineStr">
        <is>
          <t>EMP-0303</t>
        </is>
      </c>
      <c r="B307" s="5" t="n">
        <v>249</v>
      </c>
      <c r="C307" s="7" t="inlineStr">
        <is>
          <t>SIPEAGRO (UF-XXXXX)</t>
        </is>
      </c>
      <c r="D307" s="8" t="inlineStr">
        <is>
          <t>AGCN N-5,0% K20-7,0% CA-1,0% MG-1,0% (AMOSTRA)</t>
        </is>
      </c>
      <c r="E307" s="7" t="inlineStr">
        <is>
          <t>1. Titular do Registro / Produtor</t>
        </is>
      </c>
      <c r="F307" s="7" t="inlineStr">
        <is>
          <t>Fertilizante Mineral / Organomineral</t>
        </is>
      </c>
      <c r="G307" s="7" t="inlineStr">
        <is>
          <t>Estabelecimento Produtor SIPEAGRO/MAPA</t>
        </is>
      </c>
      <c r="H307" s="7" t="inlineStr">
        <is>
          <t>Matriz / Estabelecimento Principal</t>
        </is>
      </c>
      <c r="I307" s="7" t="inlineStr">
        <is>
          <t>CNPJ Credenciado MAPA/SIPEAGRO</t>
        </is>
      </c>
      <c r="J307" s="7" t="inlineStr">
        <is>
          <t>Registro Estadual Vigente</t>
        </is>
      </c>
      <c r="K307" s="7" t="inlineStr">
        <is>
          <t>Estabelecimento Credenciado no Brasil</t>
        </is>
      </c>
      <c r="L307" s="7" t="inlineStr">
        <is>
          <t>Brasil</t>
        </is>
      </c>
      <c r="M307" s="7" t="inlineStr">
        <is>
          <t>0 - Nacional / 1 - Importação Direta</t>
        </is>
      </c>
    </row>
    <row r="308" ht="22" customHeight="1">
      <c r="A308" s="12" t="inlineStr">
        <is>
          <t>EMP-0304</t>
        </is>
      </c>
      <c r="B308" s="11" t="n">
        <v>250</v>
      </c>
      <c r="C308" s="13" t="inlineStr">
        <is>
          <t>Nº 28319</t>
        </is>
      </c>
      <c r="D308" s="14" t="inlineStr">
        <is>
          <t>TOPINAM BALDE</t>
        </is>
      </c>
      <c r="E308" s="13" t="inlineStr">
        <is>
          <t>1. Titular do Registro / Produtor</t>
        </is>
      </c>
      <c r="F308" s="13" t="inlineStr">
        <is>
          <t>Produto Formulado Comercial</t>
        </is>
      </c>
      <c r="G308" s="13" t="inlineStr">
        <is>
          <t>SUMITOMO CHEMICAL BRASIL INDÚSTRIA QUÍMICA S.A.</t>
        </is>
      </c>
      <c r="H308" s="13" t="inlineStr">
        <is>
          <t>Matriz / Estabelecimento Principal</t>
        </is>
      </c>
      <c r="I308" s="13" t="inlineStr">
        <is>
          <t>CNPJ Credenciado MAPA/SIPEAGRO</t>
        </is>
      </c>
      <c r="J308" s="13" t="inlineStr">
        <is>
          <t>Registro Estadual Vigente</t>
        </is>
      </c>
      <c r="K308" s="13" t="inlineStr">
        <is>
          <t>Estabelecimento Credenciado no Brasil</t>
        </is>
      </c>
      <c r="L308" s="13" t="inlineStr">
        <is>
          <t>Brasil</t>
        </is>
      </c>
      <c r="M308" s="13" t="inlineStr">
        <is>
          <t>0 - Nacional / 1 - Importação Direta</t>
        </is>
      </c>
    </row>
    <row r="309" ht="22" customHeight="1">
      <c r="A309" s="6" t="inlineStr">
        <is>
          <t>EMP-0305</t>
        </is>
      </c>
      <c r="B309" s="5" t="n">
        <v>251</v>
      </c>
      <c r="C309" s="7" t="inlineStr">
        <is>
          <t>Nº 17208</t>
        </is>
      </c>
      <c r="D309" s="8" t="inlineStr">
        <is>
          <t>TRICLON</t>
        </is>
      </c>
      <c r="E309" s="7" t="inlineStr">
        <is>
          <t>1. Titular do Registro / Produtor</t>
        </is>
      </c>
      <c r="F309" s="7" t="inlineStr">
        <is>
          <t>Produto Formulado Comercial</t>
        </is>
      </c>
      <c r="G309" s="7" t="inlineStr">
        <is>
          <t>UPL DO BRASIL INDÚSTRIA E COMÉRCIO DE INSUMOS AGROPECUÁRIOS S.A.</t>
        </is>
      </c>
      <c r="H309" s="7" t="inlineStr">
        <is>
          <t>Matriz / Estabelecimento Principal</t>
        </is>
      </c>
      <c r="I309" s="7" t="inlineStr">
        <is>
          <t>CNPJ Credenciado MAPA/SIPEAGRO</t>
        </is>
      </c>
      <c r="J309" s="7" t="inlineStr">
        <is>
          <t>Registro Estadual Vigente</t>
        </is>
      </c>
      <c r="K309" s="7" t="inlineStr">
        <is>
          <t>Estabelecimento Credenciado no Brasil</t>
        </is>
      </c>
      <c r="L309" s="7" t="inlineStr">
        <is>
          <t>Brasil</t>
        </is>
      </c>
      <c r="M309" s="7" t="inlineStr">
        <is>
          <t>0 - Nacional / 1 - Importação Direta</t>
        </is>
      </c>
    </row>
    <row r="310" ht="22" customHeight="1">
      <c r="A310" s="12" t="inlineStr">
        <is>
          <t>EMP-0306</t>
        </is>
      </c>
      <c r="B310" s="11" t="n">
        <v>252</v>
      </c>
      <c r="C310" s="13" t="inlineStr">
        <is>
          <t>Nº 34122</t>
        </is>
      </c>
      <c r="D310" s="14" t="inlineStr">
        <is>
          <t>DURAX</t>
        </is>
      </c>
      <c r="E310" s="13" t="inlineStr">
        <is>
          <t>1. Titular do Registro / Produtor</t>
        </is>
      </c>
      <c r="F310" s="13" t="inlineStr">
        <is>
          <t>Produto Formulado Comercial</t>
        </is>
      </c>
      <c r="G310" s="13" t="inlineStr">
        <is>
          <t>RAINBOW DEFENSIVOS AGRÍCOLAS LTDA.</t>
        </is>
      </c>
      <c r="H310" s="13" t="inlineStr">
        <is>
          <t>Matriz / Estabelecimento Principal</t>
        </is>
      </c>
      <c r="I310" s="13" t="inlineStr">
        <is>
          <t>10.486.463/0001-69</t>
        </is>
      </c>
      <c r="J310" s="13" t="inlineStr">
        <is>
          <t>SEAPA/RS nº 1928/09</t>
        </is>
      </c>
      <c r="K310" s="13" t="inlineStr">
        <is>
          <t>Av. Carlos Gomes, 258, Porto Alegre/RS</t>
        </is>
      </c>
      <c r="L310" s="13" t="inlineStr">
        <is>
          <t>Brasil</t>
        </is>
      </c>
      <c r="M310" s="13" t="inlineStr">
        <is>
          <t>0 - Nacional / 1 - Importação Direta</t>
        </is>
      </c>
    </row>
    <row r="311" ht="22" customHeight="1">
      <c r="A311" s="6" t="inlineStr">
        <is>
          <t>EMP-0307</t>
        </is>
      </c>
      <c r="B311" s="5" t="n">
        <v>253</v>
      </c>
      <c r="C311" s="7" t="inlineStr">
        <is>
          <t>Nº 20723</t>
        </is>
      </c>
      <c r="D311" s="8" t="inlineStr">
        <is>
          <t>ACEMIP</t>
        </is>
      </c>
      <c r="E311" s="7" t="inlineStr">
        <is>
          <t>1. Titular do Registro / Produtor</t>
        </is>
      </c>
      <c r="F311" s="7" t="inlineStr">
        <is>
          <t>Produto Formulado Comercial</t>
        </is>
      </c>
      <c r="G311" s="7" t="inlineStr">
        <is>
          <t>RAINBOW DEFENSIVOS AGRICOLAS LTDA</t>
        </is>
      </c>
      <c r="H311" s="7" t="inlineStr">
        <is>
          <t>Matriz / Estabelecimento Principal</t>
        </is>
      </c>
      <c r="I311" s="7" t="inlineStr">
        <is>
          <t>10.486.463/0001-69</t>
        </is>
      </c>
      <c r="J311" s="7" t="inlineStr">
        <is>
          <t>SEAPA/RS nº 1928/09</t>
        </is>
      </c>
      <c r="K311" s="7" t="inlineStr">
        <is>
          <t>Estabelecimento Credenciado no Brasil</t>
        </is>
      </c>
      <c r="L311" s="7" t="inlineStr">
        <is>
          <t>Brasil</t>
        </is>
      </c>
      <c r="M311" s="7" t="inlineStr">
        <is>
          <t>0 - Nacional / 1 - Importação Direta</t>
        </is>
      </c>
    </row>
    <row r="312" ht="22" customHeight="1">
      <c r="A312" s="12" t="inlineStr">
        <is>
          <t>EMP-0308</t>
        </is>
      </c>
      <c r="B312" s="11" t="n">
        <v>254</v>
      </c>
      <c r="C312" s="13" t="inlineStr">
        <is>
          <t>Nº 22921</t>
        </is>
      </c>
      <c r="D312" s="14" t="inlineStr">
        <is>
          <t>CLOMAZONA 360 (PRINCIPIO ATIVO)</t>
        </is>
      </c>
      <c r="E312" s="13" t="inlineStr">
        <is>
          <t>1. Titular do Registro / Produtor</t>
        </is>
      </c>
      <c r="F312" s="13" t="inlineStr">
        <is>
          <t>Produto Técnico Industrial</t>
        </is>
      </c>
      <c r="G312" s="13" t="inlineStr">
        <is>
          <t>FMC QUÍMICA DO BRASIL LTDA. / RAINBOW DEFENSIVOS AGRÍCOLAS LTDA.</t>
        </is>
      </c>
      <c r="H312" s="13" t="inlineStr">
        <is>
          <t>Matriz / Estabelecimento Principal</t>
        </is>
      </c>
      <c r="I312" s="13" t="inlineStr">
        <is>
          <t>CNPJ Credenciado MAPA/SIPEAGRO</t>
        </is>
      </c>
      <c r="J312" s="13" t="inlineStr">
        <is>
          <t>Registro Estadual Vigente</t>
        </is>
      </c>
      <c r="K312" s="13" t="inlineStr">
        <is>
          <t>Estabelecimento Credenciado no Brasil</t>
        </is>
      </c>
      <c r="L312" s="13" t="inlineStr">
        <is>
          <t>Brasil</t>
        </is>
      </c>
      <c r="M312" s="13" t="inlineStr">
        <is>
          <t>0 - Nacional / 1 - Importação Direta</t>
        </is>
      </c>
    </row>
    <row r="313" ht="22" customHeight="1">
      <c r="A313" s="6" t="inlineStr">
        <is>
          <t>EMP-0309</t>
        </is>
      </c>
      <c r="B313" s="5" t="n">
        <v>255</v>
      </c>
      <c r="C313" s="7" t="inlineStr">
        <is>
          <t>SIPEAGRO (UF-XXXXX)</t>
        </is>
      </c>
      <c r="D313" s="8" t="inlineStr">
        <is>
          <t>AGCN MN+ 100</t>
        </is>
      </c>
      <c r="E313" s="7" t="inlineStr">
        <is>
          <t>1. Titular do Registro / Produtor</t>
        </is>
      </c>
      <c r="F313" s="7" t="inlineStr">
        <is>
          <t>Fertilizante Mineral / Organomineral</t>
        </is>
      </c>
      <c r="G313" s="7" t="inlineStr">
        <is>
          <t>Estabelecimento Produtor SIPEAGRO/MAPA</t>
        </is>
      </c>
      <c r="H313" s="7" t="inlineStr">
        <is>
          <t>Matriz / Estabelecimento Principal</t>
        </is>
      </c>
      <c r="I313" s="7" t="inlineStr">
        <is>
          <t>CNPJ Credenciado MAPA/SIPEAGRO</t>
        </is>
      </c>
      <c r="J313" s="7" t="inlineStr">
        <is>
          <t>Registro Estadual Vigente</t>
        </is>
      </c>
      <c r="K313" s="7" t="inlineStr">
        <is>
          <t>Estabelecimento Credenciado no Brasil</t>
        </is>
      </c>
      <c r="L313" s="7" t="inlineStr">
        <is>
          <t>Brasil</t>
        </is>
      </c>
      <c r="M313" s="7" t="inlineStr">
        <is>
          <t>0 - Nacional / 1 - Importação Direta</t>
        </is>
      </c>
    </row>
    <row r="314" ht="22" customHeight="1">
      <c r="A314" s="12" t="inlineStr">
        <is>
          <t>EMP-0310</t>
        </is>
      </c>
      <c r="B314" s="11" t="n">
        <v>256</v>
      </c>
      <c r="C314" s="13" t="inlineStr">
        <is>
          <t>Nº 1411</t>
        </is>
      </c>
      <c r="D314" s="14" t="inlineStr">
        <is>
          <t>CLORIMUROM 360 (PRINCIPIO ATIVO)</t>
        </is>
      </c>
      <c r="E314" s="13" t="inlineStr">
        <is>
          <t>1. Titular do Registro</t>
        </is>
      </c>
      <c r="F314" s="13" t="inlineStr">
        <is>
          <t>Produto Técnico Industrial</t>
        </is>
      </c>
      <c r="G314" s="13" t="inlineStr">
        <is>
          <t>Clorimurom-etílico 250 g</t>
        </is>
      </c>
      <c r="H314" s="13" t="inlineStr">
        <is>
          <t>Estabelecimento Credenciado</t>
        </is>
      </c>
      <c r="I314" s="13" t="inlineStr">
        <is>
          <t>CNPJ Credenciado MAPA</t>
        </is>
      </c>
      <c r="J314" s="13" t="inlineStr">
        <is>
          <t>Registro Estadual Vigente</t>
        </is>
      </c>
      <c r="K314" s="13" t="inlineStr">
        <is>
          <t>Unidade Operacional Brasil</t>
        </is>
      </c>
      <c r="L314" s="13" t="inlineStr">
        <is>
          <t>Brasil</t>
        </is>
      </c>
      <c r="M314" s="13" t="inlineStr">
        <is>
          <t>0/1/2 - Conforme Origem do Lote</t>
        </is>
      </c>
    </row>
    <row r="315" ht="22" customHeight="1">
      <c r="A315" s="6" t="inlineStr">
        <is>
          <t>EMP-0311</t>
        </is>
      </c>
      <c r="B315" s="5" t="n">
        <v>256</v>
      </c>
      <c r="C315" s="7" t="inlineStr">
        <is>
          <t>Nº 1411</t>
        </is>
      </c>
      <c r="D315" s="8" t="inlineStr">
        <is>
          <t>CLORIMUROM 360 (PRINCIPIO ATIVO)</t>
        </is>
      </c>
      <c r="E315" s="7" t="inlineStr">
        <is>
          <t>3. Formulador / Co-Distribuidor Autorizado</t>
        </is>
      </c>
      <c r="F315" s="7" t="inlineStr">
        <is>
          <t>Produto Técnico Industrial</t>
        </is>
      </c>
      <c r="G315" s="7" t="inlineStr">
        <is>
          <t>kg WG</t>
        </is>
      </c>
      <c r="H315" s="7" t="inlineStr">
        <is>
          <t>Estabelecimento Credenciado</t>
        </is>
      </c>
      <c r="I315" s="7" t="inlineStr">
        <is>
          <t>CNPJ Credenciado MAPA</t>
        </is>
      </c>
      <c r="J315" s="7" t="inlineStr">
        <is>
          <t>Registro Estadual Vigente</t>
        </is>
      </c>
      <c r="K315" s="7" t="inlineStr">
        <is>
          <t>Unidade Operacional Brasil</t>
        </is>
      </c>
      <c r="L315" s="7" t="inlineStr">
        <is>
          <t>Brasil</t>
        </is>
      </c>
      <c r="M315" s="7" t="inlineStr">
        <is>
          <t>0/1/2 - Conforme Origem do Lote</t>
        </is>
      </c>
    </row>
    <row r="316" ht="22" customHeight="1">
      <c r="A316" s="12" t="inlineStr">
        <is>
          <t>EMP-0312</t>
        </is>
      </c>
      <c r="B316" s="11" t="n">
        <v>257</v>
      </c>
      <c r="C316" s="13" t="inlineStr">
        <is>
          <t>Nº 28517</t>
        </is>
      </c>
      <c r="D316" s="14" t="inlineStr">
        <is>
          <t>ABSOLUTO FIX</t>
        </is>
      </c>
      <c r="E316" s="13" t="inlineStr">
        <is>
          <t>1. Titular do Registro / Produtor</t>
        </is>
      </c>
      <c r="F316" s="13" t="inlineStr">
        <is>
          <t>Produto Formulado Comercial</t>
        </is>
      </c>
      <c r="G316" s="13" t="inlineStr">
        <is>
          <t>IHARABRAS S.A. INDUSTRIAS QUIMICA</t>
        </is>
      </c>
      <c r="H316" s="13" t="inlineStr">
        <is>
          <t>Matriz / Estabelecimento Principal</t>
        </is>
      </c>
      <c r="I316" s="13" t="inlineStr">
        <is>
          <t>CNPJ Credenciado MAPA/SIPEAGRO</t>
        </is>
      </c>
      <c r="J316" s="13" t="inlineStr">
        <is>
          <t>Registro Estadual Vigente</t>
        </is>
      </c>
      <c r="K316" s="13" t="inlineStr">
        <is>
          <t>Estabelecimento Credenciado no Brasil</t>
        </is>
      </c>
      <c r="L316" s="13" t="inlineStr">
        <is>
          <t>Brasil</t>
        </is>
      </c>
      <c r="M316" s="13" t="inlineStr">
        <is>
          <t>0 - Nacional / 1 - Importação Direta</t>
        </is>
      </c>
    </row>
    <row r="317" ht="22" customHeight="1">
      <c r="A317" s="6" t="inlineStr">
        <is>
          <t>EMP-0313</t>
        </is>
      </c>
      <c r="B317" s="5" t="n">
        <v>258</v>
      </c>
      <c r="C317" s="7" t="inlineStr">
        <is>
          <t>Nº 28517</t>
        </is>
      </c>
      <c r="D317" s="8" t="inlineStr">
        <is>
          <t>ABSOLUTO FIX</t>
        </is>
      </c>
      <c r="E317" s="7" t="inlineStr">
        <is>
          <t>1. Titular do Registro / Produtor</t>
        </is>
      </c>
      <c r="F317" s="7" t="inlineStr">
        <is>
          <t>Produto Formulado Comercial</t>
        </is>
      </c>
      <c r="G317" s="7" t="inlineStr">
        <is>
          <t>IHARABRAS S.A. INDUSTRIAS QUIMICA</t>
        </is>
      </c>
      <c r="H317" s="7" t="inlineStr">
        <is>
          <t>Matriz / Estabelecimento Principal</t>
        </is>
      </c>
      <c r="I317" s="7" t="inlineStr">
        <is>
          <t>CNPJ Credenciado MAPA/SIPEAGRO</t>
        </is>
      </c>
      <c r="J317" s="7" t="inlineStr">
        <is>
          <t>Registro Estadual Vigente</t>
        </is>
      </c>
      <c r="K317" s="7" t="inlineStr">
        <is>
          <t>Estabelecimento Credenciado no Brasil</t>
        </is>
      </c>
      <c r="L317" s="7" t="inlineStr">
        <is>
          <t>Brasil</t>
        </is>
      </c>
      <c r="M317" s="7" t="inlineStr">
        <is>
          <t>0 - Nacional / 1 - Importação Direta</t>
        </is>
      </c>
    </row>
    <row r="318" ht="22" customHeight="1">
      <c r="A318" s="12" t="inlineStr">
        <is>
          <t>EMP-0314</t>
        </is>
      </c>
      <c r="B318" s="11" t="n">
        <v>259</v>
      </c>
      <c r="C318" s="13" t="inlineStr">
        <is>
          <t>Nº 16318</t>
        </is>
      </c>
      <c r="D318" s="14" t="inlineStr">
        <is>
          <t>AMETRINA</t>
        </is>
      </c>
      <c r="E318" s="13" t="inlineStr">
        <is>
          <t>1. Titular do Registro / Produtor</t>
        </is>
      </c>
      <c r="F318" s="13" t="inlineStr">
        <is>
          <t>Produto Formulado Comercial</t>
        </is>
      </c>
      <c r="G318" s="13" t="inlineStr">
        <is>
          <t>RAINBOW DEFENSIVOS AGRICOLAS LTDA</t>
        </is>
      </c>
      <c r="H318" s="13" t="inlineStr">
        <is>
          <t>Matriz / Estabelecimento Principal</t>
        </is>
      </c>
      <c r="I318" s="13" t="inlineStr">
        <is>
          <t>10.486.463/0001-69</t>
        </is>
      </c>
      <c r="J318" s="13" t="inlineStr">
        <is>
          <t>SEAPA/RS nº 1928/09</t>
        </is>
      </c>
      <c r="K318" s="13" t="inlineStr">
        <is>
          <t>Estabelecimento Credenciado no Brasil</t>
        </is>
      </c>
      <c r="L318" s="13" t="inlineStr">
        <is>
          <t>Brasil</t>
        </is>
      </c>
      <c r="M318" s="13" t="inlineStr">
        <is>
          <t>0 - Nacional / 1 - Importação Direta</t>
        </is>
      </c>
    </row>
    <row r="319" ht="22" customHeight="1">
      <c r="A319" s="6" t="inlineStr">
        <is>
          <t>EMP-0315</t>
        </is>
      </c>
      <c r="B319" s="5" t="n">
        <v>260</v>
      </c>
      <c r="C319" s="7" t="inlineStr">
        <is>
          <t>Nº 1924</t>
        </is>
      </c>
      <c r="D319" s="8" t="inlineStr">
        <is>
          <t>FORCEPS</t>
        </is>
      </c>
      <c r="E319" s="7" t="inlineStr">
        <is>
          <t>1. Titular do Registro / Produtor</t>
        </is>
      </c>
      <c r="F319" s="7" t="inlineStr">
        <is>
          <t>Produto Formulado Comercial</t>
        </is>
      </c>
      <c r="G319" s="7" t="inlineStr">
        <is>
          <t>Rainbow Defensivos</t>
        </is>
      </c>
      <c r="H319" s="7" t="inlineStr">
        <is>
          <t>Matriz / Estabelecimento Principal</t>
        </is>
      </c>
      <c r="I319" s="7" t="inlineStr">
        <is>
          <t>10.486.463/0001-69</t>
        </is>
      </c>
      <c r="J319" s="7" t="inlineStr">
        <is>
          <t>SEAPA/RS nº 1928/09</t>
        </is>
      </c>
      <c r="K319" s="7" t="inlineStr">
        <is>
          <t>Estabelecimento Credenciado no Brasil</t>
        </is>
      </c>
      <c r="L319" s="7" t="inlineStr">
        <is>
          <t>Brasil</t>
        </is>
      </c>
      <c r="M319" s="7" t="inlineStr">
        <is>
          <t>0 - Nacional / 1 - Importação Direta</t>
        </is>
      </c>
    </row>
    <row r="320" ht="22" customHeight="1">
      <c r="A320" s="12" t="inlineStr">
        <is>
          <t>EMP-0316</t>
        </is>
      </c>
      <c r="B320" s="11" t="n">
        <v>261</v>
      </c>
      <c r="C320" s="13" t="inlineStr">
        <is>
          <t>Nº 3915</t>
        </is>
      </c>
      <c r="D320" s="14" t="inlineStr">
        <is>
          <t>CYPER COPA 250 EC</t>
        </is>
      </c>
      <c r="E320" s="13" t="inlineStr">
        <is>
          <t>1. Titular do Registro</t>
        </is>
      </c>
      <c r="F320" s="13" t="inlineStr">
        <is>
          <t>Produto Formulado Comercial</t>
        </is>
      </c>
      <c r="G320" s="13" t="inlineStr">
        <is>
          <t>UPL</t>
        </is>
      </c>
      <c r="H320" s="13" t="inlineStr">
        <is>
          <t>Estabelecimento Credenciado</t>
        </is>
      </c>
      <c r="I320" s="13" t="inlineStr">
        <is>
          <t>CNPJ Credenciado MAPA</t>
        </is>
      </c>
      <c r="J320" s="13" t="inlineStr">
        <is>
          <t>Registro Estadual Vigente</t>
        </is>
      </c>
      <c r="K320" s="13" t="inlineStr">
        <is>
          <t>Unidade Operacional Brasil</t>
        </is>
      </c>
      <c r="L320" s="13" t="inlineStr">
        <is>
          <t>Brasil</t>
        </is>
      </c>
      <c r="M320" s="13" t="inlineStr">
        <is>
          <t>0/1/2 - Conforme Origem do Lote</t>
        </is>
      </c>
    </row>
    <row r="321" ht="22" customHeight="1">
      <c r="A321" s="6" t="inlineStr">
        <is>
          <t>EMP-0317</t>
        </is>
      </c>
      <c r="B321" s="5" t="n">
        <v>261</v>
      </c>
      <c r="C321" s="7" t="inlineStr">
        <is>
          <t>Nº 3915</t>
        </is>
      </c>
      <c r="D321" s="8" t="inlineStr">
        <is>
          <t>CYPER COPA 250 EC</t>
        </is>
      </c>
      <c r="E321" s="7" t="inlineStr">
        <is>
          <t>3. Formulador / Co-Distribuidor Autorizado</t>
        </is>
      </c>
      <c r="F321" s="7" t="inlineStr">
        <is>
          <t>Produto Formulado Comercial</t>
        </is>
      </c>
      <c r="G321" s="7" t="inlineStr">
        <is>
          <t>Perterra</t>
        </is>
      </c>
      <c r="H321" s="7" t="inlineStr">
        <is>
          <t>Estabelecimento Credenciado</t>
        </is>
      </c>
      <c r="I321" s="7" t="inlineStr">
        <is>
          <t>CNPJ Credenciado MAPA</t>
        </is>
      </c>
      <c r="J321" s="7" t="inlineStr">
        <is>
          <t>Registro Estadual Vigente</t>
        </is>
      </c>
      <c r="K321" s="7" t="inlineStr">
        <is>
          <t>Unidade Operacional Brasil</t>
        </is>
      </c>
      <c r="L321" s="7" t="inlineStr">
        <is>
          <t>Brasil</t>
        </is>
      </c>
      <c r="M321" s="7" t="inlineStr">
        <is>
          <t>0/1/2 - Conforme Origem do Lote</t>
        </is>
      </c>
    </row>
    <row r="322" ht="22" customHeight="1">
      <c r="A322" s="12" t="inlineStr">
        <is>
          <t>EMP-0318</t>
        </is>
      </c>
      <c r="B322" s="11" t="n">
        <v>262</v>
      </c>
      <c r="C322" s="13" t="inlineStr">
        <is>
          <t>VINCULAR MARCA</t>
        </is>
      </c>
      <c r="D322" s="14" t="inlineStr">
        <is>
          <t>GLUFOSINATO 880 (PRINCIPIO ATIVO)</t>
        </is>
      </c>
      <c r="E322" s="13" t="inlineStr">
        <is>
          <t>1. Titular do Registro / Produtor</t>
        </is>
      </c>
      <c r="F322" s="13" t="inlineStr">
        <is>
          <t>Produto Técnico Industrial</t>
        </is>
      </c>
      <c r="G322" s="13" t="inlineStr">
        <is>
          <t>RAINBOW DEFENSIVOS AGRÍCOLAS LTDA.</t>
        </is>
      </c>
      <c r="H322" s="13" t="inlineStr">
        <is>
          <t>Matriz / Estabelecimento Principal</t>
        </is>
      </c>
      <c r="I322" s="13" t="inlineStr">
        <is>
          <t>CNPJ Credenciado MAPA/SIPEAGRO</t>
        </is>
      </c>
      <c r="J322" s="13" t="inlineStr">
        <is>
          <t>Registro Estadual Vigente</t>
        </is>
      </c>
      <c r="K322" s="13" t="inlineStr">
        <is>
          <t>Estabelecimento Credenciado no Brasil</t>
        </is>
      </c>
      <c r="L322" s="13" t="inlineStr">
        <is>
          <t>Brasil</t>
        </is>
      </c>
      <c r="M322" s="13" t="inlineStr">
        <is>
          <t>0 - Nacional / 1 - Importação Direta</t>
        </is>
      </c>
    </row>
    <row r="323" ht="22" customHeight="1">
      <c r="A323" s="6" t="inlineStr">
        <is>
          <t>EMP-0319</t>
        </is>
      </c>
      <c r="B323" s="5" t="n">
        <v>263</v>
      </c>
      <c r="C323" s="7" t="inlineStr">
        <is>
          <t>SIPEAGRO (UF-XXXXX)</t>
        </is>
      </c>
      <c r="D323" s="8" t="inlineStr">
        <is>
          <t>AGCN ULTRA COPPER</t>
        </is>
      </c>
      <c r="E323" s="7" t="inlineStr">
        <is>
          <t>1. Titular do Registro / Produtor</t>
        </is>
      </c>
      <c r="F323" s="7" t="inlineStr">
        <is>
          <t>Fertilizante Mineral / Organomineral</t>
        </is>
      </c>
      <c r="G323" s="7" t="inlineStr">
        <is>
          <t>Estabelecimento Produtor SIPEAGRO/MAPA</t>
        </is>
      </c>
      <c r="H323" s="7" t="inlineStr">
        <is>
          <t>Matriz / Estabelecimento Principal</t>
        </is>
      </c>
      <c r="I323" s="7" t="inlineStr">
        <is>
          <t>CNPJ Credenciado MAPA/SIPEAGRO</t>
        </is>
      </c>
      <c r="J323" s="7" t="inlineStr">
        <is>
          <t>Registro Estadual Vigente</t>
        </is>
      </c>
      <c r="K323" s="7" t="inlineStr">
        <is>
          <t>Estabelecimento Credenciado no Brasil</t>
        </is>
      </c>
      <c r="L323" s="7" t="inlineStr">
        <is>
          <t>Brasil</t>
        </is>
      </c>
      <c r="M323" s="7" t="inlineStr">
        <is>
          <t>0 - Nacional / 1 - Importação Direta</t>
        </is>
      </c>
    </row>
    <row r="324" ht="22" customHeight="1">
      <c r="A324" s="12" t="inlineStr">
        <is>
          <t>EMP-0320</t>
        </is>
      </c>
      <c r="B324" s="11" t="n">
        <v>264</v>
      </c>
      <c r="C324" s="13" t="inlineStr">
        <is>
          <t>Nº 17219</t>
        </is>
      </c>
      <c r="D324" s="14" t="inlineStr">
        <is>
          <t>FLUAZINAM</t>
        </is>
      </c>
      <c r="E324" s="13" t="inlineStr">
        <is>
          <t>1. Titular do Registro / Produtor</t>
        </is>
      </c>
      <c r="F324" s="13" t="inlineStr">
        <is>
          <t>Produto Formulado Comercial</t>
        </is>
      </c>
      <c r="G324" s="13" t="inlineStr">
        <is>
          <t>PROVENTIS LIFESCIENCE DEFENSIVOS AGRÍCOLAS LTDA.</t>
        </is>
      </c>
      <c r="H324" s="13" t="inlineStr">
        <is>
          <t>Matriz / Estabelecimento Principal</t>
        </is>
      </c>
      <c r="I324" s="13" t="inlineStr">
        <is>
          <t>26.632.190/0001-18</t>
        </is>
      </c>
      <c r="J324" s="13" t="inlineStr">
        <is>
          <t>CDA/SP Vigente</t>
        </is>
      </c>
      <c r="K324" s="13" t="inlineStr">
        <is>
          <t>Campinas/SP</t>
        </is>
      </c>
      <c r="L324" s="13" t="inlineStr">
        <is>
          <t>Brasil</t>
        </is>
      </c>
      <c r="M324" s="13" t="inlineStr">
        <is>
          <t>0 - Nacional / 1 - Importação Direta</t>
        </is>
      </c>
    </row>
    <row r="325" ht="22" customHeight="1">
      <c r="A325" s="6" t="inlineStr">
        <is>
          <t>EMP-0321</t>
        </is>
      </c>
      <c r="B325" s="5" t="n">
        <v>265</v>
      </c>
      <c r="C325" s="7" t="inlineStr">
        <is>
          <t>Nº 14421</t>
        </is>
      </c>
      <c r="D325" s="8" t="inlineStr">
        <is>
          <t>FIPRONIL 250 FS AGCN</t>
        </is>
      </c>
      <c r="E325" s="7" t="inlineStr">
        <is>
          <t>1. Titular do Registro / Produtor</t>
        </is>
      </c>
      <c r="F325" s="7" t="inlineStr">
        <is>
          <t>Produto Formulado Comercial</t>
        </is>
      </c>
      <c r="G325" s="7" t="inlineStr">
        <is>
          <t>AGRICONNECTION IMPORTADORA E EXPORTADORA DE INSUMOS AGRÍCOLAS LTDA.</t>
        </is>
      </c>
      <c r="H325" s="7" t="inlineStr">
        <is>
          <t>Matriz / Estabelecimento Principal</t>
        </is>
      </c>
      <c r="I325" s="7" t="inlineStr">
        <is>
          <t>39.496.730/0001-60</t>
        </is>
      </c>
      <c r="J325" s="7" t="inlineStr">
        <is>
          <t>INDEA/MT nº 27326 / CDA/SP nº 4354</t>
        </is>
      </c>
      <c r="K325" s="7" t="inlineStr">
        <is>
          <t>Av. Manoel Genildo de Araujo, 188, Sala 02, Campo Verde/MT - CEP 78840-085</t>
        </is>
      </c>
      <c r="L325" s="7" t="inlineStr">
        <is>
          <t>Brasil</t>
        </is>
      </c>
      <c r="M325" s="7" t="inlineStr">
        <is>
          <t>0 - Nacional / 1 - Importação Direta</t>
        </is>
      </c>
    </row>
    <row r="326" ht="22" customHeight="1">
      <c r="A326" s="12" t="inlineStr">
        <is>
          <t>EMP-0322</t>
        </is>
      </c>
      <c r="B326" s="11" t="n">
        <v>266</v>
      </c>
      <c r="C326" s="13" t="inlineStr">
        <is>
          <t>Nº 14024</t>
        </is>
      </c>
      <c r="D326" s="14" t="inlineStr">
        <is>
          <t>ETHIPROLE</t>
        </is>
      </c>
      <c r="E326" s="13" t="inlineStr">
        <is>
          <t>1. Titular do Registro / Produtor</t>
        </is>
      </c>
      <c r="F326" s="13" t="inlineStr">
        <is>
          <t>Produto Formulado Comercial</t>
        </is>
      </c>
      <c r="G326" s="13" t="inlineStr">
        <is>
          <t>YONON BRASIL DEFENSIVOS AGRÍCOLAS LTDA.</t>
        </is>
      </c>
      <c r="H326" s="13" t="inlineStr">
        <is>
          <t>Matriz / Estabelecimento Principal</t>
        </is>
      </c>
      <c r="I326" s="13" t="inlineStr">
        <is>
          <t>31.597.412/0001-88</t>
        </is>
      </c>
      <c r="J326" s="13" t="inlineStr">
        <is>
          <t>CDA/SP Vigente</t>
        </is>
      </c>
      <c r="K326" s="13" t="inlineStr">
        <is>
          <t>São Paulo/SP</t>
        </is>
      </c>
      <c r="L326" s="13" t="inlineStr">
        <is>
          <t>Brasil</t>
        </is>
      </c>
      <c r="M326" s="13" t="inlineStr">
        <is>
          <t>0 - Nacional / 1 - Importação Direta</t>
        </is>
      </c>
    </row>
    <row r="327" ht="22" customHeight="1">
      <c r="A327" s="6" t="inlineStr">
        <is>
          <t>EMP-0323</t>
        </is>
      </c>
      <c r="B327" s="5" t="n">
        <v>267</v>
      </c>
      <c r="C327" s="7" t="inlineStr">
        <is>
          <t>Nº 2004</t>
        </is>
      </c>
      <c r="D327" s="8" t="inlineStr">
        <is>
          <t>PENNCOZEB</t>
        </is>
      </c>
      <c r="E327" s="7" t="inlineStr">
        <is>
          <t>1. Titular do Registro / Produtor</t>
        </is>
      </c>
      <c r="F327" s="7" t="inlineStr">
        <is>
          <t>Produto Formulado Comercial</t>
        </is>
      </c>
      <c r="G327" s="7" t="inlineStr">
        <is>
          <t>UPL do Brasil</t>
        </is>
      </c>
      <c r="H327" s="7" t="inlineStr">
        <is>
          <t>Matriz / Estabelecimento Principal</t>
        </is>
      </c>
      <c r="I327" s="7" t="inlineStr">
        <is>
          <t>CNPJ Credenciado MAPA/SIPEAGRO</t>
        </is>
      </c>
      <c r="J327" s="7" t="inlineStr">
        <is>
          <t>Registro Estadual Vigente</t>
        </is>
      </c>
      <c r="K327" s="7" t="inlineStr">
        <is>
          <t>Estabelecimento Credenciado no Brasil</t>
        </is>
      </c>
      <c r="L327" s="7" t="inlineStr">
        <is>
          <t>Brasil</t>
        </is>
      </c>
      <c r="M327" s="7" t="inlineStr">
        <is>
          <t>0 - Nacional / 1 - Importação Direta</t>
        </is>
      </c>
    </row>
    <row r="328" ht="22" customHeight="1">
      <c r="A328" s="12" t="inlineStr">
        <is>
          <t>EMP-0324</t>
        </is>
      </c>
      <c r="B328" s="11" t="n">
        <v>268</v>
      </c>
      <c r="C328" s="13" t="inlineStr">
        <is>
          <t>Nº 7124</t>
        </is>
      </c>
      <c r="D328" s="14" t="inlineStr">
        <is>
          <t>OPTIBEX</t>
        </is>
      </c>
      <c r="E328" s="13" t="inlineStr">
        <is>
          <t>1. Titular do Registro / Produtor</t>
        </is>
      </c>
      <c r="F328" s="13" t="inlineStr">
        <is>
          <t>Produto Formulado Comercial</t>
        </is>
      </c>
      <c r="G328" s="13" t="inlineStr">
        <is>
          <t>Rainbow Defensivos</t>
        </is>
      </c>
      <c r="H328" s="13" t="inlineStr">
        <is>
          <t>Matriz / Estabelecimento Principal</t>
        </is>
      </c>
      <c r="I328" s="13" t="inlineStr">
        <is>
          <t>10.486.463/0001-69</t>
        </is>
      </c>
      <c r="J328" s="13" t="inlineStr">
        <is>
          <t>SEAPA/RS nº 1928/09</t>
        </is>
      </c>
      <c r="K328" s="13" t="inlineStr">
        <is>
          <t>Estabelecimento Credenciado no Brasil</t>
        </is>
      </c>
      <c r="L328" s="13" t="inlineStr">
        <is>
          <t>Brasil</t>
        </is>
      </c>
      <c r="M328" s="13" t="inlineStr">
        <is>
          <t>0 - Nacional / 1 - Importação Direta</t>
        </is>
      </c>
    </row>
    <row r="329" ht="22" customHeight="1">
      <c r="A329" s="6" t="inlineStr">
        <is>
          <t>EMP-0325</t>
        </is>
      </c>
      <c r="B329" s="5" t="n">
        <v>269</v>
      </c>
      <c r="C329" s="7" t="inlineStr">
        <is>
          <t>Nº 16407</t>
        </is>
      </c>
      <c r="D329" s="8" t="inlineStr">
        <is>
          <t>ARENA</t>
        </is>
      </c>
      <c r="E329" s="7" t="inlineStr">
        <is>
          <t>1. Titular do Registro / Produtor</t>
        </is>
      </c>
      <c r="F329" s="7" t="inlineStr">
        <is>
          <t>Produto Formulado Comercial</t>
        </is>
      </c>
      <c r="G329" s="7" t="inlineStr">
        <is>
          <t>Globachem Protecao de Cultivos do Brasil Ltda</t>
        </is>
      </c>
      <c r="H329" s="7" t="inlineStr">
        <is>
          <t>Matriz / Estabelecimento Principal</t>
        </is>
      </c>
      <c r="I329" s="7" t="inlineStr">
        <is>
          <t>43.741.357/0001-33</t>
        </is>
      </c>
      <c r="J329" s="7" t="inlineStr">
        <is>
          <t>Registro Estadual Vigente</t>
        </is>
      </c>
      <c r="K329" s="7" t="inlineStr">
        <is>
          <t>Estabelecimento Credenciado no Brasil</t>
        </is>
      </c>
      <c r="L329" s="7" t="inlineStr">
        <is>
          <t>Brasil</t>
        </is>
      </c>
      <c r="M329" s="7" t="inlineStr">
        <is>
          <t>0 - Nacional / 1 - Importação Direta</t>
        </is>
      </c>
    </row>
    <row r="330" ht="22" customHeight="1">
      <c r="A330" s="12" t="inlineStr">
        <is>
          <t>EMP-0326</t>
        </is>
      </c>
      <c r="B330" s="11" t="n">
        <v>270</v>
      </c>
      <c r="C330" s="13" t="inlineStr">
        <is>
          <t>Nº 22023</t>
        </is>
      </c>
      <c r="D330" s="14" t="inlineStr">
        <is>
          <t>TEBUCONAZOLE 430 SINO-AGRI</t>
        </is>
      </c>
      <c r="E330" s="13" t="inlineStr">
        <is>
          <t>1. Titular do Registro / Produtor</t>
        </is>
      </c>
      <c r="F330" s="13" t="inlineStr">
        <is>
          <t>Produto Formulado Comercial</t>
        </is>
      </c>
      <c r="G330" s="13" t="inlineStr">
        <is>
          <t>SINO-AGRI LEADING BIOSCIENCES DO BRASIL / INOVATIS LTDA.</t>
        </is>
      </c>
      <c r="H330" s="13" t="inlineStr">
        <is>
          <t>Matriz / Estabelecimento Principal</t>
        </is>
      </c>
      <c r="I330" s="13" t="inlineStr">
        <is>
          <t>28.912.340/0001-50</t>
        </is>
      </c>
      <c r="J330" s="13" t="inlineStr">
        <is>
          <t>CDA/SP Vigente</t>
        </is>
      </c>
      <c r="K330" s="13" t="inlineStr">
        <is>
          <t>São Paulo/SP</t>
        </is>
      </c>
      <c r="L330" s="13" t="inlineStr">
        <is>
          <t>Brasil</t>
        </is>
      </c>
      <c r="M330" s="13" t="inlineStr">
        <is>
          <t>0 - Nacional / 1 - Importação Direta</t>
        </is>
      </c>
    </row>
    <row r="331" ht="22" customHeight="1">
      <c r="A331" s="6" t="inlineStr">
        <is>
          <t>EMP-0327</t>
        </is>
      </c>
      <c r="B331" s="5" t="n">
        <v>271</v>
      </c>
      <c r="C331" s="7" t="inlineStr">
        <is>
          <t>Nº 22023</t>
        </is>
      </c>
      <c r="D331" s="8" t="inlineStr">
        <is>
          <t>TEBUCONAZOLE 430 SINO-AGRI</t>
        </is>
      </c>
      <c r="E331" s="7" t="inlineStr">
        <is>
          <t>1. Titular do Registro / Produtor</t>
        </is>
      </c>
      <c r="F331" s="7" t="inlineStr">
        <is>
          <t>Produto Formulado Comercial</t>
        </is>
      </c>
      <c r="G331" s="7" t="inlineStr">
        <is>
          <t>SINO-AGRI LEADING BIOSCIENCES DO BRASIL / INOVATIS LTDA.</t>
        </is>
      </c>
      <c r="H331" s="7" t="inlineStr">
        <is>
          <t>Matriz / Estabelecimento Principal</t>
        </is>
      </c>
      <c r="I331" s="7" t="inlineStr">
        <is>
          <t>28.912.340/0001-50</t>
        </is>
      </c>
      <c r="J331" s="7" t="inlineStr">
        <is>
          <t>CDA/SP Vigente</t>
        </is>
      </c>
      <c r="K331" s="7" t="inlineStr">
        <is>
          <t>São Paulo/SP</t>
        </is>
      </c>
      <c r="L331" s="7" t="inlineStr">
        <is>
          <t>Brasil</t>
        </is>
      </c>
      <c r="M331" s="7" t="inlineStr">
        <is>
          <t>0 - Nacional / 1 - Importação Direta</t>
        </is>
      </c>
    </row>
    <row r="332" ht="22" customHeight="1">
      <c r="A332" s="12" t="inlineStr">
        <is>
          <t>EMP-0328</t>
        </is>
      </c>
      <c r="B332" s="11" t="n">
        <v>272</v>
      </c>
      <c r="C332" s="13" t="inlineStr">
        <is>
          <t>Nº 10010</t>
        </is>
      </c>
      <c r="D332" s="14" t="inlineStr">
        <is>
          <t>BRILHANTE BR</t>
        </is>
      </c>
      <c r="E332" s="13" t="inlineStr">
        <is>
          <t>1. Titular do Registro / Produtor</t>
        </is>
      </c>
      <c r="F332" s="13" t="inlineStr">
        <is>
          <t>Produto Formulado Comercial</t>
        </is>
      </c>
      <c r="G332" s="13" t="inlineStr">
        <is>
          <t>OURO FINO QUIMICA S.A.</t>
        </is>
      </c>
      <c r="H332" s="13" t="inlineStr">
        <is>
          <t>Matriz / Estabelecimento Principal</t>
        </is>
      </c>
      <c r="I332" s="13" t="inlineStr">
        <is>
          <t>CNPJ Credenciado MAPA/SIPEAGRO</t>
        </is>
      </c>
      <c r="J332" s="13" t="inlineStr">
        <is>
          <t>Registro Estadual Vigente</t>
        </is>
      </c>
      <c r="K332" s="13" t="inlineStr">
        <is>
          <t>Estabelecimento Credenciado no Brasil</t>
        </is>
      </c>
      <c r="L332" s="13" t="inlineStr">
        <is>
          <t>Brasil</t>
        </is>
      </c>
      <c r="M332" s="13" t="inlineStr">
        <is>
          <t>0 - Nacional / 1 - Importação Direta</t>
        </is>
      </c>
    </row>
    <row r="333" ht="22" customHeight="1">
      <c r="A333" s="6" t="inlineStr">
        <is>
          <t>EMP-0329</t>
        </is>
      </c>
      <c r="B333" s="5" t="n">
        <v>273</v>
      </c>
      <c r="C333" s="7" t="inlineStr">
        <is>
          <t>ISENTO (ATO 104/2017)</t>
        </is>
      </c>
      <c r="D333" s="8" t="inlineStr">
        <is>
          <t>FERTILIZANTES 3 -</t>
        </is>
      </c>
      <c r="E333" s="7" t="inlineStr">
        <is>
          <t>1. Titular do Registro / Produtor</t>
        </is>
      </c>
      <c r="F333" s="7" t="inlineStr">
        <is>
          <t>Adjuvante / Espalhante Adesivo</t>
        </is>
      </c>
      <c r="G333" s="7" t="inlineStr">
        <is>
          <t>Dispensado de Registro (Ato SDA nº 104/2017)</t>
        </is>
      </c>
      <c r="H333" s="7" t="inlineStr">
        <is>
          <t>Matriz / Estabelecimento Principal</t>
        </is>
      </c>
      <c r="I333" s="7" t="inlineStr">
        <is>
          <t>CNPJ Credenciado MAPA/SIPEAGRO</t>
        </is>
      </c>
      <c r="J333" s="7" t="inlineStr">
        <is>
          <t>Registro Estadual Vigente</t>
        </is>
      </c>
      <c r="K333" s="7" t="inlineStr">
        <is>
          <t>Estabelecimento Credenciado no Brasil</t>
        </is>
      </c>
      <c r="L333" s="7" t="inlineStr">
        <is>
          <t>Brasil</t>
        </is>
      </c>
      <c r="M333" s="7" t="inlineStr">
        <is>
          <t>0 - Nacional / 1 - Importação Direta</t>
        </is>
      </c>
    </row>
    <row r="334" ht="22" customHeight="1">
      <c r="A334" s="12" t="inlineStr">
        <is>
          <t>EMP-0330</t>
        </is>
      </c>
      <c r="B334" s="11" t="n">
        <v>274</v>
      </c>
      <c r="C334" s="13" t="inlineStr">
        <is>
          <t>Nº 12621</t>
        </is>
      </c>
      <c r="D334" s="14" t="inlineStr">
        <is>
          <t>NADRAN 250</t>
        </is>
      </c>
      <c r="E334" s="13" t="inlineStr">
        <is>
          <t>1. Titular do Registro / Produtor</t>
        </is>
      </c>
      <c r="F334" s="13" t="inlineStr">
        <is>
          <t>Produto Formulado Comercial</t>
        </is>
      </c>
      <c r="G334" s="13" t="inlineStr">
        <is>
          <t>Luxembourg Brasil</t>
        </is>
      </c>
      <c r="H334" s="13" t="inlineStr">
        <is>
          <t>Matriz / Estabelecimento Principal</t>
        </is>
      </c>
      <c r="I334" s="13" t="inlineStr">
        <is>
          <t>CNPJ Credenciado MAPA/SIPEAGRO</t>
        </is>
      </c>
      <c r="J334" s="13" t="inlineStr">
        <is>
          <t>Registro Estadual Vigente</t>
        </is>
      </c>
      <c r="K334" s="13" t="inlineStr">
        <is>
          <t>Estabelecimento Credenciado no Brasil</t>
        </is>
      </c>
      <c r="L334" s="13" t="inlineStr">
        <is>
          <t>Brasil</t>
        </is>
      </c>
      <c r="M334" s="13" t="inlineStr">
        <is>
          <t>0 - Nacional / 1 - Importação Direta</t>
        </is>
      </c>
    </row>
    <row r="335" ht="22" customHeight="1">
      <c r="A335" s="6" t="inlineStr">
        <is>
          <t>EMP-0331</t>
        </is>
      </c>
      <c r="B335" s="5" t="n">
        <v>275</v>
      </c>
      <c r="C335" s="7" t="inlineStr">
        <is>
          <t>SIPEAGRO (UF-XXXXX)</t>
        </is>
      </c>
      <c r="D335" s="8" t="inlineStr">
        <is>
          <t>BRENNFEED BR 248</t>
        </is>
      </c>
      <c r="E335" s="7" t="inlineStr">
        <is>
          <t>1. Titular do Registro / Produtor</t>
        </is>
      </c>
      <c r="F335" s="7" t="inlineStr">
        <is>
          <t>Fertilizante Mineral / Organomineral</t>
        </is>
      </c>
      <c r="G335" s="7" t="inlineStr">
        <is>
          <t>Estabelecimento Produtor SIPEAGRO/MAPA</t>
        </is>
      </c>
      <c r="H335" s="7" t="inlineStr">
        <is>
          <t>Matriz / Estabelecimento Principal</t>
        </is>
      </c>
      <c r="I335" s="7" t="inlineStr">
        <is>
          <t>CNPJ Credenciado MAPA/SIPEAGRO</t>
        </is>
      </c>
      <c r="J335" s="7" t="inlineStr">
        <is>
          <t>Registro Estadual Vigente</t>
        </is>
      </c>
      <c r="K335" s="7" t="inlineStr">
        <is>
          <t>Estabelecimento Credenciado no Brasil</t>
        </is>
      </c>
      <c r="L335" s="7" t="inlineStr">
        <is>
          <t>Brasil</t>
        </is>
      </c>
      <c r="M335" s="7" t="inlineStr">
        <is>
          <t>0 - Nacional / 1 - Importação Direta</t>
        </is>
      </c>
    </row>
    <row r="336" ht="22" customHeight="1">
      <c r="A336" s="12" t="inlineStr">
        <is>
          <t>EMP-0332</t>
        </is>
      </c>
      <c r="B336" s="11" t="n">
        <v>276</v>
      </c>
      <c r="C336" s="13" t="inlineStr">
        <is>
          <t>Nº 31817</t>
        </is>
      </c>
      <c r="D336" s="14" t="inlineStr">
        <is>
          <t>RAINIL</t>
        </is>
      </c>
      <c r="E336" s="13" t="inlineStr">
        <is>
          <t>1. Titular do Registro / Produtor</t>
        </is>
      </c>
      <c r="F336" s="13" t="inlineStr">
        <is>
          <t>Produto Formulado Comercial</t>
        </is>
      </c>
      <c r="G336" s="13" t="inlineStr">
        <is>
          <t>RAINBOW DEFENSIVOS AGRÍCOLAS LTDA.</t>
        </is>
      </c>
      <c r="H336" s="13" t="inlineStr">
        <is>
          <t>Matriz / Estabelecimento Principal</t>
        </is>
      </c>
      <c r="I336" s="13" t="inlineStr">
        <is>
          <t>CNPJ Credenciado MAPA/SIPEAGRO</t>
        </is>
      </c>
      <c r="J336" s="13" t="inlineStr">
        <is>
          <t>Registro Estadual Vigente</t>
        </is>
      </c>
      <c r="K336" s="13" t="inlineStr">
        <is>
          <t>Estabelecimento Credenciado no Brasil</t>
        </is>
      </c>
      <c r="L336" s="13" t="inlineStr">
        <is>
          <t>Brasil</t>
        </is>
      </c>
      <c r="M336" s="13" t="inlineStr">
        <is>
          <t>0 - Nacional / 1 - Importação Direta</t>
        </is>
      </c>
    </row>
    <row r="337" ht="22" customHeight="1">
      <c r="A337" s="6" t="inlineStr">
        <is>
          <t>EMP-0333</t>
        </is>
      </c>
      <c r="B337" s="5" t="n">
        <v>277</v>
      </c>
      <c r="C337" s="7" t="inlineStr">
        <is>
          <t>Nº 17119</t>
        </is>
      </c>
      <c r="D337" s="8" t="inlineStr">
        <is>
          <t>DIFENCONAZOLE 25% EC</t>
        </is>
      </c>
      <c r="E337" s="7" t="inlineStr">
        <is>
          <t>1. Titular do Registro / Produtor</t>
        </is>
      </c>
      <c r="F337" s="7" t="inlineStr">
        <is>
          <t>Produto Formulado Comercial</t>
        </is>
      </c>
      <c r="G337" s="7" t="inlineStr">
        <is>
          <t>RAINBOW DEFENSIVOS AGRÍCOLAS LTDA.</t>
        </is>
      </c>
      <c r="H337" s="7" t="inlineStr">
        <is>
          <t>Matriz / Estabelecimento Principal</t>
        </is>
      </c>
      <c r="I337" s="7" t="inlineStr">
        <is>
          <t>CNPJ Credenciado MAPA/SIPEAGRO</t>
        </is>
      </c>
      <c r="J337" s="7" t="inlineStr">
        <is>
          <t>Registro Estadual Vigente</t>
        </is>
      </c>
      <c r="K337" s="7" t="inlineStr">
        <is>
          <t>Estabelecimento Credenciado no Brasil</t>
        </is>
      </c>
      <c r="L337" s="7" t="inlineStr">
        <is>
          <t>Brasil</t>
        </is>
      </c>
      <c r="M337" s="7" t="inlineStr">
        <is>
          <t>0 - Nacional / 1 - Importação Direta</t>
        </is>
      </c>
    </row>
    <row r="338" ht="22" customHeight="1">
      <c r="A338" s="12" t="inlineStr">
        <is>
          <t>EMP-0334</t>
        </is>
      </c>
      <c r="B338" s="11" t="n">
        <v>278</v>
      </c>
      <c r="C338" s="13" t="inlineStr">
        <is>
          <t>Nº 2788394</t>
        </is>
      </c>
      <c r="D338" s="14" t="inlineStr">
        <is>
          <t>ORTHENE 750 BR</t>
        </is>
      </c>
      <c r="E338" s="13" t="inlineStr">
        <is>
          <t>1. Titular do Registro</t>
        </is>
      </c>
      <c r="F338" s="13" t="inlineStr">
        <is>
          <t>Produto Formulado Comercial</t>
        </is>
      </c>
      <c r="G338" s="13" t="inlineStr">
        <is>
          <t>UPL</t>
        </is>
      </c>
      <c r="H338" s="13" t="inlineStr">
        <is>
          <t>Estabelecimento Credenciado</t>
        </is>
      </c>
      <c r="I338" s="13" t="inlineStr">
        <is>
          <t>CNPJ Credenciado MAPA</t>
        </is>
      </c>
      <c r="J338" s="13" t="inlineStr">
        <is>
          <t>Registro Estadual Vigente</t>
        </is>
      </c>
      <c r="K338" s="13" t="inlineStr">
        <is>
          <t>Unidade Operacional Brasil</t>
        </is>
      </c>
      <c r="L338" s="13" t="inlineStr">
        <is>
          <t>Brasil</t>
        </is>
      </c>
      <c r="M338" s="13" t="inlineStr">
        <is>
          <t>0/1/2 - Conforme Origem do Lote</t>
        </is>
      </c>
    </row>
    <row r="339" ht="22" customHeight="1">
      <c r="A339" s="6" t="inlineStr">
        <is>
          <t>EMP-0335</t>
        </is>
      </c>
      <c r="B339" s="5" t="n">
        <v>278</v>
      </c>
      <c r="C339" s="7" t="inlineStr">
        <is>
          <t>Nº 2788394</t>
        </is>
      </c>
      <c r="D339" s="8" t="inlineStr">
        <is>
          <t>ORTHENE 750 BR</t>
        </is>
      </c>
      <c r="E339" s="7" t="inlineStr">
        <is>
          <t>3. Formulador / Co-Distribuidor Autorizado</t>
        </is>
      </c>
      <c r="F339" s="7" t="inlineStr">
        <is>
          <t>Produto Formulado Comercial</t>
        </is>
      </c>
      <c r="G339" s="7" t="inlineStr">
        <is>
          <t>Arysta Lifescience</t>
        </is>
      </c>
      <c r="H339" s="7" t="inlineStr">
        <is>
          <t>Estabelecimento Credenciado</t>
        </is>
      </c>
      <c r="I339" s="7" t="inlineStr">
        <is>
          <t>CNPJ Credenciado MAPA</t>
        </is>
      </c>
      <c r="J339" s="7" t="inlineStr">
        <is>
          <t>Registro Estadual Vigente</t>
        </is>
      </c>
      <c r="K339" s="7" t="inlineStr">
        <is>
          <t>Unidade Operacional Brasil</t>
        </is>
      </c>
      <c r="L339" s="7" t="inlineStr">
        <is>
          <t>Brasil</t>
        </is>
      </c>
      <c r="M339" s="7" t="inlineStr">
        <is>
          <t>0/1/2 - Conforme Origem do Lote</t>
        </is>
      </c>
    </row>
    <row r="340" ht="22" customHeight="1">
      <c r="A340" s="12" t="inlineStr">
        <is>
          <t>EMP-0336</t>
        </is>
      </c>
      <c r="B340" s="11" t="n">
        <v>279</v>
      </c>
      <c r="C340" s="13" t="inlineStr">
        <is>
          <t>Nº 16223</t>
        </is>
      </c>
      <c r="D340" s="14" t="inlineStr">
        <is>
          <t>CLOMASTER</t>
        </is>
      </c>
      <c r="E340" s="13" t="inlineStr">
        <is>
          <t>1. Titular do Registro / Produtor</t>
        </is>
      </c>
      <c r="F340" s="13" t="inlineStr">
        <is>
          <t>Produto Formulado Comercial</t>
        </is>
      </c>
      <c r="G340" s="13" t="inlineStr">
        <is>
          <t>RAINBOW DEFENSIVOS AGRÍCOLAS LTDA. / PERTERRA S.A.</t>
        </is>
      </c>
      <c r="H340" s="13" t="inlineStr">
        <is>
          <t>Matriz / Estabelecimento Principal</t>
        </is>
      </c>
      <c r="I340" s="13" t="inlineStr">
        <is>
          <t>10.486.463/0001-69</t>
        </is>
      </c>
      <c r="J340" s="13" t="inlineStr">
        <is>
          <t>SEAPA/RS nº 1928/09</t>
        </is>
      </c>
      <c r="K340" s="13" t="inlineStr">
        <is>
          <t>Av. Carlos Gomes, 258, Porto Alegre/RS</t>
        </is>
      </c>
      <c r="L340" s="13" t="inlineStr">
        <is>
          <t>Brasil</t>
        </is>
      </c>
      <c r="M340" s="13" t="inlineStr">
        <is>
          <t>0 - Nacional / 1 - Importação Direta</t>
        </is>
      </c>
    </row>
    <row r="341" ht="22" customHeight="1">
      <c r="A341" s="6" t="inlineStr">
        <is>
          <t>EMP-0337</t>
        </is>
      </c>
      <c r="B341" s="5" t="n">
        <v>280</v>
      </c>
      <c r="C341" s="7" t="inlineStr">
        <is>
          <t>ISENTO (ATO 104/2017)</t>
        </is>
      </c>
      <c r="D341" s="8" t="inlineStr">
        <is>
          <t>AGCN SAFE AIR</t>
        </is>
      </c>
      <c r="E341" s="7" t="inlineStr">
        <is>
          <t>1. Titular do Registro / Produtor</t>
        </is>
      </c>
      <c r="F341" s="7" t="inlineStr">
        <is>
          <t>Adjuvante / Espalhante Adesivo</t>
        </is>
      </c>
      <c r="G341" s="7" t="inlineStr">
        <is>
          <t>Dispensado de Registro (Ato SDA nº 104/2017)</t>
        </is>
      </c>
      <c r="H341" s="7" t="inlineStr">
        <is>
          <t>Matriz / Estabelecimento Principal</t>
        </is>
      </c>
      <c r="I341" s="7" t="inlineStr">
        <is>
          <t>CNPJ Credenciado MAPA/SIPEAGRO</t>
        </is>
      </c>
      <c r="J341" s="7" t="inlineStr">
        <is>
          <t>Registro Estadual Vigente</t>
        </is>
      </c>
      <c r="K341" s="7" t="inlineStr">
        <is>
          <t>Estabelecimento Credenciado no Brasil</t>
        </is>
      </c>
      <c r="L341" s="7" t="inlineStr">
        <is>
          <t>Brasil</t>
        </is>
      </c>
      <c r="M341" s="7" t="inlineStr">
        <is>
          <t>0 - Nacional / 1 - Importação Direta</t>
        </is>
      </c>
    </row>
    <row r="342" ht="22" customHeight="1">
      <c r="A342" s="12" t="inlineStr">
        <is>
          <t>EMP-0338</t>
        </is>
      </c>
      <c r="B342" s="11" t="n">
        <v>281</v>
      </c>
      <c r="C342" s="13" t="inlineStr">
        <is>
          <t>SIPEAGRO (UF-XXXXX)</t>
        </is>
      </c>
      <c r="D342" s="14" t="inlineStr">
        <is>
          <t>AGCN SEED ULTRA</t>
        </is>
      </c>
      <c r="E342" s="13" t="inlineStr">
        <is>
          <t>1. Titular do Registro / Produtor</t>
        </is>
      </c>
      <c r="F342" s="13" t="inlineStr">
        <is>
          <t>Fertilizante Mineral / Organomineral</t>
        </is>
      </c>
      <c r="G342" s="13" t="inlineStr">
        <is>
          <t>Estabelecimento Produtor SIPEAGRO/MAPA</t>
        </is>
      </c>
      <c r="H342" s="13" t="inlineStr">
        <is>
          <t>Matriz / Estabelecimento Principal</t>
        </is>
      </c>
      <c r="I342" s="13" t="inlineStr">
        <is>
          <t>CNPJ Credenciado MAPA/SIPEAGRO</t>
        </is>
      </c>
      <c r="J342" s="13" t="inlineStr">
        <is>
          <t>Registro Estadual Vigente</t>
        </is>
      </c>
      <c r="K342" s="13" t="inlineStr">
        <is>
          <t>Estabelecimento Credenciado no Brasil</t>
        </is>
      </c>
      <c r="L342" s="13" t="inlineStr">
        <is>
          <t>Brasil</t>
        </is>
      </c>
      <c r="M342" s="13" t="inlineStr">
        <is>
          <t>0 - Nacional / 1 - Importação Direta</t>
        </is>
      </c>
    </row>
    <row r="343" ht="22" customHeight="1">
      <c r="A343" s="6" t="inlineStr">
        <is>
          <t>EMP-0339</t>
        </is>
      </c>
      <c r="B343" s="5" t="n">
        <v>282</v>
      </c>
      <c r="C343" s="7" t="inlineStr">
        <is>
          <t>SIPEAGRO (UF-XXXXX)</t>
        </is>
      </c>
      <c r="D343" s="8" t="inlineStr">
        <is>
          <t>AGCN FULL ULTRA</t>
        </is>
      </c>
      <c r="E343" s="7" t="inlineStr">
        <is>
          <t>1. Titular do Registro / Produtor</t>
        </is>
      </c>
      <c r="F343" s="7" t="inlineStr">
        <is>
          <t>Fertilizante Mineral / Organomineral</t>
        </is>
      </c>
      <c r="G343" s="7" t="inlineStr">
        <is>
          <t>Estabelecimento Produtor SIPEAGRO/MAPA</t>
        </is>
      </c>
      <c r="H343" s="7" t="inlineStr">
        <is>
          <t>Matriz / Estabelecimento Principal</t>
        </is>
      </c>
      <c r="I343" s="7" t="inlineStr">
        <is>
          <t>CNPJ Credenciado MAPA/SIPEAGRO</t>
        </is>
      </c>
      <c r="J343" s="7" t="inlineStr">
        <is>
          <t>Registro Estadual Vigente</t>
        </is>
      </c>
      <c r="K343" s="7" t="inlineStr">
        <is>
          <t>Estabelecimento Credenciado no Brasil</t>
        </is>
      </c>
      <c r="L343" s="7" t="inlineStr">
        <is>
          <t>Brasil</t>
        </is>
      </c>
      <c r="M343" s="7" t="inlineStr">
        <is>
          <t>0 - Nacional / 1 - Importação Direta</t>
        </is>
      </c>
    </row>
    <row r="344" ht="22" customHeight="1">
      <c r="A344" s="12" t="inlineStr">
        <is>
          <t>EMP-0340</t>
        </is>
      </c>
      <c r="B344" s="11" t="n">
        <v>283</v>
      </c>
      <c r="C344" s="13" t="inlineStr">
        <is>
          <t>ISENTO (ATO 104/2017)</t>
        </is>
      </c>
      <c r="D344" s="14" t="inlineStr">
        <is>
          <t>AGCN SAFE SPRAY</t>
        </is>
      </c>
      <c r="E344" s="13" t="inlineStr">
        <is>
          <t>1. Titular do Registro / Produtor</t>
        </is>
      </c>
      <c r="F344" s="13" t="inlineStr">
        <is>
          <t>Adjuvante / Espalhante Adesivo</t>
        </is>
      </c>
      <c r="G344" s="13" t="inlineStr">
        <is>
          <t>Dispensado de Registro (Ato SDA nº 104/2017)</t>
        </is>
      </c>
      <c r="H344" s="13" t="inlineStr">
        <is>
          <t>Matriz / Estabelecimento Principal</t>
        </is>
      </c>
      <c r="I344" s="13" t="inlineStr">
        <is>
          <t>CNPJ Credenciado MAPA/SIPEAGRO</t>
        </is>
      </c>
      <c r="J344" s="13" t="inlineStr">
        <is>
          <t>Registro Estadual Vigente</t>
        </is>
      </c>
      <c r="K344" s="13" t="inlineStr">
        <is>
          <t>Estabelecimento Credenciado no Brasil</t>
        </is>
      </c>
      <c r="L344" s="13" t="inlineStr">
        <is>
          <t>Brasil</t>
        </is>
      </c>
      <c r="M344" s="13" t="inlineStr">
        <is>
          <t>0 - Nacional / 1 - Importação Direta</t>
        </is>
      </c>
    </row>
    <row r="345" ht="22" customHeight="1">
      <c r="A345" s="6" t="inlineStr">
        <is>
          <t>EMP-0341</t>
        </is>
      </c>
      <c r="B345" s="5" t="n">
        <v>284</v>
      </c>
      <c r="C345" s="7" t="inlineStr">
        <is>
          <t>SIPEAGRO (UF-XXXXX)</t>
        </is>
      </c>
      <c r="D345" s="8" t="inlineStr">
        <is>
          <t>AGCN SEED +</t>
        </is>
      </c>
      <c r="E345" s="7" t="inlineStr">
        <is>
          <t>1. Titular do Registro / Produtor</t>
        </is>
      </c>
      <c r="F345" s="7" t="inlineStr">
        <is>
          <t>Fertilizante Mineral / Organomineral</t>
        </is>
      </c>
      <c r="G345" s="7" t="inlineStr">
        <is>
          <t>Estabelecimento Produtor SIPEAGRO/MAPA</t>
        </is>
      </c>
      <c r="H345" s="7" t="inlineStr">
        <is>
          <t>Matriz / Estabelecimento Principal</t>
        </is>
      </c>
      <c r="I345" s="7" t="inlineStr">
        <is>
          <t>CNPJ Credenciado MAPA/SIPEAGRO</t>
        </is>
      </c>
      <c r="J345" s="7" t="inlineStr">
        <is>
          <t>Registro Estadual Vigente</t>
        </is>
      </c>
      <c r="K345" s="7" t="inlineStr">
        <is>
          <t>Estabelecimento Credenciado no Brasil</t>
        </is>
      </c>
      <c r="L345" s="7" t="inlineStr">
        <is>
          <t>Brasil</t>
        </is>
      </c>
      <c r="M345" s="7" t="inlineStr">
        <is>
          <t>0 - Nacional / 1 - Importação Direta</t>
        </is>
      </c>
    </row>
    <row r="346" ht="22" customHeight="1">
      <c r="A346" s="12" t="inlineStr">
        <is>
          <t>EMP-0342</t>
        </is>
      </c>
      <c r="B346" s="11" t="n">
        <v>285</v>
      </c>
      <c r="C346" s="13" t="inlineStr">
        <is>
          <t>SIPEAGRO (UF-XXXXX)</t>
        </is>
      </c>
      <c r="D346" s="14" t="inlineStr">
        <is>
          <t>SULFATO DE ZINCO</t>
        </is>
      </c>
      <c r="E346" s="13" t="inlineStr">
        <is>
          <t>1. Titular do Registro / Produtor</t>
        </is>
      </c>
      <c r="F346" s="13" t="inlineStr">
        <is>
          <t>Fertilizante Mineral / Organomineral</t>
        </is>
      </c>
      <c r="G346" s="13" t="inlineStr">
        <is>
          <t>Estabelecimento Produtor SIPEAGRO/MAPA</t>
        </is>
      </c>
      <c r="H346" s="13" t="inlineStr">
        <is>
          <t>Matriz / Estabelecimento Principal</t>
        </is>
      </c>
      <c r="I346" s="13" t="inlineStr">
        <is>
          <t>CNPJ Credenciado MAPA/SIPEAGRO</t>
        </is>
      </c>
      <c r="J346" s="13" t="inlineStr">
        <is>
          <t>Registro Estadual Vigente</t>
        </is>
      </c>
      <c r="K346" s="13" t="inlineStr">
        <is>
          <t>Estabelecimento Credenciado no Brasil</t>
        </is>
      </c>
      <c r="L346" s="13" t="inlineStr">
        <is>
          <t>Brasil</t>
        </is>
      </c>
      <c r="M346" s="13" t="inlineStr">
        <is>
          <t>0 - Nacional / 1 - Importação Direta</t>
        </is>
      </c>
    </row>
    <row r="347" ht="22" customHeight="1">
      <c r="A347" s="6" t="inlineStr">
        <is>
          <t>EMP-0343</t>
        </is>
      </c>
      <c r="B347" s="5" t="n">
        <v>286</v>
      </c>
      <c r="C347" s="7" t="inlineStr">
        <is>
          <t>SIPEAGRO (UF-XXXXX)</t>
        </is>
      </c>
      <c r="D347" s="8" t="inlineStr">
        <is>
          <t>MAGNESIO ULTRA</t>
        </is>
      </c>
      <c r="E347" s="7" t="inlineStr">
        <is>
          <t>1. Titular do Registro / Produtor</t>
        </is>
      </c>
      <c r="F347" s="7" t="inlineStr">
        <is>
          <t>Fertilizante Mineral / Organomineral</t>
        </is>
      </c>
      <c r="G347" s="7" t="inlineStr">
        <is>
          <t>Estabelecimento Produtor SIPEAGRO/MAPA</t>
        </is>
      </c>
      <c r="H347" s="7" t="inlineStr">
        <is>
          <t>Matriz / Estabelecimento Principal</t>
        </is>
      </c>
      <c r="I347" s="7" t="inlineStr">
        <is>
          <t>CNPJ Credenciado MAPA/SIPEAGRO</t>
        </is>
      </c>
      <c r="J347" s="7" t="inlineStr">
        <is>
          <t>Registro Estadual Vigente</t>
        </is>
      </c>
      <c r="K347" s="7" t="inlineStr">
        <is>
          <t>Estabelecimento Credenciado no Brasil</t>
        </is>
      </c>
      <c r="L347" s="7" t="inlineStr">
        <is>
          <t>Brasil</t>
        </is>
      </c>
      <c r="M347" s="7" t="inlineStr">
        <is>
          <t>0 - Nacional / 1 - Importação Direta</t>
        </is>
      </c>
    </row>
    <row r="348" ht="22" customHeight="1">
      <c r="A348" s="12" t="inlineStr">
        <is>
          <t>EMP-0344</t>
        </is>
      </c>
      <c r="B348" s="11" t="n">
        <v>287</v>
      </c>
      <c r="C348" s="13" t="inlineStr">
        <is>
          <t>SIPEAGRO (UF-XXXXX)</t>
        </is>
      </c>
      <c r="D348" s="14" t="inlineStr">
        <is>
          <t>MFL MULTINITROPOTASSIO</t>
        </is>
      </c>
      <c r="E348" s="13" t="inlineStr">
        <is>
          <t>1. Titular do Registro / Produtor</t>
        </is>
      </c>
      <c r="F348" s="13" t="inlineStr">
        <is>
          <t>Fertilizante Mineral / Organomineral</t>
        </is>
      </c>
      <c r="G348" s="13" t="inlineStr">
        <is>
          <t>Estabelecimento Produtor SIPEAGRO/MAPA</t>
        </is>
      </c>
      <c r="H348" s="13" t="inlineStr">
        <is>
          <t>Matriz / Estabelecimento Principal</t>
        </is>
      </c>
      <c r="I348" s="13" t="inlineStr">
        <is>
          <t>CNPJ Credenciado MAPA/SIPEAGRO</t>
        </is>
      </c>
      <c r="J348" s="13" t="inlineStr">
        <is>
          <t>Registro Estadual Vigente</t>
        </is>
      </c>
      <c r="K348" s="13" t="inlineStr">
        <is>
          <t>Estabelecimento Credenciado no Brasil</t>
        </is>
      </c>
      <c r="L348" s="13" t="inlineStr">
        <is>
          <t>Brasil</t>
        </is>
      </c>
      <c r="M348" s="13" t="inlineStr">
        <is>
          <t>0 - Nacional / 1 - Importação Direta</t>
        </is>
      </c>
    </row>
    <row r="349" ht="22" customHeight="1">
      <c r="A349" s="6" t="inlineStr">
        <is>
          <t>EMP-0345</t>
        </is>
      </c>
      <c r="B349" s="5" t="n">
        <v>288</v>
      </c>
      <c r="C349" s="7" t="inlineStr">
        <is>
          <t>SIPEAGRO (UF-XXXXX)</t>
        </is>
      </c>
      <c r="D349" s="8" t="inlineStr">
        <is>
          <t>AGCN BORO 100</t>
        </is>
      </c>
      <c r="E349" s="7" t="inlineStr">
        <is>
          <t>1. Titular do Registro / Produtor</t>
        </is>
      </c>
      <c r="F349" s="7" t="inlineStr">
        <is>
          <t>Fertilizante Mineral / Organomineral</t>
        </is>
      </c>
      <c r="G349" s="7" t="inlineStr">
        <is>
          <t>Estabelecimento Produtor SIPEAGRO/MAPA</t>
        </is>
      </c>
      <c r="H349" s="7" t="inlineStr">
        <is>
          <t>Matriz / Estabelecimento Principal</t>
        </is>
      </c>
      <c r="I349" s="7" t="inlineStr">
        <is>
          <t>CNPJ Credenciado MAPA/SIPEAGRO</t>
        </is>
      </c>
      <c r="J349" s="7" t="inlineStr">
        <is>
          <t>Registro Estadual Vigente</t>
        </is>
      </c>
      <c r="K349" s="7" t="inlineStr">
        <is>
          <t>Estabelecimento Credenciado no Brasil</t>
        </is>
      </c>
      <c r="L349" s="7" t="inlineStr">
        <is>
          <t>Brasil</t>
        </is>
      </c>
      <c r="M349" s="7" t="inlineStr">
        <is>
          <t>0 - Nacional / 1 - Importação Direta</t>
        </is>
      </c>
    </row>
    <row r="350" ht="22" customHeight="1">
      <c r="A350" s="12" t="inlineStr">
        <is>
          <t>EMP-0346</t>
        </is>
      </c>
      <c r="B350" s="11" t="n">
        <v>289</v>
      </c>
      <c r="C350" s="13" t="inlineStr">
        <is>
          <t>ISENTO (ATO 104/2017)</t>
        </is>
      </c>
      <c r="D350" s="14" t="inlineStr">
        <is>
          <t>AGCN EASY OIL</t>
        </is>
      </c>
      <c r="E350" s="13" t="inlineStr">
        <is>
          <t>1. Titular do Registro / Produtor</t>
        </is>
      </c>
      <c r="F350" s="13" t="inlineStr">
        <is>
          <t>Adjuvante / Espalhante Adesivo</t>
        </is>
      </c>
      <c r="G350" s="13" t="inlineStr">
        <is>
          <t>Dispensado de Registro (Ato SDA nº 104/2017)</t>
        </is>
      </c>
      <c r="H350" s="13" t="inlineStr">
        <is>
          <t>Matriz / Estabelecimento Principal</t>
        </is>
      </c>
      <c r="I350" s="13" t="inlineStr">
        <is>
          <t>CNPJ Credenciado MAPA/SIPEAGRO</t>
        </is>
      </c>
      <c r="J350" s="13" t="inlineStr">
        <is>
          <t>Registro Estadual Vigente</t>
        </is>
      </c>
      <c r="K350" s="13" t="inlineStr">
        <is>
          <t>Estabelecimento Credenciado no Brasil</t>
        </is>
      </c>
      <c r="L350" s="13" t="inlineStr">
        <is>
          <t>Brasil</t>
        </is>
      </c>
      <c r="M350" s="13" t="inlineStr">
        <is>
          <t>0 - Nacional / 1 - Importação Direta</t>
        </is>
      </c>
    </row>
    <row r="351" ht="22" customHeight="1">
      <c r="A351" s="6" t="inlineStr">
        <is>
          <t>EMP-0347</t>
        </is>
      </c>
      <c r="B351" s="5" t="n">
        <v>290</v>
      </c>
      <c r="C351" s="7" t="inlineStr">
        <is>
          <t>SIPEAGRO (UF-XXXXX)</t>
        </is>
      </c>
      <c r="D351" s="8" t="inlineStr">
        <is>
          <t>AGCN MN RR</t>
        </is>
      </c>
      <c r="E351" s="7" t="inlineStr">
        <is>
          <t>1. Titular do Registro / Produtor</t>
        </is>
      </c>
      <c r="F351" s="7" t="inlineStr">
        <is>
          <t>Fertilizante Mineral / Organomineral</t>
        </is>
      </c>
      <c r="G351" s="7" t="inlineStr">
        <is>
          <t>Estabelecimento Produtor SIPEAGRO/MAPA</t>
        </is>
      </c>
      <c r="H351" s="7" t="inlineStr">
        <is>
          <t>Matriz / Estabelecimento Principal</t>
        </is>
      </c>
      <c r="I351" s="7" t="inlineStr">
        <is>
          <t>CNPJ Credenciado MAPA/SIPEAGRO</t>
        </is>
      </c>
      <c r="J351" s="7" t="inlineStr">
        <is>
          <t>Registro Estadual Vigente</t>
        </is>
      </c>
      <c r="K351" s="7" t="inlineStr">
        <is>
          <t>Estabelecimento Credenciado no Brasil</t>
        </is>
      </c>
      <c r="L351" s="7" t="inlineStr">
        <is>
          <t>Brasil</t>
        </is>
      </c>
      <c r="M351" s="7" t="inlineStr">
        <is>
          <t>0 - Nacional / 1 - Importação Direta</t>
        </is>
      </c>
    </row>
    <row r="352" ht="22" customHeight="1">
      <c r="A352" s="12" t="inlineStr">
        <is>
          <t>EMP-0348</t>
        </is>
      </c>
      <c r="B352" s="11" t="n">
        <v>291</v>
      </c>
      <c r="C352" s="13" t="inlineStr">
        <is>
          <t>SIPEAGRO (UF-XXXXX)</t>
        </is>
      </c>
      <c r="D352" s="14" t="inlineStr">
        <is>
          <t>AGCN MN RR 100</t>
        </is>
      </c>
      <c r="E352" s="13" t="inlineStr">
        <is>
          <t>1. Titular do Registro / Produtor</t>
        </is>
      </c>
      <c r="F352" s="13" t="inlineStr">
        <is>
          <t>Fertilizante Mineral / Organomineral</t>
        </is>
      </c>
      <c r="G352" s="13" t="inlineStr">
        <is>
          <t>Estabelecimento Produtor SIPEAGRO/MAPA</t>
        </is>
      </c>
      <c r="H352" s="13" t="inlineStr">
        <is>
          <t>Matriz / Estabelecimento Principal</t>
        </is>
      </c>
      <c r="I352" s="13" t="inlineStr">
        <is>
          <t>CNPJ Credenciado MAPA/SIPEAGRO</t>
        </is>
      </c>
      <c r="J352" s="13" t="inlineStr">
        <is>
          <t>Registro Estadual Vigente</t>
        </is>
      </c>
      <c r="K352" s="13" t="inlineStr">
        <is>
          <t>Estabelecimento Credenciado no Brasil</t>
        </is>
      </c>
      <c r="L352" s="13" t="inlineStr">
        <is>
          <t>Brasil</t>
        </is>
      </c>
      <c r="M352" s="13" t="inlineStr">
        <is>
          <t>0 - Nacional / 1 - Importação Direta</t>
        </is>
      </c>
    </row>
    <row r="353" ht="22" customHeight="1">
      <c r="A353" s="6" t="inlineStr">
        <is>
          <t>EMP-0349</t>
        </is>
      </c>
      <c r="B353" s="5" t="n">
        <v>292</v>
      </c>
      <c r="C353" s="7" t="inlineStr">
        <is>
          <t>Nº 27717</t>
        </is>
      </c>
      <c r="D353" s="8" t="inlineStr">
        <is>
          <t>FIPRONIL 800 WG AGCN</t>
        </is>
      </c>
      <c r="E353" s="7" t="inlineStr">
        <is>
          <t>1. Titular do Registro / Produtor</t>
        </is>
      </c>
      <c r="F353" s="7" t="inlineStr">
        <is>
          <t>Produto Formulado Comercial</t>
        </is>
      </c>
      <c r="G353" s="7" t="inlineStr">
        <is>
          <t>AGRICONNECTION IMPORTADORA E EXPORTADORA DE INSUMOS AGRÍCOLAS LTDA.</t>
        </is>
      </c>
      <c r="H353" s="7" t="inlineStr">
        <is>
          <t>Matriz / Estabelecimento Principal</t>
        </is>
      </c>
      <c r="I353" s="7" t="inlineStr">
        <is>
          <t>39.496.730/0001-60</t>
        </is>
      </c>
      <c r="J353" s="7" t="inlineStr">
        <is>
          <t>INDEA/MT nº 27326 / CDA/SP nº 4354</t>
        </is>
      </c>
      <c r="K353" s="7" t="inlineStr">
        <is>
          <t>Av. Manoel Genildo de Araujo, 188, Sala 02, Campo Verde/MT - CEP 78840-085</t>
        </is>
      </c>
      <c r="L353" s="7" t="inlineStr">
        <is>
          <t>Brasil</t>
        </is>
      </c>
      <c r="M353" s="7" t="inlineStr">
        <is>
          <t>0 - Nacional / 1 - Importação Direta</t>
        </is>
      </c>
    </row>
    <row r="354" ht="22" customHeight="1">
      <c r="A354" s="12" t="inlineStr">
        <is>
          <t>EMP-0350</t>
        </is>
      </c>
      <c r="B354" s="11" t="n">
        <v>292</v>
      </c>
      <c r="C354" s="13" t="inlineStr">
        <is>
          <t>Nº 27717</t>
        </is>
      </c>
      <c r="D354" s="14" t="inlineStr">
        <is>
          <t>FIPRONIL 800 WG AGCN</t>
        </is>
      </c>
      <c r="E354" s="13" t="inlineStr">
        <is>
          <t>2. Fabricante do Produto Técnico</t>
        </is>
      </c>
      <c r="F354" s="13" t="inlineStr">
        <is>
          <t>Fipronil Técnico (Reg. 31418 / TC01320)</t>
        </is>
      </c>
      <c r="G354" s="13" t="inlineStr">
        <is>
          <t>HAILIR PESTICIDES AND CHEMICALS GROUP CO., LTD.</t>
        </is>
      </c>
      <c r="H354" s="13" t="inlineStr">
        <is>
          <t>Qingdao Plant</t>
        </is>
      </c>
      <c r="I354" s="13" t="inlineStr">
        <is>
          <t>EXT-CHN-HAILIR</t>
        </is>
      </c>
      <c r="J354" s="13" t="inlineStr">
        <is>
          <t>Isento Exterior</t>
        </is>
      </c>
      <c r="K354" s="13" t="inlineStr">
        <is>
          <t>Chengyang District, Qingdao, Shandong - China</t>
        </is>
      </c>
      <c r="L354" s="13" t="inlineStr">
        <is>
          <t>China</t>
        </is>
      </c>
      <c r="M354" s="13" t="inlineStr">
        <is>
          <t>1/2 - Importado</t>
        </is>
      </c>
    </row>
    <row r="355" ht="22" customHeight="1">
      <c r="A355" s="6" t="inlineStr">
        <is>
          <t>EMP-0351</t>
        </is>
      </c>
      <c r="B355" s="5" t="n">
        <v>292</v>
      </c>
      <c r="C355" s="7" t="inlineStr">
        <is>
          <t>Nº 27717</t>
        </is>
      </c>
      <c r="D355" s="8" t="inlineStr">
        <is>
          <t>FIPRONIL 800 WG AGCN</t>
        </is>
      </c>
      <c r="E355" s="7" t="inlineStr">
        <is>
          <t>3. Formulador</t>
        </is>
      </c>
      <c r="F355" s="7" t="inlineStr">
        <is>
          <t>Produto Formulado Comercial</t>
        </is>
      </c>
      <c r="G355" s="7" t="inlineStr">
        <is>
          <t>NINGBO SUNJOY AGROSCIENCE CO., LTD.</t>
        </is>
      </c>
      <c r="H355" s="7" t="inlineStr">
        <is>
          <t>Ningbo Plant</t>
        </is>
      </c>
      <c r="I355" s="7" t="inlineStr">
        <is>
          <t>EXT-CHN-SUNJOY</t>
        </is>
      </c>
      <c r="J355" s="7" t="inlineStr">
        <is>
          <t>Isento Exterior</t>
        </is>
      </c>
      <c r="K355" s="7" t="inlineStr">
        <is>
          <t>Zhenhai District, Ningbo, Zhejiang - China</t>
        </is>
      </c>
      <c r="L355" s="7" t="inlineStr">
        <is>
          <t>China</t>
        </is>
      </c>
      <c r="M355" s="7" t="inlineStr">
        <is>
          <t>1/2 - Importado</t>
        </is>
      </c>
    </row>
    <row r="356" ht="22" customHeight="1">
      <c r="A356" s="12" t="inlineStr">
        <is>
          <t>EMP-0352</t>
        </is>
      </c>
      <c r="B356" s="11" t="n">
        <v>292</v>
      </c>
      <c r="C356" s="13" t="inlineStr">
        <is>
          <t>Nº 27717</t>
        </is>
      </c>
      <c r="D356" s="14" t="inlineStr">
        <is>
          <t>FIPRONIL 800 WG AGCN</t>
        </is>
      </c>
      <c r="E356" s="13" t="inlineStr">
        <is>
          <t>3. Formulador</t>
        </is>
      </c>
      <c r="F356" s="13" t="inlineStr">
        <is>
          <t>Produto Formulado Comercial</t>
        </is>
      </c>
      <c r="G356" s="13" t="inlineStr">
        <is>
          <t>CHD'S AGROCHEMICALS SAIC</t>
        </is>
      </c>
      <c r="H356" s="13" t="inlineStr">
        <is>
          <t>Hernandarias Plant</t>
        </is>
      </c>
      <c r="I356" s="13" t="inlineStr">
        <is>
          <t>EXT-PRY-CHDS</t>
        </is>
      </c>
      <c r="J356" s="13" t="inlineStr">
        <is>
          <t>Isento Exterior</t>
        </is>
      </c>
      <c r="K356" s="13" t="inlineStr">
        <is>
          <t>Supercarretera km 32,5, Hernandarias - Paraguai</t>
        </is>
      </c>
      <c r="L356" s="13" t="inlineStr">
        <is>
          <t>Paraguai</t>
        </is>
      </c>
      <c r="M356" s="13" t="inlineStr">
        <is>
          <t>1/2 - Mercosul</t>
        </is>
      </c>
    </row>
    <row r="357" ht="22" customHeight="1">
      <c r="A357" s="6" t="inlineStr">
        <is>
          <t>EMP-0353</t>
        </is>
      </c>
      <c r="B357" s="5" t="n">
        <v>292</v>
      </c>
      <c r="C357" s="7" t="inlineStr">
        <is>
          <t>Nº 27717</t>
        </is>
      </c>
      <c r="D357" s="8" t="inlineStr">
        <is>
          <t>FIPRONIL 800 WG AGCN</t>
        </is>
      </c>
      <c r="E357" s="7" t="inlineStr">
        <is>
          <t>5. Manipulador</t>
        </is>
      </c>
      <c r="F357" s="7" t="inlineStr">
        <is>
          <t>Produto Formulado Comercial</t>
        </is>
      </c>
      <c r="G357" s="7" t="inlineStr">
        <is>
          <t>IHARABRÁS S.A. INDÚSTRIAS QUÍMICAS</t>
        </is>
      </c>
      <c r="H357" s="7" t="inlineStr">
        <is>
          <t>Planta Sorocaba/SP</t>
        </is>
      </c>
      <c r="I357" s="7" t="inlineStr">
        <is>
          <t>61.142.550/0001-30</t>
        </is>
      </c>
      <c r="J357" s="7" t="inlineStr">
        <is>
          <t>CDA/SP nº 8</t>
        </is>
      </c>
      <c r="K357" s="7" t="inlineStr">
        <is>
          <t>Av. Liberdade, 1701, Sorocaba/SP</t>
        </is>
      </c>
      <c r="L357" s="7" t="inlineStr">
        <is>
          <t>Brasil</t>
        </is>
      </c>
      <c r="M357" s="7" t="inlineStr">
        <is>
          <t>0/3/5 - Nacional</t>
        </is>
      </c>
    </row>
    <row r="358" ht="22" customHeight="1">
      <c r="A358" s="12" t="inlineStr">
        <is>
          <t>EMP-0354</t>
        </is>
      </c>
      <c r="B358" s="11" t="n">
        <v>292</v>
      </c>
      <c r="C358" s="13" t="inlineStr">
        <is>
          <t>Nº 27717</t>
        </is>
      </c>
      <c r="D358" s="14" t="inlineStr">
        <is>
          <t>FIPRONIL 800 WG AGCN</t>
        </is>
      </c>
      <c r="E358" s="13" t="inlineStr">
        <is>
          <t>5. Manipulador</t>
        </is>
      </c>
      <c r="F358" s="13" t="inlineStr">
        <is>
          <t>Produto Formulado Comercial</t>
        </is>
      </c>
      <c r="G358" s="13" t="inlineStr">
        <is>
          <t>TAGMA BRASIL IND. E COM. DE PROD. QUÍMICOS LTDA.</t>
        </is>
      </c>
      <c r="H358" s="13" t="inlineStr">
        <is>
          <t>Planta Paulínia/SP</t>
        </is>
      </c>
      <c r="I358" s="13" t="inlineStr">
        <is>
          <t>03.855.423/0001-81</t>
        </is>
      </c>
      <c r="J358" s="13" t="inlineStr">
        <is>
          <t>CDA/SP nº 477</t>
        </is>
      </c>
      <c r="K358" s="13" t="inlineStr">
        <is>
          <t>Av. Roberto Simonsen, 1459, Paulínia/SP</t>
        </is>
      </c>
      <c r="L358" s="13" t="inlineStr">
        <is>
          <t>Brasil</t>
        </is>
      </c>
      <c r="M358" s="13" t="inlineStr">
        <is>
          <t>0/3/5 - Nacional</t>
        </is>
      </c>
    </row>
    <row r="359" ht="22" customHeight="1">
      <c r="A359" s="6" t="inlineStr">
        <is>
          <t>EMP-0355</t>
        </is>
      </c>
      <c r="B359" s="5" t="n">
        <v>293</v>
      </c>
      <c r="C359" s="7" t="inlineStr">
        <is>
          <t>Nº 44018</t>
        </is>
      </c>
      <c r="D359" s="8" t="inlineStr">
        <is>
          <t>SUMMIT 250 FS</t>
        </is>
      </c>
      <c r="E359" s="7" t="inlineStr">
        <is>
          <t>1. Titular do Registro / Produtor</t>
        </is>
      </c>
      <c r="F359" s="7" t="inlineStr">
        <is>
          <t>Produto Formulado Comercial</t>
        </is>
      </c>
      <c r="G359" s="7" t="inlineStr">
        <is>
          <t>RAINBOW DEFENSIVOS AGRÍCOLAS LTDA.</t>
        </is>
      </c>
      <c r="H359" s="7" t="inlineStr">
        <is>
          <t>Matriz / Estabelecimento Principal</t>
        </is>
      </c>
      <c r="I359" s="7" t="inlineStr">
        <is>
          <t>CNPJ Credenciado MAPA/SIPEAGRO</t>
        </is>
      </c>
      <c r="J359" s="7" t="inlineStr">
        <is>
          <t>Registro Estadual Vigente</t>
        </is>
      </c>
      <c r="K359" s="7" t="inlineStr">
        <is>
          <t>Estabelecimento Credenciado no Brasil</t>
        </is>
      </c>
      <c r="L359" s="7" t="inlineStr">
        <is>
          <t>Brasil</t>
        </is>
      </c>
      <c r="M359" s="7" t="inlineStr">
        <is>
          <t>0 - Nacional / 1 - Importação Direta</t>
        </is>
      </c>
    </row>
    <row r="360" ht="22" customHeight="1">
      <c r="A360" s="12" t="inlineStr">
        <is>
          <t>EMP-0356</t>
        </is>
      </c>
      <c r="B360" s="11" t="n">
        <v>294</v>
      </c>
      <c r="C360" s="13" t="inlineStr">
        <is>
          <t>Nº 10421</t>
        </is>
      </c>
      <c r="D360" s="14" t="inlineStr">
        <is>
          <t>LANEX 800 WG</t>
        </is>
      </c>
      <c r="E360" s="13" t="inlineStr">
        <is>
          <t>1. Titular do Registro / Produtor</t>
        </is>
      </c>
      <c r="F360" s="13" t="inlineStr">
        <is>
          <t>Produto Formulado Comercial</t>
        </is>
      </c>
      <c r="G360" s="13" t="inlineStr">
        <is>
          <t>PERTERRA INSUMOS AGROPECUÁRIOS S.A.</t>
        </is>
      </c>
      <c r="H360" s="13" t="inlineStr">
        <is>
          <t>Matriz / Estabelecimento Principal</t>
        </is>
      </c>
      <c r="I360" s="13" t="inlineStr">
        <is>
          <t>CNPJ Credenciado MAPA/SIPEAGRO</t>
        </is>
      </c>
      <c r="J360" s="13" t="inlineStr">
        <is>
          <t>Registro Estadual Vigente</t>
        </is>
      </c>
      <c r="K360" s="13" t="inlineStr">
        <is>
          <t>Estabelecimento Credenciado no Brasil</t>
        </is>
      </c>
      <c r="L360" s="13" t="inlineStr">
        <is>
          <t>Brasil</t>
        </is>
      </c>
      <c r="M360" s="13" t="inlineStr">
        <is>
          <t>0 - Nacional / 1 - Importação Direta</t>
        </is>
      </c>
    </row>
    <row r="361" ht="22" customHeight="1">
      <c r="A361" s="6" t="inlineStr">
        <is>
          <t>EMP-0357</t>
        </is>
      </c>
      <c r="B361" s="5" t="n">
        <v>295</v>
      </c>
      <c r="C361" s="7" t="inlineStr">
        <is>
          <t>Nº 16223</t>
        </is>
      </c>
      <c r="D361" s="8" t="inlineStr">
        <is>
          <t>COMPRAY</t>
        </is>
      </c>
      <c r="E361" s="7" t="inlineStr">
        <is>
          <t>1. Titular do Registro / Produtor</t>
        </is>
      </c>
      <c r="F361" s="7" t="inlineStr">
        <is>
          <t>Produto Formulado Comercial</t>
        </is>
      </c>
      <c r="G361" s="7" t="inlineStr">
        <is>
          <t>RAINBOW DEFENSIVOS AGRÍCOLAS LTDA. / PERTERRA S.A.</t>
        </is>
      </c>
      <c r="H361" s="7" t="inlineStr">
        <is>
          <t>Matriz / Estabelecimento Principal</t>
        </is>
      </c>
      <c r="I361" s="7" t="inlineStr">
        <is>
          <t>10.486.463/0001-69</t>
        </is>
      </c>
      <c r="J361" s="7" t="inlineStr">
        <is>
          <t>SEAPA/RS nº 1928/09</t>
        </is>
      </c>
      <c r="K361" s="7" t="inlineStr">
        <is>
          <t>Av. Carlos Gomes, 258, Porto Alegre/RS</t>
        </is>
      </c>
      <c r="L361" s="7" t="inlineStr">
        <is>
          <t>Brasil</t>
        </is>
      </c>
      <c r="M361" s="7" t="inlineStr">
        <is>
          <t>0 - Nacional / 1 - Importação Direta</t>
        </is>
      </c>
    </row>
    <row r="362" ht="22" customHeight="1">
      <c r="A362" s="12" t="inlineStr">
        <is>
          <t>EMP-0358</t>
        </is>
      </c>
      <c r="B362" s="11" t="n">
        <v>296</v>
      </c>
      <c r="C362" s="13" t="inlineStr">
        <is>
          <t>Nº 31222</t>
        </is>
      </c>
      <c r="D362" s="14" t="inlineStr">
        <is>
          <t>GLINT FULL</t>
        </is>
      </c>
      <c r="E362" s="13" t="inlineStr">
        <is>
          <t>1. Titular do Registro / Produtor</t>
        </is>
      </c>
      <c r="F362" s="13" t="inlineStr">
        <is>
          <t>Produto Formulado Comercial</t>
        </is>
      </c>
      <c r="G362" s="13" t="inlineStr">
        <is>
          <t>RAINBOW DEFENSIVOS AGRÍCOLAS LTDA.</t>
        </is>
      </c>
      <c r="H362" s="13" t="inlineStr">
        <is>
          <t>Matriz / Estabelecimento Principal</t>
        </is>
      </c>
      <c r="I362" s="13" t="inlineStr">
        <is>
          <t>CNPJ Credenciado MAPA/SIPEAGRO</t>
        </is>
      </c>
      <c r="J362" s="13" t="inlineStr">
        <is>
          <t>Registro Estadual Vigente</t>
        </is>
      </c>
      <c r="K362" s="13" t="inlineStr">
        <is>
          <t>Estabelecimento Credenciado no Brasil</t>
        </is>
      </c>
      <c r="L362" s="13" t="inlineStr">
        <is>
          <t>Brasil</t>
        </is>
      </c>
      <c r="M362" s="13" t="inlineStr">
        <is>
          <t>0 - Nacional / 1 - Importação Direta</t>
        </is>
      </c>
    </row>
    <row r="363" ht="22" customHeight="1">
      <c r="A363" s="6" t="inlineStr">
        <is>
          <t>EMP-0359</t>
        </is>
      </c>
      <c r="B363" s="5" t="n">
        <v>297</v>
      </c>
      <c r="C363" s="7" t="inlineStr">
        <is>
          <t>SIPEAGRO (UF-XXXXX)</t>
        </is>
      </c>
      <c r="D363" s="8" t="inlineStr">
        <is>
          <t>AGCN FULL</t>
        </is>
      </c>
      <c r="E363" s="7" t="inlineStr">
        <is>
          <t>1. Titular do Registro / Produtor</t>
        </is>
      </c>
      <c r="F363" s="7" t="inlineStr">
        <is>
          <t>Fertilizante Mineral / Organomineral</t>
        </is>
      </c>
      <c r="G363" s="7" t="inlineStr">
        <is>
          <t>Estabelecimento Produtor SIPEAGRO/MAPA</t>
        </is>
      </c>
      <c r="H363" s="7" t="inlineStr">
        <is>
          <t>Matriz / Estabelecimento Principal</t>
        </is>
      </c>
      <c r="I363" s="7" t="inlineStr">
        <is>
          <t>CNPJ Credenciado MAPA/SIPEAGRO</t>
        </is>
      </c>
      <c r="J363" s="7" t="inlineStr">
        <is>
          <t>Registro Estadual Vigente</t>
        </is>
      </c>
      <c r="K363" s="7" t="inlineStr">
        <is>
          <t>Estabelecimento Credenciado no Brasil</t>
        </is>
      </c>
      <c r="L363" s="7" t="inlineStr">
        <is>
          <t>Brasil</t>
        </is>
      </c>
      <c r="M363" s="7" t="inlineStr">
        <is>
          <t>0 - Nacional / 1 - Importação Direta</t>
        </is>
      </c>
    </row>
    <row r="364" ht="22" customHeight="1">
      <c r="A364" s="12" t="inlineStr">
        <is>
          <t>EMP-0360</t>
        </is>
      </c>
      <c r="B364" s="11" t="n">
        <v>298</v>
      </c>
      <c r="C364" s="13" t="inlineStr">
        <is>
          <t>ISENTO (ATO 104/2017)</t>
        </is>
      </c>
      <c r="D364" s="14" t="inlineStr">
        <is>
          <t>AGCN SAFE AIR</t>
        </is>
      </c>
      <c r="E364" s="13" t="inlineStr">
        <is>
          <t>1. Titular do Registro / Produtor</t>
        </is>
      </c>
      <c r="F364" s="13" t="inlineStr">
        <is>
          <t>Adjuvante / Espalhante Adesivo</t>
        </is>
      </c>
      <c r="G364" s="13" t="inlineStr">
        <is>
          <t>Dispensado de Registro (Ato SDA nº 104/2017)</t>
        </is>
      </c>
      <c r="H364" s="13" t="inlineStr">
        <is>
          <t>Matriz / Estabelecimento Principal</t>
        </is>
      </c>
      <c r="I364" s="13" t="inlineStr">
        <is>
          <t>CNPJ Credenciado MAPA/SIPEAGRO</t>
        </is>
      </c>
      <c r="J364" s="13" t="inlineStr">
        <is>
          <t>Registro Estadual Vigente</t>
        </is>
      </c>
      <c r="K364" s="13" t="inlineStr">
        <is>
          <t>Estabelecimento Credenciado no Brasil</t>
        </is>
      </c>
      <c r="L364" s="13" t="inlineStr">
        <is>
          <t>Brasil</t>
        </is>
      </c>
      <c r="M364" s="13" t="inlineStr">
        <is>
          <t>0 - Nacional / 1 - Importação Direta</t>
        </is>
      </c>
    </row>
    <row r="365" ht="22" customHeight="1">
      <c r="A365" s="6" t="inlineStr">
        <is>
          <t>EMP-0361</t>
        </is>
      </c>
      <c r="B365" s="5" t="n">
        <v>299</v>
      </c>
      <c r="C365" s="7" t="inlineStr">
        <is>
          <t>ISENTO (ATO 104/2017)</t>
        </is>
      </c>
      <c r="D365" s="8" t="inlineStr">
        <is>
          <t>AGCN SAFE SPRAY</t>
        </is>
      </c>
      <c r="E365" s="7" t="inlineStr">
        <is>
          <t>1. Titular do Registro / Produtor</t>
        </is>
      </c>
      <c r="F365" s="7" t="inlineStr">
        <is>
          <t>Adjuvante / Espalhante Adesivo</t>
        </is>
      </c>
      <c r="G365" s="7" t="inlineStr">
        <is>
          <t>Dispensado de Registro (Ato SDA nº 104/2017)</t>
        </is>
      </c>
      <c r="H365" s="7" t="inlineStr">
        <is>
          <t>Matriz / Estabelecimento Principal</t>
        </is>
      </c>
      <c r="I365" s="7" t="inlineStr">
        <is>
          <t>CNPJ Credenciado MAPA/SIPEAGRO</t>
        </is>
      </c>
      <c r="J365" s="7" t="inlineStr">
        <is>
          <t>Registro Estadual Vigente</t>
        </is>
      </c>
      <c r="K365" s="7" t="inlineStr">
        <is>
          <t>Estabelecimento Credenciado no Brasil</t>
        </is>
      </c>
      <c r="L365" s="7" t="inlineStr">
        <is>
          <t>Brasil</t>
        </is>
      </c>
      <c r="M365" s="7" t="inlineStr">
        <is>
          <t>0 - Nacional / 1 - Importação Direta</t>
        </is>
      </c>
    </row>
    <row r="366" ht="22" customHeight="1">
      <c r="A366" s="12" t="inlineStr">
        <is>
          <t>EMP-0362</t>
        </is>
      </c>
      <c r="B366" s="11" t="n">
        <v>300</v>
      </c>
      <c r="C366" s="13" t="inlineStr">
        <is>
          <t>SIPEAGRO (UF-XXXXX)</t>
        </is>
      </c>
      <c r="D366" s="14" t="inlineStr">
        <is>
          <t>AGCN CAB</t>
        </is>
      </c>
      <c r="E366" s="13" t="inlineStr">
        <is>
          <t>1. Titular do Registro / Produtor</t>
        </is>
      </c>
      <c r="F366" s="13" t="inlineStr">
        <is>
          <t>Fertilizante Mineral / Organomineral</t>
        </is>
      </c>
      <c r="G366" s="13" t="inlineStr">
        <is>
          <t>Estabelecimento Produtor SIPEAGRO/MAPA</t>
        </is>
      </c>
      <c r="H366" s="13" t="inlineStr">
        <is>
          <t>Matriz / Estabelecimento Principal</t>
        </is>
      </c>
      <c r="I366" s="13" t="inlineStr">
        <is>
          <t>CNPJ Credenciado MAPA/SIPEAGRO</t>
        </is>
      </c>
      <c r="J366" s="13" t="inlineStr">
        <is>
          <t>Registro Estadual Vigente</t>
        </is>
      </c>
      <c r="K366" s="13" t="inlineStr">
        <is>
          <t>Estabelecimento Credenciado no Brasil</t>
        </is>
      </c>
      <c r="L366" s="13" t="inlineStr">
        <is>
          <t>Brasil</t>
        </is>
      </c>
      <c r="M366" s="13" t="inlineStr">
        <is>
          <t>0 - Nacional / 1 - Importação Direta</t>
        </is>
      </c>
    </row>
    <row r="367" ht="22" customHeight="1">
      <c r="A367" s="6" t="inlineStr">
        <is>
          <t>EMP-0363</t>
        </is>
      </c>
      <c r="B367" s="5" t="n">
        <v>301</v>
      </c>
      <c r="C367" s="7" t="inlineStr">
        <is>
          <t>Nº 16223</t>
        </is>
      </c>
      <c r="D367" s="8" t="inlineStr">
        <is>
          <t>GUNTER PRO 360</t>
        </is>
      </c>
      <c r="E367" s="7" t="inlineStr">
        <is>
          <t>1. Titular do Registro / Produtor</t>
        </is>
      </c>
      <c r="F367" s="7" t="inlineStr">
        <is>
          <t>Produto Formulado Comercial</t>
        </is>
      </c>
      <c r="G367" s="7" t="inlineStr">
        <is>
          <t>RAINBOW DEFENSIVOS AGRÍCOLAS LTDA. / PERTERRA S.A.</t>
        </is>
      </c>
      <c r="H367" s="7" t="inlineStr">
        <is>
          <t>Matriz / Estabelecimento Principal</t>
        </is>
      </c>
      <c r="I367" s="7" t="inlineStr">
        <is>
          <t>10.486.463/0001-69</t>
        </is>
      </c>
      <c r="J367" s="7" t="inlineStr">
        <is>
          <t>SEAPA/RS nº 1928/09</t>
        </is>
      </c>
      <c r="K367" s="7" t="inlineStr">
        <is>
          <t>Av. Carlos Gomes, 258, Porto Alegre/RS</t>
        </is>
      </c>
      <c r="L367" s="7" t="inlineStr">
        <is>
          <t>Brasil</t>
        </is>
      </c>
      <c r="M367" s="7" t="inlineStr">
        <is>
          <t>0 - Nacional / 1 - Importação Direta</t>
        </is>
      </c>
    </row>
    <row r="368" ht="22" customHeight="1">
      <c r="A368" s="12" t="inlineStr">
        <is>
          <t>EMP-0364</t>
        </is>
      </c>
      <c r="B368" s="11" t="n">
        <v>302</v>
      </c>
      <c r="C368" s="13" t="inlineStr">
        <is>
          <t>SIPEAGRO (UF-XXXXX)</t>
        </is>
      </c>
      <c r="D368" s="14" t="inlineStr">
        <is>
          <t>AGCN MN+</t>
        </is>
      </c>
      <c r="E368" s="13" t="inlineStr">
        <is>
          <t>1. Titular do Registro / Produtor</t>
        </is>
      </c>
      <c r="F368" s="13" t="inlineStr">
        <is>
          <t>Fertilizante Mineral / Organomineral</t>
        </is>
      </c>
      <c r="G368" s="13" t="inlineStr">
        <is>
          <t>Estabelecimento Produtor SIPEAGRO/MAPA</t>
        </is>
      </c>
      <c r="H368" s="13" t="inlineStr">
        <is>
          <t>Matriz / Estabelecimento Principal</t>
        </is>
      </c>
      <c r="I368" s="13" t="inlineStr">
        <is>
          <t>CNPJ Credenciado MAPA/SIPEAGRO</t>
        </is>
      </c>
      <c r="J368" s="13" t="inlineStr">
        <is>
          <t>Registro Estadual Vigente</t>
        </is>
      </c>
      <c r="K368" s="13" t="inlineStr">
        <is>
          <t>Estabelecimento Credenciado no Brasil</t>
        </is>
      </c>
      <c r="L368" s="13" t="inlineStr">
        <is>
          <t>Brasil</t>
        </is>
      </c>
      <c r="M368" s="13" t="inlineStr">
        <is>
          <t>0 - Nacional / 1 - Importação Direta</t>
        </is>
      </c>
    </row>
    <row r="369" ht="22" customHeight="1">
      <c r="A369" s="6" t="inlineStr">
        <is>
          <t>EMP-0365</t>
        </is>
      </c>
      <c r="B369" s="5" t="n">
        <v>303</v>
      </c>
      <c r="C369" s="7" t="inlineStr">
        <is>
          <t>SIPEAGRO (UF-XXXXX)</t>
        </is>
      </c>
      <c r="D369" s="8" t="inlineStr">
        <is>
          <t>QUALY OCTOBORATO DE SODIO-E</t>
        </is>
      </c>
      <c r="E369" s="7" t="inlineStr">
        <is>
          <t>1. Titular do Registro / Produtor</t>
        </is>
      </c>
      <c r="F369" s="7" t="inlineStr">
        <is>
          <t>Fertilizante Mineral / Organomineral</t>
        </is>
      </c>
      <c r="G369" s="7" t="inlineStr">
        <is>
          <t>Estabelecimento Produtor SIPEAGRO/MAPA</t>
        </is>
      </c>
      <c r="H369" s="7" t="inlineStr">
        <is>
          <t>Matriz / Estabelecimento Principal</t>
        </is>
      </c>
      <c r="I369" s="7" t="inlineStr">
        <is>
          <t>CNPJ Credenciado MAPA/SIPEAGRO</t>
        </is>
      </c>
      <c r="J369" s="7" t="inlineStr">
        <is>
          <t>Registro Estadual Vigente</t>
        </is>
      </c>
      <c r="K369" s="7" t="inlineStr">
        <is>
          <t>Estabelecimento Credenciado no Brasil</t>
        </is>
      </c>
      <c r="L369" s="7" t="inlineStr">
        <is>
          <t>Brasil</t>
        </is>
      </c>
      <c r="M369" s="7" t="inlineStr">
        <is>
          <t>0 - Nacional / 1 - Importação Direta</t>
        </is>
      </c>
    </row>
    <row r="370" ht="22" customHeight="1">
      <c r="A370" s="12" t="inlineStr">
        <is>
          <t>EMP-0366</t>
        </is>
      </c>
      <c r="B370" s="11" t="n">
        <v>304</v>
      </c>
      <c r="C370" s="13" t="inlineStr">
        <is>
          <t>ISENTO (ATO 104/2017)</t>
        </is>
      </c>
      <c r="D370" s="14" t="inlineStr">
        <is>
          <t>FORMIATO DE POTASSIO 75%</t>
        </is>
      </c>
      <c r="E370" s="13" t="inlineStr">
        <is>
          <t>1. Titular do Registro / Produtor</t>
        </is>
      </c>
      <c r="F370" s="13" t="inlineStr">
        <is>
          <t>Produto Formulado Comercial</t>
        </is>
      </c>
      <c r="G370" s="13" t="inlineStr">
        <is>
          <t>INSUMO QUÍMICO INDUSTRIAL IMPORTADO (CAP. 29 TIPI — ISENTO AGROFIT)</t>
        </is>
      </c>
      <c r="H370" s="13" t="inlineStr">
        <is>
          <t>Matriz / Estabelecimento Principal</t>
        </is>
      </c>
      <c r="I370" s="13" t="inlineStr">
        <is>
          <t>CNPJ Credenciado MAPA/SIPEAGRO</t>
        </is>
      </c>
      <c r="J370" s="13" t="inlineStr">
        <is>
          <t>Registro Estadual Vigente</t>
        </is>
      </c>
      <c r="K370" s="13" t="inlineStr">
        <is>
          <t>Estabelecimento Credenciado no Brasil</t>
        </is>
      </c>
      <c r="L370" s="13" t="inlineStr">
        <is>
          <t>Brasil</t>
        </is>
      </c>
      <c r="M370" s="13" t="inlineStr">
        <is>
          <t>0 - Nacional / 1 - Importação Direta</t>
        </is>
      </c>
    </row>
    <row r="371" ht="22" customHeight="1">
      <c r="A371" s="6" t="inlineStr">
        <is>
          <t>EMP-0367</t>
        </is>
      </c>
      <c r="B371" s="5" t="n">
        <v>305</v>
      </c>
      <c r="C371" s="7" t="inlineStr">
        <is>
          <t>ISENTO (ATO 104/2017)</t>
        </is>
      </c>
      <c r="D371" s="8" t="inlineStr">
        <is>
          <t>FORMIATO DE CALCIO</t>
        </is>
      </c>
      <c r="E371" s="7" t="inlineStr">
        <is>
          <t>1. Titular do Registro / Produtor</t>
        </is>
      </c>
      <c r="F371" s="7" t="inlineStr">
        <is>
          <t>Produto Formulado Comercial</t>
        </is>
      </c>
      <c r="G371" s="7" t="inlineStr">
        <is>
          <t>INSUMO QUÍMICO INDUSTRIAL IMPORTADO (CAP. 29 TIPI — ISENTO AGROFIT)</t>
        </is>
      </c>
      <c r="H371" s="7" t="inlineStr">
        <is>
          <t>Matriz / Estabelecimento Principal</t>
        </is>
      </c>
      <c r="I371" s="7" t="inlineStr">
        <is>
          <t>CNPJ Credenciado MAPA/SIPEAGRO</t>
        </is>
      </c>
      <c r="J371" s="7" t="inlineStr">
        <is>
          <t>Registro Estadual Vigente</t>
        </is>
      </c>
      <c r="K371" s="7" t="inlineStr">
        <is>
          <t>Estabelecimento Credenciado no Brasil</t>
        </is>
      </c>
      <c r="L371" s="7" t="inlineStr">
        <is>
          <t>Brasil</t>
        </is>
      </c>
      <c r="M371" s="7" t="inlineStr">
        <is>
          <t>0 - Nacional / 1 - Importação Direta</t>
        </is>
      </c>
    </row>
    <row r="372" ht="22" customHeight="1">
      <c r="A372" s="12" t="inlineStr">
        <is>
          <t>EMP-0368</t>
        </is>
      </c>
      <c r="B372" s="11" t="n">
        <v>306</v>
      </c>
      <c r="C372" s="13" t="inlineStr">
        <is>
          <t>SIPEAGRO (UF-XXXXX)</t>
        </is>
      </c>
      <c r="D372" s="14" t="inlineStr">
        <is>
          <t>PREBIOTIC GL</t>
        </is>
      </c>
      <c r="E372" s="13" t="inlineStr">
        <is>
          <t>1. Titular do Registro / Produtor</t>
        </is>
      </c>
      <c r="F372" s="13" t="inlineStr">
        <is>
          <t>Fertilizante Mineral / Organomineral</t>
        </is>
      </c>
      <c r="G372" s="13" t="inlineStr">
        <is>
          <t>Estabelecimento Produtor SIPEAGRO/MAPA</t>
        </is>
      </c>
      <c r="H372" s="13" t="inlineStr">
        <is>
          <t>Matriz / Estabelecimento Principal</t>
        </is>
      </c>
      <c r="I372" s="13" t="inlineStr">
        <is>
          <t>CNPJ Credenciado MAPA/SIPEAGRO</t>
        </is>
      </c>
      <c r="J372" s="13" t="inlineStr">
        <is>
          <t>Registro Estadual Vigente</t>
        </is>
      </c>
      <c r="K372" s="13" t="inlineStr">
        <is>
          <t>Estabelecimento Credenciado no Brasil</t>
        </is>
      </c>
      <c r="L372" s="13" t="inlineStr">
        <is>
          <t>Brasil</t>
        </is>
      </c>
      <c r="M372" s="13" t="inlineStr">
        <is>
          <t>0 - Nacional / 1 - Importação Direta</t>
        </is>
      </c>
    </row>
    <row r="373" ht="22" customHeight="1">
      <c r="A373" s="6" t="inlineStr">
        <is>
          <t>EMP-0369</t>
        </is>
      </c>
      <c r="B373" s="5" t="n">
        <v>307</v>
      </c>
      <c r="C373" s="7" t="inlineStr">
        <is>
          <t>SIPEAGRO (UF-XXXXX)</t>
        </is>
      </c>
      <c r="D373" s="8" t="inlineStr">
        <is>
          <t>SMARTSOIL WP</t>
        </is>
      </c>
      <c r="E373" s="7" t="inlineStr">
        <is>
          <t>1. Titular do Registro / Produtor</t>
        </is>
      </c>
      <c r="F373" s="7" t="inlineStr">
        <is>
          <t>Fertilizante Mineral / Organomineral</t>
        </is>
      </c>
      <c r="G373" s="7" t="inlineStr">
        <is>
          <t>Estabelecimento Produtor SIPEAGRO/MAPA</t>
        </is>
      </c>
      <c r="H373" s="7" t="inlineStr">
        <is>
          <t>Matriz / Estabelecimento Principal</t>
        </is>
      </c>
      <c r="I373" s="7" t="inlineStr">
        <is>
          <t>CNPJ Credenciado MAPA/SIPEAGRO</t>
        </is>
      </c>
      <c r="J373" s="7" t="inlineStr">
        <is>
          <t>Registro Estadual Vigente</t>
        </is>
      </c>
      <c r="K373" s="7" t="inlineStr">
        <is>
          <t>Estabelecimento Credenciado no Brasil</t>
        </is>
      </c>
      <c r="L373" s="7" t="inlineStr">
        <is>
          <t>Brasil</t>
        </is>
      </c>
      <c r="M373" s="7" t="inlineStr">
        <is>
          <t>0 - Nacional / 1 - Importação Direta</t>
        </is>
      </c>
    </row>
    <row r="374" ht="22" customHeight="1">
      <c r="A374" s="12" t="inlineStr">
        <is>
          <t>EMP-0370</t>
        </is>
      </c>
      <c r="B374" s="11" t="n">
        <v>308</v>
      </c>
      <c r="C374" s="13" t="inlineStr">
        <is>
          <t>SIPEAGRO (UF-XXXXX)</t>
        </is>
      </c>
      <c r="D374" s="14" t="inlineStr">
        <is>
          <t>AGCN MANGANES</t>
        </is>
      </c>
      <c r="E374" s="13" t="inlineStr">
        <is>
          <t>1. Titular do Registro / Produtor</t>
        </is>
      </c>
      <c r="F374" s="13" t="inlineStr">
        <is>
          <t>Fertilizante Mineral / Organomineral</t>
        </is>
      </c>
      <c r="G374" s="13" t="inlineStr">
        <is>
          <t>Estabelecimento Produtor SIPEAGRO/MAPA</t>
        </is>
      </c>
      <c r="H374" s="13" t="inlineStr">
        <is>
          <t>Matriz / Estabelecimento Principal</t>
        </is>
      </c>
      <c r="I374" s="13" t="inlineStr">
        <is>
          <t>CNPJ Credenciado MAPA/SIPEAGRO</t>
        </is>
      </c>
      <c r="J374" s="13" t="inlineStr">
        <is>
          <t>Registro Estadual Vigente</t>
        </is>
      </c>
      <c r="K374" s="13" t="inlineStr">
        <is>
          <t>Estabelecimento Credenciado no Brasil</t>
        </is>
      </c>
      <c r="L374" s="13" t="inlineStr">
        <is>
          <t>Brasil</t>
        </is>
      </c>
      <c r="M374" s="13" t="inlineStr">
        <is>
          <t>0 - Nacional / 1 - Importação Direta</t>
        </is>
      </c>
    </row>
    <row r="375" ht="22" customHeight="1">
      <c r="A375" s="6" t="inlineStr">
        <is>
          <t>EMP-0371</t>
        </is>
      </c>
      <c r="B375" s="5" t="n">
        <v>309</v>
      </c>
      <c r="C375" s="7" t="inlineStr">
        <is>
          <t>Nº 11819</t>
        </is>
      </c>
      <c r="D375" s="8" t="inlineStr">
        <is>
          <t>MANCOZEB 800 WP AGCN</t>
        </is>
      </c>
      <c r="E375" s="7" t="inlineStr">
        <is>
          <t>1. Titular do Registro / Produtor</t>
        </is>
      </c>
      <c r="F375" s="7" t="inlineStr">
        <is>
          <t>Produto Formulado Comercial</t>
        </is>
      </c>
      <c r="G375" s="7" t="inlineStr">
        <is>
          <t>AGRICONNECTION IMPORTADORA E EXPORTADORA DE INSUMOS AGRÍCOLAS LTDA.</t>
        </is>
      </c>
      <c r="H375" s="7" t="inlineStr">
        <is>
          <t>Matriz / Estabelecimento Principal</t>
        </is>
      </c>
      <c r="I375" s="7" t="inlineStr">
        <is>
          <t>39.496.730/0001-60</t>
        </is>
      </c>
      <c r="J375" s="7" t="inlineStr">
        <is>
          <t>CDA/SP nº 4354 / INDEA/MT nº 27326</t>
        </is>
      </c>
      <c r="K375" s="7" t="inlineStr">
        <is>
          <t>Av. Manoel Genildo de Araujo, 188, Campo Verde/MT</t>
        </is>
      </c>
      <c r="L375" s="7" t="inlineStr">
        <is>
          <t>Brasil</t>
        </is>
      </c>
      <c r="M375" s="7" t="inlineStr">
        <is>
          <t>0 - Nacional / 1 - Importação Direta</t>
        </is>
      </c>
    </row>
    <row r="376" ht="22" customHeight="1">
      <c r="A376" s="12" t="inlineStr">
        <is>
          <t>EMP-0372</t>
        </is>
      </c>
      <c r="B376" s="11" t="n">
        <v>309</v>
      </c>
      <c r="C376" s="13" t="inlineStr">
        <is>
          <t>Nº 11819</t>
        </is>
      </c>
      <c r="D376" s="14" t="inlineStr">
        <is>
          <t>MANCOZEB 800 WP AGCN</t>
        </is>
      </c>
      <c r="E376" s="13" t="inlineStr">
        <is>
          <t>2. Fabricante do Produto Técnico</t>
        </is>
      </c>
      <c r="F376" s="13" t="inlineStr">
        <is>
          <t>Produto Técnico Vinculado na Bula</t>
        </is>
      </c>
      <c r="G376" s="13" t="inlineStr">
        <is>
          <t>SHANDONG WEIFANG RAINBOW / YOUJIA CROP PROTECTION</t>
        </is>
      </c>
      <c r="H376" s="13" t="inlineStr">
        <is>
          <t>Planta Síntese Ásia</t>
        </is>
      </c>
      <c r="I376" s="13" t="inlineStr">
        <is>
          <t>EXT-CHN-TECH</t>
        </is>
      </c>
      <c r="J376" s="13" t="inlineStr">
        <is>
          <t>Isento Exterior</t>
        </is>
      </c>
      <c r="K376" s="13" t="inlineStr">
        <is>
          <t>Shandong / Jiangsu Industrial Park - China</t>
        </is>
      </c>
      <c r="L376" s="13" t="inlineStr">
        <is>
          <t>China</t>
        </is>
      </c>
      <c r="M376" s="13" t="inlineStr">
        <is>
          <t>1/2 - Importado</t>
        </is>
      </c>
    </row>
    <row r="377" ht="22" customHeight="1">
      <c r="A377" s="6" t="inlineStr">
        <is>
          <t>EMP-0373</t>
        </is>
      </c>
      <c r="B377" s="5" t="n">
        <v>309</v>
      </c>
      <c r="C377" s="7" t="inlineStr">
        <is>
          <t>Nº 11819</t>
        </is>
      </c>
      <c r="D377" s="8" t="inlineStr">
        <is>
          <t>MANCOZEB 800 WP AGCN</t>
        </is>
      </c>
      <c r="E377" s="7" t="inlineStr">
        <is>
          <t>3. Formulador</t>
        </is>
      </c>
      <c r="F377" s="7" t="inlineStr">
        <is>
          <t>Produto Formulado Comercial</t>
        </is>
      </c>
      <c r="G377" s="7" t="inlineStr">
        <is>
          <t>OURO FINO QUÍMICA S.A.</t>
        </is>
      </c>
      <c r="H377" s="7" t="inlineStr">
        <is>
          <t>Planta Uberaba/MG</t>
        </is>
      </c>
      <c r="I377" s="7" t="inlineStr">
        <is>
          <t>09.100.671/0001-07</t>
        </is>
      </c>
      <c r="J377" s="7" t="inlineStr">
        <is>
          <t>IMA/MG nº 8.764</t>
        </is>
      </c>
      <c r="K377" s="7" t="inlineStr">
        <is>
          <t>Av. Filomena Cartafina, 22335, Uberaba/MG</t>
        </is>
      </c>
      <c r="L377" s="7" t="inlineStr">
        <is>
          <t>Brasil</t>
        </is>
      </c>
      <c r="M377" s="7" t="inlineStr">
        <is>
          <t>0/3/5 - Nacional</t>
        </is>
      </c>
    </row>
    <row r="378" ht="22" customHeight="1">
      <c r="A378" s="12" t="inlineStr">
        <is>
          <t>EMP-0374</t>
        </is>
      </c>
      <c r="B378" s="11" t="n">
        <v>309</v>
      </c>
      <c r="C378" s="13" t="inlineStr">
        <is>
          <t>Nº 11819</t>
        </is>
      </c>
      <c r="D378" s="14" t="inlineStr">
        <is>
          <t>MANCOZEB 800 WP AGCN</t>
        </is>
      </c>
      <c r="E378" s="13" t="inlineStr">
        <is>
          <t>3. Formulador</t>
        </is>
      </c>
      <c r="F378" s="13" t="inlineStr">
        <is>
          <t>Produto Formulado Comercial</t>
        </is>
      </c>
      <c r="G378" s="13" t="inlineStr">
        <is>
          <t>FERSOL INDÚSTRIA E COMÉRCIO LTDA.</t>
        </is>
      </c>
      <c r="H378" s="13" t="inlineStr">
        <is>
          <t>Planta Mairinque/SP</t>
        </is>
      </c>
      <c r="I378" s="13" t="inlineStr">
        <is>
          <t>47.226.493/0001-46</t>
        </is>
      </c>
      <c r="J378" s="13" t="inlineStr">
        <is>
          <t>CDA/SP nº 31</t>
        </is>
      </c>
      <c r="K378" s="13" t="inlineStr">
        <is>
          <t>Rod. Pres. Castelo Branco, Km 68,5, Mairinque/SP</t>
        </is>
      </c>
      <c r="L378" s="13" t="inlineStr">
        <is>
          <t>Brasil</t>
        </is>
      </c>
      <c r="M378" s="13" t="inlineStr">
        <is>
          <t>0/3/5 - Nacional</t>
        </is>
      </c>
    </row>
    <row r="379" ht="22" customHeight="1">
      <c r="A379" s="6" t="inlineStr">
        <is>
          <t>EMP-0375</t>
        </is>
      </c>
      <c r="B379" s="5" t="n">
        <v>309</v>
      </c>
      <c r="C379" s="7" t="inlineStr">
        <is>
          <t>Nº 11819</t>
        </is>
      </c>
      <c r="D379" s="8" t="inlineStr">
        <is>
          <t>MANCOZEB 800 WP AGCN</t>
        </is>
      </c>
      <c r="E379" s="7" t="inlineStr">
        <is>
          <t>3. Formulador</t>
        </is>
      </c>
      <c r="F379" s="7" t="inlineStr">
        <is>
          <t>Produto Formulado Comercial</t>
        </is>
      </c>
      <c r="G379" s="7" t="inlineStr">
        <is>
          <t>ULTRAFINE TECHNOLOGIES IND. E COM. LTDA.</t>
        </is>
      </c>
      <c r="H379" s="7" t="inlineStr">
        <is>
          <t>Planta Indaiatuba/SP</t>
        </is>
      </c>
      <c r="I379" s="7" t="inlineStr">
        <is>
          <t>50.025.469/0004-04</t>
        </is>
      </c>
      <c r="J379" s="7" t="inlineStr">
        <is>
          <t>CDA/SP nº 1248</t>
        </is>
      </c>
      <c r="K379" s="7" t="inlineStr">
        <is>
          <t>Rua Bonifácio Rosso Ros, 260, Indaiatuba/SP</t>
        </is>
      </c>
      <c r="L379" s="7" t="inlineStr">
        <is>
          <t>Brasil</t>
        </is>
      </c>
      <c r="M379" s="7" t="inlineStr">
        <is>
          <t>0/3/5 - Nacional</t>
        </is>
      </c>
    </row>
    <row r="380" ht="22" customHeight="1">
      <c r="A380" s="12" t="inlineStr">
        <is>
          <t>EMP-0376</t>
        </is>
      </c>
      <c r="B380" s="11" t="n">
        <v>310</v>
      </c>
      <c r="C380" s="13" t="inlineStr">
        <is>
          <t>Nº 11819</t>
        </is>
      </c>
      <c r="D380" s="14" t="inlineStr">
        <is>
          <t>MANCOZEB 800 WP AGCN</t>
        </is>
      </c>
      <c r="E380" s="13" t="inlineStr">
        <is>
          <t>1. Titular do Registro / Produtor</t>
        </is>
      </c>
      <c r="F380" s="13" t="inlineStr">
        <is>
          <t>Produto Formulado Comercial</t>
        </is>
      </c>
      <c r="G380" s="13" t="inlineStr">
        <is>
          <t>AGRICONNECTION IMPORTADORA E EXPORTADORA DE INSUMOS AGRÍCOLAS LTDA.</t>
        </is>
      </c>
      <c r="H380" s="13" t="inlineStr">
        <is>
          <t>Matriz / Estabelecimento Principal</t>
        </is>
      </c>
      <c r="I380" s="13" t="inlineStr">
        <is>
          <t>39.496.730/0001-60</t>
        </is>
      </c>
      <c r="J380" s="13" t="inlineStr">
        <is>
          <t>CDA/SP nº 4354 / INDEA/MT nº 27326</t>
        </is>
      </c>
      <c r="K380" s="13" t="inlineStr">
        <is>
          <t>Av. Manoel Genildo de Araujo, 188, Campo Verde/MT</t>
        </is>
      </c>
      <c r="L380" s="13" t="inlineStr">
        <is>
          <t>Brasil</t>
        </is>
      </c>
      <c r="M380" s="13" t="inlineStr">
        <is>
          <t>0 - Nacional / 1 - Importação Direta</t>
        </is>
      </c>
    </row>
    <row r="381" ht="22" customHeight="1">
      <c r="A381" s="6" t="inlineStr">
        <is>
          <t>EMP-0377</t>
        </is>
      </c>
      <c r="B381" s="5" t="n">
        <v>311</v>
      </c>
      <c r="C381" s="7" t="inlineStr">
        <is>
          <t>ISENTO (ATO 104/2017)</t>
        </is>
      </c>
      <c r="D381" s="8" t="inlineStr">
        <is>
          <t>AGRICOIL MINERAL YPF 100</t>
        </is>
      </c>
      <c r="E381" s="7" t="inlineStr">
        <is>
          <t>1. Titular do Registro / Produtor</t>
        </is>
      </c>
      <c r="F381" s="7" t="inlineStr">
        <is>
          <t>Adjuvante / Espalhante Adesivo</t>
        </is>
      </c>
      <c r="G381" s="7" t="inlineStr">
        <is>
          <t>Dispensado de Registro (Ato SDA nº 104/2017)</t>
        </is>
      </c>
      <c r="H381" s="7" t="inlineStr">
        <is>
          <t>Matriz / Estabelecimento Principal</t>
        </is>
      </c>
      <c r="I381" s="7" t="inlineStr">
        <is>
          <t>CNPJ Credenciado MAPA/SIPEAGRO</t>
        </is>
      </c>
      <c r="J381" s="7" t="inlineStr">
        <is>
          <t>Registro Estadual Vigente</t>
        </is>
      </c>
      <c r="K381" s="7" t="inlineStr">
        <is>
          <t>Estabelecimento Credenciado no Brasil</t>
        </is>
      </c>
      <c r="L381" s="7" t="inlineStr">
        <is>
          <t>Brasil</t>
        </is>
      </c>
      <c r="M381" s="7" t="inlineStr">
        <is>
          <t>0 - Nacional / 1 - Importação Direta</t>
        </is>
      </c>
    </row>
    <row r="382" ht="22" customHeight="1">
      <c r="A382" s="12" t="inlineStr">
        <is>
          <t>EMP-0378</t>
        </is>
      </c>
      <c r="B382" s="11" t="n">
        <v>312</v>
      </c>
      <c r="C382" s="13" t="inlineStr">
        <is>
          <t>SIPEAGRO (UF-XXXXX)</t>
        </is>
      </c>
      <c r="D382" s="14" t="inlineStr">
        <is>
          <t>AGCN K20-10,0% MG-2,0% S-11, 5% NI-0,4% (AMOSTRA)</t>
        </is>
      </c>
      <c r="E382" s="13" t="inlineStr">
        <is>
          <t>1. Titular do Registro / Produtor</t>
        </is>
      </c>
      <c r="F382" s="13" t="inlineStr">
        <is>
          <t>Fertilizante Mineral / Organomineral</t>
        </is>
      </c>
      <c r="G382" s="13" t="inlineStr">
        <is>
          <t>Estabelecimento Produtor SIPEAGRO/MAPA</t>
        </is>
      </c>
      <c r="H382" s="13" t="inlineStr">
        <is>
          <t>Matriz / Estabelecimento Principal</t>
        </is>
      </c>
      <c r="I382" s="13" t="inlineStr">
        <is>
          <t>CNPJ Credenciado MAPA/SIPEAGRO</t>
        </is>
      </c>
      <c r="J382" s="13" t="inlineStr">
        <is>
          <t>Registro Estadual Vigente</t>
        </is>
      </c>
      <c r="K382" s="13" t="inlineStr">
        <is>
          <t>Estabelecimento Credenciado no Brasil</t>
        </is>
      </c>
      <c r="L382" s="13" t="inlineStr">
        <is>
          <t>Brasil</t>
        </is>
      </c>
      <c r="M382" s="13" t="inlineStr">
        <is>
          <t>0 - Nacional / 1 - Importação Direta</t>
        </is>
      </c>
    </row>
    <row r="383" ht="22" customHeight="1">
      <c r="A383" s="6" t="inlineStr">
        <is>
          <t>EMP-0379</t>
        </is>
      </c>
      <c r="B383" s="5" t="n">
        <v>313</v>
      </c>
      <c r="C383" s="7" t="inlineStr">
        <is>
          <t>Nº 18220</t>
        </is>
      </c>
      <c r="D383" s="8" t="inlineStr">
        <is>
          <t>TORA</t>
        </is>
      </c>
      <c r="E383" s="7" t="inlineStr">
        <is>
          <t>1. Titular do Registro / Produtor</t>
        </is>
      </c>
      <c r="F383" s="7" t="inlineStr">
        <is>
          <t>Produto Formulado Comercial</t>
        </is>
      </c>
      <c r="G383" s="7" t="inlineStr">
        <is>
          <t>FMC QUÍMICA DO BRASIL LTDA. / CHEMINOVA BRASIL LTDA.</t>
        </is>
      </c>
      <c r="H383" s="7" t="inlineStr">
        <is>
          <t>Matriz / Estabelecimento Principal</t>
        </is>
      </c>
      <c r="I383" s="7" t="inlineStr">
        <is>
          <t>CNPJ Credenciado MAPA/SIPEAGRO</t>
        </is>
      </c>
      <c r="J383" s="7" t="inlineStr">
        <is>
          <t>Registro Estadual Vigente</t>
        </is>
      </c>
      <c r="K383" s="7" t="inlineStr">
        <is>
          <t>Estabelecimento Credenciado no Brasil</t>
        </is>
      </c>
      <c r="L383" s="7" t="inlineStr">
        <is>
          <t>Brasil</t>
        </is>
      </c>
      <c r="M383" s="7" t="inlineStr">
        <is>
          <t>0 - Nacional / 1 - Importação Direta</t>
        </is>
      </c>
    </row>
    <row r="384" ht="22" customHeight="1">
      <c r="A384" s="12" t="inlineStr">
        <is>
          <t>EMP-0380</t>
        </is>
      </c>
      <c r="B384" s="11" t="n">
        <v>314</v>
      </c>
      <c r="C384" s="13" t="inlineStr">
        <is>
          <t>Nº 1924</t>
        </is>
      </c>
      <c r="D384" s="14" t="inlineStr">
        <is>
          <t>FORCEPS</t>
        </is>
      </c>
      <c r="E384" s="13" t="inlineStr">
        <is>
          <t>1. Titular do Registro / Produtor</t>
        </is>
      </c>
      <c r="F384" s="13" t="inlineStr">
        <is>
          <t>Produto Formulado Comercial</t>
        </is>
      </c>
      <c r="G384" s="13" t="inlineStr">
        <is>
          <t>Rainbow Defensivos</t>
        </is>
      </c>
      <c r="H384" s="13" t="inlineStr">
        <is>
          <t>Matriz / Estabelecimento Principal</t>
        </is>
      </c>
      <c r="I384" s="13" t="inlineStr">
        <is>
          <t>10.486.463/0001-69</t>
        </is>
      </c>
      <c r="J384" s="13" t="inlineStr">
        <is>
          <t>SEAPA/RS nº 1928/09</t>
        </is>
      </c>
      <c r="K384" s="13" t="inlineStr">
        <is>
          <t>Estabelecimento Credenciado no Brasil</t>
        </is>
      </c>
      <c r="L384" s="13" t="inlineStr">
        <is>
          <t>Brasil</t>
        </is>
      </c>
      <c r="M384" s="13" t="inlineStr">
        <is>
          <t>0 - Nacional / 1 - Importação Direta</t>
        </is>
      </c>
    </row>
    <row r="385" ht="22" customHeight="1">
      <c r="A385" s="6" t="inlineStr">
        <is>
          <t>EMP-0381</t>
        </is>
      </c>
      <c r="B385" s="5" t="n">
        <v>315</v>
      </c>
      <c r="C385" s="7" t="inlineStr">
        <is>
          <t>Nº 2721</t>
        </is>
      </c>
      <c r="D385" s="8" t="inlineStr">
        <is>
          <t>CLETODIM 240 EC PROVENTIS</t>
        </is>
      </c>
      <c r="E385" s="7" t="inlineStr">
        <is>
          <t>1. Titular do Registro / Produtor</t>
        </is>
      </c>
      <c r="F385" s="7" t="inlineStr">
        <is>
          <t>Produto Formulado Comercial</t>
        </is>
      </c>
      <c r="G385" s="7" t="inlineStr">
        <is>
          <t>Proventis Lifescience</t>
        </is>
      </c>
      <c r="H385" s="7" t="inlineStr">
        <is>
          <t>Matriz / Estabelecimento Principal</t>
        </is>
      </c>
      <c r="I385" s="7" t="inlineStr">
        <is>
          <t>CNPJ Credenciado MAPA/SIPEAGRO</t>
        </is>
      </c>
      <c r="J385" s="7" t="inlineStr">
        <is>
          <t>Registro Estadual Vigente</t>
        </is>
      </c>
      <c r="K385" s="7" t="inlineStr">
        <is>
          <t>Estabelecimento Credenciado no Brasil</t>
        </is>
      </c>
      <c r="L385" s="7" t="inlineStr">
        <is>
          <t>Brasil</t>
        </is>
      </c>
      <c r="M385" s="7" t="inlineStr">
        <is>
          <t>0 - Nacional / 1 - Importação Direta</t>
        </is>
      </c>
    </row>
    <row r="386" ht="22" customHeight="1">
      <c r="A386" s="12" t="inlineStr">
        <is>
          <t>EMP-0382</t>
        </is>
      </c>
      <c r="B386" s="11" t="n">
        <v>316</v>
      </c>
      <c r="C386" s="13" t="inlineStr">
        <is>
          <t>ISENTO (ATO 104/2017)</t>
        </is>
      </c>
      <c r="D386" s="14" t="inlineStr">
        <is>
          <t>AGRICOIL VEGETAL MV</t>
        </is>
      </c>
      <c r="E386" s="13" t="inlineStr">
        <is>
          <t>1. Titular do Registro / Produtor</t>
        </is>
      </c>
      <c r="F386" s="13" t="inlineStr">
        <is>
          <t>Adjuvante / Espalhante Adesivo</t>
        </is>
      </c>
      <c r="G386" s="13" t="inlineStr">
        <is>
          <t>Dispensado de Registro (Ato SDA nº 104/2017)</t>
        </is>
      </c>
      <c r="H386" s="13" t="inlineStr">
        <is>
          <t>Matriz / Estabelecimento Principal</t>
        </is>
      </c>
      <c r="I386" s="13" t="inlineStr">
        <is>
          <t>CNPJ Credenciado MAPA/SIPEAGRO</t>
        </is>
      </c>
      <c r="J386" s="13" t="inlineStr">
        <is>
          <t>Registro Estadual Vigente</t>
        </is>
      </c>
      <c r="K386" s="13" t="inlineStr">
        <is>
          <t>Estabelecimento Credenciado no Brasil</t>
        </is>
      </c>
      <c r="L386" s="13" t="inlineStr">
        <is>
          <t>Brasil</t>
        </is>
      </c>
      <c r="M386" s="13" t="inlineStr">
        <is>
          <t>0 - Nacional / 1 - Importação Direta</t>
        </is>
      </c>
    </row>
    <row r="387" ht="22" customHeight="1">
      <c r="A387" s="6" t="inlineStr">
        <is>
          <t>EMP-0383</t>
        </is>
      </c>
      <c r="B387" s="5" t="n">
        <v>317</v>
      </c>
      <c r="C387" s="7" t="inlineStr">
        <is>
          <t>Nº 27717</t>
        </is>
      </c>
      <c r="D387" s="8" t="inlineStr">
        <is>
          <t>FIPRONIL 800 WG AGCN</t>
        </is>
      </c>
      <c r="E387" s="7" t="inlineStr">
        <is>
          <t>1. Titular do Registro / Produtor</t>
        </is>
      </c>
      <c r="F387" s="7" t="inlineStr">
        <is>
          <t>Produto Formulado Comercial</t>
        </is>
      </c>
      <c r="G387" s="7" t="inlineStr">
        <is>
          <t>AGRICONNECTION IMPORTADORA E EXPORTADORA DE INSUMOS AGRÍCOLAS LTDA.</t>
        </is>
      </c>
      <c r="H387" s="7" t="inlineStr">
        <is>
          <t>Matriz / Estabelecimento Principal</t>
        </is>
      </c>
      <c r="I387" s="7" t="inlineStr">
        <is>
          <t>39.496.730/0001-60</t>
        </is>
      </c>
      <c r="J387" s="7" t="inlineStr">
        <is>
          <t>INDEA/MT nº 27326 / CDA/SP nº 4354</t>
        </is>
      </c>
      <c r="K387" s="7" t="inlineStr">
        <is>
          <t>Av. Manoel Genildo de Araujo, 188, Sala 02, Campo Verde/MT - CEP 78840-085</t>
        </is>
      </c>
      <c r="L387" s="7" t="inlineStr">
        <is>
          <t>Brasil</t>
        </is>
      </c>
      <c r="M387" s="7" t="inlineStr">
        <is>
          <t>0 - Nacional / 1 - Importação Direta</t>
        </is>
      </c>
    </row>
    <row r="388" ht="22" customHeight="1">
      <c r="A388" s="12" t="inlineStr">
        <is>
          <t>EMP-0384</t>
        </is>
      </c>
      <c r="B388" s="11" t="n">
        <v>318</v>
      </c>
      <c r="C388" s="13" t="inlineStr">
        <is>
          <t>SIPEAGRO (UF-XXXXX)</t>
        </is>
      </c>
      <c r="D388" s="14" t="inlineStr">
        <is>
          <t>QUALY SULFATO MAGNESIO 16 - E</t>
        </is>
      </c>
      <c r="E388" s="13" t="inlineStr">
        <is>
          <t>1. Titular do Registro / Produtor</t>
        </is>
      </c>
      <c r="F388" s="13" t="inlineStr">
        <is>
          <t>Fertilizante Mineral / Organomineral</t>
        </is>
      </c>
      <c r="G388" s="13" t="inlineStr">
        <is>
          <t>QUALY FERTILIZANTES / ESTABELECIMENTO PRODUTOR SIPEAGRO-MAPA</t>
        </is>
      </c>
      <c r="H388" s="13" t="inlineStr">
        <is>
          <t>Matriz / Estabelecimento Principal</t>
        </is>
      </c>
      <c r="I388" s="13" t="inlineStr">
        <is>
          <t>CNPJ Credenciado MAPA/SIPEAGRO</t>
        </is>
      </c>
      <c r="J388" s="13" t="inlineStr">
        <is>
          <t>Registro Estadual Vigente</t>
        </is>
      </c>
      <c r="K388" s="13" t="inlineStr">
        <is>
          <t>Estabelecimento Credenciado no Brasil</t>
        </is>
      </c>
      <c r="L388" s="13" t="inlineStr">
        <is>
          <t>Brasil</t>
        </is>
      </c>
      <c r="M388" s="13" t="inlineStr">
        <is>
          <t>0 - Nacional / 1 - Importação Direta</t>
        </is>
      </c>
    </row>
    <row r="389" ht="22" customHeight="1">
      <c r="A389" s="6" t="inlineStr">
        <is>
          <t>EMP-0385</t>
        </is>
      </c>
      <c r="B389" s="5" t="n">
        <v>319</v>
      </c>
      <c r="C389" s="7" t="inlineStr">
        <is>
          <t>Nº 12621</t>
        </is>
      </c>
      <c r="D389" s="8" t="inlineStr">
        <is>
          <t>NADRAN 250</t>
        </is>
      </c>
      <c r="E389" s="7" t="inlineStr">
        <is>
          <t>1. Titular do Registro / Produtor</t>
        </is>
      </c>
      <c r="F389" s="7" t="inlineStr">
        <is>
          <t>Produto Formulado Comercial</t>
        </is>
      </c>
      <c r="G389" s="7" t="inlineStr">
        <is>
          <t>Luxembourg Brasil</t>
        </is>
      </c>
      <c r="H389" s="7" t="inlineStr">
        <is>
          <t>Matriz / Estabelecimento Principal</t>
        </is>
      </c>
      <c r="I389" s="7" t="inlineStr">
        <is>
          <t>CNPJ Credenciado MAPA/SIPEAGRO</t>
        </is>
      </c>
      <c r="J389" s="7" t="inlineStr">
        <is>
          <t>Registro Estadual Vigente</t>
        </is>
      </c>
      <c r="K389" s="7" t="inlineStr">
        <is>
          <t>Estabelecimento Credenciado no Brasil</t>
        </is>
      </c>
      <c r="L389" s="7" t="inlineStr">
        <is>
          <t>Brasil</t>
        </is>
      </c>
      <c r="M389" s="7" t="inlineStr">
        <is>
          <t>0 - Nacional / 1 - Importação Direta</t>
        </is>
      </c>
    </row>
    <row r="390" ht="22" customHeight="1">
      <c r="A390" s="12" t="inlineStr">
        <is>
          <t>EMP-0386</t>
        </is>
      </c>
      <c r="B390" s="11" t="n">
        <v>320</v>
      </c>
      <c r="C390" s="13" t="inlineStr">
        <is>
          <t>Nº 7723</t>
        </is>
      </c>
      <c r="D390" s="14" t="inlineStr">
        <is>
          <t>ALVOFIX</t>
        </is>
      </c>
      <c r="E390" s="13" t="inlineStr">
        <is>
          <t>1. Titular do Registro</t>
        </is>
      </c>
      <c r="F390" s="13" t="inlineStr">
        <is>
          <t>Produto Formulado Comercial</t>
        </is>
      </c>
      <c r="G390" s="13" t="inlineStr">
        <is>
          <t>Rainbow</t>
        </is>
      </c>
      <c r="H390" s="13" t="inlineStr">
        <is>
          <t>Estabelecimento Credenciado</t>
        </is>
      </c>
      <c r="I390" s="13" t="inlineStr">
        <is>
          <t>CNPJ Credenciado MAPA</t>
        </is>
      </c>
      <c r="J390" s="13" t="inlineStr">
        <is>
          <t>Registro Estadual Vigente</t>
        </is>
      </c>
      <c r="K390" s="13" t="inlineStr">
        <is>
          <t>Unidade Operacional Brasil</t>
        </is>
      </c>
      <c r="L390" s="13" t="inlineStr">
        <is>
          <t>Brasil</t>
        </is>
      </c>
      <c r="M390" s="13" t="inlineStr">
        <is>
          <t>0/1/2 - Conforme Origem do Lote</t>
        </is>
      </c>
    </row>
    <row r="391" ht="22" customHeight="1">
      <c r="A391" s="6" t="inlineStr">
        <is>
          <t>EMP-0387</t>
        </is>
      </c>
      <c r="B391" s="5" t="n">
        <v>320</v>
      </c>
      <c r="C391" s="7" t="inlineStr">
        <is>
          <t>Nº 7723</t>
        </is>
      </c>
      <c r="D391" s="8" t="inlineStr">
        <is>
          <t>ALVOFIX</t>
        </is>
      </c>
      <c r="E391" s="7" t="inlineStr">
        <is>
          <t>3. Formulador / Co-Distribuidor Autorizado</t>
        </is>
      </c>
      <c r="F391" s="7" t="inlineStr">
        <is>
          <t>Produto Formulado Comercial</t>
        </is>
      </c>
      <c r="G391" s="7" t="inlineStr">
        <is>
          <t>Perterra</t>
        </is>
      </c>
      <c r="H391" s="7" t="inlineStr">
        <is>
          <t>Estabelecimento Credenciado</t>
        </is>
      </c>
      <c r="I391" s="7" t="inlineStr">
        <is>
          <t>CNPJ Credenciado MAPA</t>
        </is>
      </c>
      <c r="J391" s="7" t="inlineStr">
        <is>
          <t>Registro Estadual Vigente</t>
        </is>
      </c>
      <c r="K391" s="7" t="inlineStr">
        <is>
          <t>Unidade Operacional Brasil</t>
        </is>
      </c>
      <c r="L391" s="7" t="inlineStr">
        <is>
          <t>Brasil</t>
        </is>
      </c>
      <c r="M391" s="7" t="inlineStr">
        <is>
          <t>0/1/2 - Conforme Origem do Lote</t>
        </is>
      </c>
    </row>
    <row r="392" ht="22" customHeight="1">
      <c r="A392" s="12" t="inlineStr">
        <is>
          <t>EMP-0388</t>
        </is>
      </c>
      <c r="B392" s="11" t="n">
        <v>321</v>
      </c>
      <c r="C392" s="13" t="inlineStr">
        <is>
          <t>SIPEAGRO (UF-XXXXX)</t>
        </is>
      </c>
      <c r="D392" s="14" t="inlineStr">
        <is>
          <t>BIOLOGIC NEMA</t>
        </is>
      </c>
      <c r="E392" s="13" t="inlineStr">
        <is>
          <t>1. Titular do Registro / Produtor</t>
        </is>
      </c>
      <c r="F392" s="13" t="inlineStr">
        <is>
          <t>Produto Formulado Comercial</t>
        </is>
      </c>
      <c r="G392" s="13" t="inlineStr">
        <is>
          <t>BALLAGRO AGRO TECNOLOGIA LTDA. / BIOLOGIC</t>
        </is>
      </c>
      <c r="H392" s="13" t="inlineStr">
        <is>
          <t>Matriz / Estabelecimento Principal</t>
        </is>
      </c>
      <c r="I392" s="13" t="inlineStr">
        <is>
          <t>CNPJ Credenciado MAPA/SIPEAGRO</t>
        </is>
      </c>
      <c r="J392" s="13" t="inlineStr">
        <is>
          <t>Registro Estadual Vigente</t>
        </is>
      </c>
      <c r="K392" s="13" t="inlineStr">
        <is>
          <t>Estabelecimento Credenciado no Brasil</t>
        </is>
      </c>
      <c r="L392" s="13" t="inlineStr">
        <is>
          <t>Brasil</t>
        </is>
      </c>
      <c r="M392" s="13" t="inlineStr">
        <is>
          <t>0 - Nacional / 1 - Importação Direta</t>
        </is>
      </c>
    </row>
    <row r="393" ht="22" customHeight="1">
      <c r="A393" s="6" t="inlineStr">
        <is>
          <t>EMP-0389</t>
        </is>
      </c>
      <c r="B393" s="5" t="n">
        <v>322</v>
      </c>
      <c r="C393" s="7" t="inlineStr">
        <is>
          <t>Nº 109009</t>
        </is>
      </c>
      <c r="D393" s="8" t="inlineStr">
        <is>
          <t>MANZATE WG</t>
        </is>
      </c>
      <c r="E393" s="7" t="inlineStr">
        <is>
          <t>1. Titular do Registro / Produtor</t>
        </is>
      </c>
      <c r="F393" s="7" t="inlineStr">
        <is>
          <t>Produto Formulado Comercial</t>
        </is>
      </c>
      <c r="G393" s="7" t="inlineStr">
        <is>
          <t>UPL do Brasil</t>
        </is>
      </c>
      <c r="H393" s="7" t="inlineStr">
        <is>
          <t>Matriz / Estabelecimento Principal</t>
        </is>
      </c>
      <c r="I393" s="7" t="inlineStr">
        <is>
          <t>CNPJ Credenciado MAPA/SIPEAGRO</t>
        </is>
      </c>
      <c r="J393" s="7" t="inlineStr">
        <is>
          <t>Registro Estadual Vigente</t>
        </is>
      </c>
      <c r="K393" s="7" t="inlineStr">
        <is>
          <t>Estabelecimento Credenciado no Brasil</t>
        </is>
      </c>
      <c r="L393" s="7" t="inlineStr">
        <is>
          <t>Brasil</t>
        </is>
      </c>
      <c r="M393" s="7" t="inlineStr">
        <is>
          <t>0 - Nacional / 1 - Importação Direta</t>
        </is>
      </c>
    </row>
    <row r="394" ht="22" customHeight="1">
      <c r="A394" s="12" t="inlineStr">
        <is>
          <t>EMP-0390</t>
        </is>
      </c>
      <c r="B394" s="11" t="n">
        <v>323</v>
      </c>
      <c r="C394" s="13" t="inlineStr">
        <is>
          <t>SIPEAGRO (UF-XXXXX)</t>
        </is>
      </c>
      <c r="D394" s="14" t="inlineStr">
        <is>
          <t>RIZOKOP</t>
        </is>
      </c>
      <c r="E394" s="13" t="inlineStr">
        <is>
          <t>1. Titular do Registro / Produtor</t>
        </is>
      </c>
      <c r="F394" s="13" t="inlineStr">
        <is>
          <t>Inoculante / Biológico</t>
        </is>
      </c>
      <c r="G394" s="13" t="inlineStr">
        <is>
          <t>Estabelecimento Produtor SIPEAGRO/MAPA</t>
        </is>
      </c>
      <c r="H394" s="13" t="inlineStr">
        <is>
          <t>Matriz / Estabelecimento Principal</t>
        </is>
      </c>
      <c r="I394" s="13" t="inlineStr">
        <is>
          <t>CNPJ Credenciado MAPA/SIPEAGRO</t>
        </is>
      </c>
      <c r="J394" s="13" t="inlineStr">
        <is>
          <t>Registro Estadual Vigente</t>
        </is>
      </c>
      <c r="K394" s="13" t="inlineStr">
        <is>
          <t>Estabelecimento Credenciado no Brasil</t>
        </is>
      </c>
      <c r="L394" s="13" t="inlineStr">
        <is>
          <t>Brasil</t>
        </is>
      </c>
      <c r="M394" s="13" t="inlineStr">
        <is>
          <t>0 - Nacional / 1 - Importação Direta</t>
        </is>
      </c>
    </row>
    <row r="395" ht="22" customHeight="1">
      <c r="A395" s="6" t="inlineStr">
        <is>
          <t>EMP-0391</t>
        </is>
      </c>
      <c r="B395" s="5" t="n">
        <v>324</v>
      </c>
      <c r="C395" s="7" t="inlineStr">
        <is>
          <t>Nº 9622</t>
        </is>
      </c>
      <c r="D395" s="8" t="inlineStr">
        <is>
          <t>CLOROTALONIL C</t>
        </is>
      </c>
      <c r="E395" s="7" t="inlineStr">
        <is>
          <t>1. Titular do Registro / Produtor</t>
        </is>
      </c>
      <c r="F395" s="7" t="inlineStr">
        <is>
          <t>Produto Formulado Comercial</t>
        </is>
      </c>
      <c r="G395" s="7" t="inlineStr">
        <is>
          <t>Perterra</t>
        </is>
      </c>
      <c r="H395" s="7" t="inlineStr">
        <is>
          <t>Matriz / Estabelecimento Principal</t>
        </is>
      </c>
      <c r="I395" s="7" t="inlineStr">
        <is>
          <t>CNPJ Credenciado MAPA/SIPEAGRO</t>
        </is>
      </c>
      <c r="J395" s="7" t="inlineStr">
        <is>
          <t>Registro Estadual Vigente</t>
        </is>
      </c>
      <c r="K395" s="7" t="inlineStr">
        <is>
          <t>Estabelecimento Credenciado no Brasil</t>
        </is>
      </c>
      <c r="L395" s="7" t="inlineStr">
        <is>
          <t>Brasil</t>
        </is>
      </c>
      <c r="M395" s="7" t="inlineStr">
        <is>
          <t>0 - Nacional / 1 - Importação Direta</t>
        </is>
      </c>
    </row>
    <row r="396" ht="22" customHeight="1">
      <c r="A396" s="12" t="inlineStr">
        <is>
          <t>EMP-0392</t>
        </is>
      </c>
      <c r="B396" s="11" t="n">
        <v>325</v>
      </c>
      <c r="C396" s="13" t="inlineStr">
        <is>
          <t>Nº 17119</t>
        </is>
      </c>
      <c r="D396" s="14" t="inlineStr">
        <is>
          <t>DIFO 250 EC</t>
        </is>
      </c>
      <c r="E396" s="13" t="inlineStr">
        <is>
          <t>1. Titular do Registro / Produtor</t>
        </is>
      </c>
      <c r="F396" s="13" t="inlineStr">
        <is>
          <t>Produto Formulado Comercial</t>
        </is>
      </c>
      <c r="G396" s="13" t="inlineStr">
        <is>
          <t>RAINBOW DEFENSIVOS AGRÍCOLAS LTDA.</t>
        </is>
      </c>
      <c r="H396" s="13" t="inlineStr">
        <is>
          <t>Matriz / Estabelecimento Principal</t>
        </is>
      </c>
      <c r="I396" s="13" t="inlineStr">
        <is>
          <t>CNPJ Credenciado MAPA/SIPEAGRO</t>
        </is>
      </c>
      <c r="J396" s="13" t="inlineStr">
        <is>
          <t>Registro Estadual Vigente</t>
        </is>
      </c>
      <c r="K396" s="13" t="inlineStr">
        <is>
          <t>Estabelecimento Credenciado no Brasil</t>
        </is>
      </c>
      <c r="L396" s="13" t="inlineStr">
        <is>
          <t>Brasil</t>
        </is>
      </c>
      <c r="M396" s="13" t="inlineStr">
        <is>
          <t>0 - Nacional / 1 - Importação Direta</t>
        </is>
      </c>
    </row>
    <row r="397" ht="22" customHeight="1">
      <c r="A397" s="6" t="inlineStr">
        <is>
          <t>EMP-0393</t>
        </is>
      </c>
      <c r="B397" s="5" t="n">
        <v>326</v>
      </c>
      <c r="C397" s="7" t="inlineStr">
        <is>
          <t>Nº 10023</t>
        </is>
      </c>
      <c r="D397" s="8" t="inlineStr">
        <is>
          <t>XEQUE MATE SG</t>
        </is>
      </c>
      <c r="E397" s="7" t="inlineStr">
        <is>
          <t>1. Titular do Registro / Produtor</t>
        </is>
      </c>
      <c r="F397" s="7" t="inlineStr">
        <is>
          <t>Produto Formulado Comercial</t>
        </is>
      </c>
      <c r="G397" s="7" t="inlineStr">
        <is>
          <t>ALBAUGH AGRO BRASIL LTDA.</t>
        </is>
      </c>
      <c r="H397" s="7" t="inlineStr">
        <is>
          <t>Matriz / Estabelecimento Principal</t>
        </is>
      </c>
      <c r="I397" s="7" t="inlineStr">
        <is>
          <t>CNPJ Credenciado MAPA/SIPEAGRO</t>
        </is>
      </c>
      <c r="J397" s="7" t="inlineStr">
        <is>
          <t>Registro Estadual Vigente</t>
        </is>
      </c>
      <c r="K397" s="7" t="inlineStr">
        <is>
          <t>Estabelecimento Credenciado no Brasil</t>
        </is>
      </c>
      <c r="L397" s="7" t="inlineStr">
        <is>
          <t>Brasil</t>
        </is>
      </c>
      <c r="M397" s="7" t="inlineStr">
        <is>
          <t>0 - Nacional / 1 - Importação Direta</t>
        </is>
      </c>
    </row>
    <row r="398" ht="22" customHeight="1">
      <c r="A398" s="12" t="inlineStr">
        <is>
          <t>EMP-0394</t>
        </is>
      </c>
      <c r="B398" s="11" t="n">
        <v>327</v>
      </c>
      <c r="C398" s="13" t="inlineStr">
        <is>
          <t>Nº 10623</t>
        </is>
      </c>
      <c r="D398" s="14" t="inlineStr">
        <is>
          <t>PREVENT GOLD</t>
        </is>
      </c>
      <c r="E398" s="13" t="inlineStr">
        <is>
          <t>1. Titular do Registro / Produtor</t>
        </is>
      </c>
      <c r="F398" s="13" t="inlineStr">
        <is>
          <t>Produto Formulado Comercial</t>
        </is>
      </c>
      <c r="G398" s="13" t="inlineStr">
        <is>
          <t>RAINBOW DEFENSIVOS AGRÍCOLAS LTDA.</t>
        </is>
      </c>
      <c r="H398" s="13" t="inlineStr">
        <is>
          <t>Matriz / Estabelecimento Principal</t>
        </is>
      </c>
      <c r="I398" s="13" t="inlineStr">
        <is>
          <t>CNPJ Credenciado MAPA/SIPEAGRO</t>
        </is>
      </c>
      <c r="J398" s="13" t="inlineStr">
        <is>
          <t>Registro Estadual Vigente</t>
        </is>
      </c>
      <c r="K398" s="13" t="inlineStr">
        <is>
          <t>Estabelecimento Credenciado no Brasil</t>
        </is>
      </c>
      <c r="L398" s="13" t="inlineStr">
        <is>
          <t>Brasil</t>
        </is>
      </c>
      <c r="M398" s="13" t="inlineStr">
        <is>
          <t>0 - Nacional / 1 - Importação Direta</t>
        </is>
      </c>
    </row>
    <row r="399" ht="22" customHeight="1">
      <c r="A399" s="6" t="inlineStr">
        <is>
          <t>EMP-0395</t>
        </is>
      </c>
      <c r="B399" s="5" t="n">
        <v>328</v>
      </c>
      <c r="C399" s="7" t="inlineStr">
        <is>
          <t>Nº 3518</t>
        </is>
      </c>
      <c r="D399" s="8" t="inlineStr">
        <is>
          <t>VERDICT(TM)</t>
        </is>
      </c>
      <c r="E399" s="7" t="inlineStr">
        <is>
          <t>1. Titular do Registro / Produtor</t>
        </is>
      </c>
      <c r="F399" s="7" t="inlineStr">
        <is>
          <t>Produto Formulado Comercial</t>
        </is>
      </c>
      <c r="G399" s="7" t="inlineStr">
        <is>
          <t>Corteva Agriscience</t>
        </is>
      </c>
      <c r="H399" s="7" t="inlineStr">
        <is>
          <t>Matriz / Estabelecimento Principal</t>
        </is>
      </c>
      <c r="I399" s="7" t="inlineStr">
        <is>
          <t>CNPJ Credenciado MAPA/SIPEAGRO</t>
        </is>
      </c>
      <c r="J399" s="7" t="inlineStr">
        <is>
          <t>Registro Estadual Vigente</t>
        </is>
      </c>
      <c r="K399" s="7" t="inlineStr">
        <is>
          <t>Estabelecimento Credenciado no Brasil</t>
        </is>
      </c>
      <c r="L399" s="7" t="inlineStr">
        <is>
          <t>Brasil</t>
        </is>
      </c>
      <c r="M399" s="7" t="inlineStr">
        <is>
          <t>0 - Nacional / 1 - Importação Direta</t>
        </is>
      </c>
    </row>
    <row r="400" ht="22" customHeight="1">
      <c r="A400" s="12" t="inlineStr">
        <is>
          <t>EMP-0396</t>
        </is>
      </c>
      <c r="B400" s="11" t="n">
        <v>329</v>
      </c>
      <c r="C400" s="13" t="inlineStr">
        <is>
          <t>ISENTO (ATO 104/2017)</t>
        </is>
      </c>
      <c r="D400" s="14" t="inlineStr">
        <is>
          <t>AGCN EASY OIL</t>
        </is>
      </c>
      <c r="E400" s="13" t="inlineStr">
        <is>
          <t>1. Titular do Registro / Produtor</t>
        </is>
      </c>
      <c r="F400" s="13" t="inlineStr">
        <is>
          <t>Adjuvante / Espalhante Adesivo</t>
        </is>
      </c>
      <c r="G400" s="13" t="inlineStr">
        <is>
          <t>Dispensado de Registro (Ato SDA nº 104/2017)</t>
        </is>
      </c>
      <c r="H400" s="13" t="inlineStr">
        <is>
          <t>Matriz / Estabelecimento Principal</t>
        </is>
      </c>
      <c r="I400" s="13" t="inlineStr">
        <is>
          <t>CNPJ Credenciado MAPA/SIPEAGRO</t>
        </is>
      </c>
      <c r="J400" s="13" t="inlineStr">
        <is>
          <t>Registro Estadual Vigente</t>
        </is>
      </c>
      <c r="K400" s="13" t="inlineStr">
        <is>
          <t>Estabelecimento Credenciado no Brasil</t>
        </is>
      </c>
      <c r="L400" s="13" t="inlineStr">
        <is>
          <t>Brasil</t>
        </is>
      </c>
      <c r="M400" s="13" t="inlineStr">
        <is>
          <t>0 - Nacional / 1 - Importação Direta</t>
        </is>
      </c>
    </row>
    <row r="401" ht="22" customHeight="1">
      <c r="A401" s="6" t="inlineStr">
        <is>
          <t>EMP-0397</t>
        </is>
      </c>
      <c r="B401" s="5" t="n">
        <v>330</v>
      </c>
      <c r="C401" s="7" t="inlineStr">
        <is>
          <t>ISENTO (ATO 104/2017)</t>
        </is>
      </c>
      <c r="D401" s="8" t="inlineStr">
        <is>
          <t>AGRICOIL PREMIUM PURO</t>
        </is>
      </c>
      <c r="E401" s="7" t="inlineStr">
        <is>
          <t>1. Titular do Registro / Produtor</t>
        </is>
      </c>
      <c r="F401" s="7" t="inlineStr">
        <is>
          <t>Adjuvante / Espalhante Adesivo</t>
        </is>
      </c>
      <c r="G401" s="7" t="inlineStr">
        <is>
          <t>Dispensado de Registro (Ato SDA nº 104/2017)</t>
        </is>
      </c>
      <c r="H401" s="7" t="inlineStr">
        <is>
          <t>Matriz / Estabelecimento Principal</t>
        </is>
      </c>
      <c r="I401" s="7" t="inlineStr">
        <is>
          <t>CNPJ Credenciado MAPA/SIPEAGRO</t>
        </is>
      </c>
      <c r="J401" s="7" t="inlineStr">
        <is>
          <t>Registro Estadual Vigente</t>
        </is>
      </c>
      <c r="K401" s="7" t="inlineStr">
        <is>
          <t>Estabelecimento Credenciado no Brasil</t>
        </is>
      </c>
      <c r="L401" s="7" t="inlineStr">
        <is>
          <t>Brasil</t>
        </is>
      </c>
      <c r="M401" s="7" t="inlineStr">
        <is>
          <t>0 - Nacional / 1 - Importação Direta</t>
        </is>
      </c>
    </row>
    <row r="402" ht="22" customHeight="1">
      <c r="A402" s="12" t="inlineStr">
        <is>
          <t>EMP-0398</t>
        </is>
      </c>
      <c r="B402" s="11" t="n">
        <v>331</v>
      </c>
      <c r="C402" s="13" t="inlineStr">
        <is>
          <t>Nº 9621</t>
        </is>
      </c>
      <c r="D402" s="14" t="inlineStr">
        <is>
          <t>GLIFOSATO 540 (PRINCIPIO ATIVO)</t>
        </is>
      </c>
      <c r="E402" s="13" t="inlineStr">
        <is>
          <t>1. Titular do Registro / Produtor</t>
        </is>
      </c>
      <c r="F402" s="13" t="inlineStr">
        <is>
          <t>Produto Técnico Industrial</t>
        </is>
      </c>
      <c r="G402" s="13" t="inlineStr">
        <is>
          <t>ALBAUGH AGRO BRASIL LTDA.</t>
        </is>
      </c>
      <c r="H402" s="13" t="inlineStr">
        <is>
          <t>Matriz / Estabelecimento Principal</t>
        </is>
      </c>
      <c r="I402" s="13" t="inlineStr">
        <is>
          <t>CNPJ Credenciado MAPA/SIPEAGRO</t>
        </is>
      </c>
      <c r="J402" s="13" t="inlineStr">
        <is>
          <t>Registro Estadual Vigente</t>
        </is>
      </c>
      <c r="K402" s="13" t="inlineStr">
        <is>
          <t>Estabelecimento Credenciado no Brasil</t>
        </is>
      </c>
      <c r="L402" s="13" t="inlineStr">
        <is>
          <t>Brasil</t>
        </is>
      </c>
      <c r="M402" s="13" t="inlineStr">
        <is>
          <t>0 - Nacional / 1 - Importação Direta</t>
        </is>
      </c>
    </row>
    <row r="403" ht="22" customHeight="1">
      <c r="A403" s="6" t="inlineStr">
        <is>
          <t>EMP-0399</t>
        </is>
      </c>
      <c r="B403" s="5" t="n">
        <v>332</v>
      </c>
      <c r="C403" s="7" t="inlineStr">
        <is>
          <t>Nº 12319</t>
        </is>
      </c>
      <c r="D403" s="8" t="inlineStr">
        <is>
          <t>MANCOZEB 800 SINO-AGRI</t>
        </is>
      </c>
      <c r="E403" s="7" t="inlineStr">
        <is>
          <t>1. Titular do Registro / Produtor</t>
        </is>
      </c>
      <c r="F403" s="7" t="inlineStr">
        <is>
          <t>Produto Formulado Comercial</t>
        </is>
      </c>
      <c r="G403" s="7" t="inlineStr">
        <is>
          <t>SINO-AGRI LEADING BIOSCIENCES DO BRASIL / INOVATIS LTDA.</t>
        </is>
      </c>
      <c r="H403" s="7" t="inlineStr">
        <is>
          <t>Matriz / Estabelecimento Principal</t>
        </is>
      </c>
      <c r="I403" s="7" t="inlineStr">
        <is>
          <t>CNPJ Credenciado MAPA/SIPEAGRO</t>
        </is>
      </c>
      <c r="J403" s="7" t="inlineStr">
        <is>
          <t>Registro Estadual Vigente</t>
        </is>
      </c>
      <c r="K403" s="7" t="inlineStr">
        <is>
          <t>Estabelecimento Credenciado no Brasil</t>
        </is>
      </c>
      <c r="L403" s="7" t="inlineStr">
        <is>
          <t>Brasil</t>
        </is>
      </c>
      <c r="M403" s="7" t="inlineStr">
        <is>
          <t>0 - Nacional / 1 - Importação Direta</t>
        </is>
      </c>
    </row>
    <row r="404" ht="22" customHeight="1">
      <c r="A404" s="12" t="inlineStr">
        <is>
          <t>EMP-0400</t>
        </is>
      </c>
      <c r="B404" s="11" t="n">
        <v>333</v>
      </c>
      <c r="C404" s="13" t="inlineStr">
        <is>
          <t>SIPEAGRO (UF-XXXXX)</t>
        </is>
      </c>
      <c r="D404" s="14" t="inlineStr">
        <is>
          <t>SULFATO DE AMONIO 21N AMONIACAL 24S GRANULADO</t>
        </is>
      </c>
      <c r="E404" s="13" t="inlineStr">
        <is>
          <t>1. Titular do Registro / Produtor</t>
        </is>
      </c>
      <c r="F404" s="13" t="inlineStr">
        <is>
          <t>Fertilizante Mineral / Organomineral</t>
        </is>
      </c>
      <c r="G404" s="13" t="inlineStr">
        <is>
          <t>Estabelecimento Produtor SIPEAGRO/MAPA</t>
        </is>
      </c>
      <c r="H404" s="13" t="inlineStr">
        <is>
          <t>Matriz / Estabelecimento Principal</t>
        </is>
      </c>
      <c r="I404" s="13" t="inlineStr">
        <is>
          <t>CNPJ Credenciado MAPA/SIPEAGRO</t>
        </is>
      </c>
      <c r="J404" s="13" t="inlineStr">
        <is>
          <t>Registro Estadual Vigente</t>
        </is>
      </c>
      <c r="K404" s="13" t="inlineStr">
        <is>
          <t>Estabelecimento Credenciado no Brasil</t>
        </is>
      </c>
      <c r="L404" s="13" t="inlineStr">
        <is>
          <t>Brasil</t>
        </is>
      </c>
      <c r="M404" s="13" t="inlineStr">
        <is>
          <t>0 - Nacional / 1 - Importação Direta</t>
        </is>
      </c>
    </row>
    <row r="405" ht="22" customHeight="1">
      <c r="A405" s="6" t="inlineStr">
        <is>
          <t>EMP-0401</t>
        </is>
      </c>
      <c r="B405" s="5" t="n">
        <v>334</v>
      </c>
      <c r="C405" s="7" t="inlineStr">
        <is>
          <t>Nº 34118</t>
        </is>
      </c>
      <c r="D405" s="8" t="inlineStr">
        <is>
          <t>TEMPLO</t>
        </is>
      </c>
      <c r="E405" s="7" t="inlineStr">
        <is>
          <t>1. Titular do Registro / Produtor</t>
        </is>
      </c>
      <c r="F405" s="7" t="inlineStr">
        <is>
          <t>Produto Formulado Comercial</t>
        </is>
      </c>
      <c r="G405" s="7" t="inlineStr">
        <is>
          <t>SYNGENTA PROTEÇÃO DE CULTIVOS LTDA.</t>
        </is>
      </c>
      <c r="H405" s="7" t="inlineStr">
        <is>
          <t>Matriz / Estabelecimento Principal</t>
        </is>
      </c>
      <c r="I405" s="7" t="inlineStr">
        <is>
          <t>CNPJ Credenciado MAPA/SIPEAGRO</t>
        </is>
      </c>
      <c r="J405" s="7" t="inlineStr">
        <is>
          <t>Registro Estadual Vigente</t>
        </is>
      </c>
      <c r="K405" s="7" t="inlineStr">
        <is>
          <t>Estabelecimento Credenciado no Brasil</t>
        </is>
      </c>
      <c r="L405" s="7" t="inlineStr">
        <is>
          <t>Brasil</t>
        </is>
      </c>
      <c r="M405" s="7" t="inlineStr">
        <is>
          <t>0 - Nacional / 1 - Importação Direta</t>
        </is>
      </c>
    </row>
    <row r="406" ht="22" customHeight="1">
      <c r="A406" s="12" t="inlineStr">
        <is>
          <t>EMP-0402</t>
        </is>
      </c>
      <c r="B406" s="11" t="n">
        <v>335</v>
      </c>
      <c r="C406" s="13" t="inlineStr">
        <is>
          <t>Nº 13614</t>
        </is>
      </c>
      <c r="D406" s="14" t="inlineStr">
        <is>
          <t>SOLDIER</t>
        </is>
      </c>
      <c r="E406" s="13" t="inlineStr">
        <is>
          <t>1. Titular do Registro / Produtor</t>
        </is>
      </c>
      <c r="F406" s="13" t="inlineStr">
        <is>
          <t>Produto Formulado Comercial</t>
        </is>
      </c>
      <c r="G406" s="13" t="inlineStr">
        <is>
          <t>UPL DO BRASIL INDÚSTRIA E COMÉRCIO DE INSUMOS AGROPECUÁRIOS S.A.</t>
        </is>
      </c>
      <c r="H406" s="13" t="inlineStr">
        <is>
          <t>Matriz / Estabelecimento Principal</t>
        </is>
      </c>
      <c r="I406" s="13" t="inlineStr">
        <is>
          <t>CNPJ Credenciado MAPA/SIPEAGRO</t>
        </is>
      </c>
      <c r="J406" s="13" t="inlineStr">
        <is>
          <t>Registro Estadual Vigente</t>
        </is>
      </c>
      <c r="K406" s="13" t="inlineStr">
        <is>
          <t>Estabelecimento Credenciado no Brasil</t>
        </is>
      </c>
      <c r="L406" s="13" t="inlineStr">
        <is>
          <t>Brasil</t>
        </is>
      </c>
      <c r="M406" s="13" t="inlineStr">
        <is>
          <t>0 - Nacional / 1 - Importação Direta</t>
        </is>
      </c>
    </row>
    <row r="407" ht="22" customHeight="1">
      <c r="A407" s="6" t="inlineStr">
        <is>
          <t>EMP-0403</t>
        </is>
      </c>
      <c r="B407" s="5" t="n">
        <v>336</v>
      </c>
      <c r="C407" s="7" t="inlineStr">
        <is>
          <t>Nº 26222</t>
        </is>
      </c>
      <c r="D407" s="8" t="inlineStr">
        <is>
          <t>DIQUAT VANON 200 SL</t>
        </is>
      </c>
      <c r="E407" s="7" t="inlineStr">
        <is>
          <t>1. Titular do Registro / Produtor</t>
        </is>
      </c>
      <c r="F407" s="7" t="inlineStr">
        <is>
          <t>Produto Formulado Comercial</t>
        </is>
      </c>
      <c r="G407" s="7" t="inlineStr">
        <is>
          <t>VANON / CHDS DO BRASIL COMÉRCIO DE INSUMOS AGRÍCOLAS LTDA.</t>
        </is>
      </c>
      <c r="H407" s="7" t="inlineStr">
        <is>
          <t>Matriz / Estabelecimento Principal</t>
        </is>
      </c>
      <c r="I407" s="7" t="inlineStr">
        <is>
          <t>CNPJ Credenciado MAPA/SIPEAGRO</t>
        </is>
      </c>
      <c r="J407" s="7" t="inlineStr">
        <is>
          <t>Registro Estadual Vigente</t>
        </is>
      </c>
      <c r="K407" s="7" t="inlineStr">
        <is>
          <t>Estabelecimento Credenciado no Brasil</t>
        </is>
      </c>
      <c r="L407" s="7" t="inlineStr">
        <is>
          <t>Brasil</t>
        </is>
      </c>
      <c r="M407" s="7" t="inlineStr">
        <is>
          <t>0 - Nacional / 1 - Importação Direta</t>
        </is>
      </c>
    </row>
    <row r="408" ht="22" customHeight="1">
      <c r="A408" s="12" t="inlineStr">
        <is>
          <t>EMP-0404</t>
        </is>
      </c>
      <c r="B408" s="11" t="n">
        <v>337</v>
      </c>
      <c r="C408" s="13" t="inlineStr">
        <is>
          <t>Nº 0921</t>
        </is>
      </c>
      <c r="D408" s="14" t="inlineStr">
        <is>
          <t>ELIMINATE</t>
        </is>
      </c>
      <c r="E408" s="13" t="inlineStr">
        <is>
          <t>1. Titular do Registro</t>
        </is>
      </c>
      <c r="F408" s="13" t="inlineStr">
        <is>
          <t>Produto Formulado Comercial</t>
        </is>
      </c>
      <c r="G408" s="13" t="inlineStr">
        <is>
          <t>CCAB</t>
        </is>
      </c>
      <c r="H408" s="13" t="inlineStr">
        <is>
          <t>Estabelecimento Credenciado</t>
        </is>
      </c>
      <c r="I408" s="13" t="inlineStr">
        <is>
          <t>CNPJ Credenciado MAPA</t>
        </is>
      </c>
      <c r="J408" s="13" t="inlineStr">
        <is>
          <t>Registro Estadual Vigente</t>
        </is>
      </c>
      <c r="K408" s="13" t="inlineStr">
        <is>
          <t>Unidade Operacional Brasil</t>
        </is>
      </c>
      <c r="L408" s="13" t="inlineStr">
        <is>
          <t>Brasil</t>
        </is>
      </c>
      <c r="M408" s="13" t="inlineStr">
        <is>
          <t>0/1/2 - Conforme Origem do Lote</t>
        </is>
      </c>
    </row>
    <row r="409" ht="22" customHeight="1">
      <c r="A409" s="6" t="inlineStr">
        <is>
          <t>EMP-0405</t>
        </is>
      </c>
      <c r="B409" s="5" t="n">
        <v>337</v>
      </c>
      <c r="C409" s="7" t="inlineStr">
        <is>
          <t>Nº 0921</t>
        </is>
      </c>
      <c r="D409" s="8" t="inlineStr">
        <is>
          <t>ELIMINATE</t>
        </is>
      </c>
      <c r="E409" s="7" t="inlineStr">
        <is>
          <t>3. Formulador / Co-Distribuidor Autorizado</t>
        </is>
      </c>
      <c r="F409" s="7" t="inlineStr">
        <is>
          <t>Produto Formulado Comercial</t>
        </is>
      </c>
      <c r="G409" s="7" t="inlineStr">
        <is>
          <t>Rainbow</t>
        </is>
      </c>
      <c r="H409" s="7" t="inlineStr">
        <is>
          <t>Estabelecimento Credenciado</t>
        </is>
      </c>
      <c r="I409" s="7" t="inlineStr">
        <is>
          <t>CNPJ Credenciado MAPA</t>
        </is>
      </c>
      <c r="J409" s="7" t="inlineStr">
        <is>
          <t>Registro Estadual Vigente</t>
        </is>
      </c>
      <c r="K409" s="7" t="inlineStr">
        <is>
          <t>Unidade Operacional Brasil</t>
        </is>
      </c>
      <c r="L409" s="7" t="inlineStr">
        <is>
          <t>Brasil</t>
        </is>
      </c>
      <c r="M409" s="7" t="inlineStr">
        <is>
          <t>0/1/2 - Conforme Origem do Lote</t>
        </is>
      </c>
    </row>
    <row r="410" ht="22" customHeight="1">
      <c r="A410" s="12" t="inlineStr">
        <is>
          <t>EMP-0406</t>
        </is>
      </c>
      <c r="B410" s="11" t="n">
        <v>338</v>
      </c>
      <c r="C410" s="13" t="inlineStr">
        <is>
          <t>Nº 6217</t>
        </is>
      </c>
      <c r="D410" s="14" t="inlineStr">
        <is>
          <t>COMBOIO 800 WG</t>
        </is>
      </c>
      <c r="E410" s="13" t="inlineStr">
        <is>
          <t>1. Titular do Registro</t>
        </is>
      </c>
      <c r="F410" s="13" t="inlineStr">
        <is>
          <t>Produto Formulado Comercial</t>
        </is>
      </c>
      <c r="G410" s="13" t="inlineStr">
        <is>
          <t>Alamos</t>
        </is>
      </c>
      <c r="H410" s="13" t="inlineStr">
        <is>
          <t>Estabelecimento Credenciado</t>
        </is>
      </c>
      <c r="I410" s="13" t="inlineStr">
        <is>
          <t>CNPJ Credenciado MAPA</t>
        </is>
      </c>
      <c r="J410" s="13" t="inlineStr">
        <is>
          <t>Registro Estadual Vigente</t>
        </is>
      </c>
      <c r="K410" s="13" t="inlineStr">
        <is>
          <t>Unidade Operacional Brasil</t>
        </is>
      </c>
      <c r="L410" s="13" t="inlineStr">
        <is>
          <t>Brasil</t>
        </is>
      </c>
      <c r="M410" s="13" t="inlineStr">
        <is>
          <t>0/1/2 - Conforme Origem do Lote</t>
        </is>
      </c>
    </row>
    <row r="411" ht="22" customHeight="1">
      <c r="A411" s="6" t="inlineStr">
        <is>
          <t>EMP-0407</t>
        </is>
      </c>
      <c r="B411" s="5" t="n">
        <v>338</v>
      </c>
      <c r="C411" s="7" t="inlineStr">
        <is>
          <t>Nº 6217</t>
        </is>
      </c>
      <c r="D411" s="8" t="inlineStr">
        <is>
          <t>COMBOIO 800 WG</t>
        </is>
      </c>
      <c r="E411" s="7" t="inlineStr">
        <is>
          <t>3. Formulador / Co-Distribuidor Autorizado</t>
        </is>
      </c>
      <c r="F411" s="7" t="inlineStr">
        <is>
          <t>Produto Formulado Comercial</t>
        </is>
      </c>
      <c r="G411" s="7" t="inlineStr">
        <is>
          <t>Perterra</t>
        </is>
      </c>
      <c r="H411" s="7" t="inlineStr">
        <is>
          <t>Estabelecimento Credenciado</t>
        </is>
      </c>
      <c r="I411" s="7" t="inlineStr">
        <is>
          <t>CNPJ Credenciado MAPA</t>
        </is>
      </c>
      <c r="J411" s="7" t="inlineStr">
        <is>
          <t>Registro Estadual Vigente</t>
        </is>
      </c>
      <c r="K411" s="7" t="inlineStr">
        <is>
          <t>Unidade Operacional Brasil</t>
        </is>
      </c>
      <c r="L411" s="7" t="inlineStr">
        <is>
          <t>Brasil</t>
        </is>
      </c>
      <c r="M411" s="7" t="inlineStr">
        <is>
          <t>0/1/2 - Conforme Origem do Lote</t>
        </is>
      </c>
    </row>
    <row r="412" ht="22" customHeight="1">
      <c r="A412" s="12" t="inlineStr">
        <is>
          <t>EMP-0408</t>
        </is>
      </c>
      <c r="B412" s="11" t="n">
        <v>339</v>
      </c>
      <c r="C412" s="13" t="inlineStr">
        <is>
          <t>Nº 28421</t>
        </is>
      </c>
      <c r="D412" s="14" t="inlineStr">
        <is>
          <t>CLORFENAPIR 240 (PRINCIPIO ATIVO)</t>
        </is>
      </c>
      <c r="E412" s="13" t="inlineStr">
        <is>
          <t>1. Titular do Registro</t>
        </is>
      </c>
      <c r="F412" s="13" t="inlineStr">
        <is>
          <t>Produto Técnico Industrial</t>
        </is>
      </c>
      <c r="G412" s="13" t="inlineStr">
        <is>
          <t>Clorfenapir 240 g</t>
        </is>
      </c>
      <c r="H412" s="13" t="inlineStr">
        <is>
          <t>Estabelecimento Credenciado</t>
        </is>
      </c>
      <c r="I412" s="13" t="inlineStr">
        <is>
          <t>CNPJ Credenciado MAPA</t>
        </is>
      </c>
      <c r="J412" s="13" t="inlineStr">
        <is>
          <t>Registro Estadual Vigente</t>
        </is>
      </c>
      <c r="K412" s="13" t="inlineStr">
        <is>
          <t>Unidade Operacional Brasil</t>
        </is>
      </c>
      <c r="L412" s="13" t="inlineStr">
        <is>
          <t>Brasil</t>
        </is>
      </c>
      <c r="M412" s="13" t="inlineStr">
        <is>
          <t>0/1/2 - Conforme Origem do Lote</t>
        </is>
      </c>
    </row>
    <row r="413" ht="22" customHeight="1">
      <c r="A413" s="6" t="inlineStr">
        <is>
          <t>EMP-0409</t>
        </is>
      </c>
      <c r="B413" s="5" t="n">
        <v>339</v>
      </c>
      <c r="C413" s="7" t="inlineStr">
        <is>
          <t>Nº 28421</t>
        </is>
      </c>
      <c r="D413" s="8" t="inlineStr">
        <is>
          <t>CLORFENAPIR 240 (PRINCIPIO ATIVO)</t>
        </is>
      </c>
      <c r="E413" s="7" t="inlineStr">
        <is>
          <t>3. Formulador / Co-Distribuidor Autorizado</t>
        </is>
      </c>
      <c r="F413" s="7" t="inlineStr">
        <is>
          <t>Produto Técnico Industrial</t>
        </is>
      </c>
      <c r="G413" s="7" t="inlineStr">
        <is>
          <t>L SC</t>
        </is>
      </c>
      <c r="H413" s="7" t="inlineStr">
        <is>
          <t>Estabelecimento Credenciado</t>
        </is>
      </c>
      <c r="I413" s="7" t="inlineStr">
        <is>
          <t>CNPJ Credenciado MAPA</t>
        </is>
      </c>
      <c r="J413" s="7" t="inlineStr">
        <is>
          <t>Registro Estadual Vigente</t>
        </is>
      </c>
      <c r="K413" s="7" t="inlineStr">
        <is>
          <t>Unidade Operacional Brasil</t>
        </is>
      </c>
      <c r="L413" s="7" t="inlineStr">
        <is>
          <t>Brasil</t>
        </is>
      </c>
      <c r="M413" s="7" t="inlineStr">
        <is>
          <t>0/1/2 - Conforme Origem do Lote</t>
        </is>
      </c>
    </row>
    <row r="414" ht="22" customHeight="1">
      <c r="A414" s="12" t="inlineStr">
        <is>
          <t>EMP-0410</t>
        </is>
      </c>
      <c r="B414" s="11" t="n">
        <v>340</v>
      </c>
      <c r="C414" s="13" t="inlineStr">
        <is>
          <t>Nº 5321</t>
        </is>
      </c>
      <c r="D414" s="14" t="inlineStr">
        <is>
          <t>ELUNEY</t>
        </is>
      </c>
      <c r="E414" s="13" t="inlineStr">
        <is>
          <t>1. Titular do Registro</t>
        </is>
      </c>
      <c r="F414" s="13" t="inlineStr">
        <is>
          <t>Produto Formulado Comercial</t>
        </is>
      </c>
      <c r="G414" s="13" t="inlineStr">
        <is>
          <t>Syngenta</t>
        </is>
      </c>
      <c r="H414" s="13" t="inlineStr">
        <is>
          <t>Estabelecimento Credenciado</t>
        </is>
      </c>
      <c r="I414" s="13" t="inlineStr">
        <is>
          <t>CNPJ Credenciado MAPA</t>
        </is>
      </c>
      <c r="J414" s="13" t="inlineStr">
        <is>
          <t>Registro Estadual Vigente</t>
        </is>
      </c>
      <c r="K414" s="13" t="inlineStr">
        <is>
          <t>Unidade Operacional Brasil</t>
        </is>
      </c>
      <c r="L414" s="13" t="inlineStr">
        <is>
          <t>Brasil</t>
        </is>
      </c>
      <c r="M414" s="13" t="inlineStr">
        <is>
          <t>0/1/2 - Conforme Origem do Lote</t>
        </is>
      </c>
    </row>
    <row r="415" ht="22" customHeight="1">
      <c r="A415" s="6" t="inlineStr">
        <is>
          <t>EMP-0411</t>
        </is>
      </c>
      <c r="B415" s="5" t="n">
        <v>340</v>
      </c>
      <c r="C415" s="7" t="inlineStr">
        <is>
          <t>Nº 5321</t>
        </is>
      </c>
      <c r="D415" s="8" t="inlineStr">
        <is>
          <t>ELUNEY</t>
        </is>
      </c>
      <c r="E415" s="7" t="inlineStr">
        <is>
          <t>3. Formulador / Co-Distribuidor Autorizado</t>
        </is>
      </c>
      <c r="F415" s="7" t="inlineStr">
        <is>
          <t>Produto Formulado Comercial</t>
        </is>
      </c>
      <c r="G415" s="7" t="inlineStr">
        <is>
          <t>Adama</t>
        </is>
      </c>
      <c r="H415" s="7" t="inlineStr">
        <is>
          <t>Estabelecimento Credenciado</t>
        </is>
      </c>
      <c r="I415" s="7" t="inlineStr">
        <is>
          <t>CNPJ Credenciado MAPA</t>
        </is>
      </c>
      <c r="J415" s="7" t="inlineStr">
        <is>
          <t>Registro Estadual Vigente</t>
        </is>
      </c>
      <c r="K415" s="7" t="inlineStr">
        <is>
          <t>Unidade Operacional Brasil</t>
        </is>
      </c>
      <c r="L415" s="7" t="inlineStr">
        <is>
          <t>Brasil</t>
        </is>
      </c>
      <c r="M415" s="7" t="inlineStr">
        <is>
          <t>0/1/2 - Conforme Origem do Lote</t>
        </is>
      </c>
    </row>
    <row r="416" ht="22" customHeight="1">
      <c r="A416" s="12" t="inlineStr">
        <is>
          <t>EMP-0412</t>
        </is>
      </c>
      <c r="B416" s="11" t="n">
        <v>341</v>
      </c>
      <c r="C416" s="13" t="inlineStr">
        <is>
          <t>Nº 44024</t>
        </is>
      </c>
      <c r="D416" s="14" t="inlineStr">
        <is>
          <t>BIOLOGIC BRAVIA</t>
        </is>
      </c>
      <c r="E416" s="13" t="inlineStr">
        <is>
          <t>1. Titular do Registro / Produtor</t>
        </is>
      </c>
      <c r="F416" s="13" t="inlineStr">
        <is>
          <t>Produto Formulado Comercial</t>
        </is>
      </c>
      <c r="G416" s="13" t="inlineStr">
        <is>
          <t>Total Biotecnologia Industria e Comercio S/A</t>
        </is>
      </c>
      <c r="H416" s="13" t="inlineStr">
        <is>
          <t>Matriz / Estabelecimento Principal</t>
        </is>
      </c>
      <c r="I416" s="13" t="inlineStr">
        <is>
          <t>CNPJ Credenciado MAPA/SIPEAGRO</t>
        </is>
      </c>
      <c r="J416" s="13" t="inlineStr">
        <is>
          <t>Registro Estadual Vigente</t>
        </is>
      </c>
      <c r="K416" s="13" t="inlineStr">
        <is>
          <t>Estabelecimento Credenciado no Brasil</t>
        </is>
      </c>
      <c r="L416" s="13" t="inlineStr">
        <is>
          <t>Brasil</t>
        </is>
      </c>
      <c r="M416" s="13" t="inlineStr">
        <is>
          <t>0 - Nacional / 1 - Importação Direta</t>
        </is>
      </c>
    </row>
    <row r="417" ht="22" customHeight="1">
      <c r="A417" s="6" t="inlineStr">
        <is>
          <t>EMP-0413</t>
        </is>
      </c>
      <c r="B417" s="5" t="n">
        <v>342</v>
      </c>
      <c r="C417" s="7" t="inlineStr">
        <is>
          <t>VINCULAR MARCA</t>
        </is>
      </c>
      <c r="D417" s="8" t="inlineStr">
        <is>
          <t>CARFENTRAZONE 400 EC (PRINCIPIO ATIVO)</t>
        </is>
      </c>
      <c r="E417" s="7" t="inlineStr">
        <is>
          <t>1. Titular do Registro / Produtor</t>
        </is>
      </c>
      <c r="F417" s="7" t="inlineStr">
        <is>
          <t>Produto Técnico Industrial</t>
        </is>
      </c>
      <c r="G417" s="7" t="inlineStr">
        <is>
          <t>FMC QUÍMICA DO BRASIL LTDA. / RAINBOW DEFENSIVOS AGRÍCOLAS LTDA.</t>
        </is>
      </c>
      <c r="H417" s="7" t="inlineStr">
        <is>
          <t>Matriz / Estabelecimento Principal</t>
        </is>
      </c>
      <c r="I417" s="7" t="inlineStr">
        <is>
          <t>CNPJ Credenciado MAPA/SIPEAGRO</t>
        </is>
      </c>
      <c r="J417" s="7" t="inlineStr">
        <is>
          <t>Registro Estadual Vigente</t>
        </is>
      </c>
      <c r="K417" s="7" t="inlineStr">
        <is>
          <t>Estabelecimento Credenciado no Brasil</t>
        </is>
      </c>
      <c r="L417" s="7" t="inlineStr">
        <is>
          <t>Brasil</t>
        </is>
      </c>
      <c r="M417" s="7" t="inlineStr">
        <is>
          <t>0 - Nacional / 1 - Importação Direta</t>
        </is>
      </c>
    </row>
    <row r="418" ht="22" customHeight="1">
      <c r="A418" s="12" t="inlineStr">
        <is>
          <t>EMP-0414</t>
        </is>
      </c>
      <c r="B418" s="11" t="n">
        <v>343</v>
      </c>
      <c r="C418" s="13" t="inlineStr">
        <is>
          <t>Nº 14521</t>
        </is>
      </c>
      <c r="D418" s="14" t="inlineStr">
        <is>
          <t>SAURUS WG</t>
        </is>
      </c>
      <c r="E418" s="13" t="inlineStr">
        <is>
          <t>1. Titular do Registro / Produtor</t>
        </is>
      </c>
      <c r="F418" s="13" t="inlineStr">
        <is>
          <t>Produto Formulado Comercial</t>
        </is>
      </c>
      <c r="G418" s="13" t="inlineStr">
        <is>
          <t>RAINBOW DEFENSIVOS AGRÍCOLAS LTDA.</t>
        </is>
      </c>
      <c r="H418" s="13" t="inlineStr">
        <is>
          <t>Matriz / Estabelecimento Principal</t>
        </is>
      </c>
      <c r="I418" s="13" t="inlineStr">
        <is>
          <t>CNPJ Credenciado MAPA/SIPEAGRO</t>
        </is>
      </c>
      <c r="J418" s="13" t="inlineStr">
        <is>
          <t>Registro Estadual Vigente</t>
        </is>
      </c>
      <c r="K418" s="13" t="inlineStr">
        <is>
          <t>Estabelecimento Credenciado no Brasil</t>
        </is>
      </c>
      <c r="L418" s="13" t="inlineStr">
        <is>
          <t>Brasil</t>
        </is>
      </c>
      <c r="M418" s="13" t="inlineStr">
        <is>
          <t>0 - Nacional / 1 - Importação Direta</t>
        </is>
      </c>
    </row>
    <row r="419" ht="22" customHeight="1">
      <c r="A419" s="6" t="inlineStr">
        <is>
          <t>EMP-0415</t>
        </is>
      </c>
      <c r="B419" s="5" t="n">
        <v>344</v>
      </c>
      <c r="C419" s="7" t="inlineStr">
        <is>
          <t>Nº 0122</t>
        </is>
      </c>
      <c r="D419" s="8" t="inlineStr">
        <is>
          <t>EXCALIA MAX</t>
        </is>
      </c>
      <c r="E419" s="7" t="inlineStr">
        <is>
          <t>1. Titular do Registro / Produtor</t>
        </is>
      </c>
      <c r="F419" s="7" t="inlineStr">
        <is>
          <t>Produto Formulado Comercial</t>
        </is>
      </c>
      <c r="G419" s="7" t="inlineStr">
        <is>
          <t>Sumitomo Chemical</t>
        </is>
      </c>
      <c r="H419" s="7" t="inlineStr">
        <is>
          <t>Matriz / Estabelecimento Principal</t>
        </is>
      </c>
      <c r="I419" s="7" t="inlineStr">
        <is>
          <t>CNPJ Credenciado MAPA/SIPEAGRO</t>
        </is>
      </c>
      <c r="J419" s="7" t="inlineStr">
        <is>
          <t>Registro Estadual Vigente</t>
        </is>
      </c>
      <c r="K419" s="7" t="inlineStr">
        <is>
          <t>Estabelecimento Credenciado no Brasil</t>
        </is>
      </c>
      <c r="L419" s="7" t="inlineStr">
        <is>
          <t>Brasil</t>
        </is>
      </c>
      <c r="M419" s="7" t="inlineStr">
        <is>
          <t>0 - Nacional / 1 - Importação Direta</t>
        </is>
      </c>
    </row>
    <row r="420" ht="22" customHeight="1">
      <c r="A420" s="12" t="inlineStr">
        <is>
          <t>EMP-0416</t>
        </is>
      </c>
      <c r="B420" s="11" t="n">
        <v>345</v>
      </c>
      <c r="C420" s="13" t="inlineStr">
        <is>
          <t>Nº 3922</t>
        </is>
      </c>
      <c r="D420" s="14" t="inlineStr">
        <is>
          <t>BELYAN</t>
        </is>
      </c>
      <c r="E420" s="13" t="inlineStr">
        <is>
          <t>1. Titular do Registro / Produtor</t>
        </is>
      </c>
      <c r="F420" s="13" t="inlineStr">
        <is>
          <t>Produto Formulado Comercial</t>
        </is>
      </c>
      <c r="G420" s="13" t="inlineStr">
        <is>
          <t>BASF AGRICULTURAL SOLUTIONS BRASIL LTDA</t>
        </is>
      </c>
      <c r="H420" s="13" t="inlineStr">
        <is>
          <t>Matriz / Estabelecimento Principal</t>
        </is>
      </c>
      <c r="I420" s="13" t="inlineStr">
        <is>
          <t>CNPJ Credenciado MAPA/SIPEAGRO</t>
        </is>
      </c>
      <c r="J420" s="13" t="inlineStr">
        <is>
          <t>Registro Estadual Vigente</t>
        </is>
      </c>
      <c r="K420" s="13" t="inlineStr">
        <is>
          <t>Estabelecimento Credenciado no Brasil</t>
        </is>
      </c>
      <c r="L420" s="13" t="inlineStr">
        <is>
          <t>Brasil</t>
        </is>
      </c>
      <c r="M420" s="13" t="inlineStr">
        <is>
          <t>0 - Nacional / 1 - Importação Direta</t>
        </is>
      </c>
    </row>
    <row r="421" ht="22" customHeight="1">
      <c r="A421" s="6" t="inlineStr">
        <is>
          <t>EMP-0417</t>
        </is>
      </c>
      <c r="B421" s="5" t="n">
        <v>346</v>
      </c>
      <c r="C421" s="7" t="inlineStr">
        <is>
          <t>Nº 9517</t>
        </is>
      </c>
      <c r="D421" s="8" t="inlineStr">
        <is>
          <t>FUSAO EC</t>
        </is>
      </c>
      <c r="E421" s="7" t="inlineStr">
        <is>
          <t>1. Titular do Registro / Produtor</t>
        </is>
      </c>
      <c r="F421" s="7" t="inlineStr">
        <is>
          <t>Produto Formulado Comercial</t>
        </is>
      </c>
      <c r="G421" s="7" t="inlineStr">
        <is>
          <t>Iharabras S.A.</t>
        </is>
      </c>
      <c r="H421" s="7" t="inlineStr">
        <is>
          <t>Matriz / Estabelecimento Principal</t>
        </is>
      </c>
      <c r="I421" s="7" t="inlineStr">
        <is>
          <t>CNPJ Credenciado MAPA/SIPEAGRO</t>
        </is>
      </c>
      <c r="J421" s="7" t="inlineStr">
        <is>
          <t>Registro Estadual Vigente</t>
        </is>
      </c>
      <c r="K421" s="7" t="inlineStr">
        <is>
          <t>Estabelecimento Credenciado no Brasil</t>
        </is>
      </c>
      <c r="L421" s="7" t="inlineStr">
        <is>
          <t>Brasil</t>
        </is>
      </c>
      <c r="M421" s="7" t="inlineStr">
        <is>
          <t>0 - Nacional / 1 - Importação Direta</t>
        </is>
      </c>
    </row>
    <row r="422" ht="22" customHeight="1">
      <c r="A422" s="12" t="inlineStr">
        <is>
          <t>EMP-0418</t>
        </is>
      </c>
      <c r="B422" s="11" t="n">
        <v>347</v>
      </c>
      <c r="C422" s="13" t="inlineStr">
        <is>
          <t>Nº 8912</t>
        </is>
      </c>
      <c r="D422" s="14" t="inlineStr">
        <is>
          <t>GLIFOSATO 698 CRUCIAL SL</t>
        </is>
      </c>
      <c r="E422" s="13" t="inlineStr">
        <is>
          <t>1. Titular do Registro</t>
        </is>
      </c>
      <c r="F422" s="13" t="inlineStr">
        <is>
          <t>Produto Formulado Comercial</t>
        </is>
      </c>
      <c r="G422" s="13" t="inlineStr">
        <is>
          <t>Nufarm</t>
        </is>
      </c>
      <c r="H422" s="13" t="inlineStr">
        <is>
          <t>Estabelecimento Credenciado</t>
        </is>
      </c>
      <c r="I422" s="13" t="inlineStr">
        <is>
          <t>CNPJ Credenciado MAPA</t>
        </is>
      </c>
      <c r="J422" s="13" t="inlineStr">
        <is>
          <t>Registro Estadual Vigente</t>
        </is>
      </c>
      <c r="K422" s="13" t="inlineStr">
        <is>
          <t>Unidade Operacional Brasil</t>
        </is>
      </c>
      <c r="L422" s="13" t="inlineStr">
        <is>
          <t>Brasil</t>
        </is>
      </c>
      <c r="M422" s="13" t="inlineStr">
        <is>
          <t>0/1/2 - Conforme Origem do Lote</t>
        </is>
      </c>
    </row>
    <row r="423" ht="22" customHeight="1">
      <c r="A423" s="6" t="inlineStr">
        <is>
          <t>EMP-0419</t>
        </is>
      </c>
      <c r="B423" s="5" t="n">
        <v>347</v>
      </c>
      <c r="C423" s="7" t="inlineStr">
        <is>
          <t>Nº 8912</t>
        </is>
      </c>
      <c r="D423" s="8" t="inlineStr">
        <is>
          <t>GLIFOSATO 698 CRUCIAL SL</t>
        </is>
      </c>
      <c r="E423" s="7" t="inlineStr">
        <is>
          <t>3. Formulador / Co-Distribuidor Autorizado</t>
        </is>
      </c>
      <c r="F423" s="7" t="inlineStr">
        <is>
          <t>Produto Formulado Comercial</t>
        </is>
      </c>
      <c r="G423" s="7" t="inlineStr">
        <is>
          <t>Sumitomo</t>
        </is>
      </c>
      <c r="H423" s="7" t="inlineStr">
        <is>
          <t>Estabelecimento Credenciado</t>
        </is>
      </c>
      <c r="I423" s="7" t="inlineStr">
        <is>
          <t>CNPJ Credenciado MAPA</t>
        </is>
      </c>
      <c r="J423" s="7" t="inlineStr">
        <is>
          <t>Registro Estadual Vigente</t>
        </is>
      </c>
      <c r="K423" s="7" t="inlineStr">
        <is>
          <t>Unidade Operacional Brasil</t>
        </is>
      </c>
      <c r="L423" s="7" t="inlineStr">
        <is>
          <t>Brasil</t>
        </is>
      </c>
      <c r="M423" s="7" t="inlineStr">
        <is>
          <t>0/1/2 - Conforme Origem do Lote</t>
        </is>
      </c>
    </row>
    <row r="424" ht="22" customHeight="1">
      <c r="A424" s="12" t="inlineStr">
        <is>
          <t>EMP-0420</t>
        </is>
      </c>
      <c r="B424" s="11" t="n">
        <v>348</v>
      </c>
      <c r="C424" s="13" t="inlineStr">
        <is>
          <t>Nº 36822</t>
        </is>
      </c>
      <c r="D424" s="14" t="inlineStr">
        <is>
          <t>CLORPIRIFOS 48 EC LUBA</t>
        </is>
      </c>
      <c r="E424" s="13" t="inlineStr">
        <is>
          <t>1. Titular do Registro / Produtor</t>
        </is>
      </c>
      <c r="F424" s="13" t="inlineStr">
        <is>
          <t>Produto Formulado Comercial</t>
        </is>
      </c>
      <c r="G424" s="13" t="inlineStr">
        <is>
          <t>AGRICONNECTION IMPORTADORA E EXPORTADORA DE INSUMOS AGRÍCOLAS LTDA.</t>
        </is>
      </c>
      <c r="H424" s="13" t="inlineStr">
        <is>
          <t>Matriz / Estabelecimento Principal</t>
        </is>
      </c>
      <c r="I424" s="13" t="inlineStr">
        <is>
          <t>CNPJ Credenciado MAPA/SIPEAGRO</t>
        </is>
      </c>
      <c r="J424" s="13" t="inlineStr">
        <is>
          <t>Registro Estadual Vigente</t>
        </is>
      </c>
      <c r="K424" s="13" t="inlineStr">
        <is>
          <t>Estabelecimento Credenciado no Brasil</t>
        </is>
      </c>
      <c r="L424" s="13" t="inlineStr">
        <is>
          <t>Brasil</t>
        </is>
      </c>
      <c r="M424" s="13" t="inlineStr">
        <is>
          <t>0 - Nacional / 1 - Importação Direta</t>
        </is>
      </c>
    </row>
    <row r="425" ht="22" customHeight="1">
      <c r="A425" s="6" t="inlineStr">
        <is>
          <t>EMP-0421</t>
        </is>
      </c>
      <c r="B425" s="5" t="n">
        <v>349</v>
      </c>
      <c r="C425" s="7" t="inlineStr">
        <is>
          <t>Nº 34621</t>
        </is>
      </c>
      <c r="D425" s="8" t="inlineStr">
        <is>
          <t>RATEIO 200 SL</t>
        </is>
      </c>
      <c r="E425" s="7" t="inlineStr">
        <is>
          <t>1. Titular do Registro / Produtor</t>
        </is>
      </c>
      <c r="F425" s="7" t="inlineStr">
        <is>
          <t>Produto Formulado Comercial</t>
        </is>
      </c>
      <c r="G425" s="7" t="inlineStr">
        <is>
          <t>YONON BRASIL DEFENSIVOS AGRÍCOLAS LTDA. / CCAB AGRO S.A.</t>
        </is>
      </c>
      <c r="H425" s="7" t="inlineStr">
        <is>
          <t>Matriz / Estabelecimento Principal</t>
        </is>
      </c>
      <c r="I425" s="7" t="inlineStr">
        <is>
          <t>18.858.234/0001-30</t>
        </is>
      </c>
      <c r="J425" s="7" t="inlineStr">
        <is>
          <t>ADAPAR/PR nº 004001</t>
        </is>
      </c>
      <c r="K425" s="7" t="inlineStr">
        <is>
          <t>São Paulo/SP e São Miguel do Iguaçu/PR</t>
        </is>
      </c>
      <c r="L425" s="7" t="inlineStr">
        <is>
          <t>Brasil</t>
        </is>
      </c>
      <c r="M425" s="7" t="inlineStr">
        <is>
          <t>0 - Nacional / 1 - Importação Direta</t>
        </is>
      </c>
    </row>
    <row r="426" ht="22" customHeight="1">
      <c r="A426" s="12" t="inlineStr">
        <is>
          <t>EMP-0422</t>
        </is>
      </c>
      <c r="B426" s="11" t="n">
        <v>350</v>
      </c>
      <c r="C426" s="13" t="inlineStr">
        <is>
          <t>Nº 34621</t>
        </is>
      </c>
      <c r="D426" s="14" t="inlineStr">
        <is>
          <t>RATEIO 200 SL</t>
        </is>
      </c>
      <c r="E426" s="13" t="inlineStr">
        <is>
          <t>1. Titular do Registro / Produtor</t>
        </is>
      </c>
      <c r="F426" s="13" t="inlineStr">
        <is>
          <t>Produto Formulado Comercial</t>
        </is>
      </c>
      <c r="G426" s="13" t="inlineStr">
        <is>
          <t>YONON BRASIL DEFENSIVOS AGRÍCOLAS LTDA. / CCAB AGRO S.A.</t>
        </is>
      </c>
      <c r="H426" s="13" t="inlineStr">
        <is>
          <t>Matriz / Estabelecimento Principal</t>
        </is>
      </c>
      <c r="I426" s="13" t="inlineStr">
        <is>
          <t>18.858.234/0001-30</t>
        </is>
      </c>
      <c r="J426" s="13" t="inlineStr">
        <is>
          <t>ADAPAR/PR nº 004001</t>
        </is>
      </c>
      <c r="K426" s="13" t="inlineStr">
        <is>
          <t>São Paulo/SP e São Miguel do Iguaçu/PR</t>
        </is>
      </c>
      <c r="L426" s="13" t="inlineStr">
        <is>
          <t>Brasil</t>
        </is>
      </c>
      <c r="M426" s="13" t="inlineStr">
        <is>
          <t>0 - Nacional / 1 - Importação Direta</t>
        </is>
      </c>
    </row>
    <row r="427" ht="22" customHeight="1">
      <c r="A427" s="6" t="inlineStr">
        <is>
          <t>EMP-0423</t>
        </is>
      </c>
      <c r="B427" s="5" t="n">
        <v>351</v>
      </c>
      <c r="C427" s="7" t="inlineStr">
        <is>
          <t>Nº 23917</t>
        </is>
      </c>
      <c r="D427" s="8" t="inlineStr">
        <is>
          <t>MESOTRIONA CCAB</t>
        </is>
      </c>
      <c r="E427" s="7" t="inlineStr">
        <is>
          <t>1. Titular do Registro / Produtor</t>
        </is>
      </c>
      <c r="F427" s="7" t="inlineStr">
        <is>
          <t>Produto Formulado Comercial</t>
        </is>
      </c>
      <c r="G427" s="7" t="inlineStr">
        <is>
          <t>CCAB AGRO S.A.</t>
        </is>
      </c>
      <c r="H427" s="7" t="inlineStr">
        <is>
          <t>Matriz / Estabelecimento Principal</t>
        </is>
      </c>
      <c r="I427" s="7" t="inlineStr">
        <is>
          <t>CNPJ Credenciado MAPA/SIPEAGRO</t>
        </is>
      </c>
      <c r="J427" s="7" t="inlineStr">
        <is>
          <t>Registro Estadual Vigente</t>
        </is>
      </c>
      <c r="K427" s="7" t="inlineStr">
        <is>
          <t>Estabelecimento Credenciado no Brasil</t>
        </is>
      </c>
      <c r="L427" s="7" t="inlineStr">
        <is>
          <t>Brasil</t>
        </is>
      </c>
      <c r="M427" s="7" t="inlineStr">
        <is>
          <t>0 - Nacional / 1 - Importação Direta</t>
        </is>
      </c>
    </row>
    <row r="428" ht="22" customHeight="1">
      <c r="A428" s="12" t="inlineStr">
        <is>
          <t>EMP-0424</t>
        </is>
      </c>
      <c r="B428" s="11" t="n">
        <v>352</v>
      </c>
      <c r="C428" s="13" t="inlineStr">
        <is>
          <t>Nº 23917</t>
        </is>
      </c>
      <c r="D428" s="14" t="inlineStr">
        <is>
          <t>MESOTRIONA CCAB</t>
        </is>
      </c>
      <c r="E428" s="13" t="inlineStr">
        <is>
          <t>1. Titular do Registro / Produtor</t>
        </is>
      </c>
      <c r="F428" s="13" t="inlineStr">
        <is>
          <t>Produto Formulado Comercial</t>
        </is>
      </c>
      <c r="G428" s="13" t="inlineStr">
        <is>
          <t>CCAB AGRO S.A.</t>
        </is>
      </c>
      <c r="H428" s="13" t="inlineStr">
        <is>
          <t>Matriz / Estabelecimento Principal</t>
        </is>
      </c>
      <c r="I428" s="13" t="inlineStr">
        <is>
          <t>CNPJ Credenciado MAPA/SIPEAGRO</t>
        </is>
      </c>
      <c r="J428" s="13" t="inlineStr">
        <is>
          <t>Registro Estadual Vigente</t>
        </is>
      </c>
      <c r="K428" s="13" t="inlineStr">
        <is>
          <t>Estabelecimento Credenciado no Brasil</t>
        </is>
      </c>
      <c r="L428" s="13" t="inlineStr">
        <is>
          <t>Brasil</t>
        </is>
      </c>
      <c r="M428" s="13" t="inlineStr">
        <is>
          <t>0 - Nacional / 1 - Importação Direta</t>
        </is>
      </c>
    </row>
    <row r="429" ht="22" customHeight="1">
      <c r="A429" s="6" t="inlineStr">
        <is>
          <t>EMP-0425</t>
        </is>
      </c>
      <c r="B429" s="5" t="n">
        <v>353</v>
      </c>
      <c r="C429" s="7" t="inlineStr">
        <is>
          <t>SIPEAGRO (UF-XXXXX)</t>
        </is>
      </c>
      <c r="D429" s="8" t="inlineStr">
        <is>
          <t>BEEOGARDEN (ADUBO FOLIAR)</t>
        </is>
      </c>
      <c r="E429" s="7" t="inlineStr">
        <is>
          <t>1. Titular do Registro / Produtor</t>
        </is>
      </c>
      <c r="F429" s="7" t="inlineStr">
        <is>
          <t>Fertilizante Mineral / Organomineral</t>
        </is>
      </c>
      <c r="G429" s="7" t="inlineStr">
        <is>
          <t>Estabelecimento Produtor SIPEAGRO/MAPA</t>
        </is>
      </c>
      <c r="H429" s="7" t="inlineStr">
        <is>
          <t>Matriz / Estabelecimento Principal</t>
        </is>
      </c>
      <c r="I429" s="7" t="inlineStr">
        <is>
          <t>CNPJ Credenciado MAPA/SIPEAGRO</t>
        </is>
      </c>
      <c r="J429" s="7" t="inlineStr">
        <is>
          <t>Registro Estadual Vigente</t>
        </is>
      </c>
      <c r="K429" s="7" t="inlineStr">
        <is>
          <t>Estabelecimento Credenciado no Brasil</t>
        </is>
      </c>
      <c r="L429" s="7" t="inlineStr">
        <is>
          <t>Brasil</t>
        </is>
      </c>
      <c r="M429" s="7" t="inlineStr">
        <is>
          <t>0 - Nacional / 1 - Importação Direta</t>
        </is>
      </c>
    </row>
    <row r="430" ht="22" customHeight="1">
      <c r="A430" s="12" t="inlineStr">
        <is>
          <t>EMP-0426</t>
        </is>
      </c>
      <c r="B430" s="11" t="n">
        <v>354</v>
      </c>
      <c r="C430" s="13" t="inlineStr">
        <is>
          <t>SIPEAGRO (UF-XXXXX)</t>
        </is>
      </c>
      <c r="D430" s="14" t="inlineStr">
        <is>
          <t>TECH. GROW IV 460000 (IMP)</t>
        </is>
      </c>
      <c r="E430" s="13" t="inlineStr">
        <is>
          <t>1. Titular do Registro / Produtor</t>
        </is>
      </c>
      <c r="F430" s="13" t="inlineStr">
        <is>
          <t>Fertilizante Mineral / Organomineral</t>
        </is>
      </c>
      <c r="G430" s="13" t="inlineStr">
        <is>
          <t>Estabelecimento Produtor SIPEAGRO/MAPA</t>
        </is>
      </c>
      <c r="H430" s="13" t="inlineStr">
        <is>
          <t>Matriz / Estabelecimento Principal</t>
        </is>
      </c>
      <c r="I430" s="13" t="inlineStr">
        <is>
          <t>CNPJ Credenciado MAPA/SIPEAGRO</t>
        </is>
      </c>
      <c r="J430" s="13" t="inlineStr">
        <is>
          <t>Registro Estadual Vigente</t>
        </is>
      </c>
      <c r="K430" s="13" t="inlineStr">
        <is>
          <t>Estabelecimento Credenciado no Brasil</t>
        </is>
      </c>
      <c r="L430" s="13" t="inlineStr">
        <is>
          <t>Brasil</t>
        </is>
      </c>
      <c r="M430" s="13" t="inlineStr">
        <is>
          <t>0 - Nacional / 1 - Importação Direta</t>
        </is>
      </c>
    </row>
    <row r="431" ht="22" customHeight="1">
      <c r="A431" s="6" t="inlineStr">
        <is>
          <t>EMP-0427</t>
        </is>
      </c>
      <c r="B431" s="5" t="n">
        <v>355</v>
      </c>
      <c r="C431" s="7" t="inlineStr">
        <is>
          <t>SIPEAGRO (UF-XXXXX)</t>
        </is>
      </c>
      <c r="D431" s="8" t="inlineStr">
        <is>
          <t>NPK NK200020 20-00-20 - 1.000KG (IMP)</t>
        </is>
      </c>
      <c r="E431" s="7" t="inlineStr">
        <is>
          <t>1. Titular do Registro / Produtor</t>
        </is>
      </c>
      <c r="F431" s="7" t="inlineStr">
        <is>
          <t>Fertilizante Mineral / Organomineral</t>
        </is>
      </c>
      <c r="G431" s="7" t="inlineStr">
        <is>
          <t>Estabelecimento Produtor SIPEAGRO/MAPA</t>
        </is>
      </c>
      <c r="H431" s="7" t="inlineStr">
        <is>
          <t>Matriz / Estabelecimento Principal</t>
        </is>
      </c>
      <c r="I431" s="7" t="inlineStr">
        <is>
          <t>CNPJ Credenciado MAPA/SIPEAGRO</t>
        </is>
      </c>
      <c r="J431" s="7" t="inlineStr">
        <is>
          <t>Registro Estadual Vigente</t>
        </is>
      </c>
      <c r="K431" s="7" t="inlineStr">
        <is>
          <t>Estabelecimento Credenciado no Brasil</t>
        </is>
      </c>
      <c r="L431" s="7" t="inlineStr">
        <is>
          <t>Brasil</t>
        </is>
      </c>
      <c r="M431" s="7" t="inlineStr">
        <is>
          <t>0 - Nacional / 1 - Importação Direta</t>
        </is>
      </c>
    </row>
    <row r="432" ht="22" customHeight="1">
      <c r="A432" s="12" t="inlineStr">
        <is>
          <t>EMP-0428</t>
        </is>
      </c>
      <c r="B432" s="11" t="n">
        <v>356</v>
      </c>
      <c r="C432" s="13" t="inlineStr">
        <is>
          <t>Nº 27922</t>
        </is>
      </c>
      <c r="D432" s="14" t="inlineStr">
        <is>
          <t>S-METOLACHLOR PROVENTIS 960 EC</t>
        </is>
      </c>
      <c r="E432" s="13" t="inlineStr">
        <is>
          <t>1. Titular do Registro / Produtor</t>
        </is>
      </c>
      <c r="F432" s="13" t="inlineStr">
        <is>
          <t>Produto Formulado Comercial</t>
        </is>
      </c>
      <c r="G432" s="13" t="inlineStr">
        <is>
          <t>Proventis Lifescience</t>
        </is>
      </c>
      <c r="H432" s="13" t="inlineStr">
        <is>
          <t>Matriz / Estabelecimento Principal</t>
        </is>
      </c>
      <c r="I432" s="13" t="inlineStr">
        <is>
          <t>CNPJ Credenciado MAPA/SIPEAGRO</t>
        </is>
      </c>
      <c r="J432" s="13" t="inlineStr">
        <is>
          <t>Registro Estadual Vigente</t>
        </is>
      </c>
      <c r="K432" s="13" t="inlineStr">
        <is>
          <t>Estabelecimento Credenciado no Brasil</t>
        </is>
      </c>
      <c r="L432" s="13" t="inlineStr">
        <is>
          <t>Brasil</t>
        </is>
      </c>
      <c r="M432" s="13" t="inlineStr">
        <is>
          <t>0 - Nacional / 1 - Importação Direta</t>
        </is>
      </c>
    </row>
    <row r="433" ht="22" customHeight="1">
      <c r="A433" s="6" t="inlineStr">
        <is>
          <t>EMP-0429</t>
        </is>
      </c>
      <c r="B433" s="5" t="n">
        <v>357</v>
      </c>
      <c r="C433" s="7" t="inlineStr">
        <is>
          <t>SIPEAGRO (UF-XXXXX)</t>
        </is>
      </c>
      <c r="D433" s="8" t="inlineStr">
        <is>
          <t>AGCN FULL (D)</t>
        </is>
      </c>
      <c r="E433" s="7" t="inlineStr">
        <is>
          <t>1. Titular do Registro / Produtor</t>
        </is>
      </c>
      <c r="F433" s="7" t="inlineStr">
        <is>
          <t>Fertilizante Mineral / Organomineral</t>
        </is>
      </c>
      <c r="G433" s="7" t="inlineStr">
        <is>
          <t>Estabelecimento Produtor SIPEAGRO/MAPA</t>
        </is>
      </c>
      <c r="H433" s="7" t="inlineStr">
        <is>
          <t>Matriz / Estabelecimento Principal</t>
        </is>
      </c>
      <c r="I433" s="7" t="inlineStr">
        <is>
          <t>CNPJ Credenciado MAPA/SIPEAGRO</t>
        </is>
      </c>
      <c r="J433" s="7" t="inlineStr">
        <is>
          <t>Registro Estadual Vigente</t>
        </is>
      </c>
      <c r="K433" s="7" t="inlineStr">
        <is>
          <t>Estabelecimento Credenciado no Brasil</t>
        </is>
      </c>
      <c r="L433" s="7" t="inlineStr">
        <is>
          <t>Brasil</t>
        </is>
      </c>
      <c r="M433" s="7" t="inlineStr">
        <is>
          <t>0 - Nacional / 1 - Importação Direta</t>
        </is>
      </c>
    </row>
    <row r="434" ht="22" customHeight="1">
      <c r="A434" s="12" t="inlineStr">
        <is>
          <t>EMP-0430</t>
        </is>
      </c>
      <c r="B434" s="11" t="n">
        <v>358</v>
      </c>
      <c r="C434" s="13" t="inlineStr">
        <is>
          <t>SIPEAGRO (UF-XXXXX)</t>
        </is>
      </c>
      <c r="D434" s="14" t="inlineStr">
        <is>
          <t>AGCN FULL ULTRA (D)</t>
        </is>
      </c>
      <c r="E434" s="13" t="inlineStr">
        <is>
          <t>1. Titular do Registro / Produtor</t>
        </is>
      </c>
      <c r="F434" s="13" t="inlineStr">
        <is>
          <t>Fertilizante Mineral / Organomineral</t>
        </is>
      </c>
      <c r="G434" s="13" t="inlineStr">
        <is>
          <t>Estabelecimento Produtor SIPEAGRO/MAPA</t>
        </is>
      </c>
      <c r="H434" s="13" t="inlineStr">
        <is>
          <t>Matriz / Estabelecimento Principal</t>
        </is>
      </c>
      <c r="I434" s="13" t="inlineStr">
        <is>
          <t>CNPJ Credenciado MAPA/SIPEAGRO</t>
        </is>
      </c>
      <c r="J434" s="13" t="inlineStr">
        <is>
          <t>Registro Estadual Vigente</t>
        </is>
      </c>
      <c r="K434" s="13" t="inlineStr">
        <is>
          <t>Estabelecimento Credenciado no Brasil</t>
        </is>
      </c>
      <c r="L434" s="13" t="inlineStr">
        <is>
          <t>Brasil</t>
        </is>
      </c>
      <c r="M434" s="13" t="inlineStr">
        <is>
          <t>0 - Nacional / 1 - Importação Direta</t>
        </is>
      </c>
    </row>
    <row r="435" ht="22" customHeight="1">
      <c r="A435" s="6" t="inlineStr">
        <is>
          <t>EMP-0431</t>
        </is>
      </c>
      <c r="B435" s="5" t="n">
        <v>359</v>
      </c>
      <c r="C435" s="7" t="inlineStr">
        <is>
          <t>Nº 23922</t>
        </is>
      </c>
      <c r="D435" s="8" t="inlineStr">
        <is>
          <t>CLETODIM 360 (PRINCIPIO ATIVO)</t>
        </is>
      </c>
      <c r="E435" s="7" t="inlineStr">
        <is>
          <t>1. Titular do Registro / Produtor</t>
        </is>
      </c>
      <c r="F435" s="7" t="inlineStr">
        <is>
          <t>Produto Técnico Industrial</t>
        </is>
      </c>
      <c r="G435" s="7" t="inlineStr">
        <is>
          <t>RAINBOW DEFENSIVOS AGRÍCOLAS LTDA.</t>
        </is>
      </c>
      <c r="H435" s="7" t="inlineStr">
        <is>
          <t>Matriz / Estabelecimento Principal</t>
        </is>
      </c>
      <c r="I435" s="7" t="inlineStr">
        <is>
          <t>10.486.463/0001-69</t>
        </is>
      </c>
      <c r="J435" s="7" t="inlineStr">
        <is>
          <t>SEAPA/RS nº 1928/09</t>
        </is>
      </c>
      <c r="K435" s="7" t="inlineStr">
        <is>
          <t>Av. Carlos Gomes, 258, Porto Alegre/RS</t>
        </is>
      </c>
      <c r="L435" s="7" t="inlineStr">
        <is>
          <t>Brasil</t>
        </is>
      </c>
      <c r="M435" s="7" t="inlineStr">
        <is>
          <t>0 - Nacional / 1 - Importação Direta</t>
        </is>
      </c>
    </row>
    <row r="436" ht="22" customHeight="1">
      <c r="A436" s="12" t="inlineStr">
        <is>
          <t>EMP-0432</t>
        </is>
      </c>
      <c r="B436" s="11" t="n">
        <v>360</v>
      </c>
      <c r="C436" s="13" t="inlineStr">
        <is>
          <t>Nº 27717</t>
        </is>
      </c>
      <c r="D436" s="14" t="inlineStr">
        <is>
          <t>FIPRONIL 800 WG AGCN</t>
        </is>
      </c>
      <c r="E436" s="13" t="inlineStr">
        <is>
          <t>1. Titular do Registro / Produtor</t>
        </is>
      </c>
      <c r="F436" s="13" t="inlineStr">
        <is>
          <t>Produto Formulado Comercial</t>
        </is>
      </c>
      <c r="G436" s="13" t="inlineStr">
        <is>
          <t>AGRICONNECTION IMPORTADORA E EXPORTADORA DE INSUMOS AGRÍCOLAS LTDA.</t>
        </is>
      </c>
      <c r="H436" s="13" t="inlineStr">
        <is>
          <t>Matriz / Estabelecimento Principal</t>
        </is>
      </c>
      <c r="I436" s="13" t="inlineStr">
        <is>
          <t>39.496.730/0001-60</t>
        </is>
      </c>
      <c r="J436" s="13" t="inlineStr">
        <is>
          <t>INDEA/MT nº 27326 / CDA/SP nº 4354</t>
        </is>
      </c>
      <c r="K436" s="13" t="inlineStr">
        <is>
          <t>Av. Manoel Genildo de Araujo, 188, Sala 02, Campo Verde/MT - CEP 78840-085</t>
        </is>
      </c>
      <c r="L436" s="13" t="inlineStr">
        <is>
          <t>Brasil</t>
        </is>
      </c>
      <c r="M436" s="13" t="inlineStr">
        <is>
          <t>0 - Nacional / 1 - Importação Direta</t>
        </is>
      </c>
    </row>
    <row r="437" ht="22" customHeight="1">
      <c r="A437" s="6" t="inlineStr">
        <is>
          <t>EMP-0433</t>
        </is>
      </c>
      <c r="B437" s="5" t="n">
        <v>361</v>
      </c>
      <c r="C437" s="7" t="inlineStr">
        <is>
          <t>Nº 27717</t>
        </is>
      </c>
      <c r="D437" s="8" t="inlineStr">
        <is>
          <t>FIPRONIL 800 WG AGCN</t>
        </is>
      </c>
      <c r="E437" s="7" t="inlineStr">
        <is>
          <t>1. Titular do Registro / Produtor</t>
        </is>
      </c>
      <c r="F437" s="7" t="inlineStr">
        <is>
          <t>Produto Formulado Comercial</t>
        </is>
      </c>
      <c r="G437" s="7" t="inlineStr">
        <is>
          <t>AGRICONNECTION IMPORTADORA E EXPORTADORA DE INSUMOS AGRÍCOLAS LTDA.</t>
        </is>
      </c>
      <c r="H437" s="7" t="inlineStr">
        <is>
          <t>Matriz / Estabelecimento Principal</t>
        </is>
      </c>
      <c r="I437" s="7" t="inlineStr">
        <is>
          <t>39.496.730/0001-60</t>
        </is>
      </c>
      <c r="J437" s="7" t="inlineStr">
        <is>
          <t>INDEA/MT nº 27326 / CDA/SP nº 4354</t>
        </is>
      </c>
      <c r="K437" s="7" t="inlineStr">
        <is>
          <t>Av. Manoel Genildo de Araujo, 188, Sala 02, Campo Verde/MT - CEP 78840-085</t>
        </is>
      </c>
      <c r="L437" s="7" t="inlineStr">
        <is>
          <t>Brasil</t>
        </is>
      </c>
      <c r="M437" s="7" t="inlineStr">
        <is>
          <t>0 - Nacional / 1 - Importação Direta</t>
        </is>
      </c>
    </row>
    <row r="438" ht="22" customHeight="1">
      <c r="A438" s="12" t="inlineStr">
        <is>
          <t>EMP-0434</t>
        </is>
      </c>
      <c r="B438" s="11" t="n">
        <v>362</v>
      </c>
      <c r="C438" s="13" t="inlineStr">
        <is>
          <t>Nº 22023</t>
        </is>
      </c>
      <c r="D438" s="14" t="inlineStr">
        <is>
          <t>TEBUCONAZOLE 430 SINO-AGRI</t>
        </is>
      </c>
      <c r="E438" s="13" t="inlineStr">
        <is>
          <t>1. Titular do Registro / Produtor</t>
        </is>
      </c>
      <c r="F438" s="13" t="inlineStr">
        <is>
          <t>Produto Formulado Comercial</t>
        </is>
      </c>
      <c r="G438" s="13" t="inlineStr">
        <is>
          <t>SINO-AGRI LEADING BIOSCIENCES DO BRASIL / INOVATIS LTDA.</t>
        </is>
      </c>
      <c r="H438" s="13" t="inlineStr">
        <is>
          <t>Matriz / Estabelecimento Principal</t>
        </is>
      </c>
      <c r="I438" s="13" t="inlineStr">
        <is>
          <t>28.912.340/0001-50</t>
        </is>
      </c>
      <c r="J438" s="13" t="inlineStr">
        <is>
          <t>CDA/SP Vigente</t>
        </is>
      </c>
      <c r="K438" s="13" t="inlineStr">
        <is>
          <t>São Paulo/SP</t>
        </is>
      </c>
      <c r="L438" s="13" t="inlineStr">
        <is>
          <t>Brasil</t>
        </is>
      </c>
      <c r="M438" s="13" t="inlineStr">
        <is>
          <t>0 - Nacional / 1 - Importação Direta</t>
        </is>
      </c>
    </row>
    <row r="439" ht="22" customHeight="1">
      <c r="A439" s="6" t="inlineStr">
        <is>
          <t>EMP-0435</t>
        </is>
      </c>
      <c r="B439" s="5" t="n">
        <v>363</v>
      </c>
      <c r="C439" s="7" t="inlineStr">
        <is>
          <t>Nº 22023</t>
        </is>
      </c>
      <c r="D439" s="8" t="inlineStr">
        <is>
          <t>TEBUCONAZOLE 430 SINO-AGRI</t>
        </is>
      </c>
      <c r="E439" s="7" t="inlineStr">
        <is>
          <t>1. Titular do Registro / Produtor</t>
        </is>
      </c>
      <c r="F439" s="7" t="inlineStr">
        <is>
          <t>Produto Formulado Comercial</t>
        </is>
      </c>
      <c r="G439" s="7" t="inlineStr">
        <is>
          <t>SINO-AGRI LEADING BIOSCIENCES DO BRASIL / INOVATIS LTDA.</t>
        </is>
      </c>
      <c r="H439" s="7" t="inlineStr">
        <is>
          <t>Matriz / Estabelecimento Principal</t>
        </is>
      </c>
      <c r="I439" s="7" t="inlineStr">
        <is>
          <t>28.912.340/0001-50</t>
        </is>
      </c>
      <c r="J439" s="7" t="inlineStr">
        <is>
          <t>CDA/SP Vigente</t>
        </is>
      </c>
      <c r="K439" s="7" t="inlineStr">
        <is>
          <t>São Paulo/SP</t>
        </is>
      </c>
      <c r="L439" s="7" t="inlineStr">
        <is>
          <t>Brasil</t>
        </is>
      </c>
      <c r="M439" s="7" t="inlineStr">
        <is>
          <t>0 - Nacional / 1 - Importação Direta</t>
        </is>
      </c>
    </row>
    <row r="440" ht="22" customHeight="1">
      <c r="A440" s="12" t="inlineStr">
        <is>
          <t>EMP-0436</t>
        </is>
      </c>
      <c r="B440" s="11" t="n">
        <v>364</v>
      </c>
      <c r="C440" s="13" t="inlineStr">
        <is>
          <t>Nº 0315</t>
        </is>
      </c>
      <c r="D440" s="14" t="inlineStr">
        <is>
          <t>2-4 D AGCN</t>
        </is>
      </c>
      <c r="E440" s="13" t="inlineStr">
        <is>
          <t>1. Titular do Registro / Produtor</t>
        </is>
      </c>
      <c r="F440" s="13" t="inlineStr">
        <is>
          <t>Produto Formulado Comercial</t>
        </is>
      </c>
      <c r="G440" s="13" t="inlineStr">
        <is>
          <t>Agriconnection</t>
        </is>
      </c>
      <c r="H440" s="13" t="inlineStr">
        <is>
          <t>Matriz / Estabelecimento Principal</t>
        </is>
      </c>
      <c r="I440" s="13" t="inlineStr">
        <is>
          <t>39.496.730/0001-60</t>
        </is>
      </c>
      <c r="J440" s="13" t="inlineStr">
        <is>
          <t>INDEA/MT nº 27326 / CDA/SP nº 4354</t>
        </is>
      </c>
      <c r="K440" s="13" t="inlineStr">
        <is>
          <t>Av. Manoel Genildo de Araujo, 188, Campo Verde/MT / Barueri/SP</t>
        </is>
      </c>
      <c r="L440" s="13" t="inlineStr">
        <is>
          <t>Brasil</t>
        </is>
      </c>
      <c r="M440" s="13" t="inlineStr">
        <is>
          <t>0 - Nacional / 1 - Importação Direta</t>
        </is>
      </c>
    </row>
    <row r="441" ht="22" customHeight="1">
      <c r="A441" s="6" t="inlineStr">
        <is>
          <t>EMP-0437</t>
        </is>
      </c>
      <c r="B441" s="5" t="n">
        <v>365</v>
      </c>
      <c r="C441" s="7" t="inlineStr">
        <is>
          <t>Nº 7124</t>
        </is>
      </c>
      <c r="D441" s="8" t="inlineStr">
        <is>
          <t>OPTIBEX</t>
        </is>
      </c>
      <c r="E441" s="7" t="inlineStr">
        <is>
          <t>1. Titular do Registro / Produtor</t>
        </is>
      </c>
      <c r="F441" s="7" t="inlineStr">
        <is>
          <t>Produto Formulado Comercial</t>
        </is>
      </c>
      <c r="G441" s="7" t="inlineStr">
        <is>
          <t>Rainbow Defensivos</t>
        </is>
      </c>
      <c r="H441" s="7" t="inlineStr">
        <is>
          <t>Matriz / Estabelecimento Principal</t>
        </is>
      </c>
      <c r="I441" s="7" t="inlineStr">
        <is>
          <t>10.486.463/0001-69</t>
        </is>
      </c>
      <c r="J441" s="7" t="inlineStr">
        <is>
          <t>SEAPA/RS nº 1928/09</t>
        </is>
      </c>
      <c r="K441" s="7" t="inlineStr">
        <is>
          <t>Estabelecimento Credenciado no Brasil</t>
        </is>
      </c>
      <c r="L441" s="7" t="inlineStr">
        <is>
          <t>Brasil</t>
        </is>
      </c>
      <c r="M441" s="7" t="inlineStr">
        <is>
          <t>0 - Nacional / 1 - Importação Direta</t>
        </is>
      </c>
    </row>
    <row r="442" ht="22" customHeight="1">
      <c r="A442" s="12" t="inlineStr">
        <is>
          <t>EMP-0438</t>
        </is>
      </c>
      <c r="B442" s="11" t="n">
        <v>366</v>
      </c>
      <c r="C442" s="13" t="inlineStr">
        <is>
          <t>Nº 34621</t>
        </is>
      </c>
      <c r="D442" s="14" t="inlineStr">
        <is>
          <t>RATEIO 200 SL</t>
        </is>
      </c>
      <c r="E442" s="13" t="inlineStr">
        <is>
          <t>1. Titular do Registro / Produtor</t>
        </is>
      </c>
      <c r="F442" s="13" t="inlineStr">
        <is>
          <t>Produto Formulado Comercial</t>
        </is>
      </c>
      <c r="G442" s="13" t="inlineStr">
        <is>
          <t>YONON BRASIL DEFENSIVOS AGRÍCOLAS LTDA. / CCAB AGRO S.A.</t>
        </is>
      </c>
      <c r="H442" s="13" t="inlineStr">
        <is>
          <t>Matriz / Estabelecimento Principal</t>
        </is>
      </c>
      <c r="I442" s="13" t="inlineStr">
        <is>
          <t>18.858.234/0001-30</t>
        </is>
      </c>
      <c r="J442" s="13" t="inlineStr">
        <is>
          <t>ADAPAR/PR nº 004001</t>
        </is>
      </c>
      <c r="K442" s="13" t="inlineStr">
        <is>
          <t>São Paulo/SP e São Miguel do Iguaçu/PR</t>
        </is>
      </c>
      <c r="L442" s="13" t="inlineStr">
        <is>
          <t>Brasil</t>
        </is>
      </c>
      <c r="M442" s="13" t="inlineStr">
        <is>
          <t>0 - Nacional / 1 - Importação Direta</t>
        </is>
      </c>
    </row>
    <row r="443" ht="22" customHeight="1">
      <c r="A443" s="6" t="inlineStr">
        <is>
          <t>EMP-0439</t>
        </is>
      </c>
      <c r="B443" s="5" t="n">
        <v>367</v>
      </c>
      <c r="C443" s="7" t="inlineStr">
        <is>
          <t>SIPEAGRO (UF-XXXXX)</t>
        </is>
      </c>
      <c r="D443" s="8" t="inlineStr">
        <is>
          <t>CLORETO DE POTASSIO 000060 1.000KG</t>
        </is>
      </c>
      <c r="E443" s="7" t="inlineStr">
        <is>
          <t>1. Titular do Registro / Produtor</t>
        </is>
      </c>
      <c r="F443" s="7" t="inlineStr">
        <is>
          <t>Fertilizante Mineral / Organomineral</t>
        </is>
      </c>
      <c r="G443" s="7" t="inlineStr">
        <is>
          <t>Estabelecimento Produtor SIPEAGRO/MAPA</t>
        </is>
      </c>
      <c r="H443" s="7" t="inlineStr">
        <is>
          <t>Matriz / Estabelecimento Principal</t>
        </is>
      </c>
      <c r="I443" s="7" t="inlineStr">
        <is>
          <t>CNPJ Credenciado MAPA/SIPEAGRO</t>
        </is>
      </c>
      <c r="J443" s="7" t="inlineStr">
        <is>
          <t>Registro Estadual Vigente</t>
        </is>
      </c>
      <c r="K443" s="7" t="inlineStr">
        <is>
          <t>Estabelecimento Credenciado no Brasil</t>
        </is>
      </c>
      <c r="L443" s="7" t="inlineStr">
        <is>
          <t>Brasil</t>
        </is>
      </c>
      <c r="M443" s="7" t="inlineStr">
        <is>
          <t>0 - Nacional / 1 - Importação Direta</t>
        </is>
      </c>
    </row>
    <row r="444" ht="22" customHeight="1">
      <c r="A444" s="12" t="inlineStr">
        <is>
          <t>EMP-0440</t>
        </is>
      </c>
      <c r="B444" s="11" t="n">
        <v>368</v>
      </c>
      <c r="C444" s="13" t="inlineStr">
        <is>
          <t>VINCULAR MARCA</t>
        </is>
      </c>
      <c r="D444" s="14" t="inlineStr">
        <is>
          <t>ABAMECTINA 600 (PRINCIPIO ATIVO)</t>
        </is>
      </c>
      <c r="E444" s="13" t="inlineStr">
        <is>
          <t>1. Titular do Registro / Produtor</t>
        </is>
      </c>
      <c r="F444" s="13" t="inlineStr">
        <is>
          <t>Produto Técnico Industrial</t>
        </is>
      </c>
      <c r="G444" s="13" t="inlineStr">
        <is>
          <t>SYNGENTA PROTEÇÃO DE CULTIVOS LTDA.</t>
        </is>
      </c>
      <c r="H444" s="13" t="inlineStr">
        <is>
          <t>Matriz / Estabelecimento Principal</t>
        </is>
      </c>
      <c r="I444" s="13" t="inlineStr">
        <is>
          <t>CNPJ Credenciado MAPA/SIPEAGRO</t>
        </is>
      </c>
      <c r="J444" s="13" t="inlineStr">
        <is>
          <t>Registro Estadual Vigente</t>
        </is>
      </c>
      <c r="K444" s="13" t="inlineStr">
        <is>
          <t>Estabelecimento Credenciado no Brasil</t>
        </is>
      </c>
      <c r="L444" s="13" t="inlineStr">
        <is>
          <t>Brasil</t>
        </is>
      </c>
      <c r="M444" s="13" t="inlineStr">
        <is>
          <t>0 - Nacional / 1 - Importação Direta</t>
        </is>
      </c>
    </row>
    <row r="445" ht="22" customHeight="1">
      <c r="A445" s="6" t="inlineStr">
        <is>
          <t>EMP-0441</t>
        </is>
      </c>
      <c r="B445" s="5" t="n">
        <v>369</v>
      </c>
      <c r="C445" s="7" t="inlineStr">
        <is>
          <t>Nº 0120</t>
        </is>
      </c>
      <c r="D445" s="8" t="inlineStr">
        <is>
          <t>GLUFOSINATO 200 (PRINCIPIO ATIVO)</t>
        </is>
      </c>
      <c r="E445" s="7" t="inlineStr">
        <is>
          <t>1. Titular do Registro / Produtor</t>
        </is>
      </c>
      <c r="F445" s="7" t="inlineStr">
        <is>
          <t>Produto Técnico Industrial</t>
        </is>
      </c>
      <c r="G445" s="7" t="inlineStr">
        <is>
          <t>RAINBOW DEFENSIVOS AGRÍCOLAS LTDA.</t>
        </is>
      </c>
      <c r="H445" s="7" t="inlineStr">
        <is>
          <t>Matriz / Estabelecimento Principal</t>
        </is>
      </c>
      <c r="I445" s="7" t="inlineStr">
        <is>
          <t>CNPJ Credenciado MAPA/SIPEAGRO</t>
        </is>
      </c>
      <c r="J445" s="7" t="inlineStr">
        <is>
          <t>Registro Estadual Vigente</t>
        </is>
      </c>
      <c r="K445" s="7" t="inlineStr">
        <is>
          <t>Estabelecimento Credenciado no Brasil</t>
        </is>
      </c>
      <c r="L445" s="7" t="inlineStr">
        <is>
          <t>Brasil</t>
        </is>
      </c>
      <c r="M445" s="7" t="inlineStr">
        <is>
          <t>0 - Nacional / 1 - Importação Direta</t>
        </is>
      </c>
    </row>
    <row r="446" ht="22" customHeight="1">
      <c r="A446" s="12" t="inlineStr">
        <is>
          <t>EMP-0442</t>
        </is>
      </c>
      <c r="B446" s="11" t="n">
        <v>370</v>
      </c>
      <c r="C446" s="13" t="inlineStr">
        <is>
          <t>Nº 36419</t>
        </is>
      </c>
      <c r="D446" s="14" t="inlineStr">
        <is>
          <t>PIRIPROXIFEM 100 (PRINCIPIO ATIVO)</t>
        </is>
      </c>
      <c r="E446" s="13" t="inlineStr">
        <is>
          <t>1. Titular do Registro</t>
        </is>
      </c>
      <c r="F446" s="13" t="inlineStr">
        <is>
          <t>Produto Técnico Industrial</t>
        </is>
      </c>
      <c r="G446" s="13" t="inlineStr">
        <is>
          <t>Piriproxifem 100 g</t>
        </is>
      </c>
      <c r="H446" s="13" t="inlineStr">
        <is>
          <t>Estabelecimento Credenciado</t>
        </is>
      </c>
      <c r="I446" s="13" t="inlineStr">
        <is>
          <t>CNPJ Credenciado MAPA</t>
        </is>
      </c>
      <c r="J446" s="13" t="inlineStr">
        <is>
          <t>Registro Estadual Vigente</t>
        </is>
      </c>
      <c r="K446" s="13" t="inlineStr">
        <is>
          <t>Unidade Operacional Brasil</t>
        </is>
      </c>
      <c r="L446" s="13" t="inlineStr">
        <is>
          <t>Brasil</t>
        </is>
      </c>
      <c r="M446" s="13" t="inlineStr">
        <is>
          <t>0/1/2 - Conforme Origem do Lote</t>
        </is>
      </c>
    </row>
    <row r="447" ht="22" customHeight="1">
      <c r="A447" s="6" t="inlineStr">
        <is>
          <t>EMP-0443</t>
        </is>
      </c>
      <c r="B447" s="5" t="n">
        <v>370</v>
      </c>
      <c r="C447" s="7" t="inlineStr">
        <is>
          <t>Nº 36419</t>
        </is>
      </c>
      <c r="D447" s="8" t="inlineStr">
        <is>
          <t>PIRIPROXIFEM 100 (PRINCIPIO ATIVO)</t>
        </is>
      </c>
      <c r="E447" s="7" t="inlineStr">
        <is>
          <t>3. Formulador / Co-Distribuidor Autorizado</t>
        </is>
      </c>
      <c r="F447" s="7" t="inlineStr">
        <is>
          <t>Produto Técnico Industrial</t>
        </is>
      </c>
      <c r="G447" s="7" t="inlineStr">
        <is>
          <t>L EC</t>
        </is>
      </c>
      <c r="H447" s="7" t="inlineStr">
        <is>
          <t>Estabelecimento Credenciado</t>
        </is>
      </c>
      <c r="I447" s="7" t="inlineStr">
        <is>
          <t>CNPJ Credenciado MAPA</t>
        </is>
      </c>
      <c r="J447" s="7" t="inlineStr">
        <is>
          <t>Registro Estadual Vigente</t>
        </is>
      </c>
      <c r="K447" s="7" t="inlineStr">
        <is>
          <t>Unidade Operacional Brasil</t>
        </is>
      </c>
      <c r="L447" s="7" t="inlineStr">
        <is>
          <t>Brasil</t>
        </is>
      </c>
      <c r="M447" s="7" t="inlineStr">
        <is>
          <t>0/1/2 - Conforme Origem do Lote</t>
        </is>
      </c>
    </row>
    <row r="448" ht="22" customHeight="1">
      <c r="A448" s="12" t="inlineStr">
        <is>
          <t>EMP-0444</t>
        </is>
      </c>
      <c r="B448" s="11" t="n">
        <v>371</v>
      </c>
      <c r="C448" s="13" t="inlineStr">
        <is>
          <t>Nº 26322</t>
        </is>
      </c>
      <c r="D448" s="14" t="inlineStr">
        <is>
          <t>FIPRONIL 800 WG YONON</t>
        </is>
      </c>
      <c r="E448" s="13" t="inlineStr">
        <is>
          <t>1. Titular do Registro / Produtor</t>
        </is>
      </c>
      <c r="F448" s="13" t="inlineStr">
        <is>
          <t>Produto Formulado Comercial</t>
        </is>
      </c>
      <c r="G448" s="13" t="inlineStr">
        <is>
          <t>YONON BRASIL DEFENSIVOS AGRÍCOLAS LTDA.</t>
        </is>
      </c>
      <c r="H448" s="13" t="inlineStr">
        <is>
          <t>Matriz / Estabelecimento Principal</t>
        </is>
      </c>
      <c r="I448" s="13" t="inlineStr">
        <is>
          <t>CNPJ Credenciado MAPA/SIPEAGRO</t>
        </is>
      </c>
      <c r="J448" s="13" t="inlineStr">
        <is>
          <t>Registro Estadual Vigente</t>
        </is>
      </c>
      <c r="K448" s="13" t="inlineStr">
        <is>
          <t>Estabelecimento Credenciado no Brasil</t>
        </is>
      </c>
      <c r="L448" s="13" t="inlineStr">
        <is>
          <t>Brasil</t>
        </is>
      </c>
      <c r="M448" s="13" t="inlineStr">
        <is>
          <t>0 - Nacional / 1 - Importação Direta</t>
        </is>
      </c>
    </row>
    <row r="449" ht="22" customHeight="1">
      <c r="A449" s="6" t="inlineStr">
        <is>
          <t>EMP-0445</t>
        </is>
      </c>
      <c r="B449" s="5" t="n">
        <v>372</v>
      </c>
      <c r="C449" s="7" t="inlineStr">
        <is>
          <t>Nº 1522</t>
        </is>
      </c>
      <c r="D449" s="8" t="inlineStr">
        <is>
          <t>ADVER</t>
        </is>
      </c>
      <c r="E449" s="7" t="inlineStr">
        <is>
          <t>1. Titular do Registro</t>
        </is>
      </c>
      <c r="F449" s="7" t="inlineStr">
        <is>
          <t>Produto Formulado Comercial</t>
        </is>
      </c>
      <c r="G449" s="7" t="inlineStr">
        <is>
          <t>Rainbow</t>
        </is>
      </c>
      <c r="H449" s="7" t="inlineStr">
        <is>
          <t>Estabelecimento Credenciado</t>
        </is>
      </c>
      <c r="I449" s="7" t="inlineStr">
        <is>
          <t>CNPJ Credenciado MAPA</t>
        </is>
      </c>
      <c r="J449" s="7" t="inlineStr">
        <is>
          <t>Registro Estadual Vigente</t>
        </is>
      </c>
      <c r="K449" s="7" t="inlineStr">
        <is>
          <t>Unidade Operacional Brasil</t>
        </is>
      </c>
      <c r="L449" s="7" t="inlineStr">
        <is>
          <t>Brasil</t>
        </is>
      </c>
      <c r="M449" s="7" t="inlineStr">
        <is>
          <t>0/1/2 - Conforme Origem do Lote</t>
        </is>
      </c>
    </row>
    <row r="450" ht="22" customHeight="1">
      <c r="A450" s="12" t="inlineStr">
        <is>
          <t>EMP-0446</t>
        </is>
      </c>
      <c r="B450" s="11" t="n">
        <v>372</v>
      </c>
      <c r="C450" s="13" t="inlineStr">
        <is>
          <t>Nº 1522</t>
        </is>
      </c>
      <c r="D450" s="14" t="inlineStr">
        <is>
          <t>ADVER</t>
        </is>
      </c>
      <c r="E450" s="13" t="inlineStr">
        <is>
          <t>3. Formulador / Co-Distribuidor Autorizado</t>
        </is>
      </c>
      <c r="F450" s="13" t="inlineStr">
        <is>
          <t>Produto Formulado Comercial</t>
        </is>
      </c>
      <c r="G450" s="13" t="inlineStr">
        <is>
          <t>Perterra</t>
        </is>
      </c>
      <c r="H450" s="13" t="inlineStr">
        <is>
          <t>Estabelecimento Credenciado</t>
        </is>
      </c>
      <c r="I450" s="13" t="inlineStr">
        <is>
          <t>CNPJ Credenciado MAPA</t>
        </is>
      </c>
      <c r="J450" s="13" t="inlineStr">
        <is>
          <t>Registro Estadual Vigente</t>
        </is>
      </c>
      <c r="K450" s="13" t="inlineStr">
        <is>
          <t>Unidade Operacional Brasil</t>
        </is>
      </c>
      <c r="L450" s="13" t="inlineStr">
        <is>
          <t>Brasil</t>
        </is>
      </c>
      <c r="M450" s="13" t="inlineStr">
        <is>
          <t>0/1/2 - Conforme Origem do Lote</t>
        </is>
      </c>
    </row>
    <row r="451" ht="22" customHeight="1">
      <c r="A451" s="6" t="inlineStr">
        <is>
          <t>EMP-0447</t>
        </is>
      </c>
      <c r="B451" s="5" t="n">
        <v>373</v>
      </c>
      <c r="C451" s="7" t="inlineStr">
        <is>
          <t>Nº 36419</t>
        </is>
      </c>
      <c r="D451" s="8" t="inlineStr">
        <is>
          <t>PIRIPROXIFEM CCAB 100 EC</t>
        </is>
      </c>
      <c r="E451" s="7" t="inlineStr">
        <is>
          <t>1. Titular do Registro / Produtor</t>
        </is>
      </c>
      <c r="F451" s="7" t="inlineStr">
        <is>
          <t>Produto Formulado Comercial</t>
        </is>
      </c>
      <c r="G451" s="7" t="inlineStr">
        <is>
          <t>CCAB Agro S.A.</t>
        </is>
      </c>
      <c r="H451" s="7" t="inlineStr">
        <is>
          <t>Matriz / Estabelecimento Principal</t>
        </is>
      </c>
      <c r="I451" s="7" t="inlineStr">
        <is>
          <t>CNPJ Credenciado MAPA/SIPEAGRO</t>
        </is>
      </c>
      <c r="J451" s="7" t="inlineStr">
        <is>
          <t>Registro Estadual Vigente</t>
        </is>
      </c>
      <c r="K451" s="7" t="inlineStr">
        <is>
          <t>Estabelecimento Credenciado no Brasil</t>
        </is>
      </c>
      <c r="L451" s="7" t="inlineStr">
        <is>
          <t>Brasil</t>
        </is>
      </c>
      <c r="M451" s="7" t="inlineStr">
        <is>
          <t>0 - Nacional / 1 - Importação Direta</t>
        </is>
      </c>
    </row>
    <row r="452" ht="22" customHeight="1">
      <c r="A452" s="12" t="inlineStr">
        <is>
          <t>EMP-0448</t>
        </is>
      </c>
      <c r="B452" s="11" t="n">
        <v>374</v>
      </c>
      <c r="C452" s="13" t="inlineStr">
        <is>
          <t>Nº 6922</t>
        </is>
      </c>
      <c r="D452" s="14" t="inlineStr">
        <is>
          <t>COFENRIN</t>
        </is>
      </c>
      <c r="E452" s="13" t="inlineStr">
        <is>
          <t>1. Titular do Registro / Produtor</t>
        </is>
      </c>
      <c r="F452" s="13" t="inlineStr">
        <is>
          <t>Produto Formulado Comercial</t>
        </is>
      </c>
      <c r="G452" s="13" t="inlineStr">
        <is>
          <t>RAINBOW DEFENSIVOS AGRÍCOLAS LTDA.</t>
        </is>
      </c>
      <c r="H452" s="13" t="inlineStr">
        <is>
          <t>Matriz / Estabelecimento Principal</t>
        </is>
      </c>
      <c r="I452" s="13" t="inlineStr">
        <is>
          <t>10.486.463/0001-69</t>
        </is>
      </c>
      <c r="J452" s="13" t="inlineStr">
        <is>
          <t>SEAPA/RS nº 1928/09</t>
        </is>
      </c>
      <c r="K452" s="13" t="inlineStr">
        <is>
          <t>Av. Carlos Gomes, 258, Salas 1103-1106, Boa Vista, Porto Alegre/RS - CEP 90480-000</t>
        </is>
      </c>
      <c r="L452" s="13" t="inlineStr">
        <is>
          <t>Brasil</t>
        </is>
      </c>
      <c r="M452" s="13" t="inlineStr">
        <is>
          <t>0 - Nacional / 1 - Importação Direta</t>
        </is>
      </c>
    </row>
    <row r="453" ht="22" customHeight="1">
      <c r="A453" s="6" t="inlineStr">
        <is>
          <t>EMP-0449</t>
        </is>
      </c>
      <c r="B453" s="5" t="n">
        <v>375</v>
      </c>
      <c r="C453" s="7" t="inlineStr">
        <is>
          <t>Nº 3623</t>
        </is>
      </c>
      <c r="D453" s="8" t="inlineStr">
        <is>
          <t>FLUMIOXAZINA 250 + IMAZETAPIR 530 (PRINC. ATIVO)</t>
        </is>
      </c>
      <c r="E453" s="7" t="inlineStr">
        <is>
          <t>1. Titular do Registro / Produtor</t>
        </is>
      </c>
      <c r="F453" s="7" t="inlineStr">
        <is>
          <t>Produto Técnico Industrial</t>
        </is>
      </c>
      <c r="G453" s="7" t="inlineStr">
        <is>
          <t>RAINBOW DEFENSIVOS AGRÍCOLAS LTDA.</t>
        </is>
      </c>
      <c r="H453" s="7" t="inlineStr">
        <is>
          <t>Matriz / Estabelecimento Principal</t>
        </is>
      </c>
      <c r="I453" s="7" t="inlineStr">
        <is>
          <t>CNPJ Credenciado MAPA/SIPEAGRO</t>
        </is>
      </c>
      <c r="J453" s="7" t="inlineStr">
        <is>
          <t>Registro Estadual Vigente</t>
        </is>
      </c>
      <c r="K453" s="7" t="inlineStr">
        <is>
          <t>Estabelecimento Credenciado no Brasil</t>
        </is>
      </c>
      <c r="L453" s="7" t="inlineStr">
        <is>
          <t>Brasil</t>
        </is>
      </c>
      <c r="M453" s="7" t="inlineStr">
        <is>
          <t>0 - Nacional / 1 - Importação Direta</t>
        </is>
      </c>
    </row>
    <row r="454" ht="22" customHeight="1">
      <c r="A454" s="12" t="inlineStr">
        <is>
          <t>EMP-0450</t>
        </is>
      </c>
      <c r="B454" s="11" t="n">
        <v>376</v>
      </c>
      <c r="C454" s="13" t="inlineStr">
        <is>
          <t>Nº 28120</t>
        </is>
      </c>
      <c r="D454" s="14" t="inlineStr">
        <is>
          <t>FLUROXIPIR 200 (PRINCIPIO ATIVO)</t>
        </is>
      </c>
      <c r="E454" s="13" t="inlineStr">
        <is>
          <t>1. Titular do Registro / Produtor</t>
        </is>
      </c>
      <c r="F454" s="13" t="inlineStr">
        <is>
          <t>Produto Técnico Industrial</t>
        </is>
      </c>
      <c r="G454" s="13" t="inlineStr">
        <is>
          <t>RAINBOW DEFENSIVOS AGRÍCOLAS LTDA.</t>
        </is>
      </c>
      <c r="H454" s="13" t="inlineStr">
        <is>
          <t>Matriz / Estabelecimento Principal</t>
        </is>
      </c>
      <c r="I454" s="13" t="inlineStr">
        <is>
          <t>CNPJ Credenciado MAPA/SIPEAGRO</t>
        </is>
      </c>
      <c r="J454" s="13" t="inlineStr">
        <is>
          <t>Registro Estadual Vigente</t>
        </is>
      </c>
      <c r="K454" s="13" t="inlineStr">
        <is>
          <t>Estabelecimento Credenciado no Brasil</t>
        </is>
      </c>
      <c r="L454" s="13" t="inlineStr">
        <is>
          <t>Brasil</t>
        </is>
      </c>
      <c r="M454" s="13" t="inlineStr">
        <is>
          <t>0 - Nacional / 1 - Importação Direta</t>
        </is>
      </c>
    </row>
    <row r="455" ht="22" customHeight="1">
      <c r="A455" s="6" t="inlineStr">
        <is>
          <t>EMP-0451</t>
        </is>
      </c>
      <c r="B455" s="5" t="n">
        <v>377</v>
      </c>
      <c r="C455" s="7" t="inlineStr">
        <is>
          <t>Nº 31422</t>
        </is>
      </c>
      <c r="D455" s="8" t="inlineStr">
        <is>
          <t>ZARPAL</t>
        </is>
      </c>
      <c r="E455" s="7" t="inlineStr">
        <is>
          <t>1. Titular do Registro / Produtor</t>
        </is>
      </c>
      <c r="F455" s="7" t="inlineStr">
        <is>
          <t>Produto Formulado Comercial</t>
        </is>
      </c>
      <c r="G455" s="7" t="inlineStr">
        <is>
          <t>GLOBACHEM PROTEÇÃO DE CULTIVOS DO BRASIL LTDA.</t>
        </is>
      </c>
      <c r="H455" s="7" t="inlineStr">
        <is>
          <t>Matriz / Estabelecimento Principal</t>
        </is>
      </c>
      <c r="I455" s="7" t="inlineStr">
        <is>
          <t>43.741.357/0001-33</t>
        </is>
      </c>
      <c r="J455" s="7" t="inlineStr">
        <is>
          <t>CDA/SP nº 4326</t>
        </is>
      </c>
      <c r="K455" s="7" t="inlineStr">
        <is>
          <t>Rua Doutor Emílio Ribas, 174, Sala 12, Cambuí, Campinas/SP - CEP 13025-140</t>
        </is>
      </c>
      <c r="L455" s="7" t="inlineStr">
        <is>
          <t>Brasil</t>
        </is>
      </c>
      <c r="M455" s="7" t="inlineStr">
        <is>
          <t>0 - Nacional / 1 - Importação Direta</t>
        </is>
      </c>
    </row>
    <row r="456" ht="22" customHeight="1">
      <c r="A456" s="12" t="inlineStr">
        <is>
          <t>EMP-0452</t>
        </is>
      </c>
      <c r="B456" s="11" t="n">
        <v>378</v>
      </c>
      <c r="C456" s="13" t="inlineStr">
        <is>
          <t>SIPEAGRO (UF-XXXXX)</t>
        </is>
      </c>
      <c r="D456" s="14" t="inlineStr">
        <is>
          <t>AGCN PRODUZ +</t>
        </is>
      </c>
      <c r="E456" s="13" t="inlineStr">
        <is>
          <t>1. Titular do Registro / Produtor</t>
        </is>
      </c>
      <c r="F456" s="13" t="inlineStr">
        <is>
          <t>Fertilizante Mineral / Organomineral</t>
        </is>
      </c>
      <c r="G456" s="13" t="inlineStr">
        <is>
          <t>Estabelecimento Produtor SIPEAGRO/MAPA</t>
        </is>
      </c>
      <c r="H456" s="13" t="inlineStr">
        <is>
          <t>Matriz / Estabelecimento Principal</t>
        </is>
      </c>
      <c r="I456" s="13" t="inlineStr">
        <is>
          <t>CNPJ Credenciado MAPA/SIPEAGRO</t>
        </is>
      </c>
      <c r="J456" s="13" t="inlineStr">
        <is>
          <t>Registro Estadual Vigente</t>
        </is>
      </c>
      <c r="K456" s="13" t="inlineStr">
        <is>
          <t>Estabelecimento Credenciado no Brasil</t>
        </is>
      </c>
      <c r="L456" s="13" t="inlineStr">
        <is>
          <t>Brasil</t>
        </is>
      </c>
      <c r="M456" s="13" t="inlineStr">
        <is>
          <t>0 - Nacional / 1 - Importação Direta</t>
        </is>
      </c>
    </row>
    <row r="457" ht="22" customHeight="1">
      <c r="A457" s="6" t="inlineStr">
        <is>
          <t>EMP-0453</t>
        </is>
      </c>
      <c r="B457" s="5" t="n">
        <v>379</v>
      </c>
      <c r="C457" s="7" t="inlineStr">
        <is>
          <t>SIPEAGRO (UF-XXXXX)</t>
        </is>
      </c>
      <c r="D457" s="8" t="inlineStr">
        <is>
          <t>AGCN PLUM</t>
        </is>
      </c>
      <c r="E457" s="7" t="inlineStr">
        <is>
          <t>1. Titular do Registro / Produtor</t>
        </is>
      </c>
      <c r="F457" s="7" t="inlineStr">
        <is>
          <t>Fertilizante Mineral / Organomineral</t>
        </is>
      </c>
      <c r="G457" s="7" t="inlineStr">
        <is>
          <t>Estabelecimento Produtor SIPEAGRO/MAPA</t>
        </is>
      </c>
      <c r="H457" s="7" t="inlineStr">
        <is>
          <t>Matriz / Estabelecimento Principal</t>
        </is>
      </c>
      <c r="I457" s="7" t="inlineStr">
        <is>
          <t>CNPJ Credenciado MAPA/SIPEAGRO</t>
        </is>
      </c>
      <c r="J457" s="7" t="inlineStr">
        <is>
          <t>Registro Estadual Vigente</t>
        </is>
      </c>
      <c r="K457" s="7" t="inlineStr">
        <is>
          <t>Estabelecimento Credenciado no Brasil</t>
        </is>
      </c>
      <c r="L457" s="7" t="inlineStr">
        <is>
          <t>Brasil</t>
        </is>
      </c>
      <c r="M457" s="7" t="inlineStr">
        <is>
          <t>0 - Nacional / 1 - Importação Direta</t>
        </is>
      </c>
    </row>
    <row r="458" ht="22" customHeight="1">
      <c r="A458" s="12" t="inlineStr">
        <is>
          <t>EMP-0454</t>
        </is>
      </c>
      <c r="B458" s="11" t="n">
        <v>380</v>
      </c>
      <c r="C458" s="13" t="inlineStr">
        <is>
          <t>SIPEAGRO (UF-XXXXX)</t>
        </is>
      </c>
      <c r="D458" s="14" t="inlineStr">
        <is>
          <t>AGCN PRO+</t>
        </is>
      </c>
      <c r="E458" s="13" t="inlineStr">
        <is>
          <t>1. Titular do Registro / Produtor</t>
        </is>
      </c>
      <c r="F458" s="13" t="inlineStr">
        <is>
          <t>Fertilizante Mineral / Organomineral</t>
        </is>
      </c>
      <c r="G458" s="13" t="inlineStr">
        <is>
          <t>Estabelecimento Produtor SIPEAGRO/MAPA</t>
        </is>
      </c>
      <c r="H458" s="13" t="inlineStr">
        <is>
          <t>Matriz / Estabelecimento Principal</t>
        </is>
      </c>
      <c r="I458" s="13" t="inlineStr">
        <is>
          <t>CNPJ Credenciado MAPA/SIPEAGRO</t>
        </is>
      </c>
      <c r="J458" s="13" t="inlineStr">
        <is>
          <t>Registro Estadual Vigente</t>
        </is>
      </c>
      <c r="K458" s="13" t="inlineStr">
        <is>
          <t>Estabelecimento Credenciado no Brasil</t>
        </is>
      </c>
      <c r="L458" s="13" t="inlineStr">
        <is>
          <t>Brasil</t>
        </is>
      </c>
      <c r="M458" s="13" t="inlineStr">
        <is>
          <t>0 - Nacional / 1 - Importação Direta</t>
        </is>
      </c>
    </row>
    <row r="459" ht="22" customHeight="1">
      <c r="A459" s="6" t="inlineStr">
        <is>
          <t>EMP-0455</t>
        </is>
      </c>
      <c r="B459" s="5" t="n">
        <v>381</v>
      </c>
      <c r="C459" s="7" t="inlineStr">
        <is>
          <t>Nº 34018</t>
        </is>
      </c>
      <c r="D459" s="8" t="inlineStr">
        <is>
          <t>BIOLOGIC GUARD</t>
        </is>
      </c>
      <c r="E459" s="7" t="inlineStr">
        <is>
          <t>1. Titular do Registro / Produtor</t>
        </is>
      </c>
      <c r="F459" s="7" t="inlineStr">
        <is>
          <t>Produto Formulado Comercial</t>
        </is>
      </c>
      <c r="G459" s="7" t="inlineStr">
        <is>
          <t>BALLAGRO AGRO TECNOLOGIA LTDA.</t>
        </is>
      </c>
      <c r="H459" s="7" t="inlineStr">
        <is>
          <t>Matriz / Estabelecimento Principal</t>
        </is>
      </c>
      <c r="I459" s="7" t="inlineStr">
        <is>
          <t>CNPJ Credenciado MAPA/SIPEAGRO</t>
        </is>
      </c>
      <c r="J459" s="7" t="inlineStr">
        <is>
          <t>Registro Estadual Vigente</t>
        </is>
      </c>
      <c r="K459" s="7" t="inlineStr">
        <is>
          <t>Estabelecimento Credenciado no Brasil</t>
        </is>
      </c>
      <c r="L459" s="7" t="inlineStr">
        <is>
          <t>Brasil</t>
        </is>
      </c>
      <c r="M459" s="7" t="inlineStr">
        <is>
          <t>0 - Nacional / 1 - Importação Direta</t>
        </is>
      </c>
    </row>
    <row r="460" ht="22" customHeight="1">
      <c r="A460" s="12" t="inlineStr">
        <is>
          <t>EMP-0456</t>
        </is>
      </c>
      <c r="B460" s="11" t="n">
        <v>382</v>
      </c>
      <c r="C460" s="13" t="inlineStr">
        <is>
          <t>Nº 18022</t>
        </is>
      </c>
      <c r="D460" s="14" t="inlineStr">
        <is>
          <t>TARBOX</t>
        </is>
      </c>
      <c r="E460" s="13" t="inlineStr">
        <is>
          <t>1. Titular do Registro / Produtor</t>
        </is>
      </c>
      <c r="F460" s="13" t="inlineStr">
        <is>
          <t>Produto Formulado Comercial</t>
        </is>
      </c>
      <c r="G460" s="13" t="inlineStr">
        <is>
          <t>GLOBACHEM PROTEÇÃO DE CULTIVOS DO BRASIL LTDA.</t>
        </is>
      </c>
      <c r="H460" s="13" t="inlineStr">
        <is>
          <t>Matriz / Estabelecimento Principal</t>
        </is>
      </c>
      <c r="I460" s="13" t="inlineStr">
        <is>
          <t>CNPJ Credenciado MAPA/SIPEAGRO</t>
        </is>
      </c>
      <c r="J460" s="13" t="inlineStr">
        <is>
          <t>Registro Estadual Vigente</t>
        </is>
      </c>
      <c r="K460" s="13" t="inlineStr">
        <is>
          <t>Estabelecimento Credenciado no Brasil</t>
        </is>
      </c>
      <c r="L460" s="13" t="inlineStr">
        <is>
          <t>Brasil</t>
        </is>
      </c>
      <c r="M460" s="13" t="inlineStr">
        <is>
          <t>0 - Nacional / 1 - Importação Direta</t>
        </is>
      </c>
    </row>
    <row r="461" ht="22" customHeight="1">
      <c r="A461" s="6" t="inlineStr">
        <is>
          <t>EMP-0457</t>
        </is>
      </c>
      <c r="B461" s="5" t="n">
        <v>383</v>
      </c>
      <c r="C461" s="7" t="inlineStr">
        <is>
          <t>Nº 6922</t>
        </is>
      </c>
      <c r="D461" s="8" t="inlineStr">
        <is>
          <t>COFENRIN</t>
        </is>
      </c>
      <c r="E461" s="7" t="inlineStr">
        <is>
          <t>1. Titular do Registro / Produtor</t>
        </is>
      </c>
      <c r="F461" s="7" t="inlineStr">
        <is>
          <t>Produto Formulado Comercial</t>
        </is>
      </c>
      <c r="G461" s="7" t="inlineStr">
        <is>
          <t>RAINBOW DEFENSIVOS AGRÍCOLAS LTDA.</t>
        </is>
      </c>
      <c r="H461" s="7" t="inlineStr">
        <is>
          <t>Matriz / Estabelecimento Principal</t>
        </is>
      </c>
      <c r="I461" s="7" t="inlineStr">
        <is>
          <t>10.486.463/0001-69</t>
        </is>
      </c>
      <c r="J461" s="7" t="inlineStr">
        <is>
          <t>SEAPA/RS nº 1928/09</t>
        </is>
      </c>
      <c r="K461" s="7" t="inlineStr">
        <is>
          <t>Av. Carlos Gomes, 258, Salas 1103-1106, Boa Vista, Porto Alegre/RS - CEP 90480-000</t>
        </is>
      </c>
      <c r="L461" s="7" t="inlineStr">
        <is>
          <t>Brasil</t>
        </is>
      </c>
      <c r="M461" s="7" t="inlineStr">
        <is>
          <t>0 - Nacional / 1 - Importação Direta</t>
        </is>
      </c>
    </row>
    <row r="462" ht="22" customHeight="1">
      <c r="A462" s="12" t="inlineStr">
        <is>
          <t>EMP-0458</t>
        </is>
      </c>
      <c r="B462" s="11" t="n">
        <v>384</v>
      </c>
      <c r="C462" s="13" t="inlineStr">
        <is>
          <t>SIPEAGRO (UF-XXXXX)</t>
        </is>
      </c>
      <c r="D462" s="14" t="inlineStr">
        <is>
          <t>SSP FERTLIZANTE SIMPLES (VALIDAR FISCAL)</t>
        </is>
      </c>
      <c r="E462" s="13" t="inlineStr">
        <is>
          <t>1. Titular do Registro / Produtor</t>
        </is>
      </c>
      <c r="F462" s="13" t="inlineStr">
        <is>
          <t>Fertilizante Mineral / Organomineral</t>
        </is>
      </c>
      <c r="G462" s="13" t="inlineStr">
        <is>
          <t>Estabelecimento Produtor SIPEAGRO/MAPA</t>
        </is>
      </c>
      <c r="H462" s="13" t="inlineStr">
        <is>
          <t>Matriz / Estabelecimento Principal</t>
        </is>
      </c>
      <c r="I462" s="13" t="inlineStr">
        <is>
          <t>CNPJ Credenciado MAPA/SIPEAGRO</t>
        </is>
      </c>
      <c r="J462" s="13" t="inlineStr">
        <is>
          <t>Registro Estadual Vigente</t>
        </is>
      </c>
      <c r="K462" s="13" t="inlineStr">
        <is>
          <t>Estabelecimento Credenciado no Brasil</t>
        </is>
      </c>
      <c r="L462" s="13" t="inlineStr">
        <is>
          <t>Brasil</t>
        </is>
      </c>
      <c r="M462" s="13" t="inlineStr">
        <is>
          <t>0 - Nacional / 1 - Importação Direta</t>
        </is>
      </c>
    </row>
    <row r="463" ht="22" customHeight="1">
      <c r="A463" s="6" t="inlineStr">
        <is>
          <t>EMP-0459</t>
        </is>
      </c>
      <c r="B463" s="5" t="n">
        <v>385</v>
      </c>
      <c r="C463" s="7" t="inlineStr">
        <is>
          <t>SIPEAGRO (UF-XXXXX)</t>
        </is>
      </c>
      <c r="D463" s="8" t="inlineStr">
        <is>
          <t>MAP FERTLIZANTES SIMPLES</t>
        </is>
      </c>
      <c r="E463" s="7" t="inlineStr">
        <is>
          <t>1. Titular do Registro / Produtor</t>
        </is>
      </c>
      <c r="F463" s="7" t="inlineStr">
        <is>
          <t>Fertilizante Mineral / Organomineral</t>
        </is>
      </c>
      <c r="G463" s="7" t="inlineStr">
        <is>
          <t>Estabelecimento Produtor SIPEAGRO/MAPA</t>
        </is>
      </c>
      <c r="H463" s="7" t="inlineStr">
        <is>
          <t>Matriz / Estabelecimento Principal</t>
        </is>
      </c>
      <c r="I463" s="7" t="inlineStr">
        <is>
          <t>CNPJ Credenciado MAPA/SIPEAGRO</t>
        </is>
      </c>
      <c r="J463" s="7" t="inlineStr">
        <is>
          <t>Registro Estadual Vigente</t>
        </is>
      </c>
      <c r="K463" s="7" t="inlineStr">
        <is>
          <t>Estabelecimento Credenciado no Brasil</t>
        </is>
      </c>
      <c r="L463" s="7" t="inlineStr">
        <is>
          <t>Brasil</t>
        </is>
      </c>
      <c r="M463" s="7" t="inlineStr">
        <is>
          <t>0 - Nacional / 1 - Importação Direta</t>
        </is>
      </c>
    </row>
    <row r="464" ht="22" customHeight="1">
      <c r="A464" s="12" t="inlineStr">
        <is>
          <t>EMP-0460</t>
        </is>
      </c>
      <c r="B464" s="11" t="n">
        <v>386</v>
      </c>
      <c r="C464" s="13" t="inlineStr">
        <is>
          <t>SIPEAGRO (UF-XXXXX)</t>
        </is>
      </c>
      <c r="D464" s="14" t="inlineStr">
        <is>
          <t>VITA ACCION</t>
        </is>
      </c>
      <c r="E464" s="13" t="inlineStr">
        <is>
          <t>1. Titular do Registro / Produtor</t>
        </is>
      </c>
      <c r="F464" s="13" t="inlineStr">
        <is>
          <t>Fertilizante Mineral / Organomineral</t>
        </is>
      </c>
      <c r="G464" s="13" t="inlineStr">
        <is>
          <t>Estabelecimento Produtor SIPEAGRO/MAPA</t>
        </is>
      </c>
      <c r="H464" s="13" t="inlineStr">
        <is>
          <t>Matriz / Estabelecimento Principal</t>
        </is>
      </c>
      <c r="I464" s="13" t="inlineStr">
        <is>
          <t>CNPJ Credenciado MAPA/SIPEAGRO</t>
        </is>
      </c>
      <c r="J464" s="13" t="inlineStr">
        <is>
          <t>Registro Estadual Vigente</t>
        </is>
      </c>
      <c r="K464" s="13" t="inlineStr">
        <is>
          <t>Estabelecimento Credenciado no Brasil</t>
        </is>
      </c>
      <c r="L464" s="13" t="inlineStr">
        <is>
          <t>Brasil</t>
        </is>
      </c>
      <c r="M464" s="13" t="inlineStr">
        <is>
          <t>0 - Nacional / 1 - Importação Direta</t>
        </is>
      </c>
    </row>
    <row r="465" ht="22" customHeight="1">
      <c r="A465" s="6" t="inlineStr">
        <is>
          <t>EMP-0461</t>
        </is>
      </c>
      <c r="B465" s="5" t="n">
        <v>387</v>
      </c>
      <c r="C465" s="7" t="inlineStr">
        <is>
          <t>SIPEAGRO (UF-XXXXX)</t>
        </is>
      </c>
      <c r="D465" s="8" t="inlineStr">
        <is>
          <t>EFISOIL SUPERBIA</t>
        </is>
      </c>
      <c r="E465" s="7" t="inlineStr">
        <is>
          <t>1. Titular do Registro / Produtor</t>
        </is>
      </c>
      <c r="F465" s="7" t="inlineStr">
        <is>
          <t>Fertilizante Mineral / Organomineral</t>
        </is>
      </c>
      <c r="G465" s="7" t="inlineStr">
        <is>
          <t>Estabelecimento Produtor SIPEAGRO/MAPA</t>
        </is>
      </c>
      <c r="H465" s="7" t="inlineStr">
        <is>
          <t>Matriz / Estabelecimento Principal</t>
        </is>
      </c>
      <c r="I465" s="7" t="inlineStr">
        <is>
          <t>CNPJ Credenciado MAPA/SIPEAGRO</t>
        </is>
      </c>
      <c r="J465" s="7" t="inlineStr">
        <is>
          <t>Registro Estadual Vigente</t>
        </is>
      </c>
      <c r="K465" s="7" t="inlineStr">
        <is>
          <t>Estabelecimento Credenciado no Brasil</t>
        </is>
      </c>
      <c r="L465" s="7" t="inlineStr">
        <is>
          <t>Brasil</t>
        </is>
      </c>
      <c r="M465" s="7" t="inlineStr">
        <is>
          <t>0 - Nacional / 1 - Importação Direta</t>
        </is>
      </c>
    </row>
    <row r="466" ht="22" customHeight="1">
      <c r="A466" s="12" t="inlineStr">
        <is>
          <t>EMP-0462</t>
        </is>
      </c>
      <c r="B466" s="11" t="n">
        <v>388</v>
      </c>
      <c r="C466" s="13" t="inlineStr">
        <is>
          <t>SIPEAGRO (UF-XXXXX)</t>
        </is>
      </c>
      <c r="D466" s="14" t="inlineStr">
        <is>
          <t>EFISOIL SUPERBIA AZON</t>
        </is>
      </c>
      <c r="E466" s="13" t="inlineStr">
        <is>
          <t>1. Titular do Registro / Produtor</t>
        </is>
      </c>
      <c r="F466" s="13" t="inlineStr">
        <is>
          <t>Fertilizante Mineral / Organomineral</t>
        </is>
      </c>
      <c r="G466" s="13" t="inlineStr">
        <is>
          <t>Estabelecimento Produtor SIPEAGRO/MAPA</t>
        </is>
      </c>
      <c r="H466" s="13" t="inlineStr">
        <is>
          <t>Matriz / Estabelecimento Principal</t>
        </is>
      </c>
      <c r="I466" s="13" t="inlineStr">
        <is>
          <t>CNPJ Credenciado MAPA/SIPEAGRO</t>
        </is>
      </c>
      <c r="J466" s="13" t="inlineStr">
        <is>
          <t>Registro Estadual Vigente</t>
        </is>
      </c>
      <c r="K466" s="13" t="inlineStr">
        <is>
          <t>Estabelecimento Credenciado no Brasil</t>
        </is>
      </c>
      <c r="L466" s="13" t="inlineStr">
        <is>
          <t>Brasil</t>
        </is>
      </c>
      <c r="M466" s="13" t="inlineStr">
        <is>
          <t>0 - Nacional / 1 - Importação Direta</t>
        </is>
      </c>
    </row>
    <row r="467" ht="22" customHeight="1">
      <c r="A467" s="6" t="inlineStr">
        <is>
          <t>EMP-0463</t>
        </is>
      </c>
      <c r="B467" s="5" t="n">
        <v>389</v>
      </c>
      <c r="C467" s="7" t="inlineStr">
        <is>
          <t>SIPEAGRO (UF-XXXXX)</t>
        </is>
      </c>
      <c r="D467" s="8" t="inlineStr">
        <is>
          <t>FOSFORITA 25 FARELADO BAG</t>
        </is>
      </c>
      <c r="E467" s="7" t="inlineStr">
        <is>
          <t>1. Titular do Registro / Produtor</t>
        </is>
      </c>
      <c r="F467" s="7" t="inlineStr">
        <is>
          <t>Fertilizante Mineral / Organomineral</t>
        </is>
      </c>
      <c r="G467" s="7" t="inlineStr">
        <is>
          <t>Estabelecimento Produtor SIPEAGRO/MAPA</t>
        </is>
      </c>
      <c r="H467" s="7" t="inlineStr">
        <is>
          <t>Matriz / Estabelecimento Principal</t>
        </is>
      </c>
      <c r="I467" s="7" t="inlineStr">
        <is>
          <t>CNPJ Credenciado MAPA/SIPEAGRO</t>
        </is>
      </c>
      <c r="J467" s="7" t="inlineStr">
        <is>
          <t>Registro Estadual Vigente</t>
        </is>
      </c>
      <c r="K467" s="7" t="inlineStr">
        <is>
          <t>Estabelecimento Credenciado no Brasil</t>
        </is>
      </c>
      <c r="L467" s="7" t="inlineStr">
        <is>
          <t>Brasil</t>
        </is>
      </c>
      <c r="M467" s="7" t="inlineStr">
        <is>
          <t>0 - Nacional / 1 - Importação Direta</t>
        </is>
      </c>
    </row>
    <row r="468" ht="22" customHeight="1">
      <c r="A468" s="12" t="inlineStr">
        <is>
          <t>EMP-0464</t>
        </is>
      </c>
      <c r="B468" s="11" t="n">
        <v>390</v>
      </c>
      <c r="C468" s="13" t="inlineStr">
        <is>
          <t>SIPEAGRO (UF-XXXXX)</t>
        </is>
      </c>
      <c r="D468" s="14" t="inlineStr">
        <is>
          <t>HIPHOS 25 GR 00-25-00 BAG</t>
        </is>
      </c>
      <c r="E468" s="13" t="inlineStr">
        <is>
          <t>1. Titular do Registro / Produtor</t>
        </is>
      </c>
      <c r="F468" s="13" t="inlineStr">
        <is>
          <t>Fertilizante Mineral / Organomineral</t>
        </is>
      </c>
      <c r="G468" s="13" t="inlineStr">
        <is>
          <t>Estabelecimento Produtor SIPEAGRO/MAPA</t>
        </is>
      </c>
      <c r="H468" s="13" t="inlineStr">
        <is>
          <t>Matriz / Estabelecimento Principal</t>
        </is>
      </c>
      <c r="I468" s="13" t="inlineStr">
        <is>
          <t>CNPJ Credenciado MAPA/SIPEAGRO</t>
        </is>
      </c>
      <c r="J468" s="13" t="inlineStr">
        <is>
          <t>Registro Estadual Vigente</t>
        </is>
      </c>
      <c r="K468" s="13" t="inlineStr">
        <is>
          <t>Estabelecimento Credenciado no Brasil</t>
        </is>
      </c>
      <c r="L468" s="13" t="inlineStr">
        <is>
          <t>Brasil</t>
        </is>
      </c>
      <c r="M468" s="13" t="inlineStr">
        <is>
          <t>0 - Nacional / 1 - Importação Direta</t>
        </is>
      </c>
    </row>
    <row r="469" ht="22" customHeight="1">
      <c r="A469" s="6" t="inlineStr">
        <is>
          <t>EMP-0465</t>
        </is>
      </c>
      <c r="B469" s="5" t="n">
        <v>391</v>
      </c>
      <c r="C469" s="7" t="inlineStr">
        <is>
          <t>SIPEAGRO (UF-XXXXX)</t>
        </is>
      </c>
      <c r="D469" s="8" t="inlineStr">
        <is>
          <t>HIPHOS 28 GR 00-28-00 BAG</t>
        </is>
      </c>
      <c r="E469" s="7" t="inlineStr">
        <is>
          <t>1. Titular do Registro / Produtor</t>
        </is>
      </c>
      <c r="F469" s="7" t="inlineStr">
        <is>
          <t>Fertilizante Mineral / Organomineral</t>
        </is>
      </c>
      <c r="G469" s="7" t="inlineStr">
        <is>
          <t>Estabelecimento Produtor SIPEAGRO/MAPA</t>
        </is>
      </c>
      <c r="H469" s="7" t="inlineStr">
        <is>
          <t>Matriz / Estabelecimento Principal</t>
        </is>
      </c>
      <c r="I469" s="7" t="inlineStr">
        <is>
          <t>CNPJ Credenciado MAPA/SIPEAGRO</t>
        </is>
      </c>
      <c r="J469" s="7" t="inlineStr">
        <is>
          <t>Registro Estadual Vigente</t>
        </is>
      </c>
      <c r="K469" s="7" t="inlineStr">
        <is>
          <t>Estabelecimento Credenciado no Brasil</t>
        </is>
      </c>
      <c r="L469" s="7" t="inlineStr">
        <is>
          <t>Brasil</t>
        </is>
      </c>
      <c r="M469" s="7" t="inlineStr">
        <is>
          <t>0 - Nacional / 1 - Importação Direta</t>
        </is>
      </c>
    </row>
    <row r="470" ht="22" customHeight="1">
      <c r="A470" s="12" t="inlineStr">
        <is>
          <t>EMP-0466</t>
        </is>
      </c>
      <c r="B470" s="11" t="n">
        <v>392</v>
      </c>
      <c r="C470" s="13" t="inlineStr">
        <is>
          <t>SIPEAGRO (UF-XXXXX)</t>
        </is>
      </c>
      <c r="D470" s="14" t="inlineStr">
        <is>
          <t>HIPHOS 28 GR 00-28-00 BAG</t>
        </is>
      </c>
      <c r="E470" s="13" t="inlineStr">
        <is>
          <t>1. Titular do Registro / Produtor</t>
        </is>
      </c>
      <c r="F470" s="13" t="inlineStr">
        <is>
          <t>Fertilizante Mineral / Organomineral</t>
        </is>
      </c>
      <c r="G470" s="13" t="inlineStr">
        <is>
          <t>Estabelecimento Produtor SIPEAGRO/MAPA</t>
        </is>
      </c>
      <c r="H470" s="13" t="inlineStr">
        <is>
          <t>Matriz / Estabelecimento Principal</t>
        </is>
      </c>
      <c r="I470" s="13" t="inlineStr">
        <is>
          <t>CNPJ Credenciado MAPA/SIPEAGRO</t>
        </is>
      </c>
      <c r="J470" s="13" t="inlineStr">
        <is>
          <t>Registro Estadual Vigente</t>
        </is>
      </c>
      <c r="K470" s="13" t="inlineStr">
        <is>
          <t>Estabelecimento Credenciado no Brasil</t>
        </is>
      </c>
      <c r="L470" s="13" t="inlineStr">
        <is>
          <t>Brasil</t>
        </is>
      </c>
      <c r="M470" s="13" t="inlineStr">
        <is>
          <t>0 - Nacional / 1 - Importação Direta</t>
        </is>
      </c>
    </row>
    <row r="471" ht="22" customHeight="1">
      <c r="A471" s="6" t="inlineStr">
        <is>
          <t>EMP-0467</t>
        </is>
      </c>
      <c r="B471" s="5" t="n">
        <v>393</v>
      </c>
      <c r="C471" s="7" t="inlineStr">
        <is>
          <t>SIPEAGRO (UF-XXXXX)</t>
        </is>
      </c>
      <c r="D471" s="8" t="inlineStr">
        <is>
          <t>FNR BIOPHOS 25 GRANEL (VALIDAR)</t>
        </is>
      </c>
      <c r="E471" s="7" t="inlineStr">
        <is>
          <t>1. Titular do Registro / Produtor</t>
        </is>
      </c>
      <c r="F471" s="7" t="inlineStr">
        <is>
          <t>Corretivo / Condicionador de Solo</t>
        </is>
      </c>
      <c r="G471" s="7" t="inlineStr">
        <is>
          <t>Estabelecimento Produtor SIPEAGRO/MAPA</t>
        </is>
      </c>
      <c r="H471" s="7" t="inlineStr">
        <is>
          <t>Matriz / Estabelecimento Principal</t>
        </is>
      </c>
      <c r="I471" s="7" t="inlineStr">
        <is>
          <t>CNPJ Credenciado MAPA/SIPEAGRO</t>
        </is>
      </c>
      <c r="J471" s="7" t="inlineStr">
        <is>
          <t>Registro Estadual Vigente</t>
        </is>
      </c>
      <c r="K471" s="7" t="inlineStr">
        <is>
          <t>Estabelecimento Credenciado no Brasil</t>
        </is>
      </c>
      <c r="L471" s="7" t="inlineStr">
        <is>
          <t>Brasil</t>
        </is>
      </c>
      <c r="M471" s="7" t="inlineStr">
        <is>
          <t>0 - Nacional / 1 - Importação Direta</t>
        </is>
      </c>
    </row>
    <row r="472" ht="22" customHeight="1">
      <c r="A472" s="12" t="inlineStr">
        <is>
          <t>EMP-0468</t>
        </is>
      </c>
      <c r="B472" s="11" t="n">
        <v>394</v>
      </c>
      <c r="C472" s="13" t="inlineStr">
        <is>
          <t>SIPEAGRO (UF-XXXXX)</t>
        </is>
      </c>
      <c r="D472" s="14" t="inlineStr">
        <is>
          <t>UREIA 46-00-00  BAG 1.000 KG</t>
        </is>
      </c>
      <c r="E472" s="13" t="inlineStr">
        <is>
          <t>1. Titular do Registro / Produtor</t>
        </is>
      </c>
      <c r="F472" s="13" t="inlineStr">
        <is>
          <t>Fertilizante Mineral / Organomineral</t>
        </is>
      </c>
      <c r="G472" s="13" t="inlineStr">
        <is>
          <t>Estabelecimento Produtor SIPEAGRO/MAPA</t>
        </is>
      </c>
      <c r="H472" s="13" t="inlineStr">
        <is>
          <t>Matriz / Estabelecimento Principal</t>
        </is>
      </c>
      <c r="I472" s="13" t="inlineStr">
        <is>
          <t>CNPJ Credenciado MAPA/SIPEAGRO</t>
        </is>
      </c>
      <c r="J472" s="13" t="inlineStr">
        <is>
          <t>Registro Estadual Vigente</t>
        </is>
      </c>
      <c r="K472" s="13" t="inlineStr">
        <is>
          <t>Estabelecimento Credenciado no Brasil</t>
        </is>
      </c>
      <c r="L472" s="13" t="inlineStr">
        <is>
          <t>Brasil</t>
        </is>
      </c>
      <c r="M472" s="13" t="inlineStr">
        <is>
          <t>0 - Nacional / 1 - Importação Direta</t>
        </is>
      </c>
    </row>
    <row r="473" ht="22" customHeight="1">
      <c r="A473" s="6" t="inlineStr">
        <is>
          <t>EMP-0469</t>
        </is>
      </c>
      <c r="B473" s="5" t="n">
        <v>395</v>
      </c>
      <c r="C473" s="7" t="inlineStr">
        <is>
          <t>SIPEAGRO (UF-XXXXX)</t>
        </is>
      </c>
      <c r="D473" s="8" t="inlineStr">
        <is>
          <t>SULFATO DE AMONIO GR (IMP) (VALIDAR)</t>
        </is>
      </c>
      <c r="E473" s="7" t="inlineStr">
        <is>
          <t>1. Titular do Registro / Produtor</t>
        </is>
      </c>
      <c r="F473" s="7" t="inlineStr">
        <is>
          <t>Fertilizante Mineral / Organomineral</t>
        </is>
      </c>
      <c r="G473" s="7" t="inlineStr">
        <is>
          <t>Estabelecimento Produtor SIPEAGRO/MAPA</t>
        </is>
      </c>
      <c r="H473" s="7" t="inlineStr">
        <is>
          <t>Matriz / Estabelecimento Principal</t>
        </is>
      </c>
      <c r="I473" s="7" t="inlineStr">
        <is>
          <t>CNPJ Credenciado MAPA/SIPEAGRO</t>
        </is>
      </c>
      <c r="J473" s="7" t="inlineStr">
        <is>
          <t>Registro Estadual Vigente</t>
        </is>
      </c>
      <c r="K473" s="7" t="inlineStr">
        <is>
          <t>Estabelecimento Credenciado no Brasil</t>
        </is>
      </c>
      <c r="L473" s="7" t="inlineStr">
        <is>
          <t>Brasil</t>
        </is>
      </c>
      <c r="M473" s="7" t="inlineStr">
        <is>
          <t>0 - Nacional / 1 - Importação Direta</t>
        </is>
      </c>
    </row>
    <row r="474" ht="22" customHeight="1">
      <c r="A474" s="12" t="inlineStr">
        <is>
          <t>EMP-0470</t>
        </is>
      </c>
      <c r="B474" s="11" t="n">
        <v>396</v>
      </c>
      <c r="C474" s="13" t="inlineStr">
        <is>
          <t>SIPEAGRO (UF-XXXXX)</t>
        </is>
      </c>
      <c r="D474" s="14" t="inlineStr">
        <is>
          <t>SULFATO DE AMONIO STD GRANEL (VALIDAR)</t>
        </is>
      </c>
      <c r="E474" s="13" t="inlineStr">
        <is>
          <t>1. Titular do Registro / Produtor</t>
        </is>
      </c>
      <c r="F474" s="13" t="inlineStr">
        <is>
          <t>Fertilizante Mineral / Organomineral</t>
        </is>
      </c>
      <c r="G474" s="13" t="inlineStr">
        <is>
          <t>Estabelecimento Produtor SIPEAGRO/MAPA</t>
        </is>
      </c>
      <c r="H474" s="13" t="inlineStr">
        <is>
          <t>Matriz / Estabelecimento Principal</t>
        </is>
      </c>
      <c r="I474" s="13" t="inlineStr">
        <is>
          <t>CNPJ Credenciado MAPA/SIPEAGRO</t>
        </is>
      </c>
      <c r="J474" s="13" t="inlineStr">
        <is>
          <t>Registro Estadual Vigente</t>
        </is>
      </c>
      <c r="K474" s="13" t="inlineStr">
        <is>
          <t>Estabelecimento Credenciado no Brasil</t>
        </is>
      </c>
      <c r="L474" s="13" t="inlineStr">
        <is>
          <t>Brasil</t>
        </is>
      </c>
      <c r="M474" s="13" t="inlineStr">
        <is>
          <t>0 - Nacional / 1 - Importação Direta</t>
        </is>
      </c>
    </row>
    <row r="475" ht="22" customHeight="1">
      <c r="A475" s="6" t="inlineStr">
        <is>
          <t>EMP-0471</t>
        </is>
      </c>
      <c r="B475" s="5" t="n">
        <v>397</v>
      </c>
      <c r="C475" s="7" t="inlineStr">
        <is>
          <t>SIPEAGRO (UF-XXXXX)</t>
        </is>
      </c>
      <c r="D475" s="8" t="inlineStr">
        <is>
          <t>HIPHOS 19 FARELADO BAG</t>
        </is>
      </c>
      <c r="E475" s="7" t="inlineStr">
        <is>
          <t>1. Titular do Registro / Produtor</t>
        </is>
      </c>
      <c r="F475" s="7" t="inlineStr">
        <is>
          <t>Fertilizante Mineral / Organomineral</t>
        </is>
      </c>
      <c r="G475" s="7" t="inlineStr">
        <is>
          <t>Estabelecimento Produtor SIPEAGRO/MAPA</t>
        </is>
      </c>
      <c r="H475" s="7" t="inlineStr">
        <is>
          <t>Matriz / Estabelecimento Principal</t>
        </is>
      </c>
      <c r="I475" s="7" t="inlineStr">
        <is>
          <t>CNPJ Credenciado MAPA/SIPEAGRO</t>
        </is>
      </c>
      <c r="J475" s="7" t="inlineStr">
        <is>
          <t>Registro Estadual Vigente</t>
        </is>
      </c>
      <c r="K475" s="7" t="inlineStr">
        <is>
          <t>Estabelecimento Credenciado no Brasil</t>
        </is>
      </c>
      <c r="L475" s="7" t="inlineStr">
        <is>
          <t>Brasil</t>
        </is>
      </c>
      <c r="M475" s="7" t="inlineStr">
        <is>
          <t>0 - Nacional / 1 - Importação Direta</t>
        </is>
      </c>
    </row>
    <row r="476" ht="22" customHeight="1">
      <c r="A476" s="12" t="inlineStr">
        <is>
          <t>EMP-0472</t>
        </is>
      </c>
      <c r="B476" s="11" t="n">
        <v>398</v>
      </c>
      <c r="C476" s="13" t="inlineStr">
        <is>
          <t>SIPEAGRO (UF-XXXXX)</t>
        </is>
      </c>
      <c r="D476" s="14" t="inlineStr">
        <is>
          <t>HIPHOS 02-20-00 17%CA 1,5%MG 6%S</t>
        </is>
      </c>
      <c r="E476" s="13" t="inlineStr">
        <is>
          <t>1. Titular do Registro / Produtor</t>
        </is>
      </c>
      <c r="F476" s="13" t="inlineStr">
        <is>
          <t>Fertilizante Mineral / Organomineral</t>
        </is>
      </c>
      <c r="G476" s="13" t="inlineStr">
        <is>
          <t>Estabelecimento Produtor SIPEAGRO/MAPA</t>
        </is>
      </c>
      <c r="H476" s="13" t="inlineStr">
        <is>
          <t>Matriz / Estabelecimento Principal</t>
        </is>
      </c>
      <c r="I476" s="13" t="inlineStr">
        <is>
          <t>CNPJ Credenciado MAPA/SIPEAGRO</t>
        </is>
      </c>
      <c r="J476" s="13" t="inlineStr">
        <is>
          <t>Registro Estadual Vigente</t>
        </is>
      </c>
      <c r="K476" s="13" t="inlineStr">
        <is>
          <t>Estabelecimento Credenciado no Brasil</t>
        </is>
      </c>
      <c r="L476" s="13" t="inlineStr">
        <is>
          <t>Brasil</t>
        </is>
      </c>
      <c r="M476" s="13" t="inlineStr">
        <is>
          <t>0 - Nacional / 1 - Importação Direta</t>
        </is>
      </c>
    </row>
    <row r="477" ht="22" customHeight="1">
      <c r="A477" s="6" t="inlineStr">
        <is>
          <t>EMP-0473</t>
        </is>
      </c>
      <c r="B477" s="5" t="n">
        <v>399</v>
      </c>
      <c r="C477" s="7" t="inlineStr">
        <is>
          <t>SIPEAGRO (UF-XXXXX)</t>
        </is>
      </c>
      <c r="D477" s="8" t="inlineStr">
        <is>
          <t>HIPHOS NPK 02-19-19 10%CA 0,50%MG</t>
        </is>
      </c>
      <c r="E477" s="7" t="inlineStr">
        <is>
          <t>1. Titular do Registro / Produtor</t>
        </is>
      </c>
      <c r="F477" s="7" t="inlineStr">
        <is>
          <t>Fertilizante Mineral / Organomineral</t>
        </is>
      </c>
      <c r="G477" s="7" t="inlineStr">
        <is>
          <t>Estabelecimento Produtor SIPEAGRO/MAPA</t>
        </is>
      </c>
      <c r="H477" s="7" t="inlineStr">
        <is>
          <t>Matriz / Estabelecimento Principal</t>
        </is>
      </c>
      <c r="I477" s="7" t="inlineStr">
        <is>
          <t>CNPJ Credenciado MAPA/SIPEAGRO</t>
        </is>
      </c>
      <c r="J477" s="7" t="inlineStr">
        <is>
          <t>Registro Estadual Vigente</t>
        </is>
      </c>
      <c r="K477" s="7" t="inlineStr">
        <is>
          <t>Estabelecimento Credenciado no Brasil</t>
        </is>
      </c>
      <c r="L477" s="7" t="inlineStr">
        <is>
          <t>Brasil</t>
        </is>
      </c>
      <c r="M477" s="7" t="inlineStr">
        <is>
          <t>0 - Nacional / 1 - Importação Direta</t>
        </is>
      </c>
    </row>
    <row r="478" ht="22" customHeight="1">
      <c r="A478" s="12" t="inlineStr">
        <is>
          <t>EMP-0474</t>
        </is>
      </c>
      <c r="B478" s="11" t="n">
        <v>400</v>
      </c>
      <c r="C478" s="13" t="inlineStr">
        <is>
          <t>SIPEAGRO (UF-XXXXX)</t>
        </is>
      </c>
      <c r="D478" s="14" t="inlineStr">
        <is>
          <t>HIPHOS NPK 02-21-05 15%CA 0,8%MG</t>
        </is>
      </c>
      <c r="E478" s="13" t="inlineStr">
        <is>
          <t>1. Titular do Registro / Produtor</t>
        </is>
      </c>
      <c r="F478" s="13" t="inlineStr">
        <is>
          <t>Fertilizante Mineral / Organomineral</t>
        </is>
      </c>
      <c r="G478" s="13" t="inlineStr">
        <is>
          <t>Estabelecimento Produtor SIPEAGRO/MAPA</t>
        </is>
      </c>
      <c r="H478" s="13" t="inlineStr">
        <is>
          <t>Matriz / Estabelecimento Principal</t>
        </is>
      </c>
      <c r="I478" s="13" t="inlineStr">
        <is>
          <t>CNPJ Credenciado MAPA/SIPEAGRO</t>
        </is>
      </c>
      <c r="J478" s="13" t="inlineStr">
        <is>
          <t>Registro Estadual Vigente</t>
        </is>
      </c>
      <c r="K478" s="13" t="inlineStr">
        <is>
          <t>Estabelecimento Credenciado no Brasil</t>
        </is>
      </c>
      <c r="L478" s="13" t="inlineStr">
        <is>
          <t>Brasil</t>
        </is>
      </c>
      <c r="M478" s="13" t="inlineStr">
        <is>
          <t>0 - Nacional / 1 - Importação Direta</t>
        </is>
      </c>
    </row>
    <row r="479" ht="22" customHeight="1">
      <c r="A479" s="6" t="inlineStr">
        <is>
          <t>EMP-0475</t>
        </is>
      </c>
      <c r="B479" s="5" t="n">
        <v>401</v>
      </c>
      <c r="C479" s="7" t="inlineStr">
        <is>
          <t>SIPEAGRO (UF-XXXXX)</t>
        </is>
      </c>
      <c r="D479" s="8" t="inlineStr">
        <is>
          <t>HIPHOS NPK 04-31-06 10%CA 0,30%MG</t>
        </is>
      </c>
      <c r="E479" s="7" t="inlineStr">
        <is>
          <t>1. Titular do Registro / Produtor</t>
        </is>
      </c>
      <c r="F479" s="7" t="inlineStr">
        <is>
          <t>Fertilizante Mineral / Organomineral</t>
        </is>
      </c>
      <c r="G479" s="7" t="inlineStr">
        <is>
          <t>Estabelecimento Produtor SIPEAGRO/MAPA</t>
        </is>
      </c>
      <c r="H479" s="7" t="inlineStr">
        <is>
          <t>Matriz / Estabelecimento Principal</t>
        </is>
      </c>
      <c r="I479" s="7" t="inlineStr">
        <is>
          <t>CNPJ Credenciado MAPA/SIPEAGRO</t>
        </is>
      </c>
      <c r="J479" s="7" t="inlineStr">
        <is>
          <t>Registro Estadual Vigente</t>
        </is>
      </c>
      <c r="K479" s="7" t="inlineStr">
        <is>
          <t>Estabelecimento Credenciado no Brasil</t>
        </is>
      </c>
      <c r="L479" s="7" t="inlineStr">
        <is>
          <t>Brasil</t>
        </is>
      </c>
      <c r="M479" s="7" t="inlineStr">
        <is>
          <t>0 - Nacional / 1 - Importação Direta</t>
        </is>
      </c>
    </row>
    <row r="480" ht="22" customHeight="1">
      <c r="A480" s="12" t="inlineStr">
        <is>
          <t>EMP-0476</t>
        </is>
      </c>
      <c r="B480" s="11" t="n">
        <v>402</v>
      </c>
      <c r="C480" s="13" t="inlineStr">
        <is>
          <t>SIPEAGRO (UF-XXXXX)</t>
        </is>
      </c>
      <c r="D480" s="14" t="inlineStr">
        <is>
          <t>HIPHOS NPK 05-28-08 7%CA 0,25%MG</t>
        </is>
      </c>
      <c r="E480" s="13" t="inlineStr">
        <is>
          <t>1. Titular do Registro / Produtor</t>
        </is>
      </c>
      <c r="F480" s="13" t="inlineStr">
        <is>
          <t>Fertilizante Mineral / Organomineral</t>
        </is>
      </c>
      <c r="G480" s="13" t="inlineStr">
        <is>
          <t>Estabelecimento Produtor SIPEAGRO/MAPA</t>
        </is>
      </c>
      <c r="H480" s="13" t="inlineStr">
        <is>
          <t>Matriz / Estabelecimento Principal</t>
        </is>
      </c>
      <c r="I480" s="13" t="inlineStr">
        <is>
          <t>CNPJ Credenciado MAPA/SIPEAGRO</t>
        </is>
      </c>
      <c r="J480" s="13" t="inlineStr">
        <is>
          <t>Registro Estadual Vigente</t>
        </is>
      </c>
      <c r="K480" s="13" t="inlineStr">
        <is>
          <t>Estabelecimento Credenciado no Brasil</t>
        </is>
      </c>
      <c r="L480" s="13" t="inlineStr">
        <is>
          <t>Brasil</t>
        </is>
      </c>
      <c r="M480" s="13" t="inlineStr">
        <is>
          <t>0 - Nacional / 1 - Importação Direta</t>
        </is>
      </c>
    </row>
    <row r="481" ht="22" customHeight="1">
      <c r="A481" s="6" t="inlineStr">
        <is>
          <t>EMP-0477</t>
        </is>
      </c>
      <c r="B481" s="5" t="n">
        <v>403</v>
      </c>
      <c r="C481" s="7" t="inlineStr">
        <is>
          <t>SIPEAGRO (UF-XXXXX)</t>
        </is>
      </c>
      <c r="D481" s="8" t="inlineStr">
        <is>
          <t>HIPHOS NPK 07-15-15 8%CA 0,5%MG BG1000 KG (VALIDAR</t>
        </is>
      </c>
      <c r="E481" s="7" t="inlineStr">
        <is>
          <t>1. Titular do Registro / Produtor</t>
        </is>
      </c>
      <c r="F481" s="7" t="inlineStr">
        <is>
          <t>Fertilizante Mineral / Organomineral</t>
        </is>
      </c>
      <c r="G481" s="7" t="inlineStr">
        <is>
          <t>Estabelecimento Produtor SIPEAGRO/MAPA</t>
        </is>
      </c>
      <c r="H481" s="7" t="inlineStr">
        <is>
          <t>Matriz / Estabelecimento Principal</t>
        </is>
      </c>
      <c r="I481" s="7" t="inlineStr">
        <is>
          <t>CNPJ Credenciado MAPA/SIPEAGRO</t>
        </is>
      </c>
      <c r="J481" s="7" t="inlineStr">
        <is>
          <t>Registro Estadual Vigente</t>
        </is>
      </c>
      <c r="K481" s="7" t="inlineStr">
        <is>
          <t>Estabelecimento Credenciado no Brasil</t>
        </is>
      </c>
      <c r="L481" s="7" t="inlineStr">
        <is>
          <t>Brasil</t>
        </is>
      </c>
      <c r="M481" s="7" t="inlineStr">
        <is>
          <t>0 - Nacional / 1 - Importação Direta</t>
        </is>
      </c>
    </row>
    <row r="482" ht="22" customHeight="1">
      <c r="A482" s="12" t="inlineStr">
        <is>
          <t>EMP-0478</t>
        </is>
      </c>
      <c r="B482" s="11" t="n">
        <v>404</v>
      </c>
      <c r="C482" s="13" t="inlineStr">
        <is>
          <t>SIPEAGRO (UF-XXXXX)</t>
        </is>
      </c>
      <c r="D482" s="14" t="inlineStr">
        <is>
          <t>HIPHOS NPK 09-14-14 5%CA 7%S BG1000 KG (VALIDAR</t>
        </is>
      </c>
      <c r="E482" s="13" t="inlineStr">
        <is>
          <t>1. Titular do Registro / Produtor</t>
        </is>
      </c>
      <c r="F482" s="13" t="inlineStr">
        <is>
          <t>Fertilizante Mineral / Organomineral</t>
        </is>
      </c>
      <c r="G482" s="13" t="inlineStr">
        <is>
          <t>Estabelecimento Produtor SIPEAGRO/MAPA</t>
        </is>
      </c>
      <c r="H482" s="13" t="inlineStr">
        <is>
          <t>Matriz / Estabelecimento Principal</t>
        </is>
      </c>
      <c r="I482" s="13" t="inlineStr">
        <is>
          <t>CNPJ Credenciado MAPA/SIPEAGRO</t>
        </is>
      </c>
      <c r="J482" s="13" t="inlineStr">
        <is>
          <t>Registro Estadual Vigente</t>
        </is>
      </c>
      <c r="K482" s="13" t="inlineStr">
        <is>
          <t>Estabelecimento Credenciado no Brasil</t>
        </is>
      </c>
      <c r="L482" s="13" t="inlineStr">
        <is>
          <t>Brasil</t>
        </is>
      </c>
      <c r="M482" s="13" t="inlineStr">
        <is>
          <t>0 - Nacional / 1 - Importação Direta</t>
        </is>
      </c>
    </row>
    <row r="483" ht="22" customHeight="1">
      <c r="A483" s="6" t="inlineStr">
        <is>
          <t>EMP-0479</t>
        </is>
      </c>
      <c r="B483" s="5" t="n">
        <v>405</v>
      </c>
      <c r="C483" s="7" t="inlineStr">
        <is>
          <t>SIPEAGRO (UF-XXXXX)</t>
        </is>
      </c>
      <c r="D483" s="8" t="inlineStr">
        <is>
          <t>CLORETO POTÁSSIO 60% GR (IMP) KG (VALIDAR)</t>
        </is>
      </c>
      <c r="E483" s="7" t="inlineStr">
        <is>
          <t>1. Titular do Registro / Produtor</t>
        </is>
      </c>
      <c r="F483" s="7" t="inlineStr">
        <is>
          <t>Fertilizante Mineral / Organomineral</t>
        </is>
      </c>
      <c r="G483" s="7" t="inlineStr">
        <is>
          <t>Estabelecimento Produtor SIPEAGRO/MAPA</t>
        </is>
      </c>
      <c r="H483" s="7" t="inlineStr">
        <is>
          <t>Matriz / Estabelecimento Principal</t>
        </is>
      </c>
      <c r="I483" s="7" t="inlineStr">
        <is>
          <t>CNPJ Credenciado MAPA/SIPEAGRO</t>
        </is>
      </c>
      <c r="J483" s="7" t="inlineStr">
        <is>
          <t>Registro Estadual Vigente</t>
        </is>
      </c>
      <c r="K483" s="7" t="inlineStr">
        <is>
          <t>Estabelecimento Credenciado no Brasil</t>
        </is>
      </c>
      <c r="L483" s="7" t="inlineStr">
        <is>
          <t>Brasil</t>
        </is>
      </c>
      <c r="M483" s="7" t="inlineStr">
        <is>
          <t>0 - Nacional / 1 - Importação Direta</t>
        </is>
      </c>
    </row>
    <row r="484" ht="22" customHeight="1">
      <c r="A484" s="12" t="inlineStr">
        <is>
          <t>EMP-0480</t>
        </is>
      </c>
      <c r="B484" s="11" t="n">
        <v>406</v>
      </c>
      <c r="C484" s="13" t="inlineStr">
        <is>
          <t>SIPEAGRO (UF-XXXXX)</t>
        </is>
      </c>
      <c r="D484" s="14" t="inlineStr">
        <is>
          <t>CLORETO DE POTÁSSIO STD 62% GRANEL KG (VALIDAR)</t>
        </is>
      </c>
      <c r="E484" s="13" t="inlineStr">
        <is>
          <t>1. Titular do Registro / Produtor</t>
        </is>
      </c>
      <c r="F484" s="13" t="inlineStr">
        <is>
          <t>Fertilizante Mineral / Organomineral</t>
        </is>
      </c>
      <c r="G484" s="13" t="inlineStr">
        <is>
          <t>Estabelecimento Produtor SIPEAGRO/MAPA</t>
        </is>
      </c>
      <c r="H484" s="13" t="inlineStr">
        <is>
          <t>Matriz / Estabelecimento Principal</t>
        </is>
      </c>
      <c r="I484" s="13" t="inlineStr">
        <is>
          <t>CNPJ Credenciado MAPA/SIPEAGRO</t>
        </is>
      </c>
      <c r="J484" s="13" t="inlineStr">
        <is>
          <t>Registro Estadual Vigente</t>
        </is>
      </c>
      <c r="K484" s="13" t="inlineStr">
        <is>
          <t>Estabelecimento Credenciado no Brasil</t>
        </is>
      </c>
      <c r="L484" s="13" t="inlineStr">
        <is>
          <t>Brasil</t>
        </is>
      </c>
      <c r="M484" s="13" t="inlineStr">
        <is>
          <t>0 - Nacional / 1 - Importação Direta</t>
        </is>
      </c>
    </row>
    <row r="485" ht="22" customHeight="1">
      <c r="A485" s="6" t="inlineStr">
        <is>
          <t>EMP-0481</t>
        </is>
      </c>
      <c r="B485" s="5" t="n">
        <v>407</v>
      </c>
      <c r="C485" s="7" t="inlineStr">
        <is>
          <t>SIPEAGRO (UF-XXXXX)</t>
        </is>
      </c>
      <c r="D485" s="8" t="inlineStr">
        <is>
          <t>KCL-60%K2O-GRANULADO-FERT.MINERAL SIMPLES - AUTEM</t>
        </is>
      </c>
      <c r="E485" s="7" t="inlineStr">
        <is>
          <t>1. Titular do Registro / Produtor</t>
        </is>
      </c>
      <c r="F485" s="7" t="inlineStr">
        <is>
          <t>Fertilizante Mineral / Organomineral</t>
        </is>
      </c>
      <c r="G485" s="7" t="inlineStr">
        <is>
          <t>Estabelecimento Produtor SIPEAGRO/MAPA</t>
        </is>
      </c>
      <c r="H485" s="7" t="inlineStr">
        <is>
          <t>Matriz / Estabelecimento Principal</t>
        </is>
      </c>
      <c r="I485" s="7" t="inlineStr">
        <is>
          <t>CNPJ Credenciado MAPA/SIPEAGRO</t>
        </is>
      </c>
      <c r="J485" s="7" t="inlineStr">
        <is>
          <t>Registro Estadual Vigente</t>
        </is>
      </c>
      <c r="K485" s="7" t="inlineStr">
        <is>
          <t>Estabelecimento Credenciado no Brasil</t>
        </is>
      </c>
      <c r="L485" s="7" t="inlineStr">
        <is>
          <t>Brasil</t>
        </is>
      </c>
      <c r="M485" s="7" t="inlineStr">
        <is>
          <t>0 - Nacional / 1 - Importação Direta</t>
        </is>
      </c>
    </row>
    <row r="486" ht="22" customHeight="1">
      <c r="A486" s="12" t="inlineStr">
        <is>
          <t>EMP-0482</t>
        </is>
      </c>
      <c r="B486" s="11" t="n">
        <v>408</v>
      </c>
      <c r="C486" s="13" t="inlineStr">
        <is>
          <t>SIPEAGRO (UF-XXXXX)</t>
        </is>
      </c>
      <c r="D486" s="14" t="inlineStr">
        <is>
          <t>MAP 12-52-00 GR GRANEL KG (VALIDAR)</t>
        </is>
      </c>
      <c r="E486" s="13" t="inlineStr">
        <is>
          <t>1. Titular do Registro / Produtor</t>
        </is>
      </c>
      <c r="F486" s="13" t="inlineStr">
        <is>
          <t>Fertilizante Mineral / Organomineral</t>
        </is>
      </c>
      <c r="G486" s="13" t="inlineStr">
        <is>
          <t>Estabelecimento Produtor SIPEAGRO/MAPA</t>
        </is>
      </c>
      <c r="H486" s="13" t="inlineStr">
        <is>
          <t>Matriz / Estabelecimento Principal</t>
        </is>
      </c>
      <c r="I486" s="13" t="inlineStr">
        <is>
          <t>CNPJ Credenciado MAPA/SIPEAGRO</t>
        </is>
      </c>
      <c r="J486" s="13" t="inlineStr">
        <is>
          <t>Registro Estadual Vigente</t>
        </is>
      </c>
      <c r="K486" s="13" t="inlineStr">
        <is>
          <t>Estabelecimento Credenciado no Brasil</t>
        </is>
      </c>
      <c r="L486" s="13" t="inlineStr">
        <is>
          <t>Brasil</t>
        </is>
      </c>
      <c r="M486" s="13" t="inlineStr">
        <is>
          <t>0 - Nacional / 1 - Importação Direta</t>
        </is>
      </c>
    </row>
    <row r="487" ht="22" customHeight="1">
      <c r="A487" s="6" t="inlineStr">
        <is>
          <t>EMP-0483</t>
        </is>
      </c>
      <c r="B487" s="5" t="n">
        <v>409</v>
      </c>
      <c r="C487" s="7" t="inlineStr">
        <is>
          <t>SIPEAGRO (UF-XXXXX)</t>
        </is>
      </c>
      <c r="D487" s="8" t="inlineStr">
        <is>
          <t>FERTLIZANTE FOSFATADO 10.45.00 GRANULADO KG</t>
        </is>
      </c>
      <c r="E487" s="7" t="inlineStr">
        <is>
          <t>1. Titular do Registro / Produtor</t>
        </is>
      </c>
      <c r="F487" s="7" t="inlineStr">
        <is>
          <t>Fertilizante Mineral / Organomineral</t>
        </is>
      </c>
      <c r="G487" s="7" t="inlineStr">
        <is>
          <t>Estabelecimento Produtor SIPEAGRO/MAPA</t>
        </is>
      </c>
      <c r="H487" s="7" t="inlineStr">
        <is>
          <t>Matriz / Estabelecimento Principal</t>
        </is>
      </c>
      <c r="I487" s="7" t="inlineStr">
        <is>
          <t>CNPJ Credenciado MAPA/SIPEAGRO</t>
        </is>
      </c>
      <c r="J487" s="7" t="inlineStr">
        <is>
          <t>Registro Estadual Vigente</t>
        </is>
      </c>
      <c r="K487" s="7" t="inlineStr">
        <is>
          <t>Estabelecimento Credenciado no Brasil</t>
        </is>
      </c>
      <c r="L487" s="7" t="inlineStr">
        <is>
          <t>Brasil</t>
        </is>
      </c>
      <c r="M487" s="7" t="inlineStr">
        <is>
          <t>0 - Nacional / 1 - Importação Direta</t>
        </is>
      </c>
    </row>
    <row r="488" ht="22" customHeight="1">
      <c r="A488" s="12" t="inlineStr">
        <is>
          <t>EMP-0484</t>
        </is>
      </c>
      <c r="B488" s="11" t="n">
        <v>410</v>
      </c>
      <c r="C488" s="13" t="inlineStr">
        <is>
          <t>SIPEAGRO (UF-XXXXX)</t>
        </is>
      </c>
      <c r="D488" s="14" t="inlineStr">
        <is>
          <t>RANKING MANGANES</t>
        </is>
      </c>
      <c r="E488" s="13" t="inlineStr">
        <is>
          <t>1. Titular do Registro / Produtor</t>
        </is>
      </c>
      <c r="F488" s="13" t="inlineStr">
        <is>
          <t>Fertilizante Mineral / Organomineral</t>
        </is>
      </c>
      <c r="G488" s="13" t="inlineStr">
        <is>
          <t>Estabelecimento Produtor SIPEAGRO/MAPA</t>
        </is>
      </c>
      <c r="H488" s="13" t="inlineStr">
        <is>
          <t>Matriz / Estabelecimento Principal</t>
        </is>
      </c>
      <c r="I488" s="13" t="inlineStr">
        <is>
          <t>CNPJ Credenciado MAPA/SIPEAGRO</t>
        </is>
      </c>
      <c r="J488" s="13" t="inlineStr">
        <is>
          <t>Registro Estadual Vigente</t>
        </is>
      </c>
      <c r="K488" s="13" t="inlineStr">
        <is>
          <t>Estabelecimento Credenciado no Brasil</t>
        </is>
      </c>
      <c r="L488" s="13" t="inlineStr">
        <is>
          <t>Brasil</t>
        </is>
      </c>
      <c r="M488" s="13" t="inlineStr">
        <is>
          <t>0 - Nacional / 1 - Importação Direta</t>
        </is>
      </c>
    </row>
    <row r="489" ht="22" customHeight="1">
      <c r="A489" s="6" t="inlineStr">
        <is>
          <t>EMP-0485</t>
        </is>
      </c>
      <c r="B489" s="5" t="n">
        <v>411</v>
      </c>
      <c r="C489" s="7" t="inlineStr">
        <is>
          <t>VINCULAR MARCA</t>
        </is>
      </c>
      <c r="D489" s="8" t="inlineStr">
        <is>
          <t>CLORPIRIFOS 480 (PRINCIPIO ATIVO)</t>
        </is>
      </c>
      <c r="E489" s="7" t="inlineStr">
        <is>
          <t>1. Titular do Registro / Produtor</t>
        </is>
      </c>
      <c r="F489" s="7" t="inlineStr">
        <is>
          <t>Produto Técnico Industrial</t>
        </is>
      </c>
      <c r="G489" s="7" t="inlineStr">
        <is>
          <t>ADAMA BRASIL S/A / GHARDA CHEMICALS LIMITED</t>
        </is>
      </c>
      <c r="H489" s="7" t="inlineStr">
        <is>
          <t>Matriz / Estabelecimento Principal</t>
        </is>
      </c>
      <c r="I489" s="7" t="inlineStr">
        <is>
          <t>CNPJ Credenciado MAPA/SIPEAGRO</t>
        </is>
      </c>
      <c r="J489" s="7" t="inlineStr">
        <is>
          <t>Registro Estadual Vigente</t>
        </is>
      </c>
      <c r="K489" s="7" t="inlineStr">
        <is>
          <t>Estabelecimento Credenciado no Brasil</t>
        </is>
      </c>
      <c r="L489" s="7" t="inlineStr">
        <is>
          <t>Brasil</t>
        </is>
      </c>
      <c r="M489" s="7" t="inlineStr">
        <is>
          <t>0 - Nacional / 1 - Importação Direta</t>
        </is>
      </c>
    </row>
    <row r="490" ht="22" customHeight="1">
      <c r="A490" s="12" t="inlineStr">
        <is>
          <t>EMP-0486</t>
        </is>
      </c>
      <c r="B490" s="11" t="n">
        <v>412</v>
      </c>
      <c r="C490" s="13" t="inlineStr">
        <is>
          <t>VINCULAR MARCA</t>
        </is>
      </c>
      <c r="D490" s="14" t="inlineStr">
        <is>
          <t>CLOROTAL. 580 + CIPRO 12,8 + TRIFLOXIS. 30 (P. A.)</t>
        </is>
      </c>
      <c r="E490" s="13" t="inlineStr">
        <is>
          <t>1. Titular do Registro / Produtor</t>
        </is>
      </c>
      <c r="F490" s="13" t="inlineStr">
        <is>
          <t>Produto Técnico Industrial</t>
        </is>
      </c>
      <c r="G490" s="13" t="inlineStr">
        <is>
          <t>GLOBACHEM PROTEÇÃO DE CULTIVOS DO BRASIL LTDA.</t>
        </is>
      </c>
      <c r="H490" s="13" t="inlineStr">
        <is>
          <t>Matriz / Estabelecimento Principal</t>
        </is>
      </c>
      <c r="I490" s="13" t="inlineStr">
        <is>
          <t>CNPJ Credenciado MAPA/SIPEAGRO</t>
        </is>
      </c>
      <c r="J490" s="13" t="inlineStr">
        <is>
          <t>Registro Estadual Vigente</t>
        </is>
      </c>
      <c r="K490" s="13" t="inlineStr">
        <is>
          <t>Estabelecimento Credenciado no Brasil</t>
        </is>
      </c>
      <c r="L490" s="13" t="inlineStr">
        <is>
          <t>Brasil</t>
        </is>
      </c>
      <c r="M490" s="13" t="inlineStr">
        <is>
          <t>0 - Nacional / 1 - Importação Direta</t>
        </is>
      </c>
    </row>
    <row r="491" ht="22" customHeight="1">
      <c r="A491" s="6" t="inlineStr">
        <is>
          <t>EMP-0487</t>
        </is>
      </c>
      <c r="B491" s="5" t="n">
        <v>413</v>
      </c>
      <c r="C491" s="7" t="inlineStr">
        <is>
          <t>Nº 9621</t>
        </is>
      </c>
      <c r="D491" s="8" t="inlineStr">
        <is>
          <t>GLIFOSATO 506 (PRINCIPIO ATIVO)</t>
        </is>
      </c>
      <c r="E491" s="7" t="inlineStr">
        <is>
          <t>1. Titular do Registro / Produtor</t>
        </is>
      </c>
      <c r="F491" s="7" t="inlineStr">
        <is>
          <t>Produto Técnico Industrial</t>
        </is>
      </c>
      <c r="G491" s="7" t="inlineStr">
        <is>
          <t>ALBAUGH AGRO BRASIL LTDA.</t>
        </is>
      </c>
      <c r="H491" s="7" t="inlineStr">
        <is>
          <t>Matriz / Estabelecimento Principal</t>
        </is>
      </c>
      <c r="I491" s="7" t="inlineStr">
        <is>
          <t>CNPJ Credenciado MAPA/SIPEAGRO</t>
        </is>
      </c>
      <c r="J491" s="7" t="inlineStr">
        <is>
          <t>Registro Estadual Vigente</t>
        </is>
      </c>
      <c r="K491" s="7" t="inlineStr">
        <is>
          <t>Estabelecimento Credenciado no Brasil</t>
        </is>
      </c>
      <c r="L491" s="7" t="inlineStr">
        <is>
          <t>Brasil</t>
        </is>
      </c>
      <c r="M491" s="7" t="inlineStr">
        <is>
          <t>0 - Nacional / 1 - Importação Direta</t>
        </is>
      </c>
    </row>
    <row r="492" ht="22" customHeight="1">
      <c r="A492" s="12" t="inlineStr">
        <is>
          <t>EMP-0488</t>
        </is>
      </c>
      <c r="B492" s="11" t="n">
        <v>414</v>
      </c>
      <c r="C492" s="13" t="inlineStr">
        <is>
          <t>SIPEAGRO (UF-XXXXX)</t>
        </is>
      </c>
      <c r="D492" s="14" t="inlineStr">
        <is>
          <t>FERTILIZANTE 00-25-00 2S (VALIDAR)</t>
        </is>
      </c>
      <c r="E492" s="13" t="inlineStr">
        <is>
          <t>1. Titular do Registro / Produtor</t>
        </is>
      </c>
      <c r="F492" s="13" t="inlineStr">
        <is>
          <t>Fertilizante Mineral / Organomineral</t>
        </is>
      </c>
      <c r="G492" s="13" t="inlineStr">
        <is>
          <t>Estabelecimento Produtor SIPEAGRO/MAPA</t>
        </is>
      </c>
      <c r="H492" s="13" t="inlineStr">
        <is>
          <t>Matriz / Estabelecimento Principal</t>
        </is>
      </c>
      <c r="I492" s="13" t="inlineStr">
        <is>
          <t>CNPJ Credenciado MAPA/SIPEAGRO</t>
        </is>
      </c>
      <c r="J492" s="13" t="inlineStr">
        <is>
          <t>Registro Estadual Vigente</t>
        </is>
      </c>
      <c r="K492" s="13" t="inlineStr">
        <is>
          <t>Estabelecimento Credenciado no Brasil</t>
        </is>
      </c>
      <c r="L492" s="13" t="inlineStr">
        <is>
          <t>Brasil</t>
        </is>
      </c>
      <c r="M492" s="13" t="inlineStr">
        <is>
          <t>0 - Nacional / 1 - Importação Direta</t>
        </is>
      </c>
    </row>
    <row r="493" ht="22" customHeight="1">
      <c r="A493" s="6" t="inlineStr">
        <is>
          <t>EMP-0489</t>
        </is>
      </c>
      <c r="B493" s="5" t="n">
        <v>415</v>
      </c>
      <c r="C493" s="7" t="inlineStr">
        <is>
          <t>ISENTO (ATO 104/2017)</t>
        </is>
      </c>
      <c r="D493" s="8" t="inlineStr">
        <is>
          <t>AGRICOIL MINERAL</t>
        </is>
      </c>
      <c r="E493" s="7" t="inlineStr">
        <is>
          <t>1. Titular do Registro / Produtor</t>
        </is>
      </c>
      <c r="F493" s="7" t="inlineStr">
        <is>
          <t>Adjuvante / Espalhante Adesivo</t>
        </is>
      </c>
      <c r="G493" s="7" t="inlineStr">
        <is>
          <t>Dispensado de Registro (Ato SDA nº 104/2017)</t>
        </is>
      </c>
      <c r="H493" s="7" t="inlineStr">
        <is>
          <t>Matriz / Estabelecimento Principal</t>
        </is>
      </c>
      <c r="I493" s="7" t="inlineStr">
        <is>
          <t>CNPJ Credenciado MAPA/SIPEAGRO</t>
        </is>
      </c>
      <c r="J493" s="7" t="inlineStr">
        <is>
          <t>Registro Estadual Vigente</t>
        </is>
      </c>
      <c r="K493" s="7" t="inlineStr">
        <is>
          <t>Estabelecimento Credenciado no Brasil</t>
        </is>
      </c>
      <c r="L493" s="7" t="inlineStr">
        <is>
          <t>Brasil</t>
        </is>
      </c>
      <c r="M493" s="7" t="inlineStr">
        <is>
          <t>0 - Nacional / 1 - Importação Direta</t>
        </is>
      </c>
    </row>
    <row r="494" ht="22" customHeight="1">
      <c r="A494" s="12" t="inlineStr">
        <is>
          <t>EMP-0490</t>
        </is>
      </c>
      <c r="B494" s="11" t="n">
        <v>416</v>
      </c>
      <c r="C494" s="13" t="inlineStr">
        <is>
          <t>Nº 23922</t>
        </is>
      </c>
      <c r="D494" s="14" t="inlineStr">
        <is>
          <t>GRASIDIM FULL</t>
        </is>
      </c>
      <c r="E494" s="13" t="inlineStr">
        <is>
          <t>1. Titular do Registro / Produtor</t>
        </is>
      </c>
      <c r="F494" s="13" t="inlineStr">
        <is>
          <t>Produto Formulado Comercial</t>
        </is>
      </c>
      <c r="G494" s="13" t="inlineStr">
        <is>
          <t>RAINBOW DEFENSIVOS AGRÍCOLAS LTDA.</t>
        </is>
      </c>
      <c r="H494" s="13" t="inlineStr">
        <is>
          <t>Matriz / Estabelecimento Principal</t>
        </is>
      </c>
      <c r="I494" s="13" t="inlineStr">
        <is>
          <t>10.486.463/0001-69</t>
        </is>
      </c>
      <c r="J494" s="13" t="inlineStr">
        <is>
          <t>SEAPA/RS nº 1928/09</t>
        </is>
      </c>
      <c r="K494" s="13" t="inlineStr">
        <is>
          <t>Av. Carlos Gomes, 258, Porto Alegre/RS</t>
        </is>
      </c>
      <c r="L494" s="13" t="inlineStr">
        <is>
          <t>Brasil</t>
        </is>
      </c>
      <c r="M494" s="13" t="inlineStr">
        <is>
          <t>0 - Nacional / 1 - Importação Direta</t>
        </is>
      </c>
    </row>
    <row r="495" ht="22" customHeight="1">
      <c r="A495" s="6" t="inlineStr">
        <is>
          <t>EMP-0491</t>
        </is>
      </c>
      <c r="B495" s="5" t="n">
        <v>417</v>
      </c>
      <c r="C495" s="7" t="inlineStr">
        <is>
          <t>Nº 4623</t>
        </is>
      </c>
      <c r="D495" s="8" t="inlineStr">
        <is>
          <t>WERIFE - ACEFATO 970 - (PRINCIPIO ATIVO)</t>
        </is>
      </c>
      <c r="E495" s="7" t="inlineStr">
        <is>
          <t>1. Titular do Registro</t>
        </is>
      </c>
      <c r="F495" s="7" t="inlineStr">
        <is>
          <t>Produto Técnico Industrial</t>
        </is>
      </c>
      <c r="G495" s="7" t="inlineStr">
        <is>
          <t>Rainbow Defensivos — Acefato 970 g</t>
        </is>
      </c>
      <c r="H495" s="7" t="inlineStr">
        <is>
          <t>Estabelecimento Credenciado</t>
        </is>
      </c>
      <c r="I495" s="7" t="inlineStr">
        <is>
          <t>CNPJ Credenciado MAPA</t>
        </is>
      </c>
      <c r="J495" s="7" t="inlineStr">
        <is>
          <t>Registro Estadual Vigente</t>
        </is>
      </c>
      <c r="K495" s="7" t="inlineStr">
        <is>
          <t>Unidade Operacional Brasil</t>
        </is>
      </c>
      <c r="L495" s="7" t="inlineStr">
        <is>
          <t>Brasil</t>
        </is>
      </c>
      <c r="M495" s="7" t="inlineStr">
        <is>
          <t>0/1/2 - Conforme Origem do Lote</t>
        </is>
      </c>
    </row>
    <row r="496" ht="22" customHeight="1">
      <c r="A496" s="12" t="inlineStr">
        <is>
          <t>EMP-0492</t>
        </is>
      </c>
      <c r="B496" s="11" t="n">
        <v>417</v>
      </c>
      <c r="C496" s="13" t="inlineStr">
        <is>
          <t>Nº 4623</t>
        </is>
      </c>
      <c r="D496" s="14" t="inlineStr">
        <is>
          <t>WERIFE - ACEFATO 970 - (PRINCIPIO ATIVO)</t>
        </is>
      </c>
      <c r="E496" s="13" t="inlineStr">
        <is>
          <t>3. Formulador / Co-Distribuidor Autorizado</t>
        </is>
      </c>
      <c r="F496" s="13" t="inlineStr">
        <is>
          <t>Produto Técnico Industrial</t>
        </is>
      </c>
      <c r="G496" s="13" t="inlineStr">
        <is>
          <t>kg SG</t>
        </is>
      </c>
      <c r="H496" s="13" t="inlineStr">
        <is>
          <t>Estabelecimento Credenciado</t>
        </is>
      </c>
      <c r="I496" s="13" t="inlineStr">
        <is>
          <t>CNPJ Credenciado MAPA</t>
        </is>
      </c>
      <c r="J496" s="13" t="inlineStr">
        <is>
          <t>Registro Estadual Vigente</t>
        </is>
      </c>
      <c r="K496" s="13" t="inlineStr">
        <is>
          <t>Unidade Operacional Brasil</t>
        </is>
      </c>
      <c r="L496" s="13" t="inlineStr">
        <is>
          <t>Brasil</t>
        </is>
      </c>
      <c r="M496" s="13" t="inlineStr">
        <is>
          <t>0/1/2 - Conforme Origem do Lote</t>
        </is>
      </c>
    </row>
    <row r="497" ht="22" customHeight="1">
      <c r="A497" s="6" t="inlineStr">
        <is>
          <t>EMP-0493</t>
        </is>
      </c>
      <c r="B497" s="5" t="n">
        <v>418</v>
      </c>
      <c r="C497" s="7" t="inlineStr">
        <is>
          <t>Nº 28120</t>
        </is>
      </c>
      <c r="D497" s="8" t="inlineStr">
        <is>
          <t>WILD CLEAR - FLUROXIPIR 200 EC - (PRINCIPIO ATIVO)</t>
        </is>
      </c>
      <c r="E497" s="7" t="inlineStr">
        <is>
          <t>1. Titular do Registro</t>
        </is>
      </c>
      <c r="F497" s="7" t="inlineStr">
        <is>
          <t>Produto Técnico Industrial</t>
        </is>
      </c>
      <c r="G497" s="7" t="inlineStr">
        <is>
          <t>Rainbow Defensivos — Fluroxipir-meptílico 200 g</t>
        </is>
      </c>
      <c r="H497" s="7" t="inlineStr">
        <is>
          <t>Estabelecimento Credenciado</t>
        </is>
      </c>
      <c r="I497" s="7" t="inlineStr">
        <is>
          <t>CNPJ Credenciado MAPA</t>
        </is>
      </c>
      <c r="J497" s="7" t="inlineStr">
        <is>
          <t>Registro Estadual Vigente</t>
        </is>
      </c>
      <c r="K497" s="7" t="inlineStr">
        <is>
          <t>Unidade Operacional Brasil</t>
        </is>
      </c>
      <c r="L497" s="7" t="inlineStr">
        <is>
          <t>Brasil</t>
        </is>
      </c>
      <c r="M497" s="7" t="inlineStr">
        <is>
          <t>0/1/2 - Conforme Origem do Lote</t>
        </is>
      </c>
    </row>
    <row r="498" ht="22" customHeight="1">
      <c r="A498" s="12" t="inlineStr">
        <is>
          <t>EMP-0494</t>
        </is>
      </c>
      <c r="B498" s="11" t="n">
        <v>418</v>
      </c>
      <c r="C498" s="13" t="inlineStr">
        <is>
          <t>Nº 28120</t>
        </is>
      </c>
      <c r="D498" s="14" t="inlineStr">
        <is>
          <t>WILD CLEAR - FLUROXIPIR 200 EC - (PRINCIPIO ATIVO)</t>
        </is>
      </c>
      <c r="E498" s="13" t="inlineStr">
        <is>
          <t>3. Formulador / Co-Distribuidor Autorizado</t>
        </is>
      </c>
      <c r="F498" s="13" t="inlineStr">
        <is>
          <t>Produto Técnico Industrial</t>
        </is>
      </c>
      <c r="G498" s="13" t="inlineStr">
        <is>
          <t>RAINBOW DEFENSIVOS AGRÍCOLAS LTDA.</t>
        </is>
      </c>
      <c r="H498" s="13" t="inlineStr">
        <is>
          <t>Estabelecimento Credenciado</t>
        </is>
      </c>
      <c r="I498" s="13" t="inlineStr">
        <is>
          <t>CNPJ Credenciado MAPA</t>
        </is>
      </c>
      <c r="J498" s="13" t="inlineStr">
        <is>
          <t>Registro Estadual Vigente</t>
        </is>
      </c>
      <c r="K498" s="13" t="inlineStr">
        <is>
          <t>Unidade Operacional Brasil</t>
        </is>
      </c>
      <c r="L498" s="13" t="inlineStr">
        <is>
          <t>Brasil</t>
        </is>
      </c>
      <c r="M498" s="13" t="inlineStr">
        <is>
          <t>0/1/2 - Conforme Origem do Lote</t>
        </is>
      </c>
    </row>
    <row r="499" ht="22" customHeight="1">
      <c r="A499" s="6" t="inlineStr">
        <is>
          <t>EMP-0495</t>
        </is>
      </c>
      <c r="B499" s="5" t="n">
        <v>419</v>
      </c>
      <c r="C499" s="7" t="inlineStr">
        <is>
          <t>Nº 36822</t>
        </is>
      </c>
      <c r="D499" s="8" t="inlineStr">
        <is>
          <t>CLORPIRIFOS 48 EC AGCN</t>
        </is>
      </c>
      <c r="E499" s="7" t="inlineStr">
        <is>
          <t>1. Titular do Registro / Produtor</t>
        </is>
      </c>
      <c r="F499" s="7" t="inlineStr">
        <is>
          <t>Produto Formulado Comercial</t>
        </is>
      </c>
      <c r="G499" s="7" t="inlineStr">
        <is>
          <t>AGRICONNECTION IMPORTADORA E EXPORTADORA DE INSUMOS AGRÍCOLAS LTDA.</t>
        </is>
      </c>
      <c r="H499" s="7" t="inlineStr">
        <is>
          <t>Matriz / Estabelecimento Principal</t>
        </is>
      </c>
      <c r="I499" s="7" t="inlineStr">
        <is>
          <t>39.496.730/0001-60</t>
        </is>
      </c>
      <c r="J499" s="7" t="inlineStr">
        <is>
          <t>INDEA/MT nº 27326 / CDA/SP nº 4354</t>
        </is>
      </c>
      <c r="K499" s="7" t="inlineStr">
        <is>
          <t>Av. Manoel Genildo de Araujo, 188, Campo Verde/MT / Barueri/SP</t>
        </is>
      </c>
      <c r="L499" s="7" t="inlineStr">
        <is>
          <t>Brasil</t>
        </is>
      </c>
      <c r="M499" s="7" t="inlineStr">
        <is>
          <t>0 - Nacional / 1 - Importação Direta</t>
        </is>
      </c>
    </row>
    <row r="500" ht="22" customHeight="1">
      <c r="A500" s="12" t="inlineStr">
        <is>
          <t>EMP-0496</t>
        </is>
      </c>
      <c r="B500" s="11" t="n">
        <v>420</v>
      </c>
      <c r="C500" s="13" t="inlineStr">
        <is>
          <t>Nº 11819</t>
        </is>
      </c>
      <c r="D500" s="14" t="inlineStr">
        <is>
          <t>MANCOZEB 800 WP AGCN</t>
        </is>
      </c>
      <c r="E500" s="13" t="inlineStr">
        <is>
          <t>1. Titular do Registro / Produtor</t>
        </is>
      </c>
      <c r="F500" s="13" t="inlineStr">
        <is>
          <t>Produto Formulado Comercial</t>
        </is>
      </c>
      <c r="G500" s="13" t="inlineStr">
        <is>
          <t>AGRICONNECTION IMPORTADORA E EXPORTADORA DE INSUMOS AGRÍCOLAS LTDA.</t>
        </is>
      </c>
      <c r="H500" s="13" t="inlineStr">
        <is>
          <t>Matriz / Estabelecimento Principal</t>
        </is>
      </c>
      <c r="I500" s="13" t="inlineStr">
        <is>
          <t>39.496.730/0001-60</t>
        </is>
      </c>
      <c r="J500" s="13" t="inlineStr">
        <is>
          <t>CDA/SP nº 4354 / INDEA/MT nº 27326</t>
        </is>
      </c>
      <c r="K500" s="13" t="inlineStr">
        <is>
          <t>Av. Manoel Genildo de Araujo, 188, Campo Verde/MT</t>
        </is>
      </c>
      <c r="L500" s="13" t="inlineStr">
        <is>
          <t>Brasil</t>
        </is>
      </c>
      <c r="M500" s="13" t="inlineStr">
        <is>
          <t>0 - Nacional / 1 - Importação Direta</t>
        </is>
      </c>
    </row>
    <row r="501" ht="22" customHeight="1">
      <c r="A501" s="6" t="inlineStr">
        <is>
          <t>EMP-0497</t>
        </is>
      </c>
      <c r="B501" s="5" t="n">
        <v>421</v>
      </c>
      <c r="C501" s="7" t="inlineStr">
        <is>
          <t>Nº 10210</t>
        </is>
      </c>
      <c r="D501" s="8" t="inlineStr">
        <is>
          <t>LAMBDA CIALOTRINA 250 EC</t>
        </is>
      </c>
      <c r="E501" s="7" t="inlineStr">
        <is>
          <t>1. Titular do Registro / Produtor</t>
        </is>
      </c>
      <c r="F501" s="7" t="inlineStr">
        <is>
          <t>Produto Formulado Comercial</t>
        </is>
      </c>
      <c r="G501" s="7" t="inlineStr">
        <is>
          <t>OURO FINO QUÍMICA S.A.</t>
        </is>
      </c>
      <c r="H501" s="7" t="inlineStr">
        <is>
          <t>Matriz / Estabelecimento Principal</t>
        </is>
      </c>
      <c r="I501" s="7" t="inlineStr">
        <is>
          <t>CNPJ Credenciado MAPA/SIPEAGRO</t>
        </is>
      </c>
      <c r="J501" s="7" t="inlineStr">
        <is>
          <t>Registro Estadual Vigente</t>
        </is>
      </c>
      <c r="K501" s="7" t="inlineStr">
        <is>
          <t>Estabelecimento Credenciado no Brasil</t>
        </is>
      </c>
      <c r="L501" s="7" t="inlineStr">
        <is>
          <t>Brasil</t>
        </is>
      </c>
      <c r="M501" s="7" t="inlineStr">
        <is>
          <t>0 - Nacional / 1 - Importação Direta</t>
        </is>
      </c>
    </row>
    <row r="502" ht="22" customHeight="1">
      <c r="A502" s="12" t="inlineStr">
        <is>
          <t>EMP-0498</t>
        </is>
      </c>
      <c r="B502" s="11" t="n">
        <v>422</v>
      </c>
      <c r="C502" s="13" t="inlineStr">
        <is>
          <t>Nº 1923</t>
        </is>
      </c>
      <c r="D502" s="14" t="inlineStr">
        <is>
          <t>PUPENO-CLOROTAL 580+CIPRO 12,8+TRIFLOXI 30 (P.A)</t>
        </is>
      </c>
      <c r="E502" s="13" t="inlineStr">
        <is>
          <t>1. Titular do Registro / Produtor</t>
        </is>
      </c>
      <c r="F502" s="13" t="inlineStr">
        <is>
          <t>Produto Técnico Industrial</t>
        </is>
      </c>
      <c r="G502" s="13" t="inlineStr">
        <is>
          <t>GLOBACHEM PROTEÇÃO DE CULTIVOS DO BRASIL LTDA.</t>
        </is>
      </c>
      <c r="H502" s="13" t="inlineStr">
        <is>
          <t>Matriz / Estabelecimento Principal</t>
        </is>
      </c>
      <c r="I502" s="13" t="inlineStr">
        <is>
          <t>43.741.357/0001-33</t>
        </is>
      </c>
      <c r="J502" s="13" t="inlineStr">
        <is>
          <t>CDA/SP nº 4326</t>
        </is>
      </c>
      <c r="K502" s="13" t="inlineStr">
        <is>
          <t>Rua Doutor Emílio Ribas, 174, Sala 12, Campinas/SP</t>
        </is>
      </c>
      <c r="L502" s="13" t="inlineStr">
        <is>
          <t>Brasil</t>
        </is>
      </c>
      <c r="M502" s="13" t="inlineStr">
        <is>
          <t>0 - Nacional / 1 - Importação Direta</t>
        </is>
      </c>
    </row>
    <row r="503" ht="22" customHeight="1">
      <c r="A503" s="6" t="inlineStr">
        <is>
          <t>EMP-0499</t>
        </is>
      </c>
      <c r="B503" s="5" t="n">
        <v>422</v>
      </c>
      <c r="C503" s="7" t="inlineStr">
        <is>
          <t>Nº 1923</t>
        </is>
      </c>
      <c r="D503" s="8" t="inlineStr">
        <is>
          <t>PUPENO-CLOROTAL 580+CIPRO 12,8+TRIFLOXI 30 (P.A)</t>
        </is>
      </c>
      <c r="E503" s="7" t="inlineStr">
        <is>
          <t>2. Fabricante do Produto Técnico</t>
        </is>
      </c>
      <c r="F503" s="7" t="inlineStr">
        <is>
          <t>Produto Técnico Vinculado na Bula</t>
        </is>
      </c>
      <c r="G503" s="7" t="inlineStr">
        <is>
          <t>SHANDONG WEIFANG RAINBOW / YOUJIA CROP PROTECTION</t>
        </is>
      </c>
      <c r="H503" s="7" t="inlineStr">
        <is>
          <t>Planta Síntese Ásia</t>
        </is>
      </c>
      <c r="I503" s="7" t="inlineStr">
        <is>
          <t>EXT-CHN-TECH</t>
        </is>
      </c>
      <c r="J503" s="7" t="inlineStr">
        <is>
          <t>Isento Exterior</t>
        </is>
      </c>
      <c r="K503" s="7" t="inlineStr">
        <is>
          <t>Shandong / Jiangsu Industrial Park - China</t>
        </is>
      </c>
      <c r="L503" s="7" t="inlineStr">
        <is>
          <t>China</t>
        </is>
      </c>
      <c r="M503" s="7" t="inlineStr">
        <is>
          <t>1/2 - Importado</t>
        </is>
      </c>
    </row>
    <row r="504" ht="22" customHeight="1">
      <c r="A504" s="12" t="inlineStr">
        <is>
          <t>EMP-0500</t>
        </is>
      </c>
      <c r="B504" s="11" t="n">
        <v>422</v>
      </c>
      <c r="C504" s="13" t="inlineStr">
        <is>
          <t>Nº 1923</t>
        </is>
      </c>
      <c r="D504" s="14" t="inlineStr">
        <is>
          <t>PUPENO-CLOROTAL 580+CIPRO 12,8+TRIFLOXI 30 (P.A)</t>
        </is>
      </c>
      <c r="E504" s="13" t="inlineStr">
        <is>
          <t>3. Formulador</t>
        </is>
      </c>
      <c r="F504" s="13" t="inlineStr">
        <is>
          <t>Produto Formulado Comercial</t>
        </is>
      </c>
      <c r="G504" s="13" t="inlineStr">
        <is>
          <t>OURO FINO QUÍMICA S.A.</t>
        </is>
      </c>
      <c r="H504" s="13" t="inlineStr">
        <is>
          <t>Planta Uberaba/MG</t>
        </is>
      </c>
      <c r="I504" s="13" t="inlineStr">
        <is>
          <t>09.100.671/0001-07</t>
        </is>
      </c>
      <c r="J504" s="13" t="inlineStr">
        <is>
          <t>IMA/MG nº 8.764</t>
        </is>
      </c>
      <c r="K504" s="13" t="inlineStr">
        <is>
          <t>Av. Filomena Cartafina, 22335, Uberaba/MG</t>
        </is>
      </c>
      <c r="L504" s="13" t="inlineStr">
        <is>
          <t>Brasil</t>
        </is>
      </c>
      <c r="M504" s="13" t="inlineStr">
        <is>
          <t>0/3/5 - Nacional</t>
        </is>
      </c>
    </row>
    <row r="505" ht="22" customHeight="1">
      <c r="A505" s="6" t="inlineStr">
        <is>
          <t>EMP-0501</t>
        </is>
      </c>
      <c r="B505" s="5" t="n">
        <v>422</v>
      </c>
      <c r="C505" s="7" t="inlineStr">
        <is>
          <t>Nº 1923</t>
        </is>
      </c>
      <c r="D505" s="8" t="inlineStr">
        <is>
          <t>PUPENO-CLOROTAL 580+CIPRO 12,8+TRIFLOXI 30 (P.A)</t>
        </is>
      </c>
      <c r="E505" s="7" t="inlineStr">
        <is>
          <t>3. Formulador</t>
        </is>
      </c>
      <c r="F505" s="7" t="inlineStr">
        <is>
          <t>Produto Formulado Comercial</t>
        </is>
      </c>
      <c r="G505" s="7" t="inlineStr">
        <is>
          <t>FERSOL INDÚSTRIA E COMÉRCIO LTDA.</t>
        </is>
      </c>
      <c r="H505" s="7" t="inlineStr">
        <is>
          <t>Planta Mairinque/SP</t>
        </is>
      </c>
      <c r="I505" s="7" t="inlineStr">
        <is>
          <t>47.226.493/0001-46</t>
        </is>
      </c>
      <c r="J505" s="7" t="inlineStr">
        <is>
          <t>CDA/SP nº 31</t>
        </is>
      </c>
      <c r="K505" s="7" t="inlineStr">
        <is>
          <t>Rod. Pres. Castelo Branco, Km 68,5, Mairinque/SP</t>
        </is>
      </c>
      <c r="L505" s="7" t="inlineStr">
        <is>
          <t>Brasil</t>
        </is>
      </c>
      <c r="M505" s="7" t="inlineStr">
        <is>
          <t>0/3/5 - Nacional</t>
        </is>
      </c>
    </row>
    <row r="506" ht="22" customHeight="1">
      <c r="A506" s="12" t="inlineStr">
        <is>
          <t>EMP-0502</t>
        </is>
      </c>
      <c r="B506" s="11" t="n">
        <v>422</v>
      </c>
      <c r="C506" s="13" t="inlineStr">
        <is>
          <t>Nº 1923</t>
        </is>
      </c>
      <c r="D506" s="14" t="inlineStr">
        <is>
          <t>PUPENO-CLOROTAL 580+CIPRO 12,8+TRIFLOXI 30 (P.A)</t>
        </is>
      </c>
      <c r="E506" s="13" t="inlineStr">
        <is>
          <t>3. Formulador</t>
        </is>
      </c>
      <c r="F506" s="13" t="inlineStr">
        <is>
          <t>Produto Formulado Comercial</t>
        </is>
      </c>
      <c r="G506" s="13" t="inlineStr">
        <is>
          <t>ULTRAFINE TECHNOLOGIES IND. E COM. LTDA.</t>
        </is>
      </c>
      <c r="H506" s="13" t="inlineStr">
        <is>
          <t>Planta Indaiatuba/SP</t>
        </is>
      </c>
      <c r="I506" s="13" t="inlineStr">
        <is>
          <t>50.025.469/0004-04</t>
        </is>
      </c>
      <c r="J506" s="13" t="inlineStr">
        <is>
          <t>CDA/SP nº 1248</t>
        </is>
      </c>
      <c r="K506" s="13" t="inlineStr">
        <is>
          <t>Rua Bonifácio Rosso Ros, 260, Indaiatuba/SP</t>
        </is>
      </c>
      <c r="L506" s="13" t="inlineStr">
        <is>
          <t>Brasil</t>
        </is>
      </c>
      <c r="M506" s="13" t="inlineStr">
        <is>
          <t>0/3/5 - Nacional</t>
        </is>
      </c>
    </row>
    <row r="507" ht="22" customHeight="1">
      <c r="A507" s="6" t="inlineStr">
        <is>
          <t>EMP-0503</t>
        </is>
      </c>
      <c r="B507" s="5" t="n">
        <v>423</v>
      </c>
      <c r="C507" s="7" t="inlineStr">
        <is>
          <t>Nº 1923</t>
        </is>
      </c>
      <c r="D507" s="8" t="inlineStr">
        <is>
          <t>PARACHUTE-CLOROTAL 580+DIFENO 30+TRIFLOXI 24 (P.A)</t>
        </is>
      </c>
      <c r="E507" s="7" t="inlineStr">
        <is>
          <t>1. Titular do Registro</t>
        </is>
      </c>
      <c r="F507" s="7" t="inlineStr">
        <is>
          <t>Produto Técnico Industrial</t>
        </is>
      </c>
      <c r="G507" s="7" t="inlineStr">
        <is>
          <t>Globachem Brasil — Clorotalonil 580 g</t>
        </is>
      </c>
      <c r="H507" s="7" t="inlineStr">
        <is>
          <t>Estabelecimento Credenciado</t>
        </is>
      </c>
      <c r="I507" s="7" t="inlineStr">
        <is>
          <t>CNPJ Credenciado MAPA</t>
        </is>
      </c>
      <c r="J507" s="7" t="inlineStr">
        <is>
          <t>Registro Estadual Vigente</t>
        </is>
      </c>
      <c r="K507" s="7" t="inlineStr">
        <is>
          <t>Unidade Operacional Brasil</t>
        </is>
      </c>
      <c r="L507" s="7" t="inlineStr">
        <is>
          <t>Brasil</t>
        </is>
      </c>
      <c r="M507" s="7" t="inlineStr">
        <is>
          <t>0/1/2 - Conforme Origem do Lote</t>
        </is>
      </c>
    </row>
    <row r="508" ht="22" customHeight="1">
      <c r="A508" s="12" t="inlineStr">
        <is>
          <t>EMP-0504</t>
        </is>
      </c>
      <c r="B508" s="11" t="n">
        <v>423</v>
      </c>
      <c r="C508" s="13" t="inlineStr">
        <is>
          <t>Nº 1923</t>
        </is>
      </c>
      <c r="D508" s="14" t="inlineStr">
        <is>
          <t>PARACHUTE-CLOROTAL 580+DIFENO 30+TRIFLOXI 24 (P.A)</t>
        </is>
      </c>
      <c r="E508" s="13" t="inlineStr">
        <is>
          <t>3. Formulador / Co-Distribuidor Autorizado</t>
        </is>
      </c>
      <c r="F508" s="13" t="inlineStr">
        <is>
          <t>Produto Técnico Industrial</t>
        </is>
      </c>
      <c r="G508" s="13" t="inlineStr">
        <is>
          <t>L + Difenoconazol 30 g</t>
        </is>
      </c>
      <c r="H508" s="13" t="inlineStr">
        <is>
          <t>Estabelecimento Credenciado</t>
        </is>
      </c>
      <c r="I508" s="13" t="inlineStr">
        <is>
          <t>CNPJ Credenciado MAPA</t>
        </is>
      </c>
      <c r="J508" s="13" t="inlineStr">
        <is>
          <t>Registro Estadual Vigente</t>
        </is>
      </c>
      <c r="K508" s="13" t="inlineStr">
        <is>
          <t>Unidade Operacional Brasil</t>
        </is>
      </c>
      <c r="L508" s="13" t="inlineStr">
        <is>
          <t>Brasil</t>
        </is>
      </c>
      <c r="M508" s="13" t="inlineStr">
        <is>
          <t>0/1/2 - Conforme Origem do Lote</t>
        </is>
      </c>
    </row>
    <row r="509" ht="22" customHeight="1">
      <c r="A509" s="6" t="inlineStr">
        <is>
          <t>EMP-0505</t>
        </is>
      </c>
      <c r="B509" s="5" t="n">
        <v>423</v>
      </c>
      <c r="C509" s="7" t="inlineStr">
        <is>
          <t>Nº 1923</t>
        </is>
      </c>
      <c r="D509" s="8" t="inlineStr">
        <is>
          <t>PARACHUTE-CLOROTAL 580+DIFENO 30+TRIFLOXI 24 (P.A)</t>
        </is>
      </c>
      <c r="E509" s="7" t="inlineStr">
        <is>
          <t>3. Formulador / Co-Distribuidor Autorizado</t>
        </is>
      </c>
      <c r="F509" s="7" t="inlineStr">
        <is>
          <t>Produto Técnico Industrial</t>
        </is>
      </c>
      <c r="G509" s="7" t="inlineStr">
        <is>
          <t>L + Trifloxistrobina 24 g</t>
        </is>
      </c>
      <c r="H509" s="7" t="inlineStr">
        <is>
          <t>Estabelecimento Credenciado</t>
        </is>
      </c>
      <c r="I509" s="7" t="inlineStr">
        <is>
          <t>CNPJ Credenciado MAPA</t>
        </is>
      </c>
      <c r="J509" s="7" t="inlineStr">
        <is>
          <t>Registro Estadual Vigente</t>
        </is>
      </c>
      <c r="K509" s="7" t="inlineStr">
        <is>
          <t>Unidade Operacional Brasil</t>
        </is>
      </c>
      <c r="L509" s="7" t="inlineStr">
        <is>
          <t>Brasil</t>
        </is>
      </c>
      <c r="M509" s="7" t="inlineStr">
        <is>
          <t>0/1/2 - Conforme Origem do Lote</t>
        </is>
      </c>
    </row>
    <row r="510" ht="22" customHeight="1">
      <c r="A510" s="12" t="inlineStr">
        <is>
          <t>EMP-0506</t>
        </is>
      </c>
      <c r="B510" s="11" t="n">
        <v>423</v>
      </c>
      <c r="C510" s="13" t="inlineStr">
        <is>
          <t>Nº 1923</t>
        </is>
      </c>
      <c r="D510" s="14" t="inlineStr">
        <is>
          <t>PARACHUTE-CLOROTAL 580+DIFENO 30+TRIFLOXI 24 (P.A)</t>
        </is>
      </c>
      <c r="E510" s="13" t="inlineStr">
        <is>
          <t>3. Formulador / Co-Distribuidor Autorizado</t>
        </is>
      </c>
      <c r="F510" s="13" t="inlineStr">
        <is>
          <t>Produto Técnico Industrial</t>
        </is>
      </c>
      <c r="G510" s="13" t="inlineStr">
        <is>
          <t>L SC, já cadastrado nos Cods 2905, 5987 e 6755</t>
        </is>
      </c>
      <c r="H510" s="13" t="inlineStr">
        <is>
          <t>Estabelecimento Credenciado</t>
        </is>
      </c>
      <c r="I510" s="13" t="inlineStr">
        <is>
          <t>CNPJ Credenciado MAPA</t>
        </is>
      </c>
      <c r="J510" s="13" t="inlineStr">
        <is>
          <t>Registro Estadual Vigente</t>
        </is>
      </c>
      <c r="K510" s="13" t="inlineStr">
        <is>
          <t>Unidade Operacional Brasil</t>
        </is>
      </c>
      <c r="L510" s="13" t="inlineStr">
        <is>
          <t>Brasil</t>
        </is>
      </c>
      <c r="M510" s="13" t="inlineStr">
        <is>
          <t>0/1/2 - Conforme Origem do Lote</t>
        </is>
      </c>
    </row>
    <row r="511" ht="22" customHeight="1">
      <c r="A511" s="6" t="inlineStr">
        <is>
          <t>EMP-0507</t>
        </is>
      </c>
      <c r="B511" s="5" t="n">
        <v>424</v>
      </c>
      <c r="C511" s="7" t="inlineStr">
        <is>
          <t>Nº 31422</t>
        </is>
      </c>
      <c r="D511" s="8" t="inlineStr">
        <is>
          <t>ZARPAL</t>
        </is>
      </c>
      <c r="E511" s="7" t="inlineStr">
        <is>
          <t>1. Titular do Registro / Produtor</t>
        </is>
      </c>
      <c r="F511" s="7" t="inlineStr">
        <is>
          <t>Produto Formulado Comercial</t>
        </is>
      </c>
      <c r="G511" s="7" t="inlineStr">
        <is>
          <t>GLOBACHEM PROTEÇÃO DE CULTIVOS DO BRASIL LTDA.</t>
        </is>
      </c>
      <c r="H511" s="7" t="inlineStr">
        <is>
          <t>Matriz / Estabelecimento Principal</t>
        </is>
      </c>
      <c r="I511" s="7" t="inlineStr">
        <is>
          <t>43.741.357/0001-33</t>
        </is>
      </c>
      <c r="J511" s="7" t="inlineStr">
        <is>
          <t>CDA/SP nº 4326</t>
        </is>
      </c>
      <c r="K511" s="7" t="inlineStr">
        <is>
          <t>Rua Doutor Emílio Ribas, 174, Sala 12, Cambuí, Campinas/SP - CEP 13025-140</t>
        </is>
      </c>
      <c r="L511" s="7" t="inlineStr">
        <is>
          <t>Brasil</t>
        </is>
      </c>
      <c r="M511" s="7" t="inlineStr">
        <is>
          <t>0 - Nacional / 1 - Importação Direta</t>
        </is>
      </c>
    </row>
    <row r="512" ht="22" customHeight="1">
      <c r="A512" s="12" t="inlineStr">
        <is>
          <t>EMP-0508</t>
        </is>
      </c>
      <c r="B512" s="11" t="n">
        <v>425</v>
      </c>
      <c r="C512" s="13" t="inlineStr">
        <is>
          <t>Nº 3307</t>
        </is>
      </c>
      <c r="D512" s="14" t="inlineStr">
        <is>
          <t>BIFENTRINA 400 EC</t>
        </is>
      </c>
      <c r="E512" s="13" t="inlineStr">
        <is>
          <t>1. Titular do Registro</t>
        </is>
      </c>
      <c r="F512" s="13" t="inlineStr">
        <is>
          <t>Produto Formulado Comercial</t>
        </is>
      </c>
      <c r="G512" s="13" t="inlineStr">
        <is>
          <t>Bifentrina 100 g</t>
        </is>
      </c>
      <c r="H512" s="13" t="inlineStr">
        <is>
          <t>Estabelecimento Credenciado</t>
        </is>
      </c>
      <c r="I512" s="13" t="inlineStr">
        <is>
          <t>CNPJ Credenciado MAPA</t>
        </is>
      </c>
      <c r="J512" s="13" t="inlineStr">
        <is>
          <t>Registro Estadual Vigente</t>
        </is>
      </c>
      <c r="K512" s="13" t="inlineStr">
        <is>
          <t>Unidade Operacional Brasil</t>
        </is>
      </c>
      <c r="L512" s="13" t="inlineStr">
        <is>
          <t>Brasil</t>
        </is>
      </c>
      <c r="M512" s="13" t="inlineStr">
        <is>
          <t>0/1/2 - Conforme Origem do Lote</t>
        </is>
      </c>
    </row>
    <row r="513" ht="22" customHeight="1">
      <c r="A513" s="6" t="inlineStr">
        <is>
          <t>EMP-0509</t>
        </is>
      </c>
      <c r="B513" s="5" t="n">
        <v>425</v>
      </c>
      <c r="C513" s="7" t="inlineStr">
        <is>
          <t>Nº 3307</t>
        </is>
      </c>
      <c r="D513" s="8" t="inlineStr">
        <is>
          <t>BIFENTRINA 400 EC</t>
        </is>
      </c>
      <c r="E513" s="7" t="inlineStr">
        <is>
          <t>3. Formulador / Co-Distribuidor Autorizado</t>
        </is>
      </c>
      <c r="F513" s="7" t="inlineStr">
        <is>
          <t>Produto Formulado Comercial</t>
        </is>
      </c>
      <c r="G513" s="7" t="inlineStr">
        <is>
          <t>L EC</t>
        </is>
      </c>
      <c r="H513" s="7" t="inlineStr">
        <is>
          <t>Estabelecimento Credenciado</t>
        </is>
      </c>
      <c r="I513" s="7" t="inlineStr">
        <is>
          <t>CNPJ Credenciado MAPA</t>
        </is>
      </c>
      <c r="J513" s="7" t="inlineStr">
        <is>
          <t>Registro Estadual Vigente</t>
        </is>
      </c>
      <c r="K513" s="7" t="inlineStr">
        <is>
          <t>Unidade Operacional Brasil</t>
        </is>
      </c>
      <c r="L513" s="7" t="inlineStr">
        <is>
          <t>Brasil</t>
        </is>
      </c>
      <c r="M513" s="7" t="inlineStr">
        <is>
          <t>0/1/2 - Conforme Origem do Lote</t>
        </is>
      </c>
    </row>
    <row r="514" ht="22" customHeight="1">
      <c r="A514" s="12" t="inlineStr">
        <is>
          <t>EMP-0510</t>
        </is>
      </c>
      <c r="B514" s="11" t="n">
        <v>426</v>
      </c>
      <c r="C514" s="13" t="inlineStr">
        <is>
          <t>Nº 36822</t>
        </is>
      </c>
      <c r="D514" s="14" t="inlineStr">
        <is>
          <t>CLORPIRIFOS 48 EC AGCN</t>
        </is>
      </c>
      <c r="E514" s="13" t="inlineStr">
        <is>
          <t>1. Titular do Registro / Produtor</t>
        </is>
      </c>
      <c r="F514" s="13" t="inlineStr">
        <is>
          <t>Produto Formulado Comercial</t>
        </is>
      </c>
      <c r="G514" s="13" t="inlineStr">
        <is>
          <t>AGRICONNECTION IMPORTADORA E EXPORTADORA DE INSUMOS AGRÍCOLAS LTDA.</t>
        </is>
      </c>
      <c r="H514" s="13" t="inlineStr">
        <is>
          <t>Matriz / Estabelecimento Principal</t>
        </is>
      </c>
      <c r="I514" s="13" t="inlineStr">
        <is>
          <t>39.496.730/0001-60</t>
        </is>
      </c>
      <c r="J514" s="13" t="inlineStr">
        <is>
          <t>INDEA/MT nº 27326 / CDA/SP nº 4354</t>
        </is>
      </c>
      <c r="K514" s="13" t="inlineStr">
        <is>
          <t>Av. Manoel Genildo de Araujo, 188, Campo Verde/MT / Barueri/SP</t>
        </is>
      </c>
      <c r="L514" s="13" t="inlineStr">
        <is>
          <t>Brasil</t>
        </is>
      </c>
      <c r="M514" s="13" t="inlineStr">
        <is>
          <t>0 - Nacional / 1 - Importação Direta</t>
        </is>
      </c>
    </row>
    <row r="515" ht="22" customHeight="1">
      <c r="A515" s="6" t="inlineStr">
        <is>
          <t>EMP-0511</t>
        </is>
      </c>
      <c r="B515" s="5" t="n">
        <v>427</v>
      </c>
      <c r="C515" s="7" t="inlineStr">
        <is>
          <t>Nº 27717</t>
        </is>
      </c>
      <c r="D515" s="8" t="inlineStr">
        <is>
          <t>FIPRONIL 800 WG AGCN</t>
        </is>
      </c>
      <c r="E515" s="7" t="inlineStr">
        <is>
          <t>1. Titular do Registro / Produtor</t>
        </is>
      </c>
      <c r="F515" s="7" t="inlineStr">
        <is>
          <t>Produto Formulado Comercial</t>
        </is>
      </c>
      <c r="G515" s="7" t="inlineStr">
        <is>
          <t>AGRICONNECTION IMPORTADORA E EXPORTADORA DE INSUMOS AGRÍCOLAS LTDA.</t>
        </is>
      </c>
      <c r="H515" s="7" t="inlineStr">
        <is>
          <t>Matriz / Estabelecimento Principal</t>
        </is>
      </c>
      <c r="I515" s="7" t="inlineStr">
        <is>
          <t>39.496.730/0001-60</t>
        </is>
      </c>
      <c r="J515" s="7" t="inlineStr">
        <is>
          <t>INDEA/MT nº 27326 / CDA/SP nº 4354</t>
        </is>
      </c>
      <c r="K515" s="7" t="inlineStr">
        <is>
          <t>Av. Manoel Genildo de Araujo, 188, Sala 02, Campo Verde/MT - CEP 78840-085</t>
        </is>
      </c>
      <c r="L515" s="7" t="inlineStr">
        <is>
          <t>Brasil</t>
        </is>
      </c>
      <c r="M515" s="7" t="inlineStr">
        <is>
          <t>0 - Nacional / 1 - Importação Direta</t>
        </is>
      </c>
    </row>
    <row r="516" ht="22" customHeight="1">
      <c r="A516" s="12" t="inlineStr">
        <is>
          <t>EMP-0512</t>
        </is>
      </c>
      <c r="B516" s="11" t="n">
        <v>428</v>
      </c>
      <c r="C516" s="13" t="inlineStr">
        <is>
          <t>Nº 24824</t>
        </is>
      </c>
      <c r="D516" s="14" t="inlineStr">
        <is>
          <t>CARFENTRAZONE 400 EC</t>
        </is>
      </c>
      <c r="E516" s="13" t="inlineStr">
        <is>
          <t>1. Titular do Registro / Produtor</t>
        </is>
      </c>
      <c r="F516" s="13" t="inlineStr">
        <is>
          <t>Produto Formulado Comercial</t>
        </is>
      </c>
      <c r="G516" s="13" t="inlineStr">
        <is>
          <t>RAINBOW DEFENSIVOS AGRÍCOLAS LTDA.</t>
        </is>
      </c>
      <c r="H516" s="13" t="inlineStr">
        <is>
          <t>Matriz / Estabelecimento Principal</t>
        </is>
      </c>
      <c r="I516" s="13" t="inlineStr">
        <is>
          <t>CNPJ Credenciado MAPA/SIPEAGRO</t>
        </is>
      </c>
      <c r="J516" s="13" t="inlineStr">
        <is>
          <t>Registro Estadual Vigente</t>
        </is>
      </c>
      <c r="K516" s="13" t="inlineStr">
        <is>
          <t>Estabelecimento Credenciado no Brasil</t>
        </is>
      </c>
      <c r="L516" s="13" t="inlineStr">
        <is>
          <t>Brasil</t>
        </is>
      </c>
      <c r="M516" s="13" t="inlineStr">
        <is>
          <t>0 - Nacional / 1 - Importação Direta</t>
        </is>
      </c>
    </row>
    <row r="517" ht="22" customHeight="1">
      <c r="A517" s="6" t="inlineStr">
        <is>
          <t>EMP-0513</t>
        </is>
      </c>
      <c r="B517" s="5" t="n">
        <v>429</v>
      </c>
      <c r="C517" s="7" t="inlineStr">
        <is>
          <t>Nº 24824</t>
        </is>
      </c>
      <c r="D517" s="8" t="inlineStr">
        <is>
          <t>CARFENTRAZONE 400 EC1X20L (VALIDAR)</t>
        </is>
      </c>
      <c r="E517" s="7" t="inlineStr">
        <is>
          <t>1. Titular do Registro / Produtor</t>
        </is>
      </c>
      <c r="F517" s="7" t="inlineStr">
        <is>
          <t>Produto Formulado Comercial</t>
        </is>
      </c>
      <c r="G517" s="7" t="inlineStr">
        <is>
          <t>RAINBOW DEFENSIVOS AGRÍCOLAS LTDA.</t>
        </is>
      </c>
      <c r="H517" s="7" t="inlineStr">
        <is>
          <t>Matriz / Estabelecimento Principal</t>
        </is>
      </c>
      <c r="I517" s="7" t="inlineStr">
        <is>
          <t>CNPJ Credenciado MAPA/SIPEAGRO</t>
        </is>
      </c>
      <c r="J517" s="7" t="inlineStr">
        <is>
          <t>Registro Estadual Vigente</t>
        </is>
      </c>
      <c r="K517" s="7" t="inlineStr">
        <is>
          <t>Estabelecimento Credenciado no Brasil</t>
        </is>
      </c>
      <c r="L517" s="7" t="inlineStr">
        <is>
          <t>Brasil</t>
        </is>
      </c>
      <c r="M517" s="7" t="inlineStr">
        <is>
          <t>0 - Nacional / 1 - Importação Direta</t>
        </is>
      </c>
    </row>
    <row r="518" ht="22" customHeight="1">
      <c r="A518" s="12" t="inlineStr">
        <is>
          <t>EMP-0514</t>
        </is>
      </c>
      <c r="B518" s="11" t="n">
        <v>430</v>
      </c>
      <c r="C518" s="13" t="inlineStr">
        <is>
          <t>Nº 16607</t>
        </is>
      </c>
      <c r="D518" s="14" t="inlineStr">
        <is>
          <t>CAMPEON</t>
        </is>
      </c>
      <c r="E518" s="13" t="inlineStr">
        <is>
          <t>1. Titular do Registro / Produtor</t>
        </is>
      </c>
      <c r="F518" s="13" t="inlineStr">
        <is>
          <t>Produto Formulado Comercial</t>
        </is>
      </c>
      <c r="G518" s="13" t="inlineStr">
        <is>
          <t>SUMITOMO CHEMICAL BRASIL INDÚSTRIA QUÍMICA S.A.</t>
        </is>
      </c>
      <c r="H518" s="13" t="inlineStr">
        <is>
          <t>Matriz / Estabelecimento Principal</t>
        </is>
      </c>
      <c r="I518" s="13" t="inlineStr">
        <is>
          <t>CNPJ Credenciado MAPA/SIPEAGRO</t>
        </is>
      </c>
      <c r="J518" s="13" t="inlineStr">
        <is>
          <t>Registro Estadual Vigente</t>
        </is>
      </c>
      <c r="K518" s="13" t="inlineStr">
        <is>
          <t>Estabelecimento Credenciado no Brasil</t>
        </is>
      </c>
      <c r="L518" s="13" t="inlineStr">
        <is>
          <t>Brasil</t>
        </is>
      </c>
      <c r="M518" s="13" t="inlineStr">
        <is>
          <t>0 - Nacional / 1 - Importação Direta</t>
        </is>
      </c>
    </row>
    <row r="519" ht="22" customHeight="1">
      <c r="A519" s="6" t="inlineStr">
        <is>
          <t>EMP-0515</t>
        </is>
      </c>
      <c r="B519" s="5" t="n">
        <v>431</v>
      </c>
      <c r="C519" s="7" t="inlineStr">
        <is>
          <t>Nº 1923</t>
        </is>
      </c>
      <c r="D519" s="8" t="inlineStr">
        <is>
          <t>PARACHUTE</t>
        </is>
      </c>
      <c r="E519" s="7" t="inlineStr">
        <is>
          <t>1. Titular do Registro / Produtor</t>
        </is>
      </c>
      <c r="F519" s="7" t="inlineStr">
        <is>
          <t>Produto Formulado Comercial</t>
        </is>
      </c>
      <c r="G519" s="7" t="inlineStr">
        <is>
          <t>GLOBACHEM PROTEÇÃO DE CULTIVOS DO BRASIL LTDA.</t>
        </is>
      </c>
      <c r="H519" s="7" t="inlineStr">
        <is>
          <t>Matriz / Estabelecimento Principal</t>
        </is>
      </c>
      <c r="I519" s="7" t="inlineStr">
        <is>
          <t>43.741.357/0001-33</t>
        </is>
      </c>
      <c r="J519" s="7" t="inlineStr">
        <is>
          <t>CDA/SP nº 4326</t>
        </is>
      </c>
      <c r="K519" s="7" t="inlineStr">
        <is>
          <t>Rua Doutor Emílio Ribas, 174, Sala 12, Campinas/SP</t>
        </is>
      </c>
      <c r="L519" s="7" t="inlineStr">
        <is>
          <t>Brasil</t>
        </is>
      </c>
      <c r="M519" s="7" t="inlineStr">
        <is>
          <t>0 - Nacional / 1 - Importação Direta</t>
        </is>
      </c>
    </row>
    <row r="520" ht="22" customHeight="1">
      <c r="A520" s="12" t="inlineStr">
        <is>
          <t>EMP-0516</t>
        </is>
      </c>
      <c r="B520" s="11" t="n">
        <v>432</v>
      </c>
      <c r="C520" s="13" t="inlineStr">
        <is>
          <t>Nº 1923</t>
        </is>
      </c>
      <c r="D520" s="14" t="inlineStr">
        <is>
          <t>PARACHUTE</t>
        </is>
      </c>
      <c r="E520" s="13" t="inlineStr">
        <is>
          <t>1. Titular do Registro / Produtor</t>
        </is>
      </c>
      <c r="F520" s="13" t="inlineStr">
        <is>
          <t>Produto Formulado Comercial</t>
        </is>
      </c>
      <c r="G520" s="13" t="inlineStr">
        <is>
          <t>GLOBACHEM PROTEÇÃO DE CULTIVOS DO BRASIL LTDA.</t>
        </is>
      </c>
      <c r="H520" s="13" t="inlineStr">
        <is>
          <t>Matriz / Estabelecimento Principal</t>
        </is>
      </c>
      <c r="I520" s="13" t="inlineStr">
        <is>
          <t>43.741.357/0001-33</t>
        </is>
      </c>
      <c r="J520" s="13" t="inlineStr">
        <is>
          <t>CDA/SP nº 4326</t>
        </is>
      </c>
      <c r="K520" s="13" t="inlineStr">
        <is>
          <t>Rua Doutor Emílio Ribas, 174, Sala 12, Campinas/SP</t>
        </is>
      </c>
      <c r="L520" s="13" t="inlineStr">
        <is>
          <t>Brasil</t>
        </is>
      </c>
      <c r="M520" s="13" t="inlineStr">
        <is>
          <t>0 - Nacional / 1 - Importação Direta</t>
        </is>
      </c>
    </row>
    <row r="521" ht="22" customHeight="1">
      <c r="A521" s="6" t="inlineStr">
        <is>
          <t>EMP-0517</t>
        </is>
      </c>
      <c r="B521" s="5" t="n">
        <v>433</v>
      </c>
      <c r="C521" s="7" t="inlineStr">
        <is>
          <t>Nº 15716</t>
        </is>
      </c>
      <c r="D521" s="8" t="inlineStr">
        <is>
          <t>DIFCOR 250 EC BR</t>
        </is>
      </c>
      <c r="E521" s="7" t="inlineStr">
        <is>
          <t>1. Titular do Registro / Produtor</t>
        </is>
      </c>
      <c r="F521" s="7" t="inlineStr">
        <is>
          <t>Produto Formulado Comercial</t>
        </is>
      </c>
      <c r="G521" s="7" t="inlineStr">
        <is>
          <t>GLOBACHEM PROTEÇÃO DE CULTIVOS DO BRASIL LTDA.</t>
        </is>
      </c>
      <c r="H521" s="7" t="inlineStr">
        <is>
          <t>Matriz / Estabelecimento Principal</t>
        </is>
      </c>
      <c r="I521" s="7" t="inlineStr">
        <is>
          <t>43.741.357/0001-33</t>
        </is>
      </c>
      <c r="J521" s="7" t="inlineStr">
        <is>
          <t>CDA/SP nº 4326</t>
        </is>
      </c>
      <c r="K521" s="7" t="inlineStr">
        <is>
          <t>Rua Doutor Emílio Ribas, 174, Sala 12, Campinas/SP</t>
        </is>
      </c>
      <c r="L521" s="7" t="inlineStr">
        <is>
          <t>Brasil</t>
        </is>
      </c>
      <c r="M521" s="7" t="inlineStr">
        <is>
          <t>0 - Nacional / 1 - Importação Direta</t>
        </is>
      </c>
    </row>
    <row r="522" ht="22" customHeight="1">
      <c r="A522" s="12" t="inlineStr">
        <is>
          <t>EMP-0518</t>
        </is>
      </c>
      <c r="B522" s="11" t="n">
        <v>434</v>
      </c>
      <c r="C522" s="13" t="inlineStr">
        <is>
          <t>Nº 40624</t>
        </is>
      </c>
      <c r="D522" s="14" t="inlineStr">
        <is>
          <t>CHLORPYRIFOS 480 EC AGCN</t>
        </is>
      </c>
      <c r="E522" s="13" t="inlineStr">
        <is>
          <t>1. Titular do Registro / Produtor</t>
        </is>
      </c>
      <c r="F522" s="13" t="inlineStr">
        <is>
          <t>Produto Formulado Comercial</t>
        </is>
      </c>
      <c r="G522" s="13" t="inlineStr">
        <is>
          <t>AGRICONNECTION IMPORTADORA E EXPORTADORA DE INSUMOS AGRÍCOLAS LTDA.</t>
        </is>
      </c>
      <c r="H522" s="13" t="inlineStr">
        <is>
          <t>Matriz / Estabelecimento Principal</t>
        </is>
      </c>
      <c r="I522" s="13" t="inlineStr">
        <is>
          <t>39.496.730/0001-60</t>
        </is>
      </c>
      <c r="J522" s="13" t="inlineStr">
        <is>
          <t>CDA/SP nº 4354 / INDEA/MT nº 27326</t>
        </is>
      </c>
      <c r="K522" s="13" t="inlineStr">
        <is>
          <t>Alameda Rio Negro, 585, Sala 145 A, Alphaville, Barueri/SP - CEP 06454-000</t>
        </is>
      </c>
      <c r="L522" s="13" t="inlineStr">
        <is>
          <t>Brasil</t>
        </is>
      </c>
      <c r="M522" s="13" t="inlineStr">
        <is>
          <t>0 - Nacional / 1 - Importação Direta</t>
        </is>
      </c>
    </row>
    <row r="523" ht="22" customHeight="1">
      <c r="A523" s="6" t="inlineStr">
        <is>
          <t>EMP-0519</t>
        </is>
      </c>
      <c r="B523" s="5" t="n">
        <v>434</v>
      </c>
      <c r="C523" s="7" t="inlineStr">
        <is>
          <t>Nº 40624</t>
        </is>
      </c>
      <c r="D523" s="8" t="inlineStr">
        <is>
          <t>CHLORPYRIFOS 480 EC AGCN</t>
        </is>
      </c>
      <c r="E523" s="7" t="inlineStr">
        <is>
          <t>2. Fabricante do Produto Técnico</t>
        </is>
      </c>
      <c r="F523" s="7" t="inlineStr">
        <is>
          <t>Clorpirifós Técnico LA (TC16820)</t>
        </is>
      </c>
      <c r="G523" s="7" t="inlineStr">
        <is>
          <t>DEZHOU LUBA FINE CHEMICAL CO., LTD.</t>
        </is>
      </c>
      <c r="H523" s="7" t="inlineStr">
        <is>
          <t>Dezhou Plant</t>
        </is>
      </c>
      <c r="I523" s="7" t="inlineStr">
        <is>
          <t>EXT-CHN-LUBA</t>
        </is>
      </c>
      <c r="J523" s="7" t="inlineStr">
        <is>
          <t>Isento Exterior</t>
        </is>
      </c>
      <c r="K523" s="7" t="inlineStr">
        <is>
          <t>288 Hengdong Road, Dezhou, Shandong - China</t>
        </is>
      </c>
      <c r="L523" s="7" t="inlineStr">
        <is>
          <t>China</t>
        </is>
      </c>
      <c r="M523" s="7" t="inlineStr">
        <is>
          <t>1/2 - Importado</t>
        </is>
      </c>
    </row>
    <row r="524" ht="22" customHeight="1">
      <c r="A524" s="12" t="inlineStr">
        <is>
          <t>EMP-0520</t>
        </is>
      </c>
      <c r="B524" s="11" t="n">
        <v>434</v>
      </c>
      <c r="C524" s="13" t="inlineStr">
        <is>
          <t>Nº 40624</t>
        </is>
      </c>
      <c r="D524" s="14" t="inlineStr">
        <is>
          <t>CHLORPYRIFOS 480 EC AGCN</t>
        </is>
      </c>
      <c r="E524" s="13" t="inlineStr">
        <is>
          <t>2. Fabricante do Produto Técnico</t>
        </is>
      </c>
      <c r="F524" s="13" t="inlineStr">
        <is>
          <t>Clorpirifós Técnico Gharda (44418)</t>
        </is>
      </c>
      <c r="G524" s="13" t="inlineStr">
        <is>
          <t>GHARDA CHEMICALS LIMITED</t>
        </is>
      </c>
      <c r="H524" s="13" t="inlineStr">
        <is>
          <t>Ratnagiri Plant</t>
        </is>
      </c>
      <c r="I524" s="13" t="inlineStr">
        <is>
          <t>EXT-IND-GHARDA</t>
        </is>
      </c>
      <c r="J524" s="13" t="inlineStr">
        <is>
          <t>Isento Exterior</t>
        </is>
      </c>
      <c r="K524" s="13" t="inlineStr">
        <is>
          <t>D-1/2 MIDC Lote Parshuram, Maharashtra - Índia</t>
        </is>
      </c>
      <c r="L524" s="13" t="inlineStr">
        <is>
          <t>Índia</t>
        </is>
      </c>
      <c r="M524" s="13" t="inlineStr">
        <is>
          <t>1/2 - Importado</t>
        </is>
      </c>
    </row>
    <row r="525" ht="22" customHeight="1">
      <c r="A525" s="6" t="inlineStr">
        <is>
          <t>EMP-0521</t>
        </is>
      </c>
      <c r="B525" s="5" t="n">
        <v>434</v>
      </c>
      <c r="C525" s="7" t="inlineStr">
        <is>
          <t>Nº 40624</t>
        </is>
      </c>
      <c r="D525" s="8" t="inlineStr">
        <is>
          <t>CHLORPYRIFOS 480 EC AGCN</t>
        </is>
      </c>
      <c r="E525" s="7" t="inlineStr">
        <is>
          <t>3. Formulador</t>
        </is>
      </c>
      <c r="F525" s="7" t="inlineStr">
        <is>
          <t>Shark 480 EC</t>
        </is>
      </c>
      <c r="G525" s="7" t="inlineStr">
        <is>
          <t>JINAN LUBA PESTICIDES CO., LTD.</t>
        </is>
      </c>
      <c r="H525" s="7" t="inlineStr">
        <is>
          <t>Jinan Plant</t>
        </is>
      </c>
      <c r="I525" s="7" t="inlineStr">
        <is>
          <t>EXT-CHN-JINANLUBA</t>
        </is>
      </c>
      <c r="J525" s="7" t="inlineStr">
        <is>
          <t>Isento Exterior</t>
        </is>
      </c>
      <c r="K525" s="7" t="inlineStr">
        <is>
          <t>Shanghe Economic Dev. Zone, Jinan, Shandong - China</t>
        </is>
      </c>
      <c r="L525" s="7" t="inlineStr">
        <is>
          <t>China</t>
        </is>
      </c>
      <c r="M525" s="7" t="inlineStr">
        <is>
          <t>1/2 - Importado</t>
        </is>
      </c>
    </row>
    <row r="526" ht="22" customHeight="1">
      <c r="A526" s="12" t="inlineStr">
        <is>
          <t>EMP-0522</t>
        </is>
      </c>
      <c r="B526" s="11" t="n">
        <v>434</v>
      </c>
      <c r="C526" s="13" t="inlineStr">
        <is>
          <t>Nº 40624</t>
        </is>
      </c>
      <c r="D526" s="14" t="inlineStr">
        <is>
          <t>CHLORPYRIFOS 480 EC AGCN</t>
        </is>
      </c>
      <c r="E526" s="13" t="inlineStr">
        <is>
          <t>3. Formulador</t>
        </is>
      </c>
      <c r="F526" s="13" t="inlineStr">
        <is>
          <t>Shark 480 EC</t>
        </is>
      </c>
      <c r="G526" s="13" t="inlineStr">
        <is>
          <t>GSP CROP SCIENCE LIMITED</t>
        </is>
      </c>
      <c r="H526" s="13" t="inlineStr">
        <is>
          <t>Ahmedabad / Baroda Plant</t>
        </is>
      </c>
      <c r="I526" s="13" t="inlineStr">
        <is>
          <t>EXT-IND-GSP</t>
        </is>
      </c>
      <c r="J526" s="13" t="inlineStr">
        <is>
          <t>Isento Exterior</t>
        </is>
      </c>
      <c r="K526" s="13" t="inlineStr">
        <is>
          <t>GIDC Nandesari, Baroda, Gujarat - Índia</t>
        </is>
      </c>
      <c r="L526" s="13" t="inlineStr">
        <is>
          <t>Índia</t>
        </is>
      </c>
      <c r="M526" s="13" t="inlineStr">
        <is>
          <t>1/2 - Importado</t>
        </is>
      </c>
    </row>
    <row r="527" ht="22" customHeight="1">
      <c r="A527" s="6" t="inlineStr">
        <is>
          <t>EMP-0523</t>
        </is>
      </c>
      <c r="B527" s="5" t="n">
        <v>434</v>
      </c>
      <c r="C527" s="7" t="inlineStr">
        <is>
          <t>Nº 40624</t>
        </is>
      </c>
      <c r="D527" s="8" t="inlineStr">
        <is>
          <t>CHLORPYRIFOS 480 EC AGCN</t>
        </is>
      </c>
      <c r="E527" s="7" t="inlineStr">
        <is>
          <t>4. Importador</t>
        </is>
      </c>
      <c r="F527" s="7" t="inlineStr">
        <is>
          <t>Shark 480 EC</t>
        </is>
      </c>
      <c r="G527" s="7" t="inlineStr">
        <is>
          <t>AGRICONNECTION IMP. E EXP. DE INSUMOS AGRÍCOLAS LTDA.</t>
        </is>
      </c>
      <c r="H527" s="7" t="inlineStr">
        <is>
          <t>Filial Cuiabá/MT</t>
        </is>
      </c>
      <c r="I527" s="7" t="inlineStr">
        <is>
          <t>39.496.730/0002-41</t>
        </is>
      </c>
      <c r="J527" s="7" t="inlineStr">
        <is>
          <t>INDEA/MT nº 29497</t>
        </is>
      </c>
      <c r="K527" s="7" t="inlineStr">
        <is>
          <t>Rod. dos Imigrantes, S/N, Galpão 01, Cuiabá/MT</t>
        </is>
      </c>
      <c r="L527" s="7" t="inlineStr">
        <is>
          <t>Brasil</t>
        </is>
      </c>
      <c r="M527" s="7" t="inlineStr">
        <is>
          <t>1 - Importação Direta</t>
        </is>
      </c>
    </row>
    <row r="528" ht="22" customHeight="1">
      <c r="A528" s="12" t="inlineStr">
        <is>
          <t>EMP-0524</t>
        </is>
      </c>
      <c r="B528" s="11" t="n">
        <v>435</v>
      </c>
      <c r="C528" s="13" t="inlineStr">
        <is>
          <t>Nº 31422</t>
        </is>
      </c>
      <c r="D528" s="14" t="inlineStr">
        <is>
          <t>ZARPAL</t>
        </is>
      </c>
      <c r="E528" s="13" t="inlineStr">
        <is>
          <t>1. Titular do Registro / Produtor</t>
        </is>
      </c>
      <c r="F528" s="13" t="inlineStr">
        <is>
          <t>Produto Formulado Comercial</t>
        </is>
      </c>
      <c r="G528" s="13" t="inlineStr">
        <is>
          <t>GLOBACHEM PROTEÇÃO DE CULTIVOS DO BRASIL LTDA.</t>
        </is>
      </c>
      <c r="H528" s="13" t="inlineStr">
        <is>
          <t>Matriz / Estabelecimento Principal</t>
        </is>
      </c>
      <c r="I528" s="13" t="inlineStr">
        <is>
          <t>43.741.357/0001-33</t>
        </is>
      </c>
      <c r="J528" s="13" t="inlineStr">
        <is>
          <t>CDA/SP nº 4326</t>
        </is>
      </c>
      <c r="K528" s="13" t="inlineStr">
        <is>
          <t>Rua Doutor Emílio Ribas, 174, Sala 12, Cambuí, Campinas/SP - CEP 13025-140</t>
        </is>
      </c>
      <c r="L528" s="13" t="inlineStr">
        <is>
          <t>Brasil</t>
        </is>
      </c>
      <c r="M528" s="13" t="inlineStr">
        <is>
          <t>0 - Nacional / 1 - Importação Direta</t>
        </is>
      </c>
    </row>
    <row r="529" ht="22" customHeight="1">
      <c r="A529" s="6" t="inlineStr">
        <is>
          <t>EMP-0525</t>
        </is>
      </c>
      <c r="B529" s="5" t="n">
        <v>436</v>
      </c>
      <c r="C529" s="7" t="inlineStr">
        <is>
          <t>Nº 39617</t>
        </is>
      </c>
      <c r="D529" s="8" t="inlineStr">
        <is>
          <t>SHYPER 250 EC</t>
        </is>
      </c>
      <c r="E529" s="7" t="inlineStr">
        <is>
          <t>1. Titular do Registro / Produtor</t>
        </is>
      </c>
      <c r="F529" s="7" t="inlineStr">
        <is>
          <t>Produto Formulado Comercial</t>
        </is>
      </c>
      <c r="G529" s="7" t="inlineStr">
        <is>
          <t>SHARDA DO BRASIL COMÉRCIO DE PRODUTOS QUÍMICOS E AGROQUÍMICOS LTDA.</t>
        </is>
      </c>
      <c r="H529" s="7" t="inlineStr">
        <is>
          <t>Matriz / Estabelecimento Principal</t>
        </is>
      </c>
      <c r="I529" s="7" t="inlineStr">
        <is>
          <t>CNPJ Credenciado MAPA/SIPEAGRO</t>
        </is>
      </c>
      <c r="J529" s="7" t="inlineStr">
        <is>
          <t>Registro Estadual Vigente</t>
        </is>
      </c>
      <c r="K529" s="7" t="inlineStr">
        <is>
          <t>Estabelecimento Credenciado no Brasil</t>
        </is>
      </c>
      <c r="L529" s="7" t="inlineStr">
        <is>
          <t>Brasil</t>
        </is>
      </c>
      <c r="M529" s="7" t="inlineStr">
        <is>
          <t>0 - Nacional / 1 - Importação Direta</t>
        </is>
      </c>
    </row>
    <row r="530" ht="22" customHeight="1">
      <c r="A530" s="12" t="inlineStr">
        <is>
          <t>EMP-0526</t>
        </is>
      </c>
      <c r="B530" s="11" t="n">
        <v>437</v>
      </c>
      <c r="C530" s="13" t="inlineStr">
        <is>
          <t>Nº 32821</t>
        </is>
      </c>
      <c r="D530" s="14" t="inlineStr">
        <is>
          <t>SIRTAKI 360 CS</t>
        </is>
      </c>
      <c r="E530" s="13" t="inlineStr">
        <is>
          <t>1. Titular do Registro / Produtor</t>
        </is>
      </c>
      <c r="F530" s="13" t="inlineStr">
        <is>
          <t>Produto Formulado Comercial</t>
        </is>
      </c>
      <c r="G530" s="13" t="inlineStr">
        <is>
          <t>SIPCAM NICHINO BRASIL S.A.</t>
        </is>
      </c>
      <c r="H530" s="13" t="inlineStr">
        <is>
          <t>Matriz / Estabelecimento Principal</t>
        </is>
      </c>
      <c r="I530" s="13" t="inlineStr">
        <is>
          <t>CNPJ Credenciado MAPA/SIPEAGRO</t>
        </is>
      </c>
      <c r="J530" s="13" t="inlineStr">
        <is>
          <t>Registro Estadual Vigente</t>
        </is>
      </c>
      <c r="K530" s="13" t="inlineStr">
        <is>
          <t>Estabelecimento Credenciado no Brasil</t>
        </is>
      </c>
      <c r="L530" s="13" t="inlineStr">
        <is>
          <t>Brasil</t>
        </is>
      </c>
      <c r="M530" s="13" t="inlineStr">
        <is>
          <t>0 - Nacional / 1 - Importação Direta</t>
        </is>
      </c>
    </row>
    <row r="531" ht="22" customHeight="1">
      <c r="A531" s="6" t="inlineStr">
        <is>
          <t>EMP-0527</t>
        </is>
      </c>
      <c r="B531" s="5" t="n">
        <v>438</v>
      </c>
      <c r="C531" s="7" t="inlineStr">
        <is>
          <t>Nº 24218</t>
        </is>
      </c>
      <c r="D531" s="8" t="inlineStr">
        <is>
          <t>2,4-D 806 SL (PRINCIPIO ATIVO)</t>
        </is>
      </c>
      <c r="E531" s="7" t="inlineStr">
        <is>
          <t>1. Titular do Registro / Produtor</t>
        </is>
      </c>
      <c r="F531" s="7" t="inlineStr">
        <is>
          <t>Produto Técnico Industrial</t>
        </is>
      </c>
      <c r="G531" s="7" t="inlineStr">
        <is>
          <t>ALBAUGH AGRO BRASIL LTDA. / RAINBOW DEFENSIVOS AGRÍCOLAS LTDA.</t>
        </is>
      </c>
      <c r="H531" s="7" t="inlineStr">
        <is>
          <t>Matriz / Estabelecimento Principal</t>
        </is>
      </c>
      <c r="I531" s="7" t="inlineStr">
        <is>
          <t>CNPJ Credenciado MAPA/SIPEAGRO</t>
        </is>
      </c>
      <c r="J531" s="7" t="inlineStr">
        <is>
          <t>Registro Estadual Vigente</t>
        </is>
      </c>
      <c r="K531" s="7" t="inlineStr">
        <is>
          <t>Estabelecimento Credenciado no Brasil</t>
        </is>
      </c>
      <c r="L531" s="7" t="inlineStr">
        <is>
          <t>Brasil</t>
        </is>
      </c>
      <c r="M531" s="7" t="inlineStr">
        <is>
          <t>0 - Nacional / 1 - Importação Direta</t>
        </is>
      </c>
    </row>
    <row r="532" ht="22" customHeight="1">
      <c r="A532" s="12" t="inlineStr">
        <is>
          <t>EMP-0528</t>
        </is>
      </c>
      <c r="B532" s="11" t="n">
        <v>439</v>
      </c>
      <c r="C532" s="13" t="inlineStr">
        <is>
          <t>Nº 12225</t>
        </is>
      </c>
      <c r="D532" s="14" t="inlineStr">
        <is>
          <t>IMPACTUS CS (PRINCIPIO ATIVO)</t>
        </is>
      </c>
      <c r="E532" s="13" t="inlineStr">
        <is>
          <t>1. Titular do Registro / Produtor</t>
        </is>
      </c>
      <c r="F532" s="13" t="inlineStr">
        <is>
          <t>Produto Técnico Industrial</t>
        </is>
      </c>
      <c r="G532" s="13" t="inlineStr">
        <is>
          <t>RAINBOW DEFENSIVOS AGRÍCOLAS LTDA.</t>
        </is>
      </c>
      <c r="H532" s="13" t="inlineStr">
        <is>
          <t>Matriz / Estabelecimento Principal</t>
        </is>
      </c>
      <c r="I532" s="13" t="inlineStr">
        <is>
          <t>CNPJ Credenciado MAPA/SIPEAGRO</t>
        </is>
      </c>
      <c r="J532" s="13" t="inlineStr">
        <is>
          <t>Registro Estadual Vigente</t>
        </is>
      </c>
      <c r="K532" s="13" t="inlineStr">
        <is>
          <t>Estabelecimento Credenciado no Brasil</t>
        </is>
      </c>
      <c r="L532" s="13" t="inlineStr">
        <is>
          <t>Brasil</t>
        </is>
      </c>
      <c r="M532" s="13" t="inlineStr">
        <is>
          <t>0 - Nacional / 1 - Importação Direta</t>
        </is>
      </c>
    </row>
    <row r="533" ht="22" customHeight="1">
      <c r="A533" s="6" t="inlineStr">
        <is>
          <t>EMP-0529</t>
        </is>
      </c>
      <c r="B533" s="5" t="n">
        <v>440</v>
      </c>
      <c r="C533" s="7" t="inlineStr">
        <is>
          <t>Nº 28421</t>
        </is>
      </c>
      <c r="D533" s="8" t="inlineStr">
        <is>
          <t>CLORFENAPIR CCAB</t>
        </is>
      </c>
      <c r="E533" s="7" t="inlineStr">
        <is>
          <t>1. Titular do Registro</t>
        </is>
      </c>
      <c r="F533" s="7" t="inlineStr">
        <is>
          <t>Produto Técnico Industrial</t>
        </is>
      </c>
      <c r="G533" s="7" t="inlineStr">
        <is>
          <t>Clorfenapir 240 g</t>
        </is>
      </c>
      <c r="H533" s="7" t="inlineStr">
        <is>
          <t>Estabelecimento Credenciado</t>
        </is>
      </c>
      <c r="I533" s="7" t="inlineStr">
        <is>
          <t>CNPJ Credenciado MAPA</t>
        </is>
      </c>
      <c r="J533" s="7" t="inlineStr">
        <is>
          <t>Registro Estadual Vigente</t>
        </is>
      </c>
      <c r="K533" s="7" t="inlineStr">
        <is>
          <t>Unidade Operacional Brasil</t>
        </is>
      </c>
      <c r="L533" s="7" t="inlineStr">
        <is>
          <t>Brasil</t>
        </is>
      </c>
      <c r="M533" s="7" t="inlineStr">
        <is>
          <t>0/1/2 - Conforme Origem do Lote</t>
        </is>
      </c>
    </row>
    <row r="534" ht="22" customHeight="1">
      <c r="A534" s="12" t="inlineStr">
        <is>
          <t>EMP-0530</t>
        </is>
      </c>
      <c r="B534" s="11" t="n">
        <v>440</v>
      </c>
      <c r="C534" s="13" t="inlineStr">
        <is>
          <t>Nº 28421</t>
        </is>
      </c>
      <c r="D534" s="14" t="inlineStr">
        <is>
          <t>CLORFENAPIR CCAB</t>
        </is>
      </c>
      <c r="E534" s="13" t="inlineStr">
        <is>
          <t>3. Formulador / Co-Distribuidor Autorizado</t>
        </is>
      </c>
      <c r="F534" s="13" t="inlineStr">
        <is>
          <t>Produto Técnico Industrial</t>
        </is>
      </c>
      <c r="G534" s="13" t="inlineStr">
        <is>
          <t>L SC</t>
        </is>
      </c>
      <c r="H534" s="13" t="inlineStr">
        <is>
          <t>Estabelecimento Credenciado</t>
        </is>
      </c>
      <c r="I534" s="13" t="inlineStr">
        <is>
          <t>CNPJ Credenciado MAPA</t>
        </is>
      </c>
      <c r="J534" s="13" t="inlineStr">
        <is>
          <t>Registro Estadual Vigente</t>
        </is>
      </c>
      <c r="K534" s="13" t="inlineStr">
        <is>
          <t>Unidade Operacional Brasil</t>
        </is>
      </c>
      <c r="L534" s="13" t="inlineStr">
        <is>
          <t>Brasil</t>
        </is>
      </c>
      <c r="M534" s="13" t="inlineStr">
        <is>
          <t>0/1/2 - Conforme Origem do Lote</t>
        </is>
      </c>
    </row>
    <row r="535" ht="22" customHeight="1">
      <c r="A535" s="6" t="inlineStr">
        <is>
          <t>EMP-0531</t>
        </is>
      </c>
      <c r="B535" s="5" t="n">
        <v>441</v>
      </c>
      <c r="C535" s="7" t="inlineStr">
        <is>
          <t>Nº 26017</t>
        </is>
      </c>
      <c r="D535" s="8" t="inlineStr">
        <is>
          <t>MESOTRIONA PROVENTIS (PRINCIPIO ATIVO)</t>
        </is>
      </c>
      <c r="E535" s="7" t="inlineStr">
        <is>
          <t>1. Titular do Registro / Produtor</t>
        </is>
      </c>
      <c r="F535" s="7" t="inlineStr">
        <is>
          <t>Produto Técnico Industrial</t>
        </is>
      </c>
      <c r="G535" s="7" t="inlineStr">
        <is>
          <t>PROVENTIS LIFESCIENCE DEFENSIVOS AGRÍCOLAS LTDA.</t>
        </is>
      </c>
      <c r="H535" s="7" t="inlineStr">
        <is>
          <t>Matriz / Estabelecimento Principal</t>
        </is>
      </c>
      <c r="I535" s="7" t="inlineStr">
        <is>
          <t>CNPJ Credenciado MAPA/SIPEAGRO</t>
        </is>
      </c>
      <c r="J535" s="7" t="inlineStr">
        <is>
          <t>Registro Estadual Vigente</t>
        </is>
      </c>
      <c r="K535" s="7" t="inlineStr">
        <is>
          <t>Estabelecimento Credenciado no Brasil</t>
        </is>
      </c>
      <c r="L535" s="7" t="inlineStr">
        <is>
          <t>Brasil</t>
        </is>
      </c>
      <c r="M535" s="7" t="inlineStr">
        <is>
          <t>0 - Nacional / 1 - Importação Direta</t>
        </is>
      </c>
    </row>
    <row r="536" ht="22" customHeight="1">
      <c r="A536" s="12" t="inlineStr">
        <is>
          <t>EMP-0532</t>
        </is>
      </c>
      <c r="B536" s="11" t="n">
        <v>442</v>
      </c>
      <c r="C536" s="13" t="inlineStr">
        <is>
          <t>Nº 1218</t>
        </is>
      </c>
      <c r="D536" s="14" t="inlineStr">
        <is>
          <t>ACETAMIPRID 200 (PRINCIPIO ATVO)</t>
        </is>
      </c>
      <c r="E536" s="13" t="inlineStr">
        <is>
          <t>1. Titular do Registro</t>
        </is>
      </c>
      <c r="F536" s="13" t="inlineStr">
        <is>
          <t>Produto Técnico Industrial</t>
        </is>
      </c>
      <c r="G536" s="13" t="inlineStr">
        <is>
          <t>Acetamiprido 200 g</t>
        </is>
      </c>
      <c r="H536" s="13" t="inlineStr">
        <is>
          <t>Estabelecimento Credenciado</t>
        </is>
      </c>
      <c r="I536" s="13" t="inlineStr">
        <is>
          <t>CNPJ Credenciado MAPA</t>
        </is>
      </c>
      <c r="J536" s="13" t="inlineStr">
        <is>
          <t>Registro Estadual Vigente</t>
        </is>
      </c>
      <c r="K536" s="13" t="inlineStr">
        <is>
          <t>Unidade Operacional Brasil</t>
        </is>
      </c>
      <c r="L536" s="13" t="inlineStr">
        <is>
          <t>Brasil</t>
        </is>
      </c>
      <c r="M536" s="13" t="inlineStr">
        <is>
          <t>0/1/2 - Conforme Origem do Lote</t>
        </is>
      </c>
    </row>
    <row r="537" ht="22" customHeight="1">
      <c r="A537" s="6" t="inlineStr">
        <is>
          <t>EMP-0533</t>
        </is>
      </c>
      <c r="B537" s="5" t="n">
        <v>442</v>
      </c>
      <c r="C537" s="7" t="inlineStr">
        <is>
          <t>Nº 1218</t>
        </is>
      </c>
      <c r="D537" s="8" t="inlineStr">
        <is>
          <t>ACETAMIPRID 200 (PRINCIPIO ATVO)</t>
        </is>
      </c>
      <c r="E537" s="7" t="inlineStr">
        <is>
          <t>3. Formulador / Co-Distribuidor Autorizado</t>
        </is>
      </c>
      <c r="F537" s="7" t="inlineStr">
        <is>
          <t>Produto Técnico Industrial</t>
        </is>
      </c>
      <c r="G537" s="7" t="inlineStr">
        <is>
          <t>kg SP</t>
        </is>
      </c>
      <c r="H537" s="7" t="inlineStr">
        <is>
          <t>Estabelecimento Credenciado</t>
        </is>
      </c>
      <c r="I537" s="7" t="inlineStr">
        <is>
          <t>CNPJ Credenciado MAPA</t>
        </is>
      </c>
      <c r="J537" s="7" t="inlineStr">
        <is>
          <t>Registro Estadual Vigente</t>
        </is>
      </c>
      <c r="K537" s="7" t="inlineStr">
        <is>
          <t>Unidade Operacional Brasil</t>
        </is>
      </c>
      <c r="L537" s="7" t="inlineStr">
        <is>
          <t>Brasil</t>
        </is>
      </c>
      <c r="M537" s="7" t="inlineStr">
        <is>
          <t>0/1/2 - Conforme Origem do Lote</t>
        </is>
      </c>
    </row>
    <row r="538" ht="22" customHeight="1">
      <c r="A538" s="12" t="inlineStr">
        <is>
          <t>EMP-0534</t>
        </is>
      </c>
      <c r="B538" s="11" t="n">
        <v>443</v>
      </c>
      <c r="C538" s="13" t="inlineStr">
        <is>
          <t>Nº 39617</t>
        </is>
      </c>
      <c r="D538" s="14" t="inlineStr">
        <is>
          <t>SHYPER 250 EC</t>
        </is>
      </c>
      <c r="E538" s="13" t="inlineStr">
        <is>
          <t>1. Titular do Registro / Produtor</t>
        </is>
      </c>
      <c r="F538" s="13" t="inlineStr">
        <is>
          <t>Produto Formulado Comercial</t>
        </is>
      </c>
      <c r="G538" s="13" t="inlineStr">
        <is>
          <t>SHARDA DO BRASIL COMÉRCIO DE PRODUTOS QUÍMICOS E AGROQUÍMICOS LTDA.</t>
        </is>
      </c>
      <c r="H538" s="13" t="inlineStr">
        <is>
          <t>Matriz / Estabelecimento Principal</t>
        </is>
      </c>
      <c r="I538" s="13" t="inlineStr">
        <is>
          <t>CNPJ Credenciado MAPA/SIPEAGRO</t>
        </is>
      </c>
      <c r="J538" s="13" t="inlineStr">
        <is>
          <t>Registro Estadual Vigente</t>
        </is>
      </c>
      <c r="K538" s="13" t="inlineStr">
        <is>
          <t>Estabelecimento Credenciado no Brasil</t>
        </is>
      </c>
      <c r="L538" s="13" t="inlineStr">
        <is>
          <t>Brasil</t>
        </is>
      </c>
      <c r="M538" s="13" t="inlineStr">
        <is>
          <t>0 - Nacional / 1 - Importação Direta</t>
        </is>
      </c>
    </row>
    <row r="539" ht="22" customHeight="1">
      <c r="A539" s="6" t="inlineStr">
        <is>
          <t>EMP-0535</t>
        </is>
      </c>
      <c r="B539" s="5" t="n">
        <v>444</v>
      </c>
      <c r="C539" s="7" t="inlineStr">
        <is>
          <t>Nº 1223</t>
        </is>
      </c>
      <c r="D539" s="8" t="inlineStr">
        <is>
          <t>FULLGUARD</t>
        </is>
      </c>
      <c r="E539" s="7" t="inlineStr">
        <is>
          <t>1. Titular do Registro / Produtor</t>
        </is>
      </c>
      <c r="F539" s="7" t="inlineStr">
        <is>
          <t>Produto Formulado Comercial</t>
        </is>
      </c>
      <c r="G539" s="7" t="inlineStr">
        <is>
          <t>Rainbow Defensivos</t>
        </is>
      </c>
      <c r="H539" s="7" t="inlineStr">
        <is>
          <t>Matriz / Estabelecimento Principal</t>
        </is>
      </c>
      <c r="I539" s="7" t="inlineStr">
        <is>
          <t>10.486.463/0001-69</t>
        </is>
      </c>
      <c r="J539" s="7" t="inlineStr">
        <is>
          <t>SEAPA/RS nº 1928/09</t>
        </is>
      </c>
      <c r="K539" s="7" t="inlineStr">
        <is>
          <t>Estabelecimento Credenciado no Brasil</t>
        </is>
      </c>
      <c r="L539" s="7" t="inlineStr">
        <is>
          <t>Brasil</t>
        </is>
      </c>
      <c r="M539" s="7" t="inlineStr">
        <is>
          <t>0 - Nacional / 1 - Importação Direta</t>
        </is>
      </c>
    </row>
    <row r="540" ht="22" customHeight="1">
      <c r="A540" s="12" t="inlineStr">
        <is>
          <t>EMP-0536</t>
        </is>
      </c>
      <c r="B540" s="11" t="n">
        <v>445</v>
      </c>
      <c r="C540" s="13" t="inlineStr">
        <is>
          <t>Nº 1223</t>
        </is>
      </c>
      <c r="D540" s="14" t="inlineStr">
        <is>
          <t>FULLGUARD</t>
        </is>
      </c>
      <c r="E540" s="13" t="inlineStr">
        <is>
          <t>1. Titular do Registro / Produtor</t>
        </is>
      </c>
      <c r="F540" s="13" t="inlineStr">
        <is>
          <t>Produto Formulado Comercial</t>
        </is>
      </c>
      <c r="G540" s="13" t="inlineStr">
        <is>
          <t>Rainbow Defensivos</t>
        </is>
      </c>
      <c r="H540" s="13" t="inlineStr">
        <is>
          <t>Matriz / Estabelecimento Principal</t>
        </is>
      </c>
      <c r="I540" s="13" t="inlineStr">
        <is>
          <t>10.486.463/0001-69</t>
        </is>
      </c>
      <c r="J540" s="13" t="inlineStr">
        <is>
          <t>SEAPA/RS nº 1928/09</t>
        </is>
      </c>
      <c r="K540" s="13" t="inlineStr">
        <is>
          <t>Estabelecimento Credenciado no Brasil</t>
        </is>
      </c>
      <c r="L540" s="13" t="inlineStr">
        <is>
          <t>Brasil</t>
        </is>
      </c>
      <c r="M540" s="13" t="inlineStr">
        <is>
          <t>0 - Nacional / 1 - Importação Direta</t>
        </is>
      </c>
    </row>
    <row r="541" ht="22" customHeight="1">
      <c r="A541" s="6" t="inlineStr">
        <is>
          <t>EMP-0537</t>
        </is>
      </c>
      <c r="B541" s="5" t="n">
        <v>446</v>
      </c>
      <c r="C541" s="7" t="inlineStr">
        <is>
          <t>Nº 5217</t>
        </is>
      </c>
      <c r="D541" s="8" t="inlineStr">
        <is>
          <t>HERBIZINA PLUS</t>
        </is>
      </c>
      <c r="E541" s="7" t="inlineStr">
        <is>
          <t>1. Titular do Registro</t>
        </is>
      </c>
      <c r="F541" s="7" t="inlineStr">
        <is>
          <t>Produto Formulado Comercial</t>
        </is>
      </c>
      <c r="G541" s="7" t="inlineStr">
        <is>
          <t>Adama</t>
        </is>
      </c>
      <c r="H541" s="7" t="inlineStr">
        <is>
          <t>Estabelecimento Credenciado</t>
        </is>
      </c>
      <c r="I541" s="7" t="inlineStr">
        <is>
          <t>CNPJ Credenciado MAPA</t>
        </is>
      </c>
      <c r="J541" s="7" t="inlineStr">
        <is>
          <t>Registro Estadual Vigente</t>
        </is>
      </c>
      <c r="K541" s="7" t="inlineStr">
        <is>
          <t>Unidade Operacional Brasil</t>
        </is>
      </c>
      <c r="L541" s="7" t="inlineStr">
        <is>
          <t>Brasil</t>
        </is>
      </c>
      <c r="M541" s="7" t="inlineStr">
        <is>
          <t>0/1/2 - Conforme Origem do Lote</t>
        </is>
      </c>
    </row>
    <row r="542" ht="22" customHeight="1">
      <c r="A542" s="12" t="inlineStr">
        <is>
          <t>EMP-0538</t>
        </is>
      </c>
      <c r="B542" s="11" t="n">
        <v>446</v>
      </c>
      <c r="C542" s="13" t="inlineStr">
        <is>
          <t>Nº 5217</t>
        </is>
      </c>
      <c r="D542" s="14" t="inlineStr">
        <is>
          <t>HERBIZINA PLUS</t>
        </is>
      </c>
      <c r="E542" s="13" t="inlineStr">
        <is>
          <t>3. Formulador / Co-Distribuidor Autorizado</t>
        </is>
      </c>
      <c r="F542" s="13" t="inlineStr">
        <is>
          <t>Produto Formulado Comercial</t>
        </is>
      </c>
      <c r="G542" s="13" t="inlineStr">
        <is>
          <t>Ourofino</t>
        </is>
      </c>
      <c r="H542" s="13" t="inlineStr">
        <is>
          <t>Estabelecimento Credenciado</t>
        </is>
      </c>
      <c r="I542" s="13" t="inlineStr">
        <is>
          <t>CNPJ Credenciado MAPA</t>
        </is>
      </c>
      <c r="J542" s="13" t="inlineStr">
        <is>
          <t>Registro Estadual Vigente</t>
        </is>
      </c>
      <c r="K542" s="13" t="inlineStr">
        <is>
          <t>Unidade Operacional Brasil</t>
        </is>
      </c>
      <c r="L542" s="13" t="inlineStr">
        <is>
          <t>Brasil</t>
        </is>
      </c>
      <c r="M542" s="13" t="inlineStr">
        <is>
          <t>0/1/2 - Conforme Origem do Lote</t>
        </is>
      </c>
    </row>
    <row r="543" ht="22" customHeight="1">
      <c r="A543" s="6" t="inlineStr">
        <is>
          <t>EMP-0539</t>
        </is>
      </c>
      <c r="B543" s="5" t="n">
        <v>447</v>
      </c>
      <c r="C543" s="7" t="inlineStr">
        <is>
          <t>Nº 22225</t>
        </is>
      </c>
      <c r="D543" s="8" t="inlineStr">
        <is>
          <t>KILLIGAN</t>
        </is>
      </c>
      <c r="E543" s="7" t="inlineStr">
        <is>
          <t>1. Titular do Registro / Produtor</t>
        </is>
      </c>
      <c r="F543" s="7" t="inlineStr">
        <is>
          <t>Produto Formulado Comercial</t>
        </is>
      </c>
      <c r="G543" s="7" t="inlineStr">
        <is>
          <t>RAINBOW DEFENSIVOS AGRÍCOLAS LTDA.</t>
        </is>
      </c>
      <c r="H543" s="7" t="inlineStr">
        <is>
          <t>Matriz / Estabelecimento Principal</t>
        </is>
      </c>
      <c r="I543" s="7" t="inlineStr">
        <is>
          <t>10.486.463/0001-69</t>
        </is>
      </c>
      <c r="J543" s="7" t="inlineStr">
        <is>
          <t>SEAPA/RS nº 1928/09</t>
        </is>
      </c>
      <c r="K543" s="7" t="inlineStr">
        <is>
          <t>Estabelecimento Credenciado no Brasil</t>
        </is>
      </c>
      <c r="L543" s="7" t="inlineStr">
        <is>
          <t>Brasil</t>
        </is>
      </c>
      <c r="M543" s="7" t="inlineStr">
        <is>
          <t>0 - Nacional / 1 - Importação Direta</t>
        </is>
      </c>
    </row>
    <row r="544" ht="22" customHeight="1">
      <c r="A544" s="12" t="inlineStr">
        <is>
          <t>EMP-0540</t>
        </is>
      </c>
      <c r="B544" s="11" t="n">
        <v>448</v>
      </c>
      <c r="C544" s="13" t="inlineStr">
        <is>
          <t>Nº 26924</t>
        </is>
      </c>
      <c r="D544" s="14" t="inlineStr">
        <is>
          <t>CHLOROCIL</t>
        </is>
      </c>
      <c r="E544" s="13" t="inlineStr">
        <is>
          <t>1. Titular do Registro / Produtor</t>
        </is>
      </c>
      <c r="F544" s="13" t="inlineStr">
        <is>
          <t>Produto Formulado Comercial</t>
        </is>
      </c>
      <c r="G544" s="13" t="inlineStr">
        <is>
          <t>GLOBACHEM PROTEÇÃO DE CULTIVOS DO BRASIL LTDA.</t>
        </is>
      </c>
      <c r="H544" s="13" t="inlineStr">
        <is>
          <t>Matriz / Estabelecimento Principal</t>
        </is>
      </c>
      <c r="I544" s="13" t="inlineStr">
        <is>
          <t>CNPJ Credenciado MAPA/SIPEAGRO</t>
        </is>
      </c>
      <c r="J544" s="13" t="inlineStr">
        <is>
          <t>Registro Estadual Vigente</t>
        </is>
      </c>
      <c r="K544" s="13" t="inlineStr">
        <is>
          <t>Estabelecimento Credenciado no Brasil</t>
        </is>
      </c>
      <c r="L544" s="13" t="inlineStr">
        <is>
          <t>Brasil</t>
        </is>
      </c>
      <c r="M544" s="13" t="inlineStr">
        <is>
          <t>0 - Nacional / 1 - Importação Direta</t>
        </is>
      </c>
    </row>
    <row r="545" ht="22" customHeight="1">
      <c r="A545" s="6" t="inlineStr">
        <is>
          <t>EMP-0541</t>
        </is>
      </c>
      <c r="B545" s="5" t="n">
        <v>449</v>
      </c>
      <c r="C545" s="7" t="inlineStr">
        <is>
          <t>SIPEAGRO (UF-XXXXX)</t>
        </is>
      </c>
      <c r="D545" s="8" t="inlineStr">
        <is>
          <t>MAP 1261 FARELADO</t>
        </is>
      </c>
      <c r="E545" s="7" t="inlineStr">
        <is>
          <t>1. Titular do Registro / Produtor</t>
        </is>
      </c>
      <c r="F545" s="7" t="inlineStr">
        <is>
          <t>Fertilizante Mineral / Organomineral</t>
        </is>
      </c>
      <c r="G545" s="7" t="inlineStr">
        <is>
          <t>Estabelecimento Produtor SIPEAGRO/MAPA</t>
        </is>
      </c>
      <c r="H545" s="7" t="inlineStr">
        <is>
          <t>Matriz / Estabelecimento Principal</t>
        </is>
      </c>
      <c r="I545" s="7" t="inlineStr">
        <is>
          <t>CNPJ Credenciado MAPA/SIPEAGRO</t>
        </is>
      </c>
      <c r="J545" s="7" t="inlineStr">
        <is>
          <t>Registro Estadual Vigente</t>
        </is>
      </c>
      <c r="K545" s="7" t="inlineStr">
        <is>
          <t>Estabelecimento Credenciado no Brasil</t>
        </is>
      </c>
      <c r="L545" s="7" t="inlineStr">
        <is>
          <t>Brasil</t>
        </is>
      </c>
      <c r="M545" s="7" t="inlineStr">
        <is>
          <t>0 - Nacional / 1 - Importação Direta</t>
        </is>
      </c>
    </row>
    <row r="546" ht="22" customHeight="1">
      <c r="A546" s="12" t="inlineStr">
        <is>
          <t>EMP-0542</t>
        </is>
      </c>
      <c r="B546" s="11" t="n">
        <v>450</v>
      </c>
      <c r="C546" s="13" t="inlineStr">
        <is>
          <t>Nº 40624</t>
        </is>
      </c>
      <c r="D546" s="14" t="inlineStr">
        <is>
          <t>CHLORPYRIFOS 480 EC AGCN</t>
        </is>
      </c>
      <c r="E546" s="13" t="inlineStr">
        <is>
          <t>1. Titular do Registro / Produtor</t>
        </is>
      </c>
      <c r="F546" s="13" t="inlineStr">
        <is>
          <t>Produto Formulado Comercial</t>
        </is>
      </c>
      <c r="G546" s="13" t="inlineStr">
        <is>
          <t>AGRICONNECTION IMPORTADORA E EXPORTADORA DE INSUMOS AGRÍCOLAS LTDA.</t>
        </is>
      </c>
      <c r="H546" s="13" t="inlineStr">
        <is>
          <t>Matriz / Estabelecimento Principal</t>
        </is>
      </c>
      <c r="I546" s="13" t="inlineStr">
        <is>
          <t>39.496.730/0001-60</t>
        </is>
      </c>
      <c r="J546" s="13" t="inlineStr">
        <is>
          <t>CDA/SP nº 4354 / INDEA/MT nº 27326</t>
        </is>
      </c>
      <c r="K546" s="13" t="inlineStr">
        <is>
          <t>Alameda Rio Negro, 585, Sala 145 A, Alphaville, Barueri/SP - CEP 06454-000</t>
        </is>
      </c>
      <c r="L546" s="13" t="inlineStr">
        <is>
          <t>Brasil</t>
        </is>
      </c>
      <c r="M546" s="13" t="inlineStr">
        <is>
          <t>0 - Nacional / 1 - Importação Direta</t>
        </is>
      </c>
    </row>
    <row r="547" ht="22" customHeight="1">
      <c r="A547" s="6" t="inlineStr">
        <is>
          <t>EMP-0543</t>
        </is>
      </c>
      <c r="B547" s="5" t="n">
        <v>451</v>
      </c>
      <c r="C547" s="7" t="inlineStr">
        <is>
          <t>Nº 6223</t>
        </is>
      </c>
      <c r="D547" s="8" t="inlineStr">
        <is>
          <t>RIDOWN FULL</t>
        </is>
      </c>
      <c r="E547" s="7" t="inlineStr">
        <is>
          <t>1. Titular do Registro / Produtor</t>
        </is>
      </c>
      <c r="F547" s="7" t="inlineStr">
        <is>
          <t>Produto Formulado Comercial</t>
        </is>
      </c>
      <c r="G547" s="7" t="inlineStr">
        <is>
          <t>Rainbow Defensivos</t>
        </is>
      </c>
      <c r="H547" s="7" t="inlineStr">
        <is>
          <t>Matriz / Estabelecimento Principal</t>
        </is>
      </c>
      <c r="I547" s="7" t="inlineStr">
        <is>
          <t>10.486.463/0001-69</t>
        </is>
      </c>
      <c r="J547" s="7" t="inlineStr">
        <is>
          <t>SEAPA/RS nº 1928/09</t>
        </is>
      </c>
      <c r="K547" s="7" t="inlineStr">
        <is>
          <t>Estabelecimento Credenciado no Brasil</t>
        </is>
      </c>
      <c r="L547" s="7" t="inlineStr">
        <is>
          <t>Brasil</t>
        </is>
      </c>
      <c r="M547" s="7" t="inlineStr">
        <is>
          <t>0 - Nacional / 1 - Importação Direta</t>
        </is>
      </c>
    </row>
    <row r="548" ht="22" customHeight="1">
      <c r="A548" s="12" t="inlineStr">
        <is>
          <t>EMP-0544</t>
        </is>
      </c>
      <c r="B548" s="11" t="n">
        <v>452</v>
      </c>
      <c r="C548" s="13" t="inlineStr">
        <is>
          <t>Nº 12225</t>
        </is>
      </c>
      <c r="D548" s="14" t="inlineStr">
        <is>
          <t>IMPACTUS CS</t>
        </is>
      </c>
      <c r="E548" s="13" t="inlineStr">
        <is>
          <t>1. Titular do Registro / Produtor</t>
        </is>
      </c>
      <c r="F548" s="13" t="inlineStr">
        <is>
          <t>Produto Formulado Comercial</t>
        </is>
      </c>
      <c r="G548" s="13" t="inlineStr">
        <is>
          <t>RAINBOW DEFENSIVOS AGRÍCOLAS LTDA.</t>
        </is>
      </c>
      <c r="H548" s="13" t="inlineStr">
        <is>
          <t>Matriz / Estabelecimento Principal</t>
        </is>
      </c>
      <c r="I548" s="13" t="inlineStr">
        <is>
          <t>10.486.463/0001-69</t>
        </is>
      </c>
      <c r="J548" s="13" t="inlineStr">
        <is>
          <t>SEAPA/RS nº 1928/09</t>
        </is>
      </c>
      <c r="K548" s="13" t="inlineStr">
        <is>
          <t>Estabelecimento Credenciado no Brasil</t>
        </is>
      </c>
      <c r="L548" s="13" t="inlineStr">
        <is>
          <t>Brasil</t>
        </is>
      </c>
      <c r="M548" s="13" t="inlineStr">
        <is>
          <t>0 - Nacional / 1 - Importação Direta</t>
        </is>
      </c>
    </row>
    <row r="549" ht="22" customHeight="1">
      <c r="A549" s="6" t="inlineStr">
        <is>
          <t>EMP-0545</t>
        </is>
      </c>
      <c r="B549" s="5" t="n">
        <v>453</v>
      </c>
      <c r="C549" s="7" t="inlineStr">
        <is>
          <t>Nº 6922</t>
        </is>
      </c>
      <c r="D549" s="8" t="inlineStr">
        <is>
          <t>INSECTRIN</t>
        </is>
      </c>
      <c r="E549" s="7" t="inlineStr">
        <is>
          <t>1. Titular do Registro / Produtor</t>
        </is>
      </c>
      <c r="F549" s="7" t="inlineStr">
        <is>
          <t>Produto Formulado Comercial</t>
        </is>
      </c>
      <c r="G549" s="7" t="inlineStr">
        <is>
          <t>RAINBOW DEFENSIVOS AGRÍCOLAS LTDA.</t>
        </is>
      </c>
      <c r="H549" s="7" t="inlineStr">
        <is>
          <t>Matriz / Estabelecimento Principal</t>
        </is>
      </c>
      <c r="I549" s="7" t="inlineStr">
        <is>
          <t>10.486.463/0001-69</t>
        </is>
      </c>
      <c r="J549" s="7" t="inlineStr">
        <is>
          <t>SEAPA/RS nº 1928/09</t>
        </is>
      </c>
      <c r="K549" s="7" t="inlineStr">
        <is>
          <t>Av. Carlos Gomes, 258, Salas 1103-1106, Boa Vista, Porto Alegre/RS - CEP 90480-000</t>
        </is>
      </c>
      <c r="L549" s="7" t="inlineStr">
        <is>
          <t>Brasil</t>
        </is>
      </c>
      <c r="M549" s="7" t="inlineStr">
        <is>
          <t>0 - Nacional / 1 - Importação Direta</t>
        </is>
      </c>
    </row>
    <row r="550" ht="22" customHeight="1">
      <c r="A550" s="12" t="inlineStr">
        <is>
          <t>EMP-0546</t>
        </is>
      </c>
      <c r="B550" s="11" t="n">
        <v>454</v>
      </c>
      <c r="C550" s="13" t="inlineStr">
        <is>
          <t>Nº 6922</t>
        </is>
      </c>
      <c r="D550" s="14" t="inlineStr">
        <is>
          <t>INSECTRIN</t>
        </is>
      </c>
      <c r="E550" s="13" t="inlineStr">
        <is>
          <t>1. Titular do Registro / Produtor</t>
        </is>
      </c>
      <c r="F550" s="13" t="inlineStr">
        <is>
          <t>Produto Formulado Comercial</t>
        </is>
      </c>
      <c r="G550" s="13" t="inlineStr">
        <is>
          <t>RAINBOW DEFENSIVOS AGRÍCOLAS LTDA.</t>
        </is>
      </c>
      <c r="H550" s="13" t="inlineStr">
        <is>
          <t>Matriz / Estabelecimento Principal</t>
        </is>
      </c>
      <c r="I550" s="13" t="inlineStr">
        <is>
          <t>10.486.463/0001-69</t>
        </is>
      </c>
      <c r="J550" s="13" t="inlineStr">
        <is>
          <t>SEAPA/RS nº 1928/09</t>
        </is>
      </c>
      <c r="K550" s="13" t="inlineStr">
        <is>
          <t>Av. Carlos Gomes, 258, Salas 1103-1106, Boa Vista, Porto Alegre/RS - CEP 90480-000</t>
        </is>
      </c>
      <c r="L550" s="13" t="inlineStr">
        <is>
          <t>Brasil</t>
        </is>
      </c>
      <c r="M550" s="13" t="inlineStr">
        <is>
          <t>0 - Nacional / 1 - Importação Direta</t>
        </is>
      </c>
    </row>
    <row r="551" ht="22" customHeight="1">
      <c r="A551" s="6" t="inlineStr">
        <is>
          <t>EMP-0547</t>
        </is>
      </c>
      <c r="B551" s="5" t="n">
        <v>455</v>
      </c>
      <c r="C551" s="7" t="inlineStr">
        <is>
          <t>Nº 6223</t>
        </is>
      </c>
      <c r="D551" s="8" t="inlineStr">
        <is>
          <t>RIDOWN FULL</t>
        </is>
      </c>
      <c r="E551" s="7" t="inlineStr">
        <is>
          <t>1. Titular do Registro / Produtor</t>
        </is>
      </c>
      <c r="F551" s="7" t="inlineStr">
        <is>
          <t>Produto Formulado Comercial</t>
        </is>
      </c>
      <c r="G551" s="7" t="inlineStr">
        <is>
          <t>Rainbow Defensivos</t>
        </is>
      </c>
      <c r="H551" s="7" t="inlineStr">
        <is>
          <t>Matriz / Estabelecimento Principal</t>
        </is>
      </c>
      <c r="I551" s="7" t="inlineStr">
        <is>
          <t>10.486.463/0001-69</t>
        </is>
      </c>
      <c r="J551" s="7" t="inlineStr">
        <is>
          <t>SEAPA/RS nº 1928/09</t>
        </is>
      </c>
      <c r="K551" s="7" t="inlineStr">
        <is>
          <t>Estabelecimento Credenciado no Brasil</t>
        </is>
      </c>
      <c r="L551" s="7" t="inlineStr">
        <is>
          <t>Brasil</t>
        </is>
      </c>
      <c r="M551" s="7" t="inlineStr">
        <is>
          <t>0 - Nacional / 1 - Importação Direta</t>
        </is>
      </c>
    </row>
    <row r="552" ht="22" customHeight="1">
      <c r="A552" s="12" t="inlineStr">
        <is>
          <t>EMP-0548</t>
        </is>
      </c>
      <c r="B552" s="11" t="n">
        <v>456</v>
      </c>
      <c r="C552" s="13" t="inlineStr">
        <is>
          <t>Nº 28120</t>
        </is>
      </c>
      <c r="D552" s="14" t="inlineStr">
        <is>
          <t>WIDCLEAR</t>
        </is>
      </c>
      <c r="E552" s="13" t="inlineStr">
        <is>
          <t>1. Titular do Registro / Produtor</t>
        </is>
      </c>
      <c r="F552" s="13" t="inlineStr">
        <is>
          <t>Produto Formulado Comercial</t>
        </is>
      </c>
      <c r="G552" s="13" t="inlineStr">
        <is>
          <t>Rainbow Defensivos</t>
        </is>
      </c>
      <c r="H552" s="13" t="inlineStr">
        <is>
          <t>Matriz / Estabelecimento Principal</t>
        </is>
      </c>
      <c r="I552" s="13" t="inlineStr">
        <is>
          <t>10.486.463/0001-69</t>
        </is>
      </c>
      <c r="J552" s="13" t="inlineStr">
        <is>
          <t>SEAPA/RS nº 1928/09</t>
        </is>
      </c>
      <c r="K552" s="13" t="inlineStr">
        <is>
          <t>Estabelecimento Credenciado no Brasil</t>
        </is>
      </c>
      <c r="L552" s="13" t="inlineStr">
        <is>
          <t>Brasil</t>
        </is>
      </c>
      <c r="M552" s="13" t="inlineStr">
        <is>
          <t>0 - Nacional / 1 - Importação Direta</t>
        </is>
      </c>
    </row>
    <row r="553" ht="22" customHeight="1">
      <c r="A553" s="6" t="inlineStr">
        <is>
          <t>EMP-0549</t>
        </is>
      </c>
      <c r="B553" s="5" t="n">
        <v>457</v>
      </c>
      <c r="C553" s="7" t="inlineStr">
        <is>
          <t>Nº 34122</t>
        </is>
      </c>
      <c r="D553" s="8" t="inlineStr">
        <is>
          <t>DURAX</t>
        </is>
      </c>
      <c r="E553" s="7" t="inlineStr">
        <is>
          <t>1. Titular do Registro / Produtor</t>
        </is>
      </c>
      <c r="F553" s="7" t="inlineStr">
        <is>
          <t>Produto Formulado Comercial</t>
        </is>
      </c>
      <c r="G553" s="7" t="inlineStr">
        <is>
          <t>RAINBOW DEFENSIVOS AGRÍCOLAS LTDA.</t>
        </is>
      </c>
      <c r="H553" s="7" t="inlineStr">
        <is>
          <t>Matriz / Estabelecimento Principal</t>
        </is>
      </c>
      <c r="I553" s="7" t="inlineStr">
        <is>
          <t>10.486.463/0001-69</t>
        </is>
      </c>
      <c r="J553" s="7" t="inlineStr">
        <is>
          <t>SEAPA/RS nº 1928/09</t>
        </is>
      </c>
      <c r="K553" s="7" t="inlineStr">
        <is>
          <t>Av. Carlos Gomes, 258, Porto Alegre/RS</t>
        </is>
      </c>
      <c r="L553" s="7" t="inlineStr">
        <is>
          <t>Brasil</t>
        </is>
      </c>
      <c r="M553" s="7" t="inlineStr">
        <is>
          <t>0 - Nacional / 1 - Importação Direta</t>
        </is>
      </c>
    </row>
    <row r="554" ht="22" customHeight="1">
      <c r="A554" s="12" t="inlineStr">
        <is>
          <t>EMP-0550</t>
        </is>
      </c>
      <c r="B554" s="11" t="n">
        <v>458</v>
      </c>
      <c r="C554" s="13" t="inlineStr">
        <is>
          <t>Nº 6922</t>
        </is>
      </c>
      <c r="D554" s="14" t="inlineStr">
        <is>
          <t>COFENRIN</t>
        </is>
      </c>
      <c r="E554" s="13" t="inlineStr">
        <is>
          <t>1. Titular do Registro / Produtor</t>
        </is>
      </c>
      <c r="F554" s="13" t="inlineStr">
        <is>
          <t>Produto Formulado Comercial</t>
        </is>
      </c>
      <c r="G554" s="13" t="inlineStr">
        <is>
          <t>RAINBOW DEFENSIVOS AGRÍCOLAS LTDA.</t>
        </is>
      </c>
      <c r="H554" s="13" t="inlineStr">
        <is>
          <t>Matriz / Estabelecimento Principal</t>
        </is>
      </c>
      <c r="I554" s="13" t="inlineStr">
        <is>
          <t>10.486.463/0001-69</t>
        </is>
      </c>
      <c r="J554" s="13" t="inlineStr">
        <is>
          <t>SEAPA/RS nº 1928/09</t>
        </is>
      </c>
      <c r="K554" s="13" t="inlineStr">
        <is>
          <t>Av. Carlos Gomes, 258, Salas 1103-1106, Boa Vista, Porto Alegre/RS - CEP 90480-000</t>
        </is>
      </c>
      <c r="L554" s="13" t="inlineStr">
        <is>
          <t>Brasil</t>
        </is>
      </c>
      <c r="M554" s="13" t="inlineStr">
        <is>
          <t>0 - Nacional / 1 - Importação Direta</t>
        </is>
      </c>
    </row>
    <row r="555" ht="22" customHeight="1">
      <c r="A555" s="6" t="inlineStr">
        <is>
          <t>EMP-0551</t>
        </is>
      </c>
      <c r="B555" s="5" t="n">
        <v>459</v>
      </c>
      <c r="C555" s="7" t="inlineStr">
        <is>
          <t>Nº 27323</t>
        </is>
      </c>
      <c r="D555" s="8" t="inlineStr">
        <is>
          <t>ACEGOL</t>
        </is>
      </c>
      <c r="E555" s="7" t="inlineStr">
        <is>
          <t>1. Titular do Registro / Produtor</t>
        </is>
      </c>
      <c r="F555" s="7" t="inlineStr">
        <is>
          <t>Produto Formulado Comercial</t>
        </is>
      </c>
      <c r="G555" s="7" t="inlineStr">
        <is>
          <t>RAINBOW DEFENSIVOS AGRICOLAS LTDA</t>
        </is>
      </c>
      <c r="H555" s="7" t="inlineStr">
        <is>
          <t>Matriz / Estabelecimento Principal</t>
        </is>
      </c>
      <c r="I555" s="7" t="inlineStr">
        <is>
          <t>10.486.463/0001-69</t>
        </is>
      </c>
      <c r="J555" s="7" t="inlineStr">
        <is>
          <t>SEAPA/RS nº 1928/09</t>
        </is>
      </c>
      <c r="K555" s="7" t="inlineStr">
        <is>
          <t>Estabelecimento Credenciado no Brasil</t>
        </is>
      </c>
      <c r="L555" s="7" t="inlineStr">
        <is>
          <t>Brasil</t>
        </is>
      </c>
      <c r="M555" s="7" t="inlineStr">
        <is>
          <t>0 - Nacional / 1 - Importação Direta</t>
        </is>
      </c>
    </row>
    <row r="556" ht="22" customHeight="1">
      <c r="A556" s="12" t="inlineStr">
        <is>
          <t>EMP-0552</t>
        </is>
      </c>
      <c r="B556" s="11" t="n">
        <v>460</v>
      </c>
      <c r="C556" s="13" t="inlineStr">
        <is>
          <t>Nº 45419</t>
        </is>
      </c>
      <c r="D556" s="14" t="inlineStr">
        <is>
          <t>CLORPIRI 480 EC</t>
        </is>
      </c>
      <c r="E556" s="13" t="inlineStr">
        <is>
          <t>1. Titular do Registro / Produtor</t>
        </is>
      </c>
      <c r="F556" s="13" t="inlineStr">
        <is>
          <t>Produto Formulado Comercial</t>
        </is>
      </c>
      <c r="G556" s="13" t="inlineStr">
        <is>
          <t>SHARDA DO BRASIL COMÉRCIO DE PRODUTOS QUÍMICOS E AGROQUÍMICOS LTDA.</t>
        </is>
      </c>
      <c r="H556" s="13" t="inlineStr">
        <is>
          <t>Matriz / Estabelecimento Principal</t>
        </is>
      </c>
      <c r="I556" s="13" t="inlineStr">
        <is>
          <t>CNPJ Credenciado MAPA/SIPEAGRO</t>
        </is>
      </c>
      <c r="J556" s="13" t="inlineStr">
        <is>
          <t>Registro Estadual Vigente</t>
        </is>
      </c>
      <c r="K556" s="13" t="inlineStr">
        <is>
          <t>Estabelecimento Credenciado no Brasil</t>
        </is>
      </c>
      <c r="L556" s="13" t="inlineStr">
        <is>
          <t>Brasil</t>
        </is>
      </c>
      <c r="M556" s="13" t="inlineStr">
        <is>
          <t>0 - Nacional / 1 - Importação Direta</t>
        </is>
      </c>
    </row>
    <row r="557" ht="22" customHeight="1">
      <c r="A557" s="6" t="inlineStr">
        <is>
          <t>EMP-0553</t>
        </is>
      </c>
      <c r="B557" s="5" t="n">
        <v>461</v>
      </c>
      <c r="C557" s="7" t="inlineStr">
        <is>
          <t>Nº 33424</t>
        </is>
      </c>
      <c r="D557" s="8" t="inlineStr">
        <is>
          <t>SANKARI</t>
        </is>
      </c>
      <c r="E557" s="7" t="inlineStr">
        <is>
          <t>1. Titular do Registro / Produtor</t>
        </is>
      </c>
      <c r="F557" s="7" t="inlineStr">
        <is>
          <t>Produto Formulado Comercial</t>
        </is>
      </c>
      <c r="G557" s="7" t="inlineStr">
        <is>
          <t>GLOBACHEM PROTEÇÃO DE CULTIVOS DO BRASIL LTDA.</t>
        </is>
      </c>
      <c r="H557" s="7" t="inlineStr">
        <is>
          <t>Matriz / Estabelecimento Principal</t>
        </is>
      </c>
      <c r="I557" s="7" t="inlineStr">
        <is>
          <t>CNPJ Credenciado MAPA/SIPEAGRO</t>
        </is>
      </c>
      <c r="J557" s="7" t="inlineStr">
        <is>
          <t>Registro Estadual Vigente</t>
        </is>
      </c>
      <c r="K557" s="7" t="inlineStr">
        <is>
          <t>Estabelecimento Credenciado no Brasil</t>
        </is>
      </c>
      <c r="L557" s="7" t="inlineStr">
        <is>
          <t>Brasil</t>
        </is>
      </c>
      <c r="M557" s="7" t="inlineStr">
        <is>
          <t>0 - Nacional / 1 - Importação Direta</t>
        </is>
      </c>
    </row>
    <row r="558" ht="22" customHeight="1">
      <c r="A558" s="12" t="inlineStr">
        <is>
          <t>EMP-0554</t>
        </is>
      </c>
      <c r="B558" s="11" t="n">
        <v>462</v>
      </c>
      <c r="C558" s="13" t="inlineStr">
        <is>
          <t>Nº 37624</t>
        </is>
      </c>
      <c r="D558" s="14" t="inlineStr">
        <is>
          <t>SIGOLI</t>
        </is>
      </c>
      <c r="E558" s="13" t="inlineStr">
        <is>
          <t>1. Titular do Registro / Produtor</t>
        </is>
      </c>
      <c r="F558" s="13" t="inlineStr">
        <is>
          <t>Produto Formulado Comercial</t>
        </is>
      </c>
      <c r="G558" s="13" t="inlineStr">
        <is>
          <t>GLOBACHEM PROTEÇÃO DE CULTIVOS DO BRASIL LTDA.</t>
        </is>
      </c>
      <c r="H558" s="13" t="inlineStr">
        <is>
          <t>Matriz / Estabelecimento Principal</t>
        </is>
      </c>
      <c r="I558" s="13" t="inlineStr">
        <is>
          <t>CNPJ Credenciado MAPA/SIPEAGRO</t>
        </is>
      </c>
      <c r="J558" s="13" t="inlineStr">
        <is>
          <t>Registro Estadual Vigente</t>
        </is>
      </c>
      <c r="K558" s="13" t="inlineStr">
        <is>
          <t>Estabelecimento Credenciado no Brasil</t>
        </is>
      </c>
      <c r="L558" s="13" t="inlineStr">
        <is>
          <t>Brasil</t>
        </is>
      </c>
      <c r="M558" s="13" t="inlineStr">
        <is>
          <t>0 - Nacional / 1 - Importação Direta</t>
        </is>
      </c>
    </row>
    <row r="559" ht="22" customHeight="1">
      <c r="A559" s="6" t="inlineStr">
        <is>
          <t>EMP-0555</t>
        </is>
      </c>
      <c r="B559" s="5" t="n">
        <v>463</v>
      </c>
      <c r="C559" s="7" t="inlineStr">
        <is>
          <t>Nº 34122</t>
        </is>
      </c>
      <c r="D559" s="8" t="inlineStr">
        <is>
          <t>DURAX</t>
        </is>
      </c>
      <c r="E559" s="7" t="inlineStr">
        <is>
          <t>1. Titular do Registro / Produtor</t>
        </is>
      </c>
      <c r="F559" s="7" t="inlineStr">
        <is>
          <t>Produto Formulado Comercial</t>
        </is>
      </c>
      <c r="G559" s="7" t="inlineStr">
        <is>
          <t>RAINBOW DEFENSIVOS AGRÍCOLAS LTDA.</t>
        </is>
      </c>
      <c r="H559" s="7" t="inlineStr">
        <is>
          <t>Matriz / Estabelecimento Principal</t>
        </is>
      </c>
      <c r="I559" s="7" t="inlineStr">
        <is>
          <t>10.486.463/0001-69</t>
        </is>
      </c>
      <c r="J559" s="7" t="inlineStr">
        <is>
          <t>SEAPA/RS nº 1928/09</t>
        </is>
      </c>
      <c r="K559" s="7" t="inlineStr">
        <is>
          <t>Av. Carlos Gomes, 258, Porto Alegre/RS</t>
        </is>
      </c>
      <c r="L559" s="7" t="inlineStr">
        <is>
          <t>Brasil</t>
        </is>
      </c>
      <c r="M559" s="7" t="inlineStr">
        <is>
          <t>0 - Nacional / 1 - Importação Direta</t>
        </is>
      </c>
    </row>
    <row r="560" ht="22" customHeight="1">
      <c r="A560" s="12" t="inlineStr">
        <is>
          <t>EMP-0556</t>
        </is>
      </c>
      <c r="B560" s="11" t="n">
        <v>464</v>
      </c>
      <c r="C560" s="13" t="inlineStr">
        <is>
          <t>Nº 1223</t>
        </is>
      </c>
      <c r="D560" s="14" t="inlineStr">
        <is>
          <t>FULLGUARD</t>
        </is>
      </c>
      <c r="E560" s="13" t="inlineStr">
        <is>
          <t>1. Titular do Registro / Produtor</t>
        </is>
      </c>
      <c r="F560" s="13" t="inlineStr">
        <is>
          <t>Produto Formulado Comercial</t>
        </is>
      </c>
      <c r="G560" s="13" t="inlineStr">
        <is>
          <t>Rainbow Defensivos</t>
        </is>
      </c>
      <c r="H560" s="13" t="inlineStr">
        <is>
          <t>Matriz / Estabelecimento Principal</t>
        </is>
      </c>
      <c r="I560" s="13" t="inlineStr">
        <is>
          <t>10.486.463/0001-69</t>
        </is>
      </c>
      <c r="J560" s="13" t="inlineStr">
        <is>
          <t>SEAPA/RS nº 1928/09</t>
        </is>
      </c>
      <c r="K560" s="13" t="inlineStr">
        <is>
          <t>Estabelecimento Credenciado no Brasil</t>
        </is>
      </c>
      <c r="L560" s="13" t="inlineStr">
        <is>
          <t>Brasil</t>
        </is>
      </c>
      <c r="M560" s="13" t="inlineStr">
        <is>
          <t>0 - Nacional / 1 - Importação Direta</t>
        </is>
      </c>
    </row>
    <row r="561" ht="22" customHeight="1">
      <c r="A561" s="6" t="inlineStr">
        <is>
          <t>EMP-0557</t>
        </is>
      </c>
      <c r="B561" s="5" t="n">
        <v>465</v>
      </c>
      <c r="C561" s="7" t="inlineStr">
        <is>
          <t>Nº 13714</t>
        </is>
      </c>
      <c r="D561" s="8" t="inlineStr">
        <is>
          <t>WIPE OUT</t>
        </is>
      </c>
      <c r="E561" s="7" t="inlineStr">
        <is>
          <t>1. Titular do Registro / Produtor</t>
        </is>
      </c>
      <c r="F561" s="7" t="inlineStr">
        <is>
          <t>Produto Formulado Comercial</t>
        </is>
      </c>
      <c r="G561" s="7" t="inlineStr">
        <is>
          <t>RAINBOW DEFENSIVOS AGRÍCOLAS LTDA.</t>
        </is>
      </c>
      <c r="H561" s="7" t="inlineStr">
        <is>
          <t>Matriz / Estabelecimento Principal</t>
        </is>
      </c>
      <c r="I561" s="7" t="inlineStr">
        <is>
          <t>10.486.463/0001-69</t>
        </is>
      </c>
      <c r="J561" s="7" t="inlineStr">
        <is>
          <t>SEAPA/RS nº 1928/09</t>
        </is>
      </c>
      <c r="K561" s="7" t="inlineStr">
        <is>
          <t>Av. Carlos Gomes, 258, Porto Alegre/RS</t>
        </is>
      </c>
      <c r="L561" s="7" t="inlineStr">
        <is>
          <t>Brasil</t>
        </is>
      </c>
      <c r="M561" s="7" t="inlineStr">
        <is>
          <t>0 - Nacional / 1 - Importação Direta</t>
        </is>
      </c>
    </row>
    <row r="562" ht="22" customHeight="1">
      <c r="A562" s="12" t="inlineStr">
        <is>
          <t>EMP-0558</t>
        </is>
      </c>
      <c r="B562" s="11" t="n">
        <v>466</v>
      </c>
      <c r="C562" s="13" t="inlineStr">
        <is>
          <t>Nº 32224</t>
        </is>
      </c>
      <c r="D562" s="14" t="inlineStr">
        <is>
          <t>PYRIPROXYFEN 100 SINO-AGRI</t>
        </is>
      </c>
      <c r="E562" s="13" t="inlineStr">
        <is>
          <t>1. Titular do Registro / Produtor</t>
        </is>
      </c>
      <c r="F562" s="13" t="inlineStr">
        <is>
          <t>Produto Formulado Comercial</t>
        </is>
      </c>
      <c r="G562" s="13" t="inlineStr">
        <is>
          <t>SINO-AGRI LEADING BIOSCIENCES DO BRASIL / INOVATIS LTDA.</t>
        </is>
      </c>
      <c r="H562" s="13" t="inlineStr">
        <is>
          <t>Matriz / Estabelecimento Principal</t>
        </is>
      </c>
      <c r="I562" s="13" t="inlineStr">
        <is>
          <t>CNPJ Credenciado MAPA/SIPEAGRO</t>
        </is>
      </c>
      <c r="J562" s="13" t="inlineStr">
        <is>
          <t>Registro Estadual Vigente</t>
        </is>
      </c>
      <c r="K562" s="13" t="inlineStr">
        <is>
          <t>Estabelecimento Credenciado no Brasil</t>
        </is>
      </c>
      <c r="L562" s="13" t="inlineStr">
        <is>
          <t>Brasil</t>
        </is>
      </c>
      <c r="M562" s="13" t="inlineStr">
        <is>
          <t>0 - Nacional / 1 - Importação Direta</t>
        </is>
      </c>
    </row>
    <row r="563" ht="22" customHeight="1">
      <c r="A563" s="6" t="inlineStr">
        <is>
          <t>EMP-0559</t>
        </is>
      </c>
      <c r="B563" s="5" t="n">
        <v>467</v>
      </c>
      <c r="C563" s="7" t="inlineStr">
        <is>
          <t>Nº 15925</t>
        </is>
      </c>
      <c r="D563" s="8" t="inlineStr">
        <is>
          <t>CHETTAK GOLD</t>
        </is>
      </c>
      <c r="E563" s="7" t="inlineStr">
        <is>
          <t>1. Titular do Registro / Produtor</t>
        </is>
      </c>
      <c r="F563" s="7" t="inlineStr">
        <is>
          <t>Produto Formulado Comercial</t>
        </is>
      </c>
      <c r="G563" s="7" t="inlineStr">
        <is>
          <t>SHARDA DO BRASIL COMÉRCIO DE PRODUTOS QUÍMICOS E AGROQUÍMICOS LTDA.</t>
        </is>
      </c>
      <c r="H563" s="7" t="inlineStr">
        <is>
          <t>Matriz / Estabelecimento Principal</t>
        </is>
      </c>
      <c r="I563" s="7" t="inlineStr">
        <is>
          <t>CNPJ Credenciado MAPA/SIPEAGRO</t>
        </is>
      </c>
      <c r="J563" s="7" t="inlineStr">
        <is>
          <t>Registro Estadual Vigente</t>
        </is>
      </c>
      <c r="K563" s="7" t="inlineStr">
        <is>
          <t>Estabelecimento Credenciado no Brasil</t>
        </is>
      </c>
      <c r="L563" s="7" t="inlineStr">
        <is>
          <t>Brasil</t>
        </is>
      </c>
      <c r="M563" s="7" t="inlineStr">
        <is>
          <t>0 - Nacional / 1 - Importação Direta</t>
        </is>
      </c>
    </row>
    <row r="564" ht="22" customHeight="1">
      <c r="A564" s="12" t="inlineStr">
        <is>
          <t>EMP-0560</t>
        </is>
      </c>
      <c r="B564" s="11" t="n">
        <v>468</v>
      </c>
      <c r="C564" s="13" t="inlineStr">
        <is>
          <t>SIPEAGRO (UF-XXXXX)</t>
        </is>
      </c>
      <c r="D564" s="14" t="inlineStr">
        <is>
          <t>NPK 05-30-10 BB MCF (TON) (AGENCIADA)</t>
        </is>
      </c>
      <c r="E564" s="13" t="inlineStr">
        <is>
          <t>1. Titular do Registro / Produtor</t>
        </is>
      </c>
      <c r="F564" s="13" t="inlineStr">
        <is>
          <t>Fertilizante Mineral / Organomineral</t>
        </is>
      </c>
      <c r="G564" s="13" t="inlineStr">
        <is>
          <t>Estabelecimento Produtor SIPEAGRO/MAPA</t>
        </is>
      </c>
      <c r="H564" s="13" t="inlineStr">
        <is>
          <t>Matriz / Estabelecimento Principal</t>
        </is>
      </c>
      <c r="I564" s="13" t="inlineStr">
        <is>
          <t>CNPJ Credenciado MAPA/SIPEAGRO</t>
        </is>
      </c>
      <c r="J564" s="13" t="inlineStr">
        <is>
          <t>Registro Estadual Vigente</t>
        </is>
      </c>
      <c r="K564" s="13" t="inlineStr">
        <is>
          <t>Estabelecimento Credenciado no Brasil</t>
        </is>
      </c>
      <c r="L564" s="13" t="inlineStr">
        <is>
          <t>Brasil</t>
        </is>
      </c>
      <c r="M564" s="13" t="inlineStr">
        <is>
          <t>0 - Nacional / 1 - Importação Direta</t>
        </is>
      </c>
    </row>
    <row r="565" ht="22" customHeight="1">
      <c r="A565" s="6" t="inlineStr">
        <is>
          <t>EMP-0561</t>
        </is>
      </c>
      <c r="B565" s="5" t="n">
        <v>469</v>
      </c>
      <c r="C565" s="7" t="inlineStr">
        <is>
          <t>SIPEAGRO (UF-XXXXX)</t>
        </is>
      </c>
      <c r="D565" s="8" t="inlineStr">
        <is>
          <t>NPK 20-00-20 (TON) (AGENCIADA)</t>
        </is>
      </c>
      <c r="E565" s="7" t="inlineStr">
        <is>
          <t>1. Titular do Registro / Produtor</t>
        </is>
      </c>
      <c r="F565" s="7" t="inlineStr">
        <is>
          <t>Fertilizante Mineral / Organomineral</t>
        </is>
      </c>
      <c r="G565" s="7" t="inlineStr">
        <is>
          <t>Estabelecimento Produtor SIPEAGRO/MAPA</t>
        </is>
      </c>
      <c r="H565" s="7" t="inlineStr">
        <is>
          <t>Matriz / Estabelecimento Principal</t>
        </is>
      </c>
      <c r="I565" s="7" t="inlineStr">
        <is>
          <t>CNPJ Credenciado MAPA/SIPEAGRO</t>
        </is>
      </c>
      <c r="J565" s="7" t="inlineStr">
        <is>
          <t>Registro Estadual Vigente</t>
        </is>
      </c>
      <c r="K565" s="7" t="inlineStr">
        <is>
          <t>Estabelecimento Credenciado no Brasil</t>
        </is>
      </c>
      <c r="L565" s="7" t="inlineStr">
        <is>
          <t>Brasil</t>
        </is>
      </c>
      <c r="M565" s="7" t="inlineStr">
        <is>
          <t>0 - Nacional / 1 - Importação Direta</t>
        </is>
      </c>
    </row>
    <row r="566" ht="22" customHeight="1">
      <c r="A566" s="12" t="inlineStr">
        <is>
          <t>EMP-0562</t>
        </is>
      </c>
      <c r="B566" s="11" t="n">
        <v>470</v>
      </c>
      <c r="C566" s="13" t="inlineStr">
        <is>
          <t>Nº 23922</t>
        </is>
      </c>
      <c r="D566" s="14" t="inlineStr">
        <is>
          <t>GRASIDIM FULL</t>
        </is>
      </c>
      <c r="E566" s="13" t="inlineStr">
        <is>
          <t>1. Titular do Registro / Produtor</t>
        </is>
      </c>
      <c r="F566" s="13" t="inlineStr">
        <is>
          <t>Produto Formulado Comercial</t>
        </is>
      </c>
      <c r="G566" s="13" t="inlineStr">
        <is>
          <t>RAINBOW DEFENSIVOS AGRÍCOLAS LTDA.</t>
        </is>
      </c>
      <c r="H566" s="13" t="inlineStr">
        <is>
          <t>Matriz / Estabelecimento Principal</t>
        </is>
      </c>
      <c r="I566" s="13" t="inlineStr">
        <is>
          <t>10.486.463/0001-69</t>
        </is>
      </c>
      <c r="J566" s="13" t="inlineStr">
        <is>
          <t>SEAPA/RS nº 1928/09</t>
        </is>
      </c>
      <c r="K566" s="13" t="inlineStr">
        <is>
          <t>Av. Carlos Gomes, 258, Porto Alegre/RS</t>
        </is>
      </c>
      <c r="L566" s="13" t="inlineStr">
        <is>
          <t>Brasil</t>
        </is>
      </c>
      <c r="M566" s="13" t="inlineStr">
        <is>
          <t>0 - Nacional / 1 - Importação Direta</t>
        </is>
      </c>
    </row>
    <row r="567" ht="22" customHeight="1">
      <c r="A567" s="6" t="inlineStr">
        <is>
          <t>EMP-0563</t>
        </is>
      </c>
      <c r="B567" s="5" t="n">
        <v>471</v>
      </c>
      <c r="C567" s="7" t="inlineStr">
        <is>
          <t>Nº 31522</t>
        </is>
      </c>
      <c r="D567" s="8" t="inlineStr">
        <is>
          <t>METOMY 900</t>
        </is>
      </c>
      <c r="E567" s="7" t="inlineStr">
        <is>
          <t>1. Titular do Registro / Produtor</t>
        </is>
      </c>
      <c r="F567" s="7" t="inlineStr">
        <is>
          <t>Produto Formulado Comercial</t>
        </is>
      </c>
      <c r="G567" s="7" t="inlineStr">
        <is>
          <t>RAINBOW DEFENSIVOS AGRÍCOLAS LTDA.</t>
        </is>
      </c>
      <c r="H567" s="7" t="inlineStr">
        <is>
          <t>Matriz / Estabelecimento Principal</t>
        </is>
      </c>
      <c r="I567" s="7" t="inlineStr">
        <is>
          <t>10.486.463/0001-69</t>
        </is>
      </c>
      <c r="J567" s="7" t="inlineStr">
        <is>
          <t>SEAPA/RS nº 1928/09</t>
        </is>
      </c>
      <c r="K567" s="7" t="inlineStr">
        <is>
          <t>Av. Carlos Gomes, 258, Salas 1103-1106, Boa Vista, Porto Alegre/RS - CEP 90480-000</t>
        </is>
      </c>
      <c r="L567" s="7" t="inlineStr">
        <is>
          <t>Brasil</t>
        </is>
      </c>
      <c r="M567" s="7" t="inlineStr">
        <is>
          <t>0 - Nacional / 1 - Importação Direta</t>
        </is>
      </c>
    </row>
    <row r="568" ht="22" customHeight="1">
      <c r="A568" s="12" t="inlineStr">
        <is>
          <t>EMP-0564</t>
        </is>
      </c>
      <c r="B568" s="11" t="n">
        <v>472</v>
      </c>
      <c r="C568" s="13" t="inlineStr">
        <is>
          <t>SIPEAGRO (UF-XXXXX)</t>
        </is>
      </c>
      <c r="D568" s="14" t="inlineStr">
        <is>
          <t>BORO ULEXITA (TON) (AGENCIADA)</t>
        </is>
      </c>
      <c r="E568" s="13" t="inlineStr">
        <is>
          <t>1. Titular do Registro / Produtor</t>
        </is>
      </c>
      <c r="F568" s="13" t="inlineStr">
        <is>
          <t>Corretivo / Condicionador de Solo</t>
        </is>
      </c>
      <c r="G568" s="13" t="inlineStr">
        <is>
          <t>Estabelecimento Produtor SIPEAGRO/MAPA</t>
        </is>
      </c>
      <c r="H568" s="13" t="inlineStr">
        <is>
          <t>Matriz / Estabelecimento Principal</t>
        </is>
      </c>
      <c r="I568" s="13" t="inlineStr">
        <is>
          <t>CNPJ Credenciado MAPA/SIPEAGRO</t>
        </is>
      </c>
      <c r="J568" s="13" t="inlineStr">
        <is>
          <t>Registro Estadual Vigente</t>
        </is>
      </c>
      <c r="K568" s="13" t="inlineStr">
        <is>
          <t>Estabelecimento Credenciado no Brasil</t>
        </is>
      </c>
      <c r="L568" s="13" t="inlineStr">
        <is>
          <t>Brasil</t>
        </is>
      </c>
      <c r="M568" s="13" t="inlineStr">
        <is>
          <t>0 - Nacional / 1 - Importação Direta</t>
        </is>
      </c>
    </row>
    <row r="569" ht="22" customHeight="1">
      <c r="A569" s="6" t="inlineStr">
        <is>
          <t>EMP-0565</t>
        </is>
      </c>
      <c r="B569" s="5" t="n">
        <v>473</v>
      </c>
      <c r="C569" s="7" t="inlineStr">
        <is>
          <t>SIPEAGRO (UF-XXXXX)</t>
        </is>
      </c>
      <c r="D569" s="8" t="inlineStr">
        <is>
          <t>BORO ULEXITA (TON) (IMP)</t>
        </is>
      </c>
      <c r="E569" s="7" t="inlineStr">
        <is>
          <t>1. Titular do Registro / Produtor</t>
        </is>
      </c>
      <c r="F569" s="7" t="inlineStr">
        <is>
          <t>Corretivo / Condicionador de Solo</t>
        </is>
      </c>
      <c r="G569" s="7" t="inlineStr">
        <is>
          <t>Estabelecimento Produtor SIPEAGRO/MAPA</t>
        </is>
      </c>
      <c r="H569" s="7" t="inlineStr">
        <is>
          <t>Matriz / Estabelecimento Principal</t>
        </is>
      </c>
      <c r="I569" s="7" t="inlineStr">
        <is>
          <t>CNPJ Credenciado MAPA/SIPEAGRO</t>
        </is>
      </c>
      <c r="J569" s="7" t="inlineStr">
        <is>
          <t>Registro Estadual Vigente</t>
        </is>
      </c>
      <c r="K569" s="7" t="inlineStr">
        <is>
          <t>Estabelecimento Credenciado no Brasil</t>
        </is>
      </c>
      <c r="L569" s="7" t="inlineStr">
        <is>
          <t>Brasil</t>
        </is>
      </c>
      <c r="M569" s="7" t="inlineStr">
        <is>
          <t>0 - Nacional / 1 - Importação Direta</t>
        </is>
      </c>
    </row>
    <row r="570" ht="22" customHeight="1">
      <c r="A570" s="12" t="inlineStr">
        <is>
          <t>EMP-0566</t>
        </is>
      </c>
      <c r="B570" s="11" t="n">
        <v>474</v>
      </c>
      <c r="C570" s="13" t="inlineStr">
        <is>
          <t>Nº 20920</t>
        </is>
      </c>
      <c r="D570" s="14" t="inlineStr">
        <is>
          <t>TERBUTILAZINA 500 (PRINCIPIO ATIVO)</t>
        </is>
      </c>
      <c r="E570" s="13" t="inlineStr">
        <is>
          <t>1. Titular do Registro / Produtor</t>
        </is>
      </c>
      <c r="F570" s="13" t="inlineStr">
        <is>
          <t>Produto Técnico Industrial</t>
        </is>
      </c>
      <c r="G570" s="13" t="inlineStr">
        <is>
          <t>SIPCAM NICHINO BRASIL S.A.</t>
        </is>
      </c>
      <c r="H570" s="13" t="inlineStr">
        <is>
          <t>Matriz / Estabelecimento Principal</t>
        </is>
      </c>
      <c r="I570" s="13" t="inlineStr">
        <is>
          <t>CNPJ Credenciado MAPA/SIPEAGRO</t>
        </is>
      </c>
      <c r="J570" s="13" t="inlineStr">
        <is>
          <t>Registro Estadual Vigente</t>
        </is>
      </c>
      <c r="K570" s="13" t="inlineStr">
        <is>
          <t>Estabelecimento Credenciado no Brasil</t>
        </is>
      </c>
      <c r="L570" s="13" t="inlineStr">
        <is>
          <t>Brasil</t>
        </is>
      </c>
      <c r="M570" s="13" t="inlineStr">
        <is>
          <t>0 - Nacional / 1 - Importação Direta</t>
        </is>
      </c>
    </row>
    <row r="571" ht="22" customHeight="1">
      <c r="A571" s="6" t="inlineStr">
        <is>
          <t>EMP-0567</t>
        </is>
      </c>
      <c r="B571" s="5" t="n">
        <v>475</v>
      </c>
      <c r="C571" s="7" t="inlineStr">
        <is>
          <t>Nº 3623</t>
        </is>
      </c>
      <c r="D571" s="8" t="inlineStr">
        <is>
          <t>SUNGAIN PLUS 4X5(IMP)</t>
        </is>
      </c>
      <c r="E571" s="7" t="inlineStr">
        <is>
          <t>1. Titular do Registro / Produtor</t>
        </is>
      </c>
      <c r="F571" s="7" t="inlineStr">
        <is>
          <t>Produto Formulado Comercial</t>
        </is>
      </c>
      <c r="G571" s="7" t="inlineStr">
        <is>
          <t>Rainbow Defensivos</t>
        </is>
      </c>
      <c r="H571" s="7" t="inlineStr">
        <is>
          <t>Matriz / Estabelecimento Principal</t>
        </is>
      </c>
      <c r="I571" s="7" t="inlineStr">
        <is>
          <t>10.486.463/0001-69</t>
        </is>
      </c>
      <c r="J571" s="7" t="inlineStr">
        <is>
          <t>SEAPA/RS nº 1928/09</t>
        </is>
      </c>
      <c r="K571" s="7" t="inlineStr">
        <is>
          <t>Estabelecimento Credenciado no Brasil</t>
        </is>
      </c>
      <c r="L571" s="7" t="inlineStr">
        <is>
          <t>Brasil</t>
        </is>
      </c>
      <c r="M571" s="7" t="inlineStr">
        <is>
          <t>0 - Nacional / 1 - Importação Direta</t>
        </is>
      </c>
    </row>
    <row r="572" ht="22" customHeight="1">
      <c r="A572" s="12" t="inlineStr">
        <is>
          <t>EMP-0568</t>
        </is>
      </c>
      <c r="B572" s="11" t="n">
        <v>476</v>
      </c>
      <c r="C572" s="13" t="inlineStr">
        <is>
          <t>Nº 32224</t>
        </is>
      </c>
      <c r="D572" s="14" t="inlineStr">
        <is>
          <t>PYRIPROXYFEN 100 SINO-AGRI</t>
        </is>
      </c>
      <c r="E572" s="13" t="inlineStr">
        <is>
          <t>1. Titular do Registro / Produtor</t>
        </is>
      </c>
      <c r="F572" s="13" t="inlineStr">
        <is>
          <t>Produto Formulado Comercial</t>
        </is>
      </c>
      <c r="G572" s="13" t="inlineStr">
        <is>
          <t>SINO-AGRI LEADING BIOSCIENCES DO BRASIL / INOVATIS LTDA.</t>
        </is>
      </c>
      <c r="H572" s="13" t="inlineStr">
        <is>
          <t>Matriz / Estabelecimento Principal</t>
        </is>
      </c>
      <c r="I572" s="13" t="inlineStr">
        <is>
          <t>CNPJ Credenciado MAPA/SIPEAGRO</t>
        </is>
      </c>
      <c r="J572" s="13" t="inlineStr">
        <is>
          <t>Registro Estadual Vigente</t>
        </is>
      </c>
      <c r="K572" s="13" t="inlineStr">
        <is>
          <t>Estabelecimento Credenciado no Brasil</t>
        </is>
      </c>
      <c r="L572" s="13" t="inlineStr">
        <is>
          <t>Brasil</t>
        </is>
      </c>
      <c r="M572" s="13" t="inlineStr">
        <is>
          <t>0 - Nacional / 1 - Importação Direta</t>
        </is>
      </c>
    </row>
    <row r="573" ht="22" customHeight="1">
      <c r="A573" s="6" t="inlineStr">
        <is>
          <t>EMP-0569</t>
        </is>
      </c>
      <c r="B573" s="5" t="n">
        <v>477</v>
      </c>
      <c r="C573" s="7" t="inlineStr">
        <is>
          <t>Nº 1924</t>
        </is>
      </c>
      <c r="D573" s="8" t="inlineStr">
        <is>
          <t>FORCEPS</t>
        </is>
      </c>
      <c r="E573" s="7" t="inlineStr">
        <is>
          <t>1. Titular do Registro / Produtor</t>
        </is>
      </c>
      <c r="F573" s="7" t="inlineStr">
        <is>
          <t>Produto Formulado Comercial</t>
        </is>
      </c>
      <c r="G573" s="7" t="inlineStr">
        <is>
          <t>Rainbow Defensivos</t>
        </is>
      </c>
      <c r="H573" s="7" t="inlineStr">
        <is>
          <t>Matriz / Estabelecimento Principal</t>
        </is>
      </c>
      <c r="I573" s="7" t="inlineStr">
        <is>
          <t>10.486.463/0001-69</t>
        </is>
      </c>
      <c r="J573" s="7" t="inlineStr">
        <is>
          <t>SEAPA/RS nº 1928/09</t>
        </is>
      </c>
      <c r="K573" s="7" t="inlineStr">
        <is>
          <t>Estabelecimento Credenciado no Brasil</t>
        </is>
      </c>
      <c r="L573" s="7" t="inlineStr">
        <is>
          <t>Brasil</t>
        </is>
      </c>
      <c r="M573" s="7" t="inlineStr">
        <is>
          <t>0 - Nacional / 1 - Importação Direta</t>
        </is>
      </c>
    </row>
    <row r="574" ht="22" customHeight="1">
      <c r="A574" s="12" t="inlineStr">
        <is>
          <t>EMP-0570</t>
        </is>
      </c>
      <c r="B574" s="11" t="n">
        <v>478</v>
      </c>
      <c r="C574" s="13" t="inlineStr">
        <is>
          <t>VINCULAR MARCA</t>
        </is>
      </c>
      <c r="D574" s="14" t="inlineStr">
        <is>
          <t>PROCIMIDONA 500 (PRINCIPIO ATIVO)</t>
        </is>
      </c>
      <c r="E574" s="13" t="inlineStr">
        <is>
          <t>1. Titular do Registro / Produtor</t>
        </is>
      </c>
      <c r="F574" s="13" t="inlineStr">
        <is>
          <t>Produto Técnico Industrial</t>
        </is>
      </c>
      <c r="G574" s="13" t="inlineStr">
        <is>
          <t>SUMITOMO CHEMICAL / PROVENTIS LIFESCIENCE DEFENSIVOS AGRÍCOLAS LTDA.</t>
        </is>
      </c>
      <c r="H574" s="13" t="inlineStr">
        <is>
          <t>Matriz / Estabelecimento Principal</t>
        </is>
      </c>
      <c r="I574" s="13" t="inlineStr">
        <is>
          <t>CNPJ Credenciado MAPA/SIPEAGRO</t>
        </is>
      </c>
      <c r="J574" s="13" t="inlineStr">
        <is>
          <t>Registro Estadual Vigente</t>
        </is>
      </c>
      <c r="K574" s="13" t="inlineStr">
        <is>
          <t>Estabelecimento Credenciado no Brasil</t>
        </is>
      </c>
      <c r="L574" s="13" t="inlineStr">
        <is>
          <t>Brasil</t>
        </is>
      </c>
      <c r="M574" s="13" t="inlineStr">
        <is>
          <t>0 - Nacional / 1 - Importação Direta</t>
        </is>
      </c>
    </row>
    <row r="575" ht="22" customHeight="1">
      <c r="A575" s="6" t="inlineStr">
        <is>
          <t>EMP-0571</t>
        </is>
      </c>
      <c r="B575" s="5" t="n">
        <v>479</v>
      </c>
      <c r="C575" s="7" t="inlineStr">
        <is>
          <t>Nº 19018</t>
        </is>
      </c>
      <c r="D575" s="8" t="inlineStr">
        <is>
          <t>CARTAGO</t>
        </is>
      </c>
      <c r="E575" s="7" t="inlineStr">
        <is>
          <t>1. Titular do Registro / Produtor</t>
        </is>
      </c>
      <c r="F575" s="7" t="inlineStr">
        <is>
          <t>Produto Formulado Comercial</t>
        </is>
      </c>
      <c r="G575" s="7" t="inlineStr">
        <is>
          <t>ALBAUGH AGRO BRASIL LTDA.</t>
        </is>
      </c>
      <c r="H575" s="7" t="inlineStr">
        <is>
          <t>Matriz / Estabelecimento Principal</t>
        </is>
      </c>
      <c r="I575" s="7" t="inlineStr">
        <is>
          <t>CNPJ Credenciado MAPA/SIPEAGRO</t>
        </is>
      </c>
      <c r="J575" s="7" t="inlineStr">
        <is>
          <t>Registro Estadual Vigente</t>
        </is>
      </c>
      <c r="K575" s="7" t="inlineStr">
        <is>
          <t>Estabelecimento Credenciado no Brasil</t>
        </is>
      </c>
      <c r="L575" s="7" t="inlineStr">
        <is>
          <t>Brasil</t>
        </is>
      </c>
      <c r="M575" s="7" t="inlineStr">
        <is>
          <t>0 - Nacional / 1 - Importação Direta</t>
        </is>
      </c>
    </row>
    <row r="576" ht="22" customHeight="1">
      <c r="A576" s="12" t="inlineStr">
        <is>
          <t>EMP-0572</t>
        </is>
      </c>
      <c r="B576" s="11" t="n">
        <v>480</v>
      </c>
      <c r="C576" s="13" t="inlineStr">
        <is>
          <t>ISENTO (ATO 104/2017)</t>
        </is>
      </c>
      <c r="D576" s="14" t="inlineStr">
        <is>
          <t>AGRICOIL PREMIUM</t>
        </is>
      </c>
      <c r="E576" s="13" t="inlineStr">
        <is>
          <t>1. Titular do Registro / Produtor</t>
        </is>
      </c>
      <c r="F576" s="13" t="inlineStr">
        <is>
          <t>Adjuvante / Espalhante Adesivo</t>
        </is>
      </c>
      <c r="G576" s="13" t="inlineStr">
        <is>
          <t>Dispensado de Registro (Ato SDA nº 104/2017)</t>
        </is>
      </c>
      <c r="H576" s="13" t="inlineStr">
        <is>
          <t>Matriz / Estabelecimento Principal</t>
        </is>
      </c>
      <c r="I576" s="13" t="inlineStr">
        <is>
          <t>CNPJ Credenciado MAPA/SIPEAGRO</t>
        </is>
      </c>
      <c r="J576" s="13" t="inlineStr">
        <is>
          <t>Registro Estadual Vigente</t>
        </is>
      </c>
      <c r="K576" s="13" t="inlineStr">
        <is>
          <t>Estabelecimento Credenciado no Brasil</t>
        </is>
      </c>
      <c r="L576" s="13" t="inlineStr">
        <is>
          <t>Brasil</t>
        </is>
      </c>
      <c r="M576" s="13" t="inlineStr">
        <is>
          <t>0 - Nacional / 1 - Importação Direta</t>
        </is>
      </c>
    </row>
    <row r="577" ht="22" customHeight="1">
      <c r="A577" s="6" t="inlineStr">
        <is>
          <t>EMP-0573</t>
        </is>
      </c>
      <c r="B577" s="5" t="n">
        <v>481</v>
      </c>
      <c r="C577" s="7" t="inlineStr">
        <is>
          <t>Nº 10122</t>
        </is>
      </c>
      <c r="D577" s="8" t="inlineStr">
        <is>
          <t>SONDA HT</t>
        </is>
      </c>
      <c r="E577" s="7" t="inlineStr">
        <is>
          <t>1. Titular do Registro / Produtor</t>
        </is>
      </c>
      <c r="F577" s="7" t="inlineStr">
        <is>
          <t>Produto Formulado Comercial</t>
        </is>
      </c>
      <c r="G577" s="7" t="inlineStr">
        <is>
          <t>SYNGENTA PROTEÇÃO DE CULTIVOS LTDA.</t>
        </is>
      </c>
      <c r="H577" s="7" t="inlineStr">
        <is>
          <t>Matriz / Estabelecimento Principal</t>
        </is>
      </c>
      <c r="I577" s="7" t="inlineStr">
        <is>
          <t>CNPJ Credenciado MAPA/SIPEAGRO</t>
        </is>
      </c>
      <c r="J577" s="7" t="inlineStr">
        <is>
          <t>Registro Estadual Vigente</t>
        </is>
      </c>
      <c r="K577" s="7" t="inlineStr">
        <is>
          <t>Estabelecimento Credenciado no Brasil</t>
        </is>
      </c>
      <c r="L577" s="7" t="inlineStr">
        <is>
          <t>Brasil</t>
        </is>
      </c>
      <c r="M577" s="7" t="inlineStr">
        <is>
          <t>0 - Nacional / 1 - Importação Direta</t>
        </is>
      </c>
    </row>
    <row r="578" ht="22" customHeight="1">
      <c r="A578" s="12" t="inlineStr">
        <is>
          <t>EMP-0574</t>
        </is>
      </c>
      <c r="B578" s="11" t="n">
        <v>482</v>
      </c>
      <c r="C578" s="13" t="inlineStr">
        <is>
          <t>VINCULAR MARCA</t>
        </is>
      </c>
      <c r="D578" s="14" t="inlineStr">
        <is>
          <t>BOSCALIDA 500 (PRINCIPIO ATIVO)</t>
        </is>
      </c>
      <c r="E578" s="13" t="inlineStr">
        <is>
          <t>1. Titular do Registro / Produtor</t>
        </is>
      </c>
      <c r="F578" s="13" t="inlineStr">
        <is>
          <t>Produto Técnico Industrial</t>
        </is>
      </c>
      <c r="G578" s="13" t="inlineStr">
        <is>
          <t>BASF S.A. / RAINBOW DEFENSIVOS AGRÍCOLAS LTDA.</t>
        </is>
      </c>
      <c r="H578" s="13" t="inlineStr">
        <is>
          <t>Matriz / Estabelecimento Principal</t>
        </is>
      </c>
      <c r="I578" s="13" t="inlineStr">
        <is>
          <t>CNPJ Credenciado MAPA/SIPEAGRO</t>
        </is>
      </c>
      <c r="J578" s="13" t="inlineStr">
        <is>
          <t>Registro Estadual Vigente</t>
        </is>
      </c>
      <c r="K578" s="13" t="inlineStr">
        <is>
          <t>Estabelecimento Credenciado no Brasil</t>
        </is>
      </c>
      <c r="L578" s="13" t="inlineStr">
        <is>
          <t>Brasil</t>
        </is>
      </c>
      <c r="M578" s="13" t="inlineStr">
        <is>
          <t>0 - Nacional / 1 - Importação Direta</t>
        </is>
      </c>
    </row>
    <row r="579" ht="22" customHeight="1">
      <c r="A579" s="6" t="inlineStr">
        <is>
          <t>EMP-0575</t>
        </is>
      </c>
      <c r="B579" s="5" t="n">
        <v>483</v>
      </c>
      <c r="C579" s="7" t="inlineStr">
        <is>
          <t>Nº 40818</t>
        </is>
      </c>
      <c r="D579" s="8" t="inlineStr">
        <is>
          <t>GLUFOSINATE-AMMONIUN 200 SL YONON 0,200L AMOSTRA</t>
        </is>
      </c>
      <c r="E579" s="7" t="inlineStr">
        <is>
          <t>1. Titular do Registro / Produtor</t>
        </is>
      </c>
      <c r="F579" s="7" t="inlineStr">
        <is>
          <t>Produto Formulado Comercial</t>
        </is>
      </c>
      <c r="G579" s="7" t="inlineStr">
        <is>
          <t>YONON BRASIL DEFENSIVOS AGRÍCOLAS LTDA.</t>
        </is>
      </c>
      <c r="H579" s="7" t="inlineStr">
        <is>
          <t>Matriz / Estabelecimento Principal</t>
        </is>
      </c>
      <c r="I579" s="7" t="inlineStr">
        <is>
          <t>CNPJ Credenciado MAPA/SIPEAGRO</t>
        </is>
      </c>
      <c r="J579" s="7" t="inlineStr">
        <is>
          <t>Registro Estadual Vigente</t>
        </is>
      </c>
      <c r="K579" s="7" t="inlineStr">
        <is>
          <t>Estabelecimento Credenciado no Brasil</t>
        </is>
      </c>
      <c r="L579" s="7" t="inlineStr">
        <is>
          <t>Brasil</t>
        </is>
      </c>
      <c r="M579" s="7" t="inlineStr">
        <is>
          <t>0 - Nacional / 1 - Importação Direta</t>
        </is>
      </c>
    </row>
    <row r="580" ht="22" customHeight="1">
      <c r="A580" s="12" t="inlineStr">
        <is>
          <t>EMP-0576</t>
        </is>
      </c>
      <c r="B580" s="11" t="n">
        <v>484</v>
      </c>
      <c r="C580" s="13" t="inlineStr">
        <is>
          <t>Nº 3224</t>
        </is>
      </c>
      <c r="D580" s="14" t="inlineStr">
        <is>
          <t>CHLOROTHALONIL</t>
        </is>
      </c>
      <c r="E580" s="13" t="inlineStr">
        <is>
          <t>1. Titular do Registro / Produtor</t>
        </is>
      </c>
      <c r="F580" s="13" t="inlineStr">
        <is>
          <t>Produto Formulado Comercial</t>
        </is>
      </c>
      <c r="G580" s="13" t="inlineStr">
        <is>
          <t>Yonon</t>
        </is>
      </c>
      <c r="H580" s="13" t="inlineStr">
        <is>
          <t>Matriz / Estabelecimento Principal</t>
        </is>
      </c>
      <c r="I580" s="13" t="inlineStr">
        <is>
          <t>CNPJ Credenciado MAPA/SIPEAGRO</t>
        </is>
      </c>
      <c r="J580" s="13" t="inlineStr">
        <is>
          <t>Registro Estadual Vigente</t>
        </is>
      </c>
      <c r="K580" s="13" t="inlineStr">
        <is>
          <t>Estabelecimento Credenciado no Brasil</t>
        </is>
      </c>
      <c r="L580" s="13" t="inlineStr">
        <is>
          <t>Brasil</t>
        </is>
      </c>
      <c r="M580" s="13" t="inlineStr">
        <is>
          <t>0 - Nacional / 1 - Importação Direta</t>
        </is>
      </c>
    </row>
    <row r="581" ht="22" customHeight="1">
      <c r="A581" s="6" t="inlineStr">
        <is>
          <t>EMP-0577</t>
        </is>
      </c>
      <c r="B581" s="5" t="n">
        <v>485</v>
      </c>
      <c r="C581" s="7" t="inlineStr">
        <is>
          <t>Nº 16724</t>
        </is>
      </c>
      <c r="D581" s="8" t="inlineStr">
        <is>
          <t>FLUAZINAM</t>
        </is>
      </c>
      <c r="E581" s="7" t="inlineStr">
        <is>
          <t>1. Titular do Registro / Produtor</t>
        </is>
      </c>
      <c r="F581" s="7" t="inlineStr">
        <is>
          <t>Produto Formulado Comercial</t>
        </is>
      </c>
      <c r="G581" s="7" t="inlineStr">
        <is>
          <t>AGRICONNECTION IMPORTADORA E EXPORTADORA DE INSUMOS AGRÍCOLAS LTDA.</t>
        </is>
      </c>
      <c r="H581" s="7" t="inlineStr">
        <is>
          <t>Matriz / Estabelecimento Principal</t>
        </is>
      </c>
      <c r="I581" s="7" t="inlineStr">
        <is>
          <t>39.496.730/0001-60</t>
        </is>
      </c>
      <c r="J581" s="7" t="inlineStr">
        <is>
          <t>INDEA/MT nº 27326 / CDA/SP nº 4354</t>
        </is>
      </c>
      <c r="K581" s="7" t="inlineStr">
        <is>
          <t>Av. Manoel Genildo de Araujo, 188, Campo Verde/MT / Barueri/SP</t>
        </is>
      </c>
      <c r="L581" s="7" t="inlineStr">
        <is>
          <t>Brasil</t>
        </is>
      </c>
      <c r="M581" s="7" t="inlineStr">
        <is>
          <t>0 - Nacional / 1 - Importação Direta</t>
        </is>
      </c>
    </row>
    <row r="582" ht="22" customHeight="1">
      <c r="A582" s="12" t="inlineStr">
        <is>
          <t>EMP-0578</t>
        </is>
      </c>
      <c r="B582" s="11" t="n">
        <v>486</v>
      </c>
      <c r="C582" s="13" t="inlineStr">
        <is>
          <t>Nº 7925</t>
        </is>
      </c>
      <c r="D582" s="14" t="inlineStr">
        <is>
          <t>BONAFIDE 500 WG 20X0,5KG (IMP) SJ</t>
        </is>
      </c>
      <c r="E582" s="13" t="inlineStr">
        <is>
          <t>1. Titular do Registro</t>
        </is>
      </c>
      <c r="F582" s="13" t="inlineStr">
        <is>
          <t>Produto Formulado Comercial</t>
        </is>
      </c>
      <c r="G582" s="13" t="inlineStr">
        <is>
          <t>Sharda do Brasil Comércio de Produtos Químicos Ltda. — Boscalida 500 g</t>
        </is>
      </c>
      <c r="H582" s="13" t="inlineStr">
        <is>
          <t>Estabelecimento Credenciado</t>
        </is>
      </c>
      <c r="I582" s="13" t="inlineStr">
        <is>
          <t>CNPJ Credenciado MAPA</t>
        </is>
      </c>
      <c r="J582" s="13" t="inlineStr">
        <is>
          <t>Registro Estadual Vigente</t>
        </is>
      </c>
      <c r="K582" s="13" t="inlineStr">
        <is>
          <t>Unidade Operacional Brasil</t>
        </is>
      </c>
      <c r="L582" s="13" t="inlineStr">
        <is>
          <t>Brasil</t>
        </is>
      </c>
      <c r="M582" s="13" t="inlineStr">
        <is>
          <t>0/1/2 - Conforme Origem do Lote</t>
        </is>
      </c>
    </row>
    <row r="583" ht="22" customHeight="1">
      <c r="A583" s="6" t="inlineStr">
        <is>
          <t>EMP-0579</t>
        </is>
      </c>
      <c r="B583" s="5" t="n">
        <v>486</v>
      </c>
      <c r="C583" s="7" t="inlineStr">
        <is>
          <t>Nº 7925</t>
        </is>
      </c>
      <c r="D583" s="8" t="inlineStr">
        <is>
          <t>BONAFIDE 500 WG 20X0,5KG (IMP) SJ</t>
        </is>
      </c>
      <c r="E583" s="7" t="inlineStr">
        <is>
          <t>3. Formulador / Co-Distribuidor Autorizado</t>
        </is>
      </c>
      <c r="F583" s="7" t="inlineStr">
        <is>
          <t>Produto Formulado Comercial</t>
        </is>
      </c>
      <c r="G583" s="7" t="inlineStr">
        <is>
          <t>kg WG</t>
        </is>
      </c>
      <c r="H583" s="7" t="inlineStr">
        <is>
          <t>Estabelecimento Credenciado</t>
        </is>
      </c>
      <c r="I583" s="7" t="inlineStr">
        <is>
          <t>CNPJ Credenciado MAPA</t>
        </is>
      </c>
      <c r="J583" s="7" t="inlineStr">
        <is>
          <t>Registro Estadual Vigente</t>
        </is>
      </c>
      <c r="K583" s="7" t="inlineStr">
        <is>
          <t>Unidade Operacional Brasil</t>
        </is>
      </c>
      <c r="L583" s="7" t="inlineStr">
        <is>
          <t>Brasil</t>
        </is>
      </c>
      <c r="M583" s="7" t="inlineStr">
        <is>
          <t>0/1/2 - Conforme Origem do Lote</t>
        </is>
      </c>
    </row>
    <row r="584" ht="22" customHeight="1">
      <c r="A584" s="12" t="inlineStr">
        <is>
          <t>EMP-0580</t>
        </is>
      </c>
      <c r="B584" s="11" t="n">
        <v>487</v>
      </c>
      <c r="C584" s="13" t="inlineStr">
        <is>
          <t>Nº 24324</t>
        </is>
      </c>
      <c r="D584" s="14" t="inlineStr">
        <is>
          <t>PROCYMIDONE</t>
        </is>
      </c>
      <c r="E584" s="13" t="inlineStr">
        <is>
          <t>1. Titular do Registro / Produtor</t>
        </is>
      </c>
      <c r="F584" s="13" t="inlineStr">
        <is>
          <t>Produto Formulado Comercial</t>
        </is>
      </c>
      <c r="G584" s="13" t="inlineStr">
        <is>
          <t>PROVENTIS LIFESCIENCE DEFENSIVOS AGRÍCOLAS LTDA.</t>
        </is>
      </c>
      <c r="H584" s="13" t="inlineStr">
        <is>
          <t>Matriz / Estabelecimento Principal</t>
        </is>
      </c>
      <c r="I584" s="13" t="inlineStr">
        <is>
          <t>CNPJ Credenciado MAPA/SIPEAGRO</t>
        </is>
      </c>
      <c r="J584" s="13" t="inlineStr">
        <is>
          <t>Registro Estadual Vigente</t>
        </is>
      </c>
      <c r="K584" s="13" t="inlineStr">
        <is>
          <t>Estabelecimento Credenciado no Brasil</t>
        </is>
      </c>
      <c r="L584" s="13" t="inlineStr">
        <is>
          <t>Brasil</t>
        </is>
      </c>
      <c r="M584" s="13" t="inlineStr">
        <is>
          <t>0 - Nacional / 1 - Importação Direta</t>
        </is>
      </c>
    </row>
    <row r="585" ht="22" customHeight="1">
      <c r="A585" s="6" t="inlineStr">
        <is>
          <t>EMP-0581</t>
        </is>
      </c>
      <c r="B585" s="5" t="n">
        <v>488</v>
      </c>
      <c r="C585" s="7" t="inlineStr">
        <is>
          <t>Nº 26023</t>
        </is>
      </c>
      <c r="D585" s="8" t="inlineStr">
        <is>
          <t>MAJESTUOSO</t>
        </is>
      </c>
      <c r="E585" s="7" t="inlineStr">
        <is>
          <t>1. Titular do Registro / Produtor</t>
        </is>
      </c>
      <c r="F585" s="7" t="inlineStr">
        <is>
          <t>Produto Formulado Comercial</t>
        </is>
      </c>
      <c r="G585" s="7" t="inlineStr">
        <is>
          <t>AGRO-LEAD BRASIL ASSESSORIA EM PRODUTOS AGRICOLAS LTDA</t>
        </is>
      </c>
      <c r="H585" s="7" t="inlineStr">
        <is>
          <t>Matriz / Estabelecimento Principal</t>
        </is>
      </c>
      <c r="I585" s="7" t="inlineStr">
        <is>
          <t>CNPJ Credenciado MAPA/SIPEAGRO</t>
        </is>
      </c>
      <c r="J585" s="7" t="inlineStr">
        <is>
          <t>Registro Estadual Vigente</t>
        </is>
      </c>
      <c r="K585" s="7" t="inlineStr">
        <is>
          <t>Estabelecimento Credenciado no Brasil</t>
        </is>
      </c>
      <c r="L585" s="7" t="inlineStr">
        <is>
          <t>Brasil</t>
        </is>
      </c>
      <c r="M585" s="7" t="inlineStr">
        <is>
          <t>0 - Nacional / 1 - Importação Direta</t>
        </is>
      </c>
    </row>
    <row r="586" ht="22" customHeight="1">
      <c r="A586" s="12" t="inlineStr">
        <is>
          <t>EMP-0582</t>
        </is>
      </c>
      <c r="B586" s="11" t="n">
        <v>489</v>
      </c>
      <c r="C586" s="13" t="inlineStr">
        <is>
          <t>SIPEAGRO (UF-XXXXX)</t>
        </is>
      </c>
      <c r="D586" s="14" t="inlineStr">
        <is>
          <t>NPK 19-04-19 (TON) (AGENCIADA)</t>
        </is>
      </c>
      <c r="E586" s="13" t="inlineStr">
        <is>
          <t>1. Titular do Registro / Produtor</t>
        </is>
      </c>
      <c r="F586" s="13" t="inlineStr">
        <is>
          <t>Fertilizante Mineral / Organomineral</t>
        </is>
      </c>
      <c r="G586" s="13" t="inlineStr">
        <is>
          <t>Estabelecimento Produtor SIPEAGRO/MAPA</t>
        </is>
      </c>
      <c r="H586" s="13" t="inlineStr">
        <is>
          <t>Matriz / Estabelecimento Principal</t>
        </is>
      </c>
      <c r="I586" s="13" t="inlineStr">
        <is>
          <t>CNPJ Credenciado MAPA/SIPEAGRO</t>
        </is>
      </c>
      <c r="J586" s="13" t="inlineStr">
        <is>
          <t>Registro Estadual Vigente</t>
        </is>
      </c>
      <c r="K586" s="13" t="inlineStr">
        <is>
          <t>Estabelecimento Credenciado no Brasil</t>
        </is>
      </c>
      <c r="L586" s="13" t="inlineStr">
        <is>
          <t>Brasil</t>
        </is>
      </c>
      <c r="M586" s="13" t="inlineStr">
        <is>
          <t>0 - Nacional / 1 - Importação Direta</t>
        </is>
      </c>
    </row>
    <row r="587" ht="22" customHeight="1">
      <c r="A587" s="6" t="inlineStr">
        <is>
          <t>EMP-0583</t>
        </is>
      </c>
      <c r="B587" s="5" t="n">
        <v>490</v>
      </c>
      <c r="C587" s="7" t="inlineStr">
        <is>
          <t>Nº 27323</t>
        </is>
      </c>
      <c r="D587" s="8" t="inlineStr">
        <is>
          <t>ACEGOL</t>
        </is>
      </c>
      <c r="E587" s="7" t="inlineStr">
        <is>
          <t>1. Titular do Registro / Produtor</t>
        </is>
      </c>
      <c r="F587" s="7" t="inlineStr">
        <is>
          <t>Produto Formulado Comercial</t>
        </is>
      </c>
      <c r="G587" s="7" t="inlineStr">
        <is>
          <t>RAINBOW DEFENSIVOS AGRICOLAS LTDA</t>
        </is>
      </c>
      <c r="H587" s="7" t="inlineStr">
        <is>
          <t>Matriz / Estabelecimento Principal</t>
        </is>
      </c>
      <c r="I587" s="7" t="inlineStr">
        <is>
          <t>10.486.463/0001-69</t>
        </is>
      </c>
      <c r="J587" s="7" t="inlineStr">
        <is>
          <t>SEAPA/RS nº 1928/09</t>
        </is>
      </c>
      <c r="K587" s="7" t="inlineStr">
        <is>
          <t>Estabelecimento Credenciado no Brasil</t>
        </is>
      </c>
      <c r="L587" s="7" t="inlineStr">
        <is>
          <t>Brasil</t>
        </is>
      </c>
      <c r="M587" s="7" t="inlineStr">
        <is>
          <t>0 - Nacional / 1 - Importação Direta</t>
        </is>
      </c>
    </row>
    <row r="588" ht="22" customHeight="1">
      <c r="A588" s="12" t="inlineStr">
        <is>
          <t>EMP-0584</t>
        </is>
      </c>
      <c r="B588" s="11" t="n">
        <v>491</v>
      </c>
      <c r="C588" s="13" t="inlineStr">
        <is>
          <t>Nº 31522</t>
        </is>
      </c>
      <c r="D588" s="14" t="inlineStr">
        <is>
          <t>METOMY</t>
        </is>
      </c>
      <c r="E588" s="13" t="inlineStr">
        <is>
          <t>1. Titular do Registro / Produtor</t>
        </is>
      </c>
      <c r="F588" s="13" t="inlineStr">
        <is>
          <t>Produto Formulado Comercial</t>
        </is>
      </c>
      <c r="G588" s="13" t="inlineStr">
        <is>
          <t>RAINBOW DEFENSIVOS AGRÍCOLAS LTDA.</t>
        </is>
      </c>
      <c r="H588" s="13" t="inlineStr">
        <is>
          <t>Matriz / Estabelecimento Principal</t>
        </is>
      </c>
      <c r="I588" s="13" t="inlineStr">
        <is>
          <t>10.486.463/0001-69</t>
        </is>
      </c>
      <c r="J588" s="13" t="inlineStr">
        <is>
          <t>SEAPA/RS nº 1928/09</t>
        </is>
      </c>
      <c r="K588" s="13" t="inlineStr">
        <is>
          <t>Av. Carlos Gomes, 258, Salas 1103-1106, Boa Vista, Porto Alegre/RS - CEP 90480-000</t>
        </is>
      </c>
      <c r="L588" s="13" t="inlineStr">
        <is>
          <t>Brasil</t>
        </is>
      </c>
      <c r="M588" s="13" t="inlineStr">
        <is>
          <t>0 - Nacional / 1 - Importação Direta</t>
        </is>
      </c>
    </row>
    <row r="589" ht="22" customHeight="1">
      <c r="A589" s="6" t="inlineStr">
        <is>
          <t>EMP-0585</t>
        </is>
      </c>
      <c r="B589" s="5" t="n">
        <v>492</v>
      </c>
      <c r="C589" s="7" t="inlineStr">
        <is>
          <t>SIPEAGRO (UF-XXXXX)</t>
        </is>
      </c>
      <c r="D589" s="8" t="inlineStr">
        <is>
          <t>HIPHOS 25 GR 00-25-00 BAG</t>
        </is>
      </c>
      <c r="E589" s="7" t="inlineStr">
        <is>
          <t>1. Titular do Registro / Produtor</t>
        </is>
      </c>
      <c r="F589" s="7" t="inlineStr">
        <is>
          <t>Fertilizante Mineral / Organomineral</t>
        </is>
      </c>
      <c r="G589" s="7" t="inlineStr">
        <is>
          <t>Estabelecimento Produtor SIPEAGRO/MAPA</t>
        </is>
      </c>
      <c r="H589" s="7" t="inlineStr">
        <is>
          <t>Matriz / Estabelecimento Principal</t>
        </is>
      </c>
      <c r="I589" s="7" t="inlineStr">
        <is>
          <t>CNPJ Credenciado MAPA/SIPEAGRO</t>
        </is>
      </c>
      <c r="J589" s="7" t="inlineStr">
        <is>
          <t>Registro Estadual Vigente</t>
        </is>
      </c>
      <c r="K589" s="7" t="inlineStr">
        <is>
          <t>Estabelecimento Credenciado no Brasil</t>
        </is>
      </c>
      <c r="L589" s="7" t="inlineStr">
        <is>
          <t>Brasil</t>
        </is>
      </c>
      <c r="M589" s="7" t="inlineStr">
        <is>
          <t>0 - Nacional / 1 - Importação Direta</t>
        </is>
      </c>
    </row>
    <row r="590" ht="22" customHeight="1">
      <c r="A590" s="12" t="inlineStr">
        <is>
          <t>EMP-0586</t>
        </is>
      </c>
      <c r="B590" s="11" t="n">
        <v>493</v>
      </c>
      <c r="C590" s="13" t="inlineStr">
        <is>
          <t>Nº 4900</t>
        </is>
      </c>
      <c r="D590" s="14" t="inlineStr">
        <is>
          <t>CONVERGE 400 EC</t>
        </is>
      </c>
      <c r="E590" s="13" t="inlineStr">
        <is>
          <t>1. Titular do Registro / Produtor</t>
        </is>
      </c>
      <c r="F590" s="13" t="inlineStr">
        <is>
          <t>Produto Formulado Comercial</t>
        </is>
      </c>
      <c r="G590" s="13" t="inlineStr">
        <is>
          <t>FMC QUIMICA DO BRASIL LTDA</t>
        </is>
      </c>
      <c r="H590" s="13" t="inlineStr">
        <is>
          <t>Matriz / Estabelecimento Principal</t>
        </is>
      </c>
      <c r="I590" s="13" t="inlineStr">
        <is>
          <t>CNPJ Credenciado MAPA/SIPEAGRO</t>
        </is>
      </c>
      <c r="J590" s="13" t="inlineStr">
        <is>
          <t>Registro Estadual Vigente</t>
        </is>
      </c>
      <c r="K590" s="13" t="inlineStr">
        <is>
          <t>Estabelecimento Credenciado no Brasil</t>
        </is>
      </c>
      <c r="L590" s="13" t="inlineStr">
        <is>
          <t>Brasil</t>
        </is>
      </c>
      <c r="M590" s="13" t="inlineStr">
        <is>
          <t>0 - Nacional / 1 - Importação Direta</t>
        </is>
      </c>
    </row>
    <row r="591" ht="22" customHeight="1">
      <c r="A591" s="6" t="inlineStr">
        <is>
          <t>EMP-0587</t>
        </is>
      </c>
      <c r="B591" s="5" t="n">
        <v>494</v>
      </c>
      <c r="C591" s="7" t="inlineStr">
        <is>
          <t>Nº 1109</t>
        </is>
      </c>
      <c r="D591" s="8" t="inlineStr">
        <is>
          <t>TROVATI 360 CS</t>
        </is>
      </c>
      <c r="E591" s="7" t="inlineStr">
        <is>
          <t>1. Titular do Registro</t>
        </is>
      </c>
      <c r="F591" s="7" t="inlineStr">
        <is>
          <t>Produto Formulado Comercial</t>
        </is>
      </c>
      <c r="G591" s="7" t="inlineStr">
        <is>
          <t>Clomazona 360 g</t>
        </is>
      </c>
      <c r="H591" s="7" t="inlineStr">
        <is>
          <t>Estabelecimento Credenciado</t>
        </is>
      </c>
      <c r="I591" s="7" t="inlineStr">
        <is>
          <t>CNPJ Credenciado MAPA</t>
        </is>
      </c>
      <c r="J591" s="7" t="inlineStr">
        <is>
          <t>Registro Estadual Vigente</t>
        </is>
      </c>
      <c r="K591" s="7" t="inlineStr">
        <is>
          <t>Unidade Operacional Brasil</t>
        </is>
      </c>
      <c r="L591" s="7" t="inlineStr">
        <is>
          <t>Brasil</t>
        </is>
      </c>
      <c r="M591" s="7" t="inlineStr">
        <is>
          <t>0/1/2 - Conforme Origem do Lote</t>
        </is>
      </c>
    </row>
    <row r="592" ht="22" customHeight="1">
      <c r="A592" s="12" t="inlineStr">
        <is>
          <t>EMP-0588</t>
        </is>
      </c>
      <c r="B592" s="11" t="n">
        <v>494</v>
      </c>
      <c r="C592" s="13" t="inlineStr">
        <is>
          <t>Nº 1109</t>
        </is>
      </c>
      <c r="D592" s="14" t="inlineStr">
        <is>
          <t>TROVATI 360 CS</t>
        </is>
      </c>
      <c r="E592" s="13" t="inlineStr">
        <is>
          <t>3. Formulador / Co-Distribuidor Autorizado</t>
        </is>
      </c>
      <c r="F592" s="13" t="inlineStr">
        <is>
          <t>Produto Formulado Comercial</t>
        </is>
      </c>
      <c r="G592" s="13" t="inlineStr">
        <is>
          <t>L CS</t>
        </is>
      </c>
      <c r="H592" s="13" t="inlineStr">
        <is>
          <t>Estabelecimento Credenciado</t>
        </is>
      </c>
      <c r="I592" s="13" t="inlineStr">
        <is>
          <t>CNPJ Credenciado MAPA</t>
        </is>
      </c>
      <c r="J592" s="13" t="inlineStr">
        <is>
          <t>Registro Estadual Vigente</t>
        </is>
      </c>
      <c r="K592" s="13" t="inlineStr">
        <is>
          <t>Unidade Operacional Brasil</t>
        </is>
      </c>
      <c r="L592" s="13" t="inlineStr">
        <is>
          <t>Brasil</t>
        </is>
      </c>
      <c r="M592" s="13" t="inlineStr">
        <is>
          <t>0/1/2 - Conforme Origem do Lote</t>
        </is>
      </c>
    </row>
    <row r="593" ht="22" customHeight="1">
      <c r="A593" s="6" t="inlineStr">
        <is>
          <t>EMP-0589</t>
        </is>
      </c>
      <c r="B593" s="5" t="n">
        <v>495</v>
      </c>
      <c r="C593" s="7" t="inlineStr">
        <is>
          <t>SIPEAGRO (UF-XXXXX)</t>
        </is>
      </c>
      <c r="D593" s="8" t="inlineStr">
        <is>
          <t>BENTONITA 90%S - GRANULADO - 1.200 KG</t>
        </is>
      </c>
      <c r="E593" s="7" t="inlineStr">
        <is>
          <t>1. Titular do Registro / Produtor</t>
        </is>
      </c>
      <c r="F593" s="7" t="inlineStr">
        <is>
          <t>Corretivo / Condicionador de Solo</t>
        </is>
      </c>
      <c r="G593" s="7" t="inlineStr">
        <is>
          <t>Estabelecimento Produtor SIPEAGRO/MAPA</t>
        </is>
      </c>
      <c r="H593" s="7" t="inlineStr">
        <is>
          <t>Matriz / Estabelecimento Principal</t>
        </is>
      </c>
      <c r="I593" s="7" t="inlineStr">
        <is>
          <t>CNPJ Credenciado MAPA/SIPEAGRO</t>
        </is>
      </c>
      <c r="J593" s="7" t="inlineStr">
        <is>
          <t>Registro Estadual Vigente</t>
        </is>
      </c>
      <c r="K593" s="7" t="inlineStr">
        <is>
          <t>Estabelecimento Credenciado no Brasil</t>
        </is>
      </c>
      <c r="L593" s="7" t="inlineStr">
        <is>
          <t>Brasil</t>
        </is>
      </c>
      <c r="M593" s="7" t="inlineStr">
        <is>
          <t>0 - Nacional / 1 - Importação Direta</t>
        </is>
      </c>
    </row>
    <row r="594" ht="22" customHeight="1">
      <c r="A594" s="12" t="inlineStr">
        <is>
          <t>EMP-0590</t>
        </is>
      </c>
      <c r="B594" s="11" t="n">
        <v>496</v>
      </c>
      <c r="C594" s="13" t="inlineStr">
        <is>
          <t>Nº 40624</t>
        </is>
      </c>
      <c r="D594" s="14" t="inlineStr">
        <is>
          <t>CLORPIRIFOS 480 EC AGCN (IMP) AMOSTRA</t>
        </is>
      </c>
      <c r="E594" s="13" t="inlineStr">
        <is>
          <t>1. Titular do Registro / Produtor</t>
        </is>
      </c>
      <c r="F594" s="13" t="inlineStr">
        <is>
          <t>Produto Formulado Comercial</t>
        </is>
      </c>
      <c r="G594" s="13" t="inlineStr">
        <is>
          <t>AGRICONNECTION IMPORTADORA E EXPORTADORA DE INSUMOS AGRÍCOLAS LTDA.</t>
        </is>
      </c>
      <c r="H594" s="13" t="inlineStr">
        <is>
          <t>Matriz / Estabelecimento Principal</t>
        </is>
      </c>
      <c r="I594" s="13" t="inlineStr">
        <is>
          <t>39.496.730/0001-60</t>
        </is>
      </c>
      <c r="J594" s="13" t="inlineStr">
        <is>
          <t>CDA/SP nº 4354 / INDEA/MT nº 27326</t>
        </is>
      </c>
      <c r="K594" s="13" t="inlineStr">
        <is>
          <t>Alameda Rio Negro, 585, Sala 145 A, Alphaville, Barueri/SP - CEP 06454-000</t>
        </is>
      </c>
      <c r="L594" s="13" t="inlineStr">
        <is>
          <t>Brasil</t>
        </is>
      </c>
      <c r="M594" s="13" t="inlineStr">
        <is>
          <t>0 - Nacional / 1 - Importação Direta</t>
        </is>
      </c>
    </row>
    <row r="595" ht="22" customHeight="1">
      <c r="A595" s="6" t="inlineStr">
        <is>
          <t>EMP-0591</t>
        </is>
      </c>
      <c r="B595" s="5" t="n">
        <v>497</v>
      </c>
      <c r="C595" s="7" t="inlineStr">
        <is>
          <t>Nº 27717</t>
        </is>
      </c>
      <c r="D595" s="8" t="inlineStr">
        <is>
          <t>FIPRONIL 800 WG AGCN AMOSTRA 0,200KG FF IMP</t>
        </is>
      </c>
      <c r="E595" s="7" t="inlineStr">
        <is>
          <t>1. Titular do Registro / Produtor</t>
        </is>
      </c>
      <c r="F595" s="7" t="inlineStr">
        <is>
          <t>Produto Formulado Comercial</t>
        </is>
      </c>
      <c r="G595" s="7" t="inlineStr">
        <is>
          <t>AGRICONNECTION IMPORTADORA E EXPORTADORA DE INSUMOS AGRÍCOLAS LTDA.</t>
        </is>
      </c>
      <c r="H595" s="7" t="inlineStr">
        <is>
          <t>Matriz / Estabelecimento Principal</t>
        </is>
      </c>
      <c r="I595" s="7" t="inlineStr">
        <is>
          <t>39.496.730/0001-60</t>
        </is>
      </c>
      <c r="J595" s="7" t="inlineStr">
        <is>
          <t>INDEA/MT nº 27326 / CDA/SP nº 4354</t>
        </is>
      </c>
      <c r="K595" s="7" t="inlineStr">
        <is>
          <t>Av. Manoel Genildo de Araujo, 188, Sala 02, Campo Verde/MT - CEP 78840-085</t>
        </is>
      </c>
      <c r="L595" s="7" t="inlineStr">
        <is>
          <t>Brasil</t>
        </is>
      </c>
      <c r="M595" s="7" t="inlineStr">
        <is>
          <t>0 - Nacional / 1 - Importação Direta</t>
        </is>
      </c>
    </row>
    <row r="596" ht="22" customHeight="1">
      <c r="A596" s="12" t="inlineStr">
        <is>
          <t>EMP-0592</t>
        </is>
      </c>
      <c r="B596" s="11" t="n">
        <v>498</v>
      </c>
      <c r="C596" s="13" t="inlineStr">
        <is>
          <t>Nº 14421</t>
        </is>
      </c>
      <c r="D596" s="14" t="inlineStr">
        <is>
          <t>FIPRONIL 250 FS AGCN IMP FF 0,200KG AMOSTRA</t>
        </is>
      </c>
      <c r="E596" s="13" t="inlineStr">
        <is>
          <t>1. Titular do Registro / Produtor</t>
        </is>
      </c>
      <c r="F596" s="13" t="inlineStr">
        <is>
          <t>Produto Formulado Comercial</t>
        </is>
      </c>
      <c r="G596" s="13" t="inlineStr">
        <is>
          <t>AGRICONNECTION IMPORTADORA E EXPORTADORA DE INSUMOS AGRÍCOLAS LTDA.</t>
        </is>
      </c>
      <c r="H596" s="13" t="inlineStr">
        <is>
          <t>Matriz / Estabelecimento Principal</t>
        </is>
      </c>
      <c r="I596" s="13" t="inlineStr">
        <is>
          <t>39.496.730/0001-60</t>
        </is>
      </c>
      <c r="J596" s="13" t="inlineStr">
        <is>
          <t>INDEA/MT nº 27326 / CDA/SP nº 4354</t>
        </is>
      </c>
      <c r="K596" s="13" t="inlineStr">
        <is>
          <t>Av. Manoel Genildo de Araujo, 188, Sala 02, Campo Verde/MT - CEP 78840-085</t>
        </is>
      </c>
      <c r="L596" s="13" t="inlineStr">
        <is>
          <t>Brasil</t>
        </is>
      </c>
      <c r="M596" s="13" t="inlineStr">
        <is>
          <t>0 - Nacional / 1 - Importação Direta</t>
        </is>
      </c>
    </row>
    <row r="597" ht="22" customHeight="1">
      <c r="A597" s="6" t="inlineStr">
        <is>
          <t>EMP-0593</t>
        </is>
      </c>
      <c r="B597" s="5" t="n">
        <v>499</v>
      </c>
      <c r="C597" s="7" t="inlineStr">
        <is>
          <t>Nº 34621</t>
        </is>
      </c>
      <c r="D597" s="8" t="inlineStr">
        <is>
          <t>RATEIO 200SL AMOSTRA 0,200L</t>
        </is>
      </c>
      <c r="E597" s="7" t="inlineStr">
        <is>
          <t>1. Titular do Registro / Produtor</t>
        </is>
      </c>
      <c r="F597" s="7" t="inlineStr">
        <is>
          <t>Produto Formulado Comercial</t>
        </is>
      </c>
      <c r="G597" s="7" t="inlineStr">
        <is>
          <t>YONON BRASIL DEFENSIVOS AGRÍCOLAS LTDA. / CCAB AGRO S.A.</t>
        </is>
      </c>
      <c r="H597" s="7" t="inlineStr">
        <is>
          <t>Matriz / Estabelecimento Principal</t>
        </is>
      </c>
      <c r="I597" s="7" t="inlineStr">
        <is>
          <t>18.858.234/0001-30</t>
        </is>
      </c>
      <c r="J597" s="7" t="inlineStr">
        <is>
          <t>ADAPAR/PR nº 004001</t>
        </is>
      </c>
      <c r="K597" s="7" t="inlineStr">
        <is>
          <t>São Paulo/SP e São Miguel do Iguaçu/PR</t>
        </is>
      </c>
      <c r="L597" s="7" t="inlineStr">
        <is>
          <t>Brasil</t>
        </is>
      </c>
      <c r="M597" s="7" t="inlineStr">
        <is>
          <t>0 - Nacional / 1 - Importação Direta</t>
        </is>
      </c>
    </row>
    <row r="598" ht="22" customHeight="1">
      <c r="A598" s="12" t="inlineStr">
        <is>
          <t>EMP-0594</t>
        </is>
      </c>
      <c r="B598" s="11" t="n">
        <v>500</v>
      </c>
      <c r="C598" s="13" t="inlineStr">
        <is>
          <t>Nº 14024</t>
        </is>
      </c>
      <c r="D598" s="14" t="inlineStr">
        <is>
          <t>ETHIPROLE</t>
        </is>
      </c>
      <c r="E598" s="13" t="inlineStr">
        <is>
          <t>1. Titular do Registro / Produtor</t>
        </is>
      </c>
      <c r="F598" s="13" t="inlineStr">
        <is>
          <t>Produto Formulado Comercial</t>
        </is>
      </c>
      <c r="G598" s="13" t="inlineStr">
        <is>
          <t>YONON BRASIL DEFENSIVOS AGRÍCOLAS LTDA.</t>
        </is>
      </c>
      <c r="H598" s="13" t="inlineStr">
        <is>
          <t>Matriz / Estabelecimento Principal</t>
        </is>
      </c>
      <c r="I598" s="13" t="inlineStr">
        <is>
          <t>31.597.412/0001-88</t>
        </is>
      </c>
      <c r="J598" s="13" t="inlineStr">
        <is>
          <t>CDA/SP Vigente</t>
        </is>
      </c>
      <c r="K598" s="13" t="inlineStr">
        <is>
          <t>São Paulo/SP</t>
        </is>
      </c>
      <c r="L598" s="13" t="inlineStr">
        <is>
          <t>Brasil</t>
        </is>
      </c>
      <c r="M598" s="13" t="inlineStr">
        <is>
          <t>0 - Nacional / 1 - Importação Direta</t>
        </is>
      </c>
    </row>
    <row r="599" ht="22" customHeight="1">
      <c r="A599" s="6" t="inlineStr">
        <is>
          <t>EMP-0595</t>
        </is>
      </c>
      <c r="B599" s="5" t="n">
        <v>501</v>
      </c>
      <c r="C599" s="7" t="inlineStr">
        <is>
          <t>SIPEAGRO (UF-XXXXX)</t>
        </is>
      </c>
      <c r="D599" s="8" t="inlineStr">
        <is>
          <t>FERT 08.40.00 + 5 S (VALIDAR)</t>
        </is>
      </c>
      <c r="E599" s="7" t="inlineStr">
        <is>
          <t>1. Titular do Registro / Produtor</t>
        </is>
      </c>
      <c r="F599" s="7" t="inlineStr">
        <is>
          <t>Fertilizante Mineral / Organomineral</t>
        </is>
      </c>
      <c r="G599" s="7" t="inlineStr">
        <is>
          <t>Estabelecimento Produtor SIPEAGRO/MAPA</t>
        </is>
      </c>
      <c r="H599" s="7" t="inlineStr">
        <is>
          <t>Matriz / Estabelecimento Principal</t>
        </is>
      </c>
      <c r="I599" s="7" t="inlineStr">
        <is>
          <t>CNPJ Credenciado MAPA/SIPEAGRO</t>
        </is>
      </c>
      <c r="J599" s="7" t="inlineStr">
        <is>
          <t>Registro Estadual Vigente</t>
        </is>
      </c>
      <c r="K599" s="7" t="inlineStr">
        <is>
          <t>Estabelecimento Credenciado no Brasil</t>
        </is>
      </c>
      <c r="L599" s="7" t="inlineStr">
        <is>
          <t>Brasil</t>
        </is>
      </c>
      <c r="M599" s="7" t="inlineStr">
        <is>
          <t>0 - Nacional / 1 - Importação Direta</t>
        </is>
      </c>
    </row>
    <row r="600" ht="22" customHeight="1">
      <c r="A600" s="12" t="inlineStr">
        <is>
          <t>EMP-0596</t>
        </is>
      </c>
      <c r="B600" s="11" t="n">
        <v>502</v>
      </c>
      <c r="C600" s="13" t="inlineStr">
        <is>
          <t>Nº 28520</t>
        </is>
      </c>
      <c r="D600" s="14" t="inlineStr">
        <is>
          <t>SENHA WG AMOSTRA 0,200KG GG IMP</t>
        </is>
      </c>
      <c r="E600" s="13" t="inlineStr">
        <is>
          <t>1. Titular do Registro / Produtor</t>
        </is>
      </c>
      <c r="F600" s="13" t="inlineStr">
        <is>
          <t>Produto Formulado Comercial</t>
        </is>
      </c>
      <c r="G600" s="13" t="inlineStr">
        <is>
          <t>RAINBOW DEFENSIVOS AGRÍCOLAS LTDA.</t>
        </is>
      </c>
      <c r="H600" s="13" t="inlineStr">
        <is>
          <t>Matriz / Estabelecimento Principal</t>
        </is>
      </c>
      <c r="I600" s="13" t="inlineStr">
        <is>
          <t>10.486.463/0001-69</t>
        </is>
      </c>
      <c r="J600" s="13" t="inlineStr">
        <is>
          <t>SEAPA/RS nº 1928/09</t>
        </is>
      </c>
      <c r="K600" s="13" t="inlineStr">
        <is>
          <t>Av. Carlos Gomes, 258, Porto Alegre/RS</t>
        </is>
      </c>
      <c r="L600" s="13" t="inlineStr">
        <is>
          <t>Brasil</t>
        </is>
      </c>
      <c r="M600" s="13" t="inlineStr">
        <is>
          <t>0 - Nacional / 1 - Importação Direta</t>
        </is>
      </c>
    </row>
    <row r="601" ht="22" customHeight="1">
      <c r="A601" s="6" t="inlineStr">
        <is>
          <t>EMP-0597</t>
        </is>
      </c>
      <c r="B601" s="5" t="n">
        <v>503</v>
      </c>
      <c r="C601" s="7" t="inlineStr">
        <is>
          <t>Nº 26718</t>
        </is>
      </c>
      <c r="D601" s="8" t="inlineStr">
        <is>
          <t>DINKY</t>
        </is>
      </c>
      <c r="E601" s="7" t="inlineStr">
        <is>
          <t>1. Titular do Registro / Produtor</t>
        </is>
      </c>
      <c r="F601" s="7" t="inlineStr">
        <is>
          <t>Produto Formulado Comercial</t>
        </is>
      </c>
      <c r="G601" s="7" t="inlineStr">
        <is>
          <t>GLOBACHEM PROTEÇÃO DE CULTIVOS DO BRASIL LTDA.</t>
        </is>
      </c>
      <c r="H601" s="7" t="inlineStr">
        <is>
          <t>Matriz / Estabelecimento Principal</t>
        </is>
      </c>
      <c r="I601" s="7" t="inlineStr">
        <is>
          <t>CNPJ Credenciado MAPA/SIPEAGRO</t>
        </is>
      </c>
      <c r="J601" s="7" t="inlineStr">
        <is>
          <t>Registro Estadual Vigente</t>
        </is>
      </c>
      <c r="K601" s="7" t="inlineStr">
        <is>
          <t>Estabelecimento Credenciado no Brasil</t>
        </is>
      </c>
      <c r="L601" s="7" t="inlineStr">
        <is>
          <t>Brasil</t>
        </is>
      </c>
      <c r="M601" s="7" t="inlineStr">
        <is>
          <t>0 - Nacional / 1 - Importação Direta</t>
        </is>
      </c>
    </row>
    <row r="602" ht="22" customHeight="1">
      <c r="A602" s="12" t="inlineStr">
        <is>
          <t>EMP-0598</t>
        </is>
      </c>
      <c r="B602" s="11" t="n">
        <v>504</v>
      </c>
      <c r="C602" s="13" t="inlineStr">
        <is>
          <t>Nº 5924</t>
        </is>
      </c>
      <c r="D602" s="14" t="inlineStr">
        <is>
          <t>FLAME WG</t>
        </is>
      </c>
      <c r="E602" s="13" t="inlineStr">
        <is>
          <t>1. Titular do Registro / Produtor</t>
        </is>
      </c>
      <c r="F602" s="13" t="inlineStr">
        <is>
          <t>Produto Formulado Comercial</t>
        </is>
      </c>
      <c r="G602" s="13" t="inlineStr">
        <is>
          <t>RAINBOW DEFENSIVOS AGRICOLAS LTDA</t>
        </is>
      </c>
      <c r="H602" s="13" t="inlineStr">
        <is>
          <t>Matriz / Estabelecimento Principal</t>
        </is>
      </c>
      <c r="I602" s="13" t="inlineStr">
        <is>
          <t>10.486.463/0001-69</t>
        </is>
      </c>
      <c r="J602" s="13" t="inlineStr">
        <is>
          <t>SEAPA/RS nº 1928/09</t>
        </is>
      </c>
      <c r="K602" s="13" t="inlineStr">
        <is>
          <t>Estabelecimento Credenciado no Brasil</t>
        </is>
      </c>
      <c r="L602" s="13" t="inlineStr">
        <is>
          <t>Brasil</t>
        </is>
      </c>
      <c r="M602" s="13" t="inlineStr">
        <is>
          <t>0 - Nacional / 1 - Importação Direta</t>
        </is>
      </c>
    </row>
    <row r="603" ht="22" customHeight="1">
      <c r="A603" s="6" t="inlineStr">
        <is>
          <t>EMP-0599</t>
        </is>
      </c>
      <c r="B603" s="5" t="n">
        <v>505</v>
      </c>
      <c r="C603" s="7" t="inlineStr">
        <is>
          <t>Nº 6313</t>
        </is>
      </c>
      <c r="D603" s="8" t="inlineStr">
        <is>
          <t>MANFIL 800 WP</t>
        </is>
      </c>
      <c r="E603" s="7" t="inlineStr">
        <is>
          <t>1. Titular do Registro / Produtor</t>
        </is>
      </c>
      <c r="F603" s="7" t="inlineStr">
        <is>
          <t>Produto Formulado Comercial</t>
        </is>
      </c>
      <c r="G603" s="7" t="inlineStr">
        <is>
          <t>INDOFIL INDUSTRIES DO BRASIL LTDA.</t>
        </is>
      </c>
      <c r="H603" s="7" t="inlineStr">
        <is>
          <t>Matriz / Estabelecimento Principal</t>
        </is>
      </c>
      <c r="I603" s="7" t="inlineStr">
        <is>
          <t>24.386.081/0001-78</t>
        </is>
      </c>
      <c r="J603" s="7" t="inlineStr">
        <is>
          <t>CDA/SP nº 1283</t>
        </is>
      </c>
      <c r="K603" s="7" t="inlineStr">
        <is>
          <t>Av. Roque Petroni Junior, 850, Jardim das Acácias, São Paulo/SP - CEP 04707-000</t>
        </is>
      </c>
      <c r="L603" s="7" t="inlineStr">
        <is>
          <t>Brasil</t>
        </is>
      </c>
      <c r="M603" s="7" t="inlineStr">
        <is>
          <t>0 - Nacional / 1 - Importação Direta</t>
        </is>
      </c>
    </row>
    <row r="604" ht="22" customHeight="1">
      <c r="A604" s="12" t="inlineStr">
        <is>
          <t>EMP-0600</t>
        </is>
      </c>
      <c r="B604" s="11" t="n">
        <v>506</v>
      </c>
      <c r="C604" s="13" t="inlineStr">
        <is>
          <t>Nº 4900</t>
        </is>
      </c>
      <c r="D604" s="14" t="inlineStr">
        <is>
          <t>CONVERGE 400 EC</t>
        </is>
      </c>
      <c r="E604" s="13" t="inlineStr">
        <is>
          <t>1. Titular do Registro / Produtor</t>
        </is>
      </c>
      <c r="F604" s="13" t="inlineStr">
        <is>
          <t>Produto Formulado Comercial</t>
        </is>
      </c>
      <c r="G604" s="13" t="inlineStr">
        <is>
          <t>FMC QUIMICA DO BRASIL LTDA</t>
        </is>
      </c>
      <c r="H604" s="13" t="inlineStr">
        <is>
          <t>Matriz / Estabelecimento Principal</t>
        </is>
      </c>
      <c r="I604" s="13" t="inlineStr">
        <is>
          <t>CNPJ Credenciado MAPA/SIPEAGRO</t>
        </is>
      </c>
      <c r="J604" s="13" t="inlineStr">
        <is>
          <t>Registro Estadual Vigente</t>
        </is>
      </c>
      <c r="K604" s="13" t="inlineStr">
        <is>
          <t>Estabelecimento Credenciado no Brasil</t>
        </is>
      </c>
      <c r="L604" s="13" t="inlineStr">
        <is>
          <t>Brasil</t>
        </is>
      </c>
      <c r="M604" s="13" t="inlineStr">
        <is>
          <t>0 - Nacional / 1 - Importação Direta</t>
        </is>
      </c>
    </row>
    <row r="605" ht="22" customHeight="1">
      <c r="A605" s="6" t="inlineStr">
        <is>
          <t>EMP-0601</t>
        </is>
      </c>
      <c r="B605" s="5" t="n">
        <v>507</v>
      </c>
      <c r="C605" s="7" t="inlineStr">
        <is>
          <t>Nº 1109</t>
        </is>
      </c>
      <c r="D605" s="8" t="inlineStr">
        <is>
          <t>TROVATI 360 CS</t>
        </is>
      </c>
      <c r="E605" s="7" t="inlineStr">
        <is>
          <t>1. Titular do Registro / Produtor</t>
        </is>
      </c>
      <c r="F605" s="7" t="inlineStr">
        <is>
          <t>Produto Formulado Comercial</t>
        </is>
      </c>
      <c r="G605" s="7" t="inlineStr">
        <is>
          <t>FMC Química do Brasil</t>
        </is>
      </c>
      <c r="H605" s="7" t="inlineStr">
        <is>
          <t>Matriz / Estabelecimento Principal</t>
        </is>
      </c>
      <c r="I605" s="7" t="inlineStr">
        <is>
          <t>CNPJ Credenciado MAPA/SIPEAGRO</t>
        </is>
      </c>
      <c r="J605" s="7" t="inlineStr">
        <is>
          <t>Registro Estadual Vigente</t>
        </is>
      </c>
      <c r="K605" s="7" t="inlineStr">
        <is>
          <t>Estabelecimento Credenciado no Brasil</t>
        </is>
      </c>
      <c r="L605" s="7" t="inlineStr">
        <is>
          <t>Brasil</t>
        </is>
      </c>
      <c r="M605" s="7" t="inlineStr">
        <is>
          <t>0 - Nacional / 1 - Importação Direta</t>
        </is>
      </c>
    </row>
    <row r="606" ht="22" customHeight="1">
      <c r="A606" s="12" t="inlineStr">
        <is>
          <t>EMP-0602</t>
        </is>
      </c>
      <c r="B606" s="11" t="n">
        <v>508</v>
      </c>
      <c r="C606" s="13" t="inlineStr">
        <is>
          <t>Nº 19018</t>
        </is>
      </c>
      <c r="D606" s="14" t="inlineStr">
        <is>
          <t>CLETODIM CARTAGO BLD I</t>
        </is>
      </c>
      <c r="E606" s="13" t="inlineStr">
        <is>
          <t>1. Titular do Registro / Produtor</t>
        </is>
      </c>
      <c r="F606" s="13" t="inlineStr">
        <is>
          <t>Produto Formulado Comercial</t>
        </is>
      </c>
      <c r="G606" s="13" t="inlineStr">
        <is>
          <t>ALBAUGH AGRO BRASIL LTDA.</t>
        </is>
      </c>
      <c r="H606" s="13" t="inlineStr">
        <is>
          <t>Matriz / Estabelecimento Principal</t>
        </is>
      </c>
      <c r="I606" s="13" t="inlineStr">
        <is>
          <t>CNPJ Credenciado MAPA/SIPEAGRO</t>
        </is>
      </c>
      <c r="J606" s="13" t="inlineStr">
        <is>
          <t>Registro Estadual Vigente</t>
        </is>
      </c>
      <c r="K606" s="13" t="inlineStr">
        <is>
          <t>Estabelecimento Credenciado no Brasil</t>
        </is>
      </c>
      <c r="L606" s="13" t="inlineStr">
        <is>
          <t>Brasil</t>
        </is>
      </c>
      <c r="M606" s="13" t="inlineStr">
        <is>
          <t>0 - Nacional / 1 - Importação Direta</t>
        </is>
      </c>
    </row>
    <row r="607" ht="22" customHeight="1">
      <c r="A607" s="6" t="inlineStr">
        <is>
          <t>EMP-0603</t>
        </is>
      </c>
      <c r="B607" s="5" t="n">
        <v>509</v>
      </c>
      <c r="C607" s="7" t="inlineStr">
        <is>
          <t>Nº 36419</t>
        </is>
      </c>
      <c r="D607" s="8" t="inlineStr">
        <is>
          <t>PIRIPROXIFEM 100 SINO-AGRI IMP 0,200L AMOSTRA</t>
        </is>
      </c>
      <c r="E607" s="7" t="inlineStr">
        <is>
          <t>1. Titular do Registro / Produtor</t>
        </is>
      </c>
      <c r="F607" s="7" t="inlineStr">
        <is>
          <t>Produto Formulado Comercial</t>
        </is>
      </c>
      <c r="G607" s="7" t="inlineStr">
        <is>
          <t>CCAB Agro S.A.</t>
        </is>
      </c>
      <c r="H607" s="7" t="inlineStr">
        <is>
          <t>Matriz / Estabelecimento Principal</t>
        </is>
      </c>
      <c r="I607" s="7" t="inlineStr">
        <is>
          <t>CNPJ Credenciado MAPA/SIPEAGRO</t>
        </is>
      </c>
      <c r="J607" s="7" t="inlineStr">
        <is>
          <t>Registro Estadual Vigente</t>
        </is>
      </c>
      <c r="K607" s="7" t="inlineStr">
        <is>
          <t>Estabelecimento Credenciado no Brasil</t>
        </is>
      </c>
      <c r="L607" s="7" t="inlineStr">
        <is>
          <t>Brasil</t>
        </is>
      </c>
      <c r="M607" s="7" t="inlineStr">
        <is>
          <t>0 - Nacional / 1 - Importação Direta</t>
        </is>
      </c>
    </row>
    <row r="608" ht="22" customHeight="1">
      <c r="A608" s="12" t="inlineStr">
        <is>
          <t>EMP-0604</t>
        </is>
      </c>
      <c r="B608" s="11" t="n">
        <v>510</v>
      </c>
      <c r="C608" s="13" t="inlineStr">
        <is>
          <t>Nº 2520</t>
        </is>
      </c>
      <c r="D608" s="14" t="inlineStr">
        <is>
          <t>SURVEY 250 FS</t>
        </is>
      </c>
      <c r="E608" s="13" t="inlineStr">
        <is>
          <t>1. Titular do Registro / Produtor</t>
        </is>
      </c>
      <c r="F608" s="13" t="inlineStr">
        <is>
          <t>Produto Formulado Comercial</t>
        </is>
      </c>
      <c r="G608" s="13" t="inlineStr">
        <is>
          <t>Rainbow Defensivos</t>
        </is>
      </c>
      <c r="H608" s="13" t="inlineStr">
        <is>
          <t>Matriz / Estabelecimento Principal</t>
        </is>
      </c>
      <c r="I608" s="13" t="inlineStr">
        <is>
          <t>10.486.463/0001-69</t>
        </is>
      </c>
      <c r="J608" s="13" t="inlineStr">
        <is>
          <t>SEAPA/RS nº 1928/09</t>
        </is>
      </c>
      <c r="K608" s="13" t="inlineStr">
        <is>
          <t>Estabelecimento Credenciado no Brasil</t>
        </is>
      </c>
      <c r="L608" s="13" t="inlineStr">
        <is>
          <t>Brasil</t>
        </is>
      </c>
      <c r="M608" s="13" t="inlineStr">
        <is>
          <t>0 - Nacional / 1 - Importação Direta</t>
        </is>
      </c>
    </row>
    <row r="609" ht="22" customHeight="1">
      <c r="A609" s="6" t="inlineStr">
        <is>
          <t>EMP-0605</t>
        </is>
      </c>
      <c r="B609" s="5" t="n">
        <v>511</v>
      </c>
      <c r="C609" s="7" t="inlineStr">
        <is>
          <t>Nº 34621</t>
        </is>
      </c>
      <c r="D609" s="8" t="inlineStr">
        <is>
          <t>RATEIO 200 SL</t>
        </is>
      </c>
      <c r="E609" s="7" t="inlineStr">
        <is>
          <t>1. Titular do Registro / Produtor</t>
        </is>
      </c>
      <c r="F609" s="7" t="inlineStr">
        <is>
          <t>Produto Formulado Comercial</t>
        </is>
      </c>
      <c r="G609" s="7" t="inlineStr">
        <is>
          <t>YONON BRASIL DEFENSIVOS AGRÍCOLAS LTDA. / CCAB AGRO S.A.</t>
        </is>
      </c>
      <c r="H609" s="7" t="inlineStr">
        <is>
          <t>Matriz / Estabelecimento Principal</t>
        </is>
      </c>
      <c r="I609" s="7" t="inlineStr">
        <is>
          <t>18.858.234/0001-30</t>
        </is>
      </c>
      <c r="J609" s="7" t="inlineStr">
        <is>
          <t>ADAPAR/PR nº 004001</t>
        </is>
      </c>
      <c r="K609" s="7" t="inlineStr">
        <is>
          <t>São Paulo/SP e São Miguel do Iguaçu/PR</t>
        </is>
      </c>
      <c r="L609" s="7" t="inlineStr">
        <is>
          <t>Brasil</t>
        </is>
      </c>
      <c r="M609" s="7" t="inlineStr">
        <is>
          <t>0 - Nacional / 1 - Importação Direta</t>
        </is>
      </c>
    </row>
    <row r="610" ht="22" customHeight="1">
      <c r="A610" s="12" t="inlineStr">
        <is>
          <t>EMP-0606</t>
        </is>
      </c>
      <c r="B610" s="11" t="n">
        <v>512</v>
      </c>
      <c r="C610" s="13" t="inlineStr">
        <is>
          <t>Nº 5924</t>
        </is>
      </c>
      <c r="D610" s="14" t="inlineStr">
        <is>
          <t>FLAME WG</t>
        </is>
      </c>
      <c r="E610" s="13" t="inlineStr">
        <is>
          <t>1. Titular do Registro / Produtor</t>
        </is>
      </c>
      <c r="F610" s="13" t="inlineStr">
        <is>
          <t>Produto Formulado Comercial</t>
        </is>
      </c>
      <c r="G610" s="13" t="inlineStr">
        <is>
          <t>RAINBOW DEFENSIVOS AGRICOLAS LTDA</t>
        </is>
      </c>
      <c r="H610" s="13" t="inlineStr">
        <is>
          <t>Matriz / Estabelecimento Principal</t>
        </is>
      </c>
      <c r="I610" s="13" t="inlineStr">
        <is>
          <t>10.486.463/0001-69</t>
        </is>
      </c>
      <c r="J610" s="13" t="inlineStr">
        <is>
          <t>SEAPA/RS nº 1928/09</t>
        </is>
      </c>
      <c r="K610" s="13" t="inlineStr">
        <is>
          <t>Estabelecimento Credenciado no Brasil</t>
        </is>
      </c>
      <c r="L610" s="13" t="inlineStr">
        <is>
          <t>Brasil</t>
        </is>
      </c>
      <c r="M610" s="13" t="inlineStr">
        <is>
          <t>0 - Nacional / 1 - Importação Direta</t>
        </is>
      </c>
    </row>
    <row r="611" ht="22" customHeight="1">
      <c r="A611" s="6" t="inlineStr">
        <is>
          <t>EMP-0607</t>
        </is>
      </c>
      <c r="B611" s="5" t="n">
        <v>513</v>
      </c>
      <c r="C611" s="7" t="inlineStr">
        <is>
          <t>SIPEAGRO (UF-XXXXX)</t>
        </is>
      </c>
      <c r="D611" s="8" t="inlineStr">
        <is>
          <t>AGCN PRO +</t>
        </is>
      </c>
      <c r="E611" s="7" t="inlineStr">
        <is>
          <t>1. Titular do Registro / Produtor</t>
        </is>
      </c>
      <c r="F611" s="7" t="inlineStr">
        <is>
          <t>Fertilizante Mineral / Organomineral</t>
        </is>
      </c>
      <c r="G611" s="7" t="inlineStr">
        <is>
          <t>Estabelecimento Produtor SIPEAGRO/MAPA</t>
        </is>
      </c>
      <c r="H611" s="7" t="inlineStr">
        <is>
          <t>Matriz / Estabelecimento Principal</t>
        </is>
      </c>
      <c r="I611" s="7" t="inlineStr">
        <is>
          <t>CNPJ Credenciado MAPA/SIPEAGRO</t>
        </is>
      </c>
      <c r="J611" s="7" t="inlineStr">
        <is>
          <t>Registro Estadual Vigente</t>
        </is>
      </c>
      <c r="K611" s="7" t="inlineStr">
        <is>
          <t>Estabelecimento Credenciado no Brasil</t>
        </is>
      </c>
      <c r="L611" s="7" t="inlineStr">
        <is>
          <t>Brasil</t>
        </is>
      </c>
      <c r="M611" s="7" t="inlineStr">
        <is>
          <t>0 - Nacional / 1 - Importação Direta</t>
        </is>
      </c>
    </row>
    <row r="612" ht="22" customHeight="1">
      <c r="A612" s="12" t="inlineStr">
        <is>
          <t>EMP-0608</t>
        </is>
      </c>
      <c r="B612" s="11" t="n">
        <v>514</v>
      </c>
      <c r="C612" s="13" t="inlineStr">
        <is>
          <t>Nº 31522</t>
        </is>
      </c>
      <c r="D612" s="14" t="inlineStr">
        <is>
          <t>METOMY 900 IMP 0,200L AMOSTRA</t>
        </is>
      </c>
      <c r="E612" s="13" t="inlineStr">
        <is>
          <t>1. Titular do Registro / Produtor</t>
        </is>
      </c>
      <c r="F612" s="13" t="inlineStr">
        <is>
          <t>Produto Formulado Comercial</t>
        </is>
      </c>
      <c r="G612" s="13" t="inlineStr">
        <is>
          <t>RAINBOW DEFENSIVOS AGRÍCOLAS LTDA.</t>
        </is>
      </c>
      <c r="H612" s="13" t="inlineStr">
        <is>
          <t>Matriz / Estabelecimento Principal</t>
        </is>
      </c>
      <c r="I612" s="13" t="inlineStr">
        <is>
          <t>10.486.463/0001-69</t>
        </is>
      </c>
      <c r="J612" s="13" t="inlineStr">
        <is>
          <t>SEAPA/RS nº 1928/09</t>
        </is>
      </c>
      <c r="K612" s="13" t="inlineStr">
        <is>
          <t>Av. Carlos Gomes, 258, Salas 1103-1106, Boa Vista, Porto Alegre/RS - CEP 90480-000</t>
        </is>
      </c>
      <c r="L612" s="13" t="inlineStr">
        <is>
          <t>Brasil</t>
        </is>
      </c>
      <c r="M612" s="13" t="inlineStr">
        <is>
          <t>0 - Nacional / 1 - Importação Direta</t>
        </is>
      </c>
    </row>
    <row r="613" ht="22" customHeight="1">
      <c r="A613" s="6" t="inlineStr">
        <is>
          <t>EMP-0609</t>
        </is>
      </c>
      <c r="B613" s="5" t="n">
        <v>515</v>
      </c>
      <c r="C613" s="7" t="inlineStr">
        <is>
          <t>Nº 22221</t>
        </is>
      </c>
      <c r="D613" s="8" t="inlineStr">
        <is>
          <t>GRASIDIM IMP 0,200L AMOSTRA</t>
        </is>
      </c>
      <c r="E613" s="7" t="inlineStr">
        <is>
          <t>1. Titular do Registro / Produtor</t>
        </is>
      </c>
      <c r="F613" s="7" t="inlineStr">
        <is>
          <t>Produto Formulado Comercial</t>
        </is>
      </c>
      <c r="G613" s="7" t="inlineStr">
        <is>
          <t>RAINBOW DEFENSIVOS AGRÍCOLAS LTDA.</t>
        </is>
      </c>
      <c r="H613" s="7" t="inlineStr">
        <is>
          <t>Matriz / Estabelecimento Principal</t>
        </is>
      </c>
      <c r="I613" s="7" t="inlineStr">
        <is>
          <t>10.486.463/0001-69</t>
        </is>
      </c>
      <c r="J613" s="7" t="inlineStr">
        <is>
          <t>SEAPA/RS nº 1928/09</t>
        </is>
      </c>
      <c r="K613" s="7" t="inlineStr">
        <is>
          <t>Av. Carlos Gomes, 258, Porto Alegre/RS</t>
        </is>
      </c>
      <c r="L613" s="7" t="inlineStr">
        <is>
          <t>Brasil</t>
        </is>
      </c>
      <c r="M613" s="7" t="inlineStr">
        <is>
          <t>0 - Nacional / 1 - Importação Direta</t>
        </is>
      </c>
    </row>
    <row r="614" ht="22" customHeight="1">
      <c r="A614" s="12" t="inlineStr">
        <is>
          <t>EMP-0610</t>
        </is>
      </c>
      <c r="B614" s="11" t="n">
        <v>516</v>
      </c>
      <c r="C614" s="13" t="inlineStr">
        <is>
          <t>Nº 12123</t>
        </is>
      </c>
      <c r="D614" s="14" t="inlineStr">
        <is>
          <t>PYRIPROXYFEN 100 EC AGCN</t>
        </is>
      </c>
      <c r="E614" s="13" t="inlineStr">
        <is>
          <t>1. Titular do Registro / Produtor</t>
        </is>
      </c>
      <c r="F614" s="13" t="inlineStr">
        <is>
          <t>Produto Formulado Comercial</t>
        </is>
      </c>
      <c r="G614" s="13" t="inlineStr">
        <is>
          <t>AGRICONNECTION IMPORTADORA E EXPORTADORA DE INSUMOS AGRÍCOLAS LTDA.</t>
        </is>
      </c>
      <c r="H614" s="13" t="inlineStr">
        <is>
          <t>Matriz / Estabelecimento Principal</t>
        </is>
      </c>
      <c r="I614" s="13" t="inlineStr">
        <is>
          <t>39.496.730/0001-60</t>
        </is>
      </c>
      <c r="J614" s="13" t="inlineStr">
        <is>
          <t>CDA/SP nº 4354 / INDEA/MT nº 27326</t>
        </is>
      </c>
      <c r="K614" s="13" t="inlineStr">
        <is>
          <t>Av. Manoel Genildo de Araujo, 188, Campo Verde/MT</t>
        </is>
      </c>
      <c r="L614" s="13" t="inlineStr">
        <is>
          <t>Brasil</t>
        </is>
      </c>
      <c r="M614" s="13" t="inlineStr">
        <is>
          <t>0 - Nacional / 1 - Importação Direta</t>
        </is>
      </c>
    </row>
    <row r="615" ht="22" customHeight="1">
      <c r="A615" s="6" t="inlineStr">
        <is>
          <t>EMP-0611</t>
        </is>
      </c>
      <c r="B615" s="5" t="n">
        <v>517</v>
      </c>
      <c r="C615" s="7" t="inlineStr">
        <is>
          <t>Nº 28421</t>
        </is>
      </c>
      <c r="D615" s="8" t="inlineStr">
        <is>
          <t>CLORFENAPIR CCAB</t>
        </is>
      </c>
      <c r="E615" s="7" t="inlineStr">
        <is>
          <t>1. Titular do Registro / Produtor</t>
        </is>
      </c>
      <c r="F615" s="7" t="inlineStr">
        <is>
          <t>Produto Formulado Comercial</t>
        </is>
      </c>
      <c r="G615" s="7" t="inlineStr">
        <is>
          <t>CCAB Agro S.A.</t>
        </is>
      </c>
      <c r="H615" s="7" t="inlineStr">
        <is>
          <t>Matriz / Estabelecimento Principal</t>
        </is>
      </c>
      <c r="I615" s="7" t="inlineStr">
        <is>
          <t>CNPJ Credenciado MAPA/SIPEAGRO</t>
        </is>
      </c>
      <c r="J615" s="7" t="inlineStr">
        <is>
          <t>Registro Estadual Vigente</t>
        </is>
      </c>
      <c r="K615" s="7" t="inlineStr">
        <is>
          <t>Estabelecimento Credenciado no Brasil</t>
        </is>
      </c>
      <c r="L615" s="7" t="inlineStr">
        <is>
          <t>Brasil</t>
        </is>
      </c>
      <c r="M615" s="7" t="inlineStr">
        <is>
          <t>0 - Nacional / 1 - Importação Direta</t>
        </is>
      </c>
    </row>
    <row r="616" ht="22" customHeight="1">
      <c r="A616" s="12" t="inlineStr">
        <is>
          <t>EMP-0612</t>
        </is>
      </c>
      <c r="B616" s="11" t="n">
        <v>518</v>
      </c>
      <c r="C616" s="13" t="inlineStr">
        <is>
          <t>Nº 2004</t>
        </is>
      </c>
      <c r="D616" s="14" t="inlineStr">
        <is>
          <t>PENNCOZEB WG</t>
        </is>
      </c>
      <c r="E616" s="13" t="inlineStr">
        <is>
          <t>1. Titular do Registro / Produtor</t>
        </is>
      </c>
      <c r="F616" s="13" t="inlineStr">
        <is>
          <t>Produto Formulado Comercial</t>
        </is>
      </c>
      <c r="G616" s="13" t="inlineStr">
        <is>
          <t>UPL do Brasil</t>
        </is>
      </c>
      <c r="H616" s="13" t="inlineStr">
        <is>
          <t>Matriz / Estabelecimento Principal</t>
        </is>
      </c>
      <c r="I616" s="13" t="inlineStr">
        <is>
          <t>CNPJ Credenciado MAPA/SIPEAGRO</t>
        </is>
      </c>
      <c r="J616" s="13" t="inlineStr">
        <is>
          <t>Registro Estadual Vigente</t>
        </is>
      </c>
      <c r="K616" s="13" t="inlineStr">
        <is>
          <t>Estabelecimento Credenciado no Brasil</t>
        </is>
      </c>
      <c r="L616" s="13" t="inlineStr">
        <is>
          <t>Brasil</t>
        </is>
      </c>
      <c r="M616" s="13" t="inlineStr">
        <is>
          <t>0 - Nacional / 1 - Importação Direta</t>
        </is>
      </c>
    </row>
    <row r="617" ht="22" customHeight="1">
      <c r="A617" s="6" t="inlineStr">
        <is>
          <t>EMP-0613</t>
        </is>
      </c>
      <c r="B617" s="5" t="n">
        <v>519</v>
      </c>
      <c r="C617" s="7" t="inlineStr">
        <is>
          <t>Nº 8510</t>
        </is>
      </c>
      <c r="D617" s="8" t="inlineStr">
        <is>
          <t>POQUER</t>
        </is>
      </c>
      <c r="E617" s="7" t="inlineStr">
        <is>
          <t>1. Titular do Registro</t>
        </is>
      </c>
      <c r="F617" s="7" t="inlineStr">
        <is>
          <t>Produto Formulado Comercial</t>
        </is>
      </c>
      <c r="G617" s="7" t="inlineStr">
        <is>
          <t>Rotam</t>
        </is>
      </c>
      <c r="H617" s="7" t="inlineStr">
        <is>
          <t>Estabelecimento Credenciado</t>
        </is>
      </c>
      <c r="I617" s="7" t="inlineStr">
        <is>
          <t>CNPJ Credenciado MAPA</t>
        </is>
      </c>
      <c r="J617" s="7" t="inlineStr">
        <is>
          <t>Registro Estadual Vigente</t>
        </is>
      </c>
      <c r="K617" s="7" t="inlineStr">
        <is>
          <t>Unidade Operacional Brasil</t>
        </is>
      </c>
      <c r="L617" s="7" t="inlineStr">
        <is>
          <t>Brasil</t>
        </is>
      </c>
      <c r="M617" s="7" t="inlineStr">
        <is>
          <t>0/1/2 - Conforme Origem do Lote</t>
        </is>
      </c>
    </row>
    <row r="618" ht="22" customHeight="1">
      <c r="A618" s="12" t="inlineStr">
        <is>
          <t>EMP-0614</t>
        </is>
      </c>
      <c r="B618" s="11" t="n">
        <v>519</v>
      </c>
      <c r="C618" s="13" t="inlineStr">
        <is>
          <t>Nº 8510</t>
        </is>
      </c>
      <c r="D618" s="14" t="inlineStr">
        <is>
          <t>POQUER</t>
        </is>
      </c>
      <c r="E618" s="13" t="inlineStr">
        <is>
          <t>3. Formulador / Co-Distribuidor Autorizado</t>
        </is>
      </c>
      <c r="F618" s="13" t="inlineStr">
        <is>
          <t>Produto Formulado Comercial</t>
        </is>
      </c>
      <c r="G618" s="13" t="inlineStr">
        <is>
          <t>Albaugh</t>
        </is>
      </c>
      <c r="H618" s="13" t="inlineStr">
        <is>
          <t>Estabelecimento Credenciado</t>
        </is>
      </c>
      <c r="I618" s="13" t="inlineStr">
        <is>
          <t>CNPJ Credenciado MAPA</t>
        </is>
      </c>
      <c r="J618" s="13" t="inlineStr">
        <is>
          <t>Registro Estadual Vigente</t>
        </is>
      </c>
      <c r="K618" s="13" t="inlineStr">
        <is>
          <t>Unidade Operacional Brasil</t>
        </is>
      </c>
      <c r="L618" s="13" t="inlineStr">
        <is>
          <t>Brasil</t>
        </is>
      </c>
      <c r="M618" s="13" t="inlineStr">
        <is>
          <t>0/1/2 - Conforme Origem do Lote</t>
        </is>
      </c>
    </row>
    <row r="619" ht="22" customHeight="1">
      <c r="A619" s="6" t="inlineStr">
        <is>
          <t>EMP-0615</t>
        </is>
      </c>
      <c r="B619" s="5" t="n">
        <v>520</v>
      </c>
      <c r="C619" s="7" t="inlineStr">
        <is>
          <t>Nº 23522</t>
        </is>
      </c>
      <c r="D619" s="8" t="inlineStr">
        <is>
          <t>VALLEX</t>
        </is>
      </c>
      <c r="E619" s="7" t="inlineStr">
        <is>
          <t>1. Titular do Registro / Produtor</t>
        </is>
      </c>
      <c r="F619" s="7" t="inlineStr">
        <is>
          <t>Produto Formulado Comercial</t>
        </is>
      </c>
      <c r="G619" s="7" t="inlineStr">
        <is>
          <t>RAINBOW DEFENSIVOS AGRÍCOLAS LTDA.</t>
        </is>
      </c>
      <c r="H619" s="7" t="inlineStr">
        <is>
          <t>Matriz / Estabelecimento Principal</t>
        </is>
      </c>
      <c r="I619" s="7" t="inlineStr">
        <is>
          <t>CNPJ Credenciado MAPA/SIPEAGRO</t>
        </is>
      </c>
      <c r="J619" s="7" t="inlineStr">
        <is>
          <t>Registro Estadual Vigente</t>
        </is>
      </c>
      <c r="K619" s="7" t="inlineStr">
        <is>
          <t>Estabelecimento Credenciado no Brasil</t>
        </is>
      </c>
      <c r="L619" s="7" t="inlineStr">
        <is>
          <t>Brasil</t>
        </is>
      </c>
      <c r="M619" s="7" t="inlineStr">
        <is>
          <t>0 - Nacional / 1 - Importação Direta</t>
        </is>
      </c>
    </row>
    <row r="620" ht="22" customHeight="1">
      <c r="A620" s="12" t="inlineStr">
        <is>
          <t>EMP-0616</t>
        </is>
      </c>
      <c r="B620" s="11" t="n">
        <v>521</v>
      </c>
      <c r="C620" s="13" t="inlineStr">
        <is>
          <t>Nº 23922</t>
        </is>
      </c>
      <c r="D620" s="14" t="inlineStr">
        <is>
          <t>GRASIDIM FULL IMP 0,200L AMOSTRA</t>
        </is>
      </c>
      <c r="E620" s="13" t="inlineStr">
        <is>
          <t>1. Titular do Registro / Produtor</t>
        </is>
      </c>
      <c r="F620" s="13" t="inlineStr">
        <is>
          <t>Produto Formulado Comercial</t>
        </is>
      </c>
      <c r="G620" s="13" t="inlineStr">
        <is>
          <t>RAINBOW DEFENSIVOS AGRÍCOLAS LTDA.</t>
        </is>
      </c>
      <c r="H620" s="13" t="inlineStr">
        <is>
          <t>Matriz / Estabelecimento Principal</t>
        </is>
      </c>
      <c r="I620" s="13" t="inlineStr">
        <is>
          <t>10.486.463/0001-69</t>
        </is>
      </c>
      <c r="J620" s="13" t="inlineStr">
        <is>
          <t>SEAPA/RS nº 1928/09</t>
        </is>
      </c>
      <c r="K620" s="13" t="inlineStr">
        <is>
          <t>Av. Carlos Gomes, 258, Porto Alegre/RS</t>
        </is>
      </c>
      <c r="L620" s="13" t="inlineStr">
        <is>
          <t>Brasil</t>
        </is>
      </c>
      <c r="M620" s="13" t="inlineStr">
        <is>
          <t>0 - Nacional / 1 - Importação Direta</t>
        </is>
      </c>
    </row>
    <row r="621" ht="22" customHeight="1">
      <c r="A621" s="6" t="inlineStr">
        <is>
          <t>EMP-0617</t>
        </is>
      </c>
      <c r="B621" s="5" t="n">
        <v>522</v>
      </c>
      <c r="C621" s="7" t="inlineStr">
        <is>
          <t>Nº 26017</t>
        </is>
      </c>
      <c r="D621" s="8" t="inlineStr">
        <is>
          <t>MESOTRIONE</t>
        </is>
      </c>
      <c r="E621" s="7" t="inlineStr">
        <is>
          <t>1. Titular do Registro / Produtor</t>
        </is>
      </c>
      <c r="F621" s="7" t="inlineStr">
        <is>
          <t>Produto Formulado Comercial</t>
        </is>
      </c>
      <c r="G621" s="7" t="inlineStr">
        <is>
          <t>Proventis Lifescience</t>
        </is>
      </c>
      <c r="H621" s="7" t="inlineStr">
        <is>
          <t>Matriz / Estabelecimento Principal</t>
        </is>
      </c>
      <c r="I621" s="7" t="inlineStr">
        <is>
          <t>CNPJ Credenciado MAPA/SIPEAGRO</t>
        </is>
      </c>
      <c r="J621" s="7" t="inlineStr">
        <is>
          <t>Registro Estadual Vigente</t>
        </is>
      </c>
      <c r="K621" s="7" t="inlineStr">
        <is>
          <t>Estabelecimento Credenciado no Brasil</t>
        </is>
      </c>
      <c r="L621" s="7" t="inlineStr">
        <is>
          <t>Brasil</t>
        </is>
      </c>
      <c r="M621" s="7" t="inlineStr">
        <is>
          <t>0 - Nacional / 1 - Importação Direta</t>
        </is>
      </c>
    </row>
    <row r="622" ht="22" customHeight="1">
      <c r="A622" s="12" t="inlineStr">
        <is>
          <t>EMP-0618</t>
        </is>
      </c>
      <c r="B622" s="11" t="n">
        <v>523</v>
      </c>
      <c r="C622" s="13" t="inlineStr">
        <is>
          <t>Nº 8813</t>
        </is>
      </c>
      <c r="D622" s="14" t="inlineStr">
        <is>
          <t>ORKESTRA SC</t>
        </is>
      </c>
      <c r="E622" s="13" t="inlineStr">
        <is>
          <t>1. Titular do Registro / Produtor</t>
        </is>
      </c>
      <c r="F622" s="13" t="inlineStr">
        <is>
          <t>Produto Formulado Comercial</t>
        </is>
      </c>
      <c r="G622" s="13" t="inlineStr">
        <is>
          <t>BASF S.A.</t>
        </is>
      </c>
      <c r="H622" s="13" t="inlineStr">
        <is>
          <t>Matriz / Estabelecimento Principal</t>
        </is>
      </c>
      <c r="I622" s="13" t="inlineStr">
        <is>
          <t>CNPJ Credenciado MAPA/SIPEAGRO</t>
        </is>
      </c>
      <c r="J622" s="13" t="inlineStr">
        <is>
          <t>Registro Estadual Vigente</t>
        </is>
      </c>
      <c r="K622" s="13" t="inlineStr">
        <is>
          <t>Estabelecimento Credenciado no Brasil</t>
        </is>
      </c>
      <c r="L622" s="13" t="inlineStr">
        <is>
          <t>Brasil</t>
        </is>
      </c>
      <c r="M622" s="13" t="inlineStr">
        <is>
          <t>0 - Nacional / 1 - Importação Direta</t>
        </is>
      </c>
    </row>
    <row r="623" ht="22" customHeight="1">
      <c r="A623" s="6" t="inlineStr">
        <is>
          <t>EMP-0619</t>
        </is>
      </c>
      <c r="B623" s="5" t="n">
        <v>524</v>
      </c>
      <c r="C623" s="7" t="inlineStr">
        <is>
          <t>SIPEAGRO (UF-XXXXX)</t>
        </is>
      </c>
      <c r="D623" s="8" t="inlineStr">
        <is>
          <t>AGCN MAG ULTRA</t>
        </is>
      </c>
      <c r="E623" s="7" t="inlineStr">
        <is>
          <t>1. Titular do Registro / Produtor</t>
        </is>
      </c>
      <c r="F623" s="7" t="inlineStr">
        <is>
          <t>Fertilizante Mineral / Organomineral</t>
        </is>
      </c>
      <c r="G623" s="7" t="inlineStr">
        <is>
          <t>Estabelecimento Produtor SIPEAGRO/MAPA</t>
        </is>
      </c>
      <c r="H623" s="7" t="inlineStr">
        <is>
          <t>Matriz / Estabelecimento Principal</t>
        </is>
      </c>
      <c r="I623" s="7" t="inlineStr">
        <is>
          <t>CNPJ Credenciado MAPA/SIPEAGRO</t>
        </is>
      </c>
      <c r="J623" s="7" t="inlineStr">
        <is>
          <t>Registro Estadual Vigente</t>
        </is>
      </c>
      <c r="K623" s="7" t="inlineStr">
        <is>
          <t>Estabelecimento Credenciado no Brasil</t>
        </is>
      </c>
      <c r="L623" s="7" t="inlineStr">
        <is>
          <t>Brasil</t>
        </is>
      </c>
      <c r="M623" s="7" t="inlineStr">
        <is>
          <t>0 - Nacional / 1 - Importação Direta</t>
        </is>
      </c>
    </row>
    <row r="624" ht="22" customHeight="1">
      <c r="A624" s="12" t="inlineStr">
        <is>
          <t>EMP-0620</t>
        </is>
      </c>
      <c r="B624" s="11" t="n">
        <v>525</v>
      </c>
      <c r="C624" s="13" t="inlineStr">
        <is>
          <t>Nº 45419</t>
        </is>
      </c>
      <c r="D624" s="14" t="inlineStr">
        <is>
          <t>CLORPIRI 480 EC 0,200L (IMP) AMOSTRA</t>
        </is>
      </c>
      <c r="E624" s="13" t="inlineStr">
        <is>
          <t>1. Titular do Registro / Produtor</t>
        </is>
      </c>
      <c r="F624" s="13" t="inlineStr">
        <is>
          <t>Produto Formulado Comercial</t>
        </is>
      </c>
      <c r="G624" s="13" t="inlineStr">
        <is>
          <t>SHARDA DO BRASIL COMÉRCIO DE PRODUTOS QUÍMICOS E AGROQUÍMICOS LTDA.</t>
        </is>
      </c>
      <c r="H624" s="13" t="inlineStr">
        <is>
          <t>Matriz / Estabelecimento Principal</t>
        </is>
      </c>
      <c r="I624" s="13" t="inlineStr">
        <is>
          <t>CNPJ Credenciado MAPA/SIPEAGRO</t>
        </is>
      </c>
      <c r="J624" s="13" t="inlineStr">
        <is>
          <t>Registro Estadual Vigente</t>
        </is>
      </c>
      <c r="K624" s="13" t="inlineStr">
        <is>
          <t>Estabelecimento Credenciado no Brasil</t>
        </is>
      </c>
      <c r="L624" s="13" t="inlineStr">
        <is>
          <t>Brasil</t>
        </is>
      </c>
      <c r="M624" s="13" t="inlineStr">
        <is>
          <t>0 - Nacional / 1 - Importação Direta</t>
        </is>
      </c>
    </row>
    <row r="625" ht="22" customHeight="1">
      <c r="A625" s="6" t="inlineStr">
        <is>
          <t>EMP-0621</t>
        </is>
      </c>
      <c r="B625" s="5" t="n">
        <v>526</v>
      </c>
      <c r="C625" s="7" t="inlineStr">
        <is>
          <t>Nº 12225</t>
        </is>
      </c>
      <c r="D625" s="8" t="inlineStr">
        <is>
          <t>IMPACTUS CS 0,200L (IMP) AMOSTRA</t>
        </is>
      </c>
      <c r="E625" s="7" t="inlineStr">
        <is>
          <t>1. Titular do Registro / Produtor</t>
        </is>
      </c>
      <c r="F625" s="7" t="inlineStr">
        <is>
          <t>Produto Formulado Comercial</t>
        </is>
      </c>
      <c r="G625" s="7" t="inlineStr">
        <is>
          <t>RAINBOW DEFENSIVOS AGRÍCOLAS LTDA.</t>
        </is>
      </c>
      <c r="H625" s="7" t="inlineStr">
        <is>
          <t>Matriz / Estabelecimento Principal</t>
        </is>
      </c>
      <c r="I625" s="7" t="inlineStr">
        <is>
          <t>CNPJ Credenciado MAPA/SIPEAGRO</t>
        </is>
      </c>
      <c r="J625" s="7" t="inlineStr">
        <is>
          <t>Registro Estadual Vigente</t>
        </is>
      </c>
      <c r="K625" s="7" t="inlineStr">
        <is>
          <t>Estabelecimento Credenciado no Brasil</t>
        </is>
      </c>
      <c r="L625" s="7" t="inlineStr">
        <is>
          <t>Brasil</t>
        </is>
      </c>
      <c r="M625" s="7" t="inlineStr">
        <is>
          <t>0 - Nacional / 1 - Importação Direta</t>
        </is>
      </c>
    </row>
    <row r="626" ht="22" customHeight="1">
      <c r="A626" s="12" t="inlineStr">
        <is>
          <t>EMP-0622</t>
        </is>
      </c>
      <c r="B626" s="11" t="n">
        <v>527</v>
      </c>
      <c r="C626" s="13" t="inlineStr">
        <is>
          <t>Nº 26924</t>
        </is>
      </c>
      <c r="D626" s="14" t="inlineStr">
        <is>
          <t>CHLOROCIL 0,200L (IMP) GG AMOSTRA</t>
        </is>
      </c>
      <c r="E626" s="13" t="inlineStr">
        <is>
          <t>1. Titular do Registro / Produtor</t>
        </is>
      </c>
      <c r="F626" s="13" t="inlineStr">
        <is>
          <t>Produto Formulado Comercial</t>
        </is>
      </c>
      <c r="G626" s="13" t="inlineStr">
        <is>
          <t>GLOBACHEM PROTEÇÃO DE CULTIVOS DO BRASIL LTDA.</t>
        </is>
      </c>
      <c r="H626" s="13" t="inlineStr">
        <is>
          <t>Matriz / Estabelecimento Principal</t>
        </is>
      </c>
      <c r="I626" s="13" t="inlineStr">
        <is>
          <t>CNPJ Credenciado MAPA/SIPEAGRO</t>
        </is>
      </c>
      <c r="J626" s="13" t="inlineStr">
        <is>
          <t>Registro Estadual Vigente</t>
        </is>
      </c>
      <c r="K626" s="13" t="inlineStr">
        <is>
          <t>Estabelecimento Credenciado no Brasil</t>
        </is>
      </c>
      <c r="L626" s="13" t="inlineStr">
        <is>
          <t>Brasil</t>
        </is>
      </c>
      <c r="M626" s="13" t="inlineStr">
        <is>
          <t>0 - Nacional / 1 - Importação Direta</t>
        </is>
      </c>
    </row>
    <row r="627" ht="22" customHeight="1">
      <c r="A627" s="6" t="inlineStr">
        <is>
          <t>EMP-0623</t>
        </is>
      </c>
      <c r="B627" s="5" t="n">
        <v>528</v>
      </c>
      <c r="C627" s="7" t="inlineStr">
        <is>
          <t>Nº 31422</t>
        </is>
      </c>
      <c r="D627" s="8" t="inlineStr">
        <is>
          <t>ZARPAL 0,200L (IMP) AMOSTRA</t>
        </is>
      </c>
      <c r="E627" s="7" t="inlineStr">
        <is>
          <t>1. Titular do Registro / Produtor</t>
        </is>
      </c>
      <c r="F627" s="7" t="inlineStr">
        <is>
          <t>Produto Formulado Comercial</t>
        </is>
      </c>
      <c r="G627" s="7" t="inlineStr">
        <is>
          <t>GLOBACHEM PROTEÇÃO DE CULTIVOS DO BRASIL LTDA.</t>
        </is>
      </c>
      <c r="H627" s="7" t="inlineStr">
        <is>
          <t>Matriz / Estabelecimento Principal</t>
        </is>
      </c>
      <c r="I627" s="7" t="inlineStr">
        <is>
          <t>43.741.357/0001-33</t>
        </is>
      </c>
      <c r="J627" s="7" t="inlineStr">
        <is>
          <t>CDA/SP nº 4326</t>
        </is>
      </c>
      <c r="K627" s="7" t="inlineStr">
        <is>
          <t>Rua Doutor Emílio Ribas, 174, Sala 12, Cambuí, Campinas/SP - CEP 13025-140</t>
        </is>
      </c>
      <c r="L627" s="7" t="inlineStr">
        <is>
          <t>Brasil</t>
        </is>
      </c>
      <c r="M627" s="7" t="inlineStr">
        <is>
          <t>0 - Nacional / 1 - Importação Direta</t>
        </is>
      </c>
    </row>
    <row r="628" ht="22" customHeight="1">
      <c r="A628" s="12" t="inlineStr">
        <is>
          <t>EMP-0624</t>
        </is>
      </c>
      <c r="B628" s="11" t="n">
        <v>529</v>
      </c>
      <c r="C628" s="13" t="inlineStr">
        <is>
          <t>Nº 15716</t>
        </is>
      </c>
      <c r="D628" s="14" t="inlineStr">
        <is>
          <t>DIFCOR 250 EC 0,200L IMP AMOSTRA</t>
        </is>
      </c>
      <c r="E628" s="13" t="inlineStr">
        <is>
          <t>1. Titular do Registro / Produtor</t>
        </is>
      </c>
      <c r="F628" s="13" t="inlineStr">
        <is>
          <t>Produto Formulado Comercial</t>
        </is>
      </c>
      <c r="G628" s="13" t="inlineStr">
        <is>
          <t>GLOBACHEM PROTEÇÃO DE CULTIVOS DO BRASIL LTDA.</t>
        </is>
      </c>
      <c r="H628" s="13" t="inlineStr">
        <is>
          <t>Matriz / Estabelecimento Principal</t>
        </is>
      </c>
      <c r="I628" s="13" t="inlineStr">
        <is>
          <t>43.741.357/0001-33</t>
        </is>
      </c>
      <c r="J628" s="13" t="inlineStr">
        <is>
          <t>CDA/SP nº 4326</t>
        </is>
      </c>
      <c r="K628" s="13" t="inlineStr">
        <is>
          <t>Rua Doutor Emílio Ribas, 174, Sala 12, Campinas/SP</t>
        </is>
      </c>
      <c r="L628" s="13" t="inlineStr">
        <is>
          <t>Brasil</t>
        </is>
      </c>
      <c r="M628" s="13" t="inlineStr">
        <is>
          <t>0 - Nacional / 1 - Importação Direta</t>
        </is>
      </c>
    </row>
    <row r="629" ht="22" customHeight="1">
      <c r="A629" s="6" t="inlineStr">
        <is>
          <t>EMP-0625</t>
        </is>
      </c>
      <c r="B629" s="5" t="n">
        <v>530</v>
      </c>
      <c r="C629" s="7" t="inlineStr">
        <is>
          <t>Nº 26017</t>
        </is>
      </c>
      <c r="D629" s="8" t="inlineStr">
        <is>
          <t>MESOTRIONE</t>
        </is>
      </c>
      <c r="E629" s="7" t="inlineStr">
        <is>
          <t>1. Titular do Registro / Produtor</t>
        </is>
      </c>
      <c r="F629" s="7" t="inlineStr">
        <is>
          <t>Produto Formulado Comercial</t>
        </is>
      </c>
      <c r="G629" s="7" t="inlineStr">
        <is>
          <t>Proventis Lifescience</t>
        </is>
      </c>
      <c r="H629" s="7" t="inlineStr">
        <is>
          <t>Matriz / Estabelecimento Principal</t>
        </is>
      </c>
      <c r="I629" s="7" t="inlineStr">
        <is>
          <t>CNPJ Credenciado MAPA/SIPEAGRO</t>
        </is>
      </c>
      <c r="J629" s="7" t="inlineStr">
        <is>
          <t>Registro Estadual Vigente</t>
        </is>
      </c>
      <c r="K629" s="7" t="inlineStr">
        <is>
          <t>Estabelecimento Credenciado no Brasil</t>
        </is>
      </c>
      <c r="L629" s="7" t="inlineStr">
        <is>
          <t>Brasil</t>
        </is>
      </c>
      <c r="M629" s="7" t="inlineStr">
        <is>
          <t>0 - Nacional / 1 - Importação Direta</t>
        </is>
      </c>
    </row>
    <row r="630" ht="22" customHeight="1">
      <c r="A630" s="12" t="inlineStr">
        <is>
          <t>EMP-0626</t>
        </is>
      </c>
      <c r="B630" s="11" t="n">
        <v>531</v>
      </c>
      <c r="C630" s="13" t="inlineStr">
        <is>
          <t>Nº 22221</t>
        </is>
      </c>
      <c r="D630" s="14" t="inlineStr">
        <is>
          <t>GRASIDIM</t>
        </is>
      </c>
      <c r="E630" s="13" t="inlineStr">
        <is>
          <t>1. Titular do Registro / Produtor</t>
        </is>
      </c>
      <c r="F630" s="13" t="inlineStr">
        <is>
          <t>Produto Formulado Comercial</t>
        </is>
      </c>
      <c r="G630" s="13" t="inlineStr">
        <is>
          <t>RAINBOW DEFENSIVOS AGRÍCOLAS LTDA.</t>
        </is>
      </c>
      <c r="H630" s="13" t="inlineStr">
        <is>
          <t>Matriz / Estabelecimento Principal</t>
        </is>
      </c>
      <c r="I630" s="13" t="inlineStr">
        <is>
          <t>10.486.463/0001-69</t>
        </is>
      </c>
      <c r="J630" s="13" t="inlineStr">
        <is>
          <t>SEAPA/RS nº 1928/09</t>
        </is>
      </c>
      <c r="K630" s="13" t="inlineStr">
        <is>
          <t>Av. Carlos Gomes, 258, Porto Alegre/RS</t>
        </is>
      </c>
      <c r="L630" s="13" t="inlineStr">
        <is>
          <t>Brasil</t>
        </is>
      </c>
      <c r="M630" s="13" t="inlineStr">
        <is>
          <t>0 - Nacional / 1 - Importação Direta</t>
        </is>
      </c>
    </row>
    <row r="631" ht="22" customHeight="1">
      <c r="A631" s="6" t="inlineStr">
        <is>
          <t>EMP-0627</t>
        </is>
      </c>
      <c r="B631" s="5" t="n">
        <v>532</v>
      </c>
      <c r="C631" s="7" t="inlineStr">
        <is>
          <t>Nº 28520</t>
        </is>
      </c>
      <c r="D631" s="8" t="inlineStr">
        <is>
          <t>SENHA 720 WG</t>
        </is>
      </c>
      <c r="E631" s="7" t="inlineStr">
        <is>
          <t>1. Titular do Registro / Produtor</t>
        </is>
      </c>
      <c r="F631" s="7" t="inlineStr">
        <is>
          <t>Produto Formulado Comercial</t>
        </is>
      </c>
      <c r="G631" s="7" t="inlineStr">
        <is>
          <t>RAINBOW DEFENSIVOS AGRÍCOLAS LTDA.</t>
        </is>
      </c>
      <c r="H631" s="7" t="inlineStr">
        <is>
          <t>Matriz / Estabelecimento Principal</t>
        </is>
      </c>
      <c r="I631" s="7" t="inlineStr">
        <is>
          <t>10.486.463/0001-69</t>
        </is>
      </c>
      <c r="J631" s="7" t="inlineStr">
        <is>
          <t>SEAPA/RS nº 1928/09</t>
        </is>
      </c>
      <c r="K631" s="7" t="inlineStr">
        <is>
          <t>Av. Carlos Gomes, 258, Porto Alegre/RS</t>
        </is>
      </c>
      <c r="L631" s="7" t="inlineStr">
        <is>
          <t>Brasil</t>
        </is>
      </c>
      <c r="M631" s="7" t="inlineStr">
        <is>
          <t>0 - Nacional / 1 - Importação Direta</t>
        </is>
      </c>
    </row>
    <row r="632" ht="22" customHeight="1">
      <c r="A632" s="12" t="inlineStr">
        <is>
          <t>EMP-0628</t>
        </is>
      </c>
      <c r="B632" s="11" t="n">
        <v>533</v>
      </c>
      <c r="C632" s="13" t="inlineStr">
        <is>
          <t>ISENTO (ATO 104/2017)</t>
        </is>
      </c>
      <c r="D632" s="14" t="inlineStr">
        <is>
          <t>AGRICOIL CITRUS</t>
        </is>
      </c>
      <c r="E632" s="13" t="inlineStr">
        <is>
          <t>1. Titular do Registro / Produtor</t>
        </is>
      </c>
      <c r="F632" s="13" t="inlineStr">
        <is>
          <t>Adjuvante / Espalhante Adesivo</t>
        </is>
      </c>
      <c r="G632" s="13" t="inlineStr">
        <is>
          <t>Dispensado de Registro (Ato SDA nº 104/2017)</t>
        </is>
      </c>
      <c r="H632" s="13" t="inlineStr">
        <is>
          <t>Matriz / Estabelecimento Principal</t>
        </is>
      </c>
      <c r="I632" s="13" t="inlineStr">
        <is>
          <t>CNPJ Credenciado MAPA/SIPEAGRO</t>
        </is>
      </c>
      <c r="J632" s="13" t="inlineStr">
        <is>
          <t>Registro Estadual Vigente</t>
        </is>
      </c>
      <c r="K632" s="13" t="inlineStr">
        <is>
          <t>Estabelecimento Credenciado no Brasil</t>
        </is>
      </c>
      <c r="L632" s="13" t="inlineStr">
        <is>
          <t>Brasil</t>
        </is>
      </c>
      <c r="M632" s="13" t="inlineStr">
        <is>
          <t>0 - Nacional / 1 - Importação Direta</t>
        </is>
      </c>
    </row>
    <row r="633" ht="22" customHeight="1">
      <c r="A633" s="6" t="inlineStr">
        <is>
          <t>EMP-0629</t>
        </is>
      </c>
      <c r="B633" s="5" t="n">
        <v>534</v>
      </c>
      <c r="C633" s="7" t="inlineStr">
        <is>
          <t>Nº 26718</t>
        </is>
      </c>
      <c r="D633" s="8" t="inlineStr">
        <is>
          <t>DINKY 200 SP 0,200KG (IMP) (AMOSTRA)</t>
        </is>
      </c>
      <c r="E633" s="7" t="inlineStr">
        <is>
          <t>1. Titular do Registro / Produtor</t>
        </is>
      </c>
      <c r="F633" s="7" t="inlineStr">
        <is>
          <t>Produto Formulado Comercial</t>
        </is>
      </c>
      <c r="G633" s="7" t="inlineStr">
        <is>
          <t>GLOBACHEM PROTEÇÃO DE CULTIVOS DO BRASIL LTDA.</t>
        </is>
      </c>
      <c r="H633" s="7" t="inlineStr">
        <is>
          <t>Matriz / Estabelecimento Principal</t>
        </is>
      </c>
      <c r="I633" s="7" t="inlineStr">
        <is>
          <t>CNPJ Credenciado MAPA/SIPEAGRO</t>
        </is>
      </c>
      <c r="J633" s="7" t="inlineStr">
        <is>
          <t>Registro Estadual Vigente</t>
        </is>
      </c>
      <c r="K633" s="7" t="inlineStr">
        <is>
          <t>Estabelecimento Credenciado no Brasil</t>
        </is>
      </c>
      <c r="L633" s="7" t="inlineStr">
        <is>
          <t>Brasil</t>
        </is>
      </c>
      <c r="M633" s="7" t="inlineStr">
        <is>
          <t>0 - Nacional / 1 - Importação Direta</t>
        </is>
      </c>
    </row>
    <row r="634" ht="22" customHeight="1">
      <c r="A634" s="12" t="inlineStr">
        <is>
          <t>EMP-0630</t>
        </is>
      </c>
      <c r="B634" s="11" t="n">
        <v>535</v>
      </c>
      <c r="C634" s="13" t="inlineStr">
        <is>
          <t>Nº 6922</t>
        </is>
      </c>
      <c r="D634" s="14" t="inlineStr">
        <is>
          <t>INSECTRIN 0,200L (IMP) AMOSTRA</t>
        </is>
      </c>
      <c r="E634" s="13" t="inlineStr">
        <is>
          <t>1. Titular do Registro / Produtor</t>
        </is>
      </c>
      <c r="F634" s="13" t="inlineStr">
        <is>
          <t>Produto Formulado Comercial</t>
        </is>
      </c>
      <c r="G634" s="13" t="inlineStr">
        <is>
          <t>RAINBOW DEFENSIVOS AGRÍCOLAS LTDA.</t>
        </is>
      </c>
      <c r="H634" s="13" t="inlineStr">
        <is>
          <t>Matriz / Estabelecimento Principal</t>
        </is>
      </c>
      <c r="I634" s="13" t="inlineStr">
        <is>
          <t>10.486.463/0001-69</t>
        </is>
      </c>
      <c r="J634" s="13" t="inlineStr">
        <is>
          <t>SEAPA/RS nº 1928/09</t>
        </is>
      </c>
      <c r="K634" s="13" t="inlineStr">
        <is>
          <t>Av. Carlos Gomes, 258, Salas 1103-1106, Boa Vista, Porto Alegre/RS - CEP 90480-000</t>
        </is>
      </c>
      <c r="L634" s="13" t="inlineStr">
        <is>
          <t>Brasil</t>
        </is>
      </c>
      <c r="M634" s="13" t="inlineStr">
        <is>
          <t>0 - Nacional / 1 - Importação Direta</t>
        </is>
      </c>
    </row>
    <row r="635" ht="22" customHeight="1">
      <c r="A635" s="6" t="inlineStr">
        <is>
          <t>EMP-0631</t>
        </is>
      </c>
      <c r="B635" s="5" t="n">
        <v>536</v>
      </c>
      <c r="C635" s="7" t="inlineStr">
        <is>
          <t>Nº 3224</t>
        </is>
      </c>
      <c r="D635" s="8" t="inlineStr">
        <is>
          <t>CHLOROTHALONIL</t>
        </is>
      </c>
      <c r="E635" s="7" t="inlineStr">
        <is>
          <t>1. Titular do Registro / Produtor</t>
        </is>
      </c>
      <c r="F635" s="7" t="inlineStr">
        <is>
          <t>Produto Formulado Comercial</t>
        </is>
      </c>
      <c r="G635" s="7" t="inlineStr">
        <is>
          <t>Yonon</t>
        </is>
      </c>
      <c r="H635" s="7" t="inlineStr">
        <is>
          <t>Matriz / Estabelecimento Principal</t>
        </is>
      </c>
      <c r="I635" s="7" t="inlineStr">
        <is>
          <t>CNPJ Credenciado MAPA/SIPEAGRO</t>
        </is>
      </c>
      <c r="J635" s="7" t="inlineStr">
        <is>
          <t>Registro Estadual Vigente</t>
        </is>
      </c>
      <c r="K635" s="7" t="inlineStr">
        <is>
          <t>Estabelecimento Credenciado no Brasil</t>
        </is>
      </c>
      <c r="L635" s="7" t="inlineStr">
        <is>
          <t>Brasil</t>
        </is>
      </c>
      <c r="M635" s="7" t="inlineStr">
        <is>
          <t>0 - Nacional / 1 - Importação Direta</t>
        </is>
      </c>
    </row>
    <row r="636" ht="22" customHeight="1">
      <c r="A636" s="12" t="inlineStr">
        <is>
          <t>EMP-0632</t>
        </is>
      </c>
      <c r="B636" s="11" t="n">
        <v>537</v>
      </c>
      <c r="C636" s="13" t="inlineStr">
        <is>
          <t>Nº 40624</t>
        </is>
      </c>
      <c r="D636" s="14" t="inlineStr">
        <is>
          <t>CHLORPYRIFOS 480 EC AGCN 0,200 (IMP) AMOSTRA LL</t>
        </is>
      </c>
      <c r="E636" s="13" t="inlineStr">
        <is>
          <t>1. Titular do Registro / Produtor</t>
        </is>
      </c>
      <c r="F636" s="13" t="inlineStr">
        <is>
          <t>Produto Formulado Comercial</t>
        </is>
      </c>
      <c r="G636" s="13" t="inlineStr">
        <is>
          <t>AGRICONNECTION IMPORTADORA E EXPORTADORA DE INSUMOS AGRÍCOLAS LTDA.</t>
        </is>
      </c>
      <c r="H636" s="13" t="inlineStr">
        <is>
          <t>Matriz / Estabelecimento Principal</t>
        </is>
      </c>
      <c r="I636" s="13" t="inlineStr">
        <is>
          <t>39.496.730/0001-60</t>
        </is>
      </c>
      <c r="J636" s="13" t="inlineStr">
        <is>
          <t>CDA/SP nº 4354 / INDEA/MT nº 27326</t>
        </is>
      </c>
      <c r="K636" s="13" t="inlineStr">
        <is>
          <t>Alameda Rio Negro, 585, Sala 145 A, Alphaville, Barueri/SP - CEP 06454-000</t>
        </is>
      </c>
      <c r="L636" s="13" t="inlineStr">
        <is>
          <t>Brasil</t>
        </is>
      </c>
      <c r="M636" s="13" t="inlineStr">
        <is>
          <t>0 - Nacional / 1 - Importação Direta</t>
        </is>
      </c>
    </row>
    <row r="637" ht="22" customHeight="1">
      <c r="A637" s="6" t="inlineStr">
        <is>
          <t>EMP-0633</t>
        </is>
      </c>
      <c r="B637" s="5" t="n">
        <v>538</v>
      </c>
      <c r="C637" s="7" t="inlineStr">
        <is>
          <t>Nº 18022</t>
        </is>
      </c>
      <c r="D637" s="8" t="inlineStr">
        <is>
          <t>TARBOX BR 0,200KG (IMP) AMOSTRA</t>
        </is>
      </c>
      <c r="E637" s="7" t="inlineStr">
        <is>
          <t>1. Titular do Registro / Produtor</t>
        </is>
      </c>
      <c r="F637" s="7" t="inlineStr">
        <is>
          <t>Produto Formulado Comercial</t>
        </is>
      </c>
      <c r="G637" s="7" t="inlineStr">
        <is>
          <t>GLOBACHEM PROTEÇÃO DE CULTIVOS DO BRASIL LTDA.</t>
        </is>
      </c>
      <c r="H637" s="7" t="inlineStr">
        <is>
          <t>Matriz / Estabelecimento Principal</t>
        </is>
      </c>
      <c r="I637" s="7" t="inlineStr">
        <is>
          <t>CNPJ Credenciado MAPA/SIPEAGRO</t>
        </is>
      </c>
      <c r="J637" s="7" t="inlineStr">
        <is>
          <t>Registro Estadual Vigente</t>
        </is>
      </c>
      <c r="K637" s="7" t="inlineStr">
        <is>
          <t>Estabelecimento Credenciado no Brasil</t>
        </is>
      </c>
      <c r="L637" s="7" t="inlineStr">
        <is>
          <t>Brasil</t>
        </is>
      </c>
      <c r="M637" s="7" t="inlineStr">
        <is>
          <t>0 - Nacional / 1 - Importação Direta</t>
        </is>
      </c>
    </row>
    <row r="638" ht="22" customHeight="1">
      <c r="A638" s="12" t="inlineStr">
        <is>
          <t>EMP-0634</t>
        </is>
      </c>
      <c r="B638" s="11" t="n">
        <v>539</v>
      </c>
      <c r="C638" s="13" t="inlineStr">
        <is>
          <t>Nº 22225</t>
        </is>
      </c>
      <c r="D638" s="14" t="inlineStr">
        <is>
          <t>KILLIGAN 0,200L (IMP) RW AMOSTRA</t>
        </is>
      </c>
      <c r="E638" s="13" t="inlineStr">
        <is>
          <t>1. Titular do Registro / Produtor</t>
        </is>
      </c>
      <c r="F638" s="13" t="inlineStr">
        <is>
          <t>Produto Formulado Comercial</t>
        </is>
      </c>
      <c r="G638" s="13" t="inlineStr">
        <is>
          <t>RAINBOW DEFENSIVOS AGRÍCOLAS LTDA.</t>
        </is>
      </c>
      <c r="H638" s="13" t="inlineStr">
        <is>
          <t>Matriz / Estabelecimento Principal</t>
        </is>
      </c>
      <c r="I638" s="13" t="inlineStr">
        <is>
          <t>10.486.463/0001-69</t>
        </is>
      </c>
      <c r="J638" s="13" t="inlineStr">
        <is>
          <t>SEAPA/RS nº 1928/09</t>
        </is>
      </c>
      <c r="K638" s="13" t="inlineStr">
        <is>
          <t>Estabelecimento Credenciado no Brasil</t>
        </is>
      </c>
      <c r="L638" s="13" t="inlineStr">
        <is>
          <t>Brasil</t>
        </is>
      </c>
      <c r="M638" s="13" t="inlineStr">
        <is>
          <t>0 - Nacional / 1 - Importação Direta</t>
        </is>
      </c>
    </row>
    <row r="639" ht="22" customHeight="1">
      <c r="A639" s="6" t="inlineStr">
        <is>
          <t>EMP-0635</t>
        </is>
      </c>
      <c r="B639" s="5" t="n">
        <v>540</v>
      </c>
      <c r="C639" s="7" t="inlineStr">
        <is>
          <t>SIPEAGRO (UF-XXXXX)</t>
        </is>
      </c>
      <c r="D639" s="8" t="inlineStr">
        <is>
          <t>FOSFATO MONOAMONICO GRANULADO - MAP</t>
        </is>
      </c>
      <c r="E639" s="7" t="inlineStr">
        <is>
          <t>1. Titular do Registro / Produtor</t>
        </is>
      </c>
      <c r="F639" s="7" t="inlineStr">
        <is>
          <t>Fertilizante Mineral / Organomineral</t>
        </is>
      </c>
      <c r="G639" s="7" t="inlineStr">
        <is>
          <t>Estabelecimento Produtor SIPEAGRO/MAPA</t>
        </is>
      </c>
      <c r="H639" s="7" t="inlineStr">
        <is>
          <t>Matriz / Estabelecimento Principal</t>
        </is>
      </c>
      <c r="I639" s="7" t="inlineStr">
        <is>
          <t>CNPJ Credenciado MAPA/SIPEAGRO</t>
        </is>
      </c>
      <c r="J639" s="7" t="inlineStr">
        <is>
          <t>Registro Estadual Vigente</t>
        </is>
      </c>
      <c r="K639" s="7" t="inlineStr">
        <is>
          <t>Estabelecimento Credenciado no Brasil</t>
        </is>
      </c>
      <c r="L639" s="7" t="inlineStr">
        <is>
          <t>Brasil</t>
        </is>
      </c>
      <c r="M639" s="7" t="inlineStr">
        <is>
          <t>0 - Nacional / 1 - Importação Direta</t>
        </is>
      </c>
    </row>
    <row r="640" ht="22" customHeight="1">
      <c r="A640" s="12" t="inlineStr">
        <is>
          <t>EMP-0636</t>
        </is>
      </c>
      <c r="B640" s="11" t="n">
        <v>541</v>
      </c>
      <c r="C640" s="13" t="inlineStr">
        <is>
          <t>Nº 24922</t>
        </is>
      </c>
      <c r="D640" s="14" t="inlineStr">
        <is>
          <t>CEFANOL GOLD</t>
        </is>
      </c>
      <c r="E640" s="13" t="inlineStr">
        <is>
          <t>1. Titular do Registro / Produtor</t>
        </is>
      </c>
      <c r="F640" s="13" t="inlineStr">
        <is>
          <t>Produto Formulado Comercial</t>
        </is>
      </c>
      <c r="G640" s="13" t="inlineStr">
        <is>
          <t>SIPCAM NICHINO BRASIL S.A.</t>
        </is>
      </c>
      <c r="H640" s="13" t="inlineStr">
        <is>
          <t>Matriz / Estabelecimento Principal</t>
        </is>
      </c>
      <c r="I640" s="13" t="inlineStr">
        <is>
          <t>CNPJ Credenciado MAPA/SIPEAGRO</t>
        </is>
      </c>
      <c r="J640" s="13" t="inlineStr">
        <is>
          <t>Registro Estadual Vigente</t>
        </is>
      </c>
      <c r="K640" s="13" t="inlineStr">
        <is>
          <t>Estabelecimento Credenciado no Brasil</t>
        </is>
      </c>
      <c r="L640" s="13" t="inlineStr">
        <is>
          <t>Brasil</t>
        </is>
      </c>
      <c r="M640" s="13" t="inlineStr">
        <is>
          <t>0 - Nacional / 1 - Importação Direta</t>
        </is>
      </c>
    </row>
    <row r="641" ht="22" customHeight="1">
      <c r="A641" s="6" t="inlineStr">
        <is>
          <t>EMP-0637</t>
        </is>
      </c>
      <c r="B641" s="5" t="n">
        <v>542</v>
      </c>
      <c r="C641" s="7" t="inlineStr">
        <is>
          <t>Nº 22225</t>
        </is>
      </c>
      <c r="D641" s="8" t="inlineStr">
        <is>
          <t>KILLIGAN</t>
        </is>
      </c>
      <c r="E641" s="7" t="inlineStr">
        <is>
          <t>1. Titular do Registro / Produtor</t>
        </is>
      </c>
      <c r="F641" s="7" t="inlineStr">
        <is>
          <t>Produto Formulado Comercial</t>
        </is>
      </c>
      <c r="G641" s="7" t="inlineStr">
        <is>
          <t>RAINBOW DEFENSIVOS AGRÍCOLAS LTDA.</t>
        </is>
      </c>
      <c r="H641" s="7" t="inlineStr">
        <is>
          <t>Matriz / Estabelecimento Principal</t>
        </is>
      </c>
      <c r="I641" s="7" t="inlineStr">
        <is>
          <t>CNPJ Credenciado MAPA/SIPEAGRO</t>
        </is>
      </c>
      <c r="J641" s="7" t="inlineStr">
        <is>
          <t>Registro Estadual Vigente</t>
        </is>
      </c>
      <c r="K641" s="7" t="inlineStr">
        <is>
          <t>Estabelecimento Credenciado no Brasil</t>
        </is>
      </c>
      <c r="L641" s="7" t="inlineStr">
        <is>
          <t>Brasil</t>
        </is>
      </c>
      <c r="M641" s="7" t="inlineStr">
        <is>
          <t>0 - Nacional / 1 - Importação Direta</t>
        </is>
      </c>
    </row>
    <row r="642" ht="22" customHeight="1">
      <c r="A642" s="12" t="inlineStr">
        <is>
          <t>EMP-0638</t>
        </is>
      </c>
      <c r="B642" s="11" t="n">
        <v>543</v>
      </c>
      <c r="C642" s="13" t="inlineStr">
        <is>
          <t>Nº 17921</t>
        </is>
      </c>
      <c r="D642" s="14" t="inlineStr">
        <is>
          <t>TIOFANATO</t>
        </is>
      </c>
      <c r="E642" s="13" t="inlineStr">
        <is>
          <t>1. Titular do Registro / Produtor</t>
        </is>
      </c>
      <c r="F642" s="13" t="inlineStr">
        <is>
          <t>Produto Formulado Comercial</t>
        </is>
      </c>
      <c r="G642" s="13" t="inlineStr">
        <is>
          <t>Proventis Lifescience</t>
        </is>
      </c>
      <c r="H642" s="13" t="inlineStr">
        <is>
          <t>Matriz / Estabelecimento Principal</t>
        </is>
      </c>
      <c r="I642" s="13" t="inlineStr">
        <is>
          <t>CNPJ Credenciado MAPA/SIPEAGRO</t>
        </is>
      </c>
      <c r="J642" s="13" t="inlineStr">
        <is>
          <t>Registro Estadual Vigente</t>
        </is>
      </c>
      <c r="K642" s="13" t="inlineStr">
        <is>
          <t>Estabelecimento Credenciado no Brasil</t>
        </is>
      </c>
      <c r="L642" s="13" t="inlineStr">
        <is>
          <t>Brasil</t>
        </is>
      </c>
      <c r="M642" s="13" t="inlineStr">
        <is>
          <t>0 - Nacional / 1 - Importação Direta</t>
        </is>
      </c>
    </row>
    <row r="643" ht="22" customHeight="1">
      <c r="A643" s="6" t="inlineStr">
        <is>
          <t>EMP-0639</t>
        </is>
      </c>
      <c r="B643" s="5" t="n">
        <v>544</v>
      </c>
      <c r="C643" s="7" t="inlineStr">
        <is>
          <t>Nº 17921</t>
        </is>
      </c>
      <c r="D643" s="8" t="inlineStr">
        <is>
          <t>TIOFANATO</t>
        </is>
      </c>
      <c r="E643" s="7" t="inlineStr">
        <is>
          <t>1. Titular do Registro / Produtor</t>
        </is>
      </c>
      <c r="F643" s="7" t="inlineStr">
        <is>
          <t>Produto Formulado Comercial</t>
        </is>
      </c>
      <c r="G643" s="7" t="inlineStr">
        <is>
          <t>Proventis Lifescience</t>
        </is>
      </c>
      <c r="H643" s="7" t="inlineStr">
        <is>
          <t>Matriz / Estabelecimento Principal</t>
        </is>
      </c>
      <c r="I643" s="7" t="inlineStr">
        <is>
          <t>CNPJ Credenciado MAPA/SIPEAGRO</t>
        </is>
      </c>
      <c r="J643" s="7" t="inlineStr">
        <is>
          <t>Registro Estadual Vigente</t>
        </is>
      </c>
      <c r="K643" s="7" t="inlineStr">
        <is>
          <t>Estabelecimento Credenciado no Brasil</t>
        </is>
      </c>
      <c r="L643" s="7" t="inlineStr">
        <is>
          <t>Brasil</t>
        </is>
      </c>
      <c r="M643" s="7" t="inlineStr">
        <is>
          <t>0 - Nacional / 1 - Importação Direta</t>
        </is>
      </c>
    </row>
    <row r="644" ht="22" customHeight="1">
      <c r="A644" s="12" t="inlineStr">
        <is>
          <t>EMP-0640</t>
        </is>
      </c>
      <c r="B644" s="11" t="n">
        <v>545</v>
      </c>
      <c r="C644" s="13" t="inlineStr">
        <is>
          <t>Nº 17219</t>
        </is>
      </c>
      <c r="D644" s="14" t="inlineStr">
        <is>
          <t>FLUAZINAM</t>
        </is>
      </c>
      <c r="E644" s="13" t="inlineStr">
        <is>
          <t>1. Titular do Registro / Produtor</t>
        </is>
      </c>
      <c r="F644" s="13" t="inlineStr">
        <is>
          <t>Produto Formulado Comercial</t>
        </is>
      </c>
      <c r="G644" s="13" t="inlineStr">
        <is>
          <t>PROVENTIS LIFESCIENCE DEFENSIVOS AGRÍCOLAS LTDA.</t>
        </is>
      </c>
      <c r="H644" s="13" t="inlineStr">
        <is>
          <t>Matriz / Estabelecimento Principal</t>
        </is>
      </c>
      <c r="I644" s="13" t="inlineStr">
        <is>
          <t>26.632.190/0001-18</t>
        </is>
      </c>
      <c r="J644" s="13" t="inlineStr">
        <is>
          <t>CDA/SP Vigente</t>
        </is>
      </c>
      <c r="K644" s="13" t="inlineStr">
        <is>
          <t>Campinas/SP</t>
        </is>
      </c>
      <c r="L644" s="13" t="inlineStr">
        <is>
          <t>Brasil</t>
        </is>
      </c>
      <c r="M644" s="13" t="inlineStr">
        <is>
          <t>0 - Nacional / 1 - Importação Direta</t>
        </is>
      </c>
    </row>
    <row r="645" ht="22" customHeight="1">
      <c r="A645" s="6" t="inlineStr">
        <is>
          <t>EMP-0641</t>
        </is>
      </c>
      <c r="B645" s="5" t="n">
        <v>546</v>
      </c>
      <c r="C645" s="7" t="inlineStr">
        <is>
          <t>Nº 24324</t>
        </is>
      </c>
      <c r="D645" s="8" t="inlineStr">
        <is>
          <t>PROCYMIDONE</t>
        </is>
      </c>
      <c r="E645" s="7" t="inlineStr">
        <is>
          <t>1. Titular do Registro / Produtor</t>
        </is>
      </c>
      <c r="F645" s="7" t="inlineStr">
        <is>
          <t>Produto Formulado Comercial</t>
        </is>
      </c>
      <c r="G645" s="7" t="inlineStr">
        <is>
          <t>PROVENTIS LIFESCIENCE DEFENSIVOS AGRÍCOLAS LTDA.</t>
        </is>
      </c>
      <c r="H645" s="7" t="inlineStr">
        <is>
          <t>Matriz / Estabelecimento Principal</t>
        </is>
      </c>
      <c r="I645" s="7" t="inlineStr">
        <is>
          <t>CNPJ Credenciado MAPA/SIPEAGRO</t>
        </is>
      </c>
      <c r="J645" s="7" t="inlineStr">
        <is>
          <t>Registro Estadual Vigente</t>
        </is>
      </c>
      <c r="K645" s="7" t="inlineStr">
        <is>
          <t>Estabelecimento Credenciado no Brasil</t>
        </is>
      </c>
      <c r="L645" s="7" t="inlineStr">
        <is>
          <t>Brasil</t>
        </is>
      </c>
      <c r="M645" s="7" t="inlineStr">
        <is>
          <t>0 - Nacional / 1 - Importação Direta</t>
        </is>
      </c>
    </row>
    <row r="646" ht="22" customHeight="1">
      <c r="A646" s="12" t="inlineStr">
        <is>
          <t>EMP-0642</t>
        </is>
      </c>
      <c r="B646" s="11" t="n">
        <v>547</v>
      </c>
      <c r="C646" s="13" t="inlineStr">
        <is>
          <t>Nº 9019</t>
        </is>
      </c>
      <c r="D646" s="14" t="inlineStr">
        <is>
          <t>LIMUZINA WG</t>
        </is>
      </c>
      <c r="E646" s="13" t="inlineStr">
        <is>
          <t>1. Titular do Registro</t>
        </is>
      </c>
      <c r="F646" s="13" t="inlineStr">
        <is>
          <t>Produto Formulado Comercial</t>
        </is>
      </c>
      <c r="G646" s="13" t="inlineStr">
        <is>
          <t>Rainbow</t>
        </is>
      </c>
      <c r="H646" s="13" t="inlineStr">
        <is>
          <t>Estabelecimento Credenciado</t>
        </is>
      </c>
      <c r="I646" s="13" t="inlineStr">
        <is>
          <t>CNPJ Credenciado MAPA</t>
        </is>
      </c>
      <c r="J646" s="13" t="inlineStr">
        <is>
          <t>Registro Estadual Vigente</t>
        </is>
      </c>
      <c r="K646" s="13" t="inlineStr">
        <is>
          <t>Unidade Operacional Brasil</t>
        </is>
      </c>
      <c r="L646" s="13" t="inlineStr">
        <is>
          <t>Brasil</t>
        </is>
      </c>
      <c r="M646" s="13" t="inlineStr">
        <is>
          <t>0/1/2 - Conforme Origem do Lote</t>
        </is>
      </c>
    </row>
    <row r="647" ht="22" customHeight="1">
      <c r="A647" s="6" t="inlineStr">
        <is>
          <t>EMP-0643</t>
        </is>
      </c>
      <c r="B647" s="5" t="n">
        <v>547</v>
      </c>
      <c r="C647" s="7" t="inlineStr">
        <is>
          <t>Nº 9019</t>
        </is>
      </c>
      <c r="D647" s="8" t="inlineStr">
        <is>
          <t>LIMUZINA WG</t>
        </is>
      </c>
      <c r="E647" s="7" t="inlineStr">
        <is>
          <t>3. Formulador / Co-Distribuidor Autorizado</t>
        </is>
      </c>
      <c r="F647" s="7" t="inlineStr">
        <is>
          <t>Produto Formulado Comercial</t>
        </is>
      </c>
      <c r="G647" s="7" t="inlineStr">
        <is>
          <t>Perterra</t>
        </is>
      </c>
      <c r="H647" s="7" t="inlineStr">
        <is>
          <t>Estabelecimento Credenciado</t>
        </is>
      </c>
      <c r="I647" s="7" t="inlineStr">
        <is>
          <t>CNPJ Credenciado MAPA</t>
        </is>
      </c>
      <c r="J647" s="7" t="inlineStr">
        <is>
          <t>Registro Estadual Vigente</t>
        </is>
      </c>
      <c r="K647" s="7" t="inlineStr">
        <is>
          <t>Unidade Operacional Brasil</t>
        </is>
      </c>
      <c r="L647" s="7" t="inlineStr">
        <is>
          <t>Brasil</t>
        </is>
      </c>
      <c r="M647" s="7" t="inlineStr">
        <is>
          <t>0/1/2 - Conforme Origem do Lote</t>
        </is>
      </c>
    </row>
    <row r="648" ht="22" customHeight="1">
      <c r="A648" s="12" t="inlineStr">
        <is>
          <t>EMP-0644</t>
        </is>
      </c>
      <c r="B648" s="11" t="n">
        <v>548</v>
      </c>
      <c r="C648" s="13" t="inlineStr">
        <is>
          <t>Nº 11819</t>
        </is>
      </c>
      <c r="D648" s="14" t="inlineStr">
        <is>
          <t>MANCOZEB 800 WP AGCN 0,200KG AMOSTRA IMP LS</t>
        </is>
      </c>
      <c r="E648" s="13" t="inlineStr">
        <is>
          <t>1. Titular do Registro / Produtor</t>
        </is>
      </c>
      <c r="F648" s="13" t="inlineStr">
        <is>
          <t>Produto Formulado Comercial</t>
        </is>
      </c>
      <c r="G648" s="13" t="inlineStr">
        <is>
          <t>AGRICONNECTION IMPORTADORA E EXPORTADORA DE INSUMOS AGRÍCOLAS LTDA.</t>
        </is>
      </c>
      <c r="H648" s="13" t="inlineStr">
        <is>
          <t>Matriz / Estabelecimento Principal</t>
        </is>
      </c>
      <c r="I648" s="13" t="inlineStr">
        <is>
          <t>39.496.730/0001-60</t>
        </is>
      </c>
      <c r="J648" s="13" t="inlineStr">
        <is>
          <t>CDA/SP nº 4354 / INDEA/MT nº 27326</t>
        </is>
      </c>
      <c r="K648" s="13" t="inlineStr">
        <is>
          <t>Av. Manoel Genildo de Araujo, 188, Campo Verde/MT</t>
        </is>
      </c>
      <c r="L648" s="13" t="inlineStr">
        <is>
          <t>Brasil</t>
        </is>
      </c>
      <c r="M648" s="13" t="inlineStr">
        <is>
          <t>0 - Nacional / 1 - Importação Direta</t>
        </is>
      </c>
    </row>
    <row r="649" ht="22" customHeight="1">
      <c r="A649" s="6" t="inlineStr">
        <is>
          <t>EMP-0645</t>
        </is>
      </c>
      <c r="B649" s="5" t="n">
        <v>549</v>
      </c>
      <c r="C649" s="7" t="inlineStr">
        <is>
          <t>Nº 16724</t>
        </is>
      </c>
      <c r="D649" s="8" t="inlineStr">
        <is>
          <t>FLUAZINAM</t>
        </is>
      </c>
      <c r="E649" s="7" t="inlineStr">
        <is>
          <t>1. Titular do Registro / Produtor</t>
        </is>
      </c>
      <c r="F649" s="7" t="inlineStr">
        <is>
          <t>Produto Formulado Comercial</t>
        </is>
      </c>
      <c r="G649" s="7" t="inlineStr">
        <is>
          <t>AGRICONNECTION IMPORTADORA E EXPORTADORA DE INSUMOS AGRÍCOLAS LTDA.</t>
        </is>
      </c>
      <c r="H649" s="7" t="inlineStr">
        <is>
          <t>Matriz / Estabelecimento Principal</t>
        </is>
      </c>
      <c r="I649" s="7" t="inlineStr">
        <is>
          <t>39.496.730/0001-60</t>
        </is>
      </c>
      <c r="J649" s="7" t="inlineStr">
        <is>
          <t>INDEA/MT nº 27326 / CDA/SP nº 4354</t>
        </is>
      </c>
      <c r="K649" s="7" t="inlineStr">
        <is>
          <t>Av. Manoel Genildo de Araujo, 188, Campo Verde/MT / Barueri/SP</t>
        </is>
      </c>
      <c r="L649" s="7" t="inlineStr">
        <is>
          <t>Brasil</t>
        </is>
      </c>
      <c r="M649" s="7" t="inlineStr">
        <is>
          <t>0 - Nacional / 1 - Importação Direta</t>
        </is>
      </c>
    </row>
    <row r="650" ht="22" customHeight="1">
      <c r="A650" s="12" t="inlineStr">
        <is>
          <t>EMP-0646</t>
        </is>
      </c>
      <c r="B650" s="11" t="n">
        <v>550</v>
      </c>
      <c r="C650" s="13" t="inlineStr">
        <is>
          <t>Nº 24922</t>
        </is>
      </c>
      <c r="D650" s="14" t="inlineStr">
        <is>
          <t>CEFANOL GOLD</t>
        </is>
      </c>
      <c r="E650" s="13" t="inlineStr">
        <is>
          <t>1. Titular do Registro / Produtor</t>
        </is>
      </c>
      <c r="F650" s="13" t="inlineStr">
        <is>
          <t>Produto Formulado Comercial</t>
        </is>
      </c>
      <c r="G650" s="13" t="inlineStr">
        <is>
          <t>SIPCAM NICHINO BRASIL S.A.</t>
        </is>
      </c>
      <c r="H650" s="13" t="inlineStr">
        <is>
          <t>Matriz / Estabelecimento Principal</t>
        </is>
      </c>
      <c r="I650" s="13" t="inlineStr">
        <is>
          <t>CNPJ Credenciado MAPA/SIPEAGRO</t>
        </is>
      </c>
      <c r="J650" s="13" t="inlineStr">
        <is>
          <t>Registro Estadual Vigente</t>
        </is>
      </c>
      <c r="K650" s="13" t="inlineStr">
        <is>
          <t>Estabelecimento Credenciado no Brasil</t>
        </is>
      </c>
      <c r="L650" s="13" t="inlineStr">
        <is>
          <t>Brasil</t>
        </is>
      </c>
      <c r="M650" s="13" t="inlineStr">
        <is>
          <t>0 - Nacional / 1 - Importação Direta</t>
        </is>
      </c>
    </row>
    <row r="651" ht="22" customHeight="1">
      <c r="A651" s="6" t="inlineStr">
        <is>
          <t>EMP-0647</t>
        </is>
      </c>
      <c r="B651" s="5" t="n">
        <v>551</v>
      </c>
      <c r="C651" s="7" t="inlineStr">
        <is>
          <t>SIPEAGRO (UF-XXXXX)</t>
        </is>
      </c>
      <c r="D651" s="8" t="inlineStr">
        <is>
          <t>FERTILIZANTE MINERAL MISTO 20-00-20</t>
        </is>
      </c>
      <c r="E651" s="7" t="inlineStr">
        <is>
          <t>1. Titular do Registro / Produtor</t>
        </is>
      </c>
      <c r="F651" s="7" t="inlineStr">
        <is>
          <t>Fertilizante Mineral / Organomineral</t>
        </is>
      </c>
      <c r="G651" s="7" t="inlineStr">
        <is>
          <t>Estabelecimento Produtor SIPEAGRO/MAPA</t>
        </is>
      </c>
      <c r="H651" s="7" t="inlineStr">
        <is>
          <t>Matriz / Estabelecimento Principal</t>
        </is>
      </c>
      <c r="I651" s="7" t="inlineStr">
        <is>
          <t>CNPJ Credenciado MAPA/SIPEAGRO</t>
        </is>
      </c>
      <c r="J651" s="7" t="inlineStr">
        <is>
          <t>Registro Estadual Vigente</t>
        </is>
      </c>
      <c r="K651" s="7" t="inlineStr">
        <is>
          <t>Estabelecimento Credenciado no Brasil</t>
        </is>
      </c>
      <c r="L651" s="7" t="inlineStr">
        <is>
          <t>Brasil</t>
        </is>
      </c>
      <c r="M651" s="7" t="inlineStr">
        <is>
          <t>0 - Nacional / 1 - Importação Direta</t>
        </is>
      </c>
    </row>
    <row r="652" ht="22" customHeight="1">
      <c r="A652" s="12" t="inlineStr">
        <is>
          <t>EMP-0648</t>
        </is>
      </c>
      <c r="B652" s="11" t="n">
        <v>552</v>
      </c>
      <c r="C652" s="13" t="inlineStr">
        <is>
          <t>Nº 15925</t>
        </is>
      </c>
      <c r="D652" s="14" t="inlineStr">
        <is>
          <t>CHETTAK GOLD 0,200KG (IMP) AMOSTRA</t>
        </is>
      </c>
      <c r="E652" s="13" t="inlineStr">
        <is>
          <t>1. Titular do Registro / Produtor</t>
        </is>
      </c>
      <c r="F652" s="13" t="inlineStr">
        <is>
          <t>Produto Formulado Comercial</t>
        </is>
      </c>
      <c r="G652" s="13" t="inlineStr">
        <is>
          <t>SHARDA DO BRASIL COMÉRCIO DE PRODUTOS QUÍMICOS E AGROQUÍMICOS LTDA.</t>
        </is>
      </c>
      <c r="H652" s="13" t="inlineStr">
        <is>
          <t>Matriz / Estabelecimento Principal</t>
        </is>
      </c>
      <c r="I652" s="13" t="inlineStr">
        <is>
          <t>CNPJ Credenciado MAPA/SIPEAGRO</t>
        </is>
      </c>
      <c r="J652" s="13" t="inlineStr">
        <is>
          <t>Registro Estadual Vigente</t>
        </is>
      </c>
      <c r="K652" s="13" t="inlineStr">
        <is>
          <t>Estabelecimento Credenciado no Brasil</t>
        </is>
      </c>
      <c r="L652" s="13" t="inlineStr">
        <is>
          <t>Brasil</t>
        </is>
      </c>
      <c r="M652" s="13" t="inlineStr">
        <is>
          <t>0 - Nacional / 1 - Importação Direta</t>
        </is>
      </c>
    </row>
    <row r="653" ht="22" customHeight="1">
      <c r="A653" s="6" t="inlineStr">
        <is>
          <t>EMP-0649</t>
        </is>
      </c>
      <c r="B653" s="5" t="n">
        <v>553</v>
      </c>
      <c r="C653" s="7" t="inlineStr">
        <is>
          <t>Nº 31618</t>
        </is>
      </c>
      <c r="D653" s="8" t="inlineStr">
        <is>
          <t>ASSARIS</t>
        </is>
      </c>
      <c r="E653" s="7" t="inlineStr">
        <is>
          <t>1. Titular do Registro / Produtor</t>
        </is>
      </c>
      <c r="F653" s="7" t="inlineStr">
        <is>
          <t>Produto Formulado Comercial</t>
        </is>
      </c>
      <c r="G653" s="7" t="inlineStr">
        <is>
          <t>SINON DO BRASIL LTDA</t>
        </is>
      </c>
      <c r="H653" s="7" t="inlineStr">
        <is>
          <t>Matriz / Estabelecimento Principal</t>
        </is>
      </c>
      <c r="I653" s="7" t="inlineStr">
        <is>
          <t>CNPJ Credenciado MAPA/SIPEAGRO</t>
        </is>
      </c>
      <c r="J653" s="7" t="inlineStr">
        <is>
          <t>Registro Estadual Vigente</t>
        </is>
      </c>
      <c r="K653" s="7" t="inlineStr">
        <is>
          <t>Estabelecimento Credenciado no Brasil</t>
        </is>
      </c>
      <c r="L653" s="7" t="inlineStr">
        <is>
          <t>Brasil</t>
        </is>
      </c>
      <c r="M653" s="7" t="inlineStr">
        <is>
          <t>0 - Nacional / 1 - Importação Direta</t>
        </is>
      </c>
    </row>
    <row r="654" ht="22" customHeight="1">
      <c r="A654" s="12" t="inlineStr">
        <is>
          <t>EMP-0650</t>
        </is>
      </c>
      <c r="B654" s="11" t="n">
        <v>554</v>
      </c>
      <c r="C654" s="13" t="inlineStr">
        <is>
          <t>SIPEAGRO (UF-XXXXX)</t>
        </is>
      </c>
      <c r="D654" s="14" t="inlineStr">
        <is>
          <t>AGCN POTASSIO</t>
        </is>
      </c>
      <c r="E654" s="13" t="inlineStr">
        <is>
          <t>1. Titular do Registro / Produtor</t>
        </is>
      </c>
      <c r="F654" s="13" t="inlineStr">
        <is>
          <t>Fertilizante Mineral / Organomineral</t>
        </is>
      </c>
      <c r="G654" s="13" t="inlineStr">
        <is>
          <t>Estabelecimento Produtor SIPEAGRO/MAPA</t>
        </is>
      </c>
      <c r="H654" s="13" t="inlineStr">
        <is>
          <t>Matriz / Estabelecimento Principal</t>
        </is>
      </c>
      <c r="I654" s="13" t="inlineStr">
        <is>
          <t>CNPJ Credenciado MAPA/SIPEAGRO</t>
        </is>
      </c>
      <c r="J654" s="13" t="inlineStr">
        <is>
          <t>Registro Estadual Vigente</t>
        </is>
      </c>
      <c r="K654" s="13" t="inlineStr">
        <is>
          <t>Estabelecimento Credenciado no Brasil</t>
        </is>
      </c>
      <c r="L654" s="13" t="inlineStr">
        <is>
          <t>Brasil</t>
        </is>
      </c>
      <c r="M654" s="13" t="inlineStr">
        <is>
          <t>0 - Nacional / 1 - Importação Direta</t>
        </is>
      </c>
    </row>
    <row r="655" ht="22" customHeight="1">
      <c r="A655" s="6" t="inlineStr">
        <is>
          <t>EMP-0651</t>
        </is>
      </c>
      <c r="B655" s="5" t="n">
        <v>555</v>
      </c>
      <c r="C655" s="7" t="inlineStr">
        <is>
          <t>ISENTO (ATO 104/2017)</t>
        </is>
      </c>
      <c r="D655" s="8" t="inlineStr">
        <is>
          <t>AGCN SAFE SPRAY</t>
        </is>
      </c>
      <c r="E655" s="7" t="inlineStr">
        <is>
          <t>1. Titular do Registro / Produtor</t>
        </is>
      </c>
      <c r="F655" s="7" t="inlineStr">
        <is>
          <t>Adjuvante / Espalhante Adesivo</t>
        </is>
      </c>
      <c r="G655" s="7" t="inlineStr">
        <is>
          <t>Dispensado de Registro (Ato SDA nº 104/2017)</t>
        </is>
      </c>
      <c r="H655" s="7" t="inlineStr">
        <is>
          <t>Matriz / Estabelecimento Principal</t>
        </is>
      </c>
      <c r="I655" s="7" t="inlineStr">
        <is>
          <t>CNPJ Credenciado MAPA/SIPEAGRO</t>
        </is>
      </c>
      <c r="J655" s="7" t="inlineStr">
        <is>
          <t>Registro Estadual Vigente</t>
        </is>
      </c>
      <c r="K655" s="7" t="inlineStr">
        <is>
          <t>Estabelecimento Credenciado no Brasil</t>
        </is>
      </c>
      <c r="L655" s="7" t="inlineStr">
        <is>
          <t>Brasil</t>
        </is>
      </c>
      <c r="M655" s="7" t="inlineStr">
        <is>
          <t>0 - Nacional / 1 - Importação Direta</t>
        </is>
      </c>
    </row>
    <row r="656" ht="22" customHeight="1">
      <c r="A656" s="12" t="inlineStr">
        <is>
          <t>EMP-0652</t>
        </is>
      </c>
      <c r="B656" s="11" t="n">
        <v>556</v>
      </c>
      <c r="C656" s="13" t="inlineStr">
        <is>
          <t>Nº 10018</t>
        </is>
      </c>
      <c r="D656" s="14" t="inlineStr">
        <is>
          <t>ATRAZINA</t>
        </is>
      </c>
      <c r="E656" s="13" t="inlineStr">
        <is>
          <t>1. Titular do Registro / Produtor</t>
        </is>
      </c>
      <c r="F656" s="13" t="inlineStr">
        <is>
          <t>Produto Formulado Comercial</t>
        </is>
      </c>
      <c r="G656" s="13" t="inlineStr">
        <is>
          <t>RAINBOW DEFENSIVOS AGRICOLAS LTDA</t>
        </is>
      </c>
      <c r="H656" s="13" t="inlineStr">
        <is>
          <t>Matriz / Estabelecimento Principal</t>
        </is>
      </c>
      <c r="I656" s="13" t="inlineStr">
        <is>
          <t>10.486.463/0001-69</t>
        </is>
      </c>
      <c r="J656" s="13" t="inlineStr">
        <is>
          <t>SEAPA/RS nº 1928/09</t>
        </is>
      </c>
      <c r="K656" s="13" t="inlineStr">
        <is>
          <t>Estabelecimento Credenciado no Brasil</t>
        </is>
      </c>
      <c r="L656" s="13" t="inlineStr">
        <is>
          <t>Brasil</t>
        </is>
      </c>
      <c r="M656" s="13" t="inlineStr">
        <is>
          <t>0 - Nacional / 1 - Importação Direta</t>
        </is>
      </c>
    </row>
    <row r="657" ht="22" customHeight="1">
      <c r="A657" s="6" t="inlineStr">
        <is>
          <t>EMP-0653</t>
        </is>
      </c>
      <c r="B657" s="5" t="n">
        <v>557</v>
      </c>
      <c r="C657" s="7" t="inlineStr">
        <is>
          <t>Nº 10018</t>
        </is>
      </c>
      <c r="D657" s="8" t="inlineStr">
        <is>
          <t>ATRAZINA</t>
        </is>
      </c>
      <c r="E657" s="7" t="inlineStr">
        <is>
          <t>1. Titular do Registro / Produtor</t>
        </is>
      </c>
      <c r="F657" s="7" t="inlineStr">
        <is>
          <t>Produto Formulado Comercial</t>
        </is>
      </c>
      <c r="G657" s="7" t="inlineStr">
        <is>
          <t>RAINBOW DEFENSIVOS AGRICOLAS LTDA</t>
        </is>
      </c>
      <c r="H657" s="7" t="inlineStr">
        <is>
          <t>Matriz / Estabelecimento Principal</t>
        </is>
      </c>
      <c r="I657" s="7" t="inlineStr">
        <is>
          <t>10.486.463/0001-69</t>
        </is>
      </c>
      <c r="J657" s="7" t="inlineStr">
        <is>
          <t>SEAPA/RS nº 1928/09</t>
        </is>
      </c>
      <c r="K657" s="7" t="inlineStr">
        <is>
          <t>Estabelecimento Credenciado no Brasil</t>
        </is>
      </c>
      <c r="L657" s="7" t="inlineStr">
        <is>
          <t>Brasil</t>
        </is>
      </c>
      <c r="M657" s="7" t="inlineStr">
        <is>
          <t>0 - Nacional / 1 - Importação Direta</t>
        </is>
      </c>
    </row>
    <row r="658" ht="22" customHeight="1">
      <c r="A658" s="12" t="inlineStr">
        <is>
          <t>EMP-0654</t>
        </is>
      </c>
      <c r="B658" s="11" t="n">
        <v>558</v>
      </c>
      <c r="C658" s="13" t="inlineStr">
        <is>
          <t>Nº 5217</t>
        </is>
      </c>
      <c r="D658" s="14" t="inlineStr">
        <is>
          <t>HERBIZINA PLUS</t>
        </is>
      </c>
      <c r="E658" s="13" t="inlineStr">
        <is>
          <t>1. Titular do Registro</t>
        </is>
      </c>
      <c r="F658" s="13" t="inlineStr">
        <is>
          <t>Produto Formulado Comercial</t>
        </is>
      </c>
      <c r="G658" s="13" t="inlineStr">
        <is>
          <t>Adama</t>
        </is>
      </c>
      <c r="H658" s="13" t="inlineStr">
        <is>
          <t>Estabelecimento Credenciado</t>
        </is>
      </c>
      <c r="I658" s="13" t="inlineStr">
        <is>
          <t>CNPJ Credenciado MAPA</t>
        </is>
      </c>
      <c r="J658" s="13" t="inlineStr">
        <is>
          <t>Registro Estadual Vigente</t>
        </is>
      </c>
      <c r="K658" s="13" t="inlineStr">
        <is>
          <t>Unidade Operacional Brasil</t>
        </is>
      </c>
      <c r="L658" s="13" t="inlineStr">
        <is>
          <t>Brasil</t>
        </is>
      </c>
      <c r="M658" s="13" t="inlineStr">
        <is>
          <t>0/1/2 - Conforme Origem do Lote</t>
        </is>
      </c>
    </row>
    <row r="659" ht="22" customHeight="1">
      <c r="A659" s="6" t="inlineStr">
        <is>
          <t>EMP-0655</t>
        </is>
      </c>
      <c r="B659" s="5" t="n">
        <v>558</v>
      </c>
      <c r="C659" s="7" t="inlineStr">
        <is>
          <t>Nº 5217</t>
        </is>
      </c>
      <c r="D659" s="8" t="inlineStr">
        <is>
          <t>HERBIZINA PLUS</t>
        </is>
      </c>
      <c r="E659" s="7" t="inlineStr">
        <is>
          <t>3. Formulador / Co-Distribuidor Autorizado</t>
        </is>
      </c>
      <c r="F659" s="7" t="inlineStr">
        <is>
          <t>Produto Formulado Comercial</t>
        </is>
      </c>
      <c r="G659" s="7" t="inlineStr">
        <is>
          <t>Ourofino</t>
        </is>
      </c>
      <c r="H659" s="7" t="inlineStr">
        <is>
          <t>Estabelecimento Credenciado</t>
        </is>
      </c>
      <c r="I659" s="7" t="inlineStr">
        <is>
          <t>CNPJ Credenciado MAPA</t>
        </is>
      </c>
      <c r="J659" s="7" t="inlineStr">
        <is>
          <t>Registro Estadual Vigente</t>
        </is>
      </c>
      <c r="K659" s="7" t="inlineStr">
        <is>
          <t>Unidade Operacional Brasil</t>
        </is>
      </c>
      <c r="L659" s="7" t="inlineStr">
        <is>
          <t>Brasil</t>
        </is>
      </c>
      <c r="M659" s="7" t="inlineStr">
        <is>
          <t>0/1/2 - Conforme Origem do Lote</t>
        </is>
      </c>
    </row>
    <row r="660" ht="22" customHeight="1">
      <c r="A660" s="12" t="inlineStr">
        <is>
          <t>EMP-0656</t>
        </is>
      </c>
      <c r="B660" s="11" t="n">
        <v>559</v>
      </c>
      <c r="C660" s="13" t="inlineStr">
        <is>
          <t>SIPEAGRO (UF-XXXXX)</t>
        </is>
      </c>
      <c r="D660" s="14" t="inlineStr">
        <is>
          <t>BENTONITA 90%S - GRANULADO - 1.250 KG</t>
        </is>
      </c>
      <c r="E660" s="13" t="inlineStr">
        <is>
          <t>1. Titular do Registro / Produtor</t>
        </is>
      </c>
      <c r="F660" s="13" t="inlineStr">
        <is>
          <t>Corretivo / Condicionador de Solo</t>
        </is>
      </c>
      <c r="G660" s="13" t="inlineStr">
        <is>
          <t>Estabelecimento Produtor SIPEAGRO/MAPA</t>
        </is>
      </c>
      <c r="H660" s="13" t="inlineStr">
        <is>
          <t>Matriz / Estabelecimento Principal</t>
        </is>
      </c>
      <c r="I660" s="13" t="inlineStr">
        <is>
          <t>CNPJ Credenciado MAPA/SIPEAGRO</t>
        </is>
      </c>
      <c r="J660" s="13" t="inlineStr">
        <is>
          <t>Registro Estadual Vigente</t>
        </is>
      </c>
      <c r="K660" s="13" t="inlineStr">
        <is>
          <t>Estabelecimento Credenciado no Brasil</t>
        </is>
      </c>
      <c r="L660" s="13" t="inlineStr">
        <is>
          <t>Brasil</t>
        </is>
      </c>
      <c r="M660" s="13" t="inlineStr">
        <is>
          <t>0 - Nacional / 1 - Importação Direta</t>
        </is>
      </c>
    </row>
    <row r="661" ht="22" customHeight="1">
      <c r="A661" s="6" t="inlineStr">
        <is>
          <t>EMP-0657</t>
        </is>
      </c>
      <c r="B661" s="5" t="n">
        <v>560</v>
      </c>
      <c r="C661" s="7" t="inlineStr">
        <is>
          <t>Nº 12123</t>
        </is>
      </c>
      <c r="D661" s="8" t="inlineStr">
        <is>
          <t>PYRIPROXYFEN 100 EC AGCN 0,200L AMOSTRA</t>
        </is>
      </c>
      <c r="E661" s="7" t="inlineStr">
        <is>
          <t>1. Titular do Registro / Produtor</t>
        </is>
      </c>
      <c r="F661" s="7" t="inlineStr">
        <is>
          <t>Produto Formulado Comercial</t>
        </is>
      </c>
      <c r="G661" s="7" t="inlineStr">
        <is>
          <t>AGRICONNECTION IMPORTADORA E EXPORTADORA DE INSUMOS AGRÍCOLAS LTDA.</t>
        </is>
      </c>
      <c r="H661" s="7" t="inlineStr">
        <is>
          <t>Matriz / Estabelecimento Principal</t>
        </is>
      </c>
      <c r="I661" s="7" t="inlineStr">
        <is>
          <t>39.496.730/0001-60</t>
        </is>
      </c>
      <c r="J661" s="7" t="inlineStr">
        <is>
          <t>CDA/SP nº 4354 / INDEA/MT nº 27326</t>
        </is>
      </c>
      <c r="K661" s="7" t="inlineStr">
        <is>
          <t>Av. Manoel Genildo de Araujo, 188, Campo Verde/MT</t>
        </is>
      </c>
      <c r="L661" s="7" t="inlineStr">
        <is>
          <t>Brasil</t>
        </is>
      </c>
      <c r="M661" s="7" t="inlineStr">
        <is>
          <t>0 - Nacional / 1 - Importação Direta</t>
        </is>
      </c>
    </row>
    <row r="662" ht="22" customHeight="1">
      <c r="A662" s="12" t="inlineStr">
        <is>
          <t>EMP-0658</t>
        </is>
      </c>
      <c r="B662" s="11" t="n">
        <v>561</v>
      </c>
      <c r="C662" s="13" t="inlineStr">
        <is>
          <t>Nº 43818</t>
        </is>
      </c>
      <c r="D662" s="14" t="inlineStr">
        <is>
          <t>DIAFENTIURON</t>
        </is>
      </c>
      <c r="E662" s="13" t="inlineStr">
        <is>
          <t>1. Titular do Registro / Produtor</t>
        </is>
      </c>
      <c r="F662" s="13" t="inlineStr">
        <is>
          <t>Produto Formulado Comercial</t>
        </is>
      </c>
      <c r="G662" s="13" t="inlineStr">
        <is>
          <t>PROVENTIS LIFESCIENCE DEFENSIVOS AGRÍCOLAS LTDA.</t>
        </is>
      </c>
      <c r="H662" s="13" t="inlineStr">
        <is>
          <t>Matriz / Estabelecimento Principal</t>
        </is>
      </c>
      <c r="I662" s="13" t="inlineStr">
        <is>
          <t>26.632.190/0001-18</t>
        </is>
      </c>
      <c r="J662" s="13" t="inlineStr">
        <is>
          <t>CDA/SP Vigente</t>
        </is>
      </c>
      <c r="K662" s="13" t="inlineStr">
        <is>
          <t>Campinas/SP</t>
        </is>
      </c>
      <c r="L662" s="13" t="inlineStr">
        <is>
          <t>Brasil</t>
        </is>
      </c>
      <c r="M662" s="13" t="inlineStr">
        <is>
          <t>0 - Nacional / 1 - Importação Direta</t>
        </is>
      </c>
    </row>
    <row r="663" ht="22" customHeight="1">
      <c r="A663" s="6" t="inlineStr">
        <is>
          <t>EMP-0659</t>
        </is>
      </c>
      <c r="B663" s="5" t="n">
        <v>562</v>
      </c>
      <c r="C663" s="7" t="inlineStr">
        <is>
          <t>Nº 43818</t>
        </is>
      </c>
      <c r="D663" s="8" t="inlineStr">
        <is>
          <t>DIAFENTIURON</t>
        </is>
      </c>
      <c r="E663" s="7" t="inlineStr">
        <is>
          <t>1. Titular do Registro / Produtor</t>
        </is>
      </c>
      <c r="F663" s="7" t="inlineStr">
        <is>
          <t>Produto Formulado Comercial</t>
        </is>
      </c>
      <c r="G663" s="7" t="inlineStr">
        <is>
          <t>PROVENTIS LIFESCIENCE DEFENSIVOS AGRÍCOLAS LTDA.</t>
        </is>
      </c>
      <c r="H663" s="7" t="inlineStr">
        <is>
          <t>Matriz / Estabelecimento Principal</t>
        </is>
      </c>
      <c r="I663" s="7" t="inlineStr">
        <is>
          <t>26.632.190/0001-18</t>
        </is>
      </c>
      <c r="J663" s="7" t="inlineStr">
        <is>
          <t>CDA/SP Vigente</t>
        </is>
      </c>
      <c r="K663" s="7" t="inlineStr">
        <is>
          <t>Campinas/SP</t>
        </is>
      </c>
      <c r="L663" s="7" t="inlineStr">
        <is>
          <t>Brasil</t>
        </is>
      </c>
      <c r="M663" s="7" t="inlineStr">
        <is>
          <t>0 - Nacional / 1 - Importação Direta</t>
        </is>
      </c>
    </row>
    <row r="664" ht="22" customHeight="1">
      <c r="A664" s="12" t="inlineStr">
        <is>
          <t>EMP-0660</t>
        </is>
      </c>
      <c r="B664" s="11" t="n">
        <v>563</v>
      </c>
      <c r="C664" s="13" t="inlineStr">
        <is>
          <t>Nº 27922</t>
        </is>
      </c>
      <c r="D664" s="14" t="inlineStr">
        <is>
          <t>S-METOLACHLOR PROVENTIS 960 EC 0,200L (AMOSTRA)</t>
        </is>
      </c>
      <c r="E664" s="13" t="inlineStr">
        <is>
          <t>1. Titular do Registro / Produtor</t>
        </is>
      </c>
      <c r="F664" s="13" t="inlineStr">
        <is>
          <t>Produto Formulado Comercial</t>
        </is>
      </c>
      <c r="G664" s="13" t="inlineStr">
        <is>
          <t>Proventis Lifescience</t>
        </is>
      </c>
      <c r="H664" s="13" t="inlineStr">
        <is>
          <t>Matriz / Estabelecimento Principal</t>
        </is>
      </c>
      <c r="I664" s="13" t="inlineStr">
        <is>
          <t>CNPJ Credenciado MAPA/SIPEAGRO</t>
        </is>
      </c>
      <c r="J664" s="13" t="inlineStr">
        <is>
          <t>Registro Estadual Vigente</t>
        </is>
      </c>
      <c r="K664" s="13" t="inlineStr">
        <is>
          <t>Estabelecimento Credenciado no Brasil</t>
        </is>
      </c>
      <c r="L664" s="13" t="inlineStr">
        <is>
          <t>Brasil</t>
        </is>
      </c>
      <c r="M664" s="13" t="inlineStr">
        <is>
          <t>0 - Nacional / 1 - Importação Direta</t>
        </is>
      </c>
    </row>
    <row r="665" ht="22" customHeight="1">
      <c r="A665" s="6" t="inlineStr">
        <is>
          <t>EMP-0661</t>
        </is>
      </c>
      <c r="B665" s="5" t="n">
        <v>564</v>
      </c>
      <c r="C665" s="7" t="inlineStr">
        <is>
          <t>Nº 26023</t>
        </is>
      </c>
      <c r="D665" s="8" t="inlineStr">
        <is>
          <t>MAJESTUOSO 0,2L (IMP) AMOSTRA</t>
        </is>
      </c>
      <c r="E665" s="7" t="inlineStr">
        <is>
          <t>1. Titular do Registro / Produtor</t>
        </is>
      </c>
      <c r="F665" s="7" t="inlineStr">
        <is>
          <t>Produto Formulado Comercial</t>
        </is>
      </c>
      <c r="G665" s="7" t="inlineStr">
        <is>
          <t>AGRO-LEAD BRASIL ASSESSORIA EM PRODUTOS AGRICOLAS LTDA</t>
        </is>
      </c>
      <c r="H665" s="7" t="inlineStr">
        <is>
          <t>Matriz / Estabelecimento Principal</t>
        </is>
      </c>
      <c r="I665" s="7" t="inlineStr">
        <is>
          <t>CNPJ Credenciado MAPA/SIPEAGRO</t>
        </is>
      </c>
      <c r="J665" s="7" t="inlineStr">
        <is>
          <t>Registro Estadual Vigente</t>
        </is>
      </c>
      <c r="K665" s="7" t="inlineStr">
        <is>
          <t>Estabelecimento Credenciado no Brasil</t>
        </is>
      </c>
      <c r="L665" s="7" t="inlineStr">
        <is>
          <t>Brasil</t>
        </is>
      </c>
      <c r="M665" s="7" t="inlineStr">
        <is>
          <t>0 - Nacional / 1 - Importação Direta</t>
        </is>
      </c>
    </row>
    <row r="666" ht="22" customHeight="1">
      <c r="A666" s="12" t="inlineStr">
        <is>
          <t>EMP-0662</t>
        </is>
      </c>
      <c r="B666" s="11" t="n">
        <v>565</v>
      </c>
      <c r="C666" s="13" t="inlineStr">
        <is>
          <t>Nº 5924</t>
        </is>
      </c>
      <c r="D666" s="14" t="inlineStr">
        <is>
          <t>FLAME WG</t>
        </is>
      </c>
      <c r="E666" s="13" t="inlineStr">
        <is>
          <t>1. Titular do Registro / Produtor</t>
        </is>
      </c>
      <c r="F666" s="13" t="inlineStr">
        <is>
          <t>Produto Formulado Comercial</t>
        </is>
      </c>
      <c r="G666" s="13" t="inlineStr">
        <is>
          <t>RAINBOW DEFENSIVOS AGRICOLAS LTDA</t>
        </is>
      </c>
      <c r="H666" s="13" t="inlineStr">
        <is>
          <t>Matriz / Estabelecimento Principal</t>
        </is>
      </c>
      <c r="I666" s="13" t="inlineStr">
        <is>
          <t>10.486.463/0001-69</t>
        </is>
      </c>
      <c r="J666" s="13" t="inlineStr">
        <is>
          <t>SEAPA/RS nº 1928/09</t>
        </is>
      </c>
      <c r="K666" s="13" t="inlineStr">
        <is>
          <t>Estabelecimento Credenciado no Brasil</t>
        </is>
      </c>
      <c r="L666" s="13" t="inlineStr">
        <is>
          <t>Brasil</t>
        </is>
      </c>
      <c r="M666" s="13" t="inlineStr">
        <is>
          <t>0 - Nacional / 1 - Importação Direta</t>
        </is>
      </c>
    </row>
    <row r="667" ht="22" customHeight="1">
      <c r="A667" s="6" t="inlineStr">
        <is>
          <t>EMP-0663</t>
        </is>
      </c>
      <c r="B667" s="5" t="n">
        <v>566</v>
      </c>
      <c r="C667" s="7" t="inlineStr">
        <is>
          <t>Nº 15925</t>
        </is>
      </c>
      <c r="D667" s="8" t="inlineStr">
        <is>
          <t>CHETTAK GOLD</t>
        </is>
      </c>
      <c r="E667" s="7" t="inlineStr">
        <is>
          <t>1. Titular do Registro / Produtor</t>
        </is>
      </c>
      <c r="F667" s="7" t="inlineStr">
        <is>
          <t>Produto Formulado Comercial</t>
        </is>
      </c>
      <c r="G667" s="7" t="inlineStr">
        <is>
          <t>SHARDA DO BRASIL COMÉRCIO DE PRODUTOS QUÍMICOS E AGROQUÍMICOS LTDA.</t>
        </is>
      </c>
      <c r="H667" s="7" t="inlineStr">
        <is>
          <t>Matriz / Estabelecimento Principal</t>
        </is>
      </c>
      <c r="I667" s="7" t="inlineStr">
        <is>
          <t>CNPJ Credenciado MAPA/SIPEAGRO</t>
        </is>
      </c>
      <c r="J667" s="7" t="inlineStr">
        <is>
          <t>Registro Estadual Vigente</t>
        </is>
      </c>
      <c r="K667" s="7" t="inlineStr">
        <is>
          <t>Estabelecimento Credenciado no Brasil</t>
        </is>
      </c>
      <c r="L667" s="7" t="inlineStr">
        <is>
          <t>Brasil</t>
        </is>
      </c>
      <c r="M667" s="7" t="inlineStr">
        <is>
          <t>0 - Nacional / 1 - Importação Direta</t>
        </is>
      </c>
    </row>
    <row r="668" ht="22" customHeight="1">
      <c r="A668" s="12" t="inlineStr">
        <is>
          <t>EMP-0664</t>
        </is>
      </c>
      <c r="B668" s="11" t="n">
        <v>567</v>
      </c>
      <c r="C668" s="13" t="inlineStr">
        <is>
          <t>Nº 14024</t>
        </is>
      </c>
      <c r="D668" s="14" t="inlineStr">
        <is>
          <t>ETHIPROLE</t>
        </is>
      </c>
      <c r="E668" s="13" t="inlineStr">
        <is>
          <t>1. Titular do Registro / Produtor</t>
        </is>
      </c>
      <c r="F668" s="13" t="inlineStr">
        <is>
          <t>Produto Formulado Comercial</t>
        </is>
      </c>
      <c r="G668" s="13" t="inlineStr">
        <is>
          <t>YONON BRASIL DEFENSIVOS AGRÍCOLAS LTDA.</t>
        </is>
      </c>
      <c r="H668" s="13" t="inlineStr">
        <is>
          <t>Matriz / Estabelecimento Principal</t>
        </is>
      </c>
      <c r="I668" s="13" t="inlineStr">
        <is>
          <t>31.597.412/0001-88</t>
        </is>
      </c>
      <c r="J668" s="13" t="inlineStr">
        <is>
          <t>CDA/SP Vigente</t>
        </is>
      </c>
      <c r="K668" s="13" t="inlineStr">
        <is>
          <t>São Paulo/SP</t>
        </is>
      </c>
      <c r="L668" s="13" t="inlineStr">
        <is>
          <t>Brasil</t>
        </is>
      </c>
      <c r="M668" s="13" t="inlineStr">
        <is>
          <t>0 - Nacional / 1 - Importação Direta</t>
        </is>
      </c>
    </row>
    <row r="669" ht="22" customHeight="1">
      <c r="A669" s="6" t="inlineStr">
        <is>
          <t>EMP-0665</t>
        </is>
      </c>
      <c r="B669" s="5" t="n">
        <v>568</v>
      </c>
      <c r="C669" s="7" t="inlineStr">
        <is>
          <t>Nº 14024</t>
        </is>
      </c>
      <c r="D669" s="8" t="inlineStr">
        <is>
          <t>ETHIPROLE</t>
        </is>
      </c>
      <c r="E669" s="7" t="inlineStr">
        <is>
          <t>1. Titular do Registro / Produtor</t>
        </is>
      </c>
      <c r="F669" s="7" t="inlineStr">
        <is>
          <t>Produto Formulado Comercial</t>
        </is>
      </c>
      <c r="G669" s="7" t="inlineStr">
        <is>
          <t>YONON BRASIL DEFENSIVOS AGRÍCOLAS LTDA.</t>
        </is>
      </c>
      <c r="H669" s="7" t="inlineStr">
        <is>
          <t>Matriz / Estabelecimento Principal</t>
        </is>
      </c>
      <c r="I669" s="7" t="inlineStr">
        <is>
          <t>31.597.412/0001-88</t>
        </is>
      </c>
      <c r="J669" s="7" t="inlineStr">
        <is>
          <t>CDA/SP Vigente</t>
        </is>
      </c>
      <c r="K669" s="7" t="inlineStr">
        <is>
          <t>São Paulo/SP</t>
        </is>
      </c>
      <c r="L669" s="7" t="inlineStr">
        <is>
          <t>Brasil</t>
        </is>
      </c>
      <c r="M669" s="7" t="inlineStr">
        <is>
          <t>0 - Nacional / 1 - Importação Direta</t>
        </is>
      </c>
    </row>
    <row r="670" ht="22" customHeight="1">
      <c r="A670" s="12" t="inlineStr">
        <is>
          <t>EMP-0666</t>
        </is>
      </c>
      <c r="B670" s="11" t="n">
        <v>569</v>
      </c>
      <c r="C670" s="13" t="inlineStr">
        <is>
          <t>Nº 34723</t>
        </is>
      </c>
      <c r="D670" s="14" t="inlineStr">
        <is>
          <t>CURATIS</t>
        </is>
      </c>
      <c r="E670" s="13" t="inlineStr">
        <is>
          <t>1. Titular do Registro / Produtor</t>
        </is>
      </c>
      <c r="F670" s="13" t="inlineStr">
        <is>
          <t>Produto Formulado Comercial</t>
        </is>
      </c>
      <c r="G670" s="13" t="inlineStr">
        <is>
          <t>UPL DO BRASIL INDÚSTRIA E COMÉRCIO DE INSUMOS AGROPECUÁRIOS S.A.</t>
        </is>
      </c>
      <c r="H670" s="13" t="inlineStr">
        <is>
          <t>Matriz / Estabelecimento Principal</t>
        </is>
      </c>
      <c r="I670" s="13" t="inlineStr">
        <is>
          <t>CNPJ Credenciado MAPA/SIPEAGRO</t>
        </is>
      </c>
      <c r="J670" s="13" t="inlineStr">
        <is>
          <t>Registro Estadual Vigente</t>
        </is>
      </c>
      <c r="K670" s="13" t="inlineStr">
        <is>
          <t>Estabelecimento Credenciado no Brasil</t>
        </is>
      </c>
      <c r="L670" s="13" t="inlineStr">
        <is>
          <t>Brasil</t>
        </is>
      </c>
      <c r="M670" s="13" t="inlineStr">
        <is>
          <t>0 - Nacional / 1 - Importação Direta</t>
        </is>
      </c>
    </row>
    <row r="671" ht="22" customHeight="1">
      <c r="A671" s="6" t="inlineStr">
        <is>
          <t>EMP-0667</t>
        </is>
      </c>
      <c r="B671" s="5" t="n">
        <v>570</v>
      </c>
      <c r="C671" s="7" t="inlineStr">
        <is>
          <t>Nº 0315</t>
        </is>
      </c>
      <c r="D671" s="8" t="inlineStr">
        <is>
          <t>2-4 D (AMOSTRA LABORATORIAL)</t>
        </is>
      </c>
      <c r="E671" s="7" t="inlineStr">
        <is>
          <t>1. Titular do Registro / Produtor</t>
        </is>
      </c>
      <c r="F671" s="7" t="inlineStr">
        <is>
          <t>Produto Formulado Comercial</t>
        </is>
      </c>
      <c r="G671" s="7" t="inlineStr">
        <is>
          <t>Agriconnection</t>
        </is>
      </c>
      <c r="H671" s="7" t="inlineStr">
        <is>
          <t>Matriz / Estabelecimento Principal</t>
        </is>
      </c>
      <c r="I671" s="7" t="inlineStr">
        <is>
          <t>39.496.730/0001-60</t>
        </is>
      </c>
      <c r="J671" s="7" t="inlineStr">
        <is>
          <t>INDEA/MT nº 27326 / CDA/SP nº 4354</t>
        </is>
      </c>
      <c r="K671" s="7" t="inlineStr">
        <is>
          <t>Av. Manoel Genildo de Araujo, 188, Campo Verde/MT / Barueri/SP</t>
        </is>
      </c>
      <c r="L671" s="7" t="inlineStr">
        <is>
          <t>Brasil</t>
        </is>
      </c>
      <c r="M671" s="7" t="inlineStr">
        <is>
          <t>0 - Nacional / 1 - Importação Direta</t>
        </is>
      </c>
    </row>
    <row r="672" ht="22" customHeight="1">
      <c r="A672" s="12" t="inlineStr">
        <is>
          <t>EMP-0668</t>
        </is>
      </c>
      <c r="B672" s="11" t="n">
        <v>571</v>
      </c>
      <c r="C672" s="13" t="inlineStr">
        <is>
          <t>Nº 10018</t>
        </is>
      </c>
      <c r="D672" s="14" t="inlineStr">
        <is>
          <t>ATRAZINA</t>
        </is>
      </c>
      <c r="E672" s="13" t="inlineStr">
        <is>
          <t>1. Titular do Registro / Produtor</t>
        </is>
      </c>
      <c r="F672" s="13" t="inlineStr">
        <is>
          <t>Produto Formulado Comercial</t>
        </is>
      </c>
      <c r="G672" s="13" t="inlineStr">
        <is>
          <t>RAINBOW DEFENSIVOS AGRICOLAS LTDA</t>
        </is>
      </c>
      <c r="H672" s="13" t="inlineStr">
        <is>
          <t>Matriz / Estabelecimento Principal</t>
        </is>
      </c>
      <c r="I672" s="13" t="inlineStr">
        <is>
          <t>10.486.463/0001-69</t>
        </is>
      </c>
      <c r="J672" s="13" t="inlineStr">
        <is>
          <t>SEAPA/RS nº 1928/09</t>
        </is>
      </c>
      <c r="K672" s="13" t="inlineStr">
        <is>
          <t>Estabelecimento Credenciado no Brasil</t>
        </is>
      </c>
      <c r="L672" s="13" t="inlineStr">
        <is>
          <t>Brasil</t>
        </is>
      </c>
      <c r="M672" s="13" t="inlineStr">
        <is>
          <t>0 - Nacional / 1 - Importação Direta</t>
        </is>
      </c>
    </row>
    <row r="673" ht="22" customHeight="1">
      <c r="A673" s="6" t="inlineStr">
        <is>
          <t>EMP-0669</t>
        </is>
      </c>
      <c r="B673" s="5" t="n">
        <v>572</v>
      </c>
      <c r="C673" s="7" t="inlineStr">
        <is>
          <t>Nº 34723</t>
        </is>
      </c>
      <c r="D673" s="8" t="inlineStr">
        <is>
          <t>CURATIS</t>
        </is>
      </c>
      <c r="E673" s="7" t="inlineStr">
        <is>
          <t>1. Titular do Registro / Produtor</t>
        </is>
      </c>
      <c r="F673" s="7" t="inlineStr">
        <is>
          <t>Produto Formulado Comercial</t>
        </is>
      </c>
      <c r="G673" s="7" t="inlineStr">
        <is>
          <t>UPL DO BRASIL INDÚSTRIA E COMÉRCIO DE INSUMOS AGROPECUÁRIOS S.A.</t>
        </is>
      </c>
      <c r="H673" s="7" t="inlineStr">
        <is>
          <t>Matriz / Estabelecimento Principal</t>
        </is>
      </c>
      <c r="I673" s="7" t="inlineStr">
        <is>
          <t>CNPJ Credenciado MAPA/SIPEAGRO</t>
        </is>
      </c>
      <c r="J673" s="7" t="inlineStr">
        <is>
          <t>Registro Estadual Vigente</t>
        </is>
      </c>
      <c r="K673" s="7" t="inlineStr">
        <is>
          <t>Estabelecimento Credenciado no Brasil</t>
        </is>
      </c>
      <c r="L673" s="7" t="inlineStr">
        <is>
          <t>Brasil</t>
        </is>
      </c>
      <c r="M673" s="7" t="inlineStr">
        <is>
          <t>0 - Nacional / 1 - Importação Direta</t>
        </is>
      </c>
    </row>
    <row r="674" ht="22" customHeight="1">
      <c r="A674" s="12" t="inlineStr">
        <is>
          <t>EMP-0670</t>
        </is>
      </c>
      <c r="B674" s="11" t="n">
        <v>573</v>
      </c>
      <c r="C674" s="13" t="inlineStr">
        <is>
          <t>Nº 13716</t>
        </is>
      </c>
      <c r="D674" s="14" t="inlineStr">
        <is>
          <t>EFICAX</t>
        </is>
      </c>
      <c r="E674" s="13" t="inlineStr">
        <is>
          <t>1. Titular do Registro / Produtor</t>
        </is>
      </c>
      <c r="F674" s="13" t="inlineStr">
        <is>
          <t>Produto Formulado Comercial</t>
        </is>
      </c>
      <c r="G674" s="13" t="inlineStr">
        <is>
          <t>ROTAM DO BRASIL AGROQUÍMICA E PRODUTOS AGRÍCOLAS LTDA. / ALBAUGH</t>
        </is>
      </c>
      <c r="H674" s="13" t="inlineStr">
        <is>
          <t>Matriz / Estabelecimento Principal</t>
        </is>
      </c>
      <c r="I674" s="13" t="inlineStr">
        <is>
          <t>CNPJ Credenciado MAPA/SIPEAGRO</t>
        </is>
      </c>
      <c r="J674" s="13" t="inlineStr">
        <is>
          <t>Registro Estadual Vigente</t>
        </is>
      </c>
      <c r="K674" s="13" t="inlineStr">
        <is>
          <t>Estabelecimento Credenciado no Brasil</t>
        </is>
      </c>
      <c r="L674" s="13" t="inlineStr">
        <is>
          <t>Brasil</t>
        </is>
      </c>
      <c r="M674" s="13" t="inlineStr">
        <is>
          <t>0 - Nacional / 1 - Importação Direta</t>
        </is>
      </c>
    </row>
    <row r="675" ht="22" customHeight="1">
      <c r="A675" s="6" t="inlineStr">
        <is>
          <t>EMP-0671</t>
        </is>
      </c>
      <c r="B675" s="5" t="n">
        <v>574</v>
      </c>
      <c r="C675" s="7" t="inlineStr">
        <is>
          <t>Nº 17921</t>
        </is>
      </c>
      <c r="D675" s="8" t="inlineStr">
        <is>
          <t>TIOFANATO</t>
        </is>
      </c>
      <c r="E675" s="7" t="inlineStr">
        <is>
          <t>1. Titular do Registro / Produtor</t>
        </is>
      </c>
      <c r="F675" s="7" t="inlineStr">
        <is>
          <t>Produto Formulado Comercial</t>
        </is>
      </c>
      <c r="G675" s="7" t="inlineStr">
        <is>
          <t>Proventis Lifescience</t>
        </is>
      </c>
      <c r="H675" s="7" t="inlineStr">
        <is>
          <t>Matriz / Estabelecimento Principal</t>
        </is>
      </c>
      <c r="I675" s="7" t="inlineStr">
        <is>
          <t>CNPJ Credenciado MAPA/SIPEAGRO</t>
        </is>
      </c>
      <c r="J675" s="7" t="inlineStr">
        <is>
          <t>Registro Estadual Vigente</t>
        </is>
      </c>
      <c r="K675" s="7" t="inlineStr">
        <is>
          <t>Estabelecimento Credenciado no Brasil</t>
        </is>
      </c>
      <c r="L675" s="7" t="inlineStr">
        <is>
          <t>Brasil</t>
        </is>
      </c>
      <c r="M675" s="7" t="inlineStr">
        <is>
          <t>0 - Nacional / 1 - Importação Direta</t>
        </is>
      </c>
    </row>
    <row r="676" ht="22" customHeight="1">
      <c r="A676" s="12" t="inlineStr">
        <is>
          <t>EMP-0672</t>
        </is>
      </c>
      <c r="B676" s="11" t="n">
        <v>575</v>
      </c>
      <c r="C676" s="13" t="inlineStr">
        <is>
          <t>SIPEAGRO (UF-XXXXX)</t>
        </is>
      </c>
      <c r="D676" s="14" t="inlineStr">
        <is>
          <t>NEU</t>
        </is>
      </c>
      <c r="E676" s="13" t="inlineStr">
        <is>
          <t>1. Titular do Registro / Produtor</t>
        </is>
      </c>
      <c r="F676" s="13" t="inlineStr">
        <is>
          <t>Fertilizante Mineral / Organomineral</t>
        </is>
      </c>
      <c r="G676" s="13" t="inlineStr">
        <is>
          <t>Estabelecimento Produtor SIPEAGRO/MAPA</t>
        </is>
      </c>
      <c r="H676" s="13" t="inlineStr">
        <is>
          <t>Matriz / Estabelecimento Principal</t>
        </is>
      </c>
      <c r="I676" s="13" t="inlineStr">
        <is>
          <t>CNPJ Credenciado MAPA/SIPEAGRO</t>
        </is>
      </c>
      <c r="J676" s="13" t="inlineStr">
        <is>
          <t>Registro Estadual Vigente</t>
        </is>
      </c>
      <c r="K676" s="13" t="inlineStr">
        <is>
          <t>Estabelecimento Credenciado no Brasil</t>
        </is>
      </c>
      <c r="L676" s="13" t="inlineStr">
        <is>
          <t>Brasil</t>
        </is>
      </c>
      <c r="M676" s="13" t="inlineStr">
        <is>
          <t>0 - Nacional / 1 - Importação Direta</t>
        </is>
      </c>
    </row>
    <row r="677" ht="22" customHeight="1">
      <c r="A677" s="6" t="inlineStr">
        <is>
          <t>EMP-0673</t>
        </is>
      </c>
      <c r="B677" s="5" t="n">
        <v>576</v>
      </c>
      <c r="C677" s="7" t="inlineStr">
        <is>
          <t>Nº 11216</t>
        </is>
      </c>
      <c r="D677" s="8" t="inlineStr">
        <is>
          <t>ATIVUM (TM) EC</t>
        </is>
      </c>
      <c r="E677" s="7" t="inlineStr">
        <is>
          <t>1. Titular do Registro / Produtor</t>
        </is>
      </c>
      <c r="F677" s="7" t="inlineStr">
        <is>
          <t>Produto Formulado Comercial</t>
        </is>
      </c>
      <c r="G677" s="7" t="inlineStr">
        <is>
          <t>BASF AGRICULTURAL SOLUTIONS BRASIL LTDA</t>
        </is>
      </c>
      <c r="H677" s="7" t="inlineStr">
        <is>
          <t>Matriz / Estabelecimento Principal</t>
        </is>
      </c>
      <c r="I677" s="7" t="inlineStr">
        <is>
          <t>CNPJ Credenciado MAPA/SIPEAGRO</t>
        </is>
      </c>
      <c r="J677" s="7" t="inlineStr">
        <is>
          <t>Registro Estadual Vigente</t>
        </is>
      </c>
      <c r="K677" s="7" t="inlineStr">
        <is>
          <t>Estabelecimento Credenciado no Brasil</t>
        </is>
      </c>
      <c r="L677" s="7" t="inlineStr">
        <is>
          <t>Brasil</t>
        </is>
      </c>
      <c r="M677" s="7" t="inlineStr">
        <is>
          <t>0 - Nacional / 1 - Importação Direta</t>
        </is>
      </c>
    </row>
    <row r="678" ht="22" customHeight="1">
      <c r="A678" s="12" t="inlineStr">
        <is>
          <t>EMP-0674</t>
        </is>
      </c>
      <c r="B678" s="11" t="n">
        <v>577</v>
      </c>
      <c r="C678" s="13" t="inlineStr">
        <is>
          <t>Nº 8319</t>
        </is>
      </c>
      <c r="D678" s="14" t="inlineStr">
        <is>
          <t>DIURON</t>
        </is>
      </c>
      <c r="E678" s="13" t="inlineStr">
        <is>
          <t>1. Titular do Registro / Produtor</t>
        </is>
      </c>
      <c r="F678" s="13" t="inlineStr">
        <is>
          <t>Produto Formulado Comercial</t>
        </is>
      </c>
      <c r="G678" s="13" t="inlineStr">
        <is>
          <t>Rainbow Defensivos</t>
        </is>
      </c>
      <c r="H678" s="13" t="inlineStr">
        <is>
          <t>Matriz / Estabelecimento Principal</t>
        </is>
      </c>
      <c r="I678" s="13" t="inlineStr">
        <is>
          <t>10.486.463/0001-69</t>
        </is>
      </c>
      <c r="J678" s="13" t="inlineStr">
        <is>
          <t>SEAPA/RS nº 1928/09</t>
        </is>
      </c>
      <c r="K678" s="13" t="inlineStr">
        <is>
          <t>Estabelecimento Credenciado no Brasil</t>
        </is>
      </c>
      <c r="L678" s="13" t="inlineStr">
        <is>
          <t>Brasil</t>
        </is>
      </c>
      <c r="M678" s="13" t="inlineStr">
        <is>
          <t>0 - Nacional / 1 - Importação Direta</t>
        </is>
      </c>
    </row>
    <row r="679" ht="22" customHeight="1">
      <c r="A679" s="6" t="inlineStr">
        <is>
          <t>EMP-0675</t>
        </is>
      </c>
      <c r="B679" s="5" t="n">
        <v>578</v>
      </c>
      <c r="C679" s="7" t="inlineStr">
        <is>
          <t>SIPEAGRO (UF-XXXXX)</t>
        </is>
      </c>
      <c r="D679" s="8" t="inlineStr">
        <is>
          <t>SALT BASE MILHO PLUS</t>
        </is>
      </c>
      <c r="E679" s="7" t="inlineStr">
        <is>
          <t>1. Titular do Registro / Produtor</t>
        </is>
      </c>
      <c r="F679" s="7" t="inlineStr">
        <is>
          <t>Fertilizante Mineral / Organomineral</t>
        </is>
      </c>
      <c r="G679" s="7" t="inlineStr">
        <is>
          <t>Estabelecimento Produtor SIPEAGRO/MAPA</t>
        </is>
      </c>
      <c r="H679" s="7" t="inlineStr">
        <is>
          <t>Matriz / Estabelecimento Principal</t>
        </is>
      </c>
      <c r="I679" s="7" t="inlineStr">
        <is>
          <t>CNPJ Credenciado MAPA/SIPEAGRO</t>
        </is>
      </c>
      <c r="J679" s="7" t="inlineStr">
        <is>
          <t>Registro Estadual Vigente</t>
        </is>
      </c>
      <c r="K679" s="7" t="inlineStr">
        <is>
          <t>Estabelecimento Credenciado no Brasil</t>
        </is>
      </c>
      <c r="L679" s="7" t="inlineStr">
        <is>
          <t>Brasil</t>
        </is>
      </c>
      <c r="M679" s="7" t="inlineStr">
        <is>
          <t>0 - Nacional / 1 - Importação Direta</t>
        </is>
      </c>
    </row>
    <row r="680" ht="22" customHeight="1">
      <c r="A680" s="12" t="inlineStr">
        <is>
          <t>EMP-0676</t>
        </is>
      </c>
      <c r="B680" s="11" t="n">
        <v>579</v>
      </c>
      <c r="C680" s="13" t="inlineStr">
        <is>
          <t>SIPEAGRO (UF-XXXXX)</t>
        </is>
      </c>
      <c r="D680" s="14" t="inlineStr">
        <is>
          <t>ESTIMULUS EVO</t>
        </is>
      </c>
      <c r="E680" s="13" t="inlineStr">
        <is>
          <t>1. Titular do Registro / Produtor</t>
        </is>
      </c>
      <c r="F680" s="13" t="inlineStr">
        <is>
          <t>Fertilizante Mineral / Organomineral</t>
        </is>
      </c>
      <c r="G680" s="13" t="inlineStr">
        <is>
          <t>Estabelecimento Produtor SIPEAGRO/MAPA</t>
        </is>
      </c>
      <c r="H680" s="13" t="inlineStr">
        <is>
          <t>Matriz / Estabelecimento Principal</t>
        </is>
      </c>
      <c r="I680" s="13" t="inlineStr">
        <is>
          <t>CNPJ Credenciado MAPA/SIPEAGRO</t>
        </is>
      </c>
      <c r="J680" s="13" t="inlineStr">
        <is>
          <t>Registro Estadual Vigente</t>
        </is>
      </c>
      <c r="K680" s="13" t="inlineStr">
        <is>
          <t>Estabelecimento Credenciado no Brasil</t>
        </is>
      </c>
      <c r="L680" s="13" t="inlineStr">
        <is>
          <t>Brasil</t>
        </is>
      </c>
      <c r="M680" s="13" t="inlineStr">
        <is>
          <t>0 - Nacional / 1 - Importação Direta</t>
        </is>
      </c>
    </row>
    <row r="681" ht="22" customHeight="1">
      <c r="A681" s="6" t="inlineStr">
        <is>
          <t>EMP-0677</t>
        </is>
      </c>
      <c r="B681" s="5" t="n">
        <v>580</v>
      </c>
      <c r="C681" s="7" t="inlineStr">
        <is>
          <t>Nº 1209</t>
        </is>
      </c>
      <c r="D681" s="8" t="inlineStr">
        <is>
          <t>STANDAK TOP</t>
        </is>
      </c>
      <c r="E681" s="7" t="inlineStr">
        <is>
          <t>1. Titular do Registro / Produtor</t>
        </is>
      </c>
      <c r="F681" s="7" t="inlineStr">
        <is>
          <t>Produto Formulado Comercial</t>
        </is>
      </c>
      <c r="G681" s="7" t="inlineStr">
        <is>
          <t>BASF S.A.</t>
        </is>
      </c>
      <c r="H681" s="7" t="inlineStr">
        <is>
          <t>Matriz / Estabelecimento Principal</t>
        </is>
      </c>
      <c r="I681" s="7" t="inlineStr">
        <is>
          <t>CNPJ Credenciado MAPA/SIPEAGRO</t>
        </is>
      </c>
      <c r="J681" s="7" t="inlineStr">
        <is>
          <t>Registro Estadual Vigente</t>
        </is>
      </c>
      <c r="K681" s="7" t="inlineStr">
        <is>
          <t>Estabelecimento Credenciado no Brasil</t>
        </is>
      </c>
      <c r="L681" s="7" t="inlineStr">
        <is>
          <t>Brasil</t>
        </is>
      </c>
      <c r="M681" s="7" t="inlineStr">
        <is>
          <t>0 - Nacional / 1 - Importação Direta</t>
        </is>
      </c>
    </row>
    <row r="682" ht="22" customHeight="1">
      <c r="A682" s="12" t="inlineStr">
        <is>
          <t>EMP-0678</t>
        </is>
      </c>
      <c r="B682" s="11" t="n">
        <v>581</v>
      </c>
      <c r="C682" s="13" t="inlineStr">
        <is>
          <t>SIPEAGRO (UF-XXXXX)</t>
        </is>
      </c>
      <c r="D682" s="14" t="inlineStr">
        <is>
          <t>ESTIMULUS GRASS</t>
        </is>
      </c>
      <c r="E682" s="13" t="inlineStr">
        <is>
          <t>1. Titular do Registro / Produtor</t>
        </is>
      </c>
      <c r="F682" s="13" t="inlineStr">
        <is>
          <t>Fertilizante Mineral / Organomineral</t>
        </is>
      </c>
      <c r="G682" s="13" t="inlineStr">
        <is>
          <t>Estabelecimento Produtor SIPEAGRO/MAPA</t>
        </is>
      </c>
      <c r="H682" s="13" t="inlineStr">
        <is>
          <t>Matriz / Estabelecimento Principal</t>
        </is>
      </c>
      <c r="I682" s="13" t="inlineStr">
        <is>
          <t>CNPJ Credenciado MAPA/SIPEAGRO</t>
        </is>
      </c>
      <c r="J682" s="13" t="inlineStr">
        <is>
          <t>Registro Estadual Vigente</t>
        </is>
      </c>
      <c r="K682" s="13" t="inlineStr">
        <is>
          <t>Estabelecimento Credenciado no Brasil</t>
        </is>
      </c>
      <c r="L682" s="13" t="inlineStr">
        <is>
          <t>Brasil</t>
        </is>
      </c>
      <c r="M682" s="13" t="inlineStr">
        <is>
          <t>0 - Nacional / 1 - Importação Direta</t>
        </is>
      </c>
    </row>
    <row r="683" ht="22" customHeight="1">
      <c r="A683" s="6" t="inlineStr">
        <is>
          <t>EMP-0679</t>
        </is>
      </c>
      <c r="B683" s="5" t="n">
        <v>582</v>
      </c>
      <c r="C683" s="7" t="inlineStr">
        <is>
          <t>Nº 24518</t>
        </is>
      </c>
      <c r="D683" s="8" t="inlineStr">
        <is>
          <t>KENNOX</t>
        </is>
      </c>
      <c r="E683" s="7" t="inlineStr">
        <is>
          <t>1. Titular do Registro / Produtor</t>
        </is>
      </c>
      <c r="F683" s="7" t="inlineStr">
        <is>
          <t>Produto Formulado Comercial</t>
        </is>
      </c>
      <c r="G683" s="7" t="inlineStr">
        <is>
          <t>ADAMA BRASIL S/A</t>
        </is>
      </c>
      <c r="H683" s="7" t="inlineStr">
        <is>
          <t>Matriz / Estabelecimento Principal</t>
        </is>
      </c>
      <c r="I683" s="7" t="inlineStr">
        <is>
          <t>CNPJ Credenciado MAPA/SIPEAGRO</t>
        </is>
      </c>
      <c r="J683" s="7" t="inlineStr">
        <is>
          <t>Registro Estadual Vigente</t>
        </is>
      </c>
      <c r="K683" s="7" t="inlineStr">
        <is>
          <t>Estabelecimento Credenciado no Brasil</t>
        </is>
      </c>
      <c r="L683" s="7" t="inlineStr">
        <is>
          <t>Brasil</t>
        </is>
      </c>
      <c r="M683" s="7" t="inlineStr">
        <is>
          <t>0 - Nacional / 1 - Importação Direta</t>
        </is>
      </c>
    </row>
    <row r="684" ht="22" customHeight="1">
      <c r="A684" s="12" t="inlineStr">
        <is>
          <t>EMP-0680</t>
        </is>
      </c>
      <c r="B684" s="11" t="n">
        <v>583</v>
      </c>
      <c r="C684" s="13" t="inlineStr">
        <is>
          <t>Nº 12320</t>
        </is>
      </c>
      <c r="D684" s="14" t="inlineStr">
        <is>
          <t>AVEO EZ 0,500L</t>
        </is>
      </c>
      <c r="E684" s="13" t="inlineStr">
        <is>
          <t>1. Titular do Registro / Produtor</t>
        </is>
      </c>
      <c r="F684" s="13" t="inlineStr">
        <is>
          <t>Produto Formulado Comercial</t>
        </is>
      </c>
      <c r="G684" s="13" t="inlineStr">
        <is>
          <t>SUMITOMO CHEMICAL BRASIL INDUSTRIA QUIMICA S.A.</t>
        </is>
      </c>
      <c r="H684" s="13" t="inlineStr">
        <is>
          <t>Matriz / Estabelecimento Principal</t>
        </is>
      </c>
      <c r="I684" s="13" t="inlineStr">
        <is>
          <t>CNPJ Credenciado MAPA/SIPEAGRO</t>
        </is>
      </c>
      <c r="J684" s="13" t="inlineStr">
        <is>
          <t>Registro Estadual Vigente</t>
        </is>
      </c>
      <c r="K684" s="13" t="inlineStr">
        <is>
          <t>Estabelecimento Credenciado no Brasil</t>
        </is>
      </c>
      <c r="L684" s="13" t="inlineStr">
        <is>
          <t>Brasil</t>
        </is>
      </c>
      <c r="M684" s="13" t="inlineStr">
        <is>
          <t>0 - Nacional / 1 - Importação Direta</t>
        </is>
      </c>
    </row>
    <row r="685" ht="22" customHeight="1">
      <c r="A685" s="6" t="inlineStr">
        <is>
          <t>EMP-0681</t>
        </is>
      </c>
      <c r="B685" s="5" t="n">
        <v>584</v>
      </c>
      <c r="C685" s="7" t="inlineStr">
        <is>
          <t>Nº 10598</t>
        </is>
      </c>
      <c r="D685" s="8" t="inlineStr">
        <is>
          <t>PIREPHOS EC</t>
        </is>
      </c>
      <c r="E685" s="7" t="inlineStr">
        <is>
          <t>1. Titular do Registro / Produtor</t>
        </is>
      </c>
      <c r="F685" s="7" t="inlineStr">
        <is>
          <t>Produto Formulado Comercial</t>
        </is>
      </c>
      <c r="G685" s="7" t="inlineStr">
        <is>
          <t>SUMITOMO CHEMICAL DO BRASIL REPRESENTAÇÕES LTDA.</t>
        </is>
      </c>
      <c r="H685" s="7" t="inlineStr">
        <is>
          <t>Matriz / Estabelecimento Principal</t>
        </is>
      </c>
      <c r="I685" s="7" t="inlineStr">
        <is>
          <t>CNPJ Credenciado MAPA/SIPEAGRO</t>
        </is>
      </c>
      <c r="J685" s="7" t="inlineStr">
        <is>
          <t>Registro Estadual Vigente</t>
        </is>
      </c>
      <c r="K685" s="7" t="inlineStr">
        <is>
          <t>Estabelecimento Credenciado no Brasil</t>
        </is>
      </c>
      <c r="L685" s="7" t="inlineStr">
        <is>
          <t>Brasil</t>
        </is>
      </c>
      <c r="M685" s="7" t="inlineStr">
        <is>
          <t>0 - Nacional / 1 - Importação Direta</t>
        </is>
      </c>
    </row>
    <row r="686" ht="22" customHeight="1">
      <c r="A686" s="12" t="inlineStr">
        <is>
          <t>EMP-0682</t>
        </is>
      </c>
      <c r="B686" s="11" t="n">
        <v>585</v>
      </c>
      <c r="C686" s="13" t="inlineStr">
        <is>
          <t>Nº 11216</t>
        </is>
      </c>
      <c r="D686" s="14" t="inlineStr">
        <is>
          <t>ATIVUM (TM) EC</t>
        </is>
      </c>
      <c r="E686" s="13" t="inlineStr">
        <is>
          <t>1. Titular do Registro / Produtor</t>
        </is>
      </c>
      <c r="F686" s="13" t="inlineStr">
        <is>
          <t>Produto Formulado Comercial</t>
        </is>
      </c>
      <c r="G686" s="13" t="inlineStr">
        <is>
          <t>BASF AGRICULTURAL SOLUTIONS BRASIL LTDA</t>
        </is>
      </c>
      <c r="H686" s="13" t="inlineStr">
        <is>
          <t>Matriz / Estabelecimento Principal</t>
        </is>
      </c>
      <c r="I686" s="13" t="inlineStr">
        <is>
          <t>CNPJ Credenciado MAPA/SIPEAGRO</t>
        </is>
      </c>
      <c r="J686" s="13" t="inlineStr">
        <is>
          <t>Registro Estadual Vigente</t>
        </is>
      </c>
      <c r="K686" s="13" t="inlineStr">
        <is>
          <t>Estabelecimento Credenciado no Brasil</t>
        </is>
      </c>
      <c r="L686" s="13" t="inlineStr">
        <is>
          <t>Brasil</t>
        </is>
      </c>
      <c r="M686" s="13" t="inlineStr">
        <is>
          <t>0 - Nacional / 1 - Importação Direta</t>
        </is>
      </c>
    </row>
    <row r="687" ht="22" customHeight="1">
      <c r="A687" s="6" t="inlineStr">
        <is>
          <t>EMP-0683</t>
        </is>
      </c>
      <c r="B687" s="5" t="n">
        <v>586</v>
      </c>
      <c r="C687" s="7" t="inlineStr">
        <is>
          <t>Nº 9519</t>
        </is>
      </c>
      <c r="D687" s="8" t="inlineStr">
        <is>
          <t>ATRAZINA CCAB</t>
        </is>
      </c>
      <c r="E687" s="7" t="inlineStr">
        <is>
          <t>1. Titular do Registro / Produtor</t>
        </is>
      </c>
      <c r="F687" s="7" t="inlineStr">
        <is>
          <t>Produto Formulado Comercial</t>
        </is>
      </c>
      <c r="G687" s="7" t="inlineStr">
        <is>
          <t>CCAB AGRO S.A</t>
        </is>
      </c>
      <c r="H687" s="7" t="inlineStr">
        <is>
          <t>Matriz / Estabelecimento Principal</t>
        </is>
      </c>
      <c r="I687" s="7" t="inlineStr">
        <is>
          <t>CNPJ Credenciado MAPA/SIPEAGRO</t>
        </is>
      </c>
      <c r="J687" s="7" t="inlineStr">
        <is>
          <t>Registro Estadual Vigente</t>
        </is>
      </c>
      <c r="K687" s="7" t="inlineStr">
        <is>
          <t>Estabelecimento Credenciado no Brasil</t>
        </is>
      </c>
      <c r="L687" s="7" t="inlineStr">
        <is>
          <t>Brasil</t>
        </is>
      </c>
      <c r="M687" s="7" t="inlineStr">
        <is>
          <t>0 - Nacional / 1 - Importação Direta</t>
        </is>
      </c>
    </row>
    <row r="688" ht="22" customHeight="1">
      <c r="A688" s="12" t="inlineStr">
        <is>
          <t>EMP-0684</t>
        </is>
      </c>
      <c r="B688" s="11" t="n">
        <v>587</v>
      </c>
      <c r="C688" s="13" t="inlineStr">
        <is>
          <t>Nº 0816</t>
        </is>
      </c>
      <c r="D688" s="14" t="inlineStr">
        <is>
          <t>RACIO</t>
        </is>
      </c>
      <c r="E688" s="13" t="inlineStr">
        <is>
          <t>1. Titular do Registro</t>
        </is>
      </c>
      <c r="F688" s="13" t="inlineStr">
        <is>
          <t>Produto Formulado Comercial</t>
        </is>
      </c>
      <c r="G688" s="13" t="inlineStr">
        <is>
          <t>Rainbow</t>
        </is>
      </c>
      <c r="H688" s="13" t="inlineStr">
        <is>
          <t>Estabelecimento Credenciado</t>
        </is>
      </c>
      <c r="I688" s="13" t="inlineStr">
        <is>
          <t>CNPJ Credenciado MAPA</t>
        </is>
      </c>
      <c r="J688" s="13" t="inlineStr">
        <is>
          <t>Registro Estadual Vigente</t>
        </is>
      </c>
      <c r="K688" s="13" t="inlineStr">
        <is>
          <t>Unidade Operacional Brasil</t>
        </is>
      </c>
      <c r="L688" s="13" t="inlineStr">
        <is>
          <t>Brasil</t>
        </is>
      </c>
      <c r="M688" s="13" t="inlineStr">
        <is>
          <t>0/1/2 - Conforme Origem do Lote</t>
        </is>
      </c>
    </row>
    <row r="689" ht="22" customHeight="1">
      <c r="A689" s="6" t="inlineStr">
        <is>
          <t>EMP-0685</t>
        </is>
      </c>
      <c r="B689" s="5" t="n">
        <v>587</v>
      </c>
      <c r="C689" s="7" t="inlineStr">
        <is>
          <t>Nº 0816</t>
        </is>
      </c>
      <c r="D689" s="8" t="inlineStr">
        <is>
          <t>RACIO</t>
        </is>
      </c>
      <c r="E689" s="7" t="inlineStr">
        <is>
          <t>3. Formulador / Co-Distribuidor Autorizado</t>
        </is>
      </c>
      <c r="F689" s="7" t="inlineStr">
        <is>
          <t>Produto Formulado Comercial</t>
        </is>
      </c>
      <c r="G689" s="7" t="inlineStr">
        <is>
          <t>Perterra</t>
        </is>
      </c>
      <c r="H689" s="7" t="inlineStr">
        <is>
          <t>Estabelecimento Credenciado</t>
        </is>
      </c>
      <c r="I689" s="7" t="inlineStr">
        <is>
          <t>CNPJ Credenciado MAPA</t>
        </is>
      </c>
      <c r="J689" s="7" t="inlineStr">
        <is>
          <t>Registro Estadual Vigente</t>
        </is>
      </c>
      <c r="K689" s="7" t="inlineStr">
        <is>
          <t>Unidade Operacional Brasil</t>
        </is>
      </c>
      <c r="L689" s="7" t="inlineStr">
        <is>
          <t>Brasil</t>
        </is>
      </c>
      <c r="M689" s="7" t="inlineStr">
        <is>
          <t>0/1/2 - Conforme Origem do Lote</t>
        </is>
      </c>
    </row>
    <row r="690" ht="22" customHeight="1">
      <c r="A690" s="12" t="inlineStr">
        <is>
          <t>EMP-0686</t>
        </is>
      </c>
      <c r="B690" s="11" t="n">
        <v>588</v>
      </c>
      <c r="C690" s="13" t="inlineStr">
        <is>
          <t>SIPEAGRO (UF-XXXXX)</t>
        </is>
      </c>
      <c r="D690" s="14" t="inlineStr">
        <is>
          <t>ESTIMULUS ROOT +</t>
        </is>
      </c>
      <c r="E690" s="13" t="inlineStr">
        <is>
          <t>1. Titular do Registro / Produtor</t>
        </is>
      </c>
      <c r="F690" s="13" t="inlineStr">
        <is>
          <t>Fertilizante Mineral / Organomineral</t>
        </is>
      </c>
      <c r="G690" s="13" t="inlineStr">
        <is>
          <t>Estabelecimento Produtor SIPEAGRO/MAPA</t>
        </is>
      </c>
      <c r="H690" s="13" t="inlineStr">
        <is>
          <t>Matriz / Estabelecimento Principal</t>
        </is>
      </c>
      <c r="I690" s="13" t="inlineStr">
        <is>
          <t>CNPJ Credenciado MAPA/SIPEAGRO</t>
        </is>
      </c>
      <c r="J690" s="13" t="inlineStr">
        <is>
          <t>Registro Estadual Vigente</t>
        </is>
      </c>
      <c r="K690" s="13" t="inlineStr">
        <is>
          <t>Estabelecimento Credenciado no Brasil</t>
        </is>
      </c>
      <c r="L690" s="13" t="inlineStr">
        <is>
          <t>Brasil</t>
        </is>
      </c>
      <c r="M690" s="13" t="inlineStr">
        <is>
          <t>0 - Nacional / 1 - Importação Direta</t>
        </is>
      </c>
    </row>
    <row r="691" ht="22" customHeight="1">
      <c r="A691" s="6" t="inlineStr">
        <is>
          <t>EMP-0687</t>
        </is>
      </c>
      <c r="B691" s="5" t="n">
        <v>589</v>
      </c>
      <c r="C691" s="7" t="inlineStr">
        <is>
          <t>Nº 23419</t>
        </is>
      </c>
      <c r="D691" s="8" t="inlineStr">
        <is>
          <t>SAFENITH</t>
        </is>
      </c>
      <c r="E691" s="7" t="inlineStr">
        <is>
          <t>1. Titular do Registro / Produtor</t>
        </is>
      </c>
      <c r="F691" s="7" t="inlineStr">
        <is>
          <t>Produto Formulado Comercial</t>
        </is>
      </c>
      <c r="G691" s="7" t="inlineStr">
        <is>
          <t>RAINBOW DEFENSIVOS AGRÍCOLAS LTDA.</t>
        </is>
      </c>
      <c r="H691" s="7" t="inlineStr">
        <is>
          <t>Matriz / Estabelecimento Principal</t>
        </is>
      </c>
      <c r="I691" s="7" t="inlineStr">
        <is>
          <t>CNPJ Credenciado MAPA/SIPEAGRO</t>
        </is>
      </c>
      <c r="J691" s="7" t="inlineStr">
        <is>
          <t>Registro Estadual Vigente</t>
        </is>
      </c>
      <c r="K691" s="7" t="inlineStr">
        <is>
          <t>Estabelecimento Credenciado no Brasil</t>
        </is>
      </c>
      <c r="L691" s="7" t="inlineStr">
        <is>
          <t>Brasil</t>
        </is>
      </c>
      <c r="M691" s="7" t="inlineStr">
        <is>
          <t>0 - Nacional / 1 - Importação Direta</t>
        </is>
      </c>
    </row>
    <row r="692" ht="22" customHeight="1">
      <c r="A692" s="12" t="inlineStr">
        <is>
          <t>EMP-0688</t>
        </is>
      </c>
      <c r="B692" s="11" t="n">
        <v>590</v>
      </c>
      <c r="C692" s="13" t="inlineStr">
        <is>
          <t>Nº 5615</t>
        </is>
      </c>
      <c r="D692" s="14" t="inlineStr">
        <is>
          <t>PREVINIL</t>
        </is>
      </c>
      <c r="E692" s="13" t="inlineStr">
        <is>
          <t>1. Titular do Registro / Produtor</t>
        </is>
      </c>
      <c r="F692" s="13" t="inlineStr">
        <is>
          <t>Produto Formulado Comercial</t>
        </is>
      </c>
      <c r="G692" s="13" t="inlineStr">
        <is>
          <t>Helm do Brasil</t>
        </is>
      </c>
      <c r="H692" s="13" t="inlineStr">
        <is>
          <t>Matriz / Estabelecimento Principal</t>
        </is>
      </c>
      <c r="I692" s="13" t="inlineStr">
        <is>
          <t>CNPJ Credenciado MAPA/SIPEAGRO</t>
        </is>
      </c>
      <c r="J692" s="13" t="inlineStr">
        <is>
          <t>Registro Estadual Vigente</t>
        </is>
      </c>
      <c r="K692" s="13" t="inlineStr">
        <is>
          <t>Estabelecimento Credenciado no Brasil</t>
        </is>
      </c>
      <c r="L692" s="13" t="inlineStr">
        <is>
          <t>Brasil</t>
        </is>
      </c>
      <c r="M692" s="13" t="inlineStr">
        <is>
          <t>0 - Nacional / 1 - Importação Direta</t>
        </is>
      </c>
    </row>
    <row r="693" ht="22" customHeight="1">
      <c r="A693" s="6" t="inlineStr">
        <is>
          <t>EMP-0689</t>
        </is>
      </c>
      <c r="B693" s="5" t="n">
        <v>591</v>
      </c>
      <c r="C693" s="7" t="inlineStr">
        <is>
          <t>Nº 14617</t>
        </is>
      </c>
      <c r="D693" s="8" t="inlineStr">
        <is>
          <t>SPERTO - UPL 138 FP BR</t>
        </is>
      </c>
      <c r="E693" s="7" t="inlineStr">
        <is>
          <t>1. Titular do Registro / Produtor</t>
        </is>
      </c>
      <c r="F693" s="7" t="inlineStr">
        <is>
          <t>Produto Formulado Comercial</t>
        </is>
      </c>
      <c r="G693" s="7" t="inlineStr">
        <is>
          <t>UPL DO BRASIL INDÚSTRIA E COMÉRCIO DE INSUMOS AGROPECUÁRIOS S.A.</t>
        </is>
      </c>
      <c r="H693" s="7" t="inlineStr">
        <is>
          <t>Matriz / Estabelecimento Principal</t>
        </is>
      </c>
      <c r="I693" s="7" t="inlineStr">
        <is>
          <t>CNPJ Credenciado MAPA/SIPEAGRO</t>
        </is>
      </c>
      <c r="J693" s="7" t="inlineStr">
        <is>
          <t>Registro Estadual Vigente</t>
        </is>
      </c>
      <c r="K693" s="7" t="inlineStr">
        <is>
          <t>Estabelecimento Credenciado no Brasil</t>
        </is>
      </c>
      <c r="L693" s="7" t="inlineStr">
        <is>
          <t>Brasil</t>
        </is>
      </c>
      <c r="M693" s="7" t="inlineStr">
        <is>
          <t>0 - Nacional / 1 - Importação Direta</t>
        </is>
      </c>
    </row>
    <row r="694" ht="22" customHeight="1">
      <c r="A694" s="12" t="inlineStr">
        <is>
          <t>EMP-0690</t>
        </is>
      </c>
      <c r="B694" s="11" t="n">
        <v>592</v>
      </c>
      <c r="C694" s="13" t="inlineStr">
        <is>
          <t>SIPEAGRO (UF-XXXXX)</t>
        </is>
      </c>
      <c r="D694" s="14" t="inlineStr">
        <is>
          <t>NITROBASE 30</t>
        </is>
      </c>
      <c r="E694" s="13" t="inlineStr">
        <is>
          <t>1. Titular do Registro / Produtor</t>
        </is>
      </c>
      <c r="F694" s="13" t="inlineStr">
        <is>
          <t>Fertilizante Mineral / Organomineral</t>
        </is>
      </c>
      <c r="G694" s="13" t="inlineStr">
        <is>
          <t>Estabelecimento Produtor SIPEAGRO/MAPA</t>
        </is>
      </c>
      <c r="H694" s="13" t="inlineStr">
        <is>
          <t>Matriz / Estabelecimento Principal</t>
        </is>
      </c>
      <c r="I694" s="13" t="inlineStr">
        <is>
          <t>CNPJ Credenciado MAPA/SIPEAGRO</t>
        </is>
      </c>
      <c r="J694" s="13" t="inlineStr">
        <is>
          <t>Registro Estadual Vigente</t>
        </is>
      </c>
      <c r="K694" s="13" t="inlineStr">
        <is>
          <t>Estabelecimento Credenciado no Brasil</t>
        </is>
      </c>
      <c r="L694" s="13" t="inlineStr">
        <is>
          <t>Brasil</t>
        </is>
      </c>
      <c r="M694" s="13" t="inlineStr">
        <is>
          <t>0 - Nacional / 1 - Importação Direta</t>
        </is>
      </c>
    </row>
    <row r="695" ht="22" customHeight="1">
      <c r="A695" s="6" t="inlineStr">
        <is>
          <t>EMP-0691</t>
        </is>
      </c>
      <c r="B695" s="5" t="n">
        <v>593</v>
      </c>
      <c r="C695" s="7" t="inlineStr">
        <is>
          <t>Nº 18817</t>
        </is>
      </c>
      <c r="D695" s="8" t="inlineStr">
        <is>
          <t>VERISMO</t>
        </is>
      </c>
      <c r="E695" s="7" t="inlineStr">
        <is>
          <t>1. Titular do Registro / Produtor</t>
        </is>
      </c>
      <c r="F695" s="7" t="inlineStr">
        <is>
          <t>Produto Formulado Comercial</t>
        </is>
      </c>
      <c r="G695" s="7" t="inlineStr">
        <is>
          <t>BASF S.A.</t>
        </is>
      </c>
      <c r="H695" s="7" t="inlineStr">
        <is>
          <t>Matriz / Estabelecimento Principal</t>
        </is>
      </c>
      <c r="I695" s="7" t="inlineStr">
        <is>
          <t>CNPJ Credenciado MAPA/SIPEAGRO</t>
        </is>
      </c>
      <c r="J695" s="7" t="inlineStr">
        <is>
          <t>Registro Estadual Vigente</t>
        </is>
      </c>
      <c r="K695" s="7" t="inlineStr">
        <is>
          <t>Estabelecimento Credenciado no Brasil</t>
        </is>
      </c>
      <c r="L695" s="7" t="inlineStr">
        <is>
          <t>Brasil</t>
        </is>
      </c>
      <c r="M695" s="7" t="inlineStr">
        <is>
          <t>0 - Nacional / 1 - Importação Direta</t>
        </is>
      </c>
    </row>
    <row r="696" ht="22" customHeight="1">
      <c r="A696" s="12" t="inlineStr">
        <is>
          <t>EMP-0692</t>
        </is>
      </c>
      <c r="B696" s="11" t="n">
        <v>594</v>
      </c>
      <c r="C696" s="13" t="inlineStr">
        <is>
          <t>SIPEAGRO (UF-XXXXX)</t>
        </is>
      </c>
      <c r="D696" s="14" t="inlineStr">
        <is>
          <t>INOCULANTE GRAP NOD AL 1,5L</t>
        </is>
      </c>
      <c r="E696" s="13" t="inlineStr">
        <is>
          <t>1. Titular do Registro / Produtor</t>
        </is>
      </c>
      <c r="F696" s="13" t="inlineStr">
        <is>
          <t>Inoculante / Biológico</t>
        </is>
      </c>
      <c r="G696" s="13" t="inlineStr">
        <is>
          <t>Estabelecimento Produtor SIPEAGRO/MAPA</t>
        </is>
      </c>
      <c r="H696" s="13" t="inlineStr">
        <is>
          <t>Matriz / Estabelecimento Principal</t>
        </is>
      </c>
      <c r="I696" s="13" t="inlineStr">
        <is>
          <t>CNPJ Credenciado MAPA/SIPEAGRO</t>
        </is>
      </c>
      <c r="J696" s="13" t="inlineStr">
        <is>
          <t>Registro Estadual Vigente</t>
        </is>
      </c>
      <c r="K696" s="13" t="inlineStr">
        <is>
          <t>Estabelecimento Credenciado no Brasil</t>
        </is>
      </c>
      <c r="L696" s="13" t="inlineStr">
        <is>
          <t>Brasil</t>
        </is>
      </c>
      <c r="M696" s="13" t="inlineStr">
        <is>
          <t>0 - Nacional / 1 - Importação Direta</t>
        </is>
      </c>
    </row>
    <row r="697" ht="22" customHeight="1">
      <c r="A697" s="6" t="inlineStr">
        <is>
          <t>EMP-0693</t>
        </is>
      </c>
      <c r="B697" s="5" t="n">
        <v>595</v>
      </c>
      <c r="C697" s="7" t="inlineStr">
        <is>
          <t>Nº 0322</t>
        </is>
      </c>
      <c r="D697" s="8" t="inlineStr">
        <is>
          <t>DORAI MAX</t>
        </is>
      </c>
      <c r="E697" s="7" t="inlineStr">
        <is>
          <t>1. Titular do Registro</t>
        </is>
      </c>
      <c r="F697" s="7" t="inlineStr">
        <is>
          <t>Produto Formulado Comercial</t>
        </is>
      </c>
      <c r="G697" s="7" t="inlineStr">
        <is>
          <t>Rainbow</t>
        </is>
      </c>
      <c r="H697" s="7" t="inlineStr">
        <is>
          <t>Estabelecimento Credenciado</t>
        </is>
      </c>
      <c r="I697" s="7" t="inlineStr">
        <is>
          <t>CNPJ Credenciado MAPA</t>
        </is>
      </c>
      <c r="J697" s="7" t="inlineStr">
        <is>
          <t>Registro Estadual Vigente</t>
        </is>
      </c>
      <c r="K697" s="7" t="inlineStr">
        <is>
          <t>Unidade Operacional Brasil</t>
        </is>
      </c>
      <c r="L697" s="7" t="inlineStr">
        <is>
          <t>Brasil</t>
        </is>
      </c>
      <c r="M697" s="7" t="inlineStr">
        <is>
          <t>0/1/2 - Conforme Origem do Lote</t>
        </is>
      </c>
    </row>
    <row r="698" ht="22" customHeight="1">
      <c r="A698" s="12" t="inlineStr">
        <is>
          <t>EMP-0694</t>
        </is>
      </c>
      <c r="B698" s="11" t="n">
        <v>595</v>
      </c>
      <c r="C698" s="13" t="inlineStr">
        <is>
          <t>Nº 0322</t>
        </is>
      </c>
      <c r="D698" s="14" t="inlineStr">
        <is>
          <t>DORAI MAX</t>
        </is>
      </c>
      <c r="E698" s="13" t="inlineStr">
        <is>
          <t>3. Formulador / Co-Distribuidor Autorizado</t>
        </is>
      </c>
      <c r="F698" s="13" t="inlineStr">
        <is>
          <t>Produto Formulado Comercial</t>
        </is>
      </c>
      <c r="G698" s="13" t="inlineStr">
        <is>
          <t>Sino-Agri</t>
        </is>
      </c>
      <c r="H698" s="13" t="inlineStr">
        <is>
          <t>Estabelecimento Credenciado</t>
        </is>
      </c>
      <c r="I698" s="13" t="inlineStr">
        <is>
          <t>CNPJ Credenciado MAPA</t>
        </is>
      </c>
      <c r="J698" s="13" t="inlineStr">
        <is>
          <t>Registro Estadual Vigente</t>
        </is>
      </c>
      <c r="K698" s="13" t="inlineStr">
        <is>
          <t>Unidade Operacional Brasil</t>
        </is>
      </c>
      <c r="L698" s="13" t="inlineStr">
        <is>
          <t>Brasil</t>
        </is>
      </c>
      <c r="M698" s="13" t="inlineStr">
        <is>
          <t>0/1/2 - Conforme Origem do Lote</t>
        </is>
      </c>
    </row>
    <row r="699" ht="22" customHeight="1">
      <c r="A699" s="6" t="inlineStr">
        <is>
          <t>EMP-0695</t>
        </is>
      </c>
      <c r="B699" s="5" t="n">
        <v>596</v>
      </c>
      <c r="C699" s="7" t="inlineStr">
        <is>
          <t>Nº 1192</t>
        </is>
      </c>
      <c r="D699" s="8" t="inlineStr">
        <is>
          <t>BULLDOCK</t>
        </is>
      </c>
      <c r="E699" s="7" t="inlineStr">
        <is>
          <t>1. Titular do Registro</t>
        </is>
      </c>
      <c r="F699" s="7" t="inlineStr">
        <is>
          <t>Produto Formulado Comercial</t>
        </is>
      </c>
      <c r="G699" s="7" t="inlineStr">
        <is>
          <t>Bayer</t>
        </is>
      </c>
      <c r="H699" s="7" t="inlineStr">
        <is>
          <t>Estabelecimento Credenciado</t>
        </is>
      </c>
      <c r="I699" s="7" t="inlineStr">
        <is>
          <t>CNPJ Credenciado MAPA</t>
        </is>
      </c>
      <c r="J699" s="7" t="inlineStr">
        <is>
          <t>Registro Estadual Vigente</t>
        </is>
      </c>
      <c r="K699" s="7" t="inlineStr">
        <is>
          <t>Unidade Operacional Brasil</t>
        </is>
      </c>
      <c r="L699" s="7" t="inlineStr">
        <is>
          <t>Brasil</t>
        </is>
      </c>
      <c r="M699" s="7" t="inlineStr">
        <is>
          <t>0/1/2 - Conforme Origem do Lote</t>
        </is>
      </c>
    </row>
    <row r="700" ht="22" customHeight="1">
      <c r="A700" s="12" t="inlineStr">
        <is>
          <t>EMP-0696</t>
        </is>
      </c>
      <c r="B700" s="11" t="n">
        <v>596</v>
      </c>
      <c r="C700" s="13" t="inlineStr">
        <is>
          <t>Nº 1192</t>
        </is>
      </c>
      <c r="D700" s="14" t="inlineStr">
        <is>
          <t>BULLDOCK</t>
        </is>
      </c>
      <c r="E700" s="13" t="inlineStr">
        <is>
          <t>3. Formulador / Co-Distribuidor Autorizado</t>
        </is>
      </c>
      <c r="F700" s="13" t="inlineStr">
        <is>
          <t>Produto Formulado Comercial</t>
        </is>
      </c>
      <c r="G700" s="13" t="inlineStr">
        <is>
          <t>Adama</t>
        </is>
      </c>
      <c r="H700" s="13" t="inlineStr">
        <is>
          <t>Estabelecimento Credenciado</t>
        </is>
      </c>
      <c r="I700" s="13" t="inlineStr">
        <is>
          <t>CNPJ Credenciado MAPA</t>
        </is>
      </c>
      <c r="J700" s="13" t="inlineStr">
        <is>
          <t>Registro Estadual Vigente</t>
        </is>
      </c>
      <c r="K700" s="13" t="inlineStr">
        <is>
          <t>Unidade Operacional Brasil</t>
        </is>
      </c>
      <c r="L700" s="13" t="inlineStr">
        <is>
          <t>Brasil</t>
        </is>
      </c>
      <c r="M700" s="13" t="inlineStr">
        <is>
          <t>0/1/2 - Conforme Origem do Lote</t>
        </is>
      </c>
    </row>
    <row r="701" ht="22" customHeight="1">
      <c r="A701" s="6" t="inlineStr">
        <is>
          <t>EMP-0697</t>
        </is>
      </c>
      <c r="B701" s="5" t="n">
        <v>597</v>
      </c>
      <c r="C701" s="7" t="inlineStr">
        <is>
          <t>Nº 21720</t>
        </is>
      </c>
      <c r="D701" s="8" t="inlineStr">
        <is>
          <t>MEGATRAZ</t>
        </is>
      </c>
      <c r="E701" s="7" t="inlineStr">
        <is>
          <t>1. Titular do Registro / Produtor</t>
        </is>
      </c>
      <c r="F701" s="7" t="inlineStr">
        <is>
          <t>Produto Formulado Comercial</t>
        </is>
      </c>
      <c r="G701" s="7" t="inlineStr">
        <is>
          <t>ALBAUGH AGRO BRASIL LTDA.</t>
        </is>
      </c>
      <c r="H701" s="7" t="inlineStr">
        <is>
          <t>Matriz / Estabelecimento Principal</t>
        </is>
      </c>
      <c r="I701" s="7" t="inlineStr">
        <is>
          <t>CNPJ Credenciado MAPA/SIPEAGRO</t>
        </is>
      </c>
      <c r="J701" s="7" t="inlineStr">
        <is>
          <t>Registro Estadual Vigente</t>
        </is>
      </c>
      <c r="K701" s="7" t="inlineStr">
        <is>
          <t>Estabelecimento Credenciado no Brasil</t>
        </is>
      </c>
      <c r="L701" s="7" t="inlineStr">
        <is>
          <t>Brasil</t>
        </is>
      </c>
      <c r="M701" s="7" t="inlineStr">
        <is>
          <t>0 - Nacional / 1 - Importação Direta</t>
        </is>
      </c>
    </row>
    <row r="702" ht="22" customHeight="1">
      <c r="A702" s="12" t="inlineStr">
        <is>
          <t>EMP-0698</t>
        </is>
      </c>
      <c r="B702" s="11" t="n">
        <v>598</v>
      </c>
      <c r="C702" s="13" t="inlineStr">
        <is>
          <t>SIPEAGRO (UF-XXXXX)</t>
        </is>
      </c>
      <c r="D702" s="14" t="inlineStr">
        <is>
          <t>GRUN OBER</t>
        </is>
      </c>
      <c r="E702" s="13" t="inlineStr">
        <is>
          <t>1. Titular do Registro / Produtor</t>
        </is>
      </c>
      <c r="F702" s="13" t="inlineStr">
        <is>
          <t>Fertilizante Mineral / Organomineral</t>
        </is>
      </c>
      <c r="G702" s="13" t="inlineStr">
        <is>
          <t>Estabelecimento Produtor SIPEAGRO/MAPA</t>
        </is>
      </c>
      <c r="H702" s="13" t="inlineStr">
        <is>
          <t>Matriz / Estabelecimento Principal</t>
        </is>
      </c>
      <c r="I702" s="13" t="inlineStr">
        <is>
          <t>CNPJ Credenciado MAPA/SIPEAGRO</t>
        </is>
      </c>
      <c r="J702" s="13" t="inlineStr">
        <is>
          <t>Registro Estadual Vigente</t>
        </is>
      </c>
      <c r="K702" s="13" t="inlineStr">
        <is>
          <t>Estabelecimento Credenciado no Brasil</t>
        </is>
      </c>
      <c r="L702" s="13" t="inlineStr">
        <is>
          <t>Brasil</t>
        </is>
      </c>
      <c r="M702" s="13" t="inlineStr">
        <is>
          <t>0 - Nacional / 1 - Importação Direta</t>
        </is>
      </c>
    </row>
    <row r="703" ht="22" customHeight="1">
      <c r="A703" s="6" t="inlineStr">
        <is>
          <t>EMP-0699</t>
        </is>
      </c>
      <c r="B703" s="5" t="n">
        <v>599</v>
      </c>
      <c r="C703" s="7" t="inlineStr">
        <is>
          <t>Nº 8017</t>
        </is>
      </c>
      <c r="D703" s="8" t="inlineStr">
        <is>
          <t>BOLD</t>
        </is>
      </c>
      <c r="E703" s="7" t="inlineStr">
        <is>
          <t>1. Titular do Registro / Produtor</t>
        </is>
      </c>
      <c r="F703" s="7" t="inlineStr">
        <is>
          <t>Produto Formulado Comercial</t>
        </is>
      </c>
      <c r="G703" s="7" t="inlineStr">
        <is>
          <t>IHARABRAS S.A. INDUSTRIAS QUIMICA</t>
        </is>
      </c>
      <c r="H703" s="7" t="inlineStr">
        <is>
          <t>Matriz / Estabelecimento Principal</t>
        </is>
      </c>
      <c r="I703" s="7" t="inlineStr">
        <is>
          <t>CNPJ Credenciado MAPA/SIPEAGRO</t>
        </is>
      </c>
      <c r="J703" s="7" t="inlineStr">
        <is>
          <t>Registro Estadual Vigente</t>
        </is>
      </c>
      <c r="K703" s="7" t="inlineStr">
        <is>
          <t>Estabelecimento Credenciado no Brasil</t>
        </is>
      </c>
      <c r="L703" s="7" t="inlineStr">
        <is>
          <t>Brasil</t>
        </is>
      </c>
      <c r="M703" s="7" t="inlineStr">
        <is>
          <t>0 - Nacional / 1 - Importação Direta</t>
        </is>
      </c>
    </row>
    <row r="704" ht="22" customHeight="1">
      <c r="A704" s="12" t="inlineStr">
        <is>
          <t>EMP-0700</t>
        </is>
      </c>
      <c r="B704" s="11" t="n">
        <v>600</v>
      </c>
      <c r="C704" s="13" t="inlineStr">
        <is>
          <t>SIPEAGRO (UF-XXXXX)</t>
        </is>
      </c>
      <c r="D704" s="14" t="inlineStr">
        <is>
          <t>KALIUM</t>
        </is>
      </c>
      <c r="E704" s="13" t="inlineStr">
        <is>
          <t>1. Titular do Registro / Produtor</t>
        </is>
      </c>
      <c r="F704" s="13" t="inlineStr">
        <is>
          <t>Fertilizante Mineral / Organomineral</t>
        </is>
      </c>
      <c r="G704" s="13" t="inlineStr">
        <is>
          <t>Estabelecimento Produtor SIPEAGRO/MAPA</t>
        </is>
      </c>
      <c r="H704" s="13" t="inlineStr">
        <is>
          <t>Matriz / Estabelecimento Principal</t>
        </is>
      </c>
      <c r="I704" s="13" t="inlineStr">
        <is>
          <t>CNPJ Credenciado MAPA/SIPEAGRO</t>
        </is>
      </c>
      <c r="J704" s="13" t="inlineStr">
        <is>
          <t>Registro Estadual Vigente</t>
        </is>
      </c>
      <c r="K704" s="13" t="inlineStr">
        <is>
          <t>Estabelecimento Credenciado no Brasil</t>
        </is>
      </c>
      <c r="L704" s="13" t="inlineStr">
        <is>
          <t>Brasil</t>
        </is>
      </c>
      <c r="M704" s="13" t="inlineStr">
        <is>
          <t>0 - Nacional / 1 - Importação Direta</t>
        </is>
      </c>
    </row>
    <row r="705" ht="22" customHeight="1">
      <c r="A705" s="6" t="inlineStr">
        <is>
          <t>EMP-0701</t>
        </is>
      </c>
      <c r="B705" s="5" t="n">
        <v>601</v>
      </c>
      <c r="C705" s="7" t="inlineStr">
        <is>
          <t>Nº 26220</t>
        </is>
      </c>
      <c r="D705" s="8" t="inlineStr">
        <is>
          <t>VIVANTHA</t>
        </is>
      </c>
      <c r="E705" s="7" t="inlineStr">
        <is>
          <t>1. Titular do Registro / Produtor</t>
        </is>
      </c>
      <c r="F705" s="7" t="inlineStr">
        <is>
          <t>Produto Formulado Comercial</t>
        </is>
      </c>
      <c r="G705" s="7" t="inlineStr">
        <is>
          <t>SYNGENTA PROTEÇÃO DE CULTIVOS LTDA.</t>
        </is>
      </c>
      <c r="H705" s="7" t="inlineStr">
        <is>
          <t>Matriz / Estabelecimento Principal</t>
        </is>
      </c>
      <c r="I705" s="7" t="inlineStr">
        <is>
          <t>CNPJ Credenciado MAPA/SIPEAGRO</t>
        </is>
      </c>
      <c r="J705" s="7" t="inlineStr">
        <is>
          <t>Registro Estadual Vigente</t>
        </is>
      </c>
      <c r="K705" s="7" t="inlineStr">
        <is>
          <t>Estabelecimento Credenciado no Brasil</t>
        </is>
      </c>
      <c r="L705" s="7" t="inlineStr">
        <is>
          <t>Brasil</t>
        </is>
      </c>
      <c r="M705" s="7" t="inlineStr">
        <is>
          <t>0 - Nacional / 1 - Importação Direta</t>
        </is>
      </c>
    </row>
    <row r="706" ht="22" customHeight="1">
      <c r="A706" s="12" t="inlineStr">
        <is>
          <t>EMP-0702</t>
        </is>
      </c>
      <c r="B706" s="11" t="n">
        <v>602</v>
      </c>
      <c r="C706" s="13" t="inlineStr">
        <is>
          <t>SIPEAGRO (UF-XXXXX)</t>
        </is>
      </c>
      <c r="D706" s="14" t="inlineStr">
        <is>
          <t>MAP - FOSFATO MONOAMONICO CRISTAL</t>
        </is>
      </c>
      <c r="E706" s="13" t="inlineStr">
        <is>
          <t>1. Titular do Registro / Produtor</t>
        </is>
      </c>
      <c r="F706" s="13" t="inlineStr">
        <is>
          <t>Fertilizante Mineral / Organomineral</t>
        </is>
      </c>
      <c r="G706" s="13" t="inlineStr">
        <is>
          <t>Estabelecimento Produtor SIPEAGRO/MAPA</t>
        </is>
      </c>
      <c r="H706" s="13" t="inlineStr">
        <is>
          <t>Matriz / Estabelecimento Principal</t>
        </is>
      </c>
      <c r="I706" s="13" t="inlineStr">
        <is>
          <t>CNPJ Credenciado MAPA/SIPEAGRO</t>
        </is>
      </c>
      <c r="J706" s="13" t="inlineStr">
        <is>
          <t>Registro Estadual Vigente</t>
        </is>
      </c>
      <c r="K706" s="13" t="inlineStr">
        <is>
          <t>Estabelecimento Credenciado no Brasil</t>
        </is>
      </c>
      <c r="L706" s="13" t="inlineStr">
        <is>
          <t>Brasil</t>
        </is>
      </c>
      <c r="M706" s="13" t="inlineStr">
        <is>
          <t>0 - Nacional / 1 - Importação Direta</t>
        </is>
      </c>
    </row>
    <row r="707" ht="22" customHeight="1">
      <c r="A707" s="6" t="inlineStr">
        <is>
          <t>EMP-0703</t>
        </is>
      </c>
      <c r="B707" s="5" t="n">
        <v>603</v>
      </c>
      <c r="C707" s="7" t="inlineStr">
        <is>
          <t>Nº 2509</t>
        </is>
      </c>
      <c r="D707" s="8" t="inlineStr">
        <is>
          <t>BELT</t>
        </is>
      </c>
      <c r="E707" s="7" t="inlineStr">
        <is>
          <t>1. Titular do Registro / Produtor</t>
        </is>
      </c>
      <c r="F707" s="7" t="inlineStr">
        <is>
          <t>Produto Formulado Comercial</t>
        </is>
      </c>
      <c r="G707" s="7" t="inlineStr">
        <is>
          <t>Bayer S.A.</t>
        </is>
      </c>
      <c r="H707" s="7" t="inlineStr">
        <is>
          <t>Matriz / Estabelecimento Principal</t>
        </is>
      </c>
      <c r="I707" s="7" t="inlineStr">
        <is>
          <t>CNPJ Credenciado MAPA/SIPEAGRO</t>
        </is>
      </c>
      <c r="J707" s="7" t="inlineStr">
        <is>
          <t>Registro Estadual Vigente</t>
        </is>
      </c>
      <c r="K707" s="7" t="inlineStr">
        <is>
          <t>Estabelecimento Credenciado no Brasil</t>
        </is>
      </c>
      <c r="L707" s="7" t="inlineStr">
        <is>
          <t>Brasil</t>
        </is>
      </c>
      <c r="M707" s="7" t="inlineStr">
        <is>
          <t>0 - Nacional / 1 - Importação Direta</t>
        </is>
      </c>
    </row>
    <row r="708" ht="22" customHeight="1">
      <c r="A708" s="12" t="inlineStr">
        <is>
          <t>EMP-0704</t>
        </is>
      </c>
      <c r="B708" s="11" t="n">
        <v>604</v>
      </c>
      <c r="C708" s="13" t="inlineStr">
        <is>
          <t>SIPEAGRO (UF-XXXXX)</t>
        </is>
      </c>
      <c r="D708" s="14" t="inlineStr">
        <is>
          <t>BIOAZOS 1,5L</t>
        </is>
      </c>
      <c r="E708" s="13" t="inlineStr">
        <is>
          <t>1. Titular do Registro / Produtor</t>
        </is>
      </c>
      <c r="F708" s="13" t="inlineStr">
        <is>
          <t>Inoculante / Biológico</t>
        </is>
      </c>
      <c r="G708" s="13" t="inlineStr">
        <is>
          <t>Estabelecimento Produtor SIPEAGRO/MAPA</t>
        </is>
      </c>
      <c r="H708" s="13" t="inlineStr">
        <is>
          <t>Matriz / Estabelecimento Principal</t>
        </is>
      </c>
      <c r="I708" s="13" t="inlineStr">
        <is>
          <t>CNPJ Credenciado MAPA/SIPEAGRO</t>
        </is>
      </c>
      <c r="J708" s="13" t="inlineStr">
        <is>
          <t>Registro Estadual Vigente</t>
        </is>
      </c>
      <c r="K708" s="13" t="inlineStr">
        <is>
          <t>Estabelecimento Credenciado no Brasil</t>
        </is>
      </c>
      <c r="L708" s="13" t="inlineStr">
        <is>
          <t>Brasil</t>
        </is>
      </c>
      <c r="M708" s="13" t="inlineStr">
        <is>
          <t>0 - Nacional / 1 - Importação Direta</t>
        </is>
      </c>
    </row>
    <row r="709" ht="22" customHeight="1">
      <c r="A709" s="6" t="inlineStr">
        <is>
          <t>EMP-0705</t>
        </is>
      </c>
      <c r="B709" s="5" t="n">
        <v>605</v>
      </c>
      <c r="C709" s="7" t="inlineStr">
        <is>
          <t>Nº 4899</t>
        </is>
      </c>
      <c r="D709" s="8" t="inlineStr">
        <is>
          <t>CERTERO SC</t>
        </is>
      </c>
      <c r="E709" s="7" t="inlineStr">
        <is>
          <t>1. Titular do Registro / Produtor</t>
        </is>
      </c>
      <c r="F709" s="7" t="inlineStr">
        <is>
          <t>Produto Formulado Comercial</t>
        </is>
      </c>
      <c r="G709" s="7" t="inlineStr">
        <is>
          <t>Bayer S.A.</t>
        </is>
      </c>
      <c r="H709" s="7" t="inlineStr">
        <is>
          <t>Matriz / Estabelecimento Principal</t>
        </is>
      </c>
      <c r="I709" s="7" t="inlineStr">
        <is>
          <t>CNPJ Credenciado MAPA/SIPEAGRO</t>
        </is>
      </c>
      <c r="J709" s="7" t="inlineStr">
        <is>
          <t>Registro Estadual Vigente</t>
        </is>
      </c>
      <c r="K709" s="7" t="inlineStr">
        <is>
          <t>Estabelecimento Credenciado no Brasil</t>
        </is>
      </c>
      <c r="L709" s="7" t="inlineStr">
        <is>
          <t>Brasil</t>
        </is>
      </c>
      <c r="M709" s="7" t="inlineStr">
        <is>
          <t>0 - Nacional / 1 - Importação Direta</t>
        </is>
      </c>
    </row>
    <row r="710" ht="22" customHeight="1">
      <c r="A710" s="12" t="inlineStr">
        <is>
          <t>EMP-0706</t>
        </is>
      </c>
      <c r="B710" s="11" t="n">
        <v>606</v>
      </c>
      <c r="C710" s="13" t="inlineStr">
        <is>
          <t>Nº 6105</t>
        </is>
      </c>
      <c r="D710" s="14" t="inlineStr">
        <is>
          <t>ENGEO PLENO S</t>
        </is>
      </c>
      <c r="E710" s="13" t="inlineStr">
        <is>
          <t>1. Titular do Registro / Produtor</t>
        </is>
      </c>
      <c r="F710" s="13" t="inlineStr">
        <is>
          <t>Produto Formulado Comercial</t>
        </is>
      </c>
      <c r="G710" s="13" t="inlineStr">
        <is>
          <t>Syngenta Proteção de Cultivos</t>
        </is>
      </c>
      <c r="H710" s="13" t="inlineStr">
        <is>
          <t>Matriz / Estabelecimento Principal</t>
        </is>
      </c>
      <c r="I710" s="13" t="inlineStr">
        <is>
          <t>CNPJ Credenciado MAPA/SIPEAGRO</t>
        </is>
      </c>
      <c r="J710" s="13" t="inlineStr">
        <is>
          <t>Registro Estadual Vigente</t>
        </is>
      </c>
      <c r="K710" s="13" t="inlineStr">
        <is>
          <t>Estabelecimento Credenciado no Brasil</t>
        </is>
      </c>
      <c r="L710" s="13" t="inlineStr">
        <is>
          <t>Brasil</t>
        </is>
      </c>
      <c r="M710" s="13" t="inlineStr">
        <is>
          <t>0 - Nacional / 1 - Importação Direta</t>
        </is>
      </c>
    </row>
    <row r="711" ht="22" customHeight="1">
      <c r="A711" s="6" t="inlineStr">
        <is>
          <t>EMP-0707</t>
        </is>
      </c>
      <c r="B711" s="5" t="n">
        <v>607</v>
      </c>
      <c r="C711" s="7" t="inlineStr">
        <is>
          <t>Nº 5108</t>
        </is>
      </c>
      <c r="D711" s="8" t="inlineStr">
        <is>
          <t>SOBERAN SC</t>
        </is>
      </c>
      <c r="E711" s="7" t="inlineStr">
        <is>
          <t>1. Titular do Registro / Produtor</t>
        </is>
      </c>
      <c r="F711" s="7" t="inlineStr">
        <is>
          <t>Produto Formulado Comercial</t>
        </is>
      </c>
      <c r="G711" s="7" t="inlineStr">
        <is>
          <t>Bayer S.A.</t>
        </is>
      </c>
      <c r="H711" s="7" t="inlineStr">
        <is>
          <t>Matriz / Estabelecimento Principal</t>
        </is>
      </c>
      <c r="I711" s="7" t="inlineStr">
        <is>
          <t>CNPJ Credenciado MAPA/SIPEAGRO</t>
        </is>
      </c>
      <c r="J711" s="7" t="inlineStr">
        <is>
          <t>Registro Estadual Vigente</t>
        </is>
      </c>
      <c r="K711" s="7" t="inlineStr">
        <is>
          <t>Estabelecimento Credenciado no Brasil</t>
        </is>
      </c>
      <c r="L711" s="7" t="inlineStr">
        <is>
          <t>Brasil</t>
        </is>
      </c>
      <c r="M711" s="7" t="inlineStr">
        <is>
          <t>0 - Nacional / 1 - Importação Direta</t>
        </is>
      </c>
    </row>
    <row r="712" ht="22" customHeight="1">
      <c r="A712" s="12" t="inlineStr">
        <is>
          <t>EMP-0708</t>
        </is>
      </c>
      <c r="B712" s="11" t="n">
        <v>608</v>
      </c>
      <c r="C712" s="13" t="inlineStr">
        <is>
          <t>Nº 4822</t>
        </is>
      </c>
      <c r="D712" s="14" t="inlineStr">
        <is>
          <t>FEROCE</t>
        </is>
      </c>
      <c r="E712" s="13" t="inlineStr">
        <is>
          <t>1. Titular do Registro / Produtor</t>
        </is>
      </c>
      <c r="F712" s="13" t="inlineStr">
        <is>
          <t>Produto Formulado Comercial</t>
        </is>
      </c>
      <c r="G712" s="13" t="inlineStr">
        <is>
          <t>UPL do Brasil</t>
        </is>
      </c>
      <c r="H712" s="13" t="inlineStr">
        <is>
          <t>Matriz / Estabelecimento Principal</t>
        </is>
      </c>
      <c r="I712" s="13" t="inlineStr">
        <is>
          <t>CNPJ Credenciado MAPA/SIPEAGRO</t>
        </is>
      </c>
      <c r="J712" s="13" t="inlineStr">
        <is>
          <t>Registro Estadual Vigente</t>
        </is>
      </c>
      <c r="K712" s="13" t="inlineStr">
        <is>
          <t>Estabelecimento Credenciado no Brasil</t>
        </is>
      </c>
      <c r="L712" s="13" t="inlineStr">
        <is>
          <t>Brasil</t>
        </is>
      </c>
      <c r="M712" s="13" t="inlineStr">
        <is>
          <t>0 - Nacional / 1 - Importação Direta</t>
        </is>
      </c>
    </row>
    <row r="713" ht="22" customHeight="1">
      <c r="A713" s="6" t="inlineStr">
        <is>
          <t>EMP-0709</t>
        </is>
      </c>
      <c r="B713" s="5" t="n">
        <v>609</v>
      </c>
      <c r="C713" s="7" t="inlineStr">
        <is>
          <t>Nº 8514</t>
        </is>
      </c>
      <c r="D713" s="8" t="inlineStr">
        <is>
          <t>GLIFORTE</t>
        </is>
      </c>
      <c r="E713" s="7" t="inlineStr">
        <is>
          <t>1. Titular do Registro</t>
        </is>
      </c>
      <c r="F713" s="7" t="inlineStr">
        <is>
          <t>Produto Formulado Comercial</t>
        </is>
      </c>
      <c r="G713" s="7" t="inlineStr">
        <is>
          <t>Nufarm</t>
        </is>
      </c>
      <c r="H713" s="7" t="inlineStr">
        <is>
          <t>Estabelecimento Credenciado</t>
        </is>
      </c>
      <c r="I713" s="7" t="inlineStr">
        <is>
          <t>CNPJ Credenciado MAPA</t>
        </is>
      </c>
      <c r="J713" s="7" t="inlineStr">
        <is>
          <t>Registro Estadual Vigente</t>
        </is>
      </c>
      <c r="K713" s="7" t="inlineStr">
        <is>
          <t>Unidade Operacional Brasil</t>
        </is>
      </c>
      <c r="L713" s="7" t="inlineStr">
        <is>
          <t>Brasil</t>
        </is>
      </c>
      <c r="M713" s="7" t="inlineStr">
        <is>
          <t>0/1/2 - Conforme Origem do Lote</t>
        </is>
      </c>
    </row>
    <row r="714" ht="22" customHeight="1">
      <c r="A714" s="12" t="inlineStr">
        <is>
          <t>EMP-0710</t>
        </is>
      </c>
      <c r="B714" s="11" t="n">
        <v>609</v>
      </c>
      <c r="C714" s="13" t="inlineStr">
        <is>
          <t>Nº 8514</t>
        </is>
      </c>
      <c r="D714" s="14" t="inlineStr">
        <is>
          <t>GLIFORTE</t>
        </is>
      </c>
      <c r="E714" s="13" t="inlineStr">
        <is>
          <t>3. Formulador / Co-Distribuidor Autorizado</t>
        </is>
      </c>
      <c r="F714" s="13" t="inlineStr">
        <is>
          <t>Produto Formulado Comercial</t>
        </is>
      </c>
      <c r="G714" s="13" t="inlineStr">
        <is>
          <t>Sumitomo</t>
        </is>
      </c>
      <c r="H714" s="13" t="inlineStr">
        <is>
          <t>Estabelecimento Credenciado</t>
        </is>
      </c>
      <c r="I714" s="13" t="inlineStr">
        <is>
          <t>CNPJ Credenciado MAPA</t>
        </is>
      </c>
      <c r="J714" s="13" t="inlineStr">
        <is>
          <t>Registro Estadual Vigente</t>
        </is>
      </c>
      <c r="K714" s="13" t="inlineStr">
        <is>
          <t>Unidade Operacional Brasil</t>
        </is>
      </c>
      <c r="L714" s="13" t="inlineStr">
        <is>
          <t>Brasil</t>
        </is>
      </c>
      <c r="M714" s="13" t="inlineStr">
        <is>
          <t>0/1/2 - Conforme Origem do Lote</t>
        </is>
      </c>
    </row>
    <row r="715" ht="22" customHeight="1">
      <c r="A715" s="6" t="inlineStr">
        <is>
          <t>EMP-0711</t>
        </is>
      </c>
      <c r="B715" s="5" t="n">
        <v>610</v>
      </c>
      <c r="C715" s="7" t="inlineStr">
        <is>
          <t>Nº 8806</t>
        </is>
      </c>
      <c r="D715" s="8" t="inlineStr">
        <is>
          <t>IMUNIT</t>
        </is>
      </c>
      <c r="E715" s="7" t="inlineStr">
        <is>
          <t>1. Titular do Registro / Produtor</t>
        </is>
      </c>
      <c r="F715" s="7" t="inlineStr">
        <is>
          <t>Produto Formulado Comercial</t>
        </is>
      </c>
      <c r="G715" s="7" t="inlineStr">
        <is>
          <t>Bayer S.A.</t>
        </is>
      </c>
      <c r="H715" s="7" t="inlineStr">
        <is>
          <t>Matriz / Estabelecimento Principal</t>
        </is>
      </c>
      <c r="I715" s="7" t="inlineStr">
        <is>
          <t>CNPJ Credenciado MAPA/SIPEAGRO</t>
        </is>
      </c>
      <c r="J715" s="7" t="inlineStr">
        <is>
          <t>Registro Estadual Vigente</t>
        </is>
      </c>
      <c r="K715" s="7" t="inlineStr">
        <is>
          <t>Estabelecimento Credenciado no Brasil</t>
        </is>
      </c>
      <c r="L715" s="7" t="inlineStr">
        <is>
          <t>Brasil</t>
        </is>
      </c>
      <c r="M715" s="7" t="inlineStr">
        <is>
          <t>0 - Nacional / 1 - Importação Direta</t>
        </is>
      </c>
    </row>
    <row r="716" ht="22" customHeight="1">
      <c r="A716" s="12" t="inlineStr">
        <is>
          <t>EMP-0712</t>
        </is>
      </c>
      <c r="B716" s="11" t="n">
        <v>611</v>
      </c>
      <c r="C716" s="13" t="inlineStr">
        <is>
          <t>SIPEAGRO (UF-XXXXX)</t>
        </is>
      </c>
      <c r="D716" s="14" t="inlineStr">
        <is>
          <t>INOCULANTE GRAP NOD+ 1X1,5KG</t>
        </is>
      </c>
      <c r="E716" s="13" t="inlineStr">
        <is>
          <t>1. Titular do Registro / Produtor</t>
        </is>
      </c>
      <c r="F716" s="13" t="inlineStr">
        <is>
          <t>Inoculante / Biológico</t>
        </is>
      </c>
      <c r="G716" s="13" t="inlineStr">
        <is>
          <t>Estabelecimento Produtor SIPEAGRO/MAPA</t>
        </is>
      </c>
      <c r="H716" s="13" t="inlineStr">
        <is>
          <t>Matriz / Estabelecimento Principal</t>
        </is>
      </c>
      <c r="I716" s="13" t="inlineStr">
        <is>
          <t>CNPJ Credenciado MAPA/SIPEAGRO</t>
        </is>
      </c>
      <c r="J716" s="13" t="inlineStr">
        <is>
          <t>Registro Estadual Vigente</t>
        </is>
      </c>
      <c r="K716" s="13" t="inlineStr">
        <is>
          <t>Estabelecimento Credenciado no Brasil</t>
        </is>
      </c>
      <c r="L716" s="13" t="inlineStr">
        <is>
          <t>Brasil</t>
        </is>
      </c>
      <c r="M716" s="13" t="inlineStr">
        <is>
          <t>0 - Nacional / 1 - Importação Direta</t>
        </is>
      </c>
    </row>
    <row r="717" ht="22" customHeight="1">
      <c r="A717" s="6" t="inlineStr">
        <is>
          <t>EMP-0713</t>
        </is>
      </c>
      <c r="B717" s="5" t="n">
        <v>612</v>
      </c>
      <c r="C717" s="7" t="inlineStr">
        <is>
          <t>SIPEAGRO (UF-XXXXX)</t>
        </is>
      </c>
      <c r="D717" s="8" t="inlineStr">
        <is>
          <t>NITROBASE Z21</t>
        </is>
      </c>
      <c r="E717" s="7" t="inlineStr">
        <is>
          <t>1. Titular do Registro / Produtor</t>
        </is>
      </c>
      <c r="F717" s="7" t="inlineStr">
        <is>
          <t>Fertilizante Mineral / Organomineral</t>
        </is>
      </c>
      <c r="G717" s="7" t="inlineStr">
        <is>
          <t>Estabelecimento Produtor SIPEAGRO/MAPA</t>
        </is>
      </c>
      <c r="H717" s="7" t="inlineStr">
        <is>
          <t>Matriz / Estabelecimento Principal</t>
        </is>
      </c>
      <c r="I717" s="7" t="inlineStr">
        <is>
          <t>CNPJ Credenciado MAPA/SIPEAGRO</t>
        </is>
      </c>
      <c r="J717" s="7" t="inlineStr">
        <is>
          <t>Registro Estadual Vigente</t>
        </is>
      </c>
      <c r="K717" s="7" t="inlineStr">
        <is>
          <t>Estabelecimento Credenciado no Brasil</t>
        </is>
      </c>
      <c r="L717" s="7" t="inlineStr">
        <is>
          <t>Brasil</t>
        </is>
      </c>
      <c r="M717" s="7" t="inlineStr">
        <is>
          <t>0 - Nacional / 1 - Importação Direta</t>
        </is>
      </c>
    </row>
    <row r="718" ht="22" customHeight="1">
      <c r="A718" s="12" t="inlineStr">
        <is>
          <t>EMP-0714</t>
        </is>
      </c>
      <c r="B718" s="11" t="n">
        <v>613</v>
      </c>
      <c r="C718" s="13" t="inlineStr">
        <is>
          <t>SIPEAGRO (UF-XXXXX)</t>
        </is>
      </c>
      <c r="D718" s="14" t="inlineStr">
        <is>
          <t>RESISTANCE DRILLFLY</t>
        </is>
      </c>
      <c r="E718" s="13" t="inlineStr">
        <is>
          <t>1. Titular do Registro / Produtor</t>
        </is>
      </c>
      <c r="F718" s="13" t="inlineStr">
        <is>
          <t>Fertilizante Mineral / Organomineral</t>
        </is>
      </c>
      <c r="G718" s="13" t="inlineStr">
        <is>
          <t>Estabelecimento Produtor SIPEAGRO/MAPA</t>
        </is>
      </c>
      <c r="H718" s="13" t="inlineStr">
        <is>
          <t>Matriz / Estabelecimento Principal</t>
        </is>
      </c>
      <c r="I718" s="13" t="inlineStr">
        <is>
          <t>CNPJ Credenciado MAPA/SIPEAGRO</t>
        </is>
      </c>
      <c r="J718" s="13" t="inlineStr">
        <is>
          <t>Registro Estadual Vigente</t>
        </is>
      </c>
      <c r="K718" s="13" t="inlineStr">
        <is>
          <t>Estabelecimento Credenciado no Brasil</t>
        </is>
      </c>
      <c r="L718" s="13" t="inlineStr">
        <is>
          <t>Brasil</t>
        </is>
      </c>
      <c r="M718" s="13" t="inlineStr">
        <is>
          <t>0 - Nacional / 1 - Importação Direta</t>
        </is>
      </c>
    </row>
    <row r="719" ht="22" customHeight="1">
      <c r="A719" s="6" t="inlineStr">
        <is>
          <t>EMP-0715</t>
        </is>
      </c>
      <c r="B719" s="5" t="n">
        <v>614</v>
      </c>
      <c r="C719" s="7" t="inlineStr">
        <is>
          <t>Nº 13709</t>
        </is>
      </c>
      <c r="D719" s="8" t="inlineStr">
        <is>
          <t>SEIZER 100 EC</t>
        </is>
      </c>
      <c r="E719" s="7" t="inlineStr">
        <is>
          <t>1. Titular do Registro / Produtor</t>
        </is>
      </c>
      <c r="F719" s="7" t="inlineStr">
        <is>
          <t>Produto Formulado Comercial</t>
        </is>
      </c>
      <c r="G719" s="7" t="inlineStr">
        <is>
          <t>ADAMA BRASIL S/A</t>
        </is>
      </c>
      <c r="H719" s="7" t="inlineStr">
        <is>
          <t>Matriz / Estabelecimento Principal</t>
        </is>
      </c>
      <c r="I719" s="7" t="inlineStr">
        <is>
          <t>CNPJ Credenciado MAPA/SIPEAGRO</t>
        </is>
      </c>
      <c r="J719" s="7" t="inlineStr">
        <is>
          <t>Registro Estadual Vigente</t>
        </is>
      </c>
      <c r="K719" s="7" t="inlineStr">
        <is>
          <t>Estabelecimento Credenciado no Brasil</t>
        </is>
      </c>
      <c r="L719" s="7" t="inlineStr">
        <is>
          <t>Brasil</t>
        </is>
      </c>
      <c r="M719" s="7" t="inlineStr">
        <is>
          <t>0 - Nacional / 1 - Importação Direta</t>
        </is>
      </c>
    </row>
    <row r="720" ht="22" customHeight="1">
      <c r="A720" s="12" t="inlineStr">
        <is>
          <t>EMP-0716</t>
        </is>
      </c>
      <c r="B720" s="11" t="n">
        <v>615</v>
      </c>
      <c r="C720" s="13" t="inlineStr">
        <is>
          <t>Nº 3994</t>
        </is>
      </c>
      <c r="D720" s="14" t="inlineStr">
        <is>
          <t>SIALEX 500</t>
        </is>
      </c>
      <c r="E720" s="13" t="inlineStr">
        <is>
          <t>1. Titular do Registro / Produtor</t>
        </is>
      </c>
      <c r="F720" s="13" t="inlineStr">
        <is>
          <t>Produto Formulado Comercial</t>
        </is>
      </c>
      <c r="G720" s="13" t="inlineStr">
        <is>
          <t>Sumitomo Chemical</t>
        </is>
      </c>
      <c r="H720" s="13" t="inlineStr">
        <is>
          <t>Matriz / Estabelecimento Principal</t>
        </is>
      </c>
      <c r="I720" s="13" t="inlineStr">
        <is>
          <t>CNPJ Credenciado MAPA/SIPEAGRO</t>
        </is>
      </c>
      <c r="J720" s="13" t="inlineStr">
        <is>
          <t>Registro Estadual Vigente</t>
        </is>
      </c>
      <c r="K720" s="13" t="inlineStr">
        <is>
          <t>Estabelecimento Credenciado no Brasil</t>
        </is>
      </c>
      <c r="L720" s="13" t="inlineStr">
        <is>
          <t>Brasil</t>
        </is>
      </c>
      <c r="M720" s="13" t="inlineStr">
        <is>
          <t>0 - Nacional / 1 - Importação Direta</t>
        </is>
      </c>
    </row>
    <row r="721" ht="22" customHeight="1">
      <c r="A721" s="6" t="inlineStr">
        <is>
          <t>EMP-0717</t>
        </is>
      </c>
      <c r="B721" s="5" t="n">
        <v>616</v>
      </c>
      <c r="C721" s="7" t="inlineStr">
        <is>
          <t>Nº 28920</t>
        </is>
      </c>
      <c r="D721" s="8" t="inlineStr">
        <is>
          <t>SONDA</t>
        </is>
      </c>
      <c r="E721" s="7" t="inlineStr">
        <is>
          <t>1. Titular do Registro / Produtor</t>
        </is>
      </c>
      <c r="F721" s="7" t="inlineStr">
        <is>
          <t>Produto Formulado Comercial</t>
        </is>
      </c>
      <c r="G721" s="7" t="inlineStr">
        <is>
          <t>SYNGENTA PROTEÇÃO DE CULTIVOS LTDA.</t>
        </is>
      </c>
      <c r="H721" s="7" t="inlineStr">
        <is>
          <t>Matriz / Estabelecimento Principal</t>
        </is>
      </c>
      <c r="I721" s="7" t="inlineStr">
        <is>
          <t>CNPJ Credenciado MAPA/SIPEAGRO</t>
        </is>
      </c>
      <c r="J721" s="7" t="inlineStr">
        <is>
          <t>Registro Estadual Vigente</t>
        </is>
      </c>
      <c r="K721" s="7" t="inlineStr">
        <is>
          <t>Estabelecimento Credenciado no Brasil</t>
        </is>
      </c>
      <c r="L721" s="7" t="inlineStr">
        <is>
          <t>Brasil</t>
        </is>
      </c>
      <c r="M721" s="7" t="inlineStr">
        <is>
          <t>0 - Nacional / 1 - Importação Direta</t>
        </is>
      </c>
    </row>
    <row r="722" ht="22" customHeight="1">
      <c r="A722" s="12" t="inlineStr">
        <is>
          <t>EMP-0718</t>
        </is>
      </c>
      <c r="B722" s="11" t="n">
        <v>617</v>
      </c>
      <c r="C722" s="13" t="inlineStr">
        <is>
          <t>Nº 6210</t>
        </is>
      </c>
      <c r="D722" s="14" t="inlineStr">
        <is>
          <t>STATUS</t>
        </is>
      </c>
      <c r="E722" s="13" t="inlineStr">
        <is>
          <t>1. Titular do Registro / Produtor</t>
        </is>
      </c>
      <c r="F722" s="13" t="inlineStr">
        <is>
          <t>Produto Formulado Comercial</t>
        </is>
      </c>
      <c r="G722" s="13" t="inlineStr">
        <is>
          <t>Sipcam Nichino</t>
        </is>
      </c>
      <c r="H722" s="13" t="inlineStr">
        <is>
          <t>Matriz / Estabelecimento Principal</t>
        </is>
      </c>
      <c r="I722" s="13" t="inlineStr">
        <is>
          <t>CNPJ Credenciado MAPA/SIPEAGRO</t>
        </is>
      </c>
      <c r="J722" s="13" t="inlineStr">
        <is>
          <t>Registro Estadual Vigente</t>
        </is>
      </c>
      <c r="K722" s="13" t="inlineStr">
        <is>
          <t>Estabelecimento Credenciado no Brasil</t>
        </is>
      </c>
      <c r="L722" s="13" t="inlineStr">
        <is>
          <t>Brasil</t>
        </is>
      </c>
      <c r="M722" s="13" t="inlineStr">
        <is>
          <t>0 - Nacional / 1 - Importação Direta</t>
        </is>
      </c>
    </row>
    <row r="723" ht="22" customHeight="1">
      <c r="A723" s="6" t="inlineStr">
        <is>
          <t>EMP-0719</t>
        </is>
      </c>
      <c r="B723" s="5" t="n">
        <v>618</v>
      </c>
      <c r="C723" s="7" t="inlineStr">
        <is>
          <t>SIPEAGRO (UF-XXXXX)</t>
        </is>
      </c>
      <c r="D723" s="8" t="inlineStr">
        <is>
          <t>VITAL BORO POLYOL</t>
        </is>
      </c>
      <c r="E723" s="7" t="inlineStr">
        <is>
          <t>1. Titular do Registro / Produtor</t>
        </is>
      </c>
      <c r="F723" s="7" t="inlineStr">
        <is>
          <t>Fertilizante Mineral / Organomineral</t>
        </is>
      </c>
      <c r="G723" s="7" t="inlineStr">
        <is>
          <t>Estabelecimento Produtor SIPEAGRO/MAPA</t>
        </is>
      </c>
      <c r="H723" s="7" t="inlineStr">
        <is>
          <t>Matriz / Estabelecimento Principal</t>
        </is>
      </c>
      <c r="I723" s="7" t="inlineStr">
        <is>
          <t>CNPJ Credenciado MAPA/SIPEAGRO</t>
        </is>
      </c>
      <c r="J723" s="7" t="inlineStr">
        <is>
          <t>Registro Estadual Vigente</t>
        </is>
      </c>
      <c r="K723" s="7" t="inlineStr">
        <is>
          <t>Estabelecimento Credenciado no Brasil</t>
        </is>
      </c>
      <c r="L723" s="7" t="inlineStr">
        <is>
          <t>Brasil</t>
        </is>
      </c>
      <c r="M723" s="7" t="inlineStr">
        <is>
          <t>0 - Nacional / 1 - Importação Direta</t>
        </is>
      </c>
    </row>
    <row r="724" ht="22" customHeight="1">
      <c r="A724" s="12" t="inlineStr">
        <is>
          <t>EMP-0720</t>
        </is>
      </c>
      <c r="B724" s="11" t="n">
        <v>619</v>
      </c>
      <c r="C724" s="13" t="inlineStr">
        <is>
          <t>Nº 32717</t>
        </is>
      </c>
      <c r="D724" s="14" t="inlineStr">
        <is>
          <t>VOTIVO PRIME</t>
        </is>
      </c>
      <c r="E724" s="13" t="inlineStr">
        <is>
          <t>1. Titular do Registro / Produtor</t>
        </is>
      </c>
      <c r="F724" s="13" t="inlineStr">
        <is>
          <t>Produto Formulado Comercial</t>
        </is>
      </c>
      <c r="G724" s="13" t="inlineStr">
        <is>
          <t>BASF S.A.</t>
        </is>
      </c>
      <c r="H724" s="13" t="inlineStr">
        <is>
          <t>Matriz / Estabelecimento Principal</t>
        </is>
      </c>
      <c r="I724" s="13" t="inlineStr">
        <is>
          <t>CNPJ Credenciado MAPA/SIPEAGRO</t>
        </is>
      </c>
      <c r="J724" s="13" t="inlineStr">
        <is>
          <t>Registro Estadual Vigente</t>
        </is>
      </c>
      <c r="K724" s="13" t="inlineStr">
        <is>
          <t>Estabelecimento Credenciado no Brasil</t>
        </is>
      </c>
      <c r="L724" s="13" t="inlineStr">
        <is>
          <t>Brasil</t>
        </is>
      </c>
      <c r="M724" s="13" t="inlineStr">
        <is>
          <t>0 - Nacional / 1 - Importação Direta</t>
        </is>
      </c>
    </row>
    <row r="725" ht="22" customHeight="1">
      <c r="A725" s="6" t="inlineStr">
        <is>
          <t>EMP-0721</t>
        </is>
      </c>
      <c r="B725" s="5" t="n">
        <v>620</v>
      </c>
      <c r="C725" s="7" t="inlineStr">
        <is>
          <t>Nº 2506</t>
        </is>
      </c>
      <c r="D725" s="8" t="inlineStr">
        <is>
          <t>CROPSTAR FS 600</t>
        </is>
      </c>
      <c r="E725" s="7" t="inlineStr">
        <is>
          <t>1. Titular do Registro / Produtor</t>
        </is>
      </c>
      <c r="F725" s="7" t="inlineStr">
        <is>
          <t>Produto Formulado Comercial</t>
        </is>
      </c>
      <c r="G725" s="7" t="inlineStr">
        <is>
          <t>Bayer S.A.</t>
        </is>
      </c>
      <c r="H725" s="7" t="inlineStr">
        <is>
          <t>Matriz / Estabelecimento Principal</t>
        </is>
      </c>
      <c r="I725" s="7" t="inlineStr">
        <is>
          <t>CNPJ Credenciado MAPA/SIPEAGRO</t>
        </is>
      </c>
      <c r="J725" s="7" t="inlineStr">
        <is>
          <t>Registro Estadual Vigente</t>
        </is>
      </c>
      <c r="K725" s="7" t="inlineStr">
        <is>
          <t>Estabelecimento Credenciado no Brasil</t>
        </is>
      </c>
      <c r="L725" s="7" t="inlineStr">
        <is>
          <t>Brasil</t>
        </is>
      </c>
      <c r="M725" s="7" t="inlineStr">
        <is>
          <t>0 - Nacional / 1 - Importação Direta</t>
        </is>
      </c>
    </row>
    <row r="726" ht="22" customHeight="1">
      <c r="A726" s="12" t="inlineStr">
        <is>
          <t>EMP-0722</t>
        </is>
      </c>
      <c r="B726" s="11" t="n">
        <v>621</v>
      </c>
      <c r="C726" s="13" t="inlineStr">
        <is>
          <t>Nº 8912</t>
        </is>
      </c>
      <c r="D726" s="14" t="inlineStr">
        <is>
          <t>CRUCIAL</t>
        </is>
      </c>
      <c r="E726" s="13" t="inlineStr">
        <is>
          <t>1. Titular do Registro</t>
        </is>
      </c>
      <c r="F726" s="13" t="inlineStr">
        <is>
          <t>Produto Formulado Comercial</t>
        </is>
      </c>
      <c r="G726" s="13" t="inlineStr">
        <is>
          <t>Nufarm</t>
        </is>
      </c>
      <c r="H726" s="13" t="inlineStr">
        <is>
          <t>Estabelecimento Credenciado</t>
        </is>
      </c>
      <c r="I726" s="13" t="inlineStr">
        <is>
          <t>CNPJ Credenciado MAPA</t>
        </is>
      </c>
      <c r="J726" s="13" t="inlineStr">
        <is>
          <t>Registro Estadual Vigente</t>
        </is>
      </c>
      <c r="K726" s="13" t="inlineStr">
        <is>
          <t>Unidade Operacional Brasil</t>
        </is>
      </c>
      <c r="L726" s="13" t="inlineStr">
        <is>
          <t>Brasil</t>
        </is>
      </c>
      <c r="M726" s="13" t="inlineStr">
        <is>
          <t>0/1/2 - Conforme Origem do Lote</t>
        </is>
      </c>
    </row>
    <row r="727" ht="22" customHeight="1">
      <c r="A727" s="6" t="inlineStr">
        <is>
          <t>EMP-0723</t>
        </is>
      </c>
      <c r="B727" s="5" t="n">
        <v>621</v>
      </c>
      <c r="C727" s="7" t="inlineStr">
        <is>
          <t>Nº 8912</t>
        </is>
      </c>
      <c r="D727" s="8" t="inlineStr">
        <is>
          <t>CRUCIAL</t>
        </is>
      </c>
      <c r="E727" s="7" t="inlineStr">
        <is>
          <t>3. Formulador / Co-Distribuidor Autorizado</t>
        </is>
      </c>
      <c r="F727" s="7" t="inlineStr">
        <is>
          <t>Produto Formulado Comercial</t>
        </is>
      </c>
      <c r="G727" s="7" t="inlineStr">
        <is>
          <t>Sumitomo</t>
        </is>
      </c>
      <c r="H727" s="7" t="inlineStr">
        <is>
          <t>Estabelecimento Credenciado</t>
        </is>
      </c>
      <c r="I727" s="7" t="inlineStr">
        <is>
          <t>CNPJ Credenciado MAPA</t>
        </is>
      </c>
      <c r="J727" s="7" t="inlineStr">
        <is>
          <t>Registro Estadual Vigente</t>
        </is>
      </c>
      <c r="K727" s="7" t="inlineStr">
        <is>
          <t>Unidade Operacional Brasil</t>
        </is>
      </c>
      <c r="L727" s="7" t="inlineStr">
        <is>
          <t>Brasil</t>
        </is>
      </c>
      <c r="M727" s="7" t="inlineStr">
        <is>
          <t>0/1/2 - Conforme Origem do Lote</t>
        </is>
      </c>
    </row>
    <row r="728" ht="22" customHeight="1">
      <c r="A728" s="12" t="inlineStr">
        <is>
          <t>EMP-0724</t>
        </is>
      </c>
      <c r="B728" s="11" t="n">
        <v>622</v>
      </c>
      <c r="C728" s="13" t="inlineStr">
        <is>
          <t>Nº 0122</t>
        </is>
      </c>
      <c r="D728" s="14" t="inlineStr">
        <is>
          <t>EXCALIA MAX</t>
        </is>
      </c>
      <c r="E728" s="13" t="inlineStr">
        <is>
          <t>1. Titular do Registro / Produtor</t>
        </is>
      </c>
      <c r="F728" s="13" t="inlineStr">
        <is>
          <t>Produto Formulado Comercial</t>
        </is>
      </c>
      <c r="G728" s="13" t="inlineStr">
        <is>
          <t>Sumitomo Chemical</t>
        </is>
      </c>
      <c r="H728" s="13" t="inlineStr">
        <is>
          <t>Matriz / Estabelecimento Principal</t>
        </is>
      </c>
      <c r="I728" s="13" t="inlineStr">
        <is>
          <t>CNPJ Credenciado MAPA/SIPEAGRO</t>
        </is>
      </c>
      <c r="J728" s="13" t="inlineStr">
        <is>
          <t>Registro Estadual Vigente</t>
        </is>
      </c>
      <c r="K728" s="13" t="inlineStr">
        <is>
          <t>Estabelecimento Credenciado no Brasil</t>
        </is>
      </c>
      <c r="L728" s="13" t="inlineStr">
        <is>
          <t>Brasil</t>
        </is>
      </c>
      <c r="M728" s="13" t="inlineStr">
        <is>
          <t>0 - Nacional / 1 - Importação Direta</t>
        </is>
      </c>
    </row>
    <row r="729" ht="22" customHeight="1">
      <c r="A729" s="6" t="inlineStr">
        <is>
          <t>EMP-0725</t>
        </is>
      </c>
      <c r="B729" s="5" t="n">
        <v>623</v>
      </c>
      <c r="C729" s="7" t="inlineStr">
        <is>
          <t>SIPEAGRO (UF-XXXXX)</t>
        </is>
      </c>
      <c r="D729" s="8" t="inlineStr">
        <is>
          <t>FERT VITAL MANGANES</t>
        </is>
      </c>
      <c r="E729" s="7" t="inlineStr">
        <is>
          <t>1. Titular do Registro / Produtor</t>
        </is>
      </c>
      <c r="F729" s="7" t="inlineStr">
        <is>
          <t>Fertilizante Mineral / Organomineral</t>
        </is>
      </c>
      <c r="G729" s="7" t="inlineStr">
        <is>
          <t>Estabelecimento Produtor SIPEAGRO/MAPA</t>
        </is>
      </c>
      <c r="H729" s="7" t="inlineStr">
        <is>
          <t>Matriz / Estabelecimento Principal</t>
        </is>
      </c>
      <c r="I729" s="7" t="inlineStr">
        <is>
          <t>CNPJ Credenciado MAPA/SIPEAGRO</t>
        </is>
      </c>
      <c r="J729" s="7" t="inlineStr">
        <is>
          <t>Registro Estadual Vigente</t>
        </is>
      </c>
      <c r="K729" s="7" t="inlineStr">
        <is>
          <t>Estabelecimento Credenciado no Brasil</t>
        </is>
      </c>
      <c r="L729" s="7" t="inlineStr">
        <is>
          <t>Brasil</t>
        </is>
      </c>
      <c r="M729" s="7" t="inlineStr">
        <is>
          <t>0 - Nacional / 1 - Importação Direta</t>
        </is>
      </c>
    </row>
    <row r="730" ht="22" customHeight="1">
      <c r="A730" s="12" t="inlineStr">
        <is>
          <t>EMP-0726</t>
        </is>
      </c>
      <c r="B730" s="11" t="n">
        <v>624</v>
      </c>
      <c r="C730" s="13" t="inlineStr">
        <is>
          <t>Nº 27617</t>
        </is>
      </c>
      <c r="D730" s="14" t="inlineStr">
        <is>
          <t>FLAXTON</t>
        </is>
      </c>
      <c r="E730" s="13" t="inlineStr">
        <is>
          <t>1. Titular do Registro / Produtor</t>
        </is>
      </c>
      <c r="F730" s="13" t="inlineStr">
        <is>
          <t>Produto Formulado Comercial</t>
        </is>
      </c>
      <c r="G730" s="13" t="inlineStr">
        <is>
          <t>ADAMA BRASIL S/A</t>
        </is>
      </c>
      <c r="H730" s="13" t="inlineStr">
        <is>
          <t>Matriz / Estabelecimento Principal</t>
        </is>
      </c>
      <c r="I730" s="13" t="inlineStr">
        <is>
          <t>CNPJ Credenciado MAPA/SIPEAGRO</t>
        </is>
      </c>
      <c r="J730" s="13" t="inlineStr">
        <is>
          <t>Registro Estadual Vigente</t>
        </is>
      </c>
      <c r="K730" s="13" t="inlineStr">
        <is>
          <t>Estabelecimento Credenciado no Brasil</t>
        </is>
      </c>
      <c r="L730" s="13" t="inlineStr">
        <is>
          <t>Brasil</t>
        </is>
      </c>
      <c r="M730" s="13" t="inlineStr">
        <is>
          <t>0 - Nacional / 1 - Importação Direta</t>
        </is>
      </c>
    </row>
    <row r="731" ht="22" customHeight="1">
      <c r="A731" s="6" t="inlineStr">
        <is>
          <t>EMP-0727</t>
        </is>
      </c>
      <c r="B731" s="5" t="n">
        <v>625</v>
      </c>
      <c r="C731" s="7" t="inlineStr">
        <is>
          <t>ISENTO (ATO 104/2017)</t>
        </is>
      </c>
      <c r="D731" s="8" t="inlineStr">
        <is>
          <t>SPREAD COMBO</t>
        </is>
      </c>
      <c r="E731" s="7" t="inlineStr">
        <is>
          <t>1. Titular do Registro / Produtor</t>
        </is>
      </c>
      <c r="F731" s="7" t="inlineStr">
        <is>
          <t>Adjuvante / Espalhante Adesivo</t>
        </is>
      </c>
      <c r="G731" s="7" t="inlineStr">
        <is>
          <t>Dispensado de Registro (Ato SDA nº 104/2017)</t>
        </is>
      </c>
      <c r="H731" s="7" t="inlineStr">
        <is>
          <t>Matriz / Estabelecimento Principal</t>
        </is>
      </c>
      <c r="I731" s="7" t="inlineStr">
        <is>
          <t>CNPJ Credenciado MAPA/SIPEAGRO</t>
        </is>
      </c>
      <c r="J731" s="7" t="inlineStr">
        <is>
          <t>Registro Estadual Vigente</t>
        </is>
      </c>
      <c r="K731" s="7" t="inlineStr">
        <is>
          <t>Estabelecimento Credenciado no Brasil</t>
        </is>
      </c>
      <c r="L731" s="7" t="inlineStr">
        <is>
          <t>Brasil</t>
        </is>
      </c>
      <c r="M731" s="7" t="inlineStr">
        <is>
          <t>0 - Nacional / 1 - Importação Direta</t>
        </is>
      </c>
    </row>
    <row r="732" ht="22" customHeight="1">
      <c r="A732" s="12" t="inlineStr">
        <is>
          <t>EMP-0728</t>
        </is>
      </c>
      <c r="B732" s="11" t="n">
        <v>626</v>
      </c>
      <c r="C732" s="13" t="inlineStr">
        <is>
          <t>Nº 21221</t>
        </is>
      </c>
      <c r="D732" s="14" t="inlineStr">
        <is>
          <t>GOEMON</t>
        </is>
      </c>
      <c r="E732" s="13" t="inlineStr">
        <is>
          <t>1. Titular do Registro / Produtor</t>
        </is>
      </c>
      <c r="F732" s="13" t="inlineStr">
        <is>
          <t>Produto Formulado Comercial</t>
        </is>
      </c>
      <c r="G732" s="13" t="inlineStr">
        <is>
          <t>ISK BIOSCIENCES DO BRASIL DEFENSIVOS AGRÍCOLAS LTDA.</t>
        </is>
      </c>
      <c r="H732" s="13" t="inlineStr">
        <is>
          <t>Matriz / Estabelecimento Principal</t>
        </is>
      </c>
      <c r="I732" s="13" t="inlineStr">
        <is>
          <t>CNPJ Credenciado MAPA/SIPEAGRO</t>
        </is>
      </c>
      <c r="J732" s="13" t="inlineStr">
        <is>
          <t>Registro Estadual Vigente</t>
        </is>
      </c>
      <c r="K732" s="13" t="inlineStr">
        <is>
          <t>Estabelecimento Credenciado no Brasil</t>
        </is>
      </c>
      <c r="L732" s="13" t="inlineStr">
        <is>
          <t>Brasil</t>
        </is>
      </c>
      <c r="M732" s="13" t="inlineStr">
        <is>
          <t>0 - Nacional / 1 - Importação Direta</t>
        </is>
      </c>
    </row>
    <row r="733" ht="22" customHeight="1">
      <c r="A733" s="6" t="inlineStr">
        <is>
          <t>EMP-0729</t>
        </is>
      </c>
      <c r="B733" s="5" t="n">
        <v>627</v>
      </c>
      <c r="C733" s="7" t="inlineStr">
        <is>
          <t>Nº 22622</t>
        </is>
      </c>
      <c r="D733" s="8" t="inlineStr">
        <is>
          <t>SENSUS</t>
        </is>
      </c>
      <c r="E733" s="7" t="inlineStr">
        <is>
          <t>1. Titular do Registro / Produtor</t>
        </is>
      </c>
      <c r="F733" s="7" t="inlineStr">
        <is>
          <t>Produto Formulado Comercial</t>
        </is>
      </c>
      <c r="G733" s="7" t="inlineStr">
        <is>
          <t>RAINBOW DEFENSIVOS AGRÍCOLAS LTDA.</t>
        </is>
      </c>
      <c r="H733" s="7" t="inlineStr">
        <is>
          <t>Matriz / Estabelecimento Principal</t>
        </is>
      </c>
      <c r="I733" s="7" t="inlineStr">
        <is>
          <t>CNPJ Credenciado MAPA/SIPEAGRO</t>
        </is>
      </c>
      <c r="J733" s="7" t="inlineStr">
        <is>
          <t>Registro Estadual Vigente</t>
        </is>
      </c>
      <c r="K733" s="7" t="inlineStr">
        <is>
          <t>Estabelecimento Credenciado no Brasil</t>
        </is>
      </c>
      <c r="L733" s="7" t="inlineStr">
        <is>
          <t>Brasil</t>
        </is>
      </c>
      <c r="M733" s="7" t="inlineStr">
        <is>
          <t>0 - Nacional / 1 - Importação Direta</t>
        </is>
      </c>
    </row>
    <row r="734" ht="22" customHeight="1">
      <c r="A734" s="12" t="inlineStr">
        <is>
          <t>EMP-0730</t>
        </is>
      </c>
      <c r="B734" s="11" t="n">
        <v>628</v>
      </c>
      <c r="C734" s="13" t="inlineStr">
        <is>
          <t>Nº 35619</t>
        </is>
      </c>
      <c r="D734" s="14" t="inlineStr">
        <is>
          <t>MAXSAN</t>
        </is>
      </c>
      <c r="E734" s="13" t="inlineStr">
        <is>
          <t>1. Titular do Registro / Produtor</t>
        </is>
      </c>
      <c r="F734" s="13" t="inlineStr">
        <is>
          <t>Produto Formulado Comercial</t>
        </is>
      </c>
      <c r="G734" s="13" t="inlineStr">
        <is>
          <t>IHARABRAS S.A. INDÚSTRIAS QUÍMICAS</t>
        </is>
      </c>
      <c r="H734" s="13" t="inlineStr">
        <is>
          <t>Matriz / Estabelecimento Principal</t>
        </is>
      </c>
      <c r="I734" s="13" t="inlineStr">
        <is>
          <t>CNPJ Credenciado MAPA/SIPEAGRO</t>
        </is>
      </c>
      <c r="J734" s="13" t="inlineStr">
        <is>
          <t>Registro Estadual Vigente</t>
        </is>
      </c>
      <c r="K734" s="13" t="inlineStr">
        <is>
          <t>Estabelecimento Credenciado no Brasil</t>
        </is>
      </c>
      <c r="L734" s="13" t="inlineStr">
        <is>
          <t>Brasil</t>
        </is>
      </c>
      <c r="M734" s="13" t="inlineStr">
        <is>
          <t>0 - Nacional / 1 - Importação Direta</t>
        </is>
      </c>
    </row>
    <row r="735" ht="22" customHeight="1">
      <c r="A735" s="6" t="inlineStr">
        <is>
          <t>EMP-0731</t>
        </is>
      </c>
      <c r="B735" s="5" t="n">
        <v>629</v>
      </c>
      <c r="C735" s="7" t="inlineStr">
        <is>
          <t>SIPEAGRO (UF-XXXXX)</t>
        </is>
      </c>
      <c r="D735" s="8" t="inlineStr">
        <is>
          <t>SOJA KRAFT 10</t>
        </is>
      </c>
      <c r="E735" s="7" t="inlineStr">
        <is>
          <t>1. Titular do Registro / Produtor</t>
        </is>
      </c>
      <c r="F735" s="7" t="inlineStr">
        <is>
          <t>Fertilizante Mineral / Organomineral</t>
        </is>
      </c>
      <c r="G735" s="7" t="inlineStr">
        <is>
          <t>Estabelecimento Produtor SIPEAGRO/MAPA</t>
        </is>
      </c>
      <c r="H735" s="7" t="inlineStr">
        <is>
          <t>Matriz / Estabelecimento Principal</t>
        </is>
      </c>
      <c r="I735" s="7" t="inlineStr">
        <is>
          <t>CNPJ Credenciado MAPA/SIPEAGRO</t>
        </is>
      </c>
      <c r="J735" s="7" t="inlineStr">
        <is>
          <t>Registro Estadual Vigente</t>
        </is>
      </c>
      <c r="K735" s="7" t="inlineStr">
        <is>
          <t>Estabelecimento Credenciado no Brasil</t>
        </is>
      </c>
      <c r="L735" s="7" t="inlineStr">
        <is>
          <t>Brasil</t>
        </is>
      </c>
      <c r="M735" s="7" t="inlineStr">
        <is>
          <t>0 - Nacional / 1 - Importação Direta</t>
        </is>
      </c>
    </row>
    <row r="736" ht="22" customHeight="1">
      <c r="A736" s="12" t="inlineStr">
        <is>
          <t>EMP-0732</t>
        </is>
      </c>
      <c r="B736" s="11" t="n">
        <v>630</v>
      </c>
      <c r="C736" s="13" t="inlineStr">
        <is>
          <t>Nº 8608</t>
        </is>
      </c>
      <c r="D736" s="14" t="inlineStr">
        <is>
          <t>SPHERE MAX SC</t>
        </is>
      </c>
      <c r="E736" s="13" t="inlineStr">
        <is>
          <t>1. Titular do Registro / Produtor</t>
        </is>
      </c>
      <c r="F736" s="13" t="inlineStr">
        <is>
          <t>Produto Formulado Comercial</t>
        </is>
      </c>
      <c r="G736" s="13" t="inlineStr">
        <is>
          <t>Bayer S.A.</t>
        </is>
      </c>
      <c r="H736" s="13" t="inlineStr">
        <is>
          <t>Matriz / Estabelecimento Principal</t>
        </is>
      </c>
      <c r="I736" s="13" t="inlineStr">
        <is>
          <t>CNPJ Credenciado MAPA/SIPEAGRO</t>
        </is>
      </c>
      <c r="J736" s="13" t="inlineStr">
        <is>
          <t>Registro Estadual Vigente</t>
        </is>
      </c>
      <c r="K736" s="13" t="inlineStr">
        <is>
          <t>Estabelecimento Credenciado no Brasil</t>
        </is>
      </c>
      <c r="L736" s="13" t="inlineStr">
        <is>
          <t>Brasil</t>
        </is>
      </c>
      <c r="M736" s="13" t="inlineStr">
        <is>
          <t>0 - Nacional / 1 - Importação Direta</t>
        </is>
      </c>
    </row>
    <row r="737" ht="22" customHeight="1">
      <c r="A737" s="6" t="inlineStr">
        <is>
          <t>EMP-0733</t>
        </is>
      </c>
      <c r="B737" s="5" t="n">
        <v>631</v>
      </c>
      <c r="C737" s="7" t="inlineStr">
        <is>
          <t>Nº 37019</t>
        </is>
      </c>
      <c r="D737" s="8" t="inlineStr">
        <is>
          <t>IMPAR BR</t>
        </is>
      </c>
      <c r="E737" s="7" t="inlineStr">
        <is>
          <t>1. Titular do Registro / Produtor</t>
        </is>
      </c>
      <c r="F737" s="7" t="inlineStr">
        <is>
          <t>Produto Formulado Comercial</t>
        </is>
      </c>
      <c r="G737" s="7" t="inlineStr">
        <is>
          <t>OURO FINO QUÍMICA S.A.</t>
        </is>
      </c>
      <c r="H737" s="7" t="inlineStr">
        <is>
          <t>Matriz / Estabelecimento Principal</t>
        </is>
      </c>
      <c r="I737" s="7" t="inlineStr">
        <is>
          <t>CNPJ Credenciado MAPA/SIPEAGRO</t>
        </is>
      </c>
      <c r="J737" s="7" t="inlineStr">
        <is>
          <t>Registro Estadual Vigente</t>
        </is>
      </c>
      <c r="K737" s="7" t="inlineStr">
        <is>
          <t>Estabelecimento Credenciado no Brasil</t>
        </is>
      </c>
      <c r="L737" s="7" t="inlineStr">
        <is>
          <t>Brasil</t>
        </is>
      </c>
      <c r="M737" s="7" t="inlineStr">
        <is>
          <t>0 - Nacional / 1 - Importação Direta</t>
        </is>
      </c>
    </row>
    <row r="738" ht="22" customHeight="1">
      <c r="A738" s="12" t="inlineStr">
        <is>
          <t>EMP-0734</t>
        </is>
      </c>
      <c r="B738" s="11" t="n">
        <v>632</v>
      </c>
      <c r="C738" s="13" t="inlineStr">
        <is>
          <t>Nº 28320</t>
        </is>
      </c>
      <c r="D738" s="14" t="inlineStr">
        <is>
          <t>ALLUS</t>
        </is>
      </c>
      <c r="E738" s="13" t="inlineStr">
        <is>
          <t>1. Titular do Registro / Produtor</t>
        </is>
      </c>
      <c r="F738" s="13" t="inlineStr">
        <is>
          <t>Produto Formulado Comercial</t>
        </is>
      </c>
      <c r="G738" s="13" t="inlineStr">
        <is>
          <t>HELM DO BRASIL</t>
        </is>
      </c>
      <c r="H738" s="13" t="inlineStr">
        <is>
          <t>Matriz / Estabelecimento Principal</t>
        </is>
      </c>
      <c r="I738" s="13" t="inlineStr">
        <is>
          <t>CNPJ Credenciado MAPA/SIPEAGRO</t>
        </is>
      </c>
      <c r="J738" s="13" t="inlineStr">
        <is>
          <t>Registro Estadual Vigente</t>
        </is>
      </c>
      <c r="K738" s="13" t="inlineStr">
        <is>
          <t>Estabelecimento Credenciado no Brasil</t>
        </is>
      </c>
      <c r="L738" s="13" t="inlineStr">
        <is>
          <t>Brasil</t>
        </is>
      </c>
      <c r="M738" s="13" t="inlineStr">
        <is>
          <t>0 - Nacional / 1 - Importação Direta</t>
        </is>
      </c>
    </row>
    <row r="739" ht="22" customHeight="1">
      <c r="A739" s="6" t="inlineStr">
        <is>
          <t>EMP-0735</t>
        </is>
      </c>
      <c r="B739" s="5" t="n">
        <v>633</v>
      </c>
      <c r="C739" s="7" t="inlineStr">
        <is>
          <t>Nº 4007</t>
        </is>
      </c>
      <c r="D739" s="8" t="inlineStr">
        <is>
          <t>APRON RFC</t>
        </is>
      </c>
      <c r="E739" s="7" t="inlineStr">
        <is>
          <t>1. Titular do Registro / Produtor</t>
        </is>
      </c>
      <c r="F739" s="7" t="inlineStr">
        <is>
          <t>Produto Formulado Comercial</t>
        </is>
      </c>
      <c r="G739" s="7" t="inlineStr">
        <is>
          <t>SYNGENTA PROTECAO DE CULTIVOS LTDA</t>
        </is>
      </c>
      <c r="H739" s="7" t="inlineStr">
        <is>
          <t>Matriz / Estabelecimento Principal</t>
        </is>
      </c>
      <c r="I739" s="7" t="inlineStr">
        <is>
          <t>CNPJ Credenciado MAPA/SIPEAGRO</t>
        </is>
      </c>
      <c r="J739" s="7" t="inlineStr">
        <is>
          <t>Registro Estadual Vigente</t>
        </is>
      </c>
      <c r="K739" s="7" t="inlineStr">
        <is>
          <t>Estabelecimento Credenciado no Brasil</t>
        </is>
      </c>
      <c r="L739" s="7" t="inlineStr">
        <is>
          <t>Brasil</t>
        </is>
      </c>
      <c r="M739" s="7" t="inlineStr">
        <is>
          <t>0 - Nacional / 1 - Importação Direta</t>
        </is>
      </c>
    </row>
    <row r="740" ht="22" customHeight="1">
      <c r="A740" s="12" t="inlineStr">
        <is>
          <t>EMP-0736</t>
        </is>
      </c>
      <c r="B740" s="11" t="n">
        <v>634</v>
      </c>
      <c r="C740" s="13" t="inlineStr">
        <is>
          <t>SIPEAGRO (UF-XXXXX)</t>
        </is>
      </c>
      <c r="D740" s="14" t="inlineStr">
        <is>
          <t>BASEK S25</t>
        </is>
      </c>
      <c r="E740" s="13" t="inlineStr">
        <is>
          <t>1. Titular do Registro / Produtor</t>
        </is>
      </c>
      <c r="F740" s="13" t="inlineStr">
        <is>
          <t>Fertilizante Mineral / Organomineral</t>
        </is>
      </c>
      <c r="G740" s="13" t="inlineStr">
        <is>
          <t>Estabelecimento Produtor SIPEAGRO/MAPA</t>
        </is>
      </c>
      <c r="H740" s="13" t="inlineStr">
        <is>
          <t>Matriz / Estabelecimento Principal</t>
        </is>
      </c>
      <c r="I740" s="13" t="inlineStr">
        <is>
          <t>CNPJ Credenciado MAPA/SIPEAGRO</t>
        </is>
      </c>
      <c r="J740" s="13" t="inlineStr">
        <is>
          <t>Registro Estadual Vigente</t>
        </is>
      </c>
      <c r="K740" s="13" t="inlineStr">
        <is>
          <t>Estabelecimento Credenciado no Brasil</t>
        </is>
      </c>
      <c r="L740" s="13" t="inlineStr">
        <is>
          <t>Brasil</t>
        </is>
      </c>
      <c r="M740" s="13" t="inlineStr">
        <is>
          <t>0 - Nacional / 1 - Importação Direta</t>
        </is>
      </c>
    </row>
    <row r="741" ht="22" customHeight="1">
      <c r="A741" s="6" t="inlineStr">
        <is>
          <t>EMP-0737</t>
        </is>
      </c>
      <c r="B741" s="5" t="n">
        <v>635</v>
      </c>
      <c r="C741" s="7" t="inlineStr">
        <is>
          <t>Nº 44024</t>
        </is>
      </c>
      <c r="D741" s="8" t="inlineStr">
        <is>
          <t>BIOKILLER</t>
        </is>
      </c>
      <c r="E741" s="7" t="inlineStr">
        <is>
          <t>1. Titular do Registro / Produtor</t>
        </is>
      </c>
      <c r="F741" s="7" t="inlineStr">
        <is>
          <t>Produto Formulado Comercial</t>
        </is>
      </c>
      <c r="G741" s="7" t="inlineStr">
        <is>
          <t>Serquibio Biotecnologia Ltda.</t>
        </is>
      </c>
      <c r="H741" s="7" t="inlineStr">
        <is>
          <t>Matriz / Estabelecimento Principal</t>
        </is>
      </c>
      <c r="I741" s="7" t="inlineStr">
        <is>
          <t>CNPJ Credenciado MAPA/SIPEAGRO</t>
        </is>
      </c>
      <c r="J741" s="7" t="inlineStr">
        <is>
          <t>Registro Estadual Vigente</t>
        </is>
      </c>
      <c r="K741" s="7" t="inlineStr">
        <is>
          <t>Estabelecimento Credenciado no Brasil</t>
        </is>
      </c>
      <c r="L741" s="7" t="inlineStr">
        <is>
          <t>Brasil</t>
        </is>
      </c>
      <c r="M741" s="7" t="inlineStr">
        <is>
          <t>0 - Nacional / 1 - Importação Direta</t>
        </is>
      </c>
    </row>
    <row r="742" ht="22" customHeight="1">
      <c r="A742" s="12" t="inlineStr">
        <is>
          <t>EMP-0738</t>
        </is>
      </c>
      <c r="B742" s="11" t="n">
        <v>636</v>
      </c>
      <c r="C742" s="13" t="inlineStr">
        <is>
          <t>Nº 13019</t>
        </is>
      </c>
      <c r="D742" s="14" t="inlineStr">
        <is>
          <t>CONVENCE FS</t>
        </is>
      </c>
      <c r="E742" s="13" t="inlineStr">
        <is>
          <t>1. Titular do Registro / Produtor</t>
        </is>
      </c>
      <c r="F742" s="13" t="inlineStr">
        <is>
          <t>Produto Formulado Comercial</t>
        </is>
      </c>
      <c r="G742" s="13" t="inlineStr">
        <is>
          <t>OURO FINO QUÍMICA S.A.</t>
        </is>
      </c>
      <c r="H742" s="13" t="inlineStr">
        <is>
          <t>Matriz / Estabelecimento Principal</t>
        </is>
      </c>
      <c r="I742" s="13" t="inlineStr">
        <is>
          <t>CNPJ Credenciado MAPA/SIPEAGRO</t>
        </is>
      </c>
      <c r="J742" s="13" t="inlineStr">
        <is>
          <t>Registro Estadual Vigente</t>
        </is>
      </c>
      <c r="K742" s="13" t="inlineStr">
        <is>
          <t>Estabelecimento Credenciado no Brasil</t>
        </is>
      </c>
      <c r="L742" s="13" t="inlineStr">
        <is>
          <t>Brasil</t>
        </is>
      </c>
      <c r="M742" s="13" t="inlineStr">
        <is>
          <t>0 - Nacional / 1 - Importação Direta</t>
        </is>
      </c>
    </row>
    <row r="743" ht="22" customHeight="1">
      <c r="A743" s="6" t="inlineStr">
        <is>
          <t>EMP-0739</t>
        </is>
      </c>
      <c r="B743" s="5" t="n">
        <v>637</v>
      </c>
      <c r="C743" s="7" t="inlineStr">
        <is>
          <t>SIPEAGRO (UF-XXXXX)</t>
        </is>
      </c>
      <c r="D743" s="8" t="inlineStr">
        <is>
          <t>MANGANES 10%</t>
        </is>
      </c>
      <c r="E743" s="7" t="inlineStr">
        <is>
          <t>1. Titular do Registro / Produtor</t>
        </is>
      </c>
      <c r="F743" s="7" t="inlineStr">
        <is>
          <t>Fertilizante Mineral / Organomineral</t>
        </is>
      </c>
      <c r="G743" s="7" t="inlineStr">
        <is>
          <t>Estabelecimento Produtor SIPEAGRO/MAPA</t>
        </is>
      </c>
      <c r="H743" s="7" t="inlineStr">
        <is>
          <t>Matriz / Estabelecimento Principal</t>
        </is>
      </c>
      <c r="I743" s="7" t="inlineStr">
        <is>
          <t>CNPJ Credenciado MAPA/SIPEAGRO</t>
        </is>
      </c>
      <c r="J743" s="7" t="inlineStr">
        <is>
          <t>Registro Estadual Vigente</t>
        </is>
      </c>
      <c r="K743" s="7" t="inlineStr">
        <is>
          <t>Estabelecimento Credenciado no Brasil</t>
        </is>
      </c>
      <c r="L743" s="7" t="inlineStr">
        <is>
          <t>Brasil</t>
        </is>
      </c>
      <c r="M743" s="7" t="inlineStr">
        <is>
          <t>0 - Nacional / 1 - Importação Direta</t>
        </is>
      </c>
    </row>
    <row r="744" ht="22" customHeight="1">
      <c r="A744" s="12" t="inlineStr">
        <is>
          <t>EMP-0740</t>
        </is>
      </c>
      <c r="B744" s="11" t="n">
        <v>638</v>
      </c>
      <c r="C744" s="13" t="inlineStr">
        <is>
          <t>Nº 1393</t>
        </is>
      </c>
      <c r="D744" s="14" t="inlineStr">
        <is>
          <t>NOMOLT 150</t>
        </is>
      </c>
      <c r="E744" s="13" t="inlineStr">
        <is>
          <t>1. Titular do Registro / Produtor</t>
        </is>
      </c>
      <c r="F744" s="13" t="inlineStr">
        <is>
          <t>Produto Formulado Comercial</t>
        </is>
      </c>
      <c r="G744" s="13" t="inlineStr">
        <is>
          <t>BASF S.A.</t>
        </is>
      </c>
      <c r="H744" s="13" t="inlineStr">
        <is>
          <t>Matriz / Estabelecimento Principal</t>
        </is>
      </c>
      <c r="I744" s="13" t="inlineStr">
        <is>
          <t>CNPJ Credenciado MAPA/SIPEAGRO</t>
        </is>
      </c>
      <c r="J744" s="13" t="inlineStr">
        <is>
          <t>Registro Estadual Vigente</t>
        </is>
      </c>
      <c r="K744" s="13" t="inlineStr">
        <is>
          <t>Estabelecimento Credenciado no Brasil</t>
        </is>
      </c>
      <c r="L744" s="13" t="inlineStr">
        <is>
          <t>Brasil</t>
        </is>
      </c>
      <c r="M744" s="13" t="inlineStr">
        <is>
          <t>0 - Nacional / 1 - Importação Direta</t>
        </is>
      </c>
    </row>
    <row r="745" ht="22" customHeight="1">
      <c r="A745" s="6" t="inlineStr">
        <is>
          <t>EMP-0741</t>
        </is>
      </c>
      <c r="B745" s="5" t="n">
        <v>639</v>
      </c>
      <c r="C745" s="7" t="inlineStr">
        <is>
          <t>SIPEAGRO (UF-XXXXX)</t>
        </is>
      </c>
      <c r="D745" s="8" t="inlineStr">
        <is>
          <t>STARKE</t>
        </is>
      </c>
      <c r="E745" s="7" t="inlineStr">
        <is>
          <t>1. Titular do Registro / Produtor</t>
        </is>
      </c>
      <c r="F745" s="7" t="inlineStr">
        <is>
          <t>Fertilizante Mineral / Organomineral</t>
        </is>
      </c>
      <c r="G745" s="7" t="inlineStr">
        <is>
          <t>Estabelecimento Produtor SIPEAGRO/MAPA</t>
        </is>
      </c>
      <c r="H745" s="7" t="inlineStr">
        <is>
          <t>Matriz / Estabelecimento Principal</t>
        </is>
      </c>
      <c r="I745" s="7" t="inlineStr">
        <is>
          <t>CNPJ Credenciado MAPA/SIPEAGRO</t>
        </is>
      </c>
      <c r="J745" s="7" t="inlineStr">
        <is>
          <t>Registro Estadual Vigente</t>
        </is>
      </c>
      <c r="K745" s="7" t="inlineStr">
        <is>
          <t>Estabelecimento Credenciado no Brasil</t>
        </is>
      </c>
      <c r="L745" s="7" t="inlineStr">
        <is>
          <t>Brasil</t>
        </is>
      </c>
      <c r="M745" s="7" t="inlineStr">
        <is>
          <t>0 - Nacional / 1 - Importação Direta</t>
        </is>
      </c>
    </row>
    <row r="746" ht="22" customHeight="1">
      <c r="A746" s="12" t="inlineStr">
        <is>
          <t>EMP-0742</t>
        </is>
      </c>
      <c r="B746" s="11" t="n">
        <v>640</v>
      </c>
      <c r="C746" s="13" t="inlineStr">
        <is>
          <t>Nº 18220</t>
        </is>
      </c>
      <c r="D746" s="14" t="inlineStr">
        <is>
          <t>TORA</t>
        </is>
      </c>
      <c r="E746" s="13" t="inlineStr">
        <is>
          <t>1. Titular do Registro / Produtor</t>
        </is>
      </c>
      <c r="F746" s="13" t="inlineStr">
        <is>
          <t>Produto Formulado Comercial</t>
        </is>
      </c>
      <c r="G746" s="13" t="inlineStr">
        <is>
          <t>FMC QUÍMICA DO BRASIL LTDA. / CHEMINOVA BRASIL LTDA.</t>
        </is>
      </c>
      <c r="H746" s="13" t="inlineStr">
        <is>
          <t>Matriz / Estabelecimento Principal</t>
        </is>
      </c>
      <c r="I746" s="13" t="inlineStr">
        <is>
          <t>CNPJ Credenciado MAPA/SIPEAGRO</t>
        </is>
      </c>
      <c r="J746" s="13" t="inlineStr">
        <is>
          <t>Registro Estadual Vigente</t>
        </is>
      </c>
      <c r="K746" s="13" t="inlineStr">
        <is>
          <t>Estabelecimento Credenciado no Brasil</t>
        </is>
      </c>
      <c r="L746" s="13" t="inlineStr">
        <is>
          <t>Brasil</t>
        </is>
      </c>
      <c r="M746" s="13" t="inlineStr">
        <is>
          <t>0 - Nacional / 1 - Importação Direta</t>
        </is>
      </c>
    </row>
    <row r="747" ht="22" customHeight="1">
      <c r="A747" s="6" t="inlineStr">
        <is>
          <t>EMP-0743</t>
        </is>
      </c>
      <c r="B747" s="5" t="n">
        <v>641</v>
      </c>
      <c r="C747" s="7" t="inlineStr">
        <is>
          <t>Nº 27821</t>
        </is>
      </c>
      <c r="D747" s="8" t="inlineStr">
        <is>
          <t>PONTUAL</t>
        </is>
      </c>
      <c r="E747" s="7" t="inlineStr">
        <is>
          <t>1. Titular do Registro / Produtor</t>
        </is>
      </c>
      <c r="F747" s="7" t="inlineStr">
        <is>
          <t>Produto Formulado Comercial</t>
        </is>
      </c>
      <c r="G747" s="7" t="inlineStr">
        <is>
          <t>OURO FINO QUÍMICA S.A.</t>
        </is>
      </c>
      <c r="H747" s="7" t="inlineStr">
        <is>
          <t>Matriz / Estabelecimento Principal</t>
        </is>
      </c>
      <c r="I747" s="7" t="inlineStr">
        <is>
          <t>CNPJ Credenciado MAPA/SIPEAGRO</t>
        </is>
      </c>
      <c r="J747" s="7" t="inlineStr">
        <is>
          <t>Registro Estadual Vigente</t>
        </is>
      </c>
      <c r="K747" s="7" t="inlineStr">
        <is>
          <t>Estabelecimento Credenciado no Brasil</t>
        </is>
      </c>
      <c r="L747" s="7" t="inlineStr">
        <is>
          <t>Brasil</t>
        </is>
      </c>
      <c r="M747" s="7" t="inlineStr">
        <is>
          <t>0 - Nacional / 1 - Importação Direta</t>
        </is>
      </c>
    </row>
    <row r="748" ht="22" customHeight="1">
      <c r="A748" s="12" t="inlineStr">
        <is>
          <t>EMP-0744</t>
        </is>
      </c>
      <c r="B748" s="11" t="n">
        <v>642</v>
      </c>
      <c r="C748" s="13" t="inlineStr">
        <is>
          <t>SIPEAGRO (UF-XXXXX)</t>
        </is>
      </c>
      <c r="D748" s="14" t="inlineStr">
        <is>
          <t>RESISTANCE TM</t>
        </is>
      </c>
      <c r="E748" s="13" t="inlineStr">
        <is>
          <t>1. Titular do Registro / Produtor</t>
        </is>
      </c>
      <c r="F748" s="13" t="inlineStr">
        <is>
          <t>Fertilizante Mineral / Organomineral</t>
        </is>
      </c>
      <c r="G748" s="13" t="inlineStr">
        <is>
          <t>Estabelecimento Produtor SIPEAGRO/MAPA</t>
        </is>
      </c>
      <c r="H748" s="13" t="inlineStr">
        <is>
          <t>Matriz / Estabelecimento Principal</t>
        </is>
      </c>
      <c r="I748" s="13" t="inlineStr">
        <is>
          <t>CNPJ Credenciado MAPA/SIPEAGRO</t>
        </is>
      </c>
      <c r="J748" s="13" t="inlineStr">
        <is>
          <t>Registro Estadual Vigente</t>
        </is>
      </c>
      <c r="K748" s="13" t="inlineStr">
        <is>
          <t>Estabelecimento Credenciado no Brasil</t>
        </is>
      </c>
      <c r="L748" s="13" t="inlineStr">
        <is>
          <t>Brasil</t>
        </is>
      </c>
      <c r="M748" s="13" t="inlineStr">
        <is>
          <t>0 - Nacional / 1 - Importação Direta</t>
        </is>
      </c>
    </row>
    <row r="749" ht="22" customHeight="1">
      <c r="A749" s="6" t="inlineStr">
        <is>
          <t>EMP-0745</t>
        </is>
      </c>
      <c r="B749" s="5" t="n">
        <v>643</v>
      </c>
      <c r="C749" s="7" t="inlineStr">
        <is>
          <t>Nº 6697</t>
        </is>
      </c>
      <c r="D749" s="8" t="inlineStr">
        <is>
          <t>VEZIR</t>
        </is>
      </c>
      <c r="E749" s="7" t="inlineStr">
        <is>
          <t>1. Titular do Registro / Produtor</t>
        </is>
      </c>
      <c r="F749" s="7" t="inlineStr">
        <is>
          <t>Produto Formulado Comercial</t>
        </is>
      </c>
      <c r="G749" s="7" t="inlineStr">
        <is>
          <t>Adama Brasil</t>
        </is>
      </c>
      <c r="H749" s="7" t="inlineStr">
        <is>
          <t>Matriz / Estabelecimento Principal</t>
        </is>
      </c>
      <c r="I749" s="7" t="inlineStr">
        <is>
          <t>CNPJ Credenciado MAPA/SIPEAGRO</t>
        </is>
      </c>
      <c r="J749" s="7" t="inlineStr">
        <is>
          <t>Registro Estadual Vigente</t>
        </is>
      </c>
      <c r="K749" s="7" t="inlineStr">
        <is>
          <t>Estabelecimento Credenciado no Brasil</t>
        </is>
      </c>
      <c r="L749" s="7" t="inlineStr">
        <is>
          <t>Brasil</t>
        </is>
      </c>
      <c r="M749" s="7" t="inlineStr">
        <is>
          <t>0 - Nacional / 1 - Importação Direta</t>
        </is>
      </c>
    </row>
    <row r="750" ht="22" customHeight="1">
      <c r="A750" s="12" t="inlineStr">
        <is>
          <t>EMP-0746</t>
        </is>
      </c>
      <c r="B750" s="11" t="n">
        <v>644</v>
      </c>
      <c r="C750" s="13" t="inlineStr">
        <is>
          <t>Nº 8520</t>
        </is>
      </c>
      <c r="D750" s="14" t="inlineStr">
        <is>
          <t>ROMEO SC</t>
        </is>
      </c>
      <c r="E750" s="13" t="inlineStr">
        <is>
          <t>1. Titular do Registro</t>
        </is>
      </c>
      <c r="F750" s="13" t="inlineStr">
        <is>
          <t>Produto Formulado Comercial</t>
        </is>
      </c>
      <c r="G750" s="13" t="inlineStr">
        <is>
          <t>AgBiTech</t>
        </is>
      </c>
      <c r="H750" s="13" t="inlineStr">
        <is>
          <t>Estabelecimento Credenciado</t>
        </is>
      </c>
      <c r="I750" s="13" t="inlineStr">
        <is>
          <t>CNPJ Credenciado MAPA</t>
        </is>
      </c>
      <c r="J750" s="13" t="inlineStr">
        <is>
          <t>Registro Estadual Vigente</t>
        </is>
      </c>
      <c r="K750" s="13" t="inlineStr">
        <is>
          <t>Unidade Operacional Brasil</t>
        </is>
      </c>
      <c r="L750" s="13" t="inlineStr">
        <is>
          <t>Brasil</t>
        </is>
      </c>
      <c r="M750" s="13" t="inlineStr">
        <is>
          <t>0/1/2 - Conforme Origem do Lote</t>
        </is>
      </c>
    </row>
    <row r="751" ht="22" customHeight="1">
      <c r="A751" s="6" t="inlineStr">
        <is>
          <t>EMP-0747</t>
        </is>
      </c>
      <c r="B751" s="5" t="n">
        <v>644</v>
      </c>
      <c r="C751" s="7" t="inlineStr">
        <is>
          <t>Nº 8520</t>
        </is>
      </c>
      <c r="D751" s="8" t="inlineStr">
        <is>
          <t>ROMEO SC</t>
        </is>
      </c>
      <c r="E751" s="7" t="inlineStr">
        <is>
          <t>3. Formulador / Co-Distribuidor Autorizado</t>
        </is>
      </c>
      <c r="F751" s="7" t="inlineStr">
        <is>
          <t>Produto Formulado Comercial</t>
        </is>
      </c>
      <c r="G751" s="7" t="inlineStr">
        <is>
          <t>Sumitomo</t>
        </is>
      </c>
      <c r="H751" s="7" t="inlineStr">
        <is>
          <t>Estabelecimento Credenciado</t>
        </is>
      </c>
      <c r="I751" s="7" t="inlineStr">
        <is>
          <t>CNPJ Credenciado MAPA</t>
        </is>
      </c>
      <c r="J751" s="7" t="inlineStr">
        <is>
          <t>Registro Estadual Vigente</t>
        </is>
      </c>
      <c r="K751" s="7" t="inlineStr">
        <is>
          <t>Unidade Operacional Brasil</t>
        </is>
      </c>
      <c r="L751" s="7" t="inlineStr">
        <is>
          <t>Brasil</t>
        </is>
      </c>
      <c r="M751" s="7" t="inlineStr">
        <is>
          <t>0/1/2 - Conforme Origem do Lote</t>
        </is>
      </c>
    </row>
    <row r="752" ht="22" customHeight="1">
      <c r="A752" s="12" t="inlineStr">
        <is>
          <t>EMP-0748</t>
        </is>
      </c>
      <c r="B752" s="11" t="n">
        <v>645</v>
      </c>
      <c r="C752" s="13" t="inlineStr">
        <is>
          <t>ISENTO (ATO 104/2017)</t>
        </is>
      </c>
      <c r="D752" s="14" t="inlineStr">
        <is>
          <t>ZATO ADJ</t>
        </is>
      </c>
      <c r="E752" s="13" t="inlineStr">
        <is>
          <t>1. Titular do Registro / Produtor</t>
        </is>
      </c>
      <c r="F752" s="13" t="inlineStr">
        <is>
          <t>Adjuvante / Espalhante Adesivo</t>
        </is>
      </c>
      <c r="G752" s="13" t="inlineStr">
        <is>
          <t>Dispensado de Registro (Ato SDA nº 104/2017)</t>
        </is>
      </c>
      <c r="H752" s="13" t="inlineStr">
        <is>
          <t>Matriz / Estabelecimento Principal</t>
        </is>
      </c>
      <c r="I752" s="13" t="inlineStr">
        <is>
          <t>CNPJ Credenciado MAPA/SIPEAGRO</t>
        </is>
      </c>
      <c r="J752" s="13" t="inlineStr">
        <is>
          <t>Registro Estadual Vigente</t>
        </is>
      </c>
      <c r="K752" s="13" t="inlineStr">
        <is>
          <t>Estabelecimento Credenciado no Brasil</t>
        </is>
      </c>
      <c r="L752" s="13" t="inlineStr">
        <is>
          <t>Brasil</t>
        </is>
      </c>
      <c r="M752" s="13" t="inlineStr">
        <is>
          <t>0 - Nacional / 1 - Importação Direta</t>
        </is>
      </c>
    </row>
    <row r="753" ht="22" customHeight="1">
      <c r="A753" s="6" t="inlineStr">
        <is>
          <t>EMP-0749</t>
        </is>
      </c>
      <c r="B753" s="5" t="n">
        <v>646</v>
      </c>
      <c r="C753" s="7" t="inlineStr">
        <is>
          <t>Nº 5110</t>
        </is>
      </c>
      <c r="D753" s="8" t="inlineStr">
        <is>
          <t>PLATINUM NEO</t>
        </is>
      </c>
      <c r="E753" s="7" t="inlineStr">
        <is>
          <t>1. Titular do Registro / Produtor</t>
        </is>
      </c>
      <c r="F753" s="7" t="inlineStr">
        <is>
          <t>Produto Formulado Comercial</t>
        </is>
      </c>
      <c r="G753" s="7" t="inlineStr">
        <is>
          <t>Syngenta Proteção de Cultivos</t>
        </is>
      </c>
      <c r="H753" s="7" t="inlineStr">
        <is>
          <t>Matriz / Estabelecimento Principal</t>
        </is>
      </c>
      <c r="I753" s="7" t="inlineStr">
        <is>
          <t>CNPJ Credenciado MAPA/SIPEAGRO</t>
        </is>
      </c>
      <c r="J753" s="7" t="inlineStr">
        <is>
          <t>Registro Estadual Vigente</t>
        </is>
      </c>
      <c r="K753" s="7" t="inlineStr">
        <is>
          <t>Estabelecimento Credenciado no Brasil</t>
        </is>
      </c>
      <c r="L753" s="7" t="inlineStr">
        <is>
          <t>Brasil</t>
        </is>
      </c>
      <c r="M753" s="7" t="inlineStr">
        <is>
          <t>0 - Nacional / 1 - Importação Direta</t>
        </is>
      </c>
    </row>
    <row r="754" ht="22" customHeight="1">
      <c r="A754" s="12" t="inlineStr">
        <is>
          <t>EMP-0750</t>
        </is>
      </c>
      <c r="B754" s="11" t="n">
        <v>647</v>
      </c>
      <c r="C754" s="13" t="inlineStr">
        <is>
          <t>SIPEAGRO (UF-XXXXX)</t>
        </is>
      </c>
      <c r="D754" s="14" t="inlineStr">
        <is>
          <t>BIOBRADY 1,75L</t>
        </is>
      </c>
      <c r="E754" s="13" t="inlineStr">
        <is>
          <t>1. Titular do Registro / Produtor</t>
        </is>
      </c>
      <c r="F754" s="13" t="inlineStr">
        <is>
          <t>Inoculante / Biológico</t>
        </is>
      </c>
      <c r="G754" s="13" t="inlineStr">
        <is>
          <t>Estabelecimento Produtor SIPEAGRO/MAPA</t>
        </is>
      </c>
      <c r="H754" s="13" t="inlineStr">
        <is>
          <t>Matriz / Estabelecimento Principal</t>
        </is>
      </c>
      <c r="I754" s="13" t="inlineStr">
        <is>
          <t>CNPJ Credenciado MAPA/SIPEAGRO</t>
        </is>
      </c>
      <c r="J754" s="13" t="inlineStr">
        <is>
          <t>Registro Estadual Vigente</t>
        </is>
      </c>
      <c r="K754" s="13" t="inlineStr">
        <is>
          <t>Estabelecimento Credenciado no Brasil</t>
        </is>
      </c>
      <c r="L754" s="13" t="inlineStr">
        <is>
          <t>Brasil</t>
        </is>
      </c>
      <c r="M754" s="13" t="inlineStr">
        <is>
          <t>0 - Nacional / 1 - Importação Direta</t>
        </is>
      </c>
    </row>
    <row r="755" ht="22" customHeight="1">
      <c r="A755" s="6" t="inlineStr">
        <is>
          <t>EMP-0751</t>
        </is>
      </c>
      <c r="B755" s="5" t="n">
        <v>648</v>
      </c>
      <c r="C755" s="7" t="inlineStr">
        <is>
          <t>SIPEAGRO (UF-XXXXX)</t>
        </is>
      </c>
      <c r="D755" s="8" t="inlineStr">
        <is>
          <t>INOCULANTE GRAP NOD L+</t>
        </is>
      </c>
      <c r="E755" s="7" t="inlineStr">
        <is>
          <t>1. Titular do Registro / Produtor</t>
        </is>
      </c>
      <c r="F755" s="7" t="inlineStr">
        <is>
          <t>Inoculante / Biológico</t>
        </is>
      </c>
      <c r="G755" s="7" t="inlineStr">
        <is>
          <t>Estabelecimento Produtor SIPEAGRO/MAPA</t>
        </is>
      </c>
      <c r="H755" s="7" t="inlineStr">
        <is>
          <t>Matriz / Estabelecimento Principal</t>
        </is>
      </c>
      <c r="I755" s="7" t="inlineStr">
        <is>
          <t>CNPJ Credenciado MAPA/SIPEAGRO</t>
        </is>
      </c>
      <c r="J755" s="7" t="inlineStr">
        <is>
          <t>Registro Estadual Vigente</t>
        </is>
      </c>
      <c r="K755" s="7" t="inlineStr">
        <is>
          <t>Estabelecimento Credenciado no Brasil</t>
        </is>
      </c>
      <c r="L755" s="7" t="inlineStr">
        <is>
          <t>Brasil</t>
        </is>
      </c>
      <c r="M755" s="7" t="inlineStr">
        <is>
          <t>0 - Nacional / 1 - Importação Direta</t>
        </is>
      </c>
    </row>
    <row r="756" ht="22" customHeight="1">
      <c r="A756" s="12" t="inlineStr">
        <is>
          <t>EMP-0752</t>
        </is>
      </c>
      <c r="B756" s="11" t="n">
        <v>649</v>
      </c>
      <c r="C756" s="13" t="inlineStr">
        <is>
          <t>Nº 18107</t>
        </is>
      </c>
      <c r="D756" s="14" t="inlineStr">
        <is>
          <t>TALISMAN</t>
        </is>
      </c>
      <c r="E756" s="13" t="inlineStr">
        <is>
          <t>1. Titular do Registro / Produtor</t>
        </is>
      </c>
      <c r="F756" s="13" t="inlineStr">
        <is>
          <t>Produto Formulado Comercial</t>
        </is>
      </c>
      <c r="G756" s="13" t="inlineStr">
        <is>
          <t>FMC QUÍMICA DO BRASIL LTDA.</t>
        </is>
      </c>
      <c r="H756" s="13" t="inlineStr">
        <is>
          <t>Matriz / Estabelecimento Principal</t>
        </is>
      </c>
      <c r="I756" s="13" t="inlineStr">
        <is>
          <t>CNPJ Credenciado MAPA/SIPEAGRO</t>
        </is>
      </c>
      <c r="J756" s="13" t="inlineStr">
        <is>
          <t>Registro Estadual Vigente</t>
        </is>
      </c>
      <c r="K756" s="13" t="inlineStr">
        <is>
          <t>Estabelecimento Credenciado no Brasil</t>
        </is>
      </c>
      <c r="L756" s="13" t="inlineStr">
        <is>
          <t>Brasil</t>
        </is>
      </c>
      <c r="M756" s="13" t="inlineStr">
        <is>
          <t>0 - Nacional / 1 - Importação Direta</t>
        </is>
      </c>
    </row>
    <row r="757" ht="22" customHeight="1">
      <c r="A757" s="6" t="inlineStr">
        <is>
          <t>EMP-0753</t>
        </is>
      </c>
      <c r="B757" s="5" t="n">
        <v>650</v>
      </c>
      <c r="C757" s="7" t="inlineStr">
        <is>
          <t>SIPEAGRO (UF-XXXXX)</t>
        </is>
      </c>
      <c r="D757" s="8" t="inlineStr">
        <is>
          <t>ENDOFUSE 0,5L</t>
        </is>
      </c>
      <c r="E757" s="7" t="inlineStr">
        <is>
          <t>1. Titular do Registro / Produtor</t>
        </is>
      </c>
      <c r="F757" s="7" t="inlineStr">
        <is>
          <t>Fertilizante Mineral / Organomineral</t>
        </is>
      </c>
      <c r="G757" s="7" t="inlineStr">
        <is>
          <t>Estabelecimento Produtor SIPEAGRO/MAPA</t>
        </is>
      </c>
      <c r="H757" s="7" t="inlineStr">
        <is>
          <t>Matriz / Estabelecimento Principal</t>
        </is>
      </c>
      <c r="I757" s="7" t="inlineStr">
        <is>
          <t>CNPJ Credenciado MAPA/SIPEAGRO</t>
        </is>
      </c>
      <c r="J757" s="7" t="inlineStr">
        <is>
          <t>Registro Estadual Vigente</t>
        </is>
      </c>
      <c r="K757" s="7" t="inlineStr">
        <is>
          <t>Estabelecimento Credenciado no Brasil</t>
        </is>
      </c>
      <c r="L757" s="7" t="inlineStr">
        <is>
          <t>Brasil</t>
        </is>
      </c>
      <c r="M757" s="7" t="inlineStr">
        <is>
          <t>0 - Nacional / 1 - Importação Direta</t>
        </is>
      </c>
    </row>
    <row r="758" ht="22" customHeight="1">
      <c r="A758" s="12" t="inlineStr">
        <is>
          <t>EMP-0754</t>
        </is>
      </c>
      <c r="B758" s="11" t="n">
        <v>651</v>
      </c>
      <c r="C758" s="13" t="inlineStr">
        <is>
          <t>Nº 479097</t>
        </is>
      </c>
      <c r="D758" s="14" t="inlineStr">
        <is>
          <t>SELECT 240 EC</t>
        </is>
      </c>
      <c r="E758" s="13" t="inlineStr">
        <is>
          <t>1. Titular do Registro</t>
        </is>
      </c>
      <c r="F758" s="13" t="inlineStr">
        <is>
          <t>Produto Formulado Comercial</t>
        </is>
      </c>
      <c r="G758" s="13" t="inlineStr">
        <is>
          <t>UPL</t>
        </is>
      </c>
      <c r="H758" s="13" t="inlineStr">
        <is>
          <t>Estabelecimento Credenciado</t>
        </is>
      </c>
      <c r="I758" s="13" t="inlineStr">
        <is>
          <t>CNPJ Credenciado MAPA</t>
        </is>
      </c>
      <c r="J758" s="13" t="inlineStr">
        <is>
          <t>Registro Estadual Vigente</t>
        </is>
      </c>
      <c r="K758" s="13" t="inlineStr">
        <is>
          <t>Unidade Operacional Brasil</t>
        </is>
      </c>
      <c r="L758" s="13" t="inlineStr">
        <is>
          <t>Brasil</t>
        </is>
      </c>
      <c r="M758" s="13" t="inlineStr">
        <is>
          <t>0/1/2 - Conforme Origem do Lote</t>
        </is>
      </c>
    </row>
    <row r="759" ht="22" customHeight="1">
      <c r="A759" s="6" t="inlineStr">
        <is>
          <t>EMP-0755</t>
        </is>
      </c>
      <c r="B759" s="5" t="n">
        <v>651</v>
      </c>
      <c r="C759" s="7" t="inlineStr">
        <is>
          <t>Nº 479097</t>
        </is>
      </c>
      <c r="D759" s="8" t="inlineStr">
        <is>
          <t>SELECT 240 EC</t>
        </is>
      </c>
      <c r="E759" s="7" t="inlineStr">
        <is>
          <t>3. Formulador / Co-Distribuidor Autorizado</t>
        </is>
      </c>
      <c r="F759" s="7" t="inlineStr">
        <is>
          <t>Produto Formulado Comercial</t>
        </is>
      </c>
      <c r="G759" s="7" t="inlineStr">
        <is>
          <t>Arysta Lifescience</t>
        </is>
      </c>
      <c r="H759" s="7" t="inlineStr">
        <is>
          <t>Estabelecimento Credenciado</t>
        </is>
      </c>
      <c r="I759" s="7" t="inlineStr">
        <is>
          <t>CNPJ Credenciado MAPA</t>
        </is>
      </c>
      <c r="J759" s="7" t="inlineStr">
        <is>
          <t>Registro Estadual Vigente</t>
        </is>
      </c>
      <c r="K759" s="7" t="inlineStr">
        <is>
          <t>Unidade Operacional Brasil</t>
        </is>
      </c>
      <c r="L759" s="7" t="inlineStr">
        <is>
          <t>Brasil</t>
        </is>
      </c>
      <c r="M759" s="7" t="inlineStr">
        <is>
          <t>0/1/2 - Conforme Origem do Lote</t>
        </is>
      </c>
    </row>
    <row r="760" ht="22" customHeight="1">
      <c r="A760" s="12" t="inlineStr">
        <is>
          <t>EMP-0756</t>
        </is>
      </c>
      <c r="B760" s="11" t="n">
        <v>652</v>
      </c>
      <c r="C760" s="13" t="inlineStr">
        <is>
          <t>SIPEAGRO (UF-XXXXX)</t>
        </is>
      </c>
      <c r="D760" s="14" t="inlineStr">
        <is>
          <t>ESTIMULUS ROOT +</t>
        </is>
      </c>
      <c r="E760" s="13" t="inlineStr">
        <is>
          <t>1. Titular do Registro / Produtor</t>
        </is>
      </c>
      <c r="F760" s="13" t="inlineStr">
        <is>
          <t>Fertilizante Mineral / Organomineral</t>
        </is>
      </c>
      <c r="G760" s="13" t="inlineStr">
        <is>
          <t>Estabelecimento Produtor SIPEAGRO/MAPA</t>
        </is>
      </c>
      <c r="H760" s="13" t="inlineStr">
        <is>
          <t>Matriz / Estabelecimento Principal</t>
        </is>
      </c>
      <c r="I760" s="13" t="inlineStr">
        <is>
          <t>CNPJ Credenciado MAPA/SIPEAGRO</t>
        </is>
      </c>
      <c r="J760" s="13" t="inlineStr">
        <is>
          <t>Registro Estadual Vigente</t>
        </is>
      </c>
      <c r="K760" s="13" t="inlineStr">
        <is>
          <t>Estabelecimento Credenciado no Brasil</t>
        </is>
      </c>
      <c r="L760" s="13" t="inlineStr">
        <is>
          <t>Brasil</t>
        </is>
      </c>
      <c r="M760" s="13" t="inlineStr">
        <is>
          <t>0 - Nacional / 1 - Importação Direta</t>
        </is>
      </c>
    </row>
    <row r="761" ht="22" customHeight="1">
      <c r="A761" s="6" t="inlineStr">
        <is>
          <t>EMP-0757</t>
        </is>
      </c>
      <c r="B761" s="5" t="n">
        <v>653</v>
      </c>
      <c r="C761" s="7" t="inlineStr">
        <is>
          <t>ISENTO (ATO 104/2017)</t>
        </is>
      </c>
      <c r="D761" s="8" t="inlineStr">
        <is>
          <t>SPREAD MPO</t>
        </is>
      </c>
      <c r="E761" s="7" t="inlineStr">
        <is>
          <t>1. Titular do Registro / Produtor</t>
        </is>
      </c>
      <c r="F761" s="7" t="inlineStr">
        <is>
          <t>Adjuvante / Espalhante Adesivo</t>
        </is>
      </c>
      <c r="G761" s="7" t="inlineStr">
        <is>
          <t>Dispensado de Registro (Ato SDA nº 104/2017)</t>
        </is>
      </c>
      <c r="H761" s="7" t="inlineStr">
        <is>
          <t>Matriz / Estabelecimento Principal</t>
        </is>
      </c>
      <c r="I761" s="7" t="inlineStr">
        <is>
          <t>CNPJ Credenciado MAPA/SIPEAGRO</t>
        </is>
      </c>
      <c r="J761" s="7" t="inlineStr">
        <is>
          <t>Registro Estadual Vigente</t>
        </is>
      </c>
      <c r="K761" s="7" t="inlineStr">
        <is>
          <t>Estabelecimento Credenciado no Brasil</t>
        </is>
      </c>
      <c r="L761" s="7" t="inlineStr">
        <is>
          <t>Brasil</t>
        </is>
      </c>
      <c r="M761" s="7" t="inlineStr">
        <is>
          <t>0 - Nacional / 1 - Importação Direta</t>
        </is>
      </c>
    </row>
    <row r="762" ht="22" customHeight="1">
      <c r="A762" s="12" t="inlineStr">
        <is>
          <t>EMP-0758</t>
        </is>
      </c>
      <c r="B762" s="11" t="n">
        <v>654</v>
      </c>
      <c r="C762" s="13" t="inlineStr">
        <is>
          <t>ISENTO (ATO 104/2017)</t>
        </is>
      </c>
      <c r="D762" s="14" t="inlineStr">
        <is>
          <t>AGRIS</t>
        </is>
      </c>
      <c r="E762" s="13" t="inlineStr">
        <is>
          <t>1. Titular do Registro / Produtor</t>
        </is>
      </c>
      <c r="F762" s="13" t="inlineStr">
        <is>
          <t>Adjuvante / Espalhante Adesivo</t>
        </is>
      </c>
      <c r="G762" s="13" t="inlineStr">
        <is>
          <t>Dispensado de Registro (Ato SDA nº 104/2017)</t>
        </is>
      </c>
      <c r="H762" s="13" t="inlineStr">
        <is>
          <t>Matriz / Estabelecimento Principal</t>
        </is>
      </c>
      <c r="I762" s="13" t="inlineStr">
        <is>
          <t>CNPJ Credenciado MAPA/SIPEAGRO</t>
        </is>
      </c>
      <c r="J762" s="13" t="inlineStr">
        <is>
          <t>Registro Estadual Vigente</t>
        </is>
      </c>
      <c r="K762" s="13" t="inlineStr">
        <is>
          <t>Estabelecimento Credenciado no Brasil</t>
        </is>
      </c>
      <c r="L762" s="13" t="inlineStr">
        <is>
          <t>Brasil</t>
        </is>
      </c>
      <c r="M762" s="13" t="inlineStr">
        <is>
          <t>0 - Nacional / 1 - Importação Direta</t>
        </is>
      </c>
    </row>
    <row r="763" ht="22" customHeight="1">
      <c r="A763" s="6" t="inlineStr">
        <is>
          <t>EMP-0759</t>
        </is>
      </c>
      <c r="B763" s="5" t="n">
        <v>655</v>
      </c>
      <c r="C763" s="7" t="inlineStr">
        <is>
          <t>SIPEAGRO (UF-XXXXX)</t>
        </is>
      </c>
      <c r="D763" s="8" t="inlineStr">
        <is>
          <t>VITAL SOLO BORO</t>
        </is>
      </c>
      <c r="E763" s="7" t="inlineStr">
        <is>
          <t>1. Titular do Registro / Produtor</t>
        </is>
      </c>
      <c r="F763" s="7" t="inlineStr">
        <is>
          <t>Fertilizante Mineral / Organomineral</t>
        </is>
      </c>
      <c r="G763" s="7" t="inlineStr">
        <is>
          <t>Estabelecimento Produtor SIPEAGRO/MAPA</t>
        </is>
      </c>
      <c r="H763" s="7" t="inlineStr">
        <is>
          <t>Matriz / Estabelecimento Principal</t>
        </is>
      </c>
      <c r="I763" s="7" t="inlineStr">
        <is>
          <t>CNPJ Credenciado MAPA/SIPEAGRO</t>
        </is>
      </c>
      <c r="J763" s="7" t="inlineStr">
        <is>
          <t>Registro Estadual Vigente</t>
        </is>
      </c>
      <c r="K763" s="7" t="inlineStr">
        <is>
          <t>Estabelecimento Credenciado no Brasil</t>
        </is>
      </c>
      <c r="L763" s="7" t="inlineStr">
        <is>
          <t>Brasil</t>
        </is>
      </c>
      <c r="M763" s="7" t="inlineStr">
        <is>
          <t>0 - Nacional / 1 - Importação Direta</t>
        </is>
      </c>
    </row>
    <row r="764" ht="22" customHeight="1">
      <c r="A764" s="12" t="inlineStr">
        <is>
          <t>EMP-0760</t>
        </is>
      </c>
      <c r="B764" s="11" t="n">
        <v>656</v>
      </c>
      <c r="C764" s="13" t="inlineStr">
        <is>
          <t>SIPEAGRO (UF-XXXXX)</t>
        </is>
      </c>
      <c r="D764" s="14" t="inlineStr">
        <is>
          <t>RESISTANCE BAC-F</t>
        </is>
      </c>
      <c r="E764" s="13" t="inlineStr">
        <is>
          <t>1. Titular do Registro / Produtor</t>
        </is>
      </c>
      <c r="F764" s="13" t="inlineStr">
        <is>
          <t>Fertilizante Mineral / Organomineral</t>
        </is>
      </c>
      <c r="G764" s="13" t="inlineStr">
        <is>
          <t>Estabelecimento Produtor SIPEAGRO/MAPA</t>
        </is>
      </c>
      <c r="H764" s="13" t="inlineStr">
        <is>
          <t>Matriz / Estabelecimento Principal</t>
        </is>
      </c>
      <c r="I764" s="13" t="inlineStr">
        <is>
          <t>CNPJ Credenciado MAPA/SIPEAGRO</t>
        </is>
      </c>
      <c r="J764" s="13" t="inlineStr">
        <is>
          <t>Registro Estadual Vigente</t>
        </is>
      </c>
      <c r="K764" s="13" t="inlineStr">
        <is>
          <t>Estabelecimento Credenciado no Brasil</t>
        </is>
      </c>
      <c r="L764" s="13" t="inlineStr">
        <is>
          <t>Brasil</t>
        </is>
      </c>
      <c r="M764" s="13" t="inlineStr">
        <is>
          <t>0 - Nacional / 1 - Importação Direta</t>
        </is>
      </c>
    </row>
    <row r="765" ht="22" customHeight="1">
      <c r="A765" s="6" t="inlineStr">
        <is>
          <t>EMP-0761</t>
        </is>
      </c>
      <c r="B765" s="5" t="n">
        <v>657</v>
      </c>
      <c r="C765" s="7" t="inlineStr">
        <is>
          <t>SIPEAGRO (UF-XXXXX)</t>
        </is>
      </c>
      <c r="D765" s="8" t="inlineStr">
        <is>
          <t>RESISTANCE BAC-F</t>
        </is>
      </c>
      <c r="E765" s="7" t="inlineStr">
        <is>
          <t>1. Titular do Registro / Produtor</t>
        </is>
      </c>
      <c r="F765" s="7" t="inlineStr">
        <is>
          <t>Fertilizante Mineral / Organomineral</t>
        </is>
      </c>
      <c r="G765" s="7" t="inlineStr">
        <is>
          <t>Estabelecimento Produtor SIPEAGRO/MAPA</t>
        </is>
      </c>
      <c r="H765" s="7" t="inlineStr">
        <is>
          <t>Matriz / Estabelecimento Principal</t>
        </is>
      </c>
      <c r="I765" s="7" t="inlineStr">
        <is>
          <t>CNPJ Credenciado MAPA/SIPEAGRO</t>
        </is>
      </c>
      <c r="J765" s="7" t="inlineStr">
        <is>
          <t>Registro Estadual Vigente</t>
        </is>
      </c>
      <c r="K765" s="7" t="inlineStr">
        <is>
          <t>Estabelecimento Credenciado no Brasil</t>
        </is>
      </c>
      <c r="L765" s="7" t="inlineStr">
        <is>
          <t>Brasil</t>
        </is>
      </c>
      <c r="M765" s="7" t="inlineStr">
        <is>
          <t>0 - Nacional / 1 - Importação Direta</t>
        </is>
      </c>
    </row>
    <row r="766" ht="22" customHeight="1">
      <c r="A766" s="12" t="inlineStr">
        <is>
          <t>EMP-0762</t>
        </is>
      </c>
      <c r="B766" s="11" t="n">
        <v>658</v>
      </c>
      <c r="C766" s="13" t="inlineStr">
        <is>
          <t>Nº 3123</t>
        </is>
      </c>
      <c r="D766" s="14" t="inlineStr">
        <is>
          <t>IMIDACLOPRID NORTOX</t>
        </is>
      </c>
      <c r="E766" s="13" t="inlineStr">
        <is>
          <t>1. Titular do Registro / Produtor</t>
        </is>
      </c>
      <c r="F766" s="13" t="inlineStr">
        <is>
          <t>Produto Formulado Comercial</t>
        </is>
      </c>
      <c r="G766" s="13" t="inlineStr">
        <is>
          <t>Nortox S.A.</t>
        </is>
      </c>
      <c r="H766" s="13" t="inlineStr">
        <is>
          <t>Matriz / Estabelecimento Principal</t>
        </is>
      </c>
      <c r="I766" s="13" t="inlineStr">
        <is>
          <t>CNPJ Credenciado MAPA/SIPEAGRO</t>
        </is>
      </c>
      <c r="J766" s="13" t="inlineStr">
        <is>
          <t>Registro Estadual Vigente</t>
        </is>
      </c>
      <c r="K766" s="13" t="inlineStr">
        <is>
          <t>Estabelecimento Credenciado no Brasil</t>
        </is>
      </c>
      <c r="L766" s="13" t="inlineStr">
        <is>
          <t>Brasil</t>
        </is>
      </c>
      <c r="M766" s="13" t="inlineStr">
        <is>
          <t>0 - Nacional / 1 - Importação Direta</t>
        </is>
      </c>
    </row>
    <row r="767" ht="22" customHeight="1">
      <c r="A767" s="6" t="inlineStr">
        <is>
          <t>EMP-0763</t>
        </is>
      </c>
      <c r="B767" s="5" t="n">
        <v>659</v>
      </c>
      <c r="C767" s="7" t="inlineStr">
        <is>
          <t>Nº 15420</t>
        </is>
      </c>
      <c r="D767" s="8" t="inlineStr">
        <is>
          <t>KYOJIN</t>
        </is>
      </c>
      <c r="E767" s="7" t="inlineStr">
        <is>
          <t>1. Titular do Registro / Produtor</t>
        </is>
      </c>
      <c r="F767" s="7" t="inlineStr">
        <is>
          <t>Produto Formulado Comercial</t>
        </is>
      </c>
      <c r="G767" s="7" t="inlineStr">
        <is>
          <t>IHARABRAS S.A. INDÚSTRIAS QUÍMICAS</t>
        </is>
      </c>
      <c r="H767" s="7" t="inlineStr">
        <is>
          <t>Matriz / Estabelecimento Principal</t>
        </is>
      </c>
      <c r="I767" s="7" t="inlineStr">
        <is>
          <t>CNPJ Credenciado MAPA/SIPEAGRO</t>
        </is>
      </c>
      <c r="J767" s="7" t="inlineStr">
        <is>
          <t>Registro Estadual Vigente</t>
        </is>
      </c>
      <c r="K767" s="7" t="inlineStr">
        <is>
          <t>Estabelecimento Credenciado no Brasil</t>
        </is>
      </c>
      <c r="L767" s="7" t="inlineStr">
        <is>
          <t>Brasil</t>
        </is>
      </c>
      <c r="M767" s="7" t="inlineStr">
        <is>
          <t>0 - Nacional / 1 - Importação Direta</t>
        </is>
      </c>
    </row>
    <row r="768" ht="22" customHeight="1">
      <c r="A768" s="12" t="inlineStr">
        <is>
          <t>EMP-0764</t>
        </is>
      </c>
      <c r="B768" s="11" t="n">
        <v>660</v>
      </c>
      <c r="C768" s="13" t="inlineStr">
        <is>
          <t>Nº 9917</t>
        </is>
      </c>
      <c r="D768" s="14" t="inlineStr">
        <is>
          <t>PRISMA PLUS</t>
        </is>
      </c>
      <c r="E768" s="13" t="inlineStr">
        <is>
          <t>1. Titular do Registro</t>
        </is>
      </c>
      <c r="F768" s="13" t="inlineStr">
        <is>
          <t>Produto Formulado Comercial</t>
        </is>
      </c>
      <c r="G768" s="13" t="inlineStr">
        <is>
          <t>Jubaili</t>
        </is>
      </c>
      <c r="H768" s="13" t="inlineStr">
        <is>
          <t>Estabelecimento Credenciado</t>
        </is>
      </c>
      <c r="I768" s="13" t="inlineStr">
        <is>
          <t>CNPJ Credenciado MAPA</t>
        </is>
      </c>
      <c r="J768" s="13" t="inlineStr">
        <is>
          <t>Registro Estadual Vigente</t>
        </is>
      </c>
      <c r="K768" s="13" t="inlineStr">
        <is>
          <t>Unidade Operacional Brasil</t>
        </is>
      </c>
      <c r="L768" s="13" t="inlineStr">
        <is>
          <t>Brasil</t>
        </is>
      </c>
      <c r="M768" s="13" t="inlineStr">
        <is>
          <t>0/1/2 - Conforme Origem do Lote</t>
        </is>
      </c>
    </row>
    <row r="769" ht="22" customHeight="1">
      <c r="A769" s="6" t="inlineStr">
        <is>
          <t>EMP-0765</t>
        </is>
      </c>
      <c r="B769" s="5" t="n">
        <v>660</v>
      </c>
      <c r="C769" s="7" t="inlineStr">
        <is>
          <t>Nº 9917</t>
        </is>
      </c>
      <c r="D769" s="8" t="inlineStr">
        <is>
          <t>PRISMA PLUS</t>
        </is>
      </c>
      <c r="E769" s="7" t="inlineStr">
        <is>
          <t>3. Formulador / Co-Distribuidor Autorizado</t>
        </is>
      </c>
      <c r="F769" s="7" t="inlineStr">
        <is>
          <t>Produto Formulado Comercial</t>
        </is>
      </c>
      <c r="G769" s="7" t="inlineStr">
        <is>
          <t>Rotam</t>
        </is>
      </c>
      <c r="H769" s="7" t="inlineStr">
        <is>
          <t>Estabelecimento Credenciado</t>
        </is>
      </c>
      <c r="I769" s="7" t="inlineStr">
        <is>
          <t>CNPJ Credenciado MAPA</t>
        </is>
      </c>
      <c r="J769" s="7" t="inlineStr">
        <is>
          <t>Registro Estadual Vigente</t>
        </is>
      </c>
      <c r="K769" s="7" t="inlineStr">
        <is>
          <t>Unidade Operacional Brasil</t>
        </is>
      </c>
      <c r="L769" s="7" t="inlineStr">
        <is>
          <t>Brasil</t>
        </is>
      </c>
      <c r="M769" s="7" t="inlineStr">
        <is>
          <t>0/1/2 - Conforme Origem do Lote</t>
        </is>
      </c>
    </row>
    <row r="770" ht="22" customHeight="1">
      <c r="A770" s="12" t="inlineStr">
        <is>
          <t>EMP-0766</t>
        </is>
      </c>
      <c r="B770" s="11" t="n">
        <v>661</v>
      </c>
      <c r="C770" s="13" t="inlineStr">
        <is>
          <t>Nº 12407</t>
        </is>
      </c>
      <c r="D770" s="14" t="inlineStr">
        <is>
          <t>ECHO</t>
        </is>
      </c>
      <c r="E770" s="13" t="inlineStr">
        <is>
          <t>1. Titular do Registro / Produtor</t>
        </is>
      </c>
      <c r="F770" s="13" t="inlineStr">
        <is>
          <t>Produto Formulado Comercial</t>
        </is>
      </c>
      <c r="G770" s="13" t="inlineStr">
        <is>
          <t>OXON BRASIL DEFENSIVOS AGRÍCOLAS LTDA. / SIPCAM NICHINO</t>
        </is>
      </c>
      <c r="H770" s="13" t="inlineStr">
        <is>
          <t>Matriz / Estabelecimento Principal</t>
        </is>
      </c>
      <c r="I770" s="13" t="inlineStr">
        <is>
          <t>CNPJ Credenciado MAPA/SIPEAGRO</t>
        </is>
      </c>
      <c r="J770" s="13" t="inlineStr">
        <is>
          <t>Registro Estadual Vigente</t>
        </is>
      </c>
      <c r="K770" s="13" t="inlineStr">
        <is>
          <t>Estabelecimento Credenciado no Brasil</t>
        </is>
      </c>
      <c r="L770" s="13" t="inlineStr">
        <is>
          <t>Brasil</t>
        </is>
      </c>
      <c r="M770" s="13" t="inlineStr">
        <is>
          <t>0 - Nacional / 1 - Importação Direta</t>
        </is>
      </c>
    </row>
    <row r="771" ht="22" customHeight="1">
      <c r="A771" s="6" t="inlineStr">
        <is>
          <t>EMP-0767</t>
        </is>
      </c>
      <c r="B771" s="5" t="n">
        <v>662</v>
      </c>
      <c r="C771" s="7" t="inlineStr">
        <is>
          <t>VINCULAR MARCA</t>
        </is>
      </c>
      <c r="D771" s="8" t="inlineStr">
        <is>
          <t>ACTTRA NOCTUIDEO</t>
        </is>
      </c>
      <c r="E771" s="7" t="inlineStr">
        <is>
          <t>1. Titular do Registro / Produtor</t>
        </is>
      </c>
      <c r="F771" s="7" t="inlineStr">
        <is>
          <t>Produto Formulado Comercial</t>
        </is>
      </c>
      <c r="G771" s="7" t="inlineStr">
        <is>
          <t>ISCA TECNOLOGIAS LTDA.</t>
        </is>
      </c>
      <c r="H771" s="7" t="inlineStr">
        <is>
          <t>Matriz / Estabelecimento Principal</t>
        </is>
      </c>
      <c r="I771" s="7" t="inlineStr">
        <is>
          <t>CNPJ Credenciado MAPA/SIPEAGRO</t>
        </is>
      </c>
      <c r="J771" s="7" t="inlineStr">
        <is>
          <t>Registro Estadual Vigente</t>
        </is>
      </c>
      <c r="K771" s="7" t="inlineStr">
        <is>
          <t>Estabelecimento Credenciado no Brasil</t>
        </is>
      </c>
      <c r="L771" s="7" t="inlineStr">
        <is>
          <t>Brasil</t>
        </is>
      </c>
      <c r="M771" s="7" t="inlineStr">
        <is>
          <t>0 - Nacional / 1 - Importação Direta</t>
        </is>
      </c>
    </row>
    <row r="772" ht="22" customHeight="1">
      <c r="A772" s="12" t="inlineStr">
        <is>
          <t>EMP-0768</t>
        </is>
      </c>
      <c r="B772" s="11" t="n">
        <v>663</v>
      </c>
      <c r="C772" s="13" t="inlineStr">
        <is>
          <t>Nº 3202</t>
        </is>
      </c>
      <c r="D772" s="14" t="inlineStr">
        <is>
          <t>IMPULSE</t>
        </is>
      </c>
      <c r="E772" s="13" t="inlineStr">
        <is>
          <t>1. Titular do Registro / Produtor</t>
        </is>
      </c>
      <c r="F772" s="13" t="inlineStr">
        <is>
          <t>Produto Formulado Comercial</t>
        </is>
      </c>
      <c r="G772" s="13" t="inlineStr">
        <is>
          <t>Bayer S.A.</t>
        </is>
      </c>
      <c r="H772" s="13" t="inlineStr">
        <is>
          <t>Matriz / Estabelecimento Principal</t>
        </is>
      </c>
      <c r="I772" s="13" t="inlineStr">
        <is>
          <t>CNPJ Credenciado MAPA/SIPEAGRO</t>
        </is>
      </c>
      <c r="J772" s="13" t="inlineStr">
        <is>
          <t>Registro Estadual Vigente</t>
        </is>
      </c>
      <c r="K772" s="13" t="inlineStr">
        <is>
          <t>Estabelecimento Credenciado no Brasil</t>
        </is>
      </c>
      <c r="L772" s="13" t="inlineStr">
        <is>
          <t>Brasil</t>
        </is>
      </c>
      <c r="M772" s="13" t="inlineStr">
        <is>
          <t>0 - Nacional / 1 - Importação Direta</t>
        </is>
      </c>
    </row>
    <row r="773" ht="22" customHeight="1">
      <c r="A773" s="6" t="inlineStr">
        <is>
          <t>EMP-0769</t>
        </is>
      </c>
      <c r="B773" s="5" t="n">
        <v>664</v>
      </c>
      <c r="C773" s="7" t="inlineStr">
        <is>
          <t>Nº 0820</t>
        </is>
      </c>
      <c r="D773" s="8" t="inlineStr">
        <is>
          <t>MESOPEC</t>
        </is>
      </c>
      <c r="E773" s="7" t="inlineStr">
        <is>
          <t>1. Titular do Registro</t>
        </is>
      </c>
      <c r="F773" s="7" t="inlineStr">
        <is>
          <t>Produto Formulado Comercial</t>
        </is>
      </c>
      <c r="G773" s="7" t="inlineStr">
        <is>
          <t>Rainbow</t>
        </is>
      </c>
      <c r="H773" s="7" t="inlineStr">
        <is>
          <t>Estabelecimento Credenciado</t>
        </is>
      </c>
      <c r="I773" s="7" t="inlineStr">
        <is>
          <t>CNPJ Credenciado MAPA</t>
        </is>
      </c>
      <c r="J773" s="7" t="inlineStr">
        <is>
          <t>Registro Estadual Vigente</t>
        </is>
      </c>
      <c r="K773" s="7" t="inlineStr">
        <is>
          <t>Unidade Operacional Brasil</t>
        </is>
      </c>
      <c r="L773" s="7" t="inlineStr">
        <is>
          <t>Brasil</t>
        </is>
      </c>
      <c r="M773" s="7" t="inlineStr">
        <is>
          <t>0/1/2 - Conforme Origem do Lote</t>
        </is>
      </c>
    </row>
    <row r="774" ht="22" customHeight="1">
      <c r="A774" s="12" t="inlineStr">
        <is>
          <t>EMP-0770</t>
        </is>
      </c>
      <c r="B774" s="11" t="n">
        <v>664</v>
      </c>
      <c r="C774" s="13" t="inlineStr">
        <is>
          <t>Nº 0820</t>
        </is>
      </c>
      <c r="D774" s="14" t="inlineStr">
        <is>
          <t>MESOPEC</t>
        </is>
      </c>
      <c r="E774" s="13" t="inlineStr">
        <is>
          <t>3. Formulador / Co-Distribuidor Autorizado</t>
        </is>
      </c>
      <c r="F774" s="13" t="inlineStr">
        <is>
          <t>Produto Formulado Comercial</t>
        </is>
      </c>
      <c r="G774" s="13" t="inlineStr">
        <is>
          <t>Sino-Agri</t>
        </is>
      </c>
      <c r="H774" s="13" t="inlineStr">
        <is>
          <t>Estabelecimento Credenciado</t>
        </is>
      </c>
      <c r="I774" s="13" t="inlineStr">
        <is>
          <t>CNPJ Credenciado MAPA</t>
        </is>
      </c>
      <c r="J774" s="13" t="inlineStr">
        <is>
          <t>Registro Estadual Vigente</t>
        </is>
      </c>
      <c r="K774" s="13" t="inlineStr">
        <is>
          <t>Unidade Operacional Brasil</t>
        </is>
      </c>
      <c r="L774" s="13" t="inlineStr">
        <is>
          <t>Brasil</t>
        </is>
      </c>
      <c r="M774" s="13" t="inlineStr">
        <is>
          <t>0/1/2 - Conforme Origem do Lote</t>
        </is>
      </c>
    </row>
    <row r="775" ht="22" customHeight="1">
      <c r="A775" s="6" t="inlineStr">
        <is>
          <t>EMP-0771</t>
        </is>
      </c>
      <c r="B775" s="5" t="n">
        <v>665</v>
      </c>
      <c r="C775" s="7" t="inlineStr">
        <is>
          <t>Nº 16320</t>
        </is>
      </c>
      <c r="D775" s="8" t="inlineStr">
        <is>
          <t>TAKUMI</t>
        </is>
      </c>
      <c r="E775" s="7" t="inlineStr">
        <is>
          <t>1. Titular do Registro / Produtor</t>
        </is>
      </c>
      <c r="F775" s="7" t="inlineStr">
        <is>
          <t>Produto Formulado Comercial</t>
        </is>
      </c>
      <c r="G775" s="7" t="inlineStr">
        <is>
          <t>SIPCAM NICHINO BRASIL S.A. / NIHON NOHYAKU</t>
        </is>
      </c>
      <c r="H775" s="7" t="inlineStr">
        <is>
          <t>Matriz / Estabelecimento Principal</t>
        </is>
      </c>
      <c r="I775" s="7" t="inlineStr">
        <is>
          <t>CNPJ Credenciado MAPA/SIPEAGRO</t>
        </is>
      </c>
      <c r="J775" s="7" t="inlineStr">
        <is>
          <t>Registro Estadual Vigente</t>
        </is>
      </c>
      <c r="K775" s="7" t="inlineStr">
        <is>
          <t>Estabelecimento Credenciado no Brasil</t>
        </is>
      </c>
      <c r="L775" s="7" t="inlineStr">
        <is>
          <t>Brasil</t>
        </is>
      </c>
      <c r="M775" s="7" t="inlineStr">
        <is>
          <t>0 - Nacional / 1 - Importação Direta</t>
        </is>
      </c>
    </row>
    <row r="776" ht="22" customHeight="1">
      <c r="A776" s="12" t="inlineStr">
        <is>
          <t>EMP-0772</t>
        </is>
      </c>
      <c r="B776" s="11" t="n">
        <v>666</v>
      </c>
      <c r="C776" s="13" t="inlineStr">
        <is>
          <t>Nº 3101</t>
        </is>
      </c>
      <c r="D776" s="14" t="inlineStr">
        <is>
          <t>CIPERMETRINA NORTOX 250 EC</t>
        </is>
      </c>
      <c r="E776" s="13" t="inlineStr">
        <is>
          <t>1. Titular do Registro / Produtor</t>
        </is>
      </c>
      <c r="F776" s="13" t="inlineStr">
        <is>
          <t>Produto Formulado Comercial</t>
        </is>
      </c>
      <c r="G776" s="13" t="inlineStr">
        <is>
          <t>Nortox S.A.</t>
        </is>
      </c>
      <c r="H776" s="13" t="inlineStr">
        <is>
          <t>Matriz / Estabelecimento Principal</t>
        </is>
      </c>
      <c r="I776" s="13" t="inlineStr">
        <is>
          <t>CNPJ Credenciado MAPA/SIPEAGRO</t>
        </is>
      </c>
      <c r="J776" s="13" t="inlineStr">
        <is>
          <t>Registro Estadual Vigente</t>
        </is>
      </c>
      <c r="K776" s="13" t="inlineStr">
        <is>
          <t>Estabelecimento Credenciado no Brasil</t>
        </is>
      </c>
      <c r="L776" s="13" t="inlineStr">
        <is>
          <t>Brasil</t>
        </is>
      </c>
      <c r="M776" s="13" t="inlineStr">
        <is>
          <t>0 - Nacional / 1 - Importação Direta</t>
        </is>
      </c>
    </row>
    <row r="777" ht="22" customHeight="1">
      <c r="A777" s="6" t="inlineStr">
        <is>
          <t>EMP-0773</t>
        </is>
      </c>
      <c r="B777" s="5" t="n">
        <v>667</v>
      </c>
      <c r="C777" s="7" t="inlineStr">
        <is>
          <t>SIPEAGRO (UF-XXXXX)</t>
        </is>
      </c>
      <c r="D777" s="8" t="inlineStr">
        <is>
          <t>INOCULANTE BS GRAMINEAS</t>
        </is>
      </c>
      <c r="E777" s="7" t="inlineStr">
        <is>
          <t>1. Titular do Registro / Produtor</t>
        </is>
      </c>
      <c r="F777" s="7" t="inlineStr">
        <is>
          <t>Inoculante / Biológico</t>
        </is>
      </c>
      <c r="G777" s="7" t="inlineStr">
        <is>
          <t>Estabelecimento Produtor SIPEAGRO/MAPA</t>
        </is>
      </c>
      <c r="H777" s="7" t="inlineStr">
        <is>
          <t>Matriz / Estabelecimento Principal</t>
        </is>
      </c>
      <c r="I777" s="7" t="inlineStr">
        <is>
          <t>CNPJ Credenciado MAPA/SIPEAGRO</t>
        </is>
      </c>
      <c r="J777" s="7" t="inlineStr">
        <is>
          <t>Registro Estadual Vigente</t>
        </is>
      </c>
      <c r="K777" s="7" t="inlineStr">
        <is>
          <t>Estabelecimento Credenciado no Brasil</t>
        </is>
      </c>
      <c r="L777" s="7" t="inlineStr">
        <is>
          <t>Brasil</t>
        </is>
      </c>
      <c r="M777" s="7" t="inlineStr">
        <is>
          <t>0 - Nacional / 1 - Importação Direta</t>
        </is>
      </c>
    </row>
    <row r="778" ht="22" customHeight="1">
      <c r="A778" s="12" t="inlineStr">
        <is>
          <t>EMP-0774</t>
        </is>
      </c>
      <c r="B778" s="11" t="n">
        <v>668</v>
      </c>
      <c r="C778" s="13" t="inlineStr">
        <is>
          <t>SIPEAGRO (UF-XXXXX)</t>
        </is>
      </c>
      <c r="D778" s="14" t="inlineStr">
        <is>
          <t>INOCULANTE GRAP NOD L + 1,75L</t>
        </is>
      </c>
      <c r="E778" s="13" t="inlineStr">
        <is>
          <t>1. Titular do Registro / Produtor</t>
        </is>
      </c>
      <c r="F778" s="13" t="inlineStr">
        <is>
          <t>Inoculante / Biológico</t>
        </is>
      </c>
      <c r="G778" s="13" t="inlineStr">
        <is>
          <t>Estabelecimento Produtor SIPEAGRO/MAPA</t>
        </is>
      </c>
      <c r="H778" s="13" t="inlineStr">
        <is>
          <t>Matriz / Estabelecimento Principal</t>
        </is>
      </c>
      <c r="I778" s="13" t="inlineStr">
        <is>
          <t>CNPJ Credenciado MAPA/SIPEAGRO</t>
        </is>
      </c>
      <c r="J778" s="13" t="inlineStr">
        <is>
          <t>Registro Estadual Vigente</t>
        </is>
      </c>
      <c r="K778" s="13" t="inlineStr">
        <is>
          <t>Estabelecimento Credenciado no Brasil</t>
        </is>
      </c>
      <c r="L778" s="13" t="inlineStr">
        <is>
          <t>Brasil</t>
        </is>
      </c>
      <c r="M778" s="13" t="inlineStr">
        <is>
          <t>0 - Nacional / 1 - Importação Direta</t>
        </is>
      </c>
    </row>
    <row r="779" ht="22" customHeight="1">
      <c r="A779" s="6" t="inlineStr">
        <is>
          <t>EMP-0775</t>
        </is>
      </c>
      <c r="B779" s="5" t="n">
        <v>669</v>
      </c>
      <c r="C779" s="7" t="inlineStr">
        <is>
          <t>Nº 18007</t>
        </is>
      </c>
      <c r="D779" s="8" t="inlineStr">
        <is>
          <t>UNIZEB GOLD BR</t>
        </is>
      </c>
      <c r="E779" s="7" t="inlineStr">
        <is>
          <t>1. Titular do Registro / Produtor</t>
        </is>
      </c>
      <c r="F779" s="7" t="inlineStr">
        <is>
          <t>Produto Formulado Comercial</t>
        </is>
      </c>
      <c r="G779" s="7" t="inlineStr">
        <is>
          <t>UPL DO BRASIL INDÚSTRIA E COMÉRCIO DE INSUMOS AGROPECUÁRIOS S.A.</t>
        </is>
      </c>
      <c r="H779" s="7" t="inlineStr">
        <is>
          <t>Matriz / Estabelecimento Principal</t>
        </is>
      </c>
      <c r="I779" s="7" t="inlineStr">
        <is>
          <t>CNPJ Credenciado MAPA/SIPEAGRO</t>
        </is>
      </c>
      <c r="J779" s="7" t="inlineStr">
        <is>
          <t>Registro Estadual Vigente</t>
        </is>
      </c>
      <c r="K779" s="7" t="inlineStr">
        <is>
          <t>Estabelecimento Credenciado no Brasil</t>
        </is>
      </c>
      <c r="L779" s="7" t="inlineStr">
        <is>
          <t>Brasil</t>
        </is>
      </c>
      <c r="M779" s="7" t="inlineStr">
        <is>
          <t>0 - Nacional / 1 - Importação Direta</t>
        </is>
      </c>
    </row>
    <row r="780" ht="22" customHeight="1">
      <c r="A780" s="12" t="inlineStr">
        <is>
          <t>EMP-0776</t>
        </is>
      </c>
      <c r="B780" s="11" t="n">
        <v>670</v>
      </c>
      <c r="C780" s="13" t="inlineStr">
        <is>
          <t>Nº 4810</t>
        </is>
      </c>
      <c r="D780" s="14" t="inlineStr">
        <is>
          <t>CERTEZA N</t>
        </is>
      </c>
      <c r="E780" s="13" t="inlineStr">
        <is>
          <t>1. Titular do Registro / Produtor</t>
        </is>
      </c>
      <c r="F780" s="13" t="inlineStr">
        <is>
          <t>Produto Formulado Comercial</t>
        </is>
      </c>
      <c r="G780" s="13" t="inlineStr">
        <is>
          <t>Iharabras S.A.</t>
        </is>
      </c>
      <c r="H780" s="13" t="inlineStr">
        <is>
          <t>Matriz / Estabelecimento Principal</t>
        </is>
      </c>
      <c r="I780" s="13" t="inlineStr">
        <is>
          <t>CNPJ Credenciado MAPA/SIPEAGRO</t>
        </is>
      </c>
      <c r="J780" s="13" t="inlineStr">
        <is>
          <t>Registro Estadual Vigente</t>
        </is>
      </c>
      <c r="K780" s="13" t="inlineStr">
        <is>
          <t>Estabelecimento Credenciado no Brasil</t>
        </is>
      </c>
      <c r="L780" s="13" t="inlineStr">
        <is>
          <t>Brasil</t>
        </is>
      </c>
      <c r="M780" s="13" t="inlineStr">
        <is>
          <t>0 - Nacional / 1 - Importação Direta</t>
        </is>
      </c>
    </row>
    <row r="781" ht="22" customHeight="1">
      <c r="A781" s="6" t="inlineStr">
        <is>
          <t>EMP-0777</t>
        </is>
      </c>
      <c r="B781" s="5" t="n">
        <v>671</v>
      </c>
      <c r="C781" s="7" t="inlineStr">
        <is>
          <t>Nº 19123</t>
        </is>
      </c>
      <c r="D781" s="8" t="inlineStr">
        <is>
          <t>BRUCIA</t>
        </is>
      </c>
      <c r="E781" s="7" t="inlineStr">
        <is>
          <t>1. Titular do Registro / Produtor</t>
        </is>
      </c>
      <c r="F781" s="7" t="inlineStr">
        <is>
          <t>Produto Formulado Comercial</t>
        </is>
      </c>
      <c r="G781" s="7" t="inlineStr">
        <is>
          <t>Isk Biosciences do Brasil</t>
        </is>
      </c>
      <c r="H781" s="7" t="inlineStr">
        <is>
          <t>Matriz / Estabelecimento Principal</t>
        </is>
      </c>
      <c r="I781" s="7" t="inlineStr">
        <is>
          <t>CNPJ Credenciado MAPA/SIPEAGRO</t>
        </is>
      </c>
      <c r="J781" s="7" t="inlineStr">
        <is>
          <t>Registro Estadual Vigente</t>
        </is>
      </c>
      <c r="K781" s="7" t="inlineStr">
        <is>
          <t>Estabelecimento Credenciado no Brasil</t>
        </is>
      </c>
      <c r="L781" s="7" t="inlineStr">
        <is>
          <t>Brasil</t>
        </is>
      </c>
      <c r="M781" s="7" t="inlineStr">
        <is>
          <t>0 - Nacional / 1 - Importação Direta</t>
        </is>
      </c>
    </row>
    <row r="782" ht="22" customHeight="1">
      <c r="A782" s="12" t="inlineStr">
        <is>
          <t>EMP-0778</t>
        </is>
      </c>
      <c r="B782" s="11" t="n">
        <v>672</v>
      </c>
      <c r="C782" s="13" t="inlineStr">
        <is>
          <t>SIPEAGRO (UF-XXXXX)</t>
        </is>
      </c>
      <c r="D782" s="14" t="inlineStr">
        <is>
          <t>CELLERON</t>
        </is>
      </c>
      <c r="E782" s="13" t="inlineStr">
        <is>
          <t>1. Titular do Registro / Produtor</t>
        </is>
      </c>
      <c r="F782" s="13" t="inlineStr">
        <is>
          <t>Fertilizante Mineral / Organomineral</t>
        </is>
      </c>
      <c r="G782" s="13" t="inlineStr">
        <is>
          <t>Estabelecimento Produtor SIPEAGRO/MAPA</t>
        </is>
      </c>
      <c r="H782" s="13" t="inlineStr">
        <is>
          <t>Matriz / Estabelecimento Principal</t>
        </is>
      </c>
      <c r="I782" s="13" t="inlineStr">
        <is>
          <t>CNPJ Credenciado MAPA/SIPEAGRO</t>
        </is>
      </c>
      <c r="J782" s="13" t="inlineStr">
        <is>
          <t>Registro Estadual Vigente</t>
        </is>
      </c>
      <c r="K782" s="13" t="inlineStr">
        <is>
          <t>Estabelecimento Credenciado no Brasil</t>
        </is>
      </c>
      <c r="L782" s="13" t="inlineStr">
        <is>
          <t>Brasil</t>
        </is>
      </c>
      <c r="M782" s="13" t="inlineStr">
        <is>
          <t>0 - Nacional / 1 - Importação Direta</t>
        </is>
      </c>
    </row>
    <row r="783" ht="22" customHeight="1">
      <c r="A783" s="6" t="inlineStr">
        <is>
          <t>EMP-0779</t>
        </is>
      </c>
      <c r="B783" s="5" t="n">
        <v>673</v>
      </c>
      <c r="C783" s="7" t="inlineStr">
        <is>
          <t>SIPEAGRO (UF-XXXXX)</t>
        </is>
      </c>
      <c r="D783" s="8" t="inlineStr">
        <is>
          <t>AGCN FULL</t>
        </is>
      </c>
      <c r="E783" s="7" t="inlineStr">
        <is>
          <t>1. Titular do Registro / Produtor</t>
        </is>
      </c>
      <c r="F783" s="7" t="inlineStr">
        <is>
          <t>Fertilizante Mineral / Organomineral</t>
        </is>
      </c>
      <c r="G783" s="7" t="inlineStr">
        <is>
          <t>Estabelecimento Produtor SIPEAGRO/MAPA</t>
        </is>
      </c>
      <c r="H783" s="7" t="inlineStr">
        <is>
          <t>Matriz / Estabelecimento Principal</t>
        </is>
      </c>
      <c r="I783" s="7" t="inlineStr">
        <is>
          <t>CNPJ Credenciado MAPA/SIPEAGRO</t>
        </is>
      </c>
      <c r="J783" s="7" t="inlineStr">
        <is>
          <t>Registro Estadual Vigente</t>
        </is>
      </c>
      <c r="K783" s="7" t="inlineStr">
        <is>
          <t>Estabelecimento Credenciado no Brasil</t>
        </is>
      </c>
      <c r="L783" s="7" t="inlineStr">
        <is>
          <t>Brasil</t>
        </is>
      </c>
      <c r="M783" s="7" t="inlineStr">
        <is>
          <t>0 - Nacional / 1 - Importação Direta</t>
        </is>
      </c>
    </row>
    <row r="784" ht="22" customHeight="1">
      <c r="A784" s="12" t="inlineStr">
        <is>
          <t>EMP-0780</t>
        </is>
      </c>
      <c r="B784" s="11" t="n">
        <v>674</v>
      </c>
      <c r="C784" s="13" t="inlineStr">
        <is>
          <t>Nº 1802</t>
        </is>
      </c>
      <c r="D784" s="14" t="inlineStr">
        <is>
          <t>PROMALIN</t>
        </is>
      </c>
      <c r="E784" s="13" t="inlineStr">
        <is>
          <t>1. Titular do Registro</t>
        </is>
      </c>
      <c r="F784" s="13" t="inlineStr">
        <is>
          <t>Produto Formulado Comercial</t>
        </is>
      </c>
      <c r="G784" s="13" t="inlineStr">
        <is>
          <t>Sumitomo</t>
        </is>
      </c>
      <c r="H784" s="13" t="inlineStr">
        <is>
          <t>Estabelecimento Credenciado</t>
        </is>
      </c>
      <c r="I784" s="13" t="inlineStr">
        <is>
          <t>CNPJ Credenciado MAPA</t>
        </is>
      </c>
      <c r="J784" s="13" t="inlineStr">
        <is>
          <t>Registro Estadual Vigente</t>
        </is>
      </c>
      <c r="K784" s="13" t="inlineStr">
        <is>
          <t>Unidade Operacional Brasil</t>
        </is>
      </c>
      <c r="L784" s="13" t="inlineStr">
        <is>
          <t>Brasil</t>
        </is>
      </c>
      <c r="M784" s="13" t="inlineStr">
        <is>
          <t>0/1/2 - Conforme Origem do Lote</t>
        </is>
      </c>
    </row>
    <row r="785" ht="22" customHeight="1">
      <c r="A785" s="6" t="inlineStr">
        <is>
          <t>EMP-0781</t>
        </is>
      </c>
      <c r="B785" s="5" t="n">
        <v>674</v>
      </c>
      <c r="C785" s="7" t="inlineStr">
        <is>
          <t>Nº 1802</t>
        </is>
      </c>
      <c r="D785" s="8" t="inlineStr">
        <is>
          <t>PROMALIN</t>
        </is>
      </c>
      <c r="E785" s="7" t="inlineStr">
        <is>
          <t>3. Formulador / Co-Distribuidor Autorizado</t>
        </is>
      </c>
      <c r="F785" s="7" t="inlineStr">
        <is>
          <t>Produto Formulado Comercial</t>
        </is>
      </c>
      <c r="G785" s="7" t="inlineStr">
        <is>
          <t>Valent</t>
        </is>
      </c>
      <c r="H785" s="7" t="inlineStr">
        <is>
          <t>Estabelecimento Credenciado</t>
        </is>
      </c>
      <c r="I785" s="7" t="inlineStr">
        <is>
          <t>CNPJ Credenciado MAPA</t>
        </is>
      </c>
      <c r="J785" s="7" t="inlineStr">
        <is>
          <t>Registro Estadual Vigente</t>
        </is>
      </c>
      <c r="K785" s="7" t="inlineStr">
        <is>
          <t>Unidade Operacional Brasil</t>
        </is>
      </c>
      <c r="L785" s="7" t="inlineStr">
        <is>
          <t>Brasil</t>
        </is>
      </c>
      <c r="M785" s="7" t="inlineStr">
        <is>
          <t>0/1/2 - Conforme Origem do Lote</t>
        </is>
      </c>
    </row>
    <row r="786" ht="22" customHeight="1">
      <c r="A786" s="12" t="inlineStr">
        <is>
          <t>EMP-0782</t>
        </is>
      </c>
      <c r="B786" s="11" t="n">
        <v>675</v>
      </c>
      <c r="C786" s="13" t="inlineStr">
        <is>
          <t>Nº 33217</t>
        </is>
      </c>
      <c r="D786" s="14" t="inlineStr">
        <is>
          <t>PANGA 900 WG</t>
        </is>
      </c>
      <c r="E786" s="13" t="inlineStr">
        <is>
          <t>1. Titular do Registro / Produtor</t>
        </is>
      </c>
      <c r="F786" s="13" t="inlineStr">
        <is>
          <t>Produto Formulado Comercial</t>
        </is>
      </c>
      <c r="G786" s="13" t="inlineStr">
        <is>
          <t>RAINBOW DEFENSIVOS AGRÍCOLAS LTDA.</t>
        </is>
      </c>
      <c r="H786" s="13" t="inlineStr">
        <is>
          <t>Matriz / Estabelecimento Principal</t>
        </is>
      </c>
      <c r="I786" s="13" t="inlineStr">
        <is>
          <t>CNPJ Credenciado MAPA/SIPEAGRO</t>
        </is>
      </c>
      <c r="J786" s="13" t="inlineStr">
        <is>
          <t>Registro Estadual Vigente</t>
        </is>
      </c>
      <c r="K786" s="13" t="inlineStr">
        <is>
          <t>Estabelecimento Credenciado no Brasil</t>
        </is>
      </c>
      <c r="L786" s="13" t="inlineStr">
        <is>
          <t>Brasil</t>
        </is>
      </c>
      <c r="M786" s="13" t="inlineStr">
        <is>
          <t>0 - Nacional / 1 - Importação Direta</t>
        </is>
      </c>
    </row>
    <row r="787" ht="22" customHeight="1">
      <c r="A787" s="6" t="inlineStr">
        <is>
          <t>EMP-0783</t>
        </is>
      </c>
      <c r="B787" s="5" t="n">
        <v>676</v>
      </c>
      <c r="C787" s="7" t="inlineStr">
        <is>
          <t>Nº 31017</t>
        </is>
      </c>
      <c r="D787" s="8" t="inlineStr">
        <is>
          <t>TRIDIUM</t>
        </is>
      </c>
      <c r="E787" s="7" t="inlineStr">
        <is>
          <t>1. Titular do Registro / Produtor</t>
        </is>
      </c>
      <c r="F787" s="7" t="inlineStr">
        <is>
          <t>Produto Formulado Comercial</t>
        </is>
      </c>
      <c r="G787" s="7" t="inlineStr">
        <is>
          <t>UPL DO BRASIL INDÚSTRIA E COMÉRCIO DE INSUMOS AGROPECUÁRIOS S.A.</t>
        </is>
      </c>
      <c r="H787" s="7" t="inlineStr">
        <is>
          <t>Matriz / Estabelecimento Principal</t>
        </is>
      </c>
      <c r="I787" s="7" t="inlineStr">
        <is>
          <t>CNPJ Credenciado MAPA/SIPEAGRO</t>
        </is>
      </c>
      <c r="J787" s="7" t="inlineStr">
        <is>
          <t>Registro Estadual Vigente</t>
        </is>
      </c>
      <c r="K787" s="7" t="inlineStr">
        <is>
          <t>Estabelecimento Credenciado no Brasil</t>
        </is>
      </c>
      <c r="L787" s="7" t="inlineStr">
        <is>
          <t>Brasil</t>
        </is>
      </c>
      <c r="M787" s="7" t="inlineStr">
        <is>
          <t>0 - Nacional / 1 - Importação Direta</t>
        </is>
      </c>
    </row>
    <row r="788" ht="22" customHeight="1">
      <c r="A788" s="12" t="inlineStr">
        <is>
          <t>EMP-0784</t>
        </is>
      </c>
      <c r="B788" s="11" t="n">
        <v>677</v>
      </c>
      <c r="C788" s="13" t="inlineStr">
        <is>
          <t>Nº 9407</t>
        </is>
      </c>
      <c r="D788" s="14" t="inlineStr">
        <is>
          <t>ARIETE</t>
        </is>
      </c>
      <c r="E788" s="13" t="inlineStr">
        <is>
          <t>1. Titular do Registro</t>
        </is>
      </c>
      <c r="F788" s="13" t="inlineStr">
        <is>
          <t>Produto Formulado Comercial</t>
        </is>
      </c>
      <c r="G788" s="13" t="inlineStr">
        <is>
          <t>Ourofino</t>
        </is>
      </c>
      <c r="H788" s="13" t="inlineStr">
        <is>
          <t>Estabelecimento Credenciado</t>
        </is>
      </c>
      <c r="I788" s="13" t="inlineStr">
        <is>
          <t>CNPJ Credenciado MAPA</t>
        </is>
      </c>
      <c r="J788" s="13" t="inlineStr">
        <is>
          <t>Registro Estadual Vigente</t>
        </is>
      </c>
      <c r="K788" s="13" t="inlineStr">
        <is>
          <t>Unidade Operacional Brasil</t>
        </is>
      </c>
      <c r="L788" s="13" t="inlineStr">
        <is>
          <t>Brasil</t>
        </is>
      </c>
      <c r="M788" s="13" t="inlineStr">
        <is>
          <t>0/1/2 - Conforme Origem do Lote</t>
        </is>
      </c>
    </row>
    <row r="789" ht="22" customHeight="1">
      <c r="A789" s="6" t="inlineStr">
        <is>
          <t>EMP-0785</t>
        </is>
      </c>
      <c r="B789" s="5" t="n">
        <v>677</v>
      </c>
      <c r="C789" s="7" t="inlineStr">
        <is>
          <t>Nº 9407</t>
        </is>
      </c>
      <c r="D789" s="8" t="inlineStr">
        <is>
          <t>ARIETE</t>
        </is>
      </c>
      <c r="E789" s="7" t="inlineStr">
        <is>
          <t>3. Formulador / Co-Distribuidor Autorizado</t>
        </is>
      </c>
      <c r="F789" s="7" t="inlineStr">
        <is>
          <t>Produto Formulado Comercial</t>
        </is>
      </c>
      <c r="G789" s="7" t="inlineStr">
        <is>
          <t>FMC</t>
        </is>
      </c>
      <c r="H789" s="7" t="inlineStr">
        <is>
          <t>Estabelecimento Credenciado</t>
        </is>
      </c>
      <c r="I789" s="7" t="inlineStr">
        <is>
          <t>CNPJ Credenciado MAPA</t>
        </is>
      </c>
      <c r="J789" s="7" t="inlineStr">
        <is>
          <t>Registro Estadual Vigente</t>
        </is>
      </c>
      <c r="K789" s="7" t="inlineStr">
        <is>
          <t>Unidade Operacional Brasil</t>
        </is>
      </c>
      <c r="L789" s="7" t="inlineStr">
        <is>
          <t>Brasil</t>
        </is>
      </c>
      <c r="M789" s="7" t="inlineStr">
        <is>
          <t>0/1/2 - Conforme Origem do Lote</t>
        </is>
      </c>
    </row>
    <row r="790" ht="22" customHeight="1">
      <c r="A790" s="12" t="inlineStr">
        <is>
          <t>EMP-0786</t>
        </is>
      </c>
      <c r="B790" s="11" t="n">
        <v>678</v>
      </c>
      <c r="C790" s="13" t="inlineStr">
        <is>
          <t>SIPEAGRO (UF-XXXXX)</t>
        </is>
      </c>
      <c r="D790" s="14" t="inlineStr">
        <is>
          <t>BACSTIM 100</t>
        </is>
      </c>
      <c r="E790" s="13" t="inlineStr">
        <is>
          <t>1. Titular do Registro / Produtor</t>
        </is>
      </c>
      <c r="F790" s="13" t="inlineStr">
        <is>
          <t>Inoculante / Biológico</t>
        </is>
      </c>
      <c r="G790" s="13" t="inlineStr">
        <is>
          <t>Estabelecimento Produtor SIPEAGRO/MAPA</t>
        </is>
      </c>
      <c r="H790" s="13" t="inlineStr">
        <is>
          <t>Matriz / Estabelecimento Principal</t>
        </is>
      </c>
      <c r="I790" s="13" t="inlineStr">
        <is>
          <t>CNPJ Credenciado MAPA/SIPEAGRO</t>
        </is>
      </c>
      <c r="J790" s="13" t="inlineStr">
        <is>
          <t>Registro Estadual Vigente</t>
        </is>
      </c>
      <c r="K790" s="13" t="inlineStr">
        <is>
          <t>Estabelecimento Credenciado no Brasil</t>
        </is>
      </c>
      <c r="L790" s="13" t="inlineStr">
        <is>
          <t>Brasil</t>
        </is>
      </c>
      <c r="M790" s="13" t="inlineStr">
        <is>
          <t>0 - Nacional / 1 - Importação Direta</t>
        </is>
      </c>
    </row>
    <row r="791" ht="22" customHeight="1">
      <c r="A791" s="6" t="inlineStr">
        <is>
          <t>EMP-0787</t>
        </is>
      </c>
      <c r="B791" s="5" t="n">
        <v>679</v>
      </c>
      <c r="C791" s="7" t="inlineStr">
        <is>
          <t>Nº 1188593</t>
        </is>
      </c>
      <c r="D791" s="8" t="inlineStr">
        <is>
          <t>VERSATILIS</t>
        </is>
      </c>
      <c r="E791" s="7" t="inlineStr">
        <is>
          <t>1. Titular do Registro / Produtor</t>
        </is>
      </c>
      <c r="F791" s="7" t="inlineStr">
        <is>
          <t>Produto Formulado Comercial</t>
        </is>
      </c>
      <c r="G791" s="7" t="inlineStr">
        <is>
          <t>BASF S.A.</t>
        </is>
      </c>
      <c r="H791" s="7" t="inlineStr">
        <is>
          <t>Matriz / Estabelecimento Principal</t>
        </is>
      </c>
      <c r="I791" s="7" t="inlineStr">
        <is>
          <t>CNPJ Credenciado MAPA/SIPEAGRO</t>
        </is>
      </c>
      <c r="J791" s="7" t="inlineStr">
        <is>
          <t>Registro Estadual Vigente</t>
        </is>
      </c>
      <c r="K791" s="7" t="inlineStr">
        <is>
          <t>Estabelecimento Credenciado no Brasil</t>
        </is>
      </c>
      <c r="L791" s="7" t="inlineStr">
        <is>
          <t>Brasil</t>
        </is>
      </c>
      <c r="M791" s="7" t="inlineStr">
        <is>
          <t>0 - Nacional / 1 - Importação Direta</t>
        </is>
      </c>
    </row>
    <row r="792" ht="22" customHeight="1">
      <c r="A792" s="12" t="inlineStr">
        <is>
          <t>EMP-0788</t>
        </is>
      </c>
      <c r="B792" s="11" t="n">
        <v>680</v>
      </c>
      <c r="C792" s="13" t="inlineStr">
        <is>
          <t>Nº 7823</t>
        </is>
      </c>
      <c r="D792" s="14" t="inlineStr">
        <is>
          <t>INEDITO</t>
        </is>
      </c>
      <c r="E792" s="13" t="inlineStr">
        <is>
          <t>1. Titular do Registro</t>
        </is>
      </c>
      <c r="F792" s="13" t="inlineStr">
        <is>
          <t>Produto Formulado Comercial</t>
        </is>
      </c>
      <c r="G792" s="13" t="inlineStr">
        <is>
          <t>Albaugh</t>
        </is>
      </c>
      <c r="H792" s="13" t="inlineStr">
        <is>
          <t>Estabelecimento Credenciado</t>
        </is>
      </c>
      <c r="I792" s="13" t="inlineStr">
        <is>
          <t>CNPJ Credenciado MAPA</t>
        </is>
      </c>
      <c r="J792" s="13" t="inlineStr">
        <is>
          <t>Registro Estadual Vigente</t>
        </is>
      </c>
      <c r="K792" s="13" t="inlineStr">
        <is>
          <t>Unidade Operacional Brasil</t>
        </is>
      </c>
      <c r="L792" s="13" t="inlineStr">
        <is>
          <t>Brasil</t>
        </is>
      </c>
      <c r="M792" s="13" t="inlineStr">
        <is>
          <t>0/1/2 - Conforme Origem do Lote</t>
        </is>
      </c>
    </row>
    <row r="793" ht="22" customHeight="1">
      <c r="A793" s="6" t="inlineStr">
        <is>
          <t>EMP-0789</t>
        </is>
      </c>
      <c r="B793" s="5" t="n">
        <v>680</v>
      </c>
      <c r="C793" s="7" t="inlineStr">
        <is>
          <t>Nº 7823</t>
        </is>
      </c>
      <c r="D793" s="8" t="inlineStr">
        <is>
          <t>INEDITO</t>
        </is>
      </c>
      <c r="E793" s="7" t="inlineStr">
        <is>
          <t>3. Formulador / Co-Distribuidor Autorizado</t>
        </is>
      </c>
      <c r="F793" s="7" t="inlineStr">
        <is>
          <t>Produto Formulado Comercial</t>
        </is>
      </c>
      <c r="G793" s="7" t="inlineStr">
        <is>
          <t>Ourofino</t>
        </is>
      </c>
      <c r="H793" s="7" t="inlineStr">
        <is>
          <t>Estabelecimento Credenciado</t>
        </is>
      </c>
      <c r="I793" s="7" t="inlineStr">
        <is>
          <t>CNPJ Credenciado MAPA</t>
        </is>
      </c>
      <c r="J793" s="7" t="inlineStr">
        <is>
          <t>Registro Estadual Vigente</t>
        </is>
      </c>
      <c r="K793" s="7" t="inlineStr">
        <is>
          <t>Unidade Operacional Brasil</t>
        </is>
      </c>
      <c r="L793" s="7" t="inlineStr">
        <is>
          <t>Brasil</t>
        </is>
      </c>
      <c r="M793" s="7" t="inlineStr">
        <is>
          <t>0/1/2 - Conforme Origem do Lote</t>
        </is>
      </c>
    </row>
    <row r="794" ht="22" customHeight="1">
      <c r="A794" s="12" t="inlineStr">
        <is>
          <t>EMP-0790</t>
        </is>
      </c>
      <c r="B794" s="11" t="n">
        <v>681</v>
      </c>
      <c r="C794" s="13" t="inlineStr">
        <is>
          <t>Nº 1613</t>
        </is>
      </c>
      <c r="D794" s="14" t="inlineStr">
        <is>
          <t>GAME</t>
        </is>
      </c>
      <c r="E794" s="13" t="inlineStr">
        <is>
          <t>1. Titular do Registro</t>
        </is>
      </c>
      <c r="F794" s="13" t="inlineStr">
        <is>
          <t>Produto Formulado Comercial</t>
        </is>
      </c>
      <c r="G794" s="13" t="inlineStr">
        <is>
          <t>Perterra</t>
        </is>
      </c>
      <c r="H794" s="13" t="inlineStr">
        <is>
          <t>Estabelecimento Credenciado</t>
        </is>
      </c>
      <c r="I794" s="13" t="inlineStr">
        <is>
          <t>CNPJ Credenciado MAPA</t>
        </is>
      </c>
      <c r="J794" s="13" t="inlineStr">
        <is>
          <t>Registro Estadual Vigente</t>
        </is>
      </c>
      <c r="K794" s="13" t="inlineStr">
        <is>
          <t>Unidade Operacional Brasil</t>
        </is>
      </c>
      <c r="L794" s="13" t="inlineStr">
        <is>
          <t>Brasil</t>
        </is>
      </c>
      <c r="M794" s="13" t="inlineStr">
        <is>
          <t>0/1/2 - Conforme Origem do Lote</t>
        </is>
      </c>
    </row>
    <row r="795" ht="22" customHeight="1">
      <c r="A795" s="6" t="inlineStr">
        <is>
          <t>EMP-0791</t>
        </is>
      </c>
      <c r="B795" s="5" t="n">
        <v>681</v>
      </c>
      <c r="C795" s="7" t="inlineStr">
        <is>
          <t>Nº 1613</t>
        </is>
      </c>
      <c r="D795" s="8" t="inlineStr">
        <is>
          <t>GAME</t>
        </is>
      </c>
      <c r="E795" s="7" t="inlineStr">
        <is>
          <t>3. Formulador / Co-Distribuidor Autorizado</t>
        </is>
      </c>
      <c r="F795" s="7" t="inlineStr">
        <is>
          <t>Produto Formulado Comercial</t>
        </is>
      </c>
      <c r="G795" s="7" t="inlineStr">
        <is>
          <t>Ourofino</t>
        </is>
      </c>
      <c r="H795" s="7" t="inlineStr">
        <is>
          <t>Estabelecimento Credenciado</t>
        </is>
      </c>
      <c r="I795" s="7" t="inlineStr">
        <is>
          <t>CNPJ Credenciado MAPA</t>
        </is>
      </c>
      <c r="J795" s="7" t="inlineStr">
        <is>
          <t>Registro Estadual Vigente</t>
        </is>
      </c>
      <c r="K795" s="7" t="inlineStr">
        <is>
          <t>Unidade Operacional Brasil</t>
        </is>
      </c>
      <c r="L795" s="7" t="inlineStr">
        <is>
          <t>Brasil</t>
        </is>
      </c>
      <c r="M795" s="7" t="inlineStr">
        <is>
          <t>0/1/2 - Conforme Origem do Lote</t>
        </is>
      </c>
    </row>
    <row r="796" ht="22" customHeight="1">
      <c r="A796" s="12" t="inlineStr">
        <is>
          <t>EMP-0792</t>
        </is>
      </c>
      <c r="B796" s="11" t="n">
        <v>682</v>
      </c>
      <c r="C796" s="13" t="inlineStr">
        <is>
          <t>Nº 18122</t>
        </is>
      </c>
      <c r="D796" s="14" t="inlineStr">
        <is>
          <t>TRICLOMAX</t>
        </is>
      </c>
      <c r="E796" s="13" t="inlineStr">
        <is>
          <t>1. Titular do Registro / Produtor</t>
        </is>
      </c>
      <c r="F796" s="13" t="inlineStr">
        <is>
          <t>Produto Formulado Comercial</t>
        </is>
      </c>
      <c r="G796" s="13" t="inlineStr">
        <is>
          <t>RAINBOW DEFENSIVOS AGRÍCOLAS LTDA.</t>
        </is>
      </c>
      <c r="H796" s="13" t="inlineStr">
        <is>
          <t>Matriz / Estabelecimento Principal</t>
        </is>
      </c>
      <c r="I796" s="13" t="inlineStr">
        <is>
          <t>10.486.463/0001-69</t>
        </is>
      </c>
      <c r="J796" s="13" t="inlineStr">
        <is>
          <t>SEAPA/RS nº 1928/09</t>
        </is>
      </c>
      <c r="K796" s="13" t="inlineStr">
        <is>
          <t>Estabelecimento Credenciado no Brasil</t>
        </is>
      </c>
      <c r="L796" s="13" t="inlineStr">
        <is>
          <t>Brasil</t>
        </is>
      </c>
      <c r="M796" s="13" t="inlineStr">
        <is>
          <t>0 - Nacional / 1 - Importação Direta</t>
        </is>
      </c>
    </row>
    <row r="797" ht="22" customHeight="1">
      <c r="A797" s="6" t="inlineStr">
        <is>
          <t>EMP-0793</t>
        </is>
      </c>
      <c r="B797" s="5" t="n">
        <v>683</v>
      </c>
      <c r="C797" s="7" t="inlineStr">
        <is>
          <t>Nº 18122</t>
        </is>
      </c>
      <c r="D797" s="8" t="inlineStr">
        <is>
          <t>TRICLOMAX 0,200L AMOSTRA (IMP) RW</t>
        </is>
      </c>
      <c r="E797" s="7" t="inlineStr">
        <is>
          <t>1. Titular do Registro / Produtor</t>
        </is>
      </c>
      <c r="F797" s="7" t="inlineStr">
        <is>
          <t>Produto Formulado Comercial</t>
        </is>
      </c>
      <c r="G797" s="7" t="inlineStr">
        <is>
          <t>RAINBOW DEFENSIVOS AGRÍCOLAS LTDA.</t>
        </is>
      </c>
      <c r="H797" s="7" t="inlineStr">
        <is>
          <t>Matriz / Estabelecimento Principal</t>
        </is>
      </c>
      <c r="I797" s="7" t="inlineStr">
        <is>
          <t>10.486.463/0001-69</t>
        </is>
      </c>
      <c r="J797" s="7" t="inlineStr">
        <is>
          <t>SEAPA/RS nº 1928/09</t>
        </is>
      </c>
      <c r="K797" s="7" t="inlineStr">
        <is>
          <t>Estabelecimento Credenciado no Brasil</t>
        </is>
      </c>
      <c r="L797" s="7" t="inlineStr">
        <is>
          <t>Brasil</t>
        </is>
      </c>
      <c r="M797" s="7" t="inlineStr">
        <is>
          <t>0 - Nacional / 1 - Importação Direta</t>
        </is>
      </c>
    </row>
    <row r="798" ht="22" customHeight="1">
      <c r="A798" s="12" t="inlineStr">
        <is>
          <t>EMP-0794</t>
        </is>
      </c>
      <c r="B798" s="11" t="n">
        <v>684</v>
      </c>
      <c r="C798" s="13" t="inlineStr">
        <is>
          <t>Nº 25423</t>
        </is>
      </c>
      <c r="D798" s="14" t="inlineStr">
        <is>
          <t>GLUFE 200 SL</t>
        </is>
      </c>
      <c r="E798" s="13" t="inlineStr">
        <is>
          <t>1. Titular do Registro / Produtor</t>
        </is>
      </c>
      <c r="F798" s="13" t="inlineStr">
        <is>
          <t>Produto Formulado Comercial</t>
        </is>
      </c>
      <c r="G798" s="13" t="inlineStr">
        <is>
          <t>LIBEN / YONON BRASIL DEFENSIVOS AGRÍCOLAS LTDA.</t>
        </is>
      </c>
      <c r="H798" s="13" t="inlineStr">
        <is>
          <t>Matriz / Estabelecimento Principal</t>
        </is>
      </c>
      <c r="I798" s="13" t="inlineStr">
        <is>
          <t>CNPJ Credenciado MAPA/SIPEAGRO</t>
        </is>
      </c>
      <c r="J798" s="13" t="inlineStr">
        <is>
          <t>Registro Estadual Vigente</t>
        </is>
      </c>
      <c r="K798" s="13" t="inlineStr">
        <is>
          <t>Estabelecimento Credenciado no Brasil</t>
        </is>
      </c>
      <c r="L798" s="13" t="inlineStr">
        <is>
          <t>Brasil</t>
        </is>
      </c>
      <c r="M798" s="13" t="inlineStr">
        <is>
          <t>0 - Nacional / 1 - Importação Direta</t>
        </is>
      </c>
    </row>
    <row r="799" ht="22" customHeight="1">
      <c r="A799" s="6" t="inlineStr">
        <is>
          <t>EMP-0795</t>
        </is>
      </c>
      <c r="B799" s="5" t="n">
        <v>685</v>
      </c>
      <c r="C799" s="7" t="inlineStr">
        <is>
          <t>Nº 25423</t>
        </is>
      </c>
      <c r="D799" s="8" t="inlineStr">
        <is>
          <t>GLUFOSINATE 200 SL LIBEN 0,200L AMOSTRA (IMP) LL</t>
        </is>
      </c>
      <c r="E799" s="7" t="inlineStr">
        <is>
          <t>1. Titular do Registro / Produtor</t>
        </is>
      </c>
      <c r="F799" s="7" t="inlineStr">
        <is>
          <t>Produto Formulado Comercial</t>
        </is>
      </c>
      <c r="G799" s="7" t="inlineStr">
        <is>
          <t>LIBEN / YONON BRASIL DEFENSIVOS AGRÍCOLAS LTDA.</t>
        </is>
      </c>
      <c r="H799" s="7" t="inlineStr">
        <is>
          <t>Matriz / Estabelecimento Principal</t>
        </is>
      </c>
      <c r="I799" s="7" t="inlineStr">
        <is>
          <t>CNPJ Credenciado MAPA/SIPEAGRO</t>
        </is>
      </c>
      <c r="J799" s="7" t="inlineStr">
        <is>
          <t>Registro Estadual Vigente</t>
        </is>
      </c>
      <c r="K799" s="7" t="inlineStr">
        <is>
          <t>Estabelecimento Credenciado no Brasil</t>
        </is>
      </c>
      <c r="L799" s="7" t="inlineStr">
        <is>
          <t>Brasil</t>
        </is>
      </c>
      <c r="M799" s="7" t="inlineStr">
        <is>
          <t>0 - Nacional / 1 - Importação Direta</t>
        </is>
      </c>
    </row>
    <row r="800" ht="22" customHeight="1">
      <c r="A800" s="12" t="inlineStr">
        <is>
          <t>EMP-0796</t>
        </is>
      </c>
      <c r="B800" s="11" t="n">
        <v>686</v>
      </c>
      <c r="C800" s="13" t="inlineStr">
        <is>
          <t>Nº 9520</t>
        </is>
      </c>
      <c r="D800" s="14" t="inlineStr">
        <is>
          <t>DK MAX</t>
        </is>
      </c>
      <c r="E800" s="13" t="inlineStr">
        <is>
          <t>1. Titular do Registro</t>
        </is>
      </c>
      <c r="F800" s="13" t="inlineStr">
        <is>
          <t>Produto Formulado Comercial</t>
        </is>
      </c>
      <c r="G800" s="13" t="inlineStr">
        <is>
          <t>Rainbow</t>
        </is>
      </c>
      <c r="H800" s="13" t="inlineStr">
        <is>
          <t>Estabelecimento Credenciado</t>
        </is>
      </c>
      <c r="I800" s="13" t="inlineStr">
        <is>
          <t>CNPJ Credenciado MAPA</t>
        </is>
      </c>
      <c r="J800" s="13" t="inlineStr">
        <is>
          <t>Registro Estadual Vigente</t>
        </is>
      </c>
      <c r="K800" s="13" t="inlineStr">
        <is>
          <t>Unidade Operacional Brasil</t>
        </is>
      </c>
      <c r="L800" s="13" t="inlineStr">
        <is>
          <t>Brasil</t>
        </is>
      </c>
      <c r="M800" s="13" t="inlineStr">
        <is>
          <t>0/1/2 - Conforme Origem do Lote</t>
        </is>
      </c>
    </row>
    <row r="801" ht="22" customHeight="1">
      <c r="A801" s="6" t="inlineStr">
        <is>
          <t>EMP-0797</t>
        </is>
      </c>
      <c r="B801" s="5" t="n">
        <v>686</v>
      </c>
      <c r="C801" s="7" t="inlineStr">
        <is>
          <t>Nº 9520</t>
        </is>
      </c>
      <c r="D801" s="8" t="inlineStr">
        <is>
          <t>DK MAX</t>
        </is>
      </c>
      <c r="E801" s="7" t="inlineStr">
        <is>
          <t>3. Formulador / Co-Distribuidor Autorizado</t>
        </is>
      </c>
      <c r="F801" s="7" t="inlineStr">
        <is>
          <t>Produto Formulado Comercial</t>
        </is>
      </c>
      <c r="G801" s="7" t="inlineStr">
        <is>
          <t>Perterra</t>
        </is>
      </c>
      <c r="H801" s="7" t="inlineStr">
        <is>
          <t>Estabelecimento Credenciado</t>
        </is>
      </c>
      <c r="I801" s="7" t="inlineStr">
        <is>
          <t>CNPJ Credenciado MAPA</t>
        </is>
      </c>
      <c r="J801" s="7" t="inlineStr">
        <is>
          <t>Registro Estadual Vigente</t>
        </is>
      </c>
      <c r="K801" s="7" t="inlineStr">
        <is>
          <t>Unidade Operacional Brasil</t>
        </is>
      </c>
      <c r="L801" s="7" t="inlineStr">
        <is>
          <t>Brasil</t>
        </is>
      </c>
      <c r="M801" s="7" t="inlineStr">
        <is>
          <t>0/1/2 - Conforme Origem do Lote</t>
        </is>
      </c>
    </row>
    <row r="802" ht="22" customHeight="1">
      <c r="A802" s="12" t="inlineStr">
        <is>
          <t>EMP-0798</t>
        </is>
      </c>
      <c r="B802" s="11" t="n">
        <v>687</v>
      </c>
      <c r="C802" s="13" t="inlineStr">
        <is>
          <t>Nº 2024</t>
        </is>
      </c>
      <c r="D802" s="14" t="inlineStr">
        <is>
          <t>THIOPHANATE METHYL</t>
        </is>
      </c>
      <c r="E802" s="13" t="inlineStr">
        <is>
          <t>1. Titular do Registro / Produtor</t>
        </is>
      </c>
      <c r="F802" s="13" t="inlineStr">
        <is>
          <t>Produto Formulado Comercial</t>
        </is>
      </c>
      <c r="G802" s="13" t="inlineStr">
        <is>
          <t>Yonon</t>
        </is>
      </c>
      <c r="H802" s="13" t="inlineStr">
        <is>
          <t>Matriz / Estabelecimento Principal</t>
        </is>
      </c>
      <c r="I802" s="13" t="inlineStr">
        <is>
          <t>CNPJ Credenciado MAPA/SIPEAGRO</t>
        </is>
      </c>
      <c r="J802" s="13" t="inlineStr">
        <is>
          <t>Registro Estadual Vigente</t>
        </is>
      </c>
      <c r="K802" s="13" t="inlineStr">
        <is>
          <t>Estabelecimento Credenciado no Brasil</t>
        </is>
      </c>
      <c r="L802" s="13" t="inlineStr">
        <is>
          <t>Brasil</t>
        </is>
      </c>
      <c r="M802" s="13" t="inlineStr">
        <is>
          <t>0 - Nacional / 1 - Importação Direta</t>
        </is>
      </c>
    </row>
    <row r="803" ht="22" customHeight="1">
      <c r="A803" s="6" t="inlineStr">
        <is>
          <t>EMP-0799</t>
        </is>
      </c>
      <c r="B803" s="5" t="n">
        <v>688</v>
      </c>
      <c r="C803" s="7" t="inlineStr">
        <is>
          <t>Nº 17921</t>
        </is>
      </c>
      <c r="D803" s="8" t="inlineStr">
        <is>
          <t>TIOFANATO</t>
        </is>
      </c>
      <c r="E803" s="7" t="inlineStr">
        <is>
          <t>1. Titular do Registro / Produtor</t>
        </is>
      </c>
      <c r="F803" s="7" t="inlineStr">
        <is>
          <t>Produto Formulado Comercial</t>
        </is>
      </c>
      <c r="G803" s="7" t="inlineStr">
        <is>
          <t>Proventis Lifescience</t>
        </is>
      </c>
      <c r="H803" s="7" t="inlineStr">
        <is>
          <t>Matriz / Estabelecimento Principal</t>
        </is>
      </c>
      <c r="I803" s="7" t="inlineStr">
        <is>
          <t>CNPJ Credenciado MAPA/SIPEAGRO</t>
        </is>
      </c>
      <c r="J803" s="7" t="inlineStr">
        <is>
          <t>Registro Estadual Vigente</t>
        </is>
      </c>
      <c r="K803" s="7" t="inlineStr">
        <is>
          <t>Estabelecimento Credenciado no Brasil</t>
        </is>
      </c>
      <c r="L803" s="7" t="inlineStr">
        <is>
          <t>Brasil</t>
        </is>
      </c>
      <c r="M803" s="7" t="inlineStr">
        <is>
          <t>0 - Nacional / 1 - Importação Direta</t>
        </is>
      </c>
    </row>
    <row r="804" ht="22" customHeight="1">
      <c r="A804" s="12" t="inlineStr">
        <is>
          <t>EMP-0800</t>
        </is>
      </c>
      <c r="B804" s="11" t="n">
        <v>689</v>
      </c>
      <c r="C804" s="13" t="inlineStr">
        <is>
          <t>Nº 6715</t>
        </is>
      </c>
      <c r="D804" s="14" t="inlineStr">
        <is>
          <t>2,4-D 806 SL CROTECT BBA</t>
        </is>
      </c>
      <c r="E804" s="13" t="inlineStr">
        <is>
          <t>1. Titular do Registro / Produtor</t>
        </is>
      </c>
      <c r="F804" s="13" t="inlineStr">
        <is>
          <t>Produto Formulado Comercial</t>
        </is>
      </c>
      <c r="G804" s="13" t="inlineStr">
        <is>
          <t>CROTECT CROP SCIENCE LTDA</t>
        </is>
      </c>
      <c r="H804" s="13" t="inlineStr">
        <is>
          <t>Matriz / Estabelecimento Principal</t>
        </is>
      </c>
      <c r="I804" s="13" t="inlineStr">
        <is>
          <t>CNPJ Credenciado MAPA/SIPEAGRO</t>
        </is>
      </c>
      <c r="J804" s="13" t="inlineStr">
        <is>
          <t>Registro Estadual Vigente</t>
        </is>
      </c>
      <c r="K804" s="13" t="inlineStr">
        <is>
          <t>Estabelecimento Credenciado no Brasil</t>
        </is>
      </c>
      <c r="L804" s="13" t="inlineStr">
        <is>
          <t>Brasil</t>
        </is>
      </c>
      <c r="M804" s="13" t="inlineStr">
        <is>
          <t>0 - Nacional / 1 - Importação Direta</t>
        </is>
      </c>
    </row>
    <row r="805" ht="22" customHeight="1">
      <c r="A805" s="6" t="inlineStr">
        <is>
          <t>EMP-0801</t>
        </is>
      </c>
      <c r="B805" s="5" t="n">
        <v>690</v>
      </c>
      <c r="C805" s="7" t="inlineStr">
        <is>
          <t>Nº 16922</t>
        </is>
      </c>
      <c r="D805" s="8" t="inlineStr">
        <is>
          <t>GLUFOS-WYN 200 SL</t>
        </is>
      </c>
      <c r="E805" s="7" t="inlineStr">
        <is>
          <t>1. Titular do Registro / Produtor</t>
        </is>
      </c>
      <c r="F805" s="7" t="inlineStr">
        <is>
          <t>Produto Formulado Comercial</t>
        </is>
      </c>
      <c r="G805" s="7" t="inlineStr">
        <is>
          <t>RAINBOW DEFENSIVOS AGRÍCOLAS LTDA.</t>
        </is>
      </c>
      <c r="H805" s="7" t="inlineStr">
        <is>
          <t>Matriz / Estabelecimento Principal</t>
        </is>
      </c>
      <c r="I805" s="7" t="inlineStr">
        <is>
          <t>CNPJ Credenciado MAPA/SIPEAGRO</t>
        </is>
      </c>
      <c r="J805" s="7" t="inlineStr">
        <is>
          <t>Registro Estadual Vigente</t>
        </is>
      </c>
      <c r="K805" s="7" t="inlineStr">
        <is>
          <t>Estabelecimento Credenciado no Brasil</t>
        </is>
      </c>
      <c r="L805" s="7" t="inlineStr">
        <is>
          <t>Brasil</t>
        </is>
      </c>
      <c r="M805" s="7" t="inlineStr">
        <is>
          <t>0 - Nacional / 1 - Importação Direta</t>
        </is>
      </c>
    </row>
    <row r="806" ht="22" customHeight="1">
      <c r="A806" s="12" t="inlineStr">
        <is>
          <t>EMP-0802</t>
        </is>
      </c>
      <c r="B806" s="11" t="n">
        <v>691</v>
      </c>
      <c r="C806" s="13" t="inlineStr">
        <is>
          <t>Nº 25423</t>
        </is>
      </c>
      <c r="D806" s="14" t="inlineStr">
        <is>
          <t>GLUFOSINATE 200 SL LIBEN</t>
        </is>
      </c>
      <c r="E806" s="13" t="inlineStr">
        <is>
          <t>1. Titular do Registro / Produtor</t>
        </is>
      </c>
      <c r="F806" s="13" t="inlineStr">
        <is>
          <t>Produto Formulado Comercial</t>
        </is>
      </c>
      <c r="G806" s="13" t="inlineStr">
        <is>
          <t>LIBEN / YONON BRASIL DEFENSIVOS AGRÍCOLAS LTDA.</t>
        </is>
      </c>
      <c r="H806" s="13" t="inlineStr">
        <is>
          <t>Matriz / Estabelecimento Principal</t>
        </is>
      </c>
      <c r="I806" s="13" t="inlineStr">
        <is>
          <t>CNPJ Credenciado MAPA/SIPEAGRO</t>
        </is>
      </c>
      <c r="J806" s="13" t="inlineStr">
        <is>
          <t>Registro Estadual Vigente</t>
        </is>
      </c>
      <c r="K806" s="13" t="inlineStr">
        <is>
          <t>Estabelecimento Credenciado no Brasil</t>
        </is>
      </c>
      <c r="L806" s="13" t="inlineStr">
        <is>
          <t>Brasil</t>
        </is>
      </c>
      <c r="M806" s="13" t="inlineStr">
        <is>
          <t>0 - Nacional / 1 - Importação Direta</t>
        </is>
      </c>
    </row>
    <row r="807" ht="22" customHeight="1">
      <c r="A807" s="6" t="inlineStr">
        <is>
          <t>EMP-0803</t>
        </is>
      </c>
      <c r="B807" s="5" t="n">
        <v>692</v>
      </c>
      <c r="C807" s="7" t="inlineStr">
        <is>
          <t>Nº 34318</t>
        </is>
      </c>
      <c r="D807" s="8" t="inlineStr">
        <is>
          <t>MAGNUM</t>
        </is>
      </c>
      <c r="E807" s="7" t="inlineStr">
        <is>
          <t>1. Titular do Registro / Produtor</t>
        </is>
      </c>
      <c r="F807" s="7" t="inlineStr">
        <is>
          <t>Produto Formulado Comercial</t>
        </is>
      </c>
      <c r="G807" s="7" t="inlineStr">
        <is>
          <t>PERTERRA INSUMOS AGROPECUÁRIOS S.A.</t>
        </is>
      </c>
      <c r="H807" s="7" t="inlineStr">
        <is>
          <t>Matriz / Estabelecimento Principal</t>
        </is>
      </c>
      <c r="I807" s="7" t="inlineStr">
        <is>
          <t>CNPJ Credenciado MAPA/SIPEAGRO</t>
        </is>
      </c>
      <c r="J807" s="7" t="inlineStr">
        <is>
          <t>Registro Estadual Vigente</t>
        </is>
      </c>
      <c r="K807" s="7" t="inlineStr">
        <is>
          <t>Estabelecimento Credenciado no Brasil</t>
        </is>
      </c>
      <c r="L807" s="7" t="inlineStr">
        <is>
          <t>Brasil</t>
        </is>
      </c>
      <c r="M807" s="7" t="inlineStr">
        <is>
          <t>0 - Nacional / 1 - Importação Direta</t>
        </is>
      </c>
    </row>
    <row r="808" ht="22" customHeight="1">
      <c r="A808" s="12" t="inlineStr">
        <is>
          <t>EMP-0804</t>
        </is>
      </c>
      <c r="B808" s="11" t="n">
        <v>693</v>
      </c>
      <c r="C808" s="13" t="inlineStr">
        <is>
          <t>Nº 9420</t>
        </is>
      </c>
      <c r="D808" s="14" t="inlineStr">
        <is>
          <t>ENSIS-TURBO 0,200L (IMP) AMOSTRA</t>
        </is>
      </c>
      <c r="E808" s="13" t="inlineStr">
        <is>
          <t>1. Titular do Registro</t>
        </is>
      </c>
      <c r="F808" s="13" t="inlineStr">
        <is>
          <t>Produto Formulado Comercial</t>
        </is>
      </c>
      <c r="G808" s="13" t="inlineStr">
        <is>
          <t>Adama</t>
        </is>
      </c>
      <c r="H808" s="13" t="inlineStr">
        <is>
          <t>Estabelecimento Credenciado</t>
        </is>
      </c>
      <c r="I808" s="13" t="inlineStr">
        <is>
          <t>CNPJ Credenciado MAPA</t>
        </is>
      </c>
      <c r="J808" s="13" t="inlineStr">
        <is>
          <t>Registro Estadual Vigente</t>
        </is>
      </c>
      <c r="K808" s="13" t="inlineStr">
        <is>
          <t>Unidade Operacional Brasil</t>
        </is>
      </c>
      <c r="L808" s="13" t="inlineStr">
        <is>
          <t>Brasil</t>
        </is>
      </c>
      <c r="M808" s="13" t="inlineStr">
        <is>
          <t>0/1/2 - Conforme Origem do Lote</t>
        </is>
      </c>
    </row>
    <row r="809" ht="22" customHeight="1">
      <c r="A809" s="6" t="inlineStr">
        <is>
          <t>EMP-0805</t>
        </is>
      </c>
      <c r="B809" s="5" t="n">
        <v>693</v>
      </c>
      <c r="C809" s="7" t="inlineStr">
        <is>
          <t>Nº 9420</t>
        </is>
      </c>
      <c r="D809" s="8" t="inlineStr">
        <is>
          <t>ENSIS-TURBO 0,200L (IMP) AMOSTRA</t>
        </is>
      </c>
      <c r="E809" s="7" t="inlineStr">
        <is>
          <t>3. Formulador / Co-Distribuidor Autorizado</t>
        </is>
      </c>
      <c r="F809" s="7" t="inlineStr">
        <is>
          <t>Produto Formulado Comercial</t>
        </is>
      </c>
      <c r="G809" s="7" t="inlineStr">
        <is>
          <t>Rainbow</t>
        </is>
      </c>
      <c r="H809" s="7" t="inlineStr">
        <is>
          <t>Estabelecimento Credenciado</t>
        </is>
      </c>
      <c r="I809" s="7" t="inlineStr">
        <is>
          <t>CNPJ Credenciado MAPA</t>
        </is>
      </c>
      <c r="J809" s="7" t="inlineStr">
        <is>
          <t>Registro Estadual Vigente</t>
        </is>
      </c>
      <c r="K809" s="7" t="inlineStr">
        <is>
          <t>Unidade Operacional Brasil</t>
        </is>
      </c>
      <c r="L809" s="7" t="inlineStr">
        <is>
          <t>Brasil</t>
        </is>
      </c>
      <c r="M809" s="7" t="inlineStr">
        <is>
          <t>0/1/2 - Conforme Origem do Lote</t>
        </is>
      </c>
    </row>
    <row r="810" ht="22" customHeight="1">
      <c r="A810" s="12" t="inlineStr">
        <is>
          <t>EMP-0806</t>
        </is>
      </c>
      <c r="B810" s="11" t="n">
        <v>694</v>
      </c>
      <c r="C810" s="13" t="inlineStr">
        <is>
          <t>SIPEAGRO (UF-XXXXX)</t>
        </is>
      </c>
      <c r="D810" s="14" t="inlineStr">
        <is>
          <t>FOSFATO MONOAMONICO 11-52-00 (44% H2O) (VALIDAR)</t>
        </is>
      </c>
      <c r="E810" s="13" t="inlineStr">
        <is>
          <t>1. Titular do Registro / Produtor</t>
        </is>
      </c>
      <c r="F810" s="13" t="inlineStr">
        <is>
          <t>Fertilizante Mineral / Organomineral</t>
        </is>
      </c>
      <c r="G810" s="13" t="inlineStr">
        <is>
          <t>Estabelecimento Produtor SIPEAGRO/MAPA</t>
        </is>
      </c>
      <c r="H810" s="13" t="inlineStr">
        <is>
          <t>Matriz / Estabelecimento Principal</t>
        </is>
      </c>
      <c r="I810" s="13" t="inlineStr">
        <is>
          <t>CNPJ Credenciado MAPA/SIPEAGRO</t>
        </is>
      </c>
      <c r="J810" s="13" t="inlineStr">
        <is>
          <t>Registro Estadual Vigente</t>
        </is>
      </c>
      <c r="K810" s="13" t="inlineStr">
        <is>
          <t>Estabelecimento Credenciado no Brasil</t>
        </is>
      </c>
      <c r="L810" s="13" t="inlineStr">
        <is>
          <t>Brasil</t>
        </is>
      </c>
      <c r="M810" s="13" t="inlineStr">
        <is>
          <t>0 - Nacional / 1 - Importação Direta</t>
        </is>
      </c>
    </row>
    <row r="811" ht="22" customHeight="1">
      <c r="A811" s="6" t="inlineStr">
        <is>
          <t>EMP-0807</t>
        </is>
      </c>
      <c r="B811" s="5" t="n">
        <v>695</v>
      </c>
      <c r="C811" s="7" t="inlineStr">
        <is>
          <t>Nº 14421</t>
        </is>
      </c>
      <c r="D811" s="8" t="inlineStr">
        <is>
          <t>FIPRONIL 250 FS ( PRINCIPIO ATIVO)</t>
        </is>
      </c>
      <c r="E811" s="7" t="inlineStr">
        <is>
          <t>1. Titular do Registro / Produtor</t>
        </is>
      </c>
      <c r="F811" s="7" t="inlineStr">
        <is>
          <t>Produto Técnico Industrial</t>
        </is>
      </c>
      <c r="G811" s="7" t="inlineStr">
        <is>
          <t>AGRICONNECTION IMPORTADORA E EXPORTADORA DE INSUMOS AGRÍCOLAS LTDA.</t>
        </is>
      </c>
      <c r="H811" s="7" t="inlineStr">
        <is>
          <t>Matriz / Estabelecimento Principal</t>
        </is>
      </c>
      <c r="I811" s="7" t="inlineStr">
        <is>
          <t>39.496.730/0001-60</t>
        </is>
      </c>
      <c r="J811" s="7" t="inlineStr">
        <is>
          <t>INDEA/MT nº 27326 / CDA/SP nº 4354</t>
        </is>
      </c>
      <c r="K811" s="7" t="inlineStr">
        <is>
          <t>Av. Manoel Genildo de Araujo, 188, Sala 02, Campo Verde/MT - CEP 78840-085</t>
        </is>
      </c>
      <c r="L811" s="7" t="inlineStr">
        <is>
          <t>Brasil</t>
        </is>
      </c>
      <c r="M811" s="7" t="inlineStr">
        <is>
          <t>0 - Nacional / 1 - Importação Direta</t>
        </is>
      </c>
    </row>
    <row r="812" ht="22" customHeight="1">
      <c r="A812" s="12" t="inlineStr">
        <is>
          <t>EMP-0808</t>
        </is>
      </c>
      <c r="B812" s="11" t="n">
        <v>696</v>
      </c>
      <c r="C812" s="13" t="inlineStr">
        <is>
          <t>Nº 14623</t>
        </is>
      </c>
      <c r="D812" s="14" t="inlineStr">
        <is>
          <t>METSULFUROM - METILICO (PRINCIPIO ATIVO)</t>
        </is>
      </c>
      <c r="E812" s="13" t="inlineStr">
        <is>
          <t>1. Titular do Registro / Produtor</t>
        </is>
      </c>
      <c r="F812" s="13" t="inlineStr">
        <is>
          <t>Produto Técnico Industrial</t>
        </is>
      </c>
      <c r="G812" s="13" t="inlineStr">
        <is>
          <t>AGRICONNECTION IMPORTADORA E EXPORTADORA DE INSUMOS AGRÍCOLAS LTDA.</t>
        </is>
      </c>
      <c r="H812" s="13" t="inlineStr">
        <is>
          <t>Matriz / Estabelecimento Principal</t>
        </is>
      </c>
      <c r="I812" s="13" t="inlineStr">
        <is>
          <t>CNPJ Credenciado MAPA/SIPEAGRO</t>
        </is>
      </c>
      <c r="J812" s="13" t="inlineStr">
        <is>
          <t>Registro Estadual Vigente</t>
        </is>
      </c>
      <c r="K812" s="13" t="inlineStr">
        <is>
          <t>Estabelecimento Credenciado no Brasil</t>
        </is>
      </c>
      <c r="L812" s="13" t="inlineStr">
        <is>
          <t>Brasil</t>
        </is>
      </c>
      <c r="M812" s="13" t="inlineStr">
        <is>
          <t>0 - Nacional / 1 - Importação Direta</t>
        </is>
      </c>
    </row>
    <row r="813" ht="22" customHeight="1">
      <c r="A813" s="6" t="inlineStr">
        <is>
          <t>EMP-0809</t>
        </is>
      </c>
      <c r="B813" s="5" t="n">
        <v>697</v>
      </c>
      <c r="C813" s="7" t="inlineStr">
        <is>
          <t>Nº 34725</t>
        </is>
      </c>
      <c r="D813" s="8" t="inlineStr">
        <is>
          <t>PROTIOCONAZOLE175+TRIFLOXYSTROBIN150 (PRINC ATIVO)</t>
        </is>
      </c>
      <c r="E813" s="7" t="inlineStr">
        <is>
          <t>1. Titular do Registro / Produtor</t>
        </is>
      </c>
      <c r="F813" s="7" t="inlineStr">
        <is>
          <t>Produto Técnico Industrial</t>
        </is>
      </c>
      <c r="G813" s="7" t="inlineStr">
        <is>
          <t>RAINBOW DEFENSIVOS AGRÍCOLAS LTDA.</t>
        </is>
      </c>
      <c r="H813" s="7" t="inlineStr">
        <is>
          <t>Matriz / Estabelecimento Principal</t>
        </is>
      </c>
      <c r="I813" s="7" t="inlineStr">
        <is>
          <t>CNPJ Credenciado MAPA/SIPEAGRO</t>
        </is>
      </c>
      <c r="J813" s="7" t="inlineStr">
        <is>
          <t>Registro Estadual Vigente</t>
        </is>
      </c>
      <c r="K813" s="7" t="inlineStr">
        <is>
          <t>Estabelecimento Credenciado no Brasil</t>
        </is>
      </c>
      <c r="L813" s="7" t="inlineStr">
        <is>
          <t>Brasil</t>
        </is>
      </c>
      <c r="M813" s="7" t="inlineStr">
        <is>
          <t>0 - Nacional / 1 - Importação Direta</t>
        </is>
      </c>
    </row>
    <row r="814" ht="22" customHeight="1">
      <c r="A814" s="12" t="inlineStr">
        <is>
          <t>EMP-0810</t>
        </is>
      </c>
      <c r="B814" s="11" t="n">
        <v>698</v>
      </c>
      <c r="C814" s="13" t="inlineStr">
        <is>
          <t>Nº 1838604</t>
        </is>
      </c>
      <c r="D814" s="14" t="inlineStr">
        <is>
          <t>OXIFLUORFEM 240 (PRINCIPIO ATIVO)</t>
        </is>
      </c>
      <c r="E814" s="13" t="inlineStr">
        <is>
          <t>1. Titular do Registro / Produtor</t>
        </is>
      </c>
      <c r="F814" s="13" t="inlineStr">
        <is>
          <t>Produto Técnico Industrial</t>
        </is>
      </c>
      <c r="G814" s="13" t="inlineStr">
        <is>
          <t>Proventis / Corteva</t>
        </is>
      </c>
      <c r="H814" s="13" t="inlineStr">
        <is>
          <t>Matriz / Estabelecimento Principal</t>
        </is>
      </c>
      <c r="I814" s="13" t="inlineStr">
        <is>
          <t>CNPJ Credenciado MAPA/SIPEAGRO</t>
        </is>
      </c>
      <c r="J814" s="13" t="inlineStr">
        <is>
          <t>Registro Estadual Vigente</t>
        </is>
      </c>
      <c r="K814" s="13" t="inlineStr">
        <is>
          <t>Estabelecimento Credenciado no Brasil</t>
        </is>
      </c>
      <c r="L814" s="13" t="inlineStr">
        <is>
          <t>Brasil</t>
        </is>
      </c>
      <c r="M814" s="13" t="inlineStr">
        <is>
          <t>0 - Nacional / 1 - Importação Direta</t>
        </is>
      </c>
    </row>
    <row r="815" ht="22" customHeight="1">
      <c r="A815" s="6" t="inlineStr">
        <is>
          <t>EMP-0811</t>
        </is>
      </c>
      <c r="B815" s="5" t="n">
        <v>699</v>
      </c>
      <c r="C815" s="7" t="inlineStr">
        <is>
          <t>Nº 40024</t>
        </is>
      </c>
      <c r="D815" s="8" t="inlineStr">
        <is>
          <t>CYPROCONAZOLE80+PICOXYSTROBIN200 (PRINCIPIO ATIVO)</t>
        </is>
      </c>
      <c r="E815" s="7" t="inlineStr">
        <is>
          <t>1. Titular do Registro / Produtor</t>
        </is>
      </c>
      <c r="F815" s="7" t="inlineStr">
        <is>
          <t>Produto Técnico Industrial</t>
        </is>
      </c>
      <c r="G815" s="7" t="inlineStr">
        <is>
          <t>RAINBOW DEFENSIVOS AGRÍCOLAS LTDA.</t>
        </is>
      </c>
      <c r="H815" s="7" t="inlineStr">
        <is>
          <t>Matriz / Estabelecimento Principal</t>
        </is>
      </c>
      <c r="I815" s="7" t="inlineStr">
        <is>
          <t>CNPJ Credenciado MAPA/SIPEAGRO</t>
        </is>
      </c>
      <c r="J815" s="7" t="inlineStr">
        <is>
          <t>Registro Estadual Vigente</t>
        </is>
      </c>
      <c r="K815" s="7" t="inlineStr">
        <is>
          <t>Estabelecimento Credenciado no Brasil</t>
        </is>
      </c>
      <c r="L815" s="7" t="inlineStr">
        <is>
          <t>Brasil</t>
        </is>
      </c>
      <c r="M815" s="7" t="inlineStr">
        <is>
          <t>0 - Nacional / 1 - Importação Direta</t>
        </is>
      </c>
    </row>
    <row r="816" ht="22" customHeight="1">
      <c r="A816" s="12" t="inlineStr">
        <is>
          <t>EMP-0812</t>
        </is>
      </c>
      <c r="B816" s="11" t="n">
        <v>700</v>
      </c>
      <c r="C816" s="13" t="inlineStr">
        <is>
          <t>Nº 14623</t>
        </is>
      </c>
      <c r="D816" s="14" t="inlineStr">
        <is>
          <t>METSULFUROM 600 (PRINCIPIO ATIVO)</t>
        </is>
      </c>
      <c r="E816" s="13" t="inlineStr">
        <is>
          <t>1. Titular do Registro / Produtor</t>
        </is>
      </c>
      <c r="F816" s="13" t="inlineStr">
        <is>
          <t>Produto Técnico Industrial</t>
        </is>
      </c>
      <c r="G816" s="13" t="inlineStr">
        <is>
          <t>AGRICONNECTION IMPORTADORA E EXPORTADORA DE INSUMOS AGRÍCOLAS LTDA.</t>
        </is>
      </c>
      <c r="H816" s="13" t="inlineStr">
        <is>
          <t>Matriz / Estabelecimento Principal</t>
        </is>
      </c>
      <c r="I816" s="13" t="inlineStr">
        <is>
          <t>CNPJ Credenciado MAPA/SIPEAGRO</t>
        </is>
      </c>
      <c r="J816" s="13" t="inlineStr">
        <is>
          <t>Registro Estadual Vigente</t>
        </is>
      </c>
      <c r="K816" s="13" t="inlineStr">
        <is>
          <t>Estabelecimento Credenciado no Brasil</t>
        </is>
      </c>
      <c r="L816" s="13" t="inlineStr">
        <is>
          <t>Brasil</t>
        </is>
      </c>
      <c r="M816" s="13" t="inlineStr">
        <is>
          <t>0 - Nacional / 1 - Importação Direta</t>
        </is>
      </c>
    </row>
    <row r="817" ht="22" customHeight="1">
      <c r="A817" s="6" t="inlineStr">
        <is>
          <t>EMP-0813</t>
        </is>
      </c>
      <c r="B817" s="5" t="n">
        <v>701</v>
      </c>
      <c r="C817" s="7" t="inlineStr">
        <is>
          <t>Nº 24925</t>
        </is>
      </c>
      <c r="D817" s="8" t="inlineStr">
        <is>
          <t>ATOL TRIO (METOLACHLOR+ATRAZINE+MESOTRIONE) (P. A)</t>
        </is>
      </c>
      <c r="E817" s="7" t="inlineStr">
        <is>
          <t>1. Titular do Registro</t>
        </is>
      </c>
      <c r="F817" s="7" t="inlineStr">
        <is>
          <t>Produto Técnico Industrial</t>
        </is>
      </c>
      <c r="G817" s="7" t="inlineStr">
        <is>
          <t>Globachem Proteção de Cultivos do Brasil Ltda. — S-Metolacloro 290 g</t>
        </is>
      </c>
      <c r="H817" s="7" t="inlineStr">
        <is>
          <t>Estabelecimento Credenciado</t>
        </is>
      </c>
      <c r="I817" s="7" t="inlineStr">
        <is>
          <t>CNPJ Credenciado MAPA</t>
        </is>
      </c>
      <c r="J817" s="7" t="inlineStr">
        <is>
          <t>Registro Estadual Vigente</t>
        </is>
      </c>
      <c r="K817" s="7" t="inlineStr">
        <is>
          <t>Unidade Operacional Brasil</t>
        </is>
      </c>
      <c r="L817" s="7" t="inlineStr">
        <is>
          <t>Brasil</t>
        </is>
      </c>
      <c r="M817" s="7" t="inlineStr">
        <is>
          <t>0/1/2 - Conforme Origem do Lote</t>
        </is>
      </c>
    </row>
    <row r="818" ht="22" customHeight="1">
      <c r="A818" s="12" t="inlineStr">
        <is>
          <t>EMP-0814</t>
        </is>
      </c>
      <c r="B818" s="11" t="n">
        <v>701</v>
      </c>
      <c r="C818" s="13" t="inlineStr">
        <is>
          <t>Nº 24925</t>
        </is>
      </c>
      <c r="D818" s="14" t="inlineStr">
        <is>
          <t>ATOL TRIO (METOLACHLOR+ATRAZINE+MESOTRIONE) (P. A)</t>
        </is>
      </c>
      <c r="E818" s="13" t="inlineStr">
        <is>
          <t>3. Formulador / Co-Distribuidor Autorizado</t>
        </is>
      </c>
      <c r="F818" s="13" t="inlineStr">
        <is>
          <t>Produto Técnico Industrial</t>
        </is>
      </c>
      <c r="G818" s="13" t="inlineStr">
        <is>
          <t>L + Atrazina 200 g</t>
        </is>
      </c>
      <c r="H818" s="13" t="inlineStr">
        <is>
          <t>Estabelecimento Credenciado</t>
        </is>
      </c>
      <c r="I818" s="13" t="inlineStr">
        <is>
          <t>CNPJ Credenciado MAPA</t>
        </is>
      </c>
      <c r="J818" s="13" t="inlineStr">
        <is>
          <t>Registro Estadual Vigente</t>
        </is>
      </c>
      <c r="K818" s="13" t="inlineStr">
        <is>
          <t>Unidade Operacional Brasil</t>
        </is>
      </c>
      <c r="L818" s="13" t="inlineStr">
        <is>
          <t>Brasil</t>
        </is>
      </c>
      <c r="M818" s="13" t="inlineStr">
        <is>
          <t>0/1/2 - Conforme Origem do Lote</t>
        </is>
      </c>
    </row>
    <row r="819" ht="22" customHeight="1">
      <c r="A819" s="6" t="inlineStr">
        <is>
          <t>EMP-0815</t>
        </is>
      </c>
      <c r="B819" s="5" t="n">
        <v>701</v>
      </c>
      <c r="C819" s="7" t="inlineStr">
        <is>
          <t>Nº 24925</t>
        </is>
      </c>
      <c r="D819" s="8" t="inlineStr">
        <is>
          <t>ATOL TRIO (METOLACHLOR+ATRAZINE+MESOTRIONE) (P. A)</t>
        </is>
      </c>
      <c r="E819" s="7" t="inlineStr">
        <is>
          <t>3. Formulador / Co-Distribuidor Autorizado</t>
        </is>
      </c>
      <c r="F819" s="7" t="inlineStr">
        <is>
          <t>Produto Técnico Industrial</t>
        </is>
      </c>
      <c r="G819" s="7" t="inlineStr">
        <is>
          <t>L + Mesotriona 40 g</t>
        </is>
      </c>
      <c r="H819" s="7" t="inlineStr">
        <is>
          <t>Estabelecimento Credenciado</t>
        </is>
      </c>
      <c r="I819" s="7" t="inlineStr">
        <is>
          <t>CNPJ Credenciado MAPA</t>
        </is>
      </c>
      <c r="J819" s="7" t="inlineStr">
        <is>
          <t>Registro Estadual Vigente</t>
        </is>
      </c>
      <c r="K819" s="7" t="inlineStr">
        <is>
          <t>Unidade Operacional Brasil</t>
        </is>
      </c>
      <c r="L819" s="7" t="inlineStr">
        <is>
          <t>Brasil</t>
        </is>
      </c>
      <c r="M819" s="7" t="inlineStr">
        <is>
          <t>0/1/2 - Conforme Origem do Lote</t>
        </is>
      </c>
    </row>
    <row r="820" ht="22" customHeight="1">
      <c r="A820" s="12" t="inlineStr">
        <is>
          <t>EMP-0816</t>
        </is>
      </c>
      <c r="B820" s="11" t="n">
        <v>701</v>
      </c>
      <c r="C820" s="13" t="inlineStr">
        <is>
          <t>Nº 24925</t>
        </is>
      </c>
      <c r="D820" s="14" t="inlineStr">
        <is>
          <t>ATOL TRIO (METOLACHLOR+ATRAZINE+MESOTRIONE) (P. A)</t>
        </is>
      </c>
      <c r="E820" s="13" t="inlineStr">
        <is>
          <t>3. Formulador / Co-Distribuidor Autorizado</t>
        </is>
      </c>
      <c r="F820" s="13" t="inlineStr">
        <is>
          <t>Produto Técnico Industrial</t>
        </is>
      </c>
      <c r="G820" s="13" t="inlineStr">
        <is>
          <t>L SE</t>
        </is>
      </c>
      <c r="H820" s="13" t="inlineStr">
        <is>
          <t>Estabelecimento Credenciado</t>
        </is>
      </c>
      <c r="I820" s="13" t="inlineStr">
        <is>
          <t>CNPJ Credenciado MAPA</t>
        </is>
      </c>
      <c r="J820" s="13" t="inlineStr">
        <is>
          <t>Registro Estadual Vigente</t>
        </is>
      </c>
      <c r="K820" s="13" t="inlineStr">
        <is>
          <t>Unidade Operacional Brasil</t>
        </is>
      </c>
      <c r="L820" s="13" t="inlineStr">
        <is>
          <t>Brasil</t>
        </is>
      </c>
      <c r="M820" s="13" t="inlineStr">
        <is>
          <t>0/1/2 - Conforme Origem do Lote</t>
        </is>
      </c>
    </row>
    <row r="821" ht="22" customHeight="1">
      <c r="A821" s="6" t="inlineStr">
        <is>
          <t>EMP-0817</t>
        </is>
      </c>
      <c r="B821" s="5" t="n">
        <v>702</v>
      </c>
      <c r="C821" s="7" t="inlineStr">
        <is>
          <t>Nº 4810</t>
        </is>
      </c>
      <c r="D821" s="8" t="inlineStr">
        <is>
          <t>CERTEZA N</t>
        </is>
      </c>
      <c r="E821" s="7" t="inlineStr">
        <is>
          <t>1. Titular do Registro / Produtor</t>
        </is>
      </c>
      <c r="F821" s="7" t="inlineStr">
        <is>
          <t>Produto Formulado Comercial</t>
        </is>
      </c>
      <c r="G821" s="7" t="inlineStr">
        <is>
          <t>Iharabras S.A.</t>
        </is>
      </c>
      <c r="H821" s="7" t="inlineStr">
        <is>
          <t>Matriz / Estabelecimento Principal</t>
        </is>
      </c>
      <c r="I821" s="7" t="inlineStr">
        <is>
          <t>CNPJ Credenciado MAPA/SIPEAGRO</t>
        </is>
      </c>
      <c r="J821" s="7" t="inlineStr">
        <is>
          <t>Registro Estadual Vigente</t>
        </is>
      </c>
      <c r="K821" s="7" t="inlineStr">
        <is>
          <t>Estabelecimento Credenciado no Brasil</t>
        </is>
      </c>
      <c r="L821" s="7" t="inlineStr">
        <is>
          <t>Brasil</t>
        </is>
      </c>
      <c r="M821" s="7" t="inlineStr">
        <is>
          <t>0 - Nacional / 1 - Importação Direta</t>
        </is>
      </c>
    </row>
    <row r="822" ht="22" customHeight="1">
      <c r="A822" s="12" t="inlineStr">
        <is>
          <t>EMP-0818</t>
        </is>
      </c>
      <c r="B822" s="11" t="n">
        <v>703</v>
      </c>
      <c r="C822" s="13" t="inlineStr">
        <is>
          <t>Nº 4810</t>
        </is>
      </c>
      <c r="D822" s="14" t="inlineStr">
        <is>
          <t>CERTEZA N</t>
        </is>
      </c>
      <c r="E822" s="13" t="inlineStr">
        <is>
          <t>1. Titular do Registro / Produtor</t>
        </is>
      </c>
      <c r="F822" s="13" t="inlineStr">
        <is>
          <t>Produto Formulado Comercial</t>
        </is>
      </c>
      <c r="G822" s="13" t="inlineStr">
        <is>
          <t>Iharabras S.A.</t>
        </is>
      </c>
      <c r="H822" s="13" t="inlineStr">
        <is>
          <t>Matriz / Estabelecimento Principal</t>
        </is>
      </c>
      <c r="I822" s="13" t="inlineStr">
        <is>
          <t>CNPJ Credenciado MAPA/SIPEAGRO</t>
        </is>
      </c>
      <c r="J822" s="13" t="inlineStr">
        <is>
          <t>Registro Estadual Vigente</t>
        </is>
      </c>
      <c r="K822" s="13" t="inlineStr">
        <is>
          <t>Estabelecimento Credenciado no Brasil</t>
        </is>
      </c>
      <c r="L822" s="13" t="inlineStr">
        <is>
          <t>Brasil</t>
        </is>
      </c>
      <c r="M822" s="13" t="inlineStr">
        <is>
          <t>0 - Nacional / 1 - Importação Direta</t>
        </is>
      </c>
    </row>
    <row r="823" ht="22" customHeight="1">
      <c r="A823" s="6" t="inlineStr">
        <is>
          <t>EMP-0819</t>
        </is>
      </c>
      <c r="B823" s="5" t="n">
        <v>704</v>
      </c>
      <c r="C823" s="7" t="inlineStr">
        <is>
          <t>SIPEAGRO (UF-XXXXX)</t>
        </is>
      </c>
      <c r="D823" s="8" t="inlineStr">
        <is>
          <t>ENXOFRE BENTONITA - BG 1.097 KG - CAMPO RICO</t>
        </is>
      </c>
      <c r="E823" s="7" t="inlineStr">
        <is>
          <t>1. Titular do Registro / Produtor</t>
        </is>
      </c>
      <c r="F823" s="7" t="inlineStr">
        <is>
          <t>Corretivo / Condicionador de Solo</t>
        </is>
      </c>
      <c r="G823" s="7" t="inlineStr">
        <is>
          <t>Estabelecimento Produtor SIPEAGRO/MAPA</t>
        </is>
      </c>
      <c r="H823" s="7" t="inlineStr">
        <is>
          <t>Matriz / Estabelecimento Principal</t>
        </is>
      </c>
      <c r="I823" s="7" t="inlineStr">
        <is>
          <t>CNPJ Credenciado MAPA/SIPEAGRO</t>
        </is>
      </c>
      <c r="J823" s="7" t="inlineStr">
        <is>
          <t>Registro Estadual Vigente</t>
        </is>
      </c>
      <c r="K823" s="7" t="inlineStr">
        <is>
          <t>Estabelecimento Credenciado no Brasil</t>
        </is>
      </c>
      <c r="L823" s="7" t="inlineStr">
        <is>
          <t>Brasil</t>
        </is>
      </c>
      <c r="M823" s="7" t="inlineStr">
        <is>
          <t>0 - Nacional / 1 - Importação Direta</t>
        </is>
      </c>
    </row>
    <row r="824" ht="22" customHeight="1">
      <c r="A824" s="12" t="inlineStr">
        <is>
          <t>EMP-0820</t>
        </is>
      </c>
      <c r="B824" s="11" t="n">
        <v>705</v>
      </c>
      <c r="C824" s="13" t="inlineStr">
        <is>
          <t>Nº 27025</t>
        </is>
      </c>
      <c r="D824" s="14" t="inlineStr">
        <is>
          <t>FLUMIOXAZINA 100 + IMAZETAPIR 200 (PRINC. ATIVO)</t>
        </is>
      </c>
      <c r="E824" s="13" t="inlineStr">
        <is>
          <t>1. Titular do Registro / Produtor</t>
        </is>
      </c>
      <c r="F824" s="13" t="inlineStr">
        <is>
          <t>Produto Técnico Industrial</t>
        </is>
      </c>
      <c r="G824" s="13" t="inlineStr">
        <is>
          <t>RAINBOW DEFENSIVOS AGRÍCOLAS LTDA.</t>
        </is>
      </c>
      <c r="H824" s="13" t="inlineStr">
        <is>
          <t>Matriz / Estabelecimento Principal</t>
        </is>
      </c>
      <c r="I824" s="13" t="inlineStr">
        <is>
          <t>CNPJ Credenciado MAPA/SIPEAGRO</t>
        </is>
      </c>
      <c r="J824" s="13" t="inlineStr">
        <is>
          <t>Registro Estadual Vigente</t>
        </is>
      </c>
      <c r="K824" s="13" t="inlineStr">
        <is>
          <t>Estabelecimento Credenciado no Brasil</t>
        </is>
      </c>
      <c r="L824" s="13" t="inlineStr">
        <is>
          <t>Brasil</t>
        </is>
      </c>
      <c r="M824" s="13" t="inlineStr">
        <is>
          <t>0 - Nacional / 1 - Importação Direta</t>
        </is>
      </c>
    </row>
    <row r="825" ht="22" customHeight="1">
      <c r="A825" s="6" t="inlineStr">
        <is>
          <t>EMP-0821</t>
        </is>
      </c>
      <c r="B825" s="5" t="n">
        <v>706</v>
      </c>
      <c r="C825" s="7" t="inlineStr">
        <is>
          <t>VINCULAR MARCA</t>
        </is>
      </c>
      <c r="D825" s="8" t="inlineStr">
        <is>
          <t>PIRIPROXIFEM 100 + LUFENUROM 30 (PRINC. ATIVO)</t>
        </is>
      </c>
      <c r="E825" s="7" t="inlineStr">
        <is>
          <t>1. Titular do Registro / Produtor</t>
        </is>
      </c>
      <c r="F825" s="7" t="inlineStr">
        <is>
          <t>Produto Técnico Industrial</t>
        </is>
      </c>
      <c r="G825" s="7" t="inlineStr">
        <is>
          <t>SUMITOMO CHEMICAL DO BRASIL REPRESENTAÇÕES LTDA. / IHARABRAS S.A.</t>
        </is>
      </c>
      <c r="H825" s="7" t="inlineStr">
        <is>
          <t>Matriz / Estabelecimento Principal</t>
        </is>
      </c>
      <c r="I825" s="7" t="inlineStr">
        <is>
          <t>CNPJ Credenciado MAPA/SIPEAGRO</t>
        </is>
      </c>
      <c r="J825" s="7" t="inlineStr">
        <is>
          <t>Registro Estadual Vigente</t>
        </is>
      </c>
      <c r="K825" s="7" t="inlineStr">
        <is>
          <t>Estabelecimento Credenciado no Brasil</t>
        </is>
      </c>
      <c r="L825" s="7" t="inlineStr">
        <is>
          <t>Brasil</t>
        </is>
      </c>
      <c r="M825" s="7" t="inlineStr">
        <is>
          <t>0 - Nacional / 1 - Importação Direta</t>
        </is>
      </c>
    </row>
    <row r="826" ht="22" customHeight="1">
      <c r="A826" s="12" t="inlineStr">
        <is>
          <t>EMP-0822</t>
        </is>
      </c>
      <c r="B826" s="11" t="n">
        <v>707</v>
      </c>
      <c r="C826" s="13" t="inlineStr">
        <is>
          <t>Nº 32518</t>
        </is>
      </c>
      <c r="D826" s="14" t="inlineStr">
        <is>
          <t>ACETAMIPRIDO 186 + PIRIPROXIFEM 124 (PRINC. ATIVO)</t>
        </is>
      </c>
      <c r="E826" s="13" t="inlineStr">
        <is>
          <t>1. Titular do Registro / Produtor</t>
        </is>
      </c>
      <c r="F826" s="13" t="inlineStr">
        <is>
          <t>Produto Técnico Industrial</t>
        </is>
      </c>
      <c r="G826" s="13" t="inlineStr">
        <is>
          <t>Adama Brasil S.A.</t>
        </is>
      </c>
      <c r="H826" s="13" t="inlineStr">
        <is>
          <t>Matriz / Estabelecimento Principal</t>
        </is>
      </c>
      <c r="I826" s="13" t="inlineStr">
        <is>
          <t>CNPJ Credenciado MAPA/SIPEAGRO</t>
        </is>
      </c>
      <c r="J826" s="13" t="inlineStr">
        <is>
          <t>Registro Estadual Vigente</t>
        </is>
      </c>
      <c r="K826" s="13" t="inlineStr">
        <is>
          <t>Estabelecimento Credenciado no Brasil</t>
        </is>
      </c>
      <c r="L826" s="13" t="inlineStr">
        <is>
          <t>Brasil</t>
        </is>
      </c>
      <c r="M826" s="13" t="inlineStr">
        <is>
          <t>0 - Nacional / 1 - Importação Direta</t>
        </is>
      </c>
    </row>
    <row r="827" ht="22" customHeight="1">
      <c r="A827" s="6" t="inlineStr">
        <is>
          <t>EMP-0823</t>
        </is>
      </c>
      <c r="B827" s="5" t="n">
        <v>708</v>
      </c>
      <c r="C827" s="7" t="inlineStr">
        <is>
          <t>VINCULAR MARCA</t>
        </is>
      </c>
      <c r="D827" s="8" t="inlineStr">
        <is>
          <t>FLUMIOXAZINA 500 + DICLOSULAM 340 (PRINC. ATIVO)</t>
        </is>
      </c>
      <c r="E827" s="7" t="inlineStr">
        <is>
          <t>1. Titular do Registro / Produtor</t>
        </is>
      </c>
      <c r="F827" s="7" t="inlineStr">
        <is>
          <t>Produto Técnico Industrial</t>
        </is>
      </c>
      <c r="G827" s="7" t="inlineStr">
        <is>
          <t>SUMITOMO CHEMICAL DO BRASIL REPRESENTAÇÕES LTDA. / RAINBOW DEFENSIVOS</t>
        </is>
      </c>
      <c r="H827" s="7" t="inlineStr">
        <is>
          <t>Matriz / Estabelecimento Principal</t>
        </is>
      </c>
      <c r="I827" s="7" t="inlineStr">
        <is>
          <t>CNPJ Credenciado MAPA/SIPEAGRO</t>
        </is>
      </c>
      <c r="J827" s="7" t="inlineStr">
        <is>
          <t>Registro Estadual Vigente</t>
        </is>
      </c>
      <c r="K827" s="7" t="inlineStr">
        <is>
          <t>Estabelecimento Credenciado no Brasil</t>
        </is>
      </c>
      <c r="L827" s="7" t="inlineStr">
        <is>
          <t>Brasil</t>
        </is>
      </c>
      <c r="M827" s="7" t="inlineStr">
        <is>
          <t>0 - Nacional / 1 - Importação Direta</t>
        </is>
      </c>
    </row>
    <row r="828" ht="22" customHeight="1">
      <c r="A828" s="12" t="inlineStr">
        <is>
          <t>EMP-0824</t>
        </is>
      </c>
      <c r="B828" s="11" t="n">
        <v>709</v>
      </c>
      <c r="C828" s="13" t="inlineStr">
        <is>
          <t>VINCULAR MARCA</t>
        </is>
      </c>
      <c r="D828" s="14" t="inlineStr">
        <is>
          <t>INDOXAC. 100 + BIFENT. 90 + ACETAM. 137,5 (PR.AT.)</t>
        </is>
      </c>
      <c r="E828" s="13" t="inlineStr">
        <is>
          <t>1. Titular do Registro</t>
        </is>
      </c>
      <c r="F828" s="13" t="inlineStr">
        <is>
          <t>Produto Técnico Industrial</t>
        </is>
      </c>
      <c r="G828" s="13" t="inlineStr">
        <is>
          <t>Bifentrina 100 g</t>
        </is>
      </c>
      <c r="H828" s="13" t="inlineStr">
        <is>
          <t>Estabelecimento Credenciado</t>
        </is>
      </c>
      <c r="I828" s="13" t="inlineStr">
        <is>
          <t>CNPJ Credenciado MAPA</t>
        </is>
      </c>
      <c r="J828" s="13" t="inlineStr">
        <is>
          <t>Registro Estadual Vigente</t>
        </is>
      </c>
      <c r="K828" s="13" t="inlineStr">
        <is>
          <t>Unidade Operacional Brasil</t>
        </is>
      </c>
      <c r="L828" s="13" t="inlineStr">
        <is>
          <t>Brasil</t>
        </is>
      </c>
      <c r="M828" s="13" t="inlineStr">
        <is>
          <t>0/1/2 - Conforme Origem do Lote</t>
        </is>
      </c>
    </row>
    <row r="829" ht="22" customHeight="1">
      <c r="A829" s="6" t="inlineStr">
        <is>
          <t>EMP-0825</t>
        </is>
      </c>
      <c r="B829" s="5" t="n">
        <v>709</v>
      </c>
      <c r="C829" s="7" t="inlineStr">
        <is>
          <t>VINCULAR MARCA</t>
        </is>
      </c>
      <c r="D829" s="8" t="inlineStr">
        <is>
          <t>INDOXAC. 100 + BIFENT. 90 + ACETAM. 137,5 (PR.AT.)</t>
        </is>
      </c>
      <c r="E829" s="7" t="inlineStr">
        <is>
          <t>3. Formulador / Co-Distribuidor Autorizado</t>
        </is>
      </c>
      <c r="F829" s="7" t="inlineStr">
        <is>
          <t>Produto Técnico Industrial</t>
        </is>
      </c>
      <c r="G829" s="7" t="inlineStr">
        <is>
          <t>L EC</t>
        </is>
      </c>
      <c r="H829" s="7" t="inlineStr">
        <is>
          <t>Estabelecimento Credenciado</t>
        </is>
      </c>
      <c r="I829" s="7" t="inlineStr">
        <is>
          <t>CNPJ Credenciado MAPA</t>
        </is>
      </c>
      <c r="J829" s="7" t="inlineStr">
        <is>
          <t>Registro Estadual Vigente</t>
        </is>
      </c>
      <c r="K829" s="7" t="inlineStr">
        <is>
          <t>Unidade Operacional Brasil</t>
        </is>
      </c>
      <c r="L829" s="7" t="inlineStr">
        <is>
          <t>Brasil</t>
        </is>
      </c>
      <c r="M829" s="7" t="inlineStr">
        <is>
          <t>0/1/2 - Conforme Origem do Lote</t>
        </is>
      </c>
    </row>
    <row r="830" ht="22" customHeight="1">
      <c r="A830" s="12" t="inlineStr">
        <is>
          <t>EMP-0826</t>
        </is>
      </c>
      <c r="B830" s="11" t="n">
        <v>710</v>
      </c>
      <c r="C830" s="13" t="inlineStr">
        <is>
          <t>VINCULAR MARCA</t>
        </is>
      </c>
      <c r="D830" s="14" t="inlineStr">
        <is>
          <t>BIFENTRINA 360 + CLORANTRANILIPRO. 200 (PR. ATIVO)</t>
        </is>
      </c>
      <c r="E830" s="13" t="inlineStr">
        <is>
          <t>1. Titular do Registro</t>
        </is>
      </c>
      <c r="F830" s="13" t="inlineStr">
        <is>
          <t>Produto Formulado Comercial</t>
        </is>
      </c>
      <c r="G830" s="13" t="inlineStr">
        <is>
          <t>Bifentrina 100 g</t>
        </is>
      </c>
      <c r="H830" s="13" t="inlineStr">
        <is>
          <t>Estabelecimento Credenciado</t>
        </is>
      </c>
      <c r="I830" s="13" t="inlineStr">
        <is>
          <t>CNPJ Credenciado MAPA</t>
        </is>
      </c>
      <c r="J830" s="13" t="inlineStr">
        <is>
          <t>Registro Estadual Vigente</t>
        </is>
      </c>
      <c r="K830" s="13" t="inlineStr">
        <is>
          <t>Unidade Operacional Brasil</t>
        </is>
      </c>
      <c r="L830" s="13" t="inlineStr">
        <is>
          <t>Brasil</t>
        </is>
      </c>
      <c r="M830" s="13" t="inlineStr">
        <is>
          <t>0/1/2 - Conforme Origem do Lote</t>
        </is>
      </c>
    </row>
    <row r="831" ht="22" customHeight="1">
      <c r="A831" s="6" t="inlineStr">
        <is>
          <t>EMP-0827</t>
        </is>
      </c>
      <c r="B831" s="5" t="n">
        <v>710</v>
      </c>
      <c r="C831" s="7" t="inlineStr">
        <is>
          <t>VINCULAR MARCA</t>
        </is>
      </c>
      <c r="D831" s="8" t="inlineStr">
        <is>
          <t>BIFENTRINA 360 + CLORANTRANILIPRO. 200 (PR. ATIVO)</t>
        </is>
      </c>
      <c r="E831" s="7" t="inlineStr">
        <is>
          <t>3. Formulador / Co-Distribuidor Autorizado</t>
        </is>
      </c>
      <c r="F831" s="7" t="inlineStr">
        <is>
          <t>Produto Formulado Comercial</t>
        </is>
      </c>
      <c r="G831" s="7" t="inlineStr">
        <is>
          <t>L EC</t>
        </is>
      </c>
      <c r="H831" s="7" t="inlineStr">
        <is>
          <t>Estabelecimento Credenciado</t>
        </is>
      </c>
      <c r="I831" s="7" t="inlineStr">
        <is>
          <t>CNPJ Credenciado MAPA</t>
        </is>
      </c>
      <c r="J831" s="7" t="inlineStr">
        <is>
          <t>Registro Estadual Vigente</t>
        </is>
      </c>
      <c r="K831" s="7" t="inlineStr">
        <is>
          <t>Unidade Operacional Brasil</t>
        </is>
      </c>
      <c r="L831" s="7" t="inlineStr">
        <is>
          <t>Brasil</t>
        </is>
      </c>
      <c r="M831" s="7" t="inlineStr">
        <is>
          <t>0/1/2 - Conforme Origem do Lote</t>
        </is>
      </c>
    </row>
    <row r="832" ht="22" customHeight="1">
      <c r="A832" s="12" t="inlineStr">
        <is>
          <t>EMP-0828</t>
        </is>
      </c>
      <c r="B832" s="11" t="n">
        <v>711</v>
      </c>
      <c r="C832" s="13" t="inlineStr">
        <is>
          <t>VINCULAR MARCA</t>
        </is>
      </c>
      <c r="D832" s="14" t="inlineStr">
        <is>
          <t>GLUFOSINATO 490 + FLUMIOXAZINA 49 (PRINC. ATIVO)</t>
        </is>
      </c>
      <c r="E832" s="13" t="inlineStr">
        <is>
          <t>1. Titular do Registro / Produtor</t>
        </is>
      </c>
      <c r="F832" s="13" t="inlineStr">
        <is>
          <t>Produto Técnico Industrial</t>
        </is>
      </c>
      <c r="G832" s="13" t="inlineStr">
        <is>
          <t>SUMITOMO CHEMICAL DO BRASIL REPRESENTAÇÕES LTDA. / UPL DO BRASIL S.A.</t>
        </is>
      </c>
      <c r="H832" s="13" t="inlineStr">
        <is>
          <t>Matriz / Estabelecimento Principal</t>
        </is>
      </c>
      <c r="I832" s="13" t="inlineStr">
        <is>
          <t>CNPJ Credenciado MAPA/SIPEAGRO</t>
        </is>
      </c>
      <c r="J832" s="13" t="inlineStr">
        <is>
          <t>Registro Estadual Vigente</t>
        </is>
      </c>
      <c r="K832" s="13" t="inlineStr">
        <is>
          <t>Estabelecimento Credenciado no Brasil</t>
        </is>
      </c>
      <c r="L832" s="13" t="inlineStr">
        <is>
          <t>Brasil</t>
        </is>
      </c>
      <c r="M832" s="13" t="inlineStr">
        <is>
          <t>0 - Nacional / 1 - Importação Direta</t>
        </is>
      </c>
    </row>
    <row r="833" ht="22" customHeight="1">
      <c r="A833" s="6" t="inlineStr">
        <is>
          <t>EMP-0829</t>
        </is>
      </c>
      <c r="B833" s="5" t="n">
        <v>712</v>
      </c>
      <c r="C833" s="7" t="inlineStr">
        <is>
          <t>Nº 24925</t>
        </is>
      </c>
      <c r="D833" s="8" t="inlineStr">
        <is>
          <t>S-METOLACL. 290 + ATRAZ. 200 + MESOT. 40 (PR. AT.)</t>
        </is>
      </c>
      <c r="E833" s="7" t="inlineStr">
        <is>
          <t>1. Titular do Registro / Produtor</t>
        </is>
      </c>
      <c r="F833" s="7" t="inlineStr">
        <is>
          <t>Produto Técnico Industrial</t>
        </is>
      </c>
      <c r="G833" s="7" t="inlineStr">
        <is>
          <t>Globachem Protecao de Cultivos do Brasil Ltda</t>
        </is>
      </c>
      <c r="H833" s="7" t="inlineStr">
        <is>
          <t>Matriz / Estabelecimento Principal</t>
        </is>
      </c>
      <c r="I833" s="7" t="inlineStr">
        <is>
          <t>43.741.357/0001-33</t>
        </is>
      </c>
      <c r="J833" s="7" t="inlineStr">
        <is>
          <t>Registro Estadual Vigente</t>
        </is>
      </c>
      <c r="K833" s="7" t="inlineStr">
        <is>
          <t>Estabelecimento Credenciado no Brasil</t>
        </is>
      </c>
      <c r="L833" s="7" t="inlineStr">
        <is>
          <t>Brasil</t>
        </is>
      </c>
      <c r="M833" s="7" t="inlineStr">
        <is>
          <t>0 - Nacional / 1 - Importação Direta</t>
        </is>
      </c>
    </row>
    <row r="834" ht="22" customHeight="1">
      <c r="A834" s="12" t="inlineStr">
        <is>
          <t>EMP-0830</t>
        </is>
      </c>
      <c r="B834" s="11" t="n">
        <v>713</v>
      </c>
      <c r="C834" s="13" t="inlineStr">
        <is>
          <t>VINCULAR MARCA</t>
        </is>
      </c>
      <c r="D834" s="14" t="inlineStr">
        <is>
          <t>CLOROTALONIL 580 + DIFENOCONAZOL 30 (PRINC. ATIVO)</t>
        </is>
      </c>
      <c r="E834" s="13" t="inlineStr">
        <is>
          <t>1. Titular do Registro / Produtor</t>
        </is>
      </c>
      <c r="F834" s="13" t="inlineStr">
        <is>
          <t>Produto Técnico Industrial</t>
        </is>
      </c>
      <c r="G834" s="13" t="inlineStr">
        <is>
          <t>GLOBACHEM PROTEÇÃO DE CULTIVOS DO BRASIL LTDA.</t>
        </is>
      </c>
      <c r="H834" s="13" t="inlineStr">
        <is>
          <t>Matriz / Estabelecimento Principal</t>
        </is>
      </c>
      <c r="I834" s="13" t="inlineStr">
        <is>
          <t>CNPJ Credenciado MAPA/SIPEAGRO</t>
        </is>
      </c>
      <c r="J834" s="13" t="inlineStr">
        <is>
          <t>Registro Estadual Vigente</t>
        </is>
      </c>
      <c r="K834" s="13" t="inlineStr">
        <is>
          <t>Estabelecimento Credenciado no Brasil</t>
        </is>
      </c>
      <c r="L834" s="13" t="inlineStr">
        <is>
          <t>Brasil</t>
        </is>
      </c>
      <c r="M834" s="13" t="inlineStr">
        <is>
          <t>0 - Nacional / 1 - Importação Direta</t>
        </is>
      </c>
    </row>
    <row r="835" ht="22" customHeight="1">
      <c r="A835" s="6" t="inlineStr">
        <is>
          <t>EMP-0831</t>
        </is>
      </c>
      <c r="B835" s="5" t="n">
        <v>714</v>
      </c>
      <c r="C835" s="7" t="inlineStr">
        <is>
          <t>Nº 4810</t>
        </is>
      </c>
      <c r="D835" s="8" t="inlineStr">
        <is>
          <t>TIOFANATO-METILICO + FLUAZINAM</t>
        </is>
      </c>
      <c r="E835" s="7" t="inlineStr">
        <is>
          <t>1. Titular do Registro / Produtor</t>
        </is>
      </c>
      <c r="F835" s="7" t="inlineStr">
        <is>
          <t>Produto Formulado Comercial</t>
        </is>
      </c>
      <c r="G835" s="7" t="inlineStr">
        <is>
          <t>Iharabras S.A.</t>
        </is>
      </c>
      <c r="H835" s="7" t="inlineStr">
        <is>
          <t>Matriz / Estabelecimento Principal</t>
        </is>
      </c>
      <c r="I835" s="7" t="inlineStr">
        <is>
          <t>CNPJ Credenciado MAPA/SIPEAGRO</t>
        </is>
      </c>
      <c r="J835" s="7" t="inlineStr">
        <is>
          <t>Registro Estadual Vigente</t>
        </is>
      </c>
      <c r="K835" s="7" t="inlineStr">
        <is>
          <t>Estabelecimento Credenciado no Brasil</t>
        </is>
      </c>
      <c r="L835" s="7" t="inlineStr">
        <is>
          <t>Brasil</t>
        </is>
      </c>
      <c r="M835" s="7" t="inlineStr">
        <is>
          <t>0 - Nacional / 1 - Importação Direta</t>
        </is>
      </c>
    </row>
    <row r="836" ht="22" customHeight="1">
      <c r="A836" s="12" t="inlineStr">
        <is>
          <t>EMP-0832</t>
        </is>
      </c>
      <c r="B836" s="11" t="n">
        <v>715</v>
      </c>
      <c r="C836" s="13" t="inlineStr">
        <is>
          <t>VINCULAR MARCA</t>
        </is>
      </c>
      <c r="D836" s="14" t="inlineStr">
        <is>
          <t>TEBUCONAZOL 50 + CLOROTALONIL 450  (PRINC. ATIVO)</t>
        </is>
      </c>
      <c r="E836" s="13" t="inlineStr">
        <is>
          <t>1. Titular do Registro / Produtor</t>
        </is>
      </c>
      <c r="F836" s="13" t="inlineStr">
        <is>
          <t>Produto Técnico Industrial</t>
        </is>
      </c>
      <c r="G836" s="13" t="inlineStr">
        <is>
          <t>ADAMA BRASIL S/A / SIPCAM NICHINO BRASIL S.A.</t>
        </is>
      </c>
      <c r="H836" s="13" t="inlineStr">
        <is>
          <t>Matriz / Estabelecimento Principal</t>
        </is>
      </c>
      <c r="I836" s="13" t="inlineStr">
        <is>
          <t>CNPJ Credenciado MAPA/SIPEAGRO</t>
        </is>
      </c>
      <c r="J836" s="13" t="inlineStr">
        <is>
          <t>Registro Estadual Vigente</t>
        </is>
      </c>
      <c r="K836" s="13" t="inlineStr">
        <is>
          <t>Estabelecimento Credenciado no Brasil</t>
        </is>
      </c>
      <c r="L836" s="13" t="inlineStr">
        <is>
          <t>Brasil</t>
        </is>
      </c>
      <c r="M836" s="13" t="inlineStr">
        <is>
          <t>0 - Nacional / 1 - Importação Direta</t>
        </is>
      </c>
    </row>
    <row r="837" ht="22" customHeight="1">
      <c r="A837" s="6" t="inlineStr">
        <is>
          <t>EMP-0833</t>
        </is>
      </c>
      <c r="B837" s="5" t="n">
        <v>716</v>
      </c>
      <c r="C837" s="7" t="inlineStr">
        <is>
          <t>SIPEAGRO (UF-XXXXX)</t>
        </is>
      </c>
      <c r="D837" s="8" t="inlineStr">
        <is>
          <t>KCL 00-00-60 (TON) EUROCHEM</t>
        </is>
      </c>
      <c r="E837" s="7" t="inlineStr">
        <is>
          <t>1. Titular do Registro / Produtor</t>
        </is>
      </c>
      <c r="F837" s="7" t="inlineStr">
        <is>
          <t>Fertilizante Mineral / Organomineral</t>
        </is>
      </c>
      <c r="G837" s="7" t="inlineStr">
        <is>
          <t>Estabelecimento Produtor SIPEAGRO/MAPA</t>
        </is>
      </c>
      <c r="H837" s="7" t="inlineStr">
        <is>
          <t>Matriz / Estabelecimento Principal</t>
        </is>
      </c>
      <c r="I837" s="7" t="inlineStr">
        <is>
          <t>CNPJ Credenciado MAPA/SIPEAGRO</t>
        </is>
      </c>
      <c r="J837" s="7" t="inlineStr">
        <is>
          <t>Registro Estadual Vigente</t>
        </is>
      </c>
      <c r="K837" s="7" t="inlineStr">
        <is>
          <t>Estabelecimento Credenciado no Brasil</t>
        </is>
      </c>
      <c r="L837" s="7" t="inlineStr">
        <is>
          <t>Brasil</t>
        </is>
      </c>
      <c r="M837" s="7" t="inlineStr">
        <is>
          <t>0 - Nacional / 1 - Importação Direta</t>
        </is>
      </c>
    </row>
    <row r="838" ht="22" customHeight="1">
      <c r="A838" s="12" t="inlineStr">
        <is>
          <t>EMP-0834</t>
        </is>
      </c>
      <c r="B838" s="11" t="n">
        <v>717</v>
      </c>
      <c r="C838" s="13" t="inlineStr">
        <is>
          <t>Nº 27717</t>
        </is>
      </c>
      <c r="D838" s="14" t="inlineStr">
        <is>
          <t>LEALTY WG</t>
        </is>
      </c>
      <c r="E838" s="13" t="inlineStr">
        <is>
          <t>1. Titular do Registro / Produtor</t>
        </is>
      </c>
      <c r="F838" s="13" t="inlineStr">
        <is>
          <t>Produto Formulado Comercial</t>
        </is>
      </c>
      <c r="G838" s="13" t="inlineStr">
        <is>
          <t>AGRICONNECTION IMPORTADORA E EXPORTADORA DE INSUMOS AGRÍCOLAS LTDA.</t>
        </is>
      </c>
      <c r="H838" s="13" t="inlineStr">
        <is>
          <t>Matriz / Estabelecimento Principal</t>
        </is>
      </c>
      <c r="I838" s="13" t="inlineStr">
        <is>
          <t>39.496.730/0001-60</t>
        </is>
      </c>
      <c r="J838" s="13" t="inlineStr">
        <is>
          <t>INDEA/MT nº 27326 / CDA/SP nº 4354</t>
        </is>
      </c>
      <c r="K838" s="13" t="inlineStr">
        <is>
          <t>Av. Manoel Genildo de Araujo, 188, Sala 02, Campo Verde/MT - CEP 78840-085</t>
        </is>
      </c>
      <c r="L838" s="13" t="inlineStr">
        <is>
          <t>Brasil</t>
        </is>
      </c>
      <c r="M838" s="13" t="inlineStr">
        <is>
          <t>0 - Nacional / 1 - Importação Direta</t>
        </is>
      </c>
    </row>
    <row r="839" ht="22" customHeight="1">
      <c r="A839" s="6" t="inlineStr">
        <is>
          <t>EMP-0835</t>
        </is>
      </c>
      <c r="B839" s="5" t="n">
        <v>718</v>
      </c>
      <c r="C839" s="7" t="inlineStr">
        <is>
          <t>Nº 27717</t>
        </is>
      </c>
      <c r="D839" s="8" t="inlineStr">
        <is>
          <t>LEALTY WG</t>
        </is>
      </c>
      <c r="E839" s="7" t="inlineStr">
        <is>
          <t>1. Titular do Registro / Produtor</t>
        </is>
      </c>
      <c r="F839" s="7" t="inlineStr">
        <is>
          <t>Produto Formulado Comercial</t>
        </is>
      </c>
      <c r="G839" s="7" t="inlineStr">
        <is>
          <t>AGRICONNECTION IMPORTADORA E EXPORTADORA DE INSUMOS AGRÍCOLAS LTDA.</t>
        </is>
      </c>
      <c r="H839" s="7" t="inlineStr">
        <is>
          <t>Matriz / Estabelecimento Principal</t>
        </is>
      </c>
      <c r="I839" s="7" t="inlineStr">
        <is>
          <t>39.496.730/0001-60</t>
        </is>
      </c>
      <c r="J839" s="7" t="inlineStr">
        <is>
          <t>INDEA/MT nº 27326 / CDA/SP nº 4354</t>
        </is>
      </c>
      <c r="K839" s="7" t="inlineStr">
        <is>
          <t>Av. Manoel Genildo de Araujo, 188, Sala 02, Campo Verde/MT - CEP 78840-085</t>
        </is>
      </c>
      <c r="L839" s="7" t="inlineStr">
        <is>
          <t>Brasil</t>
        </is>
      </c>
      <c r="M839" s="7" t="inlineStr">
        <is>
          <t>0 - Nacional / 1 - Importação Direta</t>
        </is>
      </c>
    </row>
    <row r="840" ht="22" customHeight="1">
      <c r="A840" s="12" t="inlineStr">
        <is>
          <t>EMP-0836</t>
        </is>
      </c>
      <c r="B840" s="11" t="n">
        <v>719</v>
      </c>
      <c r="C840" s="13" t="inlineStr">
        <is>
          <t>SIPEAGRO (UF-XXXXX)</t>
        </is>
      </c>
      <c r="D840" s="14" t="inlineStr">
        <is>
          <t>1003057 - ES - FOSF  MAP GR 11N 52/44 P2O5- MOSAIC</t>
        </is>
      </c>
      <c r="E840" s="13" t="inlineStr">
        <is>
          <t>1. Titular do Registro / Produtor</t>
        </is>
      </c>
      <c r="F840" s="13" t="inlineStr">
        <is>
          <t>Fertilizante Mineral / Organomineral</t>
        </is>
      </c>
      <c r="G840" s="13" t="inlineStr">
        <is>
          <t>Estabelecimento Produtor SIPEAGRO/MAPA</t>
        </is>
      </c>
      <c r="H840" s="13" t="inlineStr">
        <is>
          <t>Matriz / Estabelecimento Principal</t>
        </is>
      </c>
      <c r="I840" s="13" t="inlineStr">
        <is>
          <t>CNPJ Credenciado MAPA/SIPEAGRO</t>
        </is>
      </c>
      <c r="J840" s="13" t="inlineStr">
        <is>
          <t>Registro Estadual Vigente</t>
        </is>
      </c>
      <c r="K840" s="13" t="inlineStr">
        <is>
          <t>Estabelecimento Credenciado no Brasil</t>
        </is>
      </c>
      <c r="L840" s="13" t="inlineStr">
        <is>
          <t>Brasil</t>
        </is>
      </c>
      <c r="M840" s="13" t="inlineStr">
        <is>
          <t>0 - Nacional / 1 - Importação Direta</t>
        </is>
      </c>
    </row>
    <row r="841" ht="22" customHeight="1">
      <c r="A841" s="6" t="inlineStr">
        <is>
          <t>EMP-0837</t>
        </is>
      </c>
      <c r="B841" s="5" t="n">
        <v>720</v>
      </c>
      <c r="C841" s="7" t="inlineStr">
        <is>
          <t>SIPEAGRO (UF-XXXXX)</t>
        </is>
      </c>
      <c r="D841" s="8" t="inlineStr">
        <is>
          <t>1014099 - ES - MICROESSENTIALS S9 10 46 00-MOSAIC</t>
        </is>
      </c>
      <c r="E841" s="7" t="inlineStr">
        <is>
          <t>1. Titular do Registro / Produtor</t>
        </is>
      </c>
      <c r="F841" s="7" t="inlineStr">
        <is>
          <t>Fertilizante Mineral / Organomineral</t>
        </is>
      </c>
      <c r="G841" s="7" t="inlineStr">
        <is>
          <t>Estabelecimento Produtor SIPEAGRO/MAPA</t>
        </is>
      </c>
      <c r="H841" s="7" t="inlineStr">
        <is>
          <t>Matriz / Estabelecimento Principal</t>
        </is>
      </c>
      <c r="I841" s="7" t="inlineStr">
        <is>
          <t>CNPJ Credenciado MAPA/SIPEAGRO</t>
        </is>
      </c>
      <c r="J841" s="7" t="inlineStr">
        <is>
          <t>Registro Estadual Vigente</t>
        </is>
      </c>
      <c r="K841" s="7" t="inlineStr">
        <is>
          <t>Estabelecimento Credenciado no Brasil</t>
        </is>
      </c>
      <c r="L841" s="7" t="inlineStr">
        <is>
          <t>Brasil</t>
        </is>
      </c>
      <c r="M841" s="7" t="inlineStr">
        <is>
          <t>0 - Nacional / 1 - Importação Direta</t>
        </is>
      </c>
    </row>
    <row r="842" ht="22" customHeight="1">
      <c r="A842" s="12" t="inlineStr">
        <is>
          <t>EMP-0838</t>
        </is>
      </c>
      <c r="B842" s="11" t="n">
        <v>721</v>
      </c>
      <c r="C842" s="13" t="inlineStr">
        <is>
          <t>SIPEAGRO (UF-XXXXX)</t>
        </is>
      </c>
      <c r="D842" s="14" t="inlineStr">
        <is>
          <t>1017068 - MP - CLOR  POTASS. 60,5 K2O GRAN</t>
        </is>
      </c>
      <c r="E842" s="13" t="inlineStr">
        <is>
          <t>1. Titular do Registro / Produtor</t>
        </is>
      </c>
      <c r="F842" s="13" t="inlineStr">
        <is>
          <t>Fertilizante Mineral / Organomineral</t>
        </is>
      </c>
      <c r="G842" s="13" t="inlineStr">
        <is>
          <t>Estabelecimento Produtor SIPEAGRO/MAPA</t>
        </is>
      </c>
      <c r="H842" s="13" t="inlineStr">
        <is>
          <t>Matriz / Estabelecimento Principal</t>
        </is>
      </c>
      <c r="I842" s="13" t="inlineStr">
        <is>
          <t>CNPJ Credenciado MAPA/SIPEAGRO</t>
        </is>
      </c>
      <c r="J842" s="13" t="inlineStr">
        <is>
          <t>Registro Estadual Vigente</t>
        </is>
      </c>
      <c r="K842" s="13" t="inlineStr">
        <is>
          <t>Estabelecimento Credenciado no Brasil</t>
        </is>
      </c>
      <c r="L842" s="13" t="inlineStr">
        <is>
          <t>Brasil</t>
        </is>
      </c>
      <c r="M842" s="13" t="inlineStr">
        <is>
          <t>0 - Nacional / 1 - Importação Direta</t>
        </is>
      </c>
    </row>
    <row r="843" ht="22" customHeight="1">
      <c r="A843" s="6" t="inlineStr">
        <is>
          <t>EMP-0839</t>
        </is>
      </c>
      <c r="B843" s="5" t="n">
        <v>722</v>
      </c>
      <c r="C843" s="7" t="inlineStr">
        <is>
          <t>SIPEAGRO (UF-XXXXX)</t>
        </is>
      </c>
      <c r="D843" s="8" t="inlineStr">
        <is>
          <t>1003007-SUPERFOS TRIP GR 46/36 P2O5+ 10 CA VALIDAR</t>
        </is>
      </c>
      <c r="E843" s="7" t="inlineStr">
        <is>
          <t>1. Titular do Registro / Produtor</t>
        </is>
      </c>
      <c r="F843" s="7" t="inlineStr">
        <is>
          <t>Fertilizante Mineral / Organomineral</t>
        </is>
      </c>
      <c r="G843" s="7" t="inlineStr">
        <is>
          <t>Estabelecimento Produtor SIPEAGRO/MAPA</t>
        </is>
      </c>
      <c r="H843" s="7" t="inlineStr">
        <is>
          <t>Matriz / Estabelecimento Principal</t>
        </is>
      </c>
      <c r="I843" s="7" t="inlineStr">
        <is>
          <t>CNPJ Credenciado MAPA/SIPEAGRO</t>
        </is>
      </c>
      <c r="J843" s="7" t="inlineStr">
        <is>
          <t>Registro Estadual Vigente</t>
        </is>
      </c>
      <c r="K843" s="7" t="inlineStr">
        <is>
          <t>Estabelecimento Credenciado no Brasil</t>
        </is>
      </c>
      <c r="L843" s="7" t="inlineStr">
        <is>
          <t>Brasil</t>
        </is>
      </c>
      <c r="M843" s="7" t="inlineStr">
        <is>
          <t>0 - Nacional / 1 - Importação Direta</t>
        </is>
      </c>
    </row>
    <row r="844" ht="22" customHeight="1">
      <c r="A844" s="12" t="inlineStr">
        <is>
          <t>EMP-0840</t>
        </is>
      </c>
      <c r="B844" s="11" t="n">
        <v>723</v>
      </c>
      <c r="C844" s="13" t="inlineStr">
        <is>
          <t>SIPEAGRO (UF-XXXXX)</t>
        </is>
      </c>
      <c r="D844" s="14" t="inlineStr">
        <is>
          <t>KCL 00-00-60 - GRAN</t>
        </is>
      </c>
      <c r="E844" s="13" t="inlineStr">
        <is>
          <t>1. Titular do Registro / Produtor</t>
        </is>
      </c>
      <c r="F844" s="13" t="inlineStr">
        <is>
          <t>Fertilizante Mineral / Organomineral</t>
        </is>
      </c>
      <c r="G844" s="13" t="inlineStr">
        <is>
          <t>Estabelecimento Produtor SIPEAGRO/MAPA</t>
        </is>
      </c>
      <c r="H844" s="13" t="inlineStr">
        <is>
          <t>Matriz / Estabelecimento Principal</t>
        </is>
      </c>
      <c r="I844" s="13" t="inlineStr">
        <is>
          <t>CNPJ Credenciado MAPA/SIPEAGRO</t>
        </is>
      </c>
      <c r="J844" s="13" t="inlineStr">
        <is>
          <t>Registro Estadual Vigente</t>
        </is>
      </c>
      <c r="K844" s="13" t="inlineStr">
        <is>
          <t>Estabelecimento Credenciado no Brasil</t>
        </is>
      </c>
      <c r="L844" s="13" t="inlineStr">
        <is>
          <t>Brasil</t>
        </is>
      </c>
      <c r="M844" s="13" t="inlineStr">
        <is>
          <t>0 - Nacional / 1 - Importação Direta</t>
        </is>
      </c>
    </row>
    <row r="845" ht="22" customHeight="1">
      <c r="A845" s="6" t="inlineStr">
        <is>
          <t>EMP-0841</t>
        </is>
      </c>
      <c r="B845" s="5" t="n">
        <v>724</v>
      </c>
      <c r="C845" s="7" t="inlineStr">
        <is>
          <t>Nº 14421</t>
        </is>
      </c>
      <c r="D845" s="8" t="inlineStr">
        <is>
          <t>LEALTY FS IBC 1.000L (IMP) SS</t>
        </is>
      </c>
      <c r="E845" s="7" t="inlineStr">
        <is>
          <t>1. Titular do Registro / Produtor</t>
        </is>
      </c>
      <c r="F845" s="7" t="inlineStr">
        <is>
          <t>Produto Formulado Comercial</t>
        </is>
      </c>
      <c r="G845" s="7" t="inlineStr">
        <is>
          <t>AGRICONNECTION IMPORTADORA E EXPORTADORA DE INSUMOS AGRÍCOLAS LTDA.</t>
        </is>
      </c>
      <c r="H845" s="7" t="inlineStr">
        <is>
          <t>Matriz / Estabelecimento Principal</t>
        </is>
      </c>
      <c r="I845" s="7" t="inlineStr">
        <is>
          <t>39.496.730/0001-60</t>
        </is>
      </c>
      <c r="J845" s="7" t="inlineStr">
        <is>
          <t>INDEA/MT nº 27326 / CDA/SP nº 4354</t>
        </is>
      </c>
      <c r="K845" s="7" t="inlineStr">
        <is>
          <t>Av. Manoel Genildo de Araujo, 188, Sala 02, Campo Verde/MT - CEP 78840-085</t>
        </is>
      </c>
      <c r="L845" s="7" t="inlineStr">
        <is>
          <t>Brasil</t>
        </is>
      </c>
      <c r="M845" s="7" t="inlineStr">
        <is>
          <t>0 - Nacional / 1 - Importação Direta</t>
        </is>
      </c>
    </row>
    <row r="846" ht="22" customHeight="1">
      <c r="A846" s="12" t="inlineStr">
        <is>
          <t>EMP-0842</t>
        </is>
      </c>
      <c r="B846" s="11" t="n">
        <v>725</v>
      </c>
      <c r="C846" s="13" t="inlineStr">
        <is>
          <t>Nº 11819</t>
        </is>
      </c>
      <c r="D846" s="14" t="inlineStr">
        <is>
          <t>MANCOZEB 800 (PRINCIPIO ATIVO)</t>
        </is>
      </c>
      <c r="E846" s="13" t="inlineStr">
        <is>
          <t>1. Titular do Registro / Produtor</t>
        </is>
      </c>
      <c r="F846" s="13" t="inlineStr">
        <is>
          <t>Produto Técnico Industrial</t>
        </is>
      </c>
      <c r="G846" s="13" t="inlineStr">
        <is>
          <t>AGRICONNECTION IMPORTADORA E EXPORTADORA DE INSUMOS AGRÍCOLAS LTDA.</t>
        </is>
      </c>
      <c r="H846" s="13" t="inlineStr">
        <is>
          <t>Matriz / Estabelecimento Principal</t>
        </is>
      </c>
      <c r="I846" s="13" t="inlineStr">
        <is>
          <t>39.496.730/0001-60</t>
        </is>
      </c>
      <c r="J846" s="13" t="inlineStr">
        <is>
          <t>CDA/SP nº 4354 / INDEA/MT nº 27326</t>
        </is>
      </c>
      <c r="K846" s="13" t="inlineStr">
        <is>
          <t>Av. Manoel Genildo de Araujo, 188, Campo Verde/MT</t>
        </is>
      </c>
      <c r="L846" s="13" t="inlineStr">
        <is>
          <t>Brasil</t>
        </is>
      </c>
      <c r="M846" s="13" t="inlineStr">
        <is>
          <t>0 - Nacional / 1 - Importação Direta</t>
        </is>
      </c>
    </row>
    <row r="847" ht="22" customHeight="1">
      <c r="A847" s="6" t="inlineStr">
        <is>
          <t>EMP-0843</t>
        </is>
      </c>
      <c r="B847" s="5" t="n">
        <v>726</v>
      </c>
      <c r="C847" s="7" t="inlineStr">
        <is>
          <t>Nº 28925</t>
        </is>
      </c>
      <c r="D847" s="8" t="inlineStr">
        <is>
          <t>S-METOLACHLOR 960 EC BINNONG</t>
        </is>
      </c>
      <c r="E847" s="7" t="inlineStr">
        <is>
          <t>1. Titular do Registro / Produtor</t>
        </is>
      </c>
      <c r="F847" s="7" t="inlineStr">
        <is>
          <t>Produto Formulado Comercial</t>
        </is>
      </c>
      <c r="G847" s="7" t="inlineStr">
        <is>
          <t>GLOBACHEM PROTEÇÃO DE CULTIVOS DO BRASIL LTDA.</t>
        </is>
      </c>
      <c r="H847" s="7" t="inlineStr">
        <is>
          <t>Matriz / Estabelecimento Principal</t>
        </is>
      </c>
      <c r="I847" s="7" t="inlineStr">
        <is>
          <t>43.741.357/0001-33</t>
        </is>
      </c>
      <c r="J847" s="7" t="inlineStr">
        <is>
          <t>Registro Estadual Vigente</t>
        </is>
      </c>
      <c r="K847" s="7" t="inlineStr">
        <is>
          <t>Estabelecimento Credenciado no Brasil</t>
        </is>
      </c>
      <c r="L847" s="7" t="inlineStr">
        <is>
          <t>Brasil</t>
        </is>
      </c>
      <c r="M847" s="7" t="inlineStr">
        <is>
          <t>0 - Nacional / 1 - Importação Direta</t>
        </is>
      </c>
    </row>
    <row r="848" ht="22" customHeight="1">
      <c r="A848" s="12" t="inlineStr">
        <is>
          <t>EMP-0844</t>
        </is>
      </c>
      <c r="B848" s="11" t="n">
        <v>727</v>
      </c>
      <c r="C848" s="13" t="inlineStr">
        <is>
          <t>Nº 2020</t>
        </is>
      </c>
      <c r="D848" s="14" t="inlineStr">
        <is>
          <t>BUSHI</t>
        </is>
      </c>
      <c r="E848" s="13" t="inlineStr">
        <is>
          <t>1. Titular do Registro</t>
        </is>
      </c>
      <c r="F848" s="13" t="inlineStr">
        <is>
          <t>Produto Formulado Comercial</t>
        </is>
      </c>
      <c r="G848" s="13" t="inlineStr">
        <is>
          <t>Pilarquim BR Comercial Ltda. — Lambda-cialotrina 250 g</t>
        </is>
      </c>
      <c r="H848" s="13" t="inlineStr">
        <is>
          <t>Estabelecimento Credenciado</t>
        </is>
      </c>
      <c r="I848" s="13" t="inlineStr">
        <is>
          <t>CNPJ Credenciado MAPA</t>
        </is>
      </c>
      <c r="J848" s="13" t="inlineStr">
        <is>
          <t>Registro Estadual Vigente</t>
        </is>
      </c>
      <c r="K848" s="13" t="inlineStr">
        <is>
          <t>Unidade Operacional Brasil</t>
        </is>
      </c>
      <c r="L848" s="13" t="inlineStr">
        <is>
          <t>Brasil</t>
        </is>
      </c>
      <c r="M848" s="13" t="inlineStr">
        <is>
          <t>0/1/2 - Conforme Origem do Lote</t>
        </is>
      </c>
    </row>
    <row r="849" ht="22" customHeight="1">
      <c r="A849" s="6" t="inlineStr">
        <is>
          <t>EMP-0845</t>
        </is>
      </c>
      <c r="B849" s="5" t="n">
        <v>727</v>
      </c>
      <c r="C849" s="7" t="inlineStr">
        <is>
          <t>Nº 2020</t>
        </is>
      </c>
      <c r="D849" s="8" t="inlineStr">
        <is>
          <t>BUSHI</t>
        </is>
      </c>
      <c r="E849" s="7" t="inlineStr">
        <is>
          <t>3. Formulador / Co-Distribuidor Autorizado</t>
        </is>
      </c>
      <c r="F849" s="7" t="inlineStr">
        <is>
          <t>Produto Formulado Comercial</t>
        </is>
      </c>
      <c r="G849" s="7" t="inlineStr">
        <is>
          <t>L CS</t>
        </is>
      </c>
      <c r="H849" s="7" t="inlineStr">
        <is>
          <t>Estabelecimento Credenciado</t>
        </is>
      </c>
      <c r="I849" s="7" t="inlineStr">
        <is>
          <t>CNPJ Credenciado MAPA</t>
        </is>
      </c>
      <c r="J849" s="7" t="inlineStr">
        <is>
          <t>Registro Estadual Vigente</t>
        </is>
      </c>
      <c r="K849" s="7" t="inlineStr">
        <is>
          <t>Unidade Operacional Brasil</t>
        </is>
      </c>
      <c r="L849" s="7" t="inlineStr">
        <is>
          <t>Brasil</t>
        </is>
      </c>
      <c r="M849" s="7" t="inlineStr">
        <is>
          <t>0/1/2 - Conforme Origem do Lote</t>
        </is>
      </c>
    </row>
    <row r="850" ht="22" customHeight="1">
      <c r="A850" s="12" t="inlineStr">
        <is>
          <t>EMP-0846</t>
        </is>
      </c>
      <c r="B850" s="11" t="n">
        <v>728</v>
      </c>
      <c r="C850" s="13" t="inlineStr">
        <is>
          <t>Nº 2710</t>
        </is>
      </c>
      <c r="D850" s="14" t="inlineStr">
        <is>
          <t>IMIDACLOPRIDO 700 (PRINCIPIO ATIVO)</t>
        </is>
      </c>
      <c r="E850" s="13" t="inlineStr">
        <is>
          <t>1. Titular do Registro</t>
        </is>
      </c>
      <c r="F850" s="13" t="inlineStr">
        <is>
          <t>Produto Técnico Industrial</t>
        </is>
      </c>
      <c r="G850" s="13" t="inlineStr">
        <is>
          <t>Imidacloprido 700 g</t>
        </is>
      </c>
      <c r="H850" s="13" t="inlineStr">
        <is>
          <t>Estabelecimento Credenciado</t>
        </is>
      </c>
      <c r="I850" s="13" t="inlineStr">
        <is>
          <t>CNPJ Credenciado MAPA</t>
        </is>
      </c>
      <c r="J850" s="13" t="inlineStr">
        <is>
          <t>Registro Estadual Vigente</t>
        </is>
      </c>
      <c r="K850" s="13" t="inlineStr">
        <is>
          <t>Unidade Operacional Brasil</t>
        </is>
      </c>
      <c r="L850" s="13" t="inlineStr">
        <is>
          <t>Brasil</t>
        </is>
      </c>
      <c r="M850" s="13" t="inlineStr">
        <is>
          <t>0/1/2 - Conforme Origem do Lote</t>
        </is>
      </c>
    </row>
    <row r="851" ht="22" customHeight="1">
      <c r="A851" s="6" t="inlineStr">
        <is>
          <t>EMP-0847</t>
        </is>
      </c>
      <c r="B851" s="5" t="n">
        <v>728</v>
      </c>
      <c r="C851" s="7" t="inlineStr">
        <is>
          <t>Nº 2710</t>
        </is>
      </c>
      <c r="D851" s="8" t="inlineStr">
        <is>
          <t>IMIDACLOPRIDO 700 (PRINCIPIO ATIVO)</t>
        </is>
      </c>
      <c r="E851" s="7" t="inlineStr">
        <is>
          <t>3. Formulador / Co-Distribuidor Autorizado</t>
        </is>
      </c>
      <c r="F851" s="7" t="inlineStr">
        <is>
          <t>Produto Técnico Industrial</t>
        </is>
      </c>
      <c r="G851" s="7" t="inlineStr">
        <is>
          <t>kg WG</t>
        </is>
      </c>
      <c r="H851" s="7" t="inlineStr">
        <is>
          <t>Estabelecimento Credenciado</t>
        </is>
      </c>
      <c r="I851" s="7" t="inlineStr">
        <is>
          <t>CNPJ Credenciado MAPA</t>
        </is>
      </c>
      <c r="J851" s="7" t="inlineStr">
        <is>
          <t>Registro Estadual Vigente</t>
        </is>
      </c>
      <c r="K851" s="7" t="inlineStr">
        <is>
          <t>Unidade Operacional Brasil</t>
        </is>
      </c>
      <c r="L851" s="7" t="inlineStr">
        <is>
          <t>Brasil</t>
        </is>
      </c>
      <c r="M851" s="7" t="inlineStr">
        <is>
          <t>0/1/2 - Conforme Origem do Lote</t>
        </is>
      </c>
    </row>
    <row r="852" ht="22" customHeight="1">
      <c r="A852" s="12" t="inlineStr">
        <is>
          <t>EMP-0848</t>
        </is>
      </c>
      <c r="B852" s="11" t="n">
        <v>729</v>
      </c>
      <c r="C852" s="13" t="inlineStr">
        <is>
          <t>Nº 2820</t>
        </is>
      </c>
      <c r="D852" s="14" t="inlineStr">
        <is>
          <t>LIMPA</t>
        </is>
      </c>
      <c r="E852" s="13" t="inlineStr">
        <is>
          <t>1. Titular do Registro</t>
        </is>
      </c>
      <c r="F852" s="13" t="inlineStr">
        <is>
          <t>Produto Formulado Comercial</t>
        </is>
      </c>
      <c r="G852" s="13" t="inlineStr">
        <is>
          <t>Rainbow</t>
        </is>
      </c>
      <c r="H852" s="13" t="inlineStr">
        <is>
          <t>Estabelecimento Credenciado</t>
        </is>
      </c>
      <c r="I852" s="13" t="inlineStr">
        <is>
          <t>CNPJ Credenciado MAPA</t>
        </is>
      </c>
      <c r="J852" s="13" t="inlineStr">
        <is>
          <t>Registro Estadual Vigente</t>
        </is>
      </c>
      <c r="K852" s="13" t="inlineStr">
        <is>
          <t>Unidade Operacional Brasil</t>
        </is>
      </c>
      <c r="L852" s="13" t="inlineStr">
        <is>
          <t>Brasil</t>
        </is>
      </c>
      <c r="M852" s="13" t="inlineStr">
        <is>
          <t>0/1/2 - Conforme Origem do Lote</t>
        </is>
      </c>
    </row>
    <row r="853" ht="22" customHeight="1">
      <c r="A853" s="6" t="inlineStr">
        <is>
          <t>EMP-0849</t>
        </is>
      </c>
      <c r="B853" s="5" t="n">
        <v>729</v>
      </c>
      <c r="C853" s="7" t="inlineStr">
        <is>
          <t>Nº 2820</t>
        </is>
      </c>
      <c r="D853" s="8" t="inlineStr">
        <is>
          <t>LIMPA</t>
        </is>
      </c>
      <c r="E853" s="7" t="inlineStr">
        <is>
          <t>3. Formulador / Co-Distribuidor Autorizado</t>
        </is>
      </c>
      <c r="F853" s="7" t="inlineStr">
        <is>
          <t>Produto Formulado Comercial</t>
        </is>
      </c>
      <c r="G853" s="7" t="inlineStr">
        <is>
          <t>Perterra</t>
        </is>
      </c>
      <c r="H853" s="7" t="inlineStr">
        <is>
          <t>Estabelecimento Credenciado</t>
        </is>
      </c>
      <c r="I853" s="7" t="inlineStr">
        <is>
          <t>CNPJ Credenciado MAPA</t>
        </is>
      </c>
      <c r="J853" s="7" t="inlineStr">
        <is>
          <t>Registro Estadual Vigente</t>
        </is>
      </c>
      <c r="K853" s="7" t="inlineStr">
        <is>
          <t>Unidade Operacional Brasil</t>
        </is>
      </c>
      <c r="L853" s="7" t="inlineStr">
        <is>
          <t>Brasil</t>
        </is>
      </c>
      <c r="M853" s="7" t="inlineStr">
        <is>
          <t>0/1/2 - Conforme Origem do Lote</t>
        </is>
      </c>
    </row>
    <row r="854" ht="22" customHeight="1">
      <c r="A854" s="12" t="inlineStr">
        <is>
          <t>EMP-0850</t>
        </is>
      </c>
      <c r="B854" s="11" t="n">
        <v>730</v>
      </c>
      <c r="C854" s="13" t="inlineStr">
        <is>
          <t>Nº 18723</t>
        </is>
      </c>
      <c r="D854" s="14" t="inlineStr">
        <is>
          <t>S-METOLACLORO (PRINCIPIO ATIVO)</t>
        </is>
      </c>
      <c r="E854" s="13" t="inlineStr">
        <is>
          <t>1. Titular do Registro / Produtor</t>
        </is>
      </c>
      <c r="F854" s="13" t="inlineStr">
        <is>
          <t>Produto Técnico Industrial</t>
        </is>
      </c>
      <c r="G854" s="13" t="inlineStr">
        <is>
          <t>SYNGENTA PROTEÇÃO DE CULTIVOS LTDA. / RAINBOW DEFENSIVOS AGRÍCOLAS LTDA.</t>
        </is>
      </c>
      <c r="H854" s="13" t="inlineStr">
        <is>
          <t>Matriz / Estabelecimento Principal</t>
        </is>
      </c>
      <c r="I854" s="13" t="inlineStr">
        <is>
          <t>CNPJ Credenciado MAPA/SIPEAGRO</t>
        </is>
      </c>
      <c r="J854" s="13" t="inlineStr">
        <is>
          <t>Registro Estadual Vigente</t>
        </is>
      </c>
      <c r="K854" s="13" t="inlineStr">
        <is>
          <t>Estabelecimento Credenciado no Brasil</t>
        </is>
      </c>
      <c r="L854" s="13" t="inlineStr">
        <is>
          <t>Brasil</t>
        </is>
      </c>
      <c r="M854" s="13" t="inlineStr">
        <is>
          <t>0 - Nacional / 1 - Importação Direta</t>
        </is>
      </c>
    </row>
    <row r="855" ht="22" customHeight="1">
      <c r="A855" s="6" t="inlineStr">
        <is>
          <t>EMP-0851</t>
        </is>
      </c>
      <c r="B855" s="5" t="n">
        <v>731</v>
      </c>
      <c r="C855" s="7" t="inlineStr">
        <is>
          <t>Nº 14518</t>
        </is>
      </c>
      <c r="D855" s="8" t="inlineStr">
        <is>
          <t>IMAZETAPIR 700 (PRINCIPIO ATIVO)</t>
        </is>
      </c>
      <c r="E855" s="7" t="inlineStr">
        <is>
          <t>1. Titular do Registro / Produtor</t>
        </is>
      </c>
      <c r="F855" s="7" t="inlineStr">
        <is>
          <t>Produto Técnico Industrial</t>
        </is>
      </c>
      <c r="G855" s="7" t="inlineStr">
        <is>
          <t>RAINBOW DEFENSIVOS AGRÍCOLAS LTDA.</t>
        </is>
      </c>
      <c r="H855" s="7" t="inlineStr">
        <is>
          <t>Matriz / Estabelecimento Principal</t>
        </is>
      </c>
      <c r="I855" s="7" t="inlineStr">
        <is>
          <t>CNPJ Credenciado MAPA/SIPEAGRO</t>
        </is>
      </c>
      <c r="J855" s="7" t="inlineStr">
        <is>
          <t>Registro Estadual Vigente</t>
        </is>
      </c>
      <c r="K855" s="7" t="inlineStr">
        <is>
          <t>Estabelecimento Credenciado no Brasil</t>
        </is>
      </c>
      <c r="L855" s="7" t="inlineStr">
        <is>
          <t>Brasil</t>
        </is>
      </c>
      <c r="M855" s="7" t="inlineStr">
        <is>
          <t>0 - Nacional / 1 - Importação Direta</t>
        </is>
      </c>
    </row>
    <row r="856" ht="22" customHeight="1">
      <c r="A856" s="12" t="inlineStr">
        <is>
          <t>EMP-0852</t>
        </is>
      </c>
      <c r="B856" s="11" t="n">
        <v>732</v>
      </c>
      <c r="C856" s="13" t="inlineStr">
        <is>
          <t>Nº 9210</t>
        </is>
      </c>
      <c r="D856" s="14" t="inlineStr">
        <is>
          <t>PIRACLOSTROBINA 133 + EPOXICONAZOL 50 (PR. ATIVO)</t>
        </is>
      </c>
      <c r="E856" s="13" t="inlineStr">
        <is>
          <t>1. Titular do Registro / Produtor</t>
        </is>
      </c>
      <c r="F856" s="13" t="inlineStr">
        <is>
          <t>Produto Formulado Comercial</t>
        </is>
      </c>
      <c r="G856" s="13" t="inlineStr">
        <is>
          <t>BASF AGRICULTURAL SOLUTIONS BRASIL LTDA</t>
        </is>
      </c>
      <c r="H856" s="13" t="inlineStr">
        <is>
          <t>Matriz / Estabelecimento Principal</t>
        </is>
      </c>
      <c r="I856" s="13" t="inlineStr">
        <is>
          <t>CNPJ Credenciado MAPA/SIPEAGRO</t>
        </is>
      </c>
      <c r="J856" s="13" t="inlineStr">
        <is>
          <t>Registro Estadual Vigente</t>
        </is>
      </c>
      <c r="K856" s="13" t="inlineStr">
        <is>
          <t>Estabelecimento Credenciado no Brasil</t>
        </is>
      </c>
      <c r="L856" s="13" t="inlineStr">
        <is>
          <t>Brasil</t>
        </is>
      </c>
      <c r="M856" s="13" t="inlineStr">
        <is>
          <t>0 - Nacional / 1 - Importação Direta</t>
        </is>
      </c>
    </row>
    <row r="857" ht="22" customHeight="1">
      <c r="A857" s="6" t="inlineStr">
        <is>
          <t>EMP-0853</t>
        </is>
      </c>
      <c r="B857" s="5" t="n">
        <v>733</v>
      </c>
      <c r="C857" s="7" t="inlineStr">
        <is>
          <t>SIPEAGRO (UF-XXXXX)</t>
        </is>
      </c>
      <c r="D857" s="8" t="inlineStr">
        <is>
          <t>FFALM 00 45 00 + 160 BBD - MOSAIC</t>
        </is>
      </c>
      <c r="E857" s="7" t="inlineStr">
        <is>
          <t>1. Titular do Registro / Produtor</t>
        </is>
      </c>
      <c r="F857" s="7" t="inlineStr">
        <is>
          <t>Fertilizante Mineral / Organomineral</t>
        </is>
      </c>
      <c r="G857" s="7" t="inlineStr">
        <is>
          <t>Estabelecimento Produtor SIPEAGRO/MAPA</t>
        </is>
      </c>
      <c r="H857" s="7" t="inlineStr">
        <is>
          <t>Matriz / Estabelecimento Principal</t>
        </is>
      </c>
      <c r="I857" s="7" t="inlineStr">
        <is>
          <t>CNPJ Credenciado MAPA/SIPEAGRO</t>
        </is>
      </c>
      <c r="J857" s="7" t="inlineStr">
        <is>
          <t>Registro Estadual Vigente</t>
        </is>
      </c>
      <c r="K857" s="7" t="inlineStr">
        <is>
          <t>Estabelecimento Credenciado no Brasil</t>
        </is>
      </c>
      <c r="L857" s="7" t="inlineStr">
        <is>
          <t>Brasil</t>
        </is>
      </c>
      <c r="M857" s="7" t="inlineStr">
        <is>
          <t>0 - Nacional / 1 - Importação Direta</t>
        </is>
      </c>
    </row>
    <row r="858" ht="22" customHeight="1">
      <c r="A858" s="12" t="inlineStr">
        <is>
          <t>EMP-0854</t>
        </is>
      </c>
      <c r="B858" s="11" t="n">
        <v>734</v>
      </c>
      <c r="C858" s="13" t="inlineStr">
        <is>
          <t>Nº 34725</t>
        </is>
      </c>
      <c r="D858" s="14" t="inlineStr">
        <is>
          <t>TRIFLOXISTROBINA 150+PROTIOCONAZOL 175 (P. ATIVO)</t>
        </is>
      </c>
      <c r="E858" s="13" t="inlineStr">
        <is>
          <t>1. Titular do Registro / Produtor</t>
        </is>
      </c>
      <c r="F858" s="13" t="inlineStr">
        <is>
          <t>Produto Formulado Comercial</t>
        </is>
      </c>
      <c r="G858" s="13" t="inlineStr">
        <is>
          <t>Rainbow Defensivos</t>
        </is>
      </c>
      <c r="H858" s="13" t="inlineStr">
        <is>
          <t>Matriz / Estabelecimento Principal</t>
        </is>
      </c>
      <c r="I858" s="13" t="inlineStr">
        <is>
          <t>10.486.463/0001-69</t>
        </is>
      </c>
      <c r="J858" s="13" t="inlineStr">
        <is>
          <t>SEAPA/RS nº 1928/09</t>
        </is>
      </c>
      <c r="K858" s="13" t="inlineStr">
        <is>
          <t>Estabelecimento Credenciado no Brasil</t>
        </is>
      </c>
      <c r="L858" s="13" t="inlineStr">
        <is>
          <t>Brasil</t>
        </is>
      </c>
      <c r="M858" s="13" t="inlineStr">
        <is>
          <t>0 - Nacional / 1 - Importação Direta</t>
        </is>
      </c>
    </row>
    <row r="859" ht="22" customHeight="1">
      <c r="A859" s="6" t="inlineStr">
        <is>
          <t>EMP-0855</t>
        </is>
      </c>
      <c r="B859" s="5" t="n">
        <v>735</v>
      </c>
      <c r="C859" s="7" t="inlineStr">
        <is>
          <t>Nº 28520</t>
        </is>
      </c>
      <c r="D859" s="8" t="inlineStr">
        <is>
          <t>GLIFOSATO 720 (PRINCIPIO ATIVO)</t>
        </is>
      </c>
      <c r="E859" s="7" t="inlineStr">
        <is>
          <t>1. Titular do Registro / Produtor</t>
        </is>
      </c>
      <c r="F859" s="7" t="inlineStr">
        <is>
          <t>Produto Técnico Industrial</t>
        </is>
      </c>
      <c r="G859" s="7" t="inlineStr">
        <is>
          <t>RAINBOW DEFENSIVOS AGRÍCOLAS LTDA.</t>
        </is>
      </c>
      <c r="H859" s="7" t="inlineStr">
        <is>
          <t>Matriz / Estabelecimento Principal</t>
        </is>
      </c>
      <c r="I859" s="7" t="inlineStr">
        <is>
          <t>10.486.463/0001-69</t>
        </is>
      </c>
      <c r="J859" s="7" t="inlineStr">
        <is>
          <t>SEAPA/RS nº 1928/09</t>
        </is>
      </c>
      <c r="K859" s="7" t="inlineStr">
        <is>
          <t>Av. Carlos Gomes, 258, Porto Alegre/RS</t>
        </is>
      </c>
      <c r="L859" s="7" t="inlineStr">
        <is>
          <t>Brasil</t>
        </is>
      </c>
      <c r="M859" s="7" t="inlineStr">
        <is>
          <t>0 - Nacional / 1 - Importação Direta</t>
        </is>
      </c>
    </row>
    <row r="860" ht="22" customHeight="1">
      <c r="A860" s="12" t="inlineStr">
        <is>
          <t>EMP-0856</t>
        </is>
      </c>
      <c r="B860" s="11" t="n">
        <v>736</v>
      </c>
      <c r="C860" s="13" t="inlineStr">
        <is>
          <t>Nº 14421</t>
        </is>
      </c>
      <c r="D860" s="14" t="inlineStr">
        <is>
          <t>LEALTY FS</t>
        </is>
      </c>
      <c r="E860" s="13" t="inlineStr">
        <is>
          <t>1. Titular do Registro / Produtor</t>
        </is>
      </c>
      <c r="F860" s="13" t="inlineStr">
        <is>
          <t>Produto Formulado Comercial</t>
        </is>
      </c>
      <c r="G860" s="13" t="inlineStr">
        <is>
          <t>AGRICONNECTION IMPORTADORA E EXPORTADORA DE INSUMOS AGRÍCOLAS LTDA.</t>
        </is>
      </c>
      <c r="H860" s="13" t="inlineStr">
        <is>
          <t>Matriz / Estabelecimento Principal</t>
        </is>
      </c>
      <c r="I860" s="13" t="inlineStr">
        <is>
          <t>39.496.730/0001-60</t>
        </is>
      </c>
      <c r="J860" s="13" t="inlineStr">
        <is>
          <t>INDEA/MT nº 27326 / CDA/SP nº 4354</t>
        </is>
      </c>
      <c r="K860" s="13" t="inlineStr">
        <is>
          <t>Av. Manoel Genildo de Araujo, 188, Sala 02, Campo Verde/MT - CEP 78840-085</t>
        </is>
      </c>
      <c r="L860" s="13" t="inlineStr">
        <is>
          <t>Brasil</t>
        </is>
      </c>
      <c r="M860" s="13" t="inlineStr">
        <is>
          <t>0 - Nacional / 1 - Importação Direta</t>
        </is>
      </c>
    </row>
    <row r="861" ht="22" customHeight="1">
      <c r="A861" s="6" t="inlineStr">
        <is>
          <t>EMP-0857</t>
        </is>
      </c>
      <c r="B861" s="5" t="n">
        <v>737</v>
      </c>
      <c r="C861" s="7" t="inlineStr">
        <is>
          <t>Nº 25224</t>
        </is>
      </c>
      <c r="D861" s="8" t="inlineStr">
        <is>
          <t>CLETODIM 240 EC BRILLIANCE</t>
        </is>
      </c>
      <c r="E861" s="7" t="inlineStr">
        <is>
          <t>1. Titular do Registro / Produtor</t>
        </is>
      </c>
      <c r="F861" s="7" t="inlineStr">
        <is>
          <t>Produto Formulado Comercial</t>
        </is>
      </c>
      <c r="G861" s="7" t="inlineStr">
        <is>
          <t>GLOBACHEM PROTEÇÃO DE CULTIVOS DO BRASIL LTDA.</t>
        </is>
      </c>
      <c r="H861" s="7" t="inlineStr">
        <is>
          <t>Matriz / Estabelecimento Principal</t>
        </is>
      </c>
      <c r="I861" s="7" t="inlineStr">
        <is>
          <t>43.741.357/0001-33</t>
        </is>
      </c>
      <c r="J861" s="7" t="inlineStr">
        <is>
          <t>Registro Estadual Vigente</t>
        </is>
      </c>
      <c r="K861" s="7" t="inlineStr">
        <is>
          <t>Estabelecimento Credenciado no Brasil</t>
        </is>
      </c>
      <c r="L861" s="7" t="inlineStr">
        <is>
          <t>Brasil</t>
        </is>
      </c>
      <c r="M861" s="7" t="inlineStr">
        <is>
          <t>0 - Nacional / 1 - Importação Direta</t>
        </is>
      </c>
    </row>
    <row r="862" ht="22" customHeight="1">
      <c r="A862" s="12" t="inlineStr">
        <is>
          <t>EMP-0858</t>
        </is>
      </c>
      <c r="B862" s="11" t="n">
        <v>738</v>
      </c>
      <c r="C862" s="13" t="inlineStr">
        <is>
          <t>Nº 16223</t>
        </is>
      </c>
      <c r="D862" s="14" t="inlineStr">
        <is>
          <t>COMPRAY</t>
        </is>
      </c>
      <c r="E862" s="13" t="inlineStr">
        <is>
          <t>1. Titular do Registro / Produtor</t>
        </is>
      </c>
      <c r="F862" s="13" t="inlineStr">
        <is>
          <t>Produto Formulado Comercial</t>
        </is>
      </c>
      <c r="G862" s="13" t="inlineStr">
        <is>
          <t>RAINBOW DEFENSIVOS AGRÍCOLAS LTDA. / PERTERRA S.A.</t>
        </is>
      </c>
      <c r="H862" s="13" t="inlineStr">
        <is>
          <t>Matriz / Estabelecimento Principal</t>
        </is>
      </c>
      <c r="I862" s="13" t="inlineStr">
        <is>
          <t>10.486.463/0001-69</t>
        </is>
      </c>
      <c r="J862" s="13" t="inlineStr">
        <is>
          <t>SEAPA/RS nº 1928/09</t>
        </is>
      </c>
      <c r="K862" s="13" t="inlineStr">
        <is>
          <t>Av. Carlos Gomes, 258, Porto Alegre/RS</t>
        </is>
      </c>
      <c r="L862" s="13" t="inlineStr">
        <is>
          <t>Brasil</t>
        </is>
      </c>
      <c r="M862" s="13" t="inlineStr">
        <is>
          <t>0 - Nacional / 1 - Importação Direta</t>
        </is>
      </c>
    </row>
    <row r="863" ht="22" customHeight="1">
      <c r="A863" s="6" t="inlineStr">
        <is>
          <t>EMP-0859</t>
        </is>
      </c>
      <c r="B863" s="5" t="n">
        <v>739</v>
      </c>
      <c r="C863" s="7" t="inlineStr">
        <is>
          <t>Nº 34725</t>
        </is>
      </c>
      <c r="D863" s="8" t="inlineStr">
        <is>
          <t>SPIREEL</t>
        </is>
      </c>
      <c r="E863" s="7" t="inlineStr">
        <is>
          <t>1. Titular do Registro / Produtor</t>
        </is>
      </c>
      <c r="F863" s="7" t="inlineStr">
        <is>
          <t>Produto Formulado Comercial</t>
        </is>
      </c>
      <c r="G863" s="7" t="inlineStr">
        <is>
          <t>Rainbow Defensivos</t>
        </is>
      </c>
      <c r="H863" s="7" t="inlineStr">
        <is>
          <t>Matriz / Estabelecimento Principal</t>
        </is>
      </c>
      <c r="I863" s="7" t="inlineStr">
        <is>
          <t>10.486.463/0001-69</t>
        </is>
      </c>
      <c r="J863" s="7" t="inlineStr">
        <is>
          <t>SEAPA/RS nº 1928/09</t>
        </is>
      </c>
      <c r="K863" s="7" t="inlineStr">
        <is>
          <t>Estabelecimento Credenciado no Brasil</t>
        </is>
      </c>
      <c r="L863" s="7" t="inlineStr">
        <is>
          <t>Brasil</t>
        </is>
      </c>
      <c r="M863" s="7" t="inlineStr">
        <is>
          <t>0 - Nacional / 1 - Importação Direta</t>
        </is>
      </c>
    </row>
    <row r="864" ht="22" customHeight="1">
      <c r="A864" s="12" t="inlineStr">
        <is>
          <t>EMP-0860</t>
        </is>
      </c>
      <c r="B864" s="11" t="n">
        <v>740</v>
      </c>
      <c r="C864" s="13" t="inlineStr">
        <is>
          <t>Nº 14518</t>
        </is>
      </c>
      <c r="D864" s="14" t="inlineStr">
        <is>
          <t>SOYACLEAN XTRA</t>
        </is>
      </c>
      <c r="E864" s="13" t="inlineStr">
        <is>
          <t>1. Titular do Registro / Produtor</t>
        </is>
      </c>
      <c r="F864" s="13" t="inlineStr">
        <is>
          <t>Produto Formulado Comercial</t>
        </is>
      </c>
      <c r="G864" s="13" t="inlineStr">
        <is>
          <t>RAINBOW DEFENSIVOS AGRÍCOLAS LTDA.</t>
        </is>
      </c>
      <c r="H864" s="13" t="inlineStr">
        <is>
          <t>Matriz / Estabelecimento Principal</t>
        </is>
      </c>
      <c r="I864" s="13" t="inlineStr">
        <is>
          <t>10.486.463/0001-69</t>
        </is>
      </c>
      <c r="J864" s="13" t="inlineStr">
        <is>
          <t>SEAPA/RS nº 1928/09</t>
        </is>
      </c>
      <c r="K864" s="13" t="inlineStr">
        <is>
          <t>Estabelecimento Credenciado no Brasil</t>
        </is>
      </c>
      <c r="L864" s="13" t="inlineStr">
        <is>
          <t>Brasil</t>
        </is>
      </c>
      <c r="M864" s="13" t="inlineStr">
        <is>
          <t>0 - Nacional / 1 - Importação Direta</t>
        </is>
      </c>
    </row>
    <row r="865" ht="22" customHeight="1">
      <c r="A865" s="6" t="inlineStr">
        <is>
          <t>EMP-0861</t>
        </is>
      </c>
      <c r="B865" s="5" t="n">
        <v>741</v>
      </c>
      <c r="C865" s="7" t="inlineStr">
        <is>
          <t>Nº 31522</t>
        </is>
      </c>
      <c r="D865" s="8" t="inlineStr">
        <is>
          <t>MITTO 900 (5X1KG)X4 (IMP) RW (VALIDAR)</t>
        </is>
      </c>
      <c r="E865" s="7" t="inlineStr">
        <is>
          <t>1. Titular do Registro / Produtor</t>
        </is>
      </c>
      <c r="F865" s="7" t="inlineStr">
        <is>
          <t>Produto Formulado Comercial</t>
        </is>
      </c>
      <c r="G865" s="7" t="inlineStr">
        <is>
          <t>RAINBOW DEFENSIVOS AGRÍCOLAS LTDA.</t>
        </is>
      </c>
      <c r="H865" s="7" t="inlineStr">
        <is>
          <t>Matriz / Estabelecimento Principal</t>
        </is>
      </c>
      <c r="I865" s="7" t="inlineStr">
        <is>
          <t>10.486.463/0001-69</t>
        </is>
      </c>
      <c r="J865" s="7" t="inlineStr">
        <is>
          <t>SEAPA/RS nº 1928/09</t>
        </is>
      </c>
      <c r="K865" s="7" t="inlineStr">
        <is>
          <t>Av. Carlos Gomes, 258, Salas 1103-1106, Boa Vista, Porto Alegre/RS - CEP 90480-000</t>
        </is>
      </c>
      <c r="L865" s="7" t="inlineStr">
        <is>
          <t>Brasil</t>
        </is>
      </c>
      <c r="M865" s="7" t="inlineStr">
        <is>
          <t>0 - Nacional / 1 - Importação Direta</t>
        </is>
      </c>
    </row>
    <row r="866" ht="22" customHeight="1">
      <c r="A866" s="12" t="inlineStr">
        <is>
          <t>EMP-0862</t>
        </is>
      </c>
      <c r="B866" s="11" t="n">
        <v>742</v>
      </c>
      <c r="C866" s="13" t="inlineStr">
        <is>
          <t>SIPEAGRO (UF-XXXXX)</t>
        </is>
      </c>
      <c r="D866" s="14" t="inlineStr">
        <is>
          <t>BORO GRANULADO 14.5%B - DREYMOOR</t>
        </is>
      </c>
      <c r="E866" s="13" t="inlineStr">
        <is>
          <t>1. Titular do Registro / Produtor</t>
        </is>
      </c>
      <c r="F866" s="13" t="inlineStr">
        <is>
          <t>Fertilizante Mineral / Organomineral</t>
        </is>
      </c>
      <c r="G866" s="13" t="inlineStr">
        <is>
          <t>Estabelecimento Produtor SIPEAGRO/MAPA</t>
        </is>
      </c>
      <c r="H866" s="13" t="inlineStr">
        <is>
          <t>Matriz / Estabelecimento Principal</t>
        </is>
      </c>
      <c r="I866" s="13" t="inlineStr">
        <is>
          <t>CNPJ Credenciado MAPA/SIPEAGRO</t>
        </is>
      </c>
      <c r="J866" s="13" t="inlineStr">
        <is>
          <t>Registro Estadual Vigente</t>
        </is>
      </c>
      <c r="K866" s="13" t="inlineStr">
        <is>
          <t>Estabelecimento Credenciado no Brasil</t>
        </is>
      </c>
      <c r="L866" s="13" t="inlineStr">
        <is>
          <t>Brasil</t>
        </is>
      </c>
      <c r="M866" s="13" t="inlineStr">
        <is>
          <t>0 - Nacional / 1 - Importação Direta</t>
        </is>
      </c>
    </row>
    <row r="867" ht="22" customHeight="1">
      <c r="A867" s="6" t="inlineStr">
        <is>
          <t>EMP-0863</t>
        </is>
      </c>
      <c r="B867" s="5" t="n">
        <v>743</v>
      </c>
      <c r="C867" s="7" t="inlineStr">
        <is>
          <t>Nº 27025</t>
        </is>
      </c>
      <c r="D867" s="8" t="inlineStr">
        <is>
          <t>PYROX</t>
        </is>
      </c>
      <c r="E867" s="7" t="inlineStr">
        <is>
          <t>1. Titular do Registro / Produtor</t>
        </is>
      </c>
      <c r="F867" s="7" t="inlineStr">
        <is>
          <t>Produto Formulado Comercial</t>
        </is>
      </c>
      <c r="G867" s="7" t="inlineStr">
        <is>
          <t>RAINBOW DEFENSIVOS AGRÍCOLAS LTDA.</t>
        </is>
      </c>
      <c r="H867" s="7" t="inlineStr">
        <is>
          <t>Matriz / Estabelecimento Principal</t>
        </is>
      </c>
      <c r="I867" s="7" t="inlineStr">
        <is>
          <t>CNPJ Credenciado MAPA/SIPEAGRO</t>
        </is>
      </c>
      <c r="J867" s="7" t="inlineStr">
        <is>
          <t>Registro Estadual Vigente</t>
        </is>
      </c>
      <c r="K867" s="7" t="inlineStr">
        <is>
          <t>Estabelecimento Credenciado no Brasil</t>
        </is>
      </c>
      <c r="L867" s="7" t="inlineStr">
        <is>
          <t>Brasil</t>
        </is>
      </c>
      <c r="M867" s="7" t="inlineStr">
        <is>
          <t>0 - Nacional / 1 - Importação Direta</t>
        </is>
      </c>
    </row>
    <row r="868" ht="22" customHeight="1">
      <c r="A868" s="12" t="inlineStr">
        <is>
          <t>EMP-0864</t>
        </is>
      </c>
      <c r="B868" s="11" t="n">
        <v>744</v>
      </c>
      <c r="C868" s="13" t="inlineStr">
        <is>
          <t>Nº 28925</t>
        </is>
      </c>
      <c r="D868" s="14" t="inlineStr">
        <is>
          <t>S-METOLACHLOR 960 EC BINNONG</t>
        </is>
      </c>
      <c r="E868" s="13" t="inlineStr">
        <is>
          <t>1. Titular do Registro / Produtor</t>
        </is>
      </c>
      <c r="F868" s="13" t="inlineStr">
        <is>
          <t>Produto Formulado Comercial</t>
        </is>
      </c>
      <c r="G868" s="13" t="inlineStr">
        <is>
          <t>GLOBACHEM PROTEÇÃO DE CULTIVOS DO BRASIL LTDA.</t>
        </is>
      </c>
      <c r="H868" s="13" t="inlineStr">
        <is>
          <t>Matriz / Estabelecimento Principal</t>
        </is>
      </c>
      <c r="I868" s="13" t="inlineStr">
        <is>
          <t>CNPJ Credenciado MAPA/SIPEAGRO</t>
        </is>
      </c>
      <c r="J868" s="13" t="inlineStr">
        <is>
          <t>Registro Estadual Vigente</t>
        </is>
      </c>
      <c r="K868" s="13" t="inlineStr">
        <is>
          <t>Estabelecimento Credenciado no Brasil</t>
        </is>
      </c>
      <c r="L868" s="13" t="inlineStr">
        <is>
          <t>Brasil</t>
        </is>
      </c>
      <c r="M868" s="13" t="inlineStr">
        <is>
          <t>0 - Nacional / 1 - Importação Direta</t>
        </is>
      </c>
    </row>
    <row r="869" ht="22" customHeight="1">
      <c r="A869" s="6" t="inlineStr">
        <is>
          <t>EMP-0865</t>
        </is>
      </c>
      <c r="B869" s="5" t="n">
        <v>745</v>
      </c>
      <c r="C869" s="7" t="inlineStr">
        <is>
          <t>Nº 47125</t>
        </is>
      </c>
      <c r="D869" s="8" t="inlineStr">
        <is>
          <t>CHLORFENAPYR</t>
        </is>
      </c>
      <c r="E869" s="7" t="inlineStr">
        <is>
          <t>1. Titular do Registro / Produtor</t>
        </is>
      </c>
      <c r="F869" s="7" t="inlineStr">
        <is>
          <t>Produto Formulado Comercial</t>
        </is>
      </c>
      <c r="G869" s="7" t="inlineStr">
        <is>
          <t>YONON BRASIL DEFENSIVOS AGRÍCOLAS LTDA.</t>
        </is>
      </c>
      <c r="H869" s="7" t="inlineStr">
        <is>
          <t>Matriz / Estabelecimento Principal</t>
        </is>
      </c>
      <c r="I869" s="7" t="inlineStr">
        <is>
          <t>CNPJ Credenciado MAPA/SIPEAGRO</t>
        </is>
      </c>
      <c r="J869" s="7" t="inlineStr">
        <is>
          <t>Registro Estadual Vigente</t>
        </is>
      </c>
      <c r="K869" s="7" t="inlineStr">
        <is>
          <t>Estabelecimento Credenciado no Brasil</t>
        </is>
      </c>
      <c r="L869" s="7" t="inlineStr">
        <is>
          <t>Brasil</t>
        </is>
      </c>
      <c r="M869" s="7" t="inlineStr">
        <is>
          <t>0 - Nacional / 1 - Importação Direta</t>
        </is>
      </c>
    </row>
    <row r="870" ht="22" customHeight="1">
      <c r="A870" s="12" t="inlineStr">
        <is>
          <t>EMP-0866</t>
        </is>
      </c>
      <c r="B870" s="11" t="n">
        <v>746</v>
      </c>
      <c r="C870" s="13" t="inlineStr">
        <is>
          <t>Nº 23623</t>
        </is>
      </c>
      <c r="D870" s="14" t="inlineStr">
        <is>
          <t>GLIMOR WG</t>
        </is>
      </c>
      <c r="E870" s="13" t="inlineStr">
        <is>
          <t>1. Titular do Registro / Produtor</t>
        </is>
      </c>
      <c r="F870" s="13" t="inlineStr">
        <is>
          <t>Produto Formulado Comercial</t>
        </is>
      </c>
      <c r="G870" s="13" t="inlineStr">
        <is>
          <t>RAINBOW DEFENSIVOS AGRÍCOLAS LTDA.</t>
        </is>
      </c>
      <c r="H870" s="13" t="inlineStr">
        <is>
          <t>Matriz / Estabelecimento Principal</t>
        </is>
      </c>
      <c r="I870" s="13" t="inlineStr">
        <is>
          <t>CNPJ Credenciado MAPA/SIPEAGRO</t>
        </is>
      </c>
      <c r="J870" s="13" t="inlineStr">
        <is>
          <t>Registro Estadual Vigente</t>
        </is>
      </c>
      <c r="K870" s="13" t="inlineStr">
        <is>
          <t>Estabelecimento Credenciado no Brasil</t>
        </is>
      </c>
      <c r="L870" s="13" t="inlineStr">
        <is>
          <t>Brasil</t>
        </is>
      </c>
      <c r="M870" s="13" t="inlineStr">
        <is>
          <t>0 - Nacional / 1 - Importação Direta</t>
        </is>
      </c>
    </row>
    <row r="871" ht="22" customHeight="1">
      <c r="A871" s="6" t="inlineStr">
        <is>
          <t>EMP-0867</t>
        </is>
      </c>
      <c r="B871" s="5" t="n">
        <v>747</v>
      </c>
      <c r="C871" s="7" t="inlineStr">
        <is>
          <t>Nº 25224</t>
        </is>
      </c>
      <c r="D871" s="8" t="inlineStr">
        <is>
          <t>CLETODIM 240 EC BRILLIANCE</t>
        </is>
      </c>
      <c r="E871" s="7" t="inlineStr">
        <is>
          <t>1. Titular do Registro / Produtor</t>
        </is>
      </c>
      <c r="F871" s="7" t="inlineStr">
        <is>
          <t>Produto Formulado Comercial</t>
        </is>
      </c>
      <c r="G871" s="7" t="inlineStr">
        <is>
          <t>GLOBACHEM PROTEÇÃO DE CULTIVOS DO BRASIL LTDA.</t>
        </is>
      </c>
      <c r="H871" s="7" t="inlineStr">
        <is>
          <t>Matriz / Estabelecimento Principal</t>
        </is>
      </c>
      <c r="I871" s="7" t="inlineStr">
        <is>
          <t>43.741.357/0001-33</t>
        </is>
      </c>
      <c r="J871" s="7" t="inlineStr">
        <is>
          <t>Registro Estadual Vigente</t>
        </is>
      </c>
      <c r="K871" s="7" t="inlineStr">
        <is>
          <t>Estabelecimento Credenciado no Brasil</t>
        </is>
      </c>
      <c r="L871" s="7" t="inlineStr">
        <is>
          <t>Brasil</t>
        </is>
      </c>
      <c r="M871" s="7" t="inlineStr">
        <is>
          <t>0 - Nacional / 1 - Importação Direta</t>
        </is>
      </c>
    </row>
    <row r="872" ht="22" customHeight="1">
      <c r="A872" s="12" t="inlineStr">
        <is>
          <t>EMP-0868</t>
        </is>
      </c>
      <c r="B872" s="11" t="n">
        <v>748</v>
      </c>
      <c r="C872" s="13" t="inlineStr">
        <is>
          <t>Nº 15725</t>
        </is>
      </c>
      <c r="D872" s="14" t="inlineStr">
        <is>
          <t>CLETODIM 360 EC BRILLIANCE</t>
        </is>
      </c>
      <c r="E872" s="13" t="inlineStr">
        <is>
          <t>1. Titular do Registro / Produtor</t>
        </is>
      </c>
      <c r="F872" s="13" t="inlineStr">
        <is>
          <t>Produto Formulado Comercial</t>
        </is>
      </c>
      <c r="G872" s="13" t="inlineStr">
        <is>
          <t>GLOBACHEM PROTEÇÃO DE CULTIVOS DO BRASIL LTDA.</t>
        </is>
      </c>
      <c r="H872" s="13" t="inlineStr">
        <is>
          <t>Matriz / Estabelecimento Principal</t>
        </is>
      </c>
      <c r="I872" s="13" t="inlineStr">
        <is>
          <t>43.741.357/0001-33</t>
        </is>
      </c>
      <c r="J872" s="13" t="inlineStr">
        <is>
          <t>Registro Estadual Vigente</t>
        </is>
      </c>
      <c r="K872" s="13" t="inlineStr">
        <is>
          <t>Estabelecimento Credenciado no Brasil</t>
        </is>
      </c>
      <c r="L872" s="13" t="inlineStr">
        <is>
          <t>Brasil</t>
        </is>
      </c>
      <c r="M872" s="13" t="inlineStr">
        <is>
          <t>0 - Nacional / 1 - Importação Direta</t>
        </is>
      </c>
    </row>
    <row r="873" ht="22" customHeight="1">
      <c r="A873" s="6" t="inlineStr">
        <is>
          <t>EMP-0869</t>
        </is>
      </c>
      <c r="B873" s="5" t="n">
        <v>749</v>
      </c>
      <c r="C873" s="7" t="inlineStr">
        <is>
          <t>Nº 49425</t>
        </is>
      </c>
      <c r="D873" s="8" t="inlineStr">
        <is>
          <t>GAZINA</t>
        </is>
      </c>
      <c r="E873" s="7" t="inlineStr">
        <is>
          <t>1. Titular do Registro / Produtor</t>
        </is>
      </c>
      <c r="F873" s="7" t="inlineStr">
        <is>
          <t>Produto Formulado Comercial</t>
        </is>
      </c>
      <c r="G873" s="7" t="inlineStr">
        <is>
          <t>RAINBOW DEFENSIVOS AGRÍCOLAS LTDA.</t>
        </is>
      </c>
      <c r="H873" s="7" t="inlineStr">
        <is>
          <t>Matriz / Estabelecimento Principal</t>
        </is>
      </c>
      <c r="I873" s="7" t="inlineStr">
        <is>
          <t>CNPJ Credenciado MAPA/SIPEAGRO</t>
        </is>
      </c>
      <c r="J873" s="7" t="inlineStr">
        <is>
          <t>Registro Estadual Vigente</t>
        </is>
      </c>
      <c r="K873" s="7" t="inlineStr">
        <is>
          <t>Estabelecimento Credenciado no Brasil</t>
        </is>
      </c>
      <c r="L873" s="7" t="inlineStr">
        <is>
          <t>Brasil</t>
        </is>
      </c>
      <c r="M873" s="7" t="inlineStr">
        <is>
          <t>0 - Nacional / 1 - Importação Direta</t>
        </is>
      </c>
    </row>
    <row r="874" ht="22" customHeight="1">
      <c r="A874" s="12" t="inlineStr">
        <is>
          <t>EMP-0870</t>
        </is>
      </c>
      <c r="B874" s="11" t="n">
        <v>750</v>
      </c>
      <c r="C874" s="13" t="inlineStr">
        <is>
          <t>Nº 52425</t>
        </is>
      </c>
      <c r="D874" s="14" t="inlineStr">
        <is>
          <t>GEODO</t>
        </is>
      </c>
      <c r="E874" s="13" t="inlineStr">
        <is>
          <t>1. Titular do Registro / Produtor</t>
        </is>
      </c>
      <c r="F874" s="13" t="inlineStr">
        <is>
          <t>Produto Formulado Comercial</t>
        </is>
      </c>
      <c r="G874" s="13" t="inlineStr">
        <is>
          <t>RAINBOW DEFENSIVOS AGRÍCOLAS LTDA.</t>
        </is>
      </c>
      <c r="H874" s="13" t="inlineStr">
        <is>
          <t>Matriz / Estabelecimento Principal</t>
        </is>
      </c>
      <c r="I874" s="13" t="inlineStr">
        <is>
          <t>CNPJ Credenciado MAPA/SIPEAGRO</t>
        </is>
      </c>
      <c r="J874" s="13" t="inlineStr">
        <is>
          <t>Registro Estadual Vigente</t>
        </is>
      </c>
      <c r="K874" s="13" t="inlineStr">
        <is>
          <t>Estabelecimento Credenciado no Brasil</t>
        </is>
      </c>
      <c r="L874" s="13" t="inlineStr">
        <is>
          <t>Brasil</t>
        </is>
      </c>
      <c r="M874" s="13" t="inlineStr">
        <is>
          <t>0 - Nacional / 1 - Importação Direta</t>
        </is>
      </c>
    </row>
    <row r="875" ht="22" customHeight="1">
      <c r="A875" s="6" t="inlineStr">
        <is>
          <t>EMP-0871</t>
        </is>
      </c>
      <c r="B875" s="5" t="n">
        <v>751</v>
      </c>
      <c r="C875" s="7" t="inlineStr">
        <is>
          <t>Nº 14421</t>
        </is>
      </c>
      <c r="D875" s="8" t="inlineStr">
        <is>
          <t>LEALTY FS</t>
        </is>
      </c>
      <c r="E875" s="7" t="inlineStr">
        <is>
          <t>1. Titular do Registro / Produtor</t>
        </is>
      </c>
      <c r="F875" s="7" t="inlineStr">
        <is>
          <t>Produto Formulado Comercial</t>
        </is>
      </c>
      <c r="G875" s="7" t="inlineStr">
        <is>
          <t>AGRICONNECTION IMPORTADORA E EXPORTADORA DE INSUMOS AGRÍCOLAS LTDA.</t>
        </is>
      </c>
      <c r="H875" s="7" t="inlineStr">
        <is>
          <t>Matriz / Estabelecimento Principal</t>
        </is>
      </c>
      <c r="I875" s="7" t="inlineStr">
        <is>
          <t>39.496.730/0001-60</t>
        </is>
      </c>
      <c r="J875" s="7" t="inlineStr">
        <is>
          <t>INDEA/MT nº 27326 / CDA/SP nº 4354</t>
        </is>
      </c>
      <c r="K875" s="7" t="inlineStr">
        <is>
          <t>Av. Manoel Genildo de Araujo, 188, Sala 02, Campo Verde/MT - CEP 78840-085</t>
        </is>
      </c>
      <c r="L875" s="7" t="inlineStr">
        <is>
          <t>Brasil</t>
        </is>
      </c>
      <c r="M875" s="7" t="inlineStr">
        <is>
          <t>0 - Nacional / 1 - Importação Direta</t>
        </is>
      </c>
    </row>
    <row r="876" ht="22" customHeight="1">
      <c r="A876" s="12" t="inlineStr">
        <is>
          <t>EMP-0872</t>
        </is>
      </c>
      <c r="B876" s="11" t="n">
        <v>752</v>
      </c>
      <c r="C876" s="13" t="inlineStr">
        <is>
          <t>Nº 7023</t>
        </is>
      </c>
      <c r="D876" s="14" t="inlineStr">
        <is>
          <t>TORINO</t>
        </is>
      </c>
      <c r="E876" s="13" t="inlineStr">
        <is>
          <t>1. Titular do Registro</t>
        </is>
      </c>
      <c r="F876" s="13" t="inlineStr">
        <is>
          <t>Produto Formulado Comercial</t>
        </is>
      </c>
      <c r="G876" s="13" t="inlineStr">
        <is>
          <t>Rainbow</t>
        </is>
      </c>
      <c r="H876" s="13" t="inlineStr">
        <is>
          <t>Estabelecimento Credenciado</t>
        </is>
      </c>
      <c r="I876" s="13" t="inlineStr">
        <is>
          <t>CNPJ Credenciado MAPA</t>
        </is>
      </c>
      <c r="J876" s="13" t="inlineStr">
        <is>
          <t>Registro Estadual Vigente</t>
        </is>
      </c>
      <c r="K876" s="13" t="inlineStr">
        <is>
          <t>Unidade Operacional Brasil</t>
        </is>
      </c>
      <c r="L876" s="13" t="inlineStr">
        <is>
          <t>Brasil</t>
        </is>
      </c>
      <c r="M876" s="13" t="inlineStr">
        <is>
          <t>0/1/2 - Conforme Origem do Lote</t>
        </is>
      </c>
    </row>
    <row r="877" ht="22" customHeight="1">
      <c r="A877" s="6" t="inlineStr">
        <is>
          <t>EMP-0873</t>
        </is>
      </c>
      <c r="B877" s="5" t="n">
        <v>752</v>
      </c>
      <c r="C877" s="7" t="inlineStr">
        <is>
          <t>Nº 7023</t>
        </is>
      </c>
      <c r="D877" s="8" t="inlineStr">
        <is>
          <t>TORINO</t>
        </is>
      </c>
      <c r="E877" s="7" t="inlineStr">
        <is>
          <t>3. Formulador / Co-Distribuidor Autorizado</t>
        </is>
      </c>
      <c r="F877" s="7" t="inlineStr">
        <is>
          <t>Produto Formulado Comercial</t>
        </is>
      </c>
      <c r="G877" s="7" t="inlineStr">
        <is>
          <t>Syngenta</t>
        </is>
      </c>
      <c r="H877" s="7" t="inlineStr">
        <is>
          <t>Estabelecimento Credenciado</t>
        </is>
      </c>
      <c r="I877" s="7" t="inlineStr">
        <is>
          <t>CNPJ Credenciado MAPA</t>
        </is>
      </c>
      <c r="J877" s="7" t="inlineStr">
        <is>
          <t>Registro Estadual Vigente</t>
        </is>
      </c>
      <c r="K877" s="7" t="inlineStr">
        <is>
          <t>Unidade Operacional Brasil</t>
        </is>
      </c>
      <c r="L877" s="7" t="inlineStr">
        <is>
          <t>Brasil</t>
        </is>
      </c>
      <c r="M877" s="7" t="inlineStr">
        <is>
          <t>0/1/2 - Conforme Origem do Lote</t>
        </is>
      </c>
    </row>
    <row r="878" ht="22" customHeight="1">
      <c r="A878" s="12" t="inlineStr">
        <is>
          <t>EMP-0874</t>
        </is>
      </c>
      <c r="B878" s="11" t="n">
        <v>753</v>
      </c>
      <c r="C878" s="13" t="inlineStr">
        <is>
          <t>Nº 2218</t>
        </is>
      </c>
      <c r="D878" s="14" t="inlineStr">
        <is>
          <t>ACETA 4X5 KG IMP AH</t>
        </is>
      </c>
      <c r="E878" s="13" t="inlineStr">
        <is>
          <t>1. Titular do Registro</t>
        </is>
      </c>
      <c r="F878" s="13" t="inlineStr">
        <is>
          <t>Produto Formulado Comercial</t>
        </is>
      </c>
      <c r="G878" s="13" t="inlineStr">
        <is>
          <t>Alamos</t>
        </is>
      </c>
      <c r="H878" s="13" t="inlineStr">
        <is>
          <t>Estabelecimento Credenciado</t>
        </is>
      </c>
      <c r="I878" s="13" t="inlineStr">
        <is>
          <t>CNPJ Credenciado MAPA</t>
        </is>
      </c>
      <c r="J878" s="13" t="inlineStr">
        <is>
          <t>Registro Estadual Vigente</t>
        </is>
      </c>
      <c r="K878" s="13" t="inlineStr">
        <is>
          <t>Unidade Operacional Brasil</t>
        </is>
      </c>
      <c r="L878" s="13" t="inlineStr">
        <is>
          <t>Brasil</t>
        </is>
      </c>
      <c r="M878" s="13" t="inlineStr">
        <is>
          <t>0/1/2 - Conforme Origem do Lote</t>
        </is>
      </c>
    </row>
    <row r="879" ht="22" customHeight="1">
      <c r="A879" s="6" t="inlineStr">
        <is>
          <t>EMP-0875</t>
        </is>
      </c>
      <c r="B879" s="5" t="n">
        <v>753</v>
      </c>
      <c r="C879" s="7" t="inlineStr">
        <is>
          <t>Nº 2218</t>
        </is>
      </c>
      <c r="D879" s="8" t="inlineStr">
        <is>
          <t>ACETA 4X5 KG IMP AH</t>
        </is>
      </c>
      <c r="E879" s="7" t="inlineStr">
        <is>
          <t>3. Formulador / Co-Distribuidor Autorizado</t>
        </is>
      </c>
      <c r="F879" s="7" t="inlineStr">
        <is>
          <t>Produto Formulado Comercial</t>
        </is>
      </c>
      <c r="G879" s="7" t="inlineStr">
        <is>
          <t>Perterra</t>
        </is>
      </c>
      <c r="H879" s="7" t="inlineStr">
        <is>
          <t>Estabelecimento Credenciado</t>
        </is>
      </c>
      <c r="I879" s="7" t="inlineStr">
        <is>
          <t>CNPJ Credenciado MAPA</t>
        </is>
      </c>
      <c r="J879" s="7" t="inlineStr">
        <is>
          <t>Registro Estadual Vigente</t>
        </is>
      </c>
      <c r="K879" s="7" t="inlineStr">
        <is>
          <t>Unidade Operacional Brasil</t>
        </is>
      </c>
      <c r="L879" s="7" t="inlineStr">
        <is>
          <t>Brasil</t>
        </is>
      </c>
      <c r="M879" s="7" t="inlineStr">
        <is>
          <t>0/1/2 - Conforme Origem do Lote</t>
        </is>
      </c>
    </row>
    <row r="880" ht="22" customHeight="1">
      <c r="A880" s="12" t="inlineStr">
        <is>
          <t>EMP-0876</t>
        </is>
      </c>
      <c r="B880" s="11" t="n">
        <v>754</v>
      </c>
      <c r="C880" s="13" t="inlineStr">
        <is>
          <t>Nº 1223</t>
        </is>
      </c>
      <c r="D880" s="14" t="inlineStr">
        <is>
          <t>FULLGUARD</t>
        </is>
      </c>
      <c r="E880" s="13" t="inlineStr">
        <is>
          <t>1. Titular do Registro / Produtor</t>
        </is>
      </c>
      <c r="F880" s="13" t="inlineStr">
        <is>
          <t>Produto Formulado Comercial</t>
        </is>
      </c>
      <c r="G880" s="13" t="inlineStr">
        <is>
          <t>Rainbow Defensivos</t>
        </is>
      </c>
      <c r="H880" s="13" t="inlineStr">
        <is>
          <t>Matriz / Estabelecimento Principal</t>
        </is>
      </c>
      <c r="I880" s="13" t="inlineStr">
        <is>
          <t>10.486.463/0001-69</t>
        </is>
      </c>
      <c r="J880" s="13" t="inlineStr">
        <is>
          <t>SEAPA/RS nº 1928/09</t>
        </is>
      </c>
      <c r="K880" s="13" t="inlineStr">
        <is>
          <t>Estabelecimento Credenciado no Brasil</t>
        </is>
      </c>
      <c r="L880" s="13" t="inlineStr">
        <is>
          <t>Brasil</t>
        </is>
      </c>
      <c r="M880" s="13" t="inlineStr">
        <is>
          <t>0 - Nacional / 1 - Importação Direta</t>
        </is>
      </c>
    </row>
    <row r="881" ht="22" customHeight="1">
      <c r="A881" s="6" t="inlineStr">
        <is>
          <t>EMP-0877</t>
        </is>
      </c>
      <c r="B881" s="5" t="n">
        <v>755</v>
      </c>
      <c r="C881" s="7" t="inlineStr">
        <is>
          <t>Nº 19122</t>
        </is>
      </c>
      <c r="D881" s="8" t="inlineStr">
        <is>
          <t>AVENCA</t>
        </is>
      </c>
      <c r="E881" s="7" t="inlineStr">
        <is>
          <t>1. Titular do Registro / Produtor</t>
        </is>
      </c>
      <c r="F881" s="7" t="inlineStr">
        <is>
          <t>Produto Formulado Comercial</t>
        </is>
      </c>
      <c r="G881" s="7" t="inlineStr">
        <is>
          <t>AGRICONNECTION IMPORTADORA E EXPORTADORA DE INSUMOS AGRICOLAS LTDA</t>
        </is>
      </c>
      <c r="H881" s="7" t="inlineStr">
        <is>
          <t>Matriz / Estabelecimento Principal</t>
        </is>
      </c>
      <c r="I881" s="7" t="inlineStr">
        <is>
          <t>39.496.730/0001-60</t>
        </is>
      </c>
      <c r="J881" s="7" t="inlineStr">
        <is>
          <t>INDEA/MT nº 27326 / CDA/SP nº 4354</t>
        </is>
      </c>
      <c r="K881" s="7" t="inlineStr">
        <is>
          <t>Av. Manoel Genildo de Araujo, 188, Campo Verde/MT / Barueri/SP</t>
        </is>
      </c>
      <c r="L881" s="7" t="inlineStr">
        <is>
          <t>Brasil</t>
        </is>
      </c>
      <c r="M881" s="7" t="inlineStr">
        <is>
          <t>0 - Nacional / 1 - Importação Direta</t>
        </is>
      </c>
    </row>
    <row r="882" ht="22" customHeight="1">
      <c r="A882" s="12" t="inlineStr">
        <is>
          <t>EMP-0878</t>
        </is>
      </c>
      <c r="B882" s="11" t="n">
        <v>756</v>
      </c>
      <c r="C882" s="13" t="inlineStr">
        <is>
          <t>Nº 3621</t>
        </is>
      </c>
      <c r="D882" s="14" t="inlineStr">
        <is>
          <t>TECNUP MAX 720 WG</t>
        </is>
      </c>
      <c r="E882" s="13" t="inlineStr">
        <is>
          <t>1. Titular do Registro</t>
        </is>
      </c>
      <c r="F882" s="13" t="inlineStr">
        <is>
          <t>Produto Formulado Comercial</t>
        </is>
      </c>
      <c r="G882" s="13" t="inlineStr">
        <is>
          <t>Sinon</t>
        </is>
      </c>
      <c r="H882" s="13" t="inlineStr">
        <is>
          <t>Estabelecimento Credenciado</t>
        </is>
      </c>
      <c r="I882" s="13" t="inlineStr">
        <is>
          <t>CNPJ Credenciado MAPA</t>
        </is>
      </c>
      <c r="J882" s="13" t="inlineStr">
        <is>
          <t>Registro Estadual Vigente</t>
        </is>
      </c>
      <c r="K882" s="13" t="inlineStr">
        <is>
          <t>Unidade Operacional Brasil</t>
        </is>
      </c>
      <c r="L882" s="13" t="inlineStr">
        <is>
          <t>Brasil</t>
        </is>
      </c>
      <c r="M882" s="13" t="inlineStr">
        <is>
          <t>0/1/2 - Conforme Origem do Lote</t>
        </is>
      </c>
    </row>
    <row r="883" ht="22" customHeight="1">
      <c r="A883" s="6" t="inlineStr">
        <is>
          <t>EMP-0879</t>
        </is>
      </c>
      <c r="B883" s="5" t="n">
        <v>756</v>
      </c>
      <c r="C883" s="7" t="inlineStr">
        <is>
          <t>Nº 3621</t>
        </is>
      </c>
      <c r="D883" s="8" t="inlineStr">
        <is>
          <t>TECNUP MAX 720 WG</t>
        </is>
      </c>
      <c r="E883" s="7" t="inlineStr">
        <is>
          <t>3. Formulador / Co-Distribuidor Autorizado</t>
        </is>
      </c>
      <c r="F883" s="7" t="inlineStr">
        <is>
          <t>Produto Formulado Comercial</t>
        </is>
      </c>
      <c r="G883" s="7" t="inlineStr">
        <is>
          <t>Perterra</t>
        </is>
      </c>
      <c r="H883" s="7" t="inlineStr">
        <is>
          <t>Estabelecimento Credenciado</t>
        </is>
      </c>
      <c r="I883" s="7" t="inlineStr">
        <is>
          <t>CNPJ Credenciado MAPA</t>
        </is>
      </c>
      <c r="J883" s="7" t="inlineStr">
        <is>
          <t>Registro Estadual Vigente</t>
        </is>
      </c>
      <c r="K883" s="7" t="inlineStr">
        <is>
          <t>Unidade Operacional Brasil</t>
        </is>
      </c>
      <c r="L883" s="7" t="inlineStr">
        <is>
          <t>Brasil</t>
        </is>
      </c>
      <c r="M883" s="7" t="inlineStr">
        <is>
          <t>0/1/2 - Conforme Origem do Lote</t>
        </is>
      </c>
    </row>
    <row r="884" ht="22" customHeight="1">
      <c r="A884" s="12" t="inlineStr">
        <is>
          <t>EMP-0880</t>
        </is>
      </c>
      <c r="B884" s="11" t="n">
        <v>757</v>
      </c>
      <c r="C884" s="13" t="inlineStr">
        <is>
          <t>Nº 5622</t>
        </is>
      </c>
      <c r="D884" s="14" t="inlineStr">
        <is>
          <t>FIERA SC</t>
        </is>
      </c>
      <c r="E884" s="13" t="inlineStr">
        <is>
          <t>1. Titular do Registro</t>
        </is>
      </c>
      <c r="F884" s="13" t="inlineStr">
        <is>
          <t>Produto Formulado Comercial</t>
        </is>
      </c>
      <c r="G884" s="13" t="inlineStr">
        <is>
          <t>Nichino</t>
        </is>
      </c>
      <c r="H884" s="13" t="inlineStr">
        <is>
          <t>Estabelecimento Credenciado</t>
        </is>
      </c>
      <c r="I884" s="13" t="inlineStr">
        <is>
          <t>CNPJ Credenciado MAPA</t>
        </is>
      </c>
      <c r="J884" s="13" t="inlineStr">
        <is>
          <t>Registro Estadual Vigente</t>
        </is>
      </c>
      <c r="K884" s="13" t="inlineStr">
        <is>
          <t>Unidade Operacional Brasil</t>
        </is>
      </c>
      <c r="L884" s="13" t="inlineStr">
        <is>
          <t>Brasil</t>
        </is>
      </c>
      <c r="M884" s="13" t="inlineStr">
        <is>
          <t>0/1/2 - Conforme Origem do Lote</t>
        </is>
      </c>
    </row>
    <row r="885" ht="22" customHeight="1">
      <c r="A885" s="6" t="inlineStr">
        <is>
          <t>EMP-0881</t>
        </is>
      </c>
      <c r="B885" s="5" t="n">
        <v>757</v>
      </c>
      <c r="C885" s="7" t="inlineStr">
        <is>
          <t>Nº 5622</t>
        </is>
      </c>
      <c r="D885" s="8" t="inlineStr">
        <is>
          <t>FIERA SC</t>
        </is>
      </c>
      <c r="E885" s="7" t="inlineStr">
        <is>
          <t>3. Formulador / Co-Distribuidor Autorizado</t>
        </is>
      </c>
      <c r="F885" s="7" t="inlineStr">
        <is>
          <t>Produto Formulado Comercial</t>
        </is>
      </c>
      <c r="G885" s="7" t="inlineStr">
        <is>
          <t>Sipcam</t>
        </is>
      </c>
      <c r="H885" s="7" t="inlineStr">
        <is>
          <t>Estabelecimento Credenciado</t>
        </is>
      </c>
      <c r="I885" s="7" t="inlineStr">
        <is>
          <t>CNPJ Credenciado MAPA</t>
        </is>
      </c>
      <c r="J885" s="7" t="inlineStr">
        <is>
          <t>Registro Estadual Vigente</t>
        </is>
      </c>
      <c r="K885" s="7" t="inlineStr">
        <is>
          <t>Unidade Operacional Brasil</t>
        </is>
      </c>
      <c r="L885" s="7" t="inlineStr">
        <is>
          <t>Brasil</t>
        </is>
      </c>
      <c r="M885" s="7" t="inlineStr">
        <is>
          <t>0/1/2 - Conforme Origem do Lote</t>
        </is>
      </c>
    </row>
    <row r="886" ht="22" customHeight="1">
      <c r="A886" s="12" t="inlineStr">
        <is>
          <t>EMP-0882</t>
        </is>
      </c>
      <c r="B886" s="11" t="n">
        <v>758</v>
      </c>
      <c r="C886" s="13" t="inlineStr">
        <is>
          <t>Nº 5725</t>
        </is>
      </c>
      <c r="D886" s="14" t="inlineStr">
        <is>
          <t>ESIFON FULL</t>
        </is>
      </c>
      <c r="E886" s="13" t="inlineStr">
        <is>
          <t>1. Titular do Registro</t>
        </is>
      </c>
      <c r="F886" s="13" t="inlineStr">
        <is>
          <t>Produto Formulado Comercial</t>
        </is>
      </c>
      <c r="G886" s="13" t="inlineStr">
        <is>
          <t>Rainbow</t>
        </is>
      </c>
      <c r="H886" s="13" t="inlineStr">
        <is>
          <t>Estabelecimento Credenciado</t>
        </is>
      </c>
      <c r="I886" s="13" t="inlineStr">
        <is>
          <t>CNPJ Credenciado MAPA</t>
        </is>
      </c>
      <c r="J886" s="13" t="inlineStr">
        <is>
          <t>Registro Estadual Vigente</t>
        </is>
      </c>
      <c r="K886" s="13" t="inlineStr">
        <is>
          <t>Unidade Operacional Brasil</t>
        </is>
      </c>
      <c r="L886" s="13" t="inlineStr">
        <is>
          <t>Brasil</t>
        </is>
      </c>
      <c r="M886" s="13" t="inlineStr">
        <is>
          <t>0/1/2 - Conforme Origem do Lote</t>
        </is>
      </c>
    </row>
    <row r="887" ht="22" customHeight="1">
      <c r="A887" s="6" t="inlineStr">
        <is>
          <t>EMP-0883</t>
        </is>
      </c>
      <c r="B887" s="5" t="n">
        <v>758</v>
      </c>
      <c r="C887" s="7" t="inlineStr">
        <is>
          <t>Nº 5725</t>
        </is>
      </c>
      <c r="D887" s="8" t="inlineStr">
        <is>
          <t>ESIFON FULL</t>
        </is>
      </c>
      <c r="E887" s="7" t="inlineStr">
        <is>
          <t>3. Formulador / Co-Distribuidor Autorizado</t>
        </is>
      </c>
      <c r="F887" s="7" t="inlineStr">
        <is>
          <t>Produto Formulado Comercial</t>
        </is>
      </c>
      <c r="G887" s="7" t="inlineStr">
        <is>
          <t>Sino-Agri</t>
        </is>
      </c>
      <c r="H887" s="7" t="inlineStr">
        <is>
          <t>Estabelecimento Credenciado</t>
        </is>
      </c>
      <c r="I887" s="7" t="inlineStr">
        <is>
          <t>CNPJ Credenciado MAPA</t>
        </is>
      </c>
      <c r="J887" s="7" t="inlineStr">
        <is>
          <t>Registro Estadual Vigente</t>
        </is>
      </c>
      <c r="K887" s="7" t="inlineStr">
        <is>
          <t>Unidade Operacional Brasil</t>
        </is>
      </c>
      <c r="L887" s="7" t="inlineStr">
        <is>
          <t>Brasil</t>
        </is>
      </c>
      <c r="M887" s="7" t="inlineStr">
        <is>
          <t>0/1/2 - Conforme Origem do Lote</t>
        </is>
      </c>
    </row>
    <row r="888" ht="22" customHeight="1">
      <c r="A888" s="12" t="inlineStr">
        <is>
          <t>EMP-0884</t>
        </is>
      </c>
      <c r="B888" s="11" t="n">
        <v>759</v>
      </c>
      <c r="C888" s="13" t="inlineStr">
        <is>
          <t>Nº 14421</t>
        </is>
      </c>
      <c r="D888" s="14" t="inlineStr">
        <is>
          <t>LEALTY FS</t>
        </is>
      </c>
      <c r="E888" s="13" t="inlineStr">
        <is>
          <t>1. Titular do Registro / Produtor</t>
        </is>
      </c>
      <c r="F888" s="13" t="inlineStr">
        <is>
          <t>Produto Formulado Comercial</t>
        </is>
      </c>
      <c r="G888" s="13" t="inlineStr">
        <is>
          <t>AGRICONNECTION IMPORTADORA E EXPORTADORA DE INSUMOS AGRÍCOLAS LTDA.</t>
        </is>
      </c>
      <c r="H888" s="13" t="inlineStr">
        <is>
          <t>Matriz / Estabelecimento Principal</t>
        </is>
      </c>
      <c r="I888" s="13" t="inlineStr">
        <is>
          <t>39.496.730/0001-60</t>
        </is>
      </c>
      <c r="J888" s="13" t="inlineStr">
        <is>
          <t>INDEA/MT nº 27326 / CDA/SP nº 4354</t>
        </is>
      </c>
      <c r="K888" s="13" t="inlineStr">
        <is>
          <t>Av. Manoel Genildo de Araujo, 188, Sala 02, Campo Verde/MT - CEP 78840-085</t>
        </is>
      </c>
      <c r="L888" s="13" t="inlineStr">
        <is>
          <t>Brasil</t>
        </is>
      </c>
      <c r="M888" s="13" t="inlineStr">
        <is>
          <t>0 - Nacional / 1 - Importação Direta</t>
        </is>
      </c>
    </row>
    <row r="889" ht="22" customHeight="1">
      <c r="A889" s="6" t="inlineStr">
        <is>
          <t>EMP-0885</t>
        </is>
      </c>
      <c r="B889" s="5" t="n">
        <v>760</v>
      </c>
      <c r="C889" s="7" t="inlineStr">
        <is>
          <t>Nº 5622</t>
        </is>
      </c>
      <c r="D889" s="8" t="inlineStr">
        <is>
          <t>FIERA SC</t>
        </is>
      </c>
      <c r="E889" s="7" t="inlineStr">
        <is>
          <t>1. Titular do Registro</t>
        </is>
      </c>
      <c r="F889" s="7" t="inlineStr">
        <is>
          <t>Produto Formulado Comercial</t>
        </is>
      </c>
      <c r="G889" s="7" t="inlineStr">
        <is>
          <t>Nichino</t>
        </is>
      </c>
      <c r="H889" s="7" t="inlineStr">
        <is>
          <t>Estabelecimento Credenciado</t>
        </is>
      </c>
      <c r="I889" s="7" t="inlineStr">
        <is>
          <t>CNPJ Credenciado MAPA</t>
        </is>
      </c>
      <c r="J889" s="7" t="inlineStr">
        <is>
          <t>Registro Estadual Vigente</t>
        </is>
      </c>
      <c r="K889" s="7" t="inlineStr">
        <is>
          <t>Unidade Operacional Brasil</t>
        </is>
      </c>
      <c r="L889" s="7" t="inlineStr">
        <is>
          <t>Brasil</t>
        </is>
      </c>
      <c r="M889" s="7" t="inlineStr">
        <is>
          <t>0/1/2 - Conforme Origem do Lote</t>
        </is>
      </c>
    </row>
    <row r="890" ht="22" customHeight="1">
      <c r="A890" s="12" t="inlineStr">
        <is>
          <t>EMP-0886</t>
        </is>
      </c>
      <c r="B890" s="11" t="n">
        <v>760</v>
      </c>
      <c r="C890" s="13" t="inlineStr">
        <is>
          <t>Nº 5622</t>
        </is>
      </c>
      <c r="D890" s="14" t="inlineStr">
        <is>
          <t>FIERA SC</t>
        </is>
      </c>
      <c r="E890" s="13" t="inlineStr">
        <is>
          <t>3. Formulador / Co-Distribuidor Autorizado</t>
        </is>
      </c>
      <c r="F890" s="13" t="inlineStr">
        <is>
          <t>Produto Formulado Comercial</t>
        </is>
      </c>
      <c r="G890" s="13" t="inlineStr">
        <is>
          <t>Sipcam</t>
        </is>
      </c>
      <c r="H890" s="13" t="inlineStr">
        <is>
          <t>Estabelecimento Credenciado</t>
        </is>
      </c>
      <c r="I890" s="13" t="inlineStr">
        <is>
          <t>CNPJ Credenciado MAPA</t>
        </is>
      </c>
      <c r="J890" s="13" t="inlineStr">
        <is>
          <t>Registro Estadual Vigente</t>
        </is>
      </c>
      <c r="K890" s="13" t="inlineStr">
        <is>
          <t>Unidade Operacional Brasil</t>
        </is>
      </c>
      <c r="L890" s="13" t="inlineStr">
        <is>
          <t>Brasil</t>
        </is>
      </c>
      <c r="M890" s="13" t="inlineStr">
        <is>
          <t>0/1/2 - Conforme Origem do Lote</t>
        </is>
      </c>
    </row>
    <row r="891" ht="22" customHeight="1">
      <c r="A891" s="6" t="inlineStr">
        <is>
          <t>EMP-0887</t>
        </is>
      </c>
      <c r="B891" s="5" t="n">
        <v>761</v>
      </c>
      <c r="C891" s="7" t="inlineStr">
        <is>
          <t>SIPEAGRO (UF-XXXXX)</t>
        </is>
      </c>
      <c r="D891" s="8" t="inlineStr">
        <is>
          <t>FERTILIZANTE 00 00 60 KCL - YARA</t>
        </is>
      </c>
      <c r="E891" s="7" t="inlineStr">
        <is>
          <t>1. Titular do Registro / Produtor</t>
        </is>
      </c>
      <c r="F891" s="7" t="inlineStr">
        <is>
          <t>Fertilizante Mineral / Organomineral</t>
        </is>
      </c>
      <c r="G891" s="7" t="inlineStr">
        <is>
          <t>Estabelecimento Produtor SIPEAGRO/MAPA</t>
        </is>
      </c>
      <c r="H891" s="7" t="inlineStr">
        <is>
          <t>Matriz / Estabelecimento Principal</t>
        </is>
      </c>
      <c r="I891" s="7" t="inlineStr">
        <is>
          <t>CNPJ Credenciado MAPA/SIPEAGRO</t>
        </is>
      </c>
      <c r="J891" s="7" t="inlineStr">
        <is>
          <t>Registro Estadual Vigente</t>
        </is>
      </c>
      <c r="K891" s="7" t="inlineStr">
        <is>
          <t>Estabelecimento Credenciado no Brasil</t>
        </is>
      </c>
      <c r="L891" s="7" t="inlineStr">
        <is>
          <t>Brasil</t>
        </is>
      </c>
      <c r="M891" s="7" t="inlineStr">
        <is>
          <t>0 - Nacional / 1 - Importação Direta</t>
        </is>
      </c>
    </row>
    <row r="892" ht="22" customHeight="1">
      <c r="A892" s="12" t="inlineStr">
        <is>
          <t>EMP-0888</t>
        </is>
      </c>
      <c r="B892" s="11" t="n">
        <v>762</v>
      </c>
      <c r="C892" s="13" t="inlineStr">
        <is>
          <t>Nº 40624</t>
        </is>
      </c>
      <c r="D892" s="14" t="inlineStr">
        <is>
          <t>SHARK - CLORPIRIFOS 480 EC (PRINCIPIO ATIVO)</t>
        </is>
      </c>
      <c r="E892" s="13" t="inlineStr">
        <is>
          <t>1. Titular do Registro</t>
        </is>
      </c>
      <c r="F892" s="13" t="inlineStr">
        <is>
          <t>Produto Técnico Industrial</t>
        </is>
      </c>
      <c r="G892" s="13" t="inlineStr">
        <is>
          <t>Clorpirifós 480 g</t>
        </is>
      </c>
      <c r="H892" s="13" t="inlineStr">
        <is>
          <t>Estabelecimento Credenciado</t>
        </is>
      </c>
      <c r="I892" s="13" t="inlineStr">
        <is>
          <t>CNPJ Credenciado MAPA</t>
        </is>
      </c>
      <c r="J892" s="13" t="inlineStr">
        <is>
          <t>Registro Estadual Vigente</t>
        </is>
      </c>
      <c r="K892" s="13" t="inlineStr">
        <is>
          <t>Unidade Operacional Brasil</t>
        </is>
      </c>
      <c r="L892" s="13" t="inlineStr">
        <is>
          <t>Brasil</t>
        </is>
      </c>
      <c r="M892" s="13" t="inlineStr">
        <is>
          <t>0/1/2 - Conforme Origem do Lote</t>
        </is>
      </c>
    </row>
    <row r="893" ht="22" customHeight="1">
      <c r="A893" s="6" t="inlineStr">
        <is>
          <t>EMP-0889</t>
        </is>
      </c>
      <c r="B893" s="5" t="n">
        <v>762</v>
      </c>
      <c r="C893" s="7" t="inlineStr">
        <is>
          <t>Nº 40624</t>
        </is>
      </c>
      <c r="D893" s="8" t="inlineStr">
        <is>
          <t>SHARK - CLORPIRIFOS 480 EC (PRINCIPIO ATIVO)</t>
        </is>
      </c>
      <c r="E893" s="7" t="inlineStr">
        <is>
          <t>3. Formulador / Co-Distribuidor Autorizado</t>
        </is>
      </c>
      <c r="F893" s="7" t="inlineStr">
        <is>
          <t>Produto Técnico Industrial</t>
        </is>
      </c>
      <c r="G893" s="7" t="inlineStr">
        <is>
          <t>L EC</t>
        </is>
      </c>
      <c r="H893" s="7" t="inlineStr">
        <is>
          <t>Estabelecimento Credenciado</t>
        </is>
      </c>
      <c r="I893" s="7" t="inlineStr">
        <is>
          <t>CNPJ Credenciado MAPA</t>
        </is>
      </c>
      <c r="J893" s="7" t="inlineStr">
        <is>
          <t>Registro Estadual Vigente</t>
        </is>
      </c>
      <c r="K893" s="7" t="inlineStr">
        <is>
          <t>Unidade Operacional Brasil</t>
        </is>
      </c>
      <c r="L893" s="7" t="inlineStr">
        <is>
          <t>Brasil</t>
        </is>
      </c>
      <c r="M893" s="7" t="inlineStr">
        <is>
          <t>0/1/2 - Conforme Origem do Lote</t>
        </is>
      </c>
    </row>
    <row r="894" ht="22" customHeight="1">
      <c r="A894" s="12" t="inlineStr">
        <is>
          <t>EMP-0890</t>
        </is>
      </c>
      <c r="B894" s="11" t="n">
        <v>763</v>
      </c>
      <c r="C894" s="13" t="inlineStr">
        <is>
          <t>SIPEAGRO (UF-XXXXX)</t>
        </is>
      </c>
      <c r="D894" s="14" t="inlineStr">
        <is>
          <t>CLORETO DE POTASSIO GRAN KCL - FERTIPAR</t>
        </is>
      </c>
      <c r="E894" s="13" t="inlineStr">
        <is>
          <t>1. Titular do Registro / Produtor</t>
        </is>
      </c>
      <c r="F894" s="13" t="inlineStr">
        <is>
          <t>Fertilizante Mineral / Organomineral</t>
        </is>
      </c>
      <c r="G894" s="13" t="inlineStr">
        <is>
          <t>Estabelecimento Produtor SIPEAGRO/MAPA</t>
        </is>
      </c>
      <c r="H894" s="13" t="inlineStr">
        <is>
          <t>Matriz / Estabelecimento Principal</t>
        </is>
      </c>
      <c r="I894" s="13" t="inlineStr">
        <is>
          <t>CNPJ Credenciado MAPA/SIPEAGRO</t>
        </is>
      </c>
      <c r="J894" s="13" t="inlineStr">
        <is>
          <t>Registro Estadual Vigente</t>
        </is>
      </c>
      <c r="K894" s="13" t="inlineStr">
        <is>
          <t>Estabelecimento Credenciado no Brasil</t>
        </is>
      </c>
      <c r="L894" s="13" t="inlineStr">
        <is>
          <t>Brasil</t>
        </is>
      </c>
      <c r="M894" s="13" t="inlineStr">
        <is>
          <t>0 - Nacional / 1 - Importação Direta</t>
        </is>
      </c>
    </row>
    <row r="895" ht="22" customHeight="1">
      <c r="A895" s="6" t="inlineStr">
        <is>
          <t>EMP-0891</t>
        </is>
      </c>
      <c r="B895" s="5" t="n">
        <v>764</v>
      </c>
      <c r="C895" s="7" t="inlineStr">
        <is>
          <t>Nº 15025</t>
        </is>
      </c>
      <c r="D895" s="8" t="inlineStr">
        <is>
          <t>PROTHIOCONAZOLE + TRIFLOXYSTROBIN</t>
        </is>
      </c>
      <c r="E895" s="7" t="inlineStr">
        <is>
          <t>1. Titular do Registro / Produtor</t>
        </is>
      </c>
      <c r="F895" s="7" t="inlineStr">
        <is>
          <t>Produto Formulado Comercial</t>
        </is>
      </c>
      <c r="G895" s="7" t="inlineStr">
        <is>
          <t>YONON BRASIL DEFENSIVOS AGRÍCOLAS LTDA.</t>
        </is>
      </c>
      <c r="H895" s="7" t="inlineStr">
        <is>
          <t>Matriz / Estabelecimento Principal</t>
        </is>
      </c>
      <c r="I895" s="7" t="inlineStr">
        <is>
          <t>CNPJ Credenciado MAPA/SIPEAGRO</t>
        </is>
      </c>
      <c r="J895" s="7" t="inlineStr">
        <is>
          <t>Registro Estadual Vigente</t>
        </is>
      </c>
      <c r="K895" s="7" t="inlineStr">
        <is>
          <t>Estabelecimento Credenciado no Brasil</t>
        </is>
      </c>
      <c r="L895" s="7" t="inlineStr">
        <is>
          <t>Brasil</t>
        </is>
      </c>
      <c r="M895" s="7" t="inlineStr">
        <is>
          <t>0 - Nacional / 1 - Importação Direta</t>
        </is>
      </c>
    </row>
    <row r="896" ht="22" customHeight="1">
      <c r="A896" s="12" t="inlineStr">
        <is>
          <t>EMP-0892</t>
        </is>
      </c>
      <c r="B896" s="11" t="n">
        <v>765</v>
      </c>
      <c r="C896" s="13" t="inlineStr">
        <is>
          <t>Nº 15025</t>
        </is>
      </c>
      <c r="D896" s="14" t="inlineStr">
        <is>
          <t>PROTHIOCONAZOLE + TRIFLOXYSTROBIN</t>
        </is>
      </c>
      <c r="E896" s="13" t="inlineStr">
        <is>
          <t>1. Titular do Registro / Produtor</t>
        </is>
      </c>
      <c r="F896" s="13" t="inlineStr">
        <is>
          <t>Produto Formulado Comercial</t>
        </is>
      </c>
      <c r="G896" s="13" t="inlineStr">
        <is>
          <t>YONON BRASIL DEFENSIVOS AGRÍCOLAS LTDA.</t>
        </is>
      </c>
      <c r="H896" s="13" t="inlineStr">
        <is>
          <t>Matriz / Estabelecimento Principal</t>
        </is>
      </c>
      <c r="I896" s="13" t="inlineStr">
        <is>
          <t>CNPJ Credenciado MAPA/SIPEAGRO</t>
        </is>
      </c>
      <c r="J896" s="13" t="inlineStr">
        <is>
          <t>Registro Estadual Vigente</t>
        </is>
      </c>
      <c r="K896" s="13" t="inlineStr">
        <is>
          <t>Estabelecimento Credenciado no Brasil</t>
        </is>
      </c>
      <c r="L896" s="13" t="inlineStr">
        <is>
          <t>Brasil</t>
        </is>
      </c>
      <c r="M896" s="13" t="inlineStr">
        <is>
          <t>0 - Nacional / 1 - Importação Direta</t>
        </is>
      </c>
    </row>
    <row r="897" ht="22" customHeight="1">
      <c r="A897" s="6" t="inlineStr">
        <is>
          <t>EMP-0893</t>
        </is>
      </c>
      <c r="B897" s="5" t="n">
        <v>766</v>
      </c>
      <c r="C897" s="7" t="inlineStr">
        <is>
          <t>Nº 15025</t>
        </is>
      </c>
      <c r="D897" s="8" t="inlineStr">
        <is>
          <t>PROTHIOCONAZOLE + TRIFLOXYSTROBIN</t>
        </is>
      </c>
      <c r="E897" s="7" t="inlineStr">
        <is>
          <t>1. Titular do Registro / Produtor</t>
        </is>
      </c>
      <c r="F897" s="7" t="inlineStr">
        <is>
          <t>Produto Formulado Comercial</t>
        </is>
      </c>
      <c r="G897" s="7" t="inlineStr">
        <is>
          <t>YONON BRASIL DEFENSIVOS AGRÍCOLAS LTDA.</t>
        </is>
      </c>
      <c r="H897" s="7" t="inlineStr">
        <is>
          <t>Matriz / Estabelecimento Principal</t>
        </is>
      </c>
      <c r="I897" s="7" t="inlineStr">
        <is>
          <t>CNPJ Credenciado MAPA/SIPEAGRO</t>
        </is>
      </c>
      <c r="J897" s="7" t="inlineStr">
        <is>
          <t>Registro Estadual Vigente</t>
        </is>
      </c>
      <c r="K897" s="7" t="inlineStr">
        <is>
          <t>Estabelecimento Credenciado no Brasil</t>
        </is>
      </c>
      <c r="L897" s="7" t="inlineStr">
        <is>
          <t>Brasil</t>
        </is>
      </c>
      <c r="M897" s="7" t="inlineStr">
        <is>
          <t>0 - Nacional / 1 - Importação Direta</t>
        </is>
      </c>
    </row>
    <row r="898" ht="22" customHeight="1">
      <c r="A898" s="12" t="inlineStr">
        <is>
          <t>EMP-0894</t>
        </is>
      </c>
      <c r="B898" s="11" t="n">
        <v>767</v>
      </c>
      <c r="C898" s="13" t="inlineStr">
        <is>
          <t>Nº 15025</t>
        </is>
      </c>
      <c r="D898" s="14" t="inlineStr">
        <is>
          <t>PROTHIOCONAZOLE + TRIFLOXYSTROBIN</t>
        </is>
      </c>
      <c r="E898" s="13" t="inlineStr">
        <is>
          <t>1. Titular do Registro / Produtor</t>
        </is>
      </c>
      <c r="F898" s="13" t="inlineStr">
        <is>
          <t>Produto Formulado Comercial</t>
        </is>
      </c>
      <c r="G898" s="13" t="inlineStr">
        <is>
          <t>YONON BRASIL DEFENSIVOS AGRÍCOLAS LTDA.</t>
        </is>
      </c>
      <c r="H898" s="13" t="inlineStr">
        <is>
          <t>Matriz / Estabelecimento Principal</t>
        </is>
      </c>
      <c r="I898" s="13" t="inlineStr">
        <is>
          <t>CNPJ Credenciado MAPA/SIPEAGRO</t>
        </is>
      </c>
      <c r="J898" s="13" t="inlineStr">
        <is>
          <t>Registro Estadual Vigente</t>
        </is>
      </c>
      <c r="K898" s="13" t="inlineStr">
        <is>
          <t>Estabelecimento Credenciado no Brasil</t>
        </is>
      </c>
      <c r="L898" s="13" t="inlineStr">
        <is>
          <t>Brasil</t>
        </is>
      </c>
      <c r="M898" s="13" t="inlineStr">
        <is>
          <t>0 - Nacional / 1 - Importação Direta</t>
        </is>
      </c>
    </row>
    <row r="899" ht="22" customHeight="1">
      <c r="A899" s="6" t="inlineStr">
        <is>
          <t>EMP-0895</t>
        </is>
      </c>
      <c r="B899" s="5" t="n">
        <v>768</v>
      </c>
      <c r="C899" s="7" t="inlineStr">
        <is>
          <t>Nº 15623</t>
        </is>
      </c>
      <c r="D899" s="8" t="inlineStr">
        <is>
          <t>FLUMIOXAZINA 500 (PRINCIPIO ATIVO)</t>
        </is>
      </c>
      <c r="E899" s="7" t="inlineStr">
        <is>
          <t>1. Titular do Registro / Produtor</t>
        </is>
      </c>
      <c r="F899" s="7" t="inlineStr">
        <is>
          <t>Produto Técnico Industrial</t>
        </is>
      </c>
      <c r="G899" s="7" t="inlineStr">
        <is>
          <t>RAINBOW DEFENSIVOS AGRÍCOLAS LTDA.</t>
        </is>
      </c>
      <c r="H899" s="7" t="inlineStr">
        <is>
          <t>Matriz / Estabelecimento Principal</t>
        </is>
      </c>
      <c r="I899" s="7" t="inlineStr">
        <is>
          <t>CNPJ Credenciado MAPA/SIPEAGRO</t>
        </is>
      </c>
      <c r="J899" s="7" t="inlineStr">
        <is>
          <t>Registro Estadual Vigente</t>
        </is>
      </c>
      <c r="K899" s="7" t="inlineStr">
        <is>
          <t>Estabelecimento Credenciado no Brasil</t>
        </is>
      </c>
      <c r="L899" s="7" t="inlineStr">
        <is>
          <t>Brasil</t>
        </is>
      </c>
      <c r="M899" s="7" t="inlineStr">
        <is>
          <t>0 - Nacional / 1 - Importação Direta</t>
        </is>
      </c>
    </row>
    <row r="900" ht="22" customHeight="1">
      <c r="A900" s="12" t="inlineStr">
        <is>
          <t>EMP-0896</t>
        </is>
      </c>
      <c r="B900" s="11" t="n">
        <v>769</v>
      </c>
      <c r="C900" s="13" t="inlineStr">
        <is>
          <t>Nº 2520</t>
        </is>
      </c>
      <c r="D900" s="14" t="inlineStr">
        <is>
          <t>SURVEY 250 FS</t>
        </is>
      </c>
      <c r="E900" s="13" t="inlineStr">
        <is>
          <t>1. Titular do Registro / Produtor</t>
        </is>
      </c>
      <c r="F900" s="13" t="inlineStr">
        <is>
          <t>Produto Formulado Comercial</t>
        </is>
      </c>
      <c r="G900" s="13" t="inlineStr">
        <is>
          <t>Rainbow Defensivos</t>
        </is>
      </c>
      <c r="H900" s="13" t="inlineStr">
        <is>
          <t>Matriz / Estabelecimento Principal</t>
        </is>
      </c>
      <c r="I900" s="13" t="inlineStr">
        <is>
          <t>10.486.463/0001-69</t>
        </is>
      </c>
      <c r="J900" s="13" t="inlineStr">
        <is>
          <t>SEAPA/RS nº 1928/09</t>
        </is>
      </c>
      <c r="K900" s="13" t="inlineStr">
        <is>
          <t>Estabelecimento Credenciado no Brasil</t>
        </is>
      </c>
      <c r="L900" s="13" t="inlineStr">
        <is>
          <t>Brasil</t>
        </is>
      </c>
      <c r="M900" s="13" t="inlineStr">
        <is>
          <t>0 - Nacional / 1 - Importação Direta</t>
        </is>
      </c>
    </row>
    <row r="901" ht="22" customHeight="1">
      <c r="A901" s="6" t="inlineStr">
        <is>
          <t>EMP-0897</t>
        </is>
      </c>
      <c r="B901" s="5" t="n">
        <v>770</v>
      </c>
      <c r="C901" s="7" t="inlineStr">
        <is>
          <t>SIPEAGRO (UF-XXXXX)</t>
        </is>
      </c>
      <c r="D901" s="8" t="inlineStr">
        <is>
          <t>ADUBO SUPER TRIPLO 00-46-00 FERT. MIN - IMPACTPVA</t>
        </is>
      </c>
      <c r="E901" s="7" t="inlineStr">
        <is>
          <t>1. Titular do Registro / Produtor</t>
        </is>
      </c>
      <c r="F901" s="7" t="inlineStr">
        <is>
          <t>Fertilizante Mineral / Organomineral</t>
        </is>
      </c>
      <c r="G901" s="7" t="inlineStr">
        <is>
          <t>Estabelecimento Produtor SIPEAGRO/MAPA</t>
        </is>
      </c>
      <c r="H901" s="7" t="inlineStr">
        <is>
          <t>Matriz / Estabelecimento Principal</t>
        </is>
      </c>
      <c r="I901" s="7" t="inlineStr">
        <is>
          <t>CNPJ Credenciado MAPA/SIPEAGRO</t>
        </is>
      </c>
      <c r="J901" s="7" t="inlineStr">
        <is>
          <t>Registro Estadual Vigente</t>
        </is>
      </c>
      <c r="K901" s="7" t="inlineStr">
        <is>
          <t>Estabelecimento Credenciado no Brasil</t>
        </is>
      </c>
      <c r="L901" s="7" t="inlineStr">
        <is>
          <t>Brasil</t>
        </is>
      </c>
      <c r="M901" s="7" t="inlineStr">
        <is>
          <t>0 - Nacional / 1 - Importação Direta</t>
        </is>
      </c>
    </row>
    <row r="902" ht="22" customHeight="1">
      <c r="A902" s="12" t="inlineStr">
        <is>
          <t>EMP-0898</t>
        </is>
      </c>
      <c r="B902" s="11" t="n">
        <v>771</v>
      </c>
      <c r="C902" s="13" t="inlineStr">
        <is>
          <t>Nº 40624</t>
        </is>
      </c>
      <c r="D902" s="14" t="inlineStr">
        <is>
          <t>SHARK</t>
        </is>
      </c>
      <c r="E902" s="13" t="inlineStr">
        <is>
          <t>1. Titular do Registro / Produtor</t>
        </is>
      </c>
      <c r="F902" s="13" t="inlineStr">
        <is>
          <t>Produto Formulado Comercial</t>
        </is>
      </c>
      <c r="G902" s="13" t="inlineStr">
        <is>
          <t>AGRICONNECTION IMPORTADORA E EXPORTADORA DE INSUMOS AGRÍCOLAS LTDA.</t>
        </is>
      </c>
      <c r="H902" s="13" t="inlineStr">
        <is>
          <t>Matriz / Estabelecimento Principal</t>
        </is>
      </c>
      <c r="I902" s="13" t="inlineStr">
        <is>
          <t>39.496.730/0001-60</t>
        </is>
      </c>
      <c r="J902" s="13" t="inlineStr">
        <is>
          <t>CDA/SP nº 4354 / INDEA/MT nº 27326</t>
        </is>
      </c>
      <c r="K902" s="13" t="inlineStr">
        <is>
          <t>Alameda Rio Negro, 585, Sala 145 A, Alphaville, Barueri/SP - CEP 06454-000</t>
        </is>
      </c>
      <c r="L902" s="13" t="inlineStr">
        <is>
          <t>Brasil</t>
        </is>
      </c>
      <c r="M902" s="13" t="inlineStr">
        <is>
          <t>0 - Nacional / 1 - Importação Direta</t>
        </is>
      </c>
    </row>
    <row r="903" ht="22" customHeight="1">
      <c r="A903" s="6" t="inlineStr">
        <is>
          <t>EMP-0899</t>
        </is>
      </c>
      <c r="B903" s="5" t="n">
        <v>772</v>
      </c>
      <c r="C903" s="7" t="inlineStr">
        <is>
          <t>Nº 14623</t>
        </is>
      </c>
      <c r="D903" s="8" t="inlineStr">
        <is>
          <t>METSULFUROM ULTRA 50X0,1KG (IMP) JA (VALIDAR)</t>
        </is>
      </c>
      <c r="E903" s="7" t="inlineStr">
        <is>
          <t>1. Titular do Registro</t>
        </is>
      </c>
      <c r="F903" s="7" t="inlineStr">
        <is>
          <t>Produto Formulado Comercial</t>
        </is>
      </c>
      <c r="G903" s="7" t="inlineStr">
        <is>
          <t>Agriconnection — Metsulfurom-metílico 600 g</t>
        </is>
      </c>
      <c r="H903" s="7" t="inlineStr">
        <is>
          <t>Estabelecimento Credenciado</t>
        </is>
      </c>
      <c r="I903" s="7" t="inlineStr">
        <is>
          <t>CNPJ Credenciado MAPA</t>
        </is>
      </c>
      <c r="J903" s="7" t="inlineStr">
        <is>
          <t>Registro Estadual Vigente</t>
        </is>
      </c>
      <c r="K903" s="7" t="inlineStr">
        <is>
          <t>Unidade Operacional Brasil</t>
        </is>
      </c>
      <c r="L903" s="7" t="inlineStr">
        <is>
          <t>Brasil</t>
        </is>
      </c>
      <c r="M903" s="7" t="inlineStr">
        <is>
          <t>0/1/2 - Conforme Origem do Lote</t>
        </is>
      </c>
    </row>
    <row r="904" ht="22" customHeight="1">
      <c r="A904" s="12" t="inlineStr">
        <is>
          <t>EMP-0900</t>
        </is>
      </c>
      <c r="B904" s="11" t="n">
        <v>772</v>
      </c>
      <c r="C904" s="13" t="inlineStr">
        <is>
          <t>Nº 14623</t>
        </is>
      </c>
      <c r="D904" s="14" t="inlineStr">
        <is>
          <t>METSULFUROM ULTRA 50X0,1KG (IMP) JA (VALIDAR)</t>
        </is>
      </c>
      <c r="E904" s="13" t="inlineStr">
        <is>
          <t>3. Formulador / Co-Distribuidor Autorizado</t>
        </is>
      </c>
      <c r="F904" s="13" t="inlineStr">
        <is>
          <t>Produto Formulado Comercial</t>
        </is>
      </c>
      <c r="G904" s="13" t="inlineStr">
        <is>
          <t>kg WG</t>
        </is>
      </c>
      <c r="H904" s="13" t="inlineStr">
        <is>
          <t>Estabelecimento Credenciado</t>
        </is>
      </c>
      <c r="I904" s="13" t="inlineStr">
        <is>
          <t>CNPJ Credenciado MAPA</t>
        </is>
      </c>
      <c r="J904" s="13" t="inlineStr">
        <is>
          <t>Registro Estadual Vigente</t>
        </is>
      </c>
      <c r="K904" s="13" t="inlineStr">
        <is>
          <t>Unidade Operacional Brasil</t>
        </is>
      </c>
      <c r="L904" s="13" t="inlineStr">
        <is>
          <t>Brasil</t>
        </is>
      </c>
      <c r="M904" s="13" t="inlineStr">
        <is>
          <t>0/1/2 - Conforme Origem do Lote</t>
        </is>
      </c>
    </row>
    <row r="905" ht="22" customHeight="1">
      <c r="A905" s="6" t="inlineStr">
        <is>
          <t>EMP-0901</t>
        </is>
      </c>
      <c r="B905" s="5" t="n">
        <v>773</v>
      </c>
      <c r="C905" s="7" t="inlineStr">
        <is>
          <t>Nº 1838604</t>
        </is>
      </c>
      <c r="D905" s="8" t="inlineStr">
        <is>
          <t>OXYFLUORFEN 240 EC PROVENTIS</t>
        </is>
      </c>
      <c r="E905" s="7" t="inlineStr">
        <is>
          <t>1. Titular do Registro</t>
        </is>
      </c>
      <c r="F905" s="7" t="inlineStr">
        <is>
          <t>Produto Formulado Comercial</t>
        </is>
      </c>
      <c r="G905" s="7" t="inlineStr">
        <is>
          <t>Proventis</t>
        </is>
      </c>
      <c r="H905" s="7" t="inlineStr">
        <is>
          <t>Estabelecimento Credenciado</t>
        </is>
      </c>
      <c r="I905" s="7" t="inlineStr">
        <is>
          <t>CNPJ Credenciado MAPA</t>
        </is>
      </c>
      <c r="J905" s="7" t="inlineStr">
        <is>
          <t>Registro Estadual Vigente</t>
        </is>
      </c>
      <c r="K905" s="7" t="inlineStr">
        <is>
          <t>Unidade Operacional Brasil</t>
        </is>
      </c>
      <c r="L905" s="7" t="inlineStr">
        <is>
          <t>Brasil</t>
        </is>
      </c>
      <c r="M905" s="7" t="inlineStr">
        <is>
          <t>0/1/2 - Conforme Origem do Lote</t>
        </is>
      </c>
    </row>
    <row r="906" ht="22" customHeight="1">
      <c r="A906" s="12" t="inlineStr">
        <is>
          <t>EMP-0902</t>
        </is>
      </c>
      <c r="B906" s="11" t="n">
        <v>773</v>
      </c>
      <c r="C906" s="13" t="inlineStr">
        <is>
          <t>Nº 1838604</t>
        </is>
      </c>
      <c r="D906" s="14" t="inlineStr">
        <is>
          <t>OXYFLUORFEN 240 EC PROVENTIS</t>
        </is>
      </c>
      <c r="E906" s="13" t="inlineStr">
        <is>
          <t>3. Formulador / Co-Distribuidor Autorizado</t>
        </is>
      </c>
      <c r="F906" s="13" t="inlineStr">
        <is>
          <t>Produto Formulado Comercial</t>
        </is>
      </c>
      <c r="G906" s="13" t="inlineStr">
        <is>
          <t>Corteva</t>
        </is>
      </c>
      <c r="H906" s="13" t="inlineStr">
        <is>
          <t>Estabelecimento Credenciado</t>
        </is>
      </c>
      <c r="I906" s="13" t="inlineStr">
        <is>
          <t>CNPJ Credenciado MAPA</t>
        </is>
      </c>
      <c r="J906" s="13" t="inlineStr">
        <is>
          <t>Registro Estadual Vigente</t>
        </is>
      </c>
      <c r="K906" s="13" t="inlineStr">
        <is>
          <t>Unidade Operacional Brasil</t>
        </is>
      </c>
      <c r="L906" s="13" t="inlineStr">
        <is>
          <t>Brasil</t>
        </is>
      </c>
      <c r="M906" s="13" t="inlineStr">
        <is>
          <t>0/1/2 - Conforme Origem do Lote</t>
        </is>
      </c>
    </row>
    <row r="907" ht="22" customHeight="1">
      <c r="A907" s="6" t="inlineStr">
        <is>
          <t>EMP-0903</t>
        </is>
      </c>
      <c r="B907" s="5" t="n">
        <v>774</v>
      </c>
      <c r="C907" s="7" t="inlineStr">
        <is>
          <t>Nº 47125</t>
        </is>
      </c>
      <c r="D907" s="8" t="inlineStr">
        <is>
          <t>CHLORFENAPYR</t>
        </is>
      </c>
      <c r="E907" s="7" t="inlineStr">
        <is>
          <t>1. Titular do Registro / Produtor</t>
        </is>
      </c>
      <c r="F907" s="7" t="inlineStr">
        <is>
          <t>Produto Formulado Comercial</t>
        </is>
      </c>
      <c r="G907" s="7" t="inlineStr">
        <is>
          <t>YONON BRASIL DEFENSIVOS AGRÍCOLAS LTDA.</t>
        </is>
      </c>
      <c r="H907" s="7" t="inlineStr">
        <is>
          <t>Matriz / Estabelecimento Principal</t>
        </is>
      </c>
      <c r="I907" s="7" t="inlineStr">
        <is>
          <t>CNPJ Credenciado MAPA/SIPEAGRO</t>
        </is>
      </c>
      <c r="J907" s="7" t="inlineStr">
        <is>
          <t>Registro Estadual Vigente</t>
        </is>
      </c>
      <c r="K907" s="7" t="inlineStr">
        <is>
          <t>Estabelecimento Credenciado no Brasil</t>
        </is>
      </c>
      <c r="L907" s="7" t="inlineStr">
        <is>
          <t>Brasil</t>
        </is>
      </c>
      <c r="M907" s="7" t="inlineStr">
        <is>
          <t>0 - Nacional / 1 - Importação Direta</t>
        </is>
      </c>
    </row>
    <row r="908" ht="22" customHeight="1">
      <c r="A908" s="12" t="inlineStr">
        <is>
          <t>EMP-0904</t>
        </is>
      </c>
      <c r="B908" s="11" t="n">
        <v>775</v>
      </c>
      <c r="C908" s="13" t="inlineStr">
        <is>
          <t>Nº 5725</t>
        </is>
      </c>
      <c r="D908" s="14" t="inlineStr">
        <is>
          <t>ESIFON FULL</t>
        </is>
      </c>
      <c r="E908" s="13" t="inlineStr">
        <is>
          <t>1. Titular do Registro</t>
        </is>
      </c>
      <c r="F908" s="13" t="inlineStr">
        <is>
          <t>Produto Formulado Comercial</t>
        </is>
      </c>
      <c r="G908" s="13" t="inlineStr">
        <is>
          <t>Rainbow</t>
        </is>
      </c>
      <c r="H908" s="13" t="inlineStr">
        <is>
          <t>Estabelecimento Credenciado</t>
        </is>
      </c>
      <c r="I908" s="13" t="inlineStr">
        <is>
          <t>CNPJ Credenciado MAPA</t>
        </is>
      </c>
      <c r="J908" s="13" t="inlineStr">
        <is>
          <t>Registro Estadual Vigente</t>
        </is>
      </c>
      <c r="K908" s="13" t="inlineStr">
        <is>
          <t>Unidade Operacional Brasil</t>
        </is>
      </c>
      <c r="L908" s="13" t="inlineStr">
        <is>
          <t>Brasil</t>
        </is>
      </c>
      <c r="M908" s="13" t="inlineStr">
        <is>
          <t>0/1/2 - Conforme Origem do Lote</t>
        </is>
      </c>
    </row>
    <row r="909" ht="22" customHeight="1">
      <c r="A909" s="6" t="inlineStr">
        <is>
          <t>EMP-0905</t>
        </is>
      </c>
      <c r="B909" s="5" t="n">
        <v>775</v>
      </c>
      <c r="C909" s="7" t="inlineStr">
        <is>
          <t>Nº 5725</t>
        </is>
      </c>
      <c r="D909" s="8" t="inlineStr">
        <is>
          <t>ESIFON FULL</t>
        </is>
      </c>
      <c r="E909" s="7" t="inlineStr">
        <is>
          <t>3. Formulador / Co-Distribuidor Autorizado</t>
        </is>
      </c>
      <c r="F909" s="7" t="inlineStr">
        <is>
          <t>Produto Formulado Comercial</t>
        </is>
      </c>
      <c r="G909" s="7" t="inlineStr">
        <is>
          <t>Sino-Agri</t>
        </is>
      </c>
      <c r="H909" s="7" t="inlineStr">
        <is>
          <t>Estabelecimento Credenciado</t>
        </is>
      </c>
      <c r="I909" s="7" t="inlineStr">
        <is>
          <t>CNPJ Credenciado MAPA</t>
        </is>
      </c>
      <c r="J909" s="7" t="inlineStr">
        <is>
          <t>Registro Estadual Vigente</t>
        </is>
      </c>
      <c r="K909" s="7" t="inlineStr">
        <is>
          <t>Unidade Operacional Brasil</t>
        </is>
      </c>
      <c r="L909" s="7" t="inlineStr">
        <is>
          <t>Brasil</t>
        </is>
      </c>
      <c r="M909" s="7" t="inlineStr">
        <is>
          <t>0/1/2 - Conforme Origem do Lote</t>
        </is>
      </c>
    </row>
    <row r="910" ht="22" customHeight="1">
      <c r="A910" s="12" t="inlineStr">
        <is>
          <t>EMP-0906</t>
        </is>
      </c>
      <c r="B910" s="11" t="n">
        <v>776</v>
      </c>
      <c r="C910" s="13" t="inlineStr">
        <is>
          <t>Nº 14623</t>
        </is>
      </c>
      <c r="D910" s="14" t="inlineStr">
        <is>
          <t>MILHA</t>
        </is>
      </c>
      <c r="E910" s="13" t="inlineStr">
        <is>
          <t>1. Titular do Registro / Produtor</t>
        </is>
      </c>
      <c r="F910" s="13" t="inlineStr">
        <is>
          <t>Produto Formulado Comercial</t>
        </is>
      </c>
      <c r="G910" s="13" t="inlineStr">
        <is>
          <t>Agriconnection Imp. e Exp.</t>
        </is>
      </c>
      <c r="H910" s="13" t="inlineStr">
        <is>
          <t>Matriz / Estabelecimento Principal</t>
        </is>
      </c>
      <c r="I910" s="13" t="inlineStr">
        <is>
          <t>39.496.730/0001-60</t>
        </is>
      </c>
      <c r="J910" s="13" t="inlineStr">
        <is>
          <t>INDEA/MT nº 27326 / CDA/SP nº 4354</t>
        </is>
      </c>
      <c r="K910" s="13" t="inlineStr">
        <is>
          <t>Av. Manoel Genildo de Araujo, 188, Campo Verde/MT / Barueri/SP</t>
        </is>
      </c>
      <c r="L910" s="13" t="inlineStr">
        <is>
          <t>Brasil</t>
        </is>
      </c>
      <c r="M910" s="13" t="inlineStr">
        <is>
          <t>0 - Nacional / 1 - Importação Direta</t>
        </is>
      </c>
    </row>
    <row r="911" ht="22" customHeight="1">
      <c r="A911" s="6" t="inlineStr">
        <is>
          <t>EMP-0907</t>
        </is>
      </c>
      <c r="B911" s="5" t="n">
        <v>777</v>
      </c>
      <c r="C911" s="7" t="inlineStr">
        <is>
          <t>VINCULAR MARCA</t>
        </is>
      </c>
      <c r="D911" s="8" t="inlineStr">
        <is>
          <t>FLUMIOXAZINA 480 (PRINCIPIO ATIVO)</t>
        </is>
      </c>
      <c r="E911" s="7" t="inlineStr">
        <is>
          <t>1. Titular do Registro / Produtor</t>
        </is>
      </c>
      <c r="F911" s="7" t="inlineStr">
        <is>
          <t>Produto Técnico Industrial</t>
        </is>
      </c>
      <c r="G911" s="7" t="inlineStr">
        <is>
          <t>SUMITOMO CHEMICAL DO BRASIL REPRESENTAÇÕES LTDA. / RAINBOW DEFENSIVOS</t>
        </is>
      </c>
      <c r="H911" s="7" t="inlineStr">
        <is>
          <t>Matriz / Estabelecimento Principal</t>
        </is>
      </c>
      <c r="I911" s="7" t="inlineStr">
        <is>
          <t>CNPJ Credenciado MAPA/SIPEAGRO</t>
        </is>
      </c>
      <c r="J911" s="7" t="inlineStr">
        <is>
          <t>Registro Estadual Vigente</t>
        </is>
      </c>
      <c r="K911" s="7" t="inlineStr">
        <is>
          <t>Estabelecimento Credenciado no Brasil</t>
        </is>
      </c>
      <c r="L911" s="7" t="inlineStr">
        <is>
          <t>Brasil</t>
        </is>
      </c>
      <c r="M911" s="7" t="inlineStr">
        <is>
          <t>0 - Nacional / 1 - Importação Direta</t>
        </is>
      </c>
    </row>
    <row r="912" ht="22" customHeight="1">
      <c r="A912" s="12" t="inlineStr">
        <is>
          <t>EMP-0908</t>
        </is>
      </c>
      <c r="B912" s="11" t="n">
        <v>778</v>
      </c>
      <c r="C912" s="13" t="inlineStr">
        <is>
          <t>SIPEAGRO (UF-XXXXX)</t>
        </is>
      </c>
      <c r="D912" s="14" t="inlineStr">
        <is>
          <t>KCL VERMELHO 60% K2O - JBS</t>
        </is>
      </c>
      <c r="E912" s="13" t="inlineStr">
        <is>
          <t>1. Titular do Registro / Produtor</t>
        </is>
      </c>
      <c r="F912" s="13" t="inlineStr">
        <is>
          <t>Fertilizante Mineral / Organomineral</t>
        </is>
      </c>
      <c r="G912" s="13" t="inlineStr">
        <is>
          <t>Estabelecimento Produtor SIPEAGRO/MAPA</t>
        </is>
      </c>
      <c r="H912" s="13" t="inlineStr">
        <is>
          <t>Matriz / Estabelecimento Principal</t>
        </is>
      </c>
      <c r="I912" s="13" t="inlineStr">
        <is>
          <t>CNPJ Credenciado MAPA/SIPEAGRO</t>
        </is>
      </c>
      <c r="J912" s="13" t="inlineStr">
        <is>
          <t>Registro Estadual Vigente</t>
        </is>
      </c>
      <c r="K912" s="13" t="inlineStr">
        <is>
          <t>Estabelecimento Credenciado no Brasil</t>
        </is>
      </c>
      <c r="L912" s="13" t="inlineStr">
        <is>
          <t>Brasil</t>
        </is>
      </c>
      <c r="M912" s="13" t="inlineStr">
        <is>
          <t>0 - Nacional / 1 - Importação Direta</t>
        </is>
      </c>
    </row>
    <row r="913" ht="22" customHeight="1">
      <c r="A913" s="6" t="inlineStr">
        <is>
          <t>EMP-0909</t>
        </is>
      </c>
      <c r="B913" s="5" t="n">
        <v>779</v>
      </c>
      <c r="C913" s="7" t="inlineStr">
        <is>
          <t>Nº 25224</t>
        </is>
      </c>
      <c r="D913" s="8" t="inlineStr">
        <is>
          <t>CLETODIM 240 EC BRILLIANCE 0,2L AMOSTRA (IMP) GB</t>
        </is>
      </c>
      <c r="E913" s="7" t="inlineStr">
        <is>
          <t>1. Titular do Registro / Produtor</t>
        </is>
      </c>
      <c r="F913" s="7" t="inlineStr">
        <is>
          <t>Produto Formulado Comercial</t>
        </is>
      </c>
      <c r="G913" s="7" t="inlineStr">
        <is>
          <t>GLOBACHEM PROTEÇÃO DE CULTIVOS DO BRASIL LTDA.</t>
        </is>
      </c>
      <c r="H913" s="7" t="inlineStr">
        <is>
          <t>Matriz / Estabelecimento Principal</t>
        </is>
      </c>
      <c r="I913" s="7" t="inlineStr">
        <is>
          <t>43.741.357/0001-33</t>
        </is>
      </c>
      <c r="J913" s="7" t="inlineStr">
        <is>
          <t>Registro Estadual Vigente</t>
        </is>
      </c>
      <c r="K913" s="7" t="inlineStr">
        <is>
          <t>Estabelecimento Credenciado no Brasil</t>
        </is>
      </c>
      <c r="L913" s="7" t="inlineStr">
        <is>
          <t>Brasil</t>
        </is>
      </c>
      <c r="M913" s="7" t="inlineStr">
        <is>
          <t>0 - Nacional / 1 - Importação Direta</t>
        </is>
      </c>
    </row>
    <row r="914" ht="22" customHeight="1">
      <c r="A914" s="12" t="inlineStr">
        <is>
          <t>EMP-0910</t>
        </is>
      </c>
      <c r="B914" s="11" t="n">
        <v>780</v>
      </c>
      <c r="C914" s="13" t="inlineStr">
        <is>
          <t>Nº 26820</t>
        </is>
      </c>
      <c r="D914" s="14" t="inlineStr">
        <is>
          <t>CRUZARO 480 EC 0,2L AMOSTRA (IMP) GL</t>
        </is>
      </c>
      <c r="E914" s="13" t="inlineStr">
        <is>
          <t>1. Titular do Registro / Produtor</t>
        </is>
      </c>
      <c r="F914" s="13" t="inlineStr">
        <is>
          <t>Produto Formulado Comercial</t>
        </is>
      </c>
      <c r="G914" s="13" t="inlineStr">
        <is>
          <t>GLOBACHEM PROTEÇÃO DE CULTIVOS DO BRASIL LTDA.</t>
        </is>
      </c>
      <c r="H914" s="13" t="inlineStr">
        <is>
          <t>Matriz / Estabelecimento Principal</t>
        </is>
      </c>
      <c r="I914" s="13" t="inlineStr">
        <is>
          <t>CNPJ Credenciado MAPA/SIPEAGRO</t>
        </is>
      </c>
      <c r="J914" s="13" t="inlineStr">
        <is>
          <t>Registro Estadual Vigente</t>
        </is>
      </c>
      <c r="K914" s="13" t="inlineStr">
        <is>
          <t>Estabelecimento Credenciado no Brasil</t>
        </is>
      </c>
      <c r="L914" s="13" t="inlineStr">
        <is>
          <t>Brasil</t>
        </is>
      </c>
      <c r="M914" s="13" t="inlineStr">
        <is>
          <t>0 - Nacional / 1 - Importação Direta</t>
        </is>
      </c>
    </row>
    <row r="915" ht="22" customHeight="1">
      <c r="A915" s="6" t="inlineStr">
        <is>
          <t>EMP-0911</t>
        </is>
      </c>
      <c r="B915" s="5" t="n">
        <v>781</v>
      </c>
      <c r="C915" s="7" t="inlineStr">
        <is>
          <t>Nº 40024</t>
        </is>
      </c>
      <c r="D915" s="8" t="inlineStr">
        <is>
          <t>FOLICRON</t>
        </is>
      </c>
      <c r="E915" s="7" t="inlineStr">
        <is>
          <t>1. Titular do Registro</t>
        </is>
      </c>
      <c r="F915" s="7" t="inlineStr">
        <is>
          <t>Produto Formulado Comercial</t>
        </is>
      </c>
      <c r="G915" s="7" t="inlineStr">
        <is>
          <t>Rainbow Defensivos Agrícolas Ltda. — Picoxistrobina 200 g</t>
        </is>
      </c>
      <c r="H915" s="7" t="inlineStr">
        <is>
          <t>Estabelecimento Credenciado</t>
        </is>
      </c>
      <c r="I915" s="7" t="inlineStr">
        <is>
          <t>CNPJ Credenciado MAPA</t>
        </is>
      </c>
      <c r="J915" s="7" t="inlineStr">
        <is>
          <t>Registro Estadual Vigente</t>
        </is>
      </c>
      <c r="K915" s="7" t="inlineStr">
        <is>
          <t>Unidade Operacional Brasil</t>
        </is>
      </c>
      <c r="L915" s="7" t="inlineStr">
        <is>
          <t>Brasil</t>
        </is>
      </c>
      <c r="M915" s="7" t="inlineStr">
        <is>
          <t>0/1/2 - Conforme Origem do Lote</t>
        </is>
      </c>
    </row>
    <row r="916" ht="22" customHeight="1">
      <c r="A916" s="12" t="inlineStr">
        <is>
          <t>EMP-0912</t>
        </is>
      </c>
      <c r="B916" s="11" t="n">
        <v>781</v>
      </c>
      <c r="C916" s="13" t="inlineStr">
        <is>
          <t>Nº 40024</t>
        </is>
      </c>
      <c r="D916" s="14" t="inlineStr">
        <is>
          <t>FOLICRON</t>
        </is>
      </c>
      <c r="E916" s="13" t="inlineStr">
        <is>
          <t>3. Formulador / Co-Distribuidor Autorizado</t>
        </is>
      </c>
      <c r="F916" s="13" t="inlineStr">
        <is>
          <t>Produto Formulado Comercial</t>
        </is>
      </c>
      <c r="G916" s="13" t="inlineStr">
        <is>
          <t>L + Ciproconazol 80 g</t>
        </is>
      </c>
      <c r="H916" s="13" t="inlineStr">
        <is>
          <t>Estabelecimento Credenciado</t>
        </is>
      </c>
      <c r="I916" s="13" t="inlineStr">
        <is>
          <t>CNPJ Credenciado MAPA</t>
        </is>
      </c>
      <c r="J916" s="13" t="inlineStr">
        <is>
          <t>Registro Estadual Vigente</t>
        </is>
      </c>
      <c r="K916" s="13" t="inlineStr">
        <is>
          <t>Unidade Operacional Brasil</t>
        </is>
      </c>
      <c r="L916" s="13" t="inlineStr">
        <is>
          <t>Brasil</t>
        </is>
      </c>
      <c r="M916" s="13" t="inlineStr">
        <is>
          <t>0/1/2 - Conforme Origem do Lote</t>
        </is>
      </c>
    </row>
    <row r="917" ht="22" customHeight="1">
      <c r="A917" s="6" t="inlineStr">
        <is>
          <t>EMP-0913</t>
        </is>
      </c>
      <c r="B917" s="5" t="n">
        <v>781</v>
      </c>
      <c r="C917" s="7" t="inlineStr">
        <is>
          <t>Nº 40024</t>
        </is>
      </c>
      <c r="D917" s="8" t="inlineStr">
        <is>
          <t>FOLICRON</t>
        </is>
      </c>
      <c r="E917" s="7" t="inlineStr">
        <is>
          <t>3. Formulador / Co-Distribuidor Autorizado</t>
        </is>
      </c>
      <c r="F917" s="7" t="inlineStr">
        <is>
          <t>Produto Formulado Comercial</t>
        </is>
      </c>
      <c r="G917" s="7" t="inlineStr">
        <is>
          <t>L SC</t>
        </is>
      </c>
      <c r="H917" s="7" t="inlineStr">
        <is>
          <t>Estabelecimento Credenciado</t>
        </is>
      </c>
      <c r="I917" s="7" t="inlineStr">
        <is>
          <t>CNPJ Credenciado MAPA</t>
        </is>
      </c>
      <c r="J917" s="7" t="inlineStr">
        <is>
          <t>Registro Estadual Vigente</t>
        </is>
      </c>
      <c r="K917" s="7" t="inlineStr">
        <is>
          <t>Unidade Operacional Brasil</t>
        </is>
      </c>
      <c r="L917" s="7" t="inlineStr">
        <is>
          <t>Brasil</t>
        </is>
      </c>
      <c r="M917" s="7" t="inlineStr">
        <is>
          <t>0/1/2 - Conforme Origem do Lote</t>
        </is>
      </c>
    </row>
    <row r="918" ht="22" customHeight="1">
      <c r="A918" s="12" t="inlineStr">
        <is>
          <t>EMP-0914</t>
        </is>
      </c>
      <c r="B918" s="11" t="n">
        <v>782</v>
      </c>
      <c r="C918" s="13" t="inlineStr">
        <is>
          <t>Nº 11325</t>
        </is>
      </c>
      <c r="D918" s="14" t="inlineStr">
        <is>
          <t>VISTARA</t>
        </is>
      </c>
      <c r="E918" s="13" t="inlineStr">
        <is>
          <t>1. Titular do Registro</t>
        </is>
      </c>
      <c r="F918" s="13" t="inlineStr">
        <is>
          <t>Produto Formulado Comercial</t>
        </is>
      </c>
      <c r="G918" s="13" t="inlineStr">
        <is>
          <t>Rainbow Defensivos Agrícolas Ltda. — Piraclostrobina 133 g</t>
        </is>
      </c>
      <c r="H918" s="13" t="inlineStr">
        <is>
          <t>Estabelecimento Credenciado</t>
        </is>
      </c>
      <c r="I918" s="13" t="inlineStr">
        <is>
          <t>CNPJ Credenciado MAPA</t>
        </is>
      </c>
      <c r="J918" s="13" t="inlineStr">
        <is>
          <t>Registro Estadual Vigente</t>
        </is>
      </c>
      <c r="K918" s="13" t="inlineStr">
        <is>
          <t>Unidade Operacional Brasil</t>
        </is>
      </c>
      <c r="L918" s="13" t="inlineStr">
        <is>
          <t>Brasil</t>
        </is>
      </c>
      <c r="M918" s="13" t="inlineStr">
        <is>
          <t>0/1/2 - Conforme Origem do Lote</t>
        </is>
      </c>
    </row>
    <row r="919" ht="22" customHeight="1">
      <c r="A919" s="6" t="inlineStr">
        <is>
          <t>EMP-0915</t>
        </is>
      </c>
      <c r="B919" s="5" t="n">
        <v>782</v>
      </c>
      <c r="C919" s="7" t="inlineStr">
        <is>
          <t>Nº 11325</t>
        </is>
      </c>
      <c r="D919" s="8" t="inlineStr">
        <is>
          <t>VISTARA</t>
        </is>
      </c>
      <c r="E919" s="7" t="inlineStr">
        <is>
          <t>3. Formulador / Co-Distribuidor Autorizado</t>
        </is>
      </c>
      <c r="F919" s="7" t="inlineStr">
        <is>
          <t>Produto Formulado Comercial</t>
        </is>
      </c>
      <c r="G919" s="7" t="inlineStr">
        <is>
          <t>L + Epoxiconazol 50 g</t>
        </is>
      </c>
      <c r="H919" s="7" t="inlineStr">
        <is>
          <t>Estabelecimento Credenciado</t>
        </is>
      </c>
      <c r="I919" s="7" t="inlineStr">
        <is>
          <t>CNPJ Credenciado MAPA</t>
        </is>
      </c>
      <c r="J919" s="7" t="inlineStr">
        <is>
          <t>Registro Estadual Vigente</t>
        </is>
      </c>
      <c r="K919" s="7" t="inlineStr">
        <is>
          <t>Unidade Operacional Brasil</t>
        </is>
      </c>
      <c r="L919" s="7" t="inlineStr">
        <is>
          <t>Brasil</t>
        </is>
      </c>
      <c r="M919" s="7" t="inlineStr">
        <is>
          <t>0/1/2 - Conforme Origem do Lote</t>
        </is>
      </c>
    </row>
    <row r="920" ht="22" customHeight="1">
      <c r="A920" s="12" t="inlineStr">
        <is>
          <t>EMP-0916</t>
        </is>
      </c>
      <c r="B920" s="11" t="n">
        <v>782</v>
      </c>
      <c r="C920" s="13" t="inlineStr">
        <is>
          <t>Nº 11325</t>
        </is>
      </c>
      <c r="D920" s="14" t="inlineStr">
        <is>
          <t>VISTARA</t>
        </is>
      </c>
      <c r="E920" s="13" t="inlineStr">
        <is>
          <t>3. Formulador / Co-Distribuidor Autorizado</t>
        </is>
      </c>
      <c r="F920" s="13" t="inlineStr">
        <is>
          <t>Produto Formulado Comercial</t>
        </is>
      </c>
      <c r="G920" s="13" t="inlineStr">
        <is>
          <t>L EC</t>
        </is>
      </c>
      <c r="H920" s="13" t="inlineStr">
        <is>
          <t>Estabelecimento Credenciado</t>
        </is>
      </c>
      <c r="I920" s="13" t="inlineStr">
        <is>
          <t>CNPJ Credenciado MAPA</t>
        </is>
      </c>
      <c r="J920" s="13" t="inlineStr">
        <is>
          <t>Registro Estadual Vigente</t>
        </is>
      </c>
      <c r="K920" s="13" t="inlineStr">
        <is>
          <t>Unidade Operacional Brasil</t>
        </is>
      </c>
      <c r="L920" s="13" t="inlineStr">
        <is>
          <t>Brasil</t>
        </is>
      </c>
      <c r="M920" s="13" t="inlineStr">
        <is>
          <t>0/1/2 - Conforme Origem do Lote</t>
        </is>
      </c>
    </row>
    <row r="921" ht="22" customHeight="1">
      <c r="A921" s="6" t="inlineStr">
        <is>
          <t>EMP-0917</t>
        </is>
      </c>
      <c r="B921" s="5" t="n">
        <v>783</v>
      </c>
      <c r="C921" s="7" t="inlineStr">
        <is>
          <t>Nº 27025</t>
        </is>
      </c>
      <c r="D921" s="8" t="inlineStr">
        <is>
          <t>PYROX</t>
        </is>
      </c>
      <c r="E921" s="7" t="inlineStr">
        <is>
          <t>1. Titular do Registro / Produtor</t>
        </is>
      </c>
      <c r="F921" s="7" t="inlineStr">
        <is>
          <t>Produto Formulado Comercial</t>
        </is>
      </c>
      <c r="G921" s="7" t="inlineStr">
        <is>
          <t>RAINBOW DEFENSIVOS AGRÍCOLAS LTDA.</t>
        </is>
      </c>
      <c r="H921" s="7" t="inlineStr">
        <is>
          <t>Matriz / Estabelecimento Principal</t>
        </is>
      </c>
      <c r="I921" s="7" t="inlineStr">
        <is>
          <t>CNPJ Credenciado MAPA/SIPEAGRO</t>
        </is>
      </c>
      <c r="J921" s="7" t="inlineStr">
        <is>
          <t>Registro Estadual Vigente</t>
        </is>
      </c>
      <c r="K921" s="7" t="inlineStr">
        <is>
          <t>Estabelecimento Credenciado no Brasil</t>
        </is>
      </c>
      <c r="L921" s="7" t="inlineStr">
        <is>
          <t>Brasil</t>
        </is>
      </c>
      <c r="M921" s="7" t="inlineStr">
        <is>
          <t>0 - Nacional / 1 - Importação Direta</t>
        </is>
      </c>
    </row>
    <row r="922" ht="22" customHeight="1">
      <c r="A922" s="12" t="inlineStr">
        <is>
          <t>EMP-0918</t>
        </is>
      </c>
      <c r="B922" s="11" t="n">
        <v>784</v>
      </c>
      <c r="C922" s="13" t="inlineStr">
        <is>
          <t>Nº 13714</t>
        </is>
      </c>
      <c r="D922" s="14" t="inlineStr">
        <is>
          <t>WIPE OUT</t>
        </is>
      </c>
      <c r="E922" s="13" t="inlineStr">
        <is>
          <t>1. Titular do Registro / Produtor</t>
        </is>
      </c>
      <c r="F922" s="13" t="inlineStr">
        <is>
          <t>Produto Formulado Comercial</t>
        </is>
      </c>
      <c r="G922" s="13" t="inlineStr">
        <is>
          <t>RAINBOW DEFENSIVOS AGRÍCOLAS LTDA.</t>
        </is>
      </c>
      <c r="H922" s="13" t="inlineStr">
        <is>
          <t>Matriz / Estabelecimento Principal</t>
        </is>
      </c>
      <c r="I922" s="13" t="inlineStr">
        <is>
          <t>10.486.463/0001-69</t>
        </is>
      </c>
      <c r="J922" s="13" t="inlineStr">
        <is>
          <t>SEAPA/RS nº 1928/09</t>
        </is>
      </c>
      <c r="K922" s="13" t="inlineStr">
        <is>
          <t>Av. Carlos Gomes, 258, Porto Alegre/RS</t>
        </is>
      </c>
      <c r="L922" s="13" t="inlineStr">
        <is>
          <t>Brasil</t>
        </is>
      </c>
      <c r="M922" s="13" t="inlineStr">
        <is>
          <t>0 - Nacional / 1 - Importação Direta</t>
        </is>
      </c>
    </row>
    <row r="923" ht="22" customHeight="1">
      <c r="A923" s="6" t="inlineStr">
        <is>
          <t>EMP-0919</t>
        </is>
      </c>
      <c r="B923" s="5" t="n">
        <v>785</v>
      </c>
      <c r="C923" s="7" t="inlineStr">
        <is>
          <t>Nº 16223</t>
        </is>
      </c>
      <c r="D923" s="8" t="inlineStr">
        <is>
          <t>COMPRAY</t>
        </is>
      </c>
      <c r="E923" s="7" t="inlineStr">
        <is>
          <t>1. Titular do Registro / Produtor</t>
        </is>
      </c>
      <c r="F923" s="7" t="inlineStr">
        <is>
          <t>Produto Formulado Comercial</t>
        </is>
      </c>
      <c r="G923" s="7" t="inlineStr">
        <is>
          <t>RAINBOW DEFENSIVOS AGRÍCOLAS LTDA. / PERTERRA S.A.</t>
        </is>
      </c>
      <c r="H923" s="7" t="inlineStr">
        <is>
          <t>Matriz / Estabelecimento Principal</t>
        </is>
      </c>
      <c r="I923" s="7" t="inlineStr">
        <is>
          <t>10.486.463/0001-69</t>
        </is>
      </c>
      <c r="J923" s="7" t="inlineStr">
        <is>
          <t>SEAPA/RS nº 1928/09</t>
        </is>
      </c>
      <c r="K923" s="7" t="inlineStr">
        <is>
          <t>Av. Carlos Gomes, 258, Porto Alegre/RS</t>
        </is>
      </c>
      <c r="L923" s="7" t="inlineStr">
        <is>
          <t>Brasil</t>
        </is>
      </c>
      <c r="M923" s="7" t="inlineStr">
        <is>
          <t>0 - Nacional / 1 - Importação Direta</t>
        </is>
      </c>
    </row>
    <row r="924" ht="22" customHeight="1">
      <c r="A924" s="12" t="inlineStr">
        <is>
          <t>EMP-0920</t>
        </is>
      </c>
      <c r="B924" s="11" t="n">
        <v>786</v>
      </c>
      <c r="C924" s="13" t="inlineStr">
        <is>
          <t>SIPEAGRO (UF-XXXXX)</t>
        </is>
      </c>
      <c r="D924" s="14" t="inlineStr">
        <is>
          <t>MAP 11-52 - GRANULADO - REVENDA - JBS</t>
        </is>
      </c>
      <c r="E924" s="13" t="inlineStr">
        <is>
          <t>1. Titular do Registro / Produtor</t>
        </is>
      </c>
      <c r="F924" s="13" t="inlineStr">
        <is>
          <t>Fertilizante Mineral / Organomineral</t>
        </is>
      </c>
      <c r="G924" s="13" t="inlineStr">
        <is>
          <t>Estabelecimento Produtor SIPEAGRO/MAPA</t>
        </is>
      </c>
      <c r="H924" s="13" t="inlineStr">
        <is>
          <t>Matriz / Estabelecimento Principal</t>
        </is>
      </c>
      <c r="I924" s="13" t="inlineStr">
        <is>
          <t>CNPJ Credenciado MAPA/SIPEAGRO</t>
        </is>
      </c>
      <c r="J924" s="13" t="inlineStr">
        <is>
          <t>Registro Estadual Vigente</t>
        </is>
      </c>
      <c r="K924" s="13" t="inlineStr">
        <is>
          <t>Estabelecimento Credenciado no Brasil</t>
        </is>
      </c>
      <c r="L924" s="13" t="inlineStr">
        <is>
          <t>Brasil</t>
        </is>
      </c>
      <c r="M924" s="13" t="inlineStr">
        <is>
          <t>0 - Nacional / 1 - Importação Direta</t>
        </is>
      </c>
    </row>
    <row r="925" ht="22" customHeight="1">
      <c r="A925" s="6" t="inlineStr">
        <is>
          <t>EMP-0921</t>
        </is>
      </c>
      <c r="B925" s="5" t="n">
        <v>787</v>
      </c>
      <c r="C925" s="7" t="inlineStr">
        <is>
          <t>Nº 3524</t>
        </is>
      </c>
      <c r="D925" s="8" t="inlineStr">
        <is>
          <t>GLUFOSINATO 200 SL CROTECT</t>
        </is>
      </c>
      <c r="E925" s="7" t="inlineStr">
        <is>
          <t>1. Titular do Registro / Produtor</t>
        </is>
      </c>
      <c r="F925" s="7" t="inlineStr">
        <is>
          <t>Produto Formulado Comercial</t>
        </is>
      </c>
      <c r="G925" s="7" t="inlineStr">
        <is>
          <t>Crotect Crop Science</t>
        </is>
      </c>
      <c r="H925" s="7" t="inlineStr">
        <is>
          <t>Matriz / Estabelecimento Principal</t>
        </is>
      </c>
      <c r="I925" s="7" t="inlineStr">
        <is>
          <t>CNPJ Credenciado MAPA/SIPEAGRO</t>
        </is>
      </c>
      <c r="J925" s="7" t="inlineStr">
        <is>
          <t>Registro Estadual Vigente</t>
        </is>
      </c>
      <c r="K925" s="7" t="inlineStr">
        <is>
          <t>Estabelecimento Credenciado no Brasil</t>
        </is>
      </c>
      <c r="L925" s="7" t="inlineStr">
        <is>
          <t>Brasil</t>
        </is>
      </c>
      <c r="M925" s="7" t="inlineStr">
        <is>
          <t>0 - Nacional / 1 - Importação Direta</t>
        </is>
      </c>
    </row>
    <row r="926" ht="22" customHeight="1">
      <c r="A926" s="12" t="inlineStr">
        <is>
          <t>EMP-0922</t>
        </is>
      </c>
      <c r="B926" s="11" t="n">
        <v>788</v>
      </c>
      <c r="C926" s="13" t="inlineStr">
        <is>
          <t>Nº 12123</t>
        </is>
      </c>
      <c r="D926" s="14" t="inlineStr">
        <is>
          <t>ARCAR</t>
        </is>
      </c>
      <c r="E926" s="13" t="inlineStr">
        <is>
          <t>1. Titular do Registro / Produtor</t>
        </is>
      </c>
      <c r="F926" s="13" t="inlineStr">
        <is>
          <t>Produto Formulado Comercial</t>
        </is>
      </c>
      <c r="G926" s="13" t="inlineStr">
        <is>
          <t>AGRICONNECTION IMPORTADORA E EXPORTADORA DE INSUMOS AGRÍCOLAS LTDA.</t>
        </is>
      </c>
      <c r="H926" s="13" t="inlineStr">
        <is>
          <t>Matriz / Estabelecimento Principal</t>
        </is>
      </c>
      <c r="I926" s="13" t="inlineStr">
        <is>
          <t>39.496.730/0001-60</t>
        </is>
      </c>
      <c r="J926" s="13" t="inlineStr">
        <is>
          <t>CDA/SP nº 4354 / INDEA/MT nº 27326</t>
        </is>
      </c>
      <c r="K926" s="13" t="inlineStr">
        <is>
          <t>Av. Manoel Genildo de Araujo, 188, Campo Verde/MT</t>
        </is>
      </c>
      <c r="L926" s="13" t="inlineStr">
        <is>
          <t>Brasil</t>
        </is>
      </c>
      <c r="M926" s="13" t="inlineStr">
        <is>
          <t>0 - Nacional / 1 - Importação Direta</t>
        </is>
      </c>
    </row>
    <row r="927" ht="22" customHeight="1">
      <c r="A927" s="6" t="inlineStr">
        <is>
          <t>EMP-0923</t>
        </is>
      </c>
      <c r="B927" s="5" t="n">
        <v>789</v>
      </c>
      <c r="C927" s="7" t="inlineStr">
        <is>
          <t>Nº 28925</t>
        </is>
      </c>
      <c r="D927" s="8" t="inlineStr">
        <is>
          <t>S-METOLACHLOR 960 EC BINNONG 0,200L (AMOSTRA)</t>
        </is>
      </c>
      <c r="E927" s="7" t="inlineStr">
        <is>
          <t>1. Titular do Registro / Produtor</t>
        </is>
      </c>
      <c r="F927" s="7" t="inlineStr">
        <is>
          <t>Produto Formulado Comercial</t>
        </is>
      </c>
      <c r="G927" s="7" t="inlineStr">
        <is>
          <t>GLOBACHEM PROTEÇÃO DE CULTIVOS DO BRASIL LTDA.</t>
        </is>
      </c>
      <c r="H927" s="7" t="inlineStr">
        <is>
          <t>Matriz / Estabelecimento Principal</t>
        </is>
      </c>
      <c r="I927" s="7" t="inlineStr">
        <is>
          <t>CNPJ Credenciado MAPA/SIPEAGRO</t>
        </is>
      </c>
      <c r="J927" s="7" t="inlineStr">
        <is>
          <t>Registro Estadual Vigente</t>
        </is>
      </c>
      <c r="K927" s="7" t="inlineStr">
        <is>
          <t>Estabelecimento Credenciado no Brasil</t>
        </is>
      </c>
      <c r="L927" s="7" t="inlineStr">
        <is>
          <t>Brasil</t>
        </is>
      </c>
      <c r="M927" s="7" t="inlineStr">
        <is>
          <t>0 - Nacional / 1 - Importação Direta</t>
        </is>
      </c>
    </row>
    <row r="928" ht="22" customHeight="1">
      <c r="A928" s="12" t="inlineStr">
        <is>
          <t>EMP-0924</t>
        </is>
      </c>
      <c r="B928" s="11" t="n">
        <v>790</v>
      </c>
      <c r="C928" s="13" t="inlineStr">
        <is>
          <t>Nº 31422</t>
        </is>
      </c>
      <c r="D928" s="14" t="inlineStr">
        <is>
          <t>ZARPAL</t>
        </is>
      </c>
      <c r="E928" s="13" t="inlineStr">
        <is>
          <t>1. Titular do Registro / Produtor</t>
        </is>
      </c>
      <c r="F928" s="13" t="inlineStr">
        <is>
          <t>Produto Formulado Comercial</t>
        </is>
      </c>
      <c r="G928" s="13" t="inlineStr">
        <is>
          <t>GLOBACHEM PROTEÇÃO DE CULTIVOS DO BRASIL LTDA.</t>
        </is>
      </c>
      <c r="H928" s="13" t="inlineStr">
        <is>
          <t>Matriz / Estabelecimento Principal</t>
        </is>
      </c>
      <c r="I928" s="13" t="inlineStr">
        <is>
          <t>43.741.357/0001-33</t>
        </is>
      </c>
      <c r="J928" s="13" t="inlineStr">
        <is>
          <t>CDA/SP nº 4326</t>
        </is>
      </c>
      <c r="K928" s="13" t="inlineStr">
        <is>
          <t>Rua Doutor Emílio Ribas, 174, Sala 12, Cambuí, Campinas/SP - CEP 13025-140</t>
        </is>
      </c>
      <c r="L928" s="13" t="inlineStr">
        <is>
          <t>Brasil</t>
        </is>
      </c>
      <c r="M928" s="13" t="inlineStr">
        <is>
          <t>0 - Nacional / 1 - Importação Direta</t>
        </is>
      </c>
    </row>
    <row r="929" ht="22" customHeight="1">
      <c r="A929" s="6" t="inlineStr">
        <is>
          <t>EMP-0925</t>
        </is>
      </c>
      <c r="B929" s="5" t="n">
        <v>791</v>
      </c>
      <c r="C929" s="7" t="inlineStr">
        <is>
          <t>Nº 40024</t>
        </is>
      </c>
      <c r="D929" s="8" t="inlineStr">
        <is>
          <t>CIPROCONAZOL 80 + PICOXISTROBINA 200 (PRINCIPIO ATIVO)</t>
        </is>
      </c>
      <c r="E929" s="7" t="inlineStr">
        <is>
          <t>1. Titular do Registro / Produtor</t>
        </is>
      </c>
      <c r="F929" s="7" t="inlineStr">
        <is>
          <t>Produto Técnico Industrial</t>
        </is>
      </c>
      <c r="G929" s="7" t="inlineStr">
        <is>
          <t>RAINBOW DEFENSIVOS AGRÍCOLAS LTDA.</t>
        </is>
      </c>
      <c r="H929" s="7" t="inlineStr">
        <is>
          <t>Matriz / Estabelecimento Principal</t>
        </is>
      </c>
      <c r="I929" s="7" t="inlineStr">
        <is>
          <t>CNPJ Credenciado MAPA/SIPEAGRO</t>
        </is>
      </c>
      <c r="J929" s="7" t="inlineStr">
        <is>
          <t>Registro Estadual Vigente</t>
        </is>
      </c>
      <c r="K929" s="7" t="inlineStr">
        <is>
          <t>Estabelecimento Credenciado no Brasil</t>
        </is>
      </c>
      <c r="L929" s="7" t="inlineStr">
        <is>
          <t>Brasil</t>
        </is>
      </c>
      <c r="M929" s="7" t="inlineStr">
        <is>
          <t>0 - Nacional / 1 - Importação Direta</t>
        </is>
      </c>
    </row>
    <row r="930" ht="22" customHeight="1">
      <c r="A930" s="12" t="inlineStr">
        <is>
          <t>EMP-0926</t>
        </is>
      </c>
      <c r="B930" s="11" t="n">
        <v>792</v>
      </c>
      <c r="C930" s="13" t="inlineStr">
        <is>
          <t>VINCULAR MARCA</t>
        </is>
      </c>
      <c r="D930" s="14" t="inlineStr">
        <is>
          <t>CLORPIRIFOS 480 -</t>
        </is>
      </c>
      <c r="E930" s="13" t="inlineStr">
        <is>
          <t>1. Titular do Registro / Produtor</t>
        </is>
      </c>
      <c r="F930" s="13" t="inlineStr">
        <is>
          <t>Produto Técnico Industrial</t>
        </is>
      </c>
      <c r="G930" s="13" t="inlineStr">
        <is>
          <t>ADAMA BRASIL S/A / GHARDA CHEMICALS LIMITED</t>
        </is>
      </c>
      <c r="H930" s="13" t="inlineStr">
        <is>
          <t>Matriz / Estabelecimento Principal</t>
        </is>
      </c>
      <c r="I930" s="13" t="inlineStr">
        <is>
          <t>CNPJ Credenciado MAPA/SIPEAGRO</t>
        </is>
      </c>
      <c r="J930" s="13" t="inlineStr">
        <is>
          <t>Registro Estadual Vigente</t>
        </is>
      </c>
      <c r="K930" s="13" t="inlineStr">
        <is>
          <t>Estabelecimento Credenciado no Brasil</t>
        </is>
      </c>
      <c r="L930" s="13" t="inlineStr">
        <is>
          <t>Brasil</t>
        </is>
      </c>
      <c r="M930" s="13" t="inlineStr">
        <is>
          <t>0 - Nacional / 1 - Importação Direta</t>
        </is>
      </c>
    </row>
    <row r="931" ht="22" customHeight="1">
      <c r="A931" s="6" t="inlineStr">
        <is>
          <t>EMP-0927</t>
        </is>
      </c>
      <c r="B931" s="5" t="n">
        <v>793</v>
      </c>
      <c r="C931" s="7" t="inlineStr">
        <is>
          <t>VINCULAR MARCA</t>
        </is>
      </c>
      <c r="D931" s="8" t="inlineStr">
        <is>
          <t>CLORPIRIFOS 480 -</t>
        </is>
      </c>
      <c r="E931" s="7" t="inlineStr">
        <is>
          <t>1. Titular do Registro / Produtor</t>
        </is>
      </c>
      <c r="F931" s="7" t="inlineStr">
        <is>
          <t>Produto Técnico Industrial</t>
        </is>
      </c>
      <c r="G931" s="7" t="inlineStr">
        <is>
          <t>ADAMA BRASIL S/A / GHARDA CHEMICALS LIMITED</t>
        </is>
      </c>
      <c r="H931" s="7" t="inlineStr">
        <is>
          <t>Matriz / Estabelecimento Principal</t>
        </is>
      </c>
      <c r="I931" s="7" t="inlineStr">
        <is>
          <t>CNPJ Credenciado MAPA/SIPEAGRO</t>
        </is>
      </c>
      <c r="J931" s="7" t="inlineStr">
        <is>
          <t>Registro Estadual Vigente</t>
        </is>
      </c>
      <c r="K931" s="7" t="inlineStr">
        <is>
          <t>Estabelecimento Credenciado no Brasil</t>
        </is>
      </c>
      <c r="L931" s="7" t="inlineStr">
        <is>
          <t>Brasil</t>
        </is>
      </c>
      <c r="M931" s="7" t="inlineStr">
        <is>
          <t>0 - Nacional / 1 - Importação Direta</t>
        </is>
      </c>
    </row>
    <row r="932" ht="22" customHeight="1">
      <c r="A932" s="12" t="inlineStr">
        <is>
          <t>EMP-0928</t>
        </is>
      </c>
      <c r="B932" s="11" t="n">
        <v>794</v>
      </c>
      <c r="C932" s="13" t="inlineStr">
        <is>
          <t>Nº 27717</t>
        </is>
      </c>
      <c r="D932" s="14" t="inlineStr">
        <is>
          <t>FIPRONIL 800 (PRINCIPIO ATIVO)</t>
        </is>
      </c>
      <c r="E932" s="13" t="inlineStr">
        <is>
          <t>1. Titular do Registro / Produtor</t>
        </is>
      </c>
      <c r="F932" s="13" t="inlineStr">
        <is>
          <t>Produto Técnico Industrial</t>
        </is>
      </c>
      <c r="G932" s="13" t="inlineStr">
        <is>
          <t>AGRICONNECTION IMPORTADORA E EXPORTADORA DE INSUMOS AGRÍCOLAS LTDA.</t>
        </is>
      </c>
      <c r="H932" s="13" t="inlineStr">
        <is>
          <t>Matriz / Estabelecimento Principal</t>
        </is>
      </c>
      <c r="I932" s="13" t="inlineStr">
        <is>
          <t>39.496.730/0001-60</t>
        </is>
      </c>
      <c r="J932" s="13" t="inlineStr">
        <is>
          <t>INDEA/MT nº 27326 / CDA/SP nº 4354</t>
        </is>
      </c>
      <c r="K932" s="13" t="inlineStr">
        <is>
          <t>Av. Manoel Genildo de Araujo, 188, Sala 02, Campo Verde/MT - CEP 78840-085</t>
        </is>
      </c>
      <c r="L932" s="13" t="inlineStr">
        <is>
          <t>Brasil</t>
        </is>
      </c>
      <c r="M932" s="13" t="inlineStr">
        <is>
          <t>0 - Nacional / 1 - Importação Direta</t>
        </is>
      </c>
    </row>
    <row r="933" ht="22" customHeight="1">
      <c r="A933" s="6" t="inlineStr">
        <is>
          <t>EMP-0929</t>
        </is>
      </c>
      <c r="B933" s="5" t="n">
        <v>795</v>
      </c>
      <c r="C933" s="7" t="inlineStr">
        <is>
          <t>Nº 12920</t>
        </is>
      </c>
      <c r="D933" s="8" t="inlineStr">
        <is>
          <t>ATRAZINA 900 (PRINCIPIO ATIVO)</t>
        </is>
      </c>
      <c r="E933" s="7" t="inlineStr">
        <is>
          <t>1. Titular do Registro</t>
        </is>
      </c>
      <c r="F933" s="7" t="inlineStr">
        <is>
          <t>Produto Técnico Industrial</t>
        </is>
      </c>
      <c r="G933" s="7" t="inlineStr">
        <is>
          <t>Atrazina 900 g</t>
        </is>
      </c>
      <c r="H933" s="7" t="inlineStr">
        <is>
          <t>Estabelecimento Credenciado</t>
        </is>
      </c>
      <c r="I933" s="7" t="inlineStr">
        <is>
          <t>CNPJ Credenciado MAPA</t>
        </is>
      </c>
      <c r="J933" s="7" t="inlineStr">
        <is>
          <t>Registro Estadual Vigente</t>
        </is>
      </c>
      <c r="K933" s="7" t="inlineStr">
        <is>
          <t>Unidade Operacional Brasil</t>
        </is>
      </c>
      <c r="L933" s="7" t="inlineStr">
        <is>
          <t>Brasil</t>
        </is>
      </c>
      <c r="M933" s="7" t="inlineStr">
        <is>
          <t>0/1/2 - Conforme Origem do Lote</t>
        </is>
      </c>
    </row>
    <row r="934" ht="22" customHeight="1">
      <c r="A934" s="12" t="inlineStr">
        <is>
          <t>EMP-0930</t>
        </is>
      </c>
      <c r="B934" s="11" t="n">
        <v>795</v>
      </c>
      <c r="C934" s="13" t="inlineStr">
        <is>
          <t>Nº 12920</t>
        </is>
      </c>
      <c r="D934" s="14" t="inlineStr">
        <is>
          <t>ATRAZINA 900 (PRINCIPIO ATIVO)</t>
        </is>
      </c>
      <c r="E934" s="13" t="inlineStr">
        <is>
          <t>3. Formulador / Co-Distribuidor Autorizado</t>
        </is>
      </c>
      <c r="F934" s="13" t="inlineStr">
        <is>
          <t>Produto Técnico Industrial</t>
        </is>
      </c>
      <c r="G934" s="13" t="inlineStr">
        <is>
          <t>kg WG</t>
        </is>
      </c>
      <c r="H934" s="13" t="inlineStr">
        <is>
          <t>Estabelecimento Credenciado</t>
        </is>
      </c>
      <c r="I934" s="13" t="inlineStr">
        <is>
          <t>CNPJ Credenciado MAPA</t>
        </is>
      </c>
      <c r="J934" s="13" t="inlineStr">
        <is>
          <t>Registro Estadual Vigente</t>
        </is>
      </c>
      <c r="K934" s="13" t="inlineStr">
        <is>
          <t>Unidade Operacional Brasil</t>
        </is>
      </c>
      <c r="L934" s="13" t="inlineStr">
        <is>
          <t>Brasil</t>
        </is>
      </c>
      <c r="M934" s="13" t="inlineStr">
        <is>
          <t>0/1/2 - Conforme Origem do Lote</t>
        </is>
      </c>
    </row>
    <row r="935" ht="22" customHeight="1">
      <c r="A935" s="6" t="inlineStr">
        <is>
          <t>EMP-0931</t>
        </is>
      </c>
      <c r="B935" s="5" t="n">
        <v>796</v>
      </c>
      <c r="C935" s="7" t="inlineStr">
        <is>
          <t>Nº 26222</t>
        </is>
      </c>
      <c r="D935" s="8" t="inlineStr">
        <is>
          <t>DIQUATE (PRINCIPIO ATIVO)</t>
        </is>
      </c>
      <c r="E935" s="7" t="inlineStr">
        <is>
          <t>1. Titular do Registro / Produtor</t>
        </is>
      </c>
      <c r="F935" s="7" t="inlineStr">
        <is>
          <t>Produto Técnico Industrial</t>
        </is>
      </c>
      <c r="G935" s="7" t="inlineStr">
        <is>
          <t>VANON / CHDS DO BRASIL COMÉRCIO DE INSUMOS AGRÍCOLAS LTDA.</t>
        </is>
      </c>
      <c r="H935" s="7" t="inlineStr">
        <is>
          <t>Matriz / Estabelecimento Principal</t>
        </is>
      </c>
      <c r="I935" s="7" t="inlineStr">
        <is>
          <t>CNPJ Credenciado MAPA/SIPEAGRO</t>
        </is>
      </c>
      <c r="J935" s="7" t="inlineStr">
        <is>
          <t>Registro Estadual Vigente</t>
        </is>
      </c>
      <c r="K935" s="7" t="inlineStr">
        <is>
          <t>Estabelecimento Credenciado no Brasil</t>
        </is>
      </c>
      <c r="L935" s="7" t="inlineStr">
        <is>
          <t>Brasil</t>
        </is>
      </c>
      <c r="M935" s="7" t="inlineStr">
        <is>
          <t>0 - Nacional / 1 - Importação Direta</t>
        </is>
      </c>
    </row>
    <row r="936" ht="22" customHeight="1">
      <c r="A936" s="12" t="inlineStr">
        <is>
          <t>EMP-0932</t>
        </is>
      </c>
      <c r="B936" s="11" t="n">
        <v>797</v>
      </c>
      <c r="C936" s="13" t="inlineStr">
        <is>
          <t>Nº 4026</t>
        </is>
      </c>
      <c r="D936" s="14" t="inlineStr">
        <is>
          <t>PROTIOCONAZOLE 480 (PRINCIPIO ATIVO)</t>
        </is>
      </c>
      <c r="E936" s="13" t="inlineStr">
        <is>
          <t>1. Titular do Registro / Produtor</t>
        </is>
      </c>
      <c r="F936" s="13" t="inlineStr">
        <is>
          <t>Produto Técnico Industrial</t>
        </is>
      </c>
      <c r="G936" s="13" t="inlineStr">
        <is>
          <t>Sino-Agri / Rainbow</t>
        </is>
      </c>
      <c r="H936" s="13" t="inlineStr">
        <is>
          <t>Matriz / Estabelecimento Principal</t>
        </is>
      </c>
      <c r="I936" s="13" t="inlineStr">
        <is>
          <t>CNPJ Credenciado MAPA/SIPEAGRO</t>
        </is>
      </c>
      <c r="J936" s="13" t="inlineStr">
        <is>
          <t>Registro Estadual Vigente</t>
        </is>
      </c>
      <c r="K936" s="13" t="inlineStr">
        <is>
          <t>Estabelecimento Credenciado no Brasil</t>
        </is>
      </c>
      <c r="L936" s="13" t="inlineStr">
        <is>
          <t>Brasil</t>
        </is>
      </c>
      <c r="M936" s="13" t="inlineStr">
        <is>
          <t>0 - Nacional / 1 - Importação Direta</t>
        </is>
      </c>
    </row>
    <row r="937" ht="22" customHeight="1">
      <c r="A937" s="6" t="inlineStr">
        <is>
          <t>EMP-0933</t>
        </is>
      </c>
      <c r="B937" s="5" t="n">
        <v>798</v>
      </c>
      <c r="C937" s="7" t="inlineStr">
        <is>
          <t>Nº 43818</t>
        </is>
      </c>
      <c r="D937" s="8" t="inlineStr">
        <is>
          <t>RUBY</t>
        </is>
      </c>
      <c r="E937" s="7" t="inlineStr">
        <is>
          <t>1. Titular do Registro / Produtor</t>
        </is>
      </c>
      <c r="F937" s="7" t="inlineStr">
        <is>
          <t>Produto Formulado Comercial</t>
        </is>
      </c>
      <c r="G937" s="7" t="inlineStr">
        <is>
          <t>PROVENTIS LIFESCIENCE DEFENSIVOS AGRÍCOLAS LTDA.</t>
        </is>
      </c>
      <c r="H937" s="7" t="inlineStr">
        <is>
          <t>Matriz / Estabelecimento Principal</t>
        </is>
      </c>
      <c r="I937" s="7" t="inlineStr">
        <is>
          <t>26.632.190/0001-18</t>
        </is>
      </c>
      <c r="J937" s="7" t="inlineStr">
        <is>
          <t>CDA/SP Vigente</t>
        </is>
      </c>
      <c r="K937" s="7" t="inlineStr">
        <is>
          <t>Campinas/SP</t>
        </is>
      </c>
      <c r="L937" s="7" t="inlineStr">
        <is>
          <t>Brasil</t>
        </is>
      </c>
      <c r="M937" s="7" t="inlineStr">
        <is>
          <t>0 - Nacional / 1 - Importação Direta</t>
        </is>
      </c>
    </row>
    <row r="938" ht="22" customHeight="1">
      <c r="A938" s="12" t="inlineStr">
        <is>
          <t>EMP-0934</t>
        </is>
      </c>
      <c r="B938" s="11" t="n">
        <v>799</v>
      </c>
      <c r="C938" s="13" t="inlineStr">
        <is>
          <t>Nº 40624</t>
        </is>
      </c>
      <c r="D938" s="14" t="inlineStr">
        <is>
          <t>SHARK</t>
        </is>
      </c>
      <c r="E938" s="13" t="inlineStr">
        <is>
          <t>1. Titular do Registro / Produtor</t>
        </is>
      </c>
      <c r="F938" s="13" t="inlineStr">
        <is>
          <t>Produto Formulado Comercial</t>
        </is>
      </c>
      <c r="G938" s="13" t="inlineStr">
        <is>
          <t>AGRICONNECTION IMPORTADORA E EXPORTADORA DE INSUMOS AGRÍCOLAS LTDA.</t>
        </is>
      </c>
      <c r="H938" s="13" t="inlineStr">
        <is>
          <t>Matriz / Estabelecimento Principal</t>
        </is>
      </c>
      <c r="I938" s="13" t="inlineStr">
        <is>
          <t>39.496.730/0001-60</t>
        </is>
      </c>
      <c r="J938" s="13" t="inlineStr">
        <is>
          <t>CDA/SP nº 4354 / INDEA/MT nº 27326</t>
        </is>
      </c>
      <c r="K938" s="13" t="inlineStr">
        <is>
          <t>Alameda Rio Negro, 585, Sala 145 A, Alphaville, Barueri/SP - CEP 06454-000</t>
        </is>
      </c>
      <c r="L938" s="13" t="inlineStr">
        <is>
          <t>Brasil</t>
        </is>
      </c>
      <c r="M938" s="13" t="inlineStr">
        <is>
          <t>0 - Nacional / 1 - Importação Direta</t>
        </is>
      </c>
    </row>
    <row r="939" ht="22" customHeight="1">
      <c r="A939" s="6" t="inlineStr">
        <is>
          <t>EMP-0935</t>
        </is>
      </c>
      <c r="B939" s="5" t="n">
        <v>800</v>
      </c>
      <c r="C939" s="7" t="inlineStr">
        <is>
          <t>Nº 40624</t>
        </is>
      </c>
      <c r="D939" s="8" t="inlineStr">
        <is>
          <t>SHARK</t>
        </is>
      </c>
      <c r="E939" s="7" t="inlineStr">
        <is>
          <t>1. Titular do Registro / Produtor</t>
        </is>
      </c>
      <c r="F939" s="7" t="inlineStr">
        <is>
          <t>Produto Formulado Comercial</t>
        </is>
      </c>
      <c r="G939" s="7" t="inlineStr">
        <is>
          <t>AGRICONNECTION IMPORTADORA E EXPORTADORA DE INSUMOS AGRÍCOLAS LTDA.</t>
        </is>
      </c>
      <c r="H939" s="7" t="inlineStr">
        <is>
          <t>Matriz / Estabelecimento Principal</t>
        </is>
      </c>
      <c r="I939" s="7" t="inlineStr">
        <is>
          <t>39.496.730/0001-60</t>
        </is>
      </c>
      <c r="J939" s="7" t="inlineStr">
        <is>
          <t>CDA/SP nº 4354 / INDEA/MT nº 27326</t>
        </is>
      </c>
      <c r="K939" s="7" t="inlineStr">
        <is>
          <t>Alameda Rio Negro, 585, Sala 145 A, Alphaville, Barueri/SP - CEP 06454-000</t>
        </is>
      </c>
      <c r="L939" s="7" t="inlineStr">
        <is>
          <t>Brasil</t>
        </is>
      </c>
      <c r="M939" s="7" t="inlineStr">
        <is>
          <t>0 - Nacional / 1 - Importação Direta</t>
        </is>
      </c>
    </row>
    <row r="940" ht="22" customHeight="1">
      <c r="A940" s="12" t="inlineStr">
        <is>
          <t>EMP-0936</t>
        </is>
      </c>
      <c r="B940" s="11" t="n">
        <v>801</v>
      </c>
      <c r="C940" s="13" t="inlineStr">
        <is>
          <t>Nº 17219</t>
        </is>
      </c>
      <c r="D940" s="14" t="inlineStr">
        <is>
          <t>PERAK</t>
        </is>
      </c>
      <c r="E940" s="13" t="inlineStr">
        <is>
          <t>1. Titular do Registro / Produtor</t>
        </is>
      </c>
      <c r="F940" s="13" t="inlineStr">
        <is>
          <t>Produto Formulado Comercial</t>
        </is>
      </c>
      <c r="G940" s="13" t="inlineStr">
        <is>
          <t>PROVENTIS LIFESCIENCE DEFENSIVOS AGRÍCOLAS LTDA.</t>
        </is>
      </c>
      <c r="H940" s="13" t="inlineStr">
        <is>
          <t>Matriz / Estabelecimento Principal</t>
        </is>
      </c>
      <c r="I940" s="13" t="inlineStr">
        <is>
          <t>26.632.190/0001-18</t>
        </is>
      </c>
      <c r="J940" s="13" t="inlineStr">
        <is>
          <t>CDA/SP Vigente</t>
        </is>
      </c>
      <c r="K940" s="13" t="inlineStr">
        <is>
          <t>Campinas/SP</t>
        </is>
      </c>
      <c r="L940" s="13" t="inlineStr">
        <is>
          <t>Brasil</t>
        </is>
      </c>
      <c r="M940" s="13" t="inlineStr">
        <is>
          <t>0 - Nacional / 1 - Importação Direta</t>
        </is>
      </c>
    </row>
    <row r="941" ht="22" customHeight="1">
      <c r="A941" s="6" t="inlineStr">
        <is>
          <t>EMP-0937</t>
        </is>
      </c>
      <c r="B941" s="5" t="n">
        <v>802</v>
      </c>
      <c r="C941" s="7" t="inlineStr">
        <is>
          <t>SIPEAGRO (UF-XXXXX)</t>
        </is>
      </c>
      <c r="D941" s="8" t="inlineStr">
        <is>
          <t>TSP - 46%P2O5 - GRAN - REVENDA - JBS</t>
        </is>
      </c>
      <c r="E941" s="7" t="inlineStr">
        <is>
          <t>1. Titular do Registro / Produtor</t>
        </is>
      </c>
      <c r="F941" s="7" t="inlineStr">
        <is>
          <t>Fertilizante Mineral / Organomineral</t>
        </is>
      </c>
      <c r="G941" s="7" t="inlineStr">
        <is>
          <t>Estabelecimento Produtor SIPEAGRO/MAPA</t>
        </is>
      </c>
      <c r="H941" s="7" t="inlineStr">
        <is>
          <t>Matriz / Estabelecimento Principal</t>
        </is>
      </c>
      <c r="I941" s="7" t="inlineStr">
        <is>
          <t>CNPJ Credenciado MAPA/SIPEAGRO</t>
        </is>
      </c>
      <c r="J941" s="7" t="inlineStr">
        <is>
          <t>Registro Estadual Vigente</t>
        </is>
      </c>
      <c r="K941" s="7" t="inlineStr">
        <is>
          <t>Estabelecimento Credenciado no Brasil</t>
        </is>
      </c>
      <c r="L941" s="7" t="inlineStr">
        <is>
          <t>Brasil</t>
        </is>
      </c>
      <c r="M941" s="7" t="inlineStr">
        <is>
          <t>0 - Nacional / 1 - Importação Direta</t>
        </is>
      </c>
    </row>
    <row r="942" ht="22" customHeight="1">
      <c r="A942" s="12" t="inlineStr">
        <is>
          <t>EMP-0938</t>
        </is>
      </c>
      <c r="B942" s="11" t="n">
        <v>803</v>
      </c>
      <c r="C942" s="13" t="inlineStr">
        <is>
          <t>Nº 2020</t>
        </is>
      </c>
      <c r="D942" s="14" t="inlineStr">
        <is>
          <t>BUSHI 0,2L (AMOSTRA) IMP</t>
        </is>
      </c>
      <c r="E942" s="13" t="inlineStr">
        <is>
          <t>1. Titular do Registro</t>
        </is>
      </c>
      <c r="F942" s="13" t="inlineStr">
        <is>
          <t>Produto Formulado Comercial</t>
        </is>
      </c>
      <c r="G942" s="13" t="inlineStr">
        <is>
          <t>Pilarquim BR Comercial Ltda. — Lambda-cialotrina 250 g</t>
        </is>
      </c>
      <c r="H942" s="13" t="inlineStr">
        <is>
          <t>Estabelecimento Credenciado</t>
        </is>
      </c>
      <c r="I942" s="13" t="inlineStr">
        <is>
          <t>CNPJ Credenciado MAPA</t>
        </is>
      </c>
      <c r="J942" s="13" t="inlineStr">
        <is>
          <t>Registro Estadual Vigente</t>
        </is>
      </c>
      <c r="K942" s="13" t="inlineStr">
        <is>
          <t>Unidade Operacional Brasil</t>
        </is>
      </c>
      <c r="L942" s="13" t="inlineStr">
        <is>
          <t>Brasil</t>
        </is>
      </c>
      <c r="M942" s="13" t="inlineStr">
        <is>
          <t>0/1/2 - Conforme Origem do Lote</t>
        </is>
      </c>
    </row>
    <row r="943" ht="22" customHeight="1">
      <c r="A943" s="6" t="inlineStr">
        <is>
          <t>EMP-0939</t>
        </is>
      </c>
      <c r="B943" s="5" t="n">
        <v>803</v>
      </c>
      <c r="C943" s="7" t="inlineStr">
        <is>
          <t>Nº 2020</t>
        </is>
      </c>
      <c r="D943" s="8" t="inlineStr">
        <is>
          <t>BUSHI 0,2L (AMOSTRA) IMP</t>
        </is>
      </c>
      <c r="E943" s="7" t="inlineStr">
        <is>
          <t>3. Formulador / Co-Distribuidor Autorizado</t>
        </is>
      </c>
      <c r="F943" s="7" t="inlineStr">
        <is>
          <t>Produto Formulado Comercial</t>
        </is>
      </c>
      <c r="G943" s="7" t="inlineStr">
        <is>
          <t>L CS</t>
        </is>
      </c>
      <c r="H943" s="7" t="inlineStr">
        <is>
          <t>Estabelecimento Credenciado</t>
        </is>
      </c>
      <c r="I943" s="7" t="inlineStr">
        <is>
          <t>CNPJ Credenciado MAPA</t>
        </is>
      </c>
      <c r="J943" s="7" t="inlineStr">
        <is>
          <t>Registro Estadual Vigente</t>
        </is>
      </c>
      <c r="K943" s="7" t="inlineStr">
        <is>
          <t>Unidade Operacional Brasil</t>
        </is>
      </c>
      <c r="L943" s="7" t="inlineStr">
        <is>
          <t>Brasil</t>
        </is>
      </c>
      <c r="M943" s="7" t="inlineStr">
        <is>
          <t>0/1/2 - Conforme Origem do Lote</t>
        </is>
      </c>
    </row>
    <row r="944" ht="22" customHeight="1">
      <c r="A944" s="12" t="inlineStr">
        <is>
          <t>EMP-0940</t>
        </is>
      </c>
      <c r="B944" s="11" t="n">
        <v>804</v>
      </c>
      <c r="C944" s="13" t="inlineStr">
        <is>
          <t>Nº 34621</t>
        </is>
      </c>
      <c r="D944" s="14" t="inlineStr">
        <is>
          <t>DIBROMETO DE DIQUATE</t>
        </is>
      </c>
      <c r="E944" s="13" t="inlineStr">
        <is>
          <t>1. Titular do Registro / Produtor</t>
        </is>
      </c>
      <c r="F944" s="13" t="inlineStr">
        <is>
          <t>Produto Formulado Comercial</t>
        </is>
      </c>
      <c r="G944" s="13" t="inlineStr">
        <is>
          <t>YONON BRASIL DEFENSIVOS AGRÍCOLAS LTDA. / CCAB AGRO S.A.</t>
        </is>
      </c>
      <c r="H944" s="13" t="inlineStr">
        <is>
          <t>Matriz / Estabelecimento Principal</t>
        </is>
      </c>
      <c r="I944" s="13" t="inlineStr">
        <is>
          <t>18.858.234/0001-30</t>
        </is>
      </c>
      <c r="J944" s="13" t="inlineStr">
        <is>
          <t>ADAPAR/PR nº 004001</t>
        </is>
      </c>
      <c r="K944" s="13" t="inlineStr">
        <is>
          <t>São Paulo/SP e São Miguel do Iguaçu/PR</t>
        </is>
      </c>
      <c r="L944" s="13" t="inlineStr">
        <is>
          <t>Brasil</t>
        </is>
      </c>
      <c r="M944" s="13" t="inlineStr">
        <is>
          <t>0 - Nacional / 1 - Importação Direta</t>
        </is>
      </c>
    </row>
    <row r="945" ht="22" customHeight="1">
      <c r="A945" s="6" t="inlineStr">
        <is>
          <t>EMP-0941</t>
        </is>
      </c>
      <c r="B945" s="5" t="n">
        <v>805</v>
      </c>
      <c r="C945" s="7" t="inlineStr">
        <is>
          <t>Nº 25423</t>
        </is>
      </c>
      <c r="D945" s="8" t="inlineStr">
        <is>
          <t>GLUFE 200 SL</t>
        </is>
      </c>
      <c r="E945" s="7" t="inlineStr">
        <is>
          <t>1. Titular do Registro / Produtor</t>
        </is>
      </c>
      <c r="F945" s="7" t="inlineStr">
        <is>
          <t>Produto Formulado Comercial</t>
        </is>
      </c>
      <c r="G945" s="7" t="inlineStr">
        <is>
          <t>LIBEN / YONON BRASIL DEFENSIVOS AGRÍCOLAS LTDA.</t>
        </is>
      </c>
      <c r="H945" s="7" t="inlineStr">
        <is>
          <t>Matriz / Estabelecimento Principal</t>
        </is>
      </c>
      <c r="I945" s="7" t="inlineStr">
        <is>
          <t>CNPJ Credenciado MAPA/SIPEAGRO</t>
        </is>
      </c>
      <c r="J945" s="7" t="inlineStr">
        <is>
          <t>Registro Estadual Vigente</t>
        </is>
      </c>
      <c r="K945" s="7" t="inlineStr">
        <is>
          <t>Estabelecimento Credenciado no Brasil</t>
        </is>
      </c>
      <c r="L945" s="7" t="inlineStr">
        <is>
          <t>Brasil</t>
        </is>
      </c>
      <c r="M945" s="7" t="inlineStr">
        <is>
          <t>0 - Nacional / 1 - Importação Direta</t>
        </is>
      </c>
    </row>
    <row r="946" ht="22" customHeight="1">
      <c r="A946" s="12" t="inlineStr">
        <is>
          <t>EMP-0942</t>
        </is>
      </c>
      <c r="B946" s="11" t="n">
        <v>806</v>
      </c>
      <c r="C946" s="13" t="inlineStr">
        <is>
          <t>SIPEAGRO (UF-XXXXX)</t>
        </is>
      </c>
      <c r="D946" s="14" t="inlineStr">
        <is>
          <t>MS09E 04 24 24 S9 - MOSAIC (VALIDAR)</t>
        </is>
      </c>
      <c r="E946" s="13" t="inlineStr">
        <is>
          <t>1. Titular do Registro / Produtor</t>
        </is>
      </c>
      <c r="F946" s="13" t="inlineStr">
        <is>
          <t>Fertilizante Mineral / Organomineral</t>
        </is>
      </c>
      <c r="G946" s="13" t="inlineStr">
        <is>
          <t>Estabelecimento Produtor SIPEAGRO/MAPA</t>
        </is>
      </c>
      <c r="H946" s="13" t="inlineStr">
        <is>
          <t>Matriz / Estabelecimento Principal</t>
        </is>
      </c>
      <c r="I946" s="13" t="inlineStr">
        <is>
          <t>CNPJ Credenciado MAPA/SIPEAGRO</t>
        </is>
      </c>
      <c r="J946" s="13" t="inlineStr">
        <is>
          <t>Registro Estadual Vigente</t>
        </is>
      </c>
      <c r="K946" s="13" t="inlineStr">
        <is>
          <t>Estabelecimento Credenciado no Brasil</t>
        </is>
      </c>
      <c r="L946" s="13" t="inlineStr">
        <is>
          <t>Brasil</t>
        </is>
      </c>
      <c r="M946" s="13" t="inlineStr">
        <is>
          <t>0 - Nacional / 1 - Importação Direta</t>
        </is>
      </c>
    </row>
    <row r="947" ht="22" customHeight="1">
      <c r="A947" s="6" t="inlineStr">
        <is>
          <t>EMP-0943</t>
        </is>
      </c>
      <c r="B947" s="5" t="n">
        <v>807</v>
      </c>
      <c r="C947" s="7" t="inlineStr">
        <is>
          <t>Nº 15623</t>
        </is>
      </c>
      <c r="D947" s="8" t="inlineStr">
        <is>
          <t>TUCANO</t>
        </is>
      </c>
      <c r="E947" s="7" t="inlineStr">
        <is>
          <t>1. Titular do Registro / Produtor</t>
        </is>
      </c>
      <c r="F947" s="7" t="inlineStr">
        <is>
          <t>Produto Formulado Comercial</t>
        </is>
      </c>
      <c r="G947" s="7" t="inlineStr">
        <is>
          <t>RAINBOW DEFENSIVOS AGRÍCOLAS LTDA.</t>
        </is>
      </c>
      <c r="H947" s="7" t="inlineStr">
        <is>
          <t>Matriz / Estabelecimento Principal</t>
        </is>
      </c>
      <c r="I947" s="7" t="inlineStr">
        <is>
          <t>CNPJ Credenciado MAPA/SIPEAGRO</t>
        </is>
      </c>
      <c r="J947" s="7" t="inlineStr">
        <is>
          <t>Registro Estadual Vigente</t>
        </is>
      </c>
      <c r="K947" s="7" t="inlineStr">
        <is>
          <t>Estabelecimento Credenciado no Brasil</t>
        </is>
      </c>
      <c r="L947" s="7" t="inlineStr">
        <is>
          <t>Brasil</t>
        </is>
      </c>
      <c r="M947" s="7" t="inlineStr">
        <is>
          <t>0 - Nacional / 1 - Importação Direta</t>
        </is>
      </c>
    </row>
    <row r="948" ht="22" customHeight="1">
      <c r="A948" s="12" t="inlineStr">
        <is>
          <t>EMP-0944</t>
        </is>
      </c>
      <c r="B948" s="11" t="n">
        <v>808</v>
      </c>
      <c r="C948" s="13" t="inlineStr">
        <is>
          <t>Nº 11325</t>
        </is>
      </c>
      <c r="D948" s="14" t="inlineStr">
        <is>
          <t>VISTARA</t>
        </is>
      </c>
      <c r="E948" s="13" t="inlineStr">
        <is>
          <t>1. Titular do Registro</t>
        </is>
      </c>
      <c r="F948" s="13" t="inlineStr">
        <is>
          <t>Produto Formulado Comercial</t>
        </is>
      </c>
      <c r="G948" s="13" t="inlineStr">
        <is>
          <t>Rainbow Defensivos Agrícolas Ltda. — Piraclostrobina 133 g</t>
        </is>
      </c>
      <c r="H948" s="13" t="inlineStr">
        <is>
          <t>Estabelecimento Credenciado</t>
        </is>
      </c>
      <c r="I948" s="13" t="inlineStr">
        <is>
          <t>CNPJ Credenciado MAPA</t>
        </is>
      </c>
      <c r="J948" s="13" t="inlineStr">
        <is>
          <t>Registro Estadual Vigente</t>
        </is>
      </c>
      <c r="K948" s="13" t="inlineStr">
        <is>
          <t>Unidade Operacional Brasil</t>
        </is>
      </c>
      <c r="L948" s="13" t="inlineStr">
        <is>
          <t>Brasil</t>
        </is>
      </c>
      <c r="M948" s="13" t="inlineStr">
        <is>
          <t>0/1/2 - Conforme Origem do Lote</t>
        </is>
      </c>
    </row>
    <row r="949" ht="22" customHeight="1">
      <c r="A949" s="6" t="inlineStr">
        <is>
          <t>EMP-0945</t>
        </is>
      </c>
      <c r="B949" s="5" t="n">
        <v>808</v>
      </c>
      <c r="C949" s="7" t="inlineStr">
        <is>
          <t>Nº 11325</t>
        </is>
      </c>
      <c r="D949" s="8" t="inlineStr">
        <is>
          <t>VISTARA</t>
        </is>
      </c>
      <c r="E949" s="7" t="inlineStr">
        <is>
          <t>3. Formulador / Co-Distribuidor Autorizado</t>
        </is>
      </c>
      <c r="F949" s="7" t="inlineStr">
        <is>
          <t>Produto Formulado Comercial</t>
        </is>
      </c>
      <c r="G949" s="7" t="inlineStr">
        <is>
          <t>L + Epoxiconazol 50 g</t>
        </is>
      </c>
      <c r="H949" s="7" t="inlineStr">
        <is>
          <t>Estabelecimento Credenciado</t>
        </is>
      </c>
      <c r="I949" s="7" t="inlineStr">
        <is>
          <t>CNPJ Credenciado MAPA</t>
        </is>
      </c>
      <c r="J949" s="7" t="inlineStr">
        <is>
          <t>Registro Estadual Vigente</t>
        </is>
      </c>
      <c r="K949" s="7" t="inlineStr">
        <is>
          <t>Unidade Operacional Brasil</t>
        </is>
      </c>
      <c r="L949" s="7" t="inlineStr">
        <is>
          <t>Brasil</t>
        </is>
      </c>
      <c r="M949" s="7" t="inlineStr">
        <is>
          <t>0/1/2 - Conforme Origem do Lote</t>
        </is>
      </c>
    </row>
    <row r="950" ht="22" customHeight="1">
      <c r="A950" s="12" t="inlineStr">
        <is>
          <t>EMP-0946</t>
        </is>
      </c>
      <c r="B950" s="11" t="n">
        <v>808</v>
      </c>
      <c r="C950" s="13" t="inlineStr">
        <is>
          <t>Nº 11325</t>
        </is>
      </c>
      <c r="D950" s="14" t="inlineStr">
        <is>
          <t>VISTARA</t>
        </is>
      </c>
      <c r="E950" s="13" t="inlineStr">
        <is>
          <t>3. Formulador / Co-Distribuidor Autorizado</t>
        </is>
      </c>
      <c r="F950" s="13" t="inlineStr">
        <is>
          <t>Produto Formulado Comercial</t>
        </is>
      </c>
      <c r="G950" s="13" t="inlineStr">
        <is>
          <t>L EC</t>
        </is>
      </c>
      <c r="H950" s="13" t="inlineStr">
        <is>
          <t>Estabelecimento Credenciado</t>
        </is>
      </c>
      <c r="I950" s="13" t="inlineStr">
        <is>
          <t>CNPJ Credenciado MAPA</t>
        </is>
      </c>
      <c r="J950" s="13" t="inlineStr">
        <is>
          <t>Registro Estadual Vigente</t>
        </is>
      </c>
      <c r="K950" s="13" t="inlineStr">
        <is>
          <t>Unidade Operacional Brasil</t>
        </is>
      </c>
      <c r="L950" s="13" t="inlineStr">
        <is>
          <t>Brasil</t>
        </is>
      </c>
      <c r="M950" s="13" t="inlineStr">
        <is>
          <t>0/1/2 - Conforme Origem do Lote</t>
        </is>
      </c>
    </row>
    <row r="951" ht="22" customHeight="1">
      <c r="A951" s="6" t="inlineStr">
        <is>
          <t>EMP-0947</t>
        </is>
      </c>
      <c r="B951" s="5" t="n">
        <v>809</v>
      </c>
      <c r="C951" s="7" t="inlineStr">
        <is>
          <t>Nº 12123</t>
        </is>
      </c>
      <c r="D951" s="8" t="inlineStr">
        <is>
          <t>ARCAR</t>
        </is>
      </c>
      <c r="E951" s="7" t="inlineStr">
        <is>
          <t>1. Titular do Registro / Produtor</t>
        </is>
      </c>
      <c r="F951" s="7" t="inlineStr">
        <is>
          <t>Produto Formulado Comercial</t>
        </is>
      </c>
      <c r="G951" s="7" t="inlineStr">
        <is>
          <t>AGRICONNECTION IMPORTADORA E EXPORTADORA DE INSUMOS AGRÍCOLAS LTDA.</t>
        </is>
      </c>
      <c r="H951" s="7" t="inlineStr">
        <is>
          <t>Matriz / Estabelecimento Principal</t>
        </is>
      </c>
      <c r="I951" s="7" t="inlineStr">
        <is>
          <t>39.496.730/0001-60</t>
        </is>
      </c>
      <c r="J951" s="7" t="inlineStr">
        <is>
          <t>CDA/SP nº 4354 / INDEA/MT nº 27326</t>
        </is>
      </c>
      <c r="K951" s="7" t="inlineStr">
        <is>
          <t>Av. Manoel Genildo de Araujo, 188, Campo Verde/MT</t>
        </is>
      </c>
      <c r="L951" s="7" t="inlineStr">
        <is>
          <t>Brasil</t>
        </is>
      </c>
      <c r="M951" s="7" t="inlineStr">
        <is>
          <t>0 - Nacional / 1 - Importação Direta</t>
        </is>
      </c>
    </row>
    <row r="952" ht="22" customHeight="1">
      <c r="A952" s="12" t="inlineStr">
        <is>
          <t>EMP-0948</t>
        </is>
      </c>
      <c r="B952" s="11" t="n">
        <v>810</v>
      </c>
      <c r="C952" s="13" t="inlineStr">
        <is>
          <t>Nº 12123</t>
        </is>
      </c>
      <c r="D952" s="14" t="inlineStr">
        <is>
          <t>ARCAR</t>
        </is>
      </c>
      <c r="E952" s="13" t="inlineStr">
        <is>
          <t>1. Titular do Registro / Produtor</t>
        </is>
      </c>
      <c r="F952" s="13" t="inlineStr">
        <is>
          <t>Produto Formulado Comercial</t>
        </is>
      </c>
      <c r="G952" s="13" t="inlineStr">
        <is>
          <t>AGRICONNECTION IMPORTADORA E EXPORTADORA DE INSUMOS AGRÍCOLAS LTDA.</t>
        </is>
      </c>
      <c r="H952" s="13" t="inlineStr">
        <is>
          <t>Matriz / Estabelecimento Principal</t>
        </is>
      </c>
      <c r="I952" s="13" t="inlineStr">
        <is>
          <t>39.496.730/0001-60</t>
        </is>
      </c>
      <c r="J952" s="13" t="inlineStr">
        <is>
          <t>CDA/SP nº 4354 / INDEA/MT nº 27326</t>
        </is>
      </c>
      <c r="K952" s="13" t="inlineStr">
        <is>
          <t>Av. Manoel Genildo de Araujo, 188, Campo Verde/MT</t>
        </is>
      </c>
      <c r="L952" s="13" t="inlineStr">
        <is>
          <t>Brasil</t>
        </is>
      </c>
      <c r="M952" s="13" t="inlineStr">
        <is>
          <t>0 - Nacional / 1 - Importação Direta</t>
        </is>
      </c>
    </row>
    <row r="953" ht="22" customHeight="1">
      <c r="A953" s="6" t="inlineStr">
        <is>
          <t>EMP-0949</t>
        </is>
      </c>
      <c r="B953" s="5" t="n">
        <v>811</v>
      </c>
      <c r="C953" s="7" t="inlineStr">
        <is>
          <t>Nº 23623</t>
        </is>
      </c>
      <c r="D953" s="8" t="inlineStr">
        <is>
          <t>GLIMOR WG</t>
        </is>
      </c>
      <c r="E953" s="7" t="inlineStr">
        <is>
          <t>1. Titular do Registro / Produtor</t>
        </is>
      </c>
      <c r="F953" s="7" t="inlineStr">
        <is>
          <t>Produto Formulado Comercial</t>
        </is>
      </c>
      <c r="G953" s="7" t="inlineStr">
        <is>
          <t>RAINBOW DEFENSIVOS AGRÍCOLAS LTDA.</t>
        </is>
      </c>
      <c r="H953" s="7" t="inlineStr">
        <is>
          <t>Matriz / Estabelecimento Principal</t>
        </is>
      </c>
      <c r="I953" s="7" t="inlineStr">
        <is>
          <t>CNPJ Credenciado MAPA/SIPEAGRO</t>
        </is>
      </c>
      <c r="J953" s="7" t="inlineStr">
        <is>
          <t>Registro Estadual Vigente</t>
        </is>
      </c>
      <c r="K953" s="7" t="inlineStr">
        <is>
          <t>Estabelecimento Credenciado no Brasil</t>
        </is>
      </c>
      <c r="L953" s="7" t="inlineStr">
        <is>
          <t>Brasil</t>
        </is>
      </c>
      <c r="M953" s="7" t="inlineStr">
        <is>
          <t>0 - Nacional / 1 - Importação Direta</t>
        </is>
      </c>
    </row>
    <row r="954" ht="22" customHeight="1">
      <c r="A954" s="12" t="inlineStr">
        <is>
          <t>EMP-0950</t>
        </is>
      </c>
      <c r="B954" s="11" t="n">
        <v>812</v>
      </c>
      <c r="C954" s="13" t="inlineStr">
        <is>
          <t>Nº 12712</t>
        </is>
      </c>
      <c r="D954" s="14" t="inlineStr">
        <is>
          <t>FASON</t>
        </is>
      </c>
      <c r="E954" s="13" t="inlineStr">
        <is>
          <t>1. Titular do Registro / Produtor</t>
        </is>
      </c>
      <c r="F954" s="13" t="inlineStr">
        <is>
          <t>Produto Formulado Comercial</t>
        </is>
      </c>
      <c r="G954" s="13" t="inlineStr">
        <is>
          <t>ROTAM DO BRASIL / ALBAUGH AGRO BRASIL LTDA.</t>
        </is>
      </c>
      <c r="H954" s="13" t="inlineStr">
        <is>
          <t>Matriz / Estabelecimento Principal</t>
        </is>
      </c>
      <c r="I954" s="13" t="inlineStr">
        <is>
          <t>CNPJ Credenciado MAPA/SIPEAGRO</t>
        </is>
      </c>
      <c r="J954" s="13" t="inlineStr">
        <is>
          <t>Registro Estadual Vigente</t>
        </is>
      </c>
      <c r="K954" s="13" t="inlineStr">
        <is>
          <t>Estabelecimento Credenciado no Brasil</t>
        </is>
      </c>
      <c r="L954" s="13" t="inlineStr">
        <is>
          <t>Brasil</t>
        </is>
      </c>
      <c r="M954" s="13" t="inlineStr">
        <is>
          <t>0 - Nacional / 1 - Importação Direta</t>
        </is>
      </c>
    </row>
    <row r="955" ht="22" customHeight="1">
      <c r="A955" s="6" t="inlineStr">
        <is>
          <t>EMP-0951</t>
        </is>
      </c>
      <c r="B955" s="5" t="n">
        <v>813</v>
      </c>
      <c r="C955" s="7" t="inlineStr">
        <is>
          <t>Nº 5524</t>
        </is>
      </c>
      <c r="D955" s="8" t="inlineStr">
        <is>
          <t>EVOLIN</t>
        </is>
      </c>
      <c r="E955" s="7" t="inlineStr">
        <is>
          <t>1. Titular do Registro</t>
        </is>
      </c>
      <c r="F955" s="7" t="inlineStr">
        <is>
          <t>Produto Formulado Comercial</t>
        </is>
      </c>
      <c r="G955" s="7" t="inlineStr">
        <is>
          <t>Rainbow</t>
        </is>
      </c>
      <c r="H955" s="7" t="inlineStr">
        <is>
          <t>Estabelecimento Credenciado</t>
        </is>
      </c>
      <c r="I955" s="7" t="inlineStr">
        <is>
          <t>CNPJ Credenciado MAPA</t>
        </is>
      </c>
      <c r="J955" s="7" t="inlineStr">
        <is>
          <t>Registro Estadual Vigente</t>
        </is>
      </c>
      <c r="K955" s="7" t="inlineStr">
        <is>
          <t>Unidade Operacional Brasil</t>
        </is>
      </c>
      <c r="L955" s="7" t="inlineStr">
        <is>
          <t>Brasil</t>
        </is>
      </c>
      <c r="M955" s="7" t="inlineStr">
        <is>
          <t>0/1/2 - Conforme Origem do Lote</t>
        </is>
      </c>
    </row>
    <row r="956" ht="22" customHeight="1">
      <c r="A956" s="12" t="inlineStr">
        <is>
          <t>EMP-0952</t>
        </is>
      </c>
      <c r="B956" s="11" t="n">
        <v>813</v>
      </c>
      <c r="C956" s="13" t="inlineStr">
        <is>
          <t>Nº 5524</t>
        </is>
      </c>
      <c r="D956" s="14" t="inlineStr">
        <is>
          <t>EVOLIN</t>
        </is>
      </c>
      <c r="E956" s="13" t="inlineStr">
        <is>
          <t>3. Formulador / Co-Distribuidor Autorizado</t>
        </is>
      </c>
      <c r="F956" s="13" t="inlineStr">
        <is>
          <t>Produto Formulado Comercial</t>
        </is>
      </c>
      <c r="G956" s="13" t="inlineStr">
        <is>
          <t>Yonon</t>
        </is>
      </c>
      <c r="H956" s="13" t="inlineStr">
        <is>
          <t>Estabelecimento Credenciado</t>
        </is>
      </c>
      <c r="I956" s="13" t="inlineStr">
        <is>
          <t>CNPJ Credenciado MAPA</t>
        </is>
      </c>
      <c r="J956" s="13" t="inlineStr">
        <is>
          <t>Registro Estadual Vigente</t>
        </is>
      </c>
      <c r="K956" s="13" t="inlineStr">
        <is>
          <t>Unidade Operacional Brasil</t>
        </is>
      </c>
      <c r="L956" s="13" t="inlineStr">
        <is>
          <t>Brasil</t>
        </is>
      </c>
      <c r="M956" s="13" t="inlineStr">
        <is>
          <t>0/1/2 - Conforme Origem do Lote</t>
        </is>
      </c>
    </row>
    <row r="957" ht="22" customHeight="1">
      <c r="A957" s="6" t="inlineStr">
        <is>
          <t>EMP-0953</t>
        </is>
      </c>
      <c r="B957" s="5" t="n">
        <v>814</v>
      </c>
      <c r="C957" s="7" t="inlineStr">
        <is>
          <t>Nº 4623</t>
        </is>
      </c>
      <c r="D957" s="8" t="inlineStr">
        <is>
          <t>WEXITE</t>
        </is>
      </c>
      <c r="E957" s="7" t="inlineStr">
        <is>
          <t>1. Titular do Registro / Produtor</t>
        </is>
      </c>
      <c r="F957" s="7" t="inlineStr">
        <is>
          <t>Produto Formulado Comercial</t>
        </is>
      </c>
      <c r="G957" s="7" t="inlineStr">
        <is>
          <t>Rainbow Defensivos</t>
        </is>
      </c>
      <c r="H957" s="7" t="inlineStr">
        <is>
          <t>Matriz / Estabelecimento Principal</t>
        </is>
      </c>
      <c r="I957" s="7" t="inlineStr">
        <is>
          <t>10.486.463/0001-69</t>
        </is>
      </c>
      <c r="J957" s="7" t="inlineStr">
        <is>
          <t>SEAPA/RS nº 1928/09</t>
        </is>
      </c>
      <c r="K957" s="7" t="inlineStr">
        <is>
          <t>Estabelecimento Credenciado no Brasil</t>
        </is>
      </c>
      <c r="L957" s="7" t="inlineStr">
        <is>
          <t>Brasil</t>
        </is>
      </c>
      <c r="M957" s="7" t="inlineStr">
        <is>
          <t>0 - Nacional / 1 - Importação Direta</t>
        </is>
      </c>
    </row>
    <row r="958" ht="22" customHeight="1">
      <c r="A958" s="12" t="inlineStr">
        <is>
          <t>EMP-0954</t>
        </is>
      </c>
      <c r="B958" s="11" t="n">
        <v>815</v>
      </c>
      <c r="C958" s="13" t="inlineStr">
        <is>
          <t>SIPEAGRO (UF-XXXXX)</t>
        </is>
      </c>
      <c r="D958" s="14" t="inlineStr">
        <is>
          <t>SSP 19% P2O5 - GRANULADO - REVENDA - JBS</t>
        </is>
      </c>
      <c r="E958" s="13" t="inlineStr">
        <is>
          <t>1. Titular do Registro / Produtor</t>
        </is>
      </c>
      <c r="F958" s="13" t="inlineStr">
        <is>
          <t>Fertilizante Mineral / Organomineral</t>
        </is>
      </c>
      <c r="G958" s="13" t="inlineStr">
        <is>
          <t>Estabelecimento Produtor SIPEAGRO/MAPA</t>
        </is>
      </c>
      <c r="H958" s="13" t="inlineStr">
        <is>
          <t>Matriz / Estabelecimento Principal</t>
        </is>
      </c>
      <c r="I958" s="13" t="inlineStr">
        <is>
          <t>CNPJ Credenciado MAPA/SIPEAGRO</t>
        </is>
      </c>
      <c r="J958" s="13" t="inlineStr">
        <is>
          <t>Registro Estadual Vigente</t>
        </is>
      </c>
      <c r="K958" s="13" t="inlineStr">
        <is>
          <t>Estabelecimento Credenciado no Brasil</t>
        </is>
      </c>
      <c r="L958" s="13" t="inlineStr">
        <is>
          <t>Brasil</t>
        </is>
      </c>
      <c r="M958" s="13" t="inlineStr">
        <is>
          <t>0 - Nacional / 1 - Importação Direta</t>
        </is>
      </c>
    </row>
    <row r="959" ht="22" customHeight="1">
      <c r="A959" s="6" t="inlineStr">
        <is>
          <t>EMP-0955</t>
        </is>
      </c>
      <c r="B959" s="5" t="n">
        <v>816</v>
      </c>
      <c r="C959" s="7" t="inlineStr">
        <is>
          <t>SIPEAGRO (UF-XXXXX)</t>
        </is>
      </c>
      <c r="D959" s="8" t="inlineStr">
        <is>
          <t>SSP 22% P2O5 - GRANULADO - REVENDA - JBS</t>
        </is>
      </c>
      <c r="E959" s="7" t="inlineStr">
        <is>
          <t>1. Titular do Registro / Produtor</t>
        </is>
      </c>
      <c r="F959" s="7" t="inlineStr">
        <is>
          <t>Fertilizante Mineral / Organomineral</t>
        </is>
      </c>
      <c r="G959" s="7" t="inlineStr">
        <is>
          <t>Estabelecimento Produtor SIPEAGRO/MAPA</t>
        </is>
      </c>
      <c r="H959" s="7" t="inlineStr">
        <is>
          <t>Matriz / Estabelecimento Principal</t>
        </is>
      </c>
      <c r="I959" s="7" t="inlineStr">
        <is>
          <t>CNPJ Credenciado MAPA/SIPEAGRO</t>
        </is>
      </c>
      <c r="J959" s="7" t="inlineStr">
        <is>
          <t>Registro Estadual Vigente</t>
        </is>
      </c>
      <c r="K959" s="7" t="inlineStr">
        <is>
          <t>Estabelecimento Credenciado no Brasil</t>
        </is>
      </c>
      <c r="L959" s="7" t="inlineStr">
        <is>
          <t>Brasil</t>
        </is>
      </c>
      <c r="M959" s="7" t="inlineStr">
        <is>
          <t>0 - Nacional / 1 - Importação Direta</t>
        </is>
      </c>
    </row>
    <row r="960" ht="22" customHeight="1">
      <c r="A960" s="12" t="inlineStr">
        <is>
          <t>EMP-0956</t>
        </is>
      </c>
      <c r="B960" s="11" t="n">
        <v>817</v>
      </c>
      <c r="C960" s="13" t="inlineStr">
        <is>
          <t>SIPEAGRO (UF-XXXXX)</t>
        </is>
      </c>
      <c r="D960" s="14" t="inlineStr">
        <is>
          <t>PLUS 05 24 24 + 0,26 B + 50BMI2 - REVENDA - MOSAIC</t>
        </is>
      </c>
      <c r="E960" s="13" t="inlineStr">
        <is>
          <t>1. Titular do Registro / Produtor</t>
        </is>
      </c>
      <c r="F960" s="13" t="inlineStr">
        <is>
          <t>Fertilizante Mineral / Organomineral</t>
        </is>
      </c>
      <c r="G960" s="13" t="inlineStr">
        <is>
          <t>Estabelecimento Produtor SIPEAGRO/MAPA</t>
        </is>
      </c>
      <c r="H960" s="13" t="inlineStr">
        <is>
          <t>Matriz / Estabelecimento Principal</t>
        </is>
      </c>
      <c r="I960" s="13" t="inlineStr">
        <is>
          <t>CNPJ Credenciado MAPA/SIPEAGRO</t>
        </is>
      </c>
      <c r="J960" s="13" t="inlineStr">
        <is>
          <t>Registro Estadual Vigente</t>
        </is>
      </c>
      <c r="K960" s="13" t="inlineStr">
        <is>
          <t>Estabelecimento Credenciado no Brasil</t>
        </is>
      </c>
      <c r="L960" s="13" t="inlineStr">
        <is>
          <t>Brasil</t>
        </is>
      </c>
      <c r="M960" s="13" t="inlineStr">
        <is>
          <t>0 - Nacional / 1 - Importação Direta</t>
        </is>
      </c>
    </row>
    <row r="961" ht="22" customHeight="1">
      <c r="A961" s="6" t="inlineStr">
        <is>
          <t>EMP-0957</t>
        </is>
      </c>
      <c r="B961" s="5" t="n">
        <v>818</v>
      </c>
      <c r="C961" s="7" t="inlineStr">
        <is>
          <t>SIPEAGRO (UF-XXXXX)</t>
        </is>
      </c>
      <c r="D961" s="8" t="inlineStr">
        <is>
          <t>MAP SOLUVEL 12-61-00 - OCP</t>
        </is>
      </c>
      <c r="E961" s="7" t="inlineStr">
        <is>
          <t>1. Titular do Registro / Produtor</t>
        </is>
      </c>
      <c r="F961" s="7" t="inlineStr">
        <is>
          <t>Fertilizante Mineral / Organomineral</t>
        </is>
      </c>
      <c r="G961" s="7" t="inlineStr">
        <is>
          <t>Estabelecimento Produtor SIPEAGRO/MAPA</t>
        </is>
      </c>
      <c r="H961" s="7" t="inlineStr">
        <is>
          <t>Matriz / Estabelecimento Principal</t>
        </is>
      </c>
      <c r="I961" s="7" t="inlineStr">
        <is>
          <t>CNPJ Credenciado MAPA/SIPEAGRO</t>
        </is>
      </c>
      <c r="J961" s="7" t="inlineStr">
        <is>
          <t>Registro Estadual Vigente</t>
        </is>
      </c>
      <c r="K961" s="7" t="inlineStr">
        <is>
          <t>Estabelecimento Credenciado no Brasil</t>
        </is>
      </c>
      <c r="L961" s="7" t="inlineStr">
        <is>
          <t>Brasil</t>
        </is>
      </c>
      <c r="M961" s="7" t="inlineStr">
        <is>
          <t>0 - Nacional / 1 - Importação Direta</t>
        </is>
      </c>
    </row>
    <row r="962" ht="22" customHeight="1">
      <c r="A962" s="12" t="inlineStr">
        <is>
          <t>EMP-0958</t>
        </is>
      </c>
      <c r="B962" s="11" t="n">
        <v>819</v>
      </c>
      <c r="C962" s="13" t="inlineStr">
        <is>
          <t>Nº 2218</t>
        </is>
      </c>
      <c r="D962" s="14" t="inlineStr">
        <is>
          <t>ACETA</t>
        </is>
      </c>
      <c r="E962" s="13" t="inlineStr">
        <is>
          <t>1. Titular do Registro</t>
        </is>
      </c>
      <c r="F962" s="13" t="inlineStr">
        <is>
          <t>Produto Formulado Comercial</t>
        </is>
      </c>
      <c r="G962" s="13" t="inlineStr">
        <is>
          <t>Alamos</t>
        </is>
      </c>
      <c r="H962" s="13" t="inlineStr">
        <is>
          <t>Estabelecimento Credenciado</t>
        </is>
      </c>
      <c r="I962" s="13" t="inlineStr">
        <is>
          <t>CNPJ Credenciado MAPA</t>
        </is>
      </c>
      <c r="J962" s="13" t="inlineStr">
        <is>
          <t>Registro Estadual Vigente</t>
        </is>
      </c>
      <c r="K962" s="13" t="inlineStr">
        <is>
          <t>Unidade Operacional Brasil</t>
        </is>
      </c>
      <c r="L962" s="13" t="inlineStr">
        <is>
          <t>Brasil</t>
        </is>
      </c>
      <c r="M962" s="13" t="inlineStr">
        <is>
          <t>0/1/2 - Conforme Origem do Lote</t>
        </is>
      </c>
    </row>
    <row r="963" ht="22" customHeight="1">
      <c r="A963" s="6" t="inlineStr">
        <is>
          <t>EMP-0959</t>
        </is>
      </c>
      <c r="B963" s="5" t="n">
        <v>819</v>
      </c>
      <c r="C963" s="7" t="inlineStr">
        <is>
          <t>Nº 2218</t>
        </is>
      </c>
      <c r="D963" s="8" t="inlineStr">
        <is>
          <t>ACETA</t>
        </is>
      </c>
      <c r="E963" s="7" t="inlineStr">
        <is>
          <t>3. Formulador / Co-Distribuidor Autorizado</t>
        </is>
      </c>
      <c r="F963" s="7" t="inlineStr">
        <is>
          <t>Produto Formulado Comercial</t>
        </is>
      </c>
      <c r="G963" s="7" t="inlineStr">
        <is>
          <t>Perterra</t>
        </is>
      </c>
      <c r="H963" s="7" t="inlineStr">
        <is>
          <t>Estabelecimento Credenciado</t>
        </is>
      </c>
      <c r="I963" s="7" t="inlineStr">
        <is>
          <t>CNPJ Credenciado MAPA</t>
        </is>
      </c>
      <c r="J963" s="7" t="inlineStr">
        <is>
          <t>Registro Estadual Vigente</t>
        </is>
      </c>
      <c r="K963" s="7" t="inlineStr">
        <is>
          <t>Unidade Operacional Brasil</t>
        </is>
      </c>
      <c r="L963" s="7" t="inlineStr">
        <is>
          <t>Brasil</t>
        </is>
      </c>
      <c r="M963" s="7" t="inlineStr">
        <is>
          <t>0/1/2 - Conforme Origem do Lote</t>
        </is>
      </c>
    </row>
    <row r="964" ht="22" customHeight="1">
      <c r="A964" s="12" t="inlineStr">
        <is>
          <t>EMP-0960</t>
        </is>
      </c>
      <c r="B964" s="11" t="n">
        <v>820</v>
      </c>
      <c r="C964" s="13" t="inlineStr">
        <is>
          <t>Nº 2520</t>
        </is>
      </c>
      <c r="D964" s="14" t="inlineStr">
        <is>
          <t>SURVEY 250 FS AMOSTRA 0,200L</t>
        </is>
      </c>
      <c r="E964" s="13" t="inlineStr">
        <is>
          <t>1. Titular do Registro / Produtor</t>
        </is>
      </c>
      <c r="F964" s="13" t="inlineStr">
        <is>
          <t>Produto Formulado Comercial</t>
        </is>
      </c>
      <c r="G964" s="13" t="inlineStr">
        <is>
          <t>Rainbow Defensivos</t>
        </is>
      </c>
      <c r="H964" s="13" t="inlineStr">
        <is>
          <t>Matriz / Estabelecimento Principal</t>
        </is>
      </c>
      <c r="I964" s="13" t="inlineStr">
        <is>
          <t>10.486.463/0001-69</t>
        </is>
      </c>
      <c r="J964" s="13" t="inlineStr">
        <is>
          <t>SEAPA/RS nº 1928/09</t>
        </is>
      </c>
      <c r="K964" s="13" t="inlineStr">
        <is>
          <t>Estabelecimento Credenciado no Brasil</t>
        </is>
      </c>
      <c r="L964" s="13" t="inlineStr">
        <is>
          <t>Brasil</t>
        </is>
      </c>
      <c r="M964" s="13" t="inlineStr">
        <is>
          <t>0 - Nacional / 1 - Importação Direta</t>
        </is>
      </c>
    </row>
    <row r="965" ht="22" customHeight="1">
      <c r="A965" s="6" t="inlineStr">
        <is>
          <t>EMP-0961</t>
        </is>
      </c>
      <c r="B965" s="5" t="n">
        <v>821</v>
      </c>
      <c r="C965" s="7" t="inlineStr">
        <is>
          <t>Nº 34224</t>
        </is>
      </c>
      <c r="D965" s="8" t="inlineStr">
        <is>
          <t>MESTRONG</t>
        </is>
      </c>
      <c r="E965" s="7" t="inlineStr">
        <is>
          <t>1. Titular do Registro / Produtor</t>
        </is>
      </c>
      <c r="F965" s="7" t="inlineStr">
        <is>
          <t>Produto Formulado Comercial</t>
        </is>
      </c>
      <c r="G965" s="7" t="inlineStr">
        <is>
          <t>RAINBOW DEFENSIVOS AGRÍCOLAS LTDA.</t>
        </is>
      </c>
      <c r="H965" s="7" t="inlineStr">
        <is>
          <t>Matriz / Estabelecimento Principal</t>
        </is>
      </c>
      <c r="I965" s="7" t="inlineStr">
        <is>
          <t>CNPJ Credenciado MAPA/SIPEAGRO</t>
        </is>
      </c>
      <c r="J965" s="7" t="inlineStr">
        <is>
          <t>Registro Estadual Vigente</t>
        </is>
      </c>
      <c r="K965" s="7" t="inlineStr">
        <is>
          <t>Estabelecimento Credenciado no Brasil</t>
        </is>
      </c>
      <c r="L965" s="7" t="inlineStr">
        <is>
          <t>Brasil</t>
        </is>
      </c>
      <c r="M965" s="7" t="inlineStr">
        <is>
          <t>0 - Nacional / 1 - Importação Direta</t>
        </is>
      </c>
    </row>
    <row r="966" ht="22" customHeight="1">
      <c r="A966" s="12" t="inlineStr">
        <is>
          <t>EMP-0962</t>
        </is>
      </c>
      <c r="B966" s="11" t="n">
        <v>822</v>
      </c>
      <c r="C966" s="13" t="inlineStr">
        <is>
          <t>Nº 14421</t>
        </is>
      </c>
      <c r="D966" s="14" t="inlineStr">
        <is>
          <t>LEALTY FS</t>
        </is>
      </c>
      <c r="E966" s="13" t="inlineStr">
        <is>
          <t>1. Titular do Registro / Produtor</t>
        </is>
      </c>
      <c r="F966" s="13" t="inlineStr">
        <is>
          <t>Produto Formulado Comercial</t>
        </is>
      </c>
      <c r="G966" s="13" t="inlineStr">
        <is>
          <t>AGRICONNECTION IMPORTADORA E EXPORTADORA DE INSUMOS AGRÍCOLAS LTDA.</t>
        </is>
      </c>
      <c r="H966" s="13" t="inlineStr">
        <is>
          <t>Matriz / Estabelecimento Principal</t>
        </is>
      </c>
      <c r="I966" s="13" t="inlineStr">
        <is>
          <t>39.496.730/0001-60</t>
        </is>
      </c>
      <c r="J966" s="13" t="inlineStr">
        <is>
          <t>INDEA/MT nº 27326 / CDA/SP nº 4354</t>
        </is>
      </c>
      <c r="K966" s="13" t="inlineStr">
        <is>
          <t>Av. Manoel Genildo de Araujo, 188, Sala 02, Campo Verde/MT - CEP 78840-085</t>
        </is>
      </c>
      <c r="L966" s="13" t="inlineStr">
        <is>
          <t>Brasil</t>
        </is>
      </c>
      <c r="M966" s="13" t="inlineStr">
        <is>
          <t>0 - Nacional / 1 - Importação Direta</t>
        </is>
      </c>
    </row>
    <row r="967" ht="22" customHeight="1">
      <c r="A967" s="6" t="inlineStr">
        <is>
          <t>EMP-0963</t>
        </is>
      </c>
      <c r="B967" s="5" t="n">
        <v>823</v>
      </c>
      <c r="C967" s="7" t="inlineStr">
        <is>
          <t>Nº 32224</t>
        </is>
      </c>
      <c r="D967" s="8" t="inlineStr">
        <is>
          <t>PYRIPROXYFEN 100 SINO-AGRI AMOSTRA 0,200L</t>
        </is>
      </c>
      <c r="E967" s="7" t="inlineStr">
        <is>
          <t>1. Titular do Registro / Produtor</t>
        </is>
      </c>
      <c r="F967" s="7" t="inlineStr">
        <is>
          <t>Produto Formulado Comercial</t>
        </is>
      </c>
      <c r="G967" s="7" t="inlineStr">
        <is>
          <t>SINO-AGRI LEADING BIOSCIENCES DO BRASIL / INOVATIS LTDA.</t>
        </is>
      </c>
      <c r="H967" s="7" t="inlineStr">
        <is>
          <t>Matriz / Estabelecimento Principal</t>
        </is>
      </c>
      <c r="I967" s="7" t="inlineStr">
        <is>
          <t>CNPJ Credenciado MAPA/SIPEAGRO</t>
        </is>
      </c>
      <c r="J967" s="7" t="inlineStr">
        <is>
          <t>Registro Estadual Vigente</t>
        </is>
      </c>
      <c r="K967" s="7" t="inlineStr">
        <is>
          <t>Estabelecimento Credenciado no Brasil</t>
        </is>
      </c>
      <c r="L967" s="7" t="inlineStr">
        <is>
          <t>Brasil</t>
        </is>
      </c>
      <c r="M967" s="7" t="inlineStr">
        <is>
          <t>0 - Nacional / 1 - Importação Direta</t>
        </is>
      </c>
    </row>
    <row r="968" ht="22" customHeight="1">
      <c r="A968" s="12" t="inlineStr">
        <is>
          <t>EMP-0964</t>
        </is>
      </c>
      <c r="B968" s="11" t="n">
        <v>824</v>
      </c>
      <c r="C968" s="13" t="inlineStr">
        <is>
          <t>SIPEAGRO (UF-XXXXX)</t>
        </is>
      </c>
      <c r="D968" s="14" t="inlineStr">
        <is>
          <t>ULEXITA 10B GRANULADO (NaCaB5O9.8H2O) - PROBORO</t>
        </is>
      </c>
      <c r="E968" s="13" t="inlineStr">
        <is>
          <t>1. Titular do Registro / Produtor</t>
        </is>
      </c>
      <c r="F968" s="13" t="inlineStr">
        <is>
          <t>Corretivo / Condicionador de Solo</t>
        </is>
      </c>
      <c r="G968" s="13" t="inlineStr">
        <is>
          <t>Estabelecimento Produtor SIPEAGRO/MAPA</t>
        </is>
      </c>
      <c r="H968" s="13" t="inlineStr">
        <is>
          <t>Matriz / Estabelecimento Principal</t>
        </is>
      </c>
      <c r="I968" s="13" t="inlineStr">
        <is>
          <t>CNPJ Credenciado MAPA/SIPEAGRO</t>
        </is>
      </c>
      <c r="J968" s="13" t="inlineStr">
        <is>
          <t>Registro Estadual Vigente</t>
        </is>
      </c>
      <c r="K968" s="13" t="inlineStr">
        <is>
          <t>Estabelecimento Credenciado no Brasil</t>
        </is>
      </c>
      <c r="L968" s="13" t="inlineStr">
        <is>
          <t>Brasil</t>
        </is>
      </c>
      <c r="M968" s="13" t="inlineStr">
        <is>
          <t>0 - Nacional / 1 - Importação Direta</t>
        </is>
      </c>
    </row>
    <row r="969" ht="22" customHeight="1">
      <c r="A969" s="6" t="inlineStr">
        <is>
          <t>EMP-0965</t>
        </is>
      </c>
      <c r="B969" s="5" t="n">
        <v>825</v>
      </c>
      <c r="C969" s="7" t="inlineStr">
        <is>
          <t>Nº 32322</t>
        </is>
      </c>
      <c r="D969" s="8" t="inlineStr">
        <is>
          <t>JOYA BB</t>
        </is>
      </c>
      <c r="E969" s="7" t="inlineStr">
        <is>
          <t>1. Titular do Registro / Produtor</t>
        </is>
      </c>
      <c r="F969" s="7" t="inlineStr">
        <is>
          <t>Produto Formulado Comercial</t>
        </is>
      </c>
      <c r="G969" s="7" t="inlineStr">
        <is>
          <t>RAINBOW DEFENSIVOS AGRÍCOLAS LTDA.</t>
        </is>
      </c>
      <c r="H969" s="7" t="inlineStr">
        <is>
          <t>Matriz / Estabelecimento Principal</t>
        </is>
      </c>
      <c r="I969" s="7" t="inlineStr">
        <is>
          <t>CNPJ Credenciado MAPA/SIPEAGRO</t>
        </is>
      </c>
      <c r="J969" s="7" t="inlineStr">
        <is>
          <t>Registro Estadual Vigente</t>
        </is>
      </c>
      <c r="K969" s="7" t="inlineStr">
        <is>
          <t>Estabelecimento Credenciado no Brasil</t>
        </is>
      </c>
      <c r="L969" s="7" t="inlineStr">
        <is>
          <t>Brasil</t>
        </is>
      </c>
      <c r="M969" s="7" t="inlineStr">
        <is>
          <t>0 - Nacional / 1 - Importação Direta</t>
        </is>
      </c>
    </row>
    <row r="970" ht="22" customHeight="1">
      <c r="A970" s="12" t="inlineStr">
        <is>
          <t>EMP-0966</t>
        </is>
      </c>
      <c r="B970" s="11" t="n">
        <v>826</v>
      </c>
      <c r="C970" s="13" t="inlineStr">
        <is>
          <t>Nº 40024</t>
        </is>
      </c>
      <c r="D970" s="14" t="inlineStr">
        <is>
          <t>KROMSTAR</t>
        </is>
      </c>
      <c r="E970" s="13" t="inlineStr">
        <is>
          <t>1. Titular do Registro / Produtor</t>
        </is>
      </c>
      <c r="F970" s="13" t="inlineStr">
        <is>
          <t>Produto Formulado Comercial</t>
        </is>
      </c>
      <c r="G970" s="13" t="inlineStr">
        <is>
          <t>Rainbow Defensivos</t>
        </is>
      </c>
      <c r="H970" s="13" t="inlineStr">
        <is>
          <t>Matriz / Estabelecimento Principal</t>
        </is>
      </c>
      <c r="I970" s="13" t="inlineStr">
        <is>
          <t>10.486.463/0001-69</t>
        </is>
      </c>
      <c r="J970" s="13" t="inlineStr">
        <is>
          <t>SEAPA/RS nº 1928/09</t>
        </is>
      </c>
      <c r="K970" s="13" t="inlineStr">
        <is>
          <t>Estabelecimento Credenciado no Brasil</t>
        </is>
      </c>
      <c r="L970" s="13" t="inlineStr">
        <is>
          <t>Brasil</t>
        </is>
      </c>
      <c r="M970" s="13" t="inlineStr">
        <is>
          <t>0 - Nacional / 1 - Importação Direta</t>
        </is>
      </c>
    </row>
    <row r="971" ht="22" customHeight="1">
      <c r="A971" s="6" t="inlineStr">
        <is>
          <t>EMP-0967</t>
        </is>
      </c>
      <c r="B971" s="5" t="n">
        <v>827</v>
      </c>
      <c r="C971" s="7" t="inlineStr">
        <is>
          <t>Nº 22225</t>
        </is>
      </c>
      <c r="D971" s="8" t="inlineStr">
        <is>
          <t>KILLIGAN</t>
        </is>
      </c>
      <c r="E971" s="7" t="inlineStr">
        <is>
          <t>1. Titular do Registro / Produtor</t>
        </is>
      </c>
      <c r="F971" s="7" t="inlineStr">
        <is>
          <t>Produto Formulado Comercial</t>
        </is>
      </c>
      <c r="G971" s="7" t="inlineStr">
        <is>
          <t>RAINBOW DEFENSIVOS AGRÍCOLAS LTDA.</t>
        </is>
      </c>
      <c r="H971" s="7" t="inlineStr">
        <is>
          <t>Matriz / Estabelecimento Principal</t>
        </is>
      </c>
      <c r="I971" s="7" t="inlineStr">
        <is>
          <t>CNPJ Credenciado MAPA/SIPEAGRO</t>
        </is>
      </c>
      <c r="J971" s="7" t="inlineStr">
        <is>
          <t>Registro Estadual Vigente</t>
        </is>
      </c>
      <c r="K971" s="7" t="inlineStr">
        <is>
          <t>Estabelecimento Credenciado no Brasil</t>
        </is>
      </c>
      <c r="L971" s="7" t="inlineStr">
        <is>
          <t>Brasil</t>
        </is>
      </c>
      <c r="M971" s="7" t="inlineStr">
        <is>
          <t>0 - Nacional / 1 - Importação Direta</t>
        </is>
      </c>
    </row>
    <row r="972" ht="22" customHeight="1">
      <c r="A972" s="12" t="inlineStr">
        <is>
          <t>EMP-0968</t>
        </is>
      </c>
      <c r="B972" s="11" t="n">
        <v>828</v>
      </c>
      <c r="C972" s="13" t="inlineStr">
        <is>
          <t>Nº 22824</t>
        </is>
      </c>
      <c r="D972" s="14" t="inlineStr">
        <is>
          <t>FLAIL</t>
        </is>
      </c>
      <c r="E972" s="13" t="inlineStr">
        <is>
          <t>1. Titular do Registro / Produtor</t>
        </is>
      </c>
      <c r="F972" s="13" t="inlineStr">
        <is>
          <t>Produto Formulado Comercial</t>
        </is>
      </c>
      <c r="G972" s="13" t="inlineStr">
        <is>
          <t>RAINBOW DEFENSIVOS AGRÍCOLAS LTDA.</t>
        </is>
      </c>
      <c r="H972" s="13" t="inlineStr">
        <is>
          <t>Matriz / Estabelecimento Principal</t>
        </is>
      </c>
      <c r="I972" s="13" t="inlineStr">
        <is>
          <t>CNPJ Credenciado MAPA/SIPEAGRO</t>
        </is>
      </c>
      <c r="J972" s="13" t="inlineStr">
        <is>
          <t>Registro Estadual Vigente</t>
        </is>
      </c>
      <c r="K972" s="13" t="inlineStr">
        <is>
          <t>Estabelecimento Credenciado no Brasil</t>
        </is>
      </c>
      <c r="L972" s="13" t="inlineStr">
        <is>
          <t>Brasil</t>
        </is>
      </c>
      <c r="M972" s="13" t="inlineStr">
        <is>
          <t>0 - Nacional / 1 - Importação Direta</t>
        </is>
      </c>
    </row>
    <row r="973" ht="22" customHeight="1">
      <c r="A973" s="6" t="inlineStr">
        <is>
          <t>EMP-0969</t>
        </is>
      </c>
      <c r="B973" s="5" t="n">
        <v>829</v>
      </c>
      <c r="C973" s="7" t="inlineStr">
        <is>
          <t>Nº 4623</t>
        </is>
      </c>
      <c r="D973" s="8" t="inlineStr">
        <is>
          <t>WEXITE</t>
        </is>
      </c>
      <c r="E973" s="7" t="inlineStr">
        <is>
          <t>1. Titular do Registro / Produtor</t>
        </is>
      </c>
      <c r="F973" s="7" t="inlineStr">
        <is>
          <t>Produto Formulado Comercial</t>
        </is>
      </c>
      <c r="G973" s="7" t="inlineStr">
        <is>
          <t>Rainbow Defensivos</t>
        </is>
      </c>
      <c r="H973" s="7" t="inlineStr">
        <is>
          <t>Matriz / Estabelecimento Principal</t>
        </is>
      </c>
      <c r="I973" s="7" t="inlineStr">
        <is>
          <t>10.486.463/0001-69</t>
        </is>
      </c>
      <c r="J973" s="7" t="inlineStr">
        <is>
          <t>SEAPA/RS nº 1928/09</t>
        </is>
      </c>
      <c r="K973" s="7" t="inlineStr">
        <is>
          <t>Estabelecimento Credenciado no Brasil</t>
        </is>
      </c>
      <c r="L973" s="7" t="inlineStr">
        <is>
          <t>Brasil</t>
        </is>
      </c>
      <c r="M973" s="7" t="inlineStr">
        <is>
          <t>0 - Nacional / 1 - Importação Direta</t>
        </is>
      </c>
    </row>
    <row r="974" ht="22" customHeight="1">
      <c r="A974" s="12" t="inlineStr">
        <is>
          <t>EMP-0970</t>
        </is>
      </c>
      <c r="B974" s="11" t="n">
        <v>830</v>
      </c>
      <c r="C974" s="13" t="inlineStr">
        <is>
          <t>SIPEAGRO (UF-XXXXX)</t>
        </is>
      </c>
      <c r="D974" s="14" t="inlineStr">
        <is>
          <t>ENXOFRE BENTONITA - BG 1.097 KG - IMPACTPVA</t>
        </is>
      </c>
      <c r="E974" s="13" t="inlineStr">
        <is>
          <t>1. Titular do Registro / Produtor</t>
        </is>
      </c>
      <c r="F974" s="13" t="inlineStr">
        <is>
          <t>Corretivo / Condicionador de Solo</t>
        </is>
      </c>
      <c r="G974" s="13" t="inlineStr">
        <is>
          <t>Estabelecimento Produtor SIPEAGRO/MAPA</t>
        </is>
      </c>
      <c r="H974" s="13" t="inlineStr">
        <is>
          <t>Matriz / Estabelecimento Principal</t>
        </is>
      </c>
      <c r="I974" s="13" t="inlineStr">
        <is>
          <t>CNPJ Credenciado MAPA/SIPEAGRO</t>
        </is>
      </c>
      <c r="J974" s="13" t="inlineStr">
        <is>
          <t>Registro Estadual Vigente</t>
        </is>
      </c>
      <c r="K974" s="13" t="inlineStr">
        <is>
          <t>Estabelecimento Credenciado no Brasil</t>
        </is>
      </c>
      <c r="L974" s="13" t="inlineStr">
        <is>
          <t>Brasil</t>
        </is>
      </c>
      <c r="M974" s="13" t="inlineStr">
        <is>
          <t>0 - Nacional / 1 - Importação Direta</t>
        </is>
      </c>
    </row>
    <row r="975" ht="22" customHeight="1">
      <c r="A975" s="6" t="inlineStr">
        <is>
          <t>EMP-0971</t>
        </is>
      </c>
      <c r="B975" s="5" t="n">
        <v>831</v>
      </c>
      <c r="C975" s="7" t="inlineStr">
        <is>
          <t>Nº 47125</t>
        </is>
      </c>
      <c r="D975" s="8" t="inlineStr">
        <is>
          <t>CHLORFENAPYR</t>
        </is>
      </c>
      <c r="E975" s="7" t="inlineStr">
        <is>
          <t>1. Titular do Registro / Produtor</t>
        </is>
      </c>
      <c r="F975" s="7" t="inlineStr">
        <is>
          <t>Produto Formulado Comercial</t>
        </is>
      </c>
      <c r="G975" s="7" t="inlineStr">
        <is>
          <t>YONON BRASIL DEFENSIVOS AGRÍCOLAS LTDA.</t>
        </is>
      </c>
      <c r="H975" s="7" t="inlineStr">
        <is>
          <t>Matriz / Estabelecimento Principal</t>
        </is>
      </c>
      <c r="I975" s="7" t="inlineStr">
        <is>
          <t>CNPJ Credenciado MAPA/SIPEAGRO</t>
        </is>
      </c>
      <c r="J975" s="7" t="inlineStr">
        <is>
          <t>Registro Estadual Vigente</t>
        </is>
      </c>
      <c r="K975" s="7" t="inlineStr">
        <is>
          <t>Estabelecimento Credenciado no Brasil</t>
        </is>
      </c>
      <c r="L975" s="7" t="inlineStr">
        <is>
          <t>Brasil</t>
        </is>
      </c>
      <c r="M975" s="7" t="inlineStr">
        <is>
          <t>0 - Nacional / 1 - Importação Direta</t>
        </is>
      </c>
    </row>
    <row r="976" ht="22" customHeight="1">
      <c r="A976" s="12" t="inlineStr">
        <is>
          <t>EMP-0972</t>
        </is>
      </c>
      <c r="B976" s="11" t="n">
        <v>832</v>
      </c>
      <c r="C976" s="13" t="inlineStr">
        <is>
          <t>Nº 2218</t>
        </is>
      </c>
      <c r="D976" s="14" t="inlineStr">
        <is>
          <t>ACETA</t>
        </is>
      </c>
      <c r="E976" s="13" t="inlineStr">
        <is>
          <t>1. Titular do Registro</t>
        </is>
      </c>
      <c r="F976" s="13" t="inlineStr">
        <is>
          <t>Produto Formulado Comercial</t>
        </is>
      </c>
      <c r="G976" s="13" t="inlineStr">
        <is>
          <t>Alamos</t>
        </is>
      </c>
      <c r="H976" s="13" t="inlineStr">
        <is>
          <t>Estabelecimento Credenciado</t>
        </is>
      </c>
      <c r="I976" s="13" t="inlineStr">
        <is>
          <t>CNPJ Credenciado MAPA</t>
        </is>
      </c>
      <c r="J976" s="13" t="inlineStr">
        <is>
          <t>Registro Estadual Vigente</t>
        </is>
      </c>
      <c r="K976" s="13" t="inlineStr">
        <is>
          <t>Unidade Operacional Brasil</t>
        </is>
      </c>
      <c r="L976" s="13" t="inlineStr">
        <is>
          <t>Brasil</t>
        </is>
      </c>
      <c r="M976" s="13" t="inlineStr">
        <is>
          <t>0/1/2 - Conforme Origem do Lote</t>
        </is>
      </c>
    </row>
    <row r="977" ht="22" customHeight="1">
      <c r="A977" s="6" t="inlineStr">
        <is>
          <t>EMP-0973</t>
        </is>
      </c>
      <c r="B977" s="5" t="n">
        <v>832</v>
      </c>
      <c r="C977" s="7" t="inlineStr">
        <is>
          <t>Nº 2218</t>
        </is>
      </c>
      <c r="D977" s="8" t="inlineStr">
        <is>
          <t>ACETA</t>
        </is>
      </c>
      <c r="E977" s="7" t="inlineStr">
        <is>
          <t>3. Formulador / Co-Distribuidor Autorizado</t>
        </is>
      </c>
      <c r="F977" s="7" t="inlineStr">
        <is>
          <t>Produto Formulado Comercial</t>
        </is>
      </c>
      <c r="G977" s="7" t="inlineStr">
        <is>
          <t>Perterra</t>
        </is>
      </c>
      <c r="H977" s="7" t="inlineStr">
        <is>
          <t>Estabelecimento Credenciado</t>
        </is>
      </c>
      <c r="I977" s="7" t="inlineStr">
        <is>
          <t>CNPJ Credenciado MAPA</t>
        </is>
      </c>
      <c r="J977" s="7" t="inlineStr">
        <is>
          <t>Registro Estadual Vigente</t>
        </is>
      </c>
      <c r="K977" s="7" t="inlineStr">
        <is>
          <t>Unidade Operacional Brasil</t>
        </is>
      </c>
      <c r="L977" s="7" t="inlineStr">
        <is>
          <t>Brasil</t>
        </is>
      </c>
      <c r="M977" s="7" t="inlineStr">
        <is>
          <t>0/1/2 - Conforme Origem do Lote</t>
        </is>
      </c>
    </row>
    <row r="978" ht="22" customHeight="1">
      <c r="A978" s="12" t="inlineStr">
        <is>
          <t>EMP-0974</t>
        </is>
      </c>
      <c r="B978" s="11" t="n">
        <v>833</v>
      </c>
      <c r="C978" s="13" t="inlineStr">
        <is>
          <t>Nº 47125</t>
        </is>
      </c>
      <c r="D978" s="14" t="inlineStr">
        <is>
          <t>CHLORFENAPYR</t>
        </is>
      </c>
      <c r="E978" s="13" t="inlineStr">
        <is>
          <t>1. Titular do Registro / Produtor</t>
        </is>
      </c>
      <c r="F978" s="13" t="inlineStr">
        <is>
          <t>Produto Formulado Comercial</t>
        </is>
      </c>
      <c r="G978" s="13" t="inlineStr">
        <is>
          <t>YONON BRASIL DEFENSIVOS AGRÍCOLAS LTDA.</t>
        </is>
      </c>
      <c r="H978" s="13" t="inlineStr">
        <is>
          <t>Matriz / Estabelecimento Principal</t>
        </is>
      </c>
      <c r="I978" s="13" t="inlineStr">
        <is>
          <t>CNPJ Credenciado MAPA/SIPEAGRO</t>
        </is>
      </c>
      <c r="J978" s="13" t="inlineStr">
        <is>
          <t>Registro Estadual Vigente</t>
        </is>
      </c>
      <c r="K978" s="13" t="inlineStr">
        <is>
          <t>Estabelecimento Credenciado no Brasil</t>
        </is>
      </c>
      <c r="L978" s="13" t="inlineStr">
        <is>
          <t>Brasil</t>
        </is>
      </c>
      <c r="M978" s="13" t="inlineStr">
        <is>
          <t>0 - Nacional / 1 - Importação Direta</t>
        </is>
      </c>
    </row>
    <row r="979" ht="22" customHeight="1">
      <c r="A979" s="6" t="inlineStr">
        <is>
          <t>EMP-0975</t>
        </is>
      </c>
      <c r="B979" s="5" t="n">
        <v>834</v>
      </c>
      <c r="C979" s="7" t="inlineStr">
        <is>
          <t>SIPEAGRO (UF-XXXXX)</t>
        </is>
      </c>
      <c r="D979" s="8" t="inlineStr">
        <is>
          <t>SUPERFOSFATO TRIPLO 46%  - FERTALVO</t>
        </is>
      </c>
      <c r="E979" s="7" t="inlineStr">
        <is>
          <t>1. Titular do Registro / Produtor</t>
        </is>
      </c>
      <c r="F979" s="7" t="inlineStr">
        <is>
          <t>Fertilizante Mineral / Organomineral</t>
        </is>
      </c>
      <c r="G979" s="7" t="inlineStr">
        <is>
          <t>Estabelecimento Produtor SIPEAGRO/MAPA</t>
        </is>
      </c>
      <c r="H979" s="7" t="inlineStr">
        <is>
          <t>Matriz / Estabelecimento Principal</t>
        </is>
      </c>
      <c r="I979" s="7" t="inlineStr">
        <is>
          <t>CNPJ Credenciado MAPA/SIPEAGRO</t>
        </is>
      </c>
      <c r="J979" s="7" t="inlineStr">
        <is>
          <t>Registro Estadual Vigente</t>
        </is>
      </c>
      <c r="K979" s="7" t="inlineStr">
        <is>
          <t>Estabelecimento Credenciado no Brasil</t>
        </is>
      </c>
      <c r="L979" s="7" t="inlineStr">
        <is>
          <t>Brasil</t>
        </is>
      </c>
      <c r="M979" s="7" t="inlineStr">
        <is>
          <t>0 - Nacional / 1 - Importação Direta</t>
        </is>
      </c>
    </row>
    <row r="980" ht="22" customHeight="1">
      <c r="A980" s="12" t="inlineStr">
        <is>
          <t>EMP-0976</t>
        </is>
      </c>
      <c r="B980" s="11" t="n">
        <v>835</v>
      </c>
      <c r="C980" s="13" t="inlineStr">
        <is>
          <t>Nº 47125</t>
        </is>
      </c>
      <c r="D980" s="14" t="inlineStr">
        <is>
          <t>CHLORFENAPYR</t>
        </is>
      </c>
      <c r="E980" s="13" t="inlineStr">
        <is>
          <t>1. Titular do Registro / Produtor</t>
        </is>
      </c>
      <c r="F980" s="13" t="inlineStr">
        <is>
          <t>Produto Formulado Comercial</t>
        </is>
      </c>
      <c r="G980" s="13" t="inlineStr">
        <is>
          <t>YONON BRASIL DEFENSIVOS AGRÍCOLAS LTDA.</t>
        </is>
      </c>
      <c r="H980" s="13" t="inlineStr">
        <is>
          <t>Matriz / Estabelecimento Principal</t>
        </is>
      </c>
      <c r="I980" s="13" t="inlineStr">
        <is>
          <t>CNPJ Credenciado MAPA/SIPEAGRO</t>
        </is>
      </c>
      <c r="J980" s="13" t="inlineStr">
        <is>
          <t>Registro Estadual Vigente</t>
        </is>
      </c>
      <c r="K980" s="13" t="inlineStr">
        <is>
          <t>Estabelecimento Credenciado no Brasil</t>
        </is>
      </c>
      <c r="L980" s="13" t="inlineStr">
        <is>
          <t>Brasil</t>
        </is>
      </c>
      <c r="M980" s="13" t="inlineStr">
        <is>
          <t>0 - Nacional / 1 - Importação Direta</t>
        </is>
      </c>
    </row>
    <row r="981" ht="22" customHeight="1">
      <c r="A981" s="6" t="inlineStr">
        <is>
          <t>EMP-0977</t>
        </is>
      </c>
      <c r="B981" s="5" t="n">
        <v>836</v>
      </c>
      <c r="C981" s="7" t="inlineStr">
        <is>
          <t>Nº 8406</t>
        </is>
      </c>
      <c r="D981" s="8" t="inlineStr">
        <is>
          <t>CUREFORCE 250 EC IMP</t>
        </is>
      </c>
      <c r="E981" s="7" t="inlineStr">
        <is>
          <t>1. Titular do Registro</t>
        </is>
      </c>
      <c r="F981" s="7" t="inlineStr">
        <is>
          <t>Produto Formulado Comercial</t>
        </is>
      </c>
      <c r="G981" s="7" t="inlineStr">
        <is>
          <t>Jubailireg Brasil Ltda. — Difenoconazol 250 g</t>
        </is>
      </c>
      <c r="H981" s="7" t="inlineStr">
        <is>
          <t>Estabelecimento Credenciado</t>
        </is>
      </c>
      <c r="I981" s="7" t="inlineStr">
        <is>
          <t>CNPJ Credenciado MAPA</t>
        </is>
      </c>
      <c r="J981" s="7" t="inlineStr">
        <is>
          <t>Registro Estadual Vigente</t>
        </is>
      </c>
      <c r="K981" s="7" t="inlineStr">
        <is>
          <t>Unidade Operacional Brasil</t>
        </is>
      </c>
      <c r="L981" s="7" t="inlineStr">
        <is>
          <t>Brasil</t>
        </is>
      </c>
      <c r="M981" s="7" t="inlineStr">
        <is>
          <t>0/1/2 - Conforme Origem do Lote</t>
        </is>
      </c>
    </row>
    <row r="982" ht="22" customHeight="1">
      <c r="A982" s="12" t="inlineStr">
        <is>
          <t>EMP-0978</t>
        </is>
      </c>
      <c r="B982" s="11" t="n">
        <v>836</v>
      </c>
      <c r="C982" s="13" t="inlineStr">
        <is>
          <t>Nº 8406</t>
        </is>
      </c>
      <c r="D982" s="14" t="inlineStr">
        <is>
          <t>CUREFORCE 250 EC IMP</t>
        </is>
      </c>
      <c r="E982" s="13" t="inlineStr">
        <is>
          <t>3. Formulador / Co-Distribuidor Autorizado</t>
        </is>
      </c>
      <c r="F982" s="13" t="inlineStr">
        <is>
          <t>Produto Formulado Comercial</t>
        </is>
      </c>
      <c r="G982" s="13" t="inlineStr">
        <is>
          <t>L EC</t>
        </is>
      </c>
      <c r="H982" s="13" t="inlineStr">
        <is>
          <t>Estabelecimento Credenciado</t>
        </is>
      </c>
      <c r="I982" s="13" t="inlineStr">
        <is>
          <t>CNPJ Credenciado MAPA</t>
        </is>
      </c>
      <c r="J982" s="13" t="inlineStr">
        <is>
          <t>Registro Estadual Vigente</t>
        </is>
      </c>
      <c r="K982" s="13" t="inlineStr">
        <is>
          <t>Unidade Operacional Brasil</t>
        </is>
      </c>
      <c r="L982" s="13" t="inlineStr">
        <is>
          <t>Brasil</t>
        </is>
      </c>
      <c r="M982" s="13" t="inlineStr">
        <is>
          <t>0/1/2 - Conforme Origem do Lote</t>
        </is>
      </c>
    </row>
    <row r="983" ht="22" customHeight="1">
      <c r="A983" s="6" t="inlineStr">
        <is>
          <t>EMP-0979</t>
        </is>
      </c>
      <c r="B983" s="5" t="n">
        <v>837</v>
      </c>
      <c r="C983" s="7" t="inlineStr">
        <is>
          <t>Nº 28421</t>
        </is>
      </c>
      <c r="D983" s="8" t="inlineStr">
        <is>
          <t>BALLA IMP (VALIDAR)</t>
        </is>
      </c>
      <c r="E983" s="7" t="inlineStr">
        <is>
          <t>1. Titular do Registro / Produtor</t>
        </is>
      </c>
      <c r="F983" s="7" t="inlineStr">
        <is>
          <t>Produto Formulado Comercial</t>
        </is>
      </c>
      <c r="G983" s="7" t="inlineStr">
        <is>
          <t>CCAB AGRO S.A.</t>
        </is>
      </c>
      <c r="H983" s="7" t="inlineStr">
        <is>
          <t>Matriz / Estabelecimento Principal</t>
        </is>
      </c>
      <c r="I983" s="7" t="inlineStr">
        <is>
          <t>CNPJ Credenciado MAPA/SIPEAGRO</t>
        </is>
      </c>
      <c r="J983" s="7" t="inlineStr">
        <is>
          <t>Registro Estadual Vigente</t>
        </is>
      </c>
      <c r="K983" s="7" t="inlineStr">
        <is>
          <t>Estabelecimento Credenciado no Brasil</t>
        </is>
      </c>
      <c r="L983" s="7" t="inlineStr">
        <is>
          <t>Brasil</t>
        </is>
      </c>
      <c r="M983" s="7" t="inlineStr">
        <is>
          <t>0 - Nacional / 1 - Importação Direta</t>
        </is>
      </c>
    </row>
    <row r="984" ht="22" customHeight="1">
      <c r="A984" s="12" t="inlineStr">
        <is>
          <t>EMP-0980</t>
        </is>
      </c>
      <c r="B984" s="11" t="n">
        <v>838</v>
      </c>
      <c r="C984" s="13" t="inlineStr">
        <is>
          <t>Nº 36721</t>
        </is>
      </c>
      <c r="D984" s="14" t="inlineStr">
        <is>
          <t>MAIZEFORCE IMP</t>
        </is>
      </c>
      <c r="E984" s="13" t="inlineStr">
        <is>
          <t>1. Titular do Registro / Produtor</t>
        </is>
      </c>
      <c r="F984" s="13" t="inlineStr">
        <is>
          <t>Produto Formulado Comercial</t>
        </is>
      </c>
      <c r="G984" s="13" t="inlineStr">
        <is>
          <t>JUBAILI AGROTEC / JUBAILIREG BRASIL LTDA.</t>
        </is>
      </c>
      <c r="H984" s="13" t="inlineStr">
        <is>
          <t>Matriz / Estabelecimento Principal</t>
        </is>
      </c>
      <c r="I984" s="13" t="inlineStr">
        <is>
          <t>CNPJ Credenciado MAPA/SIPEAGRO</t>
        </is>
      </c>
      <c r="J984" s="13" t="inlineStr">
        <is>
          <t>Registro Estadual Vigente</t>
        </is>
      </c>
      <c r="K984" s="13" t="inlineStr">
        <is>
          <t>Estabelecimento Credenciado no Brasil</t>
        </is>
      </c>
      <c r="L984" s="13" t="inlineStr">
        <is>
          <t>Brasil</t>
        </is>
      </c>
      <c r="M984" s="13" t="inlineStr">
        <is>
          <t>0 - Nacional / 1 - Importação Direta</t>
        </is>
      </c>
    </row>
    <row r="985" ht="22" customHeight="1">
      <c r="A985" s="6" t="inlineStr">
        <is>
          <t>EMP-0981</t>
        </is>
      </c>
      <c r="B985" s="5" t="n">
        <v>839</v>
      </c>
      <c r="C985" s="7" t="inlineStr">
        <is>
          <t>Nº 19217</t>
        </is>
      </c>
      <c r="D985" s="8" t="inlineStr">
        <is>
          <t>BLOWOUT</t>
        </is>
      </c>
      <c r="E985" s="7" t="inlineStr">
        <is>
          <t>1. Titular do Registro / Produtor</t>
        </is>
      </c>
      <c r="F985" s="7" t="inlineStr">
        <is>
          <t>Produto Formulado Comercial</t>
        </is>
      </c>
      <c r="G985" s="7" t="inlineStr">
        <is>
          <t>RAINBOW DEFENSIVOS AGRICOLAS LTDA</t>
        </is>
      </c>
      <c r="H985" s="7" t="inlineStr">
        <is>
          <t>Matriz / Estabelecimento Principal</t>
        </is>
      </c>
      <c r="I985" s="7" t="inlineStr">
        <is>
          <t>10.486.463/0001-69</t>
        </is>
      </c>
      <c r="J985" s="7" t="inlineStr">
        <is>
          <t>SEAPA/RS nº 1928/09</t>
        </is>
      </c>
      <c r="K985" s="7" t="inlineStr">
        <is>
          <t>Estabelecimento Credenciado no Brasil</t>
        </is>
      </c>
      <c r="L985" s="7" t="inlineStr">
        <is>
          <t>Brasil</t>
        </is>
      </c>
      <c r="M985" s="7" t="inlineStr">
        <is>
          <t>0 - Nacional / 1 - Importação Direta</t>
        </is>
      </c>
    </row>
    <row r="986" ht="22" customHeight="1">
      <c r="A986" s="12" t="inlineStr">
        <is>
          <t>EMP-0982</t>
        </is>
      </c>
      <c r="B986" s="11" t="n">
        <v>840</v>
      </c>
      <c r="C986" s="13" t="inlineStr">
        <is>
          <t>Nº 4026</t>
        </is>
      </c>
      <c r="D986" s="14" t="inlineStr">
        <is>
          <t>SYNPROLE</t>
        </is>
      </c>
      <c r="E986" s="13" t="inlineStr">
        <is>
          <t>1. Titular do Registro</t>
        </is>
      </c>
      <c r="F986" s="13" t="inlineStr">
        <is>
          <t>Produto Formulado Comercial</t>
        </is>
      </c>
      <c r="G986" s="13" t="inlineStr">
        <is>
          <t>Sino-Agri</t>
        </is>
      </c>
      <c r="H986" s="13" t="inlineStr">
        <is>
          <t>Estabelecimento Credenciado</t>
        </is>
      </c>
      <c r="I986" s="13" t="inlineStr">
        <is>
          <t>CNPJ Credenciado MAPA</t>
        </is>
      </c>
      <c r="J986" s="13" t="inlineStr">
        <is>
          <t>Registro Estadual Vigente</t>
        </is>
      </c>
      <c r="K986" s="13" t="inlineStr">
        <is>
          <t>Unidade Operacional Brasil</t>
        </is>
      </c>
      <c r="L986" s="13" t="inlineStr">
        <is>
          <t>Brasil</t>
        </is>
      </c>
      <c r="M986" s="13" t="inlineStr">
        <is>
          <t>0/1/2 - Conforme Origem do Lote</t>
        </is>
      </c>
    </row>
    <row r="987" ht="22" customHeight="1">
      <c r="A987" s="6" t="inlineStr">
        <is>
          <t>EMP-0983</t>
        </is>
      </c>
      <c r="B987" s="5" t="n">
        <v>840</v>
      </c>
      <c r="C987" s="7" t="inlineStr">
        <is>
          <t>Nº 4026</t>
        </is>
      </c>
      <c r="D987" s="8" t="inlineStr">
        <is>
          <t>SYNPROLE</t>
        </is>
      </c>
      <c r="E987" s="7" t="inlineStr">
        <is>
          <t>3. Formulador / Co-Distribuidor Autorizado</t>
        </is>
      </c>
      <c r="F987" s="7" t="inlineStr">
        <is>
          <t>Produto Formulado Comercial</t>
        </is>
      </c>
      <c r="G987" s="7" t="inlineStr">
        <is>
          <t>Rainbow</t>
        </is>
      </c>
      <c r="H987" s="7" t="inlineStr">
        <is>
          <t>Estabelecimento Credenciado</t>
        </is>
      </c>
      <c r="I987" s="7" t="inlineStr">
        <is>
          <t>CNPJ Credenciado MAPA</t>
        </is>
      </c>
      <c r="J987" s="7" t="inlineStr">
        <is>
          <t>Registro Estadual Vigente</t>
        </is>
      </c>
      <c r="K987" s="7" t="inlineStr">
        <is>
          <t>Unidade Operacional Brasil</t>
        </is>
      </c>
      <c r="L987" s="7" t="inlineStr">
        <is>
          <t>Brasil</t>
        </is>
      </c>
      <c r="M987" s="7" t="inlineStr">
        <is>
          <t>0/1/2 - Conforme Origem do Lote</t>
        </is>
      </c>
    </row>
    <row r="988" ht="22" customHeight="1">
      <c r="A988" s="12" t="inlineStr">
        <is>
          <t>EMP-0984</t>
        </is>
      </c>
      <c r="B988" s="11" t="n">
        <v>841</v>
      </c>
      <c r="C988" s="13" t="inlineStr">
        <is>
          <t>VINCULAR MARCA</t>
        </is>
      </c>
      <c r="D988" s="14" t="inlineStr">
        <is>
          <t>FLUAZINAM TECNICO 98% (AMOSTRA)</t>
        </is>
      </c>
      <c r="E988" s="13" t="inlineStr">
        <is>
          <t>1. Titular do Registro / Produtor</t>
        </is>
      </c>
      <c r="F988" s="13" t="inlineStr">
        <is>
          <t>Produto Técnico Industrial</t>
        </is>
      </c>
      <c r="G988" s="13" t="inlineStr">
        <is>
          <t>ISK BIOSCIENCES DO BRASIL DEFENSIVOS AGRÍCOLAS LTDA. / SYNGENTA</t>
        </is>
      </c>
      <c r="H988" s="13" t="inlineStr">
        <is>
          <t>Matriz / Estabelecimento Principal</t>
        </is>
      </c>
      <c r="I988" s="13" t="inlineStr">
        <is>
          <t>CNPJ Credenciado MAPA/SIPEAGRO</t>
        </is>
      </c>
      <c r="J988" s="13" t="inlineStr">
        <is>
          <t>Registro Estadual Vigente</t>
        </is>
      </c>
      <c r="K988" s="13" t="inlineStr">
        <is>
          <t>Estabelecimento Credenciado no Brasil</t>
        </is>
      </c>
      <c r="L988" s="13" t="inlineStr">
        <is>
          <t>Brasil</t>
        </is>
      </c>
      <c r="M988" s="13" t="inlineStr">
        <is>
          <t>0 - Nacional / 1 - Importação Direta</t>
        </is>
      </c>
    </row>
    <row r="989" ht="22" customHeight="1">
      <c r="A989" s="6" t="inlineStr">
        <is>
          <t>EMP-0985</t>
        </is>
      </c>
      <c r="B989" s="5" t="n">
        <v>842</v>
      </c>
      <c r="C989" s="7" t="inlineStr">
        <is>
          <t>Nº 40624</t>
        </is>
      </c>
      <c r="D989" s="8" t="inlineStr">
        <is>
          <t>SHARK</t>
        </is>
      </c>
      <c r="E989" s="7" t="inlineStr">
        <is>
          <t>1. Titular do Registro / Produtor</t>
        </is>
      </c>
      <c r="F989" s="7" t="inlineStr">
        <is>
          <t>Produto Formulado Comercial</t>
        </is>
      </c>
      <c r="G989" s="7" t="inlineStr">
        <is>
          <t>AGRICONNECTION IMPORTADORA E EXPORTADORA DE INSUMOS AGRÍCOLAS LTDA.</t>
        </is>
      </c>
      <c r="H989" s="7" t="inlineStr">
        <is>
          <t>Matriz / Estabelecimento Principal</t>
        </is>
      </c>
      <c r="I989" s="7" t="inlineStr">
        <is>
          <t>39.496.730/0001-60</t>
        </is>
      </c>
      <c r="J989" s="7" t="inlineStr">
        <is>
          <t>CDA/SP nº 4354 / INDEA/MT nº 27326</t>
        </is>
      </c>
      <c r="K989" s="7" t="inlineStr">
        <is>
          <t>Alameda Rio Negro, 585, Sala 145 A, Alphaville, Barueri/SP - CEP 06454-000</t>
        </is>
      </c>
      <c r="L989" s="7" t="inlineStr">
        <is>
          <t>Brasil</t>
        </is>
      </c>
      <c r="M989" s="7" t="inlineStr">
        <is>
          <t>0 - Nacional / 1 - Importação Direta</t>
        </is>
      </c>
    </row>
    <row r="990" ht="22" customHeight="1">
      <c r="A990" s="12" t="inlineStr">
        <is>
          <t>EMP-0986</t>
        </is>
      </c>
      <c r="B990" s="11" t="n">
        <v>843</v>
      </c>
      <c r="C990" s="13" t="inlineStr">
        <is>
          <t>Nº 15716</t>
        </is>
      </c>
      <c r="D990" s="14" t="inlineStr">
        <is>
          <t>DIFCOR 250 EC</t>
        </is>
      </c>
      <c r="E990" s="13" t="inlineStr">
        <is>
          <t>1. Titular do Registro / Produtor</t>
        </is>
      </c>
      <c r="F990" s="13" t="inlineStr">
        <is>
          <t>Produto Formulado Comercial</t>
        </is>
      </c>
      <c r="G990" s="13" t="inlineStr">
        <is>
          <t>GLOBACHEM PROTEÇÃO DE CULTIVOS DO BRASIL LTDA.</t>
        </is>
      </c>
      <c r="H990" s="13" t="inlineStr">
        <is>
          <t>Matriz / Estabelecimento Principal</t>
        </is>
      </c>
      <c r="I990" s="13" t="inlineStr">
        <is>
          <t>43.741.357/0001-33</t>
        </is>
      </c>
      <c r="J990" s="13" t="inlineStr">
        <is>
          <t>CDA/SP nº 4326</t>
        </is>
      </c>
      <c r="K990" s="13" t="inlineStr">
        <is>
          <t>Rua Doutor Emílio Ribas, 174, Sala 12, Campinas/SP</t>
        </is>
      </c>
      <c r="L990" s="13" t="inlineStr">
        <is>
          <t>Brasil</t>
        </is>
      </c>
      <c r="M990" s="13" t="inlineStr">
        <is>
          <t>0 - Nacional / 1 - Importação Direta</t>
        </is>
      </c>
    </row>
    <row r="991" ht="22" customHeight="1">
      <c r="A991" s="6" t="inlineStr">
        <is>
          <t>EMP-0987</t>
        </is>
      </c>
      <c r="B991" s="5" t="n">
        <v>844</v>
      </c>
      <c r="C991" s="7" t="inlineStr">
        <is>
          <t>Nº 52425</t>
        </is>
      </c>
      <c r="D991" s="8" t="inlineStr">
        <is>
          <t>GEODO AMOSTRA 0,100KG IMP</t>
        </is>
      </c>
      <c r="E991" s="7" t="inlineStr">
        <is>
          <t>1. Titular do Registro / Produtor</t>
        </is>
      </c>
      <c r="F991" s="7" t="inlineStr">
        <is>
          <t>Produto Formulado Comercial</t>
        </is>
      </c>
      <c r="G991" s="7" t="inlineStr">
        <is>
          <t>RAINBOW DEFENSIVOS AGRÍCOLAS LTDA.</t>
        </is>
      </c>
      <c r="H991" s="7" t="inlineStr">
        <is>
          <t>Matriz / Estabelecimento Principal</t>
        </is>
      </c>
      <c r="I991" s="7" t="inlineStr">
        <is>
          <t>CNPJ Credenciado MAPA/SIPEAGRO</t>
        </is>
      </c>
      <c r="J991" s="7" t="inlineStr">
        <is>
          <t>Registro Estadual Vigente</t>
        </is>
      </c>
      <c r="K991" s="7" t="inlineStr">
        <is>
          <t>Estabelecimento Credenciado no Brasil</t>
        </is>
      </c>
      <c r="L991" s="7" t="inlineStr">
        <is>
          <t>Brasil</t>
        </is>
      </c>
      <c r="M991" s="7" t="inlineStr">
        <is>
          <t>0 - Nacional / 1 - Importação Direta</t>
        </is>
      </c>
    </row>
    <row r="992" ht="22" customHeight="1">
      <c r="A992" s="12" t="inlineStr">
        <is>
          <t>EMP-0988</t>
        </is>
      </c>
      <c r="B992" s="11" t="n">
        <v>845</v>
      </c>
      <c r="C992" s="13" t="inlineStr">
        <is>
          <t>Nº 4516</t>
        </is>
      </c>
      <c r="D992" s="14" t="inlineStr">
        <is>
          <t>STRONGFORCE</t>
        </is>
      </c>
      <c r="E992" s="13" t="inlineStr">
        <is>
          <t>1. Titular do Registro</t>
        </is>
      </c>
      <c r="F992" s="13" t="inlineStr">
        <is>
          <t>Produto Formulado Comercial</t>
        </is>
      </c>
      <c r="G992" s="13" t="inlineStr">
        <is>
          <t>Jubaili</t>
        </is>
      </c>
      <c r="H992" s="13" t="inlineStr">
        <is>
          <t>Estabelecimento Credenciado</t>
        </is>
      </c>
      <c r="I992" s="13" t="inlineStr">
        <is>
          <t>CNPJ Credenciado MAPA</t>
        </is>
      </c>
      <c r="J992" s="13" t="inlineStr">
        <is>
          <t>Registro Estadual Vigente</t>
        </is>
      </c>
      <c r="K992" s="13" t="inlineStr">
        <is>
          <t>Unidade Operacional Brasil</t>
        </is>
      </c>
      <c r="L992" s="13" t="inlineStr">
        <is>
          <t>Brasil</t>
        </is>
      </c>
      <c r="M992" s="13" t="inlineStr">
        <is>
          <t>0/1/2 - Conforme Origem do Lote</t>
        </is>
      </c>
    </row>
    <row r="993" ht="22" customHeight="1">
      <c r="A993" s="6" t="inlineStr">
        <is>
          <t>EMP-0989</t>
        </is>
      </c>
      <c r="B993" s="5" t="n">
        <v>845</v>
      </c>
      <c r="C993" s="7" t="inlineStr">
        <is>
          <t>Nº 4516</t>
        </is>
      </c>
      <c r="D993" s="8" t="inlineStr">
        <is>
          <t>STRONGFORCE</t>
        </is>
      </c>
      <c r="E993" s="7" t="inlineStr">
        <is>
          <t>3. Formulador / Co-Distribuidor Autorizado</t>
        </is>
      </c>
      <c r="F993" s="7" t="inlineStr">
        <is>
          <t>Produto Formulado Comercial</t>
        </is>
      </c>
      <c r="G993" s="7" t="inlineStr">
        <is>
          <t>Rotam</t>
        </is>
      </c>
      <c r="H993" s="7" t="inlineStr">
        <is>
          <t>Estabelecimento Credenciado</t>
        </is>
      </c>
      <c r="I993" s="7" t="inlineStr">
        <is>
          <t>CNPJ Credenciado MAPA</t>
        </is>
      </c>
      <c r="J993" s="7" t="inlineStr">
        <is>
          <t>Registro Estadual Vigente</t>
        </is>
      </c>
      <c r="K993" s="7" t="inlineStr">
        <is>
          <t>Unidade Operacional Brasil</t>
        </is>
      </c>
      <c r="L993" s="7" t="inlineStr">
        <is>
          <t>Brasil</t>
        </is>
      </c>
      <c r="M993" s="7" t="inlineStr">
        <is>
          <t>0/1/2 - Conforme Origem do Lote</t>
        </is>
      </c>
    </row>
    <row r="994" ht="22" customHeight="1">
      <c r="A994" s="12" t="inlineStr">
        <is>
          <t>EMP-0990</t>
        </is>
      </c>
      <c r="B994" s="11" t="n">
        <v>846</v>
      </c>
      <c r="C994" s="13" t="inlineStr">
        <is>
          <t>SIPEAGRO (UF-XXXXX)</t>
        </is>
      </c>
      <c r="D994" s="14" t="inlineStr">
        <is>
          <t>GESSO AGRICOLA MINERAL NATURAL (GIPSITA MOIDA) GRANEL</t>
        </is>
      </c>
      <c r="E994" s="13" t="inlineStr">
        <is>
          <t>1. Titular do Registro / Produtor</t>
        </is>
      </c>
      <c r="F994" s="13" t="inlineStr">
        <is>
          <t>Corretivo / Condicionador de Solo</t>
        </is>
      </c>
      <c r="G994" s="13" t="inlineStr">
        <is>
          <t>Estabelecimento Produtor SIPEAGRO/MAPA</t>
        </is>
      </c>
      <c r="H994" s="13" t="inlineStr">
        <is>
          <t>Matriz / Estabelecimento Principal</t>
        </is>
      </c>
      <c r="I994" s="13" t="inlineStr">
        <is>
          <t>CNPJ Credenciado MAPA/SIPEAGRO</t>
        </is>
      </c>
      <c r="J994" s="13" t="inlineStr">
        <is>
          <t>Registro Estadual Vigente</t>
        </is>
      </c>
      <c r="K994" s="13" t="inlineStr">
        <is>
          <t>Estabelecimento Credenciado no Brasil</t>
        </is>
      </c>
      <c r="L994" s="13" t="inlineStr">
        <is>
          <t>Brasil</t>
        </is>
      </c>
      <c r="M994" s="13" t="inlineStr">
        <is>
          <t>0 - Nacional / 1 - Importação Direta</t>
        </is>
      </c>
    </row>
    <row r="995" ht="22" customHeight="1">
      <c r="A995" s="6" t="inlineStr">
        <is>
          <t>EMP-0991</t>
        </is>
      </c>
      <c r="B995" s="5" t="n">
        <v>847</v>
      </c>
      <c r="C995" s="7" t="inlineStr">
        <is>
          <t>SIPEAGRO (UF-XXXXX)</t>
        </is>
      </c>
      <c r="D995" s="8" t="inlineStr">
        <is>
          <t>FOSFOGESSO AGRICOLA (SUBPRODUTO INDUSTRIAL) GRANEL</t>
        </is>
      </c>
      <c r="E995" s="7" t="inlineStr">
        <is>
          <t>1. Titular do Registro / Produtor</t>
        </is>
      </c>
      <c r="F995" s="7" t="inlineStr">
        <is>
          <t>Corretivo / Condicionador de Solo</t>
        </is>
      </c>
      <c r="G995" s="7" t="inlineStr">
        <is>
          <t>Estabelecimento Produtor SIPEAGRO/MAPA</t>
        </is>
      </c>
      <c r="H995" s="7" t="inlineStr">
        <is>
          <t>Matriz / Estabelecimento Principal</t>
        </is>
      </c>
      <c r="I995" s="7" t="inlineStr">
        <is>
          <t>CNPJ Credenciado MAPA/SIPEAGRO</t>
        </is>
      </c>
      <c r="J995" s="7" t="inlineStr">
        <is>
          <t>Registro Estadual Vigente</t>
        </is>
      </c>
      <c r="K995" s="7" t="inlineStr">
        <is>
          <t>Estabelecimento Credenciado no Brasil</t>
        </is>
      </c>
      <c r="L995" s="7" t="inlineStr">
        <is>
          <t>Brasil</t>
        </is>
      </c>
      <c r="M995" s="7" t="inlineStr">
        <is>
          <t>0 - Nacional / 1 - Importação Direta</t>
        </is>
      </c>
    </row>
    <row r="996" ht="22" customHeight="1">
      <c r="A996" s="12" t="inlineStr">
        <is>
          <t>EMP-0992</t>
        </is>
      </c>
      <c r="B996" s="11" t="n">
        <v>848</v>
      </c>
      <c r="C996" s="13" t="inlineStr">
        <is>
          <t>SIPEAGRO (UF-XXXXX)</t>
        </is>
      </c>
      <c r="D996" s="14" t="inlineStr">
        <is>
          <t>CALCARIO AGRICOLA DOLOMITICO / CALCITICO GRANEL (TON)</t>
        </is>
      </c>
      <c r="E996" s="13" t="inlineStr">
        <is>
          <t>1. Titular do Registro / Produtor</t>
        </is>
      </c>
      <c r="F996" s="13" t="inlineStr">
        <is>
          <t>Corretivo / Condicionador de Solo</t>
        </is>
      </c>
      <c r="G996" s="13" t="inlineStr">
        <is>
          <t>Estabelecimento Produtor SIPEAGRO/MAPA</t>
        </is>
      </c>
      <c r="H996" s="13" t="inlineStr">
        <is>
          <t>Matriz / Estabelecimento Principal</t>
        </is>
      </c>
      <c r="I996" s="13" t="inlineStr">
        <is>
          <t>CNPJ Credenciado MAPA/SIPEAGRO</t>
        </is>
      </c>
      <c r="J996" s="13" t="inlineStr">
        <is>
          <t>Registro Estadual Vigente</t>
        </is>
      </c>
      <c r="K996" s="13" t="inlineStr">
        <is>
          <t>Estabelecimento Credenciado no Brasil</t>
        </is>
      </c>
      <c r="L996" s="13" t="inlineStr">
        <is>
          <t>Brasil</t>
        </is>
      </c>
      <c r="M996" s="13" t="inlineStr">
        <is>
          <t>0 - Nacional / 1 - Importação Direta</t>
        </is>
      </c>
    </row>
    <row r="997" ht="22" customHeight="1">
      <c r="A997" s="6" t="inlineStr">
        <is>
          <t>EMP-0993</t>
        </is>
      </c>
      <c r="B997" s="5" t="n">
        <v>849</v>
      </c>
      <c r="C997" s="7" t="inlineStr">
        <is>
          <t>SIPEAGRO (UF-XXXXX)</t>
        </is>
      </c>
      <c r="D997" s="8" t="inlineStr">
        <is>
          <t>CAL HIDRATADA / VIRGEM AGRICOLA</t>
        </is>
      </c>
      <c r="E997" s="7" t="inlineStr">
        <is>
          <t>1. Titular do Registro / Produtor</t>
        </is>
      </c>
      <c r="F997" s="7" t="inlineStr">
        <is>
          <t>Corretivo / Condicionador de Solo</t>
        </is>
      </c>
      <c r="G997" s="7" t="inlineStr">
        <is>
          <t>Estabelecimento Produtor SIPEAGRO/MAPA</t>
        </is>
      </c>
      <c r="H997" s="7" t="inlineStr">
        <is>
          <t>Matriz / Estabelecimento Principal</t>
        </is>
      </c>
      <c r="I997" s="7" t="inlineStr">
        <is>
          <t>CNPJ Credenciado MAPA/SIPEAGRO</t>
        </is>
      </c>
      <c r="J997" s="7" t="inlineStr">
        <is>
          <t>Registro Estadual Vigente</t>
        </is>
      </c>
      <c r="K997" s="7" t="inlineStr">
        <is>
          <t>Estabelecimento Credenciado no Brasil</t>
        </is>
      </c>
      <c r="L997" s="7" t="inlineStr">
        <is>
          <t>Brasil</t>
        </is>
      </c>
      <c r="M997" s="7" t="inlineStr">
        <is>
          <t>0 - Nacional / 1 - Importação Direta</t>
        </is>
      </c>
    </row>
    <row r="998" ht="22" customHeight="1">
      <c r="A998" s="12" t="inlineStr">
        <is>
          <t>EMP-0994</t>
        </is>
      </c>
      <c r="B998" s="11" t="n">
        <v>850</v>
      </c>
      <c r="C998" s="13" t="inlineStr">
        <is>
          <t>SIPEAGRO (UF-XXXXX)</t>
        </is>
      </c>
      <c r="D998" s="14" t="inlineStr">
        <is>
          <t>FOSFATO DIAMONICO (DAP 18-46-00) GRANULADO GRANEL</t>
        </is>
      </c>
      <c r="E998" s="13" t="inlineStr">
        <is>
          <t>1. Titular do Registro / Produtor</t>
        </is>
      </c>
      <c r="F998" s="13" t="inlineStr">
        <is>
          <t>Fertilizante Mineral / Organomineral</t>
        </is>
      </c>
      <c r="G998" s="13" t="inlineStr">
        <is>
          <t>Estabelecimento Produtor SIPEAGRO/MAPA</t>
        </is>
      </c>
      <c r="H998" s="13" t="inlineStr">
        <is>
          <t>Matriz / Estabelecimento Principal</t>
        </is>
      </c>
      <c r="I998" s="13" t="inlineStr">
        <is>
          <t>CNPJ Credenciado MAPA/SIPEAGRO</t>
        </is>
      </c>
      <c r="J998" s="13" t="inlineStr">
        <is>
          <t>Registro Estadual Vigente</t>
        </is>
      </c>
      <c r="K998" s="13" t="inlineStr">
        <is>
          <t>Estabelecimento Credenciado no Brasil</t>
        </is>
      </c>
      <c r="L998" s="13" t="inlineStr">
        <is>
          <t>Brasil</t>
        </is>
      </c>
      <c r="M998" s="13" t="inlineStr">
        <is>
          <t>0 - Nacional / 1 - Importação Direta</t>
        </is>
      </c>
    </row>
    <row r="999" ht="22" customHeight="1">
      <c r="A999" s="6" t="inlineStr">
        <is>
          <t>EMP-0995</t>
        </is>
      </c>
      <c r="B999" s="5" t="n">
        <v>851</v>
      </c>
      <c r="C999" s="7" t="inlineStr">
        <is>
          <t>SIPEAGRO (UF-XXXXX)</t>
        </is>
      </c>
      <c r="D999" s="8" t="inlineStr">
        <is>
          <t>TERMOFOSFATO MAGNESIANO FUNDIDO (YOORIN)</t>
        </is>
      </c>
      <c r="E999" s="7" t="inlineStr">
        <is>
          <t>1. Titular do Registro / Produtor</t>
        </is>
      </c>
      <c r="F999" s="7" t="inlineStr">
        <is>
          <t>Fertilizante Mineral / Organomineral</t>
        </is>
      </c>
      <c r="G999" s="7" t="inlineStr">
        <is>
          <t>Yoorin Fertilizantes / SIPEAGRO</t>
        </is>
      </c>
      <c r="H999" s="7" t="inlineStr">
        <is>
          <t>Matriz / Estabelecimento Principal</t>
        </is>
      </c>
      <c r="I999" s="7" t="inlineStr">
        <is>
          <t>CNPJ Credenciado MAPA/SIPEAGRO</t>
        </is>
      </c>
      <c r="J999" s="7" t="inlineStr">
        <is>
          <t>Registro Estadual Vigente</t>
        </is>
      </c>
      <c r="K999" s="7" t="inlineStr">
        <is>
          <t>Estabelecimento Credenciado no Brasil</t>
        </is>
      </c>
      <c r="L999" s="7" t="inlineStr">
        <is>
          <t>Brasil</t>
        </is>
      </c>
      <c r="M999" s="7" t="inlineStr">
        <is>
          <t>0 - Nacional / 1 - Importação Direta</t>
        </is>
      </c>
    </row>
    <row r="1000" ht="22" customHeight="1">
      <c r="A1000" s="12" t="inlineStr">
        <is>
          <t>EMP-0996</t>
        </is>
      </c>
      <c r="B1000" s="11" t="n">
        <v>852</v>
      </c>
      <c r="C1000" s="13" t="inlineStr">
        <is>
          <t>SIPEAGRO (UF-XXXXX)</t>
        </is>
      </c>
      <c r="D1000" s="14" t="inlineStr">
        <is>
          <t>NITRATO DE AMONIO AGRICOLA (33% A 34% N) BIG BAG</t>
        </is>
      </c>
      <c r="E1000" s="13" t="inlineStr">
        <is>
          <t>1. Titular do Registro / Produtor</t>
        </is>
      </c>
      <c r="F1000" s="13" t="inlineStr">
        <is>
          <t>Fertilizante Mineral / Organomineral</t>
        </is>
      </c>
      <c r="G1000" s="13" t="inlineStr">
        <is>
          <t>Estabelecimento Produtor SIPEAGRO/MAPA</t>
        </is>
      </c>
      <c r="H1000" s="13" t="inlineStr">
        <is>
          <t>Matriz / Estabelecimento Principal</t>
        </is>
      </c>
      <c r="I1000" s="13" t="inlineStr">
        <is>
          <t>CNPJ Credenciado MAPA/SIPEAGRO</t>
        </is>
      </c>
      <c r="J1000" s="13" t="inlineStr">
        <is>
          <t>Registro Estadual Vigente</t>
        </is>
      </c>
      <c r="K1000" s="13" t="inlineStr">
        <is>
          <t>Estabelecimento Credenciado no Brasil</t>
        </is>
      </c>
      <c r="L1000" s="13" t="inlineStr">
        <is>
          <t>Brasil</t>
        </is>
      </c>
      <c r="M1000" s="13" t="inlineStr">
        <is>
          <t>0 - Nacional / 1 - Importação Direta</t>
        </is>
      </c>
    </row>
    <row r="1001" ht="22" customHeight="1">
      <c r="A1001" s="6" t="inlineStr">
        <is>
          <t>EMP-0997</t>
        </is>
      </c>
      <c r="B1001" s="5" t="n">
        <v>853</v>
      </c>
      <c r="C1001" s="7" t="inlineStr">
        <is>
          <t>SIPEAGRO (UF-XXXXX)</t>
        </is>
      </c>
      <c r="D1001" s="8" t="inlineStr">
        <is>
          <t>ACIDO BORICO TECNICO AGRICOLA (H3BO3 - 17% B)</t>
        </is>
      </c>
      <c r="E1001" s="7" t="inlineStr">
        <is>
          <t>1. Titular do Registro / Produtor</t>
        </is>
      </c>
      <c r="F1001" s="7" t="inlineStr">
        <is>
          <t>Fertilizante Mineral / Organomineral</t>
        </is>
      </c>
      <c r="G1001" s="7" t="inlineStr">
        <is>
          <t>Estabelecimento Produtor SIPEAGRO/MAPA</t>
        </is>
      </c>
      <c r="H1001" s="7" t="inlineStr">
        <is>
          <t>Matriz / Estabelecimento Principal</t>
        </is>
      </c>
      <c r="I1001" s="7" t="inlineStr">
        <is>
          <t>CNPJ Credenciado MAPA/SIPEAGRO</t>
        </is>
      </c>
      <c r="J1001" s="7" t="inlineStr">
        <is>
          <t>Registro Estadual Vigente</t>
        </is>
      </c>
      <c r="K1001" s="7" t="inlineStr">
        <is>
          <t>Estabelecimento Credenciado no Brasil</t>
        </is>
      </c>
      <c r="L1001" s="7" t="inlineStr">
        <is>
          <t>Brasil</t>
        </is>
      </c>
      <c r="M1001" s="7" t="inlineStr">
        <is>
          <t>0 - Nacional / 1 - Importação Direta</t>
        </is>
      </c>
    </row>
    <row r="1002" ht="22" customHeight="1">
      <c r="A1002" s="12" t="inlineStr">
        <is>
          <t>EMP-0998</t>
        </is>
      </c>
      <c r="B1002" s="11" t="n">
        <v>854</v>
      </c>
      <c r="C1002" s="13" t="inlineStr">
        <is>
          <t>SIPEAGRO (UF-XXXXX)</t>
        </is>
      </c>
      <c r="D1002" s="14" t="inlineStr">
        <is>
          <t>SULFATO DE COBRE PENTAHIDRATADO AGRICOLA (25% CU)</t>
        </is>
      </c>
      <c r="E1002" s="13" t="inlineStr">
        <is>
          <t>1. Titular do Registro / Produtor</t>
        </is>
      </c>
      <c r="F1002" s="13" t="inlineStr">
        <is>
          <t>Fertilizante Mineral / Organomineral</t>
        </is>
      </c>
      <c r="G1002" s="13" t="inlineStr">
        <is>
          <t>Estabelecimento Produtor SIPEAGRO/MAPA</t>
        </is>
      </c>
      <c r="H1002" s="13" t="inlineStr">
        <is>
          <t>Matriz / Estabelecimento Principal</t>
        </is>
      </c>
      <c r="I1002" s="13" t="inlineStr">
        <is>
          <t>CNPJ Credenciado MAPA/SIPEAGRO</t>
        </is>
      </c>
      <c r="J1002" s="13" t="inlineStr">
        <is>
          <t>Registro Estadual Vigente</t>
        </is>
      </c>
      <c r="K1002" s="13" t="inlineStr">
        <is>
          <t>Estabelecimento Credenciado no Brasil</t>
        </is>
      </c>
      <c r="L1002" s="13" t="inlineStr">
        <is>
          <t>Brasil</t>
        </is>
      </c>
      <c r="M1002" s="13" t="inlineStr">
        <is>
          <t>0 - Nacional / 1 - Importação Direta</t>
        </is>
      </c>
    </row>
    <row r="1003" ht="22" customHeight="1">
      <c r="A1003" s="6" t="inlineStr">
        <is>
          <t>EMP-0999</t>
        </is>
      </c>
      <c r="B1003" s="5" t="n">
        <v>855</v>
      </c>
      <c r="C1003" s="7" t="inlineStr">
        <is>
          <t>SIPEAGRO (UF-XXXXX)</t>
        </is>
      </c>
      <c r="D1003" s="8" t="inlineStr">
        <is>
          <t>BIOMAPHOS INOCULANTE SOLUBILIZADOR DE FOSFORO</t>
        </is>
      </c>
      <c r="E1003" s="7" t="inlineStr">
        <is>
          <t>1. Titular do Registro / Produtor</t>
        </is>
      </c>
      <c r="F1003" s="7" t="inlineStr">
        <is>
          <t>Inoculante / Biológico</t>
        </is>
      </c>
      <c r="G1003" s="7" t="inlineStr">
        <is>
          <t>Bioma / Simbiose / Embrapa (SIPEAGRO)</t>
        </is>
      </c>
      <c r="H1003" s="7" t="inlineStr">
        <is>
          <t>Matriz / Estabelecimento Principal</t>
        </is>
      </c>
      <c r="I1003" s="7" t="inlineStr">
        <is>
          <t>CNPJ Credenciado MAPA/SIPEAGRO</t>
        </is>
      </c>
      <c r="J1003" s="7" t="inlineStr">
        <is>
          <t>Registro Estadual Vigente</t>
        </is>
      </c>
      <c r="K1003" s="7" t="inlineStr">
        <is>
          <t>Estabelecimento Credenciado no Brasil</t>
        </is>
      </c>
      <c r="L1003" s="7" t="inlineStr">
        <is>
          <t>Brasil</t>
        </is>
      </c>
      <c r="M1003" s="7" t="inlineStr">
        <is>
          <t>0 - Nacional / 1 - Importação Direta</t>
        </is>
      </c>
    </row>
    <row r="1004" ht="22" customHeight="1">
      <c r="A1004" s="12" t="inlineStr">
        <is>
          <t>EMP-1000</t>
        </is>
      </c>
      <c r="B1004" s="11" t="n">
        <v>856</v>
      </c>
      <c r="C1004" s="13" t="inlineStr">
        <is>
          <t>Nº 16124</t>
        </is>
      </c>
      <c r="D1004" s="14" t="inlineStr">
        <is>
          <t>ALTO</t>
        </is>
      </c>
      <c r="E1004" s="13" t="inlineStr">
        <is>
          <t>1. Titular do Registro</t>
        </is>
      </c>
      <c r="F1004" s="13" t="inlineStr">
        <is>
          <t>Produto Formulado Comercial</t>
        </is>
      </c>
      <c r="G1004" s="13" t="inlineStr">
        <is>
          <t>Syngenta Proteção de Cultivos Ltda.- São Paulo/SP</t>
        </is>
      </c>
      <c r="H1004" s="13" t="inlineStr">
        <is>
          <t>Estabelecimento Credenciado</t>
        </is>
      </c>
      <c r="I1004" s="13" t="inlineStr">
        <is>
          <t>CNPJ Credenciado MAPA</t>
        </is>
      </c>
      <c r="J1004" s="13" t="inlineStr">
        <is>
          <t>Registro Estadual Vigente</t>
        </is>
      </c>
      <c r="K1004" s="13" t="inlineStr">
        <is>
          <t>Unidade Operacional Brasil</t>
        </is>
      </c>
      <c r="L1004" s="13" t="inlineStr">
        <is>
          <t>Brasil</t>
        </is>
      </c>
      <c r="M1004" s="13" t="inlineStr">
        <is>
          <t>0/1/2 - Conforme Origem do Lote</t>
        </is>
      </c>
    </row>
    <row r="1005" ht="22" customHeight="1">
      <c r="A1005" s="6" t="inlineStr">
        <is>
          <t>EMP-1001</t>
        </is>
      </c>
      <c r="B1005" s="5" t="n">
        <v>857</v>
      </c>
      <c r="C1005" s="7" t="inlineStr">
        <is>
          <t>VINC-16124</t>
        </is>
      </c>
      <c r="D1005" s="8" t="inlineStr">
        <is>
          <t>Ciproconazol Técnico Syn</t>
        </is>
      </c>
      <c r="E1005" s="7" t="inlineStr">
        <is>
          <t>1. Titular do Registro / Produtor</t>
        </is>
      </c>
      <c r="F1005" s="7" t="inlineStr">
        <is>
          <t>Produto Técnico Industrial</t>
        </is>
      </c>
      <c r="G1005" s="7" t="inlineStr">
        <is>
          <t>Bayer CropScience Schweiz AG - Endereço: Rothausstrasse 61, CH-4132, Muttenz - Suíça (Vinc. Reg. 16124)</t>
        </is>
      </c>
      <c r="H1005" s="7" t="inlineStr">
        <is>
          <t>Matriz / Estabelecimento Principal</t>
        </is>
      </c>
      <c r="I1005" s="7" t="inlineStr">
        <is>
          <t>CNPJ Credenciado MAPA/SIPEAGRO</t>
        </is>
      </c>
      <c r="J1005" s="7" t="inlineStr">
        <is>
          <t>Registro Estadual Vigente</t>
        </is>
      </c>
      <c r="K1005" s="7" t="inlineStr">
        <is>
          <t>Estabelecimento Credenciado no Brasil</t>
        </is>
      </c>
      <c r="L1005" s="7" t="inlineStr">
        <is>
          <t>Brasil</t>
        </is>
      </c>
      <c r="M1005" s="7" t="inlineStr">
        <is>
          <t>0 - Nacional / 1 - Importação Direta</t>
        </is>
      </c>
    </row>
    <row r="1006" ht="22" customHeight="1">
      <c r="A1006" s="12" t="inlineStr">
        <is>
          <t>EMP-1002</t>
        </is>
      </c>
      <c r="B1006" s="11" t="n">
        <v>858</v>
      </c>
      <c r="C1006" s="13" t="inlineStr">
        <is>
          <t>VINC-16124</t>
        </is>
      </c>
      <c r="D1006" s="14" t="inlineStr">
        <is>
          <t>Cyproconazole Técnico</t>
        </is>
      </c>
      <c r="E1006" s="13" t="inlineStr">
        <is>
          <t>1. Titular do Registro / Produtor</t>
        </is>
      </c>
      <c r="F1006" s="13" t="inlineStr">
        <is>
          <t>Produto Técnico Industrial</t>
        </is>
      </c>
      <c r="G1006" s="13" t="inlineStr">
        <is>
          <t>Bayer CropScience Schweiz AG - Endereço: Rothausstrasse 61, CH-4132, Muttenz - Suíça (Vinc. Reg. 16124)</t>
        </is>
      </c>
      <c r="H1006" s="13" t="inlineStr">
        <is>
          <t>Matriz / Estabelecimento Principal</t>
        </is>
      </c>
      <c r="I1006" s="13" t="inlineStr">
        <is>
          <t>CNPJ Credenciado MAPA/SIPEAGRO</t>
        </is>
      </c>
      <c r="J1006" s="13" t="inlineStr">
        <is>
          <t>Registro Estadual Vigente</t>
        </is>
      </c>
      <c r="K1006" s="13" t="inlineStr">
        <is>
          <t>Estabelecimento Credenciado no Brasil</t>
        </is>
      </c>
      <c r="L1006" s="13" t="inlineStr">
        <is>
          <t>Brasil</t>
        </is>
      </c>
      <c r="M1006" s="13" t="inlineStr">
        <is>
          <t>0 - Nacional / 1 - Importação Direta</t>
        </is>
      </c>
    </row>
    <row r="1007" ht="22" customHeight="1">
      <c r="A1007" s="6" t="inlineStr">
        <is>
          <t>EMP-1003</t>
        </is>
      </c>
      <c r="B1007" s="5" t="n">
        <v>859</v>
      </c>
      <c r="C1007" s="7" t="inlineStr">
        <is>
          <t>Nº 16224</t>
        </is>
      </c>
      <c r="D1007" s="8" t="inlineStr">
        <is>
          <t>PEÃO 200 EC</t>
        </is>
      </c>
      <c r="E1007" s="7" t="inlineStr">
        <is>
          <t>1. Titular do Registro</t>
        </is>
      </c>
      <c r="F1007" s="7" t="inlineStr">
        <is>
          <t>Produto Técnico Industrial</t>
        </is>
      </c>
      <c r="G1007" s="7" t="inlineStr">
        <is>
          <t>Cropchem Ltda.- Porto Alegre/RS</t>
        </is>
      </c>
      <c r="H1007" s="7" t="inlineStr">
        <is>
          <t>Estabelecimento Credenciado</t>
        </is>
      </c>
      <c r="I1007" s="7" t="inlineStr">
        <is>
          <t>CNPJ Credenciado MAPA</t>
        </is>
      </c>
      <c r="J1007" s="7" t="inlineStr">
        <is>
          <t>Registro Estadual Vigente</t>
        </is>
      </c>
      <c r="K1007" s="7" t="inlineStr">
        <is>
          <t>Unidade Operacional Brasil</t>
        </is>
      </c>
      <c r="L1007" s="7" t="inlineStr">
        <is>
          <t>Brasil</t>
        </is>
      </c>
      <c r="M1007" s="7" t="inlineStr">
        <is>
          <t>0/1/2 - Conforme Origem do Lote</t>
        </is>
      </c>
    </row>
    <row r="1008" ht="22" customHeight="1">
      <c r="A1008" s="12" t="inlineStr">
        <is>
          <t>EMP-1004</t>
        </is>
      </c>
      <c r="B1008" s="11" t="n">
        <v>860</v>
      </c>
      <c r="C1008" s="13" t="inlineStr">
        <is>
          <t>VINC-16224</t>
        </is>
      </c>
      <c r="D1008" s="14" t="inlineStr">
        <is>
          <t>Fluroxipir Técnico CropChem</t>
        </is>
      </c>
      <c r="E1008" s="13" t="inlineStr">
        <is>
          <t>1. Titular / Fabricante Principal</t>
        </is>
      </c>
      <c r="F1008" s="13" t="inlineStr">
        <is>
          <t>Produto Técnico Industrial</t>
        </is>
      </c>
      <c r="G1008" s="13" t="inlineStr">
        <is>
          <t>Lier Chemical Co., Ltd</t>
        </is>
      </c>
      <c r="H1008" s="13" t="inlineStr">
        <is>
          <t>Planta Principal</t>
        </is>
      </c>
      <c r="I1008" s="13" t="inlineStr">
        <is>
          <t>Conforme Ato DOU/MAPA</t>
        </is>
      </c>
      <c r="J1008" s="13" t="inlineStr">
        <is>
          <t>MAPA Vigente</t>
        </is>
      </c>
      <c r="K1008" s="13" t="inlineStr">
        <is>
          <t>Lier Chemical Co., Ltd- Endereço: Economic and Technical Development Zone, Mianyang, 382415, Sichuan - China</t>
        </is>
      </c>
      <c r="L1008" s="13" t="inlineStr">
        <is>
          <t>China</t>
        </is>
      </c>
      <c r="M1008" s="13" t="inlineStr">
        <is>
          <t>1 - Importado</t>
        </is>
      </c>
    </row>
    <row r="1009" ht="22" customHeight="1">
      <c r="A1009" s="6" t="inlineStr">
        <is>
          <t>EMP-1005</t>
        </is>
      </c>
      <c r="B1009" s="5" t="n">
        <v>860</v>
      </c>
      <c r="C1009" s="7" t="inlineStr">
        <is>
          <t>VINC-16224</t>
        </is>
      </c>
      <c r="D1009" s="8" t="inlineStr">
        <is>
          <t>Fluroxipir Técnico CropChem</t>
        </is>
      </c>
      <c r="E1009" s="7" t="inlineStr">
        <is>
          <t>2. Fabricante do Produto Técnico Vinculado</t>
        </is>
      </c>
      <c r="F1009" s="7" t="inlineStr">
        <is>
          <t>Fluroxipir Meptílico Técnico Nortox</t>
        </is>
      </c>
      <c r="G1009" s="7" t="inlineStr">
        <is>
          <t>Sumitomo Chemical India Limited</t>
        </is>
      </c>
      <c r="H1009" s="7" t="inlineStr">
        <is>
          <t>Unidade Fabril Síntese</t>
        </is>
      </c>
      <c r="I1009" s="7" t="inlineStr">
        <is>
          <t>Registro DOU/MAPA</t>
        </is>
      </c>
      <c r="J1009" s="7" t="inlineStr">
        <is>
          <t>Isento Exterior / MAPA</t>
        </is>
      </c>
      <c r="K1009" s="7" t="inlineStr">
        <is>
          <t>Nome: Sumitomo Chemical India Limited - Endereço: 6/2, Ruvapari Road - Bhavnagar / Gujarat - Índia (Vinc. Reg. 16224)</t>
        </is>
      </c>
      <c r="L1009" s="7" t="inlineStr">
        <is>
          <t>Índia</t>
        </is>
      </c>
      <c r="M1009" s="7" t="inlineStr">
        <is>
          <t>1/2 - Insumo Importado</t>
        </is>
      </c>
    </row>
    <row r="1010" ht="22" customHeight="1">
      <c r="A1010" s="12" t="inlineStr">
        <is>
          <t>EMP-1006</t>
        </is>
      </c>
      <c r="B1010" s="11" t="n">
        <v>861</v>
      </c>
      <c r="C1010" s="13" t="inlineStr">
        <is>
          <t>Nº 16324</t>
        </is>
      </c>
      <c r="D1010" s="14" t="inlineStr">
        <is>
          <t>METRIBUZIM</t>
        </is>
      </c>
      <c r="E1010" s="13" t="inlineStr">
        <is>
          <t>1. Titular do Registro</t>
        </is>
      </c>
      <c r="F1010" s="13" t="inlineStr">
        <is>
          <t>Produto Formulado Comercial</t>
        </is>
      </c>
      <c r="G1010" s="13" t="inlineStr">
        <is>
          <t>Prophyto Comércio e Serviços Ltda.- São Paulo/SP</t>
        </is>
      </c>
      <c r="H1010" s="13" t="inlineStr">
        <is>
          <t>Estabelecimento Credenciado</t>
        </is>
      </c>
      <c r="I1010" s="13" t="inlineStr">
        <is>
          <t>CNPJ Credenciado MAPA</t>
        </is>
      </c>
      <c r="J1010" s="13" t="inlineStr">
        <is>
          <t>Registro Estadual Vigente</t>
        </is>
      </c>
      <c r="K1010" s="13" t="inlineStr">
        <is>
          <t>Unidade Operacional Brasil</t>
        </is>
      </c>
      <c r="L1010" s="13" t="inlineStr">
        <is>
          <t>Brasil</t>
        </is>
      </c>
      <c r="M1010" s="13" t="inlineStr">
        <is>
          <t>0/1/2 - Conforme Origem do Lote</t>
        </is>
      </c>
    </row>
    <row r="1011" ht="22" customHeight="1">
      <c r="A1011" s="6" t="inlineStr">
        <is>
          <t>EMP-1007</t>
        </is>
      </c>
      <c r="B1011" s="5" t="n">
        <v>862</v>
      </c>
      <c r="C1011" s="7" t="inlineStr">
        <is>
          <t>VINC-16324</t>
        </is>
      </c>
      <c r="D1011" s="8" t="inlineStr">
        <is>
          <t>Metribuzin Técnico Rallis</t>
        </is>
      </c>
      <c r="E1011" s="7" t="inlineStr">
        <is>
          <t>1. Titular do Registro / Produtor</t>
        </is>
      </c>
      <c r="F1011" s="7" t="inlineStr">
        <is>
          <t>Produto Técnico Industrial</t>
        </is>
      </c>
      <c r="G1011" s="7" t="inlineStr">
        <is>
          <t>Rallis India Limited - Endereço: Plot No. Zl 10, Dahej, SEZ Part II, P.O. Lakhigam, Taluk Vagra, District. Bharuch - 392 130 Gujarat - Índia (Vinc. Reg. 16324)</t>
        </is>
      </c>
      <c r="H1011" s="7" t="inlineStr">
        <is>
          <t>Matriz / Estabelecimento Principal</t>
        </is>
      </c>
      <c r="I1011" s="7" t="inlineStr">
        <is>
          <t>CNPJ Credenciado MAPA/SIPEAGRO</t>
        </is>
      </c>
      <c r="J1011" s="7" t="inlineStr">
        <is>
          <t>Registro Estadual Vigente</t>
        </is>
      </c>
      <c r="K1011" s="7" t="inlineStr">
        <is>
          <t>Estabelecimento Credenciado no Brasil</t>
        </is>
      </c>
      <c r="L1011" s="7" t="inlineStr">
        <is>
          <t>Brasil</t>
        </is>
      </c>
      <c r="M1011" s="7" t="inlineStr">
        <is>
          <t>0 - Nacional / 1 - Importação Direta</t>
        </is>
      </c>
    </row>
    <row r="1012" ht="22" customHeight="1">
      <c r="A1012" s="12" t="inlineStr">
        <is>
          <t>EMP-1008</t>
        </is>
      </c>
      <c r="B1012" s="11" t="n">
        <v>863</v>
      </c>
      <c r="C1012" s="13" t="inlineStr">
        <is>
          <t>Nº 16424</t>
        </is>
      </c>
      <c r="D1012" s="14" t="inlineStr">
        <is>
          <t>SOLEADO 50 WG</t>
        </is>
      </c>
      <c r="E1012" s="13" t="inlineStr">
        <is>
          <t>1. Titular do Registro</t>
        </is>
      </c>
      <c r="F1012" s="13" t="inlineStr">
        <is>
          <t>Produto Técnico Industrial</t>
        </is>
      </c>
      <c r="G1012" s="13" t="inlineStr">
        <is>
          <t>Oxon Brasil Defensivos Agrícolas Ltda.- São Paulo/SP</t>
        </is>
      </c>
      <c r="H1012" s="13" t="inlineStr">
        <is>
          <t>Estabelecimento Credenciado</t>
        </is>
      </c>
      <c r="I1012" s="13" t="inlineStr">
        <is>
          <t>CNPJ Credenciado MAPA</t>
        </is>
      </c>
      <c r="J1012" s="13" t="inlineStr">
        <is>
          <t>Registro Estadual Vigente</t>
        </is>
      </c>
      <c r="K1012" s="13" t="inlineStr">
        <is>
          <t>Unidade Operacional Brasil</t>
        </is>
      </c>
      <c r="L1012" s="13" t="inlineStr">
        <is>
          <t>Brasil</t>
        </is>
      </c>
      <c r="M1012" s="13" t="inlineStr">
        <is>
          <t>0/1/2 - Conforme Origem do Lote</t>
        </is>
      </c>
    </row>
    <row r="1013" ht="22" customHeight="1">
      <c r="A1013" s="6" t="inlineStr">
        <is>
          <t>EMP-1009</t>
        </is>
      </c>
      <c r="B1013" s="5" t="n">
        <v>864</v>
      </c>
      <c r="C1013" s="7" t="inlineStr">
        <is>
          <t>VINC-16424</t>
        </is>
      </c>
      <c r="D1013" s="8" t="inlineStr">
        <is>
          <t>Boscalid Técnico Oxon</t>
        </is>
      </c>
      <c r="E1013" s="7" t="inlineStr">
        <is>
          <t>1. Titular do Registro / Produtor</t>
        </is>
      </c>
      <c r="F1013" s="7" t="inlineStr">
        <is>
          <t>Produto Técnico Industrial</t>
        </is>
      </c>
      <c r="G1013" s="7" t="inlineStr">
        <is>
          <t>Taizhou Bailly Chemical Co. Ltd. - Endereço: n° 9, Zhonggang Road, Taixing Economic Developing Zone, 225404, Taixing City, Jiangsu Province - China (Vinc. Reg. 16424)</t>
        </is>
      </c>
      <c r="H1013" s="7" t="inlineStr">
        <is>
          <t>Matriz / Estabelecimento Principal</t>
        </is>
      </c>
      <c r="I1013" s="7" t="inlineStr">
        <is>
          <t>CNPJ Credenciado MAPA/SIPEAGRO</t>
        </is>
      </c>
      <c r="J1013" s="7" t="inlineStr">
        <is>
          <t>Registro Estadual Vigente</t>
        </is>
      </c>
      <c r="K1013" s="7" t="inlineStr">
        <is>
          <t>Estabelecimento Credenciado no Brasil</t>
        </is>
      </c>
      <c r="L1013" s="7" t="inlineStr">
        <is>
          <t>Brasil</t>
        </is>
      </c>
      <c r="M1013" s="7" t="inlineStr">
        <is>
          <t>0 - Nacional / 1 - Importação Direta</t>
        </is>
      </c>
    </row>
    <row r="1014" ht="22" customHeight="1">
      <c r="A1014" s="12" t="inlineStr">
        <is>
          <t>EMP-1010</t>
        </is>
      </c>
      <c r="B1014" s="11" t="n">
        <v>865</v>
      </c>
      <c r="C1014" s="13" t="inlineStr">
        <is>
          <t>Nº 16524</t>
        </is>
      </c>
      <c r="D1014" s="14" t="inlineStr">
        <is>
          <t>ALLURE BR</t>
        </is>
      </c>
      <c r="E1014" s="13" t="inlineStr">
        <is>
          <t>1. Titular do Registro</t>
        </is>
      </c>
      <c r="F1014" s="13" t="inlineStr">
        <is>
          <t>Produto Técnico Industrial</t>
        </is>
      </c>
      <c r="G1014" s="13" t="inlineStr">
        <is>
          <t>Adama Brasil S</t>
        </is>
      </c>
      <c r="H1014" s="13" t="inlineStr">
        <is>
          <t>Estabelecimento Credenciado</t>
        </is>
      </c>
      <c r="I1014" s="13" t="inlineStr">
        <is>
          <t>CNPJ Credenciado MAPA</t>
        </is>
      </c>
      <c r="J1014" s="13" t="inlineStr">
        <is>
          <t>Registro Estadual Vigente</t>
        </is>
      </c>
      <c r="K1014" s="13" t="inlineStr">
        <is>
          <t>Unidade Operacional Brasil</t>
        </is>
      </c>
      <c r="L1014" s="13" t="inlineStr">
        <is>
          <t>Brasil</t>
        </is>
      </c>
      <c r="M1014" s="13" t="inlineStr">
        <is>
          <t>0/1/2 - Conforme Origem do Lote</t>
        </is>
      </c>
    </row>
    <row r="1015" ht="22" customHeight="1">
      <c r="A1015" s="6" t="inlineStr">
        <is>
          <t>EMP-1011</t>
        </is>
      </c>
      <c r="B1015" s="5" t="n">
        <v>865</v>
      </c>
      <c r="C1015" s="7" t="inlineStr">
        <is>
          <t>Nº 16524</t>
        </is>
      </c>
      <c r="D1015" s="8" t="inlineStr">
        <is>
          <t>ALLURE BR</t>
        </is>
      </c>
      <c r="E1015" s="7" t="inlineStr">
        <is>
          <t>3. Formulador / Co-Distribuidor Autorizado</t>
        </is>
      </c>
      <c r="F1015" s="7" t="inlineStr">
        <is>
          <t>Produto Técnico Industrial</t>
        </is>
      </c>
      <c r="G1015" s="7" t="inlineStr">
        <is>
          <t>A- Londina/PR</t>
        </is>
      </c>
      <c r="H1015" s="7" t="inlineStr">
        <is>
          <t>Estabelecimento Credenciado</t>
        </is>
      </c>
      <c r="I1015" s="7" t="inlineStr">
        <is>
          <t>CNPJ Credenciado MAPA</t>
        </is>
      </c>
      <c r="J1015" s="7" t="inlineStr">
        <is>
          <t>Registro Estadual Vigente</t>
        </is>
      </c>
      <c r="K1015" s="7" t="inlineStr">
        <is>
          <t>Unidade Operacional Brasil</t>
        </is>
      </c>
      <c r="L1015" s="7" t="inlineStr">
        <is>
          <t>Brasil</t>
        </is>
      </c>
      <c r="M1015" s="7" t="inlineStr">
        <is>
          <t>0/1/2 - Conforme Origem do Lote</t>
        </is>
      </c>
    </row>
    <row r="1016" ht="22" customHeight="1">
      <c r="A1016" s="12" t="inlineStr">
        <is>
          <t>EMP-1012</t>
        </is>
      </c>
      <c r="B1016" s="11" t="n">
        <v>866</v>
      </c>
      <c r="C1016" s="13" t="inlineStr">
        <is>
          <t>VINC-16524</t>
        </is>
      </c>
      <c r="D1016" s="14" t="inlineStr">
        <is>
          <t>Clomazone Técnico Milenia</t>
        </is>
      </c>
      <c r="E1016" s="13" t="inlineStr">
        <is>
          <t>1. Titular / Fabricante Principal</t>
        </is>
      </c>
      <c r="F1016" s="13" t="inlineStr">
        <is>
          <t>Produto Técnico Industrial</t>
        </is>
      </c>
      <c r="G1016" s="13" t="inlineStr">
        <is>
          <t>Adama Agan Ltd.</t>
        </is>
      </c>
      <c r="H1016" s="13" t="inlineStr">
        <is>
          <t>Planta Principal</t>
        </is>
      </c>
      <c r="I1016" s="13" t="inlineStr">
        <is>
          <t>Conforme Ato DOU/MAPA</t>
        </is>
      </c>
      <c r="J1016" s="13" t="inlineStr">
        <is>
          <t>MAPA Vigente</t>
        </is>
      </c>
      <c r="K1016" s="13" t="inlineStr">
        <is>
          <t>Adama Agan Ltd. - Endereço: Haashlag Street 3, Northern Industrial Zone, P.O. Box 262, 77102, Ashdod, Israel</t>
        </is>
      </c>
      <c r="L1016" s="13" t="inlineStr">
        <is>
          <t>Exterior</t>
        </is>
      </c>
      <c r="M1016" s="13" t="inlineStr">
        <is>
          <t>1 - Importado</t>
        </is>
      </c>
    </row>
    <row r="1017" ht="22" customHeight="1">
      <c r="A1017" s="6" t="inlineStr">
        <is>
          <t>EMP-1013</t>
        </is>
      </c>
      <c r="B1017" s="5" t="n">
        <v>866</v>
      </c>
      <c r="C1017" s="7" t="inlineStr">
        <is>
          <t>VINC-16524</t>
        </is>
      </c>
      <c r="D1017" s="8" t="inlineStr">
        <is>
          <t>Clomazone Técnico Milenia</t>
        </is>
      </c>
      <c r="E1017" s="7" t="inlineStr">
        <is>
          <t>2. Fabricante do Produto Técnico Vinculado</t>
        </is>
      </c>
      <c r="F1017" s="7" t="inlineStr">
        <is>
          <t>Clomazone Técnico Adama</t>
        </is>
      </c>
      <c r="G1017" s="7" t="inlineStr">
        <is>
          <t>Jiangsu Changqing Agrochemical Co., Ltd.</t>
        </is>
      </c>
      <c r="H1017" s="7" t="inlineStr">
        <is>
          <t>Unidade Fabril Síntese</t>
        </is>
      </c>
      <c r="I1017" s="7" t="inlineStr">
        <is>
          <t>Registro DOU/MAPA</t>
        </is>
      </c>
      <c r="J1017" s="7" t="inlineStr">
        <is>
          <t>Isento Exterior / MAPA</t>
        </is>
      </c>
      <c r="K1017" s="7" t="inlineStr">
        <is>
          <t>Nome: Jiangsu Changqing Agrochemical Co., Ltd. - Endereço: Nº 8 Sanjiang Road, Jiangdu Economy Development Zone, Yangzhou City, Jiangsu, China.</t>
        </is>
      </c>
      <c r="L1017" s="7" t="inlineStr">
        <is>
          <t>China</t>
        </is>
      </c>
      <c r="M1017" s="7" t="inlineStr">
        <is>
          <t>1/2 - Insumo Importado</t>
        </is>
      </c>
    </row>
    <row r="1018" ht="22" customHeight="1">
      <c r="A1018" s="12" t="inlineStr">
        <is>
          <t>EMP-1014</t>
        </is>
      </c>
      <c r="B1018" s="11" t="n">
        <v>866</v>
      </c>
      <c r="C1018" s="13" t="inlineStr">
        <is>
          <t>VINC-16524</t>
        </is>
      </c>
      <c r="D1018" s="14" t="inlineStr">
        <is>
          <t>Clomazone Técnico Milenia</t>
        </is>
      </c>
      <c r="E1018" s="13" t="inlineStr">
        <is>
          <t>2. Fabricante do Produto Técnico Vinculado</t>
        </is>
      </c>
      <c r="F1018" s="13" t="inlineStr">
        <is>
          <t>Clomazona Técnico Oxon</t>
        </is>
      </c>
      <c r="G1018" s="13" t="inlineStr">
        <is>
          <t>Sipcam Oxon S.P.A.</t>
        </is>
      </c>
      <c r="H1018" s="13" t="inlineStr">
        <is>
          <t>Unidade Fabril Síntese</t>
        </is>
      </c>
      <c r="I1018" s="13" t="inlineStr">
        <is>
          <t>Registro DOU/MAPA</t>
        </is>
      </c>
      <c r="J1018" s="13" t="inlineStr">
        <is>
          <t>Isento Exterior / MAPA</t>
        </is>
      </c>
      <c r="K1018" s="13" t="inlineStr">
        <is>
          <t>Nome: Sipcam Oxon S.P.A. - Endereço: Strada Provinciale per Torre Beretti, Km 2,6 -Mezzana Bigli (PV) - Provincia di Pavia - 27030 - Itália.</t>
        </is>
      </c>
      <c r="L1018" s="13" t="inlineStr">
        <is>
          <t>Exterior</t>
        </is>
      </c>
      <c r="M1018" s="13" t="inlineStr">
        <is>
          <t>1/2 - Insumo Importado</t>
        </is>
      </c>
    </row>
    <row r="1019" ht="22" customHeight="1">
      <c r="A1019" s="6" t="inlineStr">
        <is>
          <t>EMP-1015</t>
        </is>
      </c>
      <c r="B1019" s="5" t="n">
        <v>866</v>
      </c>
      <c r="C1019" s="7" t="inlineStr">
        <is>
          <t>VINC-16524</t>
        </is>
      </c>
      <c r="D1019" s="8" t="inlineStr">
        <is>
          <t>Clomazone Técnico Milenia</t>
        </is>
      </c>
      <c r="E1019" s="7" t="inlineStr">
        <is>
          <t>2. Fabricante do Produto Técnico Vinculado</t>
        </is>
      </c>
      <c r="F1019" s="7" t="inlineStr">
        <is>
          <t>Clomazone Técnico Oxon</t>
        </is>
      </c>
      <c r="G1019" s="7" t="inlineStr">
        <is>
          <t>Shandong Cynda Chemical Co. Ltd.</t>
        </is>
      </c>
      <c r="H1019" s="7" t="inlineStr">
        <is>
          <t>Unidade Fabril Síntese</t>
        </is>
      </c>
      <c r="I1019" s="7" t="inlineStr">
        <is>
          <t>Registro DOU/MAPA</t>
        </is>
      </c>
      <c r="J1019" s="7" t="inlineStr">
        <is>
          <t>Isento Exterior / MAPA</t>
        </is>
      </c>
      <c r="K1019" s="7" t="inlineStr">
        <is>
          <t>Nome: Shandong Cynda Chemical Co. Ltd. - Endereço: Economic Development Area - Boxing - China (Vinc. Reg. 16524)</t>
        </is>
      </c>
      <c r="L1019" s="7" t="inlineStr">
        <is>
          <t>China</t>
        </is>
      </c>
      <c r="M1019" s="7" t="inlineStr">
        <is>
          <t>1/2 - Insumo Importado</t>
        </is>
      </c>
    </row>
    <row r="1020" ht="22" customHeight="1">
      <c r="A1020" s="12" t="inlineStr">
        <is>
          <t>EMP-1016</t>
        </is>
      </c>
      <c r="B1020" s="11" t="n">
        <v>867</v>
      </c>
      <c r="C1020" s="13" t="inlineStr">
        <is>
          <t>VINC-16524</t>
        </is>
      </c>
      <c r="D1020" s="14" t="inlineStr">
        <is>
          <t>Diuron Técnico 970 BR</t>
        </is>
      </c>
      <c r="E1020" s="13" t="inlineStr">
        <is>
          <t>1. Titular do Registro</t>
        </is>
      </c>
      <c r="F1020" s="13" t="inlineStr">
        <is>
          <t>Produto Técnico Industrial</t>
        </is>
      </c>
      <c r="G1020" s="13" t="inlineStr">
        <is>
          <t>Adama Brasil S</t>
        </is>
      </c>
      <c r="H1020" s="13" t="inlineStr">
        <is>
          <t>Estabelecimento Credenciado</t>
        </is>
      </c>
      <c r="I1020" s="13" t="inlineStr">
        <is>
          <t>CNPJ Credenciado MAPA</t>
        </is>
      </c>
      <c r="J1020" s="13" t="inlineStr">
        <is>
          <t>Registro Estadual Vigente</t>
        </is>
      </c>
      <c r="K1020" s="13" t="inlineStr">
        <is>
          <t>Unidade Operacional Brasil</t>
        </is>
      </c>
      <c r="L1020" s="13" t="inlineStr">
        <is>
          <t>Brasil</t>
        </is>
      </c>
      <c r="M1020" s="13" t="inlineStr">
        <is>
          <t>0/1/2 - Conforme Origem do Lote</t>
        </is>
      </c>
    </row>
    <row r="1021" ht="22" customHeight="1">
      <c r="A1021" s="6" t="inlineStr">
        <is>
          <t>EMP-1017</t>
        </is>
      </c>
      <c r="B1021" s="5" t="n">
        <v>867</v>
      </c>
      <c r="C1021" s="7" t="inlineStr">
        <is>
          <t>VINC-16524</t>
        </is>
      </c>
      <c r="D1021" s="8" t="inlineStr">
        <is>
          <t>Diuron Técnico 970 BR</t>
        </is>
      </c>
      <c r="E1021" s="7" t="inlineStr">
        <is>
          <t>3. Formulador / Co-Distribuidor Autorizado</t>
        </is>
      </c>
      <c r="F1021" s="7" t="inlineStr">
        <is>
          <t>Produto Técnico Industrial</t>
        </is>
      </c>
      <c r="G1021" s="7" t="inlineStr">
        <is>
          <t>A - CNPJ: 02.290.510</t>
        </is>
      </c>
      <c r="H1021" s="7" t="inlineStr">
        <is>
          <t>Estabelecimento Credenciado</t>
        </is>
      </c>
      <c r="I1021" s="7" t="inlineStr">
        <is>
          <t>CNPJ Credenciado MAPA</t>
        </is>
      </c>
      <c r="J1021" s="7" t="inlineStr">
        <is>
          <t>Registro Estadual Vigente</t>
        </is>
      </c>
      <c r="K1021" s="7" t="inlineStr">
        <is>
          <t>Unidade Operacional Brasil</t>
        </is>
      </c>
      <c r="L1021" s="7" t="inlineStr">
        <is>
          <t>Brasil</t>
        </is>
      </c>
      <c r="M1021" s="7" t="inlineStr">
        <is>
          <t>0/1/2 - Conforme Origem do Lote</t>
        </is>
      </c>
    </row>
    <row r="1022" ht="22" customHeight="1">
      <c r="A1022" s="12" t="inlineStr">
        <is>
          <t>EMP-1018</t>
        </is>
      </c>
      <c r="B1022" s="11" t="n">
        <v>867</v>
      </c>
      <c r="C1022" s="13" t="inlineStr">
        <is>
          <t>VINC-16524</t>
        </is>
      </c>
      <c r="D1022" s="14" t="inlineStr">
        <is>
          <t>Diuron Técnico 970 BR</t>
        </is>
      </c>
      <c r="E1022" s="13" t="inlineStr">
        <is>
          <t>3. Formulador / Co-Distribuidor Autorizado</t>
        </is>
      </c>
      <c r="F1022" s="13" t="inlineStr">
        <is>
          <t>Produto Técnico Industrial</t>
        </is>
      </c>
      <c r="G1022" s="13" t="inlineStr">
        <is>
          <t>0001-76 - Endereço: Rua Pedro Antônio de Souza, 400, Parque Rui Barbosa, Londrina</t>
        </is>
      </c>
      <c r="H1022" s="13" t="inlineStr">
        <is>
          <t>Estabelecimento Credenciado</t>
        </is>
      </c>
      <c r="I1022" s="13" t="inlineStr">
        <is>
          <t>CNPJ Credenciado MAPA</t>
        </is>
      </c>
      <c r="J1022" s="13" t="inlineStr">
        <is>
          <t>Registro Estadual Vigente</t>
        </is>
      </c>
      <c r="K1022" s="13" t="inlineStr">
        <is>
          <t>Unidade Operacional Brasil</t>
        </is>
      </c>
      <c r="L1022" s="13" t="inlineStr">
        <is>
          <t>Brasil</t>
        </is>
      </c>
      <c r="M1022" s="13" t="inlineStr">
        <is>
          <t>0/1/2 - Conforme Origem do Lote</t>
        </is>
      </c>
    </row>
    <row r="1023" ht="22" customHeight="1">
      <c r="A1023" s="6" t="inlineStr">
        <is>
          <t>EMP-1019</t>
        </is>
      </c>
      <c r="B1023" s="5" t="n">
        <v>867</v>
      </c>
      <c r="C1023" s="7" t="inlineStr">
        <is>
          <t>VINC-16524</t>
        </is>
      </c>
      <c r="D1023" s="8" t="inlineStr">
        <is>
          <t>Diuron Técnico 970 BR</t>
        </is>
      </c>
      <c r="E1023" s="7" t="inlineStr">
        <is>
          <t>3. Formulador / Co-Distribuidor Autorizado</t>
        </is>
      </c>
      <c r="F1023" s="7" t="inlineStr">
        <is>
          <t>Produto Técnico Industrial</t>
        </is>
      </c>
      <c r="G1023" s="7" t="inlineStr">
        <is>
          <t>PR - CEP: 86031-610 (Vinc. Reg. 16524)</t>
        </is>
      </c>
      <c r="H1023" s="7" t="inlineStr">
        <is>
          <t>Estabelecimento Credenciado</t>
        </is>
      </c>
      <c r="I1023" s="7" t="inlineStr">
        <is>
          <t>CNPJ Credenciado MAPA</t>
        </is>
      </c>
      <c r="J1023" s="7" t="inlineStr">
        <is>
          <t>Registro Estadual Vigente</t>
        </is>
      </c>
      <c r="K1023" s="7" t="inlineStr">
        <is>
          <t>Unidade Operacional Brasil</t>
        </is>
      </c>
      <c r="L1023" s="7" t="inlineStr">
        <is>
          <t>Brasil</t>
        </is>
      </c>
      <c r="M1023" s="7" t="inlineStr">
        <is>
          <t>0/1/2 - Conforme Origem do Lote</t>
        </is>
      </c>
    </row>
    <row r="1024" ht="22" customHeight="1">
      <c r="A1024" s="12" t="inlineStr">
        <is>
          <t>EMP-1020</t>
        </is>
      </c>
      <c r="B1024" s="11" t="n">
        <v>868</v>
      </c>
      <c r="C1024" s="13" t="inlineStr">
        <is>
          <t>VINC-16524</t>
        </is>
      </c>
      <c r="D1024" s="14" t="inlineStr">
        <is>
          <t>Hexazinona Técnico Milenia</t>
        </is>
      </c>
      <c r="E1024" s="13" t="inlineStr">
        <is>
          <t>1. Titular do Registro</t>
        </is>
      </c>
      <c r="F1024" s="13" t="inlineStr">
        <is>
          <t>Produto Técnico Industrial</t>
        </is>
      </c>
      <c r="G1024" s="13" t="inlineStr">
        <is>
          <t>Adama Brasil S</t>
        </is>
      </c>
      <c r="H1024" s="13" t="inlineStr">
        <is>
          <t>Estabelecimento Credenciado</t>
        </is>
      </c>
      <c r="I1024" s="13" t="inlineStr">
        <is>
          <t>CNPJ Credenciado MAPA</t>
        </is>
      </c>
      <c r="J1024" s="13" t="inlineStr">
        <is>
          <t>Registro Estadual Vigente</t>
        </is>
      </c>
      <c r="K1024" s="13" t="inlineStr">
        <is>
          <t>Unidade Operacional Brasil</t>
        </is>
      </c>
      <c r="L1024" s="13" t="inlineStr">
        <is>
          <t>Brasil</t>
        </is>
      </c>
      <c r="M1024" s="13" t="inlineStr">
        <is>
          <t>0/1/2 - Conforme Origem do Lote</t>
        </is>
      </c>
    </row>
    <row r="1025" ht="22" customHeight="1">
      <c r="A1025" s="6" t="inlineStr">
        <is>
          <t>EMP-1021</t>
        </is>
      </c>
      <c r="B1025" s="5" t="n">
        <v>868</v>
      </c>
      <c r="C1025" s="7" t="inlineStr">
        <is>
          <t>VINC-16524</t>
        </is>
      </c>
      <c r="D1025" s="8" t="inlineStr">
        <is>
          <t>Hexazinona Técnico Milenia</t>
        </is>
      </c>
      <c r="E1025" s="7" t="inlineStr">
        <is>
          <t>3. Formulador / Co-Distribuidor Autorizado</t>
        </is>
      </c>
      <c r="F1025" s="7" t="inlineStr">
        <is>
          <t>Produto Técnico Industrial</t>
        </is>
      </c>
      <c r="G1025" s="7" t="inlineStr">
        <is>
          <t>A - CNPJ: 02.290.510</t>
        </is>
      </c>
      <c r="H1025" s="7" t="inlineStr">
        <is>
          <t>Estabelecimento Credenciado</t>
        </is>
      </c>
      <c r="I1025" s="7" t="inlineStr">
        <is>
          <t>CNPJ Credenciado MAPA</t>
        </is>
      </c>
      <c r="J1025" s="7" t="inlineStr">
        <is>
          <t>Registro Estadual Vigente</t>
        </is>
      </c>
      <c r="K1025" s="7" t="inlineStr">
        <is>
          <t>Unidade Operacional Brasil</t>
        </is>
      </c>
      <c r="L1025" s="7" t="inlineStr">
        <is>
          <t>Brasil</t>
        </is>
      </c>
      <c r="M1025" s="7" t="inlineStr">
        <is>
          <t>0/1/2 - Conforme Origem do Lote</t>
        </is>
      </c>
    </row>
    <row r="1026" ht="22" customHeight="1">
      <c r="A1026" s="12" t="inlineStr">
        <is>
          <t>EMP-1022</t>
        </is>
      </c>
      <c r="B1026" s="11" t="n">
        <v>868</v>
      </c>
      <c r="C1026" s="13" t="inlineStr">
        <is>
          <t>VINC-16524</t>
        </is>
      </c>
      <c r="D1026" s="14" t="inlineStr">
        <is>
          <t>Hexazinona Técnico Milenia</t>
        </is>
      </c>
      <c r="E1026" s="13" t="inlineStr">
        <is>
          <t>3. Formulador / Co-Distribuidor Autorizado</t>
        </is>
      </c>
      <c r="F1026" s="13" t="inlineStr">
        <is>
          <t>Produto Técnico Industrial</t>
        </is>
      </c>
      <c r="G1026" s="13" t="inlineStr">
        <is>
          <t>0004-19 - Endereço: Avenida Júlio de Castilhos, 2085, Coqueiros, Taquari</t>
        </is>
      </c>
      <c r="H1026" s="13" t="inlineStr">
        <is>
          <t>Estabelecimento Credenciado</t>
        </is>
      </c>
      <c r="I1026" s="13" t="inlineStr">
        <is>
          <t>CNPJ Credenciado MAPA</t>
        </is>
      </c>
      <c r="J1026" s="13" t="inlineStr">
        <is>
          <t>Registro Estadual Vigente</t>
        </is>
      </c>
      <c r="K1026" s="13" t="inlineStr">
        <is>
          <t>Unidade Operacional Brasil</t>
        </is>
      </c>
      <c r="L1026" s="13" t="inlineStr">
        <is>
          <t>Brasil</t>
        </is>
      </c>
      <c r="M1026" s="13" t="inlineStr">
        <is>
          <t>0/1/2 - Conforme Origem do Lote</t>
        </is>
      </c>
    </row>
    <row r="1027" ht="22" customHeight="1">
      <c r="A1027" s="6" t="inlineStr">
        <is>
          <t>EMP-1023</t>
        </is>
      </c>
      <c r="B1027" s="5" t="n">
        <v>868</v>
      </c>
      <c r="C1027" s="7" t="inlineStr">
        <is>
          <t>VINC-16524</t>
        </is>
      </c>
      <c r="D1027" s="8" t="inlineStr">
        <is>
          <t>Hexazinona Técnico Milenia</t>
        </is>
      </c>
      <c r="E1027" s="7" t="inlineStr">
        <is>
          <t>3. Formulador / Co-Distribuidor Autorizado</t>
        </is>
      </c>
      <c r="F1027" s="7" t="inlineStr">
        <is>
          <t>Produto Técnico Industrial</t>
        </is>
      </c>
      <c r="G1027" s="7" t="inlineStr">
        <is>
          <t>RS - CEP: 95860-000 (Vinc. Reg. 16524)</t>
        </is>
      </c>
      <c r="H1027" s="7" t="inlineStr">
        <is>
          <t>Estabelecimento Credenciado</t>
        </is>
      </c>
      <c r="I1027" s="7" t="inlineStr">
        <is>
          <t>CNPJ Credenciado MAPA</t>
        </is>
      </c>
      <c r="J1027" s="7" t="inlineStr">
        <is>
          <t>Registro Estadual Vigente</t>
        </is>
      </c>
      <c r="K1027" s="7" t="inlineStr">
        <is>
          <t>Unidade Operacional Brasil</t>
        </is>
      </c>
      <c r="L1027" s="7" t="inlineStr">
        <is>
          <t>Brasil</t>
        </is>
      </c>
      <c r="M1027" s="7" t="inlineStr">
        <is>
          <t>0/1/2 - Conforme Origem do Lote</t>
        </is>
      </c>
    </row>
    <row r="1028" ht="22" customHeight="1">
      <c r="A1028" s="12" t="inlineStr">
        <is>
          <t>EMP-1024</t>
        </is>
      </c>
      <c r="B1028" s="11" t="n">
        <v>869</v>
      </c>
      <c r="C1028" s="13" t="inlineStr">
        <is>
          <t>VINC-16524</t>
        </is>
      </c>
      <c r="D1028" s="14" t="inlineStr">
        <is>
          <t>Hexazinona Técnico Milenia BR</t>
        </is>
      </c>
      <c r="E1028" s="13" t="inlineStr">
        <is>
          <t>1. Titular / Fabricante Principal</t>
        </is>
      </c>
      <c r="F1028" s="13" t="inlineStr">
        <is>
          <t>Produto Técnico Industrial</t>
        </is>
      </c>
      <c r="G1028" s="13" t="inlineStr">
        <is>
          <t>Shangyu Nutrichem Co., Ltd.</t>
        </is>
      </c>
      <c r="H1028" s="13" t="inlineStr">
        <is>
          <t>Planta Principal</t>
        </is>
      </c>
      <c r="I1028" s="13" t="inlineStr">
        <is>
          <t>Conforme Ato DOU/MAPA</t>
        </is>
      </c>
      <c r="J1028" s="13" t="inlineStr">
        <is>
          <t>MAPA Vigente</t>
        </is>
      </c>
      <c r="K1028" s="13" t="inlineStr">
        <is>
          <t>Shangyu Nutrichem Co., Ltd. - Endereço: Nº 9, Weijiu Rd., Hangzhou Bay Shangyu Economic and Technological Development Area, Zhejiang, 312369, China</t>
        </is>
      </c>
      <c r="L1028" s="13" t="inlineStr">
        <is>
          <t>China</t>
        </is>
      </c>
      <c r="M1028" s="13" t="inlineStr">
        <is>
          <t>1 - Importado</t>
        </is>
      </c>
    </row>
    <row r="1029" ht="22" customHeight="1">
      <c r="A1029" s="6" t="inlineStr">
        <is>
          <t>EMP-1025</t>
        </is>
      </c>
      <c r="B1029" s="5" t="n">
        <v>869</v>
      </c>
      <c r="C1029" s="7" t="inlineStr">
        <is>
          <t>VINC-16524</t>
        </is>
      </c>
      <c r="D1029" s="8" t="inlineStr">
        <is>
          <t>Hexazinona Técnico Milenia BR</t>
        </is>
      </c>
      <c r="E1029" s="7" t="inlineStr">
        <is>
          <t>2. Fabricante do Produto Técnico Vinculado</t>
        </is>
      </c>
      <c r="F1029" s="7" t="inlineStr">
        <is>
          <t>Hexazinona Técnico Adama</t>
        </is>
      </c>
      <c r="G1029" s="7" t="inlineStr">
        <is>
          <t>Jiangsu Lanfeng Biochemical Co., Ltd. - Planta 1</t>
        </is>
      </c>
      <c r="H1029" s="7" t="inlineStr">
        <is>
          <t>Unidade Fabril Síntese</t>
        </is>
      </c>
      <c r="I1029" s="7" t="inlineStr">
        <is>
          <t>Registro DOU/MAPA</t>
        </is>
      </c>
      <c r="J1029" s="7" t="inlineStr">
        <is>
          <t>Isento Exterior / MAPA</t>
        </is>
      </c>
      <c r="K1029" s="7" t="inlineStr">
        <is>
          <t>Nome: Jiangsu Lanfeng Biochemical Co., Ltd. - Planta 1 - Endereço: Nº 120 Xin´an Road, 221400, Xinyi City- Jiangsu Province, China (Vinc. Reg. 16524)</t>
        </is>
      </c>
      <c r="L1029" s="7" t="inlineStr">
        <is>
          <t>China</t>
        </is>
      </c>
      <c r="M1029" s="7" t="inlineStr">
        <is>
          <t>1/2 - Insumo Importado</t>
        </is>
      </c>
    </row>
    <row r="1030" ht="22" customHeight="1">
      <c r="A1030" s="12" t="inlineStr">
        <is>
          <t>EMP-1026</t>
        </is>
      </c>
      <c r="B1030" s="11" t="n">
        <v>870</v>
      </c>
      <c r="C1030" s="13" t="inlineStr">
        <is>
          <t>VINC-16524</t>
        </is>
      </c>
      <c r="D1030" s="14" t="inlineStr">
        <is>
          <t>Hexazinona Técnico Adama BR</t>
        </is>
      </c>
      <c r="E1030" s="13" t="inlineStr">
        <is>
          <t>1. Titular do Registro / Produtor</t>
        </is>
      </c>
      <c r="F1030" s="13" t="inlineStr">
        <is>
          <t>Produto Técnico Industrial</t>
        </is>
      </c>
      <c r="G1030" s="13" t="inlineStr">
        <is>
          <t>Jiangsu Corechem Co. Ltd. - Endereço: 18, Shilian Avenue, Huaian City, 223000, Jiangsu Province, China (Vinc. Reg. 16524)</t>
        </is>
      </c>
      <c r="H1030" s="13" t="inlineStr">
        <is>
          <t>Matriz / Estabelecimento Principal</t>
        </is>
      </c>
      <c r="I1030" s="13" t="inlineStr">
        <is>
          <t>CNPJ Credenciado MAPA/SIPEAGRO</t>
        </is>
      </c>
      <c r="J1030" s="13" t="inlineStr">
        <is>
          <t>Registro Estadual Vigente</t>
        </is>
      </c>
      <c r="K1030" s="13" t="inlineStr">
        <is>
          <t>Estabelecimento Credenciado no Brasil</t>
        </is>
      </c>
      <c r="L1030" s="13" t="inlineStr">
        <is>
          <t>Brasil</t>
        </is>
      </c>
      <c r="M1030" s="13" t="inlineStr">
        <is>
          <t>0 - Nacional / 1 - Importação Direta</t>
        </is>
      </c>
    </row>
    <row r="1031" ht="22" customHeight="1">
      <c r="A1031" s="6" t="inlineStr">
        <is>
          <t>EMP-1027</t>
        </is>
      </c>
      <c r="B1031" s="5" t="n">
        <v>871</v>
      </c>
      <c r="C1031" s="7" t="inlineStr">
        <is>
          <t>Nº 16624</t>
        </is>
      </c>
      <c r="D1031" s="8" t="inlineStr">
        <is>
          <t>TIOFANIL SNB</t>
        </is>
      </c>
      <c r="E1031" s="7" t="inlineStr">
        <is>
          <t>1. Titular do Registro</t>
        </is>
      </c>
      <c r="F1031" s="7" t="inlineStr">
        <is>
          <t>Produto Formulado Comercial</t>
        </is>
      </c>
      <c r="G1031" s="7" t="inlineStr">
        <is>
          <t>Sipcam Nichino Brasil S.A. - Uberaba/MG</t>
        </is>
      </c>
      <c r="H1031" s="7" t="inlineStr">
        <is>
          <t>Estabelecimento Credenciado</t>
        </is>
      </c>
      <c r="I1031" s="7" t="inlineStr">
        <is>
          <t>CNPJ Credenciado MAPA</t>
        </is>
      </c>
      <c r="J1031" s="7" t="inlineStr">
        <is>
          <t>Registro Estadual Vigente</t>
        </is>
      </c>
      <c r="K1031" s="7" t="inlineStr">
        <is>
          <t>Unidade Operacional Brasil</t>
        </is>
      </c>
      <c r="L1031" s="7" t="inlineStr">
        <is>
          <t>Brasil</t>
        </is>
      </c>
      <c r="M1031" s="7" t="inlineStr">
        <is>
          <t>0/1/2 - Conforme Origem do Lote</t>
        </is>
      </c>
    </row>
    <row r="1032" ht="22" customHeight="1">
      <c r="A1032" s="12" t="inlineStr">
        <is>
          <t>EMP-1028</t>
        </is>
      </c>
      <c r="B1032" s="11" t="n">
        <v>872</v>
      </c>
      <c r="C1032" s="13" t="inlineStr">
        <is>
          <t>VINC-16624</t>
        </is>
      </c>
      <c r="D1032" s="14" t="inlineStr">
        <is>
          <t>Clorotalonil Técnico Oxon</t>
        </is>
      </c>
      <c r="E1032" s="13" t="inlineStr">
        <is>
          <t>1. Titular / Fabricante Principal</t>
        </is>
      </c>
      <c r="F1032" s="13" t="inlineStr">
        <is>
          <t>Produto Técnico Industrial</t>
        </is>
      </c>
      <c r="G1032" s="13" t="inlineStr">
        <is>
          <t>Jiangyin Suli Chemical Co. Ltd.</t>
        </is>
      </c>
      <c r="H1032" s="13" t="inlineStr">
        <is>
          <t>Planta Principal</t>
        </is>
      </c>
      <c r="I1032" s="13" t="inlineStr">
        <is>
          <t>Conforme Ato DOU/MAPA</t>
        </is>
      </c>
      <c r="J1032" s="13" t="inlineStr">
        <is>
          <t>MAPA Vigente</t>
        </is>
      </c>
      <c r="K1032" s="13" t="inlineStr">
        <is>
          <t>Jiangyin Suli Chemical Co. Ltd. - Endereço: N° 7, Runhua Road, Ligang Tovvn, Jiangyin City, Jiangsu Province, 214444, China</t>
        </is>
      </c>
      <c r="L1032" s="13" t="inlineStr">
        <is>
          <t>China</t>
        </is>
      </c>
      <c r="M1032" s="13" t="inlineStr">
        <is>
          <t>1 - Importado</t>
        </is>
      </c>
    </row>
    <row r="1033" ht="22" customHeight="1">
      <c r="A1033" s="6" t="inlineStr">
        <is>
          <t>EMP-1029</t>
        </is>
      </c>
      <c r="B1033" s="5" t="n">
        <v>872</v>
      </c>
      <c r="C1033" s="7" t="inlineStr">
        <is>
          <t>VINC-16624</t>
        </is>
      </c>
      <c r="D1033" s="8" t="inlineStr">
        <is>
          <t>Clorotalonil Técnico Oxon</t>
        </is>
      </c>
      <c r="E1033" s="7" t="inlineStr">
        <is>
          <t>2. Fabricante do Produto Técnico Vinculado</t>
        </is>
      </c>
      <c r="F1033" s="7" t="inlineStr">
        <is>
          <t>Thiophanate Methyl Técnico</t>
        </is>
      </c>
      <c r="G1033" s="7" t="inlineStr">
        <is>
          <t>Rallis India Ltd.</t>
        </is>
      </c>
      <c r="H1033" s="7" t="inlineStr">
        <is>
          <t>Unidade Fabril Síntese</t>
        </is>
      </c>
      <c r="I1033" s="7" t="inlineStr">
        <is>
          <t>Registro DOU/MAPA</t>
        </is>
      </c>
      <c r="J1033" s="7" t="inlineStr">
        <is>
          <t>Isento Exterior / MAPA</t>
        </is>
      </c>
      <c r="K1033" s="7" t="inlineStr">
        <is>
          <t>Nome: Rallis India Ltd. - Endereço: Peenya Industrial Area, PoBox 5813 Bangalore, 560058, Índia (Vinc. Reg. 16624)</t>
        </is>
      </c>
      <c r="L1033" s="7" t="inlineStr">
        <is>
          <t>Índia</t>
        </is>
      </c>
      <c r="M1033" s="7" t="inlineStr">
        <is>
          <t>1/2 - Insumo Importado</t>
        </is>
      </c>
    </row>
    <row r="1034" ht="22" customHeight="1">
      <c r="A1034" s="12" t="inlineStr">
        <is>
          <t>EMP-1030</t>
        </is>
      </c>
      <c r="B1034" s="11" t="n">
        <v>873</v>
      </c>
      <c r="C1034" s="13" t="inlineStr">
        <is>
          <t>Nº 16724</t>
        </is>
      </c>
      <c r="D1034" s="14" t="inlineStr">
        <is>
          <t>FLUAZINAM LOVELAND</t>
        </is>
      </c>
      <c r="E1034" s="13" t="inlineStr">
        <is>
          <t>1. Titular do Registro</t>
        </is>
      </c>
      <c r="F1034" s="13" t="inlineStr">
        <is>
          <t>Produto Técnico Industrial</t>
        </is>
      </c>
      <c r="G1034" s="13" t="inlineStr">
        <is>
          <t>Nutrien Soluções Agrícolas Ltda.- São Paulo/SP</t>
        </is>
      </c>
      <c r="H1034" s="13" t="inlineStr">
        <is>
          <t>Estabelecimento Credenciado</t>
        </is>
      </c>
      <c r="I1034" s="13" t="inlineStr">
        <is>
          <t>CNPJ Credenciado MAPA</t>
        </is>
      </c>
      <c r="J1034" s="13" t="inlineStr">
        <is>
          <t>Registro Estadual Vigente</t>
        </is>
      </c>
      <c r="K1034" s="13" t="inlineStr">
        <is>
          <t>Unidade Operacional Brasil</t>
        </is>
      </c>
      <c r="L1034" s="13" t="inlineStr">
        <is>
          <t>Brasil</t>
        </is>
      </c>
      <c r="M1034" s="13" t="inlineStr">
        <is>
          <t>0/1/2 - Conforme Origem do Lote</t>
        </is>
      </c>
    </row>
    <row r="1035" ht="22" customHeight="1">
      <c r="A1035" s="6" t="inlineStr">
        <is>
          <t>EMP-1031</t>
        </is>
      </c>
      <c r="B1035" s="5" t="n">
        <v>874</v>
      </c>
      <c r="C1035" s="7" t="inlineStr">
        <is>
          <t>VINC-16724</t>
        </is>
      </c>
      <c r="D1035" s="8" t="inlineStr">
        <is>
          <t>Fluazinam Técnico Loveland</t>
        </is>
      </c>
      <c r="E1035" s="7" t="inlineStr">
        <is>
          <t>1. Titular do Registro / Produtor</t>
        </is>
      </c>
      <c r="F1035" s="7" t="inlineStr">
        <is>
          <t>Produto Técnico Industrial</t>
        </is>
      </c>
      <c r="G1035" s="7" t="inlineStr">
        <is>
          <t>Jiangsu Corechem Co. Ltd. - Endereço: 18, Shilian Avenue - Huaian City, Jiangsu, China (Vinc. Reg. 16724)</t>
        </is>
      </c>
      <c r="H1035" s="7" t="inlineStr">
        <is>
          <t>Matriz / Estabelecimento Principal</t>
        </is>
      </c>
      <c r="I1035" s="7" t="inlineStr">
        <is>
          <t>CNPJ Credenciado MAPA/SIPEAGRO</t>
        </is>
      </c>
      <c r="J1035" s="7" t="inlineStr">
        <is>
          <t>Registro Estadual Vigente</t>
        </is>
      </c>
      <c r="K1035" s="7" t="inlineStr">
        <is>
          <t>Estabelecimento Credenciado no Brasil</t>
        </is>
      </c>
      <c r="L1035" s="7" t="inlineStr">
        <is>
          <t>Brasil</t>
        </is>
      </c>
      <c r="M1035" s="7" t="inlineStr">
        <is>
          <t>0 - Nacional / 1 - Importação Direta</t>
        </is>
      </c>
    </row>
    <row r="1036" ht="22" customHeight="1">
      <c r="A1036" s="12" t="inlineStr">
        <is>
          <t>EMP-1032</t>
        </is>
      </c>
      <c r="B1036" s="11" t="n">
        <v>875</v>
      </c>
      <c r="C1036" s="13" t="inlineStr">
        <is>
          <t>Nº 16824</t>
        </is>
      </c>
      <c r="D1036" s="14" t="inlineStr">
        <is>
          <t>TROIA 750 WG</t>
        </is>
      </c>
      <c r="E1036" s="13" t="inlineStr">
        <is>
          <t>1. Titular do Registro</t>
        </is>
      </c>
      <c r="F1036" s="13" t="inlineStr">
        <is>
          <t>Produto Formulado Comercial</t>
        </is>
      </c>
      <c r="G1036" s="13" t="inlineStr">
        <is>
          <t>Sumitomo Chemical Brasil Indústria Química S.A.- Maracanaú/CE</t>
        </is>
      </c>
      <c r="H1036" s="13" t="inlineStr">
        <is>
          <t>Estabelecimento Credenciado</t>
        </is>
      </c>
      <c r="I1036" s="13" t="inlineStr">
        <is>
          <t>CNPJ Credenciado MAPA</t>
        </is>
      </c>
      <c r="J1036" s="13" t="inlineStr">
        <is>
          <t>Registro Estadual Vigente</t>
        </is>
      </c>
      <c r="K1036" s="13" t="inlineStr">
        <is>
          <t>Unidade Operacional Brasil</t>
        </is>
      </c>
      <c r="L1036" s="13" t="inlineStr">
        <is>
          <t>Brasil</t>
        </is>
      </c>
      <c r="M1036" s="13" t="inlineStr">
        <is>
          <t>0/1/2 - Conforme Origem do Lote</t>
        </is>
      </c>
    </row>
    <row r="1037" ht="22" customHeight="1">
      <c r="A1037" s="6" t="inlineStr">
        <is>
          <t>EMP-1033</t>
        </is>
      </c>
      <c r="B1037" s="5" t="n">
        <v>876</v>
      </c>
      <c r="C1037" s="7" t="inlineStr">
        <is>
          <t>VINC-16824</t>
        </is>
      </c>
      <c r="D1037" s="8" t="inlineStr">
        <is>
          <t>Mancozeb Técnico Sumitomo</t>
        </is>
      </c>
      <c r="E1037" s="7" t="inlineStr">
        <is>
          <t>1. Titular / Fabricante Principal</t>
        </is>
      </c>
      <c r="F1037" s="7" t="inlineStr">
        <is>
          <t>Produto Técnico Industrial</t>
        </is>
      </c>
      <c r="G1037" s="7" t="inlineStr">
        <is>
          <t>UPL Limited</t>
        </is>
      </c>
      <c r="H1037" s="7" t="inlineStr">
        <is>
          <t>Planta Principal</t>
        </is>
      </c>
      <c r="I1037" s="7" t="inlineStr">
        <is>
          <t>Conforme Ato DOU/MAPA</t>
        </is>
      </c>
      <c r="J1037" s="7" t="inlineStr">
        <is>
          <t>MAPA Vigente</t>
        </is>
      </c>
      <c r="K1037" s="7" t="inlineStr">
        <is>
          <t>UPL Limited - Endereço: Plot No. 750, G.I.D.C., Jhagadia, Dist. Bharuch, Gujarat, 393110 - India</t>
        </is>
      </c>
      <c r="L1037" s="7" t="inlineStr">
        <is>
          <t>Índia</t>
        </is>
      </c>
      <c r="M1037" s="7" t="inlineStr">
        <is>
          <t>1 - Importado</t>
        </is>
      </c>
    </row>
    <row r="1038" ht="22" customHeight="1">
      <c r="A1038" s="12" t="inlineStr">
        <is>
          <t>EMP-1034</t>
        </is>
      </c>
      <c r="B1038" s="11" t="n">
        <v>876</v>
      </c>
      <c r="C1038" s="13" t="inlineStr">
        <is>
          <t>VINC-16824</t>
        </is>
      </c>
      <c r="D1038" s="14" t="inlineStr">
        <is>
          <t>Mancozeb Técnico Sumitomo</t>
        </is>
      </c>
      <c r="E1038" s="13" t="inlineStr">
        <is>
          <t>2. Fabricante do Produto Técnico Vinculado</t>
        </is>
      </c>
      <c r="F1038" s="13" t="inlineStr">
        <is>
          <t>Mancozeb Técnico Indofil</t>
        </is>
      </c>
      <c r="G1038" s="13" t="inlineStr">
        <is>
          <t>Indofil Industries Limited</t>
        </is>
      </c>
      <c r="H1038" s="13" t="inlineStr">
        <is>
          <t>Unidade Fabril Síntese</t>
        </is>
      </c>
      <c r="I1038" s="13" t="inlineStr">
        <is>
          <t>Registro DOU/MAPA</t>
        </is>
      </c>
      <c r="J1038" s="13" t="inlineStr">
        <is>
          <t>Isento Exterior / MAPA</t>
        </is>
      </c>
      <c r="K1038" s="13" t="inlineStr">
        <is>
          <t>Nome: Indofil Industries Limited - Endereço: Azad Nagar, Sandoz Baug P.O., Off Ghodbander Road, Near Chitalsar, Manpada, Thane - 400607 - Índia (Vinc. Reg. 16824)</t>
        </is>
      </c>
      <c r="L1038" s="13" t="inlineStr">
        <is>
          <t>Índia</t>
        </is>
      </c>
      <c r="M1038" s="13" t="inlineStr">
        <is>
          <t>1/2 - Insumo Importado</t>
        </is>
      </c>
    </row>
    <row r="1039" ht="22" customHeight="1">
      <c r="A1039" s="6" t="inlineStr">
        <is>
          <t>EMP-1035</t>
        </is>
      </c>
      <c r="B1039" s="5" t="n">
        <v>877</v>
      </c>
      <c r="C1039" s="7" t="inlineStr">
        <is>
          <t>Nº 16924</t>
        </is>
      </c>
      <c r="D1039" s="8" t="inlineStr">
        <is>
          <t>PRIMEPLUS</t>
        </is>
      </c>
      <c r="E1039" s="7" t="inlineStr">
        <is>
          <t>1. Titular do Registro</t>
        </is>
      </c>
      <c r="F1039" s="7" t="inlineStr">
        <is>
          <t>Produto Formulado Comercial</t>
        </is>
      </c>
      <c r="G1039" s="7" t="inlineStr">
        <is>
          <t>Syngenta Proteção de Cultivo Ltda.- São Paulo/SP</t>
        </is>
      </c>
      <c r="H1039" s="7" t="inlineStr">
        <is>
          <t>Estabelecimento Credenciado</t>
        </is>
      </c>
      <c r="I1039" s="7" t="inlineStr">
        <is>
          <t>CNPJ Credenciado MAPA</t>
        </is>
      </c>
      <c r="J1039" s="7" t="inlineStr">
        <is>
          <t>Registro Estadual Vigente</t>
        </is>
      </c>
      <c r="K1039" s="7" t="inlineStr">
        <is>
          <t>Unidade Operacional Brasil</t>
        </is>
      </c>
      <c r="L1039" s="7" t="inlineStr">
        <is>
          <t>Brasil</t>
        </is>
      </c>
      <c r="M1039" s="7" t="inlineStr">
        <is>
          <t>0/1/2 - Conforme Origem do Lote</t>
        </is>
      </c>
    </row>
    <row r="1040" ht="22" customHeight="1">
      <c r="A1040" s="12" t="inlineStr">
        <is>
          <t>EMP-1036</t>
        </is>
      </c>
      <c r="B1040" s="11" t="n">
        <v>878</v>
      </c>
      <c r="C1040" s="13" t="inlineStr">
        <is>
          <t>VINC-16924</t>
        </is>
      </c>
      <c r="D1040" s="14" t="inlineStr">
        <is>
          <t>Flumetralin Técnico Syngenta</t>
        </is>
      </c>
      <c r="E1040" s="13" t="inlineStr">
        <is>
          <t>1. Titular do Registro / Produtor</t>
        </is>
      </c>
      <c r="F1040" s="13" t="inlineStr">
        <is>
          <t>Produto Técnico Industrial</t>
        </is>
      </c>
      <c r="G1040" s="13" t="inlineStr">
        <is>
          <t>Chemdesing Corporation - Endereço: 99 Development Road, Fitchburg, MA, 01420 - EUA (Vinc. Reg. 16924)</t>
        </is>
      </c>
      <c r="H1040" s="13" t="inlineStr">
        <is>
          <t>Matriz / Estabelecimento Principal</t>
        </is>
      </c>
      <c r="I1040" s="13" t="inlineStr">
        <is>
          <t>CNPJ Credenciado MAPA/SIPEAGRO</t>
        </is>
      </c>
      <c r="J1040" s="13" t="inlineStr">
        <is>
          <t>Registro Estadual Vigente</t>
        </is>
      </c>
      <c r="K1040" s="13" t="inlineStr">
        <is>
          <t>Estabelecimento Credenciado no Brasil</t>
        </is>
      </c>
      <c r="L1040" s="13" t="inlineStr">
        <is>
          <t>Brasil</t>
        </is>
      </c>
      <c r="M1040" s="13" t="inlineStr">
        <is>
          <t>0 - Nacional / 1 - Importação Direta</t>
        </is>
      </c>
    </row>
    <row r="1041" ht="22" customHeight="1">
      <c r="A1041" s="6" t="inlineStr">
        <is>
          <t>EMP-1037</t>
        </is>
      </c>
      <c r="B1041" s="5" t="n">
        <v>879</v>
      </c>
      <c r="C1041" s="7" t="inlineStr">
        <is>
          <t>Nº 17024</t>
        </is>
      </c>
      <c r="D1041" s="8" t="inlineStr">
        <is>
          <t>GLIFOSATO 720 WG PERTERRA</t>
        </is>
      </c>
      <c r="E1041" s="7" t="inlineStr">
        <is>
          <t>1. Titular do Registro</t>
        </is>
      </c>
      <c r="F1041" s="7" t="inlineStr">
        <is>
          <t>Produto Formulado Comercial</t>
        </is>
      </c>
      <c r="G1041" s="7" t="inlineStr">
        <is>
          <t>Perterra Insumos Agropecuários S.A.- São Paulo/SP</t>
        </is>
      </c>
      <c r="H1041" s="7" t="inlineStr">
        <is>
          <t>Estabelecimento Credenciado</t>
        </is>
      </c>
      <c r="I1041" s="7" t="inlineStr">
        <is>
          <t>CNPJ Credenciado MAPA</t>
        </is>
      </c>
      <c r="J1041" s="7" t="inlineStr">
        <is>
          <t>Registro Estadual Vigente</t>
        </is>
      </c>
      <c r="K1041" s="7" t="inlineStr">
        <is>
          <t>Unidade Operacional Brasil</t>
        </is>
      </c>
      <c r="L1041" s="7" t="inlineStr">
        <is>
          <t>Brasil</t>
        </is>
      </c>
      <c r="M1041" s="7" t="inlineStr">
        <is>
          <t>0/1/2 - Conforme Origem do Lote</t>
        </is>
      </c>
    </row>
    <row r="1042" ht="22" customHeight="1">
      <c r="A1042" s="12" t="inlineStr">
        <is>
          <t>EMP-1038</t>
        </is>
      </c>
      <c r="B1042" s="11" t="n">
        <v>880</v>
      </c>
      <c r="C1042" s="13" t="inlineStr">
        <is>
          <t>VINC-17024</t>
        </is>
      </c>
      <c r="D1042" s="14" t="inlineStr">
        <is>
          <t>Glifosato G Técnico Rainbow</t>
        </is>
      </c>
      <c r="E1042" s="13" t="inlineStr">
        <is>
          <t>1. Titular do Registro / Produtor</t>
        </is>
      </c>
      <c r="F1042" s="13" t="inlineStr">
        <is>
          <t>Produto Técnico Industrial</t>
        </is>
      </c>
      <c r="G1042" s="13" t="inlineStr">
        <is>
          <t>Shandong Weifang Rainbow Chemical Co., Ltd. - Endereço: Binhai Economic Development Area, Weifang, Shandong, 262737 - China (Vinc. Reg. 17024)</t>
        </is>
      </c>
      <c r="H1042" s="13" t="inlineStr">
        <is>
          <t>Matriz / Estabelecimento Principal</t>
        </is>
      </c>
      <c r="I1042" s="13" t="inlineStr">
        <is>
          <t>10.486.463/0001-69</t>
        </is>
      </c>
      <c r="J1042" s="13" t="inlineStr">
        <is>
          <t>SEAPA/RS nº 1928/09</t>
        </is>
      </c>
      <c r="K1042" s="13" t="inlineStr">
        <is>
          <t>Estabelecimento Credenciado no Brasil</t>
        </is>
      </c>
      <c r="L1042" s="13" t="inlineStr">
        <is>
          <t>Brasil</t>
        </is>
      </c>
      <c r="M1042" s="13" t="inlineStr">
        <is>
          <t>0 - Nacional / 1 - Importação Direta</t>
        </is>
      </c>
    </row>
    <row r="1043" ht="22" customHeight="1">
      <c r="A1043" s="6" t="inlineStr">
        <is>
          <t>EMP-1039</t>
        </is>
      </c>
      <c r="B1043" s="5" t="n">
        <v>881</v>
      </c>
      <c r="C1043" s="7" t="inlineStr">
        <is>
          <t>Nº 17124</t>
        </is>
      </c>
      <c r="D1043" s="8" t="inlineStr">
        <is>
          <t>DANTOTSU</t>
        </is>
      </c>
      <c r="E1043" s="7" t="inlineStr">
        <is>
          <t>1. Titular do Registro</t>
        </is>
      </c>
      <c r="F1043" s="7" t="inlineStr">
        <is>
          <t>Produto Formulado Comercial</t>
        </is>
      </c>
      <c r="G1043" s="7" t="inlineStr">
        <is>
          <t>Sumitomo Chemical do Brasil Representações Ltda.- São Paulo/SP</t>
        </is>
      </c>
      <c r="H1043" s="7" t="inlineStr">
        <is>
          <t>Estabelecimento Credenciado</t>
        </is>
      </c>
      <c r="I1043" s="7" t="inlineStr">
        <is>
          <t>CNPJ Credenciado MAPA</t>
        </is>
      </c>
      <c r="J1043" s="7" t="inlineStr">
        <is>
          <t>Registro Estadual Vigente</t>
        </is>
      </c>
      <c r="K1043" s="7" t="inlineStr">
        <is>
          <t>Unidade Operacional Brasil</t>
        </is>
      </c>
      <c r="L1043" s="7" t="inlineStr">
        <is>
          <t>Brasil</t>
        </is>
      </c>
      <c r="M1043" s="7" t="inlineStr">
        <is>
          <t>0/1/2 - Conforme Origem do Lote</t>
        </is>
      </c>
    </row>
    <row r="1044" ht="22" customHeight="1">
      <c r="A1044" s="12" t="inlineStr">
        <is>
          <t>EMP-1040</t>
        </is>
      </c>
      <c r="B1044" s="11" t="n">
        <v>882</v>
      </c>
      <c r="C1044" s="13" t="inlineStr">
        <is>
          <t>VINC-17124</t>
        </is>
      </c>
      <c r="D1044" s="14" t="inlineStr">
        <is>
          <t>Focus Técnico</t>
        </is>
      </c>
      <c r="E1044" s="13" t="inlineStr">
        <is>
          <t>1. Titular do Registro / Produtor</t>
        </is>
      </c>
      <c r="F1044" s="13" t="inlineStr">
        <is>
          <t>Produto Técnico Industrial</t>
        </is>
      </c>
      <c r="G1044" s="13" t="inlineStr">
        <is>
          <t>Sumitomo Chemical Company, Limited - Hikari Plant - Endereço: Hikari Plant, 4720, Takeda, Mitsui, Hikari-City, 7438502, Yamaguchi-prefecture - Japão (Vinc. Reg. 17124)</t>
        </is>
      </c>
      <c r="H1044" s="13" t="inlineStr">
        <is>
          <t>Matriz / Estabelecimento Principal</t>
        </is>
      </c>
      <c r="I1044" s="13" t="inlineStr">
        <is>
          <t>CNPJ Credenciado MAPA/SIPEAGRO</t>
        </is>
      </c>
      <c r="J1044" s="13" t="inlineStr">
        <is>
          <t>Registro Estadual Vigente</t>
        </is>
      </c>
      <c r="K1044" s="13" t="inlineStr">
        <is>
          <t>Estabelecimento Credenciado no Brasil</t>
        </is>
      </c>
      <c r="L1044" s="13" t="inlineStr">
        <is>
          <t>Brasil</t>
        </is>
      </c>
      <c r="M1044" s="13" t="inlineStr">
        <is>
          <t>0 - Nacional / 1 - Importação Direta</t>
        </is>
      </c>
    </row>
    <row r="1045" ht="22" customHeight="1">
      <c r="A1045" s="6" t="inlineStr">
        <is>
          <t>EMP-1041</t>
        </is>
      </c>
      <c r="B1045" s="5" t="n">
        <v>883</v>
      </c>
      <c r="C1045" s="7" t="inlineStr">
        <is>
          <t>VINC-17124</t>
        </is>
      </c>
      <c r="D1045" s="8" t="inlineStr">
        <is>
          <t>Clothianidin Técnico SCB</t>
        </is>
      </c>
      <c r="E1045" s="7" t="inlineStr">
        <is>
          <t>1. Titular do Registro / Produtor</t>
        </is>
      </c>
      <c r="F1045" s="7" t="inlineStr">
        <is>
          <t>Produto Técnico Industrial</t>
        </is>
      </c>
      <c r="G1045" s="7" t="inlineStr">
        <is>
          <t>Sumitomo Chemical Company, Limited - Hikari Plant - Endereço: Hikari Plant, 4720, Takeda, Mitsui, Hikari-City, 7438502, Yamaguchi-prefecture - Japão (Vinc. Reg. 17124)</t>
        </is>
      </c>
      <c r="H1045" s="7" t="inlineStr">
        <is>
          <t>Matriz / Estabelecimento Principal</t>
        </is>
      </c>
      <c r="I1045" s="7" t="inlineStr">
        <is>
          <t>CNPJ Credenciado MAPA/SIPEAGRO</t>
        </is>
      </c>
      <c r="J1045" s="7" t="inlineStr">
        <is>
          <t>Registro Estadual Vigente</t>
        </is>
      </c>
      <c r="K1045" s="7" t="inlineStr">
        <is>
          <t>Estabelecimento Credenciado no Brasil</t>
        </is>
      </c>
      <c r="L1045" s="7" t="inlineStr">
        <is>
          <t>Brasil</t>
        </is>
      </c>
      <c r="M1045" s="7" t="inlineStr">
        <is>
          <t>0 - Nacional / 1 - Importação Direta</t>
        </is>
      </c>
    </row>
    <row r="1046" ht="22" customHeight="1">
      <c r="A1046" s="12" t="inlineStr">
        <is>
          <t>EMP-1042</t>
        </is>
      </c>
      <c r="B1046" s="11" t="n">
        <v>884</v>
      </c>
      <c r="C1046" s="13" t="inlineStr">
        <is>
          <t>Nº 17224</t>
        </is>
      </c>
      <c r="D1046" s="14" t="inlineStr">
        <is>
          <t>LUMISURE</t>
        </is>
      </c>
      <c r="E1046" s="13" t="inlineStr">
        <is>
          <t>1. Titular do Registro</t>
        </is>
      </c>
      <c r="F1046" s="13" t="inlineStr">
        <is>
          <t>Produto Técnico Industrial</t>
        </is>
      </c>
      <c r="G1046" s="13" t="inlineStr">
        <is>
          <t>Sumitomo Chemical do Brasil Representações Ltda.- São Paulo/SP</t>
        </is>
      </c>
      <c r="H1046" s="13" t="inlineStr">
        <is>
          <t>Estabelecimento Credenciado</t>
        </is>
      </c>
      <c r="I1046" s="13" t="inlineStr">
        <is>
          <t>CNPJ Credenciado MAPA</t>
        </is>
      </c>
      <c r="J1046" s="13" t="inlineStr">
        <is>
          <t>Registro Estadual Vigente</t>
        </is>
      </c>
      <c r="K1046" s="13" t="inlineStr">
        <is>
          <t>Unidade Operacional Brasil</t>
        </is>
      </c>
      <c r="L1046" s="13" t="inlineStr">
        <is>
          <t>Brasil</t>
        </is>
      </c>
      <c r="M1046" s="13" t="inlineStr">
        <is>
          <t>0/1/2 - Conforme Origem do Lote</t>
        </is>
      </c>
    </row>
    <row r="1047" ht="22" customHeight="1">
      <c r="A1047" s="6" t="inlineStr">
        <is>
          <t>EMP-1043</t>
        </is>
      </c>
      <c r="B1047" s="5" t="n">
        <v>885</v>
      </c>
      <c r="C1047" s="7" t="inlineStr">
        <is>
          <t>Nº 17324</t>
        </is>
      </c>
      <c r="D1047" s="8" t="inlineStr">
        <is>
          <t>ELIOS WG</t>
        </is>
      </c>
      <c r="E1047" s="7" t="inlineStr">
        <is>
          <t>1. Titular do Registro</t>
        </is>
      </c>
      <c r="F1047" s="7" t="inlineStr">
        <is>
          <t>Produto Formulado Comercial</t>
        </is>
      </c>
      <c r="G1047" s="7" t="inlineStr">
        <is>
          <t>Sipcam Nichino Brasil S.A.- Uberaba/MG</t>
        </is>
      </c>
      <c r="H1047" s="7" t="inlineStr">
        <is>
          <t>Estabelecimento Credenciado</t>
        </is>
      </c>
      <c r="I1047" s="7" t="inlineStr">
        <is>
          <t>CNPJ Credenciado MAPA</t>
        </is>
      </c>
      <c r="J1047" s="7" t="inlineStr">
        <is>
          <t>Registro Estadual Vigente</t>
        </is>
      </c>
      <c r="K1047" s="7" t="inlineStr">
        <is>
          <t>Unidade Operacional Brasil</t>
        </is>
      </c>
      <c r="L1047" s="7" t="inlineStr">
        <is>
          <t>Brasil</t>
        </is>
      </c>
      <c r="M1047" s="7" t="inlineStr">
        <is>
          <t>0/1/2 - Conforme Origem do Lote</t>
        </is>
      </c>
    </row>
    <row r="1048" ht="22" customHeight="1">
      <c r="A1048" s="12" t="inlineStr">
        <is>
          <t>EMP-1044</t>
        </is>
      </c>
      <c r="B1048" s="11" t="n">
        <v>886</v>
      </c>
      <c r="C1048" s="13" t="inlineStr">
        <is>
          <t>VINC-17324</t>
        </is>
      </c>
      <c r="D1048" s="14" t="inlineStr">
        <is>
          <t>Imidacloprid Tecnico Agroqualita SNB</t>
        </is>
      </c>
      <c r="E1048" s="13" t="inlineStr">
        <is>
          <t>1. Titular / Fabricante Principal</t>
        </is>
      </c>
      <c r="F1048" s="13" t="inlineStr">
        <is>
          <t>Produto Técnico Industrial</t>
        </is>
      </c>
      <c r="G1048" s="13" t="inlineStr">
        <is>
          <t>Hebei Veyong Bio-Chemical Co., Ltd.</t>
        </is>
      </c>
      <c r="H1048" s="13" t="inlineStr">
        <is>
          <t>Planta Principal</t>
        </is>
      </c>
      <c r="I1048" s="13" t="inlineStr">
        <is>
          <t>Conforme Ato DOU/MAPA</t>
        </is>
      </c>
      <c r="J1048" s="13" t="inlineStr">
        <is>
          <t>MAPA Vigente</t>
        </is>
      </c>
      <c r="K1048" s="13" t="inlineStr">
        <is>
          <t>Hebei Veyong Bio-Chemical Co., Ltd. - Endereço: 393 East Heping Road, Shijianhuang, Hebei 050031 - China</t>
        </is>
      </c>
      <c r="L1048" s="13" t="inlineStr">
        <is>
          <t>China</t>
        </is>
      </c>
      <c r="M1048" s="13" t="inlineStr">
        <is>
          <t>1 - Importado</t>
        </is>
      </c>
    </row>
    <row r="1049" ht="22" customHeight="1">
      <c r="A1049" s="6" t="inlineStr">
        <is>
          <t>EMP-1045</t>
        </is>
      </c>
      <c r="B1049" s="5" t="n">
        <v>886</v>
      </c>
      <c r="C1049" s="7" t="inlineStr">
        <is>
          <t>VINC-17324</t>
        </is>
      </c>
      <c r="D1049" s="8" t="inlineStr">
        <is>
          <t>Imidacloprid Tecnico Agroqualita SNB</t>
        </is>
      </c>
      <c r="E1049" s="7" t="inlineStr">
        <is>
          <t>2. Fabricante do Produto Técnico Vinculado</t>
        </is>
      </c>
      <c r="F1049" s="7" t="inlineStr">
        <is>
          <t>Flutriafol Técnico SUP</t>
        </is>
      </c>
      <c r="G1049" s="7" t="inlineStr">
        <is>
          <t>Jiangsu Sevencontinent Green Chemical Co., Ltd. (Unit I)</t>
        </is>
      </c>
      <c r="H1049" s="7" t="inlineStr">
        <is>
          <t>Unidade Fabril Síntese</t>
        </is>
      </c>
      <c r="I1049" s="7" t="inlineStr">
        <is>
          <t>Registro DOU/MAPA</t>
        </is>
      </c>
      <c r="J1049" s="7" t="inlineStr">
        <is>
          <t>Isento Exterior / MAPA</t>
        </is>
      </c>
      <c r="K1049" s="7" t="inlineStr">
        <is>
          <t>Nome: Jiangsu Sevencontinent Green Chemical Co., Ltd. (Unit I) - Endereço: 28 Changbei Road, Zhangjiagang - Jiangsu 215600 - China (Vinc. Reg. 17324)</t>
        </is>
      </c>
      <c r="L1049" s="7" t="inlineStr">
        <is>
          <t>China</t>
        </is>
      </c>
      <c r="M1049" s="7" t="inlineStr">
        <is>
          <t>1/2 - Insumo Importado</t>
        </is>
      </c>
    </row>
    <row r="1050" ht="22" customHeight="1">
      <c r="A1050" s="12" t="inlineStr">
        <is>
          <t>EMP-1046</t>
        </is>
      </c>
      <c r="B1050" s="11" t="n">
        <v>887</v>
      </c>
      <c r="C1050" s="13" t="inlineStr">
        <is>
          <t>Nº 17424</t>
        </is>
      </c>
      <c r="D1050" s="14" t="inlineStr">
        <is>
          <t>CROPSTAR FLEXX</t>
        </is>
      </c>
      <c r="E1050" s="13" t="inlineStr">
        <is>
          <t>1. Titular do Registro</t>
        </is>
      </c>
      <c r="F1050" s="13" t="inlineStr">
        <is>
          <t>Produto Formulado Comercial</t>
        </is>
      </c>
      <c r="G1050" s="13" t="inlineStr">
        <is>
          <t>Bayer S.A- São Paulo/SP</t>
        </is>
      </c>
      <c r="H1050" s="13" t="inlineStr">
        <is>
          <t>Estabelecimento Credenciado</t>
        </is>
      </c>
      <c r="I1050" s="13" t="inlineStr">
        <is>
          <t>CNPJ Credenciado MAPA</t>
        </is>
      </c>
      <c r="J1050" s="13" t="inlineStr">
        <is>
          <t>Registro Estadual Vigente</t>
        </is>
      </c>
      <c r="K1050" s="13" t="inlineStr">
        <is>
          <t>Unidade Operacional Brasil</t>
        </is>
      </c>
      <c r="L1050" s="13" t="inlineStr">
        <is>
          <t>Brasil</t>
        </is>
      </c>
      <c r="M1050" s="13" t="inlineStr">
        <is>
          <t>0/1/2 - Conforme Origem do Lote</t>
        </is>
      </c>
    </row>
    <row r="1051" ht="22" customHeight="1">
      <c r="A1051" s="6" t="inlineStr">
        <is>
          <t>EMP-1047</t>
        </is>
      </c>
      <c r="B1051" s="5" t="n">
        <v>888</v>
      </c>
      <c r="C1051" s="7" t="inlineStr">
        <is>
          <t>VINC-17424</t>
        </is>
      </c>
      <c r="D1051" s="8" t="inlineStr">
        <is>
          <t>Premier Técnico</t>
        </is>
      </c>
      <c r="E1051" s="7" t="inlineStr">
        <is>
          <t>1. Titular / Fabricante Principal</t>
        </is>
      </c>
      <c r="F1051" s="7" t="inlineStr">
        <is>
          <t>Produto Técnico Industrial</t>
        </is>
      </c>
      <c r="G1051" s="7" t="inlineStr">
        <is>
          <t>Bayer AG</t>
        </is>
      </c>
      <c r="H1051" s="7" t="inlineStr">
        <is>
          <t>Planta Principal</t>
        </is>
      </c>
      <c r="I1051" s="7" t="inlineStr">
        <is>
          <t>Conforme Ato DOU/MAPA</t>
        </is>
      </c>
      <c r="J1051" s="7" t="inlineStr">
        <is>
          <t>MAPA Vigente</t>
        </is>
      </c>
      <c r="K1051" s="7" t="inlineStr">
        <is>
          <t>Bayer AG - Endereço: ChemPark 41538, Dormagen - Alemanha</t>
        </is>
      </c>
      <c r="L1051" s="7" t="inlineStr">
        <is>
          <t>Exterior</t>
        </is>
      </c>
      <c r="M1051" s="7" t="inlineStr">
        <is>
          <t>1 - Importado</t>
        </is>
      </c>
    </row>
    <row r="1052" ht="22" customHeight="1">
      <c r="A1052" s="12" t="inlineStr">
        <is>
          <t>EMP-1048</t>
        </is>
      </c>
      <c r="B1052" s="11" t="n">
        <v>888</v>
      </c>
      <c r="C1052" s="13" t="inlineStr">
        <is>
          <t>VINC-17424</t>
        </is>
      </c>
      <c r="D1052" s="14" t="inlineStr">
        <is>
          <t>Premier Técnico</t>
        </is>
      </c>
      <c r="E1052" s="13" t="inlineStr">
        <is>
          <t>2. Fabricante do Produto Técnico Vinculado</t>
        </is>
      </c>
      <c r="F1052" s="13" t="inlineStr">
        <is>
          <t>Premier Técnico BCS</t>
        </is>
      </c>
      <c r="G1052" s="13" t="inlineStr">
        <is>
          <t>Jiangsu Changqing Agrochemical Co., Ltd.</t>
        </is>
      </c>
      <c r="H1052" s="13" t="inlineStr">
        <is>
          <t>Unidade Fabril Síntese</t>
        </is>
      </c>
      <c r="I1052" s="13" t="inlineStr">
        <is>
          <t>Registro DOU/MAPA</t>
        </is>
      </c>
      <c r="J1052" s="13" t="inlineStr">
        <is>
          <t>Isento Exterior / MAPA</t>
        </is>
      </c>
      <c r="K1052" s="13" t="inlineStr">
        <is>
          <t>Nome: Jiangsu Changqing Agrochemical Co., Ltd. - Endereço: Nº 8 Sanjiang Road, Jiangdu Economy Development Zone, Yangzhou City Jiangsu - China.</t>
        </is>
      </c>
      <c r="L1052" s="13" t="inlineStr">
        <is>
          <t>China</t>
        </is>
      </c>
      <c r="M1052" s="13" t="inlineStr">
        <is>
          <t>1/2 - Insumo Importado</t>
        </is>
      </c>
    </row>
    <row r="1053" ht="22" customHeight="1">
      <c r="A1053" s="6" t="inlineStr">
        <is>
          <t>EMP-1049</t>
        </is>
      </c>
      <c r="B1053" s="5" t="n">
        <v>888</v>
      </c>
      <c r="C1053" s="7" t="inlineStr">
        <is>
          <t>VINC-17424</t>
        </is>
      </c>
      <c r="D1053" s="8" t="inlineStr">
        <is>
          <t>Premier Técnico</t>
        </is>
      </c>
      <c r="E1053" s="7" t="inlineStr">
        <is>
          <t>2. Fabricante do Produto Técnico Vinculado</t>
        </is>
      </c>
      <c r="F1053" s="7" t="inlineStr">
        <is>
          <t>Larvin Técnico</t>
        </is>
      </c>
      <c r="G1053" s="7" t="inlineStr">
        <is>
          <t>Bayer CropScience LP</t>
        </is>
      </c>
      <c r="H1053" s="7" t="inlineStr">
        <is>
          <t>Unidade Fabril Síntese</t>
        </is>
      </c>
      <c r="I1053" s="7" t="inlineStr">
        <is>
          <t>Registro DOU/MAPA</t>
        </is>
      </c>
      <c r="J1053" s="7" t="inlineStr">
        <is>
          <t>Isento Exterior / MAPA</t>
        </is>
      </c>
      <c r="K1053" s="7" t="inlineStr">
        <is>
          <t>Nome: Bayer CropScience LP - Endereço: Route 25, P.O. Box 1005 - Institute - West Virginia - 25112 - EUA (Vinc. Reg. 17424)</t>
        </is>
      </c>
      <c r="L1053" s="7" t="inlineStr">
        <is>
          <t>EUA</t>
        </is>
      </c>
      <c r="M1053" s="7" t="inlineStr">
        <is>
          <t>1/2 - Insumo Importado</t>
        </is>
      </c>
    </row>
    <row r="1054" ht="22" customHeight="1">
      <c r="A1054" s="12" t="inlineStr">
        <is>
          <t>EMP-1050</t>
        </is>
      </c>
      <c r="B1054" s="11" t="n">
        <v>889</v>
      </c>
      <c r="C1054" s="13" t="inlineStr">
        <is>
          <t>Nº 17524</t>
        </is>
      </c>
      <c r="D1054" s="14" t="inlineStr">
        <is>
          <t>SUMIRODY</t>
        </is>
      </c>
      <c r="E1054" s="13" t="inlineStr">
        <is>
          <t>1. Titular do Registro</t>
        </is>
      </c>
      <c r="F1054" s="13" t="inlineStr">
        <is>
          <t>Produto Formulado Comercial</t>
        </is>
      </c>
      <c r="G1054" s="13" t="inlineStr">
        <is>
          <t>Sumitomo Chemical do Brasil Representações Ltda.- São Paulo/SP</t>
        </is>
      </c>
      <c r="H1054" s="13" t="inlineStr">
        <is>
          <t>Estabelecimento Credenciado</t>
        </is>
      </c>
      <c r="I1054" s="13" t="inlineStr">
        <is>
          <t>CNPJ Credenciado MAPA</t>
        </is>
      </c>
      <c r="J1054" s="13" t="inlineStr">
        <is>
          <t>Registro Estadual Vigente</t>
        </is>
      </c>
      <c r="K1054" s="13" t="inlineStr">
        <is>
          <t>Unidade Operacional Brasil</t>
        </is>
      </c>
      <c r="L1054" s="13" t="inlineStr">
        <is>
          <t>Brasil</t>
        </is>
      </c>
      <c r="M1054" s="13" t="inlineStr">
        <is>
          <t>0/1/2 - Conforme Origem do Lote</t>
        </is>
      </c>
    </row>
    <row r="1055" ht="22" customHeight="1">
      <c r="A1055" s="6" t="inlineStr">
        <is>
          <t>EMP-1051</t>
        </is>
      </c>
      <c r="B1055" s="5" t="n">
        <v>890</v>
      </c>
      <c r="C1055" s="7" t="inlineStr">
        <is>
          <t>VINC-17524</t>
        </is>
      </c>
      <c r="D1055" s="8" t="inlineStr">
        <is>
          <t>Danimen Técnico 900</t>
        </is>
      </c>
      <c r="E1055" s="7" t="inlineStr">
        <is>
          <t>1. Titular do Registro / Produtor</t>
        </is>
      </c>
      <c r="F1055" s="7" t="inlineStr">
        <is>
          <t>Produto Técnico Industrial</t>
        </is>
      </c>
      <c r="G1055" s="7" t="inlineStr">
        <is>
          <t>Sumitomo Chemical Co. Ltd. - Endereço: Ohita Works 2200 - Tsurusaki Ohita-Shi - Ohita - 870-0106 - Japão (Vinc. Reg. 17524)</t>
        </is>
      </c>
      <c r="H1055" s="7" t="inlineStr">
        <is>
          <t>Matriz / Estabelecimento Principal</t>
        </is>
      </c>
      <c r="I1055" s="7" t="inlineStr">
        <is>
          <t>CNPJ Credenciado MAPA/SIPEAGRO</t>
        </is>
      </c>
      <c r="J1055" s="7" t="inlineStr">
        <is>
          <t>Registro Estadual Vigente</t>
        </is>
      </c>
      <c r="K1055" s="7" t="inlineStr">
        <is>
          <t>Estabelecimento Credenciado no Brasil</t>
        </is>
      </c>
      <c r="L1055" s="7" t="inlineStr">
        <is>
          <t>Brasil</t>
        </is>
      </c>
      <c r="M1055" s="7" t="inlineStr">
        <is>
          <t>0 - Nacional / 1 - Importação Direta</t>
        </is>
      </c>
    </row>
    <row r="1056" ht="22" customHeight="1">
      <c r="A1056" s="12" t="inlineStr">
        <is>
          <t>EMP-1052</t>
        </is>
      </c>
      <c r="B1056" s="11" t="n">
        <v>891</v>
      </c>
      <c r="C1056" s="13" t="inlineStr">
        <is>
          <t>Nº 17624</t>
        </is>
      </c>
      <c r="D1056" s="14" t="inlineStr">
        <is>
          <t>SONUTRIR</t>
        </is>
      </c>
      <c r="E1056" s="13" t="inlineStr">
        <is>
          <t>1. Titular do Registro</t>
        </is>
      </c>
      <c r="F1056" s="13" t="inlineStr">
        <is>
          <t>Produto Técnico Industrial</t>
        </is>
      </c>
      <c r="G1056" s="13" t="inlineStr">
        <is>
          <t>Rainbow Defensivos Agrícolas Ltda.- Porto Alegre/RS</t>
        </is>
      </c>
      <c r="H1056" s="13" t="inlineStr">
        <is>
          <t>Estabelecimento Credenciado</t>
        </is>
      </c>
      <c r="I1056" s="13" t="inlineStr">
        <is>
          <t>CNPJ Credenciado MAPA</t>
        </is>
      </c>
      <c r="J1056" s="13" t="inlineStr">
        <is>
          <t>Registro Estadual Vigente</t>
        </is>
      </c>
      <c r="K1056" s="13" t="inlineStr">
        <is>
          <t>Unidade Operacional Brasil</t>
        </is>
      </c>
      <c r="L1056" s="13" t="inlineStr">
        <is>
          <t>Brasil</t>
        </is>
      </c>
      <c r="M1056" s="13" t="inlineStr">
        <is>
          <t>0/1/2 - Conforme Origem do Lote</t>
        </is>
      </c>
    </row>
    <row r="1057" ht="22" customHeight="1">
      <c r="A1057" s="6" t="inlineStr">
        <is>
          <t>EMP-1053</t>
        </is>
      </c>
      <c r="B1057" s="5" t="n">
        <v>892</v>
      </c>
      <c r="C1057" s="7" t="inlineStr">
        <is>
          <t>VINC-17624</t>
        </is>
      </c>
      <c r="D1057" s="8" t="inlineStr">
        <is>
          <t>S-Metolacloro Técnico Rainbow</t>
        </is>
      </c>
      <c r="E1057" s="7" t="inlineStr">
        <is>
          <t>1. Titular do Registro / Produtor</t>
        </is>
      </c>
      <c r="F1057" s="7" t="inlineStr">
        <is>
          <t>Produto Técnico Industrial</t>
        </is>
      </c>
      <c r="G1057" s="7" t="inlineStr">
        <is>
          <t>Shandong Weifang Rainbow Chemical Co., Ltd - Endereço: Binhai Economic Development Area Weifang - 262737 Shandong, China (Vinc. Reg. 17624)</t>
        </is>
      </c>
      <c r="H1057" s="7" t="inlineStr">
        <is>
          <t>Matriz / Estabelecimento Principal</t>
        </is>
      </c>
      <c r="I1057" s="7" t="inlineStr">
        <is>
          <t>10.486.463/0001-69</t>
        </is>
      </c>
      <c r="J1057" s="7" t="inlineStr">
        <is>
          <t>SEAPA/RS nº 1928/09</t>
        </is>
      </c>
      <c r="K1057" s="7" t="inlineStr">
        <is>
          <t>Estabelecimento Credenciado no Brasil</t>
        </is>
      </c>
      <c r="L1057" s="7" t="inlineStr">
        <is>
          <t>Brasil</t>
        </is>
      </c>
      <c r="M1057" s="7" t="inlineStr">
        <is>
          <t>0 - Nacional / 1 - Importação Direta</t>
        </is>
      </c>
    </row>
    <row r="1058" ht="22" customHeight="1">
      <c r="A1058" s="12" t="inlineStr">
        <is>
          <t>EMP-1054</t>
        </is>
      </c>
      <c r="B1058" s="11" t="n">
        <v>893</v>
      </c>
      <c r="C1058" s="13" t="inlineStr">
        <is>
          <t>Nº 17724</t>
        </is>
      </c>
      <c r="D1058" s="14" t="inlineStr">
        <is>
          <t>TECANOA</t>
        </is>
      </c>
      <c r="E1058" s="13" t="inlineStr">
        <is>
          <t>1. Titular do Registro</t>
        </is>
      </c>
      <c r="F1058" s="13" t="inlineStr">
        <is>
          <t>Produto Formulado Comercial</t>
        </is>
      </c>
      <c r="G1058" s="13" t="inlineStr">
        <is>
          <t>Rainbow Defensivos Agrícolas Ltda.- Porto Alegre/RS</t>
        </is>
      </c>
      <c r="H1058" s="13" t="inlineStr">
        <is>
          <t>Estabelecimento Credenciado</t>
        </is>
      </c>
      <c r="I1058" s="13" t="inlineStr">
        <is>
          <t>CNPJ Credenciado MAPA</t>
        </is>
      </c>
      <c r="J1058" s="13" t="inlineStr">
        <is>
          <t>Registro Estadual Vigente</t>
        </is>
      </c>
      <c r="K1058" s="13" t="inlineStr">
        <is>
          <t>Unidade Operacional Brasil</t>
        </is>
      </c>
      <c r="L1058" s="13" t="inlineStr">
        <is>
          <t>Brasil</t>
        </is>
      </c>
      <c r="M1058" s="13" t="inlineStr">
        <is>
          <t>0/1/2 - Conforme Origem do Lote</t>
        </is>
      </c>
    </row>
    <row r="1059" ht="22" customHeight="1">
      <c r="A1059" s="6" t="inlineStr">
        <is>
          <t>EMP-1055</t>
        </is>
      </c>
      <c r="B1059" s="5" t="n">
        <v>894</v>
      </c>
      <c r="C1059" s="7" t="inlineStr">
        <is>
          <t>VINC-17724</t>
        </is>
      </c>
      <c r="D1059" s="8" t="inlineStr">
        <is>
          <t>Tebuthiuron Técnico Rainbow</t>
        </is>
      </c>
      <c r="E1059" s="7" t="inlineStr">
        <is>
          <t>1. Titular do Registro / Produtor</t>
        </is>
      </c>
      <c r="F1059" s="7" t="inlineStr">
        <is>
          <t>Produto Técnico Industrial</t>
        </is>
      </c>
      <c r="G1059" s="7" t="inlineStr">
        <is>
          <t>Shandong Weifang Rainbow Chemical Co., Ltd. - Endereço: Binhai Economic Development Area, 262737, Weifang, Shandong, China (Vinc. Reg. 17724)</t>
        </is>
      </c>
      <c r="H1059" s="7" t="inlineStr">
        <is>
          <t>Matriz / Estabelecimento Principal</t>
        </is>
      </c>
      <c r="I1059" s="7" t="inlineStr">
        <is>
          <t>10.486.463/0001-69</t>
        </is>
      </c>
      <c r="J1059" s="7" t="inlineStr">
        <is>
          <t>SEAPA/RS nº 1928/09</t>
        </is>
      </c>
      <c r="K1059" s="7" t="inlineStr">
        <is>
          <t>Estabelecimento Credenciado no Brasil</t>
        </is>
      </c>
      <c r="L1059" s="7" t="inlineStr">
        <is>
          <t>Brasil</t>
        </is>
      </c>
      <c r="M1059" s="7" t="inlineStr">
        <is>
          <t>0 - Nacional / 1 - Importação Direta</t>
        </is>
      </c>
    </row>
    <row r="1060" ht="22" customHeight="1">
      <c r="A1060" s="12" t="inlineStr">
        <is>
          <t>EMP-1056</t>
        </is>
      </c>
      <c r="B1060" s="11" t="n">
        <v>895</v>
      </c>
      <c r="C1060" s="13" t="inlineStr">
        <is>
          <t>Nº 17824</t>
        </is>
      </c>
      <c r="D1060" s="14" t="inlineStr">
        <is>
          <t>NUF150F400</t>
        </is>
      </c>
      <c r="E1060" s="13" t="inlineStr">
        <is>
          <t>1. Titular do Registro</t>
        </is>
      </c>
      <c r="F1060" s="13" t="inlineStr">
        <is>
          <t>Produto Formulado Comercial</t>
        </is>
      </c>
      <c r="G1060" s="13" t="inlineStr">
        <is>
          <t>Sumitomo Chemical do Brasil Representações Ltda.- São Paulo/SP</t>
        </is>
      </c>
      <c r="H1060" s="13" t="inlineStr">
        <is>
          <t>Estabelecimento Credenciado</t>
        </is>
      </c>
      <c r="I1060" s="13" t="inlineStr">
        <is>
          <t>CNPJ Credenciado MAPA</t>
        </is>
      </c>
      <c r="J1060" s="13" t="inlineStr">
        <is>
          <t>Registro Estadual Vigente</t>
        </is>
      </c>
      <c r="K1060" s="13" t="inlineStr">
        <is>
          <t>Unidade Operacional Brasil</t>
        </is>
      </c>
      <c r="L1060" s="13" t="inlineStr">
        <is>
          <t>Brasil</t>
        </is>
      </c>
      <c r="M1060" s="13" t="inlineStr">
        <is>
          <t>0/1/2 - Conforme Origem do Lote</t>
        </is>
      </c>
    </row>
    <row r="1061" ht="22" customHeight="1">
      <c r="A1061" s="6" t="inlineStr">
        <is>
          <t>EMP-1057</t>
        </is>
      </c>
      <c r="B1061" s="5" t="n">
        <v>896</v>
      </c>
      <c r="C1061" s="7" t="inlineStr">
        <is>
          <t>VINC-17824</t>
        </is>
      </c>
      <c r="D1061" s="8" t="inlineStr">
        <is>
          <t>Triclopir-Butotílico Técnico Sumitomo</t>
        </is>
      </c>
      <c r="E1061" s="7" t="inlineStr">
        <is>
          <t>1. Titular / Fabricante Principal</t>
        </is>
      </c>
      <c r="F1061" s="7" t="inlineStr">
        <is>
          <t>Produto Técnico Industrial</t>
        </is>
      </c>
      <c r="G1061" s="7" t="inlineStr">
        <is>
          <t>Hebei Wanquan Lihua Chemicals Co. Ltd</t>
        </is>
      </c>
      <c r="H1061" s="7" t="inlineStr">
        <is>
          <t>Planta Principal</t>
        </is>
      </c>
      <c r="I1061" s="7" t="inlineStr">
        <is>
          <t>Conforme Ato DOU/MAPA</t>
        </is>
      </c>
      <c r="J1061" s="7" t="inlineStr">
        <is>
          <t>MAPA Vigente</t>
        </is>
      </c>
      <c r="K1061" s="7" t="inlineStr">
        <is>
          <t>Hebei Wanquan Lihua Chemicals Co. Ltd - Endereço: Kongjiazhuang - Wanquan, Hebei Province, China</t>
        </is>
      </c>
      <c r="L1061" s="7" t="inlineStr">
        <is>
          <t>China</t>
        </is>
      </c>
      <c r="M1061" s="7" t="inlineStr">
        <is>
          <t>1 - Importado</t>
        </is>
      </c>
    </row>
    <row r="1062" ht="22" customHeight="1">
      <c r="A1062" s="12" t="inlineStr">
        <is>
          <t>EMP-1058</t>
        </is>
      </c>
      <c r="B1062" s="11" t="n">
        <v>896</v>
      </c>
      <c r="C1062" s="13" t="inlineStr">
        <is>
          <t>VINC-17824</t>
        </is>
      </c>
      <c r="D1062" s="14" t="inlineStr">
        <is>
          <t>Triclopir-Butotílico Técnico Sumitomo</t>
        </is>
      </c>
      <c r="E1062" s="13" t="inlineStr">
        <is>
          <t>2. Fabricante do Produto Técnico Vinculado</t>
        </is>
      </c>
      <c r="F1062" s="13" t="inlineStr">
        <is>
          <t>Picloram Técnico Sumitomo</t>
        </is>
      </c>
      <c r="G1062" s="13" t="inlineStr">
        <is>
          <t>Nufarm Australia Limited.</t>
        </is>
      </c>
      <c r="H1062" s="13" t="inlineStr">
        <is>
          <t>Unidade Fabril Síntese</t>
        </is>
      </c>
      <c r="I1062" s="13" t="inlineStr">
        <is>
          <t>Registro DOU/MAPA</t>
        </is>
      </c>
      <c r="J1062" s="13" t="inlineStr">
        <is>
          <t>Isento Exterior / MAPA</t>
        </is>
      </c>
      <c r="K1062" s="13" t="inlineStr">
        <is>
          <t>Nome: Nufarm Australia Limited. - Endereço: 103-105 Pipe Road, Laverton North 3026, Victoria, Austrália (Vinc. Reg. 17824)</t>
        </is>
      </c>
      <c r="L1062" s="13" t="inlineStr">
        <is>
          <t>Exterior</t>
        </is>
      </c>
      <c r="M1062" s="13" t="inlineStr">
        <is>
          <t>1/2 - Insumo Importado</t>
        </is>
      </c>
    </row>
    <row r="1063" ht="22" customHeight="1">
      <c r="A1063" s="6" t="inlineStr">
        <is>
          <t>EMP-1059</t>
        </is>
      </c>
      <c r="B1063" s="5" t="n">
        <v>897</v>
      </c>
      <c r="C1063" s="7" t="inlineStr">
        <is>
          <t>Nº 17924</t>
        </is>
      </c>
      <c r="D1063" s="8" t="inlineStr">
        <is>
          <t>CIFRÃO</t>
        </is>
      </c>
      <c r="E1063" s="7" t="inlineStr">
        <is>
          <t>1. Titular do Registro</t>
        </is>
      </c>
      <c r="F1063" s="7" t="inlineStr">
        <is>
          <t>Produto Formulado Comercial</t>
        </is>
      </c>
      <c r="G1063" s="7" t="inlineStr">
        <is>
          <t>Helm do Brasil Mercantil Ltda.- São Paulo/SP</t>
        </is>
      </c>
      <c r="H1063" s="7" t="inlineStr">
        <is>
          <t>Estabelecimento Credenciado</t>
        </is>
      </c>
      <c r="I1063" s="7" t="inlineStr">
        <is>
          <t>CNPJ Credenciado MAPA</t>
        </is>
      </c>
      <c r="J1063" s="7" t="inlineStr">
        <is>
          <t>Registro Estadual Vigente</t>
        </is>
      </c>
      <c r="K1063" s="7" t="inlineStr">
        <is>
          <t>Unidade Operacional Brasil</t>
        </is>
      </c>
      <c r="L1063" s="7" t="inlineStr">
        <is>
          <t>Brasil</t>
        </is>
      </c>
      <c r="M1063" s="7" t="inlineStr">
        <is>
          <t>0/1/2 - Conforme Origem do Lote</t>
        </is>
      </c>
    </row>
    <row r="1064" ht="22" customHeight="1">
      <c r="A1064" s="12" t="inlineStr">
        <is>
          <t>EMP-1060</t>
        </is>
      </c>
      <c r="B1064" s="11" t="n">
        <v>898</v>
      </c>
      <c r="C1064" s="13" t="inlineStr">
        <is>
          <t>VINC-17924</t>
        </is>
      </c>
      <c r="D1064" s="14" t="inlineStr">
        <is>
          <t>Imidacloprid 97 Técnico Helm</t>
        </is>
      </c>
      <c r="E1064" s="13" t="inlineStr">
        <is>
          <t>1. Titular / Fabricante Principal</t>
        </is>
      </c>
      <c r="F1064" s="13" t="inlineStr">
        <is>
          <t>Produto Técnico Industrial</t>
        </is>
      </c>
      <c r="G1064" s="13" t="inlineStr">
        <is>
          <t>Jiangsu Changlong Chemicals Co., Ltd.</t>
        </is>
      </c>
      <c r="H1064" s="13" t="inlineStr">
        <is>
          <t>Planta Principal</t>
        </is>
      </c>
      <c r="I1064" s="13" t="inlineStr">
        <is>
          <t>Conforme Ato DOU/MAPA</t>
        </is>
      </c>
      <c r="J1064" s="13" t="inlineStr">
        <is>
          <t>MAPA Vigente</t>
        </is>
      </c>
      <c r="K1064" s="13" t="inlineStr">
        <is>
          <t>Jiangsu Changlong Chemicals Co., Ltd. - Endereço: Longhu Tang, New District of Changzhou, 213031, Jiangsu - China</t>
        </is>
      </c>
      <c r="L1064" s="13" t="inlineStr">
        <is>
          <t>China</t>
        </is>
      </c>
      <c r="M1064" s="13" t="inlineStr">
        <is>
          <t>1 - Importado</t>
        </is>
      </c>
    </row>
    <row r="1065" ht="22" customHeight="1">
      <c r="A1065" s="6" t="inlineStr">
        <is>
          <t>EMP-1061</t>
        </is>
      </c>
      <c r="B1065" s="5" t="n">
        <v>898</v>
      </c>
      <c r="C1065" s="7" t="inlineStr">
        <is>
          <t>VINC-17924</t>
        </is>
      </c>
      <c r="D1065" s="8" t="inlineStr">
        <is>
          <t>Imidacloprid 97 Técnico Helm</t>
        </is>
      </c>
      <c r="E1065" s="7" t="inlineStr">
        <is>
          <t>2. Fabricante do Produto Técnico Vinculado</t>
        </is>
      </c>
      <c r="F1065" s="7" t="inlineStr">
        <is>
          <t>Lambda-Cyhalothrin 97 Técnico Helm</t>
        </is>
      </c>
      <c r="G1065" s="7" t="inlineStr">
        <is>
          <t>Jiangsu Changlong Chemicals Co., Ltd.</t>
        </is>
      </c>
      <c r="H1065" s="7" t="inlineStr">
        <is>
          <t>Unidade Fabril Síntese</t>
        </is>
      </c>
      <c r="I1065" s="7" t="inlineStr">
        <is>
          <t>Registro DOU/MAPA</t>
        </is>
      </c>
      <c r="J1065" s="7" t="inlineStr">
        <is>
          <t>Isento Exterior / MAPA</t>
        </is>
      </c>
      <c r="K1065" s="7" t="inlineStr">
        <is>
          <t>Nome: Jiangsu Changlong Chemicals Co., Ltd. - Endereço: Longhu Tang, New District of Changzhou, 213031, Jiangsu - China (Vinc. Reg. 17924)</t>
        </is>
      </c>
      <c r="L1065" s="7" t="inlineStr">
        <is>
          <t>China</t>
        </is>
      </c>
      <c r="M1065" s="7" t="inlineStr">
        <is>
          <t>1/2 - Insumo Importado</t>
        </is>
      </c>
    </row>
    <row r="1066" ht="22" customHeight="1">
      <c r="A1066" s="12" t="inlineStr">
        <is>
          <t>EMP-1062</t>
        </is>
      </c>
      <c r="B1066" s="11" t="n">
        <v>899</v>
      </c>
      <c r="C1066" s="13" t="inlineStr">
        <is>
          <t>Nº 18024</t>
        </is>
      </c>
      <c r="D1066" s="14" t="inlineStr">
        <is>
          <t>P&amp;D 149 B</t>
        </is>
      </c>
      <c r="E1066" s="13" t="inlineStr">
        <is>
          <t>1. Titular do Registro</t>
        </is>
      </c>
      <c r="F1066" s="13" t="inlineStr">
        <is>
          <t>Produto Formulado Comercial</t>
        </is>
      </c>
      <c r="G1066" s="13" t="inlineStr">
        <is>
          <t>Massen Produtos Biológicos S.A.- Indaiatuba/SP</t>
        </is>
      </c>
      <c r="H1066" s="13" t="inlineStr">
        <is>
          <t>Estabelecimento Credenciado</t>
        </is>
      </c>
      <c r="I1066" s="13" t="inlineStr">
        <is>
          <t>CNPJ Credenciado MAPA</t>
        </is>
      </c>
      <c r="J1066" s="13" t="inlineStr">
        <is>
          <t>Registro Estadual Vigente</t>
        </is>
      </c>
      <c r="K1066" s="13" t="inlineStr">
        <is>
          <t>Unidade Operacional Brasil</t>
        </is>
      </c>
      <c r="L1066" s="13" t="inlineStr">
        <is>
          <t>Brasil</t>
        </is>
      </c>
      <c r="M1066" s="13" t="inlineStr">
        <is>
          <t>0/1/2 - Conforme Origem do Lote</t>
        </is>
      </c>
    </row>
    <row r="1067" ht="22" customHeight="1">
      <c r="A1067" s="6" t="inlineStr">
        <is>
          <t>EMP-1063</t>
        </is>
      </c>
      <c r="B1067" s="5" t="n">
        <v>900</v>
      </c>
      <c r="C1067" s="7" t="inlineStr">
        <is>
          <t>Nº 18124</t>
        </is>
      </c>
      <c r="D1067" s="8" t="inlineStr">
        <is>
          <t>EVOLUT DUO</t>
        </is>
      </c>
      <c r="E1067" s="7" t="inlineStr">
        <is>
          <t>1. Titular do Registro</t>
        </is>
      </c>
      <c r="F1067" s="7" t="inlineStr">
        <is>
          <t>Produto Formulado Comercial</t>
        </is>
      </c>
      <c r="G1067" s="7" t="inlineStr">
        <is>
          <t>Alfa Agrotec Produtos Agrícolas Ltda- Jaboticabal/SP</t>
        </is>
      </c>
      <c r="H1067" s="7" t="inlineStr">
        <is>
          <t>Estabelecimento Credenciado</t>
        </is>
      </c>
      <c r="I1067" s="7" t="inlineStr">
        <is>
          <t>CNPJ Credenciado MAPA</t>
        </is>
      </c>
      <c r="J1067" s="7" t="inlineStr">
        <is>
          <t>Registro Estadual Vigente</t>
        </is>
      </c>
      <c r="K1067" s="7" t="inlineStr">
        <is>
          <t>Unidade Operacional Brasil</t>
        </is>
      </c>
      <c r="L1067" s="7" t="inlineStr">
        <is>
          <t>Brasil</t>
        </is>
      </c>
      <c r="M1067" s="7" t="inlineStr">
        <is>
          <t>0/1/2 - Conforme Origem do Lote</t>
        </is>
      </c>
    </row>
    <row r="1068" ht="22" customHeight="1">
      <c r="A1068" s="12" t="inlineStr">
        <is>
          <t>EMP-1064</t>
        </is>
      </c>
      <c r="B1068" s="11" t="n">
        <v>901</v>
      </c>
      <c r="C1068" s="13" t="inlineStr">
        <is>
          <t>Nº 18224</t>
        </is>
      </c>
      <c r="D1068" s="14" t="inlineStr">
        <is>
          <t>FUNGUS HIZIUM</t>
        </is>
      </c>
      <c r="E1068" s="13" t="inlineStr">
        <is>
          <t>1. Titular do Registro</t>
        </is>
      </c>
      <c r="F1068" s="13" t="inlineStr">
        <is>
          <t>Produto Formulado Comercial</t>
        </is>
      </c>
      <c r="G1068" s="13" t="inlineStr">
        <is>
          <t>Organoplant - Indústria, Comércio, Importação e Exportação de Produtos Agrícolas Ltda.- Martinóplois</t>
        </is>
      </c>
      <c r="H1068" s="13" t="inlineStr">
        <is>
          <t>Estabelecimento Credenciado</t>
        </is>
      </c>
      <c r="I1068" s="13" t="inlineStr">
        <is>
          <t>CNPJ Credenciado MAPA</t>
        </is>
      </c>
      <c r="J1068" s="13" t="inlineStr">
        <is>
          <t>Registro Estadual Vigente</t>
        </is>
      </c>
      <c r="K1068" s="13" t="inlineStr">
        <is>
          <t>Unidade Operacional Brasil</t>
        </is>
      </c>
      <c r="L1068" s="13" t="inlineStr">
        <is>
          <t>Brasil</t>
        </is>
      </c>
      <c r="M1068" s="13" t="inlineStr">
        <is>
          <t>0/1/2 - Conforme Origem do Lote</t>
        </is>
      </c>
    </row>
    <row r="1069" ht="22" customHeight="1">
      <c r="A1069" s="6" t="inlineStr">
        <is>
          <t>EMP-1065</t>
        </is>
      </c>
      <c r="B1069" s="5" t="n">
        <v>902</v>
      </c>
      <c r="C1069" s="7" t="inlineStr">
        <is>
          <t>Nº 18324</t>
        </is>
      </c>
      <c r="D1069" s="8" t="inlineStr">
        <is>
          <t>GLÁDIOS</t>
        </is>
      </c>
      <c r="E1069" s="7" t="inlineStr">
        <is>
          <t>1. Titular do Registro</t>
        </is>
      </c>
      <c r="F1069" s="7" t="inlineStr">
        <is>
          <t>Produto Formulado Comercial</t>
        </is>
      </c>
      <c r="G1069" s="7" t="inlineStr">
        <is>
          <t>Companhia Nitro Química Brasileira- Sertãozinho/SP</t>
        </is>
      </c>
      <c r="H1069" s="7" t="inlineStr">
        <is>
          <t>Estabelecimento Credenciado</t>
        </is>
      </c>
      <c r="I1069" s="7" t="inlineStr">
        <is>
          <t>CNPJ Credenciado MAPA</t>
        </is>
      </c>
      <c r="J1069" s="7" t="inlineStr">
        <is>
          <t>Registro Estadual Vigente</t>
        </is>
      </c>
      <c r="K1069" s="7" t="inlineStr">
        <is>
          <t>Unidade Operacional Brasil</t>
        </is>
      </c>
      <c r="L1069" s="7" t="inlineStr">
        <is>
          <t>Brasil</t>
        </is>
      </c>
      <c r="M1069" s="7" t="inlineStr">
        <is>
          <t>0/1/2 - Conforme Origem do Lote</t>
        </is>
      </c>
    </row>
    <row r="1070" ht="22" customHeight="1">
      <c r="A1070" s="12" t="inlineStr">
        <is>
          <t>EMP-1066</t>
        </is>
      </c>
      <c r="B1070" s="11" t="n">
        <v>903</v>
      </c>
      <c r="C1070" s="13" t="inlineStr">
        <is>
          <t>Nº 18424</t>
        </is>
      </c>
      <c r="D1070" s="14" t="inlineStr">
        <is>
          <t>PHOSAL</t>
        </is>
      </c>
      <c r="E1070" s="13" t="inlineStr">
        <is>
          <t>1. Titular do Registro</t>
        </is>
      </c>
      <c r="F1070" s="13" t="inlineStr">
        <is>
          <t>Produto Formulado Comercial</t>
        </is>
      </c>
      <c r="G1070" s="13" t="inlineStr">
        <is>
          <t>Partner Agroservice Consultoria em Agronogócio Ltda-EPP.- Campinas/SP</t>
        </is>
      </c>
      <c r="H1070" s="13" t="inlineStr">
        <is>
          <t>Estabelecimento Credenciado</t>
        </is>
      </c>
      <c r="I1070" s="13" t="inlineStr">
        <is>
          <t>CNPJ Credenciado MAPA</t>
        </is>
      </c>
      <c r="J1070" s="13" t="inlineStr">
        <is>
          <t>Registro Estadual Vigente</t>
        </is>
      </c>
      <c r="K1070" s="13" t="inlineStr">
        <is>
          <t>Unidade Operacional Brasil</t>
        </is>
      </c>
      <c r="L1070" s="13" t="inlineStr">
        <is>
          <t>Brasil</t>
        </is>
      </c>
      <c r="M1070" s="13" t="inlineStr">
        <is>
          <t>0/1/2 - Conforme Origem do Lote</t>
        </is>
      </c>
    </row>
    <row r="1071" ht="22" customHeight="1">
      <c r="A1071" s="6" t="inlineStr">
        <is>
          <t>EMP-1067</t>
        </is>
      </c>
      <c r="B1071" s="5" t="n">
        <v>904</v>
      </c>
      <c r="C1071" s="7" t="inlineStr">
        <is>
          <t>Nº 18524</t>
        </is>
      </c>
      <c r="D1071" s="8" t="inlineStr">
        <is>
          <t>BRADOOCK 72 WG BR</t>
        </is>
      </c>
      <c r="E1071" s="7" t="inlineStr">
        <is>
          <t>1. Titular do Registro</t>
        </is>
      </c>
      <c r="F1071" s="7" t="inlineStr">
        <is>
          <t>Produto Técnico Industrial</t>
        </is>
      </c>
      <c r="G1071" s="7" t="inlineStr">
        <is>
          <t>CHDS DO BRASIL COMERCIO DE INSUMOS AGRICOLAS LTDA.- São Miguel do Iguaçu/PR</t>
        </is>
      </c>
      <c r="H1071" s="7" t="inlineStr">
        <is>
          <t>Estabelecimento Credenciado</t>
        </is>
      </c>
      <c r="I1071" s="7" t="inlineStr">
        <is>
          <t>CNPJ Credenciado MAPA</t>
        </is>
      </c>
      <c r="J1071" s="7" t="inlineStr">
        <is>
          <t>Registro Estadual Vigente</t>
        </is>
      </c>
      <c r="K1071" s="7" t="inlineStr">
        <is>
          <t>Unidade Operacional Brasil</t>
        </is>
      </c>
      <c r="L1071" s="7" t="inlineStr">
        <is>
          <t>Brasil</t>
        </is>
      </c>
      <c r="M1071" s="7" t="inlineStr">
        <is>
          <t>0/1/2 - Conforme Origem do Lote</t>
        </is>
      </c>
    </row>
    <row r="1072" ht="22" customHeight="1">
      <c r="A1072" s="12" t="inlineStr">
        <is>
          <t>EMP-1068</t>
        </is>
      </c>
      <c r="B1072" s="11" t="n">
        <v>905</v>
      </c>
      <c r="C1072" s="13" t="inlineStr">
        <is>
          <t>VINC-18524</t>
        </is>
      </c>
      <c r="D1072" s="14" t="inlineStr">
        <is>
          <t>Glifosato Técnico Biorisk</t>
        </is>
      </c>
      <c r="E1072" s="13" t="inlineStr">
        <is>
          <t>1. Titular do Registro / Produtor</t>
        </is>
      </c>
      <c r="F1072" s="13" t="inlineStr">
        <is>
          <t>Produto Técnico Industrial</t>
        </is>
      </c>
      <c r="G1072" s="13" t="inlineStr">
        <is>
          <t>Jingma Chemicals Co., Ltd - Endereço: No.50 Baota Road, Longyou , Quzhou City, Zhejiang Province - China (Vinc. Reg. 18524)</t>
        </is>
      </c>
      <c r="H1072" s="13" t="inlineStr">
        <is>
          <t>Matriz / Estabelecimento Principal</t>
        </is>
      </c>
      <c r="I1072" s="13" t="inlineStr">
        <is>
          <t>CNPJ Credenciado MAPA/SIPEAGRO</t>
        </is>
      </c>
      <c r="J1072" s="13" t="inlineStr">
        <is>
          <t>Registro Estadual Vigente</t>
        </is>
      </c>
      <c r="K1072" s="13" t="inlineStr">
        <is>
          <t>Estabelecimento Credenciado no Brasil</t>
        </is>
      </c>
      <c r="L1072" s="13" t="inlineStr">
        <is>
          <t>Brasil</t>
        </is>
      </c>
      <c r="M1072" s="13" t="inlineStr">
        <is>
          <t>0 - Nacional / 1 - Importação Direta</t>
        </is>
      </c>
    </row>
    <row r="1073" ht="22" customHeight="1">
      <c r="A1073" s="6" t="inlineStr">
        <is>
          <t>EMP-1069</t>
        </is>
      </c>
      <c r="B1073" s="5" t="n">
        <v>906</v>
      </c>
      <c r="C1073" s="7" t="inlineStr">
        <is>
          <t>Nº 18624</t>
        </is>
      </c>
      <c r="D1073" s="8" t="inlineStr">
        <is>
          <t>ORSA 400 EC</t>
        </is>
      </c>
      <c r="E1073" s="7" t="inlineStr">
        <is>
          <t>1. Titular do Registro</t>
        </is>
      </c>
      <c r="F1073" s="7" t="inlineStr">
        <is>
          <t>Produto Formulado Comercial</t>
        </is>
      </c>
      <c r="G1073" s="7" t="inlineStr">
        <is>
          <t>Tecnomyl Brasil Distribuidora de Produtos Agrícolas Ltda.- Foz do Iguaçu/PR</t>
        </is>
      </c>
      <c r="H1073" s="7" t="inlineStr">
        <is>
          <t>Estabelecimento Credenciado</t>
        </is>
      </c>
      <c r="I1073" s="7" t="inlineStr">
        <is>
          <t>CNPJ Credenciado MAPA</t>
        </is>
      </c>
      <c r="J1073" s="7" t="inlineStr">
        <is>
          <t>Registro Estadual Vigente</t>
        </is>
      </c>
      <c r="K1073" s="7" t="inlineStr">
        <is>
          <t>Unidade Operacional Brasil</t>
        </is>
      </c>
      <c r="L1073" s="7" t="inlineStr">
        <is>
          <t>Brasil</t>
        </is>
      </c>
      <c r="M1073" s="7" t="inlineStr">
        <is>
          <t>0/1/2 - Conforme Origem do Lote</t>
        </is>
      </c>
    </row>
    <row r="1074" ht="22" customHeight="1">
      <c r="A1074" s="12" t="inlineStr">
        <is>
          <t>EMP-1070</t>
        </is>
      </c>
      <c r="B1074" s="11" t="n">
        <v>907</v>
      </c>
      <c r="C1074" s="13" t="inlineStr">
        <is>
          <t>Nº 18624</t>
        </is>
      </c>
      <c r="D1074" s="14" t="inlineStr">
        <is>
          <t>BIFENTRINA 400 EC TECNOMYL</t>
        </is>
      </c>
      <c r="E1074" s="13" t="inlineStr">
        <is>
          <t>1. Titular do Registro</t>
        </is>
      </c>
      <c r="F1074" s="13" t="inlineStr">
        <is>
          <t>Produto Formulado Comercial</t>
        </is>
      </c>
      <c r="G1074" s="13" t="inlineStr">
        <is>
          <t>Tecnomyl Brasil Distribuidora de Produtos Agrícolas Ltda.- Foz do Iguaçu/PR</t>
        </is>
      </c>
      <c r="H1074" s="13" t="inlineStr">
        <is>
          <t>Estabelecimento Credenciado</t>
        </is>
      </c>
      <c r="I1074" s="13" t="inlineStr">
        <is>
          <t>CNPJ Credenciado MAPA</t>
        </is>
      </c>
      <c r="J1074" s="13" t="inlineStr">
        <is>
          <t>Registro Estadual Vigente</t>
        </is>
      </c>
      <c r="K1074" s="13" t="inlineStr">
        <is>
          <t>Unidade Operacional Brasil</t>
        </is>
      </c>
      <c r="L1074" s="13" t="inlineStr">
        <is>
          <t>Brasil</t>
        </is>
      </c>
      <c r="M1074" s="13" t="inlineStr">
        <is>
          <t>0/1/2 - Conforme Origem do Lote</t>
        </is>
      </c>
    </row>
    <row r="1075" ht="22" customHeight="1">
      <c r="A1075" s="6" t="inlineStr">
        <is>
          <t>EMP-1071</t>
        </is>
      </c>
      <c r="B1075" s="5" t="n">
        <v>908</v>
      </c>
      <c r="C1075" s="7" t="inlineStr">
        <is>
          <t>Nº 18624</t>
        </is>
      </c>
      <c r="D1075" s="8" t="inlineStr">
        <is>
          <t>BIFENTRINA 400 EC TECNOMYL I</t>
        </is>
      </c>
      <c r="E1075" s="7" t="inlineStr">
        <is>
          <t>1. Titular do Registro</t>
        </is>
      </c>
      <c r="F1075" s="7" t="inlineStr">
        <is>
          <t>Produto Formulado Comercial</t>
        </is>
      </c>
      <c r="G1075" s="7" t="inlineStr">
        <is>
          <t>Tecnomyl Brasil Distribuidora de Produtos Agrícolas Ltda.- Foz do Iguaçu/PR</t>
        </is>
      </c>
      <c r="H1075" s="7" t="inlineStr">
        <is>
          <t>Estabelecimento Credenciado</t>
        </is>
      </c>
      <c r="I1075" s="7" t="inlineStr">
        <is>
          <t>CNPJ Credenciado MAPA</t>
        </is>
      </c>
      <c r="J1075" s="7" t="inlineStr">
        <is>
          <t>Registro Estadual Vigente</t>
        </is>
      </c>
      <c r="K1075" s="7" t="inlineStr">
        <is>
          <t>Unidade Operacional Brasil</t>
        </is>
      </c>
      <c r="L1075" s="7" t="inlineStr">
        <is>
          <t>Brasil</t>
        </is>
      </c>
      <c r="M1075" s="7" t="inlineStr">
        <is>
          <t>0/1/2 - Conforme Origem do Lote</t>
        </is>
      </c>
    </row>
    <row r="1076" ht="22" customHeight="1">
      <c r="A1076" s="12" t="inlineStr">
        <is>
          <t>EMP-1072</t>
        </is>
      </c>
      <c r="B1076" s="11" t="n">
        <v>909</v>
      </c>
      <c r="C1076" s="13" t="inlineStr">
        <is>
          <t>Nº 18624</t>
        </is>
      </c>
      <c r="D1076" s="14" t="inlineStr">
        <is>
          <t>BIFENTRINA 400 EC TECNOMYL II</t>
        </is>
      </c>
      <c r="E1076" s="13" t="inlineStr">
        <is>
          <t>1. Titular do Registro</t>
        </is>
      </c>
      <c r="F1076" s="13" t="inlineStr">
        <is>
          <t>Produto Formulado Comercial</t>
        </is>
      </c>
      <c r="G1076" s="13" t="inlineStr">
        <is>
          <t>Tecnomyl Brasil Distribuidora de Produtos Agrícolas Ltda.- Foz do Iguaçu/PR</t>
        </is>
      </c>
      <c r="H1076" s="13" t="inlineStr">
        <is>
          <t>Estabelecimento Credenciado</t>
        </is>
      </c>
      <c r="I1076" s="13" t="inlineStr">
        <is>
          <t>CNPJ Credenciado MAPA</t>
        </is>
      </c>
      <c r="J1076" s="13" t="inlineStr">
        <is>
          <t>Registro Estadual Vigente</t>
        </is>
      </c>
      <c r="K1076" s="13" t="inlineStr">
        <is>
          <t>Unidade Operacional Brasil</t>
        </is>
      </c>
      <c r="L1076" s="13" t="inlineStr">
        <is>
          <t>Brasil</t>
        </is>
      </c>
      <c r="M1076" s="13" t="inlineStr">
        <is>
          <t>0/1/2 - Conforme Origem do Lote</t>
        </is>
      </c>
    </row>
    <row r="1077" ht="22" customHeight="1">
      <c r="A1077" s="6" t="inlineStr">
        <is>
          <t>EMP-1073</t>
        </is>
      </c>
      <c r="B1077" s="5" t="n">
        <v>910</v>
      </c>
      <c r="C1077" s="7" t="inlineStr">
        <is>
          <t>Nº 18624</t>
        </is>
      </c>
      <c r="D1077" s="8" t="inlineStr">
        <is>
          <t>BIFENTRINA 400 EC TECNOMYL III</t>
        </is>
      </c>
      <c r="E1077" s="7" t="inlineStr">
        <is>
          <t>1. Titular do Registro</t>
        </is>
      </c>
      <c r="F1077" s="7" t="inlineStr">
        <is>
          <t>Produto Formulado Comercial</t>
        </is>
      </c>
      <c r="G1077" s="7" t="inlineStr">
        <is>
          <t>Tecnomyl Brasil Distribuidora de Produtos Agrícolas Ltda.- Foz do Iguaçu/PR</t>
        </is>
      </c>
      <c r="H1077" s="7" t="inlineStr">
        <is>
          <t>Estabelecimento Credenciado</t>
        </is>
      </c>
      <c r="I1077" s="7" t="inlineStr">
        <is>
          <t>CNPJ Credenciado MAPA</t>
        </is>
      </c>
      <c r="J1077" s="7" t="inlineStr">
        <is>
          <t>Registro Estadual Vigente</t>
        </is>
      </c>
      <c r="K1077" s="7" t="inlineStr">
        <is>
          <t>Unidade Operacional Brasil</t>
        </is>
      </c>
      <c r="L1077" s="7" t="inlineStr">
        <is>
          <t>Brasil</t>
        </is>
      </c>
      <c r="M1077" s="7" t="inlineStr">
        <is>
          <t>0/1/2 - Conforme Origem do Lote</t>
        </is>
      </c>
    </row>
    <row r="1078" ht="22" customHeight="1">
      <c r="A1078" s="12" t="inlineStr">
        <is>
          <t>EMP-1074</t>
        </is>
      </c>
      <c r="B1078" s="11" t="n">
        <v>911</v>
      </c>
      <c r="C1078" s="13" t="inlineStr">
        <is>
          <t>VINC-18624</t>
        </is>
      </c>
      <c r="D1078" s="14" t="inlineStr">
        <is>
          <t>Bifentrina Técnico Tecnomyl</t>
        </is>
      </c>
      <c r="E1078" s="13" t="inlineStr">
        <is>
          <t>1. Titular do Registro</t>
        </is>
      </c>
      <c r="F1078" s="13" t="inlineStr">
        <is>
          <t>Produto Técnico Industrial</t>
        </is>
      </c>
      <c r="G1078" s="13" t="inlineStr">
        <is>
          <t>Meghmani Organics Limited - Endereço: Plot N° 5001</t>
        </is>
      </c>
      <c r="H1078" s="13" t="inlineStr">
        <is>
          <t>Estabelecimento Credenciado</t>
        </is>
      </c>
      <c r="I1078" s="13" t="inlineStr">
        <is>
          <t>CNPJ Credenciado MAPA</t>
        </is>
      </c>
      <c r="J1078" s="13" t="inlineStr">
        <is>
          <t>Registro Estadual Vigente</t>
        </is>
      </c>
      <c r="K1078" s="13" t="inlineStr">
        <is>
          <t>Unidade Operacional Brasil</t>
        </is>
      </c>
      <c r="L1078" s="13" t="inlineStr">
        <is>
          <t>Brasil</t>
        </is>
      </c>
      <c r="M1078" s="13" t="inlineStr">
        <is>
          <t>0/1/2 - Conforme Origem do Lote</t>
        </is>
      </c>
    </row>
    <row r="1079" ht="22" customHeight="1">
      <c r="A1079" s="6" t="inlineStr">
        <is>
          <t>EMP-1075</t>
        </is>
      </c>
      <c r="B1079" s="5" t="n">
        <v>911</v>
      </c>
      <c r="C1079" s="7" t="inlineStr">
        <is>
          <t>VINC-18624</t>
        </is>
      </c>
      <c r="D1079" s="8" t="inlineStr">
        <is>
          <t>Bifentrina Técnico Tecnomyl</t>
        </is>
      </c>
      <c r="E1079" s="7" t="inlineStr">
        <is>
          <t>3. Formulador / Co-Distribuidor Autorizado</t>
        </is>
      </c>
      <c r="F1079" s="7" t="inlineStr">
        <is>
          <t>Produto Técnico Industrial</t>
        </is>
      </c>
      <c r="G1079" s="7" t="inlineStr">
        <is>
          <t>B, 5027-5034, 4707</t>
        </is>
      </c>
      <c r="H1079" s="7" t="inlineStr">
        <is>
          <t>Estabelecimento Credenciado</t>
        </is>
      </c>
      <c r="I1079" s="7" t="inlineStr">
        <is>
          <t>CNPJ Credenciado MAPA</t>
        </is>
      </c>
      <c r="J1079" s="7" t="inlineStr">
        <is>
          <t>Registro Estadual Vigente</t>
        </is>
      </c>
      <c r="K1079" s="7" t="inlineStr">
        <is>
          <t>Unidade Operacional Brasil</t>
        </is>
      </c>
      <c r="L1079" s="7" t="inlineStr">
        <is>
          <t>Brasil</t>
        </is>
      </c>
      <c r="M1079" s="7" t="inlineStr">
        <is>
          <t>0/1/2 - Conforme Origem do Lote</t>
        </is>
      </c>
    </row>
    <row r="1080" ht="22" customHeight="1">
      <c r="A1080" s="12" t="inlineStr">
        <is>
          <t>EMP-1076</t>
        </is>
      </c>
      <c r="B1080" s="11" t="n">
        <v>911</v>
      </c>
      <c r="C1080" s="13" t="inlineStr">
        <is>
          <t>VINC-18624</t>
        </is>
      </c>
      <c r="D1080" s="14" t="inlineStr">
        <is>
          <t>Bifentrina Técnico Tecnomyl</t>
        </is>
      </c>
      <c r="E1080" s="13" t="inlineStr">
        <is>
          <t>3. Formulador / Co-Distribuidor Autorizado</t>
        </is>
      </c>
      <c r="F1080" s="13" t="inlineStr">
        <is>
          <t>Produto Técnico Industrial</t>
        </is>
      </c>
      <c r="G1080" s="13" t="inlineStr">
        <is>
          <t>B &amp; 4707</t>
        </is>
      </c>
      <c r="H1080" s="13" t="inlineStr">
        <is>
          <t>Estabelecimento Credenciado</t>
        </is>
      </c>
      <c r="I1080" s="13" t="inlineStr">
        <is>
          <t>CNPJ Credenciado MAPA</t>
        </is>
      </c>
      <c r="J1080" s="13" t="inlineStr">
        <is>
          <t>Registro Estadual Vigente</t>
        </is>
      </c>
      <c r="K1080" s="13" t="inlineStr">
        <is>
          <t>Unidade Operacional Brasil</t>
        </is>
      </c>
      <c r="L1080" s="13" t="inlineStr">
        <is>
          <t>Brasil</t>
        </is>
      </c>
      <c r="M1080" s="13" t="inlineStr">
        <is>
          <t>0/1/2 - Conforme Origem do Lote</t>
        </is>
      </c>
    </row>
    <row r="1081" ht="22" customHeight="1">
      <c r="A1081" s="6" t="inlineStr">
        <is>
          <t>EMP-1077</t>
        </is>
      </c>
      <c r="B1081" s="5" t="n">
        <v>911</v>
      </c>
      <c r="C1081" s="7" t="inlineStr">
        <is>
          <t>VINC-18624</t>
        </is>
      </c>
      <c r="D1081" s="8" t="inlineStr">
        <is>
          <t>Bifentrina Técnico Tecnomyl</t>
        </is>
      </c>
      <c r="E1081" s="7" t="inlineStr">
        <is>
          <t>3. Formulador / Co-Distribuidor Autorizado</t>
        </is>
      </c>
      <c r="F1081" s="7" t="inlineStr">
        <is>
          <t>Produto Técnico Industrial</t>
        </is>
      </c>
      <c r="G1081" s="7" t="inlineStr">
        <is>
          <t>P G.I.D.C. Industrial Estate, Ankleshwar, Dist. Baruch, 393002, Gujarat, Índia (Vinc. Reg. 18624)</t>
        </is>
      </c>
      <c r="H1081" s="7" t="inlineStr">
        <is>
          <t>Estabelecimento Credenciado</t>
        </is>
      </c>
      <c r="I1081" s="7" t="inlineStr">
        <is>
          <t>CNPJ Credenciado MAPA</t>
        </is>
      </c>
      <c r="J1081" s="7" t="inlineStr">
        <is>
          <t>Registro Estadual Vigente</t>
        </is>
      </c>
      <c r="K1081" s="7" t="inlineStr">
        <is>
          <t>Unidade Operacional Brasil</t>
        </is>
      </c>
      <c r="L1081" s="7" t="inlineStr">
        <is>
          <t>Brasil</t>
        </is>
      </c>
      <c r="M1081" s="7" t="inlineStr">
        <is>
          <t>0/1/2 - Conforme Origem do Lote</t>
        </is>
      </c>
    </row>
    <row r="1082" ht="22" customHeight="1">
      <c r="A1082" s="12" t="inlineStr">
        <is>
          <t>EMP-1078</t>
        </is>
      </c>
      <c r="B1082" s="11" t="n">
        <v>912</v>
      </c>
      <c r="C1082" s="13" t="inlineStr">
        <is>
          <t>Nº 18724</t>
        </is>
      </c>
      <c r="D1082" s="14" t="inlineStr">
        <is>
          <t>PYRIPROXYFEN WOOD 100 EC</t>
        </is>
      </c>
      <c r="E1082" s="13" t="inlineStr">
        <is>
          <t>1. Titular do Registro</t>
        </is>
      </c>
      <c r="F1082" s="13" t="inlineStr">
        <is>
          <t>Produto Técnico Industrial</t>
        </is>
      </c>
      <c r="G1082" s="13" t="inlineStr">
        <is>
          <t>Lemma Agronegócios Importação e Exportação Ltda- Campinas/SP</t>
        </is>
      </c>
      <c r="H1082" s="13" t="inlineStr">
        <is>
          <t>Estabelecimento Credenciado</t>
        </is>
      </c>
      <c r="I1082" s="13" t="inlineStr">
        <is>
          <t>CNPJ Credenciado MAPA</t>
        </is>
      </c>
      <c r="J1082" s="13" t="inlineStr">
        <is>
          <t>Registro Estadual Vigente</t>
        </is>
      </c>
      <c r="K1082" s="13" t="inlineStr">
        <is>
          <t>Unidade Operacional Brasil</t>
        </is>
      </c>
      <c r="L1082" s="13" t="inlineStr">
        <is>
          <t>Brasil</t>
        </is>
      </c>
      <c r="M1082" s="13" t="inlineStr">
        <is>
          <t>0/1/2 - Conforme Origem do Lote</t>
        </is>
      </c>
    </row>
    <row r="1083" ht="22" customHeight="1">
      <c r="A1083" s="6" t="inlineStr">
        <is>
          <t>EMP-1079</t>
        </is>
      </c>
      <c r="B1083" s="5" t="n">
        <v>913</v>
      </c>
      <c r="C1083" s="7" t="inlineStr">
        <is>
          <t>VINC-18724</t>
        </is>
      </c>
      <c r="D1083" s="8" t="inlineStr">
        <is>
          <t>Pyriproxyfen Técnico Sino-Agri</t>
        </is>
      </c>
      <c r="E1083" s="7" t="inlineStr">
        <is>
          <t>1. Titular do Registro / Produtor</t>
        </is>
      </c>
      <c r="F1083" s="7" t="inlineStr">
        <is>
          <t>Produto Técnico Industrial</t>
        </is>
      </c>
      <c r="G1083" s="7" t="inlineStr">
        <is>
          <t>Rudong Zhongyi Chemical Co., Ltd. - Endereço: Coastal Economic Development Zone, Rudong, Jiangsu, 226407 - China (Vinc. Reg. 18724)</t>
        </is>
      </c>
      <c r="H1083" s="7" t="inlineStr">
        <is>
          <t>Matriz / Estabelecimento Principal</t>
        </is>
      </c>
      <c r="I1083" s="7" t="inlineStr">
        <is>
          <t>CNPJ Credenciado MAPA/SIPEAGRO</t>
        </is>
      </c>
      <c r="J1083" s="7" t="inlineStr">
        <is>
          <t>Registro Estadual Vigente</t>
        </is>
      </c>
      <c r="K1083" s="7" t="inlineStr">
        <is>
          <t>Estabelecimento Credenciado no Brasil</t>
        </is>
      </c>
      <c r="L1083" s="7" t="inlineStr">
        <is>
          <t>Brasil</t>
        </is>
      </c>
      <c r="M1083" s="7" t="inlineStr">
        <is>
          <t>0 - Nacional / 1 - Importação Direta</t>
        </is>
      </c>
    </row>
    <row r="1084" ht="22" customHeight="1">
      <c r="A1084" s="12" t="inlineStr">
        <is>
          <t>EMP-1080</t>
        </is>
      </c>
      <c r="B1084" s="11" t="n">
        <v>914</v>
      </c>
      <c r="C1084" s="13" t="inlineStr">
        <is>
          <t>Nº 18824</t>
        </is>
      </c>
      <c r="D1084" s="14" t="inlineStr">
        <is>
          <t>TKI-15 BR</t>
        </is>
      </c>
      <c r="E1084" s="13" t="inlineStr">
        <is>
          <t>1. Titular do Registro</t>
        </is>
      </c>
      <c r="F1084" s="13" t="inlineStr">
        <is>
          <t>Corretivo / Condicionador de Solo</t>
        </is>
      </c>
      <c r="G1084" s="13" t="inlineStr">
        <is>
          <t>LEMMA Consultoria e Apoio Administrativo, Agronegócios, Importação e Exportação Ltda.- Campinas/SP</t>
        </is>
      </c>
      <c r="H1084" s="13" t="inlineStr">
        <is>
          <t>Estabelecimento Credenciado</t>
        </is>
      </c>
      <c r="I1084" s="13" t="inlineStr">
        <is>
          <t>CNPJ Credenciado MAPA</t>
        </is>
      </c>
      <c r="J1084" s="13" t="inlineStr">
        <is>
          <t>Registro Estadual Vigente</t>
        </is>
      </c>
      <c r="K1084" s="13" t="inlineStr">
        <is>
          <t>Unidade Operacional Brasil</t>
        </is>
      </c>
      <c r="L1084" s="13" t="inlineStr">
        <is>
          <t>Brasil</t>
        </is>
      </c>
      <c r="M1084" s="13" t="inlineStr">
        <is>
          <t>0/1/2 - Conforme Origem do Lote</t>
        </is>
      </c>
    </row>
    <row r="1085" ht="22" customHeight="1">
      <c r="A1085" s="6" t="inlineStr">
        <is>
          <t>EMP-1081</t>
        </is>
      </c>
      <c r="B1085" s="5" t="n">
        <v>915</v>
      </c>
      <c r="C1085" s="7" t="inlineStr">
        <is>
          <t>Nº 18924</t>
        </is>
      </c>
      <c r="D1085" s="8" t="inlineStr">
        <is>
          <t>TRINEXAPAC 250 EC MAXUNITECH</t>
        </is>
      </c>
      <c r="E1085" s="7" t="inlineStr">
        <is>
          <t>1. Titular do Registro</t>
        </is>
      </c>
      <c r="F1085" s="7" t="inlineStr">
        <is>
          <t>Produto Formulado Comercial</t>
        </is>
      </c>
      <c r="G1085" s="7" t="inlineStr">
        <is>
          <t>AllierBrasil Agro Ltda.- São Paulo/SP</t>
        </is>
      </c>
      <c r="H1085" s="7" t="inlineStr">
        <is>
          <t>Estabelecimento Credenciado</t>
        </is>
      </c>
      <c r="I1085" s="7" t="inlineStr">
        <is>
          <t>CNPJ Credenciado MAPA</t>
        </is>
      </c>
      <c r="J1085" s="7" t="inlineStr">
        <is>
          <t>Registro Estadual Vigente</t>
        </is>
      </c>
      <c r="K1085" s="7" t="inlineStr">
        <is>
          <t>Unidade Operacional Brasil</t>
        </is>
      </c>
      <c r="L1085" s="7" t="inlineStr">
        <is>
          <t>Brasil</t>
        </is>
      </c>
      <c r="M1085" s="7" t="inlineStr">
        <is>
          <t>0/1/2 - Conforme Origem do Lote</t>
        </is>
      </c>
    </row>
    <row r="1086" ht="22" customHeight="1">
      <c r="A1086" s="12" t="inlineStr">
        <is>
          <t>EMP-1082</t>
        </is>
      </c>
      <c r="B1086" s="11" t="n">
        <v>916</v>
      </c>
      <c r="C1086" s="13" t="inlineStr">
        <is>
          <t>VINC-18924</t>
        </is>
      </c>
      <c r="D1086" s="14" t="inlineStr">
        <is>
          <t>Trinexapaque-etílico Técnico Max</t>
        </is>
      </c>
      <c r="E1086" s="13" t="inlineStr">
        <is>
          <t>1. Titular do Registro / Produtor</t>
        </is>
      </c>
      <c r="F1086" s="13" t="inlineStr">
        <is>
          <t>Produto Técnico Industrial</t>
        </is>
      </c>
      <c r="G1086" s="13" t="inlineStr">
        <is>
          <t>Max (Rudong) Chemicals Co., Ltd. - Endereço: Yangkou Chemical Industry Park, Rudong, Jiangsu Province - China (Vinc. Reg. 18924)</t>
        </is>
      </c>
      <c r="H1086" s="13" t="inlineStr">
        <is>
          <t>Matriz / Estabelecimento Principal</t>
        </is>
      </c>
      <c r="I1086" s="13" t="inlineStr">
        <is>
          <t>CNPJ Credenciado MAPA/SIPEAGRO</t>
        </is>
      </c>
      <c r="J1086" s="13" t="inlineStr">
        <is>
          <t>Registro Estadual Vigente</t>
        </is>
      </c>
      <c r="K1086" s="13" t="inlineStr">
        <is>
          <t>Estabelecimento Credenciado no Brasil</t>
        </is>
      </c>
      <c r="L1086" s="13" t="inlineStr">
        <is>
          <t>Brasil</t>
        </is>
      </c>
      <c r="M1086" s="13" t="inlineStr">
        <is>
          <t>0 - Nacional / 1 - Importação Direta</t>
        </is>
      </c>
    </row>
    <row r="1087" ht="22" customHeight="1">
      <c r="A1087" s="6" t="inlineStr">
        <is>
          <t>EMP-1083</t>
        </is>
      </c>
      <c r="B1087" s="5" t="n">
        <v>917</v>
      </c>
      <c r="C1087" s="7" t="inlineStr">
        <is>
          <t>Nº 19024</t>
        </is>
      </c>
      <c r="D1087" s="8" t="inlineStr">
        <is>
          <t>CALIZI</t>
        </is>
      </c>
      <c r="E1087" s="7" t="inlineStr">
        <is>
          <t>1. Titular do Registro</t>
        </is>
      </c>
      <c r="F1087" s="7" t="inlineStr">
        <is>
          <t>Produto Formulado Comercial</t>
        </is>
      </c>
      <c r="G1087" s="7" t="inlineStr">
        <is>
          <t>Sinon do Brasil Ltda.- Porto Alegre/RS</t>
        </is>
      </c>
      <c r="H1087" s="7" t="inlineStr">
        <is>
          <t>Estabelecimento Credenciado</t>
        </is>
      </c>
      <c r="I1087" s="7" t="inlineStr">
        <is>
          <t>CNPJ Credenciado MAPA</t>
        </is>
      </c>
      <c r="J1087" s="7" t="inlineStr">
        <is>
          <t>Registro Estadual Vigente</t>
        </is>
      </c>
      <c r="K1087" s="7" t="inlineStr">
        <is>
          <t>Unidade Operacional Brasil</t>
        </is>
      </c>
      <c r="L1087" s="7" t="inlineStr">
        <is>
          <t>Brasil</t>
        </is>
      </c>
      <c r="M1087" s="7" t="inlineStr">
        <is>
          <t>0/1/2 - Conforme Origem do Lote</t>
        </is>
      </c>
    </row>
    <row r="1088" ht="22" customHeight="1">
      <c r="A1088" s="12" t="inlineStr">
        <is>
          <t>EMP-1084</t>
        </is>
      </c>
      <c r="B1088" s="11" t="n">
        <v>918</v>
      </c>
      <c r="C1088" s="13" t="inlineStr">
        <is>
          <t>VINC-19024</t>
        </is>
      </c>
      <c r="D1088" s="14" t="inlineStr">
        <is>
          <t>Azoxistrobin Técnico Sinon</t>
        </is>
      </c>
      <c r="E1088" s="13" t="inlineStr">
        <is>
          <t>1. Titular do Registro / Produtor</t>
        </is>
      </c>
      <c r="F1088" s="13" t="inlineStr">
        <is>
          <t>Produto Técnico Industrial</t>
        </is>
      </c>
      <c r="G1088" s="13" t="inlineStr">
        <is>
          <t>Sinon Chemical Co., Ltd. - Endereço: Nº 28, Beicun Road, Zhelin Town, Fengxian DistrictShanghai - China (Vinc. Reg. 19024)</t>
        </is>
      </c>
      <c r="H1088" s="13" t="inlineStr">
        <is>
          <t>Matriz / Estabelecimento Principal</t>
        </is>
      </c>
      <c r="I1088" s="13" t="inlineStr">
        <is>
          <t>CNPJ Credenciado MAPA/SIPEAGRO</t>
        </is>
      </c>
      <c r="J1088" s="13" t="inlineStr">
        <is>
          <t>Registro Estadual Vigente</t>
        </is>
      </c>
      <c r="K1088" s="13" t="inlineStr">
        <is>
          <t>Estabelecimento Credenciado no Brasil</t>
        </is>
      </c>
      <c r="L1088" s="13" t="inlineStr">
        <is>
          <t>Brasil</t>
        </is>
      </c>
      <c r="M1088" s="13" t="inlineStr">
        <is>
          <t>0 - Nacional / 1 - Importação Direta</t>
        </is>
      </c>
    </row>
    <row r="1089" ht="22" customHeight="1">
      <c r="A1089" s="6" t="inlineStr">
        <is>
          <t>EMP-1085</t>
        </is>
      </c>
      <c r="B1089" s="5" t="n">
        <v>919</v>
      </c>
      <c r="C1089" s="7" t="inlineStr">
        <is>
          <t>Nº 19124</t>
        </is>
      </c>
      <c r="D1089" s="8" t="inlineStr">
        <is>
          <t>FLUTRIAFOL AS</t>
        </is>
      </c>
      <c r="E1089" s="7" t="inlineStr">
        <is>
          <t>1. Titular do Registro</t>
        </is>
      </c>
      <c r="F1089" s="7" t="inlineStr">
        <is>
          <t>Produto Formulado Comercial</t>
        </is>
      </c>
      <c r="G1089" s="7" t="inlineStr">
        <is>
          <t>Sinon do Brasil Ltda.- Porto Alegre/RS</t>
        </is>
      </c>
      <c r="H1089" s="7" t="inlineStr">
        <is>
          <t>Estabelecimento Credenciado</t>
        </is>
      </c>
      <c r="I1089" s="7" t="inlineStr">
        <is>
          <t>CNPJ Credenciado MAPA</t>
        </is>
      </c>
      <c r="J1089" s="7" t="inlineStr">
        <is>
          <t>Registro Estadual Vigente</t>
        </is>
      </c>
      <c r="K1089" s="7" t="inlineStr">
        <is>
          <t>Unidade Operacional Brasil</t>
        </is>
      </c>
      <c r="L1089" s="7" t="inlineStr">
        <is>
          <t>Brasil</t>
        </is>
      </c>
      <c r="M1089" s="7" t="inlineStr">
        <is>
          <t>0/1/2 - Conforme Origem do Lote</t>
        </is>
      </c>
    </row>
    <row r="1090" ht="22" customHeight="1">
      <c r="A1090" s="12" t="inlineStr">
        <is>
          <t>EMP-1086</t>
        </is>
      </c>
      <c r="B1090" s="11" t="n">
        <v>920</v>
      </c>
      <c r="C1090" s="13" t="inlineStr">
        <is>
          <t>VINC-19124</t>
        </is>
      </c>
      <c r="D1090" s="14" t="inlineStr">
        <is>
          <t>Flutriafol Tradecorp Técnico</t>
        </is>
      </c>
      <c r="E1090" s="13" t="inlineStr">
        <is>
          <t>1. Titular / Fabricante Principal</t>
        </is>
      </c>
      <c r="F1090" s="13" t="inlineStr">
        <is>
          <t>Produto Técnico Industrial</t>
        </is>
      </c>
      <c r="G1090" s="13" t="inlineStr">
        <is>
          <t>Jiangsu Flag Chemical Industry Co., Ltd.</t>
        </is>
      </c>
      <c r="H1090" s="13" t="inlineStr">
        <is>
          <t>Planta Principal</t>
        </is>
      </c>
      <c r="I1090" s="13" t="inlineStr">
        <is>
          <t>Conforme Ato DOU/MAPA</t>
        </is>
      </c>
      <c r="J1090" s="13" t="inlineStr">
        <is>
          <t>MAPA Vigente</t>
        </is>
      </c>
      <c r="K1090" s="13" t="inlineStr">
        <is>
          <t>Jiangsu Flag Chemical Industry Co., Ltd. - Endereço: nº 309, Changfenghe Road, Nanjing Chemical Industrial Park - Nanjing - Jiangsu Province - 210047 - China</t>
        </is>
      </c>
      <c r="L1090" s="13" t="inlineStr">
        <is>
          <t>China</t>
        </is>
      </c>
      <c r="M1090" s="13" t="inlineStr">
        <is>
          <t>1 - Importado</t>
        </is>
      </c>
    </row>
    <row r="1091" ht="22" customHeight="1">
      <c r="A1091" s="6" t="inlineStr">
        <is>
          <t>EMP-1087</t>
        </is>
      </c>
      <c r="B1091" s="5" t="n">
        <v>920</v>
      </c>
      <c r="C1091" s="7" t="inlineStr">
        <is>
          <t>VINC-19124</t>
        </is>
      </c>
      <c r="D1091" s="8" t="inlineStr">
        <is>
          <t>Flutriafol Tradecorp Técnico</t>
        </is>
      </c>
      <c r="E1091" s="7" t="inlineStr">
        <is>
          <t>2. Fabricante do Produto Técnico Vinculado</t>
        </is>
      </c>
      <c r="F1091" s="7" t="inlineStr">
        <is>
          <t>Flutriafol Técnico Sinon</t>
        </is>
      </c>
      <c r="G1091" s="7" t="inlineStr">
        <is>
          <t>Sinon Chemical CO. Ltd.</t>
        </is>
      </c>
      <c r="H1091" s="7" t="inlineStr">
        <is>
          <t>Unidade Fabril Síntese</t>
        </is>
      </c>
      <c r="I1091" s="7" t="inlineStr">
        <is>
          <t>Registro DOU/MAPA</t>
        </is>
      </c>
      <c r="J1091" s="7" t="inlineStr">
        <is>
          <t>Isento Exterior / MAPA</t>
        </is>
      </c>
      <c r="K1091" s="7" t="inlineStr">
        <is>
          <t>Nome: Sinon Chemical CO. Ltd. - Endereço: N° 1, East Beining Road, Shashi, Hubei Province, 434001 - China (Vinc. Reg. 19124)</t>
        </is>
      </c>
      <c r="L1091" s="7" t="inlineStr">
        <is>
          <t>China</t>
        </is>
      </c>
      <c r="M1091" s="7" t="inlineStr">
        <is>
          <t>1/2 - Insumo Importado</t>
        </is>
      </c>
    </row>
    <row r="1092" ht="22" customHeight="1">
      <c r="A1092" s="12" t="inlineStr">
        <is>
          <t>EMP-1088</t>
        </is>
      </c>
      <c r="B1092" s="11" t="n">
        <v>921</v>
      </c>
      <c r="C1092" s="13" t="inlineStr">
        <is>
          <t>Nº 19224</t>
        </is>
      </c>
      <c r="D1092" s="14" t="inlineStr">
        <is>
          <t>ZOOM TOP</t>
        </is>
      </c>
      <c r="E1092" s="13" t="inlineStr">
        <is>
          <t>1. Titular do Registro</t>
        </is>
      </c>
      <c r="F1092" s="13" t="inlineStr">
        <is>
          <t>Produto Técnico Industrial</t>
        </is>
      </c>
      <c r="G1092" s="13" t="inlineStr">
        <is>
          <t>Sinon do Brasil Ltda- Porto Alegre/RS</t>
        </is>
      </c>
      <c r="H1092" s="13" t="inlineStr">
        <is>
          <t>Estabelecimento Credenciado</t>
        </is>
      </c>
      <c r="I1092" s="13" t="inlineStr">
        <is>
          <t>CNPJ Credenciado MAPA</t>
        </is>
      </c>
      <c r="J1092" s="13" t="inlineStr">
        <is>
          <t>Registro Estadual Vigente</t>
        </is>
      </c>
      <c r="K1092" s="13" t="inlineStr">
        <is>
          <t>Unidade Operacional Brasil</t>
        </is>
      </c>
      <c r="L1092" s="13" t="inlineStr">
        <is>
          <t>Brasil</t>
        </is>
      </c>
      <c r="M1092" s="13" t="inlineStr">
        <is>
          <t>0/1/2 - Conforme Origem do Lote</t>
        </is>
      </c>
    </row>
    <row r="1093" ht="22" customHeight="1">
      <c r="A1093" s="6" t="inlineStr">
        <is>
          <t>EMP-1089</t>
        </is>
      </c>
      <c r="B1093" s="5" t="n">
        <v>922</v>
      </c>
      <c r="C1093" s="7" t="inlineStr">
        <is>
          <t>VINC-19224</t>
        </is>
      </c>
      <c r="D1093" s="8" t="inlineStr">
        <is>
          <t>Flutriafol Técnico Sinon</t>
        </is>
      </c>
      <c r="E1093" s="7" t="inlineStr">
        <is>
          <t>1. Titular do Registro / Produtor</t>
        </is>
      </c>
      <c r="F1093" s="7" t="inlineStr">
        <is>
          <t>Produto Técnico Industrial</t>
        </is>
      </c>
      <c r="G1093" s="7" t="inlineStr">
        <is>
          <t>Sinon Corporation - Endereço: Nº101, Nanrong Road, Da-Du District, Taichung City, 43245, Taiwan, R.O.C (Vinc. Reg. 19224)</t>
        </is>
      </c>
      <c r="H1093" s="7" t="inlineStr">
        <is>
          <t>Matriz / Estabelecimento Principal</t>
        </is>
      </c>
      <c r="I1093" s="7" t="inlineStr">
        <is>
          <t>CNPJ Credenciado MAPA/SIPEAGRO</t>
        </is>
      </c>
      <c r="J1093" s="7" t="inlineStr">
        <is>
          <t>Registro Estadual Vigente</t>
        </is>
      </c>
      <c r="K1093" s="7" t="inlineStr">
        <is>
          <t>Estabelecimento Credenciado no Brasil</t>
        </is>
      </c>
      <c r="L1093" s="7" t="inlineStr">
        <is>
          <t>Brasil</t>
        </is>
      </c>
      <c r="M1093" s="7" t="inlineStr">
        <is>
          <t>0 - Nacional / 1 - Importação Direta</t>
        </is>
      </c>
    </row>
    <row r="1094" ht="22" customHeight="1">
      <c r="A1094" s="12" t="inlineStr">
        <is>
          <t>EMP-1090</t>
        </is>
      </c>
      <c r="B1094" s="11" t="n">
        <v>923</v>
      </c>
      <c r="C1094" s="13" t="inlineStr">
        <is>
          <t>Nº 19324</t>
        </is>
      </c>
      <c r="D1094" s="14" t="inlineStr">
        <is>
          <t>MESOTRIONA SOLUS</t>
        </is>
      </c>
      <c r="E1094" s="13" t="inlineStr">
        <is>
          <t>1. Titular do Registro</t>
        </is>
      </c>
      <c r="F1094" s="13" t="inlineStr">
        <is>
          <t>Produto Formulado Comercial</t>
        </is>
      </c>
      <c r="G1094" s="13" t="inlineStr">
        <is>
          <t>Solus Indústria Química Ltda.- Apucarana/PR</t>
        </is>
      </c>
      <c r="H1094" s="13" t="inlineStr">
        <is>
          <t>Estabelecimento Credenciado</t>
        </is>
      </c>
      <c r="I1094" s="13" t="inlineStr">
        <is>
          <t>CNPJ Credenciado MAPA</t>
        </is>
      </c>
      <c r="J1094" s="13" t="inlineStr">
        <is>
          <t>Registro Estadual Vigente</t>
        </is>
      </c>
      <c r="K1094" s="13" t="inlineStr">
        <is>
          <t>Unidade Operacional Brasil</t>
        </is>
      </c>
      <c r="L1094" s="13" t="inlineStr">
        <is>
          <t>Brasil</t>
        </is>
      </c>
      <c r="M1094" s="13" t="inlineStr">
        <is>
          <t>0/1/2 - Conforme Origem do Lote</t>
        </is>
      </c>
    </row>
    <row r="1095" ht="22" customHeight="1">
      <c r="A1095" s="6" t="inlineStr">
        <is>
          <t>EMP-1091</t>
        </is>
      </c>
      <c r="B1095" s="5" t="n">
        <v>924</v>
      </c>
      <c r="C1095" s="7" t="inlineStr">
        <is>
          <t>VINC-19324</t>
        </is>
      </c>
      <c r="D1095" s="8" t="inlineStr">
        <is>
          <t>Mesotriona Técnico Solus</t>
        </is>
      </c>
      <c r="E1095" s="7" t="inlineStr">
        <is>
          <t>1. Titular do Registro / Produtor</t>
        </is>
      </c>
      <c r="F1095" s="7" t="inlineStr">
        <is>
          <t>Produto Técnico Industrial</t>
        </is>
      </c>
      <c r="G1095" s="7" t="inlineStr">
        <is>
          <t>Shandong Binnong Technology Co., Ltd. - Endereço: N° 518, Yongxin Road, Binbei Town, Binzhou, Shandong, 256600 - China (Vinc. Reg. 19324)</t>
        </is>
      </c>
      <c r="H1095" s="7" t="inlineStr">
        <is>
          <t>Matriz / Estabelecimento Principal</t>
        </is>
      </c>
      <c r="I1095" s="7" t="inlineStr">
        <is>
          <t>CNPJ Credenciado MAPA/SIPEAGRO</t>
        </is>
      </c>
      <c r="J1095" s="7" t="inlineStr">
        <is>
          <t>Registro Estadual Vigente</t>
        </is>
      </c>
      <c r="K1095" s="7" t="inlineStr">
        <is>
          <t>Estabelecimento Credenciado no Brasil</t>
        </is>
      </c>
      <c r="L1095" s="7" t="inlineStr">
        <is>
          <t>Brasil</t>
        </is>
      </c>
      <c r="M1095" s="7" t="inlineStr">
        <is>
          <t>0 - Nacional / 1 - Importação Direta</t>
        </is>
      </c>
    </row>
    <row r="1096" ht="22" customHeight="1">
      <c r="A1096" s="12" t="inlineStr">
        <is>
          <t>EMP-1092</t>
        </is>
      </c>
      <c r="B1096" s="11" t="n">
        <v>925</v>
      </c>
      <c r="C1096" s="13" t="inlineStr">
        <is>
          <t>Nº 19424</t>
        </is>
      </c>
      <c r="D1096" s="14" t="inlineStr">
        <is>
          <t>TRINEXAPAQUE ASCENZA EC</t>
        </is>
      </c>
      <c r="E1096" s="13" t="inlineStr">
        <is>
          <t>1. Titular do Registro</t>
        </is>
      </c>
      <c r="F1096" s="13" t="inlineStr">
        <is>
          <t>Produto Formulado Comercial</t>
        </is>
      </c>
      <c r="G1096" s="13" t="inlineStr">
        <is>
          <t>Tradecorp do Brasil Comércio de Insumos Agrícolas Ltda.- Hortolândia/SP</t>
        </is>
      </c>
      <c r="H1096" s="13" t="inlineStr">
        <is>
          <t>Estabelecimento Credenciado</t>
        </is>
      </c>
      <c r="I1096" s="13" t="inlineStr">
        <is>
          <t>CNPJ Credenciado MAPA</t>
        </is>
      </c>
      <c r="J1096" s="13" t="inlineStr">
        <is>
          <t>Registro Estadual Vigente</t>
        </is>
      </c>
      <c r="K1096" s="13" t="inlineStr">
        <is>
          <t>Unidade Operacional Brasil</t>
        </is>
      </c>
      <c r="L1096" s="13" t="inlineStr">
        <is>
          <t>Brasil</t>
        </is>
      </c>
      <c r="M1096" s="13" t="inlineStr">
        <is>
          <t>0/1/2 - Conforme Origem do Lote</t>
        </is>
      </c>
    </row>
    <row r="1097" ht="22" customHeight="1">
      <c r="A1097" s="6" t="inlineStr">
        <is>
          <t>EMP-1093</t>
        </is>
      </c>
      <c r="B1097" s="5" t="n">
        <v>926</v>
      </c>
      <c r="C1097" s="7" t="inlineStr">
        <is>
          <t>VINC-19424</t>
        </is>
      </c>
      <c r="D1097" s="8" t="inlineStr">
        <is>
          <t>Trinexapaque-Etílico Ascenza Técnico</t>
        </is>
      </c>
      <c r="E1097" s="7" t="inlineStr">
        <is>
          <t>1. Titular do Registro / Produtor</t>
        </is>
      </c>
      <c r="F1097" s="7" t="inlineStr">
        <is>
          <t>Produto Técnico Industrial</t>
        </is>
      </c>
      <c r="G1097" s="7" t="inlineStr">
        <is>
          <t>Huaian Glory Chemical Co., Ltd. - Endereço: Guoqiao Road. Salt Chemical Industry Park, Hongze, 223100, Huaian - China (Vinc. Reg. 19424)</t>
        </is>
      </c>
      <c r="H1097" s="7" t="inlineStr">
        <is>
          <t>Matriz / Estabelecimento Principal</t>
        </is>
      </c>
      <c r="I1097" s="7" t="inlineStr">
        <is>
          <t>CNPJ Credenciado MAPA/SIPEAGRO</t>
        </is>
      </c>
      <c r="J1097" s="7" t="inlineStr">
        <is>
          <t>Registro Estadual Vigente</t>
        </is>
      </c>
      <c r="K1097" s="7" t="inlineStr">
        <is>
          <t>Estabelecimento Credenciado no Brasil</t>
        </is>
      </c>
      <c r="L1097" s="7" t="inlineStr">
        <is>
          <t>Brasil</t>
        </is>
      </c>
      <c r="M1097" s="7" t="inlineStr">
        <is>
          <t>0 - Nacional / 1 - Importação Direta</t>
        </is>
      </c>
    </row>
    <row r="1098" ht="22" customHeight="1">
      <c r="A1098" s="12" t="inlineStr">
        <is>
          <t>EMP-1094</t>
        </is>
      </c>
      <c r="B1098" s="11" t="n">
        <v>927</v>
      </c>
      <c r="C1098" s="13" t="inlineStr">
        <is>
          <t>Nº 19524</t>
        </is>
      </c>
      <c r="D1098" s="14" t="inlineStr">
        <is>
          <t>CARAVANA 806 SL</t>
        </is>
      </c>
      <c r="E1098" s="13" t="inlineStr">
        <is>
          <t>1. Titular do Registro</t>
        </is>
      </c>
      <c r="F1098" s="13" t="inlineStr">
        <is>
          <t>Produto Formulado Comercial</t>
        </is>
      </c>
      <c r="G1098" s="13" t="inlineStr">
        <is>
          <t>AllierBrasil Agro Ltda.- São Paulo/SP</t>
        </is>
      </c>
      <c r="H1098" s="13" t="inlineStr">
        <is>
          <t>Estabelecimento Credenciado</t>
        </is>
      </c>
      <c r="I1098" s="13" t="inlineStr">
        <is>
          <t>CNPJ Credenciado MAPA</t>
        </is>
      </c>
      <c r="J1098" s="13" t="inlineStr">
        <is>
          <t>Registro Estadual Vigente</t>
        </is>
      </c>
      <c r="K1098" s="13" t="inlineStr">
        <is>
          <t>Unidade Operacional Brasil</t>
        </is>
      </c>
      <c r="L1098" s="13" t="inlineStr">
        <is>
          <t>Brasil</t>
        </is>
      </c>
      <c r="M1098" s="13" t="inlineStr">
        <is>
          <t>0/1/2 - Conforme Origem do Lote</t>
        </is>
      </c>
    </row>
    <row r="1099" ht="22" customHeight="1">
      <c r="A1099" s="6" t="inlineStr">
        <is>
          <t>EMP-1095</t>
        </is>
      </c>
      <c r="B1099" s="5" t="n">
        <v>928</v>
      </c>
      <c r="C1099" s="7" t="inlineStr">
        <is>
          <t>VINC-19524</t>
        </is>
      </c>
      <c r="D1099" s="8" t="inlineStr">
        <is>
          <t>2,4-D Técnico MCR</t>
        </is>
      </c>
      <c r="E1099" s="7" t="inlineStr">
        <is>
          <t>1. Titular / Fabricante Principal</t>
        </is>
      </c>
      <c r="F1099" s="7" t="inlineStr">
        <is>
          <t>Produto Técnico Industrial</t>
        </is>
      </c>
      <c r="G1099" s="7" t="inlineStr">
        <is>
          <t>Jiangsu Good Harvest - Weien Agrochemical Co. Ltd.</t>
        </is>
      </c>
      <c r="H1099" s="7" t="inlineStr">
        <is>
          <t>Planta Principal</t>
        </is>
      </c>
      <c r="I1099" s="7" t="inlineStr">
        <is>
          <t>Conforme Ato DOU/MAPA</t>
        </is>
      </c>
      <c r="J1099" s="7" t="inlineStr">
        <is>
          <t>MAPA Vigente</t>
        </is>
      </c>
      <c r="K1099" s="7" t="inlineStr">
        <is>
          <t>Jiangsu Good Harvest - Weien Agrochemical Co. Ltd. - Endereço: Laogang, 226221 Qidong, Jiangsu - China</t>
        </is>
      </c>
      <c r="L1099" s="7" t="inlineStr">
        <is>
          <t>China</t>
        </is>
      </c>
      <c r="M1099" s="7" t="inlineStr">
        <is>
          <t>1 - Importado</t>
        </is>
      </c>
    </row>
    <row r="1100" ht="22" customHeight="1">
      <c r="A1100" s="12" t="inlineStr">
        <is>
          <t>EMP-1096</t>
        </is>
      </c>
      <c r="B1100" s="11" t="n">
        <v>928</v>
      </c>
      <c r="C1100" s="13" t="inlineStr">
        <is>
          <t>VINC-19524</t>
        </is>
      </c>
      <c r="D1100" s="14" t="inlineStr">
        <is>
          <t>2,4-D Técnico MCR</t>
        </is>
      </c>
      <c r="E1100" s="13" t="inlineStr">
        <is>
          <t>2. Fabricante do Produto Técnico Vinculado</t>
        </is>
      </c>
      <c r="F1100" s="13" t="inlineStr">
        <is>
          <t>2,4-D Técnico GH</t>
        </is>
      </c>
      <c r="G1100" s="13" t="inlineStr">
        <is>
          <t>Jiangsu Good Harvest - Weien Agrochemical Co. Ltd.</t>
        </is>
      </c>
      <c r="H1100" s="13" t="inlineStr">
        <is>
          <t>Unidade Fabril Síntese</t>
        </is>
      </c>
      <c r="I1100" s="13" t="inlineStr">
        <is>
          <t>Registro DOU/MAPA</t>
        </is>
      </c>
      <c r="J1100" s="13" t="inlineStr">
        <is>
          <t>Isento Exterior / MAPA</t>
        </is>
      </c>
      <c r="K1100" s="13" t="inlineStr">
        <is>
          <t>Nome: Jiangsu Good Harvest - Weien Agrochemical Co. Ltd. - Endereço: Laogang, 226221 Qidong, Jiangsu - China.</t>
        </is>
      </c>
      <c r="L1100" s="13" t="inlineStr">
        <is>
          <t>China</t>
        </is>
      </c>
      <c r="M1100" s="13" t="inlineStr">
        <is>
          <t>1/2 - Insumo Importado</t>
        </is>
      </c>
    </row>
    <row r="1101" ht="22" customHeight="1">
      <c r="A1101" s="6" t="inlineStr">
        <is>
          <t>EMP-1097</t>
        </is>
      </c>
      <c r="B1101" s="5" t="n">
        <v>928</v>
      </c>
      <c r="C1101" s="7" t="inlineStr">
        <is>
          <t>VINC-19524</t>
        </is>
      </c>
      <c r="D1101" s="8" t="inlineStr">
        <is>
          <t>2,4-D Técnico MCR</t>
        </is>
      </c>
      <c r="E1101" s="7" t="inlineStr">
        <is>
          <t>2. Fabricante do Produto Técnico Vinculado</t>
        </is>
      </c>
      <c r="F1101" s="7" t="inlineStr">
        <is>
          <t>2,4-D Técnico ND</t>
        </is>
      </c>
      <c r="G1101" s="7" t="inlineStr">
        <is>
          <t>Jiangsu Good Harvest - Weien Agrochemical Co. Ltd.</t>
        </is>
      </c>
      <c r="H1101" s="7" t="inlineStr">
        <is>
          <t>Unidade Fabril Síntese</t>
        </is>
      </c>
      <c r="I1101" s="7" t="inlineStr">
        <is>
          <t>Registro DOU/MAPA</t>
        </is>
      </c>
      <c r="J1101" s="7" t="inlineStr">
        <is>
          <t>Isento Exterior / MAPA</t>
        </is>
      </c>
      <c r="K1101" s="7" t="inlineStr">
        <is>
          <t>Nome: Jiangsu Good Harvest - Weien Agrochemical Co. Ltd. - Endereço: Laogang, 226221 Qidong, Jiangsu - China (Vinc. Reg. 19524)</t>
        </is>
      </c>
      <c r="L1101" s="7" t="inlineStr">
        <is>
          <t>China</t>
        </is>
      </c>
      <c r="M1101" s="7" t="inlineStr">
        <is>
          <t>1/2 - Insumo Importado</t>
        </is>
      </c>
    </row>
    <row r="1102" ht="22" customHeight="1">
      <c r="A1102" s="12" t="inlineStr">
        <is>
          <t>EMP-1098</t>
        </is>
      </c>
      <c r="B1102" s="11" t="n">
        <v>929</v>
      </c>
      <c r="C1102" s="13" t="inlineStr">
        <is>
          <t>Nº 19624</t>
        </is>
      </c>
      <c r="D1102" s="14" t="inlineStr">
        <is>
          <t>PIRIPROXIFEM BRX</t>
        </is>
      </c>
      <c r="E1102" s="13" t="inlineStr">
        <is>
          <t>1. Titular do Registro</t>
        </is>
      </c>
      <c r="F1102" s="13" t="inlineStr">
        <is>
          <t>Produto Técnico Industrial</t>
        </is>
      </c>
      <c r="G1102" s="13" t="inlineStr">
        <is>
          <t>Nortox S</t>
        </is>
      </c>
      <c r="H1102" s="13" t="inlineStr">
        <is>
          <t>Estabelecimento Credenciado</t>
        </is>
      </c>
      <c r="I1102" s="13" t="inlineStr">
        <is>
          <t>CNPJ Credenciado MAPA</t>
        </is>
      </c>
      <c r="J1102" s="13" t="inlineStr">
        <is>
          <t>Registro Estadual Vigente</t>
        </is>
      </c>
      <c r="K1102" s="13" t="inlineStr">
        <is>
          <t>Unidade Operacional Brasil</t>
        </is>
      </c>
      <c r="L1102" s="13" t="inlineStr">
        <is>
          <t>Brasil</t>
        </is>
      </c>
      <c r="M1102" s="13" t="inlineStr">
        <is>
          <t>0/1/2 - Conforme Origem do Lote</t>
        </is>
      </c>
    </row>
    <row r="1103" ht="22" customHeight="1">
      <c r="A1103" s="6" t="inlineStr">
        <is>
          <t>EMP-1099</t>
        </is>
      </c>
      <c r="B1103" s="5" t="n">
        <v>929</v>
      </c>
      <c r="C1103" s="7" t="inlineStr">
        <is>
          <t>Nº 19624</t>
        </is>
      </c>
      <c r="D1103" s="8" t="inlineStr">
        <is>
          <t>PIRIPROXIFEM BRX</t>
        </is>
      </c>
      <c r="E1103" s="7" t="inlineStr">
        <is>
          <t>3. Formulador / Co-Distribuidor Autorizado</t>
        </is>
      </c>
      <c r="F1103" s="7" t="inlineStr">
        <is>
          <t>Produto Técnico Industrial</t>
        </is>
      </c>
      <c r="G1103" s="7" t="inlineStr">
        <is>
          <t>A- Arapongas/PR</t>
        </is>
      </c>
      <c r="H1103" s="7" t="inlineStr">
        <is>
          <t>Estabelecimento Credenciado</t>
        </is>
      </c>
      <c r="I1103" s="7" t="inlineStr">
        <is>
          <t>CNPJ Credenciado MAPA</t>
        </is>
      </c>
      <c r="J1103" s="7" t="inlineStr">
        <is>
          <t>Registro Estadual Vigente</t>
        </is>
      </c>
      <c r="K1103" s="7" t="inlineStr">
        <is>
          <t>Unidade Operacional Brasil</t>
        </is>
      </c>
      <c r="L1103" s="7" t="inlineStr">
        <is>
          <t>Brasil</t>
        </is>
      </c>
      <c r="M1103" s="7" t="inlineStr">
        <is>
          <t>0/1/2 - Conforme Origem do Lote</t>
        </is>
      </c>
    </row>
    <row r="1104" ht="22" customHeight="1">
      <c r="A1104" s="12" t="inlineStr">
        <is>
          <t>EMP-1100</t>
        </is>
      </c>
      <c r="B1104" s="11" t="n">
        <v>930</v>
      </c>
      <c r="C1104" s="13" t="inlineStr">
        <is>
          <t>VINC-19624</t>
        </is>
      </c>
      <c r="D1104" s="14" t="inlineStr">
        <is>
          <t>Piriproxifen Técnico Nortox</t>
        </is>
      </c>
      <c r="E1104" s="13" t="inlineStr">
        <is>
          <t>1. Titular do Registro / Produtor</t>
        </is>
      </c>
      <c r="F1104" s="13" t="inlineStr">
        <is>
          <t>Produto Técnico Industrial</t>
        </is>
      </c>
      <c r="G1104" s="13" t="inlineStr">
        <is>
          <t>Jiangsu Flag Chemical Industry Co., Ltd. - Endereço: nº 309, Changfenghe Road, Nanjing Chemical Industrial Park - Nanjing - Jiangsu Province - 210047 - China (Vinc. Reg. 19624)</t>
        </is>
      </c>
      <c r="H1104" s="13" t="inlineStr">
        <is>
          <t>Matriz / Estabelecimento Principal</t>
        </is>
      </c>
      <c r="I1104" s="13" t="inlineStr">
        <is>
          <t>CNPJ Credenciado MAPA/SIPEAGRO</t>
        </is>
      </c>
      <c r="J1104" s="13" t="inlineStr">
        <is>
          <t>Registro Estadual Vigente</t>
        </is>
      </c>
      <c r="K1104" s="13" t="inlineStr">
        <is>
          <t>Estabelecimento Credenciado no Brasil</t>
        </is>
      </c>
      <c r="L1104" s="13" t="inlineStr">
        <is>
          <t>Brasil</t>
        </is>
      </c>
      <c r="M1104" s="13" t="inlineStr">
        <is>
          <t>0 - Nacional / 1 - Importação Direta</t>
        </is>
      </c>
    </row>
    <row r="1105" ht="22" customHeight="1">
      <c r="A1105" s="6" t="inlineStr">
        <is>
          <t>EMP-1101</t>
        </is>
      </c>
      <c r="B1105" s="5" t="n">
        <v>931</v>
      </c>
      <c r="C1105" s="7" t="inlineStr">
        <is>
          <t>Nº 19724</t>
        </is>
      </c>
      <c r="D1105" s="8" t="inlineStr">
        <is>
          <t>SONET</t>
        </is>
      </c>
      <c r="E1105" s="7" t="inlineStr">
        <is>
          <t>1. Titular do Registro</t>
        </is>
      </c>
      <c r="F1105" s="7" t="inlineStr">
        <is>
          <t>Produto Formulado Comercial</t>
        </is>
      </c>
      <c r="G1105" s="7" t="inlineStr">
        <is>
          <t>Iharabras S.A. Indústrias Químicas- Sorocaba/SP</t>
        </is>
      </c>
      <c r="H1105" s="7" t="inlineStr">
        <is>
          <t>Estabelecimento Credenciado</t>
        </is>
      </c>
      <c r="I1105" s="7" t="inlineStr">
        <is>
          <t>CNPJ Credenciado MAPA</t>
        </is>
      </c>
      <c r="J1105" s="7" t="inlineStr">
        <is>
          <t>Registro Estadual Vigente</t>
        </is>
      </c>
      <c r="K1105" s="7" t="inlineStr">
        <is>
          <t>Unidade Operacional Brasil</t>
        </is>
      </c>
      <c r="L1105" s="7" t="inlineStr">
        <is>
          <t>Brasil</t>
        </is>
      </c>
      <c r="M1105" s="7" t="inlineStr">
        <is>
          <t>0/1/2 - Conforme Origem do Lote</t>
        </is>
      </c>
    </row>
    <row r="1106" ht="22" customHeight="1">
      <c r="A1106" s="12" t="inlineStr">
        <is>
          <t>EMP-1102</t>
        </is>
      </c>
      <c r="B1106" s="11" t="n">
        <v>932</v>
      </c>
      <c r="C1106" s="13" t="inlineStr">
        <is>
          <t>VINC-19724</t>
        </is>
      </c>
      <c r="D1106" s="14" t="inlineStr">
        <is>
          <t>Dinno Técnico</t>
        </is>
      </c>
      <c r="E1106" s="13" t="inlineStr">
        <is>
          <t>1. Titular do Registro / Produtor</t>
        </is>
      </c>
      <c r="F1106" s="13" t="inlineStr">
        <is>
          <t>Produto Técnico Industrial</t>
        </is>
      </c>
      <c r="G1106" s="13" t="inlineStr">
        <is>
          <t>Mitsui Chemicals INC. - Endereço: Omuta Works, 30, Asamuta-machi, Omuta, Fukuoka, 836-8610 - Japão (Vinc. Reg. 19724)</t>
        </is>
      </c>
      <c r="H1106" s="13" t="inlineStr">
        <is>
          <t>Matriz / Estabelecimento Principal</t>
        </is>
      </c>
      <c r="I1106" s="13" t="inlineStr">
        <is>
          <t>CNPJ Credenciado MAPA/SIPEAGRO</t>
        </is>
      </c>
      <c r="J1106" s="13" t="inlineStr">
        <is>
          <t>Registro Estadual Vigente</t>
        </is>
      </c>
      <c r="K1106" s="13" t="inlineStr">
        <is>
          <t>Estabelecimento Credenciado no Brasil</t>
        </is>
      </c>
      <c r="L1106" s="13" t="inlineStr">
        <is>
          <t>Brasil</t>
        </is>
      </c>
      <c r="M1106" s="13" t="inlineStr">
        <is>
          <t>0 - Nacional / 1 - Importação Direta</t>
        </is>
      </c>
    </row>
    <row r="1107" ht="22" customHeight="1">
      <c r="A1107" s="6" t="inlineStr">
        <is>
          <t>EMP-1103</t>
        </is>
      </c>
      <c r="B1107" s="5" t="n">
        <v>933</v>
      </c>
      <c r="C1107" s="7" t="inlineStr">
        <is>
          <t>VINC-19724</t>
        </is>
      </c>
      <c r="D1107" s="8" t="inlineStr">
        <is>
          <t>Lambda-Cialotrina Técnico Ihara</t>
        </is>
      </c>
      <c r="E1107" s="7" t="inlineStr">
        <is>
          <t>1. Titular do Registro / Produtor</t>
        </is>
      </c>
      <c r="F1107" s="7" t="inlineStr">
        <is>
          <t>Produto Técnico Industrial</t>
        </is>
      </c>
      <c r="G1107" s="7" t="inlineStr">
        <is>
          <t>Jiangsu Agrochem Laboratory Co., Ltd. - Endereço: No.1218 North Changjiang Rd, Hi-tech Development Zone, Changzhou, Jiangsu, 213034 - China (Vinc. Reg. 19724)</t>
        </is>
      </c>
      <c r="H1107" s="7" t="inlineStr">
        <is>
          <t>Matriz / Estabelecimento Principal</t>
        </is>
      </c>
      <c r="I1107" s="7" t="inlineStr">
        <is>
          <t>CNPJ Credenciado MAPA/SIPEAGRO</t>
        </is>
      </c>
      <c r="J1107" s="7" t="inlineStr">
        <is>
          <t>Registro Estadual Vigente</t>
        </is>
      </c>
      <c r="K1107" s="7" t="inlineStr">
        <is>
          <t>Estabelecimento Credenciado no Brasil</t>
        </is>
      </c>
      <c r="L1107" s="7" t="inlineStr">
        <is>
          <t>Brasil</t>
        </is>
      </c>
      <c r="M1107" s="7" t="inlineStr">
        <is>
          <t>0 - Nacional / 1 - Importação Direta</t>
        </is>
      </c>
    </row>
    <row r="1108" ht="22" customHeight="1">
      <c r="A1108" s="12" t="inlineStr">
        <is>
          <t>EMP-1104</t>
        </is>
      </c>
      <c r="B1108" s="11" t="n">
        <v>934</v>
      </c>
      <c r="C1108" s="13" t="inlineStr">
        <is>
          <t>VINC-19724</t>
        </is>
      </c>
      <c r="D1108" s="14" t="inlineStr">
        <is>
          <t>Lambda-Cyhalothrin Técnico Oxon</t>
        </is>
      </c>
      <c r="E1108" s="13" t="inlineStr">
        <is>
          <t>1. Titular / Fabricante Principal</t>
        </is>
      </c>
      <c r="F1108" s="13" t="inlineStr">
        <is>
          <t>Produto Técnico Industrial</t>
        </is>
      </c>
      <c r="G1108" s="13" t="inlineStr">
        <is>
          <t>Youth Chemical Co. Ltd.</t>
        </is>
      </c>
      <c r="H1108" s="13" t="inlineStr">
        <is>
          <t>Planta Principal</t>
        </is>
      </c>
      <c r="I1108" s="13" t="inlineStr">
        <is>
          <t>Conforme Ato DOU/MAPA</t>
        </is>
      </c>
      <c r="J1108" s="13" t="inlineStr">
        <is>
          <t>MAPA Vigente</t>
        </is>
      </c>
      <c r="K1108" s="13" t="inlineStr">
        <is>
          <t>Youth Chemical Co. Ltd. - Endereço: Nº 1 Youshi Road- Yizheng City- Chemical Industrial Zone- Jiangsu - China</t>
        </is>
      </c>
      <c r="L1108" s="13" t="inlineStr">
        <is>
          <t>China</t>
        </is>
      </c>
      <c r="M1108" s="13" t="inlineStr">
        <is>
          <t>1 - Importado</t>
        </is>
      </c>
    </row>
    <row r="1109" ht="22" customHeight="1">
      <c r="A1109" s="6" t="inlineStr">
        <is>
          <t>EMP-1105</t>
        </is>
      </c>
      <c r="B1109" s="5" t="n">
        <v>934</v>
      </c>
      <c r="C1109" s="7" t="inlineStr">
        <is>
          <t>VINC-19724</t>
        </is>
      </c>
      <c r="D1109" s="8" t="inlineStr">
        <is>
          <t>Lambda-Cyhalothrin Técnico Oxon</t>
        </is>
      </c>
      <c r="E1109" s="7" t="inlineStr">
        <is>
          <t>2. Fabricante do Produto Técnico Vinculado</t>
        </is>
      </c>
      <c r="F1109" s="7" t="inlineStr">
        <is>
          <t>Lambda-Cyhalothrin Técnico Rotam</t>
        </is>
      </c>
      <c r="G1109" s="7" t="inlineStr">
        <is>
          <t>Tianjin Rotam Chemical Industry., LTD.</t>
        </is>
      </c>
      <c r="H1109" s="7" t="inlineStr">
        <is>
          <t>Unidade Fabril Síntese</t>
        </is>
      </c>
      <c r="I1109" s="7" t="inlineStr">
        <is>
          <t>Registro DOU/MAPA</t>
        </is>
      </c>
      <c r="J1109" s="7" t="inlineStr">
        <is>
          <t>Isento Exterior / MAPA</t>
        </is>
      </c>
      <c r="K1109" s="7" t="inlineStr">
        <is>
          <t>Nome: Tianjin Rotam Chemical Industry., LTD. - Endereço: Tie Dong Road Beiochem District, Tianjin, 300400 - China.</t>
        </is>
      </c>
      <c r="L1109" s="7" t="inlineStr">
        <is>
          <t>China</t>
        </is>
      </c>
      <c r="M1109" s="7" t="inlineStr">
        <is>
          <t>1/2 - Insumo Importado</t>
        </is>
      </c>
    </row>
    <row r="1110" ht="22" customHeight="1">
      <c r="A1110" s="12" t="inlineStr">
        <is>
          <t>EMP-1106</t>
        </is>
      </c>
      <c r="B1110" s="11" t="n">
        <v>934</v>
      </c>
      <c r="C1110" s="13" t="inlineStr">
        <is>
          <t>VINC-19724</t>
        </is>
      </c>
      <c r="D1110" s="14" t="inlineStr">
        <is>
          <t>Lambda-Cyhalothrin Técnico Oxon</t>
        </is>
      </c>
      <c r="E1110" s="13" t="inlineStr">
        <is>
          <t>2. Fabricante do Produto Técnico Vinculado</t>
        </is>
      </c>
      <c r="F1110" s="13" t="inlineStr">
        <is>
          <t>Lambda-Cyhalothrin Técnico RTM</t>
        </is>
      </c>
      <c r="G1110" s="13" t="inlineStr">
        <is>
          <t>Jiangsu Chunjiang Runtian Agrochemical Co., Ltd.</t>
        </is>
      </c>
      <c r="H1110" s="13" t="inlineStr">
        <is>
          <t>Unidade Fabril Síntese</t>
        </is>
      </c>
      <c r="I1110" s="13" t="inlineStr">
        <is>
          <t>Registro DOU/MAPA</t>
        </is>
      </c>
      <c r="J1110" s="13" t="inlineStr">
        <is>
          <t>Isento Exterior / MAPA</t>
        </is>
      </c>
      <c r="K1110" s="13" t="inlineStr">
        <is>
          <t>Nome: Jiangsu Chunjiang Runtian Agrochemical Co., Ltd. - Endereço: Nº 6 Huaihong Road, The Salt Chemical Industry Development Zone, Hongze - China.</t>
        </is>
      </c>
      <c r="L1110" s="13" t="inlineStr">
        <is>
          <t>China</t>
        </is>
      </c>
      <c r="M1110" s="13" t="inlineStr">
        <is>
          <t>1/2 - Insumo Importado</t>
        </is>
      </c>
    </row>
    <row r="1111" ht="22" customHeight="1">
      <c r="A1111" s="6" t="inlineStr">
        <is>
          <t>EMP-1107</t>
        </is>
      </c>
      <c r="B1111" s="5" t="n">
        <v>934</v>
      </c>
      <c r="C1111" s="7" t="inlineStr">
        <is>
          <t>VINC-19724</t>
        </is>
      </c>
      <c r="D1111" s="8" t="inlineStr">
        <is>
          <t>Lambda-Cyhalothrin Técnico Oxon</t>
        </is>
      </c>
      <c r="E1111" s="7" t="inlineStr">
        <is>
          <t>2. Fabricante do Produto Técnico Vinculado</t>
        </is>
      </c>
      <c r="F1111" s="7" t="inlineStr">
        <is>
          <t>Lambdacyhalothrin Técnico ICI</t>
        </is>
      </c>
      <c r="G1111" s="7" t="inlineStr">
        <is>
          <t>Syngenta Limited</t>
        </is>
      </c>
      <c r="H1111" s="7" t="inlineStr">
        <is>
          <t>Unidade Fabril Síntese</t>
        </is>
      </c>
      <c r="I1111" s="7" t="inlineStr">
        <is>
          <t>Registro DOU/MAPA</t>
        </is>
      </c>
      <c r="J1111" s="7" t="inlineStr">
        <is>
          <t>Isento Exterior / MAPA</t>
        </is>
      </c>
      <c r="K1111" s="7" t="inlineStr">
        <is>
          <t>Nome: Syngenta Limited - Endereço: Fersnhurst - Haslemere - Surrey GU27 3JE - Inglaterra.</t>
        </is>
      </c>
      <c r="L1111" s="7" t="inlineStr">
        <is>
          <t>Exterior</t>
        </is>
      </c>
      <c r="M1111" s="7" t="inlineStr">
        <is>
          <t>1/2 - Insumo Importado</t>
        </is>
      </c>
    </row>
    <row r="1112" ht="22" customHeight="1">
      <c r="A1112" s="12" t="inlineStr">
        <is>
          <t>EMP-1108</t>
        </is>
      </c>
      <c r="B1112" s="11" t="n">
        <v>934</v>
      </c>
      <c r="C1112" s="13" t="inlineStr">
        <is>
          <t>VINC-19724</t>
        </is>
      </c>
      <c r="D1112" s="14" t="inlineStr">
        <is>
          <t>Lambda-Cyhalothrin Técnico Oxon</t>
        </is>
      </c>
      <c r="E1112" s="13" t="inlineStr">
        <is>
          <t>2. Fabricante do Produto Técnico Vinculado</t>
        </is>
      </c>
      <c r="F1112" s="13" t="inlineStr">
        <is>
          <t>Lambda Cyhalothrin Técnico SYN</t>
        </is>
      </c>
      <c r="G1112" s="13" t="inlineStr">
        <is>
          <t>Bharat Rasayan Ltd. - Unit II</t>
        </is>
      </c>
      <c r="H1112" s="13" t="inlineStr">
        <is>
          <t>Unidade Fabril Síntese</t>
        </is>
      </c>
      <c r="I1112" s="13" t="inlineStr">
        <is>
          <t>Registro DOU/MAPA</t>
        </is>
      </c>
      <c r="J1112" s="13" t="inlineStr">
        <is>
          <t>Isento Exterior / MAPA</t>
        </is>
      </c>
      <c r="K1112" s="13" t="inlineStr">
        <is>
          <t>Nome: Bharat Rasayan Ltd. - Unit II - Endereço: Plot nº 42/4, Amond Road, GIDC, Dahej, Bharuch, Gujarat, 392130 - Índia (Vinc. Reg. 19724)</t>
        </is>
      </c>
      <c r="L1112" s="13" t="inlineStr">
        <is>
          <t>Índia</t>
        </is>
      </c>
      <c r="M1112" s="13" t="inlineStr">
        <is>
          <t>1/2 - Insumo Importado</t>
        </is>
      </c>
    </row>
    <row r="1113" ht="22" customHeight="1">
      <c r="A1113" s="6" t="inlineStr">
        <is>
          <t>EMP-1109</t>
        </is>
      </c>
      <c r="B1113" s="5" t="n">
        <v>935</v>
      </c>
      <c r="C1113" s="7" t="inlineStr">
        <is>
          <t>VINC-19724</t>
        </is>
      </c>
      <c r="D1113" s="8" t="inlineStr">
        <is>
          <t>Lambda Cyhalothrin Técnico Sulphur Mills</t>
        </is>
      </c>
      <c r="E1113" s="7" t="inlineStr">
        <is>
          <t>1. Titular do Registro</t>
        </is>
      </c>
      <c r="F1113" s="7" t="inlineStr">
        <is>
          <t>Produto Técnico Industrial</t>
        </is>
      </c>
      <c r="G1113" s="7" t="inlineStr">
        <is>
          <t>Sulphur Mills Limited - Unit I - Endereço: G.I.D.C. Plot no. 1904, A-18</t>
        </is>
      </c>
      <c r="H1113" s="7" t="inlineStr">
        <is>
          <t>Estabelecimento Credenciado</t>
        </is>
      </c>
      <c r="I1113" s="7" t="inlineStr">
        <is>
          <t>CNPJ Credenciado MAPA</t>
        </is>
      </c>
      <c r="J1113" s="7" t="inlineStr">
        <is>
          <t>Registro Estadual Vigente</t>
        </is>
      </c>
      <c r="K1113" s="7" t="inlineStr">
        <is>
          <t>Unidade Operacional Brasil</t>
        </is>
      </c>
      <c r="L1113" s="7" t="inlineStr">
        <is>
          <t>Brasil</t>
        </is>
      </c>
      <c r="M1113" s="7" t="inlineStr">
        <is>
          <t>0/1/2 - Conforme Origem do Lote</t>
        </is>
      </c>
    </row>
    <row r="1114" ht="22" customHeight="1">
      <c r="A1114" s="12" t="inlineStr">
        <is>
          <t>EMP-1110</t>
        </is>
      </c>
      <c r="B1114" s="11" t="n">
        <v>935</v>
      </c>
      <c r="C1114" s="13" t="inlineStr">
        <is>
          <t>VINC-19724</t>
        </is>
      </c>
      <c r="D1114" s="14" t="inlineStr">
        <is>
          <t>Lambda Cyhalothrin Técnico Sulphur Mills</t>
        </is>
      </c>
      <c r="E1114" s="13" t="inlineStr">
        <is>
          <t>3. Formulador / Co-Distribuidor Autorizado</t>
        </is>
      </c>
      <c r="F1114" s="13" t="inlineStr">
        <is>
          <t>Produto Técnico Industrial</t>
        </is>
      </c>
      <c r="G1114" s="13" t="inlineStr">
        <is>
          <t>18 - Panoli - Dist. Bharuch - State Gujarat - Índia (Vinc. Reg. 19724)</t>
        </is>
      </c>
      <c r="H1114" s="13" t="inlineStr">
        <is>
          <t>Estabelecimento Credenciado</t>
        </is>
      </c>
      <c r="I1114" s="13" t="inlineStr">
        <is>
          <t>CNPJ Credenciado MAPA</t>
        </is>
      </c>
      <c r="J1114" s="13" t="inlineStr">
        <is>
          <t>Registro Estadual Vigente</t>
        </is>
      </c>
      <c r="K1114" s="13" t="inlineStr">
        <is>
          <t>Unidade Operacional Brasil</t>
        </is>
      </c>
      <c r="L1114" s="13" t="inlineStr">
        <is>
          <t>Brasil</t>
        </is>
      </c>
      <c r="M1114" s="13" t="inlineStr">
        <is>
          <t>0/1/2 - Conforme Origem do Lote</t>
        </is>
      </c>
    </row>
    <row r="1115" ht="22" customHeight="1">
      <c r="A1115" s="6" t="inlineStr">
        <is>
          <t>EMP-1111</t>
        </is>
      </c>
      <c r="B1115" s="5" t="n">
        <v>936</v>
      </c>
      <c r="C1115" s="7" t="inlineStr">
        <is>
          <t>Nº 19824</t>
        </is>
      </c>
      <c r="D1115" s="8" t="inlineStr">
        <is>
          <t>AHEAD</t>
        </is>
      </c>
      <c r="E1115" s="7" t="inlineStr">
        <is>
          <t>1. Titular do Registro</t>
        </is>
      </c>
      <c r="F1115" s="7" t="inlineStr">
        <is>
          <t>Produto Formulado Comercial</t>
        </is>
      </c>
      <c r="G1115" s="7" t="inlineStr">
        <is>
          <t>Iharabras S.A. Indústrias Químicas- Sorocaba/SP</t>
        </is>
      </c>
      <c r="H1115" s="7" t="inlineStr">
        <is>
          <t>Estabelecimento Credenciado</t>
        </is>
      </c>
      <c r="I1115" s="7" t="inlineStr">
        <is>
          <t>CNPJ Credenciado MAPA</t>
        </is>
      </c>
      <c r="J1115" s="7" t="inlineStr">
        <is>
          <t>Registro Estadual Vigente</t>
        </is>
      </c>
      <c r="K1115" s="7" t="inlineStr">
        <is>
          <t>Unidade Operacional Brasil</t>
        </is>
      </c>
      <c r="L1115" s="7" t="inlineStr">
        <is>
          <t>Brasil</t>
        </is>
      </c>
      <c r="M1115" s="7" t="inlineStr">
        <is>
          <t>0/1/2 - Conforme Origem do Lote</t>
        </is>
      </c>
    </row>
    <row r="1116" ht="22" customHeight="1">
      <c r="A1116" s="12" t="inlineStr">
        <is>
          <t>EMP-1112</t>
        </is>
      </c>
      <c r="B1116" s="11" t="n">
        <v>937</v>
      </c>
      <c r="C1116" s="13" t="inlineStr">
        <is>
          <t>VINC-19824</t>
        </is>
      </c>
      <c r="D1116" s="14" t="inlineStr">
        <is>
          <t>Tiger Técnico</t>
        </is>
      </c>
      <c r="E1116" s="13" t="inlineStr">
        <is>
          <t>1. Titular do Registro / Produtor</t>
        </is>
      </c>
      <c r="F1116" s="13" t="inlineStr">
        <is>
          <t>Produto Técnico Industrial</t>
        </is>
      </c>
      <c r="G1116" s="13" t="inlineStr">
        <is>
          <t>Sumitomo Chemical Company, Ltd - (Fábrica) - Endereço: Misawa Works, Sabishirotai, Misawa, 033-0022, Misawa-shi - Japão (Vinc. Reg. 19824)</t>
        </is>
      </c>
      <c r="H1116" s="13" t="inlineStr">
        <is>
          <t>Matriz / Estabelecimento Principal</t>
        </is>
      </c>
      <c r="I1116" s="13" t="inlineStr">
        <is>
          <t>CNPJ Credenciado MAPA/SIPEAGRO</t>
        </is>
      </c>
      <c r="J1116" s="13" t="inlineStr">
        <is>
          <t>Registro Estadual Vigente</t>
        </is>
      </c>
      <c r="K1116" s="13" t="inlineStr">
        <is>
          <t>Estabelecimento Credenciado no Brasil</t>
        </is>
      </c>
      <c r="L1116" s="13" t="inlineStr">
        <is>
          <t>Brasil</t>
        </is>
      </c>
      <c r="M1116" s="13" t="inlineStr">
        <is>
          <t>0 - Nacional / 1 - Importação Direta</t>
        </is>
      </c>
    </row>
    <row r="1117" ht="22" customHeight="1">
      <c r="A1117" s="6" t="inlineStr">
        <is>
          <t>EMP-1113</t>
        </is>
      </c>
      <c r="B1117" s="5" t="n">
        <v>938</v>
      </c>
      <c r="C1117" s="7" t="inlineStr">
        <is>
          <t>Nº 19924</t>
        </is>
      </c>
      <c r="D1117" s="8" t="inlineStr">
        <is>
          <t>DOPPIO</t>
        </is>
      </c>
      <c r="E1117" s="7" t="inlineStr">
        <is>
          <t>1. Titular do Registro</t>
        </is>
      </c>
      <c r="F1117" s="7" t="inlineStr">
        <is>
          <t>Produto Formulado Comercial</t>
        </is>
      </c>
      <c r="G1117" s="7" t="inlineStr">
        <is>
          <t>Iharabras S.A. Indústrias Químicas- Sorocaba/SP</t>
        </is>
      </c>
      <c r="H1117" s="7" t="inlineStr">
        <is>
          <t>Estabelecimento Credenciado</t>
        </is>
      </c>
      <c r="I1117" s="7" t="inlineStr">
        <is>
          <t>CNPJ Credenciado MAPA</t>
        </is>
      </c>
      <c r="J1117" s="7" t="inlineStr">
        <is>
          <t>Registro Estadual Vigente</t>
        </is>
      </c>
      <c r="K1117" s="7" t="inlineStr">
        <is>
          <t>Unidade Operacional Brasil</t>
        </is>
      </c>
      <c r="L1117" s="7" t="inlineStr">
        <is>
          <t>Brasil</t>
        </is>
      </c>
      <c r="M1117" s="7" t="inlineStr">
        <is>
          <t>0/1/2 - Conforme Origem do Lote</t>
        </is>
      </c>
    </row>
    <row r="1118" ht="22" customHeight="1">
      <c r="A1118" s="12" t="inlineStr">
        <is>
          <t>EMP-1114</t>
        </is>
      </c>
      <c r="B1118" s="11" t="n">
        <v>939</v>
      </c>
      <c r="C1118" s="13" t="inlineStr">
        <is>
          <t>VINC-19924</t>
        </is>
      </c>
      <c r="D1118" s="14" t="inlineStr">
        <is>
          <t>Diquat Técnico</t>
        </is>
      </c>
      <c r="E1118" s="13" t="inlineStr">
        <is>
          <t>1. Titular do Registro / Produtor</t>
        </is>
      </c>
      <c r="F1118" s="13" t="inlineStr">
        <is>
          <t>Produto Técnico Industrial</t>
        </is>
      </c>
      <c r="G1118" s="13" t="inlineStr">
        <is>
          <t>Syngenta Limited - Endereço: Huddsfield Manufacturing Centre, PO Box A38, Leeds Road, Huddesfield West Yorkshire, HD2 1FF - Reino Unido (Vinc. Reg. 19924)</t>
        </is>
      </c>
      <c r="H1118" s="13" t="inlineStr">
        <is>
          <t>Matriz / Estabelecimento Principal</t>
        </is>
      </c>
      <c r="I1118" s="13" t="inlineStr">
        <is>
          <t>CNPJ Credenciado MAPA/SIPEAGRO</t>
        </is>
      </c>
      <c r="J1118" s="13" t="inlineStr">
        <is>
          <t>Registro Estadual Vigente</t>
        </is>
      </c>
      <c r="K1118" s="13" t="inlineStr">
        <is>
          <t>Estabelecimento Credenciado no Brasil</t>
        </is>
      </c>
      <c r="L1118" s="13" t="inlineStr">
        <is>
          <t>Brasil</t>
        </is>
      </c>
      <c r="M1118" s="13" t="inlineStr">
        <is>
          <t>0 - Nacional / 1 - Importação Direta</t>
        </is>
      </c>
    </row>
    <row r="1119" ht="22" customHeight="1">
      <c r="A1119" s="6" t="inlineStr">
        <is>
          <t>EMP-1115</t>
        </is>
      </c>
      <c r="B1119" s="5" t="n">
        <v>940</v>
      </c>
      <c r="C1119" s="7" t="inlineStr">
        <is>
          <t>VINC-19924</t>
        </is>
      </c>
      <c r="D1119" s="8" t="inlineStr">
        <is>
          <t>Diquat Técnico Ihara</t>
        </is>
      </c>
      <c r="E1119" s="7" t="inlineStr">
        <is>
          <t>1. Titular do Registro / Produtor</t>
        </is>
      </c>
      <c r="F1119" s="7" t="inlineStr">
        <is>
          <t>Produto Técnico Industrial</t>
        </is>
      </c>
      <c r="G1119" s="7" t="inlineStr">
        <is>
          <t>ZheJiang Funong Biotech Co. Ltd. - Endereço: Lantian Yongqiang, 325024, Wenzhou - China (Vinc. Reg. 19924)</t>
        </is>
      </c>
      <c r="H1119" s="7" t="inlineStr">
        <is>
          <t>Matriz / Estabelecimento Principal</t>
        </is>
      </c>
      <c r="I1119" s="7" t="inlineStr">
        <is>
          <t>CNPJ Credenciado MAPA/SIPEAGRO</t>
        </is>
      </c>
      <c r="J1119" s="7" t="inlineStr">
        <is>
          <t>Registro Estadual Vigente</t>
        </is>
      </c>
      <c r="K1119" s="7" t="inlineStr">
        <is>
          <t>Estabelecimento Credenciado no Brasil</t>
        </is>
      </c>
      <c r="L1119" s="7" t="inlineStr">
        <is>
          <t>Brasil</t>
        </is>
      </c>
      <c r="M1119" s="7" t="inlineStr">
        <is>
          <t>0 - Nacional / 1 - Importação Direta</t>
        </is>
      </c>
    </row>
    <row r="1120" ht="22" customHeight="1">
      <c r="A1120" s="12" t="inlineStr">
        <is>
          <t>EMP-1116</t>
        </is>
      </c>
      <c r="B1120" s="11" t="n">
        <v>941</v>
      </c>
      <c r="C1120" s="13" t="inlineStr">
        <is>
          <t>VINC-19924</t>
        </is>
      </c>
      <c r="D1120" s="14" t="inlineStr">
        <is>
          <t>Magneto Técnico</t>
        </is>
      </c>
      <c r="E1120" s="13" t="inlineStr">
        <is>
          <t>1. Titular do Registro</t>
        </is>
      </c>
      <c r="F1120" s="13" t="inlineStr">
        <is>
          <t>Produto Técnico Industrial</t>
        </is>
      </c>
      <c r="G1120" s="13" t="inlineStr">
        <is>
          <t>Iharabras S.A. Indústrias Químicas - CNPJ: 61.142.550</t>
        </is>
      </c>
      <c r="H1120" s="13" t="inlineStr">
        <is>
          <t>Estabelecimento Credenciado</t>
        </is>
      </c>
      <c r="I1120" s="13" t="inlineStr">
        <is>
          <t>CNPJ Credenciado MAPA</t>
        </is>
      </c>
      <c r="J1120" s="13" t="inlineStr">
        <is>
          <t>Registro Estadual Vigente</t>
        </is>
      </c>
      <c r="K1120" s="13" t="inlineStr">
        <is>
          <t>Unidade Operacional Brasil</t>
        </is>
      </c>
      <c r="L1120" s="13" t="inlineStr">
        <is>
          <t>Brasil</t>
        </is>
      </c>
      <c r="M1120" s="13" t="inlineStr">
        <is>
          <t>0/1/2 - Conforme Origem do Lote</t>
        </is>
      </c>
    </row>
    <row r="1121" ht="22" customHeight="1">
      <c r="A1121" s="6" t="inlineStr">
        <is>
          <t>EMP-1117</t>
        </is>
      </c>
      <c r="B1121" s="5" t="n">
        <v>941</v>
      </c>
      <c r="C1121" s="7" t="inlineStr">
        <is>
          <t>VINC-19924</t>
        </is>
      </c>
      <c r="D1121" s="8" t="inlineStr">
        <is>
          <t>Magneto Técnico</t>
        </is>
      </c>
      <c r="E1121" s="7" t="inlineStr">
        <is>
          <t>3. Formulador / Co-Distribuidor Autorizado</t>
        </is>
      </c>
      <c r="F1121" s="7" t="inlineStr">
        <is>
          <t>Produto Técnico Industrial</t>
        </is>
      </c>
      <c r="G1121" s="7" t="inlineStr">
        <is>
          <t>0001-30 - Endereço: Av. Liberdade, 1701, Cajuru do Sul, Sorocaba</t>
        </is>
      </c>
      <c r="H1121" s="7" t="inlineStr">
        <is>
          <t>Estabelecimento Credenciado</t>
        </is>
      </c>
      <c r="I1121" s="7" t="inlineStr">
        <is>
          <t>CNPJ Credenciado MAPA</t>
        </is>
      </c>
      <c r="J1121" s="7" t="inlineStr">
        <is>
          <t>Registro Estadual Vigente</t>
        </is>
      </c>
      <c r="K1121" s="7" t="inlineStr">
        <is>
          <t>Unidade Operacional Brasil</t>
        </is>
      </c>
      <c r="L1121" s="7" t="inlineStr">
        <is>
          <t>Brasil</t>
        </is>
      </c>
      <c r="M1121" s="7" t="inlineStr">
        <is>
          <t>0/1/2 - Conforme Origem do Lote</t>
        </is>
      </c>
    </row>
    <row r="1122" ht="22" customHeight="1">
      <c r="A1122" s="12" t="inlineStr">
        <is>
          <t>EMP-1118</t>
        </is>
      </c>
      <c r="B1122" s="11" t="n">
        <v>941</v>
      </c>
      <c r="C1122" s="13" t="inlineStr">
        <is>
          <t>VINC-19924</t>
        </is>
      </c>
      <c r="D1122" s="14" t="inlineStr">
        <is>
          <t>Magneto Técnico</t>
        </is>
      </c>
      <c r="E1122" s="13" t="inlineStr">
        <is>
          <t>3. Formulador / Co-Distribuidor Autorizado</t>
        </is>
      </c>
      <c r="F1122" s="13" t="inlineStr">
        <is>
          <t>Produto Técnico Industrial</t>
        </is>
      </c>
      <c r="G1122" s="13" t="inlineStr">
        <is>
          <t>SP - CEP: 18.087-170 (Vinc. Reg. 19924)</t>
        </is>
      </c>
      <c r="H1122" s="13" t="inlineStr">
        <is>
          <t>Estabelecimento Credenciado</t>
        </is>
      </c>
      <c r="I1122" s="13" t="inlineStr">
        <is>
          <t>CNPJ Credenciado MAPA</t>
        </is>
      </c>
      <c r="J1122" s="13" t="inlineStr">
        <is>
          <t>Registro Estadual Vigente</t>
        </is>
      </c>
      <c r="K1122" s="13" t="inlineStr">
        <is>
          <t>Unidade Operacional Brasil</t>
        </is>
      </c>
      <c r="L1122" s="13" t="inlineStr">
        <is>
          <t>Brasil</t>
        </is>
      </c>
      <c r="M1122" s="13" t="inlineStr">
        <is>
          <t>0/1/2 - Conforme Origem do Lote</t>
        </is>
      </c>
    </row>
    <row r="1123" ht="22" customHeight="1">
      <c r="A1123" s="6" t="inlineStr">
        <is>
          <t>EMP-1119</t>
        </is>
      </c>
      <c r="B1123" s="5" t="n">
        <v>942</v>
      </c>
      <c r="C1123" s="7" t="inlineStr">
        <is>
          <t>Nº 20024</t>
        </is>
      </c>
      <c r="D1123" s="8" t="inlineStr">
        <is>
          <t>DANTAI</t>
        </is>
      </c>
      <c r="E1123" s="7" t="inlineStr">
        <is>
          <t>1. Titular do Registro</t>
        </is>
      </c>
      <c r="F1123" s="7" t="inlineStr">
        <is>
          <t>Produto Formulado Comercial</t>
        </is>
      </c>
      <c r="G1123" s="7" t="inlineStr">
        <is>
          <t>Iharabras S.A. Indústrias Químicas- Sorocaba/SP</t>
        </is>
      </c>
      <c r="H1123" s="7" t="inlineStr">
        <is>
          <t>Estabelecimento Credenciado</t>
        </is>
      </c>
      <c r="I1123" s="7" t="inlineStr">
        <is>
          <t>CNPJ Credenciado MAPA</t>
        </is>
      </c>
      <c r="J1123" s="7" t="inlineStr">
        <is>
          <t>Registro Estadual Vigente</t>
        </is>
      </c>
      <c r="K1123" s="7" t="inlineStr">
        <is>
          <t>Unidade Operacional Brasil</t>
        </is>
      </c>
      <c r="L1123" s="7" t="inlineStr">
        <is>
          <t>Brasil</t>
        </is>
      </c>
      <c r="M1123" s="7" t="inlineStr">
        <is>
          <t>0/1/2 - Conforme Origem do Lote</t>
        </is>
      </c>
    </row>
    <row r="1124" ht="22" customHeight="1">
      <c r="A1124" s="12" t="inlineStr">
        <is>
          <t>EMP-1120</t>
        </is>
      </c>
      <c r="B1124" s="11" t="n">
        <v>943</v>
      </c>
      <c r="C1124" s="13" t="inlineStr">
        <is>
          <t>VINC-20024</t>
        </is>
      </c>
      <c r="D1124" s="14" t="inlineStr">
        <is>
          <t>Completto Técnico</t>
        </is>
      </c>
      <c r="E1124" s="13" t="inlineStr">
        <is>
          <t>1. Titular / Fabricante Principal</t>
        </is>
      </c>
      <c r="F1124" s="13" t="inlineStr">
        <is>
          <t>Produto Técnico Industrial</t>
        </is>
      </c>
      <c r="G1124" s="13" t="inlineStr">
        <is>
          <t>Kumiai Chemical Industry Co. Ltd.</t>
        </is>
      </c>
      <c r="H1124" s="13" t="inlineStr">
        <is>
          <t>Planta Principal</t>
        </is>
      </c>
      <c r="I1124" s="13" t="inlineStr">
        <is>
          <t>Conforme Ato DOU/MAPA</t>
        </is>
      </c>
      <c r="J1124" s="13" t="inlineStr">
        <is>
          <t>MAPA Vigente</t>
        </is>
      </c>
      <c r="K1124" s="13" t="inlineStr">
        <is>
          <t>Kumiai Chemical Industry Co. Ltd. - Endereço: 1800, Nakanogo,421-3306, Fuji-Shi, Shizuoka - Japão</t>
        </is>
      </c>
      <c r="L1124" s="13" t="inlineStr">
        <is>
          <t>Exterior</t>
        </is>
      </c>
      <c r="M1124" s="13" t="inlineStr">
        <is>
          <t>1 - Importado</t>
        </is>
      </c>
    </row>
    <row r="1125" ht="22" customHeight="1">
      <c r="A1125" s="6" t="inlineStr">
        <is>
          <t>EMP-1121</t>
        </is>
      </c>
      <c r="B1125" s="5" t="n">
        <v>943</v>
      </c>
      <c r="C1125" s="7" t="inlineStr">
        <is>
          <t>VINC-20024</t>
        </is>
      </c>
      <c r="D1125" s="8" t="inlineStr">
        <is>
          <t>Completto Técnico</t>
        </is>
      </c>
      <c r="E1125" s="7" t="inlineStr">
        <is>
          <t>2. Fabricante do Produto Técnico Vinculado</t>
        </is>
      </c>
      <c r="F1125" s="7" t="inlineStr">
        <is>
          <t>Daconil Técnico 960 USA</t>
        </is>
      </c>
      <c r="G1125" s="7" t="inlineStr">
        <is>
          <t>GB Biosciences Corporation- Houston</t>
        </is>
      </c>
      <c r="H1125" s="7" t="inlineStr">
        <is>
          <t>Unidade Fabril Síntese</t>
        </is>
      </c>
      <c r="I1125" s="7" t="inlineStr">
        <is>
          <t>Registro DOU/MAPA</t>
        </is>
      </c>
      <c r="J1125" s="7" t="inlineStr">
        <is>
          <t>Isento Exterior / MAPA</t>
        </is>
      </c>
      <c r="K1125" s="7" t="inlineStr">
        <is>
          <t>Nome: GB Biosciences Corporation- Houston - Endereço: 2239 Haden Road, TX 77015 - Estados Unidos.</t>
        </is>
      </c>
      <c r="L1125" s="7" t="inlineStr">
        <is>
          <t>EUA</t>
        </is>
      </c>
      <c r="M1125" s="7" t="inlineStr">
        <is>
          <t>1/2 - Insumo Importado</t>
        </is>
      </c>
    </row>
    <row r="1126" ht="22" customHeight="1">
      <c r="A1126" s="12" t="inlineStr">
        <is>
          <t>EMP-1122</t>
        </is>
      </c>
      <c r="B1126" s="11" t="n">
        <v>943</v>
      </c>
      <c r="C1126" s="13" t="inlineStr">
        <is>
          <t>VINC-20024</t>
        </is>
      </c>
      <c r="D1126" s="14" t="inlineStr">
        <is>
          <t>Completto Técnico</t>
        </is>
      </c>
      <c r="E1126" s="13" t="inlineStr">
        <is>
          <t>2. Fabricante do Produto Técnico Vinculado</t>
        </is>
      </c>
      <c r="F1126" s="13" t="inlineStr">
        <is>
          <t>Clorotalonil Técnico CN</t>
        </is>
      </c>
      <c r="G1126" s="13" t="inlineStr">
        <is>
          <t>Jiangsu Agrochem Laboratory Co., Ltd.</t>
        </is>
      </c>
      <c r="H1126" s="13" t="inlineStr">
        <is>
          <t>Unidade Fabril Síntese</t>
        </is>
      </c>
      <c r="I1126" s="13" t="inlineStr">
        <is>
          <t>Registro DOU/MAPA</t>
        </is>
      </c>
      <c r="J1126" s="13" t="inlineStr">
        <is>
          <t>Isento Exterior / MAPA</t>
        </is>
      </c>
      <c r="K1126" s="13" t="inlineStr">
        <is>
          <t>Nome: Jiangsu Agrochem Laboratory Co., Ltd. - Endereço: No.1218 North Changjiang Rd, Hi-tech Development Zone, Changzhou, Jiangsu, 213034 - China (Vinc. Reg. 20024)</t>
        </is>
      </c>
      <c r="L1126" s="13" t="inlineStr">
        <is>
          <t>China</t>
        </is>
      </c>
      <c r="M1126" s="13" t="inlineStr">
        <is>
          <t>1/2 - Insumo Importado</t>
        </is>
      </c>
    </row>
    <row r="1127" ht="22" customHeight="1">
      <c r="A1127" s="6" t="inlineStr">
        <is>
          <t>EMP-1123</t>
        </is>
      </c>
      <c r="B1127" s="5" t="n">
        <v>944</v>
      </c>
      <c r="C1127" s="7" t="inlineStr">
        <is>
          <t>VINC-20024</t>
        </is>
      </c>
      <c r="D1127" s="8" t="inlineStr">
        <is>
          <t>Pilarich Técnico</t>
        </is>
      </c>
      <c r="E1127" s="7" t="inlineStr">
        <is>
          <t>1. Titular do Registro / Produtor</t>
        </is>
      </c>
      <c r="F1127" s="7" t="inlineStr">
        <is>
          <t>Produto Técnico Industrial</t>
        </is>
      </c>
      <c r="G1127" s="7" t="inlineStr">
        <is>
          <t>Jiangsu Weunite Fine Chemical Co., Ltd. - Endereço: Jinger Road, Industry Chemical Park, Xnyi CIt, Jiangsu - China (Vinc. Reg. 20024)</t>
        </is>
      </c>
      <c r="H1127" s="7" t="inlineStr">
        <is>
          <t>Matriz / Estabelecimento Principal</t>
        </is>
      </c>
      <c r="I1127" s="7" t="inlineStr">
        <is>
          <t>CNPJ Credenciado MAPA/SIPEAGRO</t>
        </is>
      </c>
      <c r="J1127" s="7" t="inlineStr">
        <is>
          <t>Registro Estadual Vigente</t>
        </is>
      </c>
      <c r="K1127" s="7" t="inlineStr">
        <is>
          <t>Estabelecimento Credenciado no Brasil</t>
        </is>
      </c>
      <c r="L1127" s="7" t="inlineStr">
        <is>
          <t>Brasil</t>
        </is>
      </c>
      <c r="M1127" s="7" t="inlineStr">
        <is>
          <t>0 - Nacional / 1 - Importação Direta</t>
        </is>
      </c>
    </row>
    <row r="1128" ht="22" customHeight="1">
      <c r="A1128" s="12" t="inlineStr">
        <is>
          <t>EMP-1124</t>
        </is>
      </c>
      <c r="B1128" s="11" t="n">
        <v>945</v>
      </c>
      <c r="C1128" s="13" t="inlineStr">
        <is>
          <t>Nº 20124</t>
        </is>
      </c>
      <c r="D1128" s="14" t="inlineStr">
        <is>
          <t>TEBUTIURON 800 WG PERTERRA</t>
        </is>
      </c>
      <c r="E1128" s="13" t="inlineStr">
        <is>
          <t>1. Titular do Registro</t>
        </is>
      </c>
      <c r="F1128" s="13" t="inlineStr">
        <is>
          <t>Produto Formulado Comercial</t>
        </is>
      </c>
      <c r="G1128" s="13" t="inlineStr">
        <is>
          <t>Perterra Insumos Agropecuários S.A. - São Paulo/SP</t>
        </is>
      </c>
      <c r="H1128" s="13" t="inlineStr">
        <is>
          <t>Estabelecimento Credenciado</t>
        </is>
      </c>
      <c r="I1128" s="13" t="inlineStr">
        <is>
          <t>CNPJ Credenciado MAPA</t>
        </is>
      </c>
      <c r="J1128" s="13" t="inlineStr">
        <is>
          <t>Registro Estadual Vigente</t>
        </is>
      </c>
      <c r="K1128" s="13" t="inlineStr">
        <is>
          <t>Unidade Operacional Brasil</t>
        </is>
      </c>
      <c r="L1128" s="13" t="inlineStr">
        <is>
          <t>Brasil</t>
        </is>
      </c>
      <c r="M1128" s="13" t="inlineStr">
        <is>
          <t>0/1/2 - Conforme Origem do Lote</t>
        </is>
      </c>
    </row>
    <row r="1129" ht="22" customHeight="1">
      <c r="A1129" s="6" t="inlineStr">
        <is>
          <t>EMP-1125</t>
        </is>
      </c>
      <c r="B1129" s="5" t="n">
        <v>946</v>
      </c>
      <c r="C1129" s="7" t="inlineStr">
        <is>
          <t>Nº 20224</t>
        </is>
      </c>
      <c r="D1129" s="8" t="inlineStr">
        <is>
          <t>PRO-PIC 720 WG</t>
        </is>
      </c>
      <c r="E1129" s="7" t="inlineStr">
        <is>
          <t>1. Titular do Registro</t>
        </is>
      </c>
      <c r="F1129" s="7" t="inlineStr">
        <is>
          <t>Produto Técnico Industrial</t>
        </is>
      </c>
      <c r="G1129" s="7" t="inlineStr">
        <is>
          <t>AllierBrasil Agro Ltda. - São Paulo/SP</t>
        </is>
      </c>
      <c r="H1129" s="7" t="inlineStr">
        <is>
          <t>Estabelecimento Credenciado</t>
        </is>
      </c>
      <c r="I1129" s="7" t="inlineStr">
        <is>
          <t>CNPJ Credenciado MAPA</t>
        </is>
      </c>
      <c r="J1129" s="7" t="inlineStr">
        <is>
          <t>Registro Estadual Vigente</t>
        </is>
      </c>
      <c r="K1129" s="7" t="inlineStr">
        <is>
          <t>Unidade Operacional Brasil</t>
        </is>
      </c>
      <c r="L1129" s="7" t="inlineStr">
        <is>
          <t>Brasil</t>
        </is>
      </c>
      <c r="M1129" s="7" t="inlineStr">
        <is>
          <t>0/1/2 - Conforme Origem do Lote</t>
        </is>
      </c>
    </row>
    <row r="1130" ht="22" customHeight="1">
      <c r="A1130" s="12" t="inlineStr">
        <is>
          <t>EMP-1126</t>
        </is>
      </c>
      <c r="B1130" s="11" t="n">
        <v>947</v>
      </c>
      <c r="C1130" s="13" t="inlineStr">
        <is>
          <t>VINC-20224</t>
        </is>
      </c>
      <c r="D1130" s="14" t="inlineStr">
        <is>
          <t>Glifosato Técnico GHA</t>
        </is>
      </c>
      <c r="E1130" s="13" t="inlineStr">
        <is>
          <t>1. Titular do Registro / Produtor</t>
        </is>
      </c>
      <c r="F1130" s="13" t="inlineStr">
        <is>
          <t>Produto Técnico Industrial</t>
        </is>
      </c>
      <c r="G1130" s="13" t="inlineStr">
        <is>
          <t>Jiangsu Good Harvest - Weien Agrochemical Co. Ltd. - Endereço: Loagang, Qidong City, Jiangsu Province - China (Vinc. Reg. 20224)</t>
        </is>
      </c>
      <c r="H1130" s="13" t="inlineStr">
        <is>
          <t>Matriz / Estabelecimento Principal</t>
        </is>
      </c>
      <c r="I1130" s="13" t="inlineStr">
        <is>
          <t>CNPJ Credenciado MAPA/SIPEAGRO</t>
        </is>
      </c>
      <c r="J1130" s="13" t="inlineStr">
        <is>
          <t>Registro Estadual Vigente</t>
        </is>
      </c>
      <c r="K1130" s="13" t="inlineStr">
        <is>
          <t>Estabelecimento Credenciado no Brasil</t>
        </is>
      </c>
      <c r="L1130" s="13" t="inlineStr">
        <is>
          <t>Brasil</t>
        </is>
      </c>
      <c r="M1130" s="13" t="inlineStr">
        <is>
          <t>0 - Nacional / 1 - Importação Direta</t>
        </is>
      </c>
    </row>
    <row r="1131" ht="22" customHeight="1">
      <c r="A1131" s="6" t="inlineStr">
        <is>
          <t>EMP-1127</t>
        </is>
      </c>
      <c r="B1131" s="5" t="n">
        <v>948</v>
      </c>
      <c r="C1131" s="7" t="inlineStr">
        <is>
          <t>Nº 20324</t>
        </is>
      </c>
      <c r="D1131" s="8" t="inlineStr">
        <is>
          <t>OLAPAQUE</t>
        </is>
      </c>
      <c r="E1131" s="7" t="inlineStr">
        <is>
          <t>1. Titular do Registro</t>
        </is>
      </c>
      <c r="F1131" s="7" t="inlineStr">
        <is>
          <t>Produto Formulado Comercial</t>
        </is>
      </c>
      <c r="G1131" s="7" t="inlineStr">
        <is>
          <t>AllierBrasil Agro Ltda.- São Paulo/SP</t>
        </is>
      </c>
      <c r="H1131" s="7" t="inlineStr">
        <is>
          <t>Estabelecimento Credenciado</t>
        </is>
      </c>
      <c r="I1131" s="7" t="inlineStr">
        <is>
          <t>CNPJ Credenciado MAPA</t>
        </is>
      </c>
      <c r="J1131" s="7" t="inlineStr">
        <is>
          <t>Registro Estadual Vigente</t>
        </is>
      </c>
      <c r="K1131" s="7" t="inlineStr">
        <is>
          <t>Unidade Operacional Brasil</t>
        </is>
      </c>
      <c r="L1131" s="7" t="inlineStr">
        <is>
          <t>Brasil</t>
        </is>
      </c>
      <c r="M1131" s="7" t="inlineStr">
        <is>
          <t>0/1/2 - Conforme Origem do Lote</t>
        </is>
      </c>
    </row>
    <row r="1132" ht="22" customHeight="1">
      <c r="A1132" s="12" t="inlineStr">
        <is>
          <t>EMP-1128</t>
        </is>
      </c>
      <c r="B1132" s="11" t="n">
        <v>949</v>
      </c>
      <c r="C1132" s="13" t="inlineStr">
        <is>
          <t>Nº 20424</t>
        </is>
      </c>
      <c r="D1132" s="14" t="inlineStr">
        <is>
          <t>BIOPAK 720 WG</t>
        </is>
      </c>
      <c r="E1132" s="13" t="inlineStr">
        <is>
          <t>1. Titular do Registro</t>
        </is>
      </c>
      <c r="F1132" s="13" t="inlineStr">
        <is>
          <t>Produto Técnico Industrial</t>
        </is>
      </c>
      <c r="G1132" s="13" t="inlineStr">
        <is>
          <t>AllierBrasil Agro Ltda.- São Paulo/SP</t>
        </is>
      </c>
      <c r="H1132" s="13" t="inlineStr">
        <is>
          <t>Estabelecimento Credenciado</t>
        </is>
      </c>
      <c r="I1132" s="13" t="inlineStr">
        <is>
          <t>CNPJ Credenciado MAPA</t>
        </is>
      </c>
      <c r="J1132" s="13" t="inlineStr">
        <is>
          <t>Registro Estadual Vigente</t>
        </is>
      </c>
      <c r="K1132" s="13" t="inlineStr">
        <is>
          <t>Unidade Operacional Brasil</t>
        </is>
      </c>
      <c r="L1132" s="13" t="inlineStr">
        <is>
          <t>Brasil</t>
        </is>
      </c>
      <c r="M1132" s="13" t="inlineStr">
        <is>
          <t>0/1/2 - Conforme Origem do Lote</t>
        </is>
      </c>
    </row>
    <row r="1133" ht="22" customHeight="1">
      <c r="A1133" s="6" t="inlineStr">
        <is>
          <t>EMP-1129</t>
        </is>
      </c>
      <c r="B1133" s="5" t="n">
        <v>950</v>
      </c>
      <c r="C1133" s="7" t="inlineStr">
        <is>
          <t>Nº 20524</t>
        </is>
      </c>
      <c r="D1133" s="8" t="inlineStr">
        <is>
          <t>NAVEGANTE 806 SL</t>
        </is>
      </c>
      <c r="E1133" s="7" t="inlineStr">
        <is>
          <t>1. Titular do Registro</t>
        </is>
      </c>
      <c r="F1133" s="7" t="inlineStr">
        <is>
          <t>Produto Formulado Comercial</t>
        </is>
      </c>
      <c r="G1133" s="7" t="inlineStr">
        <is>
          <t>AllierBrasil Agro Ltda.- São Paulo/SP</t>
        </is>
      </c>
      <c r="H1133" s="7" t="inlineStr">
        <is>
          <t>Estabelecimento Credenciado</t>
        </is>
      </c>
      <c r="I1133" s="7" t="inlineStr">
        <is>
          <t>CNPJ Credenciado MAPA</t>
        </is>
      </c>
      <c r="J1133" s="7" t="inlineStr">
        <is>
          <t>Registro Estadual Vigente</t>
        </is>
      </c>
      <c r="K1133" s="7" t="inlineStr">
        <is>
          <t>Unidade Operacional Brasil</t>
        </is>
      </c>
      <c r="L1133" s="7" t="inlineStr">
        <is>
          <t>Brasil</t>
        </is>
      </c>
      <c r="M1133" s="7" t="inlineStr">
        <is>
          <t>0/1/2 - Conforme Origem do Lote</t>
        </is>
      </c>
    </row>
    <row r="1134" ht="22" customHeight="1">
      <c r="A1134" s="12" t="inlineStr">
        <is>
          <t>EMP-1130</t>
        </is>
      </c>
      <c r="B1134" s="11" t="n">
        <v>951</v>
      </c>
      <c r="C1134" s="13" t="inlineStr">
        <is>
          <t>Nº 20624</t>
        </is>
      </c>
      <c r="D1134" s="14" t="inlineStr">
        <is>
          <t>CISHA 250 EC</t>
        </is>
      </c>
      <c r="E1134" s="13" t="inlineStr">
        <is>
          <t>1. Titular do Registro</t>
        </is>
      </c>
      <c r="F1134" s="13" t="inlineStr">
        <is>
          <t>Produto Formulado Comercial</t>
        </is>
      </c>
      <c r="G1134" s="13" t="inlineStr">
        <is>
          <t>AllierBrasil Agro Ltda.- São Paulo/SP</t>
        </is>
      </c>
      <c r="H1134" s="13" t="inlineStr">
        <is>
          <t>Estabelecimento Credenciado</t>
        </is>
      </c>
      <c r="I1134" s="13" t="inlineStr">
        <is>
          <t>CNPJ Credenciado MAPA</t>
        </is>
      </c>
      <c r="J1134" s="13" t="inlineStr">
        <is>
          <t>Registro Estadual Vigente</t>
        </is>
      </c>
      <c r="K1134" s="13" t="inlineStr">
        <is>
          <t>Unidade Operacional Brasil</t>
        </is>
      </c>
      <c r="L1134" s="13" t="inlineStr">
        <is>
          <t>Brasil</t>
        </is>
      </c>
      <c r="M1134" s="13" t="inlineStr">
        <is>
          <t>0/1/2 - Conforme Origem do Lote</t>
        </is>
      </c>
    </row>
    <row r="1135" ht="22" customHeight="1">
      <c r="A1135" s="6" t="inlineStr">
        <is>
          <t>EMP-1131</t>
        </is>
      </c>
      <c r="B1135" s="5" t="n">
        <v>952</v>
      </c>
      <c r="C1135" s="7" t="inlineStr">
        <is>
          <t>VINC-20624</t>
        </is>
      </c>
      <c r="D1135" s="8" t="inlineStr">
        <is>
          <t>Shyper Técnico</t>
        </is>
      </c>
      <c r="E1135" s="7" t="inlineStr">
        <is>
          <t>1. Titular do Registro / Produtor</t>
        </is>
      </c>
      <c r="F1135" s="7" t="inlineStr">
        <is>
          <t>Produto Técnico Industrial</t>
        </is>
      </c>
      <c r="G1135" s="7" t="inlineStr">
        <is>
          <t>Gujarat Agrochem Ltd - Endereço: Plot nº 2901 to 2905 GIDC , Panoli Ankleshwar - Distr. Bharuch Gujarat - INDIA (Vinc. Reg. 20624)</t>
        </is>
      </c>
      <c r="H1135" s="7" t="inlineStr">
        <is>
          <t>Matriz / Estabelecimento Principal</t>
        </is>
      </c>
      <c r="I1135" s="7" t="inlineStr">
        <is>
          <t>CNPJ Credenciado MAPA/SIPEAGRO</t>
        </is>
      </c>
      <c r="J1135" s="7" t="inlineStr">
        <is>
          <t>Registro Estadual Vigente</t>
        </is>
      </c>
      <c r="K1135" s="7" t="inlineStr">
        <is>
          <t>Estabelecimento Credenciado no Brasil</t>
        </is>
      </c>
      <c r="L1135" s="7" t="inlineStr">
        <is>
          <t>Brasil</t>
        </is>
      </c>
      <c r="M1135" s="7" t="inlineStr">
        <is>
          <t>0 - Nacional / 1 - Importação Direta</t>
        </is>
      </c>
    </row>
    <row r="1136" ht="22" customHeight="1">
      <c r="A1136" s="12" t="inlineStr">
        <is>
          <t>EMP-1132</t>
        </is>
      </c>
      <c r="B1136" s="11" t="n">
        <v>953</v>
      </c>
      <c r="C1136" s="13" t="inlineStr">
        <is>
          <t>Nº 20724</t>
        </is>
      </c>
      <c r="D1136" s="14" t="inlineStr">
        <is>
          <t>GLUFORCE</t>
        </is>
      </c>
      <c r="E1136" s="13" t="inlineStr">
        <is>
          <t>1. Titular do Registro</t>
        </is>
      </c>
      <c r="F1136" s="13" t="inlineStr">
        <is>
          <t>Produto Formulado Comercial</t>
        </is>
      </c>
      <c r="G1136" s="13" t="inlineStr">
        <is>
          <t>Dinagro Agropecuária Ltda.- Ribeirão Preto/SP</t>
        </is>
      </c>
      <c r="H1136" s="13" t="inlineStr">
        <is>
          <t>Estabelecimento Credenciado</t>
        </is>
      </c>
      <c r="I1136" s="13" t="inlineStr">
        <is>
          <t>CNPJ Credenciado MAPA</t>
        </is>
      </c>
      <c r="J1136" s="13" t="inlineStr">
        <is>
          <t>Registro Estadual Vigente</t>
        </is>
      </c>
      <c r="K1136" s="13" t="inlineStr">
        <is>
          <t>Unidade Operacional Brasil</t>
        </is>
      </c>
      <c r="L1136" s="13" t="inlineStr">
        <is>
          <t>Brasil</t>
        </is>
      </c>
      <c r="M1136" s="13" t="inlineStr">
        <is>
          <t>0/1/2 - Conforme Origem do Lote</t>
        </is>
      </c>
    </row>
    <row r="1137" ht="22" customHeight="1">
      <c r="A1137" s="6" t="inlineStr">
        <is>
          <t>EMP-1133</t>
        </is>
      </c>
      <c r="B1137" s="5" t="n">
        <v>954</v>
      </c>
      <c r="C1137" s="7" t="inlineStr">
        <is>
          <t>VINC-20724</t>
        </is>
      </c>
      <c r="D1137" s="8" t="inlineStr">
        <is>
          <t>Glufosinato Técnico Dinagro</t>
        </is>
      </c>
      <c r="E1137" s="7" t="inlineStr">
        <is>
          <t>1. Titular do Registro / Produtor</t>
        </is>
      </c>
      <c r="F1137" s="7" t="inlineStr">
        <is>
          <t>Produto Técnico Industrial</t>
        </is>
      </c>
      <c r="G1137" s="7" t="inlineStr">
        <is>
          <t>Hebei Veyong Bio-Chemichal Co., Ltd - Endereço: Nº 6, Middle Huagong Road Circulation Chemical Industry Park Shijiazhuang, Hebei - China (Vinc. Reg. 20724)</t>
        </is>
      </c>
      <c r="H1137" s="7" t="inlineStr">
        <is>
          <t>Matriz / Estabelecimento Principal</t>
        </is>
      </c>
      <c r="I1137" s="7" t="inlineStr">
        <is>
          <t>CNPJ Credenciado MAPA/SIPEAGRO</t>
        </is>
      </c>
      <c r="J1137" s="7" t="inlineStr">
        <is>
          <t>Registro Estadual Vigente</t>
        </is>
      </c>
      <c r="K1137" s="7" t="inlineStr">
        <is>
          <t>Estabelecimento Credenciado no Brasil</t>
        </is>
      </c>
      <c r="L1137" s="7" t="inlineStr">
        <is>
          <t>Brasil</t>
        </is>
      </c>
      <c r="M1137" s="7" t="inlineStr">
        <is>
          <t>0 - Nacional / 1 - Importação Direta</t>
        </is>
      </c>
    </row>
    <row r="1138" ht="22" customHeight="1">
      <c r="A1138" s="12" t="inlineStr">
        <is>
          <t>EMP-1134</t>
        </is>
      </c>
      <c r="B1138" s="11" t="n">
        <v>955</v>
      </c>
      <c r="C1138" s="13" t="inlineStr">
        <is>
          <t>Nº 20824</t>
        </is>
      </c>
      <c r="D1138" s="14" t="inlineStr">
        <is>
          <t>BIOMETATRIL</t>
        </is>
      </c>
      <c r="E1138" s="13" t="inlineStr">
        <is>
          <t>1. Titular do Registro</t>
        </is>
      </c>
      <c r="F1138" s="13" t="inlineStr">
        <is>
          <t>Produto Formulado Comercial</t>
        </is>
      </c>
      <c r="G1138" s="13" t="inlineStr">
        <is>
          <t>J. A. Moura Goncalves Fertilizantes Eireli- Avaré/SP</t>
        </is>
      </c>
      <c r="H1138" s="13" t="inlineStr">
        <is>
          <t>Estabelecimento Credenciado</t>
        </is>
      </c>
      <c r="I1138" s="13" t="inlineStr">
        <is>
          <t>CNPJ Credenciado MAPA</t>
        </is>
      </c>
      <c r="J1138" s="13" t="inlineStr">
        <is>
          <t>Registro Estadual Vigente</t>
        </is>
      </c>
      <c r="K1138" s="13" t="inlineStr">
        <is>
          <t>Unidade Operacional Brasil</t>
        </is>
      </c>
      <c r="L1138" s="13" t="inlineStr">
        <is>
          <t>Brasil</t>
        </is>
      </c>
      <c r="M1138" s="13" t="inlineStr">
        <is>
          <t>0/1/2 - Conforme Origem do Lote</t>
        </is>
      </c>
    </row>
    <row r="1139" ht="22" customHeight="1">
      <c r="A1139" s="6" t="inlineStr">
        <is>
          <t>EMP-1135</t>
        </is>
      </c>
      <c r="B1139" s="5" t="n">
        <v>956</v>
      </c>
      <c r="C1139" s="7" t="inlineStr">
        <is>
          <t>Nº 20924</t>
        </is>
      </c>
      <c r="D1139" s="8" t="inlineStr">
        <is>
          <t>FOLPEC 50</t>
        </is>
      </c>
      <c r="E1139" s="7" t="inlineStr">
        <is>
          <t>1. Titular do Registro</t>
        </is>
      </c>
      <c r="F1139" s="7" t="inlineStr">
        <is>
          <t>Produto Formulado Comercial</t>
        </is>
      </c>
      <c r="G1139" s="7" t="inlineStr">
        <is>
          <t>Tradecorp do Brasil Comércio de Insumos Agrícolas Ltda.- Hortolândia/SP</t>
        </is>
      </c>
      <c r="H1139" s="7" t="inlineStr">
        <is>
          <t>Estabelecimento Credenciado</t>
        </is>
      </c>
      <c r="I1139" s="7" t="inlineStr">
        <is>
          <t>CNPJ Credenciado MAPA</t>
        </is>
      </c>
      <c r="J1139" s="7" t="inlineStr">
        <is>
          <t>Registro Estadual Vigente</t>
        </is>
      </c>
      <c r="K1139" s="7" t="inlineStr">
        <is>
          <t>Unidade Operacional Brasil</t>
        </is>
      </c>
      <c r="L1139" s="7" t="inlineStr">
        <is>
          <t>Brasil</t>
        </is>
      </c>
      <c r="M1139" s="7" t="inlineStr">
        <is>
          <t>0/1/2 - Conforme Origem do Lote</t>
        </is>
      </c>
    </row>
    <row r="1140" ht="22" customHeight="1">
      <c r="A1140" s="12" t="inlineStr">
        <is>
          <t>EMP-1136</t>
        </is>
      </c>
      <c r="B1140" s="11" t="n">
        <v>957</v>
      </c>
      <c r="C1140" s="13" t="inlineStr">
        <is>
          <t>VINC-20924</t>
        </is>
      </c>
      <c r="D1140" s="14" t="inlineStr">
        <is>
          <t>Folpete Tradecorp Técnico</t>
        </is>
      </c>
      <c r="E1140" s="13" t="inlineStr">
        <is>
          <t>1. Titular do Registro / Produtor</t>
        </is>
      </c>
      <c r="F1140" s="13" t="inlineStr">
        <is>
          <t>Produto Técnico Industrial</t>
        </is>
      </c>
      <c r="G1140" s="13" t="inlineStr">
        <is>
          <t>Yingde Greatchem Chemicals Co., Ltd. - Endereço: Hongfeng District, Shakou Town Yingde, Guangdong 513052 China (Vinc. Reg. 20924)</t>
        </is>
      </c>
      <c r="H1140" s="13" t="inlineStr">
        <is>
          <t>Matriz / Estabelecimento Principal</t>
        </is>
      </c>
      <c r="I1140" s="13" t="inlineStr">
        <is>
          <t>CNPJ Credenciado MAPA/SIPEAGRO</t>
        </is>
      </c>
      <c r="J1140" s="13" t="inlineStr">
        <is>
          <t>Registro Estadual Vigente</t>
        </is>
      </c>
      <c r="K1140" s="13" t="inlineStr">
        <is>
          <t>Estabelecimento Credenciado no Brasil</t>
        </is>
      </c>
      <c r="L1140" s="13" t="inlineStr">
        <is>
          <t>Brasil</t>
        </is>
      </c>
      <c r="M1140" s="13" t="inlineStr">
        <is>
          <t>0 - Nacional / 1 - Importação Direta</t>
        </is>
      </c>
    </row>
    <row r="1141" ht="22" customHeight="1">
      <c r="A1141" s="6" t="inlineStr">
        <is>
          <t>EMP-1137</t>
        </is>
      </c>
      <c r="B1141" s="5" t="n">
        <v>958</v>
      </c>
      <c r="C1141" s="7" t="inlineStr">
        <is>
          <t>Nº 21024</t>
        </is>
      </c>
      <c r="D1141" s="8" t="inlineStr">
        <is>
          <t>METABOV</t>
        </is>
      </c>
      <c r="E1141" s="7" t="inlineStr">
        <is>
          <t>1. Titular do Registro</t>
        </is>
      </c>
      <c r="F1141" s="7" t="inlineStr">
        <is>
          <t>Produto Formulado Comercial</t>
        </is>
      </c>
      <c r="G1141" s="7" t="inlineStr">
        <is>
          <t>Alisson Machado de Souza Representações- São Sebastião do Paraíso/MG</t>
        </is>
      </c>
      <c r="H1141" s="7" t="inlineStr">
        <is>
          <t>Estabelecimento Credenciado</t>
        </is>
      </c>
      <c r="I1141" s="7" t="inlineStr">
        <is>
          <t>CNPJ Credenciado MAPA</t>
        </is>
      </c>
      <c r="J1141" s="7" t="inlineStr">
        <is>
          <t>Registro Estadual Vigente</t>
        </is>
      </c>
      <c r="K1141" s="7" t="inlineStr">
        <is>
          <t>Unidade Operacional Brasil</t>
        </is>
      </c>
      <c r="L1141" s="7" t="inlineStr">
        <is>
          <t>Brasil</t>
        </is>
      </c>
      <c r="M1141" s="7" t="inlineStr">
        <is>
          <t>0/1/2 - Conforme Origem do Lote</t>
        </is>
      </c>
    </row>
    <row r="1142" ht="22" customHeight="1">
      <c r="A1142" s="12" t="inlineStr">
        <is>
          <t>EMP-1138</t>
        </is>
      </c>
      <c r="B1142" s="11" t="n">
        <v>959</v>
      </c>
      <c r="C1142" s="13" t="inlineStr">
        <is>
          <t>Nº 21024</t>
        </is>
      </c>
      <c r="D1142" s="14" t="inlineStr">
        <is>
          <t>ATLASMIX</t>
        </is>
      </c>
      <c r="E1142" s="13" t="inlineStr">
        <is>
          <t>1. Titular do Registro</t>
        </is>
      </c>
      <c r="F1142" s="13" t="inlineStr">
        <is>
          <t>Produto Formulado Comercial</t>
        </is>
      </c>
      <c r="G1142" s="13" t="inlineStr">
        <is>
          <t>Alisson Machado de Souza Representações- São Sebastião do Paraíso/MG</t>
        </is>
      </c>
      <c r="H1142" s="13" t="inlineStr">
        <is>
          <t>Estabelecimento Credenciado</t>
        </is>
      </c>
      <c r="I1142" s="13" t="inlineStr">
        <is>
          <t>CNPJ Credenciado MAPA</t>
        </is>
      </c>
      <c r="J1142" s="13" t="inlineStr">
        <is>
          <t>Registro Estadual Vigente</t>
        </is>
      </c>
      <c r="K1142" s="13" t="inlineStr">
        <is>
          <t>Unidade Operacional Brasil</t>
        </is>
      </c>
      <c r="L1142" s="13" t="inlineStr">
        <is>
          <t>Brasil</t>
        </is>
      </c>
      <c r="M1142" s="13" t="inlineStr">
        <is>
          <t>0/1/2 - Conforme Origem do Lote</t>
        </is>
      </c>
    </row>
    <row r="1143" ht="22" customHeight="1">
      <c r="A1143" s="6" t="inlineStr">
        <is>
          <t>EMP-1139</t>
        </is>
      </c>
      <c r="B1143" s="5" t="n">
        <v>960</v>
      </c>
      <c r="C1143" s="7" t="inlineStr">
        <is>
          <t>Nº 21024</t>
        </is>
      </c>
      <c r="D1143" s="8" t="inlineStr">
        <is>
          <t>GRIFOS</t>
        </is>
      </c>
      <c r="E1143" s="7" t="inlineStr">
        <is>
          <t>1. Titular do Registro</t>
        </is>
      </c>
      <c r="F1143" s="7" t="inlineStr">
        <is>
          <t>Produto Formulado Comercial</t>
        </is>
      </c>
      <c r="G1143" s="7" t="inlineStr">
        <is>
          <t>Alisson Machado de Souza Representações- São Sebastião do Paraíso/MG</t>
        </is>
      </c>
      <c r="H1143" s="7" t="inlineStr">
        <is>
          <t>Estabelecimento Credenciado</t>
        </is>
      </c>
      <c r="I1143" s="7" t="inlineStr">
        <is>
          <t>CNPJ Credenciado MAPA</t>
        </is>
      </c>
      <c r="J1143" s="7" t="inlineStr">
        <is>
          <t>Registro Estadual Vigente</t>
        </is>
      </c>
      <c r="K1143" s="7" t="inlineStr">
        <is>
          <t>Unidade Operacional Brasil</t>
        </is>
      </c>
      <c r="L1143" s="7" t="inlineStr">
        <is>
          <t>Brasil</t>
        </is>
      </c>
      <c r="M1143" s="7" t="inlineStr">
        <is>
          <t>0/1/2 - Conforme Origem do Lote</t>
        </is>
      </c>
    </row>
    <row r="1144" ht="22" customHeight="1">
      <c r="A1144" s="12" t="inlineStr">
        <is>
          <t>EMP-1140</t>
        </is>
      </c>
      <c r="B1144" s="11" t="n">
        <v>961</v>
      </c>
      <c r="C1144" s="13" t="inlineStr">
        <is>
          <t>Nº 21124</t>
        </is>
      </c>
      <c r="D1144" s="14" t="inlineStr">
        <is>
          <t>TRATTARE</t>
        </is>
      </c>
      <c r="E1144" s="13" t="inlineStr">
        <is>
          <t>1. Titular do Registro</t>
        </is>
      </c>
      <c r="F1144" s="13" t="inlineStr">
        <is>
          <t>Produto Formulado Comercial</t>
        </is>
      </c>
      <c r="G1144" s="13" t="inlineStr">
        <is>
          <t>Ouro Fino Química S.A.- Uberaba/MG</t>
        </is>
      </c>
      <c r="H1144" s="13" t="inlineStr">
        <is>
          <t>Estabelecimento Credenciado</t>
        </is>
      </c>
      <c r="I1144" s="13" t="inlineStr">
        <is>
          <t>CNPJ Credenciado MAPA</t>
        </is>
      </c>
      <c r="J1144" s="13" t="inlineStr">
        <is>
          <t>Registro Estadual Vigente</t>
        </is>
      </c>
      <c r="K1144" s="13" t="inlineStr">
        <is>
          <t>Unidade Operacional Brasil</t>
        </is>
      </c>
      <c r="L1144" s="13" t="inlineStr">
        <is>
          <t>Brasil</t>
        </is>
      </c>
      <c r="M1144" s="13" t="inlineStr">
        <is>
          <t>0/1/2 - Conforme Origem do Lote</t>
        </is>
      </c>
    </row>
    <row r="1145" ht="22" customHeight="1">
      <c r="A1145" s="6" t="inlineStr">
        <is>
          <t>EMP-1141</t>
        </is>
      </c>
      <c r="B1145" s="5" t="n">
        <v>962</v>
      </c>
      <c r="C1145" s="7" t="inlineStr">
        <is>
          <t>VINC-21124</t>
        </is>
      </c>
      <c r="D1145" s="8" t="inlineStr">
        <is>
          <t>Protioconazol Técnico Ouro Fino</t>
        </is>
      </c>
      <c r="E1145" s="7" t="inlineStr">
        <is>
          <t>1. Titular / Fabricante Principal</t>
        </is>
      </c>
      <c r="F1145" s="7" t="inlineStr">
        <is>
          <t>Produto Técnico Industrial</t>
        </is>
      </c>
      <c r="G1145" s="7" t="inlineStr">
        <is>
          <t>Shandong Hailir Chemical Co., Ltd.</t>
        </is>
      </c>
      <c r="H1145" s="7" t="inlineStr">
        <is>
          <t>Planta Principal</t>
        </is>
      </c>
      <c r="I1145" s="7" t="inlineStr">
        <is>
          <t>Conforme Ato DOU/MAPA</t>
        </is>
      </c>
      <c r="J1145" s="7" t="inlineStr">
        <is>
          <t>MAPA Vigente</t>
        </is>
      </c>
      <c r="K1145" s="7" t="inlineStr">
        <is>
          <t>Shandong Hailir Chemical Co., Ltd. - Endereço: Lingang Industrial Zone, Coastal Econ. Development Zone, Weifang, Shandong, China</t>
        </is>
      </c>
      <c r="L1145" s="7" t="inlineStr">
        <is>
          <t>China</t>
        </is>
      </c>
      <c r="M1145" s="7" t="inlineStr">
        <is>
          <t>1 - Importado</t>
        </is>
      </c>
    </row>
    <row r="1146" ht="22" customHeight="1">
      <c r="A1146" s="12" t="inlineStr">
        <is>
          <t>EMP-1142</t>
        </is>
      </c>
      <c r="B1146" s="11" t="n">
        <v>962</v>
      </c>
      <c r="C1146" s="13" t="inlineStr">
        <is>
          <t>VINC-21124</t>
        </is>
      </c>
      <c r="D1146" s="14" t="inlineStr">
        <is>
          <t>Protioconazol Técnico Ouro Fino</t>
        </is>
      </c>
      <c r="E1146" s="13" t="inlineStr">
        <is>
          <t>2. Fabricante do Produto Técnico Vinculado</t>
        </is>
      </c>
      <c r="F1146" s="13" t="inlineStr">
        <is>
          <t>Protioconazol Técnico Adama BR</t>
        </is>
      </c>
      <c r="G1146" s="13" t="inlineStr">
        <is>
          <t>Adama Brasil S/A - CNJP: 02.290.510/0004 19</t>
        </is>
      </c>
      <c r="H1146" s="13" t="inlineStr">
        <is>
          <t>Unidade Fabril Síntese</t>
        </is>
      </c>
      <c r="I1146" s="13" t="inlineStr">
        <is>
          <t>Registro DOU/MAPA</t>
        </is>
      </c>
      <c r="J1146" s="13" t="inlineStr">
        <is>
          <t>Isento Exterior / MAPA</t>
        </is>
      </c>
      <c r="K1146" s="13" t="inlineStr">
        <is>
          <t>Nome: Adama Brasil S/A - CNJP: 02.290.510/0004 19 - Endereço: Av. Júlio de Caslhos, n° 2085, CEP.: 95860-000, Taquari/RS (Vinc. Reg. 21124)</t>
        </is>
      </c>
      <c r="L1146" s="13" t="inlineStr">
        <is>
          <t>Exterior</t>
        </is>
      </c>
      <c r="M1146" s="13" t="inlineStr">
        <is>
          <t>1/2 - Insumo Importado</t>
        </is>
      </c>
    </row>
    <row r="1147" ht="22" customHeight="1">
      <c r="A1147" s="6" t="inlineStr">
        <is>
          <t>EMP-1143</t>
        </is>
      </c>
      <c r="B1147" s="5" t="n">
        <v>963</v>
      </c>
      <c r="C1147" s="7" t="inlineStr">
        <is>
          <t>Nº 21224</t>
        </is>
      </c>
      <c r="D1147" s="8" t="inlineStr">
        <is>
          <t>ECLIPSE</t>
        </is>
      </c>
      <c r="E1147" s="7" t="inlineStr">
        <is>
          <t>1. Titular do Registro</t>
        </is>
      </c>
      <c r="F1147" s="7" t="inlineStr">
        <is>
          <t>Produto Formulado Comercial</t>
        </is>
      </c>
      <c r="G1147" s="7" t="inlineStr">
        <is>
          <t>CHDS do Brasil Comércio de Insumos Agrícolas Ltda- São Miguel do Iguaçu/PR</t>
        </is>
      </c>
      <c r="H1147" s="7" t="inlineStr">
        <is>
          <t>Estabelecimento Credenciado</t>
        </is>
      </c>
      <c r="I1147" s="7" t="inlineStr">
        <is>
          <t>CNPJ Credenciado MAPA</t>
        </is>
      </c>
      <c r="J1147" s="7" t="inlineStr">
        <is>
          <t>Registro Estadual Vigente</t>
        </is>
      </c>
      <c r="K1147" s="7" t="inlineStr">
        <is>
          <t>Unidade Operacional Brasil</t>
        </is>
      </c>
      <c r="L1147" s="7" t="inlineStr">
        <is>
          <t>Brasil</t>
        </is>
      </c>
      <c r="M1147" s="7" t="inlineStr">
        <is>
          <t>0/1/2 - Conforme Origem do Lote</t>
        </is>
      </c>
    </row>
    <row r="1148" ht="22" customHeight="1">
      <c r="A1148" s="12" t="inlineStr">
        <is>
          <t>EMP-1144</t>
        </is>
      </c>
      <c r="B1148" s="11" t="n">
        <v>964</v>
      </c>
      <c r="C1148" s="13" t="inlineStr">
        <is>
          <t>VINC-21224</t>
        </is>
      </c>
      <c r="D1148" s="14" t="inlineStr">
        <is>
          <t>Tiametoxam Técnico IN</t>
        </is>
      </c>
      <c r="E1148" s="13" t="inlineStr">
        <is>
          <t>1. Titular do Registro / Produtor</t>
        </is>
      </c>
      <c r="F1148" s="13" t="inlineStr">
        <is>
          <t>Produto Técnico Industrial</t>
        </is>
      </c>
      <c r="G1148" s="13" t="inlineStr">
        <is>
          <t>Shandong Hailir Chemical Co., Ltd - Endereço: Lingang lndustry Zone, Coastal Econ. Development Zone, Weifang, Shandong, China (Vinc. Reg. 21224)</t>
        </is>
      </c>
      <c r="H1148" s="13" t="inlineStr">
        <is>
          <t>Matriz / Estabelecimento Principal</t>
        </is>
      </c>
      <c r="I1148" s="13" t="inlineStr">
        <is>
          <t>CNPJ Credenciado MAPA/SIPEAGRO</t>
        </is>
      </c>
      <c r="J1148" s="13" t="inlineStr">
        <is>
          <t>Registro Estadual Vigente</t>
        </is>
      </c>
      <c r="K1148" s="13" t="inlineStr">
        <is>
          <t>Estabelecimento Credenciado no Brasil</t>
        </is>
      </c>
      <c r="L1148" s="13" t="inlineStr">
        <is>
          <t>Brasil</t>
        </is>
      </c>
      <c r="M1148" s="13" t="inlineStr">
        <is>
          <t>0 - Nacional / 1 - Importação Direta</t>
        </is>
      </c>
    </row>
    <row r="1149" ht="22" customHeight="1">
      <c r="A1149" s="6" t="inlineStr">
        <is>
          <t>EMP-1145</t>
        </is>
      </c>
      <c r="B1149" s="5" t="n">
        <v>965</v>
      </c>
      <c r="C1149" s="7" t="inlineStr">
        <is>
          <t>Nº 21324</t>
        </is>
      </c>
      <c r="D1149" s="8" t="inlineStr">
        <is>
          <t>TRICHO-HARMAX</t>
        </is>
      </c>
      <c r="E1149" s="7" t="inlineStr">
        <is>
          <t>1. Titular do Registro</t>
        </is>
      </c>
      <c r="F1149" s="7" t="inlineStr">
        <is>
          <t>Produto Formulado Comercial</t>
        </is>
      </c>
      <c r="G1149" s="7" t="inlineStr">
        <is>
          <t>J. A. Moura Gonçalves Fertilizantes Eireli- Avaré/SP</t>
        </is>
      </c>
      <c r="H1149" s="7" t="inlineStr">
        <is>
          <t>Estabelecimento Credenciado</t>
        </is>
      </c>
      <c r="I1149" s="7" t="inlineStr">
        <is>
          <t>CNPJ Credenciado MAPA</t>
        </is>
      </c>
      <c r="J1149" s="7" t="inlineStr">
        <is>
          <t>Registro Estadual Vigente</t>
        </is>
      </c>
      <c r="K1149" s="7" t="inlineStr">
        <is>
          <t>Unidade Operacional Brasil</t>
        </is>
      </c>
      <c r="L1149" s="7" t="inlineStr">
        <is>
          <t>Brasil</t>
        </is>
      </c>
      <c r="M1149" s="7" t="inlineStr">
        <is>
          <t>0/1/2 - Conforme Origem do Lote</t>
        </is>
      </c>
    </row>
    <row r="1150" ht="22" customHeight="1">
      <c r="A1150" s="12" t="inlineStr">
        <is>
          <t>EMP-1146</t>
        </is>
      </c>
      <c r="B1150" s="11" t="n">
        <v>966</v>
      </c>
      <c r="C1150" s="13" t="inlineStr">
        <is>
          <t>Nº 21424</t>
        </is>
      </c>
      <c r="D1150" s="14" t="inlineStr">
        <is>
          <t>ÉGIDE</t>
        </is>
      </c>
      <c r="E1150" s="13" t="inlineStr">
        <is>
          <t>1. Titular do Registro</t>
        </is>
      </c>
      <c r="F1150" s="13" t="inlineStr">
        <is>
          <t>Produto Formulado Comercial</t>
        </is>
      </c>
      <c r="G1150" s="13" t="inlineStr">
        <is>
          <t>Companhia Nitro Química Brasileira- Sertãozinho/SP</t>
        </is>
      </c>
      <c r="H1150" s="13" t="inlineStr">
        <is>
          <t>Estabelecimento Credenciado</t>
        </is>
      </c>
      <c r="I1150" s="13" t="inlineStr">
        <is>
          <t>CNPJ Credenciado MAPA</t>
        </is>
      </c>
      <c r="J1150" s="13" t="inlineStr">
        <is>
          <t>Registro Estadual Vigente</t>
        </is>
      </c>
      <c r="K1150" s="13" t="inlineStr">
        <is>
          <t>Unidade Operacional Brasil</t>
        </is>
      </c>
      <c r="L1150" s="13" t="inlineStr">
        <is>
          <t>Brasil</t>
        </is>
      </c>
      <c r="M1150" s="13" t="inlineStr">
        <is>
          <t>0/1/2 - Conforme Origem do Lote</t>
        </is>
      </c>
    </row>
    <row r="1151" ht="22" customHeight="1">
      <c r="A1151" s="6" t="inlineStr">
        <is>
          <t>EMP-1147</t>
        </is>
      </c>
      <c r="B1151" s="5" t="n">
        <v>967</v>
      </c>
      <c r="C1151" s="7" t="inlineStr">
        <is>
          <t>Nº 21524</t>
        </is>
      </c>
      <c r="D1151" s="8" t="inlineStr">
        <is>
          <t>MAVIC BIO</t>
        </is>
      </c>
      <c r="E1151" s="7" t="inlineStr">
        <is>
          <t>1. Titular do Registro</t>
        </is>
      </c>
      <c r="F1151" s="7" t="inlineStr">
        <is>
          <t>Produto Formulado Comercial</t>
        </is>
      </c>
      <c r="G1151" s="7" t="inlineStr">
        <is>
          <t>Alfa Agrotec Produtos Agrícolas Ltda- Jaboticabal/SP</t>
        </is>
      </c>
      <c r="H1151" s="7" t="inlineStr">
        <is>
          <t>Estabelecimento Credenciado</t>
        </is>
      </c>
      <c r="I1151" s="7" t="inlineStr">
        <is>
          <t>CNPJ Credenciado MAPA</t>
        </is>
      </c>
      <c r="J1151" s="7" t="inlineStr">
        <is>
          <t>Registro Estadual Vigente</t>
        </is>
      </c>
      <c r="K1151" s="7" t="inlineStr">
        <is>
          <t>Unidade Operacional Brasil</t>
        </is>
      </c>
      <c r="L1151" s="7" t="inlineStr">
        <is>
          <t>Brasil</t>
        </is>
      </c>
      <c r="M1151" s="7" t="inlineStr">
        <is>
          <t>0/1/2 - Conforme Origem do Lote</t>
        </is>
      </c>
    </row>
    <row r="1152" ht="22" customHeight="1">
      <c r="A1152" s="12" t="inlineStr">
        <is>
          <t>EMP-1148</t>
        </is>
      </c>
      <c r="B1152" s="11" t="n">
        <v>968</v>
      </c>
      <c r="C1152" s="13" t="inlineStr">
        <is>
          <t>Nº 21624</t>
        </is>
      </c>
      <c r="D1152" s="14" t="inlineStr">
        <is>
          <t>GRANT 970 WG</t>
        </is>
      </c>
      <c r="E1152" s="13" t="inlineStr">
        <is>
          <t>1. Titular do Registro</t>
        </is>
      </c>
      <c r="F1152" s="13" t="inlineStr">
        <is>
          <t>Produto Formulado Comercial</t>
        </is>
      </c>
      <c r="G1152" s="13" t="inlineStr">
        <is>
          <t>Nutrien Soluções Agrícolas Ltda.- São Paulo/SP</t>
        </is>
      </c>
      <c r="H1152" s="13" t="inlineStr">
        <is>
          <t>Estabelecimento Credenciado</t>
        </is>
      </c>
      <c r="I1152" s="13" t="inlineStr">
        <is>
          <t>CNPJ Credenciado MAPA</t>
        </is>
      </c>
      <c r="J1152" s="13" t="inlineStr">
        <is>
          <t>Registro Estadual Vigente</t>
        </is>
      </c>
      <c r="K1152" s="13" t="inlineStr">
        <is>
          <t>Unidade Operacional Brasil</t>
        </is>
      </c>
      <c r="L1152" s="13" t="inlineStr">
        <is>
          <t>Brasil</t>
        </is>
      </c>
      <c r="M1152" s="13" t="inlineStr">
        <is>
          <t>0/1/2 - Conforme Origem do Lote</t>
        </is>
      </c>
    </row>
    <row r="1153" ht="22" customHeight="1">
      <c r="A1153" s="6" t="inlineStr">
        <is>
          <t>EMP-1149</t>
        </is>
      </c>
      <c r="B1153" s="5" t="n">
        <v>969</v>
      </c>
      <c r="C1153" s="7" t="inlineStr">
        <is>
          <t>VINC-21624</t>
        </is>
      </c>
      <c r="D1153" s="8" t="inlineStr">
        <is>
          <t>2,4-D Tecnico TW Loveland</t>
        </is>
      </c>
      <c r="E1153" s="7" t="inlineStr">
        <is>
          <t>1. Titular do Registro / Produtor</t>
        </is>
      </c>
      <c r="F1153" s="7" t="inlineStr">
        <is>
          <t>Produto Técnico Industrial</t>
        </is>
      </c>
      <c r="G1153" s="7" t="inlineStr">
        <is>
          <t>Changzhou Wintafone Chemical CO., LTD - Endereço: West Weitang Chemical Industry Zone, Chunjiang Town, Xinbei 213033 Changzhou, Jiangsu, China (Vinc. Reg. 21624)</t>
        </is>
      </c>
      <c r="H1153" s="7" t="inlineStr">
        <is>
          <t>Matriz / Estabelecimento Principal</t>
        </is>
      </c>
      <c r="I1153" s="7" t="inlineStr">
        <is>
          <t>CNPJ Credenciado MAPA/SIPEAGRO</t>
        </is>
      </c>
      <c r="J1153" s="7" t="inlineStr">
        <is>
          <t>Registro Estadual Vigente</t>
        </is>
      </c>
      <c r="K1153" s="7" t="inlineStr">
        <is>
          <t>Estabelecimento Credenciado no Brasil</t>
        </is>
      </c>
      <c r="L1153" s="7" t="inlineStr">
        <is>
          <t>Brasil</t>
        </is>
      </c>
      <c r="M1153" s="7" t="inlineStr">
        <is>
          <t>0 - Nacional / 1 - Importação Direta</t>
        </is>
      </c>
    </row>
    <row r="1154" ht="22" customHeight="1">
      <c r="A1154" s="12" t="inlineStr">
        <is>
          <t>EMP-1150</t>
        </is>
      </c>
      <c r="B1154" s="11" t="n">
        <v>970</v>
      </c>
      <c r="C1154" s="13" t="inlineStr">
        <is>
          <t>Nº 21724</t>
        </is>
      </c>
      <c r="D1154" s="14" t="inlineStr">
        <is>
          <t>ORONDIS OPTI</t>
        </is>
      </c>
      <c r="E1154" s="13" t="inlineStr">
        <is>
          <t>1. Titular do Registro</t>
        </is>
      </c>
      <c r="F1154" s="13" t="inlineStr">
        <is>
          <t>Produto Formulado Comercial</t>
        </is>
      </c>
      <c r="G1154" s="13" t="inlineStr">
        <is>
          <t>Syngenta Proteção de Cultivos Ltda.- São Paulo/SP</t>
        </is>
      </c>
      <c r="H1154" s="13" t="inlineStr">
        <is>
          <t>Estabelecimento Credenciado</t>
        </is>
      </c>
      <c r="I1154" s="13" t="inlineStr">
        <is>
          <t>CNPJ Credenciado MAPA</t>
        </is>
      </c>
      <c r="J1154" s="13" t="inlineStr">
        <is>
          <t>Registro Estadual Vigente</t>
        </is>
      </c>
      <c r="K1154" s="13" t="inlineStr">
        <is>
          <t>Unidade Operacional Brasil</t>
        </is>
      </c>
      <c r="L1154" s="13" t="inlineStr">
        <is>
          <t>Brasil</t>
        </is>
      </c>
      <c r="M1154" s="13" t="inlineStr">
        <is>
          <t>0/1/2 - Conforme Origem do Lote</t>
        </is>
      </c>
    </row>
    <row r="1155" ht="22" customHeight="1">
      <c r="A1155" s="6" t="inlineStr">
        <is>
          <t>EMP-1151</t>
        </is>
      </c>
      <c r="B1155" s="5" t="n">
        <v>971</v>
      </c>
      <c r="C1155" s="7" t="inlineStr">
        <is>
          <t>VINC-21724</t>
        </is>
      </c>
      <c r="D1155" s="8" t="inlineStr">
        <is>
          <t>Clorotalonil Técnico</t>
        </is>
      </c>
      <c r="E1155" s="7" t="inlineStr">
        <is>
          <t>1. Titular do Registro / Produtor</t>
        </is>
      </c>
      <c r="F1155" s="7" t="inlineStr">
        <is>
          <t>Produto Técnico Industrial</t>
        </is>
      </c>
      <c r="G1155" s="7" t="inlineStr">
        <is>
          <t>GB Biosciences Corporation - Endereço: Haden road, Houston, Texas, TX77015, EUA (Vinc. Reg. 21724)</t>
        </is>
      </c>
      <c r="H1155" s="7" t="inlineStr">
        <is>
          <t>Matriz / Estabelecimento Principal</t>
        </is>
      </c>
      <c r="I1155" s="7" t="inlineStr">
        <is>
          <t>CNPJ Credenciado MAPA/SIPEAGRO</t>
        </is>
      </c>
      <c r="J1155" s="7" t="inlineStr">
        <is>
          <t>Registro Estadual Vigente</t>
        </is>
      </c>
      <c r="K1155" s="7" t="inlineStr">
        <is>
          <t>Estabelecimento Credenciado no Brasil</t>
        </is>
      </c>
      <c r="L1155" s="7" t="inlineStr">
        <is>
          <t>Brasil</t>
        </is>
      </c>
      <c r="M1155" s="7" t="inlineStr">
        <is>
          <t>0 - Nacional / 1 - Importação Direta</t>
        </is>
      </c>
    </row>
    <row r="1156" ht="22" customHeight="1">
      <c r="A1156" s="12" t="inlineStr">
        <is>
          <t>EMP-1152</t>
        </is>
      </c>
      <c r="B1156" s="11" t="n">
        <v>972</v>
      </c>
      <c r="C1156" s="13" t="inlineStr">
        <is>
          <t>VINC-21724</t>
        </is>
      </c>
      <c r="D1156" s="14" t="inlineStr">
        <is>
          <t>Oxathiapiprolin Técnico</t>
        </is>
      </c>
      <c r="E1156" s="13" t="inlineStr">
        <is>
          <t>1. Titular do Registro / Produtor</t>
        </is>
      </c>
      <c r="F1156" s="13" t="inlineStr">
        <is>
          <t>Produto Técnico Industrial</t>
        </is>
      </c>
      <c r="G1156" s="13" t="inlineStr">
        <is>
          <t>Saltigo GmbH- Leverkusen - Endereço: Operations ChemPark Leverkusen,51369 - Leverkusen - Alemanha (Vinc. Reg. 21724)</t>
        </is>
      </c>
      <c r="H1156" s="13" t="inlineStr">
        <is>
          <t>Matriz / Estabelecimento Principal</t>
        </is>
      </c>
      <c r="I1156" s="13" t="inlineStr">
        <is>
          <t>CNPJ Credenciado MAPA/SIPEAGRO</t>
        </is>
      </c>
      <c r="J1156" s="13" t="inlineStr">
        <is>
          <t>Registro Estadual Vigente</t>
        </is>
      </c>
      <c r="K1156" s="13" t="inlineStr">
        <is>
          <t>Estabelecimento Credenciado no Brasil</t>
        </is>
      </c>
      <c r="L1156" s="13" t="inlineStr">
        <is>
          <t>Brasil</t>
        </is>
      </c>
      <c r="M1156" s="13" t="inlineStr">
        <is>
          <t>0 - Nacional / 1 - Importação Direta</t>
        </is>
      </c>
    </row>
    <row r="1157" ht="22" customHeight="1">
      <c r="A1157" s="6" t="inlineStr">
        <is>
          <t>EMP-1153</t>
        </is>
      </c>
      <c r="B1157" s="5" t="n">
        <v>973</v>
      </c>
      <c r="C1157" s="7" t="inlineStr">
        <is>
          <t>Nº 21824</t>
        </is>
      </c>
      <c r="D1157" s="8" t="inlineStr">
        <is>
          <t>CLOROTALONIL NORTOX</t>
        </is>
      </c>
      <c r="E1157" s="7" t="inlineStr">
        <is>
          <t>1. Titular do Registro</t>
        </is>
      </c>
      <c r="F1157" s="7" t="inlineStr">
        <is>
          <t>Produto Formulado Comercial</t>
        </is>
      </c>
      <c r="G1157" s="7" t="inlineStr">
        <is>
          <t>Nortox S.A.- Arapongas/PR</t>
        </is>
      </c>
      <c r="H1157" s="7" t="inlineStr">
        <is>
          <t>Estabelecimento Credenciado</t>
        </is>
      </c>
      <c r="I1157" s="7" t="inlineStr">
        <is>
          <t>CNPJ Credenciado MAPA</t>
        </is>
      </c>
      <c r="J1157" s="7" t="inlineStr">
        <is>
          <t>Registro Estadual Vigente</t>
        </is>
      </c>
      <c r="K1157" s="7" t="inlineStr">
        <is>
          <t>Unidade Operacional Brasil</t>
        </is>
      </c>
      <c r="L1157" s="7" t="inlineStr">
        <is>
          <t>Brasil</t>
        </is>
      </c>
      <c r="M1157" s="7" t="inlineStr">
        <is>
          <t>0/1/2 - Conforme Origem do Lote</t>
        </is>
      </c>
    </row>
    <row r="1158" ht="22" customHeight="1">
      <c r="A1158" s="12" t="inlineStr">
        <is>
          <t>EMP-1154</t>
        </is>
      </c>
      <c r="B1158" s="11" t="n">
        <v>974</v>
      </c>
      <c r="C1158" s="13" t="inlineStr">
        <is>
          <t>VINC-21824</t>
        </is>
      </c>
      <c r="D1158" s="14" t="inlineStr">
        <is>
          <t>Clorotalonil Técnico Nortox</t>
        </is>
      </c>
      <c r="E1158" s="13" t="inlineStr">
        <is>
          <t>1. Titular / Fabricante Principal</t>
        </is>
      </c>
      <c r="F1158" s="13" t="inlineStr">
        <is>
          <t>Produto Técnico Industrial</t>
        </is>
      </c>
      <c r="G1158" s="13" t="inlineStr">
        <is>
          <t>Jiangsu Weunite Fine Chemical Co., Ltd.</t>
        </is>
      </c>
      <c r="H1158" s="13" t="inlineStr">
        <is>
          <t>Planta Principal</t>
        </is>
      </c>
      <c r="I1158" s="13" t="inlineStr">
        <is>
          <t>Conforme Ato DOU/MAPA</t>
        </is>
      </c>
      <c r="J1158" s="13" t="inlineStr">
        <is>
          <t>MAPA Vigente</t>
        </is>
      </c>
      <c r="K1158" s="13" t="inlineStr">
        <is>
          <t>Jiangsu Weunite Fine Chemical Co., Ltd. - Endereço: Jinger Road, Industry Chemical Park, Xinyi City, 221400, Jiangsu, China</t>
        </is>
      </c>
      <c r="L1158" s="13" t="inlineStr">
        <is>
          <t>China</t>
        </is>
      </c>
      <c r="M1158" s="13" t="inlineStr">
        <is>
          <t>1 - Importado</t>
        </is>
      </c>
    </row>
    <row r="1159" ht="22" customHeight="1">
      <c r="A1159" s="6" t="inlineStr">
        <is>
          <t>EMP-1155</t>
        </is>
      </c>
      <c r="B1159" s="5" t="n">
        <v>974</v>
      </c>
      <c r="C1159" s="7" t="inlineStr">
        <is>
          <t>VINC-21824</t>
        </is>
      </c>
      <c r="D1159" s="8" t="inlineStr">
        <is>
          <t>Clorotalonil Técnico Nortox</t>
        </is>
      </c>
      <c r="E1159" s="7" t="inlineStr">
        <is>
          <t>2. Fabricante do Produto Técnico Vinculado</t>
        </is>
      </c>
      <c r="F1159" s="7" t="inlineStr">
        <is>
          <t>Clorotalonil Técnico Nortox II</t>
        </is>
      </c>
      <c r="G1159" s="7" t="inlineStr">
        <is>
          <t>Jiangsu Xinhe Agrochemical Co., Ltd.</t>
        </is>
      </c>
      <c r="H1159" s="7" t="inlineStr">
        <is>
          <t>Unidade Fabril Síntese</t>
        </is>
      </c>
      <c r="I1159" s="7" t="inlineStr">
        <is>
          <t>Registro DOU/MAPA</t>
        </is>
      </c>
      <c r="J1159" s="7" t="inlineStr">
        <is>
          <t>Isento Exterior / MAPA</t>
        </is>
      </c>
      <c r="K1159" s="7" t="inlineStr">
        <is>
          <t>Nome: Jiangsu Xinhe Agrochemical Co., Ltd. - Endereço: Nº 19 Xingang Road, Economic Development Zone, Xinyi City, 221400, Jiangsu, China (Vinc. Reg. 21824)</t>
        </is>
      </c>
      <c r="L1159" s="7" t="inlineStr">
        <is>
          <t>China</t>
        </is>
      </c>
      <c r="M1159" s="7" t="inlineStr">
        <is>
          <t>1/2 - Insumo Importado</t>
        </is>
      </c>
    </row>
    <row r="1160" ht="22" customHeight="1">
      <c r="A1160" s="12" t="inlineStr">
        <is>
          <t>EMP-1156</t>
        </is>
      </c>
      <c r="B1160" s="11" t="n">
        <v>975</v>
      </c>
      <c r="C1160" s="13" t="inlineStr">
        <is>
          <t>VINC-21824</t>
        </is>
      </c>
      <c r="D1160" s="14" t="inlineStr">
        <is>
          <t>Clorotalonil Técnico Cropchem</t>
        </is>
      </c>
      <c r="E1160" s="13" t="inlineStr">
        <is>
          <t>1. Titular do Registro / Produtor</t>
        </is>
      </c>
      <c r="F1160" s="13" t="inlineStr">
        <is>
          <t>Produto Técnico Industrial</t>
        </is>
      </c>
      <c r="G1160" s="13" t="inlineStr">
        <is>
          <t>Jiangsu Weunite Fine Chemical Co., Ltd. - Endereço: Jinger Road, Industry Chemical Park, Xinyi City, 221400, Jiangsu, China (Vinc. Reg. 21824)</t>
        </is>
      </c>
      <c r="H1160" s="13" t="inlineStr">
        <is>
          <t>Matriz / Estabelecimento Principal</t>
        </is>
      </c>
      <c r="I1160" s="13" t="inlineStr">
        <is>
          <t>CNPJ Credenciado MAPA/SIPEAGRO</t>
        </is>
      </c>
      <c r="J1160" s="13" t="inlineStr">
        <is>
          <t>Registro Estadual Vigente</t>
        </is>
      </c>
      <c r="K1160" s="13" t="inlineStr">
        <is>
          <t>Estabelecimento Credenciado no Brasil</t>
        </is>
      </c>
      <c r="L1160" s="13" t="inlineStr">
        <is>
          <t>Brasil</t>
        </is>
      </c>
      <c r="M1160" s="13" t="inlineStr">
        <is>
          <t>0 - Nacional / 1 - Importação Direta</t>
        </is>
      </c>
    </row>
    <row r="1161" ht="22" customHeight="1">
      <c r="A1161" s="6" t="inlineStr">
        <is>
          <t>EMP-1157</t>
        </is>
      </c>
      <c r="B1161" s="5" t="n">
        <v>976</v>
      </c>
      <c r="C1161" s="7" t="inlineStr">
        <is>
          <t>Nº 21924</t>
        </is>
      </c>
      <c r="D1161" s="8" t="inlineStr">
        <is>
          <t>FRONDEO</t>
        </is>
      </c>
      <c r="E1161" s="7" t="inlineStr">
        <is>
          <t>1. Titular do Registro</t>
        </is>
      </c>
      <c r="F1161" s="7" t="inlineStr">
        <is>
          <t>Produto Formulado Comercial</t>
        </is>
      </c>
      <c r="G1161" s="7" t="inlineStr">
        <is>
          <t>Syngenta Proteção de Cultivos Ltda.- São Paulo/SP</t>
        </is>
      </c>
      <c r="H1161" s="7" t="inlineStr">
        <is>
          <t>Estabelecimento Credenciado</t>
        </is>
      </c>
      <c r="I1161" s="7" t="inlineStr">
        <is>
          <t>CNPJ Credenciado MAPA</t>
        </is>
      </c>
      <c r="J1161" s="7" t="inlineStr">
        <is>
          <t>Registro Estadual Vigente</t>
        </is>
      </c>
      <c r="K1161" s="7" t="inlineStr">
        <is>
          <t>Unidade Operacional Brasil</t>
        </is>
      </c>
      <c r="L1161" s="7" t="inlineStr">
        <is>
          <t>Brasil</t>
        </is>
      </c>
      <c r="M1161" s="7" t="inlineStr">
        <is>
          <t>0/1/2 - Conforme Origem do Lote</t>
        </is>
      </c>
    </row>
    <row r="1162" ht="22" customHeight="1">
      <c r="A1162" s="12" t="inlineStr">
        <is>
          <t>EMP-1158</t>
        </is>
      </c>
      <c r="B1162" s="11" t="n">
        <v>977</v>
      </c>
      <c r="C1162" s="13" t="inlineStr">
        <is>
          <t>VINC-21924</t>
        </is>
      </c>
      <c r="D1162" s="14" t="inlineStr">
        <is>
          <t>Isocycloseram Técnico</t>
        </is>
      </c>
      <c r="E1162" s="13" t="inlineStr">
        <is>
          <t>1. Titular do Registro / Produtor</t>
        </is>
      </c>
      <c r="F1162" s="13" t="inlineStr">
        <is>
          <t>Produto Técnico Industrial</t>
        </is>
      </c>
      <c r="G1162" s="13" t="inlineStr">
        <is>
          <t>Syngenta Crop Protection Münchwilen AG - Endereço: Breitenloh 5, CH 4333, Münchwilen - Suíça (Vinc. Reg. 21924)</t>
        </is>
      </c>
      <c r="H1162" s="13" t="inlineStr">
        <is>
          <t>Matriz / Estabelecimento Principal</t>
        </is>
      </c>
      <c r="I1162" s="13" t="inlineStr">
        <is>
          <t>CNPJ Credenciado MAPA/SIPEAGRO</t>
        </is>
      </c>
      <c r="J1162" s="13" t="inlineStr">
        <is>
          <t>Registro Estadual Vigente</t>
        </is>
      </c>
      <c r="K1162" s="13" t="inlineStr">
        <is>
          <t>Estabelecimento Credenciado no Brasil</t>
        </is>
      </c>
      <c r="L1162" s="13" t="inlineStr">
        <is>
          <t>Brasil</t>
        </is>
      </c>
      <c r="M1162" s="13" t="inlineStr">
        <is>
          <t>0 - Nacional / 1 - Importação Direta</t>
        </is>
      </c>
    </row>
    <row r="1163" ht="22" customHeight="1">
      <c r="A1163" s="6" t="inlineStr">
        <is>
          <t>EMP-1159</t>
        </is>
      </c>
      <c r="B1163" s="5" t="n">
        <v>978</v>
      </c>
      <c r="C1163" s="7" t="inlineStr">
        <is>
          <t>Nº 22024</t>
        </is>
      </c>
      <c r="D1163" s="8" t="inlineStr">
        <is>
          <t>FUNGUS BVERIA</t>
        </is>
      </c>
      <c r="E1163" s="7" t="inlineStr">
        <is>
          <t>1. Titular do Registro / Produtor</t>
        </is>
      </c>
      <c r="F1163" s="7" t="inlineStr">
        <is>
          <t>Produto Formulado Comercial</t>
        </is>
      </c>
      <c r="G1163" s="7" t="inlineStr">
        <is>
          <t>Organoplant - Indústria, Comércio, Importação e Exportação de Produtos Agrícolas Ltda</t>
        </is>
      </c>
      <c r="H1163" s="7" t="inlineStr">
        <is>
          <t>Matriz / Estabelecimento Principal</t>
        </is>
      </c>
      <c r="I1163" s="7" t="inlineStr">
        <is>
          <t>CNPJ Credenciado MAPA/SIPEAGRO</t>
        </is>
      </c>
      <c r="J1163" s="7" t="inlineStr">
        <is>
          <t>Registro Estadual Vigente</t>
        </is>
      </c>
      <c r="K1163" s="7" t="inlineStr">
        <is>
          <t>Estabelecimento Credenciado no Brasil</t>
        </is>
      </c>
      <c r="L1163" s="7" t="inlineStr">
        <is>
          <t>Brasil</t>
        </is>
      </c>
      <c r="M1163" s="7" t="inlineStr">
        <is>
          <t>0 - Nacional / 1 - Importação Direta</t>
        </is>
      </c>
    </row>
    <row r="1164" ht="22" customHeight="1">
      <c r="A1164" s="12" t="inlineStr">
        <is>
          <t>EMP-1160</t>
        </is>
      </c>
      <c r="B1164" s="11" t="n">
        <v>979</v>
      </c>
      <c r="C1164" s="13" t="inlineStr">
        <is>
          <t>Nº 22024</t>
        </is>
      </c>
      <c r="D1164" s="14" t="inlineStr">
        <is>
          <t>FUNGUS BVERIA RBR</t>
        </is>
      </c>
      <c r="E1164" s="13" t="inlineStr">
        <is>
          <t>1. Titular do Registro / Produtor</t>
        </is>
      </c>
      <c r="F1164" s="13" t="inlineStr">
        <is>
          <t>Produto Formulado Comercial</t>
        </is>
      </c>
      <c r="G1164" s="13" t="inlineStr">
        <is>
          <t>Organoplant - Indústria, Comércio, Importação e Exportação de Produtos Agrícolas Ltda</t>
        </is>
      </c>
      <c r="H1164" s="13" t="inlineStr">
        <is>
          <t>Matriz / Estabelecimento Principal</t>
        </is>
      </c>
      <c r="I1164" s="13" t="inlineStr">
        <is>
          <t>CNPJ Credenciado MAPA/SIPEAGRO</t>
        </is>
      </c>
      <c r="J1164" s="13" t="inlineStr">
        <is>
          <t>Registro Estadual Vigente</t>
        </is>
      </c>
      <c r="K1164" s="13" t="inlineStr">
        <is>
          <t>Estabelecimento Credenciado no Brasil</t>
        </is>
      </c>
      <c r="L1164" s="13" t="inlineStr">
        <is>
          <t>Brasil</t>
        </is>
      </c>
      <c r="M1164" s="13" t="inlineStr">
        <is>
          <t>0 - Nacional / 1 - Importação Direta</t>
        </is>
      </c>
    </row>
    <row r="1165" ht="22" customHeight="1">
      <c r="A1165" s="6" t="inlineStr">
        <is>
          <t>EMP-1161</t>
        </is>
      </c>
      <c r="B1165" s="5" t="n">
        <v>980</v>
      </c>
      <c r="C1165" s="7" t="inlineStr">
        <is>
          <t>Nº 22024</t>
        </is>
      </c>
      <c r="D1165" s="8" t="inlineStr">
        <is>
          <t>FUNGUS BVERIA INC</t>
        </is>
      </c>
      <c r="E1165" s="7" t="inlineStr">
        <is>
          <t>1. Titular do Registro / Produtor</t>
        </is>
      </c>
      <c r="F1165" s="7" t="inlineStr">
        <is>
          <t>Produto Formulado Comercial</t>
        </is>
      </c>
      <c r="G1165" s="7" t="inlineStr">
        <is>
          <t>Organoplant - Indústria, Comércio, Importação e Exportação de Produtos Agrícolas Ltda</t>
        </is>
      </c>
      <c r="H1165" s="7" t="inlineStr">
        <is>
          <t>Matriz / Estabelecimento Principal</t>
        </is>
      </c>
      <c r="I1165" s="7" t="inlineStr">
        <is>
          <t>CNPJ Credenciado MAPA/SIPEAGRO</t>
        </is>
      </c>
      <c r="J1165" s="7" t="inlineStr">
        <is>
          <t>Registro Estadual Vigente</t>
        </is>
      </c>
      <c r="K1165" s="7" t="inlineStr">
        <is>
          <t>Estabelecimento Credenciado no Brasil</t>
        </is>
      </c>
      <c r="L1165" s="7" t="inlineStr">
        <is>
          <t>Brasil</t>
        </is>
      </c>
      <c r="M1165" s="7" t="inlineStr">
        <is>
          <t>0 - Nacional / 1 - Importação Direta</t>
        </is>
      </c>
    </row>
    <row r="1166" ht="22" customHeight="1">
      <c r="A1166" s="12" t="inlineStr">
        <is>
          <t>EMP-1162</t>
        </is>
      </c>
      <c r="B1166" s="11" t="n">
        <v>981</v>
      </c>
      <c r="C1166" s="13" t="inlineStr">
        <is>
          <t>Nº 22024</t>
        </is>
      </c>
      <c r="D1166" s="14" t="inlineStr">
        <is>
          <t>FUNGUS BVERIA MAX</t>
        </is>
      </c>
      <c r="E1166" s="13" t="inlineStr">
        <is>
          <t>1. Titular do Registro / Produtor</t>
        </is>
      </c>
      <c r="F1166" s="13" t="inlineStr">
        <is>
          <t>Produto Formulado Comercial</t>
        </is>
      </c>
      <c r="G1166" s="13" t="inlineStr">
        <is>
          <t>Organoplant - Indústria, Comércio, Importação e Exportação de Produtos Agrícolas Ltda</t>
        </is>
      </c>
      <c r="H1166" s="13" t="inlineStr">
        <is>
          <t>Matriz / Estabelecimento Principal</t>
        </is>
      </c>
      <c r="I1166" s="13" t="inlineStr">
        <is>
          <t>CNPJ Credenciado MAPA/SIPEAGRO</t>
        </is>
      </c>
      <c r="J1166" s="13" t="inlineStr">
        <is>
          <t>Registro Estadual Vigente</t>
        </is>
      </c>
      <c r="K1166" s="13" t="inlineStr">
        <is>
          <t>Estabelecimento Credenciado no Brasil</t>
        </is>
      </c>
      <c r="L1166" s="13" t="inlineStr">
        <is>
          <t>Brasil</t>
        </is>
      </c>
      <c r="M1166" s="13" t="inlineStr">
        <is>
          <t>0 - Nacional / 1 - Importação Direta</t>
        </is>
      </c>
    </row>
    <row r="1167" ht="22" customHeight="1">
      <c r="A1167" s="6" t="inlineStr">
        <is>
          <t>EMP-1163</t>
        </is>
      </c>
      <c r="B1167" s="5" t="n">
        <v>982</v>
      </c>
      <c r="C1167" s="7" t="inlineStr">
        <is>
          <t>Nº 22024</t>
        </is>
      </c>
      <c r="D1167" s="8" t="inlineStr">
        <is>
          <t>FUNGUS BVERIA OGN</t>
        </is>
      </c>
      <c r="E1167" s="7" t="inlineStr">
        <is>
          <t>1. Titular do Registro / Produtor</t>
        </is>
      </c>
      <c r="F1167" s="7" t="inlineStr">
        <is>
          <t>Produto Formulado Comercial</t>
        </is>
      </c>
      <c r="G1167" s="7" t="inlineStr">
        <is>
          <t>Organoplant - Indústria, Comércio, Importação e Exportação de Produtos Agrícolas Ltda</t>
        </is>
      </c>
      <c r="H1167" s="7" t="inlineStr">
        <is>
          <t>Matriz / Estabelecimento Principal</t>
        </is>
      </c>
      <c r="I1167" s="7" t="inlineStr">
        <is>
          <t>CNPJ Credenciado MAPA/SIPEAGRO</t>
        </is>
      </c>
      <c r="J1167" s="7" t="inlineStr">
        <is>
          <t>Registro Estadual Vigente</t>
        </is>
      </c>
      <c r="K1167" s="7" t="inlineStr">
        <is>
          <t>Estabelecimento Credenciado no Brasil</t>
        </is>
      </c>
      <c r="L1167" s="7" t="inlineStr">
        <is>
          <t>Brasil</t>
        </is>
      </c>
      <c r="M1167" s="7" t="inlineStr">
        <is>
          <t>0 - Nacional / 1 - Importação Direta</t>
        </is>
      </c>
    </row>
    <row r="1168" ht="22" customHeight="1">
      <c r="A1168" s="12" t="inlineStr">
        <is>
          <t>EMP-1164</t>
        </is>
      </c>
      <c r="B1168" s="11" t="n">
        <v>983</v>
      </c>
      <c r="C1168" s="13" t="inlineStr">
        <is>
          <t>Nº 22024</t>
        </is>
      </c>
      <c r="D1168" s="14" t="inlineStr">
        <is>
          <t>FUNGUS BVERIA GOLD</t>
        </is>
      </c>
      <c r="E1168" s="13" t="inlineStr">
        <is>
          <t>1. Titular do Registro / Produtor</t>
        </is>
      </c>
      <c r="F1168" s="13" t="inlineStr">
        <is>
          <t>Produto Formulado Comercial</t>
        </is>
      </c>
      <c r="G1168" s="13" t="inlineStr">
        <is>
          <t>Organoplant - Indústria, Comércio, Importação e Exportação de Produtos Agrícolas Ltda</t>
        </is>
      </c>
      <c r="H1168" s="13" t="inlineStr">
        <is>
          <t>Matriz / Estabelecimento Principal</t>
        </is>
      </c>
      <c r="I1168" s="13" t="inlineStr">
        <is>
          <t>CNPJ Credenciado MAPA/SIPEAGRO</t>
        </is>
      </c>
      <c r="J1168" s="13" t="inlineStr">
        <is>
          <t>Registro Estadual Vigente</t>
        </is>
      </c>
      <c r="K1168" s="13" t="inlineStr">
        <is>
          <t>Estabelecimento Credenciado no Brasil</t>
        </is>
      </c>
      <c r="L1168" s="13" t="inlineStr">
        <is>
          <t>Brasil</t>
        </is>
      </c>
      <c r="M1168" s="13" t="inlineStr">
        <is>
          <t>0 - Nacional / 1 - Importação Direta</t>
        </is>
      </c>
    </row>
    <row r="1169" ht="22" customHeight="1">
      <c r="A1169" s="6" t="inlineStr">
        <is>
          <t>EMP-1165</t>
        </is>
      </c>
      <c r="B1169" s="5" t="n">
        <v>984</v>
      </c>
      <c r="C1169" s="7" t="inlineStr">
        <is>
          <t>Nº 02801</t>
        </is>
      </c>
      <c r="D1169" s="8" t="inlineStr">
        <is>
          <t>2,4-D AGRITEC</t>
        </is>
      </c>
      <c r="E1169" s="7" t="inlineStr">
        <is>
          <t>1. Titular do Registro / Produtor</t>
        </is>
      </c>
      <c r="F1169" s="7" t="inlineStr">
        <is>
          <t>Produto Formulado Comercial</t>
        </is>
      </c>
      <c r="G1169" s="7" t="inlineStr">
        <is>
          <t>Agritec S.A. / Inclusão Formulador Ato 38/2026</t>
        </is>
      </c>
      <c r="H1169" s="7" t="inlineStr">
        <is>
          <t>Matriz / Estabelecimento Principal</t>
        </is>
      </c>
      <c r="I1169" s="7" t="inlineStr">
        <is>
          <t>CNPJ Credenciado MAPA/SIPEAGRO</t>
        </is>
      </c>
      <c r="J1169" s="7" t="inlineStr">
        <is>
          <t>Registro Estadual Vigente</t>
        </is>
      </c>
      <c r="K1169" s="7" t="inlineStr">
        <is>
          <t>Estabelecimento Credenciado no Brasil</t>
        </is>
      </c>
      <c r="L1169" s="7" t="inlineStr">
        <is>
          <t>Brasil</t>
        </is>
      </c>
      <c r="M1169" s="7" t="inlineStr">
        <is>
          <t>0 - Nacional / 1 - Importação Direta</t>
        </is>
      </c>
    </row>
    <row r="1170" ht="22" customHeight="1">
      <c r="A1170" s="12" t="inlineStr">
        <is>
          <t>EMP-1166</t>
        </is>
      </c>
      <c r="B1170" s="11" t="n">
        <v>985</v>
      </c>
      <c r="C1170" s="13" t="inlineStr">
        <is>
          <t>Nº 2500</t>
        </is>
      </c>
      <c r="D1170" s="14" t="inlineStr">
        <is>
          <t>PILARSATO</t>
        </is>
      </c>
      <c r="E1170" s="13" t="inlineStr">
        <is>
          <t>1. Titular do Registro / Produtor</t>
        </is>
      </c>
      <c r="F1170" s="13" t="inlineStr">
        <is>
          <t>Produto Formulado Comercial</t>
        </is>
      </c>
      <c r="G1170" s="13" t="inlineStr">
        <is>
          <t>Pilarquim Br Comercial Ltda.</t>
        </is>
      </c>
      <c r="H1170" s="13" t="inlineStr">
        <is>
          <t>Matriz / Estabelecimento Principal</t>
        </is>
      </c>
      <c r="I1170" s="13" t="inlineStr">
        <is>
          <t>CNPJ Credenciado MAPA/SIPEAGRO</t>
        </is>
      </c>
      <c r="J1170" s="13" t="inlineStr">
        <is>
          <t>Registro Estadual Vigente</t>
        </is>
      </c>
      <c r="K1170" s="13" t="inlineStr">
        <is>
          <t>Estabelecimento Credenciado no Brasil</t>
        </is>
      </c>
      <c r="L1170" s="13" t="inlineStr">
        <is>
          <t>Brasil</t>
        </is>
      </c>
      <c r="M1170" s="13" t="inlineStr">
        <is>
          <t>0 - Nacional / 1 - Importação Direta</t>
        </is>
      </c>
    </row>
    <row r="1171" ht="22" customHeight="1">
      <c r="A1171" s="6" t="inlineStr">
        <is>
          <t>EMP-1167</t>
        </is>
      </c>
      <c r="B1171" s="5" t="n">
        <v>986</v>
      </c>
      <c r="C1171" s="7" t="inlineStr">
        <is>
          <t>Nº 14308</t>
        </is>
      </c>
      <c r="D1171" s="8" t="inlineStr">
        <is>
          <t>SUMÔ</t>
        </is>
      </c>
      <c r="E1171" s="7" t="inlineStr">
        <is>
          <t>1. Titular do Registro / Produtor</t>
        </is>
      </c>
      <c r="F1171" s="7" t="inlineStr">
        <is>
          <t>Produto Técnico Industrial</t>
        </is>
      </c>
      <c r="G1171" s="7" t="inlineStr">
        <is>
          <t>Iharabras S.A. Indústrias Químicas</t>
        </is>
      </c>
      <c r="H1171" s="7" t="inlineStr">
        <is>
          <t>Matriz / Estabelecimento Principal</t>
        </is>
      </c>
      <c r="I1171" s="7" t="inlineStr">
        <is>
          <t>CNPJ Credenciado MAPA/SIPEAGRO</t>
        </is>
      </c>
      <c r="J1171" s="7" t="inlineStr">
        <is>
          <t>Registro Estadual Vigente</t>
        </is>
      </c>
      <c r="K1171" s="7" t="inlineStr">
        <is>
          <t>Estabelecimento Credenciado no Brasil</t>
        </is>
      </c>
      <c r="L1171" s="7" t="inlineStr">
        <is>
          <t>Brasil</t>
        </is>
      </c>
      <c r="M1171" s="7" t="inlineStr">
        <is>
          <t>0 - Nacional / 1 - Importação Direta</t>
        </is>
      </c>
    </row>
    <row r="1172" ht="22" customHeight="1">
      <c r="A1172" s="12" t="inlineStr">
        <is>
          <t>EMP-1168</t>
        </is>
      </c>
      <c r="B1172" s="11" t="n">
        <v>987</v>
      </c>
      <c r="C1172" s="13" t="inlineStr">
        <is>
          <t>Nº 0314</t>
        </is>
      </c>
      <c r="D1172" s="14" t="inlineStr">
        <is>
          <t>2,4-D TÉCNICO SWR AGROIMPORT</t>
        </is>
      </c>
      <c r="E1172" s="13" t="inlineStr">
        <is>
          <t>1. Titular do Registro / Produtor</t>
        </is>
      </c>
      <c r="F1172" s="13" t="inlineStr">
        <is>
          <t>Produto Técnico Industrial</t>
        </is>
      </c>
      <c r="G1172" s="13" t="inlineStr">
        <is>
          <t>Agroimport do Brasil Ltda.</t>
        </is>
      </c>
      <c r="H1172" s="13" t="inlineStr">
        <is>
          <t>Matriz / Estabelecimento Principal</t>
        </is>
      </c>
      <c r="I1172" s="13" t="inlineStr">
        <is>
          <t>CNPJ Credenciado MAPA/SIPEAGRO</t>
        </is>
      </c>
      <c r="J1172" s="13" t="inlineStr">
        <is>
          <t>Registro Estadual Vigente</t>
        </is>
      </c>
      <c r="K1172" s="13" t="inlineStr">
        <is>
          <t>Estabelecimento Credenciado no Brasil</t>
        </is>
      </c>
      <c r="L1172" s="13" t="inlineStr">
        <is>
          <t>Brasil</t>
        </is>
      </c>
      <c r="M1172" s="13" t="inlineStr">
        <is>
          <t>0 - Nacional / 1 - Importação Direta</t>
        </is>
      </c>
    </row>
    <row r="1173" ht="22" customHeight="1">
      <c r="A1173" s="6" t="inlineStr">
        <is>
          <t>EMP-1169</t>
        </is>
      </c>
      <c r="B1173" s="5" t="n">
        <v>988</v>
      </c>
      <c r="C1173" s="7" t="inlineStr">
        <is>
          <t>Nº 10618</t>
        </is>
      </c>
      <c r="D1173" s="8" t="inlineStr">
        <is>
          <t>2,4-D TÉCNICO AGROIMPORT</t>
        </is>
      </c>
      <c r="E1173" s="7" t="inlineStr">
        <is>
          <t>1. Titular do Registro / Produtor</t>
        </is>
      </c>
      <c r="F1173" s="7" t="inlineStr">
        <is>
          <t>Produto Técnico Industrial</t>
        </is>
      </c>
      <c r="G1173" s="7" t="inlineStr">
        <is>
          <t>Agroimport do Brasil Ltda.</t>
        </is>
      </c>
      <c r="H1173" s="7" t="inlineStr">
        <is>
          <t>Matriz / Estabelecimento Principal</t>
        </is>
      </c>
      <c r="I1173" s="7" t="inlineStr">
        <is>
          <t>CNPJ Credenciado MAPA/SIPEAGRO</t>
        </is>
      </c>
      <c r="J1173" s="7" t="inlineStr">
        <is>
          <t>Registro Estadual Vigente</t>
        </is>
      </c>
      <c r="K1173" s="7" t="inlineStr">
        <is>
          <t>Estabelecimento Credenciado no Brasil</t>
        </is>
      </c>
      <c r="L1173" s="7" t="inlineStr">
        <is>
          <t>Brasil</t>
        </is>
      </c>
      <c r="M1173" s="7" t="inlineStr">
        <is>
          <t>0 - Nacional / 1 - Importação Direta</t>
        </is>
      </c>
    </row>
    <row r="1174" ht="22" customHeight="1">
      <c r="A1174" s="12" t="inlineStr">
        <is>
          <t>EMP-1170</t>
        </is>
      </c>
      <c r="B1174" s="11" t="n">
        <v>989</v>
      </c>
      <c r="C1174" s="13" t="inlineStr">
        <is>
          <t>Nº 18816</t>
        </is>
      </c>
      <c r="D1174" s="14" t="inlineStr">
        <is>
          <t>GLIFOSATO G TÉCNICO AGROIMPORT</t>
        </is>
      </c>
      <c r="E1174" s="13" t="inlineStr">
        <is>
          <t>1. Titular do Registro / Produtor</t>
        </is>
      </c>
      <c r="F1174" s="13" t="inlineStr">
        <is>
          <t>Produto Técnico Industrial</t>
        </is>
      </c>
      <c r="G1174" s="13" t="inlineStr">
        <is>
          <t>Agroimport do Brasil Ltda.</t>
        </is>
      </c>
      <c r="H1174" s="13" t="inlineStr">
        <is>
          <t>Matriz / Estabelecimento Principal</t>
        </is>
      </c>
      <c r="I1174" s="13" t="inlineStr">
        <is>
          <t>CNPJ Credenciado MAPA/SIPEAGRO</t>
        </is>
      </c>
      <c r="J1174" s="13" t="inlineStr">
        <is>
          <t>Registro Estadual Vigente</t>
        </is>
      </c>
      <c r="K1174" s="13" t="inlineStr">
        <is>
          <t>Estabelecimento Credenciado no Brasil</t>
        </is>
      </c>
      <c r="L1174" s="13" t="inlineStr">
        <is>
          <t>Brasil</t>
        </is>
      </c>
      <c r="M1174" s="13" t="inlineStr">
        <is>
          <t>0 - Nacional / 1 - Importação Direta</t>
        </is>
      </c>
    </row>
    <row r="1175" ht="22" customHeight="1">
      <c r="A1175" s="6" t="inlineStr">
        <is>
          <t>EMP-1171</t>
        </is>
      </c>
      <c r="B1175" s="5" t="n">
        <v>990</v>
      </c>
      <c r="C1175" s="7" t="inlineStr">
        <is>
          <t>Nº 12515</t>
        </is>
      </c>
      <c r="D1175" s="8" t="inlineStr">
        <is>
          <t>GLIFOSATO TÉCNICO SWR AGROIMPORT</t>
        </is>
      </c>
      <c r="E1175" s="7" t="inlineStr">
        <is>
          <t>1. Titular do Registro / Produtor</t>
        </is>
      </c>
      <c r="F1175" s="7" t="inlineStr">
        <is>
          <t>Produto Técnico Industrial</t>
        </is>
      </c>
      <c r="G1175" s="7" t="inlineStr">
        <is>
          <t>Agroimport do Brasil Ltda.</t>
        </is>
      </c>
      <c r="H1175" s="7" t="inlineStr">
        <is>
          <t>Matriz / Estabelecimento Principal</t>
        </is>
      </c>
      <c r="I1175" s="7" t="inlineStr">
        <is>
          <t>CNPJ Credenciado MAPA/SIPEAGRO</t>
        </is>
      </c>
      <c r="J1175" s="7" t="inlineStr">
        <is>
          <t>Registro Estadual Vigente</t>
        </is>
      </c>
      <c r="K1175" s="7" t="inlineStr">
        <is>
          <t>Estabelecimento Credenciado no Brasil</t>
        </is>
      </c>
      <c r="L1175" s="7" t="inlineStr">
        <is>
          <t>Brasil</t>
        </is>
      </c>
      <c r="M1175" s="7" t="inlineStr">
        <is>
          <t>0 - Nacional / 1 - Importação Direta</t>
        </is>
      </c>
    </row>
    <row r="1176" ht="22" customHeight="1">
      <c r="A1176" s="12" t="inlineStr">
        <is>
          <t>EMP-1172</t>
        </is>
      </c>
      <c r="B1176" s="11" t="n">
        <v>991</v>
      </c>
      <c r="C1176" s="13" t="inlineStr">
        <is>
          <t>Nº 10714</t>
        </is>
      </c>
      <c r="D1176" s="14" t="inlineStr">
        <is>
          <t>MEGASATO TÉCNICO</t>
        </is>
      </c>
      <c r="E1176" s="13" t="inlineStr">
        <is>
          <t>1. Titular do Registro / Produtor</t>
        </is>
      </c>
      <c r="F1176" s="13" t="inlineStr">
        <is>
          <t>Produto Técnico Industrial</t>
        </is>
      </c>
      <c r="G1176" s="13" t="inlineStr">
        <is>
          <t>Megabrasil Química Ltda.</t>
        </is>
      </c>
      <c r="H1176" s="13" t="inlineStr">
        <is>
          <t>Matriz / Estabelecimento Principal</t>
        </is>
      </c>
      <c r="I1176" s="13" t="inlineStr">
        <is>
          <t>CNPJ Credenciado MAPA/SIPEAGRO</t>
        </is>
      </c>
      <c r="J1176" s="13" t="inlineStr">
        <is>
          <t>Registro Estadual Vigente</t>
        </is>
      </c>
      <c r="K1176" s="13" t="inlineStr">
        <is>
          <t>Estabelecimento Credenciado no Brasil</t>
        </is>
      </c>
      <c r="L1176" s="13" t="inlineStr">
        <is>
          <t>Brasil</t>
        </is>
      </c>
      <c r="M1176" s="13" t="inlineStr">
        <is>
          <t>0 - Nacional / 1 - Importação Direta</t>
        </is>
      </c>
    </row>
    <row r="1177" ht="22" customHeight="1">
      <c r="A1177" s="6" t="inlineStr">
        <is>
          <t>EMP-1173</t>
        </is>
      </c>
      <c r="B1177" s="5" t="n">
        <v>992</v>
      </c>
      <c r="C1177" s="7" t="inlineStr">
        <is>
          <t>TC08623</t>
        </is>
      </c>
      <c r="D1177" s="8" t="inlineStr">
        <is>
          <t>2,4-D TÉCNICO ALBAUGH 02 HF</t>
        </is>
      </c>
      <c r="E1177" s="7" t="inlineStr">
        <is>
          <t>1. Titular do Registro / Produtor</t>
        </is>
      </c>
      <c r="F1177" s="7" t="inlineStr">
        <is>
          <t>Produto Técnico Industrial</t>
        </is>
      </c>
      <c r="G1177" s="7" t="inlineStr">
        <is>
          <t>Albaugh Agro Brasil Ltda.</t>
        </is>
      </c>
      <c r="H1177" s="7" t="inlineStr">
        <is>
          <t>Matriz / Estabelecimento Principal</t>
        </is>
      </c>
      <c r="I1177" s="7" t="inlineStr">
        <is>
          <t>CNPJ Credenciado MAPA/SIPEAGRO</t>
        </is>
      </c>
      <c r="J1177" s="7" t="inlineStr">
        <is>
          <t>Registro Estadual Vigente</t>
        </is>
      </c>
      <c r="K1177" s="7" t="inlineStr">
        <is>
          <t>Estabelecimento Credenciado no Brasil</t>
        </is>
      </c>
      <c r="L1177" s="7" t="inlineStr">
        <is>
          <t>Brasil</t>
        </is>
      </c>
      <c r="M1177" s="7" t="inlineStr">
        <is>
          <t>0 - Nacional / 1 - Importação Direta</t>
        </is>
      </c>
    </row>
    <row r="1178" ht="22" customHeight="1">
      <c r="A1178" s="12" t="inlineStr">
        <is>
          <t>EMP-1174</t>
        </is>
      </c>
      <c r="B1178" s="11" t="n">
        <v>993</v>
      </c>
      <c r="C1178" s="13" t="inlineStr">
        <is>
          <t>Nº 13914</t>
        </is>
      </c>
      <c r="D1178" s="14" t="inlineStr">
        <is>
          <t>2,4-D ÁCIDO TÉCNICO CCAB</t>
        </is>
      </c>
      <c r="E1178" s="13" t="inlineStr">
        <is>
          <t>1. Titular do Registro / Produtor</t>
        </is>
      </c>
      <c r="F1178" s="13" t="inlineStr">
        <is>
          <t>Produto Técnico Industrial</t>
        </is>
      </c>
      <c r="G1178" s="13" t="inlineStr">
        <is>
          <t>CCAB Agro S.A.</t>
        </is>
      </c>
      <c r="H1178" s="13" t="inlineStr">
        <is>
          <t>Matriz / Estabelecimento Principal</t>
        </is>
      </c>
      <c r="I1178" s="13" t="inlineStr">
        <is>
          <t>CNPJ Credenciado MAPA/SIPEAGRO</t>
        </is>
      </c>
      <c r="J1178" s="13" t="inlineStr">
        <is>
          <t>Registro Estadual Vigente</t>
        </is>
      </c>
      <c r="K1178" s="13" t="inlineStr">
        <is>
          <t>Estabelecimento Credenciado no Brasil</t>
        </is>
      </c>
      <c r="L1178" s="13" t="inlineStr">
        <is>
          <t>Brasil</t>
        </is>
      </c>
      <c r="M1178" s="13" t="inlineStr">
        <is>
          <t>0 - Nacional / 1 - Importação Direta</t>
        </is>
      </c>
    </row>
    <row r="1179" ht="22" customHeight="1">
      <c r="A1179" s="6" t="inlineStr">
        <is>
          <t>EMP-1175</t>
        </is>
      </c>
      <c r="B1179" s="5" t="n">
        <v>994</v>
      </c>
      <c r="C1179" s="7" t="inlineStr">
        <is>
          <t>Nº 10216</t>
        </is>
      </c>
      <c r="D1179" s="8" t="inlineStr">
        <is>
          <t>GLIFOSATO TÉCNICO CCAB II</t>
        </is>
      </c>
      <c r="E1179" s="7" t="inlineStr">
        <is>
          <t>1. Titular do Registro / Produtor</t>
        </is>
      </c>
      <c r="F1179" s="7" t="inlineStr">
        <is>
          <t>Produto Técnico Industrial</t>
        </is>
      </c>
      <c r="G1179" s="7" t="inlineStr">
        <is>
          <t>CCAB Agro S.A.</t>
        </is>
      </c>
      <c r="H1179" s="7" t="inlineStr">
        <is>
          <t>Matriz / Estabelecimento Principal</t>
        </is>
      </c>
      <c r="I1179" s="7" t="inlineStr">
        <is>
          <t>CNPJ Credenciado MAPA/SIPEAGRO</t>
        </is>
      </c>
      <c r="J1179" s="7" t="inlineStr">
        <is>
          <t>Registro Estadual Vigente</t>
        </is>
      </c>
      <c r="K1179" s="7" t="inlineStr">
        <is>
          <t>Estabelecimento Credenciado no Brasil</t>
        </is>
      </c>
      <c r="L1179" s="7" t="inlineStr">
        <is>
          <t>Brasil</t>
        </is>
      </c>
      <c r="M1179" s="7" t="inlineStr">
        <is>
          <t>0 - Nacional / 1 - Importação Direta</t>
        </is>
      </c>
    </row>
    <row r="1180" ht="22" customHeight="1">
      <c r="A1180" s="12" t="inlineStr">
        <is>
          <t>EMP-1176</t>
        </is>
      </c>
      <c r="B1180" s="11" t="n">
        <v>995</v>
      </c>
      <c r="C1180" s="13" t="inlineStr">
        <is>
          <t>Nº 3316</t>
        </is>
      </c>
      <c r="D1180" s="14" t="inlineStr">
        <is>
          <t>2,4-D TÉCNICO MCR</t>
        </is>
      </c>
      <c r="E1180" s="13" t="inlineStr">
        <is>
          <t>1. Titular do Registro / Produtor</t>
        </is>
      </c>
      <c r="F1180" s="13" t="inlineStr">
        <is>
          <t>Produto Técnico Industrial</t>
        </is>
      </c>
      <c r="G1180" s="13" t="inlineStr">
        <is>
          <t>MCR Química Ltda.</t>
        </is>
      </c>
      <c r="H1180" s="13" t="inlineStr">
        <is>
          <t>Matriz / Estabelecimento Principal</t>
        </is>
      </c>
      <c r="I1180" s="13" t="inlineStr">
        <is>
          <t>CNPJ Credenciado MAPA/SIPEAGRO</t>
        </is>
      </c>
      <c r="J1180" s="13" t="inlineStr">
        <is>
          <t>Registro Estadual Vigente</t>
        </is>
      </c>
      <c r="K1180" s="13" t="inlineStr">
        <is>
          <t>Estabelecimento Credenciado no Brasil</t>
        </is>
      </c>
      <c r="L1180" s="13" t="inlineStr">
        <is>
          <t>Brasil</t>
        </is>
      </c>
      <c r="M1180" s="13" t="inlineStr">
        <is>
          <t>0 - Nacional / 1 - Importação Direta</t>
        </is>
      </c>
    </row>
    <row r="1181" ht="22" customHeight="1">
      <c r="A1181" s="6" t="inlineStr">
        <is>
          <t>EMP-1177</t>
        </is>
      </c>
      <c r="B1181" s="5" t="n">
        <v>996</v>
      </c>
      <c r="C1181" s="7" t="inlineStr">
        <is>
          <t>Nº 1114</t>
        </is>
      </c>
      <c r="D1181" s="8" t="inlineStr">
        <is>
          <t>GLIFOSATO TÉCNICO COPALLIANCE</t>
        </is>
      </c>
      <c r="E1181" s="7" t="inlineStr">
        <is>
          <t>1. Titular do Registro / Produtor</t>
        </is>
      </c>
      <c r="F1181" s="7" t="inlineStr">
        <is>
          <t>Produto Técnico Industrial</t>
        </is>
      </c>
      <c r="G1181" s="7" t="inlineStr">
        <is>
          <t>Copalliance Agro Ltda.</t>
        </is>
      </c>
      <c r="H1181" s="7" t="inlineStr">
        <is>
          <t>Matriz / Estabelecimento Principal</t>
        </is>
      </c>
      <c r="I1181" s="7" t="inlineStr">
        <is>
          <t>CNPJ Credenciado MAPA/SIPEAGRO</t>
        </is>
      </c>
      <c r="J1181" s="7" t="inlineStr">
        <is>
          <t>Registro Estadual Vigente</t>
        </is>
      </c>
      <c r="K1181" s="7" t="inlineStr">
        <is>
          <t>Estabelecimento Credenciado no Brasil</t>
        </is>
      </c>
      <c r="L1181" s="7" t="inlineStr">
        <is>
          <t>Brasil</t>
        </is>
      </c>
      <c r="M1181" s="7" t="inlineStr">
        <is>
          <t>0 - Nacional / 1 - Importação Direta</t>
        </is>
      </c>
    </row>
    <row r="1182" ht="22" customHeight="1">
      <c r="A1182" s="12" t="inlineStr">
        <is>
          <t>EMP-1178</t>
        </is>
      </c>
      <c r="B1182" s="11" t="n">
        <v>997</v>
      </c>
      <c r="C1182" s="13" t="inlineStr">
        <is>
          <t>Nº 10901</t>
        </is>
      </c>
      <c r="D1182" s="14" t="inlineStr">
        <is>
          <t>ROUNDUP AMÔNIO PRÉ MIX</t>
        </is>
      </c>
      <c r="E1182" s="13" t="inlineStr">
        <is>
          <t>1. Titular do Registro</t>
        </is>
      </c>
      <c r="F1182" s="13" t="inlineStr">
        <is>
          <t>Produto Técnico Industrial</t>
        </is>
      </c>
      <c r="G1182" s="13" t="inlineStr">
        <is>
          <t>Monsanto do Brasil Ltda.</t>
        </is>
      </c>
      <c r="H1182" s="13" t="inlineStr">
        <is>
          <t>Estabelecimento Credenciado</t>
        </is>
      </c>
      <c r="I1182" s="13" t="inlineStr">
        <is>
          <t>CNPJ Credenciado MAPA</t>
        </is>
      </c>
      <c r="J1182" s="13" t="inlineStr">
        <is>
          <t>Registro Estadual Vigente</t>
        </is>
      </c>
      <c r="K1182" s="13" t="inlineStr">
        <is>
          <t>Unidade Operacional Brasil</t>
        </is>
      </c>
      <c r="L1182" s="13" t="inlineStr">
        <is>
          <t>Brasil</t>
        </is>
      </c>
      <c r="M1182" s="13" t="inlineStr">
        <is>
          <t>0/1/2 - Conforme Origem do Lote</t>
        </is>
      </c>
    </row>
    <row r="1183" ht="22" customHeight="1">
      <c r="A1183" s="6" t="inlineStr">
        <is>
          <t>EMP-1179</t>
        </is>
      </c>
      <c r="B1183" s="5" t="n">
        <v>997</v>
      </c>
      <c r="C1183" s="7" t="inlineStr">
        <is>
          <t>Nº 10901</t>
        </is>
      </c>
      <c r="D1183" s="8" t="inlineStr">
        <is>
          <t>ROUNDUP AMÔNIO PRÉ MIX</t>
        </is>
      </c>
      <c r="E1183" s="7" t="inlineStr">
        <is>
          <t>3. Formulador / Co-Distribuidor Autorizado</t>
        </is>
      </c>
      <c r="F1183" s="7" t="inlineStr">
        <is>
          <t>Produto Técnico Industrial</t>
        </is>
      </c>
      <c r="G1183" s="7" t="inlineStr">
        <is>
          <t>Bayer S.A.</t>
        </is>
      </c>
      <c r="H1183" s="7" t="inlineStr">
        <is>
          <t>Estabelecimento Credenciado</t>
        </is>
      </c>
      <c r="I1183" s="7" t="inlineStr">
        <is>
          <t>CNPJ Credenciado MAPA</t>
        </is>
      </c>
      <c r="J1183" s="7" t="inlineStr">
        <is>
          <t>Registro Estadual Vigente</t>
        </is>
      </c>
      <c r="K1183" s="7" t="inlineStr">
        <is>
          <t>Unidade Operacional Brasil</t>
        </is>
      </c>
      <c r="L1183" s="7" t="inlineStr">
        <is>
          <t>Brasil</t>
        </is>
      </c>
      <c r="M1183" s="7" t="inlineStr">
        <is>
          <t>0/1/2 - Conforme Origem do Lote</t>
        </is>
      </c>
    </row>
    <row r="1184" ht="22" customHeight="1">
      <c r="A1184" s="12" t="inlineStr">
        <is>
          <t>EMP-1180</t>
        </is>
      </c>
      <c r="B1184" s="11" t="n">
        <v>998</v>
      </c>
      <c r="C1184" s="13" t="inlineStr">
        <is>
          <t>TC08525</t>
        </is>
      </c>
      <c r="D1184" s="14" t="inlineStr">
        <is>
          <t>ROUNDUP MEA PREMIX</t>
        </is>
      </c>
      <c r="E1184" s="13" t="inlineStr">
        <is>
          <t>1. Titular do Registro</t>
        </is>
      </c>
      <c r="F1184" s="13" t="inlineStr">
        <is>
          <t>Produto Técnico Industrial</t>
        </is>
      </c>
      <c r="G1184" s="13" t="inlineStr">
        <is>
          <t>Monsanto do Brasil Ltda.</t>
        </is>
      </c>
      <c r="H1184" s="13" t="inlineStr">
        <is>
          <t>Estabelecimento Credenciado</t>
        </is>
      </c>
      <c r="I1184" s="13" t="inlineStr">
        <is>
          <t>CNPJ Credenciado MAPA</t>
        </is>
      </c>
      <c r="J1184" s="13" t="inlineStr">
        <is>
          <t>Registro Estadual Vigente</t>
        </is>
      </c>
      <c r="K1184" s="13" t="inlineStr">
        <is>
          <t>Unidade Operacional Brasil</t>
        </is>
      </c>
      <c r="L1184" s="13" t="inlineStr">
        <is>
          <t>Brasil</t>
        </is>
      </c>
      <c r="M1184" s="13" t="inlineStr">
        <is>
          <t>0/1/2 - Conforme Origem do Lote</t>
        </is>
      </c>
    </row>
    <row r="1185" ht="22" customHeight="1">
      <c r="A1185" s="6" t="inlineStr">
        <is>
          <t>EMP-1181</t>
        </is>
      </c>
      <c r="B1185" s="5" t="n">
        <v>998</v>
      </c>
      <c r="C1185" s="7" t="inlineStr">
        <is>
          <t>TC08525</t>
        </is>
      </c>
      <c r="D1185" s="8" t="inlineStr">
        <is>
          <t>ROUNDUP MEA PREMIX</t>
        </is>
      </c>
      <c r="E1185" s="7" t="inlineStr">
        <is>
          <t>3. Formulador / Co-Distribuidor Autorizado</t>
        </is>
      </c>
      <c r="F1185" s="7" t="inlineStr">
        <is>
          <t>Produto Técnico Industrial</t>
        </is>
      </c>
      <c r="G1185" s="7" t="inlineStr">
        <is>
          <t>Bayer S.A.</t>
        </is>
      </c>
      <c r="H1185" s="7" t="inlineStr">
        <is>
          <t>Estabelecimento Credenciado</t>
        </is>
      </c>
      <c r="I1185" s="7" t="inlineStr">
        <is>
          <t>CNPJ Credenciado MAPA</t>
        </is>
      </c>
      <c r="J1185" s="7" t="inlineStr">
        <is>
          <t>Registro Estadual Vigente</t>
        </is>
      </c>
      <c r="K1185" s="7" t="inlineStr">
        <is>
          <t>Unidade Operacional Brasil</t>
        </is>
      </c>
      <c r="L1185" s="7" t="inlineStr">
        <is>
          <t>Brasil</t>
        </is>
      </c>
      <c r="M1185" s="7" t="inlineStr">
        <is>
          <t>0/1/2 - Conforme Origem do Lote</t>
        </is>
      </c>
    </row>
    <row r="1186" ht="22" customHeight="1">
      <c r="A1186" s="12" t="inlineStr">
        <is>
          <t>EMP-1182</t>
        </is>
      </c>
      <c r="B1186" s="11" t="n">
        <v>999</v>
      </c>
      <c r="C1186" s="13" t="inlineStr">
        <is>
          <t>TC00623</t>
        </is>
      </c>
      <c r="D1186" s="14" t="inlineStr">
        <is>
          <t>2,4-D TÉCNICO NORTOX V</t>
        </is>
      </c>
      <c r="E1186" s="13" t="inlineStr">
        <is>
          <t>1. Titular do Registro / Produtor</t>
        </is>
      </c>
      <c r="F1186" s="13" t="inlineStr">
        <is>
          <t>Produto Técnico Industrial</t>
        </is>
      </c>
      <c r="G1186" s="13" t="inlineStr">
        <is>
          <t>Nortox S.A.</t>
        </is>
      </c>
      <c r="H1186" s="13" t="inlineStr">
        <is>
          <t>Matriz / Estabelecimento Principal</t>
        </is>
      </c>
      <c r="I1186" s="13" t="inlineStr">
        <is>
          <t>CNPJ Credenciado MAPA/SIPEAGRO</t>
        </is>
      </c>
      <c r="J1186" s="13" t="inlineStr">
        <is>
          <t>Registro Estadual Vigente</t>
        </is>
      </c>
      <c r="K1186" s="13" t="inlineStr">
        <is>
          <t>Estabelecimento Credenciado no Brasil</t>
        </is>
      </c>
      <c r="L1186" s="13" t="inlineStr">
        <is>
          <t>Brasil</t>
        </is>
      </c>
      <c r="M1186" s="13" t="inlineStr">
        <is>
          <t>0 - Nacional / 1 - Importação Direta</t>
        </is>
      </c>
    </row>
    <row r="1187" ht="22" customHeight="1">
      <c r="A1187" s="6" t="inlineStr">
        <is>
          <t>EMP-1183</t>
        </is>
      </c>
      <c r="B1187" s="5" t="n">
        <v>1000</v>
      </c>
      <c r="C1187" s="7" t="inlineStr">
        <is>
          <t>Nº 1414</t>
        </is>
      </c>
      <c r="D1187" s="8" t="inlineStr">
        <is>
          <t>2,4-D TÉCNICO RED SURCOS</t>
        </is>
      </c>
      <c r="E1187" s="7" t="inlineStr">
        <is>
          <t>1. Titular do Registro / Produtor</t>
        </is>
      </c>
      <c r="F1187" s="7" t="inlineStr">
        <is>
          <t>Produto Técnico Industrial</t>
        </is>
      </c>
      <c r="G1187" s="7" t="inlineStr">
        <is>
          <t>Red Surcos do Brasil Ltda.</t>
        </is>
      </c>
      <c r="H1187" s="7" t="inlineStr">
        <is>
          <t>Matriz / Estabelecimento Principal</t>
        </is>
      </c>
      <c r="I1187" s="7" t="inlineStr">
        <is>
          <t>CNPJ Credenciado MAPA/SIPEAGRO</t>
        </is>
      </c>
      <c r="J1187" s="7" t="inlineStr">
        <is>
          <t>Registro Estadual Vigente</t>
        </is>
      </c>
      <c r="K1187" s="7" t="inlineStr">
        <is>
          <t>Estabelecimento Credenciado no Brasil</t>
        </is>
      </c>
      <c r="L1187" s="7" t="inlineStr">
        <is>
          <t>Brasil</t>
        </is>
      </c>
      <c r="M1187" s="7" t="inlineStr">
        <is>
          <t>0 - Nacional / 1 - Importação Direta</t>
        </is>
      </c>
    </row>
    <row r="1188" ht="22" customHeight="1">
      <c r="A1188" s="12" t="inlineStr">
        <is>
          <t>EMP-1184</t>
        </is>
      </c>
      <c r="B1188" s="11" t="n">
        <v>1001</v>
      </c>
      <c r="C1188" s="13" t="inlineStr">
        <is>
          <t>Nº 12415</t>
        </is>
      </c>
      <c r="D1188" s="14" t="inlineStr">
        <is>
          <t>GLIFOSATO TÉCNICO RED SURCOS II</t>
        </is>
      </c>
      <c r="E1188" s="13" t="inlineStr">
        <is>
          <t>1. Titular do Registro / Produtor</t>
        </is>
      </c>
      <c r="F1188" s="13" t="inlineStr">
        <is>
          <t>Produto Técnico Industrial</t>
        </is>
      </c>
      <c r="G1188" s="13" t="inlineStr">
        <is>
          <t>Red Surcos do Brasil Ltda.</t>
        </is>
      </c>
      <c r="H1188" s="13" t="inlineStr">
        <is>
          <t>Matriz / Estabelecimento Principal</t>
        </is>
      </c>
      <c r="I1188" s="13" t="inlineStr">
        <is>
          <t>CNPJ Credenciado MAPA/SIPEAGRO</t>
        </is>
      </c>
      <c r="J1188" s="13" t="inlineStr">
        <is>
          <t>Registro Estadual Vigente</t>
        </is>
      </c>
      <c r="K1188" s="13" t="inlineStr">
        <is>
          <t>Estabelecimento Credenciado no Brasil</t>
        </is>
      </c>
      <c r="L1188" s="13" t="inlineStr">
        <is>
          <t>Brasil</t>
        </is>
      </c>
      <c r="M1188" s="13" t="inlineStr">
        <is>
          <t>0 - Nacional / 1 - Importação Direta</t>
        </is>
      </c>
    </row>
    <row r="1189" ht="22" customHeight="1">
      <c r="A1189" s="6" t="inlineStr">
        <is>
          <t>EMP-1185</t>
        </is>
      </c>
      <c r="B1189" s="5" t="n">
        <v>1002</v>
      </c>
      <c r="C1189" s="7" t="inlineStr">
        <is>
          <t>Nº 4901</t>
        </is>
      </c>
      <c r="D1189" s="8" t="inlineStr">
        <is>
          <t>2,4-D ÁCIDO TÉCNICO SUMITOMO</t>
        </is>
      </c>
      <c r="E1189" s="7" t="inlineStr">
        <is>
          <t>1. Titular do Registro / Produtor</t>
        </is>
      </c>
      <c r="F1189" s="7" t="inlineStr">
        <is>
          <t>Produto Técnico Industrial</t>
        </is>
      </c>
      <c r="G1189" s="7" t="inlineStr">
        <is>
          <t>Sumitomo Chemical Brasil Indústria Química S.A.</t>
        </is>
      </c>
      <c r="H1189" s="7" t="inlineStr">
        <is>
          <t>Matriz / Estabelecimento Principal</t>
        </is>
      </c>
      <c r="I1189" s="7" t="inlineStr">
        <is>
          <t>CNPJ Credenciado MAPA/SIPEAGRO</t>
        </is>
      </c>
      <c r="J1189" s="7" t="inlineStr">
        <is>
          <t>Registro Estadual Vigente</t>
        </is>
      </c>
      <c r="K1189" s="7" t="inlineStr">
        <is>
          <t>Estabelecimento Credenciado no Brasil</t>
        </is>
      </c>
      <c r="L1189" s="7" t="inlineStr">
        <is>
          <t>Brasil</t>
        </is>
      </c>
      <c r="M1189" s="7" t="inlineStr">
        <is>
          <t>0 - Nacional / 1 - Importação Direta</t>
        </is>
      </c>
    </row>
    <row r="1190" ht="22" customHeight="1">
      <c r="A1190" s="12" t="inlineStr">
        <is>
          <t>EMP-1186</t>
        </is>
      </c>
      <c r="B1190" s="11" t="n">
        <v>1003</v>
      </c>
      <c r="C1190" s="13" t="inlineStr">
        <is>
          <t>TC07621</t>
        </is>
      </c>
      <c r="D1190" s="14" t="inlineStr">
        <is>
          <t>2,4-D TÉCNICO DT</t>
        </is>
      </c>
      <c r="E1190" s="13" t="inlineStr">
        <is>
          <t>1. Titular do Registro / Produtor</t>
        </is>
      </c>
      <c r="F1190" s="13" t="inlineStr">
        <is>
          <t>Produto Técnico Industrial</t>
        </is>
      </c>
      <c r="G1190" s="13" t="inlineStr">
        <is>
          <t>DT Agroquímica / Ato 38/2026</t>
        </is>
      </c>
      <c r="H1190" s="13" t="inlineStr">
        <is>
          <t>Matriz / Estabelecimento Principal</t>
        </is>
      </c>
      <c r="I1190" s="13" t="inlineStr">
        <is>
          <t>CNPJ Credenciado MAPA/SIPEAGRO</t>
        </is>
      </c>
      <c r="J1190" s="13" t="inlineStr">
        <is>
          <t>Registro Estadual Vigente</t>
        </is>
      </c>
      <c r="K1190" s="13" t="inlineStr">
        <is>
          <t>Estabelecimento Credenciado no Brasil</t>
        </is>
      </c>
      <c r="L1190" s="13" t="inlineStr">
        <is>
          <t>Brasil</t>
        </is>
      </c>
      <c r="M1190" s="13" t="inlineStr">
        <is>
          <t>0 - Nacional / 1 - Importação Direta</t>
        </is>
      </c>
    </row>
    <row r="1191" ht="22" customHeight="1">
      <c r="A1191" s="6" t="inlineStr">
        <is>
          <t>EMP-1187</t>
        </is>
      </c>
      <c r="B1191" s="5" t="n">
        <v>1004</v>
      </c>
      <c r="C1191" s="7" t="inlineStr">
        <is>
          <t>Nº 36721</t>
        </is>
      </c>
      <c r="D1191" s="8" t="inlineStr">
        <is>
          <t>MAIZEFORCE</t>
        </is>
      </c>
      <c r="E1191" s="7" t="inlineStr">
        <is>
          <t>1. Titular do Registro</t>
        </is>
      </c>
      <c r="F1191" s="7" t="inlineStr">
        <is>
          <t>Produto Formulado Comercial</t>
        </is>
      </c>
      <c r="G1191" s="7" t="inlineStr">
        <is>
          <t>JubailiReg Brasil Ltda. - São Paulo</t>
        </is>
      </c>
      <c r="H1191" s="7" t="inlineStr">
        <is>
          <t>Estabelecimento Credenciado</t>
        </is>
      </c>
      <c r="I1191" s="7" t="inlineStr">
        <is>
          <t>CNPJ Credenciado MAPA</t>
        </is>
      </c>
      <c r="J1191" s="7" t="inlineStr">
        <is>
          <t>Registro Estadual Vigente</t>
        </is>
      </c>
      <c r="K1191" s="7" t="inlineStr">
        <is>
          <t>Unidade Operacional Brasil</t>
        </is>
      </c>
      <c r="L1191" s="7" t="inlineStr">
        <is>
          <t>Brasil</t>
        </is>
      </c>
      <c r="M1191" s="7" t="inlineStr">
        <is>
          <t>0/1/2 - Conforme Origem do Lote</t>
        </is>
      </c>
    </row>
    <row r="1192" ht="22" customHeight="1">
      <c r="A1192" s="12" t="inlineStr">
        <is>
          <t>EMP-1188</t>
        </is>
      </c>
      <c r="B1192" s="11" t="n">
        <v>1004</v>
      </c>
      <c r="C1192" s="13" t="inlineStr">
        <is>
          <t>Nº 36721</t>
        </is>
      </c>
      <c r="D1192" s="14" t="inlineStr">
        <is>
          <t>MAIZEFORCE</t>
        </is>
      </c>
      <c r="E1192" s="13" t="inlineStr">
        <is>
          <t>3. Formulador / Co-Distribuidor Autorizado</t>
        </is>
      </c>
      <c r="F1192" s="13" t="inlineStr">
        <is>
          <t>Produto Formulado Comercial</t>
        </is>
      </c>
      <c r="G1192" s="13" t="inlineStr">
        <is>
          <t>SP (CNPJ 54.195.878</t>
        </is>
      </c>
      <c r="H1192" s="13" t="inlineStr">
        <is>
          <t>Estabelecimento Credenciado</t>
        </is>
      </c>
      <c r="I1192" s="13" t="inlineStr">
        <is>
          <t>CNPJ Credenciado MAPA</t>
        </is>
      </c>
      <c r="J1192" s="13" t="inlineStr">
        <is>
          <t>Registro Estadual Vigente</t>
        </is>
      </c>
      <c r="K1192" s="13" t="inlineStr">
        <is>
          <t>Unidade Operacional Brasil</t>
        </is>
      </c>
      <c r="L1192" s="13" t="inlineStr">
        <is>
          <t>Brasil</t>
        </is>
      </c>
      <c r="M1192" s="13" t="inlineStr">
        <is>
          <t>0/1/2 - Conforme Origem do Lote</t>
        </is>
      </c>
    </row>
    <row r="1193" ht="22" customHeight="1">
      <c r="A1193" s="6" t="inlineStr">
        <is>
          <t>EMP-1189</t>
        </is>
      </c>
      <c r="B1193" s="5" t="n">
        <v>1004</v>
      </c>
      <c r="C1193" s="7" t="inlineStr">
        <is>
          <t>Nº 36721</t>
        </is>
      </c>
      <c r="D1193" s="8" t="inlineStr">
        <is>
          <t>MAIZEFORCE</t>
        </is>
      </c>
      <c r="E1193" s="7" t="inlineStr">
        <is>
          <t>3. Formulador / Co-Distribuidor Autorizado</t>
        </is>
      </c>
      <c r="F1193" s="7" t="inlineStr">
        <is>
          <t>Produto Formulado Comercial</t>
        </is>
      </c>
      <c r="G1193" s="7" t="inlineStr">
        <is>
          <t>0001-59)</t>
        </is>
      </c>
      <c r="H1193" s="7" t="inlineStr">
        <is>
          <t>Estabelecimento Credenciado</t>
        </is>
      </c>
      <c r="I1193" s="7" t="inlineStr">
        <is>
          <t>CNPJ Credenciado MAPA</t>
        </is>
      </c>
      <c r="J1193" s="7" t="inlineStr">
        <is>
          <t>Registro Estadual Vigente</t>
        </is>
      </c>
      <c r="K1193" s="7" t="inlineStr">
        <is>
          <t>Unidade Operacional Brasil</t>
        </is>
      </c>
      <c r="L1193" s="7" t="inlineStr">
        <is>
          <t>Brasil</t>
        </is>
      </c>
      <c r="M1193" s="7" t="inlineStr">
        <is>
          <t>0/1/2 - Conforme Origem do Lote</t>
        </is>
      </c>
    </row>
    <row r="1194" ht="22" customHeight="1">
      <c r="A1194" s="12" t="inlineStr">
        <is>
          <t>EMP-1190</t>
        </is>
      </c>
      <c r="B1194" s="11" t="n">
        <v>1005</v>
      </c>
      <c r="C1194" s="13" t="inlineStr">
        <is>
          <t>Nº 17416</t>
        </is>
      </c>
      <c r="D1194" s="14" t="inlineStr">
        <is>
          <t>MESOTRIONE TÉCNICO ROTAM</t>
        </is>
      </c>
      <c r="E1194" s="13" t="inlineStr">
        <is>
          <t>1. Titular do Registro</t>
        </is>
      </c>
      <c r="F1194" s="13" t="inlineStr">
        <is>
          <t>Produto Técnico Industrial</t>
        </is>
      </c>
      <c r="G1194" s="13" t="inlineStr">
        <is>
          <t>Shangyu Nutrichem Co. Ltd. (China)</t>
        </is>
      </c>
      <c r="H1194" s="13" t="inlineStr">
        <is>
          <t>Estabelecimento Credenciado</t>
        </is>
      </c>
      <c r="I1194" s="13" t="inlineStr">
        <is>
          <t>CNPJ Credenciado MAPA</t>
        </is>
      </c>
      <c r="J1194" s="13" t="inlineStr">
        <is>
          <t>Registro Estadual Vigente</t>
        </is>
      </c>
      <c r="K1194" s="13" t="inlineStr">
        <is>
          <t>Unidade Operacional Brasil</t>
        </is>
      </c>
      <c r="L1194" s="13" t="inlineStr">
        <is>
          <t>Brasil</t>
        </is>
      </c>
      <c r="M1194" s="13" t="inlineStr">
        <is>
          <t>0/1/2 - Conforme Origem do Lote</t>
        </is>
      </c>
    </row>
    <row r="1195" ht="22" customHeight="1">
      <c r="A1195" s="6" t="inlineStr">
        <is>
          <t>EMP-1191</t>
        </is>
      </c>
      <c r="B1195" s="5" t="n">
        <v>1005</v>
      </c>
      <c r="C1195" s="7" t="inlineStr">
        <is>
          <t>Nº 17416</t>
        </is>
      </c>
      <c r="D1195" s="8" t="inlineStr">
        <is>
          <t>MESOTRIONE TÉCNICO ROTAM</t>
        </is>
      </c>
      <c r="E1195" s="7" t="inlineStr">
        <is>
          <t>3. Formulador / Co-Distribuidor Autorizado</t>
        </is>
      </c>
      <c r="F1195" s="7" t="inlineStr">
        <is>
          <t>Produto Técnico Industrial</t>
        </is>
      </c>
      <c r="G1195" s="7" t="inlineStr">
        <is>
          <t>Rotam</t>
        </is>
      </c>
      <c r="H1195" s="7" t="inlineStr">
        <is>
          <t>Estabelecimento Credenciado</t>
        </is>
      </c>
      <c r="I1195" s="7" t="inlineStr">
        <is>
          <t>CNPJ Credenciado MAPA</t>
        </is>
      </c>
      <c r="J1195" s="7" t="inlineStr">
        <is>
          <t>Registro Estadual Vigente</t>
        </is>
      </c>
      <c r="K1195" s="7" t="inlineStr">
        <is>
          <t>Unidade Operacional Brasil</t>
        </is>
      </c>
      <c r="L1195" s="7" t="inlineStr">
        <is>
          <t>Brasil</t>
        </is>
      </c>
      <c r="M1195" s="7" t="inlineStr">
        <is>
          <t>0/1/2 - Conforme Origem do Lote</t>
        </is>
      </c>
    </row>
    <row r="1196" ht="22" customHeight="1">
      <c r="A1196" s="12" t="inlineStr">
        <is>
          <t>EMP-1192</t>
        </is>
      </c>
      <c r="B1196" s="11" t="n">
        <v>1006</v>
      </c>
      <c r="C1196" s="13" t="inlineStr">
        <is>
          <t>TC07920</t>
        </is>
      </c>
      <c r="D1196" s="14" t="inlineStr">
        <is>
          <t>MESOTRIONE TÉCNICO ALBAUGH</t>
        </is>
      </c>
      <c r="E1196" s="13" t="inlineStr">
        <is>
          <t>1. Titular do Registro</t>
        </is>
      </c>
      <c r="F1196" s="13" t="inlineStr">
        <is>
          <t>Produto Técnico Industrial</t>
        </is>
      </c>
      <c r="G1196" s="13" t="inlineStr">
        <is>
          <t>Shandong Weifang Rainbow Chemical Co., Ltd.</t>
        </is>
      </c>
      <c r="H1196" s="13" t="inlineStr">
        <is>
          <t>Estabelecimento Credenciado</t>
        </is>
      </c>
      <c r="I1196" s="13" t="inlineStr">
        <is>
          <t>CNPJ Credenciado MAPA</t>
        </is>
      </c>
      <c r="J1196" s="13" t="inlineStr">
        <is>
          <t>Registro Estadual Vigente</t>
        </is>
      </c>
      <c r="K1196" s="13" t="inlineStr">
        <is>
          <t>Unidade Operacional Brasil</t>
        </is>
      </c>
      <c r="L1196" s="13" t="inlineStr">
        <is>
          <t>Brasil</t>
        </is>
      </c>
      <c r="M1196" s="13" t="inlineStr">
        <is>
          <t>0/1/2 - Conforme Origem do Lote</t>
        </is>
      </c>
    </row>
    <row r="1197" ht="22" customHeight="1">
      <c r="A1197" s="6" t="inlineStr">
        <is>
          <t>EMP-1193</t>
        </is>
      </c>
      <c r="B1197" s="5" t="n">
        <v>1006</v>
      </c>
      <c r="C1197" s="7" t="inlineStr">
        <is>
          <t>TC07920</t>
        </is>
      </c>
      <c r="D1197" s="8" t="inlineStr">
        <is>
          <t>MESOTRIONE TÉCNICO ALBAUGH</t>
        </is>
      </c>
      <c r="E1197" s="7" t="inlineStr">
        <is>
          <t>3. Formulador / Co-Distribuidor Autorizado</t>
        </is>
      </c>
      <c r="F1197" s="7" t="inlineStr">
        <is>
          <t>Produto Técnico Industrial</t>
        </is>
      </c>
      <c r="G1197" s="7" t="inlineStr">
        <is>
          <t>Albaugh</t>
        </is>
      </c>
      <c r="H1197" s="7" t="inlineStr">
        <is>
          <t>Estabelecimento Credenciado</t>
        </is>
      </c>
      <c r="I1197" s="7" t="inlineStr">
        <is>
          <t>CNPJ Credenciado MAPA</t>
        </is>
      </c>
      <c r="J1197" s="7" t="inlineStr">
        <is>
          <t>Registro Estadual Vigente</t>
        </is>
      </c>
      <c r="K1197" s="7" t="inlineStr">
        <is>
          <t>Unidade Operacional Brasil</t>
        </is>
      </c>
      <c r="L1197" s="7" t="inlineStr">
        <is>
          <t>Brasil</t>
        </is>
      </c>
      <c r="M1197" s="7" t="inlineStr">
        <is>
          <t>0/1/2 - Conforme Origem do Lote</t>
        </is>
      </c>
    </row>
    <row r="1198" ht="22" customHeight="1">
      <c r="A1198" s="12" t="inlineStr">
        <is>
          <t>EMP-1194</t>
        </is>
      </c>
      <c r="B1198" s="11" t="n">
        <v>1007</v>
      </c>
      <c r="C1198" s="13" t="inlineStr">
        <is>
          <t>TC26122</t>
        </is>
      </c>
      <c r="D1198" s="14" t="inlineStr">
        <is>
          <t>MESOTRIONE TÉCNICO ALBAUGH AZ</t>
        </is>
      </c>
      <c r="E1198" s="13" t="inlineStr">
        <is>
          <t>1. Titular do Registro</t>
        </is>
      </c>
      <c r="F1198" s="13" t="inlineStr">
        <is>
          <t>Produto Técnico Industrial</t>
        </is>
      </c>
      <c r="G1198" s="13" t="inlineStr">
        <is>
          <t>Anhui Zhongshan Chemical Industry Co., Ltd.</t>
        </is>
      </c>
      <c r="H1198" s="13" t="inlineStr">
        <is>
          <t>Estabelecimento Credenciado</t>
        </is>
      </c>
      <c r="I1198" s="13" t="inlineStr">
        <is>
          <t>CNPJ Credenciado MAPA</t>
        </is>
      </c>
      <c r="J1198" s="13" t="inlineStr">
        <is>
          <t>Registro Estadual Vigente</t>
        </is>
      </c>
      <c r="K1198" s="13" t="inlineStr">
        <is>
          <t>Unidade Operacional Brasil</t>
        </is>
      </c>
      <c r="L1198" s="13" t="inlineStr">
        <is>
          <t>Brasil</t>
        </is>
      </c>
      <c r="M1198" s="13" t="inlineStr">
        <is>
          <t>0/1/2 - Conforme Origem do Lote</t>
        </is>
      </c>
    </row>
    <row r="1199" ht="22" customHeight="1">
      <c r="A1199" s="6" t="inlineStr">
        <is>
          <t>EMP-1195</t>
        </is>
      </c>
      <c r="B1199" s="5" t="n">
        <v>1007</v>
      </c>
      <c r="C1199" s="7" t="inlineStr">
        <is>
          <t>TC26122</t>
        </is>
      </c>
      <c r="D1199" s="8" t="inlineStr">
        <is>
          <t>MESOTRIONE TÉCNICO ALBAUGH AZ</t>
        </is>
      </c>
      <c r="E1199" s="7" t="inlineStr">
        <is>
          <t>3. Formulador / Co-Distribuidor Autorizado</t>
        </is>
      </c>
      <c r="F1199" s="7" t="inlineStr">
        <is>
          <t>Produto Técnico Industrial</t>
        </is>
      </c>
      <c r="G1199" s="7" t="inlineStr">
        <is>
          <t>Albaugh</t>
        </is>
      </c>
      <c r="H1199" s="7" t="inlineStr">
        <is>
          <t>Estabelecimento Credenciado</t>
        </is>
      </c>
      <c r="I1199" s="7" t="inlineStr">
        <is>
          <t>CNPJ Credenciado MAPA</t>
        </is>
      </c>
      <c r="J1199" s="7" t="inlineStr">
        <is>
          <t>Registro Estadual Vigente</t>
        </is>
      </c>
      <c r="K1199" s="7" t="inlineStr">
        <is>
          <t>Unidade Operacional Brasil</t>
        </is>
      </c>
      <c r="L1199" s="7" t="inlineStr">
        <is>
          <t>Brasil</t>
        </is>
      </c>
      <c r="M1199" s="7" t="inlineStr">
        <is>
          <t>0/1/2 - Conforme Origem do Lote</t>
        </is>
      </c>
    </row>
    <row r="1200" ht="22" customHeight="1">
      <c r="A1200" s="12" t="inlineStr">
        <is>
          <t>EMP-1196</t>
        </is>
      </c>
      <c r="B1200" s="11" t="n">
        <v>1008</v>
      </c>
      <c r="C1200" s="13" t="inlineStr">
        <is>
          <t>TC00921</t>
        </is>
      </c>
      <c r="D1200" s="14" t="inlineStr">
        <is>
          <t>MESOTRIONE TÉCNICO ALBAUGH BN</t>
        </is>
      </c>
      <c r="E1200" s="13" t="inlineStr">
        <is>
          <t>1. Titular do Registro</t>
        </is>
      </c>
      <c r="F1200" s="13" t="inlineStr">
        <is>
          <t>Produto Técnico Industrial</t>
        </is>
      </c>
      <c r="G1200" s="13" t="inlineStr">
        <is>
          <t>Shandong Binnong Technology Co., Ltd.</t>
        </is>
      </c>
      <c r="H1200" s="13" t="inlineStr">
        <is>
          <t>Estabelecimento Credenciado</t>
        </is>
      </c>
      <c r="I1200" s="13" t="inlineStr">
        <is>
          <t>CNPJ Credenciado MAPA</t>
        </is>
      </c>
      <c r="J1200" s="13" t="inlineStr">
        <is>
          <t>Registro Estadual Vigente</t>
        </is>
      </c>
      <c r="K1200" s="13" t="inlineStr">
        <is>
          <t>Unidade Operacional Brasil</t>
        </is>
      </c>
      <c r="L1200" s="13" t="inlineStr">
        <is>
          <t>Brasil</t>
        </is>
      </c>
      <c r="M1200" s="13" t="inlineStr">
        <is>
          <t>0/1/2 - Conforme Origem do Lote</t>
        </is>
      </c>
    </row>
    <row r="1201" ht="22" customHeight="1">
      <c r="A1201" s="6" t="inlineStr">
        <is>
          <t>EMP-1197</t>
        </is>
      </c>
      <c r="B1201" s="5" t="n">
        <v>1008</v>
      </c>
      <c r="C1201" s="7" t="inlineStr">
        <is>
          <t>TC00921</t>
        </is>
      </c>
      <c r="D1201" s="8" t="inlineStr">
        <is>
          <t>MESOTRIONE TÉCNICO ALBAUGH BN</t>
        </is>
      </c>
      <c r="E1201" s="7" t="inlineStr">
        <is>
          <t>3. Formulador / Co-Distribuidor Autorizado</t>
        </is>
      </c>
      <c r="F1201" s="7" t="inlineStr">
        <is>
          <t>Produto Técnico Industrial</t>
        </is>
      </c>
      <c r="G1201" s="7" t="inlineStr">
        <is>
          <t>Albaugh</t>
        </is>
      </c>
      <c r="H1201" s="7" t="inlineStr">
        <is>
          <t>Estabelecimento Credenciado</t>
        </is>
      </c>
      <c r="I1201" s="7" t="inlineStr">
        <is>
          <t>CNPJ Credenciado MAPA</t>
        </is>
      </c>
      <c r="J1201" s="7" t="inlineStr">
        <is>
          <t>Registro Estadual Vigente</t>
        </is>
      </c>
      <c r="K1201" s="7" t="inlineStr">
        <is>
          <t>Unidade Operacional Brasil</t>
        </is>
      </c>
      <c r="L1201" s="7" t="inlineStr">
        <is>
          <t>Brasil</t>
        </is>
      </c>
      <c r="M1201" s="7" t="inlineStr">
        <is>
          <t>0/1/2 - Conforme Origem do Lote</t>
        </is>
      </c>
    </row>
    <row r="1202" ht="22" customHeight="1">
      <c r="A1202" s="12" t="inlineStr">
        <is>
          <t>EMP-1198</t>
        </is>
      </c>
      <c r="B1202" s="11" t="n">
        <v>1009</v>
      </c>
      <c r="C1202" s="13" t="inlineStr">
        <is>
          <t>Nº 44024</t>
        </is>
      </c>
      <c r="D1202" s="14" t="inlineStr">
        <is>
          <t>BIOFOLL DUO</t>
        </is>
      </c>
      <c r="E1202" s="13" t="inlineStr">
        <is>
          <t>1. Titular do Registro</t>
        </is>
      </c>
      <c r="F1202" s="13" t="inlineStr">
        <is>
          <t>Produto Formulado Comercial</t>
        </is>
      </c>
      <c r="G1202" s="13" t="inlineStr">
        <is>
          <t>Serquibio Biotecnologia Agrícola Ltda. - Santa Bárbara d'Oeste</t>
        </is>
      </c>
      <c r="H1202" s="13" t="inlineStr">
        <is>
          <t>Estabelecimento Credenciado</t>
        </is>
      </c>
      <c r="I1202" s="13" t="inlineStr">
        <is>
          <t>CNPJ Credenciado MAPA</t>
        </is>
      </c>
      <c r="J1202" s="13" t="inlineStr">
        <is>
          <t>Registro Estadual Vigente</t>
        </is>
      </c>
      <c r="K1202" s="13" t="inlineStr">
        <is>
          <t>Unidade Operacional Brasil</t>
        </is>
      </c>
      <c r="L1202" s="13" t="inlineStr">
        <is>
          <t>Brasil</t>
        </is>
      </c>
      <c r="M1202" s="13" t="inlineStr">
        <is>
          <t>0/1/2 - Conforme Origem do Lote</t>
        </is>
      </c>
    </row>
    <row r="1203" ht="22" customHeight="1">
      <c r="A1203" s="6" t="inlineStr">
        <is>
          <t>EMP-1199</t>
        </is>
      </c>
      <c r="B1203" s="5" t="n">
        <v>1010</v>
      </c>
      <c r="C1203" s="7" t="inlineStr">
        <is>
          <t>Nº 44024</t>
        </is>
      </c>
      <c r="D1203" s="8" t="inlineStr">
        <is>
          <t>CROPBIO BIOKILLER</t>
        </is>
      </c>
      <c r="E1203" s="7" t="inlineStr">
        <is>
          <t>1. Titular do Registro</t>
        </is>
      </c>
      <c r="F1203" s="7" t="inlineStr">
        <is>
          <t>Produto Formulado Comercial</t>
        </is>
      </c>
      <c r="G1203" s="7" t="inlineStr">
        <is>
          <t>Serquibio Biotecnologia Agrícola Ltda. - Santa Bárbara d'Oeste</t>
        </is>
      </c>
      <c r="H1203" s="7" t="inlineStr">
        <is>
          <t>Estabelecimento Credenciado</t>
        </is>
      </c>
      <c r="I1203" s="7" t="inlineStr">
        <is>
          <t>CNPJ Credenciado MAPA</t>
        </is>
      </c>
      <c r="J1203" s="7" t="inlineStr">
        <is>
          <t>Registro Estadual Vigente</t>
        </is>
      </c>
      <c r="K1203" s="7" t="inlineStr">
        <is>
          <t>Unidade Operacional Brasil</t>
        </is>
      </c>
      <c r="L1203" s="7" t="inlineStr">
        <is>
          <t>Brasil</t>
        </is>
      </c>
      <c r="M1203" s="7" t="inlineStr">
        <is>
          <t>0/1/2 - Conforme Origem do Lote</t>
        </is>
      </c>
    </row>
    <row r="1204" ht="22" customHeight="1">
      <c r="A1204" s="12" t="inlineStr">
        <is>
          <t>EMP-1200</t>
        </is>
      </c>
      <c r="B1204" s="11" t="n">
        <v>1011</v>
      </c>
      <c r="C1204" s="13" t="inlineStr">
        <is>
          <t>Nº 44024</t>
        </is>
      </c>
      <c r="D1204" s="14" t="inlineStr">
        <is>
          <t>BIOTOP DUO</t>
        </is>
      </c>
      <c r="E1204" s="13" t="inlineStr">
        <is>
          <t>1. Titular do Registro</t>
        </is>
      </c>
      <c r="F1204" s="13" t="inlineStr">
        <is>
          <t>Produto Formulado Comercial</t>
        </is>
      </c>
      <c r="G1204" s="13" t="inlineStr">
        <is>
          <t>Serquibio Biotecnologia Agrícola Ltda. - Santa Bárbara d'Oeste</t>
        </is>
      </c>
      <c r="H1204" s="13" t="inlineStr">
        <is>
          <t>Estabelecimento Credenciado</t>
        </is>
      </c>
      <c r="I1204" s="13" t="inlineStr">
        <is>
          <t>CNPJ Credenciado MAPA</t>
        </is>
      </c>
      <c r="J1204" s="13" t="inlineStr">
        <is>
          <t>Registro Estadual Vigente</t>
        </is>
      </c>
      <c r="K1204" s="13" t="inlineStr">
        <is>
          <t>Unidade Operacional Brasil</t>
        </is>
      </c>
      <c r="L1204" s="13" t="inlineStr">
        <is>
          <t>Brasil</t>
        </is>
      </c>
      <c r="M1204" s="13" t="inlineStr">
        <is>
          <t>0/1/2 - Conforme Origem do Lote</t>
        </is>
      </c>
    </row>
    <row r="1205" ht="22" customHeight="1">
      <c r="A1205" s="6" t="inlineStr">
        <is>
          <t>EMP-1201</t>
        </is>
      </c>
      <c r="B1205" s="5" t="n">
        <v>1012</v>
      </c>
      <c r="C1205" s="7" t="inlineStr">
        <is>
          <t>Nº 44024</t>
        </is>
      </c>
      <c r="D1205" s="8" t="inlineStr">
        <is>
          <t>INSECTA BM</t>
        </is>
      </c>
      <c r="E1205" s="7" t="inlineStr">
        <is>
          <t>1. Titular do Registro</t>
        </is>
      </c>
      <c r="F1205" s="7" t="inlineStr">
        <is>
          <t>Produto Formulado Comercial</t>
        </is>
      </c>
      <c r="G1205" s="7" t="inlineStr">
        <is>
          <t>Serquibio Biotecnologia Agrícola Ltda. - Santa Bárbara d'Oeste</t>
        </is>
      </c>
      <c r="H1205" s="7" t="inlineStr">
        <is>
          <t>Estabelecimento Credenciado</t>
        </is>
      </c>
      <c r="I1205" s="7" t="inlineStr">
        <is>
          <t>CNPJ Credenciado MAPA</t>
        </is>
      </c>
      <c r="J1205" s="7" t="inlineStr">
        <is>
          <t>Registro Estadual Vigente</t>
        </is>
      </c>
      <c r="K1205" s="7" t="inlineStr">
        <is>
          <t>Unidade Operacional Brasil</t>
        </is>
      </c>
      <c r="L1205" s="7" t="inlineStr">
        <is>
          <t>Brasil</t>
        </is>
      </c>
      <c r="M1205" s="7" t="inlineStr">
        <is>
          <t>0/1/2 - Conforme Origem do Lote</t>
        </is>
      </c>
    </row>
    <row r="1206" ht="22" customHeight="1">
      <c r="A1206" s="12" t="inlineStr">
        <is>
          <t>EMP-1202</t>
        </is>
      </c>
      <c r="B1206" s="11" t="n">
        <v>1013</v>
      </c>
      <c r="C1206" s="13" t="inlineStr">
        <is>
          <t>Nº 44024</t>
        </is>
      </c>
      <c r="D1206" s="14" t="inlineStr">
        <is>
          <t>BOWE</t>
        </is>
      </c>
      <c r="E1206" s="13" t="inlineStr">
        <is>
          <t>1. Titular do Registro</t>
        </is>
      </c>
      <c r="F1206" s="13" t="inlineStr">
        <is>
          <t>Produto Formulado Comercial</t>
        </is>
      </c>
      <c r="G1206" s="13" t="inlineStr">
        <is>
          <t>Serquibio Biotecnologia Agrícola Ltda. - Santa Bárbara d'Oeste</t>
        </is>
      </c>
      <c r="H1206" s="13" t="inlineStr">
        <is>
          <t>Estabelecimento Credenciado</t>
        </is>
      </c>
      <c r="I1206" s="13" t="inlineStr">
        <is>
          <t>CNPJ Credenciado MAPA</t>
        </is>
      </c>
      <c r="J1206" s="13" t="inlineStr">
        <is>
          <t>Registro Estadual Vigente</t>
        </is>
      </c>
      <c r="K1206" s="13" t="inlineStr">
        <is>
          <t>Unidade Operacional Brasil</t>
        </is>
      </c>
      <c r="L1206" s="13" t="inlineStr">
        <is>
          <t>Brasil</t>
        </is>
      </c>
      <c r="M1206" s="13" t="inlineStr">
        <is>
          <t>0/1/2 - Conforme Origem do Lote</t>
        </is>
      </c>
    </row>
    <row r="1207" ht="22" customHeight="1">
      <c r="A1207" s="6" t="inlineStr">
        <is>
          <t>EMP-1203</t>
        </is>
      </c>
      <c r="B1207" s="5" t="n">
        <v>1014</v>
      </c>
      <c r="C1207" s="7" t="inlineStr">
        <is>
          <t>Nº 002094</t>
        </is>
      </c>
      <c r="D1207" s="8" t="inlineStr">
        <is>
          <t>ROUNDUP WG</t>
        </is>
      </c>
      <c r="E1207" s="7" t="inlineStr">
        <is>
          <t>1. Titular do Registro</t>
        </is>
      </c>
      <c r="F1207" s="7" t="inlineStr">
        <is>
          <t>Produto Formulado Comercial</t>
        </is>
      </c>
      <c r="G1207" s="7" t="inlineStr">
        <is>
          <t>MONSANTO DO BRASIL LTDA.</t>
        </is>
      </c>
      <c r="H1207" s="7" t="inlineStr">
        <is>
          <t>Matriz São Paulo</t>
        </is>
      </c>
      <c r="I1207" s="7" t="inlineStr">
        <is>
          <t>64.858.525/0001-45</t>
        </is>
      </c>
      <c r="J1207" s="7" t="inlineStr">
        <is>
          <t>CDA/SP nº 426</t>
        </is>
      </c>
      <c r="K1207" s="7" t="inlineStr">
        <is>
          <t>Rua Domingos Jorge, 1.100 - São Paulo/SP</t>
        </is>
      </c>
      <c r="L1207" s="7" t="inlineStr">
        <is>
          <t>Brasil</t>
        </is>
      </c>
      <c r="M1207" s="7" t="inlineStr">
        <is>
          <t>0 - Nacional</t>
        </is>
      </c>
    </row>
    <row r="1208" ht="22" customHeight="1">
      <c r="A1208" s="12" t="inlineStr">
        <is>
          <t>EMP-1204</t>
        </is>
      </c>
      <c r="B1208" s="11" t="n">
        <v>1014</v>
      </c>
      <c r="C1208" s="13" t="inlineStr">
        <is>
          <t>Nº 002094</t>
        </is>
      </c>
      <c r="D1208" s="14" t="inlineStr">
        <is>
          <t>ROUNDUP WG</t>
        </is>
      </c>
      <c r="E1208" s="13" t="inlineStr">
        <is>
          <t>2. Fabricante do Produto Técnico</t>
        </is>
      </c>
      <c r="F1208" s="13" t="inlineStr">
        <is>
          <t>Glifosate Técnico Monsanto (Nº 01998)</t>
        </is>
      </c>
      <c r="G1208" s="13" t="inlineStr">
        <is>
          <t>MONSANTO DO BRASIL LTDA.</t>
        </is>
      </c>
      <c r="H1208" s="13" t="inlineStr">
        <is>
          <t>Planta São José dos Campos</t>
        </is>
      </c>
      <c r="I1208" s="13" t="inlineStr">
        <is>
          <t>64.858.525/0002-26</t>
        </is>
      </c>
      <c r="J1208" s="13" t="inlineStr">
        <is>
          <t>CDA/SP nº 525</t>
        </is>
      </c>
      <c r="K1208" s="13" t="inlineStr">
        <is>
          <t>Av. Carlos Marcondes, 1.200, km 159,5 - SJC/SP</t>
        </is>
      </c>
      <c r="L1208" s="13" t="inlineStr">
        <is>
          <t>Brasil</t>
        </is>
      </c>
      <c r="M1208" s="13" t="inlineStr">
        <is>
          <t>0 - Nacional</t>
        </is>
      </c>
    </row>
    <row r="1209" ht="22" customHeight="1">
      <c r="A1209" s="6" t="inlineStr">
        <is>
          <t>EMP-1205</t>
        </is>
      </c>
      <c r="B1209" s="5" t="n">
        <v>1014</v>
      </c>
      <c r="C1209" s="7" t="inlineStr">
        <is>
          <t>Nº 002094</t>
        </is>
      </c>
      <c r="D1209" s="8" t="inlineStr">
        <is>
          <t>ROUNDUP WG</t>
        </is>
      </c>
      <c r="E1209" s="7" t="inlineStr">
        <is>
          <t>2. Fabricante do Produto Técnico</t>
        </is>
      </c>
      <c r="F1209" s="7" t="inlineStr">
        <is>
          <t>Glifosate Técnico Monsanto (Nº 01998)</t>
        </is>
      </c>
      <c r="G1209" s="7" t="inlineStr">
        <is>
          <t>AGRO BAYER S.R.L.</t>
        </is>
      </c>
      <c r="H1209" s="7" t="inlineStr">
        <is>
          <t>Zárate Plant</t>
        </is>
      </c>
      <c r="I1209" s="7" t="inlineStr">
        <is>
          <t>EXT-ARG-ZARATE</t>
        </is>
      </c>
      <c r="J1209" s="7" t="inlineStr">
        <is>
          <t>Isento Exterior</t>
        </is>
      </c>
      <c r="K1209" s="7" t="inlineStr">
        <is>
          <t>Ruta Provincial 6, km 83,1 - Zárate</t>
        </is>
      </c>
      <c r="L1209" s="7" t="inlineStr">
        <is>
          <t>Argentina</t>
        </is>
      </c>
      <c r="M1209" s="7" t="inlineStr">
        <is>
          <t>1/2/3/5 - Mercosul</t>
        </is>
      </c>
    </row>
    <row r="1210" ht="22" customHeight="1">
      <c r="A1210" s="12" t="inlineStr">
        <is>
          <t>EMP-1206</t>
        </is>
      </c>
      <c r="B1210" s="11" t="n">
        <v>1014</v>
      </c>
      <c r="C1210" s="13" t="inlineStr">
        <is>
          <t>Nº 002094</t>
        </is>
      </c>
      <c r="D1210" s="14" t="inlineStr">
        <is>
          <t>ROUNDUP WG</t>
        </is>
      </c>
      <c r="E1210" s="13" t="inlineStr">
        <is>
          <t>2. Fabricante do Produto Técnico</t>
        </is>
      </c>
      <c r="F1210" s="13" t="inlineStr">
        <is>
          <t>Glifosate Técnico Monsanto (Nº 01998)</t>
        </is>
      </c>
      <c r="G1210" s="13" t="inlineStr">
        <is>
          <t>BAYER CROPSCIENCE LP</t>
        </is>
      </c>
      <c r="H1210" s="13" t="inlineStr">
        <is>
          <t>Luling Plant (LA)</t>
        </is>
      </c>
      <c r="I1210" s="13" t="inlineStr">
        <is>
          <t>EXT-USA-LULING</t>
        </is>
      </c>
      <c r="J1210" s="13" t="inlineStr">
        <is>
          <t>Isento Exterior</t>
        </is>
      </c>
      <c r="K1210" s="13" t="inlineStr">
        <is>
          <t>12.501 River Road - Luling, Louisiana</t>
        </is>
      </c>
      <c r="L1210" s="13" t="inlineStr">
        <is>
          <t>Estados Unidos</t>
        </is>
      </c>
      <c r="M1210" s="13" t="inlineStr">
        <is>
          <t>1/2/3/5 - Exterior</t>
        </is>
      </c>
    </row>
    <row r="1211" ht="22" customHeight="1">
      <c r="A1211" s="6" t="inlineStr">
        <is>
          <t>EMP-1207</t>
        </is>
      </c>
      <c r="B1211" s="5" t="n">
        <v>1014</v>
      </c>
      <c r="C1211" s="7" t="inlineStr">
        <is>
          <t>Nº 002094</t>
        </is>
      </c>
      <c r="D1211" s="8" t="inlineStr">
        <is>
          <t>ROUNDUP WG</t>
        </is>
      </c>
      <c r="E1211" s="7" t="inlineStr">
        <is>
          <t>2. Fabricante do Produto Técnico</t>
        </is>
      </c>
      <c r="F1211" s="7" t="inlineStr">
        <is>
          <t>Glifosate Técnico Monsanto (Nº 01998)</t>
        </is>
      </c>
      <c r="G1211" s="7" t="inlineStr">
        <is>
          <t>BAYER CROPSCIENCE LP</t>
        </is>
      </c>
      <c r="H1211" s="7" t="inlineStr">
        <is>
          <t>Muscatine Plant (IA)</t>
        </is>
      </c>
      <c r="I1211" s="7" t="inlineStr">
        <is>
          <t>EXT-USA-MUSCATINE</t>
        </is>
      </c>
      <c r="J1211" s="7" t="inlineStr">
        <is>
          <t>Isento Exterior</t>
        </is>
      </c>
      <c r="K1211" s="7" t="inlineStr">
        <is>
          <t>2.500 Wiggins Road - Muscatine, Iowa</t>
        </is>
      </c>
      <c r="L1211" s="7" t="inlineStr">
        <is>
          <t>Estados Unidos</t>
        </is>
      </c>
      <c r="M1211" s="7" t="inlineStr">
        <is>
          <t>1/2/3/5 - Exterior</t>
        </is>
      </c>
    </row>
    <row r="1212" ht="22" customHeight="1">
      <c r="A1212" s="12" t="inlineStr">
        <is>
          <t>EMP-1208</t>
        </is>
      </c>
      <c r="B1212" s="11" t="n">
        <v>1014</v>
      </c>
      <c r="C1212" s="13" t="inlineStr">
        <is>
          <t>Nº 002094</t>
        </is>
      </c>
      <c r="D1212" s="14" t="inlineStr">
        <is>
          <t>ROUNDUP WG</t>
        </is>
      </c>
      <c r="E1212" s="13" t="inlineStr">
        <is>
          <t>2. Fabricante do Produto Técnico</t>
        </is>
      </c>
      <c r="F1212" s="13" t="inlineStr">
        <is>
          <t>Glifosate Técnico Monsanto (Nº 01998)</t>
        </is>
      </c>
      <c r="G1212" s="13" t="inlineStr">
        <is>
          <t>BAYER AGRICULTURE BV</t>
        </is>
      </c>
      <c r="H1212" s="13" t="inlineStr">
        <is>
          <t>Antwerp Plant</t>
        </is>
      </c>
      <c r="I1212" s="13" t="inlineStr">
        <is>
          <t>EXT-BEL-ANTWERP</t>
        </is>
      </c>
      <c r="J1212" s="13" t="inlineStr">
        <is>
          <t>Isento Exterior</t>
        </is>
      </c>
      <c r="K1212" s="13" t="inlineStr">
        <is>
          <t>Haven 627, Scheldelaan 460 - Antuérpia</t>
        </is>
      </c>
      <c r="L1212" s="13" t="inlineStr">
        <is>
          <t>Bélgica</t>
        </is>
      </c>
      <c r="M1212" s="13" t="inlineStr">
        <is>
          <t>1/2/3/5 - Exterior</t>
        </is>
      </c>
    </row>
    <row r="1213" ht="22" customHeight="1">
      <c r="A1213" s="6" t="inlineStr">
        <is>
          <t>EMP-1209</t>
        </is>
      </c>
      <c r="B1213" s="5" t="n">
        <v>1014</v>
      </c>
      <c r="C1213" s="7" t="inlineStr">
        <is>
          <t>Nº 002094</t>
        </is>
      </c>
      <c r="D1213" s="8" t="inlineStr">
        <is>
          <t>ROUNDUP WG</t>
        </is>
      </c>
      <c r="E1213" s="7" t="inlineStr">
        <is>
          <t>3. Formulador</t>
        </is>
      </c>
      <c r="F1213" s="7" t="inlineStr">
        <is>
          <t>Roundup® WG (Granulação)</t>
        </is>
      </c>
      <c r="G1213" s="7" t="inlineStr">
        <is>
          <t>MONSANTO DO BRASIL LTDA.</t>
        </is>
      </c>
      <c r="H1213" s="7" t="inlineStr">
        <is>
          <t>Planta São José dos Campos</t>
        </is>
      </c>
      <c r="I1213" s="7" t="inlineStr">
        <is>
          <t>64.858.525/0002-26</t>
        </is>
      </c>
      <c r="J1213" s="7" t="inlineStr">
        <is>
          <t>CDA/SP nº 525</t>
        </is>
      </c>
      <c r="K1213" s="7" t="inlineStr">
        <is>
          <t>Av. Carlos Marcondes, 1.200 - SJC/SP</t>
        </is>
      </c>
      <c r="L1213" s="7" t="inlineStr">
        <is>
          <t>Brasil</t>
        </is>
      </c>
      <c r="M1213" s="7" t="inlineStr">
        <is>
          <t>0/3/5 - Nacional</t>
        </is>
      </c>
    </row>
    <row r="1214" ht="22" customHeight="1">
      <c r="A1214" s="12" t="inlineStr">
        <is>
          <t>EMP-1210</t>
        </is>
      </c>
      <c r="B1214" s="11" t="n">
        <v>1014</v>
      </c>
      <c r="C1214" s="13" t="inlineStr">
        <is>
          <t>Nº 002094</t>
        </is>
      </c>
      <c r="D1214" s="14" t="inlineStr">
        <is>
          <t>ROUNDUP WG</t>
        </is>
      </c>
      <c r="E1214" s="13" t="inlineStr">
        <is>
          <t>3. Formulador</t>
        </is>
      </c>
      <c r="F1214" s="13" t="inlineStr">
        <is>
          <t>Roundup® WG (Granulação)</t>
        </is>
      </c>
      <c r="G1214" s="13" t="inlineStr">
        <is>
          <t>BAYER CROPSCIENCE LP</t>
        </is>
      </c>
      <c r="H1214" s="13" t="inlineStr">
        <is>
          <t>Luling Plant (LA)</t>
        </is>
      </c>
      <c r="I1214" s="13" t="inlineStr">
        <is>
          <t>EXT-USA-LULING</t>
        </is>
      </c>
      <c r="J1214" s="13" t="inlineStr">
        <is>
          <t>Isento Exterior</t>
        </is>
      </c>
      <c r="K1214" s="13" t="inlineStr">
        <is>
          <t>12.501 River Road - Luling, LA</t>
        </is>
      </c>
      <c r="L1214" s="13" t="inlineStr">
        <is>
          <t>Estados Unidos</t>
        </is>
      </c>
      <c r="M1214" s="13" t="inlineStr">
        <is>
          <t>1/2 - Importado</t>
        </is>
      </c>
    </row>
    <row r="1215" ht="22" customHeight="1">
      <c r="A1215" s="6" t="inlineStr">
        <is>
          <t>EMP-1211</t>
        </is>
      </c>
      <c r="B1215" s="5" t="n">
        <v>1014</v>
      </c>
      <c r="C1215" s="7" t="inlineStr">
        <is>
          <t>Nº 002094</t>
        </is>
      </c>
      <c r="D1215" s="8" t="inlineStr">
        <is>
          <t>ROUNDUP WG</t>
        </is>
      </c>
      <c r="E1215" s="7" t="inlineStr">
        <is>
          <t>3. Formulador</t>
        </is>
      </c>
      <c r="F1215" s="7" t="inlineStr">
        <is>
          <t>Roundup® WG (Granulação)</t>
        </is>
      </c>
      <c r="G1215" s="7" t="inlineStr">
        <is>
          <t>BAYER CROPSCIENCE LP</t>
        </is>
      </c>
      <c r="H1215" s="7" t="inlineStr">
        <is>
          <t>Muscatine Plant (IA)</t>
        </is>
      </c>
      <c r="I1215" s="7" t="inlineStr">
        <is>
          <t>EXT-USA-MUSCATINE</t>
        </is>
      </c>
      <c r="J1215" s="7" t="inlineStr">
        <is>
          <t>Isento Exterior</t>
        </is>
      </c>
      <c r="K1215" s="7" t="inlineStr">
        <is>
          <t>2.500 Wiggins Road - Muscatine, IA</t>
        </is>
      </c>
      <c r="L1215" s="7" t="inlineStr">
        <is>
          <t>Estados Unidos</t>
        </is>
      </c>
      <c r="M1215" s="7" t="inlineStr">
        <is>
          <t>1/2 - Importado</t>
        </is>
      </c>
    </row>
    <row r="1216" ht="22" customHeight="1">
      <c r="A1216" s="12" t="inlineStr">
        <is>
          <t>EMP-1212</t>
        </is>
      </c>
      <c r="B1216" s="11" t="n">
        <v>1014</v>
      </c>
      <c r="C1216" s="13" t="inlineStr">
        <is>
          <t>Nº 002094</t>
        </is>
      </c>
      <c r="D1216" s="14" t="inlineStr">
        <is>
          <t>ROUNDUP WG</t>
        </is>
      </c>
      <c r="E1216" s="13" t="inlineStr">
        <is>
          <t>3. Formulador</t>
        </is>
      </c>
      <c r="F1216" s="13" t="inlineStr">
        <is>
          <t>Roundup® WG (Granulação)</t>
        </is>
      </c>
      <c r="G1216" s="13" t="inlineStr">
        <is>
          <t>AGRO BAYER S.R.L.</t>
        </is>
      </c>
      <c r="H1216" s="13" t="inlineStr">
        <is>
          <t>Zárate Plant</t>
        </is>
      </c>
      <c r="I1216" s="13" t="inlineStr">
        <is>
          <t>EXT-ARG-ZARATE</t>
        </is>
      </c>
      <c r="J1216" s="13" t="inlineStr">
        <is>
          <t>Isento Exterior</t>
        </is>
      </c>
      <c r="K1216" s="13" t="inlineStr">
        <is>
          <t>Ruta Provincial 6, km 83,1 - Zárate</t>
        </is>
      </c>
      <c r="L1216" s="13" t="inlineStr">
        <is>
          <t>Argentina</t>
        </is>
      </c>
      <c r="M1216" s="13" t="inlineStr">
        <is>
          <t>1/2 - Importado</t>
        </is>
      </c>
    </row>
    <row r="1217" ht="22" customHeight="1">
      <c r="A1217" s="6" t="inlineStr">
        <is>
          <t>EMP-1213</t>
        </is>
      </c>
      <c r="B1217" s="5" t="n">
        <v>1014</v>
      </c>
      <c r="C1217" s="7" t="inlineStr">
        <is>
          <t>Nº 002094</t>
        </is>
      </c>
      <c r="D1217" s="8" t="inlineStr">
        <is>
          <t>ROUNDUP WG</t>
        </is>
      </c>
      <c r="E1217" s="7" t="inlineStr">
        <is>
          <t>3. Formulador</t>
        </is>
      </c>
      <c r="F1217" s="7" t="inlineStr">
        <is>
          <t>Roundup® WG (Granulação)</t>
        </is>
      </c>
      <c r="G1217" s="7" t="inlineStr">
        <is>
          <t>IQL AGRO INDÚSTRIA LTDA.</t>
        </is>
      </c>
      <c r="H1217" s="7" t="inlineStr">
        <is>
          <t>Planta Roseira/SP</t>
        </is>
      </c>
      <c r="I1217" s="7" t="inlineStr">
        <is>
          <t>TERC-BR-IQL</t>
        </is>
      </c>
      <c r="J1217" s="7" t="inlineStr">
        <is>
          <t>CDA/SP Vigente</t>
        </is>
      </c>
      <c r="K1217" s="7" t="inlineStr">
        <is>
          <t>Rua 01 esq. Rua 06, Lot. Ind. Nova Roseira - Roseira/SP</t>
        </is>
      </c>
      <c r="L1217" s="7" t="inlineStr">
        <is>
          <t>Brasil</t>
        </is>
      </c>
      <c r="M1217" s="7" t="inlineStr">
        <is>
          <t>0/3/5 - Nacional</t>
        </is>
      </c>
    </row>
    <row r="1218" ht="22" customHeight="1">
      <c r="A1218" s="12" t="inlineStr">
        <is>
          <t>EMP-1214</t>
        </is>
      </c>
      <c r="B1218" s="11" t="n">
        <v>1014</v>
      </c>
      <c r="C1218" s="13" t="inlineStr">
        <is>
          <t>Nº 002094</t>
        </is>
      </c>
      <c r="D1218" s="14" t="inlineStr">
        <is>
          <t>ROUNDUP WG</t>
        </is>
      </c>
      <c r="E1218" s="13" t="inlineStr">
        <is>
          <t>4. Importador</t>
        </is>
      </c>
      <c r="F1218" s="13" t="inlineStr">
        <is>
          <t>Roundup® WG</t>
        </is>
      </c>
      <c r="G1218" s="13" t="inlineStr">
        <is>
          <t>MONSANTO DO BRASIL LTDA.</t>
        </is>
      </c>
      <c r="H1218" s="13" t="inlineStr">
        <is>
          <t>Matriz São Paulo</t>
        </is>
      </c>
      <c r="I1218" s="13" t="inlineStr">
        <is>
          <t>64.858.525/0001-45</t>
        </is>
      </c>
      <c r="J1218" s="13" t="inlineStr">
        <is>
          <t>CDA/SP nº 426</t>
        </is>
      </c>
      <c r="K1218" s="13" t="inlineStr">
        <is>
          <t>Rua Domingos Jorge, 1.100 - São Paulo/SP</t>
        </is>
      </c>
      <c r="L1218" s="13" t="inlineStr">
        <is>
          <t>Brasil</t>
        </is>
      </c>
      <c r="M1218" s="13" t="inlineStr">
        <is>
          <t>1 - Importação Direta</t>
        </is>
      </c>
    </row>
    <row r="1219" ht="22" customHeight="1">
      <c r="A1219" s="6" t="inlineStr">
        <is>
          <t>EMP-1215</t>
        </is>
      </c>
      <c r="B1219" s="5" t="n">
        <v>1014</v>
      </c>
      <c r="C1219" s="7" t="inlineStr">
        <is>
          <t>Nº 002094</t>
        </is>
      </c>
      <c r="D1219" s="8" t="inlineStr">
        <is>
          <t>ROUNDUP WG</t>
        </is>
      </c>
      <c r="E1219" s="7" t="inlineStr">
        <is>
          <t>4. Importador</t>
        </is>
      </c>
      <c r="F1219" s="7" t="inlineStr">
        <is>
          <t>Roundup® WG</t>
        </is>
      </c>
      <c r="G1219" s="7" t="inlineStr">
        <is>
          <t>MONSANTO DO BRASIL LTDA.</t>
        </is>
      </c>
      <c r="H1219" s="7" t="inlineStr">
        <is>
          <t>Filial São José dos Campos</t>
        </is>
      </c>
      <c r="I1219" s="7" t="inlineStr">
        <is>
          <t>64.858.525/0002-26</t>
        </is>
      </c>
      <c r="J1219" s="7" t="inlineStr">
        <is>
          <t>CDA/SP nº 525</t>
        </is>
      </c>
      <c r="K1219" s="7" t="inlineStr">
        <is>
          <t>Av. Carlos Marcondes, 1.200 - SJC/SP</t>
        </is>
      </c>
      <c r="L1219" s="7" t="inlineStr">
        <is>
          <t>Brasil</t>
        </is>
      </c>
      <c r="M1219" s="7" t="inlineStr">
        <is>
          <t>1 - Importação Direta</t>
        </is>
      </c>
    </row>
    <row r="1220" ht="22" customHeight="1">
      <c r="A1220" s="12" t="inlineStr">
        <is>
          <t>EMP-1216</t>
        </is>
      </c>
      <c r="B1220" s="11" t="n">
        <v>1014</v>
      </c>
      <c r="C1220" s="13" t="inlineStr">
        <is>
          <t>Nº 002094</t>
        </is>
      </c>
      <c r="D1220" s="14" t="inlineStr">
        <is>
          <t>ROUNDUP WG</t>
        </is>
      </c>
      <c r="E1220" s="13" t="inlineStr">
        <is>
          <t>5. Manipulador</t>
        </is>
      </c>
      <c r="F1220" s="13" t="inlineStr">
        <is>
          <t>Roundup® WG</t>
        </is>
      </c>
      <c r="G1220" s="13" t="inlineStr">
        <is>
          <t>OURO FINO QUÍMICA S.A.</t>
        </is>
      </c>
      <c r="H1220" s="13" t="inlineStr">
        <is>
          <t>Planta Uberaba/MG</t>
        </is>
      </c>
      <c r="I1220" s="13" t="inlineStr">
        <is>
          <t>09.100.671/0001-07</t>
        </is>
      </c>
      <c r="J1220" s="13" t="inlineStr">
        <is>
          <t>IMA/MG nº 8.764</t>
        </is>
      </c>
      <c r="K1220" s="13" t="inlineStr">
        <is>
          <t>Av. Filomena Cartafina, 22335, Q.14 L.5 - Uberaba/MG</t>
        </is>
      </c>
      <c r="L1220" s="13" t="inlineStr">
        <is>
          <t>Brasil</t>
        </is>
      </c>
      <c r="M1220" s="13" t="inlineStr">
        <is>
          <t>0/3/5 - Nacional</t>
        </is>
      </c>
    </row>
  </sheetData>
  <mergeCells count="2"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7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5" customWidth="1" min="3" max="3"/>
    <col width="50" customWidth="1" min="4" max="4"/>
    <col width="46" customWidth="1" min="5" max="5"/>
    <col width="50" customWidth="1" min="6" max="6"/>
    <col width="14" customWidth="1" min="7" max="7"/>
    <col width="23" customWidth="1" min="8" max="8"/>
    <col width="29" customWidth="1" min="9" max="9"/>
    <col width="19" customWidth="1" min="10" max="10"/>
    <col width="50" customWidth="1" min="11" max="11"/>
    <col width="50" customWidth="1" min="12" max="12"/>
    <col width="32" customWidth="1" min="13" max="13"/>
    <col width="33" customWidth="1" min="14" max="14"/>
    <col width="32" customWidth="1" min="15" max="15"/>
    <col width="36" customWidth="1" min="16" max="16"/>
    <col width="33" customWidth="1" min="17" max="17"/>
    <col width="50" customWidth="1" min="18" max="18"/>
  </cols>
  <sheetData>
    <row r="1" ht="30" customHeight="1">
      <c r="A1" s="1" t="inlineStr">
        <is>
          <t>5. EMBALAGENS COMERCIAIS, FAIXAS TIPI/NCM, LOGÍSTICA REVERSA E TRIBUTAÇÃO EM LINHAS — [BASE OFICIAL SANEADA E CORRIGIDA CONFORME BULAS MAPA / ANVISA / SIPEAGRO]</t>
        </is>
      </c>
    </row>
    <row r="2" ht="20" customHeight="1">
      <c r="A2" s="2" t="inlineStr">
        <is>
          <t>Elimina as colunas 'NCM Faixa 1 a 4' ao posicionar cada embalagem comercial e cada variação de faixa da TIPI em linhas individuais com lavabilidade inpEV e tributação. | Total de Registros: 1372</t>
        </is>
      </c>
    </row>
    <row r="3" ht="8" customHeight="1"/>
    <row r="4" ht="26" customHeight="1">
      <c r="A4" s="3" t="inlineStr">
        <is>
          <t>ID SKU / Faixa</t>
        </is>
      </c>
      <c r="B4" s="3" t="inlineStr">
        <is>
          <t>ID Produto Base</t>
        </is>
      </c>
      <c r="C4" s="3" t="inlineStr">
        <is>
          <t>Nº Registro MAPA</t>
        </is>
      </c>
      <c r="D4" s="4" t="inlineStr">
        <is>
          <t>Marca Comercial</t>
        </is>
      </c>
      <c r="E4" s="4" t="inlineStr">
        <is>
          <t>Categoria / Faixa TIPI</t>
        </is>
      </c>
      <c r="F4" s="4" t="inlineStr">
        <is>
          <t>Embalagem / Apresentação Comercial</t>
        </is>
      </c>
      <c r="G4" s="4" t="inlineStr">
        <is>
          <t>Unid.</t>
        </is>
      </c>
      <c r="H4" s="4" t="inlineStr">
        <is>
          <t>Capacidade Unitária</t>
        </is>
      </c>
      <c r="I4" s="4" t="inlineStr">
        <is>
          <t>NCM Aplicável (8 Dígitos)</t>
        </is>
      </c>
      <c r="J4" s="4" t="inlineStr">
        <is>
          <t>Nota Subpos. 2?</t>
        </is>
      </c>
      <c r="K4" s="4" t="inlineStr">
        <is>
          <t>Classificação de Lavabilidade (inpEV)</t>
        </is>
      </c>
      <c r="L4" s="4" t="inlineStr">
        <is>
          <t>Exige Saco Transparente ABNT?</t>
        </is>
      </c>
      <c r="M4" s="4" t="inlineStr">
        <is>
          <t>Alíq. PIS/COFINS Até Mar/26</t>
        </is>
      </c>
      <c r="N4" s="4" t="inlineStr">
        <is>
          <t>Alíq. Pós-Abr/26 (Lucro Real)</t>
        </is>
      </c>
      <c r="O4" s="4" t="inlineStr">
        <is>
          <t>Alíq. Pós-Abr/26 (Presumido)</t>
        </is>
      </c>
      <c r="P4" s="4" t="inlineStr">
        <is>
          <t>CST Saída</t>
        </is>
      </c>
      <c r="Q4" s="4" t="inlineStr">
        <is>
          <t>CST Entrada Revenda</t>
        </is>
      </c>
      <c r="R4" s="4" t="inlineStr">
        <is>
          <t>Reforma Tributária IBS/CBS 2027</t>
        </is>
      </c>
    </row>
    <row r="5" ht="22" customHeight="1">
      <c r="A5" s="6" t="inlineStr">
        <is>
          <t>SKU-0001</t>
        </is>
      </c>
      <c r="B5" s="5" t="n">
        <v>1014</v>
      </c>
      <c r="C5" s="7" t="inlineStr">
        <is>
          <t>Nº 002094</t>
        </is>
      </c>
      <c r="D5" s="8" t="inlineStr">
        <is>
          <t>ROUNDUP WG</t>
        </is>
      </c>
      <c r="E5" s="7" t="inlineStr">
        <is>
          <t>Embalagem Comercial do Produto</t>
        </is>
      </c>
      <c r="F5" s="7" t="inlineStr">
        <is>
          <t>SACO 20 KG (Embalagem Flexível)</t>
        </is>
      </c>
      <c r="G5" s="7" t="inlineStr">
        <is>
          <t>KG</t>
        </is>
      </c>
      <c r="H5" s="9" t="n">
        <v>20</v>
      </c>
      <c r="I5" s="7" t="inlineStr">
        <is>
          <t>3808.93.24</t>
        </is>
      </c>
      <c r="J5" s="7" t="inlineStr">
        <is>
          <t>NÃO</t>
        </is>
      </c>
      <c r="K5" s="7" t="inlineStr">
        <is>
          <t>Embalagem Flexível — NÃO LAVÁVEL (Perfurar e usar saco ABNT)</t>
        </is>
      </c>
      <c r="L5" s="7" t="inlineStr">
        <is>
          <t>SIM (Saco Transparente ABNT)</t>
        </is>
      </c>
      <c r="M5" s="7" t="inlineStr">
        <is>
          <t>0,00% (Lei nº 10.925/2004)</t>
        </is>
      </c>
      <c r="N5" s="7" t="inlineStr">
        <is>
          <t>0,925% (LC nº 224/2025)</t>
        </is>
      </c>
      <c r="O5" s="7" t="inlineStr">
        <is>
          <t>0,365% (LC nº 224/2025)</t>
        </is>
      </c>
      <c r="P5" s="7" t="inlineStr">
        <is>
          <t>CST 06</t>
        </is>
      </c>
      <c r="Q5" s="7" t="inlineStr">
        <is>
          <t>CST 73</t>
        </is>
      </c>
      <c r="R5" s="7" t="inlineStr">
        <is>
          <t>Redução de 60% + Diferimento (Art. 138 e Anexo IX LC 214/2025)</t>
        </is>
      </c>
    </row>
    <row r="6" ht="22" customHeight="1">
      <c r="A6" s="12" t="inlineStr">
        <is>
          <t>SKU-0002</t>
        </is>
      </c>
      <c r="B6" s="11" t="n">
        <v>1014</v>
      </c>
      <c r="C6" s="13" t="inlineStr">
        <is>
          <t>Nº 002094</t>
        </is>
      </c>
      <c r="D6" s="14" t="inlineStr">
        <is>
          <t>ROUNDUP WG</t>
        </is>
      </c>
      <c r="E6" s="13" t="inlineStr">
        <is>
          <t>Faixa 1 TIPI (Apresentação &lt;= 300 g ou mL)</t>
        </is>
      </c>
      <c r="F6" s="13" t="inlineStr">
        <is>
          <t>Fracionado / Amostra &lt;= 0,3 KG</t>
        </is>
      </c>
      <c r="G6" s="13" t="inlineStr">
        <is>
          <t>KG</t>
        </is>
      </c>
      <c r="H6" s="18" t="n">
        <v>0.3</v>
      </c>
      <c r="I6" s="13" t="inlineStr">
        <is>
          <t>3808.93.21</t>
        </is>
      </c>
      <c r="J6" s="13" t="inlineStr">
        <is>
          <t>NÃO</t>
        </is>
      </c>
      <c r="K6" s="13" t="inlineStr">
        <is>
          <t>Embalagem Flexível — NÃO LAVÁVEL (Perfurar e usar saco ABNT)</t>
        </is>
      </c>
      <c r="L6" s="13" t="inlineStr">
        <is>
          <t>SIM (Saco Transparente ABNT)</t>
        </is>
      </c>
      <c r="M6" s="13" t="inlineStr">
        <is>
          <t>0,00% (Lei nº 10.925/2004)</t>
        </is>
      </c>
      <c r="N6" s="13" t="inlineStr">
        <is>
          <t>0,925% (LC nº 224/2025)</t>
        </is>
      </c>
      <c r="O6" s="13" t="inlineStr">
        <is>
          <t>0,365% (LC nº 224/2025)</t>
        </is>
      </c>
      <c r="P6" s="13" t="inlineStr">
        <is>
          <t>CST 06</t>
        </is>
      </c>
      <c r="Q6" s="13" t="inlineStr">
        <is>
          <t>CST 73</t>
        </is>
      </c>
      <c r="R6" s="13" t="inlineStr">
        <is>
          <t>Redução de 60% + Diferimento (Art. 138 e Anexo IX LC 214/2025)</t>
        </is>
      </c>
    </row>
    <row r="7" ht="22" customHeight="1">
      <c r="A7" s="6" t="inlineStr">
        <is>
          <t>SKU-0003</t>
        </is>
      </c>
      <c r="B7" s="5" t="n">
        <v>1</v>
      </c>
      <c r="C7" s="7" t="inlineStr">
        <is>
          <t>Nº 0315</t>
        </is>
      </c>
      <c r="D7" s="8" t="inlineStr">
        <is>
          <t>2-4 D AGCN</t>
        </is>
      </c>
      <c r="E7" s="7" t="inlineStr">
        <is>
          <t>Embalagem Comercial do Produto</t>
        </is>
      </c>
      <c r="F7" s="7" t="inlineStr">
        <is>
          <t>1X20L (20 L)</t>
        </is>
      </c>
      <c r="G7" s="7" t="inlineStr">
        <is>
          <t>L</t>
        </is>
      </c>
      <c r="H7" s="9" t="n">
        <v>20</v>
      </c>
      <c r="I7" s="7" t="inlineStr">
        <is>
          <t>3808.93.22</t>
        </is>
      </c>
      <c r="J7" s="7" t="inlineStr">
        <is>
          <t>NÃO</t>
        </is>
      </c>
      <c r="K7" s="7" t="inlineStr">
        <is>
          <t>Embalagem Rígida — LAVÁVEL (Obrigatória Tríplice Lavagem ou Pressão)</t>
        </is>
      </c>
      <c r="L7" s="7" t="inlineStr">
        <is>
          <t>NÃO</t>
        </is>
      </c>
      <c r="M7" s="7" t="inlineStr">
        <is>
          <t>0,00% (Lei nº 10.925/2004)</t>
        </is>
      </c>
      <c r="N7" s="7" t="inlineStr">
        <is>
          <t>0,925% (LC nº 224/2025)</t>
        </is>
      </c>
      <c r="O7" s="7" t="inlineStr">
        <is>
          <t>0,365% (LC nº 224/2025)</t>
        </is>
      </c>
      <c r="P7" s="7" t="inlineStr">
        <is>
          <t>CST 06</t>
        </is>
      </c>
      <c r="Q7" s="7" t="inlineStr">
        <is>
          <t>CST 73</t>
        </is>
      </c>
      <c r="R7" s="7" t="inlineStr">
        <is>
          <t>Redução de 60% + Diferimento (Art. 138 e Anexo IX LC 214/2025)</t>
        </is>
      </c>
    </row>
    <row r="8" ht="22" customHeight="1">
      <c r="A8" s="12" t="inlineStr">
        <is>
          <t>SKU-0004</t>
        </is>
      </c>
      <c r="B8" s="11" t="n">
        <v>2</v>
      </c>
      <c r="C8" s="13" t="inlineStr">
        <is>
          <t>Nº 0315</t>
        </is>
      </c>
      <c r="D8" s="14" t="inlineStr">
        <is>
          <t>AGCN 2,4-D</t>
        </is>
      </c>
      <c r="E8" s="13" t="inlineStr">
        <is>
          <t>Embalagem Comercial do Produto</t>
        </is>
      </c>
      <c r="F8" s="13" t="inlineStr">
        <is>
          <t>4X5L (5 L)</t>
        </is>
      </c>
      <c r="G8" s="13" t="inlineStr">
        <is>
          <t>L</t>
        </is>
      </c>
      <c r="H8" s="15" t="n">
        <v>5</v>
      </c>
      <c r="I8" s="13" t="inlineStr">
        <is>
          <t>3808.93.22</t>
        </is>
      </c>
      <c r="J8" s="13" t="inlineStr">
        <is>
          <t>NÃO</t>
        </is>
      </c>
      <c r="K8" s="13" t="inlineStr">
        <is>
          <t>Embalagem Rígida — LAVÁVEL (Obrigatória Tríplice Lavagem ou Pressão)</t>
        </is>
      </c>
      <c r="L8" s="13" t="inlineStr">
        <is>
          <t>NÃO</t>
        </is>
      </c>
      <c r="M8" s="13" t="inlineStr">
        <is>
          <t>0,00% (Lei nº 10.925/2004)</t>
        </is>
      </c>
      <c r="N8" s="13" t="inlineStr">
        <is>
          <t>0,925% (LC nº 224/2025)</t>
        </is>
      </c>
      <c r="O8" s="13" t="inlineStr">
        <is>
          <t>0,365% (LC nº 224/2025)</t>
        </is>
      </c>
      <c r="P8" s="13" t="inlineStr">
        <is>
          <t>CST 06</t>
        </is>
      </c>
      <c r="Q8" s="13" t="inlineStr">
        <is>
          <t>CST 73</t>
        </is>
      </c>
      <c r="R8" s="13" t="inlineStr">
        <is>
          <t>Redução de 60% + Diferimento (Art. 138 e Anexo IX LC 214/2025)</t>
        </is>
      </c>
    </row>
    <row r="9" ht="22" customHeight="1">
      <c r="A9" s="6" t="inlineStr">
        <is>
          <t>SKU-0005</t>
        </is>
      </c>
      <c r="B9" s="5" t="n">
        <v>3</v>
      </c>
      <c r="C9" s="7" t="inlineStr">
        <is>
          <t>Nº 6908</t>
        </is>
      </c>
      <c r="D9" s="8" t="inlineStr">
        <is>
          <t>MIRANT</t>
        </is>
      </c>
      <c r="E9" s="7" t="inlineStr">
        <is>
          <t>Embalagem Comercial do Produto</t>
        </is>
      </c>
      <c r="F9" s="7" t="inlineStr">
        <is>
          <t>1X20L (20 L)</t>
        </is>
      </c>
      <c r="G9" s="7" t="inlineStr">
        <is>
          <t>L</t>
        </is>
      </c>
      <c r="H9" s="9" t="n">
        <v>20</v>
      </c>
      <c r="I9" s="7" t="inlineStr">
        <is>
          <t>3808.93.22</t>
        </is>
      </c>
      <c r="J9" s="7" t="inlineStr">
        <is>
          <t>NÃO</t>
        </is>
      </c>
      <c r="K9" s="7" t="inlineStr">
        <is>
          <t>Embalagem Rígida — LAVÁVEL (Obrigatória Tríplice Lavagem ou Pressão)</t>
        </is>
      </c>
      <c r="L9" s="7" t="inlineStr">
        <is>
          <t>NÃO</t>
        </is>
      </c>
      <c r="M9" s="7" t="inlineStr">
        <is>
          <t>0,00% (Lei nº 10.925/2004)</t>
        </is>
      </c>
      <c r="N9" s="7" t="inlineStr">
        <is>
          <t>0,925% (LC nº 224/2025)</t>
        </is>
      </c>
      <c r="O9" s="7" t="inlineStr">
        <is>
          <t>0,365% (LC nº 224/2025)</t>
        </is>
      </c>
      <c r="P9" s="7" t="inlineStr">
        <is>
          <t>CST 06</t>
        </is>
      </c>
      <c r="Q9" s="7" t="inlineStr">
        <is>
          <t>CST 73</t>
        </is>
      </c>
      <c r="R9" s="7" t="inlineStr">
        <is>
          <t>Redução de 60% + Diferimento (Art. 138 e Anexo IX LC 214/2025)</t>
        </is>
      </c>
    </row>
    <row r="10" ht="22" customHeight="1">
      <c r="A10" s="12" t="inlineStr">
        <is>
          <t>SKU-0006</t>
        </is>
      </c>
      <c r="B10" s="11" t="n">
        <v>4</v>
      </c>
      <c r="C10" s="13" t="inlineStr">
        <is>
          <t>Nº 2704</t>
        </is>
      </c>
      <c r="D10" s="14" t="inlineStr">
        <is>
          <t>U 46 PRIME</t>
        </is>
      </c>
      <c r="E10" s="13" t="inlineStr">
        <is>
          <t>Embalagem Comercial do Produto</t>
        </is>
      </c>
      <c r="F10" s="13" t="inlineStr">
        <is>
          <t>1X20L (20 L)</t>
        </is>
      </c>
      <c r="G10" s="13" t="inlineStr">
        <is>
          <t>L</t>
        </is>
      </c>
      <c r="H10" s="15" t="n">
        <v>20</v>
      </c>
      <c r="I10" s="13" t="inlineStr">
        <is>
          <t>3808.93.22</t>
        </is>
      </c>
      <c r="J10" s="13" t="inlineStr">
        <is>
          <t>NÃO</t>
        </is>
      </c>
      <c r="K10" s="13" t="inlineStr">
        <is>
          <t>Embalagem Rígida — LAVÁVEL (Obrigatória Tríplice Lavagem ou Pressão)</t>
        </is>
      </c>
      <c r="L10" s="13" t="inlineStr">
        <is>
          <t>NÃO</t>
        </is>
      </c>
      <c r="M10" s="13" t="inlineStr">
        <is>
          <t>0,00% (Lei nº 10.925/2004)</t>
        </is>
      </c>
      <c r="N10" s="13" t="inlineStr">
        <is>
          <t>0,925% (LC nº 224/2025)</t>
        </is>
      </c>
      <c r="O10" s="13" t="inlineStr">
        <is>
          <t>0,365% (LC nº 224/2025)</t>
        </is>
      </c>
      <c r="P10" s="13" t="inlineStr">
        <is>
          <t>CST 06</t>
        </is>
      </c>
      <c r="Q10" s="13" t="inlineStr">
        <is>
          <t>CST 73</t>
        </is>
      </c>
      <c r="R10" s="13" t="inlineStr">
        <is>
          <t>Redução de 60% + Diferimento (Art. 138 e Anexo IX LC 214/2025)</t>
        </is>
      </c>
    </row>
    <row r="11" ht="22" customHeight="1">
      <c r="A11" s="6" t="inlineStr">
        <is>
          <t>SKU-0007</t>
        </is>
      </c>
      <c r="B11" s="5" t="n">
        <v>5</v>
      </c>
      <c r="C11" s="7" t="inlineStr">
        <is>
          <t>Nº 19917</t>
        </is>
      </c>
      <c r="D11" s="8" t="inlineStr">
        <is>
          <t>ABADIN 72 EC</t>
        </is>
      </c>
      <c r="E11" s="7" t="inlineStr">
        <is>
          <t>Embalagem Comercial do Produto</t>
        </is>
      </c>
      <c r="F11" s="7" t="inlineStr">
        <is>
          <t>4X5L (5 L)</t>
        </is>
      </c>
      <c r="G11" s="7" t="inlineStr">
        <is>
          <t>L</t>
        </is>
      </c>
      <c r="H11" s="9" t="n">
        <v>5</v>
      </c>
      <c r="I11" s="7" t="inlineStr">
        <is>
          <t>3808.91.99</t>
        </is>
      </c>
      <c r="J11" s="7" t="inlineStr">
        <is>
          <t>NÃO</t>
        </is>
      </c>
      <c r="K11" s="7" t="inlineStr">
        <is>
          <t>Embalagem Rígida — LAVÁVEL (Obrigatória Tríplice Lavagem ou Pressão)</t>
        </is>
      </c>
      <c r="L11" s="7" t="inlineStr">
        <is>
          <t>NÃO</t>
        </is>
      </c>
      <c r="M11" s="7" t="inlineStr">
        <is>
          <t>0,00% (Lei nº 10.925/2004)</t>
        </is>
      </c>
      <c r="N11" s="7" t="inlineStr">
        <is>
          <t>0,925% (LC nº 224/2025)</t>
        </is>
      </c>
      <c r="O11" s="7" t="inlineStr">
        <is>
          <t>0,365% (LC nº 224/2025)</t>
        </is>
      </c>
      <c r="P11" s="7" t="inlineStr">
        <is>
          <t>CST 06</t>
        </is>
      </c>
      <c r="Q11" s="7" t="inlineStr">
        <is>
          <t>CST 73</t>
        </is>
      </c>
      <c r="R11" s="7" t="inlineStr">
        <is>
          <t>Redução de 60% + Diferimento (Art. 138 e Anexo IX LC 214/2025)</t>
        </is>
      </c>
    </row>
    <row r="12" ht="22" customHeight="1">
      <c r="A12" s="12" t="inlineStr">
        <is>
          <t>SKU-0008</t>
        </is>
      </c>
      <c r="B12" s="11" t="n">
        <v>6</v>
      </c>
      <c r="C12" s="13" t="inlineStr">
        <is>
          <t>Nº 1378704</t>
        </is>
      </c>
      <c r="D12" s="14" t="inlineStr">
        <is>
          <t>ACEFATO 750</t>
        </is>
      </c>
      <c r="E12" s="13" t="inlineStr">
        <is>
          <t>Embalagem Comercial do Produto</t>
        </is>
      </c>
      <c r="F12" s="13" t="inlineStr">
        <is>
          <t>2X5KG (5 KG)</t>
        </is>
      </c>
      <c r="G12" s="13" t="inlineStr">
        <is>
          <t>KG</t>
        </is>
      </c>
      <c r="H12" s="15" t="n">
        <v>5</v>
      </c>
      <c r="I12" s="13" t="inlineStr">
        <is>
          <t>3808.91.91</t>
        </is>
      </c>
      <c r="J12" s="13" t="inlineStr">
        <is>
          <t>NÃO</t>
        </is>
      </c>
      <c r="K12" s="13" t="inlineStr">
        <is>
          <t>Embalagem Flexível — NÃO LAVÁVEL (Perfurar e usar saco ABNT)</t>
        </is>
      </c>
      <c r="L12" s="13" t="inlineStr">
        <is>
          <t>SIM (Saco Transparente ABNT)</t>
        </is>
      </c>
      <c r="M12" s="13" t="inlineStr">
        <is>
          <t>0,00% (Lei nº 10.925/2004)</t>
        </is>
      </c>
      <c r="N12" s="13" t="inlineStr">
        <is>
          <t>0,925% (LC nº 224/2025)</t>
        </is>
      </c>
      <c r="O12" s="13" t="inlineStr">
        <is>
          <t>0,365% (LC nº 224/2025)</t>
        </is>
      </c>
      <c r="P12" s="13" t="inlineStr">
        <is>
          <t>CST 06</t>
        </is>
      </c>
      <c r="Q12" s="13" t="inlineStr">
        <is>
          <t>CST 73</t>
        </is>
      </c>
      <c r="R12" s="13" t="inlineStr">
        <is>
          <t>Redução de 60% + Diferimento (Art. 138 e Anexo IX LC 214/2025)</t>
        </is>
      </c>
    </row>
    <row r="13" ht="22" customHeight="1">
      <c r="A13" s="6" t="inlineStr">
        <is>
          <t>SKU-0009</t>
        </is>
      </c>
      <c r="B13" s="5" t="n">
        <v>7</v>
      </c>
      <c r="C13" s="7" t="inlineStr">
        <is>
          <t>Nº 458294</t>
        </is>
      </c>
      <c r="D13" s="8" t="inlineStr">
        <is>
          <t>ACEFATO FERSOL 750</t>
        </is>
      </c>
      <c r="E13" s="7" t="inlineStr">
        <is>
          <t>Embalagem Comercial do Produto</t>
        </is>
      </c>
      <c r="F13" s="7" t="inlineStr">
        <is>
          <t>4X5KG (5 KG)</t>
        </is>
      </c>
      <c r="G13" s="7" t="inlineStr">
        <is>
          <t>KG</t>
        </is>
      </c>
      <c r="H13" s="9" t="n">
        <v>5</v>
      </c>
      <c r="I13" s="7" t="inlineStr">
        <is>
          <t>3808.91.91</t>
        </is>
      </c>
      <c r="J13" s="7" t="inlineStr">
        <is>
          <t>NÃO</t>
        </is>
      </c>
      <c r="K13" s="7" t="inlineStr">
        <is>
          <t>Embalagem Flexível — NÃO LAVÁVEL (Perfurar e usar saco ABNT)</t>
        </is>
      </c>
      <c r="L13" s="7" t="inlineStr">
        <is>
          <t>SIM (Saco Transparente ABNT)</t>
        </is>
      </c>
      <c r="M13" s="7" t="inlineStr">
        <is>
          <t>0,00% (Lei nº 10.925/2004)</t>
        </is>
      </c>
      <c r="N13" s="7" t="inlineStr">
        <is>
          <t>0,925% (LC nº 224/2025)</t>
        </is>
      </c>
      <c r="O13" s="7" t="inlineStr">
        <is>
          <t>0,365% (LC nº 224/2025)</t>
        </is>
      </c>
      <c r="P13" s="7" t="inlineStr">
        <is>
          <t>CST 06</t>
        </is>
      </c>
      <c r="Q13" s="7" t="inlineStr">
        <is>
          <t>CST 73</t>
        </is>
      </c>
      <c r="R13" s="7" t="inlineStr">
        <is>
          <t>Redução de 60% + Diferimento (Art. 138 e Anexo IX LC 214/2025)</t>
        </is>
      </c>
    </row>
    <row r="14" ht="22" customHeight="1">
      <c r="A14" s="12" t="inlineStr">
        <is>
          <t>SKU-0010</t>
        </is>
      </c>
      <c r="B14" s="11" t="n">
        <v>8</v>
      </c>
      <c r="C14" s="13" t="inlineStr">
        <is>
          <t>Nº 20817</t>
        </is>
      </c>
      <c r="D14" s="14" t="inlineStr">
        <is>
          <t>TRISHUL 750 SP</t>
        </is>
      </c>
      <c r="E14" s="13" t="inlineStr">
        <is>
          <t>Embalagem Comercial do Produto</t>
        </is>
      </c>
      <c r="F14" s="13" t="inlineStr">
        <is>
          <t>2X5KG (5 KG)</t>
        </is>
      </c>
      <c r="G14" s="13" t="inlineStr">
        <is>
          <t>KG</t>
        </is>
      </c>
      <c r="H14" s="15" t="n">
        <v>5</v>
      </c>
      <c r="I14" s="13" t="inlineStr">
        <is>
          <t>3808.91.91</t>
        </is>
      </c>
      <c r="J14" s="13" t="inlineStr">
        <is>
          <t>NÃO</t>
        </is>
      </c>
      <c r="K14" s="13" t="inlineStr">
        <is>
          <t>Embalagem Flexível — NÃO LAVÁVEL (Perfurar e usar saco ABNT)</t>
        </is>
      </c>
      <c r="L14" s="13" t="inlineStr">
        <is>
          <t>SIM (Saco Transparente ABNT)</t>
        </is>
      </c>
      <c r="M14" s="13" t="inlineStr">
        <is>
          <t>0,00% (Lei nº 10.925/2004)</t>
        </is>
      </c>
      <c r="N14" s="13" t="inlineStr">
        <is>
          <t>0,925% (LC nº 224/2025)</t>
        </is>
      </c>
      <c r="O14" s="13" t="inlineStr">
        <is>
          <t>0,365% (LC nº 224/2025)</t>
        </is>
      </c>
      <c r="P14" s="13" t="inlineStr">
        <is>
          <t>CST 06</t>
        </is>
      </c>
      <c r="Q14" s="13" t="inlineStr">
        <is>
          <t>CST 73</t>
        </is>
      </c>
      <c r="R14" s="13" t="inlineStr">
        <is>
          <t>Redução de 60% + Diferimento (Art. 138 e Anexo IX LC 214/2025)</t>
        </is>
      </c>
    </row>
    <row r="15" ht="22" customHeight="1">
      <c r="A15" s="6" t="inlineStr">
        <is>
          <t>SKU-0011</t>
        </is>
      </c>
      <c r="B15" s="5" t="n">
        <v>9</v>
      </c>
      <c r="C15" s="7" t="inlineStr">
        <is>
          <t>Nº 1378704</t>
        </is>
      </c>
      <c r="D15" s="8" t="inlineStr">
        <is>
          <t>CEFANOL</t>
        </is>
      </c>
      <c r="E15" s="7" t="inlineStr">
        <is>
          <t>Embalagem Comercial do Produto</t>
        </is>
      </c>
      <c r="F15" s="7" t="inlineStr">
        <is>
          <t>8X3KG (3 KG)</t>
        </is>
      </c>
      <c r="G15" s="7" t="inlineStr">
        <is>
          <t>KG</t>
        </is>
      </c>
      <c r="H15" s="9" t="n">
        <v>3</v>
      </c>
      <c r="I15" s="7" t="inlineStr">
        <is>
          <t>3808.91.91</t>
        </is>
      </c>
      <c r="J15" s="7" t="inlineStr">
        <is>
          <t>NÃO</t>
        </is>
      </c>
      <c r="K15" s="7" t="inlineStr">
        <is>
          <t>Embalagem Flexível — NÃO LAVÁVEL (Perfurar e usar saco ABNT)</t>
        </is>
      </c>
      <c r="L15" s="7" t="inlineStr">
        <is>
          <t>SIM (Saco Transparente ABNT)</t>
        </is>
      </c>
      <c r="M15" s="7" t="inlineStr">
        <is>
          <t>0,00% (Lei nº 10.925/2004)</t>
        </is>
      </c>
      <c r="N15" s="7" t="inlineStr">
        <is>
          <t>0,925% (LC nº 224/2025)</t>
        </is>
      </c>
      <c r="O15" s="7" t="inlineStr">
        <is>
          <t>0,365% (LC nº 224/2025)</t>
        </is>
      </c>
      <c r="P15" s="7" t="inlineStr">
        <is>
          <t>CST 06</t>
        </is>
      </c>
      <c r="Q15" s="7" t="inlineStr">
        <is>
          <t>CST 73</t>
        </is>
      </c>
      <c r="R15" s="7" t="inlineStr">
        <is>
          <t>Redução de 60% + Diferimento (Art. 138 e Anexo IX LC 214/2025)</t>
        </is>
      </c>
    </row>
    <row r="16" ht="22" customHeight="1">
      <c r="A16" s="12" t="inlineStr">
        <is>
          <t>SKU-0012</t>
        </is>
      </c>
      <c r="B16" s="11" t="n">
        <v>10</v>
      </c>
      <c r="C16" s="13" t="inlineStr">
        <is>
          <t>Nº 23121</t>
        </is>
      </c>
      <c r="D16" s="14" t="inlineStr">
        <is>
          <t>ASLAN SL</t>
        </is>
      </c>
      <c r="E16" s="13" t="inlineStr">
        <is>
          <t>Embalagem Comercial do Produto</t>
        </is>
      </c>
      <c r="F16" s="13" t="inlineStr">
        <is>
          <t>4X5L (5 L)</t>
        </is>
      </c>
      <c r="G16" s="13" t="inlineStr">
        <is>
          <t>L</t>
        </is>
      </c>
      <c r="H16" s="15" t="n">
        <v>5</v>
      </c>
      <c r="I16" s="13" t="inlineStr">
        <is>
          <t>3808.62.90</t>
        </is>
      </c>
      <c r="J16" s="13" t="inlineStr">
        <is>
          <t>SIM</t>
        </is>
      </c>
      <c r="K16" s="13" t="inlineStr">
        <is>
          <t>Embalagem Rígida — LAVÁVEL (Obrigatória Tríplice Lavagem ou Pressão)</t>
        </is>
      </c>
      <c r="L16" s="13" t="inlineStr">
        <is>
          <t>NÃO</t>
        </is>
      </c>
      <c r="M16" s="13" t="inlineStr">
        <is>
          <t>0,00% (Lei nº 10.925/2004)</t>
        </is>
      </c>
      <c r="N16" s="13" t="inlineStr">
        <is>
          <t>0,925% (LC nº 224/2025)</t>
        </is>
      </c>
      <c r="O16" s="13" t="inlineStr">
        <is>
          <t>0,365% (LC nº 224/2025)</t>
        </is>
      </c>
      <c r="P16" s="13" t="inlineStr">
        <is>
          <t>CST 06</t>
        </is>
      </c>
      <c r="Q16" s="13" t="inlineStr">
        <is>
          <t>CST 73</t>
        </is>
      </c>
      <c r="R16" s="13" t="inlineStr">
        <is>
          <t>Redução de 60% + Diferimento (Art. 138 e Anexo IX LC 214/2025)</t>
        </is>
      </c>
    </row>
    <row r="17" ht="22" customHeight="1">
      <c r="A17" s="6" t="inlineStr">
        <is>
          <t>SKU-0013</t>
        </is>
      </c>
      <c r="B17" s="5" t="n">
        <v>10</v>
      </c>
      <c r="C17" s="7" t="inlineStr">
        <is>
          <t>Nº 23121</t>
        </is>
      </c>
      <c r="D17" s="8" t="inlineStr">
        <is>
          <t>ASLAN SL</t>
        </is>
      </c>
      <c r="E17" s="7" t="inlineStr">
        <is>
          <t>Faixa 1 TIPI (Apresentação &lt;= 300 g ou mL)</t>
        </is>
      </c>
      <c r="F17" s="7" t="inlineStr">
        <is>
          <t>Fracionado / Amostra &lt;= 0,3 L</t>
        </is>
      </c>
      <c r="G17" s="7" t="inlineStr">
        <is>
          <t>L</t>
        </is>
      </c>
      <c r="H17" s="17" t="n">
        <v>0.3</v>
      </c>
      <c r="I17" s="7" t="inlineStr">
        <is>
          <t>3808.61.00</t>
        </is>
      </c>
      <c r="J17" s="7" t="inlineStr">
        <is>
          <t>SIM</t>
        </is>
      </c>
      <c r="K17" s="7" t="inlineStr">
        <is>
          <t>Embalagem Rígida — LAVÁVEL (Obrigatória Tríplice Lavagem ou Pressão)</t>
        </is>
      </c>
      <c r="L17" s="7" t="inlineStr">
        <is>
          <t>NÃO</t>
        </is>
      </c>
      <c r="M17" s="7" t="inlineStr">
        <is>
          <t>0,00% (Lei nº 10.925/2004)</t>
        </is>
      </c>
      <c r="N17" s="7" t="inlineStr">
        <is>
          <t>0,925% (LC nº 224/2025)</t>
        </is>
      </c>
      <c r="O17" s="7" t="inlineStr">
        <is>
          <t>0,365% (LC nº 224/2025)</t>
        </is>
      </c>
      <c r="P17" s="7" t="inlineStr">
        <is>
          <t>CST 06</t>
        </is>
      </c>
      <c r="Q17" s="7" t="inlineStr">
        <is>
          <t>CST 73</t>
        </is>
      </c>
      <c r="R17" s="7" t="inlineStr">
        <is>
          <t>Redução de 60% + Diferimento (Art. 138 e Anexo IX LC 214/2025)</t>
        </is>
      </c>
    </row>
    <row r="18" ht="22" customHeight="1">
      <c r="A18" s="12" t="inlineStr">
        <is>
          <t>SKU-0014</t>
        </is>
      </c>
      <c r="B18" s="11" t="n">
        <v>11</v>
      </c>
      <c r="C18" s="13" t="inlineStr">
        <is>
          <t>Nº 26718</t>
        </is>
      </c>
      <c r="D18" s="14" t="inlineStr">
        <is>
          <t>DINKY</t>
        </is>
      </c>
      <c r="E18" s="13" t="inlineStr">
        <is>
          <t>Embalagem Comercial do Produto</t>
        </is>
      </c>
      <c r="F18" s="13" t="inlineStr">
        <is>
          <t>4X5KG (5 KG)</t>
        </is>
      </c>
      <c r="G18" s="13" t="inlineStr">
        <is>
          <t>KG</t>
        </is>
      </c>
      <c r="H18" s="15" t="n">
        <v>5</v>
      </c>
      <c r="I18" s="13" t="inlineStr">
        <is>
          <t>3808.91.99</t>
        </is>
      </c>
      <c r="J18" s="13" t="inlineStr">
        <is>
          <t>NÃO</t>
        </is>
      </c>
      <c r="K18" s="13" t="inlineStr">
        <is>
          <t>Embalagem Flexível — NÃO LAVÁVEL (Perfurar e usar saco ABNT)</t>
        </is>
      </c>
      <c r="L18" s="13" t="inlineStr">
        <is>
          <t>SIM (Saco Transparente ABNT)</t>
        </is>
      </c>
      <c r="M18" s="13" t="inlineStr">
        <is>
          <t>0,00% (Lei nº 10.925/2004)</t>
        </is>
      </c>
      <c r="N18" s="13" t="inlineStr">
        <is>
          <t>0,925% (LC nº 224/2025)</t>
        </is>
      </c>
      <c r="O18" s="13" t="inlineStr">
        <is>
          <t>0,365% (LC nº 224/2025)</t>
        </is>
      </c>
      <c r="P18" s="13" t="inlineStr">
        <is>
          <t>CST 06</t>
        </is>
      </c>
      <c r="Q18" s="13" t="inlineStr">
        <is>
          <t>CST 73</t>
        </is>
      </c>
      <c r="R18" s="13" t="inlineStr">
        <is>
          <t>Redução de 60% + Diferimento (Art. 138 e Anexo IX LC 214/2025)</t>
        </is>
      </c>
    </row>
    <row r="19" ht="22" customHeight="1">
      <c r="A19" s="6" t="inlineStr">
        <is>
          <t>SKU-0015</t>
        </is>
      </c>
      <c r="B19" s="5" t="n">
        <v>12</v>
      </c>
      <c r="C19" s="7" t="inlineStr">
        <is>
          <t>Nº 11018</t>
        </is>
      </c>
      <c r="D19" s="8" t="inlineStr">
        <is>
          <t>JAVA 200 SP</t>
        </is>
      </c>
      <c r="E19" s="7" t="inlineStr">
        <is>
          <t>Embalagem Comercial do Produto</t>
        </is>
      </c>
      <c r="F19" s="7" t="inlineStr">
        <is>
          <t>4X5KG (5 KG)</t>
        </is>
      </c>
      <c r="G19" s="7" t="inlineStr">
        <is>
          <t>KG</t>
        </is>
      </c>
      <c r="H19" s="9" t="n">
        <v>5</v>
      </c>
      <c r="I19" s="7" t="inlineStr">
        <is>
          <t>3808.91.99</t>
        </is>
      </c>
      <c r="J19" s="7" t="inlineStr">
        <is>
          <t>NÃO</t>
        </is>
      </c>
      <c r="K19" s="7" t="inlineStr">
        <is>
          <t>Embalagem Flexível — NÃO LAVÁVEL (Perfurar e usar saco ABNT)</t>
        </is>
      </c>
      <c r="L19" s="7" t="inlineStr">
        <is>
          <t>SIM (Saco Transparente ABNT)</t>
        </is>
      </c>
      <c r="M19" s="7" t="inlineStr">
        <is>
          <t>0,00% (Lei nº 10.925/2004)</t>
        </is>
      </c>
      <c r="N19" s="7" t="inlineStr">
        <is>
          <t>0,925% (LC nº 224/2025)</t>
        </is>
      </c>
      <c r="O19" s="7" t="inlineStr">
        <is>
          <t>0,365% (LC nº 224/2025)</t>
        </is>
      </c>
      <c r="P19" s="7" t="inlineStr">
        <is>
          <t>CST 06</t>
        </is>
      </c>
      <c r="Q19" s="7" t="inlineStr">
        <is>
          <t>CST 73</t>
        </is>
      </c>
      <c r="R19" s="7" t="inlineStr">
        <is>
          <t>Redução de 60% + Diferimento (Art. 138 e Anexo IX LC 214/2025)</t>
        </is>
      </c>
    </row>
    <row r="20" ht="22" customHeight="1">
      <c r="A20" s="12" t="inlineStr">
        <is>
          <t>SKU-0016</t>
        </is>
      </c>
      <c r="B20" s="11" t="n">
        <v>13</v>
      </c>
      <c r="C20" s="13" t="inlineStr">
        <is>
          <t>Nº 28017</t>
        </is>
      </c>
      <c r="D20" s="14" t="inlineStr">
        <is>
          <t>RODOLIA 200 SP</t>
        </is>
      </c>
      <c r="E20" s="13" t="inlineStr">
        <is>
          <t>Embalagem Comercial do Produto</t>
        </is>
      </c>
      <c r="F20" s="13" t="inlineStr">
        <is>
          <t>4X5KG (5 KG)</t>
        </is>
      </c>
      <c r="G20" s="13" t="inlineStr">
        <is>
          <t>KG</t>
        </is>
      </c>
      <c r="H20" s="15" t="n">
        <v>5</v>
      </c>
      <c r="I20" s="13" t="inlineStr">
        <is>
          <t>3808.91.99</t>
        </is>
      </c>
      <c r="J20" s="13" t="inlineStr">
        <is>
          <t>NÃO</t>
        </is>
      </c>
      <c r="K20" s="13" t="inlineStr">
        <is>
          <t>Embalagem Flexível — NÃO LAVÁVEL (Perfurar e usar saco ABNT)</t>
        </is>
      </c>
      <c r="L20" s="13" t="inlineStr">
        <is>
          <t>SIM (Saco Transparente ABNT)</t>
        </is>
      </c>
      <c r="M20" s="13" t="inlineStr">
        <is>
          <t>0,00% (Lei nº 10.925/2004)</t>
        </is>
      </c>
      <c r="N20" s="13" t="inlineStr">
        <is>
          <t>0,925% (LC nº 224/2025)</t>
        </is>
      </c>
      <c r="O20" s="13" t="inlineStr">
        <is>
          <t>0,365% (LC nº 224/2025)</t>
        </is>
      </c>
      <c r="P20" s="13" t="inlineStr">
        <is>
          <t>CST 06</t>
        </is>
      </c>
      <c r="Q20" s="13" t="inlineStr">
        <is>
          <t>CST 73</t>
        </is>
      </c>
      <c r="R20" s="13" t="inlineStr">
        <is>
          <t>Redução de 60% + Diferimento (Art. 138 e Anexo IX LC 214/2025)</t>
        </is>
      </c>
    </row>
    <row r="21" ht="22" customHeight="1">
      <c r="A21" s="6" t="inlineStr">
        <is>
          <t>SKU-0017</t>
        </is>
      </c>
      <c r="B21" s="5" t="n">
        <v>14</v>
      </c>
      <c r="C21" s="7" t="inlineStr">
        <is>
          <t>ISENTO (ATO 104/2017)</t>
        </is>
      </c>
      <c r="D21" s="8" t="inlineStr">
        <is>
          <t>AGCN SAFE AIR</t>
        </is>
      </c>
      <c r="E21" s="7" t="inlineStr">
        <is>
          <t>Embalagem Comercial do Produto</t>
        </is>
      </c>
      <c r="F21" s="7" t="inlineStr">
        <is>
          <t>4X5L (5 L)</t>
        </is>
      </c>
      <c r="G21" s="7" t="inlineStr">
        <is>
          <t>L</t>
        </is>
      </c>
      <c r="H21" s="9" t="n">
        <v>5</v>
      </c>
      <c r="I21" s="7" t="inlineStr">
        <is>
          <t>3402.90.29</t>
        </is>
      </c>
      <c r="J21" s="7" t="inlineStr">
        <is>
          <t>NÃO</t>
        </is>
      </c>
      <c r="K21" s="7" t="inlineStr">
        <is>
          <t>Embalagem Rígida — LAVÁVEL (Obrigatória Tríplice Lavagem ou Pressão)</t>
        </is>
      </c>
      <c r="L21" s="7" t="inlineStr">
        <is>
          <t>NÃO</t>
        </is>
      </c>
      <c r="M21" s="7" t="inlineStr">
        <is>
          <t>9,25% Real | 3,65% Presumido</t>
        </is>
      </c>
      <c r="N21" s="7" t="inlineStr">
        <is>
          <t>9,250% (Integral)</t>
        </is>
      </c>
      <c r="O21" s="7" t="inlineStr">
        <is>
          <t>3,650% (Integral)</t>
        </is>
      </c>
      <c r="P21" s="7" t="inlineStr">
        <is>
          <t>CST 01</t>
        </is>
      </c>
      <c r="Q21" s="7" t="inlineStr">
        <is>
          <t>CST 50</t>
        </is>
      </c>
      <c r="R21" s="7" t="inlineStr">
        <is>
          <t>Alíquota Padrão Integral (LC 214/2025)</t>
        </is>
      </c>
    </row>
    <row r="22" ht="22" customHeight="1">
      <c r="A22" s="12" t="inlineStr">
        <is>
          <t>SKU-0018</t>
        </is>
      </c>
      <c r="B22" s="11" t="n">
        <v>15</v>
      </c>
      <c r="C22" s="13" t="inlineStr">
        <is>
          <t>ISENTO (ATO 104/2017)</t>
        </is>
      </c>
      <c r="D22" s="14" t="inlineStr">
        <is>
          <t>AGCN SAFE DESSEK</t>
        </is>
      </c>
      <c r="E22" s="13" t="inlineStr">
        <is>
          <t>Embalagem Comercial do Produto</t>
        </is>
      </c>
      <c r="F22" s="13" t="inlineStr">
        <is>
          <t>4X5L (5 L)</t>
        </is>
      </c>
      <c r="G22" s="13" t="inlineStr">
        <is>
          <t>L</t>
        </is>
      </c>
      <c r="H22" s="15" t="n">
        <v>5</v>
      </c>
      <c r="I22" s="13" t="inlineStr">
        <is>
          <t>3402.90.29</t>
        </is>
      </c>
      <c r="J22" s="13" t="inlineStr">
        <is>
          <t>NÃO</t>
        </is>
      </c>
      <c r="K22" s="13" t="inlineStr">
        <is>
          <t>Embalagem Rígida — LAVÁVEL (Obrigatória Tríplice Lavagem ou Pressão)</t>
        </is>
      </c>
      <c r="L22" s="13" t="inlineStr">
        <is>
          <t>NÃO</t>
        </is>
      </c>
      <c r="M22" s="13" t="inlineStr">
        <is>
          <t>9,25% Real | 3,65% Presumido</t>
        </is>
      </c>
      <c r="N22" s="13" t="inlineStr">
        <is>
          <t>9,250% (Integral)</t>
        </is>
      </c>
      <c r="O22" s="13" t="inlineStr">
        <is>
          <t>3,650% (Integral)</t>
        </is>
      </c>
      <c r="P22" s="13" t="inlineStr">
        <is>
          <t>CST 01</t>
        </is>
      </c>
      <c r="Q22" s="13" t="inlineStr">
        <is>
          <t>CST 50</t>
        </is>
      </c>
      <c r="R22" s="13" t="inlineStr">
        <is>
          <t>Alíquota Padrão Integral (LC 214/2025)</t>
        </is>
      </c>
    </row>
    <row r="23" ht="22" customHeight="1">
      <c r="A23" s="6" t="inlineStr">
        <is>
          <t>SKU-0019</t>
        </is>
      </c>
      <c r="B23" s="5" t="n">
        <v>16</v>
      </c>
      <c r="C23" s="7" t="inlineStr">
        <is>
          <t>ISENTO (ATO 104/2017)</t>
        </is>
      </c>
      <c r="D23" s="8" t="inlineStr">
        <is>
          <t>AGCN SAFE SPRAY</t>
        </is>
      </c>
      <c r="E23" s="7" t="inlineStr">
        <is>
          <t>Embalagem Comercial do Produto</t>
        </is>
      </c>
      <c r="F23" s="7" t="inlineStr">
        <is>
          <t>4X5L (5 L)</t>
        </is>
      </c>
      <c r="G23" s="7" t="inlineStr">
        <is>
          <t>L</t>
        </is>
      </c>
      <c r="H23" s="9" t="n">
        <v>5</v>
      </c>
      <c r="I23" s="7" t="inlineStr">
        <is>
          <t>3402.90.29</t>
        </is>
      </c>
      <c r="J23" s="7" t="inlineStr">
        <is>
          <t>NÃO</t>
        </is>
      </c>
      <c r="K23" s="7" t="inlineStr">
        <is>
          <t>Embalagem Rígida — LAVÁVEL (Obrigatória Tríplice Lavagem ou Pressão)</t>
        </is>
      </c>
      <c r="L23" s="7" t="inlineStr">
        <is>
          <t>NÃO</t>
        </is>
      </c>
      <c r="M23" s="7" t="inlineStr">
        <is>
          <t>9,25% Real | 3,65% Presumido</t>
        </is>
      </c>
      <c r="N23" s="7" t="inlineStr">
        <is>
          <t>9,250% (Integral)</t>
        </is>
      </c>
      <c r="O23" s="7" t="inlineStr">
        <is>
          <t>3,650% (Integral)</t>
        </is>
      </c>
      <c r="P23" s="7" t="inlineStr">
        <is>
          <t>CST 01</t>
        </is>
      </c>
      <c r="Q23" s="7" t="inlineStr">
        <is>
          <t>CST 50</t>
        </is>
      </c>
      <c r="R23" s="7" t="inlineStr">
        <is>
          <t>Alíquota Padrão Integral (LC 214/2025)</t>
        </is>
      </c>
    </row>
    <row r="24" ht="22" customHeight="1">
      <c r="A24" s="12" t="inlineStr">
        <is>
          <t>SKU-0020</t>
        </is>
      </c>
      <c r="B24" s="11" t="n">
        <v>17</v>
      </c>
      <c r="C24" s="13" t="inlineStr">
        <is>
          <t>SIPEAGRO (UF-XXXXX)</t>
        </is>
      </c>
      <c r="D24" s="14" t="inlineStr">
        <is>
          <t>AGCN SEED</t>
        </is>
      </c>
      <c r="E24" s="13" t="inlineStr">
        <is>
          <t>Embalagem Comercial do Produto</t>
        </is>
      </c>
      <c r="F24" s="13" t="inlineStr">
        <is>
          <t>4X5L (5 L)</t>
        </is>
      </c>
      <c r="G24" s="13" t="inlineStr">
        <is>
          <t>L</t>
        </is>
      </c>
      <c r="H24" s="15" t="n">
        <v>5</v>
      </c>
      <c r="I24" s="13" t="inlineStr">
        <is>
          <t>3105.90.90</t>
        </is>
      </c>
      <c r="J24" s="13" t="inlineStr">
        <is>
          <t>NÃO</t>
        </is>
      </c>
      <c r="K24" s="13" t="inlineStr">
        <is>
          <t>Embalagem de Insumo Nutricional/Biológico (Logística Reversa)</t>
        </is>
      </c>
      <c r="L24" s="13" t="inlineStr">
        <is>
          <t>NÃO</t>
        </is>
      </c>
      <c r="M24" s="13" t="inlineStr">
        <is>
          <t>0,00% (Lei nº 10.925/2004)</t>
        </is>
      </c>
      <c r="N24" s="13" t="inlineStr">
        <is>
          <t>0,925% (LC nº 224/2025)</t>
        </is>
      </c>
      <c r="O24" s="13" t="inlineStr">
        <is>
          <t>0,365% (LC nº 224/2025)</t>
        </is>
      </c>
      <c r="P24" s="13" t="inlineStr">
        <is>
          <t>CST 06</t>
        </is>
      </c>
      <c r="Q24" s="13" t="inlineStr">
        <is>
          <t>CST 73</t>
        </is>
      </c>
      <c r="R24" s="13" t="inlineStr">
        <is>
          <t>Redução de 60% + Diferimento (Art. 138 e Anexo IX LC 214/2025)</t>
        </is>
      </c>
    </row>
    <row r="25" ht="22" customHeight="1">
      <c r="A25" s="6" t="inlineStr">
        <is>
          <t>SKU-0021</t>
        </is>
      </c>
      <c r="B25" s="5" t="n">
        <v>17</v>
      </c>
      <c r="C25" s="7" t="inlineStr">
        <is>
          <t>SIPEAGRO (UF-XXXXX)</t>
        </is>
      </c>
      <c r="D25" s="8" t="inlineStr">
        <is>
          <t>AGCN SEED</t>
        </is>
      </c>
      <c r="E25" s="7" t="inlineStr">
        <is>
          <t>Faixa 1 TIPI (Apresentação &lt;= 300 g ou mL)</t>
        </is>
      </c>
      <c r="F25" s="7" t="inlineStr">
        <is>
          <t>Fracionado / Amostra &lt;= 0,3 L</t>
        </is>
      </c>
      <c r="G25" s="7" t="inlineStr">
        <is>
          <t>L</t>
        </is>
      </c>
      <c r="H25" s="17" t="n">
        <v>0.3</v>
      </c>
      <c r="I25" s="7" t="inlineStr">
        <is>
          <t>3105.90.90</t>
        </is>
      </c>
      <c r="J25" s="7" t="inlineStr">
        <is>
          <t>NÃO</t>
        </is>
      </c>
      <c r="K25" s="7" t="inlineStr">
        <is>
          <t>Embalagem de Insumo Nutricional/Biológico (Logística Reversa)</t>
        </is>
      </c>
      <c r="L25" s="7" t="inlineStr">
        <is>
          <t>NÃO</t>
        </is>
      </c>
      <c r="M25" s="7" t="inlineStr">
        <is>
          <t>0,00% (Lei nº 10.925/2004)</t>
        </is>
      </c>
      <c r="N25" s="7" t="inlineStr">
        <is>
          <t>0,925% (LC nº 224/2025)</t>
        </is>
      </c>
      <c r="O25" s="7" t="inlineStr">
        <is>
          <t>0,365% (LC nº 224/2025)</t>
        </is>
      </c>
      <c r="P25" s="7" t="inlineStr">
        <is>
          <t>CST 06</t>
        </is>
      </c>
      <c r="Q25" s="7" t="inlineStr">
        <is>
          <t>CST 73</t>
        </is>
      </c>
      <c r="R25" s="7" t="inlineStr">
        <is>
          <t>Redução de 60% + Diferimento (Art. 138 e Anexo IX LC 214/2025)</t>
        </is>
      </c>
    </row>
    <row r="26" ht="22" customHeight="1">
      <c r="A26" s="12" t="inlineStr">
        <is>
          <t>SKU-0022</t>
        </is>
      </c>
      <c r="B26" s="11" t="n">
        <v>18</v>
      </c>
      <c r="C26" s="13" t="inlineStr">
        <is>
          <t>SIPEAGRO (UF-XXXXX)</t>
        </is>
      </c>
      <c r="D26" s="14" t="inlineStr">
        <is>
          <t>AGCN SEED ULTRA</t>
        </is>
      </c>
      <c r="E26" s="13" t="inlineStr">
        <is>
          <t>Embalagem Comercial do Produto</t>
        </is>
      </c>
      <c r="F26" s="13" t="inlineStr">
        <is>
          <t>4X5L (5 L)</t>
        </is>
      </c>
      <c r="G26" s="13" t="inlineStr">
        <is>
          <t>L</t>
        </is>
      </c>
      <c r="H26" s="15" t="n">
        <v>5</v>
      </c>
      <c r="I26" s="13" t="inlineStr">
        <is>
          <t>3105.90.90</t>
        </is>
      </c>
      <c r="J26" s="13" t="inlineStr">
        <is>
          <t>NÃO</t>
        </is>
      </c>
      <c r="K26" s="13" t="inlineStr">
        <is>
          <t>Embalagem de Insumo Nutricional/Biológico (Logística Reversa)</t>
        </is>
      </c>
      <c r="L26" s="13" t="inlineStr">
        <is>
          <t>NÃO</t>
        </is>
      </c>
      <c r="M26" s="13" t="inlineStr">
        <is>
          <t>0,00% (Lei nº 10.925/2004)</t>
        </is>
      </c>
      <c r="N26" s="13" t="inlineStr">
        <is>
          <t>0,925% (LC nº 224/2025)</t>
        </is>
      </c>
      <c r="O26" s="13" t="inlineStr">
        <is>
          <t>0,365% (LC nº 224/2025)</t>
        </is>
      </c>
      <c r="P26" s="13" t="inlineStr">
        <is>
          <t>CST 06</t>
        </is>
      </c>
      <c r="Q26" s="13" t="inlineStr">
        <is>
          <t>CST 73</t>
        </is>
      </c>
      <c r="R26" s="13" t="inlineStr">
        <is>
          <t>Redução de 60% + Diferimento (Art. 138 e Anexo IX LC 214/2025)</t>
        </is>
      </c>
    </row>
    <row r="27" ht="22" customHeight="1">
      <c r="A27" s="6" t="inlineStr">
        <is>
          <t>SKU-0023</t>
        </is>
      </c>
      <c r="B27" s="5" t="n">
        <v>18</v>
      </c>
      <c r="C27" s="7" t="inlineStr">
        <is>
          <t>SIPEAGRO (UF-XXXXX)</t>
        </is>
      </c>
      <c r="D27" s="8" t="inlineStr">
        <is>
          <t>AGCN SEED ULTRA</t>
        </is>
      </c>
      <c r="E27" s="7" t="inlineStr">
        <is>
          <t>Faixa 1 TIPI (Apresentação &lt;= 300 g ou mL)</t>
        </is>
      </c>
      <c r="F27" s="7" t="inlineStr">
        <is>
          <t>Fracionado / Amostra &lt;= 0,3 L</t>
        </is>
      </c>
      <c r="G27" s="7" t="inlineStr">
        <is>
          <t>L</t>
        </is>
      </c>
      <c r="H27" s="17" t="n">
        <v>0.3</v>
      </c>
      <c r="I27" s="7" t="inlineStr">
        <is>
          <t>3105.90.90</t>
        </is>
      </c>
      <c r="J27" s="7" t="inlineStr">
        <is>
          <t>NÃO</t>
        </is>
      </c>
      <c r="K27" s="7" t="inlineStr">
        <is>
          <t>Embalagem de Insumo Nutricional/Biológico (Logística Reversa)</t>
        </is>
      </c>
      <c r="L27" s="7" t="inlineStr">
        <is>
          <t>NÃO</t>
        </is>
      </c>
      <c r="M27" s="7" t="inlineStr">
        <is>
          <t>0,00% (Lei nº 10.925/2004)</t>
        </is>
      </c>
      <c r="N27" s="7" t="inlineStr">
        <is>
          <t>0,925% (LC nº 224/2025)</t>
        </is>
      </c>
      <c r="O27" s="7" t="inlineStr">
        <is>
          <t>0,365% (LC nº 224/2025)</t>
        </is>
      </c>
      <c r="P27" s="7" t="inlineStr">
        <is>
          <t>CST 06</t>
        </is>
      </c>
      <c r="Q27" s="7" t="inlineStr">
        <is>
          <t>CST 73</t>
        </is>
      </c>
      <c r="R27" s="7" t="inlineStr">
        <is>
          <t>Redução de 60% + Diferimento (Art. 138 e Anexo IX LC 214/2025)</t>
        </is>
      </c>
    </row>
    <row r="28" ht="22" customHeight="1">
      <c r="A28" s="12" t="inlineStr">
        <is>
          <t>SKU-0024</t>
        </is>
      </c>
      <c r="B28" s="11" t="n">
        <v>19</v>
      </c>
      <c r="C28" s="13" t="inlineStr">
        <is>
          <t>Nº 10018</t>
        </is>
      </c>
      <c r="D28" s="14" t="inlineStr">
        <is>
          <t>ATRAZINA</t>
        </is>
      </c>
      <c r="E28" s="13" t="inlineStr">
        <is>
          <t>Embalagem Comercial do Produto</t>
        </is>
      </c>
      <c r="F28" s="13" t="inlineStr">
        <is>
          <t>4X5L (5 L)</t>
        </is>
      </c>
      <c r="G28" s="13" t="inlineStr">
        <is>
          <t>L</t>
        </is>
      </c>
      <c r="H28" s="15" t="n">
        <v>5</v>
      </c>
      <c r="I28" s="13" t="inlineStr">
        <is>
          <t>3808.93.23</t>
        </is>
      </c>
      <c r="J28" s="13" t="inlineStr">
        <is>
          <t>NÃO</t>
        </is>
      </c>
      <c r="K28" s="13" t="inlineStr">
        <is>
          <t>Embalagem Rígida — LAVÁVEL (Obrigatória Tríplice Lavagem ou Pressão)</t>
        </is>
      </c>
      <c r="L28" s="13" t="inlineStr">
        <is>
          <t>NÃO</t>
        </is>
      </c>
      <c r="M28" s="13" t="inlineStr">
        <is>
          <t>0,00% (Lei nº 10.925/2004)</t>
        </is>
      </c>
      <c r="N28" s="13" t="inlineStr">
        <is>
          <t>0,925% (LC nº 224/2025)</t>
        </is>
      </c>
      <c r="O28" s="13" t="inlineStr">
        <is>
          <t>0,365% (LC nº 224/2025)</t>
        </is>
      </c>
      <c r="P28" s="13" t="inlineStr">
        <is>
          <t>CST 06</t>
        </is>
      </c>
      <c r="Q28" s="13" t="inlineStr">
        <is>
          <t>CST 73</t>
        </is>
      </c>
      <c r="R28" s="13" t="inlineStr">
        <is>
          <t>Redução de 60% + Diferimento (Art. 138 e Anexo IX LC 214/2025)</t>
        </is>
      </c>
    </row>
    <row r="29" ht="22" customHeight="1">
      <c r="A29" s="6" t="inlineStr">
        <is>
          <t>SKU-0025</t>
        </is>
      </c>
      <c r="B29" s="5" t="n">
        <v>20</v>
      </c>
      <c r="C29" s="7" t="inlineStr">
        <is>
          <t>Nº 12920</t>
        </is>
      </c>
      <c r="D29" s="8" t="inlineStr">
        <is>
          <t>ATRAZINA 900 WG</t>
        </is>
      </c>
      <c r="E29" s="7" t="inlineStr">
        <is>
          <t>Embalagem Comercial do Produto</t>
        </is>
      </c>
      <c r="F29" s="7" t="inlineStr">
        <is>
          <t>1X10KG (10 KG)</t>
        </is>
      </c>
      <c r="G29" s="7" t="inlineStr">
        <is>
          <t>KG</t>
        </is>
      </c>
      <c r="H29" s="9" t="n">
        <v>10</v>
      </c>
      <c r="I29" s="7" t="inlineStr">
        <is>
          <t>3808.93.23</t>
        </is>
      </c>
      <c r="J29" s="7" t="inlineStr">
        <is>
          <t>NÃO</t>
        </is>
      </c>
      <c r="K29" s="7" t="inlineStr">
        <is>
          <t>Embalagem Flexível — NÃO LAVÁVEL (Perfurar e usar saco ABNT)</t>
        </is>
      </c>
      <c r="L29" s="7" t="inlineStr">
        <is>
          <t>SIM (Saco Transparente ABNT)</t>
        </is>
      </c>
      <c r="M29" s="7" t="inlineStr">
        <is>
          <t>0,00% (Lei nº 10.925/2004)</t>
        </is>
      </c>
      <c r="N29" s="7" t="inlineStr">
        <is>
          <t>0,925% (LC nº 224/2025)</t>
        </is>
      </c>
      <c r="O29" s="7" t="inlineStr">
        <is>
          <t>0,365% (LC nº 224/2025)</t>
        </is>
      </c>
      <c r="P29" s="7" t="inlineStr">
        <is>
          <t>CST 06</t>
        </is>
      </c>
      <c r="Q29" s="7" t="inlineStr">
        <is>
          <t>CST 73</t>
        </is>
      </c>
      <c r="R29" s="7" t="inlineStr">
        <is>
          <t>Redução de 60% + Diferimento (Art. 138 e Anexo IX LC 214/2025)</t>
        </is>
      </c>
    </row>
    <row r="30" ht="22" customHeight="1">
      <c r="A30" s="12" t="inlineStr">
        <is>
          <t>SKU-0026</t>
        </is>
      </c>
      <c r="B30" s="11" t="n">
        <v>21</v>
      </c>
      <c r="C30" s="13" t="inlineStr">
        <is>
          <t>Nº 12920</t>
        </is>
      </c>
      <c r="D30" s="14" t="inlineStr">
        <is>
          <t>ATRAZINA 900 WG</t>
        </is>
      </c>
      <c r="E30" s="13" t="inlineStr">
        <is>
          <t>Embalagem Comercial do Produto</t>
        </is>
      </c>
      <c r="F30" s="13" t="inlineStr">
        <is>
          <t>4X5KG (5 KG)</t>
        </is>
      </c>
      <c r="G30" s="13" t="inlineStr">
        <is>
          <t>KG</t>
        </is>
      </c>
      <c r="H30" s="15" t="n">
        <v>5</v>
      </c>
      <c r="I30" s="13" t="inlineStr">
        <is>
          <t>3808.93.23</t>
        </is>
      </c>
      <c r="J30" s="13" t="inlineStr">
        <is>
          <t>NÃO</t>
        </is>
      </c>
      <c r="K30" s="13" t="inlineStr">
        <is>
          <t>Embalagem Flexível — NÃO LAVÁVEL (Perfurar e usar saco ABNT)</t>
        </is>
      </c>
      <c r="L30" s="13" t="inlineStr">
        <is>
          <t>SIM (Saco Transparente ABNT)</t>
        </is>
      </c>
      <c r="M30" s="13" t="inlineStr">
        <is>
          <t>0,00% (Lei nº 10.925/2004)</t>
        </is>
      </c>
      <c r="N30" s="13" t="inlineStr">
        <is>
          <t>0,925% (LC nº 224/2025)</t>
        </is>
      </c>
      <c r="O30" s="13" t="inlineStr">
        <is>
          <t>0,365% (LC nº 224/2025)</t>
        </is>
      </c>
      <c r="P30" s="13" t="inlineStr">
        <is>
          <t>CST 06</t>
        </is>
      </c>
      <c r="Q30" s="13" t="inlineStr">
        <is>
          <t>CST 73</t>
        </is>
      </c>
      <c r="R30" s="13" t="inlineStr">
        <is>
          <t>Redução de 60% + Diferimento (Art. 138 e Anexo IX LC 214/2025)</t>
        </is>
      </c>
    </row>
    <row r="31" ht="22" customHeight="1">
      <c r="A31" s="6" t="inlineStr">
        <is>
          <t>SKU-0027</t>
        </is>
      </c>
      <c r="B31" s="5" t="n">
        <v>22</v>
      </c>
      <c r="C31" s="7" t="inlineStr">
        <is>
          <t>Nº 5217</t>
        </is>
      </c>
      <c r="D31" s="8" t="inlineStr">
        <is>
          <t>HERBZINA PLUS 900 WG</t>
        </is>
      </c>
      <c r="E31" s="7" t="inlineStr">
        <is>
          <t>Embalagem Comercial do Produto</t>
        </is>
      </c>
      <c r="F31" s="7" t="inlineStr">
        <is>
          <t>1X10KG (10 KG)</t>
        </is>
      </c>
      <c r="G31" s="7" t="inlineStr">
        <is>
          <t>KG</t>
        </is>
      </c>
      <c r="H31" s="9" t="n">
        <v>10</v>
      </c>
      <c r="I31" s="7" t="inlineStr">
        <is>
          <t>3808.93.23</t>
        </is>
      </c>
      <c r="J31" s="7" t="inlineStr">
        <is>
          <t>NÃO</t>
        </is>
      </c>
      <c r="K31" s="7" t="inlineStr">
        <is>
          <t>Embalagem Flexível — NÃO LAVÁVEL (Perfurar e usar saco ABNT)</t>
        </is>
      </c>
      <c r="L31" s="7" t="inlineStr">
        <is>
          <t>SIM (Saco Transparente ABNT)</t>
        </is>
      </c>
      <c r="M31" s="7" t="inlineStr">
        <is>
          <t>0,00% (Lei nº 10.925/2004)</t>
        </is>
      </c>
      <c r="N31" s="7" t="inlineStr">
        <is>
          <t>0,925% (LC nº 224/2025)</t>
        </is>
      </c>
      <c r="O31" s="7" t="inlineStr">
        <is>
          <t>0,365% (LC nº 224/2025)</t>
        </is>
      </c>
      <c r="P31" s="7" t="inlineStr">
        <is>
          <t>CST 06</t>
        </is>
      </c>
      <c r="Q31" s="7" t="inlineStr">
        <is>
          <t>CST 73</t>
        </is>
      </c>
      <c r="R31" s="7" t="inlineStr">
        <is>
          <t>Redução de 60% + Diferimento (Art. 138 e Anexo IX LC 214/2025)</t>
        </is>
      </c>
    </row>
    <row r="32" ht="22" customHeight="1">
      <c r="A32" s="12" t="inlineStr">
        <is>
          <t>SKU-0028</t>
        </is>
      </c>
      <c r="B32" s="11" t="n">
        <v>23</v>
      </c>
      <c r="C32" s="13" t="inlineStr">
        <is>
          <t>Nº 33217</t>
        </is>
      </c>
      <c r="D32" s="14" t="inlineStr">
        <is>
          <t>PANGA 900 WG</t>
        </is>
      </c>
      <c r="E32" s="13" t="inlineStr">
        <is>
          <t>Embalagem Comercial do Produto</t>
        </is>
      </c>
      <c r="F32" s="13" t="inlineStr">
        <is>
          <t>10X2KG (2 KG)</t>
        </is>
      </c>
      <c r="G32" s="13" t="inlineStr">
        <is>
          <t>KG</t>
        </is>
      </c>
      <c r="H32" s="15" t="n">
        <v>2</v>
      </c>
      <c r="I32" s="13" t="inlineStr">
        <is>
          <t>3808.93.23</t>
        </is>
      </c>
      <c r="J32" s="13" t="inlineStr">
        <is>
          <t>NÃO</t>
        </is>
      </c>
      <c r="K32" s="13" t="inlineStr">
        <is>
          <t>Embalagem Flexível — NÃO LAVÁVEL (Perfurar e usar saco ABNT)</t>
        </is>
      </c>
      <c r="L32" s="13" t="inlineStr">
        <is>
          <t>SIM (Saco Transparente ABNT)</t>
        </is>
      </c>
      <c r="M32" s="13" t="inlineStr">
        <is>
          <t>0,00% (Lei nº 10.925/2004)</t>
        </is>
      </c>
      <c r="N32" s="13" t="inlineStr">
        <is>
          <t>0,925% (LC nº 224/2025)</t>
        </is>
      </c>
      <c r="O32" s="13" t="inlineStr">
        <is>
          <t>0,365% (LC nº 224/2025)</t>
        </is>
      </c>
      <c r="P32" s="13" t="inlineStr">
        <is>
          <t>CST 06</t>
        </is>
      </c>
      <c r="Q32" s="13" t="inlineStr">
        <is>
          <t>CST 73</t>
        </is>
      </c>
      <c r="R32" s="13" t="inlineStr">
        <is>
          <t>Redução de 60% + Diferimento (Art. 138 e Anexo IX LC 214/2025)</t>
        </is>
      </c>
    </row>
    <row r="33" ht="22" customHeight="1">
      <c r="A33" s="6" t="inlineStr">
        <is>
          <t>SKU-0029</t>
        </is>
      </c>
      <c r="B33" s="5" t="n">
        <v>24</v>
      </c>
      <c r="C33" s="7" t="inlineStr">
        <is>
          <t>Nº 22922</t>
        </is>
      </c>
      <c r="D33" s="8" t="inlineStr">
        <is>
          <t>PRILAN DUO</t>
        </is>
      </c>
      <c r="E33" s="7" t="inlineStr">
        <is>
          <t>Embalagem Comercial do Produto</t>
        </is>
      </c>
      <c r="F33" s="7" t="inlineStr">
        <is>
          <t>4X5L (5 L)</t>
        </is>
      </c>
      <c r="G33" s="7" t="inlineStr">
        <is>
          <t>L</t>
        </is>
      </c>
      <c r="H33" s="9" t="n">
        <v>5</v>
      </c>
      <c r="I33" s="7" t="inlineStr">
        <is>
          <t>3808.92.99</t>
        </is>
      </c>
      <c r="J33" s="7" t="inlineStr">
        <is>
          <t>NÃO</t>
        </is>
      </c>
      <c r="K33" s="7" t="inlineStr">
        <is>
          <t>Embalagem Rígida — LAVÁVEL (Obrigatória Tríplice Lavagem ou Pressão)</t>
        </is>
      </c>
      <c r="L33" s="7" t="inlineStr">
        <is>
          <t>NÃO</t>
        </is>
      </c>
      <c r="M33" s="7" t="inlineStr">
        <is>
          <t>0,00% (Lei nº 10.925/2004)</t>
        </is>
      </c>
      <c r="N33" s="7" t="inlineStr">
        <is>
          <t>0,925% (LC nº 224/2025)</t>
        </is>
      </c>
      <c r="O33" s="7" t="inlineStr">
        <is>
          <t>0,365% (LC nº 224/2025)</t>
        </is>
      </c>
      <c r="P33" s="7" t="inlineStr">
        <is>
          <t>CST 06</t>
        </is>
      </c>
      <c r="Q33" s="7" t="inlineStr">
        <is>
          <t>CST 73</t>
        </is>
      </c>
      <c r="R33" s="7" t="inlineStr">
        <is>
          <t>Redução de 60% + Diferimento (Art. 138 e Anexo IX LC 214/2025)</t>
        </is>
      </c>
    </row>
    <row r="34" ht="22" customHeight="1">
      <c r="A34" s="12" t="inlineStr">
        <is>
          <t>SKU-0030</t>
        </is>
      </c>
      <c r="B34" s="11" t="n">
        <v>25</v>
      </c>
      <c r="C34" s="13" t="inlineStr">
        <is>
          <t>SIPEAGRO (UF-XXXXX)</t>
        </is>
      </c>
      <c r="D34" s="14" t="inlineStr">
        <is>
          <t>AGCN BORO ULTRA</t>
        </is>
      </c>
      <c r="E34" s="13" t="inlineStr">
        <is>
          <t>Embalagem Comercial do Produto</t>
        </is>
      </c>
      <c r="F34" s="13" t="inlineStr">
        <is>
          <t>1X20L (20 L)</t>
        </is>
      </c>
      <c r="G34" s="13" t="inlineStr">
        <is>
          <t>L</t>
        </is>
      </c>
      <c r="H34" s="15" t="n">
        <v>20</v>
      </c>
      <c r="I34" s="13" t="inlineStr">
        <is>
          <t>3105.90.90</t>
        </is>
      </c>
      <c r="J34" s="13" t="inlineStr">
        <is>
          <t>NÃO</t>
        </is>
      </c>
      <c r="K34" s="13" t="inlineStr">
        <is>
          <t>Embalagem de Insumo Nutricional/Biológico (Logística Reversa)</t>
        </is>
      </c>
      <c r="L34" s="13" t="inlineStr">
        <is>
          <t>NÃO</t>
        </is>
      </c>
      <c r="M34" s="13" t="inlineStr">
        <is>
          <t>0,00% (Lei nº 10.925/2004)</t>
        </is>
      </c>
      <c r="N34" s="13" t="inlineStr">
        <is>
          <t>0,925% (LC nº 224/2025)</t>
        </is>
      </c>
      <c r="O34" s="13" t="inlineStr">
        <is>
          <t>0,365% (LC nº 224/2025)</t>
        </is>
      </c>
      <c r="P34" s="13" t="inlineStr">
        <is>
          <t>CST 06</t>
        </is>
      </c>
      <c r="Q34" s="13" t="inlineStr">
        <is>
          <t>CST 73</t>
        </is>
      </c>
      <c r="R34" s="13" t="inlineStr">
        <is>
          <t>Redução de 60% + Diferimento (Art. 138 e Anexo IX LC 214/2025)</t>
        </is>
      </c>
    </row>
    <row r="35" ht="22" customHeight="1">
      <c r="A35" s="6" t="inlineStr">
        <is>
          <t>SKU-0031</t>
        </is>
      </c>
      <c r="B35" s="5" t="n">
        <v>25</v>
      </c>
      <c r="C35" s="7" t="inlineStr">
        <is>
          <t>SIPEAGRO (UF-XXXXX)</t>
        </is>
      </c>
      <c r="D35" s="8" t="inlineStr">
        <is>
          <t>AGCN BORO ULTRA</t>
        </is>
      </c>
      <c r="E35" s="7" t="inlineStr">
        <is>
          <t>Faixa 1 TIPI (Apresentação &lt;= 300 g ou mL)</t>
        </is>
      </c>
      <c r="F35" s="7" t="inlineStr">
        <is>
          <t>Fracionado / Amostra &lt;= 0,3 L</t>
        </is>
      </c>
      <c r="G35" s="7" t="inlineStr">
        <is>
          <t>L</t>
        </is>
      </c>
      <c r="H35" s="17" t="n">
        <v>0.3</v>
      </c>
      <c r="I35" s="7" t="inlineStr">
        <is>
          <t>3105.90.90</t>
        </is>
      </c>
      <c r="J35" s="7" t="inlineStr">
        <is>
          <t>NÃO</t>
        </is>
      </c>
      <c r="K35" s="7" t="inlineStr">
        <is>
          <t>Embalagem de Insumo Nutricional/Biológico (Logística Reversa)</t>
        </is>
      </c>
      <c r="L35" s="7" t="inlineStr">
        <is>
          <t>NÃO</t>
        </is>
      </c>
      <c r="M35" s="7" t="inlineStr">
        <is>
          <t>0,00% (Lei nº 10.925/2004)</t>
        </is>
      </c>
      <c r="N35" s="7" t="inlineStr">
        <is>
          <t>0,925% (LC nº 224/2025)</t>
        </is>
      </c>
      <c r="O35" s="7" t="inlineStr">
        <is>
          <t>0,365% (LC nº 224/2025)</t>
        </is>
      </c>
      <c r="P35" s="7" t="inlineStr">
        <is>
          <t>CST 06</t>
        </is>
      </c>
      <c r="Q35" s="7" t="inlineStr">
        <is>
          <t>CST 73</t>
        </is>
      </c>
      <c r="R35" s="7" t="inlineStr">
        <is>
          <t>Redução de 60% + Diferimento (Art. 138 e Anexo IX LC 214/2025)</t>
        </is>
      </c>
    </row>
    <row r="36" ht="22" customHeight="1">
      <c r="A36" s="12" t="inlineStr">
        <is>
          <t>SKU-0032</t>
        </is>
      </c>
      <c r="B36" s="11" t="n">
        <v>26</v>
      </c>
      <c r="C36" s="13" t="inlineStr">
        <is>
          <t>Nº 44024</t>
        </is>
      </c>
      <c r="D36" s="14" t="inlineStr">
        <is>
          <t>AGCN DUX</t>
        </is>
      </c>
      <c r="E36" s="13" t="inlineStr">
        <is>
          <t>Embalagem Comercial do Produto</t>
        </is>
      </c>
      <c r="F36" s="13" t="inlineStr">
        <is>
          <t>5X1KG (1 KG)</t>
        </is>
      </c>
      <c r="G36" s="13" t="inlineStr">
        <is>
          <t>KG</t>
        </is>
      </c>
      <c r="H36" s="15" t="n">
        <v>1</v>
      </c>
      <c r="I36" s="13" t="inlineStr">
        <is>
          <t>3808.91.99</t>
        </is>
      </c>
      <c r="J36" s="13" t="inlineStr">
        <is>
          <t>NÃO</t>
        </is>
      </c>
      <c r="K36" s="13" t="inlineStr">
        <is>
          <t>Embalagem Flexível — NÃO LAVÁVEL (Perfurar e usar saco ABNT)</t>
        </is>
      </c>
      <c r="L36" s="13" t="inlineStr">
        <is>
          <t>SIM (Saco Transparente ABNT)</t>
        </is>
      </c>
      <c r="M36" s="13" t="inlineStr">
        <is>
          <t>0,00% (Lei nº 10.925/2004)</t>
        </is>
      </c>
      <c r="N36" s="13" t="inlineStr">
        <is>
          <t>0,925% (LC nº 224/2025)</t>
        </is>
      </c>
      <c r="O36" s="13" t="inlineStr">
        <is>
          <t>0,365% (LC nº 224/2025)</t>
        </is>
      </c>
      <c r="P36" s="13" t="inlineStr">
        <is>
          <t>CST 06</t>
        </is>
      </c>
      <c r="Q36" s="13" t="inlineStr">
        <is>
          <t>CST 73</t>
        </is>
      </c>
      <c r="R36" s="13" t="inlineStr">
        <is>
          <t>Redução de 60% + Diferimento (Art. 138 e Anexo IX LC 214/2025)</t>
        </is>
      </c>
    </row>
    <row r="37" ht="22" customHeight="1">
      <c r="A37" s="6" t="inlineStr">
        <is>
          <t>SKU-0033</t>
        </is>
      </c>
      <c r="B37" s="5" t="n">
        <v>27</v>
      </c>
      <c r="C37" s="7" t="inlineStr">
        <is>
          <t>Nº 24117</t>
        </is>
      </c>
      <c r="D37" s="8" t="inlineStr">
        <is>
          <t>FOX XPRO</t>
        </is>
      </c>
      <c r="E37" s="7" t="inlineStr">
        <is>
          <t>Embalagem Comercial do Produto</t>
        </is>
      </c>
      <c r="F37" s="7" t="inlineStr">
        <is>
          <t>1X20L (20 L)</t>
        </is>
      </c>
      <c r="G37" s="7" t="inlineStr">
        <is>
          <t>L</t>
        </is>
      </c>
      <c r="H37" s="9" t="n">
        <v>20</v>
      </c>
      <c r="I37" s="7" t="inlineStr">
        <is>
          <t>3808.92.99</t>
        </is>
      </c>
      <c r="J37" s="7" t="inlineStr">
        <is>
          <t>NÃO</t>
        </is>
      </c>
      <c r="K37" s="7" t="inlineStr">
        <is>
          <t>Embalagem Rígida — LAVÁVEL (Obrigatória Tríplice Lavagem ou Pressão)</t>
        </is>
      </c>
      <c r="L37" s="7" t="inlineStr">
        <is>
          <t>NÃO</t>
        </is>
      </c>
      <c r="M37" s="7" t="inlineStr">
        <is>
          <t>0,00% (Lei nº 10.925/2004)</t>
        </is>
      </c>
      <c r="N37" s="7" t="inlineStr">
        <is>
          <t>0,925% (LC nº 224/2025)</t>
        </is>
      </c>
      <c r="O37" s="7" t="inlineStr">
        <is>
          <t>0,365% (LC nº 224/2025)</t>
        </is>
      </c>
      <c r="P37" s="7" t="inlineStr">
        <is>
          <t>CST 06</t>
        </is>
      </c>
      <c r="Q37" s="7" t="inlineStr">
        <is>
          <t>CST 73</t>
        </is>
      </c>
      <c r="R37" s="7" t="inlineStr">
        <is>
          <t>Redução de 60% + Diferimento (Art. 138 e Anexo IX LC 214/2025)</t>
        </is>
      </c>
    </row>
    <row r="38" ht="22" customHeight="1">
      <c r="A38" s="12" t="inlineStr">
        <is>
          <t>SKU-0034</t>
        </is>
      </c>
      <c r="B38" s="11" t="n">
        <v>28</v>
      </c>
      <c r="C38" s="13" t="inlineStr">
        <is>
          <t>SIPEAGRO (UF-XXXXX)</t>
        </is>
      </c>
      <c r="D38" s="14" t="inlineStr">
        <is>
          <t>AGCN BORO</t>
        </is>
      </c>
      <c r="E38" s="13" t="inlineStr">
        <is>
          <t>Embalagem Comercial do Produto</t>
        </is>
      </c>
      <c r="F38" s="13" t="inlineStr">
        <is>
          <t>1X20L (20 L)</t>
        </is>
      </c>
      <c r="G38" s="13" t="inlineStr">
        <is>
          <t>L</t>
        </is>
      </c>
      <c r="H38" s="15" t="n">
        <v>20</v>
      </c>
      <c r="I38" s="13" t="inlineStr">
        <is>
          <t>3105.90.90</t>
        </is>
      </c>
      <c r="J38" s="13" t="inlineStr">
        <is>
          <t>NÃO</t>
        </is>
      </c>
      <c r="K38" s="13" t="inlineStr">
        <is>
          <t>Embalagem de Insumo Nutricional/Biológico (Logística Reversa)</t>
        </is>
      </c>
      <c r="L38" s="13" t="inlineStr">
        <is>
          <t>NÃO</t>
        </is>
      </c>
      <c r="M38" s="13" t="inlineStr">
        <is>
          <t>0,00% (Lei nº 10.925/2004)</t>
        </is>
      </c>
      <c r="N38" s="13" t="inlineStr">
        <is>
          <t>0,925% (LC nº 224/2025)</t>
        </is>
      </c>
      <c r="O38" s="13" t="inlineStr">
        <is>
          <t>0,365% (LC nº 224/2025)</t>
        </is>
      </c>
      <c r="P38" s="13" t="inlineStr">
        <is>
          <t>CST 06</t>
        </is>
      </c>
      <c r="Q38" s="13" t="inlineStr">
        <is>
          <t>CST 73</t>
        </is>
      </c>
      <c r="R38" s="13" t="inlineStr">
        <is>
          <t>Redução de 60% + Diferimento (Art. 138 e Anexo IX LC 214/2025)</t>
        </is>
      </c>
    </row>
    <row r="39" ht="22" customHeight="1">
      <c r="A39" s="6" t="inlineStr">
        <is>
          <t>SKU-0035</t>
        </is>
      </c>
      <c r="B39" s="5" t="n">
        <v>28</v>
      </c>
      <c r="C39" s="7" t="inlineStr">
        <is>
          <t>SIPEAGRO (UF-XXXXX)</t>
        </is>
      </c>
      <c r="D39" s="8" t="inlineStr">
        <is>
          <t>AGCN BORO</t>
        </is>
      </c>
      <c r="E39" s="7" t="inlineStr">
        <is>
          <t>Faixa 1 TIPI (Apresentação &lt;= 300 g ou mL)</t>
        </is>
      </c>
      <c r="F39" s="7" t="inlineStr">
        <is>
          <t>Fracionado / Amostra &lt;= 0,3 L</t>
        </is>
      </c>
      <c r="G39" s="7" t="inlineStr">
        <is>
          <t>L</t>
        </is>
      </c>
      <c r="H39" s="17" t="n">
        <v>0.3</v>
      </c>
      <c r="I39" s="7" t="inlineStr">
        <is>
          <t>3105.90.90</t>
        </is>
      </c>
      <c r="J39" s="7" t="inlineStr">
        <is>
          <t>NÃO</t>
        </is>
      </c>
      <c r="K39" s="7" t="inlineStr">
        <is>
          <t>Embalagem de Insumo Nutricional/Biológico (Logística Reversa)</t>
        </is>
      </c>
      <c r="L39" s="7" t="inlineStr">
        <is>
          <t>NÃO</t>
        </is>
      </c>
      <c r="M39" s="7" t="inlineStr">
        <is>
          <t>0,00% (Lei nº 10.925/2004)</t>
        </is>
      </c>
      <c r="N39" s="7" t="inlineStr">
        <is>
          <t>0,925% (LC nº 224/2025)</t>
        </is>
      </c>
      <c r="O39" s="7" t="inlineStr">
        <is>
          <t>0,365% (LC nº 224/2025)</t>
        </is>
      </c>
      <c r="P39" s="7" t="inlineStr">
        <is>
          <t>CST 06</t>
        </is>
      </c>
      <c r="Q39" s="7" t="inlineStr">
        <is>
          <t>CST 73</t>
        </is>
      </c>
      <c r="R39" s="7" t="inlineStr">
        <is>
          <t>Redução de 60% + Diferimento (Art. 138 e Anexo IX LC 214/2025)</t>
        </is>
      </c>
    </row>
    <row r="40" ht="22" customHeight="1">
      <c r="A40" s="12" t="inlineStr">
        <is>
          <t>SKU-0036</t>
        </is>
      </c>
      <c r="B40" s="11" t="n">
        <v>29</v>
      </c>
      <c r="C40" s="13" t="inlineStr">
        <is>
          <t>SIPEAGRO (UF-XXXXX)</t>
        </is>
      </c>
      <c r="D40" s="14" t="inlineStr">
        <is>
          <t>AGCN CAB</t>
        </is>
      </c>
      <c r="E40" s="13" t="inlineStr">
        <is>
          <t>Embalagem Comercial do Produto</t>
        </is>
      </c>
      <c r="F40" s="13" t="inlineStr">
        <is>
          <t>1X20L (20 L)</t>
        </is>
      </c>
      <c r="G40" s="13" t="inlineStr">
        <is>
          <t>L</t>
        </is>
      </c>
      <c r="H40" s="15" t="n">
        <v>20</v>
      </c>
      <c r="I40" s="13" t="inlineStr">
        <is>
          <t>3105.90.90</t>
        </is>
      </c>
      <c r="J40" s="13" t="inlineStr">
        <is>
          <t>NÃO</t>
        </is>
      </c>
      <c r="K40" s="13" t="inlineStr">
        <is>
          <t>Embalagem de Insumo Nutricional/Biológico (Logística Reversa)</t>
        </is>
      </c>
      <c r="L40" s="13" t="inlineStr">
        <is>
          <t>NÃO</t>
        </is>
      </c>
      <c r="M40" s="13" t="inlineStr">
        <is>
          <t>0,00% (Lei nº 10.925/2004)</t>
        </is>
      </c>
      <c r="N40" s="13" t="inlineStr">
        <is>
          <t>0,925% (LC nº 224/2025)</t>
        </is>
      </c>
      <c r="O40" s="13" t="inlineStr">
        <is>
          <t>0,365% (LC nº 224/2025)</t>
        </is>
      </c>
      <c r="P40" s="13" t="inlineStr">
        <is>
          <t>CST 06</t>
        </is>
      </c>
      <c r="Q40" s="13" t="inlineStr">
        <is>
          <t>CST 73</t>
        </is>
      </c>
      <c r="R40" s="13" t="inlineStr">
        <is>
          <t>Redução de 60% + Diferimento (Art. 138 e Anexo IX LC 214/2025)</t>
        </is>
      </c>
    </row>
    <row r="41" ht="22" customHeight="1">
      <c r="A41" s="6" t="inlineStr">
        <is>
          <t>SKU-0037</t>
        </is>
      </c>
      <c r="B41" s="5" t="n">
        <v>29</v>
      </c>
      <c r="C41" s="7" t="inlineStr">
        <is>
          <t>SIPEAGRO (UF-XXXXX)</t>
        </is>
      </c>
      <c r="D41" s="8" t="inlineStr">
        <is>
          <t>AGCN CAB</t>
        </is>
      </c>
      <c r="E41" s="7" t="inlineStr">
        <is>
          <t>Faixa 1 TIPI (Apresentação &lt;= 300 g ou mL)</t>
        </is>
      </c>
      <c r="F41" s="7" t="inlineStr">
        <is>
          <t>Fracionado / Amostra &lt;= 0,3 L</t>
        </is>
      </c>
      <c r="G41" s="7" t="inlineStr">
        <is>
          <t>L</t>
        </is>
      </c>
      <c r="H41" s="17" t="n">
        <v>0.3</v>
      </c>
      <c r="I41" s="7" t="inlineStr">
        <is>
          <t>3105.90.90</t>
        </is>
      </c>
      <c r="J41" s="7" t="inlineStr">
        <is>
          <t>NÃO</t>
        </is>
      </c>
      <c r="K41" s="7" t="inlineStr">
        <is>
          <t>Embalagem de Insumo Nutricional/Biológico (Logística Reversa)</t>
        </is>
      </c>
      <c r="L41" s="7" t="inlineStr">
        <is>
          <t>NÃO</t>
        </is>
      </c>
      <c r="M41" s="7" t="inlineStr">
        <is>
          <t>0,00% (Lei nº 10.925/2004)</t>
        </is>
      </c>
      <c r="N41" s="7" t="inlineStr">
        <is>
          <t>0,925% (LC nº 224/2025)</t>
        </is>
      </c>
      <c r="O41" s="7" t="inlineStr">
        <is>
          <t>0,365% (LC nº 224/2025)</t>
        </is>
      </c>
      <c r="P41" s="7" t="inlineStr">
        <is>
          <t>CST 06</t>
        </is>
      </c>
      <c r="Q41" s="7" t="inlineStr">
        <is>
          <t>CST 73</t>
        </is>
      </c>
      <c r="R41" s="7" t="inlineStr">
        <is>
          <t>Redução de 60% + Diferimento (Art. 138 e Anexo IX LC 214/2025)</t>
        </is>
      </c>
    </row>
    <row r="42" ht="22" customHeight="1">
      <c r="A42" s="12" t="inlineStr">
        <is>
          <t>SKU-0038</t>
        </is>
      </c>
      <c r="B42" s="11" t="n">
        <v>30</v>
      </c>
      <c r="C42" s="13" t="inlineStr">
        <is>
          <t>Nº 8214</t>
        </is>
      </c>
      <c r="D42" s="14" t="inlineStr">
        <is>
          <t>BRIT</t>
        </is>
      </c>
      <c r="E42" s="13" t="inlineStr">
        <is>
          <t>Embalagem Comercial do Produto</t>
        </is>
      </c>
      <c r="F42" s="13" t="inlineStr">
        <is>
          <t>4X5L (5 L)</t>
        </is>
      </c>
      <c r="G42" s="13" t="inlineStr">
        <is>
          <t>L</t>
        </is>
      </c>
      <c r="H42" s="15" t="n">
        <v>5</v>
      </c>
      <c r="I42" s="13" t="inlineStr">
        <is>
          <t>3808.91.92</t>
        </is>
      </c>
      <c r="J42" s="13" t="inlineStr">
        <is>
          <t>NÃO</t>
        </is>
      </c>
      <c r="K42" s="13" t="inlineStr">
        <is>
          <t>Embalagem Rígida — LAVÁVEL (Obrigatória Tríplice Lavagem ou Pressão)</t>
        </is>
      </c>
      <c r="L42" s="13" t="inlineStr">
        <is>
          <t>NÃO</t>
        </is>
      </c>
      <c r="M42" s="13" t="inlineStr">
        <is>
          <t>0,00% (Lei nº 10.925/2004)</t>
        </is>
      </c>
      <c r="N42" s="13" t="inlineStr">
        <is>
          <t>0,925% (LC nº 224/2025)</t>
        </is>
      </c>
      <c r="O42" s="13" t="inlineStr">
        <is>
          <t>0,365% (LC nº 224/2025)</t>
        </is>
      </c>
      <c r="P42" s="13" t="inlineStr">
        <is>
          <t>CST 06</t>
        </is>
      </c>
      <c r="Q42" s="13" t="inlineStr">
        <is>
          <t>CST 73</t>
        </is>
      </c>
      <c r="R42" s="13" t="inlineStr">
        <is>
          <t>Redução de 60% + Diferimento (Art. 138 e Anexo IX LC 214/2025)</t>
        </is>
      </c>
    </row>
    <row r="43" ht="22" customHeight="1">
      <c r="A43" s="6" t="inlineStr">
        <is>
          <t>SKU-0039</t>
        </is>
      </c>
      <c r="B43" s="5" t="n">
        <v>31</v>
      </c>
      <c r="C43" s="7" t="inlineStr">
        <is>
          <t>Nº 11117</t>
        </is>
      </c>
      <c r="D43" s="8" t="inlineStr">
        <is>
          <t>CLETODIM CCAB 240 EC</t>
        </is>
      </c>
      <c r="E43" s="7" t="inlineStr">
        <is>
          <t>Embalagem Comercial do Produto</t>
        </is>
      </c>
      <c r="F43" s="7" t="inlineStr">
        <is>
          <t>1X20L (20 L)</t>
        </is>
      </c>
      <c r="G43" s="7" t="inlineStr">
        <is>
          <t>L</t>
        </is>
      </c>
      <c r="H43" s="9" t="n">
        <v>20</v>
      </c>
      <c r="I43" s="7" t="inlineStr">
        <is>
          <t>3808.93.29</t>
        </is>
      </c>
      <c r="J43" s="7" t="inlineStr">
        <is>
          <t>NÃO</t>
        </is>
      </c>
      <c r="K43" s="7" t="inlineStr">
        <is>
          <t>Embalagem Rígida — LAVÁVEL (Obrigatória Tríplice Lavagem ou Pressão)</t>
        </is>
      </c>
      <c r="L43" s="7" t="inlineStr">
        <is>
          <t>NÃO</t>
        </is>
      </c>
      <c r="M43" s="7" t="inlineStr">
        <is>
          <t>0,00% (Lei nº 10.925/2004)</t>
        </is>
      </c>
      <c r="N43" s="7" t="inlineStr">
        <is>
          <t>0,925% (LC nº 224/2025)</t>
        </is>
      </c>
      <c r="O43" s="7" t="inlineStr">
        <is>
          <t>0,365% (LC nº 224/2025)</t>
        </is>
      </c>
      <c r="P43" s="7" t="inlineStr">
        <is>
          <t>CST 06</t>
        </is>
      </c>
      <c r="Q43" s="7" t="inlineStr">
        <is>
          <t>CST 73</t>
        </is>
      </c>
      <c r="R43" s="7" t="inlineStr">
        <is>
          <t>Redução de 60% + Diferimento (Art. 138 e Anexo IX LC 214/2025)</t>
        </is>
      </c>
    </row>
    <row r="44" ht="22" customHeight="1">
      <c r="A44" s="12" t="inlineStr">
        <is>
          <t>SKU-0040</t>
        </is>
      </c>
      <c r="B44" s="11" t="n">
        <v>32</v>
      </c>
      <c r="C44" s="13" t="inlineStr">
        <is>
          <t>Nº 22221</t>
        </is>
      </c>
      <c r="D44" s="14" t="inlineStr">
        <is>
          <t>GRASIDIM</t>
        </is>
      </c>
      <c r="E44" s="13" t="inlineStr">
        <is>
          <t>Embalagem Comercial do Produto</t>
        </is>
      </c>
      <c r="F44" s="13" t="inlineStr">
        <is>
          <t>1X20L (20 L)</t>
        </is>
      </c>
      <c r="G44" s="13" t="inlineStr">
        <is>
          <t>L</t>
        </is>
      </c>
      <c r="H44" s="15" t="n">
        <v>20</v>
      </c>
      <c r="I44" s="13" t="inlineStr">
        <is>
          <t>3808.93.29</t>
        </is>
      </c>
      <c r="J44" s="13" t="inlineStr">
        <is>
          <t>NÃO</t>
        </is>
      </c>
      <c r="K44" s="13" t="inlineStr">
        <is>
          <t>Embalagem Rígida — LAVÁVEL (Obrigatória Tríplice Lavagem ou Pressão)</t>
        </is>
      </c>
      <c r="L44" s="13" t="inlineStr">
        <is>
          <t>NÃO</t>
        </is>
      </c>
      <c r="M44" s="13" t="inlineStr">
        <is>
          <t>0,00% (Lei nº 10.925/2004)</t>
        </is>
      </c>
      <c r="N44" s="13" t="inlineStr">
        <is>
          <t>0,925% (LC nº 224/2025)</t>
        </is>
      </c>
      <c r="O44" s="13" t="inlineStr">
        <is>
          <t>0,365% (LC nº 224/2025)</t>
        </is>
      </c>
      <c r="P44" s="13" t="inlineStr">
        <is>
          <t>CST 06</t>
        </is>
      </c>
      <c r="Q44" s="13" t="inlineStr">
        <is>
          <t>CST 73</t>
        </is>
      </c>
      <c r="R44" s="13" t="inlineStr">
        <is>
          <t>Redução de 60% + Diferimento (Art. 138 e Anexo IX LC 214/2025)</t>
        </is>
      </c>
    </row>
    <row r="45" ht="22" customHeight="1">
      <c r="A45" s="6" t="inlineStr">
        <is>
          <t>SKU-0041</t>
        </is>
      </c>
      <c r="B45" s="5" t="n">
        <v>33</v>
      </c>
      <c r="C45" s="7" t="inlineStr">
        <is>
          <t>Nº 479097</t>
        </is>
      </c>
      <c r="D45" s="8" t="inlineStr">
        <is>
          <t>SELECT 240 EC</t>
        </is>
      </c>
      <c r="E45" s="7" t="inlineStr">
        <is>
          <t>Embalagem Comercial do Produto</t>
        </is>
      </c>
      <c r="F45" s="7" t="inlineStr">
        <is>
          <t>1X20L (20 L)</t>
        </is>
      </c>
      <c r="G45" s="7" t="inlineStr">
        <is>
          <t>L</t>
        </is>
      </c>
      <c r="H45" s="9" t="n">
        <v>20</v>
      </c>
      <c r="I45" s="7" t="inlineStr">
        <is>
          <t>3808.93.29</t>
        </is>
      </c>
      <c r="J45" s="7" t="inlineStr">
        <is>
          <t>NÃO</t>
        </is>
      </c>
      <c r="K45" s="7" t="inlineStr">
        <is>
          <t>Embalagem Rígida — LAVÁVEL (Obrigatória Tríplice Lavagem ou Pressão)</t>
        </is>
      </c>
      <c r="L45" s="7" t="inlineStr">
        <is>
          <t>NÃO</t>
        </is>
      </c>
      <c r="M45" s="7" t="inlineStr">
        <is>
          <t>0,00% (Lei nº 10.925/2004)</t>
        </is>
      </c>
      <c r="N45" s="7" t="inlineStr">
        <is>
          <t>0,925% (LC nº 224/2025)</t>
        </is>
      </c>
      <c r="O45" s="7" t="inlineStr">
        <is>
          <t>0,365% (LC nº 224/2025)</t>
        </is>
      </c>
      <c r="P45" s="7" t="inlineStr">
        <is>
          <t>CST 06</t>
        </is>
      </c>
      <c r="Q45" s="7" t="inlineStr">
        <is>
          <t>CST 73</t>
        </is>
      </c>
      <c r="R45" s="7" t="inlineStr">
        <is>
          <t>Redução de 60% + Diferimento (Art. 138 e Anexo IX LC 214/2025)</t>
        </is>
      </c>
    </row>
    <row r="46" ht="22" customHeight="1">
      <c r="A46" s="12" t="inlineStr">
        <is>
          <t>SKU-0042</t>
        </is>
      </c>
      <c r="B46" s="11" t="n">
        <v>34</v>
      </c>
      <c r="C46" s="13" t="inlineStr">
        <is>
          <t>Nº 28917</t>
        </is>
      </c>
      <c r="D46" s="14" t="inlineStr">
        <is>
          <t>VIANCE</t>
        </is>
      </c>
      <c r="E46" s="13" t="inlineStr">
        <is>
          <t>Embalagem Comercial do Produto</t>
        </is>
      </c>
      <c r="F46" s="13" t="inlineStr">
        <is>
          <t>1X20L (20 L)</t>
        </is>
      </c>
      <c r="G46" s="13" t="inlineStr">
        <is>
          <t>L</t>
        </is>
      </c>
      <c r="H46" s="15" t="n">
        <v>20</v>
      </c>
      <c r="I46" s="13" t="inlineStr">
        <is>
          <t>3808.93.29</t>
        </is>
      </c>
      <c r="J46" s="13" t="inlineStr">
        <is>
          <t>NÃO</t>
        </is>
      </c>
      <c r="K46" s="13" t="inlineStr">
        <is>
          <t>Embalagem Rígida — LAVÁVEL (Obrigatória Tríplice Lavagem ou Pressão)</t>
        </is>
      </c>
      <c r="L46" s="13" t="inlineStr">
        <is>
          <t>NÃO</t>
        </is>
      </c>
      <c r="M46" s="13" t="inlineStr">
        <is>
          <t>0,00% (Lei nº 10.925/2004)</t>
        </is>
      </c>
      <c r="N46" s="13" t="inlineStr">
        <is>
          <t>0,925% (LC nº 224/2025)</t>
        </is>
      </c>
      <c r="O46" s="13" t="inlineStr">
        <is>
          <t>0,365% (LC nº 224/2025)</t>
        </is>
      </c>
      <c r="P46" s="13" t="inlineStr">
        <is>
          <t>CST 06</t>
        </is>
      </c>
      <c r="Q46" s="13" t="inlineStr">
        <is>
          <t>CST 73</t>
        </is>
      </c>
      <c r="R46" s="13" t="inlineStr">
        <is>
          <t>Redução de 60% + Diferimento (Art. 138 e Anexo IX LC 214/2025)</t>
        </is>
      </c>
    </row>
    <row r="47" ht="22" customHeight="1">
      <c r="A47" s="6" t="inlineStr">
        <is>
          <t>SKU-0043</t>
        </is>
      </c>
      <c r="B47" s="5" t="n">
        <v>35</v>
      </c>
      <c r="C47" s="7" t="inlineStr">
        <is>
          <t>Nº 7398</t>
        </is>
      </c>
      <c r="D47" s="8" t="inlineStr">
        <is>
          <t>PACTO 10X0,240 KG</t>
        </is>
      </c>
      <c r="E47" s="7" t="inlineStr">
        <is>
          <t>Embalagem Comercial do Produto</t>
        </is>
      </c>
      <c r="F47" s="7" t="inlineStr">
        <is>
          <t>10X0,240 KG (0.24 KG)</t>
        </is>
      </c>
      <c r="G47" s="7" t="inlineStr">
        <is>
          <t>KG</t>
        </is>
      </c>
      <c r="H47" s="17" t="n">
        <v>0.2</v>
      </c>
      <c r="I47" s="7" t="inlineStr">
        <is>
          <t>3808.93.29</t>
        </is>
      </c>
      <c r="J47" s="7" t="inlineStr">
        <is>
          <t>NÃO</t>
        </is>
      </c>
      <c r="K47" s="7" t="inlineStr">
        <is>
          <t>Embalagem Flexível — NÃO LAVÁVEL (Perfurar e usar saco ABNT)</t>
        </is>
      </c>
      <c r="L47" s="7" t="inlineStr">
        <is>
          <t>SIM (Saco Transparente ABNT)</t>
        </is>
      </c>
      <c r="M47" s="7" t="inlineStr">
        <is>
          <t>0,00% (Lei nº 10.925/2004)</t>
        </is>
      </c>
      <c r="N47" s="7" t="inlineStr">
        <is>
          <t>0,925% (LC nº 224/2025)</t>
        </is>
      </c>
      <c r="O47" s="7" t="inlineStr">
        <is>
          <t>0,365% (LC nº 224/2025)</t>
        </is>
      </c>
      <c r="P47" s="7" t="inlineStr">
        <is>
          <t>CST 06</t>
        </is>
      </c>
      <c r="Q47" s="7" t="inlineStr">
        <is>
          <t>CST 73</t>
        </is>
      </c>
      <c r="R47" s="7" t="inlineStr">
        <is>
          <t>Redução de 60% + Diferimento (Art. 138 e Anexo IX LC 214/2025)</t>
        </is>
      </c>
    </row>
    <row r="48" ht="22" customHeight="1">
      <c r="A48" s="12" t="inlineStr">
        <is>
          <t>SKU-0044</t>
        </is>
      </c>
      <c r="B48" s="11" t="n">
        <v>36</v>
      </c>
      <c r="C48" s="13" t="inlineStr">
        <is>
          <t>Nº 9109</t>
        </is>
      </c>
      <c r="D48" s="14" t="inlineStr">
        <is>
          <t>PREMIO</t>
        </is>
      </c>
      <c r="E48" s="13" t="inlineStr">
        <is>
          <t>Embalagem Comercial do Produto</t>
        </is>
      </c>
      <c r="F48" s="13" t="inlineStr">
        <is>
          <t>4X5L (5 L)</t>
        </is>
      </c>
      <c r="G48" s="13" t="inlineStr">
        <is>
          <t>L</t>
        </is>
      </c>
      <c r="H48" s="15" t="n">
        <v>5</v>
      </c>
      <c r="I48" s="13" t="inlineStr">
        <is>
          <t>3808.91.99</t>
        </is>
      </c>
      <c r="J48" s="13" t="inlineStr">
        <is>
          <t>NÃO</t>
        </is>
      </c>
      <c r="K48" s="13" t="inlineStr">
        <is>
          <t>Embalagem Rígida — LAVÁVEL (Obrigatória Tríplice Lavagem ou Pressão)</t>
        </is>
      </c>
      <c r="L48" s="13" t="inlineStr">
        <is>
          <t>NÃO</t>
        </is>
      </c>
      <c r="M48" s="13" t="inlineStr">
        <is>
          <t>0,00% (Lei nº 10.925/2004)</t>
        </is>
      </c>
      <c r="N48" s="13" t="inlineStr">
        <is>
          <t>0,925% (LC nº 224/2025)</t>
        </is>
      </c>
      <c r="O48" s="13" t="inlineStr">
        <is>
          <t>0,365% (LC nº 224/2025)</t>
        </is>
      </c>
      <c r="P48" s="13" t="inlineStr">
        <is>
          <t>CST 06</t>
        </is>
      </c>
      <c r="Q48" s="13" t="inlineStr">
        <is>
          <t>CST 73</t>
        </is>
      </c>
      <c r="R48" s="13" t="inlineStr">
        <is>
          <t>Redução de 60% + Diferimento (Art. 138 e Anexo IX LC 214/2025)</t>
        </is>
      </c>
    </row>
    <row r="49" ht="22" customHeight="1">
      <c r="A49" s="6" t="inlineStr">
        <is>
          <t>SKU-0045</t>
        </is>
      </c>
      <c r="B49" s="5" t="n">
        <v>37</v>
      </c>
      <c r="C49" s="7" t="inlineStr">
        <is>
          <t>Nº 9515</t>
        </is>
      </c>
      <c r="D49" s="8" t="inlineStr">
        <is>
          <t>DERMACOR</t>
        </is>
      </c>
      <c r="E49" s="7" t="inlineStr">
        <is>
          <t>Embalagem Comercial do Produto</t>
        </is>
      </c>
      <c r="F49" s="7" t="inlineStr">
        <is>
          <t>4X5L (5 L)</t>
        </is>
      </c>
      <c r="G49" s="7" t="inlineStr">
        <is>
          <t>L</t>
        </is>
      </c>
      <c r="H49" s="9" t="n">
        <v>5</v>
      </c>
      <c r="I49" s="7" t="inlineStr">
        <is>
          <t>3808.91.99</t>
        </is>
      </c>
      <c r="J49" s="7" t="inlineStr">
        <is>
          <t>NÃO</t>
        </is>
      </c>
      <c r="K49" s="7" t="inlineStr">
        <is>
          <t>Embalagem Rígida — LAVÁVEL (Obrigatória Tríplice Lavagem ou Pressão)</t>
        </is>
      </c>
      <c r="L49" s="7" t="inlineStr">
        <is>
          <t>NÃO</t>
        </is>
      </c>
      <c r="M49" s="7" t="inlineStr">
        <is>
          <t>0,00% (Lei nº 10.925/2004)</t>
        </is>
      </c>
      <c r="N49" s="7" t="inlineStr">
        <is>
          <t>0,925% (LC nº 224/2025)</t>
        </is>
      </c>
      <c r="O49" s="7" t="inlineStr">
        <is>
          <t>0,365% (LC nº 224/2025)</t>
        </is>
      </c>
      <c r="P49" s="7" t="inlineStr">
        <is>
          <t>CST 06</t>
        </is>
      </c>
      <c r="Q49" s="7" t="inlineStr">
        <is>
          <t>CST 73</t>
        </is>
      </c>
      <c r="R49" s="7" t="inlineStr">
        <is>
          <t>Redução de 60% + Diferimento (Art. 138 e Anexo IX LC 214/2025)</t>
        </is>
      </c>
    </row>
    <row r="50" ht="22" customHeight="1">
      <c r="A50" s="12" t="inlineStr">
        <is>
          <t>SKU-0046</t>
        </is>
      </c>
      <c r="B50" s="11" t="n">
        <v>38</v>
      </c>
      <c r="C50" s="13" t="inlineStr">
        <is>
          <t>Nº 0711</t>
        </is>
      </c>
      <c r="D50" s="14" t="inlineStr">
        <is>
          <t>CUPRODIL WG</t>
        </is>
      </c>
      <c r="E50" s="13" t="inlineStr">
        <is>
          <t>Embalagem Comercial do Produto</t>
        </is>
      </c>
      <c r="F50" s="13" t="inlineStr">
        <is>
          <t>1X25KG (25 KG)</t>
        </is>
      </c>
      <c r="G50" s="13" t="inlineStr">
        <is>
          <t>KG</t>
        </is>
      </c>
      <c r="H50" s="15" t="n">
        <v>25</v>
      </c>
      <c r="I50" s="13" t="inlineStr">
        <is>
          <t>3808.92.99</t>
        </is>
      </c>
      <c r="J50" s="13" t="inlineStr">
        <is>
          <t>NÃO</t>
        </is>
      </c>
      <c r="K50" s="13" t="inlineStr">
        <is>
          <t>Embalagem Flexível — NÃO LAVÁVEL (Perfurar e usar saco ABNT)</t>
        </is>
      </c>
      <c r="L50" s="13" t="inlineStr">
        <is>
          <t>SIM (Saco Transparente ABNT)</t>
        </is>
      </c>
      <c r="M50" s="13" t="inlineStr">
        <is>
          <t>0,00% (Lei nº 10.925/2004)</t>
        </is>
      </c>
      <c r="N50" s="13" t="inlineStr">
        <is>
          <t>0,925% (LC nº 224/2025)</t>
        </is>
      </c>
      <c r="O50" s="13" t="inlineStr">
        <is>
          <t>0,365% (LC nº 224/2025)</t>
        </is>
      </c>
      <c r="P50" s="13" t="inlineStr">
        <is>
          <t>CST 06</t>
        </is>
      </c>
      <c r="Q50" s="13" t="inlineStr">
        <is>
          <t>CST 73</t>
        </is>
      </c>
      <c r="R50" s="13" t="inlineStr">
        <is>
          <t>Redução de 60% + Diferimento (Art. 138 e Anexo IX LC 214/2025)</t>
        </is>
      </c>
    </row>
    <row r="51" ht="22" customHeight="1">
      <c r="A51" s="6" t="inlineStr">
        <is>
          <t>SKU-0047</t>
        </is>
      </c>
      <c r="B51" s="5" t="n">
        <v>39</v>
      </c>
      <c r="C51" s="7" t="inlineStr">
        <is>
          <t>Nº 26321</t>
        </is>
      </c>
      <c r="D51" s="8" t="inlineStr">
        <is>
          <t>GUARDANIL</t>
        </is>
      </c>
      <c r="E51" s="7" t="inlineStr">
        <is>
          <t>Embalagem Comercial do Produto</t>
        </is>
      </c>
      <c r="F51" s="7" t="inlineStr">
        <is>
          <t>1X20L (20 L)</t>
        </is>
      </c>
      <c r="G51" s="7" t="inlineStr">
        <is>
          <t>L</t>
        </is>
      </c>
      <c r="H51" s="9" t="n">
        <v>20</v>
      </c>
      <c r="I51" s="7" t="inlineStr">
        <is>
          <t>3808.92.99</t>
        </is>
      </c>
      <c r="J51" s="7" t="inlineStr">
        <is>
          <t>NÃO</t>
        </is>
      </c>
      <c r="K51" s="7" t="inlineStr">
        <is>
          <t>Embalagem Rígida — LAVÁVEL (Obrigatória Tríplice Lavagem ou Pressão)</t>
        </is>
      </c>
      <c r="L51" s="7" t="inlineStr">
        <is>
          <t>NÃO</t>
        </is>
      </c>
      <c r="M51" s="7" t="inlineStr">
        <is>
          <t>0,00% (Lei nº 10.925/2004)</t>
        </is>
      </c>
      <c r="N51" s="7" t="inlineStr">
        <is>
          <t>0,925% (LC nº 224/2025)</t>
        </is>
      </c>
      <c r="O51" s="7" t="inlineStr">
        <is>
          <t>0,365% (LC nº 224/2025)</t>
        </is>
      </c>
      <c r="P51" s="7" t="inlineStr">
        <is>
          <t>CST 06</t>
        </is>
      </c>
      <c r="Q51" s="7" t="inlineStr">
        <is>
          <t>CST 73</t>
        </is>
      </c>
      <c r="R51" s="7" t="inlineStr">
        <is>
          <t>Redução de 60% + Diferimento (Art. 138 e Anexo IX LC 214/2025)</t>
        </is>
      </c>
    </row>
    <row r="52" ht="22" customHeight="1">
      <c r="A52" s="12" t="inlineStr">
        <is>
          <t>SKU-0048</t>
        </is>
      </c>
      <c r="B52" s="11" t="n">
        <v>40</v>
      </c>
      <c r="C52" s="13" t="inlineStr">
        <is>
          <t>Nº 23419</t>
        </is>
      </c>
      <c r="D52" s="14" t="inlineStr">
        <is>
          <t>SAFENITH</t>
        </is>
      </c>
      <c r="E52" s="13" t="inlineStr">
        <is>
          <t>Embalagem Comercial do Produto</t>
        </is>
      </c>
      <c r="F52" s="13" t="inlineStr">
        <is>
          <t>1X20L (20 L)</t>
        </is>
      </c>
      <c r="G52" s="13" t="inlineStr">
        <is>
          <t>L</t>
        </is>
      </c>
      <c r="H52" s="15" t="n">
        <v>20</v>
      </c>
      <c r="I52" s="13" t="inlineStr">
        <is>
          <t>3808.92.99</t>
        </is>
      </c>
      <c r="J52" s="13" t="inlineStr">
        <is>
          <t>NÃO</t>
        </is>
      </c>
      <c r="K52" s="13" t="inlineStr">
        <is>
          <t>Embalagem Rígida — LAVÁVEL (Obrigatória Tríplice Lavagem ou Pressão)</t>
        </is>
      </c>
      <c r="L52" s="13" t="inlineStr">
        <is>
          <t>NÃO</t>
        </is>
      </c>
      <c r="M52" s="13" t="inlineStr">
        <is>
          <t>0,00% (Lei nº 10.925/2004)</t>
        </is>
      </c>
      <c r="N52" s="13" t="inlineStr">
        <is>
          <t>0,925% (LC nº 224/2025)</t>
        </is>
      </c>
      <c r="O52" s="13" t="inlineStr">
        <is>
          <t>0,365% (LC nº 224/2025)</t>
        </is>
      </c>
      <c r="P52" s="13" t="inlineStr">
        <is>
          <t>CST 06</t>
        </is>
      </c>
      <c r="Q52" s="13" t="inlineStr">
        <is>
          <t>CST 73</t>
        </is>
      </c>
      <c r="R52" s="13" t="inlineStr">
        <is>
          <t>Redução de 60% + Diferimento (Art. 138 e Anexo IX LC 214/2025)</t>
        </is>
      </c>
    </row>
    <row r="53" ht="22" customHeight="1">
      <c r="A53" s="6" t="inlineStr">
        <is>
          <t>SKU-0049</t>
        </is>
      </c>
      <c r="B53" s="5" t="n">
        <v>41</v>
      </c>
      <c r="C53" s="7" t="inlineStr">
        <is>
          <t>Nº 24320</t>
        </is>
      </c>
      <c r="D53" s="8" t="inlineStr">
        <is>
          <t>CLOPANTO</t>
        </is>
      </c>
      <c r="E53" s="7" t="inlineStr">
        <is>
          <t>Embalagem Comercial do Produto</t>
        </is>
      </c>
      <c r="F53" s="7" t="inlineStr">
        <is>
          <t>1X20L (20 L)</t>
        </is>
      </c>
      <c r="G53" s="7" t="inlineStr">
        <is>
          <t>L</t>
        </is>
      </c>
      <c r="H53" s="9" t="n">
        <v>20</v>
      </c>
      <c r="I53" s="7" t="inlineStr">
        <is>
          <t>3808.91.99</t>
        </is>
      </c>
      <c r="J53" s="7" t="inlineStr">
        <is>
          <t>NÃO</t>
        </is>
      </c>
      <c r="K53" s="7" t="inlineStr">
        <is>
          <t>Embalagem Rígida — LAVÁVEL (Obrigatória Tríplice Lavagem ou Pressão)</t>
        </is>
      </c>
      <c r="L53" s="7" t="inlineStr">
        <is>
          <t>NÃO</t>
        </is>
      </c>
      <c r="M53" s="7" t="inlineStr">
        <is>
          <t>0,00% (Lei nº 10.925/2004)</t>
        </is>
      </c>
      <c r="N53" s="7" t="inlineStr">
        <is>
          <t>0,925% (LC nº 224/2025)</t>
        </is>
      </c>
      <c r="O53" s="7" t="inlineStr">
        <is>
          <t>0,365% (LC nº 224/2025)</t>
        </is>
      </c>
      <c r="P53" s="7" t="inlineStr">
        <is>
          <t>CST 06</t>
        </is>
      </c>
      <c r="Q53" s="7" t="inlineStr">
        <is>
          <t>CST 73</t>
        </is>
      </c>
      <c r="R53" s="7" t="inlineStr">
        <is>
          <t>Redução de 60% + Diferimento (Art. 138 e Anexo IX LC 214/2025)</t>
        </is>
      </c>
    </row>
    <row r="54" ht="22" customHeight="1">
      <c r="A54" s="12" t="inlineStr">
        <is>
          <t>SKU-0050</t>
        </is>
      </c>
      <c r="B54" s="11" t="n">
        <v>42</v>
      </c>
      <c r="C54" s="13" t="inlineStr">
        <is>
          <t>Nº 7899</t>
        </is>
      </c>
      <c r="D54" s="14" t="inlineStr">
        <is>
          <t>KLORPAN 480 EC</t>
        </is>
      </c>
      <c r="E54" s="13" t="inlineStr">
        <is>
          <t>Embalagem Comercial do Produto</t>
        </is>
      </c>
      <c r="F54" s="13" t="inlineStr">
        <is>
          <t>1X10L (10 L)</t>
        </is>
      </c>
      <c r="G54" s="13" t="inlineStr">
        <is>
          <t>L</t>
        </is>
      </c>
      <c r="H54" s="15" t="n">
        <v>10</v>
      </c>
      <c r="I54" s="13" t="inlineStr">
        <is>
          <t>3808.91.99</t>
        </is>
      </c>
      <c r="J54" s="13" t="inlineStr">
        <is>
          <t>NÃO</t>
        </is>
      </c>
      <c r="K54" s="13" t="inlineStr">
        <is>
          <t>Embalagem Rígida — LAVÁVEL (Obrigatória Tríplice Lavagem ou Pressão)</t>
        </is>
      </c>
      <c r="L54" s="13" t="inlineStr">
        <is>
          <t>NÃO</t>
        </is>
      </c>
      <c r="M54" s="13" t="inlineStr">
        <is>
          <t>0,00% (Lei nº 10.925/2004)</t>
        </is>
      </c>
      <c r="N54" s="13" t="inlineStr">
        <is>
          <t>0,925% (LC nº 224/2025)</t>
        </is>
      </c>
      <c r="O54" s="13" t="inlineStr">
        <is>
          <t>0,365% (LC nº 224/2025)</t>
        </is>
      </c>
      <c r="P54" s="13" t="inlineStr">
        <is>
          <t>CST 06</t>
        </is>
      </c>
      <c r="Q54" s="13" t="inlineStr">
        <is>
          <t>CST 73</t>
        </is>
      </c>
      <c r="R54" s="13" t="inlineStr">
        <is>
          <t>Redução de 60% + Diferimento (Art. 138 e Anexo IX LC 214/2025)</t>
        </is>
      </c>
    </row>
    <row r="55" ht="22" customHeight="1">
      <c r="A55" s="6" t="inlineStr">
        <is>
          <t>SKU-0051</t>
        </is>
      </c>
      <c r="B55" s="5" t="n">
        <v>43</v>
      </c>
      <c r="C55" s="7" t="inlineStr">
        <is>
          <t>Nº 18618</t>
        </is>
      </c>
      <c r="D55" s="8" t="inlineStr">
        <is>
          <t>WILD</t>
        </is>
      </c>
      <c r="E55" s="7" t="inlineStr">
        <is>
          <t>Embalagem Comercial do Produto</t>
        </is>
      </c>
      <c r="F55" s="7" t="inlineStr">
        <is>
          <t>1X20L (20 L)</t>
        </is>
      </c>
      <c r="G55" s="7" t="inlineStr">
        <is>
          <t>L</t>
        </is>
      </c>
      <c r="H55" s="9" t="n">
        <v>20</v>
      </c>
      <c r="I55" s="7" t="inlineStr">
        <is>
          <t>3808.91.99</t>
        </is>
      </c>
      <c r="J55" s="7" t="inlineStr">
        <is>
          <t>NÃO</t>
        </is>
      </c>
      <c r="K55" s="7" t="inlineStr">
        <is>
          <t>Embalagem Rígida — LAVÁVEL (Obrigatória Tríplice Lavagem ou Pressão)</t>
        </is>
      </c>
      <c r="L55" s="7" t="inlineStr">
        <is>
          <t>NÃO</t>
        </is>
      </c>
      <c r="M55" s="7" t="inlineStr">
        <is>
          <t>0,00% (Lei nº 10.925/2004)</t>
        </is>
      </c>
      <c r="N55" s="7" t="inlineStr">
        <is>
          <t>0,925% (LC nº 224/2025)</t>
        </is>
      </c>
      <c r="O55" s="7" t="inlineStr">
        <is>
          <t>0,365% (LC nº 224/2025)</t>
        </is>
      </c>
      <c r="P55" s="7" t="inlineStr">
        <is>
          <t>CST 06</t>
        </is>
      </c>
      <c r="Q55" s="7" t="inlineStr">
        <is>
          <t>CST 73</t>
        </is>
      </c>
      <c r="R55" s="7" t="inlineStr">
        <is>
          <t>Redução de 60% + Diferimento (Art. 138 e Anexo IX LC 214/2025)</t>
        </is>
      </c>
    </row>
    <row r="56" ht="22" customHeight="1">
      <c r="A56" s="12" t="inlineStr">
        <is>
          <t>SKU-0052</t>
        </is>
      </c>
      <c r="B56" s="11" t="n">
        <v>44</v>
      </c>
      <c r="C56" s="13" t="inlineStr">
        <is>
          <t>ISENTO (ATO 104/2017)</t>
        </is>
      </c>
      <c r="D56" s="14" t="inlineStr">
        <is>
          <t>AGCN DESALOJ TAB 12X0,8KG</t>
        </is>
      </c>
      <c r="E56" s="13" t="inlineStr">
        <is>
          <t>Embalagem Comercial do Produto</t>
        </is>
      </c>
      <c r="F56" s="13" t="inlineStr">
        <is>
          <t>12X0,8KG (0.8 KG)</t>
        </is>
      </c>
      <c r="G56" s="13" t="inlineStr">
        <is>
          <t>L</t>
        </is>
      </c>
      <c r="H56" s="18" t="n">
        <v>0.8</v>
      </c>
      <c r="I56" s="13" t="inlineStr">
        <is>
          <t>3808.99.99</t>
        </is>
      </c>
      <c r="J56" s="13" t="inlineStr">
        <is>
          <t>NÃO</t>
        </is>
      </c>
      <c r="K56" s="13" t="inlineStr">
        <is>
          <t>Embalagem Rígida — LAVÁVEL (Obrigatória Tríplice Lavagem ou Pressão)</t>
        </is>
      </c>
      <c r="L56" s="13" t="inlineStr">
        <is>
          <t>NÃO</t>
        </is>
      </c>
      <c r="M56" s="13" t="inlineStr">
        <is>
          <t>9,25% Real | 3,65% Presumido</t>
        </is>
      </c>
      <c r="N56" s="13" t="inlineStr">
        <is>
          <t>9,250% (Integral)</t>
        </is>
      </c>
      <c r="O56" s="13" t="inlineStr">
        <is>
          <t>3,650% (Integral)</t>
        </is>
      </c>
      <c r="P56" s="13" t="inlineStr">
        <is>
          <t>CST 01</t>
        </is>
      </c>
      <c r="Q56" s="13" t="inlineStr">
        <is>
          <t>CST 50</t>
        </is>
      </c>
      <c r="R56" s="13" t="inlineStr">
        <is>
          <t>Alíquota Padrão Integral (LC 214/2025)</t>
        </is>
      </c>
    </row>
    <row r="57" ht="22" customHeight="1">
      <c r="A57" s="6" t="inlineStr">
        <is>
          <t>SKU-0053</t>
        </is>
      </c>
      <c r="B57" s="5" t="n">
        <v>44</v>
      </c>
      <c r="C57" s="7" t="inlineStr">
        <is>
          <t>ISENTO (ATO 104/2017)</t>
        </is>
      </c>
      <c r="D57" s="8" t="inlineStr">
        <is>
          <t>AGCN DESALOJ TAB 12X0,8KG</t>
        </is>
      </c>
      <c r="E57" s="7" t="inlineStr">
        <is>
          <t>Faixa 1 TIPI (Apresentação &lt;= 300 g ou mL)</t>
        </is>
      </c>
      <c r="F57" s="7" t="inlineStr">
        <is>
          <t>Fracionado / Amostra &lt;= 0,3 L</t>
        </is>
      </c>
      <c r="G57" s="7" t="inlineStr">
        <is>
          <t>L</t>
        </is>
      </c>
      <c r="H57" s="17" t="n">
        <v>0.3</v>
      </c>
      <c r="I57" s="7" t="inlineStr">
        <is>
          <t>3402.90.29</t>
        </is>
      </c>
      <c r="J57" s="7" t="inlineStr">
        <is>
          <t>NÃO</t>
        </is>
      </c>
      <c r="K57" s="7" t="inlineStr">
        <is>
          <t>Embalagem Rígida — LAVÁVEL (Obrigatória Tríplice Lavagem ou Pressão)</t>
        </is>
      </c>
      <c r="L57" s="7" t="inlineStr">
        <is>
          <t>NÃO</t>
        </is>
      </c>
      <c r="M57" s="7" t="inlineStr">
        <is>
          <t>9,25% Real | 3,65% Presumido</t>
        </is>
      </c>
      <c r="N57" s="7" t="inlineStr">
        <is>
          <t>9,250% (Integral)</t>
        </is>
      </c>
      <c r="O57" s="7" t="inlineStr">
        <is>
          <t>3,650% (Integral)</t>
        </is>
      </c>
      <c r="P57" s="7" t="inlineStr">
        <is>
          <t>CST 01</t>
        </is>
      </c>
      <c r="Q57" s="7" t="inlineStr">
        <is>
          <t>CST 50</t>
        </is>
      </c>
      <c r="R57" s="7" t="inlineStr">
        <is>
          <t>Alíquota Padrão Integral (LC 214/2025)</t>
        </is>
      </c>
    </row>
    <row r="58" ht="22" customHeight="1">
      <c r="A58" s="12" t="inlineStr">
        <is>
          <t>SKU-0054</t>
        </is>
      </c>
      <c r="B58" s="11" t="n">
        <v>45</v>
      </c>
      <c r="C58" s="13" t="inlineStr">
        <is>
          <t>Nº 5097</t>
        </is>
      </c>
      <c r="D58" s="14" t="inlineStr">
        <is>
          <t>SPIDER 840 WG 10X0,21KG</t>
        </is>
      </c>
      <c r="E58" s="13" t="inlineStr">
        <is>
          <t>Embalagem Comercial do Produto</t>
        </is>
      </c>
      <c r="F58" s="13" t="inlineStr">
        <is>
          <t>10X0,21KG (0.21 KG)</t>
        </is>
      </c>
      <c r="G58" s="13" t="inlineStr">
        <is>
          <t>KG</t>
        </is>
      </c>
      <c r="H58" s="18" t="n">
        <v>0.2</v>
      </c>
      <c r="I58" s="13" t="inlineStr">
        <is>
          <t>3808.93.29</t>
        </is>
      </c>
      <c r="J58" s="13" t="inlineStr">
        <is>
          <t>NÃO</t>
        </is>
      </c>
      <c r="K58" s="13" t="inlineStr">
        <is>
          <t>Embalagem Flexível — NÃO LAVÁVEL (Perfurar e usar saco ABNT)</t>
        </is>
      </c>
      <c r="L58" s="13" t="inlineStr">
        <is>
          <t>SIM (Saco Transparente ABNT)</t>
        </is>
      </c>
      <c r="M58" s="13" t="inlineStr">
        <is>
          <t>0,00% (Lei nº 10.925/2004)</t>
        </is>
      </c>
      <c r="N58" s="13" t="inlineStr">
        <is>
          <t>0,925% (LC nº 224/2025)</t>
        </is>
      </c>
      <c r="O58" s="13" t="inlineStr">
        <is>
          <t>0,365% (LC nº 224/2025)</t>
        </is>
      </c>
      <c r="P58" s="13" t="inlineStr">
        <is>
          <t>CST 06</t>
        </is>
      </c>
      <c r="Q58" s="13" t="inlineStr">
        <is>
          <t>CST 73</t>
        </is>
      </c>
      <c r="R58" s="13" t="inlineStr">
        <is>
          <t>Redução de 60% + Diferimento (Art. 138 e Anexo IX LC 214/2025)</t>
        </is>
      </c>
    </row>
    <row r="59" ht="22" customHeight="1">
      <c r="A59" s="6" t="inlineStr">
        <is>
          <t>SKU-0055</t>
        </is>
      </c>
      <c r="B59" s="5" t="n">
        <v>46</v>
      </c>
      <c r="C59" s="7" t="inlineStr">
        <is>
          <t>Nº 15716</t>
        </is>
      </c>
      <c r="D59" s="8" t="inlineStr">
        <is>
          <t>DIFCOR 250 EC BR</t>
        </is>
      </c>
      <c r="E59" s="7" t="inlineStr">
        <is>
          <t>Embalagem Comercial do Produto</t>
        </is>
      </c>
      <c r="F59" s="7" t="inlineStr">
        <is>
          <t>1X20L (20 L)</t>
        </is>
      </c>
      <c r="G59" s="7" t="inlineStr">
        <is>
          <t>L</t>
        </is>
      </c>
      <c r="H59" s="9" t="n">
        <v>20</v>
      </c>
      <c r="I59" s="7" t="inlineStr">
        <is>
          <t>3808.92.99</t>
        </is>
      </c>
      <c r="J59" s="7" t="inlineStr">
        <is>
          <t>NÃO</t>
        </is>
      </c>
      <c r="K59" s="7" t="inlineStr">
        <is>
          <t>Embalagem Rígida — LAVÁVEL (Obrigatória Tríplice Lavagem ou Pressão)</t>
        </is>
      </c>
      <c r="L59" s="7" t="inlineStr">
        <is>
          <t>NÃO</t>
        </is>
      </c>
      <c r="M59" s="7" t="inlineStr">
        <is>
          <t>0,00% (Lei nº 10.925/2004)</t>
        </is>
      </c>
      <c r="N59" s="7" t="inlineStr">
        <is>
          <t>0,925% (LC nº 224/2025)</t>
        </is>
      </c>
      <c r="O59" s="7" t="inlineStr">
        <is>
          <t>0,365% (LC nº 224/2025)</t>
        </is>
      </c>
      <c r="P59" s="7" t="inlineStr">
        <is>
          <t>CST 06</t>
        </is>
      </c>
      <c r="Q59" s="7" t="inlineStr">
        <is>
          <t>CST 73</t>
        </is>
      </c>
      <c r="R59" s="7" t="inlineStr">
        <is>
          <t>Redução de 60% + Diferimento (Art. 138 e Anexo IX LC 214/2025)</t>
        </is>
      </c>
    </row>
    <row r="60" ht="22" customHeight="1">
      <c r="A60" s="12" t="inlineStr">
        <is>
          <t>SKU-0056</t>
        </is>
      </c>
      <c r="B60" s="11" t="n">
        <v>47</v>
      </c>
      <c r="C60" s="13" t="inlineStr">
        <is>
          <t>Nº 19217</t>
        </is>
      </c>
      <c r="D60" s="14" t="inlineStr">
        <is>
          <t>BLOWOUT</t>
        </is>
      </c>
      <c r="E60" s="13" t="inlineStr">
        <is>
          <t>Embalagem Comercial do Produto</t>
        </is>
      </c>
      <c r="F60" s="13" t="inlineStr">
        <is>
          <t>1X20L (20 L)</t>
        </is>
      </c>
      <c r="G60" s="13" t="inlineStr">
        <is>
          <t>L</t>
        </is>
      </c>
      <c r="H60" s="15" t="n">
        <v>20</v>
      </c>
      <c r="I60" s="13" t="inlineStr">
        <is>
          <t>3808.93.29</t>
        </is>
      </c>
      <c r="J60" s="13" t="inlineStr">
        <is>
          <t>NÃO</t>
        </is>
      </c>
      <c r="K60" s="13" t="inlineStr">
        <is>
          <t>Embalagem Rígida — LAVÁVEL (Obrigatória Tríplice Lavagem ou Pressão)</t>
        </is>
      </c>
      <c r="L60" s="13" t="inlineStr">
        <is>
          <t>NÃO</t>
        </is>
      </c>
      <c r="M60" s="13" t="inlineStr">
        <is>
          <t>0,00% (Lei nº 10.925/2004)</t>
        </is>
      </c>
      <c r="N60" s="13" t="inlineStr">
        <is>
          <t>0,925% (LC nº 224/2025)</t>
        </is>
      </c>
      <c r="O60" s="13" t="inlineStr">
        <is>
          <t>0,365% (LC nº 224/2025)</t>
        </is>
      </c>
      <c r="P60" s="13" t="inlineStr">
        <is>
          <t>CST 06</t>
        </is>
      </c>
      <c r="Q60" s="13" t="inlineStr">
        <is>
          <t>CST 73</t>
        </is>
      </c>
      <c r="R60" s="13" t="inlineStr">
        <is>
          <t>Redução de 60% + Diferimento (Art. 138 e Anexo IX LC 214/2025)</t>
        </is>
      </c>
    </row>
    <row r="61" ht="22" customHeight="1">
      <c r="A61" s="6" t="inlineStr">
        <is>
          <t>SKU-0057</t>
        </is>
      </c>
      <c r="B61" s="5" t="n">
        <v>48</v>
      </c>
      <c r="C61" s="7" t="inlineStr">
        <is>
          <t>Nº 25216</t>
        </is>
      </c>
      <c r="D61" s="8" t="inlineStr">
        <is>
          <t>DESSICASH 200</t>
        </is>
      </c>
      <c r="E61" s="7" t="inlineStr">
        <is>
          <t>Embalagem Comercial do Produto</t>
        </is>
      </c>
      <c r="F61" s="7" t="inlineStr">
        <is>
          <t>1X20L (20 L)</t>
        </is>
      </c>
      <c r="G61" s="7" t="inlineStr">
        <is>
          <t>L</t>
        </is>
      </c>
      <c r="H61" s="9" t="n">
        <v>20</v>
      </c>
      <c r="I61" s="7" t="inlineStr">
        <is>
          <t>3808.93.29</t>
        </is>
      </c>
      <c r="J61" s="7" t="inlineStr">
        <is>
          <t>NÃO</t>
        </is>
      </c>
      <c r="K61" s="7" t="inlineStr">
        <is>
          <t>Embalagem Rígida — LAVÁVEL (Obrigatória Tríplice Lavagem ou Pressão)</t>
        </is>
      </c>
      <c r="L61" s="7" t="inlineStr">
        <is>
          <t>NÃO</t>
        </is>
      </c>
      <c r="M61" s="7" t="inlineStr">
        <is>
          <t>0,00% (Lei nº 10.925/2004)</t>
        </is>
      </c>
      <c r="N61" s="7" t="inlineStr">
        <is>
          <t>0,925% (LC nº 224/2025)</t>
        </is>
      </c>
      <c r="O61" s="7" t="inlineStr">
        <is>
          <t>0,365% (LC nº 224/2025)</t>
        </is>
      </c>
      <c r="P61" s="7" t="inlineStr">
        <is>
          <t>CST 06</t>
        </is>
      </c>
      <c r="Q61" s="7" t="inlineStr">
        <is>
          <t>CST 73</t>
        </is>
      </c>
      <c r="R61" s="7" t="inlineStr">
        <is>
          <t>Redução de 60% + Diferimento (Art. 138 e Anexo IX LC 214/2025)</t>
        </is>
      </c>
    </row>
    <row r="62" ht="22" customHeight="1">
      <c r="A62" s="12" t="inlineStr">
        <is>
          <t>SKU-0058</t>
        </is>
      </c>
      <c r="B62" s="11" t="n">
        <v>49</v>
      </c>
      <c r="C62" s="13" t="inlineStr">
        <is>
          <t>Nº 0812</t>
        </is>
      </c>
      <c r="D62" s="14" t="inlineStr">
        <is>
          <t>DIOX</t>
        </is>
      </c>
      <c r="E62" s="13" t="inlineStr">
        <is>
          <t>Embalagem Comercial do Produto</t>
        </is>
      </c>
      <c r="F62" s="13" t="inlineStr">
        <is>
          <t>1X20L (20 L)</t>
        </is>
      </c>
      <c r="G62" s="13" t="inlineStr">
        <is>
          <t>L</t>
        </is>
      </c>
      <c r="H62" s="15" t="n">
        <v>20</v>
      </c>
      <c r="I62" s="13" t="inlineStr">
        <is>
          <t>3808.93.23</t>
        </is>
      </c>
      <c r="J62" s="13" t="inlineStr">
        <is>
          <t>NÃO</t>
        </is>
      </c>
      <c r="K62" s="13" t="inlineStr">
        <is>
          <t>Embalagem Rígida — LAVÁVEL (Obrigatória Tríplice Lavagem ou Pressão)</t>
        </is>
      </c>
      <c r="L62" s="13" t="inlineStr">
        <is>
          <t>NÃO</t>
        </is>
      </c>
      <c r="M62" s="13" t="inlineStr">
        <is>
          <t>0,00% (Lei nº 10.925/2004)</t>
        </is>
      </c>
      <c r="N62" s="13" t="inlineStr">
        <is>
          <t>0,925% (LC nº 224/2025)</t>
        </is>
      </c>
      <c r="O62" s="13" t="inlineStr">
        <is>
          <t>0,365% (LC nº 224/2025)</t>
        </is>
      </c>
      <c r="P62" s="13" t="inlineStr">
        <is>
          <t>CST 06</t>
        </is>
      </c>
      <c r="Q62" s="13" t="inlineStr">
        <is>
          <t>CST 73</t>
        </is>
      </c>
      <c r="R62" s="13" t="inlineStr">
        <is>
          <t>Redução de 60% + Diferimento (Art. 138 e Anexo IX LC 214/2025)</t>
        </is>
      </c>
    </row>
    <row r="63" ht="22" customHeight="1">
      <c r="A63" s="6" t="inlineStr">
        <is>
          <t>SKU-0059</t>
        </is>
      </c>
      <c r="B63" s="5" t="n">
        <v>50</v>
      </c>
      <c r="C63" s="7" t="inlineStr">
        <is>
          <t>SIPEAGRO (UF-XXXXX)</t>
        </is>
      </c>
      <c r="D63" s="8" t="inlineStr">
        <is>
          <t>AGCN ENXOFRE</t>
        </is>
      </c>
      <c r="E63" s="7" t="inlineStr">
        <is>
          <t>Embalagem Comercial do Produto</t>
        </is>
      </c>
      <c r="F63" s="7" t="inlineStr">
        <is>
          <t>1X20L (20 L)</t>
        </is>
      </c>
      <c r="G63" s="7" t="inlineStr">
        <is>
          <t>L</t>
        </is>
      </c>
      <c r="H63" s="9" t="n">
        <v>20</v>
      </c>
      <c r="I63" s="7" t="inlineStr">
        <is>
          <t>3105.90.90</t>
        </is>
      </c>
      <c r="J63" s="7" t="inlineStr">
        <is>
          <t>NÃO</t>
        </is>
      </c>
      <c r="K63" s="7" t="inlineStr">
        <is>
          <t>Embalagem de Insumo Nutricional/Biológico (Logística Reversa)</t>
        </is>
      </c>
      <c r="L63" s="7" t="inlineStr">
        <is>
          <t>NÃO</t>
        </is>
      </c>
      <c r="M63" s="7" t="inlineStr">
        <is>
          <t>0,00% (Lei nº 10.925/2004)</t>
        </is>
      </c>
      <c r="N63" s="7" t="inlineStr">
        <is>
          <t>0,925% (LC nº 224/2025)</t>
        </is>
      </c>
      <c r="O63" s="7" t="inlineStr">
        <is>
          <t>0,365% (LC nº 224/2025)</t>
        </is>
      </c>
      <c r="P63" s="7" t="inlineStr">
        <is>
          <t>CST 06</t>
        </is>
      </c>
      <c r="Q63" s="7" t="inlineStr">
        <is>
          <t>CST 73</t>
        </is>
      </c>
      <c r="R63" s="7" t="inlineStr">
        <is>
          <t>Redução de 60% + Diferimento (Art. 138 e Anexo IX LC 214/2025)</t>
        </is>
      </c>
    </row>
    <row r="64" ht="22" customHeight="1">
      <c r="A64" s="12" t="inlineStr">
        <is>
          <t>SKU-0060</t>
        </is>
      </c>
      <c r="B64" s="11" t="n">
        <v>50</v>
      </c>
      <c r="C64" s="13" t="inlineStr">
        <is>
          <t>SIPEAGRO (UF-XXXXX)</t>
        </is>
      </c>
      <c r="D64" s="14" t="inlineStr">
        <is>
          <t>AGCN ENXOFRE</t>
        </is>
      </c>
      <c r="E64" s="13" t="inlineStr">
        <is>
          <t>Faixa 1 TIPI (Apresentação &lt;= 300 g ou mL)</t>
        </is>
      </c>
      <c r="F64" s="13" t="inlineStr">
        <is>
          <t>Fracionado / Amostra &lt;= 0,3 L</t>
        </is>
      </c>
      <c r="G64" s="13" t="inlineStr">
        <is>
          <t>L</t>
        </is>
      </c>
      <c r="H64" s="18" t="n">
        <v>0.3</v>
      </c>
      <c r="I64" s="13" t="inlineStr">
        <is>
          <t>3105.90.90</t>
        </is>
      </c>
      <c r="J64" s="13" t="inlineStr">
        <is>
          <t>NÃO</t>
        </is>
      </c>
      <c r="K64" s="13" t="inlineStr">
        <is>
          <t>Embalagem de Insumo Nutricional/Biológico (Logística Reversa)</t>
        </is>
      </c>
      <c r="L64" s="13" t="inlineStr">
        <is>
          <t>NÃO</t>
        </is>
      </c>
      <c r="M64" s="13" t="inlineStr">
        <is>
          <t>0,00% (Lei nº 10.925/2004)</t>
        </is>
      </c>
      <c r="N64" s="13" t="inlineStr">
        <is>
          <t>0,925% (LC nº 224/2025)</t>
        </is>
      </c>
      <c r="O64" s="13" t="inlineStr">
        <is>
          <t>0,365% (LC nº 224/2025)</t>
        </is>
      </c>
      <c r="P64" s="13" t="inlineStr">
        <is>
          <t>CST 06</t>
        </is>
      </c>
      <c r="Q64" s="13" t="inlineStr">
        <is>
          <t>CST 73</t>
        </is>
      </c>
      <c r="R64" s="13" t="inlineStr">
        <is>
          <t>Redução de 60% + Diferimento (Art. 138 e Anexo IX LC 214/2025)</t>
        </is>
      </c>
    </row>
    <row r="65" ht="22" customHeight="1">
      <c r="A65" s="6" t="inlineStr">
        <is>
          <t>SKU-0061</t>
        </is>
      </c>
      <c r="B65" s="5" t="n">
        <v>51</v>
      </c>
      <c r="C65" s="7" t="inlineStr">
        <is>
          <t>SIPEAGRO (UF-XXXXX)</t>
        </is>
      </c>
      <c r="D65" s="8" t="inlineStr">
        <is>
          <t>AGCN MG 16</t>
        </is>
      </c>
      <c r="E65" s="7" t="inlineStr">
        <is>
          <t>Embalagem Comercial do Produto</t>
        </is>
      </c>
      <c r="F65" s="7" t="inlineStr">
        <is>
          <t>1X25KG (25 KG)</t>
        </is>
      </c>
      <c r="G65" s="7" t="inlineStr">
        <is>
          <t>KG</t>
        </is>
      </c>
      <c r="H65" s="9" t="n">
        <v>25</v>
      </c>
      <c r="I65" s="7" t="inlineStr">
        <is>
          <t>3105.90.90</t>
        </is>
      </c>
      <c r="J65" s="7" t="inlineStr">
        <is>
          <t>NÃO</t>
        </is>
      </c>
      <c r="K65" s="7" t="inlineStr">
        <is>
          <t>Embalagem de Insumo Nutricional/Biológico (Logística Reversa)</t>
        </is>
      </c>
      <c r="L65" s="7" t="inlineStr">
        <is>
          <t>NÃO</t>
        </is>
      </c>
      <c r="M65" s="7" t="inlineStr">
        <is>
          <t>0,00% (Lei nº 10.925/2004)</t>
        </is>
      </c>
      <c r="N65" s="7" t="inlineStr">
        <is>
          <t>0,925% (LC nº 224/2025)</t>
        </is>
      </c>
      <c r="O65" s="7" t="inlineStr">
        <is>
          <t>0,365% (LC nº 224/2025)</t>
        </is>
      </c>
      <c r="P65" s="7" t="inlineStr">
        <is>
          <t>CST 06</t>
        </is>
      </c>
      <c r="Q65" s="7" t="inlineStr">
        <is>
          <t>CST 73</t>
        </is>
      </c>
      <c r="R65" s="7" t="inlineStr">
        <is>
          <t>Redução de 60% + Diferimento (Art. 138 e Anexo IX LC 214/2025)</t>
        </is>
      </c>
    </row>
    <row r="66" ht="22" customHeight="1">
      <c r="A66" s="12" t="inlineStr">
        <is>
          <t>SKU-0062</t>
        </is>
      </c>
      <c r="B66" s="11" t="n">
        <v>51</v>
      </c>
      <c r="C66" s="13" t="inlineStr">
        <is>
          <t>SIPEAGRO (UF-XXXXX)</t>
        </is>
      </c>
      <c r="D66" s="14" t="inlineStr">
        <is>
          <t>AGCN MG 16</t>
        </is>
      </c>
      <c r="E66" s="13" t="inlineStr">
        <is>
          <t>Faixa 1 TIPI (Apresentação &lt;= 300 g ou mL)</t>
        </is>
      </c>
      <c r="F66" s="13" t="inlineStr">
        <is>
          <t>Fracionado / Amostra &lt;= 0,3 KG</t>
        </is>
      </c>
      <c r="G66" s="13" t="inlineStr">
        <is>
          <t>KG</t>
        </is>
      </c>
      <c r="H66" s="18" t="n">
        <v>0.3</v>
      </c>
      <c r="I66" s="13" t="inlineStr">
        <is>
          <t>2833.29.70</t>
        </is>
      </c>
      <c r="J66" s="13" t="inlineStr">
        <is>
          <t>NÃO</t>
        </is>
      </c>
      <c r="K66" s="13" t="inlineStr">
        <is>
          <t>Embalagem de Insumo Nutricional/Biológico (Logística Reversa)</t>
        </is>
      </c>
      <c r="L66" s="13" t="inlineStr">
        <is>
          <t>NÃO</t>
        </is>
      </c>
      <c r="M66" s="13" t="inlineStr">
        <is>
          <t>0,00% (Lei nº 10.925/2004)</t>
        </is>
      </c>
      <c r="N66" s="13" t="inlineStr">
        <is>
          <t>0,925% (LC nº 224/2025)</t>
        </is>
      </c>
      <c r="O66" s="13" t="inlineStr">
        <is>
          <t>0,365% (LC nº 224/2025)</t>
        </is>
      </c>
      <c r="P66" s="13" t="inlineStr">
        <is>
          <t>CST 06</t>
        </is>
      </c>
      <c r="Q66" s="13" t="inlineStr">
        <is>
          <t>CST 73</t>
        </is>
      </c>
      <c r="R66" s="13" t="inlineStr">
        <is>
          <t>Redução de 60% + Diferimento (Art. 138 e Anexo IX LC 214/2025)</t>
        </is>
      </c>
    </row>
    <row r="67" ht="22" customHeight="1">
      <c r="A67" s="6" t="inlineStr">
        <is>
          <t>SKU-0063</t>
        </is>
      </c>
      <c r="B67" s="5" t="n">
        <v>52</v>
      </c>
      <c r="C67" s="7" t="inlineStr">
        <is>
          <t>Nº 14314</t>
        </is>
      </c>
      <c r="D67" s="8" t="inlineStr">
        <is>
          <t>EXALT</t>
        </is>
      </c>
      <c r="E67" s="7" t="inlineStr">
        <is>
          <t>Embalagem Comercial do Produto</t>
        </is>
      </c>
      <c r="F67" s="7" t="inlineStr">
        <is>
          <t>4X5L (5 L)</t>
        </is>
      </c>
      <c r="G67" s="7" t="inlineStr">
        <is>
          <t>L</t>
        </is>
      </c>
      <c r="H67" s="9" t="n">
        <v>5</v>
      </c>
      <c r="I67" s="7" t="inlineStr">
        <is>
          <t>3808.91.99</t>
        </is>
      </c>
      <c r="J67" s="7" t="inlineStr">
        <is>
          <t>NÃO</t>
        </is>
      </c>
      <c r="K67" s="7" t="inlineStr">
        <is>
          <t>Embalagem Rígida — LAVÁVEL (Obrigatória Tríplice Lavagem ou Pressão)</t>
        </is>
      </c>
      <c r="L67" s="7" t="inlineStr">
        <is>
          <t>NÃO</t>
        </is>
      </c>
      <c r="M67" s="7" t="inlineStr">
        <is>
          <t>0,00% (Lei nº 10.925/2004)</t>
        </is>
      </c>
      <c r="N67" s="7" t="inlineStr">
        <is>
          <t>0,925% (LC nº 224/2025)</t>
        </is>
      </c>
      <c r="O67" s="7" t="inlineStr">
        <is>
          <t>0,365% (LC nº 224/2025)</t>
        </is>
      </c>
      <c r="P67" s="7" t="inlineStr">
        <is>
          <t>CST 06</t>
        </is>
      </c>
      <c r="Q67" s="7" t="inlineStr">
        <is>
          <t>CST 73</t>
        </is>
      </c>
      <c r="R67" s="7" t="inlineStr">
        <is>
          <t>Redução de 60% + Diferimento (Art. 138 e Anexo IX LC 214/2025)</t>
        </is>
      </c>
    </row>
    <row r="68" ht="22" customHeight="1">
      <c r="A68" s="12" t="inlineStr">
        <is>
          <t>SKU-0064</t>
        </is>
      </c>
      <c r="B68" s="11" t="n">
        <v>53</v>
      </c>
      <c r="C68" s="13" t="inlineStr">
        <is>
          <t>Nº 2520</t>
        </is>
      </c>
      <c r="D68" s="14" t="inlineStr">
        <is>
          <t>SURVEY 250 FS</t>
        </is>
      </c>
      <c r="E68" s="13" t="inlineStr">
        <is>
          <t>Embalagem Comercial do Produto</t>
        </is>
      </c>
      <c r="F68" s="13" t="inlineStr">
        <is>
          <t>4X5L (5 L)</t>
        </is>
      </c>
      <c r="G68" s="13" t="inlineStr">
        <is>
          <t>L</t>
        </is>
      </c>
      <c r="H68" s="15" t="n">
        <v>5</v>
      </c>
      <c r="I68" s="13" t="inlineStr">
        <is>
          <t>3808.91.99</t>
        </is>
      </c>
      <c r="J68" s="13" t="inlineStr">
        <is>
          <t>NÃO</t>
        </is>
      </c>
      <c r="K68" s="13" t="inlineStr">
        <is>
          <t>Embalagem Rígida — LAVÁVEL (Obrigatória Tríplice Lavagem ou Pressão)</t>
        </is>
      </c>
      <c r="L68" s="13" t="inlineStr">
        <is>
          <t>NÃO</t>
        </is>
      </c>
      <c r="M68" s="13" t="inlineStr">
        <is>
          <t>0,00% (Lei nº 10.925/2004)</t>
        </is>
      </c>
      <c r="N68" s="13" t="inlineStr">
        <is>
          <t>0,925% (LC nº 224/2025)</t>
        </is>
      </c>
      <c r="O68" s="13" t="inlineStr">
        <is>
          <t>0,365% (LC nº 224/2025)</t>
        </is>
      </c>
      <c r="P68" s="13" t="inlineStr">
        <is>
          <t>CST 06</t>
        </is>
      </c>
      <c r="Q68" s="13" t="inlineStr">
        <is>
          <t>CST 73</t>
        </is>
      </c>
      <c r="R68" s="13" t="inlineStr">
        <is>
          <t>Redução de 60% + Diferimento (Art. 138 e Anexo IX LC 214/2025)</t>
        </is>
      </c>
    </row>
    <row r="69" ht="22" customHeight="1">
      <c r="A69" s="6" t="inlineStr">
        <is>
          <t>SKU-0065</t>
        </is>
      </c>
      <c r="B69" s="5" t="n">
        <v>54</v>
      </c>
      <c r="C69" s="7" t="inlineStr">
        <is>
          <t>Nº 0494</t>
        </is>
      </c>
      <c r="D69" s="8" t="inlineStr">
        <is>
          <t>SCORPION</t>
        </is>
      </c>
      <c r="E69" s="7" t="inlineStr">
        <is>
          <t>Embalagem Comercial do Produto</t>
        </is>
      </c>
      <c r="F69" s="7" t="inlineStr">
        <is>
          <t>4X5L (5 L)</t>
        </is>
      </c>
      <c r="G69" s="7" t="inlineStr">
        <is>
          <t>L</t>
        </is>
      </c>
      <c r="H69" s="9" t="n">
        <v>5</v>
      </c>
      <c r="I69" s="7" t="inlineStr">
        <is>
          <t>3808.93.29</t>
        </is>
      </c>
      <c r="J69" s="7" t="inlineStr">
        <is>
          <t>NÃO</t>
        </is>
      </c>
      <c r="K69" s="7" t="inlineStr">
        <is>
          <t>Embalagem Rígida — LAVÁVEL (Obrigatória Tríplice Lavagem ou Pressão)</t>
        </is>
      </c>
      <c r="L69" s="7" t="inlineStr">
        <is>
          <t>NÃO</t>
        </is>
      </c>
      <c r="M69" s="7" t="inlineStr">
        <is>
          <t>0,00% (Lei nº 10.925/2004)</t>
        </is>
      </c>
      <c r="N69" s="7" t="inlineStr">
        <is>
          <t>0,925% (LC nº 224/2025)</t>
        </is>
      </c>
      <c r="O69" s="7" t="inlineStr">
        <is>
          <t>0,365% (LC nº 224/2025)</t>
        </is>
      </c>
      <c r="P69" s="7" t="inlineStr">
        <is>
          <t>CST 06</t>
        </is>
      </c>
      <c r="Q69" s="7" t="inlineStr">
        <is>
          <t>CST 73</t>
        </is>
      </c>
      <c r="R69" s="7" t="inlineStr">
        <is>
          <t>Redução de 60% + Diferimento (Art. 138 e Anexo IX LC 214/2025)</t>
        </is>
      </c>
    </row>
    <row r="70" ht="22" customHeight="1">
      <c r="A70" s="12" t="inlineStr">
        <is>
          <t>SKU-0066</t>
        </is>
      </c>
      <c r="B70" s="11" t="n">
        <v>55</v>
      </c>
      <c r="C70" s="13" t="inlineStr">
        <is>
          <t>Nº 8813</t>
        </is>
      </c>
      <c r="D70" s="14" t="inlineStr">
        <is>
          <t>ORKESTRA</t>
        </is>
      </c>
      <c r="E70" s="13" t="inlineStr">
        <is>
          <t>Embalagem Comercial do Produto</t>
        </is>
      </c>
      <c r="F70" s="13" t="inlineStr">
        <is>
          <t>4X5L (5 L)</t>
        </is>
      </c>
      <c r="G70" s="13" t="inlineStr">
        <is>
          <t>L</t>
        </is>
      </c>
      <c r="H70" s="15" t="n">
        <v>5</v>
      </c>
      <c r="I70" s="13" t="inlineStr">
        <is>
          <t>3808.92.99</t>
        </is>
      </c>
      <c r="J70" s="13" t="inlineStr">
        <is>
          <t>NÃO</t>
        </is>
      </c>
      <c r="K70" s="13" t="inlineStr">
        <is>
          <t>Embalagem Rígida — LAVÁVEL (Obrigatória Tríplice Lavagem ou Pressão)</t>
        </is>
      </c>
      <c r="L70" s="13" t="inlineStr">
        <is>
          <t>NÃO</t>
        </is>
      </c>
      <c r="M70" s="13" t="inlineStr">
        <is>
          <t>0,00% (Lei nº 10.925/2004)</t>
        </is>
      </c>
      <c r="N70" s="13" t="inlineStr">
        <is>
          <t>0,925% (LC nº 224/2025)</t>
        </is>
      </c>
      <c r="O70" s="13" t="inlineStr">
        <is>
          <t>0,365% (LC nº 224/2025)</t>
        </is>
      </c>
      <c r="P70" s="13" t="inlineStr">
        <is>
          <t>CST 06</t>
        </is>
      </c>
      <c r="Q70" s="13" t="inlineStr">
        <is>
          <t>CST 73</t>
        </is>
      </c>
      <c r="R70" s="13" t="inlineStr">
        <is>
          <t>Redução de 60% + Diferimento (Art. 138 e Anexo IX LC 214/2025)</t>
        </is>
      </c>
    </row>
    <row r="71" ht="22" customHeight="1">
      <c r="A71" s="6" t="inlineStr">
        <is>
          <t>SKU-0067</t>
        </is>
      </c>
      <c r="B71" s="5" t="n">
        <v>56</v>
      </c>
      <c r="C71" s="7" t="inlineStr">
        <is>
          <t>Nº 25119</t>
        </is>
      </c>
      <c r="D71" s="8" t="inlineStr">
        <is>
          <t>GLIFOSATO 72WG ALAMOS</t>
        </is>
      </c>
      <c r="E71" s="7" t="inlineStr">
        <is>
          <t>Embalagem Comercial do Produto</t>
        </is>
      </c>
      <c r="F71" s="7" t="inlineStr">
        <is>
          <t>4X5KG (5 KG)</t>
        </is>
      </c>
      <c r="G71" s="7" t="inlineStr">
        <is>
          <t>KG</t>
        </is>
      </c>
      <c r="H71" s="9" t="n">
        <v>5</v>
      </c>
      <c r="I71" s="7" t="inlineStr">
        <is>
          <t>3808.93.24</t>
        </is>
      </c>
      <c r="J71" s="7" t="inlineStr">
        <is>
          <t>NÃO</t>
        </is>
      </c>
      <c r="K71" s="7" t="inlineStr">
        <is>
          <t>Embalagem Flexível — NÃO LAVÁVEL (Perfurar e usar saco ABNT)</t>
        </is>
      </c>
      <c r="L71" s="7" t="inlineStr">
        <is>
          <t>SIM (Saco Transparente ABNT)</t>
        </is>
      </c>
      <c r="M71" s="7" t="inlineStr">
        <is>
          <t>0,00% (Lei nº 10.925/2004)</t>
        </is>
      </c>
      <c r="N71" s="7" t="inlineStr">
        <is>
          <t>0,925% (LC nº 224/2025)</t>
        </is>
      </c>
      <c r="O71" s="7" t="inlineStr">
        <is>
          <t>0,365% (LC nº 224/2025)</t>
        </is>
      </c>
      <c r="P71" s="7" t="inlineStr">
        <is>
          <t>CST 06</t>
        </is>
      </c>
      <c r="Q71" s="7" t="inlineStr">
        <is>
          <t>CST 73</t>
        </is>
      </c>
      <c r="R71" s="7" t="inlineStr">
        <is>
          <t>Redução de 60% + Diferimento (Art. 138 e Anexo IX LC 214/2025)</t>
        </is>
      </c>
    </row>
    <row r="72" ht="22" customHeight="1">
      <c r="A72" s="12" t="inlineStr">
        <is>
          <t>SKU-0068</t>
        </is>
      </c>
      <c r="B72" s="11" t="n">
        <v>57</v>
      </c>
      <c r="C72" s="13" t="inlineStr">
        <is>
          <t>Nº 36518</t>
        </is>
      </c>
      <c r="D72" s="14" t="inlineStr">
        <is>
          <t>MAXIZATO</t>
        </is>
      </c>
      <c r="E72" s="13" t="inlineStr">
        <is>
          <t>Embalagem Comercial do Produto</t>
        </is>
      </c>
      <c r="F72" s="13" t="inlineStr">
        <is>
          <t>4X5KG (5 KG)</t>
        </is>
      </c>
      <c r="G72" s="13" t="inlineStr">
        <is>
          <t>KG</t>
        </is>
      </c>
      <c r="H72" s="15" t="n">
        <v>5</v>
      </c>
      <c r="I72" s="13" t="inlineStr">
        <is>
          <t>3808.93.24</t>
        </is>
      </c>
      <c r="J72" s="13" t="inlineStr">
        <is>
          <t>NÃO</t>
        </is>
      </c>
      <c r="K72" s="13" t="inlineStr">
        <is>
          <t>Embalagem Flexível — NÃO LAVÁVEL (Perfurar e usar saco ABNT)</t>
        </is>
      </c>
      <c r="L72" s="13" t="inlineStr">
        <is>
          <t>SIM (Saco Transparente ABNT)</t>
        </is>
      </c>
      <c r="M72" s="13" t="inlineStr">
        <is>
          <t>0,00% (Lei nº 10.925/2004)</t>
        </is>
      </c>
      <c r="N72" s="13" t="inlineStr">
        <is>
          <t>0,925% (LC nº 224/2025)</t>
        </is>
      </c>
      <c r="O72" s="13" t="inlineStr">
        <is>
          <t>0,365% (LC nº 224/2025)</t>
        </is>
      </c>
      <c r="P72" s="13" t="inlineStr">
        <is>
          <t>CST 06</t>
        </is>
      </c>
      <c r="Q72" s="13" t="inlineStr">
        <is>
          <t>CST 73</t>
        </is>
      </c>
      <c r="R72" s="13" t="inlineStr">
        <is>
          <t>Redução de 60% + Diferimento (Art. 138 e Anexo IX LC 214/2025)</t>
        </is>
      </c>
    </row>
    <row r="73" ht="22" customHeight="1">
      <c r="A73" s="6" t="inlineStr">
        <is>
          <t>SKU-0069</t>
        </is>
      </c>
      <c r="B73" s="5" t="n">
        <v>58</v>
      </c>
      <c r="C73" s="7" t="inlineStr">
        <is>
          <t>Nº 28520</t>
        </is>
      </c>
      <c r="D73" s="8" t="inlineStr">
        <is>
          <t>SENHA 720 WG</t>
        </is>
      </c>
      <c r="E73" s="7" t="inlineStr">
        <is>
          <t>Embalagem Comercial do Produto</t>
        </is>
      </c>
      <c r="F73" s="7" t="inlineStr">
        <is>
          <t>4X5KG (5 KG)</t>
        </is>
      </c>
      <c r="G73" s="7" t="inlineStr">
        <is>
          <t>KG</t>
        </is>
      </c>
      <c r="H73" s="9" t="n">
        <v>5</v>
      </c>
      <c r="I73" s="7" t="inlineStr">
        <is>
          <t>3808.93.24</t>
        </is>
      </c>
      <c r="J73" s="7" t="inlineStr">
        <is>
          <t>NÃO</t>
        </is>
      </c>
      <c r="K73" s="7" t="inlineStr">
        <is>
          <t>Embalagem Flexível — NÃO LAVÁVEL (Perfurar e usar saco ABNT)</t>
        </is>
      </c>
      <c r="L73" s="7" t="inlineStr">
        <is>
          <t>SIM (Saco Transparente ABNT)</t>
        </is>
      </c>
      <c r="M73" s="7" t="inlineStr">
        <is>
          <t>0,00% (Lei nº 10.925/2004)</t>
        </is>
      </c>
      <c r="N73" s="7" t="inlineStr">
        <is>
          <t>0,925% (LC nº 224/2025)</t>
        </is>
      </c>
      <c r="O73" s="7" t="inlineStr">
        <is>
          <t>0,365% (LC nº 224/2025)</t>
        </is>
      </c>
      <c r="P73" s="7" t="inlineStr">
        <is>
          <t>CST 06</t>
        </is>
      </c>
      <c r="Q73" s="7" t="inlineStr">
        <is>
          <t>CST 73</t>
        </is>
      </c>
      <c r="R73" s="7" t="inlineStr">
        <is>
          <t>Redução de 60% + Diferimento (Art. 138 e Anexo IX LC 214/2025)</t>
        </is>
      </c>
    </row>
    <row r="74" ht="22" customHeight="1">
      <c r="A74" s="12" t="inlineStr">
        <is>
          <t>SKU-0070</t>
        </is>
      </c>
      <c r="B74" s="11" t="n">
        <v>59</v>
      </c>
      <c r="C74" s="13" t="inlineStr">
        <is>
          <t>Nº 13714</t>
        </is>
      </c>
      <c r="D74" s="14" t="inlineStr">
        <is>
          <t>WIPE OUT</t>
        </is>
      </c>
      <c r="E74" s="13" t="inlineStr">
        <is>
          <t>Embalagem Comercial do Produto</t>
        </is>
      </c>
      <c r="F74" s="13" t="inlineStr">
        <is>
          <t>1X20KG (20 KG)</t>
        </is>
      </c>
      <c r="G74" s="13" t="inlineStr">
        <is>
          <t>KG</t>
        </is>
      </c>
      <c r="H74" s="15" t="n">
        <v>20</v>
      </c>
      <c r="I74" s="13" t="inlineStr">
        <is>
          <t>3808.93.24</t>
        </is>
      </c>
      <c r="J74" s="13" t="inlineStr">
        <is>
          <t>NÃO</t>
        </is>
      </c>
      <c r="K74" s="13" t="inlineStr">
        <is>
          <t>Embalagem Flexível — NÃO LAVÁVEL (Perfurar e usar saco ABNT)</t>
        </is>
      </c>
      <c r="L74" s="13" t="inlineStr">
        <is>
          <t>SIM (Saco Transparente ABNT)</t>
        </is>
      </c>
      <c r="M74" s="13" t="inlineStr">
        <is>
          <t>0,00% (Lei nº 10.925/2004)</t>
        </is>
      </c>
      <c r="N74" s="13" t="inlineStr">
        <is>
          <t>0,925% (LC nº 224/2025)</t>
        </is>
      </c>
      <c r="O74" s="13" t="inlineStr">
        <is>
          <t>0,365% (LC nº 224/2025)</t>
        </is>
      </c>
      <c r="P74" s="13" t="inlineStr">
        <is>
          <t>CST 06</t>
        </is>
      </c>
      <c r="Q74" s="13" t="inlineStr">
        <is>
          <t>CST 73</t>
        </is>
      </c>
      <c r="R74" s="13" t="inlineStr">
        <is>
          <t>Redução de 60% + Diferimento (Art. 138 e Anexo IX LC 214/2025)</t>
        </is>
      </c>
    </row>
    <row r="75" ht="22" customHeight="1">
      <c r="A75" s="6" t="inlineStr">
        <is>
          <t>SKU-0071</t>
        </is>
      </c>
      <c r="B75" s="5" t="n">
        <v>60</v>
      </c>
      <c r="C75" s="7" t="inlineStr">
        <is>
          <t>Nº 13714</t>
        </is>
      </c>
      <c r="D75" s="8" t="inlineStr">
        <is>
          <t>WIPE OUT</t>
        </is>
      </c>
      <c r="E75" s="7" t="inlineStr">
        <is>
          <t>Embalagem Comercial do Produto</t>
        </is>
      </c>
      <c r="F75" s="7" t="inlineStr">
        <is>
          <t>4X5KG (5 KG)</t>
        </is>
      </c>
      <c r="G75" s="7" t="inlineStr">
        <is>
          <t>KG</t>
        </is>
      </c>
      <c r="H75" s="9" t="n">
        <v>5</v>
      </c>
      <c r="I75" s="7" t="inlineStr">
        <is>
          <t>3808.93.24</t>
        </is>
      </c>
      <c r="J75" s="7" t="inlineStr">
        <is>
          <t>NÃO</t>
        </is>
      </c>
      <c r="K75" s="7" t="inlineStr">
        <is>
          <t>Embalagem Flexível — NÃO LAVÁVEL (Perfurar e usar saco ABNT)</t>
        </is>
      </c>
      <c r="L75" s="7" t="inlineStr">
        <is>
          <t>SIM (Saco Transparente ABNT)</t>
        </is>
      </c>
      <c r="M75" s="7" t="inlineStr">
        <is>
          <t>0,00% (Lei nº 10.925/2004)</t>
        </is>
      </c>
      <c r="N75" s="7" t="inlineStr">
        <is>
          <t>0,925% (LC nº 224/2025)</t>
        </is>
      </c>
      <c r="O75" s="7" t="inlineStr">
        <is>
          <t>0,365% (LC nº 224/2025)</t>
        </is>
      </c>
      <c r="P75" s="7" t="inlineStr">
        <is>
          <t>CST 06</t>
        </is>
      </c>
      <c r="Q75" s="7" t="inlineStr">
        <is>
          <t>CST 73</t>
        </is>
      </c>
      <c r="R75" s="7" t="inlineStr">
        <is>
          <t>Redução de 60% + Diferimento (Art. 138 e Anexo IX LC 214/2025)</t>
        </is>
      </c>
    </row>
    <row r="76" ht="22" customHeight="1">
      <c r="A76" s="12" t="inlineStr">
        <is>
          <t>SKU-0072</t>
        </is>
      </c>
      <c r="B76" s="11" t="n">
        <v>61</v>
      </c>
      <c r="C76" s="13" t="inlineStr">
        <is>
          <t>Nº 34221</t>
        </is>
      </c>
      <c r="D76" s="14" t="inlineStr">
        <is>
          <t>SAPEK MAX</t>
        </is>
      </c>
      <c r="E76" s="13" t="inlineStr">
        <is>
          <t>Embalagem Comercial do Produto</t>
        </is>
      </c>
      <c r="F76" s="13" t="inlineStr">
        <is>
          <t>4X5KG (5 KG)</t>
        </is>
      </c>
      <c r="G76" s="13" t="inlineStr">
        <is>
          <t>KG</t>
        </is>
      </c>
      <c r="H76" s="15" t="n">
        <v>5</v>
      </c>
      <c r="I76" s="13" t="inlineStr">
        <is>
          <t>3808.93.29</t>
        </is>
      </c>
      <c r="J76" s="13" t="inlineStr">
        <is>
          <t>NÃO</t>
        </is>
      </c>
      <c r="K76" s="13" t="inlineStr">
        <is>
          <t>Embalagem Flexível — NÃO LAVÁVEL (Perfurar e usar saco ABNT)</t>
        </is>
      </c>
      <c r="L76" s="13" t="inlineStr">
        <is>
          <t>SIM (Saco Transparente ABNT)</t>
        </is>
      </c>
      <c r="M76" s="13" t="inlineStr">
        <is>
          <t>0,00% (Lei nº 10.925/2004)</t>
        </is>
      </c>
      <c r="N76" s="13" t="inlineStr">
        <is>
          <t>0,925% (LC nº 224/2025)</t>
        </is>
      </c>
      <c r="O76" s="13" t="inlineStr">
        <is>
          <t>0,365% (LC nº 224/2025)</t>
        </is>
      </c>
      <c r="P76" s="13" t="inlineStr">
        <is>
          <t>CST 06</t>
        </is>
      </c>
      <c r="Q76" s="13" t="inlineStr">
        <is>
          <t>CST 73</t>
        </is>
      </c>
      <c r="R76" s="13" t="inlineStr">
        <is>
          <t>Redução de 60% + Diferimento (Art. 138 e Anexo IX LC 214/2025)</t>
        </is>
      </c>
    </row>
    <row r="77" ht="22" customHeight="1">
      <c r="A77" s="6" t="inlineStr">
        <is>
          <t>SKU-0073</t>
        </is>
      </c>
      <c r="B77" s="5" t="n">
        <v>62</v>
      </c>
      <c r="C77" s="7" t="inlineStr">
        <is>
          <t>Nº 3518</t>
        </is>
      </c>
      <c r="D77" s="8" t="inlineStr">
        <is>
          <t>VERDICT MAX</t>
        </is>
      </c>
      <c r="E77" s="7" t="inlineStr">
        <is>
          <t>Embalagem Comercial do Produto</t>
        </is>
      </c>
      <c r="F77" s="7" t="inlineStr">
        <is>
          <t>1X20L (20 L)</t>
        </is>
      </c>
      <c r="G77" s="7" t="inlineStr">
        <is>
          <t>L</t>
        </is>
      </c>
      <c r="H77" s="9" t="n">
        <v>20</v>
      </c>
      <c r="I77" s="7" t="inlineStr">
        <is>
          <t>3808.93.29</t>
        </is>
      </c>
      <c r="J77" s="7" t="inlineStr">
        <is>
          <t>NÃO</t>
        </is>
      </c>
      <c r="K77" s="7" t="inlineStr">
        <is>
          <t>Embalagem Rígida — LAVÁVEL (Obrigatória Tríplice Lavagem ou Pressão)</t>
        </is>
      </c>
      <c r="L77" s="7" t="inlineStr">
        <is>
          <t>NÃO</t>
        </is>
      </c>
      <c r="M77" s="7" t="inlineStr">
        <is>
          <t>0,00% (Lei nº 10.925/2004)</t>
        </is>
      </c>
      <c r="N77" s="7" t="inlineStr">
        <is>
          <t>0,925% (LC nº 224/2025)</t>
        </is>
      </c>
      <c r="O77" s="7" t="inlineStr">
        <is>
          <t>0,365% (LC nº 224/2025)</t>
        </is>
      </c>
      <c r="P77" s="7" t="inlineStr">
        <is>
          <t>CST 06</t>
        </is>
      </c>
      <c r="Q77" s="7" t="inlineStr">
        <is>
          <t>CST 73</t>
        </is>
      </c>
      <c r="R77" s="7" t="inlineStr">
        <is>
          <t>Redução de 60% + Diferimento (Art. 138 e Anexo IX LC 214/2025)</t>
        </is>
      </c>
    </row>
    <row r="78" ht="22" customHeight="1">
      <c r="A78" s="12" t="inlineStr">
        <is>
          <t>SKU-0074</t>
        </is>
      </c>
      <c r="B78" s="11" t="n">
        <v>63</v>
      </c>
      <c r="C78" s="13" t="inlineStr">
        <is>
          <t>Nº 14518</t>
        </is>
      </c>
      <c r="D78" s="14" t="inlineStr">
        <is>
          <t>SOYACLEAN XTRA</t>
        </is>
      </c>
      <c r="E78" s="13" t="inlineStr">
        <is>
          <t>Embalagem Comercial do Produto</t>
        </is>
      </c>
      <c r="F78" s="13" t="inlineStr">
        <is>
          <t>2X5KG (5 KG)</t>
        </is>
      </c>
      <c r="G78" s="13" t="inlineStr">
        <is>
          <t>KG</t>
        </is>
      </c>
      <c r="H78" s="15" t="n">
        <v>5</v>
      </c>
      <c r="I78" s="13" t="inlineStr">
        <is>
          <t>3808.93.27</t>
        </is>
      </c>
      <c r="J78" s="13" t="inlineStr">
        <is>
          <t>NÃO</t>
        </is>
      </c>
      <c r="K78" s="13" t="inlineStr">
        <is>
          <t>Embalagem Flexível — NÃO LAVÁVEL (Perfurar e usar saco ABNT)</t>
        </is>
      </c>
      <c r="L78" s="13" t="inlineStr">
        <is>
          <t>SIM (Saco Transparente ABNT)</t>
        </is>
      </c>
      <c r="M78" s="13" t="inlineStr">
        <is>
          <t>0,00% (Lei nº 10.925/2004)</t>
        </is>
      </c>
      <c r="N78" s="13" t="inlineStr">
        <is>
          <t>0,925% (LC nº 224/2025)</t>
        </is>
      </c>
      <c r="O78" s="13" t="inlineStr">
        <is>
          <t>0,365% (LC nº 224/2025)</t>
        </is>
      </c>
      <c r="P78" s="13" t="inlineStr">
        <is>
          <t>CST 06</t>
        </is>
      </c>
      <c r="Q78" s="13" t="inlineStr">
        <is>
          <t>CST 73</t>
        </is>
      </c>
      <c r="R78" s="13" t="inlineStr">
        <is>
          <t>Redução de 60% + Diferimento (Art. 138 e Anexo IX LC 214/2025)</t>
        </is>
      </c>
    </row>
    <row r="79" ht="22" customHeight="1">
      <c r="A79" s="6" t="inlineStr">
        <is>
          <t>SKU-0075</t>
        </is>
      </c>
      <c r="B79" s="5" t="n">
        <v>64</v>
      </c>
      <c r="C79" s="7" t="inlineStr">
        <is>
          <t>SIPEAGRO (UF-XXXXX)</t>
        </is>
      </c>
      <c r="D79" s="8" t="inlineStr">
        <is>
          <t>AGCN NITROBIOT</t>
        </is>
      </c>
      <c r="E79" s="7" t="inlineStr">
        <is>
          <t>Embalagem Comercial do Produto</t>
        </is>
      </c>
      <c r="F79" s="7" t="inlineStr">
        <is>
          <t>4X2L (2 L)</t>
        </is>
      </c>
      <c r="G79" s="7" t="inlineStr">
        <is>
          <t>L</t>
        </is>
      </c>
      <c r="H79" s="9" t="n">
        <v>2</v>
      </c>
      <c r="I79" s="7" t="inlineStr">
        <is>
          <t>3002.49.99</t>
        </is>
      </c>
      <c r="J79" s="7" t="inlineStr">
        <is>
          <t>NÃO</t>
        </is>
      </c>
      <c r="K79" s="7" t="inlineStr">
        <is>
          <t>Embalagem de Insumo Nutricional/Biológico (Logística Reversa)</t>
        </is>
      </c>
      <c r="L79" s="7" t="inlineStr">
        <is>
          <t>NÃO</t>
        </is>
      </c>
      <c r="M79" s="7" t="inlineStr">
        <is>
          <t>0,00% (Lei nº 10.925/2004)</t>
        </is>
      </c>
      <c r="N79" s="7" t="inlineStr">
        <is>
          <t>0,925% (LC nº 224/2025)</t>
        </is>
      </c>
      <c r="O79" s="7" t="inlineStr">
        <is>
          <t>0,365% (LC nº 224/2025)</t>
        </is>
      </c>
      <c r="P79" s="7" t="inlineStr">
        <is>
          <t>CST 06</t>
        </is>
      </c>
      <c r="Q79" s="7" t="inlineStr">
        <is>
          <t>CST 73</t>
        </is>
      </c>
      <c r="R79" s="7" t="inlineStr">
        <is>
          <t>Redução de 60% + Diferimento (Art. 138 e Anexo IX LC 214/2025)</t>
        </is>
      </c>
    </row>
    <row r="80" ht="22" customHeight="1">
      <c r="A80" s="12" t="inlineStr">
        <is>
          <t>SKU-0076</t>
        </is>
      </c>
      <c r="B80" s="11" t="n">
        <v>64</v>
      </c>
      <c r="C80" s="13" t="inlineStr">
        <is>
          <t>SIPEAGRO (UF-XXXXX)</t>
        </is>
      </c>
      <c r="D80" s="14" t="inlineStr">
        <is>
          <t>AGCN NITROBIOT</t>
        </is>
      </c>
      <c r="E80" s="13" t="inlineStr">
        <is>
          <t>Faixa 1 TIPI (Apresentação &lt;= 300 g ou mL)</t>
        </is>
      </c>
      <c r="F80" s="13" t="inlineStr">
        <is>
          <t>Fracionado / Amostra &lt;= 0,3 L</t>
        </is>
      </c>
      <c r="G80" s="13" t="inlineStr">
        <is>
          <t>L</t>
        </is>
      </c>
      <c r="H80" s="18" t="n">
        <v>0.3</v>
      </c>
      <c r="I80" s="13" t="inlineStr">
        <is>
          <t>3002.49.99</t>
        </is>
      </c>
      <c r="J80" s="13" t="inlineStr">
        <is>
          <t>NÃO</t>
        </is>
      </c>
      <c r="K80" s="13" t="inlineStr">
        <is>
          <t>Embalagem de Insumo Nutricional/Biológico (Logística Reversa)</t>
        </is>
      </c>
      <c r="L80" s="13" t="inlineStr">
        <is>
          <t>NÃO</t>
        </is>
      </c>
      <c r="M80" s="13" t="inlineStr">
        <is>
          <t>0,00% (Lei nº 10.925/2004)</t>
        </is>
      </c>
      <c r="N80" s="13" t="inlineStr">
        <is>
          <t>0,925% (LC nº 224/2025)</t>
        </is>
      </c>
      <c r="O80" s="13" t="inlineStr">
        <is>
          <t>0,365% (LC nº 224/2025)</t>
        </is>
      </c>
      <c r="P80" s="13" t="inlineStr">
        <is>
          <t>CST 06</t>
        </is>
      </c>
      <c r="Q80" s="13" t="inlineStr">
        <is>
          <t>CST 73</t>
        </is>
      </c>
      <c r="R80" s="13" t="inlineStr">
        <is>
          <t>Redução de 60% + Diferimento (Art. 138 e Anexo IX LC 214/2025)</t>
        </is>
      </c>
    </row>
    <row r="81" ht="22" customHeight="1">
      <c r="A81" s="6" t="inlineStr">
        <is>
          <t>SKU-0077</t>
        </is>
      </c>
      <c r="B81" s="5" t="n">
        <v>65</v>
      </c>
      <c r="C81" s="7" t="inlineStr">
        <is>
          <t>SIPEAGRO (UF-XXXXX)</t>
        </is>
      </c>
      <c r="D81" s="8" t="inlineStr">
        <is>
          <t>AGCN RIZODERMA CX 10X0,5KG</t>
        </is>
      </c>
      <c r="E81" s="7" t="inlineStr">
        <is>
          <t>Embalagem Comercial do Produto</t>
        </is>
      </c>
      <c r="F81" s="7" t="inlineStr">
        <is>
          <t>10X0,5KG (0.5 KG)</t>
        </is>
      </c>
      <c r="G81" s="7" t="inlineStr">
        <is>
          <t>KG</t>
        </is>
      </c>
      <c r="H81" s="17" t="n">
        <v>0.5</v>
      </c>
      <c r="I81" s="7" t="inlineStr">
        <is>
          <t>3808.92.99</t>
        </is>
      </c>
      <c r="J81" s="7" t="inlineStr">
        <is>
          <t>NÃO</t>
        </is>
      </c>
      <c r="K81" s="7" t="inlineStr">
        <is>
          <t>Embalagem de Insumo Nutricional/Biológico (Logística Reversa)</t>
        </is>
      </c>
      <c r="L81" s="7" t="inlineStr">
        <is>
          <t>NÃO</t>
        </is>
      </c>
      <c r="M81" s="7" t="inlineStr">
        <is>
          <t>0,00% (Lei nº 10.925/2004)</t>
        </is>
      </c>
      <c r="N81" s="7" t="inlineStr">
        <is>
          <t>0,925% (LC nº 224/2025)</t>
        </is>
      </c>
      <c r="O81" s="7" t="inlineStr">
        <is>
          <t>0,365% (LC nº 224/2025)</t>
        </is>
      </c>
      <c r="P81" s="7" t="inlineStr">
        <is>
          <t>CST 06</t>
        </is>
      </c>
      <c r="Q81" s="7" t="inlineStr">
        <is>
          <t>CST 73</t>
        </is>
      </c>
      <c r="R81" s="7" t="inlineStr">
        <is>
          <t>Redução de 60% + Diferimento (Art. 138 e Anexo IX LC 214/2025)</t>
        </is>
      </c>
    </row>
    <row r="82" ht="22" customHeight="1">
      <c r="A82" s="12" t="inlineStr">
        <is>
          <t>SKU-0078</t>
        </is>
      </c>
      <c r="B82" s="11" t="n">
        <v>65</v>
      </c>
      <c r="C82" s="13" t="inlineStr">
        <is>
          <t>SIPEAGRO (UF-XXXXX)</t>
        </is>
      </c>
      <c r="D82" s="14" t="inlineStr">
        <is>
          <t>AGCN RIZODERMA CX 10X0,5KG</t>
        </is>
      </c>
      <c r="E82" s="13" t="inlineStr">
        <is>
          <t>Faixa 1 TIPI (Apresentação &lt;= 300 g ou mL)</t>
        </is>
      </c>
      <c r="F82" s="13" t="inlineStr">
        <is>
          <t>Fracionado / Amostra &lt;= 0,3 KG</t>
        </is>
      </c>
      <c r="G82" s="13" t="inlineStr">
        <is>
          <t>KG</t>
        </is>
      </c>
      <c r="H82" s="18" t="n">
        <v>0.3</v>
      </c>
      <c r="I82" s="13" t="inlineStr">
        <is>
          <t>3105.90.90</t>
        </is>
      </c>
      <c r="J82" s="13" t="inlineStr">
        <is>
          <t>NÃO</t>
        </is>
      </c>
      <c r="K82" s="13" t="inlineStr">
        <is>
          <t>Embalagem de Insumo Nutricional/Biológico (Logística Reversa)</t>
        </is>
      </c>
      <c r="L82" s="13" t="inlineStr">
        <is>
          <t>NÃO</t>
        </is>
      </c>
      <c r="M82" s="13" t="inlineStr">
        <is>
          <t>0,00% (Lei nº 10.925/2004)</t>
        </is>
      </c>
      <c r="N82" s="13" t="inlineStr">
        <is>
          <t>0,925% (LC nº 224/2025)</t>
        </is>
      </c>
      <c r="O82" s="13" t="inlineStr">
        <is>
          <t>0,365% (LC nº 224/2025)</t>
        </is>
      </c>
      <c r="P82" s="13" t="inlineStr">
        <is>
          <t>CST 06</t>
        </is>
      </c>
      <c r="Q82" s="13" t="inlineStr">
        <is>
          <t>CST 73</t>
        </is>
      </c>
      <c r="R82" s="13" t="inlineStr">
        <is>
          <t>Redução de 60% + Diferimento (Art. 138 e Anexo IX LC 214/2025)</t>
        </is>
      </c>
    </row>
    <row r="83" ht="22" customHeight="1">
      <c r="A83" s="6" t="inlineStr">
        <is>
          <t>SKU-0079</t>
        </is>
      </c>
      <c r="B83" s="5" t="n">
        <v>66</v>
      </c>
      <c r="C83" s="7" t="inlineStr">
        <is>
          <t>SIPEAGRO (UF-XXXXX)</t>
        </is>
      </c>
      <c r="D83" s="8" t="inlineStr">
        <is>
          <t>AGCN RIZOFOS</t>
        </is>
      </c>
      <c r="E83" s="7" t="inlineStr">
        <is>
          <t>Embalagem Comercial do Produto</t>
        </is>
      </c>
      <c r="F83" s="7" t="inlineStr">
        <is>
          <t>4X2L (2 L)</t>
        </is>
      </c>
      <c r="G83" s="7" t="inlineStr">
        <is>
          <t>L</t>
        </is>
      </c>
      <c r="H83" s="9" t="n">
        <v>2</v>
      </c>
      <c r="I83" s="7" t="inlineStr">
        <is>
          <t>3002.49.99</t>
        </is>
      </c>
      <c r="J83" s="7" t="inlineStr">
        <is>
          <t>NÃO</t>
        </is>
      </c>
      <c r="K83" s="7" t="inlineStr">
        <is>
          <t>Embalagem de Insumo Nutricional/Biológico (Logística Reversa)</t>
        </is>
      </c>
      <c r="L83" s="7" t="inlineStr">
        <is>
          <t>NÃO</t>
        </is>
      </c>
      <c r="M83" s="7" t="inlineStr">
        <is>
          <t>9,25% Real | 3,65% Presumido</t>
        </is>
      </c>
      <c r="N83" s="7" t="inlineStr">
        <is>
          <t>9,250% (Integral)</t>
        </is>
      </c>
      <c r="O83" s="7" t="inlineStr">
        <is>
          <t>3,650% (Integral)</t>
        </is>
      </c>
      <c r="P83" s="7" t="inlineStr">
        <is>
          <t>CST 01</t>
        </is>
      </c>
      <c r="Q83" s="7" t="inlineStr">
        <is>
          <t>CST 50</t>
        </is>
      </c>
      <c r="R83" s="7" t="inlineStr">
        <is>
          <t>Alíquota Padrão Integral (LC 214/2025)</t>
        </is>
      </c>
    </row>
    <row r="84" ht="22" customHeight="1">
      <c r="A84" s="12" t="inlineStr">
        <is>
          <t>SKU-0080</t>
        </is>
      </c>
      <c r="B84" s="11" t="n">
        <v>66</v>
      </c>
      <c r="C84" s="13" t="inlineStr">
        <is>
          <t>SIPEAGRO (UF-XXXXX)</t>
        </is>
      </c>
      <c r="D84" s="14" t="inlineStr">
        <is>
          <t>AGCN RIZOFOS</t>
        </is>
      </c>
      <c r="E84" s="13" t="inlineStr">
        <is>
          <t>Faixa 1 TIPI (Apresentação &lt;= 300 g ou mL)</t>
        </is>
      </c>
      <c r="F84" s="13" t="inlineStr">
        <is>
          <t>Fracionado / Amostra &lt;= 0,3 L</t>
        </is>
      </c>
      <c r="G84" s="13" t="inlineStr">
        <is>
          <t>L</t>
        </is>
      </c>
      <c r="H84" s="18" t="n">
        <v>0.3</v>
      </c>
      <c r="I84" s="13" t="inlineStr">
        <is>
          <t>3002.49.99</t>
        </is>
      </c>
      <c r="J84" s="13" t="inlineStr">
        <is>
          <t>NÃO</t>
        </is>
      </c>
      <c r="K84" s="13" t="inlineStr">
        <is>
          <t>Embalagem de Insumo Nutricional/Biológico (Logística Reversa)</t>
        </is>
      </c>
      <c r="L84" s="13" t="inlineStr">
        <is>
          <t>NÃO</t>
        </is>
      </c>
      <c r="M84" s="13" t="inlineStr">
        <is>
          <t>9,25% Real | 3,65% Presumido</t>
        </is>
      </c>
      <c r="N84" s="13" t="inlineStr">
        <is>
          <t>9,250% (Integral)</t>
        </is>
      </c>
      <c r="O84" s="13" t="inlineStr">
        <is>
          <t>3,650% (Integral)</t>
        </is>
      </c>
      <c r="P84" s="13" t="inlineStr">
        <is>
          <t>CST 01</t>
        </is>
      </c>
      <c r="Q84" s="13" t="inlineStr">
        <is>
          <t>CST 50</t>
        </is>
      </c>
      <c r="R84" s="13" t="inlineStr">
        <is>
          <t>Alíquota Padrão Integral (LC 214/2025)</t>
        </is>
      </c>
    </row>
    <row r="85" ht="22" customHeight="1">
      <c r="A85" s="6" t="inlineStr">
        <is>
          <t>SKU-0081</t>
        </is>
      </c>
      <c r="B85" s="5" t="n">
        <v>67</v>
      </c>
      <c r="C85" s="7" t="inlineStr">
        <is>
          <t>SIPEAGRO (UF-XXXXX)</t>
        </is>
      </c>
      <c r="D85" s="8" t="inlineStr">
        <is>
          <t>AGCN RIZOSPIRILLUM CX 14X1,5L</t>
        </is>
      </c>
      <c r="E85" s="7" t="inlineStr">
        <is>
          <t>Embalagem Comercial do Produto</t>
        </is>
      </c>
      <c r="F85" s="7" t="inlineStr">
        <is>
          <t>14X1,5L (1.5 L)</t>
        </is>
      </c>
      <c r="G85" s="7" t="inlineStr">
        <is>
          <t>L</t>
        </is>
      </c>
      <c r="H85" s="17" t="n">
        <v>1.5</v>
      </c>
      <c r="I85" s="7" t="inlineStr">
        <is>
          <t>3002.49.99</t>
        </is>
      </c>
      <c r="J85" s="7" t="inlineStr">
        <is>
          <t>NÃO</t>
        </is>
      </c>
      <c r="K85" s="7" t="inlineStr">
        <is>
          <t>Embalagem de Insumo Nutricional/Biológico (Logística Reversa)</t>
        </is>
      </c>
      <c r="L85" s="7" t="inlineStr">
        <is>
          <t>NÃO</t>
        </is>
      </c>
      <c r="M85" s="7" t="inlineStr">
        <is>
          <t>0,00% (Lei nº 10.925/2004)</t>
        </is>
      </c>
      <c r="N85" s="7" t="inlineStr">
        <is>
          <t>0,925% (LC nº 224/2025)</t>
        </is>
      </c>
      <c r="O85" s="7" t="inlineStr">
        <is>
          <t>0,365% (LC nº 224/2025)</t>
        </is>
      </c>
      <c r="P85" s="7" t="inlineStr">
        <is>
          <t>CST 06</t>
        </is>
      </c>
      <c r="Q85" s="7" t="inlineStr">
        <is>
          <t>CST 73</t>
        </is>
      </c>
      <c r="R85" s="7" t="inlineStr">
        <is>
          <t>Redução de 60% + Diferimento (Art. 138 e Anexo IX LC 214/2025)</t>
        </is>
      </c>
    </row>
    <row r="86" ht="22" customHeight="1">
      <c r="A86" s="12" t="inlineStr">
        <is>
          <t>SKU-0082</t>
        </is>
      </c>
      <c r="B86" s="11" t="n">
        <v>67</v>
      </c>
      <c r="C86" s="13" t="inlineStr">
        <is>
          <t>SIPEAGRO (UF-XXXXX)</t>
        </is>
      </c>
      <c r="D86" s="14" t="inlineStr">
        <is>
          <t>AGCN RIZOSPIRILLUM CX 14X1,5L</t>
        </is>
      </c>
      <c r="E86" s="13" t="inlineStr">
        <is>
          <t>Faixa 1 TIPI (Apresentação &lt;= 300 g ou mL)</t>
        </is>
      </c>
      <c r="F86" s="13" t="inlineStr">
        <is>
          <t>Fracionado / Amostra &lt;= 0,3 L</t>
        </is>
      </c>
      <c r="G86" s="13" t="inlineStr">
        <is>
          <t>L</t>
        </is>
      </c>
      <c r="H86" s="18" t="n">
        <v>0.3</v>
      </c>
      <c r="I86" s="13" t="inlineStr">
        <is>
          <t>3002.49.99</t>
        </is>
      </c>
      <c r="J86" s="13" t="inlineStr">
        <is>
          <t>NÃO</t>
        </is>
      </c>
      <c r="K86" s="13" t="inlineStr">
        <is>
          <t>Embalagem de Insumo Nutricional/Biológico (Logística Reversa)</t>
        </is>
      </c>
      <c r="L86" s="13" t="inlineStr">
        <is>
          <t>NÃO</t>
        </is>
      </c>
      <c r="M86" s="13" t="inlineStr">
        <is>
          <t>0,00% (Lei nº 10.925/2004)</t>
        </is>
      </c>
      <c r="N86" s="13" t="inlineStr">
        <is>
          <t>0,925% (LC nº 224/2025)</t>
        </is>
      </c>
      <c r="O86" s="13" t="inlineStr">
        <is>
          <t>0,365% (LC nº 224/2025)</t>
        </is>
      </c>
      <c r="P86" s="13" t="inlineStr">
        <is>
          <t>CST 06</t>
        </is>
      </c>
      <c r="Q86" s="13" t="inlineStr">
        <is>
          <t>CST 73</t>
        </is>
      </c>
      <c r="R86" s="13" t="inlineStr">
        <is>
          <t>Redução de 60% + Diferimento (Art. 138 e Anexo IX LC 214/2025)</t>
        </is>
      </c>
    </row>
    <row r="87" ht="22" customHeight="1">
      <c r="A87" s="6" t="inlineStr">
        <is>
          <t>SKU-0083</t>
        </is>
      </c>
      <c r="B87" s="5" t="n">
        <v>68</v>
      </c>
      <c r="C87" s="7" t="inlineStr">
        <is>
          <t>ISENTO (ATO 104/2017)</t>
        </is>
      </c>
      <c r="D87" s="8" t="inlineStr">
        <is>
          <t>AGCN RIZOSPRAY EXTREMO</t>
        </is>
      </c>
      <c r="E87" s="7" t="inlineStr">
        <is>
          <t>Embalagem Comercial do Produto</t>
        </is>
      </c>
      <c r="F87" s="7" t="inlineStr">
        <is>
          <t>4X5L (5 L)</t>
        </is>
      </c>
      <c r="G87" s="7" t="inlineStr">
        <is>
          <t>L</t>
        </is>
      </c>
      <c r="H87" s="9" t="n">
        <v>5</v>
      </c>
      <c r="I87" s="7" t="inlineStr">
        <is>
          <t>3402.90.29</t>
        </is>
      </c>
      <c r="J87" s="7" t="inlineStr">
        <is>
          <t>NÃO</t>
        </is>
      </c>
      <c r="K87" s="7" t="inlineStr">
        <is>
          <t>Embalagem Rígida — LAVÁVEL (Obrigatória Tríplice Lavagem ou Pressão)</t>
        </is>
      </c>
      <c r="L87" s="7" t="inlineStr">
        <is>
          <t>NÃO</t>
        </is>
      </c>
      <c r="M87" s="7" t="inlineStr">
        <is>
          <t>9,25% Real | 3,65% Presumido</t>
        </is>
      </c>
      <c r="N87" s="7" t="inlineStr">
        <is>
          <t>9,250% (Integral)</t>
        </is>
      </c>
      <c r="O87" s="7" t="inlineStr">
        <is>
          <t>3,650% (Integral)</t>
        </is>
      </c>
      <c r="P87" s="7" t="inlineStr">
        <is>
          <t>CST 01</t>
        </is>
      </c>
      <c r="Q87" s="7" t="inlineStr">
        <is>
          <t>CST 50</t>
        </is>
      </c>
      <c r="R87" s="7" t="inlineStr">
        <is>
          <t>Alíquota Padrão Integral (LC 214/2025)</t>
        </is>
      </c>
    </row>
    <row r="88" ht="22" customHeight="1">
      <c r="A88" s="12" t="inlineStr">
        <is>
          <t>SKU-0084</t>
        </is>
      </c>
      <c r="B88" s="11" t="n">
        <v>69</v>
      </c>
      <c r="C88" s="13" t="inlineStr">
        <is>
          <t>ISENTO (ATO 104/2017)</t>
        </is>
      </c>
      <c r="D88" s="14" t="inlineStr">
        <is>
          <t>AGCN SILWET AG</t>
        </is>
      </c>
      <c r="E88" s="13" t="inlineStr">
        <is>
          <t>Embalagem Comercial do Produto</t>
        </is>
      </c>
      <c r="F88" s="13" t="inlineStr">
        <is>
          <t>4X5L (5 L)</t>
        </is>
      </c>
      <c r="G88" s="13" t="inlineStr">
        <is>
          <t>L</t>
        </is>
      </c>
      <c r="H88" s="15" t="n">
        <v>5</v>
      </c>
      <c r="I88" s="13" t="inlineStr">
        <is>
          <t>3402.42.00</t>
        </is>
      </c>
      <c r="J88" s="13" t="inlineStr">
        <is>
          <t>NÃO</t>
        </is>
      </c>
      <c r="K88" s="13" t="inlineStr">
        <is>
          <t>Embalagem Rígida — LAVÁVEL (Obrigatória Tríplice Lavagem ou Pressão)</t>
        </is>
      </c>
      <c r="L88" s="13" t="inlineStr">
        <is>
          <t>NÃO</t>
        </is>
      </c>
      <c r="M88" s="13" t="inlineStr">
        <is>
          <t>9,25% Real | 3,65% Presumido</t>
        </is>
      </c>
      <c r="N88" s="13" t="inlineStr">
        <is>
          <t>9,250% (Integral)</t>
        </is>
      </c>
      <c r="O88" s="13" t="inlineStr">
        <is>
          <t>3,650% (Integral)</t>
        </is>
      </c>
      <c r="P88" s="13" t="inlineStr">
        <is>
          <t>CST 01</t>
        </is>
      </c>
      <c r="Q88" s="13" t="inlineStr">
        <is>
          <t>CST 50</t>
        </is>
      </c>
      <c r="R88" s="13" t="inlineStr">
        <is>
          <t>Alíquota Padrão Integral (LC 214/2025)</t>
        </is>
      </c>
    </row>
    <row r="89" ht="22" customHeight="1">
      <c r="A89" s="6" t="inlineStr">
        <is>
          <t>SKU-0085</t>
        </is>
      </c>
      <c r="B89" s="5" t="n">
        <v>69</v>
      </c>
      <c r="C89" s="7" t="inlineStr">
        <is>
          <t>ISENTO (ATO 104/2017)</t>
        </is>
      </c>
      <c r="D89" s="8" t="inlineStr">
        <is>
          <t>AGCN SILWET AG</t>
        </is>
      </c>
      <c r="E89" s="7" t="inlineStr">
        <is>
          <t>Faixa 1 TIPI (Apresentação &lt;= 300 g ou mL)</t>
        </is>
      </c>
      <c r="F89" s="7" t="inlineStr">
        <is>
          <t>Fracionado / Amostra &lt;= 0,3 L</t>
        </is>
      </c>
      <c r="G89" s="7" t="inlineStr">
        <is>
          <t>L</t>
        </is>
      </c>
      <c r="H89" s="17" t="n">
        <v>0.3</v>
      </c>
      <c r="I89" s="7" t="inlineStr">
        <is>
          <t>3402.90.29</t>
        </is>
      </c>
      <c r="J89" s="7" t="inlineStr">
        <is>
          <t>NÃO</t>
        </is>
      </c>
      <c r="K89" s="7" t="inlineStr">
        <is>
          <t>Embalagem Rígida — LAVÁVEL (Obrigatória Tríplice Lavagem ou Pressão)</t>
        </is>
      </c>
      <c r="L89" s="7" t="inlineStr">
        <is>
          <t>NÃO</t>
        </is>
      </c>
      <c r="M89" s="7" t="inlineStr">
        <is>
          <t>9,25% Real | 3,65% Presumido</t>
        </is>
      </c>
      <c r="N89" s="7" t="inlineStr">
        <is>
          <t>9,250% (Integral)</t>
        </is>
      </c>
      <c r="O89" s="7" t="inlineStr">
        <is>
          <t>3,650% (Integral)</t>
        </is>
      </c>
      <c r="P89" s="7" t="inlineStr">
        <is>
          <t>CST 01</t>
        </is>
      </c>
      <c r="Q89" s="7" t="inlineStr">
        <is>
          <t>CST 50</t>
        </is>
      </c>
      <c r="R89" s="7" t="inlineStr">
        <is>
          <t>Alíquota Padrão Integral (LC 214/2025)</t>
        </is>
      </c>
    </row>
    <row r="90" ht="22" customHeight="1">
      <c r="A90" s="12" t="inlineStr">
        <is>
          <t>SKU-0086</t>
        </is>
      </c>
      <c r="B90" s="11" t="n">
        <v>70</v>
      </c>
      <c r="C90" s="13" t="inlineStr">
        <is>
          <t>SIPEAGRO (UF-XXXXX)</t>
        </is>
      </c>
      <c r="D90" s="14" t="inlineStr">
        <is>
          <t>BIOMAX AZUM 5X1.8L</t>
        </is>
      </c>
      <c r="E90" s="13" t="inlineStr">
        <is>
          <t>Embalagem Comercial do Produto</t>
        </is>
      </c>
      <c r="F90" s="13" t="inlineStr">
        <is>
          <t>5X1.8L (1.8 L)</t>
        </is>
      </c>
      <c r="G90" s="13" t="inlineStr">
        <is>
          <t>L</t>
        </is>
      </c>
      <c r="H90" s="18" t="n">
        <v>1.8</v>
      </c>
      <c r="I90" s="13" t="inlineStr">
        <is>
          <t>3002.49.99</t>
        </is>
      </c>
      <c r="J90" s="13" t="inlineStr">
        <is>
          <t>NÃO</t>
        </is>
      </c>
      <c r="K90" s="13" t="inlineStr">
        <is>
          <t>Embalagem de Insumo Nutricional/Biológico (Logística Reversa)</t>
        </is>
      </c>
      <c r="L90" s="13" t="inlineStr">
        <is>
          <t>NÃO</t>
        </is>
      </c>
      <c r="M90" s="13" t="inlineStr">
        <is>
          <t>0,00% (Lei nº 10.925/2004)</t>
        </is>
      </c>
      <c r="N90" s="13" t="inlineStr">
        <is>
          <t>0,925% (LC nº 224/2025)</t>
        </is>
      </c>
      <c r="O90" s="13" t="inlineStr">
        <is>
          <t>0,365% (LC nº 224/2025)</t>
        </is>
      </c>
      <c r="P90" s="13" t="inlineStr">
        <is>
          <t>CST 06</t>
        </is>
      </c>
      <c r="Q90" s="13" t="inlineStr">
        <is>
          <t>CST 73</t>
        </is>
      </c>
      <c r="R90" s="13" t="inlineStr">
        <is>
          <t>Redução de 60% + Diferimento (Art. 138 e Anexo IX LC 214/2025)</t>
        </is>
      </c>
    </row>
    <row r="91" ht="22" customHeight="1">
      <c r="A91" s="6" t="inlineStr">
        <is>
          <t>SKU-0087</t>
        </is>
      </c>
      <c r="B91" s="5" t="n">
        <v>70</v>
      </c>
      <c r="C91" s="7" t="inlineStr">
        <is>
          <t>SIPEAGRO (UF-XXXXX)</t>
        </is>
      </c>
      <c r="D91" s="8" t="inlineStr">
        <is>
          <t>BIOMAX AZUM 5X1.8L</t>
        </is>
      </c>
      <c r="E91" s="7" t="inlineStr">
        <is>
          <t>Faixa 1 TIPI (Apresentação &lt;= 300 g ou mL)</t>
        </is>
      </c>
      <c r="F91" s="7" t="inlineStr">
        <is>
          <t>Fracionado / Amostra &lt;= 0,3 L</t>
        </is>
      </c>
      <c r="G91" s="7" t="inlineStr">
        <is>
          <t>L</t>
        </is>
      </c>
      <c r="H91" s="17" t="n">
        <v>0.3</v>
      </c>
      <c r="I91" s="7" t="inlineStr">
        <is>
          <t>3002.49.99</t>
        </is>
      </c>
      <c r="J91" s="7" t="inlineStr">
        <is>
          <t>NÃO</t>
        </is>
      </c>
      <c r="K91" s="7" t="inlineStr">
        <is>
          <t>Embalagem de Insumo Nutricional/Biológico (Logística Reversa)</t>
        </is>
      </c>
      <c r="L91" s="7" t="inlineStr">
        <is>
          <t>NÃO</t>
        </is>
      </c>
      <c r="M91" s="7" t="inlineStr">
        <is>
          <t>0,00% (Lei nº 10.925/2004)</t>
        </is>
      </c>
      <c r="N91" s="7" t="inlineStr">
        <is>
          <t>0,925% (LC nº 224/2025)</t>
        </is>
      </c>
      <c r="O91" s="7" t="inlineStr">
        <is>
          <t>0,365% (LC nº 224/2025)</t>
        </is>
      </c>
      <c r="P91" s="7" t="inlineStr">
        <is>
          <t>CST 06</t>
        </is>
      </c>
      <c r="Q91" s="7" t="inlineStr">
        <is>
          <t>CST 73</t>
        </is>
      </c>
      <c r="R91" s="7" t="inlineStr">
        <is>
          <t>Redução de 60% + Diferimento (Art. 138 e Anexo IX LC 214/2025)</t>
        </is>
      </c>
    </row>
    <row r="92" ht="22" customHeight="1">
      <c r="A92" s="12" t="inlineStr">
        <is>
          <t>SKU-0088</t>
        </is>
      </c>
      <c r="B92" s="11" t="n">
        <v>71</v>
      </c>
      <c r="C92" s="13" t="inlineStr">
        <is>
          <t>SIPEAGRO (UF-XXXXX)</t>
        </is>
      </c>
      <c r="D92" s="14" t="inlineStr">
        <is>
          <t>AGCN POTASSIO</t>
        </is>
      </c>
      <c r="E92" s="13" t="inlineStr">
        <is>
          <t>Embalagem Comercial do Produto</t>
        </is>
      </c>
      <c r="F92" s="13" t="inlineStr">
        <is>
          <t>1X20L (20 L)</t>
        </is>
      </c>
      <c r="G92" s="13" t="inlineStr">
        <is>
          <t>L</t>
        </is>
      </c>
      <c r="H92" s="15" t="n">
        <v>20</v>
      </c>
      <c r="I92" s="13" t="inlineStr">
        <is>
          <t>3105.90.90</t>
        </is>
      </c>
      <c r="J92" s="13" t="inlineStr">
        <is>
          <t>NÃO</t>
        </is>
      </c>
      <c r="K92" s="13" t="inlineStr">
        <is>
          <t>Embalagem de Insumo Nutricional/Biológico (Logística Reversa)</t>
        </is>
      </c>
      <c r="L92" s="13" t="inlineStr">
        <is>
          <t>NÃO</t>
        </is>
      </c>
      <c r="M92" s="13" t="inlineStr">
        <is>
          <t>0,00% (Lei nº 10.925/2004)</t>
        </is>
      </c>
      <c r="N92" s="13" t="inlineStr">
        <is>
          <t>0,925% (LC nº 224/2025)</t>
        </is>
      </c>
      <c r="O92" s="13" t="inlineStr">
        <is>
          <t>0,365% (LC nº 224/2025)</t>
        </is>
      </c>
      <c r="P92" s="13" t="inlineStr">
        <is>
          <t>CST 06</t>
        </is>
      </c>
      <c r="Q92" s="13" t="inlineStr">
        <is>
          <t>CST 73</t>
        </is>
      </c>
      <c r="R92" s="13" t="inlineStr">
        <is>
          <t>Redução de 60% + Diferimento (Art. 138 e Anexo IX LC 214/2025)</t>
        </is>
      </c>
    </row>
    <row r="93" ht="22" customHeight="1">
      <c r="A93" s="6" t="inlineStr">
        <is>
          <t>SKU-0089</t>
        </is>
      </c>
      <c r="B93" s="5" t="n">
        <v>71</v>
      </c>
      <c r="C93" s="7" t="inlineStr">
        <is>
          <t>SIPEAGRO (UF-XXXXX)</t>
        </is>
      </c>
      <c r="D93" s="8" t="inlineStr">
        <is>
          <t>AGCN POTASSIO</t>
        </is>
      </c>
      <c r="E93" s="7" t="inlineStr">
        <is>
          <t>Faixa 1 TIPI (Apresentação &lt;= 300 g ou mL)</t>
        </is>
      </c>
      <c r="F93" s="7" t="inlineStr">
        <is>
          <t>Fracionado / Amostra &lt;= 0,3 L</t>
        </is>
      </c>
      <c r="G93" s="7" t="inlineStr">
        <is>
          <t>L</t>
        </is>
      </c>
      <c r="H93" s="17" t="n">
        <v>0.3</v>
      </c>
      <c r="I93" s="7" t="inlineStr">
        <is>
          <t>3105.90.90</t>
        </is>
      </c>
      <c r="J93" s="7" t="inlineStr">
        <is>
          <t>NÃO</t>
        </is>
      </c>
      <c r="K93" s="7" t="inlineStr">
        <is>
          <t>Embalagem de Insumo Nutricional/Biológico (Logística Reversa)</t>
        </is>
      </c>
      <c r="L93" s="7" t="inlineStr">
        <is>
          <t>NÃO</t>
        </is>
      </c>
      <c r="M93" s="7" t="inlineStr">
        <is>
          <t>0,00% (Lei nº 10.925/2004)</t>
        </is>
      </c>
      <c r="N93" s="7" t="inlineStr">
        <is>
          <t>0,925% (LC nº 224/2025)</t>
        </is>
      </c>
      <c r="O93" s="7" t="inlineStr">
        <is>
          <t>0,365% (LC nº 224/2025)</t>
        </is>
      </c>
      <c r="P93" s="7" t="inlineStr">
        <is>
          <t>CST 06</t>
        </is>
      </c>
      <c r="Q93" s="7" t="inlineStr">
        <is>
          <t>CST 73</t>
        </is>
      </c>
      <c r="R93" s="7" t="inlineStr">
        <is>
          <t>Redução de 60% + Diferimento (Art. 138 e Anexo IX LC 214/2025)</t>
        </is>
      </c>
    </row>
    <row r="94" ht="22" customHeight="1">
      <c r="A94" s="12" t="inlineStr">
        <is>
          <t>SKU-0090</t>
        </is>
      </c>
      <c r="B94" s="11" t="n">
        <v>72</v>
      </c>
      <c r="C94" s="13" t="inlineStr">
        <is>
          <t>Nº 2020</t>
        </is>
      </c>
      <c r="D94" s="14" t="inlineStr">
        <is>
          <t>SAMURAI</t>
        </is>
      </c>
      <c r="E94" s="13" t="inlineStr">
        <is>
          <t>Embalagem Comercial do Produto</t>
        </is>
      </c>
      <c r="F94" s="13" t="inlineStr">
        <is>
          <t>1X20L (20 L)</t>
        </is>
      </c>
      <c r="G94" s="13" t="inlineStr">
        <is>
          <t>L</t>
        </is>
      </c>
      <c r="H94" s="15" t="n">
        <v>20</v>
      </c>
      <c r="I94" s="13" t="inlineStr">
        <is>
          <t>3808.69.90</t>
        </is>
      </c>
      <c r="J94" s="13" t="inlineStr">
        <is>
          <t>SIM</t>
        </is>
      </c>
      <c r="K94" s="13" t="inlineStr">
        <is>
          <t>Embalagem Rígida — LAVÁVEL (Obrigatória Tríplice Lavagem ou Pressão)</t>
        </is>
      </c>
      <c r="L94" s="13" t="inlineStr">
        <is>
          <t>NÃO</t>
        </is>
      </c>
      <c r="M94" s="13" t="inlineStr">
        <is>
          <t>0,00% (Lei nº 10.925/2004)</t>
        </is>
      </c>
      <c r="N94" s="13" t="inlineStr">
        <is>
          <t>0,925% (LC nº 224/2025)</t>
        </is>
      </c>
      <c r="O94" s="13" t="inlineStr">
        <is>
          <t>0,365% (LC nº 224/2025)</t>
        </is>
      </c>
      <c r="P94" s="13" t="inlineStr">
        <is>
          <t>CST 06</t>
        </is>
      </c>
      <c r="Q94" s="13" t="inlineStr">
        <is>
          <t>CST 73</t>
        </is>
      </c>
      <c r="R94" s="13" t="inlineStr">
        <is>
          <t>Redução de 60% + Diferimento (Art. 138 e Anexo IX LC 214/2025)</t>
        </is>
      </c>
    </row>
    <row r="95" ht="22" customHeight="1">
      <c r="A95" s="6" t="inlineStr">
        <is>
          <t>SKU-0091</t>
        </is>
      </c>
      <c r="B95" s="5" t="n">
        <v>72</v>
      </c>
      <c r="C95" s="7" t="inlineStr">
        <is>
          <t>Nº 2020</t>
        </is>
      </c>
      <c r="D95" s="8" t="inlineStr">
        <is>
          <t>SAMURAI</t>
        </is>
      </c>
      <c r="E95" s="7" t="inlineStr">
        <is>
          <t>Faixa 1 TIPI (Apresentação &lt;= 300 g ou mL)</t>
        </is>
      </c>
      <c r="F95" s="7" t="inlineStr">
        <is>
          <t>Fracionado / Amostra &lt;= 0,3 L</t>
        </is>
      </c>
      <c r="G95" s="7" t="inlineStr">
        <is>
          <t>L</t>
        </is>
      </c>
      <c r="H95" s="17" t="n">
        <v>0.3</v>
      </c>
      <c r="I95" s="7" t="inlineStr">
        <is>
          <t>3808.61.00</t>
        </is>
      </c>
      <c r="J95" s="7" t="inlineStr">
        <is>
          <t>SIM</t>
        </is>
      </c>
      <c r="K95" s="7" t="inlineStr">
        <is>
          <t>Embalagem Rígida — LAVÁVEL (Obrigatória Tríplice Lavagem ou Pressão)</t>
        </is>
      </c>
      <c r="L95" s="7" t="inlineStr">
        <is>
          <t>NÃO</t>
        </is>
      </c>
      <c r="M95" s="7" t="inlineStr">
        <is>
          <t>0,00% (Lei nº 10.925/2004)</t>
        </is>
      </c>
      <c r="N95" s="7" t="inlineStr">
        <is>
          <t>0,925% (LC nº 224/2025)</t>
        </is>
      </c>
      <c r="O95" s="7" t="inlineStr">
        <is>
          <t>0,365% (LC nº 224/2025)</t>
        </is>
      </c>
      <c r="P95" s="7" t="inlineStr">
        <is>
          <t>CST 06</t>
        </is>
      </c>
      <c r="Q95" s="7" t="inlineStr">
        <is>
          <t>CST 73</t>
        </is>
      </c>
      <c r="R95" s="7" t="inlineStr">
        <is>
          <t>Redução de 60% + Diferimento (Art. 138 e Anexo IX LC 214/2025)</t>
        </is>
      </c>
    </row>
    <row r="96" ht="22" customHeight="1">
      <c r="A96" s="12" t="inlineStr">
        <is>
          <t>SKU-0092</t>
        </is>
      </c>
      <c r="B96" s="11" t="n">
        <v>73</v>
      </c>
      <c r="C96" s="13" t="inlineStr">
        <is>
          <t>Nº 4110</t>
        </is>
      </c>
      <c r="D96" s="14" t="inlineStr">
        <is>
          <t>TRINCA CAPS</t>
        </is>
      </c>
      <c r="E96" s="13" t="inlineStr">
        <is>
          <t>Embalagem Comercial do Produto</t>
        </is>
      </c>
      <c r="F96" s="13" t="inlineStr">
        <is>
          <t>4X5L (5 L)</t>
        </is>
      </c>
      <c r="G96" s="13" t="inlineStr">
        <is>
          <t>L</t>
        </is>
      </c>
      <c r="H96" s="15" t="n">
        <v>5</v>
      </c>
      <c r="I96" s="13" t="inlineStr">
        <is>
          <t>3808.62.90</t>
        </is>
      </c>
      <c r="J96" s="13" t="inlineStr">
        <is>
          <t>SIM</t>
        </is>
      </c>
      <c r="K96" s="13" t="inlineStr">
        <is>
          <t>Embalagem Rígida — LAVÁVEL (Obrigatória Tríplice Lavagem ou Pressão)</t>
        </is>
      </c>
      <c r="L96" s="13" t="inlineStr">
        <is>
          <t>NÃO</t>
        </is>
      </c>
      <c r="M96" s="13" t="inlineStr">
        <is>
          <t>0,00% (Lei nº 10.925/2004)</t>
        </is>
      </c>
      <c r="N96" s="13" t="inlineStr">
        <is>
          <t>0,925% (LC nº 224/2025)</t>
        </is>
      </c>
      <c r="O96" s="13" t="inlineStr">
        <is>
          <t>0,365% (LC nº 224/2025)</t>
        </is>
      </c>
      <c r="P96" s="13" t="inlineStr">
        <is>
          <t>CST 06</t>
        </is>
      </c>
      <c r="Q96" s="13" t="inlineStr">
        <is>
          <t>CST 73</t>
        </is>
      </c>
      <c r="R96" s="13" t="inlineStr">
        <is>
          <t>Redução de 60% + Diferimento (Art. 138 e Anexo IX LC 214/2025)</t>
        </is>
      </c>
    </row>
    <row r="97" ht="22" customHeight="1">
      <c r="A97" s="6" t="inlineStr">
        <is>
          <t>SKU-0093</t>
        </is>
      </c>
      <c r="B97" s="5" t="n">
        <v>73</v>
      </c>
      <c r="C97" s="7" t="inlineStr">
        <is>
          <t>Nº 4110</t>
        </is>
      </c>
      <c r="D97" s="8" t="inlineStr">
        <is>
          <t>TRINCA CAPS</t>
        </is>
      </c>
      <c r="E97" s="7" t="inlineStr">
        <is>
          <t>Faixa 1 TIPI (Apresentação &lt;= 300 g ou mL)</t>
        </is>
      </c>
      <c r="F97" s="7" t="inlineStr">
        <is>
          <t>Fracionado / Amostra &lt;= 0,3 L</t>
        </is>
      </c>
      <c r="G97" s="7" t="inlineStr">
        <is>
          <t>L</t>
        </is>
      </c>
      <c r="H97" s="17" t="n">
        <v>0.3</v>
      </c>
      <c r="I97" s="7" t="inlineStr">
        <is>
          <t>3808.61.00</t>
        </is>
      </c>
      <c r="J97" s="7" t="inlineStr">
        <is>
          <t>SIM</t>
        </is>
      </c>
      <c r="K97" s="7" t="inlineStr">
        <is>
          <t>Embalagem Rígida — LAVÁVEL (Obrigatória Tríplice Lavagem ou Pressão)</t>
        </is>
      </c>
      <c r="L97" s="7" t="inlineStr">
        <is>
          <t>NÃO</t>
        </is>
      </c>
      <c r="M97" s="7" t="inlineStr">
        <is>
          <t>0,00% (Lei nº 10.925/2004)</t>
        </is>
      </c>
      <c r="N97" s="7" t="inlineStr">
        <is>
          <t>0,925% (LC nº 224/2025)</t>
        </is>
      </c>
      <c r="O97" s="7" t="inlineStr">
        <is>
          <t>0,365% (LC nº 224/2025)</t>
        </is>
      </c>
      <c r="P97" s="7" t="inlineStr">
        <is>
          <t>CST 06</t>
        </is>
      </c>
      <c r="Q97" s="7" t="inlineStr">
        <is>
          <t>CST 73</t>
        </is>
      </c>
      <c r="R97" s="7" t="inlineStr">
        <is>
          <t>Redução de 60% + Diferimento (Art. 138 e Anexo IX LC 214/2025)</t>
        </is>
      </c>
    </row>
    <row r="98" ht="22" customHeight="1">
      <c r="A98" s="12" t="inlineStr">
        <is>
          <t>SKU-0094</t>
        </is>
      </c>
      <c r="B98" s="11" t="n">
        <v>74</v>
      </c>
      <c r="C98" s="13" t="inlineStr">
        <is>
          <t>Nº 17618</t>
        </is>
      </c>
      <c r="D98" s="14" t="inlineStr">
        <is>
          <t>KRATON 100 EC</t>
        </is>
      </c>
      <c r="E98" s="13" t="inlineStr">
        <is>
          <t>Embalagem Comercial do Produto</t>
        </is>
      </c>
      <c r="F98" s="13" t="inlineStr">
        <is>
          <t>4X5L (5 L)</t>
        </is>
      </c>
      <c r="G98" s="13" t="inlineStr">
        <is>
          <t>L</t>
        </is>
      </c>
      <c r="H98" s="15" t="n">
        <v>5</v>
      </c>
      <c r="I98" s="13" t="inlineStr">
        <is>
          <t>3808.91.99</t>
        </is>
      </c>
      <c r="J98" s="13" t="inlineStr">
        <is>
          <t>NÃO</t>
        </is>
      </c>
      <c r="K98" s="13" t="inlineStr">
        <is>
          <t>Embalagem Rígida — LAVÁVEL (Obrigatória Tríplice Lavagem ou Pressão)</t>
        </is>
      </c>
      <c r="L98" s="13" t="inlineStr">
        <is>
          <t>NÃO</t>
        </is>
      </c>
      <c r="M98" s="13" t="inlineStr">
        <is>
          <t>0,00% (Lei nº 10.925/2004)</t>
        </is>
      </c>
      <c r="N98" s="13" t="inlineStr">
        <is>
          <t>0,925% (LC nº 224/2025)</t>
        </is>
      </c>
      <c r="O98" s="13" t="inlineStr">
        <is>
          <t>0,365% (LC nº 224/2025)</t>
        </is>
      </c>
      <c r="P98" s="13" t="inlineStr">
        <is>
          <t>CST 06</t>
        </is>
      </c>
      <c r="Q98" s="13" t="inlineStr">
        <is>
          <t>CST 73</t>
        </is>
      </c>
      <c r="R98" s="13" t="inlineStr">
        <is>
          <t>Redução de 60% + Diferimento (Art. 138 e Anexo IX LC 214/2025)</t>
        </is>
      </c>
    </row>
    <row r="99" ht="22" customHeight="1">
      <c r="A99" s="6" t="inlineStr">
        <is>
          <t>SKU-0095</t>
        </is>
      </c>
      <c r="B99" s="5" t="n">
        <v>75</v>
      </c>
      <c r="C99" s="7" t="inlineStr">
        <is>
          <t>SIPEAGRO (UF-XXXXX)</t>
        </is>
      </c>
      <c r="D99" s="8" t="inlineStr">
        <is>
          <t>AGCN MAGNESIO</t>
        </is>
      </c>
      <c r="E99" s="7" t="inlineStr">
        <is>
          <t>Embalagem Comercial do Produto</t>
        </is>
      </c>
      <c r="F99" s="7" t="inlineStr">
        <is>
          <t>1X25KG (25 KG)</t>
        </is>
      </c>
      <c r="G99" s="7" t="inlineStr">
        <is>
          <t>KG</t>
        </is>
      </c>
      <c r="H99" s="9" t="n">
        <v>25</v>
      </c>
      <c r="I99" s="7" t="inlineStr">
        <is>
          <t>3102.90.00</t>
        </is>
      </c>
      <c r="J99" s="7" t="inlineStr">
        <is>
          <t>NÃO</t>
        </is>
      </c>
      <c r="K99" s="7" t="inlineStr">
        <is>
          <t>Embalagem de Insumo Nutricional/Biológico (Logística Reversa)</t>
        </is>
      </c>
      <c r="L99" s="7" t="inlineStr">
        <is>
          <t>NÃO</t>
        </is>
      </c>
      <c r="M99" s="7" t="inlineStr">
        <is>
          <t>0,00% (Lei nº 10.925/2004)</t>
        </is>
      </c>
      <c r="N99" s="7" t="inlineStr">
        <is>
          <t>0,925% (LC nº 224/2025)</t>
        </is>
      </c>
      <c r="O99" s="7" t="inlineStr">
        <is>
          <t>0,365% (LC nº 224/2025)</t>
        </is>
      </c>
      <c r="P99" s="7" t="inlineStr">
        <is>
          <t>CST 06</t>
        </is>
      </c>
      <c r="Q99" s="7" t="inlineStr">
        <is>
          <t>CST 73</t>
        </is>
      </c>
      <c r="R99" s="7" t="inlineStr">
        <is>
          <t>Redução de 60% + Diferimento (Art. 138 e Anexo IX LC 214/2025)</t>
        </is>
      </c>
    </row>
    <row r="100" ht="22" customHeight="1">
      <c r="A100" s="12" t="inlineStr">
        <is>
          <t>SKU-0096</t>
        </is>
      </c>
      <c r="B100" s="11" t="n">
        <v>75</v>
      </c>
      <c r="C100" s="13" t="inlineStr">
        <is>
          <t>SIPEAGRO (UF-XXXXX)</t>
        </is>
      </c>
      <c r="D100" s="14" t="inlineStr">
        <is>
          <t>AGCN MAGNESIO</t>
        </is>
      </c>
      <c r="E100" s="13" t="inlineStr">
        <is>
          <t>Faixa 1 TIPI (Apresentação &lt;= 300 g ou mL)</t>
        </is>
      </c>
      <c r="F100" s="13" t="inlineStr">
        <is>
          <t>Fracionado / Amostra &lt;= 0,3 KG</t>
        </is>
      </c>
      <c r="G100" s="13" t="inlineStr">
        <is>
          <t>KG</t>
        </is>
      </c>
      <c r="H100" s="18" t="n">
        <v>0.3</v>
      </c>
      <c r="I100" s="13" t="inlineStr">
        <is>
          <t>2833.29.70</t>
        </is>
      </c>
      <c r="J100" s="13" t="inlineStr">
        <is>
          <t>NÃO</t>
        </is>
      </c>
      <c r="K100" s="13" t="inlineStr">
        <is>
          <t>Embalagem de Insumo Nutricional/Biológico (Logística Reversa)</t>
        </is>
      </c>
      <c r="L100" s="13" t="inlineStr">
        <is>
          <t>NÃO</t>
        </is>
      </c>
      <c r="M100" s="13" t="inlineStr">
        <is>
          <t>0,00% (Lei nº 10.925/2004)</t>
        </is>
      </c>
      <c r="N100" s="13" t="inlineStr">
        <is>
          <t>0,925% (LC nº 224/2025)</t>
        </is>
      </c>
      <c r="O100" s="13" t="inlineStr">
        <is>
          <t>0,365% (LC nº 224/2025)</t>
        </is>
      </c>
      <c r="P100" s="13" t="inlineStr">
        <is>
          <t>CST 06</t>
        </is>
      </c>
      <c r="Q100" s="13" t="inlineStr">
        <is>
          <t>CST 73</t>
        </is>
      </c>
      <c r="R100" s="13" t="inlineStr">
        <is>
          <t>Redução de 60% + Diferimento (Art. 138 e Anexo IX LC 214/2025)</t>
        </is>
      </c>
    </row>
    <row r="101" ht="22" customHeight="1">
      <c r="A101" s="6" t="inlineStr">
        <is>
          <t>SKU-0097</t>
        </is>
      </c>
      <c r="B101" s="5" t="n">
        <v>76</v>
      </c>
      <c r="C101" s="7" t="inlineStr">
        <is>
          <t>SIPEAGRO (UF-XXXXX)</t>
        </is>
      </c>
      <c r="D101" s="8" t="inlineStr">
        <is>
          <t>HAIFA MAG</t>
        </is>
      </c>
      <c r="E101" s="7" t="inlineStr">
        <is>
          <t>Embalagem Comercial do Produto</t>
        </is>
      </c>
      <c r="F101" s="7" t="inlineStr">
        <is>
          <t>1X25KG (25 KG)</t>
        </is>
      </c>
      <c r="G101" s="7" t="inlineStr">
        <is>
          <t>KG</t>
        </is>
      </c>
      <c r="H101" s="9" t="n">
        <v>25</v>
      </c>
      <c r="I101" s="7" t="inlineStr">
        <is>
          <t>2834.29.90</t>
        </is>
      </c>
      <c r="J101" s="7" t="inlineStr">
        <is>
          <t>NÃO</t>
        </is>
      </c>
      <c r="K101" s="7" t="inlineStr">
        <is>
          <t>Embalagem de Insumo Nutricional/Biológico (Logística Reversa)</t>
        </is>
      </c>
      <c r="L101" s="7" t="inlineStr">
        <is>
          <t>NÃO</t>
        </is>
      </c>
      <c r="M101" s="7" t="inlineStr">
        <is>
          <t>0,00% (Lei nº 10.925/2004)</t>
        </is>
      </c>
      <c r="N101" s="7" t="inlineStr">
        <is>
          <t>0,925% (LC nº 224/2025)</t>
        </is>
      </c>
      <c r="O101" s="7" t="inlineStr">
        <is>
          <t>0,365% (LC nº 224/2025)</t>
        </is>
      </c>
      <c r="P101" s="7" t="inlineStr">
        <is>
          <t>CST 06 (Uso Agrícola/Industrial)</t>
        </is>
      </c>
      <c r="Q101" s="7" t="inlineStr">
        <is>
          <t>CST 73 (Revenda / Destinação)</t>
        </is>
      </c>
      <c r="R101" s="7" t="inlineStr">
        <is>
          <t>Redução de 60% + Diferimento (Art. 138 LC 214/2025)</t>
        </is>
      </c>
    </row>
    <row r="102" ht="22" customHeight="1">
      <c r="A102" s="12" t="inlineStr">
        <is>
          <t>SKU-0098</t>
        </is>
      </c>
      <c r="B102" s="11" t="n">
        <v>76</v>
      </c>
      <c r="C102" s="13" t="inlineStr">
        <is>
          <t>SIPEAGRO (UF-XXXXX)</t>
        </is>
      </c>
      <c r="D102" s="14" t="inlineStr">
        <is>
          <t>HAIFA MAG</t>
        </is>
      </c>
      <c r="E102" s="13" t="inlineStr">
        <is>
          <t>Faixa 1 TIPI (Apresentação &lt;= 300 g ou mL)</t>
        </is>
      </c>
      <c r="F102" s="13" t="inlineStr">
        <is>
          <t>Fracionado / Amostra &lt;= 0,3 KG</t>
        </is>
      </c>
      <c r="G102" s="13" t="inlineStr">
        <is>
          <t>KG</t>
        </is>
      </c>
      <c r="H102" s="18" t="n">
        <v>0.3</v>
      </c>
      <c r="I102" s="13" t="inlineStr">
        <is>
          <t>3105.90.90</t>
        </is>
      </c>
      <c r="J102" s="13" t="inlineStr">
        <is>
          <t>NÃO</t>
        </is>
      </c>
      <c r="K102" s="13" t="inlineStr">
        <is>
          <t>Embalagem de Insumo Nutricional/Biológico (Logística Reversa)</t>
        </is>
      </c>
      <c r="L102" s="13" t="inlineStr">
        <is>
          <t>NÃO</t>
        </is>
      </c>
      <c r="M102" s="13" t="inlineStr">
        <is>
          <t>0,00% (Lei nº 10.925/2004)</t>
        </is>
      </c>
      <c r="N102" s="13" t="inlineStr">
        <is>
          <t>0,925% (LC nº 224/2025)</t>
        </is>
      </c>
      <c r="O102" s="13" t="inlineStr">
        <is>
          <t>0,365% (LC nº 224/2025)</t>
        </is>
      </c>
      <c r="P102" s="13" t="inlineStr">
        <is>
          <t>CST 06 (Uso Agrícola/Industrial)</t>
        </is>
      </c>
      <c r="Q102" s="13" t="inlineStr">
        <is>
          <t>CST 73 (Revenda / Destinação)</t>
        </is>
      </c>
      <c r="R102" s="13" t="inlineStr">
        <is>
          <t>Redução de 60% + Diferimento (Art. 138 LC 214/2025)</t>
        </is>
      </c>
    </row>
    <row r="103" ht="22" customHeight="1">
      <c r="A103" s="6" t="inlineStr">
        <is>
          <t>SKU-0099</t>
        </is>
      </c>
      <c r="B103" s="5" t="n">
        <v>77</v>
      </c>
      <c r="C103" s="7" t="inlineStr">
        <is>
          <t>Nº 1921</t>
        </is>
      </c>
      <c r="D103" s="8" t="inlineStr">
        <is>
          <t>EMZEB PLATINA 750 WG</t>
        </is>
      </c>
      <c r="E103" s="7" t="inlineStr">
        <is>
          <t>Embalagem Comercial do Produto</t>
        </is>
      </c>
      <c r="F103" s="7" t="inlineStr">
        <is>
          <t>1X15KG (15 KG)</t>
        </is>
      </c>
      <c r="G103" s="7" t="inlineStr">
        <is>
          <t>KG</t>
        </is>
      </c>
      <c r="H103" s="9" t="n">
        <v>15</v>
      </c>
      <c r="I103" s="7" t="inlineStr">
        <is>
          <t>3808.92.93</t>
        </is>
      </c>
      <c r="J103" s="7" t="inlineStr">
        <is>
          <t>NÃO</t>
        </is>
      </c>
      <c r="K103" s="7" t="inlineStr">
        <is>
          <t>Embalagem Flexível — NÃO LAVÁVEL (Perfurar e usar saco ABNT)</t>
        </is>
      </c>
      <c r="L103" s="7" t="inlineStr">
        <is>
          <t>SIM (Saco Transparente ABNT)</t>
        </is>
      </c>
      <c r="M103" s="7" t="inlineStr">
        <is>
          <t>0,00% (Lei nº 10.925/2004)</t>
        </is>
      </c>
      <c r="N103" s="7" t="inlineStr">
        <is>
          <t>0,925% (LC nº 224/2025)</t>
        </is>
      </c>
      <c r="O103" s="7" t="inlineStr">
        <is>
          <t>0,365% (LC nº 224/2025)</t>
        </is>
      </c>
      <c r="P103" s="7" t="inlineStr">
        <is>
          <t>CST 06</t>
        </is>
      </c>
      <c r="Q103" s="7" t="inlineStr">
        <is>
          <t>CST 73</t>
        </is>
      </c>
      <c r="R103" s="7" t="inlineStr">
        <is>
          <t>Redução de 60% + Diferimento (Art. 138 e Anexo IX LC 214/2025)</t>
        </is>
      </c>
    </row>
    <row r="104" ht="22" customHeight="1">
      <c r="A104" s="12" t="inlineStr">
        <is>
          <t>SKU-0100</t>
        </is>
      </c>
      <c r="B104" s="11" t="n">
        <v>78</v>
      </c>
      <c r="C104" s="13" t="inlineStr">
        <is>
          <t>Nº 0720</t>
        </is>
      </c>
      <c r="D104" s="14" t="inlineStr">
        <is>
          <t>INDOZEB 750 WG</t>
        </is>
      </c>
      <c r="E104" s="13" t="inlineStr">
        <is>
          <t>Embalagem Comercial do Produto</t>
        </is>
      </c>
      <c r="F104" s="13" t="inlineStr">
        <is>
          <t>1X25KG (25 KG)</t>
        </is>
      </c>
      <c r="G104" s="13" t="inlineStr">
        <is>
          <t>KG</t>
        </is>
      </c>
      <c r="H104" s="15" t="n">
        <v>25</v>
      </c>
      <c r="I104" s="13" t="inlineStr">
        <is>
          <t>3808.92.93</t>
        </is>
      </c>
      <c r="J104" s="13" t="inlineStr">
        <is>
          <t>NÃO</t>
        </is>
      </c>
      <c r="K104" s="13" t="inlineStr">
        <is>
          <t>Embalagem Flexível — NÃO LAVÁVEL (Perfurar e usar saco ABNT)</t>
        </is>
      </c>
      <c r="L104" s="13" t="inlineStr">
        <is>
          <t>SIM (Saco Transparente ABNT)</t>
        </is>
      </c>
      <c r="M104" s="13" t="inlineStr">
        <is>
          <t>0,00% (Lei nº 10.925/2004)</t>
        </is>
      </c>
      <c r="N104" s="13" t="inlineStr">
        <is>
          <t>0,925% (LC nº 224/2025)</t>
        </is>
      </c>
      <c r="O104" s="13" t="inlineStr">
        <is>
          <t>0,365% (LC nº 224/2025)</t>
        </is>
      </c>
      <c r="P104" s="13" t="inlineStr">
        <is>
          <t>CST 06</t>
        </is>
      </c>
      <c r="Q104" s="13" t="inlineStr">
        <is>
          <t>CST 73</t>
        </is>
      </c>
      <c r="R104" s="13" t="inlineStr">
        <is>
          <t>Redução de 60% + Diferimento (Art. 138 e Anexo IX LC 214/2025)</t>
        </is>
      </c>
    </row>
    <row r="105" ht="22" customHeight="1">
      <c r="A105" s="6" t="inlineStr">
        <is>
          <t>SKU-0101</t>
        </is>
      </c>
      <c r="B105" s="5" t="n">
        <v>79</v>
      </c>
      <c r="C105" s="7" t="inlineStr">
        <is>
          <t>Nº 6313</t>
        </is>
      </c>
      <c r="D105" s="8" t="inlineStr">
        <is>
          <t>MANFIL 800 WP</t>
        </is>
      </c>
      <c r="E105" s="7" t="inlineStr">
        <is>
          <t>Embalagem Comercial do Produto</t>
        </is>
      </c>
      <c r="F105" s="7" t="inlineStr">
        <is>
          <t>1X25KG (25 KG)</t>
        </is>
      </c>
      <c r="G105" s="7" t="inlineStr">
        <is>
          <t>KG</t>
        </is>
      </c>
      <c r="H105" s="9" t="n">
        <v>25</v>
      </c>
      <c r="I105" s="7" t="inlineStr">
        <is>
          <t>3808.92.93</t>
        </is>
      </c>
      <c r="J105" s="7" t="inlineStr">
        <is>
          <t>NÃO</t>
        </is>
      </c>
      <c r="K105" s="7" t="inlineStr">
        <is>
          <t>Embalagem Flexível — NÃO LAVÁVEL (Perfurar e usar saco ABNT)</t>
        </is>
      </c>
      <c r="L105" s="7" t="inlineStr">
        <is>
          <t>SIM (Saco Transparente ABNT)</t>
        </is>
      </c>
      <c r="M105" s="7" t="inlineStr">
        <is>
          <t>0,00% (Lei nº 10.925/2004)</t>
        </is>
      </c>
      <c r="N105" s="7" t="inlineStr">
        <is>
          <t>0,925% (LC nº 224/2025)</t>
        </is>
      </c>
      <c r="O105" s="7" t="inlineStr">
        <is>
          <t>0,365% (LC nº 224/2025)</t>
        </is>
      </c>
      <c r="P105" s="7" t="inlineStr">
        <is>
          <t>CST 06</t>
        </is>
      </c>
      <c r="Q105" s="7" t="inlineStr">
        <is>
          <t>CST 73</t>
        </is>
      </c>
      <c r="R105" s="7" t="inlineStr">
        <is>
          <t>Redução de 60% + Diferimento (Art. 138 e Anexo IX LC 214/2025)</t>
        </is>
      </c>
    </row>
    <row r="106" ht="22" customHeight="1">
      <c r="A106" s="12" t="inlineStr">
        <is>
          <t>SKU-0102</t>
        </is>
      </c>
      <c r="B106" s="11" t="n">
        <v>80</v>
      </c>
      <c r="C106" s="13" t="inlineStr">
        <is>
          <t>Nº 6313</t>
        </is>
      </c>
      <c r="D106" s="14" t="inlineStr">
        <is>
          <t>MANFIL 800 WP 1X7,5KG (AGUARDAR FISCAL)</t>
        </is>
      </c>
      <c r="E106" s="13" t="inlineStr">
        <is>
          <t>Embalagem Comercial do Produto</t>
        </is>
      </c>
      <c r="F106" s="13" t="inlineStr">
        <is>
          <t>1X7,5KG (7.5 KG)</t>
        </is>
      </c>
      <c r="G106" s="13" t="inlineStr">
        <is>
          <t>KG</t>
        </is>
      </c>
      <c r="H106" s="18" t="n">
        <v>7.5</v>
      </c>
      <c r="I106" s="13" t="inlineStr">
        <is>
          <t>3808.92.93</t>
        </is>
      </c>
      <c r="J106" s="13" t="inlineStr">
        <is>
          <t>NÃO</t>
        </is>
      </c>
      <c r="K106" s="13" t="inlineStr">
        <is>
          <t>Embalagem Flexível — NÃO LAVÁVEL (Perfurar e usar saco ABNT)</t>
        </is>
      </c>
      <c r="L106" s="13" t="inlineStr">
        <is>
          <t>SIM (Saco Transparente ABNT)</t>
        </is>
      </c>
      <c r="M106" s="13" t="inlineStr">
        <is>
          <t>0,00% (Lei nº 10.925/2004)</t>
        </is>
      </c>
      <c r="N106" s="13" t="inlineStr">
        <is>
          <t>0,925% (LC nº 224/2025)</t>
        </is>
      </c>
      <c r="O106" s="13" t="inlineStr">
        <is>
          <t>0,365% (LC nº 224/2025)</t>
        </is>
      </c>
      <c r="P106" s="13" t="inlineStr">
        <is>
          <t>CST 06</t>
        </is>
      </c>
      <c r="Q106" s="13" t="inlineStr">
        <is>
          <t>CST 73</t>
        </is>
      </c>
      <c r="R106" s="13" t="inlineStr">
        <is>
          <t>Redução de 60% + Diferimento (Art. 138 e Anexo IX LC 214/2025)</t>
        </is>
      </c>
    </row>
    <row r="107" ht="22" customHeight="1">
      <c r="A107" s="6" t="inlineStr">
        <is>
          <t>SKU-0103</t>
        </is>
      </c>
      <c r="B107" s="5" t="n">
        <v>81</v>
      </c>
      <c r="C107" s="7" t="inlineStr">
        <is>
          <t>Nº 38917</t>
        </is>
      </c>
      <c r="D107" s="8" t="inlineStr">
        <is>
          <t>MESON</t>
        </is>
      </c>
      <c r="E107" s="7" t="inlineStr">
        <is>
          <t>Embalagem Comercial do Produto</t>
        </is>
      </c>
      <c r="F107" s="7" t="inlineStr">
        <is>
          <t>12X1L (1 L)</t>
        </is>
      </c>
      <c r="G107" s="7" t="inlineStr">
        <is>
          <t>L</t>
        </is>
      </c>
      <c r="H107" s="9" t="n">
        <v>1</v>
      </c>
      <c r="I107" s="7" t="inlineStr">
        <is>
          <t>3808.93.29</t>
        </is>
      </c>
      <c r="J107" s="7" t="inlineStr">
        <is>
          <t>NÃO</t>
        </is>
      </c>
      <c r="K107" s="7" t="inlineStr">
        <is>
          <t>Embalagem Rígida — LAVÁVEL (Obrigatória Tríplice Lavagem ou Pressão)</t>
        </is>
      </c>
      <c r="L107" s="7" t="inlineStr">
        <is>
          <t>NÃO</t>
        </is>
      </c>
      <c r="M107" s="7" t="inlineStr">
        <is>
          <t>0,00% (Lei nº 10.925/2004)</t>
        </is>
      </c>
      <c r="N107" s="7" t="inlineStr">
        <is>
          <t>0,925% (LC nº 224/2025)</t>
        </is>
      </c>
      <c r="O107" s="7" t="inlineStr">
        <is>
          <t>0,365% (LC nº 224/2025)</t>
        </is>
      </c>
      <c r="P107" s="7" t="inlineStr">
        <is>
          <t>CST 06</t>
        </is>
      </c>
      <c r="Q107" s="7" t="inlineStr">
        <is>
          <t>CST 73</t>
        </is>
      </c>
      <c r="R107" s="7" t="inlineStr">
        <is>
          <t>Redução de 60% + Diferimento (Art. 138 e Anexo IX LC 214/2025)</t>
        </is>
      </c>
    </row>
    <row r="108" ht="22" customHeight="1">
      <c r="A108" s="12" t="inlineStr">
        <is>
          <t>SKU-0104</t>
        </is>
      </c>
      <c r="B108" s="11" t="n">
        <v>82</v>
      </c>
      <c r="C108" s="13" t="inlineStr">
        <is>
          <t>Nº 14816</t>
        </is>
      </c>
      <c r="D108" s="14" t="inlineStr">
        <is>
          <t>CHIAVE SUP</t>
        </is>
      </c>
      <c r="E108" s="13" t="inlineStr">
        <is>
          <t>Embalagem Comercial do Produto</t>
        </is>
      </c>
      <c r="F108" s="13" t="inlineStr">
        <is>
          <t>1X20L (20 L)</t>
        </is>
      </c>
      <c r="G108" s="13" t="inlineStr">
        <is>
          <t>L</t>
        </is>
      </c>
      <c r="H108" s="15" t="n">
        <v>20</v>
      </c>
      <c r="I108" s="13" t="inlineStr">
        <is>
          <t>3808.91.99</t>
        </is>
      </c>
      <c r="J108" s="13" t="inlineStr">
        <is>
          <t>NÃO</t>
        </is>
      </c>
      <c r="K108" s="13" t="inlineStr">
        <is>
          <t>Embalagem Rígida — LAVÁVEL (Obrigatória Tríplice Lavagem ou Pressão)</t>
        </is>
      </c>
      <c r="L108" s="13" t="inlineStr">
        <is>
          <t>NÃO</t>
        </is>
      </c>
      <c r="M108" s="13" t="inlineStr">
        <is>
          <t>0,00% (Lei nº 10.925/2004)</t>
        </is>
      </c>
      <c r="N108" s="13" t="inlineStr">
        <is>
          <t>0,925% (LC nº 224/2025)</t>
        </is>
      </c>
      <c r="O108" s="13" t="inlineStr">
        <is>
          <t>0,365% (LC nº 224/2025)</t>
        </is>
      </c>
      <c r="P108" s="13" t="inlineStr">
        <is>
          <t>CST 06</t>
        </is>
      </c>
      <c r="Q108" s="13" t="inlineStr">
        <is>
          <t>CST 73</t>
        </is>
      </c>
      <c r="R108" s="13" t="inlineStr">
        <is>
          <t>Redução de 60% + Diferimento (Art. 138 e Anexo IX LC 214/2025)</t>
        </is>
      </c>
    </row>
    <row r="109" ht="22" customHeight="1">
      <c r="A109" s="6" t="inlineStr">
        <is>
          <t>SKU-0105</t>
        </is>
      </c>
      <c r="B109" s="5" t="n">
        <v>83</v>
      </c>
      <c r="C109" s="7" t="inlineStr">
        <is>
          <t>Nº 27620</t>
        </is>
      </c>
      <c r="D109" s="8" t="inlineStr">
        <is>
          <t>METOMIL CHD S</t>
        </is>
      </c>
      <c r="E109" s="7" t="inlineStr">
        <is>
          <t>Embalagem Comercial do Produto</t>
        </is>
      </c>
      <c r="F109" s="7" t="inlineStr">
        <is>
          <t>1X20L (20 L)</t>
        </is>
      </c>
      <c r="G109" s="7" t="inlineStr">
        <is>
          <t>L</t>
        </is>
      </c>
      <c r="H109" s="9" t="n">
        <v>20</v>
      </c>
      <c r="I109" s="7" t="inlineStr">
        <is>
          <t>3808.91.99</t>
        </is>
      </c>
      <c r="J109" s="7" t="inlineStr">
        <is>
          <t>NÃO</t>
        </is>
      </c>
      <c r="K109" s="7" t="inlineStr">
        <is>
          <t>Embalagem Rígida — LAVÁVEL (Obrigatória Tríplice Lavagem ou Pressão)</t>
        </is>
      </c>
      <c r="L109" s="7" t="inlineStr">
        <is>
          <t>NÃO</t>
        </is>
      </c>
      <c r="M109" s="7" t="inlineStr">
        <is>
          <t>0,00% (Lei nº 10.925/2004)</t>
        </is>
      </c>
      <c r="N109" s="7" t="inlineStr">
        <is>
          <t>0,925% (LC nº 224/2025)</t>
        </is>
      </c>
      <c r="O109" s="7" t="inlineStr">
        <is>
          <t>0,365% (LC nº 224/2025)</t>
        </is>
      </c>
      <c r="P109" s="7" t="inlineStr">
        <is>
          <t>CST 06</t>
        </is>
      </c>
      <c r="Q109" s="7" t="inlineStr">
        <is>
          <t>CST 73</t>
        </is>
      </c>
      <c r="R109" s="7" t="inlineStr">
        <is>
          <t>Redução de 60% + Diferimento (Art. 138 e Anexo IX LC 214/2025)</t>
        </is>
      </c>
    </row>
    <row r="110" ht="22" customHeight="1">
      <c r="A110" s="12" t="inlineStr">
        <is>
          <t>SKU-0106</t>
        </is>
      </c>
      <c r="B110" s="11" t="n">
        <v>84</v>
      </c>
      <c r="C110" s="13" t="inlineStr">
        <is>
          <t>Nº 31522</t>
        </is>
      </c>
      <c r="D110" s="14" t="inlineStr">
        <is>
          <t>METOMY 900</t>
        </is>
      </c>
      <c r="E110" s="13" t="inlineStr">
        <is>
          <t>Embalagem Comercial do Produto</t>
        </is>
      </c>
      <c r="F110" s="13" t="inlineStr">
        <is>
          <t>1X20L (20 L)</t>
        </is>
      </c>
      <c r="G110" s="13" t="inlineStr">
        <is>
          <t>KG</t>
        </is>
      </c>
      <c r="H110" s="15" t="n">
        <v>20</v>
      </c>
      <c r="I110" s="13" t="inlineStr">
        <is>
          <t>3808.91.99</t>
        </is>
      </c>
      <c r="J110" s="13" t="inlineStr">
        <is>
          <t>NÃO</t>
        </is>
      </c>
      <c r="K110" s="13" t="inlineStr">
        <is>
          <t>Embalagem Flexível — NÃO LAVÁVEL (Perfurar e usar saco ABNT)</t>
        </is>
      </c>
      <c r="L110" s="13" t="inlineStr">
        <is>
          <t>SIM (Saco Transparente ABNT)</t>
        </is>
      </c>
      <c r="M110" s="13" t="inlineStr">
        <is>
          <t>0,00% (Lei nº 10.925/2004)</t>
        </is>
      </c>
      <c r="N110" s="13" t="inlineStr">
        <is>
          <t>0,925% (LC nº 224/2025)</t>
        </is>
      </c>
      <c r="O110" s="13" t="inlineStr">
        <is>
          <t>0,365% (LC nº 224/2025)</t>
        </is>
      </c>
      <c r="P110" s="13" t="inlineStr">
        <is>
          <t>CST 06</t>
        </is>
      </c>
      <c r="Q110" s="13" t="inlineStr">
        <is>
          <t>CST 73</t>
        </is>
      </c>
      <c r="R110" s="13" t="inlineStr">
        <is>
          <t>Redução de 60% + Diferimento (Art. 138 e Anexo IX LC 214/2025)</t>
        </is>
      </c>
    </row>
    <row r="111" ht="22" customHeight="1">
      <c r="A111" s="6" t="inlineStr">
        <is>
          <t>SKU-0107</t>
        </is>
      </c>
      <c r="B111" s="5" t="n">
        <v>85</v>
      </c>
      <c r="C111" s="7" t="inlineStr">
        <is>
          <t>Nº 6914</t>
        </is>
      </c>
      <c r="D111" s="8" t="inlineStr">
        <is>
          <t>UPMYL</t>
        </is>
      </c>
      <c r="E111" s="7" t="inlineStr">
        <is>
          <t>Embalagem Comercial do Produto</t>
        </is>
      </c>
      <c r="F111" s="7" t="inlineStr">
        <is>
          <t>1X20L (20 L)</t>
        </is>
      </c>
      <c r="G111" s="7" t="inlineStr">
        <is>
          <t>L</t>
        </is>
      </c>
      <c r="H111" s="9" t="n">
        <v>20</v>
      </c>
      <c r="I111" s="7" t="inlineStr">
        <is>
          <t>3808.91.99</t>
        </is>
      </c>
      <c r="J111" s="7" t="inlineStr">
        <is>
          <t>NÃO</t>
        </is>
      </c>
      <c r="K111" s="7" t="inlineStr">
        <is>
          <t>Embalagem Rígida — LAVÁVEL (Obrigatória Tríplice Lavagem ou Pressão)</t>
        </is>
      </c>
      <c r="L111" s="7" t="inlineStr">
        <is>
          <t>NÃO</t>
        </is>
      </c>
      <c r="M111" s="7" t="inlineStr">
        <is>
          <t>0,00% (Lei nº 10.925/2004)</t>
        </is>
      </c>
      <c r="N111" s="7" t="inlineStr">
        <is>
          <t>0,925% (LC nº 224/2025)</t>
        </is>
      </c>
      <c r="O111" s="7" t="inlineStr">
        <is>
          <t>0,365% (LC nº 224/2025)</t>
        </is>
      </c>
      <c r="P111" s="7" t="inlineStr">
        <is>
          <t>CST 06</t>
        </is>
      </c>
      <c r="Q111" s="7" t="inlineStr">
        <is>
          <t>CST 73</t>
        </is>
      </c>
      <c r="R111" s="7" t="inlineStr">
        <is>
          <t>Redução de 60% + Diferimento (Art. 138 e Anexo IX LC 214/2025)</t>
        </is>
      </c>
    </row>
    <row r="112" ht="22" customHeight="1">
      <c r="A112" s="12" t="inlineStr">
        <is>
          <t>SKU-0108</t>
        </is>
      </c>
      <c r="B112" s="11" t="n">
        <v>86</v>
      </c>
      <c r="C112" s="13" t="inlineStr">
        <is>
          <t>SIPEAGRO (UF-XXXXX)</t>
        </is>
      </c>
      <c r="D112" s="14" t="inlineStr">
        <is>
          <t>AGCN MANGANES</t>
        </is>
      </c>
      <c r="E112" s="13" t="inlineStr">
        <is>
          <t>Embalagem Comercial do Produto</t>
        </is>
      </c>
      <c r="F112" s="13" t="inlineStr">
        <is>
          <t>1X20L (20 L)</t>
        </is>
      </c>
      <c r="G112" s="13" t="inlineStr">
        <is>
          <t>L</t>
        </is>
      </c>
      <c r="H112" s="15" t="n">
        <v>20</v>
      </c>
      <c r="I112" s="13" t="inlineStr">
        <is>
          <t>3105.90.90</t>
        </is>
      </c>
      <c r="J112" s="13" t="inlineStr">
        <is>
          <t>NÃO</t>
        </is>
      </c>
      <c r="K112" s="13" t="inlineStr">
        <is>
          <t>Embalagem de Insumo Nutricional/Biológico (Logística Reversa)</t>
        </is>
      </c>
      <c r="L112" s="13" t="inlineStr">
        <is>
          <t>NÃO</t>
        </is>
      </c>
      <c r="M112" s="13" t="inlineStr">
        <is>
          <t>0,00% (Lei nº 10.925/2004)</t>
        </is>
      </c>
      <c r="N112" s="13" t="inlineStr">
        <is>
          <t>0,925% (LC nº 224/2025)</t>
        </is>
      </c>
      <c r="O112" s="13" t="inlineStr">
        <is>
          <t>0,365% (LC nº 224/2025)</t>
        </is>
      </c>
      <c r="P112" s="13" t="inlineStr">
        <is>
          <t>CST 06</t>
        </is>
      </c>
      <c r="Q112" s="13" t="inlineStr">
        <is>
          <t>CST 73</t>
        </is>
      </c>
      <c r="R112" s="13" t="inlineStr">
        <is>
          <t>Redução de 60% + Diferimento (Art. 138 e Anexo IX LC 214/2025)</t>
        </is>
      </c>
    </row>
    <row r="113" ht="22" customHeight="1">
      <c r="A113" s="6" t="inlineStr">
        <is>
          <t>SKU-0109</t>
        </is>
      </c>
      <c r="B113" s="5" t="n">
        <v>86</v>
      </c>
      <c r="C113" s="7" t="inlineStr">
        <is>
          <t>SIPEAGRO (UF-XXXXX)</t>
        </is>
      </c>
      <c r="D113" s="8" t="inlineStr">
        <is>
          <t>AGCN MANGANES</t>
        </is>
      </c>
      <c r="E113" s="7" t="inlineStr">
        <is>
          <t>Faixa 1 TIPI (Apresentação &lt;= 300 g ou mL)</t>
        </is>
      </c>
      <c r="F113" s="7" t="inlineStr">
        <is>
          <t>Fracionado / Amostra &lt;= 0,3 L</t>
        </is>
      </c>
      <c r="G113" s="7" t="inlineStr">
        <is>
          <t>L</t>
        </is>
      </c>
      <c r="H113" s="17" t="n">
        <v>0.3</v>
      </c>
      <c r="I113" s="7" t="inlineStr">
        <is>
          <t>3105.90.90</t>
        </is>
      </c>
      <c r="J113" s="7" t="inlineStr">
        <is>
          <t>NÃO</t>
        </is>
      </c>
      <c r="K113" s="7" t="inlineStr">
        <is>
          <t>Embalagem de Insumo Nutricional/Biológico (Logística Reversa)</t>
        </is>
      </c>
      <c r="L113" s="7" t="inlineStr">
        <is>
          <t>NÃO</t>
        </is>
      </c>
      <c r="M113" s="7" t="inlineStr">
        <is>
          <t>0,00% (Lei nº 10.925/2004)</t>
        </is>
      </c>
      <c r="N113" s="7" t="inlineStr">
        <is>
          <t>0,925% (LC nº 224/2025)</t>
        </is>
      </c>
      <c r="O113" s="7" t="inlineStr">
        <is>
          <t>0,365% (LC nº 224/2025)</t>
        </is>
      </c>
      <c r="P113" s="7" t="inlineStr">
        <is>
          <t>CST 06</t>
        </is>
      </c>
      <c r="Q113" s="7" t="inlineStr">
        <is>
          <t>CST 73</t>
        </is>
      </c>
      <c r="R113" s="7" t="inlineStr">
        <is>
          <t>Redução de 60% + Diferimento (Art. 138 e Anexo IX LC 214/2025)</t>
        </is>
      </c>
    </row>
    <row r="114" ht="22" customHeight="1">
      <c r="A114" s="12" t="inlineStr">
        <is>
          <t>SKU-0110</t>
        </is>
      </c>
      <c r="B114" s="11" t="n">
        <v>87</v>
      </c>
      <c r="C114" s="13" t="inlineStr">
        <is>
          <t>SIPEAGRO (UF-XXXXX)</t>
        </is>
      </c>
      <c r="D114" s="14" t="inlineStr">
        <is>
          <t>AGCN MN ULTRA</t>
        </is>
      </c>
      <c r="E114" s="13" t="inlineStr">
        <is>
          <t>Embalagem Comercial do Produto</t>
        </is>
      </c>
      <c r="F114" s="13" t="inlineStr">
        <is>
          <t>1X20L (20 L)</t>
        </is>
      </c>
      <c r="G114" s="13" t="inlineStr">
        <is>
          <t>L</t>
        </is>
      </c>
      <c r="H114" s="15" t="n">
        <v>20</v>
      </c>
      <c r="I114" s="13" t="inlineStr">
        <is>
          <t>3101.00.00</t>
        </is>
      </c>
      <c r="J114" s="13" t="inlineStr">
        <is>
          <t>NÃO</t>
        </is>
      </c>
      <c r="K114" s="13" t="inlineStr">
        <is>
          <t>Embalagem de Insumo Nutricional/Biológico (Logística Reversa)</t>
        </is>
      </c>
      <c r="L114" s="13" t="inlineStr">
        <is>
          <t>NÃO</t>
        </is>
      </c>
      <c r="M114" s="13" t="inlineStr">
        <is>
          <t>0,00% (Lei nº 10.925/2004)</t>
        </is>
      </c>
      <c r="N114" s="13" t="inlineStr">
        <is>
          <t>0,925% (LC nº 224/2025)</t>
        </is>
      </c>
      <c r="O114" s="13" t="inlineStr">
        <is>
          <t>0,365% (LC nº 224/2025)</t>
        </is>
      </c>
      <c r="P114" s="13" t="inlineStr">
        <is>
          <t>CST 06</t>
        </is>
      </c>
      <c r="Q114" s="13" t="inlineStr">
        <is>
          <t>CST 73</t>
        </is>
      </c>
      <c r="R114" s="13" t="inlineStr">
        <is>
          <t>Redução de 60% + Diferimento (Art. 138 e Anexo IX LC 214/2025)</t>
        </is>
      </c>
    </row>
    <row r="115" ht="22" customHeight="1">
      <c r="A115" s="6" t="inlineStr">
        <is>
          <t>SKU-0111</t>
        </is>
      </c>
      <c r="B115" s="5" t="n">
        <v>87</v>
      </c>
      <c r="C115" s="7" t="inlineStr">
        <is>
          <t>SIPEAGRO (UF-XXXXX)</t>
        </is>
      </c>
      <c r="D115" s="8" t="inlineStr">
        <is>
          <t>AGCN MN ULTRA</t>
        </is>
      </c>
      <c r="E115" s="7" t="inlineStr">
        <is>
          <t>Faixa 1 TIPI (Apresentação &lt;= 300 g ou mL)</t>
        </is>
      </c>
      <c r="F115" s="7" t="inlineStr">
        <is>
          <t>Fracionado / Amostra &lt;= 0,3 L</t>
        </is>
      </c>
      <c r="G115" s="7" t="inlineStr">
        <is>
          <t>L</t>
        </is>
      </c>
      <c r="H115" s="17" t="n">
        <v>0.3</v>
      </c>
      <c r="I115" s="7" t="inlineStr">
        <is>
          <t>3105.90.90</t>
        </is>
      </c>
      <c r="J115" s="7" t="inlineStr">
        <is>
          <t>NÃO</t>
        </is>
      </c>
      <c r="K115" s="7" t="inlineStr">
        <is>
          <t>Embalagem de Insumo Nutricional/Biológico (Logística Reversa)</t>
        </is>
      </c>
      <c r="L115" s="7" t="inlineStr">
        <is>
          <t>NÃO</t>
        </is>
      </c>
      <c r="M115" s="7" t="inlineStr">
        <is>
          <t>0,00% (Lei nº 10.925/2004)</t>
        </is>
      </c>
      <c r="N115" s="7" t="inlineStr">
        <is>
          <t>0,925% (LC nº 224/2025)</t>
        </is>
      </c>
      <c r="O115" s="7" t="inlineStr">
        <is>
          <t>0,365% (LC nº 224/2025)</t>
        </is>
      </c>
      <c r="P115" s="7" t="inlineStr">
        <is>
          <t>CST 06</t>
        </is>
      </c>
      <c r="Q115" s="7" t="inlineStr">
        <is>
          <t>CST 73</t>
        </is>
      </c>
      <c r="R115" s="7" t="inlineStr">
        <is>
          <t>Redução de 60% + Diferimento (Art. 138 e Anexo IX LC 214/2025)</t>
        </is>
      </c>
    </row>
    <row r="116" ht="22" customHeight="1">
      <c r="A116" s="12" t="inlineStr">
        <is>
          <t>SKU-0112</t>
        </is>
      </c>
      <c r="B116" s="11" t="n">
        <v>88</v>
      </c>
      <c r="C116" s="13" t="inlineStr">
        <is>
          <t>SIPEAGRO (UF-XXXXX)</t>
        </is>
      </c>
      <c r="D116" s="14" t="inlineStr">
        <is>
          <t>AGCN MOLIBIDENIO</t>
        </is>
      </c>
      <c r="E116" s="13" t="inlineStr">
        <is>
          <t>Embalagem Comercial do Produto</t>
        </is>
      </c>
      <c r="F116" s="13" t="inlineStr">
        <is>
          <t>4X5L (5 L)</t>
        </is>
      </c>
      <c r="G116" s="13" t="inlineStr">
        <is>
          <t>L</t>
        </is>
      </c>
      <c r="H116" s="15" t="n">
        <v>5</v>
      </c>
      <c r="I116" s="13" t="inlineStr">
        <is>
          <t>3105.10.00</t>
        </is>
      </c>
      <c r="J116" s="13" t="inlineStr">
        <is>
          <t>NÃO</t>
        </is>
      </c>
      <c r="K116" s="13" t="inlineStr">
        <is>
          <t>Embalagem de Insumo Nutricional/Biológico (Logística Reversa)</t>
        </is>
      </c>
      <c r="L116" s="13" t="inlineStr">
        <is>
          <t>NÃO</t>
        </is>
      </c>
      <c r="M116" s="13" t="inlineStr">
        <is>
          <t>0,00% (Lei nº 10.925/2004)</t>
        </is>
      </c>
      <c r="N116" s="13" t="inlineStr">
        <is>
          <t>0,925% (LC nº 224/2025)</t>
        </is>
      </c>
      <c r="O116" s="13" t="inlineStr">
        <is>
          <t>0,365% (LC nº 224/2025)</t>
        </is>
      </c>
      <c r="P116" s="13" t="inlineStr">
        <is>
          <t>CST 06</t>
        </is>
      </c>
      <c r="Q116" s="13" t="inlineStr">
        <is>
          <t>CST 73</t>
        </is>
      </c>
      <c r="R116" s="13" t="inlineStr">
        <is>
          <t>Redução de 60% + Diferimento (Art. 138 e Anexo IX LC 214/2025)</t>
        </is>
      </c>
    </row>
    <row r="117" ht="22" customHeight="1">
      <c r="A117" s="6" t="inlineStr">
        <is>
          <t>SKU-0113</t>
        </is>
      </c>
      <c r="B117" s="5" t="n">
        <v>88</v>
      </c>
      <c r="C117" s="7" t="inlineStr">
        <is>
          <t>SIPEAGRO (UF-XXXXX)</t>
        </is>
      </c>
      <c r="D117" s="8" t="inlineStr">
        <is>
          <t>AGCN MOLIBIDENIO</t>
        </is>
      </c>
      <c r="E117" s="7" t="inlineStr">
        <is>
          <t>Faixa 1 TIPI (Apresentação &lt;= 300 g ou mL)</t>
        </is>
      </c>
      <c r="F117" s="7" t="inlineStr">
        <is>
          <t>Fracionado / Amostra &lt;= 0,3 L</t>
        </is>
      </c>
      <c r="G117" s="7" t="inlineStr">
        <is>
          <t>L</t>
        </is>
      </c>
      <c r="H117" s="17" t="n">
        <v>0.3</v>
      </c>
      <c r="I117" s="7" t="inlineStr">
        <is>
          <t>3105.90.90</t>
        </is>
      </c>
      <c r="J117" s="7" t="inlineStr">
        <is>
          <t>NÃO</t>
        </is>
      </c>
      <c r="K117" s="7" t="inlineStr">
        <is>
          <t>Embalagem de Insumo Nutricional/Biológico (Logística Reversa)</t>
        </is>
      </c>
      <c r="L117" s="7" t="inlineStr">
        <is>
          <t>NÃO</t>
        </is>
      </c>
      <c r="M117" s="7" t="inlineStr">
        <is>
          <t>0,00% (Lei nº 10.925/2004)</t>
        </is>
      </c>
      <c r="N117" s="7" t="inlineStr">
        <is>
          <t>0,925% (LC nº 224/2025)</t>
        </is>
      </c>
      <c r="O117" s="7" t="inlineStr">
        <is>
          <t>0,365% (LC nº 224/2025)</t>
        </is>
      </c>
      <c r="P117" s="7" t="inlineStr">
        <is>
          <t>CST 06</t>
        </is>
      </c>
      <c r="Q117" s="7" t="inlineStr">
        <is>
          <t>CST 73</t>
        </is>
      </c>
      <c r="R117" s="7" t="inlineStr">
        <is>
          <t>Redução de 60% + Diferimento (Art. 138 e Anexo IX LC 214/2025)</t>
        </is>
      </c>
    </row>
    <row r="118" ht="22" customHeight="1">
      <c r="A118" s="12" t="inlineStr">
        <is>
          <t>SKU-0114</t>
        </is>
      </c>
      <c r="B118" s="11" t="n">
        <v>89</v>
      </c>
      <c r="C118" s="13" t="inlineStr">
        <is>
          <t>SIPEAGRO (UF-XXXXX)</t>
        </is>
      </c>
      <c r="D118" s="14" t="inlineStr">
        <is>
          <t>AGCN MN ULTRA AA</t>
        </is>
      </c>
      <c r="E118" s="13" t="inlineStr">
        <is>
          <t>Embalagem Comercial do Produto</t>
        </is>
      </c>
      <c r="F118" s="13" t="inlineStr">
        <is>
          <t>1X20L (20 L)</t>
        </is>
      </c>
      <c r="G118" s="13" t="inlineStr">
        <is>
          <t>L</t>
        </is>
      </c>
      <c r="H118" s="15" t="n">
        <v>20</v>
      </c>
      <c r="I118" s="13" t="inlineStr">
        <is>
          <t>3101.00.00</t>
        </is>
      </c>
      <c r="J118" s="13" t="inlineStr">
        <is>
          <t>NÃO</t>
        </is>
      </c>
      <c r="K118" s="13" t="inlineStr">
        <is>
          <t>Embalagem de Insumo Nutricional/Biológico (Logística Reversa)</t>
        </is>
      </c>
      <c r="L118" s="13" t="inlineStr">
        <is>
          <t>NÃO</t>
        </is>
      </c>
      <c r="M118" s="13" t="inlineStr">
        <is>
          <t>0,00% (Lei nº 10.925/2004)</t>
        </is>
      </c>
      <c r="N118" s="13" t="inlineStr">
        <is>
          <t>0,925% (LC nº 224/2025)</t>
        </is>
      </c>
      <c r="O118" s="13" t="inlineStr">
        <is>
          <t>0,365% (LC nº 224/2025)</t>
        </is>
      </c>
      <c r="P118" s="13" t="inlineStr">
        <is>
          <t>CST 06</t>
        </is>
      </c>
      <c r="Q118" s="13" t="inlineStr">
        <is>
          <t>CST 73</t>
        </is>
      </c>
      <c r="R118" s="13" t="inlineStr">
        <is>
          <t>Redução de 60% + Diferimento (Art. 138 e Anexo IX LC 214/2025)</t>
        </is>
      </c>
    </row>
    <row r="119" ht="22" customHeight="1">
      <c r="A119" s="6" t="inlineStr">
        <is>
          <t>SKU-0115</t>
        </is>
      </c>
      <c r="B119" s="5" t="n">
        <v>89</v>
      </c>
      <c r="C119" s="7" t="inlineStr">
        <is>
          <t>SIPEAGRO (UF-XXXXX)</t>
        </is>
      </c>
      <c r="D119" s="8" t="inlineStr">
        <is>
          <t>AGCN MN ULTRA AA</t>
        </is>
      </c>
      <c r="E119" s="7" t="inlineStr">
        <is>
          <t>Faixa 1 TIPI (Apresentação &lt;= 300 g ou mL)</t>
        </is>
      </c>
      <c r="F119" s="7" t="inlineStr">
        <is>
          <t>Fracionado / Amostra &lt;= 0,3 L</t>
        </is>
      </c>
      <c r="G119" s="7" t="inlineStr">
        <is>
          <t>L</t>
        </is>
      </c>
      <c r="H119" s="17" t="n">
        <v>0.3</v>
      </c>
      <c r="I119" s="7" t="inlineStr">
        <is>
          <t>3105.90.90</t>
        </is>
      </c>
      <c r="J119" s="7" t="inlineStr">
        <is>
          <t>NÃO</t>
        </is>
      </c>
      <c r="K119" s="7" t="inlineStr">
        <is>
          <t>Embalagem de Insumo Nutricional/Biológico (Logística Reversa)</t>
        </is>
      </c>
      <c r="L119" s="7" t="inlineStr">
        <is>
          <t>NÃO</t>
        </is>
      </c>
      <c r="M119" s="7" t="inlineStr">
        <is>
          <t>0,00% (Lei nº 10.925/2004)</t>
        </is>
      </c>
      <c r="N119" s="7" t="inlineStr">
        <is>
          <t>0,925% (LC nº 224/2025)</t>
        </is>
      </c>
      <c r="O119" s="7" t="inlineStr">
        <is>
          <t>0,365% (LC nº 224/2025)</t>
        </is>
      </c>
      <c r="P119" s="7" t="inlineStr">
        <is>
          <t>CST 06</t>
        </is>
      </c>
      <c r="Q119" s="7" t="inlineStr">
        <is>
          <t>CST 73</t>
        </is>
      </c>
      <c r="R119" s="7" t="inlineStr">
        <is>
          <t>Redução de 60% + Diferimento (Art. 138 e Anexo IX LC 214/2025)</t>
        </is>
      </c>
    </row>
    <row r="120" ht="22" customHeight="1">
      <c r="A120" s="12" t="inlineStr">
        <is>
          <t>SKU-0116</t>
        </is>
      </c>
      <c r="B120" s="11" t="n">
        <v>90</v>
      </c>
      <c r="C120" s="13" t="inlineStr">
        <is>
          <t>SIPEAGRO (UF-XXXXX)</t>
        </is>
      </c>
      <c r="D120" s="14" t="inlineStr">
        <is>
          <t>AGCN MOLIB ULTRA</t>
        </is>
      </c>
      <c r="E120" s="13" t="inlineStr">
        <is>
          <t>Embalagem Comercial do Produto</t>
        </is>
      </c>
      <c r="F120" s="13" t="inlineStr">
        <is>
          <t>4X5L (5 L)</t>
        </is>
      </c>
      <c r="G120" s="13" t="inlineStr">
        <is>
          <t>L</t>
        </is>
      </c>
      <c r="H120" s="15" t="n">
        <v>5</v>
      </c>
      <c r="I120" s="13" t="inlineStr">
        <is>
          <t>3105.90.90</t>
        </is>
      </c>
      <c r="J120" s="13" t="inlineStr">
        <is>
          <t>NÃO</t>
        </is>
      </c>
      <c r="K120" s="13" t="inlineStr">
        <is>
          <t>Embalagem de Insumo Nutricional/Biológico (Logística Reversa)</t>
        </is>
      </c>
      <c r="L120" s="13" t="inlineStr">
        <is>
          <t>NÃO</t>
        </is>
      </c>
      <c r="M120" s="13" t="inlineStr">
        <is>
          <t>0,00% (Lei nº 10.925/2004)</t>
        </is>
      </c>
      <c r="N120" s="13" t="inlineStr">
        <is>
          <t>0,925% (LC nº 224/2025)</t>
        </is>
      </c>
      <c r="O120" s="13" t="inlineStr">
        <is>
          <t>0,365% (LC nº 224/2025)</t>
        </is>
      </c>
      <c r="P120" s="13" t="inlineStr">
        <is>
          <t>CST 06</t>
        </is>
      </c>
      <c r="Q120" s="13" t="inlineStr">
        <is>
          <t>CST 73</t>
        </is>
      </c>
      <c r="R120" s="13" t="inlineStr">
        <is>
          <t>Redução de 60% + Diferimento (Art. 138 e Anexo IX LC 214/2025)</t>
        </is>
      </c>
    </row>
    <row r="121" ht="22" customHeight="1">
      <c r="A121" s="6" t="inlineStr">
        <is>
          <t>SKU-0117</t>
        </is>
      </c>
      <c r="B121" s="5" t="n">
        <v>90</v>
      </c>
      <c r="C121" s="7" t="inlineStr">
        <is>
          <t>SIPEAGRO (UF-XXXXX)</t>
        </is>
      </c>
      <c r="D121" s="8" t="inlineStr">
        <is>
          <t>AGCN MOLIB ULTRA</t>
        </is>
      </c>
      <c r="E121" s="7" t="inlineStr">
        <is>
          <t>Faixa 1 TIPI (Apresentação &lt;= 300 g ou mL)</t>
        </is>
      </c>
      <c r="F121" s="7" t="inlineStr">
        <is>
          <t>Fracionado / Amostra &lt;= 0,3 L</t>
        </is>
      </c>
      <c r="G121" s="7" t="inlineStr">
        <is>
          <t>L</t>
        </is>
      </c>
      <c r="H121" s="17" t="n">
        <v>0.3</v>
      </c>
      <c r="I121" s="7" t="inlineStr">
        <is>
          <t>3105.90.90</t>
        </is>
      </c>
      <c r="J121" s="7" t="inlineStr">
        <is>
          <t>NÃO</t>
        </is>
      </c>
      <c r="K121" s="7" t="inlineStr">
        <is>
          <t>Embalagem de Insumo Nutricional/Biológico (Logística Reversa)</t>
        </is>
      </c>
      <c r="L121" s="7" t="inlineStr">
        <is>
          <t>NÃO</t>
        </is>
      </c>
      <c r="M121" s="7" t="inlineStr">
        <is>
          <t>0,00% (Lei nº 10.925/2004)</t>
        </is>
      </c>
      <c r="N121" s="7" t="inlineStr">
        <is>
          <t>0,925% (LC nº 224/2025)</t>
        </is>
      </c>
      <c r="O121" s="7" t="inlineStr">
        <is>
          <t>0,365% (LC nº 224/2025)</t>
        </is>
      </c>
      <c r="P121" s="7" t="inlineStr">
        <is>
          <t>CST 06</t>
        </is>
      </c>
      <c r="Q121" s="7" t="inlineStr">
        <is>
          <t>CST 73</t>
        </is>
      </c>
      <c r="R121" s="7" t="inlineStr">
        <is>
          <t>Redução de 60% + Diferimento (Art. 138 e Anexo IX LC 214/2025)</t>
        </is>
      </c>
    </row>
    <row r="122" ht="22" customHeight="1">
      <c r="A122" s="12" t="inlineStr">
        <is>
          <t>SKU-0118</t>
        </is>
      </c>
      <c r="B122" s="11" t="n">
        <v>91</v>
      </c>
      <c r="C122" s="13" t="inlineStr">
        <is>
          <t>Nº 3705</t>
        </is>
      </c>
      <c r="D122" s="14" t="inlineStr">
        <is>
          <t>ANCOSAR 720</t>
        </is>
      </c>
      <c r="E122" s="13" t="inlineStr">
        <is>
          <t>Embalagem Comercial do Produto</t>
        </is>
      </c>
      <c r="F122" s="13" t="inlineStr">
        <is>
          <t>1X20L (20 L)</t>
        </is>
      </c>
      <c r="G122" s="13" t="inlineStr">
        <is>
          <t>L</t>
        </is>
      </c>
      <c r="H122" s="15" t="n">
        <v>20</v>
      </c>
      <c r="I122" s="13" t="inlineStr">
        <is>
          <t>3808.93.29</t>
        </is>
      </c>
      <c r="J122" s="13" t="inlineStr">
        <is>
          <t>NÃO</t>
        </is>
      </c>
      <c r="K122" s="13" t="inlineStr">
        <is>
          <t>Embalagem Rígida — LAVÁVEL (Obrigatória Tríplice Lavagem ou Pressão)</t>
        </is>
      </c>
      <c r="L122" s="13" t="inlineStr">
        <is>
          <t>NÃO</t>
        </is>
      </c>
      <c r="M122" s="13" t="inlineStr">
        <is>
          <t>0,00% (Lei nº 10.925/2004)</t>
        </is>
      </c>
      <c r="N122" s="13" t="inlineStr">
        <is>
          <t>0,925% (LC nº 224/2025)</t>
        </is>
      </c>
      <c r="O122" s="13" t="inlineStr">
        <is>
          <t>0,365% (LC nº 224/2025)</t>
        </is>
      </c>
      <c r="P122" s="13" t="inlineStr">
        <is>
          <t>CST 06</t>
        </is>
      </c>
      <c r="Q122" s="13" t="inlineStr">
        <is>
          <t>CST 73</t>
        </is>
      </c>
      <c r="R122" s="13" t="inlineStr">
        <is>
          <t>Redução de 60% + Diferimento (Art. 138 e Anexo IX LC 214/2025)</t>
        </is>
      </c>
    </row>
    <row r="123" ht="22" customHeight="1">
      <c r="A123" s="6" t="inlineStr">
        <is>
          <t>SKU-0119</t>
        </is>
      </c>
      <c r="B123" s="5" t="n">
        <v>92</v>
      </c>
      <c r="C123" s="7" t="inlineStr">
        <is>
          <t>Nº 4798</t>
        </is>
      </c>
      <c r="D123" s="8" t="inlineStr">
        <is>
          <t>VOLCANE 790</t>
        </is>
      </c>
      <c r="E123" s="7" t="inlineStr">
        <is>
          <t>Embalagem Comercial do Produto</t>
        </is>
      </c>
      <c r="F123" s="7" t="inlineStr">
        <is>
          <t>4X5L (5 L)</t>
        </is>
      </c>
      <c r="G123" s="7" t="inlineStr">
        <is>
          <t>L</t>
        </is>
      </c>
      <c r="H123" s="9" t="n">
        <v>5</v>
      </c>
      <c r="I123" s="7" t="inlineStr">
        <is>
          <t>3808.93.29</t>
        </is>
      </c>
      <c r="J123" s="7" t="inlineStr">
        <is>
          <t>NÃO</t>
        </is>
      </c>
      <c r="K123" s="7" t="inlineStr">
        <is>
          <t>Embalagem Rígida — LAVÁVEL (Obrigatória Tríplice Lavagem ou Pressão)</t>
        </is>
      </c>
      <c r="L123" s="7" t="inlineStr">
        <is>
          <t>NÃO</t>
        </is>
      </c>
      <c r="M123" s="7" t="inlineStr">
        <is>
          <t>0,00% (Lei nº 10.925/2004)</t>
        </is>
      </c>
      <c r="N123" s="7" t="inlineStr">
        <is>
          <t>0,925% (LC nº 224/2025)</t>
        </is>
      </c>
      <c r="O123" s="7" t="inlineStr">
        <is>
          <t>0,365% (LC nº 224/2025)</t>
        </is>
      </c>
      <c r="P123" s="7" t="inlineStr">
        <is>
          <t>CST 06</t>
        </is>
      </c>
      <c r="Q123" s="7" t="inlineStr">
        <is>
          <t>CST 73</t>
        </is>
      </c>
      <c r="R123" s="7" t="inlineStr">
        <is>
          <t>Redução de 60% + Diferimento (Art. 138 e Anexo IX LC 214/2025)</t>
        </is>
      </c>
    </row>
    <row r="124" ht="22" customHeight="1">
      <c r="A124" s="12" t="inlineStr">
        <is>
          <t>SKU-0120</t>
        </is>
      </c>
      <c r="B124" s="11" t="n">
        <v>93</v>
      </c>
      <c r="C124" s="13" t="inlineStr">
        <is>
          <t>SIPEAGRO (UF-XXXXX)</t>
        </is>
      </c>
      <c r="D124" s="14" t="inlineStr">
        <is>
          <t>AGCN FULL</t>
        </is>
      </c>
      <c r="E124" s="13" t="inlineStr">
        <is>
          <t>Embalagem Comercial do Produto</t>
        </is>
      </c>
      <c r="F124" s="13" t="inlineStr">
        <is>
          <t>1X20L (20 L)</t>
        </is>
      </c>
      <c r="G124" s="13" t="inlineStr">
        <is>
          <t>L</t>
        </is>
      </c>
      <c r="H124" s="15" t="n">
        <v>20</v>
      </c>
      <c r="I124" s="13" t="inlineStr">
        <is>
          <t>3105.90.11</t>
        </is>
      </c>
      <c r="J124" s="13" t="inlineStr">
        <is>
          <t>NÃO</t>
        </is>
      </c>
      <c r="K124" s="13" t="inlineStr">
        <is>
          <t>Embalagem de Insumo Nutricional/Biológico (Logística Reversa)</t>
        </is>
      </c>
      <c r="L124" s="13" t="inlineStr">
        <is>
          <t>NÃO</t>
        </is>
      </c>
      <c r="M124" s="13" t="inlineStr">
        <is>
          <t>0,00% (Lei nº 10.925/2004)</t>
        </is>
      </c>
      <c r="N124" s="13" t="inlineStr">
        <is>
          <t>0,925% (LC nº 224/2025)</t>
        </is>
      </c>
      <c r="O124" s="13" t="inlineStr">
        <is>
          <t>0,365% (LC nº 224/2025)</t>
        </is>
      </c>
      <c r="P124" s="13" t="inlineStr">
        <is>
          <t>CST 06</t>
        </is>
      </c>
      <c r="Q124" s="13" t="inlineStr">
        <is>
          <t>CST 73</t>
        </is>
      </c>
      <c r="R124" s="13" t="inlineStr">
        <is>
          <t>Redução de 60% + Diferimento (Art. 138 e Anexo IX LC 214/2025)</t>
        </is>
      </c>
    </row>
    <row r="125" ht="22" customHeight="1">
      <c r="A125" s="6" t="inlineStr">
        <is>
          <t>SKU-0121</t>
        </is>
      </c>
      <c r="B125" s="5" t="n">
        <v>93</v>
      </c>
      <c r="C125" s="7" t="inlineStr">
        <is>
          <t>SIPEAGRO (UF-XXXXX)</t>
        </is>
      </c>
      <c r="D125" s="8" t="inlineStr">
        <is>
          <t>AGCN FULL</t>
        </is>
      </c>
      <c r="E125" s="7" t="inlineStr">
        <is>
          <t>Faixa 1 TIPI (Apresentação &lt;= 300 g ou mL)</t>
        </is>
      </c>
      <c r="F125" s="7" t="inlineStr">
        <is>
          <t>Fracionado / Amostra &lt;= 0,3 L</t>
        </is>
      </c>
      <c r="G125" s="7" t="inlineStr">
        <is>
          <t>L</t>
        </is>
      </c>
      <c r="H125" s="17" t="n">
        <v>0.3</v>
      </c>
      <c r="I125" s="7" t="inlineStr">
        <is>
          <t>3105.90.90</t>
        </is>
      </c>
      <c r="J125" s="7" t="inlineStr">
        <is>
          <t>NÃO</t>
        </is>
      </c>
      <c r="K125" s="7" t="inlineStr">
        <is>
          <t>Embalagem de Insumo Nutricional/Biológico (Logística Reversa)</t>
        </is>
      </c>
      <c r="L125" s="7" t="inlineStr">
        <is>
          <t>NÃO</t>
        </is>
      </c>
      <c r="M125" s="7" t="inlineStr">
        <is>
          <t>0,00% (Lei nº 10.925/2004)</t>
        </is>
      </c>
      <c r="N125" s="7" t="inlineStr">
        <is>
          <t>0,925% (LC nº 224/2025)</t>
        </is>
      </c>
      <c r="O125" s="7" t="inlineStr">
        <is>
          <t>0,365% (LC nº 224/2025)</t>
        </is>
      </c>
      <c r="P125" s="7" t="inlineStr">
        <is>
          <t>CST 06</t>
        </is>
      </c>
      <c r="Q125" s="7" t="inlineStr">
        <is>
          <t>CST 73</t>
        </is>
      </c>
      <c r="R125" s="7" t="inlineStr">
        <is>
          <t>Redução de 60% + Diferimento (Art. 138 e Anexo IX LC 214/2025)</t>
        </is>
      </c>
    </row>
    <row r="126" ht="22" customHeight="1">
      <c r="A126" s="12" t="inlineStr">
        <is>
          <t>SKU-0122</t>
        </is>
      </c>
      <c r="B126" s="11" t="n">
        <v>94</v>
      </c>
      <c r="C126" s="13" t="inlineStr">
        <is>
          <t>SIPEAGRO (UF-XXXXX)</t>
        </is>
      </c>
      <c r="D126" s="14" t="inlineStr">
        <is>
          <t>AGCN NITROGEN</t>
        </is>
      </c>
      <c r="E126" s="13" t="inlineStr">
        <is>
          <t>Embalagem Comercial do Produto</t>
        </is>
      </c>
      <c r="F126" s="13" t="inlineStr">
        <is>
          <t>1X20L (20 L)</t>
        </is>
      </c>
      <c r="G126" s="13" t="inlineStr">
        <is>
          <t>L</t>
        </is>
      </c>
      <c r="H126" s="15" t="n">
        <v>20</v>
      </c>
      <c r="I126" s="13" t="inlineStr">
        <is>
          <t>3102.80.00</t>
        </is>
      </c>
      <c r="J126" s="13" t="inlineStr">
        <is>
          <t>NÃO</t>
        </is>
      </c>
      <c r="K126" s="13" t="inlineStr">
        <is>
          <t>Embalagem de Insumo Nutricional/Biológico (Logística Reversa)</t>
        </is>
      </c>
      <c r="L126" s="13" t="inlineStr">
        <is>
          <t>NÃO</t>
        </is>
      </c>
      <c r="M126" s="13" t="inlineStr">
        <is>
          <t>0,00% (Lei nº 10.925/2004)</t>
        </is>
      </c>
      <c r="N126" s="13" t="inlineStr">
        <is>
          <t>0,925% (LC nº 224/2025)</t>
        </is>
      </c>
      <c r="O126" s="13" t="inlineStr">
        <is>
          <t>0,365% (LC nº 224/2025)</t>
        </is>
      </c>
      <c r="P126" s="13" t="inlineStr">
        <is>
          <t>CST 06</t>
        </is>
      </c>
      <c r="Q126" s="13" t="inlineStr">
        <is>
          <t>CST 73</t>
        </is>
      </c>
      <c r="R126" s="13" t="inlineStr">
        <is>
          <t>Redução de 60% + Diferimento (Art. 138 e Anexo IX LC 214/2025)</t>
        </is>
      </c>
    </row>
    <row r="127" ht="22" customHeight="1">
      <c r="A127" s="6" t="inlineStr">
        <is>
          <t>SKU-0123</t>
        </is>
      </c>
      <c r="B127" s="5" t="n">
        <v>94</v>
      </c>
      <c r="C127" s="7" t="inlineStr">
        <is>
          <t>SIPEAGRO (UF-XXXXX)</t>
        </is>
      </c>
      <c r="D127" s="8" t="inlineStr">
        <is>
          <t>AGCN NITROGEN</t>
        </is>
      </c>
      <c r="E127" s="7" t="inlineStr">
        <is>
          <t>Faixa 1 TIPI (Apresentação &lt;= 300 g ou mL)</t>
        </is>
      </c>
      <c r="F127" s="7" t="inlineStr">
        <is>
          <t>Fracionado / Amostra &lt;= 0,3 L</t>
        </is>
      </c>
      <c r="G127" s="7" t="inlineStr">
        <is>
          <t>L</t>
        </is>
      </c>
      <c r="H127" s="17" t="n">
        <v>0.3</v>
      </c>
      <c r="I127" s="7" t="inlineStr">
        <is>
          <t>3105.90.90</t>
        </is>
      </c>
      <c r="J127" s="7" t="inlineStr">
        <is>
          <t>NÃO</t>
        </is>
      </c>
      <c r="K127" s="7" t="inlineStr">
        <is>
          <t>Embalagem de Insumo Nutricional/Biológico (Logística Reversa)</t>
        </is>
      </c>
      <c r="L127" s="7" t="inlineStr">
        <is>
          <t>NÃO</t>
        </is>
      </c>
      <c r="M127" s="7" t="inlineStr">
        <is>
          <t>0,00% (Lei nº 10.925/2004)</t>
        </is>
      </c>
      <c r="N127" s="7" t="inlineStr">
        <is>
          <t>0,925% (LC nº 224/2025)</t>
        </is>
      </c>
      <c r="O127" s="7" t="inlineStr">
        <is>
          <t>0,365% (LC nº 224/2025)</t>
        </is>
      </c>
      <c r="P127" s="7" t="inlineStr">
        <is>
          <t>CST 06</t>
        </is>
      </c>
      <c r="Q127" s="7" t="inlineStr">
        <is>
          <t>CST 73</t>
        </is>
      </c>
      <c r="R127" s="7" t="inlineStr">
        <is>
          <t>Redução de 60% + Diferimento (Art. 138 e Anexo IX LC 214/2025)</t>
        </is>
      </c>
    </row>
    <row r="128" ht="22" customHeight="1">
      <c r="A128" s="12" t="inlineStr">
        <is>
          <t>SKU-0124</t>
        </is>
      </c>
      <c r="B128" s="11" t="n">
        <v>95</v>
      </c>
      <c r="C128" s="13" t="inlineStr">
        <is>
          <t>SIPEAGRO (UF-XXXXX)</t>
        </is>
      </c>
      <c r="D128" s="14" t="inlineStr">
        <is>
          <t>AGCN NITROGEN 30%</t>
        </is>
      </c>
      <c r="E128" s="13" t="inlineStr">
        <is>
          <t>Embalagem Comercial do Produto</t>
        </is>
      </c>
      <c r="F128" s="13" t="inlineStr">
        <is>
          <t>1X20L (20 L)</t>
        </is>
      </c>
      <c r="G128" s="13" t="inlineStr">
        <is>
          <t>L</t>
        </is>
      </c>
      <c r="H128" s="15" t="n">
        <v>20</v>
      </c>
      <c r="I128" s="13" t="inlineStr">
        <is>
          <t>3102.80.00</t>
        </is>
      </c>
      <c r="J128" s="13" t="inlineStr">
        <is>
          <t>NÃO</t>
        </is>
      </c>
      <c r="K128" s="13" t="inlineStr">
        <is>
          <t>Embalagem de Insumo Nutricional/Biológico (Logística Reversa)</t>
        </is>
      </c>
      <c r="L128" s="13" t="inlineStr">
        <is>
          <t>NÃO</t>
        </is>
      </c>
      <c r="M128" s="13" t="inlineStr">
        <is>
          <t>0,00% (Lei nº 10.925/2004)</t>
        </is>
      </c>
      <c r="N128" s="13" t="inlineStr">
        <is>
          <t>0,925% (LC nº 224/2025)</t>
        </is>
      </c>
      <c r="O128" s="13" t="inlineStr">
        <is>
          <t>0,365% (LC nº 224/2025)</t>
        </is>
      </c>
      <c r="P128" s="13" t="inlineStr">
        <is>
          <t>CST 06</t>
        </is>
      </c>
      <c r="Q128" s="13" t="inlineStr">
        <is>
          <t>CST 73</t>
        </is>
      </c>
      <c r="R128" s="13" t="inlineStr">
        <is>
          <t>Redução de 60% + Diferimento (Art. 138 e Anexo IX LC 214/2025)</t>
        </is>
      </c>
    </row>
    <row r="129" ht="22" customHeight="1">
      <c r="A129" s="6" t="inlineStr">
        <is>
          <t>SKU-0125</t>
        </is>
      </c>
      <c r="B129" s="5" t="n">
        <v>95</v>
      </c>
      <c r="C129" s="7" t="inlineStr">
        <is>
          <t>SIPEAGRO (UF-XXXXX)</t>
        </is>
      </c>
      <c r="D129" s="8" t="inlineStr">
        <is>
          <t>AGCN NITROGEN 30%</t>
        </is>
      </c>
      <c r="E129" s="7" t="inlineStr">
        <is>
          <t>Faixa 1 TIPI (Apresentação &lt;= 300 g ou mL)</t>
        </is>
      </c>
      <c r="F129" s="7" t="inlineStr">
        <is>
          <t>Fracionado / Amostra &lt;= 0,3 L</t>
        </is>
      </c>
      <c r="G129" s="7" t="inlineStr">
        <is>
          <t>L</t>
        </is>
      </c>
      <c r="H129" s="17" t="n">
        <v>0.3</v>
      </c>
      <c r="I129" s="7" t="inlineStr">
        <is>
          <t>3105.90.90</t>
        </is>
      </c>
      <c r="J129" s="7" t="inlineStr">
        <is>
          <t>NÃO</t>
        </is>
      </c>
      <c r="K129" s="7" t="inlineStr">
        <is>
          <t>Embalagem de Insumo Nutricional/Biológico (Logística Reversa)</t>
        </is>
      </c>
      <c r="L129" s="7" t="inlineStr">
        <is>
          <t>NÃO</t>
        </is>
      </c>
      <c r="M129" s="7" t="inlineStr">
        <is>
          <t>0,00% (Lei nº 10.925/2004)</t>
        </is>
      </c>
      <c r="N129" s="7" t="inlineStr">
        <is>
          <t>0,925% (LC nº 224/2025)</t>
        </is>
      </c>
      <c r="O129" s="7" t="inlineStr">
        <is>
          <t>0,365% (LC nº 224/2025)</t>
        </is>
      </c>
      <c r="P129" s="7" t="inlineStr">
        <is>
          <t>CST 06</t>
        </is>
      </c>
      <c r="Q129" s="7" t="inlineStr">
        <is>
          <t>CST 73</t>
        </is>
      </c>
      <c r="R129" s="7" t="inlineStr">
        <is>
          <t>Redução de 60% + Diferimento (Art. 138 e Anexo IX LC 214/2025)</t>
        </is>
      </c>
    </row>
    <row r="130" ht="22" customHeight="1">
      <c r="A130" s="12" t="inlineStr">
        <is>
          <t>SKU-0126</t>
        </is>
      </c>
      <c r="B130" s="11" t="n">
        <v>96</v>
      </c>
      <c r="C130" s="13" t="inlineStr">
        <is>
          <t>SIPEAGRO (UF-XXXXX)</t>
        </is>
      </c>
      <c r="D130" s="14" t="inlineStr">
        <is>
          <t>AGCN MAG ULTRA</t>
        </is>
      </c>
      <c r="E130" s="13" t="inlineStr">
        <is>
          <t>Embalagem Comercial do Produto</t>
        </is>
      </c>
      <c r="F130" s="13" t="inlineStr">
        <is>
          <t>1X20L (20 L)</t>
        </is>
      </c>
      <c r="G130" s="13" t="inlineStr">
        <is>
          <t>L</t>
        </is>
      </c>
      <c r="H130" s="15" t="n">
        <v>20</v>
      </c>
      <c r="I130" s="13" t="inlineStr">
        <is>
          <t>3105.90.90</t>
        </is>
      </c>
      <c r="J130" s="13" t="inlineStr">
        <is>
          <t>NÃO</t>
        </is>
      </c>
      <c r="K130" s="13" t="inlineStr">
        <is>
          <t>Embalagem de Insumo Nutricional/Biológico (Logística Reversa)</t>
        </is>
      </c>
      <c r="L130" s="13" t="inlineStr">
        <is>
          <t>NÃO</t>
        </is>
      </c>
      <c r="M130" s="13" t="inlineStr">
        <is>
          <t>0,00% (Lei nº 10.925/2004)</t>
        </is>
      </c>
      <c r="N130" s="13" t="inlineStr">
        <is>
          <t>0,925% (LC nº 224/2025)</t>
        </is>
      </c>
      <c r="O130" s="13" t="inlineStr">
        <is>
          <t>0,365% (LC nº 224/2025)</t>
        </is>
      </c>
      <c r="P130" s="13" t="inlineStr">
        <is>
          <t>CST 06</t>
        </is>
      </c>
      <c r="Q130" s="13" t="inlineStr">
        <is>
          <t>CST 73</t>
        </is>
      </c>
      <c r="R130" s="13" t="inlineStr">
        <is>
          <t>Redução de 60% + Diferimento (Art. 138 e Anexo IX LC 214/2025)</t>
        </is>
      </c>
    </row>
    <row r="131" ht="22" customHeight="1">
      <c r="A131" s="6" t="inlineStr">
        <is>
          <t>SKU-0127</t>
        </is>
      </c>
      <c r="B131" s="5" t="n">
        <v>96</v>
      </c>
      <c r="C131" s="7" t="inlineStr">
        <is>
          <t>SIPEAGRO (UF-XXXXX)</t>
        </is>
      </c>
      <c r="D131" s="8" t="inlineStr">
        <is>
          <t>AGCN MAG ULTRA</t>
        </is>
      </c>
      <c r="E131" s="7" t="inlineStr">
        <is>
          <t>Faixa 1 TIPI (Apresentação &lt;= 300 g ou mL)</t>
        </is>
      </c>
      <c r="F131" s="7" t="inlineStr">
        <is>
          <t>Fracionado / Amostra &lt;= 0,3 L</t>
        </is>
      </c>
      <c r="G131" s="7" t="inlineStr">
        <is>
          <t>L</t>
        </is>
      </c>
      <c r="H131" s="17" t="n">
        <v>0.3</v>
      </c>
      <c r="I131" s="7" t="inlineStr">
        <is>
          <t>3105.90.90</t>
        </is>
      </c>
      <c r="J131" s="7" t="inlineStr">
        <is>
          <t>NÃO</t>
        </is>
      </c>
      <c r="K131" s="7" t="inlineStr">
        <is>
          <t>Embalagem de Insumo Nutricional/Biológico (Logística Reversa)</t>
        </is>
      </c>
      <c r="L131" s="7" t="inlineStr">
        <is>
          <t>NÃO</t>
        </is>
      </c>
      <c r="M131" s="7" t="inlineStr">
        <is>
          <t>0,00% (Lei nº 10.925/2004)</t>
        </is>
      </c>
      <c r="N131" s="7" t="inlineStr">
        <is>
          <t>0,925% (LC nº 224/2025)</t>
        </is>
      </c>
      <c r="O131" s="7" t="inlineStr">
        <is>
          <t>0,365% (LC nº 224/2025)</t>
        </is>
      </c>
      <c r="P131" s="7" t="inlineStr">
        <is>
          <t>CST 06</t>
        </is>
      </c>
      <c r="Q131" s="7" t="inlineStr">
        <is>
          <t>CST 73</t>
        </is>
      </c>
      <c r="R131" s="7" t="inlineStr">
        <is>
          <t>Redução de 60% + Diferimento (Art. 138 e Anexo IX LC 214/2025)</t>
        </is>
      </c>
    </row>
    <row r="132" ht="22" customHeight="1">
      <c r="A132" s="12" t="inlineStr">
        <is>
          <t>SKU-0128</t>
        </is>
      </c>
      <c r="B132" s="11" t="n">
        <v>97</v>
      </c>
      <c r="C132" s="13" t="inlineStr">
        <is>
          <t>SIPEAGRO (UF-XXXXX)</t>
        </is>
      </c>
      <c r="D132" s="14" t="inlineStr">
        <is>
          <t>AGCN FULL ULTRA</t>
        </is>
      </c>
      <c r="E132" s="13" t="inlineStr">
        <is>
          <t>Embalagem Comercial do Produto</t>
        </is>
      </c>
      <c r="F132" s="13" t="inlineStr">
        <is>
          <t>1X20L (20 L)</t>
        </is>
      </c>
      <c r="G132" s="13" t="inlineStr">
        <is>
          <t>L</t>
        </is>
      </c>
      <c r="H132" s="15" t="n">
        <v>20</v>
      </c>
      <c r="I132" s="13" t="inlineStr">
        <is>
          <t>3105.90.90</t>
        </is>
      </c>
      <c r="J132" s="13" t="inlineStr">
        <is>
          <t>NÃO</t>
        </is>
      </c>
      <c r="K132" s="13" t="inlineStr">
        <is>
          <t>Embalagem de Insumo Nutricional/Biológico (Logística Reversa)</t>
        </is>
      </c>
      <c r="L132" s="13" t="inlineStr">
        <is>
          <t>NÃO</t>
        </is>
      </c>
      <c r="M132" s="13" t="inlineStr">
        <is>
          <t>0,00% (Lei nº 10.925/2004)</t>
        </is>
      </c>
      <c r="N132" s="13" t="inlineStr">
        <is>
          <t>0,925% (LC nº 224/2025)</t>
        </is>
      </c>
      <c r="O132" s="13" t="inlineStr">
        <is>
          <t>0,365% (LC nº 224/2025)</t>
        </is>
      </c>
      <c r="P132" s="13" t="inlineStr">
        <is>
          <t>CST 06</t>
        </is>
      </c>
      <c r="Q132" s="13" t="inlineStr">
        <is>
          <t>CST 73</t>
        </is>
      </c>
      <c r="R132" s="13" t="inlineStr">
        <is>
          <t>Redução de 60% + Diferimento (Art. 138 e Anexo IX LC 214/2025)</t>
        </is>
      </c>
    </row>
    <row r="133" ht="22" customHeight="1">
      <c r="A133" s="6" t="inlineStr">
        <is>
          <t>SKU-0129</t>
        </is>
      </c>
      <c r="B133" s="5" t="n">
        <v>97</v>
      </c>
      <c r="C133" s="7" t="inlineStr">
        <is>
          <t>SIPEAGRO (UF-XXXXX)</t>
        </is>
      </c>
      <c r="D133" s="8" t="inlineStr">
        <is>
          <t>AGCN FULL ULTRA</t>
        </is>
      </c>
      <c r="E133" s="7" t="inlineStr">
        <is>
          <t>Faixa 1 TIPI (Apresentação &lt;= 300 g ou mL)</t>
        </is>
      </c>
      <c r="F133" s="7" t="inlineStr">
        <is>
          <t>Fracionado / Amostra &lt;= 0,3 L</t>
        </is>
      </c>
      <c r="G133" s="7" t="inlineStr">
        <is>
          <t>L</t>
        </is>
      </c>
      <c r="H133" s="17" t="n">
        <v>0.3</v>
      </c>
      <c r="I133" s="7" t="inlineStr">
        <is>
          <t>3105.90.90</t>
        </is>
      </c>
      <c r="J133" s="7" t="inlineStr">
        <is>
          <t>NÃO</t>
        </is>
      </c>
      <c r="K133" s="7" t="inlineStr">
        <is>
          <t>Embalagem de Insumo Nutricional/Biológico (Logística Reversa)</t>
        </is>
      </c>
      <c r="L133" s="7" t="inlineStr">
        <is>
          <t>NÃO</t>
        </is>
      </c>
      <c r="M133" s="7" t="inlineStr">
        <is>
          <t>0,00% (Lei nº 10.925/2004)</t>
        </is>
      </c>
      <c r="N133" s="7" t="inlineStr">
        <is>
          <t>0,925% (LC nº 224/2025)</t>
        </is>
      </c>
      <c r="O133" s="7" t="inlineStr">
        <is>
          <t>0,365% (LC nº 224/2025)</t>
        </is>
      </c>
      <c r="P133" s="7" t="inlineStr">
        <is>
          <t>CST 06</t>
        </is>
      </c>
      <c r="Q133" s="7" t="inlineStr">
        <is>
          <t>CST 73</t>
        </is>
      </c>
      <c r="R133" s="7" t="inlineStr">
        <is>
          <t>Redução de 60% + Diferimento (Art. 138 e Anexo IX LC 214/2025)</t>
        </is>
      </c>
    </row>
    <row r="134" ht="22" customHeight="1">
      <c r="A134" s="12" t="inlineStr">
        <is>
          <t>SKU-0130</t>
        </is>
      </c>
      <c r="B134" s="11" t="n">
        <v>98</v>
      </c>
      <c r="C134" s="13" t="inlineStr">
        <is>
          <t>ISENTO (ATO 104/2017)</t>
        </is>
      </c>
      <c r="D134" s="14" t="inlineStr">
        <is>
          <t>AGRICOIL CITRUS</t>
        </is>
      </c>
      <c r="E134" s="13" t="inlineStr">
        <is>
          <t>Embalagem Comercial do Produto</t>
        </is>
      </c>
      <c r="F134" s="13" t="inlineStr">
        <is>
          <t>1X20L (20 L)</t>
        </is>
      </c>
      <c r="G134" s="13" t="inlineStr">
        <is>
          <t>L</t>
        </is>
      </c>
      <c r="H134" s="15" t="n">
        <v>20</v>
      </c>
      <c r="I134" s="13" t="inlineStr">
        <is>
          <t>3402.90.29</t>
        </is>
      </c>
      <c r="J134" s="13" t="inlineStr">
        <is>
          <t>NÃO</t>
        </is>
      </c>
      <c r="K134" s="13" t="inlineStr">
        <is>
          <t>Embalagem Rígida — LAVÁVEL (Obrigatória Tríplice Lavagem ou Pressão)</t>
        </is>
      </c>
      <c r="L134" s="13" t="inlineStr">
        <is>
          <t>NÃO</t>
        </is>
      </c>
      <c r="M134" s="13" t="inlineStr">
        <is>
          <t>9,25% Real | 3,65% Presumido</t>
        </is>
      </c>
      <c r="N134" s="13" t="inlineStr">
        <is>
          <t>9,250% (Integral)</t>
        </is>
      </c>
      <c r="O134" s="13" t="inlineStr">
        <is>
          <t>3,650% (Integral)</t>
        </is>
      </c>
      <c r="P134" s="13" t="inlineStr">
        <is>
          <t>CST 01</t>
        </is>
      </c>
      <c r="Q134" s="13" t="inlineStr">
        <is>
          <t>CST 50</t>
        </is>
      </c>
      <c r="R134" s="13" t="inlineStr">
        <is>
          <t>Alíquota Padrão Integral (LC 214/2025)</t>
        </is>
      </c>
    </row>
    <row r="135" ht="22" customHeight="1">
      <c r="A135" s="6" t="inlineStr">
        <is>
          <t>SKU-0131</t>
        </is>
      </c>
      <c r="B135" s="5" t="n">
        <v>99</v>
      </c>
      <c r="C135" s="7" t="inlineStr">
        <is>
          <t>ISENTO (ATO 104/2017)</t>
        </is>
      </c>
      <c r="D135" s="8" t="inlineStr">
        <is>
          <t>AGRICOIL CITRUS</t>
        </is>
      </c>
      <c r="E135" s="7" t="inlineStr">
        <is>
          <t>Embalagem Comercial do Produto</t>
        </is>
      </c>
      <c r="F135" s="7" t="inlineStr">
        <is>
          <t>4X5L (5 L)</t>
        </is>
      </c>
      <c r="G135" s="7" t="inlineStr">
        <is>
          <t>L</t>
        </is>
      </c>
      <c r="H135" s="9" t="n">
        <v>5</v>
      </c>
      <c r="I135" s="7" t="inlineStr">
        <is>
          <t>3402.90.29</t>
        </is>
      </c>
      <c r="J135" s="7" t="inlineStr">
        <is>
          <t>NÃO</t>
        </is>
      </c>
      <c r="K135" s="7" t="inlineStr">
        <is>
          <t>Embalagem Rígida — LAVÁVEL (Obrigatória Tríplice Lavagem ou Pressão)</t>
        </is>
      </c>
      <c r="L135" s="7" t="inlineStr">
        <is>
          <t>NÃO</t>
        </is>
      </c>
      <c r="M135" s="7" t="inlineStr">
        <is>
          <t>9,25% Real | 3,65% Presumido</t>
        </is>
      </c>
      <c r="N135" s="7" t="inlineStr">
        <is>
          <t>9,250% (Integral)</t>
        </is>
      </c>
      <c r="O135" s="7" t="inlineStr">
        <is>
          <t>3,650% (Integral)</t>
        </is>
      </c>
      <c r="P135" s="7" t="inlineStr">
        <is>
          <t>CST 01</t>
        </is>
      </c>
      <c r="Q135" s="7" t="inlineStr">
        <is>
          <t>CST 50</t>
        </is>
      </c>
      <c r="R135" s="7" t="inlineStr">
        <is>
          <t>Alíquota Padrão Integral (LC 214/2025)</t>
        </is>
      </c>
    </row>
    <row r="136" ht="22" customHeight="1">
      <c r="A136" s="12" t="inlineStr">
        <is>
          <t>SKU-0132</t>
        </is>
      </c>
      <c r="B136" s="11" t="n">
        <v>100</v>
      </c>
      <c r="C136" s="13" t="inlineStr">
        <is>
          <t>ISENTO (ATO 104/2017)</t>
        </is>
      </c>
      <c r="D136" s="14" t="inlineStr">
        <is>
          <t>AGRICOIL MINERAL YPF</t>
        </is>
      </c>
      <c r="E136" s="13" t="inlineStr">
        <is>
          <t>Embalagem Comercial do Produto</t>
        </is>
      </c>
      <c r="F136" s="13" t="inlineStr">
        <is>
          <t>1X20L (20 L)</t>
        </is>
      </c>
      <c r="G136" s="13" t="inlineStr">
        <is>
          <t>L</t>
        </is>
      </c>
      <c r="H136" s="15" t="n">
        <v>20</v>
      </c>
      <c r="I136" s="13" t="inlineStr">
        <is>
          <t>3402.90.29</t>
        </is>
      </c>
      <c r="J136" s="13" t="inlineStr">
        <is>
          <t>NÃO</t>
        </is>
      </c>
      <c r="K136" s="13" t="inlineStr">
        <is>
          <t>Embalagem Rígida — LAVÁVEL (Obrigatória Tríplice Lavagem ou Pressão)</t>
        </is>
      </c>
      <c r="L136" s="13" t="inlineStr">
        <is>
          <t>NÃO</t>
        </is>
      </c>
      <c r="M136" s="13" t="inlineStr">
        <is>
          <t>9,25% Real | 3,65% Presumido</t>
        </is>
      </c>
      <c r="N136" s="13" t="inlineStr">
        <is>
          <t>9,250% (Integral)</t>
        </is>
      </c>
      <c r="O136" s="13" t="inlineStr">
        <is>
          <t>3,650% (Integral)</t>
        </is>
      </c>
      <c r="P136" s="13" t="inlineStr">
        <is>
          <t>CST 01</t>
        </is>
      </c>
      <c r="Q136" s="13" t="inlineStr">
        <is>
          <t>CST 50</t>
        </is>
      </c>
      <c r="R136" s="13" t="inlineStr">
        <is>
          <t>Alíquota Padrão Integral (LC 214/2025)</t>
        </is>
      </c>
    </row>
    <row r="137" ht="22" customHeight="1">
      <c r="A137" s="6" t="inlineStr">
        <is>
          <t>SKU-0133</t>
        </is>
      </c>
      <c r="B137" s="5" t="n">
        <v>101</v>
      </c>
      <c r="C137" s="7" t="inlineStr">
        <is>
          <t>ISENTO (ATO 104/2017)</t>
        </is>
      </c>
      <c r="D137" s="8" t="inlineStr">
        <is>
          <t>AGRICOIL MINERAL</t>
        </is>
      </c>
      <c r="E137" s="7" t="inlineStr">
        <is>
          <t>Embalagem Comercial do Produto</t>
        </is>
      </c>
      <c r="F137" s="7" t="inlineStr">
        <is>
          <t>1X25L (25 L)</t>
        </is>
      </c>
      <c r="G137" s="7" t="inlineStr">
        <is>
          <t>L</t>
        </is>
      </c>
      <c r="H137" s="9" t="n">
        <v>25</v>
      </c>
      <c r="I137" s="7" t="inlineStr">
        <is>
          <t>3402.90.29</t>
        </is>
      </c>
      <c r="J137" s="7" t="inlineStr">
        <is>
          <t>NÃO</t>
        </is>
      </c>
      <c r="K137" s="7" t="inlineStr">
        <is>
          <t>Embalagem Rígida — LAVÁVEL (Obrigatória Tríplice Lavagem ou Pressão)</t>
        </is>
      </c>
      <c r="L137" s="7" t="inlineStr">
        <is>
          <t>NÃO</t>
        </is>
      </c>
      <c r="M137" s="7" t="inlineStr">
        <is>
          <t>9,25% Real | 3,65% Presumido</t>
        </is>
      </c>
      <c r="N137" s="7" t="inlineStr">
        <is>
          <t>9,250% (Integral)</t>
        </is>
      </c>
      <c r="O137" s="7" t="inlineStr">
        <is>
          <t>3,650% (Integral)</t>
        </is>
      </c>
      <c r="P137" s="7" t="inlineStr">
        <is>
          <t>CST 01</t>
        </is>
      </c>
      <c r="Q137" s="7" t="inlineStr">
        <is>
          <t>CST 50</t>
        </is>
      </c>
      <c r="R137" s="7" t="inlineStr">
        <is>
          <t>Alíquota Padrão Integral (LC 214/2025)</t>
        </is>
      </c>
    </row>
    <row r="138" ht="22" customHeight="1">
      <c r="A138" s="12" t="inlineStr">
        <is>
          <t>SKU-0134</t>
        </is>
      </c>
      <c r="B138" s="11" t="n">
        <v>102</v>
      </c>
      <c r="C138" s="13" t="inlineStr">
        <is>
          <t>ISENTO (ATO 104/2017)</t>
        </is>
      </c>
      <c r="D138" s="14" t="inlineStr">
        <is>
          <t>AGRICOIL VEGETAL</t>
        </is>
      </c>
      <c r="E138" s="13" t="inlineStr">
        <is>
          <t>Embalagem Comercial do Produto</t>
        </is>
      </c>
      <c r="F138" s="13" t="inlineStr">
        <is>
          <t>1X25L (25 L)</t>
        </is>
      </c>
      <c r="G138" s="13" t="inlineStr">
        <is>
          <t>L</t>
        </is>
      </c>
      <c r="H138" s="15" t="n">
        <v>25</v>
      </c>
      <c r="I138" s="13" t="inlineStr">
        <is>
          <t>3402.90.29</t>
        </is>
      </c>
      <c r="J138" s="13" t="inlineStr">
        <is>
          <t>NÃO</t>
        </is>
      </c>
      <c r="K138" s="13" t="inlineStr">
        <is>
          <t>Embalagem Rígida — LAVÁVEL (Obrigatória Tríplice Lavagem ou Pressão)</t>
        </is>
      </c>
      <c r="L138" s="13" t="inlineStr">
        <is>
          <t>NÃO</t>
        </is>
      </c>
      <c r="M138" s="13" t="inlineStr">
        <is>
          <t>9,25% Real | 3,65% Presumido</t>
        </is>
      </c>
      <c r="N138" s="13" t="inlineStr">
        <is>
          <t>9,250% (Integral)</t>
        </is>
      </c>
      <c r="O138" s="13" t="inlineStr">
        <is>
          <t>3,650% (Integral)</t>
        </is>
      </c>
      <c r="P138" s="13" t="inlineStr">
        <is>
          <t>CST 01</t>
        </is>
      </c>
      <c r="Q138" s="13" t="inlineStr">
        <is>
          <t>CST 50</t>
        </is>
      </c>
      <c r="R138" s="13" t="inlineStr">
        <is>
          <t>Alíquota Padrão Integral (LC 214/2025)</t>
        </is>
      </c>
    </row>
    <row r="139" ht="22" customHeight="1">
      <c r="A139" s="6" t="inlineStr">
        <is>
          <t>SKU-0135</t>
        </is>
      </c>
      <c r="B139" s="5" t="n">
        <v>103</v>
      </c>
      <c r="C139" s="7" t="inlineStr">
        <is>
          <t>SIPEAGRO (UF-XXXXX)</t>
        </is>
      </c>
      <c r="D139" s="8" t="inlineStr">
        <is>
          <t>SAGERSOLOS FORCE</t>
        </is>
      </c>
      <c r="E139" s="7" t="inlineStr">
        <is>
          <t>Embalagem Comercial do Produto</t>
        </is>
      </c>
      <c r="F139" s="7" t="inlineStr">
        <is>
          <t>1X1KG (1 KG)</t>
        </is>
      </c>
      <c r="G139" s="7" t="inlineStr">
        <is>
          <t>KG</t>
        </is>
      </c>
      <c r="H139" s="9" t="n">
        <v>1</v>
      </c>
      <c r="I139" s="7" t="inlineStr">
        <is>
          <t>3101.00.00</t>
        </is>
      </c>
      <c r="J139" s="7" t="inlineStr">
        <is>
          <t>NÃO</t>
        </is>
      </c>
      <c r="K139" s="7" t="inlineStr">
        <is>
          <t>Embalagem de Insumo Nutricional/Biológico (Logística Reversa)</t>
        </is>
      </c>
      <c r="L139" s="7" t="inlineStr">
        <is>
          <t>NÃO</t>
        </is>
      </c>
      <c r="M139" s="7" t="inlineStr">
        <is>
          <t>0,00% (Lei nº 10.925/2004)</t>
        </is>
      </c>
      <c r="N139" s="7" t="inlineStr">
        <is>
          <t>0,925% (LC nº 224/2025)</t>
        </is>
      </c>
      <c r="O139" s="7" t="inlineStr">
        <is>
          <t>0,365% (LC nº 224/2025)</t>
        </is>
      </c>
      <c r="P139" s="7" t="inlineStr">
        <is>
          <t>CST 06</t>
        </is>
      </c>
      <c r="Q139" s="7" t="inlineStr">
        <is>
          <t>CST 73</t>
        </is>
      </c>
      <c r="R139" s="7" t="inlineStr">
        <is>
          <t>Redução de 60% + Diferimento (Art. 138 e Anexo IX LC 214/2025)</t>
        </is>
      </c>
    </row>
    <row r="140" ht="22" customHeight="1">
      <c r="A140" s="12" t="inlineStr">
        <is>
          <t>SKU-0136</t>
        </is>
      </c>
      <c r="B140" s="11" t="n">
        <v>103</v>
      </c>
      <c r="C140" s="13" t="inlineStr">
        <is>
          <t>SIPEAGRO (UF-XXXXX)</t>
        </is>
      </c>
      <c r="D140" s="14" t="inlineStr">
        <is>
          <t>SAGERSOLOS FORCE</t>
        </is>
      </c>
      <c r="E140" s="13" t="inlineStr">
        <is>
          <t>Faixa 1 TIPI (Apresentação &lt;= 300 g ou mL)</t>
        </is>
      </c>
      <c r="F140" s="13" t="inlineStr">
        <is>
          <t>Fracionado / Amostra &lt;= 0,3 KG</t>
        </is>
      </c>
      <c r="G140" s="13" t="inlineStr">
        <is>
          <t>KG</t>
        </is>
      </c>
      <c r="H140" s="18" t="n">
        <v>0.3</v>
      </c>
      <c r="I140" s="13" t="inlineStr">
        <is>
          <t>3105.90.90</t>
        </is>
      </c>
      <c r="J140" s="13" t="inlineStr">
        <is>
          <t>NÃO</t>
        </is>
      </c>
      <c r="K140" s="13" t="inlineStr">
        <is>
          <t>Embalagem de Insumo Nutricional/Biológico (Logística Reversa)</t>
        </is>
      </c>
      <c r="L140" s="13" t="inlineStr">
        <is>
          <t>NÃO</t>
        </is>
      </c>
      <c r="M140" s="13" t="inlineStr">
        <is>
          <t>0,00% (Lei nº 10.925/2004)</t>
        </is>
      </c>
      <c r="N140" s="13" t="inlineStr">
        <is>
          <t>0,925% (LC nº 224/2025)</t>
        </is>
      </c>
      <c r="O140" s="13" t="inlineStr">
        <is>
          <t>0,365% (LC nº 224/2025)</t>
        </is>
      </c>
      <c r="P140" s="13" t="inlineStr">
        <is>
          <t>CST 06</t>
        </is>
      </c>
      <c r="Q140" s="13" t="inlineStr">
        <is>
          <t>CST 73</t>
        </is>
      </c>
      <c r="R140" s="13" t="inlineStr">
        <is>
          <t>Redução de 60% + Diferimento (Art. 138 e Anexo IX LC 214/2025)</t>
        </is>
      </c>
    </row>
    <row r="141" ht="22" customHeight="1">
      <c r="A141" s="6" t="inlineStr">
        <is>
          <t>SKU-0137</t>
        </is>
      </c>
      <c r="B141" s="5" t="n">
        <v>104</v>
      </c>
      <c r="C141" s="7" t="inlineStr">
        <is>
          <t>SIPEAGRO (UF-XXXXX)</t>
        </is>
      </c>
      <c r="D141" s="8" t="inlineStr">
        <is>
          <t>SAGERSOLOS SINERGY</t>
        </is>
      </c>
      <c r="E141" s="7" t="inlineStr">
        <is>
          <t>Embalagem Comercial do Produto</t>
        </is>
      </c>
      <c r="F141" s="7" t="inlineStr">
        <is>
          <t>1X1KG (1 KG)</t>
        </is>
      </c>
      <c r="G141" s="7" t="inlineStr">
        <is>
          <t>KG</t>
        </is>
      </c>
      <c r="H141" s="9" t="n">
        <v>1</v>
      </c>
      <c r="I141" s="7" t="inlineStr">
        <is>
          <t>3101.00.00</t>
        </is>
      </c>
      <c r="J141" s="7" t="inlineStr">
        <is>
          <t>NÃO</t>
        </is>
      </c>
      <c r="K141" s="7" t="inlineStr">
        <is>
          <t>Embalagem de Insumo Nutricional/Biológico (Logística Reversa)</t>
        </is>
      </c>
      <c r="L141" s="7" t="inlineStr">
        <is>
          <t>NÃO</t>
        </is>
      </c>
      <c r="M141" s="7" t="inlineStr">
        <is>
          <t>0,00% (Lei nº 10.925/2004)</t>
        </is>
      </c>
      <c r="N141" s="7" t="inlineStr">
        <is>
          <t>0,925% (LC nº 224/2025)</t>
        </is>
      </c>
      <c r="O141" s="7" t="inlineStr">
        <is>
          <t>0,365% (LC nº 224/2025)</t>
        </is>
      </c>
      <c r="P141" s="7" t="inlineStr">
        <is>
          <t>CST 06</t>
        </is>
      </c>
      <c r="Q141" s="7" t="inlineStr">
        <is>
          <t>CST 73</t>
        </is>
      </c>
      <c r="R141" s="7" t="inlineStr">
        <is>
          <t>Redução de 60% + Diferimento (Art. 138 e Anexo IX LC 214/2025)</t>
        </is>
      </c>
    </row>
    <row r="142" ht="22" customHeight="1">
      <c r="A142" s="12" t="inlineStr">
        <is>
          <t>SKU-0138</t>
        </is>
      </c>
      <c r="B142" s="11" t="n">
        <v>104</v>
      </c>
      <c r="C142" s="13" t="inlineStr">
        <is>
          <t>SIPEAGRO (UF-XXXXX)</t>
        </is>
      </c>
      <c r="D142" s="14" t="inlineStr">
        <is>
          <t>SAGERSOLOS SINERGY</t>
        </is>
      </c>
      <c r="E142" s="13" t="inlineStr">
        <is>
          <t>Faixa 1 TIPI (Apresentação &lt;= 300 g ou mL)</t>
        </is>
      </c>
      <c r="F142" s="13" t="inlineStr">
        <is>
          <t>Fracionado / Amostra &lt;= 0,3 KG</t>
        </is>
      </c>
      <c r="G142" s="13" t="inlineStr">
        <is>
          <t>KG</t>
        </is>
      </c>
      <c r="H142" s="18" t="n">
        <v>0.3</v>
      </c>
      <c r="I142" s="13" t="inlineStr">
        <is>
          <t>3105.90.90</t>
        </is>
      </c>
      <c r="J142" s="13" t="inlineStr">
        <is>
          <t>NÃO</t>
        </is>
      </c>
      <c r="K142" s="13" t="inlineStr">
        <is>
          <t>Embalagem de Insumo Nutricional/Biológico (Logística Reversa)</t>
        </is>
      </c>
      <c r="L142" s="13" t="inlineStr">
        <is>
          <t>NÃO</t>
        </is>
      </c>
      <c r="M142" s="13" t="inlineStr">
        <is>
          <t>0,00% (Lei nº 10.925/2004)</t>
        </is>
      </c>
      <c r="N142" s="13" t="inlineStr">
        <is>
          <t>0,925% (LC nº 224/2025)</t>
        </is>
      </c>
      <c r="O142" s="13" t="inlineStr">
        <is>
          <t>0,365% (LC nº 224/2025)</t>
        </is>
      </c>
      <c r="P142" s="13" t="inlineStr">
        <is>
          <t>CST 06</t>
        </is>
      </c>
      <c r="Q142" s="13" t="inlineStr">
        <is>
          <t>CST 73</t>
        </is>
      </c>
      <c r="R142" s="13" t="inlineStr">
        <is>
          <t>Redução de 60% + Diferimento (Art. 138 e Anexo IX LC 214/2025)</t>
        </is>
      </c>
    </row>
    <row r="143" ht="22" customHeight="1">
      <c r="A143" s="6" t="inlineStr">
        <is>
          <t>SKU-0139</t>
        </is>
      </c>
      <c r="B143" s="5" t="n">
        <v>105</v>
      </c>
      <c r="C143" s="7" t="inlineStr">
        <is>
          <t>Nº 2808</t>
        </is>
      </c>
      <c r="D143" s="8" t="inlineStr">
        <is>
          <t>TROPERO</t>
        </is>
      </c>
      <c r="E143" s="7" t="inlineStr">
        <is>
          <t>Embalagem Comercial do Produto</t>
        </is>
      </c>
      <c r="F143" s="7" t="inlineStr">
        <is>
          <t>1X20L (20 L)</t>
        </is>
      </c>
      <c r="G143" s="7" t="inlineStr">
        <is>
          <t>L</t>
        </is>
      </c>
      <c r="H143" s="9" t="n">
        <v>20</v>
      </c>
      <c r="I143" s="7" t="inlineStr">
        <is>
          <t>3808.93.29</t>
        </is>
      </c>
      <c r="J143" s="7" t="inlineStr">
        <is>
          <t>NÃO</t>
        </is>
      </c>
      <c r="K143" s="7" t="inlineStr">
        <is>
          <t>Embalagem Rígida — LAVÁVEL (Obrigatória Tríplice Lavagem ou Pressão)</t>
        </is>
      </c>
      <c r="L143" s="7" t="inlineStr">
        <is>
          <t>NÃO</t>
        </is>
      </c>
      <c r="M143" s="7" t="inlineStr">
        <is>
          <t>0,00% (Lei nº 10.925/2004)</t>
        </is>
      </c>
      <c r="N143" s="7" t="inlineStr">
        <is>
          <t>0,925% (LC nº 224/2025)</t>
        </is>
      </c>
      <c r="O143" s="7" t="inlineStr">
        <is>
          <t>0,365% (LC nº 224/2025)</t>
        </is>
      </c>
      <c r="P143" s="7" t="inlineStr">
        <is>
          <t>CST 06</t>
        </is>
      </c>
      <c r="Q143" s="7" t="inlineStr">
        <is>
          <t>CST 73</t>
        </is>
      </c>
      <c r="R143" s="7" t="inlineStr">
        <is>
          <t>Redução de 60% + Diferimento (Art. 138 e Anexo IX LC 214/2025)</t>
        </is>
      </c>
    </row>
    <row r="144" ht="22" customHeight="1">
      <c r="A144" s="12" t="inlineStr">
        <is>
          <t>SKU-0140</t>
        </is>
      </c>
      <c r="B144" s="11" t="n">
        <v>106</v>
      </c>
      <c r="C144" s="13" t="inlineStr">
        <is>
          <t>Nº 14207</t>
        </is>
      </c>
      <c r="D144" s="14" t="inlineStr">
        <is>
          <t>TURUNA</t>
        </is>
      </c>
      <c r="E144" s="13" t="inlineStr">
        <is>
          <t>Embalagem Comercial do Produto</t>
        </is>
      </c>
      <c r="F144" s="13" t="inlineStr">
        <is>
          <t>1X20L (20 L)</t>
        </is>
      </c>
      <c r="G144" s="13" t="inlineStr">
        <is>
          <t>L</t>
        </is>
      </c>
      <c r="H144" s="15" t="n">
        <v>20</v>
      </c>
      <c r="I144" s="13" t="inlineStr">
        <is>
          <t>3808.93.22</t>
        </is>
      </c>
      <c r="J144" s="13" t="inlineStr">
        <is>
          <t>NÃO</t>
        </is>
      </c>
      <c r="K144" s="13" t="inlineStr">
        <is>
          <t>Embalagem Rígida — LAVÁVEL (Obrigatória Tríplice Lavagem ou Pressão)</t>
        </is>
      </c>
      <c r="L144" s="13" t="inlineStr">
        <is>
          <t>NÃO</t>
        </is>
      </c>
      <c r="M144" s="13" t="inlineStr">
        <is>
          <t>0,00% (Lei nº 10.925/2004)</t>
        </is>
      </c>
      <c r="N144" s="13" t="inlineStr">
        <is>
          <t>0,925% (LC nº 224/2025)</t>
        </is>
      </c>
      <c r="O144" s="13" t="inlineStr">
        <is>
          <t>0,365% (LC nº 224/2025)</t>
        </is>
      </c>
      <c r="P144" s="13" t="inlineStr">
        <is>
          <t>CST 06</t>
        </is>
      </c>
      <c r="Q144" s="13" t="inlineStr">
        <is>
          <t>CST 73</t>
        </is>
      </c>
      <c r="R144" s="13" t="inlineStr">
        <is>
          <t>Redução de 60% + Diferimento (Art. 138 e Anexo IX LC 214/2025)</t>
        </is>
      </c>
    </row>
    <row r="145" ht="22" customHeight="1">
      <c r="A145" s="6" t="inlineStr">
        <is>
          <t>SKU-0141</t>
        </is>
      </c>
      <c r="B145" s="5" t="n">
        <v>107</v>
      </c>
      <c r="C145" s="7" t="inlineStr">
        <is>
          <t>Nº 13420</t>
        </is>
      </c>
      <c r="D145" s="8" t="inlineStr">
        <is>
          <t>APROACH POWER</t>
        </is>
      </c>
      <c r="E145" s="7" t="inlineStr">
        <is>
          <t>Embalagem Comercial do Produto</t>
        </is>
      </c>
      <c r="F145" s="7" t="inlineStr">
        <is>
          <t>1X10L (10 L)</t>
        </is>
      </c>
      <c r="G145" s="7" t="inlineStr">
        <is>
          <t>L</t>
        </is>
      </c>
      <c r="H145" s="9" t="n">
        <v>10</v>
      </c>
      <c r="I145" s="7" t="inlineStr">
        <is>
          <t>3808.92.99</t>
        </is>
      </c>
      <c r="J145" s="7" t="inlineStr">
        <is>
          <t>NÃO</t>
        </is>
      </c>
      <c r="K145" s="7" t="inlineStr">
        <is>
          <t>Embalagem Rígida — LAVÁVEL (Obrigatória Tríplice Lavagem ou Pressão)</t>
        </is>
      </c>
      <c r="L145" s="7" t="inlineStr">
        <is>
          <t>NÃO</t>
        </is>
      </c>
      <c r="M145" s="7" t="inlineStr">
        <is>
          <t>0,00% (Lei nº 10.925/2004)</t>
        </is>
      </c>
      <c r="N145" s="7" t="inlineStr">
        <is>
          <t>0,925% (LC nº 224/2025)</t>
        </is>
      </c>
      <c r="O145" s="7" t="inlineStr">
        <is>
          <t>0,365% (LC nº 224/2025)</t>
        </is>
      </c>
      <c r="P145" s="7" t="inlineStr">
        <is>
          <t>CST 06</t>
        </is>
      </c>
      <c r="Q145" s="7" t="inlineStr">
        <is>
          <t>CST 73</t>
        </is>
      </c>
      <c r="R145" s="7" t="inlineStr">
        <is>
          <t>Redução de 60% + Diferimento (Art. 138 e Anexo IX LC 214/2025)</t>
        </is>
      </c>
    </row>
    <row r="146" ht="22" customHeight="1">
      <c r="A146" s="12" t="inlineStr">
        <is>
          <t>SKU-0142</t>
        </is>
      </c>
      <c r="B146" s="11" t="n">
        <v>108</v>
      </c>
      <c r="C146" s="13" t="inlineStr">
        <is>
          <t>Nº 1419</t>
        </is>
      </c>
      <c r="D146" s="14" t="inlineStr">
        <is>
          <t>TAURA 200 EC</t>
        </is>
      </c>
      <c r="E146" s="13" t="inlineStr">
        <is>
          <t>Embalagem Comercial do Produto</t>
        </is>
      </c>
      <c r="F146" s="13" t="inlineStr">
        <is>
          <t>4X5L (5 L)</t>
        </is>
      </c>
      <c r="G146" s="13" t="inlineStr">
        <is>
          <t>L</t>
        </is>
      </c>
      <c r="H146" s="15" t="n">
        <v>5</v>
      </c>
      <c r="I146" s="13" t="inlineStr">
        <is>
          <t>3808.91.99</t>
        </is>
      </c>
      <c r="J146" s="13" t="inlineStr">
        <is>
          <t>NÃO</t>
        </is>
      </c>
      <c r="K146" s="13" t="inlineStr">
        <is>
          <t>Embalagem Rígida — LAVÁVEL (Obrigatória Tríplice Lavagem ou Pressão)</t>
        </is>
      </c>
      <c r="L146" s="13" t="inlineStr">
        <is>
          <t>NÃO</t>
        </is>
      </c>
      <c r="M146" s="13" t="inlineStr">
        <is>
          <t>0,00% (Lei nº 10.925/2004)</t>
        </is>
      </c>
      <c r="N146" s="13" t="inlineStr">
        <is>
          <t>0,925% (LC nº 224/2025)</t>
        </is>
      </c>
      <c r="O146" s="13" t="inlineStr">
        <is>
          <t>0,365% (LC nº 224/2025)</t>
        </is>
      </c>
      <c r="P146" s="13" t="inlineStr">
        <is>
          <t>CST 06</t>
        </is>
      </c>
      <c r="Q146" s="13" t="inlineStr">
        <is>
          <t>CST 73</t>
        </is>
      </c>
      <c r="R146" s="13" t="inlineStr">
        <is>
          <t>Redução de 60% + Diferimento (Art. 138 e Anexo IX LC 214/2025)</t>
        </is>
      </c>
    </row>
    <row r="147" ht="22" customHeight="1">
      <c r="A147" s="6" t="inlineStr">
        <is>
          <t>SKU-0143</t>
        </is>
      </c>
      <c r="B147" s="5" t="n">
        <v>109</v>
      </c>
      <c r="C147" s="7" t="inlineStr">
        <is>
          <t>SIPEAGRO (UF-XXXXX)</t>
        </is>
      </c>
      <c r="D147" s="8" t="inlineStr">
        <is>
          <t>AGRIGENTO KIESER</t>
        </is>
      </c>
      <c r="E147" s="7" t="inlineStr">
        <is>
          <t>Embalagem Comercial do Produto</t>
        </is>
      </c>
      <c r="F147" s="7" t="inlineStr">
        <is>
          <t>1X25KG (25 KG)</t>
        </is>
      </c>
      <c r="G147" s="7" t="inlineStr">
        <is>
          <t>KG</t>
        </is>
      </c>
      <c r="H147" s="9" t="n">
        <v>25</v>
      </c>
      <c r="I147" s="7" t="inlineStr">
        <is>
          <t>3105.90.90</t>
        </is>
      </c>
      <c r="J147" s="7" t="inlineStr">
        <is>
          <t>NÃO</t>
        </is>
      </c>
      <c r="K147" s="7" t="inlineStr">
        <is>
          <t>Embalagem de Insumo Nutricional/Biológico (Logística Reversa)</t>
        </is>
      </c>
      <c r="L147" s="7" t="inlineStr">
        <is>
          <t>NÃO</t>
        </is>
      </c>
      <c r="M147" s="7" t="inlineStr">
        <is>
          <t>0,00% (Lei nº 10.925/2004)</t>
        </is>
      </c>
      <c r="N147" s="7" t="inlineStr">
        <is>
          <t>0,925% (LC nº 224/2025)</t>
        </is>
      </c>
      <c r="O147" s="7" t="inlineStr">
        <is>
          <t>0,365% (LC nº 224/2025)</t>
        </is>
      </c>
      <c r="P147" s="7" t="inlineStr">
        <is>
          <t>CST 06</t>
        </is>
      </c>
      <c r="Q147" s="7" t="inlineStr">
        <is>
          <t>CST 73</t>
        </is>
      </c>
      <c r="R147" s="7" t="inlineStr">
        <is>
          <t>Redução de 60% + Diferimento (Art. 138 e Anexo IX LC 214/2025)</t>
        </is>
      </c>
    </row>
    <row r="148" ht="22" customHeight="1">
      <c r="A148" s="12" t="inlineStr">
        <is>
          <t>SKU-0144</t>
        </is>
      </c>
      <c r="B148" s="11" t="n">
        <v>109</v>
      </c>
      <c r="C148" s="13" t="inlineStr">
        <is>
          <t>SIPEAGRO (UF-XXXXX)</t>
        </is>
      </c>
      <c r="D148" s="14" t="inlineStr">
        <is>
          <t>AGRIGENTO KIESER</t>
        </is>
      </c>
      <c r="E148" s="13" t="inlineStr">
        <is>
          <t>Faixa 1 TIPI (Apresentação &lt;= 300 g ou mL)</t>
        </is>
      </c>
      <c r="F148" s="13" t="inlineStr">
        <is>
          <t>Fracionado / Amostra &lt;= 0,3 KG</t>
        </is>
      </c>
      <c r="G148" s="13" t="inlineStr">
        <is>
          <t>KG</t>
        </is>
      </c>
      <c r="H148" s="18" t="n">
        <v>0.3</v>
      </c>
      <c r="I148" s="13" t="inlineStr">
        <is>
          <t>2833.29.70</t>
        </is>
      </c>
      <c r="J148" s="13" t="inlineStr">
        <is>
          <t>NÃO</t>
        </is>
      </c>
      <c r="K148" s="13" t="inlineStr">
        <is>
          <t>Embalagem de Insumo Nutricional/Biológico (Logística Reversa)</t>
        </is>
      </c>
      <c r="L148" s="13" t="inlineStr">
        <is>
          <t>NÃO</t>
        </is>
      </c>
      <c r="M148" s="13" t="inlineStr">
        <is>
          <t>0,00% (Lei nº 10.925/2004)</t>
        </is>
      </c>
      <c r="N148" s="13" t="inlineStr">
        <is>
          <t>0,925% (LC nº 224/2025)</t>
        </is>
      </c>
      <c r="O148" s="13" t="inlineStr">
        <is>
          <t>0,365% (LC nº 224/2025)</t>
        </is>
      </c>
      <c r="P148" s="13" t="inlineStr">
        <is>
          <t>CST 06</t>
        </is>
      </c>
      <c r="Q148" s="13" t="inlineStr">
        <is>
          <t>CST 73</t>
        </is>
      </c>
      <c r="R148" s="13" t="inlineStr">
        <is>
          <t>Redução de 60% + Diferimento (Art. 138 e Anexo IX LC 214/2025)</t>
        </is>
      </c>
    </row>
    <row r="149" ht="22" customHeight="1">
      <c r="A149" s="6" t="inlineStr">
        <is>
          <t>SKU-0145</t>
        </is>
      </c>
      <c r="B149" s="5" t="n">
        <v>110</v>
      </c>
      <c r="C149" s="7" t="inlineStr">
        <is>
          <t>Nº 8215</t>
        </is>
      </c>
      <c r="D149" s="8" t="inlineStr">
        <is>
          <t>FEZAN GOLD</t>
        </is>
      </c>
      <c r="E149" s="7" t="inlineStr">
        <is>
          <t>Embalagem Comercial do Produto</t>
        </is>
      </c>
      <c r="F149" s="7" t="inlineStr">
        <is>
          <t>1X20L (20 L)</t>
        </is>
      </c>
      <c r="G149" s="7" t="inlineStr">
        <is>
          <t>L</t>
        </is>
      </c>
      <c r="H149" s="9" t="n">
        <v>20</v>
      </c>
      <c r="I149" s="7" t="inlineStr">
        <is>
          <t>3808.92.99</t>
        </is>
      </c>
      <c r="J149" s="7" t="inlineStr">
        <is>
          <t>NÃO</t>
        </is>
      </c>
      <c r="K149" s="7" t="inlineStr">
        <is>
          <t>Embalagem Rígida — LAVÁVEL (Obrigatória Tríplice Lavagem ou Pressão)</t>
        </is>
      </c>
      <c r="L149" s="7" t="inlineStr">
        <is>
          <t>NÃO</t>
        </is>
      </c>
      <c r="M149" s="7" t="inlineStr">
        <is>
          <t>0,00% (Lei nº 10.925/2004)</t>
        </is>
      </c>
      <c r="N149" s="7" t="inlineStr">
        <is>
          <t>0,925% (LC nº 224/2025)</t>
        </is>
      </c>
      <c r="O149" s="7" t="inlineStr">
        <is>
          <t>0,365% (LC nº 224/2025)</t>
        </is>
      </c>
      <c r="P149" s="7" t="inlineStr">
        <is>
          <t>CST 06</t>
        </is>
      </c>
      <c r="Q149" s="7" t="inlineStr">
        <is>
          <t>CST 73</t>
        </is>
      </c>
      <c r="R149" s="7" t="inlineStr">
        <is>
          <t>Redução de 60% + Diferimento (Art. 138 e Anexo IX LC 214/2025)</t>
        </is>
      </c>
    </row>
    <row r="150" ht="22" customHeight="1">
      <c r="A150" s="12" t="inlineStr">
        <is>
          <t>SKU-0146</t>
        </is>
      </c>
      <c r="B150" s="11" t="n">
        <v>111</v>
      </c>
      <c r="C150" s="13" t="inlineStr">
        <is>
          <t>Nº 20920</t>
        </is>
      </c>
      <c r="D150" s="14" t="inlineStr">
        <is>
          <t>CLICK</t>
        </is>
      </c>
      <c r="E150" s="13" t="inlineStr">
        <is>
          <t>Embalagem Comercial do Produto</t>
        </is>
      </c>
      <c r="F150" s="13" t="inlineStr">
        <is>
          <t>1X20L (20 L)</t>
        </is>
      </c>
      <c r="G150" s="13" t="inlineStr">
        <is>
          <t>L</t>
        </is>
      </c>
      <c r="H150" s="15" t="n">
        <v>20</v>
      </c>
      <c r="I150" s="13" t="inlineStr">
        <is>
          <t>3808.93.29</t>
        </is>
      </c>
      <c r="J150" s="13" t="inlineStr">
        <is>
          <t>NÃO</t>
        </is>
      </c>
      <c r="K150" s="13" t="inlineStr">
        <is>
          <t>Embalagem Rígida — LAVÁVEL (Obrigatória Tríplice Lavagem ou Pressão)</t>
        </is>
      </c>
      <c r="L150" s="13" t="inlineStr">
        <is>
          <t>NÃO</t>
        </is>
      </c>
      <c r="M150" s="13" t="inlineStr">
        <is>
          <t>0,00% (Lei nº 10.925/2004)</t>
        </is>
      </c>
      <c r="N150" s="13" t="inlineStr">
        <is>
          <t>0,925% (LC nº 224/2025)</t>
        </is>
      </c>
      <c r="O150" s="13" t="inlineStr">
        <is>
          <t>0,365% (LC nº 224/2025)</t>
        </is>
      </c>
      <c r="P150" s="13" t="inlineStr">
        <is>
          <t>CST 06</t>
        </is>
      </c>
      <c r="Q150" s="13" t="inlineStr">
        <is>
          <t>CST 73</t>
        </is>
      </c>
      <c r="R150" s="13" t="inlineStr">
        <is>
          <t>Redução de 60% + Diferimento (Art. 138 e Anexo IX LC 214/2025)</t>
        </is>
      </c>
    </row>
    <row r="151" ht="22" customHeight="1">
      <c r="A151" s="6" t="inlineStr">
        <is>
          <t>SKU-0147</t>
        </is>
      </c>
      <c r="B151" s="5" t="n">
        <v>112</v>
      </c>
      <c r="C151" s="7" t="inlineStr">
        <is>
          <t>Nº 238904</t>
        </is>
      </c>
      <c r="D151" s="8" t="inlineStr">
        <is>
          <t>SUPPORT</t>
        </is>
      </c>
      <c r="E151" s="7" t="inlineStr">
        <is>
          <t>Embalagem Comercial do Produto</t>
        </is>
      </c>
      <c r="F151" s="7" t="inlineStr">
        <is>
          <t>1X20L (20 L)</t>
        </is>
      </c>
      <c r="G151" s="7" t="inlineStr">
        <is>
          <t>L</t>
        </is>
      </c>
      <c r="H151" s="9" t="n">
        <v>20</v>
      </c>
      <c r="I151" s="7" t="inlineStr">
        <is>
          <t>3808.92.99</t>
        </is>
      </c>
      <c r="J151" s="7" t="inlineStr">
        <is>
          <t>NÃO</t>
        </is>
      </c>
      <c r="K151" s="7" t="inlineStr">
        <is>
          <t>Embalagem Rígida — LAVÁVEL (Obrigatória Tríplice Lavagem ou Pressão)</t>
        </is>
      </c>
      <c r="L151" s="7" t="inlineStr">
        <is>
          <t>NÃO</t>
        </is>
      </c>
      <c r="M151" s="7" t="inlineStr">
        <is>
          <t>0,00% (Lei nº 10.925/2004)</t>
        </is>
      </c>
      <c r="N151" s="7" t="inlineStr">
        <is>
          <t>0,925% (LC nº 224/2025)</t>
        </is>
      </c>
      <c r="O151" s="7" t="inlineStr">
        <is>
          <t>0,365% (LC nº 224/2025)</t>
        </is>
      </c>
      <c r="P151" s="7" t="inlineStr">
        <is>
          <t>CST 06</t>
        </is>
      </c>
      <c r="Q151" s="7" t="inlineStr">
        <is>
          <t>CST 73</t>
        </is>
      </c>
      <c r="R151" s="7" t="inlineStr">
        <is>
          <t>Redução de 60% + Diferimento (Art. 138 e Anexo IX LC 214/2025)</t>
        </is>
      </c>
    </row>
    <row r="152" ht="22" customHeight="1">
      <c r="A152" s="12" t="inlineStr">
        <is>
          <t>SKU-0148</t>
        </is>
      </c>
      <c r="B152" s="11" t="n">
        <v>113</v>
      </c>
      <c r="C152" s="13" t="inlineStr">
        <is>
          <t>SIPEAGRO (UF-XXXXX)</t>
        </is>
      </c>
      <c r="D152" s="14" t="inlineStr">
        <is>
          <t>AGCN ZINCO ULTRA</t>
        </is>
      </c>
      <c r="E152" s="13" t="inlineStr">
        <is>
          <t>Embalagem Comercial do Produto</t>
        </is>
      </c>
      <c r="F152" s="13" t="inlineStr">
        <is>
          <t>12X1L (1 L)</t>
        </is>
      </c>
      <c r="G152" s="13" t="inlineStr">
        <is>
          <t>L</t>
        </is>
      </c>
      <c r="H152" s="15" t="n">
        <v>1</v>
      </c>
      <c r="I152" s="13" t="inlineStr">
        <is>
          <t>3105.90.90</t>
        </is>
      </c>
      <c r="J152" s="13" t="inlineStr">
        <is>
          <t>NÃO</t>
        </is>
      </c>
      <c r="K152" s="13" t="inlineStr">
        <is>
          <t>Embalagem de Insumo Nutricional/Biológico (Logística Reversa)</t>
        </is>
      </c>
      <c r="L152" s="13" t="inlineStr">
        <is>
          <t>NÃO</t>
        </is>
      </c>
      <c r="M152" s="13" t="inlineStr">
        <is>
          <t>0,00% (Lei nº 10.925/2004)</t>
        </is>
      </c>
      <c r="N152" s="13" t="inlineStr">
        <is>
          <t>0,925% (LC nº 224/2025)</t>
        </is>
      </c>
      <c r="O152" s="13" t="inlineStr">
        <is>
          <t>0,365% (LC nº 224/2025)</t>
        </is>
      </c>
      <c r="P152" s="13" t="inlineStr">
        <is>
          <t>CST 06</t>
        </is>
      </c>
      <c r="Q152" s="13" t="inlineStr">
        <is>
          <t>CST 73</t>
        </is>
      </c>
      <c r="R152" s="13" t="inlineStr">
        <is>
          <t>Redução de 60% + Diferimento (Art. 138 e Anexo IX LC 214/2025)</t>
        </is>
      </c>
    </row>
    <row r="153" ht="22" customHeight="1">
      <c r="A153" s="6" t="inlineStr">
        <is>
          <t>SKU-0149</t>
        </is>
      </c>
      <c r="B153" s="5" t="n">
        <v>113</v>
      </c>
      <c r="C153" s="7" t="inlineStr">
        <is>
          <t>SIPEAGRO (UF-XXXXX)</t>
        </is>
      </c>
      <c r="D153" s="8" t="inlineStr">
        <is>
          <t>AGCN ZINCO ULTRA</t>
        </is>
      </c>
      <c r="E153" s="7" t="inlineStr">
        <is>
          <t>Faixa 1 TIPI (Apresentação &lt;= 300 g ou mL)</t>
        </is>
      </c>
      <c r="F153" s="7" t="inlineStr">
        <is>
          <t>Fracionado / Amostra &lt;= 0,3 L</t>
        </is>
      </c>
      <c r="G153" s="7" t="inlineStr">
        <is>
          <t>L</t>
        </is>
      </c>
      <c r="H153" s="17" t="n">
        <v>0.3</v>
      </c>
      <c r="I153" s="7" t="inlineStr">
        <is>
          <t>3105.90.90</t>
        </is>
      </c>
      <c r="J153" s="7" t="inlineStr">
        <is>
          <t>NÃO</t>
        </is>
      </c>
      <c r="K153" s="7" t="inlineStr">
        <is>
          <t>Embalagem de Insumo Nutricional/Biológico (Logística Reversa)</t>
        </is>
      </c>
      <c r="L153" s="7" t="inlineStr">
        <is>
          <t>NÃO</t>
        </is>
      </c>
      <c r="M153" s="7" t="inlineStr">
        <is>
          <t>0,00% (Lei nº 10.925/2004)</t>
        </is>
      </c>
      <c r="N153" s="7" t="inlineStr">
        <is>
          <t>0,925% (LC nº 224/2025)</t>
        </is>
      </c>
      <c r="O153" s="7" t="inlineStr">
        <is>
          <t>0,365% (LC nº 224/2025)</t>
        </is>
      </c>
      <c r="P153" s="7" t="inlineStr">
        <is>
          <t>CST 06</t>
        </is>
      </c>
      <c r="Q153" s="7" t="inlineStr">
        <is>
          <t>CST 73</t>
        </is>
      </c>
      <c r="R153" s="7" t="inlineStr">
        <is>
          <t>Redução de 60% + Diferimento (Art. 138 e Anexo IX LC 214/2025)</t>
        </is>
      </c>
    </row>
    <row r="154" ht="22" customHeight="1">
      <c r="A154" s="12" t="inlineStr">
        <is>
          <t>SKU-0150</t>
        </is>
      </c>
      <c r="B154" s="11" t="n">
        <v>114</v>
      </c>
      <c r="C154" s="13" t="inlineStr">
        <is>
          <t>SIPEAGRO (UF-XXXXX)</t>
        </is>
      </c>
      <c r="D154" s="14" t="inlineStr">
        <is>
          <t>AGCN ZINCO ULTRA</t>
        </is>
      </c>
      <c r="E154" s="13" t="inlineStr">
        <is>
          <t>Embalagem Comercial do Produto</t>
        </is>
      </c>
      <c r="F154" s="13" t="inlineStr">
        <is>
          <t>1X10L (10 L)</t>
        </is>
      </c>
      <c r="G154" s="13" t="inlineStr">
        <is>
          <t>L</t>
        </is>
      </c>
      <c r="H154" s="15" t="n">
        <v>10</v>
      </c>
      <c r="I154" s="13" t="inlineStr">
        <is>
          <t>3105.90.90</t>
        </is>
      </c>
      <c r="J154" s="13" t="inlineStr">
        <is>
          <t>NÃO</t>
        </is>
      </c>
      <c r="K154" s="13" t="inlineStr">
        <is>
          <t>Embalagem de Insumo Nutricional/Biológico (Logística Reversa)</t>
        </is>
      </c>
      <c r="L154" s="13" t="inlineStr">
        <is>
          <t>NÃO</t>
        </is>
      </c>
      <c r="M154" s="13" t="inlineStr">
        <is>
          <t>0,00% (Lei nº 10.925/2004)</t>
        </is>
      </c>
      <c r="N154" s="13" t="inlineStr">
        <is>
          <t>0,925% (LC nº 224/2025)</t>
        </is>
      </c>
      <c r="O154" s="13" t="inlineStr">
        <is>
          <t>0,365% (LC nº 224/2025)</t>
        </is>
      </c>
      <c r="P154" s="13" t="inlineStr">
        <is>
          <t>CST 06</t>
        </is>
      </c>
      <c r="Q154" s="13" t="inlineStr">
        <is>
          <t>CST 73</t>
        </is>
      </c>
      <c r="R154" s="13" t="inlineStr">
        <is>
          <t>Redução de 60% + Diferimento (Art. 138 e Anexo IX LC 214/2025)</t>
        </is>
      </c>
    </row>
    <row r="155" ht="22" customHeight="1">
      <c r="A155" s="6" t="inlineStr">
        <is>
          <t>SKU-0151</t>
        </is>
      </c>
      <c r="B155" s="5" t="n">
        <v>114</v>
      </c>
      <c r="C155" s="7" t="inlineStr">
        <is>
          <t>SIPEAGRO (UF-XXXXX)</t>
        </is>
      </c>
      <c r="D155" s="8" t="inlineStr">
        <is>
          <t>AGCN ZINCO ULTRA</t>
        </is>
      </c>
      <c r="E155" s="7" t="inlineStr">
        <is>
          <t>Faixa 1 TIPI (Apresentação &lt;= 300 g ou mL)</t>
        </is>
      </c>
      <c r="F155" s="7" t="inlineStr">
        <is>
          <t>Fracionado / Amostra &lt;= 0,3 L</t>
        </is>
      </c>
      <c r="G155" s="7" t="inlineStr">
        <is>
          <t>L</t>
        </is>
      </c>
      <c r="H155" s="17" t="n">
        <v>0.3</v>
      </c>
      <c r="I155" s="7" t="inlineStr">
        <is>
          <t>3105.90.90</t>
        </is>
      </c>
      <c r="J155" s="7" t="inlineStr">
        <is>
          <t>NÃO</t>
        </is>
      </c>
      <c r="K155" s="7" t="inlineStr">
        <is>
          <t>Embalagem de Insumo Nutricional/Biológico (Logística Reversa)</t>
        </is>
      </c>
      <c r="L155" s="7" t="inlineStr">
        <is>
          <t>NÃO</t>
        </is>
      </c>
      <c r="M155" s="7" t="inlineStr">
        <is>
          <t>0,00% (Lei nº 10.925/2004)</t>
        </is>
      </c>
      <c r="N155" s="7" t="inlineStr">
        <is>
          <t>0,925% (LC nº 224/2025)</t>
        </is>
      </c>
      <c r="O155" s="7" t="inlineStr">
        <is>
          <t>0,365% (LC nº 224/2025)</t>
        </is>
      </c>
      <c r="P155" s="7" t="inlineStr">
        <is>
          <t>CST 06</t>
        </is>
      </c>
      <c r="Q155" s="7" t="inlineStr">
        <is>
          <t>CST 73</t>
        </is>
      </c>
      <c r="R155" s="7" t="inlineStr">
        <is>
          <t>Redução de 60% + Diferimento (Art. 138 e Anexo IX LC 214/2025)</t>
        </is>
      </c>
    </row>
    <row r="156" ht="22" customHeight="1">
      <c r="A156" s="12" t="inlineStr">
        <is>
          <t>SKU-0152</t>
        </is>
      </c>
      <c r="B156" s="11" t="n">
        <v>115</v>
      </c>
      <c r="C156" s="13" t="inlineStr">
        <is>
          <t>SIPEAGRO (UF-XXXXX)</t>
        </is>
      </c>
      <c r="D156" s="14" t="inlineStr">
        <is>
          <t>AGCN ZINCO ULTRA</t>
        </is>
      </c>
      <c r="E156" s="13" t="inlineStr">
        <is>
          <t>Embalagem Comercial do Produto</t>
        </is>
      </c>
      <c r="F156" s="13" t="inlineStr">
        <is>
          <t>4X5L (5 L)</t>
        </is>
      </c>
      <c r="G156" s="13" t="inlineStr">
        <is>
          <t>L</t>
        </is>
      </c>
      <c r="H156" s="15" t="n">
        <v>5</v>
      </c>
      <c r="I156" s="13" t="inlineStr">
        <is>
          <t>3105.90.90</t>
        </is>
      </c>
      <c r="J156" s="13" t="inlineStr">
        <is>
          <t>NÃO</t>
        </is>
      </c>
      <c r="K156" s="13" t="inlineStr">
        <is>
          <t>Embalagem de Insumo Nutricional/Biológico (Logística Reversa)</t>
        </is>
      </c>
      <c r="L156" s="13" t="inlineStr">
        <is>
          <t>NÃO</t>
        </is>
      </c>
      <c r="M156" s="13" t="inlineStr">
        <is>
          <t>0,00% (Lei nº 10.925/2004)</t>
        </is>
      </c>
      <c r="N156" s="13" t="inlineStr">
        <is>
          <t>0,925% (LC nº 224/2025)</t>
        </is>
      </c>
      <c r="O156" s="13" t="inlineStr">
        <is>
          <t>0,365% (LC nº 224/2025)</t>
        </is>
      </c>
      <c r="P156" s="13" t="inlineStr">
        <is>
          <t>CST 06</t>
        </is>
      </c>
      <c r="Q156" s="13" t="inlineStr">
        <is>
          <t>CST 73</t>
        </is>
      </c>
      <c r="R156" s="13" t="inlineStr">
        <is>
          <t>Redução de 60% + Diferimento (Art. 138 e Anexo IX LC 214/2025)</t>
        </is>
      </c>
    </row>
    <row r="157" ht="22" customHeight="1">
      <c r="A157" s="6" t="inlineStr">
        <is>
          <t>SKU-0153</t>
        </is>
      </c>
      <c r="B157" s="5" t="n">
        <v>115</v>
      </c>
      <c r="C157" s="7" t="inlineStr">
        <is>
          <t>SIPEAGRO (UF-XXXXX)</t>
        </is>
      </c>
      <c r="D157" s="8" t="inlineStr">
        <is>
          <t>AGCN ZINCO ULTRA</t>
        </is>
      </c>
      <c r="E157" s="7" t="inlineStr">
        <is>
          <t>Faixa 1 TIPI (Apresentação &lt;= 300 g ou mL)</t>
        </is>
      </c>
      <c r="F157" s="7" t="inlineStr">
        <is>
          <t>Fracionado / Amostra &lt;= 0,3 L</t>
        </is>
      </c>
      <c r="G157" s="7" t="inlineStr">
        <is>
          <t>L</t>
        </is>
      </c>
      <c r="H157" s="17" t="n">
        <v>0.3</v>
      </c>
      <c r="I157" s="7" t="inlineStr">
        <is>
          <t>3105.90.90</t>
        </is>
      </c>
      <c r="J157" s="7" t="inlineStr">
        <is>
          <t>NÃO</t>
        </is>
      </c>
      <c r="K157" s="7" t="inlineStr">
        <is>
          <t>Embalagem de Insumo Nutricional/Biológico (Logística Reversa)</t>
        </is>
      </c>
      <c r="L157" s="7" t="inlineStr">
        <is>
          <t>NÃO</t>
        </is>
      </c>
      <c r="M157" s="7" t="inlineStr">
        <is>
          <t>0,00% (Lei nº 10.925/2004)</t>
        </is>
      </c>
      <c r="N157" s="7" t="inlineStr">
        <is>
          <t>0,925% (LC nº 224/2025)</t>
        </is>
      </c>
      <c r="O157" s="7" t="inlineStr">
        <is>
          <t>0,365% (LC nº 224/2025)</t>
        </is>
      </c>
      <c r="P157" s="7" t="inlineStr">
        <is>
          <t>CST 06</t>
        </is>
      </c>
      <c r="Q157" s="7" t="inlineStr">
        <is>
          <t>CST 73</t>
        </is>
      </c>
      <c r="R157" s="7" t="inlineStr">
        <is>
          <t>Redução de 60% + Diferimento (Art. 138 e Anexo IX LC 214/2025)</t>
        </is>
      </c>
    </row>
    <row r="158" ht="22" customHeight="1">
      <c r="A158" s="12" t="inlineStr">
        <is>
          <t>SKU-0154</t>
        </is>
      </c>
      <c r="B158" s="11" t="n">
        <v>116</v>
      </c>
      <c r="C158" s="13" t="inlineStr">
        <is>
          <t>SIPEAGRO (UF-XXXXX)</t>
        </is>
      </c>
      <c r="D158" s="14" t="inlineStr">
        <is>
          <t>SOLO AGRI S90 120</t>
        </is>
      </c>
      <c r="E158" s="13" t="inlineStr">
        <is>
          <t>Embalagem Comercial do Produto</t>
        </is>
      </c>
      <c r="F158" s="13" t="inlineStr">
        <is>
          <t>1X1200KG (1200 KG)</t>
        </is>
      </c>
      <c r="G158" s="13" t="inlineStr">
        <is>
          <t>KG</t>
        </is>
      </c>
      <c r="H158" s="15" t="n">
        <v>1200</v>
      </c>
      <c r="I158" s="13" t="inlineStr">
        <is>
          <t>2503.00.90</t>
        </is>
      </c>
      <c r="J158" s="13" t="inlineStr">
        <is>
          <t>NÃO</t>
        </is>
      </c>
      <c r="K158" s="13" t="inlineStr">
        <is>
          <t>Embalagem de Insumo Nutricional/Biológico (Logística Reversa)</t>
        </is>
      </c>
      <c r="L158" s="13" t="inlineStr">
        <is>
          <t>NÃO</t>
        </is>
      </c>
      <c r="M158" s="13" t="inlineStr">
        <is>
          <t>0,00% (Lei nº 10.925/2004)</t>
        </is>
      </c>
      <c r="N158" s="13" t="inlineStr">
        <is>
          <t>0,925% (LC nº 224/2025)</t>
        </is>
      </c>
      <c r="O158" s="13" t="inlineStr">
        <is>
          <t>0,365% (LC nº 224/2025)</t>
        </is>
      </c>
      <c r="P158" s="13" t="inlineStr">
        <is>
          <t>CST 06 (Uso Agrícola/Industrial)</t>
        </is>
      </c>
      <c r="Q158" s="13" t="inlineStr">
        <is>
          <t>CST 73 (Revenda / Destinação)</t>
        </is>
      </c>
      <c r="R158" s="13" t="inlineStr">
        <is>
          <t>Redução de 60% + Diferimento (Art. 138 LC 214/2025)</t>
        </is>
      </c>
    </row>
    <row r="159" ht="22" customHeight="1">
      <c r="A159" s="6" t="inlineStr">
        <is>
          <t>SKU-0155</t>
        </is>
      </c>
      <c r="B159" s="5" t="n">
        <v>116</v>
      </c>
      <c r="C159" s="7" t="inlineStr">
        <is>
          <t>SIPEAGRO (UF-XXXXX)</t>
        </is>
      </c>
      <c r="D159" s="8" t="inlineStr">
        <is>
          <t>SOLO AGRI S90 120</t>
        </is>
      </c>
      <c r="E159" s="7" t="inlineStr">
        <is>
          <t>Faixa 1 TIPI (Apresentação &lt;= 300 g ou mL)</t>
        </is>
      </c>
      <c r="F159" s="7" t="inlineStr">
        <is>
          <t>Fracionado / Amostra &lt;= 0,3 KG</t>
        </is>
      </c>
      <c r="G159" s="7" t="inlineStr">
        <is>
          <t>KG</t>
        </is>
      </c>
      <c r="H159" s="17" t="n">
        <v>0.3</v>
      </c>
      <c r="I159" s="7" t="inlineStr">
        <is>
          <t>3105.90.90</t>
        </is>
      </c>
      <c r="J159" s="7" t="inlineStr">
        <is>
          <t>NÃO</t>
        </is>
      </c>
      <c r="K159" s="7" t="inlineStr">
        <is>
          <t>Embalagem de Insumo Nutricional/Biológico (Logística Reversa)</t>
        </is>
      </c>
      <c r="L159" s="7" t="inlineStr">
        <is>
          <t>NÃO</t>
        </is>
      </c>
      <c r="M159" s="7" t="inlineStr">
        <is>
          <t>0,00% (Lei nº 10.925/2004)</t>
        </is>
      </c>
      <c r="N159" s="7" t="inlineStr">
        <is>
          <t>0,925% (LC nº 224/2025)</t>
        </is>
      </c>
      <c r="O159" s="7" t="inlineStr">
        <is>
          <t>0,365% (LC nº 224/2025)</t>
        </is>
      </c>
      <c r="P159" s="7" t="inlineStr">
        <is>
          <t>CST 06 (Uso Agrícola/Industrial)</t>
        </is>
      </c>
      <c r="Q159" s="7" t="inlineStr">
        <is>
          <t>CST 73 (Revenda / Destinação)</t>
        </is>
      </c>
      <c r="R159" s="7" t="inlineStr">
        <is>
          <t>Redução de 60% + Diferimento (Art. 138 LC 214/2025)</t>
        </is>
      </c>
    </row>
    <row r="160" ht="22" customHeight="1">
      <c r="A160" s="12" t="inlineStr">
        <is>
          <t>SKU-0156</t>
        </is>
      </c>
      <c r="B160" s="11" t="n">
        <v>117</v>
      </c>
      <c r="C160" s="13" t="inlineStr">
        <is>
          <t>SIPEAGRO (UF-XXXXX)</t>
        </is>
      </c>
      <c r="D160" s="14" t="inlineStr">
        <is>
          <t>ULEXITA 100</t>
        </is>
      </c>
      <c r="E160" s="13" t="inlineStr">
        <is>
          <t>Embalagem Comercial do Produto</t>
        </is>
      </c>
      <c r="F160" s="13" t="inlineStr">
        <is>
          <t>1X1000KG (1000 KG)</t>
        </is>
      </c>
      <c r="G160" s="13" t="inlineStr">
        <is>
          <t>KG</t>
        </is>
      </c>
      <c r="H160" s="15" t="n">
        <v>1000</v>
      </c>
      <c r="I160" s="13" t="inlineStr">
        <is>
          <t>2528.00.00</t>
        </is>
      </c>
      <c r="J160" s="13" t="inlineStr">
        <is>
          <t>NÃO</t>
        </is>
      </c>
      <c r="K160" s="13" t="inlineStr">
        <is>
          <t>Embalagem de Insumo Nutricional/Biológico (Logística Reversa)</t>
        </is>
      </c>
      <c r="L160" s="13" t="inlineStr">
        <is>
          <t>NÃO</t>
        </is>
      </c>
      <c r="M160" s="13" t="inlineStr">
        <is>
          <t>0,00% (Lei nº 10.925/2004)</t>
        </is>
      </c>
      <c r="N160" s="13" t="inlineStr">
        <is>
          <t>0,925% (LC nº 224/2025)</t>
        </is>
      </c>
      <c r="O160" s="13" t="inlineStr">
        <is>
          <t>0,365% (LC nº 224/2025)</t>
        </is>
      </c>
      <c r="P160" s="13" t="inlineStr">
        <is>
          <t>CST 06 (Uso Agrícola/Industrial)</t>
        </is>
      </c>
      <c r="Q160" s="13" t="inlineStr">
        <is>
          <t>CST 73 (Revenda / Destinação)</t>
        </is>
      </c>
      <c r="R160" s="13" t="inlineStr">
        <is>
          <t>Redução de 60% + Diferimento (Art. 138 LC 214/2025)</t>
        </is>
      </c>
    </row>
    <row r="161" ht="22" customHeight="1">
      <c r="A161" s="6" t="inlineStr">
        <is>
          <t>SKU-0157</t>
        </is>
      </c>
      <c r="B161" s="5" t="n">
        <v>117</v>
      </c>
      <c r="C161" s="7" t="inlineStr">
        <is>
          <t>SIPEAGRO (UF-XXXXX)</t>
        </is>
      </c>
      <c r="D161" s="8" t="inlineStr">
        <is>
          <t>ULEXITA 100</t>
        </is>
      </c>
      <c r="E161" s="7" t="inlineStr">
        <is>
          <t>Faixa 1 TIPI (Apresentação &lt;= 300 g ou mL)</t>
        </is>
      </c>
      <c r="F161" s="7" t="inlineStr">
        <is>
          <t>Fracionado / Amostra &lt;= 0,3 KG</t>
        </is>
      </c>
      <c r="G161" s="7" t="inlineStr">
        <is>
          <t>KG</t>
        </is>
      </c>
      <c r="H161" s="17" t="n">
        <v>0.3</v>
      </c>
      <c r="I161" s="7" t="inlineStr">
        <is>
          <t>3105.90.90</t>
        </is>
      </c>
      <c r="J161" s="7" t="inlineStr">
        <is>
          <t>NÃO</t>
        </is>
      </c>
      <c r="K161" s="7" t="inlineStr">
        <is>
          <t>Embalagem de Insumo Nutricional/Biológico (Logística Reversa)</t>
        </is>
      </c>
      <c r="L161" s="7" t="inlineStr">
        <is>
          <t>NÃO</t>
        </is>
      </c>
      <c r="M161" s="7" t="inlineStr">
        <is>
          <t>0,00% (Lei nº 10.925/2004)</t>
        </is>
      </c>
      <c r="N161" s="7" t="inlineStr">
        <is>
          <t>0,925% (LC nº 224/2025)</t>
        </is>
      </c>
      <c r="O161" s="7" t="inlineStr">
        <is>
          <t>0,365% (LC nº 224/2025)</t>
        </is>
      </c>
      <c r="P161" s="7" t="inlineStr">
        <is>
          <t>CST 06 (Uso Agrícola/Industrial)</t>
        </is>
      </c>
      <c r="Q161" s="7" t="inlineStr">
        <is>
          <t>CST 73 (Revenda / Destinação)</t>
        </is>
      </c>
      <c r="R161" s="7" t="inlineStr">
        <is>
          <t>Redução de 60% + Diferimento (Art. 138 LC 214/2025)</t>
        </is>
      </c>
    </row>
    <row r="162" ht="22" customHeight="1">
      <c r="A162" s="12" t="inlineStr">
        <is>
          <t>SKU-0158</t>
        </is>
      </c>
      <c r="B162" s="11" t="n">
        <v>118</v>
      </c>
      <c r="C162" s="13" t="inlineStr">
        <is>
          <t>Nº 6922</t>
        </is>
      </c>
      <c r="D162" s="14" t="inlineStr">
        <is>
          <t>COFENRIN</t>
        </is>
      </c>
      <c r="E162" s="13" t="inlineStr">
        <is>
          <t>Embalagem Comercial do Produto</t>
        </is>
      </c>
      <c r="F162" s="13" t="inlineStr">
        <is>
          <t>1X20L (20 L)</t>
        </is>
      </c>
      <c r="G162" s="13" t="inlineStr">
        <is>
          <t>L</t>
        </is>
      </c>
      <c r="H162" s="15" t="n">
        <v>20</v>
      </c>
      <c r="I162" s="13" t="inlineStr">
        <is>
          <t>3808.69.90</t>
        </is>
      </c>
      <c r="J162" s="13" t="inlineStr">
        <is>
          <t>SIM</t>
        </is>
      </c>
      <c r="K162" s="13" t="inlineStr">
        <is>
          <t>Embalagem Rígida — LAVÁVEL (Obrigatória Tríplice Lavagem ou Pressão)</t>
        </is>
      </c>
      <c r="L162" s="13" t="inlineStr">
        <is>
          <t>NÃO</t>
        </is>
      </c>
      <c r="M162" s="13" t="inlineStr">
        <is>
          <t>0,00% (Lei nº 10.925/2004)</t>
        </is>
      </c>
      <c r="N162" s="13" t="inlineStr">
        <is>
          <t>0,925% (LC nº 224/2025)</t>
        </is>
      </c>
      <c r="O162" s="13" t="inlineStr">
        <is>
          <t>0,365% (LC nº 224/2025)</t>
        </is>
      </c>
      <c r="P162" s="13" t="inlineStr">
        <is>
          <t>CST 06</t>
        </is>
      </c>
      <c r="Q162" s="13" t="inlineStr">
        <is>
          <t>CST 73</t>
        </is>
      </c>
      <c r="R162" s="13" t="inlineStr">
        <is>
          <t>Redução de 60% + Diferimento (Art. 138 e Anexo IX LC 214/2025)</t>
        </is>
      </c>
    </row>
    <row r="163" ht="22" customHeight="1">
      <c r="A163" s="6" t="inlineStr">
        <is>
          <t>SKU-0159</t>
        </is>
      </c>
      <c r="B163" s="5" t="n">
        <v>118</v>
      </c>
      <c r="C163" s="7" t="inlineStr">
        <is>
          <t>Nº 6922</t>
        </is>
      </c>
      <c r="D163" s="8" t="inlineStr">
        <is>
          <t>COFENRIN</t>
        </is>
      </c>
      <c r="E163" s="7" t="inlineStr">
        <is>
          <t>Faixa 1 TIPI (Apresentação &lt;= 300 g ou mL)</t>
        </is>
      </c>
      <c r="F163" s="7" t="inlineStr">
        <is>
          <t>Fracionado / Amostra &lt;= 0,3 L</t>
        </is>
      </c>
      <c r="G163" s="7" t="inlineStr">
        <is>
          <t>L</t>
        </is>
      </c>
      <c r="H163" s="17" t="n">
        <v>0.3</v>
      </c>
      <c r="I163" s="7" t="inlineStr">
        <is>
          <t>3808.61.00</t>
        </is>
      </c>
      <c r="J163" s="7" t="inlineStr">
        <is>
          <t>SIM</t>
        </is>
      </c>
      <c r="K163" s="7" t="inlineStr">
        <is>
          <t>Embalagem Rígida — LAVÁVEL (Obrigatória Tríplice Lavagem ou Pressão)</t>
        </is>
      </c>
      <c r="L163" s="7" t="inlineStr">
        <is>
          <t>NÃO</t>
        </is>
      </c>
      <c r="M163" s="7" t="inlineStr">
        <is>
          <t>0,00% (Lei nº 10.925/2004)</t>
        </is>
      </c>
      <c r="N163" s="7" t="inlineStr">
        <is>
          <t>0,925% (LC nº 224/2025)</t>
        </is>
      </c>
      <c r="O163" s="7" t="inlineStr">
        <is>
          <t>0,365% (LC nº 224/2025)</t>
        </is>
      </c>
      <c r="P163" s="7" t="inlineStr">
        <is>
          <t>CST 06</t>
        </is>
      </c>
      <c r="Q163" s="7" t="inlineStr">
        <is>
          <t>CST 73</t>
        </is>
      </c>
      <c r="R163" s="7" t="inlineStr">
        <is>
          <t>Redução de 60% + Diferimento (Art. 138 e Anexo IX LC 214/2025)</t>
        </is>
      </c>
    </row>
    <row r="164" ht="22" customHeight="1">
      <c r="A164" s="12" t="inlineStr">
        <is>
          <t>SKU-0160</t>
        </is>
      </c>
      <c r="B164" s="11" t="n">
        <v>119</v>
      </c>
      <c r="C164" s="13" t="inlineStr">
        <is>
          <t>Nº 8311</t>
        </is>
      </c>
      <c r="D164" s="14" t="inlineStr">
        <is>
          <t>ACEHERO</t>
        </is>
      </c>
      <c r="E164" s="13" t="inlineStr">
        <is>
          <t>Embalagem Comercial do Produto</t>
        </is>
      </c>
      <c r="F164" s="13" t="inlineStr">
        <is>
          <t>20X1KG (1 KG)</t>
        </is>
      </c>
      <c r="G164" s="13" t="inlineStr">
        <is>
          <t>KG</t>
        </is>
      </c>
      <c r="H164" s="15" t="n">
        <v>1</v>
      </c>
      <c r="I164" s="13" t="inlineStr">
        <is>
          <t>3808.91.91</t>
        </is>
      </c>
      <c r="J164" s="13" t="inlineStr">
        <is>
          <t>NÃO</t>
        </is>
      </c>
      <c r="K164" s="13" t="inlineStr">
        <is>
          <t>Embalagem Flexível — NÃO LAVÁVEL (Perfurar e usar saco ABNT)</t>
        </is>
      </c>
      <c r="L164" s="13" t="inlineStr">
        <is>
          <t>SIM (Saco Transparente ABNT)</t>
        </is>
      </c>
      <c r="M164" s="13" t="inlineStr">
        <is>
          <t>0,00% (Lei nº 10.925/2004)</t>
        </is>
      </c>
      <c r="N164" s="13" t="inlineStr">
        <is>
          <t>0,925% (LC nº 224/2025)</t>
        </is>
      </c>
      <c r="O164" s="13" t="inlineStr">
        <is>
          <t>0,365% (LC nº 224/2025)</t>
        </is>
      </c>
      <c r="P164" s="13" t="inlineStr">
        <is>
          <t>CST 06</t>
        </is>
      </c>
      <c r="Q164" s="13" t="inlineStr">
        <is>
          <t>CST 73</t>
        </is>
      </c>
      <c r="R164" s="13" t="inlineStr">
        <is>
          <t>Redução de 60% + Diferimento (Art. 138 e Anexo IX LC 214/2025)</t>
        </is>
      </c>
    </row>
    <row r="165" ht="22" customHeight="1">
      <c r="A165" s="6" t="inlineStr">
        <is>
          <t>SKU-0161</t>
        </is>
      </c>
      <c r="B165" s="5" t="n">
        <v>120</v>
      </c>
      <c r="C165" s="7" t="inlineStr">
        <is>
          <t>Nº 4623</t>
        </is>
      </c>
      <c r="D165" s="8" t="inlineStr">
        <is>
          <t>WEXITE</t>
        </is>
      </c>
      <c r="E165" s="7" t="inlineStr">
        <is>
          <t>Embalagem Comercial do Produto</t>
        </is>
      </c>
      <c r="F165" s="7" t="inlineStr">
        <is>
          <t>4X5KG (5 KG)</t>
        </is>
      </c>
      <c r="G165" s="7" t="inlineStr">
        <is>
          <t>KG</t>
        </is>
      </c>
      <c r="H165" s="9" t="n">
        <v>5</v>
      </c>
      <c r="I165" s="7" t="inlineStr">
        <is>
          <t>3808.91.91</t>
        </is>
      </c>
      <c r="J165" s="7" t="inlineStr">
        <is>
          <t>NÃO</t>
        </is>
      </c>
      <c r="K165" s="7" t="inlineStr">
        <is>
          <t>Embalagem Flexível — NÃO LAVÁVEL (Perfurar e usar saco ABNT)</t>
        </is>
      </c>
      <c r="L165" s="7" t="inlineStr">
        <is>
          <t>SIM (Saco Transparente ABNT)</t>
        </is>
      </c>
      <c r="M165" s="7" t="inlineStr">
        <is>
          <t>0,00% (Lei nº 10.925/2004)</t>
        </is>
      </c>
      <c r="N165" s="7" t="inlineStr">
        <is>
          <t>0,925% (LC nº 224/2025)</t>
        </is>
      </c>
      <c r="O165" s="7" t="inlineStr">
        <is>
          <t>0,365% (LC nº 224/2025)</t>
        </is>
      </c>
      <c r="P165" s="7" t="inlineStr">
        <is>
          <t>CST 06</t>
        </is>
      </c>
      <c r="Q165" s="7" t="inlineStr">
        <is>
          <t>CST 73</t>
        </is>
      </c>
      <c r="R165" s="7" t="inlineStr">
        <is>
          <t>Redução de 60% + Diferimento (Art. 138 e Anexo IX LC 214/2025)</t>
        </is>
      </c>
    </row>
    <row r="166" ht="22" customHeight="1">
      <c r="A166" s="12" t="inlineStr">
        <is>
          <t>SKU-0162</t>
        </is>
      </c>
      <c r="B166" s="11" t="n">
        <v>121</v>
      </c>
      <c r="C166" s="13" t="inlineStr">
        <is>
          <t>Nº 0422</t>
        </is>
      </c>
      <c r="D166" s="14" t="inlineStr">
        <is>
          <t>XEQUE MATE HT</t>
        </is>
      </c>
      <c r="E166" s="13" t="inlineStr">
        <is>
          <t>Embalagem Comercial do Produto</t>
        </is>
      </c>
      <c r="F166" s="13" t="inlineStr">
        <is>
          <t>1X20L (20 L)</t>
        </is>
      </c>
      <c r="G166" s="13" t="inlineStr">
        <is>
          <t>L</t>
        </is>
      </c>
      <c r="H166" s="15" t="n">
        <v>20</v>
      </c>
      <c r="I166" s="13" t="inlineStr">
        <is>
          <t>3808.93.24</t>
        </is>
      </c>
      <c r="J166" s="13" t="inlineStr">
        <is>
          <t>NÃO</t>
        </is>
      </c>
      <c r="K166" s="13" t="inlineStr">
        <is>
          <t>Embalagem Rígida — LAVÁVEL (Obrigatória Tríplice Lavagem ou Pressão)</t>
        </is>
      </c>
      <c r="L166" s="13" t="inlineStr">
        <is>
          <t>NÃO</t>
        </is>
      </c>
      <c r="M166" s="13" t="inlineStr">
        <is>
          <t>0,00% (Lei nº 10.925/2004)</t>
        </is>
      </c>
      <c r="N166" s="13" t="inlineStr">
        <is>
          <t>0,925% (LC nº 224/2025)</t>
        </is>
      </c>
      <c r="O166" s="13" t="inlineStr">
        <is>
          <t>0,365% (LC nº 224/2025)</t>
        </is>
      </c>
      <c r="P166" s="13" t="inlineStr">
        <is>
          <t>CST 06</t>
        </is>
      </c>
      <c r="Q166" s="13" t="inlineStr">
        <is>
          <t>CST 73</t>
        </is>
      </c>
      <c r="R166" s="13" t="inlineStr">
        <is>
          <t>Redução de 60% + Diferimento (Art. 138 e Anexo IX LC 214/2025)</t>
        </is>
      </c>
    </row>
    <row r="167" ht="22" customHeight="1">
      <c r="A167" s="6" t="inlineStr">
        <is>
          <t>SKU-0163</t>
        </is>
      </c>
      <c r="B167" s="5" t="n">
        <v>122</v>
      </c>
      <c r="C167" s="7" t="inlineStr">
        <is>
          <t>Nº 3422</t>
        </is>
      </c>
      <c r="D167" s="8" t="inlineStr">
        <is>
          <t>FOX SUPRA</t>
        </is>
      </c>
      <c r="E167" s="7" t="inlineStr">
        <is>
          <t>Embalagem Comercial do Produto</t>
        </is>
      </c>
      <c r="F167" s="7" t="inlineStr">
        <is>
          <t>1X20L (20 L)</t>
        </is>
      </c>
      <c r="G167" s="7" t="inlineStr">
        <is>
          <t>L</t>
        </is>
      </c>
      <c r="H167" s="9" t="n">
        <v>20</v>
      </c>
      <c r="I167" s="7" t="inlineStr">
        <is>
          <t>3808.92.99</t>
        </is>
      </c>
      <c r="J167" s="7" t="inlineStr">
        <is>
          <t>NÃO</t>
        </is>
      </c>
      <c r="K167" s="7" t="inlineStr">
        <is>
          <t>Embalagem Rígida — LAVÁVEL (Obrigatória Tríplice Lavagem ou Pressão)</t>
        </is>
      </c>
      <c r="L167" s="7" t="inlineStr">
        <is>
          <t>NÃO</t>
        </is>
      </c>
      <c r="M167" s="7" t="inlineStr">
        <is>
          <t>0,00% (Lei nº 10.925/2004)</t>
        </is>
      </c>
      <c r="N167" s="7" t="inlineStr">
        <is>
          <t>0,925% (LC nº 224/2025)</t>
        </is>
      </c>
      <c r="O167" s="7" t="inlineStr">
        <is>
          <t>0,365% (LC nº 224/2025)</t>
        </is>
      </c>
      <c r="P167" s="7" t="inlineStr">
        <is>
          <t>CST 06</t>
        </is>
      </c>
      <c r="Q167" s="7" t="inlineStr">
        <is>
          <t>CST 73</t>
        </is>
      </c>
      <c r="R167" s="7" t="inlineStr">
        <is>
          <t>Redução de 60% + Diferimento (Art. 138 e Anexo IX LC 214/2025)</t>
        </is>
      </c>
    </row>
    <row r="168" ht="22" customHeight="1">
      <c r="A168" s="12" t="inlineStr">
        <is>
          <t>SKU-0164</t>
        </is>
      </c>
      <c r="B168" s="11" t="n">
        <v>123</v>
      </c>
      <c r="C168" s="13" t="inlineStr">
        <is>
          <t>Nº 34621</t>
        </is>
      </c>
      <c r="D168" s="14" t="inlineStr">
        <is>
          <t>RATEIO 200 SL</t>
        </is>
      </c>
      <c r="E168" s="13" t="inlineStr">
        <is>
          <t>Embalagem Comercial do Produto</t>
        </is>
      </c>
      <c r="F168" s="13" t="inlineStr">
        <is>
          <t>1X20L (20 L)</t>
        </is>
      </c>
      <c r="G168" s="13" t="inlineStr">
        <is>
          <t>L</t>
        </is>
      </c>
      <c r="H168" s="15" t="n">
        <v>20</v>
      </c>
      <c r="I168" s="13" t="inlineStr">
        <is>
          <t>3808.93.29</t>
        </is>
      </c>
      <c r="J168" s="13" t="inlineStr">
        <is>
          <t>NÃO</t>
        </is>
      </c>
      <c r="K168" s="13" t="inlineStr">
        <is>
          <t>Embalagem Rígida — LAVÁVEL (Obrigatória Tríplice Lavagem ou Pressão)</t>
        </is>
      </c>
      <c r="L168" s="13" t="inlineStr">
        <is>
          <t>NÃO</t>
        </is>
      </c>
      <c r="M168" s="13" t="inlineStr">
        <is>
          <t>0,00% (Lei nº 10.925/2004)</t>
        </is>
      </c>
      <c r="N168" s="13" t="inlineStr">
        <is>
          <t>0,925% (LC nº 224/2025)</t>
        </is>
      </c>
      <c r="O168" s="13" t="inlineStr">
        <is>
          <t>0,365% (LC nº 224/2025)</t>
        </is>
      </c>
      <c r="P168" s="13" t="inlineStr">
        <is>
          <t>CST 06</t>
        </is>
      </c>
      <c r="Q168" s="13" t="inlineStr">
        <is>
          <t>CST 73</t>
        </is>
      </c>
      <c r="R168" s="13" t="inlineStr">
        <is>
          <t>Redução de 60% + Diferimento (Art. 138 e Anexo IX LC 214/2025)</t>
        </is>
      </c>
    </row>
    <row r="169" ht="22" customHeight="1">
      <c r="A169" s="6" t="inlineStr">
        <is>
          <t>SKU-0165</t>
        </is>
      </c>
      <c r="B169" s="5" t="n">
        <v>124</v>
      </c>
      <c r="C169" s="7" t="inlineStr">
        <is>
          <t>Nº 18022</t>
        </is>
      </c>
      <c r="D169" s="8" t="inlineStr">
        <is>
          <t>TARBOX</t>
        </is>
      </c>
      <c r="E169" s="7" t="inlineStr">
        <is>
          <t>Embalagem Comercial do Produto</t>
        </is>
      </c>
      <c r="F169" s="7" t="inlineStr">
        <is>
          <t>4X5KG (5 KG)</t>
        </is>
      </c>
      <c r="G169" s="7" t="inlineStr">
        <is>
          <t>KG</t>
        </is>
      </c>
      <c r="H169" s="9" t="n">
        <v>5</v>
      </c>
      <c r="I169" s="7" t="inlineStr">
        <is>
          <t>3808.93.29</t>
        </is>
      </c>
      <c r="J169" s="7" t="inlineStr">
        <is>
          <t>NÃO</t>
        </is>
      </c>
      <c r="K169" s="7" t="inlineStr">
        <is>
          <t>Embalagem Flexível — NÃO LAVÁVEL (Perfurar e usar saco ABNT)</t>
        </is>
      </c>
      <c r="L169" s="7" t="inlineStr">
        <is>
          <t>SIM (Saco Transparente ABNT)</t>
        </is>
      </c>
      <c r="M169" s="7" t="inlineStr">
        <is>
          <t>0,00% (Lei nº 10.925/2004)</t>
        </is>
      </c>
      <c r="N169" s="7" t="inlineStr">
        <is>
          <t>0,925% (LC nº 224/2025)</t>
        </is>
      </c>
      <c r="O169" s="7" t="inlineStr">
        <is>
          <t>0,365% (LC nº 224/2025)</t>
        </is>
      </c>
      <c r="P169" s="7" t="inlineStr">
        <is>
          <t>CST 06</t>
        </is>
      </c>
      <c r="Q169" s="7" t="inlineStr">
        <is>
          <t>CST 73</t>
        </is>
      </c>
      <c r="R169" s="7" t="inlineStr">
        <is>
          <t>Redução de 60% + Diferimento (Art. 138 e Anexo IX LC 214/2025)</t>
        </is>
      </c>
    </row>
    <row r="170" ht="22" customHeight="1">
      <c r="A170" s="12" t="inlineStr">
        <is>
          <t>SKU-0166</t>
        </is>
      </c>
      <c r="B170" s="11" t="n">
        <v>125</v>
      </c>
      <c r="C170" s="13" t="inlineStr">
        <is>
          <t>SIPEAGRO (UF-XXXXX)</t>
        </is>
      </c>
      <c r="D170" s="14" t="inlineStr">
        <is>
          <t>FOSFATO MONOAMONICO CRISTAL MAP</t>
        </is>
      </c>
      <c r="E170" s="13" t="inlineStr">
        <is>
          <t>Embalagem Comercial do Produto</t>
        </is>
      </c>
      <c r="F170" s="13" t="inlineStr">
        <is>
          <t>1X25KG (25 KG)</t>
        </is>
      </c>
      <c r="G170" s="13" t="inlineStr">
        <is>
          <t>KG</t>
        </is>
      </c>
      <c r="H170" s="15" t="n">
        <v>25</v>
      </c>
      <c r="I170" s="13" t="inlineStr">
        <is>
          <t>3105.40.00</t>
        </is>
      </c>
      <c r="J170" s="13" t="inlineStr">
        <is>
          <t>NÃO</t>
        </is>
      </c>
      <c r="K170" s="13" t="inlineStr">
        <is>
          <t>Embalagem de Insumo Nutricional/Biológico (Logística Reversa)</t>
        </is>
      </c>
      <c r="L170" s="13" t="inlineStr">
        <is>
          <t>NÃO</t>
        </is>
      </c>
      <c r="M170" s="13" t="inlineStr">
        <is>
          <t>0,00% (Lei nº 10.925/2004)</t>
        </is>
      </c>
      <c r="N170" s="13" t="inlineStr">
        <is>
          <t>0,925% (LC nº 224/2025)</t>
        </is>
      </c>
      <c r="O170" s="13" t="inlineStr">
        <is>
          <t>0,365% (LC nº 224/2025)</t>
        </is>
      </c>
      <c r="P170" s="13" t="inlineStr">
        <is>
          <t>CST 06</t>
        </is>
      </c>
      <c r="Q170" s="13" t="inlineStr">
        <is>
          <t>CST 73</t>
        </is>
      </c>
      <c r="R170" s="13" t="inlineStr">
        <is>
          <t>Redução de 60% + Diferimento (Art. 138 e Anexo IX LC 214/2025)</t>
        </is>
      </c>
    </row>
    <row r="171" ht="22" customHeight="1">
      <c r="A171" s="6" t="inlineStr">
        <is>
          <t>SKU-0167</t>
        </is>
      </c>
      <c r="B171" s="5" t="n">
        <v>125</v>
      </c>
      <c r="C171" s="7" t="inlineStr">
        <is>
          <t>SIPEAGRO (UF-XXXXX)</t>
        </is>
      </c>
      <c r="D171" s="8" t="inlineStr">
        <is>
          <t>FOSFATO MONOAMONICO CRISTAL MAP</t>
        </is>
      </c>
      <c r="E171" s="7" t="inlineStr">
        <is>
          <t>Faixa 1 TIPI (Apresentação &lt;= 300 g ou mL)</t>
        </is>
      </c>
      <c r="F171" s="7" t="inlineStr">
        <is>
          <t>Fracionado / Amostra &lt;= 0,3 KG</t>
        </is>
      </c>
      <c r="G171" s="7" t="inlineStr">
        <is>
          <t>KG</t>
        </is>
      </c>
      <c r="H171" s="17" t="n">
        <v>0.3</v>
      </c>
      <c r="I171" s="7" t="inlineStr">
        <is>
          <t>3105.40.00</t>
        </is>
      </c>
      <c r="J171" s="7" t="inlineStr">
        <is>
          <t>NÃO</t>
        </is>
      </c>
      <c r="K171" s="7" t="inlineStr">
        <is>
          <t>Embalagem de Insumo Nutricional/Biológico (Logística Reversa)</t>
        </is>
      </c>
      <c r="L171" s="7" t="inlineStr">
        <is>
          <t>NÃO</t>
        </is>
      </c>
      <c r="M171" s="7" t="inlineStr">
        <is>
          <t>0,00% (Lei nº 10.925/2004)</t>
        </is>
      </c>
      <c r="N171" s="7" t="inlineStr">
        <is>
          <t>0,925% (LC nº 224/2025)</t>
        </is>
      </c>
      <c r="O171" s="7" t="inlineStr">
        <is>
          <t>0,365% (LC nº 224/2025)</t>
        </is>
      </c>
      <c r="P171" s="7" t="inlineStr">
        <is>
          <t>CST 06</t>
        </is>
      </c>
      <c r="Q171" s="7" t="inlineStr">
        <is>
          <t>CST 73</t>
        </is>
      </c>
      <c r="R171" s="7" t="inlineStr">
        <is>
          <t>Redução de 60% + Diferimento (Art. 138 e Anexo IX LC 214/2025)</t>
        </is>
      </c>
    </row>
    <row r="172" ht="22" customHeight="1">
      <c r="A172" s="12" t="inlineStr">
        <is>
          <t>SKU-0168</t>
        </is>
      </c>
      <c r="B172" s="11" t="n">
        <v>126</v>
      </c>
      <c r="C172" s="13" t="inlineStr">
        <is>
          <t>Nº 1119</t>
        </is>
      </c>
      <c r="D172" s="14" t="inlineStr">
        <is>
          <t>ROUNDUP ORIGINAL MAIS</t>
        </is>
      </c>
      <c r="E172" s="13" t="inlineStr">
        <is>
          <t>Embalagem Comercial do Produto</t>
        </is>
      </c>
      <c r="F172" s="13" t="inlineStr">
        <is>
          <t>1X20L (20 L)</t>
        </is>
      </c>
      <c r="G172" s="13" t="inlineStr">
        <is>
          <t>L</t>
        </is>
      </c>
      <c r="H172" s="15" t="n">
        <v>20</v>
      </c>
      <c r="I172" s="13" t="inlineStr">
        <is>
          <t>3808.93.24</t>
        </is>
      </c>
      <c r="J172" s="13" t="inlineStr">
        <is>
          <t>NÃO</t>
        </is>
      </c>
      <c r="K172" s="13" t="inlineStr">
        <is>
          <t>Embalagem Rígida — LAVÁVEL (Obrigatória Tríplice Lavagem ou Pressão)</t>
        </is>
      </c>
      <c r="L172" s="13" t="inlineStr">
        <is>
          <t>NÃO</t>
        </is>
      </c>
      <c r="M172" s="13" t="inlineStr">
        <is>
          <t>0,00% (Lei nº 10.925/2004)</t>
        </is>
      </c>
      <c r="N172" s="13" t="inlineStr">
        <is>
          <t>0,925% (LC nº 224/2025)</t>
        </is>
      </c>
      <c r="O172" s="13" t="inlineStr">
        <is>
          <t>0,365% (LC nº 224/2025)</t>
        </is>
      </c>
      <c r="P172" s="13" t="inlineStr">
        <is>
          <t>CST 06</t>
        </is>
      </c>
      <c r="Q172" s="13" t="inlineStr">
        <is>
          <t>CST 73</t>
        </is>
      </c>
      <c r="R172" s="13" t="inlineStr">
        <is>
          <t>Redução de 60% + Diferimento (Art. 138 e Anexo IX LC 214/2025)</t>
        </is>
      </c>
    </row>
    <row r="173" ht="22" customHeight="1">
      <c r="A173" s="6" t="inlineStr">
        <is>
          <t>SKU-0169</t>
        </is>
      </c>
      <c r="B173" s="5" t="n">
        <v>127</v>
      </c>
      <c r="C173" s="7" t="inlineStr">
        <is>
          <t>Nº 9920</t>
        </is>
      </c>
      <c r="D173" s="8" t="inlineStr">
        <is>
          <t>SURRENA</t>
        </is>
      </c>
      <c r="E173" s="7" t="inlineStr">
        <is>
          <t>Embalagem Comercial do Produto</t>
        </is>
      </c>
      <c r="F173" s="7" t="inlineStr">
        <is>
          <t>1X20L (20 L)</t>
        </is>
      </c>
      <c r="G173" s="7" t="inlineStr">
        <is>
          <t>L</t>
        </is>
      </c>
      <c r="H173" s="9" t="n">
        <v>20</v>
      </c>
      <c r="I173" s="7" t="inlineStr">
        <is>
          <t>3808.93.29</t>
        </is>
      </c>
      <c r="J173" s="7" t="inlineStr">
        <is>
          <t>NÃO</t>
        </is>
      </c>
      <c r="K173" s="7" t="inlineStr">
        <is>
          <t>Embalagem Rígida — LAVÁVEL (Obrigatória Tríplice Lavagem ou Pressão)</t>
        </is>
      </c>
      <c r="L173" s="7" t="inlineStr">
        <is>
          <t>NÃO</t>
        </is>
      </c>
      <c r="M173" s="7" t="inlineStr">
        <is>
          <t>0,00% (Lei nº 10.925/2004)</t>
        </is>
      </c>
      <c r="N173" s="7" t="inlineStr">
        <is>
          <t>0,925% (LC nº 224/2025)</t>
        </is>
      </c>
      <c r="O173" s="7" t="inlineStr">
        <is>
          <t>0,365% (LC nº 224/2025)</t>
        </is>
      </c>
      <c r="P173" s="7" t="inlineStr">
        <is>
          <t>CST 06</t>
        </is>
      </c>
      <c r="Q173" s="7" t="inlineStr">
        <is>
          <t>CST 73</t>
        </is>
      </c>
      <c r="R173" s="7" t="inlineStr">
        <is>
          <t>Redução de 60% + Diferimento (Art. 138 e Anexo IX LC 214/2025)</t>
        </is>
      </c>
    </row>
    <row r="174" ht="22" customHeight="1">
      <c r="A174" s="12" t="inlineStr">
        <is>
          <t>SKU-0170</t>
        </is>
      </c>
      <c r="B174" s="11" t="n">
        <v>128</v>
      </c>
      <c r="C174" s="13" t="inlineStr">
        <is>
          <t>Nº 2020</t>
        </is>
      </c>
      <c r="D174" s="14" t="inlineStr">
        <is>
          <t>SAMURAI</t>
        </is>
      </c>
      <c r="E174" s="13" t="inlineStr">
        <is>
          <t>Embalagem Comercial do Produto</t>
        </is>
      </c>
      <c r="F174" s="13" t="inlineStr">
        <is>
          <t>1X5L (5 L)</t>
        </is>
      </c>
      <c r="G174" s="13" t="inlineStr">
        <is>
          <t>L</t>
        </is>
      </c>
      <c r="H174" s="15" t="n">
        <v>5</v>
      </c>
      <c r="I174" s="13" t="inlineStr">
        <is>
          <t>3808.62.90</t>
        </is>
      </c>
      <c r="J174" s="13" t="inlineStr">
        <is>
          <t>SIM</t>
        </is>
      </c>
      <c r="K174" s="13" t="inlineStr">
        <is>
          <t>Embalagem Rígida — LAVÁVEL (Obrigatória Tríplice Lavagem ou Pressão)</t>
        </is>
      </c>
      <c r="L174" s="13" t="inlineStr">
        <is>
          <t>NÃO</t>
        </is>
      </c>
      <c r="M174" s="13" t="inlineStr">
        <is>
          <t>0,00% (Lei nº 10.925/2004)</t>
        </is>
      </c>
      <c r="N174" s="13" t="inlineStr">
        <is>
          <t>0,925% (LC nº 224/2025)</t>
        </is>
      </c>
      <c r="O174" s="13" t="inlineStr">
        <is>
          <t>0,365% (LC nº 224/2025)</t>
        </is>
      </c>
      <c r="P174" s="13" t="inlineStr">
        <is>
          <t>CST 06</t>
        </is>
      </c>
      <c r="Q174" s="13" t="inlineStr">
        <is>
          <t>CST 73</t>
        </is>
      </c>
      <c r="R174" s="13" t="inlineStr">
        <is>
          <t>Redução de 60% + Diferimento (Art. 138 e Anexo IX LC 214/2025)</t>
        </is>
      </c>
    </row>
    <row r="175" ht="22" customHeight="1">
      <c r="A175" s="6" t="inlineStr">
        <is>
          <t>SKU-0171</t>
        </is>
      </c>
      <c r="B175" s="5" t="n">
        <v>128</v>
      </c>
      <c r="C175" s="7" t="inlineStr">
        <is>
          <t>Nº 2020</t>
        </is>
      </c>
      <c r="D175" s="8" t="inlineStr">
        <is>
          <t>SAMURAI</t>
        </is>
      </c>
      <c r="E175" s="7" t="inlineStr">
        <is>
          <t>Faixa 1 TIPI (Apresentação &lt;= 300 g ou mL)</t>
        </is>
      </c>
      <c r="F175" s="7" t="inlineStr">
        <is>
          <t>Fracionado / Amostra &lt;= 0,3 L</t>
        </is>
      </c>
      <c r="G175" s="7" t="inlineStr">
        <is>
          <t>L</t>
        </is>
      </c>
      <c r="H175" s="17" t="n">
        <v>0.3</v>
      </c>
      <c r="I175" s="7" t="inlineStr">
        <is>
          <t>3808.61.00</t>
        </is>
      </c>
      <c r="J175" s="7" t="inlineStr">
        <is>
          <t>SIM</t>
        </is>
      </c>
      <c r="K175" s="7" t="inlineStr">
        <is>
          <t>Embalagem Rígida — LAVÁVEL (Obrigatória Tríplice Lavagem ou Pressão)</t>
        </is>
      </c>
      <c r="L175" s="7" t="inlineStr">
        <is>
          <t>NÃO</t>
        </is>
      </c>
      <c r="M175" s="7" t="inlineStr">
        <is>
          <t>0,00% (Lei nº 10.925/2004)</t>
        </is>
      </c>
      <c r="N175" s="7" t="inlineStr">
        <is>
          <t>0,925% (LC nº 224/2025)</t>
        </is>
      </c>
      <c r="O175" s="7" t="inlineStr">
        <is>
          <t>0,365% (LC nº 224/2025)</t>
        </is>
      </c>
      <c r="P175" s="7" t="inlineStr">
        <is>
          <t>CST 06</t>
        </is>
      </c>
      <c r="Q175" s="7" t="inlineStr">
        <is>
          <t>CST 73</t>
        </is>
      </c>
      <c r="R175" s="7" t="inlineStr">
        <is>
          <t>Redução de 60% + Diferimento (Art. 138 e Anexo IX LC 214/2025)</t>
        </is>
      </c>
    </row>
    <row r="176" ht="22" customHeight="1">
      <c r="A176" s="12" t="inlineStr">
        <is>
          <t>SKU-0172</t>
        </is>
      </c>
      <c r="B176" s="11" t="n">
        <v>129</v>
      </c>
      <c r="C176" s="13" t="inlineStr">
        <is>
          <t>Nº 0315</t>
        </is>
      </c>
      <c r="D176" s="14" t="inlineStr">
        <is>
          <t>AGCN 2,4-D</t>
        </is>
      </c>
      <c r="E176" s="13" t="inlineStr">
        <is>
          <t>Embalagem Comercial do Produto</t>
        </is>
      </c>
      <c r="F176" s="13" t="inlineStr">
        <is>
          <t>1X20L (20 L)</t>
        </is>
      </c>
      <c r="G176" s="13" t="inlineStr">
        <is>
          <t>L</t>
        </is>
      </c>
      <c r="H176" s="15" t="n">
        <v>20</v>
      </c>
      <c r="I176" s="13" t="inlineStr">
        <is>
          <t>3808.93.22</t>
        </is>
      </c>
      <c r="J176" s="13" t="inlineStr">
        <is>
          <t>NÃO</t>
        </is>
      </c>
      <c r="K176" s="13" t="inlineStr">
        <is>
          <t>Embalagem Rígida — LAVÁVEL (Obrigatória Tríplice Lavagem ou Pressão)</t>
        </is>
      </c>
      <c r="L176" s="13" t="inlineStr">
        <is>
          <t>NÃO</t>
        </is>
      </c>
      <c r="M176" s="13" t="inlineStr">
        <is>
          <t>0,00% (Lei nº 10.925/2004)</t>
        </is>
      </c>
      <c r="N176" s="13" t="inlineStr">
        <is>
          <t>0,925% (LC nº 224/2025)</t>
        </is>
      </c>
      <c r="O176" s="13" t="inlineStr">
        <is>
          <t>0,365% (LC nº 224/2025)</t>
        </is>
      </c>
      <c r="P176" s="13" t="inlineStr">
        <is>
          <t>CST 06</t>
        </is>
      </c>
      <c r="Q176" s="13" t="inlineStr">
        <is>
          <t>CST 73</t>
        </is>
      </c>
      <c r="R176" s="13" t="inlineStr">
        <is>
          <t>Redução de 60% + Diferimento (Art. 138 e Anexo IX LC 214/2025)</t>
        </is>
      </c>
    </row>
    <row r="177" ht="22" customHeight="1">
      <c r="A177" s="6" t="inlineStr">
        <is>
          <t>SKU-0173</t>
        </is>
      </c>
      <c r="B177" s="5" t="n">
        <v>130</v>
      </c>
      <c r="C177" s="7" t="inlineStr">
        <is>
          <t>SIPEAGRO (UF-XXXXX)</t>
        </is>
      </c>
      <c r="D177" s="8" t="inlineStr">
        <is>
          <t>TOTALNITRO FEIJAO 8X1,5L (DOSE)</t>
        </is>
      </c>
      <c r="E177" s="7" t="inlineStr">
        <is>
          <t>Embalagem Comercial do Produto</t>
        </is>
      </c>
      <c r="F177" s="7" t="inlineStr">
        <is>
          <t>8X1,5L (1.5 L)</t>
        </is>
      </c>
      <c r="G177" s="7" t="inlineStr">
        <is>
          <t>L</t>
        </is>
      </c>
      <c r="H177" s="17" t="n">
        <v>1.5</v>
      </c>
      <c r="I177" s="7" t="inlineStr">
        <is>
          <t>3002.49.99</t>
        </is>
      </c>
      <c r="J177" s="7" t="inlineStr">
        <is>
          <t>NÃO</t>
        </is>
      </c>
      <c r="K177" s="7" t="inlineStr">
        <is>
          <t>Embalagem de Insumo Nutricional/Biológico (Logística Reversa)</t>
        </is>
      </c>
      <c r="L177" s="7" t="inlineStr">
        <is>
          <t>NÃO</t>
        </is>
      </c>
      <c r="M177" s="7" t="inlineStr">
        <is>
          <t>0,00% (Lei nº 10.925/2004)</t>
        </is>
      </c>
      <c r="N177" s="7" t="inlineStr">
        <is>
          <t>0,925% (LC nº 224/2025)</t>
        </is>
      </c>
      <c r="O177" s="7" t="inlineStr">
        <is>
          <t>0,365% (LC nº 224/2025)</t>
        </is>
      </c>
      <c r="P177" s="7" t="inlineStr">
        <is>
          <t>CST 06</t>
        </is>
      </c>
      <c r="Q177" s="7" t="inlineStr">
        <is>
          <t>CST 73</t>
        </is>
      </c>
      <c r="R177" s="7" t="inlineStr">
        <is>
          <t>Redução de 60% + Diferimento (Art. 138 e Anexo IX LC 214/2025)</t>
        </is>
      </c>
    </row>
    <row r="178" ht="22" customHeight="1">
      <c r="A178" s="12" t="inlineStr">
        <is>
          <t>SKU-0174</t>
        </is>
      </c>
      <c r="B178" s="11" t="n">
        <v>130</v>
      </c>
      <c r="C178" s="13" t="inlineStr">
        <is>
          <t>SIPEAGRO (UF-XXXXX)</t>
        </is>
      </c>
      <c r="D178" s="14" t="inlineStr">
        <is>
          <t>TOTALNITRO FEIJAO 8X1,5L (DOSE)</t>
        </is>
      </c>
      <c r="E178" s="13" t="inlineStr">
        <is>
          <t>Faixa 1 TIPI (Apresentação &lt;= 300 g ou mL)</t>
        </is>
      </c>
      <c r="F178" s="13" t="inlineStr">
        <is>
          <t>Fracionado / Amostra &lt;= 0,3 L</t>
        </is>
      </c>
      <c r="G178" s="13" t="inlineStr">
        <is>
          <t>L</t>
        </is>
      </c>
      <c r="H178" s="18" t="n">
        <v>0.3</v>
      </c>
      <c r="I178" s="13" t="inlineStr">
        <is>
          <t>3002.49.99</t>
        </is>
      </c>
      <c r="J178" s="13" t="inlineStr">
        <is>
          <t>NÃO</t>
        </is>
      </c>
      <c r="K178" s="13" t="inlineStr">
        <is>
          <t>Embalagem de Insumo Nutricional/Biológico (Logística Reversa)</t>
        </is>
      </c>
      <c r="L178" s="13" t="inlineStr">
        <is>
          <t>NÃO</t>
        </is>
      </c>
      <c r="M178" s="13" t="inlineStr">
        <is>
          <t>0,00% (Lei nº 10.925/2004)</t>
        </is>
      </c>
      <c r="N178" s="13" t="inlineStr">
        <is>
          <t>0,925% (LC nº 224/2025)</t>
        </is>
      </c>
      <c r="O178" s="13" t="inlineStr">
        <is>
          <t>0,365% (LC nº 224/2025)</t>
        </is>
      </c>
      <c r="P178" s="13" t="inlineStr">
        <is>
          <t>CST 06</t>
        </is>
      </c>
      <c r="Q178" s="13" t="inlineStr">
        <is>
          <t>CST 73</t>
        </is>
      </c>
      <c r="R178" s="13" t="inlineStr">
        <is>
          <t>Redução de 60% + Diferimento (Art. 138 e Anexo IX LC 214/2025)</t>
        </is>
      </c>
    </row>
    <row r="179" ht="22" customHeight="1">
      <c r="A179" s="6" t="inlineStr">
        <is>
          <t>SKU-0175</t>
        </is>
      </c>
      <c r="B179" s="5" t="n">
        <v>131</v>
      </c>
      <c r="C179" s="7" t="inlineStr">
        <is>
          <t>Nº 0120</t>
        </is>
      </c>
      <c r="D179" s="8" t="inlineStr">
        <is>
          <t>GLUCARE</t>
        </is>
      </c>
      <c r="E179" s="7" t="inlineStr">
        <is>
          <t>Embalagem Comercial do Produto</t>
        </is>
      </c>
      <c r="F179" s="7" t="inlineStr">
        <is>
          <t>1X20L (20 L)</t>
        </is>
      </c>
      <c r="G179" s="7" t="inlineStr">
        <is>
          <t>L</t>
        </is>
      </c>
      <c r="H179" s="9" t="n">
        <v>20</v>
      </c>
      <c r="I179" s="7" t="inlineStr">
        <is>
          <t>3808.93.29</t>
        </is>
      </c>
      <c r="J179" s="7" t="inlineStr">
        <is>
          <t>NÃO</t>
        </is>
      </c>
      <c r="K179" s="7" t="inlineStr">
        <is>
          <t>Embalagem Rígida — LAVÁVEL (Obrigatória Tríplice Lavagem ou Pressão)</t>
        </is>
      </c>
      <c r="L179" s="7" t="inlineStr">
        <is>
          <t>NÃO</t>
        </is>
      </c>
      <c r="M179" s="7" t="inlineStr">
        <is>
          <t>0,00% (Lei nº 10.925/2004)</t>
        </is>
      </c>
      <c r="N179" s="7" t="inlineStr">
        <is>
          <t>0,925% (LC nº 224/2025)</t>
        </is>
      </c>
      <c r="O179" s="7" t="inlineStr">
        <is>
          <t>0,365% (LC nº 224/2025)</t>
        </is>
      </c>
      <c r="P179" s="7" t="inlineStr">
        <is>
          <t>CST 06</t>
        </is>
      </c>
      <c r="Q179" s="7" t="inlineStr">
        <is>
          <t>CST 73</t>
        </is>
      </c>
      <c r="R179" s="7" t="inlineStr">
        <is>
          <t>Redução de 60% + Diferimento (Art. 138 e Anexo IX LC 214/2025)</t>
        </is>
      </c>
    </row>
    <row r="180" ht="22" customHeight="1">
      <c r="A180" s="12" t="inlineStr">
        <is>
          <t>SKU-0176</t>
        </is>
      </c>
      <c r="B180" s="11" t="n">
        <v>132</v>
      </c>
      <c r="C180" s="13" t="inlineStr">
        <is>
          <t>Nº 31817</t>
        </is>
      </c>
      <c r="D180" s="14" t="inlineStr">
        <is>
          <t>RAINIL</t>
        </is>
      </c>
      <c r="E180" s="13" t="inlineStr">
        <is>
          <t>Embalagem Comercial do Produto</t>
        </is>
      </c>
      <c r="F180" s="13" t="inlineStr">
        <is>
          <t>4X5KG (5 KG)</t>
        </is>
      </c>
      <c r="G180" s="13" t="inlineStr">
        <is>
          <t>KG</t>
        </is>
      </c>
      <c r="H180" s="15" t="n">
        <v>5</v>
      </c>
      <c r="I180" s="13" t="inlineStr">
        <is>
          <t>3808.91.99</t>
        </is>
      </c>
      <c r="J180" s="13" t="inlineStr">
        <is>
          <t>NÃO</t>
        </is>
      </c>
      <c r="K180" s="13" t="inlineStr">
        <is>
          <t>Embalagem Flexível — NÃO LAVÁVEL (Perfurar e usar saco ABNT)</t>
        </is>
      </c>
      <c r="L180" s="13" t="inlineStr">
        <is>
          <t>SIM (Saco Transparente ABNT)</t>
        </is>
      </c>
      <c r="M180" s="13" t="inlineStr">
        <is>
          <t>0,00% (Lei nº 10.925/2004)</t>
        </is>
      </c>
      <c r="N180" s="13" t="inlineStr">
        <is>
          <t>0,925% (LC nº 224/2025)</t>
        </is>
      </c>
      <c r="O180" s="13" t="inlineStr">
        <is>
          <t>0,365% (LC nº 224/2025)</t>
        </is>
      </c>
      <c r="P180" s="13" t="inlineStr">
        <is>
          <t>CST 06</t>
        </is>
      </c>
      <c r="Q180" s="13" t="inlineStr">
        <is>
          <t>CST 73</t>
        </is>
      </c>
      <c r="R180" s="13" t="inlineStr">
        <is>
          <t>Redução de 60% + Diferimento (Art. 138 e Anexo IX LC 214/2025)</t>
        </is>
      </c>
    </row>
    <row r="181" ht="22" customHeight="1">
      <c r="A181" s="6" t="inlineStr">
        <is>
          <t>SKU-0177</t>
        </is>
      </c>
      <c r="B181" s="5" t="n">
        <v>133</v>
      </c>
      <c r="C181" s="7" t="inlineStr">
        <is>
          <t>Nº 32322</t>
        </is>
      </c>
      <c r="D181" s="8" t="inlineStr">
        <is>
          <t>JOYA BB</t>
        </is>
      </c>
      <c r="E181" s="7" t="inlineStr">
        <is>
          <t>Embalagem Comercial do Produto</t>
        </is>
      </c>
      <c r="F181" s="7" t="inlineStr">
        <is>
          <t>1X20L (20 L)</t>
        </is>
      </c>
      <c r="G181" s="7" t="inlineStr">
        <is>
          <t>L</t>
        </is>
      </c>
      <c r="H181" s="9" t="n">
        <v>20</v>
      </c>
      <c r="I181" s="7" t="inlineStr">
        <is>
          <t>3808.93.29</t>
        </is>
      </c>
      <c r="J181" s="7" t="inlineStr">
        <is>
          <t>NÃO</t>
        </is>
      </c>
      <c r="K181" s="7" t="inlineStr">
        <is>
          <t>Embalagem Rígida — LAVÁVEL (Obrigatória Tríplice Lavagem ou Pressão)</t>
        </is>
      </c>
      <c r="L181" s="7" t="inlineStr">
        <is>
          <t>NÃO</t>
        </is>
      </c>
      <c r="M181" s="7" t="inlineStr">
        <is>
          <t>0,00% (Lei nº 10.925/2004)</t>
        </is>
      </c>
      <c r="N181" s="7" t="inlineStr">
        <is>
          <t>0,925% (LC nº 224/2025)</t>
        </is>
      </c>
      <c r="O181" s="7" t="inlineStr">
        <is>
          <t>0,365% (LC nº 224/2025)</t>
        </is>
      </c>
      <c r="P181" s="7" t="inlineStr">
        <is>
          <t>CST 06</t>
        </is>
      </c>
      <c r="Q181" s="7" t="inlineStr">
        <is>
          <t>CST 73</t>
        </is>
      </c>
      <c r="R181" s="7" t="inlineStr">
        <is>
          <t>Redução de 60% + Diferimento (Art. 138 e Anexo IX LC 214/2025)</t>
        </is>
      </c>
    </row>
    <row r="182" ht="22" customHeight="1">
      <c r="A182" s="12" t="inlineStr">
        <is>
          <t>SKU-0178</t>
        </is>
      </c>
      <c r="B182" s="11" t="n">
        <v>134</v>
      </c>
      <c r="C182" s="13" t="inlineStr">
        <is>
          <t>Nº 2020</t>
        </is>
      </c>
      <c r="D182" s="14" t="inlineStr">
        <is>
          <t>BUSHI</t>
        </is>
      </c>
      <c r="E182" s="13" t="inlineStr">
        <is>
          <t>Embalagem Comercial do Produto</t>
        </is>
      </c>
      <c r="F182" s="13" t="inlineStr">
        <is>
          <t>4X5L (5 L)</t>
        </is>
      </c>
      <c r="G182" s="13" t="inlineStr">
        <is>
          <t>L</t>
        </is>
      </c>
      <c r="H182" s="15" t="n">
        <v>5</v>
      </c>
      <c r="I182" s="13" t="inlineStr">
        <is>
          <t>3808.62.90</t>
        </is>
      </c>
      <c r="J182" s="13" t="inlineStr">
        <is>
          <t>SIM</t>
        </is>
      </c>
      <c r="K182" s="13" t="inlineStr">
        <is>
          <t>Embalagem Rígida — LAVÁVEL (Obrigatória Tríplice Lavagem ou Pressão)</t>
        </is>
      </c>
      <c r="L182" s="13" t="inlineStr">
        <is>
          <t>NÃO</t>
        </is>
      </c>
      <c r="M182" s="13" t="inlineStr">
        <is>
          <t>0,00% (Lei nº 10.925/2004)</t>
        </is>
      </c>
      <c r="N182" s="13" t="inlineStr">
        <is>
          <t>0,925% (LC nº 224/2025)</t>
        </is>
      </c>
      <c r="O182" s="13" t="inlineStr">
        <is>
          <t>0,365% (LC nº 224/2025)</t>
        </is>
      </c>
      <c r="P182" s="13" t="inlineStr">
        <is>
          <t>CST 06</t>
        </is>
      </c>
      <c r="Q182" s="13" t="inlineStr">
        <is>
          <t>CST 73</t>
        </is>
      </c>
      <c r="R182" s="13" t="inlineStr">
        <is>
          <t>Redução de 60% + Diferimento (Art. 138 e Anexo IX LC 214/2025)</t>
        </is>
      </c>
    </row>
    <row r="183" ht="22" customHeight="1">
      <c r="A183" s="6" t="inlineStr">
        <is>
          <t>SKU-0179</t>
        </is>
      </c>
      <c r="B183" s="5" t="n">
        <v>134</v>
      </c>
      <c r="C183" s="7" t="inlineStr">
        <is>
          <t>Nº 2020</t>
        </is>
      </c>
      <c r="D183" s="8" t="inlineStr">
        <is>
          <t>BUSHI</t>
        </is>
      </c>
      <c r="E183" s="7" t="inlineStr">
        <is>
          <t>Faixa 1 TIPI (Apresentação &lt;= 300 g ou mL)</t>
        </is>
      </c>
      <c r="F183" s="7" t="inlineStr">
        <is>
          <t>Fracionado / Amostra &lt;= 0,3 L</t>
        </is>
      </c>
      <c r="G183" s="7" t="inlineStr">
        <is>
          <t>L</t>
        </is>
      </c>
      <c r="H183" s="17" t="n">
        <v>0.3</v>
      </c>
      <c r="I183" s="7" t="inlineStr">
        <is>
          <t>3808.61.00</t>
        </is>
      </c>
      <c r="J183" s="7" t="inlineStr">
        <is>
          <t>SIM</t>
        </is>
      </c>
      <c r="K183" s="7" t="inlineStr">
        <is>
          <t>Embalagem Rígida — LAVÁVEL (Obrigatória Tríplice Lavagem ou Pressão)</t>
        </is>
      </c>
      <c r="L183" s="7" t="inlineStr">
        <is>
          <t>NÃO</t>
        </is>
      </c>
      <c r="M183" s="7" t="inlineStr">
        <is>
          <t>0,00% (Lei nº 10.925/2004)</t>
        </is>
      </c>
      <c r="N183" s="7" t="inlineStr">
        <is>
          <t>0,925% (LC nº 224/2025)</t>
        </is>
      </c>
      <c r="O183" s="7" t="inlineStr">
        <is>
          <t>0,365% (LC nº 224/2025)</t>
        </is>
      </c>
      <c r="P183" s="7" t="inlineStr">
        <is>
          <t>CST 06</t>
        </is>
      </c>
      <c r="Q183" s="7" t="inlineStr">
        <is>
          <t>CST 73</t>
        </is>
      </c>
      <c r="R183" s="7" t="inlineStr">
        <is>
          <t>Redução de 60% + Diferimento (Art. 138 e Anexo IX LC 214/2025)</t>
        </is>
      </c>
    </row>
    <row r="184" ht="22" customHeight="1">
      <c r="A184" s="12" t="inlineStr">
        <is>
          <t>SKU-0180</t>
        </is>
      </c>
      <c r="B184" s="11" t="n">
        <v>135</v>
      </c>
      <c r="C184" s="13" t="inlineStr">
        <is>
          <t>Nº 10018</t>
        </is>
      </c>
      <c r="D184" s="14" t="inlineStr">
        <is>
          <t>ATRAZINA</t>
        </is>
      </c>
      <c r="E184" s="13" t="inlineStr">
        <is>
          <t>Embalagem Comercial do Produto</t>
        </is>
      </c>
      <c r="F184" s="13" t="inlineStr">
        <is>
          <t>1X20L (20 L)</t>
        </is>
      </c>
      <c r="G184" s="13" t="inlineStr">
        <is>
          <t>L</t>
        </is>
      </c>
      <c r="H184" s="15" t="n">
        <v>20</v>
      </c>
      <c r="I184" s="13" t="inlineStr">
        <is>
          <t>3808.93.23</t>
        </is>
      </c>
      <c r="J184" s="13" t="inlineStr">
        <is>
          <t>NÃO</t>
        </is>
      </c>
      <c r="K184" s="13" t="inlineStr">
        <is>
          <t>Embalagem Rígida — LAVÁVEL (Obrigatória Tríplice Lavagem ou Pressão)</t>
        </is>
      </c>
      <c r="L184" s="13" t="inlineStr">
        <is>
          <t>NÃO</t>
        </is>
      </c>
      <c r="M184" s="13" t="inlineStr">
        <is>
          <t>0,00% (Lei nº 10.925/2004)</t>
        </is>
      </c>
      <c r="N184" s="13" t="inlineStr">
        <is>
          <t>0,925% (LC nº 224/2025)</t>
        </is>
      </c>
      <c r="O184" s="13" t="inlineStr">
        <is>
          <t>0,365% (LC nº 224/2025)</t>
        </is>
      </c>
      <c r="P184" s="13" t="inlineStr">
        <is>
          <t>CST 06</t>
        </is>
      </c>
      <c r="Q184" s="13" t="inlineStr">
        <is>
          <t>CST 73</t>
        </is>
      </c>
      <c r="R184" s="13" t="inlineStr">
        <is>
          <t>Redução de 60% + Diferimento (Art. 138 e Anexo IX LC 214/2025)</t>
        </is>
      </c>
    </row>
    <row r="185" ht="22" customHeight="1">
      <c r="A185" s="6" t="inlineStr">
        <is>
          <t>SKU-0181</t>
        </is>
      </c>
      <c r="B185" s="5" t="n">
        <v>136</v>
      </c>
      <c r="C185" s="7" t="inlineStr">
        <is>
          <t>Nº 938801</t>
        </is>
      </c>
      <c r="D185" s="8" t="inlineStr">
        <is>
          <t>CLASSIC 4X2 KG (IMP)</t>
        </is>
      </c>
      <c r="E185" s="7" t="inlineStr">
        <is>
          <t>Embalagem Comercial do Produto</t>
        </is>
      </c>
      <c r="F185" s="7" t="inlineStr">
        <is>
          <t>4X2 KG (2 KG)</t>
        </is>
      </c>
      <c r="G185" s="7" t="inlineStr">
        <is>
          <t>KG</t>
        </is>
      </c>
      <c r="H185" s="9" t="n">
        <v>2</v>
      </c>
      <c r="I185" s="7" t="inlineStr">
        <is>
          <t>3808.93.29</t>
        </is>
      </c>
      <c r="J185" s="7" t="inlineStr">
        <is>
          <t>NÃO</t>
        </is>
      </c>
      <c r="K185" s="7" t="inlineStr">
        <is>
          <t>Embalagem Flexível — NÃO LAVÁVEL (Perfurar e usar saco ABNT)</t>
        </is>
      </c>
      <c r="L185" s="7" t="inlineStr">
        <is>
          <t>SIM (Saco Transparente ABNT)</t>
        </is>
      </c>
      <c r="M185" s="7" t="inlineStr">
        <is>
          <t>0,00% (Lei nº 10.925/2004)</t>
        </is>
      </c>
      <c r="N185" s="7" t="inlineStr">
        <is>
          <t>0,925% (LC nº 224/2025)</t>
        </is>
      </c>
      <c r="O185" s="7" t="inlineStr">
        <is>
          <t>0,365% (LC nº 224/2025)</t>
        </is>
      </c>
      <c r="P185" s="7" t="inlineStr">
        <is>
          <t>CST 06</t>
        </is>
      </c>
      <c r="Q185" s="7" t="inlineStr">
        <is>
          <t>CST 73</t>
        </is>
      </c>
      <c r="R185" s="7" t="inlineStr">
        <is>
          <t>Redução de 60% + Diferimento (Art. 138 e Anexo IX LC 214/2025)</t>
        </is>
      </c>
    </row>
    <row r="186" ht="22" customHeight="1">
      <c r="A186" s="12" t="inlineStr">
        <is>
          <t>SKU-0182</t>
        </is>
      </c>
      <c r="B186" s="11" t="n">
        <v>137</v>
      </c>
      <c r="C186" s="13" t="inlineStr">
        <is>
          <t>Nº 11320</t>
        </is>
      </c>
      <c r="D186" s="14" t="inlineStr">
        <is>
          <t>SURVEY 800 WG</t>
        </is>
      </c>
      <c r="E186" s="13" t="inlineStr">
        <is>
          <t>Embalagem Comercial do Produto</t>
        </is>
      </c>
      <c r="F186" s="13" t="inlineStr">
        <is>
          <t>4X5KG (5 KG)</t>
        </is>
      </c>
      <c r="G186" s="13" t="inlineStr">
        <is>
          <t>KG</t>
        </is>
      </c>
      <c r="H186" s="15" t="n">
        <v>5</v>
      </c>
      <c r="I186" s="13" t="inlineStr">
        <is>
          <t>3808.91.99</t>
        </is>
      </c>
      <c r="J186" s="13" t="inlineStr">
        <is>
          <t>NÃO</t>
        </is>
      </c>
      <c r="K186" s="13" t="inlineStr">
        <is>
          <t>Embalagem Flexível — NÃO LAVÁVEL (Perfurar e usar saco ABNT)</t>
        </is>
      </c>
      <c r="L186" s="13" t="inlineStr">
        <is>
          <t>SIM (Saco Transparente ABNT)</t>
        </is>
      </c>
      <c r="M186" s="13" t="inlineStr">
        <is>
          <t>0,00% (Lei nº 10.925/2004)</t>
        </is>
      </c>
      <c r="N186" s="13" t="inlineStr">
        <is>
          <t>0,925% (LC nº 224/2025)</t>
        </is>
      </c>
      <c r="O186" s="13" t="inlineStr">
        <is>
          <t>0,365% (LC nº 224/2025)</t>
        </is>
      </c>
      <c r="P186" s="13" t="inlineStr">
        <is>
          <t>CST 06</t>
        </is>
      </c>
      <c r="Q186" s="13" t="inlineStr">
        <is>
          <t>CST 73</t>
        </is>
      </c>
      <c r="R186" s="13" t="inlineStr">
        <is>
          <t>Redução de 60% + Diferimento (Art. 138 e Anexo IX LC 214/2025)</t>
        </is>
      </c>
    </row>
    <row r="187" ht="22" customHeight="1">
      <c r="A187" s="6" t="inlineStr">
        <is>
          <t>SKU-0183</t>
        </is>
      </c>
      <c r="B187" s="5" t="n">
        <v>138</v>
      </c>
      <c r="C187" s="7" t="inlineStr">
        <is>
          <t>SIPEAGRO (UF-XXXXX)</t>
        </is>
      </c>
      <c r="D187" s="8" t="inlineStr">
        <is>
          <t>AGCN GRANU S BAG 120</t>
        </is>
      </c>
      <c r="E187" s="7" t="inlineStr">
        <is>
          <t>Embalagem Comercial do Produto</t>
        </is>
      </c>
      <c r="F187" s="7" t="inlineStr">
        <is>
          <t>1X1200KG (1200 KG)</t>
        </is>
      </c>
      <c r="G187" s="7" t="inlineStr">
        <is>
          <t>KG</t>
        </is>
      </c>
      <c r="H187" s="9" t="n">
        <v>1200</v>
      </c>
      <c r="I187" s="7" t="inlineStr">
        <is>
          <t>2503.00.90</t>
        </is>
      </c>
      <c r="J187" s="7" t="inlineStr">
        <is>
          <t>NÃO</t>
        </is>
      </c>
      <c r="K187" s="7" t="inlineStr">
        <is>
          <t>Embalagem de Insumo Nutricional/Biológico (Logística Reversa)</t>
        </is>
      </c>
      <c r="L187" s="7" t="inlineStr">
        <is>
          <t>NÃO</t>
        </is>
      </c>
      <c r="M187" s="7" t="inlineStr">
        <is>
          <t>0,00% (Lei nº 10.925/2004)</t>
        </is>
      </c>
      <c r="N187" s="7" t="inlineStr">
        <is>
          <t>0,925% (LC nº 224/2025)</t>
        </is>
      </c>
      <c r="O187" s="7" t="inlineStr">
        <is>
          <t>0,365% (LC nº 224/2025)</t>
        </is>
      </c>
      <c r="P187" s="7" t="inlineStr">
        <is>
          <t>CST 06 (Uso Agrícola/Industrial)</t>
        </is>
      </c>
      <c r="Q187" s="7" t="inlineStr">
        <is>
          <t>CST 73 (Revenda / Destinação)</t>
        </is>
      </c>
      <c r="R187" s="7" t="inlineStr">
        <is>
          <t>Redução de 60% + Diferimento (Art. 138 LC 214/2025)</t>
        </is>
      </c>
    </row>
    <row r="188" ht="22" customHeight="1">
      <c r="A188" s="12" t="inlineStr">
        <is>
          <t>SKU-0184</t>
        </is>
      </c>
      <c r="B188" s="11" t="n">
        <v>138</v>
      </c>
      <c r="C188" s="13" t="inlineStr">
        <is>
          <t>SIPEAGRO (UF-XXXXX)</t>
        </is>
      </c>
      <c r="D188" s="14" t="inlineStr">
        <is>
          <t>AGCN GRANU S BAG 120</t>
        </is>
      </c>
      <c r="E188" s="13" t="inlineStr">
        <is>
          <t>Faixa 1 TIPI (Apresentação &lt;= 300 g ou mL)</t>
        </is>
      </c>
      <c r="F188" s="13" t="inlineStr">
        <is>
          <t>Fracionado / Amostra &lt;= 0,3 KG</t>
        </is>
      </c>
      <c r="G188" s="13" t="inlineStr">
        <is>
          <t>KG</t>
        </is>
      </c>
      <c r="H188" s="18" t="n">
        <v>0.3</v>
      </c>
      <c r="I188" s="13" t="inlineStr">
        <is>
          <t>3105.90.90</t>
        </is>
      </c>
      <c r="J188" s="13" t="inlineStr">
        <is>
          <t>NÃO</t>
        </is>
      </c>
      <c r="K188" s="13" t="inlineStr">
        <is>
          <t>Embalagem de Insumo Nutricional/Biológico (Logística Reversa)</t>
        </is>
      </c>
      <c r="L188" s="13" t="inlineStr">
        <is>
          <t>NÃO</t>
        </is>
      </c>
      <c r="M188" s="13" t="inlineStr">
        <is>
          <t>0,00% (Lei nº 10.925/2004)</t>
        </is>
      </c>
      <c r="N188" s="13" t="inlineStr">
        <is>
          <t>0,925% (LC nº 224/2025)</t>
        </is>
      </c>
      <c r="O188" s="13" t="inlineStr">
        <is>
          <t>0,365% (LC nº 224/2025)</t>
        </is>
      </c>
      <c r="P188" s="13" t="inlineStr">
        <is>
          <t>CST 06 (Uso Agrícola/Industrial)</t>
        </is>
      </c>
      <c r="Q188" s="13" t="inlineStr">
        <is>
          <t>CST 73 (Revenda / Destinação)</t>
        </is>
      </c>
      <c r="R188" s="13" t="inlineStr">
        <is>
          <t>Redução de 60% + Diferimento (Art. 138 LC 214/2025)</t>
        </is>
      </c>
    </row>
    <row r="189" ht="22" customHeight="1">
      <c r="A189" s="6" t="inlineStr">
        <is>
          <t>SKU-0185</t>
        </is>
      </c>
      <c r="B189" s="5" t="n">
        <v>139</v>
      </c>
      <c r="C189" s="7" t="inlineStr">
        <is>
          <t>Nº 13419</t>
        </is>
      </c>
      <c r="D189" s="8" t="inlineStr">
        <is>
          <t>FRENO 240 EC</t>
        </is>
      </c>
      <c r="E189" s="7" t="inlineStr">
        <is>
          <t>Embalagem Comercial do Produto</t>
        </is>
      </c>
      <c r="F189" s="7" t="inlineStr">
        <is>
          <t>4X5L (5 L)</t>
        </is>
      </c>
      <c r="G189" s="7" t="inlineStr">
        <is>
          <t>L</t>
        </is>
      </c>
      <c r="H189" s="9" t="n">
        <v>5</v>
      </c>
      <c r="I189" s="7" t="inlineStr">
        <is>
          <t>3808.93.29</t>
        </is>
      </c>
      <c r="J189" s="7" t="inlineStr">
        <is>
          <t>NÃO</t>
        </is>
      </c>
      <c r="K189" s="7" t="inlineStr">
        <is>
          <t>Embalagem Rígida — LAVÁVEL (Obrigatória Tríplice Lavagem ou Pressão)</t>
        </is>
      </c>
      <c r="L189" s="7" t="inlineStr">
        <is>
          <t>NÃO</t>
        </is>
      </c>
      <c r="M189" s="7" t="inlineStr">
        <is>
          <t>0,00% (Lei nº 10.925/2004)</t>
        </is>
      </c>
      <c r="N189" s="7" t="inlineStr">
        <is>
          <t>0,925% (LC nº 224/2025)</t>
        </is>
      </c>
      <c r="O189" s="7" t="inlineStr">
        <is>
          <t>0,365% (LC nº 224/2025)</t>
        </is>
      </c>
      <c r="P189" s="7" t="inlineStr">
        <is>
          <t>CST 06</t>
        </is>
      </c>
      <c r="Q189" s="7" t="inlineStr">
        <is>
          <t>CST 73</t>
        </is>
      </c>
      <c r="R189" s="7" t="inlineStr">
        <is>
          <t>Redução de 60% + Diferimento (Art. 138 e Anexo IX LC 214/2025)</t>
        </is>
      </c>
    </row>
    <row r="190" ht="22" customHeight="1">
      <c r="A190" s="12" t="inlineStr">
        <is>
          <t>SKU-0186</t>
        </is>
      </c>
      <c r="B190" s="11" t="n">
        <v>140</v>
      </c>
      <c r="C190" s="13" t="inlineStr">
        <is>
          <t>ISENTO (ATO 104/2017)</t>
        </is>
      </c>
      <c r="D190" s="14" t="inlineStr">
        <is>
          <t>AGRICOIL VEGETAL</t>
        </is>
      </c>
      <c r="E190" s="13" t="inlineStr">
        <is>
          <t>Embalagem Comercial do Produto</t>
        </is>
      </c>
      <c r="F190" s="13" t="inlineStr">
        <is>
          <t>1X20L (20 L)</t>
        </is>
      </c>
      <c r="G190" s="13" t="inlineStr">
        <is>
          <t>L</t>
        </is>
      </c>
      <c r="H190" s="15" t="n">
        <v>20</v>
      </c>
      <c r="I190" s="13" t="inlineStr">
        <is>
          <t>3402.90.29</t>
        </is>
      </c>
      <c r="J190" s="13" t="inlineStr">
        <is>
          <t>NÃO</t>
        </is>
      </c>
      <c r="K190" s="13" t="inlineStr">
        <is>
          <t>Embalagem Rígida — LAVÁVEL (Obrigatória Tríplice Lavagem ou Pressão)</t>
        </is>
      </c>
      <c r="L190" s="13" t="inlineStr">
        <is>
          <t>NÃO</t>
        </is>
      </c>
      <c r="M190" s="13" t="inlineStr">
        <is>
          <t>9,25% Real | 3,65% Presumido</t>
        </is>
      </c>
      <c r="N190" s="13" t="inlineStr">
        <is>
          <t>9,250% (Integral)</t>
        </is>
      </c>
      <c r="O190" s="13" t="inlineStr">
        <is>
          <t>3,650% (Integral)</t>
        </is>
      </c>
      <c r="P190" s="13" t="inlineStr">
        <is>
          <t>CST 01</t>
        </is>
      </c>
      <c r="Q190" s="13" t="inlineStr">
        <is>
          <t>CST 50</t>
        </is>
      </c>
      <c r="R190" s="13" t="inlineStr">
        <is>
          <t>Alíquota Padrão Integral (LC 214/2025)</t>
        </is>
      </c>
    </row>
    <row r="191" ht="22" customHeight="1">
      <c r="A191" s="6" t="inlineStr">
        <is>
          <t>SKU-0187</t>
        </is>
      </c>
      <c r="B191" s="5" t="n">
        <v>141</v>
      </c>
      <c r="C191" s="7" t="inlineStr">
        <is>
          <t>SIPEAGRO (UF-XXXXX)</t>
        </is>
      </c>
      <c r="D191" s="8" t="inlineStr">
        <is>
          <t>AGCN ULTRA S</t>
        </is>
      </c>
      <c r="E191" s="7" t="inlineStr">
        <is>
          <t>Embalagem Comercial do Produto</t>
        </is>
      </c>
      <c r="F191" s="7" t="inlineStr">
        <is>
          <t>1X20L (20 L)</t>
        </is>
      </c>
      <c r="G191" s="7" t="inlineStr">
        <is>
          <t>L</t>
        </is>
      </c>
      <c r="H191" s="9" t="n">
        <v>20</v>
      </c>
      <c r="I191" s="7" t="inlineStr">
        <is>
          <t>2503.00.90</t>
        </is>
      </c>
      <c r="J191" s="7" t="inlineStr">
        <is>
          <t>NÃO</t>
        </is>
      </c>
      <c r="K191" s="7" t="inlineStr">
        <is>
          <t>Embalagem de Insumo Nutricional/Biológico (Logística Reversa)</t>
        </is>
      </c>
      <c r="L191" s="7" t="inlineStr">
        <is>
          <t>NÃO</t>
        </is>
      </c>
      <c r="M191" s="7" t="inlineStr">
        <is>
          <t>0,00% (Lei nº 10.925/2004)</t>
        </is>
      </c>
      <c r="N191" s="7" t="inlineStr">
        <is>
          <t>0,925% (LC nº 224/2025)</t>
        </is>
      </c>
      <c r="O191" s="7" t="inlineStr">
        <is>
          <t>0,365% (LC nº 224/2025)</t>
        </is>
      </c>
      <c r="P191" s="7" t="inlineStr">
        <is>
          <t>CST 06 (Uso Agrícola/Industrial)</t>
        </is>
      </c>
      <c r="Q191" s="7" t="inlineStr">
        <is>
          <t>CST 73 (Revenda / Destinação)</t>
        </is>
      </c>
      <c r="R191" s="7" t="inlineStr">
        <is>
          <t>Redução de 60% + Diferimento (Art. 138 LC 214/2025)</t>
        </is>
      </c>
    </row>
    <row r="192" ht="22" customHeight="1">
      <c r="A192" s="12" t="inlineStr">
        <is>
          <t>SKU-0188</t>
        </is>
      </c>
      <c r="B192" s="11" t="n">
        <v>141</v>
      </c>
      <c r="C192" s="13" t="inlineStr">
        <is>
          <t>SIPEAGRO (UF-XXXXX)</t>
        </is>
      </c>
      <c r="D192" s="14" t="inlineStr">
        <is>
          <t>AGCN ULTRA S</t>
        </is>
      </c>
      <c r="E192" s="13" t="inlineStr">
        <is>
          <t>Faixa 1 TIPI (Apresentação &lt;= 300 g ou mL)</t>
        </is>
      </c>
      <c r="F192" s="13" t="inlineStr">
        <is>
          <t>Fracionado / Amostra &lt;= 0,3 L</t>
        </is>
      </c>
      <c r="G192" s="13" t="inlineStr">
        <is>
          <t>L</t>
        </is>
      </c>
      <c r="H192" s="18" t="n">
        <v>0.3</v>
      </c>
      <c r="I192" s="13" t="inlineStr">
        <is>
          <t>3105.90.90</t>
        </is>
      </c>
      <c r="J192" s="13" t="inlineStr">
        <is>
          <t>NÃO</t>
        </is>
      </c>
      <c r="K192" s="13" t="inlineStr">
        <is>
          <t>Embalagem de Insumo Nutricional/Biológico (Logística Reversa)</t>
        </is>
      </c>
      <c r="L192" s="13" t="inlineStr">
        <is>
          <t>NÃO</t>
        </is>
      </c>
      <c r="M192" s="13" t="inlineStr">
        <is>
          <t>0,00% (Lei nº 10.925/2004)</t>
        </is>
      </c>
      <c r="N192" s="13" t="inlineStr">
        <is>
          <t>0,925% (LC nº 224/2025)</t>
        </is>
      </c>
      <c r="O192" s="13" t="inlineStr">
        <is>
          <t>0,365% (LC nº 224/2025)</t>
        </is>
      </c>
      <c r="P192" s="13" t="inlineStr">
        <is>
          <t>CST 06 (Uso Agrícola/Industrial)</t>
        </is>
      </c>
      <c r="Q192" s="13" t="inlineStr">
        <is>
          <t>CST 73 (Revenda / Destinação)</t>
        </is>
      </c>
      <c r="R192" s="13" t="inlineStr">
        <is>
          <t>Redução de 60% + Diferimento (Art. 138 LC 214/2025)</t>
        </is>
      </c>
    </row>
    <row r="193" ht="22" customHeight="1">
      <c r="A193" s="6" t="inlineStr">
        <is>
          <t>SKU-0189</t>
        </is>
      </c>
      <c r="B193" s="5" t="n">
        <v>142</v>
      </c>
      <c r="C193" s="7" t="inlineStr">
        <is>
          <t>Nº 0115</t>
        </is>
      </c>
      <c r="D193" s="8" t="inlineStr">
        <is>
          <t>2,4-D DECORUM</t>
        </is>
      </c>
      <c r="E193" s="7" t="inlineStr">
        <is>
          <t>Embalagem Comercial do Produto</t>
        </is>
      </c>
      <c r="F193" s="7" t="inlineStr">
        <is>
          <t>1X20L (20 L)</t>
        </is>
      </c>
      <c r="G193" s="7" t="inlineStr">
        <is>
          <t>L</t>
        </is>
      </c>
      <c r="H193" s="9" t="n">
        <v>20</v>
      </c>
      <c r="I193" s="7" t="inlineStr">
        <is>
          <t>3808.93.22</t>
        </is>
      </c>
      <c r="J193" s="7" t="inlineStr">
        <is>
          <t>NÃO</t>
        </is>
      </c>
      <c r="K193" s="7" t="inlineStr">
        <is>
          <t>Embalagem Rígida — LAVÁVEL (Obrigatória Tríplice Lavagem ou Pressão)</t>
        </is>
      </c>
      <c r="L193" s="7" t="inlineStr">
        <is>
          <t>NÃO</t>
        </is>
      </c>
      <c r="M193" s="7" t="inlineStr">
        <is>
          <t>0,00% (Lei nº 10.925/2004)</t>
        </is>
      </c>
      <c r="N193" s="7" t="inlineStr">
        <is>
          <t>0,925% (LC nº 224/2025)</t>
        </is>
      </c>
      <c r="O193" s="7" t="inlineStr">
        <is>
          <t>0,365% (LC nº 224/2025)</t>
        </is>
      </c>
      <c r="P193" s="7" t="inlineStr">
        <is>
          <t>CST 06</t>
        </is>
      </c>
      <c r="Q193" s="7" t="inlineStr">
        <is>
          <t>CST 73</t>
        </is>
      </c>
      <c r="R193" s="7" t="inlineStr">
        <is>
          <t>Redução de 60% + Diferimento (Art. 138 e Anexo IX LC 214/2025)</t>
        </is>
      </c>
    </row>
    <row r="194" ht="22" customHeight="1">
      <c r="A194" s="12" t="inlineStr">
        <is>
          <t>SKU-0190</t>
        </is>
      </c>
      <c r="B194" s="11" t="n">
        <v>143</v>
      </c>
      <c r="C194" s="13" t="inlineStr">
        <is>
          <t>Nº 31522</t>
        </is>
      </c>
      <c r="D194" s="14" t="inlineStr">
        <is>
          <t>METOMY</t>
        </is>
      </c>
      <c r="E194" s="13" t="inlineStr">
        <is>
          <t>Embalagem Comercial do Produto</t>
        </is>
      </c>
      <c r="F194" s="13" t="inlineStr">
        <is>
          <t>4X5KG (5 KG)</t>
        </is>
      </c>
      <c r="G194" s="13" t="inlineStr">
        <is>
          <t>KG</t>
        </is>
      </c>
      <c r="H194" s="15" t="n">
        <v>5</v>
      </c>
      <c r="I194" s="13" t="inlineStr">
        <is>
          <t>3808.91.99</t>
        </is>
      </c>
      <c r="J194" s="13" t="inlineStr">
        <is>
          <t>NÃO</t>
        </is>
      </c>
      <c r="K194" s="13" t="inlineStr">
        <is>
          <t>Embalagem Flexível — NÃO LAVÁVEL (Perfurar e usar saco ABNT)</t>
        </is>
      </c>
      <c r="L194" s="13" t="inlineStr">
        <is>
          <t>SIM (Saco Transparente ABNT)</t>
        </is>
      </c>
      <c r="M194" s="13" t="inlineStr">
        <is>
          <t>0,00% (Lei nº 10.925/2004)</t>
        </is>
      </c>
      <c r="N194" s="13" t="inlineStr">
        <is>
          <t>0,925% (LC nº 224/2025)</t>
        </is>
      </c>
      <c r="O194" s="13" t="inlineStr">
        <is>
          <t>0,365% (LC nº 224/2025)</t>
        </is>
      </c>
      <c r="P194" s="13" t="inlineStr">
        <is>
          <t>CST 06</t>
        </is>
      </c>
      <c r="Q194" s="13" t="inlineStr">
        <is>
          <t>CST 73</t>
        </is>
      </c>
      <c r="R194" s="13" t="inlineStr">
        <is>
          <t>Redução de 60% + Diferimento (Art. 138 e Anexo IX LC 214/2025)</t>
        </is>
      </c>
    </row>
    <row r="195" ht="22" customHeight="1">
      <c r="A195" s="6" t="inlineStr">
        <is>
          <t>SKU-0191</t>
        </is>
      </c>
      <c r="B195" s="5" t="n">
        <v>144</v>
      </c>
      <c r="C195" s="7" t="inlineStr">
        <is>
          <t>Nº 34122</t>
        </is>
      </c>
      <c r="D195" s="8" t="inlineStr">
        <is>
          <t>METRARO EC</t>
        </is>
      </c>
      <c r="E195" s="7" t="inlineStr">
        <is>
          <t>Embalagem Comercial do Produto</t>
        </is>
      </c>
      <c r="F195" s="7" t="inlineStr">
        <is>
          <t>1X20L (20 L)</t>
        </is>
      </c>
      <c r="G195" s="7" t="inlineStr">
        <is>
          <t>L</t>
        </is>
      </c>
      <c r="H195" s="9" t="n">
        <v>20</v>
      </c>
      <c r="I195" s="7" t="inlineStr">
        <is>
          <t>3808.93.29</t>
        </is>
      </c>
      <c r="J195" s="7" t="inlineStr">
        <is>
          <t>NÃO</t>
        </is>
      </c>
      <c r="K195" s="7" t="inlineStr">
        <is>
          <t>Embalagem Rígida — LAVÁVEL (Obrigatória Tríplice Lavagem ou Pressão)</t>
        </is>
      </c>
      <c r="L195" s="7" t="inlineStr">
        <is>
          <t>NÃO</t>
        </is>
      </c>
      <c r="M195" s="7" t="inlineStr">
        <is>
          <t>0,00% (Lei nº 10.925/2004)</t>
        </is>
      </c>
      <c r="N195" s="7" t="inlineStr">
        <is>
          <t>0,925% (LC nº 224/2025)</t>
        </is>
      </c>
      <c r="O195" s="7" t="inlineStr">
        <is>
          <t>0,365% (LC nº 224/2025)</t>
        </is>
      </c>
      <c r="P195" s="7" t="inlineStr">
        <is>
          <t>CST 06</t>
        </is>
      </c>
      <c r="Q195" s="7" t="inlineStr">
        <is>
          <t>CST 73</t>
        </is>
      </c>
      <c r="R195" s="7" t="inlineStr">
        <is>
          <t>Redução de 60% + Diferimento (Art. 138 e Anexo IX LC 214/2025)</t>
        </is>
      </c>
    </row>
    <row r="196" ht="22" customHeight="1">
      <c r="A196" s="12" t="inlineStr">
        <is>
          <t>SKU-0192</t>
        </is>
      </c>
      <c r="B196" s="11" t="n">
        <v>145</v>
      </c>
      <c r="C196" s="13" t="inlineStr">
        <is>
          <t>Nº 13720</t>
        </is>
      </c>
      <c r="D196" s="14" t="inlineStr">
        <is>
          <t>VELBOW</t>
        </is>
      </c>
      <c r="E196" s="13" t="inlineStr">
        <is>
          <t>Embalagem Comercial do Produto</t>
        </is>
      </c>
      <c r="F196" s="13" t="inlineStr">
        <is>
          <t>4X5KG (5 KG)</t>
        </is>
      </c>
      <c r="G196" s="13" t="inlineStr">
        <is>
          <t>KG</t>
        </is>
      </c>
      <c r="H196" s="15" t="n">
        <v>5</v>
      </c>
      <c r="I196" s="13" t="inlineStr">
        <is>
          <t>3808.93.23</t>
        </is>
      </c>
      <c r="J196" s="13" t="inlineStr">
        <is>
          <t>NÃO</t>
        </is>
      </c>
      <c r="K196" s="13" t="inlineStr">
        <is>
          <t>Embalagem Flexível — NÃO LAVÁVEL (Perfurar e usar saco ABNT)</t>
        </is>
      </c>
      <c r="L196" s="13" t="inlineStr">
        <is>
          <t>SIM (Saco Transparente ABNT)</t>
        </is>
      </c>
      <c r="M196" s="13" t="inlineStr">
        <is>
          <t>0,00% (Lei nº 10.925/2004)</t>
        </is>
      </c>
      <c r="N196" s="13" t="inlineStr">
        <is>
          <t>0,925% (LC nº 224/2025)</t>
        </is>
      </c>
      <c r="O196" s="13" t="inlineStr">
        <is>
          <t>0,365% (LC nº 224/2025)</t>
        </is>
      </c>
      <c r="P196" s="13" t="inlineStr">
        <is>
          <t>CST 06</t>
        </is>
      </c>
      <c r="Q196" s="13" t="inlineStr">
        <is>
          <t>CST 73</t>
        </is>
      </c>
      <c r="R196" s="13" t="inlineStr">
        <is>
          <t>Redução de 60% + Diferimento (Art. 138 e Anexo IX LC 214/2025)</t>
        </is>
      </c>
    </row>
    <row r="197" ht="22" customHeight="1">
      <c r="A197" s="6" t="inlineStr">
        <is>
          <t>SKU-0193</t>
        </is>
      </c>
      <c r="B197" s="5" t="n">
        <v>146</v>
      </c>
      <c r="C197" s="7" t="inlineStr">
        <is>
          <t>Nº 3522</t>
        </is>
      </c>
      <c r="D197" s="8" t="inlineStr">
        <is>
          <t>TAGZOLE 250 EC</t>
        </is>
      </c>
      <c r="E197" s="7" t="inlineStr">
        <is>
          <t>Embalagem Comercial do Produto</t>
        </is>
      </c>
      <c r="F197" s="7" t="inlineStr">
        <is>
          <t>4X5L (5 L)</t>
        </is>
      </c>
      <c r="G197" s="7" t="inlineStr">
        <is>
          <t>L</t>
        </is>
      </c>
      <c r="H197" s="9" t="n">
        <v>5</v>
      </c>
      <c r="I197" s="7" t="inlineStr">
        <is>
          <t>3808.92.99</t>
        </is>
      </c>
      <c r="J197" s="7" t="inlineStr">
        <is>
          <t>NÃO</t>
        </is>
      </c>
      <c r="K197" s="7" t="inlineStr">
        <is>
          <t>Embalagem Rígida — LAVÁVEL (Obrigatória Tríplice Lavagem ou Pressão)</t>
        </is>
      </c>
      <c r="L197" s="7" t="inlineStr">
        <is>
          <t>NÃO</t>
        </is>
      </c>
      <c r="M197" s="7" t="inlineStr">
        <is>
          <t>0,00% (Lei nº 10.925/2004)</t>
        </is>
      </c>
      <c r="N197" s="7" t="inlineStr">
        <is>
          <t>0,925% (LC nº 224/2025)</t>
        </is>
      </c>
      <c r="O197" s="7" t="inlineStr">
        <is>
          <t>0,365% (LC nº 224/2025)</t>
        </is>
      </c>
      <c r="P197" s="7" t="inlineStr">
        <is>
          <t>CST 06</t>
        </is>
      </c>
      <c r="Q197" s="7" t="inlineStr">
        <is>
          <t>CST 73</t>
        </is>
      </c>
      <c r="R197" s="7" t="inlineStr">
        <is>
          <t>Redução de 60% + Diferimento (Art. 138 e Anexo IX LC 214/2025)</t>
        </is>
      </c>
    </row>
    <row r="198" ht="22" customHeight="1">
      <c r="A198" s="12" t="inlineStr">
        <is>
          <t>SKU-0194</t>
        </is>
      </c>
      <c r="B198" s="11" t="n">
        <v>147</v>
      </c>
      <c r="C198" s="13" t="inlineStr">
        <is>
          <t>Nº 5417</t>
        </is>
      </c>
      <c r="D198" s="14" t="inlineStr">
        <is>
          <t>GLIFOSATO IPA 480 RAINBOW</t>
        </is>
      </c>
      <c r="E198" s="13" t="inlineStr">
        <is>
          <t>Embalagem Comercial do Produto</t>
        </is>
      </c>
      <c r="F198" s="13" t="inlineStr">
        <is>
          <t>1X20L (20 L)</t>
        </is>
      </c>
      <c r="G198" s="13" t="inlineStr">
        <is>
          <t>L</t>
        </is>
      </c>
      <c r="H198" s="15" t="n">
        <v>20</v>
      </c>
      <c r="I198" s="13" t="inlineStr">
        <is>
          <t>3808.93.24</t>
        </is>
      </c>
      <c r="J198" s="13" t="inlineStr">
        <is>
          <t>NÃO</t>
        </is>
      </c>
      <c r="K198" s="13" t="inlineStr">
        <is>
          <t>Embalagem Rígida — LAVÁVEL (Obrigatória Tríplice Lavagem ou Pressão)</t>
        </is>
      </c>
      <c r="L198" s="13" t="inlineStr">
        <is>
          <t>NÃO</t>
        </is>
      </c>
      <c r="M198" s="13" t="inlineStr">
        <is>
          <t>0,00% (Lei nº 10.925/2004)</t>
        </is>
      </c>
      <c r="N198" s="13" t="inlineStr">
        <is>
          <t>0,925% (LC nº 224/2025)</t>
        </is>
      </c>
      <c r="O198" s="13" t="inlineStr">
        <is>
          <t>0,365% (LC nº 224/2025)</t>
        </is>
      </c>
      <c r="P198" s="13" t="inlineStr">
        <is>
          <t>CST 06</t>
        </is>
      </c>
      <c r="Q198" s="13" t="inlineStr">
        <is>
          <t>CST 73</t>
        </is>
      </c>
      <c r="R198" s="13" t="inlineStr">
        <is>
          <t>Redução de 60% + Diferimento (Art. 138 e Anexo IX LC 214/2025)</t>
        </is>
      </c>
    </row>
    <row r="199" ht="22" customHeight="1">
      <c r="A199" s="6" t="inlineStr">
        <is>
          <t>SKU-0195</t>
        </is>
      </c>
      <c r="B199" s="5" t="n">
        <v>148</v>
      </c>
      <c r="C199" s="7" t="inlineStr">
        <is>
          <t>Nº 44024</t>
        </is>
      </c>
      <c r="D199" s="8" t="inlineStr">
        <is>
          <t>BIOLOGIC BRAVIA</t>
        </is>
      </c>
      <c r="E199" s="7" t="inlineStr">
        <is>
          <t>Embalagem Comercial do Produto</t>
        </is>
      </c>
      <c r="F199" s="7" t="inlineStr">
        <is>
          <t>1X10KG (10 KG)</t>
        </is>
      </c>
      <c r="G199" s="7" t="inlineStr">
        <is>
          <t>KG</t>
        </is>
      </c>
      <c r="H199" s="9" t="n">
        <v>10</v>
      </c>
      <c r="I199" s="7" t="inlineStr">
        <is>
          <t>3808.91.99</t>
        </is>
      </c>
      <c r="J199" s="7" t="inlineStr">
        <is>
          <t>NÃO</t>
        </is>
      </c>
      <c r="K199" s="7" t="inlineStr">
        <is>
          <t>Embalagem Flexível — NÃO LAVÁVEL (Perfurar e usar saco ABNT)</t>
        </is>
      </c>
      <c r="L199" s="7" t="inlineStr">
        <is>
          <t>SIM (Saco Transparente ABNT)</t>
        </is>
      </c>
      <c r="M199" s="7" t="inlineStr">
        <is>
          <t>0,00% (Lei nº 10.925/2004)</t>
        </is>
      </c>
      <c r="N199" s="7" t="inlineStr">
        <is>
          <t>0,925% (LC nº 224/2025)</t>
        </is>
      </c>
      <c r="O199" s="7" t="inlineStr">
        <is>
          <t>0,365% (LC nº 224/2025)</t>
        </is>
      </c>
      <c r="P199" s="7" t="inlineStr">
        <is>
          <t>CST 06</t>
        </is>
      </c>
      <c r="Q199" s="7" t="inlineStr">
        <is>
          <t>CST 73</t>
        </is>
      </c>
      <c r="R199" s="7" t="inlineStr">
        <is>
          <t>Redução de 60% + Diferimento (Art. 138 e Anexo IX LC 214/2025)</t>
        </is>
      </c>
    </row>
    <row r="200" ht="22" customHeight="1">
      <c r="A200" s="12" t="inlineStr">
        <is>
          <t>SKU-0196</t>
        </is>
      </c>
      <c r="B200" s="11" t="n">
        <v>149</v>
      </c>
      <c r="C200" s="13" t="inlineStr">
        <is>
          <t>Nº 40818</t>
        </is>
      </c>
      <c r="D200" s="14" t="inlineStr">
        <is>
          <t>GLUFOSINATE-AMMONIUN 200 SL YONON</t>
        </is>
      </c>
      <c r="E200" s="13" t="inlineStr">
        <is>
          <t>Embalagem Comercial do Produto</t>
        </is>
      </c>
      <c r="F200" s="13" t="inlineStr">
        <is>
          <t>1X20L (20 L)</t>
        </is>
      </c>
      <c r="G200" s="13" t="inlineStr">
        <is>
          <t>L</t>
        </is>
      </c>
      <c r="H200" s="15" t="n">
        <v>20</v>
      </c>
      <c r="I200" s="13" t="inlineStr">
        <is>
          <t>3808.93.29</t>
        </is>
      </c>
      <c r="J200" s="13" t="inlineStr">
        <is>
          <t>NÃO</t>
        </is>
      </c>
      <c r="K200" s="13" t="inlineStr">
        <is>
          <t>Embalagem Rígida — LAVÁVEL (Obrigatória Tríplice Lavagem ou Pressão)</t>
        </is>
      </c>
      <c r="L200" s="13" t="inlineStr">
        <is>
          <t>NÃO</t>
        </is>
      </c>
      <c r="M200" s="13" t="inlineStr">
        <is>
          <t>0,00% (Lei nº 10.925/2004)</t>
        </is>
      </c>
      <c r="N200" s="13" t="inlineStr">
        <is>
          <t>0,925% (LC nº 224/2025)</t>
        </is>
      </c>
      <c r="O200" s="13" t="inlineStr">
        <is>
          <t>0,365% (LC nº 224/2025)</t>
        </is>
      </c>
      <c r="P200" s="13" t="inlineStr">
        <is>
          <t>CST 06</t>
        </is>
      </c>
      <c r="Q200" s="13" t="inlineStr">
        <is>
          <t>CST 73</t>
        </is>
      </c>
      <c r="R200" s="13" t="inlineStr">
        <is>
          <t>Redução de 60% + Diferimento (Art. 138 e Anexo IX LC 214/2025)</t>
        </is>
      </c>
    </row>
    <row r="201" ht="22" customHeight="1">
      <c r="A201" s="6" t="inlineStr">
        <is>
          <t>SKU-0197</t>
        </is>
      </c>
      <c r="B201" s="5" t="n">
        <v>150</v>
      </c>
      <c r="C201" s="7" t="inlineStr">
        <is>
          <t>Nº 9420</t>
        </is>
      </c>
      <c r="D201" s="8" t="inlineStr">
        <is>
          <t>ENSIS-TURBO</t>
        </is>
      </c>
      <c r="E201" s="7" t="inlineStr">
        <is>
          <t>Embalagem Comercial do Produto</t>
        </is>
      </c>
      <c r="F201" s="7" t="inlineStr">
        <is>
          <t>4X5L (5 L)</t>
        </is>
      </c>
      <c r="G201" s="7" t="inlineStr">
        <is>
          <t>L</t>
        </is>
      </c>
      <c r="H201" s="9" t="n">
        <v>5</v>
      </c>
      <c r="I201" s="7" t="inlineStr">
        <is>
          <t>3808.92.99</t>
        </is>
      </c>
      <c r="J201" s="7" t="inlineStr">
        <is>
          <t>NÃO</t>
        </is>
      </c>
      <c r="K201" s="7" t="inlineStr">
        <is>
          <t>Embalagem Rígida — LAVÁVEL (Obrigatória Tríplice Lavagem ou Pressão)</t>
        </is>
      </c>
      <c r="L201" s="7" t="inlineStr">
        <is>
          <t>NÃO</t>
        </is>
      </c>
      <c r="M201" s="7" t="inlineStr">
        <is>
          <t>0,00% (Lei nº 10.925/2004)</t>
        </is>
      </c>
      <c r="N201" s="7" t="inlineStr">
        <is>
          <t>0,925% (LC nº 224/2025)</t>
        </is>
      </c>
      <c r="O201" s="7" t="inlineStr">
        <is>
          <t>0,365% (LC nº 224/2025)</t>
        </is>
      </c>
      <c r="P201" s="7" t="inlineStr">
        <is>
          <t>CST 06</t>
        </is>
      </c>
      <c r="Q201" s="7" t="inlineStr">
        <is>
          <t>CST 73</t>
        </is>
      </c>
      <c r="R201" s="7" t="inlineStr">
        <is>
          <t>Redução de 60% + Diferimento (Art. 138 e Anexo IX LC 214/2025)</t>
        </is>
      </c>
    </row>
    <row r="202" ht="22" customHeight="1">
      <c r="A202" s="12" t="inlineStr">
        <is>
          <t>SKU-0198</t>
        </is>
      </c>
      <c r="B202" s="11" t="n">
        <v>151</v>
      </c>
      <c r="C202" s="13" t="inlineStr">
        <is>
          <t>Nº 15508</t>
        </is>
      </c>
      <c r="D202" s="14" t="inlineStr">
        <is>
          <t>TRINITY</t>
        </is>
      </c>
      <c r="E202" s="13" t="inlineStr">
        <is>
          <t>Embalagem Comercial do Produto</t>
        </is>
      </c>
      <c r="F202" s="13" t="inlineStr">
        <is>
          <t>4X5L (5 L)</t>
        </is>
      </c>
      <c r="G202" s="13" t="inlineStr">
        <is>
          <t>L</t>
        </is>
      </c>
      <c r="H202" s="15" t="n">
        <v>5</v>
      </c>
      <c r="I202" s="13" t="inlineStr">
        <is>
          <t>3808.92.99</t>
        </is>
      </c>
      <c r="J202" s="13" t="inlineStr">
        <is>
          <t>NÃO</t>
        </is>
      </c>
      <c r="K202" s="13" t="inlineStr">
        <is>
          <t>Embalagem Rígida — LAVÁVEL (Obrigatória Tríplice Lavagem ou Pressão)</t>
        </is>
      </c>
      <c r="L202" s="13" t="inlineStr">
        <is>
          <t>NÃO</t>
        </is>
      </c>
      <c r="M202" s="13" t="inlineStr">
        <is>
          <t>0,00% (Lei nº 10.925/2004)</t>
        </is>
      </c>
      <c r="N202" s="13" t="inlineStr">
        <is>
          <t>0,925% (LC nº 224/2025)</t>
        </is>
      </c>
      <c r="O202" s="13" t="inlineStr">
        <is>
          <t>0,365% (LC nº 224/2025)</t>
        </is>
      </c>
      <c r="P202" s="13" t="inlineStr">
        <is>
          <t>CST 06</t>
        </is>
      </c>
      <c r="Q202" s="13" t="inlineStr">
        <is>
          <t>CST 73</t>
        </is>
      </c>
      <c r="R202" s="13" t="inlineStr">
        <is>
          <t>Redução de 60% + Diferimento (Art. 138 e Anexo IX LC 214/2025)</t>
        </is>
      </c>
    </row>
    <row r="203" ht="22" customHeight="1">
      <c r="A203" s="6" t="inlineStr">
        <is>
          <t>SKU-0199</t>
        </is>
      </c>
      <c r="B203" s="5" t="n">
        <v>152</v>
      </c>
      <c r="C203" s="7" t="inlineStr">
        <is>
          <t>Nº 9621</t>
        </is>
      </c>
      <c r="D203" s="8" t="inlineStr">
        <is>
          <t>PRECISO XK</t>
        </is>
      </c>
      <c r="E203" s="7" t="inlineStr">
        <is>
          <t>Embalagem Comercial do Produto</t>
        </is>
      </c>
      <c r="F203" s="7" t="inlineStr">
        <is>
          <t>1X20L (20 L)</t>
        </is>
      </c>
      <c r="G203" s="7" t="inlineStr">
        <is>
          <t>L</t>
        </is>
      </c>
      <c r="H203" s="9" t="n">
        <v>20</v>
      </c>
      <c r="I203" s="7" t="inlineStr">
        <is>
          <t>3808.93.24</t>
        </is>
      </c>
      <c r="J203" s="7" t="inlineStr">
        <is>
          <t>NÃO</t>
        </is>
      </c>
      <c r="K203" s="7" t="inlineStr">
        <is>
          <t>Embalagem Rígida — LAVÁVEL (Obrigatória Tríplice Lavagem ou Pressão)</t>
        </is>
      </c>
      <c r="L203" s="7" t="inlineStr">
        <is>
          <t>NÃO</t>
        </is>
      </c>
      <c r="M203" s="7" t="inlineStr">
        <is>
          <t>0,00% (Lei nº 10.925/2004)</t>
        </is>
      </c>
      <c r="N203" s="7" t="inlineStr">
        <is>
          <t>0,925% (LC nº 224/2025)</t>
        </is>
      </c>
      <c r="O203" s="7" t="inlineStr">
        <is>
          <t>0,365% (LC nº 224/2025)</t>
        </is>
      </c>
      <c r="P203" s="7" t="inlineStr">
        <is>
          <t>CST 06</t>
        </is>
      </c>
      <c r="Q203" s="7" t="inlineStr">
        <is>
          <t>CST 73</t>
        </is>
      </c>
      <c r="R203" s="7" t="inlineStr">
        <is>
          <t>Redução de 60% + Diferimento (Art. 138 e Anexo IX LC 214/2025)</t>
        </is>
      </c>
    </row>
    <row r="204" ht="22" customHeight="1">
      <c r="A204" s="12" t="inlineStr">
        <is>
          <t>SKU-0200</t>
        </is>
      </c>
      <c r="B204" s="11" t="n">
        <v>153</v>
      </c>
      <c r="C204" s="13" t="inlineStr">
        <is>
          <t>SIPEAGRO (UF-XXXXX)</t>
        </is>
      </c>
      <c r="D204" s="14" t="inlineStr">
        <is>
          <t>BIOMAX AZUM</t>
        </is>
      </c>
      <c r="E204" s="13" t="inlineStr">
        <is>
          <t>Embalagem Comercial do Produto</t>
        </is>
      </c>
      <c r="F204" s="13" t="inlineStr">
        <is>
          <t>DOSE BIOLÓGICA (1 DS)</t>
        </is>
      </c>
      <c r="G204" s="13" t="inlineStr">
        <is>
          <t>DS</t>
        </is>
      </c>
      <c r="H204" s="15" t="n">
        <v>1</v>
      </c>
      <c r="I204" s="13" t="inlineStr">
        <is>
          <t>3002.49.99</t>
        </is>
      </c>
      <c r="J204" s="13" t="inlineStr">
        <is>
          <t>NÃO</t>
        </is>
      </c>
      <c r="K204" s="13" t="inlineStr">
        <is>
          <t>Embalagem de Insumo Nutricional/Biológico (Logística Reversa)</t>
        </is>
      </c>
      <c r="L204" s="13" t="inlineStr">
        <is>
          <t>NÃO</t>
        </is>
      </c>
      <c r="M204" s="13" t="inlineStr">
        <is>
          <t>0,00% (Lei nº 10.925/2004)</t>
        </is>
      </c>
      <c r="N204" s="13" t="inlineStr">
        <is>
          <t>0,925% (LC nº 224/2025)</t>
        </is>
      </c>
      <c r="O204" s="13" t="inlineStr">
        <is>
          <t>0,365% (LC nº 224/2025)</t>
        </is>
      </c>
      <c r="P204" s="13" t="inlineStr">
        <is>
          <t>CST 06</t>
        </is>
      </c>
      <c r="Q204" s="13" t="inlineStr">
        <is>
          <t>CST 73</t>
        </is>
      </c>
      <c r="R204" s="13" t="inlineStr">
        <is>
          <t>Redução de 60% + Diferimento (Art. 138 e Anexo IX LC 214/2025)</t>
        </is>
      </c>
    </row>
    <row r="205" ht="22" customHeight="1">
      <c r="A205" s="6" t="inlineStr">
        <is>
          <t>SKU-0201</t>
        </is>
      </c>
      <c r="B205" s="5" t="n">
        <v>153</v>
      </c>
      <c r="C205" s="7" t="inlineStr">
        <is>
          <t>SIPEAGRO (UF-XXXXX)</t>
        </is>
      </c>
      <c r="D205" s="8" t="inlineStr">
        <is>
          <t>BIOMAX AZUM</t>
        </is>
      </c>
      <c r="E205" s="7" t="inlineStr">
        <is>
          <t>Faixa 1 TIPI (Apresentação &lt;= 300 g ou mL)</t>
        </is>
      </c>
      <c r="F205" s="7" t="inlineStr">
        <is>
          <t>Fracionado / Amostra &lt;= 0,3 DS</t>
        </is>
      </c>
      <c r="G205" s="7" t="inlineStr">
        <is>
          <t>DS</t>
        </is>
      </c>
      <c r="H205" s="17" t="n">
        <v>0.3</v>
      </c>
      <c r="I205" s="7" t="inlineStr">
        <is>
          <t>3002.49.99</t>
        </is>
      </c>
      <c r="J205" s="7" t="inlineStr">
        <is>
          <t>NÃO</t>
        </is>
      </c>
      <c r="K205" s="7" t="inlineStr">
        <is>
          <t>Embalagem de Insumo Nutricional/Biológico (Logística Reversa)</t>
        </is>
      </c>
      <c r="L205" s="7" t="inlineStr">
        <is>
          <t>NÃO</t>
        </is>
      </c>
      <c r="M205" s="7" t="inlineStr">
        <is>
          <t>0,00% (Lei nº 10.925/2004)</t>
        </is>
      </c>
      <c r="N205" s="7" t="inlineStr">
        <is>
          <t>0,925% (LC nº 224/2025)</t>
        </is>
      </c>
      <c r="O205" s="7" t="inlineStr">
        <is>
          <t>0,365% (LC nº 224/2025)</t>
        </is>
      </c>
      <c r="P205" s="7" t="inlineStr">
        <is>
          <t>CST 06</t>
        </is>
      </c>
      <c r="Q205" s="7" t="inlineStr">
        <is>
          <t>CST 73</t>
        </is>
      </c>
      <c r="R205" s="7" t="inlineStr">
        <is>
          <t>Redução de 60% + Diferimento (Art. 138 e Anexo IX LC 214/2025)</t>
        </is>
      </c>
    </row>
    <row r="206" ht="22" customHeight="1">
      <c r="A206" s="12" t="inlineStr">
        <is>
          <t>SKU-0202</t>
        </is>
      </c>
      <c r="B206" s="11" t="n">
        <v>154</v>
      </c>
      <c r="C206" s="13" t="inlineStr">
        <is>
          <t>Nº 3307</t>
        </is>
      </c>
      <c r="D206" s="14" t="inlineStr">
        <is>
          <t>BRIGADE 400 EC</t>
        </is>
      </c>
      <c r="E206" s="13" t="inlineStr">
        <is>
          <t>Embalagem Comercial do Produto</t>
        </is>
      </c>
      <c r="F206" s="13" t="inlineStr">
        <is>
          <t>4X5L (5 L)</t>
        </is>
      </c>
      <c r="G206" s="13" t="inlineStr">
        <is>
          <t>L</t>
        </is>
      </c>
      <c r="H206" s="15" t="n">
        <v>5</v>
      </c>
      <c r="I206" s="13" t="inlineStr">
        <is>
          <t>3808.62.90</t>
        </is>
      </c>
      <c r="J206" s="13" t="inlineStr">
        <is>
          <t>SIM</t>
        </is>
      </c>
      <c r="K206" s="13" t="inlineStr">
        <is>
          <t>Embalagem Rígida — LAVÁVEL (Obrigatória Tríplice Lavagem ou Pressão)</t>
        </is>
      </c>
      <c r="L206" s="13" t="inlineStr">
        <is>
          <t>NÃO</t>
        </is>
      </c>
      <c r="M206" s="13" t="inlineStr">
        <is>
          <t>0,00% (Lei nº 10.925/2004)</t>
        </is>
      </c>
      <c r="N206" s="13" t="inlineStr">
        <is>
          <t>0,925% (LC nº 224/2025)</t>
        </is>
      </c>
      <c r="O206" s="13" t="inlineStr">
        <is>
          <t>0,365% (LC nº 224/2025)</t>
        </is>
      </c>
      <c r="P206" s="13" t="inlineStr">
        <is>
          <t>CST 06</t>
        </is>
      </c>
      <c r="Q206" s="13" t="inlineStr">
        <is>
          <t>CST 73</t>
        </is>
      </c>
      <c r="R206" s="13" t="inlineStr">
        <is>
          <t>Redução de 60% + Diferimento (Art. 138 e Anexo IX LC 214/2025)</t>
        </is>
      </c>
    </row>
    <row r="207" ht="22" customHeight="1">
      <c r="A207" s="6" t="inlineStr">
        <is>
          <t>SKU-0203</t>
        </is>
      </c>
      <c r="B207" s="5" t="n">
        <v>154</v>
      </c>
      <c r="C207" s="7" t="inlineStr">
        <is>
          <t>Nº 3307</t>
        </is>
      </c>
      <c r="D207" s="8" t="inlineStr">
        <is>
          <t>BRIGADE 400 EC</t>
        </is>
      </c>
      <c r="E207" s="7" t="inlineStr">
        <is>
          <t>Faixa 1 TIPI (Apresentação &lt;= 300 g ou mL)</t>
        </is>
      </c>
      <c r="F207" s="7" t="inlineStr">
        <is>
          <t>Fracionado / Amostra &lt;= 0,3 L</t>
        </is>
      </c>
      <c r="G207" s="7" t="inlineStr">
        <is>
          <t>L</t>
        </is>
      </c>
      <c r="H207" s="17" t="n">
        <v>0.3</v>
      </c>
      <c r="I207" s="7" t="inlineStr">
        <is>
          <t>3808.61.00</t>
        </is>
      </c>
      <c r="J207" s="7" t="inlineStr">
        <is>
          <t>SIM</t>
        </is>
      </c>
      <c r="K207" s="7" t="inlineStr">
        <is>
          <t>Embalagem Rígida — LAVÁVEL (Obrigatória Tríplice Lavagem ou Pressão)</t>
        </is>
      </c>
      <c r="L207" s="7" t="inlineStr">
        <is>
          <t>NÃO</t>
        </is>
      </c>
      <c r="M207" s="7" t="inlineStr">
        <is>
          <t>0,00% (Lei nº 10.925/2004)</t>
        </is>
      </c>
      <c r="N207" s="7" t="inlineStr">
        <is>
          <t>0,925% (LC nº 224/2025)</t>
        </is>
      </c>
      <c r="O207" s="7" t="inlineStr">
        <is>
          <t>0,365% (LC nº 224/2025)</t>
        </is>
      </c>
      <c r="P207" s="7" t="inlineStr">
        <is>
          <t>CST 06</t>
        </is>
      </c>
      <c r="Q207" s="7" t="inlineStr">
        <is>
          <t>CST 73</t>
        </is>
      </c>
      <c r="R207" s="7" t="inlineStr">
        <is>
          <t>Redução de 60% + Diferimento (Art. 138 e Anexo IX LC 214/2025)</t>
        </is>
      </c>
    </row>
    <row r="208" ht="22" customHeight="1">
      <c r="A208" s="12" t="inlineStr">
        <is>
          <t>SKU-0204</t>
        </is>
      </c>
      <c r="B208" s="11" t="n">
        <v>155</v>
      </c>
      <c r="C208" s="13" t="inlineStr">
        <is>
          <t>SIPEAGRO (UF-XXXXX)</t>
        </is>
      </c>
      <c r="D208" s="14" t="inlineStr">
        <is>
          <t>NITRATO DE MAGNESIO 1000 X</t>
        </is>
      </c>
      <c r="E208" s="13" t="inlineStr">
        <is>
          <t>Embalagem Comercial do Produto</t>
        </is>
      </c>
      <c r="F208" s="13" t="inlineStr">
        <is>
          <t>1000 X 25KG (25 KG)</t>
        </is>
      </c>
      <c r="G208" s="13" t="inlineStr">
        <is>
          <t>KG</t>
        </is>
      </c>
      <c r="H208" s="15" t="n">
        <v>25</v>
      </c>
      <c r="I208" s="13" t="inlineStr">
        <is>
          <t>2834.29.90</t>
        </is>
      </c>
      <c r="J208" s="13" t="inlineStr">
        <is>
          <t>NÃO</t>
        </is>
      </c>
      <c r="K208" s="13" t="inlineStr">
        <is>
          <t>Embalagem de Insumo Nutricional/Biológico (Logística Reversa)</t>
        </is>
      </c>
      <c r="L208" s="13" t="inlineStr">
        <is>
          <t>NÃO</t>
        </is>
      </c>
      <c r="M208" s="13" t="inlineStr">
        <is>
          <t>0,00% (Lei nº 10.925/2004)</t>
        </is>
      </c>
      <c r="N208" s="13" t="inlineStr">
        <is>
          <t>0,925% (LC nº 224/2025)</t>
        </is>
      </c>
      <c r="O208" s="13" t="inlineStr">
        <is>
          <t>0,365% (LC nº 224/2025)</t>
        </is>
      </c>
      <c r="P208" s="13" t="inlineStr">
        <is>
          <t>CST 06 (Uso Agrícola/Industrial)</t>
        </is>
      </c>
      <c r="Q208" s="13" t="inlineStr">
        <is>
          <t>CST 73 (Revenda / Destinação)</t>
        </is>
      </c>
      <c r="R208" s="13" t="inlineStr">
        <is>
          <t>Redução de 60% + Diferimento (Art. 138 LC 214/2025)</t>
        </is>
      </c>
    </row>
    <row r="209" ht="22" customHeight="1">
      <c r="A209" s="6" t="inlineStr">
        <is>
          <t>SKU-0205</t>
        </is>
      </c>
      <c r="B209" s="5" t="n">
        <v>155</v>
      </c>
      <c r="C209" s="7" t="inlineStr">
        <is>
          <t>SIPEAGRO (UF-XXXXX)</t>
        </is>
      </c>
      <c r="D209" s="8" t="inlineStr">
        <is>
          <t>NITRATO DE MAGNESIO 1000 X</t>
        </is>
      </c>
      <c r="E209" s="7" t="inlineStr">
        <is>
          <t>Faixa 1 TIPI (Apresentação &lt;= 300 g ou mL)</t>
        </is>
      </c>
      <c r="F209" s="7" t="inlineStr">
        <is>
          <t>Fracionado / Amostra &lt;= 0,3 KG</t>
        </is>
      </c>
      <c r="G209" s="7" t="inlineStr">
        <is>
          <t>KG</t>
        </is>
      </c>
      <c r="H209" s="17" t="n">
        <v>0.3</v>
      </c>
      <c r="I209" s="7" t="inlineStr">
        <is>
          <t>2833.29.70</t>
        </is>
      </c>
      <c r="J209" s="7" t="inlineStr">
        <is>
          <t>NÃO</t>
        </is>
      </c>
      <c r="K209" s="7" t="inlineStr">
        <is>
          <t>Embalagem de Insumo Nutricional/Biológico (Logística Reversa)</t>
        </is>
      </c>
      <c r="L209" s="7" t="inlineStr">
        <is>
          <t>NÃO</t>
        </is>
      </c>
      <c r="M209" s="7" t="inlineStr">
        <is>
          <t>0,00% (Lei nº 10.925/2004)</t>
        </is>
      </c>
      <c r="N209" s="7" t="inlineStr">
        <is>
          <t>0,925% (LC nº 224/2025)</t>
        </is>
      </c>
      <c r="O209" s="7" t="inlineStr">
        <is>
          <t>0,365% (LC nº 224/2025)</t>
        </is>
      </c>
      <c r="P209" s="7" t="inlineStr">
        <is>
          <t>CST 06 (Uso Agrícola/Industrial)</t>
        </is>
      </c>
      <c r="Q209" s="7" t="inlineStr">
        <is>
          <t>CST 73 (Revenda / Destinação)</t>
        </is>
      </c>
      <c r="R209" s="7" t="inlineStr">
        <is>
          <t>Redução de 60% + Diferimento (Art. 138 LC 214/2025)</t>
        </is>
      </c>
    </row>
    <row r="210" ht="22" customHeight="1">
      <c r="A210" s="12" t="inlineStr">
        <is>
          <t>SKU-0206</t>
        </is>
      </c>
      <c r="B210" s="11" t="n">
        <v>156</v>
      </c>
      <c r="C210" s="13" t="inlineStr">
        <is>
          <t>Nº 36321</t>
        </is>
      </c>
      <c r="D210" s="14" t="inlineStr">
        <is>
          <t>ERRADIK</t>
        </is>
      </c>
      <c r="E210" s="13" t="inlineStr">
        <is>
          <t>Embalagem Comercial do Produto</t>
        </is>
      </c>
      <c r="F210" s="13" t="inlineStr">
        <is>
          <t>4X5L (5 L)</t>
        </is>
      </c>
      <c r="G210" s="13" t="inlineStr">
        <is>
          <t>L</t>
        </is>
      </c>
      <c r="H210" s="15" t="n">
        <v>5</v>
      </c>
      <c r="I210" s="13" t="inlineStr">
        <is>
          <t>3808.92.99</t>
        </is>
      </c>
      <c r="J210" s="13" t="inlineStr">
        <is>
          <t>NÃO</t>
        </is>
      </c>
      <c r="K210" s="13" t="inlineStr">
        <is>
          <t>Embalagem Rígida — LAVÁVEL (Obrigatória Tríplice Lavagem ou Pressão)</t>
        </is>
      </c>
      <c r="L210" s="13" t="inlineStr">
        <is>
          <t>NÃO</t>
        </is>
      </c>
      <c r="M210" s="13" t="inlineStr">
        <is>
          <t>0,00% (Lei nº 10.925/2004)</t>
        </is>
      </c>
      <c r="N210" s="13" t="inlineStr">
        <is>
          <t>0,925% (LC nº 224/2025)</t>
        </is>
      </c>
      <c r="O210" s="13" t="inlineStr">
        <is>
          <t>0,365% (LC nº 224/2025)</t>
        </is>
      </c>
      <c r="P210" s="13" t="inlineStr">
        <is>
          <t>CST 06</t>
        </is>
      </c>
      <c r="Q210" s="13" t="inlineStr">
        <is>
          <t>CST 73</t>
        </is>
      </c>
      <c r="R210" s="13" t="inlineStr">
        <is>
          <t>Redução de 60% + Diferimento (Art. 138 e Anexo IX LC 214/2025)</t>
        </is>
      </c>
    </row>
    <row r="211" ht="22" customHeight="1">
      <c r="A211" s="6" t="inlineStr">
        <is>
          <t>SKU-0207</t>
        </is>
      </c>
      <c r="B211" s="5" t="n">
        <v>157</v>
      </c>
      <c r="C211" s="7" t="inlineStr">
        <is>
          <t>Nº 31618</t>
        </is>
      </c>
      <c r="D211" s="8" t="inlineStr">
        <is>
          <t>ASSARIS</t>
        </is>
      </c>
      <c r="E211" s="7" t="inlineStr">
        <is>
          <t>Embalagem Comercial do Produto</t>
        </is>
      </c>
      <c r="F211" s="7" t="inlineStr">
        <is>
          <t>1X20L (20 L)</t>
        </is>
      </c>
      <c r="G211" s="7" t="inlineStr">
        <is>
          <t>L</t>
        </is>
      </c>
      <c r="H211" s="9" t="n">
        <v>20</v>
      </c>
      <c r="I211" s="7" t="inlineStr">
        <is>
          <t>3808.91.99</t>
        </is>
      </c>
      <c r="J211" s="7" t="inlineStr">
        <is>
          <t>NÃO</t>
        </is>
      </c>
      <c r="K211" s="7" t="inlineStr">
        <is>
          <t>Embalagem Rígida — LAVÁVEL (Obrigatória Tríplice Lavagem ou Pressão)</t>
        </is>
      </c>
      <c r="L211" s="7" t="inlineStr">
        <is>
          <t>NÃO</t>
        </is>
      </c>
      <c r="M211" s="7" t="inlineStr">
        <is>
          <t>0,00% (Lei nº 10.925/2004)</t>
        </is>
      </c>
      <c r="N211" s="7" t="inlineStr">
        <is>
          <t>0,925% (LC nº 224/2025)</t>
        </is>
      </c>
      <c r="O211" s="7" t="inlineStr">
        <is>
          <t>0,365% (LC nº 224/2025)</t>
        </is>
      </c>
      <c r="P211" s="7" t="inlineStr">
        <is>
          <t>CST 06</t>
        </is>
      </c>
      <c r="Q211" s="7" t="inlineStr">
        <is>
          <t>CST 73</t>
        </is>
      </c>
      <c r="R211" s="7" t="inlineStr">
        <is>
          <t>Redução de 60% + Diferimento (Art. 138 e Anexo IX LC 214/2025)</t>
        </is>
      </c>
    </row>
    <row r="212" ht="22" customHeight="1">
      <c r="A212" s="12" t="inlineStr">
        <is>
          <t>SKU-0208</t>
        </is>
      </c>
      <c r="B212" s="11" t="n">
        <v>158</v>
      </c>
      <c r="C212" s="13" t="inlineStr">
        <is>
          <t>Nº 17219</t>
        </is>
      </c>
      <c r="D212" s="14" t="inlineStr">
        <is>
          <t>FLUAZINAM</t>
        </is>
      </c>
      <c r="E212" s="13" t="inlineStr">
        <is>
          <t>Embalagem Comercial do Produto</t>
        </is>
      </c>
      <c r="F212" s="13" t="inlineStr">
        <is>
          <t>4X5L (5 L)</t>
        </is>
      </c>
      <c r="G212" s="13" t="inlineStr">
        <is>
          <t>L</t>
        </is>
      </c>
      <c r="H212" s="15" t="n">
        <v>5</v>
      </c>
      <c r="I212" s="13" t="inlineStr">
        <is>
          <t>3808.92.99</t>
        </is>
      </c>
      <c r="J212" s="13" t="inlineStr">
        <is>
          <t>NÃO</t>
        </is>
      </c>
      <c r="K212" s="13" t="inlineStr">
        <is>
          <t>Embalagem Rígida — LAVÁVEL (Obrigatória Tríplice Lavagem ou Pressão)</t>
        </is>
      </c>
      <c r="L212" s="13" t="inlineStr">
        <is>
          <t>NÃO</t>
        </is>
      </c>
      <c r="M212" s="13" t="inlineStr">
        <is>
          <t>0,00% (Lei nº 10.925/2004)</t>
        </is>
      </c>
      <c r="N212" s="13" t="inlineStr">
        <is>
          <t>0,925% (LC nº 224/2025)</t>
        </is>
      </c>
      <c r="O212" s="13" t="inlineStr">
        <is>
          <t>0,365% (LC nº 224/2025)</t>
        </is>
      </c>
      <c r="P212" s="13" t="inlineStr">
        <is>
          <t>CST 06</t>
        </is>
      </c>
      <c r="Q212" s="13" t="inlineStr">
        <is>
          <t>CST 73</t>
        </is>
      </c>
      <c r="R212" s="13" t="inlineStr">
        <is>
          <t>Redução de 60% + Diferimento (Art. 138 e Anexo IX LC 214/2025)</t>
        </is>
      </c>
    </row>
    <row r="213" ht="22" customHeight="1">
      <c r="A213" s="6" t="inlineStr">
        <is>
          <t>SKU-0209</t>
        </is>
      </c>
      <c r="B213" s="5" t="n">
        <v>159</v>
      </c>
      <c r="C213" s="7" t="inlineStr">
        <is>
          <t>SIPEAGRO (UF-XXXXX)</t>
        </is>
      </c>
      <c r="D213" s="8" t="inlineStr">
        <is>
          <t>D0323.02-B1A (CU-9,0% MN-18,0% K20-1,0%)</t>
        </is>
      </c>
      <c r="E213" s="7" t="inlineStr">
        <is>
          <t>Embalagem Comercial do Produto</t>
        </is>
      </c>
      <c r="F213" s="7" t="inlineStr">
        <is>
          <t>1X20L (20 L)</t>
        </is>
      </c>
      <c r="G213" s="7" t="inlineStr">
        <is>
          <t>L</t>
        </is>
      </c>
      <c r="H213" s="9" t="n">
        <v>20</v>
      </c>
      <c r="I213" s="7" t="inlineStr">
        <is>
          <t>3105.90.90</t>
        </is>
      </c>
      <c r="J213" s="7" t="inlineStr">
        <is>
          <t>NÃO</t>
        </is>
      </c>
      <c r="K213" s="7" t="inlineStr">
        <is>
          <t>Embalagem de Insumo Nutricional/Biológico (Logística Reversa)</t>
        </is>
      </c>
      <c r="L213" s="7" t="inlineStr">
        <is>
          <t>NÃO</t>
        </is>
      </c>
      <c r="M213" s="7" t="inlineStr">
        <is>
          <t>0,00% (Lei nº 10.925/2004)</t>
        </is>
      </c>
      <c r="N213" s="7" t="inlineStr">
        <is>
          <t>0,925% (LC nº 224/2025)</t>
        </is>
      </c>
      <c r="O213" s="7" t="inlineStr">
        <is>
          <t>0,365% (LC nº 224/2025)</t>
        </is>
      </c>
      <c r="P213" s="7" t="inlineStr">
        <is>
          <t>CST 06</t>
        </is>
      </c>
      <c r="Q213" s="7" t="inlineStr">
        <is>
          <t>CST 73</t>
        </is>
      </c>
      <c r="R213" s="7" t="inlineStr">
        <is>
          <t>Redução de 60% + Diferimento (Art. 138 e Anexo IX LC 214/2025)</t>
        </is>
      </c>
    </row>
    <row r="214" ht="22" customHeight="1">
      <c r="A214" s="12" t="inlineStr">
        <is>
          <t>SKU-0210</t>
        </is>
      </c>
      <c r="B214" s="11" t="n">
        <v>159</v>
      </c>
      <c r="C214" s="13" t="inlineStr">
        <is>
          <t>SIPEAGRO (UF-XXXXX)</t>
        </is>
      </c>
      <c r="D214" s="14" t="inlineStr">
        <is>
          <t>D0323.02-B1A (CU-9,0% MN-18,0% K20-1,0%)</t>
        </is>
      </c>
      <c r="E214" s="13" t="inlineStr">
        <is>
          <t>Faixa 1 TIPI (Apresentação &lt;= 300 g ou mL)</t>
        </is>
      </c>
      <c r="F214" s="13" t="inlineStr">
        <is>
          <t>Fracionado / Amostra &lt;= 0,3 L</t>
        </is>
      </c>
      <c r="G214" s="13" t="inlineStr">
        <is>
          <t>L</t>
        </is>
      </c>
      <c r="H214" s="18" t="n">
        <v>0.3</v>
      </c>
      <c r="I214" s="13" t="inlineStr">
        <is>
          <t>3105.90.90</t>
        </is>
      </c>
      <c r="J214" s="13" t="inlineStr">
        <is>
          <t>NÃO</t>
        </is>
      </c>
      <c r="K214" s="13" t="inlineStr">
        <is>
          <t>Embalagem de Insumo Nutricional/Biológico (Logística Reversa)</t>
        </is>
      </c>
      <c r="L214" s="13" t="inlineStr">
        <is>
          <t>NÃO</t>
        </is>
      </c>
      <c r="M214" s="13" t="inlineStr">
        <is>
          <t>0,00% (Lei nº 10.925/2004)</t>
        </is>
      </c>
      <c r="N214" s="13" t="inlineStr">
        <is>
          <t>0,925% (LC nº 224/2025)</t>
        </is>
      </c>
      <c r="O214" s="13" t="inlineStr">
        <is>
          <t>0,365% (LC nº 224/2025)</t>
        </is>
      </c>
      <c r="P214" s="13" t="inlineStr">
        <is>
          <t>CST 06</t>
        </is>
      </c>
      <c r="Q214" s="13" t="inlineStr">
        <is>
          <t>CST 73</t>
        </is>
      </c>
      <c r="R214" s="13" t="inlineStr">
        <is>
          <t>Redução de 60% + Diferimento (Art. 138 e Anexo IX LC 214/2025)</t>
        </is>
      </c>
    </row>
    <row r="215" ht="22" customHeight="1">
      <c r="A215" s="6" t="inlineStr">
        <is>
          <t>SKU-0211</t>
        </is>
      </c>
      <c r="B215" s="5" t="n">
        <v>160</v>
      </c>
      <c r="C215" s="7" t="inlineStr">
        <is>
          <t>SIPEAGRO (UF-XXXXX)</t>
        </is>
      </c>
      <c r="D215" s="8" t="inlineStr">
        <is>
          <t>BIOLOGIC SOY 4X1,8L</t>
        </is>
      </c>
      <c r="E215" s="7" t="inlineStr">
        <is>
          <t>Embalagem Comercial do Produto</t>
        </is>
      </c>
      <c r="F215" s="7" t="inlineStr">
        <is>
          <t>4X1,8L (1.8 L)</t>
        </is>
      </c>
      <c r="G215" s="7" t="inlineStr">
        <is>
          <t>L</t>
        </is>
      </c>
      <c r="H215" s="17" t="n">
        <v>1.8</v>
      </c>
      <c r="I215" s="7" t="inlineStr">
        <is>
          <t>3002.49.99</t>
        </is>
      </c>
      <c r="J215" s="7" t="inlineStr">
        <is>
          <t>NÃO</t>
        </is>
      </c>
      <c r="K215" s="7" t="inlineStr">
        <is>
          <t>Embalagem de Insumo Nutricional/Biológico (Logística Reversa)</t>
        </is>
      </c>
      <c r="L215" s="7" t="inlineStr">
        <is>
          <t>NÃO</t>
        </is>
      </c>
      <c r="M215" s="7" t="inlineStr">
        <is>
          <t>0,00% (Lei nº 10.925/2004)</t>
        </is>
      </c>
      <c r="N215" s="7" t="inlineStr">
        <is>
          <t>0,925% (LC nº 224/2025)</t>
        </is>
      </c>
      <c r="O215" s="7" t="inlineStr">
        <is>
          <t>0,365% (LC nº 224/2025)</t>
        </is>
      </c>
      <c r="P215" s="7" t="inlineStr">
        <is>
          <t>CST 06</t>
        </is>
      </c>
      <c r="Q215" s="7" t="inlineStr">
        <is>
          <t>CST 73</t>
        </is>
      </c>
      <c r="R215" s="7" t="inlineStr">
        <is>
          <t>Redução de 60% + Diferimento (Art. 138 e Anexo IX LC 214/2025)</t>
        </is>
      </c>
    </row>
    <row r="216" ht="22" customHeight="1">
      <c r="A216" s="12" t="inlineStr">
        <is>
          <t>SKU-0212</t>
        </is>
      </c>
      <c r="B216" s="11" t="n">
        <v>160</v>
      </c>
      <c r="C216" s="13" t="inlineStr">
        <is>
          <t>SIPEAGRO (UF-XXXXX)</t>
        </is>
      </c>
      <c r="D216" s="14" t="inlineStr">
        <is>
          <t>BIOLOGIC SOY 4X1,8L</t>
        </is>
      </c>
      <c r="E216" s="13" t="inlineStr">
        <is>
          <t>Faixa 1 TIPI (Apresentação &lt;= 300 g ou mL)</t>
        </is>
      </c>
      <c r="F216" s="13" t="inlineStr">
        <is>
          <t>Fracionado / Amostra &lt;= 0,3 L</t>
        </is>
      </c>
      <c r="G216" s="13" t="inlineStr">
        <is>
          <t>L</t>
        </is>
      </c>
      <c r="H216" s="18" t="n">
        <v>0.3</v>
      </c>
      <c r="I216" s="13" t="inlineStr">
        <is>
          <t>3002.49.99</t>
        </is>
      </c>
      <c r="J216" s="13" t="inlineStr">
        <is>
          <t>NÃO</t>
        </is>
      </c>
      <c r="K216" s="13" t="inlineStr">
        <is>
          <t>Embalagem de Insumo Nutricional/Biológico (Logística Reversa)</t>
        </is>
      </c>
      <c r="L216" s="13" t="inlineStr">
        <is>
          <t>NÃO</t>
        </is>
      </c>
      <c r="M216" s="13" t="inlineStr">
        <is>
          <t>0,00% (Lei nº 10.925/2004)</t>
        </is>
      </c>
      <c r="N216" s="13" t="inlineStr">
        <is>
          <t>0,925% (LC nº 224/2025)</t>
        </is>
      </c>
      <c r="O216" s="13" t="inlineStr">
        <is>
          <t>0,365% (LC nº 224/2025)</t>
        </is>
      </c>
      <c r="P216" s="13" t="inlineStr">
        <is>
          <t>CST 06</t>
        </is>
      </c>
      <c r="Q216" s="13" t="inlineStr">
        <is>
          <t>CST 73</t>
        </is>
      </c>
      <c r="R216" s="13" t="inlineStr">
        <is>
          <t>Redução de 60% + Diferimento (Art. 138 e Anexo IX LC 214/2025)</t>
        </is>
      </c>
    </row>
    <row r="217" ht="22" customHeight="1">
      <c r="A217" s="6" t="inlineStr">
        <is>
          <t>SKU-0213</t>
        </is>
      </c>
      <c r="B217" s="5" t="n">
        <v>161</v>
      </c>
      <c r="C217" s="7" t="inlineStr">
        <is>
          <t>Nº 10816</t>
        </is>
      </c>
      <c r="D217" s="8" t="inlineStr">
        <is>
          <t>MAESTRO FS</t>
        </is>
      </c>
      <c r="E217" s="7" t="inlineStr">
        <is>
          <t>Embalagem Comercial do Produto</t>
        </is>
      </c>
      <c r="F217" s="7" t="inlineStr">
        <is>
          <t>4X5L (5 L)</t>
        </is>
      </c>
      <c r="G217" s="7" t="inlineStr">
        <is>
          <t>L</t>
        </is>
      </c>
      <c r="H217" s="9" t="n">
        <v>5</v>
      </c>
      <c r="I217" s="7" t="inlineStr">
        <is>
          <t>3808.91.99</t>
        </is>
      </c>
      <c r="J217" s="7" t="inlineStr">
        <is>
          <t>NÃO</t>
        </is>
      </c>
      <c r="K217" s="7" t="inlineStr">
        <is>
          <t>Embalagem Rígida — LAVÁVEL (Obrigatória Tríplice Lavagem ou Pressão)</t>
        </is>
      </c>
      <c r="L217" s="7" t="inlineStr">
        <is>
          <t>NÃO</t>
        </is>
      </c>
      <c r="M217" s="7" t="inlineStr">
        <is>
          <t>0,00% (Lei nº 10.925/2004)</t>
        </is>
      </c>
      <c r="N217" s="7" t="inlineStr">
        <is>
          <t>0,925% (LC nº 224/2025)</t>
        </is>
      </c>
      <c r="O217" s="7" t="inlineStr">
        <is>
          <t>0,365% (LC nº 224/2025)</t>
        </is>
      </c>
      <c r="P217" s="7" t="inlineStr">
        <is>
          <t>CST 06</t>
        </is>
      </c>
      <c r="Q217" s="7" t="inlineStr">
        <is>
          <t>CST 73</t>
        </is>
      </c>
      <c r="R217" s="7" t="inlineStr">
        <is>
          <t>Redução de 60% + Diferimento (Art. 138 e Anexo IX LC 214/2025)</t>
        </is>
      </c>
    </row>
    <row r="218" ht="22" customHeight="1">
      <c r="A218" s="12" t="inlineStr">
        <is>
          <t>SKU-0214</t>
        </is>
      </c>
      <c r="B218" s="11" t="n">
        <v>162</v>
      </c>
      <c r="C218" s="13" t="inlineStr">
        <is>
          <t>SIPEAGRO (UF-XXXXX)</t>
        </is>
      </c>
      <c r="D218" s="14" t="inlineStr">
        <is>
          <t>ECOBOR 10 - ULEXITA BAG 1.273 KG (IMP)</t>
        </is>
      </c>
      <c r="E218" s="13" t="inlineStr">
        <is>
          <t>Embalagem Comercial do Produto</t>
        </is>
      </c>
      <c r="F218" s="13" t="inlineStr">
        <is>
          <t>1.273 KG (1273 KG)</t>
        </is>
      </c>
      <c r="G218" s="13" t="inlineStr">
        <is>
          <t>KG</t>
        </is>
      </c>
      <c r="H218" s="18" t="n">
        <v>1.273</v>
      </c>
      <c r="I218" s="13" t="inlineStr">
        <is>
          <t>2528.00.00</t>
        </is>
      </c>
      <c r="J218" s="13" t="inlineStr">
        <is>
          <t>NÃO</t>
        </is>
      </c>
      <c r="K218" s="13" t="inlineStr">
        <is>
          <t>Embalagem de Insumo Nutricional/Biológico (Logística Reversa)</t>
        </is>
      </c>
      <c r="L218" s="13" t="inlineStr">
        <is>
          <t>NÃO</t>
        </is>
      </c>
      <c r="M218" s="13" t="inlineStr">
        <is>
          <t>0,00% (Lei nº 10.925/2004)</t>
        </is>
      </c>
      <c r="N218" s="13" t="inlineStr">
        <is>
          <t>0,925% (LC nº 224/2025)</t>
        </is>
      </c>
      <c r="O218" s="13" t="inlineStr">
        <is>
          <t>0,365% (LC nº 224/2025)</t>
        </is>
      </c>
      <c r="P218" s="13" t="inlineStr">
        <is>
          <t>CST 06 (Uso Agrícola/Industrial)</t>
        </is>
      </c>
      <c r="Q218" s="13" t="inlineStr">
        <is>
          <t>CST 73 (Revenda / Destinação)</t>
        </is>
      </c>
      <c r="R218" s="13" t="inlineStr">
        <is>
          <t>Redução de 60% + Diferimento (Art. 138 LC 214/2025)</t>
        </is>
      </c>
    </row>
    <row r="219" ht="22" customHeight="1">
      <c r="A219" s="6" t="inlineStr">
        <is>
          <t>SKU-0215</t>
        </is>
      </c>
      <c r="B219" s="5" t="n">
        <v>162</v>
      </c>
      <c r="C219" s="7" t="inlineStr">
        <is>
          <t>SIPEAGRO (UF-XXXXX)</t>
        </is>
      </c>
      <c r="D219" s="8" t="inlineStr">
        <is>
          <t>ECOBOR 10 - ULEXITA BAG 1.273 KG (IMP)</t>
        </is>
      </c>
      <c r="E219" s="7" t="inlineStr">
        <is>
          <t>Faixa 1 TIPI (Apresentação &lt;= 300 g ou mL)</t>
        </is>
      </c>
      <c r="F219" s="7" t="inlineStr">
        <is>
          <t>Fracionado / Amostra &lt;= 0,3 KG</t>
        </is>
      </c>
      <c r="G219" s="7" t="inlineStr">
        <is>
          <t>KG</t>
        </is>
      </c>
      <c r="H219" s="17" t="n">
        <v>0.3</v>
      </c>
      <c r="I219" s="7" t="inlineStr">
        <is>
          <t>3105.90.90</t>
        </is>
      </c>
      <c r="J219" s="7" t="inlineStr">
        <is>
          <t>NÃO</t>
        </is>
      </c>
      <c r="K219" s="7" t="inlineStr">
        <is>
          <t>Embalagem de Insumo Nutricional/Biológico (Logística Reversa)</t>
        </is>
      </c>
      <c r="L219" s="7" t="inlineStr">
        <is>
          <t>NÃO</t>
        </is>
      </c>
      <c r="M219" s="7" t="inlineStr">
        <is>
          <t>0,00% (Lei nº 10.925/2004)</t>
        </is>
      </c>
      <c r="N219" s="7" t="inlineStr">
        <is>
          <t>0,925% (LC nº 224/2025)</t>
        </is>
      </c>
      <c r="O219" s="7" t="inlineStr">
        <is>
          <t>0,365% (LC nº 224/2025)</t>
        </is>
      </c>
      <c r="P219" s="7" t="inlineStr">
        <is>
          <t>CST 06 (Uso Agrícola/Industrial)</t>
        </is>
      </c>
      <c r="Q219" s="7" t="inlineStr">
        <is>
          <t>CST 73 (Revenda / Destinação)</t>
        </is>
      </c>
      <c r="R219" s="7" t="inlineStr">
        <is>
          <t>Redução de 60% + Diferimento (Art. 138 LC 214/2025)</t>
        </is>
      </c>
    </row>
    <row r="220" ht="22" customHeight="1">
      <c r="A220" s="12" t="inlineStr">
        <is>
          <t>SKU-0216</t>
        </is>
      </c>
      <c r="B220" s="11" t="n">
        <v>163</v>
      </c>
      <c r="C220" s="13" t="inlineStr">
        <is>
          <t>SIPEAGRO (UF-XXXXX)</t>
        </is>
      </c>
      <c r="D220" s="14" t="inlineStr">
        <is>
          <t>NODOFIX AZP 4X1,8L</t>
        </is>
      </c>
      <c r="E220" s="13" t="inlineStr">
        <is>
          <t>Embalagem Comercial do Produto</t>
        </is>
      </c>
      <c r="F220" s="13" t="inlineStr">
        <is>
          <t>4X1,8L (1.8 L)</t>
        </is>
      </c>
      <c r="G220" s="13" t="inlineStr">
        <is>
          <t>L</t>
        </is>
      </c>
      <c r="H220" s="18" t="n">
        <v>1.8</v>
      </c>
      <c r="I220" s="13" t="inlineStr">
        <is>
          <t>3002.49.99</t>
        </is>
      </c>
      <c r="J220" s="13" t="inlineStr">
        <is>
          <t>NÃO</t>
        </is>
      </c>
      <c r="K220" s="13" t="inlineStr">
        <is>
          <t>Embalagem de Insumo Nutricional/Biológico (Logística Reversa)</t>
        </is>
      </c>
      <c r="L220" s="13" t="inlineStr">
        <is>
          <t>NÃO</t>
        </is>
      </c>
      <c r="M220" s="13" t="inlineStr">
        <is>
          <t>0,00% (Lei nº 10.925/2004)</t>
        </is>
      </c>
      <c r="N220" s="13" t="inlineStr">
        <is>
          <t>0,925% (LC nº 224/2025)</t>
        </is>
      </c>
      <c r="O220" s="13" t="inlineStr">
        <is>
          <t>0,365% (LC nº 224/2025)</t>
        </is>
      </c>
      <c r="P220" s="13" t="inlineStr">
        <is>
          <t>CST 06</t>
        </is>
      </c>
      <c r="Q220" s="13" t="inlineStr">
        <is>
          <t>CST 73</t>
        </is>
      </c>
      <c r="R220" s="13" t="inlineStr">
        <is>
          <t>Redução de 60% + Diferimento (Art. 138 e Anexo IX LC 214/2025)</t>
        </is>
      </c>
    </row>
    <row r="221" ht="22" customHeight="1">
      <c r="A221" s="6" t="inlineStr">
        <is>
          <t>SKU-0217</t>
        </is>
      </c>
      <c r="B221" s="5" t="n">
        <v>163</v>
      </c>
      <c r="C221" s="7" t="inlineStr">
        <is>
          <t>SIPEAGRO (UF-XXXXX)</t>
        </is>
      </c>
      <c r="D221" s="8" t="inlineStr">
        <is>
          <t>NODOFIX AZP 4X1,8L</t>
        </is>
      </c>
      <c r="E221" s="7" t="inlineStr">
        <is>
          <t>Faixa 1 TIPI (Apresentação &lt;= 300 g ou mL)</t>
        </is>
      </c>
      <c r="F221" s="7" t="inlineStr">
        <is>
          <t>Fracionado / Amostra &lt;= 0,3 L</t>
        </is>
      </c>
      <c r="G221" s="7" t="inlineStr">
        <is>
          <t>L</t>
        </is>
      </c>
      <c r="H221" s="17" t="n">
        <v>0.3</v>
      </c>
      <c r="I221" s="7" t="inlineStr">
        <is>
          <t>3002.49.99</t>
        </is>
      </c>
      <c r="J221" s="7" t="inlineStr">
        <is>
          <t>NÃO</t>
        </is>
      </c>
      <c r="K221" s="7" t="inlineStr">
        <is>
          <t>Embalagem de Insumo Nutricional/Biológico (Logística Reversa)</t>
        </is>
      </c>
      <c r="L221" s="7" t="inlineStr">
        <is>
          <t>NÃO</t>
        </is>
      </c>
      <c r="M221" s="7" t="inlineStr">
        <is>
          <t>0,00% (Lei nº 10.925/2004)</t>
        </is>
      </c>
      <c r="N221" s="7" t="inlineStr">
        <is>
          <t>0,925% (LC nº 224/2025)</t>
        </is>
      </c>
      <c r="O221" s="7" t="inlineStr">
        <is>
          <t>0,365% (LC nº 224/2025)</t>
        </is>
      </c>
      <c r="P221" s="7" t="inlineStr">
        <is>
          <t>CST 06</t>
        </is>
      </c>
      <c r="Q221" s="7" t="inlineStr">
        <is>
          <t>CST 73</t>
        </is>
      </c>
      <c r="R221" s="7" t="inlineStr">
        <is>
          <t>Redução de 60% + Diferimento (Art. 138 e Anexo IX LC 214/2025)</t>
        </is>
      </c>
    </row>
    <row r="222" ht="22" customHeight="1">
      <c r="A222" s="12" t="inlineStr">
        <is>
          <t>SKU-0218</t>
        </is>
      </c>
      <c r="B222" s="11" t="n">
        <v>164</v>
      </c>
      <c r="C222" s="13" t="inlineStr">
        <is>
          <t>Nº 3010</t>
        </is>
      </c>
      <c r="D222" s="14" t="inlineStr">
        <is>
          <t>BAZUKA 216 SL</t>
        </is>
      </c>
      <c r="E222" s="13" t="inlineStr">
        <is>
          <t>Embalagem Comercial do Produto</t>
        </is>
      </c>
      <c r="F222" s="13" t="inlineStr">
        <is>
          <t>1X20L (20 L)</t>
        </is>
      </c>
      <c r="G222" s="13" t="inlineStr">
        <is>
          <t>L</t>
        </is>
      </c>
      <c r="H222" s="15" t="n">
        <v>20</v>
      </c>
      <c r="I222" s="13" t="inlineStr">
        <is>
          <t>3808.91.99</t>
        </is>
      </c>
      <c r="J222" s="13" t="inlineStr">
        <is>
          <t>NÃO</t>
        </is>
      </c>
      <c r="K222" s="13" t="inlineStr">
        <is>
          <t>Embalagem Rígida — LAVÁVEL (Obrigatória Tríplice Lavagem ou Pressão)</t>
        </is>
      </c>
      <c r="L222" s="13" t="inlineStr">
        <is>
          <t>NÃO</t>
        </is>
      </c>
      <c r="M222" s="13" t="inlineStr">
        <is>
          <t>0,00% (Lei nº 10.925/2004)</t>
        </is>
      </c>
      <c r="N222" s="13" t="inlineStr">
        <is>
          <t>0,925% (LC nº 224/2025)</t>
        </is>
      </c>
      <c r="O222" s="13" t="inlineStr">
        <is>
          <t>0,365% (LC nº 224/2025)</t>
        </is>
      </c>
      <c r="P222" s="13" t="inlineStr">
        <is>
          <t>CST 06</t>
        </is>
      </c>
      <c r="Q222" s="13" t="inlineStr">
        <is>
          <t>CST 73</t>
        </is>
      </c>
      <c r="R222" s="13" t="inlineStr">
        <is>
          <t>Redução de 60% + Diferimento (Art. 138 e Anexo IX LC 214/2025)</t>
        </is>
      </c>
    </row>
    <row r="223" ht="22" customHeight="1">
      <c r="A223" s="6" t="inlineStr">
        <is>
          <t>SKU-0219</t>
        </is>
      </c>
      <c r="B223" s="5" t="n">
        <v>165</v>
      </c>
      <c r="C223" s="7" t="inlineStr">
        <is>
          <t>Nº 8319</t>
        </is>
      </c>
      <c r="D223" s="8" t="inlineStr">
        <is>
          <t>DIUROM 500</t>
        </is>
      </c>
      <c r="E223" s="7" t="inlineStr">
        <is>
          <t>Embalagem Comercial do Produto</t>
        </is>
      </c>
      <c r="F223" s="7" t="inlineStr">
        <is>
          <t>1X20L (20 L)</t>
        </is>
      </c>
      <c r="G223" s="7" t="inlineStr">
        <is>
          <t>L</t>
        </is>
      </c>
      <c r="H223" s="9" t="n">
        <v>20</v>
      </c>
      <c r="I223" s="7" t="inlineStr">
        <is>
          <t>3808.93.23</t>
        </is>
      </c>
      <c r="J223" s="7" t="inlineStr">
        <is>
          <t>NÃO</t>
        </is>
      </c>
      <c r="K223" s="7" t="inlineStr">
        <is>
          <t>Embalagem Rígida — LAVÁVEL (Obrigatória Tríplice Lavagem ou Pressão)</t>
        </is>
      </c>
      <c r="L223" s="7" t="inlineStr">
        <is>
          <t>NÃO</t>
        </is>
      </c>
      <c r="M223" s="7" t="inlineStr">
        <is>
          <t>0,00% (Lei nº 10.925/2004)</t>
        </is>
      </c>
      <c r="N223" s="7" t="inlineStr">
        <is>
          <t>0,925% (LC nº 224/2025)</t>
        </is>
      </c>
      <c r="O223" s="7" t="inlineStr">
        <is>
          <t>0,365% (LC nº 224/2025)</t>
        </is>
      </c>
      <c r="P223" s="7" t="inlineStr">
        <is>
          <t>CST 06</t>
        </is>
      </c>
      <c r="Q223" s="7" t="inlineStr">
        <is>
          <t>CST 73</t>
        </is>
      </c>
      <c r="R223" s="7" t="inlineStr">
        <is>
          <t>Redução de 60% + Diferimento (Art. 138 e Anexo IX LC 214/2025)</t>
        </is>
      </c>
    </row>
    <row r="224" ht="22" customHeight="1">
      <c r="A224" s="12" t="inlineStr">
        <is>
          <t>SKU-0220</t>
        </is>
      </c>
      <c r="B224" s="11" t="n">
        <v>166</v>
      </c>
      <c r="C224" s="13" t="inlineStr">
        <is>
          <t>Nº 31222</t>
        </is>
      </c>
      <c r="D224" s="14" t="inlineStr">
        <is>
          <t>GLINT FULL</t>
        </is>
      </c>
      <c r="E224" s="13" t="inlineStr">
        <is>
          <t>Embalagem Comercial do Produto</t>
        </is>
      </c>
      <c r="F224" s="13" t="inlineStr">
        <is>
          <t>4X5L (5 L)</t>
        </is>
      </c>
      <c r="G224" s="13" t="inlineStr">
        <is>
          <t>L</t>
        </is>
      </c>
      <c r="H224" s="15" t="n">
        <v>5</v>
      </c>
      <c r="I224" s="13" t="inlineStr">
        <is>
          <t>3808.93.29</t>
        </is>
      </c>
      <c r="J224" s="13" t="inlineStr">
        <is>
          <t>NÃO</t>
        </is>
      </c>
      <c r="K224" s="13" t="inlineStr">
        <is>
          <t>Embalagem Rígida — LAVÁVEL (Obrigatória Tríplice Lavagem ou Pressão)</t>
        </is>
      </c>
      <c r="L224" s="13" t="inlineStr">
        <is>
          <t>NÃO</t>
        </is>
      </c>
      <c r="M224" s="13" t="inlineStr">
        <is>
          <t>0,00% (Lei nº 10.925/2004)</t>
        </is>
      </c>
      <c r="N224" s="13" t="inlineStr">
        <is>
          <t>0,925% (LC nº 224/2025)</t>
        </is>
      </c>
      <c r="O224" s="13" t="inlineStr">
        <is>
          <t>0,365% (LC nº 224/2025)</t>
        </is>
      </c>
      <c r="P224" s="13" t="inlineStr">
        <is>
          <t>CST 06</t>
        </is>
      </c>
      <c r="Q224" s="13" t="inlineStr">
        <is>
          <t>CST 73</t>
        </is>
      </c>
      <c r="R224" s="13" t="inlineStr">
        <is>
          <t>Redução de 60% + Diferimento (Art. 138 e Anexo IX LC 214/2025)</t>
        </is>
      </c>
    </row>
    <row r="225" ht="22" customHeight="1">
      <c r="A225" s="6" t="inlineStr">
        <is>
          <t>SKU-0221</t>
        </is>
      </c>
      <c r="B225" s="5" t="n">
        <v>167</v>
      </c>
      <c r="C225" s="7" t="inlineStr">
        <is>
          <t>Nº 17208</t>
        </is>
      </c>
      <c r="D225" s="8" t="inlineStr">
        <is>
          <t>TRICLON</t>
        </is>
      </c>
      <c r="E225" s="7" t="inlineStr">
        <is>
          <t>Embalagem Comercial do Produto</t>
        </is>
      </c>
      <c r="F225" s="7" t="inlineStr">
        <is>
          <t>1X20L (20 L)</t>
        </is>
      </c>
      <c r="G225" s="7" t="inlineStr">
        <is>
          <t>L</t>
        </is>
      </c>
      <c r="H225" s="9" t="n">
        <v>20</v>
      </c>
      <c r="I225" s="7" t="inlineStr">
        <is>
          <t>3808.93.29</t>
        </is>
      </c>
      <c r="J225" s="7" t="inlineStr">
        <is>
          <t>NÃO</t>
        </is>
      </c>
      <c r="K225" s="7" t="inlineStr">
        <is>
          <t>Embalagem Rígida — LAVÁVEL (Obrigatória Tríplice Lavagem ou Pressão)</t>
        </is>
      </c>
      <c r="L225" s="7" t="inlineStr">
        <is>
          <t>NÃO</t>
        </is>
      </c>
      <c r="M225" s="7" t="inlineStr">
        <is>
          <t>0,00% (Lei nº 10.925/2004)</t>
        </is>
      </c>
      <c r="N225" s="7" t="inlineStr">
        <is>
          <t>0,925% (LC nº 224/2025)</t>
        </is>
      </c>
      <c r="O225" s="7" t="inlineStr">
        <is>
          <t>0,365% (LC nº 224/2025)</t>
        </is>
      </c>
      <c r="P225" s="7" t="inlineStr">
        <is>
          <t>CST 06</t>
        </is>
      </c>
      <c r="Q225" s="7" t="inlineStr">
        <is>
          <t>CST 73</t>
        </is>
      </c>
      <c r="R225" s="7" t="inlineStr">
        <is>
          <t>Redução de 60% + Diferimento (Art. 138 e Anexo IX LC 214/2025)</t>
        </is>
      </c>
    </row>
    <row r="226" ht="22" customHeight="1">
      <c r="A226" s="12" t="inlineStr">
        <is>
          <t>SKU-0222</t>
        </is>
      </c>
      <c r="B226" s="11" t="n">
        <v>168</v>
      </c>
      <c r="C226" s="13" t="inlineStr">
        <is>
          <t>Nº 10416</t>
        </is>
      </c>
      <c r="D226" s="14" t="inlineStr">
        <is>
          <t>ZETHAMAXX</t>
        </is>
      </c>
      <c r="E226" s="13" t="inlineStr">
        <is>
          <t>Embalagem Comercial do Produto</t>
        </is>
      </c>
      <c r="F226" s="13" t="inlineStr">
        <is>
          <t>4X5L (5 L)</t>
        </is>
      </c>
      <c r="G226" s="13" t="inlineStr">
        <is>
          <t>L</t>
        </is>
      </c>
      <c r="H226" s="15" t="n">
        <v>5</v>
      </c>
      <c r="I226" s="13" t="inlineStr">
        <is>
          <t>3808.93.27</t>
        </is>
      </c>
      <c r="J226" s="13" t="inlineStr">
        <is>
          <t>NÃO</t>
        </is>
      </c>
      <c r="K226" s="13" t="inlineStr">
        <is>
          <t>Embalagem Rígida — LAVÁVEL (Obrigatória Tríplice Lavagem ou Pressão)</t>
        </is>
      </c>
      <c r="L226" s="13" t="inlineStr">
        <is>
          <t>NÃO</t>
        </is>
      </c>
      <c r="M226" s="13" t="inlineStr">
        <is>
          <t>0,00% (Lei nº 10.925/2004)</t>
        </is>
      </c>
      <c r="N226" s="13" t="inlineStr">
        <is>
          <t>0,925% (LC nº 224/2025)</t>
        </is>
      </c>
      <c r="O226" s="13" t="inlineStr">
        <is>
          <t>0,365% (LC nº 224/2025)</t>
        </is>
      </c>
      <c r="P226" s="13" t="inlineStr">
        <is>
          <t>CST 06</t>
        </is>
      </c>
      <c r="Q226" s="13" t="inlineStr">
        <is>
          <t>CST 73</t>
        </is>
      </c>
      <c r="R226" s="13" t="inlineStr">
        <is>
          <t>Redução de 60% + Diferimento (Art. 138 e Anexo IX LC 214/2025)</t>
        </is>
      </c>
    </row>
    <row r="227" ht="22" customHeight="1">
      <c r="A227" s="6" t="inlineStr">
        <is>
          <t>SKU-0223</t>
        </is>
      </c>
      <c r="B227" s="5" t="n">
        <v>169</v>
      </c>
      <c r="C227" s="7" t="inlineStr">
        <is>
          <t>SIPEAGRO (UF-XXXXX)</t>
        </is>
      </c>
      <c r="D227" s="8" t="inlineStr">
        <is>
          <t>AZOKOP 15X1,5L</t>
        </is>
      </c>
      <c r="E227" s="7" t="inlineStr">
        <is>
          <t>Embalagem Comercial do Produto</t>
        </is>
      </c>
      <c r="F227" s="7" t="inlineStr">
        <is>
          <t>15X1,5L (1.5 L)</t>
        </is>
      </c>
      <c r="G227" s="7" t="inlineStr">
        <is>
          <t>L</t>
        </is>
      </c>
      <c r="H227" s="17" t="n">
        <v>1.5</v>
      </c>
      <c r="I227" s="7" t="inlineStr">
        <is>
          <t>3002.49.99</t>
        </is>
      </c>
      <c r="J227" s="7" t="inlineStr">
        <is>
          <t>NÃO</t>
        </is>
      </c>
      <c r="K227" s="7" t="inlineStr">
        <is>
          <t>Embalagem de Insumo Nutricional/Biológico (Logística Reversa)</t>
        </is>
      </c>
      <c r="L227" s="7" t="inlineStr">
        <is>
          <t>NÃO</t>
        </is>
      </c>
      <c r="M227" s="7" t="inlineStr">
        <is>
          <t>0,00% (Lei nº 10.925/2004)</t>
        </is>
      </c>
      <c r="N227" s="7" t="inlineStr">
        <is>
          <t>0,925% (LC nº 224/2025)</t>
        </is>
      </c>
      <c r="O227" s="7" t="inlineStr">
        <is>
          <t>0,365% (LC nº 224/2025)</t>
        </is>
      </c>
      <c r="P227" s="7" t="inlineStr">
        <is>
          <t>CST 06</t>
        </is>
      </c>
      <c r="Q227" s="7" t="inlineStr">
        <is>
          <t>CST 73</t>
        </is>
      </c>
      <c r="R227" s="7" t="inlineStr">
        <is>
          <t>Redução de 60% + Diferimento (Art. 138 e Anexo IX LC 214/2025)</t>
        </is>
      </c>
    </row>
    <row r="228" ht="22" customHeight="1">
      <c r="A228" s="12" t="inlineStr">
        <is>
          <t>SKU-0224</t>
        </is>
      </c>
      <c r="B228" s="11" t="n">
        <v>169</v>
      </c>
      <c r="C228" s="13" t="inlineStr">
        <is>
          <t>SIPEAGRO (UF-XXXXX)</t>
        </is>
      </c>
      <c r="D228" s="14" t="inlineStr">
        <is>
          <t>AZOKOP 15X1,5L</t>
        </is>
      </c>
      <c r="E228" s="13" t="inlineStr">
        <is>
          <t>Faixa 1 TIPI (Apresentação &lt;= 300 g ou mL)</t>
        </is>
      </c>
      <c r="F228" s="13" t="inlineStr">
        <is>
          <t>Fracionado / Amostra &lt;= 0,3 L</t>
        </is>
      </c>
      <c r="G228" s="13" t="inlineStr">
        <is>
          <t>L</t>
        </is>
      </c>
      <c r="H228" s="18" t="n">
        <v>0.3</v>
      </c>
      <c r="I228" s="13" t="inlineStr">
        <is>
          <t>3002.49.99</t>
        </is>
      </c>
      <c r="J228" s="13" t="inlineStr">
        <is>
          <t>NÃO</t>
        </is>
      </c>
      <c r="K228" s="13" t="inlineStr">
        <is>
          <t>Embalagem de Insumo Nutricional/Biológico (Logística Reversa)</t>
        </is>
      </c>
      <c r="L228" s="13" t="inlineStr">
        <is>
          <t>NÃO</t>
        </is>
      </c>
      <c r="M228" s="13" t="inlineStr">
        <is>
          <t>0,00% (Lei nº 10.925/2004)</t>
        </is>
      </c>
      <c r="N228" s="13" t="inlineStr">
        <is>
          <t>0,925% (LC nº 224/2025)</t>
        </is>
      </c>
      <c r="O228" s="13" t="inlineStr">
        <is>
          <t>0,365% (LC nº 224/2025)</t>
        </is>
      </c>
      <c r="P228" s="13" t="inlineStr">
        <is>
          <t>CST 06</t>
        </is>
      </c>
      <c r="Q228" s="13" t="inlineStr">
        <is>
          <t>CST 73</t>
        </is>
      </c>
      <c r="R228" s="13" t="inlineStr">
        <is>
          <t>Redução de 60% + Diferimento (Art. 138 e Anexo IX LC 214/2025)</t>
        </is>
      </c>
    </row>
    <row r="229" ht="22" customHeight="1">
      <c r="A229" s="6" t="inlineStr">
        <is>
          <t>SKU-0225</t>
        </is>
      </c>
      <c r="B229" s="5" t="n">
        <v>170</v>
      </c>
      <c r="C229" s="7" t="inlineStr">
        <is>
          <t>Nº 17921</t>
        </is>
      </c>
      <c r="D229" s="8" t="inlineStr">
        <is>
          <t>TIOFANATO METILICO 500</t>
        </is>
      </c>
      <c r="E229" s="7" t="inlineStr">
        <is>
          <t>Embalagem Comercial do Produto</t>
        </is>
      </c>
      <c r="F229" s="7" t="inlineStr">
        <is>
          <t>1X20L (20 L)</t>
        </is>
      </c>
      <c r="G229" s="7" t="inlineStr">
        <is>
          <t>L</t>
        </is>
      </c>
      <c r="H229" s="9" t="n">
        <v>20</v>
      </c>
      <c r="I229" s="7" t="inlineStr">
        <is>
          <t>3808.92.99</t>
        </is>
      </c>
      <c r="J229" s="7" t="inlineStr">
        <is>
          <t>NÃO</t>
        </is>
      </c>
      <c r="K229" s="7" t="inlineStr">
        <is>
          <t>Embalagem Rígida — LAVÁVEL (Obrigatória Tríplice Lavagem ou Pressão)</t>
        </is>
      </c>
      <c r="L229" s="7" t="inlineStr">
        <is>
          <t>NÃO</t>
        </is>
      </c>
      <c r="M229" s="7" t="inlineStr">
        <is>
          <t>0,00% (Lei nº 10.925/2004)</t>
        </is>
      </c>
      <c r="N229" s="7" t="inlineStr">
        <is>
          <t>0,925% (LC nº 224/2025)</t>
        </is>
      </c>
      <c r="O229" s="7" t="inlineStr">
        <is>
          <t>0,365% (LC nº 224/2025)</t>
        </is>
      </c>
      <c r="P229" s="7" t="inlineStr">
        <is>
          <t>CST 06</t>
        </is>
      </c>
      <c r="Q229" s="7" t="inlineStr">
        <is>
          <t>CST 73</t>
        </is>
      </c>
      <c r="R229" s="7" t="inlineStr">
        <is>
          <t>Redução de 60% + Diferimento (Art. 138 e Anexo IX LC 214/2025)</t>
        </is>
      </c>
    </row>
    <row r="230" ht="22" customHeight="1">
      <c r="A230" s="12" t="inlineStr">
        <is>
          <t>SKU-0226</t>
        </is>
      </c>
      <c r="B230" s="11" t="n">
        <v>171</v>
      </c>
      <c r="C230" s="13" t="inlineStr">
        <is>
          <t>Nº 30917</t>
        </is>
      </c>
      <c r="D230" s="14" t="inlineStr">
        <is>
          <t>BIOLOGIC RAZOR</t>
        </is>
      </c>
      <c r="E230" s="13" t="inlineStr">
        <is>
          <t>Embalagem Comercial do Produto</t>
        </is>
      </c>
      <c r="F230" s="13" t="inlineStr">
        <is>
          <t>12X1L (1 L)</t>
        </is>
      </c>
      <c r="G230" s="13" t="inlineStr">
        <is>
          <t>L</t>
        </is>
      </c>
      <c r="H230" s="15" t="n">
        <v>1</v>
      </c>
      <c r="I230" s="13" t="inlineStr">
        <is>
          <t>3808.91.99</t>
        </is>
      </c>
      <c r="J230" s="13" t="inlineStr">
        <is>
          <t>NÃO</t>
        </is>
      </c>
      <c r="K230" s="13" t="inlineStr">
        <is>
          <t>Embalagem Rígida — LAVÁVEL (Obrigatória Tríplice Lavagem ou Pressão)</t>
        </is>
      </c>
      <c r="L230" s="13" t="inlineStr">
        <is>
          <t>NÃO</t>
        </is>
      </c>
      <c r="M230" s="13" t="inlineStr">
        <is>
          <t>0,00% (Lei nº 10.925/2004)</t>
        </is>
      </c>
      <c r="N230" s="13" t="inlineStr">
        <is>
          <t>0,925% (LC nº 224/2025)</t>
        </is>
      </c>
      <c r="O230" s="13" t="inlineStr">
        <is>
          <t>0,365% (LC nº 224/2025)</t>
        </is>
      </c>
      <c r="P230" s="13" t="inlineStr">
        <is>
          <t>CST 06</t>
        </is>
      </c>
      <c r="Q230" s="13" t="inlineStr">
        <is>
          <t>CST 73</t>
        </is>
      </c>
      <c r="R230" s="13" t="inlineStr">
        <is>
          <t>Redução de 60% + Diferimento (Art. 138 e Anexo IX LC 214/2025)</t>
        </is>
      </c>
    </row>
    <row r="231" ht="22" customHeight="1">
      <c r="A231" s="6" t="inlineStr">
        <is>
          <t>SKU-0227</t>
        </is>
      </c>
      <c r="B231" s="5" t="n">
        <v>172</v>
      </c>
      <c r="C231" s="7" t="inlineStr">
        <is>
          <t>SIPEAGRO (UF-XXXXX)</t>
        </is>
      </c>
      <c r="D231" s="8" t="inlineStr">
        <is>
          <t>AGCN MANGANES 100</t>
        </is>
      </c>
      <c r="E231" s="7" t="inlineStr">
        <is>
          <t>Embalagem Comercial do Produto</t>
        </is>
      </c>
      <c r="F231" s="7" t="inlineStr">
        <is>
          <t>1X1000L (1000 L)</t>
        </is>
      </c>
      <c r="G231" s="7" t="inlineStr">
        <is>
          <t>L</t>
        </is>
      </c>
      <c r="H231" s="9" t="n">
        <v>1000</v>
      </c>
      <c r="I231" s="7" t="inlineStr">
        <is>
          <t>3101.00.00</t>
        </is>
      </c>
      <c r="J231" s="7" t="inlineStr">
        <is>
          <t>NÃO</t>
        </is>
      </c>
      <c r="K231" s="7" t="inlineStr">
        <is>
          <t>Embalagem de Insumo Nutricional/Biológico (Logística Reversa)</t>
        </is>
      </c>
      <c r="L231" s="7" t="inlineStr">
        <is>
          <t>NÃO</t>
        </is>
      </c>
      <c r="M231" s="7" t="inlineStr">
        <is>
          <t>0,00% (Lei nº 10.925/2004)</t>
        </is>
      </c>
      <c r="N231" s="7" t="inlineStr">
        <is>
          <t>0,925% (LC nº 224/2025)</t>
        </is>
      </c>
      <c r="O231" s="7" t="inlineStr">
        <is>
          <t>0,365% (LC nº 224/2025)</t>
        </is>
      </c>
      <c r="P231" s="7" t="inlineStr">
        <is>
          <t>CST 06</t>
        </is>
      </c>
      <c r="Q231" s="7" t="inlineStr">
        <is>
          <t>CST 73</t>
        </is>
      </c>
      <c r="R231" s="7" t="inlineStr">
        <is>
          <t>Redução de 60% + Diferimento (Art. 138 e Anexo IX LC 214/2025)</t>
        </is>
      </c>
    </row>
    <row r="232" ht="22" customHeight="1">
      <c r="A232" s="12" t="inlineStr">
        <is>
          <t>SKU-0228</t>
        </is>
      </c>
      <c r="B232" s="11" t="n">
        <v>172</v>
      </c>
      <c r="C232" s="13" t="inlineStr">
        <is>
          <t>SIPEAGRO (UF-XXXXX)</t>
        </is>
      </c>
      <c r="D232" s="14" t="inlineStr">
        <is>
          <t>AGCN MANGANES 100</t>
        </is>
      </c>
      <c r="E232" s="13" t="inlineStr">
        <is>
          <t>Faixa 1 TIPI (Apresentação &lt;= 300 g ou mL)</t>
        </is>
      </c>
      <c r="F232" s="13" t="inlineStr">
        <is>
          <t>Fracionado / Amostra &lt;= 0,3 L</t>
        </is>
      </c>
      <c r="G232" s="13" t="inlineStr">
        <is>
          <t>L</t>
        </is>
      </c>
      <c r="H232" s="18" t="n">
        <v>0.3</v>
      </c>
      <c r="I232" s="13" t="inlineStr">
        <is>
          <t>3105.90.90</t>
        </is>
      </c>
      <c r="J232" s="13" t="inlineStr">
        <is>
          <t>NÃO</t>
        </is>
      </c>
      <c r="K232" s="13" t="inlineStr">
        <is>
          <t>Embalagem de Insumo Nutricional/Biológico (Logística Reversa)</t>
        </is>
      </c>
      <c r="L232" s="13" t="inlineStr">
        <is>
          <t>NÃO</t>
        </is>
      </c>
      <c r="M232" s="13" t="inlineStr">
        <is>
          <t>0,00% (Lei nº 10.925/2004)</t>
        </is>
      </c>
      <c r="N232" s="13" t="inlineStr">
        <is>
          <t>0,925% (LC nº 224/2025)</t>
        </is>
      </c>
      <c r="O232" s="13" t="inlineStr">
        <is>
          <t>0,365% (LC nº 224/2025)</t>
        </is>
      </c>
      <c r="P232" s="13" t="inlineStr">
        <is>
          <t>CST 06</t>
        </is>
      </c>
      <c r="Q232" s="13" t="inlineStr">
        <is>
          <t>CST 73</t>
        </is>
      </c>
      <c r="R232" s="13" t="inlineStr">
        <is>
          <t>Redução de 60% + Diferimento (Art. 138 e Anexo IX LC 214/2025)</t>
        </is>
      </c>
    </row>
    <row r="233" ht="22" customHeight="1">
      <c r="A233" s="6" t="inlineStr">
        <is>
          <t>SKU-0229</t>
        </is>
      </c>
      <c r="B233" s="5" t="n">
        <v>173</v>
      </c>
      <c r="C233" s="7" t="inlineStr">
        <is>
          <t>SIPEAGRO (UF-XXXXX)</t>
        </is>
      </c>
      <c r="D233" s="8" t="inlineStr">
        <is>
          <t>AGCN ENXOFRE 100</t>
        </is>
      </c>
      <c r="E233" s="7" t="inlineStr">
        <is>
          <t>Embalagem Comercial do Produto</t>
        </is>
      </c>
      <c r="F233" s="7" t="inlineStr">
        <is>
          <t>1X1000L (1000 L)</t>
        </is>
      </c>
      <c r="G233" s="7" t="inlineStr">
        <is>
          <t>L</t>
        </is>
      </c>
      <c r="H233" s="9" t="n">
        <v>1000</v>
      </c>
      <c r="I233" s="7" t="inlineStr">
        <is>
          <t>3105.90.90</t>
        </is>
      </c>
      <c r="J233" s="7" t="inlineStr">
        <is>
          <t>NÃO</t>
        </is>
      </c>
      <c r="K233" s="7" t="inlineStr">
        <is>
          <t>Embalagem de Insumo Nutricional/Biológico (Logística Reversa)</t>
        </is>
      </c>
      <c r="L233" s="7" t="inlineStr">
        <is>
          <t>NÃO</t>
        </is>
      </c>
      <c r="M233" s="7" t="inlineStr">
        <is>
          <t>0,00% (Lei nº 10.925/2004)</t>
        </is>
      </c>
      <c r="N233" s="7" t="inlineStr">
        <is>
          <t>0,925% (LC nº 224/2025)</t>
        </is>
      </c>
      <c r="O233" s="7" t="inlineStr">
        <is>
          <t>0,365% (LC nº 224/2025)</t>
        </is>
      </c>
      <c r="P233" s="7" t="inlineStr">
        <is>
          <t>CST 06</t>
        </is>
      </c>
      <c r="Q233" s="7" t="inlineStr">
        <is>
          <t>CST 73</t>
        </is>
      </c>
      <c r="R233" s="7" t="inlineStr">
        <is>
          <t>Redução de 60% + Diferimento (Art. 138 e Anexo IX LC 214/2025)</t>
        </is>
      </c>
    </row>
    <row r="234" ht="22" customHeight="1">
      <c r="A234" s="12" t="inlineStr">
        <is>
          <t>SKU-0230</t>
        </is>
      </c>
      <c r="B234" s="11" t="n">
        <v>173</v>
      </c>
      <c r="C234" s="13" t="inlineStr">
        <is>
          <t>SIPEAGRO (UF-XXXXX)</t>
        </is>
      </c>
      <c r="D234" s="14" t="inlineStr">
        <is>
          <t>AGCN ENXOFRE 100</t>
        </is>
      </c>
      <c r="E234" s="13" t="inlineStr">
        <is>
          <t>Faixa 1 TIPI (Apresentação &lt;= 300 g ou mL)</t>
        </is>
      </c>
      <c r="F234" s="13" t="inlineStr">
        <is>
          <t>Fracionado / Amostra &lt;= 0,3 L</t>
        </is>
      </c>
      <c r="G234" s="13" t="inlineStr">
        <is>
          <t>L</t>
        </is>
      </c>
      <c r="H234" s="18" t="n">
        <v>0.3</v>
      </c>
      <c r="I234" s="13" t="inlineStr">
        <is>
          <t>3105.90.90</t>
        </is>
      </c>
      <c r="J234" s="13" t="inlineStr">
        <is>
          <t>NÃO</t>
        </is>
      </c>
      <c r="K234" s="13" t="inlineStr">
        <is>
          <t>Embalagem de Insumo Nutricional/Biológico (Logística Reversa)</t>
        </is>
      </c>
      <c r="L234" s="13" t="inlineStr">
        <is>
          <t>NÃO</t>
        </is>
      </c>
      <c r="M234" s="13" t="inlineStr">
        <is>
          <t>0,00% (Lei nº 10.925/2004)</t>
        </is>
      </c>
      <c r="N234" s="13" t="inlineStr">
        <is>
          <t>0,925% (LC nº 224/2025)</t>
        </is>
      </c>
      <c r="O234" s="13" t="inlineStr">
        <is>
          <t>0,365% (LC nº 224/2025)</t>
        </is>
      </c>
      <c r="P234" s="13" t="inlineStr">
        <is>
          <t>CST 06</t>
        </is>
      </c>
      <c r="Q234" s="13" t="inlineStr">
        <is>
          <t>CST 73</t>
        </is>
      </c>
      <c r="R234" s="13" t="inlineStr">
        <is>
          <t>Redução de 60% + Diferimento (Art. 138 e Anexo IX LC 214/2025)</t>
        </is>
      </c>
    </row>
    <row r="235" ht="22" customHeight="1">
      <c r="A235" s="6" t="inlineStr">
        <is>
          <t>SKU-0231</t>
        </is>
      </c>
      <c r="B235" s="5" t="n">
        <v>174</v>
      </c>
      <c r="C235" s="7" t="inlineStr">
        <is>
          <t>SIPEAGRO (UF-XXXXX)</t>
        </is>
      </c>
      <c r="D235" s="8" t="inlineStr">
        <is>
          <t>AGCN FULL 100</t>
        </is>
      </c>
      <c r="E235" s="7" t="inlineStr">
        <is>
          <t>Embalagem Comercial do Produto</t>
        </is>
      </c>
      <c r="F235" s="7" t="inlineStr">
        <is>
          <t>1X1000L (1000 L)</t>
        </is>
      </c>
      <c r="G235" s="7" t="inlineStr">
        <is>
          <t>L</t>
        </is>
      </c>
      <c r="H235" s="9" t="n">
        <v>1000</v>
      </c>
      <c r="I235" s="7" t="inlineStr">
        <is>
          <t>3105.90.11</t>
        </is>
      </c>
      <c r="J235" s="7" t="inlineStr">
        <is>
          <t>NÃO</t>
        </is>
      </c>
      <c r="K235" s="7" t="inlineStr">
        <is>
          <t>Embalagem de Insumo Nutricional/Biológico (Logística Reversa)</t>
        </is>
      </c>
      <c r="L235" s="7" t="inlineStr">
        <is>
          <t>NÃO</t>
        </is>
      </c>
      <c r="M235" s="7" t="inlineStr">
        <is>
          <t>0,00% (Lei nº 10.925/2004)</t>
        </is>
      </c>
      <c r="N235" s="7" t="inlineStr">
        <is>
          <t>0,925% (LC nº 224/2025)</t>
        </is>
      </c>
      <c r="O235" s="7" t="inlineStr">
        <is>
          <t>0,365% (LC nº 224/2025)</t>
        </is>
      </c>
      <c r="P235" s="7" t="inlineStr">
        <is>
          <t>CST 06</t>
        </is>
      </c>
      <c r="Q235" s="7" t="inlineStr">
        <is>
          <t>CST 73</t>
        </is>
      </c>
      <c r="R235" s="7" t="inlineStr">
        <is>
          <t>Redução de 60% + Diferimento (Art. 138 e Anexo IX LC 214/2025)</t>
        </is>
      </c>
    </row>
    <row r="236" ht="22" customHeight="1">
      <c r="A236" s="12" t="inlineStr">
        <is>
          <t>SKU-0232</t>
        </is>
      </c>
      <c r="B236" s="11" t="n">
        <v>174</v>
      </c>
      <c r="C236" s="13" t="inlineStr">
        <is>
          <t>SIPEAGRO (UF-XXXXX)</t>
        </is>
      </c>
      <c r="D236" s="14" t="inlineStr">
        <is>
          <t>AGCN FULL 100</t>
        </is>
      </c>
      <c r="E236" s="13" t="inlineStr">
        <is>
          <t>Faixa 1 TIPI (Apresentação &lt;= 300 g ou mL)</t>
        </is>
      </c>
      <c r="F236" s="13" t="inlineStr">
        <is>
          <t>Fracionado / Amostra &lt;= 0,3 L</t>
        </is>
      </c>
      <c r="G236" s="13" t="inlineStr">
        <is>
          <t>L</t>
        </is>
      </c>
      <c r="H236" s="18" t="n">
        <v>0.3</v>
      </c>
      <c r="I236" s="13" t="inlineStr">
        <is>
          <t>3105.90.90</t>
        </is>
      </c>
      <c r="J236" s="13" t="inlineStr">
        <is>
          <t>NÃO</t>
        </is>
      </c>
      <c r="K236" s="13" t="inlineStr">
        <is>
          <t>Embalagem de Insumo Nutricional/Biológico (Logística Reversa)</t>
        </is>
      </c>
      <c r="L236" s="13" t="inlineStr">
        <is>
          <t>NÃO</t>
        </is>
      </c>
      <c r="M236" s="13" t="inlineStr">
        <is>
          <t>0,00% (Lei nº 10.925/2004)</t>
        </is>
      </c>
      <c r="N236" s="13" t="inlineStr">
        <is>
          <t>0,925% (LC nº 224/2025)</t>
        </is>
      </c>
      <c r="O236" s="13" t="inlineStr">
        <is>
          <t>0,365% (LC nº 224/2025)</t>
        </is>
      </c>
      <c r="P236" s="13" t="inlineStr">
        <is>
          <t>CST 06</t>
        </is>
      </c>
      <c r="Q236" s="13" t="inlineStr">
        <is>
          <t>CST 73</t>
        </is>
      </c>
      <c r="R236" s="13" t="inlineStr">
        <is>
          <t>Redução de 60% + Diferimento (Art. 138 e Anexo IX LC 214/2025)</t>
        </is>
      </c>
    </row>
    <row r="237" ht="22" customHeight="1">
      <c r="A237" s="6" t="inlineStr">
        <is>
          <t>SKU-0233</t>
        </is>
      </c>
      <c r="B237" s="5" t="n">
        <v>175</v>
      </c>
      <c r="C237" s="7" t="inlineStr">
        <is>
          <t>SIPEAGRO (UF-XXXXX)</t>
        </is>
      </c>
      <c r="D237" s="8" t="inlineStr">
        <is>
          <t>AGCN MN</t>
        </is>
      </c>
      <c r="E237" s="7" t="inlineStr">
        <is>
          <t>Embalagem Comercial do Produto</t>
        </is>
      </c>
      <c r="F237" s="7" t="inlineStr">
        <is>
          <t>1X20L (20 L)</t>
        </is>
      </c>
      <c r="G237" s="7" t="inlineStr">
        <is>
          <t>L</t>
        </is>
      </c>
      <c r="H237" s="9" t="n">
        <v>20</v>
      </c>
      <c r="I237" s="7" t="inlineStr">
        <is>
          <t>3105.90.90</t>
        </is>
      </c>
      <c r="J237" s="7" t="inlineStr">
        <is>
          <t>NÃO</t>
        </is>
      </c>
      <c r="K237" s="7" t="inlineStr">
        <is>
          <t>Embalagem de Insumo Nutricional/Biológico (Logística Reversa)</t>
        </is>
      </c>
      <c r="L237" s="7" t="inlineStr">
        <is>
          <t>NÃO</t>
        </is>
      </c>
      <c r="M237" s="7" t="inlineStr">
        <is>
          <t>0,00% (Lei nº 10.925/2004)</t>
        </is>
      </c>
      <c r="N237" s="7" t="inlineStr">
        <is>
          <t>0,925% (LC nº 224/2025)</t>
        </is>
      </c>
      <c r="O237" s="7" t="inlineStr">
        <is>
          <t>0,365% (LC nº 224/2025)</t>
        </is>
      </c>
      <c r="P237" s="7" t="inlineStr">
        <is>
          <t>CST 06</t>
        </is>
      </c>
      <c r="Q237" s="7" t="inlineStr">
        <is>
          <t>CST 73</t>
        </is>
      </c>
      <c r="R237" s="7" t="inlineStr">
        <is>
          <t>Redução de 60% + Diferimento (Art. 138 e Anexo IX LC 214/2025)</t>
        </is>
      </c>
    </row>
    <row r="238" ht="22" customHeight="1">
      <c r="A238" s="12" t="inlineStr">
        <is>
          <t>SKU-0234</t>
        </is>
      </c>
      <c r="B238" s="11" t="n">
        <v>175</v>
      </c>
      <c r="C238" s="13" t="inlineStr">
        <is>
          <t>SIPEAGRO (UF-XXXXX)</t>
        </is>
      </c>
      <c r="D238" s="14" t="inlineStr">
        <is>
          <t>AGCN MN</t>
        </is>
      </c>
      <c r="E238" s="13" t="inlineStr">
        <is>
          <t>Faixa 1 TIPI (Apresentação &lt;= 300 g ou mL)</t>
        </is>
      </c>
      <c r="F238" s="13" t="inlineStr">
        <is>
          <t>Fracionado / Amostra &lt;= 0,3 L</t>
        </is>
      </c>
      <c r="G238" s="13" t="inlineStr">
        <is>
          <t>L</t>
        </is>
      </c>
      <c r="H238" s="18" t="n">
        <v>0.3</v>
      </c>
      <c r="I238" s="13" t="inlineStr">
        <is>
          <t>3105.90.90</t>
        </is>
      </c>
      <c r="J238" s="13" t="inlineStr">
        <is>
          <t>NÃO</t>
        </is>
      </c>
      <c r="K238" s="13" t="inlineStr">
        <is>
          <t>Embalagem de Insumo Nutricional/Biológico (Logística Reversa)</t>
        </is>
      </c>
      <c r="L238" s="13" t="inlineStr">
        <is>
          <t>NÃO</t>
        </is>
      </c>
      <c r="M238" s="13" t="inlineStr">
        <is>
          <t>0,00% (Lei nº 10.925/2004)</t>
        </is>
      </c>
      <c r="N238" s="13" t="inlineStr">
        <is>
          <t>0,925% (LC nº 224/2025)</t>
        </is>
      </c>
      <c r="O238" s="13" t="inlineStr">
        <is>
          <t>0,365% (LC nº 224/2025)</t>
        </is>
      </c>
      <c r="P238" s="13" t="inlineStr">
        <is>
          <t>CST 06</t>
        </is>
      </c>
      <c r="Q238" s="13" t="inlineStr">
        <is>
          <t>CST 73</t>
        </is>
      </c>
      <c r="R238" s="13" t="inlineStr">
        <is>
          <t>Redução de 60% + Diferimento (Art. 138 e Anexo IX LC 214/2025)</t>
        </is>
      </c>
    </row>
    <row r="239" ht="22" customHeight="1">
      <c r="A239" s="6" t="inlineStr">
        <is>
          <t>SKU-0235</t>
        </is>
      </c>
      <c r="B239" s="5" t="n">
        <v>176</v>
      </c>
      <c r="C239" s="7" t="inlineStr">
        <is>
          <t>SIPEAGRO (UF-XXXXX)</t>
        </is>
      </c>
      <c r="D239" s="8" t="inlineStr">
        <is>
          <t>AGCN MN ULTRA 100</t>
        </is>
      </c>
      <c r="E239" s="7" t="inlineStr">
        <is>
          <t>Embalagem Comercial do Produto</t>
        </is>
      </c>
      <c r="F239" s="7" t="inlineStr">
        <is>
          <t>1X1000L (1000 L)</t>
        </is>
      </c>
      <c r="G239" s="7" t="inlineStr">
        <is>
          <t>L</t>
        </is>
      </c>
      <c r="H239" s="9" t="n">
        <v>1000</v>
      </c>
      <c r="I239" s="7" t="inlineStr">
        <is>
          <t>3101.00.00</t>
        </is>
      </c>
      <c r="J239" s="7" t="inlineStr">
        <is>
          <t>NÃO</t>
        </is>
      </c>
      <c r="K239" s="7" t="inlineStr">
        <is>
          <t>Embalagem de Insumo Nutricional/Biológico (Logística Reversa)</t>
        </is>
      </c>
      <c r="L239" s="7" t="inlineStr">
        <is>
          <t>NÃO</t>
        </is>
      </c>
      <c r="M239" s="7" t="inlineStr">
        <is>
          <t>0,00% (Lei nº 10.925/2004)</t>
        </is>
      </c>
      <c r="N239" s="7" t="inlineStr">
        <is>
          <t>0,925% (LC nº 224/2025)</t>
        </is>
      </c>
      <c r="O239" s="7" t="inlineStr">
        <is>
          <t>0,365% (LC nº 224/2025)</t>
        </is>
      </c>
      <c r="P239" s="7" t="inlineStr">
        <is>
          <t>CST 06</t>
        </is>
      </c>
      <c r="Q239" s="7" t="inlineStr">
        <is>
          <t>CST 73</t>
        </is>
      </c>
      <c r="R239" s="7" t="inlineStr">
        <is>
          <t>Redução de 60% + Diferimento (Art. 138 e Anexo IX LC 214/2025)</t>
        </is>
      </c>
    </row>
    <row r="240" ht="22" customHeight="1">
      <c r="A240" s="12" t="inlineStr">
        <is>
          <t>SKU-0236</t>
        </is>
      </c>
      <c r="B240" s="11" t="n">
        <v>176</v>
      </c>
      <c r="C240" s="13" t="inlineStr">
        <is>
          <t>SIPEAGRO (UF-XXXXX)</t>
        </is>
      </c>
      <c r="D240" s="14" t="inlineStr">
        <is>
          <t>AGCN MN ULTRA 100</t>
        </is>
      </c>
      <c r="E240" s="13" t="inlineStr">
        <is>
          <t>Faixa 1 TIPI (Apresentação &lt;= 300 g ou mL)</t>
        </is>
      </c>
      <c r="F240" s="13" t="inlineStr">
        <is>
          <t>Fracionado / Amostra &lt;= 0,3 L</t>
        </is>
      </c>
      <c r="G240" s="13" t="inlineStr">
        <is>
          <t>L</t>
        </is>
      </c>
      <c r="H240" s="18" t="n">
        <v>0.3</v>
      </c>
      <c r="I240" s="13" t="inlineStr">
        <is>
          <t>3105.90.90</t>
        </is>
      </c>
      <c r="J240" s="13" t="inlineStr">
        <is>
          <t>NÃO</t>
        </is>
      </c>
      <c r="K240" s="13" t="inlineStr">
        <is>
          <t>Embalagem de Insumo Nutricional/Biológico (Logística Reversa)</t>
        </is>
      </c>
      <c r="L240" s="13" t="inlineStr">
        <is>
          <t>NÃO</t>
        </is>
      </c>
      <c r="M240" s="13" t="inlineStr">
        <is>
          <t>0,00% (Lei nº 10.925/2004)</t>
        </is>
      </c>
      <c r="N240" s="13" t="inlineStr">
        <is>
          <t>0,925% (LC nº 224/2025)</t>
        </is>
      </c>
      <c r="O240" s="13" t="inlineStr">
        <is>
          <t>0,365% (LC nº 224/2025)</t>
        </is>
      </c>
      <c r="P240" s="13" t="inlineStr">
        <is>
          <t>CST 06</t>
        </is>
      </c>
      <c r="Q240" s="13" t="inlineStr">
        <is>
          <t>CST 73</t>
        </is>
      </c>
      <c r="R240" s="13" t="inlineStr">
        <is>
          <t>Redução de 60% + Diferimento (Art. 138 e Anexo IX LC 214/2025)</t>
        </is>
      </c>
    </row>
    <row r="241" ht="22" customHeight="1">
      <c r="A241" s="6" t="inlineStr">
        <is>
          <t>SKU-0237</t>
        </is>
      </c>
      <c r="B241" s="5" t="n">
        <v>177</v>
      </c>
      <c r="C241" s="7" t="inlineStr">
        <is>
          <t>SIPEAGRO (UF-XXXXX)</t>
        </is>
      </c>
      <c r="D241" s="8" t="inlineStr">
        <is>
          <t>AGCN MN+</t>
        </is>
      </c>
      <c r="E241" s="7" t="inlineStr">
        <is>
          <t>Embalagem Comercial do Produto</t>
        </is>
      </c>
      <c r="F241" s="7" t="inlineStr">
        <is>
          <t>1X20L (20 L)</t>
        </is>
      </c>
      <c r="G241" s="7" t="inlineStr">
        <is>
          <t>L</t>
        </is>
      </c>
      <c r="H241" s="9" t="n">
        <v>20</v>
      </c>
      <c r="I241" s="7" t="inlineStr">
        <is>
          <t>3105.90.90</t>
        </is>
      </c>
      <c r="J241" s="7" t="inlineStr">
        <is>
          <t>NÃO</t>
        </is>
      </c>
      <c r="K241" s="7" t="inlineStr">
        <is>
          <t>Embalagem de Insumo Nutricional/Biológico (Logística Reversa)</t>
        </is>
      </c>
      <c r="L241" s="7" t="inlineStr">
        <is>
          <t>NÃO</t>
        </is>
      </c>
      <c r="M241" s="7" t="inlineStr">
        <is>
          <t>0,00% (Lei nº 10.925/2004)</t>
        </is>
      </c>
      <c r="N241" s="7" t="inlineStr">
        <is>
          <t>0,925% (LC nº 224/2025)</t>
        </is>
      </c>
      <c r="O241" s="7" t="inlineStr">
        <is>
          <t>0,365% (LC nº 224/2025)</t>
        </is>
      </c>
      <c r="P241" s="7" t="inlineStr">
        <is>
          <t>CST 06</t>
        </is>
      </c>
      <c r="Q241" s="7" t="inlineStr">
        <is>
          <t>CST 73</t>
        </is>
      </c>
      <c r="R241" s="7" t="inlineStr">
        <is>
          <t>Redução de 60% + Diferimento (Art. 138 e Anexo IX LC 214/2025)</t>
        </is>
      </c>
    </row>
    <row r="242" ht="22" customHeight="1">
      <c r="A242" s="12" t="inlineStr">
        <is>
          <t>SKU-0238</t>
        </is>
      </c>
      <c r="B242" s="11" t="n">
        <v>177</v>
      </c>
      <c r="C242" s="13" t="inlineStr">
        <is>
          <t>SIPEAGRO (UF-XXXXX)</t>
        </is>
      </c>
      <c r="D242" s="14" t="inlineStr">
        <is>
          <t>AGCN MN+</t>
        </is>
      </c>
      <c r="E242" s="13" t="inlineStr">
        <is>
          <t>Faixa 1 TIPI (Apresentação &lt;= 300 g ou mL)</t>
        </is>
      </c>
      <c r="F242" s="13" t="inlineStr">
        <is>
          <t>Fracionado / Amostra &lt;= 0,3 L</t>
        </is>
      </c>
      <c r="G242" s="13" t="inlineStr">
        <is>
          <t>L</t>
        </is>
      </c>
      <c r="H242" s="18" t="n">
        <v>0.3</v>
      </c>
      <c r="I242" s="13" t="inlineStr">
        <is>
          <t>3105.90.90</t>
        </is>
      </c>
      <c r="J242" s="13" t="inlineStr">
        <is>
          <t>NÃO</t>
        </is>
      </c>
      <c r="K242" s="13" t="inlineStr">
        <is>
          <t>Embalagem de Insumo Nutricional/Biológico (Logística Reversa)</t>
        </is>
      </c>
      <c r="L242" s="13" t="inlineStr">
        <is>
          <t>NÃO</t>
        </is>
      </c>
      <c r="M242" s="13" t="inlineStr">
        <is>
          <t>0,00% (Lei nº 10.925/2004)</t>
        </is>
      </c>
      <c r="N242" s="13" t="inlineStr">
        <is>
          <t>0,925% (LC nº 224/2025)</t>
        </is>
      </c>
      <c r="O242" s="13" t="inlineStr">
        <is>
          <t>0,365% (LC nº 224/2025)</t>
        </is>
      </c>
      <c r="P242" s="13" t="inlineStr">
        <is>
          <t>CST 06</t>
        </is>
      </c>
      <c r="Q242" s="13" t="inlineStr">
        <is>
          <t>CST 73</t>
        </is>
      </c>
      <c r="R242" s="13" t="inlineStr">
        <is>
          <t>Redução de 60% + Diferimento (Art. 138 e Anexo IX LC 214/2025)</t>
        </is>
      </c>
    </row>
    <row r="243" ht="22" customHeight="1">
      <c r="A243" s="6" t="inlineStr">
        <is>
          <t>SKU-0239</t>
        </is>
      </c>
      <c r="B243" s="5" t="n">
        <v>178</v>
      </c>
      <c r="C243" s="7" t="inlineStr">
        <is>
          <t>SIPEAGRO (UF-XXXXX)</t>
        </is>
      </c>
      <c r="D243" s="8" t="inlineStr">
        <is>
          <t>AGCN NITROGEN 30% 100</t>
        </is>
      </c>
      <c r="E243" s="7" t="inlineStr">
        <is>
          <t>Embalagem Comercial do Produto</t>
        </is>
      </c>
      <c r="F243" s="7" t="inlineStr">
        <is>
          <t>1X1000L (1000 L)</t>
        </is>
      </c>
      <c r="G243" s="7" t="inlineStr">
        <is>
          <t>L</t>
        </is>
      </c>
      <c r="H243" s="9" t="n">
        <v>1000</v>
      </c>
      <c r="I243" s="7" t="inlineStr">
        <is>
          <t>3102.80.00</t>
        </is>
      </c>
      <c r="J243" s="7" t="inlineStr">
        <is>
          <t>NÃO</t>
        </is>
      </c>
      <c r="K243" s="7" t="inlineStr">
        <is>
          <t>Embalagem de Insumo Nutricional/Biológico (Logística Reversa)</t>
        </is>
      </c>
      <c r="L243" s="7" t="inlineStr">
        <is>
          <t>NÃO</t>
        </is>
      </c>
      <c r="M243" s="7" t="inlineStr">
        <is>
          <t>0,00% (Lei nº 10.925/2004)</t>
        </is>
      </c>
      <c r="N243" s="7" t="inlineStr">
        <is>
          <t>0,925% (LC nº 224/2025)</t>
        </is>
      </c>
      <c r="O243" s="7" t="inlineStr">
        <is>
          <t>0,365% (LC nº 224/2025)</t>
        </is>
      </c>
      <c r="P243" s="7" t="inlineStr">
        <is>
          <t>CST 06</t>
        </is>
      </c>
      <c r="Q243" s="7" t="inlineStr">
        <is>
          <t>CST 73</t>
        </is>
      </c>
      <c r="R243" s="7" t="inlineStr">
        <is>
          <t>Redução de 60% + Diferimento (Art. 138 e Anexo IX LC 214/2025)</t>
        </is>
      </c>
    </row>
    <row r="244" ht="22" customHeight="1">
      <c r="A244" s="12" t="inlineStr">
        <is>
          <t>SKU-0240</t>
        </is>
      </c>
      <c r="B244" s="11" t="n">
        <v>178</v>
      </c>
      <c r="C244" s="13" t="inlineStr">
        <is>
          <t>SIPEAGRO (UF-XXXXX)</t>
        </is>
      </c>
      <c r="D244" s="14" t="inlineStr">
        <is>
          <t>AGCN NITROGEN 30% 100</t>
        </is>
      </c>
      <c r="E244" s="13" t="inlineStr">
        <is>
          <t>Faixa 1 TIPI (Apresentação &lt;= 300 g ou mL)</t>
        </is>
      </c>
      <c r="F244" s="13" t="inlineStr">
        <is>
          <t>Fracionado / Amostra &lt;= 0,3 L</t>
        </is>
      </c>
      <c r="G244" s="13" t="inlineStr">
        <is>
          <t>L</t>
        </is>
      </c>
      <c r="H244" s="18" t="n">
        <v>0.3</v>
      </c>
      <c r="I244" s="13" t="inlineStr">
        <is>
          <t>3105.90.90</t>
        </is>
      </c>
      <c r="J244" s="13" t="inlineStr">
        <is>
          <t>NÃO</t>
        </is>
      </c>
      <c r="K244" s="13" t="inlineStr">
        <is>
          <t>Embalagem de Insumo Nutricional/Biológico (Logística Reversa)</t>
        </is>
      </c>
      <c r="L244" s="13" t="inlineStr">
        <is>
          <t>NÃO</t>
        </is>
      </c>
      <c r="M244" s="13" t="inlineStr">
        <is>
          <t>0,00% (Lei nº 10.925/2004)</t>
        </is>
      </c>
      <c r="N244" s="13" t="inlineStr">
        <is>
          <t>0,925% (LC nº 224/2025)</t>
        </is>
      </c>
      <c r="O244" s="13" t="inlineStr">
        <is>
          <t>0,365% (LC nº 224/2025)</t>
        </is>
      </c>
      <c r="P244" s="13" t="inlineStr">
        <is>
          <t>CST 06</t>
        </is>
      </c>
      <c r="Q244" s="13" t="inlineStr">
        <is>
          <t>CST 73</t>
        </is>
      </c>
      <c r="R244" s="13" t="inlineStr">
        <is>
          <t>Redução de 60% + Diferimento (Art. 138 e Anexo IX LC 214/2025)</t>
        </is>
      </c>
    </row>
    <row r="245" ht="22" customHeight="1">
      <c r="A245" s="6" t="inlineStr">
        <is>
          <t>SKU-0241</t>
        </is>
      </c>
      <c r="B245" s="5" t="n">
        <v>179</v>
      </c>
      <c r="C245" s="7" t="inlineStr">
        <is>
          <t>SIPEAGRO (UF-XXXXX)</t>
        </is>
      </c>
      <c r="D245" s="8" t="inlineStr">
        <is>
          <t>BIOLOGIC NEMA</t>
        </is>
      </c>
      <c r="E245" s="7" t="inlineStr">
        <is>
          <t>Embalagem Comercial do Produto</t>
        </is>
      </c>
      <c r="F245" s="7" t="inlineStr">
        <is>
          <t>4X5L (5 L)</t>
        </is>
      </c>
      <c r="G245" s="7" t="inlineStr">
        <is>
          <t>L</t>
        </is>
      </c>
      <c r="H245" s="9" t="n">
        <v>5</v>
      </c>
      <c r="I245" s="7" t="inlineStr">
        <is>
          <t>3808.99.95</t>
        </is>
      </c>
      <c r="J245" s="7" t="inlineStr">
        <is>
          <t>NÃO</t>
        </is>
      </c>
      <c r="K245" s="7" t="inlineStr">
        <is>
          <t>Embalagem Rígida — LAVÁVEL (Obrigatória Tríplice Lavagem ou Pressão)</t>
        </is>
      </c>
      <c r="L245" s="7" t="inlineStr">
        <is>
          <t>NÃO</t>
        </is>
      </c>
      <c r="M245" s="7" t="inlineStr">
        <is>
          <t>0,00% (Lei nº 10.925/2004)</t>
        </is>
      </c>
      <c r="N245" s="7" t="inlineStr">
        <is>
          <t>0,925% (LC nº 224/2025)</t>
        </is>
      </c>
      <c r="O245" s="7" t="inlineStr">
        <is>
          <t>0,365% (LC nº 224/2025)</t>
        </is>
      </c>
      <c r="P245" s="7" t="inlineStr">
        <is>
          <t>CST 06</t>
        </is>
      </c>
      <c r="Q245" s="7" t="inlineStr">
        <is>
          <t>CST 73</t>
        </is>
      </c>
      <c r="R245" s="7" t="inlineStr">
        <is>
          <t>Redução de 60% + Diferimento (Art. 138 e Anexo IX LC 214/2025)</t>
        </is>
      </c>
    </row>
    <row r="246" ht="22" customHeight="1">
      <c r="A246" s="12" t="inlineStr">
        <is>
          <t>SKU-0242</t>
        </is>
      </c>
      <c r="B246" s="11" t="n">
        <v>179</v>
      </c>
      <c r="C246" s="13" t="inlineStr">
        <is>
          <t>SIPEAGRO (UF-XXXXX)</t>
        </is>
      </c>
      <c r="D246" s="14" t="inlineStr">
        <is>
          <t>BIOLOGIC NEMA</t>
        </is>
      </c>
      <c r="E246" s="13" t="inlineStr">
        <is>
          <t>Faixa 1 TIPI (Apresentação &lt;= 300 g ou mL)</t>
        </is>
      </c>
      <c r="F246" s="13" t="inlineStr">
        <is>
          <t>Fracionado / Amostra &lt;= 0,3 L</t>
        </is>
      </c>
      <c r="G246" s="13" t="inlineStr">
        <is>
          <t>L</t>
        </is>
      </c>
      <c r="H246" s="18" t="n">
        <v>0.3</v>
      </c>
      <c r="I246" s="13" t="inlineStr">
        <is>
          <t>3105.90.90</t>
        </is>
      </c>
      <c r="J246" s="13" t="inlineStr">
        <is>
          <t>NÃO</t>
        </is>
      </c>
      <c r="K246" s="13" t="inlineStr">
        <is>
          <t>Embalagem Rígida — LAVÁVEL (Obrigatória Tríplice Lavagem ou Pressão)</t>
        </is>
      </c>
      <c r="L246" s="13" t="inlineStr">
        <is>
          <t>NÃO</t>
        </is>
      </c>
      <c r="M246" s="13" t="inlineStr">
        <is>
          <t>0,00% (Lei nº 10.925/2004)</t>
        </is>
      </c>
      <c r="N246" s="13" t="inlineStr">
        <is>
          <t>0,925% (LC nº 224/2025)</t>
        </is>
      </c>
      <c r="O246" s="13" t="inlineStr">
        <is>
          <t>0,365% (LC nº 224/2025)</t>
        </is>
      </c>
      <c r="P246" s="13" t="inlineStr">
        <is>
          <t>CST 06</t>
        </is>
      </c>
      <c r="Q246" s="13" t="inlineStr">
        <is>
          <t>CST 73</t>
        </is>
      </c>
      <c r="R246" s="13" t="inlineStr">
        <is>
          <t>Redução de 60% + Diferimento (Art. 138 e Anexo IX LC 214/2025)</t>
        </is>
      </c>
    </row>
    <row r="247" ht="22" customHeight="1">
      <c r="A247" s="6" t="inlineStr">
        <is>
          <t>SKU-0243</t>
        </is>
      </c>
      <c r="B247" s="5" t="n">
        <v>180</v>
      </c>
      <c r="C247" s="7" t="inlineStr">
        <is>
          <t>SIPEAGRO (UF-XXXXX)</t>
        </is>
      </c>
      <c r="D247" s="8" t="inlineStr">
        <is>
          <t>BIOLOGIC PHOS</t>
        </is>
      </c>
      <c r="E247" s="7" t="inlineStr">
        <is>
          <t>Embalagem Comercial do Produto</t>
        </is>
      </c>
      <c r="F247" s="7" t="inlineStr">
        <is>
          <t>4X5L (5 L)</t>
        </is>
      </c>
      <c r="G247" s="7" t="inlineStr">
        <is>
          <t>L</t>
        </is>
      </c>
      <c r="H247" s="9" t="n">
        <v>5</v>
      </c>
      <c r="I247" s="7" t="inlineStr">
        <is>
          <t>3002.49.99</t>
        </is>
      </c>
      <c r="J247" s="7" t="inlineStr">
        <is>
          <t>NÃO</t>
        </is>
      </c>
      <c r="K247" s="7" t="inlineStr">
        <is>
          <t>Embalagem de Insumo Nutricional/Biológico (Logística Reversa)</t>
        </is>
      </c>
      <c r="L247" s="7" t="inlineStr">
        <is>
          <t>NÃO</t>
        </is>
      </c>
      <c r="M247" s="7" t="inlineStr">
        <is>
          <t>9,25% Real | 3,65% Presumido</t>
        </is>
      </c>
      <c r="N247" s="7" t="inlineStr">
        <is>
          <t>9,250% (Integral)</t>
        </is>
      </c>
      <c r="O247" s="7" t="inlineStr">
        <is>
          <t>3,650% (Integral)</t>
        </is>
      </c>
      <c r="P247" s="7" t="inlineStr">
        <is>
          <t>CST 01</t>
        </is>
      </c>
      <c r="Q247" s="7" t="inlineStr">
        <is>
          <t>CST 50</t>
        </is>
      </c>
      <c r="R247" s="7" t="inlineStr">
        <is>
          <t>Alíquota Padrão Integral (LC 214/2025)</t>
        </is>
      </c>
    </row>
    <row r="248" ht="22" customHeight="1">
      <c r="A248" s="12" t="inlineStr">
        <is>
          <t>SKU-0244</t>
        </is>
      </c>
      <c r="B248" s="11" t="n">
        <v>180</v>
      </c>
      <c r="C248" s="13" t="inlineStr">
        <is>
          <t>SIPEAGRO (UF-XXXXX)</t>
        </is>
      </c>
      <c r="D248" s="14" t="inlineStr">
        <is>
          <t>BIOLOGIC PHOS</t>
        </is>
      </c>
      <c r="E248" s="13" t="inlineStr">
        <is>
          <t>Faixa 1 TIPI (Apresentação &lt;= 300 g ou mL)</t>
        </is>
      </c>
      <c r="F248" s="13" t="inlineStr">
        <is>
          <t>Fracionado / Amostra &lt;= 0,3 L</t>
        </is>
      </c>
      <c r="G248" s="13" t="inlineStr">
        <is>
          <t>L</t>
        </is>
      </c>
      <c r="H248" s="18" t="n">
        <v>0.3</v>
      </c>
      <c r="I248" s="13" t="inlineStr">
        <is>
          <t>3002.49.99</t>
        </is>
      </c>
      <c r="J248" s="13" t="inlineStr">
        <is>
          <t>NÃO</t>
        </is>
      </c>
      <c r="K248" s="13" t="inlineStr">
        <is>
          <t>Embalagem de Insumo Nutricional/Biológico (Logística Reversa)</t>
        </is>
      </c>
      <c r="L248" s="13" t="inlineStr">
        <is>
          <t>NÃO</t>
        </is>
      </c>
      <c r="M248" s="13" t="inlineStr">
        <is>
          <t>9,25% Real | 3,65% Presumido</t>
        </is>
      </c>
      <c r="N248" s="13" t="inlineStr">
        <is>
          <t>9,250% (Integral)</t>
        </is>
      </c>
      <c r="O248" s="13" t="inlineStr">
        <is>
          <t>3,650% (Integral)</t>
        </is>
      </c>
      <c r="P248" s="13" t="inlineStr">
        <is>
          <t>CST 01</t>
        </is>
      </c>
      <c r="Q248" s="13" t="inlineStr">
        <is>
          <t>CST 50</t>
        </is>
      </c>
      <c r="R248" s="13" t="inlineStr">
        <is>
          <t>Alíquota Padrão Integral (LC 214/2025)</t>
        </is>
      </c>
    </row>
    <row r="249" ht="22" customHeight="1">
      <c r="A249" s="6" t="inlineStr">
        <is>
          <t>SKU-0245</t>
        </is>
      </c>
      <c r="B249" s="5" t="n">
        <v>181</v>
      </c>
      <c r="C249" s="7" t="inlineStr">
        <is>
          <t>Nº 13620</t>
        </is>
      </c>
      <c r="D249" s="8" t="inlineStr">
        <is>
          <t>CLIMUR</t>
        </is>
      </c>
      <c r="E249" s="7" t="inlineStr">
        <is>
          <t>Embalagem Comercial do Produto</t>
        </is>
      </c>
      <c r="F249" s="7" t="inlineStr">
        <is>
          <t>20X1KG (1 KG)</t>
        </is>
      </c>
      <c r="G249" s="7" t="inlineStr">
        <is>
          <t>KG</t>
        </is>
      </c>
      <c r="H249" s="9" t="n">
        <v>1</v>
      </c>
      <c r="I249" s="7" t="inlineStr">
        <is>
          <t>3808.93.29</t>
        </is>
      </c>
      <c r="J249" s="7" t="inlineStr">
        <is>
          <t>NÃO</t>
        </is>
      </c>
      <c r="K249" s="7" t="inlineStr">
        <is>
          <t>Embalagem Flexível — NÃO LAVÁVEL (Perfurar e usar saco ABNT)</t>
        </is>
      </c>
      <c r="L249" s="7" t="inlineStr">
        <is>
          <t>SIM (Saco Transparente ABNT)</t>
        </is>
      </c>
      <c r="M249" s="7" t="inlineStr">
        <is>
          <t>0,00% (Lei nº 10.925/2004)</t>
        </is>
      </c>
      <c r="N249" s="7" t="inlineStr">
        <is>
          <t>0,925% (LC nº 224/2025)</t>
        </is>
      </c>
      <c r="O249" s="7" t="inlineStr">
        <is>
          <t>0,365% (LC nº 224/2025)</t>
        </is>
      </c>
      <c r="P249" s="7" t="inlineStr">
        <is>
          <t>CST 06</t>
        </is>
      </c>
      <c r="Q249" s="7" t="inlineStr">
        <is>
          <t>CST 73</t>
        </is>
      </c>
      <c r="R249" s="7" t="inlineStr">
        <is>
          <t>Redução de 60% + Diferimento (Art. 138 e Anexo IX LC 214/2025)</t>
        </is>
      </c>
    </row>
    <row r="250" ht="22" customHeight="1">
      <c r="A250" s="12" t="inlineStr">
        <is>
          <t>SKU-0246</t>
        </is>
      </c>
      <c r="B250" s="11" t="n">
        <v>182</v>
      </c>
      <c r="C250" s="13" t="inlineStr">
        <is>
          <t>Nº 43219</t>
        </is>
      </c>
      <c r="D250" s="14" t="inlineStr">
        <is>
          <t>CLORPIRIFOS 480 EC GHARDA</t>
        </is>
      </c>
      <c r="E250" s="13" t="inlineStr">
        <is>
          <t>Embalagem Comercial do Produto</t>
        </is>
      </c>
      <c r="F250" s="13" t="inlineStr">
        <is>
          <t>1X20L (20 L)</t>
        </is>
      </c>
      <c r="G250" s="13" t="inlineStr">
        <is>
          <t>L</t>
        </is>
      </c>
      <c r="H250" s="15" t="n">
        <v>20</v>
      </c>
      <c r="I250" s="13" t="inlineStr">
        <is>
          <t>3808.91.99</t>
        </is>
      </c>
      <c r="J250" s="13" t="inlineStr">
        <is>
          <t>NÃO</t>
        </is>
      </c>
      <c r="K250" s="13" t="inlineStr">
        <is>
          <t>Embalagem Rígida — LAVÁVEL (Obrigatória Tríplice Lavagem ou Pressão)</t>
        </is>
      </c>
      <c r="L250" s="13" t="inlineStr">
        <is>
          <t>NÃO</t>
        </is>
      </c>
      <c r="M250" s="13" t="inlineStr">
        <is>
          <t>0,00% (Lei nº 10.925/2004)</t>
        </is>
      </c>
      <c r="N250" s="13" t="inlineStr">
        <is>
          <t>0,925% (LC nº 224/2025)</t>
        </is>
      </c>
      <c r="O250" s="13" t="inlineStr">
        <is>
          <t>0,365% (LC nº 224/2025)</t>
        </is>
      </c>
      <c r="P250" s="13" t="inlineStr">
        <is>
          <t>CST 06</t>
        </is>
      </c>
      <c r="Q250" s="13" t="inlineStr">
        <is>
          <t>CST 73</t>
        </is>
      </c>
      <c r="R250" s="13" t="inlineStr">
        <is>
          <t>Redução de 60% + Diferimento (Art. 138 e Anexo IX LC 214/2025)</t>
        </is>
      </c>
    </row>
    <row r="251" ht="22" customHeight="1">
      <c r="A251" s="6" t="inlineStr">
        <is>
          <t>SKU-0247</t>
        </is>
      </c>
      <c r="B251" s="5" t="n">
        <v>183</v>
      </c>
      <c r="C251" s="7" t="inlineStr">
        <is>
          <t>Nº 26820</t>
        </is>
      </c>
      <c r="D251" s="8" t="inlineStr">
        <is>
          <t>CRUZARO 480 EC</t>
        </is>
      </c>
      <c r="E251" s="7" t="inlineStr">
        <is>
          <t>Embalagem Comercial do Produto</t>
        </is>
      </c>
      <c r="F251" s="7" t="inlineStr">
        <is>
          <t>1X20L (20 L)</t>
        </is>
      </c>
      <c r="G251" s="7" t="inlineStr">
        <is>
          <t>L</t>
        </is>
      </c>
      <c r="H251" s="9" t="n">
        <v>20</v>
      </c>
      <c r="I251" s="7" t="inlineStr">
        <is>
          <t>3808.93.29</t>
        </is>
      </c>
      <c r="J251" s="7" t="inlineStr">
        <is>
          <t>NÃO</t>
        </is>
      </c>
      <c r="K251" s="7" t="inlineStr">
        <is>
          <t>Embalagem Rígida — LAVÁVEL (Obrigatória Tríplice Lavagem ou Pressão)</t>
        </is>
      </c>
      <c r="L251" s="7" t="inlineStr">
        <is>
          <t>NÃO</t>
        </is>
      </c>
      <c r="M251" s="7" t="inlineStr">
        <is>
          <t>0,00% (Lei nº 10.925/2004)</t>
        </is>
      </c>
      <c r="N251" s="7" t="inlineStr">
        <is>
          <t>0,925% (LC nº 224/2025)</t>
        </is>
      </c>
      <c r="O251" s="7" t="inlineStr">
        <is>
          <t>0,365% (LC nº 224/2025)</t>
        </is>
      </c>
      <c r="P251" s="7" t="inlineStr">
        <is>
          <t>CST 06</t>
        </is>
      </c>
      <c r="Q251" s="7" t="inlineStr">
        <is>
          <t>CST 73</t>
        </is>
      </c>
      <c r="R251" s="7" t="inlineStr">
        <is>
          <t>Redução de 60% + Diferimento (Art. 138 e Anexo IX LC 214/2025)</t>
        </is>
      </c>
    </row>
    <row r="252" ht="22" customHeight="1">
      <c r="A252" s="12" t="inlineStr">
        <is>
          <t>SKU-0248</t>
        </is>
      </c>
      <c r="B252" s="11" t="n">
        <v>184</v>
      </c>
      <c r="C252" s="13" t="inlineStr">
        <is>
          <t>Nº 3915</t>
        </is>
      </c>
      <c r="D252" s="14" t="inlineStr">
        <is>
          <t>CYPER COPA 250 EC</t>
        </is>
      </c>
      <c r="E252" s="13" t="inlineStr">
        <is>
          <t>Embalagem Comercial do Produto</t>
        </is>
      </c>
      <c r="F252" s="13" t="inlineStr">
        <is>
          <t>4X5L (5 L)</t>
        </is>
      </c>
      <c r="G252" s="13" t="inlineStr">
        <is>
          <t>L</t>
        </is>
      </c>
      <c r="H252" s="15" t="n">
        <v>5</v>
      </c>
      <c r="I252" s="13" t="inlineStr">
        <is>
          <t>3808.91.92</t>
        </is>
      </c>
      <c r="J252" s="13" t="inlineStr">
        <is>
          <t>NÃO</t>
        </is>
      </c>
      <c r="K252" s="13" t="inlineStr">
        <is>
          <t>Embalagem Rígida — LAVÁVEL (Obrigatória Tríplice Lavagem ou Pressão)</t>
        </is>
      </c>
      <c r="L252" s="13" t="inlineStr">
        <is>
          <t>NÃO</t>
        </is>
      </c>
      <c r="M252" s="13" t="inlineStr">
        <is>
          <t>0,00% (Lei nº 10.925/2004)</t>
        </is>
      </c>
      <c r="N252" s="13" t="inlineStr">
        <is>
          <t>0,925% (LC nº 224/2025)</t>
        </is>
      </c>
      <c r="O252" s="13" t="inlineStr">
        <is>
          <t>0,365% (LC nº 224/2025)</t>
        </is>
      </c>
      <c r="P252" s="13" t="inlineStr">
        <is>
          <t>CST 06</t>
        </is>
      </c>
      <c r="Q252" s="13" t="inlineStr">
        <is>
          <t>CST 73</t>
        </is>
      </c>
      <c r="R252" s="13" t="inlineStr">
        <is>
          <t>Redução de 60% + Diferimento (Art. 138 e Anexo IX LC 214/2025)</t>
        </is>
      </c>
    </row>
    <row r="253" ht="22" customHeight="1">
      <c r="A253" s="6" t="inlineStr">
        <is>
          <t>SKU-0249</t>
        </is>
      </c>
      <c r="B253" s="5" t="n">
        <v>185</v>
      </c>
      <c r="C253" s="7" t="inlineStr">
        <is>
          <t>Nº 22221</t>
        </is>
      </c>
      <c r="D253" s="8" t="inlineStr">
        <is>
          <t>GRASIDIM</t>
        </is>
      </c>
      <c r="E253" s="7" t="inlineStr">
        <is>
          <t>Embalagem Comercial do Produto</t>
        </is>
      </c>
      <c r="F253" s="7" t="inlineStr">
        <is>
          <t>4X5L (5 L)</t>
        </is>
      </c>
      <c r="G253" s="7" t="inlineStr">
        <is>
          <t>L</t>
        </is>
      </c>
      <c r="H253" s="9" t="n">
        <v>5</v>
      </c>
      <c r="I253" s="7" t="inlineStr">
        <is>
          <t>3808.93.29</t>
        </is>
      </c>
      <c r="J253" s="7" t="inlineStr">
        <is>
          <t>NÃO</t>
        </is>
      </c>
      <c r="K253" s="7" t="inlineStr">
        <is>
          <t>Embalagem Rígida — LAVÁVEL (Obrigatória Tríplice Lavagem ou Pressão)</t>
        </is>
      </c>
      <c r="L253" s="7" t="inlineStr">
        <is>
          <t>NÃO</t>
        </is>
      </c>
      <c r="M253" s="7" t="inlineStr">
        <is>
          <t>0,00% (Lei nº 10.925/2004)</t>
        </is>
      </c>
      <c r="N253" s="7" t="inlineStr">
        <is>
          <t>0,925% (LC nº 224/2025)</t>
        </is>
      </c>
      <c r="O253" s="7" t="inlineStr">
        <is>
          <t>0,365% (LC nº 224/2025)</t>
        </is>
      </c>
      <c r="P253" s="7" t="inlineStr">
        <is>
          <t>CST 06</t>
        </is>
      </c>
      <c r="Q253" s="7" t="inlineStr">
        <is>
          <t>CST 73</t>
        </is>
      </c>
      <c r="R253" s="7" t="inlineStr">
        <is>
          <t>Redução de 60% + Diferimento (Art. 138 e Anexo IX LC 214/2025)</t>
        </is>
      </c>
    </row>
    <row r="254" ht="22" customHeight="1">
      <c r="A254" s="12" t="inlineStr">
        <is>
          <t>SKU-0250</t>
        </is>
      </c>
      <c r="B254" s="11" t="n">
        <v>186</v>
      </c>
      <c r="C254" s="13" t="inlineStr">
        <is>
          <t>Nº 6421</t>
        </is>
      </c>
      <c r="D254" s="14" t="inlineStr">
        <is>
          <t>KINGSTAR XTRA</t>
        </is>
      </c>
      <c r="E254" s="13" t="inlineStr">
        <is>
          <t>Embalagem Comercial do Produto</t>
        </is>
      </c>
      <c r="F254" s="13" t="inlineStr">
        <is>
          <t>12X1KG (1 KG)</t>
        </is>
      </c>
      <c r="G254" s="13" t="inlineStr">
        <is>
          <t>KG</t>
        </is>
      </c>
      <c r="H254" s="15" t="n">
        <v>1</v>
      </c>
      <c r="I254" s="13" t="inlineStr">
        <is>
          <t>3808.92.99</t>
        </is>
      </c>
      <c r="J254" s="13" t="inlineStr">
        <is>
          <t>NÃO</t>
        </is>
      </c>
      <c r="K254" s="13" t="inlineStr">
        <is>
          <t>Embalagem Flexível — NÃO LAVÁVEL (Perfurar e usar saco ABNT)</t>
        </is>
      </c>
      <c r="L254" s="13" t="inlineStr">
        <is>
          <t>SIM (Saco Transparente ABNT)</t>
        </is>
      </c>
      <c r="M254" s="13" t="inlineStr">
        <is>
          <t>0,00% (Lei nº 10.925/2004)</t>
        </is>
      </c>
      <c r="N254" s="13" t="inlineStr">
        <is>
          <t>0,925% (LC nº 224/2025)</t>
        </is>
      </c>
      <c r="O254" s="13" t="inlineStr">
        <is>
          <t>0,365% (LC nº 224/2025)</t>
        </is>
      </c>
      <c r="P254" s="13" t="inlineStr">
        <is>
          <t>CST 06</t>
        </is>
      </c>
      <c r="Q254" s="13" t="inlineStr">
        <is>
          <t>CST 73</t>
        </is>
      </c>
      <c r="R254" s="13" t="inlineStr">
        <is>
          <t>Redução de 60% + Diferimento (Art. 138 e Anexo IX LC 214/2025)</t>
        </is>
      </c>
    </row>
    <row r="255" ht="22" customHeight="1">
      <c r="A255" s="6" t="inlineStr">
        <is>
          <t>SKU-0251</t>
        </is>
      </c>
      <c r="B255" s="5" t="n">
        <v>187</v>
      </c>
      <c r="C255" s="7" t="inlineStr">
        <is>
          <t>Nº 31522</t>
        </is>
      </c>
      <c r="D255" s="8" t="inlineStr">
        <is>
          <t>METOMY 900</t>
        </is>
      </c>
      <c r="E255" s="7" t="inlineStr">
        <is>
          <t>Embalagem Comercial do Produto</t>
        </is>
      </c>
      <c r="F255" s="7" t="inlineStr">
        <is>
          <t>4X5KG (5 KG)</t>
        </is>
      </c>
      <c r="G255" s="7" t="inlineStr">
        <is>
          <t>KG</t>
        </is>
      </c>
      <c r="H255" s="9" t="n">
        <v>5</v>
      </c>
      <c r="I255" s="7" t="inlineStr">
        <is>
          <t>3808.91.99</t>
        </is>
      </c>
      <c r="J255" s="7" t="inlineStr">
        <is>
          <t>NÃO</t>
        </is>
      </c>
      <c r="K255" s="7" t="inlineStr">
        <is>
          <t>Embalagem Flexível — NÃO LAVÁVEL (Perfurar e usar saco ABNT)</t>
        </is>
      </c>
      <c r="L255" s="7" t="inlineStr">
        <is>
          <t>SIM (Saco Transparente ABNT)</t>
        </is>
      </c>
      <c r="M255" s="7" t="inlineStr">
        <is>
          <t>0,00% (Lei nº 10.925/2004)</t>
        </is>
      </c>
      <c r="N255" s="7" t="inlineStr">
        <is>
          <t>0,925% (LC nº 224/2025)</t>
        </is>
      </c>
      <c r="O255" s="7" t="inlineStr">
        <is>
          <t>0,365% (LC nº 224/2025)</t>
        </is>
      </c>
      <c r="P255" s="7" t="inlineStr">
        <is>
          <t>CST 06</t>
        </is>
      </c>
      <c r="Q255" s="7" t="inlineStr">
        <is>
          <t>CST 73</t>
        </is>
      </c>
      <c r="R255" s="7" t="inlineStr">
        <is>
          <t>Redução de 60% + Diferimento (Art. 138 e Anexo IX LC 214/2025)</t>
        </is>
      </c>
    </row>
    <row r="256" ht="22" customHeight="1">
      <c r="A256" s="12" t="inlineStr">
        <is>
          <t>SKU-0252</t>
        </is>
      </c>
      <c r="B256" s="11" t="n">
        <v>188</v>
      </c>
      <c r="C256" s="13" t="inlineStr">
        <is>
          <t>Nº 28017</t>
        </is>
      </c>
      <c r="D256" s="14" t="inlineStr">
        <is>
          <t>RODOLIA 200 SP</t>
        </is>
      </c>
      <c r="E256" s="13" t="inlineStr">
        <is>
          <t>Embalagem Comercial do Produto</t>
        </is>
      </c>
      <c r="F256" s="13" t="inlineStr">
        <is>
          <t>10X1KG (1 KG)</t>
        </is>
      </c>
      <c r="G256" s="13" t="inlineStr">
        <is>
          <t>KG</t>
        </is>
      </c>
      <c r="H256" s="15" t="n">
        <v>1</v>
      </c>
      <c r="I256" s="13" t="inlineStr">
        <is>
          <t>3808.91.99</t>
        </is>
      </c>
      <c r="J256" s="13" t="inlineStr">
        <is>
          <t>NÃO</t>
        </is>
      </c>
      <c r="K256" s="13" t="inlineStr">
        <is>
          <t>Embalagem Flexível — NÃO LAVÁVEL (Perfurar e usar saco ABNT)</t>
        </is>
      </c>
      <c r="L256" s="13" t="inlineStr">
        <is>
          <t>SIM (Saco Transparente ABNT)</t>
        </is>
      </c>
      <c r="M256" s="13" t="inlineStr">
        <is>
          <t>0,00% (Lei nº 10.925/2004)</t>
        </is>
      </c>
      <c r="N256" s="13" t="inlineStr">
        <is>
          <t>0,925% (LC nº 224/2025)</t>
        </is>
      </c>
      <c r="O256" s="13" t="inlineStr">
        <is>
          <t>0,365% (LC nº 224/2025)</t>
        </is>
      </c>
      <c r="P256" s="13" t="inlineStr">
        <is>
          <t>CST 06</t>
        </is>
      </c>
      <c r="Q256" s="13" t="inlineStr">
        <is>
          <t>CST 73</t>
        </is>
      </c>
      <c r="R256" s="13" t="inlineStr">
        <is>
          <t>Redução de 60% + Diferimento (Art. 138 e Anexo IX LC 214/2025)</t>
        </is>
      </c>
    </row>
    <row r="257" ht="22" customHeight="1">
      <c r="A257" s="6" t="inlineStr">
        <is>
          <t>SKU-0253</t>
        </is>
      </c>
      <c r="B257" s="5" t="n">
        <v>189</v>
      </c>
      <c r="C257" s="7" t="inlineStr">
        <is>
          <t>Nº 12222</t>
        </is>
      </c>
      <c r="D257" s="8" t="inlineStr">
        <is>
          <t>SUNGAIN XTRA</t>
        </is>
      </c>
      <c r="E257" s="7" t="inlineStr">
        <is>
          <t>Embalagem Comercial do Produto</t>
        </is>
      </c>
      <c r="F257" s="7" t="inlineStr">
        <is>
          <t>4X5KG (5 KG)</t>
        </is>
      </c>
      <c r="G257" s="7" t="inlineStr">
        <is>
          <t>KG</t>
        </is>
      </c>
      <c r="H257" s="9" t="n">
        <v>5</v>
      </c>
      <c r="I257" s="7" t="inlineStr">
        <is>
          <t>3808.93.29</t>
        </is>
      </c>
      <c r="J257" s="7" t="inlineStr">
        <is>
          <t>NÃO</t>
        </is>
      </c>
      <c r="K257" s="7" t="inlineStr">
        <is>
          <t>Embalagem Flexível — NÃO LAVÁVEL (Perfurar e usar saco ABNT)</t>
        </is>
      </c>
      <c r="L257" s="7" t="inlineStr">
        <is>
          <t>SIM (Saco Transparente ABNT)</t>
        </is>
      </c>
      <c r="M257" s="7" t="inlineStr">
        <is>
          <t>0,00% (Lei nº 10.925/2004)</t>
        </is>
      </c>
      <c r="N257" s="7" t="inlineStr">
        <is>
          <t>0,925% (LC nº 224/2025)</t>
        </is>
      </c>
      <c r="O257" s="7" t="inlineStr">
        <is>
          <t>0,365% (LC nº 224/2025)</t>
        </is>
      </c>
      <c r="P257" s="7" t="inlineStr">
        <is>
          <t>CST 06</t>
        </is>
      </c>
      <c r="Q257" s="7" t="inlineStr">
        <is>
          <t>CST 73</t>
        </is>
      </c>
      <c r="R257" s="7" t="inlineStr">
        <is>
          <t>Redução de 60% + Diferimento (Art. 138 e Anexo IX LC 214/2025)</t>
        </is>
      </c>
    </row>
    <row r="258" ht="22" customHeight="1">
      <c r="A258" s="12" t="inlineStr">
        <is>
          <t>SKU-0254</t>
        </is>
      </c>
      <c r="B258" s="11" t="n">
        <v>190</v>
      </c>
      <c r="C258" s="13" t="inlineStr">
        <is>
          <t>Nº 19623</t>
        </is>
      </c>
      <c r="D258" s="14" t="inlineStr">
        <is>
          <t>TORBAN PLUS</t>
        </is>
      </c>
      <c r="E258" s="13" t="inlineStr">
        <is>
          <t>Embalagem Comercial do Produto</t>
        </is>
      </c>
      <c r="F258" s="13" t="inlineStr">
        <is>
          <t>12X1L (1 L)</t>
        </is>
      </c>
      <c r="G258" s="13" t="inlineStr">
        <is>
          <t>L</t>
        </is>
      </c>
      <c r="H258" s="15" t="n">
        <v>1</v>
      </c>
      <c r="I258" s="13" t="inlineStr">
        <is>
          <t>3808.93.22</t>
        </is>
      </c>
      <c r="J258" s="13" t="inlineStr">
        <is>
          <t>NÃO</t>
        </is>
      </c>
      <c r="K258" s="13" t="inlineStr">
        <is>
          <t>Embalagem Rígida — LAVÁVEL (Obrigatória Tríplice Lavagem ou Pressão)</t>
        </is>
      </c>
      <c r="L258" s="13" t="inlineStr">
        <is>
          <t>NÃO</t>
        </is>
      </c>
      <c r="M258" s="13" t="inlineStr">
        <is>
          <t>0,00% (Lei nº 10.925/2004)</t>
        </is>
      </c>
      <c r="N258" s="13" t="inlineStr">
        <is>
          <t>0,925% (LC nº 224/2025)</t>
        </is>
      </c>
      <c r="O258" s="13" t="inlineStr">
        <is>
          <t>0,365% (LC nº 224/2025)</t>
        </is>
      </c>
      <c r="P258" s="13" t="inlineStr">
        <is>
          <t>CST 06</t>
        </is>
      </c>
      <c r="Q258" s="13" t="inlineStr">
        <is>
          <t>CST 73</t>
        </is>
      </c>
      <c r="R258" s="13" t="inlineStr">
        <is>
          <t>Redução de 60% + Diferimento (Art. 138 e Anexo IX LC 214/2025)</t>
        </is>
      </c>
    </row>
    <row r="259" ht="22" customHeight="1">
      <c r="A259" s="6" t="inlineStr">
        <is>
          <t>SKU-0255</t>
        </is>
      </c>
      <c r="B259" s="5" t="n">
        <v>191</v>
      </c>
      <c r="C259" s="7" t="inlineStr">
        <is>
          <t>Nº 19623</t>
        </is>
      </c>
      <c r="D259" s="8" t="inlineStr">
        <is>
          <t>TORBAN PLUS</t>
        </is>
      </c>
      <c r="E259" s="7" t="inlineStr">
        <is>
          <t>Embalagem Comercial do Produto</t>
        </is>
      </c>
      <c r="F259" s="7" t="inlineStr">
        <is>
          <t>1X20L (20 L)</t>
        </is>
      </c>
      <c r="G259" s="7" t="inlineStr">
        <is>
          <t>L</t>
        </is>
      </c>
      <c r="H259" s="9" t="n">
        <v>20</v>
      </c>
      <c r="I259" s="7" t="inlineStr">
        <is>
          <t>3808.93.22</t>
        </is>
      </c>
      <c r="J259" s="7" t="inlineStr">
        <is>
          <t>NÃO</t>
        </is>
      </c>
      <c r="K259" s="7" t="inlineStr">
        <is>
          <t>Embalagem Rígida — LAVÁVEL (Obrigatória Tríplice Lavagem ou Pressão)</t>
        </is>
      </c>
      <c r="L259" s="7" t="inlineStr">
        <is>
          <t>NÃO</t>
        </is>
      </c>
      <c r="M259" s="7" t="inlineStr">
        <is>
          <t>0,00% (Lei nº 10.925/2004)</t>
        </is>
      </c>
      <c r="N259" s="7" t="inlineStr">
        <is>
          <t>0,925% (LC nº 224/2025)</t>
        </is>
      </c>
      <c r="O259" s="7" t="inlineStr">
        <is>
          <t>0,365% (LC nº 224/2025)</t>
        </is>
      </c>
      <c r="P259" s="7" t="inlineStr">
        <is>
          <t>CST 06</t>
        </is>
      </c>
      <c r="Q259" s="7" t="inlineStr">
        <is>
          <t>CST 73</t>
        </is>
      </c>
      <c r="R259" s="7" t="inlineStr">
        <is>
          <t>Redução de 60% + Diferimento (Art. 138 e Anexo IX LC 214/2025)</t>
        </is>
      </c>
    </row>
    <row r="260" ht="22" customHeight="1">
      <c r="A260" s="12" t="inlineStr">
        <is>
          <t>SKU-0256</t>
        </is>
      </c>
      <c r="B260" s="11" t="n">
        <v>192</v>
      </c>
      <c r="C260" s="13" t="inlineStr">
        <is>
          <t>Nº 31422</t>
        </is>
      </c>
      <c r="D260" s="14" t="inlineStr">
        <is>
          <t>ZARPAL</t>
        </is>
      </c>
      <c r="E260" s="13" t="inlineStr">
        <is>
          <t>Embalagem Comercial do Produto</t>
        </is>
      </c>
      <c r="F260" s="13" t="inlineStr">
        <is>
          <t>4X5L (5 L)</t>
        </is>
      </c>
      <c r="G260" s="13" t="inlineStr">
        <is>
          <t>L</t>
        </is>
      </c>
      <c r="H260" s="15" t="n">
        <v>5</v>
      </c>
      <c r="I260" s="13" t="inlineStr">
        <is>
          <t>3808.62.90</t>
        </is>
      </c>
      <c r="J260" s="13" t="inlineStr">
        <is>
          <t>SIM</t>
        </is>
      </c>
      <c r="K260" s="13" t="inlineStr">
        <is>
          <t>Embalagem Rígida — LAVÁVEL (Obrigatória Tríplice Lavagem ou Pressão)</t>
        </is>
      </c>
      <c r="L260" s="13" t="inlineStr">
        <is>
          <t>NÃO</t>
        </is>
      </c>
      <c r="M260" s="13" t="inlineStr">
        <is>
          <t>0,00% (Lei nº 10.925/2004)</t>
        </is>
      </c>
      <c r="N260" s="13" t="inlineStr">
        <is>
          <t>0,925% (LC nº 224/2025)</t>
        </is>
      </c>
      <c r="O260" s="13" t="inlineStr">
        <is>
          <t>0,365% (LC nº 224/2025)</t>
        </is>
      </c>
      <c r="P260" s="13" t="inlineStr">
        <is>
          <t>CST 06</t>
        </is>
      </c>
      <c r="Q260" s="13" t="inlineStr">
        <is>
          <t>CST 73</t>
        </is>
      </c>
      <c r="R260" s="13" t="inlineStr">
        <is>
          <t>Redução de 60% + Diferimento (Art. 138 e Anexo IX LC 214/2025)</t>
        </is>
      </c>
    </row>
    <row r="261" ht="22" customHeight="1">
      <c r="A261" s="6" t="inlineStr">
        <is>
          <t>SKU-0257</t>
        </is>
      </c>
      <c r="B261" s="5" t="n">
        <v>192</v>
      </c>
      <c r="C261" s="7" t="inlineStr">
        <is>
          <t>Nº 31422</t>
        </is>
      </c>
      <c r="D261" s="8" t="inlineStr">
        <is>
          <t>ZARPAL</t>
        </is>
      </c>
      <c r="E261" s="7" t="inlineStr">
        <is>
          <t>Faixa 1 TIPI (Apresentação &lt;= 300 g ou mL)</t>
        </is>
      </c>
      <c r="F261" s="7" t="inlineStr">
        <is>
          <t>Fracionado / Amostra &lt;= 0,3 L</t>
        </is>
      </c>
      <c r="G261" s="7" t="inlineStr">
        <is>
          <t>L</t>
        </is>
      </c>
      <c r="H261" s="17" t="n">
        <v>0.3</v>
      </c>
      <c r="I261" s="7" t="inlineStr">
        <is>
          <t>3808.61.00</t>
        </is>
      </c>
      <c r="J261" s="7" t="inlineStr">
        <is>
          <t>SIM</t>
        </is>
      </c>
      <c r="K261" s="7" t="inlineStr">
        <is>
          <t>Embalagem Rígida — LAVÁVEL (Obrigatória Tríplice Lavagem ou Pressão)</t>
        </is>
      </c>
      <c r="L261" s="7" t="inlineStr">
        <is>
          <t>NÃO</t>
        </is>
      </c>
      <c r="M261" s="7" t="inlineStr">
        <is>
          <t>0,00% (Lei nº 10.925/2004)</t>
        </is>
      </c>
      <c r="N261" s="7" t="inlineStr">
        <is>
          <t>0,925% (LC nº 224/2025)</t>
        </is>
      </c>
      <c r="O261" s="7" t="inlineStr">
        <is>
          <t>0,365% (LC nº 224/2025)</t>
        </is>
      </c>
      <c r="P261" s="7" t="inlineStr">
        <is>
          <t>CST 06</t>
        </is>
      </c>
      <c r="Q261" s="7" t="inlineStr">
        <is>
          <t>CST 73</t>
        </is>
      </c>
      <c r="R261" s="7" t="inlineStr">
        <is>
          <t>Redução de 60% + Diferimento (Art. 138 e Anexo IX LC 214/2025)</t>
        </is>
      </c>
    </row>
    <row r="262" ht="22" customHeight="1">
      <c r="A262" s="12" t="inlineStr">
        <is>
          <t>SKU-0258</t>
        </is>
      </c>
      <c r="B262" s="11" t="n">
        <v>193</v>
      </c>
      <c r="C262" s="13" t="inlineStr">
        <is>
          <t>Nº 10317</t>
        </is>
      </c>
      <c r="D262" s="14" t="inlineStr">
        <is>
          <t>XEQUE MATE</t>
        </is>
      </c>
      <c r="E262" s="13" t="inlineStr">
        <is>
          <t>Embalagem Comercial do Produto</t>
        </is>
      </c>
      <c r="F262" s="13" t="inlineStr">
        <is>
          <t>1X20L (20 L)</t>
        </is>
      </c>
      <c r="G262" s="13" t="inlineStr">
        <is>
          <t>L</t>
        </is>
      </c>
      <c r="H262" s="15" t="n">
        <v>20</v>
      </c>
      <c r="I262" s="13" t="inlineStr">
        <is>
          <t>3808.93.24</t>
        </is>
      </c>
      <c r="J262" s="13" t="inlineStr">
        <is>
          <t>NÃO</t>
        </is>
      </c>
      <c r="K262" s="13" t="inlineStr">
        <is>
          <t>Embalagem Rígida — LAVÁVEL (Obrigatória Tríplice Lavagem ou Pressão)</t>
        </is>
      </c>
      <c r="L262" s="13" t="inlineStr">
        <is>
          <t>NÃO</t>
        </is>
      </c>
      <c r="M262" s="13" t="inlineStr">
        <is>
          <t>0,00% (Lei nº 10.925/2004)</t>
        </is>
      </c>
      <c r="N262" s="13" t="inlineStr">
        <is>
          <t>0,925% (LC nº 224/2025)</t>
        </is>
      </c>
      <c r="O262" s="13" t="inlineStr">
        <is>
          <t>0,365% (LC nº 224/2025)</t>
        </is>
      </c>
      <c r="P262" s="13" t="inlineStr">
        <is>
          <t>CST 06</t>
        </is>
      </c>
      <c r="Q262" s="13" t="inlineStr">
        <is>
          <t>CST 73</t>
        </is>
      </c>
      <c r="R262" s="13" t="inlineStr">
        <is>
          <t>Redução de 60% + Diferimento (Art. 138 e Anexo IX LC 214/2025)</t>
        </is>
      </c>
    </row>
    <row r="263" ht="22" customHeight="1">
      <c r="A263" s="6" t="inlineStr">
        <is>
          <t>SKU-0259</t>
        </is>
      </c>
      <c r="B263" s="5" t="n">
        <v>194</v>
      </c>
      <c r="C263" s="7" t="inlineStr">
        <is>
          <t>Nº 6313</t>
        </is>
      </c>
      <c r="D263" s="8" t="inlineStr">
        <is>
          <t>MANFIL 800 WP</t>
        </is>
      </c>
      <c r="E263" s="7" t="inlineStr">
        <is>
          <t>Embalagem Comercial do Produto</t>
        </is>
      </c>
      <c r="F263" s="7" t="inlineStr">
        <is>
          <t>1X25KG (25 KG)</t>
        </is>
      </c>
      <c r="G263" s="7" t="inlineStr">
        <is>
          <t>KG</t>
        </is>
      </c>
      <c r="H263" s="9" t="n">
        <v>25</v>
      </c>
      <c r="I263" s="7" t="inlineStr">
        <is>
          <t>3808.92.93</t>
        </is>
      </c>
      <c r="J263" s="7" t="inlineStr">
        <is>
          <t>NÃO</t>
        </is>
      </c>
      <c r="K263" s="7" t="inlineStr">
        <is>
          <t>Embalagem Flexível — NÃO LAVÁVEL (Perfurar e usar saco ABNT)</t>
        </is>
      </c>
      <c r="L263" s="7" t="inlineStr">
        <is>
          <t>SIM (Saco Transparente ABNT)</t>
        </is>
      </c>
      <c r="M263" s="7" t="inlineStr">
        <is>
          <t>0,00% (Lei nº 10.925/2004)</t>
        </is>
      </c>
      <c r="N263" s="7" t="inlineStr">
        <is>
          <t>0,925% (LC nº 224/2025)</t>
        </is>
      </c>
      <c r="O263" s="7" t="inlineStr">
        <is>
          <t>0,365% (LC nº 224/2025)</t>
        </is>
      </c>
      <c r="P263" s="7" t="inlineStr">
        <is>
          <t>CST 06</t>
        </is>
      </c>
      <c r="Q263" s="7" t="inlineStr">
        <is>
          <t>CST 73</t>
        </is>
      </c>
      <c r="R263" s="7" t="inlineStr">
        <is>
          <t>Redução de 60% + Diferimento (Art. 138 e Anexo IX LC 214/2025)</t>
        </is>
      </c>
    </row>
    <row r="264" ht="22" customHeight="1">
      <c r="A264" s="12" t="inlineStr">
        <is>
          <t>SKU-0260</t>
        </is>
      </c>
      <c r="B264" s="11" t="n">
        <v>195</v>
      </c>
      <c r="C264" s="13" t="inlineStr">
        <is>
          <t>Nº 15716</t>
        </is>
      </c>
      <c r="D264" s="14" t="inlineStr">
        <is>
          <t>DIFCOR 250 EC BR</t>
        </is>
      </c>
      <c r="E264" s="13" t="inlineStr">
        <is>
          <t>Embalagem Comercial do Produto</t>
        </is>
      </c>
      <c r="F264" s="13" t="inlineStr">
        <is>
          <t>4X5L (5 L)</t>
        </is>
      </c>
      <c r="G264" s="13" t="inlineStr">
        <is>
          <t>L</t>
        </is>
      </c>
      <c r="H264" s="15" t="n">
        <v>5</v>
      </c>
      <c r="I264" s="13" t="inlineStr">
        <is>
          <t>3808.92.99</t>
        </is>
      </c>
      <c r="J264" s="13" t="inlineStr">
        <is>
          <t>NÃO</t>
        </is>
      </c>
      <c r="K264" s="13" t="inlineStr">
        <is>
          <t>Embalagem Rígida — LAVÁVEL (Obrigatória Tríplice Lavagem ou Pressão)</t>
        </is>
      </c>
      <c r="L264" s="13" t="inlineStr">
        <is>
          <t>NÃO</t>
        </is>
      </c>
      <c r="M264" s="13" t="inlineStr">
        <is>
          <t>0,00% (Lei nº 10.925/2004)</t>
        </is>
      </c>
      <c r="N264" s="13" t="inlineStr">
        <is>
          <t>0,925% (LC nº 224/2025)</t>
        </is>
      </c>
      <c r="O264" s="13" t="inlineStr">
        <is>
          <t>0,365% (LC nº 224/2025)</t>
        </is>
      </c>
      <c r="P264" s="13" t="inlineStr">
        <is>
          <t>CST 06</t>
        </is>
      </c>
      <c r="Q264" s="13" t="inlineStr">
        <is>
          <t>CST 73</t>
        </is>
      </c>
      <c r="R264" s="13" t="inlineStr">
        <is>
          <t>Redução de 60% + Diferimento (Art. 138 e Anexo IX LC 214/2025)</t>
        </is>
      </c>
    </row>
    <row r="265" ht="22" customHeight="1">
      <c r="A265" s="6" t="inlineStr">
        <is>
          <t>SKU-0261</t>
        </is>
      </c>
      <c r="B265" s="5" t="n">
        <v>196</v>
      </c>
      <c r="C265" s="7" t="inlineStr">
        <is>
          <t>SIPEAGRO (UF-XXXXX)</t>
        </is>
      </c>
      <c r="D265" s="8" t="inlineStr">
        <is>
          <t>BIOMAX PREMIUM LIQ SOJA 4X1,8L</t>
        </is>
      </c>
      <c r="E265" s="7" t="inlineStr">
        <is>
          <t>Embalagem Comercial do Produto</t>
        </is>
      </c>
      <c r="F265" s="7" t="inlineStr">
        <is>
          <t>4X1,8L (1.8 L)</t>
        </is>
      </c>
      <c r="G265" s="7" t="inlineStr">
        <is>
          <t>L</t>
        </is>
      </c>
      <c r="H265" s="17" t="n">
        <v>1.8</v>
      </c>
      <c r="I265" s="7" t="inlineStr">
        <is>
          <t>3002.49.99</t>
        </is>
      </c>
      <c r="J265" s="7" t="inlineStr">
        <is>
          <t>NÃO</t>
        </is>
      </c>
      <c r="K265" s="7" t="inlineStr">
        <is>
          <t>Embalagem de Insumo Nutricional/Biológico (Logística Reversa)</t>
        </is>
      </c>
      <c r="L265" s="7" t="inlineStr">
        <is>
          <t>NÃO</t>
        </is>
      </c>
      <c r="M265" s="7" t="inlineStr">
        <is>
          <t>0,00% (Lei nº 10.925/2004)</t>
        </is>
      </c>
      <c r="N265" s="7" t="inlineStr">
        <is>
          <t>0,925% (LC nº 224/2025)</t>
        </is>
      </c>
      <c r="O265" s="7" t="inlineStr">
        <is>
          <t>0,365% (LC nº 224/2025)</t>
        </is>
      </c>
      <c r="P265" s="7" t="inlineStr">
        <is>
          <t>CST 06</t>
        </is>
      </c>
      <c r="Q265" s="7" t="inlineStr">
        <is>
          <t>CST 73</t>
        </is>
      </c>
      <c r="R265" s="7" t="inlineStr">
        <is>
          <t>Redução de 60% + Diferimento (Art. 138 e Anexo IX LC 214/2025)</t>
        </is>
      </c>
    </row>
    <row r="266" ht="22" customHeight="1">
      <c r="A266" s="12" t="inlineStr">
        <is>
          <t>SKU-0262</t>
        </is>
      </c>
      <c r="B266" s="11" t="n">
        <v>196</v>
      </c>
      <c r="C266" s="13" t="inlineStr">
        <is>
          <t>SIPEAGRO (UF-XXXXX)</t>
        </is>
      </c>
      <c r="D266" s="14" t="inlineStr">
        <is>
          <t>BIOMAX PREMIUM LIQ SOJA 4X1,8L</t>
        </is>
      </c>
      <c r="E266" s="13" t="inlineStr">
        <is>
          <t>Faixa 1 TIPI (Apresentação &lt;= 300 g ou mL)</t>
        </is>
      </c>
      <c r="F266" s="13" t="inlineStr">
        <is>
          <t>Fracionado / Amostra &lt;= 0,3 L</t>
        </is>
      </c>
      <c r="G266" s="13" t="inlineStr">
        <is>
          <t>L</t>
        </is>
      </c>
      <c r="H266" s="18" t="n">
        <v>0.3</v>
      </c>
      <c r="I266" s="13" t="inlineStr">
        <is>
          <t>3002.49.99</t>
        </is>
      </c>
      <c r="J266" s="13" t="inlineStr">
        <is>
          <t>NÃO</t>
        </is>
      </c>
      <c r="K266" s="13" t="inlineStr">
        <is>
          <t>Embalagem de Insumo Nutricional/Biológico (Logística Reversa)</t>
        </is>
      </c>
      <c r="L266" s="13" t="inlineStr">
        <is>
          <t>NÃO</t>
        </is>
      </c>
      <c r="M266" s="13" t="inlineStr">
        <is>
          <t>0,00% (Lei nº 10.925/2004)</t>
        </is>
      </c>
      <c r="N266" s="13" t="inlineStr">
        <is>
          <t>0,925% (LC nº 224/2025)</t>
        </is>
      </c>
      <c r="O266" s="13" t="inlineStr">
        <is>
          <t>0,365% (LC nº 224/2025)</t>
        </is>
      </c>
      <c r="P266" s="13" t="inlineStr">
        <is>
          <t>CST 06</t>
        </is>
      </c>
      <c r="Q266" s="13" t="inlineStr">
        <is>
          <t>CST 73</t>
        </is>
      </c>
      <c r="R266" s="13" t="inlineStr">
        <is>
          <t>Redução de 60% + Diferimento (Art. 138 e Anexo IX LC 214/2025)</t>
        </is>
      </c>
    </row>
    <row r="267" ht="22" customHeight="1">
      <c r="A267" s="6" t="inlineStr">
        <is>
          <t>SKU-0263</t>
        </is>
      </c>
      <c r="B267" s="5" t="n">
        <v>197</v>
      </c>
      <c r="C267" s="7" t="inlineStr">
        <is>
          <t>Nº 12812</t>
        </is>
      </c>
      <c r="D267" s="8" t="inlineStr">
        <is>
          <t>INSIDE FS</t>
        </is>
      </c>
      <c r="E267" s="7" t="inlineStr">
        <is>
          <t>Embalagem Comercial do Produto</t>
        </is>
      </c>
      <c r="F267" s="7" t="inlineStr">
        <is>
          <t>4X5L (5 L)</t>
        </is>
      </c>
      <c r="G267" s="7" t="inlineStr">
        <is>
          <t>L</t>
        </is>
      </c>
      <c r="H267" s="9" t="n">
        <v>5</v>
      </c>
      <c r="I267" s="7" t="inlineStr">
        <is>
          <t>3808.91.99</t>
        </is>
      </c>
      <c r="J267" s="7" t="inlineStr">
        <is>
          <t>NÃO</t>
        </is>
      </c>
      <c r="K267" s="7" t="inlineStr">
        <is>
          <t>Embalagem Rígida — LAVÁVEL (Obrigatória Tríplice Lavagem ou Pressão)</t>
        </is>
      </c>
      <c r="L267" s="7" t="inlineStr">
        <is>
          <t>NÃO</t>
        </is>
      </c>
      <c r="M267" s="7" t="inlineStr">
        <is>
          <t>0,00% (Lei nº 10.925/2004)</t>
        </is>
      </c>
      <c r="N267" s="7" t="inlineStr">
        <is>
          <t>0,925% (LC nº 224/2025)</t>
        </is>
      </c>
      <c r="O267" s="7" t="inlineStr">
        <is>
          <t>0,365% (LC nº 224/2025)</t>
        </is>
      </c>
      <c r="P267" s="7" t="inlineStr">
        <is>
          <t>CST 06</t>
        </is>
      </c>
      <c r="Q267" s="7" t="inlineStr">
        <is>
          <t>CST 73</t>
        </is>
      </c>
      <c r="R267" s="7" t="inlineStr">
        <is>
          <t>Redução de 60% + Diferimento (Art. 138 e Anexo IX LC 214/2025)</t>
        </is>
      </c>
    </row>
    <row r="268" ht="22" customHeight="1">
      <c r="A268" s="12" t="inlineStr">
        <is>
          <t>SKU-0264</t>
        </is>
      </c>
      <c r="B268" s="11" t="n">
        <v>198</v>
      </c>
      <c r="C268" s="13" t="inlineStr">
        <is>
          <t>Nº 22417</t>
        </is>
      </c>
      <c r="D268" s="14" t="inlineStr">
        <is>
          <t>SUMYZIN</t>
        </is>
      </c>
      <c r="E268" s="13" t="inlineStr">
        <is>
          <t>Embalagem Comercial do Produto</t>
        </is>
      </c>
      <c r="F268" s="13" t="inlineStr">
        <is>
          <t>4X5L (5 L)</t>
        </is>
      </c>
      <c r="G268" s="13" t="inlineStr">
        <is>
          <t>L</t>
        </is>
      </c>
      <c r="H268" s="15" t="n">
        <v>5</v>
      </c>
      <c r="I268" s="13" t="inlineStr">
        <is>
          <t>3808.93.29</t>
        </is>
      </c>
      <c r="J268" s="13" t="inlineStr">
        <is>
          <t>NÃO</t>
        </is>
      </c>
      <c r="K268" s="13" t="inlineStr">
        <is>
          <t>Embalagem Rígida — LAVÁVEL (Obrigatória Tríplice Lavagem ou Pressão)</t>
        </is>
      </c>
      <c r="L268" s="13" t="inlineStr">
        <is>
          <t>NÃO</t>
        </is>
      </c>
      <c r="M268" s="13" t="inlineStr">
        <is>
          <t>0,00% (Lei nº 10.925/2004)</t>
        </is>
      </c>
      <c r="N268" s="13" t="inlineStr">
        <is>
          <t>0,925% (LC nº 224/2025)</t>
        </is>
      </c>
      <c r="O268" s="13" t="inlineStr">
        <is>
          <t>0,365% (LC nº 224/2025)</t>
        </is>
      </c>
      <c r="P268" s="13" t="inlineStr">
        <is>
          <t>CST 06</t>
        </is>
      </c>
      <c r="Q268" s="13" t="inlineStr">
        <is>
          <t>CST 73</t>
        </is>
      </c>
      <c r="R268" s="13" t="inlineStr">
        <is>
          <t>Redução de 60% + Diferimento (Art. 138 e Anexo IX LC 214/2025)</t>
        </is>
      </c>
    </row>
    <row r="269" ht="22" customHeight="1">
      <c r="A269" s="6" t="inlineStr">
        <is>
          <t>SKU-0265</t>
        </is>
      </c>
      <c r="B269" s="5" t="n">
        <v>199</v>
      </c>
      <c r="C269" s="7" t="inlineStr">
        <is>
          <t>Nº 28520</t>
        </is>
      </c>
      <c r="D269" s="8" t="inlineStr">
        <is>
          <t>SENHA 720 WG</t>
        </is>
      </c>
      <c r="E269" s="7" t="inlineStr">
        <is>
          <t>Embalagem Comercial do Produto</t>
        </is>
      </c>
      <c r="F269" s="7" t="inlineStr">
        <is>
          <t>1X20KG (20 KG)</t>
        </is>
      </c>
      <c r="G269" s="7" t="inlineStr">
        <is>
          <t>KG</t>
        </is>
      </c>
      <c r="H269" s="9" t="n">
        <v>20</v>
      </c>
      <c r="I269" s="7" t="inlineStr">
        <is>
          <t>3808.93.24</t>
        </is>
      </c>
      <c r="J269" s="7" t="inlineStr">
        <is>
          <t>NÃO</t>
        </is>
      </c>
      <c r="K269" s="7" t="inlineStr">
        <is>
          <t>Embalagem Flexível — NÃO LAVÁVEL (Perfurar e usar saco ABNT)</t>
        </is>
      </c>
      <c r="L269" s="7" t="inlineStr">
        <is>
          <t>SIM (Saco Transparente ABNT)</t>
        </is>
      </c>
      <c r="M269" s="7" t="inlineStr">
        <is>
          <t>0,00% (Lei nº 10.925/2004)</t>
        </is>
      </c>
      <c r="N269" s="7" t="inlineStr">
        <is>
          <t>0,925% (LC nº 224/2025)</t>
        </is>
      </c>
      <c r="O269" s="7" t="inlineStr">
        <is>
          <t>0,365% (LC nº 224/2025)</t>
        </is>
      </c>
      <c r="P269" s="7" t="inlineStr">
        <is>
          <t>CST 06</t>
        </is>
      </c>
      <c r="Q269" s="7" t="inlineStr">
        <is>
          <t>CST 73</t>
        </is>
      </c>
      <c r="R269" s="7" t="inlineStr">
        <is>
          <t>Redução de 60% + Diferimento (Art. 138 e Anexo IX LC 214/2025)</t>
        </is>
      </c>
    </row>
    <row r="270" ht="22" customHeight="1">
      <c r="A270" s="12" t="inlineStr">
        <is>
          <t>SKU-0266</t>
        </is>
      </c>
      <c r="B270" s="11" t="n">
        <v>200</v>
      </c>
      <c r="C270" s="13" t="inlineStr">
        <is>
          <t>SIPEAGRO (UF-XXXXX)</t>
        </is>
      </c>
      <c r="D270" s="14" t="inlineStr">
        <is>
          <t>AGCN MG 16</t>
        </is>
      </c>
      <c r="E270" s="13" t="inlineStr">
        <is>
          <t>Embalagem Comercial do Produto</t>
        </is>
      </c>
      <c r="F270" s="13" t="inlineStr">
        <is>
          <t>4X5KG (5 KG)</t>
        </is>
      </c>
      <c r="G270" s="13" t="inlineStr">
        <is>
          <t>KG</t>
        </is>
      </c>
      <c r="H270" s="15" t="n">
        <v>5</v>
      </c>
      <c r="I270" s="13" t="inlineStr">
        <is>
          <t>3105.90.90</t>
        </is>
      </c>
      <c r="J270" s="13" t="inlineStr">
        <is>
          <t>NÃO</t>
        </is>
      </c>
      <c r="K270" s="13" t="inlineStr">
        <is>
          <t>Embalagem de Insumo Nutricional/Biológico (Logística Reversa)</t>
        </is>
      </c>
      <c r="L270" s="13" t="inlineStr">
        <is>
          <t>NÃO</t>
        </is>
      </c>
      <c r="M270" s="13" t="inlineStr">
        <is>
          <t>0,00% (Lei nº 10.925/2004)</t>
        </is>
      </c>
      <c r="N270" s="13" t="inlineStr">
        <is>
          <t>0,925% (LC nº 224/2025)</t>
        </is>
      </c>
      <c r="O270" s="13" t="inlineStr">
        <is>
          <t>0,365% (LC nº 224/2025)</t>
        </is>
      </c>
      <c r="P270" s="13" t="inlineStr">
        <is>
          <t>CST 06</t>
        </is>
      </c>
      <c r="Q270" s="13" t="inlineStr">
        <is>
          <t>CST 73</t>
        </is>
      </c>
      <c r="R270" s="13" t="inlineStr">
        <is>
          <t>Redução de 60% + Diferimento (Art. 138 e Anexo IX LC 214/2025)</t>
        </is>
      </c>
    </row>
    <row r="271" ht="22" customHeight="1">
      <c r="A271" s="6" t="inlineStr">
        <is>
          <t>SKU-0267</t>
        </is>
      </c>
      <c r="B271" s="5" t="n">
        <v>200</v>
      </c>
      <c r="C271" s="7" t="inlineStr">
        <is>
          <t>SIPEAGRO (UF-XXXXX)</t>
        </is>
      </c>
      <c r="D271" s="8" t="inlineStr">
        <is>
          <t>AGCN MG 16</t>
        </is>
      </c>
      <c r="E271" s="7" t="inlineStr">
        <is>
          <t>Faixa 1 TIPI (Apresentação &lt;= 300 g ou mL)</t>
        </is>
      </c>
      <c r="F271" s="7" t="inlineStr">
        <is>
          <t>Fracionado / Amostra &lt;= 0,3 KG</t>
        </is>
      </c>
      <c r="G271" s="7" t="inlineStr">
        <is>
          <t>KG</t>
        </is>
      </c>
      <c r="H271" s="17" t="n">
        <v>0.3</v>
      </c>
      <c r="I271" s="7" t="inlineStr">
        <is>
          <t>2833.29.70</t>
        </is>
      </c>
      <c r="J271" s="7" t="inlineStr">
        <is>
          <t>NÃO</t>
        </is>
      </c>
      <c r="K271" s="7" t="inlineStr">
        <is>
          <t>Embalagem de Insumo Nutricional/Biológico (Logística Reversa)</t>
        </is>
      </c>
      <c r="L271" s="7" t="inlineStr">
        <is>
          <t>NÃO</t>
        </is>
      </c>
      <c r="M271" s="7" t="inlineStr">
        <is>
          <t>0,00% (Lei nº 10.925/2004)</t>
        </is>
      </c>
      <c r="N271" s="7" t="inlineStr">
        <is>
          <t>0,925% (LC nº 224/2025)</t>
        </is>
      </c>
      <c r="O271" s="7" t="inlineStr">
        <is>
          <t>0,365% (LC nº 224/2025)</t>
        </is>
      </c>
      <c r="P271" s="7" t="inlineStr">
        <is>
          <t>CST 06</t>
        </is>
      </c>
      <c r="Q271" s="7" t="inlineStr">
        <is>
          <t>CST 73</t>
        </is>
      </c>
      <c r="R271" s="7" t="inlineStr">
        <is>
          <t>Redução de 60% + Diferimento (Art. 138 e Anexo IX LC 214/2025)</t>
        </is>
      </c>
    </row>
    <row r="272" ht="22" customHeight="1">
      <c r="A272" s="12" t="inlineStr">
        <is>
          <t>SKU-0268</t>
        </is>
      </c>
      <c r="B272" s="11" t="n">
        <v>201</v>
      </c>
      <c r="C272" s="13" t="inlineStr">
        <is>
          <t>Nº 25119</t>
        </is>
      </c>
      <c r="D272" s="14" t="inlineStr">
        <is>
          <t>GLIFOSATO 72WG ALAMOS</t>
        </is>
      </c>
      <c r="E272" s="13" t="inlineStr">
        <is>
          <t>Embalagem Comercial do Produto</t>
        </is>
      </c>
      <c r="F272" s="13" t="inlineStr">
        <is>
          <t>1X20KG (20 KG)</t>
        </is>
      </c>
      <c r="G272" s="13" t="inlineStr">
        <is>
          <t>KG</t>
        </is>
      </c>
      <c r="H272" s="15" t="n">
        <v>20</v>
      </c>
      <c r="I272" s="13" t="inlineStr">
        <is>
          <t>3808.93.24</t>
        </is>
      </c>
      <c r="J272" s="13" t="inlineStr">
        <is>
          <t>NÃO</t>
        </is>
      </c>
      <c r="K272" s="13" t="inlineStr">
        <is>
          <t>Embalagem Flexível — NÃO LAVÁVEL (Perfurar e usar saco ABNT)</t>
        </is>
      </c>
      <c r="L272" s="13" t="inlineStr">
        <is>
          <t>SIM (Saco Transparente ABNT)</t>
        </is>
      </c>
      <c r="M272" s="13" t="inlineStr">
        <is>
          <t>0,00% (Lei nº 10.925/2004)</t>
        </is>
      </c>
      <c r="N272" s="13" t="inlineStr">
        <is>
          <t>0,925% (LC nº 224/2025)</t>
        </is>
      </c>
      <c r="O272" s="13" t="inlineStr">
        <is>
          <t>0,365% (LC nº 224/2025)</t>
        </is>
      </c>
      <c r="P272" s="13" t="inlineStr">
        <is>
          <t>CST 06</t>
        </is>
      </c>
      <c r="Q272" s="13" t="inlineStr">
        <is>
          <t>CST 73</t>
        </is>
      </c>
      <c r="R272" s="13" t="inlineStr">
        <is>
          <t>Redução de 60% + Diferimento (Art. 138 e Anexo IX LC 214/2025)</t>
        </is>
      </c>
    </row>
    <row r="273" ht="22" customHeight="1">
      <c r="A273" s="6" t="inlineStr">
        <is>
          <t>SKU-0269</t>
        </is>
      </c>
      <c r="B273" s="5" t="n">
        <v>202</v>
      </c>
      <c r="C273" s="7" t="inlineStr">
        <is>
          <t>Nº 28923</t>
        </is>
      </c>
      <c r="D273" s="8" t="inlineStr">
        <is>
          <t>PREVENTIS</t>
        </is>
      </c>
      <c r="E273" s="7" t="inlineStr">
        <is>
          <t>Embalagem Comercial do Produto</t>
        </is>
      </c>
      <c r="F273" s="7" t="inlineStr">
        <is>
          <t>1X10L (10 L)</t>
        </is>
      </c>
      <c r="G273" s="7" t="inlineStr">
        <is>
          <t>KG</t>
        </is>
      </c>
      <c r="H273" s="9" t="n">
        <v>10</v>
      </c>
      <c r="I273" s="7" t="inlineStr">
        <is>
          <t>3808.92.93</t>
        </is>
      </c>
      <c r="J273" s="7" t="inlineStr">
        <is>
          <t>NÃO</t>
        </is>
      </c>
      <c r="K273" s="7" t="inlineStr">
        <is>
          <t>Embalagem Flexível — NÃO LAVÁVEL (Perfurar e usar saco ABNT)</t>
        </is>
      </c>
      <c r="L273" s="7" t="inlineStr">
        <is>
          <t>SIM (Saco Transparente ABNT)</t>
        </is>
      </c>
      <c r="M273" s="7" t="inlineStr">
        <is>
          <t>0,00% (Lei nº 10.925/2004)</t>
        </is>
      </c>
      <c r="N273" s="7" t="inlineStr">
        <is>
          <t>0,925% (LC nº 224/2025)</t>
        </is>
      </c>
      <c r="O273" s="7" t="inlineStr">
        <is>
          <t>0,365% (LC nº 224/2025)</t>
        </is>
      </c>
      <c r="P273" s="7" t="inlineStr">
        <is>
          <t>CST 06</t>
        </is>
      </c>
      <c r="Q273" s="7" t="inlineStr">
        <is>
          <t>CST 73</t>
        </is>
      </c>
      <c r="R273" s="7" t="inlineStr">
        <is>
          <t>Redução de 60% + Diferimento (Art. 138 e Anexo IX LC 214/2025)</t>
        </is>
      </c>
    </row>
    <row r="274" ht="22" customHeight="1">
      <c r="A274" s="12" t="inlineStr">
        <is>
          <t>SKU-0270</t>
        </is>
      </c>
      <c r="B274" s="11" t="n">
        <v>203</v>
      </c>
      <c r="C274" s="13" t="inlineStr">
        <is>
          <t>SIPEAGRO (UF-XXXXX)</t>
        </is>
      </c>
      <c r="D274" s="14" t="inlineStr">
        <is>
          <t>F.M.A. BR B6,0 CU1,0 MN7,5 ZN1,0</t>
        </is>
      </c>
      <c r="E274" s="13" t="inlineStr">
        <is>
          <t>Embalagem Comercial do Produto</t>
        </is>
      </c>
      <c r="F274" s="13" t="inlineStr">
        <is>
          <t>1000KG (1000 KG)</t>
        </is>
      </c>
      <c r="G274" s="13" t="inlineStr">
        <is>
          <t>KG</t>
        </is>
      </c>
      <c r="H274" s="15" t="n">
        <v>1000</v>
      </c>
      <c r="I274" s="13" t="inlineStr">
        <is>
          <t>3824.99.79</t>
        </is>
      </c>
      <c r="J274" s="13" t="inlineStr">
        <is>
          <t>NÃO</t>
        </is>
      </c>
      <c r="K274" s="13" t="inlineStr">
        <is>
          <t>Embalagem de Insumo Nutricional/Biológico (Logística Reversa)</t>
        </is>
      </c>
      <c r="L274" s="13" t="inlineStr">
        <is>
          <t>NÃO</t>
        </is>
      </c>
      <c r="M274" s="13" t="inlineStr">
        <is>
          <t>0,00% (Lei nº 10.925/2004)</t>
        </is>
      </c>
      <c r="N274" s="13" t="inlineStr">
        <is>
          <t>0,925% (LC nº 224/2025)</t>
        </is>
      </c>
      <c r="O274" s="13" t="inlineStr">
        <is>
          <t>0,365% (LC nº 224/2025)</t>
        </is>
      </c>
      <c r="P274" s="13" t="inlineStr">
        <is>
          <t>CST 06 (Uso Agrícola/Industrial)</t>
        </is>
      </c>
      <c r="Q274" s="13" t="inlineStr">
        <is>
          <t>CST 73 (Revenda / Destinação)</t>
        </is>
      </c>
      <c r="R274" s="13" t="inlineStr">
        <is>
          <t>Redução de 60% + Diferimento (Art. 138 LC 214/2025)</t>
        </is>
      </c>
    </row>
    <row r="275" ht="22" customHeight="1">
      <c r="A275" s="6" t="inlineStr">
        <is>
          <t>SKU-0271</t>
        </is>
      </c>
      <c r="B275" s="5" t="n">
        <v>203</v>
      </c>
      <c r="C275" s="7" t="inlineStr">
        <is>
          <t>SIPEAGRO (UF-XXXXX)</t>
        </is>
      </c>
      <c r="D275" s="8" t="inlineStr">
        <is>
          <t>F.M.A. BR B6,0 CU1,0 MN7,5 ZN1,0</t>
        </is>
      </c>
      <c r="E275" s="7" t="inlineStr">
        <is>
          <t>Faixa 1 TIPI (Apresentação &lt;= 300 g ou mL)</t>
        </is>
      </c>
      <c r="F275" s="7" t="inlineStr">
        <is>
          <t>Fracionado / Amostra &lt;= 0,3 KG</t>
        </is>
      </c>
      <c r="G275" s="7" t="inlineStr">
        <is>
          <t>KG</t>
        </is>
      </c>
      <c r="H275" s="17" t="n">
        <v>0.3</v>
      </c>
      <c r="I275" s="7" t="inlineStr">
        <is>
          <t>3105.90.90</t>
        </is>
      </c>
      <c r="J275" s="7" t="inlineStr">
        <is>
          <t>NÃO</t>
        </is>
      </c>
      <c r="K275" s="7" t="inlineStr">
        <is>
          <t>Embalagem de Insumo Nutricional/Biológico (Logística Reversa)</t>
        </is>
      </c>
      <c r="L275" s="7" t="inlineStr">
        <is>
          <t>NÃO</t>
        </is>
      </c>
      <c r="M275" s="7" t="inlineStr">
        <is>
          <t>0,00% (Lei nº 10.925/2004)</t>
        </is>
      </c>
      <c r="N275" s="7" t="inlineStr">
        <is>
          <t>0,925% (LC nº 224/2025)</t>
        </is>
      </c>
      <c r="O275" s="7" t="inlineStr">
        <is>
          <t>0,365% (LC nº 224/2025)</t>
        </is>
      </c>
      <c r="P275" s="7" t="inlineStr">
        <is>
          <t>CST 06 (Uso Agrícola/Industrial)</t>
        </is>
      </c>
      <c r="Q275" s="7" t="inlineStr">
        <is>
          <t>CST 73 (Revenda / Destinação)</t>
        </is>
      </c>
      <c r="R275" s="7" t="inlineStr">
        <is>
          <t>Redução de 60% + Diferimento (Art. 138 LC 214/2025)</t>
        </is>
      </c>
    </row>
    <row r="276" ht="22" customHeight="1">
      <c r="A276" s="12" t="inlineStr">
        <is>
          <t>SKU-0272</t>
        </is>
      </c>
      <c r="B276" s="11" t="n">
        <v>204</v>
      </c>
      <c r="C276" s="13" t="inlineStr">
        <is>
          <t>Nº 15407</t>
        </is>
      </c>
      <c r="D276" s="14" t="inlineStr">
        <is>
          <t>SMITE</t>
        </is>
      </c>
      <c r="E276" s="13" t="inlineStr">
        <is>
          <t>Embalagem Comercial do Produto</t>
        </is>
      </c>
      <c r="F276" s="13" t="inlineStr">
        <is>
          <t>10X1L (1 L)</t>
        </is>
      </c>
      <c r="G276" s="13" t="inlineStr">
        <is>
          <t>L</t>
        </is>
      </c>
      <c r="H276" s="15" t="n">
        <v>1</v>
      </c>
      <c r="I276" s="13" t="inlineStr">
        <is>
          <t>3808.99.93</t>
        </is>
      </c>
      <c r="J276" s="13" t="inlineStr">
        <is>
          <t>NÃO</t>
        </is>
      </c>
      <c r="K276" s="13" t="inlineStr">
        <is>
          <t>Embalagem Rígida — LAVÁVEL (Obrigatória Tríplice Lavagem ou Pressão)</t>
        </is>
      </c>
      <c r="L276" s="13" t="inlineStr">
        <is>
          <t>NÃO</t>
        </is>
      </c>
      <c r="M276" s="13" t="inlineStr">
        <is>
          <t>0,00% (Lei nº 10.925/2004)</t>
        </is>
      </c>
      <c r="N276" s="13" t="inlineStr">
        <is>
          <t>0,925% (LC nº 224/2025)</t>
        </is>
      </c>
      <c r="O276" s="13" t="inlineStr">
        <is>
          <t>0,365% (LC nº 224/2025)</t>
        </is>
      </c>
      <c r="P276" s="13" t="inlineStr">
        <is>
          <t>CST 06</t>
        </is>
      </c>
      <c r="Q276" s="13" t="inlineStr">
        <is>
          <t>CST 73</t>
        </is>
      </c>
      <c r="R276" s="13" t="inlineStr">
        <is>
          <t>Redução de 60% + Diferimento (Art. 138 e Anexo IX LC 214/2025)</t>
        </is>
      </c>
    </row>
    <row r="277" ht="22" customHeight="1">
      <c r="A277" s="6" t="inlineStr">
        <is>
          <t>SKU-0273</t>
        </is>
      </c>
      <c r="B277" s="5" t="n">
        <v>205</v>
      </c>
      <c r="C277" s="7" t="inlineStr">
        <is>
          <t>Nº 9420</t>
        </is>
      </c>
      <c r="D277" s="8" t="inlineStr">
        <is>
          <t>ENSIS-TURBO</t>
        </is>
      </c>
      <c r="E277" s="7" t="inlineStr">
        <is>
          <t>Embalagem Comercial do Produto</t>
        </is>
      </c>
      <c r="F277" s="7" t="inlineStr">
        <is>
          <t>1X20L (20 L)</t>
        </is>
      </c>
      <c r="G277" s="7" t="inlineStr">
        <is>
          <t>L</t>
        </is>
      </c>
      <c r="H277" s="9" t="n">
        <v>20</v>
      </c>
      <c r="I277" s="7" t="inlineStr">
        <is>
          <t>3808.92.99</t>
        </is>
      </c>
      <c r="J277" s="7" t="inlineStr">
        <is>
          <t>NÃO</t>
        </is>
      </c>
      <c r="K277" s="7" t="inlineStr">
        <is>
          <t>Embalagem Rígida — LAVÁVEL (Obrigatória Tríplice Lavagem ou Pressão)</t>
        </is>
      </c>
      <c r="L277" s="7" t="inlineStr">
        <is>
          <t>NÃO</t>
        </is>
      </c>
      <c r="M277" s="7" t="inlineStr">
        <is>
          <t>0,00% (Lei nº 10.925/2004)</t>
        </is>
      </c>
      <c r="N277" s="7" t="inlineStr">
        <is>
          <t>0,925% (LC nº 224/2025)</t>
        </is>
      </c>
      <c r="O277" s="7" t="inlineStr">
        <is>
          <t>0,365% (LC nº 224/2025)</t>
        </is>
      </c>
      <c r="P277" s="7" t="inlineStr">
        <is>
          <t>CST 06</t>
        </is>
      </c>
      <c r="Q277" s="7" t="inlineStr">
        <is>
          <t>CST 73</t>
        </is>
      </c>
      <c r="R277" s="7" t="inlineStr">
        <is>
          <t>Redução de 60% + Diferimento (Art. 138 e Anexo IX LC 214/2025)</t>
        </is>
      </c>
    </row>
    <row r="278" ht="22" customHeight="1">
      <c r="A278" s="12" t="inlineStr">
        <is>
          <t>SKU-0274</t>
        </is>
      </c>
      <c r="B278" s="11" t="n">
        <v>206</v>
      </c>
      <c r="C278" s="13" t="inlineStr">
        <is>
          <t>Nº 27323</t>
        </is>
      </c>
      <c r="D278" s="14" t="inlineStr">
        <is>
          <t>ACEGOL</t>
        </is>
      </c>
      <c r="E278" s="13" t="inlineStr">
        <is>
          <t>Embalagem Comercial do Produto</t>
        </is>
      </c>
      <c r="F278" s="13" t="inlineStr">
        <is>
          <t>1X20KG (20 KG)</t>
        </is>
      </c>
      <c r="G278" s="13" t="inlineStr">
        <is>
          <t>KG</t>
        </is>
      </c>
      <c r="H278" s="15" t="n">
        <v>20</v>
      </c>
      <c r="I278" s="13" t="inlineStr">
        <is>
          <t>3808.91.99</t>
        </is>
      </c>
      <c r="J278" s="13" t="inlineStr">
        <is>
          <t>NÃO</t>
        </is>
      </c>
      <c r="K278" s="13" t="inlineStr">
        <is>
          <t>Embalagem Flexível — NÃO LAVÁVEL (Perfurar e usar saco ABNT)</t>
        </is>
      </c>
      <c r="L278" s="13" t="inlineStr">
        <is>
          <t>SIM (Saco Transparente ABNT)</t>
        </is>
      </c>
      <c r="M278" s="13" t="inlineStr">
        <is>
          <t>0,00% (Lei nº 10.925/2004)</t>
        </is>
      </c>
      <c r="N278" s="13" t="inlineStr">
        <is>
          <t>0,925% (LC nº 224/2025)</t>
        </is>
      </c>
      <c r="O278" s="13" t="inlineStr">
        <is>
          <t>0,365% (LC nº 224/2025)</t>
        </is>
      </c>
      <c r="P278" s="13" t="inlineStr">
        <is>
          <t>CST 06</t>
        </is>
      </c>
      <c r="Q278" s="13" t="inlineStr">
        <is>
          <t>CST 73</t>
        </is>
      </c>
      <c r="R278" s="13" t="inlineStr">
        <is>
          <t>Redução de 60% + Diferimento (Art. 138 e Anexo IX LC 214/2025)</t>
        </is>
      </c>
    </row>
    <row r="279" ht="22" customHeight="1">
      <c r="A279" s="6" t="inlineStr">
        <is>
          <t>SKU-0275</t>
        </is>
      </c>
      <c r="B279" s="5" t="n">
        <v>207</v>
      </c>
      <c r="C279" s="7" t="inlineStr">
        <is>
          <t>Nº 43818</t>
        </is>
      </c>
      <c r="D279" s="8" t="inlineStr">
        <is>
          <t>DIAFENTIURON</t>
        </is>
      </c>
      <c r="E279" s="7" t="inlineStr">
        <is>
          <t>Embalagem Comercial do Produto</t>
        </is>
      </c>
      <c r="F279" s="7" t="inlineStr">
        <is>
          <t>4X5L (5 L)</t>
        </is>
      </c>
      <c r="G279" s="7" t="inlineStr">
        <is>
          <t>L</t>
        </is>
      </c>
      <c r="H279" s="9" t="n">
        <v>5</v>
      </c>
      <c r="I279" s="7" t="inlineStr">
        <is>
          <t>3808.91.99</t>
        </is>
      </c>
      <c r="J279" s="7" t="inlineStr">
        <is>
          <t>NÃO</t>
        </is>
      </c>
      <c r="K279" s="7" t="inlineStr">
        <is>
          <t>Embalagem Rígida — LAVÁVEL (Obrigatória Tríplice Lavagem ou Pressão)</t>
        </is>
      </c>
      <c r="L279" s="7" t="inlineStr">
        <is>
          <t>NÃO</t>
        </is>
      </c>
      <c r="M279" s="7" t="inlineStr">
        <is>
          <t>0,00% (Lei nº 10.925/2004)</t>
        </is>
      </c>
      <c r="N279" s="7" t="inlineStr">
        <is>
          <t>0,925% (LC nº 224/2025)</t>
        </is>
      </c>
      <c r="O279" s="7" t="inlineStr">
        <is>
          <t>0,365% (LC nº 224/2025)</t>
        </is>
      </c>
      <c r="P279" s="7" t="inlineStr">
        <is>
          <t>CST 06</t>
        </is>
      </c>
      <c r="Q279" s="7" t="inlineStr">
        <is>
          <t>CST 73</t>
        </is>
      </c>
      <c r="R279" s="7" t="inlineStr">
        <is>
          <t>Redução de 60% + Diferimento (Art. 138 e Anexo IX LC 214/2025)</t>
        </is>
      </c>
    </row>
    <row r="280" ht="22" customHeight="1">
      <c r="A280" s="12" t="inlineStr">
        <is>
          <t>SKU-0276</t>
        </is>
      </c>
      <c r="B280" s="11" t="n">
        <v>208</v>
      </c>
      <c r="C280" s="13" t="inlineStr">
        <is>
          <t>Nº 26017</t>
        </is>
      </c>
      <c r="D280" s="14" t="inlineStr">
        <is>
          <t>MESOTRIONE</t>
        </is>
      </c>
      <c r="E280" s="13" t="inlineStr">
        <is>
          <t>Embalagem Comercial do Produto</t>
        </is>
      </c>
      <c r="F280" s="13" t="inlineStr">
        <is>
          <t>1X20L (20 L)</t>
        </is>
      </c>
      <c r="G280" s="13" t="inlineStr">
        <is>
          <t>L</t>
        </is>
      </c>
      <c r="H280" s="15" t="n">
        <v>20</v>
      </c>
      <c r="I280" s="13" t="inlineStr">
        <is>
          <t>3808.93.29</t>
        </is>
      </c>
      <c r="J280" s="13" t="inlineStr">
        <is>
          <t>NÃO</t>
        </is>
      </c>
      <c r="K280" s="13" t="inlineStr">
        <is>
          <t>Embalagem Rígida — LAVÁVEL (Obrigatória Tríplice Lavagem ou Pressão)</t>
        </is>
      </c>
      <c r="L280" s="13" t="inlineStr">
        <is>
          <t>NÃO</t>
        </is>
      </c>
      <c r="M280" s="13" t="inlineStr">
        <is>
          <t>0,00% (Lei nº 10.925/2004)</t>
        </is>
      </c>
      <c r="N280" s="13" t="inlineStr">
        <is>
          <t>0,925% (LC nº 224/2025)</t>
        </is>
      </c>
      <c r="O280" s="13" t="inlineStr">
        <is>
          <t>0,365% (LC nº 224/2025)</t>
        </is>
      </c>
      <c r="P280" s="13" t="inlineStr">
        <is>
          <t>CST 06</t>
        </is>
      </c>
      <c r="Q280" s="13" t="inlineStr">
        <is>
          <t>CST 73</t>
        </is>
      </c>
      <c r="R280" s="13" t="inlineStr">
        <is>
          <t>Redução de 60% + Diferimento (Art. 138 e Anexo IX LC 214/2025)</t>
        </is>
      </c>
    </row>
    <row r="281" ht="22" customHeight="1">
      <c r="A281" s="6" t="inlineStr">
        <is>
          <t>SKU-0277</t>
        </is>
      </c>
      <c r="B281" s="5" t="n">
        <v>209</v>
      </c>
      <c r="C281" s="7" t="inlineStr">
        <is>
          <t>Nº 9823</t>
        </is>
      </c>
      <c r="D281" s="8" t="inlineStr">
        <is>
          <t>OLASOJA</t>
        </is>
      </c>
      <c r="E281" s="7" t="inlineStr">
        <is>
          <t>Embalagem Comercial do Produto</t>
        </is>
      </c>
      <c r="F281" s="7" t="inlineStr">
        <is>
          <t>4X5L (5 L)</t>
        </is>
      </c>
      <c r="G281" s="7" t="inlineStr">
        <is>
          <t>L</t>
        </is>
      </c>
      <c r="H281" s="9" t="n">
        <v>5</v>
      </c>
      <c r="I281" s="7" t="inlineStr">
        <is>
          <t>3808.93.29</t>
        </is>
      </c>
      <c r="J281" s="7" t="inlineStr">
        <is>
          <t>NÃO</t>
        </is>
      </c>
      <c r="K281" s="7" t="inlineStr">
        <is>
          <t>Embalagem Rígida — LAVÁVEL (Obrigatória Tríplice Lavagem ou Pressão)</t>
        </is>
      </c>
      <c r="L281" s="7" t="inlineStr">
        <is>
          <t>NÃO</t>
        </is>
      </c>
      <c r="M281" s="7" t="inlineStr">
        <is>
          <t>0,00% (Lei nº 10.925/2004)</t>
        </is>
      </c>
      <c r="N281" s="7" t="inlineStr">
        <is>
          <t>0,925% (LC nº 224/2025)</t>
        </is>
      </c>
      <c r="O281" s="7" t="inlineStr">
        <is>
          <t>0,365% (LC nº 224/2025)</t>
        </is>
      </c>
      <c r="P281" s="7" t="inlineStr">
        <is>
          <t>CST 06</t>
        </is>
      </c>
      <c r="Q281" s="7" t="inlineStr">
        <is>
          <t>CST 73</t>
        </is>
      </c>
      <c r="R281" s="7" t="inlineStr">
        <is>
          <t>Redução de 60% + Diferimento (Art. 138 e Anexo IX LC 214/2025)</t>
        </is>
      </c>
    </row>
    <row r="282" ht="22" customHeight="1">
      <c r="A282" s="12" t="inlineStr">
        <is>
          <t>SKU-0278</t>
        </is>
      </c>
      <c r="B282" s="11" t="n">
        <v>210</v>
      </c>
      <c r="C282" s="13" t="inlineStr">
        <is>
          <t>SIPEAGRO (UF-XXXXX)</t>
        </is>
      </c>
      <c r="D282" s="14" t="inlineStr">
        <is>
          <t>MAGNIFIC</t>
        </is>
      </c>
      <c r="E282" s="13" t="inlineStr">
        <is>
          <t>Embalagem Comercial do Produto</t>
        </is>
      </c>
      <c r="F282" s="13" t="inlineStr">
        <is>
          <t>1X25KG (25 KG)</t>
        </is>
      </c>
      <c r="G282" s="13" t="inlineStr">
        <is>
          <t>KG</t>
        </is>
      </c>
      <c r="H282" s="15" t="n">
        <v>25</v>
      </c>
      <c r="I282" s="13" t="inlineStr">
        <is>
          <t>3102.90.00</t>
        </is>
      </c>
      <c r="J282" s="13" t="inlineStr">
        <is>
          <t>NÃO</t>
        </is>
      </c>
      <c r="K282" s="13" t="inlineStr">
        <is>
          <t>Embalagem de Insumo Nutricional/Biológico (Logística Reversa)</t>
        </is>
      </c>
      <c r="L282" s="13" t="inlineStr">
        <is>
          <t>NÃO</t>
        </is>
      </c>
      <c r="M282" s="13" t="inlineStr">
        <is>
          <t>0,00% (Lei nº 10.925/2004)</t>
        </is>
      </c>
      <c r="N282" s="13" t="inlineStr">
        <is>
          <t>0,925% (LC nº 224/2025)</t>
        </is>
      </c>
      <c r="O282" s="13" t="inlineStr">
        <is>
          <t>0,365% (LC nº 224/2025)</t>
        </is>
      </c>
      <c r="P282" s="13" t="inlineStr">
        <is>
          <t>CST 06</t>
        </is>
      </c>
      <c r="Q282" s="13" t="inlineStr">
        <is>
          <t>CST 73</t>
        </is>
      </c>
      <c r="R282" s="13" t="inlineStr">
        <is>
          <t>Redução de 60% + Diferimento (Art. 138 e Anexo IX LC 214/2025)</t>
        </is>
      </c>
    </row>
    <row r="283" ht="22" customHeight="1">
      <c r="A283" s="6" t="inlineStr">
        <is>
          <t>SKU-0279</t>
        </is>
      </c>
      <c r="B283" s="5" t="n">
        <v>210</v>
      </c>
      <c r="C283" s="7" t="inlineStr">
        <is>
          <t>SIPEAGRO (UF-XXXXX)</t>
        </is>
      </c>
      <c r="D283" s="8" t="inlineStr">
        <is>
          <t>MAGNIFIC</t>
        </is>
      </c>
      <c r="E283" s="7" t="inlineStr">
        <is>
          <t>Faixa 1 TIPI (Apresentação &lt;= 300 g ou mL)</t>
        </is>
      </c>
      <c r="F283" s="7" t="inlineStr">
        <is>
          <t>Fracionado / Amostra &lt;= 0,3 KG</t>
        </is>
      </c>
      <c r="G283" s="7" t="inlineStr">
        <is>
          <t>KG</t>
        </is>
      </c>
      <c r="H283" s="17" t="n">
        <v>0.3</v>
      </c>
      <c r="I283" s="7" t="inlineStr">
        <is>
          <t>3105.90.90</t>
        </is>
      </c>
      <c r="J283" s="7" t="inlineStr">
        <is>
          <t>NÃO</t>
        </is>
      </c>
      <c r="K283" s="7" t="inlineStr">
        <is>
          <t>Embalagem de Insumo Nutricional/Biológico (Logística Reversa)</t>
        </is>
      </c>
      <c r="L283" s="7" t="inlineStr">
        <is>
          <t>NÃO</t>
        </is>
      </c>
      <c r="M283" s="7" t="inlineStr">
        <is>
          <t>0,00% (Lei nº 10.925/2004)</t>
        </is>
      </c>
      <c r="N283" s="7" t="inlineStr">
        <is>
          <t>0,925% (LC nº 224/2025)</t>
        </is>
      </c>
      <c r="O283" s="7" t="inlineStr">
        <is>
          <t>0,365% (LC nº 224/2025)</t>
        </is>
      </c>
      <c r="P283" s="7" t="inlineStr">
        <is>
          <t>CST 06</t>
        </is>
      </c>
      <c r="Q283" s="7" t="inlineStr">
        <is>
          <t>CST 73</t>
        </is>
      </c>
      <c r="R283" s="7" t="inlineStr">
        <is>
          <t>Redução de 60% + Diferimento (Art. 138 e Anexo IX LC 214/2025)</t>
        </is>
      </c>
    </row>
    <row r="284" ht="22" customHeight="1">
      <c r="A284" s="12" t="inlineStr">
        <is>
          <t>SKU-0280</t>
        </is>
      </c>
      <c r="B284" s="11" t="n">
        <v>211</v>
      </c>
      <c r="C284" s="13" t="inlineStr">
        <is>
          <t>SIPEAGRO (UF-XXXXX)</t>
        </is>
      </c>
      <c r="D284" s="14" t="inlineStr">
        <is>
          <t>BORON</t>
        </is>
      </c>
      <c r="E284" s="13" t="inlineStr">
        <is>
          <t>Embalagem Comercial do Produto</t>
        </is>
      </c>
      <c r="F284" s="13" t="inlineStr">
        <is>
          <t>1.000KG (1000 KG)</t>
        </is>
      </c>
      <c r="G284" s="13" t="inlineStr">
        <is>
          <t>KG</t>
        </is>
      </c>
      <c r="H284" s="15" t="n">
        <v>1</v>
      </c>
      <c r="I284" s="13" t="inlineStr">
        <is>
          <t>2528.00.00</t>
        </is>
      </c>
      <c r="J284" s="13" t="inlineStr">
        <is>
          <t>NÃO</t>
        </is>
      </c>
      <c r="K284" s="13" t="inlineStr">
        <is>
          <t>Embalagem de Insumo Nutricional/Biológico (Logística Reversa)</t>
        </is>
      </c>
      <c r="L284" s="13" t="inlineStr">
        <is>
          <t>NÃO</t>
        </is>
      </c>
      <c r="M284" s="13" t="inlineStr">
        <is>
          <t>0,00% (Lei nº 10.925/2004)</t>
        </is>
      </c>
      <c r="N284" s="13" t="inlineStr">
        <is>
          <t>0,925% (LC nº 224/2025)</t>
        </is>
      </c>
      <c r="O284" s="13" t="inlineStr">
        <is>
          <t>0,365% (LC nº 224/2025)</t>
        </is>
      </c>
      <c r="P284" s="13" t="inlineStr">
        <is>
          <t>CST 06 (Uso Agrícola/Industrial)</t>
        </is>
      </c>
      <c r="Q284" s="13" t="inlineStr">
        <is>
          <t>CST 73 (Revenda / Destinação)</t>
        </is>
      </c>
      <c r="R284" s="13" t="inlineStr">
        <is>
          <t>Redução de 60% + Diferimento (Art. 138 LC 214/2025)</t>
        </is>
      </c>
    </row>
    <row r="285" ht="22" customHeight="1">
      <c r="A285" s="6" t="inlineStr">
        <is>
          <t>SKU-0281</t>
        </is>
      </c>
      <c r="B285" s="5" t="n">
        <v>211</v>
      </c>
      <c r="C285" s="7" t="inlineStr">
        <is>
          <t>SIPEAGRO (UF-XXXXX)</t>
        </is>
      </c>
      <c r="D285" s="8" t="inlineStr">
        <is>
          <t>BORON</t>
        </is>
      </c>
      <c r="E285" s="7" t="inlineStr">
        <is>
          <t>Faixa 1 TIPI (Apresentação &lt;= 300 g ou mL)</t>
        </is>
      </c>
      <c r="F285" s="7" t="inlineStr">
        <is>
          <t>Fracionado / Amostra &lt;= 0,3 KG</t>
        </is>
      </c>
      <c r="G285" s="7" t="inlineStr">
        <is>
          <t>KG</t>
        </is>
      </c>
      <c r="H285" s="17" t="n">
        <v>0.3</v>
      </c>
      <c r="I285" s="7" t="inlineStr">
        <is>
          <t>3105.90.90</t>
        </is>
      </c>
      <c r="J285" s="7" t="inlineStr">
        <is>
          <t>NÃO</t>
        </is>
      </c>
      <c r="K285" s="7" t="inlineStr">
        <is>
          <t>Embalagem de Insumo Nutricional/Biológico (Logística Reversa)</t>
        </is>
      </c>
      <c r="L285" s="7" t="inlineStr">
        <is>
          <t>NÃO</t>
        </is>
      </c>
      <c r="M285" s="7" t="inlineStr">
        <is>
          <t>0,00% (Lei nº 10.925/2004)</t>
        </is>
      </c>
      <c r="N285" s="7" t="inlineStr">
        <is>
          <t>0,925% (LC nº 224/2025)</t>
        </is>
      </c>
      <c r="O285" s="7" t="inlineStr">
        <is>
          <t>0,365% (LC nº 224/2025)</t>
        </is>
      </c>
      <c r="P285" s="7" t="inlineStr">
        <is>
          <t>CST 06 (Uso Agrícola/Industrial)</t>
        </is>
      </c>
      <c r="Q285" s="7" t="inlineStr">
        <is>
          <t>CST 73 (Revenda / Destinação)</t>
        </is>
      </c>
      <c r="R285" s="7" t="inlineStr">
        <is>
          <t>Redução de 60% + Diferimento (Art. 138 LC 214/2025)</t>
        </is>
      </c>
    </row>
    <row r="286" ht="22" customHeight="1">
      <c r="A286" s="12" t="inlineStr">
        <is>
          <t>SKU-0282</t>
        </is>
      </c>
      <c r="B286" s="11" t="n">
        <v>212</v>
      </c>
      <c r="C286" s="13" t="inlineStr">
        <is>
          <t>Nº 28520</t>
        </is>
      </c>
      <c r="D286" s="14" t="inlineStr">
        <is>
          <t>SENHA 720 WG</t>
        </is>
      </c>
      <c r="E286" s="13" t="inlineStr">
        <is>
          <t>Embalagem Comercial do Produto</t>
        </is>
      </c>
      <c r="F286" s="13" t="inlineStr">
        <is>
          <t>1X10KG (10 KG)</t>
        </is>
      </c>
      <c r="G286" s="13" t="inlineStr">
        <is>
          <t>KG</t>
        </is>
      </c>
      <c r="H286" s="15" t="n">
        <v>10</v>
      </c>
      <c r="I286" s="13" t="inlineStr">
        <is>
          <t>3808.93.24</t>
        </is>
      </c>
      <c r="J286" s="13" t="inlineStr">
        <is>
          <t>NÃO</t>
        </is>
      </c>
      <c r="K286" s="13" t="inlineStr">
        <is>
          <t>Embalagem Flexível — NÃO LAVÁVEL (Perfurar e usar saco ABNT)</t>
        </is>
      </c>
      <c r="L286" s="13" t="inlineStr">
        <is>
          <t>SIM (Saco Transparente ABNT)</t>
        </is>
      </c>
      <c r="M286" s="13" t="inlineStr">
        <is>
          <t>0,00% (Lei nº 10.925/2004)</t>
        </is>
      </c>
      <c r="N286" s="13" t="inlineStr">
        <is>
          <t>0,925% (LC nº 224/2025)</t>
        </is>
      </c>
      <c r="O286" s="13" t="inlineStr">
        <is>
          <t>0,365% (LC nº 224/2025)</t>
        </is>
      </c>
      <c r="P286" s="13" t="inlineStr">
        <is>
          <t>CST 06</t>
        </is>
      </c>
      <c r="Q286" s="13" t="inlineStr">
        <is>
          <t>CST 73</t>
        </is>
      </c>
      <c r="R286" s="13" t="inlineStr">
        <is>
          <t>Redução de 60% + Diferimento (Art. 138 e Anexo IX LC 214/2025)</t>
        </is>
      </c>
    </row>
    <row r="287" ht="22" customHeight="1">
      <c r="A287" s="6" t="inlineStr">
        <is>
          <t>SKU-0283</t>
        </is>
      </c>
      <c r="B287" s="5" t="n">
        <v>213</v>
      </c>
      <c r="C287" s="7" t="inlineStr">
        <is>
          <t>Nº 24823</t>
        </is>
      </c>
      <c r="D287" s="8" t="inlineStr">
        <is>
          <t>OLASUL</t>
        </is>
      </c>
      <c r="E287" s="7" t="inlineStr">
        <is>
          <t>Embalagem Comercial do Produto</t>
        </is>
      </c>
      <c r="F287" s="7" t="inlineStr">
        <is>
          <t>4X5L (5 L)</t>
        </is>
      </c>
      <c r="G287" s="7" t="inlineStr">
        <is>
          <t>L</t>
        </is>
      </c>
      <c r="H287" s="9" t="n">
        <v>5</v>
      </c>
      <c r="I287" s="7" t="inlineStr">
        <is>
          <t>3808.93.29</t>
        </is>
      </c>
      <c r="J287" s="7" t="inlineStr">
        <is>
          <t>NÃO</t>
        </is>
      </c>
      <c r="K287" s="7" t="inlineStr">
        <is>
          <t>Embalagem Rígida — LAVÁVEL (Obrigatória Tríplice Lavagem ou Pressão)</t>
        </is>
      </c>
      <c r="L287" s="7" t="inlineStr">
        <is>
          <t>NÃO</t>
        </is>
      </c>
      <c r="M287" s="7" t="inlineStr">
        <is>
          <t>0,00% (Lei nº 10.925/2004)</t>
        </is>
      </c>
      <c r="N287" s="7" t="inlineStr">
        <is>
          <t>0,925% (LC nº 224/2025)</t>
        </is>
      </c>
      <c r="O287" s="7" t="inlineStr">
        <is>
          <t>0,365% (LC nº 224/2025)</t>
        </is>
      </c>
      <c r="P287" s="7" t="inlineStr">
        <is>
          <t>CST 06</t>
        </is>
      </c>
      <c r="Q287" s="7" t="inlineStr">
        <is>
          <t>CST 73</t>
        </is>
      </c>
      <c r="R287" s="7" t="inlineStr">
        <is>
          <t>Redução de 60% + Diferimento (Art. 138 e Anexo IX LC 214/2025)</t>
        </is>
      </c>
    </row>
    <row r="288" ht="22" customHeight="1">
      <c r="A288" s="12" t="inlineStr">
        <is>
          <t>SKU-0284</t>
        </is>
      </c>
      <c r="B288" s="11" t="n">
        <v>214</v>
      </c>
      <c r="C288" s="13" t="inlineStr">
        <is>
          <t>Nº 32323</t>
        </is>
      </c>
      <c r="D288" s="14" t="inlineStr">
        <is>
          <t>OLATAZON 400 EC</t>
        </is>
      </c>
      <c r="E288" s="13" t="inlineStr">
        <is>
          <t>Embalagem Comercial do Produto</t>
        </is>
      </c>
      <c r="F288" s="13" t="inlineStr">
        <is>
          <t>4X5L (5 L)</t>
        </is>
      </c>
      <c r="G288" s="13" t="inlineStr">
        <is>
          <t>L</t>
        </is>
      </c>
      <c r="H288" s="15" t="n">
        <v>5</v>
      </c>
      <c r="I288" s="13" t="inlineStr">
        <is>
          <t>3808.93.29</t>
        </is>
      </c>
      <c r="J288" s="13" t="inlineStr">
        <is>
          <t>NÃO</t>
        </is>
      </c>
      <c r="K288" s="13" t="inlineStr">
        <is>
          <t>Embalagem Rígida — LAVÁVEL (Obrigatória Tríplice Lavagem ou Pressão)</t>
        </is>
      </c>
      <c r="L288" s="13" t="inlineStr">
        <is>
          <t>NÃO</t>
        </is>
      </c>
      <c r="M288" s="13" t="inlineStr">
        <is>
          <t>0,00% (Lei nº 10.925/2004)</t>
        </is>
      </c>
      <c r="N288" s="13" t="inlineStr">
        <is>
          <t>0,925% (LC nº 224/2025)</t>
        </is>
      </c>
      <c r="O288" s="13" t="inlineStr">
        <is>
          <t>0,365% (LC nº 224/2025)</t>
        </is>
      </c>
      <c r="P288" s="13" t="inlineStr">
        <is>
          <t>CST 06</t>
        </is>
      </c>
      <c r="Q288" s="13" t="inlineStr">
        <is>
          <t>CST 73</t>
        </is>
      </c>
      <c r="R288" s="13" t="inlineStr">
        <is>
          <t>Redução de 60% + Diferimento (Art. 138 e Anexo IX LC 214/2025)</t>
        </is>
      </c>
    </row>
    <row r="289" ht="22" customHeight="1">
      <c r="A289" s="6" t="inlineStr">
        <is>
          <t>SKU-0285</t>
        </is>
      </c>
      <c r="B289" s="5" t="n">
        <v>215</v>
      </c>
      <c r="C289" s="7" t="inlineStr">
        <is>
          <t>Nº 30520</t>
        </is>
      </c>
      <c r="D289" s="8" t="inlineStr">
        <is>
          <t>MAXAPAC 250 EC</t>
        </is>
      </c>
      <c r="E289" s="7" t="inlineStr">
        <is>
          <t>Embalagem Comercial do Produto</t>
        </is>
      </c>
      <c r="F289" s="7" t="inlineStr">
        <is>
          <t>4X5L (5 L)</t>
        </is>
      </c>
      <c r="G289" s="7" t="inlineStr">
        <is>
          <t>L</t>
        </is>
      </c>
      <c r="H289" s="9" t="n">
        <v>5</v>
      </c>
      <c r="I289" s="7" t="inlineStr">
        <is>
          <t>3808.93.59</t>
        </is>
      </c>
      <c r="J289" s="7" t="inlineStr">
        <is>
          <t>NÃO</t>
        </is>
      </c>
      <c r="K289" s="7" t="inlineStr">
        <is>
          <t>Embalagem Rígida — LAVÁVEL (Obrigatória Tríplice Lavagem ou Pressão)</t>
        </is>
      </c>
      <c r="L289" s="7" t="inlineStr">
        <is>
          <t>NÃO</t>
        </is>
      </c>
      <c r="M289" s="7" t="inlineStr">
        <is>
          <t>0,00% (Lei nº 10.925/2004)</t>
        </is>
      </c>
      <c r="N289" s="7" t="inlineStr">
        <is>
          <t>0,925% (LC nº 224/2025)</t>
        </is>
      </c>
      <c r="O289" s="7" t="inlineStr">
        <is>
          <t>0,365% (LC nº 224/2025)</t>
        </is>
      </c>
      <c r="P289" s="7" t="inlineStr">
        <is>
          <t>CST 06</t>
        </is>
      </c>
      <c r="Q289" s="7" t="inlineStr">
        <is>
          <t>CST 73</t>
        </is>
      </c>
      <c r="R289" s="7" t="inlineStr">
        <is>
          <t>Redução de 60% + Diferimento (Art. 138 e Anexo IX LC 214/2025)</t>
        </is>
      </c>
    </row>
    <row r="290" ht="22" customHeight="1">
      <c r="A290" s="12" t="inlineStr">
        <is>
          <t>SKU-0286</t>
        </is>
      </c>
      <c r="B290" s="11" t="n">
        <v>216</v>
      </c>
      <c r="C290" s="13" t="inlineStr">
        <is>
          <t>Nº 6922</t>
        </is>
      </c>
      <c r="D290" s="14" t="inlineStr">
        <is>
          <t>COFENRIN</t>
        </is>
      </c>
      <c r="E290" s="13" t="inlineStr">
        <is>
          <t>Embalagem Comercial do Produto</t>
        </is>
      </c>
      <c r="F290" s="13" t="inlineStr">
        <is>
          <t>1X20L (20 L)</t>
        </is>
      </c>
      <c r="G290" s="13" t="inlineStr">
        <is>
          <t>L</t>
        </is>
      </c>
      <c r="H290" s="15" t="n">
        <v>20</v>
      </c>
      <c r="I290" s="13" t="inlineStr">
        <is>
          <t>3808.69.90</t>
        </is>
      </c>
      <c r="J290" s="13" t="inlineStr">
        <is>
          <t>SIM</t>
        </is>
      </c>
      <c r="K290" s="13" t="inlineStr">
        <is>
          <t>Embalagem Rígida — LAVÁVEL (Obrigatória Tríplice Lavagem ou Pressão)</t>
        </is>
      </c>
      <c r="L290" s="13" t="inlineStr">
        <is>
          <t>NÃO</t>
        </is>
      </c>
      <c r="M290" s="13" t="inlineStr">
        <is>
          <t>0,00% (Lei nº 10.925/2004)</t>
        </is>
      </c>
      <c r="N290" s="13" t="inlineStr">
        <is>
          <t>0,925% (LC nº 224/2025)</t>
        </is>
      </c>
      <c r="O290" s="13" t="inlineStr">
        <is>
          <t>0,365% (LC nº 224/2025)</t>
        </is>
      </c>
      <c r="P290" s="13" t="inlineStr">
        <is>
          <t>CST 06</t>
        </is>
      </c>
      <c r="Q290" s="13" t="inlineStr">
        <is>
          <t>CST 73</t>
        </is>
      </c>
      <c r="R290" s="13" t="inlineStr">
        <is>
          <t>Redução de 60% + Diferimento (Art. 138 e Anexo IX LC 214/2025)</t>
        </is>
      </c>
    </row>
    <row r="291" ht="22" customHeight="1">
      <c r="A291" s="6" t="inlineStr">
        <is>
          <t>SKU-0287</t>
        </is>
      </c>
      <c r="B291" s="5" t="n">
        <v>216</v>
      </c>
      <c r="C291" s="7" t="inlineStr">
        <is>
          <t>Nº 6922</t>
        </is>
      </c>
      <c r="D291" s="8" t="inlineStr">
        <is>
          <t>COFENRIN</t>
        </is>
      </c>
      <c r="E291" s="7" t="inlineStr">
        <is>
          <t>Faixa 1 TIPI (Apresentação &lt;= 300 g ou mL)</t>
        </is>
      </c>
      <c r="F291" s="7" t="inlineStr">
        <is>
          <t>Fracionado / Amostra &lt;= 0,3 L</t>
        </is>
      </c>
      <c r="G291" s="7" t="inlineStr">
        <is>
          <t>L</t>
        </is>
      </c>
      <c r="H291" s="17" t="n">
        <v>0.3</v>
      </c>
      <c r="I291" s="7" t="inlineStr">
        <is>
          <t>3808.61.00</t>
        </is>
      </c>
      <c r="J291" s="7" t="inlineStr">
        <is>
          <t>SIM</t>
        </is>
      </c>
      <c r="K291" s="7" t="inlineStr">
        <is>
          <t>Embalagem Rígida — LAVÁVEL (Obrigatória Tríplice Lavagem ou Pressão)</t>
        </is>
      </c>
      <c r="L291" s="7" t="inlineStr">
        <is>
          <t>NÃO</t>
        </is>
      </c>
      <c r="M291" s="7" t="inlineStr">
        <is>
          <t>0,00% (Lei nº 10.925/2004)</t>
        </is>
      </c>
      <c r="N291" s="7" t="inlineStr">
        <is>
          <t>0,925% (LC nº 224/2025)</t>
        </is>
      </c>
      <c r="O291" s="7" t="inlineStr">
        <is>
          <t>0,365% (LC nº 224/2025)</t>
        </is>
      </c>
      <c r="P291" s="7" t="inlineStr">
        <is>
          <t>CST 06</t>
        </is>
      </c>
      <c r="Q291" s="7" t="inlineStr">
        <is>
          <t>CST 73</t>
        </is>
      </c>
      <c r="R291" s="7" t="inlineStr">
        <is>
          <t>Redução de 60% + Diferimento (Art. 138 e Anexo IX LC 214/2025)</t>
        </is>
      </c>
    </row>
    <row r="292" ht="22" customHeight="1">
      <c r="A292" s="12" t="inlineStr">
        <is>
          <t>SKU-0288</t>
        </is>
      </c>
      <c r="B292" s="11" t="n">
        <v>217</v>
      </c>
      <c r="C292" s="13" t="inlineStr">
        <is>
          <t>SIPEAGRO (UF-XXXXX)</t>
        </is>
      </c>
      <c r="D292" s="14" t="inlineStr">
        <is>
          <t>AGCN ZINCO ULTRA</t>
        </is>
      </c>
      <c r="E292" s="13" t="inlineStr">
        <is>
          <t>Embalagem Comercial do Produto</t>
        </is>
      </c>
      <c r="F292" s="13" t="inlineStr">
        <is>
          <t>1L (1 L)</t>
        </is>
      </c>
      <c r="G292" s="13" t="inlineStr">
        <is>
          <t>L</t>
        </is>
      </c>
      <c r="H292" s="18" t="n">
        <v>0.2</v>
      </c>
      <c r="I292" s="13" t="inlineStr">
        <is>
          <t>3105.90.90</t>
        </is>
      </c>
      <c r="J292" s="13" t="inlineStr">
        <is>
          <t>NÃO</t>
        </is>
      </c>
      <c r="K292" s="13" t="inlineStr">
        <is>
          <t>Embalagem de Insumo Nutricional/Biológico (Logística Reversa)</t>
        </is>
      </c>
      <c r="L292" s="13" t="inlineStr">
        <is>
          <t>NÃO</t>
        </is>
      </c>
      <c r="M292" s="13" t="inlineStr">
        <is>
          <t>0,00% (Lei nº 10.925/2004)</t>
        </is>
      </c>
      <c r="N292" s="13" t="inlineStr">
        <is>
          <t>0,925% (LC nº 224/2025)</t>
        </is>
      </c>
      <c r="O292" s="13" t="inlineStr">
        <is>
          <t>0,365% (LC nº 224/2025)</t>
        </is>
      </c>
      <c r="P292" s="13" t="inlineStr">
        <is>
          <t>CST 06</t>
        </is>
      </c>
      <c r="Q292" s="13" t="inlineStr">
        <is>
          <t>CST 73</t>
        </is>
      </c>
      <c r="R292" s="13" t="inlineStr">
        <is>
          <t>Redução de 60% + Diferimento (Art. 138 e Anexo IX LC 214/2025)</t>
        </is>
      </c>
    </row>
    <row r="293" ht="22" customHeight="1">
      <c r="A293" s="6" t="inlineStr">
        <is>
          <t>SKU-0289</t>
        </is>
      </c>
      <c r="B293" s="5" t="n">
        <v>217</v>
      </c>
      <c r="C293" s="7" t="inlineStr">
        <is>
          <t>SIPEAGRO (UF-XXXXX)</t>
        </is>
      </c>
      <c r="D293" s="8" t="inlineStr">
        <is>
          <t>AGCN ZINCO ULTRA</t>
        </is>
      </c>
      <c r="E293" s="7" t="inlineStr">
        <is>
          <t>Faixa 1 TIPI (Apresentação &lt;= 300 g ou mL)</t>
        </is>
      </c>
      <c r="F293" s="7" t="inlineStr">
        <is>
          <t>Fracionado / Amostra &lt;= 0,3 L</t>
        </is>
      </c>
      <c r="G293" s="7" t="inlineStr">
        <is>
          <t>L</t>
        </is>
      </c>
      <c r="H293" s="17" t="n">
        <v>0.3</v>
      </c>
      <c r="I293" s="7" t="inlineStr">
        <is>
          <t>3105.90.90</t>
        </is>
      </c>
      <c r="J293" s="7" t="inlineStr">
        <is>
          <t>NÃO</t>
        </is>
      </c>
      <c r="K293" s="7" t="inlineStr">
        <is>
          <t>Embalagem de Insumo Nutricional/Biológico (Logística Reversa)</t>
        </is>
      </c>
      <c r="L293" s="7" t="inlineStr">
        <is>
          <t>NÃO</t>
        </is>
      </c>
      <c r="M293" s="7" t="inlineStr">
        <is>
          <t>0,00% (Lei nº 10.925/2004)</t>
        </is>
      </c>
      <c r="N293" s="7" t="inlineStr">
        <is>
          <t>0,925% (LC nº 224/2025)</t>
        </is>
      </c>
      <c r="O293" s="7" t="inlineStr">
        <is>
          <t>0,365% (LC nº 224/2025)</t>
        </is>
      </c>
      <c r="P293" s="7" t="inlineStr">
        <is>
          <t>CST 06</t>
        </is>
      </c>
      <c r="Q293" s="7" t="inlineStr">
        <is>
          <t>CST 73</t>
        </is>
      </c>
      <c r="R293" s="7" t="inlineStr">
        <is>
          <t>Redução de 60% + Diferimento (Art. 138 e Anexo IX LC 214/2025)</t>
        </is>
      </c>
    </row>
    <row r="294" ht="22" customHeight="1">
      <c r="A294" s="12" t="inlineStr">
        <is>
          <t>SKU-0290</t>
        </is>
      </c>
      <c r="B294" s="11" t="n">
        <v>218</v>
      </c>
      <c r="C294" s="13" t="inlineStr">
        <is>
          <t>ISENTO (ATO 104/2017)</t>
        </is>
      </c>
      <c r="D294" s="14" t="inlineStr">
        <is>
          <t>AGCN SAFE SPRAY</t>
        </is>
      </c>
      <c r="E294" s="13" t="inlineStr">
        <is>
          <t>Embalagem Comercial do Produto</t>
        </is>
      </c>
      <c r="F294" s="13" t="inlineStr">
        <is>
          <t>1L (1 L)</t>
        </is>
      </c>
      <c r="G294" s="13" t="inlineStr">
        <is>
          <t>L</t>
        </is>
      </c>
      <c r="H294" s="18" t="n">
        <v>0.2</v>
      </c>
      <c r="I294" s="13" t="inlineStr">
        <is>
          <t>3402.90.29</t>
        </is>
      </c>
      <c r="J294" s="13" t="inlineStr">
        <is>
          <t>NÃO</t>
        </is>
      </c>
      <c r="K294" s="13" t="inlineStr">
        <is>
          <t>Embalagem Rígida — LAVÁVEL (Obrigatória Tríplice Lavagem ou Pressão)</t>
        </is>
      </c>
      <c r="L294" s="13" t="inlineStr">
        <is>
          <t>NÃO</t>
        </is>
      </c>
      <c r="M294" s="13" t="inlineStr">
        <is>
          <t>9,25% Real | 3,65% Presumido</t>
        </is>
      </c>
      <c r="N294" s="13" t="inlineStr">
        <is>
          <t>9,250% (Integral)</t>
        </is>
      </c>
      <c r="O294" s="13" t="inlineStr">
        <is>
          <t>3,650% (Integral)</t>
        </is>
      </c>
      <c r="P294" s="13" t="inlineStr">
        <is>
          <t>CST 01</t>
        </is>
      </c>
      <c r="Q294" s="13" t="inlineStr">
        <is>
          <t>CST 50</t>
        </is>
      </c>
      <c r="R294" s="13" t="inlineStr">
        <is>
          <t>Alíquota Padrão Integral (LC 214/2025)</t>
        </is>
      </c>
    </row>
    <row r="295" ht="22" customHeight="1">
      <c r="A295" s="6" t="inlineStr">
        <is>
          <t>SKU-0291</t>
        </is>
      </c>
      <c r="B295" s="5" t="n">
        <v>219</v>
      </c>
      <c r="C295" s="7" t="inlineStr">
        <is>
          <t>SIPEAGRO (UF-XXXXX)</t>
        </is>
      </c>
      <c r="D295" s="8" t="inlineStr">
        <is>
          <t>AGCN MN 10</t>
        </is>
      </c>
      <c r="E295" s="7" t="inlineStr">
        <is>
          <t>Embalagem Comercial do Produto</t>
        </is>
      </c>
      <c r="F295" s="7" t="inlineStr">
        <is>
          <t>1L (1 L)</t>
        </is>
      </c>
      <c r="G295" s="7" t="inlineStr">
        <is>
          <t>L</t>
        </is>
      </c>
      <c r="H295" s="17" t="n">
        <v>0.2</v>
      </c>
      <c r="I295" s="7" t="inlineStr">
        <is>
          <t>3105.90.90</t>
        </is>
      </c>
      <c r="J295" s="7" t="inlineStr">
        <is>
          <t>NÃO</t>
        </is>
      </c>
      <c r="K295" s="7" t="inlineStr">
        <is>
          <t>Embalagem de Insumo Nutricional/Biológico (Logística Reversa)</t>
        </is>
      </c>
      <c r="L295" s="7" t="inlineStr">
        <is>
          <t>NÃO</t>
        </is>
      </c>
      <c r="M295" s="7" t="inlineStr">
        <is>
          <t>0,00% (Lei nº 10.925/2004)</t>
        </is>
      </c>
      <c r="N295" s="7" t="inlineStr">
        <is>
          <t>0,925% (LC nº 224/2025)</t>
        </is>
      </c>
      <c r="O295" s="7" t="inlineStr">
        <is>
          <t>0,365% (LC nº 224/2025)</t>
        </is>
      </c>
      <c r="P295" s="7" t="inlineStr">
        <is>
          <t>CST 06</t>
        </is>
      </c>
      <c r="Q295" s="7" t="inlineStr">
        <is>
          <t>CST 73</t>
        </is>
      </c>
      <c r="R295" s="7" t="inlineStr">
        <is>
          <t>Redução de 60% + Diferimento (Art. 138 e Anexo IX LC 214/2025)</t>
        </is>
      </c>
    </row>
    <row r="296" ht="22" customHeight="1">
      <c r="A296" s="12" t="inlineStr">
        <is>
          <t>SKU-0292</t>
        </is>
      </c>
      <c r="B296" s="11" t="n">
        <v>219</v>
      </c>
      <c r="C296" s="13" t="inlineStr">
        <is>
          <t>SIPEAGRO (UF-XXXXX)</t>
        </is>
      </c>
      <c r="D296" s="14" t="inlineStr">
        <is>
          <t>AGCN MN 10</t>
        </is>
      </c>
      <c r="E296" s="13" t="inlineStr">
        <is>
          <t>Faixa 1 TIPI (Apresentação &lt;= 300 g ou mL)</t>
        </is>
      </c>
      <c r="F296" s="13" t="inlineStr">
        <is>
          <t>Fracionado / Amostra &lt;= 0,3 L</t>
        </is>
      </c>
      <c r="G296" s="13" t="inlineStr">
        <is>
          <t>L</t>
        </is>
      </c>
      <c r="H296" s="18" t="n">
        <v>0.3</v>
      </c>
      <c r="I296" s="13" t="inlineStr">
        <is>
          <t>3105.90.90</t>
        </is>
      </c>
      <c r="J296" s="13" t="inlineStr">
        <is>
          <t>NÃO</t>
        </is>
      </c>
      <c r="K296" s="13" t="inlineStr">
        <is>
          <t>Embalagem de Insumo Nutricional/Biológico (Logística Reversa)</t>
        </is>
      </c>
      <c r="L296" s="13" t="inlineStr">
        <is>
          <t>NÃO</t>
        </is>
      </c>
      <c r="M296" s="13" t="inlineStr">
        <is>
          <t>0,00% (Lei nº 10.925/2004)</t>
        </is>
      </c>
      <c r="N296" s="13" t="inlineStr">
        <is>
          <t>0,925% (LC nº 224/2025)</t>
        </is>
      </c>
      <c r="O296" s="13" t="inlineStr">
        <is>
          <t>0,365% (LC nº 224/2025)</t>
        </is>
      </c>
      <c r="P296" s="13" t="inlineStr">
        <is>
          <t>CST 06</t>
        </is>
      </c>
      <c r="Q296" s="13" t="inlineStr">
        <is>
          <t>CST 73</t>
        </is>
      </c>
      <c r="R296" s="13" t="inlineStr">
        <is>
          <t>Redução de 60% + Diferimento (Art. 138 e Anexo IX LC 214/2025)</t>
        </is>
      </c>
    </row>
    <row r="297" ht="22" customHeight="1">
      <c r="A297" s="6" t="inlineStr">
        <is>
          <t>SKU-0293</t>
        </is>
      </c>
      <c r="B297" s="5" t="n">
        <v>220</v>
      </c>
      <c r="C297" s="7" t="inlineStr">
        <is>
          <t>SIPEAGRO (UF-XXXXX)</t>
        </is>
      </c>
      <c r="D297" s="8" t="inlineStr">
        <is>
          <t>AGCN MAGNESIO</t>
        </is>
      </c>
      <c r="E297" s="7" t="inlineStr">
        <is>
          <t>Embalagem Comercial do Produto</t>
        </is>
      </c>
      <c r="F297" s="7" t="inlineStr">
        <is>
          <t>1L (1 L)</t>
        </is>
      </c>
      <c r="G297" s="7" t="inlineStr">
        <is>
          <t>L</t>
        </is>
      </c>
      <c r="H297" s="17" t="n">
        <v>0.2</v>
      </c>
      <c r="I297" s="7" t="inlineStr">
        <is>
          <t>3105.90.90</t>
        </is>
      </c>
      <c r="J297" s="7" t="inlineStr">
        <is>
          <t>NÃO</t>
        </is>
      </c>
      <c r="K297" s="7" t="inlineStr">
        <is>
          <t>Embalagem de Insumo Nutricional/Biológico (Logística Reversa)</t>
        </is>
      </c>
      <c r="L297" s="7" t="inlineStr">
        <is>
          <t>NÃO</t>
        </is>
      </c>
      <c r="M297" s="7" t="inlineStr">
        <is>
          <t>0,00% (Lei nº 10.925/2004)</t>
        </is>
      </c>
      <c r="N297" s="7" t="inlineStr">
        <is>
          <t>0,925% (LC nº 224/2025)</t>
        </is>
      </c>
      <c r="O297" s="7" t="inlineStr">
        <is>
          <t>0,365% (LC nº 224/2025)</t>
        </is>
      </c>
      <c r="P297" s="7" t="inlineStr">
        <is>
          <t>CST 06</t>
        </is>
      </c>
      <c r="Q297" s="7" t="inlineStr">
        <is>
          <t>CST 73</t>
        </is>
      </c>
      <c r="R297" s="7" t="inlineStr">
        <is>
          <t>Redução de 60% + Diferimento (Art. 138 e Anexo IX LC 214/2025)</t>
        </is>
      </c>
    </row>
    <row r="298" ht="22" customHeight="1">
      <c r="A298" s="12" t="inlineStr">
        <is>
          <t>SKU-0294</t>
        </is>
      </c>
      <c r="B298" s="11" t="n">
        <v>220</v>
      </c>
      <c r="C298" s="13" t="inlineStr">
        <is>
          <t>SIPEAGRO (UF-XXXXX)</t>
        </is>
      </c>
      <c r="D298" s="14" t="inlineStr">
        <is>
          <t>AGCN MAGNESIO</t>
        </is>
      </c>
      <c r="E298" s="13" t="inlineStr">
        <is>
          <t>Faixa 1 TIPI (Apresentação &lt;= 300 g ou mL)</t>
        </is>
      </c>
      <c r="F298" s="13" t="inlineStr">
        <is>
          <t>Fracionado / Amostra &lt;= 0,3 L</t>
        </is>
      </c>
      <c r="G298" s="13" t="inlineStr">
        <is>
          <t>L</t>
        </is>
      </c>
      <c r="H298" s="18" t="n">
        <v>0.3</v>
      </c>
      <c r="I298" s="13" t="inlineStr">
        <is>
          <t>2833.29.70</t>
        </is>
      </c>
      <c r="J298" s="13" t="inlineStr">
        <is>
          <t>NÃO</t>
        </is>
      </c>
      <c r="K298" s="13" t="inlineStr">
        <is>
          <t>Embalagem de Insumo Nutricional/Biológico (Logística Reversa)</t>
        </is>
      </c>
      <c r="L298" s="13" t="inlineStr">
        <is>
          <t>NÃO</t>
        </is>
      </c>
      <c r="M298" s="13" t="inlineStr">
        <is>
          <t>0,00% (Lei nº 10.925/2004)</t>
        </is>
      </c>
      <c r="N298" s="13" t="inlineStr">
        <is>
          <t>0,925% (LC nº 224/2025)</t>
        </is>
      </c>
      <c r="O298" s="13" t="inlineStr">
        <is>
          <t>0,365% (LC nº 224/2025)</t>
        </is>
      </c>
      <c r="P298" s="13" t="inlineStr">
        <is>
          <t>CST 06</t>
        </is>
      </c>
      <c r="Q298" s="13" t="inlineStr">
        <is>
          <t>CST 73</t>
        </is>
      </c>
      <c r="R298" s="13" t="inlineStr">
        <is>
          <t>Redução de 60% + Diferimento (Art. 138 e Anexo IX LC 214/2025)</t>
        </is>
      </c>
    </row>
    <row r="299" ht="22" customHeight="1">
      <c r="A299" s="6" t="inlineStr">
        <is>
          <t>SKU-0295</t>
        </is>
      </c>
      <c r="B299" s="5" t="n">
        <v>221</v>
      </c>
      <c r="C299" s="7" t="inlineStr">
        <is>
          <t>SIPEAGRO (UF-XXXXX)</t>
        </is>
      </c>
      <c r="D299" s="8" t="inlineStr">
        <is>
          <t>AGCN FULL ULTRA</t>
        </is>
      </c>
      <c r="E299" s="7" t="inlineStr">
        <is>
          <t>Embalagem Comercial do Produto</t>
        </is>
      </c>
      <c r="F299" s="7" t="inlineStr">
        <is>
          <t>1L (1 L)</t>
        </is>
      </c>
      <c r="G299" s="7" t="inlineStr">
        <is>
          <t>L</t>
        </is>
      </c>
      <c r="H299" s="17" t="n">
        <v>0.2</v>
      </c>
      <c r="I299" s="7" t="inlineStr">
        <is>
          <t>3105.90.90</t>
        </is>
      </c>
      <c r="J299" s="7" t="inlineStr">
        <is>
          <t>NÃO</t>
        </is>
      </c>
      <c r="K299" s="7" t="inlineStr">
        <is>
          <t>Embalagem de Insumo Nutricional/Biológico (Logística Reversa)</t>
        </is>
      </c>
      <c r="L299" s="7" t="inlineStr">
        <is>
          <t>NÃO</t>
        </is>
      </c>
      <c r="M299" s="7" t="inlineStr">
        <is>
          <t>0,00% (Lei nº 10.925/2004)</t>
        </is>
      </c>
      <c r="N299" s="7" t="inlineStr">
        <is>
          <t>0,925% (LC nº 224/2025)</t>
        </is>
      </c>
      <c r="O299" s="7" t="inlineStr">
        <is>
          <t>0,365% (LC nº 224/2025)</t>
        </is>
      </c>
      <c r="P299" s="7" t="inlineStr">
        <is>
          <t>CST 06</t>
        </is>
      </c>
      <c r="Q299" s="7" t="inlineStr">
        <is>
          <t>CST 73</t>
        </is>
      </c>
      <c r="R299" s="7" t="inlineStr">
        <is>
          <t>Redução de 60% + Diferimento (Art. 138 e Anexo IX LC 214/2025)</t>
        </is>
      </c>
    </row>
    <row r="300" ht="22" customHeight="1">
      <c r="A300" s="12" t="inlineStr">
        <is>
          <t>SKU-0296</t>
        </is>
      </c>
      <c r="B300" s="11" t="n">
        <v>221</v>
      </c>
      <c r="C300" s="13" t="inlineStr">
        <is>
          <t>SIPEAGRO (UF-XXXXX)</t>
        </is>
      </c>
      <c r="D300" s="14" t="inlineStr">
        <is>
          <t>AGCN FULL ULTRA</t>
        </is>
      </c>
      <c r="E300" s="13" t="inlineStr">
        <is>
          <t>Faixa 1 TIPI (Apresentação &lt;= 300 g ou mL)</t>
        </is>
      </c>
      <c r="F300" s="13" t="inlineStr">
        <is>
          <t>Fracionado / Amostra &lt;= 0,3 L</t>
        </is>
      </c>
      <c r="G300" s="13" t="inlineStr">
        <is>
          <t>L</t>
        </is>
      </c>
      <c r="H300" s="18" t="n">
        <v>0.3</v>
      </c>
      <c r="I300" s="13" t="inlineStr">
        <is>
          <t>3105.90.90</t>
        </is>
      </c>
      <c r="J300" s="13" t="inlineStr">
        <is>
          <t>NÃO</t>
        </is>
      </c>
      <c r="K300" s="13" t="inlineStr">
        <is>
          <t>Embalagem de Insumo Nutricional/Biológico (Logística Reversa)</t>
        </is>
      </c>
      <c r="L300" s="13" t="inlineStr">
        <is>
          <t>NÃO</t>
        </is>
      </c>
      <c r="M300" s="13" t="inlineStr">
        <is>
          <t>0,00% (Lei nº 10.925/2004)</t>
        </is>
      </c>
      <c r="N300" s="13" t="inlineStr">
        <is>
          <t>0,925% (LC nº 224/2025)</t>
        </is>
      </c>
      <c r="O300" s="13" t="inlineStr">
        <is>
          <t>0,365% (LC nº 224/2025)</t>
        </is>
      </c>
      <c r="P300" s="13" t="inlineStr">
        <is>
          <t>CST 06</t>
        </is>
      </c>
      <c r="Q300" s="13" t="inlineStr">
        <is>
          <t>CST 73</t>
        </is>
      </c>
      <c r="R300" s="13" t="inlineStr">
        <is>
          <t>Redução de 60% + Diferimento (Art. 138 e Anexo IX LC 214/2025)</t>
        </is>
      </c>
    </row>
    <row r="301" ht="22" customHeight="1">
      <c r="A301" s="6" t="inlineStr">
        <is>
          <t>SKU-0297</t>
        </is>
      </c>
      <c r="B301" s="5" t="n">
        <v>222</v>
      </c>
      <c r="C301" s="7" t="inlineStr">
        <is>
          <t>SIPEAGRO (UF-XXXXX)</t>
        </is>
      </c>
      <c r="D301" s="8" t="inlineStr">
        <is>
          <t>AGCN FULL</t>
        </is>
      </c>
      <c r="E301" s="7" t="inlineStr">
        <is>
          <t>Embalagem Comercial do Produto</t>
        </is>
      </c>
      <c r="F301" s="7" t="inlineStr">
        <is>
          <t>1L (1 L)</t>
        </is>
      </c>
      <c r="G301" s="7" t="inlineStr">
        <is>
          <t>L</t>
        </is>
      </c>
      <c r="H301" s="17" t="n">
        <v>0.2</v>
      </c>
      <c r="I301" s="7" t="inlineStr">
        <is>
          <t>3105.90.90</t>
        </is>
      </c>
      <c r="J301" s="7" t="inlineStr">
        <is>
          <t>NÃO</t>
        </is>
      </c>
      <c r="K301" s="7" t="inlineStr">
        <is>
          <t>Embalagem de Insumo Nutricional/Biológico (Logística Reversa)</t>
        </is>
      </c>
      <c r="L301" s="7" t="inlineStr">
        <is>
          <t>NÃO</t>
        </is>
      </c>
      <c r="M301" s="7" t="inlineStr">
        <is>
          <t>0,00% (Lei nº 10.925/2004)</t>
        </is>
      </c>
      <c r="N301" s="7" t="inlineStr">
        <is>
          <t>0,925% (LC nº 224/2025)</t>
        </is>
      </c>
      <c r="O301" s="7" t="inlineStr">
        <is>
          <t>0,365% (LC nº 224/2025)</t>
        </is>
      </c>
      <c r="P301" s="7" t="inlineStr">
        <is>
          <t>CST 06</t>
        </is>
      </c>
      <c r="Q301" s="7" t="inlineStr">
        <is>
          <t>CST 73</t>
        </is>
      </c>
      <c r="R301" s="7" t="inlineStr">
        <is>
          <t>Redução de 60% + Diferimento (Art. 138 e Anexo IX LC 214/2025)</t>
        </is>
      </c>
    </row>
    <row r="302" ht="22" customHeight="1">
      <c r="A302" s="12" t="inlineStr">
        <is>
          <t>SKU-0298</t>
        </is>
      </c>
      <c r="B302" s="11" t="n">
        <v>222</v>
      </c>
      <c r="C302" s="13" t="inlineStr">
        <is>
          <t>SIPEAGRO (UF-XXXXX)</t>
        </is>
      </c>
      <c r="D302" s="14" t="inlineStr">
        <is>
          <t>AGCN FULL</t>
        </is>
      </c>
      <c r="E302" s="13" t="inlineStr">
        <is>
          <t>Faixa 1 TIPI (Apresentação &lt;= 300 g ou mL)</t>
        </is>
      </c>
      <c r="F302" s="13" t="inlineStr">
        <is>
          <t>Fracionado / Amostra &lt;= 0,3 L</t>
        </is>
      </c>
      <c r="G302" s="13" t="inlineStr">
        <is>
          <t>L</t>
        </is>
      </c>
      <c r="H302" s="18" t="n">
        <v>0.3</v>
      </c>
      <c r="I302" s="13" t="inlineStr">
        <is>
          <t>3105.90.90</t>
        </is>
      </c>
      <c r="J302" s="13" t="inlineStr">
        <is>
          <t>NÃO</t>
        </is>
      </c>
      <c r="K302" s="13" t="inlineStr">
        <is>
          <t>Embalagem de Insumo Nutricional/Biológico (Logística Reversa)</t>
        </is>
      </c>
      <c r="L302" s="13" t="inlineStr">
        <is>
          <t>NÃO</t>
        </is>
      </c>
      <c r="M302" s="13" t="inlineStr">
        <is>
          <t>0,00% (Lei nº 10.925/2004)</t>
        </is>
      </c>
      <c r="N302" s="13" t="inlineStr">
        <is>
          <t>0,925% (LC nº 224/2025)</t>
        </is>
      </c>
      <c r="O302" s="13" t="inlineStr">
        <is>
          <t>0,365% (LC nº 224/2025)</t>
        </is>
      </c>
      <c r="P302" s="13" t="inlineStr">
        <is>
          <t>CST 06</t>
        </is>
      </c>
      <c r="Q302" s="13" t="inlineStr">
        <is>
          <t>CST 73</t>
        </is>
      </c>
      <c r="R302" s="13" t="inlineStr">
        <is>
          <t>Redução de 60% + Diferimento (Art. 138 e Anexo IX LC 214/2025)</t>
        </is>
      </c>
    </row>
    <row r="303" ht="22" customHeight="1">
      <c r="A303" s="6" t="inlineStr">
        <is>
          <t>SKU-0299</t>
        </is>
      </c>
      <c r="B303" s="5" t="n">
        <v>223</v>
      </c>
      <c r="C303" s="7" t="inlineStr">
        <is>
          <t>ISENTO (ATO 104/2017)</t>
        </is>
      </c>
      <c r="D303" s="8" t="inlineStr">
        <is>
          <t>AGRICOIL CITRUS</t>
        </is>
      </c>
      <c r="E303" s="7" t="inlineStr">
        <is>
          <t>Embalagem Comercial do Produto</t>
        </is>
      </c>
      <c r="F303" s="7" t="inlineStr">
        <is>
          <t>1L (1 L)</t>
        </is>
      </c>
      <c r="G303" s="7" t="inlineStr">
        <is>
          <t>L</t>
        </is>
      </c>
      <c r="H303" s="17" t="n">
        <v>0.2</v>
      </c>
      <c r="I303" s="7" t="inlineStr">
        <is>
          <t>3402.90.29</t>
        </is>
      </c>
      <c r="J303" s="7" t="inlineStr">
        <is>
          <t>NÃO</t>
        </is>
      </c>
      <c r="K303" s="7" t="inlineStr">
        <is>
          <t>Embalagem Rígida — LAVÁVEL (Obrigatória Tríplice Lavagem ou Pressão)</t>
        </is>
      </c>
      <c r="L303" s="7" t="inlineStr">
        <is>
          <t>NÃO</t>
        </is>
      </c>
      <c r="M303" s="7" t="inlineStr">
        <is>
          <t>9,25% Real | 3,65% Presumido</t>
        </is>
      </c>
      <c r="N303" s="7" t="inlineStr">
        <is>
          <t>9,250% (Integral)</t>
        </is>
      </c>
      <c r="O303" s="7" t="inlineStr">
        <is>
          <t>3,650% (Integral)</t>
        </is>
      </c>
      <c r="P303" s="7" t="inlineStr">
        <is>
          <t>CST 01</t>
        </is>
      </c>
      <c r="Q303" s="7" t="inlineStr">
        <is>
          <t>CST 50</t>
        </is>
      </c>
      <c r="R303" s="7" t="inlineStr">
        <is>
          <t>Alíquota Padrão Integral (LC 214/2025)</t>
        </is>
      </c>
    </row>
    <row r="304" ht="22" customHeight="1">
      <c r="A304" s="12" t="inlineStr">
        <is>
          <t>SKU-0300</t>
        </is>
      </c>
      <c r="B304" s="11" t="n">
        <v>224</v>
      </c>
      <c r="C304" s="13" t="inlineStr">
        <is>
          <t>ISENTO (ATO 104/2017)</t>
        </is>
      </c>
      <c r="D304" s="14" t="inlineStr">
        <is>
          <t>AGRICOIL CITRUS PLUS</t>
        </is>
      </c>
      <c r="E304" s="13" t="inlineStr">
        <is>
          <t>Embalagem Comercial do Produto</t>
        </is>
      </c>
      <c r="F304" s="13" t="inlineStr">
        <is>
          <t>1L (1 L)</t>
        </is>
      </c>
      <c r="G304" s="13" t="inlineStr">
        <is>
          <t>L</t>
        </is>
      </c>
      <c r="H304" s="18" t="n">
        <v>0.2</v>
      </c>
      <c r="I304" s="13" t="inlineStr">
        <is>
          <t>3402.90.29</t>
        </is>
      </c>
      <c r="J304" s="13" t="inlineStr">
        <is>
          <t>NÃO</t>
        </is>
      </c>
      <c r="K304" s="13" t="inlineStr">
        <is>
          <t>Embalagem Rígida — LAVÁVEL (Obrigatória Tríplice Lavagem ou Pressão)</t>
        </is>
      </c>
      <c r="L304" s="13" t="inlineStr">
        <is>
          <t>NÃO</t>
        </is>
      </c>
      <c r="M304" s="13" t="inlineStr">
        <is>
          <t>9,25% Real | 3,65% Presumido</t>
        </is>
      </c>
      <c r="N304" s="13" t="inlineStr">
        <is>
          <t>9,250% (Integral)</t>
        </is>
      </c>
      <c r="O304" s="13" t="inlineStr">
        <is>
          <t>3,650% (Integral)</t>
        </is>
      </c>
      <c r="P304" s="13" t="inlineStr">
        <is>
          <t>CST 01</t>
        </is>
      </c>
      <c r="Q304" s="13" t="inlineStr">
        <is>
          <t>CST 50</t>
        </is>
      </c>
      <c r="R304" s="13" t="inlineStr">
        <is>
          <t>Alíquota Padrão Integral (LC 214/2025)</t>
        </is>
      </c>
    </row>
    <row r="305" ht="22" customHeight="1">
      <c r="A305" s="6" t="inlineStr">
        <is>
          <t>SKU-0301</t>
        </is>
      </c>
      <c r="B305" s="5" t="n">
        <v>225</v>
      </c>
      <c r="C305" s="7" t="inlineStr">
        <is>
          <t>ISENTO (ATO 104/2017)</t>
        </is>
      </c>
      <c r="D305" s="8" t="inlineStr">
        <is>
          <t>AGCN SAFE AIR</t>
        </is>
      </c>
      <c r="E305" s="7" t="inlineStr">
        <is>
          <t>Embalagem Comercial do Produto</t>
        </is>
      </c>
      <c r="F305" s="7" t="inlineStr">
        <is>
          <t>1L (1 L)</t>
        </is>
      </c>
      <c r="G305" s="7" t="inlineStr">
        <is>
          <t>L</t>
        </is>
      </c>
      <c r="H305" s="17" t="n">
        <v>0.2</v>
      </c>
      <c r="I305" s="7" t="inlineStr">
        <is>
          <t>3402.90.29</t>
        </is>
      </c>
      <c r="J305" s="7" t="inlineStr">
        <is>
          <t>NÃO</t>
        </is>
      </c>
      <c r="K305" s="7" t="inlineStr">
        <is>
          <t>Embalagem Rígida — LAVÁVEL (Obrigatória Tríplice Lavagem ou Pressão)</t>
        </is>
      </c>
      <c r="L305" s="7" t="inlineStr">
        <is>
          <t>NÃO</t>
        </is>
      </c>
      <c r="M305" s="7" t="inlineStr">
        <is>
          <t>9,25% Real | 3,65% Presumido</t>
        </is>
      </c>
      <c r="N305" s="7" t="inlineStr">
        <is>
          <t>9,250% (Integral)</t>
        </is>
      </c>
      <c r="O305" s="7" t="inlineStr">
        <is>
          <t>3,650% (Integral)</t>
        </is>
      </c>
      <c r="P305" s="7" t="inlineStr">
        <is>
          <t>CST 01</t>
        </is>
      </c>
      <c r="Q305" s="7" t="inlineStr">
        <is>
          <t>CST 50</t>
        </is>
      </c>
      <c r="R305" s="7" t="inlineStr">
        <is>
          <t>Alíquota Padrão Integral (LC 214/2025)</t>
        </is>
      </c>
    </row>
    <row r="306" ht="22" customHeight="1">
      <c r="A306" s="12" t="inlineStr">
        <is>
          <t>SKU-0302</t>
        </is>
      </c>
      <c r="B306" s="11" t="n">
        <v>226</v>
      </c>
      <c r="C306" s="13" t="inlineStr">
        <is>
          <t>SIPEAGRO (UF-XXXXX)</t>
        </is>
      </c>
      <c r="D306" s="14" t="inlineStr">
        <is>
          <t>AGCN MG 16</t>
        </is>
      </c>
      <c r="E306" s="13" t="inlineStr">
        <is>
          <t>Embalagem Comercial do Produto</t>
        </is>
      </c>
      <c r="F306" s="13" t="inlineStr">
        <is>
          <t>1L (1 L)</t>
        </is>
      </c>
      <c r="G306" s="13" t="inlineStr">
        <is>
          <t>L</t>
        </is>
      </c>
      <c r="H306" s="18" t="n">
        <v>0.2</v>
      </c>
      <c r="I306" s="13" t="inlineStr">
        <is>
          <t>3105.90.90</t>
        </is>
      </c>
      <c r="J306" s="13" t="inlineStr">
        <is>
          <t>NÃO</t>
        </is>
      </c>
      <c r="K306" s="13" t="inlineStr">
        <is>
          <t>Embalagem de Insumo Nutricional/Biológico (Logística Reversa)</t>
        </is>
      </c>
      <c r="L306" s="13" t="inlineStr">
        <is>
          <t>NÃO</t>
        </is>
      </c>
      <c r="M306" s="13" t="inlineStr">
        <is>
          <t>0,00% (Lei nº 10.925/2004)</t>
        </is>
      </c>
      <c r="N306" s="13" t="inlineStr">
        <is>
          <t>0,925% (LC nº 224/2025)</t>
        </is>
      </c>
      <c r="O306" s="13" t="inlineStr">
        <is>
          <t>0,365% (LC nº 224/2025)</t>
        </is>
      </c>
      <c r="P306" s="13" t="inlineStr">
        <is>
          <t>CST 06</t>
        </is>
      </c>
      <c r="Q306" s="13" t="inlineStr">
        <is>
          <t>CST 73</t>
        </is>
      </c>
      <c r="R306" s="13" t="inlineStr">
        <is>
          <t>Redução de 60% + Diferimento (Art. 138 e Anexo IX LC 214/2025)</t>
        </is>
      </c>
    </row>
    <row r="307" ht="22" customHeight="1">
      <c r="A307" s="6" t="inlineStr">
        <is>
          <t>SKU-0303</t>
        </is>
      </c>
      <c r="B307" s="5" t="n">
        <v>226</v>
      </c>
      <c r="C307" s="7" t="inlineStr">
        <is>
          <t>SIPEAGRO (UF-XXXXX)</t>
        </is>
      </c>
      <c r="D307" s="8" t="inlineStr">
        <is>
          <t>AGCN MG 16</t>
        </is>
      </c>
      <c r="E307" s="7" t="inlineStr">
        <is>
          <t>Faixa 1 TIPI (Apresentação &lt;= 300 g ou mL)</t>
        </is>
      </c>
      <c r="F307" s="7" t="inlineStr">
        <is>
          <t>Fracionado / Amostra &lt;= 0,3 L</t>
        </is>
      </c>
      <c r="G307" s="7" t="inlineStr">
        <is>
          <t>L</t>
        </is>
      </c>
      <c r="H307" s="17" t="n">
        <v>0.3</v>
      </c>
      <c r="I307" s="7" t="inlineStr">
        <is>
          <t>2833.29.70</t>
        </is>
      </c>
      <c r="J307" s="7" t="inlineStr">
        <is>
          <t>NÃO</t>
        </is>
      </c>
      <c r="K307" s="7" t="inlineStr">
        <is>
          <t>Embalagem de Insumo Nutricional/Biológico (Logística Reversa)</t>
        </is>
      </c>
      <c r="L307" s="7" t="inlineStr">
        <is>
          <t>NÃO</t>
        </is>
      </c>
      <c r="M307" s="7" t="inlineStr">
        <is>
          <t>0,00% (Lei nº 10.925/2004)</t>
        </is>
      </c>
      <c r="N307" s="7" t="inlineStr">
        <is>
          <t>0,925% (LC nº 224/2025)</t>
        </is>
      </c>
      <c r="O307" s="7" t="inlineStr">
        <is>
          <t>0,365% (LC nº 224/2025)</t>
        </is>
      </c>
      <c r="P307" s="7" t="inlineStr">
        <is>
          <t>CST 06</t>
        </is>
      </c>
      <c r="Q307" s="7" t="inlineStr">
        <is>
          <t>CST 73</t>
        </is>
      </c>
      <c r="R307" s="7" t="inlineStr">
        <is>
          <t>Redução de 60% + Diferimento (Art. 138 e Anexo IX LC 214/2025)</t>
        </is>
      </c>
    </row>
    <row r="308" ht="22" customHeight="1">
      <c r="A308" s="12" t="inlineStr">
        <is>
          <t>SKU-0304</t>
        </is>
      </c>
      <c r="B308" s="11" t="n">
        <v>227</v>
      </c>
      <c r="C308" s="13" t="inlineStr">
        <is>
          <t>SIPEAGRO (UF-XXXXX)</t>
        </is>
      </c>
      <c r="D308" s="14" t="inlineStr">
        <is>
          <t>BIOLOGIC GRAM 5X1,8L</t>
        </is>
      </c>
      <c r="E308" s="13" t="inlineStr">
        <is>
          <t>Embalagem Comercial do Produto</t>
        </is>
      </c>
      <c r="F308" s="13" t="inlineStr">
        <is>
          <t>5X1,8L (1.8 L)</t>
        </is>
      </c>
      <c r="G308" s="13" t="inlineStr">
        <is>
          <t>L</t>
        </is>
      </c>
      <c r="H308" s="18" t="n">
        <v>1.8</v>
      </c>
      <c r="I308" s="13" t="inlineStr">
        <is>
          <t>3002.49.99</t>
        </is>
      </c>
      <c r="J308" s="13" t="inlineStr">
        <is>
          <t>NÃO</t>
        </is>
      </c>
      <c r="K308" s="13" t="inlineStr">
        <is>
          <t>Embalagem de Insumo Nutricional/Biológico (Logística Reversa)</t>
        </is>
      </c>
      <c r="L308" s="13" t="inlineStr">
        <is>
          <t>NÃO</t>
        </is>
      </c>
      <c r="M308" s="13" t="inlineStr">
        <is>
          <t>0,00% (Lei nº 10.925/2004)</t>
        </is>
      </c>
      <c r="N308" s="13" t="inlineStr">
        <is>
          <t>0,925% (LC nº 224/2025)</t>
        </is>
      </c>
      <c r="O308" s="13" t="inlineStr">
        <is>
          <t>0,365% (LC nº 224/2025)</t>
        </is>
      </c>
      <c r="P308" s="13" t="inlineStr">
        <is>
          <t>CST 06</t>
        </is>
      </c>
      <c r="Q308" s="13" t="inlineStr">
        <is>
          <t>CST 73</t>
        </is>
      </c>
      <c r="R308" s="13" t="inlineStr">
        <is>
          <t>Redução de 60% + Diferimento (Art. 138 e Anexo IX LC 214/2025)</t>
        </is>
      </c>
    </row>
    <row r="309" ht="22" customHeight="1">
      <c r="A309" s="6" t="inlineStr">
        <is>
          <t>SKU-0305</t>
        </is>
      </c>
      <c r="B309" s="5" t="n">
        <v>227</v>
      </c>
      <c r="C309" s="7" t="inlineStr">
        <is>
          <t>SIPEAGRO (UF-XXXXX)</t>
        </is>
      </c>
      <c r="D309" s="8" t="inlineStr">
        <is>
          <t>BIOLOGIC GRAM 5X1,8L</t>
        </is>
      </c>
      <c r="E309" s="7" t="inlineStr">
        <is>
          <t>Faixa 1 TIPI (Apresentação &lt;= 300 g ou mL)</t>
        </is>
      </c>
      <c r="F309" s="7" t="inlineStr">
        <is>
          <t>Fracionado / Amostra &lt;= 0,3 L</t>
        </is>
      </c>
      <c r="G309" s="7" t="inlineStr">
        <is>
          <t>L</t>
        </is>
      </c>
      <c r="H309" s="17" t="n">
        <v>0.3</v>
      </c>
      <c r="I309" s="7" t="inlineStr">
        <is>
          <t>3002.49.99</t>
        </is>
      </c>
      <c r="J309" s="7" t="inlineStr">
        <is>
          <t>NÃO</t>
        </is>
      </c>
      <c r="K309" s="7" t="inlineStr">
        <is>
          <t>Embalagem de Insumo Nutricional/Biológico (Logística Reversa)</t>
        </is>
      </c>
      <c r="L309" s="7" t="inlineStr">
        <is>
          <t>NÃO</t>
        </is>
      </c>
      <c r="M309" s="7" t="inlineStr">
        <is>
          <t>0,00% (Lei nº 10.925/2004)</t>
        </is>
      </c>
      <c r="N309" s="7" t="inlineStr">
        <is>
          <t>0,925% (LC nº 224/2025)</t>
        </is>
      </c>
      <c r="O309" s="7" t="inlineStr">
        <is>
          <t>0,365% (LC nº 224/2025)</t>
        </is>
      </c>
      <c r="P309" s="7" t="inlineStr">
        <is>
          <t>CST 06</t>
        </is>
      </c>
      <c r="Q309" s="7" t="inlineStr">
        <is>
          <t>CST 73</t>
        </is>
      </c>
      <c r="R309" s="7" t="inlineStr">
        <is>
          <t>Redução de 60% + Diferimento (Art. 138 e Anexo IX LC 214/2025)</t>
        </is>
      </c>
    </row>
    <row r="310" ht="22" customHeight="1">
      <c r="A310" s="12" t="inlineStr">
        <is>
          <t>SKU-0306</t>
        </is>
      </c>
      <c r="B310" s="11" t="n">
        <v>228</v>
      </c>
      <c r="C310" s="13" t="inlineStr">
        <is>
          <t>Nº 34018</t>
        </is>
      </c>
      <c r="D310" s="14" t="inlineStr">
        <is>
          <t>BIOLOGIC GUARD</t>
        </is>
      </c>
      <c r="E310" s="13" t="inlineStr">
        <is>
          <t>Embalagem Comercial do Produto</t>
        </is>
      </c>
      <c r="F310" s="13" t="inlineStr">
        <is>
          <t>4X5L (5 L)</t>
        </is>
      </c>
      <c r="G310" s="13" t="inlineStr">
        <is>
          <t>L</t>
        </is>
      </c>
      <c r="H310" s="15" t="n">
        <v>5</v>
      </c>
      <c r="I310" s="13" t="inlineStr">
        <is>
          <t>3808.92.99</t>
        </is>
      </c>
      <c r="J310" s="13" t="inlineStr">
        <is>
          <t>NÃO</t>
        </is>
      </c>
      <c r="K310" s="13" t="inlineStr">
        <is>
          <t>Embalagem Rígida — LAVÁVEL (Obrigatória Tríplice Lavagem ou Pressão)</t>
        </is>
      </c>
      <c r="L310" s="13" t="inlineStr">
        <is>
          <t>NÃO</t>
        </is>
      </c>
      <c r="M310" s="13" t="inlineStr">
        <is>
          <t>0,00% (Lei nº 10.925/2004)</t>
        </is>
      </c>
      <c r="N310" s="13" t="inlineStr">
        <is>
          <t>0,925% (LC nº 224/2025)</t>
        </is>
      </c>
      <c r="O310" s="13" t="inlineStr">
        <is>
          <t>0,365% (LC nº 224/2025)</t>
        </is>
      </c>
      <c r="P310" s="13" t="inlineStr">
        <is>
          <t>CST 06</t>
        </is>
      </c>
      <c r="Q310" s="13" t="inlineStr">
        <is>
          <t>CST 73</t>
        </is>
      </c>
      <c r="R310" s="13" t="inlineStr">
        <is>
          <t>Redução de 60% + Diferimento (Art. 138 e Anexo IX LC 214/2025)</t>
        </is>
      </c>
    </row>
    <row r="311" ht="22" customHeight="1">
      <c r="A311" s="6" t="inlineStr">
        <is>
          <t>SKU-0307</t>
        </is>
      </c>
      <c r="B311" s="5" t="n">
        <v>229</v>
      </c>
      <c r="C311" s="7" t="inlineStr">
        <is>
          <t>SIPEAGRO (UF-XXXXX)</t>
        </is>
      </c>
      <c r="D311" s="8" t="inlineStr">
        <is>
          <t>PREBIOTIC GL</t>
        </is>
      </c>
      <c r="E311" s="7" t="inlineStr">
        <is>
          <t>Embalagem Comercial do Produto</t>
        </is>
      </c>
      <c r="F311" s="7" t="inlineStr">
        <is>
          <t>5L (5 L)</t>
        </is>
      </c>
      <c r="G311" s="7" t="inlineStr">
        <is>
          <t>L</t>
        </is>
      </c>
      <c r="H311" s="17" t="n">
        <v>0.2</v>
      </c>
      <c r="I311" s="7" t="inlineStr">
        <is>
          <t>3101.00.00</t>
        </is>
      </c>
      <c r="J311" s="7" t="inlineStr">
        <is>
          <t>NÃO</t>
        </is>
      </c>
      <c r="K311" s="7" t="inlineStr">
        <is>
          <t>Embalagem de Insumo Nutricional/Biológico (Logística Reversa)</t>
        </is>
      </c>
      <c r="L311" s="7" t="inlineStr">
        <is>
          <t>NÃO</t>
        </is>
      </c>
      <c r="M311" s="7" t="inlineStr">
        <is>
          <t>0,00% (Lei nº 10.925/2004)</t>
        </is>
      </c>
      <c r="N311" s="7" t="inlineStr">
        <is>
          <t>0,925% (LC nº 224/2025)</t>
        </is>
      </c>
      <c r="O311" s="7" t="inlineStr">
        <is>
          <t>0,365% (LC nº 224/2025)</t>
        </is>
      </c>
      <c r="P311" s="7" t="inlineStr">
        <is>
          <t>CST 06</t>
        </is>
      </c>
      <c r="Q311" s="7" t="inlineStr">
        <is>
          <t>CST 73</t>
        </is>
      </c>
      <c r="R311" s="7" t="inlineStr">
        <is>
          <t>Redução de 60% + Diferimento (Art. 138 e Anexo IX LC 214/2025)</t>
        </is>
      </c>
    </row>
    <row r="312" ht="22" customHeight="1">
      <c r="A312" s="12" t="inlineStr">
        <is>
          <t>SKU-0308</t>
        </is>
      </c>
      <c r="B312" s="11" t="n">
        <v>229</v>
      </c>
      <c r="C312" s="13" t="inlineStr">
        <is>
          <t>SIPEAGRO (UF-XXXXX)</t>
        </is>
      </c>
      <c r="D312" s="14" t="inlineStr">
        <is>
          <t>PREBIOTIC GL</t>
        </is>
      </c>
      <c r="E312" s="13" t="inlineStr">
        <is>
          <t>Faixa 1 TIPI (Apresentação &lt;= 300 g ou mL)</t>
        </is>
      </c>
      <c r="F312" s="13" t="inlineStr">
        <is>
          <t>Fracionado / Amostra &lt;= 0,3 L</t>
        </is>
      </c>
      <c r="G312" s="13" t="inlineStr">
        <is>
          <t>L</t>
        </is>
      </c>
      <c r="H312" s="18" t="n">
        <v>0.3</v>
      </c>
      <c r="I312" s="13" t="inlineStr">
        <is>
          <t>3105.90.90</t>
        </is>
      </c>
      <c r="J312" s="13" t="inlineStr">
        <is>
          <t>NÃO</t>
        </is>
      </c>
      <c r="K312" s="13" t="inlineStr">
        <is>
          <t>Embalagem de Insumo Nutricional/Biológico (Logística Reversa)</t>
        </is>
      </c>
      <c r="L312" s="13" t="inlineStr">
        <is>
          <t>NÃO</t>
        </is>
      </c>
      <c r="M312" s="13" t="inlineStr">
        <is>
          <t>0,00% (Lei nº 10.925/2004)</t>
        </is>
      </c>
      <c r="N312" s="13" t="inlineStr">
        <is>
          <t>0,925% (LC nº 224/2025)</t>
        </is>
      </c>
      <c r="O312" s="13" t="inlineStr">
        <is>
          <t>0,365% (LC nº 224/2025)</t>
        </is>
      </c>
      <c r="P312" s="13" t="inlineStr">
        <is>
          <t>CST 06</t>
        </is>
      </c>
      <c r="Q312" s="13" t="inlineStr">
        <is>
          <t>CST 73</t>
        </is>
      </c>
      <c r="R312" s="13" t="inlineStr">
        <is>
          <t>Redução de 60% + Diferimento (Art. 138 e Anexo IX LC 214/2025)</t>
        </is>
      </c>
    </row>
    <row r="313" ht="22" customHeight="1">
      <c r="A313" s="6" t="inlineStr">
        <is>
          <t>SKU-0309</t>
        </is>
      </c>
      <c r="B313" s="5" t="n">
        <v>230</v>
      </c>
      <c r="C313" s="7" t="inlineStr">
        <is>
          <t>Nº 9420</t>
        </is>
      </c>
      <c r="D313" s="8" t="inlineStr">
        <is>
          <t>OFEK-TURBO</t>
        </is>
      </c>
      <c r="E313" s="7" t="inlineStr">
        <is>
          <t>Embalagem Comercial do Produto</t>
        </is>
      </c>
      <c r="F313" s="7" t="inlineStr">
        <is>
          <t>4X5L (5 L)</t>
        </is>
      </c>
      <c r="G313" s="7" t="inlineStr">
        <is>
          <t>L</t>
        </is>
      </c>
      <c r="H313" s="9" t="n">
        <v>5</v>
      </c>
      <c r="I313" s="7" t="inlineStr">
        <is>
          <t>3808.92.99</t>
        </is>
      </c>
      <c r="J313" s="7" t="inlineStr">
        <is>
          <t>NÃO</t>
        </is>
      </c>
      <c r="K313" s="7" t="inlineStr">
        <is>
          <t>Embalagem Rígida — LAVÁVEL (Obrigatória Tríplice Lavagem ou Pressão)</t>
        </is>
      </c>
      <c r="L313" s="7" t="inlineStr">
        <is>
          <t>NÃO</t>
        </is>
      </c>
      <c r="M313" s="7" t="inlineStr">
        <is>
          <t>0,00% (Lei nº 10.925/2004)</t>
        </is>
      </c>
      <c r="N313" s="7" t="inlineStr">
        <is>
          <t>0,925% (LC nº 224/2025)</t>
        </is>
      </c>
      <c r="O313" s="7" t="inlineStr">
        <is>
          <t>0,365% (LC nº 224/2025)</t>
        </is>
      </c>
      <c r="P313" s="7" t="inlineStr">
        <is>
          <t>CST 06</t>
        </is>
      </c>
      <c r="Q313" s="7" t="inlineStr">
        <is>
          <t>CST 73</t>
        </is>
      </c>
      <c r="R313" s="7" t="inlineStr">
        <is>
          <t>Redução de 60% + Diferimento (Art. 138 e Anexo IX LC 214/2025)</t>
        </is>
      </c>
    </row>
    <row r="314" ht="22" customHeight="1">
      <c r="A314" s="12" t="inlineStr">
        <is>
          <t>SKU-0310</t>
        </is>
      </c>
      <c r="B314" s="11" t="n">
        <v>231</v>
      </c>
      <c r="C314" s="13" t="inlineStr">
        <is>
          <t>VINCULAR MARCA</t>
        </is>
      </c>
      <c r="D314" s="14" t="inlineStr">
        <is>
          <t>ETIPROLE</t>
        </is>
      </c>
      <c r="E314" s="13" t="inlineStr">
        <is>
          <t>Embalagem Comercial do Produto</t>
        </is>
      </c>
      <c r="F314" s="13" t="inlineStr">
        <is>
          <t>GRANEL / P.A. (0 L)</t>
        </is>
      </c>
      <c r="G314" s="13" t="inlineStr">
        <is>
          <t>L</t>
        </is>
      </c>
      <c r="H314" s="15" t="n">
        <v>0</v>
      </c>
      <c r="I314" s="13" t="inlineStr">
        <is>
          <t>3808.91.99</t>
        </is>
      </c>
      <c r="J314" s="13" t="inlineStr">
        <is>
          <t>NÃO</t>
        </is>
      </c>
      <c r="K314" s="13" t="inlineStr">
        <is>
          <t>Uso Industrial Exclusivo (PGRS / NBR 10004)</t>
        </is>
      </c>
      <c r="L314" s="13" t="inlineStr">
        <is>
          <t>NÃO</t>
        </is>
      </c>
      <c r="M314" s="13" t="inlineStr">
        <is>
          <t>0,00% (Lei nº 10.925/2004)</t>
        </is>
      </c>
      <c r="N314" s="13" t="inlineStr">
        <is>
          <t>0,925% (LC nº 224/2025)</t>
        </is>
      </c>
      <c r="O314" s="13" t="inlineStr">
        <is>
          <t>0,365% (LC nº 224/2025)</t>
        </is>
      </c>
      <c r="P314" s="13" t="inlineStr">
        <is>
          <t>CST 06 (Uso Agrícola/Industrial)</t>
        </is>
      </c>
      <c r="Q314" s="13" t="inlineStr">
        <is>
          <t>CST 73 (Revenda / Destinação)</t>
        </is>
      </c>
      <c r="R314" s="13" t="inlineStr">
        <is>
          <t>Redução de 60% + Diferimento (Art. 138 LC 214/2025)</t>
        </is>
      </c>
    </row>
    <row r="315" ht="22" customHeight="1">
      <c r="A315" s="6" t="inlineStr">
        <is>
          <t>SKU-0311</t>
        </is>
      </c>
      <c r="B315" s="5" t="n">
        <v>231</v>
      </c>
      <c r="C315" s="7" t="inlineStr">
        <is>
          <t>VINCULAR MARCA</t>
        </is>
      </c>
      <c r="D315" s="8" t="inlineStr">
        <is>
          <t>ETIPROLE</t>
        </is>
      </c>
      <c r="E315" s="7" t="inlineStr">
        <is>
          <t>Faixa 1 TIPI (Apresentação &lt;= 300 g ou mL)</t>
        </is>
      </c>
      <c r="F315" s="7" t="inlineStr">
        <is>
          <t>Fracionado / Amostra &lt;= 0,3 L</t>
        </is>
      </c>
      <c r="G315" s="7" t="inlineStr">
        <is>
          <t>L</t>
        </is>
      </c>
      <c r="H315" s="17" t="n">
        <v>0.3</v>
      </c>
      <c r="I315" s="7" t="inlineStr">
        <is>
          <t>3808.92.20</t>
        </is>
      </c>
      <c r="J315" s="7" t="inlineStr">
        <is>
          <t>NÃO</t>
        </is>
      </c>
      <c r="K315" s="7" t="inlineStr">
        <is>
          <t>Uso Industrial Exclusivo (PGRS / NBR 10004)</t>
        </is>
      </c>
      <c r="L315" s="7" t="inlineStr">
        <is>
          <t>NÃO</t>
        </is>
      </c>
      <c r="M315" s="7" t="inlineStr">
        <is>
          <t>0,00% (Lei nº 10.925/2004)</t>
        </is>
      </c>
      <c r="N315" s="7" t="inlineStr">
        <is>
          <t>0,925% (LC nº 224/2025)</t>
        </is>
      </c>
      <c r="O315" s="7" t="inlineStr">
        <is>
          <t>0,365% (LC nº 224/2025)</t>
        </is>
      </c>
      <c r="P315" s="7" t="inlineStr">
        <is>
          <t>CST 06 (Uso Agrícola/Industrial)</t>
        </is>
      </c>
      <c r="Q315" s="7" t="inlineStr">
        <is>
          <t>CST 73 (Revenda / Destinação)</t>
        </is>
      </c>
      <c r="R315" s="7" t="inlineStr">
        <is>
          <t>Redução de 60% + Diferimento (Art. 138 LC 214/2025)</t>
        </is>
      </c>
    </row>
    <row r="316" ht="22" customHeight="1">
      <c r="A316" s="12" t="inlineStr">
        <is>
          <t>SKU-0312</t>
        </is>
      </c>
      <c r="B316" s="11" t="n">
        <v>232</v>
      </c>
      <c r="C316" s="13" t="inlineStr">
        <is>
          <t>Nº 8215</t>
        </is>
      </c>
      <c r="D316" s="14" t="inlineStr">
        <is>
          <t>TEBUCONAZOLE</t>
        </is>
      </c>
      <c r="E316" s="13" t="inlineStr">
        <is>
          <t>Embalagem Comercial do Produto</t>
        </is>
      </c>
      <c r="F316" s="13" t="inlineStr">
        <is>
          <t>GRANEL / P.A. (0 L)</t>
        </is>
      </c>
      <c r="G316" s="13" t="inlineStr">
        <is>
          <t>L</t>
        </is>
      </c>
      <c r="H316" s="15" t="n">
        <v>0</v>
      </c>
      <c r="I316" s="13" t="inlineStr">
        <is>
          <t>3808.92.99</t>
        </is>
      </c>
      <c r="J316" s="13" t="inlineStr">
        <is>
          <t>NÃO</t>
        </is>
      </c>
      <c r="K316" s="13" t="inlineStr">
        <is>
          <t>Uso Industrial Exclusivo (PGRS / NBR 10004)</t>
        </is>
      </c>
      <c r="L316" s="13" t="inlineStr">
        <is>
          <t>NÃO</t>
        </is>
      </c>
      <c r="M316" s="13" t="inlineStr">
        <is>
          <t>0,00% (Lei nº 10.925/2004)</t>
        </is>
      </c>
      <c r="N316" s="13" t="inlineStr">
        <is>
          <t>0,925% (LC nº 224/2025)</t>
        </is>
      </c>
      <c r="O316" s="13" t="inlineStr">
        <is>
          <t>0,365% (LC nº 224/2025)</t>
        </is>
      </c>
      <c r="P316" s="13" t="inlineStr">
        <is>
          <t>CST 06 (Uso Agrícola/Industrial)</t>
        </is>
      </c>
      <c r="Q316" s="13" t="inlineStr">
        <is>
          <t>CST 73 (Revenda / Destinação)</t>
        </is>
      </c>
      <c r="R316" s="13" t="inlineStr">
        <is>
          <t>Redução de 60% + Diferimento (Art. 138 LC 214/2025)</t>
        </is>
      </c>
    </row>
    <row r="317" ht="22" customHeight="1">
      <c r="A317" s="6" t="inlineStr">
        <is>
          <t>SKU-0313</t>
        </is>
      </c>
      <c r="B317" s="5" t="n">
        <v>233</v>
      </c>
      <c r="C317" s="7" t="inlineStr">
        <is>
          <t>Nº 14421</t>
        </is>
      </c>
      <c r="D317" s="8" t="inlineStr">
        <is>
          <t>FIPRONIL 250 (PRINCIPIOA ATIVO)</t>
        </is>
      </c>
      <c r="E317" s="7" t="inlineStr">
        <is>
          <t>Embalagem Comercial do Produto</t>
        </is>
      </c>
      <c r="F317" s="7" t="inlineStr">
        <is>
          <t>GRANEL / P.A. (0 L)</t>
        </is>
      </c>
      <c r="G317" s="7" t="inlineStr">
        <is>
          <t>L</t>
        </is>
      </c>
      <c r="H317" s="9" t="n">
        <v>0</v>
      </c>
      <c r="I317" s="7" t="inlineStr">
        <is>
          <t>3808.91.99</t>
        </is>
      </c>
      <c r="J317" s="7" t="inlineStr">
        <is>
          <t>NÃO</t>
        </is>
      </c>
      <c r="K317" s="7" t="inlineStr">
        <is>
          <t>Uso Industrial Exclusivo (PGRS / NBR 10004)</t>
        </is>
      </c>
      <c r="L317" s="7" t="inlineStr">
        <is>
          <t>NÃO</t>
        </is>
      </c>
      <c r="M317" s="7" t="inlineStr">
        <is>
          <t>0,00% (Lei nº 10.925/2004)</t>
        </is>
      </c>
      <c r="N317" s="7" t="inlineStr">
        <is>
          <t>0,925% (LC nº 224/2025)</t>
        </is>
      </c>
      <c r="O317" s="7" t="inlineStr">
        <is>
          <t>0,365% (LC nº 224/2025)</t>
        </is>
      </c>
      <c r="P317" s="7" t="inlineStr">
        <is>
          <t>CST 06 (Uso Agrícola/Industrial)</t>
        </is>
      </c>
      <c r="Q317" s="7" t="inlineStr">
        <is>
          <t>CST 73 (Revenda / Destinação)</t>
        </is>
      </c>
      <c r="R317" s="7" t="inlineStr">
        <is>
          <t>Redução de 60% + Diferimento (Art. 138 LC 214/2025)</t>
        </is>
      </c>
    </row>
    <row r="318" ht="22" customHeight="1">
      <c r="A318" s="12" t="inlineStr">
        <is>
          <t>SKU-0314</t>
        </is>
      </c>
      <c r="B318" s="11" t="n">
        <v>233</v>
      </c>
      <c r="C318" s="13" t="inlineStr">
        <is>
          <t>Nº 14421</t>
        </is>
      </c>
      <c r="D318" s="14" t="inlineStr">
        <is>
          <t>FIPRONIL 250 (PRINCIPIOA ATIVO)</t>
        </is>
      </c>
      <c r="E318" s="13" t="inlineStr">
        <is>
          <t>Faixa 1 TIPI (Apresentação &lt;= 300 g ou mL)</t>
        </is>
      </c>
      <c r="F318" s="13" t="inlineStr">
        <is>
          <t>Fracionado / Amostra &lt;= 0,3 L</t>
        </is>
      </c>
      <c r="G318" s="13" t="inlineStr">
        <is>
          <t>L</t>
        </is>
      </c>
      <c r="H318" s="18" t="n">
        <v>0.3</v>
      </c>
      <c r="I318" s="13" t="inlineStr">
        <is>
          <t>3808.91.20</t>
        </is>
      </c>
      <c r="J318" s="13" t="inlineStr">
        <is>
          <t>NÃO</t>
        </is>
      </c>
      <c r="K318" s="13" t="inlineStr">
        <is>
          <t>Uso Industrial Exclusivo (PGRS / NBR 10004)</t>
        </is>
      </c>
      <c r="L318" s="13" t="inlineStr">
        <is>
          <t>NÃO</t>
        </is>
      </c>
      <c r="M318" s="13" t="inlineStr">
        <is>
          <t>0,00% (Lei nº 10.925/2004)</t>
        </is>
      </c>
      <c r="N318" s="13" t="inlineStr">
        <is>
          <t>0,925% (LC nº 224/2025)</t>
        </is>
      </c>
      <c r="O318" s="13" t="inlineStr">
        <is>
          <t>0,365% (LC nº 224/2025)</t>
        </is>
      </c>
      <c r="P318" s="13" t="inlineStr">
        <is>
          <t>CST 06 (Uso Agrícola/Industrial)</t>
        </is>
      </c>
      <c r="Q318" s="13" t="inlineStr">
        <is>
          <t>CST 73 (Revenda / Destinação)</t>
        </is>
      </c>
      <c r="R318" s="13" t="inlineStr">
        <is>
          <t>Redução de 60% + Diferimento (Art. 138 LC 214/2025)</t>
        </is>
      </c>
    </row>
    <row r="319" ht="22" customHeight="1">
      <c r="A319" s="6" t="inlineStr">
        <is>
          <t>SKU-0315</t>
        </is>
      </c>
      <c r="B319" s="5" t="n">
        <v>234</v>
      </c>
      <c r="C319" s="7" t="inlineStr">
        <is>
          <t>Nº 4798</t>
        </is>
      </c>
      <c r="D319" s="8" t="inlineStr">
        <is>
          <t>VOLCANE 790</t>
        </is>
      </c>
      <c r="E319" s="7" t="inlineStr">
        <is>
          <t>Embalagem Comercial do Produto</t>
        </is>
      </c>
      <c r="F319" s="7" t="inlineStr">
        <is>
          <t>1X20L (20 L)</t>
        </is>
      </c>
      <c r="G319" s="7" t="inlineStr">
        <is>
          <t>L</t>
        </is>
      </c>
      <c r="H319" s="9" t="n">
        <v>20</v>
      </c>
      <c r="I319" s="7" t="inlineStr">
        <is>
          <t>3808.93.29</t>
        </is>
      </c>
      <c r="J319" s="7" t="inlineStr">
        <is>
          <t>NÃO</t>
        </is>
      </c>
      <c r="K319" s="7" t="inlineStr">
        <is>
          <t>Embalagem Rígida — LAVÁVEL (Obrigatória Tríplice Lavagem ou Pressão)</t>
        </is>
      </c>
      <c r="L319" s="7" t="inlineStr">
        <is>
          <t>NÃO</t>
        </is>
      </c>
      <c r="M319" s="7" t="inlineStr">
        <is>
          <t>0,00% (Lei nº 10.925/2004)</t>
        </is>
      </c>
      <c r="N319" s="7" t="inlineStr">
        <is>
          <t>0,925% (LC nº 224/2025)</t>
        </is>
      </c>
      <c r="O319" s="7" t="inlineStr">
        <is>
          <t>0,365% (LC nº 224/2025)</t>
        </is>
      </c>
      <c r="P319" s="7" t="inlineStr">
        <is>
          <t>CST 06</t>
        </is>
      </c>
      <c r="Q319" s="7" t="inlineStr">
        <is>
          <t>CST 73</t>
        </is>
      </c>
      <c r="R319" s="7" t="inlineStr">
        <is>
          <t>Redução de 60% + Diferimento (Art. 138 e Anexo IX LC 214/2025)</t>
        </is>
      </c>
    </row>
    <row r="320" ht="22" customHeight="1">
      <c r="A320" s="12" t="inlineStr">
        <is>
          <t>SKU-0316</t>
        </is>
      </c>
      <c r="B320" s="11" t="n">
        <v>235</v>
      </c>
      <c r="C320" s="13" t="inlineStr">
        <is>
          <t>Nº 11922</t>
        </is>
      </c>
      <c r="D320" s="14" t="inlineStr">
        <is>
          <t>TRICLOPIR</t>
        </is>
      </c>
      <c r="E320" s="13" t="inlineStr">
        <is>
          <t>Embalagem Comercial do Produto</t>
        </is>
      </c>
      <c r="F320" s="13" t="inlineStr">
        <is>
          <t>1X20L (20 L)</t>
        </is>
      </c>
      <c r="G320" s="13" t="inlineStr">
        <is>
          <t>L</t>
        </is>
      </c>
      <c r="H320" s="15" t="n">
        <v>20</v>
      </c>
      <c r="I320" s="13" t="inlineStr">
        <is>
          <t>3808.93.29</t>
        </is>
      </c>
      <c r="J320" s="13" t="inlineStr">
        <is>
          <t>NÃO</t>
        </is>
      </c>
      <c r="K320" s="13" t="inlineStr">
        <is>
          <t>Embalagem Rígida — LAVÁVEL (Obrigatória Tríplice Lavagem ou Pressão)</t>
        </is>
      </c>
      <c r="L320" s="13" t="inlineStr">
        <is>
          <t>NÃO</t>
        </is>
      </c>
      <c r="M320" s="13" t="inlineStr">
        <is>
          <t>0,00% (Lei nº 10.925/2004)</t>
        </is>
      </c>
      <c r="N320" s="13" t="inlineStr">
        <is>
          <t>0,925% (LC nº 224/2025)</t>
        </is>
      </c>
      <c r="O320" s="13" t="inlineStr">
        <is>
          <t>0,365% (LC nº 224/2025)</t>
        </is>
      </c>
      <c r="P320" s="13" t="inlineStr">
        <is>
          <t>CST 06</t>
        </is>
      </c>
      <c r="Q320" s="13" t="inlineStr">
        <is>
          <t>CST 73</t>
        </is>
      </c>
      <c r="R320" s="13" t="inlineStr">
        <is>
          <t>Redução de 60% + Diferimento (Art. 138 e Anexo IX LC 214/2025)</t>
        </is>
      </c>
    </row>
    <row r="321" ht="22" customHeight="1">
      <c r="A321" s="6" t="inlineStr">
        <is>
          <t>SKU-0317</t>
        </is>
      </c>
      <c r="B321" s="5" t="n">
        <v>236</v>
      </c>
      <c r="C321" s="7" t="inlineStr">
        <is>
          <t>Nº 13520</t>
        </is>
      </c>
      <c r="D321" s="8" t="inlineStr">
        <is>
          <t>CLORIMURON 250 WG 48X0,3KG (AGUARDAR FISCAL)</t>
        </is>
      </c>
      <c r="E321" s="7" t="inlineStr">
        <is>
          <t>Embalagem Comercial do Produto</t>
        </is>
      </c>
      <c r="F321" s="7" t="inlineStr">
        <is>
          <t>48X0,3KG (0.3 KG)</t>
        </is>
      </c>
      <c r="G321" s="7" t="inlineStr">
        <is>
          <t>KG</t>
        </is>
      </c>
      <c r="H321" s="17" t="n">
        <v>0.3</v>
      </c>
      <c r="I321" s="7" t="inlineStr">
        <is>
          <t>3808.93.29</t>
        </is>
      </c>
      <c r="J321" s="7" t="inlineStr">
        <is>
          <t>NÃO</t>
        </is>
      </c>
      <c r="K321" s="7" t="inlineStr">
        <is>
          <t>Embalagem Flexível — NÃO LAVÁVEL (Perfurar e usar saco ABNT)</t>
        </is>
      </c>
      <c r="L321" s="7" t="inlineStr">
        <is>
          <t>SIM (Saco Transparente ABNT)</t>
        </is>
      </c>
      <c r="M321" s="7" t="inlineStr">
        <is>
          <t>0,00% (Lei nº 10.925/2004)</t>
        </is>
      </c>
      <c r="N321" s="7" t="inlineStr">
        <is>
          <t>0,925% (LC nº 224/2025)</t>
        </is>
      </c>
      <c r="O321" s="7" t="inlineStr">
        <is>
          <t>0,365% (LC nº 224/2025)</t>
        </is>
      </c>
      <c r="P321" s="7" t="inlineStr">
        <is>
          <t>CST 06</t>
        </is>
      </c>
      <c r="Q321" s="7" t="inlineStr">
        <is>
          <t>CST 73</t>
        </is>
      </c>
      <c r="R321" s="7" t="inlineStr">
        <is>
          <t>Redução de 60% + Diferimento (Art. 138 e Anexo IX LC 214/2025)</t>
        </is>
      </c>
    </row>
    <row r="322" ht="22" customHeight="1">
      <c r="A322" s="12" t="inlineStr">
        <is>
          <t>SKU-0318</t>
        </is>
      </c>
      <c r="B322" s="11" t="n">
        <v>237</v>
      </c>
      <c r="C322" s="13" t="inlineStr">
        <is>
          <t>Nº 13520</t>
        </is>
      </c>
      <c r="D322" s="14" t="inlineStr">
        <is>
          <t>CLORIMURON 250 WG  15X0,300KG (AGUARDAR FISCAL)</t>
        </is>
      </c>
      <c r="E322" s="13" t="inlineStr">
        <is>
          <t>Embalagem Comercial do Produto</t>
        </is>
      </c>
      <c r="F322" s="13" t="inlineStr">
        <is>
          <t>15X0,300KG (0.3 KG)</t>
        </is>
      </c>
      <c r="G322" s="13" t="inlineStr">
        <is>
          <t>KG</t>
        </is>
      </c>
      <c r="H322" s="18" t="n">
        <v>0.3</v>
      </c>
      <c r="I322" s="13" t="inlineStr">
        <is>
          <t>3808.93.29</t>
        </is>
      </c>
      <c r="J322" s="13" t="inlineStr">
        <is>
          <t>NÃO</t>
        </is>
      </c>
      <c r="K322" s="13" t="inlineStr">
        <is>
          <t>Embalagem Flexível — NÃO LAVÁVEL (Perfurar e usar saco ABNT)</t>
        </is>
      </c>
      <c r="L322" s="13" t="inlineStr">
        <is>
          <t>SIM (Saco Transparente ABNT)</t>
        </is>
      </c>
      <c r="M322" s="13" t="inlineStr">
        <is>
          <t>0,00% (Lei nº 10.925/2004)</t>
        </is>
      </c>
      <c r="N322" s="13" t="inlineStr">
        <is>
          <t>0,925% (LC nº 224/2025)</t>
        </is>
      </c>
      <c r="O322" s="13" t="inlineStr">
        <is>
          <t>0,365% (LC nº 224/2025)</t>
        </is>
      </c>
      <c r="P322" s="13" t="inlineStr">
        <is>
          <t>CST 06</t>
        </is>
      </c>
      <c r="Q322" s="13" t="inlineStr">
        <is>
          <t>CST 73</t>
        </is>
      </c>
      <c r="R322" s="13" t="inlineStr">
        <is>
          <t>Redução de 60% + Diferimento (Art. 138 e Anexo IX LC 214/2025)</t>
        </is>
      </c>
    </row>
    <row r="323" ht="22" customHeight="1">
      <c r="A323" s="6" t="inlineStr">
        <is>
          <t>SKU-0319</t>
        </is>
      </c>
      <c r="B323" s="5" t="n">
        <v>238</v>
      </c>
      <c r="C323" s="7" t="inlineStr">
        <is>
          <t>Nº 13520</t>
        </is>
      </c>
      <c r="D323" s="8" t="inlineStr">
        <is>
          <t>CLORIMURON 250 WG RAIMBOW 15X0,300KG (VALIDAR FISC</t>
        </is>
      </c>
      <c r="E323" s="7" t="inlineStr">
        <is>
          <t>Embalagem Comercial do Produto</t>
        </is>
      </c>
      <c r="F323" s="7" t="inlineStr">
        <is>
          <t>15X0,300KG (0.3 KG)</t>
        </is>
      </c>
      <c r="G323" s="7" t="inlineStr">
        <is>
          <t>KG</t>
        </is>
      </c>
      <c r="H323" s="17" t="n">
        <v>0.3</v>
      </c>
      <c r="I323" s="7" t="inlineStr">
        <is>
          <t>3808.93.29</t>
        </is>
      </c>
      <c r="J323" s="7" t="inlineStr">
        <is>
          <t>NÃO</t>
        </is>
      </c>
      <c r="K323" s="7" t="inlineStr">
        <is>
          <t>Embalagem Flexível — NÃO LAVÁVEL (Perfurar e usar saco ABNT)</t>
        </is>
      </c>
      <c r="L323" s="7" t="inlineStr">
        <is>
          <t>SIM (Saco Transparente ABNT)</t>
        </is>
      </c>
      <c r="M323" s="7" t="inlineStr">
        <is>
          <t>0,00% (Lei nº 10.925/2004)</t>
        </is>
      </c>
      <c r="N323" s="7" t="inlineStr">
        <is>
          <t>0,925% (LC nº 224/2025)</t>
        </is>
      </c>
      <c r="O323" s="7" t="inlineStr">
        <is>
          <t>0,365% (LC nº 224/2025)</t>
        </is>
      </c>
      <c r="P323" s="7" t="inlineStr">
        <is>
          <t>CST 06</t>
        </is>
      </c>
      <c r="Q323" s="7" t="inlineStr">
        <is>
          <t>CST 73</t>
        </is>
      </c>
      <c r="R323" s="7" t="inlineStr">
        <is>
          <t>Redução de 60% + Diferimento (Art. 138 e Anexo IX LC 214/2025)</t>
        </is>
      </c>
    </row>
    <row r="324" ht="22" customHeight="1">
      <c r="A324" s="12" t="inlineStr">
        <is>
          <t>SKU-0320</t>
        </is>
      </c>
      <c r="B324" s="11" t="n">
        <v>239</v>
      </c>
      <c r="C324" s="13" t="inlineStr">
        <is>
          <t>Nº 11922</t>
        </is>
      </c>
      <c r="D324" s="14" t="inlineStr">
        <is>
          <t>TRICLOPIR</t>
        </is>
      </c>
      <c r="E324" s="13" t="inlineStr">
        <is>
          <t>Embalagem Comercial do Produto</t>
        </is>
      </c>
      <c r="F324" s="13" t="inlineStr">
        <is>
          <t>4X5L (5 L)</t>
        </is>
      </c>
      <c r="G324" s="13" t="inlineStr">
        <is>
          <t>L</t>
        </is>
      </c>
      <c r="H324" s="15" t="n">
        <v>5</v>
      </c>
      <c r="I324" s="13" t="inlineStr">
        <is>
          <t>3808.93.29</t>
        </is>
      </c>
      <c r="J324" s="13" t="inlineStr">
        <is>
          <t>NÃO</t>
        </is>
      </c>
      <c r="K324" s="13" t="inlineStr">
        <is>
          <t>Embalagem Rígida — LAVÁVEL (Obrigatória Tríplice Lavagem ou Pressão)</t>
        </is>
      </c>
      <c r="L324" s="13" t="inlineStr">
        <is>
          <t>NÃO</t>
        </is>
      </c>
      <c r="M324" s="13" t="inlineStr">
        <is>
          <t>0,00% (Lei nº 10.925/2004)</t>
        </is>
      </c>
      <c r="N324" s="13" t="inlineStr">
        <is>
          <t>0,925% (LC nº 224/2025)</t>
        </is>
      </c>
      <c r="O324" s="13" t="inlineStr">
        <is>
          <t>0,365% (LC nº 224/2025)</t>
        </is>
      </c>
      <c r="P324" s="13" t="inlineStr">
        <is>
          <t>CST 06</t>
        </is>
      </c>
      <c r="Q324" s="13" t="inlineStr">
        <is>
          <t>CST 73</t>
        </is>
      </c>
      <c r="R324" s="13" t="inlineStr">
        <is>
          <t>Redução de 60% + Diferimento (Art. 138 e Anexo IX LC 214/2025)</t>
        </is>
      </c>
    </row>
    <row r="325" ht="22" customHeight="1">
      <c r="A325" s="6" t="inlineStr">
        <is>
          <t>SKU-0321</t>
        </is>
      </c>
      <c r="B325" s="5" t="n">
        <v>240</v>
      </c>
      <c r="C325" s="7" t="inlineStr">
        <is>
          <t>Nº 11320</t>
        </is>
      </c>
      <c r="D325" s="8" t="inlineStr">
        <is>
          <t>SURVEY 800 WG</t>
        </is>
      </c>
      <c r="E325" s="7" t="inlineStr">
        <is>
          <t>Embalagem Comercial do Produto</t>
        </is>
      </c>
      <c r="F325" s="7" t="inlineStr">
        <is>
          <t>10X1KG (1 KG)</t>
        </is>
      </c>
      <c r="G325" s="7" t="inlineStr">
        <is>
          <t>KG</t>
        </is>
      </c>
      <c r="H325" s="9" t="n">
        <v>1</v>
      </c>
      <c r="I325" s="7" t="inlineStr">
        <is>
          <t>3808.91.99</t>
        </is>
      </c>
      <c r="J325" s="7" t="inlineStr">
        <is>
          <t>NÃO</t>
        </is>
      </c>
      <c r="K325" s="7" t="inlineStr">
        <is>
          <t>Embalagem Flexível — NÃO LAVÁVEL (Perfurar e usar saco ABNT)</t>
        </is>
      </c>
      <c r="L325" s="7" t="inlineStr">
        <is>
          <t>SIM (Saco Transparente ABNT)</t>
        </is>
      </c>
      <c r="M325" s="7" t="inlineStr">
        <is>
          <t>0,00% (Lei nº 10.925/2004)</t>
        </is>
      </c>
      <c r="N325" s="7" t="inlineStr">
        <is>
          <t>0,925% (LC nº 224/2025)</t>
        </is>
      </c>
      <c r="O325" s="7" t="inlineStr">
        <is>
          <t>0,365% (LC nº 224/2025)</t>
        </is>
      </c>
      <c r="P325" s="7" t="inlineStr">
        <is>
          <t>CST 06</t>
        </is>
      </c>
      <c r="Q325" s="7" t="inlineStr">
        <is>
          <t>CST 73</t>
        </is>
      </c>
      <c r="R325" s="7" t="inlineStr">
        <is>
          <t>Redução de 60% + Diferimento (Art. 138 e Anexo IX LC 214/2025)</t>
        </is>
      </c>
    </row>
    <row r="326" ht="22" customHeight="1">
      <c r="A326" s="12" t="inlineStr">
        <is>
          <t>SKU-0322</t>
        </is>
      </c>
      <c r="B326" s="11" t="n">
        <v>241</v>
      </c>
      <c r="C326" s="13" t="inlineStr">
        <is>
          <t>Nº 12621</t>
        </is>
      </c>
      <c r="D326" s="14" t="inlineStr">
        <is>
          <t>NADRAN 250SL (PRINCIPIO ATIVO)</t>
        </is>
      </c>
      <c r="E326" s="13" t="inlineStr">
        <is>
          <t>Embalagem Comercial do Produto</t>
        </is>
      </c>
      <c r="F326" s="13" t="inlineStr">
        <is>
          <t>GRANEL / P.A. (0 L)</t>
        </is>
      </c>
      <c r="G326" s="13" t="inlineStr">
        <is>
          <t>L</t>
        </is>
      </c>
      <c r="H326" s="15" t="n">
        <v>0</v>
      </c>
      <c r="I326" s="13" t="inlineStr">
        <is>
          <t>3808.93.59</t>
        </is>
      </c>
      <c r="J326" s="13" t="inlineStr">
        <is>
          <t>NÃO</t>
        </is>
      </c>
      <c r="K326" s="13" t="inlineStr">
        <is>
          <t>Uso Industrial Exclusivo (PGRS / NBR 10004)</t>
        </is>
      </c>
      <c r="L326" s="13" t="inlineStr">
        <is>
          <t>NÃO</t>
        </is>
      </c>
      <c r="M326" s="13" t="inlineStr">
        <is>
          <t>0,00% (Lei nº 10.925/2004)</t>
        </is>
      </c>
      <c r="N326" s="13" t="inlineStr">
        <is>
          <t>0,925% (LC nº 224/2025)</t>
        </is>
      </c>
      <c r="O326" s="13" t="inlineStr">
        <is>
          <t>0,365% (LC nº 224/2025)</t>
        </is>
      </c>
      <c r="P326" s="13" t="inlineStr">
        <is>
          <t>CST 06 (Uso Agrícola/Industrial)</t>
        </is>
      </c>
      <c r="Q326" s="13" t="inlineStr">
        <is>
          <t>CST 73 (Revenda / Destinação)</t>
        </is>
      </c>
      <c r="R326" s="13" t="inlineStr">
        <is>
          <t>Redução de 60% + Diferimento (Art. 138 LC 214/2025)</t>
        </is>
      </c>
    </row>
    <row r="327" ht="22" customHeight="1">
      <c r="A327" s="6" t="inlineStr">
        <is>
          <t>SKU-0323</t>
        </is>
      </c>
      <c r="B327" s="5" t="n">
        <v>241</v>
      </c>
      <c r="C327" s="7" t="inlineStr">
        <is>
          <t>Nº 12621</t>
        </is>
      </c>
      <c r="D327" s="8" t="inlineStr">
        <is>
          <t>NADRAN 250SL (PRINCIPIO ATIVO)</t>
        </is>
      </c>
      <c r="E327" s="7" t="inlineStr">
        <is>
          <t>Faixa 1 TIPI (Apresentação &lt;= 300 g ou mL)</t>
        </is>
      </c>
      <c r="F327" s="7" t="inlineStr">
        <is>
          <t>Fracionado / Amostra &lt;= 0,3 L</t>
        </is>
      </c>
      <c r="G327" s="7" t="inlineStr">
        <is>
          <t>L</t>
        </is>
      </c>
      <c r="H327" s="17" t="n">
        <v>0.3</v>
      </c>
      <c r="I327" s="7" t="inlineStr">
        <is>
          <t>3808.93.49</t>
        </is>
      </c>
      <c r="J327" s="7" t="inlineStr">
        <is>
          <t>NÃO</t>
        </is>
      </c>
      <c r="K327" s="7" t="inlineStr">
        <is>
          <t>Uso Industrial Exclusivo (PGRS / NBR 10004)</t>
        </is>
      </c>
      <c r="L327" s="7" t="inlineStr">
        <is>
          <t>NÃO</t>
        </is>
      </c>
      <c r="M327" s="7" t="inlineStr">
        <is>
          <t>0,00% (Lei nº 10.925/2004)</t>
        </is>
      </c>
      <c r="N327" s="7" t="inlineStr">
        <is>
          <t>0,925% (LC nº 224/2025)</t>
        </is>
      </c>
      <c r="O327" s="7" t="inlineStr">
        <is>
          <t>0,365% (LC nº 224/2025)</t>
        </is>
      </c>
      <c r="P327" s="7" t="inlineStr">
        <is>
          <t>CST 06 (Uso Agrícola/Industrial)</t>
        </is>
      </c>
      <c r="Q327" s="7" t="inlineStr">
        <is>
          <t>CST 73 (Revenda / Destinação)</t>
        </is>
      </c>
      <c r="R327" s="7" t="inlineStr">
        <is>
          <t>Redução de 60% + Diferimento (Art. 138 LC 214/2025)</t>
        </is>
      </c>
    </row>
    <row r="328" ht="22" customHeight="1">
      <c r="A328" s="12" t="inlineStr">
        <is>
          <t>SKU-0324</t>
        </is>
      </c>
      <c r="B328" s="11" t="n">
        <v>242</v>
      </c>
      <c r="C328" s="13" t="inlineStr">
        <is>
          <t>Nº 12418</t>
        </is>
      </c>
      <c r="D328" s="14" t="inlineStr">
        <is>
          <t>PENNCOZEB - MANCOZEB 750 (PRINCIPIO ATIVO)</t>
        </is>
      </c>
      <c r="E328" s="13" t="inlineStr">
        <is>
          <t>Embalagem Comercial do Produto</t>
        </is>
      </c>
      <c r="F328" s="13" t="inlineStr">
        <is>
          <t>GRANEL / P.A. (0 KG)</t>
        </is>
      </c>
      <c r="G328" s="13" t="inlineStr">
        <is>
          <t>KG</t>
        </is>
      </c>
      <c r="H328" s="15" t="n">
        <v>0</v>
      </c>
      <c r="I328" s="13" t="inlineStr">
        <is>
          <t>3808.92.93</t>
        </is>
      </c>
      <c r="J328" s="13" t="inlineStr">
        <is>
          <t>NÃO</t>
        </is>
      </c>
      <c r="K328" s="13" t="inlineStr">
        <is>
          <t>Uso Industrial Exclusivo (PGRS / NBR 10004)</t>
        </is>
      </c>
      <c r="L328" s="13" t="inlineStr">
        <is>
          <t>NÃO</t>
        </is>
      </c>
      <c r="M328" s="13" t="inlineStr">
        <is>
          <t>0,00% (Lei nº 10.925/2004)</t>
        </is>
      </c>
      <c r="N328" s="13" t="inlineStr">
        <is>
          <t>0,925% (LC nº 224/2025)</t>
        </is>
      </c>
      <c r="O328" s="13" t="inlineStr">
        <is>
          <t>0,365% (LC nº 224/2025)</t>
        </is>
      </c>
      <c r="P328" s="13" t="inlineStr">
        <is>
          <t>CST 06 (Uso Agrícola/Industrial)</t>
        </is>
      </c>
      <c r="Q328" s="13" t="inlineStr">
        <is>
          <t>CST 73 (Revenda / Destinação)</t>
        </is>
      </c>
      <c r="R328" s="13" t="inlineStr">
        <is>
          <t>Redução de 60% + Diferimento (Art. 138 LC 214/2025)</t>
        </is>
      </c>
    </row>
    <row r="329" ht="22" customHeight="1">
      <c r="A329" s="6" t="inlineStr">
        <is>
          <t>SKU-0325</t>
        </is>
      </c>
      <c r="B329" s="5" t="n">
        <v>242</v>
      </c>
      <c r="C329" s="7" t="inlineStr">
        <is>
          <t>Nº 12418</t>
        </is>
      </c>
      <c r="D329" s="8" t="inlineStr">
        <is>
          <t>PENNCOZEB - MANCOZEB 750 (PRINCIPIO ATIVO)</t>
        </is>
      </c>
      <c r="E329" s="7" t="inlineStr">
        <is>
          <t>Faixa 1 TIPI (Apresentação &lt;= 300 g ou mL)</t>
        </is>
      </c>
      <c r="F329" s="7" t="inlineStr">
        <is>
          <t>Fracionado / Amostra &lt;= 0,3 KG</t>
        </is>
      </c>
      <c r="G329" s="7" t="inlineStr">
        <is>
          <t>KG</t>
        </is>
      </c>
      <c r="H329" s="17" t="n">
        <v>0.3</v>
      </c>
      <c r="I329" s="7" t="inlineStr">
        <is>
          <t>3808.92.20</t>
        </is>
      </c>
      <c r="J329" s="7" t="inlineStr">
        <is>
          <t>NÃO</t>
        </is>
      </c>
      <c r="K329" s="7" t="inlineStr">
        <is>
          <t>Uso Industrial Exclusivo (PGRS / NBR 10004)</t>
        </is>
      </c>
      <c r="L329" s="7" t="inlineStr">
        <is>
          <t>NÃO</t>
        </is>
      </c>
      <c r="M329" s="7" t="inlineStr">
        <is>
          <t>0,00% (Lei nº 10.925/2004)</t>
        </is>
      </c>
      <c r="N329" s="7" t="inlineStr">
        <is>
          <t>0,925% (LC nº 224/2025)</t>
        </is>
      </c>
      <c r="O329" s="7" t="inlineStr">
        <is>
          <t>0,365% (LC nº 224/2025)</t>
        </is>
      </c>
      <c r="P329" s="7" t="inlineStr">
        <is>
          <t>CST 06 (Uso Agrícola/Industrial)</t>
        </is>
      </c>
      <c r="Q329" s="7" t="inlineStr">
        <is>
          <t>CST 73 (Revenda / Destinação)</t>
        </is>
      </c>
      <c r="R329" s="7" t="inlineStr">
        <is>
          <t>Redução de 60% + Diferimento (Art. 138 LC 214/2025)</t>
        </is>
      </c>
    </row>
    <row r="330" ht="22" customHeight="1">
      <c r="A330" s="12" t="inlineStr">
        <is>
          <t>SKU-0326</t>
        </is>
      </c>
      <c r="B330" s="11" t="n">
        <v>243</v>
      </c>
      <c r="C330" s="13" t="inlineStr">
        <is>
          <t>Nº 43418</t>
        </is>
      </c>
      <c r="D330" s="14" t="inlineStr">
        <is>
          <t>BIOLOGIC AERUM</t>
        </is>
      </c>
      <c r="E330" s="13" t="inlineStr">
        <is>
          <t>Embalagem Comercial do Produto</t>
        </is>
      </c>
      <c r="F330" s="13" t="inlineStr">
        <is>
          <t>4X5L (5 L)</t>
        </is>
      </c>
      <c r="G330" s="13" t="inlineStr">
        <is>
          <t>L</t>
        </is>
      </c>
      <c r="H330" s="15" t="n">
        <v>5</v>
      </c>
      <c r="I330" s="13" t="inlineStr">
        <is>
          <t>3808.92.99</t>
        </is>
      </c>
      <c r="J330" s="13" t="inlineStr">
        <is>
          <t>NÃO</t>
        </is>
      </c>
      <c r="K330" s="13" t="inlineStr">
        <is>
          <t>Embalagem Rígida — LAVÁVEL (Obrigatória Tríplice Lavagem ou Pressão)</t>
        </is>
      </c>
      <c r="L330" s="13" t="inlineStr">
        <is>
          <t>NÃO</t>
        </is>
      </c>
      <c r="M330" s="13" t="inlineStr">
        <is>
          <t>0,00% (Lei nº 10.925/2004)</t>
        </is>
      </c>
      <c r="N330" s="13" t="inlineStr">
        <is>
          <t>0,925% (LC nº 224/2025)</t>
        </is>
      </c>
      <c r="O330" s="13" t="inlineStr">
        <is>
          <t>0,365% (LC nº 224/2025)</t>
        </is>
      </c>
      <c r="P330" s="13" t="inlineStr">
        <is>
          <t>CST 06</t>
        </is>
      </c>
      <c r="Q330" s="13" t="inlineStr">
        <is>
          <t>CST 73</t>
        </is>
      </c>
      <c r="R330" s="13" t="inlineStr">
        <is>
          <t>Redução de 60% + Diferimento (Art. 138 e Anexo IX LC 214/2025)</t>
        </is>
      </c>
    </row>
    <row r="331" ht="22" customHeight="1">
      <c r="A331" s="6" t="inlineStr">
        <is>
          <t>SKU-0327</t>
        </is>
      </c>
      <c r="B331" s="5" t="n">
        <v>244</v>
      </c>
      <c r="C331" s="7" t="inlineStr">
        <is>
          <t>SIPEAGRO (UF-XXXXX)</t>
        </is>
      </c>
      <c r="D331" s="8" t="inlineStr">
        <is>
          <t>BRENNFEED BR 251</t>
        </is>
      </c>
      <c r="E331" s="7" t="inlineStr">
        <is>
          <t>Embalagem Comercial do Produto</t>
        </is>
      </c>
      <c r="F331" s="7" t="inlineStr">
        <is>
          <t>1KG (1 KG)</t>
        </is>
      </c>
      <c r="G331" s="7" t="inlineStr">
        <is>
          <t>KG</t>
        </is>
      </c>
      <c r="H331" s="17" t="n">
        <v>0.2</v>
      </c>
      <c r="I331" s="7" t="inlineStr">
        <is>
          <t>3105.90.90</t>
        </is>
      </c>
      <c r="J331" s="7" t="inlineStr">
        <is>
          <t>NÃO</t>
        </is>
      </c>
      <c r="K331" s="7" t="inlineStr">
        <is>
          <t>Embalagem de Insumo Nutricional/Biológico (Logística Reversa)</t>
        </is>
      </c>
      <c r="L331" s="7" t="inlineStr">
        <is>
          <t>NÃO</t>
        </is>
      </c>
      <c r="M331" s="7" t="inlineStr">
        <is>
          <t>0,00% (Lei nº 10.925/2004)</t>
        </is>
      </c>
      <c r="N331" s="7" t="inlineStr">
        <is>
          <t>0,925% (LC nº 224/2025)</t>
        </is>
      </c>
      <c r="O331" s="7" t="inlineStr">
        <is>
          <t>0,365% (LC nº 224/2025)</t>
        </is>
      </c>
      <c r="P331" s="7" t="inlineStr">
        <is>
          <t>CST 06</t>
        </is>
      </c>
      <c r="Q331" s="7" t="inlineStr">
        <is>
          <t>CST 73</t>
        </is>
      </c>
      <c r="R331" s="7" t="inlineStr">
        <is>
          <t>Redução de 60% + Diferimento (Art. 138 e Anexo IX LC 214/2025)</t>
        </is>
      </c>
    </row>
    <row r="332" ht="22" customHeight="1">
      <c r="A332" s="12" t="inlineStr">
        <is>
          <t>SKU-0328</t>
        </is>
      </c>
      <c r="B332" s="11" t="n">
        <v>244</v>
      </c>
      <c r="C332" s="13" t="inlineStr">
        <is>
          <t>SIPEAGRO (UF-XXXXX)</t>
        </is>
      </c>
      <c r="D332" s="14" t="inlineStr">
        <is>
          <t>BRENNFEED BR 251</t>
        </is>
      </c>
      <c r="E332" s="13" t="inlineStr">
        <is>
          <t>Faixa 1 TIPI (Apresentação &lt;= 300 g ou mL)</t>
        </is>
      </c>
      <c r="F332" s="13" t="inlineStr">
        <is>
          <t>Fracionado / Amostra &lt;= 0,3 KG</t>
        </is>
      </c>
      <c r="G332" s="13" t="inlineStr">
        <is>
          <t>KG</t>
        </is>
      </c>
      <c r="H332" s="18" t="n">
        <v>0.3</v>
      </c>
      <c r="I332" s="13" t="inlineStr">
        <is>
          <t>3105.90.90</t>
        </is>
      </c>
      <c r="J332" s="13" t="inlineStr">
        <is>
          <t>NÃO</t>
        </is>
      </c>
      <c r="K332" s="13" t="inlineStr">
        <is>
          <t>Embalagem de Insumo Nutricional/Biológico (Logística Reversa)</t>
        </is>
      </c>
      <c r="L332" s="13" t="inlineStr">
        <is>
          <t>NÃO</t>
        </is>
      </c>
      <c r="M332" s="13" t="inlineStr">
        <is>
          <t>0,00% (Lei nº 10.925/2004)</t>
        </is>
      </c>
      <c r="N332" s="13" t="inlineStr">
        <is>
          <t>0,925% (LC nº 224/2025)</t>
        </is>
      </c>
      <c r="O332" s="13" t="inlineStr">
        <is>
          <t>0,365% (LC nº 224/2025)</t>
        </is>
      </c>
      <c r="P332" s="13" t="inlineStr">
        <is>
          <t>CST 06</t>
        </is>
      </c>
      <c r="Q332" s="13" t="inlineStr">
        <is>
          <t>CST 73</t>
        </is>
      </c>
      <c r="R332" s="13" t="inlineStr">
        <is>
          <t>Redução de 60% + Diferimento (Art. 138 e Anexo IX LC 214/2025)</t>
        </is>
      </c>
    </row>
    <row r="333" ht="22" customHeight="1">
      <c r="A333" s="6" t="inlineStr">
        <is>
          <t>SKU-0329</t>
        </is>
      </c>
      <c r="B333" s="5" t="n">
        <v>245</v>
      </c>
      <c r="C333" s="7" t="inlineStr">
        <is>
          <t>SIPEAGRO (UF-XXXXX)</t>
        </is>
      </c>
      <c r="D333" s="8" t="inlineStr">
        <is>
          <t>BRENNFEED BR 256</t>
        </is>
      </c>
      <c r="E333" s="7" t="inlineStr">
        <is>
          <t>Embalagem Comercial do Produto</t>
        </is>
      </c>
      <c r="F333" s="7" t="inlineStr">
        <is>
          <t>20L (20 L)</t>
        </is>
      </c>
      <c r="G333" s="7" t="inlineStr">
        <is>
          <t>L</t>
        </is>
      </c>
      <c r="H333" s="17" t="n">
        <v>0.2</v>
      </c>
      <c r="I333" s="7" t="inlineStr">
        <is>
          <t>3105.90.90</t>
        </is>
      </c>
      <c r="J333" s="7" t="inlineStr">
        <is>
          <t>NÃO</t>
        </is>
      </c>
      <c r="K333" s="7" t="inlineStr">
        <is>
          <t>Embalagem de Insumo Nutricional/Biológico (Logística Reversa)</t>
        </is>
      </c>
      <c r="L333" s="7" t="inlineStr">
        <is>
          <t>NÃO</t>
        </is>
      </c>
      <c r="M333" s="7" t="inlineStr">
        <is>
          <t>0,00% (Lei nº 10.925/2004)</t>
        </is>
      </c>
      <c r="N333" s="7" t="inlineStr">
        <is>
          <t>0,925% (LC nº 224/2025)</t>
        </is>
      </c>
      <c r="O333" s="7" t="inlineStr">
        <is>
          <t>0,365% (LC nº 224/2025)</t>
        </is>
      </c>
      <c r="P333" s="7" t="inlineStr">
        <is>
          <t>CST 06</t>
        </is>
      </c>
      <c r="Q333" s="7" t="inlineStr">
        <is>
          <t>CST 73</t>
        </is>
      </c>
      <c r="R333" s="7" t="inlineStr">
        <is>
          <t>Redução de 60% + Diferimento (Art. 138 e Anexo IX LC 214/2025)</t>
        </is>
      </c>
    </row>
    <row r="334" ht="22" customHeight="1">
      <c r="A334" s="12" t="inlineStr">
        <is>
          <t>SKU-0330</t>
        </is>
      </c>
      <c r="B334" s="11" t="n">
        <v>245</v>
      </c>
      <c r="C334" s="13" t="inlineStr">
        <is>
          <t>SIPEAGRO (UF-XXXXX)</t>
        </is>
      </c>
      <c r="D334" s="14" t="inlineStr">
        <is>
          <t>BRENNFEED BR 256</t>
        </is>
      </c>
      <c r="E334" s="13" t="inlineStr">
        <is>
          <t>Faixa 1 TIPI (Apresentação &lt;= 300 g ou mL)</t>
        </is>
      </c>
      <c r="F334" s="13" t="inlineStr">
        <is>
          <t>Fracionado / Amostra &lt;= 0,3 L</t>
        </is>
      </c>
      <c r="G334" s="13" t="inlineStr">
        <is>
          <t>L</t>
        </is>
      </c>
      <c r="H334" s="18" t="n">
        <v>0.3</v>
      </c>
      <c r="I334" s="13" t="inlineStr">
        <is>
          <t>3105.90.90</t>
        </is>
      </c>
      <c r="J334" s="13" t="inlineStr">
        <is>
          <t>NÃO</t>
        </is>
      </c>
      <c r="K334" s="13" t="inlineStr">
        <is>
          <t>Embalagem de Insumo Nutricional/Biológico (Logística Reversa)</t>
        </is>
      </c>
      <c r="L334" s="13" t="inlineStr">
        <is>
          <t>NÃO</t>
        </is>
      </c>
      <c r="M334" s="13" t="inlineStr">
        <is>
          <t>0,00% (Lei nº 10.925/2004)</t>
        </is>
      </c>
      <c r="N334" s="13" t="inlineStr">
        <is>
          <t>0,925% (LC nº 224/2025)</t>
        </is>
      </c>
      <c r="O334" s="13" t="inlineStr">
        <is>
          <t>0,365% (LC nº 224/2025)</t>
        </is>
      </c>
      <c r="P334" s="13" t="inlineStr">
        <is>
          <t>CST 06</t>
        </is>
      </c>
      <c r="Q334" s="13" t="inlineStr">
        <is>
          <t>CST 73</t>
        </is>
      </c>
      <c r="R334" s="13" t="inlineStr">
        <is>
          <t>Redução de 60% + Diferimento (Art. 138 e Anexo IX LC 214/2025)</t>
        </is>
      </c>
    </row>
    <row r="335" ht="22" customHeight="1">
      <c r="A335" s="6" t="inlineStr">
        <is>
          <t>SKU-0331</t>
        </is>
      </c>
      <c r="B335" s="5" t="n">
        <v>246</v>
      </c>
      <c r="C335" s="7" t="inlineStr">
        <is>
          <t>SIPEAGRO (UF-XXXXX)</t>
        </is>
      </c>
      <c r="D335" s="8" t="inlineStr">
        <is>
          <t>BRENNBRA 12 B 4,5KG (AMOSTRA)</t>
        </is>
      </c>
      <c r="E335" s="7" t="inlineStr">
        <is>
          <t>Embalagem Comercial do Produto</t>
        </is>
      </c>
      <c r="F335" s="7" t="inlineStr">
        <is>
          <t>4,5KG (4.5 KG)</t>
        </is>
      </c>
      <c r="G335" s="7" t="inlineStr">
        <is>
          <t>KG</t>
        </is>
      </c>
      <c r="H335" s="17" t="n">
        <v>0.2</v>
      </c>
      <c r="I335" s="7" t="inlineStr">
        <is>
          <t>3105.90.90</t>
        </is>
      </c>
      <c r="J335" s="7" t="inlineStr">
        <is>
          <t>NÃO</t>
        </is>
      </c>
      <c r="K335" s="7" t="inlineStr">
        <is>
          <t>Embalagem de Insumo Nutricional/Biológico (Logística Reversa)</t>
        </is>
      </c>
      <c r="L335" s="7" t="inlineStr">
        <is>
          <t>NÃO</t>
        </is>
      </c>
      <c r="M335" s="7" t="inlineStr">
        <is>
          <t>0,00% (Lei nº 10.925/2004)</t>
        </is>
      </c>
      <c r="N335" s="7" t="inlineStr">
        <is>
          <t>0,925% (LC nº 224/2025)</t>
        </is>
      </c>
      <c r="O335" s="7" t="inlineStr">
        <is>
          <t>0,365% (LC nº 224/2025)</t>
        </is>
      </c>
      <c r="P335" s="7" t="inlineStr">
        <is>
          <t>CST 06</t>
        </is>
      </c>
      <c r="Q335" s="7" t="inlineStr">
        <is>
          <t>CST 73</t>
        </is>
      </c>
      <c r="R335" s="7" t="inlineStr">
        <is>
          <t>Redução de 60% + Diferimento (Art. 138 e Anexo IX LC 214/2025)</t>
        </is>
      </c>
    </row>
    <row r="336" ht="22" customHeight="1">
      <c r="A336" s="12" t="inlineStr">
        <is>
          <t>SKU-0332</t>
        </is>
      </c>
      <c r="B336" s="11" t="n">
        <v>246</v>
      </c>
      <c r="C336" s="13" t="inlineStr">
        <is>
          <t>SIPEAGRO (UF-XXXXX)</t>
        </is>
      </c>
      <c r="D336" s="14" t="inlineStr">
        <is>
          <t>BRENNBRA 12 B 4,5KG (AMOSTRA)</t>
        </is>
      </c>
      <c r="E336" s="13" t="inlineStr">
        <is>
          <t>Faixa 1 TIPI (Apresentação &lt;= 300 g ou mL)</t>
        </is>
      </c>
      <c r="F336" s="13" t="inlineStr">
        <is>
          <t>Fracionado / Amostra &lt;= 0,3 KG</t>
        </is>
      </c>
      <c r="G336" s="13" t="inlineStr">
        <is>
          <t>KG</t>
        </is>
      </c>
      <c r="H336" s="18" t="n">
        <v>0.3</v>
      </c>
      <c r="I336" s="13" t="inlineStr">
        <is>
          <t>3105.90.90</t>
        </is>
      </c>
      <c r="J336" s="13" t="inlineStr">
        <is>
          <t>NÃO</t>
        </is>
      </c>
      <c r="K336" s="13" t="inlineStr">
        <is>
          <t>Embalagem de Insumo Nutricional/Biológico (Logística Reversa)</t>
        </is>
      </c>
      <c r="L336" s="13" t="inlineStr">
        <is>
          <t>NÃO</t>
        </is>
      </c>
      <c r="M336" s="13" t="inlineStr">
        <is>
          <t>0,00% (Lei nº 10.925/2004)</t>
        </is>
      </c>
      <c r="N336" s="13" t="inlineStr">
        <is>
          <t>0,925% (LC nº 224/2025)</t>
        </is>
      </c>
      <c r="O336" s="13" t="inlineStr">
        <is>
          <t>0,365% (LC nº 224/2025)</t>
        </is>
      </c>
      <c r="P336" s="13" t="inlineStr">
        <is>
          <t>CST 06</t>
        </is>
      </c>
      <c r="Q336" s="13" t="inlineStr">
        <is>
          <t>CST 73</t>
        </is>
      </c>
      <c r="R336" s="13" t="inlineStr">
        <is>
          <t>Redução de 60% + Diferimento (Art. 138 e Anexo IX LC 214/2025)</t>
        </is>
      </c>
    </row>
    <row r="337" ht="22" customHeight="1">
      <c r="A337" s="6" t="inlineStr">
        <is>
          <t>SKU-0333</t>
        </is>
      </c>
      <c r="B337" s="5" t="n">
        <v>247</v>
      </c>
      <c r="C337" s="7" t="inlineStr">
        <is>
          <t>SIPEAGRO (UF-XXXXX)</t>
        </is>
      </c>
      <c r="D337" s="8" t="inlineStr">
        <is>
          <t>AGCN N-15,0% P205-5,0% K20-5,0% MG-1,6% (AMOSTRA)</t>
        </is>
      </c>
      <c r="E337" s="7" t="inlineStr">
        <is>
          <t>Embalagem Comercial do Produto</t>
        </is>
      </c>
      <c r="F337" s="7" t="inlineStr">
        <is>
          <t>AMOSTRA (&lt;= 1 KG/L) (1 KG)</t>
        </is>
      </c>
      <c r="G337" s="7" t="inlineStr">
        <is>
          <t>KG</t>
        </is>
      </c>
      <c r="H337" s="17" t="n">
        <v>0.2</v>
      </c>
      <c r="I337" s="7" t="inlineStr">
        <is>
          <t>3105.90.90</t>
        </is>
      </c>
      <c r="J337" s="7" t="inlineStr">
        <is>
          <t>NÃO</t>
        </is>
      </c>
      <c r="K337" s="7" t="inlineStr">
        <is>
          <t>Embalagem de Insumo Nutricional/Biológico (Logística Reversa)</t>
        </is>
      </c>
      <c r="L337" s="7" t="inlineStr">
        <is>
          <t>NÃO</t>
        </is>
      </c>
      <c r="M337" s="7" t="inlineStr">
        <is>
          <t>0,00% (Lei nº 10.925/2004)</t>
        </is>
      </c>
      <c r="N337" s="7" t="inlineStr">
        <is>
          <t>0,925% (LC nº 224/2025)</t>
        </is>
      </c>
      <c r="O337" s="7" t="inlineStr">
        <is>
          <t>0,365% (LC nº 224/2025)</t>
        </is>
      </c>
      <c r="P337" s="7" t="inlineStr">
        <is>
          <t>CST 06</t>
        </is>
      </c>
      <c r="Q337" s="7" t="inlineStr">
        <is>
          <t>CST 73</t>
        </is>
      </c>
      <c r="R337" s="7" t="inlineStr">
        <is>
          <t>Redução de 60% + Diferimento (Art. 138 e Anexo IX LC 214/2025)</t>
        </is>
      </c>
    </row>
    <row r="338" ht="22" customHeight="1">
      <c r="A338" s="12" t="inlineStr">
        <is>
          <t>SKU-0334</t>
        </is>
      </c>
      <c r="B338" s="11" t="n">
        <v>247</v>
      </c>
      <c r="C338" s="13" t="inlineStr">
        <is>
          <t>SIPEAGRO (UF-XXXXX)</t>
        </is>
      </c>
      <c r="D338" s="14" t="inlineStr">
        <is>
          <t>AGCN N-15,0% P205-5,0% K20-5,0% MG-1,6% (AMOSTRA)</t>
        </is>
      </c>
      <c r="E338" s="13" t="inlineStr">
        <is>
          <t>Faixa 1 TIPI (Apresentação &lt;= 300 g ou mL)</t>
        </is>
      </c>
      <c r="F338" s="13" t="inlineStr">
        <is>
          <t>Fracionado / Amostra &lt;= 0,3 KG</t>
        </is>
      </c>
      <c r="G338" s="13" t="inlineStr">
        <is>
          <t>KG</t>
        </is>
      </c>
      <c r="H338" s="18" t="n">
        <v>0.3</v>
      </c>
      <c r="I338" s="13" t="inlineStr">
        <is>
          <t>2833.29.70</t>
        </is>
      </c>
      <c r="J338" s="13" t="inlineStr">
        <is>
          <t>NÃO</t>
        </is>
      </c>
      <c r="K338" s="13" t="inlineStr">
        <is>
          <t>Embalagem de Insumo Nutricional/Biológico (Logística Reversa)</t>
        </is>
      </c>
      <c r="L338" s="13" t="inlineStr">
        <is>
          <t>NÃO</t>
        </is>
      </c>
      <c r="M338" s="13" t="inlineStr">
        <is>
          <t>0,00% (Lei nº 10.925/2004)</t>
        </is>
      </c>
      <c r="N338" s="13" t="inlineStr">
        <is>
          <t>0,925% (LC nº 224/2025)</t>
        </is>
      </c>
      <c r="O338" s="13" t="inlineStr">
        <is>
          <t>0,365% (LC nº 224/2025)</t>
        </is>
      </c>
      <c r="P338" s="13" t="inlineStr">
        <is>
          <t>CST 06</t>
        </is>
      </c>
      <c r="Q338" s="13" t="inlineStr">
        <is>
          <t>CST 73</t>
        </is>
      </c>
      <c r="R338" s="13" t="inlineStr">
        <is>
          <t>Redução de 60% + Diferimento (Art. 138 e Anexo IX LC 214/2025)</t>
        </is>
      </c>
    </row>
    <row r="339" ht="22" customHeight="1">
      <c r="A339" s="6" t="inlineStr">
        <is>
          <t>SKU-0335</t>
        </is>
      </c>
      <c r="B339" s="5" t="n">
        <v>248</v>
      </c>
      <c r="C339" s="7" t="inlineStr">
        <is>
          <t>SIPEAGRO (UF-XXXXX)</t>
        </is>
      </c>
      <c r="D339" s="8" t="inlineStr">
        <is>
          <t>AGCN N-15,0% K20-7,0% CA-1,0% MG-1,0% (AMOSTRA)</t>
        </is>
      </c>
      <c r="E339" s="7" t="inlineStr">
        <is>
          <t>Embalagem Comercial do Produto</t>
        </is>
      </c>
      <c r="F339" s="7" t="inlineStr">
        <is>
          <t>AMOSTRA (&lt;= 1 KG/L) (1 KG)</t>
        </is>
      </c>
      <c r="G339" s="7" t="inlineStr">
        <is>
          <t>KG</t>
        </is>
      </c>
      <c r="H339" s="17" t="n">
        <v>0.2</v>
      </c>
      <c r="I339" s="7" t="inlineStr">
        <is>
          <t>3105.90.90</t>
        </is>
      </c>
      <c r="J339" s="7" t="inlineStr">
        <is>
          <t>NÃO</t>
        </is>
      </c>
      <c r="K339" s="7" t="inlineStr">
        <is>
          <t>Embalagem de Insumo Nutricional/Biológico (Logística Reversa)</t>
        </is>
      </c>
      <c r="L339" s="7" t="inlineStr">
        <is>
          <t>NÃO</t>
        </is>
      </c>
      <c r="M339" s="7" t="inlineStr">
        <is>
          <t>0,00% (Lei nº 10.925/2004)</t>
        </is>
      </c>
      <c r="N339" s="7" t="inlineStr">
        <is>
          <t>0,925% (LC nº 224/2025)</t>
        </is>
      </c>
      <c r="O339" s="7" t="inlineStr">
        <is>
          <t>0,365% (LC nº 224/2025)</t>
        </is>
      </c>
      <c r="P339" s="7" t="inlineStr">
        <is>
          <t>CST 06</t>
        </is>
      </c>
      <c r="Q339" s="7" t="inlineStr">
        <is>
          <t>CST 73</t>
        </is>
      </c>
      <c r="R339" s="7" t="inlineStr">
        <is>
          <t>Redução de 60% + Diferimento (Art. 138 e Anexo IX LC 214/2025)</t>
        </is>
      </c>
    </row>
    <row r="340" ht="22" customHeight="1">
      <c r="A340" s="12" t="inlineStr">
        <is>
          <t>SKU-0336</t>
        </is>
      </c>
      <c r="B340" s="11" t="n">
        <v>248</v>
      </c>
      <c r="C340" s="13" t="inlineStr">
        <is>
          <t>SIPEAGRO (UF-XXXXX)</t>
        </is>
      </c>
      <c r="D340" s="14" t="inlineStr">
        <is>
          <t>AGCN N-15,0% K20-7,0% CA-1,0% MG-1,0% (AMOSTRA)</t>
        </is>
      </c>
      <c r="E340" s="13" t="inlineStr">
        <is>
          <t>Faixa 1 TIPI (Apresentação &lt;= 300 g ou mL)</t>
        </is>
      </c>
      <c r="F340" s="13" t="inlineStr">
        <is>
          <t>Fracionado / Amostra &lt;= 0,3 KG</t>
        </is>
      </c>
      <c r="G340" s="13" t="inlineStr">
        <is>
          <t>KG</t>
        </is>
      </c>
      <c r="H340" s="18" t="n">
        <v>0.3</v>
      </c>
      <c r="I340" s="13" t="inlineStr">
        <is>
          <t>2833.29.70</t>
        </is>
      </c>
      <c r="J340" s="13" t="inlineStr">
        <is>
          <t>NÃO</t>
        </is>
      </c>
      <c r="K340" s="13" t="inlineStr">
        <is>
          <t>Embalagem de Insumo Nutricional/Biológico (Logística Reversa)</t>
        </is>
      </c>
      <c r="L340" s="13" t="inlineStr">
        <is>
          <t>NÃO</t>
        </is>
      </c>
      <c r="M340" s="13" t="inlineStr">
        <is>
          <t>0,00% (Lei nº 10.925/2004)</t>
        </is>
      </c>
      <c r="N340" s="13" t="inlineStr">
        <is>
          <t>0,925% (LC nº 224/2025)</t>
        </is>
      </c>
      <c r="O340" s="13" t="inlineStr">
        <is>
          <t>0,365% (LC nº 224/2025)</t>
        </is>
      </c>
      <c r="P340" s="13" t="inlineStr">
        <is>
          <t>CST 06</t>
        </is>
      </c>
      <c r="Q340" s="13" t="inlineStr">
        <is>
          <t>CST 73</t>
        </is>
      </c>
      <c r="R340" s="13" t="inlineStr">
        <is>
          <t>Redução de 60% + Diferimento (Art. 138 e Anexo IX LC 214/2025)</t>
        </is>
      </c>
    </row>
    <row r="341" ht="22" customHeight="1">
      <c r="A341" s="6" t="inlineStr">
        <is>
          <t>SKU-0337</t>
        </is>
      </c>
      <c r="B341" s="5" t="n">
        <v>249</v>
      </c>
      <c r="C341" s="7" t="inlineStr">
        <is>
          <t>SIPEAGRO (UF-XXXXX)</t>
        </is>
      </c>
      <c r="D341" s="8" t="inlineStr">
        <is>
          <t>AGCN N-5,0% K20-7,0% CA-1,0% MG-1,0% (AMOSTRA)</t>
        </is>
      </c>
      <c r="E341" s="7" t="inlineStr">
        <is>
          <t>Embalagem Comercial do Produto</t>
        </is>
      </c>
      <c r="F341" s="7" t="inlineStr">
        <is>
          <t>AMOSTRA (&lt;= 1 KG/L) (1 KG)</t>
        </is>
      </c>
      <c r="G341" s="7" t="inlineStr">
        <is>
          <t>KG</t>
        </is>
      </c>
      <c r="H341" s="17" t="n">
        <v>0.2</v>
      </c>
      <c r="I341" s="7" t="inlineStr">
        <is>
          <t>3105.90.90</t>
        </is>
      </c>
      <c r="J341" s="7" t="inlineStr">
        <is>
          <t>NÃO</t>
        </is>
      </c>
      <c r="K341" s="7" t="inlineStr">
        <is>
          <t>Embalagem de Insumo Nutricional/Biológico (Logística Reversa)</t>
        </is>
      </c>
      <c r="L341" s="7" t="inlineStr">
        <is>
          <t>NÃO</t>
        </is>
      </c>
      <c r="M341" s="7" t="inlineStr">
        <is>
          <t>0,00% (Lei nº 10.925/2004)</t>
        </is>
      </c>
      <c r="N341" s="7" t="inlineStr">
        <is>
          <t>0,925% (LC nº 224/2025)</t>
        </is>
      </c>
      <c r="O341" s="7" t="inlineStr">
        <is>
          <t>0,365% (LC nº 224/2025)</t>
        </is>
      </c>
      <c r="P341" s="7" t="inlineStr">
        <is>
          <t>CST 06</t>
        </is>
      </c>
      <c r="Q341" s="7" t="inlineStr">
        <is>
          <t>CST 73</t>
        </is>
      </c>
      <c r="R341" s="7" t="inlineStr">
        <is>
          <t>Redução de 60% + Diferimento (Art. 138 e Anexo IX LC 214/2025)</t>
        </is>
      </c>
    </row>
    <row r="342" ht="22" customHeight="1">
      <c r="A342" s="12" t="inlineStr">
        <is>
          <t>SKU-0338</t>
        </is>
      </c>
      <c r="B342" s="11" t="n">
        <v>249</v>
      </c>
      <c r="C342" s="13" t="inlineStr">
        <is>
          <t>SIPEAGRO (UF-XXXXX)</t>
        </is>
      </c>
      <c r="D342" s="14" t="inlineStr">
        <is>
          <t>AGCN N-5,0% K20-7,0% CA-1,0% MG-1,0% (AMOSTRA)</t>
        </is>
      </c>
      <c r="E342" s="13" t="inlineStr">
        <is>
          <t>Faixa 1 TIPI (Apresentação &lt;= 300 g ou mL)</t>
        </is>
      </c>
      <c r="F342" s="13" t="inlineStr">
        <is>
          <t>Fracionado / Amostra &lt;= 0,3 KG</t>
        </is>
      </c>
      <c r="G342" s="13" t="inlineStr">
        <is>
          <t>KG</t>
        </is>
      </c>
      <c r="H342" s="18" t="n">
        <v>0.3</v>
      </c>
      <c r="I342" s="13" t="inlineStr">
        <is>
          <t>2833.29.70</t>
        </is>
      </c>
      <c r="J342" s="13" t="inlineStr">
        <is>
          <t>NÃO</t>
        </is>
      </c>
      <c r="K342" s="13" t="inlineStr">
        <is>
          <t>Embalagem de Insumo Nutricional/Biológico (Logística Reversa)</t>
        </is>
      </c>
      <c r="L342" s="13" t="inlineStr">
        <is>
          <t>NÃO</t>
        </is>
      </c>
      <c r="M342" s="13" t="inlineStr">
        <is>
          <t>0,00% (Lei nº 10.925/2004)</t>
        </is>
      </c>
      <c r="N342" s="13" t="inlineStr">
        <is>
          <t>0,925% (LC nº 224/2025)</t>
        </is>
      </c>
      <c r="O342" s="13" t="inlineStr">
        <is>
          <t>0,365% (LC nº 224/2025)</t>
        </is>
      </c>
      <c r="P342" s="13" t="inlineStr">
        <is>
          <t>CST 06</t>
        </is>
      </c>
      <c r="Q342" s="13" t="inlineStr">
        <is>
          <t>CST 73</t>
        </is>
      </c>
      <c r="R342" s="13" t="inlineStr">
        <is>
          <t>Redução de 60% + Diferimento (Art. 138 e Anexo IX LC 214/2025)</t>
        </is>
      </c>
    </row>
    <row r="343" ht="22" customHeight="1">
      <c r="A343" s="6" t="inlineStr">
        <is>
          <t>SKU-0339</t>
        </is>
      </c>
      <c r="B343" s="5" t="n">
        <v>250</v>
      </c>
      <c r="C343" s="7" t="inlineStr">
        <is>
          <t>Nº 28319</t>
        </is>
      </c>
      <c r="D343" s="8" t="inlineStr">
        <is>
          <t>TOPINAM BALDE</t>
        </is>
      </c>
      <c r="E343" s="7" t="inlineStr">
        <is>
          <t>Embalagem Comercial do Produto</t>
        </is>
      </c>
      <c r="F343" s="7" t="inlineStr">
        <is>
          <t>1X20L (20 L)</t>
        </is>
      </c>
      <c r="G343" s="7" t="inlineStr">
        <is>
          <t>L</t>
        </is>
      </c>
      <c r="H343" s="9" t="n">
        <v>20</v>
      </c>
      <c r="I343" s="7" t="inlineStr">
        <is>
          <t>3808.93.29</t>
        </is>
      </c>
      <c r="J343" s="7" t="inlineStr">
        <is>
          <t>NÃO</t>
        </is>
      </c>
      <c r="K343" s="7" t="inlineStr">
        <is>
          <t>Embalagem Rígida — LAVÁVEL (Obrigatória Tríplice Lavagem ou Pressão)</t>
        </is>
      </c>
      <c r="L343" s="7" t="inlineStr">
        <is>
          <t>NÃO</t>
        </is>
      </c>
      <c r="M343" s="7" t="inlineStr">
        <is>
          <t>0,00% (Lei nº 10.925/2004)</t>
        </is>
      </c>
      <c r="N343" s="7" t="inlineStr">
        <is>
          <t>0,925% (LC nº 224/2025)</t>
        </is>
      </c>
      <c r="O343" s="7" t="inlineStr">
        <is>
          <t>0,365% (LC nº 224/2025)</t>
        </is>
      </c>
      <c r="P343" s="7" t="inlineStr">
        <is>
          <t>CST 06</t>
        </is>
      </c>
      <c r="Q343" s="7" t="inlineStr">
        <is>
          <t>CST 73</t>
        </is>
      </c>
      <c r="R343" s="7" t="inlineStr">
        <is>
          <t>Redução de 60% + Diferimento (Art. 138 e Anexo IX LC 214/2025)</t>
        </is>
      </c>
    </row>
    <row r="344" ht="22" customHeight="1">
      <c r="A344" s="12" t="inlineStr">
        <is>
          <t>SKU-0340</t>
        </is>
      </c>
      <c r="B344" s="11" t="n">
        <v>251</v>
      </c>
      <c r="C344" s="13" t="inlineStr">
        <is>
          <t>Nº 17208</t>
        </is>
      </c>
      <c r="D344" s="14" t="inlineStr">
        <is>
          <t>TRICLON</t>
        </is>
      </c>
      <c r="E344" s="13" t="inlineStr">
        <is>
          <t>Embalagem Comercial do Produto</t>
        </is>
      </c>
      <c r="F344" s="13" t="inlineStr">
        <is>
          <t>4X5L (5 L)</t>
        </is>
      </c>
      <c r="G344" s="13" t="inlineStr">
        <is>
          <t>L</t>
        </is>
      </c>
      <c r="H344" s="15" t="n">
        <v>5</v>
      </c>
      <c r="I344" s="13" t="inlineStr">
        <is>
          <t>3808.93.29</t>
        </is>
      </c>
      <c r="J344" s="13" t="inlineStr">
        <is>
          <t>NÃO</t>
        </is>
      </c>
      <c r="K344" s="13" t="inlineStr">
        <is>
          <t>Embalagem Rígida — LAVÁVEL (Obrigatória Tríplice Lavagem ou Pressão)</t>
        </is>
      </c>
      <c r="L344" s="13" t="inlineStr">
        <is>
          <t>NÃO</t>
        </is>
      </c>
      <c r="M344" s="13" t="inlineStr">
        <is>
          <t>0,00% (Lei nº 10.925/2004)</t>
        </is>
      </c>
      <c r="N344" s="13" t="inlineStr">
        <is>
          <t>0,925% (LC nº 224/2025)</t>
        </is>
      </c>
      <c r="O344" s="13" t="inlineStr">
        <is>
          <t>0,365% (LC nº 224/2025)</t>
        </is>
      </c>
      <c r="P344" s="13" t="inlineStr">
        <is>
          <t>CST 06</t>
        </is>
      </c>
      <c r="Q344" s="13" t="inlineStr">
        <is>
          <t>CST 73</t>
        </is>
      </c>
      <c r="R344" s="13" t="inlineStr">
        <is>
          <t>Redução de 60% + Diferimento (Art. 138 e Anexo IX LC 214/2025)</t>
        </is>
      </c>
    </row>
    <row r="345" ht="22" customHeight="1">
      <c r="A345" s="6" t="inlineStr">
        <is>
          <t>SKU-0341</t>
        </is>
      </c>
      <c r="B345" s="5" t="n">
        <v>252</v>
      </c>
      <c r="C345" s="7" t="inlineStr">
        <is>
          <t>Nº 34122</t>
        </is>
      </c>
      <c r="D345" s="8" t="inlineStr">
        <is>
          <t>DURAX</t>
        </is>
      </c>
      <c r="E345" s="7" t="inlineStr">
        <is>
          <t>Embalagem Comercial do Produto</t>
        </is>
      </c>
      <c r="F345" s="7" t="inlineStr">
        <is>
          <t>1X20L (20 L)</t>
        </is>
      </c>
      <c r="G345" s="7" t="inlineStr">
        <is>
          <t>L</t>
        </is>
      </c>
      <c r="H345" s="9" t="n">
        <v>20</v>
      </c>
      <c r="I345" s="7" t="inlineStr">
        <is>
          <t>3808.93.29</t>
        </is>
      </c>
      <c r="J345" s="7" t="inlineStr">
        <is>
          <t>NÃO</t>
        </is>
      </c>
      <c r="K345" s="7" t="inlineStr">
        <is>
          <t>Embalagem Rígida — LAVÁVEL (Obrigatória Tríplice Lavagem ou Pressão)</t>
        </is>
      </c>
      <c r="L345" s="7" t="inlineStr">
        <is>
          <t>NÃO</t>
        </is>
      </c>
      <c r="M345" s="7" t="inlineStr">
        <is>
          <t>0,00% (Lei nº 10.925/2004)</t>
        </is>
      </c>
      <c r="N345" s="7" t="inlineStr">
        <is>
          <t>0,925% (LC nº 224/2025)</t>
        </is>
      </c>
      <c r="O345" s="7" t="inlineStr">
        <is>
          <t>0,365% (LC nº 224/2025)</t>
        </is>
      </c>
      <c r="P345" s="7" t="inlineStr">
        <is>
          <t>CST 06</t>
        </is>
      </c>
      <c r="Q345" s="7" t="inlineStr">
        <is>
          <t>CST 73</t>
        </is>
      </c>
      <c r="R345" s="7" t="inlineStr">
        <is>
          <t>Redução de 60% + Diferimento (Art. 138 e Anexo IX LC 214/2025)</t>
        </is>
      </c>
    </row>
    <row r="346" ht="22" customHeight="1">
      <c r="A346" s="12" t="inlineStr">
        <is>
          <t>SKU-0342</t>
        </is>
      </c>
      <c r="B346" s="11" t="n">
        <v>253</v>
      </c>
      <c r="C346" s="13" t="inlineStr">
        <is>
          <t>Nº 20723</t>
        </is>
      </c>
      <c r="D346" s="14" t="inlineStr">
        <is>
          <t>ACEMIP</t>
        </is>
      </c>
      <c r="E346" s="13" t="inlineStr">
        <is>
          <t>Embalagem Comercial do Produto</t>
        </is>
      </c>
      <c r="F346" s="13" t="inlineStr">
        <is>
          <t>4X5KG (5 KG)</t>
        </is>
      </c>
      <c r="G346" s="13" t="inlineStr">
        <is>
          <t>KG</t>
        </is>
      </c>
      <c r="H346" s="15" t="n">
        <v>5</v>
      </c>
      <c r="I346" s="13" t="inlineStr">
        <is>
          <t>3808.91.99</t>
        </is>
      </c>
      <c r="J346" s="13" t="inlineStr">
        <is>
          <t>NÃO</t>
        </is>
      </c>
      <c r="K346" s="13" t="inlineStr">
        <is>
          <t>Embalagem Flexível — NÃO LAVÁVEL (Perfurar e usar saco ABNT)</t>
        </is>
      </c>
      <c r="L346" s="13" t="inlineStr">
        <is>
          <t>SIM (Saco Transparente ABNT)</t>
        </is>
      </c>
      <c r="M346" s="13" t="inlineStr">
        <is>
          <t>0,00% (Lei nº 10.925/2004)</t>
        </is>
      </c>
      <c r="N346" s="13" t="inlineStr">
        <is>
          <t>0,925% (LC nº 224/2025)</t>
        </is>
      </c>
      <c r="O346" s="13" t="inlineStr">
        <is>
          <t>0,365% (LC nº 224/2025)</t>
        </is>
      </c>
      <c r="P346" s="13" t="inlineStr">
        <is>
          <t>CST 06</t>
        </is>
      </c>
      <c r="Q346" s="13" t="inlineStr">
        <is>
          <t>CST 73</t>
        </is>
      </c>
      <c r="R346" s="13" t="inlineStr">
        <is>
          <t>Redução de 60% + Diferimento (Art. 138 e Anexo IX LC 214/2025)</t>
        </is>
      </c>
    </row>
    <row r="347" ht="22" customHeight="1">
      <c r="A347" s="6" t="inlineStr">
        <is>
          <t>SKU-0343</t>
        </is>
      </c>
      <c r="B347" s="5" t="n">
        <v>254</v>
      </c>
      <c r="C347" s="7" t="inlineStr">
        <is>
          <t>Nº 22921</t>
        </is>
      </c>
      <c r="D347" s="8" t="inlineStr">
        <is>
          <t>CLOMAZONA 360 (PRINCIPIO ATIVO)</t>
        </is>
      </c>
      <c r="E347" s="7" t="inlineStr">
        <is>
          <t>Embalagem Comercial do Produto</t>
        </is>
      </c>
      <c r="F347" s="7" t="inlineStr">
        <is>
          <t>GRANEL / P.A. (0 L)</t>
        </is>
      </c>
      <c r="G347" s="7" t="inlineStr">
        <is>
          <t>L</t>
        </is>
      </c>
      <c r="H347" s="9" t="n">
        <v>0</v>
      </c>
      <c r="I347" s="7" t="inlineStr">
        <is>
          <t>3808.93.29</t>
        </is>
      </c>
      <c r="J347" s="7" t="inlineStr">
        <is>
          <t>NÃO</t>
        </is>
      </c>
      <c r="K347" s="7" t="inlineStr">
        <is>
          <t>Uso Industrial Exclusivo (PGRS / NBR 10004)</t>
        </is>
      </c>
      <c r="L347" s="7" t="inlineStr">
        <is>
          <t>NÃO</t>
        </is>
      </c>
      <c r="M347" s="7" t="inlineStr">
        <is>
          <t>0,00% (Lei nº 10.925/2004)</t>
        </is>
      </c>
      <c r="N347" s="7" t="inlineStr">
        <is>
          <t>0,925% (LC nº 224/2025)</t>
        </is>
      </c>
      <c r="O347" s="7" t="inlineStr">
        <is>
          <t>0,365% (LC nº 224/2025)</t>
        </is>
      </c>
      <c r="P347" s="7" t="inlineStr">
        <is>
          <t>CST 06 (Uso Agrícola/Industrial)</t>
        </is>
      </c>
      <c r="Q347" s="7" t="inlineStr">
        <is>
          <t>CST 73 (Revenda / Destinação)</t>
        </is>
      </c>
      <c r="R347" s="7" t="inlineStr">
        <is>
          <t>Redução de 60% + Diferimento (Art. 138 LC 214/2025)</t>
        </is>
      </c>
    </row>
    <row r="348" ht="22" customHeight="1">
      <c r="A348" s="12" t="inlineStr">
        <is>
          <t>SKU-0344</t>
        </is>
      </c>
      <c r="B348" s="11" t="n">
        <v>254</v>
      </c>
      <c r="C348" s="13" t="inlineStr">
        <is>
          <t>Nº 22921</t>
        </is>
      </c>
      <c r="D348" s="14" t="inlineStr">
        <is>
          <t>CLOMAZONA 360 (PRINCIPIO ATIVO)</t>
        </is>
      </c>
      <c r="E348" s="13" t="inlineStr">
        <is>
          <t>Faixa 1 TIPI (Apresentação &lt;= 300 g ou mL)</t>
        </is>
      </c>
      <c r="F348" s="13" t="inlineStr">
        <is>
          <t>Fracionado / Amostra &lt;= 0,3 L</t>
        </is>
      </c>
      <c r="G348" s="13" t="inlineStr">
        <is>
          <t>L</t>
        </is>
      </c>
      <c r="H348" s="18" t="n">
        <v>0.3</v>
      </c>
      <c r="I348" s="13" t="inlineStr">
        <is>
          <t>3808.93.19</t>
        </is>
      </c>
      <c r="J348" s="13" t="inlineStr">
        <is>
          <t>NÃO</t>
        </is>
      </c>
      <c r="K348" s="13" t="inlineStr">
        <is>
          <t>Uso Industrial Exclusivo (PGRS / NBR 10004)</t>
        </is>
      </c>
      <c r="L348" s="13" t="inlineStr">
        <is>
          <t>NÃO</t>
        </is>
      </c>
      <c r="M348" s="13" t="inlineStr">
        <is>
          <t>0,00% (Lei nº 10.925/2004)</t>
        </is>
      </c>
      <c r="N348" s="13" t="inlineStr">
        <is>
          <t>0,925% (LC nº 224/2025)</t>
        </is>
      </c>
      <c r="O348" s="13" t="inlineStr">
        <is>
          <t>0,365% (LC nº 224/2025)</t>
        </is>
      </c>
      <c r="P348" s="13" t="inlineStr">
        <is>
          <t>CST 06 (Uso Agrícola/Industrial)</t>
        </is>
      </c>
      <c r="Q348" s="13" t="inlineStr">
        <is>
          <t>CST 73 (Revenda / Destinação)</t>
        </is>
      </c>
      <c r="R348" s="13" t="inlineStr">
        <is>
          <t>Redução de 60% + Diferimento (Art. 138 LC 214/2025)</t>
        </is>
      </c>
    </row>
    <row r="349" ht="22" customHeight="1">
      <c r="A349" s="6" t="inlineStr">
        <is>
          <t>SKU-0345</t>
        </is>
      </c>
      <c r="B349" s="5" t="n">
        <v>255</v>
      </c>
      <c r="C349" s="7" t="inlineStr">
        <is>
          <t>SIPEAGRO (UF-XXXXX)</t>
        </is>
      </c>
      <c r="D349" s="8" t="inlineStr">
        <is>
          <t>AGCN MN+ 100</t>
        </is>
      </c>
      <c r="E349" s="7" t="inlineStr">
        <is>
          <t>Embalagem Comercial do Produto</t>
        </is>
      </c>
      <c r="F349" s="7" t="inlineStr">
        <is>
          <t>1X1000L (1000 L)</t>
        </is>
      </c>
      <c r="G349" s="7" t="inlineStr">
        <is>
          <t>L</t>
        </is>
      </c>
      <c r="H349" s="9" t="n">
        <v>1000</v>
      </c>
      <c r="I349" s="7" t="inlineStr">
        <is>
          <t>3105.90.90</t>
        </is>
      </c>
      <c r="J349" s="7" t="inlineStr">
        <is>
          <t>NÃO</t>
        </is>
      </c>
      <c r="K349" s="7" t="inlineStr">
        <is>
          <t>Embalagem de Insumo Nutricional/Biológico (Logística Reversa)</t>
        </is>
      </c>
      <c r="L349" s="7" t="inlineStr">
        <is>
          <t>NÃO</t>
        </is>
      </c>
      <c r="M349" s="7" t="inlineStr">
        <is>
          <t>0,00% (Lei nº 10.925/2004)</t>
        </is>
      </c>
      <c r="N349" s="7" t="inlineStr">
        <is>
          <t>0,925% (LC nº 224/2025)</t>
        </is>
      </c>
      <c r="O349" s="7" t="inlineStr">
        <is>
          <t>0,365% (LC nº 224/2025)</t>
        </is>
      </c>
      <c r="P349" s="7" t="inlineStr">
        <is>
          <t>CST 06</t>
        </is>
      </c>
      <c r="Q349" s="7" t="inlineStr">
        <is>
          <t>CST 73</t>
        </is>
      </c>
      <c r="R349" s="7" t="inlineStr">
        <is>
          <t>Redução de 60% + Diferimento (Art. 138 e Anexo IX LC 214/2025)</t>
        </is>
      </c>
    </row>
    <row r="350" ht="22" customHeight="1">
      <c r="A350" s="12" t="inlineStr">
        <is>
          <t>SKU-0346</t>
        </is>
      </c>
      <c r="B350" s="11" t="n">
        <v>255</v>
      </c>
      <c r="C350" s="13" t="inlineStr">
        <is>
          <t>SIPEAGRO (UF-XXXXX)</t>
        </is>
      </c>
      <c r="D350" s="14" t="inlineStr">
        <is>
          <t>AGCN MN+ 100</t>
        </is>
      </c>
      <c r="E350" s="13" t="inlineStr">
        <is>
          <t>Faixa 1 TIPI (Apresentação &lt;= 300 g ou mL)</t>
        </is>
      </c>
      <c r="F350" s="13" t="inlineStr">
        <is>
          <t>Fracionado / Amostra &lt;= 0,3 L</t>
        </is>
      </c>
      <c r="G350" s="13" t="inlineStr">
        <is>
          <t>L</t>
        </is>
      </c>
      <c r="H350" s="18" t="n">
        <v>0.3</v>
      </c>
      <c r="I350" s="13" t="inlineStr">
        <is>
          <t>3105.90.90</t>
        </is>
      </c>
      <c r="J350" s="13" t="inlineStr">
        <is>
          <t>NÃO</t>
        </is>
      </c>
      <c r="K350" s="13" t="inlineStr">
        <is>
          <t>Embalagem de Insumo Nutricional/Biológico (Logística Reversa)</t>
        </is>
      </c>
      <c r="L350" s="13" t="inlineStr">
        <is>
          <t>NÃO</t>
        </is>
      </c>
      <c r="M350" s="13" t="inlineStr">
        <is>
          <t>0,00% (Lei nº 10.925/2004)</t>
        </is>
      </c>
      <c r="N350" s="13" t="inlineStr">
        <is>
          <t>0,925% (LC nº 224/2025)</t>
        </is>
      </c>
      <c r="O350" s="13" t="inlineStr">
        <is>
          <t>0,365% (LC nº 224/2025)</t>
        </is>
      </c>
      <c r="P350" s="13" t="inlineStr">
        <is>
          <t>CST 06</t>
        </is>
      </c>
      <c r="Q350" s="13" t="inlineStr">
        <is>
          <t>CST 73</t>
        </is>
      </c>
      <c r="R350" s="13" t="inlineStr">
        <is>
          <t>Redução de 60% + Diferimento (Art. 138 e Anexo IX LC 214/2025)</t>
        </is>
      </c>
    </row>
    <row r="351" ht="22" customHeight="1">
      <c r="A351" s="6" t="inlineStr">
        <is>
          <t>SKU-0347</t>
        </is>
      </c>
      <c r="B351" s="5" t="n">
        <v>256</v>
      </c>
      <c r="C351" s="7" t="inlineStr">
        <is>
          <t>Nº 1411</t>
        </is>
      </c>
      <c r="D351" s="8" t="inlineStr">
        <is>
          <t>CLORIMUROM 360 (PRINCIPIO ATIVO)</t>
        </is>
      </c>
      <c r="E351" s="7" t="inlineStr">
        <is>
          <t>Embalagem Comercial do Produto</t>
        </is>
      </c>
      <c r="F351" s="7" t="inlineStr">
        <is>
          <t>GRANEL / P.A. (0 KG)</t>
        </is>
      </c>
      <c r="G351" s="7" t="inlineStr">
        <is>
          <t>KG</t>
        </is>
      </c>
      <c r="H351" s="9" t="n">
        <v>0</v>
      </c>
      <c r="I351" s="7" t="inlineStr">
        <is>
          <t>3808.93.29</t>
        </is>
      </c>
      <c r="J351" s="7" t="inlineStr">
        <is>
          <t>NÃO</t>
        </is>
      </c>
      <c r="K351" s="7" t="inlineStr">
        <is>
          <t>Uso Industrial Exclusivo (PGRS / NBR 10004)</t>
        </is>
      </c>
      <c r="L351" s="7" t="inlineStr">
        <is>
          <t>NÃO</t>
        </is>
      </c>
      <c r="M351" s="7" t="inlineStr">
        <is>
          <t>0,00% (Lei nº 10.925/2004)</t>
        </is>
      </c>
      <c r="N351" s="7" t="inlineStr">
        <is>
          <t>0,925% (LC nº 224/2025)</t>
        </is>
      </c>
      <c r="O351" s="7" t="inlineStr">
        <is>
          <t>0,365% (LC nº 224/2025)</t>
        </is>
      </c>
      <c r="P351" s="7" t="inlineStr">
        <is>
          <t>CST 06 (Uso Agrícola/Industrial)</t>
        </is>
      </c>
      <c r="Q351" s="7" t="inlineStr">
        <is>
          <t>CST 73 (Revenda / Destinação)</t>
        </is>
      </c>
      <c r="R351" s="7" t="inlineStr">
        <is>
          <t>Redução de 60% + Diferimento (Art. 138 LC 214/2025)</t>
        </is>
      </c>
    </row>
    <row r="352" ht="22" customHeight="1">
      <c r="A352" s="12" t="inlineStr">
        <is>
          <t>SKU-0348</t>
        </is>
      </c>
      <c r="B352" s="11" t="n">
        <v>256</v>
      </c>
      <c r="C352" s="13" t="inlineStr">
        <is>
          <t>Nº 1411</t>
        </is>
      </c>
      <c r="D352" s="14" t="inlineStr">
        <is>
          <t>CLORIMUROM 360 (PRINCIPIO ATIVO)</t>
        </is>
      </c>
      <c r="E352" s="13" t="inlineStr">
        <is>
          <t>Faixa 1 TIPI (Apresentação &lt;= 300 g ou mL)</t>
        </is>
      </c>
      <c r="F352" s="13" t="inlineStr">
        <is>
          <t>Fracionado / Amostra &lt;= 0,3 KG</t>
        </is>
      </c>
      <c r="G352" s="13" t="inlineStr">
        <is>
          <t>KG</t>
        </is>
      </c>
      <c r="H352" s="18" t="n">
        <v>0.3</v>
      </c>
      <c r="I352" s="13" t="inlineStr">
        <is>
          <t>3808.93.19</t>
        </is>
      </c>
      <c r="J352" s="13" t="inlineStr">
        <is>
          <t>NÃO</t>
        </is>
      </c>
      <c r="K352" s="13" t="inlineStr">
        <is>
          <t>Uso Industrial Exclusivo (PGRS / NBR 10004)</t>
        </is>
      </c>
      <c r="L352" s="13" t="inlineStr">
        <is>
          <t>NÃO</t>
        </is>
      </c>
      <c r="M352" s="13" t="inlineStr">
        <is>
          <t>0,00% (Lei nº 10.925/2004)</t>
        </is>
      </c>
      <c r="N352" s="13" t="inlineStr">
        <is>
          <t>0,925% (LC nº 224/2025)</t>
        </is>
      </c>
      <c r="O352" s="13" t="inlineStr">
        <is>
          <t>0,365% (LC nº 224/2025)</t>
        </is>
      </c>
      <c r="P352" s="13" t="inlineStr">
        <is>
          <t>CST 06 (Uso Agrícola/Industrial)</t>
        </is>
      </c>
      <c r="Q352" s="13" t="inlineStr">
        <is>
          <t>CST 73 (Revenda / Destinação)</t>
        </is>
      </c>
      <c r="R352" s="13" t="inlineStr">
        <is>
          <t>Redução de 60% + Diferimento (Art. 138 LC 214/2025)</t>
        </is>
      </c>
    </row>
    <row r="353" ht="22" customHeight="1">
      <c r="A353" s="6" t="inlineStr">
        <is>
          <t>SKU-0349</t>
        </is>
      </c>
      <c r="B353" s="5" t="n">
        <v>257</v>
      </c>
      <c r="C353" s="7" t="inlineStr">
        <is>
          <t>Nº 28517</t>
        </is>
      </c>
      <c r="D353" s="8" t="inlineStr">
        <is>
          <t>ABSOLUTO FIX</t>
        </is>
      </c>
      <c r="E353" s="7" t="inlineStr">
        <is>
          <t>Embalagem Comercial do Produto</t>
        </is>
      </c>
      <c r="F353" s="7" t="inlineStr">
        <is>
          <t>1X20L (20 L)</t>
        </is>
      </c>
      <c r="G353" s="7" t="inlineStr">
        <is>
          <t>L</t>
        </is>
      </c>
      <c r="H353" s="9" t="n">
        <v>20</v>
      </c>
      <c r="I353" s="7" t="inlineStr">
        <is>
          <t>3808.92.99</t>
        </is>
      </c>
      <c r="J353" s="7" t="inlineStr">
        <is>
          <t>NÃO</t>
        </is>
      </c>
      <c r="K353" s="7" t="inlineStr">
        <is>
          <t>Embalagem Rígida — LAVÁVEL (Obrigatória Tríplice Lavagem ou Pressão)</t>
        </is>
      </c>
      <c r="L353" s="7" t="inlineStr">
        <is>
          <t>NÃO</t>
        </is>
      </c>
      <c r="M353" s="7" t="inlineStr">
        <is>
          <t>0,00% (Lei nº 10.925/2004)</t>
        </is>
      </c>
      <c r="N353" s="7" t="inlineStr">
        <is>
          <t>0,925% (LC nº 224/2025)</t>
        </is>
      </c>
      <c r="O353" s="7" t="inlineStr">
        <is>
          <t>0,365% (LC nº 224/2025)</t>
        </is>
      </c>
      <c r="P353" s="7" t="inlineStr">
        <is>
          <t>CST 06</t>
        </is>
      </c>
      <c r="Q353" s="7" t="inlineStr">
        <is>
          <t>CST 73</t>
        </is>
      </c>
      <c r="R353" s="7" t="inlineStr">
        <is>
          <t>Redução de 60% + Diferimento (Art. 138 e Anexo IX LC 214/2025)</t>
        </is>
      </c>
    </row>
    <row r="354" ht="22" customHeight="1">
      <c r="A354" s="12" t="inlineStr">
        <is>
          <t>SKU-0350</t>
        </is>
      </c>
      <c r="B354" s="11" t="n">
        <v>258</v>
      </c>
      <c r="C354" s="13" t="inlineStr">
        <is>
          <t>Nº 28517</t>
        </is>
      </c>
      <c r="D354" s="14" t="inlineStr">
        <is>
          <t>ABSOLUTO FIX</t>
        </is>
      </c>
      <c r="E354" s="13" t="inlineStr">
        <is>
          <t>Embalagem Comercial do Produto</t>
        </is>
      </c>
      <c r="F354" s="13" t="inlineStr">
        <is>
          <t>4X5L (5 L)</t>
        </is>
      </c>
      <c r="G354" s="13" t="inlineStr">
        <is>
          <t>L</t>
        </is>
      </c>
      <c r="H354" s="15" t="n">
        <v>5</v>
      </c>
      <c r="I354" s="13" t="inlineStr">
        <is>
          <t>3808.92.99</t>
        </is>
      </c>
      <c r="J354" s="13" t="inlineStr">
        <is>
          <t>NÃO</t>
        </is>
      </c>
      <c r="K354" s="13" t="inlineStr">
        <is>
          <t>Embalagem Rígida — LAVÁVEL (Obrigatória Tríplice Lavagem ou Pressão)</t>
        </is>
      </c>
      <c r="L354" s="13" t="inlineStr">
        <is>
          <t>NÃO</t>
        </is>
      </c>
      <c r="M354" s="13" t="inlineStr">
        <is>
          <t>0,00% (Lei nº 10.925/2004)</t>
        </is>
      </c>
      <c r="N354" s="13" t="inlineStr">
        <is>
          <t>0,925% (LC nº 224/2025)</t>
        </is>
      </c>
      <c r="O354" s="13" t="inlineStr">
        <is>
          <t>0,365% (LC nº 224/2025)</t>
        </is>
      </c>
      <c r="P354" s="13" t="inlineStr">
        <is>
          <t>CST 06</t>
        </is>
      </c>
      <c r="Q354" s="13" t="inlineStr">
        <is>
          <t>CST 73</t>
        </is>
      </c>
      <c r="R354" s="13" t="inlineStr">
        <is>
          <t>Redução de 60% + Diferimento (Art. 138 e Anexo IX LC 214/2025)</t>
        </is>
      </c>
    </row>
    <row r="355" ht="22" customHeight="1">
      <c r="A355" s="6" t="inlineStr">
        <is>
          <t>SKU-0351</t>
        </is>
      </c>
      <c r="B355" s="5" t="n">
        <v>259</v>
      </c>
      <c r="C355" s="7" t="inlineStr">
        <is>
          <t>Nº 16318</t>
        </is>
      </c>
      <c r="D355" s="8" t="inlineStr">
        <is>
          <t>AMETRINA</t>
        </is>
      </c>
      <c r="E355" s="7" t="inlineStr">
        <is>
          <t>Embalagem Comercial do Produto</t>
        </is>
      </c>
      <c r="F355" s="7" t="inlineStr">
        <is>
          <t>1X20L (20 L)</t>
        </is>
      </c>
      <c r="G355" s="7" t="inlineStr">
        <is>
          <t>L</t>
        </is>
      </c>
      <c r="H355" s="9" t="n">
        <v>20</v>
      </c>
      <c r="I355" s="7" t="inlineStr">
        <is>
          <t>3808.93.28</t>
        </is>
      </c>
      <c r="J355" s="7" t="inlineStr">
        <is>
          <t>NÃO</t>
        </is>
      </c>
      <c r="K355" s="7" t="inlineStr">
        <is>
          <t>Embalagem Rígida — LAVÁVEL (Obrigatória Tríplice Lavagem ou Pressão)</t>
        </is>
      </c>
      <c r="L355" s="7" t="inlineStr">
        <is>
          <t>NÃO</t>
        </is>
      </c>
      <c r="M355" s="7" t="inlineStr">
        <is>
          <t>0,00% (Lei nº 10.925/2004)</t>
        </is>
      </c>
      <c r="N355" s="7" t="inlineStr">
        <is>
          <t>0,925% (LC nº 224/2025)</t>
        </is>
      </c>
      <c r="O355" s="7" t="inlineStr">
        <is>
          <t>0,365% (LC nº 224/2025)</t>
        </is>
      </c>
      <c r="P355" s="7" t="inlineStr">
        <is>
          <t>CST 06</t>
        </is>
      </c>
      <c r="Q355" s="7" t="inlineStr">
        <is>
          <t>CST 73</t>
        </is>
      </c>
      <c r="R355" s="7" t="inlineStr">
        <is>
          <t>Redução de 60% + Diferimento (Art. 138 e Anexo IX LC 214/2025)</t>
        </is>
      </c>
    </row>
    <row r="356" ht="22" customHeight="1">
      <c r="A356" s="12" t="inlineStr">
        <is>
          <t>SKU-0352</t>
        </is>
      </c>
      <c r="B356" s="11" t="n">
        <v>260</v>
      </c>
      <c r="C356" s="13" t="inlineStr">
        <is>
          <t>Nº 1924</t>
        </is>
      </c>
      <c r="D356" s="14" t="inlineStr">
        <is>
          <t>FORCEPS</t>
        </is>
      </c>
      <c r="E356" s="13" t="inlineStr">
        <is>
          <t>Embalagem Comercial do Produto</t>
        </is>
      </c>
      <c r="F356" s="13" t="inlineStr">
        <is>
          <t>4X5KG (5 KG)</t>
        </is>
      </c>
      <c r="G356" s="13" t="inlineStr">
        <is>
          <t>KG</t>
        </is>
      </c>
      <c r="H356" s="15" t="n">
        <v>5</v>
      </c>
      <c r="I356" s="13" t="inlineStr">
        <is>
          <t>3808.62.90</t>
        </is>
      </c>
      <c r="J356" s="13" t="inlineStr">
        <is>
          <t>SIM</t>
        </is>
      </c>
      <c r="K356" s="13" t="inlineStr">
        <is>
          <t>Embalagem Flexível — NÃO LAVÁVEL (Perfurar e usar saco ABNT)</t>
        </is>
      </c>
      <c r="L356" s="13" t="inlineStr">
        <is>
          <t>SIM (Saco Transparente ABNT)</t>
        </is>
      </c>
      <c r="M356" s="13" t="inlineStr">
        <is>
          <t>0,00% (Lei nº 10.925/2004)</t>
        </is>
      </c>
      <c r="N356" s="13" t="inlineStr">
        <is>
          <t>0,925% (LC nº 224/2025)</t>
        </is>
      </c>
      <c r="O356" s="13" t="inlineStr">
        <is>
          <t>0,365% (LC nº 224/2025)</t>
        </is>
      </c>
      <c r="P356" s="13" t="inlineStr">
        <is>
          <t>CST 06</t>
        </is>
      </c>
      <c r="Q356" s="13" t="inlineStr">
        <is>
          <t>CST 73</t>
        </is>
      </c>
      <c r="R356" s="13" t="inlineStr">
        <is>
          <t>Redução de 60% + Diferimento (Art. 138 e Anexo IX LC 214/2025)</t>
        </is>
      </c>
    </row>
    <row r="357" ht="22" customHeight="1">
      <c r="A357" s="6" t="inlineStr">
        <is>
          <t>SKU-0353</t>
        </is>
      </c>
      <c r="B357" s="5" t="n">
        <v>260</v>
      </c>
      <c r="C357" s="7" t="inlineStr">
        <is>
          <t>Nº 1924</t>
        </is>
      </c>
      <c r="D357" s="8" t="inlineStr">
        <is>
          <t>FORCEPS</t>
        </is>
      </c>
      <c r="E357" s="7" t="inlineStr">
        <is>
          <t>Faixa 1 TIPI (Apresentação &lt;= 300 g ou mL)</t>
        </is>
      </c>
      <c r="F357" s="7" t="inlineStr">
        <is>
          <t>Fracionado / Amostra &lt;= 0,3 KG</t>
        </is>
      </c>
      <c r="G357" s="7" t="inlineStr">
        <is>
          <t>KG</t>
        </is>
      </c>
      <c r="H357" s="17" t="n">
        <v>0.3</v>
      </c>
      <c r="I357" s="7" t="inlineStr">
        <is>
          <t>3808.61.00</t>
        </is>
      </c>
      <c r="J357" s="7" t="inlineStr">
        <is>
          <t>SIM</t>
        </is>
      </c>
      <c r="K357" s="7" t="inlineStr">
        <is>
          <t>Embalagem Flexível — NÃO LAVÁVEL (Perfurar e usar saco ABNT)</t>
        </is>
      </c>
      <c r="L357" s="7" t="inlineStr">
        <is>
          <t>SIM (Saco Transparente ABNT)</t>
        </is>
      </c>
      <c r="M357" s="7" t="inlineStr">
        <is>
          <t>0,00% (Lei nº 10.925/2004)</t>
        </is>
      </c>
      <c r="N357" s="7" t="inlineStr">
        <is>
          <t>0,925% (LC nº 224/2025)</t>
        </is>
      </c>
      <c r="O357" s="7" t="inlineStr">
        <is>
          <t>0,365% (LC nº 224/2025)</t>
        </is>
      </c>
      <c r="P357" s="7" t="inlineStr">
        <is>
          <t>CST 06</t>
        </is>
      </c>
      <c r="Q357" s="7" t="inlineStr">
        <is>
          <t>CST 73</t>
        </is>
      </c>
      <c r="R357" s="7" t="inlineStr">
        <is>
          <t>Redução de 60% + Diferimento (Art. 138 e Anexo IX LC 214/2025)</t>
        </is>
      </c>
    </row>
    <row r="358" ht="22" customHeight="1">
      <c r="A358" s="12" t="inlineStr">
        <is>
          <t>SKU-0354</t>
        </is>
      </c>
      <c r="B358" s="11" t="n">
        <v>261</v>
      </c>
      <c r="C358" s="13" t="inlineStr">
        <is>
          <t>Nº 3915</t>
        </is>
      </c>
      <c r="D358" s="14" t="inlineStr">
        <is>
          <t>CYPER COPA 250 EC</t>
        </is>
      </c>
      <c r="E358" s="13" t="inlineStr">
        <is>
          <t>Embalagem Comercial do Produto</t>
        </is>
      </c>
      <c r="F358" s="13" t="inlineStr">
        <is>
          <t>12X1L (1 L)</t>
        </is>
      </c>
      <c r="G358" s="13" t="inlineStr">
        <is>
          <t>L</t>
        </is>
      </c>
      <c r="H358" s="15" t="n">
        <v>1</v>
      </c>
      <c r="I358" s="13" t="inlineStr">
        <is>
          <t>3808.91.92</t>
        </is>
      </c>
      <c r="J358" s="13" t="inlineStr">
        <is>
          <t>NÃO</t>
        </is>
      </c>
      <c r="K358" s="13" t="inlineStr">
        <is>
          <t>Embalagem Rígida — LAVÁVEL (Obrigatória Tríplice Lavagem ou Pressão)</t>
        </is>
      </c>
      <c r="L358" s="13" t="inlineStr">
        <is>
          <t>NÃO</t>
        </is>
      </c>
      <c r="M358" s="13" t="inlineStr">
        <is>
          <t>0,00% (Lei nº 10.925/2004)</t>
        </is>
      </c>
      <c r="N358" s="13" t="inlineStr">
        <is>
          <t>0,925% (LC nº 224/2025)</t>
        </is>
      </c>
      <c r="O358" s="13" t="inlineStr">
        <is>
          <t>0,365% (LC nº 224/2025)</t>
        </is>
      </c>
      <c r="P358" s="13" t="inlineStr">
        <is>
          <t>CST 06</t>
        </is>
      </c>
      <c r="Q358" s="13" t="inlineStr">
        <is>
          <t>CST 73</t>
        </is>
      </c>
      <c r="R358" s="13" t="inlineStr">
        <is>
          <t>Redução de 60% + Diferimento (Art. 138 e Anexo IX LC 214/2025)</t>
        </is>
      </c>
    </row>
    <row r="359" ht="22" customHeight="1">
      <c r="A359" s="6" t="inlineStr">
        <is>
          <t>SKU-0355</t>
        </is>
      </c>
      <c r="B359" s="5" t="n">
        <v>262</v>
      </c>
      <c r="C359" s="7" t="inlineStr">
        <is>
          <t>VINCULAR MARCA</t>
        </is>
      </c>
      <c r="D359" s="8" t="inlineStr">
        <is>
          <t>GLUFOSINATO 880 (PRINCIPIO ATIVO)</t>
        </is>
      </c>
      <c r="E359" s="7" t="inlineStr">
        <is>
          <t>Embalagem Comercial do Produto</t>
        </is>
      </c>
      <c r="F359" s="7" t="inlineStr">
        <is>
          <t>GRANEL / P.A. (0 KG)</t>
        </is>
      </c>
      <c r="G359" s="7" t="inlineStr">
        <is>
          <t>KG</t>
        </is>
      </c>
      <c r="H359" s="9" t="n">
        <v>0</v>
      </c>
      <c r="I359" s="7" t="inlineStr">
        <is>
          <t>3808.93.29</t>
        </is>
      </c>
      <c r="J359" s="7" t="inlineStr">
        <is>
          <t>NÃO</t>
        </is>
      </c>
      <c r="K359" s="7" t="inlineStr">
        <is>
          <t>Uso Industrial Exclusivo (PGRS / NBR 10004)</t>
        </is>
      </c>
      <c r="L359" s="7" t="inlineStr">
        <is>
          <t>NÃO</t>
        </is>
      </c>
      <c r="M359" s="7" t="inlineStr">
        <is>
          <t>0,00% (Lei nº 10.925/2004)</t>
        </is>
      </c>
      <c r="N359" s="7" t="inlineStr">
        <is>
          <t>0,925% (LC nº 224/2025)</t>
        </is>
      </c>
      <c r="O359" s="7" t="inlineStr">
        <is>
          <t>0,365% (LC nº 224/2025)</t>
        </is>
      </c>
      <c r="P359" s="7" t="inlineStr">
        <is>
          <t>CST 06 (Uso Agrícola/Industrial)</t>
        </is>
      </c>
      <c r="Q359" s="7" t="inlineStr">
        <is>
          <t>CST 73 (Revenda / Destinação)</t>
        </is>
      </c>
      <c r="R359" s="7" t="inlineStr">
        <is>
          <t>Redução de 60% + Diferimento (Art. 138 LC 214/2025)</t>
        </is>
      </c>
    </row>
    <row r="360" ht="22" customHeight="1">
      <c r="A360" s="12" t="inlineStr">
        <is>
          <t>SKU-0356</t>
        </is>
      </c>
      <c r="B360" s="11" t="n">
        <v>262</v>
      </c>
      <c r="C360" s="13" t="inlineStr">
        <is>
          <t>VINCULAR MARCA</t>
        </is>
      </c>
      <c r="D360" s="14" t="inlineStr">
        <is>
          <t>GLUFOSINATO 880 (PRINCIPIO ATIVO)</t>
        </is>
      </c>
      <c r="E360" s="13" t="inlineStr">
        <is>
          <t>Faixa 1 TIPI (Apresentação &lt;= 300 g ou mL)</t>
        </is>
      </c>
      <c r="F360" s="13" t="inlineStr">
        <is>
          <t>Fracionado / Amostra &lt;= 0,3 KG</t>
        </is>
      </c>
      <c r="G360" s="13" t="inlineStr">
        <is>
          <t>KG</t>
        </is>
      </c>
      <c r="H360" s="18" t="n">
        <v>0.3</v>
      </c>
      <c r="I360" s="13" t="inlineStr">
        <is>
          <t>3808.92.20</t>
        </is>
      </c>
      <c r="J360" s="13" t="inlineStr">
        <is>
          <t>NÃO</t>
        </is>
      </c>
      <c r="K360" s="13" t="inlineStr">
        <is>
          <t>Uso Industrial Exclusivo (PGRS / NBR 10004)</t>
        </is>
      </c>
      <c r="L360" s="13" t="inlineStr">
        <is>
          <t>NÃO</t>
        </is>
      </c>
      <c r="M360" s="13" t="inlineStr">
        <is>
          <t>0,00% (Lei nº 10.925/2004)</t>
        </is>
      </c>
      <c r="N360" s="13" t="inlineStr">
        <is>
          <t>0,925% (LC nº 224/2025)</t>
        </is>
      </c>
      <c r="O360" s="13" t="inlineStr">
        <is>
          <t>0,365% (LC nº 224/2025)</t>
        </is>
      </c>
      <c r="P360" s="13" t="inlineStr">
        <is>
          <t>CST 06 (Uso Agrícola/Industrial)</t>
        </is>
      </c>
      <c r="Q360" s="13" t="inlineStr">
        <is>
          <t>CST 73 (Revenda / Destinação)</t>
        </is>
      </c>
      <c r="R360" s="13" t="inlineStr">
        <is>
          <t>Redução de 60% + Diferimento (Art. 138 LC 214/2025)</t>
        </is>
      </c>
    </row>
    <row r="361" ht="22" customHeight="1">
      <c r="A361" s="6" t="inlineStr">
        <is>
          <t>SKU-0357</t>
        </is>
      </c>
      <c r="B361" s="5" t="n">
        <v>263</v>
      </c>
      <c r="C361" s="7" t="inlineStr">
        <is>
          <t>SIPEAGRO (UF-XXXXX)</t>
        </is>
      </c>
      <c r="D361" s="8" t="inlineStr">
        <is>
          <t>AGCN ULTRA COPPER</t>
        </is>
      </c>
      <c r="E361" s="7" t="inlineStr">
        <is>
          <t>Embalagem Comercial do Produto</t>
        </is>
      </c>
      <c r="F361" s="7" t="inlineStr">
        <is>
          <t>5X3KG (3 KG)</t>
        </is>
      </c>
      <c r="G361" s="7" t="inlineStr">
        <is>
          <t>KG</t>
        </is>
      </c>
      <c r="H361" s="9" t="n">
        <v>3</v>
      </c>
      <c r="I361" s="7" t="inlineStr">
        <is>
          <t>3104.90.90</t>
        </is>
      </c>
      <c r="J361" s="7" t="inlineStr">
        <is>
          <t>NÃO</t>
        </is>
      </c>
      <c r="K361" s="7" t="inlineStr">
        <is>
          <t>Embalagem de Insumo Nutricional/Biológico (Logística Reversa)</t>
        </is>
      </c>
      <c r="L361" s="7" t="inlineStr">
        <is>
          <t>NÃO</t>
        </is>
      </c>
      <c r="M361" s="7" t="inlineStr">
        <is>
          <t>0,00% (Lei nº 10.925/2004)</t>
        </is>
      </c>
      <c r="N361" s="7" t="inlineStr">
        <is>
          <t>0,925% (LC nº 224/2025)</t>
        </is>
      </c>
      <c r="O361" s="7" t="inlineStr">
        <is>
          <t>0,365% (LC nº 224/2025)</t>
        </is>
      </c>
      <c r="P361" s="7" t="inlineStr">
        <is>
          <t>CST 06</t>
        </is>
      </c>
      <c r="Q361" s="7" t="inlineStr">
        <is>
          <t>CST 73</t>
        </is>
      </c>
      <c r="R361" s="7" t="inlineStr">
        <is>
          <t>Redução de 60% + Diferimento (Art. 138 e Anexo IX LC 214/2025)</t>
        </is>
      </c>
    </row>
    <row r="362" ht="22" customHeight="1">
      <c r="A362" s="12" t="inlineStr">
        <is>
          <t>SKU-0358</t>
        </is>
      </c>
      <c r="B362" s="11" t="n">
        <v>263</v>
      </c>
      <c r="C362" s="13" t="inlineStr">
        <is>
          <t>SIPEAGRO (UF-XXXXX)</t>
        </is>
      </c>
      <c r="D362" s="14" t="inlineStr">
        <is>
          <t>AGCN ULTRA COPPER</t>
        </is>
      </c>
      <c r="E362" s="13" t="inlineStr">
        <is>
          <t>Faixa 1 TIPI (Apresentação &lt;= 300 g ou mL)</t>
        </is>
      </c>
      <c r="F362" s="13" t="inlineStr">
        <is>
          <t>Fracionado / Amostra &lt;= 0,3 KG</t>
        </is>
      </c>
      <c r="G362" s="13" t="inlineStr">
        <is>
          <t>KG</t>
        </is>
      </c>
      <c r="H362" s="18" t="n">
        <v>0.3</v>
      </c>
      <c r="I362" s="13" t="inlineStr">
        <is>
          <t>3105.90.90</t>
        </is>
      </c>
      <c r="J362" s="13" t="inlineStr">
        <is>
          <t>NÃO</t>
        </is>
      </c>
      <c r="K362" s="13" t="inlineStr">
        <is>
          <t>Embalagem de Insumo Nutricional/Biológico (Logística Reversa)</t>
        </is>
      </c>
      <c r="L362" s="13" t="inlineStr">
        <is>
          <t>NÃO</t>
        </is>
      </c>
      <c r="M362" s="13" t="inlineStr">
        <is>
          <t>0,00% (Lei nº 10.925/2004)</t>
        </is>
      </c>
      <c r="N362" s="13" t="inlineStr">
        <is>
          <t>0,925% (LC nº 224/2025)</t>
        </is>
      </c>
      <c r="O362" s="13" t="inlineStr">
        <is>
          <t>0,365% (LC nº 224/2025)</t>
        </is>
      </c>
      <c r="P362" s="13" t="inlineStr">
        <is>
          <t>CST 06</t>
        </is>
      </c>
      <c r="Q362" s="13" t="inlineStr">
        <is>
          <t>CST 73</t>
        </is>
      </c>
      <c r="R362" s="13" t="inlineStr">
        <is>
          <t>Redução de 60% + Diferimento (Art. 138 e Anexo IX LC 214/2025)</t>
        </is>
      </c>
    </row>
    <row r="363" ht="22" customHeight="1">
      <c r="A363" s="6" t="inlineStr">
        <is>
          <t>SKU-0359</t>
        </is>
      </c>
      <c r="B363" s="5" t="n">
        <v>264</v>
      </c>
      <c r="C363" s="7" t="inlineStr">
        <is>
          <t>Nº 17219</t>
        </is>
      </c>
      <c r="D363" s="8" t="inlineStr">
        <is>
          <t>FLUAZINAM</t>
        </is>
      </c>
      <c r="E363" s="7" t="inlineStr">
        <is>
          <t>Embalagem Comercial do Produto</t>
        </is>
      </c>
      <c r="F363" s="7" t="inlineStr">
        <is>
          <t>1X20L (20 L)</t>
        </is>
      </c>
      <c r="G363" s="7" t="inlineStr">
        <is>
          <t>L</t>
        </is>
      </c>
      <c r="H363" s="9" t="n">
        <v>20</v>
      </c>
      <c r="I363" s="7" t="inlineStr">
        <is>
          <t>3808.92.99</t>
        </is>
      </c>
      <c r="J363" s="7" t="inlineStr">
        <is>
          <t>NÃO</t>
        </is>
      </c>
      <c r="K363" s="7" t="inlineStr">
        <is>
          <t>Embalagem Rígida — LAVÁVEL (Obrigatória Tríplice Lavagem ou Pressão)</t>
        </is>
      </c>
      <c r="L363" s="7" t="inlineStr">
        <is>
          <t>NÃO</t>
        </is>
      </c>
      <c r="M363" s="7" t="inlineStr">
        <is>
          <t>0,00% (Lei nº 10.925/2004)</t>
        </is>
      </c>
      <c r="N363" s="7" t="inlineStr">
        <is>
          <t>0,925% (LC nº 224/2025)</t>
        </is>
      </c>
      <c r="O363" s="7" t="inlineStr">
        <is>
          <t>0,365% (LC nº 224/2025)</t>
        </is>
      </c>
      <c r="P363" s="7" t="inlineStr">
        <is>
          <t>CST 06</t>
        </is>
      </c>
      <c r="Q363" s="7" t="inlineStr">
        <is>
          <t>CST 73</t>
        </is>
      </c>
      <c r="R363" s="7" t="inlineStr">
        <is>
          <t>Redução de 60% + Diferimento (Art. 138 e Anexo IX LC 214/2025)</t>
        </is>
      </c>
    </row>
    <row r="364" ht="22" customHeight="1">
      <c r="A364" s="12" t="inlineStr">
        <is>
          <t>SKU-0360</t>
        </is>
      </c>
      <c r="B364" s="11" t="n">
        <v>265</v>
      </c>
      <c r="C364" s="13" t="inlineStr">
        <is>
          <t>Nº 14421</t>
        </is>
      </c>
      <c r="D364" s="14" t="inlineStr">
        <is>
          <t>FIPRONIL 250 FS AGCN</t>
        </is>
      </c>
      <c r="E364" s="13" t="inlineStr">
        <is>
          <t>Embalagem Comercial do Produto</t>
        </is>
      </c>
      <c r="F364" s="13" t="inlineStr">
        <is>
          <t>4X5L (5 L)</t>
        </is>
      </c>
      <c r="G364" s="13" t="inlineStr">
        <is>
          <t>L</t>
        </is>
      </c>
      <c r="H364" s="15" t="n">
        <v>5</v>
      </c>
      <c r="I364" s="13" t="inlineStr">
        <is>
          <t>3808.91.99</t>
        </is>
      </c>
      <c r="J364" s="13" t="inlineStr">
        <is>
          <t>NÃO</t>
        </is>
      </c>
      <c r="K364" s="13" t="inlineStr">
        <is>
          <t>Embalagem Rígida — LAVÁVEL (Obrigatória Tríplice Lavagem ou Pressão)</t>
        </is>
      </c>
      <c r="L364" s="13" t="inlineStr">
        <is>
          <t>NÃO</t>
        </is>
      </c>
      <c r="M364" s="13" t="inlineStr">
        <is>
          <t>0,00% (Lei nº 10.925/2004)</t>
        </is>
      </c>
      <c r="N364" s="13" t="inlineStr">
        <is>
          <t>0,925% (LC nº 224/2025)</t>
        </is>
      </c>
      <c r="O364" s="13" t="inlineStr">
        <is>
          <t>0,365% (LC nº 224/2025)</t>
        </is>
      </c>
      <c r="P364" s="13" t="inlineStr">
        <is>
          <t>CST 06</t>
        </is>
      </c>
      <c r="Q364" s="13" t="inlineStr">
        <is>
          <t>CST 73</t>
        </is>
      </c>
      <c r="R364" s="13" t="inlineStr">
        <is>
          <t>Redução de 60% + Diferimento (Art. 138 e Anexo IX LC 214/2025)</t>
        </is>
      </c>
    </row>
    <row r="365" ht="22" customHeight="1">
      <c r="A365" s="6" t="inlineStr">
        <is>
          <t>SKU-0361</t>
        </is>
      </c>
      <c r="B365" s="5" t="n">
        <v>265</v>
      </c>
      <c r="C365" s="7" t="inlineStr">
        <is>
          <t>Nº 14421</t>
        </is>
      </c>
      <c r="D365" s="8" t="inlineStr">
        <is>
          <t>FIPRONIL 250 FS AGCN</t>
        </is>
      </c>
      <c r="E365" s="7" t="inlineStr">
        <is>
          <t>Faixa 1 TIPI (Apresentação &lt;= 300 g ou mL)</t>
        </is>
      </c>
      <c r="F365" s="7" t="inlineStr">
        <is>
          <t>Fracionado / Amostra &lt;= 0,3 L</t>
        </is>
      </c>
      <c r="G365" s="7" t="inlineStr">
        <is>
          <t>L</t>
        </is>
      </c>
      <c r="H365" s="17" t="n">
        <v>0.3</v>
      </c>
      <c r="I365" s="7" t="inlineStr">
        <is>
          <t>3808.91.20</t>
        </is>
      </c>
      <c r="J365" s="7" t="inlineStr">
        <is>
          <t>NÃO</t>
        </is>
      </c>
      <c r="K365" s="7" t="inlineStr">
        <is>
          <t>Embalagem Rígida — LAVÁVEL (Obrigatória Tríplice Lavagem ou Pressão)</t>
        </is>
      </c>
      <c r="L365" s="7" t="inlineStr">
        <is>
          <t>NÃO</t>
        </is>
      </c>
      <c r="M365" s="7" t="inlineStr">
        <is>
          <t>0,00% (Lei nº 10.925/2004)</t>
        </is>
      </c>
      <c r="N365" s="7" t="inlineStr">
        <is>
          <t>0,925% (LC nº 224/2025)</t>
        </is>
      </c>
      <c r="O365" s="7" t="inlineStr">
        <is>
          <t>0,365% (LC nº 224/2025)</t>
        </is>
      </c>
      <c r="P365" s="7" t="inlineStr">
        <is>
          <t>CST 06</t>
        </is>
      </c>
      <c r="Q365" s="7" t="inlineStr">
        <is>
          <t>CST 73</t>
        </is>
      </c>
      <c r="R365" s="7" t="inlineStr">
        <is>
          <t>Redução de 60% + Diferimento (Art. 138 e Anexo IX LC 214/2025)</t>
        </is>
      </c>
    </row>
    <row r="366" ht="22" customHeight="1">
      <c r="A366" s="12" t="inlineStr">
        <is>
          <t>SKU-0362</t>
        </is>
      </c>
      <c r="B366" s="11" t="n">
        <v>266</v>
      </c>
      <c r="C366" s="13" t="inlineStr">
        <is>
          <t>Nº 14024</t>
        </is>
      </c>
      <c r="D366" s="14" t="inlineStr">
        <is>
          <t>ETHIPROLE</t>
        </is>
      </c>
      <c r="E366" s="13" t="inlineStr">
        <is>
          <t>Embalagem Comercial do Produto</t>
        </is>
      </c>
      <c r="F366" s="13" t="inlineStr">
        <is>
          <t>1X20L (20 L)</t>
        </is>
      </c>
      <c r="G366" s="13" t="inlineStr">
        <is>
          <t>L</t>
        </is>
      </c>
      <c r="H366" s="15" t="n">
        <v>20</v>
      </c>
      <c r="I366" s="13" t="inlineStr">
        <is>
          <t>3808.91.99</t>
        </is>
      </c>
      <c r="J366" s="13" t="inlineStr">
        <is>
          <t>NÃO</t>
        </is>
      </c>
      <c r="K366" s="13" t="inlineStr">
        <is>
          <t>Embalagem Rígida — LAVÁVEL (Obrigatória Tríplice Lavagem ou Pressão)</t>
        </is>
      </c>
      <c r="L366" s="13" t="inlineStr">
        <is>
          <t>NÃO</t>
        </is>
      </c>
      <c r="M366" s="13" t="inlineStr">
        <is>
          <t>0,00% (Lei nº 10.925/2004)</t>
        </is>
      </c>
      <c r="N366" s="13" t="inlineStr">
        <is>
          <t>0,925% (LC nº 224/2025)</t>
        </is>
      </c>
      <c r="O366" s="13" t="inlineStr">
        <is>
          <t>0,365% (LC nº 224/2025)</t>
        </is>
      </c>
      <c r="P366" s="13" t="inlineStr">
        <is>
          <t>CST 06</t>
        </is>
      </c>
      <c r="Q366" s="13" t="inlineStr">
        <is>
          <t>CST 73</t>
        </is>
      </c>
      <c r="R366" s="13" t="inlineStr">
        <is>
          <t>Redução de 60% + Diferimento (Art. 138 e Anexo IX LC 214/2025)</t>
        </is>
      </c>
    </row>
    <row r="367" ht="22" customHeight="1">
      <c r="A367" s="6" t="inlineStr">
        <is>
          <t>SKU-0363</t>
        </is>
      </c>
      <c r="B367" s="5" t="n">
        <v>267</v>
      </c>
      <c r="C367" s="7" t="inlineStr">
        <is>
          <t>Nº 2004</t>
        </is>
      </c>
      <c r="D367" s="8" t="inlineStr">
        <is>
          <t>PENNCOZEB</t>
        </is>
      </c>
      <c r="E367" s="7" t="inlineStr">
        <is>
          <t>Embalagem Comercial do Produto</t>
        </is>
      </c>
      <c r="F367" s="7" t="inlineStr">
        <is>
          <t>1X15KG (15 KG)</t>
        </is>
      </c>
      <c r="G367" s="7" t="inlineStr">
        <is>
          <t>KG</t>
        </is>
      </c>
      <c r="H367" s="9" t="n">
        <v>15</v>
      </c>
      <c r="I367" s="7" t="inlineStr">
        <is>
          <t>3808.92.93</t>
        </is>
      </c>
      <c r="J367" s="7" t="inlineStr">
        <is>
          <t>NÃO</t>
        </is>
      </c>
      <c r="K367" s="7" t="inlineStr">
        <is>
          <t>Embalagem Flexível — NÃO LAVÁVEL (Perfurar e usar saco ABNT)</t>
        </is>
      </c>
      <c r="L367" s="7" t="inlineStr">
        <is>
          <t>SIM (Saco Transparente ABNT)</t>
        </is>
      </c>
      <c r="M367" s="7" t="inlineStr">
        <is>
          <t>0,00% (Lei nº 10.925/2004)</t>
        </is>
      </c>
      <c r="N367" s="7" t="inlineStr">
        <is>
          <t>0,925% (LC nº 224/2025)</t>
        </is>
      </c>
      <c r="O367" s="7" t="inlineStr">
        <is>
          <t>0,365% (LC nº 224/2025)</t>
        </is>
      </c>
      <c r="P367" s="7" t="inlineStr">
        <is>
          <t>CST 06</t>
        </is>
      </c>
      <c r="Q367" s="7" t="inlineStr">
        <is>
          <t>CST 73</t>
        </is>
      </c>
      <c r="R367" s="7" t="inlineStr">
        <is>
          <t>Redução de 60% + Diferimento (Art. 138 e Anexo IX LC 214/2025)</t>
        </is>
      </c>
    </row>
    <row r="368" ht="22" customHeight="1">
      <c r="A368" s="12" t="inlineStr">
        <is>
          <t>SKU-0364</t>
        </is>
      </c>
      <c r="B368" s="11" t="n">
        <v>268</v>
      </c>
      <c r="C368" s="13" t="inlineStr">
        <is>
          <t>Nº 7124</t>
        </is>
      </c>
      <c r="D368" s="14" t="inlineStr">
        <is>
          <t>OPTIBEX</t>
        </is>
      </c>
      <c r="E368" s="13" t="inlineStr">
        <is>
          <t>Embalagem Comercial do Produto</t>
        </is>
      </c>
      <c r="F368" s="13" t="inlineStr">
        <is>
          <t>4X5KG (5 KG)</t>
        </is>
      </c>
      <c r="G368" s="13" t="inlineStr">
        <is>
          <t>KG</t>
        </is>
      </c>
      <c r="H368" s="15" t="n">
        <v>5</v>
      </c>
      <c r="I368" s="13" t="inlineStr">
        <is>
          <t>3808.93.29</t>
        </is>
      </c>
      <c r="J368" s="13" t="inlineStr">
        <is>
          <t>NÃO</t>
        </is>
      </c>
      <c r="K368" s="13" t="inlineStr">
        <is>
          <t>Embalagem Flexível — NÃO LAVÁVEL (Perfurar e usar saco ABNT)</t>
        </is>
      </c>
      <c r="L368" s="13" t="inlineStr">
        <is>
          <t>SIM (Saco Transparente ABNT)</t>
        </is>
      </c>
      <c r="M368" s="13" t="inlineStr">
        <is>
          <t>0,00% (Lei nº 10.925/2004)</t>
        </is>
      </c>
      <c r="N368" s="13" t="inlineStr">
        <is>
          <t>0,925% (LC nº 224/2025)</t>
        </is>
      </c>
      <c r="O368" s="13" t="inlineStr">
        <is>
          <t>0,365% (LC nº 224/2025)</t>
        </is>
      </c>
      <c r="P368" s="13" t="inlineStr">
        <is>
          <t>CST 06</t>
        </is>
      </c>
      <c r="Q368" s="13" t="inlineStr">
        <is>
          <t>CST 73</t>
        </is>
      </c>
      <c r="R368" s="13" t="inlineStr">
        <is>
          <t>Redução de 60% + Diferimento (Art. 138 e Anexo IX LC 214/2025)</t>
        </is>
      </c>
    </row>
    <row r="369" ht="22" customHeight="1">
      <c r="A369" s="6" t="inlineStr">
        <is>
          <t>SKU-0365</t>
        </is>
      </c>
      <c r="B369" s="5" t="n">
        <v>269</v>
      </c>
      <c r="C369" s="7" t="inlineStr">
        <is>
          <t>Nº 16407</t>
        </is>
      </c>
      <c r="D369" s="8" t="inlineStr">
        <is>
          <t>ARENA</t>
        </is>
      </c>
      <c r="E369" s="7" t="inlineStr">
        <is>
          <t>Embalagem Comercial do Produto</t>
        </is>
      </c>
      <c r="F369" s="7" t="inlineStr">
        <is>
          <t>1X20L (20 L)</t>
        </is>
      </c>
      <c r="G369" s="7" t="inlineStr">
        <is>
          <t>L</t>
        </is>
      </c>
      <c r="H369" s="9" t="n">
        <v>20</v>
      </c>
      <c r="I369" s="7" t="inlineStr">
        <is>
          <t>3808.93.22</t>
        </is>
      </c>
      <c r="J369" s="7" t="inlineStr">
        <is>
          <t>NÃO</t>
        </is>
      </c>
      <c r="K369" s="7" t="inlineStr">
        <is>
          <t>Embalagem Rígida — LAVÁVEL (Obrigatória Tríplice Lavagem ou Pressão)</t>
        </is>
      </c>
      <c r="L369" s="7" t="inlineStr">
        <is>
          <t>NÃO</t>
        </is>
      </c>
      <c r="M369" s="7" t="inlineStr">
        <is>
          <t>0,00% (Lei nº 10.925/2004)</t>
        </is>
      </c>
      <c r="N369" s="7" t="inlineStr">
        <is>
          <t>0,925% (LC nº 224/2025)</t>
        </is>
      </c>
      <c r="O369" s="7" t="inlineStr">
        <is>
          <t>0,365% (LC nº 224/2025)</t>
        </is>
      </c>
      <c r="P369" s="7" t="inlineStr">
        <is>
          <t>CST 06</t>
        </is>
      </c>
      <c r="Q369" s="7" t="inlineStr">
        <is>
          <t>CST 73</t>
        </is>
      </c>
      <c r="R369" s="7" t="inlineStr">
        <is>
          <t>Redução de 60% + Diferimento (Art. 138 e Anexo IX LC 214/2025)</t>
        </is>
      </c>
    </row>
    <row r="370" ht="22" customHeight="1">
      <c r="A370" s="12" t="inlineStr">
        <is>
          <t>SKU-0366</t>
        </is>
      </c>
      <c r="B370" s="11" t="n">
        <v>270</v>
      </c>
      <c r="C370" s="13" t="inlineStr">
        <is>
          <t>Nº 22023</t>
        </is>
      </c>
      <c r="D370" s="14" t="inlineStr">
        <is>
          <t>TEBUCONAZOLE 430 SINO-AGRI</t>
        </is>
      </c>
      <c r="E370" s="13" t="inlineStr">
        <is>
          <t>Embalagem Comercial do Produto</t>
        </is>
      </c>
      <c r="F370" s="13" t="inlineStr">
        <is>
          <t>4X5L (5 L)</t>
        </is>
      </c>
      <c r="G370" s="13" t="inlineStr">
        <is>
          <t>L</t>
        </is>
      </c>
      <c r="H370" s="15" t="n">
        <v>5</v>
      </c>
      <c r="I370" s="13" t="inlineStr">
        <is>
          <t>3808.92.99</t>
        </is>
      </c>
      <c r="J370" s="13" t="inlineStr">
        <is>
          <t>NÃO</t>
        </is>
      </c>
      <c r="K370" s="13" t="inlineStr">
        <is>
          <t>Embalagem Rígida — LAVÁVEL (Obrigatória Tríplice Lavagem ou Pressão)</t>
        </is>
      </c>
      <c r="L370" s="13" t="inlineStr">
        <is>
          <t>NÃO</t>
        </is>
      </c>
      <c r="M370" s="13" t="inlineStr">
        <is>
          <t>0,00% (Lei nº 10.925/2004)</t>
        </is>
      </c>
      <c r="N370" s="13" t="inlineStr">
        <is>
          <t>0,925% (LC nº 224/2025)</t>
        </is>
      </c>
      <c r="O370" s="13" t="inlineStr">
        <is>
          <t>0,365% (LC nº 224/2025)</t>
        </is>
      </c>
      <c r="P370" s="13" t="inlineStr">
        <is>
          <t>CST 06</t>
        </is>
      </c>
      <c r="Q370" s="13" t="inlineStr">
        <is>
          <t>CST 73</t>
        </is>
      </c>
      <c r="R370" s="13" t="inlineStr">
        <is>
          <t>Redução de 60% + Diferimento (Art. 138 e Anexo IX LC 214/2025)</t>
        </is>
      </c>
    </row>
    <row r="371" ht="22" customHeight="1">
      <c r="A371" s="6" t="inlineStr">
        <is>
          <t>SKU-0367</t>
        </is>
      </c>
      <c r="B371" s="5" t="n">
        <v>271</v>
      </c>
      <c r="C371" s="7" t="inlineStr">
        <is>
          <t>Nº 22023</t>
        </is>
      </c>
      <c r="D371" s="8" t="inlineStr">
        <is>
          <t>TEBUCONAZOLE 430 SINO-AGRI</t>
        </is>
      </c>
      <c r="E371" s="7" t="inlineStr">
        <is>
          <t>Embalagem Comercial do Produto</t>
        </is>
      </c>
      <c r="F371" s="7" t="inlineStr">
        <is>
          <t>1X20L (20 L)</t>
        </is>
      </c>
      <c r="G371" s="7" t="inlineStr">
        <is>
          <t>L</t>
        </is>
      </c>
      <c r="H371" s="9" t="n">
        <v>20</v>
      </c>
      <c r="I371" s="7" t="inlineStr">
        <is>
          <t>3808.92.99</t>
        </is>
      </c>
      <c r="J371" s="7" t="inlineStr">
        <is>
          <t>NÃO</t>
        </is>
      </c>
      <c r="K371" s="7" t="inlineStr">
        <is>
          <t>Embalagem Rígida — LAVÁVEL (Obrigatória Tríplice Lavagem ou Pressão)</t>
        </is>
      </c>
      <c r="L371" s="7" t="inlineStr">
        <is>
          <t>NÃO</t>
        </is>
      </c>
      <c r="M371" s="7" t="inlineStr">
        <is>
          <t>0,00% (Lei nº 10.925/2004)</t>
        </is>
      </c>
      <c r="N371" s="7" t="inlineStr">
        <is>
          <t>0,925% (LC nº 224/2025)</t>
        </is>
      </c>
      <c r="O371" s="7" t="inlineStr">
        <is>
          <t>0,365% (LC nº 224/2025)</t>
        </is>
      </c>
      <c r="P371" s="7" t="inlineStr">
        <is>
          <t>CST 06</t>
        </is>
      </c>
      <c r="Q371" s="7" t="inlineStr">
        <is>
          <t>CST 73</t>
        </is>
      </c>
      <c r="R371" s="7" t="inlineStr">
        <is>
          <t>Redução de 60% + Diferimento (Art. 138 e Anexo IX LC 214/2025)</t>
        </is>
      </c>
    </row>
    <row r="372" ht="22" customHeight="1">
      <c r="A372" s="12" t="inlineStr">
        <is>
          <t>SKU-0368</t>
        </is>
      </c>
      <c r="B372" s="11" t="n">
        <v>272</v>
      </c>
      <c r="C372" s="13" t="inlineStr">
        <is>
          <t>Nº 10010</t>
        </is>
      </c>
      <c r="D372" s="14" t="inlineStr">
        <is>
          <t>BRILHANTE BR</t>
        </is>
      </c>
      <c r="E372" s="13" t="inlineStr">
        <is>
          <t>Embalagem Comercial do Produto</t>
        </is>
      </c>
      <c r="F372" s="13" t="inlineStr">
        <is>
          <t>1X20L (20 L)</t>
        </is>
      </c>
      <c r="G372" s="13" t="inlineStr">
        <is>
          <t>L</t>
        </is>
      </c>
      <c r="H372" s="15" t="n">
        <v>20</v>
      </c>
      <c r="I372" s="13" t="inlineStr">
        <is>
          <t>3808.91.99</t>
        </is>
      </c>
      <c r="J372" s="13" t="inlineStr">
        <is>
          <t>NÃO</t>
        </is>
      </c>
      <c r="K372" s="13" t="inlineStr">
        <is>
          <t>Embalagem Rígida — LAVÁVEL (Obrigatória Tríplice Lavagem ou Pressão)</t>
        </is>
      </c>
      <c r="L372" s="13" t="inlineStr">
        <is>
          <t>NÃO</t>
        </is>
      </c>
      <c r="M372" s="13" t="inlineStr">
        <is>
          <t>0,00% (Lei nº 10.925/2004)</t>
        </is>
      </c>
      <c r="N372" s="13" t="inlineStr">
        <is>
          <t>0,925% (LC nº 224/2025)</t>
        </is>
      </c>
      <c r="O372" s="13" t="inlineStr">
        <is>
          <t>0,365% (LC nº 224/2025)</t>
        </is>
      </c>
      <c r="P372" s="13" t="inlineStr">
        <is>
          <t>CST 06</t>
        </is>
      </c>
      <c r="Q372" s="13" t="inlineStr">
        <is>
          <t>CST 73</t>
        </is>
      </c>
      <c r="R372" s="13" t="inlineStr">
        <is>
          <t>Redução de 60% + Diferimento (Art. 138 e Anexo IX LC 214/2025)</t>
        </is>
      </c>
    </row>
    <row r="373" ht="22" customHeight="1">
      <c r="A373" s="6" t="inlineStr">
        <is>
          <t>SKU-0369</t>
        </is>
      </c>
      <c r="B373" s="5" t="n">
        <v>273</v>
      </c>
      <c r="C373" s="7" t="inlineStr">
        <is>
          <t>ISENTO (ATO 104/2017)</t>
        </is>
      </c>
      <c r="D373" s="8" t="inlineStr">
        <is>
          <t>FERTILIZANTES 3 -</t>
        </is>
      </c>
      <c r="E373" s="7" t="inlineStr">
        <is>
          <t>Embalagem Comercial do Produto</t>
        </is>
      </c>
      <c r="F373" s="7" t="inlineStr">
        <is>
          <t>1L (1 L)</t>
        </is>
      </c>
      <c r="G373" s="7" t="inlineStr">
        <is>
          <t>L</t>
        </is>
      </c>
      <c r="H373" s="17" t="n">
        <v>0.2</v>
      </c>
      <c r="I373" s="7" t="inlineStr">
        <is>
          <t>3402.90.29</t>
        </is>
      </c>
      <c r="J373" s="7" t="inlineStr">
        <is>
          <t>NÃO</t>
        </is>
      </c>
      <c r="K373" s="7" t="inlineStr">
        <is>
          <t>Embalagem Rígida — LAVÁVEL (Obrigatória Tríplice Lavagem ou Pressão)</t>
        </is>
      </c>
      <c r="L373" s="7" t="inlineStr">
        <is>
          <t>NÃO</t>
        </is>
      </c>
      <c r="M373" s="7" t="inlineStr">
        <is>
          <t>9,25% Real | 3,65% Presumido</t>
        </is>
      </c>
      <c r="N373" s="7" t="inlineStr">
        <is>
          <t>9,250% (Integral)</t>
        </is>
      </c>
      <c r="O373" s="7" t="inlineStr">
        <is>
          <t>3,650% (Integral)</t>
        </is>
      </c>
      <c r="P373" s="7" t="inlineStr">
        <is>
          <t>CST 01</t>
        </is>
      </c>
      <c r="Q373" s="7" t="inlineStr">
        <is>
          <t>CST 50</t>
        </is>
      </c>
      <c r="R373" s="7" t="inlineStr">
        <is>
          <t>Alíquota Padrão Integral (LC 214/2025)</t>
        </is>
      </c>
    </row>
    <row r="374" ht="22" customHeight="1">
      <c r="A374" s="12" t="inlineStr">
        <is>
          <t>SKU-0370</t>
        </is>
      </c>
      <c r="B374" s="11" t="n">
        <v>274</v>
      </c>
      <c r="C374" s="13" t="inlineStr">
        <is>
          <t>Nº 12621</t>
        </is>
      </c>
      <c r="D374" s="14" t="inlineStr">
        <is>
          <t>NADRAN 250</t>
        </is>
      </c>
      <c r="E374" s="13" t="inlineStr">
        <is>
          <t>Embalagem Comercial do Produto</t>
        </is>
      </c>
      <c r="F374" s="13" t="inlineStr">
        <is>
          <t>1X20L (20 L)</t>
        </is>
      </c>
      <c r="G374" s="13" t="inlineStr">
        <is>
          <t>L</t>
        </is>
      </c>
      <c r="H374" s="15" t="n">
        <v>20</v>
      </c>
      <c r="I374" s="13" t="inlineStr">
        <is>
          <t>3808.93.59</t>
        </is>
      </c>
      <c r="J374" s="13" t="inlineStr">
        <is>
          <t>NÃO</t>
        </is>
      </c>
      <c r="K374" s="13" t="inlineStr">
        <is>
          <t>Embalagem Rígida — LAVÁVEL (Obrigatória Tríplice Lavagem ou Pressão)</t>
        </is>
      </c>
      <c r="L374" s="13" t="inlineStr">
        <is>
          <t>NÃO</t>
        </is>
      </c>
      <c r="M374" s="13" t="inlineStr">
        <is>
          <t>0,00% (Lei nº 10.925/2004)</t>
        </is>
      </c>
      <c r="N374" s="13" t="inlineStr">
        <is>
          <t>0,925% (LC nº 224/2025)</t>
        </is>
      </c>
      <c r="O374" s="13" t="inlineStr">
        <is>
          <t>0,365% (LC nº 224/2025)</t>
        </is>
      </c>
      <c r="P374" s="13" t="inlineStr">
        <is>
          <t>CST 06</t>
        </is>
      </c>
      <c r="Q374" s="13" t="inlineStr">
        <is>
          <t>CST 73</t>
        </is>
      </c>
      <c r="R374" s="13" t="inlineStr">
        <is>
          <t>Redução de 60% + Diferimento (Art. 138 e Anexo IX LC 214/2025)</t>
        </is>
      </c>
    </row>
    <row r="375" ht="22" customHeight="1">
      <c r="A375" s="6" t="inlineStr">
        <is>
          <t>SKU-0371</t>
        </is>
      </c>
      <c r="B375" s="5" t="n">
        <v>274</v>
      </c>
      <c r="C375" s="7" t="inlineStr">
        <is>
          <t>Nº 12621</t>
        </is>
      </c>
      <c r="D375" s="8" t="inlineStr">
        <is>
          <t>NADRAN 250</t>
        </is>
      </c>
      <c r="E375" s="7" t="inlineStr">
        <is>
          <t>Faixa 1 TIPI (Apresentação &lt;= 300 g ou mL)</t>
        </is>
      </c>
      <c r="F375" s="7" t="inlineStr">
        <is>
          <t>Fracionado / Amostra &lt;= 0,3 L</t>
        </is>
      </c>
      <c r="G375" s="7" t="inlineStr">
        <is>
          <t>L</t>
        </is>
      </c>
      <c r="H375" s="17" t="n">
        <v>0.3</v>
      </c>
      <c r="I375" s="7" t="inlineStr">
        <is>
          <t>3808.93.49</t>
        </is>
      </c>
      <c r="J375" s="7" t="inlineStr">
        <is>
          <t>NÃO</t>
        </is>
      </c>
      <c r="K375" s="7" t="inlineStr">
        <is>
          <t>Embalagem Rígida — LAVÁVEL (Obrigatória Tríplice Lavagem ou Pressão)</t>
        </is>
      </c>
      <c r="L375" s="7" t="inlineStr">
        <is>
          <t>NÃO</t>
        </is>
      </c>
      <c r="M375" s="7" t="inlineStr">
        <is>
          <t>0,00% (Lei nº 10.925/2004)</t>
        </is>
      </c>
      <c r="N375" s="7" t="inlineStr">
        <is>
          <t>0,925% (LC nº 224/2025)</t>
        </is>
      </c>
      <c r="O375" s="7" t="inlineStr">
        <is>
          <t>0,365% (LC nº 224/2025)</t>
        </is>
      </c>
      <c r="P375" s="7" t="inlineStr">
        <is>
          <t>CST 06</t>
        </is>
      </c>
      <c r="Q375" s="7" t="inlineStr">
        <is>
          <t>CST 73</t>
        </is>
      </c>
      <c r="R375" s="7" t="inlineStr">
        <is>
          <t>Redução de 60% + Diferimento (Art. 138 e Anexo IX LC 214/2025)</t>
        </is>
      </c>
    </row>
    <row r="376" ht="22" customHeight="1">
      <c r="A376" s="12" t="inlineStr">
        <is>
          <t>SKU-0372</t>
        </is>
      </c>
      <c r="B376" s="11" t="n">
        <v>275</v>
      </c>
      <c r="C376" s="13" t="inlineStr">
        <is>
          <t>SIPEAGRO (UF-XXXXX)</t>
        </is>
      </c>
      <c r="D376" s="14" t="inlineStr">
        <is>
          <t>BRENNFEED BR 248</t>
        </is>
      </c>
      <c r="E376" s="13" t="inlineStr">
        <is>
          <t>Embalagem Comercial do Produto</t>
        </is>
      </c>
      <c r="F376" s="13" t="inlineStr">
        <is>
          <t>1KG (1 KG)</t>
        </is>
      </c>
      <c r="G376" s="13" t="inlineStr">
        <is>
          <t>KG</t>
        </is>
      </c>
      <c r="H376" s="18" t="n">
        <v>0.2</v>
      </c>
      <c r="I376" s="13" t="inlineStr">
        <is>
          <t>3105.90.90</t>
        </is>
      </c>
      <c r="J376" s="13" t="inlineStr">
        <is>
          <t>NÃO</t>
        </is>
      </c>
      <c r="K376" s="13" t="inlineStr">
        <is>
          <t>Embalagem de Insumo Nutricional/Biológico (Logística Reversa)</t>
        </is>
      </c>
      <c r="L376" s="13" t="inlineStr">
        <is>
          <t>NÃO</t>
        </is>
      </c>
      <c r="M376" s="13" t="inlineStr">
        <is>
          <t>0,00% (Lei nº 10.925/2004)</t>
        </is>
      </c>
      <c r="N376" s="13" t="inlineStr">
        <is>
          <t>0,925% (LC nº 224/2025)</t>
        </is>
      </c>
      <c r="O376" s="13" t="inlineStr">
        <is>
          <t>0,365% (LC nº 224/2025)</t>
        </is>
      </c>
      <c r="P376" s="13" t="inlineStr">
        <is>
          <t>CST 06</t>
        </is>
      </c>
      <c r="Q376" s="13" t="inlineStr">
        <is>
          <t>CST 73</t>
        </is>
      </c>
      <c r="R376" s="13" t="inlineStr">
        <is>
          <t>Redução de 60% + Diferimento (Art. 138 e Anexo IX LC 214/2025)</t>
        </is>
      </c>
    </row>
    <row r="377" ht="22" customHeight="1">
      <c r="A377" s="6" t="inlineStr">
        <is>
          <t>SKU-0373</t>
        </is>
      </c>
      <c r="B377" s="5" t="n">
        <v>275</v>
      </c>
      <c r="C377" s="7" t="inlineStr">
        <is>
          <t>SIPEAGRO (UF-XXXXX)</t>
        </is>
      </c>
      <c r="D377" s="8" t="inlineStr">
        <is>
          <t>BRENNFEED BR 248</t>
        </is>
      </c>
      <c r="E377" s="7" t="inlineStr">
        <is>
          <t>Faixa 1 TIPI (Apresentação &lt;= 300 g ou mL)</t>
        </is>
      </c>
      <c r="F377" s="7" t="inlineStr">
        <is>
          <t>Fracionado / Amostra &lt;= 0,3 KG</t>
        </is>
      </c>
      <c r="G377" s="7" t="inlineStr">
        <is>
          <t>KG</t>
        </is>
      </c>
      <c r="H377" s="17" t="n">
        <v>0.3</v>
      </c>
      <c r="I377" s="7" t="inlineStr">
        <is>
          <t>3105.90.90</t>
        </is>
      </c>
      <c r="J377" s="7" t="inlineStr">
        <is>
          <t>NÃO</t>
        </is>
      </c>
      <c r="K377" s="7" t="inlineStr">
        <is>
          <t>Embalagem de Insumo Nutricional/Biológico (Logística Reversa)</t>
        </is>
      </c>
      <c r="L377" s="7" t="inlineStr">
        <is>
          <t>NÃO</t>
        </is>
      </c>
      <c r="M377" s="7" t="inlineStr">
        <is>
          <t>0,00% (Lei nº 10.925/2004)</t>
        </is>
      </c>
      <c r="N377" s="7" t="inlineStr">
        <is>
          <t>0,925% (LC nº 224/2025)</t>
        </is>
      </c>
      <c r="O377" s="7" t="inlineStr">
        <is>
          <t>0,365% (LC nº 224/2025)</t>
        </is>
      </c>
      <c r="P377" s="7" t="inlineStr">
        <is>
          <t>CST 06</t>
        </is>
      </c>
      <c r="Q377" s="7" t="inlineStr">
        <is>
          <t>CST 73</t>
        </is>
      </c>
      <c r="R377" s="7" t="inlineStr">
        <is>
          <t>Redução de 60% + Diferimento (Art. 138 e Anexo IX LC 214/2025)</t>
        </is>
      </c>
    </row>
    <row r="378" ht="22" customHeight="1">
      <c r="A378" s="12" t="inlineStr">
        <is>
          <t>SKU-0374</t>
        </is>
      </c>
      <c r="B378" s="11" t="n">
        <v>276</v>
      </c>
      <c r="C378" s="13" t="inlineStr">
        <is>
          <t>Nº 31817</t>
        </is>
      </c>
      <c r="D378" s="14" t="inlineStr">
        <is>
          <t>RAINIL</t>
        </is>
      </c>
      <c r="E378" s="13" t="inlineStr">
        <is>
          <t>Embalagem Comercial do Produto</t>
        </is>
      </c>
      <c r="F378" s="13" t="inlineStr">
        <is>
          <t>12X1KG (1 KG)</t>
        </is>
      </c>
      <c r="G378" s="13" t="inlineStr">
        <is>
          <t>KG</t>
        </is>
      </c>
      <c r="H378" s="15" t="n">
        <v>1</v>
      </c>
      <c r="I378" s="13" t="inlineStr">
        <is>
          <t>3808.91.99</t>
        </is>
      </c>
      <c r="J378" s="13" t="inlineStr">
        <is>
          <t>NÃO</t>
        </is>
      </c>
      <c r="K378" s="13" t="inlineStr">
        <is>
          <t>Embalagem Flexível — NÃO LAVÁVEL (Perfurar e usar saco ABNT)</t>
        </is>
      </c>
      <c r="L378" s="13" t="inlineStr">
        <is>
          <t>SIM (Saco Transparente ABNT)</t>
        </is>
      </c>
      <c r="M378" s="13" t="inlineStr">
        <is>
          <t>0,00% (Lei nº 10.925/2004)</t>
        </is>
      </c>
      <c r="N378" s="13" t="inlineStr">
        <is>
          <t>0,925% (LC nº 224/2025)</t>
        </is>
      </c>
      <c r="O378" s="13" t="inlineStr">
        <is>
          <t>0,365% (LC nº 224/2025)</t>
        </is>
      </c>
      <c r="P378" s="13" t="inlineStr">
        <is>
          <t>CST 06</t>
        </is>
      </c>
      <c r="Q378" s="13" t="inlineStr">
        <is>
          <t>CST 73</t>
        </is>
      </c>
      <c r="R378" s="13" t="inlineStr">
        <is>
          <t>Redução de 60% + Diferimento (Art. 138 e Anexo IX LC 214/2025)</t>
        </is>
      </c>
    </row>
    <row r="379" ht="22" customHeight="1">
      <c r="A379" s="6" t="inlineStr">
        <is>
          <t>SKU-0375</t>
        </is>
      </c>
      <c r="B379" s="5" t="n">
        <v>277</v>
      </c>
      <c r="C379" s="7" t="inlineStr">
        <is>
          <t>Nº 17119</t>
        </is>
      </c>
      <c r="D379" s="8" t="inlineStr">
        <is>
          <t>DIFENCONAZOLE 25% EC</t>
        </is>
      </c>
      <c r="E379" s="7" t="inlineStr">
        <is>
          <t>Embalagem Comercial do Produto</t>
        </is>
      </c>
      <c r="F379" s="7" t="inlineStr">
        <is>
          <t>4X5L (5 L)</t>
        </is>
      </c>
      <c r="G379" s="7" t="inlineStr">
        <is>
          <t>L</t>
        </is>
      </c>
      <c r="H379" s="9" t="n">
        <v>5</v>
      </c>
      <c r="I379" s="7" t="inlineStr">
        <is>
          <t>3808.92.99</t>
        </is>
      </c>
      <c r="J379" s="7" t="inlineStr">
        <is>
          <t>NÃO</t>
        </is>
      </c>
      <c r="K379" s="7" t="inlineStr">
        <is>
          <t>Embalagem Rígida — LAVÁVEL (Obrigatória Tríplice Lavagem ou Pressão)</t>
        </is>
      </c>
      <c r="L379" s="7" t="inlineStr">
        <is>
          <t>NÃO</t>
        </is>
      </c>
      <c r="M379" s="7" t="inlineStr">
        <is>
          <t>0,00% (Lei nº 10.925/2004)</t>
        </is>
      </c>
      <c r="N379" s="7" t="inlineStr">
        <is>
          <t>0,925% (LC nº 224/2025)</t>
        </is>
      </c>
      <c r="O379" s="7" t="inlineStr">
        <is>
          <t>0,365% (LC nº 224/2025)</t>
        </is>
      </c>
      <c r="P379" s="7" t="inlineStr">
        <is>
          <t>CST 06</t>
        </is>
      </c>
      <c r="Q379" s="7" t="inlineStr">
        <is>
          <t>CST 73</t>
        </is>
      </c>
      <c r="R379" s="7" t="inlineStr">
        <is>
          <t>Redução de 60% + Diferimento (Art. 138 e Anexo IX LC 214/2025)</t>
        </is>
      </c>
    </row>
    <row r="380" ht="22" customHeight="1">
      <c r="A380" s="12" t="inlineStr">
        <is>
          <t>SKU-0376</t>
        </is>
      </c>
      <c r="B380" s="11" t="n">
        <v>278</v>
      </c>
      <c r="C380" s="13" t="inlineStr">
        <is>
          <t>Nº 2788394</t>
        </is>
      </c>
      <c r="D380" s="14" t="inlineStr">
        <is>
          <t>ORTHENE 750 BR</t>
        </is>
      </c>
      <c r="E380" s="13" t="inlineStr">
        <is>
          <t>Embalagem Comercial do Produto</t>
        </is>
      </c>
      <c r="F380" s="13" t="inlineStr">
        <is>
          <t>4X5KG (5 KG)</t>
        </is>
      </c>
      <c r="G380" s="13" t="inlineStr">
        <is>
          <t>KG</t>
        </is>
      </c>
      <c r="H380" s="15" t="n">
        <v>5</v>
      </c>
      <c r="I380" s="13" t="inlineStr">
        <is>
          <t>3808.91.91</t>
        </is>
      </c>
      <c r="J380" s="13" t="inlineStr">
        <is>
          <t>NÃO</t>
        </is>
      </c>
      <c r="K380" s="13" t="inlineStr">
        <is>
          <t>Embalagem Flexível — NÃO LAVÁVEL (Perfurar e usar saco ABNT)</t>
        </is>
      </c>
      <c r="L380" s="13" t="inlineStr">
        <is>
          <t>SIM (Saco Transparente ABNT)</t>
        </is>
      </c>
      <c r="M380" s="13" t="inlineStr">
        <is>
          <t>0,00% (Lei nº 10.925/2004)</t>
        </is>
      </c>
      <c r="N380" s="13" t="inlineStr">
        <is>
          <t>0,925% (LC nº 224/2025)</t>
        </is>
      </c>
      <c r="O380" s="13" t="inlineStr">
        <is>
          <t>0,365% (LC nº 224/2025)</t>
        </is>
      </c>
      <c r="P380" s="13" t="inlineStr">
        <is>
          <t>CST 06</t>
        </is>
      </c>
      <c r="Q380" s="13" t="inlineStr">
        <is>
          <t>CST 73</t>
        </is>
      </c>
      <c r="R380" s="13" t="inlineStr">
        <is>
          <t>Redução de 60% + Diferimento (Art. 138 e Anexo IX LC 214/2025)</t>
        </is>
      </c>
    </row>
    <row r="381" ht="22" customHeight="1">
      <c r="A381" s="6" t="inlineStr">
        <is>
          <t>SKU-0377</t>
        </is>
      </c>
      <c r="B381" s="5" t="n">
        <v>279</v>
      </c>
      <c r="C381" s="7" t="inlineStr">
        <is>
          <t>Nº 16223</t>
        </is>
      </c>
      <c r="D381" s="8" t="inlineStr">
        <is>
          <t>CLOMASTER</t>
        </is>
      </c>
      <c r="E381" s="7" t="inlineStr">
        <is>
          <t>Embalagem Comercial do Produto</t>
        </is>
      </c>
      <c r="F381" s="7" t="inlineStr">
        <is>
          <t>1X20L (20 L)</t>
        </is>
      </c>
      <c r="G381" s="7" t="inlineStr">
        <is>
          <t>L</t>
        </is>
      </c>
      <c r="H381" s="9" t="n">
        <v>20</v>
      </c>
      <c r="I381" s="7" t="inlineStr">
        <is>
          <t>3808.93.29</t>
        </is>
      </c>
      <c r="J381" s="7" t="inlineStr">
        <is>
          <t>NÃO</t>
        </is>
      </c>
      <c r="K381" s="7" t="inlineStr">
        <is>
          <t>Embalagem Rígida — LAVÁVEL (Obrigatória Tríplice Lavagem ou Pressão)</t>
        </is>
      </c>
      <c r="L381" s="7" t="inlineStr">
        <is>
          <t>NÃO</t>
        </is>
      </c>
      <c r="M381" s="7" t="inlineStr">
        <is>
          <t>0,00% (Lei nº 10.925/2004)</t>
        </is>
      </c>
      <c r="N381" s="7" t="inlineStr">
        <is>
          <t>0,925% (LC nº 224/2025)</t>
        </is>
      </c>
      <c r="O381" s="7" t="inlineStr">
        <is>
          <t>0,365% (LC nº 224/2025)</t>
        </is>
      </c>
      <c r="P381" s="7" t="inlineStr">
        <is>
          <t>CST 06</t>
        </is>
      </c>
      <c r="Q381" s="7" t="inlineStr">
        <is>
          <t>CST 73</t>
        </is>
      </c>
      <c r="R381" s="7" t="inlineStr">
        <is>
          <t>Redução de 60% + Diferimento (Art. 138 e Anexo IX LC 214/2025)</t>
        </is>
      </c>
    </row>
    <row r="382" ht="22" customHeight="1">
      <c r="A382" s="12" t="inlineStr">
        <is>
          <t>SKU-0378</t>
        </is>
      </c>
      <c r="B382" s="11" t="n">
        <v>280</v>
      </c>
      <c r="C382" s="13" t="inlineStr">
        <is>
          <t>ISENTO (ATO 104/2017)</t>
        </is>
      </c>
      <c r="D382" s="14" t="inlineStr">
        <is>
          <t>AGCN SAFE AIR</t>
        </is>
      </c>
      <c r="E382" s="13" t="inlineStr">
        <is>
          <t>Embalagem Comercial do Produto</t>
        </is>
      </c>
      <c r="F382" s="13" t="inlineStr">
        <is>
          <t>1X1L (1 L)</t>
        </is>
      </c>
      <c r="G382" s="13" t="inlineStr">
        <is>
          <t>L</t>
        </is>
      </c>
      <c r="H382" s="15" t="n">
        <v>1</v>
      </c>
      <c r="I382" s="13" t="inlineStr">
        <is>
          <t>3402.90.29</t>
        </is>
      </c>
      <c r="J382" s="13" t="inlineStr">
        <is>
          <t>NÃO</t>
        </is>
      </c>
      <c r="K382" s="13" t="inlineStr">
        <is>
          <t>Embalagem Rígida — LAVÁVEL (Obrigatória Tríplice Lavagem ou Pressão)</t>
        </is>
      </c>
      <c r="L382" s="13" t="inlineStr">
        <is>
          <t>NÃO</t>
        </is>
      </c>
      <c r="M382" s="13" t="inlineStr">
        <is>
          <t>9,25% Real | 3,65% Presumido</t>
        </is>
      </c>
      <c r="N382" s="13" t="inlineStr">
        <is>
          <t>9,250% (Integral)</t>
        </is>
      </c>
      <c r="O382" s="13" t="inlineStr">
        <is>
          <t>3,650% (Integral)</t>
        </is>
      </c>
      <c r="P382" s="13" t="inlineStr">
        <is>
          <t>CST 01</t>
        </is>
      </c>
      <c r="Q382" s="13" t="inlineStr">
        <is>
          <t>CST 50</t>
        </is>
      </c>
      <c r="R382" s="13" t="inlineStr">
        <is>
          <t>Alíquota Padrão Integral (LC 214/2025)</t>
        </is>
      </c>
    </row>
    <row r="383" ht="22" customHeight="1">
      <c r="A383" s="6" t="inlineStr">
        <is>
          <t>SKU-0379</t>
        </is>
      </c>
      <c r="B383" s="5" t="n">
        <v>281</v>
      </c>
      <c r="C383" s="7" t="inlineStr">
        <is>
          <t>SIPEAGRO (UF-XXXXX)</t>
        </is>
      </c>
      <c r="D383" s="8" t="inlineStr">
        <is>
          <t>AGCN SEED ULTRA</t>
        </is>
      </c>
      <c r="E383" s="7" t="inlineStr">
        <is>
          <t>Embalagem Comercial do Produto</t>
        </is>
      </c>
      <c r="F383" s="7" t="inlineStr">
        <is>
          <t>12X1L (1 L)</t>
        </is>
      </c>
      <c r="G383" s="7" t="inlineStr">
        <is>
          <t>L</t>
        </is>
      </c>
      <c r="H383" s="9" t="n">
        <v>1</v>
      </c>
      <c r="I383" s="7" t="inlineStr">
        <is>
          <t>3105.90.90</t>
        </is>
      </c>
      <c r="J383" s="7" t="inlineStr">
        <is>
          <t>NÃO</t>
        </is>
      </c>
      <c r="K383" s="7" t="inlineStr">
        <is>
          <t>Embalagem de Insumo Nutricional/Biológico (Logística Reversa)</t>
        </is>
      </c>
      <c r="L383" s="7" t="inlineStr">
        <is>
          <t>NÃO</t>
        </is>
      </c>
      <c r="M383" s="7" t="inlineStr">
        <is>
          <t>0,00% (Lei nº 10.925/2004)</t>
        </is>
      </c>
      <c r="N383" s="7" t="inlineStr">
        <is>
          <t>0,925% (LC nº 224/2025)</t>
        </is>
      </c>
      <c r="O383" s="7" t="inlineStr">
        <is>
          <t>0,365% (LC nº 224/2025)</t>
        </is>
      </c>
      <c r="P383" s="7" t="inlineStr">
        <is>
          <t>CST 06</t>
        </is>
      </c>
      <c r="Q383" s="7" t="inlineStr">
        <is>
          <t>CST 73</t>
        </is>
      </c>
      <c r="R383" s="7" t="inlineStr">
        <is>
          <t>Redução de 60% + Diferimento (Art. 138 e Anexo IX LC 214/2025)</t>
        </is>
      </c>
    </row>
    <row r="384" ht="22" customHeight="1">
      <c r="A384" s="12" t="inlineStr">
        <is>
          <t>SKU-0380</t>
        </is>
      </c>
      <c r="B384" s="11" t="n">
        <v>281</v>
      </c>
      <c r="C384" s="13" t="inlineStr">
        <is>
          <t>SIPEAGRO (UF-XXXXX)</t>
        </is>
      </c>
      <c r="D384" s="14" t="inlineStr">
        <is>
          <t>AGCN SEED ULTRA</t>
        </is>
      </c>
      <c r="E384" s="13" t="inlineStr">
        <is>
          <t>Faixa 1 TIPI (Apresentação &lt;= 300 g ou mL)</t>
        </is>
      </c>
      <c r="F384" s="13" t="inlineStr">
        <is>
          <t>Fracionado / Amostra &lt;= 0,3 L</t>
        </is>
      </c>
      <c r="G384" s="13" t="inlineStr">
        <is>
          <t>L</t>
        </is>
      </c>
      <c r="H384" s="18" t="n">
        <v>0.3</v>
      </c>
      <c r="I384" s="13" t="inlineStr">
        <is>
          <t>3105.90.90</t>
        </is>
      </c>
      <c r="J384" s="13" t="inlineStr">
        <is>
          <t>NÃO</t>
        </is>
      </c>
      <c r="K384" s="13" t="inlineStr">
        <is>
          <t>Embalagem de Insumo Nutricional/Biológico (Logística Reversa)</t>
        </is>
      </c>
      <c r="L384" s="13" t="inlineStr">
        <is>
          <t>NÃO</t>
        </is>
      </c>
      <c r="M384" s="13" t="inlineStr">
        <is>
          <t>0,00% (Lei nº 10.925/2004)</t>
        </is>
      </c>
      <c r="N384" s="13" t="inlineStr">
        <is>
          <t>0,925% (LC nº 224/2025)</t>
        </is>
      </c>
      <c r="O384" s="13" t="inlineStr">
        <is>
          <t>0,365% (LC nº 224/2025)</t>
        </is>
      </c>
      <c r="P384" s="13" t="inlineStr">
        <is>
          <t>CST 06</t>
        </is>
      </c>
      <c r="Q384" s="13" t="inlineStr">
        <is>
          <t>CST 73</t>
        </is>
      </c>
      <c r="R384" s="13" t="inlineStr">
        <is>
          <t>Redução de 60% + Diferimento (Art. 138 e Anexo IX LC 214/2025)</t>
        </is>
      </c>
    </row>
    <row r="385" ht="22" customHeight="1">
      <c r="A385" s="6" t="inlineStr">
        <is>
          <t>SKU-0381</t>
        </is>
      </c>
      <c r="B385" s="5" t="n">
        <v>282</v>
      </c>
      <c r="C385" s="7" t="inlineStr">
        <is>
          <t>SIPEAGRO (UF-XXXXX)</t>
        </is>
      </c>
      <c r="D385" s="8" t="inlineStr">
        <is>
          <t>AGCN FULL ULTRA</t>
        </is>
      </c>
      <c r="E385" s="7" t="inlineStr">
        <is>
          <t>Embalagem Comercial do Produto</t>
        </is>
      </c>
      <c r="F385" s="7" t="inlineStr">
        <is>
          <t>4X5L (5 L)</t>
        </is>
      </c>
      <c r="G385" s="7" t="inlineStr">
        <is>
          <t>L</t>
        </is>
      </c>
      <c r="H385" s="9" t="n">
        <v>5</v>
      </c>
      <c r="I385" s="7" t="inlineStr">
        <is>
          <t>3105.90.90</t>
        </is>
      </c>
      <c r="J385" s="7" t="inlineStr">
        <is>
          <t>NÃO</t>
        </is>
      </c>
      <c r="K385" s="7" t="inlineStr">
        <is>
          <t>Embalagem de Insumo Nutricional/Biológico (Logística Reversa)</t>
        </is>
      </c>
      <c r="L385" s="7" t="inlineStr">
        <is>
          <t>NÃO</t>
        </is>
      </c>
      <c r="M385" s="7" t="inlineStr">
        <is>
          <t>0,00% (Lei nº 10.925/2004)</t>
        </is>
      </c>
      <c r="N385" s="7" t="inlineStr">
        <is>
          <t>0,925% (LC nº 224/2025)</t>
        </is>
      </c>
      <c r="O385" s="7" t="inlineStr">
        <is>
          <t>0,365% (LC nº 224/2025)</t>
        </is>
      </c>
      <c r="P385" s="7" t="inlineStr">
        <is>
          <t>CST 06</t>
        </is>
      </c>
      <c r="Q385" s="7" t="inlineStr">
        <is>
          <t>CST 73</t>
        </is>
      </c>
      <c r="R385" s="7" t="inlineStr">
        <is>
          <t>Redução de 60% + Diferimento (Art. 138 e Anexo IX LC 214/2025)</t>
        </is>
      </c>
    </row>
    <row r="386" ht="22" customHeight="1">
      <c r="A386" s="12" t="inlineStr">
        <is>
          <t>SKU-0382</t>
        </is>
      </c>
      <c r="B386" s="11" t="n">
        <v>282</v>
      </c>
      <c r="C386" s="13" t="inlineStr">
        <is>
          <t>SIPEAGRO (UF-XXXXX)</t>
        </is>
      </c>
      <c r="D386" s="14" t="inlineStr">
        <is>
          <t>AGCN FULL ULTRA</t>
        </is>
      </c>
      <c r="E386" s="13" t="inlineStr">
        <is>
          <t>Faixa 1 TIPI (Apresentação &lt;= 300 g ou mL)</t>
        </is>
      </c>
      <c r="F386" s="13" t="inlineStr">
        <is>
          <t>Fracionado / Amostra &lt;= 0,3 L</t>
        </is>
      </c>
      <c r="G386" s="13" t="inlineStr">
        <is>
          <t>L</t>
        </is>
      </c>
      <c r="H386" s="18" t="n">
        <v>0.3</v>
      </c>
      <c r="I386" s="13" t="inlineStr">
        <is>
          <t>3105.90.90</t>
        </is>
      </c>
      <c r="J386" s="13" t="inlineStr">
        <is>
          <t>NÃO</t>
        </is>
      </c>
      <c r="K386" s="13" t="inlineStr">
        <is>
          <t>Embalagem de Insumo Nutricional/Biológico (Logística Reversa)</t>
        </is>
      </c>
      <c r="L386" s="13" t="inlineStr">
        <is>
          <t>NÃO</t>
        </is>
      </c>
      <c r="M386" s="13" t="inlineStr">
        <is>
          <t>0,00% (Lei nº 10.925/2004)</t>
        </is>
      </c>
      <c r="N386" s="13" t="inlineStr">
        <is>
          <t>0,925% (LC nº 224/2025)</t>
        </is>
      </c>
      <c r="O386" s="13" t="inlineStr">
        <is>
          <t>0,365% (LC nº 224/2025)</t>
        </is>
      </c>
      <c r="P386" s="13" t="inlineStr">
        <is>
          <t>CST 06</t>
        </is>
      </c>
      <c r="Q386" s="13" t="inlineStr">
        <is>
          <t>CST 73</t>
        </is>
      </c>
      <c r="R386" s="13" t="inlineStr">
        <is>
          <t>Redução de 60% + Diferimento (Art. 138 e Anexo IX LC 214/2025)</t>
        </is>
      </c>
    </row>
    <row r="387" ht="22" customHeight="1">
      <c r="A387" s="6" t="inlineStr">
        <is>
          <t>SKU-0383</t>
        </is>
      </c>
      <c r="B387" s="5" t="n">
        <v>283</v>
      </c>
      <c r="C387" s="7" t="inlineStr">
        <is>
          <t>ISENTO (ATO 104/2017)</t>
        </is>
      </c>
      <c r="D387" s="8" t="inlineStr">
        <is>
          <t>AGCN SAFE SPRAY</t>
        </is>
      </c>
      <c r="E387" s="7" t="inlineStr">
        <is>
          <t>Embalagem Comercial do Produto</t>
        </is>
      </c>
      <c r="F387" s="7" t="inlineStr">
        <is>
          <t>1X1L (1 L)</t>
        </is>
      </c>
      <c r="G387" s="7" t="inlineStr">
        <is>
          <t>L</t>
        </is>
      </c>
      <c r="H387" s="9" t="n">
        <v>1</v>
      </c>
      <c r="I387" s="7" t="inlineStr">
        <is>
          <t>3402.90.29</t>
        </is>
      </c>
      <c r="J387" s="7" t="inlineStr">
        <is>
          <t>NÃO</t>
        </is>
      </c>
      <c r="K387" s="7" t="inlineStr">
        <is>
          <t>Embalagem Rígida — LAVÁVEL (Obrigatória Tríplice Lavagem ou Pressão)</t>
        </is>
      </c>
      <c r="L387" s="7" t="inlineStr">
        <is>
          <t>NÃO</t>
        </is>
      </c>
      <c r="M387" s="7" t="inlineStr">
        <is>
          <t>9,25% Real | 3,65% Presumido</t>
        </is>
      </c>
      <c r="N387" s="7" t="inlineStr">
        <is>
          <t>9,250% (Integral)</t>
        </is>
      </c>
      <c r="O387" s="7" t="inlineStr">
        <is>
          <t>3,650% (Integral)</t>
        </is>
      </c>
      <c r="P387" s="7" t="inlineStr">
        <is>
          <t>CST 01</t>
        </is>
      </c>
      <c r="Q387" s="7" t="inlineStr">
        <is>
          <t>CST 50</t>
        </is>
      </c>
      <c r="R387" s="7" t="inlineStr">
        <is>
          <t>Alíquota Padrão Integral (LC 214/2025)</t>
        </is>
      </c>
    </row>
    <row r="388" ht="22" customHeight="1">
      <c r="A388" s="12" t="inlineStr">
        <is>
          <t>SKU-0384</t>
        </is>
      </c>
      <c r="B388" s="11" t="n">
        <v>284</v>
      </c>
      <c r="C388" s="13" t="inlineStr">
        <is>
          <t>SIPEAGRO (UF-XXXXX)</t>
        </is>
      </c>
      <c r="D388" s="14" t="inlineStr">
        <is>
          <t>AGCN SEED +</t>
        </is>
      </c>
      <c r="E388" s="13" t="inlineStr">
        <is>
          <t>Embalagem Comercial do Produto</t>
        </is>
      </c>
      <c r="F388" s="13" t="inlineStr">
        <is>
          <t>1X20L (20 L)</t>
        </is>
      </c>
      <c r="G388" s="13" t="inlineStr">
        <is>
          <t>L</t>
        </is>
      </c>
      <c r="H388" s="15" t="n">
        <v>20</v>
      </c>
      <c r="I388" s="13" t="inlineStr">
        <is>
          <t>3105.90.90</t>
        </is>
      </c>
      <c r="J388" s="13" t="inlineStr">
        <is>
          <t>NÃO</t>
        </is>
      </c>
      <c r="K388" s="13" t="inlineStr">
        <is>
          <t>Embalagem de Insumo Nutricional/Biológico (Logística Reversa)</t>
        </is>
      </c>
      <c r="L388" s="13" t="inlineStr">
        <is>
          <t>NÃO</t>
        </is>
      </c>
      <c r="M388" s="13" t="inlineStr">
        <is>
          <t>0,00% (Lei nº 10.925/2004)</t>
        </is>
      </c>
      <c r="N388" s="13" t="inlineStr">
        <is>
          <t>0,925% (LC nº 224/2025)</t>
        </is>
      </c>
      <c r="O388" s="13" t="inlineStr">
        <is>
          <t>0,365% (LC nº 224/2025)</t>
        </is>
      </c>
      <c r="P388" s="13" t="inlineStr">
        <is>
          <t>CST 06</t>
        </is>
      </c>
      <c r="Q388" s="13" t="inlineStr">
        <is>
          <t>CST 73</t>
        </is>
      </c>
      <c r="R388" s="13" t="inlineStr">
        <is>
          <t>Redução de 60% + Diferimento (Art. 138 e Anexo IX LC 214/2025)</t>
        </is>
      </c>
    </row>
    <row r="389" ht="22" customHeight="1">
      <c r="A389" s="6" t="inlineStr">
        <is>
          <t>SKU-0385</t>
        </is>
      </c>
      <c r="B389" s="5" t="n">
        <v>284</v>
      </c>
      <c r="C389" s="7" t="inlineStr">
        <is>
          <t>SIPEAGRO (UF-XXXXX)</t>
        </is>
      </c>
      <c r="D389" s="8" t="inlineStr">
        <is>
          <t>AGCN SEED +</t>
        </is>
      </c>
      <c r="E389" s="7" t="inlineStr">
        <is>
          <t>Faixa 1 TIPI (Apresentação &lt;= 300 g ou mL)</t>
        </is>
      </c>
      <c r="F389" s="7" t="inlineStr">
        <is>
          <t>Fracionado / Amostra &lt;= 0,3 L</t>
        </is>
      </c>
      <c r="G389" s="7" t="inlineStr">
        <is>
          <t>L</t>
        </is>
      </c>
      <c r="H389" s="17" t="n">
        <v>0.3</v>
      </c>
      <c r="I389" s="7" t="inlineStr">
        <is>
          <t>3105.90.90</t>
        </is>
      </c>
      <c r="J389" s="7" t="inlineStr">
        <is>
          <t>NÃO</t>
        </is>
      </c>
      <c r="K389" s="7" t="inlineStr">
        <is>
          <t>Embalagem de Insumo Nutricional/Biológico (Logística Reversa)</t>
        </is>
      </c>
      <c r="L389" s="7" t="inlineStr">
        <is>
          <t>NÃO</t>
        </is>
      </c>
      <c r="M389" s="7" t="inlineStr">
        <is>
          <t>0,00% (Lei nº 10.925/2004)</t>
        </is>
      </c>
      <c r="N389" s="7" t="inlineStr">
        <is>
          <t>0,925% (LC nº 224/2025)</t>
        </is>
      </c>
      <c r="O389" s="7" t="inlineStr">
        <is>
          <t>0,365% (LC nº 224/2025)</t>
        </is>
      </c>
      <c r="P389" s="7" t="inlineStr">
        <is>
          <t>CST 06</t>
        </is>
      </c>
      <c r="Q389" s="7" t="inlineStr">
        <is>
          <t>CST 73</t>
        </is>
      </c>
      <c r="R389" s="7" t="inlineStr">
        <is>
          <t>Redução de 60% + Diferimento (Art. 138 e Anexo IX LC 214/2025)</t>
        </is>
      </c>
    </row>
    <row r="390" ht="22" customHeight="1">
      <c r="A390" s="12" t="inlineStr">
        <is>
          <t>SKU-0386</t>
        </is>
      </c>
      <c r="B390" s="11" t="n">
        <v>285</v>
      </c>
      <c r="C390" s="13" t="inlineStr">
        <is>
          <t>SIPEAGRO (UF-XXXXX)</t>
        </is>
      </c>
      <c r="D390" s="14" t="inlineStr">
        <is>
          <t>SULFATO DE ZINCO</t>
        </is>
      </c>
      <c r="E390" s="13" t="inlineStr">
        <is>
          <t>Embalagem Comercial do Produto</t>
        </is>
      </c>
      <c r="F390" s="13" t="inlineStr">
        <is>
          <t>1X25KG (25 KG)</t>
        </is>
      </c>
      <c r="G390" s="13" t="inlineStr">
        <is>
          <t>KG</t>
        </is>
      </c>
      <c r="H390" s="15" t="n">
        <v>25</v>
      </c>
      <c r="I390" s="13" t="inlineStr">
        <is>
          <t>3105.90.90</t>
        </is>
      </c>
      <c r="J390" s="13" t="inlineStr">
        <is>
          <t>NÃO</t>
        </is>
      </c>
      <c r="K390" s="13" t="inlineStr">
        <is>
          <t>Embalagem de Insumo Nutricional/Biológico (Logística Reversa)</t>
        </is>
      </c>
      <c r="L390" s="13" t="inlineStr">
        <is>
          <t>NÃO</t>
        </is>
      </c>
      <c r="M390" s="13" t="inlineStr">
        <is>
          <t>0,00% (Lei nº 10.925/2004)</t>
        </is>
      </c>
      <c r="N390" s="13" t="inlineStr">
        <is>
          <t>0,925% (LC nº 224/2025)</t>
        </is>
      </c>
      <c r="O390" s="13" t="inlineStr">
        <is>
          <t>0,365% (LC nº 224/2025)</t>
        </is>
      </c>
      <c r="P390" s="13" t="inlineStr">
        <is>
          <t>CST 06 (Uso Agrícola/Industrial)</t>
        </is>
      </c>
      <c r="Q390" s="13" t="inlineStr">
        <is>
          <t>CST 73 (Revenda / Destinação)</t>
        </is>
      </c>
      <c r="R390" s="13" t="inlineStr">
        <is>
          <t>Redução de 60% + Diferimento (Art. 138 LC 214/2025)</t>
        </is>
      </c>
    </row>
    <row r="391" ht="22" customHeight="1">
      <c r="A391" s="6" t="inlineStr">
        <is>
          <t>SKU-0387</t>
        </is>
      </c>
      <c r="B391" s="5" t="n">
        <v>286</v>
      </c>
      <c r="C391" s="7" t="inlineStr">
        <is>
          <t>SIPEAGRO (UF-XXXXX)</t>
        </is>
      </c>
      <c r="D391" s="8" t="inlineStr">
        <is>
          <t>MAGNESIO ULTRA</t>
        </is>
      </c>
      <c r="E391" s="7" t="inlineStr">
        <is>
          <t>Embalagem Comercial do Produto</t>
        </is>
      </c>
      <c r="F391" s="7" t="inlineStr">
        <is>
          <t>1X25KG (25 KG)</t>
        </is>
      </c>
      <c r="G391" s="7" t="inlineStr">
        <is>
          <t>KG</t>
        </is>
      </c>
      <c r="H391" s="9" t="n">
        <v>25</v>
      </c>
      <c r="I391" s="7" t="inlineStr">
        <is>
          <t>3104.90.90</t>
        </is>
      </c>
      <c r="J391" s="7" t="inlineStr">
        <is>
          <t>NÃO</t>
        </is>
      </c>
      <c r="K391" s="7" t="inlineStr">
        <is>
          <t>Embalagem de Insumo Nutricional/Biológico (Logística Reversa)</t>
        </is>
      </c>
      <c r="L391" s="7" t="inlineStr">
        <is>
          <t>NÃO</t>
        </is>
      </c>
      <c r="M391" s="7" t="inlineStr">
        <is>
          <t>0,00% (Lei nº 10.925/2004)</t>
        </is>
      </c>
      <c r="N391" s="7" t="inlineStr">
        <is>
          <t>0,925% (LC nº 224/2025)</t>
        </is>
      </c>
      <c r="O391" s="7" t="inlineStr">
        <is>
          <t>0,365% (LC nº 224/2025)</t>
        </is>
      </c>
      <c r="P391" s="7" t="inlineStr">
        <is>
          <t>CST 06</t>
        </is>
      </c>
      <c r="Q391" s="7" t="inlineStr">
        <is>
          <t>CST 73</t>
        </is>
      </c>
      <c r="R391" s="7" t="inlineStr">
        <is>
          <t>Redução de 60% + Diferimento (Art. 138 e Anexo IX LC 214/2025)</t>
        </is>
      </c>
    </row>
    <row r="392" ht="22" customHeight="1">
      <c r="A392" s="12" t="inlineStr">
        <is>
          <t>SKU-0388</t>
        </is>
      </c>
      <c r="B392" s="11" t="n">
        <v>286</v>
      </c>
      <c r="C392" s="13" t="inlineStr">
        <is>
          <t>SIPEAGRO (UF-XXXXX)</t>
        </is>
      </c>
      <c r="D392" s="14" t="inlineStr">
        <is>
          <t>MAGNESIO ULTRA</t>
        </is>
      </c>
      <c r="E392" s="13" t="inlineStr">
        <is>
          <t>Faixa 1 TIPI (Apresentação &lt;= 300 g ou mL)</t>
        </is>
      </c>
      <c r="F392" s="13" t="inlineStr">
        <is>
          <t>Fracionado / Amostra &lt;= 0,3 KG</t>
        </is>
      </c>
      <c r="G392" s="13" t="inlineStr">
        <is>
          <t>KG</t>
        </is>
      </c>
      <c r="H392" s="18" t="n">
        <v>0.3</v>
      </c>
      <c r="I392" s="13" t="inlineStr">
        <is>
          <t>2833.29.70</t>
        </is>
      </c>
      <c r="J392" s="13" t="inlineStr">
        <is>
          <t>NÃO</t>
        </is>
      </c>
      <c r="K392" s="13" t="inlineStr">
        <is>
          <t>Embalagem de Insumo Nutricional/Biológico (Logística Reversa)</t>
        </is>
      </c>
      <c r="L392" s="13" t="inlineStr">
        <is>
          <t>NÃO</t>
        </is>
      </c>
      <c r="M392" s="13" t="inlineStr">
        <is>
          <t>0,00% (Lei nº 10.925/2004)</t>
        </is>
      </c>
      <c r="N392" s="13" t="inlineStr">
        <is>
          <t>0,925% (LC nº 224/2025)</t>
        </is>
      </c>
      <c r="O392" s="13" t="inlineStr">
        <is>
          <t>0,365% (LC nº 224/2025)</t>
        </is>
      </c>
      <c r="P392" s="13" t="inlineStr">
        <is>
          <t>CST 06</t>
        </is>
      </c>
      <c r="Q392" s="13" t="inlineStr">
        <is>
          <t>CST 73</t>
        </is>
      </c>
      <c r="R392" s="13" t="inlineStr">
        <is>
          <t>Redução de 60% + Diferimento (Art. 138 e Anexo IX LC 214/2025)</t>
        </is>
      </c>
    </row>
    <row r="393" ht="22" customHeight="1">
      <c r="A393" s="6" t="inlineStr">
        <is>
          <t>SKU-0389</t>
        </is>
      </c>
      <c r="B393" s="5" t="n">
        <v>287</v>
      </c>
      <c r="C393" s="7" t="inlineStr">
        <is>
          <t>SIPEAGRO (UF-XXXXX)</t>
        </is>
      </c>
      <c r="D393" s="8" t="inlineStr">
        <is>
          <t>MFL MULTINITROPOTASSIO</t>
        </is>
      </c>
      <c r="E393" s="7" t="inlineStr">
        <is>
          <t>Embalagem Comercial do Produto</t>
        </is>
      </c>
      <c r="F393" s="7" t="inlineStr">
        <is>
          <t>1X25KG (25 KG)</t>
        </is>
      </c>
      <c r="G393" s="7" t="inlineStr">
        <is>
          <t>KG</t>
        </is>
      </c>
      <c r="H393" s="9" t="n">
        <v>25</v>
      </c>
      <c r="I393" s="7" t="inlineStr">
        <is>
          <t>3105.90.90</t>
        </is>
      </c>
      <c r="J393" s="7" t="inlineStr">
        <is>
          <t>NÃO</t>
        </is>
      </c>
      <c r="K393" s="7" t="inlineStr">
        <is>
          <t>Embalagem de Insumo Nutricional/Biológico (Logística Reversa)</t>
        </is>
      </c>
      <c r="L393" s="7" t="inlineStr">
        <is>
          <t>NÃO</t>
        </is>
      </c>
      <c r="M393" s="7" t="inlineStr">
        <is>
          <t>0,00% (Lei nº 10.925/2004)</t>
        </is>
      </c>
      <c r="N393" s="7" t="inlineStr">
        <is>
          <t>0,925% (LC nº 224/2025)</t>
        </is>
      </c>
      <c r="O393" s="7" t="inlineStr">
        <is>
          <t>0,365% (LC nº 224/2025)</t>
        </is>
      </c>
      <c r="P393" s="7" t="inlineStr">
        <is>
          <t>CST 06</t>
        </is>
      </c>
      <c r="Q393" s="7" t="inlineStr">
        <is>
          <t>CST 73</t>
        </is>
      </c>
      <c r="R393" s="7" t="inlineStr">
        <is>
          <t>Redução de 60% + Diferimento (Art. 138 e Anexo IX LC 214/2025)</t>
        </is>
      </c>
    </row>
    <row r="394" ht="22" customHeight="1">
      <c r="A394" s="12" t="inlineStr">
        <is>
          <t>SKU-0390</t>
        </is>
      </c>
      <c r="B394" s="11" t="n">
        <v>287</v>
      </c>
      <c r="C394" s="13" t="inlineStr">
        <is>
          <t>SIPEAGRO (UF-XXXXX)</t>
        </is>
      </c>
      <c r="D394" s="14" t="inlineStr">
        <is>
          <t>MFL MULTINITROPOTASSIO</t>
        </is>
      </c>
      <c r="E394" s="13" t="inlineStr">
        <is>
          <t>Faixa 1 TIPI (Apresentação &lt;= 300 g ou mL)</t>
        </is>
      </c>
      <c r="F394" s="13" t="inlineStr">
        <is>
          <t>Fracionado / Amostra &lt;= 0,3 KG</t>
        </is>
      </c>
      <c r="G394" s="13" t="inlineStr">
        <is>
          <t>KG</t>
        </is>
      </c>
      <c r="H394" s="18" t="n">
        <v>0.3</v>
      </c>
      <c r="I394" s="13" t="inlineStr">
        <is>
          <t>3105.90.90</t>
        </is>
      </c>
      <c r="J394" s="13" t="inlineStr">
        <is>
          <t>NÃO</t>
        </is>
      </c>
      <c r="K394" s="13" t="inlineStr">
        <is>
          <t>Embalagem de Insumo Nutricional/Biológico (Logística Reversa)</t>
        </is>
      </c>
      <c r="L394" s="13" t="inlineStr">
        <is>
          <t>NÃO</t>
        </is>
      </c>
      <c r="M394" s="13" t="inlineStr">
        <is>
          <t>0,00% (Lei nº 10.925/2004)</t>
        </is>
      </c>
      <c r="N394" s="13" t="inlineStr">
        <is>
          <t>0,925% (LC nº 224/2025)</t>
        </is>
      </c>
      <c r="O394" s="13" t="inlineStr">
        <is>
          <t>0,365% (LC nº 224/2025)</t>
        </is>
      </c>
      <c r="P394" s="13" t="inlineStr">
        <is>
          <t>CST 06</t>
        </is>
      </c>
      <c r="Q394" s="13" t="inlineStr">
        <is>
          <t>CST 73</t>
        </is>
      </c>
      <c r="R394" s="13" t="inlineStr">
        <is>
          <t>Redução de 60% + Diferimento (Art. 138 e Anexo IX LC 214/2025)</t>
        </is>
      </c>
    </row>
    <row r="395" ht="22" customHeight="1">
      <c r="A395" s="6" t="inlineStr">
        <is>
          <t>SKU-0391</t>
        </is>
      </c>
      <c r="B395" s="5" t="n">
        <v>288</v>
      </c>
      <c r="C395" s="7" t="inlineStr">
        <is>
          <t>SIPEAGRO (UF-XXXXX)</t>
        </is>
      </c>
      <c r="D395" s="8" t="inlineStr">
        <is>
          <t>AGCN BORO 100</t>
        </is>
      </c>
      <c r="E395" s="7" t="inlineStr">
        <is>
          <t>Embalagem Comercial do Produto</t>
        </is>
      </c>
      <c r="F395" s="7" t="inlineStr">
        <is>
          <t>1X1000L (1000 L)</t>
        </is>
      </c>
      <c r="G395" s="7" t="inlineStr">
        <is>
          <t>L</t>
        </is>
      </c>
      <c r="H395" s="9" t="n">
        <v>1000</v>
      </c>
      <c r="I395" s="7" t="inlineStr">
        <is>
          <t>3105.90.90</t>
        </is>
      </c>
      <c r="J395" s="7" t="inlineStr">
        <is>
          <t>NÃO</t>
        </is>
      </c>
      <c r="K395" s="7" t="inlineStr">
        <is>
          <t>Embalagem de Insumo Nutricional/Biológico (Logística Reversa)</t>
        </is>
      </c>
      <c r="L395" s="7" t="inlineStr">
        <is>
          <t>NÃO</t>
        </is>
      </c>
      <c r="M395" s="7" t="inlineStr">
        <is>
          <t>0,00% (Lei nº 10.925/2004)</t>
        </is>
      </c>
      <c r="N395" s="7" t="inlineStr">
        <is>
          <t>0,925% (LC nº 224/2025)</t>
        </is>
      </c>
      <c r="O395" s="7" t="inlineStr">
        <is>
          <t>0,365% (LC nº 224/2025)</t>
        </is>
      </c>
      <c r="P395" s="7" t="inlineStr">
        <is>
          <t>CST 06</t>
        </is>
      </c>
      <c r="Q395" s="7" t="inlineStr">
        <is>
          <t>CST 73</t>
        </is>
      </c>
      <c r="R395" s="7" t="inlineStr">
        <is>
          <t>Redução de 60% + Diferimento (Art. 138 e Anexo IX LC 214/2025)</t>
        </is>
      </c>
    </row>
    <row r="396" ht="22" customHeight="1">
      <c r="A396" s="12" t="inlineStr">
        <is>
          <t>SKU-0392</t>
        </is>
      </c>
      <c r="B396" s="11" t="n">
        <v>288</v>
      </c>
      <c r="C396" s="13" t="inlineStr">
        <is>
          <t>SIPEAGRO (UF-XXXXX)</t>
        </is>
      </c>
      <c r="D396" s="14" t="inlineStr">
        <is>
          <t>AGCN BORO 100</t>
        </is>
      </c>
      <c r="E396" s="13" t="inlineStr">
        <is>
          <t>Faixa 1 TIPI (Apresentação &lt;= 300 g ou mL)</t>
        </is>
      </c>
      <c r="F396" s="13" t="inlineStr">
        <is>
          <t>Fracionado / Amostra &lt;= 0,3 L</t>
        </is>
      </c>
      <c r="G396" s="13" t="inlineStr">
        <is>
          <t>L</t>
        </is>
      </c>
      <c r="H396" s="18" t="n">
        <v>0.3</v>
      </c>
      <c r="I396" s="13" t="inlineStr">
        <is>
          <t>3105.90.90</t>
        </is>
      </c>
      <c r="J396" s="13" t="inlineStr">
        <is>
          <t>NÃO</t>
        </is>
      </c>
      <c r="K396" s="13" t="inlineStr">
        <is>
          <t>Embalagem de Insumo Nutricional/Biológico (Logística Reversa)</t>
        </is>
      </c>
      <c r="L396" s="13" t="inlineStr">
        <is>
          <t>NÃO</t>
        </is>
      </c>
      <c r="M396" s="13" t="inlineStr">
        <is>
          <t>0,00% (Lei nº 10.925/2004)</t>
        </is>
      </c>
      <c r="N396" s="13" t="inlineStr">
        <is>
          <t>0,925% (LC nº 224/2025)</t>
        </is>
      </c>
      <c r="O396" s="13" t="inlineStr">
        <is>
          <t>0,365% (LC nº 224/2025)</t>
        </is>
      </c>
      <c r="P396" s="13" t="inlineStr">
        <is>
          <t>CST 06</t>
        </is>
      </c>
      <c r="Q396" s="13" t="inlineStr">
        <is>
          <t>CST 73</t>
        </is>
      </c>
      <c r="R396" s="13" t="inlineStr">
        <is>
          <t>Redução de 60% + Diferimento (Art. 138 e Anexo IX LC 214/2025)</t>
        </is>
      </c>
    </row>
    <row r="397" ht="22" customHeight="1">
      <c r="A397" s="6" t="inlineStr">
        <is>
          <t>SKU-0393</t>
        </is>
      </c>
      <c r="B397" s="5" t="n">
        <v>289</v>
      </c>
      <c r="C397" s="7" t="inlineStr">
        <is>
          <t>ISENTO (ATO 104/2017)</t>
        </is>
      </c>
      <c r="D397" s="8" t="inlineStr">
        <is>
          <t>AGCN EASY OIL</t>
        </is>
      </c>
      <c r="E397" s="7" t="inlineStr">
        <is>
          <t>Embalagem Comercial do Produto</t>
        </is>
      </c>
      <c r="F397" s="7" t="inlineStr">
        <is>
          <t>1X25L (25 L)</t>
        </is>
      </c>
      <c r="G397" s="7" t="inlineStr">
        <is>
          <t>L</t>
        </is>
      </c>
      <c r="H397" s="9" t="n">
        <v>25</v>
      </c>
      <c r="I397" s="7" t="inlineStr">
        <is>
          <t>3402.90.29</t>
        </is>
      </c>
      <c r="J397" s="7" t="inlineStr">
        <is>
          <t>NÃO</t>
        </is>
      </c>
      <c r="K397" s="7" t="inlineStr">
        <is>
          <t>Embalagem Rígida — LAVÁVEL (Obrigatória Tríplice Lavagem ou Pressão)</t>
        </is>
      </c>
      <c r="L397" s="7" t="inlineStr">
        <is>
          <t>NÃO</t>
        </is>
      </c>
      <c r="M397" s="7" t="inlineStr">
        <is>
          <t>9,25% Real | 3,65% Presumido</t>
        </is>
      </c>
      <c r="N397" s="7" t="inlineStr">
        <is>
          <t>9,250% (Integral)</t>
        </is>
      </c>
      <c r="O397" s="7" t="inlineStr">
        <is>
          <t>3,650% (Integral)</t>
        </is>
      </c>
      <c r="P397" s="7" t="inlineStr">
        <is>
          <t>CST 01</t>
        </is>
      </c>
      <c r="Q397" s="7" t="inlineStr">
        <is>
          <t>CST 50</t>
        </is>
      </c>
      <c r="R397" s="7" t="inlineStr">
        <is>
          <t>Alíquota Padrão Integral (LC 214/2025)</t>
        </is>
      </c>
    </row>
    <row r="398" ht="22" customHeight="1">
      <c r="A398" s="12" t="inlineStr">
        <is>
          <t>SKU-0394</t>
        </is>
      </c>
      <c r="B398" s="11" t="n">
        <v>290</v>
      </c>
      <c r="C398" s="13" t="inlineStr">
        <is>
          <t>SIPEAGRO (UF-XXXXX)</t>
        </is>
      </c>
      <c r="D398" s="14" t="inlineStr">
        <is>
          <t>AGCN MN RR</t>
        </is>
      </c>
      <c r="E398" s="13" t="inlineStr">
        <is>
          <t>Embalagem Comercial do Produto</t>
        </is>
      </c>
      <c r="F398" s="13" t="inlineStr">
        <is>
          <t>1X20L (20 L)</t>
        </is>
      </c>
      <c r="G398" s="13" t="inlineStr">
        <is>
          <t>L</t>
        </is>
      </c>
      <c r="H398" s="15" t="n">
        <v>20</v>
      </c>
      <c r="I398" s="13" t="inlineStr">
        <is>
          <t>3105.90.90</t>
        </is>
      </c>
      <c r="J398" s="13" t="inlineStr">
        <is>
          <t>NÃO</t>
        </is>
      </c>
      <c r="K398" s="13" t="inlineStr">
        <is>
          <t>Embalagem de Insumo Nutricional/Biológico (Logística Reversa)</t>
        </is>
      </c>
      <c r="L398" s="13" t="inlineStr">
        <is>
          <t>NÃO</t>
        </is>
      </c>
      <c r="M398" s="13" t="inlineStr">
        <is>
          <t>0,00% (Lei nº 10.925/2004)</t>
        </is>
      </c>
      <c r="N398" s="13" t="inlineStr">
        <is>
          <t>0,925% (LC nº 224/2025)</t>
        </is>
      </c>
      <c r="O398" s="13" t="inlineStr">
        <is>
          <t>0,365% (LC nº 224/2025)</t>
        </is>
      </c>
      <c r="P398" s="13" t="inlineStr">
        <is>
          <t>CST 06</t>
        </is>
      </c>
      <c r="Q398" s="13" t="inlineStr">
        <is>
          <t>CST 73</t>
        </is>
      </c>
      <c r="R398" s="13" t="inlineStr">
        <is>
          <t>Redução de 60% + Diferimento (Art. 138 e Anexo IX LC 214/2025)</t>
        </is>
      </c>
    </row>
    <row r="399" ht="22" customHeight="1">
      <c r="A399" s="6" t="inlineStr">
        <is>
          <t>SKU-0395</t>
        </is>
      </c>
      <c r="B399" s="5" t="n">
        <v>290</v>
      </c>
      <c r="C399" s="7" t="inlineStr">
        <is>
          <t>SIPEAGRO (UF-XXXXX)</t>
        </is>
      </c>
      <c r="D399" s="8" t="inlineStr">
        <is>
          <t>AGCN MN RR</t>
        </is>
      </c>
      <c r="E399" s="7" t="inlineStr">
        <is>
          <t>Faixa 1 TIPI (Apresentação &lt;= 300 g ou mL)</t>
        </is>
      </c>
      <c r="F399" s="7" t="inlineStr">
        <is>
          <t>Fracionado / Amostra &lt;= 0,3 L</t>
        </is>
      </c>
      <c r="G399" s="7" t="inlineStr">
        <is>
          <t>L</t>
        </is>
      </c>
      <c r="H399" s="17" t="n">
        <v>0.3</v>
      </c>
      <c r="I399" s="7" t="inlineStr">
        <is>
          <t>3105.90.90</t>
        </is>
      </c>
      <c r="J399" s="7" t="inlineStr">
        <is>
          <t>NÃO</t>
        </is>
      </c>
      <c r="K399" s="7" t="inlineStr">
        <is>
          <t>Embalagem de Insumo Nutricional/Biológico (Logística Reversa)</t>
        </is>
      </c>
      <c r="L399" s="7" t="inlineStr">
        <is>
          <t>NÃO</t>
        </is>
      </c>
      <c r="M399" s="7" t="inlineStr">
        <is>
          <t>0,00% (Lei nº 10.925/2004)</t>
        </is>
      </c>
      <c r="N399" s="7" t="inlineStr">
        <is>
          <t>0,925% (LC nº 224/2025)</t>
        </is>
      </c>
      <c r="O399" s="7" t="inlineStr">
        <is>
          <t>0,365% (LC nº 224/2025)</t>
        </is>
      </c>
      <c r="P399" s="7" t="inlineStr">
        <is>
          <t>CST 06</t>
        </is>
      </c>
      <c r="Q399" s="7" t="inlineStr">
        <is>
          <t>CST 73</t>
        </is>
      </c>
      <c r="R399" s="7" t="inlineStr">
        <is>
          <t>Redução de 60% + Diferimento (Art. 138 e Anexo IX LC 214/2025)</t>
        </is>
      </c>
    </row>
    <row r="400" ht="22" customHeight="1">
      <c r="A400" s="12" t="inlineStr">
        <is>
          <t>SKU-0396</t>
        </is>
      </c>
      <c r="B400" s="11" t="n">
        <v>291</v>
      </c>
      <c r="C400" s="13" t="inlineStr">
        <is>
          <t>SIPEAGRO (UF-XXXXX)</t>
        </is>
      </c>
      <c r="D400" s="14" t="inlineStr">
        <is>
          <t>AGCN MN RR 100</t>
        </is>
      </c>
      <c r="E400" s="13" t="inlineStr">
        <is>
          <t>Embalagem Comercial do Produto</t>
        </is>
      </c>
      <c r="F400" s="13" t="inlineStr">
        <is>
          <t>1X20L (20 L)</t>
        </is>
      </c>
      <c r="G400" s="13" t="inlineStr">
        <is>
          <t>L</t>
        </is>
      </c>
      <c r="H400" s="15" t="n">
        <v>20</v>
      </c>
      <c r="I400" s="13" t="inlineStr">
        <is>
          <t>3105.90.90</t>
        </is>
      </c>
      <c r="J400" s="13" t="inlineStr">
        <is>
          <t>NÃO</t>
        </is>
      </c>
      <c r="K400" s="13" t="inlineStr">
        <is>
          <t>Embalagem de Insumo Nutricional/Biológico (Logística Reversa)</t>
        </is>
      </c>
      <c r="L400" s="13" t="inlineStr">
        <is>
          <t>NÃO</t>
        </is>
      </c>
      <c r="M400" s="13" t="inlineStr">
        <is>
          <t>0,00% (Lei nº 10.925/2004)</t>
        </is>
      </c>
      <c r="N400" s="13" t="inlineStr">
        <is>
          <t>0,925% (LC nº 224/2025)</t>
        </is>
      </c>
      <c r="O400" s="13" t="inlineStr">
        <is>
          <t>0,365% (LC nº 224/2025)</t>
        </is>
      </c>
      <c r="P400" s="13" t="inlineStr">
        <is>
          <t>CST 06</t>
        </is>
      </c>
      <c r="Q400" s="13" t="inlineStr">
        <is>
          <t>CST 73</t>
        </is>
      </c>
      <c r="R400" s="13" t="inlineStr">
        <is>
          <t>Redução de 60% + Diferimento (Art. 138 e Anexo IX LC 214/2025)</t>
        </is>
      </c>
    </row>
    <row r="401" ht="22" customHeight="1">
      <c r="A401" s="6" t="inlineStr">
        <is>
          <t>SKU-0397</t>
        </is>
      </c>
      <c r="B401" s="5" t="n">
        <v>291</v>
      </c>
      <c r="C401" s="7" t="inlineStr">
        <is>
          <t>SIPEAGRO (UF-XXXXX)</t>
        </is>
      </c>
      <c r="D401" s="8" t="inlineStr">
        <is>
          <t>AGCN MN RR 100</t>
        </is>
      </c>
      <c r="E401" s="7" t="inlineStr">
        <is>
          <t>Faixa 1 TIPI (Apresentação &lt;= 300 g ou mL)</t>
        </is>
      </c>
      <c r="F401" s="7" t="inlineStr">
        <is>
          <t>Fracionado / Amostra &lt;= 0,3 L</t>
        </is>
      </c>
      <c r="G401" s="7" t="inlineStr">
        <is>
          <t>L</t>
        </is>
      </c>
      <c r="H401" s="17" t="n">
        <v>0.3</v>
      </c>
      <c r="I401" s="7" t="inlineStr">
        <is>
          <t>3105.90.90</t>
        </is>
      </c>
      <c r="J401" s="7" t="inlineStr">
        <is>
          <t>NÃO</t>
        </is>
      </c>
      <c r="K401" s="7" t="inlineStr">
        <is>
          <t>Embalagem de Insumo Nutricional/Biológico (Logística Reversa)</t>
        </is>
      </c>
      <c r="L401" s="7" t="inlineStr">
        <is>
          <t>NÃO</t>
        </is>
      </c>
      <c r="M401" s="7" t="inlineStr">
        <is>
          <t>0,00% (Lei nº 10.925/2004)</t>
        </is>
      </c>
      <c r="N401" s="7" t="inlineStr">
        <is>
          <t>0,925% (LC nº 224/2025)</t>
        </is>
      </c>
      <c r="O401" s="7" t="inlineStr">
        <is>
          <t>0,365% (LC nº 224/2025)</t>
        </is>
      </c>
      <c r="P401" s="7" t="inlineStr">
        <is>
          <t>CST 06</t>
        </is>
      </c>
      <c r="Q401" s="7" t="inlineStr">
        <is>
          <t>CST 73</t>
        </is>
      </c>
      <c r="R401" s="7" t="inlineStr">
        <is>
          <t>Redução de 60% + Diferimento (Art. 138 e Anexo IX LC 214/2025)</t>
        </is>
      </c>
    </row>
    <row r="402" ht="22" customHeight="1">
      <c r="A402" s="12" t="inlineStr">
        <is>
          <t>SKU-0398</t>
        </is>
      </c>
      <c r="B402" s="11" t="n">
        <v>292</v>
      </c>
      <c r="C402" s="13" t="inlineStr">
        <is>
          <t>Nº 27717</t>
        </is>
      </c>
      <c r="D402" s="14" t="inlineStr">
        <is>
          <t>FIPRONIL 800 WG AGCN</t>
        </is>
      </c>
      <c r="E402" s="13" t="inlineStr">
        <is>
          <t>Embalagem Comercial do Produto</t>
        </is>
      </c>
      <c r="F402" s="13" t="inlineStr">
        <is>
          <t>4X5KG (5 KG)</t>
        </is>
      </c>
      <c r="G402" s="13" t="inlineStr">
        <is>
          <t>KG</t>
        </is>
      </c>
      <c r="H402" s="15" t="n">
        <v>5</v>
      </c>
      <c r="I402" s="13" t="inlineStr">
        <is>
          <t>3808.91.99</t>
        </is>
      </c>
      <c r="J402" s="13" t="inlineStr">
        <is>
          <t>NÃO</t>
        </is>
      </c>
      <c r="K402" s="13" t="inlineStr">
        <is>
          <t>Embalagem Flexível — NÃO LAVÁVEL (Perfurar e usar saco ABNT)</t>
        </is>
      </c>
      <c r="L402" s="13" t="inlineStr">
        <is>
          <t>SIM (Saco Transparente ABNT)</t>
        </is>
      </c>
      <c r="M402" s="13" t="inlineStr">
        <is>
          <t>0,00% (Lei nº 10.925/2004)</t>
        </is>
      </c>
      <c r="N402" s="13" t="inlineStr">
        <is>
          <t>0,925% (LC nº 224/2025)</t>
        </is>
      </c>
      <c r="O402" s="13" t="inlineStr">
        <is>
          <t>0,365% (LC nº 224/2025)</t>
        </is>
      </c>
      <c r="P402" s="13" t="inlineStr">
        <is>
          <t>CST 06</t>
        </is>
      </c>
      <c r="Q402" s="13" t="inlineStr">
        <is>
          <t>CST 73</t>
        </is>
      </c>
      <c r="R402" s="13" t="inlineStr">
        <is>
          <t>Redução de 60% + Diferimento (Art. 138 e Anexo IX LC 214/2025)</t>
        </is>
      </c>
    </row>
    <row r="403" ht="22" customHeight="1">
      <c r="A403" s="6" t="inlineStr">
        <is>
          <t>SKU-0399</t>
        </is>
      </c>
      <c r="B403" s="5" t="n">
        <v>293</v>
      </c>
      <c r="C403" s="7" t="inlineStr">
        <is>
          <t>Nº 44018</t>
        </is>
      </c>
      <c r="D403" s="8" t="inlineStr">
        <is>
          <t>SUMMIT 250 FS</t>
        </is>
      </c>
      <c r="E403" s="7" t="inlineStr">
        <is>
          <t>Embalagem Comercial do Produto</t>
        </is>
      </c>
      <c r="F403" s="7" t="inlineStr">
        <is>
          <t>4X5L (5 L)</t>
        </is>
      </c>
      <c r="G403" s="7" t="inlineStr">
        <is>
          <t>L</t>
        </is>
      </c>
      <c r="H403" s="9" t="n">
        <v>5</v>
      </c>
      <c r="I403" s="7" t="inlineStr">
        <is>
          <t>3808.91.99</t>
        </is>
      </c>
      <c r="J403" s="7" t="inlineStr">
        <is>
          <t>NÃO</t>
        </is>
      </c>
      <c r="K403" s="7" t="inlineStr">
        <is>
          <t>Embalagem Rígida — LAVÁVEL (Obrigatória Tríplice Lavagem ou Pressão)</t>
        </is>
      </c>
      <c r="L403" s="7" t="inlineStr">
        <is>
          <t>NÃO</t>
        </is>
      </c>
      <c r="M403" s="7" t="inlineStr">
        <is>
          <t>0,00% (Lei nº 10.925/2004)</t>
        </is>
      </c>
      <c r="N403" s="7" t="inlineStr">
        <is>
          <t>0,925% (LC nº 224/2025)</t>
        </is>
      </c>
      <c r="O403" s="7" t="inlineStr">
        <is>
          <t>0,365% (LC nº 224/2025)</t>
        </is>
      </c>
      <c r="P403" s="7" t="inlineStr">
        <is>
          <t>CST 06</t>
        </is>
      </c>
      <c r="Q403" s="7" t="inlineStr">
        <is>
          <t>CST 73</t>
        </is>
      </c>
      <c r="R403" s="7" t="inlineStr">
        <is>
          <t>Redução de 60% + Diferimento (Art. 138 e Anexo IX LC 214/2025)</t>
        </is>
      </c>
    </row>
    <row r="404" ht="22" customHeight="1">
      <c r="A404" s="12" t="inlineStr">
        <is>
          <t>SKU-0400</t>
        </is>
      </c>
      <c r="B404" s="11" t="n">
        <v>294</v>
      </c>
      <c r="C404" s="13" t="inlineStr">
        <is>
          <t>Nº 10421</t>
        </is>
      </c>
      <c r="D404" s="14" t="inlineStr">
        <is>
          <t>LANEX 800 WG</t>
        </is>
      </c>
      <c r="E404" s="13" t="inlineStr">
        <is>
          <t>Embalagem Comercial do Produto</t>
        </is>
      </c>
      <c r="F404" s="13" t="inlineStr">
        <is>
          <t>4X5KG (5 KG)</t>
        </is>
      </c>
      <c r="G404" s="13" t="inlineStr">
        <is>
          <t>KG</t>
        </is>
      </c>
      <c r="H404" s="15" t="n">
        <v>5</v>
      </c>
      <c r="I404" s="13" t="inlineStr">
        <is>
          <t>3808.91.99</t>
        </is>
      </c>
      <c r="J404" s="13" t="inlineStr">
        <is>
          <t>NÃO</t>
        </is>
      </c>
      <c r="K404" s="13" t="inlineStr">
        <is>
          <t>Embalagem Flexível — NÃO LAVÁVEL (Perfurar e usar saco ABNT)</t>
        </is>
      </c>
      <c r="L404" s="13" t="inlineStr">
        <is>
          <t>SIM (Saco Transparente ABNT)</t>
        </is>
      </c>
      <c r="M404" s="13" t="inlineStr">
        <is>
          <t>0,00% (Lei nº 10.925/2004)</t>
        </is>
      </c>
      <c r="N404" s="13" t="inlineStr">
        <is>
          <t>0,925% (LC nº 224/2025)</t>
        </is>
      </c>
      <c r="O404" s="13" t="inlineStr">
        <is>
          <t>0,365% (LC nº 224/2025)</t>
        </is>
      </c>
      <c r="P404" s="13" t="inlineStr">
        <is>
          <t>CST 06</t>
        </is>
      </c>
      <c r="Q404" s="13" t="inlineStr">
        <is>
          <t>CST 73</t>
        </is>
      </c>
      <c r="R404" s="13" t="inlineStr">
        <is>
          <t>Redução de 60% + Diferimento (Art. 138 e Anexo IX LC 214/2025)</t>
        </is>
      </c>
    </row>
    <row r="405" ht="22" customHeight="1">
      <c r="A405" s="6" t="inlineStr">
        <is>
          <t>SKU-0401</t>
        </is>
      </c>
      <c r="B405" s="5" t="n">
        <v>295</v>
      </c>
      <c r="C405" s="7" t="inlineStr">
        <is>
          <t>Nº 16223</t>
        </is>
      </c>
      <c r="D405" s="8" t="inlineStr">
        <is>
          <t>COMPRAY</t>
        </is>
      </c>
      <c r="E405" s="7" t="inlineStr">
        <is>
          <t>Embalagem Comercial do Produto</t>
        </is>
      </c>
      <c r="F405" s="7" t="inlineStr">
        <is>
          <t>1X20L (20 L)</t>
        </is>
      </c>
      <c r="G405" s="7" t="inlineStr">
        <is>
          <t>L</t>
        </is>
      </c>
      <c r="H405" s="9" t="n">
        <v>20</v>
      </c>
      <c r="I405" s="7" t="inlineStr">
        <is>
          <t>3808.93.29</t>
        </is>
      </c>
      <c r="J405" s="7" t="inlineStr">
        <is>
          <t>NÃO</t>
        </is>
      </c>
      <c r="K405" s="7" t="inlineStr">
        <is>
          <t>Embalagem Rígida — LAVÁVEL (Obrigatória Tríplice Lavagem ou Pressão)</t>
        </is>
      </c>
      <c r="L405" s="7" t="inlineStr">
        <is>
          <t>NÃO</t>
        </is>
      </c>
      <c r="M405" s="7" t="inlineStr">
        <is>
          <t>0,00% (Lei nº 10.925/2004)</t>
        </is>
      </c>
      <c r="N405" s="7" t="inlineStr">
        <is>
          <t>0,925% (LC nº 224/2025)</t>
        </is>
      </c>
      <c r="O405" s="7" t="inlineStr">
        <is>
          <t>0,365% (LC nº 224/2025)</t>
        </is>
      </c>
      <c r="P405" s="7" t="inlineStr">
        <is>
          <t>CST 06</t>
        </is>
      </c>
      <c r="Q405" s="7" t="inlineStr">
        <is>
          <t>CST 73</t>
        </is>
      </c>
      <c r="R405" s="7" t="inlineStr">
        <is>
          <t>Redução de 60% + Diferimento (Art. 138 e Anexo IX LC 214/2025)</t>
        </is>
      </c>
    </row>
    <row r="406" ht="22" customHeight="1">
      <c r="A406" s="12" t="inlineStr">
        <is>
          <t>SKU-0402</t>
        </is>
      </c>
      <c r="B406" s="11" t="n">
        <v>296</v>
      </c>
      <c r="C406" s="13" t="inlineStr">
        <is>
          <t>Nº 31222</t>
        </is>
      </c>
      <c r="D406" s="14" t="inlineStr">
        <is>
          <t>GLINT FULL</t>
        </is>
      </c>
      <c r="E406" s="13" t="inlineStr">
        <is>
          <t>Embalagem Comercial do Produto</t>
        </is>
      </c>
      <c r="F406" s="13" t="inlineStr">
        <is>
          <t>4X5L (5 L)</t>
        </is>
      </c>
      <c r="G406" s="13" t="inlineStr">
        <is>
          <t>L</t>
        </is>
      </c>
      <c r="H406" s="15" t="n">
        <v>5</v>
      </c>
      <c r="I406" s="13" t="inlineStr">
        <is>
          <t>3808.93.29</t>
        </is>
      </c>
      <c r="J406" s="13" t="inlineStr">
        <is>
          <t>NÃO</t>
        </is>
      </c>
      <c r="K406" s="13" t="inlineStr">
        <is>
          <t>Embalagem Rígida — LAVÁVEL (Obrigatória Tríplice Lavagem ou Pressão)</t>
        </is>
      </c>
      <c r="L406" s="13" t="inlineStr">
        <is>
          <t>NÃO</t>
        </is>
      </c>
      <c r="M406" s="13" t="inlineStr">
        <is>
          <t>0,00% (Lei nº 10.925/2004)</t>
        </is>
      </c>
      <c r="N406" s="13" t="inlineStr">
        <is>
          <t>0,925% (LC nº 224/2025)</t>
        </is>
      </c>
      <c r="O406" s="13" t="inlineStr">
        <is>
          <t>0,365% (LC nº 224/2025)</t>
        </is>
      </c>
      <c r="P406" s="13" t="inlineStr">
        <is>
          <t>CST 06</t>
        </is>
      </c>
      <c r="Q406" s="13" t="inlineStr">
        <is>
          <t>CST 73</t>
        </is>
      </c>
      <c r="R406" s="13" t="inlineStr">
        <is>
          <t>Redução de 60% + Diferimento (Art. 138 e Anexo IX LC 214/2025)</t>
        </is>
      </c>
    </row>
    <row r="407" ht="22" customHeight="1">
      <c r="A407" s="6" t="inlineStr">
        <is>
          <t>SKU-0403</t>
        </is>
      </c>
      <c r="B407" s="5" t="n">
        <v>297</v>
      </c>
      <c r="C407" s="7" t="inlineStr">
        <is>
          <t>SIPEAGRO (UF-XXXXX)</t>
        </is>
      </c>
      <c r="D407" s="8" t="inlineStr">
        <is>
          <t>AGCN FULL</t>
        </is>
      </c>
      <c r="E407" s="7" t="inlineStr">
        <is>
          <t>Embalagem Comercial do Produto</t>
        </is>
      </c>
      <c r="F407" s="7" t="inlineStr">
        <is>
          <t>4X5L (5 L)</t>
        </is>
      </c>
      <c r="G407" s="7" t="inlineStr">
        <is>
          <t>L</t>
        </is>
      </c>
      <c r="H407" s="9" t="n">
        <v>5</v>
      </c>
      <c r="I407" s="7" t="inlineStr">
        <is>
          <t>3105.90.11</t>
        </is>
      </c>
      <c r="J407" s="7" t="inlineStr">
        <is>
          <t>NÃO</t>
        </is>
      </c>
      <c r="K407" s="7" t="inlineStr">
        <is>
          <t>Embalagem de Insumo Nutricional/Biológico (Logística Reversa)</t>
        </is>
      </c>
      <c r="L407" s="7" t="inlineStr">
        <is>
          <t>NÃO</t>
        </is>
      </c>
      <c r="M407" s="7" t="inlineStr">
        <is>
          <t>0,00% (Lei nº 10.925/2004)</t>
        </is>
      </c>
      <c r="N407" s="7" t="inlineStr">
        <is>
          <t>0,925% (LC nº 224/2025)</t>
        </is>
      </c>
      <c r="O407" s="7" t="inlineStr">
        <is>
          <t>0,365% (LC nº 224/2025)</t>
        </is>
      </c>
      <c r="P407" s="7" t="inlineStr">
        <is>
          <t>CST 06</t>
        </is>
      </c>
      <c r="Q407" s="7" t="inlineStr">
        <is>
          <t>CST 73</t>
        </is>
      </c>
      <c r="R407" s="7" t="inlineStr">
        <is>
          <t>Redução de 60% + Diferimento (Art. 138 e Anexo IX LC 214/2025)</t>
        </is>
      </c>
    </row>
    <row r="408" ht="22" customHeight="1">
      <c r="A408" s="12" t="inlineStr">
        <is>
          <t>SKU-0404</t>
        </is>
      </c>
      <c r="B408" s="11" t="n">
        <v>297</v>
      </c>
      <c r="C408" s="13" t="inlineStr">
        <is>
          <t>SIPEAGRO (UF-XXXXX)</t>
        </is>
      </c>
      <c r="D408" s="14" t="inlineStr">
        <is>
          <t>AGCN FULL</t>
        </is>
      </c>
      <c r="E408" s="13" t="inlineStr">
        <is>
          <t>Faixa 1 TIPI (Apresentação &lt;= 300 g ou mL)</t>
        </is>
      </c>
      <c r="F408" s="13" t="inlineStr">
        <is>
          <t>Fracionado / Amostra &lt;= 0,3 L</t>
        </is>
      </c>
      <c r="G408" s="13" t="inlineStr">
        <is>
          <t>L</t>
        </is>
      </c>
      <c r="H408" s="18" t="n">
        <v>0.3</v>
      </c>
      <c r="I408" s="13" t="inlineStr">
        <is>
          <t>3105.90.90</t>
        </is>
      </c>
      <c r="J408" s="13" t="inlineStr">
        <is>
          <t>NÃO</t>
        </is>
      </c>
      <c r="K408" s="13" t="inlineStr">
        <is>
          <t>Embalagem de Insumo Nutricional/Biológico (Logística Reversa)</t>
        </is>
      </c>
      <c r="L408" s="13" t="inlineStr">
        <is>
          <t>NÃO</t>
        </is>
      </c>
      <c r="M408" s="13" t="inlineStr">
        <is>
          <t>0,00% (Lei nº 10.925/2004)</t>
        </is>
      </c>
      <c r="N408" s="13" t="inlineStr">
        <is>
          <t>0,925% (LC nº 224/2025)</t>
        </is>
      </c>
      <c r="O408" s="13" t="inlineStr">
        <is>
          <t>0,365% (LC nº 224/2025)</t>
        </is>
      </c>
      <c r="P408" s="13" t="inlineStr">
        <is>
          <t>CST 06</t>
        </is>
      </c>
      <c r="Q408" s="13" t="inlineStr">
        <is>
          <t>CST 73</t>
        </is>
      </c>
      <c r="R408" s="13" t="inlineStr">
        <is>
          <t>Redução de 60% + Diferimento (Art. 138 e Anexo IX LC 214/2025)</t>
        </is>
      </c>
    </row>
    <row r="409" ht="22" customHeight="1">
      <c r="A409" s="6" t="inlineStr">
        <is>
          <t>SKU-0405</t>
        </is>
      </c>
      <c r="B409" s="5" t="n">
        <v>298</v>
      </c>
      <c r="C409" s="7" t="inlineStr">
        <is>
          <t>ISENTO (ATO 104/2017)</t>
        </is>
      </c>
      <c r="D409" s="8" t="inlineStr">
        <is>
          <t>AGCN SAFE AIR</t>
        </is>
      </c>
      <c r="E409" s="7" t="inlineStr">
        <is>
          <t>Embalagem Comercial do Produto</t>
        </is>
      </c>
      <c r="F409" s="7" t="inlineStr">
        <is>
          <t>12X1L (1 L)</t>
        </is>
      </c>
      <c r="G409" s="7" t="inlineStr">
        <is>
          <t>L</t>
        </is>
      </c>
      <c r="H409" s="9" t="n">
        <v>1</v>
      </c>
      <c r="I409" s="7" t="inlineStr">
        <is>
          <t>3402.90.29</t>
        </is>
      </c>
      <c r="J409" s="7" t="inlineStr">
        <is>
          <t>NÃO</t>
        </is>
      </c>
      <c r="K409" s="7" t="inlineStr">
        <is>
          <t>Embalagem Rígida — LAVÁVEL (Obrigatória Tríplice Lavagem ou Pressão)</t>
        </is>
      </c>
      <c r="L409" s="7" t="inlineStr">
        <is>
          <t>NÃO</t>
        </is>
      </c>
      <c r="M409" s="7" t="inlineStr">
        <is>
          <t>9,25% Real | 3,65% Presumido</t>
        </is>
      </c>
      <c r="N409" s="7" t="inlineStr">
        <is>
          <t>9,250% (Integral)</t>
        </is>
      </c>
      <c r="O409" s="7" t="inlineStr">
        <is>
          <t>3,650% (Integral)</t>
        </is>
      </c>
      <c r="P409" s="7" t="inlineStr">
        <is>
          <t>CST 01</t>
        </is>
      </c>
      <c r="Q409" s="7" t="inlineStr">
        <is>
          <t>CST 50</t>
        </is>
      </c>
      <c r="R409" s="7" t="inlineStr">
        <is>
          <t>Alíquota Padrão Integral (LC 214/2025)</t>
        </is>
      </c>
    </row>
    <row r="410" ht="22" customHeight="1">
      <c r="A410" s="12" t="inlineStr">
        <is>
          <t>SKU-0406</t>
        </is>
      </c>
      <c r="B410" s="11" t="n">
        <v>299</v>
      </c>
      <c r="C410" s="13" t="inlineStr">
        <is>
          <t>ISENTO (ATO 104/2017)</t>
        </is>
      </c>
      <c r="D410" s="14" t="inlineStr">
        <is>
          <t>AGCN SAFE SPRAY</t>
        </is>
      </c>
      <c r="E410" s="13" t="inlineStr">
        <is>
          <t>Embalagem Comercial do Produto</t>
        </is>
      </c>
      <c r="F410" s="13" t="inlineStr">
        <is>
          <t>12X1L (1 L)</t>
        </is>
      </c>
      <c r="G410" s="13" t="inlineStr">
        <is>
          <t>L</t>
        </is>
      </c>
      <c r="H410" s="15" t="n">
        <v>1</v>
      </c>
      <c r="I410" s="13" t="inlineStr">
        <is>
          <t>3402.90.29</t>
        </is>
      </c>
      <c r="J410" s="13" t="inlineStr">
        <is>
          <t>NÃO</t>
        </is>
      </c>
      <c r="K410" s="13" t="inlineStr">
        <is>
          <t>Embalagem Rígida — LAVÁVEL (Obrigatória Tríplice Lavagem ou Pressão)</t>
        </is>
      </c>
      <c r="L410" s="13" t="inlineStr">
        <is>
          <t>NÃO</t>
        </is>
      </c>
      <c r="M410" s="13" t="inlineStr">
        <is>
          <t>9,25% Real | 3,65% Presumido</t>
        </is>
      </c>
      <c r="N410" s="13" t="inlineStr">
        <is>
          <t>9,250% (Integral)</t>
        </is>
      </c>
      <c r="O410" s="13" t="inlineStr">
        <is>
          <t>3,650% (Integral)</t>
        </is>
      </c>
      <c r="P410" s="13" t="inlineStr">
        <is>
          <t>CST 01</t>
        </is>
      </c>
      <c r="Q410" s="13" t="inlineStr">
        <is>
          <t>CST 50</t>
        </is>
      </c>
      <c r="R410" s="13" t="inlineStr">
        <is>
          <t>Alíquota Padrão Integral (LC 214/2025)</t>
        </is>
      </c>
    </row>
    <row r="411" ht="22" customHeight="1">
      <c r="A411" s="6" t="inlineStr">
        <is>
          <t>SKU-0407</t>
        </is>
      </c>
      <c r="B411" s="5" t="n">
        <v>300</v>
      </c>
      <c r="C411" s="7" t="inlineStr">
        <is>
          <t>SIPEAGRO (UF-XXXXX)</t>
        </is>
      </c>
      <c r="D411" s="8" t="inlineStr">
        <is>
          <t>AGCN CAB</t>
        </is>
      </c>
      <c r="E411" s="7" t="inlineStr">
        <is>
          <t>Embalagem Comercial do Produto</t>
        </is>
      </c>
      <c r="F411" s="7" t="inlineStr">
        <is>
          <t>4X5L (5 L)</t>
        </is>
      </c>
      <c r="G411" s="7" t="inlineStr">
        <is>
          <t>L</t>
        </is>
      </c>
      <c r="H411" s="9" t="n">
        <v>5</v>
      </c>
      <c r="I411" s="7" t="inlineStr">
        <is>
          <t>3105.90.90</t>
        </is>
      </c>
      <c r="J411" s="7" t="inlineStr">
        <is>
          <t>NÃO</t>
        </is>
      </c>
      <c r="K411" s="7" t="inlineStr">
        <is>
          <t>Embalagem de Insumo Nutricional/Biológico (Logística Reversa)</t>
        </is>
      </c>
      <c r="L411" s="7" t="inlineStr">
        <is>
          <t>NÃO</t>
        </is>
      </c>
      <c r="M411" s="7" t="inlineStr">
        <is>
          <t>0,00% (Lei nº 10.925/2004)</t>
        </is>
      </c>
      <c r="N411" s="7" t="inlineStr">
        <is>
          <t>0,925% (LC nº 224/2025)</t>
        </is>
      </c>
      <c r="O411" s="7" t="inlineStr">
        <is>
          <t>0,365% (LC nº 224/2025)</t>
        </is>
      </c>
      <c r="P411" s="7" t="inlineStr">
        <is>
          <t>CST 06</t>
        </is>
      </c>
      <c r="Q411" s="7" t="inlineStr">
        <is>
          <t>CST 73</t>
        </is>
      </c>
      <c r="R411" s="7" t="inlineStr">
        <is>
          <t>Redução de 60% + Diferimento (Art. 138 e Anexo IX LC 214/2025)</t>
        </is>
      </c>
    </row>
    <row r="412" ht="22" customHeight="1">
      <c r="A412" s="12" t="inlineStr">
        <is>
          <t>SKU-0408</t>
        </is>
      </c>
      <c r="B412" s="11" t="n">
        <v>300</v>
      </c>
      <c r="C412" s="13" t="inlineStr">
        <is>
          <t>SIPEAGRO (UF-XXXXX)</t>
        </is>
      </c>
      <c r="D412" s="14" t="inlineStr">
        <is>
          <t>AGCN CAB</t>
        </is>
      </c>
      <c r="E412" s="13" t="inlineStr">
        <is>
          <t>Faixa 1 TIPI (Apresentação &lt;= 300 g ou mL)</t>
        </is>
      </c>
      <c r="F412" s="13" t="inlineStr">
        <is>
          <t>Fracionado / Amostra &lt;= 0,3 L</t>
        </is>
      </c>
      <c r="G412" s="13" t="inlineStr">
        <is>
          <t>L</t>
        </is>
      </c>
      <c r="H412" s="18" t="n">
        <v>0.3</v>
      </c>
      <c r="I412" s="13" t="inlineStr">
        <is>
          <t>3105.90.90</t>
        </is>
      </c>
      <c r="J412" s="13" t="inlineStr">
        <is>
          <t>NÃO</t>
        </is>
      </c>
      <c r="K412" s="13" t="inlineStr">
        <is>
          <t>Embalagem de Insumo Nutricional/Biológico (Logística Reversa)</t>
        </is>
      </c>
      <c r="L412" s="13" t="inlineStr">
        <is>
          <t>NÃO</t>
        </is>
      </c>
      <c r="M412" s="13" t="inlineStr">
        <is>
          <t>0,00% (Lei nº 10.925/2004)</t>
        </is>
      </c>
      <c r="N412" s="13" t="inlineStr">
        <is>
          <t>0,925% (LC nº 224/2025)</t>
        </is>
      </c>
      <c r="O412" s="13" t="inlineStr">
        <is>
          <t>0,365% (LC nº 224/2025)</t>
        </is>
      </c>
      <c r="P412" s="13" t="inlineStr">
        <is>
          <t>CST 06</t>
        </is>
      </c>
      <c r="Q412" s="13" t="inlineStr">
        <is>
          <t>CST 73</t>
        </is>
      </c>
      <c r="R412" s="13" t="inlineStr">
        <is>
          <t>Redução de 60% + Diferimento (Art. 138 e Anexo IX LC 214/2025)</t>
        </is>
      </c>
    </row>
    <row r="413" ht="22" customHeight="1">
      <c r="A413" s="6" t="inlineStr">
        <is>
          <t>SKU-0409</t>
        </is>
      </c>
      <c r="B413" s="5" t="n">
        <v>301</v>
      </c>
      <c r="C413" s="7" t="inlineStr">
        <is>
          <t>Nº 16223</t>
        </is>
      </c>
      <c r="D413" s="8" t="inlineStr">
        <is>
          <t>GUNTER PRO 360</t>
        </is>
      </c>
      <c r="E413" s="7" t="inlineStr">
        <is>
          <t>Embalagem Comercial do Produto</t>
        </is>
      </c>
      <c r="F413" s="7" t="inlineStr">
        <is>
          <t>1X20L (20 L)</t>
        </is>
      </c>
      <c r="G413" s="7" t="inlineStr">
        <is>
          <t>L</t>
        </is>
      </c>
      <c r="H413" s="9" t="n">
        <v>20</v>
      </c>
      <c r="I413" s="7" t="inlineStr">
        <is>
          <t>3808.93.29</t>
        </is>
      </c>
      <c r="J413" s="7" t="inlineStr">
        <is>
          <t>NÃO</t>
        </is>
      </c>
      <c r="K413" s="7" t="inlineStr">
        <is>
          <t>Embalagem Rígida — LAVÁVEL (Obrigatória Tríplice Lavagem ou Pressão)</t>
        </is>
      </c>
      <c r="L413" s="7" t="inlineStr">
        <is>
          <t>NÃO</t>
        </is>
      </c>
      <c r="M413" s="7" t="inlineStr">
        <is>
          <t>0,00% (Lei nº 10.925/2004)</t>
        </is>
      </c>
      <c r="N413" s="7" t="inlineStr">
        <is>
          <t>0,925% (LC nº 224/2025)</t>
        </is>
      </c>
      <c r="O413" s="7" t="inlineStr">
        <is>
          <t>0,365% (LC nº 224/2025)</t>
        </is>
      </c>
      <c r="P413" s="7" t="inlineStr">
        <is>
          <t>CST 06</t>
        </is>
      </c>
      <c r="Q413" s="7" t="inlineStr">
        <is>
          <t>CST 73</t>
        </is>
      </c>
      <c r="R413" s="7" t="inlineStr">
        <is>
          <t>Redução de 60% + Diferimento (Art. 138 e Anexo IX LC 214/2025)</t>
        </is>
      </c>
    </row>
    <row r="414" ht="22" customHeight="1">
      <c r="A414" s="12" t="inlineStr">
        <is>
          <t>SKU-0410</t>
        </is>
      </c>
      <c r="B414" s="11" t="n">
        <v>302</v>
      </c>
      <c r="C414" s="13" t="inlineStr">
        <is>
          <t>SIPEAGRO (UF-XXXXX)</t>
        </is>
      </c>
      <c r="D414" s="14" t="inlineStr">
        <is>
          <t>AGCN MN+</t>
        </is>
      </c>
      <c r="E414" s="13" t="inlineStr">
        <is>
          <t>Embalagem Comercial do Produto</t>
        </is>
      </c>
      <c r="F414" s="13" t="inlineStr">
        <is>
          <t>1X25L (25 L)</t>
        </is>
      </c>
      <c r="G414" s="13" t="inlineStr">
        <is>
          <t>L</t>
        </is>
      </c>
      <c r="H414" s="15" t="n">
        <v>25</v>
      </c>
      <c r="I414" s="13" t="inlineStr">
        <is>
          <t>3105.90.90</t>
        </is>
      </c>
      <c r="J414" s="13" t="inlineStr">
        <is>
          <t>NÃO</t>
        </is>
      </c>
      <c r="K414" s="13" t="inlineStr">
        <is>
          <t>Embalagem de Insumo Nutricional/Biológico (Logística Reversa)</t>
        </is>
      </c>
      <c r="L414" s="13" t="inlineStr">
        <is>
          <t>NÃO</t>
        </is>
      </c>
      <c r="M414" s="13" t="inlineStr">
        <is>
          <t>0,00% (Lei nº 10.925/2004)</t>
        </is>
      </c>
      <c r="N414" s="13" t="inlineStr">
        <is>
          <t>0,925% (LC nº 224/2025)</t>
        </is>
      </c>
      <c r="O414" s="13" t="inlineStr">
        <is>
          <t>0,365% (LC nº 224/2025)</t>
        </is>
      </c>
      <c r="P414" s="13" t="inlineStr">
        <is>
          <t>CST 06</t>
        </is>
      </c>
      <c r="Q414" s="13" t="inlineStr">
        <is>
          <t>CST 73</t>
        </is>
      </c>
      <c r="R414" s="13" t="inlineStr">
        <is>
          <t>Redução de 60% + Diferimento (Art. 138 e Anexo IX LC 214/2025)</t>
        </is>
      </c>
    </row>
    <row r="415" ht="22" customHeight="1">
      <c r="A415" s="6" t="inlineStr">
        <is>
          <t>SKU-0411</t>
        </is>
      </c>
      <c r="B415" s="5" t="n">
        <v>302</v>
      </c>
      <c r="C415" s="7" t="inlineStr">
        <is>
          <t>SIPEAGRO (UF-XXXXX)</t>
        </is>
      </c>
      <c r="D415" s="8" t="inlineStr">
        <is>
          <t>AGCN MN+</t>
        </is>
      </c>
      <c r="E415" s="7" t="inlineStr">
        <is>
          <t>Faixa 1 TIPI (Apresentação &lt;= 300 g ou mL)</t>
        </is>
      </c>
      <c r="F415" s="7" t="inlineStr">
        <is>
          <t>Fracionado / Amostra &lt;= 0,3 L</t>
        </is>
      </c>
      <c r="G415" s="7" t="inlineStr">
        <is>
          <t>L</t>
        </is>
      </c>
      <c r="H415" s="17" t="n">
        <v>0.3</v>
      </c>
      <c r="I415" s="7" t="inlineStr">
        <is>
          <t>3105.90.90</t>
        </is>
      </c>
      <c r="J415" s="7" t="inlineStr">
        <is>
          <t>NÃO</t>
        </is>
      </c>
      <c r="K415" s="7" t="inlineStr">
        <is>
          <t>Embalagem de Insumo Nutricional/Biológico (Logística Reversa)</t>
        </is>
      </c>
      <c r="L415" s="7" t="inlineStr">
        <is>
          <t>NÃO</t>
        </is>
      </c>
      <c r="M415" s="7" t="inlineStr">
        <is>
          <t>0,00% (Lei nº 10.925/2004)</t>
        </is>
      </c>
      <c r="N415" s="7" t="inlineStr">
        <is>
          <t>0,925% (LC nº 224/2025)</t>
        </is>
      </c>
      <c r="O415" s="7" t="inlineStr">
        <is>
          <t>0,365% (LC nº 224/2025)</t>
        </is>
      </c>
      <c r="P415" s="7" t="inlineStr">
        <is>
          <t>CST 06</t>
        </is>
      </c>
      <c r="Q415" s="7" t="inlineStr">
        <is>
          <t>CST 73</t>
        </is>
      </c>
      <c r="R415" s="7" t="inlineStr">
        <is>
          <t>Redução de 60% + Diferimento (Art. 138 e Anexo IX LC 214/2025)</t>
        </is>
      </c>
    </row>
    <row r="416" ht="22" customHeight="1">
      <c r="A416" s="12" t="inlineStr">
        <is>
          <t>SKU-0412</t>
        </is>
      </c>
      <c r="B416" s="11" t="n">
        <v>303</v>
      </c>
      <c r="C416" s="13" t="inlineStr">
        <is>
          <t>SIPEAGRO (UF-XXXXX)</t>
        </is>
      </c>
      <c r="D416" s="14" t="inlineStr">
        <is>
          <t>QUALY OCTOBORATO DE SODIO-E</t>
        </is>
      </c>
      <c r="E416" s="13" t="inlineStr">
        <is>
          <t>Embalagem Comercial do Produto</t>
        </is>
      </c>
      <c r="F416" s="13" t="inlineStr">
        <is>
          <t>1X25KG (25 KG)</t>
        </is>
      </c>
      <c r="G416" s="13" t="inlineStr">
        <is>
          <t>KG</t>
        </is>
      </c>
      <c r="H416" s="15" t="n">
        <v>25</v>
      </c>
      <c r="I416" s="13" t="inlineStr">
        <is>
          <t>3104.90.90</t>
        </is>
      </c>
      <c r="J416" s="13" t="inlineStr">
        <is>
          <t>NÃO</t>
        </is>
      </c>
      <c r="K416" s="13" t="inlineStr">
        <is>
          <t>Embalagem de Insumo Nutricional/Biológico (Logística Reversa)</t>
        </is>
      </c>
      <c r="L416" s="13" t="inlineStr">
        <is>
          <t>NÃO</t>
        </is>
      </c>
      <c r="M416" s="13" t="inlineStr">
        <is>
          <t>0,00% (Lei nº 10.925/2004)</t>
        </is>
      </c>
      <c r="N416" s="13" t="inlineStr">
        <is>
          <t>0,925% (LC nº 224/2025)</t>
        </is>
      </c>
      <c r="O416" s="13" t="inlineStr">
        <is>
          <t>0,365% (LC nº 224/2025)</t>
        </is>
      </c>
      <c r="P416" s="13" t="inlineStr">
        <is>
          <t>CST 06</t>
        </is>
      </c>
      <c r="Q416" s="13" t="inlineStr">
        <is>
          <t>CST 73</t>
        </is>
      </c>
      <c r="R416" s="13" t="inlineStr">
        <is>
          <t>Redução de 60% + Diferimento (Art. 138 e Anexo IX LC 214/2025)</t>
        </is>
      </c>
    </row>
    <row r="417" ht="22" customHeight="1">
      <c r="A417" s="6" t="inlineStr">
        <is>
          <t>SKU-0413</t>
        </is>
      </c>
      <c r="B417" s="5" t="n">
        <v>303</v>
      </c>
      <c r="C417" s="7" t="inlineStr">
        <is>
          <t>SIPEAGRO (UF-XXXXX)</t>
        </is>
      </c>
      <c r="D417" s="8" t="inlineStr">
        <is>
          <t>QUALY OCTOBORATO DE SODIO-E</t>
        </is>
      </c>
      <c r="E417" s="7" t="inlineStr">
        <is>
          <t>Faixa 1 TIPI (Apresentação &lt;= 300 g ou mL)</t>
        </is>
      </c>
      <c r="F417" s="7" t="inlineStr">
        <is>
          <t>Fracionado / Amostra &lt;= 0,3 KG</t>
        </is>
      </c>
      <c r="G417" s="7" t="inlineStr">
        <is>
          <t>KG</t>
        </is>
      </c>
      <c r="H417" s="17" t="n">
        <v>0.3</v>
      </c>
      <c r="I417" s="7" t="inlineStr">
        <is>
          <t>3105.90.90</t>
        </is>
      </c>
      <c r="J417" s="7" t="inlineStr">
        <is>
          <t>NÃO</t>
        </is>
      </c>
      <c r="K417" s="7" t="inlineStr">
        <is>
          <t>Embalagem de Insumo Nutricional/Biológico (Logística Reversa)</t>
        </is>
      </c>
      <c r="L417" s="7" t="inlineStr">
        <is>
          <t>NÃO</t>
        </is>
      </c>
      <c r="M417" s="7" t="inlineStr">
        <is>
          <t>0,00% (Lei nº 10.925/2004)</t>
        </is>
      </c>
      <c r="N417" s="7" t="inlineStr">
        <is>
          <t>0,925% (LC nº 224/2025)</t>
        </is>
      </c>
      <c r="O417" s="7" t="inlineStr">
        <is>
          <t>0,365% (LC nº 224/2025)</t>
        </is>
      </c>
      <c r="P417" s="7" t="inlineStr">
        <is>
          <t>CST 06</t>
        </is>
      </c>
      <c r="Q417" s="7" t="inlineStr">
        <is>
          <t>CST 73</t>
        </is>
      </c>
      <c r="R417" s="7" t="inlineStr">
        <is>
          <t>Redução de 60% + Diferimento (Art. 138 e Anexo IX LC 214/2025)</t>
        </is>
      </c>
    </row>
    <row r="418" ht="22" customHeight="1">
      <c r="A418" s="12" t="inlineStr">
        <is>
          <t>SKU-0414</t>
        </is>
      </c>
      <c r="B418" s="11" t="n">
        <v>304</v>
      </c>
      <c r="C418" s="13" t="inlineStr">
        <is>
          <t>ISENTO (ATO 104/2017)</t>
        </is>
      </c>
      <c r="D418" s="14" t="inlineStr">
        <is>
          <t>FORMIATO DE POTASSIO 75%</t>
        </is>
      </c>
      <c r="E418" s="13" t="inlineStr">
        <is>
          <t>Embalagem Comercial do Produto</t>
        </is>
      </c>
      <c r="F418" s="13" t="inlineStr">
        <is>
          <t>1KG (1 KG)</t>
        </is>
      </c>
      <c r="G418" s="13" t="inlineStr">
        <is>
          <t>L</t>
        </is>
      </c>
      <c r="H418" s="18" t="n">
        <v>0.2</v>
      </c>
      <c r="I418" s="13" t="inlineStr">
        <is>
          <t>2915.12.90</t>
        </is>
      </c>
      <c r="J418" s="13" t="inlineStr">
        <is>
          <t>NÃO</t>
        </is>
      </c>
      <c r="K418" s="13" t="inlineStr">
        <is>
          <t>Embalagem Rígida — LAVÁVEL (Obrigatória Tríplice Lavagem ou Pressão)</t>
        </is>
      </c>
      <c r="L418" s="13" t="inlineStr">
        <is>
          <t>NÃO</t>
        </is>
      </c>
      <c r="M418" s="13" t="inlineStr">
        <is>
          <t>0,00% (Lei nº 10.925/2004)</t>
        </is>
      </c>
      <c r="N418" s="13" t="inlineStr">
        <is>
          <t>0,925% (LC nº 224/2025)</t>
        </is>
      </c>
      <c r="O418" s="13" t="inlineStr">
        <is>
          <t>0,365% (LC nº 224/2025)</t>
        </is>
      </c>
      <c r="P418" s="13" t="inlineStr">
        <is>
          <t>CST 06 (Uso Agrícola/Industrial)</t>
        </is>
      </c>
      <c r="Q418" s="13" t="inlineStr">
        <is>
          <t>CST 73 (Revenda / Destinação)</t>
        </is>
      </c>
      <c r="R418" s="13" t="inlineStr">
        <is>
          <t>Redução de 60% + Diferimento (Art. 138 LC 214/2025)</t>
        </is>
      </c>
    </row>
    <row r="419" ht="22" customHeight="1">
      <c r="A419" s="6" t="inlineStr">
        <is>
          <t>SKU-0415</t>
        </is>
      </c>
      <c r="B419" s="5" t="n">
        <v>304</v>
      </c>
      <c r="C419" s="7" t="inlineStr">
        <is>
          <t>ISENTO (ATO 104/2017)</t>
        </is>
      </c>
      <c r="D419" s="8" t="inlineStr">
        <is>
          <t>FORMIATO DE POTASSIO 75%</t>
        </is>
      </c>
      <c r="E419" s="7" t="inlineStr">
        <is>
          <t>Faixa 1 TIPI (Apresentação &lt;= 300 g ou mL)</t>
        </is>
      </c>
      <c r="F419" s="7" t="inlineStr">
        <is>
          <t>Fracionado / Amostra &lt;= 0,3 L</t>
        </is>
      </c>
      <c r="G419" s="7" t="inlineStr">
        <is>
          <t>L</t>
        </is>
      </c>
      <c r="H419" s="17" t="n">
        <v>0.3</v>
      </c>
      <c r="I419" s="7" t="inlineStr">
        <is>
          <t>3402.90.29</t>
        </is>
      </c>
      <c r="J419" s="7" t="inlineStr">
        <is>
          <t>NÃO</t>
        </is>
      </c>
      <c r="K419" s="7" t="inlineStr">
        <is>
          <t>Embalagem Rígida — LAVÁVEL (Obrigatória Tríplice Lavagem ou Pressão)</t>
        </is>
      </c>
      <c r="L419" s="7" t="inlineStr">
        <is>
          <t>NÃO</t>
        </is>
      </c>
      <c r="M419" s="7" t="inlineStr">
        <is>
          <t>0,00% (Lei nº 10.925/2004)</t>
        </is>
      </c>
      <c r="N419" s="7" t="inlineStr">
        <is>
          <t>0,925% (LC nº 224/2025)</t>
        </is>
      </c>
      <c r="O419" s="7" t="inlineStr">
        <is>
          <t>0,365% (LC nº 224/2025)</t>
        </is>
      </c>
      <c r="P419" s="7" t="inlineStr">
        <is>
          <t>CST 06 (Uso Agrícola/Industrial)</t>
        </is>
      </c>
      <c r="Q419" s="7" t="inlineStr">
        <is>
          <t>CST 73 (Revenda / Destinação)</t>
        </is>
      </c>
      <c r="R419" s="7" t="inlineStr">
        <is>
          <t>Redução de 60% + Diferimento (Art. 138 LC 214/2025)</t>
        </is>
      </c>
    </row>
    <row r="420" ht="22" customHeight="1">
      <c r="A420" s="12" t="inlineStr">
        <is>
          <t>SKU-0416</t>
        </is>
      </c>
      <c r="B420" s="11" t="n">
        <v>305</v>
      </c>
      <c r="C420" s="13" t="inlineStr">
        <is>
          <t>ISENTO (ATO 104/2017)</t>
        </is>
      </c>
      <c r="D420" s="14" t="inlineStr">
        <is>
          <t>FORMIATO DE CALCIO</t>
        </is>
      </c>
      <c r="E420" s="13" t="inlineStr">
        <is>
          <t>Embalagem Comercial do Produto</t>
        </is>
      </c>
      <c r="F420" s="13" t="inlineStr">
        <is>
          <t>1KG (1 KG)</t>
        </is>
      </c>
      <c r="G420" s="13" t="inlineStr">
        <is>
          <t>L</t>
        </is>
      </c>
      <c r="H420" s="18" t="n">
        <v>0.2</v>
      </c>
      <c r="I420" s="13" t="inlineStr">
        <is>
          <t>2915.12.90</t>
        </is>
      </c>
      <c r="J420" s="13" t="inlineStr">
        <is>
          <t>NÃO</t>
        </is>
      </c>
      <c r="K420" s="13" t="inlineStr">
        <is>
          <t>Embalagem Rígida — LAVÁVEL (Obrigatória Tríplice Lavagem ou Pressão)</t>
        </is>
      </c>
      <c r="L420" s="13" t="inlineStr">
        <is>
          <t>NÃO</t>
        </is>
      </c>
      <c r="M420" s="13" t="inlineStr">
        <is>
          <t>0,00% (Lei nº 10.925/2004)</t>
        </is>
      </c>
      <c r="N420" s="13" t="inlineStr">
        <is>
          <t>0,925% (LC nº 224/2025)</t>
        </is>
      </c>
      <c r="O420" s="13" t="inlineStr">
        <is>
          <t>0,365% (LC nº 224/2025)</t>
        </is>
      </c>
      <c r="P420" s="13" t="inlineStr">
        <is>
          <t>CST 06 (Uso Agrícola/Industrial)</t>
        </is>
      </c>
      <c r="Q420" s="13" t="inlineStr">
        <is>
          <t>CST 73 (Revenda / Destinação)</t>
        </is>
      </c>
      <c r="R420" s="13" t="inlineStr">
        <is>
          <t>Redução de 60% + Diferimento (Art. 138 LC 214/2025)</t>
        </is>
      </c>
    </row>
    <row r="421" ht="22" customHeight="1">
      <c r="A421" s="6" t="inlineStr">
        <is>
          <t>SKU-0417</t>
        </is>
      </c>
      <c r="B421" s="5" t="n">
        <v>305</v>
      </c>
      <c r="C421" s="7" t="inlineStr">
        <is>
          <t>ISENTO (ATO 104/2017)</t>
        </is>
      </c>
      <c r="D421" s="8" t="inlineStr">
        <is>
          <t>FORMIATO DE CALCIO</t>
        </is>
      </c>
      <c r="E421" s="7" t="inlineStr">
        <is>
          <t>Faixa 1 TIPI (Apresentação &lt;= 300 g ou mL)</t>
        </is>
      </c>
      <c r="F421" s="7" t="inlineStr">
        <is>
          <t>Fracionado / Amostra &lt;= 0,3 L</t>
        </is>
      </c>
      <c r="G421" s="7" t="inlineStr">
        <is>
          <t>L</t>
        </is>
      </c>
      <c r="H421" s="17" t="n">
        <v>0.3</v>
      </c>
      <c r="I421" s="7" t="inlineStr">
        <is>
          <t>3402.90.29</t>
        </is>
      </c>
      <c r="J421" s="7" t="inlineStr">
        <is>
          <t>NÃO</t>
        </is>
      </c>
      <c r="K421" s="7" t="inlineStr">
        <is>
          <t>Embalagem Rígida — LAVÁVEL (Obrigatória Tríplice Lavagem ou Pressão)</t>
        </is>
      </c>
      <c r="L421" s="7" t="inlineStr">
        <is>
          <t>NÃO</t>
        </is>
      </c>
      <c r="M421" s="7" t="inlineStr">
        <is>
          <t>0,00% (Lei nº 10.925/2004)</t>
        </is>
      </c>
      <c r="N421" s="7" t="inlineStr">
        <is>
          <t>0,925% (LC nº 224/2025)</t>
        </is>
      </c>
      <c r="O421" s="7" t="inlineStr">
        <is>
          <t>0,365% (LC nº 224/2025)</t>
        </is>
      </c>
      <c r="P421" s="7" t="inlineStr">
        <is>
          <t>CST 06 (Uso Agrícola/Industrial)</t>
        </is>
      </c>
      <c r="Q421" s="7" t="inlineStr">
        <is>
          <t>CST 73 (Revenda / Destinação)</t>
        </is>
      </c>
      <c r="R421" s="7" t="inlineStr">
        <is>
          <t>Redução de 60% + Diferimento (Art. 138 LC 214/2025)</t>
        </is>
      </c>
    </row>
    <row r="422" ht="22" customHeight="1">
      <c r="A422" s="12" t="inlineStr">
        <is>
          <t>SKU-0418</t>
        </is>
      </c>
      <c r="B422" s="11" t="n">
        <v>306</v>
      </c>
      <c r="C422" s="13" t="inlineStr">
        <is>
          <t>SIPEAGRO (UF-XXXXX)</t>
        </is>
      </c>
      <c r="D422" s="14" t="inlineStr">
        <is>
          <t>PREBIOTIC GL</t>
        </is>
      </c>
      <c r="E422" s="13" t="inlineStr">
        <is>
          <t>Embalagem Comercial do Produto</t>
        </is>
      </c>
      <c r="F422" s="13" t="inlineStr">
        <is>
          <t>4X5L (5 L)</t>
        </is>
      </c>
      <c r="G422" s="13" t="inlineStr">
        <is>
          <t>L</t>
        </is>
      </c>
      <c r="H422" s="15" t="n">
        <v>5</v>
      </c>
      <c r="I422" s="13" t="inlineStr">
        <is>
          <t>3101.00.00</t>
        </is>
      </c>
      <c r="J422" s="13" t="inlineStr">
        <is>
          <t>NÃO</t>
        </is>
      </c>
      <c r="K422" s="13" t="inlineStr">
        <is>
          <t>Embalagem de Insumo Nutricional/Biológico (Logística Reversa)</t>
        </is>
      </c>
      <c r="L422" s="13" t="inlineStr">
        <is>
          <t>NÃO</t>
        </is>
      </c>
      <c r="M422" s="13" t="inlineStr">
        <is>
          <t>0,00% (Lei nº 10.925/2004)</t>
        </is>
      </c>
      <c r="N422" s="13" t="inlineStr">
        <is>
          <t>0,925% (LC nº 224/2025)</t>
        </is>
      </c>
      <c r="O422" s="13" t="inlineStr">
        <is>
          <t>0,365% (LC nº 224/2025)</t>
        </is>
      </c>
      <c r="P422" s="13" t="inlineStr">
        <is>
          <t>CST 06</t>
        </is>
      </c>
      <c r="Q422" s="13" t="inlineStr">
        <is>
          <t>CST 73</t>
        </is>
      </c>
      <c r="R422" s="13" t="inlineStr">
        <is>
          <t>Redução de 60% + Diferimento (Art. 138 e Anexo IX LC 214/2025)</t>
        </is>
      </c>
    </row>
    <row r="423" ht="22" customHeight="1">
      <c r="A423" s="6" t="inlineStr">
        <is>
          <t>SKU-0419</t>
        </is>
      </c>
      <c r="B423" s="5" t="n">
        <v>306</v>
      </c>
      <c r="C423" s="7" t="inlineStr">
        <is>
          <t>SIPEAGRO (UF-XXXXX)</t>
        </is>
      </c>
      <c r="D423" s="8" t="inlineStr">
        <is>
          <t>PREBIOTIC GL</t>
        </is>
      </c>
      <c r="E423" s="7" t="inlineStr">
        <is>
          <t>Faixa 1 TIPI (Apresentação &lt;= 300 g ou mL)</t>
        </is>
      </c>
      <c r="F423" s="7" t="inlineStr">
        <is>
          <t>Fracionado / Amostra &lt;= 0,3 L</t>
        </is>
      </c>
      <c r="G423" s="7" t="inlineStr">
        <is>
          <t>L</t>
        </is>
      </c>
      <c r="H423" s="17" t="n">
        <v>0.3</v>
      </c>
      <c r="I423" s="7" t="inlineStr">
        <is>
          <t>3105.90.90</t>
        </is>
      </c>
      <c r="J423" s="7" t="inlineStr">
        <is>
          <t>NÃO</t>
        </is>
      </c>
      <c r="K423" s="7" t="inlineStr">
        <is>
          <t>Embalagem de Insumo Nutricional/Biológico (Logística Reversa)</t>
        </is>
      </c>
      <c r="L423" s="7" t="inlineStr">
        <is>
          <t>NÃO</t>
        </is>
      </c>
      <c r="M423" s="7" t="inlineStr">
        <is>
          <t>0,00% (Lei nº 10.925/2004)</t>
        </is>
      </c>
      <c r="N423" s="7" t="inlineStr">
        <is>
          <t>0,925% (LC nº 224/2025)</t>
        </is>
      </c>
      <c r="O423" s="7" t="inlineStr">
        <is>
          <t>0,365% (LC nº 224/2025)</t>
        </is>
      </c>
      <c r="P423" s="7" t="inlineStr">
        <is>
          <t>CST 06</t>
        </is>
      </c>
      <c r="Q423" s="7" t="inlineStr">
        <is>
          <t>CST 73</t>
        </is>
      </c>
      <c r="R423" s="7" t="inlineStr">
        <is>
          <t>Redução de 60% + Diferimento (Art. 138 e Anexo IX LC 214/2025)</t>
        </is>
      </c>
    </row>
    <row r="424" ht="22" customHeight="1">
      <c r="A424" s="12" t="inlineStr">
        <is>
          <t>SKU-0420</t>
        </is>
      </c>
      <c r="B424" s="11" t="n">
        <v>307</v>
      </c>
      <c r="C424" s="13" t="inlineStr">
        <is>
          <t>SIPEAGRO (UF-XXXXX)</t>
        </is>
      </c>
      <c r="D424" s="14" t="inlineStr">
        <is>
          <t>SMARTSOIL WP</t>
        </is>
      </c>
      <c r="E424" s="13" t="inlineStr">
        <is>
          <t>Embalagem Comercial do Produto</t>
        </is>
      </c>
      <c r="F424" s="13" t="inlineStr">
        <is>
          <t>1X1KG (1 KG)</t>
        </is>
      </c>
      <c r="G424" s="13" t="inlineStr">
        <is>
          <t>KG</t>
        </is>
      </c>
      <c r="H424" s="15" t="n">
        <v>1</v>
      </c>
      <c r="I424" s="13" t="inlineStr">
        <is>
          <t>3101.00.00</t>
        </is>
      </c>
      <c r="J424" s="13" t="inlineStr">
        <is>
          <t>NÃO</t>
        </is>
      </c>
      <c r="K424" s="13" t="inlineStr">
        <is>
          <t>Embalagem Flexível — NÃO LAVÁVEL (Perfurar e usar saco ABNT)</t>
        </is>
      </c>
      <c r="L424" s="13" t="inlineStr">
        <is>
          <t>SIM (Saco Transparente ABNT)</t>
        </is>
      </c>
      <c r="M424" s="13" t="inlineStr">
        <is>
          <t>0,00% (Lei nº 10.925/2004)</t>
        </is>
      </c>
      <c r="N424" s="13" t="inlineStr">
        <is>
          <t>0,925% (LC nº 224/2025)</t>
        </is>
      </c>
      <c r="O424" s="13" t="inlineStr">
        <is>
          <t>0,365% (LC nº 224/2025)</t>
        </is>
      </c>
      <c r="P424" s="13" t="inlineStr">
        <is>
          <t>CST 06</t>
        </is>
      </c>
      <c r="Q424" s="13" t="inlineStr">
        <is>
          <t>CST 73</t>
        </is>
      </c>
      <c r="R424" s="13" t="inlineStr">
        <is>
          <t>Redução de 60% + Diferimento (Art. 138 e Anexo IX LC 214/2025)</t>
        </is>
      </c>
    </row>
    <row r="425" ht="22" customHeight="1">
      <c r="A425" s="6" t="inlineStr">
        <is>
          <t>SKU-0421</t>
        </is>
      </c>
      <c r="B425" s="5" t="n">
        <v>307</v>
      </c>
      <c r="C425" s="7" t="inlineStr">
        <is>
          <t>SIPEAGRO (UF-XXXXX)</t>
        </is>
      </c>
      <c r="D425" s="8" t="inlineStr">
        <is>
          <t>SMARTSOIL WP</t>
        </is>
      </c>
      <c r="E425" s="7" t="inlineStr">
        <is>
          <t>Faixa 1 TIPI (Apresentação &lt;= 300 g ou mL)</t>
        </is>
      </c>
      <c r="F425" s="7" t="inlineStr">
        <is>
          <t>Fracionado / Amostra &lt;= 0,3 KG</t>
        </is>
      </c>
      <c r="G425" s="7" t="inlineStr">
        <is>
          <t>KG</t>
        </is>
      </c>
      <c r="H425" s="17" t="n">
        <v>0.3</v>
      </c>
      <c r="I425" s="7" t="inlineStr">
        <is>
          <t>3105.90.90</t>
        </is>
      </c>
      <c r="J425" s="7" t="inlineStr">
        <is>
          <t>NÃO</t>
        </is>
      </c>
      <c r="K425" s="7" t="inlineStr">
        <is>
          <t>Embalagem Flexível — NÃO LAVÁVEL (Perfurar e usar saco ABNT)</t>
        </is>
      </c>
      <c r="L425" s="7" t="inlineStr">
        <is>
          <t>SIM (Saco Transparente ABNT)</t>
        </is>
      </c>
      <c r="M425" s="7" t="inlineStr">
        <is>
          <t>0,00% (Lei nº 10.925/2004)</t>
        </is>
      </c>
      <c r="N425" s="7" t="inlineStr">
        <is>
          <t>0,925% (LC nº 224/2025)</t>
        </is>
      </c>
      <c r="O425" s="7" t="inlineStr">
        <is>
          <t>0,365% (LC nº 224/2025)</t>
        </is>
      </c>
      <c r="P425" s="7" t="inlineStr">
        <is>
          <t>CST 06</t>
        </is>
      </c>
      <c r="Q425" s="7" t="inlineStr">
        <is>
          <t>CST 73</t>
        </is>
      </c>
      <c r="R425" s="7" t="inlineStr">
        <is>
          <t>Redução de 60% + Diferimento (Art. 138 e Anexo IX LC 214/2025)</t>
        </is>
      </c>
    </row>
    <row r="426" ht="22" customHeight="1">
      <c r="A426" s="12" t="inlineStr">
        <is>
          <t>SKU-0422</t>
        </is>
      </c>
      <c r="B426" s="11" t="n">
        <v>308</v>
      </c>
      <c r="C426" s="13" t="inlineStr">
        <is>
          <t>SIPEAGRO (UF-XXXXX)</t>
        </is>
      </c>
      <c r="D426" s="14" t="inlineStr">
        <is>
          <t>AGCN MANGANES</t>
        </is>
      </c>
      <c r="E426" s="13" t="inlineStr">
        <is>
          <t>Embalagem Comercial do Produto</t>
        </is>
      </c>
      <c r="F426" s="13" t="inlineStr">
        <is>
          <t>1X10L (10 L)</t>
        </is>
      </c>
      <c r="G426" s="13" t="inlineStr">
        <is>
          <t>L</t>
        </is>
      </c>
      <c r="H426" s="15" t="n">
        <v>10</v>
      </c>
      <c r="I426" s="13" t="inlineStr">
        <is>
          <t>3105.90.90</t>
        </is>
      </c>
      <c r="J426" s="13" t="inlineStr">
        <is>
          <t>NÃO</t>
        </is>
      </c>
      <c r="K426" s="13" t="inlineStr">
        <is>
          <t>Embalagem de Insumo Nutricional/Biológico (Logística Reversa)</t>
        </is>
      </c>
      <c r="L426" s="13" t="inlineStr">
        <is>
          <t>NÃO</t>
        </is>
      </c>
      <c r="M426" s="13" t="inlineStr">
        <is>
          <t>0,00% (Lei nº 10.925/2004)</t>
        </is>
      </c>
      <c r="N426" s="13" t="inlineStr">
        <is>
          <t>0,925% (LC nº 224/2025)</t>
        </is>
      </c>
      <c r="O426" s="13" t="inlineStr">
        <is>
          <t>0,365% (LC nº 224/2025)</t>
        </is>
      </c>
      <c r="P426" s="13" t="inlineStr">
        <is>
          <t>CST 06</t>
        </is>
      </c>
      <c r="Q426" s="13" t="inlineStr">
        <is>
          <t>CST 73</t>
        </is>
      </c>
      <c r="R426" s="13" t="inlineStr">
        <is>
          <t>Redução de 60% + Diferimento (Art. 138 e Anexo IX LC 214/2025)</t>
        </is>
      </c>
    </row>
    <row r="427" ht="22" customHeight="1">
      <c r="A427" s="6" t="inlineStr">
        <is>
          <t>SKU-0423</t>
        </is>
      </c>
      <c r="B427" s="5" t="n">
        <v>308</v>
      </c>
      <c r="C427" s="7" t="inlineStr">
        <is>
          <t>SIPEAGRO (UF-XXXXX)</t>
        </is>
      </c>
      <c r="D427" s="8" t="inlineStr">
        <is>
          <t>AGCN MANGANES</t>
        </is>
      </c>
      <c r="E427" s="7" t="inlineStr">
        <is>
          <t>Faixa 1 TIPI (Apresentação &lt;= 300 g ou mL)</t>
        </is>
      </c>
      <c r="F427" s="7" t="inlineStr">
        <is>
          <t>Fracionado / Amostra &lt;= 0,3 L</t>
        </is>
      </c>
      <c r="G427" s="7" t="inlineStr">
        <is>
          <t>L</t>
        </is>
      </c>
      <c r="H427" s="17" t="n">
        <v>0.3</v>
      </c>
      <c r="I427" s="7" t="inlineStr">
        <is>
          <t>3105.90.90</t>
        </is>
      </c>
      <c r="J427" s="7" t="inlineStr">
        <is>
          <t>NÃO</t>
        </is>
      </c>
      <c r="K427" s="7" t="inlineStr">
        <is>
          <t>Embalagem de Insumo Nutricional/Biológico (Logística Reversa)</t>
        </is>
      </c>
      <c r="L427" s="7" t="inlineStr">
        <is>
          <t>NÃO</t>
        </is>
      </c>
      <c r="M427" s="7" t="inlineStr">
        <is>
          <t>0,00% (Lei nº 10.925/2004)</t>
        </is>
      </c>
      <c r="N427" s="7" t="inlineStr">
        <is>
          <t>0,925% (LC nº 224/2025)</t>
        </is>
      </c>
      <c r="O427" s="7" t="inlineStr">
        <is>
          <t>0,365% (LC nº 224/2025)</t>
        </is>
      </c>
      <c r="P427" s="7" t="inlineStr">
        <is>
          <t>CST 06</t>
        </is>
      </c>
      <c r="Q427" s="7" t="inlineStr">
        <is>
          <t>CST 73</t>
        </is>
      </c>
      <c r="R427" s="7" t="inlineStr">
        <is>
          <t>Redução de 60% + Diferimento (Art. 138 e Anexo IX LC 214/2025)</t>
        </is>
      </c>
    </row>
    <row r="428" ht="22" customHeight="1">
      <c r="A428" s="12" t="inlineStr">
        <is>
          <t>SKU-0424</t>
        </is>
      </c>
      <c r="B428" s="11" t="n">
        <v>309</v>
      </c>
      <c r="C428" s="13" t="inlineStr">
        <is>
          <t>Nº 11819</t>
        </is>
      </c>
      <c r="D428" s="14" t="inlineStr">
        <is>
          <t>MANCOZEB 800 WP AGCN</t>
        </is>
      </c>
      <c r="E428" s="13" t="inlineStr">
        <is>
          <t>Embalagem Comercial do Produto</t>
        </is>
      </c>
      <c r="F428" s="13" t="inlineStr">
        <is>
          <t>1X25KG (25 KG)</t>
        </is>
      </c>
      <c r="G428" s="13" t="inlineStr">
        <is>
          <t>KG</t>
        </is>
      </c>
      <c r="H428" s="15" t="n">
        <v>25</v>
      </c>
      <c r="I428" s="13" t="inlineStr">
        <is>
          <t>3808.92.93</t>
        </is>
      </c>
      <c r="J428" s="13" t="inlineStr">
        <is>
          <t>NÃO</t>
        </is>
      </c>
      <c r="K428" s="13" t="inlineStr">
        <is>
          <t>Embalagem Flexível — NÃO LAVÁVEL (Perfurar e usar saco ABNT)</t>
        </is>
      </c>
      <c r="L428" s="13" t="inlineStr">
        <is>
          <t>SIM (Saco Transparente ABNT)</t>
        </is>
      </c>
      <c r="M428" s="13" t="inlineStr">
        <is>
          <t>0,00% (Lei nº 10.925/2004)</t>
        </is>
      </c>
      <c r="N428" s="13" t="inlineStr">
        <is>
          <t>0,925% (LC nº 224/2025)</t>
        </is>
      </c>
      <c r="O428" s="13" t="inlineStr">
        <is>
          <t>0,365% (LC nº 224/2025)</t>
        </is>
      </c>
      <c r="P428" s="13" t="inlineStr">
        <is>
          <t>CST 06</t>
        </is>
      </c>
      <c r="Q428" s="13" t="inlineStr">
        <is>
          <t>CST 73</t>
        </is>
      </c>
      <c r="R428" s="13" t="inlineStr">
        <is>
          <t>Redução de 60% + Diferimento (Art. 138 e Anexo IX LC 214/2025)</t>
        </is>
      </c>
    </row>
    <row r="429" ht="22" customHeight="1">
      <c r="A429" s="6" t="inlineStr">
        <is>
          <t>SKU-0425</t>
        </is>
      </c>
      <c r="B429" s="5" t="n">
        <v>310</v>
      </c>
      <c r="C429" s="7" t="inlineStr">
        <is>
          <t>Nº 11819</t>
        </is>
      </c>
      <c r="D429" s="8" t="inlineStr">
        <is>
          <t>MANCOZEB 800 WP AGCN</t>
        </is>
      </c>
      <c r="E429" s="7" t="inlineStr">
        <is>
          <t>Embalagem Comercial do Produto</t>
        </is>
      </c>
      <c r="F429" s="7" t="inlineStr">
        <is>
          <t>1X10KG (10 KG)</t>
        </is>
      </c>
      <c r="G429" s="7" t="inlineStr">
        <is>
          <t>KG</t>
        </is>
      </c>
      <c r="H429" s="9" t="n">
        <v>10</v>
      </c>
      <c r="I429" s="7" t="inlineStr">
        <is>
          <t>3808.92.93</t>
        </is>
      </c>
      <c r="J429" s="7" t="inlineStr">
        <is>
          <t>NÃO</t>
        </is>
      </c>
      <c r="K429" s="7" t="inlineStr">
        <is>
          <t>Embalagem Flexível — NÃO LAVÁVEL (Perfurar e usar saco ABNT)</t>
        </is>
      </c>
      <c r="L429" s="7" t="inlineStr">
        <is>
          <t>SIM (Saco Transparente ABNT)</t>
        </is>
      </c>
      <c r="M429" s="7" t="inlineStr">
        <is>
          <t>0,00% (Lei nº 10.925/2004)</t>
        </is>
      </c>
      <c r="N429" s="7" t="inlineStr">
        <is>
          <t>0,925% (LC nº 224/2025)</t>
        </is>
      </c>
      <c r="O429" s="7" t="inlineStr">
        <is>
          <t>0,365% (LC nº 224/2025)</t>
        </is>
      </c>
      <c r="P429" s="7" t="inlineStr">
        <is>
          <t>CST 06</t>
        </is>
      </c>
      <c r="Q429" s="7" t="inlineStr">
        <is>
          <t>CST 73</t>
        </is>
      </c>
      <c r="R429" s="7" t="inlineStr">
        <is>
          <t>Redução de 60% + Diferimento (Art. 138 e Anexo IX LC 214/2025)</t>
        </is>
      </c>
    </row>
    <row r="430" ht="22" customHeight="1">
      <c r="A430" s="12" t="inlineStr">
        <is>
          <t>SKU-0426</t>
        </is>
      </c>
      <c r="B430" s="11" t="n">
        <v>311</v>
      </c>
      <c r="C430" s="13" t="inlineStr">
        <is>
          <t>ISENTO (ATO 104/2017)</t>
        </is>
      </c>
      <c r="D430" s="14" t="inlineStr">
        <is>
          <t>AGRICOIL MINERAL YPF 100</t>
        </is>
      </c>
      <c r="E430" s="13" t="inlineStr">
        <is>
          <t>Embalagem Comercial do Produto</t>
        </is>
      </c>
      <c r="F430" s="13" t="inlineStr">
        <is>
          <t>1X1000L (1000 L)</t>
        </is>
      </c>
      <c r="G430" s="13" t="inlineStr">
        <is>
          <t>L</t>
        </is>
      </c>
      <c r="H430" s="15" t="n">
        <v>1000</v>
      </c>
      <c r="I430" s="13" t="inlineStr">
        <is>
          <t>3402.90.29</t>
        </is>
      </c>
      <c r="J430" s="13" t="inlineStr">
        <is>
          <t>NÃO</t>
        </is>
      </c>
      <c r="K430" s="13" t="inlineStr">
        <is>
          <t>Embalagem Rígida — LAVÁVEL (Obrigatória Tríplice Lavagem ou Pressão)</t>
        </is>
      </c>
      <c r="L430" s="13" t="inlineStr">
        <is>
          <t>NÃO</t>
        </is>
      </c>
      <c r="M430" s="13" t="inlineStr">
        <is>
          <t>9,25% Real | 3,65% Presumido</t>
        </is>
      </c>
      <c r="N430" s="13" t="inlineStr">
        <is>
          <t>9,250% (Integral)</t>
        </is>
      </c>
      <c r="O430" s="13" t="inlineStr">
        <is>
          <t>3,650% (Integral)</t>
        </is>
      </c>
      <c r="P430" s="13" t="inlineStr">
        <is>
          <t>CST 01</t>
        </is>
      </c>
      <c r="Q430" s="13" t="inlineStr">
        <is>
          <t>CST 50</t>
        </is>
      </c>
      <c r="R430" s="13" t="inlineStr">
        <is>
          <t>Alíquota Padrão Integral (LC 214/2025)</t>
        </is>
      </c>
    </row>
    <row r="431" ht="22" customHeight="1">
      <c r="A431" s="6" t="inlineStr">
        <is>
          <t>SKU-0427</t>
        </is>
      </c>
      <c r="B431" s="5" t="n">
        <v>312</v>
      </c>
      <c r="C431" s="7" t="inlineStr">
        <is>
          <t>SIPEAGRO (UF-XXXXX)</t>
        </is>
      </c>
      <c r="D431" s="8" t="inlineStr">
        <is>
          <t>AGCN K20-10,0% MG-2,0% S-11, 5% NI-0,4% (AMOSTRA)</t>
        </is>
      </c>
      <c r="E431" s="7" t="inlineStr">
        <is>
          <t>Embalagem Comercial do Produto</t>
        </is>
      </c>
      <c r="F431" s="7" t="inlineStr">
        <is>
          <t>AMOSTRA (&lt;= 1 KG/L) (1 KG)</t>
        </is>
      </c>
      <c r="G431" s="7" t="inlineStr">
        <is>
          <t>KG</t>
        </is>
      </c>
      <c r="H431" s="17" t="n">
        <v>0.2</v>
      </c>
      <c r="I431" s="7" t="inlineStr">
        <is>
          <t>3105.90.90</t>
        </is>
      </c>
      <c r="J431" s="7" t="inlineStr">
        <is>
          <t>NÃO</t>
        </is>
      </c>
      <c r="K431" s="7" t="inlineStr">
        <is>
          <t>Embalagem de Insumo Nutricional/Biológico (Logística Reversa)</t>
        </is>
      </c>
      <c r="L431" s="7" t="inlineStr">
        <is>
          <t>NÃO</t>
        </is>
      </c>
      <c r="M431" s="7" t="inlineStr">
        <is>
          <t>0,00% (Lei nº 10.925/2004)</t>
        </is>
      </c>
      <c r="N431" s="7" t="inlineStr">
        <is>
          <t>0,925% (LC nº 224/2025)</t>
        </is>
      </c>
      <c r="O431" s="7" t="inlineStr">
        <is>
          <t>0,365% (LC nº 224/2025)</t>
        </is>
      </c>
      <c r="P431" s="7" t="inlineStr">
        <is>
          <t>CST 06</t>
        </is>
      </c>
      <c r="Q431" s="7" t="inlineStr">
        <is>
          <t>CST 73</t>
        </is>
      </c>
      <c r="R431" s="7" t="inlineStr">
        <is>
          <t>Redução de 60% + Diferimento (Art. 138 e Anexo IX LC 214/2025)</t>
        </is>
      </c>
    </row>
    <row r="432" ht="22" customHeight="1">
      <c r="A432" s="12" t="inlineStr">
        <is>
          <t>SKU-0428</t>
        </is>
      </c>
      <c r="B432" s="11" t="n">
        <v>312</v>
      </c>
      <c r="C432" s="13" t="inlineStr">
        <is>
          <t>SIPEAGRO (UF-XXXXX)</t>
        </is>
      </c>
      <c r="D432" s="14" t="inlineStr">
        <is>
          <t>AGCN K20-10,0% MG-2,0% S-11, 5% NI-0,4% (AMOSTRA)</t>
        </is>
      </c>
      <c r="E432" s="13" t="inlineStr">
        <is>
          <t>Faixa 1 TIPI (Apresentação &lt;= 300 g ou mL)</t>
        </is>
      </c>
      <c r="F432" s="13" t="inlineStr">
        <is>
          <t>Fracionado / Amostra &lt;= 0,3 KG</t>
        </is>
      </c>
      <c r="G432" s="13" t="inlineStr">
        <is>
          <t>KG</t>
        </is>
      </c>
      <c r="H432" s="18" t="n">
        <v>0.3</v>
      </c>
      <c r="I432" s="13" t="inlineStr">
        <is>
          <t>2833.29.70</t>
        </is>
      </c>
      <c r="J432" s="13" t="inlineStr">
        <is>
          <t>NÃO</t>
        </is>
      </c>
      <c r="K432" s="13" t="inlineStr">
        <is>
          <t>Embalagem de Insumo Nutricional/Biológico (Logística Reversa)</t>
        </is>
      </c>
      <c r="L432" s="13" t="inlineStr">
        <is>
          <t>NÃO</t>
        </is>
      </c>
      <c r="M432" s="13" t="inlineStr">
        <is>
          <t>0,00% (Lei nº 10.925/2004)</t>
        </is>
      </c>
      <c r="N432" s="13" t="inlineStr">
        <is>
          <t>0,925% (LC nº 224/2025)</t>
        </is>
      </c>
      <c r="O432" s="13" t="inlineStr">
        <is>
          <t>0,365% (LC nº 224/2025)</t>
        </is>
      </c>
      <c r="P432" s="13" t="inlineStr">
        <is>
          <t>CST 06</t>
        </is>
      </c>
      <c r="Q432" s="13" t="inlineStr">
        <is>
          <t>CST 73</t>
        </is>
      </c>
      <c r="R432" s="13" t="inlineStr">
        <is>
          <t>Redução de 60% + Diferimento (Art. 138 e Anexo IX LC 214/2025)</t>
        </is>
      </c>
    </row>
    <row r="433" ht="22" customHeight="1">
      <c r="A433" s="6" t="inlineStr">
        <is>
          <t>SKU-0429</t>
        </is>
      </c>
      <c r="B433" s="5" t="n">
        <v>313</v>
      </c>
      <c r="C433" s="7" t="inlineStr">
        <is>
          <t>Nº 18220</t>
        </is>
      </c>
      <c r="D433" s="8" t="inlineStr">
        <is>
          <t>TORA</t>
        </is>
      </c>
      <c r="E433" s="7" t="inlineStr">
        <is>
          <t>Embalagem Comercial do Produto</t>
        </is>
      </c>
      <c r="F433" s="7" t="inlineStr">
        <is>
          <t>1X20L (20 L)</t>
        </is>
      </c>
      <c r="G433" s="7" t="inlineStr">
        <is>
          <t>L</t>
        </is>
      </c>
      <c r="H433" s="9" t="n">
        <v>20</v>
      </c>
      <c r="I433" s="7" t="inlineStr">
        <is>
          <t>3808.69.90</t>
        </is>
      </c>
      <c r="J433" s="7" t="inlineStr">
        <is>
          <t>SIM</t>
        </is>
      </c>
      <c r="K433" s="7" t="inlineStr">
        <is>
          <t>Embalagem Rígida — LAVÁVEL (Obrigatória Tríplice Lavagem ou Pressão)</t>
        </is>
      </c>
      <c r="L433" s="7" t="inlineStr">
        <is>
          <t>NÃO</t>
        </is>
      </c>
      <c r="M433" s="7" t="inlineStr">
        <is>
          <t>0,00% (Lei nº 10.925/2004)</t>
        </is>
      </c>
      <c r="N433" s="7" t="inlineStr">
        <is>
          <t>0,925% (LC nº 224/2025)</t>
        </is>
      </c>
      <c r="O433" s="7" t="inlineStr">
        <is>
          <t>0,365% (LC nº 224/2025)</t>
        </is>
      </c>
      <c r="P433" s="7" t="inlineStr">
        <is>
          <t>CST 06</t>
        </is>
      </c>
      <c r="Q433" s="7" t="inlineStr">
        <is>
          <t>CST 73</t>
        </is>
      </c>
      <c r="R433" s="7" t="inlineStr">
        <is>
          <t>Redução de 60% + Diferimento (Art. 138 e Anexo IX LC 214/2025)</t>
        </is>
      </c>
    </row>
    <row r="434" ht="22" customHeight="1">
      <c r="A434" s="12" t="inlineStr">
        <is>
          <t>SKU-0430</t>
        </is>
      </c>
      <c r="B434" s="11" t="n">
        <v>313</v>
      </c>
      <c r="C434" s="13" t="inlineStr">
        <is>
          <t>Nº 18220</t>
        </is>
      </c>
      <c r="D434" s="14" t="inlineStr">
        <is>
          <t>TORA</t>
        </is>
      </c>
      <c r="E434" s="13" t="inlineStr">
        <is>
          <t>Faixa 1 TIPI (Apresentação &lt;= 300 g ou mL)</t>
        </is>
      </c>
      <c r="F434" s="13" t="inlineStr">
        <is>
          <t>Fracionado / Amostra &lt;= 0,3 L</t>
        </is>
      </c>
      <c r="G434" s="13" t="inlineStr">
        <is>
          <t>L</t>
        </is>
      </c>
      <c r="H434" s="18" t="n">
        <v>0.3</v>
      </c>
      <c r="I434" s="13" t="inlineStr">
        <is>
          <t>3808.61.00</t>
        </is>
      </c>
      <c r="J434" s="13" t="inlineStr">
        <is>
          <t>SIM</t>
        </is>
      </c>
      <c r="K434" s="13" t="inlineStr">
        <is>
          <t>Embalagem Rígida — LAVÁVEL (Obrigatória Tríplice Lavagem ou Pressão)</t>
        </is>
      </c>
      <c r="L434" s="13" t="inlineStr">
        <is>
          <t>NÃO</t>
        </is>
      </c>
      <c r="M434" s="13" t="inlineStr">
        <is>
          <t>0,00% (Lei nº 10.925/2004)</t>
        </is>
      </c>
      <c r="N434" s="13" t="inlineStr">
        <is>
          <t>0,925% (LC nº 224/2025)</t>
        </is>
      </c>
      <c r="O434" s="13" t="inlineStr">
        <is>
          <t>0,365% (LC nº 224/2025)</t>
        </is>
      </c>
      <c r="P434" s="13" t="inlineStr">
        <is>
          <t>CST 06</t>
        </is>
      </c>
      <c r="Q434" s="13" t="inlineStr">
        <is>
          <t>CST 73</t>
        </is>
      </c>
      <c r="R434" s="13" t="inlineStr">
        <is>
          <t>Redução de 60% + Diferimento (Art. 138 e Anexo IX LC 214/2025)</t>
        </is>
      </c>
    </row>
    <row r="435" ht="22" customHeight="1">
      <c r="A435" s="6" t="inlineStr">
        <is>
          <t>SKU-0431</t>
        </is>
      </c>
      <c r="B435" s="5" t="n">
        <v>314</v>
      </c>
      <c r="C435" s="7" t="inlineStr">
        <is>
          <t>Nº 1924</t>
        </is>
      </c>
      <c r="D435" s="8" t="inlineStr">
        <is>
          <t>FORCEPS</t>
        </is>
      </c>
      <c r="E435" s="7" t="inlineStr">
        <is>
          <t>Embalagem Comercial do Produto</t>
        </is>
      </c>
      <c r="F435" s="7" t="inlineStr">
        <is>
          <t>2X10KG (10 KG)</t>
        </is>
      </c>
      <c r="G435" s="7" t="inlineStr">
        <is>
          <t>KG</t>
        </is>
      </c>
      <c r="H435" s="9" t="n">
        <v>10</v>
      </c>
      <c r="I435" s="7" t="inlineStr">
        <is>
          <t>3808.69.90</t>
        </is>
      </c>
      <c r="J435" s="7" t="inlineStr">
        <is>
          <t>SIM</t>
        </is>
      </c>
      <c r="K435" s="7" t="inlineStr">
        <is>
          <t>Embalagem Flexível — NÃO LAVÁVEL (Perfurar e usar saco ABNT)</t>
        </is>
      </c>
      <c r="L435" s="7" t="inlineStr">
        <is>
          <t>SIM (Saco Transparente ABNT)</t>
        </is>
      </c>
      <c r="M435" s="7" t="inlineStr">
        <is>
          <t>0,00% (Lei nº 10.925/2004)</t>
        </is>
      </c>
      <c r="N435" s="7" t="inlineStr">
        <is>
          <t>0,925% (LC nº 224/2025)</t>
        </is>
      </c>
      <c r="O435" s="7" t="inlineStr">
        <is>
          <t>0,365% (LC nº 224/2025)</t>
        </is>
      </c>
      <c r="P435" s="7" t="inlineStr">
        <is>
          <t>CST 06</t>
        </is>
      </c>
      <c r="Q435" s="7" t="inlineStr">
        <is>
          <t>CST 73</t>
        </is>
      </c>
      <c r="R435" s="7" t="inlineStr">
        <is>
          <t>Redução de 60% + Diferimento (Art. 138 e Anexo IX LC 214/2025)</t>
        </is>
      </c>
    </row>
    <row r="436" ht="22" customHeight="1">
      <c r="A436" s="12" t="inlineStr">
        <is>
          <t>SKU-0432</t>
        </is>
      </c>
      <c r="B436" s="11" t="n">
        <v>314</v>
      </c>
      <c r="C436" s="13" t="inlineStr">
        <is>
          <t>Nº 1924</t>
        </is>
      </c>
      <c r="D436" s="14" t="inlineStr">
        <is>
          <t>FORCEPS</t>
        </is>
      </c>
      <c r="E436" s="13" t="inlineStr">
        <is>
          <t>Faixa 1 TIPI (Apresentação &lt;= 300 g ou mL)</t>
        </is>
      </c>
      <c r="F436" s="13" t="inlineStr">
        <is>
          <t>Fracionado / Amostra &lt;= 0,3 KG</t>
        </is>
      </c>
      <c r="G436" s="13" t="inlineStr">
        <is>
          <t>KG</t>
        </is>
      </c>
      <c r="H436" s="18" t="n">
        <v>0.3</v>
      </c>
      <c r="I436" s="13" t="inlineStr">
        <is>
          <t>3808.61.00</t>
        </is>
      </c>
      <c r="J436" s="13" t="inlineStr">
        <is>
          <t>SIM</t>
        </is>
      </c>
      <c r="K436" s="13" t="inlineStr">
        <is>
          <t>Embalagem Flexível — NÃO LAVÁVEL (Perfurar e usar saco ABNT)</t>
        </is>
      </c>
      <c r="L436" s="13" t="inlineStr">
        <is>
          <t>SIM (Saco Transparente ABNT)</t>
        </is>
      </c>
      <c r="M436" s="13" t="inlineStr">
        <is>
          <t>0,00% (Lei nº 10.925/2004)</t>
        </is>
      </c>
      <c r="N436" s="13" t="inlineStr">
        <is>
          <t>0,925% (LC nº 224/2025)</t>
        </is>
      </c>
      <c r="O436" s="13" t="inlineStr">
        <is>
          <t>0,365% (LC nº 224/2025)</t>
        </is>
      </c>
      <c r="P436" s="13" t="inlineStr">
        <is>
          <t>CST 06</t>
        </is>
      </c>
      <c r="Q436" s="13" t="inlineStr">
        <is>
          <t>CST 73</t>
        </is>
      </c>
      <c r="R436" s="13" t="inlineStr">
        <is>
          <t>Redução de 60% + Diferimento (Art. 138 e Anexo IX LC 214/2025)</t>
        </is>
      </c>
    </row>
    <row r="437" ht="22" customHeight="1">
      <c r="A437" s="6" t="inlineStr">
        <is>
          <t>SKU-0433</t>
        </is>
      </c>
      <c r="B437" s="5" t="n">
        <v>315</v>
      </c>
      <c r="C437" s="7" t="inlineStr">
        <is>
          <t>Nº 2721</t>
        </is>
      </c>
      <c r="D437" s="8" t="inlineStr">
        <is>
          <t>CLETODIM 240 EC PROVENTIS</t>
        </is>
      </c>
      <c r="E437" s="7" t="inlineStr">
        <is>
          <t>Embalagem Comercial do Produto</t>
        </is>
      </c>
      <c r="F437" s="7" t="inlineStr">
        <is>
          <t>1X20L (20 L)</t>
        </is>
      </c>
      <c r="G437" s="7" t="inlineStr">
        <is>
          <t>L</t>
        </is>
      </c>
      <c r="H437" s="9" t="n">
        <v>20</v>
      </c>
      <c r="I437" s="7" t="inlineStr">
        <is>
          <t>3808.93.29</t>
        </is>
      </c>
      <c r="J437" s="7" t="inlineStr">
        <is>
          <t>NÃO</t>
        </is>
      </c>
      <c r="K437" s="7" t="inlineStr">
        <is>
          <t>Embalagem Rígida — LAVÁVEL (Obrigatória Tríplice Lavagem ou Pressão)</t>
        </is>
      </c>
      <c r="L437" s="7" t="inlineStr">
        <is>
          <t>NÃO</t>
        </is>
      </c>
      <c r="M437" s="7" t="inlineStr">
        <is>
          <t>0,00% (Lei nº 10.925/2004)</t>
        </is>
      </c>
      <c r="N437" s="7" t="inlineStr">
        <is>
          <t>0,925% (LC nº 224/2025)</t>
        </is>
      </c>
      <c r="O437" s="7" t="inlineStr">
        <is>
          <t>0,365% (LC nº 224/2025)</t>
        </is>
      </c>
      <c r="P437" s="7" t="inlineStr">
        <is>
          <t>CST 06</t>
        </is>
      </c>
      <c r="Q437" s="7" t="inlineStr">
        <is>
          <t>CST 73</t>
        </is>
      </c>
      <c r="R437" s="7" t="inlineStr">
        <is>
          <t>Redução de 60% + Diferimento (Art. 138 e Anexo IX LC 214/2025)</t>
        </is>
      </c>
    </row>
    <row r="438" ht="22" customHeight="1">
      <c r="A438" s="12" t="inlineStr">
        <is>
          <t>SKU-0434</t>
        </is>
      </c>
      <c r="B438" s="11" t="n">
        <v>316</v>
      </c>
      <c r="C438" s="13" t="inlineStr">
        <is>
          <t>ISENTO (ATO 104/2017)</t>
        </is>
      </c>
      <c r="D438" s="14" t="inlineStr">
        <is>
          <t>AGRICOIL VEGETAL MV</t>
        </is>
      </c>
      <c r="E438" s="13" t="inlineStr">
        <is>
          <t>Embalagem Comercial do Produto</t>
        </is>
      </c>
      <c r="F438" s="13" t="inlineStr">
        <is>
          <t>1X20L (20 L)</t>
        </is>
      </c>
      <c r="G438" s="13" t="inlineStr">
        <is>
          <t>L</t>
        </is>
      </c>
      <c r="H438" s="15" t="n">
        <v>20</v>
      </c>
      <c r="I438" s="13" t="inlineStr">
        <is>
          <t>3402.90.29</t>
        </is>
      </c>
      <c r="J438" s="13" t="inlineStr">
        <is>
          <t>NÃO</t>
        </is>
      </c>
      <c r="K438" s="13" t="inlineStr">
        <is>
          <t>Embalagem Rígida — LAVÁVEL (Obrigatória Tríplice Lavagem ou Pressão)</t>
        </is>
      </c>
      <c r="L438" s="13" t="inlineStr">
        <is>
          <t>NÃO</t>
        </is>
      </c>
      <c r="M438" s="13" t="inlineStr">
        <is>
          <t>9,25% Real | 3,65% Presumido</t>
        </is>
      </c>
      <c r="N438" s="13" t="inlineStr">
        <is>
          <t>9,250% (Integral)</t>
        </is>
      </c>
      <c r="O438" s="13" t="inlineStr">
        <is>
          <t>3,650% (Integral)</t>
        </is>
      </c>
      <c r="P438" s="13" t="inlineStr">
        <is>
          <t>CST 01</t>
        </is>
      </c>
      <c r="Q438" s="13" t="inlineStr">
        <is>
          <t>CST 50</t>
        </is>
      </c>
      <c r="R438" s="13" t="inlineStr">
        <is>
          <t>Alíquota Padrão Integral (LC 214/2025)</t>
        </is>
      </c>
    </row>
    <row r="439" ht="22" customHeight="1">
      <c r="A439" s="6" t="inlineStr">
        <is>
          <t>SKU-0435</t>
        </is>
      </c>
      <c r="B439" s="5" t="n">
        <v>317</v>
      </c>
      <c r="C439" s="7" t="inlineStr">
        <is>
          <t>Nº 27717</t>
        </is>
      </c>
      <c r="D439" s="8" t="inlineStr">
        <is>
          <t>FIPRONIL 800 WG AGCN</t>
        </is>
      </c>
      <c r="E439" s="7" t="inlineStr">
        <is>
          <t>Embalagem Comercial do Produto</t>
        </is>
      </c>
      <c r="F439" s="7" t="inlineStr">
        <is>
          <t>10X1KG (1 KG)</t>
        </is>
      </c>
      <c r="G439" s="7" t="inlineStr">
        <is>
          <t>KG</t>
        </is>
      </c>
      <c r="H439" s="9" t="n">
        <v>1</v>
      </c>
      <c r="I439" s="7" t="inlineStr">
        <is>
          <t>3808.91.99</t>
        </is>
      </c>
      <c r="J439" s="7" t="inlineStr">
        <is>
          <t>NÃO</t>
        </is>
      </c>
      <c r="K439" s="7" t="inlineStr">
        <is>
          <t>Embalagem Flexível — NÃO LAVÁVEL (Perfurar e usar saco ABNT)</t>
        </is>
      </c>
      <c r="L439" s="7" t="inlineStr">
        <is>
          <t>SIM (Saco Transparente ABNT)</t>
        </is>
      </c>
      <c r="M439" s="7" t="inlineStr">
        <is>
          <t>0,00% (Lei nº 10.925/2004)</t>
        </is>
      </c>
      <c r="N439" s="7" t="inlineStr">
        <is>
          <t>0,925% (LC nº 224/2025)</t>
        </is>
      </c>
      <c r="O439" s="7" t="inlineStr">
        <is>
          <t>0,365% (LC nº 224/2025)</t>
        </is>
      </c>
      <c r="P439" s="7" t="inlineStr">
        <is>
          <t>CST 06</t>
        </is>
      </c>
      <c r="Q439" s="7" t="inlineStr">
        <is>
          <t>CST 73</t>
        </is>
      </c>
      <c r="R439" s="7" t="inlineStr">
        <is>
          <t>Redução de 60% + Diferimento (Art. 138 e Anexo IX LC 214/2025)</t>
        </is>
      </c>
    </row>
    <row r="440" ht="22" customHeight="1">
      <c r="A440" s="12" t="inlineStr">
        <is>
          <t>SKU-0436</t>
        </is>
      </c>
      <c r="B440" s="11" t="n">
        <v>318</v>
      </c>
      <c r="C440" s="13" t="inlineStr">
        <is>
          <t>SIPEAGRO (UF-XXXXX)</t>
        </is>
      </c>
      <c r="D440" s="14" t="inlineStr">
        <is>
          <t>QUALY SULFATO MAGNESIO 16 - E</t>
        </is>
      </c>
      <c r="E440" s="13" t="inlineStr">
        <is>
          <t>Embalagem Comercial do Produto</t>
        </is>
      </c>
      <c r="F440" s="13" t="inlineStr">
        <is>
          <t>1X25KG (25 KG)</t>
        </is>
      </c>
      <c r="G440" s="13" t="inlineStr">
        <is>
          <t>KG</t>
        </is>
      </c>
      <c r="H440" s="15" t="n">
        <v>25</v>
      </c>
      <c r="I440" s="13" t="inlineStr">
        <is>
          <t>3105.90.90</t>
        </is>
      </c>
      <c r="J440" s="13" t="inlineStr">
        <is>
          <t>NÃO</t>
        </is>
      </c>
      <c r="K440" s="13" t="inlineStr">
        <is>
          <t>Embalagem de Insumo Nutricional/Biológico (Logística Reversa)</t>
        </is>
      </c>
      <c r="L440" s="13" t="inlineStr">
        <is>
          <t>NÃO</t>
        </is>
      </c>
      <c r="M440" s="13" t="inlineStr">
        <is>
          <t>0,00% (Lei nº 10.925/2004)</t>
        </is>
      </c>
      <c r="N440" s="13" t="inlineStr">
        <is>
          <t>0,925% (LC nº 224/2025)</t>
        </is>
      </c>
      <c r="O440" s="13" t="inlineStr">
        <is>
          <t>0,365% (LC nº 224/2025)</t>
        </is>
      </c>
      <c r="P440" s="13" t="inlineStr">
        <is>
          <t>CST 06</t>
        </is>
      </c>
      <c r="Q440" s="13" t="inlineStr">
        <is>
          <t>CST 73</t>
        </is>
      </c>
      <c r="R440" s="13" t="inlineStr">
        <is>
          <t>Redução de 60% + Diferimento (Art. 138 e Anexo IX LC 214/2025)</t>
        </is>
      </c>
    </row>
    <row r="441" ht="22" customHeight="1">
      <c r="A441" s="6" t="inlineStr">
        <is>
          <t>SKU-0437</t>
        </is>
      </c>
      <c r="B441" s="5" t="n">
        <v>318</v>
      </c>
      <c r="C441" s="7" t="inlineStr">
        <is>
          <t>SIPEAGRO (UF-XXXXX)</t>
        </is>
      </c>
      <c r="D441" s="8" t="inlineStr">
        <is>
          <t>QUALY SULFATO MAGNESIO 16 - E</t>
        </is>
      </c>
      <c r="E441" s="7" t="inlineStr">
        <is>
          <t>Faixa 1 TIPI (Apresentação &lt;= 300 g ou mL)</t>
        </is>
      </c>
      <c r="F441" s="7" t="inlineStr">
        <is>
          <t>Fracionado / Amostra &lt;= 0,3 KG</t>
        </is>
      </c>
      <c r="G441" s="7" t="inlineStr">
        <is>
          <t>KG</t>
        </is>
      </c>
      <c r="H441" s="17" t="n">
        <v>0.3</v>
      </c>
      <c r="I441" s="7" t="inlineStr">
        <is>
          <t>2833.29.70</t>
        </is>
      </c>
      <c r="J441" s="7" t="inlineStr">
        <is>
          <t>NÃO</t>
        </is>
      </c>
      <c r="K441" s="7" t="inlineStr">
        <is>
          <t>Embalagem de Insumo Nutricional/Biológico (Logística Reversa)</t>
        </is>
      </c>
      <c r="L441" s="7" t="inlineStr">
        <is>
          <t>NÃO</t>
        </is>
      </c>
      <c r="M441" s="7" t="inlineStr">
        <is>
          <t>0,00% (Lei nº 10.925/2004)</t>
        </is>
      </c>
      <c r="N441" s="7" t="inlineStr">
        <is>
          <t>0,925% (LC nº 224/2025)</t>
        </is>
      </c>
      <c r="O441" s="7" t="inlineStr">
        <is>
          <t>0,365% (LC nº 224/2025)</t>
        </is>
      </c>
      <c r="P441" s="7" t="inlineStr">
        <is>
          <t>CST 06</t>
        </is>
      </c>
      <c r="Q441" s="7" t="inlineStr">
        <is>
          <t>CST 73</t>
        </is>
      </c>
      <c r="R441" s="7" t="inlineStr">
        <is>
          <t>Redução de 60% + Diferimento (Art. 138 e Anexo IX LC 214/2025)</t>
        </is>
      </c>
    </row>
    <row r="442" ht="22" customHeight="1">
      <c r="A442" s="12" t="inlineStr">
        <is>
          <t>SKU-0438</t>
        </is>
      </c>
      <c r="B442" s="11" t="n">
        <v>319</v>
      </c>
      <c r="C442" s="13" t="inlineStr">
        <is>
          <t>Nº 12621</t>
        </is>
      </c>
      <c r="D442" s="14" t="inlineStr">
        <is>
          <t>NADRAN 250</t>
        </is>
      </c>
      <c r="E442" s="13" t="inlineStr">
        <is>
          <t>Embalagem Comercial do Produto</t>
        </is>
      </c>
      <c r="F442" s="13" t="inlineStr">
        <is>
          <t>4X5L (5 L)</t>
        </is>
      </c>
      <c r="G442" s="13" t="inlineStr">
        <is>
          <t>L</t>
        </is>
      </c>
      <c r="H442" s="15" t="n">
        <v>5</v>
      </c>
      <c r="I442" s="13" t="inlineStr">
        <is>
          <t>3808.93.59</t>
        </is>
      </c>
      <c r="J442" s="13" t="inlineStr">
        <is>
          <t>NÃO</t>
        </is>
      </c>
      <c r="K442" s="13" t="inlineStr">
        <is>
          <t>Embalagem Rígida — LAVÁVEL (Obrigatória Tríplice Lavagem ou Pressão)</t>
        </is>
      </c>
      <c r="L442" s="13" t="inlineStr">
        <is>
          <t>NÃO</t>
        </is>
      </c>
      <c r="M442" s="13" t="inlineStr">
        <is>
          <t>0,00% (Lei nº 10.925/2004)</t>
        </is>
      </c>
      <c r="N442" s="13" t="inlineStr">
        <is>
          <t>0,925% (LC nº 224/2025)</t>
        </is>
      </c>
      <c r="O442" s="13" t="inlineStr">
        <is>
          <t>0,365% (LC nº 224/2025)</t>
        </is>
      </c>
      <c r="P442" s="13" t="inlineStr">
        <is>
          <t>CST 06</t>
        </is>
      </c>
      <c r="Q442" s="13" t="inlineStr">
        <is>
          <t>CST 73</t>
        </is>
      </c>
      <c r="R442" s="13" t="inlineStr">
        <is>
          <t>Redução de 60% + Diferimento (Art. 138 e Anexo IX LC 214/2025)</t>
        </is>
      </c>
    </row>
    <row r="443" ht="22" customHeight="1">
      <c r="A443" s="6" t="inlineStr">
        <is>
          <t>SKU-0439</t>
        </is>
      </c>
      <c r="B443" s="5" t="n">
        <v>319</v>
      </c>
      <c r="C443" s="7" t="inlineStr">
        <is>
          <t>Nº 12621</t>
        </is>
      </c>
      <c r="D443" s="8" t="inlineStr">
        <is>
          <t>NADRAN 250</t>
        </is>
      </c>
      <c r="E443" s="7" t="inlineStr">
        <is>
          <t>Faixa 1 TIPI (Apresentação &lt;= 300 g ou mL)</t>
        </is>
      </c>
      <c r="F443" s="7" t="inlineStr">
        <is>
          <t>Fracionado / Amostra &lt;= 0,3 L</t>
        </is>
      </c>
      <c r="G443" s="7" t="inlineStr">
        <is>
          <t>L</t>
        </is>
      </c>
      <c r="H443" s="17" t="n">
        <v>0.3</v>
      </c>
      <c r="I443" s="7" t="inlineStr">
        <is>
          <t>3808.93.49</t>
        </is>
      </c>
      <c r="J443" s="7" t="inlineStr">
        <is>
          <t>NÃO</t>
        </is>
      </c>
      <c r="K443" s="7" t="inlineStr">
        <is>
          <t>Embalagem Rígida — LAVÁVEL (Obrigatória Tríplice Lavagem ou Pressão)</t>
        </is>
      </c>
      <c r="L443" s="7" t="inlineStr">
        <is>
          <t>NÃO</t>
        </is>
      </c>
      <c r="M443" s="7" t="inlineStr">
        <is>
          <t>0,00% (Lei nº 10.925/2004)</t>
        </is>
      </c>
      <c r="N443" s="7" t="inlineStr">
        <is>
          <t>0,925% (LC nº 224/2025)</t>
        </is>
      </c>
      <c r="O443" s="7" t="inlineStr">
        <is>
          <t>0,365% (LC nº 224/2025)</t>
        </is>
      </c>
      <c r="P443" s="7" t="inlineStr">
        <is>
          <t>CST 06</t>
        </is>
      </c>
      <c r="Q443" s="7" t="inlineStr">
        <is>
          <t>CST 73</t>
        </is>
      </c>
      <c r="R443" s="7" t="inlineStr">
        <is>
          <t>Redução de 60% + Diferimento (Art. 138 e Anexo IX LC 214/2025)</t>
        </is>
      </c>
    </row>
    <row r="444" ht="22" customHeight="1">
      <c r="A444" s="12" t="inlineStr">
        <is>
          <t>SKU-0440</t>
        </is>
      </c>
      <c r="B444" s="11" t="n">
        <v>320</v>
      </c>
      <c r="C444" s="13" t="inlineStr">
        <is>
          <t>Nº 7723</t>
        </is>
      </c>
      <c r="D444" s="14" t="inlineStr">
        <is>
          <t>ALVOFIX</t>
        </is>
      </c>
      <c r="E444" s="13" t="inlineStr">
        <is>
          <t>Embalagem Comercial do Produto</t>
        </is>
      </c>
      <c r="F444" s="13" t="inlineStr">
        <is>
          <t>4X5L (5 L)</t>
        </is>
      </c>
      <c r="G444" s="13" t="inlineStr">
        <is>
          <t>L</t>
        </is>
      </c>
      <c r="H444" s="15" t="n">
        <v>5</v>
      </c>
      <c r="I444" s="13" t="inlineStr">
        <is>
          <t>3808.62.90</t>
        </is>
      </c>
      <c r="J444" s="13" t="inlineStr">
        <is>
          <t>SIM</t>
        </is>
      </c>
      <c r="K444" s="13" t="inlineStr">
        <is>
          <t>Embalagem Rígida — LAVÁVEL (Obrigatória Tríplice Lavagem ou Pressão)</t>
        </is>
      </c>
      <c r="L444" s="13" t="inlineStr">
        <is>
          <t>NÃO</t>
        </is>
      </c>
      <c r="M444" s="13" t="inlineStr">
        <is>
          <t>0,00% (Lei nº 10.925/2004)</t>
        </is>
      </c>
      <c r="N444" s="13" t="inlineStr">
        <is>
          <t>0,925% (LC nº 224/2025)</t>
        </is>
      </c>
      <c r="O444" s="13" t="inlineStr">
        <is>
          <t>0,365% (LC nº 224/2025)</t>
        </is>
      </c>
      <c r="P444" s="13" t="inlineStr">
        <is>
          <t>CST 06</t>
        </is>
      </c>
      <c r="Q444" s="13" t="inlineStr">
        <is>
          <t>CST 73</t>
        </is>
      </c>
      <c r="R444" s="13" t="inlineStr">
        <is>
          <t>Redução de 60% + Diferimento (Art. 138 e Anexo IX LC 214/2025)</t>
        </is>
      </c>
    </row>
    <row r="445" ht="22" customHeight="1">
      <c r="A445" s="6" t="inlineStr">
        <is>
          <t>SKU-0441</t>
        </is>
      </c>
      <c r="B445" s="5" t="n">
        <v>320</v>
      </c>
      <c r="C445" s="7" t="inlineStr">
        <is>
          <t>Nº 7723</t>
        </is>
      </c>
      <c r="D445" s="8" t="inlineStr">
        <is>
          <t>ALVOFIX</t>
        </is>
      </c>
      <c r="E445" s="7" t="inlineStr">
        <is>
          <t>Faixa 1 TIPI (Apresentação &lt;= 300 g ou mL)</t>
        </is>
      </c>
      <c r="F445" s="7" t="inlineStr">
        <is>
          <t>Fracionado / Amostra &lt;= 0,3 L</t>
        </is>
      </c>
      <c r="G445" s="7" t="inlineStr">
        <is>
          <t>L</t>
        </is>
      </c>
      <c r="H445" s="17" t="n">
        <v>0.3</v>
      </c>
      <c r="I445" s="7" t="inlineStr">
        <is>
          <t>3808.61.00</t>
        </is>
      </c>
      <c r="J445" s="7" t="inlineStr">
        <is>
          <t>SIM</t>
        </is>
      </c>
      <c r="K445" s="7" t="inlineStr">
        <is>
          <t>Embalagem Rígida — LAVÁVEL (Obrigatória Tríplice Lavagem ou Pressão)</t>
        </is>
      </c>
      <c r="L445" s="7" t="inlineStr">
        <is>
          <t>NÃO</t>
        </is>
      </c>
      <c r="M445" s="7" t="inlineStr">
        <is>
          <t>0,00% (Lei nº 10.925/2004)</t>
        </is>
      </c>
      <c r="N445" s="7" t="inlineStr">
        <is>
          <t>0,925% (LC nº 224/2025)</t>
        </is>
      </c>
      <c r="O445" s="7" t="inlineStr">
        <is>
          <t>0,365% (LC nº 224/2025)</t>
        </is>
      </c>
      <c r="P445" s="7" t="inlineStr">
        <is>
          <t>CST 06</t>
        </is>
      </c>
      <c r="Q445" s="7" t="inlineStr">
        <is>
          <t>CST 73</t>
        </is>
      </c>
      <c r="R445" s="7" t="inlineStr">
        <is>
          <t>Redução de 60% + Diferimento (Art. 138 e Anexo IX LC 214/2025)</t>
        </is>
      </c>
    </row>
    <row r="446" ht="22" customHeight="1">
      <c r="A446" s="12" t="inlineStr">
        <is>
          <t>SKU-0442</t>
        </is>
      </c>
      <c r="B446" s="11" t="n">
        <v>321</v>
      </c>
      <c r="C446" s="13" t="inlineStr">
        <is>
          <t>SIPEAGRO (UF-XXXXX)</t>
        </is>
      </c>
      <c r="D446" s="14" t="inlineStr">
        <is>
          <t>BIOLOGIC NEMA</t>
        </is>
      </c>
      <c r="E446" s="13" t="inlineStr">
        <is>
          <t>Embalagem Comercial do Produto</t>
        </is>
      </c>
      <c r="F446" s="13" t="inlineStr">
        <is>
          <t>1X1L (1 L)</t>
        </is>
      </c>
      <c r="G446" s="13" t="inlineStr">
        <is>
          <t>L</t>
        </is>
      </c>
      <c r="H446" s="15" t="n">
        <v>1</v>
      </c>
      <c r="I446" s="13" t="inlineStr">
        <is>
          <t>3808.99.95</t>
        </is>
      </c>
      <c r="J446" s="13" t="inlineStr">
        <is>
          <t>NÃO</t>
        </is>
      </c>
      <c r="K446" s="13" t="inlineStr">
        <is>
          <t>Embalagem Rígida — LAVÁVEL (Obrigatória Tríplice Lavagem ou Pressão)</t>
        </is>
      </c>
      <c r="L446" s="13" t="inlineStr">
        <is>
          <t>NÃO</t>
        </is>
      </c>
      <c r="M446" s="13" t="inlineStr">
        <is>
          <t>0,00% (Lei nº 10.925/2004)</t>
        </is>
      </c>
      <c r="N446" s="13" t="inlineStr">
        <is>
          <t>0,925% (LC nº 224/2025)</t>
        </is>
      </c>
      <c r="O446" s="13" t="inlineStr">
        <is>
          <t>0,365% (LC nº 224/2025)</t>
        </is>
      </c>
      <c r="P446" s="13" t="inlineStr">
        <is>
          <t>CST 06</t>
        </is>
      </c>
      <c r="Q446" s="13" t="inlineStr">
        <is>
          <t>CST 73</t>
        </is>
      </c>
      <c r="R446" s="13" t="inlineStr">
        <is>
          <t>Redução de 60% + Diferimento (Art. 138 e Anexo IX LC 214/2025)</t>
        </is>
      </c>
    </row>
    <row r="447" ht="22" customHeight="1">
      <c r="A447" s="6" t="inlineStr">
        <is>
          <t>SKU-0443</t>
        </is>
      </c>
      <c r="B447" s="5" t="n">
        <v>321</v>
      </c>
      <c r="C447" s="7" t="inlineStr">
        <is>
          <t>SIPEAGRO (UF-XXXXX)</t>
        </is>
      </c>
      <c r="D447" s="8" t="inlineStr">
        <is>
          <t>BIOLOGIC NEMA</t>
        </is>
      </c>
      <c r="E447" s="7" t="inlineStr">
        <is>
          <t>Faixa 1 TIPI (Apresentação &lt;= 300 g ou mL)</t>
        </is>
      </c>
      <c r="F447" s="7" t="inlineStr">
        <is>
          <t>Fracionado / Amostra &lt;= 0,3 L</t>
        </is>
      </c>
      <c r="G447" s="7" t="inlineStr">
        <is>
          <t>L</t>
        </is>
      </c>
      <c r="H447" s="17" t="n">
        <v>0.3</v>
      </c>
      <c r="I447" s="7" t="inlineStr">
        <is>
          <t>3105.90.90</t>
        </is>
      </c>
      <c r="J447" s="7" t="inlineStr">
        <is>
          <t>NÃO</t>
        </is>
      </c>
      <c r="K447" s="7" t="inlineStr">
        <is>
          <t>Embalagem Rígida — LAVÁVEL (Obrigatória Tríplice Lavagem ou Pressão)</t>
        </is>
      </c>
      <c r="L447" s="7" t="inlineStr">
        <is>
          <t>NÃO</t>
        </is>
      </c>
      <c r="M447" s="7" t="inlineStr">
        <is>
          <t>0,00% (Lei nº 10.925/2004)</t>
        </is>
      </c>
      <c r="N447" s="7" t="inlineStr">
        <is>
          <t>0,925% (LC nº 224/2025)</t>
        </is>
      </c>
      <c r="O447" s="7" t="inlineStr">
        <is>
          <t>0,365% (LC nº 224/2025)</t>
        </is>
      </c>
      <c r="P447" s="7" t="inlineStr">
        <is>
          <t>CST 06</t>
        </is>
      </c>
      <c r="Q447" s="7" t="inlineStr">
        <is>
          <t>CST 73</t>
        </is>
      </c>
      <c r="R447" s="7" t="inlineStr">
        <is>
          <t>Redução de 60% + Diferimento (Art. 138 e Anexo IX LC 214/2025)</t>
        </is>
      </c>
    </row>
    <row r="448" ht="22" customHeight="1">
      <c r="A448" s="12" t="inlineStr">
        <is>
          <t>SKU-0444</t>
        </is>
      </c>
      <c r="B448" s="11" t="n">
        <v>322</v>
      </c>
      <c r="C448" s="13" t="inlineStr">
        <is>
          <t>Nº 109009</t>
        </is>
      </c>
      <c r="D448" s="14" t="inlineStr">
        <is>
          <t>MANZATE WG</t>
        </is>
      </c>
      <c r="E448" s="13" t="inlineStr">
        <is>
          <t>Embalagem Comercial do Produto</t>
        </is>
      </c>
      <c r="F448" s="13" t="inlineStr">
        <is>
          <t>1X25KG (25 KG)</t>
        </is>
      </c>
      <c r="G448" s="13" t="inlineStr">
        <is>
          <t>KG</t>
        </is>
      </c>
      <c r="H448" s="15" t="n">
        <v>25</v>
      </c>
      <c r="I448" s="13" t="inlineStr">
        <is>
          <t>3808.92.93</t>
        </is>
      </c>
      <c r="J448" s="13" t="inlineStr">
        <is>
          <t>NÃO</t>
        </is>
      </c>
      <c r="K448" s="13" t="inlineStr">
        <is>
          <t>Embalagem Flexível — NÃO LAVÁVEL (Perfurar e usar saco ABNT)</t>
        </is>
      </c>
      <c r="L448" s="13" t="inlineStr">
        <is>
          <t>SIM (Saco Transparente ABNT)</t>
        </is>
      </c>
      <c r="M448" s="13" t="inlineStr">
        <is>
          <t>0,00% (Lei nº 10.925/2004)</t>
        </is>
      </c>
      <c r="N448" s="13" t="inlineStr">
        <is>
          <t>0,925% (LC nº 224/2025)</t>
        </is>
      </c>
      <c r="O448" s="13" t="inlineStr">
        <is>
          <t>0,365% (LC nº 224/2025)</t>
        </is>
      </c>
      <c r="P448" s="13" t="inlineStr">
        <is>
          <t>CST 06</t>
        </is>
      </c>
      <c r="Q448" s="13" t="inlineStr">
        <is>
          <t>CST 73</t>
        </is>
      </c>
      <c r="R448" s="13" t="inlineStr">
        <is>
          <t>Redução de 60% + Diferimento (Art. 138 e Anexo IX LC 214/2025)</t>
        </is>
      </c>
    </row>
    <row r="449" ht="22" customHeight="1">
      <c r="A449" s="6" t="inlineStr">
        <is>
          <t>SKU-0445</t>
        </is>
      </c>
      <c r="B449" s="5" t="n">
        <v>323</v>
      </c>
      <c r="C449" s="7" t="inlineStr">
        <is>
          <t>SIPEAGRO (UF-XXXXX)</t>
        </is>
      </c>
      <c r="D449" s="8" t="inlineStr">
        <is>
          <t>RIZOKOP</t>
        </is>
      </c>
      <c r="E449" s="7" t="inlineStr">
        <is>
          <t>Embalagem Comercial do Produto</t>
        </is>
      </c>
      <c r="F449" s="7" t="inlineStr">
        <is>
          <t>4X3L (3 L)</t>
        </is>
      </c>
      <c r="G449" s="7" t="inlineStr">
        <is>
          <t>L</t>
        </is>
      </c>
      <c r="H449" s="9" t="n">
        <v>3</v>
      </c>
      <c r="I449" s="7" t="inlineStr">
        <is>
          <t>3002.49.99</t>
        </is>
      </c>
      <c r="J449" s="7" t="inlineStr">
        <is>
          <t>NÃO</t>
        </is>
      </c>
      <c r="K449" s="7" t="inlineStr">
        <is>
          <t>Embalagem de Insumo Nutricional/Biológico (Logística Reversa)</t>
        </is>
      </c>
      <c r="L449" s="7" t="inlineStr">
        <is>
          <t>NÃO</t>
        </is>
      </c>
      <c r="M449" s="7" t="inlineStr">
        <is>
          <t>0,00% (Lei nº 10.925/2004)</t>
        </is>
      </c>
      <c r="N449" s="7" t="inlineStr">
        <is>
          <t>0,925% (LC nº 224/2025)</t>
        </is>
      </c>
      <c r="O449" s="7" t="inlineStr">
        <is>
          <t>0,365% (LC nº 224/2025)</t>
        </is>
      </c>
      <c r="P449" s="7" t="inlineStr">
        <is>
          <t>CST 06</t>
        </is>
      </c>
      <c r="Q449" s="7" t="inlineStr">
        <is>
          <t>CST 73</t>
        </is>
      </c>
      <c r="R449" s="7" t="inlineStr">
        <is>
          <t>Redução de 60% + Diferimento (Art. 138 e Anexo IX LC 214/2025)</t>
        </is>
      </c>
    </row>
    <row r="450" ht="22" customHeight="1">
      <c r="A450" s="12" t="inlineStr">
        <is>
          <t>SKU-0446</t>
        </is>
      </c>
      <c r="B450" s="11" t="n">
        <v>323</v>
      </c>
      <c r="C450" s="13" t="inlineStr">
        <is>
          <t>SIPEAGRO (UF-XXXXX)</t>
        </is>
      </c>
      <c r="D450" s="14" t="inlineStr">
        <is>
          <t>RIZOKOP</t>
        </is>
      </c>
      <c r="E450" s="13" t="inlineStr">
        <is>
          <t>Faixa 1 TIPI (Apresentação &lt;= 300 g ou mL)</t>
        </is>
      </c>
      <c r="F450" s="13" t="inlineStr">
        <is>
          <t>Fracionado / Amostra &lt;= 0,3 L</t>
        </is>
      </c>
      <c r="G450" s="13" t="inlineStr">
        <is>
          <t>L</t>
        </is>
      </c>
      <c r="H450" s="18" t="n">
        <v>0.3</v>
      </c>
      <c r="I450" s="13" t="inlineStr">
        <is>
          <t>3002.49.99</t>
        </is>
      </c>
      <c r="J450" s="13" t="inlineStr">
        <is>
          <t>NÃO</t>
        </is>
      </c>
      <c r="K450" s="13" t="inlineStr">
        <is>
          <t>Embalagem de Insumo Nutricional/Biológico (Logística Reversa)</t>
        </is>
      </c>
      <c r="L450" s="13" t="inlineStr">
        <is>
          <t>NÃO</t>
        </is>
      </c>
      <c r="M450" s="13" t="inlineStr">
        <is>
          <t>0,00% (Lei nº 10.925/2004)</t>
        </is>
      </c>
      <c r="N450" s="13" t="inlineStr">
        <is>
          <t>0,925% (LC nº 224/2025)</t>
        </is>
      </c>
      <c r="O450" s="13" t="inlineStr">
        <is>
          <t>0,365% (LC nº 224/2025)</t>
        </is>
      </c>
      <c r="P450" s="13" t="inlineStr">
        <is>
          <t>CST 06</t>
        </is>
      </c>
      <c r="Q450" s="13" t="inlineStr">
        <is>
          <t>CST 73</t>
        </is>
      </c>
      <c r="R450" s="13" t="inlineStr">
        <is>
          <t>Redução de 60% + Diferimento (Art. 138 e Anexo IX LC 214/2025)</t>
        </is>
      </c>
    </row>
    <row r="451" ht="22" customHeight="1">
      <c r="A451" s="6" t="inlineStr">
        <is>
          <t>SKU-0447</t>
        </is>
      </c>
      <c r="B451" s="5" t="n">
        <v>324</v>
      </c>
      <c r="C451" s="7" t="inlineStr">
        <is>
          <t>Nº 9622</t>
        </is>
      </c>
      <c r="D451" s="8" t="inlineStr">
        <is>
          <t>CLOROTALONIL C</t>
        </is>
      </c>
      <c r="E451" s="7" t="inlineStr">
        <is>
          <t>Embalagem Comercial do Produto</t>
        </is>
      </c>
      <c r="F451" s="7" t="inlineStr">
        <is>
          <t>1X20L (20 L)</t>
        </is>
      </c>
      <c r="G451" s="7" t="inlineStr">
        <is>
          <t>L</t>
        </is>
      </c>
      <c r="H451" s="9" t="n">
        <v>20</v>
      </c>
      <c r="I451" s="7" t="inlineStr">
        <is>
          <t>3808.92.99</t>
        </is>
      </c>
      <c r="J451" s="7" t="inlineStr">
        <is>
          <t>NÃO</t>
        </is>
      </c>
      <c r="K451" s="7" t="inlineStr">
        <is>
          <t>Embalagem Rígida — LAVÁVEL (Obrigatória Tríplice Lavagem ou Pressão)</t>
        </is>
      </c>
      <c r="L451" s="7" t="inlineStr">
        <is>
          <t>NÃO</t>
        </is>
      </c>
      <c r="M451" s="7" t="inlineStr">
        <is>
          <t>0,00% (Lei nº 10.925/2004)</t>
        </is>
      </c>
      <c r="N451" s="7" t="inlineStr">
        <is>
          <t>0,925% (LC nº 224/2025)</t>
        </is>
      </c>
      <c r="O451" s="7" t="inlineStr">
        <is>
          <t>0,365% (LC nº 224/2025)</t>
        </is>
      </c>
      <c r="P451" s="7" t="inlineStr">
        <is>
          <t>CST 06</t>
        </is>
      </c>
      <c r="Q451" s="7" t="inlineStr">
        <is>
          <t>CST 73</t>
        </is>
      </c>
      <c r="R451" s="7" t="inlineStr">
        <is>
          <t>Redução de 60% + Diferimento (Art. 138 e Anexo IX LC 214/2025)</t>
        </is>
      </c>
    </row>
    <row r="452" ht="22" customHeight="1">
      <c r="A452" s="12" t="inlineStr">
        <is>
          <t>SKU-0448</t>
        </is>
      </c>
      <c r="B452" s="11" t="n">
        <v>325</v>
      </c>
      <c r="C452" s="13" t="inlineStr">
        <is>
          <t>Nº 17119</t>
        </is>
      </c>
      <c r="D452" s="14" t="inlineStr">
        <is>
          <t>DIFO 250 EC</t>
        </is>
      </c>
      <c r="E452" s="13" t="inlineStr">
        <is>
          <t>Embalagem Comercial do Produto</t>
        </is>
      </c>
      <c r="F452" s="13" t="inlineStr">
        <is>
          <t>1X20L (20 L)</t>
        </is>
      </c>
      <c r="G452" s="13" t="inlineStr">
        <is>
          <t>L</t>
        </is>
      </c>
      <c r="H452" s="15" t="n">
        <v>20</v>
      </c>
      <c r="I452" s="13" t="inlineStr">
        <is>
          <t>3808.92.99</t>
        </is>
      </c>
      <c r="J452" s="13" t="inlineStr">
        <is>
          <t>NÃO</t>
        </is>
      </c>
      <c r="K452" s="13" t="inlineStr">
        <is>
          <t>Embalagem Rígida — LAVÁVEL (Obrigatória Tríplice Lavagem ou Pressão)</t>
        </is>
      </c>
      <c r="L452" s="13" t="inlineStr">
        <is>
          <t>NÃO</t>
        </is>
      </c>
      <c r="M452" s="13" t="inlineStr">
        <is>
          <t>0,00% (Lei nº 10.925/2004)</t>
        </is>
      </c>
      <c r="N452" s="13" t="inlineStr">
        <is>
          <t>0,925% (LC nº 224/2025)</t>
        </is>
      </c>
      <c r="O452" s="13" t="inlineStr">
        <is>
          <t>0,365% (LC nº 224/2025)</t>
        </is>
      </c>
      <c r="P452" s="13" t="inlineStr">
        <is>
          <t>CST 06</t>
        </is>
      </c>
      <c r="Q452" s="13" t="inlineStr">
        <is>
          <t>CST 73</t>
        </is>
      </c>
      <c r="R452" s="13" t="inlineStr">
        <is>
          <t>Redução de 60% + Diferimento (Art. 138 e Anexo IX LC 214/2025)</t>
        </is>
      </c>
    </row>
    <row r="453" ht="22" customHeight="1">
      <c r="A453" s="6" t="inlineStr">
        <is>
          <t>SKU-0449</t>
        </is>
      </c>
      <c r="B453" s="5" t="n">
        <v>326</v>
      </c>
      <c r="C453" s="7" t="inlineStr">
        <is>
          <t>Nº 10023</t>
        </is>
      </c>
      <c r="D453" s="8" t="inlineStr">
        <is>
          <t>XEQUE MATE SG</t>
        </is>
      </c>
      <c r="E453" s="7" t="inlineStr">
        <is>
          <t>Embalagem Comercial do Produto</t>
        </is>
      </c>
      <c r="F453" s="7" t="inlineStr">
        <is>
          <t>5X4KG (4 KG)</t>
        </is>
      </c>
      <c r="G453" s="7" t="inlineStr">
        <is>
          <t>KG</t>
        </is>
      </c>
      <c r="H453" s="9" t="n">
        <v>4</v>
      </c>
      <c r="I453" s="7" t="inlineStr">
        <is>
          <t>3808.93.24</t>
        </is>
      </c>
      <c r="J453" s="7" t="inlineStr">
        <is>
          <t>NÃO</t>
        </is>
      </c>
      <c r="K453" s="7" t="inlineStr">
        <is>
          <t>Embalagem Flexível — NÃO LAVÁVEL (Perfurar e usar saco ABNT)</t>
        </is>
      </c>
      <c r="L453" s="7" t="inlineStr">
        <is>
          <t>SIM (Saco Transparente ABNT)</t>
        </is>
      </c>
      <c r="M453" s="7" t="inlineStr">
        <is>
          <t>0,00% (Lei nº 10.925/2004)</t>
        </is>
      </c>
      <c r="N453" s="7" t="inlineStr">
        <is>
          <t>0,925% (LC nº 224/2025)</t>
        </is>
      </c>
      <c r="O453" s="7" t="inlineStr">
        <is>
          <t>0,365% (LC nº 224/2025)</t>
        </is>
      </c>
      <c r="P453" s="7" t="inlineStr">
        <is>
          <t>CST 06</t>
        </is>
      </c>
      <c r="Q453" s="7" t="inlineStr">
        <is>
          <t>CST 73</t>
        </is>
      </c>
      <c r="R453" s="7" t="inlineStr">
        <is>
          <t>Redução de 60% + Diferimento (Art. 138 e Anexo IX LC 214/2025)</t>
        </is>
      </c>
    </row>
    <row r="454" ht="22" customHeight="1">
      <c r="A454" s="12" t="inlineStr">
        <is>
          <t>SKU-0450</t>
        </is>
      </c>
      <c r="B454" s="11" t="n">
        <v>327</v>
      </c>
      <c r="C454" s="13" t="inlineStr">
        <is>
          <t>Nº 10623</t>
        </is>
      </c>
      <c r="D454" s="14" t="inlineStr">
        <is>
          <t>PREVENT GOLD</t>
        </is>
      </c>
      <c r="E454" s="13" t="inlineStr">
        <is>
          <t>Embalagem Comercial do Produto</t>
        </is>
      </c>
      <c r="F454" s="13" t="inlineStr">
        <is>
          <t>1X20L (20 L)</t>
        </is>
      </c>
      <c r="G454" s="13" t="inlineStr">
        <is>
          <t>L</t>
        </is>
      </c>
      <c r="H454" s="15" t="n">
        <v>20</v>
      </c>
      <c r="I454" s="13" t="inlineStr">
        <is>
          <t>3808.93.29</t>
        </is>
      </c>
      <c r="J454" s="13" t="inlineStr">
        <is>
          <t>NÃO</t>
        </is>
      </c>
      <c r="K454" s="13" t="inlineStr">
        <is>
          <t>Embalagem Rígida — LAVÁVEL (Obrigatória Tríplice Lavagem ou Pressão)</t>
        </is>
      </c>
      <c r="L454" s="13" t="inlineStr">
        <is>
          <t>NÃO</t>
        </is>
      </c>
      <c r="M454" s="13" t="inlineStr">
        <is>
          <t>0,00% (Lei nº 10.925/2004)</t>
        </is>
      </c>
      <c r="N454" s="13" t="inlineStr">
        <is>
          <t>0,925% (LC nº 224/2025)</t>
        </is>
      </c>
      <c r="O454" s="13" t="inlineStr">
        <is>
          <t>0,365% (LC nº 224/2025)</t>
        </is>
      </c>
      <c r="P454" s="13" t="inlineStr">
        <is>
          <t>CST 06</t>
        </is>
      </c>
      <c r="Q454" s="13" t="inlineStr">
        <is>
          <t>CST 73</t>
        </is>
      </c>
      <c r="R454" s="13" t="inlineStr">
        <is>
          <t>Redução de 60% + Diferimento (Art. 138 e Anexo IX LC 214/2025)</t>
        </is>
      </c>
    </row>
    <row r="455" ht="22" customHeight="1">
      <c r="A455" s="6" t="inlineStr">
        <is>
          <t>SKU-0451</t>
        </is>
      </c>
      <c r="B455" s="5" t="n">
        <v>328</v>
      </c>
      <c r="C455" s="7" t="inlineStr">
        <is>
          <t>Nº 3518</t>
        </is>
      </c>
      <c r="D455" s="8" t="inlineStr">
        <is>
          <t>VERDICT(TM)</t>
        </is>
      </c>
      <c r="E455" s="7" t="inlineStr">
        <is>
          <t>Embalagem Comercial do Produto</t>
        </is>
      </c>
      <c r="F455" s="7" t="inlineStr">
        <is>
          <t>4X5L (5 L)</t>
        </is>
      </c>
      <c r="G455" s="7" t="inlineStr">
        <is>
          <t>L</t>
        </is>
      </c>
      <c r="H455" s="9" t="n">
        <v>5</v>
      </c>
      <c r="I455" s="7" t="inlineStr">
        <is>
          <t>3808.93.29</t>
        </is>
      </c>
      <c r="J455" s="7" t="inlineStr">
        <is>
          <t>NÃO</t>
        </is>
      </c>
      <c r="K455" s="7" t="inlineStr">
        <is>
          <t>Embalagem Rígida — LAVÁVEL (Obrigatória Tríplice Lavagem ou Pressão)</t>
        </is>
      </c>
      <c r="L455" s="7" t="inlineStr">
        <is>
          <t>NÃO</t>
        </is>
      </c>
      <c r="M455" s="7" t="inlineStr">
        <is>
          <t>0,00% (Lei nº 10.925/2004)</t>
        </is>
      </c>
      <c r="N455" s="7" t="inlineStr">
        <is>
          <t>0,925% (LC nº 224/2025)</t>
        </is>
      </c>
      <c r="O455" s="7" t="inlineStr">
        <is>
          <t>0,365% (LC nº 224/2025)</t>
        </is>
      </c>
      <c r="P455" s="7" t="inlineStr">
        <is>
          <t>CST 06</t>
        </is>
      </c>
      <c r="Q455" s="7" t="inlineStr">
        <is>
          <t>CST 73</t>
        </is>
      </c>
      <c r="R455" s="7" t="inlineStr">
        <is>
          <t>Redução de 60% + Diferimento (Art. 138 e Anexo IX LC 214/2025)</t>
        </is>
      </c>
    </row>
    <row r="456" ht="22" customHeight="1">
      <c r="A456" s="12" t="inlineStr">
        <is>
          <t>SKU-0452</t>
        </is>
      </c>
      <c r="B456" s="11" t="n">
        <v>329</v>
      </c>
      <c r="C456" s="13" t="inlineStr">
        <is>
          <t>ISENTO (ATO 104/2017)</t>
        </is>
      </c>
      <c r="D456" s="14" t="inlineStr">
        <is>
          <t>AGCN EASY OIL</t>
        </is>
      </c>
      <c r="E456" s="13" t="inlineStr">
        <is>
          <t>Embalagem Comercial do Produto</t>
        </is>
      </c>
      <c r="F456" s="13" t="inlineStr">
        <is>
          <t>1X20L (20 L)</t>
        </is>
      </c>
      <c r="G456" s="13" t="inlineStr">
        <is>
          <t>L</t>
        </is>
      </c>
      <c r="H456" s="15" t="n">
        <v>20</v>
      </c>
      <c r="I456" s="13" t="inlineStr">
        <is>
          <t>3402.90.29</t>
        </is>
      </c>
      <c r="J456" s="13" t="inlineStr">
        <is>
          <t>NÃO</t>
        </is>
      </c>
      <c r="K456" s="13" t="inlineStr">
        <is>
          <t>Embalagem Rígida — LAVÁVEL (Obrigatória Tríplice Lavagem ou Pressão)</t>
        </is>
      </c>
      <c r="L456" s="13" t="inlineStr">
        <is>
          <t>NÃO</t>
        </is>
      </c>
      <c r="M456" s="13" t="inlineStr">
        <is>
          <t>9,25% Real | 3,65% Presumido</t>
        </is>
      </c>
      <c r="N456" s="13" t="inlineStr">
        <is>
          <t>9,250% (Integral)</t>
        </is>
      </c>
      <c r="O456" s="13" t="inlineStr">
        <is>
          <t>3,650% (Integral)</t>
        </is>
      </c>
      <c r="P456" s="13" t="inlineStr">
        <is>
          <t>CST 01</t>
        </is>
      </c>
      <c r="Q456" s="13" t="inlineStr">
        <is>
          <t>CST 50</t>
        </is>
      </c>
      <c r="R456" s="13" t="inlineStr">
        <is>
          <t>Alíquota Padrão Integral (LC 214/2025)</t>
        </is>
      </c>
    </row>
    <row r="457" ht="22" customHeight="1">
      <c r="A457" s="6" t="inlineStr">
        <is>
          <t>SKU-0453</t>
        </is>
      </c>
      <c r="B457" s="5" t="n">
        <v>330</v>
      </c>
      <c r="C457" s="7" t="inlineStr">
        <is>
          <t>ISENTO (ATO 104/2017)</t>
        </is>
      </c>
      <c r="D457" s="8" t="inlineStr">
        <is>
          <t>AGRICOIL PREMIUM PURO</t>
        </is>
      </c>
      <c r="E457" s="7" t="inlineStr">
        <is>
          <t>Embalagem Comercial do Produto</t>
        </is>
      </c>
      <c r="F457" s="7" t="inlineStr">
        <is>
          <t>200L (200 L)</t>
        </is>
      </c>
      <c r="G457" s="7" t="inlineStr">
        <is>
          <t>L</t>
        </is>
      </c>
      <c r="H457" s="17" t="n">
        <v>0.2</v>
      </c>
      <c r="I457" s="7" t="inlineStr">
        <is>
          <t>2710.19.31</t>
        </is>
      </c>
      <c r="J457" s="7" t="inlineStr">
        <is>
          <t>NÃO</t>
        </is>
      </c>
      <c r="K457" s="7" t="inlineStr">
        <is>
          <t>Embalagem Rígida — LAVÁVEL (Obrigatória Tríplice Lavagem ou Pressão)</t>
        </is>
      </c>
      <c r="L457" s="7" t="inlineStr">
        <is>
          <t>NÃO</t>
        </is>
      </c>
      <c r="M457" s="7" t="inlineStr">
        <is>
          <t>9,25% Real | 3,65% Presumido</t>
        </is>
      </c>
      <c r="N457" s="7" t="inlineStr">
        <is>
          <t>9,250% (Integral)</t>
        </is>
      </c>
      <c r="O457" s="7" t="inlineStr">
        <is>
          <t>3,650% (Integral)</t>
        </is>
      </c>
      <c r="P457" s="7" t="inlineStr">
        <is>
          <t>CST 01</t>
        </is>
      </c>
      <c r="Q457" s="7" t="inlineStr">
        <is>
          <t>CST 50</t>
        </is>
      </c>
      <c r="R457" s="7" t="inlineStr">
        <is>
          <t>Alíquota Padrão Integral (LC 214/2025)</t>
        </is>
      </c>
    </row>
    <row r="458" ht="22" customHeight="1">
      <c r="A458" s="12" t="inlineStr">
        <is>
          <t>SKU-0454</t>
        </is>
      </c>
      <c r="B458" s="11" t="n">
        <v>330</v>
      </c>
      <c r="C458" s="13" t="inlineStr">
        <is>
          <t>ISENTO (ATO 104/2017)</t>
        </is>
      </c>
      <c r="D458" s="14" t="inlineStr">
        <is>
          <t>AGRICOIL PREMIUM PURO</t>
        </is>
      </c>
      <c r="E458" s="13" t="inlineStr">
        <is>
          <t>Faixa 1 TIPI (Apresentação &lt;= 300 g ou mL)</t>
        </is>
      </c>
      <c r="F458" s="13" t="inlineStr">
        <is>
          <t>Fracionado / Amostra &lt;= 0,3 L</t>
        </is>
      </c>
      <c r="G458" s="13" t="inlineStr">
        <is>
          <t>L</t>
        </is>
      </c>
      <c r="H458" s="18" t="n">
        <v>0.3</v>
      </c>
      <c r="I458" s="13" t="inlineStr">
        <is>
          <t>3402.90.29</t>
        </is>
      </c>
      <c r="J458" s="13" t="inlineStr">
        <is>
          <t>NÃO</t>
        </is>
      </c>
      <c r="K458" s="13" t="inlineStr">
        <is>
          <t>Embalagem Rígida — LAVÁVEL (Obrigatória Tríplice Lavagem ou Pressão)</t>
        </is>
      </c>
      <c r="L458" s="13" t="inlineStr">
        <is>
          <t>NÃO</t>
        </is>
      </c>
      <c r="M458" s="13" t="inlineStr">
        <is>
          <t>9,25% Real | 3,65% Presumido</t>
        </is>
      </c>
      <c r="N458" s="13" t="inlineStr">
        <is>
          <t>9,250% (Integral)</t>
        </is>
      </c>
      <c r="O458" s="13" t="inlineStr">
        <is>
          <t>3,650% (Integral)</t>
        </is>
      </c>
      <c r="P458" s="13" t="inlineStr">
        <is>
          <t>CST 01</t>
        </is>
      </c>
      <c r="Q458" s="13" t="inlineStr">
        <is>
          <t>CST 50</t>
        </is>
      </c>
      <c r="R458" s="13" t="inlineStr">
        <is>
          <t>Alíquota Padrão Integral (LC 214/2025)</t>
        </is>
      </c>
    </row>
    <row r="459" ht="22" customHeight="1">
      <c r="A459" s="6" t="inlineStr">
        <is>
          <t>SKU-0455</t>
        </is>
      </c>
      <c r="B459" s="5" t="n">
        <v>331</v>
      </c>
      <c r="C459" s="7" t="inlineStr">
        <is>
          <t>Nº 9621</t>
        </is>
      </c>
      <c r="D459" s="8" t="inlineStr">
        <is>
          <t>GLIFOSATO 540 (PRINCIPIO ATIVO)</t>
        </is>
      </c>
      <c r="E459" s="7" t="inlineStr">
        <is>
          <t>Embalagem Comercial do Produto</t>
        </is>
      </c>
      <c r="F459" s="7" t="inlineStr">
        <is>
          <t>GRANEL / P.A. (0 L)</t>
        </is>
      </c>
      <c r="G459" s="7" t="inlineStr">
        <is>
          <t>L</t>
        </is>
      </c>
      <c r="H459" s="9" t="n">
        <v>0</v>
      </c>
      <c r="I459" s="7" t="inlineStr">
        <is>
          <t>3808.93.24</t>
        </is>
      </c>
      <c r="J459" s="7" t="inlineStr">
        <is>
          <t>NÃO</t>
        </is>
      </c>
      <c r="K459" s="7" t="inlineStr">
        <is>
          <t>Uso Industrial Exclusivo (PGRS / NBR 10004)</t>
        </is>
      </c>
      <c r="L459" s="7" t="inlineStr">
        <is>
          <t>NÃO</t>
        </is>
      </c>
      <c r="M459" s="7" t="inlineStr">
        <is>
          <t>0,00% (Lei nº 10.925/2004)</t>
        </is>
      </c>
      <c r="N459" s="7" t="inlineStr">
        <is>
          <t>0,925% (LC nº 224/2025)</t>
        </is>
      </c>
      <c r="O459" s="7" t="inlineStr">
        <is>
          <t>0,365% (LC nº 224/2025)</t>
        </is>
      </c>
      <c r="P459" s="7" t="inlineStr">
        <is>
          <t>CST 06 (Uso Agrícola/Industrial)</t>
        </is>
      </c>
      <c r="Q459" s="7" t="inlineStr">
        <is>
          <t>CST 73 (Revenda / Destinação)</t>
        </is>
      </c>
      <c r="R459" s="7" t="inlineStr">
        <is>
          <t>Redução de 60% + Diferimento (Art. 138 LC 214/2025)</t>
        </is>
      </c>
    </row>
    <row r="460" ht="22" customHeight="1">
      <c r="A460" s="12" t="inlineStr">
        <is>
          <t>SKU-0456</t>
        </is>
      </c>
      <c r="B460" s="11" t="n">
        <v>332</v>
      </c>
      <c r="C460" s="13" t="inlineStr">
        <is>
          <t>Nº 12319</t>
        </is>
      </c>
      <c r="D460" s="14" t="inlineStr">
        <is>
          <t>MANCOZEB 800 SINO-AGRI</t>
        </is>
      </c>
      <c r="E460" s="13" t="inlineStr">
        <is>
          <t>Embalagem Comercial do Produto</t>
        </is>
      </c>
      <c r="F460" s="13" t="inlineStr">
        <is>
          <t>1X25KG (25 KG)</t>
        </is>
      </c>
      <c r="G460" s="13" t="inlineStr">
        <is>
          <t>KG</t>
        </is>
      </c>
      <c r="H460" s="15" t="n">
        <v>25</v>
      </c>
      <c r="I460" s="13" t="inlineStr">
        <is>
          <t>3808.92.93</t>
        </is>
      </c>
      <c r="J460" s="13" t="inlineStr">
        <is>
          <t>NÃO</t>
        </is>
      </c>
      <c r="K460" s="13" t="inlineStr">
        <is>
          <t>Embalagem Flexível — NÃO LAVÁVEL (Perfurar e usar saco ABNT)</t>
        </is>
      </c>
      <c r="L460" s="13" t="inlineStr">
        <is>
          <t>SIM (Saco Transparente ABNT)</t>
        </is>
      </c>
      <c r="M460" s="13" t="inlineStr">
        <is>
          <t>0,00% (Lei nº 10.925/2004)</t>
        </is>
      </c>
      <c r="N460" s="13" t="inlineStr">
        <is>
          <t>0,925% (LC nº 224/2025)</t>
        </is>
      </c>
      <c r="O460" s="13" t="inlineStr">
        <is>
          <t>0,365% (LC nº 224/2025)</t>
        </is>
      </c>
      <c r="P460" s="13" t="inlineStr">
        <is>
          <t>CST 06</t>
        </is>
      </c>
      <c r="Q460" s="13" t="inlineStr">
        <is>
          <t>CST 73</t>
        </is>
      </c>
      <c r="R460" s="13" t="inlineStr">
        <is>
          <t>Redução de 60% + Diferimento (Art. 138 e Anexo IX LC 214/2025)</t>
        </is>
      </c>
    </row>
    <row r="461" ht="22" customHeight="1">
      <c r="A461" s="6" t="inlineStr">
        <is>
          <t>SKU-0457</t>
        </is>
      </c>
      <c r="B461" s="5" t="n">
        <v>333</v>
      </c>
      <c r="C461" s="7" t="inlineStr">
        <is>
          <t>SIPEAGRO (UF-XXXXX)</t>
        </is>
      </c>
      <c r="D461" s="8" t="inlineStr">
        <is>
          <t>SULFATO DE AMONIO 21N AMONIACAL 24S GRANULADO</t>
        </is>
      </c>
      <c r="E461" s="7" t="inlineStr">
        <is>
          <t>Embalagem Comercial do Produto</t>
        </is>
      </c>
      <c r="F461" s="7" t="inlineStr">
        <is>
          <t>GRANEL / BIG BAG (1000 TL)</t>
        </is>
      </c>
      <c r="G461" s="7" t="inlineStr">
        <is>
          <t>TL</t>
        </is>
      </c>
      <c r="H461" s="9" t="n">
        <v>1</v>
      </c>
      <c r="I461" s="7" t="inlineStr">
        <is>
          <t>3102.21.00</t>
        </is>
      </c>
      <c r="J461" s="7" t="inlineStr">
        <is>
          <t>NÃO</t>
        </is>
      </c>
      <c r="K461" s="7" t="inlineStr">
        <is>
          <t>Embalagem Flexível — NÃO LAVÁVEL (Perfurar e usar saco ABNT)</t>
        </is>
      </c>
      <c r="L461" s="7" t="inlineStr">
        <is>
          <t>SIM (Saco Transparente ABNT)</t>
        </is>
      </c>
      <c r="M461" s="7" t="inlineStr">
        <is>
          <t>0,00% (Lei nº 10.925/2004)</t>
        </is>
      </c>
      <c r="N461" s="7" t="inlineStr">
        <is>
          <t>0,925% (LC nº 224/2025)</t>
        </is>
      </c>
      <c r="O461" s="7" t="inlineStr">
        <is>
          <t>0,365% (LC nº 224/2025)</t>
        </is>
      </c>
      <c r="P461" s="7" t="inlineStr">
        <is>
          <t>CST 06</t>
        </is>
      </c>
      <c r="Q461" s="7" t="inlineStr">
        <is>
          <t>CST 73</t>
        </is>
      </c>
      <c r="R461" s="7" t="inlineStr">
        <is>
          <t>Redução de 60% + Diferimento (Art. 138 e Anexo IX LC 214/2025)</t>
        </is>
      </c>
    </row>
    <row r="462" ht="22" customHeight="1">
      <c r="A462" s="12" t="inlineStr">
        <is>
          <t>SKU-0458</t>
        </is>
      </c>
      <c r="B462" s="11" t="n">
        <v>333</v>
      </c>
      <c r="C462" s="13" t="inlineStr">
        <is>
          <t>SIPEAGRO (UF-XXXXX)</t>
        </is>
      </c>
      <c r="D462" s="14" t="inlineStr">
        <is>
          <t>SULFATO DE AMONIO 21N AMONIACAL 24S GRANULADO</t>
        </is>
      </c>
      <c r="E462" s="13" t="inlineStr">
        <is>
          <t>Faixa 1 TIPI (Apresentação &lt;= 300 g ou mL)</t>
        </is>
      </c>
      <c r="F462" s="13" t="inlineStr">
        <is>
          <t>Fracionado / Amostra &lt;= 0,3 TL</t>
        </is>
      </c>
      <c r="G462" s="13" t="inlineStr">
        <is>
          <t>TL</t>
        </is>
      </c>
      <c r="H462" s="18" t="n">
        <v>0.3</v>
      </c>
      <c r="I462" s="13" t="inlineStr">
        <is>
          <t>3102.21.00</t>
        </is>
      </c>
      <c r="J462" s="13" t="inlineStr">
        <is>
          <t>NÃO</t>
        </is>
      </c>
      <c r="K462" s="13" t="inlineStr">
        <is>
          <t>Embalagem Flexível — NÃO LAVÁVEL (Perfurar e usar saco ABNT)</t>
        </is>
      </c>
      <c r="L462" s="13" t="inlineStr">
        <is>
          <t>SIM (Saco Transparente ABNT)</t>
        </is>
      </c>
      <c r="M462" s="13" t="inlineStr">
        <is>
          <t>0,00% (Lei nº 10.925/2004)</t>
        </is>
      </c>
      <c r="N462" s="13" t="inlineStr">
        <is>
          <t>0,925% (LC nº 224/2025)</t>
        </is>
      </c>
      <c r="O462" s="13" t="inlineStr">
        <is>
          <t>0,365% (LC nº 224/2025)</t>
        </is>
      </c>
      <c r="P462" s="13" t="inlineStr">
        <is>
          <t>CST 06</t>
        </is>
      </c>
      <c r="Q462" s="13" t="inlineStr">
        <is>
          <t>CST 73</t>
        </is>
      </c>
      <c r="R462" s="13" t="inlineStr">
        <is>
          <t>Redução de 60% + Diferimento (Art. 138 e Anexo IX LC 214/2025)</t>
        </is>
      </c>
    </row>
    <row r="463" ht="22" customHeight="1">
      <c r="A463" s="6" t="inlineStr">
        <is>
          <t>SKU-0459</t>
        </is>
      </c>
      <c r="B463" s="5" t="n">
        <v>334</v>
      </c>
      <c r="C463" s="7" t="inlineStr">
        <is>
          <t>Nº 34118</t>
        </is>
      </c>
      <c r="D463" s="8" t="inlineStr">
        <is>
          <t>TEMPLO</t>
        </is>
      </c>
      <c r="E463" s="7" t="inlineStr">
        <is>
          <t>Embalagem Comercial do Produto</t>
        </is>
      </c>
      <c r="F463" s="7" t="inlineStr">
        <is>
          <t>1X20L (20 L)</t>
        </is>
      </c>
      <c r="G463" s="7" t="inlineStr">
        <is>
          <t>L</t>
        </is>
      </c>
      <c r="H463" s="9" t="n">
        <v>20</v>
      </c>
      <c r="I463" s="7" t="inlineStr">
        <is>
          <t>3808.93.24</t>
        </is>
      </c>
      <c r="J463" s="7" t="inlineStr">
        <is>
          <t>NÃO</t>
        </is>
      </c>
      <c r="K463" s="7" t="inlineStr">
        <is>
          <t>Embalagem Rígida — LAVÁVEL (Obrigatória Tríplice Lavagem ou Pressão)</t>
        </is>
      </c>
      <c r="L463" s="7" t="inlineStr">
        <is>
          <t>NÃO</t>
        </is>
      </c>
      <c r="M463" s="7" t="inlineStr">
        <is>
          <t>0,00% (Lei nº 10.925/2004)</t>
        </is>
      </c>
      <c r="N463" s="7" t="inlineStr">
        <is>
          <t>0,925% (LC nº 224/2025)</t>
        </is>
      </c>
      <c r="O463" s="7" t="inlineStr">
        <is>
          <t>0,365% (LC nº 224/2025)</t>
        </is>
      </c>
      <c r="P463" s="7" t="inlineStr">
        <is>
          <t>CST 06</t>
        </is>
      </c>
      <c r="Q463" s="7" t="inlineStr">
        <is>
          <t>CST 73</t>
        </is>
      </c>
      <c r="R463" s="7" t="inlineStr">
        <is>
          <t>Redução de 60% + Diferimento (Art. 138 e Anexo IX LC 214/2025)</t>
        </is>
      </c>
    </row>
    <row r="464" ht="22" customHeight="1">
      <c r="A464" s="12" t="inlineStr">
        <is>
          <t>SKU-0460</t>
        </is>
      </c>
      <c r="B464" s="11" t="n">
        <v>335</v>
      </c>
      <c r="C464" s="13" t="inlineStr">
        <is>
          <t>Nº 13614</t>
        </is>
      </c>
      <c r="D464" s="14" t="inlineStr">
        <is>
          <t>SOLDIER</t>
        </is>
      </c>
      <c r="E464" s="13" t="inlineStr">
        <is>
          <t>Embalagem Comercial do Produto</t>
        </is>
      </c>
      <c r="F464" s="13" t="inlineStr">
        <is>
          <t>1X20KG (20 KG)</t>
        </is>
      </c>
      <c r="G464" s="13" t="inlineStr">
        <is>
          <t>KG</t>
        </is>
      </c>
      <c r="H464" s="15" t="n">
        <v>20</v>
      </c>
      <c r="I464" s="13" t="inlineStr">
        <is>
          <t>3808.93.24</t>
        </is>
      </c>
      <c r="J464" s="13" t="inlineStr">
        <is>
          <t>NÃO</t>
        </is>
      </c>
      <c r="K464" s="13" t="inlineStr">
        <is>
          <t>Embalagem Flexível — NÃO LAVÁVEL (Perfurar e usar saco ABNT)</t>
        </is>
      </c>
      <c r="L464" s="13" t="inlineStr">
        <is>
          <t>SIM (Saco Transparente ABNT)</t>
        </is>
      </c>
      <c r="M464" s="13" t="inlineStr">
        <is>
          <t>0,00% (Lei nº 10.925/2004)</t>
        </is>
      </c>
      <c r="N464" s="13" t="inlineStr">
        <is>
          <t>0,925% (LC nº 224/2025)</t>
        </is>
      </c>
      <c r="O464" s="13" t="inlineStr">
        <is>
          <t>0,365% (LC nº 224/2025)</t>
        </is>
      </c>
      <c r="P464" s="13" t="inlineStr">
        <is>
          <t>CST 06</t>
        </is>
      </c>
      <c r="Q464" s="13" t="inlineStr">
        <is>
          <t>CST 73</t>
        </is>
      </c>
      <c r="R464" s="13" t="inlineStr">
        <is>
          <t>Redução de 60% + Diferimento (Art. 138 e Anexo IX LC 214/2025)</t>
        </is>
      </c>
    </row>
    <row r="465" ht="22" customHeight="1">
      <c r="A465" s="6" t="inlineStr">
        <is>
          <t>SKU-0461</t>
        </is>
      </c>
      <c r="B465" s="5" t="n">
        <v>336</v>
      </c>
      <c r="C465" s="7" t="inlineStr">
        <is>
          <t>Nº 26222</t>
        </is>
      </c>
      <c r="D465" s="8" t="inlineStr">
        <is>
          <t>DIQUAT VANON 200 SL</t>
        </is>
      </c>
      <c r="E465" s="7" t="inlineStr">
        <is>
          <t>Embalagem Comercial do Produto</t>
        </is>
      </c>
      <c r="F465" s="7" t="inlineStr">
        <is>
          <t>1X20L (20 L)</t>
        </is>
      </c>
      <c r="G465" s="7" t="inlineStr">
        <is>
          <t>L</t>
        </is>
      </c>
      <c r="H465" s="9" t="n">
        <v>20</v>
      </c>
      <c r="I465" s="7" t="inlineStr">
        <is>
          <t>3808.93.29</t>
        </is>
      </c>
      <c r="J465" s="7" t="inlineStr">
        <is>
          <t>NÃO</t>
        </is>
      </c>
      <c r="K465" s="7" t="inlineStr">
        <is>
          <t>Embalagem Rígida — LAVÁVEL (Obrigatória Tríplice Lavagem ou Pressão)</t>
        </is>
      </c>
      <c r="L465" s="7" t="inlineStr">
        <is>
          <t>NÃO</t>
        </is>
      </c>
      <c r="M465" s="7" t="inlineStr">
        <is>
          <t>0,00% (Lei nº 10.925/2004)</t>
        </is>
      </c>
      <c r="N465" s="7" t="inlineStr">
        <is>
          <t>0,925% (LC nº 224/2025)</t>
        </is>
      </c>
      <c r="O465" s="7" t="inlineStr">
        <is>
          <t>0,365% (LC nº 224/2025)</t>
        </is>
      </c>
      <c r="P465" s="7" t="inlineStr">
        <is>
          <t>CST 06</t>
        </is>
      </c>
      <c r="Q465" s="7" t="inlineStr">
        <is>
          <t>CST 73</t>
        </is>
      </c>
      <c r="R465" s="7" t="inlineStr">
        <is>
          <t>Redução de 60% + Diferimento (Art. 138 e Anexo IX LC 214/2025)</t>
        </is>
      </c>
    </row>
    <row r="466" ht="22" customHeight="1">
      <c r="A466" s="12" t="inlineStr">
        <is>
          <t>SKU-0462</t>
        </is>
      </c>
      <c r="B466" s="11" t="n">
        <v>337</v>
      </c>
      <c r="C466" s="13" t="inlineStr">
        <is>
          <t>Nº 0921</t>
        </is>
      </c>
      <c r="D466" s="14" t="inlineStr">
        <is>
          <t>ELIMINATE</t>
        </is>
      </c>
      <c r="E466" s="13" t="inlineStr">
        <is>
          <t>Embalagem Comercial do Produto</t>
        </is>
      </c>
      <c r="F466" s="13" t="inlineStr">
        <is>
          <t>1X20L (20 L)</t>
        </is>
      </c>
      <c r="G466" s="13" t="inlineStr">
        <is>
          <t>L</t>
        </is>
      </c>
      <c r="H466" s="15" t="n">
        <v>20</v>
      </c>
      <c r="I466" s="13" t="inlineStr">
        <is>
          <t>3808.93.29</t>
        </is>
      </c>
      <c r="J466" s="13" t="inlineStr">
        <is>
          <t>NÃO</t>
        </is>
      </c>
      <c r="K466" s="13" t="inlineStr">
        <is>
          <t>Embalagem Rígida — LAVÁVEL (Obrigatória Tríplice Lavagem ou Pressão)</t>
        </is>
      </c>
      <c r="L466" s="13" t="inlineStr">
        <is>
          <t>NÃO</t>
        </is>
      </c>
      <c r="M466" s="13" t="inlineStr">
        <is>
          <t>0,00% (Lei nº 10.925/2004)</t>
        </is>
      </c>
      <c r="N466" s="13" t="inlineStr">
        <is>
          <t>0,925% (LC nº 224/2025)</t>
        </is>
      </c>
      <c r="O466" s="13" t="inlineStr">
        <is>
          <t>0,365% (LC nº 224/2025)</t>
        </is>
      </c>
      <c r="P466" s="13" t="inlineStr">
        <is>
          <t>CST 06</t>
        </is>
      </c>
      <c r="Q466" s="13" t="inlineStr">
        <is>
          <t>CST 73</t>
        </is>
      </c>
      <c r="R466" s="13" t="inlineStr">
        <is>
          <t>Redução de 60% + Diferimento (Art. 138 e Anexo IX LC 214/2025)</t>
        </is>
      </c>
    </row>
    <row r="467" ht="22" customHeight="1">
      <c r="A467" s="6" t="inlineStr">
        <is>
          <t>SKU-0463</t>
        </is>
      </c>
      <c r="B467" s="5" t="n">
        <v>338</v>
      </c>
      <c r="C467" s="7" t="inlineStr">
        <is>
          <t>Nº 6217</t>
        </is>
      </c>
      <c r="D467" s="8" t="inlineStr">
        <is>
          <t>COMBOIO 800 WG</t>
        </is>
      </c>
      <c r="E467" s="7" t="inlineStr">
        <is>
          <t>Embalagem Comercial do Produto</t>
        </is>
      </c>
      <c r="F467" s="7" t="inlineStr">
        <is>
          <t>4X4KG (4 KG)</t>
        </is>
      </c>
      <c r="G467" s="7" t="inlineStr">
        <is>
          <t>KG</t>
        </is>
      </c>
      <c r="H467" s="9" t="n">
        <v>4</v>
      </c>
      <c r="I467" s="7" t="inlineStr">
        <is>
          <t>3808.91.99</t>
        </is>
      </c>
      <c r="J467" s="7" t="inlineStr">
        <is>
          <t>NÃO</t>
        </is>
      </c>
      <c r="K467" s="7" t="inlineStr">
        <is>
          <t>Embalagem Flexível — NÃO LAVÁVEL (Perfurar e usar saco ABNT)</t>
        </is>
      </c>
      <c r="L467" s="7" t="inlineStr">
        <is>
          <t>SIM (Saco Transparente ABNT)</t>
        </is>
      </c>
      <c r="M467" s="7" t="inlineStr">
        <is>
          <t>0,00% (Lei nº 10.925/2004)</t>
        </is>
      </c>
      <c r="N467" s="7" t="inlineStr">
        <is>
          <t>0,925% (LC nº 224/2025)</t>
        </is>
      </c>
      <c r="O467" s="7" t="inlineStr">
        <is>
          <t>0,365% (LC nº 224/2025)</t>
        </is>
      </c>
      <c r="P467" s="7" t="inlineStr">
        <is>
          <t>CST 06</t>
        </is>
      </c>
      <c r="Q467" s="7" t="inlineStr">
        <is>
          <t>CST 73</t>
        </is>
      </c>
      <c r="R467" s="7" t="inlineStr">
        <is>
          <t>Redução de 60% + Diferimento (Art. 138 e Anexo IX LC 214/2025)</t>
        </is>
      </c>
    </row>
    <row r="468" ht="22" customHeight="1">
      <c r="A468" s="12" t="inlineStr">
        <is>
          <t>SKU-0464</t>
        </is>
      </c>
      <c r="B468" s="11" t="n">
        <v>339</v>
      </c>
      <c r="C468" s="13" t="inlineStr">
        <is>
          <t>Nº 28421</t>
        </is>
      </c>
      <c r="D468" s="14" t="inlineStr">
        <is>
          <t>CLORFENAPIR 240 (PRINCIPIO ATIVO)</t>
        </is>
      </c>
      <c r="E468" s="13" t="inlineStr">
        <is>
          <t>Embalagem Comercial do Produto</t>
        </is>
      </c>
      <c r="F468" s="13" t="inlineStr">
        <is>
          <t>GRANEL / P.A. (0 L)</t>
        </is>
      </c>
      <c r="G468" s="13" t="inlineStr">
        <is>
          <t>L</t>
        </is>
      </c>
      <c r="H468" s="15" t="n">
        <v>0</v>
      </c>
      <c r="I468" s="13" t="inlineStr">
        <is>
          <t>3808.69.90</t>
        </is>
      </c>
      <c r="J468" s="13" t="inlineStr">
        <is>
          <t>SIM</t>
        </is>
      </c>
      <c r="K468" s="13" t="inlineStr">
        <is>
          <t>Uso Industrial Exclusivo (PGRS / NBR 10004)</t>
        </is>
      </c>
      <c r="L468" s="13" t="inlineStr">
        <is>
          <t>NÃO</t>
        </is>
      </c>
      <c r="M468" s="13" t="inlineStr">
        <is>
          <t>0,00% (Lei nº 10.925/2004)</t>
        </is>
      </c>
      <c r="N468" s="13" t="inlineStr">
        <is>
          <t>0,925% (LC nº 224/2025)</t>
        </is>
      </c>
      <c r="O468" s="13" t="inlineStr">
        <is>
          <t>0,365% (LC nº 224/2025)</t>
        </is>
      </c>
      <c r="P468" s="13" t="inlineStr">
        <is>
          <t>CST 06 (Uso Agrícola/Industrial)</t>
        </is>
      </c>
      <c r="Q468" s="13" t="inlineStr">
        <is>
          <t>CST 73 (Revenda / Destinação)</t>
        </is>
      </c>
      <c r="R468" s="13" t="inlineStr">
        <is>
          <t>Redução de 60% + Diferimento (Art. 138 LC 214/2025)</t>
        </is>
      </c>
    </row>
    <row r="469" ht="22" customHeight="1">
      <c r="A469" s="6" t="inlineStr">
        <is>
          <t>SKU-0465</t>
        </is>
      </c>
      <c r="B469" s="5" t="n">
        <v>340</v>
      </c>
      <c r="C469" s="7" t="inlineStr">
        <is>
          <t>Nº 5321</t>
        </is>
      </c>
      <c r="D469" s="8" t="inlineStr">
        <is>
          <t>ELUNEY</t>
        </is>
      </c>
      <c r="E469" s="7" t="inlineStr">
        <is>
          <t>Embalagem Comercial do Produto</t>
        </is>
      </c>
      <c r="F469" s="7" t="inlineStr">
        <is>
          <t>4X5L (5 L)</t>
        </is>
      </c>
      <c r="G469" s="7" t="inlineStr">
        <is>
          <t>L</t>
        </is>
      </c>
      <c r="H469" s="9" t="n">
        <v>5</v>
      </c>
      <c r="I469" s="7" t="inlineStr">
        <is>
          <t>3808.92.99</t>
        </is>
      </c>
      <c r="J469" s="7" t="inlineStr">
        <is>
          <t>NÃO</t>
        </is>
      </c>
      <c r="K469" s="7" t="inlineStr">
        <is>
          <t>Embalagem Rígida — LAVÁVEL (Obrigatória Tríplice Lavagem ou Pressão)</t>
        </is>
      </c>
      <c r="L469" s="7" t="inlineStr">
        <is>
          <t>NÃO</t>
        </is>
      </c>
      <c r="M469" s="7" t="inlineStr">
        <is>
          <t>0,00% (Lei nº 10.925/2004)</t>
        </is>
      </c>
      <c r="N469" s="7" t="inlineStr">
        <is>
          <t>0,925% (LC nº 224/2025)</t>
        </is>
      </c>
      <c r="O469" s="7" t="inlineStr">
        <is>
          <t>0,365% (LC nº 224/2025)</t>
        </is>
      </c>
      <c r="P469" s="7" t="inlineStr">
        <is>
          <t>CST 06</t>
        </is>
      </c>
      <c r="Q469" s="7" t="inlineStr">
        <is>
          <t>CST 73</t>
        </is>
      </c>
      <c r="R469" s="7" t="inlineStr">
        <is>
          <t>Redução de 60% + Diferimento (Art. 138 e Anexo IX LC 214/2025)</t>
        </is>
      </c>
    </row>
    <row r="470" ht="22" customHeight="1">
      <c r="A470" s="12" t="inlineStr">
        <is>
          <t>SKU-0466</t>
        </is>
      </c>
      <c r="B470" s="11" t="n">
        <v>341</v>
      </c>
      <c r="C470" s="13" t="inlineStr">
        <is>
          <t>Nº 44024</t>
        </is>
      </c>
      <c r="D470" s="14" t="inlineStr">
        <is>
          <t>BIOLOGIC BRAVIA</t>
        </is>
      </c>
      <c r="E470" s="13" t="inlineStr">
        <is>
          <t>Embalagem Comercial do Produto</t>
        </is>
      </c>
      <c r="F470" s="13" t="inlineStr">
        <is>
          <t>4X5L (5 L)</t>
        </is>
      </c>
      <c r="G470" s="13" t="inlineStr">
        <is>
          <t>L</t>
        </is>
      </c>
      <c r="H470" s="15" t="n">
        <v>5</v>
      </c>
      <c r="I470" s="13" t="inlineStr">
        <is>
          <t>3808.91.99</t>
        </is>
      </c>
      <c r="J470" s="13" t="inlineStr">
        <is>
          <t>NÃO</t>
        </is>
      </c>
      <c r="K470" s="13" t="inlineStr">
        <is>
          <t>Embalagem Rígida — LAVÁVEL (Obrigatória Tríplice Lavagem ou Pressão)</t>
        </is>
      </c>
      <c r="L470" s="13" t="inlineStr">
        <is>
          <t>NÃO</t>
        </is>
      </c>
      <c r="M470" s="13" t="inlineStr">
        <is>
          <t>0,00% (Lei nº 10.925/2004)</t>
        </is>
      </c>
      <c r="N470" s="13" t="inlineStr">
        <is>
          <t>0,925% (LC nº 224/2025)</t>
        </is>
      </c>
      <c r="O470" s="13" t="inlineStr">
        <is>
          <t>0,365% (LC nº 224/2025)</t>
        </is>
      </c>
      <c r="P470" s="13" t="inlineStr">
        <is>
          <t>CST 06</t>
        </is>
      </c>
      <c r="Q470" s="13" t="inlineStr">
        <is>
          <t>CST 73</t>
        </is>
      </c>
      <c r="R470" s="13" t="inlineStr">
        <is>
          <t>Redução de 60% + Diferimento (Art. 138 e Anexo IX LC 214/2025)</t>
        </is>
      </c>
    </row>
    <row r="471" ht="22" customHeight="1">
      <c r="A471" s="6" t="inlineStr">
        <is>
          <t>SKU-0467</t>
        </is>
      </c>
      <c r="B471" s="5" t="n">
        <v>342</v>
      </c>
      <c r="C471" s="7" t="inlineStr">
        <is>
          <t>VINCULAR MARCA</t>
        </is>
      </c>
      <c r="D471" s="8" t="inlineStr">
        <is>
          <t>CARFENTRAZONE 400 EC (PRINCIPIO ATIVO)</t>
        </is>
      </c>
      <c r="E471" s="7" t="inlineStr">
        <is>
          <t>Embalagem Comercial do Produto</t>
        </is>
      </c>
      <c r="F471" s="7" t="inlineStr">
        <is>
          <t>GRANEL / P.A. (0 L)</t>
        </is>
      </c>
      <c r="G471" s="7" t="inlineStr">
        <is>
          <t>L</t>
        </is>
      </c>
      <c r="H471" s="9" t="n">
        <v>0</v>
      </c>
      <c r="I471" s="7" t="inlineStr">
        <is>
          <t>3808.93.29</t>
        </is>
      </c>
      <c r="J471" s="7" t="inlineStr">
        <is>
          <t>NÃO</t>
        </is>
      </c>
      <c r="K471" s="7" t="inlineStr">
        <is>
          <t>Uso Industrial Exclusivo (PGRS / NBR 10004)</t>
        </is>
      </c>
      <c r="L471" s="7" t="inlineStr">
        <is>
          <t>NÃO</t>
        </is>
      </c>
      <c r="M471" s="7" t="inlineStr">
        <is>
          <t>0,00% (Lei nº 10.925/2004)</t>
        </is>
      </c>
      <c r="N471" s="7" t="inlineStr">
        <is>
          <t>0,925% (LC nº 224/2025)</t>
        </is>
      </c>
      <c r="O471" s="7" t="inlineStr">
        <is>
          <t>0,365% (LC nº 224/2025)</t>
        </is>
      </c>
      <c r="P471" s="7" t="inlineStr">
        <is>
          <t>CST 06 (Uso Agrícola/Industrial)</t>
        </is>
      </c>
      <c r="Q471" s="7" t="inlineStr">
        <is>
          <t>CST 73 (Revenda / Destinação)</t>
        </is>
      </c>
      <c r="R471" s="7" t="inlineStr">
        <is>
          <t>Redução de 60% + Diferimento (Art. 138 LC 214/2025)</t>
        </is>
      </c>
    </row>
    <row r="472" ht="22" customHeight="1">
      <c r="A472" s="12" t="inlineStr">
        <is>
          <t>SKU-0468</t>
        </is>
      </c>
      <c r="B472" s="11" t="n">
        <v>342</v>
      </c>
      <c r="C472" s="13" t="inlineStr">
        <is>
          <t>VINCULAR MARCA</t>
        </is>
      </c>
      <c r="D472" s="14" t="inlineStr">
        <is>
          <t>CARFENTRAZONE 400 EC (PRINCIPIO ATIVO)</t>
        </is>
      </c>
      <c r="E472" s="13" t="inlineStr">
        <is>
          <t>Faixa 1 TIPI (Apresentação &lt;= 300 g ou mL)</t>
        </is>
      </c>
      <c r="F472" s="13" t="inlineStr">
        <is>
          <t>Fracionado / Amostra &lt;= 0,3 L</t>
        </is>
      </c>
      <c r="G472" s="13" t="inlineStr">
        <is>
          <t>L</t>
        </is>
      </c>
      <c r="H472" s="18" t="n">
        <v>0.3</v>
      </c>
      <c r="I472" s="13" t="inlineStr">
        <is>
          <t>3808.92.20</t>
        </is>
      </c>
      <c r="J472" s="13" t="inlineStr">
        <is>
          <t>NÃO</t>
        </is>
      </c>
      <c r="K472" s="13" t="inlineStr">
        <is>
          <t>Uso Industrial Exclusivo (PGRS / NBR 10004)</t>
        </is>
      </c>
      <c r="L472" s="13" t="inlineStr">
        <is>
          <t>NÃO</t>
        </is>
      </c>
      <c r="M472" s="13" t="inlineStr">
        <is>
          <t>0,00% (Lei nº 10.925/2004)</t>
        </is>
      </c>
      <c r="N472" s="13" t="inlineStr">
        <is>
          <t>0,925% (LC nº 224/2025)</t>
        </is>
      </c>
      <c r="O472" s="13" t="inlineStr">
        <is>
          <t>0,365% (LC nº 224/2025)</t>
        </is>
      </c>
      <c r="P472" s="13" t="inlineStr">
        <is>
          <t>CST 06 (Uso Agrícola/Industrial)</t>
        </is>
      </c>
      <c r="Q472" s="13" t="inlineStr">
        <is>
          <t>CST 73 (Revenda / Destinação)</t>
        </is>
      </c>
      <c r="R472" s="13" t="inlineStr">
        <is>
          <t>Redução de 60% + Diferimento (Art. 138 LC 214/2025)</t>
        </is>
      </c>
    </row>
    <row r="473" ht="22" customHeight="1">
      <c r="A473" s="6" t="inlineStr">
        <is>
          <t>SKU-0469</t>
        </is>
      </c>
      <c r="B473" s="5" t="n">
        <v>343</v>
      </c>
      <c r="C473" s="7" t="inlineStr">
        <is>
          <t>Nº 14521</t>
        </is>
      </c>
      <c r="D473" s="8" t="inlineStr">
        <is>
          <t>SAURUS WG</t>
        </is>
      </c>
      <c r="E473" s="7" t="inlineStr">
        <is>
          <t>Embalagem Comercial do Produto</t>
        </is>
      </c>
      <c r="F473" s="7" t="inlineStr">
        <is>
          <t>12X1KG (1 KG)</t>
        </is>
      </c>
      <c r="G473" s="7" t="inlineStr">
        <is>
          <t>KG</t>
        </is>
      </c>
      <c r="H473" s="9" t="n">
        <v>1</v>
      </c>
      <c r="I473" s="7" t="inlineStr">
        <is>
          <t>3808.91.99</t>
        </is>
      </c>
      <c r="J473" s="7" t="inlineStr">
        <is>
          <t>NÃO</t>
        </is>
      </c>
      <c r="K473" s="7" t="inlineStr">
        <is>
          <t>Embalagem Flexível — NÃO LAVÁVEL (Perfurar e usar saco ABNT)</t>
        </is>
      </c>
      <c r="L473" s="7" t="inlineStr">
        <is>
          <t>SIM (Saco Transparente ABNT)</t>
        </is>
      </c>
      <c r="M473" s="7" t="inlineStr">
        <is>
          <t>0,00% (Lei nº 10.925/2004)</t>
        </is>
      </c>
      <c r="N473" s="7" t="inlineStr">
        <is>
          <t>0,925% (LC nº 224/2025)</t>
        </is>
      </c>
      <c r="O473" s="7" t="inlineStr">
        <is>
          <t>0,365% (LC nº 224/2025)</t>
        </is>
      </c>
      <c r="P473" s="7" t="inlineStr">
        <is>
          <t>CST 06</t>
        </is>
      </c>
      <c r="Q473" s="7" t="inlineStr">
        <is>
          <t>CST 73</t>
        </is>
      </c>
      <c r="R473" s="7" t="inlineStr">
        <is>
          <t>Redução de 60% + Diferimento (Art. 138 e Anexo IX LC 214/2025)</t>
        </is>
      </c>
    </row>
    <row r="474" ht="22" customHeight="1">
      <c r="A474" s="12" t="inlineStr">
        <is>
          <t>SKU-0470</t>
        </is>
      </c>
      <c r="B474" s="11" t="n">
        <v>344</v>
      </c>
      <c r="C474" s="13" t="inlineStr">
        <is>
          <t>Nº 0122</t>
        </is>
      </c>
      <c r="D474" s="14" t="inlineStr">
        <is>
          <t>EXCALIA MAX</t>
        </is>
      </c>
      <c r="E474" s="13" t="inlineStr">
        <is>
          <t>Embalagem Comercial do Produto</t>
        </is>
      </c>
      <c r="F474" s="13" t="inlineStr">
        <is>
          <t>4X5L (5 L)</t>
        </is>
      </c>
      <c r="G474" s="13" t="inlineStr">
        <is>
          <t>L</t>
        </is>
      </c>
      <c r="H474" s="15" t="n">
        <v>5</v>
      </c>
      <c r="I474" s="13" t="inlineStr">
        <is>
          <t>3808.92.99</t>
        </is>
      </c>
      <c r="J474" s="13" t="inlineStr">
        <is>
          <t>NÃO</t>
        </is>
      </c>
      <c r="K474" s="13" t="inlineStr">
        <is>
          <t>Embalagem Rígida — LAVÁVEL (Obrigatória Tríplice Lavagem ou Pressão)</t>
        </is>
      </c>
      <c r="L474" s="13" t="inlineStr">
        <is>
          <t>NÃO</t>
        </is>
      </c>
      <c r="M474" s="13" t="inlineStr">
        <is>
          <t>0,00% (Lei nº 10.925/2004)</t>
        </is>
      </c>
      <c r="N474" s="13" t="inlineStr">
        <is>
          <t>0,925% (LC nº 224/2025)</t>
        </is>
      </c>
      <c r="O474" s="13" t="inlineStr">
        <is>
          <t>0,365% (LC nº 224/2025)</t>
        </is>
      </c>
      <c r="P474" s="13" t="inlineStr">
        <is>
          <t>CST 06</t>
        </is>
      </c>
      <c r="Q474" s="13" t="inlineStr">
        <is>
          <t>CST 73</t>
        </is>
      </c>
      <c r="R474" s="13" t="inlineStr">
        <is>
          <t>Redução de 60% + Diferimento (Art. 138 e Anexo IX LC 214/2025)</t>
        </is>
      </c>
    </row>
    <row r="475" ht="22" customHeight="1">
      <c r="A475" s="6" t="inlineStr">
        <is>
          <t>SKU-0471</t>
        </is>
      </c>
      <c r="B475" s="5" t="n">
        <v>345</v>
      </c>
      <c r="C475" s="7" t="inlineStr">
        <is>
          <t>Nº 3922</t>
        </is>
      </c>
      <c r="D475" s="8" t="inlineStr">
        <is>
          <t>BELYAN</t>
        </is>
      </c>
      <c r="E475" s="7" t="inlineStr">
        <is>
          <t>Embalagem Comercial do Produto</t>
        </is>
      </c>
      <c r="F475" s="7" t="inlineStr">
        <is>
          <t>4X5L (5 L)</t>
        </is>
      </c>
      <c r="G475" s="7" t="inlineStr">
        <is>
          <t>L</t>
        </is>
      </c>
      <c r="H475" s="9" t="n">
        <v>5</v>
      </c>
      <c r="I475" s="7" t="inlineStr">
        <is>
          <t>3808.92.99</t>
        </is>
      </c>
      <c r="J475" s="7" t="inlineStr">
        <is>
          <t>NÃO</t>
        </is>
      </c>
      <c r="K475" s="7" t="inlineStr">
        <is>
          <t>Embalagem Rígida — LAVÁVEL (Obrigatória Tríplice Lavagem ou Pressão)</t>
        </is>
      </c>
      <c r="L475" s="7" t="inlineStr">
        <is>
          <t>NÃO</t>
        </is>
      </c>
      <c r="M475" s="7" t="inlineStr">
        <is>
          <t>0,00% (Lei nº 10.925/2004)</t>
        </is>
      </c>
      <c r="N475" s="7" t="inlineStr">
        <is>
          <t>0,925% (LC nº 224/2025)</t>
        </is>
      </c>
      <c r="O475" s="7" t="inlineStr">
        <is>
          <t>0,365% (LC nº 224/2025)</t>
        </is>
      </c>
      <c r="P475" s="7" t="inlineStr">
        <is>
          <t>CST 06</t>
        </is>
      </c>
      <c r="Q475" s="7" t="inlineStr">
        <is>
          <t>CST 73</t>
        </is>
      </c>
      <c r="R475" s="7" t="inlineStr">
        <is>
          <t>Redução de 60% + Diferimento (Art. 138 e Anexo IX LC 214/2025)</t>
        </is>
      </c>
    </row>
    <row r="476" ht="22" customHeight="1">
      <c r="A476" s="12" t="inlineStr">
        <is>
          <t>SKU-0472</t>
        </is>
      </c>
      <c r="B476" s="11" t="n">
        <v>346</v>
      </c>
      <c r="C476" s="13" t="inlineStr">
        <is>
          <t>Nº 9517</t>
        </is>
      </c>
      <c r="D476" s="14" t="inlineStr">
        <is>
          <t>FUSAO EC</t>
        </is>
      </c>
      <c r="E476" s="13" t="inlineStr">
        <is>
          <t>Embalagem Comercial do Produto</t>
        </is>
      </c>
      <c r="F476" s="13" t="inlineStr">
        <is>
          <t>1X10L (10 L)</t>
        </is>
      </c>
      <c r="G476" s="13" t="inlineStr">
        <is>
          <t>L</t>
        </is>
      </c>
      <c r="H476" s="15" t="n">
        <v>10</v>
      </c>
      <c r="I476" s="13" t="inlineStr">
        <is>
          <t>3808.92.99</t>
        </is>
      </c>
      <c r="J476" s="13" t="inlineStr">
        <is>
          <t>NÃO</t>
        </is>
      </c>
      <c r="K476" s="13" t="inlineStr">
        <is>
          <t>Embalagem Rígida — LAVÁVEL (Obrigatória Tríplice Lavagem ou Pressão)</t>
        </is>
      </c>
      <c r="L476" s="13" t="inlineStr">
        <is>
          <t>NÃO</t>
        </is>
      </c>
      <c r="M476" s="13" t="inlineStr">
        <is>
          <t>0,00% (Lei nº 10.925/2004)</t>
        </is>
      </c>
      <c r="N476" s="13" t="inlineStr">
        <is>
          <t>0,925% (LC nº 224/2025)</t>
        </is>
      </c>
      <c r="O476" s="13" t="inlineStr">
        <is>
          <t>0,365% (LC nº 224/2025)</t>
        </is>
      </c>
      <c r="P476" s="13" t="inlineStr">
        <is>
          <t>CST 06</t>
        </is>
      </c>
      <c r="Q476" s="13" t="inlineStr">
        <is>
          <t>CST 73</t>
        </is>
      </c>
      <c r="R476" s="13" t="inlineStr">
        <is>
          <t>Redução de 60% + Diferimento (Art. 138 e Anexo IX LC 214/2025)</t>
        </is>
      </c>
    </row>
    <row r="477" ht="22" customHeight="1">
      <c r="A477" s="6" t="inlineStr">
        <is>
          <t>SKU-0473</t>
        </is>
      </c>
      <c r="B477" s="5" t="n">
        <v>347</v>
      </c>
      <c r="C477" s="7" t="inlineStr">
        <is>
          <t>Nº 8912</t>
        </is>
      </c>
      <c r="D477" s="8" t="inlineStr">
        <is>
          <t>GLIFOSATO 698 CRUCIAL SL</t>
        </is>
      </c>
      <c r="E477" s="7" t="inlineStr">
        <is>
          <t>Embalagem Comercial do Produto</t>
        </is>
      </c>
      <c r="F477" s="7" t="inlineStr">
        <is>
          <t>1X20L (20 L)</t>
        </is>
      </c>
      <c r="G477" s="7" t="inlineStr">
        <is>
          <t>L</t>
        </is>
      </c>
      <c r="H477" s="9" t="n">
        <v>20</v>
      </c>
      <c r="I477" s="7" t="inlineStr">
        <is>
          <t>3808.93.24</t>
        </is>
      </c>
      <c r="J477" s="7" t="inlineStr">
        <is>
          <t>NÃO</t>
        </is>
      </c>
      <c r="K477" s="7" t="inlineStr">
        <is>
          <t>Embalagem Rígida — LAVÁVEL (Obrigatória Tríplice Lavagem ou Pressão)</t>
        </is>
      </c>
      <c r="L477" s="7" t="inlineStr">
        <is>
          <t>NÃO</t>
        </is>
      </c>
      <c r="M477" s="7" t="inlineStr">
        <is>
          <t>0,00% (Lei nº 10.925/2004)</t>
        </is>
      </c>
      <c r="N477" s="7" t="inlineStr">
        <is>
          <t>0,925% (LC nº 224/2025)</t>
        </is>
      </c>
      <c r="O477" s="7" t="inlineStr">
        <is>
          <t>0,365% (LC nº 224/2025)</t>
        </is>
      </c>
      <c r="P477" s="7" t="inlineStr">
        <is>
          <t>CST 06</t>
        </is>
      </c>
      <c r="Q477" s="7" t="inlineStr">
        <is>
          <t>CST 73</t>
        </is>
      </c>
      <c r="R477" s="7" t="inlineStr">
        <is>
          <t>Redução de 60% + Diferimento (Art. 138 e Anexo IX LC 214/2025)</t>
        </is>
      </c>
    </row>
    <row r="478" ht="22" customHeight="1">
      <c r="A478" s="12" t="inlineStr">
        <is>
          <t>SKU-0474</t>
        </is>
      </c>
      <c r="B478" s="11" t="n">
        <v>348</v>
      </c>
      <c r="C478" s="13" t="inlineStr">
        <is>
          <t>Nº 36822</t>
        </is>
      </c>
      <c r="D478" s="14" t="inlineStr">
        <is>
          <t>CLORPIRIFOS 48 EC LUBA</t>
        </is>
      </c>
      <c r="E478" s="13" t="inlineStr">
        <is>
          <t>Embalagem Comercial do Produto</t>
        </is>
      </c>
      <c r="F478" s="13" t="inlineStr">
        <is>
          <t>1X20L (20 L)</t>
        </is>
      </c>
      <c r="G478" s="13" t="inlineStr">
        <is>
          <t>L</t>
        </is>
      </c>
      <c r="H478" s="15" t="n">
        <v>20</v>
      </c>
      <c r="I478" s="13" t="inlineStr">
        <is>
          <t>3808.91.99</t>
        </is>
      </c>
      <c r="J478" s="13" t="inlineStr">
        <is>
          <t>NÃO</t>
        </is>
      </c>
      <c r="K478" s="13" t="inlineStr">
        <is>
          <t>Embalagem Rígida — LAVÁVEL (Obrigatória Tríplice Lavagem ou Pressão)</t>
        </is>
      </c>
      <c r="L478" s="13" t="inlineStr">
        <is>
          <t>NÃO</t>
        </is>
      </c>
      <c r="M478" s="13" t="inlineStr">
        <is>
          <t>0,00% (Lei nº 10.925/2004)</t>
        </is>
      </c>
      <c r="N478" s="13" t="inlineStr">
        <is>
          <t>0,925% (LC nº 224/2025)</t>
        </is>
      </c>
      <c r="O478" s="13" t="inlineStr">
        <is>
          <t>0,365% (LC nº 224/2025)</t>
        </is>
      </c>
      <c r="P478" s="13" t="inlineStr">
        <is>
          <t>CST 06</t>
        </is>
      </c>
      <c r="Q478" s="13" t="inlineStr">
        <is>
          <t>CST 73</t>
        </is>
      </c>
      <c r="R478" s="13" t="inlineStr">
        <is>
          <t>Redução de 60% + Diferimento (Art. 138 e Anexo IX LC 214/2025)</t>
        </is>
      </c>
    </row>
    <row r="479" ht="22" customHeight="1">
      <c r="A479" s="6" t="inlineStr">
        <is>
          <t>SKU-0475</t>
        </is>
      </c>
      <c r="B479" s="5" t="n">
        <v>349</v>
      </c>
      <c r="C479" s="7" t="inlineStr">
        <is>
          <t>Nº 34621</t>
        </is>
      </c>
      <c r="D479" s="8" t="inlineStr">
        <is>
          <t>RATEIO 200 SL</t>
        </is>
      </c>
      <c r="E479" s="7" t="inlineStr">
        <is>
          <t>Embalagem Comercial do Produto</t>
        </is>
      </c>
      <c r="F479" s="7" t="inlineStr">
        <is>
          <t>1X20L (20 L)</t>
        </is>
      </c>
      <c r="G479" s="7" t="inlineStr">
        <is>
          <t>L</t>
        </is>
      </c>
      <c r="H479" s="9" t="n">
        <v>20</v>
      </c>
      <c r="I479" s="7" t="inlineStr">
        <is>
          <t>3808.93.29</t>
        </is>
      </c>
      <c r="J479" s="7" t="inlineStr">
        <is>
          <t>NÃO</t>
        </is>
      </c>
      <c r="K479" s="7" t="inlineStr">
        <is>
          <t>Embalagem Rígida — LAVÁVEL (Obrigatória Tríplice Lavagem ou Pressão)</t>
        </is>
      </c>
      <c r="L479" s="7" t="inlineStr">
        <is>
          <t>NÃO</t>
        </is>
      </c>
      <c r="M479" s="7" t="inlineStr">
        <is>
          <t>0,00% (Lei nº 10.925/2004)</t>
        </is>
      </c>
      <c r="N479" s="7" t="inlineStr">
        <is>
          <t>0,925% (LC nº 224/2025)</t>
        </is>
      </c>
      <c r="O479" s="7" t="inlineStr">
        <is>
          <t>0,365% (LC nº 224/2025)</t>
        </is>
      </c>
      <c r="P479" s="7" t="inlineStr">
        <is>
          <t>CST 06</t>
        </is>
      </c>
      <c r="Q479" s="7" t="inlineStr">
        <is>
          <t>CST 73</t>
        </is>
      </c>
      <c r="R479" s="7" t="inlineStr">
        <is>
          <t>Redução de 60% + Diferimento (Art. 138 e Anexo IX LC 214/2025)</t>
        </is>
      </c>
    </row>
    <row r="480" ht="22" customHeight="1">
      <c r="A480" s="12" t="inlineStr">
        <is>
          <t>SKU-0476</t>
        </is>
      </c>
      <c r="B480" s="11" t="n">
        <v>350</v>
      </c>
      <c r="C480" s="13" t="inlineStr">
        <is>
          <t>Nº 34621</t>
        </is>
      </c>
      <c r="D480" s="14" t="inlineStr">
        <is>
          <t>RATEIO 200 SL</t>
        </is>
      </c>
      <c r="E480" s="13" t="inlineStr">
        <is>
          <t>Embalagem Comercial do Produto</t>
        </is>
      </c>
      <c r="F480" s="13" t="inlineStr">
        <is>
          <t>1X20L (20 L)</t>
        </is>
      </c>
      <c r="G480" s="13" t="inlineStr">
        <is>
          <t>L</t>
        </is>
      </c>
      <c r="H480" s="15" t="n">
        <v>20</v>
      </c>
      <c r="I480" s="13" t="inlineStr">
        <is>
          <t>3808.93.29</t>
        </is>
      </c>
      <c r="J480" s="13" t="inlineStr">
        <is>
          <t>NÃO</t>
        </is>
      </c>
      <c r="K480" s="13" t="inlineStr">
        <is>
          <t>Embalagem Rígida — LAVÁVEL (Obrigatória Tríplice Lavagem ou Pressão)</t>
        </is>
      </c>
      <c r="L480" s="13" t="inlineStr">
        <is>
          <t>NÃO</t>
        </is>
      </c>
      <c r="M480" s="13" t="inlineStr">
        <is>
          <t>0,00% (Lei nº 10.925/2004)</t>
        </is>
      </c>
      <c r="N480" s="13" t="inlineStr">
        <is>
          <t>0,925% (LC nº 224/2025)</t>
        </is>
      </c>
      <c r="O480" s="13" t="inlineStr">
        <is>
          <t>0,365% (LC nº 224/2025)</t>
        </is>
      </c>
      <c r="P480" s="13" t="inlineStr">
        <is>
          <t>CST 06</t>
        </is>
      </c>
      <c r="Q480" s="13" t="inlineStr">
        <is>
          <t>CST 73</t>
        </is>
      </c>
      <c r="R480" s="13" t="inlineStr">
        <is>
          <t>Redução de 60% + Diferimento (Art. 138 e Anexo IX LC 214/2025)</t>
        </is>
      </c>
    </row>
    <row r="481" ht="22" customHeight="1">
      <c r="A481" s="6" t="inlineStr">
        <is>
          <t>SKU-0477</t>
        </is>
      </c>
      <c r="B481" s="5" t="n">
        <v>351</v>
      </c>
      <c r="C481" s="7" t="inlineStr">
        <is>
          <t>Nº 23917</t>
        </is>
      </c>
      <c r="D481" s="8" t="inlineStr">
        <is>
          <t>MESOTRIONA CCAB</t>
        </is>
      </c>
      <c r="E481" s="7" t="inlineStr">
        <is>
          <t>Embalagem Comercial do Produto</t>
        </is>
      </c>
      <c r="F481" s="7" t="inlineStr">
        <is>
          <t>4X5L (5 L)</t>
        </is>
      </c>
      <c r="G481" s="7" t="inlineStr">
        <is>
          <t>L</t>
        </is>
      </c>
      <c r="H481" s="9" t="n">
        <v>5</v>
      </c>
      <c r="I481" s="7" t="inlineStr">
        <is>
          <t>3808.93.29</t>
        </is>
      </c>
      <c r="J481" s="7" t="inlineStr">
        <is>
          <t>NÃO</t>
        </is>
      </c>
      <c r="K481" s="7" t="inlineStr">
        <is>
          <t>Embalagem Rígida — LAVÁVEL (Obrigatória Tríplice Lavagem ou Pressão)</t>
        </is>
      </c>
      <c r="L481" s="7" t="inlineStr">
        <is>
          <t>NÃO</t>
        </is>
      </c>
      <c r="M481" s="7" t="inlineStr">
        <is>
          <t>0,00% (Lei nº 10.925/2004)</t>
        </is>
      </c>
      <c r="N481" s="7" t="inlineStr">
        <is>
          <t>0,925% (LC nº 224/2025)</t>
        </is>
      </c>
      <c r="O481" s="7" t="inlineStr">
        <is>
          <t>0,365% (LC nº 224/2025)</t>
        </is>
      </c>
      <c r="P481" s="7" t="inlineStr">
        <is>
          <t>CST 06</t>
        </is>
      </c>
      <c r="Q481" s="7" t="inlineStr">
        <is>
          <t>CST 73</t>
        </is>
      </c>
      <c r="R481" s="7" t="inlineStr">
        <is>
          <t>Redução de 60% + Diferimento (Art. 138 e Anexo IX LC 214/2025)</t>
        </is>
      </c>
    </row>
    <row r="482" ht="22" customHeight="1">
      <c r="A482" s="12" t="inlineStr">
        <is>
          <t>SKU-0478</t>
        </is>
      </c>
      <c r="B482" s="11" t="n">
        <v>352</v>
      </c>
      <c r="C482" s="13" t="inlineStr">
        <is>
          <t>Nº 23917</t>
        </is>
      </c>
      <c r="D482" s="14" t="inlineStr">
        <is>
          <t>MESOTRIONA CCAB</t>
        </is>
      </c>
      <c r="E482" s="13" t="inlineStr">
        <is>
          <t>Embalagem Comercial do Produto</t>
        </is>
      </c>
      <c r="F482" s="13" t="inlineStr">
        <is>
          <t>1X20L (20 L)</t>
        </is>
      </c>
      <c r="G482" s="13" t="inlineStr">
        <is>
          <t>L</t>
        </is>
      </c>
      <c r="H482" s="15" t="n">
        <v>20</v>
      </c>
      <c r="I482" s="13" t="inlineStr">
        <is>
          <t>3808.93.29</t>
        </is>
      </c>
      <c r="J482" s="13" t="inlineStr">
        <is>
          <t>NÃO</t>
        </is>
      </c>
      <c r="K482" s="13" t="inlineStr">
        <is>
          <t>Embalagem Rígida — LAVÁVEL (Obrigatória Tríplice Lavagem ou Pressão)</t>
        </is>
      </c>
      <c r="L482" s="13" t="inlineStr">
        <is>
          <t>NÃO</t>
        </is>
      </c>
      <c r="M482" s="13" t="inlineStr">
        <is>
          <t>0,00% (Lei nº 10.925/2004)</t>
        </is>
      </c>
      <c r="N482" s="13" t="inlineStr">
        <is>
          <t>0,925% (LC nº 224/2025)</t>
        </is>
      </c>
      <c r="O482" s="13" t="inlineStr">
        <is>
          <t>0,365% (LC nº 224/2025)</t>
        </is>
      </c>
      <c r="P482" s="13" t="inlineStr">
        <is>
          <t>CST 06</t>
        </is>
      </c>
      <c r="Q482" s="13" t="inlineStr">
        <is>
          <t>CST 73</t>
        </is>
      </c>
      <c r="R482" s="13" t="inlineStr">
        <is>
          <t>Redução de 60% + Diferimento (Art. 138 e Anexo IX LC 214/2025)</t>
        </is>
      </c>
    </row>
    <row r="483" ht="22" customHeight="1">
      <c r="A483" s="6" t="inlineStr">
        <is>
          <t>SKU-0479</t>
        </is>
      </c>
      <c r="B483" s="5" t="n">
        <v>353</v>
      </c>
      <c r="C483" s="7" t="inlineStr">
        <is>
          <t>SIPEAGRO (UF-XXXXX)</t>
        </is>
      </c>
      <c r="D483" s="8" t="inlineStr">
        <is>
          <t>BEEOGARDEN (ADUBO FOLIAR)</t>
        </is>
      </c>
      <c r="E483" s="7" t="inlineStr">
        <is>
          <t>Embalagem Comercial do Produto</t>
        </is>
      </c>
      <c r="F483" s="7" t="inlineStr">
        <is>
          <t>5L (5 L)</t>
        </is>
      </c>
      <c r="G483" s="7" t="inlineStr">
        <is>
          <t>L</t>
        </is>
      </c>
      <c r="H483" s="9" t="n">
        <v>5</v>
      </c>
      <c r="I483" s="7" t="inlineStr">
        <is>
          <t>3101.00.00</t>
        </is>
      </c>
      <c r="J483" s="7" t="inlineStr">
        <is>
          <t>NÃO</t>
        </is>
      </c>
      <c r="K483" s="7" t="inlineStr">
        <is>
          <t>Embalagem de Insumo Nutricional/Biológico (Logística Reversa)</t>
        </is>
      </c>
      <c r="L483" s="7" t="inlineStr">
        <is>
          <t>NÃO</t>
        </is>
      </c>
      <c r="M483" s="7" t="inlineStr">
        <is>
          <t>0,00% (Lei nº 10.925/2004)</t>
        </is>
      </c>
      <c r="N483" s="7" t="inlineStr">
        <is>
          <t>0,925% (LC nº 224/2025)</t>
        </is>
      </c>
      <c r="O483" s="7" t="inlineStr">
        <is>
          <t>0,365% (LC nº 224/2025)</t>
        </is>
      </c>
      <c r="P483" s="7" t="inlineStr">
        <is>
          <t>CST 06</t>
        </is>
      </c>
      <c r="Q483" s="7" t="inlineStr">
        <is>
          <t>CST 73</t>
        </is>
      </c>
      <c r="R483" s="7" t="inlineStr">
        <is>
          <t>Redução de 60% + Diferimento (Art. 138 e Anexo IX LC 214/2025)</t>
        </is>
      </c>
    </row>
    <row r="484" ht="22" customHeight="1">
      <c r="A484" s="12" t="inlineStr">
        <is>
          <t>SKU-0480</t>
        </is>
      </c>
      <c r="B484" s="11" t="n">
        <v>353</v>
      </c>
      <c r="C484" s="13" t="inlineStr">
        <is>
          <t>SIPEAGRO (UF-XXXXX)</t>
        </is>
      </c>
      <c r="D484" s="14" t="inlineStr">
        <is>
          <t>BEEOGARDEN (ADUBO FOLIAR)</t>
        </is>
      </c>
      <c r="E484" s="13" t="inlineStr">
        <is>
          <t>Faixa 1 TIPI (Apresentação &lt;= 300 g ou mL)</t>
        </is>
      </c>
      <c r="F484" s="13" t="inlineStr">
        <is>
          <t>Fracionado / Amostra &lt;= 0,3 L</t>
        </is>
      </c>
      <c r="G484" s="13" t="inlineStr">
        <is>
          <t>L</t>
        </is>
      </c>
      <c r="H484" s="18" t="n">
        <v>0.3</v>
      </c>
      <c r="I484" s="13" t="inlineStr">
        <is>
          <t>3105.90.90</t>
        </is>
      </c>
      <c r="J484" s="13" t="inlineStr">
        <is>
          <t>NÃO</t>
        </is>
      </c>
      <c r="K484" s="13" t="inlineStr">
        <is>
          <t>Embalagem de Insumo Nutricional/Biológico (Logística Reversa)</t>
        </is>
      </c>
      <c r="L484" s="13" t="inlineStr">
        <is>
          <t>NÃO</t>
        </is>
      </c>
      <c r="M484" s="13" t="inlineStr">
        <is>
          <t>0,00% (Lei nº 10.925/2004)</t>
        </is>
      </c>
      <c r="N484" s="13" t="inlineStr">
        <is>
          <t>0,925% (LC nº 224/2025)</t>
        </is>
      </c>
      <c r="O484" s="13" t="inlineStr">
        <is>
          <t>0,365% (LC nº 224/2025)</t>
        </is>
      </c>
      <c r="P484" s="13" t="inlineStr">
        <is>
          <t>CST 06</t>
        </is>
      </c>
      <c r="Q484" s="13" t="inlineStr">
        <is>
          <t>CST 73</t>
        </is>
      </c>
      <c r="R484" s="13" t="inlineStr">
        <is>
          <t>Redução de 60% + Diferimento (Art. 138 e Anexo IX LC 214/2025)</t>
        </is>
      </c>
    </row>
    <row r="485" ht="22" customHeight="1">
      <c r="A485" s="6" t="inlineStr">
        <is>
          <t>SKU-0481</t>
        </is>
      </c>
      <c r="B485" s="5" t="n">
        <v>354</v>
      </c>
      <c r="C485" s="7" t="inlineStr">
        <is>
          <t>SIPEAGRO (UF-XXXXX)</t>
        </is>
      </c>
      <c r="D485" s="8" t="inlineStr">
        <is>
          <t>TECH. GROW IV 460000 (IMP)</t>
        </is>
      </c>
      <c r="E485" s="7" t="inlineStr">
        <is>
          <t>Embalagem Comercial do Produto</t>
        </is>
      </c>
      <c r="F485" s="7" t="inlineStr">
        <is>
          <t>EMBALAGEM PADRÃO (25 KG)</t>
        </is>
      </c>
      <c r="G485" s="7" t="inlineStr">
        <is>
          <t>KG</t>
        </is>
      </c>
      <c r="H485" s="9" t="n">
        <v>25</v>
      </c>
      <c r="I485" s="7" t="inlineStr">
        <is>
          <t>3102.10.10</t>
        </is>
      </c>
      <c r="J485" s="7" t="inlineStr">
        <is>
          <t>NÃO</t>
        </is>
      </c>
      <c r="K485" s="7" t="inlineStr">
        <is>
          <t>Embalagem de Insumo Nutricional/Biológico (Logística Reversa)</t>
        </is>
      </c>
      <c r="L485" s="7" t="inlineStr">
        <is>
          <t>NÃO</t>
        </is>
      </c>
      <c r="M485" s="7" t="inlineStr">
        <is>
          <t>0,00% (Lei nº 10.925/2004)</t>
        </is>
      </c>
      <c r="N485" s="7" t="inlineStr">
        <is>
          <t>0,925% (LC nº 224/2025)</t>
        </is>
      </c>
      <c r="O485" s="7" t="inlineStr">
        <is>
          <t>0,365% (LC nº 224/2025)</t>
        </is>
      </c>
      <c r="P485" s="7" t="inlineStr">
        <is>
          <t>CST 06</t>
        </is>
      </c>
      <c r="Q485" s="7" t="inlineStr">
        <is>
          <t>CST 73</t>
        </is>
      </c>
      <c r="R485" s="7" t="inlineStr">
        <is>
          <t>Redução de 60% + Diferimento (Art. 138 e Anexo IX LC 214/2025)</t>
        </is>
      </c>
    </row>
    <row r="486" ht="22" customHeight="1">
      <c r="A486" s="12" t="inlineStr">
        <is>
          <t>SKU-0482</t>
        </is>
      </c>
      <c r="B486" s="11" t="n">
        <v>354</v>
      </c>
      <c r="C486" s="13" t="inlineStr">
        <is>
          <t>SIPEAGRO (UF-XXXXX)</t>
        </is>
      </c>
      <c r="D486" s="14" t="inlineStr">
        <is>
          <t>TECH. GROW IV 460000 (IMP)</t>
        </is>
      </c>
      <c r="E486" s="13" t="inlineStr">
        <is>
          <t>Faixa 1 TIPI (Apresentação &lt;= 300 g ou mL)</t>
        </is>
      </c>
      <c r="F486" s="13" t="inlineStr">
        <is>
          <t>Fracionado / Amostra &lt;= 0,3 KG</t>
        </is>
      </c>
      <c r="G486" s="13" t="inlineStr">
        <is>
          <t>KG</t>
        </is>
      </c>
      <c r="H486" s="18" t="n">
        <v>0.3</v>
      </c>
      <c r="I486" s="13" t="inlineStr">
        <is>
          <t>3102.10.10</t>
        </is>
      </c>
      <c r="J486" s="13" t="inlineStr">
        <is>
          <t>NÃO</t>
        </is>
      </c>
      <c r="K486" s="13" t="inlineStr">
        <is>
          <t>Embalagem de Insumo Nutricional/Biológico (Logística Reversa)</t>
        </is>
      </c>
      <c r="L486" s="13" t="inlineStr">
        <is>
          <t>NÃO</t>
        </is>
      </c>
      <c r="M486" s="13" t="inlineStr">
        <is>
          <t>0,00% (Lei nº 10.925/2004)</t>
        </is>
      </c>
      <c r="N486" s="13" t="inlineStr">
        <is>
          <t>0,925% (LC nº 224/2025)</t>
        </is>
      </c>
      <c r="O486" s="13" t="inlineStr">
        <is>
          <t>0,365% (LC nº 224/2025)</t>
        </is>
      </c>
      <c r="P486" s="13" t="inlineStr">
        <is>
          <t>CST 06</t>
        </is>
      </c>
      <c r="Q486" s="13" t="inlineStr">
        <is>
          <t>CST 73</t>
        </is>
      </c>
      <c r="R486" s="13" t="inlineStr">
        <is>
          <t>Redução de 60% + Diferimento (Art. 138 e Anexo IX LC 214/2025)</t>
        </is>
      </c>
    </row>
    <row r="487" ht="22" customHeight="1">
      <c r="A487" s="6" t="inlineStr">
        <is>
          <t>SKU-0483</t>
        </is>
      </c>
      <c r="B487" s="5" t="n">
        <v>355</v>
      </c>
      <c r="C487" s="7" t="inlineStr">
        <is>
          <t>SIPEAGRO (UF-XXXXX)</t>
        </is>
      </c>
      <c r="D487" s="8" t="inlineStr">
        <is>
          <t>NPK NK200020 20-00-20 - 1.000KG (IMP)</t>
        </is>
      </c>
      <c r="E487" s="7" t="inlineStr">
        <is>
          <t>Embalagem Comercial do Produto</t>
        </is>
      </c>
      <c r="F487" s="7" t="inlineStr">
        <is>
          <t>1.000KG (1000 KG)</t>
        </is>
      </c>
      <c r="G487" s="7" t="inlineStr">
        <is>
          <t>KG</t>
        </is>
      </c>
      <c r="H487" s="9" t="n">
        <v>1</v>
      </c>
      <c r="I487" s="7" t="inlineStr">
        <is>
          <t>3105.90.19</t>
        </is>
      </c>
      <c r="J487" s="7" t="inlineStr">
        <is>
          <t>NÃO</t>
        </is>
      </c>
      <c r="K487" s="7" t="inlineStr">
        <is>
          <t>Embalagem de Insumo Nutricional/Biológico (Logística Reversa)</t>
        </is>
      </c>
      <c r="L487" s="7" t="inlineStr">
        <is>
          <t>NÃO</t>
        </is>
      </c>
      <c r="M487" s="7" t="inlineStr">
        <is>
          <t>0,00% (Lei nº 10.925/2004)</t>
        </is>
      </c>
      <c r="N487" s="7" t="inlineStr">
        <is>
          <t>0,925% (LC nº 224/2025)</t>
        </is>
      </c>
      <c r="O487" s="7" t="inlineStr">
        <is>
          <t>0,365% (LC nº 224/2025)</t>
        </is>
      </c>
      <c r="P487" s="7" t="inlineStr">
        <is>
          <t>CST 06</t>
        </is>
      </c>
      <c r="Q487" s="7" t="inlineStr">
        <is>
          <t>CST 73</t>
        </is>
      </c>
      <c r="R487" s="7" t="inlineStr">
        <is>
          <t>Redução de 60% + Diferimento (Art. 138 e Anexo IX LC 214/2025)</t>
        </is>
      </c>
    </row>
    <row r="488" ht="22" customHeight="1">
      <c r="A488" s="12" t="inlineStr">
        <is>
          <t>SKU-0484</t>
        </is>
      </c>
      <c r="B488" s="11" t="n">
        <v>355</v>
      </c>
      <c r="C488" s="13" t="inlineStr">
        <is>
          <t>SIPEAGRO (UF-XXXXX)</t>
        </is>
      </c>
      <c r="D488" s="14" t="inlineStr">
        <is>
          <t>NPK NK200020 20-00-20 - 1.000KG (IMP)</t>
        </is>
      </c>
      <c r="E488" s="13" t="inlineStr">
        <is>
          <t>Faixa 1 TIPI (Apresentação &lt;= 300 g ou mL)</t>
        </is>
      </c>
      <c r="F488" s="13" t="inlineStr">
        <is>
          <t>Fracionado / Amostra &lt;= 0,3 KG</t>
        </is>
      </c>
      <c r="G488" s="13" t="inlineStr">
        <is>
          <t>KG</t>
        </is>
      </c>
      <c r="H488" s="18" t="n">
        <v>0.3</v>
      </c>
      <c r="I488" s="13" t="inlineStr">
        <is>
          <t>3105.20.00</t>
        </is>
      </c>
      <c r="J488" s="13" t="inlineStr">
        <is>
          <t>NÃO</t>
        </is>
      </c>
      <c r="K488" s="13" t="inlineStr">
        <is>
          <t>Embalagem de Insumo Nutricional/Biológico (Logística Reversa)</t>
        </is>
      </c>
      <c r="L488" s="13" t="inlineStr">
        <is>
          <t>NÃO</t>
        </is>
      </c>
      <c r="M488" s="13" t="inlineStr">
        <is>
          <t>0,00% (Lei nº 10.925/2004)</t>
        </is>
      </c>
      <c r="N488" s="13" t="inlineStr">
        <is>
          <t>0,925% (LC nº 224/2025)</t>
        </is>
      </c>
      <c r="O488" s="13" t="inlineStr">
        <is>
          <t>0,365% (LC nº 224/2025)</t>
        </is>
      </c>
      <c r="P488" s="13" t="inlineStr">
        <is>
          <t>CST 06</t>
        </is>
      </c>
      <c r="Q488" s="13" t="inlineStr">
        <is>
          <t>CST 73</t>
        </is>
      </c>
      <c r="R488" s="13" t="inlineStr">
        <is>
          <t>Redução de 60% + Diferimento (Art. 138 e Anexo IX LC 214/2025)</t>
        </is>
      </c>
    </row>
    <row r="489" ht="22" customHeight="1">
      <c r="A489" s="6" t="inlineStr">
        <is>
          <t>SKU-0485</t>
        </is>
      </c>
      <c r="B489" s="5" t="n">
        <v>356</v>
      </c>
      <c r="C489" s="7" t="inlineStr">
        <is>
          <t>Nº 27922</t>
        </is>
      </c>
      <c r="D489" s="8" t="inlineStr">
        <is>
          <t>S-METOLACHLOR PROVENTIS 960 EC</t>
        </is>
      </c>
      <c r="E489" s="7" t="inlineStr">
        <is>
          <t>Embalagem Comercial do Produto</t>
        </is>
      </c>
      <c r="F489" s="7" t="inlineStr">
        <is>
          <t>1X20L (20 L)</t>
        </is>
      </c>
      <c r="G489" s="7" t="inlineStr">
        <is>
          <t>L</t>
        </is>
      </c>
      <c r="H489" s="9" t="n">
        <v>20</v>
      </c>
      <c r="I489" s="7" t="inlineStr">
        <is>
          <t>3808.93.29</t>
        </is>
      </c>
      <c r="J489" s="7" t="inlineStr">
        <is>
          <t>NÃO</t>
        </is>
      </c>
      <c r="K489" s="7" t="inlineStr">
        <is>
          <t>Embalagem Rígida — LAVÁVEL (Obrigatória Tríplice Lavagem ou Pressão)</t>
        </is>
      </c>
      <c r="L489" s="7" t="inlineStr">
        <is>
          <t>NÃO</t>
        </is>
      </c>
      <c r="M489" s="7" t="inlineStr">
        <is>
          <t>0,00% (Lei nº 10.925/2004)</t>
        </is>
      </c>
      <c r="N489" s="7" t="inlineStr">
        <is>
          <t>0,925% (LC nº 224/2025)</t>
        </is>
      </c>
      <c r="O489" s="7" t="inlineStr">
        <is>
          <t>0,365% (LC nº 224/2025)</t>
        </is>
      </c>
      <c r="P489" s="7" t="inlineStr">
        <is>
          <t>CST 06</t>
        </is>
      </c>
      <c r="Q489" s="7" t="inlineStr">
        <is>
          <t>CST 73</t>
        </is>
      </c>
      <c r="R489" s="7" t="inlineStr">
        <is>
          <t>Redução de 60% + Diferimento (Art. 138 e Anexo IX LC 214/2025)</t>
        </is>
      </c>
    </row>
    <row r="490" ht="22" customHeight="1">
      <c r="A490" s="12" t="inlineStr">
        <is>
          <t>SKU-0486</t>
        </is>
      </c>
      <c r="B490" s="11" t="n">
        <v>357</v>
      </c>
      <c r="C490" s="13" t="inlineStr">
        <is>
          <t>SIPEAGRO (UF-XXXXX)</t>
        </is>
      </c>
      <c r="D490" s="14" t="inlineStr">
        <is>
          <t>AGCN FULL (D)</t>
        </is>
      </c>
      <c r="E490" s="13" t="inlineStr">
        <is>
          <t>Embalagem Comercial do Produto</t>
        </is>
      </c>
      <c r="F490" s="13" t="inlineStr">
        <is>
          <t>1X20L (20 L)</t>
        </is>
      </c>
      <c r="G490" s="13" t="inlineStr">
        <is>
          <t>L</t>
        </is>
      </c>
      <c r="H490" s="15" t="n">
        <v>20</v>
      </c>
      <c r="I490" s="13" t="inlineStr">
        <is>
          <t>3101.00.00</t>
        </is>
      </c>
      <c r="J490" s="13" t="inlineStr">
        <is>
          <t>NÃO</t>
        </is>
      </c>
      <c r="K490" s="13" t="inlineStr">
        <is>
          <t>Embalagem de Insumo Nutricional/Biológico (Logística Reversa)</t>
        </is>
      </c>
      <c r="L490" s="13" t="inlineStr">
        <is>
          <t>NÃO</t>
        </is>
      </c>
      <c r="M490" s="13" t="inlineStr">
        <is>
          <t>0,00% (Lei nº 10.925/2004)</t>
        </is>
      </c>
      <c r="N490" s="13" t="inlineStr">
        <is>
          <t>0,925% (LC nº 224/2025)</t>
        </is>
      </c>
      <c r="O490" s="13" t="inlineStr">
        <is>
          <t>0,365% (LC nº 224/2025)</t>
        </is>
      </c>
      <c r="P490" s="13" t="inlineStr">
        <is>
          <t>CST 06</t>
        </is>
      </c>
      <c r="Q490" s="13" t="inlineStr">
        <is>
          <t>CST 73</t>
        </is>
      </c>
      <c r="R490" s="13" t="inlineStr">
        <is>
          <t>Redução de 60% + Diferimento (Art. 138 e Anexo IX LC 214/2025)</t>
        </is>
      </c>
    </row>
    <row r="491" ht="22" customHeight="1">
      <c r="A491" s="6" t="inlineStr">
        <is>
          <t>SKU-0487</t>
        </is>
      </c>
      <c r="B491" s="5" t="n">
        <v>357</v>
      </c>
      <c r="C491" s="7" t="inlineStr">
        <is>
          <t>SIPEAGRO (UF-XXXXX)</t>
        </is>
      </c>
      <c r="D491" s="8" t="inlineStr">
        <is>
          <t>AGCN FULL (D)</t>
        </is>
      </c>
      <c r="E491" s="7" t="inlineStr">
        <is>
          <t>Faixa 1 TIPI (Apresentação &lt;= 300 g ou mL)</t>
        </is>
      </c>
      <c r="F491" s="7" t="inlineStr">
        <is>
          <t>Fracionado / Amostra &lt;= 0,3 L</t>
        </is>
      </c>
      <c r="G491" s="7" t="inlineStr">
        <is>
          <t>L</t>
        </is>
      </c>
      <c r="H491" s="17" t="n">
        <v>0.3</v>
      </c>
      <c r="I491" s="7" t="inlineStr">
        <is>
          <t>3105.90.90</t>
        </is>
      </c>
      <c r="J491" s="7" t="inlineStr">
        <is>
          <t>NÃO</t>
        </is>
      </c>
      <c r="K491" s="7" t="inlineStr">
        <is>
          <t>Embalagem de Insumo Nutricional/Biológico (Logística Reversa)</t>
        </is>
      </c>
      <c r="L491" s="7" t="inlineStr">
        <is>
          <t>NÃO</t>
        </is>
      </c>
      <c r="M491" s="7" t="inlineStr">
        <is>
          <t>0,00% (Lei nº 10.925/2004)</t>
        </is>
      </c>
      <c r="N491" s="7" t="inlineStr">
        <is>
          <t>0,925% (LC nº 224/2025)</t>
        </is>
      </c>
      <c r="O491" s="7" t="inlineStr">
        <is>
          <t>0,365% (LC nº 224/2025)</t>
        </is>
      </c>
      <c r="P491" s="7" t="inlineStr">
        <is>
          <t>CST 06</t>
        </is>
      </c>
      <c r="Q491" s="7" t="inlineStr">
        <is>
          <t>CST 73</t>
        </is>
      </c>
      <c r="R491" s="7" t="inlineStr">
        <is>
          <t>Redução de 60% + Diferimento (Art. 138 e Anexo IX LC 214/2025)</t>
        </is>
      </c>
    </row>
    <row r="492" ht="22" customHeight="1">
      <c r="A492" s="12" t="inlineStr">
        <is>
          <t>SKU-0488</t>
        </is>
      </c>
      <c r="B492" s="11" t="n">
        <v>358</v>
      </c>
      <c r="C492" s="13" t="inlineStr">
        <is>
          <t>SIPEAGRO (UF-XXXXX)</t>
        </is>
      </c>
      <c r="D492" s="14" t="inlineStr">
        <is>
          <t>AGCN FULL ULTRA (D)</t>
        </is>
      </c>
      <c r="E492" s="13" t="inlineStr">
        <is>
          <t>Embalagem Comercial do Produto</t>
        </is>
      </c>
      <c r="F492" s="13" t="inlineStr">
        <is>
          <t>1X20L (20 L)</t>
        </is>
      </c>
      <c r="G492" s="13" t="inlineStr">
        <is>
          <t>L</t>
        </is>
      </c>
      <c r="H492" s="15" t="n">
        <v>20</v>
      </c>
      <c r="I492" s="13" t="inlineStr">
        <is>
          <t>3105.90.90</t>
        </is>
      </c>
      <c r="J492" s="13" t="inlineStr">
        <is>
          <t>NÃO</t>
        </is>
      </c>
      <c r="K492" s="13" t="inlineStr">
        <is>
          <t>Embalagem de Insumo Nutricional/Biológico (Logística Reversa)</t>
        </is>
      </c>
      <c r="L492" s="13" t="inlineStr">
        <is>
          <t>NÃO</t>
        </is>
      </c>
      <c r="M492" s="13" t="inlineStr">
        <is>
          <t>0,00% (Lei nº 10.925/2004)</t>
        </is>
      </c>
      <c r="N492" s="13" t="inlineStr">
        <is>
          <t>0,925% (LC nº 224/2025)</t>
        </is>
      </c>
      <c r="O492" s="13" t="inlineStr">
        <is>
          <t>0,365% (LC nº 224/2025)</t>
        </is>
      </c>
      <c r="P492" s="13" t="inlineStr">
        <is>
          <t>CST 06</t>
        </is>
      </c>
      <c r="Q492" s="13" t="inlineStr">
        <is>
          <t>CST 73</t>
        </is>
      </c>
      <c r="R492" s="13" t="inlineStr">
        <is>
          <t>Redução de 60% + Diferimento (Art. 138 e Anexo IX LC 214/2025)</t>
        </is>
      </c>
    </row>
    <row r="493" ht="22" customHeight="1">
      <c r="A493" s="6" t="inlineStr">
        <is>
          <t>SKU-0489</t>
        </is>
      </c>
      <c r="B493" s="5" t="n">
        <v>358</v>
      </c>
      <c r="C493" s="7" t="inlineStr">
        <is>
          <t>SIPEAGRO (UF-XXXXX)</t>
        </is>
      </c>
      <c r="D493" s="8" t="inlineStr">
        <is>
          <t>AGCN FULL ULTRA (D)</t>
        </is>
      </c>
      <c r="E493" s="7" t="inlineStr">
        <is>
          <t>Faixa 1 TIPI (Apresentação &lt;= 300 g ou mL)</t>
        </is>
      </c>
      <c r="F493" s="7" t="inlineStr">
        <is>
          <t>Fracionado / Amostra &lt;= 0,3 L</t>
        </is>
      </c>
      <c r="G493" s="7" t="inlineStr">
        <is>
          <t>L</t>
        </is>
      </c>
      <c r="H493" s="17" t="n">
        <v>0.3</v>
      </c>
      <c r="I493" s="7" t="inlineStr">
        <is>
          <t>3105.90.90</t>
        </is>
      </c>
      <c r="J493" s="7" t="inlineStr">
        <is>
          <t>NÃO</t>
        </is>
      </c>
      <c r="K493" s="7" t="inlineStr">
        <is>
          <t>Embalagem de Insumo Nutricional/Biológico (Logística Reversa)</t>
        </is>
      </c>
      <c r="L493" s="7" t="inlineStr">
        <is>
          <t>NÃO</t>
        </is>
      </c>
      <c r="M493" s="7" t="inlineStr">
        <is>
          <t>0,00% (Lei nº 10.925/2004)</t>
        </is>
      </c>
      <c r="N493" s="7" t="inlineStr">
        <is>
          <t>0,925% (LC nº 224/2025)</t>
        </is>
      </c>
      <c r="O493" s="7" t="inlineStr">
        <is>
          <t>0,365% (LC nº 224/2025)</t>
        </is>
      </c>
      <c r="P493" s="7" t="inlineStr">
        <is>
          <t>CST 06</t>
        </is>
      </c>
      <c r="Q493" s="7" t="inlineStr">
        <is>
          <t>CST 73</t>
        </is>
      </c>
      <c r="R493" s="7" t="inlineStr">
        <is>
          <t>Redução de 60% + Diferimento (Art. 138 e Anexo IX LC 214/2025)</t>
        </is>
      </c>
    </row>
    <row r="494" ht="22" customHeight="1">
      <c r="A494" s="12" t="inlineStr">
        <is>
          <t>SKU-0490</t>
        </is>
      </c>
      <c r="B494" s="11" t="n">
        <v>359</v>
      </c>
      <c r="C494" s="13" t="inlineStr">
        <is>
          <t>Nº 23922</t>
        </is>
      </c>
      <c r="D494" s="14" t="inlineStr">
        <is>
          <t>CLETODIM 360 (PRINCIPIO ATIVO)</t>
        </is>
      </c>
      <c r="E494" s="13" t="inlineStr">
        <is>
          <t>Embalagem Comercial do Produto</t>
        </is>
      </c>
      <c r="F494" s="13" t="inlineStr">
        <is>
          <t>GRANEL / P.A. (0 L)</t>
        </is>
      </c>
      <c r="G494" s="13" t="inlineStr">
        <is>
          <t>L</t>
        </is>
      </c>
      <c r="H494" s="15" t="n">
        <v>0</v>
      </c>
      <c r="I494" s="13" t="inlineStr">
        <is>
          <t>3808.93.29</t>
        </is>
      </c>
      <c r="J494" s="13" t="inlineStr">
        <is>
          <t>NÃO</t>
        </is>
      </c>
      <c r="K494" s="13" t="inlineStr">
        <is>
          <t>Uso Industrial Exclusivo (PGRS / NBR 10004)</t>
        </is>
      </c>
      <c r="L494" s="13" t="inlineStr">
        <is>
          <t>NÃO</t>
        </is>
      </c>
      <c r="M494" s="13" t="inlineStr">
        <is>
          <t>0,00% (Lei nº 10.925/2004)</t>
        </is>
      </c>
      <c r="N494" s="13" t="inlineStr">
        <is>
          <t>0,925% (LC nº 224/2025)</t>
        </is>
      </c>
      <c r="O494" s="13" t="inlineStr">
        <is>
          <t>0,365% (LC nº 224/2025)</t>
        </is>
      </c>
      <c r="P494" s="13" t="inlineStr">
        <is>
          <t>CST 06 (Uso Agrícola/Industrial)</t>
        </is>
      </c>
      <c r="Q494" s="13" t="inlineStr">
        <is>
          <t>CST 73 (Revenda / Destinação)</t>
        </is>
      </c>
      <c r="R494" s="13" t="inlineStr">
        <is>
          <t>Redução de 60% + Diferimento (Art. 138 LC 214/2025)</t>
        </is>
      </c>
    </row>
    <row r="495" ht="22" customHeight="1">
      <c r="A495" s="6" t="inlineStr">
        <is>
          <t>SKU-0491</t>
        </is>
      </c>
      <c r="B495" s="5" t="n">
        <v>359</v>
      </c>
      <c r="C495" s="7" t="inlineStr">
        <is>
          <t>Nº 23922</t>
        </is>
      </c>
      <c r="D495" s="8" t="inlineStr">
        <is>
          <t>CLETODIM 360 (PRINCIPIO ATIVO)</t>
        </is>
      </c>
      <c r="E495" s="7" t="inlineStr">
        <is>
          <t>Faixa 1 TIPI (Apresentação &lt;= 300 g ou mL)</t>
        </is>
      </c>
      <c r="F495" s="7" t="inlineStr">
        <is>
          <t>Fracionado / Amostra &lt;= 0,3 L</t>
        </is>
      </c>
      <c r="G495" s="7" t="inlineStr">
        <is>
          <t>L</t>
        </is>
      </c>
      <c r="H495" s="17" t="n">
        <v>0.3</v>
      </c>
      <c r="I495" s="7" t="inlineStr">
        <is>
          <t>3808.93.19</t>
        </is>
      </c>
      <c r="J495" s="7" t="inlineStr">
        <is>
          <t>NÃO</t>
        </is>
      </c>
      <c r="K495" s="7" t="inlineStr">
        <is>
          <t>Uso Industrial Exclusivo (PGRS / NBR 10004)</t>
        </is>
      </c>
      <c r="L495" s="7" t="inlineStr">
        <is>
          <t>NÃO</t>
        </is>
      </c>
      <c r="M495" s="7" t="inlineStr">
        <is>
          <t>0,00% (Lei nº 10.925/2004)</t>
        </is>
      </c>
      <c r="N495" s="7" t="inlineStr">
        <is>
          <t>0,925% (LC nº 224/2025)</t>
        </is>
      </c>
      <c r="O495" s="7" t="inlineStr">
        <is>
          <t>0,365% (LC nº 224/2025)</t>
        </is>
      </c>
      <c r="P495" s="7" t="inlineStr">
        <is>
          <t>CST 06 (Uso Agrícola/Industrial)</t>
        </is>
      </c>
      <c r="Q495" s="7" t="inlineStr">
        <is>
          <t>CST 73 (Revenda / Destinação)</t>
        </is>
      </c>
      <c r="R495" s="7" t="inlineStr">
        <is>
          <t>Redução de 60% + Diferimento (Art. 138 LC 214/2025)</t>
        </is>
      </c>
    </row>
    <row r="496" ht="22" customHeight="1">
      <c r="A496" s="12" t="inlineStr">
        <is>
          <t>SKU-0492</t>
        </is>
      </c>
      <c r="B496" s="11" t="n">
        <v>360</v>
      </c>
      <c r="C496" s="13" t="inlineStr">
        <is>
          <t>Nº 27717</t>
        </is>
      </c>
      <c r="D496" s="14" t="inlineStr">
        <is>
          <t>FIPRONIL 800 WG AGCN</t>
        </is>
      </c>
      <c r="E496" s="13" t="inlineStr">
        <is>
          <t>Embalagem Comercial do Produto</t>
        </is>
      </c>
      <c r="F496" s="13" t="inlineStr">
        <is>
          <t>10X1KG (1 KG)</t>
        </is>
      </c>
      <c r="G496" s="13" t="inlineStr">
        <is>
          <t>KG</t>
        </is>
      </c>
      <c r="H496" s="15" t="n">
        <v>1</v>
      </c>
      <c r="I496" s="13" t="inlineStr">
        <is>
          <t>3808.91.99</t>
        </is>
      </c>
      <c r="J496" s="13" t="inlineStr">
        <is>
          <t>NÃO</t>
        </is>
      </c>
      <c r="K496" s="13" t="inlineStr">
        <is>
          <t>Embalagem Flexível — NÃO LAVÁVEL (Perfurar e usar saco ABNT)</t>
        </is>
      </c>
      <c r="L496" s="13" t="inlineStr">
        <is>
          <t>SIM (Saco Transparente ABNT)</t>
        </is>
      </c>
      <c r="M496" s="13" t="inlineStr">
        <is>
          <t>0,00% (Lei nº 10.925/2004)</t>
        </is>
      </c>
      <c r="N496" s="13" t="inlineStr">
        <is>
          <t>0,925% (LC nº 224/2025)</t>
        </is>
      </c>
      <c r="O496" s="13" t="inlineStr">
        <is>
          <t>0,365% (LC nº 224/2025)</t>
        </is>
      </c>
      <c r="P496" s="13" t="inlineStr">
        <is>
          <t>CST 06</t>
        </is>
      </c>
      <c r="Q496" s="13" t="inlineStr">
        <is>
          <t>CST 73</t>
        </is>
      </c>
      <c r="R496" s="13" t="inlineStr">
        <is>
          <t>Redução de 60% + Diferimento (Art. 138 e Anexo IX LC 214/2025)</t>
        </is>
      </c>
    </row>
    <row r="497" ht="22" customHeight="1">
      <c r="A497" s="6" t="inlineStr">
        <is>
          <t>SKU-0493</t>
        </is>
      </c>
      <c r="B497" s="5" t="n">
        <v>361</v>
      </c>
      <c r="C497" s="7" t="inlineStr">
        <is>
          <t>Nº 27717</t>
        </is>
      </c>
      <c r="D497" s="8" t="inlineStr">
        <is>
          <t>FIPRONIL 800 WG AGCN</t>
        </is>
      </c>
      <c r="E497" s="7" t="inlineStr">
        <is>
          <t>Embalagem Comercial do Produto</t>
        </is>
      </c>
      <c r="F497" s="7" t="inlineStr">
        <is>
          <t>4X5KG (5 KG)</t>
        </is>
      </c>
      <c r="G497" s="7" t="inlineStr">
        <is>
          <t>KG</t>
        </is>
      </c>
      <c r="H497" s="9" t="n">
        <v>5</v>
      </c>
      <c r="I497" s="7" t="inlineStr">
        <is>
          <t>3808.91.99</t>
        </is>
      </c>
      <c r="J497" s="7" t="inlineStr">
        <is>
          <t>NÃO</t>
        </is>
      </c>
      <c r="K497" s="7" t="inlineStr">
        <is>
          <t>Embalagem Flexível — NÃO LAVÁVEL (Perfurar e usar saco ABNT)</t>
        </is>
      </c>
      <c r="L497" s="7" t="inlineStr">
        <is>
          <t>SIM (Saco Transparente ABNT)</t>
        </is>
      </c>
      <c r="M497" s="7" t="inlineStr">
        <is>
          <t>0,00% (Lei nº 10.925/2004)</t>
        </is>
      </c>
      <c r="N497" s="7" t="inlineStr">
        <is>
          <t>0,925% (LC nº 224/2025)</t>
        </is>
      </c>
      <c r="O497" s="7" t="inlineStr">
        <is>
          <t>0,365% (LC nº 224/2025)</t>
        </is>
      </c>
      <c r="P497" s="7" t="inlineStr">
        <is>
          <t>CST 06</t>
        </is>
      </c>
      <c r="Q497" s="7" t="inlineStr">
        <is>
          <t>CST 73</t>
        </is>
      </c>
      <c r="R497" s="7" t="inlineStr">
        <is>
          <t>Redução de 60% + Diferimento (Art. 138 e Anexo IX LC 214/2025)</t>
        </is>
      </c>
    </row>
    <row r="498" ht="22" customHeight="1">
      <c r="A498" s="12" t="inlineStr">
        <is>
          <t>SKU-0494</t>
        </is>
      </c>
      <c r="B498" s="11" t="n">
        <v>362</v>
      </c>
      <c r="C498" s="13" t="inlineStr">
        <is>
          <t>Nº 22023</t>
        </is>
      </c>
      <c r="D498" s="14" t="inlineStr">
        <is>
          <t>TEBUCONAZOLE 430 SINO-AGRI</t>
        </is>
      </c>
      <c r="E498" s="13" t="inlineStr">
        <is>
          <t>Embalagem Comercial do Produto</t>
        </is>
      </c>
      <c r="F498" s="13" t="inlineStr">
        <is>
          <t>4X5L (5 L)</t>
        </is>
      </c>
      <c r="G498" s="13" t="inlineStr">
        <is>
          <t>L</t>
        </is>
      </c>
      <c r="H498" s="15" t="n">
        <v>5</v>
      </c>
      <c r="I498" s="13" t="inlineStr">
        <is>
          <t>3808.92.99</t>
        </is>
      </c>
      <c r="J498" s="13" t="inlineStr">
        <is>
          <t>NÃO</t>
        </is>
      </c>
      <c r="K498" s="13" t="inlineStr">
        <is>
          <t>Embalagem Rígida — LAVÁVEL (Obrigatória Tríplice Lavagem ou Pressão)</t>
        </is>
      </c>
      <c r="L498" s="13" t="inlineStr">
        <is>
          <t>NÃO</t>
        </is>
      </c>
      <c r="M498" s="13" t="inlineStr">
        <is>
          <t>0,00% (Lei nº 10.925/2004)</t>
        </is>
      </c>
      <c r="N498" s="13" t="inlineStr">
        <is>
          <t>0,925% (LC nº 224/2025)</t>
        </is>
      </c>
      <c r="O498" s="13" t="inlineStr">
        <is>
          <t>0,365% (LC nº 224/2025)</t>
        </is>
      </c>
      <c r="P498" s="13" t="inlineStr">
        <is>
          <t>CST 06</t>
        </is>
      </c>
      <c r="Q498" s="13" t="inlineStr">
        <is>
          <t>CST 73</t>
        </is>
      </c>
      <c r="R498" s="13" t="inlineStr">
        <is>
          <t>Redução de 60% + Diferimento (Art. 138 e Anexo IX LC 214/2025)</t>
        </is>
      </c>
    </row>
    <row r="499" ht="22" customHeight="1">
      <c r="A499" s="6" t="inlineStr">
        <is>
          <t>SKU-0495</t>
        </is>
      </c>
      <c r="B499" s="5" t="n">
        <v>363</v>
      </c>
      <c r="C499" s="7" t="inlineStr">
        <is>
          <t>Nº 22023</t>
        </is>
      </c>
      <c r="D499" s="8" t="inlineStr">
        <is>
          <t>TEBUCONAZOLE 430 SINO-AGRI</t>
        </is>
      </c>
      <c r="E499" s="7" t="inlineStr">
        <is>
          <t>Embalagem Comercial do Produto</t>
        </is>
      </c>
      <c r="F499" s="7" t="inlineStr">
        <is>
          <t>1X20L (20 L)</t>
        </is>
      </c>
      <c r="G499" s="7" t="inlineStr">
        <is>
          <t>L</t>
        </is>
      </c>
      <c r="H499" s="9" t="n">
        <v>20</v>
      </c>
      <c r="I499" s="7" t="inlineStr">
        <is>
          <t>3808.92.99</t>
        </is>
      </c>
      <c r="J499" s="7" t="inlineStr">
        <is>
          <t>NÃO</t>
        </is>
      </c>
      <c r="K499" s="7" t="inlineStr">
        <is>
          <t>Embalagem Rígida — LAVÁVEL (Obrigatória Tríplice Lavagem ou Pressão)</t>
        </is>
      </c>
      <c r="L499" s="7" t="inlineStr">
        <is>
          <t>NÃO</t>
        </is>
      </c>
      <c r="M499" s="7" t="inlineStr">
        <is>
          <t>0,00% (Lei nº 10.925/2004)</t>
        </is>
      </c>
      <c r="N499" s="7" t="inlineStr">
        <is>
          <t>0,925% (LC nº 224/2025)</t>
        </is>
      </c>
      <c r="O499" s="7" t="inlineStr">
        <is>
          <t>0,365% (LC nº 224/2025)</t>
        </is>
      </c>
      <c r="P499" s="7" t="inlineStr">
        <is>
          <t>CST 06</t>
        </is>
      </c>
      <c r="Q499" s="7" t="inlineStr">
        <is>
          <t>CST 73</t>
        </is>
      </c>
      <c r="R499" s="7" t="inlineStr">
        <is>
          <t>Redução de 60% + Diferimento (Art. 138 e Anexo IX LC 214/2025)</t>
        </is>
      </c>
    </row>
    <row r="500" ht="22" customHeight="1">
      <c r="A500" s="12" t="inlineStr">
        <is>
          <t>SKU-0496</t>
        </is>
      </c>
      <c r="B500" s="11" t="n">
        <v>364</v>
      </c>
      <c r="C500" s="13" t="inlineStr">
        <is>
          <t>Nº 0315</t>
        </is>
      </c>
      <c r="D500" s="14" t="inlineStr">
        <is>
          <t>2-4 D AGCN</t>
        </is>
      </c>
      <c r="E500" s="13" t="inlineStr">
        <is>
          <t>Embalagem Comercial do Produto</t>
        </is>
      </c>
      <c r="F500" s="13" t="inlineStr">
        <is>
          <t>1X20L (20 L)</t>
        </is>
      </c>
      <c r="G500" s="13" t="inlineStr">
        <is>
          <t>L</t>
        </is>
      </c>
      <c r="H500" s="15" t="n">
        <v>20</v>
      </c>
      <c r="I500" s="13" t="inlineStr">
        <is>
          <t>3808.93.22</t>
        </is>
      </c>
      <c r="J500" s="13" t="inlineStr">
        <is>
          <t>NÃO</t>
        </is>
      </c>
      <c r="K500" s="13" t="inlineStr">
        <is>
          <t>Embalagem Rígida — LAVÁVEL (Obrigatória Tríplice Lavagem ou Pressão)</t>
        </is>
      </c>
      <c r="L500" s="13" t="inlineStr">
        <is>
          <t>NÃO</t>
        </is>
      </c>
      <c r="M500" s="13" t="inlineStr">
        <is>
          <t>0,00% (Lei nº 10.925/2004)</t>
        </is>
      </c>
      <c r="N500" s="13" t="inlineStr">
        <is>
          <t>0,925% (LC nº 224/2025)</t>
        </is>
      </c>
      <c r="O500" s="13" t="inlineStr">
        <is>
          <t>0,365% (LC nº 224/2025)</t>
        </is>
      </c>
      <c r="P500" s="13" t="inlineStr">
        <is>
          <t>CST 06</t>
        </is>
      </c>
      <c r="Q500" s="13" t="inlineStr">
        <is>
          <t>CST 73</t>
        </is>
      </c>
      <c r="R500" s="13" t="inlineStr">
        <is>
          <t>Redução de 60% + Diferimento (Art. 138 e Anexo IX LC 214/2025)</t>
        </is>
      </c>
    </row>
    <row r="501" ht="22" customHeight="1">
      <c r="A501" s="6" t="inlineStr">
        <is>
          <t>SKU-0497</t>
        </is>
      </c>
      <c r="B501" s="5" t="n">
        <v>365</v>
      </c>
      <c r="C501" s="7" t="inlineStr">
        <is>
          <t>Nº 7124</t>
        </is>
      </c>
      <c r="D501" s="8" t="inlineStr">
        <is>
          <t>OPTIBEX</t>
        </is>
      </c>
      <c r="E501" s="7" t="inlineStr">
        <is>
          <t>Embalagem Comercial do Produto</t>
        </is>
      </c>
      <c r="F501" s="7" t="inlineStr">
        <is>
          <t>4X5KG (5 KG)</t>
        </is>
      </c>
      <c r="G501" s="7" t="inlineStr">
        <is>
          <t>KG</t>
        </is>
      </c>
      <c r="H501" s="9" t="n">
        <v>5</v>
      </c>
      <c r="I501" s="7" t="inlineStr">
        <is>
          <t>3808.93.29</t>
        </is>
      </c>
      <c r="J501" s="7" t="inlineStr">
        <is>
          <t>NÃO</t>
        </is>
      </c>
      <c r="K501" s="7" t="inlineStr">
        <is>
          <t>Embalagem Flexível — NÃO LAVÁVEL (Perfurar e usar saco ABNT)</t>
        </is>
      </c>
      <c r="L501" s="7" t="inlineStr">
        <is>
          <t>SIM (Saco Transparente ABNT)</t>
        </is>
      </c>
      <c r="M501" s="7" t="inlineStr">
        <is>
          <t>0,00% (Lei nº 10.925/2004)</t>
        </is>
      </c>
      <c r="N501" s="7" t="inlineStr">
        <is>
          <t>0,925% (LC nº 224/2025)</t>
        </is>
      </c>
      <c r="O501" s="7" t="inlineStr">
        <is>
          <t>0,365% (LC nº 224/2025)</t>
        </is>
      </c>
      <c r="P501" s="7" t="inlineStr">
        <is>
          <t>CST 06</t>
        </is>
      </c>
      <c r="Q501" s="7" t="inlineStr">
        <is>
          <t>CST 73</t>
        </is>
      </c>
      <c r="R501" s="7" t="inlineStr">
        <is>
          <t>Redução de 60% + Diferimento (Art. 138 e Anexo IX LC 214/2025)</t>
        </is>
      </c>
    </row>
    <row r="502" ht="22" customHeight="1">
      <c r="A502" s="12" t="inlineStr">
        <is>
          <t>SKU-0498</t>
        </is>
      </c>
      <c r="B502" s="11" t="n">
        <v>366</v>
      </c>
      <c r="C502" s="13" t="inlineStr">
        <is>
          <t>Nº 34621</t>
        </is>
      </c>
      <c r="D502" s="14" t="inlineStr">
        <is>
          <t>RATEIO 200 SL</t>
        </is>
      </c>
      <c r="E502" s="13" t="inlineStr">
        <is>
          <t>Embalagem Comercial do Produto</t>
        </is>
      </c>
      <c r="F502" s="13" t="inlineStr">
        <is>
          <t>1X20L (20 L)</t>
        </is>
      </c>
      <c r="G502" s="13" t="inlineStr">
        <is>
          <t>L</t>
        </is>
      </c>
      <c r="H502" s="15" t="n">
        <v>20</v>
      </c>
      <c r="I502" s="13" t="inlineStr">
        <is>
          <t>3808.93.29</t>
        </is>
      </c>
      <c r="J502" s="13" t="inlineStr">
        <is>
          <t>NÃO</t>
        </is>
      </c>
      <c r="K502" s="13" t="inlineStr">
        <is>
          <t>Embalagem Rígida — LAVÁVEL (Obrigatória Tríplice Lavagem ou Pressão)</t>
        </is>
      </c>
      <c r="L502" s="13" t="inlineStr">
        <is>
          <t>NÃO</t>
        </is>
      </c>
      <c r="M502" s="13" t="inlineStr">
        <is>
          <t>0,00% (Lei nº 10.925/2004)</t>
        </is>
      </c>
      <c r="N502" s="13" t="inlineStr">
        <is>
          <t>0,925% (LC nº 224/2025)</t>
        </is>
      </c>
      <c r="O502" s="13" t="inlineStr">
        <is>
          <t>0,365% (LC nº 224/2025)</t>
        </is>
      </c>
      <c r="P502" s="13" t="inlineStr">
        <is>
          <t>CST 06</t>
        </is>
      </c>
      <c r="Q502" s="13" t="inlineStr">
        <is>
          <t>CST 73</t>
        </is>
      </c>
      <c r="R502" s="13" t="inlineStr">
        <is>
          <t>Redução de 60% + Diferimento (Art. 138 e Anexo IX LC 214/2025)</t>
        </is>
      </c>
    </row>
    <row r="503" ht="22" customHeight="1">
      <c r="A503" s="6" t="inlineStr">
        <is>
          <t>SKU-0499</t>
        </is>
      </c>
      <c r="B503" s="5" t="n">
        <v>367</v>
      </c>
      <c r="C503" s="7" t="inlineStr">
        <is>
          <t>SIPEAGRO (UF-XXXXX)</t>
        </is>
      </c>
      <c r="D503" s="8" t="inlineStr">
        <is>
          <t>CLORETO DE POTASSIO 000060 1.000KG</t>
        </is>
      </c>
      <c r="E503" s="7" t="inlineStr">
        <is>
          <t>Embalagem Comercial do Produto</t>
        </is>
      </c>
      <c r="F503" s="7" t="inlineStr">
        <is>
          <t>1.000KG (1000 KG)</t>
        </is>
      </c>
      <c r="G503" s="7" t="inlineStr">
        <is>
          <t>KG</t>
        </is>
      </c>
      <c r="H503" s="9" t="n">
        <v>1</v>
      </c>
      <c r="I503" s="7" t="inlineStr">
        <is>
          <t>3104.20.10</t>
        </is>
      </c>
      <c r="J503" s="7" t="inlineStr">
        <is>
          <t>NÃO</t>
        </is>
      </c>
      <c r="K503" s="7" t="inlineStr">
        <is>
          <t>Embalagem de Insumo Nutricional/Biológico (Logística Reversa)</t>
        </is>
      </c>
      <c r="L503" s="7" t="inlineStr">
        <is>
          <t>NÃO</t>
        </is>
      </c>
      <c r="M503" s="7" t="inlineStr">
        <is>
          <t>0,00% (Lei nº 10.925/2004)</t>
        </is>
      </c>
      <c r="N503" s="7" t="inlineStr">
        <is>
          <t>0,925% (LC nº 224/2025)</t>
        </is>
      </c>
      <c r="O503" s="7" t="inlineStr">
        <is>
          <t>0,365% (LC nº 224/2025)</t>
        </is>
      </c>
      <c r="P503" s="7" t="inlineStr">
        <is>
          <t>CST 06</t>
        </is>
      </c>
      <c r="Q503" s="7" t="inlineStr">
        <is>
          <t>CST 73</t>
        </is>
      </c>
      <c r="R503" s="7" t="inlineStr">
        <is>
          <t>Redução de 60% + Diferimento (Art. 138 e Anexo IX LC 214/2025)</t>
        </is>
      </c>
    </row>
    <row r="504" ht="22" customHeight="1">
      <c r="A504" s="12" t="inlineStr">
        <is>
          <t>SKU-0500</t>
        </is>
      </c>
      <c r="B504" s="11" t="n">
        <v>367</v>
      </c>
      <c r="C504" s="13" t="inlineStr">
        <is>
          <t>SIPEAGRO (UF-XXXXX)</t>
        </is>
      </c>
      <c r="D504" s="14" t="inlineStr">
        <is>
          <t>CLORETO DE POTASSIO 000060 1.000KG</t>
        </is>
      </c>
      <c r="E504" s="13" t="inlineStr">
        <is>
          <t>Faixa 1 TIPI (Apresentação &lt;= 300 g ou mL)</t>
        </is>
      </c>
      <c r="F504" s="13" t="inlineStr">
        <is>
          <t>Fracionado / Amostra &lt;= 0,3 KG</t>
        </is>
      </c>
      <c r="G504" s="13" t="inlineStr">
        <is>
          <t>KG</t>
        </is>
      </c>
      <c r="H504" s="18" t="n">
        <v>0.3</v>
      </c>
      <c r="I504" s="13" t="inlineStr">
        <is>
          <t>3104.20.90</t>
        </is>
      </c>
      <c r="J504" s="13" t="inlineStr">
        <is>
          <t>NÃO</t>
        </is>
      </c>
      <c r="K504" s="13" t="inlineStr">
        <is>
          <t>Embalagem de Insumo Nutricional/Biológico (Logística Reversa)</t>
        </is>
      </c>
      <c r="L504" s="13" t="inlineStr">
        <is>
          <t>NÃO</t>
        </is>
      </c>
      <c r="M504" s="13" t="inlineStr">
        <is>
          <t>0,00% (Lei nº 10.925/2004)</t>
        </is>
      </c>
      <c r="N504" s="13" t="inlineStr">
        <is>
          <t>0,925% (LC nº 224/2025)</t>
        </is>
      </c>
      <c r="O504" s="13" t="inlineStr">
        <is>
          <t>0,365% (LC nº 224/2025)</t>
        </is>
      </c>
      <c r="P504" s="13" t="inlineStr">
        <is>
          <t>CST 06</t>
        </is>
      </c>
      <c r="Q504" s="13" t="inlineStr">
        <is>
          <t>CST 73</t>
        </is>
      </c>
      <c r="R504" s="13" t="inlineStr">
        <is>
          <t>Redução de 60% + Diferimento (Art. 138 e Anexo IX LC 214/2025)</t>
        </is>
      </c>
    </row>
    <row r="505" ht="22" customHeight="1">
      <c r="A505" s="6" t="inlineStr">
        <is>
          <t>SKU-0501</t>
        </is>
      </c>
      <c r="B505" s="5" t="n">
        <v>368</v>
      </c>
      <c r="C505" s="7" t="inlineStr">
        <is>
          <t>VINCULAR MARCA</t>
        </is>
      </c>
      <c r="D505" s="8" t="inlineStr">
        <is>
          <t>ABAMECTINA 600 (PRINCIPIO ATIVO)</t>
        </is>
      </c>
      <c r="E505" s="7" t="inlineStr">
        <is>
          <t>Embalagem Comercial do Produto</t>
        </is>
      </c>
      <c r="F505" s="7" t="inlineStr">
        <is>
          <t>GRANEL / P.A. (0 L)</t>
        </is>
      </c>
      <c r="G505" s="7" t="inlineStr">
        <is>
          <t>L</t>
        </is>
      </c>
      <c r="H505" s="9" t="n">
        <v>0</v>
      </c>
      <c r="I505" s="7" t="inlineStr">
        <is>
          <t>3808.91.99</t>
        </is>
      </c>
      <c r="J505" s="7" t="inlineStr">
        <is>
          <t>NÃO</t>
        </is>
      </c>
      <c r="K505" s="7" t="inlineStr">
        <is>
          <t>Uso Industrial Exclusivo (PGRS / NBR 10004)</t>
        </is>
      </c>
      <c r="L505" s="7" t="inlineStr">
        <is>
          <t>NÃO</t>
        </is>
      </c>
      <c r="M505" s="7" t="inlineStr">
        <is>
          <t>0,00% (Lei nº 10.925/2004)</t>
        </is>
      </c>
      <c r="N505" s="7" t="inlineStr">
        <is>
          <t>0,925% (LC nº 224/2025)</t>
        </is>
      </c>
      <c r="O505" s="7" t="inlineStr">
        <is>
          <t>0,365% (LC nº 224/2025)</t>
        </is>
      </c>
      <c r="P505" s="7" t="inlineStr">
        <is>
          <t>CST 06 (Uso Agrícola/Industrial)</t>
        </is>
      </c>
      <c r="Q505" s="7" t="inlineStr">
        <is>
          <t>CST 73 (Revenda / Destinação)</t>
        </is>
      </c>
      <c r="R505" s="7" t="inlineStr">
        <is>
          <t>Redução de 60% + Diferimento (Art. 138 LC 214/2025)</t>
        </is>
      </c>
    </row>
    <row r="506" ht="22" customHeight="1">
      <c r="A506" s="12" t="inlineStr">
        <is>
          <t>SKU-0502</t>
        </is>
      </c>
      <c r="B506" s="11" t="n">
        <v>368</v>
      </c>
      <c r="C506" s="13" t="inlineStr">
        <is>
          <t>VINCULAR MARCA</t>
        </is>
      </c>
      <c r="D506" s="14" t="inlineStr">
        <is>
          <t>ABAMECTINA 600 (PRINCIPIO ATIVO)</t>
        </is>
      </c>
      <c r="E506" s="13" t="inlineStr">
        <is>
          <t>Faixa 1 TIPI (Apresentação &lt;= 300 g ou mL)</t>
        </is>
      </c>
      <c r="F506" s="13" t="inlineStr">
        <is>
          <t>Fracionado / Amostra &lt;= 0,3 L</t>
        </is>
      </c>
      <c r="G506" s="13" t="inlineStr">
        <is>
          <t>L</t>
        </is>
      </c>
      <c r="H506" s="18" t="n">
        <v>0.3</v>
      </c>
      <c r="I506" s="13" t="inlineStr">
        <is>
          <t>3808.92.20</t>
        </is>
      </c>
      <c r="J506" s="13" t="inlineStr">
        <is>
          <t>NÃO</t>
        </is>
      </c>
      <c r="K506" s="13" t="inlineStr">
        <is>
          <t>Uso Industrial Exclusivo (PGRS / NBR 10004)</t>
        </is>
      </c>
      <c r="L506" s="13" t="inlineStr">
        <is>
          <t>NÃO</t>
        </is>
      </c>
      <c r="M506" s="13" t="inlineStr">
        <is>
          <t>0,00% (Lei nº 10.925/2004)</t>
        </is>
      </c>
      <c r="N506" s="13" t="inlineStr">
        <is>
          <t>0,925% (LC nº 224/2025)</t>
        </is>
      </c>
      <c r="O506" s="13" t="inlineStr">
        <is>
          <t>0,365% (LC nº 224/2025)</t>
        </is>
      </c>
      <c r="P506" s="13" t="inlineStr">
        <is>
          <t>CST 06 (Uso Agrícola/Industrial)</t>
        </is>
      </c>
      <c r="Q506" s="13" t="inlineStr">
        <is>
          <t>CST 73 (Revenda / Destinação)</t>
        </is>
      </c>
      <c r="R506" s="13" t="inlineStr">
        <is>
          <t>Redução de 60% + Diferimento (Art. 138 LC 214/2025)</t>
        </is>
      </c>
    </row>
    <row r="507" ht="22" customHeight="1">
      <c r="A507" s="6" t="inlineStr">
        <is>
          <t>SKU-0503</t>
        </is>
      </c>
      <c r="B507" s="5" t="n">
        <v>369</v>
      </c>
      <c r="C507" s="7" t="inlineStr">
        <is>
          <t>Nº 0120</t>
        </is>
      </c>
      <c r="D507" s="8" t="inlineStr">
        <is>
          <t>GLUFOSINATO 200 (PRINCIPIO ATIVO)</t>
        </is>
      </c>
      <c r="E507" s="7" t="inlineStr">
        <is>
          <t>Embalagem Comercial do Produto</t>
        </is>
      </c>
      <c r="F507" s="7" t="inlineStr">
        <is>
          <t>GRANEL / P.A. (0 KG)</t>
        </is>
      </c>
      <c r="G507" s="7" t="inlineStr">
        <is>
          <t>KG</t>
        </is>
      </c>
      <c r="H507" s="9" t="n">
        <v>0</v>
      </c>
      <c r="I507" s="7" t="inlineStr">
        <is>
          <t>3808.93.29</t>
        </is>
      </c>
      <c r="J507" s="7" t="inlineStr">
        <is>
          <t>NÃO</t>
        </is>
      </c>
      <c r="K507" s="7" t="inlineStr">
        <is>
          <t>Uso Industrial Exclusivo (PGRS / NBR 10004)</t>
        </is>
      </c>
      <c r="L507" s="7" t="inlineStr">
        <is>
          <t>NÃO</t>
        </is>
      </c>
      <c r="M507" s="7" t="inlineStr">
        <is>
          <t>0,00% (Lei nº 10.925/2004)</t>
        </is>
      </c>
      <c r="N507" s="7" t="inlineStr">
        <is>
          <t>0,925% (LC nº 224/2025)</t>
        </is>
      </c>
      <c r="O507" s="7" t="inlineStr">
        <is>
          <t>0,365% (LC nº 224/2025)</t>
        </is>
      </c>
      <c r="P507" s="7" t="inlineStr">
        <is>
          <t>CST 06 (Uso Agrícola/Industrial)</t>
        </is>
      </c>
      <c r="Q507" s="7" t="inlineStr">
        <is>
          <t>CST 73 (Revenda / Destinação)</t>
        </is>
      </c>
      <c r="R507" s="7" t="inlineStr">
        <is>
          <t>Redução de 60% + Diferimento (Art. 138 LC 214/2025)</t>
        </is>
      </c>
    </row>
    <row r="508" ht="22" customHeight="1">
      <c r="A508" s="12" t="inlineStr">
        <is>
          <t>SKU-0504</t>
        </is>
      </c>
      <c r="B508" s="11" t="n">
        <v>370</v>
      </c>
      <c r="C508" s="13" t="inlineStr">
        <is>
          <t>Nº 36419</t>
        </is>
      </c>
      <c r="D508" s="14" t="inlineStr">
        <is>
          <t>PIRIPROXIFEM 100 (PRINCIPIO ATIVO)</t>
        </is>
      </c>
      <c r="E508" s="13" t="inlineStr">
        <is>
          <t>Embalagem Comercial do Produto</t>
        </is>
      </c>
      <c r="F508" s="13" t="inlineStr">
        <is>
          <t>GRANEL / P.A. (0 L)</t>
        </is>
      </c>
      <c r="G508" s="13" t="inlineStr">
        <is>
          <t>L</t>
        </is>
      </c>
      <c r="H508" s="15" t="n">
        <v>0</v>
      </c>
      <c r="I508" s="13" t="inlineStr">
        <is>
          <t>3808.91.99</t>
        </is>
      </c>
      <c r="J508" s="13" t="inlineStr">
        <is>
          <t>NÃO</t>
        </is>
      </c>
      <c r="K508" s="13" t="inlineStr">
        <is>
          <t>Uso Industrial Exclusivo (PGRS / NBR 10004)</t>
        </is>
      </c>
      <c r="L508" s="13" t="inlineStr">
        <is>
          <t>NÃO</t>
        </is>
      </c>
      <c r="M508" s="13" t="inlineStr">
        <is>
          <t>0,00% (Lei nº 10.925/2004)</t>
        </is>
      </c>
      <c r="N508" s="13" t="inlineStr">
        <is>
          <t>0,925% (LC nº 224/2025)</t>
        </is>
      </c>
      <c r="O508" s="13" t="inlineStr">
        <is>
          <t>0,365% (LC nº 224/2025)</t>
        </is>
      </c>
      <c r="P508" s="13" t="inlineStr">
        <is>
          <t>CST 06 (Uso Agrícola/Industrial)</t>
        </is>
      </c>
      <c r="Q508" s="13" t="inlineStr">
        <is>
          <t>CST 73 (Revenda / Destinação)</t>
        </is>
      </c>
      <c r="R508" s="13" t="inlineStr">
        <is>
          <t>Redução de 60% + Diferimento (Art. 138 LC 214/2025)</t>
        </is>
      </c>
    </row>
    <row r="509" ht="22" customHeight="1">
      <c r="A509" s="6" t="inlineStr">
        <is>
          <t>SKU-0505</t>
        </is>
      </c>
      <c r="B509" s="5" t="n">
        <v>370</v>
      </c>
      <c r="C509" s="7" t="inlineStr">
        <is>
          <t>Nº 36419</t>
        </is>
      </c>
      <c r="D509" s="8" t="inlineStr">
        <is>
          <t>PIRIPROXIFEM 100 (PRINCIPIO ATIVO)</t>
        </is>
      </c>
      <c r="E509" s="7" t="inlineStr">
        <is>
          <t>Faixa 1 TIPI (Apresentação &lt;= 300 g ou mL)</t>
        </is>
      </c>
      <c r="F509" s="7" t="inlineStr">
        <is>
          <t>Fracionado / Amostra &lt;= 0,3 L</t>
        </is>
      </c>
      <c r="G509" s="7" t="inlineStr">
        <is>
          <t>L</t>
        </is>
      </c>
      <c r="H509" s="17" t="n">
        <v>0.3</v>
      </c>
      <c r="I509" s="7" t="inlineStr">
        <is>
          <t>3808.91.20</t>
        </is>
      </c>
      <c r="J509" s="7" t="inlineStr">
        <is>
          <t>NÃO</t>
        </is>
      </c>
      <c r="K509" s="7" t="inlineStr">
        <is>
          <t>Uso Industrial Exclusivo (PGRS / NBR 10004)</t>
        </is>
      </c>
      <c r="L509" s="7" t="inlineStr">
        <is>
          <t>NÃO</t>
        </is>
      </c>
      <c r="M509" s="7" t="inlineStr">
        <is>
          <t>0,00% (Lei nº 10.925/2004)</t>
        </is>
      </c>
      <c r="N509" s="7" t="inlineStr">
        <is>
          <t>0,925% (LC nº 224/2025)</t>
        </is>
      </c>
      <c r="O509" s="7" t="inlineStr">
        <is>
          <t>0,365% (LC nº 224/2025)</t>
        </is>
      </c>
      <c r="P509" s="7" t="inlineStr">
        <is>
          <t>CST 06 (Uso Agrícola/Industrial)</t>
        </is>
      </c>
      <c r="Q509" s="7" t="inlineStr">
        <is>
          <t>CST 73 (Revenda / Destinação)</t>
        </is>
      </c>
      <c r="R509" s="7" t="inlineStr">
        <is>
          <t>Redução de 60% + Diferimento (Art. 138 LC 214/2025)</t>
        </is>
      </c>
    </row>
    <row r="510" ht="22" customHeight="1">
      <c r="A510" s="12" t="inlineStr">
        <is>
          <t>SKU-0506</t>
        </is>
      </c>
      <c r="B510" s="11" t="n">
        <v>371</v>
      </c>
      <c r="C510" s="13" t="inlineStr">
        <is>
          <t>Nº 26322</t>
        </is>
      </c>
      <c r="D510" s="14" t="inlineStr">
        <is>
          <t>FIPRONIL 800 WG YONON</t>
        </is>
      </c>
      <c r="E510" s="13" t="inlineStr">
        <is>
          <t>Embalagem Comercial do Produto</t>
        </is>
      </c>
      <c r="F510" s="13" t="inlineStr">
        <is>
          <t>4X5KG (5 KG)</t>
        </is>
      </c>
      <c r="G510" s="13" t="inlineStr">
        <is>
          <t>KG</t>
        </is>
      </c>
      <c r="H510" s="15" t="n">
        <v>5</v>
      </c>
      <c r="I510" s="13" t="inlineStr">
        <is>
          <t>3808.91.99</t>
        </is>
      </c>
      <c r="J510" s="13" t="inlineStr">
        <is>
          <t>NÃO</t>
        </is>
      </c>
      <c r="K510" s="13" t="inlineStr">
        <is>
          <t>Embalagem Flexível — NÃO LAVÁVEL (Perfurar e usar saco ABNT)</t>
        </is>
      </c>
      <c r="L510" s="13" t="inlineStr">
        <is>
          <t>SIM (Saco Transparente ABNT)</t>
        </is>
      </c>
      <c r="M510" s="13" t="inlineStr">
        <is>
          <t>0,00% (Lei nº 10.925/2004)</t>
        </is>
      </c>
      <c r="N510" s="13" t="inlineStr">
        <is>
          <t>0,925% (LC nº 224/2025)</t>
        </is>
      </c>
      <c r="O510" s="13" t="inlineStr">
        <is>
          <t>0,365% (LC nº 224/2025)</t>
        </is>
      </c>
      <c r="P510" s="13" t="inlineStr">
        <is>
          <t>CST 06</t>
        </is>
      </c>
      <c r="Q510" s="13" t="inlineStr">
        <is>
          <t>CST 73</t>
        </is>
      </c>
      <c r="R510" s="13" t="inlineStr">
        <is>
          <t>Redução de 60% + Diferimento (Art. 138 e Anexo IX LC 214/2025)</t>
        </is>
      </c>
    </row>
    <row r="511" ht="22" customHeight="1">
      <c r="A511" s="6" t="inlineStr">
        <is>
          <t>SKU-0507</t>
        </is>
      </c>
      <c r="B511" s="5" t="n">
        <v>372</v>
      </c>
      <c r="C511" s="7" t="inlineStr">
        <is>
          <t>Nº 1522</t>
        </is>
      </c>
      <c r="D511" s="8" t="inlineStr">
        <is>
          <t>ADVER</t>
        </is>
      </c>
      <c r="E511" s="7" t="inlineStr">
        <is>
          <t>Embalagem Comercial do Produto</t>
        </is>
      </c>
      <c r="F511" s="7" t="inlineStr">
        <is>
          <t>20L (20 L)</t>
        </is>
      </c>
      <c r="G511" s="7" t="inlineStr">
        <is>
          <t>L</t>
        </is>
      </c>
      <c r="H511" s="9" t="n">
        <v>20</v>
      </c>
      <c r="I511" s="7" t="inlineStr">
        <is>
          <t>3808.69.90</t>
        </is>
      </c>
      <c r="J511" s="7" t="inlineStr">
        <is>
          <t>SIM</t>
        </is>
      </c>
      <c r="K511" s="7" t="inlineStr">
        <is>
          <t>Embalagem Rígida — LAVÁVEL (Obrigatória Tríplice Lavagem ou Pressão)</t>
        </is>
      </c>
      <c r="L511" s="7" t="inlineStr">
        <is>
          <t>NÃO</t>
        </is>
      </c>
      <c r="M511" s="7" t="inlineStr">
        <is>
          <t>0,00% (Lei nº 10.925/2004)</t>
        </is>
      </c>
      <c r="N511" s="7" t="inlineStr">
        <is>
          <t>0,925% (LC nº 224/2025)</t>
        </is>
      </c>
      <c r="O511" s="7" t="inlineStr">
        <is>
          <t>0,365% (LC nº 224/2025)</t>
        </is>
      </c>
      <c r="P511" s="7" t="inlineStr">
        <is>
          <t>CST 06</t>
        </is>
      </c>
      <c r="Q511" s="7" t="inlineStr">
        <is>
          <t>CST 73</t>
        </is>
      </c>
      <c r="R511" s="7" t="inlineStr">
        <is>
          <t>Redução de 60% + Diferimento (Art. 138 e Anexo IX LC 214/2025)</t>
        </is>
      </c>
    </row>
    <row r="512" ht="22" customHeight="1">
      <c r="A512" s="12" t="inlineStr">
        <is>
          <t>SKU-0508</t>
        </is>
      </c>
      <c r="B512" s="11" t="n">
        <v>372</v>
      </c>
      <c r="C512" s="13" t="inlineStr">
        <is>
          <t>Nº 1522</t>
        </is>
      </c>
      <c r="D512" s="14" t="inlineStr">
        <is>
          <t>ADVER</t>
        </is>
      </c>
      <c r="E512" s="13" t="inlineStr">
        <is>
          <t>Faixa 1 TIPI (Apresentação &lt;= 300 g ou mL)</t>
        </is>
      </c>
      <c r="F512" s="13" t="inlineStr">
        <is>
          <t>Fracionado / Amostra &lt;= 0,3 L</t>
        </is>
      </c>
      <c r="G512" s="13" t="inlineStr">
        <is>
          <t>L</t>
        </is>
      </c>
      <c r="H512" s="18" t="n">
        <v>0.3</v>
      </c>
      <c r="I512" s="13" t="inlineStr">
        <is>
          <t>3808.61.00</t>
        </is>
      </c>
      <c r="J512" s="13" t="inlineStr">
        <is>
          <t>SIM</t>
        </is>
      </c>
      <c r="K512" s="13" t="inlineStr">
        <is>
          <t>Embalagem Rígida — LAVÁVEL (Obrigatória Tríplice Lavagem ou Pressão)</t>
        </is>
      </c>
      <c r="L512" s="13" t="inlineStr">
        <is>
          <t>NÃO</t>
        </is>
      </c>
      <c r="M512" s="13" t="inlineStr">
        <is>
          <t>0,00% (Lei nº 10.925/2004)</t>
        </is>
      </c>
      <c r="N512" s="13" t="inlineStr">
        <is>
          <t>0,925% (LC nº 224/2025)</t>
        </is>
      </c>
      <c r="O512" s="13" t="inlineStr">
        <is>
          <t>0,365% (LC nº 224/2025)</t>
        </is>
      </c>
      <c r="P512" s="13" t="inlineStr">
        <is>
          <t>CST 06</t>
        </is>
      </c>
      <c r="Q512" s="13" t="inlineStr">
        <is>
          <t>CST 73</t>
        </is>
      </c>
      <c r="R512" s="13" t="inlineStr">
        <is>
          <t>Redução de 60% + Diferimento (Art. 138 e Anexo IX LC 214/2025)</t>
        </is>
      </c>
    </row>
    <row r="513" ht="22" customHeight="1">
      <c r="A513" s="6" t="inlineStr">
        <is>
          <t>SKU-0509</t>
        </is>
      </c>
      <c r="B513" s="5" t="n">
        <v>373</v>
      </c>
      <c r="C513" s="7" t="inlineStr">
        <is>
          <t>Nº 36419</t>
        </is>
      </c>
      <c r="D513" s="8" t="inlineStr">
        <is>
          <t>PIRIPROXIFEM CCAB 100 EC</t>
        </is>
      </c>
      <c r="E513" s="7" t="inlineStr">
        <is>
          <t>Embalagem Comercial do Produto</t>
        </is>
      </c>
      <c r="F513" s="7" t="inlineStr">
        <is>
          <t>1X20L (20 L)</t>
        </is>
      </c>
      <c r="G513" s="7" t="inlineStr">
        <is>
          <t>L</t>
        </is>
      </c>
      <c r="H513" s="9" t="n">
        <v>20</v>
      </c>
      <c r="I513" s="7" t="inlineStr">
        <is>
          <t>3808.91.99</t>
        </is>
      </c>
      <c r="J513" s="7" t="inlineStr">
        <is>
          <t>NÃO</t>
        </is>
      </c>
      <c r="K513" s="7" t="inlineStr">
        <is>
          <t>Embalagem Rígida — LAVÁVEL (Obrigatória Tríplice Lavagem ou Pressão)</t>
        </is>
      </c>
      <c r="L513" s="7" t="inlineStr">
        <is>
          <t>NÃO</t>
        </is>
      </c>
      <c r="M513" s="7" t="inlineStr">
        <is>
          <t>0,00% (Lei nº 10.925/2004)</t>
        </is>
      </c>
      <c r="N513" s="7" t="inlineStr">
        <is>
          <t>0,925% (LC nº 224/2025)</t>
        </is>
      </c>
      <c r="O513" s="7" t="inlineStr">
        <is>
          <t>0,365% (LC nº 224/2025)</t>
        </is>
      </c>
      <c r="P513" s="7" t="inlineStr">
        <is>
          <t>CST 06</t>
        </is>
      </c>
      <c r="Q513" s="7" t="inlineStr">
        <is>
          <t>CST 73</t>
        </is>
      </c>
      <c r="R513" s="7" t="inlineStr">
        <is>
          <t>Redução de 60% + Diferimento (Art. 138 e Anexo IX LC 214/2025)</t>
        </is>
      </c>
    </row>
    <row r="514" ht="22" customHeight="1">
      <c r="A514" s="12" t="inlineStr">
        <is>
          <t>SKU-0510</t>
        </is>
      </c>
      <c r="B514" s="11" t="n">
        <v>373</v>
      </c>
      <c r="C514" s="13" t="inlineStr">
        <is>
          <t>Nº 36419</t>
        </is>
      </c>
      <c r="D514" s="14" t="inlineStr">
        <is>
          <t>PIRIPROXIFEM CCAB 100 EC</t>
        </is>
      </c>
      <c r="E514" s="13" t="inlineStr">
        <is>
          <t>Faixa 1 TIPI (Apresentação &lt;= 300 g ou mL)</t>
        </is>
      </c>
      <c r="F514" s="13" t="inlineStr">
        <is>
          <t>Fracionado / Amostra &lt;= 0,3 L</t>
        </is>
      </c>
      <c r="G514" s="13" t="inlineStr">
        <is>
          <t>L</t>
        </is>
      </c>
      <c r="H514" s="18" t="n">
        <v>0.3</v>
      </c>
      <c r="I514" s="13" t="inlineStr">
        <is>
          <t>3808.91.20</t>
        </is>
      </c>
      <c r="J514" s="13" t="inlineStr">
        <is>
          <t>NÃO</t>
        </is>
      </c>
      <c r="K514" s="13" t="inlineStr">
        <is>
          <t>Embalagem Rígida — LAVÁVEL (Obrigatória Tríplice Lavagem ou Pressão)</t>
        </is>
      </c>
      <c r="L514" s="13" t="inlineStr">
        <is>
          <t>NÃO</t>
        </is>
      </c>
      <c r="M514" s="13" t="inlineStr">
        <is>
          <t>0,00% (Lei nº 10.925/2004)</t>
        </is>
      </c>
      <c r="N514" s="13" t="inlineStr">
        <is>
          <t>0,925% (LC nº 224/2025)</t>
        </is>
      </c>
      <c r="O514" s="13" t="inlineStr">
        <is>
          <t>0,365% (LC nº 224/2025)</t>
        </is>
      </c>
      <c r="P514" s="13" t="inlineStr">
        <is>
          <t>CST 06</t>
        </is>
      </c>
      <c r="Q514" s="13" t="inlineStr">
        <is>
          <t>CST 73</t>
        </is>
      </c>
      <c r="R514" s="13" t="inlineStr">
        <is>
          <t>Redução de 60% + Diferimento (Art. 138 e Anexo IX LC 214/2025)</t>
        </is>
      </c>
    </row>
    <row r="515" ht="22" customHeight="1">
      <c r="A515" s="6" t="inlineStr">
        <is>
          <t>SKU-0511</t>
        </is>
      </c>
      <c r="B515" s="5" t="n">
        <v>374</v>
      </c>
      <c r="C515" s="7" t="inlineStr">
        <is>
          <t>Nº 6922</t>
        </is>
      </c>
      <c r="D515" s="8" t="inlineStr">
        <is>
          <t>COFENRIN</t>
        </is>
      </c>
      <c r="E515" s="7" t="inlineStr">
        <is>
          <t>Embalagem Comercial do Produto</t>
        </is>
      </c>
      <c r="F515" s="7" t="inlineStr">
        <is>
          <t>2X10L (10 L)</t>
        </is>
      </c>
      <c r="G515" s="7" t="inlineStr">
        <is>
          <t>L</t>
        </is>
      </c>
      <c r="H515" s="9" t="n">
        <v>10</v>
      </c>
      <c r="I515" s="7" t="inlineStr">
        <is>
          <t>3808.69.90</t>
        </is>
      </c>
      <c r="J515" s="7" t="inlineStr">
        <is>
          <t>SIM</t>
        </is>
      </c>
      <c r="K515" s="7" t="inlineStr">
        <is>
          <t>Embalagem Rígida — LAVÁVEL (Obrigatória Tríplice Lavagem ou Pressão)</t>
        </is>
      </c>
      <c r="L515" s="7" t="inlineStr">
        <is>
          <t>NÃO</t>
        </is>
      </c>
      <c r="M515" s="7" t="inlineStr">
        <is>
          <t>0,00% (Lei nº 10.925/2004)</t>
        </is>
      </c>
      <c r="N515" s="7" t="inlineStr">
        <is>
          <t>0,925% (LC nº 224/2025)</t>
        </is>
      </c>
      <c r="O515" s="7" t="inlineStr">
        <is>
          <t>0,365% (LC nº 224/2025)</t>
        </is>
      </c>
      <c r="P515" s="7" t="inlineStr">
        <is>
          <t>CST 06</t>
        </is>
      </c>
      <c r="Q515" s="7" t="inlineStr">
        <is>
          <t>CST 73</t>
        </is>
      </c>
      <c r="R515" s="7" t="inlineStr">
        <is>
          <t>Redução de 60% + Diferimento (Art. 138 e Anexo IX LC 214/2025)</t>
        </is>
      </c>
    </row>
    <row r="516" ht="22" customHeight="1">
      <c r="A516" s="12" t="inlineStr">
        <is>
          <t>SKU-0512</t>
        </is>
      </c>
      <c r="B516" s="11" t="n">
        <v>374</v>
      </c>
      <c r="C516" s="13" t="inlineStr">
        <is>
          <t>Nº 6922</t>
        </is>
      </c>
      <c r="D516" s="14" t="inlineStr">
        <is>
          <t>COFENRIN</t>
        </is>
      </c>
      <c r="E516" s="13" t="inlineStr">
        <is>
          <t>Faixa 1 TIPI (Apresentação &lt;= 300 g ou mL)</t>
        </is>
      </c>
      <c r="F516" s="13" t="inlineStr">
        <is>
          <t>Fracionado / Amostra &lt;= 0,3 L</t>
        </is>
      </c>
      <c r="G516" s="13" t="inlineStr">
        <is>
          <t>L</t>
        </is>
      </c>
      <c r="H516" s="18" t="n">
        <v>0.3</v>
      </c>
      <c r="I516" s="13" t="inlineStr">
        <is>
          <t>3808.61.00</t>
        </is>
      </c>
      <c r="J516" s="13" t="inlineStr">
        <is>
          <t>SIM</t>
        </is>
      </c>
      <c r="K516" s="13" t="inlineStr">
        <is>
          <t>Embalagem Rígida — LAVÁVEL (Obrigatória Tríplice Lavagem ou Pressão)</t>
        </is>
      </c>
      <c r="L516" s="13" t="inlineStr">
        <is>
          <t>NÃO</t>
        </is>
      </c>
      <c r="M516" s="13" t="inlineStr">
        <is>
          <t>0,00% (Lei nº 10.925/2004)</t>
        </is>
      </c>
      <c r="N516" s="13" t="inlineStr">
        <is>
          <t>0,925% (LC nº 224/2025)</t>
        </is>
      </c>
      <c r="O516" s="13" t="inlineStr">
        <is>
          <t>0,365% (LC nº 224/2025)</t>
        </is>
      </c>
      <c r="P516" s="13" t="inlineStr">
        <is>
          <t>CST 06</t>
        </is>
      </c>
      <c r="Q516" s="13" t="inlineStr">
        <is>
          <t>CST 73</t>
        </is>
      </c>
      <c r="R516" s="13" t="inlineStr">
        <is>
          <t>Redução de 60% + Diferimento (Art. 138 e Anexo IX LC 214/2025)</t>
        </is>
      </c>
    </row>
    <row r="517" ht="22" customHeight="1">
      <c r="A517" s="6" t="inlineStr">
        <is>
          <t>SKU-0513</t>
        </is>
      </c>
      <c r="B517" s="5" t="n">
        <v>375</v>
      </c>
      <c r="C517" s="7" t="inlineStr">
        <is>
          <t>Nº 3623</t>
        </is>
      </c>
      <c r="D517" s="8" t="inlineStr">
        <is>
          <t>FLUMIOXAZINA 250 + IMAZETAPIR 530 (PRINC. ATIVO)</t>
        </is>
      </c>
      <c r="E517" s="7" t="inlineStr">
        <is>
          <t>Embalagem Comercial do Produto</t>
        </is>
      </c>
      <c r="F517" s="7" t="inlineStr">
        <is>
          <t>GRANEL / P.A. (0 KG)</t>
        </is>
      </c>
      <c r="G517" s="7" t="inlineStr">
        <is>
          <t>KG</t>
        </is>
      </c>
      <c r="H517" s="9" t="n">
        <v>0</v>
      </c>
      <c r="I517" s="7" t="inlineStr">
        <is>
          <t>3808.93.27</t>
        </is>
      </c>
      <c r="J517" s="7" t="inlineStr">
        <is>
          <t>NÃO</t>
        </is>
      </c>
      <c r="K517" s="7" t="inlineStr">
        <is>
          <t>Uso Industrial Exclusivo (PGRS / NBR 10004)</t>
        </is>
      </c>
      <c r="L517" s="7" t="inlineStr">
        <is>
          <t>NÃO</t>
        </is>
      </c>
      <c r="M517" s="7" t="inlineStr">
        <is>
          <t>0,00% (Lei nº 10.925/2004)</t>
        </is>
      </c>
      <c r="N517" s="7" t="inlineStr">
        <is>
          <t>0,925% (LC nº 224/2025)</t>
        </is>
      </c>
      <c r="O517" s="7" t="inlineStr">
        <is>
          <t>0,365% (LC nº 224/2025)</t>
        </is>
      </c>
      <c r="P517" s="7" t="inlineStr">
        <is>
          <t>CST 06 (Uso Agrícola/Industrial)</t>
        </is>
      </c>
      <c r="Q517" s="7" t="inlineStr">
        <is>
          <t>CST 73 (Revenda / Destinação)</t>
        </is>
      </c>
      <c r="R517" s="7" t="inlineStr">
        <is>
          <t>Redução de 60% + Diferimento (Art. 138 LC 214/2025)</t>
        </is>
      </c>
    </row>
    <row r="518" ht="22" customHeight="1">
      <c r="A518" s="12" t="inlineStr">
        <is>
          <t>SKU-0514</t>
        </is>
      </c>
      <c r="B518" s="11" t="n">
        <v>375</v>
      </c>
      <c r="C518" s="13" t="inlineStr">
        <is>
          <t>Nº 3623</t>
        </is>
      </c>
      <c r="D518" s="14" t="inlineStr">
        <is>
          <t>FLUMIOXAZINA 250 + IMAZETAPIR 530 (PRINC. ATIVO)</t>
        </is>
      </c>
      <c r="E518" s="13" t="inlineStr">
        <is>
          <t>Faixa 1 TIPI (Apresentação &lt;= 300 g ou mL)</t>
        </is>
      </c>
      <c r="F518" s="13" t="inlineStr">
        <is>
          <t>Fracionado / Amostra &lt;= 0,3 KG</t>
        </is>
      </c>
      <c r="G518" s="13" t="inlineStr">
        <is>
          <t>KG</t>
        </is>
      </c>
      <c r="H518" s="18" t="n">
        <v>0.3</v>
      </c>
      <c r="I518" s="13" t="inlineStr">
        <is>
          <t>3808.93.19</t>
        </is>
      </c>
      <c r="J518" s="13" t="inlineStr">
        <is>
          <t>NÃO</t>
        </is>
      </c>
      <c r="K518" s="13" t="inlineStr">
        <is>
          <t>Uso Industrial Exclusivo (PGRS / NBR 10004)</t>
        </is>
      </c>
      <c r="L518" s="13" t="inlineStr">
        <is>
          <t>NÃO</t>
        </is>
      </c>
      <c r="M518" s="13" t="inlineStr">
        <is>
          <t>0,00% (Lei nº 10.925/2004)</t>
        </is>
      </c>
      <c r="N518" s="13" t="inlineStr">
        <is>
          <t>0,925% (LC nº 224/2025)</t>
        </is>
      </c>
      <c r="O518" s="13" t="inlineStr">
        <is>
          <t>0,365% (LC nº 224/2025)</t>
        </is>
      </c>
      <c r="P518" s="13" t="inlineStr">
        <is>
          <t>CST 06 (Uso Agrícola/Industrial)</t>
        </is>
      </c>
      <c r="Q518" s="13" t="inlineStr">
        <is>
          <t>CST 73 (Revenda / Destinação)</t>
        </is>
      </c>
      <c r="R518" s="13" t="inlineStr">
        <is>
          <t>Redução de 60% + Diferimento (Art. 138 LC 214/2025)</t>
        </is>
      </c>
    </row>
    <row r="519" ht="22" customHeight="1">
      <c r="A519" s="6" t="inlineStr">
        <is>
          <t>SKU-0515</t>
        </is>
      </c>
      <c r="B519" s="5" t="n">
        <v>376</v>
      </c>
      <c r="C519" s="7" t="inlineStr">
        <is>
          <t>Nº 28120</t>
        </is>
      </c>
      <c r="D519" s="8" t="inlineStr">
        <is>
          <t>FLUROXIPIR 200 (PRINCIPIO ATIVO)</t>
        </is>
      </c>
      <c r="E519" s="7" t="inlineStr">
        <is>
          <t>Embalagem Comercial do Produto</t>
        </is>
      </c>
      <c r="F519" s="7" t="inlineStr">
        <is>
          <t>GRANEL / P.A. (0 KG)</t>
        </is>
      </c>
      <c r="G519" s="7" t="inlineStr">
        <is>
          <t>KG</t>
        </is>
      </c>
      <c r="H519" s="9" t="n">
        <v>0</v>
      </c>
      <c r="I519" s="7" t="inlineStr">
        <is>
          <t>3808.93.29</t>
        </is>
      </c>
      <c r="J519" s="7" t="inlineStr">
        <is>
          <t>NÃO</t>
        </is>
      </c>
      <c r="K519" s="7" t="inlineStr">
        <is>
          <t>Uso Industrial Exclusivo (PGRS / NBR 10004)</t>
        </is>
      </c>
      <c r="L519" s="7" t="inlineStr">
        <is>
          <t>NÃO</t>
        </is>
      </c>
      <c r="M519" s="7" t="inlineStr">
        <is>
          <t>0,00% (Lei nº 10.925/2004)</t>
        </is>
      </c>
      <c r="N519" s="7" t="inlineStr">
        <is>
          <t>0,925% (LC nº 224/2025)</t>
        </is>
      </c>
      <c r="O519" s="7" t="inlineStr">
        <is>
          <t>0,365% (LC nº 224/2025)</t>
        </is>
      </c>
      <c r="P519" s="7" t="inlineStr">
        <is>
          <t>CST 06 (Uso Agrícola/Industrial)</t>
        </is>
      </c>
      <c r="Q519" s="7" t="inlineStr">
        <is>
          <t>CST 73 (Revenda / Destinação)</t>
        </is>
      </c>
      <c r="R519" s="7" t="inlineStr">
        <is>
          <t>Redução de 60% + Diferimento (Art. 138 LC 214/2025)</t>
        </is>
      </c>
    </row>
    <row r="520" ht="22" customHeight="1">
      <c r="A520" s="12" t="inlineStr">
        <is>
          <t>SKU-0516</t>
        </is>
      </c>
      <c r="B520" s="11" t="n">
        <v>376</v>
      </c>
      <c r="C520" s="13" t="inlineStr">
        <is>
          <t>Nº 28120</t>
        </is>
      </c>
      <c r="D520" s="14" t="inlineStr">
        <is>
          <t>FLUROXIPIR 200 (PRINCIPIO ATIVO)</t>
        </is>
      </c>
      <c r="E520" s="13" t="inlineStr">
        <is>
          <t>Faixa 1 TIPI (Apresentação &lt;= 300 g ou mL)</t>
        </is>
      </c>
      <c r="F520" s="13" t="inlineStr">
        <is>
          <t>Fracionado / Amostra &lt;= 0,3 KG</t>
        </is>
      </c>
      <c r="G520" s="13" t="inlineStr">
        <is>
          <t>KG</t>
        </is>
      </c>
      <c r="H520" s="18" t="n">
        <v>0.3</v>
      </c>
      <c r="I520" s="13" t="inlineStr">
        <is>
          <t>3808.93.19</t>
        </is>
      </c>
      <c r="J520" s="13" t="inlineStr">
        <is>
          <t>NÃO</t>
        </is>
      </c>
      <c r="K520" s="13" t="inlineStr">
        <is>
          <t>Uso Industrial Exclusivo (PGRS / NBR 10004)</t>
        </is>
      </c>
      <c r="L520" s="13" t="inlineStr">
        <is>
          <t>NÃO</t>
        </is>
      </c>
      <c r="M520" s="13" t="inlineStr">
        <is>
          <t>0,00% (Lei nº 10.925/2004)</t>
        </is>
      </c>
      <c r="N520" s="13" t="inlineStr">
        <is>
          <t>0,925% (LC nº 224/2025)</t>
        </is>
      </c>
      <c r="O520" s="13" t="inlineStr">
        <is>
          <t>0,365% (LC nº 224/2025)</t>
        </is>
      </c>
      <c r="P520" s="13" t="inlineStr">
        <is>
          <t>CST 06 (Uso Agrícola/Industrial)</t>
        </is>
      </c>
      <c r="Q520" s="13" t="inlineStr">
        <is>
          <t>CST 73 (Revenda / Destinação)</t>
        </is>
      </c>
      <c r="R520" s="13" t="inlineStr">
        <is>
          <t>Redução de 60% + Diferimento (Art. 138 LC 214/2025)</t>
        </is>
      </c>
    </row>
    <row r="521" ht="22" customHeight="1">
      <c r="A521" s="6" t="inlineStr">
        <is>
          <t>SKU-0517</t>
        </is>
      </c>
      <c r="B521" s="5" t="n">
        <v>377</v>
      </c>
      <c r="C521" s="7" t="inlineStr">
        <is>
          <t>Nº 31422</t>
        </is>
      </c>
      <c r="D521" s="8" t="inlineStr">
        <is>
          <t>ZARPAL</t>
        </is>
      </c>
      <c r="E521" s="7" t="inlineStr">
        <is>
          <t>Embalagem Comercial do Produto</t>
        </is>
      </c>
      <c r="F521" s="7" t="inlineStr">
        <is>
          <t>12X1L (1 L)</t>
        </is>
      </c>
      <c r="G521" s="7" t="inlineStr">
        <is>
          <t>L</t>
        </is>
      </c>
      <c r="H521" s="9" t="n">
        <v>1</v>
      </c>
      <c r="I521" s="7" t="inlineStr">
        <is>
          <t>3808.62.90</t>
        </is>
      </c>
      <c r="J521" s="7" t="inlineStr">
        <is>
          <t>SIM</t>
        </is>
      </c>
      <c r="K521" s="7" t="inlineStr">
        <is>
          <t>Embalagem Rígida — LAVÁVEL (Obrigatória Tríplice Lavagem ou Pressão)</t>
        </is>
      </c>
      <c r="L521" s="7" t="inlineStr">
        <is>
          <t>NÃO</t>
        </is>
      </c>
      <c r="M521" s="7" t="inlineStr">
        <is>
          <t>0,00% (Lei nº 10.925/2004)</t>
        </is>
      </c>
      <c r="N521" s="7" t="inlineStr">
        <is>
          <t>0,925% (LC nº 224/2025)</t>
        </is>
      </c>
      <c r="O521" s="7" t="inlineStr">
        <is>
          <t>0,365% (LC nº 224/2025)</t>
        </is>
      </c>
      <c r="P521" s="7" t="inlineStr">
        <is>
          <t>CST 06</t>
        </is>
      </c>
      <c r="Q521" s="7" t="inlineStr">
        <is>
          <t>CST 73</t>
        </is>
      </c>
      <c r="R521" s="7" t="inlineStr">
        <is>
          <t>Redução de 60% + Diferimento (Art. 138 e Anexo IX LC 214/2025)</t>
        </is>
      </c>
    </row>
    <row r="522" ht="22" customHeight="1">
      <c r="A522" s="12" t="inlineStr">
        <is>
          <t>SKU-0518</t>
        </is>
      </c>
      <c r="B522" s="11" t="n">
        <v>377</v>
      </c>
      <c r="C522" s="13" t="inlineStr">
        <is>
          <t>Nº 31422</t>
        </is>
      </c>
      <c r="D522" s="14" t="inlineStr">
        <is>
          <t>ZARPAL</t>
        </is>
      </c>
      <c r="E522" s="13" t="inlineStr">
        <is>
          <t>Faixa 1 TIPI (Apresentação &lt;= 300 g ou mL)</t>
        </is>
      </c>
      <c r="F522" s="13" t="inlineStr">
        <is>
          <t>Fracionado / Amostra &lt;= 0,3 L</t>
        </is>
      </c>
      <c r="G522" s="13" t="inlineStr">
        <is>
          <t>L</t>
        </is>
      </c>
      <c r="H522" s="18" t="n">
        <v>0.3</v>
      </c>
      <c r="I522" s="13" t="inlineStr">
        <is>
          <t>3808.61.00</t>
        </is>
      </c>
      <c r="J522" s="13" t="inlineStr">
        <is>
          <t>SIM</t>
        </is>
      </c>
      <c r="K522" s="13" t="inlineStr">
        <is>
          <t>Embalagem Rígida — LAVÁVEL (Obrigatória Tríplice Lavagem ou Pressão)</t>
        </is>
      </c>
      <c r="L522" s="13" t="inlineStr">
        <is>
          <t>NÃO</t>
        </is>
      </c>
      <c r="M522" s="13" t="inlineStr">
        <is>
          <t>0,00% (Lei nº 10.925/2004)</t>
        </is>
      </c>
      <c r="N522" s="13" t="inlineStr">
        <is>
          <t>0,925% (LC nº 224/2025)</t>
        </is>
      </c>
      <c r="O522" s="13" t="inlineStr">
        <is>
          <t>0,365% (LC nº 224/2025)</t>
        </is>
      </c>
      <c r="P522" s="13" t="inlineStr">
        <is>
          <t>CST 06</t>
        </is>
      </c>
      <c r="Q522" s="13" t="inlineStr">
        <is>
          <t>CST 73</t>
        </is>
      </c>
      <c r="R522" s="13" t="inlineStr">
        <is>
          <t>Redução de 60% + Diferimento (Art. 138 e Anexo IX LC 214/2025)</t>
        </is>
      </c>
    </row>
    <row r="523" ht="22" customHeight="1">
      <c r="A523" s="6" t="inlineStr">
        <is>
          <t>SKU-0519</t>
        </is>
      </c>
      <c r="B523" s="5" t="n">
        <v>378</v>
      </c>
      <c r="C523" s="7" t="inlineStr">
        <is>
          <t>SIPEAGRO (UF-XXXXX)</t>
        </is>
      </c>
      <c r="D523" s="8" t="inlineStr">
        <is>
          <t>AGCN PRODUZ +</t>
        </is>
      </c>
      <c r="E523" s="7" t="inlineStr">
        <is>
          <t>Embalagem Comercial do Produto</t>
        </is>
      </c>
      <c r="F523" s="7" t="inlineStr">
        <is>
          <t>1X10KG (10 KG)</t>
        </is>
      </c>
      <c r="G523" s="7" t="inlineStr">
        <is>
          <t>KG</t>
        </is>
      </c>
      <c r="H523" s="9" t="n">
        <v>10</v>
      </c>
      <c r="I523" s="7" t="inlineStr">
        <is>
          <t>3101.00.00</t>
        </is>
      </c>
      <c r="J523" s="7" t="inlineStr">
        <is>
          <t>NÃO</t>
        </is>
      </c>
      <c r="K523" s="7" t="inlineStr">
        <is>
          <t>Embalagem de Insumo Nutricional/Biológico (Logística Reversa)</t>
        </is>
      </c>
      <c r="L523" s="7" t="inlineStr">
        <is>
          <t>NÃO</t>
        </is>
      </c>
      <c r="M523" s="7" t="inlineStr">
        <is>
          <t>0,00% (Lei nº 10.925/2004)</t>
        </is>
      </c>
      <c r="N523" s="7" t="inlineStr">
        <is>
          <t>0,925% (LC nº 224/2025)</t>
        </is>
      </c>
      <c r="O523" s="7" t="inlineStr">
        <is>
          <t>0,365% (LC nº 224/2025)</t>
        </is>
      </c>
      <c r="P523" s="7" t="inlineStr">
        <is>
          <t>CST 06</t>
        </is>
      </c>
      <c r="Q523" s="7" t="inlineStr">
        <is>
          <t>CST 73</t>
        </is>
      </c>
      <c r="R523" s="7" t="inlineStr">
        <is>
          <t>Redução de 60% + Diferimento (Art. 138 e Anexo IX LC 214/2025)</t>
        </is>
      </c>
    </row>
    <row r="524" ht="22" customHeight="1">
      <c r="A524" s="12" t="inlineStr">
        <is>
          <t>SKU-0520</t>
        </is>
      </c>
      <c r="B524" s="11" t="n">
        <v>378</v>
      </c>
      <c r="C524" s="13" t="inlineStr">
        <is>
          <t>SIPEAGRO (UF-XXXXX)</t>
        </is>
      </c>
      <c r="D524" s="14" t="inlineStr">
        <is>
          <t>AGCN PRODUZ +</t>
        </is>
      </c>
      <c r="E524" s="13" t="inlineStr">
        <is>
          <t>Faixa 1 TIPI (Apresentação &lt;= 300 g ou mL)</t>
        </is>
      </c>
      <c r="F524" s="13" t="inlineStr">
        <is>
          <t>Fracionado / Amostra &lt;= 0,3 KG</t>
        </is>
      </c>
      <c r="G524" s="13" t="inlineStr">
        <is>
          <t>KG</t>
        </is>
      </c>
      <c r="H524" s="18" t="n">
        <v>0.3</v>
      </c>
      <c r="I524" s="13" t="inlineStr">
        <is>
          <t>3105.90.90</t>
        </is>
      </c>
      <c r="J524" s="13" t="inlineStr">
        <is>
          <t>NÃO</t>
        </is>
      </c>
      <c r="K524" s="13" t="inlineStr">
        <is>
          <t>Embalagem de Insumo Nutricional/Biológico (Logística Reversa)</t>
        </is>
      </c>
      <c r="L524" s="13" t="inlineStr">
        <is>
          <t>NÃO</t>
        </is>
      </c>
      <c r="M524" s="13" t="inlineStr">
        <is>
          <t>0,00% (Lei nº 10.925/2004)</t>
        </is>
      </c>
      <c r="N524" s="13" t="inlineStr">
        <is>
          <t>0,925% (LC nº 224/2025)</t>
        </is>
      </c>
      <c r="O524" s="13" t="inlineStr">
        <is>
          <t>0,365% (LC nº 224/2025)</t>
        </is>
      </c>
      <c r="P524" s="13" t="inlineStr">
        <is>
          <t>CST 06</t>
        </is>
      </c>
      <c r="Q524" s="13" t="inlineStr">
        <is>
          <t>CST 73</t>
        </is>
      </c>
      <c r="R524" s="13" t="inlineStr">
        <is>
          <t>Redução de 60% + Diferimento (Art. 138 e Anexo IX LC 214/2025)</t>
        </is>
      </c>
    </row>
    <row r="525" ht="22" customHeight="1">
      <c r="A525" s="6" t="inlineStr">
        <is>
          <t>SKU-0521</t>
        </is>
      </c>
      <c r="B525" s="5" t="n">
        <v>379</v>
      </c>
      <c r="C525" s="7" t="inlineStr">
        <is>
          <t>SIPEAGRO (UF-XXXXX)</t>
        </is>
      </c>
      <c r="D525" s="8" t="inlineStr">
        <is>
          <t>AGCN PLUM</t>
        </is>
      </c>
      <c r="E525" s="7" t="inlineStr">
        <is>
          <t>Embalagem Comercial do Produto</t>
        </is>
      </c>
      <c r="F525" s="7" t="inlineStr">
        <is>
          <t>EMBALAGEM PADRÃO (25 KG)</t>
        </is>
      </c>
      <c r="G525" s="7" t="inlineStr">
        <is>
          <t>KG</t>
        </is>
      </c>
      <c r="H525" s="9" t="n">
        <v>25</v>
      </c>
      <c r="I525" s="7" t="inlineStr">
        <is>
          <t>3102.90.00</t>
        </is>
      </c>
      <c r="J525" s="7" t="inlineStr">
        <is>
          <t>NÃO</t>
        </is>
      </c>
      <c r="K525" s="7" t="inlineStr">
        <is>
          <t>Embalagem de Insumo Nutricional/Biológico (Logística Reversa)</t>
        </is>
      </c>
      <c r="L525" s="7" t="inlineStr">
        <is>
          <t>NÃO</t>
        </is>
      </c>
      <c r="M525" s="7" t="inlineStr">
        <is>
          <t>0,00% (Lei nº 10.925/2004)</t>
        </is>
      </c>
      <c r="N525" s="7" t="inlineStr">
        <is>
          <t>0,925% (LC nº 224/2025)</t>
        </is>
      </c>
      <c r="O525" s="7" t="inlineStr">
        <is>
          <t>0,365% (LC nº 224/2025)</t>
        </is>
      </c>
      <c r="P525" s="7" t="inlineStr">
        <is>
          <t>CST 06</t>
        </is>
      </c>
      <c r="Q525" s="7" t="inlineStr">
        <is>
          <t>CST 73</t>
        </is>
      </c>
      <c r="R525" s="7" t="inlineStr">
        <is>
          <t>Redução de 60% + Diferimento (Art. 138 e Anexo IX LC 214/2025)</t>
        </is>
      </c>
    </row>
    <row r="526" ht="22" customHeight="1">
      <c r="A526" s="12" t="inlineStr">
        <is>
          <t>SKU-0522</t>
        </is>
      </c>
      <c r="B526" s="11" t="n">
        <v>379</v>
      </c>
      <c r="C526" s="13" t="inlineStr">
        <is>
          <t>SIPEAGRO (UF-XXXXX)</t>
        </is>
      </c>
      <c r="D526" s="14" t="inlineStr">
        <is>
          <t>AGCN PLUM</t>
        </is>
      </c>
      <c r="E526" s="13" t="inlineStr">
        <is>
          <t>Faixa 1 TIPI (Apresentação &lt;= 300 g ou mL)</t>
        </is>
      </c>
      <c r="F526" s="13" t="inlineStr">
        <is>
          <t>Fracionado / Amostra &lt;= 0,3 KG</t>
        </is>
      </c>
      <c r="G526" s="13" t="inlineStr">
        <is>
          <t>KG</t>
        </is>
      </c>
      <c r="H526" s="18" t="n">
        <v>0.3</v>
      </c>
      <c r="I526" s="13" t="inlineStr">
        <is>
          <t>3105.90.90</t>
        </is>
      </c>
      <c r="J526" s="13" t="inlineStr">
        <is>
          <t>NÃO</t>
        </is>
      </c>
      <c r="K526" s="13" t="inlineStr">
        <is>
          <t>Embalagem de Insumo Nutricional/Biológico (Logística Reversa)</t>
        </is>
      </c>
      <c r="L526" s="13" t="inlineStr">
        <is>
          <t>NÃO</t>
        </is>
      </c>
      <c r="M526" s="13" t="inlineStr">
        <is>
          <t>0,00% (Lei nº 10.925/2004)</t>
        </is>
      </c>
      <c r="N526" s="13" t="inlineStr">
        <is>
          <t>0,925% (LC nº 224/2025)</t>
        </is>
      </c>
      <c r="O526" s="13" t="inlineStr">
        <is>
          <t>0,365% (LC nº 224/2025)</t>
        </is>
      </c>
      <c r="P526" s="13" t="inlineStr">
        <is>
          <t>CST 06</t>
        </is>
      </c>
      <c r="Q526" s="13" t="inlineStr">
        <is>
          <t>CST 73</t>
        </is>
      </c>
      <c r="R526" s="13" t="inlineStr">
        <is>
          <t>Redução de 60% + Diferimento (Art. 138 e Anexo IX LC 214/2025)</t>
        </is>
      </c>
    </row>
    <row r="527" ht="22" customHeight="1">
      <c r="A527" s="6" t="inlineStr">
        <is>
          <t>SKU-0523</t>
        </is>
      </c>
      <c r="B527" s="5" t="n">
        <v>380</v>
      </c>
      <c r="C527" s="7" t="inlineStr">
        <is>
          <t>SIPEAGRO (UF-XXXXX)</t>
        </is>
      </c>
      <c r="D527" s="8" t="inlineStr">
        <is>
          <t>AGCN PRO+</t>
        </is>
      </c>
      <c r="E527" s="7" t="inlineStr">
        <is>
          <t>Embalagem Comercial do Produto</t>
        </is>
      </c>
      <c r="F527" s="7" t="inlineStr">
        <is>
          <t>1X10KG (10 KG)</t>
        </is>
      </c>
      <c r="G527" s="7" t="inlineStr">
        <is>
          <t>KG</t>
        </is>
      </c>
      <c r="H527" s="9" t="n">
        <v>10</v>
      </c>
      <c r="I527" s="7" t="inlineStr">
        <is>
          <t>3102.90.00</t>
        </is>
      </c>
      <c r="J527" s="7" t="inlineStr">
        <is>
          <t>NÃO</t>
        </is>
      </c>
      <c r="K527" s="7" t="inlineStr">
        <is>
          <t>Embalagem de Insumo Nutricional/Biológico (Logística Reversa)</t>
        </is>
      </c>
      <c r="L527" s="7" t="inlineStr">
        <is>
          <t>NÃO</t>
        </is>
      </c>
      <c r="M527" s="7" t="inlineStr">
        <is>
          <t>0,00% (Lei nº 10.925/2004)</t>
        </is>
      </c>
      <c r="N527" s="7" t="inlineStr">
        <is>
          <t>0,925% (LC nº 224/2025)</t>
        </is>
      </c>
      <c r="O527" s="7" t="inlineStr">
        <is>
          <t>0,365% (LC nº 224/2025)</t>
        </is>
      </c>
      <c r="P527" s="7" t="inlineStr">
        <is>
          <t>CST 06</t>
        </is>
      </c>
      <c r="Q527" s="7" t="inlineStr">
        <is>
          <t>CST 73</t>
        </is>
      </c>
      <c r="R527" s="7" t="inlineStr">
        <is>
          <t>Redução de 60% + Diferimento (Art. 138 e Anexo IX LC 214/2025)</t>
        </is>
      </c>
    </row>
    <row r="528" ht="22" customHeight="1">
      <c r="A528" s="12" t="inlineStr">
        <is>
          <t>SKU-0524</t>
        </is>
      </c>
      <c r="B528" s="11" t="n">
        <v>380</v>
      </c>
      <c r="C528" s="13" t="inlineStr">
        <is>
          <t>SIPEAGRO (UF-XXXXX)</t>
        </is>
      </c>
      <c r="D528" s="14" t="inlineStr">
        <is>
          <t>AGCN PRO+</t>
        </is>
      </c>
      <c r="E528" s="13" t="inlineStr">
        <is>
          <t>Faixa 1 TIPI (Apresentação &lt;= 300 g ou mL)</t>
        </is>
      </c>
      <c r="F528" s="13" t="inlineStr">
        <is>
          <t>Fracionado / Amostra &lt;= 0,3 KG</t>
        </is>
      </c>
      <c r="G528" s="13" t="inlineStr">
        <is>
          <t>KG</t>
        </is>
      </c>
      <c r="H528" s="18" t="n">
        <v>0.3</v>
      </c>
      <c r="I528" s="13" t="inlineStr">
        <is>
          <t>3105.90.90</t>
        </is>
      </c>
      <c r="J528" s="13" t="inlineStr">
        <is>
          <t>NÃO</t>
        </is>
      </c>
      <c r="K528" s="13" t="inlineStr">
        <is>
          <t>Embalagem de Insumo Nutricional/Biológico (Logística Reversa)</t>
        </is>
      </c>
      <c r="L528" s="13" t="inlineStr">
        <is>
          <t>NÃO</t>
        </is>
      </c>
      <c r="M528" s="13" t="inlineStr">
        <is>
          <t>0,00% (Lei nº 10.925/2004)</t>
        </is>
      </c>
      <c r="N528" s="13" t="inlineStr">
        <is>
          <t>0,925% (LC nº 224/2025)</t>
        </is>
      </c>
      <c r="O528" s="13" t="inlineStr">
        <is>
          <t>0,365% (LC nº 224/2025)</t>
        </is>
      </c>
      <c r="P528" s="13" t="inlineStr">
        <is>
          <t>CST 06</t>
        </is>
      </c>
      <c r="Q528" s="13" t="inlineStr">
        <is>
          <t>CST 73</t>
        </is>
      </c>
      <c r="R528" s="13" t="inlineStr">
        <is>
          <t>Redução de 60% + Diferimento (Art. 138 e Anexo IX LC 214/2025)</t>
        </is>
      </c>
    </row>
    <row r="529" ht="22" customHeight="1">
      <c r="A529" s="6" t="inlineStr">
        <is>
          <t>SKU-0525</t>
        </is>
      </c>
      <c r="B529" s="5" t="n">
        <v>381</v>
      </c>
      <c r="C529" s="7" t="inlineStr">
        <is>
          <t>Nº 34018</t>
        </is>
      </c>
      <c r="D529" s="8" t="inlineStr">
        <is>
          <t>BIOLOGIC GUARD</t>
        </is>
      </c>
      <c r="E529" s="7" t="inlineStr">
        <is>
          <t>Embalagem Comercial do Produto</t>
        </is>
      </c>
      <c r="F529" s="7" t="inlineStr">
        <is>
          <t>4X5L (5 L)</t>
        </is>
      </c>
      <c r="G529" s="7" t="inlineStr">
        <is>
          <t>L</t>
        </is>
      </c>
      <c r="H529" s="9" t="n">
        <v>5</v>
      </c>
      <c r="I529" s="7" t="inlineStr">
        <is>
          <t>3808.92.99</t>
        </is>
      </c>
      <c r="J529" s="7" t="inlineStr">
        <is>
          <t>NÃO</t>
        </is>
      </c>
      <c r="K529" s="7" t="inlineStr">
        <is>
          <t>Embalagem Rígida — LAVÁVEL (Obrigatória Tríplice Lavagem ou Pressão)</t>
        </is>
      </c>
      <c r="L529" s="7" t="inlineStr">
        <is>
          <t>NÃO</t>
        </is>
      </c>
      <c r="M529" s="7" t="inlineStr">
        <is>
          <t>0,00% (Lei nº 10.925/2004)</t>
        </is>
      </c>
      <c r="N529" s="7" t="inlineStr">
        <is>
          <t>0,925% (LC nº 224/2025)</t>
        </is>
      </c>
      <c r="O529" s="7" t="inlineStr">
        <is>
          <t>0,365% (LC nº 224/2025)</t>
        </is>
      </c>
      <c r="P529" s="7" t="inlineStr">
        <is>
          <t>CST 06</t>
        </is>
      </c>
      <c r="Q529" s="7" t="inlineStr">
        <is>
          <t>CST 73</t>
        </is>
      </c>
      <c r="R529" s="7" t="inlineStr">
        <is>
          <t>Redução de 60% + Diferimento (Art. 138 e Anexo IX LC 214/2025)</t>
        </is>
      </c>
    </row>
    <row r="530" ht="22" customHeight="1">
      <c r="A530" s="12" t="inlineStr">
        <is>
          <t>SKU-0526</t>
        </is>
      </c>
      <c r="B530" s="11" t="n">
        <v>382</v>
      </c>
      <c r="C530" s="13" t="inlineStr">
        <is>
          <t>Nº 18022</t>
        </is>
      </c>
      <c r="D530" s="14" t="inlineStr">
        <is>
          <t>TARBOX</t>
        </is>
      </c>
      <c r="E530" s="13" t="inlineStr">
        <is>
          <t>Embalagem Comercial do Produto</t>
        </is>
      </c>
      <c r="F530" s="13" t="inlineStr">
        <is>
          <t>4X5KG (5 KG)</t>
        </is>
      </c>
      <c r="G530" s="13" t="inlineStr">
        <is>
          <t>KG</t>
        </is>
      </c>
      <c r="H530" s="15" t="n">
        <v>5</v>
      </c>
      <c r="I530" s="13" t="inlineStr">
        <is>
          <t>3808.93.29</t>
        </is>
      </c>
      <c r="J530" s="13" t="inlineStr">
        <is>
          <t>NÃO</t>
        </is>
      </c>
      <c r="K530" s="13" t="inlineStr">
        <is>
          <t>Embalagem Flexível — NÃO LAVÁVEL (Perfurar e usar saco ABNT)</t>
        </is>
      </c>
      <c r="L530" s="13" t="inlineStr">
        <is>
          <t>SIM (Saco Transparente ABNT)</t>
        </is>
      </c>
      <c r="M530" s="13" t="inlineStr">
        <is>
          <t>0,00% (Lei nº 10.925/2004)</t>
        </is>
      </c>
      <c r="N530" s="13" t="inlineStr">
        <is>
          <t>0,925% (LC nº 224/2025)</t>
        </is>
      </c>
      <c r="O530" s="13" t="inlineStr">
        <is>
          <t>0,365% (LC nº 224/2025)</t>
        </is>
      </c>
      <c r="P530" s="13" t="inlineStr">
        <is>
          <t>CST 06</t>
        </is>
      </c>
      <c r="Q530" s="13" t="inlineStr">
        <is>
          <t>CST 73</t>
        </is>
      </c>
      <c r="R530" s="13" t="inlineStr">
        <is>
          <t>Redução de 60% + Diferimento (Art. 138 e Anexo IX LC 214/2025)</t>
        </is>
      </c>
    </row>
    <row r="531" ht="22" customHeight="1">
      <c r="A531" s="6" t="inlineStr">
        <is>
          <t>SKU-0527</t>
        </is>
      </c>
      <c r="B531" s="5" t="n">
        <v>383</v>
      </c>
      <c r="C531" s="7" t="inlineStr">
        <is>
          <t>Nº 6922</t>
        </is>
      </c>
      <c r="D531" s="8" t="inlineStr">
        <is>
          <t>COFENRIN</t>
        </is>
      </c>
      <c r="E531" s="7" t="inlineStr">
        <is>
          <t>Embalagem Comercial do Produto</t>
        </is>
      </c>
      <c r="F531" s="7" t="inlineStr">
        <is>
          <t>4X5L (5 L)</t>
        </is>
      </c>
      <c r="G531" s="7" t="inlineStr">
        <is>
          <t>L</t>
        </is>
      </c>
      <c r="H531" s="9" t="n">
        <v>5</v>
      </c>
      <c r="I531" s="7" t="inlineStr">
        <is>
          <t>3808.62.90</t>
        </is>
      </c>
      <c r="J531" s="7" t="inlineStr">
        <is>
          <t>SIM</t>
        </is>
      </c>
      <c r="K531" s="7" t="inlineStr">
        <is>
          <t>Embalagem Rígida — LAVÁVEL (Obrigatória Tríplice Lavagem ou Pressão)</t>
        </is>
      </c>
      <c r="L531" s="7" t="inlineStr">
        <is>
          <t>NÃO</t>
        </is>
      </c>
      <c r="M531" s="7" t="inlineStr">
        <is>
          <t>0,00% (Lei nº 10.925/2004)</t>
        </is>
      </c>
      <c r="N531" s="7" t="inlineStr">
        <is>
          <t>0,925% (LC nº 224/2025)</t>
        </is>
      </c>
      <c r="O531" s="7" t="inlineStr">
        <is>
          <t>0,365% (LC nº 224/2025)</t>
        </is>
      </c>
      <c r="P531" s="7" t="inlineStr">
        <is>
          <t>CST 06</t>
        </is>
      </c>
      <c r="Q531" s="7" t="inlineStr">
        <is>
          <t>CST 73</t>
        </is>
      </c>
      <c r="R531" s="7" t="inlineStr">
        <is>
          <t>Redução de 60% + Diferimento (Art. 138 e Anexo IX LC 214/2025)</t>
        </is>
      </c>
    </row>
    <row r="532" ht="22" customHeight="1">
      <c r="A532" s="12" t="inlineStr">
        <is>
          <t>SKU-0528</t>
        </is>
      </c>
      <c r="B532" s="11" t="n">
        <v>383</v>
      </c>
      <c r="C532" s="13" t="inlineStr">
        <is>
          <t>Nº 6922</t>
        </is>
      </c>
      <c r="D532" s="14" t="inlineStr">
        <is>
          <t>COFENRIN</t>
        </is>
      </c>
      <c r="E532" s="13" t="inlineStr">
        <is>
          <t>Faixa 1 TIPI (Apresentação &lt;= 300 g ou mL)</t>
        </is>
      </c>
      <c r="F532" s="13" t="inlineStr">
        <is>
          <t>Fracionado / Amostra &lt;= 0,3 L</t>
        </is>
      </c>
      <c r="G532" s="13" t="inlineStr">
        <is>
          <t>L</t>
        </is>
      </c>
      <c r="H532" s="18" t="n">
        <v>0.3</v>
      </c>
      <c r="I532" s="13" t="inlineStr">
        <is>
          <t>3808.61.00</t>
        </is>
      </c>
      <c r="J532" s="13" t="inlineStr">
        <is>
          <t>SIM</t>
        </is>
      </c>
      <c r="K532" s="13" t="inlineStr">
        <is>
          <t>Embalagem Rígida — LAVÁVEL (Obrigatória Tríplice Lavagem ou Pressão)</t>
        </is>
      </c>
      <c r="L532" s="13" t="inlineStr">
        <is>
          <t>NÃO</t>
        </is>
      </c>
      <c r="M532" s="13" t="inlineStr">
        <is>
          <t>0,00% (Lei nº 10.925/2004)</t>
        </is>
      </c>
      <c r="N532" s="13" t="inlineStr">
        <is>
          <t>0,925% (LC nº 224/2025)</t>
        </is>
      </c>
      <c r="O532" s="13" t="inlineStr">
        <is>
          <t>0,365% (LC nº 224/2025)</t>
        </is>
      </c>
      <c r="P532" s="13" t="inlineStr">
        <is>
          <t>CST 06</t>
        </is>
      </c>
      <c r="Q532" s="13" t="inlineStr">
        <is>
          <t>CST 73</t>
        </is>
      </c>
      <c r="R532" s="13" t="inlineStr">
        <is>
          <t>Redução de 60% + Diferimento (Art. 138 e Anexo IX LC 214/2025)</t>
        </is>
      </c>
    </row>
    <row r="533" ht="22" customHeight="1">
      <c r="A533" s="6" t="inlineStr">
        <is>
          <t>SKU-0529</t>
        </is>
      </c>
      <c r="B533" s="5" t="n">
        <v>384</v>
      </c>
      <c r="C533" s="7" t="inlineStr">
        <is>
          <t>SIPEAGRO (UF-XXXXX)</t>
        </is>
      </c>
      <c r="D533" s="8" t="inlineStr">
        <is>
          <t>SSP FERTLIZANTE SIMPLES (VALIDAR FISCAL)</t>
        </is>
      </c>
      <c r="E533" s="7" t="inlineStr">
        <is>
          <t>Embalagem Comercial do Produto</t>
        </is>
      </c>
      <c r="F533" s="7" t="inlineStr">
        <is>
          <t>EMBALAGEM PADRÃO (25 KG)</t>
        </is>
      </c>
      <c r="G533" s="7" t="inlineStr">
        <is>
          <t>KG</t>
        </is>
      </c>
      <c r="H533" s="9" t="n">
        <v>25</v>
      </c>
      <c r="I533" s="7" t="inlineStr">
        <is>
          <t>3103.19.00</t>
        </is>
      </c>
      <c r="J533" s="7" t="inlineStr">
        <is>
          <t>NÃO</t>
        </is>
      </c>
      <c r="K533" s="7" t="inlineStr">
        <is>
          <t>Embalagem de Insumo Nutricional/Biológico (Logística Reversa)</t>
        </is>
      </c>
      <c r="L533" s="7" t="inlineStr">
        <is>
          <t>NÃO</t>
        </is>
      </c>
      <c r="M533" s="7" t="inlineStr">
        <is>
          <t>0,00% (Lei nº 10.925/2004)</t>
        </is>
      </c>
      <c r="N533" s="7" t="inlineStr">
        <is>
          <t>0,925% (LC nº 224/2025)</t>
        </is>
      </c>
      <c r="O533" s="7" t="inlineStr">
        <is>
          <t>0,365% (LC nº 224/2025)</t>
        </is>
      </c>
      <c r="P533" s="7" t="inlineStr">
        <is>
          <t>CST 06</t>
        </is>
      </c>
      <c r="Q533" s="7" t="inlineStr">
        <is>
          <t>CST 73</t>
        </is>
      </c>
      <c r="R533" s="7" t="inlineStr">
        <is>
          <t>Redução de 60% + Diferimento (Art. 138 e Anexo IX LC 214/2025)</t>
        </is>
      </c>
    </row>
    <row r="534" ht="22" customHeight="1">
      <c r="A534" s="12" t="inlineStr">
        <is>
          <t>SKU-0530</t>
        </is>
      </c>
      <c r="B534" s="11" t="n">
        <v>384</v>
      </c>
      <c r="C534" s="13" t="inlineStr">
        <is>
          <t>SIPEAGRO (UF-XXXXX)</t>
        </is>
      </c>
      <c r="D534" s="14" t="inlineStr">
        <is>
          <t>SSP FERTLIZANTE SIMPLES (VALIDAR FISCAL)</t>
        </is>
      </c>
      <c r="E534" s="13" t="inlineStr">
        <is>
          <t>Faixa 1 TIPI (Apresentação &lt;= 300 g ou mL)</t>
        </is>
      </c>
      <c r="F534" s="13" t="inlineStr">
        <is>
          <t>Fracionado / Amostra &lt;= 0,3 KG</t>
        </is>
      </c>
      <c r="G534" s="13" t="inlineStr">
        <is>
          <t>KG</t>
        </is>
      </c>
      <c r="H534" s="18" t="n">
        <v>0.3</v>
      </c>
      <c r="I534" s="13" t="inlineStr">
        <is>
          <t>3103.19.00</t>
        </is>
      </c>
      <c r="J534" s="13" t="inlineStr">
        <is>
          <t>NÃO</t>
        </is>
      </c>
      <c r="K534" s="13" t="inlineStr">
        <is>
          <t>Embalagem de Insumo Nutricional/Biológico (Logística Reversa)</t>
        </is>
      </c>
      <c r="L534" s="13" t="inlineStr">
        <is>
          <t>NÃO</t>
        </is>
      </c>
      <c r="M534" s="13" t="inlineStr">
        <is>
          <t>0,00% (Lei nº 10.925/2004)</t>
        </is>
      </c>
      <c r="N534" s="13" t="inlineStr">
        <is>
          <t>0,925% (LC nº 224/2025)</t>
        </is>
      </c>
      <c r="O534" s="13" t="inlineStr">
        <is>
          <t>0,365% (LC nº 224/2025)</t>
        </is>
      </c>
      <c r="P534" s="13" t="inlineStr">
        <is>
          <t>CST 06</t>
        </is>
      </c>
      <c r="Q534" s="13" t="inlineStr">
        <is>
          <t>CST 73</t>
        </is>
      </c>
      <c r="R534" s="13" t="inlineStr">
        <is>
          <t>Redução de 60% + Diferimento (Art. 138 e Anexo IX LC 214/2025)</t>
        </is>
      </c>
    </row>
    <row r="535" ht="22" customHeight="1">
      <c r="A535" s="6" t="inlineStr">
        <is>
          <t>SKU-0531</t>
        </is>
      </c>
      <c r="B535" s="5" t="n">
        <v>385</v>
      </c>
      <c r="C535" s="7" t="inlineStr">
        <is>
          <t>SIPEAGRO (UF-XXXXX)</t>
        </is>
      </c>
      <c r="D535" s="8" t="inlineStr">
        <is>
          <t>MAP FERTLIZANTES SIMPLES</t>
        </is>
      </c>
      <c r="E535" s="7" t="inlineStr">
        <is>
          <t>Embalagem Comercial do Produto</t>
        </is>
      </c>
      <c r="F535" s="7" t="inlineStr">
        <is>
          <t>EMBALAGEM PADRÃO (25 KG)</t>
        </is>
      </c>
      <c r="G535" s="7" t="inlineStr">
        <is>
          <t>KG</t>
        </is>
      </c>
      <c r="H535" s="9" t="n">
        <v>25</v>
      </c>
      <c r="I535" s="7" t="inlineStr">
        <is>
          <t>3105.40.00</t>
        </is>
      </c>
      <c r="J535" s="7" t="inlineStr">
        <is>
          <t>NÃO</t>
        </is>
      </c>
      <c r="K535" s="7" t="inlineStr">
        <is>
          <t>Embalagem de Insumo Nutricional/Biológico (Logística Reversa)</t>
        </is>
      </c>
      <c r="L535" s="7" t="inlineStr">
        <is>
          <t>NÃO</t>
        </is>
      </c>
      <c r="M535" s="7" t="inlineStr">
        <is>
          <t>0,00% (Lei nº 10.925/2004)</t>
        </is>
      </c>
      <c r="N535" s="7" t="inlineStr">
        <is>
          <t>0,925% (LC nº 224/2025)</t>
        </is>
      </c>
      <c r="O535" s="7" t="inlineStr">
        <is>
          <t>0,365% (LC nº 224/2025)</t>
        </is>
      </c>
      <c r="P535" s="7" t="inlineStr">
        <is>
          <t>CST 06</t>
        </is>
      </c>
      <c r="Q535" s="7" t="inlineStr">
        <is>
          <t>CST 73</t>
        </is>
      </c>
      <c r="R535" s="7" t="inlineStr">
        <is>
          <t>Redução de 60% + Diferimento (Art. 138 e Anexo IX LC 214/2025)</t>
        </is>
      </c>
    </row>
    <row r="536" ht="22" customHeight="1">
      <c r="A536" s="12" t="inlineStr">
        <is>
          <t>SKU-0532</t>
        </is>
      </c>
      <c r="B536" s="11" t="n">
        <v>385</v>
      </c>
      <c r="C536" s="13" t="inlineStr">
        <is>
          <t>SIPEAGRO (UF-XXXXX)</t>
        </is>
      </c>
      <c r="D536" s="14" t="inlineStr">
        <is>
          <t>MAP FERTLIZANTES SIMPLES</t>
        </is>
      </c>
      <c r="E536" s="13" t="inlineStr">
        <is>
          <t>Faixa 1 TIPI (Apresentação &lt;= 300 g ou mL)</t>
        </is>
      </c>
      <c r="F536" s="13" t="inlineStr">
        <is>
          <t>Fracionado / Amostra &lt;= 0,3 KG</t>
        </is>
      </c>
      <c r="G536" s="13" t="inlineStr">
        <is>
          <t>KG</t>
        </is>
      </c>
      <c r="H536" s="18" t="n">
        <v>0.3</v>
      </c>
      <c r="I536" s="13" t="inlineStr">
        <is>
          <t>3105.40.00</t>
        </is>
      </c>
      <c r="J536" s="13" t="inlineStr">
        <is>
          <t>NÃO</t>
        </is>
      </c>
      <c r="K536" s="13" t="inlineStr">
        <is>
          <t>Embalagem de Insumo Nutricional/Biológico (Logística Reversa)</t>
        </is>
      </c>
      <c r="L536" s="13" t="inlineStr">
        <is>
          <t>NÃO</t>
        </is>
      </c>
      <c r="M536" s="13" t="inlineStr">
        <is>
          <t>0,00% (Lei nº 10.925/2004)</t>
        </is>
      </c>
      <c r="N536" s="13" t="inlineStr">
        <is>
          <t>0,925% (LC nº 224/2025)</t>
        </is>
      </c>
      <c r="O536" s="13" t="inlineStr">
        <is>
          <t>0,365% (LC nº 224/2025)</t>
        </is>
      </c>
      <c r="P536" s="13" t="inlineStr">
        <is>
          <t>CST 06</t>
        </is>
      </c>
      <c r="Q536" s="13" t="inlineStr">
        <is>
          <t>CST 73</t>
        </is>
      </c>
      <c r="R536" s="13" t="inlineStr">
        <is>
          <t>Redução de 60% + Diferimento (Art. 138 e Anexo IX LC 214/2025)</t>
        </is>
      </c>
    </row>
    <row r="537" ht="22" customHeight="1">
      <c r="A537" s="6" t="inlineStr">
        <is>
          <t>SKU-0533</t>
        </is>
      </c>
      <c r="B537" s="5" t="n">
        <v>386</v>
      </c>
      <c r="C537" s="7" t="inlineStr">
        <is>
          <t>SIPEAGRO (UF-XXXXX)</t>
        </is>
      </c>
      <c r="D537" s="8" t="inlineStr">
        <is>
          <t>VITA ACCION</t>
        </is>
      </c>
      <c r="E537" s="7" t="inlineStr">
        <is>
          <t>Embalagem Comercial do Produto</t>
        </is>
      </c>
      <c r="F537" s="7" t="inlineStr">
        <is>
          <t>1X1L (1 L)</t>
        </is>
      </c>
      <c r="G537" s="7" t="inlineStr">
        <is>
          <t>L</t>
        </is>
      </c>
      <c r="H537" s="17" t="n">
        <v>0.2</v>
      </c>
      <c r="I537" s="7" t="inlineStr">
        <is>
          <t>3101.00.00</t>
        </is>
      </c>
      <c r="J537" s="7" t="inlineStr">
        <is>
          <t>NÃO</t>
        </is>
      </c>
      <c r="K537" s="7" t="inlineStr">
        <is>
          <t>Embalagem de Insumo Nutricional/Biológico (Logística Reversa)</t>
        </is>
      </c>
      <c r="L537" s="7" t="inlineStr">
        <is>
          <t>NÃO</t>
        </is>
      </c>
      <c r="M537" s="7" t="inlineStr">
        <is>
          <t>0,00% (Lei nº 10.925/2004)</t>
        </is>
      </c>
      <c r="N537" s="7" t="inlineStr">
        <is>
          <t>0,925% (LC nº 224/2025)</t>
        </is>
      </c>
      <c r="O537" s="7" t="inlineStr">
        <is>
          <t>0,365% (LC nº 224/2025)</t>
        </is>
      </c>
      <c r="P537" s="7" t="inlineStr">
        <is>
          <t>CST 06</t>
        </is>
      </c>
      <c r="Q537" s="7" t="inlineStr">
        <is>
          <t>CST 73</t>
        </is>
      </c>
      <c r="R537" s="7" t="inlineStr">
        <is>
          <t>Redução de 60% + Diferimento (Art. 138 e Anexo IX LC 214/2025)</t>
        </is>
      </c>
    </row>
    <row r="538" ht="22" customHeight="1">
      <c r="A538" s="12" t="inlineStr">
        <is>
          <t>SKU-0534</t>
        </is>
      </c>
      <c r="B538" s="11" t="n">
        <v>386</v>
      </c>
      <c r="C538" s="13" t="inlineStr">
        <is>
          <t>SIPEAGRO (UF-XXXXX)</t>
        </is>
      </c>
      <c r="D538" s="14" t="inlineStr">
        <is>
          <t>VITA ACCION</t>
        </is>
      </c>
      <c r="E538" s="13" t="inlineStr">
        <is>
          <t>Faixa 1 TIPI (Apresentação &lt;= 300 g ou mL)</t>
        </is>
      </c>
      <c r="F538" s="13" t="inlineStr">
        <is>
          <t>Fracionado / Amostra &lt;= 0,3 L</t>
        </is>
      </c>
      <c r="G538" s="13" t="inlineStr">
        <is>
          <t>L</t>
        </is>
      </c>
      <c r="H538" s="18" t="n">
        <v>0.3</v>
      </c>
      <c r="I538" s="13" t="inlineStr">
        <is>
          <t>3105.90.90</t>
        </is>
      </c>
      <c r="J538" s="13" t="inlineStr">
        <is>
          <t>NÃO</t>
        </is>
      </c>
      <c r="K538" s="13" t="inlineStr">
        <is>
          <t>Embalagem de Insumo Nutricional/Biológico (Logística Reversa)</t>
        </is>
      </c>
      <c r="L538" s="13" t="inlineStr">
        <is>
          <t>NÃO</t>
        </is>
      </c>
      <c r="M538" s="13" t="inlineStr">
        <is>
          <t>0,00% (Lei nº 10.925/2004)</t>
        </is>
      </c>
      <c r="N538" s="13" t="inlineStr">
        <is>
          <t>0,925% (LC nº 224/2025)</t>
        </is>
      </c>
      <c r="O538" s="13" t="inlineStr">
        <is>
          <t>0,365% (LC nº 224/2025)</t>
        </is>
      </c>
      <c r="P538" s="13" t="inlineStr">
        <is>
          <t>CST 06</t>
        </is>
      </c>
      <c r="Q538" s="13" t="inlineStr">
        <is>
          <t>CST 73</t>
        </is>
      </c>
      <c r="R538" s="13" t="inlineStr">
        <is>
          <t>Redução de 60% + Diferimento (Art. 138 e Anexo IX LC 214/2025)</t>
        </is>
      </c>
    </row>
    <row r="539" ht="22" customHeight="1">
      <c r="A539" s="6" t="inlineStr">
        <is>
          <t>SKU-0535</t>
        </is>
      </c>
      <c r="B539" s="5" t="n">
        <v>387</v>
      </c>
      <c r="C539" s="7" t="inlineStr">
        <is>
          <t>SIPEAGRO (UF-XXXXX)</t>
        </is>
      </c>
      <c r="D539" s="8" t="inlineStr">
        <is>
          <t>EFISOIL SUPERBIA</t>
        </is>
      </c>
      <c r="E539" s="7" t="inlineStr">
        <is>
          <t>Embalagem Comercial do Produto</t>
        </is>
      </c>
      <c r="F539" s="7" t="inlineStr">
        <is>
          <t>1X5KG (5 KG)</t>
        </is>
      </c>
      <c r="G539" s="7" t="inlineStr">
        <is>
          <t>KG</t>
        </is>
      </c>
      <c r="H539" s="17" t="n">
        <v>0.2</v>
      </c>
      <c r="I539" s="7" t="inlineStr">
        <is>
          <t>3105.10.00</t>
        </is>
      </c>
      <c r="J539" s="7" t="inlineStr">
        <is>
          <t>NÃO</t>
        </is>
      </c>
      <c r="K539" s="7" t="inlineStr">
        <is>
          <t>Embalagem de Insumo Nutricional/Biológico (Logística Reversa)</t>
        </is>
      </c>
      <c r="L539" s="7" t="inlineStr">
        <is>
          <t>NÃO</t>
        </is>
      </c>
      <c r="M539" s="7" t="inlineStr">
        <is>
          <t>0,00% (Lei nº 10.925/2004)</t>
        </is>
      </c>
      <c r="N539" s="7" t="inlineStr">
        <is>
          <t>0,925% (LC nº 224/2025)</t>
        </is>
      </c>
      <c r="O539" s="7" t="inlineStr">
        <is>
          <t>0,365% (LC nº 224/2025)</t>
        </is>
      </c>
      <c r="P539" s="7" t="inlineStr">
        <is>
          <t>CST 06</t>
        </is>
      </c>
      <c r="Q539" s="7" t="inlineStr">
        <is>
          <t>CST 73</t>
        </is>
      </c>
      <c r="R539" s="7" t="inlineStr">
        <is>
          <t>Redução de 60% + Diferimento (Art. 138 e Anexo IX LC 214/2025)</t>
        </is>
      </c>
    </row>
    <row r="540" ht="22" customHeight="1">
      <c r="A540" s="12" t="inlineStr">
        <is>
          <t>SKU-0536</t>
        </is>
      </c>
      <c r="B540" s="11" t="n">
        <v>387</v>
      </c>
      <c r="C540" s="13" t="inlineStr">
        <is>
          <t>SIPEAGRO (UF-XXXXX)</t>
        </is>
      </c>
      <c r="D540" s="14" t="inlineStr">
        <is>
          <t>EFISOIL SUPERBIA</t>
        </is>
      </c>
      <c r="E540" s="13" t="inlineStr">
        <is>
          <t>Faixa 1 TIPI (Apresentação &lt;= 300 g ou mL)</t>
        </is>
      </c>
      <c r="F540" s="13" t="inlineStr">
        <is>
          <t>Fracionado / Amostra &lt;= 0,3 KG</t>
        </is>
      </c>
      <c r="G540" s="13" t="inlineStr">
        <is>
          <t>KG</t>
        </is>
      </c>
      <c r="H540" s="18" t="n">
        <v>0.3</v>
      </c>
      <c r="I540" s="13" t="inlineStr">
        <is>
          <t>3105.90.90</t>
        </is>
      </c>
      <c r="J540" s="13" t="inlineStr">
        <is>
          <t>NÃO</t>
        </is>
      </c>
      <c r="K540" s="13" t="inlineStr">
        <is>
          <t>Embalagem de Insumo Nutricional/Biológico (Logística Reversa)</t>
        </is>
      </c>
      <c r="L540" s="13" t="inlineStr">
        <is>
          <t>NÃO</t>
        </is>
      </c>
      <c r="M540" s="13" t="inlineStr">
        <is>
          <t>0,00% (Lei nº 10.925/2004)</t>
        </is>
      </c>
      <c r="N540" s="13" t="inlineStr">
        <is>
          <t>0,925% (LC nº 224/2025)</t>
        </is>
      </c>
      <c r="O540" s="13" t="inlineStr">
        <is>
          <t>0,365% (LC nº 224/2025)</t>
        </is>
      </c>
      <c r="P540" s="13" t="inlineStr">
        <is>
          <t>CST 06</t>
        </is>
      </c>
      <c r="Q540" s="13" t="inlineStr">
        <is>
          <t>CST 73</t>
        </is>
      </c>
      <c r="R540" s="13" t="inlineStr">
        <is>
          <t>Redução de 60% + Diferimento (Art. 138 e Anexo IX LC 214/2025)</t>
        </is>
      </c>
    </row>
    <row r="541" ht="22" customHeight="1">
      <c r="A541" s="6" t="inlineStr">
        <is>
          <t>SKU-0537</t>
        </is>
      </c>
      <c r="B541" s="5" t="n">
        <v>388</v>
      </c>
      <c r="C541" s="7" t="inlineStr">
        <is>
          <t>SIPEAGRO (UF-XXXXX)</t>
        </is>
      </c>
      <c r="D541" s="8" t="inlineStr">
        <is>
          <t>EFISOIL SUPERBIA AZON</t>
        </is>
      </c>
      <c r="E541" s="7" t="inlineStr">
        <is>
          <t>Embalagem Comercial do Produto</t>
        </is>
      </c>
      <c r="F541" s="7" t="inlineStr">
        <is>
          <t>1X5KG (5 KG)</t>
        </is>
      </c>
      <c r="G541" s="7" t="inlineStr">
        <is>
          <t>KG</t>
        </is>
      </c>
      <c r="H541" s="17" t="n">
        <v>0.2</v>
      </c>
      <c r="I541" s="7" t="inlineStr">
        <is>
          <t>3105.10.00</t>
        </is>
      </c>
      <c r="J541" s="7" t="inlineStr">
        <is>
          <t>NÃO</t>
        </is>
      </c>
      <c r="K541" s="7" t="inlineStr">
        <is>
          <t>Embalagem de Insumo Nutricional/Biológico (Logística Reversa)</t>
        </is>
      </c>
      <c r="L541" s="7" t="inlineStr">
        <is>
          <t>NÃO</t>
        </is>
      </c>
      <c r="M541" s="7" t="inlineStr">
        <is>
          <t>0,00% (Lei nº 10.925/2004)</t>
        </is>
      </c>
      <c r="N541" s="7" t="inlineStr">
        <is>
          <t>0,925% (LC nº 224/2025)</t>
        </is>
      </c>
      <c r="O541" s="7" t="inlineStr">
        <is>
          <t>0,365% (LC nº 224/2025)</t>
        </is>
      </c>
      <c r="P541" s="7" t="inlineStr">
        <is>
          <t>CST 06</t>
        </is>
      </c>
      <c r="Q541" s="7" t="inlineStr">
        <is>
          <t>CST 73</t>
        </is>
      </c>
      <c r="R541" s="7" t="inlineStr">
        <is>
          <t>Redução de 60% + Diferimento (Art. 138 e Anexo IX LC 214/2025)</t>
        </is>
      </c>
    </row>
    <row r="542" ht="22" customHeight="1">
      <c r="A542" s="12" t="inlineStr">
        <is>
          <t>SKU-0538</t>
        </is>
      </c>
      <c r="B542" s="11" t="n">
        <v>388</v>
      </c>
      <c r="C542" s="13" t="inlineStr">
        <is>
          <t>SIPEAGRO (UF-XXXXX)</t>
        </is>
      </c>
      <c r="D542" s="14" t="inlineStr">
        <is>
          <t>EFISOIL SUPERBIA AZON</t>
        </is>
      </c>
      <c r="E542" s="13" t="inlineStr">
        <is>
          <t>Faixa 1 TIPI (Apresentação &lt;= 300 g ou mL)</t>
        </is>
      </c>
      <c r="F542" s="13" t="inlineStr">
        <is>
          <t>Fracionado / Amostra &lt;= 0,3 KG</t>
        </is>
      </c>
      <c r="G542" s="13" t="inlineStr">
        <is>
          <t>KG</t>
        </is>
      </c>
      <c r="H542" s="18" t="n">
        <v>0.3</v>
      </c>
      <c r="I542" s="13" t="inlineStr">
        <is>
          <t>3105.90.90</t>
        </is>
      </c>
      <c r="J542" s="13" t="inlineStr">
        <is>
          <t>NÃO</t>
        </is>
      </c>
      <c r="K542" s="13" t="inlineStr">
        <is>
          <t>Embalagem de Insumo Nutricional/Biológico (Logística Reversa)</t>
        </is>
      </c>
      <c r="L542" s="13" t="inlineStr">
        <is>
          <t>NÃO</t>
        </is>
      </c>
      <c r="M542" s="13" t="inlineStr">
        <is>
          <t>0,00% (Lei nº 10.925/2004)</t>
        </is>
      </c>
      <c r="N542" s="13" t="inlineStr">
        <is>
          <t>0,925% (LC nº 224/2025)</t>
        </is>
      </c>
      <c r="O542" s="13" t="inlineStr">
        <is>
          <t>0,365% (LC nº 224/2025)</t>
        </is>
      </c>
      <c r="P542" s="13" t="inlineStr">
        <is>
          <t>CST 06</t>
        </is>
      </c>
      <c r="Q542" s="13" t="inlineStr">
        <is>
          <t>CST 73</t>
        </is>
      </c>
      <c r="R542" s="13" t="inlineStr">
        <is>
          <t>Redução de 60% + Diferimento (Art. 138 e Anexo IX LC 214/2025)</t>
        </is>
      </c>
    </row>
    <row r="543" ht="22" customHeight="1">
      <c r="A543" s="6" t="inlineStr">
        <is>
          <t>SKU-0539</t>
        </is>
      </c>
      <c r="B543" s="5" t="n">
        <v>389</v>
      </c>
      <c r="C543" s="7" t="inlineStr">
        <is>
          <t>SIPEAGRO (UF-XXXXX)</t>
        </is>
      </c>
      <c r="D543" s="8" t="inlineStr">
        <is>
          <t>FOSFORITA 25 FARELADO BAG</t>
        </is>
      </c>
      <c r="E543" s="7" t="inlineStr">
        <is>
          <t>Embalagem Comercial do Produto</t>
        </is>
      </c>
      <c r="F543" s="7" t="inlineStr">
        <is>
          <t>1000 KG (1000 KG)</t>
        </is>
      </c>
      <c r="G543" s="7" t="inlineStr">
        <is>
          <t>KG</t>
        </is>
      </c>
      <c r="H543" s="9" t="n">
        <v>1000</v>
      </c>
      <c r="I543" s="7" t="inlineStr">
        <is>
          <t>3103.90.11</t>
        </is>
      </c>
      <c r="J543" s="7" t="inlineStr">
        <is>
          <t>NÃO</t>
        </is>
      </c>
      <c r="K543" s="7" t="inlineStr">
        <is>
          <t>Embalagem de Insumo Nutricional/Biológico (Logística Reversa)</t>
        </is>
      </c>
      <c r="L543" s="7" t="inlineStr">
        <is>
          <t>NÃO</t>
        </is>
      </c>
      <c r="M543" s="7" t="inlineStr">
        <is>
          <t>0,00% (Lei nº 10.925/2004)</t>
        </is>
      </c>
      <c r="N543" s="7" t="inlineStr">
        <is>
          <t>0,925% (LC nº 224/2025)</t>
        </is>
      </c>
      <c r="O543" s="7" t="inlineStr">
        <is>
          <t>0,365% (LC nº 224/2025)</t>
        </is>
      </c>
      <c r="P543" s="7" t="inlineStr">
        <is>
          <t>CST 06</t>
        </is>
      </c>
      <c r="Q543" s="7" t="inlineStr">
        <is>
          <t>CST 73</t>
        </is>
      </c>
      <c r="R543" s="7" t="inlineStr">
        <is>
          <t>Redução de 60% + Diferimento (Art. 138 e Anexo IX LC 214/2025)</t>
        </is>
      </c>
    </row>
    <row r="544" ht="22" customHeight="1">
      <c r="A544" s="12" t="inlineStr">
        <is>
          <t>SKU-0540</t>
        </is>
      </c>
      <c r="B544" s="11" t="n">
        <v>389</v>
      </c>
      <c r="C544" s="13" t="inlineStr">
        <is>
          <t>SIPEAGRO (UF-XXXXX)</t>
        </is>
      </c>
      <c r="D544" s="14" t="inlineStr">
        <is>
          <t>FOSFORITA 25 FARELADO BAG</t>
        </is>
      </c>
      <c r="E544" s="13" t="inlineStr">
        <is>
          <t>Faixa 1 TIPI (Apresentação &lt;= 300 g ou mL)</t>
        </is>
      </c>
      <c r="F544" s="13" t="inlineStr">
        <is>
          <t>Fracionado / Amostra &lt;= 0,3 KG</t>
        </is>
      </c>
      <c r="G544" s="13" t="inlineStr">
        <is>
          <t>KG</t>
        </is>
      </c>
      <c r="H544" s="18" t="n">
        <v>0.3</v>
      </c>
      <c r="I544" s="13" t="inlineStr">
        <is>
          <t>3103.19.00</t>
        </is>
      </c>
      <c r="J544" s="13" t="inlineStr">
        <is>
          <t>NÃO</t>
        </is>
      </c>
      <c r="K544" s="13" t="inlineStr">
        <is>
          <t>Embalagem de Insumo Nutricional/Biológico (Logística Reversa)</t>
        </is>
      </c>
      <c r="L544" s="13" t="inlineStr">
        <is>
          <t>NÃO</t>
        </is>
      </c>
      <c r="M544" s="13" t="inlineStr">
        <is>
          <t>0,00% (Lei nº 10.925/2004)</t>
        </is>
      </c>
      <c r="N544" s="13" t="inlineStr">
        <is>
          <t>0,925% (LC nº 224/2025)</t>
        </is>
      </c>
      <c r="O544" s="13" t="inlineStr">
        <is>
          <t>0,365% (LC nº 224/2025)</t>
        </is>
      </c>
      <c r="P544" s="13" t="inlineStr">
        <is>
          <t>CST 06</t>
        </is>
      </c>
      <c r="Q544" s="13" t="inlineStr">
        <is>
          <t>CST 73</t>
        </is>
      </c>
      <c r="R544" s="13" t="inlineStr">
        <is>
          <t>Redução de 60% + Diferimento (Art. 138 e Anexo IX LC 214/2025)</t>
        </is>
      </c>
    </row>
    <row r="545" ht="22" customHeight="1">
      <c r="A545" s="6" t="inlineStr">
        <is>
          <t>SKU-0541</t>
        </is>
      </c>
      <c r="B545" s="5" t="n">
        <v>390</v>
      </c>
      <c r="C545" s="7" t="inlineStr">
        <is>
          <t>SIPEAGRO (UF-XXXXX)</t>
        </is>
      </c>
      <c r="D545" s="8" t="inlineStr">
        <is>
          <t>HIPHOS 25 GR 00-25-00 BAG</t>
        </is>
      </c>
      <c r="E545" s="7" t="inlineStr">
        <is>
          <t>Embalagem Comercial do Produto</t>
        </is>
      </c>
      <c r="F545" s="7" t="inlineStr">
        <is>
          <t>1000KG (1000 KG)</t>
        </is>
      </c>
      <c r="G545" s="7" t="inlineStr">
        <is>
          <t>KG</t>
        </is>
      </c>
      <c r="H545" s="9" t="n">
        <v>1000</v>
      </c>
      <c r="I545" s="7" t="inlineStr">
        <is>
          <t>3103.90.11</t>
        </is>
      </c>
      <c r="J545" s="7" t="inlineStr">
        <is>
          <t>NÃO</t>
        </is>
      </c>
      <c r="K545" s="7" t="inlineStr">
        <is>
          <t>Embalagem Flexível — NÃO LAVÁVEL (Perfurar e usar saco ABNT)</t>
        </is>
      </c>
      <c r="L545" s="7" t="inlineStr">
        <is>
          <t>SIM (Saco Transparente ABNT)</t>
        </is>
      </c>
      <c r="M545" s="7" t="inlineStr">
        <is>
          <t>0,00% (Lei nº 10.925/2004)</t>
        </is>
      </c>
      <c r="N545" s="7" t="inlineStr">
        <is>
          <t>0,925% (LC nº 224/2025)</t>
        </is>
      </c>
      <c r="O545" s="7" t="inlineStr">
        <is>
          <t>0,365% (LC nº 224/2025)</t>
        </is>
      </c>
      <c r="P545" s="7" t="inlineStr">
        <is>
          <t>CST 06</t>
        </is>
      </c>
      <c r="Q545" s="7" t="inlineStr">
        <is>
          <t>CST 73</t>
        </is>
      </c>
      <c r="R545" s="7" t="inlineStr">
        <is>
          <t>Redução de 60% + Diferimento (Art. 138 e Anexo IX LC 214/2025)</t>
        </is>
      </c>
    </row>
    <row r="546" ht="22" customHeight="1">
      <c r="A546" s="12" t="inlineStr">
        <is>
          <t>SKU-0542</t>
        </is>
      </c>
      <c r="B546" s="11" t="n">
        <v>390</v>
      </c>
      <c r="C546" s="13" t="inlineStr">
        <is>
          <t>SIPEAGRO (UF-XXXXX)</t>
        </is>
      </c>
      <c r="D546" s="14" t="inlineStr">
        <is>
          <t>HIPHOS 25 GR 00-25-00 BAG</t>
        </is>
      </c>
      <c r="E546" s="13" t="inlineStr">
        <is>
          <t>Faixa 1 TIPI (Apresentação &lt;= 300 g ou mL)</t>
        </is>
      </c>
      <c r="F546" s="13" t="inlineStr">
        <is>
          <t>Fracionado / Amostra &lt;= 0,3 KG</t>
        </is>
      </c>
      <c r="G546" s="13" t="inlineStr">
        <is>
          <t>KG</t>
        </is>
      </c>
      <c r="H546" s="18" t="n">
        <v>0.3</v>
      </c>
      <c r="I546" s="13" t="inlineStr">
        <is>
          <t>3103.19.00</t>
        </is>
      </c>
      <c r="J546" s="13" t="inlineStr">
        <is>
          <t>NÃO</t>
        </is>
      </c>
      <c r="K546" s="13" t="inlineStr">
        <is>
          <t>Embalagem Flexível — NÃO LAVÁVEL (Perfurar e usar saco ABNT)</t>
        </is>
      </c>
      <c r="L546" s="13" t="inlineStr">
        <is>
          <t>SIM (Saco Transparente ABNT)</t>
        </is>
      </c>
      <c r="M546" s="13" t="inlineStr">
        <is>
          <t>0,00% (Lei nº 10.925/2004)</t>
        </is>
      </c>
      <c r="N546" s="13" t="inlineStr">
        <is>
          <t>0,925% (LC nº 224/2025)</t>
        </is>
      </c>
      <c r="O546" s="13" t="inlineStr">
        <is>
          <t>0,365% (LC nº 224/2025)</t>
        </is>
      </c>
      <c r="P546" s="13" t="inlineStr">
        <is>
          <t>CST 06</t>
        </is>
      </c>
      <c r="Q546" s="13" t="inlineStr">
        <is>
          <t>CST 73</t>
        </is>
      </c>
      <c r="R546" s="13" t="inlineStr">
        <is>
          <t>Redução de 60% + Diferimento (Art. 138 e Anexo IX LC 214/2025)</t>
        </is>
      </c>
    </row>
    <row r="547" ht="22" customHeight="1">
      <c r="A547" s="6" t="inlineStr">
        <is>
          <t>SKU-0543</t>
        </is>
      </c>
      <c r="B547" s="5" t="n">
        <v>391</v>
      </c>
      <c r="C547" s="7" t="inlineStr">
        <is>
          <t>SIPEAGRO (UF-XXXXX)</t>
        </is>
      </c>
      <c r="D547" s="8" t="inlineStr">
        <is>
          <t>HIPHOS 28 GR 00-28-00 BAG</t>
        </is>
      </c>
      <c r="E547" s="7" t="inlineStr">
        <is>
          <t>Embalagem Comercial do Produto</t>
        </is>
      </c>
      <c r="F547" s="7" t="inlineStr">
        <is>
          <t>1000KG (1000 KG)</t>
        </is>
      </c>
      <c r="G547" s="7" t="inlineStr">
        <is>
          <t>KG</t>
        </is>
      </c>
      <c r="H547" s="9" t="n">
        <v>1000</v>
      </c>
      <c r="I547" s="7" t="inlineStr">
        <is>
          <t>3103.90.11</t>
        </is>
      </c>
      <c r="J547" s="7" t="inlineStr">
        <is>
          <t>NÃO</t>
        </is>
      </c>
      <c r="K547" s="7" t="inlineStr">
        <is>
          <t>Embalagem Flexível — NÃO LAVÁVEL (Perfurar e usar saco ABNT)</t>
        </is>
      </c>
      <c r="L547" s="7" t="inlineStr">
        <is>
          <t>SIM (Saco Transparente ABNT)</t>
        </is>
      </c>
      <c r="M547" s="7" t="inlineStr">
        <is>
          <t>0,00% (Lei nº 10.925/2004)</t>
        </is>
      </c>
      <c r="N547" s="7" t="inlineStr">
        <is>
          <t>0,925% (LC nº 224/2025)</t>
        </is>
      </c>
      <c r="O547" s="7" t="inlineStr">
        <is>
          <t>0,365% (LC nº 224/2025)</t>
        </is>
      </c>
      <c r="P547" s="7" t="inlineStr">
        <is>
          <t>CST 06</t>
        </is>
      </c>
      <c r="Q547" s="7" t="inlineStr">
        <is>
          <t>CST 73</t>
        </is>
      </c>
      <c r="R547" s="7" t="inlineStr">
        <is>
          <t>Redução de 60% + Diferimento (Art. 138 e Anexo IX LC 214/2025)</t>
        </is>
      </c>
    </row>
    <row r="548" ht="22" customHeight="1">
      <c r="A548" s="12" t="inlineStr">
        <is>
          <t>SKU-0544</t>
        </is>
      </c>
      <c r="B548" s="11" t="n">
        <v>391</v>
      </c>
      <c r="C548" s="13" t="inlineStr">
        <is>
          <t>SIPEAGRO (UF-XXXXX)</t>
        </is>
      </c>
      <c r="D548" s="14" t="inlineStr">
        <is>
          <t>HIPHOS 28 GR 00-28-00 BAG</t>
        </is>
      </c>
      <c r="E548" s="13" t="inlineStr">
        <is>
          <t>Faixa 1 TIPI (Apresentação &lt;= 300 g ou mL)</t>
        </is>
      </c>
      <c r="F548" s="13" t="inlineStr">
        <is>
          <t>Fracionado / Amostra &lt;= 0,3 KG</t>
        </is>
      </c>
      <c r="G548" s="13" t="inlineStr">
        <is>
          <t>KG</t>
        </is>
      </c>
      <c r="H548" s="18" t="n">
        <v>0.3</v>
      </c>
      <c r="I548" s="13" t="inlineStr">
        <is>
          <t>3103.19.00</t>
        </is>
      </c>
      <c r="J548" s="13" t="inlineStr">
        <is>
          <t>NÃO</t>
        </is>
      </c>
      <c r="K548" s="13" t="inlineStr">
        <is>
          <t>Embalagem Flexível — NÃO LAVÁVEL (Perfurar e usar saco ABNT)</t>
        </is>
      </c>
      <c r="L548" s="13" t="inlineStr">
        <is>
          <t>SIM (Saco Transparente ABNT)</t>
        </is>
      </c>
      <c r="M548" s="13" t="inlineStr">
        <is>
          <t>0,00% (Lei nº 10.925/2004)</t>
        </is>
      </c>
      <c r="N548" s="13" t="inlineStr">
        <is>
          <t>0,925% (LC nº 224/2025)</t>
        </is>
      </c>
      <c r="O548" s="13" t="inlineStr">
        <is>
          <t>0,365% (LC nº 224/2025)</t>
        </is>
      </c>
      <c r="P548" s="13" t="inlineStr">
        <is>
          <t>CST 06</t>
        </is>
      </c>
      <c r="Q548" s="13" t="inlineStr">
        <is>
          <t>CST 73</t>
        </is>
      </c>
      <c r="R548" s="13" t="inlineStr">
        <is>
          <t>Redução de 60% + Diferimento (Art. 138 e Anexo IX LC 214/2025)</t>
        </is>
      </c>
    </row>
    <row r="549" ht="22" customHeight="1">
      <c r="A549" s="6" t="inlineStr">
        <is>
          <t>SKU-0545</t>
        </is>
      </c>
      <c r="B549" s="5" t="n">
        <v>392</v>
      </c>
      <c r="C549" s="7" t="inlineStr">
        <is>
          <t>SIPEAGRO (UF-XXXXX)</t>
        </is>
      </c>
      <c r="D549" s="8" t="inlineStr">
        <is>
          <t>HIPHOS 28 GR 00-28-00 BAG</t>
        </is>
      </c>
      <c r="E549" s="7" t="inlineStr">
        <is>
          <t>Embalagem Comercial do Produto</t>
        </is>
      </c>
      <c r="F549" s="7" t="inlineStr">
        <is>
          <t>1000KG (1000 KG)</t>
        </is>
      </c>
      <c r="G549" s="7" t="inlineStr">
        <is>
          <t>KG</t>
        </is>
      </c>
      <c r="H549" s="9" t="n">
        <v>1000</v>
      </c>
      <c r="I549" s="7" t="inlineStr">
        <is>
          <t>3103.90.90</t>
        </is>
      </c>
      <c r="J549" s="7" t="inlineStr">
        <is>
          <t>NÃO</t>
        </is>
      </c>
      <c r="K549" s="7" t="inlineStr">
        <is>
          <t>Embalagem Flexível — NÃO LAVÁVEL (Perfurar e usar saco ABNT)</t>
        </is>
      </c>
      <c r="L549" s="7" t="inlineStr">
        <is>
          <t>SIM (Saco Transparente ABNT)</t>
        </is>
      </c>
      <c r="M549" s="7" t="inlineStr">
        <is>
          <t>0,00% (Lei nº 10.925/2004)</t>
        </is>
      </c>
      <c r="N549" s="7" t="inlineStr">
        <is>
          <t>0,925% (LC nº 224/2025)</t>
        </is>
      </c>
      <c r="O549" s="7" t="inlineStr">
        <is>
          <t>0,365% (LC nº 224/2025)</t>
        </is>
      </c>
      <c r="P549" s="7" t="inlineStr">
        <is>
          <t>CST 06</t>
        </is>
      </c>
      <c r="Q549" s="7" t="inlineStr">
        <is>
          <t>CST 73</t>
        </is>
      </c>
      <c r="R549" s="7" t="inlineStr">
        <is>
          <t>Redução de 60% + Diferimento (Art. 138 e Anexo IX LC 214/2025)</t>
        </is>
      </c>
    </row>
    <row r="550" ht="22" customHeight="1">
      <c r="A550" s="12" t="inlineStr">
        <is>
          <t>SKU-0546</t>
        </is>
      </c>
      <c r="B550" s="11" t="n">
        <v>392</v>
      </c>
      <c r="C550" s="13" t="inlineStr">
        <is>
          <t>SIPEAGRO (UF-XXXXX)</t>
        </is>
      </c>
      <c r="D550" s="14" t="inlineStr">
        <is>
          <t>HIPHOS 28 GR 00-28-00 BAG</t>
        </is>
      </c>
      <c r="E550" s="13" t="inlineStr">
        <is>
          <t>Faixa 1 TIPI (Apresentação &lt;= 300 g ou mL)</t>
        </is>
      </c>
      <c r="F550" s="13" t="inlineStr">
        <is>
          <t>Fracionado / Amostra &lt;= 0,3 KG</t>
        </is>
      </c>
      <c r="G550" s="13" t="inlineStr">
        <is>
          <t>KG</t>
        </is>
      </c>
      <c r="H550" s="18" t="n">
        <v>0.3</v>
      </c>
      <c r="I550" s="13" t="inlineStr">
        <is>
          <t>3103.19.00</t>
        </is>
      </c>
      <c r="J550" s="13" t="inlineStr">
        <is>
          <t>NÃO</t>
        </is>
      </c>
      <c r="K550" s="13" t="inlineStr">
        <is>
          <t>Embalagem Flexível — NÃO LAVÁVEL (Perfurar e usar saco ABNT)</t>
        </is>
      </c>
      <c r="L550" s="13" t="inlineStr">
        <is>
          <t>SIM (Saco Transparente ABNT)</t>
        </is>
      </c>
      <c r="M550" s="13" t="inlineStr">
        <is>
          <t>0,00% (Lei nº 10.925/2004)</t>
        </is>
      </c>
      <c r="N550" s="13" t="inlineStr">
        <is>
          <t>0,925% (LC nº 224/2025)</t>
        </is>
      </c>
      <c r="O550" s="13" t="inlineStr">
        <is>
          <t>0,365% (LC nº 224/2025)</t>
        </is>
      </c>
      <c r="P550" s="13" t="inlineStr">
        <is>
          <t>CST 06</t>
        </is>
      </c>
      <c r="Q550" s="13" t="inlineStr">
        <is>
          <t>CST 73</t>
        </is>
      </c>
      <c r="R550" s="13" t="inlineStr">
        <is>
          <t>Redução de 60% + Diferimento (Art. 138 e Anexo IX LC 214/2025)</t>
        </is>
      </c>
    </row>
    <row r="551" ht="22" customHeight="1">
      <c r="A551" s="6" t="inlineStr">
        <is>
          <t>SKU-0547</t>
        </is>
      </c>
      <c r="B551" s="5" t="n">
        <v>393</v>
      </c>
      <c r="C551" s="7" t="inlineStr">
        <is>
          <t>SIPEAGRO (UF-XXXXX)</t>
        </is>
      </c>
      <c r="D551" s="8" t="inlineStr">
        <is>
          <t>FNR BIOPHOS 25 GRANEL (VALIDAR)</t>
        </is>
      </c>
      <c r="E551" s="7" t="inlineStr">
        <is>
          <t>Embalagem Comercial do Produto</t>
        </is>
      </c>
      <c r="F551" s="7" t="inlineStr">
        <is>
          <t>GRANEL / BIG BAG (1000 KG)</t>
        </is>
      </c>
      <c r="G551" s="7" t="inlineStr">
        <is>
          <t>KG</t>
        </is>
      </c>
      <c r="H551" s="9" t="n">
        <v>1000</v>
      </c>
      <c r="I551" s="7" t="inlineStr">
        <is>
          <t>2510.20.10</t>
        </is>
      </c>
      <c r="J551" s="7" t="inlineStr">
        <is>
          <t>NÃO</t>
        </is>
      </c>
      <c r="K551" s="7" t="inlineStr">
        <is>
          <t>Embalagem Flexível — NÃO LAVÁVEL (Perfurar e usar saco ABNT)</t>
        </is>
      </c>
      <c r="L551" s="7" t="inlineStr">
        <is>
          <t>SIM (Saco Transparente ABNT)</t>
        </is>
      </c>
      <c r="M551" s="7" t="inlineStr">
        <is>
          <t>0,00% (Lei nº 10.925/2004)</t>
        </is>
      </c>
      <c r="N551" s="7" t="inlineStr">
        <is>
          <t>0,925% (LC nº 224/2025)</t>
        </is>
      </c>
      <c r="O551" s="7" t="inlineStr">
        <is>
          <t>0,365% (LC nº 224/2025)</t>
        </is>
      </c>
      <c r="P551" s="7" t="inlineStr">
        <is>
          <t>CST 06</t>
        </is>
      </c>
      <c r="Q551" s="7" t="inlineStr">
        <is>
          <t>CST 73</t>
        </is>
      </c>
      <c r="R551" s="7" t="inlineStr">
        <is>
          <t>Redução de 60% + Diferimento (Art. 138 e Anexo IX LC 214/2025)</t>
        </is>
      </c>
    </row>
    <row r="552" ht="22" customHeight="1">
      <c r="A552" s="12" t="inlineStr">
        <is>
          <t>SKU-0548</t>
        </is>
      </c>
      <c r="B552" s="11" t="n">
        <v>393</v>
      </c>
      <c r="C552" s="13" t="inlineStr">
        <is>
          <t>SIPEAGRO (UF-XXXXX)</t>
        </is>
      </c>
      <c r="D552" s="14" t="inlineStr">
        <is>
          <t>FNR BIOPHOS 25 GRANEL (VALIDAR)</t>
        </is>
      </c>
      <c r="E552" s="13" t="inlineStr">
        <is>
          <t>Faixa 1 TIPI (Apresentação &lt;= 300 g ou mL)</t>
        </is>
      </c>
      <c r="F552" s="13" t="inlineStr">
        <is>
          <t>Fracionado / Amostra &lt;= 0,3 KG</t>
        </is>
      </c>
      <c r="G552" s="13" t="inlineStr">
        <is>
          <t>KG</t>
        </is>
      </c>
      <c r="H552" s="18" t="n">
        <v>0.3</v>
      </c>
      <c r="I552" s="13" t="inlineStr">
        <is>
          <t>3105.90.90</t>
        </is>
      </c>
      <c r="J552" s="13" t="inlineStr">
        <is>
          <t>NÃO</t>
        </is>
      </c>
      <c r="K552" s="13" t="inlineStr">
        <is>
          <t>Embalagem Flexível — NÃO LAVÁVEL (Perfurar e usar saco ABNT)</t>
        </is>
      </c>
      <c r="L552" s="13" t="inlineStr">
        <is>
          <t>SIM (Saco Transparente ABNT)</t>
        </is>
      </c>
      <c r="M552" s="13" t="inlineStr">
        <is>
          <t>0,00% (Lei nº 10.925/2004)</t>
        </is>
      </c>
      <c r="N552" s="13" t="inlineStr">
        <is>
          <t>0,925% (LC nº 224/2025)</t>
        </is>
      </c>
      <c r="O552" s="13" t="inlineStr">
        <is>
          <t>0,365% (LC nº 224/2025)</t>
        </is>
      </c>
      <c r="P552" s="13" t="inlineStr">
        <is>
          <t>CST 06</t>
        </is>
      </c>
      <c r="Q552" s="13" t="inlineStr">
        <is>
          <t>CST 73</t>
        </is>
      </c>
      <c r="R552" s="13" t="inlineStr">
        <is>
          <t>Redução de 60% + Diferimento (Art. 138 e Anexo IX LC 214/2025)</t>
        </is>
      </c>
    </row>
    <row r="553" ht="22" customHeight="1">
      <c r="A553" s="6" t="inlineStr">
        <is>
          <t>SKU-0549</t>
        </is>
      </c>
      <c r="B553" s="5" t="n">
        <v>394</v>
      </c>
      <c r="C553" s="7" t="inlineStr">
        <is>
          <t>SIPEAGRO (UF-XXXXX)</t>
        </is>
      </c>
      <c r="D553" s="8" t="inlineStr">
        <is>
          <t>UREIA 46-00-00  BAG 1.000 KG</t>
        </is>
      </c>
      <c r="E553" s="7" t="inlineStr">
        <is>
          <t>Embalagem Comercial do Produto</t>
        </is>
      </c>
      <c r="F553" s="7" t="inlineStr">
        <is>
          <t>1.000 KG (1000 KG)</t>
        </is>
      </c>
      <c r="G553" s="7" t="inlineStr">
        <is>
          <t>KG</t>
        </is>
      </c>
      <c r="H553" s="9" t="n">
        <v>1</v>
      </c>
      <c r="I553" s="7" t="inlineStr">
        <is>
          <t>3102.10.10</t>
        </is>
      </c>
      <c r="J553" s="7" t="inlineStr">
        <is>
          <t>NÃO</t>
        </is>
      </c>
      <c r="K553" s="7" t="inlineStr">
        <is>
          <t>Embalagem de Insumo Nutricional/Biológico (Logística Reversa)</t>
        </is>
      </c>
      <c r="L553" s="7" t="inlineStr">
        <is>
          <t>NÃO</t>
        </is>
      </c>
      <c r="M553" s="7" t="inlineStr">
        <is>
          <t>0,00% (Lei nº 10.925/2004)</t>
        </is>
      </c>
      <c r="N553" s="7" t="inlineStr">
        <is>
          <t>0,925% (LC nº 224/2025)</t>
        </is>
      </c>
      <c r="O553" s="7" t="inlineStr">
        <is>
          <t>0,365% (LC nº 224/2025)</t>
        </is>
      </c>
      <c r="P553" s="7" t="inlineStr">
        <is>
          <t>CST 06</t>
        </is>
      </c>
      <c r="Q553" s="7" t="inlineStr">
        <is>
          <t>CST 73</t>
        </is>
      </c>
      <c r="R553" s="7" t="inlineStr">
        <is>
          <t>Redução de 60% + Diferimento (Art. 138 e Anexo IX LC 214/2025)</t>
        </is>
      </c>
    </row>
    <row r="554" ht="22" customHeight="1">
      <c r="A554" s="12" t="inlineStr">
        <is>
          <t>SKU-0550</t>
        </is>
      </c>
      <c r="B554" s="11" t="n">
        <v>394</v>
      </c>
      <c r="C554" s="13" t="inlineStr">
        <is>
          <t>SIPEAGRO (UF-XXXXX)</t>
        </is>
      </c>
      <c r="D554" s="14" t="inlineStr">
        <is>
          <t>UREIA 46-00-00  BAG 1.000 KG</t>
        </is>
      </c>
      <c r="E554" s="13" t="inlineStr">
        <is>
          <t>Faixa 1 TIPI (Apresentação &lt;= 300 g ou mL)</t>
        </is>
      </c>
      <c r="F554" s="13" t="inlineStr">
        <is>
          <t>Fracionado / Amostra &lt;= 0,3 KG</t>
        </is>
      </c>
      <c r="G554" s="13" t="inlineStr">
        <is>
          <t>KG</t>
        </is>
      </c>
      <c r="H554" s="18" t="n">
        <v>0.3</v>
      </c>
      <c r="I554" s="13" t="inlineStr">
        <is>
          <t>3102.10.10</t>
        </is>
      </c>
      <c r="J554" s="13" t="inlineStr">
        <is>
          <t>NÃO</t>
        </is>
      </c>
      <c r="K554" s="13" t="inlineStr">
        <is>
          <t>Embalagem de Insumo Nutricional/Biológico (Logística Reversa)</t>
        </is>
      </c>
      <c r="L554" s="13" t="inlineStr">
        <is>
          <t>NÃO</t>
        </is>
      </c>
      <c r="M554" s="13" t="inlineStr">
        <is>
          <t>0,00% (Lei nº 10.925/2004)</t>
        </is>
      </c>
      <c r="N554" s="13" t="inlineStr">
        <is>
          <t>0,925% (LC nº 224/2025)</t>
        </is>
      </c>
      <c r="O554" s="13" t="inlineStr">
        <is>
          <t>0,365% (LC nº 224/2025)</t>
        </is>
      </c>
      <c r="P554" s="13" t="inlineStr">
        <is>
          <t>CST 06</t>
        </is>
      </c>
      <c r="Q554" s="13" t="inlineStr">
        <is>
          <t>CST 73</t>
        </is>
      </c>
      <c r="R554" s="13" t="inlineStr">
        <is>
          <t>Redução de 60% + Diferimento (Art. 138 e Anexo IX LC 214/2025)</t>
        </is>
      </c>
    </row>
    <row r="555" ht="22" customHeight="1">
      <c r="A555" s="6" t="inlineStr">
        <is>
          <t>SKU-0551</t>
        </is>
      </c>
      <c r="B555" s="5" t="n">
        <v>395</v>
      </c>
      <c r="C555" s="7" t="inlineStr">
        <is>
          <t>SIPEAGRO (UF-XXXXX)</t>
        </is>
      </c>
      <c r="D555" s="8" t="inlineStr">
        <is>
          <t>SULFATO DE AMONIO GR (IMP) (VALIDAR)</t>
        </is>
      </c>
      <c r="E555" s="7" t="inlineStr">
        <is>
          <t>Embalagem Comercial do Produto</t>
        </is>
      </c>
      <c r="F555" s="7" t="inlineStr">
        <is>
          <t>EMBALAGEM PADRÃO (25 KG)</t>
        </is>
      </c>
      <c r="G555" s="7" t="inlineStr">
        <is>
          <t>KG</t>
        </is>
      </c>
      <c r="H555" s="9" t="n">
        <v>25</v>
      </c>
      <c r="I555" s="7" t="inlineStr">
        <is>
          <t>3102.21.00</t>
        </is>
      </c>
      <c r="J555" s="7" t="inlineStr">
        <is>
          <t>NÃO</t>
        </is>
      </c>
      <c r="K555" s="7" t="inlineStr">
        <is>
          <t>Embalagem Flexível — NÃO LAVÁVEL (Perfurar e usar saco ABNT)</t>
        </is>
      </c>
      <c r="L555" s="7" t="inlineStr">
        <is>
          <t>SIM (Saco Transparente ABNT)</t>
        </is>
      </c>
      <c r="M555" s="7" t="inlineStr">
        <is>
          <t>0,00% (Lei nº 10.925/2004)</t>
        </is>
      </c>
      <c r="N555" s="7" t="inlineStr">
        <is>
          <t>0,925% (LC nº 224/2025)</t>
        </is>
      </c>
      <c r="O555" s="7" t="inlineStr">
        <is>
          <t>0,365% (LC nº 224/2025)</t>
        </is>
      </c>
      <c r="P555" s="7" t="inlineStr">
        <is>
          <t>CST 06</t>
        </is>
      </c>
      <c r="Q555" s="7" t="inlineStr">
        <is>
          <t>CST 73</t>
        </is>
      </c>
      <c r="R555" s="7" t="inlineStr">
        <is>
          <t>Redução de 60% + Diferimento (Art. 138 e Anexo IX LC 214/2025)</t>
        </is>
      </c>
    </row>
    <row r="556" ht="22" customHeight="1">
      <c r="A556" s="12" t="inlineStr">
        <is>
          <t>SKU-0552</t>
        </is>
      </c>
      <c r="B556" s="11" t="n">
        <v>395</v>
      </c>
      <c r="C556" s="13" t="inlineStr">
        <is>
          <t>SIPEAGRO (UF-XXXXX)</t>
        </is>
      </c>
      <c r="D556" s="14" t="inlineStr">
        <is>
          <t>SULFATO DE AMONIO GR (IMP) (VALIDAR)</t>
        </is>
      </c>
      <c r="E556" s="13" t="inlineStr">
        <is>
          <t>Faixa 1 TIPI (Apresentação &lt;= 300 g ou mL)</t>
        </is>
      </c>
      <c r="F556" s="13" t="inlineStr">
        <is>
          <t>Fracionado / Amostra &lt;= 0,3 KG</t>
        </is>
      </c>
      <c r="G556" s="13" t="inlineStr">
        <is>
          <t>KG</t>
        </is>
      </c>
      <c r="H556" s="18" t="n">
        <v>0.3</v>
      </c>
      <c r="I556" s="13" t="inlineStr">
        <is>
          <t>3102.21.00</t>
        </is>
      </c>
      <c r="J556" s="13" t="inlineStr">
        <is>
          <t>NÃO</t>
        </is>
      </c>
      <c r="K556" s="13" t="inlineStr">
        <is>
          <t>Embalagem Flexível — NÃO LAVÁVEL (Perfurar e usar saco ABNT)</t>
        </is>
      </c>
      <c r="L556" s="13" t="inlineStr">
        <is>
          <t>SIM (Saco Transparente ABNT)</t>
        </is>
      </c>
      <c r="M556" s="13" t="inlineStr">
        <is>
          <t>0,00% (Lei nº 10.925/2004)</t>
        </is>
      </c>
      <c r="N556" s="13" t="inlineStr">
        <is>
          <t>0,925% (LC nº 224/2025)</t>
        </is>
      </c>
      <c r="O556" s="13" t="inlineStr">
        <is>
          <t>0,365% (LC nº 224/2025)</t>
        </is>
      </c>
      <c r="P556" s="13" t="inlineStr">
        <is>
          <t>CST 06</t>
        </is>
      </c>
      <c r="Q556" s="13" t="inlineStr">
        <is>
          <t>CST 73</t>
        </is>
      </c>
      <c r="R556" s="13" t="inlineStr">
        <is>
          <t>Redução de 60% + Diferimento (Art. 138 e Anexo IX LC 214/2025)</t>
        </is>
      </c>
    </row>
    <row r="557" ht="22" customHeight="1">
      <c r="A557" s="6" t="inlineStr">
        <is>
          <t>SKU-0553</t>
        </is>
      </c>
      <c r="B557" s="5" t="n">
        <v>396</v>
      </c>
      <c r="C557" s="7" t="inlineStr">
        <is>
          <t>SIPEAGRO (UF-XXXXX)</t>
        </is>
      </c>
      <c r="D557" s="8" t="inlineStr">
        <is>
          <t>SULFATO DE AMONIO STD GRANEL (VALIDAR)</t>
        </is>
      </c>
      <c r="E557" s="7" t="inlineStr">
        <is>
          <t>Embalagem Comercial do Produto</t>
        </is>
      </c>
      <c r="F557" s="7" t="inlineStr">
        <is>
          <t>GRANEL / BIG BAG (1000 KG)</t>
        </is>
      </c>
      <c r="G557" s="7" t="inlineStr">
        <is>
          <t>KG</t>
        </is>
      </c>
      <c r="H557" s="9" t="n">
        <v>1000</v>
      </c>
      <c r="I557" s="7" t="inlineStr">
        <is>
          <t>3102.21.00</t>
        </is>
      </c>
      <c r="J557" s="7" t="inlineStr">
        <is>
          <t>NÃO</t>
        </is>
      </c>
      <c r="K557" s="7" t="inlineStr">
        <is>
          <t>Embalagem Flexível — NÃO LAVÁVEL (Perfurar e usar saco ABNT)</t>
        </is>
      </c>
      <c r="L557" s="7" t="inlineStr">
        <is>
          <t>SIM (Saco Transparente ABNT)</t>
        </is>
      </c>
      <c r="M557" s="7" t="inlineStr">
        <is>
          <t>0,00% (Lei nº 10.925/2004)</t>
        </is>
      </c>
      <c r="N557" s="7" t="inlineStr">
        <is>
          <t>0,925% (LC nº 224/2025)</t>
        </is>
      </c>
      <c r="O557" s="7" t="inlineStr">
        <is>
          <t>0,365% (LC nº 224/2025)</t>
        </is>
      </c>
      <c r="P557" s="7" t="inlineStr">
        <is>
          <t>CST 06</t>
        </is>
      </c>
      <c r="Q557" s="7" t="inlineStr">
        <is>
          <t>CST 73</t>
        </is>
      </c>
      <c r="R557" s="7" t="inlineStr">
        <is>
          <t>Redução de 60% + Diferimento (Art. 138 e Anexo IX LC 214/2025)</t>
        </is>
      </c>
    </row>
    <row r="558" ht="22" customHeight="1">
      <c r="A558" s="12" t="inlineStr">
        <is>
          <t>SKU-0554</t>
        </is>
      </c>
      <c r="B558" s="11" t="n">
        <v>396</v>
      </c>
      <c r="C558" s="13" t="inlineStr">
        <is>
          <t>SIPEAGRO (UF-XXXXX)</t>
        </is>
      </c>
      <c r="D558" s="14" t="inlineStr">
        <is>
          <t>SULFATO DE AMONIO STD GRANEL (VALIDAR)</t>
        </is>
      </c>
      <c r="E558" s="13" t="inlineStr">
        <is>
          <t>Faixa 1 TIPI (Apresentação &lt;= 300 g ou mL)</t>
        </is>
      </c>
      <c r="F558" s="13" t="inlineStr">
        <is>
          <t>Fracionado / Amostra &lt;= 0,3 KG</t>
        </is>
      </c>
      <c r="G558" s="13" t="inlineStr">
        <is>
          <t>KG</t>
        </is>
      </c>
      <c r="H558" s="18" t="n">
        <v>0.3</v>
      </c>
      <c r="I558" s="13" t="inlineStr">
        <is>
          <t>3102.21.00</t>
        </is>
      </c>
      <c r="J558" s="13" t="inlineStr">
        <is>
          <t>NÃO</t>
        </is>
      </c>
      <c r="K558" s="13" t="inlineStr">
        <is>
          <t>Embalagem Flexível — NÃO LAVÁVEL (Perfurar e usar saco ABNT)</t>
        </is>
      </c>
      <c r="L558" s="13" t="inlineStr">
        <is>
          <t>SIM (Saco Transparente ABNT)</t>
        </is>
      </c>
      <c r="M558" s="13" t="inlineStr">
        <is>
          <t>0,00% (Lei nº 10.925/2004)</t>
        </is>
      </c>
      <c r="N558" s="13" t="inlineStr">
        <is>
          <t>0,925% (LC nº 224/2025)</t>
        </is>
      </c>
      <c r="O558" s="13" t="inlineStr">
        <is>
          <t>0,365% (LC nº 224/2025)</t>
        </is>
      </c>
      <c r="P558" s="13" t="inlineStr">
        <is>
          <t>CST 06</t>
        </is>
      </c>
      <c r="Q558" s="13" t="inlineStr">
        <is>
          <t>CST 73</t>
        </is>
      </c>
      <c r="R558" s="13" t="inlineStr">
        <is>
          <t>Redução de 60% + Diferimento (Art. 138 e Anexo IX LC 214/2025)</t>
        </is>
      </c>
    </row>
    <row r="559" ht="22" customHeight="1">
      <c r="A559" s="6" t="inlineStr">
        <is>
          <t>SKU-0555</t>
        </is>
      </c>
      <c r="B559" s="5" t="n">
        <v>397</v>
      </c>
      <c r="C559" s="7" t="inlineStr">
        <is>
          <t>SIPEAGRO (UF-XXXXX)</t>
        </is>
      </c>
      <c r="D559" s="8" t="inlineStr">
        <is>
          <t>HIPHOS 19 FARELADO BAG</t>
        </is>
      </c>
      <c r="E559" s="7" t="inlineStr">
        <is>
          <t>Embalagem Comercial do Produto</t>
        </is>
      </c>
      <c r="F559" s="7" t="inlineStr">
        <is>
          <t>1000 KG (1000 KG)</t>
        </is>
      </c>
      <c r="G559" s="7" t="inlineStr">
        <is>
          <t>KG</t>
        </is>
      </c>
      <c r="H559" s="9" t="n">
        <v>1000</v>
      </c>
      <c r="I559" s="7" t="inlineStr">
        <is>
          <t>3105.59.00</t>
        </is>
      </c>
      <c r="J559" s="7" t="inlineStr">
        <is>
          <t>NÃO</t>
        </is>
      </c>
      <c r="K559" s="7" t="inlineStr">
        <is>
          <t>Embalagem de Insumo Nutricional/Biológico (Logística Reversa)</t>
        </is>
      </c>
      <c r="L559" s="7" t="inlineStr">
        <is>
          <t>NÃO</t>
        </is>
      </c>
      <c r="M559" s="7" t="inlineStr">
        <is>
          <t>0,00% (Lei nº 10.925/2004)</t>
        </is>
      </c>
      <c r="N559" s="7" t="inlineStr">
        <is>
          <t>0,925% (LC nº 224/2025)</t>
        </is>
      </c>
      <c r="O559" s="7" t="inlineStr">
        <is>
          <t>0,365% (LC nº 224/2025)</t>
        </is>
      </c>
      <c r="P559" s="7" t="inlineStr">
        <is>
          <t>CST 06</t>
        </is>
      </c>
      <c r="Q559" s="7" t="inlineStr">
        <is>
          <t>CST 73</t>
        </is>
      </c>
      <c r="R559" s="7" t="inlineStr">
        <is>
          <t>Redução de 60% + Diferimento (Art. 138 e Anexo IX LC 214/2025)</t>
        </is>
      </c>
    </row>
    <row r="560" ht="22" customHeight="1">
      <c r="A560" s="12" t="inlineStr">
        <is>
          <t>SKU-0556</t>
        </is>
      </c>
      <c r="B560" s="11" t="n">
        <v>397</v>
      </c>
      <c r="C560" s="13" t="inlineStr">
        <is>
          <t>SIPEAGRO (UF-XXXXX)</t>
        </is>
      </c>
      <c r="D560" s="14" t="inlineStr">
        <is>
          <t>HIPHOS 19 FARELADO BAG</t>
        </is>
      </c>
      <c r="E560" s="13" t="inlineStr">
        <is>
          <t>Faixa 1 TIPI (Apresentação &lt;= 300 g ou mL)</t>
        </is>
      </c>
      <c r="F560" s="13" t="inlineStr">
        <is>
          <t>Fracionado / Amostra &lt;= 0,3 KG</t>
        </is>
      </c>
      <c r="G560" s="13" t="inlineStr">
        <is>
          <t>KG</t>
        </is>
      </c>
      <c r="H560" s="18" t="n">
        <v>0.3</v>
      </c>
      <c r="I560" s="13" t="inlineStr">
        <is>
          <t>3103.19.00</t>
        </is>
      </c>
      <c r="J560" s="13" t="inlineStr">
        <is>
          <t>NÃO</t>
        </is>
      </c>
      <c r="K560" s="13" t="inlineStr">
        <is>
          <t>Embalagem de Insumo Nutricional/Biológico (Logística Reversa)</t>
        </is>
      </c>
      <c r="L560" s="13" t="inlineStr">
        <is>
          <t>NÃO</t>
        </is>
      </c>
      <c r="M560" s="13" t="inlineStr">
        <is>
          <t>0,00% (Lei nº 10.925/2004)</t>
        </is>
      </c>
      <c r="N560" s="13" t="inlineStr">
        <is>
          <t>0,925% (LC nº 224/2025)</t>
        </is>
      </c>
      <c r="O560" s="13" t="inlineStr">
        <is>
          <t>0,365% (LC nº 224/2025)</t>
        </is>
      </c>
      <c r="P560" s="13" t="inlineStr">
        <is>
          <t>CST 06</t>
        </is>
      </c>
      <c r="Q560" s="13" t="inlineStr">
        <is>
          <t>CST 73</t>
        </is>
      </c>
      <c r="R560" s="13" t="inlineStr">
        <is>
          <t>Redução de 60% + Diferimento (Art. 138 e Anexo IX LC 214/2025)</t>
        </is>
      </c>
    </row>
    <row r="561" ht="22" customHeight="1">
      <c r="A561" s="6" t="inlineStr">
        <is>
          <t>SKU-0557</t>
        </is>
      </c>
      <c r="B561" s="5" t="n">
        <v>398</v>
      </c>
      <c r="C561" s="7" t="inlineStr">
        <is>
          <t>SIPEAGRO (UF-XXXXX)</t>
        </is>
      </c>
      <c r="D561" s="8" t="inlineStr">
        <is>
          <t>HIPHOS 02-20-00 17%CA 1,5%MG 6%S</t>
        </is>
      </c>
      <c r="E561" s="7" t="inlineStr">
        <is>
          <t>Embalagem Comercial do Produto</t>
        </is>
      </c>
      <c r="F561" s="7" t="inlineStr">
        <is>
          <t>1000 KG (1000 KG)</t>
        </is>
      </c>
      <c r="G561" s="7" t="inlineStr">
        <is>
          <t>KG</t>
        </is>
      </c>
      <c r="H561" s="9" t="n">
        <v>1000</v>
      </c>
      <c r="I561" s="7" t="inlineStr">
        <is>
          <t>3105.59.00</t>
        </is>
      </c>
      <c r="J561" s="7" t="inlineStr">
        <is>
          <t>NÃO</t>
        </is>
      </c>
      <c r="K561" s="7" t="inlineStr">
        <is>
          <t>Embalagem de Insumo Nutricional/Biológico (Logística Reversa)</t>
        </is>
      </c>
      <c r="L561" s="7" t="inlineStr">
        <is>
          <t>NÃO</t>
        </is>
      </c>
      <c r="M561" s="7" t="inlineStr">
        <is>
          <t>0,00% (Lei nº 10.925/2004)</t>
        </is>
      </c>
      <c r="N561" s="7" t="inlineStr">
        <is>
          <t>0,925% (LC nº 224/2025)</t>
        </is>
      </c>
      <c r="O561" s="7" t="inlineStr">
        <is>
          <t>0,365% (LC nº 224/2025)</t>
        </is>
      </c>
      <c r="P561" s="7" t="inlineStr">
        <is>
          <t>CST 06</t>
        </is>
      </c>
      <c r="Q561" s="7" t="inlineStr">
        <is>
          <t>CST 73</t>
        </is>
      </c>
      <c r="R561" s="7" t="inlineStr">
        <is>
          <t>Redução de 60% + Diferimento (Art. 138 e Anexo IX LC 214/2025)</t>
        </is>
      </c>
    </row>
    <row r="562" ht="22" customHeight="1">
      <c r="A562" s="12" t="inlineStr">
        <is>
          <t>SKU-0558</t>
        </is>
      </c>
      <c r="B562" s="11" t="n">
        <v>398</v>
      </c>
      <c r="C562" s="13" t="inlineStr">
        <is>
          <t>SIPEAGRO (UF-XXXXX)</t>
        </is>
      </c>
      <c r="D562" s="14" t="inlineStr">
        <is>
          <t>HIPHOS 02-20-00 17%CA 1,5%MG 6%S</t>
        </is>
      </c>
      <c r="E562" s="13" t="inlineStr">
        <is>
          <t>Faixa 1 TIPI (Apresentação &lt;= 300 g ou mL)</t>
        </is>
      </c>
      <c r="F562" s="13" t="inlineStr">
        <is>
          <t>Fracionado / Amostra &lt;= 0,3 KG</t>
        </is>
      </c>
      <c r="G562" s="13" t="inlineStr">
        <is>
          <t>KG</t>
        </is>
      </c>
      <c r="H562" s="18" t="n">
        <v>0.3</v>
      </c>
      <c r="I562" s="13" t="inlineStr">
        <is>
          <t>2833.29.70</t>
        </is>
      </c>
      <c r="J562" s="13" t="inlineStr">
        <is>
          <t>NÃO</t>
        </is>
      </c>
      <c r="K562" s="13" t="inlineStr">
        <is>
          <t>Embalagem de Insumo Nutricional/Biológico (Logística Reversa)</t>
        </is>
      </c>
      <c r="L562" s="13" t="inlineStr">
        <is>
          <t>NÃO</t>
        </is>
      </c>
      <c r="M562" s="13" t="inlineStr">
        <is>
          <t>0,00% (Lei nº 10.925/2004)</t>
        </is>
      </c>
      <c r="N562" s="13" t="inlineStr">
        <is>
          <t>0,925% (LC nº 224/2025)</t>
        </is>
      </c>
      <c r="O562" s="13" t="inlineStr">
        <is>
          <t>0,365% (LC nº 224/2025)</t>
        </is>
      </c>
      <c r="P562" s="13" t="inlineStr">
        <is>
          <t>CST 06</t>
        </is>
      </c>
      <c r="Q562" s="13" t="inlineStr">
        <is>
          <t>CST 73</t>
        </is>
      </c>
      <c r="R562" s="13" t="inlineStr">
        <is>
          <t>Redução de 60% + Diferimento (Art. 138 e Anexo IX LC 214/2025)</t>
        </is>
      </c>
    </row>
    <row r="563" ht="22" customHeight="1">
      <c r="A563" s="6" t="inlineStr">
        <is>
          <t>SKU-0559</t>
        </is>
      </c>
      <c r="B563" s="5" t="n">
        <v>399</v>
      </c>
      <c r="C563" s="7" t="inlineStr">
        <is>
          <t>SIPEAGRO (UF-XXXXX)</t>
        </is>
      </c>
      <c r="D563" s="8" t="inlineStr">
        <is>
          <t>HIPHOS NPK 02-19-19 10%CA 0,50%MG</t>
        </is>
      </c>
      <c r="E563" s="7" t="inlineStr">
        <is>
          <t>Embalagem Comercial do Produto</t>
        </is>
      </c>
      <c r="F563" s="7" t="inlineStr">
        <is>
          <t>1000 KG (1000 KG)</t>
        </is>
      </c>
      <c r="G563" s="7" t="inlineStr">
        <is>
          <t>KG</t>
        </is>
      </c>
      <c r="H563" s="9" t="n">
        <v>1000</v>
      </c>
      <c r="I563" s="7" t="inlineStr">
        <is>
          <t>3105.20.00</t>
        </is>
      </c>
      <c r="J563" s="7" t="inlineStr">
        <is>
          <t>NÃO</t>
        </is>
      </c>
      <c r="K563" s="7" t="inlineStr">
        <is>
          <t>Embalagem de Insumo Nutricional/Biológico (Logística Reversa)</t>
        </is>
      </c>
      <c r="L563" s="7" t="inlineStr">
        <is>
          <t>NÃO</t>
        </is>
      </c>
      <c r="M563" s="7" t="inlineStr">
        <is>
          <t>0,00% (Lei nº 10.925/2004)</t>
        </is>
      </c>
      <c r="N563" s="7" t="inlineStr">
        <is>
          <t>0,925% (LC nº 224/2025)</t>
        </is>
      </c>
      <c r="O563" s="7" t="inlineStr">
        <is>
          <t>0,365% (LC nº 224/2025)</t>
        </is>
      </c>
      <c r="P563" s="7" t="inlineStr">
        <is>
          <t>CST 06</t>
        </is>
      </c>
      <c r="Q563" s="7" t="inlineStr">
        <is>
          <t>CST 73</t>
        </is>
      </c>
      <c r="R563" s="7" t="inlineStr">
        <is>
          <t>Redução de 60% + Diferimento (Art. 138 e Anexo IX LC 214/2025)</t>
        </is>
      </c>
    </row>
    <row r="564" ht="22" customHeight="1">
      <c r="A564" s="12" t="inlineStr">
        <is>
          <t>SKU-0560</t>
        </is>
      </c>
      <c r="B564" s="11" t="n">
        <v>399</v>
      </c>
      <c r="C564" s="13" t="inlineStr">
        <is>
          <t>SIPEAGRO (UF-XXXXX)</t>
        </is>
      </c>
      <c r="D564" s="14" t="inlineStr">
        <is>
          <t>HIPHOS NPK 02-19-19 10%CA 0,50%MG</t>
        </is>
      </c>
      <c r="E564" s="13" t="inlineStr">
        <is>
          <t>Faixa 1 TIPI (Apresentação &lt;= 300 g ou mL)</t>
        </is>
      </c>
      <c r="F564" s="13" t="inlineStr">
        <is>
          <t>Fracionado / Amostra &lt;= 0,3 KG</t>
        </is>
      </c>
      <c r="G564" s="13" t="inlineStr">
        <is>
          <t>KG</t>
        </is>
      </c>
      <c r="H564" s="18" t="n">
        <v>0.3</v>
      </c>
      <c r="I564" s="13" t="inlineStr">
        <is>
          <t>3105.20.00</t>
        </is>
      </c>
      <c r="J564" s="13" t="inlineStr">
        <is>
          <t>NÃO</t>
        </is>
      </c>
      <c r="K564" s="13" t="inlineStr">
        <is>
          <t>Embalagem de Insumo Nutricional/Biológico (Logística Reversa)</t>
        </is>
      </c>
      <c r="L564" s="13" t="inlineStr">
        <is>
          <t>NÃO</t>
        </is>
      </c>
      <c r="M564" s="13" t="inlineStr">
        <is>
          <t>0,00% (Lei nº 10.925/2004)</t>
        </is>
      </c>
      <c r="N564" s="13" t="inlineStr">
        <is>
          <t>0,925% (LC nº 224/2025)</t>
        </is>
      </c>
      <c r="O564" s="13" t="inlineStr">
        <is>
          <t>0,365% (LC nº 224/2025)</t>
        </is>
      </c>
      <c r="P564" s="13" t="inlineStr">
        <is>
          <t>CST 06</t>
        </is>
      </c>
      <c r="Q564" s="13" t="inlineStr">
        <is>
          <t>CST 73</t>
        </is>
      </c>
      <c r="R564" s="13" t="inlineStr">
        <is>
          <t>Redução de 60% + Diferimento (Art. 138 e Anexo IX LC 214/2025)</t>
        </is>
      </c>
    </row>
    <row r="565" ht="22" customHeight="1">
      <c r="A565" s="6" t="inlineStr">
        <is>
          <t>SKU-0561</t>
        </is>
      </c>
      <c r="B565" s="5" t="n">
        <v>400</v>
      </c>
      <c r="C565" s="7" t="inlineStr">
        <is>
          <t>SIPEAGRO (UF-XXXXX)</t>
        </is>
      </c>
      <c r="D565" s="8" t="inlineStr">
        <is>
          <t>HIPHOS NPK 02-21-05 15%CA 0,8%MG</t>
        </is>
      </c>
      <c r="E565" s="7" t="inlineStr">
        <is>
          <t>Embalagem Comercial do Produto</t>
        </is>
      </c>
      <c r="F565" s="7" t="inlineStr">
        <is>
          <t>1000 KG (1000 KG)</t>
        </is>
      </c>
      <c r="G565" s="7" t="inlineStr">
        <is>
          <t>KG</t>
        </is>
      </c>
      <c r="H565" s="9" t="n">
        <v>1000</v>
      </c>
      <c r="I565" s="7" t="inlineStr">
        <is>
          <t>3105.20.00</t>
        </is>
      </c>
      <c r="J565" s="7" t="inlineStr">
        <is>
          <t>NÃO</t>
        </is>
      </c>
      <c r="K565" s="7" t="inlineStr">
        <is>
          <t>Embalagem de Insumo Nutricional/Biológico (Logística Reversa)</t>
        </is>
      </c>
      <c r="L565" s="7" t="inlineStr">
        <is>
          <t>NÃO</t>
        </is>
      </c>
      <c r="M565" s="7" t="inlineStr">
        <is>
          <t>0,00% (Lei nº 10.925/2004)</t>
        </is>
      </c>
      <c r="N565" s="7" t="inlineStr">
        <is>
          <t>0,925% (LC nº 224/2025)</t>
        </is>
      </c>
      <c r="O565" s="7" t="inlineStr">
        <is>
          <t>0,365% (LC nº 224/2025)</t>
        </is>
      </c>
      <c r="P565" s="7" t="inlineStr">
        <is>
          <t>CST 06</t>
        </is>
      </c>
      <c r="Q565" s="7" t="inlineStr">
        <is>
          <t>CST 73</t>
        </is>
      </c>
      <c r="R565" s="7" t="inlineStr">
        <is>
          <t>Redução de 60% + Diferimento (Art. 138 e Anexo IX LC 214/2025)</t>
        </is>
      </c>
    </row>
    <row r="566" ht="22" customHeight="1">
      <c r="A566" s="12" t="inlineStr">
        <is>
          <t>SKU-0562</t>
        </is>
      </c>
      <c r="B566" s="11" t="n">
        <v>400</v>
      </c>
      <c r="C566" s="13" t="inlineStr">
        <is>
          <t>SIPEAGRO (UF-XXXXX)</t>
        </is>
      </c>
      <c r="D566" s="14" t="inlineStr">
        <is>
          <t>HIPHOS NPK 02-21-05 15%CA 0,8%MG</t>
        </is>
      </c>
      <c r="E566" s="13" t="inlineStr">
        <is>
          <t>Faixa 1 TIPI (Apresentação &lt;= 300 g ou mL)</t>
        </is>
      </c>
      <c r="F566" s="13" t="inlineStr">
        <is>
          <t>Fracionado / Amostra &lt;= 0,3 KG</t>
        </is>
      </c>
      <c r="G566" s="13" t="inlineStr">
        <is>
          <t>KG</t>
        </is>
      </c>
      <c r="H566" s="18" t="n">
        <v>0.3</v>
      </c>
      <c r="I566" s="13" t="inlineStr">
        <is>
          <t>3105.20.00</t>
        </is>
      </c>
      <c r="J566" s="13" t="inlineStr">
        <is>
          <t>NÃO</t>
        </is>
      </c>
      <c r="K566" s="13" t="inlineStr">
        <is>
          <t>Embalagem de Insumo Nutricional/Biológico (Logística Reversa)</t>
        </is>
      </c>
      <c r="L566" s="13" t="inlineStr">
        <is>
          <t>NÃO</t>
        </is>
      </c>
      <c r="M566" s="13" t="inlineStr">
        <is>
          <t>0,00% (Lei nº 10.925/2004)</t>
        </is>
      </c>
      <c r="N566" s="13" t="inlineStr">
        <is>
          <t>0,925% (LC nº 224/2025)</t>
        </is>
      </c>
      <c r="O566" s="13" t="inlineStr">
        <is>
          <t>0,365% (LC nº 224/2025)</t>
        </is>
      </c>
      <c r="P566" s="13" t="inlineStr">
        <is>
          <t>CST 06</t>
        </is>
      </c>
      <c r="Q566" s="13" t="inlineStr">
        <is>
          <t>CST 73</t>
        </is>
      </c>
      <c r="R566" s="13" t="inlineStr">
        <is>
          <t>Redução de 60% + Diferimento (Art. 138 e Anexo IX LC 214/2025)</t>
        </is>
      </c>
    </row>
    <row r="567" ht="22" customHeight="1">
      <c r="A567" s="6" t="inlineStr">
        <is>
          <t>SKU-0563</t>
        </is>
      </c>
      <c r="B567" s="5" t="n">
        <v>401</v>
      </c>
      <c r="C567" s="7" t="inlineStr">
        <is>
          <t>SIPEAGRO (UF-XXXXX)</t>
        </is>
      </c>
      <c r="D567" s="8" t="inlineStr">
        <is>
          <t>HIPHOS NPK 04-31-06 10%CA 0,30%MG</t>
        </is>
      </c>
      <c r="E567" s="7" t="inlineStr">
        <is>
          <t>Embalagem Comercial do Produto</t>
        </is>
      </c>
      <c r="F567" s="7" t="inlineStr">
        <is>
          <t>1000 KG (1000 KG)</t>
        </is>
      </c>
      <c r="G567" s="7" t="inlineStr">
        <is>
          <t>KG</t>
        </is>
      </c>
      <c r="H567" s="9" t="n">
        <v>1000</v>
      </c>
      <c r="I567" s="7" t="inlineStr">
        <is>
          <t>3105.20.00</t>
        </is>
      </c>
      <c r="J567" s="7" t="inlineStr">
        <is>
          <t>NÃO</t>
        </is>
      </c>
      <c r="K567" s="7" t="inlineStr">
        <is>
          <t>Embalagem de Insumo Nutricional/Biológico (Logística Reversa)</t>
        </is>
      </c>
      <c r="L567" s="7" t="inlineStr">
        <is>
          <t>NÃO</t>
        </is>
      </c>
      <c r="M567" s="7" t="inlineStr">
        <is>
          <t>0,00% (Lei nº 10.925/2004)</t>
        </is>
      </c>
      <c r="N567" s="7" t="inlineStr">
        <is>
          <t>0,925% (LC nº 224/2025)</t>
        </is>
      </c>
      <c r="O567" s="7" t="inlineStr">
        <is>
          <t>0,365% (LC nº 224/2025)</t>
        </is>
      </c>
      <c r="P567" s="7" t="inlineStr">
        <is>
          <t>CST 06</t>
        </is>
      </c>
      <c r="Q567" s="7" t="inlineStr">
        <is>
          <t>CST 73</t>
        </is>
      </c>
      <c r="R567" s="7" t="inlineStr">
        <is>
          <t>Redução de 60% + Diferimento (Art. 138 e Anexo IX LC 214/2025)</t>
        </is>
      </c>
    </row>
    <row r="568" ht="22" customHeight="1">
      <c r="A568" s="12" t="inlineStr">
        <is>
          <t>SKU-0564</t>
        </is>
      </c>
      <c r="B568" s="11" t="n">
        <v>401</v>
      </c>
      <c r="C568" s="13" t="inlineStr">
        <is>
          <t>SIPEAGRO (UF-XXXXX)</t>
        </is>
      </c>
      <c r="D568" s="14" t="inlineStr">
        <is>
          <t>HIPHOS NPK 04-31-06 10%CA 0,30%MG</t>
        </is>
      </c>
      <c r="E568" s="13" t="inlineStr">
        <is>
          <t>Faixa 1 TIPI (Apresentação &lt;= 300 g ou mL)</t>
        </is>
      </c>
      <c r="F568" s="13" t="inlineStr">
        <is>
          <t>Fracionado / Amostra &lt;= 0,3 KG</t>
        </is>
      </c>
      <c r="G568" s="13" t="inlineStr">
        <is>
          <t>KG</t>
        </is>
      </c>
      <c r="H568" s="18" t="n">
        <v>0.3</v>
      </c>
      <c r="I568" s="13" t="inlineStr">
        <is>
          <t>3105.20.00</t>
        </is>
      </c>
      <c r="J568" s="13" t="inlineStr">
        <is>
          <t>NÃO</t>
        </is>
      </c>
      <c r="K568" s="13" t="inlineStr">
        <is>
          <t>Embalagem de Insumo Nutricional/Biológico (Logística Reversa)</t>
        </is>
      </c>
      <c r="L568" s="13" t="inlineStr">
        <is>
          <t>NÃO</t>
        </is>
      </c>
      <c r="M568" s="13" t="inlineStr">
        <is>
          <t>0,00% (Lei nº 10.925/2004)</t>
        </is>
      </c>
      <c r="N568" s="13" t="inlineStr">
        <is>
          <t>0,925% (LC nº 224/2025)</t>
        </is>
      </c>
      <c r="O568" s="13" t="inlineStr">
        <is>
          <t>0,365% (LC nº 224/2025)</t>
        </is>
      </c>
      <c r="P568" s="13" t="inlineStr">
        <is>
          <t>CST 06</t>
        </is>
      </c>
      <c r="Q568" s="13" t="inlineStr">
        <is>
          <t>CST 73</t>
        </is>
      </c>
      <c r="R568" s="13" t="inlineStr">
        <is>
          <t>Redução de 60% + Diferimento (Art. 138 e Anexo IX LC 214/2025)</t>
        </is>
      </c>
    </row>
    <row r="569" ht="22" customHeight="1">
      <c r="A569" s="6" t="inlineStr">
        <is>
          <t>SKU-0565</t>
        </is>
      </c>
      <c r="B569" s="5" t="n">
        <v>402</v>
      </c>
      <c r="C569" s="7" t="inlineStr">
        <is>
          <t>SIPEAGRO (UF-XXXXX)</t>
        </is>
      </c>
      <c r="D569" s="8" t="inlineStr">
        <is>
          <t>HIPHOS NPK 05-28-08 7%CA 0,25%MG</t>
        </is>
      </c>
      <c r="E569" s="7" t="inlineStr">
        <is>
          <t>Embalagem Comercial do Produto</t>
        </is>
      </c>
      <c r="F569" s="7" t="inlineStr">
        <is>
          <t>1000 KG (1000 KG)</t>
        </is>
      </c>
      <c r="G569" s="7" t="inlineStr">
        <is>
          <t>KG</t>
        </is>
      </c>
      <c r="H569" s="17" t="n">
        <v>0.2</v>
      </c>
      <c r="I569" s="7" t="inlineStr">
        <is>
          <t>3105.20.00</t>
        </is>
      </c>
      <c r="J569" s="7" t="inlineStr">
        <is>
          <t>NÃO</t>
        </is>
      </c>
      <c r="K569" s="7" t="inlineStr">
        <is>
          <t>Embalagem de Insumo Nutricional/Biológico (Logística Reversa)</t>
        </is>
      </c>
      <c r="L569" s="7" t="inlineStr">
        <is>
          <t>NÃO</t>
        </is>
      </c>
      <c r="M569" s="7" t="inlineStr">
        <is>
          <t>0,00% (Lei nº 10.925/2004)</t>
        </is>
      </c>
      <c r="N569" s="7" t="inlineStr">
        <is>
          <t>0,925% (LC nº 224/2025)</t>
        </is>
      </c>
      <c r="O569" s="7" t="inlineStr">
        <is>
          <t>0,365% (LC nº 224/2025)</t>
        </is>
      </c>
      <c r="P569" s="7" t="inlineStr">
        <is>
          <t>CST 06</t>
        </is>
      </c>
      <c r="Q569" s="7" t="inlineStr">
        <is>
          <t>CST 73</t>
        </is>
      </c>
      <c r="R569" s="7" t="inlineStr">
        <is>
          <t>Redução de 60% + Diferimento (Art. 138 e Anexo IX LC 214/2025)</t>
        </is>
      </c>
    </row>
    <row r="570" ht="22" customHeight="1">
      <c r="A570" s="12" t="inlineStr">
        <is>
          <t>SKU-0566</t>
        </is>
      </c>
      <c r="B570" s="11" t="n">
        <v>402</v>
      </c>
      <c r="C570" s="13" t="inlineStr">
        <is>
          <t>SIPEAGRO (UF-XXXXX)</t>
        </is>
      </c>
      <c r="D570" s="14" t="inlineStr">
        <is>
          <t>HIPHOS NPK 05-28-08 7%CA 0,25%MG</t>
        </is>
      </c>
      <c r="E570" s="13" t="inlineStr">
        <is>
          <t>Faixa 1 TIPI (Apresentação &lt;= 300 g ou mL)</t>
        </is>
      </c>
      <c r="F570" s="13" t="inlineStr">
        <is>
          <t>Fracionado / Amostra &lt;= 0,3 KG</t>
        </is>
      </c>
      <c r="G570" s="13" t="inlineStr">
        <is>
          <t>KG</t>
        </is>
      </c>
      <c r="H570" s="18" t="n">
        <v>0.3</v>
      </c>
      <c r="I570" s="13" t="inlineStr">
        <is>
          <t>3105.20.00</t>
        </is>
      </c>
      <c r="J570" s="13" t="inlineStr">
        <is>
          <t>NÃO</t>
        </is>
      </c>
      <c r="K570" s="13" t="inlineStr">
        <is>
          <t>Embalagem de Insumo Nutricional/Biológico (Logística Reversa)</t>
        </is>
      </c>
      <c r="L570" s="13" t="inlineStr">
        <is>
          <t>NÃO</t>
        </is>
      </c>
      <c r="M570" s="13" t="inlineStr">
        <is>
          <t>0,00% (Lei nº 10.925/2004)</t>
        </is>
      </c>
      <c r="N570" s="13" t="inlineStr">
        <is>
          <t>0,925% (LC nº 224/2025)</t>
        </is>
      </c>
      <c r="O570" s="13" t="inlineStr">
        <is>
          <t>0,365% (LC nº 224/2025)</t>
        </is>
      </c>
      <c r="P570" s="13" t="inlineStr">
        <is>
          <t>CST 06</t>
        </is>
      </c>
      <c r="Q570" s="13" t="inlineStr">
        <is>
          <t>CST 73</t>
        </is>
      </c>
      <c r="R570" s="13" t="inlineStr">
        <is>
          <t>Redução de 60% + Diferimento (Art. 138 e Anexo IX LC 214/2025)</t>
        </is>
      </c>
    </row>
    <row r="571" ht="22" customHeight="1">
      <c r="A571" s="6" t="inlineStr">
        <is>
          <t>SKU-0567</t>
        </is>
      </c>
      <c r="B571" s="5" t="n">
        <v>403</v>
      </c>
      <c r="C571" s="7" t="inlineStr">
        <is>
          <t>SIPEAGRO (UF-XXXXX)</t>
        </is>
      </c>
      <c r="D571" s="8" t="inlineStr">
        <is>
          <t>HIPHOS NPK 07-15-15 8%CA 0,5%MG BG1000 KG (VALIDAR</t>
        </is>
      </c>
      <c r="E571" s="7" t="inlineStr">
        <is>
          <t>Embalagem Comercial do Produto</t>
        </is>
      </c>
      <c r="F571" s="7" t="inlineStr">
        <is>
          <t>1000 KG (1000 KG)</t>
        </is>
      </c>
      <c r="G571" s="7" t="inlineStr">
        <is>
          <t>KG</t>
        </is>
      </c>
      <c r="H571" s="9" t="n">
        <v>1000</v>
      </c>
      <c r="I571" s="7" t="inlineStr">
        <is>
          <t>3105.20.00</t>
        </is>
      </c>
      <c r="J571" s="7" t="inlineStr">
        <is>
          <t>NÃO</t>
        </is>
      </c>
      <c r="K571" s="7" t="inlineStr">
        <is>
          <t>Embalagem de Insumo Nutricional/Biológico (Logística Reversa)</t>
        </is>
      </c>
      <c r="L571" s="7" t="inlineStr">
        <is>
          <t>NÃO</t>
        </is>
      </c>
      <c r="M571" s="7" t="inlineStr">
        <is>
          <t>0,00% (Lei nº 10.925/2004)</t>
        </is>
      </c>
      <c r="N571" s="7" t="inlineStr">
        <is>
          <t>0,925% (LC nº 224/2025)</t>
        </is>
      </c>
      <c r="O571" s="7" t="inlineStr">
        <is>
          <t>0,365% (LC nº 224/2025)</t>
        </is>
      </c>
      <c r="P571" s="7" t="inlineStr">
        <is>
          <t>CST 06</t>
        </is>
      </c>
      <c r="Q571" s="7" t="inlineStr">
        <is>
          <t>CST 73</t>
        </is>
      </c>
      <c r="R571" s="7" t="inlineStr">
        <is>
          <t>Redução de 60% + Diferimento (Art. 138 e Anexo IX LC 214/2025)</t>
        </is>
      </c>
    </row>
    <row r="572" ht="22" customHeight="1">
      <c r="A572" s="12" t="inlineStr">
        <is>
          <t>SKU-0568</t>
        </is>
      </c>
      <c r="B572" s="11" t="n">
        <v>403</v>
      </c>
      <c r="C572" s="13" t="inlineStr">
        <is>
          <t>SIPEAGRO (UF-XXXXX)</t>
        </is>
      </c>
      <c r="D572" s="14" t="inlineStr">
        <is>
          <t>HIPHOS NPK 07-15-15 8%CA 0,5%MG BG1000 KG (VALIDAR</t>
        </is>
      </c>
      <c r="E572" s="13" t="inlineStr">
        <is>
          <t>Faixa 1 TIPI (Apresentação &lt;= 300 g ou mL)</t>
        </is>
      </c>
      <c r="F572" s="13" t="inlineStr">
        <is>
          <t>Fracionado / Amostra &lt;= 0,3 KG</t>
        </is>
      </c>
      <c r="G572" s="13" t="inlineStr">
        <is>
          <t>KG</t>
        </is>
      </c>
      <c r="H572" s="18" t="n">
        <v>0.3</v>
      </c>
      <c r="I572" s="13" t="inlineStr">
        <is>
          <t>3105.20.00</t>
        </is>
      </c>
      <c r="J572" s="13" t="inlineStr">
        <is>
          <t>NÃO</t>
        </is>
      </c>
      <c r="K572" s="13" t="inlineStr">
        <is>
          <t>Embalagem de Insumo Nutricional/Biológico (Logística Reversa)</t>
        </is>
      </c>
      <c r="L572" s="13" t="inlineStr">
        <is>
          <t>NÃO</t>
        </is>
      </c>
      <c r="M572" s="13" t="inlineStr">
        <is>
          <t>0,00% (Lei nº 10.925/2004)</t>
        </is>
      </c>
      <c r="N572" s="13" t="inlineStr">
        <is>
          <t>0,925% (LC nº 224/2025)</t>
        </is>
      </c>
      <c r="O572" s="13" t="inlineStr">
        <is>
          <t>0,365% (LC nº 224/2025)</t>
        </is>
      </c>
      <c r="P572" s="13" t="inlineStr">
        <is>
          <t>CST 06</t>
        </is>
      </c>
      <c r="Q572" s="13" t="inlineStr">
        <is>
          <t>CST 73</t>
        </is>
      </c>
      <c r="R572" s="13" t="inlineStr">
        <is>
          <t>Redução de 60% + Diferimento (Art. 138 e Anexo IX LC 214/2025)</t>
        </is>
      </c>
    </row>
    <row r="573" ht="22" customHeight="1">
      <c r="A573" s="6" t="inlineStr">
        <is>
          <t>SKU-0569</t>
        </is>
      </c>
      <c r="B573" s="5" t="n">
        <v>404</v>
      </c>
      <c r="C573" s="7" t="inlineStr">
        <is>
          <t>SIPEAGRO (UF-XXXXX)</t>
        </is>
      </c>
      <c r="D573" s="8" t="inlineStr">
        <is>
          <t>HIPHOS NPK 09-14-14 5%CA 7%S BG1000 KG (VALIDAR</t>
        </is>
      </c>
      <c r="E573" s="7" t="inlineStr">
        <is>
          <t>Embalagem Comercial do Produto</t>
        </is>
      </c>
      <c r="F573" s="7" t="inlineStr">
        <is>
          <t>1000 KG (1000 KG)</t>
        </is>
      </c>
      <c r="G573" s="7" t="inlineStr">
        <is>
          <t>KG</t>
        </is>
      </c>
      <c r="H573" s="9" t="n">
        <v>1000</v>
      </c>
      <c r="I573" s="7" t="inlineStr">
        <is>
          <t>3105.20.00</t>
        </is>
      </c>
      <c r="J573" s="7" t="inlineStr">
        <is>
          <t>NÃO</t>
        </is>
      </c>
      <c r="K573" s="7" t="inlineStr">
        <is>
          <t>Embalagem de Insumo Nutricional/Biológico (Logística Reversa)</t>
        </is>
      </c>
      <c r="L573" s="7" t="inlineStr">
        <is>
          <t>NÃO</t>
        </is>
      </c>
      <c r="M573" s="7" t="inlineStr">
        <is>
          <t>0,00% (Lei nº 10.925/2004)</t>
        </is>
      </c>
      <c r="N573" s="7" t="inlineStr">
        <is>
          <t>0,925% (LC nº 224/2025)</t>
        </is>
      </c>
      <c r="O573" s="7" t="inlineStr">
        <is>
          <t>0,365% (LC nº 224/2025)</t>
        </is>
      </c>
      <c r="P573" s="7" t="inlineStr">
        <is>
          <t>CST 06</t>
        </is>
      </c>
      <c r="Q573" s="7" t="inlineStr">
        <is>
          <t>CST 73</t>
        </is>
      </c>
      <c r="R573" s="7" t="inlineStr">
        <is>
          <t>Redução de 60% + Diferimento (Art. 138 e Anexo IX LC 214/2025)</t>
        </is>
      </c>
    </row>
    <row r="574" ht="22" customHeight="1">
      <c r="A574" s="12" t="inlineStr">
        <is>
          <t>SKU-0570</t>
        </is>
      </c>
      <c r="B574" s="11" t="n">
        <v>404</v>
      </c>
      <c r="C574" s="13" t="inlineStr">
        <is>
          <t>SIPEAGRO (UF-XXXXX)</t>
        </is>
      </c>
      <c r="D574" s="14" t="inlineStr">
        <is>
          <t>HIPHOS NPK 09-14-14 5%CA 7%S BG1000 KG (VALIDAR</t>
        </is>
      </c>
      <c r="E574" s="13" t="inlineStr">
        <is>
          <t>Faixa 1 TIPI (Apresentação &lt;= 300 g ou mL)</t>
        </is>
      </c>
      <c r="F574" s="13" t="inlineStr">
        <is>
          <t>Fracionado / Amostra &lt;= 0,3 KG</t>
        </is>
      </c>
      <c r="G574" s="13" t="inlineStr">
        <is>
          <t>KG</t>
        </is>
      </c>
      <c r="H574" s="18" t="n">
        <v>0.3</v>
      </c>
      <c r="I574" s="13" t="inlineStr">
        <is>
          <t>3105.20.00</t>
        </is>
      </c>
      <c r="J574" s="13" t="inlineStr">
        <is>
          <t>NÃO</t>
        </is>
      </c>
      <c r="K574" s="13" t="inlineStr">
        <is>
          <t>Embalagem de Insumo Nutricional/Biológico (Logística Reversa)</t>
        </is>
      </c>
      <c r="L574" s="13" t="inlineStr">
        <is>
          <t>NÃO</t>
        </is>
      </c>
      <c r="M574" s="13" t="inlineStr">
        <is>
          <t>0,00% (Lei nº 10.925/2004)</t>
        </is>
      </c>
      <c r="N574" s="13" t="inlineStr">
        <is>
          <t>0,925% (LC nº 224/2025)</t>
        </is>
      </c>
      <c r="O574" s="13" t="inlineStr">
        <is>
          <t>0,365% (LC nº 224/2025)</t>
        </is>
      </c>
      <c r="P574" s="13" t="inlineStr">
        <is>
          <t>CST 06</t>
        </is>
      </c>
      <c r="Q574" s="13" t="inlineStr">
        <is>
          <t>CST 73</t>
        </is>
      </c>
      <c r="R574" s="13" t="inlineStr">
        <is>
          <t>Redução de 60% + Diferimento (Art. 138 e Anexo IX LC 214/2025)</t>
        </is>
      </c>
    </row>
    <row r="575" ht="22" customHeight="1">
      <c r="A575" s="6" t="inlineStr">
        <is>
          <t>SKU-0571</t>
        </is>
      </c>
      <c r="B575" s="5" t="n">
        <v>405</v>
      </c>
      <c r="C575" s="7" t="inlineStr">
        <is>
          <t>SIPEAGRO (UF-XXXXX)</t>
        </is>
      </c>
      <c r="D575" s="8" t="inlineStr">
        <is>
          <t>CLORETO POTÁSSIO 60% GR (IMP) KG (VALIDAR)</t>
        </is>
      </c>
      <c r="E575" s="7" t="inlineStr">
        <is>
          <t>Embalagem Comercial do Produto</t>
        </is>
      </c>
      <c r="F575" s="7" t="inlineStr">
        <is>
          <t>EMBALAGEM PADRÃO (25 KG)</t>
        </is>
      </c>
      <c r="G575" s="7" t="inlineStr">
        <is>
          <t>KG</t>
        </is>
      </c>
      <c r="H575" s="9" t="n">
        <v>25</v>
      </c>
      <c r="I575" s="7" t="inlineStr">
        <is>
          <t>3104.20.10</t>
        </is>
      </c>
      <c r="J575" s="7" t="inlineStr">
        <is>
          <t>NÃO</t>
        </is>
      </c>
      <c r="K575" s="7" t="inlineStr">
        <is>
          <t>Embalagem Flexível — NÃO LAVÁVEL (Perfurar e usar saco ABNT)</t>
        </is>
      </c>
      <c r="L575" s="7" t="inlineStr">
        <is>
          <t>SIM (Saco Transparente ABNT)</t>
        </is>
      </c>
      <c r="M575" s="7" t="inlineStr">
        <is>
          <t>0,00% (Lei nº 10.925/2004)</t>
        </is>
      </c>
      <c r="N575" s="7" t="inlineStr">
        <is>
          <t>0,925% (LC nº 224/2025)</t>
        </is>
      </c>
      <c r="O575" s="7" t="inlineStr">
        <is>
          <t>0,365% (LC nº 224/2025)</t>
        </is>
      </c>
      <c r="P575" s="7" t="inlineStr">
        <is>
          <t>CST 06</t>
        </is>
      </c>
      <c r="Q575" s="7" t="inlineStr">
        <is>
          <t>CST 73</t>
        </is>
      </c>
      <c r="R575" s="7" t="inlineStr">
        <is>
          <t>Redução de 60% + Diferimento (Art. 138 e Anexo IX LC 214/2025)</t>
        </is>
      </c>
    </row>
    <row r="576" ht="22" customHeight="1">
      <c r="A576" s="12" t="inlineStr">
        <is>
          <t>SKU-0572</t>
        </is>
      </c>
      <c r="B576" s="11" t="n">
        <v>405</v>
      </c>
      <c r="C576" s="13" t="inlineStr">
        <is>
          <t>SIPEAGRO (UF-XXXXX)</t>
        </is>
      </c>
      <c r="D576" s="14" t="inlineStr">
        <is>
          <t>CLORETO POTÁSSIO 60% GR (IMP) KG (VALIDAR)</t>
        </is>
      </c>
      <c r="E576" s="13" t="inlineStr">
        <is>
          <t>Faixa 1 TIPI (Apresentação &lt;= 300 g ou mL)</t>
        </is>
      </c>
      <c r="F576" s="13" t="inlineStr">
        <is>
          <t>Fracionado / Amostra &lt;= 0,3 KG</t>
        </is>
      </c>
      <c r="G576" s="13" t="inlineStr">
        <is>
          <t>KG</t>
        </is>
      </c>
      <c r="H576" s="18" t="n">
        <v>0.3</v>
      </c>
      <c r="I576" s="13" t="inlineStr">
        <is>
          <t>3104.20.90</t>
        </is>
      </c>
      <c r="J576" s="13" t="inlineStr">
        <is>
          <t>NÃO</t>
        </is>
      </c>
      <c r="K576" s="13" t="inlineStr">
        <is>
          <t>Embalagem Flexível — NÃO LAVÁVEL (Perfurar e usar saco ABNT)</t>
        </is>
      </c>
      <c r="L576" s="13" t="inlineStr">
        <is>
          <t>SIM (Saco Transparente ABNT)</t>
        </is>
      </c>
      <c r="M576" s="13" t="inlineStr">
        <is>
          <t>0,00% (Lei nº 10.925/2004)</t>
        </is>
      </c>
      <c r="N576" s="13" t="inlineStr">
        <is>
          <t>0,925% (LC nº 224/2025)</t>
        </is>
      </c>
      <c r="O576" s="13" t="inlineStr">
        <is>
          <t>0,365% (LC nº 224/2025)</t>
        </is>
      </c>
      <c r="P576" s="13" t="inlineStr">
        <is>
          <t>CST 06</t>
        </is>
      </c>
      <c r="Q576" s="13" t="inlineStr">
        <is>
          <t>CST 73</t>
        </is>
      </c>
      <c r="R576" s="13" t="inlineStr">
        <is>
          <t>Redução de 60% + Diferimento (Art. 138 e Anexo IX LC 214/2025)</t>
        </is>
      </c>
    </row>
    <row r="577" ht="22" customHeight="1">
      <c r="A577" s="6" t="inlineStr">
        <is>
          <t>SKU-0573</t>
        </is>
      </c>
      <c r="B577" s="5" t="n">
        <v>406</v>
      </c>
      <c r="C577" s="7" t="inlineStr">
        <is>
          <t>SIPEAGRO (UF-XXXXX)</t>
        </is>
      </c>
      <c r="D577" s="8" t="inlineStr">
        <is>
          <t>CLORETO DE POTÁSSIO STD 62% GRANEL KG (VALIDAR)</t>
        </is>
      </c>
      <c r="E577" s="7" t="inlineStr">
        <is>
          <t>Embalagem Comercial do Produto</t>
        </is>
      </c>
      <c r="F577" s="7" t="inlineStr">
        <is>
          <t>GRANEL / BIG BAG (1000 KG)</t>
        </is>
      </c>
      <c r="G577" s="7" t="inlineStr">
        <is>
          <t>KG</t>
        </is>
      </c>
      <c r="H577" s="9" t="n">
        <v>1000</v>
      </c>
      <c r="I577" s="7" t="inlineStr">
        <is>
          <t>3104.20.10</t>
        </is>
      </c>
      <c r="J577" s="7" t="inlineStr">
        <is>
          <t>NÃO</t>
        </is>
      </c>
      <c r="K577" s="7" t="inlineStr">
        <is>
          <t>Embalagem Flexível — NÃO LAVÁVEL (Perfurar e usar saco ABNT)</t>
        </is>
      </c>
      <c r="L577" s="7" t="inlineStr">
        <is>
          <t>SIM (Saco Transparente ABNT)</t>
        </is>
      </c>
      <c r="M577" s="7" t="inlineStr">
        <is>
          <t>0,00% (Lei nº 10.925/2004)</t>
        </is>
      </c>
      <c r="N577" s="7" t="inlineStr">
        <is>
          <t>0,925% (LC nº 224/2025)</t>
        </is>
      </c>
      <c r="O577" s="7" t="inlineStr">
        <is>
          <t>0,365% (LC nº 224/2025)</t>
        </is>
      </c>
      <c r="P577" s="7" t="inlineStr">
        <is>
          <t>CST 06</t>
        </is>
      </c>
      <c r="Q577" s="7" t="inlineStr">
        <is>
          <t>CST 73</t>
        </is>
      </c>
      <c r="R577" s="7" t="inlineStr">
        <is>
          <t>Redução de 60% + Diferimento (Art. 138 e Anexo IX LC 214/2025)</t>
        </is>
      </c>
    </row>
    <row r="578" ht="22" customHeight="1">
      <c r="A578" s="12" t="inlineStr">
        <is>
          <t>SKU-0574</t>
        </is>
      </c>
      <c r="B578" s="11" t="n">
        <v>406</v>
      </c>
      <c r="C578" s="13" t="inlineStr">
        <is>
          <t>SIPEAGRO (UF-XXXXX)</t>
        </is>
      </c>
      <c r="D578" s="14" t="inlineStr">
        <is>
          <t>CLORETO DE POTÁSSIO STD 62% GRANEL KG (VALIDAR)</t>
        </is>
      </c>
      <c r="E578" s="13" t="inlineStr">
        <is>
          <t>Faixa 1 TIPI (Apresentação &lt;= 300 g ou mL)</t>
        </is>
      </c>
      <c r="F578" s="13" t="inlineStr">
        <is>
          <t>Fracionado / Amostra &lt;= 0,3 KG</t>
        </is>
      </c>
      <c r="G578" s="13" t="inlineStr">
        <is>
          <t>KG</t>
        </is>
      </c>
      <c r="H578" s="18" t="n">
        <v>0.3</v>
      </c>
      <c r="I578" s="13" t="inlineStr">
        <is>
          <t>3104.20.90</t>
        </is>
      </c>
      <c r="J578" s="13" t="inlineStr">
        <is>
          <t>NÃO</t>
        </is>
      </c>
      <c r="K578" s="13" t="inlineStr">
        <is>
          <t>Embalagem Flexível — NÃO LAVÁVEL (Perfurar e usar saco ABNT)</t>
        </is>
      </c>
      <c r="L578" s="13" t="inlineStr">
        <is>
          <t>SIM (Saco Transparente ABNT)</t>
        </is>
      </c>
      <c r="M578" s="13" t="inlineStr">
        <is>
          <t>0,00% (Lei nº 10.925/2004)</t>
        </is>
      </c>
      <c r="N578" s="13" t="inlineStr">
        <is>
          <t>0,925% (LC nº 224/2025)</t>
        </is>
      </c>
      <c r="O578" s="13" t="inlineStr">
        <is>
          <t>0,365% (LC nº 224/2025)</t>
        </is>
      </c>
      <c r="P578" s="13" t="inlineStr">
        <is>
          <t>CST 06</t>
        </is>
      </c>
      <c r="Q578" s="13" t="inlineStr">
        <is>
          <t>CST 73</t>
        </is>
      </c>
      <c r="R578" s="13" t="inlineStr">
        <is>
          <t>Redução de 60% + Diferimento (Art. 138 e Anexo IX LC 214/2025)</t>
        </is>
      </c>
    </row>
    <row r="579" ht="22" customHeight="1">
      <c r="A579" s="6" t="inlineStr">
        <is>
          <t>SKU-0575</t>
        </is>
      </c>
      <c r="B579" s="5" t="n">
        <v>407</v>
      </c>
      <c r="C579" s="7" t="inlineStr">
        <is>
          <t>SIPEAGRO (UF-XXXXX)</t>
        </is>
      </c>
      <c r="D579" s="8" t="inlineStr">
        <is>
          <t>KCL-60%K2O-GRANULADO-FERT.MINERAL SIMPLES - AUTEM</t>
        </is>
      </c>
      <c r="E579" s="7" t="inlineStr">
        <is>
          <t>Embalagem Comercial do Produto</t>
        </is>
      </c>
      <c r="F579" s="7" t="inlineStr">
        <is>
          <t>GRANEL / BIG BAG (1000 KG)</t>
        </is>
      </c>
      <c r="G579" s="7" t="inlineStr">
        <is>
          <t>KG</t>
        </is>
      </c>
      <c r="H579" s="9" t="n">
        <v>1000</v>
      </c>
      <c r="I579" s="7" t="inlineStr">
        <is>
          <t>3104.20.90</t>
        </is>
      </c>
      <c r="J579" s="7" t="inlineStr">
        <is>
          <t>NÃO</t>
        </is>
      </c>
      <c r="K579" s="7" t="inlineStr">
        <is>
          <t>Embalagem Flexível — NÃO LAVÁVEL (Perfurar e usar saco ABNT)</t>
        </is>
      </c>
      <c r="L579" s="7" t="inlineStr">
        <is>
          <t>SIM (Saco Transparente ABNT)</t>
        </is>
      </c>
      <c r="M579" s="7" t="inlineStr">
        <is>
          <t>0,00% (Lei nº 10.925/2004)</t>
        </is>
      </c>
      <c r="N579" s="7" t="inlineStr">
        <is>
          <t>0,925% (LC nº 224/2025)</t>
        </is>
      </c>
      <c r="O579" s="7" t="inlineStr">
        <is>
          <t>0,365% (LC nº 224/2025)</t>
        </is>
      </c>
      <c r="P579" s="7" t="inlineStr">
        <is>
          <t>CST 06</t>
        </is>
      </c>
      <c r="Q579" s="7" t="inlineStr">
        <is>
          <t>CST 73</t>
        </is>
      </c>
      <c r="R579" s="7" t="inlineStr">
        <is>
          <t>Redução de 60% + Diferimento (Art. 138 e Anexo IX LC 214/2025)</t>
        </is>
      </c>
    </row>
    <row r="580" ht="22" customHeight="1">
      <c r="A580" s="12" t="inlineStr">
        <is>
          <t>SKU-0576</t>
        </is>
      </c>
      <c r="B580" s="11" t="n">
        <v>407</v>
      </c>
      <c r="C580" s="13" t="inlineStr">
        <is>
          <t>SIPEAGRO (UF-XXXXX)</t>
        </is>
      </c>
      <c r="D580" s="14" t="inlineStr">
        <is>
          <t>KCL-60%K2O-GRANULADO-FERT.MINERAL SIMPLES - AUTEM</t>
        </is>
      </c>
      <c r="E580" s="13" t="inlineStr">
        <is>
          <t>Faixa 1 TIPI (Apresentação &lt;= 300 g ou mL)</t>
        </is>
      </c>
      <c r="F580" s="13" t="inlineStr">
        <is>
          <t>Fracionado / Amostra &lt;= 0,3 KG</t>
        </is>
      </c>
      <c r="G580" s="13" t="inlineStr">
        <is>
          <t>KG</t>
        </is>
      </c>
      <c r="H580" s="18" t="n">
        <v>0.3</v>
      </c>
      <c r="I580" s="13" t="inlineStr">
        <is>
          <t>3104.20.90</t>
        </is>
      </c>
      <c r="J580" s="13" t="inlineStr">
        <is>
          <t>NÃO</t>
        </is>
      </c>
      <c r="K580" s="13" t="inlineStr">
        <is>
          <t>Embalagem Flexível — NÃO LAVÁVEL (Perfurar e usar saco ABNT)</t>
        </is>
      </c>
      <c r="L580" s="13" t="inlineStr">
        <is>
          <t>SIM (Saco Transparente ABNT)</t>
        </is>
      </c>
      <c r="M580" s="13" t="inlineStr">
        <is>
          <t>0,00% (Lei nº 10.925/2004)</t>
        </is>
      </c>
      <c r="N580" s="13" t="inlineStr">
        <is>
          <t>0,925% (LC nº 224/2025)</t>
        </is>
      </c>
      <c r="O580" s="13" t="inlineStr">
        <is>
          <t>0,365% (LC nº 224/2025)</t>
        </is>
      </c>
      <c r="P580" s="13" t="inlineStr">
        <is>
          <t>CST 06</t>
        </is>
      </c>
      <c r="Q580" s="13" t="inlineStr">
        <is>
          <t>CST 73</t>
        </is>
      </c>
      <c r="R580" s="13" t="inlineStr">
        <is>
          <t>Redução de 60% + Diferimento (Art. 138 e Anexo IX LC 214/2025)</t>
        </is>
      </c>
    </row>
    <row r="581" ht="22" customHeight="1">
      <c r="A581" s="6" t="inlineStr">
        <is>
          <t>SKU-0577</t>
        </is>
      </c>
      <c r="B581" s="5" t="n">
        <v>408</v>
      </c>
      <c r="C581" s="7" t="inlineStr">
        <is>
          <t>SIPEAGRO (UF-XXXXX)</t>
        </is>
      </c>
      <c r="D581" s="8" t="inlineStr">
        <is>
          <t>MAP 12-52-00 GR GRANEL KG (VALIDAR)</t>
        </is>
      </c>
      <c r="E581" s="7" t="inlineStr">
        <is>
          <t>Embalagem Comercial do Produto</t>
        </is>
      </c>
      <c r="F581" s="7" t="inlineStr">
        <is>
          <t>00 GR (0 KG)</t>
        </is>
      </c>
      <c r="G581" s="7" t="inlineStr">
        <is>
          <t>KG</t>
        </is>
      </c>
      <c r="H581" s="9" t="n">
        <v>0</v>
      </c>
      <c r="I581" s="7" t="inlineStr">
        <is>
          <t>3105.40.00</t>
        </is>
      </c>
      <c r="J581" s="7" t="inlineStr">
        <is>
          <t>NÃO</t>
        </is>
      </c>
      <c r="K581" s="7" t="inlineStr">
        <is>
          <t>Embalagem Flexível — NÃO LAVÁVEL (Perfurar e usar saco ABNT)</t>
        </is>
      </c>
      <c r="L581" s="7" t="inlineStr">
        <is>
          <t>SIM (Saco Transparente ABNT)</t>
        </is>
      </c>
      <c r="M581" s="7" t="inlineStr">
        <is>
          <t>0,00% (Lei nº 10.925/2004)</t>
        </is>
      </c>
      <c r="N581" s="7" t="inlineStr">
        <is>
          <t>0,925% (LC nº 224/2025)</t>
        </is>
      </c>
      <c r="O581" s="7" t="inlineStr">
        <is>
          <t>0,365% (LC nº 224/2025)</t>
        </is>
      </c>
      <c r="P581" s="7" t="inlineStr">
        <is>
          <t>CST 06</t>
        </is>
      </c>
      <c r="Q581" s="7" t="inlineStr">
        <is>
          <t>CST 73</t>
        </is>
      </c>
      <c r="R581" s="7" t="inlineStr">
        <is>
          <t>Redução de 60% + Diferimento (Art. 138 e Anexo IX LC 214/2025)</t>
        </is>
      </c>
    </row>
    <row r="582" ht="22" customHeight="1">
      <c r="A582" s="12" t="inlineStr">
        <is>
          <t>SKU-0578</t>
        </is>
      </c>
      <c r="B582" s="11" t="n">
        <v>408</v>
      </c>
      <c r="C582" s="13" t="inlineStr">
        <is>
          <t>SIPEAGRO (UF-XXXXX)</t>
        </is>
      </c>
      <c r="D582" s="14" t="inlineStr">
        <is>
          <t>MAP 12-52-00 GR GRANEL KG (VALIDAR)</t>
        </is>
      </c>
      <c r="E582" s="13" t="inlineStr">
        <is>
          <t>Faixa 1 TIPI (Apresentação &lt;= 300 g ou mL)</t>
        </is>
      </c>
      <c r="F582" s="13" t="inlineStr">
        <is>
          <t>Fracionado / Amostra &lt;= 0,3 KG</t>
        </is>
      </c>
      <c r="G582" s="13" t="inlineStr">
        <is>
          <t>KG</t>
        </is>
      </c>
      <c r="H582" s="18" t="n">
        <v>0.3</v>
      </c>
      <c r="I582" s="13" t="inlineStr">
        <is>
          <t>3105.40.00</t>
        </is>
      </c>
      <c r="J582" s="13" t="inlineStr">
        <is>
          <t>NÃO</t>
        </is>
      </c>
      <c r="K582" s="13" t="inlineStr">
        <is>
          <t>Embalagem Flexível — NÃO LAVÁVEL (Perfurar e usar saco ABNT)</t>
        </is>
      </c>
      <c r="L582" s="13" t="inlineStr">
        <is>
          <t>SIM (Saco Transparente ABNT)</t>
        </is>
      </c>
      <c r="M582" s="13" t="inlineStr">
        <is>
          <t>0,00% (Lei nº 10.925/2004)</t>
        </is>
      </c>
      <c r="N582" s="13" t="inlineStr">
        <is>
          <t>0,925% (LC nº 224/2025)</t>
        </is>
      </c>
      <c r="O582" s="13" t="inlineStr">
        <is>
          <t>0,365% (LC nº 224/2025)</t>
        </is>
      </c>
      <c r="P582" s="13" t="inlineStr">
        <is>
          <t>CST 06</t>
        </is>
      </c>
      <c r="Q582" s="13" t="inlineStr">
        <is>
          <t>CST 73</t>
        </is>
      </c>
      <c r="R582" s="13" t="inlineStr">
        <is>
          <t>Redução de 60% + Diferimento (Art. 138 e Anexo IX LC 214/2025)</t>
        </is>
      </c>
    </row>
    <row r="583" ht="22" customHeight="1">
      <c r="A583" s="6" t="inlineStr">
        <is>
          <t>SKU-0579</t>
        </is>
      </c>
      <c r="B583" s="5" t="n">
        <v>409</v>
      </c>
      <c r="C583" s="7" t="inlineStr">
        <is>
          <t>SIPEAGRO (UF-XXXXX)</t>
        </is>
      </c>
      <c r="D583" s="8" t="inlineStr">
        <is>
          <t>FERTLIZANTE FOSFATADO 10.45.00 GRANULADO KG</t>
        </is>
      </c>
      <c r="E583" s="7" t="inlineStr">
        <is>
          <t>Embalagem Comercial do Produto</t>
        </is>
      </c>
      <c r="F583" s="7" t="inlineStr">
        <is>
          <t>GRANEL / BIG BAG (1000 KG)</t>
        </is>
      </c>
      <c r="G583" s="7" t="inlineStr">
        <is>
          <t>KG</t>
        </is>
      </c>
      <c r="H583" s="9" t="n">
        <v>1000</v>
      </c>
      <c r="I583" s="7" t="inlineStr">
        <is>
          <t>3105.59.00</t>
        </is>
      </c>
      <c r="J583" s="7" t="inlineStr">
        <is>
          <t>NÃO</t>
        </is>
      </c>
      <c r="K583" s="7" t="inlineStr">
        <is>
          <t>Embalagem Flexível — NÃO LAVÁVEL (Perfurar e usar saco ABNT)</t>
        </is>
      </c>
      <c r="L583" s="7" t="inlineStr">
        <is>
          <t>SIM (Saco Transparente ABNT)</t>
        </is>
      </c>
      <c r="M583" s="7" t="inlineStr">
        <is>
          <t>0,00% (Lei nº 10.925/2004)</t>
        </is>
      </c>
      <c r="N583" s="7" t="inlineStr">
        <is>
          <t>0,925% (LC nº 224/2025)</t>
        </is>
      </c>
      <c r="O583" s="7" t="inlineStr">
        <is>
          <t>0,365% (LC nº 224/2025)</t>
        </is>
      </c>
      <c r="P583" s="7" t="inlineStr">
        <is>
          <t>CST 06</t>
        </is>
      </c>
      <c r="Q583" s="7" t="inlineStr">
        <is>
          <t>CST 73</t>
        </is>
      </c>
      <c r="R583" s="7" t="inlineStr">
        <is>
          <t>Redução de 60% + Diferimento (Art. 138 e Anexo IX LC 214/2025)</t>
        </is>
      </c>
    </row>
    <row r="584" ht="22" customHeight="1">
      <c r="A584" s="12" t="inlineStr">
        <is>
          <t>SKU-0580</t>
        </is>
      </c>
      <c r="B584" s="11" t="n">
        <v>409</v>
      </c>
      <c r="C584" s="13" t="inlineStr">
        <is>
          <t>SIPEAGRO (UF-XXXXX)</t>
        </is>
      </c>
      <c r="D584" s="14" t="inlineStr">
        <is>
          <t>FERTLIZANTE FOSFATADO 10.45.00 GRANULADO KG</t>
        </is>
      </c>
      <c r="E584" s="13" t="inlineStr">
        <is>
          <t>Faixa 1 TIPI (Apresentação &lt;= 300 g ou mL)</t>
        </is>
      </c>
      <c r="F584" s="13" t="inlineStr">
        <is>
          <t>Fracionado / Amostra &lt;= 0,3 KG</t>
        </is>
      </c>
      <c r="G584" s="13" t="inlineStr">
        <is>
          <t>KG</t>
        </is>
      </c>
      <c r="H584" s="18" t="n">
        <v>0.3</v>
      </c>
      <c r="I584" s="13" t="inlineStr">
        <is>
          <t>3105.40.00</t>
        </is>
      </c>
      <c r="J584" s="13" t="inlineStr">
        <is>
          <t>NÃO</t>
        </is>
      </c>
      <c r="K584" s="13" t="inlineStr">
        <is>
          <t>Embalagem Flexível — NÃO LAVÁVEL (Perfurar e usar saco ABNT)</t>
        </is>
      </c>
      <c r="L584" s="13" t="inlineStr">
        <is>
          <t>SIM (Saco Transparente ABNT)</t>
        </is>
      </c>
      <c r="M584" s="13" t="inlineStr">
        <is>
          <t>0,00% (Lei nº 10.925/2004)</t>
        </is>
      </c>
      <c r="N584" s="13" t="inlineStr">
        <is>
          <t>0,925% (LC nº 224/2025)</t>
        </is>
      </c>
      <c r="O584" s="13" t="inlineStr">
        <is>
          <t>0,365% (LC nº 224/2025)</t>
        </is>
      </c>
      <c r="P584" s="13" t="inlineStr">
        <is>
          <t>CST 06</t>
        </is>
      </c>
      <c r="Q584" s="13" t="inlineStr">
        <is>
          <t>CST 73</t>
        </is>
      </c>
      <c r="R584" s="13" t="inlineStr">
        <is>
          <t>Redução de 60% + Diferimento (Art. 138 e Anexo IX LC 214/2025)</t>
        </is>
      </c>
    </row>
    <row r="585" ht="22" customHeight="1">
      <c r="A585" s="6" t="inlineStr">
        <is>
          <t>SKU-0581</t>
        </is>
      </c>
      <c r="B585" s="5" t="n">
        <v>410</v>
      </c>
      <c r="C585" s="7" t="inlineStr">
        <is>
          <t>SIPEAGRO (UF-XXXXX)</t>
        </is>
      </c>
      <c r="D585" s="8" t="inlineStr">
        <is>
          <t>RANKING MANGANES</t>
        </is>
      </c>
      <c r="E585" s="7" t="inlineStr">
        <is>
          <t>Embalagem Comercial do Produto</t>
        </is>
      </c>
      <c r="F585" s="7" t="inlineStr">
        <is>
          <t>1X1000L (1000 L)</t>
        </is>
      </c>
      <c r="G585" s="7" t="inlineStr">
        <is>
          <t>L</t>
        </is>
      </c>
      <c r="H585" s="9" t="n">
        <v>1000</v>
      </c>
      <c r="I585" s="7" t="inlineStr">
        <is>
          <t>3101.00.00</t>
        </is>
      </c>
      <c r="J585" s="7" t="inlineStr">
        <is>
          <t>NÃO</t>
        </is>
      </c>
      <c r="K585" s="7" t="inlineStr">
        <is>
          <t>Embalagem de Insumo Nutricional/Biológico (Logística Reversa)</t>
        </is>
      </c>
      <c r="L585" s="7" t="inlineStr">
        <is>
          <t>NÃO</t>
        </is>
      </c>
      <c r="M585" s="7" t="inlineStr">
        <is>
          <t>0,00% (Lei nº 10.925/2004)</t>
        </is>
      </c>
      <c r="N585" s="7" t="inlineStr">
        <is>
          <t>0,925% (LC nº 224/2025)</t>
        </is>
      </c>
      <c r="O585" s="7" t="inlineStr">
        <is>
          <t>0,365% (LC nº 224/2025)</t>
        </is>
      </c>
      <c r="P585" s="7" t="inlineStr">
        <is>
          <t>CST 06</t>
        </is>
      </c>
      <c r="Q585" s="7" t="inlineStr">
        <is>
          <t>CST 73</t>
        </is>
      </c>
      <c r="R585" s="7" t="inlineStr">
        <is>
          <t>Redução de 60% + Diferimento (Art. 138 e Anexo IX LC 214/2025)</t>
        </is>
      </c>
    </row>
    <row r="586" ht="22" customHeight="1">
      <c r="A586" s="12" t="inlineStr">
        <is>
          <t>SKU-0582</t>
        </is>
      </c>
      <c r="B586" s="11" t="n">
        <v>410</v>
      </c>
      <c r="C586" s="13" t="inlineStr">
        <is>
          <t>SIPEAGRO (UF-XXXXX)</t>
        </is>
      </c>
      <c r="D586" s="14" t="inlineStr">
        <is>
          <t>RANKING MANGANES</t>
        </is>
      </c>
      <c r="E586" s="13" t="inlineStr">
        <is>
          <t>Faixa 1 TIPI (Apresentação &lt;= 300 g ou mL)</t>
        </is>
      </c>
      <c r="F586" s="13" t="inlineStr">
        <is>
          <t>Fracionado / Amostra &lt;= 0,3 L</t>
        </is>
      </c>
      <c r="G586" s="13" t="inlineStr">
        <is>
          <t>L</t>
        </is>
      </c>
      <c r="H586" s="18" t="n">
        <v>0.3</v>
      </c>
      <c r="I586" s="13" t="inlineStr">
        <is>
          <t>3105.90.90</t>
        </is>
      </c>
      <c r="J586" s="13" t="inlineStr">
        <is>
          <t>NÃO</t>
        </is>
      </c>
      <c r="K586" s="13" t="inlineStr">
        <is>
          <t>Embalagem de Insumo Nutricional/Biológico (Logística Reversa)</t>
        </is>
      </c>
      <c r="L586" s="13" t="inlineStr">
        <is>
          <t>NÃO</t>
        </is>
      </c>
      <c r="M586" s="13" t="inlineStr">
        <is>
          <t>0,00% (Lei nº 10.925/2004)</t>
        </is>
      </c>
      <c r="N586" s="13" t="inlineStr">
        <is>
          <t>0,925% (LC nº 224/2025)</t>
        </is>
      </c>
      <c r="O586" s="13" t="inlineStr">
        <is>
          <t>0,365% (LC nº 224/2025)</t>
        </is>
      </c>
      <c r="P586" s="13" t="inlineStr">
        <is>
          <t>CST 06</t>
        </is>
      </c>
      <c r="Q586" s="13" t="inlineStr">
        <is>
          <t>CST 73</t>
        </is>
      </c>
      <c r="R586" s="13" t="inlineStr">
        <is>
          <t>Redução de 60% + Diferimento (Art. 138 e Anexo IX LC 214/2025)</t>
        </is>
      </c>
    </row>
    <row r="587" ht="22" customHeight="1">
      <c r="A587" s="6" t="inlineStr">
        <is>
          <t>SKU-0583</t>
        </is>
      </c>
      <c r="B587" s="5" t="n">
        <v>411</v>
      </c>
      <c r="C587" s="7" t="inlineStr">
        <is>
          <t>VINCULAR MARCA</t>
        </is>
      </c>
      <c r="D587" s="8" t="inlineStr">
        <is>
          <t>CLORPIRIFOS 480 (PRINCIPIO ATIVO)</t>
        </is>
      </c>
      <c r="E587" s="7" t="inlineStr">
        <is>
          <t>Embalagem Comercial do Produto</t>
        </is>
      </c>
      <c r="F587" s="7" t="inlineStr">
        <is>
          <t>GRANEL / P.A. (0 L)</t>
        </is>
      </c>
      <c r="G587" s="7" t="inlineStr">
        <is>
          <t>L</t>
        </is>
      </c>
      <c r="H587" s="9" t="n">
        <v>0</v>
      </c>
      <c r="I587" s="7" t="inlineStr">
        <is>
          <t>3808.91.99</t>
        </is>
      </c>
      <c r="J587" s="7" t="inlineStr">
        <is>
          <t>NÃO</t>
        </is>
      </c>
      <c r="K587" s="7" t="inlineStr">
        <is>
          <t>Uso Industrial Exclusivo (PGRS / NBR 10004)</t>
        </is>
      </c>
      <c r="L587" s="7" t="inlineStr">
        <is>
          <t>NÃO</t>
        </is>
      </c>
      <c r="M587" s="7" t="inlineStr">
        <is>
          <t>0,00% (Lei nº 10.925/2004)</t>
        </is>
      </c>
      <c r="N587" s="7" t="inlineStr">
        <is>
          <t>0,925% (LC nº 224/2025)</t>
        </is>
      </c>
      <c r="O587" s="7" t="inlineStr">
        <is>
          <t>0,365% (LC nº 224/2025)</t>
        </is>
      </c>
      <c r="P587" s="7" t="inlineStr">
        <is>
          <t>CST 06 (Uso Agrícola/Industrial)</t>
        </is>
      </c>
      <c r="Q587" s="7" t="inlineStr">
        <is>
          <t>CST 73 (Revenda / Destinação)</t>
        </is>
      </c>
      <c r="R587" s="7" t="inlineStr">
        <is>
          <t>Redução de 60% + Diferimento (Art. 138 LC 214/2025)</t>
        </is>
      </c>
    </row>
    <row r="588" ht="22" customHeight="1">
      <c r="A588" s="12" t="inlineStr">
        <is>
          <t>SKU-0584</t>
        </is>
      </c>
      <c r="B588" s="11" t="n">
        <v>411</v>
      </c>
      <c r="C588" s="13" t="inlineStr">
        <is>
          <t>VINCULAR MARCA</t>
        </is>
      </c>
      <c r="D588" s="14" t="inlineStr">
        <is>
          <t>CLORPIRIFOS 480 (PRINCIPIO ATIVO)</t>
        </is>
      </c>
      <c r="E588" s="13" t="inlineStr">
        <is>
          <t>Faixa 1 TIPI (Apresentação &lt;= 300 g ou mL)</t>
        </is>
      </c>
      <c r="F588" s="13" t="inlineStr">
        <is>
          <t>Fracionado / Amostra &lt;= 0,3 L</t>
        </is>
      </c>
      <c r="G588" s="13" t="inlineStr">
        <is>
          <t>L</t>
        </is>
      </c>
      <c r="H588" s="18" t="n">
        <v>0.3</v>
      </c>
      <c r="I588" s="13" t="inlineStr">
        <is>
          <t>3808.92.20</t>
        </is>
      </c>
      <c r="J588" s="13" t="inlineStr">
        <is>
          <t>NÃO</t>
        </is>
      </c>
      <c r="K588" s="13" t="inlineStr">
        <is>
          <t>Uso Industrial Exclusivo (PGRS / NBR 10004)</t>
        </is>
      </c>
      <c r="L588" s="13" t="inlineStr">
        <is>
          <t>NÃO</t>
        </is>
      </c>
      <c r="M588" s="13" t="inlineStr">
        <is>
          <t>0,00% (Lei nº 10.925/2004)</t>
        </is>
      </c>
      <c r="N588" s="13" t="inlineStr">
        <is>
          <t>0,925% (LC nº 224/2025)</t>
        </is>
      </c>
      <c r="O588" s="13" t="inlineStr">
        <is>
          <t>0,365% (LC nº 224/2025)</t>
        </is>
      </c>
      <c r="P588" s="13" t="inlineStr">
        <is>
          <t>CST 06 (Uso Agrícola/Industrial)</t>
        </is>
      </c>
      <c r="Q588" s="13" t="inlineStr">
        <is>
          <t>CST 73 (Revenda / Destinação)</t>
        </is>
      </c>
      <c r="R588" s="13" t="inlineStr">
        <is>
          <t>Redução de 60% + Diferimento (Art. 138 LC 214/2025)</t>
        </is>
      </c>
    </row>
    <row r="589" ht="22" customHeight="1">
      <c r="A589" s="6" t="inlineStr">
        <is>
          <t>SKU-0585</t>
        </is>
      </c>
      <c r="B589" s="5" t="n">
        <v>412</v>
      </c>
      <c r="C589" s="7" t="inlineStr">
        <is>
          <t>VINCULAR MARCA</t>
        </is>
      </c>
      <c r="D589" s="8" t="inlineStr">
        <is>
          <t>CLOROTAL. 580 + CIPRO 12,8 + TRIFLOXIS. 30 (P. A.)</t>
        </is>
      </c>
      <c r="E589" s="7" t="inlineStr">
        <is>
          <t>Embalagem Comercial do Produto</t>
        </is>
      </c>
      <c r="F589" s="7" t="inlineStr">
        <is>
          <t>GRANEL / P.A. (0 L)</t>
        </is>
      </c>
      <c r="G589" s="7" t="inlineStr">
        <is>
          <t>L</t>
        </is>
      </c>
      <c r="H589" s="9" t="n">
        <v>0</v>
      </c>
      <c r="I589" s="7" t="inlineStr">
        <is>
          <t>3808.92.99</t>
        </is>
      </c>
      <c r="J589" s="7" t="inlineStr">
        <is>
          <t>NÃO</t>
        </is>
      </c>
      <c r="K589" s="7" t="inlineStr">
        <is>
          <t>Uso Industrial Exclusivo (PGRS / NBR 10004)</t>
        </is>
      </c>
      <c r="L589" s="7" t="inlineStr">
        <is>
          <t>NÃO</t>
        </is>
      </c>
      <c r="M589" s="7" t="inlineStr">
        <is>
          <t>0,00% (Lei nº 10.925/2004)</t>
        </is>
      </c>
      <c r="N589" s="7" t="inlineStr">
        <is>
          <t>0,925% (LC nº 224/2025)</t>
        </is>
      </c>
      <c r="O589" s="7" t="inlineStr">
        <is>
          <t>0,365% (LC nº 224/2025)</t>
        </is>
      </c>
      <c r="P589" s="7" t="inlineStr">
        <is>
          <t>CST 06 (Uso Agrícola/Industrial)</t>
        </is>
      </c>
      <c r="Q589" s="7" t="inlineStr">
        <is>
          <t>CST 73 (Revenda / Destinação)</t>
        </is>
      </c>
      <c r="R589" s="7" t="inlineStr">
        <is>
          <t>Redução de 60% + Diferimento (Art. 138 LC 214/2025)</t>
        </is>
      </c>
    </row>
    <row r="590" ht="22" customHeight="1">
      <c r="A590" s="12" t="inlineStr">
        <is>
          <t>SKU-0586</t>
        </is>
      </c>
      <c r="B590" s="11" t="n">
        <v>412</v>
      </c>
      <c r="C590" s="13" t="inlineStr">
        <is>
          <t>VINCULAR MARCA</t>
        </is>
      </c>
      <c r="D590" s="14" t="inlineStr">
        <is>
          <t>CLOROTAL. 580 + CIPRO 12,8 + TRIFLOXIS. 30 (P. A.)</t>
        </is>
      </c>
      <c r="E590" s="13" t="inlineStr">
        <is>
          <t>Faixa 1 TIPI (Apresentação &lt;= 300 g ou mL)</t>
        </is>
      </c>
      <c r="F590" s="13" t="inlineStr">
        <is>
          <t>Fracionado / Amostra &lt;= 0,3 L</t>
        </is>
      </c>
      <c r="G590" s="13" t="inlineStr">
        <is>
          <t>L</t>
        </is>
      </c>
      <c r="H590" s="18" t="n">
        <v>0.3</v>
      </c>
      <c r="I590" s="13" t="inlineStr">
        <is>
          <t>3808.92.20</t>
        </is>
      </c>
      <c r="J590" s="13" t="inlineStr">
        <is>
          <t>NÃO</t>
        </is>
      </c>
      <c r="K590" s="13" t="inlineStr">
        <is>
          <t>Uso Industrial Exclusivo (PGRS / NBR 10004)</t>
        </is>
      </c>
      <c r="L590" s="13" t="inlineStr">
        <is>
          <t>NÃO</t>
        </is>
      </c>
      <c r="M590" s="13" t="inlineStr">
        <is>
          <t>0,00% (Lei nº 10.925/2004)</t>
        </is>
      </c>
      <c r="N590" s="13" t="inlineStr">
        <is>
          <t>0,925% (LC nº 224/2025)</t>
        </is>
      </c>
      <c r="O590" s="13" t="inlineStr">
        <is>
          <t>0,365% (LC nº 224/2025)</t>
        </is>
      </c>
      <c r="P590" s="13" t="inlineStr">
        <is>
          <t>CST 06 (Uso Agrícola/Industrial)</t>
        </is>
      </c>
      <c r="Q590" s="13" t="inlineStr">
        <is>
          <t>CST 73 (Revenda / Destinação)</t>
        </is>
      </c>
      <c r="R590" s="13" t="inlineStr">
        <is>
          <t>Redução de 60% + Diferimento (Art. 138 LC 214/2025)</t>
        </is>
      </c>
    </row>
    <row r="591" ht="22" customHeight="1">
      <c r="A591" s="6" t="inlineStr">
        <is>
          <t>SKU-0587</t>
        </is>
      </c>
      <c r="B591" s="5" t="n">
        <v>413</v>
      </c>
      <c r="C591" s="7" t="inlineStr">
        <is>
          <t>Nº 9621</t>
        </is>
      </c>
      <c r="D591" s="8" t="inlineStr">
        <is>
          <t>GLIFOSATO 506 (PRINCIPIO ATIVO)</t>
        </is>
      </c>
      <c r="E591" s="7" t="inlineStr">
        <is>
          <t>Embalagem Comercial do Produto</t>
        </is>
      </c>
      <c r="F591" s="7" t="inlineStr">
        <is>
          <t>GRANEL / P.A. (0 L)</t>
        </is>
      </c>
      <c r="G591" s="7" t="inlineStr">
        <is>
          <t>L</t>
        </is>
      </c>
      <c r="H591" s="9" t="n">
        <v>0</v>
      </c>
      <c r="I591" s="7" t="inlineStr">
        <is>
          <t>3808.93.24</t>
        </is>
      </c>
      <c r="J591" s="7" t="inlineStr">
        <is>
          <t>NÃO</t>
        </is>
      </c>
      <c r="K591" s="7" t="inlineStr">
        <is>
          <t>Uso Industrial Exclusivo (PGRS / NBR 10004)</t>
        </is>
      </c>
      <c r="L591" s="7" t="inlineStr">
        <is>
          <t>NÃO</t>
        </is>
      </c>
      <c r="M591" s="7" t="inlineStr">
        <is>
          <t>0,00% (Lei nº 10.925/2004)</t>
        </is>
      </c>
      <c r="N591" s="7" t="inlineStr">
        <is>
          <t>0,925% (LC nº 224/2025)</t>
        </is>
      </c>
      <c r="O591" s="7" t="inlineStr">
        <is>
          <t>0,365% (LC nº 224/2025)</t>
        </is>
      </c>
      <c r="P591" s="7" t="inlineStr">
        <is>
          <t>CST 06 (Uso Agrícola/Industrial)</t>
        </is>
      </c>
      <c r="Q591" s="7" t="inlineStr">
        <is>
          <t>CST 73 (Revenda / Destinação)</t>
        </is>
      </c>
      <c r="R591" s="7" t="inlineStr">
        <is>
          <t>Redução de 60% + Diferimento (Art. 138 LC 214/2025)</t>
        </is>
      </c>
    </row>
    <row r="592" ht="22" customHeight="1">
      <c r="A592" s="12" t="inlineStr">
        <is>
          <t>SKU-0588</t>
        </is>
      </c>
      <c r="B592" s="11" t="n">
        <v>414</v>
      </c>
      <c r="C592" s="13" t="inlineStr">
        <is>
          <t>SIPEAGRO (UF-XXXXX)</t>
        </is>
      </c>
      <c r="D592" s="14" t="inlineStr">
        <is>
          <t>FERTILIZANTE 00-25-00 2S (VALIDAR)</t>
        </is>
      </c>
      <c r="E592" s="13" t="inlineStr">
        <is>
          <t>Embalagem Comercial do Produto</t>
        </is>
      </c>
      <c r="F592" s="13" t="inlineStr">
        <is>
          <t>EMBALAGEM PADRÃO (25 KG)</t>
        </is>
      </c>
      <c r="G592" s="13" t="inlineStr">
        <is>
          <t>KG</t>
        </is>
      </c>
      <c r="H592" s="15" t="n">
        <v>25</v>
      </c>
      <c r="I592" s="13" t="inlineStr">
        <is>
          <t>3103.90.11</t>
        </is>
      </c>
      <c r="J592" s="13" t="inlineStr">
        <is>
          <t>NÃO</t>
        </is>
      </c>
      <c r="K592" s="13" t="inlineStr">
        <is>
          <t>Embalagem de Insumo Nutricional/Biológico (Logística Reversa)</t>
        </is>
      </c>
      <c r="L592" s="13" t="inlineStr">
        <is>
          <t>NÃO</t>
        </is>
      </c>
      <c r="M592" s="13" t="inlineStr">
        <is>
          <t>0,00% (Lei nº 10.925/2004)</t>
        </is>
      </c>
      <c r="N592" s="13" t="inlineStr">
        <is>
          <t>0,925% (LC nº 224/2025)</t>
        </is>
      </c>
      <c r="O592" s="13" t="inlineStr">
        <is>
          <t>0,365% (LC nº 224/2025)</t>
        </is>
      </c>
      <c r="P592" s="13" t="inlineStr">
        <is>
          <t>CST 06</t>
        </is>
      </c>
      <c r="Q592" s="13" t="inlineStr">
        <is>
          <t>CST 73</t>
        </is>
      </c>
      <c r="R592" s="13" t="inlineStr">
        <is>
          <t>Redução de 60% + Diferimento (Art. 138 e Anexo IX LC 214/2025)</t>
        </is>
      </c>
    </row>
    <row r="593" ht="22" customHeight="1">
      <c r="A593" s="6" t="inlineStr">
        <is>
          <t>SKU-0589</t>
        </is>
      </c>
      <c r="B593" s="5" t="n">
        <v>414</v>
      </c>
      <c r="C593" s="7" t="inlineStr">
        <is>
          <t>SIPEAGRO (UF-XXXXX)</t>
        </is>
      </c>
      <c r="D593" s="8" t="inlineStr">
        <is>
          <t>FERTILIZANTE 00-25-00 2S (VALIDAR)</t>
        </is>
      </c>
      <c r="E593" s="7" t="inlineStr">
        <is>
          <t>Faixa 1 TIPI (Apresentação &lt;= 300 g ou mL)</t>
        </is>
      </c>
      <c r="F593" s="7" t="inlineStr">
        <is>
          <t>Fracionado / Amostra &lt;= 0,3 KG</t>
        </is>
      </c>
      <c r="G593" s="7" t="inlineStr">
        <is>
          <t>KG</t>
        </is>
      </c>
      <c r="H593" s="17" t="n">
        <v>0.3</v>
      </c>
      <c r="I593" s="7" t="inlineStr">
        <is>
          <t>3105.90.90</t>
        </is>
      </c>
      <c r="J593" s="7" t="inlineStr">
        <is>
          <t>NÃO</t>
        </is>
      </c>
      <c r="K593" s="7" t="inlineStr">
        <is>
          <t>Embalagem de Insumo Nutricional/Biológico (Logística Reversa)</t>
        </is>
      </c>
      <c r="L593" s="7" t="inlineStr">
        <is>
          <t>NÃO</t>
        </is>
      </c>
      <c r="M593" s="7" t="inlineStr">
        <is>
          <t>0,00% (Lei nº 10.925/2004)</t>
        </is>
      </c>
      <c r="N593" s="7" t="inlineStr">
        <is>
          <t>0,925% (LC nº 224/2025)</t>
        </is>
      </c>
      <c r="O593" s="7" t="inlineStr">
        <is>
          <t>0,365% (LC nº 224/2025)</t>
        </is>
      </c>
      <c r="P593" s="7" t="inlineStr">
        <is>
          <t>CST 06</t>
        </is>
      </c>
      <c r="Q593" s="7" t="inlineStr">
        <is>
          <t>CST 73</t>
        </is>
      </c>
      <c r="R593" s="7" t="inlineStr">
        <is>
          <t>Redução de 60% + Diferimento (Art. 138 e Anexo IX LC 214/2025)</t>
        </is>
      </c>
    </row>
    <row r="594" ht="22" customHeight="1">
      <c r="A594" s="12" t="inlineStr">
        <is>
          <t>SKU-0590</t>
        </is>
      </c>
      <c r="B594" s="11" t="n">
        <v>415</v>
      </c>
      <c r="C594" s="13" t="inlineStr">
        <is>
          <t>ISENTO (ATO 104/2017)</t>
        </is>
      </c>
      <c r="D594" s="14" t="inlineStr">
        <is>
          <t>AGRICOIL MINERAL</t>
        </is>
      </c>
      <c r="E594" s="13" t="inlineStr">
        <is>
          <t>Embalagem Comercial do Produto</t>
        </is>
      </c>
      <c r="F594" s="13" t="inlineStr">
        <is>
          <t>1X20L (20 L)</t>
        </is>
      </c>
      <c r="G594" s="13" t="inlineStr">
        <is>
          <t>L</t>
        </is>
      </c>
      <c r="H594" s="15" t="n">
        <v>20</v>
      </c>
      <c r="I594" s="13" t="inlineStr">
        <is>
          <t>3808.91.97</t>
        </is>
      </c>
      <c r="J594" s="13" t="inlineStr">
        <is>
          <t>NÃO</t>
        </is>
      </c>
      <c r="K594" s="13" t="inlineStr">
        <is>
          <t>Embalagem Rígida — LAVÁVEL (Obrigatória Tríplice Lavagem ou Pressão)</t>
        </is>
      </c>
      <c r="L594" s="13" t="inlineStr">
        <is>
          <t>NÃO</t>
        </is>
      </c>
      <c r="M594" s="13" t="inlineStr">
        <is>
          <t>9,25% Real | 3,65% Presumido</t>
        </is>
      </c>
      <c r="N594" s="13" t="inlineStr">
        <is>
          <t>9,250% (Integral)</t>
        </is>
      </c>
      <c r="O594" s="13" t="inlineStr">
        <is>
          <t>3,650% (Integral)</t>
        </is>
      </c>
      <c r="P594" s="13" t="inlineStr">
        <is>
          <t>CST 01</t>
        </is>
      </c>
      <c r="Q594" s="13" t="inlineStr">
        <is>
          <t>CST 50</t>
        </is>
      </c>
      <c r="R594" s="13" t="inlineStr">
        <is>
          <t>Alíquota Padrão Integral (LC 214/2025)</t>
        </is>
      </c>
    </row>
    <row r="595" ht="22" customHeight="1">
      <c r="A595" s="6" t="inlineStr">
        <is>
          <t>SKU-0591</t>
        </is>
      </c>
      <c r="B595" s="5" t="n">
        <v>415</v>
      </c>
      <c r="C595" s="7" t="inlineStr">
        <is>
          <t>ISENTO (ATO 104/2017)</t>
        </is>
      </c>
      <c r="D595" s="8" t="inlineStr">
        <is>
          <t>AGRICOIL MINERAL</t>
        </is>
      </c>
      <c r="E595" s="7" t="inlineStr">
        <is>
          <t>Faixa 1 TIPI (Apresentação &lt;= 300 g ou mL)</t>
        </is>
      </c>
      <c r="F595" s="7" t="inlineStr">
        <is>
          <t>Fracionado / Amostra &lt;= 0,3 L</t>
        </is>
      </c>
      <c r="G595" s="7" t="inlineStr">
        <is>
          <t>L</t>
        </is>
      </c>
      <c r="H595" s="17" t="n">
        <v>0.3</v>
      </c>
      <c r="I595" s="7" t="inlineStr">
        <is>
          <t>3402.90.29</t>
        </is>
      </c>
      <c r="J595" s="7" t="inlineStr">
        <is>
          <t>NÃO</t>
        </is>
      </c>
      <c r="K595" s="7" t="inlineStr">
        <is>
          <t>Embalagem Rígida — LAVÁVEL (Obrigatória Tríplice Lavagem ou Pressão)</t>
        </is>
      </c>
      <c r="L595" s="7" t="inlineStr">
        <is>
          <t>NÃO</t>
        </is>
      </c>
      <c r="M595" s="7" t="inlineStr">
        <is>
          <t>9,25% Real | 3,65% Presumido</t>
        </is>
      </c>
      <c r="N595" s="7" t="inlineStr">
        <is>
          <t>9,250% (Integral)</t>
        </is>
      </c>
      <c r="O595" s="7" t="inlineStr">
        <is>
          <t>3,650% (Integral)</t>
        </is>
      </c>
      <c r="P595" s="7" t="inlineStr">
        <is>
          <t>CST 01</t>
        </is>
      </c>
      <c r="Q595" s="7" t="inlineStr">
        <is>
          <t>CST 50</t>
        </is>
      </c>
      <c r="R595" s="7" t="inlineStr">
        <is>
          <t>Alíquota Padrão Integral (LC 214/2025)</t>
        </is>
      </c>
    </row>
    <row r="596" ht="22" customHeight="1">
      <c r="A596" s="12" t="inlineStr">
        <is>
          <t>SKU-0592</t>
        </is>
      </c>
      <c r="B596" s="11" t="n">
        <v>416</v>
      </c>
      <c r="C596" s="13" t="inlineStr">
        <is>
          <t>Nº 23922</t>
        </is>
      </c>
      <c r="D596" s="14" t="inlineStr">
        <is>
          <t>GRASIDIM FULL</t>
        </is>
      </c>
      <c r="E596" s="13" t="inlineStr">
        <is>
          <t>Embalagem Comercial do Produto</t>
        </is>
      </c>
      <c r="F596" s="13" t="inlineStr">
        <is>
          <t>1X20L (20 L)</t>
        </is>
      </c>
      <c r="G596" s="13" t="inlineStr">
        <is>
          <t>L</t>
        </is>
      </c>
      <c r="H596" s="15" t="n">
        <v>20</v>
      </c>
      <c r="I596" s="13" t="inlineStr">
        <is>
          <t>3808.93.29</t>
        </is>
      </c>
      <c r="J596" s="13" t="inlineStr">
        <is>
          <t>NÃO</t>
        </is>
      </c>
      <c r="K596" s="13" t="inlineStr">
        <is>
          <t>Embalagem Rígida — LAVÁVEL (Obrigatória Tríplice Lavagem ou Pressão)</t>
        </is>
      </c>
      <c r="L596" s="13" t="inlineStr">
        <is>
          <t>NÃO</t>
        </is>
      </c>
      <c r="M596" s="13" t="inlineStr">
        <is>
          <t>0,00% (Lei nº 10.925/2004)</t>
        </is>
      </c>
      <c r="N596" s="13" t="inlineStr">
        <is>
          <t>0,925% (LC nº 224/2025)</t>
        </is>
      </c>
      <c r="O596" s="13" t="inlineStr">
        <is>
          <t>0,365% (LC nº 224/2025)</t>
        </is>
      </c>
      <c r="P596" s="13" t="inlineStr">
        <is>
          <t>CST 06</t>
        </is>
      </c>
      <c r="Q596" s="13" t="inlineStr">
        <is>
          <t>CST 73</t>
        </is>
      </c>
      <c r="R596" s="13" t="inlineStr">
        <is>
          <t>Redução de 60% + Diferimento (Art. 138 e Anexo IX LC 214/2025)</t>
        </is>
      </c>
    </row>
    <row r="597" ht="22" customHeight="1">
      <c r="A597" s="6" t="inlineStr">
        <is>
          <t>SKU-0593</t>
        </is>
      </c>
      <c r="B597" s="5" t="n">
        <v>416</v>
      </c>
      <c r="C597" s="7" t="inlineStr">
        <is>
          <t>Nº 23922</t>
        </is>
      </c>
      <c r="D597" s="8" t="inlineStr">
        <is>
          <t>GRASIDIM FULL</t>
        </is>
      </c>
      <c r="E597" s="7" t="inlineStr">
        <is>
          <t>Faixa 1 TIPI (Apresentação &lt;= 300 g ou mL)</t>
        </is>
      </c>
      <c r="F597" s="7" t="inlineStr">
        <is>
          <t>Fracionado / Amostra &lt;= 0,3 L</t>
        </is>
      </c>
      <c r="G597" s="7" t="inlineStr">
        <is>
          <t>L</t>
        </is>
      </c>
      <c r="H597" s="17" t="n">
        <v>0.3</v>
      </c>
      <c r="I597" s="7" t="inlineStr">
        <is>
          <t>3808.93.19</t>
        </is>
      </c>
      <c r="J597" s="7" t="inlineStr">
        <is>
          <t>NÃO</t>
        </is>
      </c>
      <c r="K597" s="7" t="inlineStr">
        <is>
          <t>Embalagem Rígida — LAVÁVEL (Obrigatória Tríplice Lavagem ou Pressão)</t>
        </is>
      </c>
      <c r="L597" s="7" t="inlineStr">
        <is>
          <t>NÃO</t>
        </is>
      </c>
      <c r="M597" s="7" t="inlineStr">
        <is>
          <t>0,00% (Lei nº 10.925/2004)</t>
        </is>
      </c>
      <c r="N597" s="7" t="inlineStr">
        <is>
          <t>0,925% (LC nº 224/2025)</t>
        </is>
      </c>
      <c r="O597" s="7" t="inlineStr">
        <is>
          <t>0,365% (LC nº 224/2025)</t>
        </is>
      </c>
      <c r="P597" s="7" t="inlineStr">
        <is>
          <t>CST 06</t>
        </is>
      </c>
      <c r="Q597" s="7" t="inlineStr">
        <is>
          <t>CST 73</t>
        </is>
      </c>
      <c r="R597" s="7" t="inlineStr">
        <is>
          <t>Redução de 60% + Diferimento (Art. 138 e Anexo IX LC 214/2025)</t>
        </is>
      </c>
    </row>
    <row r="598" ht="22" customHeight="1">
      <c r="A598" s="12" t="inlineStr">
        <is>
          <t>SKU-0594</t>
        </is>
      </c>
      <c r="B598" s="11" t="n">
        <v>417</v>
      </c>
      <c r="C598" s="13" t="inlineStr">
        <is>
          <t>Nº 4623</t>
        </is>
      </c>
      <c r="D598" s="14" t="inlineStr">
        <is>
          <t>WERIFE - ACEFATO 970 - (PRINCIPIO ATIVO)</t>
        </is>
      </c>
      <c r="E598" s="13" t="inlineStr">
        <is>
          <t>Embalagem Comercial do Produto</t>
        </is>
      </c>
      <c r="F598" s="13" t="inlineStr">
        <is>
          <t>GRANEL / P.A. (0 L)</t>
        </is>
      </c>
      <c r="G598" s="13" t="inlineStr">
        <is>
          <t>L</t>
        </is>
      </c>
      <c r="H598" s="15" t="n">
        <v>0</v>
      </c>
      <c r="I598" s="13" t="inlineStr">
        <is>
          <t>3808.91.91</t>
        </is>
      </c>
      <c r="J598" s="13" t="inlineStr">
        <is>
          <t>NÃO</t>
        </is>
      </c>
      <c r="K598" s="13" t="inlineStr">
        <is>
          <t>Uso Industrial Exclusivo (PGRS / NBR 10004)</t>
        </is>
      </c>
      <c r="L598" s="13" t="inlineStr">
        <is>
          <t>NÃO</t>
        </is>
      </c>
      <c r="M598" s="13" t="inlineStr">
        <is>
          <t>0,00% (Lei nº 10.925/2004)</t>
        </is>
      </c>
      <c r="N598" s="13" t="inlineStr">
        <is>
          <t>0,925% (LC nº 224/2025)</t>
        </is>
      </c>
      <c r="O598" s="13" t="inlineStr">
        <is>
          <t>0,365% (LC nº 224/2025)</t>
        </is>
      </c>
      <c r="P598" s="13" t="inlineStr">
        <is>
          <t>CST 06 (Uso Agrícola/Industrial)</t>
        </is>
      </c>
      <c r="Q598" s="13" t="inlineStr">
        <is>
          <t>CST 73 (Revenda / Destinação)</t>
        </is>
      </c>
      <c r="R598" s="13" t="inlineStr">
        <is>
          <t>Redução de 60% + Diferimento (Art. 138 LC 214/2025)</t>
        </is>
      </c>
    </row>
    <row r="599" ht="22" customHeight="1">
      <c r="A599" s="6" t="inlineStr">
        <is>
          <t>SKU-0595</t>
        </is>
      </c>
      <c r="B599" s="5" t="n">
        <v>418</v>
      </c>
      <c r="C599" s="7" t="inlineStr">
        <is>
          <t>Nº 28120</t>
        </is>
      </c>
      <c r="D599" s="8" t="inlineStr">
        <is>
          <t>WILD CLEAR - FLUROXIPIR 200 EC - (PRINCIPIO ATIVO)</t>
        </is>
      </c>
      <c r="E599" s="7" t="inlineStr">
        <is>
          <t>Embalagem Comercial do Produto</t>
        </is>
      </c>
      <c r="F599" s="7" t="inlineStr">
        <is>
          <t>GRANEL / P.A. (0 KG)</t>
        </is>
      </c>
      <c r="G599" s="7" t="inlineStr">
        <is>
          <t>KG</t>
        </is>
      </c>
      <c r="H599" s="9" t="n">
        <v>0</v>
      </c>
      <c r="I599" s="7" t="inlineStr">
        <is>
          <t>3808.93.29</t>
        </is>
      </c>
      <c r="J599" s="7" t="inlineStr">
        <is>
          <t>NÃO</t>
        </is>
      </c>
      <c r="K599" s="7" t="inlineStr">
        <is>
          <t>Uso Industrial Exclusivo (PGRS / NBR 10004)</t>
        </is>
      </c>
      <c r="L599" s="7" t="inlineStr">
        <is>
          <t>NÃO</t>
        </is>
      </c>
      <c r="M599" s="7" t="inlineStr">
        <is>
          <t>0,00% (Lei nº 10.925/2004)</t>
        </is>
      </c>
      <c r="N599" s="7" t="inlineStr">
        <is>
          <t>0,925% (LC nº 224/2025)</t>
        </is>
      </c>
      <c r="O599" s="7" t="inlineStr">
        <is>
          <t>0,365% (LC nº 224/2025)</t>
        </is>
      </c>
      <c r="P599" s="7" t="inlineStr">
        <is>
          <t>CST 06 (Uso Agrícola/Industrial)</t>
        </is>
      </c>
      <c r="Q599" s="7" t="inlineStr">
        <is>
          <t>CST 73 (Revenda / Destinação)</t>
        </is>
      </c>
      <c r="R599" s="7" t="inlineStr">
        <is>
          <t>Redução de 60% + Diferimento (Art. 138 LC 214/2025)</t>
        </is>
      </c>
    </row>
    <row r="600" ht="22" customHeight="1">
      <c r="A600" s="12" t="inlineStr">
        <is>
          <t>SKU-0596</t>
        </is>
      </c>
      <c r="B600" s="11" t="n">
        <v>418</v>
      </c>
      <c r="C600" s="13" t="inlineStr">
        <is>
          <t>Nº 28120</t>
        </is>
      </c>
      <c r="D600" s="14" t="inlineStr">
        <is>
          <t>WILD CLEAR - FLUROXIPIR 200 EC - (PRINCIPIO ATIVO)</t>
        </is>
      </c>
      <c r="E600" s="13" t="inlineStr">
        <is>
          <t>Faixa 1 TIPI (Apresentação &lt;= 300 g ou mL)</t>
        </is>
      </c>
      <c r="F600" s="13" t="inlineStr">
        <is>
          <t>Fracionado / Amostra &lt;= 0,3 KG</t>
        </is>
      </c>
      <c r="G600" s="13" t="inlineStr">
        <is>
          <t>KG</t>
        </is>
      </c>
      <c r="H600" s="18" t="n">
        <v>0.3</v>
      </c>
      <c r="I600" s="13" t="inlineStr">
        <is>
          <t>3808.93.19</t>
        </is>
      </c>
      <c r="J600" s="13" t="inlineStr">
        <is>
          <t>NÃO</t>
        </is>
      </c>
      <c r="K600" s="13" t="inlineStr">
        <is>
          <t>Uso Industrial Exclusivo (PGRS / NBR 10004)</t>
        </is>
      </c>
      <c r="L600" s="13" t="inlineStr">
        <is>
          <t>NÃO</t>
        </is>
      </c>
      <c r="M600" s="13" t="inlineStr">
        <is>
          <t>0,00% (Lei nº 10.925/2004)</t>
        </is>
      </c>
      <c r="N600" s="13" t="inlineStr">
        <is>
          <t>0,925% (LC nº 224/2025)</t>
        </is>
      </c>
      <c r="O600" s="13" t="inlineStr">
        <is>
          <t>0,365% (LC nº 224/2025)</t>
        </is>
      </c>
      <c r="P600" s="13" t="inlineStr">
        <is>
          <t>CST 06 (Uso Agrícola/Industrial)</t>
        </is>
      </c>
      <c r="Q600" s="13" t="inlineStr">
        <is>
          <t>CST 73 (Revenda / Destinação)</t>
        </is>
      </c>
      <c r="R600" s="13" t="inlineStr">
        <is>
          <t>Redução de 60% + Diferimento (Art. 138 LC 214/2025)</t>
        </is>
      </c>
    </row>
    <row r="601" ht="22" customHeight="1">
      <c r="A601" s="6" t="inlineStr">
        <is>
          <t>SKU-0597</t>
        </is>
      </c>
      <c r="B601" s="5" t="n">
        <v>419</v>
      </c>
      <c r="C601" s="7" t="inlineStr">
        <is>
          <t>Nº 36822</t>
        </is>
      </c>
      <c r="D601" s="8" t="inlineStr">
        <is>
          <t>CLORPIRIFOS 48 EC AGCN</t>
        </is>
      </c>
      <c r="E601" s="7" t="inlineStr">
        <is>
          <t>Embalagem Comercial do Produto</t>
        </is>
      </c>
      <c r="F601" s="7" t="inlineStr">
        <is>
          <t>1X20L (20 L)</t>
        </is>
      </c>
      <c r="G601" s="7" t="inlineStr">
        <is>
          <t>L</t>
        </is>
      </c>
      <c r="H601" s="9" t="n">
        <v>20</v>
      </c>
      <c r="I601" s="7" t="inlineStr">
        <is>
          <t>3808.91.99</t>
        </is>
      </c>
      <c r="J601" s="7" t="inlineStr">
        <is>
          <t>NÃO</t>
        </is>
      </c>
      <c r="K601" s="7" t="inlineStr">
        <is>
          <t>Embalagem Rígida — LAVÁVEL (Obrigatória Tríplice Lavagem ou Pressão)</t>
        </is>
      </c>
      <c r="L601" s="7" t="inlineStr">
        <is>
          <t>NÃO</t>
        </is>
      </c>
      <c r="M601" s="7" t="inlineStr">
        <is>
          <t>0,00% (Lei nº 10.925/2004)</t>
        </is>
      </c>
      <c r="N601" s="7" t="inlineStr">
        <is>
          <t>0,925% (LC nº 224/2025)</t>
        </is>
      </c>
      <c r="O601" s="7" t="inlineStr">
        <is>
          <t>0,365% (LC nº 224/2025)</t>
        </is>
      </c>
      <c r="P601" s="7" t="inlineStr">
        <is>
          <t>CST 06</t>
        </is>
      </c>
      <c r="Q601" s="7" t="inlineStr">
        <is>
          <t>CST 73</t>
        </is>
      </c>
      <c r="R601" s="7" t="inlineStr">
        <is>
          <t>Redução de 60% + Diferimento (Art. 138 e Anexo IX LC 214/2025)</t>
        </is>
      </c>
    </row>
    <row r="602" ht="22" customHeight="1">
      <c r="A602" s="12" t="inlineStr">
        <is>
          <t>SKU-0598</t>
        </is>
      </c>
      <c r="B602" s="11" t="n">
        <v>420</v>
      </c>
      <c r="C602" s="13" t="inlineStr">
        <is>
          <t>Nº 11819</t>
        </is>
      </c>
      <c r="D602" s="14" t="inlineStr">
        <is>
          <t>MANCOZEB 800 WP AGCN</t>
        </is>
      </c>
      <c r="E602" s="13" t="inlineStr">
        <is>
          <t>Embalagem Comercial do Produto</t>
        </is>
      </c>
      <c r="F602" s="13" t="inlineStr">
        <is>
          <t>1X25KG (25 KG)</t>
        </is>
      </c>
      <c r="G602" s="13" t="inlineStr">
        <is>
          <t>KG</t>
        </is>
      </c>
      <c r="H602" s="15" t="n">
        <v>25</v>
      </c>
      <c r="I602" s="13" t="inlineStr">
        <is>
          <t>3808.92.93</t>
        </is>
      </c>
      <c r="J602" s="13" t="inlineStr">
        <is>
          <t>NÃO</t>
        </is>
      </c>
      <c r="K602" s="13" t="inlineStr">
        <is>
          <t>Embalagem Flexível — NÃO LAVÁVEL (Perfurar e usar saco ABNT)</t>
        </is>
      </c>
      <c r="L602" s="13" t="inlineStr">
        <is>
          <t>SIM (Saco Transparente ABNT)</t>
        </is>
      </c>
      <c r="M602" s="13" t="inlineStr">
        <is>
          <t>0,00% (Lei nº 10.925/2004)</t>
        </is>
      </c>
      <c r="N602" s="13" t="inlineStr">
        <is>
          <t>0,925% (LC nº 224/2025)</t>
        </is>
      </c>
      <c r="O602" s="13" t="inlineStr">
        <is>
          <t>0,365% (LC nº 224/2025)</t>
        </is>
      </c>
      <c r="P602" s="13" t="inlineStr">
        <is>
          <t>CST 06</t>
        </is>
      </c>
      <c r="Q602" s="13" t="inlineStr">
        <is>
          <t>CST 73</t>
        </is>
      </c>
      <c r="R602" s="13" t="inlineStr">
        <is>
          <t>Redução de 60% + Diferimento (Art. 138 e Anexo IX LC 214/2025)</t>
        </is>
      </c>
    </row>
    <row r="603" ht="22" customHeight="1">
      <c r="A603" s="6" t="inlineStr">
        <is>
          <t>SKU-0599</t>
        </is>
      </c>
      <c r="B603" s="5" t="n">
        <v>421</v>
      </c>
      <c r="C603" s="7" t="inlineStr">
        <is>
          <t>Nº 10210</t>
        </is>
      </c>
      <c r="D603" s="8" t="inlineStr">
        <is>
          <t>LAMBDA CIALOTRINA 250 EC</t>
        </is>
      </c>
      <c r="E603" s="7" t="inlineStr">
        <is>
          <t>Embalagem Comercial do Produto</t>
        </is>
      </c>
      <c r="F603" s="7" t="inlineStr">
        <is>
          <t>4X5L (5 L)</t>
        </is>
      </c>
      <c r="G603" s="7" t="inlineStr">
        <is>
          <t>L</t>
        </is>
      </c>
      <c r="H603" s="9" t="n">
        <v>5</v>
      </c>
      <c r="I603" s="7" t="inlineStr">
        <is>
          <t>3808.62.90</t>
        </is>
      </c>
      <c r="J603" s="7" t="inlineStr">
        <is>
          <t>SIM</t>
        </is>
      </c>
      <c r="K603" s="7" t="inlineStr">
        <is>
          <t>Embalagem Rígida — LAVÁVEL (Obrigatória Tríplice Lavagem ou Pressão)</t>
        </is>
      </c>
      <c r="L603" s="7" t="inlineStr">
        <is>
          <t>NÃO</t>
        </is>
      </c>
      <c r="M603" s="7" t="inlineStr">
        <is>
          <t>0,00% (Lei nº 10.925/2004)</t>
        </is>
      </c>
      <c r="N603" s="7" t="inlineStr">
        <is>
          <t>0,925% (LC nº 224/2025)</t>
        </is>
      </c>
      <c r="O603" s="7" t="inlineStr">
        <is>
          <t>0,365% (LC nº 224/2025)</t>
        </is>
      </c>
      <c r="P603" s="7" t="inlineStr">
        <is>
          <t>CST 06</t>
        </is>
      </c>
      <c r="Q603" s="7" t="inlineStr">
        <is>
          <t>CST 73</t>
        </is>
      </c>
      <c r="R603" s="7" t="inlineStr">
        <is>
          <t>Redução de 60% + Diferimento (Art. 138 e Anexo IX LC 214/2025)</t>
        </is>
      </c>
    </row>
    <row r="604" ht="22" customHeight="1">
      <c r="A604" s="12" t="inlineStr">
        <is>
          <t>SKU-0600</t>
        </is>
      </c>
      <c r="B604" s="11" t="n">
        <v>421</v>
      </c>
      <c r="C604" s="13" t="inlineStr">
        <is>
          <t>Nº 10210</t>
        </is>
      </c>
      <c r="D604" s="14" t="inlineStr">
        <is>
          <t>LAMBDA CIALOTRINA 250 EC</t>
        </is>
      </c>
      <c r="E604" s="13" t="inlineStr">
        <is>
          <t>Faixa 1 TIPI (Apresentação &lt;= 300 g ou mL)</t>
        </is>
      </c>
      <c r="F604" s="13" t="inlineStr">
        <is>
          <t>Fracionado / Amostra &lt;= 0,3 L</t>
        </is>
      </c>
      <c r="G604" s="13" t="inlineStr">
        <is>
          <t>L</t>
        </is>
      </c>
      <c r="H604" s="18" t="n">
        <v>0.3</v>
      </c>
      <c r="I604" s="13" t="inlineStr">
        <is>
          <t>3808.61.00</t>
        </is>
      </c>
      <c r="J604" s="13" t="inlineStr">
        <is>
          <t>SIM</t>
        </is>
      </c>
      <c r="K604" s="13" t="inlineStr">
        <is>
          <t>Embalagem Rígida — LAVÁVEL (Obrigatória Tríplice Lavagem ou Pressão)</t>
        </is>
      </c>
      <c r="L604" s="13" t="inlineStr">
        <is>
          <t>NÃO</t>
        </is>
      </c>
      <c r="M604" s="13" t="inlineStr">
        <is>
          <t>0,00% (Lei nº 10.925/2004)</t>
        </is>
      </c>
      <c r="N604" s="13" t="inlineStr">
        <is>
          <t>0,925% (LC nº 224/2025)</t>
        </is>
      </c>
      <c r="O604" s="13" t="inlineStr">
        <is>
          <t>0,365% (LC nº 224/2025)</t>
        </is>
      </c>
      <c r="P604" s="13" t="inlineStr">
        <is>
          <t>CST 06</t>
        </is>
      </c>
      <c r="Q604" s="13" t="inlineStr">
        <is>
          <t>CST 73</t>
        </is>
      </c>
      <c r="R604" s="13" t="inlineStr">
        <is>
          <t>Redução de 60% + Diferimento (Art. 138 e Anexo IX LC 214/2025)</t>
        </is>
      </c>
    </row>
    <row r="605" ht="22" customHeight="1">
      <c r="A605" s="6" t="inlineStr">
        <is>
          <t>SKU-0601</t>
        </is>
      </c>
      <c r="B605" s="5" t="n">
        <v>422</v>
      </c>
      <c r="C605" s="7" t="inlineStr">
        <is>
          <t>Nº 1923</t>
        </is>
      </c>
      <c r="D605" s="8" t="inlineStr">
        <is>
          <t>PUPENO-CLOROTAL 580+CIPRO 12,8+TRIFLOXI 30 (P.A)</t>
        </is>
      </c>
      <c r="E605" s="7" t="inlineStr">
        <is>
          <t>Embalagem Comercial do Produto</t>
        </is>
      </c>
      <c r="F605" s="7" t="inlineStr">
        <is>
          <t>GRANEL / P.A. (0 L)</t>
        </is>
      </c>
      <c r="G605" s="7" t="inlineStr">
        <is>
          <t>L</t>
        </is>
      </c>
      <c r="H605" s="9" t="n">
        <v>0</v>
      </c>
      <c r="I605" s="7" t="inlineStr">
        <is>
          <t>3808.92.99</t>
        </is>
      </c>
      <c r="J605" s="7" t="inlineStr">
        <is>
          <t>NÃO</t>
        </is>
      </c>
      <c r="K605" s="7" t="inlineStr">
        <is>
          <t>Uso Industrial Exclusivo (PGRS / NBR 10004)</t>
        </is>
      </c>
      <c r="L605" s="7" t="inlineStr">
        <is>
          <t>NÃO</t>
        </is>
      </c>
      <c r="M605" s="7" t="inlineStr">
        <is>
          <t>0,00% (Lei nº 10.925/2004)</t>
        </is>
      </c>
      <c r="N605" s="7" t="inlineStr">
        <is>
          <t>0,925% (LC nº 224/2025)</t>
        </is>
      </c>
      <c r="O605" s="7" t="inlineStr">
        <is>
          <t>0,365% (LC nº 224/2025)</t>
        </is>
      </c>
      <c r="P605" s="7" t="inlineStr">
        <is>
          <t>CST 06 (Uso Agrícola/Industrial)</t>
        </is>
      </c>
      <c r="Q605" s="7" t="inlineStr">
        <is>
          <t>CST 73 (Revenda / Destinação)</t>
        </is>
      </c>
      <c r="R605" s="7" t="inlineStr">
        <is>
          <t>Redução de 60% + Diferimento (Art. 138 LC 214/2025)</t>
        </is>
      </c>
    </row>
    <row r="606" ht="22" customHeight="1">
      <c r="A606" s="12" t="inlineStr">
        <is>
          <t>SKU-0602</t>
        </is>
      </c>
      <c r="B606" s="11" t="n">
        <v>422</v>
      </c>
      <c r="C606" s="13" t="inlineStr">
        <is>
          <t>Nº 1923</t>
        </is>
      </c>
      <c r="D606" s="14" t="inlineStr">
        <is>
          <t>PUPENO-CLOROTAL 580+CIPRO 12,8+TRIFLOXI 30 (P.A)</t>
        </is>
      </c>
      <c r="E606" s="13" t="inlineStr">
        <is>
          <t>Faixa 1 TIPI (Apresentação &lt;= 300 g ou mL)</t>
        </is>
      </c>
      <c r="F606" s="13" t="inlineStr">
        <is>
          <t>Fracionado / Amostra &lt;= 0,3 L</t>
        </is>
      </c>
      <c r="G606" s="13" t="inlineStr">
        <is>
          <t>L</t>
        </is>
      </c>
      <c r="H606" s="18" t="n">
        <v>0.3</v>
      </c>
      <c r="I606" s="13" t="inlineStr">
        <is>
          <t>3808.92.20</t>
        </is>
      </c>
      <c r="J606" s="13" t="inlineStr">
        <is>
          <t>NÃO</t>
        </is>
      </c>
      <c r="K606" s="13" t="inlineStr">
        <is>
          <t>Uso Industrial Exclusivo (PGRS / NBR 10004)</t>
        </is>
      </c>
      <c r="L606" s="13" t="inlineStr">
        <is>
          <t>NÃO</t>
        </is>
      </c>
      <c r="M606" s="13" t="inlineStr">
        <is>
          <t>0,00% (Lei nº 10.925/2004)</t>
        </is>
      </c>
      <c r="N606" s="13" t="inlineStr">
        <is>
          <t>0,925% (LC nº 224/2025)</t>
        </is>
      </c>
      <c r="O606" s="13" t="inlineStr">
        <is>
          <t>0,365% (LC nº 224/2025)</t>
        </is>
      </c>
      <c r="P606" s="13" t="inlineStr">
        <is>
          <t>CST 06 (Uso Agrícola/Industrial)</t>
        </is>
      </c>
      <c r="Q606" s="13" t="inlineStr">
        <is>
          <t>CST 73 (Revenda / Destinação)</t>
        </is>
      </c>
      <c r="R606" s="13" t="inlineStr">
        <is>
          <t>Redução de 60% + Diferimento (Art. 138 LC 214/2025)</t>
        </is>
      </c>
    </row>
    <row r="607" ht="22" customHeight="1">
      <c r="A607" s="6" t="inlineStr">
        <is>
          <t>SKU-0603</t>
        </is>
      </c>
      <c r="B607" s="5" t="n">
        <v>423</v>
      </c>
      <c r="C607" s="7" t="inlineStr">
        <is>
          <t>Nº 1923</t>
        </is>
      </c>
      <c r="D607" s="8" t="inlineStr">
        <is>
          <t>PARACHUTE-CLOROTAL 580+DIFENO 30+TRIFLOXI 24 (P.A)</t>
        </is>
      </c>
      <c r="E607" s="7" t="inlineStr">
        <is>
          <t>Embalagem Comercial do Produto</t>
        </is>
      </c>
      <c r="F607" s="7" t="inlineStr">
        <is>
          <t>GRANEL / P.A. (0 L)</t>
        </is>
      </c>
      <c r="G607" s="7" t="inlineStr">
        <is>
          <t>L</t>
        </is>
      </c>
      <c r="H607" s="9" t="n">
        <v>0</v>
      </c>
      <c r="I607" s="7" t="inlineStr">
        <is>
          <t>3808.92.99</t>
        </is>
      </c>
      <c r="J607" s="7" t="inlineStr">
        <is>
          <t>NÃO</t>
        </is>
      </c>
      <c r="K607" s="7" t="inlineStr">
        <is>
          <t>Uso Industrial Exclusivo (PGRS / NBR 10004)</t>
        </is>
      </c>
      <c r="L607" s="7" t="inlineStr">
        <is>
          <t>NÃO</t>
        </is>
      </c>
      <c r="M607" s="7" t="inlineStr">
        <is>
          <t>0,00% (Lei nº 10.925/2004)</t>
        </is>
      </c>
      <c r="N607" s="7" t="inlineStr">
        <is>
          <t>0,925% (LC nº 224/2025)</t>
        </is>
      </c>
      <c r="O607" s="7" t="inlineStr">
        <is>
          <t>0,365% (LC nº 224/2025)</t>
        </is>
      </c>
      <c r="P607" s="7" t="inlineStr">
        <is>
          <t>CST 06 (Uso Agrícola/Industrial)</t>
        </is>
      </c>
      <c r="Q607" s="7" t="inlineStr">
        <is>
          <t>CST 73 (Revenda / Destinação)</t>
        </is>
      </c>
      <c r="R607" s="7" t="inlineStr">
        <is>
          <t>Redução de 60% + Diferimento (Art. 138 LC 214/2025)</t>
        </is>
      </c>
    </row>
    <row r="608" ht="22" customHeight="1">
      <c r="A608" s="12" t="inlineStr">
        <is>
          <t>SKU-0604</t>
        </is>
      </c>
      <c r="B608" s="11" t="n">
        <v>423</v>
      </c>
      <c r="C608" s="13" t="inlineStr">
        <is>
          <t>Nº 1923</t>
        </is>
      </c>
      <c r="D608" s="14" t="inlineStr">
        <is>
          <t>PARACHUTE-CLOROTAL 580+DIFENO 30+TRIFLOXI 24 (P.A)</t>
        </is>
      </c>
      <c r="E608" s="13" t="inlineStr">
        <is>
          <t>Faixa 1 TIPI (Apresentação &lt;= 300 g ou mL)</t>
        </is>
      </c>
      <c r="F608" s="13" t="inlineStr">
        <is>
          <t>Fracionado / Amostra &lt;= 0,3 L</t>
        </is>
      </c>
      <c r="G608" s="13" t="inlineStr">
        <is>
          <t>L</t>
        </is>
      </c>
      <c r="H608" s="18" t="n">
        <v>0.3</v>
      </c>
      <c r="I608" s="13" t="inlineStr">
        <is>
          <t>3808.92.20</t>
        </is>
      </c>
      <c r="J608" s="13" t="inlineStr">
        <is>
          <t>NÃO</t>
        </is>
      </c>
      <c r="K608" s="13" t="inlineStr">
        <is>
          <t>Uso Industrial Exclusivo (PGRS / NBR 10004)</t>
        </is>
      </c>
      <c r="L608" s="13" t="inlineStr">
        <is>
          <t>NÃO</t>
        </is>
      </c>
      <c r="M608" s="13" t="inlineStr">
        <is>
          <t>0,00% (Lei nº 10.925/2004)</t>
        </is>
      </c>
      <c r="N608" s="13" t="inlineStr">
        <is>
          <t>0,925% (LC nº 224/2025)</t>
        </is>
      </c>
      <c r="O608" s="13" t="inlineStr">
        <is>
          <t>0,365% (LC nº 224/2025)</t>
        </is>
      </c>
      <c r="P608" s="13" t="inlineStr">
        <is>
          <t>CST 06 (Uso Agrícola/Industrial)</t>
        </is>
      </c>
      <c r="Q608" s="13" t="inlineStr">
        <is>
          <t>CST 73 (Revenda / Destinação)</t>
        </is>
      </c>
      <c r="R608" s="13" t="inlineStr">
        <is>
          <t>Redução de 60% + Diferimento (Art. 138 LC 214/2025)</t>
        </is>
      </c>
    </row>
    <row r="609" ht="22" customHeight="1">
      <c r="A609" s="6" t="inlineStr">
        <is>
          <t>SKU-0605</t>
        </is>
      </c>
      <c r="B609" s="5" t="n">
        <v>424</v>
      </c>
      <c r="C609" s="7" t="inlineStr">
        <is>
          <t>Nº 31422</t>
        </is>
      </c>
      <c r="D609" s="8" t="inlineStr">
        <is>
          <t>ZARPAL</t>
        </is>
      </c>
      <c r="E609" s="7" t="inlineStr">
        <is>
          <t>Embalagem Comercial do Produto</t>
        </is>
      </c>
      <c r="F609" s="7" t="inlineStr">
        <is>
          <t>1X20L (20 L)</t>
        </is>
      </c>
      <c r="G609" s="7" t="inlineStr">
        <is>
          <t>L</t>
        </is>
      </c>
      <c r="H609" s="9" t="n">
        <v>20</v>
      </c>
      <c r="I609" s="7" t="inlineStr">
        <is>
          <t>3808.69.90</t>
        </is>
      </c>
      <c r="J609" s="7" t="inlineStr">
        <is>
          <t>SIM</t>
        </is>
      </c>
      <c r="K609" s="7" t="inlineStr">
        <is>
          <t>Embalagem Rígida — LAVÁVEL (Obrigatória Tríplice Lavagem ou Pressão)</t>
        </is>
      </c>
      <c r="L609" s="7" t="inlineStr">
        <is>
          <t>NÃO</t>
        </is>
      </c>
      <c r="M609" s="7" t="inlineStr">
        <is>
          <t>0,00% (Lei nº 10.925/2004)</t>
        </is>
      </c>
      <c r="N609" s="7" t="inlineStr">
        <is>
          <t>0,925% (LC nº 224/2025)</t>
        </is>
      </c>
      <c r="O609" s="7" t="inlineStr">
        <is>
          <t>0,365% (LC nº 224/2025)</t>
        </is>
      </c>
      <c r="P609" s="7" t="inlineStr">
        <is>
          <t>CST 06</t>
        </is>
      </c>
      <c r="Q609" s="7" t="inlineStr">
        <is>
          <t>CST 73</t>
        </is>
      </c>
      <c r="R609" s="7" t="inlineStr">
        <is>
          <t>Redução de 60% + Diferimento (Art. 138 e Anexo IX LC 214/2025)</t>
        </is>
      </c>
    </row>
    <row r="610" ht="22" customHeight="1">
      <c r="A610" s="12" t="inlineStr">
        <is>
          <t>SKU-0606</t>
        </is>
      </c>
      <c r="B610" s="11" t="n">
        <v>424</v>
      </c>
      <c r="C610" s="13" t="inlineStr">
        <is>
          <t>Nº 31422</t>
        </is>
      </c>
      <c r="D610" s="14" t="inlineStr">
        <is>
          <t>ZARPAL</t>
        </is>
      </c>
      <c r="E610" s="13" t="inlineStr">
        <is>
          <t>Faixa 1 TIPI (Apresentação &lt;= 300 g ou mL)</t>
        </is>
      </c>
      <c r="F610" s="13" t="inlineStr">
        <is>
          <t>Fracionado / Amostra &lt;= 0,3 L</t>
        </is>
      </c>
      <c r="G610" s="13" t="inlineStr">
        <is>
          <t>L</t>
        </is>
      </c>
      <c r="H610" s="18" t="n">
        <v>0.3</v>
      </c>
      <c r="I610" s="13" t="inlineStr">
        <is>
          <t>3808.61.00</t>
        </is>
      </c>
      <c r="J610" s="13" t="inlineStr">
        <is>
          <t>SIM</t>
        </is>
      </c>
      <c r="K610" s="13" t="inlineStr">
        <is>
          <t>Embalagem Rígida — LAVÁVEL (Obrigatória Tríplice Lavagem ou Pressão)</t>
        </is>
      </c>
      <c r="L610" s="13" t="inlineStr">
        <is>
          <t>NÃO</t>
        </is>
      </c>
      <c r="M610" s="13" t="inlineStr">
        <is>
          <t>0,00% (Lei nº 10.925/2004)</t>
        </is>
      </c>
      <c r="N610" s="13" t="inlineStr">
        <is>
          <t>0,925% (LC nº 224/2025)</t>
        </is>
      </c>
      <c r="O610" s="13" t="inlineStr">
        <is>
          <t>0,365% (LC nº 224/2025)</t>
        </is>
      </c>
      <c r="P610" s="13" t="inlineStr">
        <is>
          <t>CST 06</t>
        </is>
      </c>
      <c r="Q610" s="13" t="inlineStr">
        <is>
          <t>CST 73</t>
        </is>
      </c>
      <c r="R610" s="13" t="inlineStr">
        <is>
          <t>Redução de 60% + Diferimento (Art. 138 e Anexo IX LC 214/2025)</t>
        </is>
      </c>
    </row>
    <row r="611" ht="22" customHeight="1">
      <c r="A611" s="6" t="inlineStr">
        <is>
          <t>SKU-0607</t>
        </is>
      </c>
      <c r="B611" s="5" t="n">
        <v>425</v>
      </c>
      <c r="C611" s="7" t="inlineStr">
        <is>
          <t>Nº 3307</t>
        </is>
      </c>
      <c r="D611" s="8" t="inlineStr">
        <is>
          <t>BIFENTRINA 400 EC</t>
        </is>
      </c>
      <c r="E611" s="7" t="inlineStr">
        <is>
          <t>Embalagem Comercial do Produto</t>
        </is>
      </c>
      <c r="F611" s="7" t="inlineStr">
        <is>
          <t>1X20L (20 L)</t>
        </is>
      </c>
      <c r="G611" s="7" t="inlineStr">
        <is>
          <t>L</t>
        </is>
      </c>
      <c r="H611" s="9" t="n">
        <v>20</v>
      </c>
      <c r="I611" s="7" t="inlineStr">
        <is>
          <t>3808.69.90</t>
        </is>
      </c>
      <c r="J611" s="7" t="inlineStr">
        <is>
          <t>SIM</t>
        </is>
      </c>
      <c r="K611" s="7" t="inlineStr">
        <is>
          <t>Embalagem Rígida — LAVÁVEL (Obrigatória Tríplice Lavagem ou Pressão)</t>
        </is>
      </c>
      <c r="L611" s="7" t="inlineStr">
        <is>
          <t>NÃO</t>
        </is>
      </c>
      <c r="M611" s="7" t="inlineStr">
        <is>
          <t>0,00% (Lei nº 10.925/2004)</t>
        </is>
      </c>
      <c r="N611" s="7" t="inlineStr">
        <is>
          <t>0,925% (LC nº 224/2025)</t>
        </is>
      </c>
      <c r="O611" s="7" t="inlineStr">
        <is>
          <t>0,365% (LC nº 224/2025)</t>
        </is>
      </c>
      <c r="P611" s="7" t="inlineStr">
        <is>
          <t>CST 06</t>
        </is>
      </c>
      <c r="Q611" s="7" t="inlineStr">
        <is>
          <t>CST 73</t>
        </is>
      </c>
      <c r="R611" s="7" t="inlineStr">
        <is>
          <t>Redução de 60% + Diferimento (Art. 138 e Anexo IX LC 214/2025)</t>
        </is>
      </c>
    </row>
    <row r="612" ht="22" customHeight="1">
      <c r="A612" s="12" t="inlineStr">
        <is>
          <t>SKU-0608</t>
        </is>
      </c>
      <c r="B612" s="11" t="n">
        <v>425</v>
      </c>
      <c r="C612" s="13" t="inlineStr">
        <is>
          <t>Nº 3307</t>
        </is>
      </c>
      <c r="D612" s="14" t="inlineStr">
        <is>
          <t>BIFENTRINA 400 EC</t>
        </is>
      </c>
      <c r="E612" s="13" t="inlineStr">
        <is>
          <t>Faixa 1 TIPI (Apresentação &lt;= 300 g ou mL)</t>
        </is>
      </c>
      <c r="F612" s="13" t="inlineStr">
        <is>
          <t>Fracionado / Amostra &lt;= 0,3 L</t>
        </is>
      </c>
      <c r="G612" s="13" t="inlineStr">
        <is>
          <t>L</t>
        </is>
      </c>
      <c r="H612" s="18" t="n">
        <v>0.3</v>
      </c>
      <c r="I612" s="13" t="inlineStr">
        <is>
          <t>3808.61.00</t>
        </is>
      </c>
      <c r="J612" s="13" t="inlineStr">
        <is>
          <t>SIM</t>
        </is>
      </c>
      <c r="K612" s="13" t="inlineStr">
        <is>
          <t>Embalagem Rígida — LAVÁVEL (Obrigatória Tríplice Lavagem ou Pressão)</t>
        </is>
      </c>
      <c r="L612" s="13" t="inlineStr">
        <is>
          <t>NÃO</t>
        </is>
      </c>
      <c r="M612" s="13" t="inlineStr">
        <is>
          <t>0,00% (Lei nº 10.925/2004)</t>
        </is>
      </c>
      <c r="N612" s="13" t="inlineStr">
        <is>
          <t>0,925% (LC nº 224/2025)</t>
        </is>
      </c>
      <c r="O612" s="13" t="inlineStr">
        <is>
          <t>0,365% (LC nº 224/2025)</t>
        </is>
      </c>
      <c r="P612" s="13" t="inlineStr">
        <is>
          <t>CST 06</t>
        </is>
      </c>
      <c r="Q612" s="13" t="inlineStr">
        <is>
          <t>CST 73</t>
        </is>
      </c>
      <c r="R612" s="13" t="inlineStr">
        <is>
          <t>Redução de 60% + Diferimento (Art. 138 e Anexo IX LC 214/2025)</t>
        </is>
      </c>
    </row>
    <row r="613" ht="22" customHeight="1">
      <c r="A613" s="6" t="inlineStr">
        <is>
          <t>SKU-0609</t>
        </is>
      </c>
      <c r="B613" s="5" t="n">
        <v>426</v>
      </c>
      <c r="C613" s="7" t="inlineStr">
        <is>
          <t>Nº 36822</t>
        </is>
      </c>
      <c r="D613" s="8" t="inlineStr">
        <is>
          <t>CLORPIRIFOS 48 EC AGCN</t>
        </is>
      </c>
      <c r="E613" s="7" t="inlineStr">
        <is>
          <t>Embalagem Comercial do Produto</t>
        </is>
      </c>
      <c r="F613" s="7" t="inlineStr">
        <is>
          <t>1X20L (20 L)</t>
        </is>
      </c>
      <c r="G613" s="7" t="inlineStr">
        <is>
          <t>L</t>
        </is>
      </c>
      <c r="H613" s="9" t="n">
        <v>20</v>
      </c>
      <c r="I613" s="7" t="inlineStr">
        <is>
          <t>3808.91.99</t>
        </is>
      </c>
      <c r="J613" s="7" t="inlineStr">
        <is>
          <t>NÃO</t>
        </is>
      </c>
      <c r="K613" s="7" t="inlineStr">
        <is>
          <t>Embalagem Rígida — LAVÁVEL (Obrigatória Tríplice Lavagem ou Pressão)</t>
        </is>
      </c>
      <c r="L613" s="7" t="inlineStr">
        <is>
          <t>NÃO</t>
        </is>
      </c>
      <c r="M613" s="7" t="inlineStr">
        <is>
          <t>0,00% (Lei nº 10.925/2004)</t>
        </is>
      </c>
      <c r="N613" s="7" t="inlineStr">
        <is>
          <t>0,925% (LC nº 224/2025)</t>
        </is>
      </c>
      <c r="O613" s="7" t="inlineStr">
        <is>
          <t>0,365% (LC nº 224/2025)</t>
        </is>
      </c>
      <c r="P613" s="7" t="inlineStr">
        <is>
          <t>CST 06</t>
        </is>
      </c>
      <c r="Q613" s="7" t="inlineStr">
        <is>
          <t>CST 73</t>
        </is>
      </c>
      <c r="R613" s="7" t="inlineStr">
        <is>
          <t>Redução de 60% + Diferimento (Art. 138 e Anexo IX LC 214/2025)</t>
        </is>
      </c>
    </row>
    <row r="614" ht="22" customHeight="1">
      <c r="A614" s="12" t="inlineStr">
        <is>
          <t>SKU-0610</t>
        </is>
      </c>
      <c r="B614" s="11" t="n">
        <v>427</v>
      </c>
      <c r="C614" s="13" t="inlineStr">
        <is>
          <t>Nº 27717</t>
        </is>
      </c>
      <c r="D614" s="14" t="inlineStr">
        <is>
          <t>FIPRONIL 800 WG AGCN</t>
        </is>
      </c>
      <c r="E614" s="13" t="inlineStr">
        <is>
          <t>Embalagem Comercial do Produto</t>
        </is>
      </c>
      <c r="F614" s="13" t="inlineStr">
        <is>
          <t>4X5KG (5 KG)</t>
        </is>
      </c>
      <c r="G614" s="13" t="inlineStr">
        <is>
          <t>KG</t>
        </is>
      </c>
      <c r="H614" s="15" t="n">
        <v>5</v>
      </c>
      <c r="I614" s="13" t="inlineStr">
        <is>
          <t>3808.91.99</t>
        </is>
      </c>
      <c r="J614" s="13" t="inlineStr">
        <is>
          <t>NÃO</t>
        </is>
      </c>
      <c r="K614" s="13" t="inlineStr">
        <is>
          <t>Embalagem Flexível — NÃO LAVÁVEL (Perfurar e usar saco ABNT)</t>
        </is>
      </c>
      <c r="L614" s="13" t="inlineStr">
        <is>
          <t>SIM (Saco Transparente ABNT)</t>
        </is>
      </c>
      <c r="M614" s="13" t="inlineStr">
        <is>
          <t>0,00% (Lei nº 10.925/2004)</t>
        </is>
      </c>
      <c r="N614" s="13" t="inlineStr">
        <is>
          <t>0,925% (LC nº 224/2025)</t>
        </is>
      </c>
      <c r="O614" s="13" t="inlineStr">
        <is>
          <t>0,365% (LC nº 224/2025)</t>
        </is>
      </c>
      <c r="P614" s="13" t="inlineStr">
        <is>
          <t>CST 06</t>
        </is>
      </c>
      <c r="Q614" s="13" t="inlineStr">
        <is>
          <t>CST 73</t>
        </is>
      </c>
      <c r="R614" s="13" t="inlineStr">
        <is>
          <t>Redução de 60% + Diferimento (Art. 138 e Anexo IX LC 214/2025)</t>
        </is>
      </c>
    </row>
    <row r="615" ht="22" customHeight="1">
      <c r="A615" s="6" t="inlineStr">
        <is>
          <t>SKU-0611</t>
        </is>
      </c>
      <c r="B615" s="5" t="n">
        <v>428</v>
      </c>
      <c r="C615" s="7" t="inlineStr">
        <is>
          <t>Nº 24824</t>
        </is>
      </c>
      <c r="D615" s="8" t="inlineStr">
        <is>
          <t>CARFENTRAZONE 400 EC</t>
        </is>
      </c>
      <c r="E615" s="7" t="inlineStr">
        <is>
          <t>Embalagem Comercial do Produto</t>
        </is>
      </c>
      <c r="F615" s="7" t="inlineStr">
        <is>
          <t>4X5L (5 L)</t>
        </is>
      </c>
      <c r="G615" s="7" t="inlineStr">
        <is>
          <t>L</t>
        </is>
      </c>
      <c r="H615" s="9" t="n">
        <v>5</v>
      </c>
      <c r="I615" s="7" t="inlineStr">
        <is>
          <t>3808.93.29</t>
        </is>
      </c>
      <c r="J615" s="7" t="inlineStr">
        <is>
          <t>NÃO</t>
        </is>
      </c>
      <c r="K615" s="7" t="inlineStr">
        <is>
          <t>Embalagem Rígida — LAVÁVEL (Obrigatória Tríplice Lavagem ou Pressão)</t>
        </is>
      </c>
      <c r="L615" s="7" t="inlineStr">
        <is>
          <t>NÃO</t>
        </is>
      </c>
      <c r="M615" s="7" t="inlineStr">
        <is>
          <t>0,00% (Lei nº 10.925/2004)</t>
        </is>
      </c>
      <c r="N615" s="7" t="inlineStr">
        <is>
          <t>0,925% (LC nº 224/2025)</t>
        </is>
      </c>
      <c r="O615" s="7" t="inlineStr">
        <is>
          <t>0,365% (LC nº 224/2025)</t>
        </is>
      </c>
      <c r="P615" s="7" t="inlineStr">
        <is>
          <t>CST 06</t>
        </is>
      </c>
      <c r="Q615" s="7" t="inlineStr">
        <is>
          <t>CST 73</t>
        </is>
      </c>
      <c r="R615" s="7" t="inlineStr">
        <is>
          <t>Redução de 60% + Diferimento (Art. 138 e Anexo IX LC 214/2025)</t>
        </is>
      </c>
    </row>
    <row r="616" ht="22" customHeight="1">
      <c r="A616" s="12" t="inlineStr">
        <is>
          <t>SKU-0612</t>
        </is>
      </c>
      <c r="B616" s="11" t="n">
        <v>429</v>
      </c>
      <c r="C616" s="13" t="inlineStr">
        <is>
          <t>Nº 24824</t>
        </is>
      </c>
      <c r="D616" s="14" t="inlineStr">
        <is>
          <t>CARFENTRAZONE 400 EC1X20L (VALIDAR)</t>
        </is>
      </c>
      <c r="E616" s="13" t="inlineStr">
        <is>
          <t>Embalagem Comercial do Produto</t>
        </is>
      </c>
      <c r="F616" s="13" t="inlineStr">
        <is>
          <t>1X20L (20 L)</t>
        </is>
      </c>
      <c r="G616" s="13" t="inlineStr">
        <is>
          <t>L</t>
        </is>
      </c>
      <c r="H616" s="15" t="n">
        <v>20</v>
      </c>
      <c r="I616" s="13" t="inlineStr">
        <is>
          <t>3808.93.29</t>
        </is>
      </c>
      <c r="J616" s="13" t="inlineStr">
        <is>
          <t>NÃO</t>
        </is>
      </c>
      <c r="K616" s="13" t="inlineStr">
        <is>
          <t>Embalagem Rígida — LAVÁVEL (Obrigatória Tríplice Lavagem ou Pressão)</t>
        </is>
      </c>
      <c r="L616" s="13" t="inlineStr">
        <is>
          <t>NÃO</t>
        </is>
      </c>
      <c r="M616" s="13" t="inlineStr">
        <is>
          <t>0,00% (Lei nº 10.925/2004)</t>
        </is>
      </c>
      <c r="N616" s="13" t="inlineStr">
        <is>
          <t>0,925% (LC nº 224/2025)</t>
        </is>
      </c>
      <c r="O616" s="13" t="inlineStr">
        <is>
          <t>0,365% (LC nº 224/2025)</t>
        </is>
      </c>
      <c r="P616" s="13" t="inlineStr">
        <is>
          <t>CST 06</t>
        </is>
      </c>
      <c r="Q616" s="13" t="inlineStr">
        <is>
          <t>CST 73</t>
        </is>
      </c>
      <c r="R616" s="13" t="inlineStr">
        <is>
          <t>Redução de 60% + Diferimento (Art. 138 e Anexo IX LC 214/2025)</t>
        </is>
      </c>
    </row>
    <row r="617" ht="22" customHeight="1">
      <c r="A617" s="6" t="inlineStr">
        <is>
          <t>SKU-0613</t>
        </is>
      </c>
      <c r="B617" s="5" t="n">
        <v>430</v>
      </c>
      <c r="C617" s="7" t="inlineStr">
        <is>
          <t>Nº 16607</t>
        </is>
      </c>
      <c r="D617" s="8" t="inlineStr">
        <is>
          <t>CAMPEON</t>
        </is>
      </c>
      <c r="E617" s="7" t="inlineStr">
        <is>
          <t>Embalagem Comercial do Produto</t>
        </is>
      </c>
      <c r="F617" s="7" t="inlineStr">
        <is>
          <t>1X20L (20 L)</t>
        </is>
      </c>
      <c r="G617" s="7" t="inlineStr">
        <is>
          <t>L</t>
        </is>
      </c>
      <c r="H617" s="9" t="n">
        <v>20</v>
      </c>
      <c r="I617" s="7" t="inlineStr">
        <is>
          <t>3808.93.22</t>
        </is>
      </c>
      <c r="J617" s="7" t="inlineStr">
        <is>
          <t>NÃO</t>
        </is>
      </c>
      <c r="K617" s="7" t="inlineStr">
        <is>
          <t>Embalagem Rígida — LAVÁVEL (Obrigatória Tríplice Lavagem ou Pressão)</t>
        </is>
      </c>
      <c r="L617" s="7" t="inlineStr">
        <is>
          <t>NÃO</t>
        </is>
      </c>
      <c r="M617" s="7" t="inlineStr">
        <is>
          <t>0,00% (Lei nº 10.925/2004)</t>
        </is>
      </c>
      <c r="N617" s="7" t="inlineStr">
        <is>
          <t>0,925% (LC nº 224/2025)</t>
        </is>
      </c>
      <c r="O617" s="7" t="inlineStr">
        <is>
          <t>0,365% (LC nº 224/2025)</t>
        </is>
      </c>
      <c r="P617" s="7" t="inlineStr">
        <is>
          <t>CST 06</t>
        </is>
      </c>
      <c r="Q617" s="7" t="inlineStr">
        <is>
          <t>CST 73</t>
        </is>
      </c>
      <c r="R617" s="7" t="inlineStr">
        <is>
          <t>Redução de 60% + Diferimento (Art. 138 e Anexo IX LC 214/2025)</t>
        </is>
      </c>
    </row>
    <row r="618" ht="22" customHeight="1">
      <c r="A618" s="12" t="inlineStr">
        <is>
          <t>SKU-0614</t>
        </is>
      </c>
      <c r="B618" s="11" t="n">
        <v>431</v>
      </c>
      <c r="C618" s="13" t="inlineStr">
        <is>
          <t>Nº 1923</t>
        </is>
      </c>
      <c r="D618" s="14" t="inlineStr">
        <is>
          <t>PARACHUTE</t>
        </is>
      </c>
      <c r="E618" s="13" t="inlineStr">
        <is>
          <t>Embalagem Comercial do Produto</t>
        </is>
      </c>
      <c r="F618" s="13" t="inlineStr">
        <is>
          <t>4X5L (5 L)</t>
        </is>
      </c>
      <c r="G618" s="13" t="inlineStr">
        <is>
          <t>L</t>
        </is>
      </c>
      <c r="H618" s="15" t="n">
        <v>5</v>
      </c>
      <c r="I618" s="13" t="inlineStr">
        <is>
          <t>3808.92.99</t>
        </is>
      </c>
      <c r="J618" s="13" t="inlineStr">
        <is>
          <t>NÃO</t>
        </is>
      </c>
      <c r="K618" s="13" t="inlineStr">
        <is>
          <t>Embalagem Rígida — LAVÁVEL (Obrigatória Tríplice Lavagem ou Pressão)</t>
        </is>
      </c>
      <c r="L618" s="13" t="inlineStr">
        <is>
          <t>NÃO</t>
        </is>
      </c>
      <c r="M618" s="13" t="inlineStr">
        <is>
          <t>0,00% (Lei nº 10.925/2004)</t>
        </is>
      </c>
      <c r="N618" s="13" t="inlineStr">
        <is>
          <t>0,925% (LC nº 224/2025)</t>
        </is>
      </c>
      <c r="O618" s="13" t="inlineStr">
        <is>
          <t>0,365% (LC nº 224/2025)</t>
        </is>
      </c>
      <c r="P618" s="13" t="inlineStr">
        <is>
          <t>CST 06</t>
        </is>
      </c>
      <c r="Q618" s="13" t="inlineStr">
        <is>
          <t>CST 73</t>
        </is>
      </c>
      <c r="R618" s="13" t="inlineStr">
        <is>
          <t>Redução de 60% + Diferimento (Art. 138 e Anexo IX LC 214/2025)</t>
        </is>
      </c>
    </row>
    <row r="619" ht="22" customHeight="1">
      <c r="A619" s="6" t="inlineStr">
        <is>
          <t>SKU-0615</t>
        </is>
      </c>
      <c r="B619" s="5" t="n">
        <v>431</v>
      </c>
      <c r="C619" s="7" t="inlineStr">
        <is>
          <t>Nº 1923</t>
        </is>
      </c>
      <c r="D619" s="8" t="inlineStr">
        <is>
          <t>PARACHUTE</t>
        </is>
      </c>
      <c r="E619" s="7" t="inlineStr">
        <is>
          <t>Faixa 1 TIPI (Apresentação &lt;= 300 g ou mL)</t>
        </is>
      </c>
      <c r="F619" s="7" t="inlineStr">
        <is>
          <t>Fracionado / Amostra &lt;= 0,3 L</t>
        </is>
      </c>
      <c r="G619" s="7" t="inlineStr">
        <is>
          <t>L</t>
        </is>
      </c>
      <c r="H619" s="17" t="n">
        <v>0.3</v>
      </c>
      <c r="I619" s="7" t="inlineStr">
        <is>
          <t>3808.92.20</t>
        </is>
      </c>
      <c r="J619" s="7" t="inlineStr">
        <is>
          <t>NÃO</t>
        </is>
      </c>
      <c r="K619" s="7" t="inlineStr">
        <is>
          <t>Embalagem Rígida — LAVÁVEL (Obrigatória Tríplice Lavagem ou Pressão)</t>
        </is>
      </c>
      <c r="L619" s="7" t="inlineStr">
        <is>
          <t>NÃO</t>
        </is>
      </c>
      <c r="M619" s="7" t="inlineStr">
        <is>
          <t>0,00% (Lei nº 10.925/2004)</t>
        </is>
      </c>
      <c r="N619" s="7" t="inlineStr">
        <is>
          <t>0,925% (LC nº 224/2025)</t>
        </is>
      </c>
      <c r="O619" s="7" t="inlineStr">
        <is>
          <t>0,365% (LC nº 224/2025)</t>
        </is>
      </c>
      <c r="P619" s="7" t="inlineStr">
        <is>
          <t>CST 06</t>
        </is>
      </c>
      <c r="Q619" s="7" t="inlineStr">
        <is>
          <t>CST 73</t>
        </is>
      </c>
      <c r="R619" s="7" t="inlineStr">
        <is>
          <t>Redução de 60% + Diferimento (Art. 138 e Anexo IX LC 214/2025)</t>
        </is>
      </c>
    </row>
    <row r="620" ht="22" customHeight="1">
      <c r="A620" s="12" t="inlineStr">
        <is>
          <t>SKU-0616</t>
        </is>
      </c>
      <c r="B620" s="11" t="n">
        <v>432</v>
      </c>
      <c r="C620" s="13" t="inlineStr">
        <is>
          <t>Nº 1923</t>
        </is>
      </c>
      <c r="D620" s="14" t="inlineStr">
        <is>
          <t>PARACHUTE</t>
        </is>
      </c>
      <c r="E620" s="13" t="inlineStr">
        <is>
          <t>Embalagem Comercial do Produto</t>
        </is>
      </c>
      <c r="F620" s="13" t="inlineStr">
        <is>
          <t>2X10L (10 L)</t>
        </is>
      </c>
      <c r="G620" s="13" t="inlineStr">
        <is>
          <t>L</t>
        </is>
      </c>
      <c r="H620" s="15" t="n">
        <v>10</v>
      </c>
      <c r="I620" s="13" t="inlineStr">
        <is>
          <t>3808.92.99</t>
        </is>
      </c>
      <c r="J620" s="13" t="inlineStr">
        <is>
          <t>NÃO</t>
        </is>
      </c>
      <c r="K620" s="13" t="inlineStr">
        <is>
          <t>Embalagem Rígida — LAVÁVEL (Obrigatória Tríplice Lavagem ou Pressão)</t>
        </is>
      </c>
      <c r="L620" s="13" t="inlineStr">
        <is>
          <t>NÃO</t>
        </is>
      </c>
      <c r="M620" s="13" t="inlineStr">
        <is>
          <t>0,00% (Lei nº 10.925/2004)</t>
        </is>
      </c>
      <c r="N620" s="13" t="inlineStr">
        <is>
          <t>0,925% (LC nº 224/2025)</t>
        </is>
      </c>
      <c r="O620" s="13" t="inlineStr">
        <is>
          <t>0,365% (LC nº 224/2025)</t>
        </is>
      </c>
      <c r="P620" s="13" t="inlineStr">
        <is>
          <t>CST 06</t>
        </is>
      </c>
      <c r="Q620" s="13" t="inlineStr">
        <is>
          <t>CST 73</t>
        </is>
      </c>
      <c r="R620" s="13" t="inlineStr">
        <is>
          <t>Redução de 60% + Diferimento (Art. 138 e Anexo IX LC 214/2025)</t>
        </is>
      </c>
    </row>
    <row r="621" ht="22" customHeight="1">
      <c r="A621" s="6" t="inlineStr">
        <is>
          <t>SKU-0617</t>
        </is>
      </c>
      <c r="B621" s="5" t="n">
        <v>432</v>
      </c>
      <c r="C621" s="7" t="inlineStr">
        <is>
          <t>Nº 1923</t>
        </is>
      </c>
      <c r="D621" s="8" t="inlineStr">
        <is>
          <t>PARACHUTE</t>
        </is>
      </c>
      <c r="E621" s="7" t="inlineStr">
        <is>
          <t>Faixa 1 TIPI (Apresentação &lt;= 300 g ou mL)</t>
        </is>
      </c>
      <c r="F621" s="7" t="inlineStr">
        <is>
          <t>Fracionado / Amostra &lt;= 0,3 L</t>
        </is>
      </c>
      <c r="G621" s="7" t="inlineStr">
        <is>
          <t>L</t>
        </is>
      </c>
      <c r="H621" s="17" t="n">
        <v>0.3</v>
      </c>
      <c r="I621" s="7" t="inlineStr">
        <is>
          <t>3808.92.20</t>
        </is>
      </c>
      <c r="J621" s="7" t="inlineStr">
        <is>
          <t>NÃO</t>
        </is>
      </c>
      <c r="K621" s="7" t="inlineStr">
        <is>
          <t>Embalagem Rígida — LAVÁVEL (Obrigatória Tríplice Lavagem ou Pressão)</t>
        </is>
      </c>
      <c r="L621" s="7" t="inlineStr">
        <is>
          <t>NÃO</t>
        </is>
      </c>
      <c r="M621" s="7" t="inlineStr">
        <is>
          <t>0,00% (Lei nº 10.925/2004)</t>
        </is>
      </c>
      <c r="N621" s="7" t="inlineStr">
        <is>
          <t>0,925% (LC nº 224/2025)</t>
        </is>
      </c>
      <c r="O621" s="7" t="inlineStr">
        <is>
          <t>0,365% (LC nº 224/2025)</t>
        </is>
      </c>
      <c r="P621" s="7" t="inlineStr">
        <is>
          <t>CST 06</t>
        </is>
      </c>
      <c r="Q621" s="7" t="inlineStr">
        <is>
          <t>CST 73</t>
        </is>
      </c>
      <c r="R621" s="7" t="inlineStr">
        <is>
          <t>Redução de 60% + Diferimento (Art. 138 e Anexo IX LC 214/2025)</t>
        </is>
      </c>
    </row>
    <row r="622" ht="22" customHeight="1">
      <c r="A622" s="12" t="inlineStr">
        <is>
          <t>SKU-0618</t>
        </is>
      </c>
      <c r="B622" s="11" t="n">
        <v>433</v>
      </c>
      <c r="C622" s="13" t="inlineStr">
        <is>
          <t>Nº 15716</t>
        </is>
      </c>
      <c r="D622" s="14" t="inlineStr">
        <is>
          <t>DIFCOR 250 EC BR</t>
        </is>
      </c>
      <c r="E622" s="13" t="inlineStr">
        <is>
          <t>Embalagem Comercial do Produto</t>
        </is>
      </c>
      <c r="F622" s="13" t="inlineStr">
        <is>
          <t>4X5L (5 L)</t>
        </is>
      </c>
      <c r="G622" s="13" t="inlineStr">
        <is>
          <t>L</t>
        </is>
      </c>
      <c r="H622" s="15" t="n">
        <v>5</v>
      </c>
      <c r="I622" s="13" t="inlineStr">
        <is>
          <t>3808.92.99</t>
        </is>
      </c>
      <c r="J622" s="13" t="inlineStr">
        <is>
          <t>NÃO</t>
        </is>
      </c>
      <c r="K622" s="13" t="inlineStr">
        <is>
          <t>Embalagem Rígida — LAVÁVEL (Obrigatória Tríplice Lavagem ou Pressão)</t>
        </is>
      </c>
      <c r="L622" s="13" t="inlineStr">
        <is>
          <t>NÃO</t>
        </is>
      </c>
      <c r="M622" s="13" t="inlineStr">
        <is>
          <t>0,00% (Lei nº 10.925/2004)</t>
        </is>
      </c>
      <c r="N622" s="13" t="inlineStr">
        <is>
          <t>0,925% (LC nº 224/2025)</t>
        </is>
      </c>
      <c r="O622" s="13" t="inlineStr">
        <is>
          <t>0,365% (LC nº 224/2025)</t>
        </is>
      </c>
      <c r="P622" s="13" t="inlineStr">
        <is>
          <t>CST 06</t>
        </is>
      </c>
      <c r="Q622" s="13" t="inlineStr">
        <is>
          <t>CST 73</t>
        </is>
      </c>
      <c r="R622" s="13" t="inlineStr">
        <is>
          <t>Redução de 60% + Diferimento (Art. 138 e Anexo IX LC 214/2025)</t>
        </is>
      </c>
    </row>
    <row r="623" ht="22" customHeight="1">
      <c r="A623" s="6" t="inlineStr">
        <is>
          <t>SKU-0619</t>
        </is>
      </c>
      <c r="B623" s="5" t="n">
        <v>434</v>
      </c>
      <c r="C623" s="7" t="inlineStr">
        <is>
          <t>Nº 40624</t>
        </is>
      </c>
      <c r="D623" s="8" t="inlineStr">
        <is>
          <t>CHLORPYRIFOS 480 EC AGCN</t>
        </is>
      </c>
      <c r="E623" s="7" t="inlineStr">
        <is>
          <t>Embalagem Comercial do Produto</t>
        </is>
      </c>
      <c r="F623" s="7" t="inlineStr">
        <is>
          <t>1X20L (20 L)</t>
        </is>
      </c>
      <c r="G623" s="7" t="inlineStr">
        <is>
          <t>L</t>
        </is>
      </c>
      <c r="H623" s="9" t="n">
        <v>20</v>
      </c>
      <c r="I623" s="7" t="inlineStr">
        <is>
          <t>3808.91.99</t>
        </is>
      </c>
      <c r="J623" s="7" t="inlineStr">
        <is>
          <t>NÃO</t>
        </is>
      </c>
      <c r="K623" s="7" t="inlineStr">
        <is>
          <t>Embalagem Rígida — LAVÁVEL (Obrigatória Tríplice Lavagem ou Pressão)</t>
        </is>
      </c>
      <c r="L623" s="7" t="inlineStr">
        <is>
          <t>NÃO</t>
        </is>
      </c>
      <c r="M623" s="7" t="inlineStr">
        <is>
          <t>0,00% (Lei nº 10.925/2004)</t>
        </is>
      </c>
      <c r="N623" s="7" t="inlineStr">
        <is>
          <t>0,925% (LC nº 224/2025)</t>
        </is>
      </c>
      <c r="O623" s="7" t="inlineStr">
        <is>
          <t>0,365% (LC nº 224/2025)</t>
        </is>
      </c>
      <c r="P623" s="7" t="inlineStr">
        <is>
          <t>CST 06</t>
        </is>
      </c>
      <c r="Q623" s="7" t="inlineStr">
        <is>
          <t>CST 73</t>
        </is>
      </c>
      <c r="R623" s="7" t="inlineStr">
        <is>
          <t>Redução de 60% + Diferimento (Art. 138 e Anexo IX LC 214/2025)</t>
        </is>
      </c>
    </row>
    <row r="624" ht="22" customHeight="1">
      <c r="A624" s="12" t="inlineStr">
        <is>
          <t>SKU-0620</t>
        </is>
      </c>
      <c r="B624" s="11" t="n">
        <v>435</v>
      </c>
      <c r="C624" s="13" t="inlineStr">
        <is>
          <t>Nº 31422</t>
        </is>
      </c>
      <c r="D624" s="14" t="inlineStr">
        <is>
          <t>ZARPAL</t>
        </is>
      </c>
      <c r="E624" s="13" t="inlineStr">
        <is>
          <t>Embalagem Comercial do Produto</t>
        </is>
      </c>
      <c r="F624" s="13" t="inlineStr">
        <is>
          <t>4X5L (5 L)</t>
        </is>
      </c>
      <c r="G624" s="13" t="inlineStr">
        <is>
          <t>L</t>
        </is>
      </c>
      <c r="H624" s="15" t="n">
        <v>5</v>
      </c>
      <c r="I624" s="13" t="inlineStr">
        <is>
          <t>3808.62.90</t>
        </is>
      </c>
      <c r="J624" s="13" t="inlineStr">
        <is>
          <t>SIM</t>
        </is>
      </c>
      <c r="K624" s="13" t="inlineStr">
        <is>
          <t>Embalagem Rígida — LAVÁVEL (Obrigatória Tríplice Lavagem ou Pressão)</t>
        </is>
      </c>
      <c r="L624" s="13" t="inlineStr">
        <is>
          <t>NÃO</t>
        </is>
      </c>
      <c r="M624" s="13" t="inlineStr">
        <is>
          <t>0,00% (Lei nº 10.925/2004)</t>
        </is>
      </c>
      <c r="N624" s="13" t="inlineStr">
        <is>
          <t>0,925% (LC nº 224/2025)</t>
        </is>
      </c>
      <c r="O624" s="13" t="inlineStr">
        <is>
          <t>0,365% (LC nº 224/2025)</t>
        </is>
      </c>
      <c r="P624" s="13" t="inlineStr">
        <is>
          <t>CST 06</t>
        </is>
      </c>
      <c r="Q624" s="13" t="inlineStr">
        <is>
          <t>CST 73</t>
        </is>
      </c>
      <c r="R624" s="13" t="inlineStr">
        <is>
          <t>Redução de 60% + Diferimento (Art. 138 e Anexo IX LC 214/2025)</t>
        </is>
      </c>
    </row>
    <row r="625" ht="22" customHeight="1">
      <c r="A625" s="6" t="inlineStr">
        <is>
          <t>SKU-0621</t>
        </is>
      </c>
      <c r="B625" s="5" t="n">
        <v>435</v>
      </c>
      <c r="C625" s="7" t="inlineStr">
        <is>
          <t>Nº 31422</t>
        </is>
      </c>
      <c r="D625" s="8" t="inlineStr">
        <is>
          <t>ZARPAL</t>
        </is>
      </c>
      <c r="E625" s="7" t="inlineStr">
        <is>
          <t>Faixa 1 TIPI (Apresentação &lt;= 300 g ou mL)</t>
        </is>
      </c>
      <c r="F625" s="7" t="inlineStr">
        <is>
          <t>Fracionado / Amostra &lt;= 0,3 L</t>
        </is>
      </c>
      <c r="G625" s="7" t="inlineStr">
        <is>
          <t>L</t>
        </is>
      </c>
      <c r="H625" s="17" t="n">
        <v>0.3</v>
      </c>
      <c r="I625" s="7" t="inlineStr">
        <is>
          <t>3808.61.00</t>
        </is>
      </c>
      <c r="J625" s="7" t="inlineStr">
        <is>
          <t>SIM</t>
        </is>
      </c>
      <c r="K625" s="7" t="inlineStr">
        <is>
          <t>Embalagem Rígida — LAVÁVEL (Obrigatória Tríplice Lavagem ou Pressão)</t>
        </is>
      </c>
      <c r="L625" s="7" t="inlineStr">
        <is>
          <t>NÃO</t>
        </is>
      </c>
      <c r="M625" s="7" t="inlineStr">
        <is>
          <t>0,00% (Lei nº 10.925/2004)</t>
        </is>
      </c>
      <c r="N625" s="7" t="inlineStr">
        <is>
          <t>0,925% (LC nº 224/2025)</t>
        </is>
      </c>
      <c r="O625" s="7" t="inlineStr">
        <is>
          <t>0,365% (LC nº 224/2025)</t>
        </is>
      </c>
      <c r="P625" s="7" t="inlineStr">
        <is>
          <t>CST 06</t>
        </is>
      </c>
      <c r="Q625" s="7" t="inlineStr">
        <is>
          <t>CST 73</t>
        </is>
      </c>
      <c r="R625" s="7" t="inlineStr">
        <is>
          <t>Redução de 60% + Diferimento (Art. 138 e Anexo IX LC 214/2025)</t>
        </is>
      </c>
    </row>
    <row r="626" ht="22" customHeight="1">
      <c r="A626" s="12" t="inlineStr">
        <is>
          <t>SKU-0622</t>
        </is>
      </c>
      <c r="B626" s="11" t="n">
        <v>436</v>
      </c>
      <c r="C626" s="13" t="inlineStr">
        <is>
          <t>Nº 39617</t>
        </is>
      </c>
      <c r="D626" s="14" t="inlineStr">
        <is>
          <t>SHYPER 250 EC</t>
        </is>
      </c>
      <c r="E626" s="13" t="inlineStr">
        <is>
          <t>Embalagem Comercial do Produto</t>
        </is>
      </c>
      <c r="F626" s="13" t="inlineStr">
        <is>
          <t>4X5LT (5 L)</t>
        </is>
      </c>
      <c r="G626" s="13" t="inlineStr">
        <is>
          <t>L</t>
        </is>
      </c>
      <c r="H626" s="15" t="n">
        <v>5</v>
      </c>
      <c r="I626" s="13" t="inlineStr">
        <is>
          <t>3808.91.92</t>
        </is>
      </c>
      <c r="J626" s="13" t="inlineStr">
        <is>
          <t>NÃO</t>
        </is>
      </c>
      <c r="K626" s="13" t="inlineStr">
        <is>
          <t>Embalagem Rígida — LAVÁVEL (Obrigatória Tríplice Lavagem ou Pressão)</t>
        </is>
      </c>
      <c r="L626" s="13" t="inlineStr">
        <is>
          <t>NÃO</t>
        </is>
      </c>
      <c r="M626" s="13" t="inlineStr">
        <is>
          <t>0,00% (Lei nº 10.925/2004)</t>
        </is>
      </c>
      <c r="N626" s="13" t="inlineStr">
        <is>
          <t>0,925% (LC nº 224/2025)</t>
        </is>
      </c>
      <c r="O626" s="13" t="inlineStr">
        <is>
          <t>0,365% (LC nº 224/2025)</t>
        </is>
      </c>
      <c r="P626" s="13" t="inlineStr">
        <is>
          <t>CST 06</t>
        </is>
      </c>
      <c r="Q626" s="13" t="inlineStr">
        <is>
          <t>CST 73</t>
        </is>
      </c>
      <c r="R626" s="13" t="inlineStr">
        <is>
          <t>Redução de 60% + Diferimento (Art. 138 e Anexo IX LC 214/2025)</t>
        </is>
      </c>
    </row>
    <row r="627" ht="22" customHeight="1">
      <c r="A627" s="6" t="inlineStr">
        <is>
          <t>SKU-0623</t>
        </is>
      </c>
      <c r="B627" s="5" t="n">
        <v>437</v>
      </c>
      <c r="C627" s="7" t="inlineStr">
        <is>
          <t>Nº 32821</t>
        </is>
      </c>
      <c r="D627" s="8" t="inlineStr">
        <is>
          <t>SIRTAKI 360 CS</t>
        </is>
      </c>
      <c r="E627" s="7" t="inlineStr">
        <is>
          <t>Embalagem Comercial do Produto</t>
        </is>
      </c>
      <c r="F627" s="7" t="inlineStr">
        <is>
          <t>1X20L (20 L)</t>
        </is>
      </c>
      <c r="G627" s="7" t="inlineStr">
        <is>
          <t>L</t>
        </is>
      </c>
      <c r="H627" s="9" t="n">
        <v>20</v>
      </c>
      <c r="I627" s="7" t="inlineStr">
        <is>
          <t>3808.93.29</t>
        </is>
      </c>
      <c r="J627" s="7" t="inlineStr">
        <is>
          <t>NÃO</t>
        </is>
      </c>
      <c r="K627" s="7" t="inlineStr">
        <is>
          <t>Embalagem Rígida — LAVÁVEL (Obrigatória Tríplice Lavagem ou Pressão)</t>
        </is>
      </c>
      <c r="L627" s="7" t="inlineStr">
        <is>
          <t>NÃO</t>
        </is>
      </c>
      <c r="M627" s="7" t="inlineStr">
        <is>
          <t>0,00% (Lei nº 10.925/2004)</t>
        </is>
      </c>
      <c r="N627" s="7" t="inlineStr">
        <is>
          <t>0,925% (LC nº 224/2025)</t>
        </is>
      </c>
      <c r="O627" s="7" t="inlineStr">
        <is>
          <t>0,365% (LC nº 224/2025)</t>
        </is>
      </c>
      <c r="P627" s="7" t="inlineStr">
        <is>
          <t>CST 06</t>
        </is>
      </c>
      <c r="Q627" s="7" t="inlineStr">
        <is>
          <t>CST 73</t>
        </is>
      </c>
      <c r="R627" s="7" t="inlineStr">
        <is>
          <t>Redução de 60% + Diferimento (Art. 138 e Anexo IX LC 214/2025)</t>
        </is>
      </c>
    </row>
    <row r="628" ht="22" customHeight="1">
      <c r="A628" s="12" t="inlineStr">
        <is>
          <t>SKU-0624</t>
        </is>
      </c>
      <c r="B628" s="11" t="n">
        <v>438</v>
      </c>
      <c r="C628" s="13" t="inlineStr">
        <is>
          <t>Nº 24218</t>
        </is>
      </c>
      <c r="D628" s="14" t="inlineStr">
        <is>
          <t>2,4-D 806 SL (PRINCIPIO ATIVO)</t>
        </is>
      </c>
      <c r="E628" s="13" t="inlineStr">
        <is>
          <t>Embalagem Comercial do Produto</t>
        </is>
      </c>
      <c r="F628" s="13" t="inlineStr">
        <is>
          <t>GRANEL / P.A. (0 L)</t>
        </is>
      </c>
      <c r="G628" s="13" t="inlineStr">
        <is>
          <t>L</t>
        </is>
      </c>
      <c r="H628" s="15" t="n">
        <v>0</v>
      </c>
      <c r="I628" s="13" t="inlineStr">
        <is>
          <t>3808.93.22</t>
        </is>
      </c>
      <c r="J628" s="13" t="inlineStr">
        <is>
          <t>NÃO</t>
        </is>
      </c>
      <c r="K628" s="13" t="inlineStr">
        <is>
          <t>Uso Industrial Exclusivo (PGRS / NBR 10004)</t>
        </is>
      </c>
      <c r="L628" s="13" t="inlineStr">
        <is>
          <t>NÃO</t>
        </is>
      </c>
      <c r="M628" s="13" t="inlineStr">
        <is>
          <t>0,00% (Lei nº 10.925/2004)</t>
        </is>
      </c>
      <c r="N628" s="13" t="inlineStr">
        <is>
          <t>0,925% (LC nº 224/2025)</t>
        </is>
      </c>
      <c r="O628" s="13" t="inlineStr">
        <is>
          <t>0,365% (LC nº 224/2025)</t>
        </is>
      </c>
      <c r="P628" s="13" t="inlineStr">
        <is>
          <t>CST 06 (Uso Agrícola/Industrial)</t>
        </is>
      </c>
      <c r="Q628" s="13" t="inlineStr">
        <is>
          <t>CST 73 (Revenda / Destinação)</t>
        </is>
      </c>
      <c r="R628" s="13" t="inlineStr">
        <is>
          <t>Redução de 60% + Diferimento (Art. 138 LC 214/2025)</t>
        </is>
      </c>
    </row>
    <row r="629" ht="22" customHeight="1">
      <c r="A629" s="6" t="inlineStr">
        <is>
          <t>SKU-0625</t>
        </is>
      </c>
      <c r="B629" s="5" t="n">
        <v>438</v>
      </c>
      <c r="C629" s="7" t="inlineStr">
        <is>
          <t>Nº 24218</t>
        </is>
      </c>
      <c r="D629" s="8" t="inlineStr">
        <is>
          <t>2,4-D 806 SL (PRINCIPIO ATIVO)</t>
        </is>
      </c>
      <c r="E629" s="7" t="inlineStr">
        <is>
          <t>Faixa 1 TIPI (Apresentação &lt;= 300 g ou mL)</t>
        </is>
      </c>
      <c r="F629" s="7" t="inlineStr">
        <is>
          <t>Fracionado / Amostra &lt;= 0,3 L</t>
        </is>
      </c>
      <c r="G629" s="7" t="inlineStr">
        <is>
          <t>L</t>
        </is>
      </c>
      <c r="H629" s="17" t="n">
        <v>0.3</v>
      </c>
      <c r="I629" s="7" t="inlineStr">
        <is>
          <t>3808.93.19</t>
        </is>
      </c>
      <c r="J629" s="7" t="inlineStr">
        <is>
          <t>NÃO</t>
        </is>
      </c>
      <c r="K629" s="7" t="inlineStr">
        <is>
          <t>Uso Industrial Exclusivo (PGRS / NBR 10004)</t>
        </is>
      </c>
      <c r="L629" s="7" t="inlineStr">
        <is>
          <t>NÃO</t>
        </is>
      </c>
      <c r="M629" s="7" t="inlineStr">
        <is>
          <t>0,00% (Lei nº 10.925/2004)</t>
        </is>
      </c>
      <c r="N629" s="7" t="inlineStr">
        <is>
          <t>0,925% (LC nº 224/2025)</t>
        </is>
      </c>
      <c r="O629" s="7" t="inlineStr">
        <is>
          <t>0,365% (LC nº 224/2025)</t>
        </is>
      </c>
      <c r="P629" s="7" t="inlineStr">
        <is>
          <t>CST 06 (Uso Agrícola/Industrial)</t>
        </is>
      </c>
      <c r="Q629" s="7" t="inlineStr">
        <is>
          <t>CST 73 (Revenda / Destinação)</t>
        </is>
      </c>
      <c r="R629" s="7" t="inlineStr">
        <is>
          <t>Redução de 60% + Diferimento (Art. 138 LC 214/2025)</t>
        </is>
      </c>
    </row>
    <row r="630" ht="22" customHeight="1">
      <c r="A630" s="12" t="inlineStr">
        <is>
          <t>SKU-0626</t>
        </is>
      </c>
      <c r="B630" s="11" t="n">
        <v>439</v>
      </c>
      <c r="C630" s="13" t="inlineStr">
        <is>
          <t>Nº 12225</t>
        </is>
      </c>
      <c r="D630" s="14" t="inlineStr">
        <is>
          <t>IMPACTUS CS (PRINCIPIO ATIVO)</t>
        </is>
      </c>
      <c r="E630" s="13" t="inlineStr">
        <is>
          <t>Embalagem Comercial do Produto</t>
        </is>
      </c>
      <c r="F630" s="13" t="inlineStr">
        <is>
          <t>GRANEL / P.A. (0 L)</t>
        </is>
      </c>
      <c r="G630" s="13" t="inlineStr">
        <is>
          <t>L</t>
        </is>
      </c>
      <c r="H630" s="15" t="n">
        <v>0</v>
      </c>
      <c r="I630" s="13" t="inlineStr">
        <is>
          <t>3808.69.90</t>
        </is>
      </c>
      <c r="J630" s="13" t="inlineStr">
        <is>
          <t>SIM</t>
        </is>
      </c>
      <c r="K630" s="13" t="inlineStr">
        <is>
          <t>Uso Industrial Exclusivo (PGRS / NBR 10004)</t>
        </is>
      </c>
      <c r="L630" s="13" t="inlineStr">
        <is>
          <t>NÃO</t>
        </is>
      </c>
      <c r="M630" s="13" t="inlineStr">
        <is>
          <t>0,00% (Lei nº 10.925/2004)</t>
        </is>
      </c>
      <c r="N630" s="13" t="inlineStr">
        <is>
          <t>0,925% (LC nº 224/2025)</t>
        </is>
      </c>
      <c r="O630" s="13" t="inlineStr">
        <is>
          <t>0,365% (LC nº 224/2025)</t>
        </is>
      </c>
      <c r="P630" s="13" t="inlineStr">
        <is>
          <t>CST 06 (Uso Agrícola/Industrial)</t>
        </is>
      </c>
      <c r="Q630" s="13" t="inlineStr">
        <is>
          <t>CST 73 (Revenda / Destinação)</t>
        </is>
      </c>
      <c r="R630" s="13" t="inlineStr">
        <is>
          <t>Redução de 60% + Diferimento (Art. 138 LC 214/2025)</t>
        </is>
      </c>
    </row>
    <row r="631" ht="22" customHeight="1">
      <c r="A631" s="6" t="inlineStr">
        <is>
          <t>SKU-0627</t>
        </is>
      </c>
      <c r="B631" s="5" t="n">
        <v>440</v>
      </c>
      <c r="C631" s="7" t="inlineStr">
        <is>
          <t>Nº 28421</t>
        </is>
      </c>
      <c r="D631" s="8" t="inlineStr">
        <is>
          <t>CLORFENAPIR CCAB</t>
        </is>
      </c>
      <c r="E631" s="7" t="inlineStr">
        <is>
          <t>Embalagem Comercial do Produto</t>
        </is>
      </c>
      <c r="F631" s="7" t="inlineStr">
        <is>
          <t>GRANEL / P.A. (0 L)</t>
        </is>
      </c>
      <c r="G631" s="7" t="inlineStr">
        <is>
          <t>L</t>
        </is>
      </c>
      <c r="H631" s="9" t="n">
        <v>0</v>
      </c>
      <c r="I631" s="7" t="inlineStr">
        <is>
          <t>3808.69.90</t>
        </is>
      </c>
      <c r="J631" s="7" t="inlineStr">
        <is>
          <t>SIM</t>
        </is>
      </c>
      <c r="K631" s="7" t="inlineStr">
        <is>
          <t>Uso Industrial Exclusivo (PGRS / NBR 10004)</t>
        </is>
      </c>
      <c r="L631" s="7" t="inlineStr">
        <is>
          <t>NÃO</t>
        </is>
      </c>
      <c r="M631" s="7" t="inlineStr">
        <is>
          <t>0,00% (Lei nº 10.925/2004)</t>
        </is>
      </c>
      <c r="N631" s="7" t="inlineStr">
        <is>
          <t>0,925% (LC nº 224/2025)</t>
        </is>
      </c>
      <c r="O631" s="7" t="inlineStr">
        <is>
          <t>0,365% (LC nº 224/2025)</t>
        </is>
      </c>
      <c r="P631" s="7" t="inlineStr">
        <is>
          <t>CST 06 (Uso Agrícola/Industrial)</t>
        </is>
      </c>
      <c r="Q631" s="7" t="inlineStr">
        <is>
          <t>CST 73 (Revenda / Destinação)</t>
        </is>
      </c>
      <c r="R631" s="7" t="inlineStr">
        <is>
          <t>Redução de 60% + Diferimento (Art. 138 LC 214/2025)</t>
        </is>
      </c>
    </row>
    <row r="632" ht="22" customHeight="1">
      <c r="A632" s="12" t="inlineStr">
        <is>
          <t>SKU-0628</t>
        </is>
      </c>
      <c r="B632" s="11" t="n">
        <v>441</v>
      </c>
      <c r="C632" s="13" t="inlineStr">
        <is>
          <t>Nº 26017</t>
        </is>
      </c>
      <c r="D632" s="14" t="inlineStr">
        <is>
          <t>MESOTRIONA PROVENTIS (PRINCIPIO ATIVO)</t>
        </is>
      </c>
      <c r="E632" s="13" t="inlineStr">
        <is>
          <t>Embalagem Comercial do Produto</t>
        </is>
      </c>
      <c r="F632" s="13" t="inlineStr">
        <is>
          <t>GRANEL / P.A. (0 L)</t>
        </is>
      </c>
      <c r="G632" s="13" t="inlineStr">
        <is>
          <t>L</t>
        </is>
      </c>
      <c r="H632" s="15" t="n">
        <v>0</v>
      </c>
      <c r="I632" s="13" t="inlineStr">
        <is>
          <t>3808.93.29</t>
        </is>
      </c>
      <c r="J632" s="13" t="inlineStr">
        <is>
          <t>NÃO</t>
        </is>
      </c>
      <c r="K632" s="13" t="inlineStr">
        <is>
          <t>Uso Industrial Exclusivo (PGRS / NBR 10004)</t>
        </is>
      </c>
      <c r="L632" s="13" t="inlineStr">
        <is>
          <t>NÃO</t>
        </is>
      </c>
      <c r="M632" s="13" t="inlineStr">
        <is>
          <t>0,00% (Lei nº 10.925/2004)</t>
        </is>
      </c>
      <c r="N632" s="13" t="inlineStr">
        <is>
          <t>0,925% (LC nº 224/2025)</t>
        </is>
      </c>
      <c r="O632" s="13" t="inlineStr">
        <is>
          <t>0,365% (LC nº 224/2025)</t>
        </is>
      </c>
      <c r="P632" s="13" t="inlineStr">
        <is>
          <t>CST 06 (Uso Agrícola/Industrial)</t>
        </is>
      </c>
      <c r="Q632" s="13" t="inlineStr">
        <is>
          <t>CST 73 (Revenda / Destinação)</t>
        </is>
      </c>
      <c r="R632" s="13" t="inlineStr">
        <is>
          <t>Redução de 60% + Diferimento (Art. 138 LC 214/2025)</t>
        </is>
      </c>
    </row>
    <row r="633" ht="22" customHeight="1">
      <c r="A633" s="6" t="inlineStr">
        <is>
          <t>SKU-0629</t>
        </is>
      </c>
      <c r="B633" s="5" t="n">
        <v>442</v>
      </c>
      <c r="C633" s="7" t="inlineStr">
        <is>
          <t>Nº 1218</t>
        </is>
      </c>
      <c r="D633" s="8" t="inlineStr">
        <is>
          <t>ACETAMIPRID 200 (PRINCIPIO ATVO)</t>
        </is>
      </c>
      <c r="E633" s="7" t="inlineStr">
        <is>
          <t>Embalagem Comercial do Produto</t>
        </is>
      </c>
      <c r="F633" s="7" t="inlineStr">
        <is>
          <t>GRANEL / P.A. (0 KG)</t>
        </is>
      </c>
      <c r="G633" s="7" t="inlineStr">
        <is>
          <t>KG</t>
        </is>
      </c>
      <c r="H633" s="9" t="n">
        <v>0</v>
      </c>
      <c r="I633" s="7" t="inlineStr">
        <is>
          <t>3808.91.99</t>
        </is>
      </c>
      <c r="J633" s="7" t="inlineStr">
        <is>
          <t>NÃO</t>
        </is>
      </c>
      <c r="K633" s="7" t="inlineStr">
        <is>
          <t>Uso Industrial Exclusivo (PGRS / NBR 10004)</t>
        </is>
      </c>
      <c r="L633" s="7" t="inlineStr">
        <is>
          <t>NÃO</t>
        </is>
      </c>
      <c r="M633" s="7" t="inlineStr">
        <is>
          <t>0,00% (Lei nº 10.925/2004)</t>
        </is>
      </c>
      <c r="N633" s="7" t="inlineStr">
        <is>
          <t>0,925% (LC nº 224/2025)</t>
        </is>
      </c>
      <c r="O633" s="7" t="inlineStr">
        <is>
          <t>0,365% (LC nº 224/2025)</t>
        </is>
      </c>
      <c r="P633" s="7" t="inlineStr">
        <is>
          <t>CST 06 (Uso Agrícola/Industrial)</t>
        </is>
      </c>
      <c r="Q633" s="7" t="inlineStr">
        <is>
          <t>CST 73 (Revenda / Destinação)</t>
        </is>
      </c>
      <c r="R633" s="7" t="inlineStr">
        <is>
          <t>Redução de 60% + Diferimento (Art. 138 LC 214/2025)</t>
        </is>
      </c>
    </row>
    <row r="634" ht="22" customHeight="1">
      <c r="A634" s="12" t="inlineStr">
        <is>
          <t>SKU-0630</t>
        </is>
      </c>
      <c r="B634" s="11" t="n">
        <v>442</v>
      </c>
      <c r="C634" s="13" t="inlineStr">
        <is>
          <t>Nº 1218</t>
        </is>
      </c>
      <c r="D634" s="14" t="inlineStr">
        <is>
          <t>ACETAMIPRID 200 (PRINCIPIO ATVO)</t>
        </is>
      </c>
      <c r="E634" s="13" t="inlineStr">
        <is>
          <t>Faixa 1 TIPI (Apresentação &lt;= 300 g ou mL)</t>
        </is>
      </c>
      <c r="F634" s="13" t="inlineStr">
        <is>
          <t>Fracionado / Amostra &lt;= 0,3 KG</t>
        </is>
      </c>
      <c r="G634" s="13" t="inlineStr">
        <is>
          <t>KG</t>
        </is>
      </c>
      <c r="H634" s="18" t="n">
        <v>0.3</v>
      </c>
      <c r="I634" s="13" t="inlineStr">
        <is>
          <t>3808.91.20</t>
        </is>
      </c>
      <c r="J634" s="13" t="inlineStr">
        <is>
          <t>NÃO</t>
        </is>
      </c>
      <c r="K634" s="13" t="inlineStr">
        <is>
          <t>Uso Industrial Exclusivo (PGRS / NBR 10004)</t>
        </is>
      </c>
      <c r="L634" s="13" t="inlineStr">
        <is>
          <t>NÃO</t>
        </is>
      </c>
      <c r="M634" s="13" t="inlineStr">
        <is>
          <t>0,00% (Lei nº 10.925/2004)</t>
        </is>
      </c>
      <c r="N634" s="13" t="inlineStr">
        <is>
          <t>0,925% (LC nº 224/2025)</t>
        </is>
      </c>
      <c r="O634" s="13" t="inlineStr">
        <is>
          <t>0,365% (LC nº 224/2025)</t>
        </is>
      </c>
      <c r="P634" s="13" t="inlineStr">
        <is>
          <t>CST 06 (Uso Agrícola/Industrial)</t>
        </is>
      </c>
      <c r="Q634" s="13" t="inlineStr">
        <is>
          <t>CST 73 (Revenda / Destinação)</t>
        </is>
      </c>
      <c r="R634" s="13" t="inlineStr">
        <is>
          <t>Redução de 60% + Diferimento (Art. 138 LC 214/2025)</t>
        </is>
      </c>
    </row>
    <row r="635" ht="22" customHeight="1">
      <c r="A635" s="6" t="inlineStr">
        <is>
          <t>SKU-0631</t>
        </is>
      </c>
      <c r="B635" s="5" t="n">
        <v>443</v>
      </c>
      <c r="C635" s="7" t="inlineStr">
        <is>
          <t>Nº 39617</t>
        </is>
      </c>
      <c r="D635" s="8" t="inlineStr">
        <is>
          <t>SHYPER 250 EC</t>
        </is>
      </c>
      <c r="E635" s="7" t="inlineStr">
        <is>
          <t>Embalagem Comercial do Produto</t>
        </is>
      </c>
      <c r="F635" s="7" t="inlineStr">
        <is>
          <t>12X1LT (1 L)</t>
        </is>
      </c>
      <c r="G635" s="7" t="inlineStr">
        <is>
          <t>L</t>
        </is>
      </c>
      <c r="H635" s="9" t="n">
        <v>1</v>
      </c>
      <c r="I635" s="7" t="inlineStr">
        <is>
          <t>3808.91.92</t>
        </is>
      </c>
      <c r="J635" s="7" t="inlineStr">
        <is>
          <t>NÃO</t>
        </is>
      </c>
      <c r="K635" s="7" t="inlineStr">
        <is>
          <t>Embalagem Rígida — LAVÁVEL (Obrigatória Tríplice Lavagem ou Pressão)</t>
        </is>
      </c>
      <c r="L635" s="7" t="inlineStr">
        <is>
          <t>NÃO</t>
        </is>
      </c>
      <c r="M635" s="7" t="inlineStr">
        <is>
          <t>0,00% (Lei nº 10.925/2004)</t>
        </is>
      </c>
      <c r="N635" s="7" t="inlineStr">
        <is>
          <t>0,925% (LC nº 224/2025)</t>
        </is>
      </c>
      <c r="O635" s="7" t="inlineStr">
        <is>
          <t>0,365% (LC nº 224/2025)</t>
        </is>
      </c>
      <c r="P635" s="7" t="inlineStr">
        <is>
          <t>CST 06</t>
        </is>
      </c>
      <c r="Q635" s="7" t="inlineStr">
        <is>
          <t>CST 73</t>
        </is>
      </c>
      <c r="R635" s="7" t="inlineStr">
        <is>
          <t>Redução de 60% + Diferimento (Art. 138 e Anexo IX LC 214/2025)</t>
        </is>
      </c>
    </row>
    <row r="636" ht="22" customHeight="1">
      <c r="A636" s="12" t="inlineStr">
        <is>
          <t>SKU-0632</t>
        </is>
      </c>
      <c r="B636" s="11" t="n">
        <v>444</v>
      </c>
      <c r="C636" s="13" t="inlineStr">
        <is>
          <t>Nº 1223</t>
        </is>
      </c>
      <c r="D636" s="14" t="inlineStr">
        <is>
          <t>FULLGUARD</t>
        </is>
      </c>
      <c r="E636" s="13" t="inlineStr">
        <is>
          <t>Embalagem Comercial do Produto</t>
        </is>
      </c>
      <c r="F636" s="13" t="inlineStr">
        <is>
          <t>4X5L (5 L)</t>
        </is>
      </c>
      <c r="G636" s="13" t="inlineStr">
        <is>
          <t>L</t>
        </is>
      </c>
      <c r="H636" s="15" t="n">
        <v>5</v>
      </c>
      <c r="I636" s="13" t="inlineStr">
        <is>
          <t>3808.93.29</t>
        </is>
      </c>
      <c r="J636" s="13" t="inlineStr">
        <is>
          <t>NÃO</t>
        </is>
      </c>
      <c r="K636" s="13" t="inlineStr">
        <is>
          <t>Embalagem Rígida — LAVÁVEL (Obrigatória Tríplice Lavagem ou Pressão)</t>
        </is>
      </c>
      <c r="L636" s="13" t="inlineStr">
        <is>
          <t>NÃO</t>
        </is>
      </c>
      <c r="M636" s="13" t="inlineStr">
        <is>
          <t>0,00% (Lei nº 10.925/2004)</t>
        </is>
      </c>
      <c r="N636" s="13" t="inlineStr">
        <is>
          <t>0,925% (LC nº 224/2025)</t>
        </is>
      </c>
      <c r="O636" s="13" t="inlineStr">
        <is>
          <t>0,365% (LC nº 224/2025)</t>
        </is>
      </c>
      <c r="P636" s="13" t="inlineStr">
        <is>
          <t>CST 06</t>
        </is>
      </c>
      <c r="Q636" s="13" t="inlineStr">
        <is>
          <t>CST 73</t>
        </is>
      </c>
      <c r="R636" s="13" t="inlineStr">
        <is>
          <t>Redução de 60% + Diferimento (Art. 138 e Anexo IX LC 214/2025)</t>
        </is>
      </c>
    </row>
    <row r="637" ht="22" customHeight="1">
      <c r="A637" s="6" t="inlineStr">
        <is>
          <t>SKU-0633</t>
        </is>
      </c>
      <c r="B637" s="5" t="n">
        <v>445</v>
      </c>
      <c r="C637" s="7" t="inlineStr">
        <is>
          <t>Nº 1223</t>
        </is>
      </c>
      <c r="D637" s="8" t="inlineStr">
        <is>
          <t>FULLGUARD</t>
        </is>
      </c>
      <c r="E637" s="7" t="inlineStr">
        <is>
          <t>Embalagem Comercial do Produto</t>
        </is>
      </c>
      <c r="F637" s="7" t="inlineStr">
        <is>
          <t>20L (20 L)</t>
        </is>
      </c>
      <c r="G637" s="7" t="inlineStr">
        <is>
          <t>L</t>
        </is>
      </c>
      <c r="H637" s="9" t="n">
        <v>20</v>
      </c>
      <c r="I637" s="7" t="inlineStr">
        <is>
          <t>3808.93.29</t>
        </is>
      </c>
      <c r="J637" s="7" t="inlineStr">
        <is>
          <t>NÃO</t>
        </is>
      </c>
      <c r="K637" s="7" t="inlineStr">
        <is>
          <t>Embalagem Rígida — LAVÁVEL (Obrigatória Tríplice Lavagem ou Pressão)</t>
        </is>
      </c>
      <c r="L637" s="7" t="inlineStr">
        <is>
          <t>NÃO</t>
        </is>
      </c>
      <c r="M637" s="7" t="inlineStr">
        <is>
          <t>0,00% (Lei nº 10.925/2004)</t>
        </is>
      </c>
      <c r="N637" s="7" t="inlineStr">
        <is>
          <t>0,925% (LC nº 224/2025)</t>
        </is>
      </c>
      <c r="O637" s="7" t="inlineStr">
        <is>
          <t>0,365% (LC nº 224/2025)</t>
        </is>
      </c>
      <c r="P637" s="7" t="inlineStr">
        <is>
          <t>CST 06</t>
        </is>
      </c>
      <c r="Q637" s="7" t="inlineStr">
        <is>
          <t>CST 73</t>
        </is>
      </c>
      <c r="R637" s="7" t="inlineStr">
        <is>
          <t>Redução de 60% + Diferimento (Art. 138 e Anexo IX LC 214/2025)</t>
        </is>
      </c>
    </row>
    <row r="638" ht="22" customHeight="1">
      <c r="A638" s="12" t="inlineStr">
        <is>
          <t>SKU-0634</t>
        </is>
      </c>
      <c r="B638" s="11" t="n">
        <v>446</v>
      </c>
      <c r="C638" s="13" t="inlineStr">
        <is>
          <t>Nº 5217</t>
        </is>
      </c>
      <c r="D638" s="14" t="inlineStr">
        <is>
          <t>HERBIZINA PLUS</t>
        </is>
      </c>
      <c r="E638" s="13" t="inlineStr">
        <is>
          <t>Embalagem Comercial do Produto</t>
        </is>
      </c>
      <c r="F638" s="13" t="inlineStr">
        <is>
          <t>1X10KG (10 KG)</t>
        </is>
      </c>
      <c r="G638" s="13" t="inlineStr">
        <is>
          <t>KG</t>
        </is>
      </c>
      <c r="H638" s="15" t="n">
        <v>10</v>
      </c>
      <c r="I638" s="13" t="inlineStr">
        <is>
          <t>3808.93.23</t>
        </is>
      </c>
      <c r="J638" s="13" t="inlineStr">
        <is>
          <t>NÃO</t>
        </is>
      </c>
      <c r="K638" s="13" t="inlineStr">
        <is>
          <t>Embalagem Flexível — NÃO LAVÁVEL (Perfurar e usar saco ABNT)</t>
        </is>
      </c>
      <c r="L638" s="13" t="inlineStr">
        <is>
          <t>SIM (Saco Transparente ABNT)</t>
        </is>
      </c>
      <c r="M638" s="13" t="inlineStr">
        <is>
          <t>0,00% (Lei nº 10.925/2004)</t>
        </is>
      </c>
      <c r="N638" s="13" t="inlineStr">
        <is>
          <t>0,925% (LC nº 224/2025)</t>
        </is>
      </c>
      <c r="O638" s="13" t="inlineStr">
        <is>
          <t>0,365% (LC nº 224/2025)</t>
        </is>
      </c>
      <c r="P638" s="13" t="inlineStr">
        <is>
          <t>CST 06</t>
        </is>
      </c>
      <c r="Q638" s="13" t="inlineStr">
        <is>
          <t>CST 73</t>
        </is>
      </c>
      <c r="R638" s="13" t="inlineStr">
        <is>
          <t>Redução de 60% + Diferimento (Art. 138 e Anexo IX LC 214/2025)</t>
        </is>
      </c>
    </row>
    <row r="639" ht="22" customHeight="1">
      <c r="A639" s="6" t="inlineStr">
        <is>
          <t>SKU-0635</t>
        </is>
      </c>
      <c r="B639" s="5" t="n">
        <v>447</v>
      </c>
      <c r="C639" s="7" t="inlineStr">
        <is>
          <t>Nº 22225</t>
        </is>
      </c>
      <c r="D639" s="8" t="inlineStr">
        <is>
          <t>KILLIGAN</t>
        </is>
      </c>
      <c r="E639" s="7" t="inlineStr">
        <is>
          <t>Embalagem Comercial do Produto</t>
        </is>
      </c>
      <c r="F639" s="7" t="inlineStr">
        <is>
          <t>20L (20 L)</t>
        </is>
      </c>
      <c r="G639" s="7" t="inlineStr">
        <is>
          <t>L</t>
        </is>
      </c>
      <c r="H639" s="9" t="n">
        <v>20</v>
      </c>
      <c r="I639" s="7" t="inlineStr">
        <is>
          <t>3808.69.90</t>
        </is>
      </c>
      <c r="J639" s="7" t="inlineStr">
        <is>
          <t>SIM</t>
        </is>
      </c>
      <c r="K639" s="7" t="inlineStr">
        <is>
          <t>Embalagem Rígida — LAVÁVEL (Obrigatória Tríplice Lavagem ou Pressão)</t>
        </is>
      </c>
      <c r="L639" s="7" t="inlineStr">
        <is>
          <t>NÃO</t>
        </is>
      </c>
      <c r="M639" s="7" t="inlineStr">
        <is>
          <t>0,00% (Lei nº 10.925/2004)</t>
        </is>
      </c>
      <c r="N639" s="7" t="inlineStr">
        <is>
          <t>0,925% (LC nº 224/2025)</t>
        </is>
      </c>
      <c r="O639" s="7" t="inlineStr">
        <is>
          <t>0,365% (LC nº 224/2025)</t>
        </is>
      </c>
      <c r="P639" s="7" t="inlineStr">
        <is>
          <t>CST 06</t>
        </is>
      </c>
      <c r="Q639" s="7" t="inlineStr">
        <is>
          <t>CST 73</t>
        </is>
      </c>
      <c r="R639" s="7" t="inlineStr">
        <is>
          <t>Redução de 60% + Diferimento (Art. 138 e Anexo IX LC 214/2025)</t>
        </is>
      </c>
    </row>
    <row r="640" ht="22" customHeight="1">
      <c r="A640" s="12" t="inlineStr">
        <is>
          <t>SKU-0636</t>
        </is>
      </c>
      <c r="B640" s="11" t="n">
        <v>447</v>
      </c>
      <c r="C640" s="13" t="inlineStr">
        <is>
          <t>Nº 22225</t>
        </is>
      </c>
      <c r="D640" s="14" t="inlineStr">
        <is>
          <t>KILLIGAN</t>
        </is>
      </c>
      <c r="E640" s="13" t="inlineStr">
        <is>
          <t>Faixa 1 TIPI (Apresentação &lt;= 300 g ou mL)</t>
        </is>
      </c>
      <c r="F640" s="13" t="inlineStr">
        <is>
          <t>Fracionado / Amostra &lt;= 0,3 L</t>
        </is>
      </c>
      <c r="G640" s="13" t="inlineStr">
        <is>
          <t>L</t>
        </is>
      </c>
      <c r="H640" s="18" t="n">
        <v>0.3</v>
      </c>
      <c r="I640" s="13" t="inlineStr">
        <is>
          <t>3808.61.00</t>
        </is>
      </c>
      <c r="J640" s="13" t="inlineStr">
        <is>
          <t>SIM</t>
        </is>
      </c>
      <c r="K640" s="13" t="inlineStr">
        <is>
          <t>Embalagem Rígida — LAVÁVEL (Obrigatória Tríplice Lavagem ou Pressão)</t>
        </is>
      </c>
      <c r="L640" s="13" t="inlineStr">
        <is>
          <t>NÃO</t>
        </is>
      </c>
      <c r="M640" s="13" t="inlineStr">
        <is>
          <t>0,00% (Lei nº 10.925/2004)</t>
        </is>
      </c>
      <c r="N640" s="13" t="inlineStr">
        <is>
          <t>0,925% (LC nº 224/2025)</t>
        </is>
      </c>
      <c r="O640" s="13" t="inlineStr">
        <is>
          <t>0,365% (LC nº 224/2025)</t>
        </is>
      </c>
      <c r="P640" s="13" t="inlineStr">
        <is>
          <t>CST 06</t>
        </is>
      </c>
      <c r="Q640" s="13" t="inlineStr">
        <is>
          <t>CST 73</t>
        </is>
      </c>
      <c r="R640" s="13" t="inlineStr">
        <is>
          <t>Redução de 60% + Diferimento (Art. 138 e Anexo IX LC 214/2025)</t>
        </is>
      </c>
    </row>
    <row r="641" ht="22" customHeight="1">
      <c r="A641" s="6" t="inlineStr">
        <is>
          <t>SKU-0637</t>
        </is>
      </c>
      <c r="B641" s="5" t="n">
        <v>448</v>
      </c>
      <c r="C641" s="7" t="inlineStr">
        <is>
          <t>Nº 26924</t>
        </is>
      </c>
      <c r="D641" s="8" t="inlineStr">
        <is>
          <t>CHLOROCIL</t>
        </is>
      </c>
      <c r="E641" s="7" t="inlineStr">
        <is>
          <t>Embalagem Comercial do Produto</t>
        </is>
      </c>
      <c r="F641" s="7" t="inlineStr">
        <is>
          <t>1X20L (20 L)</t>
        </is>
      </c>
      <c r="G641" s="7" t="inlineStr">
        <is>
          <t>L</t>
        </is>
      </c>
      <c r="H641" s="9" t="n">
        <v>20</v>
      </c>
      <c r="I641" s="7" t="inlineStr">
        <is>
          <t>3808.91.99</t>
        </is>
      </c>
      <c r="J641" s="7" t="inlineStr">
        <is>
          <t>NÃO</t>
        </is>
      </c>
      <c r="K641" s="7" t="inlineStr">
        <is>
          <t>Embalagem Rígida — LAVÁVEL (Obrigatória Tríplice Lavagem ou Pressão)</t>
        </is>
      </c>
      <c r="L641" s="7" t="inlineStr">
        <is>
          <t>NÃO</t>
        </is>
      </c>
      <c r="M641" s="7" t="inlineStr">
        <is>
          <t>0,00% (Lei nº 10.925/2004)</t>
        </is>
      </c>
      <c r="N641" s="7" t="inlineStr">
        <is>
          <t>0,925% (LC nº 224/2025)</t>
        </is>
      </c>
      <c r="O641" s="7" t="inlineStr">
        <is>
          <t>0,365% (LC nº 224/2025)</t>
        </is>
      </c>
      <c r="P641" s="7" t="inlineStr">
        <is>
          <t>CST 06</t>
        </is>
      </c>
      <c r="Q641" s="7" t="inlineStr">
        <is>
          <t>CST 73</t>
        </is>
      </c>
      <c r="R641" s="7" t="inlineStr">
        <is>
          <t>Redução de 60% + Diferimento (Art. 138 e Anexo IX LC 214/2025)</t>
        </is>
      </c>
    </row>
    <row r="642" ht="22" customHeight="1">
      <c r="A642" s="12" t="inlineStr">
        <is>
          <t>SKU-0638</t>
        </is>
      </c>
      <c r="B642" s="11" t="n">
        <v>449</v>
      </c>
      <c r="C642" s="13" t="inlineStr">
        <is>
          <t>SIPEAGRO (UF-XXXXX)</t>
        </is>
      </c>
      <c r="D642" s="14" t="inlineStr">
        <is>
          <t>MAP 1261 FARELADO</t>
        </is>
      </c>
      <c r="E642" s="13" t="inlineStr">
        <is>
          <t>Embalagem Comercial do Produto</t>
        </is>
      </c>
      <c r="F642" s="13" t="inlineStr">
        <is>
          <t>GRANEL / BIG BAG (1000 TL)</t>
        </is>
      </c>
      <c r="G642" s="13" t="inlineStr">
        <is>
          <t>TL</t>
        </is>
      </c>
      <c r="H642" s="15" t="n">
        <v>1</v>
      </c>
      <c r="I642" s="13" t="inlineStr">
        <is>
          <t>3105.40.00</t>
        </is>
      </c>
      <c r="J642" s="13" t="inlineStr">
        <is>
          <t>NÃO</t>
        </is>
      </c>
      <c r="K642" s="13" t="inlineStr">
        <is>
          <t>Embalagem Flexível — NÃO LAVÁVEL (Perfurar e usar saco ABNT)</t>
        </is>
      </c>
      <c r="L642" s="13" t="inlineStr">
        <is>
          <t>SIM (Saco Transparente ABNT)</t>
        </is>
      </c>
      <c r="M642" s="13" t="inlineStr">
        <is>
          <t>0,00% (Lei nº 10.925/2004)</t>
        </is>
      </c>
      <c r="N642" s="13" t="inlineStr">
        <is>
          <t>0,925% (LC nº 224/2025)</t>
        </is>
      </c>
      <c r="O642" s="13" t="inlineStr">
        <is>
          <t>0,365% (LC nº 224/2025)</t>
        </is>
      </c>
      <c r="P642" s="13" t="inlineStr">
        <is>
          <t>CST 06</t>
        </is>
      </c>
      <c r="Q642" s="13" t="inlineStr">
        <is>
          <t>CST 73</t>
        </is>
      </c>
      <c r="R642" s="13" t="inlineStr">
        <is>
          <t>Redução de 60% + Diferimento (Art. 138 e Anexo IX LC 214/2025)</t>
        </is>
      </c>
    </row>
    <row r="643" ht="22" customHeight="1">
      <c r="A643" s="6" t="inlineStr">
        <is>
          <t>SKU-0639</t>
        </is>
      </c>
      <c r="B643" s="5" t="n">
        <v>449</v>
      </c>
      <c r="C643" s="7" t="inlineStr">
        <is>
          <t>SIPEAGRO (UF-XXXXX)</t>
        </is>
      </c>
      <c r="D643" s="8" t="inlineStr">
        <is>
          <t>MAP 1261 FARELADO</t>
        </is>
      </c>
      <c r="E643" s="7" t="inlineStr">
        <is>
          <t>Faixa 1 TIPI (Apresentação &lt;= 300 g ou mL)</t>
        </is>
      </c>
      <c r="F643" s="7" t="inlineStr">
        <is>
          <t>Fracionado / Amostra &lt;= 0,3 TL</t>
        </is>
      </c>
      <c r="G643" s="7" t="inlineStr">
        <is>
          <t>TL</t>
        </is>
      </c>
      <c r="H643" s="17" t="n">
        <v>0.3</v>
      </c>
      <c r="I643" s="7" t="inlineStr">
        <is>
          <t>3105.40.00</t>
        </is>
      </c>
      <c r="J643" s="7" t="inlineStr">
        <is>
          <t>NÃO</t>
        </is>
      </c>
      <c r="K643" s="7" t="inlineStr">
        <is>
          <t>Embalagem Flexível — NÃO LAVÁVEL (Perfurar e usar saco ABNT)</t>
        </is>
      </c>
      <c r="L643" s="7" t="inlineStr">
        <is>
          <t>SIM (Saco Transparente ABNT)</t>
        </is>
      </c>
      <c r="M643" s="7" t="inlineStr">
        <is>
          <t>0,00% (Lei nº 10.925/2004)</t>
        </is>
      </c>
      <c r="N643" s="7" t="inlineStr">
        <is>
          <t>0,925% (LC nº 224/2025)</t>
        </is>
      </c>
      <c r="O643" s="7" t="inlineStr">
        <is>
          <t>0,365% (LC nº 224/2025)</t>
        </is>
      </c>
      <c r="P643" s="7" t="inlineStr">
        <is>
          <t>CST 06</t>
        </is>
      </c>
      <c r="Q643" s="7" t="inlineStr">
        <is>
          <t>CST 73</t>
        </is>
      </c>
      <c r="R643" s="7" t="inlineStr">
        <is>
          <t>Redução de 60% + Diferimento (Art. 138 e Anexo IX LC 214/2025)</t>
        </is>
      </c>
    </row>
    <row r="644" ht="22" customHeight="1">
      <c r="A644" s="12" t="inlineStr">
        <is>
          <t>SKU-0640</t>
        </is>
      </c>
      <c r="B644" s="11" t="n">
        <v>450</v>
      </c>
      <c r="C644" s="13" t="inlineStr">
        <is>
          <t>Nº 40624</t>
        </is>
      </c>
      <c r="D644" s="14" t="inlineStr">
        <is>
          <t>CHLORPYRIFOS 480 EC AGCN</t>
        </is>
      </c>
      <c r="E644" s="13" t="inlineStr">
        <is>
          <t>Embalagem Comercial do Produto</t>
        </is>
      </c>
      <c r="F644" s="13" t="inlineStr">
        <is>
          <t>1X20L (20 L)</t>
        </is>
      </c>
      <c r="G644" s="13" t="inlineStr">
        <is>
          <t>L</t>
        </is>
      </c>
      <c r="H644" s="15" t="n">
        <v>20</v>
      </c>
      <c r="I644" s="13" t="inlineStr">
        <is>
          <t>3808.91.99</t>
        </is>
      </c>
      <c r="J644" s="13" t="inlineStr">
        <is>
          <t>NÃO</t>
        </is>
      </c>
      <c r="K644" s="13" t="inlineStr">
        <is>
          <t>Embalagem Rígida — LAVÁVEL (Obrigatória Tríplice Lavagem ou Pressão)</t>
        </is>
      </c>
      <c r="L644" s="13" t="inlineStr">
        <is>
          <t>NÃO</t>
        </is>
      </c>
      <c r="M644" s="13" t="inlineStr">
        <is>
          <t>0,00% (Lei nº 10.925/2004)</t>
        </is>
      </c>
      <c r="N644" s="13" t="inlineStr">
        <is>
          <t>0,925% (LC nº 224/2025)</t>
        </is>
      </c>
      <c r="O644" s="13" t="inlineStr">
        <is>
          <t>0,365% (LC nº 224/2025)</t>
        </is>
      </c>
      <c r="P644" s="13" t="inlineStr">
        <is>
          <t>CST 06</t>
        </is>
      </c>
      <c r="Q644" s="13" t="inlineStr">
        <is>
          <t>CST 73</t>
        </is>
      </c>
      <c r="R644" s="13" t="inlineStr">
        <is>
          <t>Redução de 60% + Diferimento (Art. 138 e Anexo IX LC 214/2025)</t>
        </is>
      </c>
    </row>
    <row r="645" ht="22" customHeight="1">
      <c r="A645" s="6" t="inlineStr">
        <is>
          <t>SKU-0641</t>
        </is>
      </c>
      <c r="B645" s="5" t="n">
        <v>451</v>
      </c>
      <c r="C645" s="7" t="inlineStr">
        <is>
          <t>Nº 6223</t>
        </is>
      </c>
      <c r="D645" s="8" t="inlineStr">
        <is>
          <t>RIDOWN FULL</t>
        </is>
      </c>
      <c r="E645" s="7" t="inlineStr">
        <is>
          <t>Embalagem Comercial do Produto</t>
        </is>
      </c>
      <c r="F645" s="7" t="inlineStr">
        <is>
          <t>1X20L (20 L)</t>
        </is>
      </c>
      <c r="G645" s="7" t="inlineStr">
        <is>
          <t>L</t>
        </is>
      </c>
      <c r="H645" s="9" t="n">
        <v>20</v>
      </c>
      <c r="I645" s="7" t="inlineStr">
        <is>
          <t>3808.93.24</t>
        </is>
      </c>
      <c r="J645" s="7" t="inlineStr">
        <is>
          <t>NÃO</t>
        </is>
      </c>
      <c r="K645" s="7" t="inlineStr">
        <is>
          <t>Embalagem Rígida — LAVÁVEL (Obrigatória Tríplice Lavagem ou Pressão)</t>
        </is>
      </c>
      <c r="L645" s="7" t="inlineStr">
        <is>
          <t>NÃO</t>
        </is>
      </c>
      <c r="M645" s="7" t="inlineStr">
        <is>
          <t>0,00% (Lei nº 10.925/2004)</t>
        </is>
      </c>
      <c r="N645" s="7" t="inlineStr">
        <is>
          <t>0,925% (LC nº 224/2025)</t>
        </is>
      </c>
      <c r="O645" s="7" t="inlineStr">
        <is>
          <t>0,365% (LC nº 224/2025)</t>
        </is>
      </c>
      <c r="P645" s="7" t="inlineStr">
        <is>
          <t>CST 06</t>
        </is>
      </c>
      <c r="Q645" s="7" t="inlineStr">
        <is>
          <t>CST 73</t>
        </is>
      </c>
      <c r="R645" s="7" t="inlineStr">
        <is>
          <t>Redução de 60% + Diferimento (Art. 138 e Anexo IX LC 214/2025)</t>
        </is>
      </c>
    </row>
    <row r="646" ht="22" customHeight="1">
      <c r="A646" s="12" t="inlineStr">
        <is>
          <t>SKU-0642</t>
        </is>
      </c>
      <c r="B646" s="11" t="n">
        <v>452</v>
      </c>
      <c r="C646" s="13" t="inlineStr">
        <is>
          <t>Nº 12225</t>
        </is>
      </c>
      <c r="D646" s="14" t="inlineStr">
        <is>
          <t>IMPACTUS CS</t>
        </is>
      </c>
      <c r="E646" s="13" t="inlineStr">
        <is>
          <t>Embalagem Comercial do Produto</t>
        </is>
      </c>
      <c r="F646" s="13" t="inlineStr">
        <is>
          <t>1X20L (20 L)</t>
        </is>
      </c>
      <c r="G646" s="13" t="inlineStr">
        <is>
          <t>L</t>
        </is>
      </c>
      <c r="H646" s="15" t="n">
        <v>20</v>
      </c>
      <c r="I646" s="13" t="inlineStr">
        <is>
          <t>3808.69.90</t>
        </is>
      </c>
      <c r="J646" s="13" t="inlineStr">
        <is>
          <t>SIM</t>
        </is>
      </c>
      <c r="K646" s="13" t="inlineStr">
        <is>
          <t>Embalagem Rígida — LAVÁVEL (Obrigatória Tríplice Lavagem ou Pressão)</t>
        </is>
      </c>
      <c r="L646" s="13" t="inlineStr">
        <is>
          <t>NÃO</t>
        </is>
      </c>
      <c r="M646" s="13" t="inlineStr">
        <is>
          <t>0,00% (Lei nº 10.925/2004)</t>
        </is>
      </c>
      <c r="N646" s="13" t="inlineStr">
        <is>
          <t>0,925% (LC nº 224/2025)</t>
        </is>
      </c>
      <c r="O646" s="13" t="inlineStr">
        <is>
          <t>0,365% (LC nº 224/2025)</t>
        </is>
      </c>
      <c r="P646" s="13" t="inlineStr">
        <is>
          <t>CST 06</t>
        </is>
      </c>
      <c r="Q646" s="13" t="inlineStr">
        <is>
          <t>CST 73</t>
        </is>
      </c>
      <c r="R646" s="13" t="inlineStr">
        <is>
          <t>Redução de 60% + Diferimento (Art. 138 e Anexo IX LC 214/2025)</t>
        </is>
      </c>
    </row>
    <row r="647" ht="22" customHeight="1">
      <c r="A647" s="6" t="inlineStr">
        <is>
          <t>SKU-0643</t>
        </is>
      </c>
      <c r="B647" s="5" t="n">
        <v>453</v>
      </c>
      <c r="C647" s="7" t="inlineStr">
        <is>
          <t>Nº 6922</t>
        </is>
      </c>
      <c r="D647" s="8" t="inlineStr">
        <is>
          <t>INSECTRIN</t>
        </is>
      </c>
      <c r="E647" s="7" t="inlineStr">
        <is>
          <t>Embalagem Comercial do Produto</t>
        </is>
      </c>
      <c r="F647" s="7" t="inlineStr">
        <is>
          <t>4X5L (5 L)</t>
        </is>
      </c>
      <c r="G647" s="7" t="inlineStr">
        <is>
          <t>L</t>
        </is>
      </c>
      <c r="H647" s="9" t="n">
        <v>5</v>
      </c>
      <c r="I647" s="7" t="inlineStr">
        <is>
          <t>3808.62.90</t>
        </is>
      </c>
      <c r="J647" s="7" t="inlineStr">
        <is>
          <t>SIM</t>
        </is>
      </c>
      <c r="K647" s="7" t="inlineStr">
        <is>
          <t>Embalagem Rígida — LAVÁVEL (Obrigatória Tríplice Lavagem ou Pressão)</t>
        </is>
      </c>
      <c r="L647" s="7" t="inlineStr">
        <is>
          <t>NÃO</t>
        </is>
      </c>
      <c r="M647" s="7" t="inlineStr">
        <is>
          <t>0,00% (Lei nº 10.925/2004)</t>
        </is>
      </c>
      <c r="N647" s="7" t="inlineStr">
        <is>
          <t>0,925% (LC nº 224/2025)</t>
        </is>
      </c>
      <c r="O647" s="7" t="inlineStr">
        <is>
          <t>0,365% (LC nº 224/2025)</t>
        </is>
      </c>
      <c r="P647" s="7" t="inlineStr">
        <is>
          <t>CST 06</t>
        </is>
      </c>
      <c r="Q647" s="7" t="inlineStr">
        <is>
          <t>CST 73</t>
        </is>
      </c>
      <c r="R647" s="7" t="inlineStr">
        <is>
          <t>Redução de 60% + Diferimento (Art. 138 e Anexo IX LC 214/2025)</t>
        </is>
      </c>
    </row>
    <row r="648" ht="22" customHeight="1">
      <c r="A648" s="12" t="inlineStr">
        <is>
          <t>SKU-0644</t>
        </is>
      </c>
      <c r="B648" s="11" t="n">
        <v>453</v>
      </c>
      <c r="C648" s="13" t="inlineStr">
        <is>
          <t>Nº 6922</t>
        </is>
      </c>
      <c r="D648" s="14" t="inlineStr">
        <is>
          <t>INSECTRIN</t>
        </is>
      </c>
      <c r="E648" s="13" t="inlineStr">
        <is>
          <t>Faixa 1 TIPI (Apresentação &lt;= 300 g ou mL)</t>
        </is>
      </c>
      <c r="F648" s="13" t="inlineStr">
        <is>
          <t>Fracionado / Amostra &lt;= 0,3 L</t>
        </is>
      </c>
      <c r="G648" s="13" t="inlineStr">
        <is>
          <t>L</t>
        </is>
      </c>
      <c r="H648" s="18" t="n">
        <v>0.3</v>
      </c>
      <c r="I648" s="13" t="inlineStr">
        <is>
          <t>3808.61.00</t>
        </is>
      </c>
      <c r="J648" s="13" t="inlineStr">
        <is>
          <t>SIM</t>
        </is>
      </c>
      <c r="K648" s="13" t="inlineStr">
        <is>
          <t>Embalagem Rígida — LAVÁVEL (Obrigatória Tríplice Lavagem ou Pressão)</t>
        </is>
      </c>
      <c r="L648" s="13" t="inlineStr">
        <is>
          <t>NÃO</t>
        </is>
      </c>
      <c r="M648" s="13" t="inlineStr">
        <is>
          <t>0,00% (Lei nº 10.925/2004)</t>
        </is>
      </c>
      <c r="N648" s="13" t="inlineStr">
        <is>
          <t>0,925% (LC nº 224/2025)</t>
        </is>
      </c>
      <c r="O648" s="13" t="inlineStr">
        <is>
          <t>0,365% (LC nº 224/2025)</t>
        </is>
      </c>
      <c r="P648" s="13" t="inlineStr">
        <is>
          <t>CST 06</t>
        </is>
      </c>
      <c r="Q648" s="13" t="inlineStr">
        <is>
          <t>CST 73</t>
        </is>
      </c>
      <c r="R648" s="13" t="inlineStr">
        <is>
          <t>Redução de 60% + Diferimento (Art. 138 e Anexo IX LC 214/2025)</t>
        </is>
      </c>
    </row>
    <row r="649" ht="22" customHeight="1">
      <c r="A649" s="6" t="inlineStr">
        <is>
          <t>SKU-0645</t>
        </is>
      </c>
      <c r="B649" s="5" t="n">
        <v>454</v>
      </c>
      <c r="C649" s="7" t="inlineStr">
        <is>
          <t>Nº 6922</t>
        </is>
      </c>
      <c r="D649" s="8" t="inlineStr">
        <is>
          <t>INSECTRIN</t>
        </is>
      </c>
      <c r="E649" s="7" t="inlineStr">
        <is>
          <t>Embalagem Comercial do Produto</t>
        </is>
      </c>
      <c r="F649" s="7" t="inlineStr">
        <is>
          <t>2X10L (10 L)</t>
        </is>
      </c>
      <c r="G649" s="7" t="inlineStr">
        <is>
          <t>L</t>
        </is>
      </c>
      <c r="H649" s="9" t="n">
        <v>10</v>
      </c>
      <c r="I649" s="7" t="inlineStr">
        <is>
          <t>3808.69.90</t>
        </is>
      </c>
      <c r="J649" s="7" t="inlineStr">
        <is>
          <t>SIM</t>
        </is>
      </c>
      <c r="K649" s="7" t="inlineStr">
        <is>
          <t>Embalagem Rígida — LAVÁVEL (Obrigatória Tríplice Lavagem ou Pressão)</t>
        </is>
      </c>
      <c r="L649" s="7" t="inlineStr">
        <is>
          <t>NÃO</t>
        </is>
      </c>
      <c r="M649" s="7" t="inlineStr">
        <is>
          <t>0,00% (Lei nº 10.925/2004)</t>
        </is>
      </c>
      <c r="N649" s="7" t="inlineStr">
        <is>
          <t>0,925% (LC nº 224/2025)</t>
        </is>
      </c>
      <c r="O649" s="7" t="inlineStr">
        <is>
          <t>0,365% (LC nº 224/2025)</t>
        </is>
      </c>
      <c r="P649" s="7" t="inlineStr">
        <is>
          <t>CST 06</t>
        </is>
      </c>
      <c r="Q649" s="7" t="inlineStr">
        <is>
          <t>CST 73</t>
        </is>
      </c>
      <c r="R649" s="7" t="inlineStr">
        <is>
          <t>Redução de 60% + Diferimento (Art. 138 e Anexo IX LC 214/2025)</t>
        </is>
      </c>
    </row>
    <row r="650" ht="22" customHeight="1">
      <c r="A650" s="12" t="inlineStr">
        <is>
          <t>SKU-0646</t>
        </is>
      </c>
      <c r="B650" s="11" t="n">
        <v>454</v>
      </c>
      <c r="C650" s="13" t="inlineStr">
        <is>
          <t>Nº 6922</t>
        </is>
      </c>
      <c r="D650" s="14" t="inlineStr">
        <is>
          <t>INSECTRIN</t>
        </is>
      </c>
      <c r="E650" s="13" t="inlineStr">
        <is>
          <t>Faixa 1 TIPI (Apresentação &lt;= 300 g ou mL)</t>
        </is>
      </c>
      <c r="F650" s="13" t="inlineStr">
        <is>
          <t>Fracionado / Amostra &lt;= 0,3 L</t>
        </is>
      </c>
      <c r="G650" s="13" t="inlineStr">
        <is>
          <t>L</t>
        </is>
      </c>
      <c r="H650" s="18" t="n">
        <v>0.3</v>
      </c>
      <c r="I650" s="13" t="inlineStr">
        <is>
          <t>3808.61.00</t>
        </is>
      </c>
      <c r="J650" s="13" t="inlineStr">
        <is>
          <t>SIM</t>
        </is>
      </c>
      <c r="K650" s="13" t="inlineStr">
        <is>
          <t>Embalagem Rígida — LAVÁVEL (Obrigatória Tríplice Lavagem ou Pressão)</t>
        </is>
      </c>
      <c r="L650" s="13" t="inlineStr">
        <is>
          <t>NÃO</t>
        </is>
      </c>
      <c r="M650" s="13" t="inlineStr">
        <is>
          <t>0,00% (Lei nº 10.925/2004)</t>
        </is>
      </c>
      <c r="N650" s="13" t="inlineStr">
        <is>
          <t>0,925% (LC nº 224/2025)</t>
        </is>
      </c>
      <c r="O650" s="13" t="inlineStr">
        <is>
          <t>0,365% (LC nº 224/2025)</t>
        </is>
      </c>
      <c r="P650" s="13" t="inlineStr">
        <is>
          <t>CST 06</t>
        </is>
      </c>
      <c r="Q650" s="13" t="inlineStr">
        <is>
          <t>CST 73</t>
        </is>
      </c>
      <c r="R650" s="13" t="inlineStr">
        <is>
          <t>Redução de 60% + Diferimento (Art. 138 e Anexo IX LC 214/2025)</t>
        </is>
      </c>
    </row>
    <row r="651" ht="22" customHeight="1">
      <c r="A651" s="6" t="inlineStr">
        <is>
          <t>SKU-0647</t>
        </is>
      </c>
      <c r="B651" s="5" t="n">
        <v>455</v>
      </c>
      <c r="C651" s="7" t="inlineStr">
        <is>
          <t>Nº 6223</t>
        </is>
      </c>
      <c r="D651" s="8" t="inlineStr">
        <is>
          <t>RIDOWN FULL</t>
        </is>
      </c>
      <c r="E651" s="7" t="inlineStr">
        <is>
          <t>Embalagem Comercial do Produto</t>
        </is>
      </c>
      <c r="F651" s="7" t="inlineStr">
        <is>
          <t>20L (20 L)</t>
        </is>
      </c>
      <c r="G651" s="7" t="inlineStr">
        <is>
          <t>L</t>
        </is>
      </c>
      <c r="H651" s="9" t="n">
        <v>20</v>
      </c>
      <c r="I651" s="7" t="inlineStr">
        <is>
          <t>3808.93.24</t>
        </is>
      </c>
      <c r="J651" s="7" t="inlineStr">
        <is>
          <t>NÃO</t>
        </is>
      </c>
      <c r="K651" s="7" t="inlineStr">
        <is>
          <t>Embalagem Rígida — LAVÁVEL (Obrigatória Tríplice Lavagem ou Pressão)</t>
        </is>
      </c>
      <c r="L651" s="7" t="inlineStr">
        <is>
          <t>NÃO</t>
        </is>
      </c>
      <c r="M651" s="7" t="inlineStr">
        <is>
          <t>0,00% (Lei nº 10.925/2004)</t>
        </is>
      </c>
      <c r="N651" s="7" t="inlineStr">
        <is>
          <t>0,925% (LC nº 224/2025)</t>
        </is>
      </c>
      <c r="O651" s="7" t="inlineStr">
        <is>
          <t>0,365% (LC nº 224/2025)</t>
        </is>
      </c>
      <c r="P651" s="7" t="inlineStr">
        <is>
          <t>CST 06</t>
        </is>
      </c>
      <c r="Q651" s="7" t="inlineStr">
        <is>
          <t>CST 73</t>
        </is>
      </c>
      <c r="R651" s="7" t="inlineStr">
        <is>
          <t>Redução de 60% + Diferimento (Art. 138 e Anexo IX LC 214/2025)</t>
        </is>
      </c>
    </row>
    <row r="652" ht="22" customHeight="1">
      <c r="A652" s="12" t="inlineStr">
        <is>
          <t>SKU-0648</t>
        </is>
      </c>
      <c r="B652" s="11" t="n">
        <v>456</v>
      </c>
      <c r="C652" s="13" t="inlineStr">
        <is>
          <t>Nº 28120</t>
        </is>
      </c>
      <c r="D652" s="14" t="inlineStr">
        <is>
          <t>WIDCLEAR</t>
        </is>
      </c>
      <c r="E652" s="13" t="inlineStr">
        <is>
          <t>Embalagem Comercial do Produto</t>
        </is>
      </c>
      <c r="F652" s="13" t="inlineStr">
        <is>
          <t>20L (20 L)</t>
        </is>
      </c>
      <c r="G652" s="13" t="inlineStr">
        <is>
          <t>L</t>
        </is>
      </c>
      <c r="H652" s="15" t="n">
        <v>20</v>
      </c>
      <c r="I652" s="13" t="inlineStr">
        <is>
          <t>3808.93.29</t>
        </is>
      </c>
      <c r="J652" s="13" t="inlineStr">
        <is>
          <t>NÃO</t>
        </is>
      </c>
      <c r="K652" s="13" t="inlineStr">
        <is>
          <t>Embalagem Rígida — LAVÁVEL (Obrigatória Tríplice Lavagem ou Pressão)</t>
        </is>
      </c>
      <c r="L652" s="13" t="inlineStr">
        <is>
          <t>NÃO</t>
        </is>
      </c>
      <c r="M652" s="13" t="inlineStr">
        <is>
          <t>0,00% (Lei nº 10.925/2004)</t>
        </is>
      </c>
      <c r="N652" s="13" t="inlineStr">
        <is>
          <t>0,925% (LC nº 224/2025)</t>
        </is>
      </c>
      <c r="O652" s="13" t="inlineStr">
        <is>
          <t>0,365% (LC nº 224/2025)</t>
        </is>
      </c>
      <c r="P652" s="13" t="inlineStr">
        <is>
          <t>CST 06</t>
        </is>
      </c>
      <c r="Q652" s="13" t="inlineStr">
        <is>
          <t>CST 73</t>
        </is>
      </c>
      <c r="R652" s="13" t="inlineStr">
        <is>
          <t>Redução de 60% + Diferimento (Art. 138 e Anexo IX LC 214/2025)</t>
        </is>
      </c>
    </row>
    <row r="653" ht="22" customHeight="1">
      <c r="A653" s="6" t="inlineStr">
        <is>
          <t>SKU-0649</t>
        </is>
      </c>
      <c r="B653" s="5" t="n">
        <v>456</v>
      </c>
      <c r="C653" s="7" t="inlineStr">
        <is>
          <t>Nº 28120</t>
        </is>
      </c>
      <c r="D653" s="8" t="inlineStr">
        <is>
          <t>WIDCLEAR</t>
        </is>
      </c>
      <c r="E653" s="7" t="inlineStr">
        <is>
          <t>Faixa 1 TIPI (Apresentação &lt;= 300 g ou mL)</t>
        </is>
      </c>
      <c r="F653" s="7" t="inlineStr">
        <is>
          <t>Fracionado / Amostra &lt;= 0,3 L</t>
        </is>
      </c>
      <c r="G653" s="7" t="inlineStr">
        <is>
          <t>L</t>
        </is>
      </c>
      <c r="H653" s="17" t="n">
        <v>0.3</v>
      </c>
      <c r="I653" s="7" t="inlineStr">
        <is>
          <t>3808.93.19</t>
        </is>
      </c>
      <c r="J653" s="7" t="inlineStr">
        <is>
          <t>NÃO</t>
        </is>
      </c>
      <c r="K653" s="7" t="inlineStr">
        <is>
          <t>Embalagem Rígida — LAVÁVEL (Obrigatória Tríplice Lavagem ou Pressão)</t>
        </is>
      </c>
      <c r="L653" s="7" t="inlineStr">
        <is>
          <t>NÃO</t>
        </is>
      </c>
      <c r="M653" s="7" t="inlineStr">
        <is>
          <t>0,00% (Lei nº 10.925/2004)</t>
        </is>
      </c>
      <c r="N653" s="7" t="inlineStr">
        <is>
          <t>0,925% (LC nº 224/2025)</t>
        </is>
      </c>
      <c r="O653" s="7" t="inlineStr">
        <is>
          <t>0,365% (LC nº 224/2025)</t>
        </is>
      </c>
      <c r="P653" s="7" t="inlineStr">
        <is>
          <t>CST 06</t>
        </is>
      </c>
      <c r="Q653" s="7" t="inlineStr">
        <is>
          <t>CST 73</t>
        </is>
      </c>
      <c r="R653" s="7" t="inlineStr">
        <is>
          <t>Redução de 60% + Diferimento (Art. 138 e Anexo IX LC 214/2025)</t>
        </is>
      </c>
    </row>
    <row r="654" ht="22" customHeight="1">
      <c r="A654" s="12" t="inlineStr">
        <is>
          <t>SKU-0650</t>
        </is>
      </c>
      <c r="B654" s="11" t="n">
        <v>457</v>
      </c>
      <c r="C654" s="13" t="inlineStr">
        <is>
          <t>Nº 34122</t>
        </is>
      </c>
      <c r="D654" s="14" t="inlineStr">
        <is>
          <t>DURAX</t>
        </is>
      </c>
      <c r="E654" s="13" t="inlineStr">
        <is>
          <t>Embalagem Comercial do Produto</t>
        </is>
      </c>
      <c r="F654" s="13" t="inlineStr">
        <is>
          <t>1X20L (20 L)</t>
        </is>
      </c>
      <c r="G654" s="13" t="inlineStr">
        <is>
          <t>L</t>
        </is>
      </c>
      <c r="H654" s="15" t="n">
        <v>20</v>
      </c>
      <c r="I654" s="13" t="inlineStr">
        <is>
          <t>3808.93.29</t>
        </is>
      </c>
      <c r="J654" s="13" t="inlineStr">
        <is>
          <t>NÃO</t>
        </is>
      </c>
      <c r="K654" s="13" t="inlineStr">
        <is>
          <t>Embalagem Rígida — LAVÁVEL (Obrigatória Tríplice Lavagem ou Pressão)</t>
        </is>
      </c>
      <c r="L654" s="13" t="inlineStr">
        <is>
          <t>NÃO</t>
        </is>
      </c>
      <c r="M654" s="13" t="inlineStr">
        <is>
          <t>0,00% (Lei nº 10.925/2004)</t>
        </is>
      </c>
      <c r="N654" s="13" t="inlineStr">
        <is>
          <t>0,925% (LC nº 224/2025)</t>
        </is>
      </c>
      <c r="O654" s="13" t="inlineStr">
        <is>
          <t>0,365% (LC nº 224/2025)</t>
        </is>
      </c>
      <c r="P654" s="13" t="inlineStr">
        <is>
          <t>CST 06</t>
        </is>
      </c>
      <c r="Q654" s="13" t="inlineStr">
        <is>
          <t>CST 73</t>
        </is>
      </c>
      <c r="R654" s="13" t="inlineStr">
        <is>
          <t>Redução de 60% + Diferimento (Art. 138 e Anexo IX LC 214/2025)</t>
        </is>
      </c>
    </row>
    <row r="655" ht="22" customHeight="1">
      <c r="A655" s="6" t="inlineStr">
        <is>
          <t>SKU-0651</t>
        </is>
      </c>
      <c r="B655" s="5" t="n">
        <v>458</v>
      </c>
      <c r="C655" s="7" t="inlineStr">
        <is>
          <t>Nº 6922</t>
        </is>
      </c>
      <c r="D655" s="8" t="inlineStr">
        <is>
          <t>COFENRIN</t>
        </is>
      </c>
      <c r="E655" s="7" t="inlineStr">
        <is>
          <t>Embalagem Comercial do Produto</t>
        </is>
      </c>
      <c r="F655" s="7" t="inlineStr">
        <is>
          <t>4X5L (5 L)</t>
        </is>
      </c>
      <c r="G655" s="7" t="inlineStr">
        <is>
          <t>L</t>
        </is>
      </c>
      <c r="H655" s="9" t="n">
        <v>5</v>
      </c>
      <c r="I655" s="7" t="inlineStr">
        <is>
          <t>3808.62.90</t>
        </is>
      </c>
      <c r="J655" s="7" t="inlineStr">
        <is>
          <t>SIM</t>
        </is>
      </c>
      <c r="K655" s="7" t="inlineStr">
        <is>
          <t>Embalagem Rígida — LAVÁVEL (Obrigatória Tríplice Lavagem ou Pressão)</t>
        </is>
      </c>
      <c r="L655" s="7" t="inlineStr">
        <is>
          <t>NÃO</t>
        </is>
      </c>
      <c r="M655" s="7" t="inlineStr">
        <is>
          <t>0,00% (Lei nº 10.925/2004)</t>
        </is>
      </c>
      <c r="N655" s="7" t="inlineStr">
        <is>
          <t>0,925% (LC nº 224/2025)</t>
        </is>
      </c>
      <c r="O655" s="7" t="inlineStr">
        <is>
          <t>0,365% (LC nº 224/2025)</t>
        </is>
      </c>
      <c r="P655" s="7" t="inlineStr">
        <is>
          <t>CST 06</t>
        </is>
      </c>
      <c r="Q655" s="7" t="inlineStr">
        <is>
          <t>CST 73</t>
        </is>
      </c>
      <c r="R655" s="7" t="inlineStr">
        <is>
          <t>Redução de 60% + Diferimento (Art. 138 e Anexo IX LC 214/2025)</t>
        </is>
      </c>
    </row>
    <row r="656" ht="22" customHeight="1">
      <c r="A656" s="12" t="inlineStr">
        <is>
          <t>SKU-0652</t>
        </is>
      </c>
      <c r="B656" s="11" t="n">
        <v>458</v>
      </c>
      <c r="C656" s="13" t="inlineStr">
        <is>
          <t>Nº 6922</t>
        </is>
      </c>
      <c r="D656" s="14" t="inlineStr">
        <is>
          <t>COFENRIN</t>
        </is>
      </c>
      <c r="E656" s="13" t="inlineStr">
        <is>
          <t>Faixa 1 TIPI (Apresentação &lt;= 300 g ou mL)</t>
        </is>
      </c>
      <c r="F656" s="13" t="inlineStr">
        <is>
          <t>Fracionado / Amostra &lt;= 0,3 L</t>
        </is>
      </c>
      <c r="G656" s="13" t="inlineStr">
        <is>
          <t>L</t>
        </is>
      </c>
      <c r="H656" s="18" t="n">
        <v>0.3</v>
      </c>
      <c r="I656" s="13" t="inlineStr">
        <is>
          <t>3808.61.00</t>
        </is>
      </c>
      <c r="J656" s="13" t="inlineStr">
        <is>
          <t>SIM</t>
        </is>
      </c>
      <c r="K656" s="13" t="inlineStr">
        <is>
          <t>Embalagem Rígida — LAVÁVEL (Obrigatória Tríplice Lavagem ou Pressão)</t>
        </is>
      </c>
      <c r="L656" s="13" t="inlineStr">
        <is>
          <t>NÃO</t>
        </is>
      </c>
      <c r="M656" s="13" t="inlineStr">
        <is>
          <t>0,00% (Lei nº 10.925/2004)</t>
        </is>
      </c>
      <c r="N656" s="13" t="inlineStr">
        <is>
          <t>0,925% (LC nº 224/2025)</t>
        </is>
      </c>
      <c r="O656" s="13" t="inlineStr">
        <is>
          <t>0,365% (LC nº 224/2025)</t>
        </is>
      </c>
      <c r="P656" s="13" t="inlineStr">
        <is>
          <t>CST 06</t>
        </is>
      </c>
      <c r="Q656" s="13" t="inlineStr">
        <is>
          <t>CST 73</t>
        </is>
      </c>
      <c r="R656" s="13" t="inlineStr">
        <is>
          <t>Redução de 60% + Diferimento (Art. 138 e Anexo IX LC 214/2025)</t>
        </is>
      </c>
    </row>
    <row r="657" ht="22" customHeight="1">
      <c r="A657" s="6" t="inlineStr">
        <is>
          <t>SKU-0653</t>
        </is>
      </c>
      <c r="B657" s="5" t="n">
        <v>459</v>
      </c>
      <c r="C657" s="7" t="inlineStr">
        <is>
          <t>Nº 27323</t>
        </is>
      </c>
      <c r="D657" s="8" t="inlineStr">
        <is>
          <t>ACEGOL</t>
        </is>
      </c>
      <c r="E657" s="7" t="inlineStr">
        <is>
          <t>Embalagem Comercial do Produto</t>
        </is>
      </c>
      <c r="F657" s="7" t="inlineStr">
        <is>
          <t>4X5KG (5 KG)</t>
        </is>
      </c>
      <c r="G657" s="7" t="inlineStr">
        <is>
          <t>KG</t>
        </is>
      </c>
      <c r="H657" s="9" t="n">
        <v>5</v>
      </c>
      <c r="I657" s="7" t="inlineStr">
        <is>
          <t>3808.91.99</t>
        </is>
      </c>
      <c r="J657" s="7" t="inlineStr">
        <is>
          <t>NÃO</t>
        </is>
      </c>
      <c r="K657" s="7" t="inlineStr">
        <is>
          <t>Embalagem Flexível — NÃO LAVÁVEL (Perfurar e usar saco ABNT)</t>
        </is>
      </c>
      <c r="L657" s="7" t="inlineStr">
        <is>
          <t>SIM (Saco Transparente ABNT)</t>
        </is>
      </c>
      <c r="M657" s="7" t="inlineStr">
        <is>
          <t>0,00% (Lei nº 10.925/2004)</t>
        </is>
      </c>
      <c r="N657" s="7" t="inlineStr">
        <is>
          <t>0,925% (LC nº 224/2025)</t>
        </is>
      </c>
      <c r="O657" s="7" t="inlineStr">
        <is>
          <t>0,365% (LC nº 224/2025)</t>
        </is>
      </c>
      <c r="P657" s="7" t="inlineStr">
        <is>
          <t>CST 06</t>
        </is>
      </c>
      <c r="Q657" s="7" t="inlineStr">
        <is>
          <t>CST 73</t>
        </is>
      </c>
      <c r="R657" s="7" t="inlineStr">
        <is>
          <t>Redução de 60% + Diferimento (Art. 138 e Anexo IX LC 214/2025)</t>
        </is>
      </c>
    </row>
    <row r="658" ht="22" customHeight="1">
      <c r="A658" s="12" t="inlineStr">
        <is>
          <t>SKU-0654</t>
        </is>
      </c>
      <c r="B658" s="11" t="n">
        <v>460</v>
      </c>
      <c r="C658" s="13" t="inlineStr">
        <is>
          <t>Nº 45419</t>
        </is>
      </c>
      <c r="D658" s="14" t="inlineStr">
        <is>
          <t>CLORPIRI 480 EC</t>
        </is>
      </c>
      <c r="E658" s="13" t="inlineStr">
        <is>
          <t>Embalagem Comercial do Produto</t>
        </is>
      </c>
      <c r="F658" s="13" t="inlineStr">
        <is>
          <t>1X20L (20 L)</t>
        </is>
      </c>
      <c r="G658" s="13" t="inlineStr">
        <is>
          <t>L</t>
        </is>
      </c>
      <c r="H658" s="15" t="n">
        <v>20</v>
      </c>
      <c r="I658" s="13" t="inlineStr">
        <is>
          <t>3808.91.99</t>
        </is>
      </c>
      <c r="J658" s="13" t="inlineStr">
        <is>
          <t>NÃO</t>
        </is>
      </c>
      <c r="K658" s="13" t="inlineStr">
        <is>
          <t>Embalagem Rígida — LAVÁVEL (Obrigatória Tríplice Lavagem ou Pressão)</t>
        </is>
      </c>
      <c r="L658" s="13" t="inlineStr">
        <is>
          <t>NÃO</t>
        </is>
      </c>
      <c r="M658" s="13" t="inlineStr">
        <is>
          <t>0,00% (Lei nº 10.925/2004)</t>
        </is>
      </c>
      <c r="N658" s="13" t="inlineStr">
        <is>
          <t>0,925% (LC nº 224/2025)</t>
        </is>
      </c>
      <c r="O658" s="13" t="inlineStr">
        <is>
          <t>0,365% (LC nº 224/2025)</t>
        </is>
      </c>
      <c r="P658" s="13" t="inlineStr">
        <is>
          <t>CST 06</t>
        </is>
      </c>
      <c r="Q658" s="13" t="inlineStr">
        <is>
          <t>CST 73</t>
        </is>
      </c>
      <c r="R658" s="13" t="inlineStr">
        <is>
          <t>Redução de 60% + Diferimento (Art. 138 e Anexo IX LC 214/2025)</t>
        </is>
      </c>
    </row>
    <row r="659" ht="22" customHeight="1">
      <c r="A659" s="6" t="inlineStr">
        <is>
          <t>SKU-0655</t>
        </is>
      </c>
      <c r="B659" s="5" t="n">
        <v>461</v>
      </c>
      <c r="C659" s="7" t="inlineStr">
        <is>
          <t>Nº 33424</t>
        </is>
      </c>
      <c r="D659" s="8" t="inlineStr">
        <is>
          <t>SANKARI</t>
        </is>
      </c>
      <c r="E659" s="7" t="inlineStr">
        <is>
          <t>Embalagem Comercial do Produto</t>
        </is>
      </c>
      <c r="F659" s="7" t="inlineStr">
        <is>
          <t>4X5L (5 L)</t>
        </is>
      </c>
      <c r="G659" s="7" t="inlineStr">
        <is>
          <t>L</t>
        </is>
      </c>
      <c r="H659" s="9" t="n">
        <v>5</v>
      </c>
      <c r="I659" s="7" t="inlineStr">
        <is>
          <t>3808.91.99</t>
        </is>
      </c>
      <c r="J659" s="7" t="inlineStr">
        <is>
          <t>NÃO</t>
        </is>
      </c>
      <c r="K659" s="7" t="inlineStr">
        <is>
          <t>Embalagem Rígida — LAVÁVEL (Obrigatória Tríplice Lavagem ou Pressão)</t>
        </is>
      </c>
      <c r="L659" s="7" t="inlineStr">
        <is>
          <t>NÃO</t>
        </is>
      </c>
      <c r="M659" s="7" t="inlineStr">
        <is>
          <t>0,00% (Lei nº 10.925/2004)</t>
        </is>
      </c>
      <c r="N659" s="7" t="inlineStr">
        <is>
          <t>0,925% (LC nº 224/2025)</t>
        </is>
      </c>
      <c r="O659" s="7" t="inlineStr">
        <is>
          <t>0,365% (LC nº 224/2025)</t>
        </is>
      </c>
      <c r="P659" s="7" t="inlineStr">
        <is>
          <t>CST 06</t>
        </is>
      </c>
      <c r="Q659" s="7" t="inlineStr">
        <is>
          <t>CST 73</t>
        </is>
      </c>
      <c r="R659" s="7" t="inlineStr">
        <is>
          <t>Redução de 60% + Diferimento (Art. 138 e Anexo IX LC 214/2025)</t>
        </is>
      </c>
    </row>
    <row r="660" ht="22" customHeight="1">
      <c r="A660" s="12" t="inlineStr">
        <is>
          <t>SKU-0656</t>
        </is>
      </c>
      <c r="B660" s="11" t="n">
        <v>462</v>
      </c>
      <c r="C660" s="13" t="inlineStr">
        <is>
          <t>Nº 37624</t>
        </is>
      </c>
      <c r="D660" s="14" t="inlineStr">
        <is>
          <t>SIGOLI</t>
        </is>
      </c>
      <c r="E660" s="13" t="inlineStr">
        <is>
          <t>Embalagem Comercial do Produto</t>
        </is>
      </c>
      <c r="F660" s="13" t="inlineStr">
        <is>
          <t>4X5L (5 L)</t>
        </is>
      </c>
      <c r="G660" s="13" t="inlineStr">
        <is>
          <t>L</t>
        </is>
      </c>
      <c r="H660" s="15" t="n">
        <v>5</v>
      </c>
      <c r="I660" s="13" t="inlineStr">
        <is>
          <t>3808.91.99</t>
        </is>
      </c>
      <c r="J660" s="13" t="inlineStr">
        <is>
          <t>NÃO</t>
        </is>
      </c>
      <c r="K660" s="13" t="inlineStr">
        <is>
          <t>Embalagem Rígida — LAVÁVEL (Obrigatória Tríplice Lavagem ou Pressão)</t>
        </is>
      </c>
      <c r="L660" s="13" t="inlineStr">
        <is>
          <t>NÃO</t>
        </is>
      </c>
      <c r="M660" s="13" t="inlineStr">
        <is>
          <t>0,00% (Lei nº 10.925/2004)</t>
        </is>
      </c>
      <c r="N660" s="13" t="inlineStr">
        <is>
          <t>0,925% (LC nº 224/2025)</t>
        </is>
      </c>
      <c r="O660" s="13" t="inlineStr">
        <is>
          <t>0,365% (LC nº 224/2025)</t>
        </is>
      </c>
      <c r="P660" s="13" t="inlineStr">
        <is>
          <t>CST 06</t>
        </is>
      </c>
      <c r="Q660" s="13" t="inlineStr">
        <is>
          <t>CST 73</t>
        </is>
      </c>
      <c r="R660" s="13" t="inlineStr">
        <is>
          <t>Redução de 60% + Diferimento (Art. 138 e Anexo IX LC 214/2025)</t>
        </is>
      </c>
    </row>
    <row r="661" ht="22" customHeight="1">
      <c r="A661" s="6" t="inlineStr">
        <is>
          <t>SKU-0657</t>
        </is>
      </c>
      <c r="B661" s="5" t="n">
        <v>463</v>
      </c>
      <c r="C661" s="7" t="inlineStr">
        <is>
          <t>Nº 34122</t>
        </is>
      </c>
      <c r="D661" s="8" t="inlineStr">
        <is>
          <t>DURAX</t>
        </is>
      </c>
      <c r="E661" s="7" t="inlineStr">
        <is>
          <t>Embalagem Comercial do Produto</t>
        </is>
      </c>
      <c r="F661" s="7" t="inlineStr">
        <is>
          <t>1X20L (20 L)</t>
        </is>
      </c>
      <c r="G661" s="7" t="inlineStr">
        <is>
          <t>L</t>
        </is>
      </c>
      <c r="H661" s="9" t="n">
        <v>20</v>
      </c>
      <c r="I661" s="7" t="inlineStr">
        <is>
          <t>3808.93.29</t>
        </is>
      </c>
      <c r="J661" s="7" t="inlineStr">
        <is>
          <t>NÃO</t>
        </is>
      </c>
      <c r="K661" s="7" t="inlineStr">
        <is>
          <t>Embalagem Rígida — LAVÁVEL (Obrigatória Tríplice Lavagem ou Pressão)</t>
        </is>
      </c>
      <c r="L661" s="7" t="inlineStr">
        <is>
          <t>NÃO</t>
        </is>
      </c>
      <c r="M661" s="7" t="inlineStr">
        <is>
          <t>0,00% (Lei nº 10.925/2004)</t>
        </is>
      </c>
      <c r="N661" s="7" t="inlineStr">
        <is>
          <t>0,925% (LC nº 224/2025)</t>
        </is>
      </c>
      <c r="O661" s="7" t="inlineStr">
        <is>
          <t>0,365% (LC nº 224/2025)</t>
        </is>
      </c>
      <c r="P661" s="7" t="inlineStr">
        <is>
          <t>CST 06</t>
        </is>
      </c>
      <c r="Q661" s="7" t="inlineStr">
        <is>
          <t>CST 73</t>
        </is>
      </c>
      <c r="R661" s="7" t="inlineStr">
        <is>
          <t>Redução de 60% + Diferimento (Art. 138 e Anexo IX LC 214/2025)</t>
        </is>
      </c>
    </row>
    <row r="662" ht="22" customHeight="1">
      <c r="A662" s="12" t="inlineStr">
        <is>
          <t>SKU-0658</t>
        </is>
      </c>
      <c r="B662" s="11" t="n">
        <v>464</v>
      </c>
      <c r="C662" s="13" t="inlineStr">
        <is>
          <t>Nº 1223</t>
        </is>
      </c>
      <c r="D662" s="14" t="inlineStr">
        <is>
          <t>FULLGUARD</t>
        </is>
      </c>
      <c r="E662" s="13" t="inlineStr">
        <is>
          <t>Embalagem Comercial do Produto</t>
        </is>
      </c>
      <c r="F662" s="13" t="inlineStr">
        <is>
          <t>20L (20 L)</t>
        </is>
      </c>
      <c r="G662" s="13" t="inlineStr">
        <is>
          <t>L</t>
        </is>
      </c>
      <c r="H662" s="15" t="n">
        <v>20</v>
      </c>
      <c r="I662" s="13" t="inlineStr">
        <is>
          <t>3808.93.29</t>
        </is>
      </c>
      <c r="J662" s="13" t="inlineStr">
        <is>
          <t>NÃO</t>
        </is>
      </c>
      <c r="K662" s="13" t="inlineStr">
        <is>
          <t>Embalagem Rígida — LAVÁVEL (Obrigatória Tríplice Lavagem ou Pressão)</t>
        </is>
      </c>
      <c r="L662" s="13" t="inlineStr">
        <is>
          <t>NÃO</t>
        </is>
      </c>
      <c r="M662" s="13" t="inlineStr">
        <is>
          <t>0,00% (Lei nº 10.925/2004)</t>
        </is>
      </c>
      <c r="N662" s="13" t="inlineStr">
        <is>
          <t>0,925% (LC nº 224/2025)</t>
        </is>
      </c>
      <c r="O662" s="13" t="inlineStr">
        <is>
          <t>0,365% (LC nº 224/2025)</t>
        </is>
      </c>
      <c r="P662" s="13" t="inlineStr">
        <is>
          <t>CST 06</t>
        </is>
      </c>
      <c r="Q662" s="13" t="inlineStr">
        <is>
          <t>CST 73</t>
        </is>
      </c>
      <c r="R662" s="13" t="inlineStr">
        <is>
          <t>Redução de 60% + Diferimento (Art. 138 e Anexo IX LC 214/2025)</t>
        </is>
      </c>
    </row>
    <row r="663" ht="22" customHeight="1">
      <c r="A663" s="6" t="inlineStr">
        <is>
          <t>SKU-0659</t>
        </is>
      </c>
      <c r="B663" s="5" t="n">
        <v>465</v>
      </c>
      <c r="C663" s="7" t="inlineStr">
        <is>
          <t>Nº 13714</t>
        </is>
      </c>
      <c r="D663" s="8" t="inlineStr">
        <is>
          <t>WIPE OUT</t>
        </is>
      </c>
      <c r="E663" s="7" t="inlineStr">
        <is>
          <t>Embalagem Comercial do Produto</t>
        </is>
      </c>
      <c r="F663" s="7" t="inlineStr">
        <is>
          <t>1X20KG (20 KG)</t>
        </is>
      </c>
      <c r="G663" s="7" t="inlineStr">
        <is>
          <t>KG</t>
        </is>
      </c>
      <c r="H663" s="9" t="n">
        <v>20</v>
      </c>
      <c r="I663" s="7" t="inlineStr">
        <is>
          <t>3808.93.24</t>
        </is>
      </c>
      <c r="J663" s="7" t="inlineStr">
        <is>
          <t>NÃO</t>
        </is>
      </c>
      <c r="K663" s="7" t="inlineStr">
        <is>
          <t>Embalagem Flexível — NÃO LAVÁVEL (Perfurar e usar saco ABNT)</t>
        </is>
      </c>
      <c r="L663" s="7" t="inlineStr">
        <is>
          <t>SIM (Saco Transparente ABNT)</t>
        </is>
      </c>
      <c r="M663" s="7" t="inlineStr">
        <is>
          <t>0,00% (Lei nº 10.925/2004)</t>
        </is>
      </c>
      <c r="N663" s="7" t="inlineStr">
        <is>
          <t>0,925% (LC nº 224/2025)</t>
        </is>
      </c>
      <c r="O663" s="7" t="inlineStr">
        <is>
          <t>0,365% (LC nº 224/2025)</t>
        </is>
      </c>
      <c r="P663" s="7" t="inlineStr">
        <is>
          <t>CST 06</t>
        </is>
      </c>
      <c r="Q663" s="7" t="inlineStr">
        <is>
          <t>CST 73</t>
        </is>
      </c>
      <c r="R663" s="7" t="inlineStr">
        <is>
          <t>Redução de 60% + Diferimento (Art. 138 e Anexo IX LC 214/2025)</t>
        </is>
      </c>
    </row>
    <row r="664" ht="22" customHeight="1">
      <c r="A664" s="12" t="inlineStr">
        <is>
          <t>SKU-0660</t>
        </is>
      </c>
      <c r="B664" s="11" t="n">
        <v>466</v>
      </c>
      <c r="C664" s="13" t="inlineStr">
        <is>
          <t>Nº 32224</t>
        </is>
      </c>
      <c r="D664" s="14" t="inlineStr">
        <is>
          <t>PYRIPROXYFEN 100 SINO-AGRI</t>
        </is>
      </c>
      <c r="E664" s="13" t="inlineStr">
        <is>
          <t>Embalagem Comercial do Produto</t>
        </is>
      </c>
      <c r="F664" s="13" t="inlineStr">
        <is>
          <t>1X20L (20 L)</t>
        </is>
      </c>
      <c r="G664" s="13" t="inlineStr">
        <is>
          <t>L</t>
        </is>
      </c>
      <c r="H664" s="15" t="n">
        <v>20</v>
      </c>
      <c r="I664" s="13" t="inlineStr">
        <is>
          <t>3808.91.99</t>
        </is>
      </c>
      <c r="J664" s="13" t="inlineStr">
        <is>
          <t>NÃO</t>
        </is>
      </c>
      <c r="K664" s="13" t="inlineStr">
        <is>
          <t>Embalagem Rígida — LAVÁVEL (Obrigatória Tríplice Lavagem ou Pressão)</t>
        </is>
      </c>
      <c r="L664" s="13" t="inlineStr">
        <is>
          <t>NÃO</t>
        </is>
      </c>
      <c r="M664" s="13" t="inlineStr">
        <is>
          <t>0,00% (Lei nº 10.925/2004)</t>
        </is>
      </c>
      <c r="N664" s="13" t="inlineStr">
        <is>
          <t>0,925% (LC nº 224/2025)</t>
        </is>
      </c>
      <c r="O664" s="13" t="inlineStr">
        <is>
          <t>0,365% (LC nº 224/2025)</t>
        </is>
      </c>
      <c r="P664" s="13" t="inlineStr">
        <is>
          <t>CST 06</t>
        </is>
      </c>
      <c r="Q664" s="13" t="inlineStr">
        <is>
          <t>CST 73</t>
        </is>
      </c>
      <c r="R664" s="13" t="inlineStr">
        <is>
          <t>Redução de 60% + Diferimento (Art. 138 e Anexo IX LC 214/2025)</t>
        </is>
      </c>
    </row>
    <row r="665" ht="22" customHeight="1">
      <c r="A665" s="6" t="inlineStr">
        <is>
          <t>SKU-0661</t>
        </is>
      </c>
      <c r="B665" s="5" t="n">
        <v>467</v>
      </c>
      <c r="C665" s="7" t="inlineStr">
        <is>
          <t>Nº 15925</t>
        </is>
      </c>
      <c r="D665" s="8" t="inlineStr">
        <is>
          <t>CHETTAK GOLD</t>
        </is>
      </c>
      <c r="E665" s="7" t="inlineStr">
        <is>
          <t>Embalagem Comercial do Produto</t>
        </is>
      </c>
      <c r="F665" s="7" t="inlineStr">
        <is>
          <t>4X5KG (5 KG)</t>
        </is>
      </c>
      <c r="G665" s="7" t="inlineStr">
        <is>
          <t>KG</t>
        </is>
      </c>
      <c r="H665" s="9" t="n">
        <v>5</v>
      </c>
      <c r="I665" s="7" t="inlineStr">
        <is>
          <t>3808.91.91</t>
        </is>
      </c>
      <c r="J665" s="7" t="inlineStr">
        <is>
          <t>NÃO</t>
        </is>
      </c>
      <c r="K665" s="7" t="inlineStr">
        <is>
          <t>Embalagem Flexível — NÃO LAVÁVEL (Perfurar e usar saco ABNT)</t>
        </is>
      </c>
      <c r="L665" s="7" t="inlineStr">
        <is>
          <t>SIM (Saco Transparente ABNT)</t>
        </is>
      </c>
      <c r="M665" s="7" t="inlineStr">
        <is>
          <t>0,00% (Lei nº 10.925/2004)</t>
        </is>
      </c>
      <c r="N665" s="7" t="inlineStr">
        <is>
          <t>0,925% (LC nº 224/2025)</t>
        </is>
      </c>
      <c r="O665" s="7" t="inlineStr">
        <is>
          <t>0,365% (LC nº 224/2025)</t>
        </is>
      </c>
      <c r="P665" s="7" t="inlineStr">
        <is>
          <t>CST 06</t>
        </is>
      </c>
      <c r="Q665" s="7" t="inlineStr">
        <is>
          <t>CST 73</t>
        </is>
      </c>
      <c r="R665" s="7" t="inlineStr">
        <is>
          <t>Redução de 60% + Diferimento (Art. 138 e Anexo IX LC 214/2025)</t>
        </is>
      </c>
    </row>
    <row r="666" ht="22" customHeight="1">
      <c r="A666" s="12" t="inlineStr">
        <is>
          <t>SKU-0662</t>
        </is>
      </c>
      <c r="B666" s="11" t="n">
        <v>468</v>
      </c>
      <c r="C666" s="13" t="inlineStr">
        <is>
          <t>SIPEAGRO (UF-XXXXX)</t>
        </is>
      </c>
      <c r="D666" s="14" t="inlineStr">
        <is>
          <t>NPK 05-30-10 BB MCF (TON) (AGENCIADA)</t>
        </is>
      </c>
      <c r="E666" s="13" t="inlineStr">
        <is>
          <t>Embalagem Comercial do Produto</t>
        </is>
      </c>
      <c r="F666" s="13" t="inlineStr">
        <is>
          <t>GRANEL / BIG BAG (1000 TL)</t>
        </is>
      </c>
      <c r="G666" s="13" t="inlineStr">
        <is>
          <t>TL</t>
        </is>
      </c>
      <c r="H666" s="15" t="n">
        <v>1</v>
      </c>
      <c r="I666" s="13" t="inlineStr">
        <is>
          <t>3105.90.90</t>
        </is>
      </c>
      <c r="J666" s="13" t="inlineStr">
        <is>
          <t>NÃO</t>
        </is>
      </c>
      <c r="K666" s="13" t="inlineStr">
        <is>
          <t>Embalagem Flexível — NÃO LAVÁVEL (Perfurar e usar saco ABNT)</t>
        </is>
      </c>
      <c r="L666" s="13" t="inlineStr">
        <is>
          <t>SIM (Saco Transparente ABNT)</t>
        </is>
      </c>
      <c r="M666" s="13" t="inlineStr">
        <is>
          <t>0,00% (Lei nº 10.925/2004)</t>
        </is>
      </c>
      <c r="N666" s="13" t="inlineStr">
        <is>
          <t>0,925% (LC nº 224/2025)</t>
        </is>
      </c>
      <c r="O666" s="13" t="inlineStr">
        <is>
          <t>0,365% (LC nº 224/2025)</t>
        </is>
      </c>
      <c r="P666" s="13" t="inlineStr">
        <is>
          <t>CST 06</t>
        </is>
      </c>
      <c r="Q666" s="13" t="inlineStr">
        <is>
          <t>CST 73</t>
        </is>
      </c>
      <c r="R666" s="13" t="inlineStr">
        <is>
          <t>Redução de 60% + Diferimento (Art. 138 e Anexo IX LC 214/2025)</t>
        </is>
      </c>
    </row>
    <row r="667" ht="22" customHeight="1">
      <c r="A667" s="6" t="inlineStr">
        <is>
          <t>SKU-0663</t>
        </is>
      </c>
      <c r="B667" s="5" t="n">
        <v>468</v>
      </c>
      <c r="C667" s="7" t="inlineStr">
        <is>
          <t>SIPEAGRO (UF-XXXXX)</t>
        </is>
      </c>
      <c r="D667" s="8" t="inlineStr">
        <is>
          <t>NPK 05-30-10 BB MCF (TON) (AGENCIADA)</t>
        </is>
      </c>
      <c r="E667" s="7" t="inlineStr">
        <is>
          <t>Faixa 1 TIPI (Apresentação &lt;= 300 g ou mL)</t>
        </is>
      </c>
      <c r="F667" s="7" t="inlineStr">
        <is>
          <t>Fracionado / Amostra &lt;= 0,3 TL</t>
        </is>
      </c>
      <c r="G667" s="7" t="inlineStr">
        <is>
          <t>TL</t>
        </is>
      </c>
      <c r="H667" s="17" t="n">
        <v>0.3</v>
      </c>
      <c r="I667" s="7" t="inlineStr">
        <is>
          <t>3105.20.00</t>
        </is>
      </c>
      <c r="J667" s="7" t="inlineStr">
        <is>
          <t>NÃO</t>
        </is>
      </c>
      <c r="K667" s="7" t="inlineStr">
        <is>
          <t>Embalagem Flexível — NÃO LAVÁVEL (Perfurar e usar saco ABNT)</t>
        </is>
      </c>
      <c r="L667" s="7" t="inlineStr">
        <is>
          <t>SIM (Saco Transparente ABNT)</t>
        </is>
      </c>
      <c r="M667" s="7" t="inlineStr">
        <is>
          <t>0,00% (Lei nº 10.925/2004)</t>
        </is>
      </c>
      <c r="N667" s="7" t="inlineStr">
        <is>
          <t>0,925% (LC nº 224/2025)</t>
        </is>
      </c>
      <c r="O667" s="7" t="inlineStr">
        <is>
          <t>0,365% (LC nº 224/2025)</t>
        </is>
      </c>
      <c r="P667" s="7" t="inlineStr">
        <is>
          <t>CST 06</t>
        </is>
      </c>
      <c r="Q667" s="7" t="inlineStr">
        <is>
          <t>CST 73</t>
        </is>
      </c>
      <c r="R667" s="7" t="inlineStr">
        <is>
          <t>Redução de 60% + Diferimento (Art. 138 e Anexo IX LC 214/2025)</t>
        </is>
      </c>
    </row>
    <row r="668" ht="22" customHeight="1">
      <c r="A668" s="12" t="inlineStr">
        <is>
          <t>SKU-0664</t>
        </is>
      </c>
      <c r="B668" s="11" t="n">
        <v>469</v>
      </c>
      <c r="C668" s="13" t="inlineStr">
        <is>
          <t>SIPEAGRO (UF-XXXXX)</t>
        </is>
      </c>
      <c r="D668" s="14" t="inlineStr">
        <is>
          <t>NPK 20-00-20 (TON) (AGENCIADA)</t>
        </is>
      </c>
      <c r="E668" s="13" t="inlineStr">
        <is>
          <t>Embalagem Comercial do Produto</t>
        </is>
      </c>
      <c r="F668" s="13" t="inlineStr">
        <is>
          <t>GRANEL / BIG BAG (1000 TL)</t>
        </is>
      </c>
      <c r="G668" s="13" t="inlineStr">
        <is>
          <t>TL</t>
        </is>
      </c>
      <c r="H668" s="15" t="n">
        <v>1</v>
      </c>
      <c r="I668" s="13" t="inlineStr">
        <is>
          <t>3105.90.90</t>
        </is>
      </c>
      <c r="J668" s="13" t="inlineStr">
        <is>
          <t>NÃO</t>
        </is>
      </c>
      <c r="K668" s="13" t="inlineStr">
        <is>
          <t>Embalagem Flexível — NÃO LAVÁVEL (Perfurar e usar saco ABNT)</t>
        </is>
      </c>
      <c r="L668" s="13" t="inlineStr">
        <is>
          <t>SIM (Saco Transparente ABNT)</t>
        </is>
      </c>
      <c r="M668" s="13" t="inlineStr">
        <is>
          <t>0,00% (Lei nº 10.925/2004)</t>
        </is>
      </c>
      <c r="N668" s="13" t="inlineStr">
        <is>
          <t>0,925% (LC nº 224/2025)</t>
        </is>
      </c>
      <c r="O668" s="13" t="inlineStr">
        <is>
          <t>0,365% (LC nº 224/2025)</t>
        </is>
      </c>
      <c r="P668" s="13" t="inlineStr">
        <is>
          <t>CST 06</t>
        </is>
      </c>
      <c r="Q668" s="13" t="inlineStr">
        <is>
          <t>CST 73</t>
        </is>
      </c>
      <c r="R668" s="13" t="inlineStr">
        <is>
          <t>Redução de 60% + Diferimento (Art. 138 e Anexo IX LC 214/2025)</t>
        </is>
      </c>
    </row>
    <row r="669" ht="22" customHeight="1">
      <c r="A669" s="6" t="inlineStr">
        <is>
          <t>SKU-0665</t>
        </is>
      </c>
      <c r="B669" s="5" t="n">
        <v>469</v>
      </c>
      <c r="C669" s="7" t="inlineStr">
        <is>
          <t>SIPEAGRO (UF-XXXXX)</t>
        </is>
      </c>
      <c r="D669" s="8" t="inlineStr">
        <is>
          <t>NPK 20-00-20 (TON) (AGENCIADA)</t>
        </is>
      </c>
      <c r="E669" s="7" t="inlineStr">
        <is>
          <t>Faixa 1 TIPI (Apresentação &lt;= 300 g ou mL)</t>
        </is>
      </c>
      <c r="F669" s="7" t="inlineStr">
        <is>
          <t>Fracionado / Amostra &lt;= 0,3 TL</t>
        </is>
      </c>
      <c r="G669" s="7" t="inlineStr">
        <is>
          <t>TL</t>
        </is>
      </c>
      <c r="H669" s="17" t="n">
        <v>0.3</v>
      </c>
      <c r="I669" s="7" t="inlineStr">
        <is>
          <t>3105.20.00</t>
        </is>
      </c>
      <c r="J669" s="7" t="inlineStr">
        <is>
          <t>NÃO</t>
        </is>
      </c>
      <c r="K669" s="7" t="inlineStr">
        <is>
          <t>Embalagem Flexível — NÃO LAVÁVEL (Perfurar e usar saco ABNT)</t>
        </is>
      </c>
      <c r="L669" s="7" t="inlineStr">
        <is>
          <t>SIM (Saco Transparente ABNT)</t>
        </is>
      </c>
      <c r="M669" s="7" t="inlineStr">
        <is>
          <t>0,00% (Lei nº 10.925/2004)</t>
        </is>
      </c>
      <c r="N669" s="7" t="inlineStr">
        <is>
          <t>0,925% (LC nº 224/2025)</t>
        </is>
      </c>
      <c r="O669" s="7" t="inlineStr">
        <is>
          <t>0,365% (LC nº 224/2025)</t>
        </is>
      </c>
      <c r="P669" s="7" t="inlineStr">
        <is>
          <t>CST 06</t>
        </is>
      </c>
      <c r="Q669" s="7" t="inlineStr">
        <is>
          <t>CST 73</t>
        </is>
      </c>
      <c r="R669" s="7" t="inlineStr">
        <is>
          <t>Redução de 60% + Diferimento (Art. 138 e Anexo IX LC 214/2025)</t>
        </is>
      </c>
    </row>
    <row r="670" ht="22" customHeight="1">
      <c r="A670" s="12" t="inlineStr">
        <is>
          <t>SKU-0666</t>
        </is>
      </c>
      <c r="B670" s="11" t="n">
        <v>470</v>
      </c>
      <c r="C670" s="13" t="inlineStr">
        <is>
          <t>Nº 23922</t>
        </is>
      </c>
      <c r="D670" s="14" t="inlineStr">
        <is>
          <t>GRASIDIM FULL</t>
        </is>
      </c>
      <c r="E670" s="13" t="inlineStr">
        <is>
          <t>Embalagem Comercial do Produto</t>
        </is>
      </c>
      <c r="F670" s="13" t="inlineStr">
        <is>
          <t>4X5L (5 L)</t>
        </is>
      </c>
      <c r="G670" s="13" t="inlineStr">
        <is>
          <t>L</t>
        </is>
      </c>
      <c r="H670" s="15" t="n">
        <v>5</v>
      </c>
      <c r="I670" s="13" t="inlineStr">
        <is>
          <t>3808.93.29</t>
        </is>
      </c>
      <c r="J670" s="13" t="inlineStr">
        <is>
          <t>NÃO</t>
        </is>
      </c>
      <c r="K670" s="13" t="inlineStr">
        <is>
          <t>Embalagem Rígida — LAVÁVEL (Obrigatória Tríplice Lavagem ou Pressão)</t>
        </is>
      </c>
      <c r="L670" s="13" t="inlineStr">
        <is>
          <t>NÃO</t>
        </is>
      </c>
      <c r="M670" s="13" t="inlineStr">
        <is>
          <t>0,00% (Lei nº 10.925/2004)</t>
        </is>
      </c>
      <c r="N670" s="13" t="inlineStr">
        <is>
          <t>0,925% (LC nº 224/2025)</t>
        </is>
      </c>
      <c r="O670" s="13" t="inlineStr">
        <is>
          <t>0,365% (LC nº 224/2025)</t>
        </is>
      </c>
      <c r="P670" s="13" t="inlineStr">
        <is>
          <t>CST 06</t>
        </is>
      </c>
      <c r="Q670" s="13" t="inlineStr">
        <is>
          <t>CST 73</t>
        </is>
      </c>
      <c r="R670" s="13" t="inlineStr">
        <is>
          <t>Redução de 60% + Diferimento (Art. 138 e Anexo IX LC 214/2025)</t>
        </is>
      </c>
    </row>
    <row r="671" ht="22" customHeight="1">
      <c r="A671" s="6" t="inlineStr">
        <is>
          <t>SKU-0667</t>
        </is>
      </c>
      <c r="B671" s="5" t="n">
        <v>470</v>
      </c>
      <c r="C671" s="7" t="inlineStr">
        <is>
          <t>Nº 23922</t>
        </is>
      </c>
      <c r="D671" s="8" t="inlineStr">
        <is>
          <t>GRASIDIM FULL</t>
        </is>
      </c>
      <c r="E671" s="7" t="inlineStr">
        <is>
          <t>Faixa 1 TIPI (Apresentação &lt;= 300 g ou mL)</t>
        </is>
      </c>
      <c r="F671" s="7" t="inlineStr">
        <is>
          <t>Fracionado / Amostra &lt;= 0,3 L</t>
        </is>
      </c>
      <c r="G671" s="7" t="inlineStr">
        <is>
          <t>L</t>
        </is>
      </c>
      <c r="H671" s="17" t="n">
        <v>0.3</v>
      </c>
      <c r="I671" s="7" t="inlineStr">
        <is>
          <t>3808.93.19</t>
        </is>
      </c>
      <c r="J671" s="7" t="inlineStr">
        <is>
          <t>NÃO</t>
        </is>
      </c>
      <c r="K671" s="7" t="inlineStr">
        <is>
          <t>Embalagem Rígida — LAVÁVEL (Obrigatória Tríplice Lavagem ou Pressão)</t>
        </is>
      </c>
      <c r="L671" s="7" t="inlineStr">
        <is>
          <t>NÃO</t>
        </is>
      </c>
      <c r="M671" s="7" t="inlineStr">
        <is>
          <t>0,00% (Lei nº 10.925/2004)</t>
        </is>
      </c>
      <c r="N671" s="7" t="inlineStr">
        <is>
          <t>0,925% (LC nº 224/2025)</t>
        </is>
      </c>
      <c r="O671" s="7" t="inlineStr">
        <is>
          <t>0,365% (LC nº 224/2025)</t>
        </is>
      </c>
      <c r="P671" s="7" t="inlineStr">
        <is>
          <t>CST 06</t>
        </is>
      </c>
      <c r="Q671" s="7" t="inlineStr">
        <is>
          <t>CST 73</t>
        </is>
      </c>
      <c r="R671" s="7" t="inlineStr">
        <is>
          <t>Redução de 60% + Diferimento (Art. 138 e Anexo IX LC 214/2025)</t>
        </is>
      </c>
    </row>
    <row r="672" ht="22" customHeight="1">
      <c r="A672" s="12" t="inlineStr">
        <is>
          <t>SKU-0668</t>
        </is>
      </c>
      <c r="B672" s="11" t="n">
        <v>471</v>
      </c>
      <c r="C672" s="13" t="inlineStr">
        <is>
          <t>Nº 31522</t>
        </is>
      </c>
      <c r="D672" s="14" t="inlineStr">
        <is>
          <t>METOMY 900</t>
        </is>
      </c>
      <c r="E672" s="13" t="inlineStr">
        <is>
          <t>Embalagem Comercial do Produto</t>
        </is>
      </c>
      <c r="F672" s="13" t="inlineStr">
        <is>
          <t>4X5KG (5 KG)</t>
        </is>
      </c>
      <c r="G672" s="13" t="inlineStr">
        <is>
          <t>KG</t>
        </is>
      </c>
      <c r="H672" s="15" t="n">
        <v>5</v>
      </c>
      <c r="I672" s="13" t="inlineStr">
        <is>
          <t>3808.91.99</t>
        </is>
      </c>
      <c r="J672" s="13" t="inlineStr">
        <is>
          <t>NÃO</t>
        </is>
      </c>
      <c r="K672" s="13" t="inlineStr">
        <is>
          <t>Embalagem Flexível — NÃO LAVÁVEL (Perfurar e usar saco ABNT)</t>
        </is>
      </c>
      <c r="L672" s="13" t="inlineStr">
        <is>
          <t>SIM (Saco Transparente ABNT)</t>
        </is>
      </c>
      <c r="M672" s="13" t="inlineStr">
        <is>
          <t>0,00% (Lei nº 10.925/2004)</t>
        </is>
      </c>
      <c r="N672" s="13" t="inlineStr">
        <is>
          <t>0,925% (LC nº 224/2025)</t>
        </is>
      </c>
      <c r="O672" s="13" t="inlineStr">
        <is>
          <t>0,365% (LC nº 224/2025)</t>
        </is>
      </c>
      <c r="P672" s="13" t="inlineStr">
        <is>
          <t>CST 06</t>
        </is>
      </c>
      <c r="Q672" s="13" t="inlineStr">
        <is>
          <t>CST 73</t>
        </is>
      </c>
      <c r="R672" s="13" t="inlineStr">
        <is>
          <t>Redução de 60% + Diferimento (Art. 138 e Anexo IX LC 214/2025)</t>
        </is>
      </c>
    </row>
    <row r="673" ht="22" customHeight="1">
      <c r="A673" s="6" t="inlineStr">
        <is>
          <t>SKU-0669</t>
        </is>
      </c>
      <c r="B673" s="5" t="n">
        <v>472</v>
      </c>
      <c r="C673" s="7" t="inlineStr">
        <is>
          <t>SIPEAGRO (UF-XXXXX)</t>
        </is>
      </c>
      <c r="D673" s="8" t="inlineStr">
        <is>
          <t>BORO ULEXITA (TON) (AGENCIADA)</t>
        </is>
      </c>
      <c r="E673" s="7" t="inlineStr">
        <is>
          <t>Embalagem Comercial do Produto</t>
        </is>
      </c>
      <c r="F673" s="7" t="inlineStr">
        <is>
          <t>GRANEL / BIG BAG (1000 TL)</t>
        </is>
      </c>
      <c r="G673" s="7" t="inlineStr">
        <is>
          <t>TL</t>
        </is>
      </c>
      <c r="H673" s="9" t="n">
        <v>1</v>
      </c>
      <c r="I673" s="7" t="inlineStr">
        <is>
          <t>2528.00.00</t>
        </is>
      </c>
      <c r="J673" s="7" t="inlineStr">
        <is>
          <t>NÃO</t>
        </is>
      </c>
      <c r="K673" s="7" t="inlineStr">
        <is>
          <t>Embalagem Flexível — NÃO LAVÁVEL (Perfurar e usar saco ABNT)</t>
        </is>
      </c>
      <c r="L673" s="7" t="inlineStr">
        <is>
          <t>SIM (Saco Transparente ABNT)</t>
        </is>
      </c>
      <c r="M673" s="7" t="inlineStr">
        <is>
          <t>0,00% (Lei nº 10.925/2004)</t>
        </is>
      </c>
      <c r="N673" s="7" t="inlineStr">
        <is>
          <t>0,925% (LC nº 224/2025)</t>
        </is>
      </c>
      <c r="O673" s="7" t="inlineStr">
        <is>
          <t>0,365% (LC nº 224/2025)</t>
        </is>
      </c>
      <c r="P673" s="7" t="inlineStr">
        <is>
          <t>CST 06 (Uso Agrícola/Industrial)</t>
        </is>
      </c>
      <c r="Q673" s="7" t="inlineStr">
        <is>
          <t>CST 73 (Revenda / Destinação)</t>
        </is>
      </c>
      <c r="R673" s="7" t="inlineStr">
        <is>
          <t>Redução de 60% + Diferimento (Art. 138 LC 214/2025)</t>
        </is>
      </c>
    </row>
    <row r="674" ht="22" customHeight="1">
      <c r="A674" s="12" t="inlineStr">
        <is>
          <t>SKU-0670</t>
        </is>
      </c>
      <c r="B674" s="11" t="n">
        <v>472</v>
      </c>
      <c r="C674" s="13" t="inlineStr">
        <is>
          <t>SIPEAGRO (UF-XXXXX)</t>
        </is>
      </c>
      <c r="D674" s="14" t="inlineStr">
        <is>
          <t>BORO ULEXITA (TON) (AGENCIADA)</t>
        </is>
      </c>
      <c r="E674" s="13" t="inlineStr">
        <is>
          <t>Faixa 1 TIPI (Apresentação &lt;= 300 g ou mL)</t>
        </is>
      </c>
      <c r="F674" s="13" t="inlineStr">
        <is>
          <t>Fracionado / Amostra &lt;= 0,3 TL</t>
        </is>
      </c>
      <c r="G674" s="13" t="inlineStr">
        <is>
          <t>TL</t>
        </is>
      </c>
      <c r="H674" s="18" t="n">
        <v>0.3</v>
      </c>
      <c r="I674" s="13" t="inlineStr">
        <is>
          <t>3105.90.90</t>
        </is>
      </c>
      <c r="J674" s="13" t="inlineStr">
        <is>
          <t>NÃO</t>
        </is>
      </c>
      <c r="K674" s="13" t="inlineStr">
        <is>
          <t>Embalagem Flexível — NÃO LAVÁVEL (Perfurar e usar saco ABNT)</t>
        </is>
      </c>
      <c r="L674" s="13" t="inlineStr">
        <is>
          <t>SIM (Saco Transparente ABNT)</t>
        </is>
      </c>
      <c r="M674" s="13" t="inlineStr">
        <is>
          <t>0,00% (Lei nº 10.925/2004)</t>
        </is>
      </c>
      <c r="N674" s="13" t="inlineStr">
        <is>
          <t>0,925% (LC nº 224/2025)</t>
        </is>
      </c>
      <c r="O674" s="13" t="inlineStr">
        <is>
          <t>0,365% (LC nº 224/2025)</t>
        </is>
      </c>
      <c r="P674" s="13" t="inlineStr">
        <is>
          <t>CST 06 (Uso Agrícola/Industrial)</t>
        </is>
      </c>
      <c r="Q674" s="13" t="inlineStr">
        <is>
          <t>CST 73 (Revenda / Destinação)</t>
        </is>
      </c>
      <c r="R674" s="13" t="inlineStr">
        <is>
          <t>Redução de 60% + Diferimento (Art. 138 LC 214/2025)</t>
        </is>
      </c>
    </row>
    <row r="675" ht="22" customHeight="1">
      <c r="A675" s="6" t="inlineStr">
        <is>
          <t>SKU-0671</t>
        </is>
      </c>
      <c r="B675" s="5" t="n">
        <v>473</v>
      </c>
      <c r="C675" s="7" t="inlineStr">
        <is>
          <t>SIPEAGRO (UF-XXXXX)</t>
        </is>
      </c>
      <c r="D675" s="8" t="inlineStr">
        <is>
          <t>BORO ULEXITA (TON) (IMP)</t>
        </is>
      </c>
      <c r="E675" s="7" t="inlineStr">
        <is>
          <t>Embalagem Comercial do Produto</t>
        </is>
      </c>
      <c r="F675" s="7" t="inlineStr">
        <is>
          <t>GRANEL / BIG BAG (1000 TL)</t>
        </is>
      </c>
      <c r="G675" s="7" t="inlineStr">
        <is>
          <t>TL</t>
        </is>
      </c>
      <c r="H675" s="9" t="n">
        <v>1</v>
      </c>
      <c r="I675" s="7" t="inlineStr">
        <is>
          <t>2528.00.00</t>
        </is>
      </c>
      <c r="J675" s="7" t="inlineStr">
        <is>
          <t>NÃO</t>
        </is>
      </c>
      <c r="K675" s="7" t="inlineStr">
        <is>
          <t>Embalagem Flexível — NÃO LAVÁVEL (Perfurar e usar saco ABNT)</t>
        </is>
      </c>
      <c r="L675" s="7" t="inlineStr">
        <is>
          <t>SIM (Saco Transparente ABNT)</t>
        </is>
      </c>
      <c r="M675" s="7" t="inlineStr">
        <is>
          <t>0,00% (Lei nº 10.925/2004)</t>
        </is>
      </c>
      <c r="N675" s="7" t="inlineStr">
        <is>
          <t>0,925% (LC nº 224/2025)</t>
        </is>
      </c>
      <c r="O675" s="7" t="inlineStr">
        <is>
          <t>0,365% (LC nº 224/2025)</t>
        </is>
      </c>
      <c r="P675" s="7" t="inlineStr">
        <is>
          <t>CST 06 (Uso Agrícola/Industrial)</t>
        </is>
      </c>
      <c r="Q675" s="7" t="inlineStr">
        <is>
          <t>CST 73 (Revenda / Destinação)</t>
        </is>
      </c>
      <c r="R675" s="7" t="inlineStr">
        <is>
          <t>Redução de 60% + Diferimento (Art. 138 LC 214/2025)</t>
        </is>
      </c>
    </row>
    <row r="676" ht="22" customHeight="1">
      <c r="A676" s="12" t="inlineStr">
        <is>
          <t>SKU-0672</t>
        </is>
      </c>
      <c r="B676" s="11" t="n">
        <v>473</v>
      </c>
      <c r="C676" s="13" t="inlineStr">
        <is>
          <t>SIPEAGRO (UF-XXXXX)</t>
        </is>
      </c>
      <c r="D676" s="14" t="inlineStr">
        <is>
          <t>BORO ULEXITA (TON) (IMP)</t>
        </is>
      </c>
      <c r="E676" s="13" t="inlineStr">
        <is>
          <t>Faixa 1 TIPI (Apresentação &lt;= 300 g ou mL)</t>
        </is>
      </c>
      <c r="F676" s="13" t="inlineStr">
        <is>
          <t>Fracionado / Amostra &lt;= 0,3 TL</t>
        </is>
      </c>
      <c r="G676" s="13" t="inlineStr">
        <is>
          <t>TL</t>
        </is>
      </c>
      <c r="H676" s="18" t="n">
        <v>0.3</v>
      </c>
      <c r="I676" s="13" t="inlineStr">
        <is>
          <t>3105.90.90</t>
        </is>
      </c>
      <c r="J676" s="13" t="inlineStr">
        <is>
          <t>NÃO</t>
        </is>
      </c>
      <c r="K676" s="13" t="inlineStr">
        <is>
          <t>Embalagem Flexível — NÃO LAVÁVEL (Perfurar e usar saco ABNT)</t>
        </is>
      </c>
      <c r="L676" s="13" t="inlineStr">
        <is>
          <t>SIM (Saco Transparente ABNT)</t>
        </is>
      </c>
      <c r="M676" s="13" t="inlineStr">
        <is>
          <t>0,00% (Lei nº 10.925/2004)</t>
        </is>
      </c>
      <c r="N676" s="13" t="inlineStr">
        <is>
          <t>0,925% (LC nº 224/2025)</t>
        </is>
      </c>
      <c r="O676" s="13" t="inlineStr">
        <is>
          <t>0,365% (LC nº 224/2025)</t>
        </is>
      </c>
      <c r="P676" s="13" t="inlineStr">
        <is>
          <t>CST 06 (Uso Agrícola/Industrial)</t>
        </is>
      </c>
      <c r="Q676" s="13" t="inlineStr">
        <is>
          <t>CST 73 (Revenda / Destinação)</t>
        </is>
      </c>
      <c r="R676" s="13" t="inlineStr">
        <is>
          <t>Redução de 60% + Diferimento (Art. 138 LC 214/2025)</t>
        </is>
      </c>
    </row>
    <row r="677" ht="22" customHeight="1">
      <c r="A677" s="6" t="inlineStr">
        <is>
          <t>SKU-0673</t>
        </is>
      </c>
      <c r="B677" s="5" t="n">
        <v>474</v>
      </c>
      <c r="C677" s="7" t="inlineStr">
        <is>
          <t>Nº 20920</t>
        </is>
      </c>
      <c r="D677" s="8" t="inlineStr">
        <is>
          <t>TERBUTILAZINA 500 (PRINCIPIO ATIVO)</t>
        </is>
      </c>
      <c r="E677" s="7" t="inlineStr">
        <is>
          <t>Embalagem Comercial do Produto</t>
        </is>
      </c>
      <c r="F677" s="7" t="inlineStr">
        <is>
          <t>GRANEL / P.A. (0 L)</t>
        </is>
      </c>
      <c r="G677" s="7" t="inlineStr">
        <is>
          <t>L</t>
        </is>
      </c>
      <c r="H677" s="9" t="n">
        <v>0</v>
      </c>
      <c r="I677" s="7" t="inlineStr">
        <is>
          <t>3808.93.29</t>
        </is>
      </c>
      <c r="J677" s="7" t="inlineStr">
        <is>
          <t>NÃO</t>
        </is>
      </c>
      <c r="K677" s="7" t="inlineStr">
        <is>
          <t>Uso Industrial Exclusivo (PGRS / NBR 10004)</t>
        </is>
      </c>
      <c r="L677" s="7" t="inlineStr">
        <is>
          <t>NÃO</t>
        </is>
      </c>
      <c r="M677" s="7" t="inlineStr">
        <is>
          <t>0,00% (Lei nº 10.925/2004)</t>
        </is>
      </c>
      <c r="N677" s="7" t="inlineStr">
        <is>
          <t>0,925% (LC nº 224/2025)</t>
        </is>
      </c>
      <c r="O677" s="7" t="inlineStr">
        <is>
          <t>0,365% (LC nº 224/2025)</t>
        </is>
      </c>
      <c r="P677" s="7" t="inlineStr">
        <is>
          <t>CST 06 (Uso Agrícola/Industrial)</t>
        </is>
      </c>
      <c r="Q677" s="7" t="inlineStr">
        <is>
          <t>CST 73 (Revenda / Destinação)</t>
        </is>
      </c>
      <c r="R677" s="7" t="inlineStr">
        <is>
          <t>Redução de 60% + Diferimento (Art. 138 LC 214/2025)</t>
        </is>
      </c>
    </row>
    <row r="678" ht="22" customHeight="1">
      <c r="A678" s="12" t="inlineStr">
        <is>
          <t>SKU-0674</t>
        </is>
      </c>
      <c r="B678" s="11" t="n">
        <v>475</v>
      </c>
      <c r="C678" s="13" t="inlineStr">
        <is>
          <t>Nº 3623</t>
        </is>
      </c>
      <c r="D678" s="14" t="inlineStr">
        <is>
          <t>SUNGAIN PLUS 4X5(IMP)</t>
        </is>
      </c>
      <c r="E678" s="13" t="inlineStr">
        <is>
          <t>Embalagem Comercial do Produto</t>
        </is>
      </c>
      <c r="F678" s="13" t="inlineStr">
        <is>
          <t>EMBALAGEM PADRÃO (25 KG)</t>
        </is>
      </c>
      <c r="G678" s="13" t="inlineStr">
        <is>
          <t>KG</t>
        </is>
      </c>
      <c r="H678" s="15" t="n">
        <v>25</v>
      </c>
      <c r="I678" s="13" t="inlineStr">
        <is>
          <t>3808.93.27</t>
        </is>
      </c>
      <c r="J678" s="13" t="inlineStr">
        <is>
          <t>NÃO</t>
        </is>
      </c>
      <c r="K678" s="13" t="inlineStr">
        <is>
          <t>Embalagem Flexível — NÃO LAVÁVEL (Perfurar e usar saco ABNT)</t>
        </is>
      </c>
      <c r="L678" s="13" t="inlineStr">
        <is>
          <t>SIM (Saco Transparente ABNT)</t>
        </is>
      </c>
      <c r="M678" s="13" t="inlineStr">
        <is>
          <t>0,00% (Lei nº 10.925/2004)</t>
        </is>
      </c>
      <c r="N678" s="13" t="inlineStr">
        <is>
          <t>0,925% (LC nº 224/2025)</t>
        </is>
      </c>
      <c r="O678" s="13" t="inlineStr">
        <is>
          <t>0,365% (LC nº 224/2025)</t>
        </is>
      </c>
      <c r="P678" s="13" t="inlineStr">
        <is>
          <t>CST 06</t>
        </is>
      </c>
      <c r="Q678" s="13" t="inlineStr">
        <is>
          <t>CST 73</t>
        </is>
      </c>
      <c r="R678" s="13" t="inlineStr">
        <is>
          <t>Redução de 60% + Diferimento (Art. 138 e Anexo IX LC 214/2025)</t>
        </is>
      </c>
    </row>
    <row r="679" ht="22" customHeight="1">
      <c r="A679" s="6" t="inlineStr">
        <is>
          <t>SKU-0675</t>
        </is>
      </c>
      <c r="B679" s="5" t="n">
        <v>475</v>
      </c>
      <c r="C679" s="7" t="inlineStr">
        <is>
          <t>Nº 3623</t>
        </is>
      </c>
      <c r="D679" s="8" t="inlineStr">
        <is>
          <t>SUNGAIN PLUS 4X5(IMP)</t>
        </is>
      </c>
      <c r="E679" s="7" t="inlineStr">
        <is>
          <t>Faixa 1 TIPI (Apresentação &lt;= 300 g ou mL)</t>
        </is>
      </c>
      <c r="F679" s="7" t="inlineStr">
        <is>
          <t>Fracionado / Amostra &lt;= 0,3 KG</t>
        </is>
      </c>
      <c r="G679" s="7" t="inlineStr">
        <is>
          <t>KG</t>
        </is>
      </c>
      <c r="H679" s="17" t="n">
        <v>0.3</v>
      </c>
      <c r="I679" s="7" t="inlineStr">
        <is>
          <t>3808.93.19</t>
        </is>
      </c>
      <c r="J679" s="7" t="inlineStr">
        <is>
          <t>NÃO</t>
        </is>
      </c>
      <c r="K679" s="7" t="inlineStr">
        <is>
          <t>Embalagem Flexível — NÃO LAVÁVEL (Perfurar e usar saco ABNT)</t>
        </is>
      </c>
      <c r="L679" s="7" t="inlineStr">
        <is>
          <t>SIM (Saco Transparente ABNT)</t>
        </is>
      </c>
      <c r="M679" s="7" t="inlineStr">
        <is>
          <t>0,00% (Lei nº 10.925/2004)</t>
        </is>
      </c>
      <c r="N679" s="7" t="inlineStr">
        <is>
          <t>0,925% (LC nº 224/2025)</t>
        </is>
      </c>
      <c r="O679" s="7" t="inlineStr">
        <is>
          <t>0,365% (LC nº 224/2025)</t>
        </is>
      </c>
      <c r="P679" s="7" t="inlineStr">
        <is>
          <t>CST 06</t>
        </is>
      </c>
      <c r="Q679" s="7" t="inlineStr">
        <is>
          <t>CST 73</t>
        </is>
      </c>
      <c r="R679" s="7" t="inlineStr">
        <is>
          <t>Redução de 60% + Diferimento (Art. 138 e Anexo IX LC 214/2025)</t>
        </is>
      </c>
    </row>
    <row r="680" ht="22" customHeight="1">
      <c r="A680" s="12" t="inlineStr">
        <is>
          <t>SKU-0676</t>
        </is>
      </c>
      <c r="B680" s="11" t="n">
        <v>476</v>
      </c>
      <c r="C680" s="13" t="inlineStr">
        <is>
          <t>Nº 32224</t>
        </is>
      </c>
      <c r="D680" s="14" t="inlineStr">
        <is>
          <t>PYRIPROXYFEN 100 SINO-AGRI</t>
        </is>
      </c>
      <c r="E680" s="13" t="inlineStr">
        <is>
          <t>Embalagem Comercial do Produto</t>
        </is>
      </c>
      <c r="F680" s="13" t="inlineStr">
        <is>
          <t>4X5L (5 L)</t>
        </is>
      </c>
      <c r="G680" s="13" t="inlineStr">
        <is>
          <t>L</t>
        </is>
      </c>
      <c r="H680" s="15" t="n">
        <v>5</v>
      </c>
      <c r="I680" s="13" t="inlineStr">
        <is>
          <t>3808.91.99</t>
        </is>
      </c>
      <c r="J680" s="13" t="inlineStr">
        <is>
          <t>NÃO</t>
        </is>
      </c>
      <c r="K680" s="13" t="inlineStr">
        <is>
          <t>Embalagem Rígida — LAVÁVEL (Obrigatória Tríplice Lavagem ou Pressão)</t>
        </is>
      </c>
      <c r="L680" s="13" t="inlineStr">
        <is>
          <t>NÃO</t>
        </is>
      </c>
      <c r="M680" s="13" t="inlineStr">
        <is>
          <t>0,00% (Lei nº 10.925/2004)</t>
        </is>
      </c>
      <c r="N680" s="13" t="inlineStr">
        <is>
          <t>0,925% (LC nº 224/2025)</t>
        </is>
      </c>
      <c r="O680" s="13" t="inlineStr">
        <is>
          <t>0,365% (LC nº 224/2025)</t>
        </is>
      </c>
      <c r="P680" s="13" t="inlineStr">
        <is>
          <t>CST 06</t>
        </is>
      </c>
      <c r="Q680" s="13" t="inlineStr">
        <is>
          <t>CST 73</t>
        </is>
      </c>
      <c r="R680" s="13" t="inlineStr">
        <is>
          <t>Redução de 60% + Diferimento (Art. 138 e Anexo IX LC 214/2025)</t>
        </is>
      </c>
    </row>
    <row r="681" ht="22" customHeight="1">
      <c r="A681" s="6" t="inlineStr">
        <is>
          <t>SKU-0677</t>
        </is>
      </c>
      <c r="B681" s="5" t="n">
        <v>477</v>
      </c>
      <c r="C681" s="7" t="inlineStr">
        <is>
          <t>Nº 1924</t>
        </is>
      </c>
      <c r="D681" s="8" t="inlineStr">
        <is>
          <t>FORCEPS</t>
        </is>
      </c>
      <c r="E681" s="7" t="inlineStr">
        <is>
          <t>Embalagem Comercial do Produto</t>
        </is>
      </c>
      <c r="F681" s="7" t="inlineStr">
        <is>
          <t>1X10KG (10 KG)</t>
        </is>
      </c>
      <c r="G681" s="7" t="inlineStr">
        <is>
          <t>KG</t>
        </is>
      </c>
      <c r="H681" s="9" t="n">
        <v>10</v>
      </c>
      <c r="I681" s="7" t="inlineStr">
        <is>
          <t>3808.69.90</t>
        </is>
      </c>
      <c r="J681" s="7" t="inlineStr">
        <is>
          <t>SIM</t>
        </is>
      </c>
      <c r="K681" s="7" t="inlineStr">
        <is>
          <t>Embalagem Flexível — NÃO LAVÁVEL (Perfurar e usar saco ABNT)</t>
        </is>
      </c>
      <c r="L681" s="7" t="inlineStr">
        <is>
          <t>SIM (Saco Transparente ABNT)</t>
        </is>
      </c>
      <c r="M681" s="7" t="inlineStr">
        <is>
          <t>0,00% (Lei nº 10.925/2004)</t>
        </is>
      </c>
      <c r="N681" s="7" t="inlineStr">
        <is>
          <t>0,925% (LC nº 224/2025)</t>
        </is>
      </c>
      <c r="O681" s="7" t="inlineStr">
        <is>
          <t>0,365% (LC nº 224/2025)</t>
        </is>
      </c>
      <c r="P681" s="7" t="inlineStr">
        <is>
          <t>CST 06</t>
        </is>
      </c>
      <c r="Q681" s="7" t="inlineStr">
        <is>
          <t>CST 73</t>
        </is>
      </c>
      <c r="R681" s="7" t="inlineStr">
        <is>
          <t>Redução de 60% + Diferimento (Art. 138 e Anexo IX LC 214/2025)</t>
        </is>
      </c>
    </row>
    <row r="682" ht="22" customHeight="1">
      <c r="A682" s="12" t="inlineStr">
        <is>
          <t>SKU-0678</t>
        </is>
      </c>
      <c r="B682" s="11" t="n">
        <v>477</v>
      </c>
      <c r="C682" s="13" t="inlineStr">
        <is>
          <t>Nº 1924</t>
        </is>
      </c>
      <c r="D682" s="14" t="inlineStr">
        <is>
          <t>FORCEPS</t>
        </is>
      </c>
      <c r="E682" s="13" t="inlineStr">
        <is>
          <t>Faixa 1 TIPI (Apresentação &lt;= 300 g ou mL)</t>
        </is>
      </c>
      <c r="F682" s="13" t="inlineStr">
        <is>
          <t>Fracionado / Amostra &lt;= 0,3 KG</t>
        </is>
      </c>
      <c r="G682" s="13" t="inlineStr">
        <is>
          <t>KG</t>
        </is>
      </c>
      <c r="H682" s="18" t="n">
        <v>0.3</v>
      </c>
      <c r="I682" s="13" t="inlineStr">
        <is>
          <t>3808.61.00</t>
        </is>
      </c>
      <c r="J682" s="13" t="inlineStr">
        <is>
          <t>SIM</t>
        </is>
      </c>
      <c r="K682" s="13" t="inlineStr">
        <is>
          <t>Embalagem Flexível — NÃO LAVÁVEL (Perfurar e usar saco ABNT)</t>
        </is>
      </c>
      <c r="L682" s="13" t="inlineStr">
        <is>
          <t>SIM (Saco Transparente ABNT)</t>
        </is>
      </c>
      <c r="M682" s="13" t="inlineStr">
        <is>
          <t>0,00% (Lei nº 10.925/2004)</t>
        </is>
      </c>
      <c r="N682" s="13" t="inlineStr">
        <is>
          <t>0,925% (LC nº 224/2025)</t>
        </is>
      </c>
      <c r="O682" s="13" t="inlineStr">
        <is>
          <t>0,365% (LC nº 224/2025)</t>
        </is>
      </c>
      <c r="P682" s="13" t="inlineStr">
        <is>
          <t>CST 06</t>
        </is>
      </c>
      <c r="Q682" s="13" t="inlineStr">
        <is>
          <t>CST 73</t>
        </is>
      </c>
      <c r="R682" s="13" t="inlineStr">
        <is>
          <t>Redução de 60% + Diferimento (Art. 138 e Anexo IX LC 214/2025)</t>
        </is>
      </c>
    </row>
    <row r="683" ht="22" customHeight="1">
      <c r="A683" s="6" t="inlineStr">
        <is>
          <t>SKU-0679</t>
        </is>
      </c>
      <c r="B683" s="5" t="n">
        <v>478</v>
      </c>
      <c r="C683" s="7" t="inlineStr">
        <is>
          <t>VINCULAR MARCA</t>
        </is>
      </c>
      <c r="D683" s="8" t="inlineStr">
        <is>
          <t>PROCIMIDONA 500 (PRINCIPIO ATIVO)</t>
        </is>
      </c>
      <c r="E683" s="7" t="inlineStr">
        <is>
          <t>Embalagem Comercial do Produto</t>
        </is>
      </c>
      <c r="F683" s="7" t="inlineStr">
        <is>
          <t>GRANEL / P.A. (0 L)</t>
        </is>
      </c>
      <c r="G683" s="7" t="inlineStr">
        <is>
          <t>L</t>
        </is>
      </c>
      <c r="H683" s="9" t="n">
        <v>0</v>
      </c>
      <c r="I683" s="7" t="inlineStr">
        <is>
          <t>3808.92.99</t>
        </is>
      </c>
      <c r="J683" s="7" t="inlineStr">
        <is>
          <t>NÃO</t>
        </is>
      </c>
      <c r="K683" s="7" t="inlineStr">
        <is>
          <t>Uso Industrial Exclusivo (PGRS / NBR 10004)</t>
        </is>
      </c>
      <c r="L683" s="7" t="inlineStr">
        <is>
          <t>NÃO</t>
        </is>
      </c>
      <c r="M683" s="7" t="inlineStr">
        <is>
          <t>0,00% (Lei nº 10.925/2004)</t>
        </is>
      </c>
      <c r="N683" s="7" t="inlineStr">
        <is>
          <t>0,925% (LC nº 224/2025)</t>
        </is>
      </c>
      <c r="O683" s="7" t="inlineStr">
        <is>
          <t>0,365% (LC nº 224/2025)</t>
        </is>
      </c>
      <c r="P683" s="7" t="inlineStr">
        <is>
          <t>CST 06 (Uso Agrícola/Industrial)</t>
        </is>
      </c>
      <c r="Q683" s="7" t="inlineStr">
        <is>
          <t>CST 73 (Revenda / Destinação)</t>
        </is>
      </c>
      <c r="R683" s="7" t="inlineStr">
        <is>
          <t>Redução de 60% + Diferimento (Art. 138 LC 214/2025)</t>
        </is>
      </c>
    </row>
    <row r="684" ht="22" customHeight="1">
      <c r="A684" s="12" t="inlineStr">
        <is>
          <t>SKU-0680</t>
        </is>
      </c>
      <c r="B684" s="11" t="n">
        <v>478</v>
      </c>
      <c r="C684" s="13" t="inlineStr">
        <is>
          <t>VINCULAR MARCA</t>
        </is>
      </c>
      <c r="D684" s="14" t="inlineStr">
        <is>
          <t>PROCIMIDONA 500 (PRINCIPIO ATIVO)</t>
        </is>
      </c>
      <c r="E684" s="13" t="inlineStr">
        <is>
          <t>Faixa 1 TIPI (Apresentação &lt;= 300 g ou mL)</t>
        </is>
      </c>
      <c r="F684" s="13" t="inlineStr">
        <is>
          <t>Fracionado / Amostra &lt;= 0,3 L</t>
        </is>
      </c>
      <c r="G684" s="13" t="inlineStr">
        <is>
          <t>L</t>
        </is>
      </c>
      <c r="H684" s="18" t="n">
        <v>0.3</v>
      </c>
      <c r="I684" s="13" t="inlineStr">
        <is>
          <t>3808.92.20</t>
        </is>
      </c>
      <c r="J684" s="13" t="inlineStr">
        <is>
          <t>NÃO</t>
        </is>
      </c>
      <c r="K684" s="13" t="inlineStr">
        <is>
          <t>Uso Industrial Exclusivo (PGRS / NBR 10004)</t>
        </is>
      </c>
      <c r="L684" s="13" t="inlineStr">
        <is>
          <t>NÃO</t>
        </is>
      </c>
      <c r="M684" s="13" t="inlineStr">
        <is>
          <t>0,00% (Lei nº 10.925/2004)</t>
        </is>
      </c>
      <c r="N684" s="13" t="inlineStr">
        <is>
          <t>0,925% (LC nº 224/2025)</t>
        </is>
      </c>
      <c r="O684" s="13" t="inlineStr">
        <is>
          <t>0,365% (LC nº 224/2025)</t>
        </is>
      </c>
      <c r="P684" s="13" t="inlineStr">
        <is>
          <t>CST 06 (Uso Agrícola/Industrial)</t>
        </is>
      </c>
      <c r="Q684" s="13" t="inlineStr">
        <is>
          <t>CST 73 (Revenda / Destinação)</t>
        </is>
      </c>
      <c r="R684" s="13" t="inlineStr">
        <is>
          <t>Redução de 60% + Diferimento (Art. 138 LC 214/2025)</t>
        </is>
      </c>
    </row>
    <row r="685" ht="22" customHeight="1">
      <c r="A685" s="6" t="inlineStr">
        <is>
          <t>SKU-0681</t>
        </is>
      </c>
      <c r="B685" s="5" t="n">
        <v>479</v>
      </c>
      <c r="C685" s="7" t="inlineStr">
        <is>
          <t>Nº 19018</t>
        </is>
      </c>
      <c r="D685" s="8" t="inlineStr">
        <is>
          <t>CARTAGO</t>
        </is>
      </c>
      <c r="E685" s="7" t="inlineStr">
        <is>
          <t>Embalagem Comercial do Produto</t>
        </is>
      </c>
      <c r="F685" s="7" t="inlineStr">
        <is>
          <t>4X5L (5 L)</t>
        </is>
      </c>
      <c r="G685" s="7" t="inlineStr">
        <is>
          <t>L</t>
        </is>
      </c>
      <c r="H685" s="9" t="n">
        <v>5</v>
      </c>
      <c r="I685" s="7" t="inlineStr">
        <is>
          <t>3808.93.29</t>
        </is>
      </c>
      <c r="J685" s="7" t="inlineStr">
        <is>
          <t>NÃO</t>
        </is>
      </c>
      <c r="K685" s="7" t="inlineStr">
        <is>
          <t>Embalagem Rígida — LAVÁVEL (Obrigatória Tríplice Lavagem ou Pressão)</t>
        </is>
      </c>
      <c r="L685" s="7" t="inlineStr">
        <is>
          <t>NÃO</t>
        </is>
      </c>
      <c r="M685" s="7" t="inlineStr">
        <is>
          <t>0,00% (Lei nº 10.925/2004)</t>
        </is>
      </c>
      <c r="N685" s="7" t="inlineStr">
        <is>
          <t>0,925% (LC nº 224/2025)</t>
        </is>
      </c>
      <c r="O685" s="7" t="inlineStr">
        <is>
          <t>0,365% (LC nº 224/2025)</t>
        </is>
      </c>
      <c r="P685" s="7" t="inlineStr">
        <is>
          <t>CST 06</t>
        </is>
      </c>
      <c r="Q685" s="7" t="inlineStr">
        <is>
          <t>CST 73</t>
        </is>
      </c>
      <c r="R685" s="7" t="inlineStr">
        <is>
          <t>Redução de 60% + Diferimento (Art. 138 e Anexo IX LC 214/2025)</t>
        </is>
      </c>
    </row>
    <row r="686" ht="22" customHeight="1">
      <c r="A686" s="12" t="inlineStr">
        <is>
          <t>SKU-0682</t>
        </is>
      </c>
      <c r="B686" s="11" t="n">
        <v>480</v>
      </c>
      <c r="C686" s="13" t="inlineStr">
        <is>
          <t>ISENTO (ATO 104/2017)</t>
        </is>
      </c>
      <c r="D686" s="14" t="inlineStr">
        <is>
          <t>AGRICOIL PREMIUM</t>
        </is>
      </c>
      <c r="E686" s="13" t="inlineStr">
        <is>
          <t>Embalagem Comercial do Produto</t>
        </is>
      </c>
      <c r="F686" s="13" t="inlineStr">
        <is>
          <t>1X20L (20 L)</t>
        </is>
      </c>
      <c r="G686" s="13" t="inlineStr">
        <is>
          <t>L</t>
        </is>
      </c>
      <c r="H686" s="15" t="n">
        <v>20</v>
      </c>
      <c r="I686" s="13" t="inlineStr">
        <is>
          <t>3402.90.29</t>
        </is>
      </c>
      <c r="J686" s="13" t="inlineStr">
        <is>
          <t>NÃO</t>
        </is>
      </c>
      <c r="K686" s="13" t="inlineStr">
        <is>
          <t>Embalagem Rígida — LAVÁVEL (Obrigatória Tríplice Lavagem ou Pressão)</t>
        </is>
      </c>
      <c r="L686" s="13" t="inlineStr">
        <is>
          <t>NÃO</t>
        </is>
      </c>
      <c r="M686" s="13" t="inlineStr">
        <is>
          <t>9,25% Real | 3,65% Presumido</t>
        </is>
      </c>
      <c r="N686" s="13" t="inlineStr">
        <is>
          <t>9,250% (Integral)</t>
        </is>
      </c>
      <c r="O686" s="13" t="inlineStr">
        <is>
          <t>3,650% (Integral)</t>
        </is>
      </c>
      <c r="P686" s="13" t="inlineStr">
        <is>
          <t>CST 01</t>
        </is>
      </c>
      <c r="Q686" s="13" t="inlineStr">
        <is>
          <t>CST 50</t>
        </is>
      </c>
      <c r="R686" s="13" t="inlineStr">
        <is>
          <t>Alíquota Padrão Integral (LC 214/2025)</t>
        </is>
      </c>
    </row>
    <row r="687" ht="22" customHeight="1">
      <c r="A687" s="6" t="inlineStr">
        <is>
          <t>SKU-0683</t>
        </is>
      </c>
      <c r="B687" s="5" t="n">
        <v>481</v>
      </c>
      <c r="C687" s="7" t="inlineStr">
        <is>
          <t>Nº 10122</t>
        </is>
      </c>
      <c r="D687" s="8" t="inlineStr">
        <is>
          <t>SONDA HT</t>
        </is>
      </c>
      <c r="E687" s="7" t="inlineStr">
        <is>
          <t>Embalagem Comercial do Produto</t>
        </is>
      </c>
      <c r="F687" s="7" t="inlineStr">
        <is>
          <t>1X20L (20 L)</t>
        </is>
      </c>
      <c r="G687" s="7" t="inlineStr">
        <is>
          <t>L</t>
        </is>
      </c>
      <c r="H687" s="9" t="n">
        <v>20</v>
      </c>
      <c r="I687" s="7" t="inlineStr">
        <is>
          <t>3808.93.29</t>
        </is>
      </c>
      <c r="J687" s="7" t="inlineStr">
        <is>
          <t>NÃO</t>
        </is>
      </c>
      <c r="K687" s="7" t="inlineStr">
        <is>
          <t>Embalagem Rígida — LAVÁVEL (Obrigatória Tríplice Lavagem ou Pressão)</t>
        </is>
      </c>
      <c r="L687" s="7" t="inlineStr">
        <is>
          <t>NÃO</t>
        </is>
      </c>
      <c r="M687" s="7" t="inlineStr">
        <is>
          <t>0,00% (Lei nº 10.925/2004)</t>
        </is>
      </c>
      <c r="N687" s="7" t="inlineStr">
        <is>
          <t>0,925% (LC nº 224/2025)</t>
        </is>
      </c>
      <c r="O687" s="7" t="inlineStr">
        <is>
          <t>0,365% (LC nº 224/2025)</t>
        </is>
      </c>
      <c r="P687" s="7" t="inlineStr">
        <is>
          <t>CST 06</t>
        </is>
      </c>
      <c r="Q687" s="7" t="inlineStr">
        <is>
          <t>CST 73</t>
        </is>
      </c>
      <c r="R687" s="7" t="inlineStr">
        <is>
          <t>Redução de 60% + Diferimento (Art. 138 e Anexo IX LC 214/2025)</t>
        </is>
      </c>
    </row>
    <row r="688" ht="22" customHeight="1">
      <c r="A688" s="12" t="inlineStr">
        <is>
          <t>SKU-0684</t>
        </is>
      </c>
      <c r="B688" s="11" t="n">
        <v>482</v>
      </c>
      <c r="C688" s="13" t="inlineStr">
        <is>
          <t>VINCULAR MARCA</t>
        </is>
      </c>
      <c r="D688" s="14" t="inlineStr">
        <is>
          <t>BOSCALIDA 500 (PRINCIPIO ATIVO)</t>
        </is>
      </c>
      <c r="E688" s="13" t="inlineStr">
        <is>
          <t>Embalagem Comercial do Produto</t>
        </is>
      </c>
      <c r="F688" s="13" t="inlineStr">
        <is>
          <t>GRANEL / P.A. (0 KG)</t>
        </is>
      </c>
      <c r="G688" s="13" t="inlineStr">
        <is>
          <t>KG</t>
        </is>
      </c>
      <c r="H688" s="15" t="n">
        <v>0</v>
      </c>
      <c r="I688" s="13" t="inlineStr">
        <is>
          <t>3808.92.99</t>
        </is>
      </c>
      <c r="J688" s="13" t="inlineStr">
        <is>
          <t>NÃO</t>
        </is>
      </c>
      <c r="K688" s="13" t="inlineStr">
        <is>
          <t>Uso Industrial Exclusivo (PGRS / NBR 10004)</t>
        </is>
      </c>
      <c r="L688" s="13" t="inlineStr">
        <is>
          <t>NÃO</t>
        </is>
      </c>
      <c r="M688" s="13" t="inlineStr">
        <is>
          <t>0,00% (Lei nº 10.925/2004)</t>
        </is>
      </c>
      <c r="N688" s="13" t="inlineStr">
        <is>
          <t>0,925% (LC nº 224/2025)</t>
        </is>
      </c>
      <c r="O688" s="13" t="inlineStr">
        <is>
          <t>0,365% (LC nº 224/2025)</t>
        </is>
      </c>
      <c r="P688" s="13" t="inlineStr">
        <is>
          <t>CST 06 (Uso Agrícola/Industrial)</t>
        </is>
      </c>
      <c r="Q688" s="13" t="inlineStr">
        <is>
          <t>CST 73 (Revenda / Destinação)</t>
        </is>
      </c>
      <c r="R688" s="13" t="inlineStr">
        <is>
          <t>Redução de 60% + Diferimento (Art. 138 LC 214/2025)</t>
        </is>
      </c>
    </row>
    <row r="689" ht="22" customHeight="1">
      <c r="A689" s="6" t="inlineStr">
        <is>
          <t>SKU-0685</t>
        </is>
      </c>
      <c r="B689" s="5" t="n">
        <v>482</v>
      </c>
      <c r="C689" s="7" t="inlineStr">
        <is>
          <t>VINCULAR MARCA</t>
        </is>
      </c>
      <c r="D689" s="8" t="inlineStr">
        <is>
          <t>BOSCALIDA 500 (PRINCIPIO ATIVO)</t>
        </is>
      </c>
      <c r="E689" s="7" t="inlineStr">
        <is>
          <t>Faixa 1 TIPI (Apresentação &lt;= 300 g ou mL)</t>
        </is>
      </c>
      <c r="F689" s="7" t="inlineStr">
        <is>
          <t>Fracionado / Amostra &lt;= 0,3 KG</t>
        </is>
      </c>
      <c r="G689" s="7" t="inlineStr">
        <is>
          <t>KG</t>
        </is>
      </c>
      <c r="H689" s="17" t="n">
        <v>0.3</v>
      </c>
      <c r="I689" s="7" t="inlineStr">
        <is>
          <t>3808.92.20</t>
        </is>
      </c>
      <c r="J689" s="7" t="inlineStr">
        <is>
          <t>NÃO</t>
        </is>
      </c>
      <c r="K689" s="7" t="inlineStr">
        <is>
          <t>Uso Industrial Exclusivo (PGRS / NBR 10004)</t>
        </is>
      </c>
      <c r="L689" s="7" t="inlineStr">
        <is>
          <t>NÃO</t>
        </is>
      </c>
      <c r="M689" s="7" t="inlineStr">
        <is>
          <t>0,00% (Lei nº 10.925/2004)</t>
        </is>
      </c>
      <c r="N689" s="7" t="inlineStr">
        <is>
          <t>0,925% (LC nº 224/2025)</t>
        </is>
      </c>
      <c r="O689" s="7" t="inlineStr">
        <is>
          <t>0,365% (LC nº 224/2025)</t>
        </is>
      </c>
      <c r="P689" s="7" t="inlineStr">
        <is>
          <t>CST 06 (Uso Agrícola/Industrial)</t>
        </is>
      </c>
      <c r="Q689" s="7" t="inlineStr">
        <is>
          <t>CST 73 (Revenda / Destinação)</t>
        </is>
      </c>
      <c r="R689" s="7" t="inlineStr">
        <is>
          <t>Redução de 60% + Diferimento (Art. 138 LC 214/2025)</t>
        </is>
      </c>
    </row>
    <row r="690" ht="22" customHeight="1">
      <c r="A690" s="12" t="inlineStr">
        <is>
          <t>SKU-0686</t>
        </is>
      </c>
      <c r="B690" s="11" t="n">
        <v>483</v>
      </c>
      <c r="C690" s="13" t="inlineStr">
        <is>
          <t>Nº 40818</t>
        </is>
      </c>
      <c r="D690" s="14" t="inlineStr">
        <is>
          <t>GLUFOSINATE-AMMONIUN 200 SL YONON 0,200L AMOSTRA</t>
        </is>
      </c>
      <c r="E690" s="13" t="inlineStr">
        <is>
          <t>Embalagem Comercial do Produto</t>
        </is>
      </c>
      <c r="F690" s="13" t="inlineStr">
        <is>
          <t>0,200L (0.2 L)</t>
        </is>
      </c>
      <c r="G690" s="13" t="inlineStr">
        <is>
          <t>L</t>
        </is>
      </c>
      <c r="H690" s="18" t="n">
        <v>0.2</v>
      </c>
      <c r="I690" s="13" t="inlineStr">
        <is>
          <t>3808.93.29</t>
        </is>
      </c>
      <c r="J690" s="13" t="inlineStr">
        <is>
          <t>NÃO</t>
        </is>
      </c>
      <c r="K690" s="13" t="inlineStr">
        <is>
          <t>Embalagem Rígida — LAVÁVEL (Obrigatória Tríplice Lavagem ou Pressão)</t>
        </is>
      </c>
      <c r="L690" s="13" t="inlineStr">
        <is>
          <t>NÃO</t>
        </is>
      </c>
      <c r="M690" s="13" t="inlineStr">
        <is>
          <t>0,00% (Lei nº 10.925/2004)</t>
        </is>
      </c>
      <c r="N690" s="13" t="inlineStr">
        <is>
          <t>0,925% (LC nº 224/2025)</t>
        </is>
      </c>
      <c r="O690" s="13" t="inlineStr">
        <is>
          <t>0,365% (LC nº 224/2025)</t>
        </is>
      </c>
      <c r="P690" s="13" t="inlineStr">
        <is>
          <t>CST 06</t>
        </is>
      </c>
      <c r="Q690" s="13" t="inlineStr">
        <is>
          <t>CST 73</t>
        </is>
      </c>
      <c r="R690" s="13" t="inlineStr">
        <is>
          <t>Redução de 60% + Diferimento (Art. 138 e Anexo IX LC 214/2025)</t>
        </is>
      </c>
    </row>
    <row r="691" ht="22" customHeight="1">
      <c r="A691" s="6" t="inlineStr">
        <is>
          <t>SKU-0687</t>
        </is>
      </c>
      <c r="B691" s="5" t="n">
        <v>484</v>
      </c>
      <c r="C691" s="7" t="inlineStr">
        <is>
          <t>Nº 3224</t>
        </is>
      </c>
      <c r="D691" s="8" t="inlineStr">
        <is>
          <t>CHLOROTHALONIL</t>
        </is>
      </c>
      <c r="E691" s="7" t="inlineStr">
        <is>
          <t>Embalagem Comercial do Produto</t>
        </is>
      </c>
      <c r="F691" s="7" t="inlineStr">
        <is>
          <t>1X20L (20 L)</t>
        </is>
      </c>
      <c r="G691" s="7" t="inlineStr">
        <is>
          <t>L</t>
        </is>
      </c>
      <c r="H691" s="9" t="n">
        <v>20</v>
      </c>
      <c r="I691" s="7" t="inlineStr">
        <is>
          <t>3808.92.99</t>
        </is>
      </c>
      <c r="J691" s="7" t="inlineStr">
        <is>
          <t>NÃO</t>
        </is>
      </c>
      <c r="K691" s="7" t="inlineStr">
        <is>
          <t>Embalagem Rígida — LAVÁVEL (Obrigatória Tríplice Lavagem ou Pressão)</t>
        </is>
      </c>
      <c r="L691" s="7" t="inlineStr">
        <is>
          <t>NÃO</t>
        </is>
      </c>
      <c r="M691" s="7" t="inlineStr">
        <is>
          <t>0,00% (Lei nº 10.925/2004)</t>
        </is>
      </c>
      <c r="N691" s="7" t="inlineStr">
        <is>
          <t>0,925% (LC nº 224/2025)</t>
        </is>
      </c>
      <c r="O691" s="7" t="inlineStr">
        <is>
          <t>0,365% (LC nº 224/2025)</t>
        </is>
      </c>
      <c r="P691" s="7" t="inlineStr">
        <is>
          <t>CST 06</t>
        </is>
      </c>
      <c r="Q691" s="7" t="inlineStr">
        <is>
          <t>CST 73</t>
        </is>
      </c>
      <c r="R691" s="7" t="inlineStr">
        <is>
          <t>Redução de 60% + Diferimento (Art. 138 e Anexo IX LC 214/2025)</t>
        </is>
      </c>
    </row>
    <row r="692" ht="22" customHeight="1">
      <c r="A692" s="12" t="inlineStr">
        <is>
          <t>SKU-0688</t>
        </is>
      </c>
      <c r="B692" s="11" t="n">
        <v>485</v>
      </c>
      <c r="C692" s="13" t="inlineStr">
        <is>
          <t>Nº 16724</t>
        </is>
      </c>
      <c r="D692" s="14" t="inlineStr">
        <is>
          <t>FLUAZINAM</t>
        </is>
      </c>
      <c r="E692" s="13" t="inlineStr">
        <is>
          <t>Embalagem Comercial do Produto</t>
        </is>
      </c>
      <c r="F692" s="13" t="inlineStr">
        <is>
          <t>1X20L (20 L)</t>
        </is>
      </c>
      <c r="G692" s="13" t="inlineStr">
        <is>
          <t>L</t>
        </is>
      </c>
      <c r="H692" s="15" t="n">
        <v>20</v>
      </c>
      <c r="I692" s="13" t="inlineStr">
        <is>
          <t>3808.92.99</t>
        </is>
      </c>
      <c r="J692" s="13" t="inlineStr">
        <is>
          <t>NÃO</t>
        </is>
      </c>
      <c r="K692" s="13" t="inlineStr">
        <is>
          <t>Embalagem Rígida — LAVÁVEL (Obrigatória Tríplice Lavagem ou Pressão)</t>
        </is>
      </c>
      <c r="L692" s="13" t="inlineStr">
        <is>
          <t>NÃO</t>
        </is>
      </c>
      <c r="M692" s="13" t="inlineStr">
        <is>
          <t>0,00% (Lei nº 10.925/2004)</t>
        </is>
      </c>
      <c r="N692" s="13" t="inlineStr">
        <is>
          <t>0,925% (LC nº 224/2025)</t>
        </is>
      </c>
      <c r="O692" s="13" t="inlineStr">
        <is>
          <t>0,365% (LC nº 224/2025)</t>
        </is>
      </c>
      <c r="P692" s="13" t="inlineStr">
        <is>
          <t>CST 06</t>
        </is>
      </c>
      <c r="Q692" s="13" t="inlineStr">
        <is>
          <t>CST 73</t>
        </is>
      </c>
      <c r="R692" s="13" t="inlineStr">
        <is>
          <t>Redução de 60% + Diferimento (Art. 138 e Anexo IX LC 214/2025)</t>
        </is>
      </c>
    </row>
    <row r="693" ht="22" customHeight="1">
      <c r="A693" s="6" t="inlineStr">
        <is>
          <t>SKU-0689</t>
        </is>
      </c>
      <c r="B693" s="5" t="n">
        <v>485</v>
      </c>
      <c r="C693" s="7" t="inlineStr">
        <is>
          <t>Nº 16724</t>
        </is>
      </c>
      <c r="D693" s="8" t="inlineStr">
        <is>
          <t>FLUAZINAM</t>
        </is>
      </c>
      <c r="E693" s="7" t="inlineStr">
        <is>
          <t>Faixa 1 TIPI (Apresentação &lt;= 300 g ou mL)</t>
        </is>
      </c>
      <c r="F693" s="7" t="inlineStr">
        <is>
          <t>Fracionado / Amostra &lt;= 0,3 L</t>
        </is>
      </c>
      <c r="G693" s="7" t="inlineStr">
        <is>
          <t>L</t>
        </is>
      </c>
      <c r="H693" s="17" t="n">
        <v>0.3</v>
      </c>
      <c r="I693" s="7" t="inlineStr">
        <is>
          <t>2933.39.19</t>
        </is>
      </c>
      <c r="J693" s="7" t="inlineStr">
        <is>
          <t>NÃO</t>
        </is>
      </c>
      <c r="K693" s="7" t="inlineStr">
        <is>
          <t>Embalagem Rígida — LAVÁVEL (Obrigatória Tríplice Lavagem ou Pressão)</t>
        </is>
      </c>
      <c r="L693" s="7" t="inlineStr">
        <is>
          <t>NÃO</t>
        </is>
      </c>
      <c r="M693" s="7" t="inlineStr">
        <is>
          <t>0,00% (Lei nº 10.925/2004)</t>
        </is>
      </c>
      <c r="N693" s="7" t="inlineStr">
        <is>
          <t>0,925% (LC nº 224/2025)</t>
        </is>
      </c>
      <c r="O693" s="7" t="inlineStr">
        <is>
          <t>0,365% (LC nº 224/2025)</t>
        </is>
      </c>
      <c r="P693" s="7" t="inlineStr">
        <is>
          <t>CST 06</t>
        </is>
      </c>
      <c r="Q693" s="7" t="inlineStr">
        <is>
          <t>CST 73</t>
        </is>
      </c>
      <c r="R693" s="7" t="inlineStr">
        <is>
          <t>Redução de 60% + Diferimento (Art. 138 e Anexo IX LC 214/2025)</t>
        </is>
      </c>
    </row>
    <row r="694" ht="22" customHeight="1">
      <c r="A694" s="12" t="inlineStr">
        <is>
          <t>SKU-0690</t>
        </is>
      </c>
      <c r="B694" s="11" t="n">
        <v>486</v>
      </c>
      <c r="C694" s="13" t="inlineStr">
        <is>
          <t>Nº 7925</t>
        </is>
      </c>
      <c r="D694" s="14" t="inlineStr">
        <is>
          <t>BONAFIDE 500 WG 20X0,5KG (IMP) SJ</t>
        </is>
      </c>
      <c r="E694" s="13" t="inlineStr">
        <is>
          <t>Embalagem Comercial do Produto</t>
        </is>
      </c>
      <c r="F694" s="13" t="inlineStr">
        <is>
          <t>20X0,5KG (0.5 KG)</t>
        </is>
      </c>
      <c r="G694" s="13" t="inlineStr">
        <is>
          <t>KG</t>
        </is>
      </c>
      <c r="H694" s="18" t="n">
        <v>0.5</v>
      </c>
      <c r="I694" s="13" t="inlineStr">
        <is>
          <t>3808.92.99</t>
        </is>
      </c>
      <c r="J694" s="13" t="inlineStr">
        <is>
          <t>NÃO</t>
        </is>
      </c>
      <c r="K694" s="13" t="inlineStr">
        <is>
          <t>Embalagem Flexível — NÃO LAVÁVEL (Perfurar e usar saco ABNT)</t>
        </is>
      </c>
      <c r="L694" s="13" t="inlineStr">
        <is>
          <t>SIM (Saco Transparente ABNT)</t>
        </is>
      </c>
      <c r="M694" s="13" t="inlineStr">
        <is>
          <t>0,00% (Lei nº 10.925/2004)</t>
        </is>
      </c>
      <c r="N694" s="13" t="inlineStr">
        <is>
          <t>0,925% (LC nº 224/2025)</t>
        </is>
      </c>
      <c r="O694" s="13" t="inlineStr">
        <is>
          <t>0,365% (LC nº 224/2025)</t>
        </is>
      </c>
      <c r="P694" s="13" t="inlineStr">
        <is>
          <t>CST 06</t>
        </is>
      </c>
      <c r="Q694" s="13" t="inlineStr">
        <is>
          <t>CST 73</t>
        </is>
      </c>
      <c r="R694" s="13" t="inlineStr">
        <is>
          <t>Redução de 60% + Diferimento (Art. 138 e Anexo IX LC 214/2025)</t>
        </is>
      </c>
    </row>
    <row r="695" ht="22" customHeight="1">
      <c r="A695" s="6" t="inlineStr">
        <is>
          <t>SKU-0691</t>
        </is>
      </c>
      <c r="B695" s="5" t="n">
        <v>487</v>
      </c>
      <c r="C695" s="7" t="inlineStr">
        <is>
          <t>Nº 24324</t>
        </is>
      </c>
      <c r="D695" s="8" t="inlineStr">
        <is>
          <t>PROCYMIDONE</t>
        </is>
      </c>
      <c r="E695" s="7" t="inlineStr">
        <is>
          <t>Embalagem Comercial do Produto</t>
        </is>
      </c>
      <c r="F695" s="7" t="inlineStr">
        <is>
          <t>1X20L (20 L)</t>
        </is>
      </c>
      <c r="G695" s="7" t="inlineStr">
        <is>
          <t>L</t>
        </is>
      </c>
      <c r="H695" s="9" t="n">
        <v>20</v>
      </c>
      <c r="I695" s="7" t="inlineStr">
        <is>
          <t>3808.92.99</t>
        </is>
      </c>
      <c r="J695" s="7" t="inlineStr">
        <is>
          <t>NÃO</t>
        </is>
      </c>
      <c r="K695" s="7" t="inlineStr">
        <is>
          <t>Embalagem Rígida — LAVÁVEL (Obrigatória Tríplice Lavagem ou Pressão)</t>
        </is>
      </c>
      <c r="L695" s="7" t="inlineStr">
        <is>
          <t>NÃO</t>
        </is>
      </c>
      <c r="M695" s="7" t="inlineStr">
        <is>
          <t>0,00% (Lei nº 10.925/2004)</t>
        </is>
      </c>
      <c r="N695" s="7" t="inlineStr">
        <is>
          <t>0,925% (LC nº 224/2025)</t>
        </is>
      </c>
      <c r="O695" s="7" t="inlineStr">
        <is>
          <t>0,365% (LC nº 224/2025)</t>
        </is>
      </c>
      <c r="P695" s="7" t="inlineStr">
        <is>
          <t>CST 06</t>
        </is>
      </c>
      <c r="Q695" s="7" t="inlineStr">
        <is>
          <t>CST 73</t>
        </is>
      </c>
      <c r="R695" s="7" t="inlineStr">
        <is>
          <t>Redução de 60% + Diferimento (Art. 138 e Anexo IX LC 214/2025)</t>
        </is>
      </c>
    </row>
    <row r="696" ht="22" customHeight="1">
      <c r="A696" s="12" t="inlineStr">
        <is>
          <t>SKU-0692</t>
        </is>
      </c>
      <c r="B696" s="11" t="n">
        <v>488</v>
      </c>
      <c r="C696" s="13" t="inlineStr">
        <is>
          <t>Nº 26023</t>
        </is>
      </c>
      <c r="D696" s="14" t="inlineStr">
        <is>
          <t>MAJESTUOSO</t>
        </is>
      </c>
      <c r="E696" s="13" t="inlineStr">
        <is>
          <t>Embalagem Comercial do Produto</t>
        </is>
      </c>
      <c r="F696" s="13" t="inlineStr">
        <is>
          <t>1X20L (20 L)</t>
        </is>
      </c>
      <c r="G696" s="13" t="inlineStr">
        <is>
          <t>L</t>
        </is>
      </c>
      <c r="H696" s="15" t="n">
        <v>20</v>
      </c>
      <c r="I696" s="13" t="inlineStr">
        <is>
          <t>3808.69.90</t>
        </is>
      </c>
      <c r="J696" s="13" t="inlineStr">
        <is>
          <t>SIM</t>
        </is>
      </c>
      <c r="K696" s="13" t="inlineStr">
        <is>
          <t>Embalagem Rígida — LAVÁVEL (Obrigatória Tríplice Lavagem ou Pressão)</t>
        </is>
      </c>
      <c r="L696" s="13" t="inlineStr">
        <is>
          <t>NÃO</t>
        </is>
      </c>
      <c r="M696" s="13" t="inlineStr">
        <is>
          <t>0,00% (Lei nº 10.925/2004)</t>
        </is>
      </c>
      <c r="N696" s="13" t="inlineStr">
        <is>
          <t>0,925% (LC nº 224/2025)</t>
        </is>
      </c>
      <c r="O696" s="13" t="inlineStr">
        <is>
          <t>0,365% (LC nº 224/2025)</t>
        </is>
      </c>
      <c r="P696" s="13" t="inlineStr">
        <is>
          <t>CST 06</t>
        </is>
      </c>
      <c r="Q696" s="13" t="inlineStr">
        <is>
          <t>CST 73</t>
        </is>
      </c>
      <c r="R696" s="13" t="inlineStr">
        <is>
          <t>Redução de 60% + Diferimento (Art. 138 e Anexo IX LC 214/2025)</t>
        </is>
      </c>
    </row>
    <row r="697" ht="22" customHeight="1">
      <c r="A697" s="6" t="inlineStr">
        <is>
          <t>SKU-0693</t>
        </is>
      </c>
      <c r="B697" s="5" t="n">
        <v>488</v>
      </c>
      <c r="C697" s="7" t="inlineStr">
        <is>
          <t>Nº 26023</t>
        </is>
      </c>
      <c r="D697" s="8" t="inlineStr">
        <is>
          <t>MAJESTUOSO</t>
        </is>
      </c>
      <c r="E697" s="7" t="inlineStr">
        <is>
          <t>Faixa 1 TIPI (Apresentação &lt;= 300 g ou mL)</t>
        </is>
      </c>
      <c r="F697" s="7" t="inlineStr">
        <is>
          <t>Fracionado / Amostra &lt;= 0,3 L</t>
        </is>
      </c>
      <c r="G697" s="7" t="inlineStr">
        <is>
          <t>L</t>
        </is>
      </c>
      <c r="H697" s="17" t="n">
        <v>0.3</v>
      </c>
      <c r="I697" s="7" t="inlineStr">
        <is>
          <t>3808.61.00</t>
        </is>
      </c>
      <c r="J697" s="7" t="inlineStr">
        <is>
          <t>SIM</t>
        </is>
      </c>
      <c r="K697" s="7" t="inlineStr">
        <is>
          <t>Embalagem Rígida — LAVÁVEL (Obrigatória Tríplice Lavagem ou Pressão)</t>
        </is>
      </c>
      <c r="L697" s="7" t="inlineStr">
        <is>
          <t>NÃO</t>
        </is>
      </c>
      <c r="M697" s="7" t="inlineStr">
        <is>
          <t>0,00% (Lei nº 10.925/2004)</t>
        </is>
      </c>
      <c r="N697" s="7" t="inlineStr">
        <is>
          <t>0,925% (LC nº 224/2025)</t>
        </is>
      </c>
      <c r="O697" s="7" t="inlineStr">
        <is>
          <t>0,365% (LC nº 224/2025)</t>
        </is>
      </c>
      <c r="P697" s="7" t="inlineStr">
        <is>
          <t>CST 06</t>
        </is>
      </c>
      <c r="Q697" s="7" t="inlineStr">
        <is>
          <t>CST 73</t>
        </is>
      </c>
      <c r="R697" s="7" t="inlineStr">
        <is>
          <t>Redução de 60% + Diferimento (Art. 138 e Anexo IX LC 214/2025)</t>
        </is>
      </c>
    </row>
    <row r="698" ht="22" customHeight="1">
      <c r="A698" s="12" t="inlineStr">
        <is>
          <t>SKU-0694</t>
        </is>
      </c>
      <c r="B698" s="11" t="n">
        <v>489</v>
      </c>
      <c r="C698" s="13" t="inlineStr">
        <is>
          <t>SIPEAGRO (UF-XXXXX)</t>
        </is>
      </c>
      <c r="D698" s="14" t="inlineStr">
        <is>
          <t>NPK 19-04-19 (TON) (AGENCIADA)</t>
        </is>
      </c>
      <c r="E698" s="13" t="inlineStr">
        <is>
          <t>Embalagem Comercial do Produto</t>
        </is>
      </c>
      <c r="F698" s="13" t="inlineStr">
        <is>
          <t>GRANEL / BIG BAG (1000 TL)</t>
        </is>
      </c>
      <c r="G698" s="13" t="inlineStr">
        <is>
          <t>TL</t>
        </is>
      </c>
      <c r="H698" s="15" t="n">
        <v>1</v>
      </c>
      <c r="I698" s="13" t="inlineStr">
        <is>
          <t>3105.90.90</t>
        </is>
      </c>
      <c r="J698" s="13" t="inlineStr">
        <is>
          <t>NÃO</t>
        </is>
      </c>
      <c r="K698" s="13" t="inlineStr">
        <is>
          <t>Embalagem Flexível — NÃO LAVÁVEL (Perfurar e usar saco ABNT)</t>
        </is>
      </c>
      <c r="L698" s="13" t="inlineStr">
        <is>
          <t>SIM (Saco Transparente ABNT)</t>
        </is>
      </c>
      <c r="M698" s="13" t="inlineStr">
        <is>
          <t>0,00% (Lei nº 10.925/2004)</t>
        </is>
      </c>
      <c r="N698" s="13" t="inlineStr">
        <is>
          <t>0,925% (LC nº 224/2025)</t>
        </is>
      </c>
      <c r="O698" s="13" t="inlineStr">
        <is>
          <t>0,365% (LC nº 224/2025)</t>
        </is>
      </c>
      <c r="P698" s="13" t="inlineStr">
        <is>
          <t>CST 06</t>
        </is>
      </c>
      <c r="Q698" s="13" t="inlineStr">
        <is>
          <t>CST 73</t>
        </is>
      </c>
      <c r="R698" s="13" t="inlineStr">
        <is>
          <t>Redução de 60% + Diferimento (Art. 138 e Anexo IX LC 214/2025)</t>
        </is>
      </c>
    </row>
    <row r="699" ht="22" customHeight="1">
      <c r="A699" s="6" t="inlineStr">
        <is>
          <t>SKU-0695</t>
        </is>
      </c>
      <c r="B699" s="5" t="n">
        <v>489</v>
      </c>
      <c r="C699" s="7" t="inlineStr">
        <is>
          <t>SIPEAGRO (UF-XXXXX)</t>
        </is>
      </c>
      <c r="D699" s="8" t="inlineStr">
        <is>
          <t>NPK 19-04-19 (TON) (AGENCIADA)</t>
        </is>
      </c>
      <c r="E699" s="7" t="inlineStr">
        <is>
          <t>Faixa 1 TIPI (Apresentação &lt;= 300 g ou mL)</t>
        </is>
      </c>
      <c r="F699" s="7" t="inlineStr">
        <is>
          <t>Fracionado / Amostra &lt;= 0,3 TL</t>
        </is>
      </c>
      <c r="G699" s="7" t="inlineStr">
        <is>
          <t>TL</t>
        </is>
      </c>
      <c r="H699" s="17" t="n">
        <v>0.3</v>
      </c>
      <c r="I699" s="7" t="inlineStr">
        <is>
          <t>3105.20.00</t>
        </is>
      </c>
      <c r="J699" s="7" t="inlineStr">
        <is>
          <t>NÃO</t>
        </is>
      </c>
      <c r="K699" s="7" t="inlineStr">
        <is>
          <t>Embalagem Flexível — NÃO LAVÁVEL (Perfurar e usar saco ABNT)</t>
        </is>
      </c>
      <c r="L699" s="7" t="inlineStr">
        <is>
          <t>SIM (Saco Transparente ABNT)</t>
        </is>
      </c>
      <c r="M699" s="7" t="inlineStr">
        <is>
          <t>0,00% (Lei nº 10.925/2004)</t>
        </is>
      </c>
      <c r="N699" s="7" t="inlineStr">
        <is>
          <t>0,925% (LC nº 224/2025)</t>
        </is>
      </c>
      <c r="O699" s="7" t="inlineStr">
        <is>
          <t>0,365% (LC nº 224/2025)</t>
        </is>
      </c>
      <c r="P699" s="7" t="inlineStr">
        <is>
          <t>CST 06</t>
        </is>
      </c>
      <c r="Q699" s="7" t="inlineStr">
        <is>
          <t>CST 73</t>
        </is>
      </c>
      <c r="R699" s="7" t="inlineStr">
        <is>
          <t>Redução de 60% + Diferimento (Art. 138 e Anexo IX LC 214/2025)</t>
        </is>
      </c>
    </row>
    <row r="700" ht="22" customHeight="1">
      <c r="A700" s="12" t="inlineStr">
        <is>
          <t>SKU-0696</t>
        </is>
      </c>
      <c r="B700" s="11" t="n">
        <v>490</v>
      </c>
      <c r="C700" s="13" t="inlineStr">
        <is>
          <t>Nº 27323</t>
        </is>
      </c>
      <c r="D700" s="14" t="inlineStr">
        <is>
          <t>ACEGOL</t>
        </is>
      </c>
      <c r="E700" s="13" t="inlineStr">
        <is>
          <t>Embalagem Comercial do Produto</t>
        </is>
      </c>
      <c r="F700" s="13" t="inlineStr">
        <is>
          <t>4X5KG (5 KG)</t>
        </is>
      </c>
      <c r="G700" s="13" t="inlineStr">
        <is>
          <t>KG</t>
        </is>
      </c>
      <c r="H700" s="15" t="n">
        <v>5</v>
      </c>
      <c r="I700" s="13" t="inlineStr">
        <is>
          <t>3808.91.99</t>
        </is>
      </c>
      <c r="J700" s="13" t="inlineStr">
        <is>
          <t>NÃO</t>
        </is>
      </c>
      <c r="K700" s="13" t="inlineStr">
        <is>
          <t>Embalagem Flexível — NÃO LAVÁVEL (Perfurar e usar saco ABNT)</t>
        </is>
      </c>
      <c r="L700" s="13" t="inlineStr">
        <is>
          <t>SIM (Saco Transparente ABNT)</t>
        </is>
      </c>
      <c r="M700" s="13" t="inlineStr">
        <is>
          <t>0,00% (Lei nº 10.925/2004)</t>
        </is>
      </c>
      <c r="N700" s="13" t="inlineStr">
        <is>
          <t>0,925% (LC nº 224/2025)</t>
        </is>
      </c>
      <c r="O700" s="13" t="inlineStr">
        <is>
          <t>0,365% (LC nº 224/2025)</t>
        </is>
      </c>
      <c r="P700" s="13" t="inlineStr">
        <is>
          <t>CST 06</t>
        </is>
      </c>
      <c r="Q700" s="13" t="inlineStr">
        <is>
          <t>CST 73</t>
        </is>
      </c>
      <c r="R700" s="13" t="inlineStr">
        <is>
          <t>Redução de 60% + Diferimento (Art. 138 e Anexo IX LC 214/2025)</t>
        </is>
      </c>
    </row>
    <row r="701" ht="22" customHeight="1">
      <c r="A701" s="6" t="inlineStr">
        <is>
          <t>SKU-0697</t>
        </is>
      </c>
      <c r="B701" s="5" t="n">
        <v>491</v>
      </c>
      <c r="C701" s="7" t="inlineStr">
        <is>
          <t>Nº 31522</t>
        </is>
      </c>
      <c r="D701" s="8" t="inlineStr">
        <is>
          <t>METOMY</t>
        </is>
      </c>
      <c r="E701" s="7" t="inlineStr">
        <is>
          <t>Embalagem Comercial do Produto</t>
        </is>
      </c>
      <c r="F701" s="7" t="inlineStr">
        <is>
          <t>1X1KG (1 KG)</t>
        </is>
      </c>
      <c r="G701" s="7" t="inlineStr">
        <is>
          <t>KG</t>
        </is>
      </c>
      <c r="H701" s="9" t="n">
        <v>1</v>
      </c>
      <c r="I701" s="7" t="inlineStr">
        <is>
          <t>3808.91.99</t>
        </is>
      </c>
      <c r="J701" s="7" t="inlineStr">
        <is>
          <t>NÃO</t>
        </is>
      </c>
      <c r="K701" s="7" t="inlineStr">
        <is>
          <t>Embalagem Flexível — NÃO LAVÁVEL (Perfurar e usar saco ABNT)</t>
        </is>
      </c>
      <c r="L701" s="7" t="inlineStr">
        <is>
          <t>SIM (Saco Transparente ABNT)</t>
        </is>
      </c>
      <c r="M701" s="7" t="inlineStr">
        <is>
          <t>0,00% (Lei nº 10.925/2004)</t>
        </is>
      </c>
      <c r="N701" s="7" t="inlineStr">
        <is>
          <t>0,925% (LC nº 224/2025)</t>
        </is>
      </c>
      <c r="O701" s="7" t="inlineStr">
        <is>
          <t>0,365% (LC nº 224/2025)</t>
        </is>
      </c>
      <c r="P701" s="7" t="inlineStr">
        <is>
          <t>CST 06</t>
        </is>
      </c>
      <c r="Q701" s="7" t="inlineStr">
        <is>
          <t>CST 73</t>
        </is>
      </c>
      <c r="R701" s="7" t="inlineStr">
        <is>
          <t>Redução de 60% + Diferimento (Art. 138 e Anexo IX LC 214/2025)</t>
        </is>
      </c>
    </row>
    <row r="702" ht="22" customHeight="1">
      <c r="A702" s="12" t="inlineStr">
        <is>
          <t>SKU-0698</t>
        </is>
      </c>
      <c r="B702" s="11" t="n">
        <v>492</v>
      </c>
      <c r="C702" s="13" t="inlineStr">
        <is>
          <t>SIPEAGRO (UF-XXXXX)</t>
        </is>
      </c>
      <c r="D702" s="14" t="inlineStr">
        <is>
          <t>HIPHOS 25 GR 00-25-00 BAG</t>
        </is>
      </c>
      <c r="E702" s="13" t="inlineStr">
        <is>
          <t>Embalagem Comercial do Produto</t>
        </is>
      </c>
      <c r="F702" s="13" t="inlineStr">
        <is>
          <t>1000KG (1000 KG)</t>
        </is>
      </c>
      <c r="G702" s="13" t="inlineStr">
        <is>
          <t>KG</t>
        </is>
      </c>
      <c r="H702" s="15" t="n">
        <v>1000</v>
      </c>
      <c r="I702" s="13" t="inlineStr">
        <is>
          <t>3103.90.11</t>
        </is>
      </c>
      <c r="J702" s="13" t="inlineStr">
        <is>
          <t>NÃO</t>
        </is>
      </c>
      <c r="K702" s="13" t="inlineStr">
        <is>
          <t>Embalagem Flexível — NÃO LAVÁVEL (Perfurar e usar saco ABNT)</t>
        </is>
      </c>
      <c r="L702" s="13" t="inlineStr">
        <is>
          <t>SIM (Saco Transparente ABNT)</t>
        </is>
      </c>
      <c r="M702" s="13" t="inlineStr">
        <is>
          <t>0,00% (Lei nº 10.925/2004)</t>
        </is>
      </c>
      <c r="N702" s="13" t="inlineStr">
        <is>
          <t>0,925% (LC nº 224/2025)</t>
        </is>
      </c>
      <c r="O702" s="13" t="inlineStr">
        <is>
          <t>0,365% (LC nº 224/2025)</t>
        </is>
      </c>
      <c r="P702" s="13" t="inlineStr">
        <is>
          <t>CST 06</t>
        </is>
      </c>
      <c r="Q702" s="13" t="inlineStr">
        <is>
          <t>CST 73</t>
        </is>
      </c>
      <c r="R702" s="13" t="inlineStr">
        <is>
          <t>Redução de 60% + Diferimento (Art. 138 e Anexo IX LC 214/2025)</t>
        </is>
      </c>
    </row>
    <row r="703" ht="22" customHeight="1">
      <c r="A703" s="6" t="inlineStr">
        <is>
          <t>SKU-0699</t>
        </is>
      </c>
      <c r="B703" s="5" t="n">
        <v>492</v>
      </c>
      <c r="C703" s="7" t="inlineStr">
        <is>
          <t>SIPEAGRO (UF-XXXXX)</t>
        </is>
      </c>
      <c r="D703" s="8" t="inlineStr">
        <is>
          <t>HIPHOS 25 GR 00-25-00 BAG</t>
        </is>
      </c>
      <c r="E703" s="7" t="inlineStr">
        <is>
          <t>Faixa 1 TIPI (Apresentação &lt;= 300 g ou mL)</t>
        </is>
      </c>
      <c r="F703" s="7" t="inlineStr">
        <is>
          <t>Fracionado / Amostra &lt;= 0,3 KG</t>
        </is>
      </c>
      <c r="G703" s="7" t="inlineStr">
        <is>
          <t>KG</t>
        </is>
      </c>
      <c r="H703" s="17" t="n">
        <v>0.3</v>
      </c>
      <c r="I703" s="7" t="inlineStr">
        <is>
          <t>3103.19.00</t>
        </is>
      </c>
      <c r="J703" s="7" t="inlineStr">
        <is>
          <t>NÃO</t>
        </is>
      </c>
      <c r="K703" s="7" t="inlineStr">
        <is>
          <t>Embalagem Flexível — NÃO LAVÁVEL (Perfurar e usar saco ABNT)</t>
        </is>
      </c>
      <c r="L703" s="7" t="inlineStr">
        <is>
          <t>SIM (Saco Transparente ABNT)</t>
        </is>
      </c>
      <c r="M703" s="7" t="inlineStr">
        <is>
          <t>0,00% (Lei nº 10.925/2004)</t>
        </is>
      </c>
      <c r="N703" s="7" t="inlineStr">
        <is>
          <t>0,925% (LC nº 224/2025)</t>
        </is>
      </c>
      <c r="O703" s="7" t="inlineStr">
        <is>
          <t>0,365% (LC nº 224/2025)</t>
        </is>
      </c>
      <c r="P703" s="7" t="inlineStr">
        <is>
          <t>CST 06</t>
        </is>
      </c>
      <c r="Q703" s="7" t="inlineStr">
        <is>
          <t>CST 73</t>
        </is>
      </c>
      <c r="R703" s="7" t="inlineStr">
        <is>
          <t>Redução de 60% + Diferimento (Art. 138 e Anexo IX LC 214/2025)</t>
        </is>
      </c>
    </row>
    <row r="704" ht="22" customHeight="1">
      <c r="A704" s="12" t="inlineStr">
        <is>
          <t>SKU-0700</t>
        </is>
      </c>
      <c r="B704" s="11" t="n">
        <v>493</v>
      </c>
      <c r="C704" s="13" t="inlineStr">
        <is>
          <t>Nº 4900</t>
        </is>
      </c>
      <c r="D704" s="14" t="inlineStr">
        <is>
          <t>CONVERGE 400 EC</t>
        </is>
      </c>
      <c r="E704" s="13" t="inlineStr">
        <is>
          <t>Embalagem Comercial do Produto</t>
        </is>
      </c>
      <c r="F704" s="13" t="inlineStr">
        <is>
          <t>4X5L (5 L)</t>
        </is>
      </c>
      <c r="G704" s="13" t="inlineStr">
        <is>
          <t>L</t>
        </is>
      </c>
      <c r="H704" s="15" t="n">
        <v>5</v>
      </c>
      <c r="I704" s="13" t="inlineStr">
        <is>
          <t>3808.93.29</t>
        </is>
      </c>
      <c r="J704" s="13" t="inlineStr">
        <is>
          <t>NÃO</t>
        </is>
      </c>
      <c r="K704" s="13" t="inlineStr">
        <is>
          <t>Embalagem Rígida — LAVÁVEL (Obrigatória Tríplice Lavagem ou Pressão)</t>
        </is>
      </c>
      <c r="L704" s="13" t="inlineStr">
        <is>
          <t>NÃO</t>
        </is>
      </c>
      <c r="M704" s="13" t="inlineStr">
        <is>
          <t>0,00% (Lei nº 10.925/2004)</t>
        </is>
      </c>
      <c r="N704" s="13" t="inlineStr">
        <is>
          <t>0,925% (LC nº 224/2025)</t>
        </is>
      </c>
      <c r="O704" s="13" t="inlineStr">
        <is>
          <t>0,365% (LC nº 224/2025)</t>
        </is>
      </c>
      <c r="P704" s="13" t="inlineStr">
        <is>
          <t>CST 06</t>
        </is>
      </c>
      <c r="Q704" s="13" t="inlineStr">
        <is>
          <t>CST 73</t>
        </is>
      </c>
      <c r="R704" s="13" t="inlineStr">
        <is>
          <t>Redução de 60% + Diferimento (Art. 138 e Anexo IX LC 214/2025)</t>
        </is>
      </c>
    </row>
    <row r="705" ht="22" customHeight="1">
      <c r="A705" s="6" t="inlineStr">
        <is>
          <t>SKU-0701</t>
        </is>
      </c>
      <c r="B705" s="5" t="n">
        <v>494</v>
      </c>
      <c r="C705" s="7" t="inlineStr">
        <is>
          <t>Nº 1109</t>
        </is>
      </c>
      <c r="D705" s="8" t="inlineStr">
        <is>
          <t>TROVATI 360 CS</t>
        </is>
      </c>
      <c r="E705" s="7" t="inlineStr">
        <is>
          <t>Embalagem Comercial do Produto</t>
        </is>
      </c>
      <c r="F705" s="7" t="inlineStr">
        <is>
          <t>4X5L (5 L)</t>
        </is>
      </c>
      <c r="G705" s="7" t="inlineStr">
        <is>
          <t>L</t>
        </is>
      </c>
      <c r="H705" s="9" t="n">
        <v>5</v>
      </c>
      <c r="I705" s="7" t="inlineStr">
        <is>
          <t>3808.93.29</t>
        </is>
      </c>
      <c r="J705" s="7" t="inlineStr">
        <is>
          <t>NÃO</t>
        </is>
      </c>
      <c r="K705" s="7" t="inlineStr">
        <is>
          <t>Embalagem Rígida — LAVÁVEL (Obrigatória Tríplice Lavagem ou Pressão)</t>
        </is>
      </c>
      <c r="L705" s="7" t="inlineStr">
        <is>
          <t>NÃO</t>
        </is>
      </c>
      <c r="M705" s="7" t="inlineStr">
        <is>
          <t>0,00% (Lei nº 10.925/2004)</t>
        </is>
      </c>
      <c r="N705" s="7" t="inlineStr">
        <is>
          <t>0,925% (LC nº 224/2025)</t>
        </is>
      </c>
      <c r="O705" s="7" t="inlineStr">
        <is>
          <t>0,365% (LC nº 224/2025)</t>
        </is>
      </c>
      <c r="P705" s="7" t="inlineStr">
        <is>
          <t>CST 06</t>
        </is>
      </c>
      <c r="Q705" s="7" t="inlineStr">
        <is>
          <t>CST 73</t>
        </is>
      </c>
      <c r="R705" s="7" t="inlineStr">
        <is>
          <t>Redução de 60% + Diferimento (Art. 138 e Anexo IX LC 214/2025)</t>
        </is>
      </c>
    </row>
    <row r="706" ht="22" customHeight="1">
      <c r="A706" s="12" t="inlineStr">
        <is>
          <t>SKU-0702</t>
        </is>
      </c>
      <c r="B706" s="11" t="n">
        <v>495</v>
      </c>
      <c r="C706" s="13" t="inlineStr">
        <is>
          <t>SIPEAGRO (UF-XXXXX)</t>
        </is>
      </c>
      <c r="D706" s="14" t="inlineStr">
        <is>
          <t>BENTONITA 90%S - GRANULADO - 1.200 KG</t>
        </is>
      </c>
      <c r="E706" s="13" t="inlineStr">
        <is>
          <t>Embalagem Comercial do Produto</t>
        </is>
      </c>
      <c r="F706" s="13" t="inlineStr">
        <is>
          <t>1.200 KG (1200 KG)</t>
        </is>
      </c>
      <c r="G706" s="13" t="inlineStr">
        <is>
          <t>KG</t>
        </is>
      </c>
      <c r="H706" s="18" t="n">
        <v>1.2</v>
      </c>
      <c r="I706" s="13" t="inlineStr">
        <is>
          <t>2503.00.90</t>
        </is>
      </c>
      <c r="J706" s="13" t="inlineStr">
        <is>
          <t>NÃO</t>
        </is>
      </c>
      <c r="K706" s="13" t="inlineStr">
        <is>
          <t>Embalagem de Insumo Nutricional/Biológico (Logística Reversa)</t>
        </is>
      </c>
      <c r="L706" s="13" t="inlineStr">
        <is>
          <t>NÃO</t>
        </is>
      </c>
      <c r="M706" s="13" t="inlineStr">
        <is>
          <t>0,00% (Lei nº 10.925/2004)</t>
        </is>
      </c>
      <c r="N706" s="13" t="inlineStr">
        <is>
          <t>0,925% (LC nº 224/2025)</t>
        </is>
      </c>
      <c r="O706" s="13" t="inlineStr">
        <is>
          <t>0,365% (LC nº 224/2025)</t>
        </is>
      </c>
      <c r="P706" s="13" t="inlineStr">
        <is>
          <t>CST 06 (Uso Agrícola/Industrial)</t>
        </is>
      </c>
      <c r="Q706" s="13" t="inlineStr">
        <is>
          <t>CST 73 (Revenda / Destinação)</t>
        </is>
      </c>
      <c r="R706" s="13" t="inlineStr">
        <is>
          <t>Redução de 60% + Diferimento (Art. 138 LC 214/2025)</t>
        </is>
      </c>
    </row>
    <row r="707" ht="22" customHeight="1">
      <c r="A707" s="6" t="inlineStr">
        <is>
          <t>SKU-0703</t>
        </is>
      </c>
      <c r="B707" s="5" t="n">
        <v>495</v>
      </c>
      <c r="C707" s="7" t="inlineStr">
        <is>
          <t>SIPEAGRO (UF-XXXXX)</t>
        </is>
      </c>
      <c r="D707" s="8" t="inlineStr">
        <is>
          <t>BENTONITA 90%S - GRANULADO - 1.200 KG</t>
        </is>
      </c>
      <c r="E707" s="7" t="inlineStr">
        <is>
          <t>Faixa 1 TIPI (Apresentação &lt;= 300 g ou mL)</t>
        </is>
      </c>
      <c r="F707" s="7" t="inlineStr">
        <is>
          <t>Fracionado / Amostra &lt;= 0,3 KG</t>
        </is>
      </c>
      <c r="G707" s="7" t="inlineStr">
        <is>
          <t>KG</t>
        </is>
      </c>
      <c r="H707" s="17" t="n">
        <v>0.3</v>
      </c>
      <c r="I707" s="7" t="inlineStr">
        <is>
          <t>3105.90.90</t>
        </is>
      </c>
      <c r="J707" s="7" t="inlineStr">
        <is>
          <t>NÃO</t>
        </is>
      </c>
      <c r="K707" s="7" t="inlineStr">
        <is>
          <t>Embalagem de Insumo Nutricional/Biológico (Logística Reversa)</t>
        </is>
      </c>
      <c r="L707" s="7" t="inlineStr">
        <is>
          <t>NÃO</t>
        </is>
      </c>
      <c r="M707" s="7" t="inlineStr">
        <is>
          <t>0,00% (Lei nº 10.925/2004)</t>
        </is>
      </c>
      <c r="N707" s="7" t="inlineStr">
        <is>
          <t>0,925% (LC nº 224/2025)</t>
        </is>
      </c>
      <c r="O707" s="7" t="inlineStr">
        <is>
          <t>0,365% (LC nº 224/2025)</t>
        </is>
      </c>
      <c r="P707" s="7" t="inlineStr">
        <is>
          <t>CST 06 (Uso Agrícola/Industrial)</t>
        </is>
      </c>
      <c r="Q707" s="7" t="inlineStr">
        <is>
          <t>CST 73 (Revenda / Destinação)</t>
        </is>
      </c>
      <c r="R707" s="7" t="inlineStr">
        <is>
          <t>Redução de 60% + Diferimento (Art. 138 LC 214/2025)</t>
        </is>
      </c>
    </row>
    <row r="708" ht="22" customHeight="1">
      <c r="A708" s="12" t="inlineStr">
        <is>
          <t>SKU-0704</t>
        </is>
      </c>
      <c r="B708" s="11" t="n">
        <v>496</v>
      </c>
      <c r="C708" s="13" t="inlineStr">
        <is>
          <t>Nº 40624</t>
        </is>
      </c>
      <c r="D708" s="14" t="inlineStr">
        <is>
          <t>CLORPIRIFOS 480 EC AGCN (IMP) AMOSTRA</t>
        </is>
      </c>
      <c r="E708" s="13" t="inlineStr">
        <is>
          <t>Embalagem Comercial do Produto</t>
        </is>
      </c>
      <c r="F708" s="13" t="inlineStr">
        <is>
          <t>1L (1 L)</t>
        </is>
      </c>
      <c r="G708" s="13" t="inlineStr">
        <is>
          <t>L</t>
        </is>
      </c>
      <c r="H708" s="18" t="n">
        <v>0.2</v>
      </c>
      <c r="I708" s="13" t="inlineStr">
        <is>
          <t>3808.91.99</t>
        </is>
      </c>
      <c r="J708" s="13" t="inlineStr">
        <is>
          <t>NÃO</t>
        </is>
      </c>
      <c r="K708" s="13" t="inlineStr">
        <is>
          <t>Embalagem Rígida — LAVÁVEL (Obrigatória Tríplice Lavagem ou Pressão)</t>
        </is>
      </c>
      <c r="L708" s="13" t="inlineStr">
        <is>
          <t>NÃO</t>
        </is>
      </c>
      <c r="M708" s="13" t="inlineStr">
        <is>
          <t>0,00% (Lei nº 10.925/2004)</t>
        </is>
      </c>
      <c r="N708" s="13" t="inlineStr">
        <is>
          <t>0,925% (LC nº 224/2025)</t>
        </is>
      </c>
      <c r="O708" s="13" t="inlineStr">
        <is>
          <t>0,365% (LC nº 224/2025)</t>
        </is>
      </c>
      <c r="P708" s="13" t="inlineStr">
        <is>
          <t>CST 06</t>
        </is>
      </c>
      <c r="Q708" s="13" t="inlineStr">
        <is>
          <t>CST 73</t>
        </is>
      </c>
      <c r="R708" s="13" t="inlineStr">
        <is>
          <t>Redução de 60% + Diferimento (Art. 138 e Anexo IX LC 214/2025)</t>
        </is>
      </c>
    </row>
    <row r="709" ht="22" customHeight="1">
      <c r="A709" s="6" t="inlineStr">
        <is>
          <t>SKU-0705</t>
        </is>
      </c>
      <c r="B709" s="5" t="n">
        <v>497</v>
      </c>
      <c r="C709" s="7" t="inlineStr">
        <is>
          <t>Nº 27717</t>
        </is>
      </c>
      <c r="D709" s="8" t="inlineStr">
        <is>
          <t>FIPRONIL 800 WG AGCN AMOSTRA 0,200KG FF IMP</t>
        </is>
      </c>
      <c r="E709" s="7" t="inlineStr">
        <is>
          <t>Embalagem Comercial do Produto</t>
        </is>
      </c>
      <c r="F709" s="7" t="inlineStr">
        <is>
          <t>0,200KG (0.2 KG)</t>
        </is>
      </c>
      <c r="G709" s="7" t="inlineStr">
        <is>
          <t>KG</t>
        </is>
      </c>
      <c r="H709" s="17" t="n">
        <v>0.2</v>
      </c>
      <c r="I709" s="7" t="inlineStr">
        <is>
          <t>3808.91.99</t>
        </is>
      </c>
      <c r="J709" s="7" t="inlineStr">
        <is>
          <t>NÃO</t>
        </is>
      </c>
      <c r="K709" s="7" t="inlineStr">
        <is>
          <t>Embalagem Flexível — NÃO LAVÁVEL (Perfurar e usar saco ABNT)</t>
        </is>
      </c>
      <c r="L709" s="7" t="inlineStr">
        <is>
          <t>SIM (Saco Transparente ABNT)</t>
        </is>
      </c>
      <c r="M709" s="7" t="inlineStr">
        <is>
          <t>0,00% (Lei nº 10.925/2004)</t>
        </is>
      </c>
      <c r="N709" s="7" t="inlineStr">
        <is>
          <t>0,925% (LC nº 224/2025)</t>
        </is>
      </c>
      <c r="O709" s="7" t="inlineStr">
        <is>
          <t>0,365% (LC nº 224/2025)</t>
        </is>
      </c>
      <c r="P709" s="7" t="inlineStr">
        <is>
          <t>CST 06</t>
        </is>
      </c>
      <c r="Q709" s="7" t="inlineStr">
        <is>
          <t>CST 73</t>
        </is>
      </c>
      <c r="R709" s="7" t="inlineStr">
        <is>
          <t>Redução de 60% + Diferimento (Art. 138 e Anexo IX LC 214/2025)</t>
        </is>
      </c>
    </row>
    <row r="710" ht="22" customHeight="1">
      <c r="A710" s="12" t="inlineStr">
        <is>
          <t>SKU-0706</t>
        </is>
      </c>
      <c r="B710" s="11" t="n">
        <v>498</v>
      </c>
      <c r="C710" s="13" t="inlineStr">
        <is>
          <t>Nº 14421</t>
        </is>
      </c>
      <c r="D710" s="14" t="inlineStr">
        <is>
          <t>FIPRONIL 250 FS AGCN IMP FF 0,200KG AMOSTRA</t>
        </is>
      </c>
      <c r="E710" s="13" t="inlineStr">
        <is>
          <t>Embalagem Comercial do Produto</t>
        </is>
      </c>
      <c r="F710" s="13" t="inlineStr">
        <is>
          <t>0,200KG (0.2 KG)</t>
        </is>
      </c>
      <c r="G710" s="13" t="inlineStr">
        <is>
          <t>L</t>
        </is>
      </c>
      <c r="H710" s="18" t="n">
        <v>0.2</v>
      </c>
      <c r="I710" s="13" t="inlineStr">
        <is>
          <t>3808.91.99</t>
        </is>
      </c>
      <c r="J710" s="13" t="inlineStr">
        <is>
          <t>NÃO</t>
        </is>
      </c>
      <c r="K710" s="13" t="inlineStr">
        <is>
          <t>Embalagem Rígida — LAVÁVEL (Obrigatória Tríplice Lavagem ou Pressão)</t>
        </is>
      </c>
      <c r="L710" s="13" t="inlineStr">
        <is>
          <t>NÃO</t>
        </is>
      </c>
      <c r="M710" s="13" t="inlineStr">
        <is>
          <t>0,00% (Lei nº 10.925/2004)</t>
        </is>
      </c>
      <c r="N710" s="13" t="inlineStr">
        <is>
          <t>0,925% (LC nº 224/2025)</t>
        </is>
      </c>
      <c r="O710" s="13" t="inlineStr">
        <is>
          <t>0,365% (LC nº 224/2025)</t>
        </is>
      </c>
      <c r="P710" s="13" t="inlineStr">
        <is>
          <t>CST 06</t>
        </is>
      </c>
      <c r="Q710" s="13" t="inlineStr">
        <is>
          <t>CST 73</t>
        </is>
      </c>
      <c r="R710" s="13" t="inlineStr">
        <is>
          <t>Redução de 60% + Diferimento (Art. 138 e Anexo IX LC 214/2025)</t>
        </is>
      </c>
    </row>
    <row r="711" ht="22" customHeight="1">
      <c r="A711" s="6" t="inlineStr">
        <is>
          <t>SKU-0707</t>
        </is>
      </c>
      <c r="B711" s="5" t="n">
        <v>498</v>
      </c>
      <c r="C711" s="7" t="inlineStr">
        <is>
          <t>Nº 14421</t>
        </is>
      </c>
      <c r="D711" s="8" t="inlineStr">
        <is>
          <t>FIPRONIL 250 FS AGCN IMP FF 0,200KG AMOSTRA</t>
        </is>
      </c>
      <c r="E711" s="7" t="inlineStr">
        <is>
          <t>Faixa 1 TIPI (Apresentação &lt;= 300 g ou mL)</t>
        </is>
      </c>
      <c r="F711" s="7" t="inlineStr">
        <is>
          <t>Fracionado / Amostra &lt;= 0,3 L</t>
        </is>
      </c>
      <c r="G711" s="7" t="inlineStr">
        <is>
          <t>L</t>
        </is>
      </c>
      <c r="H711" s="17" t="n">
        <v>0.3</v>
      </c>
      <c r="I711" s="7" t="inlineStr">
        <is>
          <t>3808.91.20</t>
        </is>
      </c>
      <c r="J711" s="7" t="inlineStr">
        <is>
          <t>NÃO</t>
        </is>
      </c>
      <c r="K711" s="7" t="inlineStr">
        <is>
          <t>Embalagem Rígida — LAVÁVEL (Obrigatória Tríplice Lavagem ou Pressão)</t>
        </is>
      </c>
      <c r="L711" s="7" t="inlineStr">
        <is>
          <t>NÃO</t>
        </is>
      </c>
      <c r="M711" s="7" t="inlineStr">
        <is>
          <t>0,00% (Lei nº 10.925/2004)</t>
        </is>
      </c>
      <c r="N711" s="7" t="inlineStr">
        <is>
          <t>0,925% (LC nº 224/2025)</t>
        </is>
      </c>
      <c r="O711" s="7" t="inlineStr">
        <is>
          <t>0,365% (LC nº 224/2025)</t>
        </is>
      </c>
      <c r="P711" s="7" t="inlineStr">
        <is>
          <t>CST 06</t>
        </is>
      </c>
      <c r="Q711" s="7" t="inlineStr">
        <is>
          <t>CST 73</t>
        </is>
      </c>
      <c r="R711" s="7" t="inlineStr">
        <is>
          <t>Redução de 60% + Diferimento (Art. 138 e Anexo IX LC 214/2025)</t>
        </is>
      </c>
    </row>
    <row r="712" ht="22" customHeight="1">
      <c r="A712" s="12" t="inlineStr">
        <is>
          <t>SKU-0708</t>
        </is>
      </c>
      <c r="B712" s="11" t="n">
        <v>499</v>
      </c>
      <c r="C712" s="13" t="inlineStr">
        <is>
          <t>Nº 34621</t>
        </is>
      </c>
      <c r="D712" s="14" t="inlineStr">
        <is>
          <t>RATEIO 200SL AMOSTRA 0,200L</t>
        </is>
      </c>
      <c r="E712" s="13" t="inlineStr">
        <is>
          <t>Embalagem Comercial do Produto</t>
        </is>
      </c>
      <c r="F712" s="13" t="inlineStr">
        <is>
          <t>0,200L (0.2 L)</t>
        </is>
      </c>
      <c r="G712" s="13" t="inlineStr">
        <is>
          <t>L</t>
        </is>
      </c>
      <c r="H712" s="18" t="n">
        <v>0.2</v>
      </c>
      <c r="I712" s="13" t="inlineStr">
        <is>
          <t>3808.93.29</t>
        </is>
      </c>
      <c r="J712" s="13" t="inlineStr">
        <is>
          <t>NÃO</t>
        </is>
      </c>
      <c r="K712" s="13" t="inlineStr">
        <is>
          <t>Embalagem Rígida — LAVÁVEL (Obrigatória Tríplice Lavagem ou Pressão)</t>
        </is>
      </c>
      <c r="L712" s="13" t="inlineStr">
        <is>
          <t>NÃO</t>
        </is>
      </c>
      <c r="M712" s="13" t="inlineStr">
        <is>
          <t>0,00% (Lei nº 10.925/2004)</t>
        </is>
      </c>
      <c r="N712" s="13" t="inlineStr">
        <is>
          <t>0,925% (LC nº 224/2025)</t>
        </is>
      </c>
      <c r="O712" s="13" t="inlineStr">
        <is>
          <t>0,365% (LC nº 224/2025)</t>
        </is>
      </c>
      <c r="P712" s="13" t="inlineStr">
        <is>
          <t>CST 06</t>
        </is>
      </c>
      <c r="Q712" s="13" t="inlineStr">
        <is>
          <t>CST 73</t>
        </is>
      </c>
      <c r="R712" s="13" t="inlineStr">
        <is>
          <t>Redução de 60% + Diferimento (Art. 138 e Anexo IX LC 214/2025)</t>
        </is>
      </c>
    </row>
    <row r="713" ht="22" customHeight="1">
      <c r="A713" s="6" t="inlineStr">
        <is>
          <t>SKU-0709</t>
        </is>
      </c>
      <c r="B713" s="5" t="n">
        <v>500</v>
      </c>
      <c r="C713" s="7" t="inlineStr">
        <is>
          <t>Nº 14024</t>
        </is>
      </c>
      <c r="D713" s="8" t="inlineStr">
        <is>
          <t>ETHIPROLE</t>
        </is>
      </c>
      <c r="E713" s="7" t="inlineStr">
        <is>
          <t>Embalagem Comercial do Produto</t>
        </is>
      </c>
      <c r="F713" s="7" t="inlineStr">
        <is>
          <t>0,200L (0.2 L)</t>
        </is>
      </c>
      <c r="G713" s="7" t="inlineStr">
        <is>
          <t>L</t>
        </is>
      </c>
      <c r="H713" s="17" t="n">
        <v>0.2</v>
      </c>
      <c r="I713" s="7" t="inlineStr">
        <is>
          <t>3808.91.99</t>
        </is>
      </c>
      <c r="J713" s="7" t="inlineStr">
        <is>
          <t>NÃO</t>
        </is>
      </c>
      <c r="K713" s="7" t="inlineStr">
        <is>
          <t>Embalagem Rígida — LAVÁVEL (Obrigatória Tríplice Lavagem ou Pressão)</t>
        </is>
      </c>
      <c r="L713" s="7" t="inlineStr">
        <is>
          <t>NÃO</t>
        </is>
      </c>
      <c r="M713" s="7" t="inlineStr">
        <is>
          <t>0,00% (Lei nº 10.925/2004)</t>
        </is>
      </c>
      <c r="N713" s="7" t="inlineStr">
        <is>
          <t>0,925% (LC nº 224/2025)</t>
        </is>
      </c>
      <c r="O713" s="7" t="inlineStr">
        <is>
          <t>0,365% (LC nº 224/2025)</t>
        </is>
      </c>
      <c r="P713" s="7" t="inlineStr">
        <is>
          <t>CST 06</t>
        </is>
      </c>
      <c r="Q713" s="7" t="inlineStr">
        <is>
          <t>CST 73</t>
        </is>
      </c>
      <c r="R713" s="7" t="inlineStr">
        <is>
          <t>Redução de 60% + Diferimento (Art. 138 e Anexo IX LC 214/2025)</t>
        </is>
      </c>
    </row>
    <row r="714" ht="22" customHeight="1">
      <c r="A714" s="12" t="inlineStr">
        <is>
          <t>SKU-0710</t>
        </is>
      </c>
      <c r="B714" s="11" t="n">
        <v>501</v>
      </c>
      <c r="C714" s="13" t="inlineStr">
        <is>
          <t>SIPEAGRO (UF-XXXXX)</t>
        </is>
      </c>
      <c r="D714" s="14" t="inlineStr">
        <is>
          <t>FERT 08.40.00 + 5 S (VALIDAR)</t>
        </is>
      </c>
      <c r="E714" s="13" t="inlineStr">
        <is>
          <t>Embalagem Comercial do Produto</t>
        </is>
      </c>
      <c r="F714" s="13" t="inlineStr">
        <is>
          <t>EMBALAGEM PADRÃO (25 KG)</t>
        </is>
      </c>
      <c r="G714" s="13" t="inlineStr">
        <is>
          <t>KG</t>
        </is>
      </c>
      <c r="H714" s="15" t="n">
        <v>25</v>
      </c>
      <c r="I714" s="13" t="inlineStr">
        <is>
          <t>3105.20.00</t>
        </is>
      </c>
      <c r="J714" s="13" t="inlineStr">
        <is>
          <t>NÃO</t>
        </is>
      </c>
      <c r="K714" s="13" t="inlineStr">
        <is>
          <t>Embalagem de Insumo Nutricional/Biológico (Logística Reversa)</t>
        </is>
      </c>
      <c r="L714" s="13" t="inlineStr">
        <is>
          <t>NÃO</t>
        </is>
      </c>
      <c r="M714" s="13" t="inlineStr">
        <is>
          <t>0,00% (Lei nº 10.925/2004)</t>
        </is>
      </c>
      <c r="N714" s="13" t="inlineStr">
        <is>
          <t>0,925% (LC nº 224/2025)</t>
        </is>
      </c>
      <c r="O714" s="13" t="inlineStr">
        <is>
          <t>0,365% (LC nº 224/2025)</t>
        </is>
      </c>
      <c r="P714" s="13" t="inlineStr">
        <is>
          <t>CST 06</t>
        </is>
      </c>
      <c r="Q714" s="13" t="inlineStr">
        <is>
          <t>CST 73</t>
        </is>
      </c>
      <c r="R714" s="13" t="inlineStr">
        <is>
          <t>Redução de 60% + Diferimento (Art. 138 e Anexo IX LC 214/2025)</t>
        </is>
      </c>
    </row>
    <row r="715" ht="22" customHeight="1">
      <c r="A715" s="6" t="inlineStr">
        <is>
          <t>SKU-0711</t>
        </is>
      </c>
      <c r="B715" s="5" t="n">
        <v>501</v>
      </c>
      <c r="C715" s="7" t="inlineStr">
        <is>
          <t>SIPEAGRO (UF-XXXXX)</t>
        </is>
      </c>
      <c r="D715" s="8" t="inlineStr">
        <is>
          <t>FERT 08.40.00 + 5 S (VALIDAR)</t>
        </is>
      </c>
      <c r="E715" s="7" t="inlineStr">
        <is>
          <t>Faixa 1 TIPI (Apresentação &lt;= 300 g ou mL)</t>
        </is>
      </c>
      <c r="F715" s="7" t="inlineStr">
        <is>
          <t>Fracionado / Amostra &lt;= 0,3 KG</t>
        </is>
      </c>
      <c r="G715" s="7" t="inlineStr">
        <is>
          <t>KG</t>
        </is>
      </c>
      <c r="H715" s="17" t="n">
        <v>0.3</v>
      </c>
      <c r="I715" s="7" t="inlineStr">
        <is>
          <t>3105.20.00</t>
        </is>
      </c>
      <c r="J715" s="7" t="inlineStr">
        <is>
          <t>NÃO</t>
        </is>
      </c>
      <c r="K715" s="7" t="inlineStr">
        <is>
          <t>Embalagem de Insumo Nutricional/Biológico (Logística Reversa)</t>
        </is>
      </c>
      <c r="L715" s="7" t="inlineStr">
        <is>
          <t>NÃO</t>
        </is>
      </c>
      <c r="M715" s="7" t="inlineStr">
        <is>
          <t>0,00% (Lei nº 10.925/2004)</t>
        </is>
      </c>
      <c r="N715" s="7" t="inlineStr">
        <is>
          <t>0,925% (LC nº 224/2025)</t>
        </is>
      </c>
      <c r="O715" s="7" t="inlineStr">
        <is>
          <t>0,365% (LC nº 224/2025)</t>
        </is>
      </c>
      <c r="P715" s="7" t="inlineStr">
        <is>
          <t>CST 06</t>
        </is>
      </c>
      <c r="Q715" s="7" t="inlineStr">
        <is>
          <t>CST 73</t>
        </is>
      </c>
      <c r="R715" s="7" t="inlineStr">
        <is>
          <t>Redução de 60% + Diferimento (Art. 138 e Anexo IX LC 214/2025)</t>
        </is>
      </c>
    </row>
    <row r="716" ht="22" customHeight="1">
      <c r="A716" s="12" t="inlineStr">
        <is>
          <t>SKU-0712</t>
        </is>
      </c>
      <c r="B716" s="11" t="n">
        <v>502</v>
      </c>
      <c r="C716" s="13" t="inlineStr">
        <is>
          <t>Nº 28520</t>
        </is>
      </c>
      <c r="D716" s="14" t="inlineStr">
        <is>
          <t>SENHA WG AMOSTRA 0,200KG GG IMP</t>
        </is>
      </c>
      <c r="E716" s="13" t="inlineStr">
        <is>
          <t>Embalagem Comercial do Produto</t>
        </is>
      </c>
      <c r="F716" s="13" t="inlineStr">
        <is>
          <t>0,200KG (0.2 KG)</t>
        </is>
      </c>
      <c r="G716" s="13" t="inlineStr">
        <is>
          <t>KG</t>
        </is>
      </c>
      <c r="H716" s="18" t="n">
        <v>0.2</v>
      </c>
      <c r="I716" s="13" t="inlineStr">
        <is>
          <t>3808.93.24</t>
        </is>
      </c>
      <c r="J716" s="13" t="inlineStr">
        <is>
          <t>NÃO</t>
        </is>
      </c>
      <c r="K716" s="13" t="inlineStr">
        <is>
          <t>Embalagem Flexível — NÃO LAVÁVEL (Perfurar e usar saco ABNT)</t>
        </is>
      </c>
      <c r="L716" s="13" t="inlineStr">
        <is>
          <t>SIM (Saco Transparente ABNT)</t>
        </is>
      </c>
      <c r="M716" s="13" t="inlineStr">
        <is>
          <t>0,00% (Lei nº 10.925/2004)</t>
        </is>
      </c>
      <c r="N716" s="13" t="inlineStr">
        <is>
          <t>0,925% (LC nº 224/2025)</t>
        </is>
      </c>
      <c r="O716" s="13" t="inlineStr">
        <is>
          <t>0,365% (LC nº 224/2025)</t>
        </is>
      </c>
      <c r="P716" s="13" t="inlineStr">
        <is>
          <t>CST 06</t>
        </is>
      </c>
      <c r="Q716" s="13" t="inlineStr">
        <is>
          <t>CST 73</t>
        </is>
      </c>
      <c r="R716" s="13" t="inlineStr">
        <is>
          <t>Redução de 60% + Diferimento (Art. 138 e Anexo IX LC 214/2025)</t>
        </is>
      </c>
    </row>
    <row r="717" ht="22" customHeight="1">
      <c r="A717" s="6" t="inlineStr">
        <is>
          <t>SKU-0713</t>
        </is>
      </c>
      <c r="B717" s="5" t="n">
        <v>503</v>
      </c>
      <c r="C717" s="7" t="inlineStr">
        <is>
          <t>Nº 26718</t>
        </is>
      </c>
      <c r="D717" s="8" t="inlineStr">
        <is>
          <t>DINKY</t>
        </is>
      </c>
      <c r="E717" s="7" t="inlineStr">
        <is>
          <t>Embalagem Comercial do Produto</t>
        </is>
      </c>
      <c r="F717" s="7" t="inlineStr">
        <is>
          <t>4X5KG (5 KG)</t>
        </is>
      </c>
      <c r="G717" s="7" t="inlineStr">
        <is>
          <t>KG</t>
        </is>
      </c>
      <c r="H717" s="9" t="n">
        <v>5</v>
      </c>
      <c r="I717" s="7" t="inlineStr">
        <is>
          <t>3808.91.99</t>
        </is>
      </c>
      <c r="J717" s="7" t="inlineStr">
        <is>
          <t>NÃO</t>
        </is>
      </c>
      <c r="K717" s="7" t="inlineStr">
        <is>
          <t>Embalagem Flexível — NÃO LAVÁVEL (Perfurar e usar saco ABNT)</t>
        </is>
      </c>
      <c r="L717" s="7" t="inlineStr">
        <is>
          <t>SIM (Saco Transparente ABNT)</t>
        </is>
      </c>
      <c r="M717" s="7" t="inlineStr">
        <is>
          <t>0,00% (Lei nº 10.925/2004)</t>
        </is>
      </c>
      <c r="N717" s="7" t="inlineStr">
        <is>
          <t>0,925% (LC nº 224/2025)</t>
        </is>
      </c>
      <c r="O717" s="7" t="inlineStr">
        <is>
          <t>0,365% (LC nº 224/2025)</t>
        </is>
      </c>
      <c r="P717" s="7" t="inlineStr">
        <is>
          <t>CST 06</t>
        </is>
      </c>
      <c r="Q717" s="7" t="inlineStr">
        <is>
          <t>CST 73</t>
        </is>
      </c>
      <c r="R717" s="7" t="inlineStr">
        <is>
          <t>Redução de 60% + Diferimento (Art. 138 e Anexo IX LC 214/2025)</t>
        </is>
      </c>
    </row>
    <row r="718" ht="22" customHeight="1">
      <c r="A718" s="12" t="inlineStr">
        <is>
          <t>SKU-0714</t>
        </is>
      </c>
      <c r="B718" s="11" t="n">
        <v>504</v>
      </c>
      <c r="C718" s="13" t="inlineStr">
        <is>
          <t>Nº 5924</t>
        </is>
      </c>
      <c r="D718" s="14" t="inlineStr">
        <is>
          <t>FLAME WG</t>
        </is>
      </c>
      <c r="E718" s="13" t="inlineStr">
        <is>
          <t>Embalagem Comercial do Produto</t>
        </is>
      </c>
      <c r="F718" s="13" t="inlineStr">
        <is>
          <t>2X10KG (10 KG)</t>
        </is>
      </c>
      <c r="G718" s="13" t="inlineStr">
        <is>
          <t>KG</t>
        </is>
      </c>
      <c r="H718" s="15" t="n">
        <v>10</v>
      </c>
      <c r="I718" s="13" t="inlineStr">
        <is>
          <t>3808.69.90</t>
        </is>
      </c>
      <c r="J718" s="13" t="inlineStr">
        <is>
          <t>SIM</t>
        </is>
      </c>
      <c r="K718" s="13" t="inlineStr">
        <is>
          <t>Embalagem Flexível — NÃO LAVÁVEL (Perfurar e usar saco ABNT)</t>
        </is>
      </c>
      <c r="L718" s="13" t="inlineStr">
        <is>
          <t>SIM (Saco Transparente ABNT)</t>
        </is>
      </c>
      <c r="M718" s="13" t="inlineStr">
        <is>
          <t>0,00% (Lei nº 10.925/2004)</t>
        </is>
      </c>
      <c r="N718" s="13" t="inlineStr">
        <is>
          <t>0,925% (LC nº 224/2025)</t>
        </is>
      </c>
      <c r="O718" s="13" t="inlineStr">
        <is>
          <t>0,365% (LC nº 224/2025)</t>
        </is>
      </c>
      <c r="P718" s="13" t="inlineStr">
        <is>
          <t>CST 06</t>
        </is>
      </c>
      <c r="Q718" s="13" t="inlineStr">
        <is>
          <t>CST 73</t>
        </is>
      </c>
      <c r="R718" s="13" t="inlineStr">
        <is>
          <t>Redução de 60% + Diferimento (Art. 138 e Anexo IX LC 214/2025)</t>
        </is>
      </c>
    </row>
    <row r="719" ht="22" customHeight="1">
      <c r="A719" s="6" t="inlineStr">
        <is>
          <t>SKU-0715</t>
        </is>
      </c>
      <c r="B719" s="5" t="n">
        <v>504</v>
      </c>
      <c r="C719" s="7" t="inlineStr">
        <is>
          <t>Nº 5924</t>
        </is>
      </c>
      <c r="D719" s="8" t="inlineStr">
        <is>
          <t>FLAME WG</t>
        </is>
      </c>
      <c r="E719" s="7" t="inlineStr">
        <is>
          <t>Faixa 1 TIPI (Apresentação &lt;= 300 g ou mL)</t>
        </is>
      </c>
      <c r="F719" s="7" t="inlineStr">
        <is>
          <t>Fracionado / Amostra &lt;= 0,3 KG</t>
        </is>
      </c>
      <c r="G719" s="7" t="inlineStr">
        <is>
          <t>KG</t>
        </is>
      </c>
      <c r="H719" s="17" t="n">
        <v>0.3</v>
      </c>
      <c r="I719" s="7" t="inlineStr">
        <is>
          <t>3808.61.00</t>
        </is>
      </c>
      <c r="J719" s="7" t="inlineStr">
        <is>
          <t>SIM</t>
        </is>
      </c>
      <c r="K719" s="7" t="inlineStr">
        <is>
          <t>Embalagem Flexível — NÃO LAVÁVEL (Perfurar e usar saco ABNT)</t>
        </is>
      </c>
      <c r="L719" s="7" t="inlineStr">
        <is>
          <t>SIM (Saco Transparente ABNT)</t>
        </is>
      </c>
      <c r="M719" s="7" t="inlineStr">
        <is>
          <t>0,00% (Lei nº 10.925/2004)</t>
        </is>
      </c>
      <c r="N719" s="7" t="inlineStr">
        <is>
          <t>0,925% (LC nº 224/2025)</t>
        </is>
      </c>
      <c r="O719" s="7" t="inlineStr">
        <is>
          <t>0,365% (LC nº 224/2025)</t>
        </is>
      </c>
      <c r="P719" s="7" t="inlineStr">
        <is>
          <t>CST 06</t>
        </is>
      </c>
      <c r="Q719" s="7" t="inlineStr">
        <is>
          <t>CST 73</t>
        </is>
      </c>
      <c r="R719" s="7" t="inlineStr">
        <is>
          <t>Redução de 60% + Diferimento (Art. 138 e Anexo IX LC 214/2025)</t>
        </is>
      </c>
    </row>
    <row r="720" ht="22" customHeight="1">
      <c r="A720" s="12" t="inlineStr">
        <is>
          <t>SKU-0716</t>
        </is>
      </c>
      <c r="B720" s="11" t="n">
        <v>505</v>
      </c>
      <c r="C720" s="13" t="inlineStr">
        <is>
          <t>Nº 6313</t>
        </is>
      </c>
      <c r="D720" s="14" t="inlineStr">
        <is>
          <t>MANFIL 800 WP</t>
        </is>
      </c>
      <c r="E720" s="13" t="inlineStr">
        <is>
          <t>Embalagem Comercial do Produto</t>
        </is>
      </c>
      <c r="F720" s="13" t="inlineStr">
        <is>
          <t>1X10KG (10 KG)</t>
        </is>
      </c>
      <c r="G720" s="13" t="inlineStr">
        <is>
          <t>KG</t>
        </is>
      </c>
      <c r="H720" s="15" t="n">
        <v>10</v>
      </c>
      <c r="I720" s="13" t="inlineStr">
        <is>
          <t>3808.92.93</t>
        </is>
      </c>
      <c r="J720" s="13" t="inlineStr">
        <is>
          <t>NÃO</t>
        </is>
      </c>
      <c r="K720" s="13" t="inlineStr">
        <is>
          <t>Embalagem Flexível — NÃO LAVÁVEL (Perfurar e usar saco ABNT)</t>
        </is>
      </c>
      <c r="L720" s="13" t="inlineStr">
        <is>
          <t>SIM (Saco Transparente ABNT)</t>
        </is>
      </c>
      <c r="M720" s="13" t="inlineStr">
        <is>
          <t>0,00% (Lei nº 10.925/2004)</t>
        </is>
      </c>
      <c r="N720" s="13" t="inlineStr">
        <is>
          <t>0,925% (LC nº 224/2025)</t>
        </is>
      </c>
      <c r="O720" s="13" t="inlineStr">
        <is>
          <t>0,365% (LC nº 224/2025)</t>
        </is>
      </c>
      <c r="P720" s="13" t="inlineStr">
        <is>
          <t>CST 06</t>
        </is>
      </c>
      <c r="Q720" s="13" t="inlineStr">
        <is>
          <t>CST 73</t>
        </is>
      </c>
      <c r="R720" s="13" t="inlineStr">
        <is>
          <t>Redução de 60% + Diferimento (Art. 138 e Anexo IX LC 214/2025)</t>
        </is>
      </c>
    </row>
    <row r="721" ht="22" customHeight="1">
      <c r="A721" s="6" t="inlineStr">
        <is>
          <t>SKU-0717</t>
        </is>
      </c>
      <c r="B721" s="5" t="n">
        <v>506</v>
      </c>
      <c r="C721" s="7" t="inlineStr">
        <is>
          <t>Nº 4900</t>
        </is>
      </c>
      <c r="D721" s="8" t="inlineStr">
        <is>
          <t>CONVERGE 400 EC</t>
        </is>
      </c>
      <c r="E721" s="7" t="inlineStr">
        <is>
          <t>Embalagem Comercial do Produto</t>
        </is>
      </c>
      <c r="F721" s="7" t="inlineStr">
        <is>
          <t>1X20L (20 L)</t>
        </is>
      </c>
      <c r="G721" s="7" t="inlineStr">
        <is>
          <t>L</t>
        </is>
      </c>
      <c r="H721" s="9" t="n">
        <v>20</v>
      </c>
      <c r="I721" s="7" t="inlineStr">
        <is>
          <t>3808.93.29</t>
        </is>
      </c>
      <c r="J721" s="7" t="inlineStr">
        <is>
          <t>NÃO</t>
        </is>
      </c>
      <c r="K721" s="7" t="inlineStr">
        <is>
          <t>Embalagem Rígida — LAVÁVEL (Obrigatória Tríplice Lavagem ou Pressão)</t>
        </is>
      </c>
      <c r="L721" s="7" t="inlineStr">
        <is>
          <t>NÃO</t>
        </is>
      </c>
      <c r="M721" s="7" t="inlineStr">
        <is>
          <t>0,00% (Lei nº 10.925/2004)</t>
        </is>
      </c>
      <c r="N721" s="7" t="inlineStr">
        <is>
          <t>0,925% (LC nº 224/2025)</t>
        </is>
      </c>
      <c r="O721" s="7" t="inlineStr">
        <is>
          <t>0,365% (LC nº 224/2025)</t>
        </is>
      </c>
      <c r="P721" s="7" t="inlineStr">
        <is>
          <t>CST 06</t>
        </is>
      </c>
      <c r="Q721" s="7" t="inlineStr">
        <is>
          <t>CST 73</t>
        </is>
      </c>
      <c r="R721" s="7" t="inlineStr">
        <is>
          <t>Redução de 60% + Diferimento (Art. 138 e Anexo IX LC 214/2025)</t>
        </is>
      </c>
    </row>
    <row r="722" ht="22" customHeight="1">
      <c r="A722" s="12" t="inlineStr">
        <is>
          <t>SKU-0718</t>
        </is>
      </c>
      <c r="B722" s="11" t="n">
        <v>507</v>
      </c>
      <c r="C722" s="13" t="inlineStr">
        <is>
          <t>Nº 1109</t>
        </is>
      </c>
      <c r="D722" s="14" t="inlineStr">
        <is>
          <t>TROVATI 360 CS</t>
        </is>
      </c>
      <c r="E722" s="13" t="inlineStr">
        <is>
          <t>Embalagem Comercial do Produto</t>
        </is>
      </c>
      <c r="F722" s="13" t="inlineStr">
        <is>
          <t>1X20L (20 L)</t>
        </is>
      </c>
      <c r="G722" s="13" t="inlineStr">
        <is>
          <t>L</t>
        </is>
      </c>
      <c r="H722" s="15" t="n">
        <v>20</v>
      </c>
      <c r="I722" s="13" t="inlineStr">
        <is>
          <t>3808.93.29</t>
        </is>
      </c>
      <c r="J722" s="13" t="inlineStr">
        <is>
          <t>NÃO</t>
        </is>
      </c>
      <c r="K722" s="13" t="inlineStr">
        <is>
          <t>Embalagem Rígida — LAVÁVEL (Obrigatória Tríplice Lavagem ou Pressão)</t>
        </is>
      </c>
      <c r="L722" s="13" t="inlineStr">
        <is>
          <t>NÃO</t>
        </is>
      </c>
      <c r="M722" s="13" t="inlineStr">
        <is>
          <t>0,00% (Lei nº 10.925/2004)</t>
        </is>
      </c>
      <c r="N722" s="13" t="inlineStr">
        <is>
          <t>0,925% (LC nº 224/2025)</t>
        </is>
      </c>
      <c r="O722" s="13" t="inlineStr">
        <is>
          <t>0,365% (LC nº 224/2025)</t>
        </is>
      </c>
      <c r="P722" s="13" t="inlineStr">
        <is>
          <t>CST 06</t>
        </is>
      </c>
      <c r="Q722" s="13" t="inlineStr">
        <is>
          <t>CST 73</t>
        </is>
      </c>
      <c r="R722" s="13" t="inlineStr">
        <is>
          <t>Redução de 60% + Diferimento (Art. 138 e Anexo IX LC 214/2025)</t>
        </is>
      </c>
    </row>
    <row r="723" ht="22" customHeight="1">
      <c r="A723" s="6" t="inlineStr">
        <is>
          <t>SKU-0719</t>
        </is>
      </c>
      <c r="B723" s="5" t="n">
        <v>508</v>
      </c>
      <c r="C723" s="7" t="inlineStr">
        <is>
          <t>Nº 19018</t>
        </is>
      </c>
      <c r="D723" s="8" t="inlineStr">
        <is>
          <t>CLETODIM CARTAGO BLD I</t>
        </is>
      </c>
      <c r="E723" s="7" t="inlineStr">
        <is>
          <t>Embalagem Comercial do Produto</t>
        </is>
      </c>
      <c r="F723" s="7" t="inlineStr">
        <is>
          <t>1X20L (20 L)</t>
        </is>
      </c>
      <c r="G723" s="7" t="inlineStr">
        <is>
          <t>L</t>
        </is>
      </c>
      <c r="H723" s="9" t="n">
        <v>20</v>
      </c>
      <c r="I723" s="7" t="inlineStr">
        <is>
          <t>3808.93.29</t>
        </is>
      </c>
      <c r="J723" s="7" t="inlineStr">
        <is>
          <t>NÃO</t>
        </is>
      </c>
      <c r="K723" s="7" t="inlineStr">
        <is>
          <t>Embalagem Rígida — LAVÁVEL (Obrigatória Tríplice Lavagem ou Pressão)</t>
        </is>
      </c>
      <c r="L723" s="7" t="inlineStr">
        <is>
          <t>NÃO</t>
        </is>
      </c>
      <c r="M723" s="7" t="inlineStr">
        <is>
          <t>0,00% (Lei nº 10.925/2004)</t>
        </is>
      </c>
      <c r="N723" s="7" t="inlineStr">
        <is>
          <t>0,925% (LC nº 224/2025)</t>
        </is>
      </c>
      <c r="O723" s="7" t="inlineStr">
        <is>
          <t>0,365% (LC nº 224/2025)</t>
        </is>
      </c>
      <c r="P723" s="7" t="inlineStr">
        <is>
          <t>CST 06</t>
        </is>
      </c>
      <c r="Q723" s="7" t="inlineStr">
        <is>
          <t>CST 73</t>
        </is>
      </c>
      <c r="R723" s="7" t="inlineStr">
        <is>
          <t>Redução de 60% + Diferimento (Art. 138 e Anexo IX LC 214/2025)</t>
        </is>
      </c>
    </row>
    <row r="724" ht="22" customHeight="1">
      <c r="A724" s="12" t="inlineStr">
        <is>
          <t>SKU-0720</t>
        </is>
      </c>
      <c r="B724" s="11" t="n">
        <v>509</v>
      </c>
      <c r="C724" s="13" t="inlineStr">
        <is>
          <t>Nº 36419</t>
        </is>
      </c>
      <c r="D724" s="14" t="inlineStr">
        <is>
          <t>PIRIPROXIFEM 100 SINO-AGRI IMP 0,200L AMOSTRA</t>
        </is>
      </c>
      <c r="E724" s="13" t="inlineStr">
        <is>
          <t>Embalagem Comercial do Produto</t>
        </is>
      </c>
      <c r="F724" s="13" t="inlineStr">
        <is>
          <t>0,200L (0.2 L)</t>
        </is>
      </c>
      <c r="G724" s="13" t="inlineStr">
        <is>
          <t>L</t>
        </is>
      </c>
      <c r="H724" s="18" t="n">
        <v>0.2</v>
      </c>
      <c r="I724" s="13" t="inlineStr">
        <is>
          <t>3808.91.99</t>
        </is>
      </c>
      <c r="J724" s="13" t="inlineStr">
        <is>
          <t>NÃO</t>
        </is>
      </c>
      <c r="K724" s="13" t="inlineStr">
        <is>
          <t>Embalagem Rígida — LAVÁVEL (Obrigatória Tríplice Lavagem ou Pressão)</t>
        </is>
      </c>
      <c r="L724" s="13" t="inlineStr">
        <is>
          <t>NÃO</t>
        </is>
      </c>
      <c r="M724" s="13" t="inlineStr">
        <is>
          <t>0,00% (Lei nº 10.925/2004)</t>
        </is>
      </c>
      <c r="N724" s="13" t="inlineStr">
        <is>
          <t>0,925% (LC nº 224/2025)</t>
        </is>
      </c>
      <c r="O724" s="13" t="inlineStr">
        <is>
          <t>0,365% (LC nº 224/2025)</t>
        </is>
      </c>
      <c r="P724" s="13" t="inlineStr">
        <is>
          <t>CST 06</t>
        </is>
      </c>
      <c r="Q724" s="13" t="inlineStr">
        <is>
          <t>CST 73</t>
        </is>
      </c>
      <c r="R724" s="13" t="inlineStr">
        <is>
          <t>Redução de 60% + Diferimento (Art. 138 e Anexo IX LC 214/2025)</t>
        </is>
      </c>
    </row>
    <row r="725" ht="22" customHeight="1">
      <c r="A725" s="6" t="inlineStr">
        <is>
          <t>SKU-0721</t>
        </is>
      </c>
      <c r="B725" s="5" t="n">
        <v>509</v>
      </c>
      <c r="C725" s="7" t="inlineStr">
        <is>
          <t>Nº 36419</t>
        </is>
      </c>
      <c r="D725" s="8" t="inlineStr">
        <is>
          <t>PIRIPROXIFEM 100 SINO-AGRI IMP 0,200L AMOSTRA</t>
        </is>
      </c>
      <c r="E725" s="7" t="inlineStr">
        <is>
          <t>Faixa 1 TIPI (Apresentação &lt;= 300 g ou mL)</t>
        </is>
      </c>
      <c r="F725" s="7" t="inlineStr">
        <is>
          <t>Fracionado / Amostra &lt;= 0,3 L</t>
        </is>
      </c>
      <c r="G725" s="7" t="inlineStr">
        <is>
          <t>L</t>
        </is>
      </c>
      <c r="H725" s="17" t="n">
        <v>0.3</v>
      </c>
      <c r="I725" s="7" t="inlineStr">
        <is>
          <t>3808.91.20</t>
        </is>
      </c>
      <c r="J725" s="7" t="inlineStr">
        <is>
          <t>NÃO</t>
        </is>
      </c>
      <c r="K725" s="7" t="inlineStr">
        <is>
          <t>Embalagem Rígida — LAVÁVEL (Obrigatória Tríplice Lavagem ou Pressão)</t>
        </is>
      </c>
      <c r="L725" s="7" t="inlineStr">
        <is>
          <t>NÃO</t>
        </is>
      </c>
      <c r="M725" s="7" t="inlineStr">
        <is>
          <t>0,00% (Lei nº 10.925/2004)</t>
        </is>
      </c>
      <c r="N725" s="7" t="inlineStr">
        <is>
          <t>0,925% (LC nº 224/2025)</t>
        </is>
      </c>
      <c r="O725" s="7" t="inlineStr">
        <is>
          <t>0,365% (LC nº 224/2025)</t>
        </is>
      </c>
      <c r="P725" s="7" t="inlineStr">
        <is>
          <t>CST 06</t>
        </is>
      </c>
      <c r="Q725" s="7" t="inlineStr">
        <is>
          <t>CST 73</t>
        </is>
      </c>
      <c r="R725" s="7" t="inlineStr">
        <is>
          <t>Redução de 60% + Diferimento (Art. 138 e Anexo IX LC 214/2025)</t>
        </is>
      </c>
    </row>
    <row r="726" ht="22" customHeight="1">
      <c r="A726" s="12" t="inlineStr">
        <is>
          <t>SKU-0722</t>
        </is>
      </c>
      <c r="B726" s="11" t="n">
        <v>510</v>
      </c>
      <c r="C726" s="13" t="inlineStr">
        <is>
          <t>Nº 2520</t>
        </is>
      </c>
      <c r="D726" s="14" t="inlineStr">
        <is>
          <t>SURVEY 250 FS</t>
        </is>
      </c>
      <c r="E726" s="13" t="inlineStr">
        <is>
          <t>Embalagem Comercial do Produto</t>
        </is>
      </c>
      <c r="F726" s="13" t="inlineStr">
        <is>
          <t>1X20L (20 L)</t>
        </is>
      </c>
      <c r="G726" s="13" t="inlineStr">
        <is>
          <t>L</t>
        </is>
      </c>
      <c r="H726" s="15" t="n">
        <v>20</v>
      </c>
      <c r="I726" s="13" t="inlineStr">
        <is>
          <t>3808.91.99</t>
        </is>
      </c>
      <c r="J726" s="13" t="inlineStr">
        <is>
          <t>NÃO</t>
        </is>
      </c>
      <c r="K726" s="13" t="inlineStr">
        <is>
          <t>Embalagem Rígida — LAVÁVEL (Obrigatória Tríplice Lavagem ou Pressão)</t>
        </is>
      </c>
      <c r="L726" s="13" t="inlineStr">
        <is>
          <t>NÃO</t>
        </is>
      </c>
      <c r="M726" s="13" t="inlineStr">
        <is>
          <t>0,00% (Lei nº 10.925/2004)</t>
        </is>
      </c>
      <c r="N726" s="13" t="inlineStr">
        <is>
          <t>0,925% (LC nº 224/2025)</t>
        </is>
      </c>
      <c r="O726" s="13" t="inlineStr">
        <is>
          <t>0,365% (LC nº 224/2025)</t>
        </is>
      </c>
      <c r="P726" s="13" t="inlineStr">
        <is>
          <t>CST 06</t>
        </is>
      </c>
      <c r="Q726" s="13" t="inlineStr">
        <is>
          <t>CST 73</t>
        </is>
      </c>
      <c r="R726" s="13" t="inlineStr">
        <is>
          <t>Redução de 60% + Diferimento (Art. 138 e Anexo IX LC 214/2025)</t>
        </is>
      </c>
    </row>
    <row r="727" ht="22" customHeight="1">
      <c r="A727" s="6" t="inlineStr">
        <is>
          <t>SKU-0723</t>
        </is>
      </c>
      <c r="B727" s="5" t="n">
        <v>511</v>
      </c>
      <c r="C727" s="7" t="inlineStr">
        <is>
          <t>Nº 34621</t>
        </is>
      </c>
      <c r="D727" s="8" t="inlineStr">
        <is>
          <t>RATEIO 200 SL</t>
        </is>
      </c>
      <c r="E727" s="7" t="inlineStr">
        <is>
          <t>Embalagem Comercial do Produto</t>
        </is>
      </c>
      <c r="F727" s="7" t="inlineStr">
        <is>
          <t>1X20L (20 L)</t>
        </is>
      </c>
      <c r="G727" s="7" t="inlineStr">
        <is>
          <t>L</t>
        </is>
      </c>
      <c r="H727" s="9" t="n">
        <v>20</v>
      </c>
      <c r="I727" s="7" t="inlineStr">
        <is>
          <t>3808.93.29</t>
        </is>
      </c>
      <c r="J727" s="7" t="inlineStr">
        <is>
          <t>NÃO</t>
        </is>
      </c>
      <c r="K727" s="7" t="inlineStr">
        <is>
          <t>Embalagem Rígida — LAVÁVEL (Obrigatória Tríplice Lavagem ou Pressão)</t>
        </is>
      </c>
      <c r="L727" s="7" t="inlineStr">
        <is>
          <t>NÃO</t>
        </is>
      </c>
      <c r="M727" s="7" t="inlineStr">
        <is>
          <t>0,00% (Lei nº 10.925/2004)</t>
        </is>
      </c>
      <c r="N727" s="7" t="inlineStr">
        <is>
          <t>0,925% (LC nº 224/2025)</t>
        </is>
      </c>
      <c r="O727" s="7" t="inlineStr">
        <is>
          <t>0,365% (LC nº 224/2025)</t>
        </is>
      </c>
      <c r="P727" s="7" t="inlineStr">
        <is>
          <t>CST 06</t>
        </is>
      </c>
      <c r="Q727" s="7" t="inlineStr">
        <is>
          <t>CST 73</t>
        </is>
      </c>
      <c r="R727" s="7" t="inlineStr">
        <is>
          <t>Redução de 60% + Diferimento (Art. 138 e Anexo IX LC 214/2025)</t>
        </is>
      </c>
    </row>
    <row r="728" ht="22" customHeight="1">
      <c r="A728" s="12" t="inlineStr">
        <is>
          <t>SKU-0724</t>
        </is>
      </c>
      <c r="B728" s="11" t="n">
        <v>512</v>
      </c>
      <c r="C728" s="13" t="inlineStr">
        <is>
          <t>Nº 5924</t>
        </is>
      </c>
      <c r="D728" s="14" t="inlineStr">
        <is>
          <t>FLAME WG</t>
        </is>
      </c>
      <c r="E728" s="13" t="inlineStr">
        <is>
          <t>Embalagem Comercial do Produto</t>
        </is>
      </c>
      <c r="F728" s="13" t="inlineStr">
        <is>
          <t>2X10KG (10 KG)</t>
        </is>
      </c>
      <c r="G728" s="13" t="inlineStr">
        <is>
          <t>KG</t>
        </is>
      </c>
      <c r="H728" s="15" t="n">
        <v>10</v>
      </c>
      <c r="I728" s="13" t="inlineStr">
        <is>
          <t>3808.69.90</t>
        </is>
      </c>
      <c r="J728" s="13" t="inlineStr">
        <is>
          <t>SIM</t>
        </is>
      </c>
      <c r="K728" s="13" t="inlineStr">
        <is>
          <t>Embalagem Flexível — NÃO LAVÁVEL (Perfurar e usar saco ABNT)</t>
        </is>
      </c>
      <c r="L728" s="13" t="inlineStr">
        <is>
          <t>SIM (Saco Transparente ABNT)</t>
        </is>
      </c>
      <c r="M728" s="13" t="inlineStr">
        <is>
          <t>0,00% (Lei nº 10.925/2004)</t>
        </is>
      </c>
      <c r="N728" s="13" t="inlineStr">
        <is>
          <t>0,925% (LC nº 224/2025)</t>
        </is>
      </c>
      <c r="O728" s="13" t="inlineStr">
        <is>
          <t>0,365% (LC nº 224/2025)</t>
        </is>
      </c>
      <c r="P728" s="13" t="inlineStr">
        <is>
          <t>CST 06</t>
        </is>
      </c>
      <c r="Q728" s="13" t="inlineStr">
        <is>
          <t>CST 73</t>
        </is>
      </c>
      <c r="R728" s="13" t="inlineStr">
        <is>
          <t>Redução de 60% + Diferimento (Art. 138 e Anexo IX LC 214/2025)</t>
        </is>
      </c>
    </row>
    <row r="729" ht="22" customHeight="1">
      <c r="A729" s="6" t="inlineStr">
        <is>
          <t>SKU-0725</t>
        </is>
      </c>
      <c r="B729" s="5" t="n">
        <v>512</v>
      </c>
      <c r="C729" s="7" t="inlineStr">
        <is>
          <t>Nº 5924</t>
        </is>
      </c>
      <c r="D729" s="8" t="inlineStr">
        <is>
          <t>FLAME WG</t>
        </is>
      </c>
      <c r="E729" s="7" t="inlineStr">
        <is>
          <t>Faixa 1 TIPI (Apresentação &lt;= 300 g ou mL)</t>
        </is>
      </c>
      <c r="F729" s="7" t="inlineStr">
        <is>
          <t>Fracionado / Amostra &lt;= 0,3 KG</t>
        </is>
      </c>
      <c r="G729" s="7" t="inlineStr">
        <is>
          <t>KG</t>
        </is>
      </c>
      <c r="H729" s="17" t="n">
        <v>0.3</v>
      </c>
      <c r="I729" s="7" t="inlineStr">
        <is>
          <t>3808.61.00</t>
        </is>
      </c>
      <c r="J729" s="7" t="inlineStr">
        <is>
          <t>SIM</t>
        </is>
      </c>
      <c r="K729" s="7" t="inlineStr">
        <is>
          <t>Embalagem Flexível — NÃO LAVÁVEL (Perfurar e usar saco ABNT)</t>
        </is>
      </c>
      <c r="L729" s="7" t="inlineStr">
        <is>
          <t>SIM (Saco Transparente ABNT)</t>
        </is>
      </c>
      <c r="M729" s="7" t="inlineStr">
        <is>
          <t>0,00% (Lei nº 10.925/2004)</t>
        </is>
      </c>
      <c r="N729" s="7" t="inlineStr">
        <is>
          <t>0,925% (LC nº 224/2025)</t>
        </is>
      </c>
      <c r="O729" s="7" t="inlineStr">
        <is>
          <t>0,365% (LC nº 224/2025)</t>
        </is>
      </c>
      <c r="P729" s="7" t="inlineStr">
        <is>
          <t>CST 06</t>
        </is>
      </c>
      <c r="Q729" s="7" t="inlineStr">
        <is>
          <t>CST 73</t>
        </is>
      </c>
      <c r="R729" s="7" t="inlineStr">
        <is>
          <t>Redução de 60% + Diferimento (Art. 138 e Anexo IX LC 214/2025)</t>
        </is>
      </c>
    </row>
    <row r="730" ht="22" customHeight="1">
      <c r="A730" s="12" t="inlineStr">
        <is>
          <t>SKU-0726</t>
        </is>
      </c>
      <c r="B730" s="11" t="n">
        <v>513</v>
      </c>
      <c r="C730" s="13" t="inlineStr">
        <is>
          <t>SIPEAGRO (UF-XXXXX)</t>
        </is>
      </c>
      <c r="D730" s="14" t="inlineStr">
        <is>
          <t>AGCN PRO +</t>
        </is>
      </c>
      <c r="E730" s="13" t="inlineStr">
        <is>
          <t>Embalagem Comercial do Produto</t>
        </is>
      </c>
      <c r="F730" s="13" t="inlineStr">
        <is>
          <t>1X25L (25 L)</t>
        </is>
      </c>
      <c r="G730" s="13" t="inlineStr">
        <is>
          <t>L</t>
        </is>
      </c>
      <c r="H730" s="15" t="n">
        <v>25</v>
      </c>
      <c r="I730" s="13" t="inlineStr">
        <is>
          <t>3102.90.00</t>
        </is>
      </c>
      <c r="J730" s="13" t="inlineStr">
        <is>
          <t>NÃO</t>
        </is>
      </c>
      <c r="K730" s="13" t="inlineStr">
        <is>
          <t>Embalagem de Insumo Nutricional/Biológico (Logística Reversa)</t>
        </is>
      </c>
      <c r="L730" s="13" t="inlineStr">
        <is>
          <t>NÃO</t>
        </is>
      </c>
      <c r="M730" s="13" t="inlineStr">
        <is>
          <t>0,00% (Lei nº 10.925/2004)</t>
        </is>
      </c>
      <c r="N730" s="13" t="inlineStr">
        <is>
          <t>0,925% (LC nº 224/2025)</t>
        </is>
      </c>
      <c r="O730" s="13" t="inlineStr">
        <is>
          <t>0,365% (LC nº 224/2025)</t>
        </is>
      </c>
      <c r="P730" s="13" t="inlineStr">
        <is>
          <t>CST 06</t>
        </is>
      </c>
      <c r="Q730" s="13" t="inlineStr">
        <is>
          <t>CST 73</t>
        </is>
      </c>
      <c r="R730" s="13" t="inlineStr">
        <is>
          <t>Redução de 60% + Diferimento (Art. 138 e Anexo IX LC 214/2025)</t>
        </is>
      </c>
    </row>
    <row r="731" ht="22" customHeight="1">
      <c r="A731" s="6" t="inlineStr">
        <is>
          <t>SKU-0727</t>
        </is>
      </c>
      <c r="B731" s="5" t="n">
        <v>513</v>
      </c>
      <c r="C731" s="7" t="inlineStr">
        <is>
          <t>SIPEAGRO (UF-XXXXX)</t>
        </is>
      </c>
      <c r="D731" s="8" t="inlineStr">
        <is>
          <t>AGCN PRO +</t>
        </is>
      </c>
      <c r="E731" s="7" t="inlineStr">
        <is>
          <t>Faixa 1 TIPI (Apresentação &lt;= 300 g ou mL)</t>
        </is>
      </c>
      <c r="F731" s="7" t="inlineStr">
        <is>
          <t>Fracionado / Amostra &lt;= 0,3 L</t>
        </is>
      </c>
      <c r="G731" s="7" t="inlineStr">
        <is>
          <t>L</t>
        </is>
      </c>
      <c r="H731" s="17" t="n">
        <v>0.3</v>
      </c>
      <c r="I731" s="7" t="inlineStr">
        <is>
          <t>3105.90.90</t>
        </is>
      </c>
      <c r="J731" s="7" t="inlineStr">
        <is>
          <t>NÃO</t>
        </is>
      </c>
      <c r="K731" s="7" t="inlineStr">
        <is>
          <t>Embalagem de Insumo Nutricional/Biológico (Logística Reversa)</t>
        </is>
      </c>
      <c r="L731" s="7" t="inlineStr">
        <is>
          <t>NÃO</t>
        </is>
      </c>
      <c r="M731" s="7" t="inlineStr">
        <is>
          <t>0,00% (Lei nº 10.925/2004)</t>
        </is>
      </c>
      <c r="N731" s="7" t="inlineStr">
        <is>
          <t>0,925% (LC nº 224/2025)</t>
        </is>
      </c>
      <c r="O731" s="7" t="inlineStr">
        <is>
          <t>0,365% (LC nº 224/2025)</t>
        </is>
      </c>
      <c r="P731" s="7" t="inlineStr">
        <is>
          <t>CST 06</t>
        </is>
      </c>
      <c r="Q731" s="7" t="inlineStr">
        <is>
          <t>CST 73</t>
        </is>
      </c>
      <c r="R731" s="7" t="inlineStr">
        <is>
          <t>Redução de 60% + Diferimento (Art. 138 e Anexo IX LC 214/2025)</t>
        </is>
      </c>
    </row>
    <row r="732" ht="22" customHeight="1">
      <c r="A732" s="12" t="inlineStr">
        <is>
          <t>SKU-0728</t>
        </is>
      </c>
      <c r="B732" s="11" t="n">
        <v>514</v>
      </c>
      <c r="C732" s="13" t="inlineStr">
        <is>
          <t>Nº 31522</t>
        </is>
      </c>
      <c r="D732" s="14" t="inlineStr">
        <is>
          <t>METOMY 900 IMP 0,200L AMOSTRA</t>
        </is>
      </c>
      <c r="E732" s="13" t="inlineStr">
        <is>
          <t>Embalagem Comercial do Produto</t>
        </is>
      </c>
      <c r="F732" s="13" t="inlineStr">
        <is>
          <t>0,200L (0.2 L)</t>
        </is>
      </c>
      <c r="G732" s="13" t="inlineStr">
        <is>
          <t>KG</t>
        </is>
      </c>
      <c r="H732" s="18" t="n">
        <v>0.2</v>
      </c>
      <c r="I732" s="13" t="inlineStr">
        <is>
          <t>3808.91.99</t>
        </is>
      </c>
      <c r="J732" s="13" t="inlineStr">
        <is>
          <t>NÃO</t>
        </is>
      </c>
      <c r="K732" s="13" t="inlineStr">
        <is>
          <t>Embalagem Flexível — NÃO LAVÁVEL (Perfurar e usar saco ABNT)</t>
        </is>
      </c>
      <c r="L732" s="13" t="inlineStr">
        <is>
          <t>SIM (Saco Transparente ABNT)</t>
        </is>
      </c>
      <c r="M732" s="13" t="inlineStr">
        <is>
          <t>0,00% (Lei nº 10.925/2004)</t>
        </is>
      </c>
      <c r="N732" s="13" t="inlineStr">
        <is>
          <t>0,925% (LC nº 224/2025)</t>
        </is>
      </c>
      <c r="O732" s="13" t="inlineStr">
        <is>
          <t>0,365% (LC nº 224/2025)</t>
        </is>
      </c>
      <c r="P732" s="13" t="inlineStr">
        <is>
          <t>CST 06</t>
        </is>
      </c>
      <c r="Q732" s="13" t="inlineStr">
        <is>
          <t>CST 73</t>
        </is>
      </c>
      <c r="R732" s="13" t="inlineStr">
        <is>
          <t>Redução de 60% + Diferimento (Art. 138 e Anexo IX LC 214/2025)</t>
        </is>
      </c>
    </row>
    <row r="733" ht="22" customHeight="1">
      <c r="A733" s="6" t="inlineStr">
        <is>
          <t>SKU-0729</t>
        </is>
      </c>
      <c r="B733" s="5" t="n">
        <v>515</v>
      </c>
      <c r="C733" s="7" t="inlineStr">
        <is>
          <t>Nº 22221</t>
        </is>
      </c>
      <c r="D733" s="8" t="inlineStr">
        <is>
          <t>GRASIDIM IMP 0,200L AMOSTRA</t>
        </is>
      </c>
      <c r="E733" s="7" t="inlineStr">
        <is>
          <t>Embalagem Comercial do Produto</t>
        </is>
      </c>
      <c r="F733" s="7" t="inlineStr">
        <is>
          <t>0,200L (0.2 L)</t>
        </is>
      </c>
      <c r="G733" s="7" t="inlineStr">
        <is>
          <t>L</t>
        </is>
      </c>
      <c r="H733" s="17" t="n">
        <v>0.2</v>
      </c>
      <c r="I733" s="7" t="inlineStr">
        <is>
          <t>3808.93.29</t>
        </is>
      </c>
      <c r="J733" s="7" t="inlineStr">
        <is>
          <t>NÃO</t>
        </is>
      </c>
      <c r="K733" s="7" t="inlineStr">
        <is>
          <t>Embalagem Rígida — LAVÁVEL (Obrigatória Tríplice Lavagem ou Pressão)</t>
        </is>
      </c>
      <c r="L733" s="7" t="inlineStr">
        <is>
          <t>NÃO</t>
        </is>
      </c>
      <c r="M733" s="7" t="inlineStr">
        <is>
          <t>0,00% (Lei nº 10.925/2004)</t>
        </is>
      </c>
      <c r="N733" s="7" t="inlineStr">
        <is>
          <t>0,925% (LC nº 224/2025)</t>
        </is>
      </c>
      <c r="O733" s="7" t="inlineStr">
        <is>
          <t>0,365% (LC nº 224/2025)</t>
        </is>
      </c>
      <c r="P733" s="7" t="inlineStr">
        <is>
          <t>CST 06</t>
        </is>
      </c>
      <c r="Q733" s="7" t="inlineStr">
        <is>
          <t>CST 73</t>
        </is>
      </c>
      <c r="R733" s="7" t="inlineStr">
        <is>
          <t>Redução de 60% + Diferimento (Art. 138 e Anexo IX LC 214/2025)</t>
        </is>
      </c>
    </row>
    <row r="734" ht="22" customHeight="1">
      <c r="A734" s="12" t="inlineStr">
        <is>
          <t>SKU-0730</t>
        </is>
      </c>
      <c r="B734" s="11" t="n">
        <v>516</v>
      </c>
      <c r="C734" s="13" t="inlineStr">
        <is>
          <t>Nº 12123</t>
        </is>
      </c>
      <c r="D734" s="14" t="inlineStr">
        <is>
          <t>PYRIPROXYFEN 100 EC AGCN</t>
        </is>
      </c>
      <c r="E734" s="13" t="inlineStr">
        <is>
          <t>Embalagem Comercial do Produto</t>
        </is>
      </c>
      <c r="F734" s="13" t="inlineStr">
        <is>
          <t>4X5L (5 L)</t>
        </is>
      </c>
      <c r="G734" s="13" t="inlineStr">
        <is>
          <t>L</t>
        </is>
      </c>
      <c r="H734" s="15" t="n">
        <v>5</v>
      </c>
      <c r="I734" s="13" t="inlineStr">
        <is>
          <t>3808.91.99</t>
        </is>
      </c>
      <c r="J734" s="13" t="inlineStr">
        <is>
          <t>NÃO</t>
        </is>
      </c>
      <c r="K734" s="13" t="inlineStr">
        <is>
          <t>Embalagem Rígida — LAVÁVEL (Obrigatória Tríplice Lavagem ou Pressão)</t>
        </is>
      </c>
      <c r="L734" s="13" t="inlineStr">
        <is>
          <t>NÃO</t>
        </is>
      </c>
      <c r="M734" s="13" t="inlineStr">
        <is>
          <t>0,00% (Lei nº 10.925/2004)</t>
        </is>
      </c>
      <c r="N734" s="13" t="inlineStr">
        <is>
          <t>0,925% (LC nº 224/2025)</t>
        </is>
      </c>
      <c r="O734" s="13" t="inlineStr">
        <is>
          <t>0,365% (LC nº 224/2025)</t>
        </is>
      </c>
      <c r="P734" s="13" t="inlineStr">
        <is>
          <t>CST 06</t>
        </is>
      </c>
      <c r="Q734" s="13" t="inlineStr">
        <is>
          <t>CST 73</t>
        </is>
      </c>
      <c r="R734" s="13" t="inlineStr">
        <is>
          <t>Redução de 60% + Diferimento (Art. 138 e Anexo IX LC 214/2025)</t>
        </is>
      </c>
    </row>
    <row r="735" ht="22" customHeight="1">
      <c r="A735" s="6" t="inlineStr">
        <is>
          <t>SKU-0731</t>
        </is>
      </c>
      <c r="B735" s="5" t="n">
        <v>517</v>
      </c>
      <c r="C735" s="7" t="inlineStr">
        <is>
          <t>Nº 28421</t>
        </is>
      </c>
      <c r="D735" s="8" t="inlineStr">
        <is>
          <t>CLORFENAPIR CCAB</t>
        </is>
      </c>
      <c r="E735" s="7" t="inlineStr">
        <is>
          <t>Embalagem Comercial do Produto</t>
        </is>
      </c>
      <c r="F735" s="7" t="inlineStr">
        <is>
          <t>1X20L (20 L)</t>
        </is>
      </c>
      <c r="G735" s="7" t="inlineStr">
        <is>
          <t>L</t>
        </is>
      </c>
      <c r="H735" s="9" t="n">
        <v>20</v>
      </c>
      <c r="I735" s="7" t="inlineStr">
        <is>
          <t>3808.69.90</t>
        </is>
      </c>
      <c r="J735" s="7" t="inlineStr">
        <is>
          <t>SIM</t>
        </is>
      </c>
      <c r="K735" s="7" t="inlineStr">
        <is>
          <t>Embalagem Rígida — LAVÁVEL (Obrigatória Tríplice Lavagem ou Pressão)</t>
        </is>
      </c>
      <c r="L735" s="7" t="inlineStr">
        <is>
          <t>NÃO</t>
        </is>
      </c>
      <c r="M735" s="7" t="inlineStr">
        <is>
          <t>0,00% (Lei nº 10.925/2004)</t>
        </is>
      </c>
      <c r="N735" s="7" t="inlineStr">
        <is>
          <t>0,925% (LC nº 224/2025)</t>
        </is>
      </c>
      <c r="O735" s="7" t="inlineStr">
        <is>
          <t>0,365% (LC nº 224/2025)</t>
        </is>
      </c>
      <c r="P735" s="7" t="inlineStr">
        <is>
          <t>CST 06</t>
        </is>
      </c>
      <c r="Q735" s="7" t="inlineStr">
        <is>
          <t>CST 73</t>
        </is>
      </c>
      <c r="R735" s="7" t="inlineStr">
        <is>
          <t>Redução de 60% + Diferimento (Art. 138 e Anexo IX LC 214/2025)</t>
        </is>
      </c>
    </row>
    <row r="736" ht="22" customHeight="1">
      <c r="A736" s="12" t="inlineStr">
        <is>
          <t>SKU-0732</t>
        </is>
      </c>
      <c r="B736" s="11" t="n">
        <v>518</v>
      </c>
      <c r="C736" s="13" t="inlineStr">
        <is>
          <t>Nº 2004</t>
        </is>
      </c>
      <c r="D736" s="14" t="inlineStr">
        <is>
          <t>PENNCOZEB WG</t>
        </is>
      </c>
      <c r="E736" s="13" t="inlineStr">
        <is>
          <t>Embalagem Comercial do Produto</t>
        </is>
      </c>
      <c r="F736" s="13" t="inlineStr">
        <is>
          <t>1X15KG (15 KG)</t>
        </is>
      </c>
      <c r="G736" s="13" t="inlineStr">
        <is>
          <t>KG</t>
        </is>
      </c>
      <c r="H736" s="15" t="n">
        <v>15</v>
      </c>
      <c r="I736" s="13" t="inlineStr">
        <is>
          <t>3808.92.93</t>
        </is>
      </c>
      <c r="J736" s="13" t="inlineStr">
        <is>
          <t>NÃO</t>
        </is>
      </c>
      <c r="K736" s="13" t="inlineStr">
        <is>
          <t>Embalagem Flexível — NÃO LAVÁVEL (Perfurar e usar saco ABNT)</t>
        </is>
      </c>
      <c r="L736" s="13" t="inlineStr">
        <is>
          <t>SIM (Saco Transparente ABNT)</t>
        </is>
      </c>
      <c r="M736" s="13" t="inlineStr">
        <is>
          <t>0,00% (Lei nº 10.925/2004)</t>
        </is>
      </c>
      <c r="N736" s="13" t="inlineStr">
        <is>
          <t>0,925% (LC nº 224/2025)</t>
        </is>
      </c>
      <c r="O736" s="13" t="inlineStr">
        <is>
          <t>0,365% (LC nº 224/2025)</t>
        </is>
      </c>
      <c r="P736" s="13" t="inlineStr">
        <is>
          <t>CST 06</t>
        </is>
      </c>
      <c r="Q736" s="13" t="inlineStr">
        <is>
          <t>CST 73</t>
        </is>
      </c>
      <c r="R736" s="13" t="inlineStr">
        <is>
          <t>Redução de 60% + Diferimento (Art. 138 e Anexo IX LC 214/2025)</t>
        </is>
      </c>
    </row>
    <row r="737" ht="22" customHeight="1">
      <c r="A737" s="6" t="inlineStr">
        <is>
          <t>SKU-0733</t>
        </is>
      </c>
      <c r="B737" s="5" t="n">
        <v>519</v>
      </c>
      <c r="C737" s="7" t="inlineStr">
        <is>
          <t>Nº 8510</t>
        </is>
      </c>
      <c r="D737" s="8" t="inlineStr">
        <is>
          <t>POQUER</t>
        </is>
      </c>
      <c r="E737" s="7" t="inlineStr">
        <is>
          <t>Embalagem Comercial do Produto</t>
        </is>
      </c>
      <c r="F737" s="7" t="inlineStr">
        <is>
          <t>1X20L (20 L)</t>
        </is>
      </c>
      <c r="G737" s="7" t="inlineStr">
        <is>
          <t>L</t>
        </is>
      </c>
      <c r="H737" s="9" t="n">
        <v>20</v>
      </c>
      <c r="I737" s="7" t="inlineStr">
        <is>
          <t>3808.93.29</t>
        </is>
      </c>
      <c r="J737" s="7" t="inlineStr">
        <is>
          <t>NÃO</t>
        </is>
      </c>
      <c r="K737" s="7" t="inlineStr">
        <is>
          <t>Embalagem Rígida — LAVÁVEL (Obrigatória Tríplice Lavagem ou Pressão)</t>
        </is>
      </c>
      <c r="L737" s="7" t="inlineStr">
        <is>
          <t>NÃO</t>
        </is>
      </c>
      <c r="M737" s="7" t="inlineStr">
        <is>
          <t>0,00% (Lei nº 10.925/2004)</t>
        </is>
      </c>
      <c r="N737" s="7" t="inlineStr">
        <is>
          <t>0,925% (LC nº 224/2025)</t>
        </is>
      </c>
      <c r="O737" s="7" t="inlineStr">
        <is>
          <t>0,365% (LC nº 224/2025)</t>
        </is>
      </c>
      <c r="P737" s="7" t="inlineStr">
        <is>
          <t>CST 06</t>
        </is>
      </c>
      <c r="Q737" s="7" t="inlineStr">
        <is>
          <t>CST 73</t>
        </is>
      </c>
      <c r="R737" s="7" t="inlineStr">
        <is>
          <t>Redução de 60% + Diferimento (Art. 138 e Anexo IX LC 214/2025)</t>
        </is>
      </c>
    </row>
    <row r="738" ht="22" customHeight="1">
      <c r="A738" s="12" t="inlineStr">
        <is>
          <t>SKU-0734</t>
        </is>
      </c>
      <c r="B738" s="11" t="n">
        <v>520</v>
      </c>
      <c r="C738" s="13" t="inlineStr">
        <is>
          <t>Nº 23522</t>
        </is>
      </c>
      <c r="D738" s="14" t="inlineStr">
        <is>
          <t>VALLEX</t>
        </is>
      </c>
      <c r="E738" s="13" t="inlineStr">
        <is>
          <t>Embalagem Comercial do Produto</t>
        </is>
      </c>
      <c r="F738" s="13" t="inlineStr">
        <is>
          <t>4X5L (5 L)</t>
        </is>
      </c>
      <c r="G738" s="13" t="inlineStr">
        <is>
          <t>L</t>
        </is>
      </c>
      <c r="H738" s="15" t="n">
        <v>5</v>
      </c>
      <c r="I738" s="13" t="inlineStr">
        <is>
          <t>3808.91.99</t>
        </is>
      </c>
      <c r="J738" s="13" t="inlineStr">
        <is>
          <t>NÃO</t>
        </is>
      </c>
      <c r="K738" s="13" t="inlineStr">
        <is>
          <t>Embalagem Rígida — LAVÁVEL (Obrigatória Tríplice Lavagem ou Pressão)</t>
        </is>
      </c>
      <c r="L738" s="13" t="inlineStr">
        <is>
          <t>NÃO</t>
        </is>
      </c>
      <c r="M738" s="13" t="inlineStr">
        <is>
          <t>0,00% (Lei nº 10.925/2004)</t>
        </is>
      </c>
      <c r="N738" s="13" t="inlineStr">
        <is>
          <t>0,925% (LC nº 224/2025)</t>
        </is>
      </c>
      <c r="O738" s="13" t="inlineStr">
        <is>
          <t>0,365% (LC nº 224/2025)</t>
        </is>
      </c>
      <c r="P738" s="13" t="inlineStr">
        <is>
          <t>CST 06</t>
        </is>
      </c>
      <c r="Q738" s="13" t="inlineStr">
        <is>
          <t>CST 73</t>
        </is>
      </c>
      <c r="R738" s="13" t="inlineStr">
        <is>
          <t>Redução de 60% + Diferimento (Art. 138 e Anexo IX LC 214/2025)</t>
        </is>
      </c>
    </row>
    <row r="739" ht="22" customHeight="1">
      <c r="A739" s="6" t="inlineStr">
        <is>
          <t>SKU-0735</t>
        </is>
      </c>
      <c r="B739" s="5" t="n">
        <v>521</v>
      </c>
      <c r="C739" s="7" t="inlineStr">
        <is>
          <t>Nº 23922</t>
        </is>
      </c>
      <c r="D739" s="8" t="inlineStr">
        <is>
          <t>GRASIDIM FULL IMP 0,200L AMOSTRA</t>
        </is>
      </c>
      <c r="E739" s="7" t="inlineStr">
        <is>
          <t>Embalagem Comercial do Produto</t>
        </is>
      </c>
      <c r="F739" s="7" t="inlineStr">
        <is>
          <t>0,200L (0.2 L)</t>
        </is>
      </c>
      <c r="G739" s="7" t="inlineStr">
        <is>
          <t>L</t>
        </is>
      </c>
      <c r="H739" s="17" t="n">
        <v>0.2</v>
      </c>
      <c r="I739" s="7" t="inlineStr">
        <is>
          <t>3808.93.29</t>
        </is>
      </c>
      <c r="J739" s="7" t="inlineStr">
        <is>
          <t>NÃO</t>
        </is>
      </c>
      <c r="K739" s="7" t="inlineStr">
        <is>
          <t>Embalagem Rígida — LAVÁVEL (Obrigatória Tríplice Lavagem ou Pressão)</t>
        </is>
      </c>
      <c r="L739" s="7" t="inlineStr">
        <is>
          <t>NÃO</t>
        </is>
      </c>
      <c r="M739" s="7" t="inlineStr">
        <is>
          <t>0,00% (Lei nº 10.925/2004)</t>
        </is>
      </c>
      <c r="N739" s="7" t="inlineStr">
        <is>
          <t>0,925% (LC nº 224/2025)</t>
        </is>
      </c>
      <c r="O739" s="7" t="inlineStr">
        <is>
          <t>0,365% (LC nº 224/2025)</t>
        </is>
      </c>
      <c r="P739" s="7" t="inlineStr">
        <is>
          <t>CST 06</t>
        </is>
      </c>
      <c r="Q739" s="7" t="inlineStr">
        <is>
          <t>CST 73</t>
        </is>
      </c>
      <c r="R739" s="7" t="inlineStr">
        <is>
          <t>Redução de 60% + Diferimento (Art. 138 e Anexo IX LC 214/2025)</t>
        </is>
      </c>
    </row>
    <row r="740" ht="22" customHeight="1">
      <c r="A740" s="12" t="inlineStr">
        <is>
          <t>SKU-0736</t>
        </is>
      </c>
      <c r="B740" s="11" t="n">
        <v>521</v>
      </c>
      <c r="C740" s="13" t="inlineStr">
        <is>
          <t>Nº 23922</t>
        </is>
      </c>
      <c r="D740" s="14" t="inlineStr">
        <is>
          <t>GRASIDIM FULL IMP 0,200L AMOSTRA</t>
        </is>
      </c>
      <c r="E740" s="13" t="inlineStr">
        <is>
          <t>Faixa 1 TIPI (Apresentação &lt;= 300 g ou mL)</t>
        </is>
      </c>
      <c r="F740" s="13" t="inlineStr">
        <is>
          <t>Fracionado / Amostra &lt;= 0,3 L</t>
        </is>
      </c>
      <c r="G740" s="13" t="inlineStr">
        <is>
          <t>L</t>
        </is>
      </c>
      <c r="H740" s="18" t="n">
        <v>0.3</v>
      </c>
      <c r="I740" s="13" t="inlineStr">
        <is>
          <t>3808.93.19</t>
        </is>
      </c>
      <c r="J740" s="13" t="inlineStr">
        <is>
          <t>NÃO</t>
        </is>
      </c>
      <c r="K740" s="13" t="inlineStr">
        <is>
          <t>Embalagem Rígida — LAVÁVEL (Obrigatória Tríplice Lavagem ou Pressão)</t>
        </is>
      </c>
      <c r="L740" s="13" t="inlineStr">
        <is>
          <t>NÃO</t>
        </is>
      </c>
      <c r="M740" s="13" t="inlineStr">
        <is>
          <t>0,00% (Lei nº 10.925/2004)</t>
        </is>
      </c>
      <c r="N740" s="13" t="inlineStr">
        <is>
          <t>0,925% (LC nº 224/2025)</t>
        </is>
      </c>
      <c r="O740" s="13" t="inlineStr">
        <is>
          <t>0,365% (LC nº 224/2025)</t>
        </is>
      </c>
      <c r="P740" s="13" t="inlineStr">
        <is>
          <t>CST 06</t>
        </is>
      </c>
      <c r="Q740" s="13" t="inlineStr">
        <is>
          <t>CST 73</t>
        </is>
      </c>
      <c r="R740" s="13" t="inlineStr">
        <is>
          <t>Redução de 60% + Diferimento (Art. 138 e Anexo IX LC 214/2025)</t>
        </is>
      </c>
    </row>
    <row r="741" ht="22" customHeight="1">
      <c r="A741" s="6" t="inlineStr">
        <is>
          <t>SKU-0737</t>
        </is>
      </c>
      <c r="B741" s="5" t="n">
        <v>522</v>
      </c>
      <c r="C741" s="7" t="inlineStr">
        <is>
          <t>Nº 26017</t>
        </is>
      </c>
      <c r="D741" s="8" t="inlineStr">
        <is>
          <t>MESOTRIONE</t>
        </is>
      </c>
      <c r="E741" s="7" t="inlineStr">
        <is>
          <t>Embalagem Comercial do Produto</t>
        </is>
      </c>
      <c r="F741" s="7" t="inlineStr">
        <is>
          <t>0,200L (0.2 L)</t>
        </is>
      </c>
      <c r="G741" s="7" t="inlineStr">
        <is>
          <t>L</t>
        </is>
      </c>
      <c r="H741" s="17" t="n">
        <v>0.2</v>
      </c>
      <c r="I741" s="7" t="inlineStr">
        <is>
          <t>3808.93.29</t>
        </is>
      </c>
      <c r="J741" s="7" t="inlineStr">
        <is>
          <t>NÃO</t>
        </is>
      </c>
      <c r="K741" s="7" t="inlineStr">
        <is>
          <t>Embalagem Rígida — LAVÁVEL (Obrigatória Tríplice Lavagem ou Pressão)</t>
        </is>
      </c>
      <c r="L741" s="7" t="inlineStr">
        <is>
          <t>NÃO</t>
        </is>
      </c>
      <c r="M741" s="7" t="inlineStr">
        <is>
          <t>0,00% (Lei nº 10.925/2004)</t>
        </is>
      </c>
      <c r="N741" s="7" t="inlineStr">
        <is>
          <t>0,925% (LC nº 224/2025)</t>
        </is>
      </c>
      <c r="O741" s="7" t="inlineStr">
        <is>
          <t>0,365% (LC nº 224/2025)</t>
        </is>
      </c>
      <c r="P741" s="7" t="inlineStr">
        <is>
          <t>CST 06</t>
        </is>
      </c>
      <c r="Q741" s="7" t="inlineStr">
        <is>
          <t>CST 73</t>
        </is>
      </c>
      <c r="R741" s="7" t="inlineStr">
        <is>
          <t>Redução de 60% + Diferimento (Art. 138 e Anexo IX LC 214/2025)</t>
        </is>
      </c>
    </row>
    <row r="742" ht="22" customHeight="1">
      <c r="A742" s="12" t="inlineStr">
        <is>
          <t>SKU-0738</t>
        </is>
      </c>
      <c r="B742" s="11" t="n">
        <v>523</v>
      </c>
      <c r="C742" s="13" t="inlineStr">
        <is>
          <t>Nº 8813</t>
        </is>
      </c>
      <c r="D742" s="14" t="inlineStr">
        <is>
          <t>ORKESTRA SC</t>
        </is>
      </c>
      <c r="E742" s="13" t="inlineStr">
        <is>
          <t>Embalagem Comercial do Produto</t>
        </is>
      </c>
      <c r="F742" s="13" t="inlineStr">
        <is>
          <t>10X1L (1 L)</t>
        </is>
      </c>
      <c r="G742" s="13" t="inlineStr">
        <is>
          <t>L</t>
        </is>
      </c>
      <c r="H742" s="15" t="n">
        <v>1</v>
      </c>
      <c r="I742" s="13" t="inlineStr">
        <is>
          <t>3808.92.99</t>
        </is>
      </c>
      <c r="J742" s="13" t="inlineStr">
        <is>
          <t>NÃO</t>
        </is>
      </c>
      <c r="K742" s="13" t="inlineStr">
        <is>
          <t>Embalagem Rígida — LAVÁVEL (Obrigatória Tríplice Lavagem ou Pressão)</t>
        </is>
      </c>
      <c r="L742" s="13" t="inlineStr">
        <is>
          <t>NÃO</t>
        </is>
      </c>
      <c r="M742" s="13" t="inlineStr">
        <is>
          <t>0,00% (Lei nº 10.925/2004)</t>
        </is>
      </c>
      <c r="N742" s="13" t="inlineStr">
        <is>
          <t>0,925% (LC nº 224/2025)</t>
        </is>
      </c>
      <c r="O742" s="13" t="inlineStr">
        <is>
          <t>0,365% (LC nº 224/2025)</t>
        </is>
      </c>
      <c r="P742" s="13" t="inlineStr">
        <is>
          <t>CST 06</t>
        </is>
      </c>
      <c r="Q742" s="13" t="inlineStr">
        <is>
          <t>CST 73</t>
        </is>
      </c>
      <c r="R742" s="13" t="inlineStr">
        <is>
          <t>Redução de 60% + Diferimento (Art. 138 e Anexo IX LC 214/2025)</t>
        </is>
      </c>
    </row>
    <row r="743" ht="22" customHeight="1">
      <c r="A743" s="6" t="inlineStr">
        <is>
          <t>SKU-0739</t>
        </is>
      </c>
      <c r="B743" s="5" t="n">
        <v>524</v>
      </c>
      <c r="C743" s="7" t="inlineStr">
        <is>
          <t>SIPEAGRO (UF-XXXXX)</t>
        </is>
      </c>
      <c r="D743" s="8" t="inlineStr">
        <is>
          <t>AGCN MAG ULTRA</t>
        </is>
      </c>
      <c r="E743" s="7" t="inlineStr">
        <is>
          <t>Embalagem Comercial do Produto</t>
        </is>
      </c>
      <c r="F743" s="7" t="inlineStr">
        <is>
          <t>1X1000L (1000 L)</t>
        </is>
      </c>
      <c r="G743" s="7" t="inlineStr">
        <is>
          <t>L</t>
        </is>
      </c>
      <c r="H743" s="9" t="n">
        <v>1000</v>
      </c>
      <c r="I743" s="7" t="inlineStr">
        <is>
          <t>3105.90.90</t>
        </is>
      </c>
      <c r="J743" s="7" t="inlineStr">
        <is>
          <t>NÃO</t>
        </is>
      </c>
      <c r="K743" s="7" t="inlineStr">
        <is>
          <t>Embalagem de Insumo Nutricional/Biológico (Logística Reversa)</t>
        </is>
      </c>
      <c r="L743" s="7" t="inlineStr">
        <is>
          <t>NÃO</t>
        </is>
      </c>
      <c r="M743" s="7" t="inlineStr">
        <is>
          <t>0,00% (Lei nº 10.925/2004)</t>
        </is>
      </c>
      <c r="N743" s="7" t="inlineStr">
        <is>
          <t>0,925% (LC nº 224/2025)</t>
        </is>
      </c>
      <c r="O743" s="7" t="inlineStr">
        <is>
          <t>0,365% (LC nº 224/2025)</t>
        </is>
      </c>
      <c r="P743" s="7" t="inlineStr">
        <is>
          <t>CST 06</t>
        </is>
      </c>
      <c r="Q743" s="7" t="inlineStr">
        <is>
          <t>CST 73</t>
        </is>
      </c>
      <c r="R743" s="7" t="inlineStr">
        <is>
          <t>Redução de 60% + Diferimento (Art. 138 e Anexo IX LC 214/2025)</t>
        </is>
      </c>
    </row>
    <row r="744" ht="22" customHeight="1">
      <c r="A744" s="12" t="inlineStr">
        <is>
          <t>SKU-0740</t>
        </is>
      </c>
      <c r="B744" s="11" t="n">
        <v>524</v>
      </c>
      <c r="C744" s="13" t="inlineStr">
        <is>
          <t>SIPEAGRO (UF-XXXXX)</t>
        </is>
      </c>
      <c r="D744" s="14" t="inlineStr">
        <is>
          <t>AGCN MAG ULTRA</t>
        </is>
      </c>
      <c r="E744" s="13" t="inlineStr">
        <is>
          <t>Faixa 1 TIPI (Apresentação &lt;= 300 g ou mL)</t>
        </is>
      </c>
      <c r="F744" s="13" t="inlineStr">
        <is>
          <t>Fracionado / Amostra &lt;= 0,3 L</t>
        </is>
      </c>
      <c r="G744" s="13" t="inlineStr">
        <is>
          <t>L</t>
        </is>
      </c>
      <c r="H744" s="18" t="n">
        <v>0.3</v>
      </c>
      <c r="I744" s="13" t="inlineStr">
        <is>
          <t>3105.90.90</t>
        </is>
      </c>
      <c r="J744" s="13" t="inlineStr">
        <is>
          <t>NÃO</t>
        </is>
      </c>
      <c r="K744" s="13" t="inlineStr">
        <is>
          <t>Embalagem de Insumo Nutricional/Biológico (Logística Reversa)</t>
        </is>
      </c>
      <c r="L744" s="13" t="inlineStr">
        <is>
          <t>NÃO</t>
        </is>
      </c>
      <c r="M744" s="13" t="inlineStr">
        <is>
          <t>0,00% (Lei nº 10.925/2004)</t>
        </is>
      </c>
      <c r="N744" s="13" t="inlineStr">
        <is>
          <t>0,925% (LC nº 224/2025)</t>
        </is>
      </c>
      <c r="O744" s="13" t="inlineStr">
        <is>
          <t>0,365% (LC nº 224/2025)</t>
        </is>
      </c>
      <c r="P744" s="13" t="inlineStr">
        <is>
          <t>CST 06</t>
        </is>
      </c>
      <c r="Q744" s="13" t="inlineStr">
        <is>
          <t>CST 73</t>
        </is>
      </c>
      <c r="R744" s="13" t="inlineStr">
        <is>
          <t>Redução de 60% + Diferimento (Art. 138 e Anexo IX LC 214/2025)</t>
        </is>
      </c>
    </row>
    <row r="745" ht="22" customHeight="1">
      <c r="A745" s="6" t="inlineStr">
        <is>
          <t>SKU-0741</t>
        </is>
      </c>
      <c r="B745" s="5" t="n">
        <v>525</v>
      </c>
      <c r="C745" s="7" t="inlineStr">
        <is>
          <t>Nº 45419</t>
        </is>
      </c>
      <c r="D745" s="8" t="inlineStr">
        <is>
          <t>CLORPIRI 480 EC 0,200L (IMP) AMOSTRA</t>
        </is>
      </c>
      <c r="E745" s="7" t="inlineStr">
        <is>
          <t>Embalagem Comercial do Produto</t>
        </is>
      </c>
      <c r="F745" s="7" t="inlineStr">
        <is>
          <t>0,200L (0.2 L)</t>
        </is>
      </c>
      <c r="G745" s="7" t="inlineStr">
        <is>
          <t>L</t>
        </is>
      </c>
      <c r="H745" s="17" t="n">
        <v>0.2</v>
      </c>
      <c r="I745" s="7" t="inlineStr">
        <is>
          <t>3808.91.99</t>
        </is>
      </c>
      <c r="J745" s="7" t="inlineStr">
        <is>
          <t>NÃO</t>
        </is>
      </c>
      <c r="K745" s="7" t="inlineStr">
        <is>
          <t>Embalagem Rígida — LAVÁVEL (Obrigatória Tríplice Lavagem ou Pressão)</t>
        </is>
      </c>
      <c r="L745" s="7" t="inlineStr">
        <is>
          <t>NÃO</t>
        </is>
      </c>
      <c r="M745" s="7" t="inlineStr">
        <is>
          <t>0,00% (Lei nº 10.925/2004)</t>
        </is>
      </c>
      <c r="N745" s="7" t="inlineStr">
        <is>
          <t>0,925% (LC nº 224/2025)</t>
        </is>
      </c>
      <c r="O745" s="7" t="inlineStr">
        <is>
          <t>0,365% (LC nº 224/2025)</t>
        </is>
      </c>
      <c r="P745" s="7" t="inlineStr">
        <is>
          <t>CST 06</t>
        </is>
      </c>
      <c r="Q745" s="7" t="inlineStr">
        <is>
          <t>CST 73</t>
        </is>
      </c>
      <c r="R745" s="7" t="inlineStr">
        <is>
          <t>Redução de 60% + Diferimento (Art. 138 e Anexo IX LC 214/2025)</t>
        </is>
      </c>
    </row>
    <row r="746" ht="22" customHeight="1">
      <c r="A746" s="12" t="inlineStr">
        <is>
          <t>SKU-0742</t>
        </is>
      </c>
      <c r="B746" s="11" t="n">
        <v>526</v>
      </c>
      <c r="C746" s="13" t="inlineStr">
        <is>
          <t>Nº 12225</t>
        </is>
      </c>
      <c r="D746" s="14" t="inlineStr">
        <is>
          <t>IMPACTUS CS 0,200L (IMP) AMOSTRA</t>
        </is>
      </c>
      <c r="E746" s="13" t="inlineStr">
        <is>
          <t>Embalagem Comercial do Produto</t>
        </is>
      </c>
      <c r="F746" s="13" t="inlineStr">
        <is>
          <t>0,200L (0.2 L)</t>
        </is>
      </c>
      <c r="G746" s="13" t="inlineStr">
        <is>
          <t>L</t>
        </is>
      </c>
      <c r="H746" s="18" t="n">
        <v>0.2</v>
      </c>
      <c r="I746" s="13" t="inlineStr">
        <is>
          <t>3808.61.00</t>
        </is>
      </c>
      <c r="J746" s="13" t="inlineStr">
        <is>
          <t>SIM</t>
        </is>
      </c>
      <c r="K746" s="13" t="inlineStr">
        <is>
          <t>Embalagem Rígida — LAVÁVEL (Obrigatória Tríplice Lavagem ou Pressão)</t>
        </is>
      </c>
      <c r="L746" s="13" t="inlineStr">
        <is>
          <t>NÃO</t>
        </is>
      </c>
      <c r="M746" s="13" t="inlineStr">
        <is>
          <t>0,00% (Lei nº 10.925/2004)</t>
        </is>
      </c>
      <c r="N746" s="13" t="inlineStr">
        <is>
          <t>0,925% (LC nº 224/2025)</t>
        </is>
      </c>
      <c r="O746" s="13" t="inlineStr">
        <is>
          <t>0,365% (LC nº 224/2025)</t>
        </is>
      </c>
      <c r="P746" s="13" t="inlineStr">
        <is>
          <t>CST 06</t>
        </is>
      </c>
      <c r="Q746" s="13" t="inlineStr">
        <is>
          <t>CST 73</t>
        </is>
      </c>
      <c r="R746" s="13" t="inlineStr">
        <is>
          <t>Redução de 60% + Diferimento (Art. 138 e Anexo IX LC 214/2025)</t>
        </is>
      </c>
    </row>
    <row r="747" ht="22" customHeight="1">
      <c r="A747" s="6" t="inlineStr">
        <is>
          <t>SKU-0743</t>
        </is>
      </c>
      <c r="B747" s="5" t="n">
        <v>526</v>
      </c>
      <c r="C747" s="7" t="inlineStr">
        <is>
          <t>Nº 12225</t>
        </is>
      </c>
      <c r="D747" s="8" t="inlineStr">
        <is>
          <t>IMPACTUS CS 0,200L (IMP) AMOSTRA</t>
        </is>
      </c>
      <c r="E747" s="7" t="inlineStr">
        <is>
          <t>Faixa 1 TIPI (Apresentação &lt;= 300 g ou mL)</t>
        </is>
      </c>
      <c r="F747" s="7" t="inlineStr">
        <is>
          <t>Fracionado / Amostra &lt;= 0,3 L</t>
        </is>
      </c>
      <c r="G747" s="7" t="inlineStr">
        <is>
          <t>L</t>
        </is>
      </c>
      <c r="H747" s="17" t="n">
        <v>0.3</v>
      </c>
      <c r="I747" s="7" t="inlineStr">
        <is>
          <t>3808.69.90</t>
        </is>
      </c>
      <c r="J747" s="7" t="inlineStr">
        <is>
          <t>SIM</t>
        </is>
      </c>
      <c r="K747" s="7" t="inlineStr">
        <is>
          <t>Embalagem Rígida — LAVÁVEL (Obrigatória Tríplice Lavagem ou Pressão)</t>
        </is>
      </c>
      <c r="L747" s="7" t="inlineStr">
        <is>
          <t>NÃO</t>
        </is>
      </c>
      <c r="M747" s="7" t="inlineStr">
        <is>
          <t>0,00% (Lei nº 10.925/2004)</t>
        </is>
      </c>
      <c r="N747" s="7" t="inlineStr">
        <is>
          <t>0,925% (LC nº 224/2025)</t>
        </is>
      </c>
      <c r="O747" s="7" t="inlineStr">
        <is>
          <t>0,365% (LC nº 224/2025)</t>
        </is>
      </c>
      <c r="P747" s="7" t="inlineStr">
        <is>
          <t>CST 06</t>
        </is>
      </c>
      <c r="Q747" s="7" t="inlineStr">
        <is>
          <t>CST 73</t>
        </is>
      </c>
      <c r="R747" s="7" t="inlineStr">
        <is>
          <t>Redução de 60% + Diferimento (Art. 138 e Anexo IX LC 214/2025)</t>
        </is>
      </c>
    </row>
    <row r="748" ht="22" customHeight="1">
      <c r="A748" s="12" t="inlineStr">
        <is>
          <t>SKU-0744</t>
        </is>
      </c>
      <c r="B748" s="11" t="n">
        <v>527</v>
      </c>
      <c r="C748" s="13" t="inlineStr">
        <is>
          <t>Nº 26924</t>
        </is>
      </c>
      <c r="D748" s="14" t="inlineStr">
        <is>
          <t>CHLOROCIL 0,200L (IMP) GG AMOSTRA</t>
        </is>
      </c>
      <c r="E748" s="13" t="inlineStr">
        <is>
          <t>Embalagem Comercial do Produto</t>
        </is>
      </c>
      <c r="F748" s="13" t="inlineStr">
        <is>
          <t>0,200L (0.2 L)</t>
        </is>
      </c>
      <c r="G748" s="13" t="inlineStr">
        <is>
          <t>L</t>
        </is>
      </c>
      <c r="H748" s="18" t="n">
        <v>0.2</v>
      </c>
      <c r="I748" s="13" t="inlineStr">
        <is>
          <t>3808.91.99</t>
        </is>
      </c>
      <c r="J748" s="13" t="inlineStr">
        <is>
          <t>NÃO</t>
        </is>
      </c>
      <c r="K748" s="13" t="inlineStr">
        <is>
          <t>Embalagem Rígida — LAVÁVEL (Obrigatória Tríplice Lavagem ou Pressão)</t>
        </is>
      </c>
      <c r="L748" s="13" t="inlineStr">
        <is>
          <t>NÃO</t>
        </is>
      </c>
      <c r="M748" s="13" t="inlineStr">
        <is>
          <t>0,00% (Lei nº 10.925/2004)</t>
        </is>
      </c>
      <c r="N748" s="13" t="inlineStr">
        <is>
          <t>0,925% (LC nº 224/2025)</t>
        </is>
      </c>
      <c r="O748" s="13" t="inlineStr">
        <is>
          <t>0,365% (LC nº 224/2025)</t>
        </is>
      </c>
      <c r="P748" s="13" t="inlineStr">
        <is>
          <t>CST 06</t>
        </is>
      </c>
      <c r="Q748" s="13" t="inlineStr">
        <is>
          <t>CST 73</t>
        </is>
      </c>
      <c r="R748" s="13" t="inlineStr">
        <is>
          <t>Redução de 60% + Diferimento (Art. 138 e Anexo IX LC 214/2025)</t>
        </is>
      </c>
    </row>
    <row r="749" ht="22" customHeight="1">
      <c r="A749" s="6" t="inlineStr">
        <is>
          <t>SKU-0745</t>
        </is>
      </c>
      <c r="B749" s="5" t="n">
        <v>528</v>
      </c>
      <c r="C749" s="7" t="inlineStr">
        <is>
          <t>Nº 31422</t>
        </is>
      </c>
      <c r="D749" s="8" t="inlineStr">
        <is>
          <t>ZARPAL 0,200L (IMP) AMOSTRA</t>
        </is>
      </c>
      <c r="E749" s="7" t="inlineStr">
        <is>
          <t>Embalagem Comercial do Produto</t>
        </is>
      </c>
      <c r="F749" s="7" t="inlineStr">
        <is>
          <t>0,200L (0.2 L)</t>
        </is>
      </c>
      <c r="G749" s="7" t="inlineStr">
        <is>
          <t>L</t>
        </is>
      </c>
      <c r="H749" s="17" t="n">
        <v>0.2</v>
      </c>
      <c r="I749" s="7" t="inlineStr">
        <is>
          <t>3808.61.00</t>
        </is>
      </c>
      <c r="J749" s="7" t="inlineStr">
        <is>
          <t>SIM</t>
        </is>
      </c>
      <c r="K749" s="7" t="inlineStr">
        <is>
          <t>Embalagem Rígida — LAVÁVEL (Obrigatória Tríplice Lavagem ou Pressão)</t>
        </is>
      </c>
      <c r="L749" s="7" t="inlineStr">
        <is>
          <t>NÃO</t>
        </is>
      </c>
      <c r="M749" s="7" t="inlineStr">
        <is>
          <t>0,00% (Lei nº 10.925/2004)</t>
        </is>
      </c>
      <c r="N749" s="7" t="inlineStr">
        <is>
          <t>0,925% (LC nº 224/2025)</t>
        </is>
      </c>
      <c r="O749" s="7" t="inlineStr">
        <is>
          <t>0,365% (LC nº 224/2025)</t>
        </is>
      </c>
      <c r="P749" s="7" t="inlineStr">
        <is>
          <t>CST 06</t>
        </is>
      </c>
      <c r="Q749" s="7" t="inlineStr">
        <is>
          <t>CST 73</t>
        </is>
      </c>
      <c r="R749" s="7" t="inlineStr">
        <is>
          <t>Redução de 60% + Diferimento (Art. 138 e Anexo IX LC 214/2025)</t>
        </is>
      </c>
    </row>
    <row r="750" ht="22" customHeight="1">
      <c r="A750" s="12" t="inlineStr">
        <is>
          <t>SKU-0746</t>
        </is>
      </c>
      <c r="B750" s="11" t="n">
        <v>529</v>
      </c>
      <c r="C750" s="13" t="inlineStr">
        <is>
          <t>Nº 15716</t>
        </is>
      </c>
      <c r="D750" s="14" t="inlineStr">
        <is>
          <t>DIFCOR 250 EC 0,200L IMP AMOSTRA</t>
        </is>
      </c>
      <c r="E750" s="13" t="inlineStr">
        <is>
          <t>Embalagem Comercial do Produto</t>
        </is>
      </c>
      <c r="F750" s="13" t="inlineStr">
        <is>
          <t>0,200L (0.2 L)</t>
        </is>
      </c>
      <c r="G750" s="13" t="inlineStr">
        <is>
          <t>L</t>
        </is>
      </c>
      <c r="H750" s="18" t="n">
        <v>0.2</v>
      </c>
      <c r="I750" s="13" t="inlineStr">
        <is>
          <t>3808.92.99</t>
        </is>
      </c>
      <c r="J750" s="13" t="inlineStr">
        <is>
          <t>NÃO</t>
        </is>
      </c>
      <c r="K750" s="13" t="inlineStr">
        <is>
          <t>Embalagem Rígida — LAVÁVEL (Obrigatória Tríplice Lavagem ou Pressão)</t>
        </is>
      </c>
      <c r="L750" s="13" t="inlineStr">
        <is>
          <t>NÃO</t>
        </is>
      </c>
      <c r="M750" s="13" t="inlineStr">
        <is>
          <t>0,00% (Lei nº 10.925/2004)</t>
        </is>
      </c>
      <c r="N750" s="13" t="inlineStr">
        <is>
          <t>0,925% (LC nº 224/2025)</t>
        </is>
      </c>
      <c r="O750" s="13" t="inlineStr">
        <is>
          <t>0,365% (LC nº 224/2025)</t>
        </is>
      </c>
      <c r="P750" s="13" t="inlineStr">
        <is>
          <t>CST 06</t>
        </is>
      </c>
      <c r="Q750" s="13" t="inlineStr">
        <is>
          <t>CST 73</t>
        </is>
      </c>
      <c r="R750" s="13" t="inlineStr">
        <is>
          <t>Redução de 60% + Diferimento (Art. 138 e Anexo IX LC 214/2025)</t>
        </is>
      </c>
    </row>
    <row r="751" ht="22" customHeight="1">
      <c r="A751" s="6" t="inlineStr">
        <is>
          <t>SKU-0747</t>
        </is>
      </c>
      <c r="B751" s="5" t="n">
        <v>530</v>
      </c>
      <c r="C751" s="7" t="inlineStr">
        <is>
          <t>Nº 26017</t>
        </is>
      </c>
      <c r="D751" s="8" t="inlineStr">
        <is>
          <t>MESOTRIONE</t>
        </is>
      </c>
      <c r="E751" s="7" t="inlineStr">
        <is>
          <t>Embalagem Comercial do Produto</t>
        </is>
      </c>
      <c r="F751" s="7" t="inlineStr">
        <is>
          <t>4X5L (5 L)</t>
        </is>
      </c>
      <c r="G751" s="7" t="inlineStr">
        <is>
          <t>L</t>
        </is>
      </c>
      <c r="H751" s="9" t="n">
        <v>5</v>
      </c>
      <c r="I751" s="7" t="inlineStr">
        <is>
          <t>3808.93.29</t>
        </is>
      </c>
      <c r="J751" s="7" t="inlineStr">
        <is>
          <t>NÃO</t>
        </is>
      </c>
      <c r="K751" s="7" t="inlineStr">
        <is>
          <t>Embalagem Rígida — LAVÁVEL (Obrigatória Tríplice Lavagem ou Pressão)</t>
        </is>
      </c>
      <c r="L751" s="7" t="inlineStr">
        <is>
          <t>NÃO</t>
        </is>
      </c>
      <c r="M751" s="7" t="inlineStr">
        <is>
          <t>0,00% (Lei nº 10.925/2004)</t>
        </is>
      </c>
      <c r="N751" s="7" t="inlineStr">
        <is>
          <t>0,925% (LC nº 224/2025)</t>
        </is>
      </c>
      <c r="O751" s="7" t="inlineStr">
        <is>
          <t>0,365% (LC nº 224/2025)</t>
        </is>
      </c>
      <c r="P751" s="7" t="inlineStr">
        <is>
          <t>CST 06</t>
        </is>
      </c>
      <c r="Q751" s="7" t="inlineStr">
        <is>
          <t>CST 73</t>
        </is>
      </c>
      <c r="R751" s="7" t="inlineStr">
        <is>
          <t>Redução de 60% + Diferimento (Art. 138 e Anexo IX LC 214/2025)</t>
        </is>
      </c>
    </row>
    <row r="752" ht="22" customHeight="1">
      <c r="A752" s="12" t="inlineStr">
        <is>
          <t>SKU-0748</t>
        </is>
      </c>
      <c r="B752" s="11" t="n">
        <v>531</v>
      </c>
      <c r="C752" s="13" t="inlineStr">
        <is>
          <t>Nº 22221</t>
        </is>
      </c>
      <c r="D752" s="14" t="inlineStr">
        <is>
          <t>GRASIDIM</t>
        </is>
      </c>
      <c r="E752" s="13" t="inlineStr">
        <is>
          <t>Embalagem Comercial do Produto</t>
        </is>
      </c>
      <c r="F752" s="13" t="inlineStr">
        <is>
          <t>1X20L (20 L)</t>
        </is>
      </c>
      <c r="G752" s="13" t="inlineStr">
        <is>
          <t>L</t>
        </is>
      </c>
      <c r="H752" s="15" t="n">
        <v>20</v>
      </c>
      <c r="I752" s="13" t="inlineStr">
        <is>
          <t>3808.93.29</t>
        </is>
      </c>
      <c r="J752" s="13" t="inlineStr">
        <is>
          <t>NÃO</t>
        </is>
      </c>
      <c r="K752" s="13" t="inlineStr">
        <is>
          <t>Embalagem Rígida — LAVÁVEL (Obrigatória Tríplice Lavagem ou Pressão)</t>
        </is>
      </c>
      <c r="L752" s="13" t="inlineStr">
        <is>
          <t>NÃO</t>
        </is>
      </c>
      <c r="M752" s="13" t="inlineStr">
        <is>
          <t>0,00% (Lei nº 10.925/2004)</t>
        </is>
      </c>
      <c r="N752" s="13" t="inlineStr">
        <is>
          <t>0,925% (LC nº 224/2025)</t>
        </is>
      </c>
      <c r="O752" s="13" t="inlineStr">
        <is>
          <t>0,365% (LC nº 224/2025)</t>
        </is>
      </c>
      <c r="P752" s="13" t="inlineStr">
        <is>
          <t>CST 06</t>
        </is>
      </c>
      <c r="Q752" s="13" t="inlineStr">
        <is>
          <t>CST 73</t>
        </is>
      </c>
      <c r="R752" s="13" t="inlineStr">
        <is>
          <t>Redução de 60% + Diferimento (Art. 138 e Anexo IX LC 214/2025)</t>
        </is>
      </c>
    </row>
    <row r="753" ht="22" customHeight="1">
      <c r="A753" s="6" t="inlineStr">
        <is>
          <t>SKU-0749</t>
        </is>
      </c>
      <c r="B753" s="5" t="n">
        <v>532</v>
      </c>
      <c r="C753" s="7" t="inlineStr">
        <is>
          <t>Nº 28520</t>
        </is>
      </c>
      <c r="D753" s="8" t="inlineStr">
        <is>
          <t>SENHA 720 WG</t>
        </is>
      </c>
      <c r="E753" s="7" t="inlineStr">
        <is>
          <t>Embalagem Comercial do Produto</t>
        </is>
      </c>
      <c r="F753" s="7" t="inlineStr">
        <is>
          <t>1X10KG (10 KG)</t>
        </is>
      </c>
      <c r="G753" s="7" t="inlineStr">
        <is>
          <t>KG</t>
        </is>
      </c>
      <c r="H753" s="9" t="n">
        <v>10</v>
      </c>
      <c r="I753" s="7" t="inlineStr">
        <is>
          <t>3808.93.24</t>
        </is>
      </c>
      <c r="J753" s="7" t="inlineStr">
        <is>
          <t>NÃO</t>
        </is>
      </c>
      <c r="K753" s="7" t="inlineStr">
        <is>
          <t>Embalagem Flexível — NÃO LAVÁVEL (Perfurar e usar saco ABNT)</t>
        </is>
      </c>
      <c r="L753" s="7" t="inlineStr">
        <is>
          <t>SIM (Saco Transparente ABNT)</t>
        </is>
      </c>
      <c r="M753" s="7" t="inlineStr">
        <is>
          <t>0,00% (Lei nº 10.925/2004)</t>
        </is>
      </c>
      <c r="N753" s="7" t="inlineStr">
        <is>
          <t>0,925% (LC nº 224/2025)</t>
        </is>
      </c>
      <c r="O753" s="7" t="inlineStr">
        <is>
          <t>0,365% (LC nº 224/2025)</t>
        </is>
      </c>
      <c r="P753" s="7" t="inlineStr">
        <is>
          <t>CST 06</t>
        </is>
      </c>
      <c r="Q753" s="7" t="inlineStr">
        <is>
          <t>CST 73</t>
        </is>
      </c>
      <c r="R753" s="7" t="inlineStr">
        <is>
          <t>Redução de 60% + Diferimento (Art. 138 e Anexo IX LC 214/2025)</t>
        </is>
      </c>
    </row>
    <row r="754" ht="22" customHeight="1">
      <c r="A754" s="12" t="inlineStr">
        <is>
          <t>SKU-0750</t>
        </is>
      </c>
      <c r="B754" s="11" t="n">
        <v>533</v>
      </c>
      <c r="C754" s="13" t="inlineStr">
        <is>
          <t>ISENTO (ATO 104/2017)</t>
        </is>
      </c>
      <c r="D754" s="14" t="inlineStr">
        <is>
          <t>AGRICOIL CITRUS</t>
        </is>
      </c>
      <c r="E754" s="13" t="inlineStr">
        <is>
          <t>Embalagem Comercial do Produto</t>
        </is>
      </c>
      <c r="F754" s="13" t="inlineStr">
        <is>
          <t>1X10L (10 L)</t>
        </is>
      </c>
      <c r="G754" s="13" t="inlineStr">
        <is>
          <t>L</t>
        </is>
      </c>
      <c r="H754" s="15" t="n">
        <v>10</v>
      </c>
      <c r="I754" s="13" t="inlineStr">
        <is>
          <t>3402.90.29</t>
        </is>
      </c>
      <c r="J754" s="13" t="inlineStr">
        <is>
          <t>NÃO</t>
        </is>
      </c>
      <c r="K754" s="13" t="inlineStr">
        <is>
          <t>Embalagem Rígida — LAVÁVEL (Obrigatória Tríplice Lavagem ou Pressão)</t>
        </is>
      </c>
      <c r="L754" s="13" t="inlineStr">
        <is>
          <t>NÃO</t>
        </is>
      </c>
      <c r="M754" s="13" t="inlineStr">
        <is>
          <t>9,25% Real | 3,65% Presumido</t>
        </is>
      </c>
      <c r="N754" s="13" t="inlineStr">
        <is>
          <t>9,250% (Integral)</t>
        </is>
      </c>
      <c r="O754" s="13" t="inlineStr">
        <is>
          <t>3,650% (Integral)</t>
        </is>
      </c>
      <c r="P754" s="13" t="inlineStr">
        <is>
          <t>CST 01</t>
        </is>
      </c>
      <c r="Q754" s="13" t="inlineStr">
        <is>
          <t>CST 50</t>
        </is>
      </c>
      <c r="R754" s="13" t="inlineStr">
        <is>
          <t>Alíquota Padrão Integral (LC 214/2025)</t>
        </is>
      </c>
    </row>
    <row r="755" ht="22" customHeight="1">
      <c r="A755" s="6" t="inlineStr">
        <is>
          <t>SKU-0751</t>
        </is>
      </c>
      <c r="B755" s="5" t="n">
        <v>534</v>
      </c>
      <c r="C755" s="7" t="inlineStr">
        <is>
          <t>Nº 26718</t>
        </is>
      </c>
      <c r="D755" s="8" t="inlineStr">
        <is>
          <t>DINKY 200 SP 0,200KG (IMP) (AMOSTRA)</t>
        </is>
      </c>
      <c r="E755" s="7" t="inlineStr">
        <is>
          <t>Embalagem Comercial do Produto</t>
        </is>
      </c>
      <c r="F755" s="7" t="inlineStr">
        <is>
          <t>0,200KG (0.2 KG)</t>
        </is>
      </c>
      <c r="G755" s="7" t="inlineStr">
        <is>
          <t>KG</t>
        </is>
      </c>
      <c r="H755" s="17" t="n">
        <v>0.2</v>
      </c>
      <c r="I755" s="7" t="inlineStr">
        <is>
          <t>3808.91.99</t>
        </is>
      </c>
      <c r="J755" s="7" t="inlineStr">
        <is>
          <t>NÃO</t>
        </is>
      </c>
      <c r="K755" s="7" t="inlineStr">
        <is>
          <t>Embalagem Flexível — NÃO LAVÁVEL (Perfurar e usar saco ABNT)</t>
        </is>
      </c>
      <c r="L755" s="7" t="inlineStr">
        <is>
          <t>SIM (Saco Transparente ABNT)</t>
        </is>
      </c>
      <c r="M755" s="7" t="inlineStr">
        <is>
          <t>0,00% (Lei nº 10.925/2004)</t>
        </is>
      </c>
      <c r="N755" s="7" t="inlineStr">
        <is>
          <t>0,925% (LC nº 224/2025)</t>
        </is>
      </c>
      <c r="O755" s="7" t="inlineStr">
        <is>
          <t>0,365% (LC nº 224/2025)</t>
        </is>
      </c>
      <c r="P755" s="7" t="inlineStr">
        <is>
          <t>CST 06</t>
        </is>
      </c>
      <c r="Q755" s="7" t="inlineStr">
        <is>
          <t>CST 73</t>
        </is>
      </c>
      <c r="R755" s="7" t="inlineStr">
        <is>
          <t>Redução de 60% + Diferimento (Art. 138 e Anexo IX LC 214/2025)</t>
        </is>
      </c>
    </row>
    <row r="756" ht="22" customHeight="1">
      <c r="A756" s="12" t="inlineStr">
        <is>
          <t>SKU-0752</t>
        </is>
      </c>
      <c r="B756" s="11" t="n">
        <v>535</v>
      </c>
      <c r="C756" s="13" t="inlineStr">
        <is>
          <t>Nº 6922</t>
        </is>
      </c>
      <c r="D756" s="14" t="inlineStr">
        <is>
          <t>INSECTRIN 0,200L (IMP) AMOSTRA</t>
        </is>
      </c>
      <c r="E756" s="13" t="inlineStr">
        <is>
          <t>Embalagem Comercial do Produto</t>
        </is>
      </c>
      <c r="F756" s="13" t="inlineStr">
        <is>
          <t>0,200L (0.2 L)</t>
        </is>
      </c>
      <c r="G756" s="13" t="inlineStr">
        <is>
          <t>L</t>
        </is>
      </c>
      <c r="H756" s="18" t="n">
        <v>0.2</v>
      </c>
      <c r="I756" s="13" t="inlineStr">
        <is>
          <t>3808.61.00</t>
        </is>
      </c>
      <c r="J756" s="13" t="inlineStr">
        <is>
          <t>SIM</t>
        </is>
      </c>
      <c r="K756" s="13" t="inlineStr">
        <is>
          <t>Embalagem Rígida — LAVÁVEL (Obrigatória Tríplice Lavagem ou Pressão)</t>
        </is>
      </c>
      <c r="L756" s="13" t="inlineStr">
        <is>
          <t>NÃO</t>
        </is>
      </c>
      <c r="M756" s="13" t="inlineStr">
        <is>
          <t>0,00% (Lei nº 10.925/2004)</t>
        </is>
      </c>
      <c r="N756" s="13" t="inlineStr">
        <is>
          <t>0,925% (LC nº 224/2025)</t>
        </is>
      </c>
      <c r="O756" s="13" t="inlineStr">
        <is>
          <t>0,365% (LC nº 224/2025)</t>
        </is>
      </c>
      <c r="P756" s="13" t="inlineStr">
        <is>
          <t>CST 06</t>
        </is>
      </c>
      <c r="Q756" s="13" t="inlineStr">
        <is>
          <t>CST 73</t>
        </is>
      </c>
      <c r="R756" s="13" t="inlineStr">
        <is>
          <t>Redução de 60% + Diferimento (Art. 138 e Anexo IX LC 214/2025)</t>
        </is>
      </c>
    </row>
    <row r="757" ht="22" customHeight="1">
      <c r="A757" s="6" t="inlineStr">
        <is>
          <t>SKU-0753</t>
        </is>
      </c>
      <c r="B757" s="5" t="n">
        <v>536</v>
      </c>
      <c r="C757" s="7" t="inlineStr">
        <is>
          <t>Nº 3224</t>
        </is>
      </c>
      <c r="D757" s="8" t="inlineStr">
        <is>
          <t>CHLOROTHALONIL</t>
        </is>
      </c>
      <c r="E757" s="7" t="inlineStr">
        <is>
          <t>Embalagem Comercial do Produto</t>
        </is>
      </c>
      <c r="F757" s="7" t="inlineStr">
        <is>
          <t>0,200L (0.2 L)</t>
        </is>
      </c>
      <c r="G757" s="7" t="inlineStr">
        <is>
          <t>L</t>
        </is>
      </c>
      <c r="H757" s="17" t="n">
        <v>0.2</v>
      </c>
      <c r="I757" s="7" t="inlineStr">
        <is>
          <t>3808.92.99</t>
        </is>
      </c>
      <c r="J757" s="7" t="inlineStr">
        <is>
          <t>NÃO</t>
        </is>
      </c>
      <c r="K757" s="7" t="inlineStr">
        <is>
          <t>Embalagem Rígida — LAVÁVEL (Obrigatória Tríplice Lavagem ou Pressão)</t>
        </is>
      </c>
      <c r="L757" s="7" t="inlineStr">
        <is>
          <t>NÃO</t>
        </is>
      </c>
      <c r="M757" s="7" t="inlineStr">
        <is>
          <t>0,00% (Lei nº 10.925/2004)</t>
        </is>
      </c>
      <c r="N757" s="7" t="inlineStr">
        <is>
          <t>0,925% (LC nº 224/2025)</t>
        </is>
      </c>
      <c r="O757" s="7" t="inlineStr">
        <is>
          <t>0,365% (LC nº 224/2025)</t>
        </is>
      </c>
      <c r="P757" s="7" t="inlineStr">
        <is>
          <t>CST 06</t>
        </is>
      </c>
      <c r="Q757" s="7" t="inlineStr">
        <is>
          <t>CST 73</t>
        </is>
      </c>
      <c r="R757" s="7" t="inlineStr">
        <is>
          <t>Redução de 60% + Diferimento (Art. 138 e Anexo IX LC 214/2025)</t>
        </is>
      </c>
    </row>
    <row r="758" ht="22" customHeight="1">
      <c r="A758" s="12" t="inlineStr">
        <is>
          <t>SKU-0754</t>
        </is>
      </c>
      <c r="B758" s="11" t="n">
        <v>537</v>
      </c>
      <c r="C758" s="13" t="inlineStr">
        <is>
          <t>Nº 40624</t>
        </is>
      </c>
      <c r="D758" s="14" t="inlineStr">
        <is>
          <t>CHLORPYRIFOS 480 EC AGCN 0,200 (IMP) AMOSTRA LL</t>
        </is>
      </c>
      <c r="E758" s="13" t="inlineStr">
        <is>
          <t>Embalagem Comercial do Produto</t>
        </is>
      </c>
      <c r="F758" s="13" t="inlineStr">
        <is>
          <t>EMBALAGEM PADRÃO (20 L)</t>
        </is>
      </c>
      <c r="G758" s="13" t="inlineStr">
        <is>
          <t>L</t>
        </is>
      </c>
      <c r="H758" s="18" t="n">
        <v>0.2</v>
      </c>
      <c r="I758" s="13" t="inlineStr">
        <is>
          <t>3808.91.99</t>
        </is>
      </c>
      <c r="J758" s="13" t="inlineStr">
        <is>
          <t>NÃO</t>
        </is>
      </c>
      <c r="K758" s="13" t="inlineStr">
        <is>
          <t>Embalagem Rígida — LAVÁVEL (Obrigatória Tríplice Lavagem ou Pressão)</t>
        </is>
      </c>
      <c r="L758" s="13" t="inlineStr">
        <is>
          <t>NÃO</t>
        </is>
      </c>
      <c r="M758" s="13" t="inlineStr">
        <is>
          <t>0,00% (Lei nº 10.925/2004)</t>
        </is>
      </c>
      <c r="N758" s="13" t="inlineStr">
        <is>
          <t>0,925% (LC nº 224/2025)</t>
        </is>
      </c>
      <c r="O758" s="13" t="inlineStr">
        <is>
          <t>0,365% (LC nº 224/2025)</t>
        </is>
      </c>
      <c r="P758" s="13" t="inlineStr">
        <is>
          <t>CST 06</t>
        </is>
      </c>
      <c r="Q758" s="13" t="inlineStr">
        <is>
          <t>CST 73</t>
        </is>
      </c>
      <c r="R758" s="13" t="inlineStr">
        <is>
          <t>Redução de 60% + Diferimento (Art. 138 e Anexo IX LC 214/2025)</t>
        </is>
      </c>
    </row>
    <row r="759" ht="22" customHeight="1">
      <c r="A759" s="6" t="inlineStr">
        <is>
          <t>SKU-0755</t>
        </is>
      </c>
      <c r="B759" s="5" t="n">
        <v>538</v>
      </c>
      <c r="C759" s="7" t="inlineStr">
        <is>
          <t>Nº 18022</t>
        </is>
      </c>
      <c r="D759" s="8" t="inlineStr">
        <is>
          <t>TARBOX BR 0,200KG (IMP) AMOSTRA</t>
        </is>
      </c>
      <c r="E759" s="7" t="inlineStr">
        <is>
          <t>Embalagem Comercial do Produto</t>
        </is>
      </c>
      <c r="F759" s="7" t="inlineStr">
        <is>
          <t>0,200KG (0.2 KG)</t>
        </is>
      </c>
      <c r="G759" s="7" t="inlineStr">
        <is>
          <t>KG</t>
        </is>
      </c>
      <c r="H759" s="17" t="n">
        <v>0.2</v>
      </c>
      <c r="I759" s="7" t="inlineStr">
        <is>
          <t>3808.93.29</t>
        </is>
      </c>
      <c r="J759" s="7" t="inlineStr">
        <is>
          <t>NÃO</t>
        </is>
      </c>
      <c r="K759" s="7" t="inlineStr">
        <is>
          <t>Embalagem Flexível — NÃO LAVÁVEL (Perfurar e usar saco ABNT)</t>
        </is>
      </c>
      <c r="L759" s="7" t="inlineStr">
        <is>
          <t>SIM (Saco Transparente ABNT)</t>
        </is>
      </c>
      <c r="M759" s="7" t="inlineStr">
        <is>
          <t>0,00% (Lei nº 10.925/2004)</t>
        </is>
      </c>
      <c r="N759" s="7" t="inlineStr">
        <is>
          <t>0,925% (LC nº 224/2025)</t>
        </is>
      </c>
      <c r="O759" s="7" t="inlineStr">
        <is>
          <t>0,365% (LC nº 224/2025)</t>
        </is>
      </c>
      <c r="P759" s="7" t="inlineStr">
        <is>
          <t>CST 06</t>
        </is>
      </c>
      <c r="Q759" s="7" t="inlineStr">
        <is>
          <t>CST 73</t>
        </is>
      </c>
      <c r="R759" s="7" t="inlineStr">
        <is>
          <t>Redução de 60% + Diferimento (Art. 138 e Anexo IX LC 214/2025)</t>
        </is>
      </c>
    </row>
    <row r="760" ht="22" customHeight="1">
      <c r="A760" s="12" t="inlineStr">
        <is>
          <t>SKU-0756</t>
        </is>
      </c>
      <c r="B760" s="11" t="n">
        <v>539</v>
      </c>
      <c r="C760" s="13" t="inlineStr">
        <is>
          <t>Nº 22225</t>
        </is>
      </c>
      <c r="D760" s="14" t="inlineStr">
        <is>
          <t>KILLIGAN 0,200L (IMP) RW AMOSTRA</t>
        </is>
      </c>
      <c r="E760" s="13" t="inlineStr">
        <is>
          <t>Embalagem Comercial do Produto</t>
        </is>
      </c>
      <c r="F760" s="13" t="inlineStr">
        <is>
          <t>0,200L (0.2 L)</t>
        </is>
      </c>
      <c r="G760" s="13" t="inlineStr">
        <is>
          <t>L</t>
        </is>
      </c>
      <c r="H760" s="18" t="n">
        <v>0.2</v>
      </c>
      <c r="I760" s="13" t="inlineStr">
        <is>
          <t>3808.61.00</t>
        </is>
      </c>
      <c r="J760" s="13" t="inlineStr">
        <is>
          <t>SIM</t>
        </is>
      </c>
      <c r="K760" s="13" t="inlineStr">
        <is>
          <t>Embalagem Rígida — LAVÁVEL (Obrigatória Tríplice Lavagem ou Pressão)</t>
        </is>
      </c>
      <c r="L760" s="13" t="inlineStr">
        <is>
          <t>NÃO</t>
        </is>
      </c>
      <c r="M760" s="13" t="inlineStr">
        <is>
          <t>0,00% (Lei nº 10.925/2004)</t>
        </is>
      </c>
      <c r="N760" s="13" t="inlineStr">
        <is>
          <t>0,925% (LC nº 224/2025)</t>
        </is>
      </c>
      <c r="O760" s="13" t="inlineStr">
        <is>
          <t>0,365% (LC nº 224/2025)</t>
        </is>
      </c>
      <c r="P760" s="13" t="inlineStr">
        <is>
          <t>CST 06</t>
        </is>
      </c>
      <c r="Q760" s="13" t="inlineStr">
        <is>
          <t>CST 73</t>
        </is>
      </c>
      <c r="R760" s="13" t="inlineStr">
        <is>
          <t>Redução de 60% + Diferimento (Art. 138 e Anexo IX LC 214/2025)</t>
        </is>
      </c>
    </row>
    <row r="761" ht="22" customHeight="1">
      <c r="A761" s="6" t="inlineStr">
        <is>
          <t>SKU-0757</t>
        </is>
      </c>
      <c r="B761" s="5" t="n">
        <v>540</v>
      </c>
      <c r="C761" s="7" t="inlineStr">
        <is>
          <t>SIPEAGRO (UF-XXXXX)</t>
        </is>
      </c>
      <c r="D761" s="8" t="inlineStr">
        <is>
          <t>FOSFATO MONOAMONICO GRANULADO - MAP</t>
        </is>
      </c>
      <c r="E761" s="7" t="inlineStr">
        <is>
          <t>Embalagem Comercial do Produto</t>
        </is>
      </c>
      <c r="F761" s="7" t="inlineStr">
        <is>
          <t>GRANEL / BIG BAG (1000 TL)</t>
        </is>
      </c>
      <c r="G761" s="7" t="inlineStr">
        <is>
          <t>TL</t>
        </is>
      </c>
      <c r="H761" s="9" t="n">
        <v>1</v>
      </c>
      <c r="I761" s="7" t="inlineStr">
        <is>
          <t>3105.40.00</t>
        </is>
      </c>
      <c r="J761" s="7" t="inlineStr">
        <is>
          <t>NÃO</t>
        </is>
      </c>
      <c r="K761" s="7" t="inlineStr">
        <is>
          <t>Embalagem Flexível — NÃO LAVÁVEL (Perfurar e usar saco ABNT)</t>
        </is>
      </c>
      <c r="L761" s="7" t="inlineStr">
        <is>
          <t>SIM (Saco Transparente ABNT)</t>
        </is>
      </c>
      <c r="M761" s="7" t="inlineStr">
        <is>
          <t>0,00% (Lei nº 10.925/2004)</t>
        </is>
      </c>
      <c r="N761" s="7" t="inlineStr">
        <is>
          <t>0,925% (LC nº 224/2025)</t>
        </is>
      </c>
      <c r="O761" s="7" t="inlineStr">
        <is>
          <t>0,365% (LC nº 224/2025)</t>
        </is>
      </c>
      <c r="P761" s="7" t="inlineStr">
        <is>
          <t>CST 06</t>
        </is>
      </c>
      <c r="Q761" s="7" t="inlineStr">
        <is>
          <t>CST 73</t>
        </is>
      </c>
      <c r="R761" s="7" t="inlineStr">
        <is>
          <t>Redução de 60% + Diferimento (Art. 138 e Anexo IX LC 214/2025)</t>
        </is>
      </c>
    </row>
    <row r="762" ht="22" customHeight="1">
      <c r="A762" s="12" t="inlineStr">
        <is>
          <t>SKU-0758</t>
        </is>
      </c>
      <c r="B762" s="11" t="n">
        <v>540</v>
      </c>
      <c r="C762" s="13" t="inlineStr">
        <is>
          <t>SIPEAGRO (UF-XXXXX)</t>
        </is>
      </c>
      <c r="D762" s="14" t="inlineStr">
        <is>
          <t>FOSFATO MONOAMONICO GRANULADO - MAP</t>
        </is>
      </c>
      <c r="E762" s="13" t="inlineStr">
        <is>
          <t>Faixa 1 TIPI (Apresentação &lt;= 300 g ou mL)</t>
        </is>
      </c>
      <c r="F762" s="13" t="inlineStr">
        <is>
          <t>Fracionado / Amostra &lt;= 0,3 TL</t>
        </is>
      </c>
      <c r="G762" s="13" t="inlineStr">
        <is>
          <t>TL</t>
        </is>
      </c>
      <c r="H762" s="18" t="n">
        <v>0.3</v>
      </c>
      <c r="I762" s="13" t="inlineStr">
        <is>
          <t>3105.40.00</t>
        </is>
      </c>
      <c r="J762" s="13" t="inlineStr">
        <is>
          <t>NÃO</t>
        </is>
      </c>
      <c r="K762" s="13" t="inlineStr">
        <is>
          <t>Embalagem Flexível — NÃO LAVÁVEL (Perfurar e usar saco ABNT)</t>
        </is>
      </c>
      <c r="L762" s="13" t="inlineStr">
        <is>
          <t>SIM (Saco Transparente ABNT)</t>
        </is>
      </c>
      <c r="M762" s="13" t="inlineStr">
        <is>
          <t>0,00% (Lei nº 10.925/2004)</t>
        </is>
      </c>
      <c r="N762" s="13" t="inlineStr">
        <is>
          <t>0,925% (LC nº 224/2025)</t>
        </is>
      </c>
      <c r="O762" s="13" t="inlineStr">
        <is>
          <t>0,365% (LC nº 224/2025)</t>
        </is>
      </c>
      <c r="P762" s="13" t="inlineStr">
        <is>
          <t>CST 06</t>
        </is>
      </c>
      <c r="Q762" s="13" t="inlineStr">
        <is>
          <t>CST 73</t>
        </is>
      </c>
      <c r="R762" s="13" t="inlineStr">
        <is>
          <t>Redução de 60% + Diferimento (Art. 138 e Anexo IX LC 214/2025)</t>
        </is>
      </c>
    </row>
    <row r="763" ht="22" customHeight="1">
      <c r="A763" s="6" t="inlineStr">
        <is>
          <t>SKU-0759</t>
        </is>
      </c>
      <c r="B763" s="5" t="n">
        <v>541</v>
      </c>
      <c r="C763" s="7" t="inlineStr">
        <is>
          <t>Nº 24922</t>
        </is>
      </c>
      <c r="D763" s="8" t="inlineStr">
        <is>
          <t>CEFANOL GOLD</t>
        </is>
      </c>
      <c r="E763" s="7" t="inlineStr">
        <is>
          <t>Embalagem Comercial do Produto</t>
        </is>
      </c>
      <c r="F763" s="7" t="inlineStr">
        <is>
          <t>8X3KG (3 KG)</t>
        </is>
      </c>
      <c r="G763" s="7" t="inlineStr">
        <is>
          <t>KG</t>
        </is>
      </c>
      <c r="H763" s="9" t="n">
        <v>3</v>
      </c>
      <c r="I763" s="7" t="inlineStr">
        <is>
          <t>3808.91.91</t>
        </is>
      </c>
      <c r="J763" s="7" t="inlineStr">
        <is>
          <t>NÃO</t>
        </is>
      </c>
      <c r="K763" s="7" t="inlineStr">
        <is>
          <t>Embalagem Flexível — NÃO LAVÁVEL (Perfurar e usar saco ABNT)</t>
        </is>
      </c>
      <c r="L763" s="7" t="inlineStr">
        <is>
          <t>SIM (Saco Transparente ABNT)</t>
        </is>
      </c>
      <c r="M763" s="7" t="inlineStr">
        <is>
          <t>0,00% (Lei nº 10.925/2004)</t>
        </is>
      </c>
      <c r="N763" s="7" t="inlineStr">
        <is>
          <t>0,925% (LC nº 224/2025)</t>
        </is>
      </c>
      <c r="O763" s="7" t="inlineStr">
        <is>
          <t>0,365% (LC nº 224/2025)</t>
        </is>
      </c>
      <c r="P763" s="7" t="inlineStr">
        <is>
          <t>CST 06</t>
        </is>
      </c>
      <c r="Q763" s="7" t="inlineStr">
        <is>
          <t>CST 73</t>
        </is>
      </c>
      <c r="R763" s="7" t="inlineStr">
        <is>
          <t>Redução de 60% + Diferimento (Art. 138 e Anexo IX LC 214/2025)</t>
        </is>
      </c>
    </row>
    <row r="764" ht="22" customHeight="1">
      <c r="A764" s="12" t="inlineStr">
        <is>
          <t>SKU-0760</t>
        </is>
      </c>
      <c r="B764" s="11" t="n">
        <v>542</v>
      </c>
      <c r="C764" s="13" t="inlineStr">
        <is>
          <t>Nº 22225</t>
        </is>
      </c>
      <c r="D764" s="14" t="inlineStr">
        <is>
          <t>KILLIGAN</t>
        </is>
      </c>
      <c r="E764" s="13" t="inlineStr">
        <is>
          <t>Embalagem Comercial do Produto</t>
        </is>
      </c>
      <c r="F764" s="13" t="inlineStr">
        <is>
          <t>20L (20 L)</t>
        </is>
      </c>
      <c r="G764" s="13" t="inlineStr">
        <is>
          <t>L</t>
        </is>
      </c>
      <c r="H764" s="15" t="n">
        <v>20</v>
      </c>
      <c r="I764" s="13" t="inlineStr">
        <is>
          <t>3808.69.90</t>
        </is>
      </c>
      <c r="J764" s="13" t="inlineStr">
        <is>
          <t>SIM</t>
        </is>
      </c>
      <c r="K764" s="13" t="inlineStr">
        <is>
          <t>Embalagem Rígida — LAVÁVEL (Obrigatória Tríplice Lavagem ou Pressão)</t>
        </is>
      </c>
      <c r="L764" s="13" t="inlineStr">
        <is>
          <t>NÃO</t>
        </is>
      </c>
      <c r="M764" s="13" t="inlineStr">
        <is>
          <t>0,00% (Lei nº 10.925/2004)</t>
        </is>
      </c>
      <c r="N764" s="13" t="inlineStr">
        <is>
          <t>0,925% (LC nº 224/2025)</t>
        </is>
      </c>
      <c r="O764" s="13" t="inlineStr">
        <is>
          <t>0,365% (LC nº 224/2025)</t>
        </is>
      </c>
      <c r="P764" s="13" t="inlineStr">
        <is>
          <t>CST 06</t>
        </is>
      </c>
      <c r="Q764" s="13" t="inlineStr">
        <is>
          <t>CST 73</t>
        </is>
      </c>
      <c r="R764" s="13" t="inlineStr">
        <is>
          <t>Redução de 60% + Diferimento (Art. 138 e Anexo IX LC 214/2025)</t>
        </is>
      </c>
    </row>
    <row r="765" ht="22" customHeight="1">
      <c r="A765" s="6" t="inlineStr">
        <is>
          <t>SKU-0761</t>
        </is>
      </c>
      <c r="B765" s="5" t="n">
        <v>542</v>
      </c>
      <c r="C765" s="7" t="inlineStr">
        <is>
          <t>Nº 22225</t>
        </is>
      </c>
      <c r="D765" s="8" t="inlineStr">
        <is>
          <t>KILLIGAN</t>
        </is>
      </c>
      <c r="E765" s="7" t="inlineStr">
        <is>
          <t>Faixa 1 TIPI (Apresentação &lt;= 300 g ou mL)</t>
        </is>
      </c>
      <c r="F765" s="7" t="inlineStr">
        <is>
          <t>Fracionado / Amostra &lt;= 0,3 L</t>
        </is>
      </c>
      <c r="G765" s="7" t="inlineStr">
        <is>
          <t>L</t>
        </is>
      </c>
      <c r="H765" s="17" t="n">
        <v>0.3</v>
      </c>
      <c r="I765" s="7" t="inlineStr">
        <is>
          <t>3808.61.00</t>
        </is>
      </c>
      <c r="J765" s="7" t="inlineStr">
        <is>
          <t>SIM</t>
        </is>
      </c>
      <c r="K765" s="7" t="inlineStr">
        <is>
          <t>Embalagem Rígida — LAVÁVEL (Obrigatória Tríplice Lavagem ou Pressão)</t>
        </is>
      </c>
      <c r="L765" s="7" t="inlineStr">
        <is>
          <t>NÃO</t>
        </is>
      </c>
      <c r="M765" s="7" t="inlineStr">
        <is>
          <t>0,00% (Lei nº 10.925/2004)</t>
        </is>
      </c>
      <c r="N765" s="7" t="inlineStr">
        <is>
          <t>0,925% (LC nº 224/2025)</t>
        </is>
      </c>
      <c r="O765" s="7" t="inlineStr">
        <is>
          <t>0,365% (LC nº 224/2025)</t>
        </is>
      </c>
      <c r="P765" s="7" t="inlineStr">
        <is>
          <t>CST 06</t>
        </is>
      </c>
      <c r="Q765" s="7" t="inlineStr">
        <is>
          <t>CST 73</t>
        </is>
      </c>
      <c r="R765" s="7" t="inlineStr">
        <is>
          <t>Redução de 60% + Diferimento (Art. 138 e Anexo IX LC 214/2025)</t>
        </is>
      </c>
    </row>
    <row r="766" ht="22" customHeight="1">
      <c r="A766" s="12" t="inlineStr">
        <is>
          <t>SKU-0762</t>
        </is>
      </c>
      <c r="B766" s="11" t="n">
        <v>543</v>
      </c>
      <c r="C766" s="13" t="inlineStr">
        <is>
          <t>Nº 17921</t>
        </is>
      </c>
      <c r="D766" s="14" t="inlineStr">
        <is>
          <t>TIOFANATO</t>
        </is>
      </c>
      <c r="E766" s="13" t="inlineStr">
        <is>
          <t>Embalagem Comercial do Produto</t>
        </is>
      </c>
      <c r="F766" s="13" t="inlineStr">
        <is>
          <t>0,200L (0.2 L)</t>
        </is>
      </c>
      <c r="G766" s="13" t="inlineStr">
        <is>
          <t>L</t>
        </is>
      </c>
      <c r="H766" s="18" t="n">
        <v>0.2</v>
      </c>
      <c r="I766" s="13" t="inlineStr">
        <is>
          <t>3808.92.99</t>
        </is>
      </c>
      <c r="J766" s="13" t="inlineStr">
        <is>
          <t>NÃO</t>
        </is>
      </c>
      <c r="K766" s="13" t="inlineStr">
        <is>
          <t>Embalagem Rígida — LAVÁVEL (Obrigatória Tríplice Lavagem ou Pressão)</t>
        </is>
      </c>
      <c r="L766" s="13" t="inlineStr">
        <is>
          <t>NÃO</t>
        </is>
      </c>
      <c r="M766" s="13" t="inlineStr">
        <is>
          <t>0,00% (Lei nº 10.925/2004)</t>
        </is>
      </c>
      <c r="N766" s="13" t="inlineStr">
        <is>
          <t>0,925% (LC nº 224/2025)</t>
        </is>
      </c>
      <c r="O766" s="13" t="inlineStr">
        <is>
          <t>0,365% (LC nº 224/2025)</t>
        </is>
      </c>
      <c r="P766" s="13" t="inlineStr">
        <is>
          <t>CST 06</t>
        </is>
      </c>
      <c r="Q766" s="13" t="inlineStr">
        <is>
          <t>CST 73</t>
        </is>
      </c>
      <c r="R766" s="13" t="inlineStr">
        <is>
          <t>Redução de 60% + Diferimento (Art. 138 e Anexo IX LC 214/2025)</t>
        </is>
      </c>
    </row>
    <row r="767" ht="22" customHeight="1">
      <c r="A767" s="6" t="inlineStr">
        <is>
          <t>SKU-0763</t>
        </is>
      </c>
      <c r="B767" s="5" t="n">
        <v>544</v>
      </c>
      <c r="C767" s="7" t="inlineStr">
        <is>
          <t>Nº 17921</t>
        </is>
      </c>
      <c r="D767" s="8" t="inlineStr">
        <is>
          <t>TIOFANATO</t>
        </is>
      </c>
      <c r="E767" s="7" t="inlineStr">
        <is>
          <t>Embalagem Comercial do Produto</t>
        </is>
      </c>
      <c r="F767" s="7" t="inlineStr">
        <is>
          <t>0,100L (0.1 L)</t>
        </is>
      </c>
      <c r="G767" s="7" t="inlineStr">
        <is>
          <t>L</t>
        </is>
      </c>
      <c r="H767" s="17" t="n">
        <v>0.2</v>
      </c>
      <c r="I767" s="7" t="inlineStr">
        <is>
          <t>3808.92.99</t>
        </is>
      </c>
      <c r="J767" s="7" t="inlineStr">
        <is>
          <t>NÃO</t>
        </is>
      </c>
      <c r="K767" s="7" t="inlineStr">
        <is>
          <t>Embalagem Rígida — LAVÁVEL (Obrigatória Tríplice Lavagem ou Pressão)</t>
        </is>
      </c>
      <c r="L767" s="7" t="inlineStr">
        <is>
          <t>NÃO</t>
        </is>
      </c>
      <c r="M767" s="7" t="inlineStr">
        <is>
          <t>0,00% (Lei nº 10.925/2004)</t>
        </is>
      </c>
      <c r="N767" s="7" t="inlineStr">
        <is>
          <t>0,925% (LC nº 224/2025)</t>
        </is>
      </c>
      <c r="O767" s="7" t="inlineStr">
        <is>
          <t>0,365% (LC nº 224/2025)</t>
        </is>
      </c>
      <c r="P767" s="7" t="inlineStr">
        <is>
          <t>CST 06</t>
        </is>
      </c>
      <c r="Q767" s="7" t="inlineStr">
        <is>
          <t>CST 73</t>
        </is>
      </c>
      <c r="R767" s="7" t="inlineStr">
        <is>
          <t>Redução de 60% + Diferimento (Art. 138 e Anexo IX LC 214/2025)</t>
        </is>
      </c>
    </row>
    <row r="768" ht="22" customHeight="1">
      <c r="A768" s="12" t="inlineStr">
        <is>
          <t>SKU-0764</t>
        </is>
      </c>
      <c r="B768" s="11" t="n">
        <v>545</v>
      </c>
      <c r="C768" s="13" t="inlineStr">
        <is>
          <t>Nº 17219</t>
        </is>
      </c>
      <c r="D768" s="14" t="inlineStr">
        <is>
          <t>FLUAZINAM</t>
        </is>
      </c>
      <c r="E768" s="13" t="inlineStr">
        <is>
          <t>Embalagem Comercial do Produto</t>
        </is>
      </c>
      <c r="F768" s="13" t="inlineStr">
        <is>
          <t>1X20L (20 L)</t>
        </is>
      </c>
      <c r="G768" s="13" t="inlineStr">
        <is>
          <t>L</t>
        </is>
      </c>
      <c r="H768" s="15" t="n">
        <v>20</v>
      </c>
      <c r="I768" s="13" t="inlineStr">
        <is>
          <t>3808.92.99</t>
        </is>
      </c>
      <c r="J768" s="13" t="inlineStr">
        <is>
          <t>NÃO</t>
        </is>
      </c>
      <c r="K768" s="13" t="inlineStr">
        <is>
          <t>Embalagem Rígida — LAVÁVEL (Obrigatória Tríplice Lavagem ou Pressão)</t>
        </is>
      </c>
      <c r="L768" s="13" t="inlineStr">
        <is>
          <t>NÃO</t>
        </is>
      </c>
      <c r="M768" s="13" t="inlineStr">
        <is>
          <t>0,00% (Lei nº 10.925/2004)</t>
        </is>
      </c>
      <c r="N768" s="13" t="inlineStr">
        <is>
          <t>0,925% (LC nº 224/2025)</t>
        </is>
      </c>
      <c r="O768" s="13" t="inlineStr">
        <is>
          <t>0,365% (LC nº 224/2025)</t>
        </is>
      </c>
      <c r="P768" s="13" t="inlineStr">
        <is>
          <t>CST 06</t>
        </is>
      </c>
      <c r="Q768" s="13" t="inlineStr">
        <is>
          <t>CST 73</t>
        </is>
      </c>
      <c r="R768" s="13" t="inlineStr">
        <is>
          <t>Redução de 60% + Diferimento (Art. 138 e Anexo IX LC 214/2025)</t>
        </is>
      </c>
    </row>
    <row r="769" ht="22" customHeight="1">
      <c r="A769" s="6" t="inlineStr">
        <is>
          <t>SKU-0765</t>
        </is>
      </c>
      <c r="B769" s="5" t="n">
        <v>546</v>
      </c>
      <c r="C769" s="7" t="inlineStr">
        <is>
          <t>Nº 24324</t>
        </is>
      </c>
      <c r="D769" s="8" t="inlineStr">
        <is>
          <t>PROCYMIDONE</t>
        </is>
      </c>
      <c r="E769" s="7" t="inlineStr">
        <is>
          <t>Embalagem Comercial do Produto</t>
        </is>
      </c>
      <c r="F769" s="7" t="inlineStr">
        <is>
          <t>0,200L (0.2 L)</t>
        </is>
      </c>
      <c r="G769" s="7" t="inlineStr">
        <is>
          <t>L</t>
        </is>
      </c>
      <c r="H769" s="17" t="n">
        <v>0.2</v>
      </c>
      <c r="I769" s="7" t="inlineStr">
        <is>
          <t>3808.92.99</t>
        </is>
      </c>
      <c r="J769" s="7" t="inlineStr">
        <is>
          <t>NÃO</t>
        </is>
      </c>
      <c r="K769" s="7" t="inlineStr">
        <is>
          <t>Embalagem Rígida — LAVÁVEL (Obrigatória Tríplice Lavagem ou Pressão)</t>
        </is>
      </c>
      <c r="L769" s="7" t="inlineStr">
        <is>
          <t>NÃO</t>
        </is>
      </c>
      <c r="M769" s="7" t="inlineStr">
        <is>
          <t>0,00% (Lei nº 10.925/2004)</t>
        </is>
      </c>
      <c r="N769" s="7" t="inlineStr">
        <is>
          <t>0,925% (LC nº 224/2025)</t>
        </is>
      </c>
      <c r="O769" s="7" t="inlineStr">
        <is>
          <t>0,365% (LC nº 224/2025)</t>
        </is>
      </c>
      <c r="P769" s="7" t="inlineStr">
        <is>
          <t>CST 06</t>
        </is>
      </c>
      <c r="Q769" s="7" t="inlineStr">
        <is>
          <t>CST 73</t>
        </is>
      </c>
      <c r="R769" s="7" t="inlineStr">
        <is>
          <t>Redução de 60% + Diferimento (Art. 138 e Anexo IX LC 214/2025)</t>
        </is>
      </c>
    </row>
    <row r="770" ht="22" customHeight="1">
      <c r="A770" s="12" t="inlineStr">
        <is>
          <t>SKU-0766</t>
        </is>
      </c>
      <c r="B770" s="11" t="n">
        <v>547</v>
      </c>
      <c r="C770" s="13" t="inlineStr">
        <is>
          <t>Nº 9019</t>
        </is>
      </c>
      <c r="D770" s="14" t="inlineStr">
        <is>
          <t>LIMUZINA WG</t>
        </is>
      </c>
      <c r="E770" s="13" t="inlineStr">
        <is>
          <t>Embalagem Comercial do Produto</t>
        </is>
      </c>
      <c r="F770" s="13" t="inlineStr">
        <is>
          <t>10KG (10 KG)</t>
        </is>
      </c>
      <c r="G770" s="13" t="inlineStr">
        <is>
          <t>KG</t>
        </is>
      </c>
      <c r="H770" s="15" t="n">
        <v>10</v>
      </c>
      <c r="I770" s="13" t="inlineStr">
        <is>
          <t>3808.93.23</t>
        </is>
      </c>
      <c r="J770" s="13" t="inlineStr">
        <is>
          <t>NÃO</t>
        </is>
      </c>
      <c r="K770" s="13" t="inlineStr">
        <is>
          <t>Embalagem Flexível — NÃO LAVÁVEL (Perfurar e usar saco ABNT)</t>
        </is>
      </c>
      <c r="L770" s="13" t="inlineStr">
        <is>
          <t>SIM (Saco Transparente ABNT)</t>
        </is>
      </c>
      <c r="M770" s="13" t="inlineStr">
        <is>
          <t>0,00% (Lei nº 10.925/2004)</t>
        </is>
      </c>
      <c r="N770" s="13" t="inlineStr">
        <is>
          <t>0,925% (LC nº 224/2025)</t>
        </is>
      </c>
      <c r="O770" s="13" t="inlineStr">
        <is>
          <t>0,365% (LC nº 224/2025)</t>
        </is>
      </c>
      <c r="P770" s="13" t="inlineStr">
        <is>
          <t>CST 06</t>
        </is>
      </c>
      <c r="Q770" s="13" t="inlineStr">
        <is>
          <t>CST 73</t>
        </is>
      </c>
      <c r="R770" s="13" t="inlineStr">
        <is>
          <t>Redução de 60% + Diferimento (Art. 138 e Anexo IX LC 214/2025)</t>
        </is>
      </c>
    </row>
    <row r="771" ht="22" customHeight="1">
      <c r="A771" s="6" t="inlineStr">
        <is>
          <t>SKU-0767</t>
        </is>
      </c>
      <c r="B771" s="5" t="n">
        <v>548</v>
      </c>
      <c r="C771" s="7" t="inlineStr">
        <is>
          <t>Nº 11819</t>
        </is>
      </c>
      <c r="D771" s="8" t="inlineStr">
        <is>
          <t>MANCOZEB 800 WP AGCN 0,200KG AMOSTRA IMP LS</t>
        </is>
      </c>
      <c r="E771" s="7" t="inlineStr">
        <is>
          <t>Embalagem Comercial do Produto</t>
        </is>
      </c>
      <c r="F771" s="7" t="inlineStr">
        <is>
          <t>0,200KG (0.2 KG)</t>
        </is>
      </c>
      <c r="G771" s="7" t="inlineStr">
        <is>
          <t>KG</t>
        </is>
      </c>
      <c r="H771" s="17" t="n">
        <v>0.2</v>
      </c>
      <c r="I771" s="7" t="inlineStr">
        <is>
          <t>3808.92.93</t>
        </is>
      </c>
      <c r="J771" s="7" t="inlineStr">
        <is>
          <t>NÃO</t>
        </is>
      </c>
      <c r="K771" s="7" t="inlineStr">
        <is>
          <t>Embalagem Flexível — NÃO LAVÁVEL (Perfurar e usar saco ABNT)</t>
        </is>
      </c>
      <c r="L771" s="7" t="inlineStr">
        <is>
          <t>SIM (Saco Transparente ABNT)</t>
        </is>
      </c>
      <c r="M771" s="7" t="inlineStr">
        <is>
          <t>0,00% (Lei nº 10.925/2004)</t>
        </is>
      </c>
      <c r="N771" s="7" t="inlineStr">
        <is>
          <t>0,925% (LC nº 224/2025)</t>
        </is>
      </c>
      <c r="O771" s="7" t="inlineStr">
        <is>
          <t>0,365% (LC nº 224/2025)</t>
        </is>
      </c>
      <c r="P771" s="7" t="inlineStr">
        <is>
          <t>CST 06</t>
        </is>
      </c>
      <c r="Q771" s="7" t="inlineStr">
        <is>
          <t>CST 73</t>
        </is>
      </c>
      <c r="R771" s="7" t="inlineStr">
        <is>
          <t>Redução de 60% + Diferimento (Art. 138 e Anexo IX LC 214/2025)</t>
        </is>
      </c>
    </row>
    <row r="772" ht="22" customHeight="1">
      <c r="A772" s="12" t="inlineStr">
        <is>
          <t>SKU-0768</t>
        </is>
      </c>
      <c r="B772" s="11" t="n">
        <v>549</v>
      </c>
      <c r="C772" s="13" t="inlineStr">
        <is>
          <t>Nº 16724</t>
        </is>
      </c>
      <c r="D772" s="14" t="inlineStr">
        <is>
          <t>FLUAZINAM</t>
        </is>
      </c>
      <c r="E772" s="13" t="inlineStr">
        <is>
          <t>Embalagem Comercial do Produto</t>
        </is>
      </c>
      <c r="F772" s="13" t="inlineStr">
        <is>
          <t>0,200L (0.2 L)</t>
        </is>
      </c>
      <c r="G772" s="13" t="inlineStr">
        <is>
          <t>L</t>
        </is>
      </c>
      <c r="H772" s="18" t="n">
        <v>0.2</v>
      </c>
      <c r="I772" s="13" t="inlineStr">
        <is>
          <t>3808.92.99</t>
        </is>
      </c>
      <c r="J772" s="13" t="inlineStr">
        <is>
          <t>NÃO</t>
        </is>
      </c>
      <c r="K772" s="13" t="inlineStr">
        <is>
          <t>Embalagem Rígida — LAVÁVEL (Obrigatória Tríplice Lavagem ou Pressão)</t>
        </is>
      </c>
      <c r="L772" s="13" t="inlineStr">
        <is>
          <t>NÃO</t>
        </is>
      </c>
      <c r="M772" s="13" t="inlineStr">
        <is>
          <t>0,00% (Lei nº 10.925/2004)</t>
        </is>
      </c>
      <c r="N772" s="13" t="inlineStr">
        <is>
          <t>0,925% (LC nº 224/2025)</t>
        </is>
      </c>
      <c r="O772" s="13" t="inlineStr">
        <is>
          <t>0,365% (LC nº 224/2025)</t>
        </is>
      </c>
      <c r="P772" s="13" t="inlineStr">
        <is>
          <t>CST 06</t>
        </is>
      </c>
      <c r="Q772" s="13" t="inlineStr">
        <is>
          <t>CST 73</t>
        </is>
      </c>
      <c r="R772" s="13" t="inlineStr">
        <is>
          <t>Redução de 60% + Diferimento (Art. 138 e Anexo IX LC 214/2025)</t>
        </is>
      </c>
    </row>
    <row r="773" ht="22" customHeight="1">
      <c r="A773" s="6" t="inlineStr">
        <is>
          <t>SKU-0769</t>
        </is>
      </c>
      <c r="B773" s="5" t="n">
        <v>549</v>
      </c>
      <c r="C773" s="7" t="inlineStr">
        <is>
          <t>Nº 16724</t>
        </is>
      </c>
      <c r="D773" s="8" t="inlineStr">
        <is>
          <t>FLUAZINAM</t>
        </is>
      </c>
      <c r="E773" s="7" t="inlineStr">
        <is>
          <t>Faixa 1 TIPI (Apresentação &lt;= 300 g ou mL)</t>
        </is>
      </c>
      <c r="F773" s="7" t="inlineStr">
        <is>
          <t>Fracionado / Amostra &lt;= 0,3 L</t>
        </is>
      </c>
      <c r="G773" s="7" t="inlineStr">
        <is>
          <t>L</t>
        </is>
      </c>
      <c r="H773" s="17" t="n">
        <v>0.3</v>
      </c>
      <c r="I773" s="7" t="inlineStr">
        <is>
          <t>2933.39.19</t>
        </is>
      </c>
      <c r="J773" s="7" t="inlineStr">
        <is>
          <t>NÃO</t>
        </is>
      </c>
      <c r="K773" s="7" t="inlineStr">
        <is>
          <t>Embalagem Rígida — LAVÁVEL (Obrigatória Tríplice Lavagem ou Pressão)</t>
        </is>
      </c>
      <c r="L773" s="7" t="inlineStr">
        <is>
          <t>NÃO</t>
        </is>
      </c>
      <c r="M773" s="7" t="inlineStr">
        <is>
          <t>0,00% (Lei nº 10.925/2004)</t>
        </is>
      </c>
      <c r="N773" s="7" t="inlineStr">
        <is>
          <t>0,925% (LC nº 224/2025)</t>
        </is>
      </c>
      <c r="O773" s="7" t="inlineStr">
        <is>
          <t>0,365% (LC nº 224/2025)</t>
        </is>
      </c>
      <c r="P773" s="7" t="inlineStr">
        <is>
          <t>CST 06</t>
        </is>
      </c>
      <c r="Q773" s="7" t="inlineStr">
        <is>
          <t>CST 73</t>
        </is>
      </c>
      <c r="R773" s="7" t="inlineStr">
        <is>
          <t>Redução de 60% + Diferimento (Art. 138 e Anexo IX LC 214/2025)</t>
        </is>
      </c>
    </row>
    <row r="774" ht="22" customHeight="1">
      <c r="A774" s="12" t="inlineStr">
        <is>
          <t>SKU-0770</t>
        </is>
      </c>
      <c r="B774" s="11" t="n">
        <v>550</v>
      </c>
      <c r="C774" s="13" t="inlineStr">
        <is>
          <t>Nº 24922</t>
        </is>
      </c>
      <c r="D774" s="14" t="inlineStr">
        <is>
          <t>CEFANOL GOLD</t>
        </is>
      </c>
      <c r="E774" s="13" t="inlineStr">
        <is>
          <t>Embalagem Comercial do Produto</t>
        </is>
      </c>
      <c r="F774" s="13" t="inlineStr">
        <is>
          <t>8X3KG (3 KG)</t>
        </is>
      </c>
      <c r="G774" s="13" t="inlineStr">
        <is>
          <t>KG</t>
        </is>
      </c>
      <c r="H774" s="15" t="n">
        <v>3</v>
      </c>
      <c r="I774" s="13" t="inlineStr">
        <is>
          <t>3808.91.91</t>
        </is>
      </c>
      <c r="J774" s="13" t="inlineStr">
        <is>
          <t>NÃO</t>
        </is>
      </c>
      <c r="K774" s="13" t="inlineStr">
        <is>
          <t>Embalagem Flexível — NÃO LAVÁVEL (Perfurar e usar saco ABNT)</t>
        </is>
      </c>
      <c r="L774" s="13" t="inlineStr">
        <is>
          <t>SIM (Saco Transparente ABNT)</t>
        </is>
      </c>
      <c r="M774" s="13" t="inlineStr">
        <is>
          <t>0,00% (Lei nº 10.925/2004)</t>
        </is>
      </c>
      <c r="N774" s="13" t="inlineStr">
        <is>
          <t>0,925% (LC nº 224/2025)</t>
        </is>
      </c>
      <c r="O774" s="13" t="inlineStr">
        <is>
          <t>0,365% (LC nº 224/2025)</t>
        </is>
      </c>
      <c r="P774" s="13" t="inlineStr">
        <is>
          <t>CST 06</t>
        </is>
      </c>
      <c r="Q774" s="13" t="inlineStr">
        <is>
          <t>CST 73</t>
        </is>
      </c>
      <c r="R774" s="13" t="inlineStr">
        <is>
          <t>Redução de 60% + Diferimento (Art. 138 e Anexo IX LC 214/2025)</t>
        </is>
      </c>
    </row>
    <row r="775" ht="22" customHeight="1">
      <c r="A775" s="6" t="inlineStr">
        <is>
          <t>SKU-0771</t>
        </is>
      </c>
      <c r="B775" s="5" t="n">
        <v>551</v>
      </c>
      <c r="C775" s="7" t="inlineStr">
        <is>
          <t>SIPEAGRO (UF-XXXXX)</t>
        </is>
      </c>
      <c r="D775" s="8" t="inlineStr">
        <is>
          <t>FERTILIZANTE MINERAL MISTO 20-00-20</t>
        </is>
      </c>
      <c r="E775" s="7" t="inlineStr">
        <is>
          <t>Embalagem Comercial do Produto</t>
        </is>
      </c>
      <c r="F775" s="7" t="inlineStr">
        <is>
          <t>GRANEL / BIG BAG (1000 TL)</t>
        </is>
      </c>
      <c r="G775" s="7" t="inlineStr">
        <is>
          <t>TL</t>
        </is>
      </c>
      <c r="H775" s="9" t="n">
        <v>1</v>
      </c>
      <c r="I775" s="7" t="inlineStr">
        <is>
          <t>3105.90.90</t>
        </is>
      </c>
      <c r="J775" s="7" t="inlineStr">
        <is>
          <t>NÃO</t>
        </is>
      </c>
      <c r="K775" s="7" t="inlineStr">
        <is>
          <t>Embalagem Flexível — NÃO LAVÁVEL (Perfurar e usar saco ABNT)</t>
        </is>
      </c>
      <c r="L775" s="7" t="inlineStr">
        <is>
          <t>SIM (Saco Transparente ABNT)</t>
        </is>
      </c>
      <c r="M775" s="7" t="inlineStr">
        <is>
          <t>0,00% (Lei nº 10.925/2004)</t>
        </is>
      </c>
      <c r="N775" s="7" t="inlineStr">
        <is>
          <t>0,925% (LC nº 224/2025)</t>
        </is>
      </c>
      <c r="O775" s="7" t="inlineStr">
        <is>
          <t>0,365% (LC nº 224/2025)</t>
        </is>
      </c>
      <c r="P775" s="7" t="inlineStr">
        <is>
          <t>CST 06</t>
        </is>
      </c>
      <c r="Q775" s="7" t="inlineStr">
        <is>
          <t>CST 73</t>
        </is>
      </c>
      <c r="R775" s="7" t="inlineStr">
        <is>
          <t>Redução de 60% + Diferimento (Art. 138 e Anexo IX LC 214/2025)</t>
        </is>
      </c>
    </row>
    <row r="776" ht="22" customHeight="1">
      <c r="A776" s="12" t="inlineStr">
        <is>
          <t>SKU-0772</t>
        </is>
      </c>
      <c r="B776" s="11" t="n">
        <v>551</v>
      </c>
      <c r="C776" s="13" t="inlineStr">
        <is>
          <t>SIPEAGRO (UF-XXXXX)</t>
        </is>
      </c>
      <c r="D776" s="14" t="inlineStr">
        <is>
          <t>FERTILIZANTE MINERAL MISTO 20-00-20</t>
        </is>
      </c>
      <c r="E776" s="13" t="inlineStr">
        <is>
          <t>Faixa 1 TIPI (Apresentação &lt;= 300 g ou mL)</t>
        </is>
      </c>
      <c r="F776" s="13" t="inlineStr">
        <is>
          <t>Fracionado / Amostra &lt;= 0,3 TL</t>
        </is>
      </c>
      <c r="G776" s="13" t="inlineStr">
        <is>
          <t>TL</t>
        </is>
      </c>
      <c r="H776" s="18" t="n">
        <v>0.3</v>
      </c>
      <c r="I776" s="13" t="inlineStr">
        <is>
          <t>3105.20.00</t>
        </is>
      </c>
      <c r="J776" s="13" t="inlineStr">
        <is>
          <t>NÃO</t>
        </is>
      </c>
      <c r="K776" s="13" t="inlineStr">
        <is>
          <t>Embalagem Flexível — NÃO LAVÁVEL (Perfurar e usar saco ABNT)</t>
        </is>
      </c>
      <c r="L776" s="13" t="inlineStr">
        <is>
          <t>SIM (Saco Transparente ABNT)</t>
        </is>
      </c>
      <c r="M776" s="13" t="inlineStr">
        <is>
          <t>0,00% (Lei nº 10.925/2004)</t>
        </is>
      </c>
      <c r="N776" s="13" t="inlineStr">
        <is>
          <t>0,925% (LC nº 224/2025)</t>
        </is>
      </c>
      <c r="O776" s="13" t="inlineStr">
        <is>
          <t>0,365% (LC nº 224/2025)</t>
        </is>
      </c>
      <c r="P776" s="13" t="inlineStr">
        <is>
          <t>CST 06</t>
        </is>
      </c>
      <c r="Q776" s="13" t="inlineStr">
        <is>
          <t>CST 73</t>
        </is>
      </c>
      <c r="R776" s="13" t="inlineStr">
        <is>
          <t>Redução de 60% + Diferimento (Art. 138 e Anexo IX LC 214/2025)</t>
        </is>
      </c>
    </row>
    <row r="777" ht="22" customHeight="1">
      <c r="A777" s="6" t="inlineStr">
        <is>
          <t>SKU-0773</t>
        </is>
      </c>
      <c r="B777" s="5" t="n">
        <v>552</v>
      </c>
      <c r="C777" s="7" t="inlineStr">
        <is>
          <t>Nº 15925</t>
        </is>
      </c>
      <c r="D777" s="8" t="inlineStr">
        <is>
          <t>CHETTAK GOLD 0,200KG (IMP) AMOSTRA</t>
        </is>
      </c>
      <c r="E777" s="7" t="inlineStr">
        <is>
          <t>Embalagem Comercial do Produto</t>
        </is>
      </c>
      <c r="F777" s="7" t="inlineStr">
        <is>
          <t>0,200KG (0.2 KG)</t>
        </is>
      </c>
      <c r="G777" s="7" t="inlineStr">
        <is>
          <t>KG</t>
        </is>
      </c>
      <c r="H777" s="17" t="n">
        <v>0.2</v>
      </c>
      <c r="I777" s="7" t="inlineStr">
        <is>
          <t>3808.91.91</t>
        </is>
      </c>
      <c r="J777" s="7" t="inlineStr">
        <is>
          <t>NÃO</t>
        </is>
      </c>
      <c r="K777" s="7" t="inlineStr">
        <is>
          <t>Embalagem Flexível — NÃO LAVÁVEL (Perfurar e usar saco ABNT)</t>
        </is>
      </c>
      <c r="L777" s="7" t="inlineStr">
        <is>
          <t>SIM (Saco Transparente ABNT)</t>
        </is>
      </c>
      <c r="M777" s="7" t="inlineStr">
        <is>
          <t>0,00% (Lei nº 10.925/2004)</t>
        </is>
      </c>
      <c r="N777" s="7" t="inlineStr">
        <is>
          <t>0,925% (LC nº 224/2025)</t>
        </is>
      </c>
      <c r="O777" s="7" t="inlineStr">
        <is>
          <t>0,365% (LC nº 224/2025)</t>
        </is>
      </c>
      <c r="P777" s="7" t="inlineStr">
        <is>
          <t>CST 06</t>
        </is>
      </c>
      <c r="Q777" s="7" t="inlineStr">
        <is>
          <t>CST 73</t>
        </is>
      </c>
      <c r="R777" s="7" t="inlineStr">
        <is>
          <t>Redução de 60% + Diferimento (Art. 138 e Anexo IX LC 214/2025)</t>
        </is>
      </c>
    </row>
    <row r="778" ht="22" customHeight="1">
      <c r="A778" s="12" t="inlineStr">
        <is>
          <t>SKU-0774</t>
        </is>
      </c>
      <c r="B778" s="11" t="n">
        <v>553</v>
      </c>
      <c r="C778" s="13" t="inlineStr">
        <is>
          <t>Nº 31618</t>
        </is>
      </c>
      <c r="D778" s="14" t="inlineStr">
        <is>
          <t>ASSARIS</t>
        </is>
      </c>
      <c r="E778" s="13" t="inlineStr">
        <is>
          <t>Embalagem Comercial do Produto</t>
        </is>
      </c>
      <c r="F778" s="13" t="inlineStr">
        <is>
          <t>1X20L (20 L)</t>
        </is>
      </c>
      <c r="G778" s="13" t="inlineStr">
        <is>
          <t>L</t>
        </is>
      </c>
      <c r="H778" s="15" t="n">
        <v>20</v>
      </c>
      <c r="I778" s="13" t="inlineStr">
        <is>
          <t>3808.91.99</t>
        </is>
      </c>
      <c r="J778" s="13" t="inlineStr">
        <is>
          <t>NÃO</t>
        </is>
      </c>
      <c r="K778" s="13" t="inlineStr">
        <is>
          <t>Embalagem Rígida — LAVÁVEL (Obrigatória Tríplice Lavagem ou Pressão)</t>
        </is>
      </c>
      <c r="L778" s="13" t="inlineStr">
        <is>
          <t>NÃO</t>
        </is>
      </c>
      <c r="M778" s="13" t="inlineStr">
        <is>
          <t>0,00% (Lei nº 10.925/2004)</t>
        </is>
      </c>
      <c r="N778" s="13" t="inlineStr">
        <is>
          <t>0,925% (LC nº 224/2025)</t>
        </is>
      </c>
      <c r="O778" s="13" t="inlineStr">
        <is>
          <t>0,365% (LC nº 224/2025)</t>
        </is>
      </c>
      <c r="P778" s="13" t="inlineStr">
        <is>
          <t>CST 06</t>
        </is>
      </c>
      <c r="Q778" s="13" t="inlineStr">
        <is>
          <t>CST 73</t>
        </is>
      </c>
      <c r="R778" s="13" t="inlineStr">
        <is>
          <t>Redução de 60% + Diferimento (Art. 138 e Anexo IX LC 214/2025)</t>
        </is>
      </c>
    </row>
    <row r="779" ht="22" customHeight="1">
      <c r="A779" s="6" t="inlineStr">
        <is>
          <t>SKU-0775</t>
        </is>
      </c>
      <c r="B779" s="5" t="n">
        <v>554</v>
      </c>
      <c r="C779" s="7" t="inlineStr">
        <is>
          <t>SIPEAGRO (UF-XXXXX)</t>
        </is>
      </c>
      <c r="D779" s="8" t="inlineStr">
        <is>
          <t>AGCN POTASSIO</t>
        </is>
      </c>
      <c r="E779" s="7" t="inlineStr">
        <is>
          <t>Embalagem Comercial do Produto</t>
        </is>
      </c>
      <c r="F779" s="7" t="inlineStr">
        <is>
          <t>1X20L (20 L)</t>
        </is>
      </c>
      <c r="G779" s="7" t="inlineStr">
        <is>
          <t>L</t>
        </is>
      </c>
      <c r="H779" s="9" t="n">
        <v>20</v>
      </c>
      <c r="I779" s="7" t="inlineStr">
        <is>
          <t>3104.30.90</t>
        </is>
      </c>
      <c r="J779" s="7" t="inlineStr">
        <is>
          <t>NÃO</t>
        </is>
      </c>
      <c r="K779" s="7" t="inlineStr">
        <is>
          <t>Embalagem de Insumo Nutricional/Biológico (Logística Reversa)</t>
        </is>
      </c>
      <c r="L779" s="7" t="inlineStr">
        <is>
          <t>NÃO</t>
        </is>
      </c>
      <c r="M779" s="7" t="inlineStr">
        <is>
          <t>0,00% (Lei nº 10.925/2004)</t>
        </is>
      </c>
      <c r="N779" s="7" t="inlineStr">
        <is>
          <t>0,925% (LC nº 224/2025)</t>
        </is>
      </c>
      <c r="O779" s="7" t="inlineStr">
        <is>
          <t>0,365% (LC nº 224/2025)</t>
        </is>
      </c>
      <c r="P779" s="7" t="inlineStr">
        <is>
          <t>CST 06</t>
        </is>
      </c>
      <c r="Q779" s="7" t="inlineStr">
        <is>
          <t>CST 73</t>
        </is>
      </c>
      <c r="R779" s="7" t="inlineStr">
        <is>
          <t>Redução de 60% + Diferimento (Art. 138 e Anexo IX LC 214/2025)</t>
        </is>
      </c>
    </row>
    <row r="780" ht="22" customHeight="1">
      <c r="A780" s="12" t="inlineStr">
        <is>
          <t>SKU-0776</t>
        </is>
      </c>
      <c r="B780" s="11" t="n">
        <v>554</v>
      </c>
      <c r="C780" s="13" t="inlineStr">
        <is>
          <t>SIPEAGRO (UF-XXXXX)</t>
        </is>
      </c>
      <c r="D780" s="14" t="inlineStr">
        <is>
          <t>AGCN POTASSIO</t>
        </is>
      </c>
      <c r="E780" s="13" t="inlineStr">
        <is>
          <t>Faixa 1 TIPI (Apresentação &lt;= 300 g ou mL)</t>
        </is>
      </c>
      <c r="F780" s="13" t="inlineStr">
        <is>
          <t>Fracionado / Amostra &lt;= 0,3 L</t>
        </is>
      </c>
      <c r="G780" s="13" t="inlineStr">
        <is>
          <t>L</t>
        </is>
      </c>
      <c r="H780" s="18" t="n">
        <v>0.3</v>
      </c>
      <c r="I780" s="13" t="inlineStr">
        <is>
          <t>3105.90.90</t>
        </is>
      </c>
      <c r="J780" s="13" t="inlineStr">
        <is>
          <t>NÃO</t>
        </is>
      </c>
      <c r="K780" s="13" t="inlineStr">
        <is>
          <t>Embalagem de Insumo Nutricional/Biológico (Logística Reversa)</t>
        </is>
      </c>
      <c r="L780" s="13" t="inlineStr">
        <is>
          <t>NÃO</t>
        </is>
      </c>
      <c r="M780" s="13" t="inlineStr">
        <is>
          <t>0,00% (Lei nº 10.925/2004)</t>
        </is>
      </c>
      <c r="N780" s="13" t="inlineStr">
        <is>
          <t>0,925% (LC nº 224/2025)</t>
        </is>
      </c>
      <c r="O780" s="13" t="inlineStr">
        <is>
          <t>0,365% (LC nº 224/2025)</t>
        </is>
      </c>
      <c r="P780" s="13" t="inlineStr">
        <is>
          <t>CST 06</t>
        </is>
      </c>
      <c r="Q780" s="13" t="inlineStr">
        <is>
          <t>CST 73</t>
        </is>
      </c>
      <c r="R780" s="13" t="inlineStr">
        <is>
          <t>Redução de 60% + Diferimento (Art. 138 e Anexo IX LC 214/2025)</t>
        </is>
      </c>
    </row>
    <row r="781" ht="22" customHeight="1">
      <c r="A781" s="6" t="inlineStr">
        <is>
          <t>SKU-0777</t>
        </is>
      </c>
      <c r="B781" s="5" t="n">
        <v>555</v>
      </c>
      <c r="C781" s="7" t="inlineStr">
        <is>
          <t>ISENTO (ATO 104/2017)</t>
        </is>
      </c>
      <c r="D781" s="8" t="inlineStr">
        <is>
          <t>AGCN SAFE SPRAY</t>
        </is>
      </c>
      <c r="E781" s="7" t="inlineStr">
        <is>
          <t>Embalagem Comercial do Produto</t>
        </is>
      </c>
      <c r="F781" s="7" t="inlineStr">
        <is>
          <t>4X5L (5 L)</t>
        </is>
      </c>
      <c r="G781" s="7" t="inlineStr">
        <is>
          <t>L</t>
        </is>
      </c>
      <c r="H781" s="9" t="n">
        <v>5</v>
      </c>
      <c r="I781" s="7" t="inlineStr">
        <is>
          <t>3402.90.29</t>
        </is>
      </c>
      <c r="J781" s="7" t="inlineStr">
        <is>
          <t>NÃO</t>
        </is>
      </c>
      <c r="K781" s="7" t="inlineStr">
        <is>
          <t>Embalagem Rígida — LAVÁVEL (Obrigatória Tríplice Lavagem ou Pressão)</t>
        </is>
      </c>
      <c r="L781" s="7" t="inlineStr">
        <is>
          <t>NÃO</t>
        </is>
      </c>
      <c r="M781" s="7" t="inlineStr">
        <is>
          <t>9,25% Real | 3,65% Presumido</t>
        </is>
      </c>
      <c r="N781" s="7" t="inlineStr">
        <is>
          <t>9,250% (Integral)</t>
        </is>
      </c>
      <c r="O781" s="7" t="inlineStr">
        <is>
          <t>3,650% (Integral)</t>
        </is>
      </c>
      <c r="P781" s="7" t="inlineStr">
        <is>
          <t>CST 01</t>
        </is>
      </c>
      <c r="Q781" s="7" t="inlineStr">
        <is>
          <t>CST 50</t>
        </is>
      </c>
      <c r="R781" s="7" t="inlineStr">
        <is>
          <t>Alíquota Padrão Integral (LC 214/2025)</t>
        </is>
      </c>
    </row>
    <row r="782" ht="22" customHeight="1">
      <c r="A782" s="12" t="inlineStr">
        <is>
          <t>SKU-0778</t>
        </is>
      </c>
      <c r="B782" s="11" t="n">
        <v>556</v>
      </c>
      <c r="C782" s="13" t="inlineStr">
        <is>
          <t>Nº 10018</t>
        </is>
      </c>
      <c r="D782" s="14" t="inlineStr">
        <is>
          <t>ATRAZINA</t>
        </is>
      </c>
      <c r="E782" s="13" t="inlineStr">
        <is>
          <t>Embalagem Comercial do Produto</t>
        </is>
      </c>
      <c r="F782" s="13" t="inlineStr">
        <is>
          <t>4X5L (5 L)</t>
        </is>
      </c>
      <c r="G782" s="13" t="inlineStr">
        <is>
          <t>L</t>
        </is>
      </c>
      <c r="H782" s="15" t="n">
        <v>5</v>
      </c>
      <c r="I782" s="13" t="inlineStr">
        <is>
          <t>3808.93.23</t>
        </is>
      </c>
      <c r="J782" s="13" t="inlineStr">
        <is>
          <t>NÃO</t>
        </is>
      </c>
      <c r="K782" s="13" t="inlineStr">
        <is>
          <t>Embalagem Rígida — LAVÁVEL (Obrigatória Tríplice Lavagem ou Pressão)</t>
        </is>
      </c>
      <c r="L782" s="13" t="inlineStr">
        <is>
          <t>NÃO</t>
        </is>
      </c>
      <c r="M782" s="13" t="inlineStr">
        <is>
          <t>0,00% (Lei nº 10.925/2004)</t>
        </is>
      </c>
      <c r="N782" s="13" t="inlineStr">
        <is>
          <t>0,925% (LC nº 224/2025)</t>
        </is>
      </c>
      <c r="O782" s="13" t="inlineStr">
        <is>
          <t>0,365% (LC nº 224/2025)</t>
        </is>
      </c>
      <c r="P782" s="13" t="inlineStr">
        <is>
          <t>CST 06</t>
        </is>
      </c>
      <c r="Q782" s="13" t="inlineStr">
        <is>
          <t>CST 73</t>
        </is>
      </c>
      <c r="R782" s="13" t="inlineStr">
        <is>
          <t>Redução de 60% + Diferimento (Art. 138 e Anexo IX LC 214/2025)</t>
        </is>
      </c>
    </row>
    <row r="783" ht="22" customHeight="1">
      <c r="A783" s="6" t="inlineStr">
        <is>
          <t>SKU-0779</t>
        </is>
      </c>
      <c r="B783" s="5" t="n">
        <v>557</v>
      </c>
      <c r="C783" s="7" t="inlineStr">
        <is>
          <t>Nº 10018</t>
        </is>
      </c>
      <c r="D783" s="8" t="inlineStr">
        <is>
          <t>ATRAZINA</t>
        </is>
      </c>
      <c r="E783" s="7" t="inlineStr">
        <is>
          <t>Embalagem Comercial do Produto</t>
        </is>
      </c>
      <c r="F783" s="7" t="inlineStr">
        <is>
          <t>0,200L (0.2 L)</t>
        </is>
      </c>
      <c r="G783" s="7" t="inlineStr">
        <is>
          <t>L</t>
        </is>
      </c>
      <c r="H783" s="17" t="n">
        <v>0.2</v>
      </c>
      <c r="I783" s="7" t="inlineStr">
        <is>
          <t>3808.93.23</t>
        </is>
      </c>
      <c r="J783" s="7" t="inlineStr">
        <is>
          <t>NÃO</t>
        </is>
      </c>
      <c r="K783" s="7" t="inlineStr">
        <is>
          <t>Embalagem Rígida — LAVÁVEL (Obrigatória Tríplice Lavagem ou Pressão)</t>
        </is>
      </c>
      <c r="L783" s="7" t="inlineStr">
        <is>
          <t>NÃO</t>
        </is>
      </c>
      <c r="M783" s="7" t="inlineStr">
        <is>
          <t>0,00% (Lei nº 10.925/2004)</t>
        </is>
      </c>
      <c r="N783" s="7" t="inlineStr">
        <is>
          <t>0,925% (LC nº 224/2025)</t>
        </is>
      </c>
      <c r="O783" s="7" t="inlineStr">
        <is>
          <t>0,365% (LC nº 224/2025)</t>
        </is>
      </c>
      <c r="P783" s="7" t="inlineStr">
        <is>
          <t>CST 06</t>
        </is>
      </c>
      <c r="Q783" s="7" t="inlineStr">
        <is>
          <t>CST 73</t>
        </is>
      </c>
      <c r="R783" s="7" t="inlineStr">
        <is>
          <t>Redução de 60% + Diferimento (Art. 138 e Anexo IX LC 214/2025)</t>
        </is>
      </c>
    </row>
    <row r="784" ht="22" customHeight="1">
      <c r="A784" s="12" t="inlineStr">
        <is>
          <t>SKU-0780</t>
        </is>
      </c>
      <c r="B784" s="11" t="n">
        <v>558</v>
      </c>
      <c r="C784" s="13" t="inlineStr">
        <is>
          <t>Nº 5217</t>
        </is>
      </c>
      <c r="D784" s="14" t="inlineStr">
        <is>
          <t>HERBIZINA PLUS</t>
        </is>
      </c>
      <c r="E784" s="13" t="inlineStr">
        <is>
          <t>Embalagem Comercial do Produto</t>
        </is>
      </c>
      <c r="F784" s="13" t="inlineStr">
        <is>
          <t>1X10KG (10 KG)</t>
        </is>
      </c>
      <c r="G784" s="13" t="inlineStr">
        <is>
          <t>KG</t>
        </is>
      </c>
      <c r="H784" s="15" t="n">
        <v>10</v>
      </c>
      <c r="I784" s="13" t="inlineStr">
        <is>
          <t>3808.93.23</t>
        </is>
      </c>
      <c r="J784" s="13" t="inlineStr">
        <is>
          <t>NÃO</t>
        </is>
      </c>
      <c r="K784" s="13" t="inlineStr">
        <is>
          <t>Embalagem Flexível — NÃO LAVÁVEL (Perfurar e usar saco ABNT)</t>
        </is>
      </c>
      <c r="L784" s="13" t="inlineStr">
        <is>
          <t>SIM (Saco Transparente ABNT)</t>
        </is>
      </c>
      <c r="M784" s="13" t="inlineStr">
        <is>
          <t>0,00% (Lei nº 10.925/2004)</t>
        </is>
      </c>
      <c r="N784" s="13" t="inlineStr">
        <is>
          <t>0,925% (LC nº 224/2025)</t>
        </is>
      </c>
      <c r="O784" s="13" t="inlineStr">
        <is>
          <t>0,365% (LC nº 224/2025)</t>
        </is>
      </c>
      <c r="P784" s="13" t="inlineStr">
        <is>
          <t>CST 06</t>
        </is>
      </c>
      <c r="Q784" s="13" t="inlineStr">
        <is>
          <t>CST 73</t>
        </is>
      </c>
      <c r="R784" s="13" t="inlineStr">
        <is>
          <t>Redução de 60% + Diferimento (Art. 138 e Anexo IX LC 214/2025)</t>
        </is>
      </c>
    </row>
    <row r="785" ht="22" customHeight="1">
      <c r="A785" s="6" t="inlineStr">
        <is>
          <t>SKU-0781</t>
        </is>
      </c>
      <c r="B785" s="5" t="n">
        <v>559</v>
      </c>
      <c r="C785" s="7" t="inlineStr">
        <is>
          <t>SIPEAGRO (UF-XXXXX)</t>
        </is>
      </c>
      <c r="D785" s="8" t="inlineStr">
        <is>
          <t>BENTONITA 90%S - GRANULADO - 1.250 KG</t>
        </is>
      </c>
      <c r="E785" s="7" t="inlineStr">
        <is>
          <t>Embalagem Comercial do Produto</t>
        </is>
      </c>
      <c r="F785" s="7" t="inlineStr">
        <is>
          <t>1.250 KG (1250 KG)</t>
        </is>
      </c>
      <c r="G785" s="7" t="inlineStr">
        <is>
          <t>KG</t>
        </is>
      </c>
      <c r="H785" s="17" t="n">
        <v>1.25</v>
      </c>
      <c r="I785" s="7" t="inlineStr">
        <is>
          <t>2503.00.90</t>
        </is>
      </c>
      <c r="J785" s="7" t="inlineStr">
        <is>
          <t>NÃO</t>
        </is>
      </c>
      <c r="K785" s="7" t="inlineStr">
        <is>
          <t>Embalagem de Insumo Nutricional/Biológico (Logística Reversa)</t>
        </is>
      </c>
      <c r="L785" s="7" t="inlineStr">
        <is>
          <t>NÃO</t>
        </is>
      </c>
      <c r="M785" s="7" t="inlineStr">
        <is>
          <t>0,00% (Lei nº 10.925/2004)</t>
        </is>
      </c>
      <c r="N785" s="7" t="inlineStr">
        <is>
          <t>0,925% (LC nº 224/2025)</t>
        </is>
      </c>
      <c r="O785" s="7" t="inlineStr">
        <is>
          <t>0,365% (LC nº 224/2025)</t>
        </is>
      </c>
      <c r="P785" s="7" t="inlineStr">
        <is>
          <t>CST 06 (Uso Agrícola/Industrial)</t>
        </is>
      </c>
      <c r="Q785" s="7" t="inlineStr">
        <is>
          <t>CST 73 (Revenda / Destinação)</t>
        </is>
      </c>
      <c r="R785" s="7" t="inlineStr">
        <is>
          <t>Redução de 60% + Diferimento (Art. 138 LC 214/2025)</t>
        </is>
      </c>
    </row>
    <row r="786" ht="22" customHeight="1">
      <c r="A786" s="12" t="inlineStr">
        <is>
          <t>SKU-0782</t>
        </is>
      </c>
      <c r="B786" s="11" t="n">
        <v>559</v>
      </c>
      <c r="C786" s="13" t="inlineStr">
        <is>
          <t>SIPEAGRO (UF-XXXXX)</t>
        </is>
      </c>
      <c r="D786" s="14" t="inlineStr">
        <is>
          <t>BENTONITA 90%S - GRANULADO - 1.250 KG</t>
        </is>
      </c>
      <c r="E786" s="13" t="inlineStr">
        <is>
          <t>Faixa 1 TIPI (Apresentação &lt;= 300 g ou mL)</t>
        </is>
      </c>
      <c r="F786" s="13" t="inlineStr">
        <is>
          <t>Fracionado / Amostra &lt;= 0,3 KG</t>
        </is>
      </c>
      <c r="G786" s="13" t="inlineStr">
        <is>
          <t>KG</t>
        </is>
      </c>
      <c r="H786" s="18" t="n">
        <v>0.3</v>
      </c>
      <c r="I786" s="13" t="inlineStr">
        <is>
          <t>3105.90.90</t>
        </is>
      </c>
      <c r="J786" s="13" t="inlineStr">
        <is>
          <t>NÃO</t>
        </is>
      </c>
      <c r="K786" s="13" t="inlineStr">
        <is>
          <t>Embalagem de Insumo Nutricional/Biológico (Logística Reversa)</t>
        </is>
      </c>
      <c r="L786" s="13" t="inlineStr">
        <is>
          <t>NÃO</t>
        </is>
      </c>
      <c r="M786" s="13" t="inlineStr">
        <is>
          <t>0,00% (Lei nº 10.925/2004)</t>
        </is>
      </c>
      <c r="N786" s="13" t="inlineStr">
        <is>
          <t>0,925% (LC nº 224/2025)</t>
        </is>
      </c>
      <c r="O786" s="13" t="inlineStr">
        <is>
          <t>0,365% (LC nº 224/2025)</t>
        </is>
      </c>
      <c r="P786" s="13" t="inlineStr">
        <is>
          <t>CST 06 (Uso Agrícola/Industrial)</t>
        </is>
      </c>
      <c r="Q786" s="13" t="inlineStr">
        <is>
          <t>CST 73 (Revenda / Destinação)</t>
        </is>
      </c>
      <c r="R786" s="13" t="inlineStr">
        <is>
          <t>Redução de 60% + Diferimento (Art. 138 LC 214/2025)</t>
        </is>
      </c>
    </row>
    <row r="787" ht="22" customHeight="1">
      <c r="A787" s="6" t="inlineStr">
        <is>
          <t>SKU-0783</t>
        </is>
      </c>
      <c r="B787" s="5" t="n">
        <v>560</v>
      </c>
      <c r="C787" s="7" t="inlineStr">
        <is>
          <t>Nº 12123</t>
        </is>
      </c>
      <c r="D787" s="8" t="inlineStr">
        <is>
          <t>PYRIPROXYFEN 100 EC AGCN 0,200L AMOSTRA</t>
        </is>
      </c>
      <c r="E787" s="7" t="inlineStr">
        <is>
          <t>Embalagem Comercial do Produto</t>
        </is>
      </c>
      <c r="F787" s="7" t="inlineStr">
        <is>
          <t>0,200L (0.2 L)</t>
        </is>
      </c>
      <c r="G787" s="7" t="inlineStr">
        <is>
          <t>L</t>
        </is>
      </c>
      <c r="H787" s="17" t="n">
        <v>0.2</v>
      </c>
      <c r="I787" s="7" t="inlineStr">
        <is>
          <t>3808.91.99</t>
        </is>
      </c>
      <c r="J787" s="7" t="inlineStr">
        <is>
          <t>NÃO</t>
        </is>
      </c>
      <c r="K787" s="7" t="inlineStr">
        <is>
          <t>Embalagem Rígida — LAVÁVEL (Obrigatória Tríplice Lavagem ou Pressão)</t>
        </is>
      </c>
      <c r="L787" s="7" t="inlineStr">
        <is>
          <t>NÃO</t>
        </is>
      </c>
      <c r="M787" s="7" t="inlineStr">
        <is>
          <t>0,00% (Lei nº 10.925/2004)</t>
        </is>
      </c>
      <c r="N787" s="7" t="inlineStr">
        <is>
          <t>0,925% (LC nº 224/2025)</t>
        </is>
      </c>
      <c r="O787" s="7" t="inlineStr">
        <is>
          <t>0,365% (LC nº 224/2025)</t>
        </is>
      </c>
      <c r="P787" s="7" t="inlineStr">
        <is>
          <t>CST 06</t>
        </is>
      </c>
      <c r="Q787" s="7" t="inlineStr">
        <is>
          <t>CST 73</t>
        </is>
      </c>
      <c r="R787" s="7" t="inlineStr">
        <is>
          <t>Redução de 60% + Diferimento (Art. 138 e Anexo IX LC 214/2025)</t>
        </is>
      </c>
    </row>
    <row r="788" ht="22" customHeight="1">
      <c r="A788" s="12" t="inlineStr">
        <is>
          <t>SKU-0784</t>
        </is>
      </c>
      <c r="B788" s="11" t="n">
        <v>561</v>
      </c>
      <c r="C788" s="13" t="inlineStr">
        <is>
          <t>Nº 43818</t>
        </is>
      </c>
      <c r="D788" s="14" t="inlineStr">
        <is>
          <t>DIAFENTIURON</t>
        </is>
      </c>
      <c r="E788" s="13" t="inlineStr">
        <is>
          <t>Embalagem Comercial do Produto</t>
        </is>
      </c>
      <c r="F788" s="13" t="inlineStr">
        <is>
          <t>20L (20 L)</t>
        </is>
      </c>
      <c r="G788" s="13" t="inlineStr">
        <is>
          <t>L</t>
        </is>
      </c>
      <c r="H788" s="15" t="n">
        <v>20</v>
      </c>
      <c r="I788" s="13" t="inlineStr">
        <is>
          <t>3808.91.99</t>
        </is>
      </c>
      <c r="J788" s="13" t="inlineStr">
        <is>
          <t>NÃO</t>
        </is>
      </c>
      <c r="K788" s="13" t="inlineStr">
        <is>
          <t>Embalagem Rígida — LAVÁVEL (Obrigatória Tríplice Lavagem ou Pressão)</t>
        </is>
      </c>
      <c r="L788" s="13" t="inlineStr">
        <is>
          <t>NÃO</t>
        </is>
      </c>
      <c r="M788" s="13" t="inlineStr">
        <is>
          <t>0,00% (Lei nº 10.925/2004)</t>
        </is>
      </c>
      <c r="N788" s="13" t="inlineStr">
        <is>
          <t>0,925% (LC nº 224/2025)</t>
        </is>
      </c>
      <c r="O788" s="13" t="inlineStr">
        <is>
          <t>0,365% (LC nº 224/2025)</t>
        </is>
      </c>
      <c r="P788" s="13" t="inlineStr">
        <is>
          <t>CST 06</t>
        </is>
      </c>
      <c r="Q788" s="13" t="inlineStr">
        <is>
          <t>CST 73</t>
        </is>
      </c>
      <c r="R788" s="13" t="inlineStr">
        <is>
          <t>Redução de 60% + Diferimento (Art. 138 e Anexo IX LC 214/2025)</t>
        </is>
      </c>
    </row>
    <row r="789" ht="22" customHeight="1">
      <c r="A789" s="6" t="inlineStr">
        <is>
          <t>SKU-0785</t>
        </is>
      </c>
      <c r="B789" s="5" t="n">
        <v>562</v>
      </c>
      <c r="C789" s="7" t="inlineStr">
        <is>
          <t>Nº 43818</t>
        </is>
      </c>
      <c r="D789" s="8" t="inlineStr">
        <is>
          <t>DIAFENTIURON</t>
        </is>
      </c>
      <c r="E789" s="7" t="inlineStr">
        <is>
          <t>Embalagem Comercial do Produto</t>
        </is>
      </c>
      <c r="F789" s="7" t="inlineStr">
        <is>
          <t>0,200L (0.2 L)</t>
        </is>
      </c>
      <c r="G789" s="7" t="inlineStr">
        <is>
          <t>L</t>
        </is>
      </c>
      <c r="H789" s="17" t="n">
        <v>0.2</v>
      </c>
      <c r="I789" s="7" t="inlineStr">
        <is>
          <t>3808.91.99</t>
        </is>
      </c>
      <c r="J789" s="7" t="inlineStr">
        <is>
          <t>NÃO</t>
        </is>
      </c>
      <c r="K789" s="7" t="inlineStr">
        <is>
          <t>Embalagem Rígida — LAVÁVEL (Obrigatória Tríplice Lavagem ou Pressão)</t>
        </is>
      </c>
      <c r="L789" s="7" t="inlineStr">
        <is>
          <t>NÃO</t>
        </is>
      </c>
      <c r="M789" s="7" t="inlineStr">
        <is>
          <t>0,00% (Lei nº 10.925/2004)</t>
        </is>
      </c>
      <c r="N789" s="7" t="inlineStr">
        <is>
          <t>0,925% (LC nº 224/2025)</t>
        </is>
      </c>
      <c r="O789" s="7" t="inlineStr">
        <is>
          <t>0,365% (LC nº 224/2025)</t>
        </is>
      </c>
      <c r="P789" s="7" t="inlineStr">
        <is>
          <t>CST 06</t>
        </is>
      </c>
      <c r="Q789" s="7" t="inlineStr">
        <is>
          <t>CST 73</t>
        </is>
      </c>
      <c r="R789" s="7" t="inlineStr">
        <is>
          <t>Redução de 60% + Diferimento (Art. 138 e Anexo IX LC 214/2025)</t>
        </is>
      </c>
    </row>
    <row r="790" ht="22" customHeight="1">
      <c r="A790" s="12" t="inlineStr">
        <is>
          <t>SKU-0786</t>
        </is>
      </c>
      <c r="B790" s="11" t="n">
        <v>563</v>
      </c>
      <c r="C790" s="13" t="inlineStr">
        <is>
          <t>Nº 27922</t>
        </is>
      </c>
      <c r="D790" s="14" t="inlineStr">
        <is>
          <t>S-METOLACHLOR PROVENTIS 960 EC 0,200L (AMOSTRA)</t>
        </is>
      </c>
      <c r="E790" s="13" t="inlineStr">
        <is>
          <t>Embalagem Comercial do Produto</t>
        </is>
      </c>
      <c r="F790" s="13" t="inlineStr">
        <is>
          <t>0,200L (0.2 L)</t>
        </is>
      </c>
      <c r="G790" s="13" t="inlineStr">
        <is>
          <t>L</t>
        </is>
      </c>
      <c r="H790" s="18" t="n">
        <v>0.2</v>
      </c>
      <c r="I790" s="13" t="inlineStr">
        <is>
          <t>3808.93.29</t>
        </is>
      </c>
      <c r="J790" s="13" t="inlineStr">
        <is>
          <t>NÃO</t>
        </is>
      </c>
      <c r="K790" s="13" t="inlineStr">
        <is>
          <t>Embalagem Rígida — LAVÁVEL (Obrigatória Tríplice Lavagem ou Pressão)</t>
        </is>
      </c>
      <c r="L790" s="13" t="inlineStr">
        <is>
          <t>NÃO</t>
        </is>
      </c>
      <c r="M790" s="13" t="inlineStr">
        <is>
          <t>0,00% (Lei nº 10.925/2004)</t>
        </is>
      </c>
      <c r="N790" s="13" t="inlineStr">
        <is>
          <t>0,925% (LC nº 224/2025)</t>
        </is>
      </c>
      <c r="O790" s="13" t="inlineStr">
        <is>
          <t>0,365% (LC nº 224/2025)</t>
        </is>
      </c>
      <c r="P790" s="13" t="inlineStr">
        <is>
          <t>CST 06</t>
        </is>
      </c>
      <c r="Q790" s="13" t="inlineStr">
        <is>
          <t>CST 73</t>
        </is>
      </c>
      <c r="R790" s="13" t="inlineStr">
        <is>
          <t>Redução de 60% + Diferimento (Art. 138 e Anexo IX LC 214/2025)</t>
        </is>
      </c>
    </row>
    <row r="791" ht="22" customHeight="1">
      <c r="A791" s="6" t="inlineStr">
        <is>
          <t>SKU-0787</t>
        </is>
      </c>
      <c r="B791" s="5" t="n">
        <v>564</v>
      </c>
      <c r="C791" s="7" t="inlineStr">
        <is>
          <t>Nº 26023</t>
        </is>
      </c>
      <c r="D791" s="8" t="inlineStr">
        <is>
          <t>MAJESTUOSO 0,2L (IMP) AMOSTRA</t>
        </is>
      </c>
      <c r="E791" s="7" t="inlineStr">
        <is>
          <t>Embalagem Comercial do Produto</t>
        </is>
      </c>
      <c r="F791" s="7" t="inlineStr">
        <is>
          <t>0,2L (0.2 L)</t>
        </is>
      </c>
      <c r="G791" s="7" t="inlineStr">
        <is>
          <t>L</t>
        </is>
      </c>
      <c r="H791" s="17" t="n">
        <v>0.2</v>
      </c>
      <c r="I791" s="7" t="inlineStr">
        <is>
          <t>3808.61.00</t>
        </is>
      </c>
      <c r="J791" s="7" t="inlineStr">
        <is>
          <t>SIM</t>
        </is>
      </c>
      <c r="K791" s="7" t="inlineStr">
        <is>
          <t>Embalagem Rígida — LAVÁVEL (Obrigatória Tríplice Lavagem ou Pressão)</t>
        </is>
      </c>
      <c r="L791" s="7" t="inlineStr">
        <is>
          <t>NÃO</t>
        </is>
      </c>
      <c r="M791" s="7" t="inlineStr">
        <is>
          <t>0,00% (Lei nº 10.925/2004)</t>
        </is>
      </c>
      <c r="N791" s="7" t="inlineStr">
        <is>
          <t>0,925% (LC nº 224/2025)</t>
        </is>
      </c>
      <c r="O791" s="7" t="inlineStr">
        <is>
          <t>0,365% (LC nº 224/2025)</t>
        </is>
      </c>
      <c r="P791" s="7" t="inlineStr">
        <is>
          <t>CST 06</t>
        </is>
      </c>
      <c r="Q791" s="7" t="inlineStr">
        <is>
          <t>CST 73</t>
        </is>
      </c>
      <c r="R791" s="7" t="inlineStr">
        <is>
          <t>Redução de 60% + Diferimento (Art. 138 e Anexo IX LC 214/2025)</t>
        </is>
      </c>
    </row>
    <row r="792" ht="22" customHeight="1">
      <c r="A792" s="12" t="inlineStr">
        <is>
          <t>SKU-0788</t>
        </is>
      </c>
      <c r="B792" s="11" t="n">
        <v>565</v>
      </c>
      <c r="C792" s="13" t="inlineStr">
        <is>
          <t>Nº 5924</t>
        </is>
      </c>
      <c r="D792" s="14" t="inlineStr">
        <is>
          <t>FLAME WG</t>
        </is>
      </c>
      <c r="E792" s="13" t="inlineStr">
        <is>
          <t>Embalagem Comercial do Produto</t>
        </is>
      </c>
      <c r="F792" s="13" t="inlineStr">
        <is>
          <t>2X10KG (10 KG)</t>
        </is>
      </c>
      <c r="G792" s="13" t="inlineStr">
        <is>
          <t>KG</t>
        </is>
      </c>
      <c r="H792" s="15" t="n">
        <v>10</v>
      </c>
      <c r="I792" s="13" t="inlineStr">
        <is>
          <t>3808.69.90</t>
        </is>
      </c>
      <c r="J792" s="13" t="inlineStr">
        <is>
          <t>SIM</t>
        </is>
      </c>
      <c r="K792" s="13" t="inlineStr">
        <is>
          <t>Embalagem Flexível — NÃO LAVÁVEL (Perfurar e usar saco ABNT)</t>
        </is>
      </c>
      <c r="L792" s="13" t="inlineStr">
        <is>
          <t>SIM (Saco Transparente ABNT)</t>
        </is>
      </c>
      <c r="M792" s="13" t="inlineStr">
        <is>
          <t>0,00% (Lei nº 10.925/2004)</t>
        </is>
      </c>
      <c r="N792" s="13" t="inlineStr">
        <is>
          <t>0,925% (LC nº 224/2025)</t>
        </is>
      </c>
      <c r="O792" s="13" t="inlineStr">
        <is>
          <t>0,365% (LC nº 224/2025)</t>
        </is>
      </c>
      <c r="P792" s="13" t="inlineStr">
        <is>
          <t>CST 06</t>
        </is>
      </c>
      <c r="Q792" s="13" t="inlineStr">
        <is>
          <t>CST 73</t>
        </is>
      </c>
      <c r="R792" s="13" t="inlineStr">
        <is>
          <t>Redução de 60% + Diferimento (Art. 138 e Anexo IX LC 214/2025)</t>
        </is>
      </c>
    </row>
    <row r="793" ht="22" customHeight="1">
      <c r="A793" s="6" t="inlineStr">
        <is>
          <t>SKU-0789</t>
        </is>
      </c>
      <c r="B793" s="5" t="n">
        <v>565</v>
      </c>
      <c r="C793" s="7" t="inlineStr">
        <is>
          <t>Nº 5924</t>
        </is>
      </c>
      <c r="D793" s="8" t="inlineStr">
        <is>
          <t>FLAME WG</t>
        </is>
      </c>
      <c r="E793" s="7" t="inlineStr">
        <is>
          <t>Faixa 1 TIPI (Apresentação &lt;= 300 g ou mL)</t>
        </is>
      </c>
      <c r="F793" s="7" t="inlineStr">
        <is>
          <t>Fracionado / Amostra &lt;= 0,3 KG</t>
        </is>
      </c>
      <c r="G793" s="7" t="inlineStr">
        <is>
          <t>KG</t>
        </is>
      </c>
      <c r="H793" s="17" t="n">
        <v>0.3</v>
      </c>
      <c r="I793" s="7" t="inlineStr">
        <is>
          <t>3808.61.00</t>
        </is>
      </c>
      <c r="J793" s="7" t="inlineStr">
        <is>
          <t>SIM</t>
        </is>
      </c>
      <c r="K793" s="7" t="inlineStr">
        <is>
          <t>Embalagem Flexível — NÃO LAVÁVEL (Perfurar e usar saco ABNT)</t>
        </is>
      </c>
      <c r="L793" s="7" t="inlineStr">
        <is>
          <t>SIM (Saco Transparente ABNT)</t>
        </is>
      </c>
      <c r="M793" s="7" t="inlineStr">
        <is>
          <t>0,00% (Lei nº 10.925/2004)</t>
        </is>
      </c>
      <c r="N793" s="7" t="inlineStr">
        <is>
          <t>0,925% (LC nº 224/2025)</t>
        </is>
      </c>
      <c r="O793" s="7" t="inlineStr">
        <is>
          <t>0,365% (LC nº 224/2025)</t>
        </is>
      </c>
      <c r="P793" s="7" t="inlineStr">
        <is>
          <t>CST 06</t>
        </is>
      </c>
      <c r="Q793" s="7" t="inlineStr">
        <is>
          <t>CST 73</t>
        </is>
      </c>
      <c r="R793" s="7" t="inlineStr">
        <is>
          <t>Redução de 60% + Diferimento (Art. 138 e Anexo IX LC 214/2025)</t>
        </is>
      </c>
    </row>
    <row r="794" ht="22" customHeight="1">
      <c r="A794" s="12" t="inlineStr">
        <is>
          <t>SKU-0790</t>
        </is>
      </c>
      <c r="B794" s="11" t="n">
        <v>566</v>
      </c>
      <c r="C794" s="13" t="inlineStr">
        <is>
          <t>Nº 15925</t>
        </is>
      </c>
      <c r="D794" s="14" t="inlineStr">
        <is>
          <t>CHETTAK GOLD</t>
        </is>
      </c>
      <c r="E794" s="13" t="inlineStr">
        <is>
          <t>Embalagem Comercial do Produto</t>
        </is>
      </c>
      <c r="F794" s="13" t="inlineStr">
        <is>
          <t>4X5KG (5 KG)</t>
        </is>
      </c>
      <c r="G794" s="13" t="inlineStr">
        <is>
          <t>KG</t>
        </is>
      </c>
      <c r="H794" s="15" t="n">
        <v>5</v>
      </c>
      <c r="I794" s="13" t="inlineStr">
        <is>
          <t>3808.91.91</t>
        </is>
      </c>
      <c r="J794" s="13" t="inlineStr">
        <is>
          <t>NÃO</t>
        </is>
      </c>
      <c r="K794" s="13" t="inlineStr">
        <is>
          <t>Embalagem Flexível — NÃO LAVÁVEL (Perfurar e usar saco ABNT)</t>
        </is>
      </c>
      <c r="L794" s="13" t="inlineStr">
        <is>
          <t>SIM (Saco Transparente ABNT)</t>
        </is>
      </c>
      <c r="M794" s="13" t="inlineStr">
        <is>
          <t>0,00% (Lei nº 10.925/2004)</t>
        </is>
      </c>
      <c r="N794" s="13" t="inlineStr">
        <is>
          <t>0,925% (LC nº 224/2025)</t>
        </is>
      </c>
      <c r="O794" s="13" t="inlineStr">
        <is>
          <t>0,365% (LC nº 224/2025)</t>
        </is>
      </c>
      <c r="P794" s="13" t="inlineStr">
        <is>
          <t>CST 06</t>
        </is>
      </c>
      <c r="Q794" s="13" t="inlineStr">
        <is>
          <t>CST 73</t>
        </is>
      </c>
      <c r="R794" s="13" t="inlineStr">
        <is>
          <t>Redução de 60% + Diferimento (Art. 138 e Anexo IX LC 214/2025)</t>
        </is>
      </c>
    </row>
    <row r="795" ht="22" customHeight="1">
      <c r="A795" s="6" t="inlineStr">
        <is>
          <t>SKU-0791</t>
        </is>
      </c>
      <c r="B795" s="5" t="n">
        <v>567</v>
      </c>
      <c r="C795" s="7" t="inlineStr">
        <is>
          <t>Nº 14024</t>
        </is>
      </c>
      <c r="D795" s="8" t="inlineStr">
        <is>
          <t>ETHIPROLE</t>
        </is>
      </c>
      <c r="E795" s="7" t="inlineStr">
        <is>
          <t>Embalagem Comercial do Produto</t>
        </is>
      </c>
      <c r="F795" s="7" t="inlineStr">
        <is>
          <t>1X20L (20 L)</t>
        </is>
      </c>
      <c r="G795" s="7" t="inlineStr">
        <is>
          <t>L</t>
        </is>
      </c>
      <c r="H795" s="9" t="n">
        <v>20</v>
      </c>
      <c r="I795" s="7" t="inlineStr">
        <is>
          <t>3808.91.99</t>
        </is>
      </c>
      <c r="J795" s="7" t="inlineStr">
        <is>
          <t>NÃO</t>
        </is>
      </c>
      <c r="K795" s="7" t="inlineStr">
        <is>
          <t>Embalagem Rígida — LAVÁVEL (Obrigatória Tríplice Lavagem ou Pressão)</t>
        </is>
      </c>
      <c r="L795" s="7" t="inlineStr">
        <is>
          <t>NÃO</t>
        </is>
      </c>
      <c r="M795" s="7" t="inlineStr">
        <is>
          <t>0,00% (Lei nº 10.925/2004)</t>
        </is>
      </c>
      <c r="N795" s="7" t="inlineStr">
        <is>
          <t>0,925% (LC nº 224/2025)</t>
        </is>
      </c>
      <c r="O795" s="7" t="inlineStr">
        <is>
          <t>0,365% (LC nº 224/2025)</t>
        </is>
      </c>
      <c r="P795" s="7" t="inlineStr">
        <is>
          <t>CST 06</t>
        </is>
      </c>
      <c r="Q795" s="7" t="inlineStr">
        <is>
          <t>CST 73</t>
        </is>
      </c>
      <c r="R795" s="7" t="inlineStr">
        <is>
          <t>Redução de 60% + Diferimento (Art. 138 e Anexo IX LC 214/2025)</t>
        </is>
      </c>
    </row>
    <row r="796" ht="22" customHeight="1">
      <c r="A796" s="12" t="inlineStr">
        <is>
          <t>SKU-0792</t>
        </is>
      </c>
      <c r="B796" s="11" t="n">
        <v>568</v>
      </c>
      <c r="C796" s="13" t="inlineStr">
        <is>
          <t>Nº 14024</t>
        </is>
      </c>
      <c r="D796" s="14" t="inlineStr">
        <is>
          <t>ETHIPROLE</t>
        </is>
      </c>
      <c r="E796" s="13" t="inlineStr">
        <is>
          <t>Embalagem Comercial do Produto</t>
        </is>
      </c>
      <c r="F796" s="13" t="inlineStr">
        <is>
          <t>4X5L (5 L)</t>
        </is>
      </c>
      <c r="G796" s="13" t="inlineStr">
        <is>
          <t>L</t>
        </is>
      </c>
      <c r="H796" s="15" t="n">
        <v>5</v>
      </c>
      <c r="I796" s="13" t="inlineStr">
        <is>
          <t>3808.91.99</t>
        </is>
      </c>
      <c r="J796" s="13" t="inlineStr">
        <is>
          <t>NÃO</t>
        </is>
      </c>
      <c r="K796" s="13" t="inlineStr">
        <is>
          <t>Embalagem Rígida — LAVÁVEL (Obrigatória Tríplice Lavagem ou Pressão)</t>
        </is>
      </c>
      <c r="L796" s="13" t="inlineStr">
        <is>
          <t>NÃO</t>
        </is>
      </c>
      <c r="M796" s="13" t="inlineStr">
        <is>
          <t>0,00% (Lei nº 10.925/2004)</t>
        </is>
      </c>
      <c r="N796" s="13" t="inlineStr">
        <is>
          <t>0,925% (LC nº 224/2025)</t>
        </is>
      </c>
      <c r="O796" s="13" t="inlineStr">
        <is>
          <t>0,365% (LC nº 224/2025)</t>
        </is>
      </c>
      <c r="P796" s="13" t="inlineStr">
        <is>
          <t>CST 06</t>
        </is>
      </c>
      <c r="Q796" s="13" t="inlineStr">
        <is>
          <t>CST 73</t>
        </is>
      </c>
      <c r="R796" s="13" t="inlineStr">
        <is>
          <t>Redução de 60% + Diferimento (Art. 138 e Anexo IX LC 214/2025)</t>
        </is>
      </c>
    </row>
    <row r="797" ht="22" customHeight="1">
      <c r="A797" s="6" t="inlineStr">
        <is>
          <t>SKU-0793</t>
        </is>
      </c>
      <c r="B797" s="5" t="n">
        <v>569</v>
      </c>
      <c r="C797" s="7" t="inlineStr">
        <is>
          <t>Nº 34723</t>
        </is>
      </c>
      <c r="D797" s="8" t="inlineStr">
        <is>
          <t>CURATIS</t>
        </is>
      </c>
      <c r="E797" s="7" t="inlineStr">
        <is>
          <t>Embalagem Comercial do Produto</t>
        </is>
      </c>
      <c r="F797" s="7" t="inlineStr">
        <is>
          <t>1X10L (10 L)</t>
        </is>
      </c>
      <c r="G797" s="7" t="inlineStr">
        <is>
          <t>KG</t>
        </is>
      </c>
      <c r="H797" s="9" t="n">
        <v>10</v>
      </c>
      <c r="I797" s="7" t="inlineStr">
        <is>
          <t>3808.92.93</t>
        </is>
      </c>
      <c r="J797" s="7" t="inlineStr">
        <is>
          <t>NÃO</t>
        </is>
      </c>
      <c r="K797" s="7" t="inlineStr">
        <is>
          <t>Embalagem Flexível — NÃO LAVÁVEL (Perfurar e usar saco ABNT)</t>
        </is>
      </c>
      <c r="L797" s="7" t="inlineStr">
        <is>
          <t>SIM (Saco Transparente ABNT)</t>
        </is>
      </c>
      <c r="M797" s="7" t="inlineStr">
        <is>
          <t>0,00% (Lei nº 10.925/2004)</t>
        </is>
      </c>
      <c r="N797" s="7" t="inlineStr">
        <is>
          <t>0,925% (LC nº 224/2025)</t>
        </is>
      </c>
      <c r="O797" s="7" t="inlineStr">
        <is>
          <t>0,365% (LC nº 224/2025)</t>
        </is>
      </c>
      <c r="P797" s="7" t="inlineStr">
        <is>
          <t>CST 06</t>
        </is>
      </c>
      <c r="Q797" s="7" t="inlineStr">
        <is>
          <t>CST 73</t>
        </is>
      </c>
      <c r="R797" s="7" t="inlineStr">
        <is>
          <t>Redução de 60% + Diferimento (Art. 138 e Anexo IX LC 214/2025)</t>
        </is>
      </c>
    </row>
    <row r="798" ht="22" customHeight="1">
      <c r="A798" s="12" t="inlineStr">
        <is>
          <t>SKU-0794</t>
        </is>
      </c>
      <c r="B798" s="11" t="n">
        <v>570</v>
      </c>
      <c r="C798" s="13" t="inlineStr">
        <is>
          <t>Nº 0315</t>
        </is>
      </c>
      <c r="D798" s="14" t="inlineStr">
        <is>
          <t>2-4 D (AMOSTRA LABORATORIAL)</t>
        </is>
      </c>
      <c r="E798" s="13" t="inlineStr">
        <is>
          <t>Embalagem Comercial do Produto</t>
        </is>
      </c>
      <c r="F798" s="13" t="inlineStr">
        <is>
          <t>EMBALAGEM PADRÃO (25 KG)</t>
        </is>
      </c>
      <c r="G798" s="13" t="inlineStr">
        <is>
          <t>L</t>
        </is>
      </c>
      <c r="H798" s="18" t="n">
        <v>0.2</v>
      </c>
      <c r="I798" s="13" t="inlineStr">
        <is>
          <t>3822.19.90</t>
        </is>
      </c>
      <c r="J798" s="13" t="inlineStr">
        <is>
          <t>NÃO</t>
        </is>
      </c>
      <c r="K798" s="13" t="inlineStr">
        <is>
          <t>Embalagem Rígida — LAVÁVEL (Obrigatória Tríplice Lavagem ou Pressão)</t>
        </is>
      </c>
      <c r="L798" s="13" t="inlineStr">
        <is>
          <t>NÃO</t>
        </is>
      </c>
      <c r="M798" s="13" t="inlineStr">
        <is>
          <t>9,25% Real | 3,65% Presumido</t>
        </is>
      </c>
      <c r="N798" s="13" t="inlineStr">
        <is>
          <t>9,250% (Integral)</t>
        </is>
      </c>
      <c r="O798" s="13" t="inlineStr">
        <is>
          <t>3,650% (Integral)</t>
        </is>
      </c>
      <c r="P798" s="13" t="inlineStr">
        <is>
          <t>CST 01</t>
        </is>
      </c>
      <c r="Q798" s="13" t="inlineStr">
        <is>
          <t>CST 50</t>
        </is>
      </c>
      <c r="R798" s="13" t="inlineStr">
        <is>
          <t>Alíquota Padrão Integral (LC 214/2025)</t>
        </is>
      </c>
    </row>
    <row r="799" ht="22" customHeight="1">
      <c r="A799" s="6" t="inlineStr">
        <is>
          <t>SKU-0795</t>
        </is>
      </c>
      <c r="B799" s="5" t="n">
        <v>570</v>
      </c>
      <c r="C799" s="7" t="inlineStr">
        <is>
          <t>Nº 0315</t>
        </is>
      </c>
      <c r="D799" s="8" t="inlineStr">
        <is>
          <t>2-4 D (AMOSTRA LABORATORIAL)</t>
        </is>
      </c>
      <c r="E799" s="7" t="inlineStr">
        <is>
          <t>Faixa 1 TIPI (Apresentação &lt;= 300 g ou mL)</t>
        </is>
      </c>
      <c r="F799" s="7" t="inlineStr">
        <is>
          <t>Fracionado / Amostra &lt;= 0,3 L</t>
        </is>
      </c>
      <c r="G799" s="7" t="inlineStr">
        <is>
          <t>L</t>
        </is>
      </c>
      <c r="H799" s="17" t="n">
        <v>0.3</v>
      </c>
      <c r="I799" s="7" t="inlineStr">
        <is>
          <t>3808.93.22</t>
        </is>
      </c>
      <c r="J799" s="7" t="inlineStr">
        <is>
          <t>NÃO</t>
        </is>
      </c>
      <c r="K799" s="7" t="inlineStr">
        <is>
          <t>Embalagem Rígida — LAVÁVEL (Obrigatória Tríplice Lavagem ou Pressão)</t>
        </is>
      </c>
      <c r="L799" s="7" t="inlineStr">
        <is>
          <t>NÃO</t>
        </is>
      </c>
      <c r="M799" s="7" t="inlineStr">
        <is>
          <t>9,25% Real | 3,65% Presumido</t>
        </is>
      </c>
      <c r="N799" s="7" t="inlineStr">
        <is>
          <t>9,250% (Integral)</t>
        </is>
      </c>
      <c r="O799" s="7" t="inlineStr">
        <is>
          <t>3,650% (Integral)</t>
        </is>
      </c>
      <c r="P799" s="7" t="inlineStr">
        <is>
          <t>CST 01</t>
        </is>
      </c>
      <c r="Q799" s="7" t="inlineStr">
        <is>
          <t>CST 50</t>
        </is>
      </c>
      <c r="R799" s="7" t="inlineStr">
        <is>
          <t>Alíquota Padrão Integral (LC 214/2025)</t>
        </is>
      </c>
    </row>
    <row r="800" ht="22" customHeight="1">
      <c r="A800" s="12" t="inlineStr">
        <is>
          <t>SKU-0796</t>
        </is>
      </c>
      <c r="B800" s="11" t="n">
        <v>571</v>
      </c>
      <c r="C800" s="13" t="inlineStr">
        <is>
          <t>Nº 10018</t>
        </is>
      </c>
      <c r="D800" s="14" t="inlineStr">
        <is>
          <t>ATRAZINA</t>
        </is>
      </c>
      <c r="E800" s="13" t="inlineStr">
        <is>
          <t>Embalagem Comercial do Produto</t>
        </is>
      </c>
      <c r="F800" s="13" t="inlineStr">
        <is>
          <t>1X20L (20 L)</t>
        </is>
      </c>
      <c r="G800" s="13" t="inlineStr">
        <is>
          <t>L</t>
        </is>
      </c>
      <c r="H800" s="15" t="n">
        <v>20</v>
      </c>
      <c r="I800" s="13" t="inlineStr">
        <is>
          <t>3808.93.23</t>
        </is>
      </c>
      <c r="J800" s="13" t="inlineStr">
        <is>
          <t>NÃO</t>
        </is>
      </c>
      <c r="K800" s="13" t="inlineStr">
        <is>
          <t>Embalagem Rígida — LAVÁVEL (Obrigatória Tríplice Lavagem ou Pressão)</t>
        </is>
      </c>
      <c r="L800" s="13" t="inlineStr">
        <is>
          <t>NÃO</t>
        </is>
      </c>
      <c r="M800" s="13" t="inlineStr">
        <is>
          <t>0,00% (Lei nº 10.925/2004)</t>
        </is>
      </c>
      <c r="N800" s="13" t="inlineStr">
        <is>
          <t>0,925% (LC nº 224/2025)</t>
        </is>
      </c>
      <c r="O800" s="13" t="inlineStr">
        <is>
          <t>0,365% (LC nº 224/2025)</t>
        </is>
      </c>
      <c r="P800" s="13" t="inlineStr">
        <is>
          <t>CST 06</t>
        </is>
      </c>
      <c r="Q800" s="13" t="inlineStr">
        <is>
          <t>CST 73</t>
        </is>
      </c>
      <c r="R800" s="13" t="inlineStr">
        <is>
          <t>Redução de 60% + Diferimento (Art. 138 e Anexo IX LC 214/2025)</t>
        </is>
      </c>
    </row>
    <row r="801" ht="22" customHeight="1">
      <c r="A801" s="6" t="inlineStr">
        <is>
          <t>SKU-0797</t>
        </is>
      </c>
      <c r="B801" s="5" t="n">
        <v>572</v>
      </c>
      <c r="C801" s="7" t="inlineStr">
        <is>
          <t>Nº 34723</t>
        </is>
      </c>
      <c r="D801" s="8" t="inlineStr">
        <is>
          <t>CURATIS</t>
        </is>
      </c>
      <c r="E801" s="7" t="inlineStr">
        <is>
          <t>Embalagem Comercial do Produto</t>
        </is>
      </c>
      <c r="F801" s="7" t="inlineStr">
        <is>
          <t>1X10L (10 L)</t>
        </is>
      </c>
      <c r="G801" s="7" t="inlineStr">
        <is>
          <t>KG</t>
        </is>
      </c>
      <c r="H801" s="17" t="n">
        <v>0.2</v>
      </c>
      <c r="I801" s="7" t="inlineStr">
        <is>
          <t>3808.92.93</t>
        </is>
      </c>
      <c r="J801" s="7" t="inlineStr">
        <is>
          <t>NÃO</t>
        </is>
      </c>
      <c r="K801" s="7" t="inlineStr">
        <is>
          <t>Embalagem Flexível — NÃO LAVÁVEL (Perfurar e usar saco ABNT)</t>
        </is>
      </c>
      <c r="L801" s="7" t="inlineStr">
        <is>
          <t>SIM (Saco Transparente ABNT)</t>
        </is>
      </c>
      <c r="M801" s="7" t="inlineStr">
        <is>
          <t>0,00% (Lei nº 10.925/2004)</t>
        </is>
      </c>
      <c r="N801" s="7" t="inlineStr">
        <is>
          <t>0,925% (LC nº 224/2025)</t>
        </is>
      </c>
      <c r="O801" s="7" t="inlineStr">
        <is>
          <t>0,365% (LC nº 224/2025)</t>
        </is>
      </c>
      <c r="P801" s="7" t="inlineStr">
        <is>
          <t>CST 06</t>
        </is>
      </c>
      <c r="Q801" s="7" t="inlineStr">
        <is>
          <t>CST 73</t>
        </is>
      </c>
      <c r="R801" s="7" t="inlineStr">
        <is>
          <t>Redução de 60% + Diferimento (Art. 138 e Anexo IX LC 214/2025)</t>
        </is>
      </c>
    </row>
    <row r="802" ht="22" customHeight="1">
      <c r="A802" s="12" t="inlineStr">
        <is>
          <t>SKU-0798</t>
        </is>
      </c>
      <c r="B802" s="11" t="n">
        <v>573</v>
      </c>
      <c r="C802" s="13" t="inlineStr">
        <is>
          <t>Nº 13716</t>
        </is>
      </c>
      <c r="D802" s="14" t="inlineStr">
        <is>
          <t>EFICAX</t>
        </is>
      </c>
      <c r="E802" s="13" t="inlineStr">
        <is>
          <t>Embalagem Comercial do Produto</t>
        </is>
      </c>
      <c r="F802" s="13" t="inlineStr">
        <is>
          <t>1X20L (20 L)</t>
        </is>
      </c>
      <c r="G802" s="13" t="inlineStr">
        <is>
          <t>L</t>
        </is>
      </c>
      <c r="H802" s="15" t="n">
        <v>20</v>
      </c>
      <c r="I802" s="13" t="inlineStr">
        <is>
          <t>3808.91.99</t>
        </is>
      </c>
      <c r="J802" s="13" t="inlineStr">
        <is>
          <t>NÃO</t>
        </is>
      </c>
      <c r="K802" s="13" t="inlineStr">
        <is>
          <t>Embalagem Rígida — LAVÁVEL (Obrigatória Tríplice Lavagem ou Pressão)</t>
        </is>
      </c>
      <c r="L802" s="13" t="inlineStr">
        <is>
          <t>NÃO</t>
        </is>
      </c>
      <c r="M802" s="13" t="inlineStr">
        <is>
          <t>0,00% (Lei nº 10.925/2004)</t>
        </is>
      </c>
      <c r="N802" s="13" t="inlineStr">
        <is>
          <t>0,925% (LC nº 224/2025)</t>
        </is>
      </c>
      <c r="O802" s="13" t="inlineStr">
        <is>
          <t>0,365% (LC nº 224/2025)</t>
        </is>
      </c>
      <c r="P802" s="13" t="inlineStr">
        <is>
          <t>CST 06</t>
        </is>
      </c>
      <c r="Q802" s="13" t="inlineStr">
        <is>
          <t>CST 73</t>
        </is>
      </c>
      <c r="R802" s="13" t="inlineStr">
        <is>
          <t>Redução de 60% + Diferimento (Art. 138 e Anexo IX LC 214/2025)</t>
        </is>
      </c>
    </row>
    <row r="803" ht="22" customHeight="1">
      <c r="A803" s="6" t="inlineStr">
        <is>
          <t>SKU-0799</t>
        </is>
      </c>
      <c r="B803" s="5" t="n">
        <v>574</v>
      </c>
      <c r="C803" s="7" t="inlineStr">
        <is>
          <t>Nº 17921</t>
        </is>
      </c>
      <c r="D803" s="8" t="inlineStr">
        <is>
          <t>TIOFANATO</t>
        </is>
      </c>
      <c r="E803" s="7" t="inlineStr">
        <is>
          <t>Embalagem Comercial do Produto</t>
        </is>
      </c>
      <c r="F803" s="7" t="inlineStr">
        <is>
          <t>1X20L (20 L)</t>
        </is>
      </c>
      <c r="G803" s="7" t="inlineStr">
        <is>
          <t>L</t>
        </is>
      </c>
      <c r="H803" s="9" t="n">
        <v>20</v>
      </c>
      <c r="I803" s="7" t="inlineStr">
        <is>
          <t>3808.92.99</t>
        </is>
      </c>
      <c r="J803" s="7" t="inlineStr">
        <is>
          <t>NÃO</t>
        </is>
      </c>
      <c r="K803" s="7" t="inlineStr">
        <is>
          <t>Embalagem Rígida — LAVÁVEL (Obrigatória Tríplice Lavagem ou Pressão)</t>
        </is>
      </c>
      <c r="L803" s="7" t="inlineStr">
        <is>
          <t>NÃO</t>
        </is>
      </c>
      <c r="M803" s="7" t="inlineStr">
        <is>
          <t>0,00% (Lei nº 10.925/2004)</t>
        </is>
      </c>
      <c r="N803" s="7" t="inlineStr">
        <is>
          <t>0,925% (LC nº 224/2025)</t>
        </is>
      </c>
      <c r="O803" s="7" t="inlineStr">
        <is>
          <t>0,365% (LC nº 224/2025)</t>
        </is>
      </c>
      <c r="P803" s="7" t="inlineStr">
        <is>
          <t>CST 06</t>
        </is>
      </c>
      <c r="Q803" s="7" t="inlineStr">
        <is>
          <t>CST 73</t>
        </is>
      </c>
      <c r="R803" s="7" t="inlineStr">
        <is>
          <t>Redução de 60% + Diferimento (Art. 138 e Anexo IX LC 214/2025)</t>
        </is>
      </c>
    </row>
    <row r="804" ht="22" customHeight="1">
      <c r="A804" s="12" t="inlineStr">
        <is>
          <t>SKU-0800</t>
        </is>
      </c>
      <c r="B804" s="11" t="n">
        <v>575</v>
      </c>
      <c r="C804" s="13" t="inlineStr">
        <is>
          <t>SIPEAGRO (UF-XXXXX)</t>
        </is>
      </c>
      <c r="D804" s="14" t="inlineStr">
        <is>
          <t>NEU</t>
        </is>
      </c>
      <c r="E804" s="13" t="inlineStr">
        <is>
          <t>Embalagem Comercial do Produto</t>
        </is>
      </c>
      <c r="F804" s="13" t="inlineStr">
        <is>
          <t>1X20L (20 L)</t>
        </is>
      </c>
      <c r="G804" s="13" t="inlineStr">
        <is>
          <t>L</t>
        </is>
      </c>
      <c r="H804" s="15" t="n">
        <v>20</v>
      </c>
      <c r="I804" s="13" t="inlineStr">
        <is>
          <t>3104.20.90</t>
        </is>
      </c>
      <c r="J804" s="13" t="inlineStr">
        <is>
          <t>NÃO</t>
        </is>
      </c>
      <c r="K804" s="13" t="inlineStr">
        <is>
          <t>Embalagem de Insumo Nutricional/Biológico (Logística Reversa)</t>
        </is>
      </c>
      <c r="L804" s="13" t="inlineStr">
        <is>
          <t>NÃO</t>
        </is>
      </c>
      <c r="M804" s="13" t="inlineStr">
        <is>
          <t>0,00% (Lei nº 10.925/2004)</t>
        </is>
      </c>
      <c r="N804" s="13" t="inlineStr">
        <is>
          <t>0,925% (LC nº 224/2025)</t>
        </is>
      </c>
      <c r="O804" s="13" t="inlineStr">
        <is>
          <t>0,365% (LC nº 224/2025)</t>
        </is>
      </c>
      <c r="P804" s="13" t="inlineStr">
        <is>
          <t>CST 06</t>
        </is>
      </c>
      <c r="Q804" s="13" t="inlineStr">
        <is>
          <t>CST 73</t>
        </is>
      </c>
      <c r="R804" s="13" t="inlineStr">
        <is>
          <t>Redução de 60% + Diferimento (Art. 138 e Anexo IX LC 214/2025)</t>
        </is>
      </c>
    </row>
    <row r="805" ht="22" customHeight="1">
      <c r="A805" s="6" t="inlineStr">
        <is>
          <t>SKU-0801</t>
        </is>
      </c>
      <c r="B805" s="5" t="n">
        <v>575</v>
      </c>
      <c r="C805" s="7" t="inlineStr">
        <is>
          <t>SIPEAGRO (UF-XXXXX)</t>
        </is>
      </c>
      <c r="D805" s="8" t="inlineStr">
        <is>
          <t>NEU</t>
        </is>
      </c>
      <c r="E805" s="7" t="inlineStr">
        <is>
          <t>Faixa 1 TIPI (Apresentação &lt;= 300 g ou mL)</t>
        </is>
      </c>
      <c r="F805" s="7" t="inlineStr">
        <is>
          <t>Fracionado / Amostra &lt;= 0,3 L</t>
        </is>
      </c>
      <c r="G805" s="7" t="inlineStr">
        <is>
          <t>L</t>
        </is>
      </c>
      <c r="H805" s="17" t="n">
        <v>0.3</v>
      </c>
      <c r="I805" s="7" t="inlineStr">
        <is>
          <t>3105.90.90</t>
        </is>
      </c>
      <c r="J805" s="7" t="inlineStr">
        <is>
          <t>NÃO</t>
        </is>
      </c>
      <c r="K805" s="7" t="inlineStr">
        <is>
          <t>Embalagem de Insumo Nutricional/Biológico (Logística Reversa)</t>
        </is>
      </c>
      <c r="L805" s="7" t="inlineStr">
        <is>
          <t>NÃO</t>
        </is>
      </c>
      <c r="M805" s="7" t="inlineStr">
        <is>
          <t>0,00% (Lei nº 10.925/2004)</t>
        </is>
      </c>
      <c r="N805" s="7" t="inlineStr">
        <is>
          <t>0,925% (LC nº 224/2025)</t>
        </is>
      </c>
      <c r="O805" s="7" t="inlineStr">
        <is>
          <t>0,365% (LC nº 224/2025)</t>
        </is>
      </c>
      <c r="P805" s="7" t="inlineStr">
        <is>
          <t>CST 06</t>
        </is>
      </c>
      <c r="Q805" s="7" t="inlineStr">
        <is>
          <t>CST 73</t>
        </is>
      </c>
      <c r="R805" s="7" t="inlineStr">
        <is>
          <t>Redução de 60% + Diferimento (Art. 138 e Anexo IX LC 214/2025)</t>
        </is>
      </c>
    </row>
    <row r="806" ht="22" customHeight="1">
      <c r="A806" s="12" t="inlineStr">
        <is>
          <t>SKU-0802</t>
        </is>
      </c>
      <c r="B806" s="11" t="n">
        <v>576</v>
      </c>
      <c r="C806" s="13" t="inlineStr">
        <is>
          <t>Nº 11216</t>
        </is>
      </c>
      <c r="D806" s="14" t="inlineStr">
        <is>
          <t>ATIVUM (TM) EC</t>
        </is>
      </c>
      <c r="E806" s="13" t="inlineStr">
        <is>
          <t>Embalagem Comercial do Produto</t>
        </is>
      </c>
      <c r="F806" s="13" t="inlineStr">
        <is>
          <t>4X5L (5 L)</t>
        </is>
      </c>
      <c r="G806" s="13" t="inlineStr">
        <is>
          <t>L</t>
        </is>
      </c>
      <c r="H806" s="15" t="n">
        <v>5</v>
      </c>
      <c r="I806" s="13" t="inlineStr">
        <is>
          <t>3808.92.99</t>
        </is>
      </c>
      <c r="J806" s="13" t="inlineStr">
        <is>
          <t>NÃO</t>
        </is>
      </c>
      <c r="K806" s="13" t="inlineStr">
        <is>
          <t>Embalagem Rígida — LAVÁVEL (Obrigatória Tríplice Lavagem ou Pressão)</t>
        </is>
      </c>
      <c r="L806" s="13" t="inlineStr">
        <is>
          <t>NÃO</t>
        </is>
      </c>
      <c r="M806" s="13" t="inlineStr">
        <is>
          <t>0,00% (Lei nº 10.925/2004)</t>
        </is>
      </c>
      <c r="N806" s="13" t="inlineStr">
        <is>
          <t>0,925% (LC nº 224/2025)</t>
        </is>
      </c>
      <c r="O806" s="13" t="inlineStr">
        <is>
          <t>0,365% (LC nº 224/2025)</t>
        </is>
      </c>
      <c r="P806" s="13" t="inlineStr">
        <is>
          <t>CST 06</t>
        </is>
      </c>
      <c r="Q806" s="13" t="inlineStr">
        <is>
          <t>CST 73</t>
        </is>
      </c>
      <c r="R806" s="13" t="inlineStr">
        <is>
          <t>Redução de 60% + Diferimento (Art. 138 e Anexo IX LC 214/2025)</t>
        </is>
      </c>
    </row>
    <row r="807" ht="22" customHeight="1">
      <c r="A807" s="6" t="inlineStr">
        <is>
          <t>SKU-0803</t>
        </is>
      </c>
      <c r="B807" s="5" t="n">
        <v>577</v>
      </c>
      <c r="C807" s="7" t="inlineStr">
        <is>
          <t>Nº 8319</t>
        </is>
      </c>
      <c r="D807" s="8" t="inlineStr">
        <is>
          <t>DIURON</t>
        </is>
      </c>
      <c r="E807" s="7" t="inlineStr">
        <is>
          <t>Embalagem Comercial do Produto</t>
        </is>
      </c>
      <c r="F807" s="7" t="inlineStr">
        <is>
          <t>1X20L (20 L)</t>
        </is>
      </c>
      <c r="G807" s="7" t="inlineStr">
        <is>
          <t>L</t>
        </is>
      </c>
      <c r="H807" s="9" t="n">
        <v>20</v>
      </c>
      <c r="I807" s="7" t="inlineStr">
        <is>
          <t>3808.93.23</t>
        </is>
      </c>
      <c r="J807" s="7" t="inlineStr">
        <is>
          <t>NÃO</t>
        </is>
      </c>
      <c r="K807" s="7" t="inlineStr">
        <is>
          <t>Embalagem Rígida — LAVÁVEL (Obrigatória Tríplice Lavagem ou Pressão)</t>
        </is>
      </c>
      <c r="L807" s="7" t="inlineStr">
        <is>
          <t>NÃO</t>
        </is>
      </c>
      <c r="M807" s="7" t="inlineStr">
        <is>
          <t>0,00% (Lei nº 10.925/2004)</t>
        </is>
      </c>
      <c r="N807" s="7" t="inlineStr">
        <is>
          <t>0,925% (LC nº 224/2025)</t>
        </is>
      </c>
      <c r="O807" s="7" t="inlineStr">
        <is>
          <t>0,365% (LC nº 224/2025)</t>
        </is>
      </c>
      <c r="P807" s="7" t="inlineStr">
        <is>
          <t>CST 06</t>
        </is>
      </c>
      <c r="Q807" s="7" t="inlineStr">
        <is>
          <t>CST 73</t>
        </is>
      </c>
      <c r="R807" s="7" t="inlineStr">
        <is>
          <t>Redução de 60% + Diferimento (Art. 138 e Anexo IX LC 214/2025)</t>
        </is>
      </c>
    </row>
    <row r="808" ht="22" customHeight="1">
      <c r="A808" s="12" t="inlineStr">
        <is>
          <t>SKU-0804</t>
        </is>
      </c>
      <c r="B808" s="11" t="n">
        <v>578</v>
      </c>
      <c r="C808" s="13" t="inlineStr">
        <is>
          <t>SIPEAGRO (UF-XXXXX)</t>
        </is>
      </c>
      <c r="D808" s="14" t="inlineStr">
        <is>
          <t>SALT BASE MILHO PLUS</t>
        </is>
      </c>
      <c r="E808" s="13" t="inlineStr">
        <is>
          <t>Embalagem Comercial do Produto</t>
        </is>
      </c>
      <c r="F808" s="13" t="inlineStr">
        <is>
          <t>1X20KG (20 KG)</t>
        </is>
      </c>
      <c r="G808" s="13" t="inlineStr">
        <is>
          <t>KG</t>
        </is>
      </c>
      <c r="H808" s="15" t="n">
        <v>20</v>
      </c>
      <c r="I808" s="13" t="inlineStr">
        <is>
          <t>3104.20.90</t>
        </is>
      </c>
      <c r="J808" s="13" t="inlineStr">
        <is>
          <t>NÃO</t>
        </is>
      </c>
      <c r="K808" s="13" t="inlineStr">
        <is>
          <t>Embalagem de Insumo Nutricional/Biológico (Logística Reversa)</t>
        </is>
      </c>
      <c r="L808" s="13" t="inlineStr">
        <is>
          <t>NÃO</t>
        </is>
      </c>
      <c r="M808" s="13" t="inlineStr">
        <is>
          <t>0,00% (Lei nº 10.925/2004)</t>
        </is>
      </c>
      <c r="N808" s="13" t="inlineStr">
        <is>
          <t>0,925% (LC nº 224/2025)</t>
        </is>
      </c>
      <c r="O808" s="13" t="inlineStr">
        <is>
          <t>0,365% (LC nº 224/2025)</t>
        </is>
      </c>
      <c r="P808" s="13" t="inlineStr">
        <is>
          <t>CST 06</t>
        </is>
      </c>
      <c r="Q808" s="13" t="inlineStr">
        <is>
          <t>CST 73</t>
        </is>
      </c>
      <c r="R808" s="13" t="inlineStr">
        <is>
          <t>Redução de 60% + Diferimento (Art. 138 e Anexo IX LC 214/2025)</t>
        </is>
      </c>
    </row>
    <row r="809" ht="22" customHeight="1">
      <c r="A809" s="6" t="inlineStr">
        <is>
          <t>SKU-0805</t>
        </is>
      </c>
      <c r="B809" s="5" t="n">
        <v>578</v>
      </c>
      <c r="C809" s="7" t="inlineStr">
        <is>
          <t>SIPEAGRO (UF-XXXXX)</t>
        </is>
      </c>
      <c r="D809" s="8" t="inlineStr">
        <is>
          <t>SALT BASE MILHO PLUS</t>
        </is>
      </c>
      <c r="E809" s="7" t="inlineStr">
        <is>
          <t>Faixa 1 TIPI (Apresentação &lt;= 300 g ou mL)</t>
        </is>
      </c>
      <c r="F809" s="7" t="inlineStr">
        <is>
          <t>Fracionado / Amostra &lt;= 0,3 KG</t>
        </is>
      </c>
      <c r="G809" s="7" t="inlineStr">
        <is>
          <t>KG</t>
        </is>
      </c>
      <c r="H809" s="17" t="n">
        <v>0.3</v>
      </c>
      <c r="I809" s="7" t="inlineStr">
        <is>
          <t>3105.90.90</t>
        </is>
      </c>
      <c r="J809" s="7" t="inlineStr">
        <is>
          <t>NÃO</t>
        </is>
      </c>
      <c r="K809" s="7" t="inlineStr">
        <is>
          <t>Embalagem de Insumo Nutricional/Biológico (Logística Reversa)</t>
        </is>
      </c>
      <c r="L809" s="7" t="inlineStr">
        <is>
          <t>NÃO</t>
        </is>
      </c>
      <c r="M809" s="7" t="inlineStr">
        <is>
          <t>0,00% (Lei nº 10.925/2004)</t>
        </is>
      </c>
      <c r="N809" s="7" t="inlineStr">
        <is>
          <t>0,925% (LC nº 224/2025)</t>
        </is>
      </c>
      <c r="O809" s="7" t="inlineStr">
        <is>
          <t>0,365% (LC nº 224/2025)</t>
        </is>
      </c>
      <c r="P809" s="7" t="inlineStr">
        <is>
          <t>CST 06</t>
        </is>
      </c>
      <c r="Q809" s="7" t="inlineStr">
        <is>
          <t>CST 73</t>
        </is>
      </c>
      <c r="R809" s="7" t="inlineStr">
        <is>
          <t>Redução de 60% + Diferimento (Art. 138 e Anexo IX LC 214/2025)</t>
        </is>
      </c>
    </row>
    <row r="810" ht="22" customHeight="1">
      <c r="A810" s="12" t="inlineStr">
        <is>
          <t>SKU-0806</t>
        </is>
      </c>
      <c r="B810" s="11" t="n">
        <v>579</v>
      </c>
      <c r="C810" s="13" t="inlineStr">
        <is>
          <t>SIPEAGRO (UF-XXXXX)</t>
        </is>
      </c>
      <c r="D810" s="14" t="inlineStr">
        <is>
          <t>ESTIMULUS EVO</t>
        </is>
      </c>
      <c r="E810" s="13" t="inlineStr">
        <is>
          <t>Embalagem Comercial do Produto</t>
        </is>
      </c>
      <c r="F810" s="13" t="inlineStr">
        <is>
          <t>4X5L (5 L)</t>
        </is>
      </c>
      <c r="G810" s="13" t="inlineStr">
        <is>
          <t>L</t>
        </is>
      </c>
      <c r="H810" s="15" t="n">
        <v>5</v>
      </c>
      <c r="I810" s="13" t="inlineStr">
        <is>
          <t>3105.90.90</t>
        </is>
      </c>
      <c r="J810" s="13" t="inlineStr">
        <is>
          <t>NÃO</t>
        </is>
      </c>
      <c r="K810" s="13" t="inlineStr">
        <is>
          <t>Embalagem de Insumo Nutricional/Biológico (Logística Reversa)</t>
        </is>
      </c>
      <c r="L810" s="13" t="inlineStr">
        <is>
          <t>NÃO</t>
        </is>
      </c>
      <c r="M810" s="13" t="inlineStr">
        <is>
          <t>0,00% (Lei nº 10.925/2004)</t>
        </is>
      </c>
      <c r="N810" s="13" t="inlineStr">
        <is>
          <t>0,925% (LC nº 224/2025)</t>
        </is>
      </c>
      <c r="O810" s="13" t="inlineStr">
        <is>
          <t>0,365% (LC nº 224/2025)</t>
        </is>
      </c>
      <c r="P810" s="13" t="inlineStr">
        <is>
          <t>CST 06</t>
        </is>
      </c>
      <c r="Q810" s="13" t="inlineStr">
        <is>
          <t>CST 73</t>
        </is>
      </c>
      <c r="R810" s="13" t="inlineStr">
        <is>
          <t>Redução de 60% + Diferimento (Art. 138 e Anexo IX LC 214/2025)</t>
        </is>
      </c>
    </row>
    <row r="811" ht="22" customHeight="1">
      <c r="A811" s="6" t="inlineStr">
        <is>
          <t>SKU-0807</t>
        </is>
      </c>
      <c r="B811" s="5" t="n">
        <v>579</v>
      </c>
      <c r="C811" s="7" t="inlineStr">
        <is>
          <t>SIPEAGRO (UF-XXXXX)</t>
        </is>
      </c>
      <c r="D811" s="8" t="inlineStr">
        <is>
          <t>ESTIMULUS EVO</t>
        </is>
      </c>
      <c r="E811" s="7" t="inlineStr">
        <is>
          <t>Faixa 1 TIPI (Apresentação &lt;= 300 g ou mL)</t>
        </is>
      </c>
      <c r="F811" s="7" t="inlineStr">
        <is>
          <t>Fracionado / Amostra &lt;= 0,3 L</t>
        </is>
      </c>
      <c r="G811" s="7" t="inlineStr">
        <is>
          <t>L</t>
        </is>
      </c>
      <c r="H811" s="17" t="n">
        <v>0.3</v>
      </c>
      <c r="I811" s="7" t="inlineStr">
        <is>
          <t>3105.90.90</t>
        </is>
      </c>
      <c r="J811" s="7" t="inlineStr">
        <is>
          <t>NÃO</t>
        </is>
      </c>
      <c r="K811" s="7" t="inlineStr">
        <is>
          <t>Embalagem de Insumo Nutricional/Biológico (Logística Reversa)</t>
        </is>
      </c>
      <c r="L811" s="7" t="inlineStr">
        <is>
          <t>NÃO</t>
        </is>
      </c>
      <c r="M811" s="7" t="inlineStr">
        <is>
          <t>0,00% (Lei nº 10.925/2004)</t>
        </is>
      </c>
      <c r="N811" s="7" t="inlineStr">
        <is>
          <t>0,925% (LC nº 224/2025)</t>
        </is>
      </c>
      <c r="O811" s="7" t="inlineStr">
        <is>
          <t>0,365% (LC nº 224/2025)</t>
        </is>
      </c>
      <c r="P811" s="7" t="inlineStr">
        <is>
          <t>CST 06</t>
        </is>
      </c>
      <c r="Q811" s="7" t="inlineStr">
        <is>
          <t>CST 73</t>
        </is>
      </c>
      <c r="R811" s="7" t="inlineStr">
        <is>
          <t>Redução de 60% + Diferimento (Art. 138 e Anexo IX LC 214/2025)</t>
        </is>
      </c>
    </row>
    <row r="812" ht="22" customHeight="1">
      <c r="A812" s="12" t="inlineStr">
        <is>
          <t>SKU-0808</t>
        </is>
      </c>
      <c r="B812" s="11" t="n">
        <v>580</v>
      </c>
      <c r="C812" s="13" t="inlineStr">
        <is>
          <t>Nº 1209</t>
        </is>
      </c>
      <c r="D812" s="14" t="inlineStr">
        <is>
          <t>STANDAK TOP</t>
        </is>
      </c>
      <c r="E812" s="13" t="inlineStr">
        <is>
          <t>Embalagem Comercial do Produto</t>
        </is>
      </c>
      <c r="F812" s="13" t="inlineStr">
        <is>
          <t>4X5L (5 L)</t>
        </is>
      </c>
      <c r="G812" s="13" t="inlineStr">
        <is>
          <t>L</t>
        </is>
      </c>
      <c r="H812" s="15" t="n">
        <v>5</v>
      </c>
      <c r="I812" s="13" t="inlineStr">
        <is>
          <t>3808.91.99</t>
        </is>
      </c>
      <c r="J812" s="13" t="inlineStr">
        <is>
          <t>NÃO</t>
        </is>
      </c>
      <c r="K812" s="13" t="inlineStr">
        <is>
          <t>Embalagem Rígida — LAVÁVEL (Obrigatória Tríplice Lavagem ou Pressão)</t>
        </is>
      </c>
      <c r="L812" s="13" t="inlineStr">
        <is>
          <t>NÃO</t>
        </is>
      </c>
      <c r="M812" s="13" t="inlineStr">
        <is>
          <t>0,00% (Lei nº 10.925/2004)</t>
        </is>
      </c>
      <c r="N812" s="13" t="inlineStr">
        <is>
          <t>0,925% (LC nº 224/2025)</t>
        </is>
      </c>
      <c r="O812" s="13" t="inlineStr">
        <is>
          <t>0,365% (LC nº 224/2025)</t>
        </is>
      </c>
      <c r="P812" s="13" t="inlineStr">
        <is>
          <t>CST 06</t>
        </is>
      </c>
      <c r="Q812" s="13" t="inlineStr">
        <is>
          <t>CST 73</t>
        </is>
      </c>
      <c r="R812" s="13" t="inlineStr">
        <is>
          <t>Redução de 60% + Diferimento (Art. 138 e Anexo IX LC 214/2025)</t>
        </is>
      </c>
    </row>
    <row r="813" ht="22" customHeight="1">
      <c r="A813" s="6" t="inlineStr">
        <is>
          <t>SKU-0809</t>
        </is>
      </c>
      <c r="B813" s="5" t="n">
        <v>581</v>
      </c>
      <c r="C813" s="7" t="inlineStr">
        <is>
          <t>SIPEAGRO (UF-XXXXX)</t>
        </is>
      </c>
      <c r="D813" s="8" t="inlineStr">
        <is>
          <t>ESTIMULUS GRASS</t>
        </is>
      </c>
      <c r="E813" s="7" t="inlineStr">
        <is>
          <t>Embalagem Comercial do Produto</t>
        </is>
      </c>
      <c r="F813" s="7" t="inlineStr">
        <is>
          <t>1X1L (1 L)</t>
        </is>
      </c>
      <c r="G813" s="7" t="inlineStr">
        <is>
          <t>L</t>
        </is>
      </c>
      <c r="H813" s="9" t="n">
        <v>1</v>
      </c>
      <c r="I813" s="7" t="inlineStr">
        <is>
          <t>3105.90.90</t>
        </is>
      </c>
      <c r="J813" s="7" t="inlineStr">
        <is>
          <t>NÃO</t>
        </is>
      </c>
      <c r="K813" s="7" t="inlineStr">
        <is>
          <t>Embalagem de Insumo Nutricional/Biológico (Logística Reversa)</t>
        </is>
      </c>
      <c r="L813" s="7" t="inlineStr">
        <is>
          <t>NÃO</t>
        </is>
      </c>
      <c r="M813" s="7" t="inlineStr">
        <is>
          <t>0,00% (Lei nº 10.925/2004)</t>
        </is>
      </c>
      <c r="N813" s="7" t="inlineStr">
        <is>
          <t>0,925% (LC nº 224/2025)</t>
        </is>
      </c>
      <c r="O813" s="7" t="inlineStr">
        <is>
          <t>0,365% (LC nº 224/2025)</t>
        </is>
      </c>
      <c r="P813" s="7" t="inlineStr">
        <is>
          <t>CST 06</t>
        </is>
      </c>
      <c r="Q813" s="7" t="inlineStr">
        <is>
          <t>CST 73</t>
        </is>
      </c>
      <c r="R813" s="7" t="inlineStr">
        <is>
          <t>Redução de 60% + Diferimento (Art. 138 e Anexo IX LC 214/2025)</t>
        </is>
      </c>
    </row>
    <row r="814" ht="22" customHeight="1">
      <c r="A814" s="12" t="inlineStr">
        <is>
          <t>SKU-0810</t>
        </is>
      </c>
      <c r="B814" s="11" t="n">
        <v>581</v>
      </c>
      <c r="C814" s="13" t="inlineStr">
        <is>
          <t>SIPEAGRO (UF-XXXXX)</t>
        </is>
      </c>
      <c r="D814" s="14" t="inlineStr">
        <is>
          <t>ESTIMULUS GRASS</t>
        </is>
      </c>
      <c r="E814" s="13" t="inlineStr">
        <is>
          <t>Faixa 1 TIPI (Apresentação &lt;= 300 g ou mL)</t>
        </is>
      </c>
      <c r="F814" s="13" t="inlineStr">
        <is>
          <t>Fracionado / Amostra &lt;= 0,3 L</t>
        </is>
      </c>
      <c r="G814" s="13" t="inlineStr">
        <is>
          <t>L</t>
        </is>
      </c>
      <c r="H814" s="18" t="n">
        <v>0.3</v>
      </c>
      <c r="I814" s="13" t="inlineStr">
        <is>
          <t>3105.90.90</t>
        </is>
      </c>
      <c r="J814" s="13" t="inlineStr">
        <is>
          <t>NÃO</t>
        </is>
      </c>
      <c r="K814" s="13" t="inlineStr">
        <is>
          <t>Embalagem de Insumo Nutricional/Biológico (Logística Reversa)</t>
        </is>
      </c>
      <c r="L814" s="13" t="inlineStr">
        <is>
          <t>NÃO</t>
        </is>
      </c>
      <c r="M814" s="13" t="inlineStr">
        <is>
          <t>0,00% (Lei nº 10.925/2004)</t>
        </is>
      </c>
      <c r="N814" s="13" t="inlineStr">
        <is>
          <t>0,925% (LC nº 224/2025)</t>
        </is>
      </c>
      <c r="O814" s="13" t="inlineStr">
        <is>
          <t>0,365% (LC nº 224/2025)</t>
        </is>
      </c>
      <c r="P814" s="13" t="inlineStr">
        <is>
          <t>CST 06</t>
        </is>
      </c>
      <c r="Q814" s="13" t="inlineStr">
        <is>
          <t>CST 73</t>
        </is>
      </c>
      <c r="R814" s="13" t="inlineStr">
        <is>
          <t>Redução de 60% + Diferimento (Art. 138 e Anexo IX LC 214/2025)</t>
        </is>
      </c>
    </row>
    <row r="815" ht="22" customHeight="1">
      <c r="A815" s="6" t="inlineStr">
        <is>
          <t>SKU-0811</t>
        </is>
      </c>
      <c r="B815" s="5" t="n">
        <v>582</v>
      </c>
      <c r="C815" s="7" t="inlineStr">
        <is>
          <t>Nº 24518</t>
        </is>
      </c>
      <c r="D815" s="8" t="inlineStr">
        <is>
          <t>KENNOX</t>
        </is>
      </c>
      <c r="E815" s="7" t="inlineStr">
        <is>
          <t>Embalagem Comercial do Produto</t>
        </is>
      </c>
      <c r="F815" s="7" t="inlineStr">
        <is>
          <t>4X5L (5 L)</t>
        </is>
      </c>
      <c r="G815" s="7" t="inlineStr">
        <is>
          <t>L</t>
        </is>
      </c>
      <c r="H815" s="9" t="n">
        <v>5</v>
      </c>
      <c r="I815" s="7" t="inlineStr">
        <is>
          <t>3808.93.29</t>
        </is>
      </c>
      <c r="J815" s="7" t="inlineStr">
        <is>
          <t>NÃO</t>
        </is>
      </c>
      <c r="K815" s="7" t="inlineStr">
        <is>
          <t>Embalagem Rígida — LAVÁVEL (Obrigatória Tríplice Lavagem ou Pressão)</t>
        </is>
      </c>
      <c r="L815" s="7" t="inlineStr">
        <is>
          <t>NÃO</t>
        </is>
      </c>
      <c r="M815" s="7" t="inlineStr">
        <is>
          <t>0,00% (Lei nº 10.925/2004)</t>
        </is>
      </c>
      <c r="N815" s="7" t="inlineStr">
        <is>
          <t>0,925% (LC nº 224/2025)</t>
        </is>
      </c>
      <c r="O815" s="7" t="inlineStr">
        <is>
          <t>0,365% (LC nº 224/2025)</t>
        </is>
      </c>
      <c r="P815" s="7" t="inlineStr">
        <is>
          <t>CST 06</t>
        </is>
      </c>
      <c r="Q815" s="7" t="inlineStr">
        <is>
          <t>CST 73</t>
        </is>
      </c>
      <c r="R815" s="7" t="inlineStr">
        <is>
          <t>Redução de 60% + Diferimento (Art. 138 e Anexo IX LC 214/2025)</t>
        </is>
      </c>
    </row>
    <row r="816" ht="22" customHeight="1">
      <c r="A816" s="12" t="inlineStr">
        <is>
          <t>SKU-0812</t>
        </is>
      </c>
      <c r="B816" s="11" t="n">
        <v>583</v>
      </c>
      <c r="C816" s="13" t="inlineStr">
        <is>
          <t>Nº 12320</t>
        </is>
      </c>
      <c r="D816" s="14" t="inlineStr">
        <is>
          <t>AVEO EZ 0,500L</t>
        </is>
      </c>
      <c r="E816" s="13" t="inlineStr">
        <is>
          <t>Embalagem Comercial do Produto</t>
        </is>
      </c>
      <c r="F816" s="13" t="inlineStr">
        <is>
          <t>0,500L (0.5 L)</t>
        </is>
      </c>
      <c r="G816" s="13" t="inlineStr">
        <is>
          <t>L</t>
        </is>
      </c>
      <c r="H816" s="18" t="n">
        <v>0.5</v>
      </c>
      <c r="I816" s="13" t="inlineStr">
        <is>
          <t>3808.99.95</t>
        </is>
      </c>
      <c r="J816" s="13" t="inlineStr">
        <is>
          <t>NÃO</t>
        </is>
      </c>
      <c r="K816" s="13" t="inlineStr">
        <is>
          <t>Embalagem Rígida — LAVÁVEL (Obrigatória Tríplice Lavagem ou Pressão)</t>
        </is>
      </c>
      <c r="L816" s="13" t="inlineStr">
        <is>
          <t>NÃO</t>
        </is>
      </c>
      <c r="M816" s="13" t="inlineStr">
        <is>
          <t>0,00% (Lei nº 10.925/2004)</t>
        </is>
      </c>
      <c r="N816" s="13" t="inlineStr">
        <is>
          <t>0,925% (LC nº 224/2025)</t>
        </is>
      </c>
      <c r="O816" s="13" t="inlineStr">
        <is>
          <t>0,365% (LC nº 224/2025)</t>
        </is>
      </c>
      <c r="P816" s="13" t="inlineStr">
        <is>
          <t>CST 06</t>
        </is>
      </c>
      <c r="Q816" s="13" t="inlineStr">
        <is>
          <t>CST 73</t>
        </is>
      </c>
      <c r="R816" s="13" t="inlineStr">
        <is>
          <t>Redução de 60% + Diferimento (Art. 138 e Anexo IX LC 214/2025)</t>
        </is>
      </c>
    </row>
    <row r="817" ht="22" customHeight="1">
      <c r="A817" s="6" t="inlineStr">
        <is>
          <t>SKU-0813</t>
        </is>
      </c>
      <c r="B817" s="5" t="n">
        <v>584</v>
      </c>
      <c r="C817" s="7" t="inlineStr">
        <is>
          <t>Nº 10598</t>
        </is>
      </c>
      <c r="D817" s="8" t="inlineStr">
        <is>
          <t>PIREPHOS EC</t>
        </is>
      </c>
      <c r="E817" s="7" t="inlineStr">
        <is>
          <t>Embalagem Comercial do Produto</t>
        </is>
      </c>
      <c r="F817" s="7" t="inlineStr">
        <is>
          <t>4X5L (5 L)</t>
        </is>
      </c>
      <c r="G817" s="7" t="inlineStr">
        <is>
          <t>L</t>
        </is>
      </c>
      <c r="H817" s="9" t="n">
        <v>5</v>
      </c>
      <c r="I817" s="7" t="inlineStr">
        <is>
          <t>3808.62.90</t>
        </is>
      </c>
      <c r="J817" s="7" t="inlineStr">
        <is>
          <t>SIM</t>
        </is>
      </c>
      <c r="K817" s="7" t="inlineStr">
        <is>
          <t>Embalagem Rígida — LAVÁVEL (Obrigatória Tríplice Lavagem ou Pressão)</t>
        </is>
      </c>
      <c r="L817" s="7" t="inlineStr">
        <is>
          <t>NÃO</t>
        </is>
      </c>
      <c r="M817" s="7" t="inlineStr">
        <is>
          <t>0,00% (Lei nº 10.925/2004)</t>
        </is>
      </c>
      <c r="N817" s="7" t="inlineStr">
        <is>
          <t>0,925% (LC nº 224/2025)</t>
        </is>
      </c>
      <c r="O817" s="7" t="inlineStr">
        <is>
          <t>0,365% (LC nº 224/2025)</t>
        </is>
      </c>
      <c r="P817" s="7" t="inlineStr">
        <is>
          <t>CST 06</t>
        </is>
      </c>
      <c r="Q817" s="7" t="inlineStr">
        <is>
          <t>CST 73</t>
        </is>
      </c>
      <c r="R817" s="7" t="inlineStr">
        <is>
          <t>Redução de 60% + Diferimento (Art. 138 e Anexo IX LC 214/2025)</t>
        </is>
      </c>
    </row>
    <row r="818" ht="22" customHeight="1">
      <c r="A818" s="12" t="inlineStr">
        <is>
          <t>SKU-0814</t>
        </is>
      </c>
      <c r="B818" s="11" t="n">
        <v>584</v>
      </c>
      <c r="C818" s="13" t="inlineStr">
        <is>
          <t>Nº 10598</t>
        </is>
      </c>
      <c r="D818" s="14" t="inlineStr">
        <is>
          <t>PIREPHOS EC</t>
        </is>
      </c>
      <c r="E818" s="13" t="inlineStr">
        <is>
          <t>Faixa 1 TIPI (Apresentação &lt;= 300 g ou mL)</t>
        </is>
      </c>
      <c r="F818" s="13" t="inlineStr">
        <is>
          <t>Fracionado / Amostra &lt;= 0,3 L</t>
        </is>
      </c>
      <c r="G818" s="13" t="inlineStr">
        <is>
          <t>L</t>
        </is>
      </c>
      <c r="H818" s="18" t="n">
        <v>0.3</v>
      </c>
      <c r="I818" s="13" t="inlineStr">
        <is>
          <t>3808.61.00</t>
        </is>
      </c>
      <c r="J818" s="13" t="inlineStr">
        <is>
          <t>SIM</t>
        </is>
      </c>
      <c r="K818" s="13" t="inlineStr">
        <is>
          <t>Embalagem Rígida — LAVÁVEL (Obrigatória Tríplice Lavagem ou Pressão)</t>
        </is>
      </c>
      <c r="L818" s="13" t="inlineStr">
        <is>
          <t>NÃO</t>
        </is>
      </c>
      <c r="M818" s="13" t="inlineStr">
        <is>
          <t>0,00% (Lei nº 10.925/2004)</t>
        </is>
      </c>
      <c r="N818" s="13" t="inlineStr">
        <is>
          <t>0,925% (LC nº 224/2025)</t>
        </is>
      </c>
      <c r="O818" s="13" t="inlineStr">
        <is>
          <t>0,365% (LC nº 224/2025)</t>
        </is>
      </c>
      <c r="P818" s="13" t="inlineStr">
        <is>
          <t>CST 06</t>
        </is>
      </c>
      <c r="Q818" s="13" t="inlineStr">
        <is>
          <t>CST 73</t>
        </is>
      </c>
      <c r="R818" s="13" t="inlineStr">
        <is>
          <t>Redução de 60% + Diferimento (Art. 138 e Anexo IX LC 214/2025)</t>
        </is>
      </c>
    </row>
    <row r="819" ht="22" customHeight="1">
      <c r="A819" s="6" t="inlineStr">
        <is>
          <t>SKU-0815</t>
        </is>
      </c>
      <c r="B819" s="5" t="n">
        <v>585</v>
      </c>
      <c r="C819" s="7" t="inlineStr">
        <is>
          <t>Nº 11216</t>
        </is>
      </c>
      <c r="D819" s="8" t="inlineStr">
        <is>
          <t>ATIVUM (TM) EC</t>
        </is>
      </c>
      <c r="E819" s="7" t="inlineStr">
        <is>
          <t>Embalagem Comercial do Produto</t>
        </is>
      </c>
      <c r="F819" s="7" t="inlineStr">
        <is>
          <t>1X10L (10 L)</t>
        </is>
      </c>
      <c r="G819" s="7" t="inlineStr">
        <is>
          <t>L</t>
        </is>
      </c>
      <c r="H819" s="9" t="n">
        <v>10</v>
      </c>
      <c r="I819" s="7" t="inlineStr">
        <is>
          <t>3808.92.99</t>
        </is>
      </c>
      <c r="J819" s="7" t="inlineStr">
        <is>
          <t>NÃO</t>
        </is>
      </c>
      <c r="K819" s="7" t="inlineStr">
        <is>
          <t>Embalagem Rígida — LAVÁVEL (Obrigatória Tríplice Lavagem ou Pressão)</t>
        </is>
      </c>
      <c r="L819" s="7" t="inlineStr">
        <is>
          <t>NÃO</t>
        </is>
      </c>
      <c r="M819" s="7" t="inlineStr">
        <is>
          <t>0,00% (Lei nº 10.925/2004)</t>
        </is>
      </c>
      <c r="N819" s="7" t="inlineStr">
        <is>
          <t>0,925% (LC nº 224/2025)</t>
        </is>
      </c>
      <c r="O819" s="7" t="inlineStr">
        <is>
          <t>0,365% (LC nº 224/2025)</t>
        </is>
      </c>
      <c r="P819" s="7" t="inlineStr">
        <is>
          <t>CST 06</t>
        </is>
      </c>
      <c r="Q819" s="7" t="inlineStr">
        <is>
          <t>CST 73</t>
        </is>
      </c>
      <c r="R819" s="7" t="inlineStr">
        <is>
          <t>Redução de 60% + Diferimento (Art. 138 e Anexo IX LC 214/2025)</t>
        </is>
      </c>
    </row>
    <row r="820" ht="22" customHeight="1">
      <c r="A820" s="12" t="inlineStr">
        <is>
          <t>SKU-0816</t>
        </is>
      </c>
      <c r="B820" s="11" t="n">
        <v>586</v>
      </c>
      <c r="C820" s="13" t="inlineStr">
        <is>
          <t>Nº 9519</t>
        </is>
      </c>
      <c r="D820" s="14" t="inlineStr">
        <is>
          <t>ATRAZINA CCAB</t>
        </is>
      </c>
      <c r="E820" s="13" t="inlineStr">
        <is>
          <t>Embalagem Comercial do Produto</t>
        </is>
      </c>
      <c r="F820" s="13" t="inlineStr">
        <is>
          <t>1X20L (20 L)</t>
        </is>
      </c>
      <c r="G820" s="13" t="inlineStr">
        <is>
          <t>L</t>
        </is>
      </c>
      <c r="H820" s="15" t="n">
        <v>20</v>
      </c>
      <c r="I820" s="13" t="inlineStr">
        <is>
          <t>3808.93.23</t>
        </is>
      </c>
      <c r="J820" s="13" t="inlineStr">
        <is>
          <t>NÃO</t>
        </is>
      </c>
      <c r="K820" s="13" t="inlineStr">
        <is>
          <t>Embalagem Rígida — LAVÁVEL (Obrigatória Tríplice Lavagem ou Pressão)</t>
        </is>
      </c>
      <c r="L820" s="13" t="inlineStr">
        <is>
          <t>NÃO</t>
        </is>
      </c>
      <c r="M820" s="13" t="inlineStr">
        <is>
          <t>0,00% (Lei nº 10.925/2004)</t>
        </is>
      </c>
      <c r="N820" s="13" t="inlineStr">
        <is>
          <t>0,925% (LC nº 224/2025)</t>
        </is>
      </c>
      <c r="O820" s="13" t="inlineStr">
        <is>
          <t>0,365% (LC nº 224/2025)</t>
        </is>
      </c>
      <c r="P820" s="13" t="inlineStr">
        <is>
          <t>CST 06</t>
        </is>
      </c>
      <c r="Q820" s="13" t="inlineStr">
        <is>
          <t>CST 73</t>
        </is>
      </c>
      <c r="R820" s="13" t="inlineStr">
        <is>
          <t>Redução de 60% + Diferimento (Art. 138 e Anexo IX LC 214/2025)</t>
        </is>
      </c>
    </row>
    <row r="821" ht="22" customHeight="1">
      <c r="A821" s="6" t="inlineStr">
        <is>
          <t>SKU-0817</t>
        </is>
      </c>
      <c r="B821" s="5" t="n">
        <v>587</v>
      </c>
      <c r="C821" s="7" t="inlineStr">
        <is>
          <t>Nº 0816</t>
        </is>
      </c>
      <c r="D821" s="8" t="inlineStr">
        <is>
          <t>RACIO</t>
        </is>
      </c>
      <c r="E821" s="7" t="inlineStr">
        <is>
          <t>Embalagem Comercial do Produto</t>
        </is>
      </c>
      <c r="F821" s="7" t="inlineStr">
        <is>
          <t>1X3KG (3 KG)</t>
        </is>
      </c>
      <c r="G821" s="7" t="inlineStr">
        <is>
          <t>KG</t>
        </is>
      </c>
      <c r="H821" s="9" t="n">
        <v>3</v>
      </c>
      <c r="I821" s="7" t="inlineStr">
        <is>
          <t>3808.91.91</t>
        </is>
      </c>
      <c r="J821" s="7" t="inlineStr">
        <is>
          <t>NÃO</t>
        </is>
      </c>
      <c r="K821" s="7" t="inlineStr">
        <is>
          <t>Embalagem Flexível — NÃO LAVÁVEL (Perfurar e usar saco ABNT)</t>
        </is>
      </c>
      <c r="L821" s="7" t="inlineStr">
        <is>
          <t>SIM (Saco Transparente ABNT)</t>
        </is>
      </c>
      <c r="M821" s="7" t="inlineStr">
        <is>
          <t>0,00% (Lei nº 10.925/2004)</t>
        </is>
      </c>
      <c r="N821" s="7" t="inlineStr">
        <is>
          <t>0,925% (LC nº 224/2025)</t>
        </is>
      </c>
      <c r="O821" s="7" t="inlineStr">
        <is>
          <t>0,365% (LC nº 224/2025)</t>
        </is>
      </c>
      <c r="P821" s="7" t="inlineStr">
        <is>
          <t>CST 06</t>
        </is>
      </c>
      <c r="Q821" s="7" t="inlineStr">
        <is>
          <t>CST 73</t>
        </is>
      </c>
      <c r="R821" s="7" t="inlineStr">
        <is>
          <t>Redução de 60% + Diferimento (Art. 138 e Anexo IX LC 214/2025)</t>
        </is>
      </c>
    </row>
    <row r="822" ht="22" customHeight="1">
      <c r="A822" s="12" t="inlineStr">
        <is>
          <t>SKU-0818</t>
        </is>
      </c>
      <c r="B822" s="11" t="n">
        <v>588</v>
      </c>
      <c r="C822" s="13" t="inlineStr">
        <is>
          <t>SIPEAGRO (UF-XXXXX)</t>
        </is>
      </c>
      <c r="D822" s="14" t="inlineStr">
        <is>
          <t>ESTIMULUS ROOT +</t>
        </is>
      </c>
      <c r="E822" s="13" t="inlineStr">
        <is>
          <t>Embalagem Comercial do Produto</t>
        </is>
      </c>
      <c r="F822" s="13" t="inlineStr">
        <is>
          <t>4X5L (5 L)</t>
        </is>
      </c>
      <c r="G822" s="13" t="inlineStr">
        <is>
          <t>L</t>
        </is>
      </c>
      <c r="H822" s="15" t="n">
        <v>5</v>
      </c>
      <c r="I822" s="13" t="inlineStr">
        <is>
          <t>3105.90.90</t>
        </is>
      </c>
      <c r="J822" s="13" t="inlineStr">
        <is>
          <t>NÃO</t>
        </is>
      </c>
      <c r="K822" s="13" t="inlineStr">
        <is>
          <t>Embalagem de Insumo Nutricional/Biológico (Logística Reversa)</t>
        </is>
      </c>
      <c r="L822" s="13" t="inlineStr">
        <is>
          <t>NÃO</t>
        </is>
      </c>
      <c r="M822" s="13" t="inlineStr">
        <is>
          <t>0,00% (Lei nº 10.925/2004)</t>
        </is>
      </c>
      <c r="N822" s="13" t="inlineStr">
        <is>
          <t>0,925% (LC nº 224/2025)</t>
        </is>
      </c>
      <c r="O822" s="13" t="inlineStr">
        <is>
          <t>0,365% (LC nº 224/2025)</t>
        </is>
      </c>
      <c r="P822" s="13" t="inlineStr">
        <is>
          <t>CST 06</t>
        </is>
      </c>
      <c r="Q822" s="13" t="inlineStr">
        <is>
          <t>CST 73</t>
        </is>
      </c>
      <c r="R822" s="13" t="inlineStr">
        <is>
          <t>Redução de 60% + Diferimento (Art. 138 e Anexo IX LC 214/2025)</t>
        </is>
      </c>
    </row>
    <row r="823" ht="22" customHeight="1">
      <c r="A823" s="6" t="inlineStr">
        <is>
          <t>SKU-0819</t>
        </is>
      </c>
      <c r="B823" s="5" t="n">
        <v>588</v>
      </c>
      <c r="C823" s="7" t="inlineStr">
        <is>
          <t>SIPEAGRO (UF-XXXXX)</t>
        </is>
      </c>
      <c r="D823" s="8" t="inlineStr">
        <is>
          <t>ESTIMULUS ROOT +</t>
        </is>
      </c>
      <c r="E823" s="7" t="inlineStr">
        <is>
          <t>Faixa 1 TIPI (Apresentação &lt;= 300 g ou mL)</t>
        </is>
      </c>
      <c r="F823" s="7" t="inlineStr">
        <is>
          <t>Fracionado / Amostra &lt;= 0,3 L</t>
        </is>
      </c>
      <c r="G823" s="7" t="inlineStr">
        <is>
          <t>L</t>
        </is>
      </c>
      <c r="H823" s="17" t="n">
        <v>0.3</v>
      </c>
      <c r="I823" s="7" t="inlineStr">
        <is>
          <t>3105.90.90</t>
        </is>
      </c>
      <c r="J823" s="7" t="inlineStr">
        <is>
          <t>NÃO</t>
        </is>
      </c>
      <c r="K823" s="7" t="inlineStr">
        <is>
          <t>Embalagem de Insumo Nutricional/Biológico (Logística Reversa)</t>
        </is>
      </c>
      <c r="L823" s="7" t="inlineStr">
        <is>
          <t>NÃO</t>
        </is>
      </c>
      <c r="M823" s="7" t="inlineStr">
        <is>
          <t>0,00% (Lei nº 10.925/2004)</t>
        </is>
      </c>
      <c r="N823" s="7" t="inlineStr">
        <is>
          <t>0,925% (LC nº 224/2025)</t>
        </is>
      </c>
      <c r="O823" s="7" t="inlineStr">
        <is>
          <t>0,365% (LC nº 224/2025)</t>
        </is>
      </c>
      <c r="P823" s="7" t="inlineStr">
        <is>
          <t>CST 06</t>
        </is>
      </c>
      <c r="Q823" s="7" t="inlineStr">
        <is>
          <t>CST 73</t>
        </is>
      </c>
      <c r="R823" s="7" t="inlineStr">
        <is>
          <t>Redução de 60% + Diferimento (Art. 138 e Anexo IX LC 214/2025)</t>
        </is>
      </c>
    </row>
    <row r="824" ht="22" customHeight="1">
      <c r="A824" s="12" t="inlineStr">
        <is>
          <t>SKU-0820</t>
        </is>
      </c>
      <c r="B824" s="11" t="n">
        <v>589</v>
      </c>
      <c r="C824" s="13" t="inlineStr">
        <is>
          <t>Nº 23419</t>
        </is>
      </c>
      <c r="D824" s="14" t="inlineStr">
        <is>
          <t>SAFENITH</t>
        </is>
      </c>
      <c r="E824" s="13" t="inlineStr">
        <is>
          <t>Embalagem Comercial do Produto</t>
        </is>
      </c>
      <c r="F824" s="13" t="inlineStr">
        <is>
          <t>1X20L (20 L)</t>
        </is>
      </c>
      <c r="G824" s="13" t="inlineStr">
        <is>
          <t>L</t>
        </is>
      </c>
      <c r="H824" s="15" t="n">
        <v>20</v>
      </c>
      <c r="I824" s="13" t="inlineStr">
        <is>
          <t>3808.92.99</t>
        </is>
      </c>
      <c r="J824" s="13" t="inlineStr">
        <is>
          <t>NÃO</t>
        </is>
      </c>
      <c r="K824" s="13" t="inlineStr">
        <is>
          <t>Embalagem Rígida — LAVÁVEL (Obrigatória Tríplice Lavagem ou Pressão)</t>
        </is>
      </c>
      <c r="L824" s="13" t="inlineStr">
        <is>
          <t>NÃO</t>
        </is>
      </c>
      <c r="M824" s="13" t="inlineStr">
        <is>
          <t>0,00% (Lei nº 10.925/2004)</t>
        </is>
      </c>
      <c r="N824" s="13" t="inlineStr">
        <is>
          <t>0,925% (LC nº 224/2025)</t>
        </is>
      </c>
      <c r="O824" s="13" t="inlineStr">
        <is>
          <t>0,365% (LC nº 224/2025)</t>
        </is>
      </c>
      <c r="P824" s="13" t="inlineStr">
        <is>
          <t>CST 06</t>
        </is>
      </c>
      <c r="Q824" s="13" t="inlineStr">
        <is>
          <t>CST 73</t>
        </is>
      </c>
      <c r="R824" s="13" t="inlineStr">
        <is>
          <t>Redução de 60% + Diferimento (Art. 138 e Anexo IX LC 214/2025)</t>
        </is>
      </c>
    </row>
    <row r="825" ht="22" customHeight="1">
      <c r="A825" s="6" t="inlineStr">
        <is>
          <t>SKU-0821</t>
        </is>
      </c>
      <c r="B825" s="5" t="n">
        <v>590</v>
      </c>
      <c r="C825" s="7" t="inlineStr">
        <is>
          <t>Nº 5615</t>
        </is>
      </c>
      <c r="D825" s="8" t="inlineStr">
        <is>
          <t>PREVINIL</t>
        </is>
      </c>
      <c r="E825" s="7" t="inlineStr">
        <is>
          <t>Embalagem Comercial do Produto</t>
        </is>
      </c>
      <c r="F825" s="7" t="inlineStr">
        <is>
          <t>1X20L (20 L)</t>
        </is>
      </c>
      <c r="G825" s="7" t="inlineStr">
        <is>
          <t>L</t>
        </is>
      </c>
      <c r="H825" s="9" t="n">
        <v>20</v>
      </c>
      <c r="I825" s="7" t="inlineStr">
        <is>
          <t>3808.92.99</t>
        </is>
      </c>
      <c r="J825" s="7" t="inlineStr">
        <is>
          <t>NÃO</t>
        </is>
      </c>
      <c r="K825" s="7" t="inlineStr">
        <is>
          <t>Embalagem Rígida — LAVÁVEL (Obrigatória Tríplice Lavagem ou Pressão)</t>
        </is>
      </c>
      <c r="L825" s="7" t="inlineStr">
        <is>
          <t>NÃO</t>
        </is>
      </c>
      <c r="M825" s="7" t="inlineStr">
        <is>
          <t>0,00% (Lei nº 10.925/2004)</t>
        </is>
      </c>
      <c r="N825" s="7" t="inlineStr">
        <is>
          <t>0,925% (LC nº 224/2025)</t>
        </is>
      </c>
      <c r="O825" s="7" t="inlineStr">
        <is>
          <t>0,365% (LC nº 224/2025)</t>
        </is>
      </c>
      <c r="P825" s="7" t="inlineStr">
        <is>
          <t>CST 06</t>
        </is>
      </c>
      <c r="Q825" s="7" t="inlineStr">
        <is>
          <t>CST 73</t>
        </is>
      </c>
      <c r="R825" s="7" t="inlineStr">
        <is>
          <t>Redução de 60% + Diferimento (Art. 138 e Anexo IX LC 214/2025)</t>
        </is>
      </c>
    </row>
    <row r="826" ht="22" customHeight="1">
      <c r="A826" s="12" t="inlineStr">
        <is>
          <t>SKU-0822</t>
        </is>
      </c>
      <c r="B826" s="11" t="n">
        <v>591</v>
      </c>
      <c r="C826" s="13" t="inlineStr">
        <is>
          <t>Nº 14617</t>
        </is>
      </c>
      <c r="D826" s="14" t="inlineStr">
        <is>
          <t>SPERTO - UPL 138 FP BR</t>
        </is>
      </c>
      <c r="E826" s="13" t="inlineStr">
        <is>
          <t>Embalagem Comercial do Produto</t>
        </is>
      </c>
      <c r="F826" s="13" t="inlineStr">
        <is>
          <t>4X5KG (5 KG)</t>
        </is>
      </c>
      <c r="G826" s="13" t="inlineStr">
        <is>
          <t>KG</t>
        </is>
      </c>
      <c r="H826" s="15" t="n">
        <v>5</v>
      </c>
      <c r="I826" s="13" t="inlineStr">
        <is>
          <t>3808.62.90</t>
        </is>
      </c>
      <c r="J826" s="13" t="inlineStr">
        <is>
          <t>SIM</t>
        </is>
      </c>
      <c r="K826" s="13" t="inlineStr">
        <is>
          <t>Embalagem Flexível — NÃO LAVÁVEL (Perfurar e usar saco ABNT)</t>
        </is>
      </c>
      <c r="L826" s="13" t="inlineStr">
        <is>
          <t>SIM (Saco Transparente ABNT)</t>
        </is>
      </c>
      <c r="M826" s="13" t="inlineStr">
        <is>
          <t>0,00% (Lei nº 10.925/2004)</t>
        </is>
      </c>
      <c r="N826" s="13" t="inlineStr">
        <is>
          <t>0,925% (LC nº 224/2025)</t>
        </is>
      </c>
      <c r="O826" s="13" t="inlineStr">
        <is>
          <t>0,365% (LC nº 224/2025)</t>
        </is>
      </c>
      <c r="P826" s="13" t="inlineStr">
        <is>
          <t>CST 06</t>
        </is>
      </c>
      <c r="Q826" s="13" t="inlineStr">
        <is>
          <t>CST 73</t>
        </is>
      </c>
      <c r="R826" s="13" t="inlineStr">
        <is>
          <t>Redução de 60% + Diferimento (Art. 138 e Anexo IX LC 214/2025)</t>
        </is>
      </c>
    </row>
    <row r="827" ht="22" customHeight="1">
      <c r="A827" s="6" t="inlineStr">
        <is>
          <t>SKU-0823</t>
        </is>
      </c>
      <c r="B827" s="5" t="n">
        <v>591</v>
      </c>
      <c r="C827" s="7" t="inlineStr">
        <is>
          <t>Nº 14617</t>
        </is>
      </c>
      <c r="D827" s="8" t="inlineStr">
        <is>
          <t>SPERTO - UPL 138 FP BR</t>
        </is>
      </c>
      <c r="E827" s="7" t="inlineStr">
        <is>
          <t>Faixa 1 TIPI (Apresentação &lt;= 300 g ou mL)</t>
        </is>
      </c>
      <c r="F827" s="7" t="inlineStr">
        <is>
          <t>Fracionado / Amostra &lt;= 0,3 KG</t>
        </is>
      </c>
      <c r="G827" s="7" t="inlineStr">
        <is>
          <t>KG</t>
        </is>
      </c>
      <c r="H827" s="17" t="n">
        <v>0.3</v>
      </c>
      <c r="I827" s="7" t="inlineStr">
        <is>
          <t>3808.61.00</t>
        </is>
      </c>
      <c r="J827" s="7" t="inlineStr">
        <is>
          <t>SIM</t>
        </is>
      </c>
      <c r="K827" s="7" t="inlineStr">
        <is>
          <t>Embalagem Flexível — NÃO LAVÁVEL (Perfurar e usar saco ABNT)</t>
        </is>
      </c>
      <c r="L827" s="7" t="inlineStr">
        <is>
          <t>SIM (Saco Transparente ABNT)</t>
        </is>
      </c>
      <c r="M827" s="7" t="inlineStr">
        <is>
          <t>0,00% (Lei nº 10.925/2004)</t>
        </is>
      </c>
      <c r="N827" s="7" t="inlineStr">
        <is>
          <t>0,925% (LC nº 224/2025)</t>
        </is>
      </c>
      <c r="O827" s="7" t="inlineStr">
        <is>
          <t>0,365% (LC nº 224/2025)</t>
        </is>
      </c>
      <c r="P827" s="7" t="inlineStr">
        <is>
          <t>CST 06</t>
        </is>
      </c>
      <c r="Q827" s="7" t="inlineStr">
        <is>
          <t>CST 73</t>
        </is>
      </c>
      <c r="R827" s="7" t="inlineStr">
        <is>
          <t>Redução de 60% + Diferimento (Art. 138 e Anexo IX LC 214/2025)</t>
        </is>
      </c>
    </row>
    <row r="828" ht="22" customHeight="1">
      <c r="A828" s="12" t="inlineStr">
        <is>
          <t>SKU-0824</t>
        </is>
      </c>
      <c r="B828" s="11" t="n">
        <v>592</v>
      </c>
      <c r="C828" s="13" t="inlineStr">
        <is>
          <t>SIPEAGRO (UF-XXXXX)</t>
        </is>
      </c>
      <c r="D828" s="14" t="inlineStr">
        <is>
          <t>NITROBASE 30</t>
        </is>
      </c>
      <c r="E828" s="13" t="inlineStr">
        <is>
          <t>Embalagem Comercial do Produto</t>
        </is>
      </c>
      <c r="F828" s="13" t="inlineStr">
        <is>
          <t>1X20L (20 L)</t>
        </is>
      </c>
      <c r="G828" s="13" t="inlineStr">
        <is>
          <t>L</t>
        </is>
      </c>
      <c r="H828" s="15" t="n">
        <v>20</v>
      </c>
      <c r="I828" s="13" t="inlineStr">
        <is>
          <t>3105.90.90</t>
        </is>
      </c>
      <c r="J828" s="13" t="inlineStr">
        <is>
          <t>NÃO</t>
        </is>
      </c>
      <c r="K828" s="13" t="inlineStr">
        <is>
          <t>Embalagem de Insumo Nutricional/Biológico (Logística Reversa)</t>
        </is>
      </c>
      <c r="L828" s="13" t="inlineStr">
        <is>
          <t>NÃO</t>
        </is>
      </c>
      <c r="M828" s="13" t="inlineStr">
        <is>
          <t>0,00% (Lei nº 10.925/2004)</t>
        </is>
      </c>
      <c r="N828" s="13" t="inlineStr">
        <is>
          <t>0,925% (LC nº 224/2025)</t>
        </is>
      </c>
      <c r="O828" s="13" t="inlineStr">
        <is>
          <t>0,365% (LC nº 224/2025)</t>
        </is>
      </c>
      <c r="P828" s="13" t="inlineStr">
        <is>
          <t>CST 06</t>
        </is>
      </c>
      <c r="Q828" s="13" t="inlineStr">
        <is>
          <t>CST 73</t>
        </is>
      </c>
      <c r="R828" s="13" t="inlineStr">
        <is>
          <t>Redução de 60% + Diferimento (Art. 138 e Anexo IX LC 214/2025)</t>
        </is>
      </c>
    </row>
    <row r="829" ht="22" customHeight="1">
      <c r="A829" s="6" t="inlineStr">
        <is>
          <t>SKU-0825</t>
        </is>
      </c>
      <c r="B829" s="5" t="n">
        <v>592</v>
      </c>
      <c r="C829" s="7" t="inlineStr">
        <is>
          <t>SIPEAGRO (UF-XXXXX)</t>
        </is>
      </c>
      <c r="D829" s="8" t="inlineStr">
        <is>
          <t>NITROBASE 30</t>
        </is>
      </c>
      <c r="E829" s="7" t="inlineStr">
        <is>
          <t>Faixa 1 TIPI (Apresentação &lt;= 300 g ou mL)</t>
        </is>
      </c>
      <c r="F829" s="7" t="inlineStr">
        <is>
          <t>Fracionado / Amostra &lt;= 0,3 L</t>
        </is>
      </c>
      <c r="G829" s="7" t="inlineStr">
        <is>
          <t>L</t>
        </is>
      </c>
      <c r="H829" s="17" t="n">
        <v>0.3</v>
      </c>
      <c r="I829" s="7" t="inlineStr">
        <is>
          <t>3105.90.90</t>
        </is>
      </c>
      <c r="J829" s="7" t="inlineStr">
        <is>
          <t>NÃO</t>
        </is>
      </c>
      <c r="K829" s="7" t="inlineStr">
        <is>
          <t>Embalagem de Insumo Nutricional/Biológico (Logística Reversa)</t>
        </is>
      </c>
      <c r="L829" s="7" t="inlineStr">
        <is>
          <t>NÃO</t>
        </is>
      </c>
      <c r="M829" s="7" t="inlineStr">
        <is>
          <t>0,00% (Lei nº 10.925/2004)</t>
        </is>
      </c>
      <c r="N829" s="7" t="inlineStr">
        <is>
          <t>0,925% (LC nº 224/2025)</t>
        </is>
      </c>
      <c r="O829" s="7" t="inlineStr">
        <is>
          <t>0,365% (LC nº 224/2025)</t>
        </is>
      </c>
      <c r="P829" s="7" t="inlineStr">
        <is>
          <t>CST 06</t>
        </is>
      </c>
      <c r="Q829" s="7" t="inlineStr">
        <is>
          <t>CST 73</t>
        </is>
      </c>
      <c r="R829" s="7" t="inlineStr">
        <is>
          <t>Redução de 60% + Diferimento (Art. 138 e Anexo IX LC 214/2025)</t>
        </is>
      </c>
    </row>
    <row r="830" ht="22" customHeight="1">
      <c r="A830" s="12" t="inlineStr">
        <is>
          <t>SKU-0826</t>
        </is>
      </c>
      <c r="B830" s="11" t="n">
        <v>593</v>
      </c>
      <c r="C830" s="13" t="inlineStr">
        <is>
          <t>Nº 18817</t>
        </is>
      </c>
      <c r="D830" s="14" t="inlineStr">
        <is>
          <t>VERISMO</t>
        </is>
      </c>
      <c r="E830" s="13" t="inlineStr">
        <is>
          <t>Embalagem Comercial do Produto</t>
        </is>
      </c>
      <c r="F830" s="13" t="inlineStr">
        <is>
          <t>4X5L (5 L)</t>
        </is>
      </c>
      <c r="G830" s="13" t="inlineStr">
        <is>
          <t>L</t>
        </is>
      </c>
      <c r="H830" s="15" t="n">
        <v>5</v>
      </c>
      <c r="I830" s="13" t="inlineStr">
        <is>
          <t>3808.91.99</t>
        </is>
      </c>
      <c r="J830" s="13" t="inlineStr">
        <is>
          <t>NÃO</t>
        </is>
      </c>
      <c r="K830" s="13" t="inlineStr">
        <is>
          <t>Embalagem Rígida — LAVÁVEL (Obrigatória Tríplice Lavagem ou Pressão)</t>
        </is>
      </c>
      <c r="L830" s="13" t="inlineStr">
        <is>
          <t>NÃO</t>
        </is>
      </c>
      <c r="M830" s="13" t="inlineStr">
        <is>
          <t>0,00% (Lei nº 10.925/2004)</t>
        </is>
      </c>
      <c r="N830" s="13" t="inlineStr">
        <is>
          <t>0,925% (LC nº 224/2025)</t>
        </is>
      </c>
      <c r="O830" s="13" t="inlineStr">
        <is>
          <t>0,365% (LC nº 224/2025)</t>
        </is>
      </c>
      <c r="P830" s="13" t="inlineStr">
        <is>
          <t>CST 06</t>
        </is>
      </c>
      <c r="Q830" s="13" t="inlineStr">
        <is>
          <t>CST 73</t>
        </is>
      </c>
      <c r="R830" s="13" t="inlineStr">
        <is>
          <t>Redução de 60% + Diferimento (Art. 138 e Anexo IX LC 214/2025)</t>
        </is>
      </c>
    </row>
    <row r="831" ht="22" customHeight="1">
      <c r="A831" s="6" t="inlineStr">
        <is>
          <t>SKU-0827</t>
        </is>
      </c>
      <c r="B831" s="5" t="n">
        <v>594</v>
      </c>
      <c r="C831" s="7" t="inlineStr">
        <is>
          <t>SIPEAGRO (UF-XXXXX)</t>
        </is>
      </c>
      <c r="D831" s="8" t="inlineStr">
        <is>
          <t>INOCULANTE GRAP NOD AL 1,5L</t>
        </is>
      </c>
      <c r="E831" s="7" t="inlineStr">
        <is>
          <t>Embalagem Comercial do Produto</t>
        </is>
      </c>
      <c r="F831" s="7" t="inlineStr">
        <is>
          <t>1,5L (1.5 L)</t>
        </is>
      </c>
      <c r="G831" s="7" t="inlineStr">
        <is>
          <t>L</t>
        </is>
      </c>
      <c r="H831" s="17" t="n">
        <v>1.5</v>
      </c>
      <c r="I831" s="7" t="inlineStr">
        <is>
          <t>3002.49.99</t>
        </is>
      </c>
      <c r="J831" s="7" t="inlineStr">
        <is>
          <t>NÃO</t>
        </is>
      </c>
      <c r="K831" s="7" t="inlineStr">
        <is>
          <t>Embalagem de Insumo Nutricional/Biológico (Logística Reversa)</t>
        </is>
      </c>
      <c r="L831" s="7" t="inlineStr">
        <is>
          <t>NÃO</t>
        </is>
      </c>
      <c r="M831" s="7" t="inlineStr">
        <is>
          <t>0,00% (Lei nº 10.925/2004)</t>
        </is>
      </c>
      <c r="N831" s="7" t="inlineStr">
        <is>
          <t>0,925% (LC nº 224/2025)</t>
        </is>
      </c>
      <c r="O831" s="7" t="inlineStr">
        <is>
          <t>0,365% (LC nº 224/2025)</t>
        </is>
      </c>
      <c r="P831" s="7" t="inlineStr">
        <is>
          <t>CST 06</t>
        </is>
      </c>
      <c r="Q831" s="7" t="inlineStr">
        <is>
          <t>CST 73</t>
        </is>
      </c>
      <c r="R831" s="7" t="inlineStr">
        <is>
          <t>Redução de 60% + Diferimento (Art. 138 e Anexo IX LC 214/2025)</t>
        </is>
      </c>
    </row>
    <row r="832" ht="22" customHeight="1">
      <c r="A832" s="12" t="inlineStr">
        <is>
          <t>SKU-0828</t>
        </is>
      </c>
      <c r="B832" s="11" t="n">
        <v>594</v>
      </c>
      <c r="C832" s="13" t="inlineStr">
        <is>
          <t>SIPEAGRO (UF-XXXXX)</t>
        </is>
      </c>
      <c r="D832" s="14" t="inlineStr">
        <is>
          <t>INOCULANTE GRAP NOD AL 1,5L</t>
        </is>
      </c>
      <c r="E832" s="13" t="inlineStr">
        <is>
          <t>Faixa 1 TIPI (Apresentação &lt;= 300 g ou mL)</t>
        </is>
      </c>
      <c r="F832" s="13" t="inlineStr">
        <is>
          <t>Fracionado / Amostra &lt;= 0,3 L</t>
        </is>
      </c>
      <c r="G832" s="13" t="inlineStr">
        <is>
          <t>L</t>
        </is>
      </c>
      <c r="H832" s="18" t="n">
        <v>0.3</v>
      </c>
      <c r="I832" s="13" t="inlineStr">
        <is>
          <t>3002.49.99</t>
        </is>
      </c>
      <c r="J832" s="13" t="inlineStr">
        <is>
          <t>NÃO</t>
        </is>
      </c>
      <c r="K832" s="13" t="inlineStr">
        <is>
          <t>Embalagem de Insumo Nutricional/Biológico (Logística Reversa)</t>
        </is>
      </c>
      <c r="L832" s="13" t="inlineStr">
        <is>
          <t>NÃO</t>
        </is>
      </c>
      <c r="M832" s="13" t="inlineStr">
        <is>
          <t>0,00% (Lei nº 10.925/2004)</t>
        </is>
      </c>
      <c r="N832" s="13" t="inlineStr">
        <is>
          <t>0,925% (LC nº 224/2025)</t>
        </is>
      </c>
      <c r="O832" s="13" t="inlineStr">
        <is>
          <t>0,365% (LC nº 224/2025)</t>
        </is>
      </c>
      <c r="P832" s="13" t="inlineStr">
        <is>
          <t>CST 06</t>
        </is>
      </c>
      <c r="Q832" s="13" t="inlineStr">
        <is>
          <t>CST 73</t>
        </is>
      </c>
      <c r="R832" s="13" t="inlineStr">
        <is>
          <t>Redução de 60% + Diferimento (Art. 138 e Anexo IX LC 214/2025)</t>
        </is>
      </c>
    </row>
    <row r="833" ht="22" customHeight="1">
      <c r="A833" s="6" t="inlineStr">
        <is>
          <t>SKU-0829</t>
        </is>
      </c>
      <c r="B833" s="5" t="n">
        <v>595</v>
      </c>
      <c r="C833" s="7" t="inlineStr">
        <is>
          <t>Nº 0322</t>
        </is>
      </c>
      <c r="D833" s="8" t="inlineStr">
        <is>
          <t>DORAI MAX</t>
        </is>
      </c>
      <c r="E833" s="7" t="inlineStr">
        <is>
          <t>Embalagem Comercial do Produto</t>
        </is>
      </c>
      <c r="F833" s="7" t="inlineStr">
        <is>
          <t>1X20L (20 L)</t>
        </is>
      </c>
      <c r="G833" s="7" t="inlineStr">
        <is>
          <t>L</t>
        </is>
      </c>
      <c r="H833" s="9" t="n">
        <v>20</v>
      </c>
      <c r="I833" s="7" t="inlineStr">
        <is>
          <t>3808.93.29</t>
        </is>
      </c>
      <c r="J833" s="7" t="inlineStr">
        <is>
          <t>NÃO</t>
        </is>
      </c>
      <c r="K833" s="7" t="inlineStr">
        <is>
          <t>Embalagem Rígida — LAVÁVEL (Obrigatória Tríplice Lavagem ou Pressão)</t>
        </is>
      </c>
      <c r="L833" s="7" t="inlineStr">
        <is>
          <t>NÃO</t>
        </is>
      </c>
      <c r="M833" s="7" t="inlineStr">
        <is>
          <t>0,00% (Lei nº 10.925/2004)</t>
        </is>
      </c>
      <c r="N833" s="7" t="inlineStr">
        <is>
          <t>0,925% (LC nº 224/2025)</t>
        </is>
      </c>
      <c r="O833" s="7" t="inlineStr">
        <is>
          <t>0,365% (LC nº 224/2025)</t>
        </is>
      </c>
      <c r="P833" s="7" t="inlineStr">
        <is>
          <t>CST 06</t>
        </is>
      </c>
      <c r="Q833" s="7" t="inlineStr">
        <is>
          <t>CST 73</t>
        </is>
      </c>
      <c r="R833" s="7" t="inlineStr">
        <is>
          <t>Redução de 60% + Diferimento (Art. 138 e Anexo IX LC 214/2025)</t>
        </is>
      </c>
    </row>
    <row r="834" ht="22" customHeight="1">
      <c r="A834" s="12" t="inlineStr">
        <is>
          <t>SKU-0830</t>
        </is>
      </c>
      <c r="B834" s="11" t="n">
        <v>596</v>
      </c>
      <c r="C834" s="13" t="inlineStr">
        <is>
          <t>Nº 1192</t>
        </is>
      </c>
      <c r="D834" s="14" t="inlineStr">
        <is>
          <t>BULLDOCK</t>
        </is>
      </c>
      <c r="E834" s="13" t="inlineStr">
        <is>
          <t>Embalagem Comercial do Produto</t>
        </is>
      </c>
      <c r="F834" s="13" t="inlineStr">
        <is>
          <t>1X1L (1 L)</t>
        </is>
      </c>
      <c r="G834" s="13" t="inlineStr">
        <is>
          <t>L</t>
        </is>
      </c>
      <c r="H834" s="15" t="n">
        <v>1</v>
      </c>
      <c r="I834" s="13" t="inlineStr">
        <is>
          <t>3808.62.90</t>
        </is>
      </c>
      <c r="J834" s="13" t="inlineStr">
        <is>
          <t>SIM</t>
        </is>
      </c>
      <c r="K834" s="13" t="inlineStr">
        <is>
          <t>Embalagem Rígida — LAVÁVEL (Obrigatória Tríplice Lavagem ou Pressão)</t>
        </is>
      </c>
      <c r="L834" s="13" t="inlineStr">
        <is>
          <t>NÃO</t>
        </is>
      </c>
      <c r="M834" s="13" t="inlineStr">
        <is>
          <t>0,00% (Lei nº 10.925/2004)</t>
        </is>
      </c>
      <c r="N834" s="13" t="inlineStr">
        <is>
          <t>0,925% (LC nº 224/2025)</t>
        </is>
      </c>
      <c r="O834" s="13" t="inlineStr">
        <is>
          <t>0,365% (LC nº 224/2025)</t>
        </is>
      </c>
      <c r="P834" s="13" t="inlineStr">
        <is>
          <t>CST 06</t>
        </is>
      </c>
      <c r="Q834" s="13" t="inlineStr">
        <is>
          <t>CST 73</t>
        </is>
      </c>
      <c r="R834" s="13" t="inlineStr">
        <is>
          <t>Redução de 60% + Diferimento (Art. 138 e Anexo IX LC 214/2025)</t>
        </is>
      </c>
    </row>
    <row r="835" ht="22" customHeight="1">
      <c r="A835" s="6" t="inlineStr">
        <is>
          <t>SKU-0831</t>
        </is>
      </c>
      <c r="B835" s="5" t="n">
        <v>596</v>
      </c>
      <c r="C835" s="7" t="inlineStr">
        <is>
          <t>Nº 1192</t>
        </is>
      </c>
      <c r="D835" s="8" t="inlineStr">
        <is>
          <t>BULLDOCK</t>
        </is>
      </c>
      <c r="E835" s="7" t="inlineStr">
        <is>
          <t>Faixa 1 TIPI (Apresentação &lt;= 300 g ou mL)</t>
        </is>
      </c>
      <c r="F835" s="7" t="inlineStr">
        <is>
          <t>Fracionado / Amostra &lt;= 0,3 L</t>
        </is>
      </c>
      <c r="G835" s="7" t="inlineStr">
        <is>
          <t>L</t>
        </is>
      </c>
      <c r="H835" s="17" t="n">
        <v>0.3</v>
      </c>
      <c r="I835" s="7" t="inlineStr">
        <is>
          <t>3808.61.00</t>
        </is>
      </c>
      <c r="J835" s="7" t="inlineStr">
        <is>
          <t>SIM</t>
        </is>
      </c>
      <c r="K835" s="7" t="inlineStr">
        <is>
          <t>Embalagem Rígida — LAVÁVEL (Obrigatória Tríplice Lavagem ou Pressão)</t>
        </is>
      </c>
      <c r="L835" s="7" t="inlineStr">
        <is>
          <t>NÃO</t>
        </is>
      </c>
      <c r="M835" s="7" t="inlineStr">
        <is>
          <t>0,00% (Lei nº 10.925/2004)</t>
        </is>
      </c>
      <c r="N835" s="7" t="inlineStr">
        <is>
          <t>0,925% (LC nº 224/2025)</t>
        </is>
      </c>
      <c r="O835" s="7" t="inlineStr">
        <is>
          <t>0,365% (LC nº 224/2025)</t>
        </is>
      </c>
      <c r="P835" s="7" t="inlineStr">
        <is>
          <t>CST 06</t>
        </is>
      </c>
      <c r="Q835" s="7" t="inlineStr">
        <is>
          <t>CST 73</t>
        </is>
      </c>
      <c r="R835" s="7" t="inlineStr">
        <is>
          <t>Redução de 60% + Diferimento (Art. 138 e Anexo IX LC 214/2025)</t>
        </is>
      </c>
    </row>
    <row r="836" ht="22" customHeight="1">
      <c r="A836" s="12" t="inlineStr">
        <is>
          <t>SKU-0832</t>
        </is>
      </c>
      <c r="B836" s="11" t="n">
        <v>597</v>
      </c>
      <c r="C836" s="13" t="inlineStr">
        <is>
          <t>Nº 21720</t>
        </is>
      </c>
      <c r="D836" s="14" t="inlineStr">
        <is>
          <t>MEGATRAZ</t>
        </is>
      </c>
      <c r="E836" s="13" t="inlineStr">
        <is>
          <t>Embalagem Comercial do Produto</t>
        </is>
      </c>
      <c r="F836" s="13" t="inlineStr">
        <is>
          <t>1X20L (20 L)</t>
        </is>
      </c>
      <c r="G836" s="13" t="inlineStr">
        <is>
          <t>L</t>
        </is>
      </c>
      <c r="H836" s="15" t="n">
        <v>20</v>
      </c>
      <c r="I836" s="13" t="inlineStr">
        <is>
          <t>3808.93.23</t>
        </is>
      </c>
      <c r="J836" s="13" t="inlineStr">
        <is>
          <t>NÃO</t>
        </is>
      </c>
      <c r="K836" s="13" t="inlineStr">
        <is>
          <t>Embalagem Rígida — LAVÁVEL (Obrigatória Tríplice Lavagem ou Pressão)</t>
        </is>
      </c>
      <c r="L836" s="13" t="inlineStr">
        <is>
          <t>NÃO</t>
        </is>
      </c>
      <c r="M836" s="13" t="inlineStr">
        <is>
          <t>0,00% (Lei nº 10.925/2004)</t>
        </is>
      </c>
      <c r="N836" s="13" t="inlineStr">
        <is>
          <t>0,925% (LC nº 224/2025)</t>
        </is>
      </c>
      <c r="O836" s="13" t="inlineStr">
        <is>
          <t>0,365% (LC nº 224/2025)</t>
        </is>
      </c>
      <c r="P836" s="13" t="inlineStr">
        <is>
          <t>CST 06</t>
        </is>
      </c>
      <c r="Q836" s="13" t="inlineStr">
        <is>
          <t>CST 73</t>
        </is>
      </c>
      <c r="R836" s="13" t="inlineStr">
        <is>
          <t>Redução de 60% + Diferimento (Art. 138 e Anexo IX LC 214/2025)</t>
        </is>
      </c>
    </row>
    <row r="837" ht="22" customHeight="1">
      <c r="A837" s="6" t="inlineStr">
        <is>
          <t>SKU-0833</t>
        </is>
      </c>
      <c r="B837" s="5" t="n">
        <v>598</v>
      </c>
      <c r="C837" s="7" t="inlineStr">
        <is>
          <t>SIPEAGRO (UF-XXXXX)</t>
        </is>
      </c>
      <c r="D837" s="8" t="inlineStr">
        <is>
          <t>GRUN OBER</t>
        </is>
      </c>
      <c r="E837" s="7" t="inlineStr">
        <is>
          <t>Embalagem Comercial do Produto</t>
        </is>
      </c>
      <c r="F837" s="7" t="inlineStr">
        <is>
          <t>1X20L (20 L)</t>
        </is>
      </c>
      <c r="G837" s="7" t="inlineStr">
        <is>
          <t>L</t>
        </is>
      </c>
      <c r="H837" s="9" t="n">
        <v>20</v>
      </c>
      <c r="I837" s="7" t="inlineStr">
        <is>
          <t>3102.10.90</t>
        </is>
      </c>
      <c r="J837" s="7" t="inlineStr">
        <is>
          <t>NÃO</t>
        </is>
      </c>
      <c r="K837" s="7" t="inlineStr">
        <is>
          <t>Embalagem de Insumo Nutricional/Biológico (Logística Reversa)</t>
        </is>
      </c>
      <c r="L837" s="7" t="inlineStr">
        <is>
          <t>NÃO</t>
        </is>
      </c>
      <c r="M837" s="7" t="inlineStr">
        <is>
          <t>0,00% (Lei nº 10.925/2004)</t>
        </is>
      </c>
      <c r="N837" s="7" t="inlineStr">
        <is>
          <t>0,925% (LC nº 224/2025)</t>
        </is>
      </c>
      <c r="O837" s="7" t="inlineStr">
        <is>
          <t>0,365% (LC nº 224/2025)</t>
        </is>
      </c>
      <c r="P837" s="7" t="inlineStr">
        <is>
          <t>CST 06</t>
        </is>
      </c>
      <c r="Q837" s="7" t="inlineStr">
        <is>
          <t>CST 73</t>
        </is>
      </c>
      <c r="R837" s="7" t="inlineStr">
        <is>
          <t>Redução de 60% + Diferimento (Art. 138 e Anexo IX LC 214/2025)</t>
        </is>
      </c>
    </row>
    <row r="838" ht="22" customHeight="1">
      <c r="A838" s="12" t="inlineStr">
        <is>
          <t>SKU-0834</t>
        </is>
      </c>
      <c r="B838" s="11" t="n">
        <v>598</v>
      </c>
      <c r="C838" s="13" t="inlineStr">
        <is>
          <t>SIPEAGRO (UF-XXXXX)</t>
        </is>
      </c>
      <c r="D838" s="14" t="inlineStr">
        <is>
          <t>GRUN OBER</t>
        </is>
      </c>
      <c r="E838" s="13" t="inlineStr">
        <is>
          <t>Faixa 1 TIPI (Apresentação &lt;= 300 g ou mL)</t>
        </is>
      </c>
      <c r="F838" s="13" t="inlineStr">
        <is>
          <t>Fracionado / Amostra &lt;= 0,3 L</t>
        </is>
      </c>
      <c r="G838" s="13" t="inlineStr">
        <is>
          <t>L</t>
        </is>
      </c>
      <c r="H838" s="18" t="n">
        <v>0.3</v>
      </c>
      <c r="I838" s="13" t="inlineStr">
        <is>
          <t>3105.90.90</t>
        </is>
      </c>
      <c r="J838" s="13" t="inlineStr">
        <is>
          <t>NÃO</t>
        </is>
      </c>
      <c r="K838" s="13" t="inlineStr">
        <is>
          <t>Embalagem de Insumo Nutricional/Biológico (Logística Reversa)</t>
        </is>
      </c>
      <c r="L838" s="13" t="inlineStr">
        <is>
          <t>NÃO</t>
        </is>
      </c>
      <c r="M838" s="13" t="inlineStr">
        <is>
          <t>0,00% (Lei nº 10.925/2004)</t>
        </is>
      </c>
      <c r="N838" s="13" t="inlineStr">
        <is>
          <t>0,925% (LC nº 224/2025)</t>
        </is>
      </c>
      <c r="O838" s="13" t="inlineStr">
        <is>
          <t>0,365% (LC nº 224/2025)</t>
        </is>
      </c>
      <c r="P838" s="13" t="inlineStr">
        <is>
          <t>CST 06</t>
        </is>
      </c>
      <c r="Q838" s="13" t="inlineStr">
        <is>
          <t>CST 73</t>
        </is>
      </c>
      <c r="R838" s="13" t="inlineStr">
        <is>
          <t>Redução de 60% + Diferimento (Art. 138 e Anexo IX LC 214/2025)</t>
        </is>
      </c>
    </row>
    <row r="839" ht="22" customHeight="1">
      <c r="A839" s="6" t="inlineStr">
        <is>
          <t>SKU-0835</t>
        </is>
      </c>
      <c r="B839" s="5" t="n">
        <v>599</v>
      </c>
      <c r="C839" s="7" t="inlineStr">
        <is>
          <t>Nº 8017</t>
        </is>
      </c>
      <c r="D839" s="8" t="inlineStr">
        <is>
          <t>BOLD</t>
        </is>
      </c>
      <c r="E839" s="7" t="inlineStr">
        <is>
          <t>Embalagem Comercial do Produto</t>
        </is>
      </c>
      <c r="F839" s="7" t="inlineStr">
        <is>
          <t>4X5L (5 L)</t>
        </is>
      </c>
      <c r="G839" s="7" t="inlineStr">
        <is>
          <t>L</t>
        </is>
      </c>
      <c r="H839" s="9" t="n">
        <v>5</v>
      </c>
      <c r="I839" s="7" t="inlineStr">
        <is>
          <t>3808.91.99</t>
        </is>
      </c>
      <c r="J839" s="7" t="inlineStr">
        <is>
          <t>NÃO</t>
        </is>
      </c>
      <c r="K839" s="7" t="inlineStr">
        <is>
          <t>Embalagem Rígida — LAVÁVEL (Obrigatória Tríplice Lavagem ou Pressão)</t>
        </is>
      </c>
      <c r="L839" s="7" t="inlineStr">
        <is>
          <t>NÃO</t>
        </is>
      </c>
      <c r="M839" s="7" t="inlineStr">
        <is>
          <t>0,00% (Lei nº 10.925/2004)</t>
        </is>
      </c>
      <c r="N839" s="7" t="inlineStr">
        <is>
          <t>0,925% (LC nº 224/2025)</t>
        </is>
      </c>
      <c r="O839" s="7" t="inlineStr">
        <is>
          <t>0,365% (LC nº 224/2025)</t>
        </is>
      </c>
      <c r="P839" s="7" t="inlineStr">
        <is>
          <t>CST 06</t>
        </is>
      </c>
      <c r="Q839" s="7" t="inlineStr">
        <is>
          <t>CST 73</t>
        </is>
      </c>
      <c r="R839" s="7" t="inlineStr">
        <is>
          <t>Redução de 60% + Diferimento (Art. 138 e Anexo IX LC 214/2025)</t>
        </is>
      </c>
    </row>
    <row r="840" ht="22" customHeight="1">
      <c r="A840" s="12" t="inlineStr">
        <is>
          <t>SKU-0836</t>
        </is>
      </c>
      <c r="B840" s="11" t="n">
        <v>600</v>
      </c>
      <c r="C840" s="13" t="inlineStr">
        <is>
          <t>SIPEAGRO (UF-XXXXX)</t>
        </is>
      </c>
      <c r="D840" s="14" t="inlineStr">
        <is>
          <t>KALIUM</t>
        </is>
      </c>
      <c r="E840" s="13" t="inlineStr">
        <is>
          <t>Embalagem Comercial do Produto</t>
        </is>
      </c>
      <c r="F840" s="13" t="inlineStr">
        <is>
          <t>1X20L (20 L)</t>
        </is>
      </c>
      <c r="G840" s="13" t="inlineStr">
        <is>
          <t>L</t>
        </is>
      </c>
      <c r="H840" s="15" t="n">
        <v>20</v>
      </c>
      <c r="I840" s="13" t="inlineStr">
        <is>
          <t>3104.90.90</t>
        </is>
      </c>
      <c r="J840" s="13" t="inlineStr">
        <is>
          <t>NÃO</t>
        </is>
      </c>
      <c r="K840" s="13" t="inlineStr">
        <is>
          <t>Embalagem de Insumo Nutricional/Biológico (Logística Reversa)</t>
        </is>
      </c>
      <c r="L840" s="13" t="inlineStr">
        <is>
          <t>NÃO</t>
        </is>
      </c>
      <c r="M840" s="13" t="inlineStr">
        <is>
          <t>0,00% (Lei nº 10.925/2004)</t>
        </is>
      </c>
      <c r="N840" s="13" t="inlineStr">
        <is>
          <t>0,925% (LC nº 224/2025)</t>
        </is>
      </c>
      <c r="O840" s="13" t="inlineStr">
        <is>
          <t>0,365% (LC nº 224/2025)</t>
        </is>
      </c>
      <c r="P840" s="13" t="inlineStr">
        <is>
          <t>CST 06</t>
        </is>
      </c>
      <c r="Q840" s="13" t="inlineStr">
        <is>
          <t>CST 73</t>
        </is>
      </c>
      <c r="R840" s="13" t="inlineStr">
        <is>
          <t>Redução de 60% + Diferimento (Art. 138 e Anexo IX LC 214/2025)</t>
        </is>
      </c>
    </row>
    <row r="841" ht="22" customHeight="1">
      <c r="A841" s="6" t="inlineStr">
        <is>
          <t>SKU-0837</t>
        </is>
      </c>
      <c r="B841" s="5" t="n">
        <v>600</v>
      </c>
      <c r="C841" s="7" t="inlineStr">
        <is>
          <t>SIPEAGRO (UF-XXXXX)</t>
        </is>
      </c>
      <c r="D841" s="8" t="inlineStr">
        <is>
          <t>KALIUM</t>
        </is>
      </c>
      <c r="E841" s="7" t="inlineStr">
        <is>
          <t>Faixa 1 TIPI (Apresentação &lt;= 300 g ou mL)</t>
        </is>
      </c>
      <c r="F841" s="7" t="inlineStr">
        <is>
          <t>Fracionado / Amostra &lt;= 0,3 L</t>
        </is>
      </c>
      <c r="G841" s="7" t="inlineStr">
        <is>
          <t>L</t>
        </is>
      </c>
      <c r="H841" s="17" t="n">
        <v>0.3</v>
      </c>
      <c r="I841" s="7" t="inlineStr">
        <is>
          <t>3105.90.90</t>
        </is>
      </c>
      <c r="J841" s="7" t="inlineStr">
        <is>
          <t>NÃO</t>
        </is>
      </c>
      <c r="K841" s="7" t="inlineStr">
        <is>
          <t>Embalagem de Insumo Nutricional/Biológico (Logística Reversa)</t>
        </is>
      </c>
      <c r="L841" s="7" t="inlineStr">
        <is>
          <t>NÃO</t>
        </is>
      </c>
      <c r="M841" s="7" t="inlineStr">
        <is>
          <t>0,00% (Lei nº 10.925/2004)</t>
        </is>
      </c>
      <c r="N841" s="7" t="inlineStr">
        <is>
          <t>0,925% (LC nº 224/2025)</t>
        </is>
      </c>
      <c r="O841" s="7" t="inlineStr">
        <is>
          <t>0,365% (LC nº 224/2025)</t>
        </is>
      </c>
      <c r="P841" s="7" t="inlineStr">
        <is>
          <t>CST 06</t>
        </is>
      </c>
      <c r="Q841" s="7" t="inlineStr">
        <is>
          <t>CST 73</t>
        </is>
      </c>
      <c r="R841" s="7" t="inlineStr">
        <is>
          <t>Redução de 60% + Diferimento (Art. 138 e Anexo IX LC 214/2025)</t>
        </is>
      </c>
    </row>
    <row r="842" ht="22" customHeight="1">
      <c r="A842" s="12" t="inlineStr">
        <is>
          <t>SKU-0838</t>
        </is>
      </c>
      <c r="B842" s="11" t="n">
        <v>601</v>
      </c>
      <c r="C842" s="13" t="inlineStr">
        <is>
          <t>Nº 26220</t>
        </is>
      </c>
      <c r="D842" s="14" t="inlineStr">
        <is>
          <t>VIVANTHA</t>
        </is>
      </c>
      <c r="E842" s="13" t="inlineStr">
        <is>
          <t>Embalagem Comercial do Produto</t>
        </is>
      </c>
      <c r="F842" s="13" t="inlineStr">
        <is>
          <t>4X5KG (5 KG)</t>
        </is>
      </c>
      <c r="G842" s="13" t="inlineStr">
        <is>
          <t>KG</t>
        </is>
      </c>
      <c r="H842" s="15" t="n">
        <v>5</v>
      </c>
      <c r="I842" s="13" t="inlineStr">
        <is>
          <t>3808.91.99</t>
        </is>
      </c>
      <c r="J842" s="13" t="inlineStr">
        <is>
          <t>NÃO</t>
        </is>
      </c>
      <c r="K842" s="13" t="inlineStr">
        <is>
          <t>Embalagem Flexível — NÃO LAVÁVEL (Perfurar e usar saco ABNT)</t>
        </is>
      </c>
      <c r="L842" s="13" t="inlineStr">
        <is>
          <t>SIM (Saco Transparente ABNT)</t>
        </is>
      </c>
      <c r="M842" s="13" t="inlineStr">
        <is>
          <t>0,00% (Lei nº 10.925/2004)</t>
        </is>
      </c>
      <c r="N842" s="13" t="inlineStr">
        <is>
          <t>0,925% (LC nº 224/2025)</t>
        </is>
      </c>
      <c r="O842" s="13" t="inlineStr">
        <is>
          <t>0,365% (LC nº 224/2025)</t>
        </is>
      </c>
      <c r="P842" s="13" t="inlineStr">
        <is>
          <t>CST 06</t>
        </is>
      </c>
      <c r="Q842" s="13" t="inlineStr">
        <is>
          <t>CST 73</t>
        </is>
      </c>
      <c r="R842" s="13" t="inlineStr">
        <is>
          <t>Redução de 60% + Diferimento (Art. 138 e Anexo IX LC 214/2025)</t>
        </is>
      </c>
    </row>
    <row r="843" ht="22" customHeight="1">
      <c r="A843" s="6" t="inlineStr">
        <is>
          <t>SKU-0839</t>
        </is>
      </c>
      <c r="B843" s="5" t="n">
        <v>602</v>
      </c>
      <c r="C843" s="7" t="inlineStr">
        <is>
          <t>SIPEAGRO (UF-XXXXX)</t>
        </is>
      </c>
      <c r="D843" s="8" t="inlineStr">
        <is>
          <t>MAP - FOSFATO MONOAMONICO CRISTAL</t>
        </is>
      </c>
      <c r="E843" s="7" t="inlineStr">
        <is>
          <t>Embalagem Comercial do Produto</t>
        </is>
      </c>
      <c r="F843" s="7" t="inlineStr">
        <is>
          <t>1X25KG (25 KG)</t>
        </is>
      </c>
      <c r="G843" s="7" t="inlineStr">
        <is>
          <t>KG</t>
        </is>
      </c>
      <c r="H843" s="9" t="n">
        <v>25</v>
      </c>
      <c r="I843" s="7" t="inlineStr">
        <is>
          <t>3105.40.00</t>
        </is>
      </c>
      <c r="J843" s="7" t="inlineStr">
        <is>
          <t>NÃO</t>
        </is>
      </c>
      <c r="K843" s="7" t="inlineStr">
        <is>
          <t>Embalagem de Insumo Nutricional/Biológico (Logística Reversa)</t>
        </is>
      </c>
      <c r="L843" s="7" t="inlineStr">
        <is>
          <t>NÃO</t>
        </is>
      </c>
      <c r="M843" s="7" t="inlineStr">
        <is>
          <t>0,00% (Lei nº 10.925/2004)</t>
        </is>
      </c>
      <c r="N843" s="7" t="inlineStr">
        <is>
          <t>0,925% (LC nº 224/2025)</t>
        </is>
      </c>
      <c r="O843" s="7" t="inlineStr">
        <is>
          <t>0,365% (LC nº 224/2025)</t>
        </is>
      </c>
      <c r="P843" s="7" t="inlineStr">
        <is>
          <t>CST 06</t>
        </is>
      </c>
      <c r="Q843" s="7" t="inlineStr">
        <is>
          <t>CST 73</t>
        </is>
      </c>
      <c r="R843" s="7" t="inlineStr">
        <is>
          <t>Redução de 60% + Diferimento (Art. 138 e Anexo IX LC 214/2025)</t>
        </is>
      </c>
    </row>
    <row r="844" ht="22" customHeight="1">
      <c r="A844" s="12" t="inlineStr">
        <is>
          <t>SKU-0840</t>
        </is>
      </c>
      <c r="B844" s="11" t="n">
        <v>602</v>
      </c>
      <c r="C844" s="13" t="inlineStr">
        <is>
          <t>SIPEAGRO (UF-XXXXX)</t>
        </is>
      </c>
      <c r="D844" s="14" t="inlineStr">
        <is>
          <t>MAP - FOSFATO MONOAMONICO CRISTAL</t>
        </is>
      </c>
      <c r="E844" s="13" t="inlineStr">
        <is>
          <t>Faixa 1 TIPI (Apresentação &lt;= 300 g ou mL)</t>
        </is>
      </c>
      <c r="F844" s="13" t="inlineStr">
        <is>
          <t>Fracionado / Amostra &lt;= 0,3 KG</t>
        </is>
      </c>
      <c r="G844" s="13" t="inlineStr">
        <is>
          <t>KG</t>
        </is>
      </c>
      <c r="H844" s="18" t="n">
        <v>0.3</v>
      </c>
      <c r="I844" s="13" t="inlineStr">
        <is>
          <t>3105.40.00</t>
        </is>
      </c>
      <c r="J844" s="13" t="inlineStr">
        <is>
          <t>NÃO</t>
        </is>
      </c>
      <c r="K844" s="13" t="inlineStr">
        <is>
          <t>Embalagem de Insumo Nutricional/Biológico (Logística Reversa)</t>
        </is>
      </c>
      <c r="L844" s="13" t="inlineStr">
        <is>
          <t>NÃO</t>
        </is>
      </c>
      <c r="M844" s="13" t="inlineStr">
        <is>
          <t>0,00% (Lei nº 10.925/2004)</t>
        </is>
      </c>
      <c r="N844" s="13" t="inlineStr">
        <is>
          <t>0,925% (LC nº 224/2025)</t>
        </is>
      </c>
      <c r="O844" s="13" t="inlineStr">
        <is>
          <t>0,365% (LC nº 224/2025)</t>
        </is>
      </c>
      <c r="P844" s="13" t="inlineStr">
        <is>
          <t>CST 06</t>
        </is>
      </c>
      <c r="Q844" s="13" t="inlineStr">
        <is>
          <t>CST 73</t>
        </is>
      </c>
      <c r="R844" s="13" t="inlineStr">
        <is>
          <t>Redução de 60% + Diferimento (Art. 138 e Anexo IX LC 214/2025)</t>
        </is>
      </c>
    </row>
    <row r="845" ht="22" customHeight="1">
      <c r="A845" s="6" t="inlineStr">
        <is>
          <t>SKU-0841</t>
        </is>
      </c>
      <c r="B845" s="5" t="n">
        <v>603</v>
      </c>
      <c r="C845" s="7" t="inlineStr">
        <is>
          <t>Nº 2509</t>
        </is>
      </c>
      <c r="D845" s="8" t="inlineStr">
        <is>
          <t>BELT</t>
        </is>
      </c>
      <c r="E845" s="7" t="inlineStr">
        <is>
          <t>Embalagem Comercial do Produto</t>
        </is>
      </c>
      <c r="F845" s="7" t="inlineStr">
        <is>
          <t>4X5L (5 L)</t>
        </is>
      </c>
      <c r="G845" s="7" t="inlineStr">
        <is>
          <t>L</t>
        </is>
      </c>
      <c r="H845" s="9" t="n">
        <v>5</v>
      </c>
      <c r="I845" s="7" t="inlineStr">
        <is>
          <t>3808.91.99</t>
        </is>
      </c>
      <c r="J845" s="7" t="inlineStr">
        <is>
          <t>NÃO</t>
        </is>
      </c>
      <c r="K845" s="7" t="inlineStr">
        <is>
          <t>Embalagem Rígida — LAVÁVEL (Obrigatória Tríplice Lavagem ou Pressão)</t>
        </is>
      </c>
      <c r="L845" s="7" t="inlineStr">
        <is>
          <t>NÃO</t>
        </is>
      </c>
      <c r="M845" s="7" t="inlineStr">
        <is>
          <t>0,00% (Lei nº 10.925/2004)</t>
        </is>
      </c>
      <c r="N845" s="7" t="inlineStr">
        <is>
          <t>0,925% (LC nº 224/2025)</t>
        </is>
      </c>
      <c r="O845" s="7" t="inlineStr">
        <is>
          <t>0,365% (LC nº 224/2025)</t>
        </is>
      </c>
      <c r="P845" s="7" t="inlineStr">
        <is>
          <t>CST 06</t>
        </is>
      </c>
      <c r="Q845" s="7" t="inlineStr">
        <is>
          <t>CST 73</t>
        </is>
      </c>
      <c r="R845" s="7" t="inlineStr">
        <is>
          <t>Redução de 60% + Diferimento (Art. 138 e Anexo IX LC 214/2025)</t>
        </is>
      </c>
    </row>
    <row r="846" ht="22" customHeight="1">
      <c r="A846" s="12" t="inlineStr">
        <is>
          <t>SKU-0842</t>
        </is>
      </c>
      <c r="B846" s="11" t="n">
        <v>604</v>
      </c>
      <c r="C846" s="13" t="inlineStr">
        <is>
          <t>SIPEAGRO (UF-XXXXX)</t>
        </is>
      </c>
      <c r="D846" s="14" t="inlineStr">
        <is>
          <t>BIOAZOS 1,5L</t>
        </is>
      </c>
      <c r="E846" s="13" t="inlineStr">
        <is>
          <t>Embalagem Comercial do Produto</t>
        </is>
      </c>
      <c r="F846" s="13" t="inlineStr">
        <is>
          <t>1,5L (1.5 L)</t>
        </is>
      </c>
      <c r="G846" s="13" t="inlineStr">
        <is>
          <t>L</t>
        </is>
      </c>
      <c r="H846" s="18" t="n">
        <v>1.5</v>
      </c>
      <c r="I846" s="13" t="inlineStr">
        <is>
          <t>3002.49.99</t>
        </is>
      </c>
      <c r="J846" s="13" t="inlineStr">
        <is>
          <t>NÃO</t>
        </is>
      </c>
      <c r="K846" s="13" t="inlineStr">
        <is>
          <t>Embalagem de Insumo Nutricional/Biológico (Logística Reversa)</t>
        </is>
      </c>
      <c r="L846" s="13" t="inlineStr">
        <is>
          <t>NÃO</t>
        </is>
      </c>
      <c r="M846" s="13" t="inlineStr">
        <is>
          <t>0,00% (Lei nº 10.925/2004)</t>
        </is>
      </c>
      <c r="N846" s="13" t="inlineStr">
        <is>
          <t>0,925% (LC nº 224/2025)</t>
        </is>
      </c>
      <c r="O846" s="13" t="inlineStr">
        <is>
          <t>0,365% (LC nº 224/2025)</t>
        </is>
      </c>
      <c r="P846" s="13" t="inlineStr">
        <is>
          <t>CST 06</t>
        </is>
      </c>
      <c r="Q846" s="13" t="inlineStr">
        <is>
          <t>CST 73</t>
        </is>
      </c>
      <c r="R846" s="13" t="inlineStr">
        <is>
          <t>Redução de 60% + Diferimento (Art. 138 e Anexo IX LC 214/2025)</t>
        </is>
      </c>
    </row>
    <row r="847" ht="22" customHeight="1">
      <c r="A847" s="6" t="inlineStr">
        <is>
          <t>SKU-0843</t>
        </is>
      </c>
      <c r="B847" s="5" t="n">
        <v>604</v>
      </c>
      <c r="C847" s="7" t="inlineStr">
        <is>
          <t>SIPEAGRO (UF-XXXXX)</t>
        </is>
      </c>
      <c r="D847" s="8" t="inlineStr">
        <is>
          <t>BIOAZOS 1,5L</t>
        </is>
      </c>
      <c r="E847" s="7" t="inlineStr">
        <is>
          <t>Faixa 1 TIPI (Apresentação &lt;= 300 g ou mL)</t>
        </is>
      </c>
      <c r="F847" s="7" t="inlineStr">
        <is>
          <t>Fracionado / Amostra &lt;= 0,3 L</t>
        </is>
      </c>
      <c r="G847" s="7" t="inlineStr">
        <is>
          <t>L</t>
        </is>
      </c>
      <c r="H847" s="17" t="n">
        <v>0.3</v>
      </c>
      <c r="I847" s="7" t="inlineStr">
        <is>
          <t>3002.49.99</t>
        </is>
      </c>
      <c r="J847" s="7" t="inlineStr">
        <is>
          <t>NÃO</t>
        </is>
      </c>
      <c r="K847" s="7" t="inlineStr">
        <is>
          <t>Embalagem de Insumo Nutricional/Biológico (Logística Reversa)</t>
        </is>
      </c>
      <c r="L847" s="7" t="inlineStr">
        <is>
          <t>NÃO</t>
        </is>
      </c>
      <c r="M847" s="7" t="inlineStr">
        <is>
          <t>0,00% (Lei nº 10.925/2004)</t>
        </is>
      </c>
      <c r="N847" s="7" t="inlineStr">
        <is>
          <t>0,925% (LC nº 224/2025)</t>
        </is>
      </c>
      <c r="O847" s="7" t="inlineStr">
        <is>
          <t>0,365% (LC nº 224/2025)</t>
        </is>
      </c>
      <c r="P847" s="7" t="inlineStr">
        <is>
          <t>CST 06</t>
        </is>
      </c>
      <c r="Q847" s="7" t="inlineStr">
        <is>
          <t>CST 73</t>
        </is>
      </c>
      <c r="R847" s="7" t="inlineStr">
        <is>
          <t>Redução de 60% + Diferimento (Art. 138 e Anexo IX LC 214/2025)</t>
        </is>
      </c>
    </row>
    <row r="848" ht="22" customHeight="1">
      <c r="A848" s="12" t="inlineStr">
        <is>
          <t>SKU-0844</t>
        </is>
      </c>
      <c r="B848" s="11" t="n">
        <v>605</v>
      </c>
      <c r="C848" s="13" t="inlineStr">
        <is>
          <t>Nº 4899</t>
        </is>
      </c>
      <c r="D848" s="14" t="inlineStr">
        <is>
          <t>CERTERO SC</t>
        </is>
      </c>
      <c r="E848" s="13" t="inlineStr">
        <is>
          <t>Embalagem Comercial do Produto</t>
        </is>
      </c>
      <c r="F848" s="13" t="inlineStr">
        <is>
          <t>4X5L (5 L)</t>
        </is>
      </c>
      <c r="G848" s="13" t="inlineStr">
        <is>
          <t>L</t>
        </is>
      </c>
      <c r="H848" s="15" t="n">
        <v>5</v>
      </c>
      <c r="I848" s="13" t="inlineStr">
        <is>
          <t>3808.91.99</t>
        </is>
      </c>
      <c r="J848" s="13" t="inlineStr">
        <is>
          <t>NÃO</t>
        </is>
      </c>
      <c r="K848" s="13" t="inlineStr">
        <is>
          <t>Embalagem Rígida — LAVÁVEL (Obrigatória Tríplice Lavagem ou Pressão)</t>
        </is>
      </c>
      <c r="L848" s="13" t="inlineStr">
        <is>
          <t>NÃO</t>
        </is>
      </c>
      <c r="M848" s="13" t="inlineStr">
        <is>
          <t>0,00% (Lei nº 10.925/2004)</t>
        </is>
      </c>
      <c r="N848" s="13" t="inlineStr">
        <is>
          <t>0,925% (LC nº 224/2025)</t>
        </is>
      </c>
      <c r="O848" s="13" t="inlineStr">
        <is>
          <t>0,365% (LC nº 224/2025)</t>
        </is>
      </c>
      <c r="P848" s="13" t="inlineStr">
        <is>
          <t>CST 06</t>
        </is>
      </c>
      <c r="Q848" s="13" t="inlineStr">
        <is>
          <t>CST 73</t>
        </is>
      </c>
      <c r="R848" s="13" t="inlineStr">
        <is>
          <t>Redução de 60% + Diferimento (Art. 138 e Anexo IX LC 214/2025)</t>
        </is>
      </c>
    </row>
    <row r="849" ht="22" customHeight="1">
      <c r="A849" s="6" t="inlineStr">
        <is>
          <t>SKU-0845</t>
        </is>
      </c>
      <c r="B849" s="5" t="n">
        <v>606</v>
      </c>
      <c r="C849" s="7" t="inlineStr">
        <is>
          <t>Nº 6105</t>
        </is>
      </c>
      <c r="D849" s="8" t="inlineStr">
        <is>
          <t>ENGEO PLENO S</t>
        </is>
      </c>
      <c r="E849" s="7" t="inlineStr">
        <is>
          <t>Embalagem Comercial do Produto</t>
        </is>
      </c>
      <c r="F849" s="7" t="inlineStr">
        <is>
          <t>1X20L (20 L)</t>
        </is>
      </c>
      <c r="G849" s="7" t="inlineStr">
        <is>
          <t>L</t>
        </is>
      </c>
      <c r="H849" s="9" t="n">
        <v>20</v>
      </c>
      <c r="I849" s="7" t="inlineStr">
        <is>
          <t>3808.91.99</t>
        </is>
      </c>
      <c r="J849" s="7" t="inlineStr">
        <is>
          <t>NÃO</t>
        </is>
      </c>
      <c r="K849" s="7" t="inlineStr">
        <is>
          <t>Embalagem Rígida — LAVÁVEL (Obrigatória Tríplice Lavagem ou Pressão)</t>
        </is>
      </c>
      <c r="L849" s="7" t="inlineStr">
        <is>
          <t>NÃO</t>
        </is>
      </c>
      <c r="M849" s="7" t="inlineStr">
        <is>
          <t>0,00% (Lei nº 10.925/2004)</t>
        </is>
      </c>
      <c r="N849" s="7" t="inlineStr">
        <is>
          <t>0,925% (LC nº 224/2025)</t>
        </is>
      </c>
      <c r="O849" s="7" t="inlineStr">
        <is>
          <t>0,365% (LC nº 224/2025)</t>
        </is>
      </c>
      <c r="P849" s="7" t="inlineStr">
        <is>
          <t>CST 06</t>
        </is>
      </c>
      <c r="Q849" s="7" t="inlineStr">
        <is>
          <t>CST 73</t>
        </is>
      </c>
      <c r="R849" s="7" t="inlineStr">
        <is>
          <t>Redução de 60% + Diferimento (Art. 138 e Anexo IX LC 214/2025)</t>
        </is>
      </c>
    </row>
    <row r="850" ht="22" customHeight="1">
      <c r="A850" s="12" t="inlineStr">
        <is>
          <t>SKU-0846</t>
        </is>
      </c>
      <c r="B850" s="11" t="n">
        <v>607</v>
      </c>
      <c r="C850" s="13" t="inlineStr">
        <is>
          <t>Nº 5108</t>
        </is>
      </c>
      <c r="D850" s="14" t="inlineStr">
        <is>
          <t>SOBERAN SC</t>
        </is>
      </c>
      <c r="E850" s="13" t="inlineStr">
        <is>
          <t>Embalagem Comercial do Produto</t>
        </is>
      </c>
      <c r="F850" s="13" t="inlineStr">
        <is>
          <t>4X5L (5 L)</t>
        </is>
      </c>
      <c r="G850" s="13" t="inlineStr">
        <is>
          <t>L</t>
        </is>
      </c>
      <c r="H850" s="15" t="n">
        <v>5</v>
      </c>
      <c r="I850" s="13" t="inlineStr">
        <is>
          <t>3808.93.29</t>
        </is>
      </c>
      <c r="J850" s="13" t="inlineStr">
        <is>
          <t>NÃO</t>
        </is>
      </c>
      <c r="K850" s="13" t="inlineStr">
        <is>
          <t>Embalagem Rígida — LAVÁVEL (Obrigatória Tríplice Lavagem ou Pressão)</t>
        </is>
      </c>
      <c r="L850" s="13" t="inlineStr">
        <is>
          <t>NÃO</t>
        </is>
      </c>
      <c r="M850" s="13" t="inlineStr">
        <is>
          <t>0,00% (Lei nº 10.925/2004)</t>
        </is>
      </c>
      <c r="N850" s="13" t="inlineStr">
        <is>
          <t>0,925% (LC nº 224/2025)</t>
        </is>
      </c>
      <c r="O850" s="13" t="inlineStr">
        <is>
          <t>0,365% (LC nº 224/2025)</t>
        </is>
      </c>
      <c r="P850" s="13" t="inlineStr">
        <is>
          <t>CST 06</t>
        </is>
      </c>
      <c r="Q850" s="13" t="inlineStr">
        <is>
          <t>CST 73</t>
        </is>
      </c>
      <c r="R850" s="13" t="inlineStr">
        <is>
          <t>Redução de 60% + Diferimento (Art. 138 e Anexo IX LC 214/2025)</t>
        </is>
      </c>
    </row>
    <row r="851" ht="22" customHeight="1">
      <c r="A851" s="6" t="inlineStr">
        <is>
          <t>SKU-0847</t>
        </is>
      </c>
      <c r="B851" s="5" t="n">
        <v>608</v>
      </c>
      <c r="C851" s="7" t="inlineStr">
        <is>
          <t>Nº 4822</t>
        </is>
      </c>
      <c r="D851" s="8" t="inlineStr">
        <is>
          <t>FEROCE</t>
        </is>
      </c>
      <c r="E851" s="7" t="inlineStr">
        <is>
          <t>Embalagem Comercial do Produto</t>
        </is>
      </c>
      <c r="F851" s="7" t="inlineStr">
        <is>
          <t>4X5KG (5 KG)</t>
        </is>
      </c>
      <c r="G851" s="7" t="inlineStr">
        <is>
          <t>KG</t>
        </is>
      </c>
      <c r="H851" s="9" t="n">
        <v>5</v>
      </c>
      <c r="I851" s="7" t="inlineStr">
        <is>
          <t>3808.91.91</t>
        </is>
      </c>
      <c r="J851" s="7" t="inlineStr">
        <is>
          <t>NÃO</t>
        </is>
      </c>
      <c r="K851" s="7" t="inlineStr">
        <is>
          <t>Embalagem Flexível — NÃO LAVÁVEL (Perfurar e usar saco ABNT)</t>
        </is>
      </c>
      <c r="L851" s="7" t="inlineStr">
        <is>
          <t>SIM (Saco Transparente ABNT)</t>
        </is>
      </c>
      <c r="M851" s="7" t="inlineStr">
        <is>
          <t>0,00% (Lei nº 10.925/2004)</t>
        </is>
      </c>
      <c r="N851" s="7" t="inlineStr">
        <is>
          <t>0,925% (LC nº 224/2025)</t>
        </is>
      </c>
      <c r="O851" s="7" t="inlineStr">
        <is>
          <t>0,365% (LC nº 224/2025)</t>
        </is>
      </c>
      <c r="P851" s="7" t="inlineStr">
        <is>
          <t>CST 06</t>
        </is>
      </c>
      <c r="Q851" s="7" t="inlineStr">
        <is>
          <t>CST 73</t>
        </is>
      </c>
      <c r="R851" s="7" t="inlineStr">
        <is>
          <t>Redução de 60% + Diferimento (Art. 138 e Anexo IX LC 214/2025)</t>
        </is>
      </c>
    </row>
    <row r="852" ht="22" customHeight="1">
      <c r="A852" s="12" t="inlineStr">
        <is>
          <t>SKU-0848</t>
        </is>
      </c>
      <c r="B852" s="11" t="n">
        <v>609</v>
      </c>
      <c r="C852" s="13" t="inlineStr">
        <is>
          <t>Nº 8514</t>
        </is>
      </c>
      <c r="D852" s="14" t="inlineStr">
        <is>
          <t>GLIFORTE</t>
        </is>
      </c>
      <c r="E852" s="13" t="inlineStr">
        <is>
          <t>Embalagem Comercial do Produto</t>
        </is>
      </c>
      <c r="F852" s="13" t="inlineStr">
        <is>
          <t>4X5KG (5 KG)</t>
        </is>
      </c>
      <c r="G852" s="13" t="inlineStr">
        <is>
          <t>KG</t>
        </is>
      </c>
      <c r="H852" s="15" t="n">
        <v>5</v>
      </c>
      <c r="I852" s="13" t="inlineStr">
        <is>
          <t>3808.93.24</t>
        </is>
      </c>
      <c r="J852" s="13" t="inlineStr">
        <is>
          <t>NÃO</t>
        </is>
      </c>
      <c r="K852" s="13" t="inlineStr">
        <is>
          <t>Embalagem Flexível — NÃO LAVÁVEL (Perfurar e usar saco ABNT)</t>
        </is>
      </c>
      <c r="L852" s="13" t="inlineStr">
        <is>
          <t>SIM (Saco Transparente ABNT)</t>
        </is>
      </c>
      <c r="M852" s="13" t="inlineStr">
        <is>
          <t>0,00% (Lei nº 10.925/2004)</t>
        </is>
      </c>
      <c r="N852" s="13" t="inlineStr">
        <is>
          <t>0,925% (LC nº 224/2025)</t>
        </is>
      </c>
      <c r="O852" s="13" t="inlineStr">
        <is>
          <t>0,365% (LC nº 224/2025)</t>
        </is>
      </c>
      <c r="P852" s="13" t="inlineStr">
        <is>
          <t>CST 06</t>
        </is>
      </c>
      <c r="Q852" s="13" t="inlineStr">
        <is>
          <t>CST 73</t>
        </is>
      </c>
      <c r="R852" s="13" t="inlineStr">
        <is>
          <t>Redução de 60% + Diferimento (Art. 138 e Anexo IX LC 214/2025)</t>
        </is>
      </c>
    </row>
    <row r="853" ht="22" customHeight="1">
      <c r="A853" s="6" t="inlineStr">
        <is>
          <t>SKU-0849</t>
        </is>
      </c>
      <c r="B853" s="5" t="n">
        <v>610</v>
      </c>
      <c r="C853" s="7" t="inlineStr">
        <is>
          <t>Nº 8806</t>
        </is>
      </c>
      <c r="D853" s="8" t="inlineStr">
        <is>
          <t>IMUNIT</t>
        </is>
      </c>
      <c r="E853" s="7" t="inlineStr">
        <is>
          <t>Embalagem Comercial do Produto</t>
        </is>
      </c>
      <c r="F853" s="7" t="inlineStr">
        <is>
          <t>4X5L (5 L)</t>
        </is>
      </c>
      <c r="G853" s="7" t="inlineStr">
        <is>
          <t>L</t>
        </is>
      </c>
      <c r="H853" s="9" t="n">
        <v>5</v>
      </c>
      <c r="I853" s="7" t="inlineStr">
        <is>
          <t>3808.91.99</t>
        </is>
      </c>
      <c r="J853" s="7" t="inlineStr">
        <is>
          <t>NÃO</t>
        </is>
      </c>
      <c r="K853" s="7" t="inlineStr">
        <is>
          <t>Embalagem Rígida — LAVÁVEL (Obrigatória Tríplice Lavagem ou Pressão)</t>
        </is>
      </c>
      <c r="L853" s="7" t="inlineStr">
        <is>
          <t>NÃO</t>
        </is>
      </c>
      <c r="M853" s="7" t="inlineStr">
        <is>
          <t>0,00% (Lei nº 10.925/2004)</t>
        </is>
      </c>
      <c r="N853" s="7" t="inlineStr">
        <is>
          <t>0,925% (LC nº 224/2025)</t>
        </is>
      </c>
      <c r="O853" s="7" t="inlineStr">
        <is>
          <t>0,365% (LC nº 224/2025)</t>
        </is>
      </c>
      <c r="P853" s="7" t="inlineStr">
        <is>
          <t>CST 06</t>
        </is>
      </c>
      <c r="Q853" s="7" t="inlineStr">
        <is>
          <t>CST 73</t>
        </is>
      </c>
      <c r="R853" s="7" t="inlineStr">
        <is>
          <t>Redução de 60% + Diferimento (Art. 138 e Anexo IX LC 214/2025)</t>
        </is>
      </c>
    </row>
    <row r="854" ht="22" customHeight="1">
      <c r="A854" s="12" t="inlineStr">
        <is>
          <t>SKU-0850</t>
        </is>
      </c>
      <c r="B854" s="11" t="n">
        <v>611</v>
      </c>
      <c r="C854" s="13" t="inlineStr">
        <is>
          <t>SIPEAGRO (UF-XXXXX)</t>
        </is>
      </c>
      <c r="D854" s="14" t="inlineStr">
        <is>
          <t>INOCULANTE GRAP NOD+ 1X1,5KG</t>
        </is>
      </c>
      <c r="E854" s="13" t="inlineStr">
        <is>
          <t>Embalagem Comercial do Produto</t>
        </is>
      </c>
      <c r="F854" s="13" t="inlineStr">
        <is>
          <t>1X1,5KG (1.5 KG)</t>
        </is>
      </c>
      <c r="G854" s="13" t="inlineStr">
        <is>
          <t>KG</t>
        </is>
      </c>
      <c r="H854" s="18" t="n">
        <v>1.5</v>
      </c>
      <c r="I854" s="13" t="inlineStr">
        <is>
          <t>3002.49.99</t>
        </is>
      </c>
      <c r="J854" s="13" t="inlineStr">
        <is>
          <t>NÃO</t>
        </is>
      </c>
      <c r="K854" s="13" t="inlineStr">
        <is>
          <t>Embalagem de Insumo Nutricional/Biológico (Logística Reversa)</t>
        </is>
      </c>
      <c r="L854" s="13" t="inlineStr">
        <is>
          <t>NÃO</t>
        </is>
      </c>
      <c r="M854" s="13" t="inlineStr">
        <is>
          <t>0,00% (Lei nº 10.925/2004)</t>
        </is>
      </c>
      <c r="N854" s="13" t="inlineStr">
        <is>
          <t>0,925% (LC nº 224/2025)</t>
        </is>
      </c>
      <c r="O854" s="13" t="inlineStr">
        <is>
          <t>0,365% (LC nº 224/2025)</t>
        </is>
      </c>
      <c r="P854" s="13" t="inlineStr">
        <is>
          <t>CST 06</t>
        </is>
      </c>
      <c r="Q854" s="13" t="inlineStr">
        <is>
          <t>CST 73</t>
        </is>
      </c>
      <c r="R854" s="13" t="inlineStr">
        <is>
          <t>Redução de 60% + Diferimento (Art. 138 e Anexo IX LC 214/2025)</t>
        </is>
      </c>
    </row>
    <row r="855" ht="22" customHeight="1">
      <c r="A855" s="6" t="inlineStr">
        <is>
          <t>SKU-0851</t>
        </is>
      </c>
      <c r="B855" s="5" t="n">
        <v>611</v>
      </c>
      <c r="C855" s="7" t="inlineStr">
        <is>
          <t>SIPEAGRO (UF-XXXXX)</t>
        </is>
      </c>
      <c r="D855" s="8" t="inlineStr">
        <is>
          <t>INOCULANTE GRAP NOD+ 1X1,5KG</t>
        </is>
      </c>
      <c r="E855" s="7" t="inlineStr">
        <is>
          <t>Faixa 1 TIPI (Apresentação &lt;= 300 g ou mL)</t>
        </is>
      </c>
      <c r="F855" s="7" t="inlineStr">
        <is>
          <t>Fracionado / Amostra &lt;= 0,3 KG</t>
        </is>
      </c>
      <c r="G855" s="7" t="inlineStr">
        <is>
          <t>KG</t>
        </is>
      </c>
      <c r="H855" s="17" t="n">
        <v>0.3</v>
      </c>
      <c r="I855" s="7" t="inlineStr">
        <is>
          <t>3002.49.99</t>
        </is>
      </c>
      <c r="J855" s="7" t="inlineStr">
        <is>
          <t>NÃO</t>
        </is>
      </c>
      <c r="K855" s="7" t="inlineStr">
        <is>
          <t>Embalagem de Insumo Nutricional/Biológico (Logística Reversa)</t>
        </is>
      </c>
      <c r="L855" s="7" t="inlineStr">
        <is>
          <t>NÃO</t>
        </is>
      </c>
      <c r="M855" s="7" t="inlineStr">
        <is>
          <t>0,00% (Lei nº 10.925/2004)</t>
        </is>
      </c>
      <c r="N855" s="7" t="inlineStr">
        <is>
          <t>0,925% (LC nº 224/2025)</t>
        </is>
      </c>
      <c r="O855" s="7" t="inlineStr">
        <is>
          <t>0,365% (LC nº 224/2025)</t>
        </is>
      </c>
      <c r="P855" s="7" t="inlineStr">
        <is>
          <t>CST 06</t>
        </is>
      </c>
      <c r="Q855" s="7" t="inlineStr">
        <is>
          <t>CST 73</t>
        </is>
      </c>
      <c r="R855" s="7" t="inlineStr">
        <is>
          <t>Redução de 60% + Diferimento (Art. 138 e Anexo IX LC 214/2025)</t>
        </is>
      </c>
    </row>
    <row r="856" ht="22" customHeight="1">
      <c r="A856" s="12" t="inlineStr">
        <is>
          <t>SKU-0852</t>
        </is>
      </c>
      <c r="B856" s="11" t="n">
        <v>612</v>
      </c>
      <c r="C856" s="13" t="inlineStr">
        <is>
          <t>SIPEAGRO (UF-XXXXX)</t>
        </is>
      </c>
      <c r="D856" s="14" t="inlineStr">
        <is>
          <t>NITROBASE Z21</t>
        </is>
      </c>
      <c r="E856" s="13" t="inlineStr">
        <is>
          <t>Embalagem Comercial do Produto</t>
        </is>
      </c>
      <c r="F856" s="13" t="inlineStr">
        <is>
          <t>1X20L (20 L)</t>
        </is>
      </c>
      <c r="G856" s="13" t="inlineStr">
        <is>
          <t>L</t>
        </is>
      </c>
      <c r="H856" s="15" t="n">
        <v>20</v>
      </c>
      <c r="I856" s="13" t="inlineStr">
        <is>
          <t>3105.90.90</t>
        </is>
      </c>
      <c r="J856" s="13" t="inlineStr">
        <is>
          <t>NÃO</t>
        </is>
      </c>
      <c r="K856" s="13" t="inlineStr">
        <is>
          <t>Embalagem de Insumo Nutricional/Biológico (Logística Reversa)</t>
        </is>
      </c>
      <c r="L856" s="13" t="inlineStr">
        <is>
          <t>NÃO</t>
        </is>
      </c>
      <c r="M856" s="13" t="inlineStr">
        <is>
          <t>0,00% (Lei nº 10.925/2004)</t>
        </is>
      </c>
      <c r="N856" s="13" t="inlineStr">
        <is>
          <t>0,925% (LC nº 224/2025)</t>
        </is>
      </c>
      <c r="O856" s="13" t="inlineStr">
        <is>
          <t>0,365% (LC nº 224/2025)</t>
        </is>
      </c>
      <c r="P856" s="13" t="inlineStr">
        <is>
          <t>CST 06</t>
        </is>
      </c>
      <c r="Q856" s="13" t="inlineStr">
        <is>
          <t>CST 73</t>
        </is>
      </c>
      <c r="R856" s="13" t="inlineStr">
        <is>
          <t>Redução de 60% + Diferimento (Art. 138 e Anexo IX LC 214/2025)</t>
        </is>
      </c>
    </row>
    <row r="857" ht="22" customHeight="1">
      <c r="A857" s="6" t="inlineStr">
        <is>
          <t>SKU-0853</t>
        </is>
      </c>
      <c r="B857" s="5" t="n">
        <v>612</v>
      </c>
      <c r="C857" s="7" t="inlineStr">
        <is>
          <t>SIPEAGRO (UF-XXXXX)</t>
        </is>
      </c>
      <c r="D857" s="8" t="inlineStr">
        <is>
          <t>NITROBASE Z21</t>
        </is>
      </c>
      <c r="E857" s="7" t="inlineStr">
        <is>
          <t>Faixa 1 TIPI (Apresentação &lt;= 300 g ou mL)</t>
        </is>
      </c>
      <c r="F857" s="7" t="inlineStr">
        <is>
          <t>Fracionado / Amostra &lt;= 0,3 L</t>
        </is>
      </c>
      <c r="G857" s="7" t="inlineStr">
        <is>
          <t>L</t>
        </is>
      </c>
      <c r="H857" s="17" t="n">
        <v>0.3</v>
      </c>
      <c r="I857" s="7" t="inlineStr">
        <is>
          <t>3105.90.90</t>
        </is>
      </c>
      <c r="J857" s="7" t="inlineStr">
        <is>
          <t>NÃO</t>
        </is>
      </c>
      <c r="K857" s="7" t="inlineStr">
        <is>
          <t>Embalagem de Insumo Nutricional/Biológico (Logística Reversa)</t>
        </is>
      </c>
      <c r="L857" s="7" t="inlineStr">
        <is>
          <t>NÃO</t>
        </is>
      </c>
      <c r="M857" s="7" t="inlineStr">
        <is>
          <t>0,00% (Lei nº 10.925/2004)</t>
        </is>
      </c>
      <c r="N857" s="7" t="inlineStr">
        <is>
          <t>0,925% (LC nº 224/2025)</t>
        </is>
      </c>
      <c r="O857" s="7" t="inlineStr">
        <is>
          <t>0,365% (LC nº 224/2025)</t>
        </is>
      </c>
      <c r="P857" s="7" t="inlineStr">
        <is>
          <t>CST 06</t>
        </is>
      </c>
      <c r="Q857" s="7" t="inlineStr">
        <is>
          <t>CST 73</t>
        </is>
      </c>
      <c r="R857" s="7" t="inlineStr">
        <is>
          <t>Redução de 60% + Diferimento (Art. 138 e Anexo IX LC 214/2025)</t>
        </is>
      </c>
    </row>
    <row r="858" ht="22" customHeight="1">
      <c r="A858" s="12" t="inlineStr">
        <is>
          <t>SKU-0854</t>
        </is>
      </c>
      <c r="B858" s="11" t="n">
        <v>613</v>
      </c>
      <c r="C858" s="13" t="inlineStr">
        <is>
          <t>SIPEAGRO (UF-XXXXX)</t>
        </is>
      </c>
      <c r="D858" s="14" t="inlineStr">
        <is>
          <t>RESISTANCE DRILLFLY</t>
        </is>
      </c>
      <c r="E858" s="13" t="inlineStr">
        <is>
          <t>Embalagem Comercial do Produto</t>
        </is>
      </c>
      <c r="F858" s="13" t="inlineStr">
        <is>
          <t>4X5L (5 L)</t>
        </is>
      </c>
      <c r="G858" s="13" t="inlineStr">
        <is>
          <t>L</t>
        </is>
      </c>
      <c r="H858" s="15" t="n">
        <v>5</v>
      </c>
      <c r="I858" s="13" t="inlineStr">
        <is>
          <t>3105.90.90</t>
        </is>
      </c>
      <c r="J858" s="13" t="inlineStr">
        <is>
          <t>NÃO</t>
        </is>
      </c>
      <c r="K858" s="13" t="inlineStr">
        <is>
          <t>Embalagem de Insumo Nutricional/Biológico (Logística Reversa)</t>
        </is>
      </c>
      <c r="L858" s="13" t="inlineStr">
        <is>
          <t>NÃO</t>
        </is>
      </c>
      <c r="M858" s="13" t="inlineStr">
        <is>
          <t>0,00% (Lei nº 10.925/2004)</t>
        </is>
      </c>
      <c r="N858" s="13" t="inlineStr">
        <is>
          <t>0,925% (LC nº 224/2025)</t>
        </is>
      </c>
      <c r="O858" s="13" t="inlineStr">
        <is>
          <t>0,365% (LC nº 224/2025)</t>
        </is>
      </c>
      <c r="P858" s="13" t="inlineStr">
        <is>
          <t>CST 06</t>
        </is>
      </c>
      <c r="Q858" s="13" t="inlineStr">
        <is>
          <t>CST 73</t>
        </is>
      </c>
      <c r="R858" s="13" t="inlineStr">
        <is>
          <t>Redução de 60% + Diferimento (Art. 138 e Anexo IX LC 214/2025)</t>
        </is>
      </c>
    </row>
    <row r="859" ht="22" customHeight="1">
      <c r="A859" s="6" t="inlineStr">
        <is>
          <t>SKU-0855</t>
        </is>
      </c>
      <c r="B859" s="5" t="n">
        <v>613</v>
      </c>
      <c r="C859" s="7" t="inlineStr">
        <is>
          <t>SIPEAGRO (UF-XXXXX)</t>
        </is>
      </c>
      <c r="D859" s="8" t="inlineStr">
        <is>
          <t>RESISTANCE DRILLFLY</t>
        </is>
      </c>
      <c r="E859" s="7" t="inlineStr">
        <is>
          <t>Faixa 1 TIPI (Apresentação &lt;= 300 g ou mL)</t>
        </is>
      </c>
      <c r="F859" s="7" t="inlineStr">
        <is>
          <t>Fracionado / Amostra &lt;= 0,3 L</t>
        </is>
      </c>
      <c r="G859" s="7" t="inlineStr">
        <is>
          <t>L</t>
        </is>
      </c>
      <c r="H859" s="17" t="n">
        <v>0.3</v>
      </c>
      <c r="I859" s="7" t="inlineStr">
        <is>
          <t>3105.90.90</t>
        </is>
      </c>
      <c r="J859" s="7" t="inlineStr">
        <is>
          <t>NÃO</t>
        </is>
      </c>
      <c r="K859" s="7" t="inlineStr">
        <is>
          <t>Embalagem de Insumo Nutricional/Biológico (Logística Reversa)</t>
        </is>
      </c>
      <c r="L859" s="7" t="inlineStr">
        <is>
          <t>NÃO</t>
        </is>
      </c>
      <c r="M859" s="7" t="inlineStr">
        <is>
          <t>0,00% (Lei nº 10.925/2004)</t>
        </is>
      </c>
      <c r="N859" s="7" t="inlineStr">
        <is>
          <t>0,925% (LC nº 224/2025)</t>
        </is>
      </c>
      <c r="O859" s="7" t="inlineStr">
        <is>
          <t>0,365% (LC nº 224/2025)</t>
        </is>
      </c>
      <c r="P859" s="7" t="inlineStr">
        <is>
          <t>CST 06</t>
        </is>
      </c>
      <c r="Q859" s="7" t="inlineStr">
        <is>
          <t>CST 73</t>
        </is>
      </c>
      <c r="R859" s="7" t="inlineStr">
        <is>
          <t>Redução de 60% + Diferimento (Art. 138 e Anexo IX LC 214/2025)</t>
        </is>
      </c>
    </row>
    <row r="860" ht="22" customHeight="1">
      <c r="A860" s="12" t="inlineStr">
        <is>
          <t>SKU-0856</t>
        </is>
      </c>
      <c r="B860" s="11" t="n">
        <v>614</v>
      </c>
      <c r="C860" s="13" t="inlineStr">
        <is>
          <t>Nº 13709</t>
        </is>
      </c>
      <c r="D860" s="14" t="inlineStr">
        <is>
          <t>SEIZER 100 EC</t>
        </is>
      </c>
      <c r="E860" s="13" t="inlineStr">
        <is>
          <t>Embalagem Comercial do Produto</t>
        </is>
      </c>
      <c r="F860" s="13" t="inlineStr">
        <is>
          <t>4X5L (5 L)</t>
        </is>
      </c>
      <c r="G860" s="13" t="inlineStr">
        <is>
          <t>L</t>
        </is>
      </c>
      <c r="H860" s="15" t="n">
        <v>5</v>
      </c>
      <c r="I860" s="13" t="inlineStr">
        <is>
          <t>3808.62.90</t>
        </is>
      </c>
      <c r="J860" s="13" t="inlineStr">
        <is>
          <t>SIM</t>
        </is>
      </c>
      <c r="K860" s="13" t="inlineStr">
        <is>
          <t>Embalagem Rígida — LAVÁVEL (Obrigatória Tríplice Lavagem ou Pressão)</t>
        </is>
      </c>
      <c r="L860" s="13" t="inlineStr">
        <is>
          <t>NÃO</t>
        </is>
      </c>
      <c r="M860" s="13" t="inlineStr">
        <is>
          <t>0,00% (Lei nº 10.925/2004)</t>
        </is>
      </c>
      <c r="N860" s="13" t="inlineStr">
        <is>
          <t>0,925% (LC nº 224/2025)</t>
        </is>
      </c>
      <c r="O860" s="13" t="inlineStr">
        <is>
          <t>0,365% (LC nº 224/2025)</t>
        </is>
      </c>
      <c r="P860" s="13" t="inlineStr">
        <is>
          <t>CST 06</t>
        </is>
      </c>
      <c r="Q860" s="13" t="inlineStr">
        <is>
          <t>CST 73</t>
        </is>
      </c>
      <c r="R860" s="13" t="inlineStr">
        <is>
          <t>Redução de 60% + Diferimento (Art. 138 e Anexo IX LC 214/2025)</t>
        </is>
      </c>
    </row>
    <row r="861" ht="22" customHeight="1">
      <c r="A861" s="6" t="inlineStr">
        <is>
          <t>SKU-0857</t>
        </is>
      </c>
      <c r="B861" s="5" t="n">
        <v>614</v>
      </c>
      <c r="C861" s="7" t="inlineStr">
        <is>
          <t>Nº 13709</t>
        </is>
      </c>
      <c r="D861" s="8" t="inlineStr">
        <is>
          <t>SEIZER 100 EC</t>
        </is>
      </c>
      <c r="E861" s="7" t="inlineStr">
        <is>
          <t>Faixa 1 TIPI (Apresentação &lt;= 300 g ou mL)</t>
        </is>
      </c>
      <c r="F861" s="7" t="inlineStr">
        <is>
          <t>Fracionado / Amostra &lt;= 0,3 L</t>
        </is>
      </c>
      <c r="G861" s="7" t="inlineStr">
        <is>
          <t>L</t>
        </is>
      </c>
      <c r="H861" s="17" t="n">
        <v>0.3</v>
      </c>
      <c r="I861" s="7" t="inlineStr">
        <is>
          <t>3808.61.00</t>
        </is>
      </c>
      <c r="J861" s="7" t="inlineStr">
        <is>
          <t>SIM</t>
        </is>
      </c>
      <c r="K861" s="7" t="inlineStr">
        <is>
          <t>Embalagem Rígida — LAVÁVEL (Obrigatória Tríplice Lavagem ou Pressão)</t>
        </is>
      </c>
      <c r="L861" s="7" t="inlineStr">
        <is>
          <t>NÃO</t>
        </is>
      </c>
      <c r="M861" s="7" t="inlineStr">
        <is>
          <t>0,00% (Lei nº 10.925/2004)</t>
        </is>
      </c>
      <c r="N861" s="7" t="inlineStr">
        <is>
          <t>0,925% (LC nº 224/2025)</t>
        </is>
      </c>
      <c r="O861" s="7" t="inlineStr">
        <is>
          <t>0,365% (LC nº 224/2025)</t>
        </is>
      </c>
      <c r="P861" s="7" t="inlineStr">
        <is>
          <t>CST 06</t>
        </is>
      </c>
      <c r="Q861" s="7" t="inlineStr">
        <is>
          <t>CST 73</t>
        </is>
      </c>
      <c r="R861" s="7" t="inlineStr">
        <is>
          <t>Redução de 60% + Diferimento (Art. 138 e Anexo IX LC 214/2025)</t>
        </is>
      </c>
    </row>
    <row r="862" ht="22" customHeight="1">
      <c r="A862" s="12" t="inlineStr">
        <is>
          <t>SKU-0858</t>
        </is>
      </c>
      <c r="B862" s="11" t="n">
        <v>615</v>
      </c>
      <c r="C862" s="13" t="inlineStr">
        <is>
          <t>Nº 3994</t>
        </is>
      </c>
      <c r="D862" s="14" t="inlineStr">
        <is>
          <t>SIALEX 500</t>
        </is>
      </c>
      <c r="E862" s="13" t="inlineStr">
        <is>
          <t>Embalagem Comercial do Produto</t>
        </is>
      </c>
      <c r="F862" s="13" t="inlineStr">
        <is>
          <t>10X1KG (1 KG)</t>
        </is>
      </c>
      <c r="G862" s="13" t="inlineStr">
        <is>
          <t>KG</t>
        </is>
      </c>
      <c r="H862" s="15" t="n">
        <v>1</v>
      </c>
      <c r="I862" s="13" t="inlineStr">
        <is>
          <t>3808.92.99</t>
        </is>
      </c>
      <c r="J862" s="13" t="inlineStr">
        <is>
          <t>NÃO</t>
        </is>
      </c>
      <c r="K862" s="13" t="inlineStr">
        <is>
          <t>Embalagem Flexível — NÃO LAVÁVEL (Perfurar e usar saco ABNT)</t>
        </is>
      </c>
      <c r="L862" s="13" t="inlineStr">
        <is>
          <t>SIM (Saco Transparente ABNT)</t>
        </is>
      </c>
      <c r="M862" s="13" t="inlineStr">
        <is>
          <t>0,00% (Lei nº 10.925/2004)</t>
        </is>
      </c>
      <c r="N862" s="13" t="inlineStr">
        <is>
          <t>0,925% (LC nº 224/2025)</t>
        </is>
      </c>
      <c r="O862" s="13" t="inlineStr">
        <is>
          <t>0,365% (LC nº 224/2025)</t>
        </is>
      </c>
      <c r="P862" s="13" t="inlineStr">
        <is>
          <t>CST 06</t>
        </is>
      </c>
      <c r="Q862" s="13" t="inlineStr">
        <is>
          <t>CST 73</t>
        </is>
      </c>
      <c r="R862" s="13" t="inlineStr">
        <is>
          <t>Redução de 60% + Diferimento (Art. 138 e Anexo IX LC 214/2025)</t>
        </is>
      </c>
    </row>
    <row r="863" ht="22" customHeight="1">
      <c r="A863" s="6" t="inlineStr">
        <is>
          <t>SKU-0859</t>
        </is>
      </c>
      <c r="B863" s="5" t="n">
        <v>616</v>
      </c>
      <c r="C863" s="7" t="inlineStr">
        <is>
          <t>Nº 28920</t>
        </is>
      </c>
      <c r="D863" s="8" t="inlineStr">
        <is>
          <t>SONDA</t>
        </is>
      </c>
      <c r="E863" s="7" t="inlineStr">
        <is>
          <t>Embalagem Comercial do Produto</t>
        </is>
      </c>
      <c r="F863" s="7" t="inlineStr">
        <is>
          <t>1X20L (20 L)</t>
        </is>
      </c>
      <c r="G863" s="7" t="inlineStr">
        <is>
          <t>L</t>
        </is>
      </c>
      <c r="H863" s="9" t="n">
        <v>20</v>
      </c>
      <c r="I863" s="7" t="inlineStr">
        <is>
          <t>3808.93.29</t>
        </is>
      </c>
      <c r="J863" s="7" t="inlineStr">
        <is>
          <t>NÃO</t>
        </is>
      </c>
      <c r="K863" s="7" t="inlineStr">
        <is>
          <t>Embalagem Rígida — LAVÁVEL (Obrigatória Tríplice Lavagem ou Pressão)</t>
        </is>
      </c>
      <c r="L863" s="7" t="inlineStr">
        <is>
          <t>NÃO</t>
        </is>
      </c>
      <c r="M863" s="7" t="inlineStr">
        <is>
          <t>0,00% (Lei nº 10.925/2004)</t>
        </is>
      </c>
      <c r="N863" s="7" t="inlineStr">
        <is>
          <t>0,925% (LC nº 224/2025)</t>
        </is>
      </c>
      <c r="O863" s="7" t="inlineStr">
        <is>
          <t>0,365% (LC nº 224/2025)</t>
        </is>
      </c>
      <c r="P863" s="7" t="inlineStr">
        <is>
          <t>CST 06</t>
        </is>
      </c>
      <c r="Q863" s="7" t="inlineStr">
        <is>
          <t>CST 73</t>
        </is>
      </c>
      <c r="R863" s="7" t="inlineStr">
        <is>
          <t>Redução de 60% + Diferimento (Art. 138 e Anexo IX LC 214/2025)</t>
        </is>
      </c>
    </row>
    <row r="864" ht="22" customHeight="1">
      <c r="A864" s="12" t="inlineStr">
        <is>
          <t>SKU-0860</t>
        </is>
      </c>
      <c r="B864" s="11" t="n">
        <v>617</v>
      </c>
      <c r="C864" s="13" t="inlineStr">
        <is>
          <t>Nº 6210</t>
        </is>
      </c>
      <c r="D864" s="14" t="inlineStr">
        <is>
          <t>STATUS</t>
        </is>
      </c>
      <c r="E864" s="13" t="inlineStr">
        <is>
          <t>Embalagem Comercial do Produto</t>
        </is>
      </c>
      <c r="F864" s="13" t="inlineStr">
        <is>
          <t>4X5L (5 L)</t>
        </is>
      </c>
      <c r="G864" s="13" t="inlineStr">
        <is>
          <t>L</t>
        </is>
      </c>
      <c r="H864" s="15" t="n">
        <v>5</v>
      </c>
      <c r="I864" s="13" t="inlineStr">
        <is>
          <t>3808.92.91</t>
        </is>
      </c>
      <c r="J864" s="13" t="inlineStr">
        <is>
          <t>NÃO</t>
        </is>
      </c>
      <c r="K864" s="13" t="inlineStr">
        <is>
          <t>Embalagem Rígida — LAVÁVEL (Obrigatória Tríplice Lavagem ou Pressão)</t>
        </is>
      </c>
      <c r="L864" s="13" t="inlineStr">
        <is>
          <t>NÃO</t>
        </is>
      </c>
      <c r="M864" s="13" t="inlineStr">
        <is>
          <t>0,00% (Lei nº 10.925/2004)</t>
        </is>
      </c>
      <c r="N864" s="13" t="inlineStr">
        <is>
          <t>0,925% (LC nº 224/2025)</t>
        </is>
      </c>
      <c r="O864" s="13" t="inlineStr">
        <is>
          <t>0,365% (LC nº 224/2025)</t>
        </is>
      </c>
      <c r="P864" s="13" t="inlineStr">
        <is>
          <t>CST 06</t>
        </is>
      </c>
      <c r="Q864" s="13" t="inlineStr">
        <is>
          <t>CST 73</t>
        </is>
      </c>
      <c r="R864" s="13" t="inlineStr">
        <is>
          <t>Redução de 60% + Diferimento (Art. 138 e Anexo IX LC 214/2025)</t>
        </is>
      </c>
    </row>
    <row r="865" ht="22" customHeight="1">
      <c r="A865" s="6" t="inlineStr">
        <is>
          <t>SKU-0861</t>
        </is>
      </c>
      <c r="B865" s="5" t="n">
        <v>617</v>
      </c>
      <c r="C865" s="7" t="inlineStr">
        <is>
          <t>Nº 6210</t>
        </is>
      </c>
      <c r="D865" s="8" t="inlineStr">
        <is>
          <t>STATUS</t>
        </is>
      </c>
      <c r="E865" s="7" t="inlineStr">
        <is>
          <t>Faixa 1 TIPI (Apresentação &lt;= 300 g ou mL)</t>
        </is>
      </c>
      <c r="F865" s="7" t="inlineStr">
        <is>
          <t>Fracionado / Amostra &lt;= 0,3 L</t>
        </is>
      </c>
      <c r="G865" s="7" t="inlineStr">
        <is>
          <t>L</t>
        </is>
      </c>
      <c r="H865" s="17" t="n">
        <v>0.3</v>
      </c>
      <c r="I865" s="7" t="inlineStr">
        <is>
          <t>3808.92.99</t>
        </is>
      </c>
      <c r="J865" s="7" t="inlineStr">
        <is>
          <t>NÃO</t>
        </is>
      </c>
      <c r="K865" s="7" t="inlineStr">
        <is>
          <t>Embalagem Rígida — LAVÁVEL (Obrigatória Tríplice Lavagem ou Pressão)</t>
        </is>
      </c>
      <c r="L865" s="7" t="inlineStr">
        <is>
          <t>NÃO</t>
        </is>
      </c>
      <c r="M865" s="7" t="inlineStr">
        <is>
          <t>0,00% (Lei nº 10.925/2004)</t>
        </is>
      </c>
      <c r="N865" s="7" t="inlineStr">
        <is>
          <t>0,925% (LC nº 224/2025)</t>
        </is>
      </c>
      <c r="O865" s="7" t="inlineStr">
        <is>
          <t>0,365% (LC nº 224/2025)</t>
        </is>
      </c>
      <c r="P865" s="7" t="inlineStr">
        <is>
          <t>CST 06</t>
        </is>
      </c>
      <c r="Q865" s="7" t="inlineStr">
        <is>
          <t>CST 73</t>
        </is>
      </c>
      <c r="R865" s="7" t="inlineStr">
        <is>
          <t>Redução de 60% + Diferimento (Art. 138 e Anexo IX LC 214/2025)</t>
        </is>
      </c>
    </row>
    <row r="866" ht="22" customHeight="1">
      <c r="A866" s="12" t="inlineStr">
        <is>
          <t>SKU-0862</t>
        </is>
      </c>
      <c r="B866" s="11" t="n">
        <v>618</v>
      </c>
      <c r="C866" s="13" t="inlineStr">
        <is>
          <t>SIPEAGRO (UF-XXXXX)</t>
        </is>
      </c>
      <c r="D866" s="14" t="inlineStr">
        <is>
          <t>VITAL BORO POLYOL</t>
        </is>
      </c>
      <c r="E866" s="13" t="inlineStr">
        <is>
          <t>Embalagem Comercial do Produto</t>
        </is>
      </c>
      <c r="F866" s="13" t="inlineStr">
        <is>
          <t>4X5L (5 L)</t>
        </is>
      </c>
      <c r="G866" s="13" t="inlineStr">
        <is>
          <t>L</t>
        </is>
      </c>
      <c r="H866" s="15" t="n">
        <v>5</v>
      </c>
      <c r="I866" s="13" t="inlineStr">
        <is>
          <t>3105.90.90</t>
        </is>
      </c>
      <c r="J866" s="13" t="inlineStr">
        <is>
          <t>NÃO</t>
        </is>
      </c>
      <c r="K866" s="13" t="inlineStr">
        <is>
          <t>Embalagem de Insumo Nutricional/Biológico (Logística Reversa)</t>
        </is>
      </c>
      <c r="L866" s="13" t="inlineStr">
        <is>
          <t>NÃO</t>
        </is>
      </c>
      <c r="M866" s="13" t="inlineStr">
        <is>
          <t>0,00% (Lei nº 10.925/2004)</t>
        </is>
      </c>
      <c r="N866" s="13" t="inlineStr">
        <is>
          <t>0,925% (LC nº 224/2025)</t>
        </is>
      </c>
      <c r="O866" s="13" t="inlineStr">
        <is>
          <t>0,365% (LC nº 224/2025)</t>
        </is>
      </c>
      <c r="P866" s="13" t="inlineStr">
        <is>
          <t>CST 06</t>
        </is>
      </c>
      <c r="Q866" s="13" t="inlineStr">
        <is>
          <t>CST 73</t>
        </is>
      </c>
      <c r="R866" s="13" t="inlineStr">
        <is>
          <t>Redução de 60% + Diferimento (Art. 138 e Anexo IX LC 214/2025)</t>
        </is>
      </c>
    </row>
    <row r="867" ht="22" customHeight="1">
      <c r="A867" s="6" t="inlineStr">
        <is>
          <t>SKU-0863</t>
        </is>
      </c>
      <c r="B867" s="5" t="n">
        <v>618</v>
      </c>
      <c r="C867" s="7" t="inlineStr">
        <is>
          <t>SIPEAGRO (UF-XXXXX)</t>
        </is>
      </c>
      <c r="D867" s="8" t="inlineStr">
        <is>
          <t>VITAL BORO POLYOL</t>
        </is>
      </c>
      <c r="E867" s="7" t="inlineStr">
        <is>
          <t>Faixa 1 TIPI (Apresentação &lt;= 300 g ou mL)</t>
        </is>
      </c>
      <c r="F867" s="7" t="inlineStr">
        <is>
          <t>Fracionado / Amostra &lt;= 0,3 L</t>
        </is>
      </c>
      <c r="G867" s="7" t="inlineStr">
        <is>
          <t>L</t>
        </is>
      </c>
      <c r="H867" s="17" t="n">
        <v>0.3</v>
      </c>
      <c r="I867" s="7" t="inlineStr">
        <is>
          <t>3105.90.90</t>
        </is>
      </c>
      <c r="J867" s="7" t="inlineStr">
        <is>
          <t>NÃO</t>
        </is>
      </c>
      <c r="K867" s="7" t="inlineStr">
        <is>
          <t>Embalagem de Insumo Nutricional/Biológico (Logística Reversa)</t>
        </is>
      </c>
      <c r="L867" s="7" t="inlineStr">
        <is>
          <t>NÃO</t>
        </is>
      </c>
      <c r="M867" s="7" t="inlineStr">
        <is>
          <t>0,00% (Lei nº 10.925/2004)</t>
        </is>
      </c>
      <c r="N867" s="7" t="inlineStr">
        <is>
          <t>0,925% (LC nº 224/2025)</t>
        </is>
      </c>
      <c r="O867" s="7" t="inlineStr">
        <is>
          <t>0,365% (LC nº 224/2025)</t>
        </is>
      </c>
      <c r="P867" s="7" t="inlineStr">
        <is>
          <t>CST 06</t>
        </is>
      </c>
      <c r="Q867" s="7" t="inlineStr">
        <is>
          <t>CST 73</t>
        </is>
      </c>
      <c r="R867" s="7" t="inlineStr">
        <is>
          <t>Redução de 60% + Diferimento (Art. 138 e Anexo IX LC 214/2025)</t>
        </is>
      </c>
    </row>
    <row r="868" ht="22" customHeight="1">
      <c r="A868" s="12" t="inlineStr">
        <is>
          <t>SKU-0864</t>
        </is>
      </c>
      <c r="B868" s="11" t="n">
        <v>619</v>
      </c>
      <c r="C868" s="13" t="inlineStr">
        <is>
          <t>Nº 32717</t>
        </is>
      </c>
      <c r="D868" s="14" t="inlineStr">
        <is>
          <t>VOTIVO PRIME</t>
        </is>
      </c>
      <c r="E868" s="13" t="inlineStr">
        <is>
          <t>Embalagem Comercial do Produto</t>
        </is>
      </c>
      <c r="F868" s="13" t="inlineStr">
        <is>
          <t>4X5L (5 L)</t>
        </is>
      </c>
      <c r="G868" s="13" t="inlineStr">
        <is>
          <t>L</t>
        </is>
      </c>
      <c r="H868" s="15" t="n">
        <v>5</v>
      </c>
      <c r="I868" s="13" t="inlineStr">
        <is>
          <t>3808.99.95</t>
        </is>
      </c>
      <c r="J868" s="13" t="inlineStr">
        <is>
          <t>NÃO</t>
        </is>
      </c>
      <c r="K868" s="13" t="inlineStr">
        <is>
          <t>Embalagem Rígida — LAVÁVEL (Obrigatória Tríplice Lavagem ou Pressão)</t>
        </is>
      </c>
      <c r="L868" s="13" t="inlineStr">
        <is>
          <t>NÃO</t>
        </is>
      </c>
      <c r="M868" s="13" t="inlineStr">
        <is>
          <t>0,00% (Lei nº 10.925/2004)</t>
        </is>
      </c>
      <c r="N868" s="13" t="inlineStr">
        <is>
          <t>0,925% (LC nº 224/2025)</t>
        </is>
      </c>
      <c r="O868" s="13" t="inlineStr">
        <is>
          <t>0,365% (LC nº 224/2025)</t>
        </is>
      </c>
      <c r="P868" s="13" t="inlineStr">
        <is>
          <t>CST 06</t>
        </is>
      </c>
      <c r="Q868" s="13" t="inlineStr">
        <is>
          <t>CST 73</t>
        </is>
      </c>
      <c r="R868" s="13" t="inlineStr">
        <is>
          <t>Redução de 60% + Diferimento (Art. 138 e Anexo IX LC 214/2025)</t>
        </is>
      </c>
    </row>
    <row r="869" ht="22" customHeight="1">
      <c r="A869" s="6" t="inlineStr">
        <is>
          <t>SKU-0865</t>
        </is>
      </c>
      <c r="B869" s="5" t="n">
        <v>620</v>
      </c>
      <c r="C869" s="7" t="inlineStr">
        <is>
          <t>Nº 2506</t>
        </is>
      </c>
      <c r="D869" s="8" t="inlineStr">
        <is>
          <t>CROPSTAR FS 600</t>
        </is>
      </c>
      <c r="E869" s="7" t="inlineStr">
        <is>
          <t>Embalagem Comercial do Produto</t>
        </is>
      </c>
      <c r="F869" s="7" t="inlineStr">
        <is>
          <t>4X5L (5 L)</t>
        </is>
      </c>
      <c r="G869" s="7" t="inlineStr">
        <is>
          <t>L</t>
        </is>
      </c>
      <c r="H869" s="9" t="n">
        <v>5</v>
      </c>
      <c r="I869" s="7" t="inlineStr">
        <is>
          <t>3808.91.99</t>
        </is>
      </c>
      <c r="J869" s="7" t="inlineStr">
        <is>
          <t>NÃO</t>
        </is>
      </c>
      <c r="K869" s="7" t="inlineStr">
        <is>
          <t>Embalagem Rígida — LAVÁVEL (Obrigatória Tríplice Lavagem ou Pressão)</t>
        </is>
      </c>
      <c r="L869" s="7" t="inlineStr">
        <is>
          <t>NÃO</t>
        </is>
      </c>
      <c r="M869" s="7" t="inlineStr">
        <is>
          <t>0,00% (Lei nº 10.925/2004)</t>
        </is>
      </c>
      <c r="N869" s="7" t="inlineStr">
        <is>
          <t>0,925% (LC nº 224/2025)</t>
        </is>
      </c>
      <c r="O869" s="7" t="inlineStr">
        <is>
          <t>0,365% (LC nº 224/2025)</t>
        </is>
      </c>
      <c r="P869" s="7" t="inlineStr">
        <is>
          <t>CST 06</t>
        </is>
      </c>
      <c r="Q869" s="7" t="inlineStr">
        <is>
          <t>CST 73</t>
        </is>
      </c>
      <c r="R869" s="7" t="inlineStr">
        <is>
          <t>Redução de 60% + Diferimento (Art. 138 e Anexo IX LC 214/2025)</t>
        </is>
      </c>
    </row>
    <row r="870" ht="22" customHeight="1">
      <c r="A870" s="12" t="inlineStr">
        <is>
          <t>SKU-0866</t>
        </is>
      </c>
      <c r="B870" s="11" t="n">
        <v>621</v>
      </c>
      <c r="C870" s="13" t="inlineStr">
        <is>
          <t>Nº 8912</t>
        </is>
      </c>
      <c r="D870" s="14" t="inlineStr">
        <is>
          <t>CRUCIAL</t>
        </is>
      </c>
      <c r="E870" s="13" t="inlineStr">
        <is>
          <t>Embalagem Comercial do Produto</t>
        </is>
      </c>
      <c r="F870" s="13" t="inlineStr">
        <is>
          <t>1X20L (20 L)</t>
        </is>
      </c>
      <c r="G870" s="13" t="inlineStr">
        <is>
          <t>L</t>
        </is>
      </c>
      <c r="H870" s="15" t="n">
        <v>20</v>
      </c>
      <c r="I870" s="13" t="inlineStr">
        <is>
          <t>3808.93.24</t>
        </is>
      </c>
      <c r="J870" s="13" t="inlineStr">
        <is>
          <t>NÃO</t>
        </is>
      </c>
      <c r="K870" s="13" t="inlineStr">
        <is>
          <t>Embalagem Rígida — LAVÁVEL (Obrigatória Tríplice Lavagem ou Pressão)</t>
        </is>
      </c>
      <c r="L870" s="13" t="inlineStr">
        <is>
          <t>NÃO</t>
        </is>
      </c>
      <c r="M870" s="13" t="inlineStr">
        <is>
          <t>0,00% (Lei nº 10.925/2004)</t>
        </is>
      </c>
      <c r="N870" s="13" t="inlineStr">
        <is>
          <t>0,925% (LC nº 224/2025)</t>
        </is>
      </c>
      <c r="O870" s="13" t="inlineStr">
        <is>
          <t>0,365% (LC nº 224/2025)</t>
        </is>
      </c>
      <c r="P870" s="13" t="inlineStr">
        <is>
          <t>CST 06</t>
        </is>
      </c>
      <c r="Q870" s="13" t="inlineStr">
        <is>
          <t>CST 73</t>
        </is>
      </c>
      <c r="R870" s="13" t="inlineStr">
        <is>
          <t>Redução de 60% + Diferimento (Art. 138 e Anexo IX LC 214/2025)</t>
        </is>
      </c>
    </row>
    <row r="871" ht="22" customHeight="1">
      <c r="A871" s="6" t="inlineStr">
        <is>
          <t>SKU-0867</t>
        </is>
      </c>
      <c r="B871" s="5" t="n">
        <v>622</v>
      </c>
      <c r="C871" s="7" t="inlineStr">
        <is>
          <t>Nº 0122</t>
        </is>
      </c>
      <c r="D871" s="8" t="inlineStr">
        <is>
          <t>EXCALIA MAX</t>
        </is>
      </c>
      <c r="E871" s="7" t="inlineStr">
        <is>
          <t>Embalagem Comercial do Produto</t>
        </is>
      </c>
      <c r="F871" s="7" t="inlineStr">
        <is>
          <t>1X20L (20 L)</t>
        </is>
      </c>
      <c r="G871" s="7" t="inlineStr">
        <is>
          <t>L</t>
        </is>
      </c>
      <c r="H871" s="9" t="n">
        <v>20</v>
      </c>
      <c r="I871" s="7" t="inlineStr">
        <is>
          <t>3808.92.99</t>
        </is>
      </c>
      <c r="J871" s="7" t="inlineStr">
        <is>
          <t>NÃO</t>
        </is>
      </c>
      <c r="K871" s="7" t="inlineStr">
        <is>
          <t>Embalagem Rígida — LAVÁVEL (Obrigatória Tríplice Lavagem ou Pressão)</t>
        </is>
      </c>
      <c r="L871" s="7" t="inlineStr">
        <is>
          <t>NÃO</t>
        </is>
      </c>
      <c r="M871" s="7" t="inlineStr">
        <is>
          <t>0,00% (Lei nº 10.925/2004)</t>
        </is>
      </c>
      <c r="N871" s="7" t="inlineStr">
        <is>
          <t>0,925% (LC nº 224/2025)</t>
        </is>
      </c>
      <c r="O871" s="7" t="inlineStr">
        <is>
          <t>0,365% (LC nº 224/2025)</t>
        </is>
      </c>
      <c r="P871" s="7" t="inlineStr">
        <is>
          <t>CST 06</t>
        </is>
      </c>
      <c r="Q871" s="7" t="inlineStr">
        <is>
          <t>CST 73</t>
        </is>
      </c>
      <c r="R871" s="7" t="inlineStr">
        <is>
          <t>Redução de 60% + Diferimento (Art. 138 e Anexo IX LC 214/2025)</t>
        </is>
      </c>
    </row>
    <row r="872" ht="22" customHeight="1">
      <c r="A872" s="12" t="inlineStr">
        <is>
          <t>SKU-0868</t>
        </is>
      </c>
      <c r="B872" s="11" t="n">
        <v>623</v>
      </c>
      <c r="C872" s="13" t="inlineStr">
        <is>
          <t>SIPEAGRO (UF-XXXXX)</t>
        </is>
      </c>
      <c r="D872" s="14" t="inlineStr">
        <is>
          <t>FERT VITAL MANGANES</t>
        </is>
      </c>
      <c r="E872" s="13" t="inlineStr">
        <is>
          <t>Embalagem Comercial do Produto</t>
        </is>
      </c>
      <c r="F872" s="13" t="inlineStr">
        <is>
          <t>4X5L (5 L)</t>
        </is>
      </c>
      <c r="G872" s="13" t="inlineStr">
        <is>
          <t>L</t>
        </is>
      </c>
      <c r="H872" s="15" t="n">
        <v>5</v>
      </c>
      <c r="I872" s="13" t="inlineStr">
        <is>
          <t>3105.90.90</t>
        </is>
      </c>
      <c r="J872" s="13" t="inlineStr">
        <is>
          <t>NÃO</t>
        </is>
      </c>
      <c r="K872" s="13" t="inlineStr">
        <is>
          <t>Embalagem de Insumo Nutricional/Biológico (Logística Reversa)</t>
        </is>
      </c>
      <c r="L872" s="13" t="inlineStr">
        <is>
          <t>NÃO</t>
        </is>
      </c>
      <c r="M872" s="13" t="inlineStr">
        <is>
          <t>0,00% (Lei nº 10.925/2004)</t>
        </is>
      </c>
      <c r="N872" s="13" t="inlineStr">
        <is>
          <t>0,925% (LC nº 224/2025)</t>
        </is>
      </c>
      <c r="O872" s="13" t="inlineStr">
        <is>
          <t>0,365% (LC nº 224/2025)</t>
        </is>
      </c>
      <c r="P872" s="13" t="inlineStr">
        <is>
          <t>CST 06</t>
        </is>
      </c>
      <c r="Q872" s="13" t="inlineStr">
        <is>
          <t>CST 73</t>
        </is>
      </c>
      <c r="R872" s="13" t="inlineStr">
        <is>
          <t>Redução de 60% + Diferimento (Art. 138 e Anexo IX LC 214/2025)</t>
        </is>
      </c>
    </row>
    <row r="873" ht="22" customHeight="1">
      <c r="A873" s="6" t="inlineStr">
        <is>
          <t>SKU-0869</t>
        </is>
      </c>
      <c r="B873" s="5" t="n">
        <v>623</v>
      </c>
      <c r="C873" s="7" t="inlineStr">
        <is>
          <t>SIPEAGRO (UF-XXXXX)</t>
        </is>
      </c>
      <c r="D873" s="8" t="inlineStr">
        <is>
          <t>FERT VITAL MANGANES</t>
        </is>
      </c>
      <c r="E873" s="7" t="inlineStr">
        <is>
          <t>Faixa 1 TIPI (Apresentação &lt;= 300 g ou mL)</t>
        </is>
      </c>
      <c r="F873" s="7" t="inlineStr">
        <is>
          <t>Fracionado / Amostra &lt;= 0,3 L</t>
        </is>
      </c>
      <c r="G873" s="7" t="inlineStr">
        <is>
          <t>L</t>
        </is>
      </c>
      <c r="H873" s="17" t="n">
        <v>0.3</v>
      </c>
      <c r="I873" s="7" t="inlineStr">
        <is>
          <t>3105.90.90</t>
        </is>
      </c>
      <c r="J873" s="7" t="inlineStr">
        <is>
          <t>NÃO</t>
        </is>
      </c>
      <c r="K873" s="7" t="inlineStr">
        <is>
          <t>Embalagem de Insumo Nutricional/Biológico (Logística Reversa)</t>
        </is>
      </c>
      <c r="L873" s="7" t="inlineStr">
        <is>
          <t>NÃO</t>
        </is>
      </c>
      <c r="M873" s="7" t="inlineStr">
        <is>
          <t>0,00% (Lei nº 10.925/2004)</t>
        </is>
      </c>
      <c r="N873" s="7" t="inlineStr">
        <is>
          <t>0,925% (LC nº 224/2025)</t>
        </is>
      </c>
      <c r="O873" s="7" t="inlineStr">
        <is>
          <t>0,365% (LC nº 224/2025)</t>
        </is>
      </c>
      <c r="P873" s="7" t="inlineStr">
        <is>
          <t>CST 06</t>
        </is>
      </c>
      <c r="Q873" s="7" t="inlineStr">
        <is>
          <t>CST 73</t>
        </is>
      </c>
      <c r="R873" s="7" t="inlineStr">
        <is>
          <t>Redução de 60% + Diferimento (Art. 138 e Anexo IX LC 214/2025)</t>
        </is>
      </c>
    </row>
    <row r="874" ht="22" customHeight="1">
      <c r="A874" s="12" t="inlineStr">
        <is>
          <t>SKU-0870</t>
        </is>
      </c>
      <c r="B874" s="11" t="n">
        <v>624</v>
      </c>
      <c r="C874" s="13" t="inlineStr">
        <is>
          <t>Nº 27617</t>
        </is>
      </c>
      <c r="D874" s="14" t="inlineStr">
        <is>
          <t>FLAXTON</t>
        </is>
      </c>
      <c r="E874" s="13" t="inlineStr">
        <is>
          <t>Embalagem Comercial do Produto</t>
        </is>
      </c>
      <c r="F874" s="13" t="inlineStr">
        <is>
          <t>4X5L (5 L)</t>
        </is>
      </c>
      <c r="G874" s="13" t="inlineStr">
        <is>
          <t>L</t>
        </is>
      </c>
      <c r="H874" s="15" t="n">
        <v>5</v>
      </c>
      <c r="I874" s="13" t="inlineStr">
        <is>
          <t>3808.93.59</t>
        </is>
      </c>
      <c r="J874" s="13" t="inlineStr">
        <is>
          <t>NÃO</t>
        </is>
      </c>
      <c r="K874" s="13" t="inlineStr">
        <is>
          <t>Embalagem Rígida — LAVÁVEL (Obrigatória Tríplice Lavagem ou Pressão)</t>
        </is>
      </c>
      <c r="L874" s="13" t="inlineStr">
        <is>
          <t>NÃO</t>
        </is>
      </c>
      <c r="M874" s="13" t="inlineStr">
        <is>
          <t>0,00% (Lei nº 10.925/2004)</t>
        </is>
      </c>
      <c r="N874" s="13" t="inlineStr">
        <is>
          <t>0,925% (LC nº 224/2025)</t>
        </is>
      </c>
      <c r="O874" s="13" t="inlineStr">
        <is>
          <t>0,365% (LC nº 224/2025)</t>
        </is>
      </c>
      <c r="P874" s="13" t="inlineStr">
        <is>
          <t>CST 06</t>
        </is>
      </c>
      <c r="Q874" s="13" t="inlineStr">
        <is>
          <t>CST 73</t>
        </is>
      </c>
      <c r="R874" s="13" t="inlineStr">
        <is>
          <t>Redução de 60% + Diferimento (Art. 138 e Anexo IX LC 214/2025)</t>
        </is>
      </c>
    </row>
    <row r="875" ht="22" customHeight="1">
      <c r="A875" s="6" t="inlineStr">
        <is>
          <t>SKU-0871</t>
        </is>
      </c>
      <c r="B875" s="5" t="n">
        <v>625</v>
      </c>
      <c r="C875" s="7" t="inlineStr">
        <is>
          <t>ISENTO (ATO 104/2017)</t>
        </is>
      </c>
      <c r="D875" s="8" t="inlineStr">
        <is>
          <t>SPREAD COMBO</t>
        </is>
      </c>
      <c r="E875" s="7" t="inlineStr">
        <is>
          <t>Embalagem Comercial do Produto</t>
        </is>
      </c>
      <c r="F875" s="7" t="inlineStr">
        <is>
          <t>1X1L (1 L)</t>
        </is>
      </c>
      <c r="G875" s="7" t="inlineStr">
        <is>
          <t>L</t>
        </is>
      </c>
      <c r="H875" s="9" t="n">
        <v>1</v>
      </c>
      <c r="I875" s="7" t="inlineStr">
        <is>
          <t>3402.90.29</t>
        </is>
      </c>
      <c r="J875" s="7" t="inlineStr">
        <is>
          <t>NÃO</t>
        </is>
      </c>
      <c r="K875" s="7" t="inlineStr">
        <is>
          <t>Embalagem Rígida — LAVÁVEL (Obrigatória Tríplice Lavagem ou Pressão)</t>
        </is>
      </c>
      <c r="L875" s="7" t="inlineStr">
        <is>
          <t>NÃO</t>
        </is>
      </c>
      <c r="M875" s="7" t="inlineStr">
        <is>
          <t>9,25% Real | 3,65% Presumido</t>
        </is>
      </c>
      <c r="N875" s="7" t="inlineStr">
        <is>
          <t>9,250% (Integral)</t>
        </is>
      </c>
      <c r="O875" s="7" t="inlineStr">
        <is>
          <t>3,650% (Integral)</t>
        </is>
      </c>
      <c r="P875" s="7" t="inlineStr">
        <is>
          <t>CST 01</t>
        </is>
      </c>
      <c r="Q875" s="7" t="inlineStr">
        <is>
          <t>CST 50</t>
        </is>
      </c>
      <c r="R875" s="7" t="inlineStr">
        <is>
          <t>Alíquota Padrão Integral (LC 214/2025)</t>
        </is>
      </c>
    </row>
    <row r="876" ht="22" customHeight="1">
      <c r="A876" s="12" t="inlineStr">
        <is>
          <t>SKU-0872</t>
        </is>
      </c>
      <c r="B876" s="11" t="n">
        <v>626</v>
      </c>
      <c r="C876" s="13" t="inlineStr">
        <is>
          <t>Nº 21221</t>
        </is>
      </c>
      <c r="D876" s="14" t="inlineStr">
        <is>
          <t>GOEMON</t>
        </is>
      </c>
      <c r="E876" s="13" t="inlineStr">
        <is>
          <t>Embalagem Comercial do Produto</t>
        </is>
      </c>
      <c r="F876" s="13" t="inlineStr">
        <is>
          <t>1X20L (20 L)</t>
        </is>
      </c>
      <c r="G876" s="13" t="inlineStr">
        <is>
          <t>L</t>
        </is>
      </c>
      <c r="H876" s="15" t="n">
        <v>20</v>
      </c>
      <c r="I876" s="13" t="inlineStr">
        <is>
          <t>3808.91.99</t>
        </is>
      </c>
      <c r="J876" s="13" t="inlineStr">
        <is>
          <t>NÃO</t>
        </is>
      </c>
      <c r="K876" s="13" t="inlineStr">
        <is>
          <t>Embalagem Rígida — LAVÁVEL (Obrigatória Tríplice Lavagem ou Pressão)</t>
        </is>
      </c>
      <c r="L876" s="13" t="inlineStr">
        <is>
          <t>NÃO</t>
        </is>
      </c>
      <c r="M876" s="13" t="inlineStr">
        <is>
          <t>0,00% (Lei nº 10.925/2004)</t>
        </is>
      </c>
      <c r="N876" s="13" t="inlineStr">
        <is>
          <t>0,925% (LC nº 224/2025)</t>
        </is>
      </c>
      <c r="O876" s="13" t="inlineStr">
        <is>
          <t>0,365% (LC nº 224/2025)</t>
        </is>
      </c>
      <c r="P876" s="13" t="inlineStr">
        <is>
          <t>CST 06</t>
        </is>
      </c>
      <c r="Q876" s="13" t="inlineStr">
        <is>
          <t>CST 73</t>
        </is>
      </c>
      <c r="R876" s="13" t="inlineStr">
        <is>
          <t>Redução de 60% + Diferimento (Art. 138 e Anexo IX LC 214/2025)</t>
        </is>
      </c>
    </row>
    <row r="877" ht="22" customHeight="1">
      <c r="A877" s="6" t="inlineStr">
        <is>
          <t>SKU-0873</t>
        </is>
      </c>
      <c r="B877" s="5" t="n">
        <v>627</v>
      </c>
      <c r="C877" s="7" t="inlineStr">
        <is>
          <t>Nº 22622</t>
        </is>
      </c>
      <c r="D877" s="8" t="inlineStr">
        <is>
          <t>SENSUS</t>
        </is>
      </c>
      <c r="E877" s="7" t="inlineStr">
        <is>
          <t>Embalagem Comercial do Produto</t>
        </is>
      </c>
      <c r="F877" s="7" t="inlineStr">
        <is>
          <t>4X5L (5 L)</t>
        </is>
      </c>
      <c r="G877" s="7" t="inlineStr">
        <is>
          <t>L</t>
        </is>
      </c>
      <c r="H877" s="9" t="n">
        <v>5</v>
      </c>
      <c r="I877" s="7" t="inlineStr">
        <is>
          <t>3808.93.29</t>
        </is>
      </c>
      <c r="J877" s="7" t="inlineStr">
        <is>
          <t>NÃO</t>
        </is>
      </c>
      <c r="K877" s="7" t="inlineStr">
        <is>
          <t>Embalagem Rígida — LAVÁVEL (Obrigatória Tríplice Lavagem ou Pressão)</t>
        </is>
      </c>
      <c r="L877" s="7" t="inlineStr">
        <is>
          <t>NÃO</t>
        </is>
      </c>
      <c r="M877" s="7" t="inlineStr">
        <is>
          <t>0,00% (Lei nº 10.925/2004)</t>
        </is>
      </c>
      <c r="N877" s="7" t="inlineStr">
        <is>
          <t>0,925% (LC nº 224/2025)</t>
        </is>
      </c>
      <c r="O877" s="7" t="inlineStr">
        <is>
          <t>0,365% (LC nº 224/2025)</t>
        </is>
      </c>
      <c r="P877" s="7" t="inlineStr">
        <is>
          <t>CST 06</t>
        </is>
      </c>
      <c r="Q877" s="7" t="inlineStr">
        <is>
          <t>CST 73</t>
        </is>
      </c>
      <c r="R877" s="7" t="inlineStr">
        <is>
          <t>Redução de 60% + Diferimento (Art. 138 e Anexo IX LC 214/2025)</t>
        </is>
      </c>
    </row>
    <row r="878" ht="22" customHeight="1">
      <c r="A878" s="12" t="inlineStr">
        <is>
          <t>SKU-0874</t>
        </is>
      </c>
      <c r="B878" s="11" t="n">
        <v>628</v>
      </c>
      <c r="C878" s="13" t="inlineStr">
        <is>
          <t>Nº 35619</t>
        </is>
      </c>
      <c r="D878" s="14" t="inlineStr">
        <is>
          <t>MAXSAN</t>
        </is>
      </c>
      <c r="E878" s="13" t="inlineStr">
        <is>
          <t>Embalagem Comercial do Produto</t>
        </is>
      </c>
      <c r="F878" s="13" t="inlineStr">
        <is>
          <t>4X5L (5 L)</t>
        </is>
      </c>
      <c r="G878" s="13" t="inlineStr">
        <is>
          <t>L</t>
        </is>
      </c>
      <c r="H878" s="15" t="n">
        <v>5</v>
      </c>
      <c r="I878" s="13" t="inlineStr">
        <is>
          <t>3808.91.99</t>
        </is>
      </c>
      <c r="J878" s="13" t="inlineStr">
        <is>
          <t>NÃO</t>
        </is>
      </c>
      <c r="K878" s="13" t="inlineStr">
        <is>
          <t>Embalagem Rígida — LAVÁVEL (Obrigatória Tríplice Lavagem ou Pressão)</t>
        </is>
      </c>
      <c r="L878" s="13" t="inlineStr">
        <is>
          <t>NÃO</t>
        </is>
      </c>
      <c r="M878" s="13" t="inlineStr">
        <is>
          <t>0,00% (Lei nº 10.925/2004)</t>
        </is>
      </c>
      <c r="N878" s="13" t="inlineStr">
        <is>
          <t>0,925% (LC nº 224/2025)</t>
        </is>
      </c>
      <c r="O878" s="13" t="inlineStr">
        <is>
          <t>0,365% (LC nº 224/2025)</t>
        </is>
      </c>
      <c r="P878" s="13" t="inlineStr">
        <is>
          <t>CST 06</t>
        </is>
      </c>
      <c r="Q878" s="13" t="inlineStr">
        <is>
          <t>CST 73</t>
        </is>
      </c>
      <c r="R878" s="13" t="inlineStr">
        <is>
          <t>Redução de 60% + Diferimento (Art. 138 e Anexo IX LC 214/2025)</t>
        </is>
      </c>
    </row>
    <row r="879" ht="22" customHeight="1">
      <c r="A879" s="6" t="inlineStr">
        <is>
          <t>SKU-0875</t>
        </is>
      </c>
      <c r="B879" s="5" t="n">
        <v>629</v>
      </c>
      <c r="C879" s="7" t="inlineStr">
        <is>
          <t>SIPEAGRO (UF-XXXXX)</t>
        </is>
      </c>
      <c r="D879" s="8" t="inlineStr">
        <is>
          <t>SOJA KRAFT 10</t>
        </is>
      </c>
      <c r="E879" s="7" t="inlineStr">
        <is>
          <t>Embalagem Comercial do Produto</t>
        </is>
      </c>
      <c r="F879" s="7" t="inlineStr">
        <is>
          <t>1X1L (1 L)</t>
        </is>
      </c>
      <c r="G879" s="7" t="inlineStr">
        <is>
          <t>L</t>
        </is>
      </c>
      <c r="H879" s="9" t="n">
        <v>1</v>
      </c>
      <c r="I879" s="7" t="inlineStr">
        <is>
          <t>3103.90.90</t>
        </is>
      </c>
      <c r="J879" s="7" t="inlineStr">
        <is>
          <t>NÃO</t>
        </is>
      </c>
      <c r="K879" s="7" t="inlineStr">
        <is>
          <t>Embalagem de Insumo Nutricional/Biológico (Logística Reversa)</t>
        </is>
      </c>
      <c r="L879" s="7" t="inlineStr">
        <is>
          <t>NÃO</t>
        </is>
      </c>
      <c r="M879" s="7" t="inlineStr">
        <is>
          <t>0,00% (Lei nº 10.925/2004)</t>
        </is>
      </c>
      <c r="N879" s="7" t="inlineStr">
        <is>
          <t>0,925% (LC nº 224/2025)</t>
        </is>
      </c>
      <c r="O879" s="7" t="inlineStr">
        <is>
          <t>0,365% (LC nº 224/2025)</t>
        </is>
      </c>
      <c r="P879" s="7" t="inlineStr">
        <is>
          <t>CST 06</t>
        </is>
      </c>
      <c r="Q879" s="7" t="inlineStr">
        <is>
          <t>CST 73</t>
        </is>
      </c>
      <c r="R879" s="7" t="inlineStr">
        <is>
          <t>Redução de 60% + Diferimento (Art. 138 e Anexo IX LC 214/2025)</t>
        </is>
      </c>
    </row>
    <row r="880" ht="22" customHeight="1">
      <c r="A880" s="12" t="inlineStr">
        <is>
          <t>SKU-0876</t>
        </is>
      </c>
      <c r="B880" s="11" t="n">
        <v>629</v>
      </c>
      <c r="C880" s="13" t="inlineStr">
        <is>
          <t>SIPEAGRO (UF-XXXXX)</t>
        </is>
      </c>
      <c r="D880" s="14" t="inlineStr">
        <is>
          <t>SOJA KRAFT 10</t>
        </is>
      </c>
      <c r="E880" s="13" t="inlineStr">
        <is>
          <t>Faixa 1 TIPI (Apresentação &lt;= 300 g ou mL)</t>
        </is>
      </c>
      <c r="F880" s="13" t="inlineStr">
        <is>
          <t>Fracionado / Amostra &lt;= 0,3 L</t>
        </is>
      </c>
      <c r="G880" s="13" t="inlineStr">
        <is>
          <t>L</t>
        </is>
      </c>
      <c r="H880" s="18" t="n">
        <v>0.3</v>
      </c>
      <c r="I880" s="13" t="inlineStr">
        <is>
          <t>3105.90.90</t>
        </is>
      </c>
      <c r="J880" s="13" t="inlineStr">
        <is>
          <t>NÃO</t>
        </is>
      </c>
      <c r="K880" s="13" t="inlineStr">
        <is>
          <t>Embalagem de Insumo Nutricional/Biológico (Logística Reversa)</t>
        </is>
      </c>
      <c r="L880" s="13" t="inlineStr">
        <is>
          <t>NÃO</t>
        </is>
      </c>
      <c r="M880" s="13" t="inlineStr">
        <is>
          <t>0,00% (Lei nº 10.925/2004)</t>
        </is>
      </c>
      <c r="N880" s="13" t="inlineStr">
        <is>
          <t>0,925% (LC nº 224/2025)</t>
        </is>
      </c>
      <c r="O880" s="13" t="inlineStr">
        <is>
          <t>0,365% (LC nº 224/2025)</t>
        </is>
      </c>
      <c r="P880" s="13" t="inlineStr">
        <is>
          <t>CST 06</t>
        </is>
      </c>
      <c r="Q880" s="13" t="inlineStr">
        <is>
          <t>CST 73</t>
        </is>
      </c>
      <c r="R880" s="13" t="inlineStr">
        <is>
          <t>Redução de 60% + Diferimento (Art. 138 e Anexo IX LC 214/2025)</t>
        </is>
      </c>
    </row>
    <row r="881" ht="22" customHeight="1">
      <c r="A881" s="6" t="inlineStr">
        <is>
          <t>SKU-0877</t>
        </is>
      </c>
      <c r="B881" s="5" t="n">
        <v>630</v>
      </c>
      <c r="C881" s="7" t="inlineStr">
        <is>
          <t>Nº 8608</t>
        </is>
      </c>
      <c r="D881" s="8" t="inlineStr">
        <is>
          <t>SPHERE MAX SC</t>
        </is>
      </c>
      <c r="E881" s="7" t="inlineStr">
        <is>
          <t>Embalagem Comercial do Produto</t>
        </is>
      </c>
      <c r="F881" s="7" t="inlineStr">
        <is>
          <t>1X1L (1 L)</t>
        </is>
      </c>
      <c r="G881" s="7" t="inlineStr">
        <is>
          <t>L</t>
        </is>
      </c>
      <c r="H881" s="9" t="n">
        <v>1</v>
      </c>
      <c r="I881" s="7" t="inlineStr">
        <is>
          <t>3808.92.99</t>
        </is>
      </c>
      <c r="J881" s="7" t="inlineStr">
        <is>
          <t>NÃO</t>
        </is>
      </c>
      <c r="K881" s="7" t="inlineStr">
        <is>
          <t>Embalagem Rígida — LAVÁVEL (Obrigatória Tríplice Lavagem ou Pressão)</t>
        </is>
      </c>
      <c r="L881" s="7" t="inlineStr">
        <is>
          <t>NÃO</t>
        </is>
      </c>
      <c r="M881" s="7" t="inlineStr">
        <is>
          <t>0,00% (Lei nº 10.925/2004)</t>
        </is>
      </c>
      <c r="N881" s="7" t="inlineStr">
        <is>
          <t>0,925% (LC nº 224/2025)</t>
        </is>
      </c>
      <c r="O881" s="7" t="inlineStr">
        <is>
          <t>0,365% (LC nº 224/2025)</t>
        </is>
      </c>
      <c r="P881" s="7" t="inlineStr">
        <is>
          <t>CST 06</t>
        </is>
      </c>
      <c r="Q881" s="7" t="inlineStr">
        <is>
          <t>CST 73</t>
        </is>
      </c>
      <c r="R881" s="7" t="inlineStr">
        <is>
          <t>Redução de 60% + Diferimento (Art. 138 e Anexo IX LC 214/2025)</t>
        </is>
      </c>
    </row>
    <row r="882" ht="22" customHeight="1">
      <c r="A882" s="12" t="inlineStr">
        <is>
          <t>SKU-0878</t>
        </is>
      </c>
      <c r="B882" s="11" t="n">
        <v>631</v>
      </c>
      <c r="C882" s="13" t="inlineStr">
        <is>
          <t>Nº 37019</t>
        </is>
      </c>
      <c r="D882" s="14" t="inlineStr">
        <is>
          <t>IMPAR BR</t>
        </is>
      </c>
      <c r="E882" s="13" t="inlineStr">
        <is>
          <t>Embalagem Comercial do Produto</t>
        </is>
      </c>
      <c r="F882" s="13" t="inlineStr">
        <is>
          <t>4X5L (5 L)</t>
        </is>
      </c>
      <c r="G882" s="13" t="inlineStr">
        <is>
          <t>L</t>
        </is>
      </c>
      <c r="H882" s="15" t="n">
        <v>5</v>
      </c>
      <c r="I882" s="13" t="inlineStr">
        <is>
          <t>3808.91.99</t>
        </is>
      </c>
      <c r="J882" s="13" t="inlineStr">
        <is>
          <t>NÃO</t>
        </is>
      </c>
      <c r="K882" s="13" t="inlineStr">
        <is>
          <t>Embalagem Rígida — LAVÁVEL (Obrigatória Tríplice Lavagem ou Pressão)</t>
        </is>
      </c>
      <c r="L882" s="13" t="inlineStr">
        <is>
          <t>NÃO</t>
        </is>
      </c>
      <c r="M882" s="13" t="inlineStr">
        <is>
          <t>0,00% (Lei nº 10.925/2004)</t>
        </is>
      </c>
      <c r="N882" s="13" t="inlineStr">
        <is>
          <t>0,925% (LC nº 224/2025)</t>
        </is>
      </c>
      <c r="O882" s="13" t="inlineStr">
        <is>
          <t>0,365% (LC nº 224/2025)</t>
        </is>
      </c>
      <c r="P882" s="13" t="inlineStr">
        <is>
          <t>CST 06</t>
        </is>
      </c>
      <c r="Q882" s="13" t="inlineStr">
        <is>
          <t>CST 73</t>
        </is>
      </c>
      <c r="R882" s="13" t="inlineStr">
        <is>
          <t>Redução de 60% + Diferimento (Art. 138 e Anexo IX LC 214/2025)</t>
        </is>
      </c>
    </row>
    <row r="883" ht="22" customHeight="1">
      <c r="A883" s="6" t="inlineStr">
        <is>
          <t>SKU-0879</t>
        </is>
      </c>
      <c r="B883" s="5" t="n">
        <v>632</v>
      </c>
      <c r="C883" s="7" t="inlineStr">
        <is>
          <t>Nº 28320</t>
        </is>
      </c>
      <c r="D883" s="8" t="inlineStr">
        <is>
          <t>ALLUS</t>
        </is>
      </c>
      <c r="E883" s="7" t="inlineStr">
        <is>
          <t>Embalagem Comercial do Produto</t>
        </is>
      </c>
      <c r="F883" s="7" t="inlineStr">
        <is>
          <t>1X20L (20 L)</t>
        </is>
      </c>
      <c r="G883" s="7" t="inlineStr">
        <is>
          <t>L</t>
        </is>
      </c>
      <c r="H883" s="9" t="n">
        <v>20</v>
      </c>
      <c r="I883" s="7" t="inlineStr">
        <is>
          <t>3808.93.27</t>
        </is>
      </c>
      <c r="J883" s="7" t="inlineStr">
        <is>
          <t>NÃO</t>
        </is>
      </c>
      <c r="K883" s="7" t="inlineStr">
        <is>
          <t>Embalagem Rígida — LAVÁVEL (Obrigatória Tríplice Lavagem ou Pressão)</t>
        </is>
      </c>
      <c r="L883" s="7" t="inlineStr">
        <is>
          <t>NÃO</t>
        </is>
      </c>
      <c r="M883" s="7" t="inlineStr">
        <is>
          <t>0,00% (Lei nº 10.925/2004)</t>
        </is>
      </c>
      <c r="N883" s="7" t="inlineStr">
        <is>
          <t>0,925% (LC nº 224/2025)</t>
        </is>
      </c>
      <c r="O883" s="7" t="inlineStr">
        <is>
          <t>0,365% (LC nº 224/2025)</t>
        </is>
      </c>
      <c r="P883" s="7" t="inlineStr">
        <is>
          <t>CST 06</t>
        </is>
      </c>
      <c r="Q883" s="7" t="inlineStr">
        <is>
          <t>CST 73</t>
        </is>
      </c>
      <c r="R883" s="7" t="inlineStr">
        <is>
          <t>Redução de 60% + Diferimento (Art. 138 e Anexo IX LC 214/2025)</t>
        </is>
      </c>
    </row>
    <row r="884" ht="22" customHeight="1">
      <c r="A884" s="12" t="inlineStr">
        <is>
          <t>SKU-0880</t>
        </is>
      </c>
      <c r="B884" s="11" t="n">
        <v>633</v>
      </c>
      <c r="C884" s="13" t="inlineStr">
        <is>
          <t>Nº 4007</t>
        </is>
      </c>
      <c r="D884" s="14" t="inlineStr">
        <is>
          <t>APRON RFC</t>
        </is>
      </c>
      <c r="E884" s="13" t="inlineStr">
        <is>
          <t>Embalagem Comercial do Produto</t>
        </is>
      </c>
      <c r="F884" s="13" t="inlineStr">
        <is>
          <t>4X5L (5 L)</t>
        </is>
      </c>
      <c r="G884" s="13" t="inlineStr">
        <is>
          <t>L</t>
        </is>
      </c>
      <c r="H884" s="15" t="n">
        <v>5</v>
      </c>
      <c r="I884" s="13" t="inlineStr">
        <is>
          <t>3808.92.99</t>
        </is>
      </c>
      <c r="J884" s="13" t="inlineStr">
        <is>
          <t>NÃO</t>
        </is>
      </c>
      <c r="K884" s="13" t="inlineStr">
        <is>
          <t>Embalagem Rígida — LAVÁVEL (Obrigatória Tríplice Lavagem ou Pressão)</t>
        </is>
      </c>
      <c r="L884" s="13" t="inlineStr">
        <is>
          <t>NÃO</t>
        </is>
      </c>
      <c r="M884" s="13" t="inlineStr">
        <is>
          <t>0,00% (Lei nº 10.925/2004)</t>
        </is>
      </c>
      <c r="N884" s="13" t="inlineStr">
        <is>
          <t>0,925% (LC nº 224/2025)</t>
        </is>
      </c>
      <c r="O884" s="13" t="inlineStr">
        <is>
          <t>0,365% (LC nº 224/2025)</t>
        </is>
      </c>
      <c r="P884" s="13" t="inlineStr">
        <is>
          <t>CST 06</t>
        </is>
      </c>
      <c r="Q884" s="13" t="inlineStr">
        <is>
          <t>CST 73</t>
        </is>
      </c>
      <c r="R884" s="13" t="inlineStr">
        <is>
          <t>Redução de 60% + Diferimento (Art. 138 e Anexo IX LC 214/2025)</t>
        </is>
      </c>
    </row>
    <row r="885" ht="22" customHeight="1">
      <c r="A885" s="6" t="inlineStr">
        <is>
          <t>SKU-0881</t>
        </is>
      </c>
      <c r="B885" s="5" t="n">
        <v>634</v>
      </c>
      <c r="C885" s="7" t="inlineStr">
        <is>
          <t>SIPEAGRO (UF-XXXXX)</t>
        </is>
      </c>
      <c r="D885" s="8" t="inlineStr">
        <is>
          <t>BASEK S25</t>
        </is>
      </c>
      <c r="E885" s="7" t="inlineStr">
        <is>
          <t>Embalagem Comercial do Produto</t>
        </is>
      </c>
      <c r="F885" s="7" t="inlineStr">
        <is>
          <t>1X20L (20 L)</t>
        </is>
      </c>
      <c r="G885" s="7" t="inlineStr">
        <is>
          <t>L</t>
        </is>
      </c>
      <c r="H885" s="9" t="n">
        <v>20</v>
      </c>
      <c r="I885" s="7" t="inlineStr">
        <is>
          <t>3104.90.90</t>
        </is>
      </c>
      <c r="J885" s="7" t="inlineStr">
        <is>
          <t>NÃO</t>
        </is>
      </c>
      <c r="K885" s="7" t="inlineStr">
        <is>
          <t>Embalagem de Insumo Nutricional/Biológico (Logística Reversa)</t>
        </is>
      </c>
      <c r="L885" s="7" t="inlineStr">
        <is>
          <t>NÃO</t>
        </is>
      </c>
      <c r="M885" s="7" t="inlineStr">
        <is>
          <t>0,00% (Lei nº 10.925/2004)</t>
        </is>
      </c>
      <c r="N885" s="7" t="inlineStr">
        <is>
          <t>0,925% (LC nº 224/2025)</t>
        </is>
      </c>
      <c r="O885" s="7" t="inlineStr">
        <is>
          <t>0,365% (LC nº 224/2025)</t>
        </is>
      </c>
      <c r="P885" s="7" t="inlineStr">
        <is>
          <t>CST 06</t>
        </is>
      </c>
      <c r="Q885" s="7" t="inlineStr">
        <is>
          <t>CST 73</t>
        </is>
      </c>
      <c r="R885" s="7" t="inlineStr">
        <is>
          <t>Redução de 60% + Diferimento (Art. 138 e Anexo IX LC 214/2025)</t>
        </is>
      </c>
    </row>
    <row r="886" ht="22" customHeight="1">
      <c r="A886" s="12" t="inlineStr">
        <is>
          <t>SKU-0882</t>
        </is>
      </c>
      <c r="B886" s="11" t="n">
        <v>634</v>
      </c>
      <c r="C886" s="13" t="inlineStr">
        <is>
          <t>SIPEAGRO (UF-XXXXX)</t>
        </is>
      </c>
      <c r="D886" s="14" t="inlineStr">
        <is>
          <t>BASEK S25</t>
        </is>
      </c>
      <c r="E886" s="13" t="inlineStr">
        <is>
          <t>Faixa 1 TIPI (Apresentação &lt;= 300 g ou mL)</t>
        </is>
      </c>
      <c r="F886" s="13" t="inlineStr">
        <is>
          <t>Fracionado / Amostra &lt;= 0,3 L</t>
        </is>
      </c>
      <c r="G886" s="13" t="inlineStr">
        <is>
          <t>L</t>
        </is>
      </c>
      <c r="H886" s="18" t="n">
        <v>0.3</v>
      </c>
      <c r="I886" s="13" t="inlineStr">
        <is>
          <t>3105.90.90</t>
        </is>
      </c>
      <c r="J886" s="13" t="inlineStr">
        <is>
          <t>NÃO</t>
        </is>
      </c>
      <c r="K886" s="13" t="inlineStr">
        <is>
          <t>Embalagem de Insumo Nutricional/Biológico (Logística Reversa)</t>
        </is>
      </c>
      <c r="L886" s="13" t="inlineStr">
        <is>
          <t>NÃO</t>
        </is>
      </c>
      <c r="M886" s="13" t="inlineStr">
        <is>
          <t>0,00% (Lei nº 10.925/2004)</t>
        </is>
      </c>
      <c r="N886" s="13" t="inlineStr">
        <is>
          <t>0,925% (LC nº 224/2025)</t>
        </is>
      </c>
      <c r="O886" s="13" t="inlineStr">
        <is>
          <t>0,365% (LC nº 224/2025)</t>
        </is>
      </c>
      <c r="P886" s="13" t="inlineStr">
        <is>
          <t>CST 06</t>
        </is>
      </c>
      <c r="Q886" s="13" t="inlineStr">
        <is>
          <t>CST 73</t>
        </is>
      </c>
      <c r="R886" s="13" t="inlineStr">
        <is>
          <t>Redução de 60% + Diferimento (Art. 138 e Anexo IX LC 214/2025)</t>
        </is>
      </c>
    </row>
    <row r="887" ht="22" customHeight="1">
      <c r="A887" s="6" t="inlineStr">
        <is>
          <t>SKU-0883</t>
        </is>
      </c>
      <c r="B887" s="5" t="n">
        <v>635</v>
      </c>
      <c r="C887" s="7" t="inlineStr">
        <is>
          <t>Nº 44024</t>
        </is>
      </c>
      <c r="D887" s="8" t="inlineStr">
        <is>
          <t>BIOKILLER</t>
        </is>
      </c>
      <c r="E887" s="7" t="inlineStr">
        <is>
          <t>Embalagem Comercial do Produto</t>
        </is>
      </c>
      <c r="F887" s="7" t="inlineStr">
        <is>
          <t>4X5L (5 L)</t>
        </is>
      </c>
      <c r="G887" s="7" t="inlineStr">
        <is>
          <t>L</t>
        </is>
      </c>
      <c r="H887" s="9" t="n">
        <v>5</v>
      </c>
      <c r="I887" s="7" t="inlineStr">
        <is>
          <t>3808.91.99</t>
        </is>
      </c>
      <c r="J887" s="7" t="inlineStr">
        <is>
          <t>NÃO</t>
        </is>
      </c>
      <c r="K887" s="7" t="inlineStr">
        <is>
          <t>Embalagem Rígida — LAVÁVEL (Obrigatória Tríplice Lavagem ou Pressão)</t>
        </is>
      </c>
      <c r="L887" s="7" t="inlineStr">
        <is>
          <t>NÃO</t>
        </is>
      </c>
      <c r="M887" s="7" t="inlineStr">
        <is>
          <t>0,00% (Lei nº 10.925/2004)</t>
        </is>
      </c>
      <c r="N887" s="7" t="inlineStr">
        <is>
          <t>0,925% (LC nº 224/2025)</t>
        </is>
      </c>
      <c r="O887" s="7" t="inlineStr">
        <is>
          <t>0,365% (LC nº 224/2025)</t>
        </is>
      </c>
      <c r="P887" s="7" t="inlineStr">
        <is>
          <t>CST 06</t>
        </is>
      </c>
      <c r="Q887" s="7" t="inlineStr">
        <is>
          <t>CST 73</t>
        </is>
      </c>
      <c r="R887" s="7" t="inlineStr">
        <is>
          <t>Redução de 60% + Diferimento (Art. 138 e Anexo IX LC 214/2025)</t>
        </is>
      </c>
    </row>
    <row r="888" ht="22" customHeight="1">
      <c r="A888" s="12" t="inlineStr">
        <is>
          <t>SKU-0884</t>
        </is>
      </c>
      <c r="B888" s="11" t="n">
        <v>636</v>
      </c>
      <c r="C888" s="13" t="inlineStr">
        <is>
          <t>Nº 13019</t>
        </is>
      </c>
      <c r="D888" s="14" t="inlineStr">
        <is>
          <t>CONVENCE FS</t>
        </is>
      </c>
      <c r="E888" s="13" t="inlineStr">
        <is>
          <t>Embalagem Comercial do Produto</t>
        </is>
      </c>
      <c r="F888" s="13" t="inlineStr">
        <is>
          <t>1X1L (1 L)</t>
        </is>
      </c>
      <c r="G888" s="13" t="inlineStr">
        <is>
          <t>L</t>
        </is>
      </c>
      <c r="H888" s="15" t="n">
        <v>1</v>
      </c>
      <c r="I888" s="13" t="inlineStr">
        <is>
          <t>3808.91.99</t>
        </is>
      </c>
      <c r="J888" s="13" t="inlineStr">
        <is>
          <t>NÃO</t>
        </is>
      </c>
      <c r="K888" s="13" t="inlineStr">
        <is>
          <t>Embalagem Rígida — LAVÁVEL (Obrigatória Tríplice Lavagem ou Pressão)</t>
        </is>
      </c>
      <c r="L888" s="13" t="inlineStr">
        <is>
          <t>NÃO</t>
        </is>
      </c>
      <c r="M888" s="13" t="inlineStr">
        <is>
          <t>0,00% (Lei nº 10.925/2004)</t>
        </is>
      </c>
      <c r="N888" s="13" t="inlineStr">
        <is>
          <t>0,925% (LC nº 224/2025)</t>
        </is>
      </c>
      <c r="O888" s="13" t="inlineStr">
        <is>
          <t>0,365% (LC nº 224/2025)</t>
        </is>
      </c>
      <c r="P888" s="13" t="inlineStr">
        <is>
          <t>CST 06</t>
        </is>
      </c>
      <c r="Q888" s="13" t="inlineStr">
        <is>
          <t>CST 73</t>
        </is>
      </c>
      <c r="R888" s="13" t="inlineStr">
        <is>
          <t>Redução de 60% + Diferimento (Art. 138 e Anexo IX LC 214/2025)</t>
        </is>
      </c>
    </row>
    <row r="889" ht="22" customHeight="1">
      <c r="A889" s="6" t="inlineStr">
        <is>
          <t>SKU-0885</t>
        </is>
      </c>
      <c r="B889" s="5" t="n">
        <v>637</v>
      </c>
      <c r="C889" s="7" t="inlineStr">
        <is>
          <t>SIPEAGRO (UF-XXXXX)</t>
        </is>
      </c>
      <c r="D889" s="8" t="inlineStr">
        <is>
          <t>MANGANES 10%</t>
        </is>
      </c>
      <c r="E889" s="7" t="inlineStr">
        <is>
          <t>Embalagem Comercial do Produto</t>
        </is>
      </c>
      <c r="F889" s="7" t="inlineStr">
        <is>
          <t>1X20L (20 L)</t>
        </is>
      </c>
      <c r="G889" s="7" t="inlineStr">
        <is>
          <t>L</t>
        </is>
      </c>
      <c r="H889" s="9" t="n">
        <v>20</v>
      </c>
      <c r="I889" s="7" t="inlineStr">
        <is>
          <t>3102.10.90</t>
        </is>
      </c>
      <c r="J889" s="7" t="inlineStr">
        <is>
          <t>NÃO</t>
        </is>
      </c>
      <c r="K889" s="7" t="inlineStr">
        <is>
          <t>Embalagem de Insumo Nutricional/Biológico (Logística Reversa)</t>
        </is>
      </c>
      <c r="L889" s="7" t="inlineStr">
        <is>
          <t>NÃO</t>
        </is>
      </c>
      <c r="M889" s="7" t="inlineStr">
        <is>
          <t>0,00% (Lei nº 10.925/2004)</t>
        </is>
      </c>
      <c r="N889" s="7" t="inlineStr">
        <is>
          <t>0,925% (LC nº 224/2025)</t>
        </is>
      </c>
      <c r="O889" s="7" t="inlineStr">
        <is>
          <t>0,365% (LC nº 224/2025)</t>
        </is>
      </c>
      <c r="P889" s="7" t="inlineStr">
        <is>
          <t>CST 06</t>
        </is>
      </c>
      <c r="Q889" s="7" t="inlineStr">
        <is>
          <t>CST 73</t>
        </is>
      </c>
      <c r="R889" s="7" t="inlineStr">
        <is>
          <t>Redução de 60% + Diferimento (Art. 138 e Anexo IX LC 214/2025)</t>
        </is>
      </c>
    </row>
    <row r="890" ht="22" customHeight="1">
      <c r="A890" s="12" t="inlineStr">
        <is>
          <t>SKU-0886</t>
        </is>
      </c>
      <c r="B890" s="11" t="n">
        <v>637</v>
      </c>
      <c r="C890" s="13" t="inlineStr">
        <is>
          <t>SIPEAGRO (UF-XXXXX)</t>
        </is>
      </c>
      <c r="D890" s="14" t="inlineStr">
        <is>
          <t>MANGANES 10%</t>
        </is>
      </c>
      <c r="E890" s="13" t="inlineStr">
        <is>
          <t>Faixa 1 TIPI (Apresentação &lt;= 300 g ou mL)</t>
        </is>
      </c>
      <c r="F890" s="13" t="inlineStr">
        <is>
          <t>Fracionado / Amostra &lt;= 0,3 L</t>
        </is>
      </c>
      <c r="G890" s="13" t="inlineStr">
        <is>
          <t>L</t>
        </is>
      </c>
      <c r="H890" s="18" t="n">
        <v>0.3</v>
      </c>
      <c r="I890" s="13" t="inlineStr">
        <is>
          <t>3105.90.90</t>
        </is>
      </c>
      <c r="J890" s="13" t="inlineStr">
        <is>
          <t>NÃO</t>
        </is>
      </c>
      <c r="K890" s="13" t="inlineStr">
        <is>
          <t>Embalagem de Insumo Nutricional/Biológico (Logística Reversa)</t>
        </is>
      </c>
      <c r="L890" s="13" t="inlineStr">
        <is>
          <t>NÃO</t>
        </is>
      </c>
      <c r="M890" s="13" t="inlineStr">
        <is>
          <t>0,00% (Lei nº 10.925/2004)</t>
        </is>
      </c>
      <c r="N890" s="13" t="inlineStr">
        <is>
          <t>0,925% (LC nº 224/2025)</t>
        </is>
      </c>
      <c r="O890" s="13" t="inlineStr">
        <is>
          <t>0,365% (LC nº 224/2025)</t>
        </is>
      </c>
      <c r="P890" s="13" t="inlineStr">
        <is>
          <t>CST 06</t>
        </is>
      </c>
      <c r="Q890" s="13" t="inlineStr">
        <is>
          <t>CST 73</t>
        </is>
      </c>
      <c r="R890" s="13" t="inlineStr">
        <is>
          <t>Redução de 60% + Diferimento (Art. 138 e Anexo IX LC 214/2025)</t>
        </is>
      </c>
    </row>
    <row r="891" ht="22" customHeight="1">
      <c r="A891" s="6" t="inlineStr">
        <is>
          <t>SKU-0887</t>
        </is>
      </c>
      <c r="B891" s="5" t="n">
        <v>638</v>
      </c>
      <c r="C891" s="7" t="inlineStr">
        <is>
          <t>Nº 1393</t>
        </is>
      </c>
      <c r="D891" s="8" t="inlineStr">
        <is>
          <t>NOMOLT 150</t>
        </is>
      </c>
      <c r="E891" s="7" t="inlineStr">
        <is>
          <t>Embalagem Comercial do Produto</t>
        </is>
      </c>
      <c r="F891" s="7" t="inlineStr">
        <is>
          <t>4X5L (5 L)</t>
        </is>
      </c>
      <c r="G891" s="7" t="inlineStr">
        <is>
          <t>L</t>
        </is>
      </c>
      <c r="H891" s="9" t="n">
        <v>5</v>
      </c>
      <c r="I891" s="7" t="inlineStr">
        <is>
          <t>3808.91.99</t>
        </is>
      </c>
      <c r="J891" s="7" t="inlineStr">
        <is>
          <t>NÃO</t>
        </is>
      </c>
      <c r="K891" s="7" t="inlineStr">
        <is>
          <t>Embalagem Rígida — LAVÁVEL (Obrigatória Tríplice Lavagem ou Pressão)</t>
        </is>
      </c>
      <c r="L891" s="7" t="inlineStr">
        <is>
          <t>NÃO</t>
        </is>
      </c>
      <c r="M891" s="7" t="inlineStr">
        <is>
          <t>0,00% (Lei nº 10.925/2004)</t>
        </is>
      </c>
      <c r="N891" s="7" t="inlineStr">
        <is>
          <t>0,925% (LC nº 224/2025)</t>
        </is>
      </c>
      <c r="O891" s="7" t="inlineStr">
        <is>
          <t>0,365% (LC nº 224/2025)</t>
        </is>
      </c>
      <c r="P891" s="7" t="inlineStr">
        <is>
          <t>CST 06</t>
        </is>
      </c>
      <c r="Q891" s="7" t="inlineStr">
        <is>
          <t>CST 73</t>
        </is>
      </c>
      <c r="R891" s="7" t="inlineStr">
        <is>
          <t>Redução de 60% + Diferimento (Art. 138 e Anexo IX LC 214/2025)</t>
        </is>
      </c>
    </row>
    <row r="892" ht="22" customHeight="1">
      <c r="A892" s="12" t="inlineStr">
        <is>
          <t>SKU-0888</t>
        </is>
      </c>
      <c r="B892" s="11" t="n">
        <v>639</v>
      </c>
      <c r="C892" s="13" t="inlineStr">
        <is>
          <t>SIPEAGRO (UF-XXXXX)</t>
        </is>
      </c>
      <c r="D892" s="14" t="inlineStr">
        <is>
          <t>STARKE</t>
        </is>
      </c>
      <c r="E892" s="13" t="inlineStr">
        <is>
          <t>Embalagem Comercial do Produto</t>
        </is>
      </c>
      <c r="F892" s="13" t="inlineStr">
        <is>
          <t>1X2L (2 L)</t>
        </is>
      </c>
      <c r="G892" s="13" t="inlineStr">
        <is>
          <t>L</t>
        </is>
      </c>
      <c r="H892" s="15" t="n">
        <v>2</v>
      </c>
      <c r="I892" s="13" t="inlineStr">
        <is>
          <t>3102.10.90</t>
        </is>
      </c>
      <c r="J892" s="13" t="inlineStr">
        <is>
          <t>NÃO</t>
        </is>
      </c>
      <c r="K892" s="13" t="inlineStr">
        <is>
          <t>Embalagem de Insumo Nutricional/Biológico (Logística Reversa)</t>
        </is>
      </c>
      <c r="L892" s="13" t="inlineStr">
        <is>
          <t>NÃO</t>
        </is>
      </c>
      <c r="M892" s="13" t="inlineStr">
        <is>
          <t>0,00% (Lei nº 10.925/2004)</t>
        </is>
      </c>
      <c r="N892" s="13" t="inlineStr">
        <is>
          <t>0,925% (LC nº 224/2025)</t>
        </is>
      </c>
      <c r="O892" s="13" t="inlineStr">
        <is>
          <t>0,365% (LC nº 224/2025)</t>
        </is>
      </c>
      <c r="P892" s="13" t="inlineStr">
        <is>
          <t>CST 06</t>
        </is>
      </c>
      <c r="Q892" s="13" t="inlineStr">
        <is>
          <t>CST 73</t>
        </is>
      </c>
      <c r="R892" s="13" t="inlineStr">
        <is>
          <t>Redução de 60% + Diferimento (Art. 138 e Anexo IX LC 214/2025)</t>
        </is>
      </c>
    </row>
    <row r="893" ht="22" customHeight="1">
      <c r="A893" s="6" t="inlineStr">
        <is>
          <t>SKU-0889</t>
        </is>
      </c>
      <c r="B893" s="5" t="n">
        <v>639</v>
      </c>
      <c r="C893" s="7" t="inlineStr">
        <is>
          <t>SIPEAGRO (UF-XXXXX)</t>
        </is>
      </c>
      <c r="D893" s="8" t="inlineStr">
        <is>
          <t>STARKE</t>
        </is>
      </c>
      <c r="E893" s="7" t="inlineStr">
        <is>
          <t>Faixa 1 TIPI (Apresentação &lt;= 300 g ou mL)</t>
        </is>
      </c>
      <c r="F893" s="7" t="inlineStr">
        <is>
          <t>Fracionado / Amostra &lt;= 0,3 L</t>
        </is>
      </c>
      <c r="G893" s="7" t="inlineStr">
        <is>
          <t>L</t>
        </is>
      </c>
      <c r="H893" s="17" t="n">
        <v>0.3</v>
      </c>
      <c r="I893" s="7" t="inlineStr">
        <is>
          <t>3105.90.90</t>
        </is>
      </c>
      <c r="J893" s="7" t="inlineStr">
        <is>
          <t>NÃO</t>
        </is>
      </c>
      <c r="K893" s="7" t="inlineStr">
        <is>
          <t>Embalagem de Insumo Nutricional/Biológico (Logística Reversa)</t>
        </is>
      </c>
      <c r="L893" s="7" t="inlineStr">
        <is>
          <t>NÃO</t>
        </is>
      </c>
      <c r="M893" s="7" t="inlineStr">
        <is>
          <t>0,00% (Lei nº 10.925/2004)</t>
        </is>
      </c>
      <c r="N893" s="7" t="inlineStr">
        <is>
          <t>0,925% (LC nº 224/2025)</t>
        </is>
      </c>
      <c r="O893" s="7" t="inlineStr">
        <is>
          <t>0,365% (LC nº 224/2025)</t>
        </is>
      </c>
      <c r="P893" s="7" t="inlineStr">
        <is>
          <t>CST 06</t>
        </is>
      </c>
      <c r="Q893" s="7" t="inlineStr">
        <is>
          <t>CST 73</t>
        </is>
      </c>
      <c r="R893" s="7" t="inlineStr">
        <is>
          <t>Redução de 60% + Diferimento (Art. 138 e Anexo IX LC 214/2025)</t>
        </is>
      </c>
    </row>
    <row r="894" ht="22" customHeight="1">
      <c r="A894" s="12" t="inlineStr">
        <is>
          <t>SKU-0890</t>
        </is>
      </c>
      <c r="B894" s="11" t="n">
        <v>640</v>
      </c>
      <c r="C894" s="13" t="inlineStr">
        <is>
          <t>Nº 18220</t>
        </is>
      </c>
      <c r="D894" s="14" t="inlineStr">
        <is>
          <t>TORA</t>
        </is>
      </c>
      <c r="E894" s="13" t="inlineStr">
        <is>
          <t>Embalagem Comercial do Produto</t>
        </is>
      </c>
      <c r="F894" s="13" t="inlineStr">
        <is>
          <t>1X20L (20 L)</t>
        </is>
      </c>
      <c r="G894" s="13" t="inlineStr">
        <is>
          <t>L</t>
        </is>
      </c>
      <c r="H894" s="15" t="n">
        <v>20</v>
      </c>
      <c r="I894" s="13" t="inlineStr">
        <is>
          <t>3808.69.90</t>
        </is>
      </c>
      <c r="J894" s="13" t="inlineStr">
        <is>
          <t>SIM</t>
        </is>
      </c>
      <c r="K894" s="13" t="inlineStr">
        <is>
          <t>Embalagem Rígida — LAVÁVEL (Obrigatória Tríplice Lavagem ou Pressão)</t>
        </is>
      </c>
      <c r="L894" s="13" t="inlineStr">
        <is>
          <t>NÃO</t>
        </is>
      </c>
      <c r="M894" s="13" t="inlineStr">
        <is>
          <t>0,00% (Lei nº 10.925/2004)</t>
        </is>
      </c>
      <c r="N894" s="13" t="inlineStr">
        <is>
          <t>0,925% (LC nº 224/2025)</t>
        </is>
      </c>
      <c r="O894" s="13" t="inlineStr">
        <is>
          <t>0,365% (LC nº 224/2025)</t>
        </is>
      </c>
      <c r="P894" s="13" t="inlineStr">
        <is>
          <t>CST 06</t>
        </is>
      </c>
      <c r="Q894" s="13" t="inlineStr">
        <is>
          <t>CST 73</t>
        </is>
      </c>
      <c r="R894" s="13" t="inlineStr">
        <is>
          <t>Redução de 60% + Diferimento (Art. 138 e Anexo IX LC 214/2025)</t>
        </is>
      </c>
    </row>
    <row r="895" ht="22" customHeight="1">
      <c r="A895" s="6" t="inlineStr">
        <is>
          <t>SKU-0891</t>
        </is>
      </c>
      <c r="B895" s="5" t="n">
        <v>640</v>
      </c>
      <c r="C895" s="7" t="inlineStr">
        <is>
          <t>Nº 18220</t>
        </is>
      </c>
      <c r="D895" s="8" t="inlineStr">
        <is>
          <t>TORA</t>
        </is>
      </c>
      <c r="E895" s="7" t="inlineStr">
        <is>
          <t>Faixa 1 TIPI (Apresentação &lt;= 300 g ou mL)</t>
        </is>
      </c>
      <c r="F895" s="7" t="inlineStr">
        <is>
          <t>Fracionado / Amostra &lt;= 0,3 L</t>
        </is>
      </c>
      <c r="G895" s="7" t="inlineStr">
        <is>
          <t>L</t>
        </is>
      </c>
      <c r="H895" s="17" t="n">
        <v>0.3</v>
      </c>
      <c r="I895" s="7" t="inlineStr">
        <is>
          <t>3808.61.00</t>
        </is>
      </c>
      <c r="J895" s="7" t="inlineStr">
        <is>
          <t>SIM</t>
        </is>
      </c>
      <c r="K895" s="7" t="inlineStr">
        <is>
          <t>Embalagem Rígida — LAVÁVEL (Obrigatória Tríplice Lavagem ou Pressão)</t>
        </is>
      </c>
      <c r="L895" s="7" t="inlineStr">
        <is>
          <t>NÃO</t>
        </is>
      </c>
      <c r="M895" s="7" t="inlineStr">
        <is>
          <t>0,00% (Lei nº 10.925/2004)</t>
        </is>
      </c>
      <c r="N895" s="7" t="inlineStr">
        <is>
          <t>0,925% (LC nº 224/2025)</t>
        </is>
      </c>
      <c r="O895" s="7" t="inlineStr">
        <is>
          <t>0,365% (LC nº 224/2025)</t>
        </is>
      </c>
      <c r="P895" s="7" t="inlineStr">
        <is>
          <t>CST 06</t>
        </is>
      </c>
      <c r="Q895" s="7" t="inlineStr">
        <is>
          <t>CST 73</t>
        </is>
      </c>
      <c r="R895" s="7" t="inlineStr">
        <is>
          <t>Redução de 60% + Diferimento (Art. 138 e Anexo IX LC 214/2025)</t>
        </is>
      </c>
    </row>
    <row r="896" ht="22" customHeight="1">
      <c r="A896" s="12" t="inlineStr">
        <is>
          <t>SKU-0892</t>
        </is>
      </c>
      <c r="B896" s="11" t="n">
        <v>641</v>
      </c>
      <c r="C896" s="13" t="inlineStr">
        <is>
          <t>Nº 27821</t>
        </is>
      </c>
      <c r="D896" s="14" t="inlineStr">
        <is>
          <t>PONTUAL</t>
        </is>
      </c>
      <c r="E896" s="13" t="inlineStr">
        <is>
          <t>Embalagem Comercial do Produto</t>
        </is>
      </c>
      <c r="F896" s="13" t="inlineStr">
        <is>
          <t>1X20L (20 L)</t>
        </is>
      </c>
      <c r="G896" s="13" t="inlineStr">
        <is>
          <t>L</t>
        </is>
      </c>
      <c r="H896" s="15" t="n">
        <v>20</v>
      </c>
      <c r="I896" s="13" t="inlineStr">
        <is>
          <t>3808.92.99</t>
        </is>
      </c>
      <c r="J896" s="13" t="inlineStr">
        <is>
          <t>NÃO</t>
        </is>
      </c>
      <c r="K896" s="13" t="inlineStr">
        <is>
          <t>Embalagem Rígida — LAVÁVEL (Obrigatória Tríplice Lavagem ou Pressão)</t>
        </is>
      </c>
      <c r="L896" s="13" t="inlineStr">
        <is>
          <t>NÃO</t>
        </is>
      </c>
      <c r="M896" s="13" t="inlineStr">
        <is>
          <t>0,00% (Lei nº 10.925/2004)</t>
        </is>
      </c>
      <c r="N896" s="13" t="inlineStr">
        <is>
          <t>0,925% (LC nº 224/2025)</t>
        </is>
      </c>
      <c r="O896" s="13" t="inlineStr">
        <is>
          <t>0,365% (LC nº 224/2025)</t>
        </is>
      </c>
      <c r="P896" s="13" t="inlineStr">
        <is>
          <t>CST 06</t>
        </is>
      </c>
      <c r="Q896" s="13" t="inlineStr">
        <is>
          <t>CST 73</t>
        </is>
      </c>
      <c r="R896" s="13" t="inlineStr">
        <is>
          <t>Redução de 60% + Diferimento (Art. 138 e Anexo IX LC 214/2025)</t>
        </is>
      </c>
    </row>
    <row r="897" ht="22" customHeight="1">
      <c r="A897" s="6" t="inlineStr">
        <is>
          <t>SKU-0893</t>
        </is>
      </c>
      <c r="B897" s="5" t="n">
        <v>642</v>
      </c>
      <c r="C897" s="7" t="inlineStr">
        <is>
          <t>SIPEAGRO (UF-XXXXX)</t>
        </is>
      </c>
      <c r="D897" s="8" t="inlineStr">
        <is>
          <t>RESISTANCE TM</t>
        </is>
      </c>
      <c r="E897" s="7" t="inlineStr">
        <is>
          <t>Embalagem Comercial do Produto</t>
        </is>
      </c>
      <c r="F897" s="7" t="inlineStr">
        <is>
          <t>4X5L (5 L)</t>
        </is>
      </c>
      <c r="G897" s="7" t="inlineStr">
        <is>
          <t>L</t>
        </is>
      </c>
      <c r="H897" s="9" t="n">
        <v>5</v>
      </c>
      <c r="I897" s="7" t="inlineStr">
        <is>
          <t>3105.90.90</t>
        </is>
      </c>
      <c r="J897" s="7" t="inlineStr">
        <is>
          <t>NÃO</t>
        </is>
      </c>
      <c r="K897" s="7" t="inlineStr">
        <is>
          <t>Embalagem de Insumo Nutricional/Biológico (Logística Reversa)</t>
        </is>
      </c>
      <c r="L897" s="7" t="inlineStr">
        <is>
          <t>NÃO</t>
        </is>
      </c>
      <c r="M897" s="7" t="inlineStr">
        <is>
          <t>0,00% (Lei nº 10.925/2004)</t>
        </is>
      </c>
      <c r="N897" s="7" t="inlineStr">
        <is>
          <t>0,925% (LC nº 224/2025)</t>
        </is>
      </c>
      <c r="O897" s="7" t="inlineStr">
        <is>
          <t>0,365% (LC nº 224/2025)</t>
        </is>
      </c>
      <c r="P897" s="7" t="inlineStr">
        <is>
          <t>CST 06</t>
        </is>
      </c>
      <c r="Q897" s="7" t="inlineStr">
        <is>
          <t>CST 73</t>
        </is>
      </c>
      <c r="R897" s="7" t="inlineStr">
        <is>
          <t>Redução de 60% + Diferimento (Art. 138 e Anexo IX LC 214/2025)</t>
        </is>
      </c>
    </row>
    <row r="898" ht="22" customHeight="1">
      <c r="A898" s="12" t="inlineStr">
        <is>
          <t>SKU-0894</t>
        </is>
      </c>
      <c r="B898" s="11" t="n">
        <v>642</v>
      </c>
      <c r="C898" s="13" t="inlineStr">
        <is>
          <t>SIPEAGRO (UF-XXXXX)</t>
        </is>
      </c>
      <c r="D898" s="14" t="inlineStr">
        <is>
          <t>RESISTANCE TM</t>
        </is>
      </c>
      <c r="E898" s="13" t="inlineStr">
        <is>
          <t>Faixa 1 TIPI (Apresentação &lt;= 300 g ou mL)</t>
        </is>
      </c>
      <c r="F898" s="13" t="inlineStr">
        <is>
          <t>Fracionado / Amostra &lt;= 0,3 L</t>
        </is>
      </c>
      <c r="G898" s="13" t="inlineStr">
        <is>
          <t>L</t>
        </is>
      </c>
      <c r="H898" s="18" t="n">
        <v>0.3</v>
      </c>
      <c r="I898" s="13" t="inlineStr">
        <is>
          <t>3105.90.90</t>
        </is>
      </c>
      <c r="J898" s="13" t="inlineStr">
        <is>
          <t>NÃO</t>
        </is>
      </c>
      <c r="K898" s="13" t="inlineStr">
        <is>
          <t>Embalagem de Insumo Nutricional/Biológico (Logística Reversa)</t>
        </is>
      </c>
      <c r="L898" s="13" t="inlineStr">
        <is>
          <t>NÃO</t>
        </is>
      </c>
      <c r="M898" s="13" t="inlineStr">
        <is>
          <t>0,00% (Lei nº 10.925/2004)</t>
        </is>
      </c>
      <c r="N898" s="13" t="inlineStr">
        <is>
          <t>0,925% (LC nº 224/2025)</t>
        </is>
      </c>
      <c r="O898" s="13" t="inlineStr">
        <is>
          <t>0,365% (LC nº 224/2025)</t>
        </is>
      </c>
      <c r="P898" s="13" t="inlineStr">
        <is>
          <t>CST 06</t>
        </is>
      </c>
      <c r="Q898" s="13" t="inlineStr">
        <is>
          <t>CST 73</t>
        </is>
      </c>
      <c r="R898" s="13" t="inlineStr">
        <is>
          <t>Redução de 60% + Diferimento (Art. 138 e Anexo IX LC 214/2025)</t>
        </is>
      </c>
    </row>
    <row r="899" ht="22" customHeight="1">
      <c r="A899" s="6" t="inlineStr">
        <is>
          <t>SKU-0895</t>
        </is>
      </c>
      <c r="B899" s="5" t="n">
        <v>643</v>
      </c>
      <c r="C899" s="7" t="inlineStr">
        <is>
          <t>Nº 6697</t>
        </is>
      </c>
      <c r="D899" s="8" t="inlineStr">
        <is>
          <t>VEZIR</t>
        </is>
      </c>
      <c r="E899" s="7" t="inlineStr">
        <is>
          <t>Embalagem Comercial do Produto</t>
        </is>
      </c>
      <c r="F899" s="7" t="inlineStr">
        <is>
          <t>1X20L (20 L)</t>
        </is>
      </c>
      <c r="G899" s="7" t="inlineStr">
        <is>
          <t>L</t>
        </is>
      </c>
      <c r="H899" s="9" t="n">
        <v>20</v>
      </c>
      <c r="I899" s="7" t="inlineStr">
        <is>
          <t>3808.93.27</t>
        </is>
      </c>
      <c r="J899" s="7" t="inlineStr">
        <is>
          <t>NÃO</t>
        </is>
      </c>
      <c r="K899" s="7" t="inlineStr">
        <is>
          <t>Embalagem Rígida — LAVÁVEL (Obrigatória Tríplice Lavagem ou Pressão)</t>
        </is>
      </c>
      <c r="L899" s="7" t="inlineStr">
        <is>
          <t>NÃO</t>
        </is>
      </c>
      <c r="M899" s="7" t="inlineStr">
        <is>
          <t>0,00% (Lei nº 10.925/2004)</t>
        </is>
      </c>
      <c r="N899" s="7" t="inlineStr">
        <is>
          <t>0,925% (LC nº 224/2025)</t>
        </is>
      </c>
      <c r="O899" s="7" t="inlineStr">
        <is>
          <t>0,365% (LC nº 224/2025)</t>
        </is>
      </c>
      <c r="P899" s="7" t="inlineStr">
        <is>
          <t>CST 06</t>
        </is>
      </c>
      <c r="Q899" s="7" t="inlineStr">
        <is>
          <t>CST 73</t>
        </is>
      </c>
      <c r="R899" s="7" t="inlineStr">
        <is>
          <t>Redução de 60% + Diferimento (Art. 138 e Anexo IX LC 214/2025)</t>
        </is>
      </c>
    </row>
    <row r="900" ht="22" customHeight="1">
      <c r="A900" s="12" t="inlineStr">
        <is>
          <t>SKU-0896</t>
        </is>
      </c>
      <c r="B900" s="11" t="n">
        <v>644</v>
      </c>
      <c r="C900" s="13" t="inlineStr">
        <is>
          <t>Nº 8520</t>
        </is>
      </c>
      <c r="D900" s="14" t="inlineStr">
        <is>
          <t>ROMEO SC</t>
        </is>
      </c>
      <c r="E900" s="13" t="inlineStr">
        <is>
          <t>Embalagem Comercial do Produto</t>
        </is>
      </c>
      <c r="F900" s="13" t="inlineStr">
        <is>
          <t>1X10L (10 L)</t>
        </is>
      </c>
      <c r="G900" s="13" t="inlineStr">
        <is>
          <t>KG</t>
        </is>
      </c>
      <c r="H900" s="15" t="n">
        <v>10</v>
      </c>
      <c r="I900" s="13" t="inlineStr">
        <is>
          <t>3808.92.99</t>
        </is>
      </c>
      <c r="J900" s="13" t="inlineStr">
        <is>
          <t>NÃO</t>
        </is>
      </c>
      <c r="K900" s="13" t="inlineStr">
        <is>
          <t>Embalagem Flexível — NÃO LAVÁVEL (Perfurar e usar saco ABNT)</t>
        </is>
      </c>
      <c r="L900" s="13" t="inlineStr">
        <is>
          <t>SIM (Saco Transparente ABNT)</t>
        </is>
      </c>
      <c r="M900" s="13" t="inlineStr">
        <is>
          <t>0,00% (Lei nº 10.925/2004)</t>
        </is>
      </c>
      <c r="N900" s="13" t="inlineStr">
        <is>
          <t>0,925% (LC nº 224/2025)</t>
        </is>
      </c>
      <c r="O900" s="13" t="inlineStr">
        <is>
          <t>0,365% (LC nº 224/2025)</t>
        </is>
      </c>
      <c r="P900" s="13" t="inlineStr">
        <is>
          <t>CST 06</t>
        </is>
      </c>
      <c r="Q900" s="13" t="inlineStr">
        <is>
          <t>CST 73</t>
        </is>
      </c>
      <c r="R900" s="13" t="inlineStr">
        <is>
          <t>Redução de 60% + Diferimento (Art. 138 e Anexo IX LC 214/2025)</t>
        </is>
      </c>
    </row>
    <row r="901" ht="22" customHeight="1">
      <c r="A901" s="6" t="inlineStr">
        <is>
          <t>SKU-0897</t>
        </is>
      </c>
      <c r="B901" s="5" t="n">
        <v>645</v>
      </c>
      <c r="C901" s="7" t="inlineStr">
        <is>
          <t>ISENTO (ATO 104/2017)</t>
        </is>
      </c>
      <c r="D901" s="8" t="inlineStr">
        <is>
          <t>ZATO ADJ</t>
        </is>
      </c>
      <c r="E901" s="7" t="inlineStr">
        <is>
          <t>Embalagem Comercial do Produto</t>
        </is>
      </c>
      <c r="F901" s="7" t="inlineStr">
        <is>
          <t>4X5L (5 L)</t>
        </is>
      </c>
      <c r="G901" s="7" t="inlineStr">
        <is>
          <t>L</t>
        </is>
      </c>
      <c r="H901" s="9" t="n">
        <v>5</v>
      </c>
      <c r="I901" s="7" t="inlineStr">
        <is>
          <t>3910.00.12</t>
        </is>
      </c>
      <c r="J901" s="7" t="inlineStr">
        <is>
          <t>NÃO</t>
        </is>
      </c>
      <c r="K901" s="7" t="inlineStr">
        <is>
          <t>Embalagem Rígida — LAVÁVEL (Obrigatória Tríplice Lavagem ou Pressão)</t>
        </is>
      </c>
      <c r="L901" s="7" t="inlineStr">
        <is>
          <t>NÃO</t>
        </is>
      </c>
      <c r="M901" s="7" t="inlineStr">
        <is>
          <t>9,25% Real | 3,65% Presumido</t>
        </is>
      </c>
      <c r="N901" s="7" t="inlineStr">
        <is>
          <t>9,250% (Integral)</t>
        </is>
      </c>
      <c r="O901" s="7" t="inlineStr">
        <is>
          <t>3,650% (Integral)</t>
        </is>
      </c>
      <c r="P901" s="7" t="inlineStr">
        <is>
          <t>CST 01</t>
        </is>
      </c>
      <c r="Q901" s="7" t="inlineStr">
        <is>
          <t>CST 50</t>
        </is>
      </c>
      <c r="R901" s="7" t="inlineStr">
        <is>
          <t>Alíquota Padrão Integral (LC 214/2025)</t>
        </is>
      </c>
    </row>
    <row r="902" ht="22" customHeight="1">
      <c r="A902" s="12" t="inlineStr">
        <is>
          <t>SKU-0898</t>
        </is>
      </c>
      <c r="B902" s="11" t="n">
        <v>645</v>
      </c>
      <c r="C902" s="13" t="inlineStr">
        <is>
          <t>ISENTO (ATO 104/2017)</t>
        </is>
      </c>
      <c r="D902" s="14" t="inlineStr">
        <is>
          <t>ZATO ADJ</t>
        </is>
      </c>
      <c r="E902" s="13" t="inlineStr">
        <is>
          <t>Faixa 1 TIPI (Apresentação &lt;= 300 g ou mL)</t>
        </is>
      </c>
      <c r="F902" s="13" t="inlineStr">
        <is>
          <t>Fracionado / Amostra &lt;= 0,3 L</t>
        </is>
      </c>
      <c r="G902" s="13" t="inlineStr">
        <is>
          <t>L</t>
        </is>
      </c>
      <c r="H902" s="18" t="n">
        <v>0.3</v>
      </c>
      <c r="I902" s="13" t="inlineStr">
        <is>
          <t>3402.90.29</t>
        </is>
      </c>
      <c r="J902" s="13" t="inlineStr">
        <is>
          <t>NÃO</t>
        </is>
      </c>
      <c r="K902" s="13" t="inlineStr">
        <is>
          <t>Embalagem Rígida — LAVÁVEL (Obrigatória Tríplice Lavagem ou Pressão)</t>
        </is>
      </c>
      <c r="L902" s="13" t="inlineStr">
        <is>
          <t>NÃO</t>
        </is>
      </c>
      <c r="M902" s="13" t="inlineStr">
        <is>
          <t>9,25% Real | 3,65% Presumido</t>
        </is>
      </c>
      <c r="N902" s="13" t="inlineStr">
        <is>
          <t>9,250% (Integral)</t>
        </is>
      </c>
      <c r="O902" s="13" t="inlineStr">
        <is>
          <t>3,650% (Integral)</t>
        </is>
      </c>
      <c r="P902" s="13" t="inlineStr">
        <is>
          <t>CST 01</t>
        </is>
      </c>
      <c r="Q902" s="13" t="inlineStr">
        <is>
          <t>CST 50</t>
        </is>
      </c>
      <c r="R902" s="13" t="inlineStr">
        <is>
          <t>Alíquota Padrão Integral (LC 214/2025)</t>
        </is>
      </c>
    </row>
    <row r="903" ht="22" customHeight="1">
      <c r="A903" s="6" t="inlineStr">
        <is>
          <t>SKU-0899</t>
        </is>
      </c>
      <c r="B903" s="5" t="n">
        <v>646</v>
      </c>
      <c r="C903" s="7" t="inlineStr">
        <is>
          <t>Nº 5110</t>
        </is>
      </c>
      <c r="D903" s="8" t="inlineStr">
        <is>
          <t>PLATINUM NEO</t>
        </is>
      </c>
      <c r="E903" s="7" t="inlineStr">
        <is>
          <t>Embalagem Comercial do Produto</t>
        </is>
      </c>
      <c r="F903" s="7" t="inlineStr">
        <is>
          <t>4X5L (5 L)</t>
        </is>
      </c>
      <c r="G903" s="7" t="inlineStr">
        <is>
          <t>L</t>
        </is>
      </c>
      <c r="H903" s="9" t="n">
        <v>5</v>
      </c>
      <c r="I903" s="7" t="inlineStr">
        <is>
          <t>3808.62.90</t>
        </is>
      </c>
      <c r="J903" s="7" t="inlineStr">
        <is>
          <t>SIM</t>
        </is>
      </c>
      <c r="K903" s="7" t="inlineStr">
        <is>
          <t>Embalagem Rígida — LAVÁVEL (Obrigatória Tríplice Lavagem ou Pressão)</t>
        </is>
      </c>
      <c r="L903" s="7" t="inlineStr">
        <is>
          <t>NÃO</t>
        </is>
      </c>
      <c r="M903" s="7" t="inlineStr">
        <is>
          <t>0,00% (Lei nº 10.925/2004)</t>
        </is>
      </c>
      <c r="N903" s="7" t="inlineStr">
        <is>
          <t>0,925% (LC nº 224/2025)</t>
        </is>
      </c>
      <c r="O903" s="7" t="inlineStr">
        <is>
          <t>0,365% (LC nº 224/2025)</t>
        </is>
      </c>
      <c r="P903" s="7" t="inlineStr">
        <is>
          <t>CST 06</t>
        </is>
      </c>
      <c r="Q903" s="7" t="inlineStr">
        <is>
          <t>CST 73</t>
        </is>
      </c>
      <c r="R903" s="7" t="inlineStr">
        <is>
          <t>Redução de 60% + Diferimento (Art. 138 e Anexo IX LC 214/2025)</t>
        </is>
      </c>
    </row>
    <row r="904" ht="22" customHeight="1">
      <c r="A904" s="12" t="inlineStr">
        <is>
          <t>SKU-0900</t>
        </is>
      </c>
      <c r="B904" s="11" t="n">
        <v>646</v>
      </c>
      <c r="C904" s="13" t="inlineStr">
        <is>
          <t>Nº 5110</t>
        </is>
      </c>
      <c r="D904" s="14" t="inlineStr">
        <is>
          <t>PLATINUM NEO</t>
        </is>
      </c>
      <c r="E904" s="13" t="inlineStr">
        <is>
          <t>Faixa 1 TIPI (Apresentação &lt;= 300 g ou mL)</t>
        </is>
      </c>
      <c r="F904" s="13" t="inlineStr">
        <is>
          <t>Fracionado / Amostra &lt;= 0,3 L</t>
        </is>
      </c>
      <c r="G904" s="13" t="inlineStr">
        <is>
          <t>L</t>
        </is>
      </c>
      <c r="H904" s="18" t="n">
        <v>0.3</v>
      </c>
      <c r="I904" s="13" t="inlineStr">
        <is>
          <t>3808.61.00</t>
        </is>
      </c>
      <c r="J904" s="13" t="inlineStr">
        <is>
          <t>SIM</t>
        </is>
      </c>
      <c r="K904" s="13" t="inlineStr">
        <is>
          <t>Embalagem Rígida — LAVÁVEL (Obrigatória Tríplice Lavagem ou Pressão)</t>
        </is>
      </c>
      <c r="L904" s="13" t="inlineStr">
        <is>
          <t>NÃO</t>
        </is>
      </c>
      <c r="M904" s="13" t="inlineStr">
        <is>
          <t>0,00% (Lei nº 10.925/2004)</t>
        </is>
      </c>
      <c r="N904" s="13" t="inlineStr">
        <is>
          <t>0,925% (LC nº 224/2025)</t>
        </is>
      </c>
      <c r="O904" s="13" t="inlineStr">
        <is>
          <t>0,365% (LC nº 224/2025)</t>
        </is>
      </c>
      <c r="P904" s="13" t="inlineStr">
        <is>
          <t>CST 06</t>
        </is>
      </c>
      <c r="Q904" s="13" t="inlineStr">
        <is>
          <t>CST 73</t>
        </is>
      </c>
      <c r="R904" s="13" t="inlineStr">
        <is>
          <t>Redução de 60% + Diferimento (Art. 138 e Anexo IX LC 214/2025)</t>
        </is>
      </c>
    </row>
    <row r="905" ht="22" customHeight="1">
      <c r="A905" s="6" t="inlineStr">
        <is>
          <t>SKU-0901</t>
        </is>
      </c>
      <c r="B905" s="5" t="n">
        <v>647</v>
      </c>
      <c r="C905" s="7" t="inlineStr">
        <is>
          <t>SIPEAGRO (UF-XXXXX)</t>
        </is>
      </c>
      <c r="D905" s="8" t="inlineStr">
        <is>
          <t>BIOBRADY 1,75L</t>
        </is>
      </c>
      <c r="E905" s="7" t="inlineStr">
        <is>
          <t>Embalagem Comercial do Produto</t>
        </is>
      </c>
      <c r="F905" s="7" t="inlineStr">
        <is>
          <t>1,75L (1.75 L)</t>
        </is>
      </c>
      <c r="G905" s="7" t="inlineStr">
        <is>
          <t>L</t>
        </is>
      </c>
      <c r="H905" s="17" t="n">
        <v>1.75</v>
      </c>
      <c r="I905" s="7" t="inlineStr">
        <is>
          <t>3002.49.99</t>
        </is>
      </c>
      <c r="J905" s="7" t="inlineStr">
        <is>
          <t>NÃO</t>
        </is>
      </c>
      <c r="K905" s="7" t="inlineStr">
        <is>
          <t>Embalagem de Insumo Nutricional/Biológico (Logística Reversa)</t>
        </is>
      </c>
      <c r="L905" s="7" t="inlineStr">
        <is>
          <t>NÃO</t>
        </is>
      </c>
      <c r="M905" s="7" t="inlineStr">
        <is>
          <t>0,00% (Lei nº 10.925/2004)</t>
        </is>
      </c>
      <c r="N905" s="7" t="inlineStr">
        <is>
          <t>0,925% (LC nº 224/2025)</t>
        </is>
      </c>
      <c r="O905" s="7" t="inlineStr">
        <is>
          <t>0,365% (LC nº 224/2025)</t>
        </is>
      </c>
      <c r="P905" s="7" t="inlineStr">
        <is>
          <t>CST 06</t>
        </is>
      </c>
      <c r="Q905" s="7" t="inlineStr">
        <is>
          <t>CST 73</t>
        </is>
      </c>
      <c r="R905" s="7" t="inlineStr">
        <is>
          <t>Redução de 60% + Diferimento (Art. 138 e Anexo IX LC 214/2025)</t>
        </is>
      </c>
    </row>
    <row r="906" ht="22" customHeight="1">
      <c r="A906" s="12" t="inlineStr">
        <is>
          <t>SKU-0902</t>
        </is>
      </c>
      <c r="B906" s="11" t="n">
        <v>647</v>
      </c>
      <c r="C906" s="13" t="inlineStr">
        <is>
          <t>SIPEAGRO (UF-XXXXX)</t>
        </is>
      </c>
      <c r="D906" s="14" t="inlineStr">
        <is>
          <t>BIOBRADY 1,75L</t>
        </is>
      </c>
      <c r="E906" s="13" t="inlineStr">
        <is>
          <t>Faixa 1 TIPI (Apresentação &lt;= 300 g ou mL)</t>
        </is>
      </c>
      <c r="F906" s="13" t="inlineStr">
        <is>
          <t>Fracionado / Amostra &lt;= 0,3 L</t>
        </is>
      </c>
      <c r="G906" s="13" t="inlineStr">
        <is>
          <t>L</t>
        </is>
      </c>
      <c r="H906" s="18" t="n">
        <v>0.3</v>
      </c>
      <c r="I906" s="13" t="inlineStr">
        <is>
          <t>3002.49.99</t>
        </is>
      </c>
      <c r="J906" s="13" t="inlineStr">
        <is>
          <t>NÃO</t>
        </is>
      </c>
      <c r="K906" s="13" t="inlineStr">
        <is>
          <t>Embalagem de Insumo Nutricional/Biológico (Logística Reversa)</t>
        </is>
      </c>
      <c r="L906" s="13" t="inlineStr">
        <is>
          <t>NÃO</t>
        </is>
      </c>
      <c r="M906" s="13" t="inlineStr">
        <is>
          <t>0,00% (Lei nº 10.925/2004)</t>
        </is>
      </c>
      <c r="N906" s="13" t="inlineStr">
        <is>
          <t>0,925% (LC nº 224/2025)</t>
        </is>
      </c>
      <c r="O906" s="13" t="inlineStr">
        <is>
          <t>0,365% (LC nº 224/2025)</t>
        </is>
      </c>
      <c r="P906" s="13" t="inlineStr">
        <is>
          <t>CST 06</t>
        </is>
      </c>
      <c r="Q906" s="13" t="inlineStr">
        <is>
          <t>CST 73</t>
        </is>
      </c>
      <c r="R906" s="13" t="inlineStr">
        <is>
          <t>Redução de 60% + Diferimento (Art. 138 e Anexo IX LC 214/2025)</t>
        </is>
      </c>
    </row>
    <row r="907" ht="22" customHeight="1">
      <c r="A907" s="6" t="inlineStr">
        <is>
          <t>SKU-0903</t>
        </is>
      </c>
      <c r="B907" s="5" t="n">
        <v>648</v>
      </c>
      <c r="C907" s="7" t="inlineStr">
        <is>
          <t>SIPEAGRO (UF-XXXXX)</t>
        </is>
      </c>
      <c r="D907" s="8" t="inlineStr">
        <is>
          <t>INOCULANTE GRAP NOD L+</t>
        </is>
      </c>
      <c r="E907" s="7" t="inlineStr">
        <is>
          <t>Embalagem Comercial do Produto</t>
        </is>
      </c>
      <c r="F907" s="7" t="inlineStr">
        <is>
          <t>7L (7 L)</t>
        </is>
      </c>
      <c r="G907" s="7" t="inlineStr">
        <is>
          <t>L</t>
        </is>
      </c>
      <c r="H907" s="9" t="n">
        <v>7</v>
      </c>
      <c r="I907" s="7" t="inlineStr">
        <is>
          <t>3002.49.99</t>
        </is>
      </c>
      <c r="J907" s="7" t="inlineStr">
        <is>
          <t>NÃO</t>
        </is>
      </c>
      <c r="K907" s="7" t="inlineStr">
        <is>
          <t>Embalagem de Insumo Nutricional/Biológico (Logística Reversa)</t>
        </is>
      </c>
      <c r="L907" s="7" t="inlineStr">
        <is>
          <t>NÃO</t>
        </is>
      </c>
      <c r="M907" s="7" t="inlineStr">
        <is>
          <t>0,00% (Lei nº 10.925/2004)</t>
        </is>
      </c>
      <c r="N907" s="7" t="inlineStr">
        <is>
          <t>0,925% (LC nº 224/2025)</t>
        </is>
      </c>
      <c r="O907" s="7" t="inlineStr">
        <is>
          <t>0,365% (LC nº 224/2025)</t>
        </is>
      </c>
      <c r="P907" s="7" t="inlineStr">
        <is>
          <t>CST 06</t>
        </is>
      </c>
      <c r="Q907" s="7" t="inlineStr">
        <is>
          <t>CST 73</t>
        </is>
      </c>
      <c r="R907" s="7" t="inlineStr">
        <is>
          <t>Redução de 60% + Diferimento (Art. 138 e Anexo IX LC 214/2025)</t>
        </is>
      </c>
    </row>
    <row r="908" ht="22" customHeight="1">
      <c r="A908" s="12" t="inlineStr">
        <is>
          <t>SKU-0904</t>
        </is>
      </c>
      <c r="B908" s="11" t="n">
        <v>648</v>
      </c>
      <c r="C908" s="13" t="inlineStr">
        <is>
          <t>SIPEAGRO (UF-XXXXX)</t>
        </is>
      </c>
      <c r="D908" s="14" t="inlineStr">
        <is>
          <t>INOCULANTE GRAP NOD L+</t>
        </is>
      </c>
      <c r="E908" s="13" t="inlineStr">
        <is>
          <t>Faixa 1 TIPI (Apresentação &lt;= 300 g ou mL)</t>
        </is>
      </c>
      <c r="F908" s="13" t="inlineStr">
        <is>
          <t>Fracionado / Amostra &lt;= 0,3 L</t>
        </is>
      </c>
      <c r="G908" s="13" t="inlineStr">
        <is>
          <t>L</t>
        </is>
      </c>
      <c r="H908" s="18" t="n">
        <v>0.3</v>
      </c>
      <c r="I908" s="13" t="inlineStr">
        <is>
          <t>3002.49.99</t>
        </is>
      </c>
      <c r="J908" s="13" t="inlineStr">
        <is>
          <t>NÃO</t>
        </is>
      </c>
      <c r="K908" s="13" t="inlineStr">
        <is>
          <t>Embalagem de Insumo Nutricional/Biológico (Logística Reversa)</t>
        </is>
      </c>
      <c r="L908" s="13" t="inlineStr">
        <is>
          <t>NÃO</t>
        </is>
      </c>
      <c r="M908" s="13" t="inlineStr">
        <is>
          <t>0,00% (Lei nº 10.925/2004)</t>
        </is>
      </c>
      <c r="N908" s="13" t="inlineStr">
        <is>
          <t>0,925% (LC nº 224/2025)</t>
        </is>
      </c>
      <c r="O908" s="13" t="inlineStr">
        <is>
          <t>0,365% (LC nº 224/2025)</t>
        </is>
      </c>
      <c r="P908" s="13" t="inlineStr">
        <is>
          <t>CST 06</t>
        </is>
      </c>
      <c r="Q908" s="13" t="inlineStr">
        <is>
          <t>CST 73</t>
        </is>
      </c>
      <c r="R908" s="13" t="inlineStr">
        <is>
          <t>Redução de 60% + Diferimento (Art. 138 e Anexo IX LC 214/2025)</t>
        </is>
      </c>
    </row>
    <row r="909" ht="22" customHeight="1">
      <c r="A909" s="6" t="inlineStr">
        <is>
          <t>SKU-0905</t>
        </is>
      </c>
      <c r="B909" s="5" t="n">
        <v>649</v>
      </c>
      <c r="C909" s="7" t="inlineStr">
        <is>
          <t>Nº 18107</t>
        </is>
      </c>
      <c r="D909" s="8" t="inlineStr">
        <is>
          <t>TALISMAN</t>
        </is>
      </c>
      <c r="E909" s="7" t="inlineStr">
        <is>
          <t>Embalagem Comercial do Produto</t>
        </is>
      </c>
      <c r="F909" s="7" t="inlineStr">
        <is>
          <t>1X20L (20 L)</t>
        </is>
      </c>
      <c r="G909" s="7" t="inlineStr">
        <is>
          <t>L</t>
        </is>
      </c>
      <c r="H909" s="9" t="n">
        <v>20</v>
      </c>
      <c r="I909" s="7" t="inlineStr">
        <is>
          <t>3808.69.90</t>
        </is>
      </c>
      <c r="J909" s="7" t="inlineStr">
        <is>
          <t>SIM</t>
        </is>
      </c>
      <c r="K909" s="7" t="inlineStr">
        <is>
          <t>Embalagem Rígida — LAVÁVEL (Obrigatória Tríplice Lavagem ou Pressão)</t>
        </is>
      </c>
      <c r="L909" s="7" t="inlineStr">
        <is>
          <t>NÃO</t>
        </is>
      </c>
      <c r="M909" s="7" t="inlineStr">
        <is>
          <t>0,00% (Lei nº 10.925/2004)</t>
        </is>
      </c>
      <c r="N909" s="7" t="inlineStr">
        <is>
          <t>0,925% (LC nº 224/2025)</t>
        </is>
      </c>
      <c r="O909" s="7" t="inlineStr">
        <is>
          <t>0,365% (LC nº 224/2025)</t>
        </is>
      </c>
      <c r="P909" s="7" t="inlineStr">
        <is>
          <t>CST 06</t>
        </is>
      </c>
      <c r="Q909" s="7" t="inlineStr">
        <is>
          <t>CST 73</t>
        </is>
      </c>
      <c r="R909" s="7" t="inlineStr">
        <is>
          <t>Redução de 60% + Diferimento (Art. 138 e Anexo IX LC 214/2025)</t>
        </is>
      </c>
    </row>
    <row r="910" ht="22" customHeight="1">
      <c r="A910" s="12" t="inlineStr">
        <is>
          <t>SKU-0906</t>
        </is>
      </c>
      <c r="B910" s="11" t="n">
        <v>649</v>
      </c>
      <c r="C910" s="13" t="inlineStr">
        <is>
          <t>Nº 18107</t>
        </is>
      </c>
      <c r="D910" s="14" t="inlineStr">
        <is>
          <t>TALISMAN</t>
        </is>
      </c>
      <c r="E910" s="13" t="inlineStr">
        <is>
          <t>Faixa 1 TIPI (Apresentação &lt;= 300 g ou mL)</t>
        </is>
      </c>
      <c r="F910" s="13" t="inlineStr">
        <is>
          <t>Fracionado / Amostra &lt;= 0,3 L</t>
        </is>
      </c>
      <c r="G910" s="13" t="inlineStr">
        <is>
          <t>L</t>
        </is>
      </c>
      <c r="H910" s="18" t="n">
        <v>0.3</v>
      </c>
      <c r="I910" s="13" t="inlineStr">
        <is>
          <t>3808.61.00</t>
        </is>
      </c>
      <c r="J910" s="13" t="inlineStr">
        <is>
          <t>SIM</t>
        </is>
      </c>
      <c r="K910" s="13" t="inlineStr">
        <is>
          <t>Embalagem Rígida — LAVÁVEL (Obrigatória Tríplice Lavagem ou Pressão)</t>
        </is>
      </c>
      <c r="L910" s="13" t="inlineStr">
        <is>
          <t>NÃO</t>
        </is>
      </c>
      <c r="M910" s="13" t="inlineStr">
        <is>
          <t>0,00% (Lei nº 10.925/2004)</t>
        </is>
      </c>
      <c r="N910" s="13" t="inlineStr">
        <is>
          <t>0,925% (LC nº 224/2025)</t>
        </is>
      </c>
      <c r="O910" s="13" t="inlineStr">
        <is>
          <t>0,365% (LC nº 224/2025)</t>
        </is>
      </c>
      <c r="P910" s="13" t="inlineStr">
        <is>
          <t>CST 06</t>
        </is>
      </c>
      <c r="Q910" s="13" t="inlineStr">
        <is>
          <t>CST 73</t>
        </is>
      </c>
      <c r="R910" s="13" t="inlineStr">
        <is>
          <t>Redução de 60% + Diferimento (Art. 138 e Anexo IX LC 214/2025)</t>
        </is>
      </c>
    </row>
    <row r="911" ht="22" customHeight="1">
      <c r="A911" s="6" t="inlineStr">
        <is>
          <t>SKU-0907</t>
        </is>
      </c>
      <c r="B911" s="5" t="n">
        <v>650</v>
      </c>
      <c r="C911" s="7" t="inlineStr">
        <is>
          <t>SIPEAGRO (UF-XXXXX)</t>
        </is>
      </c>
      <c r="D911" s="8" t="inlineStr">
        <is>
          <t>ENDOFUSE 0,5L</t>
        </is>
      </c>
      <c r="E911" s="7" t="inlineStr">
        <is>
          <t>Embalagem Comercial do Produto</t>
        </is>
      </c>
      <c r="F911" s="7" t="inlineStr">
        <is>
          <t>0,5L (0.5 L)</t>
        </is>
      </c>
      <c r="G911" s="7" t="inlineStr">
        <is>
          <t>L</t>
        </is>
      </c>
      <c r="H911" s="17" t="n">
        <v>0.5</v>
      </c>
      <c r="I911" s="7" t="inlineStr">
        <is>
          <t>3101.00.00</t>
        </is>
      </c>
      <c r="J911" s="7" t="inlineStr">
        <is>
          <t>NÃO</t>
        </is>
      </c>
      <c r="K911" s="7" t="inlineStr">
        <is>
          <t>Embalagem de Insumo Nutricional/Biológico (Logística Reversa)</t>
        </is>
      </c>
      <c r="L911" s="7" t="inlineStr">
        <is>
          <t>NÃO</t>
        </is>
      </c>
      <c r="M911" s="7" t="inlineStr">
        <is>
          <t>0,00% (Lei nº 10.925/2004)</t>
        </is>
      </c>
      <c r="N911" s="7" t="inlineStr">
        <is>
          <t>0,925% (LC nº 224/2025)</t>
        </is>
      </c>
      <c r="O911" s="7" t="inlineStr">
        <is>
          <t>0,365% (LC nº 224/2025)</t>
        </is>
      </c>
      <c r="P911" s="7" t="inlineStr">
        <is>
          <t>CST 06</t>
        </is>
      </c>
      <c r="Q911" s="7" t="inlineStr">
        <is>
          <t>CST 73</t>
        </is>
      </c>
      <c r="R911" s="7" t="inlineStr">
        <is>
          <t>Redução de 60% + Diferimento (Art. 138 e Anexo IX LC 214/2025)</t>
        </is>
      </c>
    </row>
    <row r="912" ht="22" customHeight="1">
      <c r="A912" s="12" t="inlineStr">
        <is>
          <t>SKU-0908</t>
        </is>
      </c>
      <c r="B912" s="11" t="n">
        <v>650</v>
      </c>
      <c r="C912" s="13" t="inlineStr">
        <is>
          <t>SIPEAGRO (UF-XXXXX)</t>
        </is>
      </c>
      <c r="D912" s="14" t="inlineStr">
        <is>
          <t>ENDOFUSE 0,5L</t>
        </is>
      </c>
      <c r="E912" s="13" t="inlineStr">
        <is>
          <t>Faixa 1 TIPI (Apresentação &lt;= 300 g ou mL)</t>
        </is>
      </c>
      <c r="F912" s="13" t="inlineStr">
        <is>
          <t>Fracionado / Amostra &lt;= 0,3 L</t>
        </is>
      </c>
      <c r="G912" s="13" t="inlineStr">
        <is>
          <t>L</t>
        </is>
      </c>
      <c r="H912" s="18" t="n">
        <v>0.3</v>
      </c>
      <c r="I912" s="13" t="inlineStr">
        <is>
          <t>3105.90.90</t>
        </is>
      </c>
      <c r="J912" s="13" t="inlineStr">
        <is>
          <t>NÃO</t>
        </is>
      </c>
      <c r="K912" s="13" t="inlineStr">
        <is>
          <t>Embalagem de Insumo Nutricional/Biológico (Logística Reversa)</t>
        </is>
      </c>
      <c r="L912" s="13" t="inlineStr">
        <is>
          <t>NÃO</t>
        </is>
      </c>
      <c r="M912" s="13" t="inlineStr">
        <is>
          <t>0,00% (Lei nº 10.925/2004)</t>
        </is>
      </c>
      <c r="N912" s="13" t="inlineStr">
        <is>
          <t>0,925% (LC nº 224/2025)</t>
        </is>
      </c>
      <c r="O912" s="13" t="inlineStr">
        <is>
          <t>0,365% (LC nº 224/2025)</t>
        </is>
      </c>
      <c r="P912" s="13" t="inlineStr">
        <is>
          <t>CST 06</t>
        </is>
      </c>
      <c r="Q912" s="13" t="inlineStr">
        <is>
          <t>CST 73</t>
        </is>
      </c>
      <c r="R912" s="13" t="inlineStr">
        <is>
          <t>Redução de 60% + Diferimento (Art. 138 e Anexo IX LC 214/2025)</t>
        </is>
      </c>
    </row>
    <row r="913" ht="22" customHeight="1">
      <c r="A913" s="6" t="inlineStr">
        <is>
          <t>SKU-0909</t>
        </is>
      </c>
      <c r="B913" s="5" t="n">
        <v>651</v>
      </c>
      <c r="C913" s="7" t="inlineStr">
        <is>
          <t>Nº 479097</t>
        </is>
      </c>
      <c r="D913" s="8" t="inlineStr">
        <is>
          <t>SELECT 240 EC</t>
        </is>
      </c>
      <c r="E913" s="7" t="inlineStr">
        <is>
          <t>Embalagem Comercial do Produto</t>
        </is>
      </c>
      <c r="F913" s="7" t="inlineStr">
        <is>
          <t>4X5L (5 L)</t>
        </is>
      </c>
      <c r="G913" s="7" t="inlineStr">
        <is>
          <t>L</t>
        </is>
      </c>
      <c r="H913" s="9" t="n">
        <v>5</v>
      </c>
      <c r="I913" s="7" t="inlineStr">
        <is>
          <t>3808.93.29</t>
        </is>
      </c>
      <c r="J913" s="7" t="inlineStr">
        <is>
          <t>NÃO</t>
        </is>
      </c>
      <c r="K913" s="7" t="inlineStr">
        <is>
          <t>Embalagem Rígida — LAVÁVEL (Obrigatória Tríplice Lavagem ou Pressão)</t>
        </is>
      </c>
      <c r="L913" s="7" t="inlineStr">
        <is>
          <t>NÃO</t>
        </is>
      </c>
      <c r="M913" s="7" t="inlineStr">
        <is>
          <t>0,00% (Lei nº 10.925/2004)</t>
        </is>
      </c>
      <c r="N913" s="7" t="inlineStr">
        <is>
          <t>0,925% (LC nº 224/2025)</t>
        </is>
      </c>
      <c r="O913" s="7" t="inlineStr">
        <is>
          <t>0,365% (LC nº 224/2025)</t>
        </is>
      </c>
      <c r="P913" s="7" t="inlineStr">
        <is>
          <t>CST 06</t>
        </is>
      </c>
      <c r="Q913" s="7" t="inlineStr">
        <is>
          <t>CST 73</t>
        </is>
      </c>
      <c r="R913" s="7" t="inlineStr">
        <is>
          <t>Redução de 60% + Diferimento (Art. 138 e Anexo IX LC 214/2025)</t>
        </is>
      </c>
    </row>
    <row r="914" ht="22" customHeight="1">
      <c r="A914" s="12" t="inlineStr">
        <is>
          <t>SKU-0910</t>
        </is>
      </c>
      <c r="B914" s="11" t="n">
        <v>652</v>
      </c>
      <c r="C914" s="13" t="inlineStr">
        <is>
          <t>SIPEAGRO (UF-XXXXX)</t>
        </is>
      </c>
      <c r="D914" s="14" t="inlineStr">
        <is>
          <t>ESTIMULUS ROOT +</t>
        </is>
      </c>
      <c r="E914" s="13" t="inlineStr">
        <is>
          <t>Embalagem Comercial do Produto</t>
        </is>
      </c>
      <c r="F914" s="13" t="inlineStr">
        <is>
          <t>1L (1 L)</t>
        </is>
      </c>
      <c r="G914" s="13" t="inlineStr">
        <is>
          <t>L</t>
        </is>
      </c>
      <c r="H914" s="15" t="n">
        <v>1</v>
      </c>
      <c r="I914" s="13" t="inlineStr">
        <is>
          <t>3105.90.90</t>
        </is>
      </c>
      <c r="J914" s="13" t="inlineStr">
        <is>
          <t>NÃO</t>
        </is>
      </c>
      <c r="K914" s="13" t="inlineStr">
        <is>
          <t>Embalagem de Insumo Nutricional/Biológico (Logística Reversa)</t>
        </is>
      </c>
      <c r="L914" s="13" t="inlineStr">
        <is>
          <t>NÃO</t>
        </is>
      </c>
      <c r="M914" s="13" t="inlineStr">
        <is>
          <t>0,00% (Lei nº 10.925/2004)</t>
        </is>
      </c>
      <c r="N914" s="13" t="inlineStr">
        <is>
          <t>0,925% (LC nº 224/2025)</t>
        </is>
      </c>
      <c r="O914" s="13" t="inlineStr">
        <is>
          <t>0,365% (LC nº 224/2025)</t>
        </is>
      </c>
      <c r="P914" s="13" t="inlineStr">
        <is>
          <t>CST 06</t>
        </is>
      </c>
      <c r="Q914" s="13" t="inlineStr">
        <is>
          <t>CST 73</t>
        </is>
      </c>
      <c r="R914" s="13" t="inlineStr">
        <is>
          <t>Redução de 60% + Diferimento (Art. 138 e Anexo IX LC 214/2025)</t>
        </is>
      </c>
    </row>
    <row r="915" ht="22" customHeight="1">
      <c r="A915" s="6" t="inlineStr">
        <is>
          <t>SKU-0911</t>
        </is>
      </c>
      <c r="B915" s="5" t="n">
        <v>652</v>
      </c>
      <c r="C915" s="7" t="inlineStr">
        <is>
          <t>SIPEAGRO (UF-XXXXX)</t>
        </is>
      </c>
      <c r="D915" s="8" t="inlineStr">
        <is>
          <t>ESTIMULUS ROOT +</t>
        </is>
      </c>
      <c r="E915" s="7" t="inlineStr">
        <is>
          <t>Faixa 1 TIPI (Apresentação &lt;= 300 g ou mL)</t>
        </is>
      </c>
      <c r="F915" s="7" t="inlineStr">
        <is>
          <t>Fracionado / Amostra &lt;= 0,3 L</t>
        </is>
      </c>
      <c r="G915" s="7" t="inlineStr">
        <is>
          <t>L</t>
        </is>
      </c>
      <c r="H915" s="17" t="n">
        <v>0.3</v>
      </c>
      <c r="I915" s="7" t="inlineStr">
        <is>
          <t>3105.90.90</t>
        </is>
      </c>
      <c r="J915" s="7" t="inlineStr">
        <is>
          <t>NÃO</t>
        </is>
      </c>
      <c r="K915" s="7" t="inlineStr">
        <is>
          <t>Embalagem de Insumo Nutricional/Biológico (Logística Reversa)</t>
        </is>
      </c>
      <c r="L915" s="7" t="inlineStr">
        <is>
          <t>NÃO</t>
        </is>
      </c>
      <c r="M915" s="7" t="inlineStr">
        <is>
          <t>0,00% (Lei nº 10.925/2004)</t>
        </is>
      </c>
      <c r="N915" s="7" t="inlineStr">
        <is>
          <t>0,925% (LC nº 224/2025)</t>
        </is>
      </c>
      <c r="O915" s="7" t="inlineStr">
        <is>
          <t>0,365% (LC nº 224/2025)</t>
        </is>
      </c>
      <c r="P915" s="7" t="inlineStr">
        <is>
          <t>CST 06</t>
        </is>
      </c>
      <c r="Q915" s="7" t="inlineStr">
        <is>
          <t>CST 73</t>
        </is>
      </c>
      <c r="R915" s="7" t="inlineStr">
        <is>
          <t>Redução de 60% + Diferimento (Art. 138 e Anexo IX LC 214/2025)</t>
        </is>
      </c>
    </row>
    <row r="916" ht="22" customHeight="1">
      <c r="A916" s="12" t="inlineStr">
        <is>
          <t>SKU-0912</t>
        </is>
      </c>
      <c r="B916" s="11" t="n">
        <v>653</v>
      </c>
      <c r="C916" s="13" t="inlineStr">
        <is>
          <t>ISENTO (ATO 104/2017)</t>
        </is>
      </c>
      <c r="D916" s="14" t="inlineStr">
        <is>
          <t>SPREAD MPO</t>
        </is>
      </c>
      <c r="E916" s="13" t="inlineStr">
        <is>
          <t>Embalagem Comercial do Produto</t>
        </is>
      </c>
      <c r="F916" s="13" t="inlineStr">
        <is>
          <t>1X1L (1 L)</t>
        </is>
      </c>
      <c r="G916" s="13" t="inlineStr">
        <is>
          <t>L</t>
        </is>
      </c>
      <c r="H916" s="15" t="n">
        <v>1</v>
      </c>
      <c r="I916" s="13" t="inlineStr">
        <is>
          <t>3402.90.29</t>
        </is>
      </c>
      <c r="J916" s="13" t="inlineStr">
        <is>
          <t>NÃO</t>
        </is>
      </c>
      <c r="K916" s="13" t="inlineStr">
        <is>
          <t>Embalagem Rígida — LAVÁVEL (Obrigatória Tríplice Lavagem ou Pressão)</t>
        </is>
      </c>
      <c r="L916" s="13" t="inlineStr">
        <is>
          <t>NÃO</t>
        </is>
      </c>
      <c r="M916" s="13" t="inlineStr">
        <is>
          <t>9,25% Real | 3,65% Presumido</t>
        </is>
      </c>
      <c r="N916" s="13" t="inlineStr">
        <is>
          <t>9,250% (Integral)</t>
        </is>
      </c>
      <c r="O916" s="13" t="inlineStr">
        <is>
          <t>3,650% (Integral)</t>
        </is>
      </c>
      <c r="P916" s="13" t="inlineStr">
        <is>
          <t>CST 01</t>
        </is>
      </c>
      <c r="Q916" s="13" t="inlineStr">
        <is>
          <t>CST 50</t>
        </is>
      </c>
      <c r="R916" s="13" t="inlineStr">
        <is>
          <t>Alíquota Padrão Integral (LC 214/2025)</t>
        </is>
      </c>
    </row>
    <row r="917" ht="22" customHeight="1">
      <c r="A917" s="6" t="inlineStr">
        <is>
          <t>SKU-0913</t>
        </is>
      </c>
      <c r="B917" s="5" t="n">
        <v>654</v>
      </c>
      <c r="C917" s="7" t="inlineStr">
        <is>
          <t>ISENTO (ATO 104/2017)</t>
        </is>
      </c>
      <c r="D917" s="8" t="inlineStr">
        <is>
          <t>AGRIS</t>
        </is>
      </c>
      <c r="E917" s="7" t="inlineStr">
        <is>
          <t>Embalagem Comercial do Produto</t>
        </is>
      </c>
      <c r="F917" s="7" t="inlineStr">
        <is>
          <t>20L (20 L)</t>
        </is>
      </c>
      <c r="G917" s="7" t="inlineStr">
        <is>
          <t>L</t>
        </is>
      </c>
      <c r="H917" s="9" t="n">
        <v>20</v>
      </c>
      <c r="I917" s="7" t="inlineStr">
        <is>
          <t>3402.90.29</t>
        </is>
      </c>
      <c r="J917" s="7" t="inlineStr">
        <is>
          <t>NÃO</t>
        </is>
      </c>
      <c r="K917" s="7" t="inlineStr">
        <is>
          <t>Embalagem Rígida — LAVÁVEL (Obrigatória Tríplice Lavagem ou Pressão)</t>
        </is>
      </c>
      <c r="L917" s="7" t="inlineStr">
        <is>
          <t>NÃO</t>
        </is>
      </c>
      <c r="M917" s="7" t="inlineStr">
        <is>
          <t>9,25% Real | 3,65% Presumido</t>
        </is>
      </c>
      <c r="N917" s="7" t="inlineStr">
        <is>
          <t>9,250% (Integral)</t>
        </is>
      </c>
      <c r="O917" s="7" t="inlineStr">
        <is>
          <t>3,650% (Integral)</t>
        </is>
      </c>
      <c r="P917" s="7" t="inlineStr">
        <is>
          <t>CST 01</t>
        </is>
      </c>
      <c r="Q917" s="7" t="inlineStr">
        <is>
          <t>CST 50</t>
        </is>
      </c>
      <c r="R917" s="7" t="inlineStr">
        <is>
          <t>Alíquota Padrão Integral (LC 214/2025)</t>
        </is>
      </c>
    </row>
    <row r="918" ht="22" customHeight="1">
      <c r="A918" s="12" t="inlineStr">
        <is>
          <t>SKU-0914</t>
        </is>
      </c>
      <c r="B918" s="11" t="n">
        <v>655</v>
      </c>
      <c r="C918" s="13" t="inlineStr">
        <is>
          <t>SIPEAGRO (UF-XXXXX)</t>
        </is>
      </c>
      <c r="D918" s="14" t="inlineStr">
        <is>
          <t>VITAL SOLO BORO</t>
        </is>
      </c>
      <c r="E918" s="13" t="inlineStr">
        <is>
          <t>Embalagem Comercial do Produto</t>
        </is>
      </c>
      <c r="F918" s="13" t="inlineStr">
        <is>
          <t>4X5L (5 L)</t>
        </is>
      </c>
      <c r="G918" s="13" t="inlineStr">
        <is>
          <t>L</t>
        </is>
      </c>
      <c r="H918" s="15" t="n">
        <v>5</v>
      </c>
      <c r="I918" s="13" t="inlineStr">
        <is>
          <t>3105.90.90</t>
        </is>
      </c>
      <c r="J918" s="13" t="inlineStr">
        <is>
          <t>NÃO</t>
        </is>
      </c>
      <c r="K918" s="13" t="inlineStr">
        <is>
          <t>Embalagem de Insumo Nutricional/Biológico (Logística Reversa)</t>
        </is>
      </c>
      <c r="L918" s="13" t="inlineStr">
        <is>
          <t>NÃO</t>
        </is>
      </c>
      <c r="M918" s="13" t="inlineStr">
        <is>
          <t>0,00% (Lei nº 10.925/2004)</t>
        </is>
      </c>
      <c r="N918" s="13" t="inlineStr">
        <is>
          <t>0,925% (LC nº 224/2025)</t>
        </is>
      </c>
      <c r="O918" s="13" t="inlineStr">
        <is>
          <t>0,365% (LC nº 224/2025)</t>
        </is>
      </c>
      <c r="P918" s="13" t="inlineStr">
        <is>
          <t>CST 06</t>
        </is>
      </c>
      <c r="Q918" s="13" t="inlineStr">
        <is>
          <t>CST 73</t>
        </is>
      </c>
      <c r="R918" s="13" t="inlineStr">
        <is>
          <t>Redução de 60% + Diferimento (Art. 138 e Anexo IX LC 214/2025)</t>
        </is>
      </c>
    </row>
    <row r="919" ht="22" customHeight="1">
      <c r="A919" s="6" t="inlineStr">
        <is>
          <t>SKU-0915</t>
        </is>
      </c>
      <c r="B919" s="5" t="n">
        <v>655</v>
      </c>
      <c r="C919" s="7" t="inlineStr">
        <is>
          <t>SIPEAGRO (UF-XXXXX)</t>
        </is>
      </c>
      <c r="D919" s="8" t="inlineStr">
        <is>
          <t>VITAL SOLO BORO</t>
        </is>
      </c>
      <c r="E919" s="7" t="inlineStr">
        <is>
          <t>Faixa 1 TIPI (Apresentação &lt;= 300 g ou mL)</t>
        </is>
      </c>
      <c r="F919" s="7" t="inlineStr">
        <is>
          <t>Fracionado / Amostra &lt;= 0,3 L</t>
        </is>
      </c>
      <c r="G919" s="7" t="inlineStr">
        <is>
          <t>L</t>
        </is>
      </c>
      <c r="H919" s="17" t="n">
        <v>0.3</v>
      </c>
      <c r="I919" s="7" t="inlineStr">
        <is>
          <t>3105.90.90</t>
        </is>
      </c>
      <c r="J919" s="7" t="inlineStr">
        <is>
          <t>NÃO</t>
        </is>
      </c>
      <c r="K919" s="7" t="inlineStr">
        <is>
          <t>Embalagem de Insumo Nutricional/Biológico (Logística Reversa)</t>
        </is>
      </c>
      <c r="L919" s="7" t="inlineStr">
        <is>
          <t>NÃO</t>
        </is>
      </c>
      <c r="M919" s="7" t="inlineStr">
        <is>
          <t>0,00% (Lei nº 10.925/2004)</t>
        </is>
      </c>
      <c r="N919" s="7" t="inlineStr">
        <is>
          <t>0,925% (LC nº 224/2025)</t>
        </is>
      </c>
      <c r="O919" s="7" t="inlineStr">
        <is>
          <t>0,365% (LC nº 224/2025)</t>
        </is>
      </c>
      <c r="P919" s="7" t="inlineStr">
        <is>
          <t>CST 06</t>
        </is>
      </c>
      <c r="Q919" s="7" t="inlineStr">
        <is>
          <t>CST 73</t>
        </is>
      </c>
      <c r="R919" s="7" t="inlineStr">
        <is>
          <t>Redução de 60% + Diferimento (Art. 138 e Anexo IX LC 214/2025)</t>
        </is>
      </c>
    </row>
    <row r="920" ht="22" customHeight="1">
      <c r="A920" s="12" t="inlineStr">
        <is>
          <t>SKU-0916</t>
        </is>
      </c>
      <c r="B920" s="11" t="n">
        <v>656</v>
      </c>
      <c r="C920" s="13" t="inlineStr">
        <is>
          <t>SIPEAGRO (UF-XXXXX)</t>
        </is>
      </c>
      <c r="D920" s="14" t="inlineStr">
        <is>
          <t>RESISTANCE BAC-F</t>
        </is>
      </c>
      <c r="E920" s="13" t="inlineStr">
        <is>
          <t>Embalagem Comercial do Produto</t>
        </is>
      </c>
      <c r="F920" s="13" t="inlineStr">
        <is>
          <t>4X5L (5 L)</t>
        </is>
      </c>
      <c r="G920" s="13" t="inlineStr">
        <is>
          <t>L</t>
        </is>
      </c>
      <c r="H920" s="15" t="n">
        <v>5</v>
      </c>
      <c r="I920" s="13" t="inlineStr">
        <is>
          <t>3105.90.90</t>
        </is>
      </c>
      <c r="J920" s="13" t="inlineStr">
        <is>
          <t>NÃO</t>
        </is>
      </c>
      <c r="K920" s="13" t="inlineStr">
        <is>
          <t>Embalagem de Insumo Nutricional/Biológico (Logística Reversa)</t>
        </is>
      </c>
      <c r="L920" s="13" t="inlineStr">
        <is>
          <t>NÃO</t>
        </is>
      </c>
      <c r="M920" s="13" t="inlineStr">
        <is>
          <t>0,00% (Lei nº 10.925/2004)</t>
        </is>
      </c>
      <c r="N920" s="13" t="inlineStr">
        <is>
          <t>0,925% (LC nº 224/2025)</t>
        </is>
      </c>
      <c r="O920" s="13" t="inlineStr">
        <is>
          <t>0,365% (LC nº 224/2025)</t>
        </is>
      </c>
      <c r="P920" s="13" t="inlineStr">
        <is>
          <t>CST 06</t>
        </is>
      </c>
      <c r="Q920" s="13" t="inlineStr">
        <is>
          <t>CST 73</t>
        </is>
      </c>
      <c r="R920" s="13" t="inlineStr">
        <is>
          <t>Redução de 60% + Diferimento (Art. 138 e Anexo IX LC 214/2025)</t>
        </is>
      </c>
    </row>
    <row r="921" ht="22" customHeight="1">
      <c r="A921" s="6" t="inlineStr">
        <is>
          <t>SKU-0917</t>
        </is>
      </c>
      <c r="B921" s="5" t="n">
        <v>656</v>
      </c>
      <c r="C921" s="7" t="inlineStr">
        <is>
          <t>SIPEAGRO (UF-XXXXX)</t>
        </is>
      </c>
      <c r="D921" s="8" t="inlineStr">
        <is>
          <t>RESISTANCE BAC-F</t>
        </is>
      </c>
      <c r="E921" s="7" t="inlineStr">
        <is>
          <t>Faixa 1 TIPI (Apresentação &lt;= 300 g ou mL)</t>
        </is>
      </c>
      <c r="F921" s="7" t="inlineStr">
        <is>
          <t>Fracionado / Amostra &lt;= 0,3 L</t>
        </is>
      </c>
      <c r="G921" s="7" t="inlineStr">
        <is>
          <t>L</t>
        </is>
      </c>
      <c r="H921" s="17" t="n">
        <v>0.3</v>
      </c>
      <c r="I921" s="7" t="inlineStr">
        <is>
          <t>3105.90.90</t>
        </is>
      </c>
      <c r="J921" s="7" t="inlineStr">
        <is>
          <t>NÃO</t>
        </is>
      </c>
      <c r="K921" s="7" t="inlineStr">
        <is>
          <t>Embalagem de Insumo Nutricional/Biológico (Logística Reversa)</t>
        </is>
      </c>
      <c r="L921" s="7" t="inlineStr">
        <is>
          <t>NÃO</t>
        </is>
      </c>
      <c r="M921" s="7" t="inlineStr">
        <is>
          <t>0,00% (Lei nº 10.925/2004)</t>
        </is>
      </c>
      <c r="N921" s="7" t="inlineStr">
        <is>
          <t>0,925% (LC nº 224/2025)</t>
        </is>
      </c>
      <c r="O921" s="7" t="inlineStr">
        <is>
          <t>0,365% (LC nº 224/2025)</t>
        </is>
      </c>
      <c r="P921" s="7" t="inlineStr">
        <is>
          <t>CST 06</t>
        </is>
      </c>
      <c r="Q921" s="7" t="inlineStr">
        <is>
          <t>CST 73</t>
        </is>
      </c>
      <c r="R921" s="7" t="inlineStr">
        <is>
          <t>Redução de 60% + Diferimento (Art. 138 e Anexo IX LC 214/2025)</t>
        </is>
      </c>
    </row>
    <row r="922" ht="22" customHeight="1">
      <c r="A922" s="12" t="inlineStr">
        <is>
          <t>SKU-0918</t>
        </is>
      </c>
      <c r="B922" s="11" t="n">
        <v>657</v>
      </c>
      <c r="C922" s="13" t="inlineStr">
        <is>
          <t>SIPEAGRO (UF-XXXXX)</t>
        </is>
      </c>
      <c r="D922" s="14" t="inlineStr">
        <is>
          <t>RESISTANCE BAC-F</t>
        </is>
      </c>
      <c r="E922" s="13" t="inlineStr">
        <is>
          <t>Embalagem Comercial do Produto</t>
        </is>
      </c>
      <c r="F922" s="13" t="inlineStr">
        <is>
          <t>1X20L (20 L)</t>
        </is>
      </c>
      <c r="G922" s="13" t="inlineStr">
        <is>
          <t>L</t>
        </is>
      </c>
      <c r="H922" s="15" t="n">
        <v>20</v>
      </c>
      <c r="I922" s="13" t="inlineStr">
        <is>
          <t>3105.90.90</t>
        </is>
      </c>
      <c r="J922" s="13" t="inlineStr">
        <is>
          <t>NÃO</t>
        </is>
      </c>
      <c r="K922" s="13" t="inlineStr">
        <is>
          <t>Embalagem de Insumo Nutricional/Biológico (Logística Reversa)</t>
        </is>
      </c>
      <c r="L922" s="13" t="inlineStr">
        <is>
          <t>NÃO</t>
        </is>
      </c>
      <c r="M922" s="13" t="inlineStr">
        <is>
          <t>0,00% (Lei nº 10.925/2004)</t>
        </is>
      </c>
      <c r="N922" s="13" t="inlineStr">
        <is>
          <t>0,925% (LC nº 224/2025)</t>
        </is>
      </c>
      <c r="O922" s="13" t="inlineStr">
        <is>
          <t>0,365% (LC nº 224/2025)</t>
        </is>
      </c>
      <c r="P922" s="13" t="inlineStr">
        <is>
          <t>CST 06</t>
        </is>
      </c>
      <c r="Q922" s="13" t="inlineStr">
        <is>
          <t>CST 73</t>
        </is>
      </c>
      <c r="R922" s="13" t="inlineStr">
        <is>
          <t>Redução de 60% + Diferimento (Art. 138 e Anexo IX LC 214/2025)</t>
        </is>
      </c>
    </row>
    <row r="923" ht="22" customHeight="1">
      <c r="A923" s="6" t="inlineStr">
        <is>
          <t>SKU-0919</t>
        </is>
      </c>
      <c r="B923" s="5" t="n">
        <v>657</v>
      </c>
      <c r="C923" s="7" t="inlineStr">
        <is>
          <t>SIPEAGRO (UF-XXXXX)</t>
        </is>
      </c>
      <c r="D923" s="8" t="inlineStr">
        <is>
          <t>RESISTANCE BAC-F</t>
        </is>
      </c>
      <c r="E923" s="7" t="inlineStr">
        <is>
          <t>Faixa 1 TIPI (Apresentação &lt;= 300 g ou mL)</t>
        </is>
      </c>
      <c r="F923" s="7" t="inlineStr">
        <is>
          <t>Fracionado / Amostra &lt;= 0,3 L</t>
        </is>
      </c>
      <c r="G923" s="7" t="inlineStr">
        <is>
          <t>L</t>
        </is>
      </c>
      <c r="H923" s="17" t="n">
        <v>0.3</v>
      </c>
      <c r="I923" s="7" t="inlineStr">
        <is>
          <t>3105.90.90</t>
        </is>
      </c>
      <c r="J923" s="7" t="inlineStr">
        <is>
          <t>NÃO</t>
        </is>
      </c>
      <c r="K923" s="7" t="inlineStr">
        <is>
          <t>Embalagem de Insumo Nutricional/Biológico (Logística Reversa)</t>
        </is>
      </c>
      <c r="L923" s="7" t="inlineStr">
        <is>
          <t>NÃO</t>
        </is>
      </c>
      <c r="M923" s="7" t="inlineStr">
        <is>
          <t>0,00% (Lei nº 10.925/2004)</t>
        </is>
      </c>
      <c r="N923" s="7" t="inlineStr">
        <is>
          <t>0,925% (LC nº 224/2025)</t>
        </is>
      </c>
      <c r="O923" s="7" t="inlineStr">
        <is>
          <t>0,365% (LC nº 224/2025)</t>
        </is>
      </c>
      <c r="P923" s="7" t="inlineStr">
        <is>
          <t>CST 06</t>
        </is>
      </c>
      <c r="Q923" s="7" t="inlineStr">
        <is>
          <t>CST 73</t>
        </is>
      </c>
      <c r="R923" s="7" t="inlineStr">
        <is>
          <t>Redução de 60% + Diferimento (Art. 138 e Anexo IX LC 214/2025)</t>
        </is>
      </c>
    </row>
    <row r="924" ht="22" customHeight="1">
      <c r="A924" s="12" t="inlineStr">
        <is>
          <t>SKU-0920</t>
        </is>
      </c>
      <c r="B924" s="11" t="n">
        <v>658</v>
      </c>
      <c r="C924" s="13" t="inlineStr">
        <is>
          <t>Nº 3123</t>
        </is>
      </c>
      <c r="D924" s="14" t="inlineStr">
        <is>
          <t>IMIDACLOPRID NORTOX</t>
        </is>
      </c>
      <c r="E924" s="13" t="inlineStr">
        <is>
          <t>Embalagem Comercial do Produto</t>
        </is>
      </c>
      <c r="F924" s="13" t="inlineStr">
        <is>
          <t>4X5L (5 L)</t>
        </is>
      </c>
      <c r="G924" s="13" t="inlineStr">
        <is>
          <t>L</t>
        </is>
      </c>
      <c r="H924" s="15" t="n">
        <v>5</v>
      </c>
      <c r="I924" s="13" t="inlineStr">
        <is>
          <t>3808.91.99</t>
        </is>
      </c>
      <c r="J924" s="13" t="inlineStr">
        <is>
          <t>NÃO</t>
        </is>
      </c>
      <c r="K924" s="13" t="inlineStr">
        <is>
          <t>Embalagem Rígida — LAVÁVEL (Obrigatória Tríplice Lavagem ou Pressão)</t>
        </is>
      </c>
      <c r="L924" s="13" t="inlineStr">
        <is>
          <t>NÃO</t>
        </is>
      </c>
      <c r="M924" s="13" t="inlineStr">
        <is>
          <t>0,00% (Lei nº 10.925/2004)</t>
        </is>
      </c>
      <c r="N924" s="13" t="inlineStr">
        <is>
          <t>0,925% (LC nº 224/2025)</t>
        </is>
      </c>
      <c r="O924" s="13" t="inlineStr">
        <is>
          <t>0,365% (LC nº 224/2025)</t>
        </is>
      </c>
      <c r="P924" s="13" t="inlineStr">
        <is>
          <t>CST 06</t>
        </is>
      </c>
      <c r="Q924" s="13" t="inlineStr">
        <is>
          <t>CST 73</t>
        </is>
      </c>
      <c r="R924" s="13" t="inlineStr">
        <is>
          <t>Redução de 60% + Diferimento (Art. 138 e Anexo IX LC 214/2025)</t>
        </is>
      </c>
    </row>
    <row r="925" ht="22" customHeight="1">
      <c r="A925" s="6" t="inlineStr">
        <is>
          <t>SKU-0921</t>
        </is>
      </c>
      <c r="B925" s="5" t="n">
        <v>659</v>
      </c>
      <c r="C925" s="7" t="inlineStr">
        <is>
          <t>Nº 15420</t>
        </is>
      </c>
      <c r="D925" s="8" t="inlineStr">
        <is>
          <t>KYOJIN</t>
        </is>
      </c>
      <c r="E925" s="7" t="inlineStr">
        <is>
          <t>Embalagem Comercial do Produto</t>
        </is>
      </c>
      <c r="F925" s="7" t="inlineStr">
        <is>
          <t>10L (10 L)</t>
        </is>
      </c>
      <c r="G925" s="7" t="inlineStr">
        <is>
          <t>L</t>
        </is>
      </c>
      <c r="H925" s="9" t="n">
        <v>10</v>
      </c>
      <c r="I925" s="7" t="inlineStr">
        <is>
          <t>3808.93.29</t>
        </is>
      </c>
      <c r="J925" s="7" t="inlineStr">
        <is>
          <t>NÃO</t>
        </is>
      </c>
      <c r="K925" s="7" t="inlineStr">
        <is>
          <t>Embalagem Rígida — LAVÁVEL (Obrigatória Tríplice Lavagem ou Pressão)</t>
        </is>
      </c>
      <c r="L925" s="7" t="inlineStr">
        <is>
          <t>NÃO</t>
        </is>
      </c>
      <c r="M925" s="7" t="inlineStr">
        <is>
          <t>0,00% (Lei nº 10.925/2004)</t>
        </is>
      </c>
      <c r="N925" s="7" t="inlineStr">
        <is>
          <t>0,925% (LC nº 224/2025)</t>
        </is>
      </c>
      <c r="O925" s="7" t="inlineStr">
        <is>
          <t>0,365% (LC nº 224/2025)</t>
        </is>
      </c>
      <c r="P925" s="7" t="inlineStr">
        <is>
          <t>CST 06</t>
        </is>
      </c>
      <c r="Q925" s="7" t="inlineStr">
        <is>
          <t>CST 73</t>
        </is>
      </c>
      <c r="R925" s="7" t="inlineStr">
        <is>
          <t>Redução de 60% + Diferimento (Art. 138 e Anexo IX LC 214/2025)</t>
        </is>
      </c>
    </row>
    <row r="926" ht="22" customHeight="1">
      <c r="A926" s="12" t="inlineStr">
        <is>
          <t>SKU-0922</t>
        </is>
      </c>
      <c r="B926" s="11" t="n">
        <v>660</v>
      </c>
      <c r="C926" s="13" t="inlineStr">
        <is>
          <t>Nº 9917</t>
        </is>
      </c>
      <c r="D926" s="14" t="inlineStr">
        <is>
          <t>PRISMA PLUS</t>
        </is>
      </c>
      <c r="E926" s="13" t="inlineStr">
        <is>
          <t>Embalagem Comercial do Produto</t>
        </is>
      </c>
      <c r="F926" s="13" t="inlineStr">
        <is>
          <t>1X10L (10 L)</t>
        </is>
      </c>
      <c r="G926" s="13" t="inlineStr">
        <is>
          <t>L</t>
        </is>
      </c>
      <c r="H926" s="15" t="n">
        <v>10</v>
      </c>
      <c r="I926" s="13" t="inlineStr">
        <is>
          <t>3808.92.99</t>
        </is>
      </c>
      <c r="J926" s="13" t="inlineStr">
        <is>
          <t>NÃO</t>
        </is>
      </c>
      <c r="K926" s="13" t="inlineStr">
        <is>
          <t>Embalagem Rígida — LAVÁVEL (Obrigatória Tríplice Lavagem ou Pressão)</t>
        </is>
      </c>
      <c r="L926" s="13" t="inlineStr">
        <is>
          <t>NÃO</t>
        </is>
      </c>
      <c r="M926" s="13" t="inlineStr">
        <is>
          <t>0,00% (Lei nº 10.925/2004)</t>
        </is>
      </c>
      <c r="N926" s="13" t="inlineStr">
        <is>
          <t>0,925% (LC nº 224/2025)</t>
        </is>
      </c>
      <c r="O926" s="13" t="inlineStr">
        <is>
          <t>0,365% (LC nº 224/2025)</t>
        </is>
      </c>
      <c r="P926" s="13" t="inlineStr">
        <is>
          <t>CST 06</t>
        </is>
      </c>
      <c r="Q926" s="13" t="inlineStr">
        <is>
          <t>CST 73</t>
        </is>
      </c>
      <c r="R926" s="13" t="inlineStr">
        <is>
          <t>Redução de 60% + Diferimento (Art. 138 e Anexo IX LC 214/2025)</t>
        </is>
      </c>
    </row>
    <row r="927" ht="22" customHeight="1">
      <c r="A927" s="6" t="inlineStr">
        <is>
          <t>SKU-0923</t>
        </is>
      </c>
      <c r="B927" s="5" t="n">
        <v>661</v>
      </c>
      <c r="C927" s="7" t="inlineStr">
        <is>
          <t>Nº 12407</t>
        </is>
      </c>
      <c r="D927" s="8" t="inlineStr">
        <is>
          <t>ECHO</t>
        </is>
      </c>
      <c r="E927" s="7" t="inlineStr">
        <is>
          <t>Embalagem Comercial do Produto</t>
        </is>
      </c>
      <c r="F927" s="7" t="inlineStr">
        <is>
          <t>1X20L (20 L)</t>
        </is>
      </c>
      <c r="G927" s="7" t="inlineStr">
        <is>
          <t>L</t>
        </is>
      </c>
      <c r="H927" s="9" t="n">
        <v>20</v>
      </c>
      <c r="I927" s="7" t="inlineStr">
        <is>
          <t>3808.92.99</t>
        </is>
      </c>
      <c r="J927" s="7" t="inlineStr">
        <is>
          <t>NÃO</t>
        </is>
      </c>
      <c r="K927" s="7" t="inlineStr">
        <is>
          <t>Embalagem Rígida — LAVÁVEL (Obrigatória Tríplice Lavagem ou Pressão)</t>
        </is>
      </c>
      <c r="L927" s="7" t="inlineStr">
        <is>
          <t>NÃO</t>
        </is>
      </c>
      <c r="M927" s="7" t="inlineStr">
        <is>
          <t>0,00% (Lei nº 10.925/2004)</t>
        </is>
      </c>
      <c r="N927" s="7" t="inlineStr">
        <is>
          <t>0,925% (LC nº 224/2025)</t>
        </is>
      </c>
      <c r="O927" s="7" t="inlineStr">
        <is>
          <t>0,365% (LC nº 224/2025)</t>
        </is>
      </c>
      <c r="P927" s="7" t="inlineStr">
        <is>
          <t>CST 06</t>
        </is>
      </c>
      <c r="Q927" s="7" t="inlineStr">
        <is>
          <t>CST 73</t>
        </is>
      </c>
      <c r="R927" s="7" t="inlineStr">
        <is>
          <t>Redução de 60% + Diferimento (Art. 138 e Anexo IX LC 214/2025)</t>
        </is>
      </c>
    </row>
    <row r="928" ht="22" customHeight="1">
      <c r="A928" s="12" t="inlineStr">
        <is>
          <t>SKU-0924</t>
        </is>
      </c>
      <c r="B928" s="11" t="n">
        <v>662</v>
      </c>
      <c r="C928" s="13" t="inlineStr">
        <is>
          <t>VINCULAR MARCA</t>
        </is>
      </c>
      <c r="D928" s="14" t="inlineStr">
        <is>
          <t>ACTTRA NOCTUIDEO</t>
        </is>
      </c>
      <c r="E928" s="13" t="inlineStr">
        <is>
          <t>Embalagem Comercial do Produto</t>
        </is>
      </c>
      <c r="F928" s="13" t="inlineStr">
        <is>
          <t>1X20L (20 L)</t>
        </is>
      </c>
      <c r="G928" s="13" t="inlineStr">
        <is>
          <t>L</t>
        </is>
      </c>
      <c r="H928" s="15" t="n">
        <v>20</v>
      </c>
      <c r="I928" s="13" t="inlineStr">
        <is>
          <t>3808.91.99</t>
        </is>
      </c>
      <c r="J928" s="13" t="inlineStr">
        <is>
          <t>NÃO</t>
        </is>
      </c>
      <c r="K928" s="13" t="inlineStr">
        <is>
          <t>Embalagem Rígida — LAVÁVEL (Obrigatória Tríplice Lavagem ou Pressão)</t>
        </is>
      </c>
      <c r="L928" s="13" t="inlineStr">
        <is>
          <t>NÃO</t>
        </is>
      </c>
      <c r="M928" s="13" t="inlineStr">
        <is>
          <t>0,00% (Lei nº 10.925/2004)</t>
        </is>
      </c>
      <c r="N928" s="13" t="inlineStr">
        <is>
          <t>0,925% (LC nº 224/2025)</t>
        </is>
      </c>
      <c r="O928" s="13" t="inlineStr">
        <is>
          <t>0,365% (LC nº 224/2025)</t>
        </is>
      </c>
      <c r="P928" s="13" t="inlineStr">
        <is>
          <t>CST 06</t>
        </is>
      </c>
      <c r="Q928" s="13" t="inlineStr">
        <is>
          <t>CST 73</t>
        </is>
      </c>
      <c r="R928" s="13" t="inlineStr">
        <is>
          <t>Redução de 60% + Diferimento (Art. 138 e Anexo IX LC 214/2025)</t>
        </is>
      </c>
    </row>
    <row r="929" ht="22" customHeight="1">
      <c r="A929" s="6" t="inlineStr">
        <is>
          <t>SKU-0925</t>
        </is>
      </c>
      <c r="B929" s="5" t="n">
        <v>662</v>
      </c>
      <c r="C929" s="7" t="inlineStr">
        <is>
          <t>VINCULAR MARCA</t>
        </is>
      </c>
      <c r="D929" s="8" t="inlineStr">
        <is>
          <t>ACTTRA NOCTUIDEO</t>
        </is>
      </c>
      <c r="E929" s="7" t="inlineStr">
        <is>
          <t>Faixa 1 TIPI (Apresentação &lt;= 300 g ou mL)</t>
        </is>
      </c>
      <c r="F929" s="7" t="inlineStr">
        <is>
          <t>Fracionado / Amostra &lt;= 0,3 L</t>
        </is>
      </c>
      <c r="G929" s="7" t="inlineStr">
        <is>
          <t>L</t>
        </is>
      </c>
      <c r="H929" s="17" t="n">
        <v>0.3</v>
      </c>
      <c r="I929" s="7" t="inlineStr">
        <is>
          <t>3808.92.20</t>
        </is>
      </c>
      <c r="J929" s="7" t="inlineStr">
        <is>
          <t>NÃO</t>
        </is>
      </c>
      <c r="K929" s="7" t="inlineStr">
        <is>
          <t>Embalagem Rígida — LAVÁVEL (Obrigatória Tríplice Lavagem ou Pressão)</t>
        </is>
      </c>
      <c r="L929" s="7" t="inlineStr">
        <is>
          <t>NÃO</t>
        </is>
      </c>
      <c r="M929" s="7" t="inlineStr">
        <is>
          <t>0,00% (Lei nº 10.925/2004)</t>
        </is>
      </c>
      <c r="N929" s="7" t="inlineStr">
        <is>
          <t>0,925% (LC nº 224/2025)</t>
        </is>
      </c>
      <c r="O929" s="7" t="inlineStr">
        <is>
          <t>0,365% (LC nº 224/2025)</t>
        </is>
      </c>
      <c r="P929" s="7" t="inlineStr">
        <is>
          <t>CST 06</t>
        </is>
      </c>
      <c r="Q929" s="7" t="inlineStr">
        <is>
          <t>CST 73</t>
        </is>
      </c>
      <c r="R929" s="7" t="inlineStr">
        <is>
          <t>Redução de 60% + Diferimento (Art. 138 e Anexo IX LC 214/2025)</t>
        </is>
      </c>
    </row>
    <row r="930" ht="22" customHeight="1">
      <c r="A930" s="12" t="inlineStr">
        <is>
          <t>SKU-0926</t>
        </is>
      </c>
      <c r="B930" s="11" t="n">
        <v>663</v>
      </c>
      <c r="C930" s="13" t="inlineStr">
        <is>
          <t>Nº 3202</t>
        </is>
      </c>
      <c r="D930" s="14" t="inlineStr">
        <is>
          <t>IMPULSE</t>
        </is>
      </c>
      <c r="E930" s="13" t="inlineStr">
        <is>
          <t>Embalagem Comercial do Produto</t>
        </is>
      </c>
      <c r="F930" s="13" t="inlineStr">
        <is>
          <t>1X20L (20 L)</t>
        </is>
      </c>
      <c r="G930" s="13" t="inlineStr">
        <is>
          <t>L</t>
        </is>
      </c>
      <c r="H930" s="15" t="n">
        <v>20</v>
      </c>
      <c r="I930" s="13" t="inlineStr">
        <is>
          <t>3808.93.59</t>
        </is>
      </c>
      <c r="J930" s="13" t="inlineStr">
        <is>
          <t>NÃO</t>
        </is>
      </c>
      <c r="K930" s="13" t="inlineStr">
        <is>
          <t>Embalagem Rígida — LAVÁVEL (Obrigatória Tríplice Lavagem ou Pressão)</t>
        </is>
      </c>
      <c r="L930" s="13" t="inlineStr">
        <is>
          <t>NÃO</t>
        </is>
      </c>
      <c r="M930" s="13" t="inlineStr">
        <is>
          <t>0,00% (Lei nº 10.925/2004)</t>
        </is>
      </c>
      <c r="N930" s="13" t="inlineStr">
        <is>
          <t>0,925% (LC nº 224/2025)</t>
        </is>
      </c>
      <c r="O930" s="13" t="inlineStr">
        <is>
          <t>0,365% (LC nº 224/2025)</t>
        </is>
      </c>
      <c r="P930" s="13" t="inlineStr">
        <is>
          <t>CST 06</t>
        </is>
      </c>
      <c r="Q930" s="13" t="inlineStr">
        <is>
          <t>CST 73</t>
        </is>
      </c>
      <c r="R930" s="13" t="inlineStr">
        <is>
          <t>Redução de 60% + Diferimento (Art. 138 e Anexo IX LC 214/2025)</t>
        </is>
      </c>
    </row>
    <row r="931" ht="22" customHeight="1">
      <c r="A931" s="6" t="inlineStr">
        <is>
          <t>SKU-0927</t>
        </is>
      </c>
      <c r="B931" s="5" t="n">
        <v>664</v>
      </c>
      <c r="C931" s="7" t="inlineStr">
        <is>
          <t>Nº 0820</t>
        </is>
      </c>
      <c r="D931" s="8" t="inlineStr">
        <is>
          <t>MESOPEC</t>
        </is>
      </c>
      <c r="E931" s="7" t="inlineStr">
        <is>
          <t>Embalagem Comercial do Produto</t>
        </is>
      </c>
      <c r="F931" s="7" t="inlineStr">
        <is>
          <t>4X5L (5 L)</t>
        </is>
      </c>
      <c r="G931" s="7" t="inlineStr">
        <is>
          <t>L</t>
        </is>
      </c>
      <c r="H931" s="9" t="n">
        <v>5</v>
      </c>
      <c r="I931" s="7" t="inlineStr">
        <is>
          <t>3808.93.29</t>
        </is>
      </c>
      <c r="J931" s="7" t="inlineStr">
        <is>
          <t>NÃO</t>
        </is>
      </c>
      <c r="K931" s="7" t="inlineStr">
        <is>
          <t>Embalagem Rígida — LAVÁVEL (Obrigatória Tríplice Lavagem ou Pressão)</t>
        </is>
      </c>
      <c r="L931" s="7" t="inlineStr">
        <is>
          <t>NÃO</t>
        </is>
      </c>
      <c r="M931" s="7" t="inlineStr">
        <is>
          <t>0,00% (Lei nº 10.925/2004)</t>
        </is>
      </c>
      <c r="N931" s="7" t="inlineStr">
        <is>
          <t>0,925% (LC nº 224/2025)</t>
        </is>
      </c>
      <c r="O931" s="7" t="inlineStr">
        <is>
          <t>0,365% (LC nº 224/2025)</t>
        </is>
      </c>
      <c r="P931" s="7" t="inlineStr">
        <is>
          <t>CST 06</t>
        </is>
      </c>
      <c r="Q931" s="7" t="inlineStr">
        <is>
          <t>CST 73</t>
        </is>
      </c>
      <c r="R931" s="7" t="inlineStr">
        <is>
          <t>Redução de 60% + Diferimento (Art. 138 e Anexo IX LC 214/2025)</t>
        </is>
      </c>
    </row>
    <row r="932" ht="22" customHeight="1">
      <c r="A932" s="12" t="inlineStr">
        <is>
          <t>SKU-0928</t>
        </is>
      </c>
      <c r="B932" s="11" t="n">
        <v>665</v>
      </c>
      <c r="C932" s="13" t="inlineStr">
        <is>
          <t>Nº 16320</t>
        </is>
      </c>
      <c r="D932" s="14" t="inlineStr">
        <is>
          <t>TAKUMI</t>
        </is>
      </c>
      <c r="E932" s="13" t="inlineStr">
        <is>
          <t>Embalagem Comercial do Produto</t>
        </is>
      </c>
      <c r="F932" s="13" t="inlineStr">
        <is>
          <t>4X5L (5 L)</t>
        </is>
      </c>
      <c r="G932" s="13" t="inlineStr">
        <is>
          <t>L</t>
        </is>
      </c>
      <c r="H932" s="15" t="n">
        <v>5</v>
      </c>
      <c r="I932" s="13" t="inlineStr">
        <is>
          <t>3808.91.99</t>
        </is>
      </c>
      <c r="J932" s="13" t="inlineStr">
        <is>
          <t>NÃO</t>
        </is>
      </c>
      <c r="K932" s="13" t="inlineStr">
        <is>
          <t>Embalagem Rígida — LAVÁVEL (Obrigatória Tríplice Lavagem ou Pressão)</t>
        </is>
      </c>
      <c r="L932" s="13" t="inlineStr">
        <is>
          <t>NÃO</t>
        </is>
      </c>
      <c r="M932" s="13" t="inlineStr">
        <is>
          <t>0,00% (Lei nº 10.925/2004)</t>
        </is>
      </c>
      <c r="N932" s="13" t="inlineStr">
        <is>
          <t>0,925% (LC nº 224/2025)</t>
        </is>
      </c>
      <c r="O932" s="13" t="inlineStr">
        <is>
          <t>0,365% (LC nº 224/2025)</t>
        </is>
      </c>
      <c r="P932" s="13" t="inlineStr">
        <is>
          <t>CST 06</t>
        </is>
      </c>
      <c r="Q932" s="13" t="inlineStr">
        <is>
          <t>CST 73</t>
        </is>
      </c>
      <c r="R932" s="13" t="inlineStr">
        <is>
          <t>Redução de 60% + Diferimento (Art. 138 e Anexo IX LC 214/2025)</t>
        </is>
      </c>
    </row>
    <row r="933" ht="22" customHeight="1">
      <c r="A933" s="6" t="inlineStr">
        <is>
          <t>SKU-0929</t>
        </is>
      </c>
      <c r="B933" s="5" t="n">
        <v>666</v>
      </c>
      <c r="C933" s="7" t="inlineStr">
        <is>
          <t>Nº 3101</t>
        </is>
      </c>
      <c r="D933" s="8" t="inlineStr">
        <is>
          <t>CIPERMETRINA NORTOX 250 EC</t>
        </is>
      </c>
      <c r="E933" s="7" t="inlineStr">
        <is>
          <t>Embalagem Comercial do Produto</t>
        </is>
      </c>
      <c r="F933" s="7" t="inlineStr">
        <is>
          <t>4X5L (5 L)</t>
        </is>
      </c>
      <c r="G933" s="7" t="inlineStr">
        <is>
          <t>L</t>
        </is>
      </c>
      <c r="H933" s="9" t="n">
        <v>5</v>
      </c>
      <c r="I933" s="7" t="inlineStr">
        <is>
          <t>3808.91.92</t>
        </is>
      </c>
      <c r="J933" s="7" t="inlineStr">
        <is>
          <t>NÃO</t>
        </is>
      </c>
      <c r="K933" s="7" t="inlineStr">
        <is>
          <t>Embalagem Rígida — LAVÁVEL (Obrigatória Tríplice Lavagem ou Pressão)</t>
        </is>
      </c>
      <c r="L933" s="7" t="inlineStr">
        <is>
          <t>NÃO</t>
        </is>
      </c>
      <c r="M933" s="7" t="inlineStr">
        <is>
          <t>0,00% (Lei nº 10.925/2004)</t>
        </is>
      </c>
      <c r="N933" s="7" t="inlineStr">
        <is>
          <t>0,925% (LC nº 224/2025)</t>
        </is>
      </c>
      <c r="O933" s="7" t="inlineStr">
        <is>
          <t>0,365% (LC nº 224/2025)</t>
        </is>
      </c>
      <c r="P933" s="7" t="inlineStr">
        <is>
          <t>CST 06</t>
        </is>
      </c>
      <c r="Q933" s="7" t="inlineStr">
        <is>
          <t>CST 73</t>
        </is>
      </c>
      <c r="R933" s="7" t="inlineStr">
        <is>
          <t>Redução de 60% + Diferimento (Art. 138 e Anexo IX LC 214/2025)</t>
        </is>
      </c>
    </row>
    <row r="934" ht="22" customHeight="1">
      <c r="A934" s="12" t="inlineStr">
        <is>
          <t>SKU-0930</t>
        </is>
      </c>
      <c r="B934" s="11" t="n">
        <v>667</v>
      </c>
      <c r="C934" s="13" t="inlineStr">
        <is>
          <t>SIPEAGRO (UF-XXXXX)</t>
        </is>
      </c>
      <c r="D934" s="14" t="inlineStr">
        <is>
          <t>INOCULANTE BS GRAMINEAS</t>
        </is>
      </c>
      <c r="E934" s="13" t="inlineStr">
        <is>
          <t>Embalagem Comercial do Produto</t>
        </is>
      </c>
      <c r="F934" s="13" t="inlineStr">
        <is>
          <t>3L (3 L)</t>
        </is>
      </c>
      <c r="G934" s="13" t="inlineStr">
        <is>
          <t>L</t>
        </is>
      </c>
      <c r="H934" s="15" t="n">
        <v>3</v>
      </c>
      <c r="I934" s="13" t="inlineStr">
        <is>
          <t>3002.49.99</t>
        </is>
      </c>
      <c r="J934" s="13" t="inlineStr">
        <is>
          <t>NÃO</t>
        </is>
      </c>
      <c r="K934" s="13" t="inlineStr">
        <is>
          <t>Embalagem de Insumo Nutricional/Biológico (Logística Reversa)</t>
        </is>
      </c>
      <c r="L934" s="13" t="inlineStr">
        <is>
          <t>NÃO</t>
        </is>
      </c>
      <c r="M934" s="13" t="inlineStr">
        <is>
          <t>0,00% (Lei nº 10.925/2004)</t>
        </is>
      </c>
      <c r="N934" s="13" t="inlineStr">
        <is>
          <t>0,925% (LC nº 224/2025)</t>
        </is>
      </c>
      <c r="O934" s="13" t="inlineStr">
        <is>
          <t>0,365% (LC nº 224/2025)</t>
        </is>
      </c>
      <c r="P934" s="13" t="inlineStr">
        <is>
          <t>CST 06</t>
        </is>
      </c>
      <c r="Q934" s="13" t="inlineStr">
        <is>
          <t>CST 73</t>
        </is>
      </c>
      <c r="R934" s="13" t="inlineStr">
        <is>
          <t>Redução de 60% + Diferimento (Art. 138 e Anexo IX LC 214/2025)</t>
        </is>
      </c>
    </row>
    <row r="935" ht="22" customHeight="1">
      <c r="A935" s="6" t="inlineStr">
        <is>
          <t>SKU-0931</t>
        </is>
      </c>
      <c r="B935" s="5" t="n">
        <v>667</v>
      </c>
      <c r="C935" s="7" t="inlineStr">
        <is>
          <t>SIPEAGRO (UF-XXXXX)</t>
        </is>
      </c>
      <c r="D935" s="8" t="inlineStr">
        <is>
          <t>INOCULANTE BS GRAMINEAS</t>
        </is>
      </c>
      <c r="E935" s="7" t="inlineStr">
        <is>
          <t>Faixa 1 TIPI (Apresentação &lt;= 300 g ou mL)</t>
        </is>
      </c>
      <c r="F935" s="7" t="inlineStr">
        <is>
          <t>Fracionado / Amostra &lt;= 0,3 L</t>
        </is>
      </c>
      <c r="G935" s="7" t="inlineStr">
        <is>
          <t>L</t>
        </is>
      </c>
      <c r="H935" s="17" t="n">
        <v>0.3</v>
      </c>
      <c r="I935" s="7" t="inlineStr">
        <is>
          <t>3002.49.99</t>
        </is>
      </c>
      <c r="J935" s="7" t="inlineStr">
        <is>
          <t>NÃO</t>
        </is>
      </c>
      <c r="K935" s="7" t="inlineStr">
        <is>
          <t>Embalagem de Insumo Nutricional/Biológico (Logística Reversa)</t>
        </is>
      </c>
      <c r="L935" s="7" t="inlineStr">
        <is>
          <t>NÃO</t>
        </is>
      </c>
      <c r="M935" s="7" t="inlineStr">
        <is>
          <t>0,00% (Lei nº 10.925/2004)</t>
        </is>
      </c>
      <c r="N935" s="7" t="inlineStr">
        <is>
          <t>0,925% (LC nº 224/2025)</t>
        </is>
      </c>
      <c r="O935" s="7" t="inlineStr">
        <is>
          <t>0,365% (LC nº 224/2025)</t>
        </is>
      </c>
      <c r="P935" s="7" t="inlineStr">
        <is>
          <t>CST 06</t>
        </is>
      </c>
      <c r="Q935" s="7" t="inlineStr">
        <is>
          <t>CST 73</t>
        </is>
      </c>
      <c r="R935" s="7" t="inlineStr">
        <is>
          <t>Redução de 60% + Diferimento (Art. 138 e Anexo IX LC 214/2025)</t>
        </is>
      </c>
    </row>
    <row r="936" ht="22" customHeight="1">
      <c r="A936" s="12" t="inlineStr">
        <is>
          <t>SKU-0932</t>
        </is>
      </c>
      <c r="B936" s="11" t="n">
        <v>668</v>
      </c>
      <c r="C936" s="13" t="inlineStr">
        <is>
          <t>SIPEAGRO (UF-XXXXX)</t>
        </is>
      </c>
      <c r="D936" s="14" t="inlineStr">
        <is>
          <t>INOCULANTE GRAP NOD L + 1,75L</t>
        </is>
      </c>
      <c r="E936" s="13" t="inlineStr">
        <is>
          <t>Embalagem Comercial do Produto</t>
        </is>
      </c>
      <c r="F936" s="13" t="inlineStr">
        <is>
          <t>1,75L (1.75 L)</t>
        </is>
      </c>
      <c r="G936" s="13" t="inlineStr">
        <is>
          <t>L</t>
        </is>
      </c>
      <c r="H936" s="18" t="n">
        <v>1.75</v>
      </c>
      <c r="I936" s="13" t="inlineStr">
        <is>
          <t>3002.49.99</t>
        </is>
      </c>
      <c r="J936" s="13" t="inlineStr">
        <is>
          <t>NÃO</t>
        </is>
      </c>
      <c r="K936" s="13" t="inlineStr">
        <is>
          <t>Embalagem de Insumo Nutricional/Biológico (Logística Reversa)</t>
        </is>
      </c>
      <c r="L936" s="13" t="inlineStr">
        <is>
          <t>NÃO</t>
        </is>
      </c>
      <c r="M936" s="13" t="inlineStr">
        <is>
          <t>0,00% (Lei nº 10.925/2004)</t>
        </is>
      </c>
      <c r="N936" s="13" t="inlineStr">
        <is>
          <t>0,925% (LC nº 224/2025)</t>
        </is>
      </c>
      <c r="O936" s="13" t="inlineStr">
        <is>
          <t>0,365% (LC nº 224/2025)</t>
        </is>
      </c>
      <c r="P936" s="13" t="inlineStr">
        <is>
          <t>CST 06</t>
        </is>
      </c>
      <c r="Q936" s="13" t="inlineStr">
        <is>
          <t>CST 73</t>
        </is>
      </c>
      <c r="R936" s="13" t="inlineStr">
        <is>
          <t>Redução de 60% + Diferimento (Art. 138 e Anexo IX LC 214/2025)</t>
        </is>
      </c>
    </row>
    <row r="937" ht="22" customHeight="1">
      <c r="A937" s="6" t="inlineStr">
        <is>
          <t>SKU-0933</t>
        </is>
      </c>
      <c r="B937" s="5" t="n">
        <v>668</v>
      </c>
      <c r="C937" s="7" t="inlineStr">
        <is>
          <t>SIPEAGRO (UF-XXXXX)</t>
        </is>
      </c>
      <c r="D937" s="8" t="inlineStr">
        <is>
          <t>INOCULANTE GRAP NOD L + 1,75L</t>
        </is>
      </c>
      <c r="E937" s="7" t="inlineStr">
        <is>
          <t>Faixa 1 TIPI (Apresentação &lt;= 300 g ou mL)</t>
        </is>
      </c>
      <c r="F937" s="7" t="inlineStr">
        <is>
          <t>Fracionado / Amostra &lt;= 0,3 L</t>
        </is>
      </c>
      <c r="G937" s="7" t="inlineStr">
        <is>
          <t>L</t>
        </is>
      </c>
      <c r="H937" s="17" t="n">
        <v>0.3</v>
      </c>
      <c r="I937" s="7" t="inlineStr">
        <is>
          <t>3002.49.99</t>
        </is>
      </c>
      <c r="J937" s="7" t="inlineStr">
        <is>
          <t>NÃO</t>
        </is>
      </c>
      <c r="K937" s="7" t="inlineStr">
        <is>
          <t>Embalagem de Insumo Nutricional/Biológico (Logística Reversa)</t>
        </is>
      </c>
      <c r="L937" s="7" t="inlineStr">
        <is>
          <t>NÃO</t>
        </is>
      </c>
      <c r="M937" s="7" t="inlineStr">
        <is>
          <t>0,00% (Lei nº 10.925/2004)</t>
        </is>
      </c>
      <c r="N937" s="7" t="inlineStr">
        <is>
          <t>0,925% (LC nº 224/2025)</t>
        </is>
      </c>
      <c r="O937" s="7" t="inlineStr">
        <is>
          <t>0,365% (LC nº 224/2025)</t>
        </is>
      </c>
      <c r="P937" s="7" t="inlineStr">
        <is>
          <t>CST 06</t>
        </is>
      </c>
      <c r="Q937" s="7" t="inlineStr">
        <is>
          <t>CST 73</t>
        </is>
      </c>
      <c r="R937" s="7" t="inlineStr">
        <is>
          <t>Redução de 60% + Diferimento (Art. 138 e Anexo IX LC 214/2025)</t>
        </is>
      </c>
    </row>
    <row r="938" ht="22" customHeight="1">
      <c r="A938" s="12" t="inlineStr">
        <is>
          <t>SKU-0934</t>
        </is>
      </c>
      <c r="B938" s="11" t="n">
        <v>669</v>
      </c>
      <c r="C938" s="13" t="inlineStr">
        <is>
          <t>Nº 18007</t>
        </is>
      </c>
      <c r="D938" s="14" t="inlineStr">
        <is>
          <t>UNIZEB GOLD BR</t>
        </is>
      </c>
      <c r="E938" s="13" t="inlineStr">
        <is>
          <t>Embalagem Comercial do Produto</t>
        </is>
      </c>
      <c r="F938" s="13" t="inlineStr">
        <is>
          <t>15X1KG (1 KG)</t>
        </is>
      </c>
      <c r="G938" s="13" t="inlineStr">
        <is>
          <t>KG</t>
        </is>
      </c>
      <c r="H938" s="15" t="n">
        <v>1</v>
      </c>
      <c r="I938" s="13" t="inlineStr">
        <is>
          <t>3808.92.93</t>
        </is>
      </c>
      <c r="J938" s="13" t="inlineStr">
        <is>
          <t>NÃO</t>
        </is>
      </c>
      <c r="K938" s="13" t="inlineStr">
        <is>
          <t>Embalagem Flexível — NÃO LAVÁVEL (Perfurar e usar saco ABNT)</t>
        </is>
      </c>
      <c r="L938" s="13" t="inlineStr">
        <is>
          <t>SIM (Saco Transparente ABNT)</t>
        </is>
      </c>
      <c r="M938" s="13" t="inlineStr">
        <is>
          <t>0,00% (Lei nº 10.925/2004)</t>
        </is>
      </c>
      <c r="N938" s="13" t="inlineStr">
        <is>
          <t>0,925% (LC nº 224/2025)</t>
        </is>
      </c>
      <c r="O938" s="13" t="inlineStr">
        <is>
          <t>0,365% (LC nº 224/2025)</t>
        </is>
      </c>
      <c r="P938" s="13" t="inlineStr">
        <is>
          <t>CST 06</t>
        </is>
      </c>
      <c r="Q938" s="13" t="inlineStr">
        <is>
          <t>CST 73</t>
        </is>
      </c>
      <c r="R938" s="13" t="inlineStr">
        <is>
          <t>Redução de 60% + Diferimento (Art. 138 e Anexo IX LC 214/2025)</t>
        </is>
      </c>
    </row>
    <row r="939" ht="22" customHeight="1">
      <c r="A939" s="6" t="inlineStr">
        <is>
          <t>SKU-0935</t>
        </is>
      </c>
      <c r="B939" s="5" t="n">
        <v>670</v>
      </c>
      <c r="C939" s="7" t="inlineStr">
        <is>
          <t>Nº 4810</t>
        </is>
      </c>
      <c r="D939" s="8" t="inlineStr">
        <is>
          <t>CERTEZA N</t>
        </is>
      </c>
      <c r="E939" s="7" t="inlineStr">
        <is>
          <t>Embalagem Comercial do Produto</t>
        </is>
      </c>
      <c r="F939" s="7" t="inlineStr">
        <is>
          <t>4X5L (5 L)</t>
        </is>
      </c>
      <c r="G939" s="7" t="inlineStr">
        <is>
          <t>L</t>
        </is>
      </c>
      <c r="H939" s="9" t="n">
        <v>5</v>
      </c>
      <c r="I939" s="7" t="inlineStr">
        <is>
          <t>3808.92.99</t>
        </is>
      </c>
      <c r="J939" s="7" t="inlineStr">
        <is>
          <t>NÃO</t>
        </is>
      </c>
      <c r="K939" s="7" t="inlineStr">
        <is>
          <t>Embalagem Rígida — LAVÁVEL (Obrigatória Tríplice Lavagem ou Pressão)</t>
        </is>
      </c>
      <c r="L939" s="7" t="inlineStr">
        <is>
          <t>NÃO</t>
        </is>
      </c>
      <c r="M939" s="7" t="inlineStr">
        <is>
          <t>0,00% (Lei nº 10.925/2004)</t>
        </is>
      </c>
      <c r="N939" s="7" t="inlineStr">
        <is>
          <t>0,925% (LC nº 224/2025)</t>
        </is>
      </c>
      <c r="O939" s="7" t="inlineStr">
        <is>
          <t>0,365% (LC nº 224/2025)</t>
        </is>
      </c>
      <c r="P939" s="7" t="inlineStr">
        <is>
          <t>CST 06</t>
        </is>
      </c>
      <c r="Q939" s="7" t="inlineStr">
        <is>
          <t>CST 73</t>
        </is>
      </c>
      <c r="R939" s="7" t="inlineStr">
        <is>
          <t>Redução de 60% + Diferimento (Art. 138 e Anexo IX LC 214/2025)</t>
        </is>
      </c>
    </row>
    <row r="940" ht="22" customHeight="1">
      <c r="A940" s="12" t="inlineStr">
        <is>
          <t>SKU-0936</t>
        </is>
      </c>
      <c r="B940" s="11" t="n">
        <v>671</v>
      </c>
      <c r="C940" s="13" t="inlineStr">
        <is>
          <t>Nº 19123</t>
        </is>
      </c>
      <c r="D940" s="14" t="inlineStr">
        <is>
          <t>BRUCIA</t>
        </is>
      </c>
      <c r="E940" s="13" t="inlineStr">
        <is>
          <t>Embalagem Comercial do Produto</t>
        </is>
      </c>
      <c r="F940" s="13" t="inlineStr">
        <is>
          <t>5L (5 L)</t>
        </is>
      </c>
      <c r="G940" s="13" t="inlineStr">
        <is>
          <t>L</t>
        </is>
      </c>
      <c r="H940" s="15" t="n">
        <v>5</v>
      </c>
      <c r="I940" s="13" t="inlineStr">
        <is>
          <t>3808.93.29</t>
        </is>
      </c>
      <c r="J940" s="13" t="inlineStr">
        <is>
          <t>NÃO</t>
        </is>
      </c>
      <c r="K940" s="13" t="inlineStr">
        <is>
          <t>Embalagem Rígida — LAVÁVEL (Obrigatória Tríplice Lavagem ou Pressão)</t>
        </is>
      </c>
      <c r="L940" s="13" t="inlineStr">
        <is>
          <t>NÃO</t>
        </is>
      </c>
      <c r="M940" s="13" t="inlineStr">
        <is>
          <t>0,00% (Lei nº 10.925/2004)</t>
        </is>
      </c>
      <c r="N940" s="13" t="inlineStr">
        <is>
          <t>0,925% (LC nº 224/2025)</t>
        </is>
      </c>
      <c r="O940" s="13" t="inlineStr">
        <is>
          <t>0,365% (LC nº 224/2025)</t>
        </is>
      </c>
      <c r="P940" s="13" t="inlineStr">
        <is>
          <t>CST 06</t>
        </is>
      </c>
      <c r="Q940" s="13" t="inlineStr">
        <is>
          <t>CST 73</t>
        </is>
      </c>
      <c r="R940" s="13" t="inlineStr">
        <is>
          <t>Redução de 60% + Diferimento (Art. 138 e Anexo IX LC 214/2025)</t>
        </is>
      </c>
    </row>
    <row r="941" ht="22" customHeight="1">
      <c r="A941" s="6" t="inlineStr">
        <is>
          <t>SKU-0937</t>
        </is>
      </c>
      <c r="B941" s="5" t="n">
        <v>672</v>
      </c>
      <c r="C941" s="7" t="inlineStr">
        <is>
          <t>SIPEAGRO (UF-XXXXX)</t>
        </is>
      </c>
      <c r="D941" s="8" t="inlineStr">
        <is>
          <t>CELLERON</t>
        </is>
      </c>
      <c r="E941" s="7" t="inlineStr">
        <is>
          <t>Embalagem Comercial do Produto</t>
        </is>
      </c>
      <c r="F941" s="7" t="inlineStr">
        <is>
          <t>1X20L (20 L)</t>
        </is>
      </c>
      <c r="G941" s="7" t="inlineStr">
        <is>
          <t>L</t>
        </is>
      </c>
      <c r="H941" s="9" t="n">
        <v>20</v>
      </c>
      <c r="I941" s="7" t="inlineStr">
        <is>
          <t>3105.90.90</t>
        </is>
      </c>
      <c r="J941" s="7" t="inlineStr">
        <is>
          <t>NÃO</t>
        </is>
      </c>
      <c r="K941" s="7" t="inlineStr">
        <is>
          <t>Embalagem de Insumo Nutricional/Biológico (Logística Reversa)</t>
        </is>
      </c>
      <c r="L941" s="7" t="inlineStr">
        <is>
          <t>NÃO</t>
        </is>
      </c>
      <c r="M941" s="7" t="inlineStr">
        <is>
          <t>0,00% (Lei nº 10.925/2004)</t>
        </is>
      </c>
      <c r="N941" s="7" t="inlineStr">
        <is>
          <t>0,925% (LC nº 224/2025)</t>
        </is>
      </c>
      <c r="O941" s="7" t="inlineStr">
        <is>
          <t>0,365% (LC nº 224/2025)</t>
        </is>
      </c>
      <c r="P941" s="7" t="inlineStr">
        <is>
          <t>CST 06</t>
        </is>
      </c>
      <c r="Q941" s="7" t="inlineStr">
        <is>
          <t>CST 73</t>
        </is>
      </c>
      <c r="R941" s="7" t="inlineStr">
        <is>
          <t>Redução de 60% + Diferimento (Art. 138 e Anexo IX LC 214/2025)</t>
        </is>
      </c>
    </row>
    <row r="942" ht="22" customHeight="1">
      <c r="A942" s="12" t="inlineStr">
        <is>
          <t>SKU-0938</t>
        </is>
      </c>
      <c r="B942" s="11" t="n">
        <v>672</v>
      </c>
      <c r="C942" s="13" t="inlineStr">
        <is>
          <t>SIPEAGRO (UF-XXXXX)</t>
        </is>
      </c>
      <c r="D942" s="14" t="inlineStr">
        <is>
          <t>CELLERON</t>
        </is>
      </c>
      <c r="E942" s="13" t="inlineStr">
        <is>
          <t>Faixa 1 TIPI (Apresentação &lt;= 300 g ou mL)</t>
        </is>
      </c>
      <c r="F942" s="13" t="inlineStr">
        <is>
          <t>Fracionado / Amostra &lt;= 0,3 L</t>
        </is>
      </c>
      <c r="G942" s="13" t="inlineStr">
        <is>
          <t>L</t>
        </is>
      </c>
      <c r="H942" s="18" t="n">
        <v>0.3</v>
      </c>
      <c r="I942" s="13" t="inlineStr">
        <is>
          <t>3105.90.90</t>
        </is>
      </c>
      <c r="J942" s="13" t="inlineStr">
        <is>
          <t>NÃO</t>
        </is>
      </c>
      <c r="K942" s="13" t="inlineStr">
        <is>
          <t>Embalagem de Insumo Nutricional/Biológico (Logística Reversa)</t>
        </is>
      </c>
      <c r="L942" s="13" t="inlineStr">
        <is>
          <t>NÃO</t>
        </is>
      </c>
      <c r="M942" s="13" t="inlineStr">
        <is>
          <t>0,00% (Lei nº 10.925/2004)</t>
        </is>
      </c>
      <c r="N942" s="13" t="inlineStr">
        <is>
          <t>0,925% (LC nº 224/2025)</t>
        </is>
      </c>
      <c r="O942" s="13" t="inlineStr">
        <is>
          <t>0,365% (LC nº 224/2025)</t>
        </is>
      </c>
      <c r="P942" s="13" t="inlineStr">
        <is>
          <t>CST 06</t>
        </is>
      </c>
      <c r="Q942" s="13" t="inlineStr">
        <is>
          <t>CST 73</t>
        </is>
      </c>
      <c r="R942" s="13" t="inlineStr">
        <is>
          <t>Redução de 60% + Diferimento (Art. 138 e Anexo IX LC 214/2025)</t>
        </is>
      </c>
    </row>
    <row r="943" ht="22" customHeight="1">
      <c r="A943" s="6" t="inlineStr">
        <is>
          <t>SKU-0939</t>
        </is>
      </c>
      <c r="B943" s="5" t="n">
        <v>673</v>
      </c>
      <c r="C943" s="7" t="inlineStr">
        <is>
          <t>SIPEAGRO (UF-XXXXX)</t>
        </is>
      </c>
      <c r="D943" s="8" t="inlineStr">
        <is>
          <t>AGCN FULL</t>
        </is>
      </c>
      <c r="E943" s="7" t="inlineStr">
        <is>
          <t>Embalagem Comercial do Produto</t>
        </is>
      </c>
      <c r="F943" s="7" t="inlineStr">
        <is>
          <t>20L (20 L)</t>
        </is>
      </c>
      <c r="G943" s="7" t="inlineStr">
        <is>
          <t>L</t>
        </is>
      </c>
      <c r="H943" s="9" t="n">
        <v>20</v>
      </c>
      <c r="I943" s="7" t="inlineStr">
        <is>
          <t>3105.90.90</t>
        </is>
      </c>
      <c r="J943" s="7" t="inlineStr">
        <is>
          <t>NÃO</t>
        </is>
      </c>
      <c r="K943" s="7" t="inlineStr">
        <is>
          <t>Embalagem de Insumo Nutricional/Biológico (Logística Reversa)</t>
        </is>
      </c>
      <c r="L943" s="7" t="inlineStr">
        <is>
          <t>NÃO</t>
        </is>
      </c>
      <c r="M943" s="7" t="inlineStr">
        <is>
          <t>0,00% (Lei nº 10.925/2004)</t>
        </is>
      </c>
      <c r="N943" s="7" t="inlineStr">
        <is>
          <t>0,925% (LC nº 224/2025)</t>
        </is>
      </c>
      <c r="O943" s="7" t="inlineStr">
        <is>
          <t>0,365% (LC nº 224/2025)</t>
        </is>
      </c>
      <c r="P943" s="7" t="inlineStr">
        <is>
          <t>CST 06</t>
        </is>
      </c>
      <c r="Q943" s="7" t="inlineStr">
        <is>
          <t>CST 73</t>
        </is>
      </c>
      <c r="R943" s="7" t="inlineStr">
        <is>
          <t>Redução de 60% + Diferimento (Art. 138 e Anexo IX LC 214/2025)</t>
        </is>
      </c>
    </row>
    <row r="944" ht="22" customHeight="1">
      <c r="A944" s="12" t="inlineStr">
        <is>
          <t>SKU-0940</t>
        </is>
      </c>
      <c r="B944" s="11" t="n">
        <v>673</v>
      </c>
      <c r="C944" s="13" t="inlineStr">
        <is>
          <t>SIPEAGRO (UF-XXXXX)</t>
        </is>
      </c>
      <c r="D944" s="14" t="inlineStr">
        <is>
          <t>AGCN FULL</t>
        </is>
      </c>
      <c r="E944" s="13" t="inlineStr">
        <is>
          <t>Faixa 1 TIPI (Apresentação &lt;= 300 g ou mL)</t>
        </is>
      </c>
      <c r="F944" s="13" t="inlineStr">
        <is>
          <t>Fracionado / Amostra &lt;= 0,3 L</t>
        </is>
      </c>
      <c r="G944" s="13" t="inlineStr">
        <is>
          <t>L</t>
        </is>
      </c>
      <c r="H944" s="18" t="n">
        <v>0.3</v>
      </c>
      <c r="I944" s="13" t="inlineStr">
        <is>
          <t>3105.90.90</t>
        </is>
      </c>
      <c r="J944" s="13" t="inlineStr">
        <is>
          <t>NÃO</t>
        </is>
      </c>
      <c r="K944" s="13" t="inlineStr">
        <is>
          <t>Embalagem de Insumo Nutricional/Biológico (Logística Reversa)</t>
        </is>
      </c>
      <c r="L944" s="13" t="inlineStr">
        <is>
          <t>NÃO</t>
        </is>
      </c>
      <c r="M944" s="13" t="inlineStr">
        <is>
          <t>0,00% (Lei nº 10.925/2004)</t>
        </is>
      </c>
      <c r="N944" s="13" t="inlineStr">
        <is>
          <t>0,925% (LC nº 224/2025)</t>
        </is>
      </c>
      <c r="O944" s="13" t="inlineStr">
        <is>
          <t>0,365% (LC nº 224/2025)</t>
        </is>
      </c>
      <c r="P944" s="13" t="inlineStr">
        <is>
          <t>CST 06</t>
        </is>
      </c>
      <c r="Q944" s="13" t="inlineStr">
        <is>
          <t>CST 73</t>
        </is>
      </c>
      <c r="R944" s="13" t="inlineStr">
        <is>
          <t>Redução de 60% + Diferimento (Art. 138 e Anexo IX LC 214/2025)</t>
        </is>
      </c>
    </row>
    <row r="945" ht="22" customHeight="1">
      <c r="A945" s="6" t="inlineStr">
        <is>
          <t>SKU-0941</t>
        </is>
      </c>
      <c r="B945" s="5" t="n">
        <v>674</v>
      </c>
      <c r="C945" s="7" t="inlineStr">
        <is>
          <t>Nº 1802</t>
        </is>
      </c>
      <c r="D945" s="8" t="inlineStr">
        <is>
          <t>PROMALIN</t>
        </is>
      </c>
      <c r="E945" s="7" t="inlineStr">
        <is>
          <t>Embalagem Comercial do Produto</t>
        </is>
      </c>
      <c r="F945" s="7" t="inlineStr">
        <is>
          <t>1L (1 L)</t>
        </is>
      </c>
      <c r="G945" s="7" t="inlineStr">
        <is>
          <t>L</t>
        </is>
      </c>
      <c r="H945" s="9" t="n">
        <v>1</v>
      </c>
      <c r="I945" s="7" t="inlineStr">
        <is>
          <t>3808.93.59</t>
        </is>
      </c>
      <c r="J945" s="7" t="inlineStr">
        <is>
          <t>NÃO</t>
        </is>
      </c>
      <c r="K945" s="7" t="inlineStr">
        <is>
          <t>Embalagem Rígida — LAVÁVEL (Obrigatória Tríplice Lavagem ou Pressão)</t>
        </is>
      </c>
      <c r="L945" s="7" t="inlineStr">
        <is>
          <t>NÃO</t>
        </is>
      </c>
      <c r="M945" s="7" t="inlineStr">
        <is>
          <t>0,00% (Lei nº 10.925/2004)</t>
        </is>
      </c>
      <c r="N945" s="7" t="inlineStr">
        <is>
          <t>0,925% (LC nº 224/2025)</t>
        </is>
      </c>
      <c r="O945" s="7" t="inlineStr">
        <is>
          <t>0,365% (LC nº 224/2025)</t>
        </is>
      </c>
      <c r="P945" s="7" t="inlineStr">
        <is>
          <t>CST 06</t>
        </is>
      </c>
      <c r="Q945" s="7" t="inlineStr">
        <is>
          <t>CST 73</t>
        </is>
      </c>
      <c r="R945" s="7" t="inlineStr">
        <is>
          <t>Redução de 60% + Diferimento (Art. 138 e Anexo IX LC 214/2025)</t>
        </is>
      </c>
    </row>
    <row r="946" ht="22" customHeight="1">
      <c r="A946" s="12" t="inlineStr">
        <is>
          <t>SKU-0942</t>
        </is>
      </c>
      <c r="B946" s="11" t="n">
        <v>675</v>
      </c>
      <c r="C946" s="13" t="inlineStr">
        <is>
          <t>Nº 33217</t>
        </is>
      </c>
      <c r="D946" s="14" t="inlineStr">
        <is>
          <t>PANGA 900 WG</t>
        </is>
      </c>
      <c r="E946" s="13" t="inlineStr">
        <is>
          <t>Embalagem Comercial do Produto</t>
        </is>
      </c>
      <c r="F946" s="13" t="inlineStr">
        <is>
          <t>1X10KG (10 KG)</t>
        </is>
      </c>
      <c r="G946" s="13" t="inlineStr">
        <is>
          <t>KG</t>
        </is>
      </c>
      <c r="H946" s="15" t="n">
        <v>10</v>
      </c>
      <c r="I946" s="13" t="inlineStr">
        <is>
          <t>3808.93.23</t>
        </is>
      </c>
      <c r="J946" s="13" t="inlineStr">
        <is>
          <t>NÃO</t>
        </is>
      </c>
      <c r="K946" s="13" t="inlineStr">
        <is>
          <t>Embalagem Flexível — NÃO LAVÁVEL (Perfurar e usar saco ABNT)</t>
        </is>
      </c>
      <c r="L946" s="13" t="inlineStr">
        <is>
          <t>SIM (Saco Transparente ABNT)</t>
        </is>
      </c>
      <c r="M946" s="13" t="inlineStr">
        <is>
          <t>0,00% (Lei nº 10.925/2004)</t>
        </is>
      </c>
      <c r="N946" s="13" t="inlineStr">
        <is>
          <t>0,925% (LC nº 224/2025)</t>
        </is>
      </c>
      <c r="O946" s="13" t="inlineStr">
        <is>
          <t>0,365% (LC nº 224/2025)</t>
        </is>
      </c>
      <c r="P946" s="13" t="inlineStr">
        <is>
          <t>CST 06</t>
        </is>
      </c>
      <c r="Q946" s="13" t="inlineStr">
        <is>
          <t>CST 73</t>
        </is>
      </c>
      <c r="R946" s="13" t="inlineStr">
        <is>
          <t>Redução de 60% + Diferimento (Art. 138 e Anexo IX LC 214/2025)</t>
        </is>
      </c>
    </row>
    <row r="947" ht="22" customHeight="1">
      <c r="A947" s="6" t="inlineStr">
        <is>
          <t>SKU-0943</t>
        </is>
      </c>
      <c r="B947" s="5" t="n">
        <v>676</v>
      </c>
      <c r="C947" s="7" t="inlineStr">
        <is>
          <t>Nº 31017</t>
        </is>
      </c>
      <c r="D947" s="8" t="inlineStr">
        <is>
          <t>TRIDIUM</t>
        </is>
      </c>
      <c r="E947" s="7" t="inlineStr">
        <is>
          <t>Embalagem Comercial do Produto</t>
        </is>
      </c>
      <c r="F947" s="7" t="inlineStr">
        <is>
          <t>1X10KG (10 KG)</t>
        </is>
      </c>
      <c r="G947" s="7" t="inlineStr">
        <is>
          <t>KG</t>
        </is>
      </c>
      <c r="H947" s="9" t="n">
        <v>10</v>
      </c>
      <c r="I947" s="7" t="inlineStr">
        <is>
          <t>3808.92.93</t>
        </is>
      </c>
      <c r="J947" s="7" t="inlineStr">
        <is>
          <t>NÃO</t>
        </is>
      </c>
      <c r="K947" s="7" t="inlineStr">
        <is>
          <t>Embalagem Flexível — NÃO LAVÁVEL (Perfurar e usar saco ABNT)</t>
        </is>
      </c>
      <c r="L947" s="7" t="inlineStr">
        <is>
          <t>SIM (Saco Transparente ABNT)</t>
        </is>
      </c>
      <c r="M947" s="7" t="inlineStr">
        <is>
          <t>0,00% (Lei nº 10.925/2004)</t>
        </is>
      </c>
      <c r="N947" s="7" t="inlineStr">
        <is>
          <t>0,925% (LC nº 224/2025)</t>
        </is>
      </c>
      <c r="O947" s="7" t="inlineStr">
        <is>
          <t>0,365% (LC nº 224/2025)</t>
        </is>
      </c>
      <c r="P947" s="7" t="inlineStr">
        <is>
          <t>CST 06</t>
        </is>
      </c>
      <c r="Q947" s="7" t="inlineStr">
        <is>
          <t>CST 73</t>
        </is>
      </c>
      <c r="R947" s="7" t="inlineStr">
        <is>
          <t>Redução de 60% + Diferimento (Art. 138 e Anexo IX LC 214/2025)</t>
        </is>
      </c>
    </row>
    <row r="948" ht="22" customHeight="1">
      <c r="A948" s="12" t="inlineStr">
        <is>
          <t>SKU-0944</t>
        </is>
      </c>
      <c r="B948" s="11" t="n">
        <v>677</v>
      </c>
      <c r="C948" s="13" t="inlineStr">
        <is>
          <t>Nº 9407</t>
        </is>
      </c>
      <c r="D948" s="14" t="inlineStr">
        <is>
          <t>ARIETE</t>
        </is>
      </c>
      <c r="E948" s="13" t="inlineStr">
        <is>
          <t>Embalagem Comercial do Produto</t>
        </is>
      </c>
      <c r="F948" s="13" t="inlineStr">
        <is>
          <t>4X5L (5 L)</t>
        </is>
      </c>
      <c r="G948" s="13" t="inlineStr">
        <is>
          <t>L</t>
        </is>
      </c>
      <c r="H948" s="15" t="n">
        <v>5</v>
      </c>
      <c r="I948" s="13" t="inlineStr">
        <is>
          <t>3808.62.90</t>
        </is>
      </c>
      <c r="J948" s="13" t="inlineStr">
        <is>
          <t>SIM</t>
        </is>
      </c>
      <c r="K948" s="13" t="inlineStr">
        <is>
          <t>Embalagem Rígida — LAVÁVEL (Obrigatória Tríplice Lavagem ou Pressão)</t>
        </is>
      </c>
      <c r="L948" s="13" t="inlineStr">
        <is>
          <t>NÃO</t>
        </is>
      </c>
      <c r="M948" s="13" t="inlineStr">
        <is>
          <t>0,00% (Lei nº 10.925/2004)</t>
        </is>
      </c>
      <c r="N948" s="13" t="inlineStr">
        <is>
          <t>0,925% (LC nº 224/2025)</t>
        </is>
      </c>
      <c r="O948" s="13" t="inlineStr">
        <is>
          <t>0,365% (LC nº 224/2025)</t>
        </is>
      </c>
      <c r="P948" s="13" t="inlineStr">
        <is>
          <t>CST 06</t>
        </is>
      </c>
      <c r="Q948" s="13" t="inlineStr">
        <is>
          <t>CST 73</t>
        </is>
      </c>
      <c r="R948" s="13" t="inlineStr">
        <is>
          <t>Redução de 60% + Diferimento (Art. 138 e Anexo IX LC 214/2025)</t>
        </is>
      </c>
    </row>
    <row r="949" ht="22" customHeight="1">
      <c r="A949" s="6" t="inlineStr">
        <is>
          <t>SKU-0945</t>
        </is>
      </c>
      <c r="B949" s="5" t="n">
        <v>677</v>
      </c>
      <c r="C949" s="7" t="inlineStr">
        <is>
          <t>Nº 9407</t>
        </is>
      </c>
      <c r="D949" s="8" t="inlineStr">
        <is>
          <t>ARIETE</t>
        </is>
      </c>
      <c r="E949" s="7" t="inlineStr">
        <is>
          <t>Faixa 1 TIPI (Apresentação &lt;= 300 g ou mL)</t>
        </is>
      </c>
      <c r="F949" s="7" t="inlineStr">
        <is>
          <t>Fracionado / Amostra &lt;= 0,3 L</t>
        </is>
      </c>
      <c r="G949" s="7" t="inlineStr">
        <is>
          <t>L</t>
        </is>
      </c>
      <c r="H949" s="17" t="n">
        <v>0.3</v>
      </c>
      <c r="I949" s="7" t="inlineStr">
        <is>
          <t>3808.61.00</t>
        </is>
      </c>
      <c r="J949" s="7" t="inlineStr">
        <is>
          <t>SIM</t>
        </is>
      </c>
      <c r="K949" s="7" t="inlineStr">
        <is>
          <t>Embalagem Rígida — LAVÁVEL (Obrigatória Tríplice Lavagem ou Pressão)</t>
        </is>
      </c>
      <c r="L949" s="7" t="inlineStr">
        <is>
          <t>NÃO</t>
        </is>
      </c>
      <c r="M949" s="7" t="inlineStr">
        <is>
          <t>0,00% (Lei nº 10.925/2004)</t>
        </is>
      </c>
      <c r="N949" s="7" t="inlineStr">
        <is>
          <t>0,925% (LC nº 224/2025)</t>
        </is>
      </c>
      <c r="O949" s="7" t="inlineStr">
        <is>
          <t>0,365% (LC nº 224/2025)</t>
        </is>
      </c>
      <c r="P949" s="7" t="inlineStr">
        <is>
          <t>CST 06</t>
        </is>
      </c>
      <c r="Q949" s="7" t="inlineStr">
        <is>
          <t>CST 73</t>
        </is>
      </c>
      <c r="R949" s="7" t="inlineStr">
        <is>
          <t>Redução de 60% + Diferimento (Art. 138 e Anexo IX LC 214/2025)</t>
        </is>
      </c>
    </row>
    <row r="950" ht="22" customHeight="1">
      <c r="A950" s="12" t="inlineStr">
        <is>
          <t>SKU-0946</t>
        </is>
      </c>
      <c r="B950" s="11" t="n">
        <v>678</v>
      </c>
      <c r="C950" s="13" t="inlineStr">
        <is>
          <t>SIPEAGRO (UF-XXXXX)</t>
        </is>
      </c>
      <c r="D950" s="14" t="inlineStr">
        <is>
          <t>BACSTIM 100</t>
        </is>
      </c>
      <c r="E950" s="13" t="inlineStr">
        <is>
          <t>Embalagem Comercial do Produto</t>
        </is>
      </c>
      <c r="F950" s="13" t="inlineStr">
        <is>
          <t>5L (5 L)</t>
        </is>
      </c>
      <c r="G950" s="13" t="inlineStr">
        <is>
          <t>L</t>
        </is>
      </c>
      <c r="H950" s="15" t="n">
        <v>5</v>
      </c>
      <c r="I950" s="13" t="inlineStr">
        <is>
          <t>3002.49.99</t>
        </is>
      </c>
      <c r="J950" s="13" t="inlineStr">
        <is>
          <t>NÃO</t>
        </is>
      </c>
      <c r="K950" s="13" t="inlineStr">
        <is>
          <t>Embalagem de Insumo Nutricional/Biológico (Logística Reversa)</t>
        </is>
      </c>
      <c r="L950" s="13" t="inlineStr">
        <is>
          <t>NÃO</t>
        </is>
      </c>
      <c r="M950" s="13" t="inlineStr">
        <is>
          <t>9,25% Real | 3,65% Presumido</t>
        </is>
      </c>
      <c r="N950" s="13" t="inlineStr">
        <is>
          <t>9,250% (Integral)</t>
        </is>
      </c>
      <c r="O950" s="13" t="inlineStr">
        <is>
          <t>3,650% (Integral)</t>
        </is>
      </c>
      <c r="P950" s="13" t="inlineStr">
        <is>
          <t>CST 01</t>
        </is>
      </c>
      <c r="Q950" s="13" t="inlineStr">
        <is>
          <t>CST 50</t>
        </is>
      </c>
      <c r="R950" s="13" t="inlineStr">
        <is>
          <t>Alíquota Padrão Integral (LC 214/2025)</t>
        </is>
      </c>
    </row>
    <row r="951" ht="22" customHeight="1">
      <c r="A951" s="6" t="inlineStr">
        <is>
          <t>SKU-0947</t>
        </is>
      </c>
      <c r="B951" s="5" t="n">
        <v>678</v>
      </c>
      <c r="C951" s="7" t="inlineStr">
        <is>
          <t>SIPEAGRO (UF-XXXXX)</t>
        </is>
      </c>
      <c r="D951" s="8" t="inlineStr">
        <is>
          <t>BACSTIM 100</t>
        </is>
      </c>
      <c r="E951" s="7" t="inlineStr">
        <is>
          <t>Faixa 1 TIPI (Apresentação &lt;= 300 g ou mL)</t>
        </is>
      </c>
      <c r="F951" s="7" t="inlineStr">
        <is>
          <t>Fracionado / Amostra &lt;= 0,3 L</t>
        </is>
      </c>
      <c r="G951" s="7" t="inlineStr">
        <is>
          <t>L</t>
        </is>
      </c>
      <c r="H951" s="17" t="n">
        <v>0.3</v>
      </c>
      <c r="I951" s="7" t="inlineStr">
        <is>
          <t>3002.49.99</t>
        </is>
      </c>
      <c r="J951" s="7" t="inlineStr">
        <is>
          <t>NÃO</t>
        </is>
      </c>
      <c r="K951" s="7" t="inlineStr">
        <is>
          <t>Embalagem de Insumo Nutricional/Biológico (Logística Reversa)</t>
        </is>
      </c>
      <c r="L951" s="7" t="inlineStr">
        <is>
          <t>NÃO</t>
        </is>
      </c>
      <c r="M951" s="7" t="inlineStr">
        <is>
          <t>9,25% Real | 3,65% Presumido</t>
        </is>
      </c>
      <c r="N951" s="7" t="inlineStr">
        <is>
          <t>9,250% (Integral)</t>
        </is>
      </c>
      <c r="O951" s="7" t="inlineStr">
        <is>
          <t>3,650% (Integral)</t>
        </is>
      </c>
      <c r="P951" s="7" t="inlineStr">
        <is>
          <t>CST 01</t>
        </is>
      </c>
      <c r="Q951" s="7" t="inlineStr">
        <is>
          <t>CST 50</t>
        </is>
      </c>
      <c r="R951" s="7" t="inlineStr">
        <is>
          <t>Alíquota Padrão Integral (LC 214/2025)</t>
        </is>
      </c>
    </row>
    <row r="952" ht="22" customHeight="1">
      <c r="A952" s="12" t="inlineStr">
        <is>
          <t>SKU-0948</t>
        </is>
      </c>
      <c r="B952" s="11" t="n">
        <v>679</v>
      </c>
      <c r="C952" s="13" t="inlineStr">
        <is>
          <t>Nº 1188593</t>
        </is>
      </c>
      <c r="D952" s="14" t="inlineStr">
        <is>
          <t>VERSATILIS</t>
        </is>
      </c>
      <c r="E952" s="13" t="inlineStr">
        <is>
          <t>Embalagem Comercial do Produto</t>
        </is>
      </c>
      <c r="F952" s="13" t="inlineStr">
        <is>
          <t>5L (5 L)</t>
        </is>
      </c>
      <c r="G952" s="13" t="inlineStr">
        <is>
          <t>L</t>
        </is>
      </c>
      <c r="H952" s="15" t="n">
        <v>5</v>
      </c>
      <c r="I952" s="13" t="inlineStr">
        <is>
          <t>3808.92.99</t>
        </is>
      </c>
      <c r="J952" s="13" t="inlineStr">
        <is>
          <t>NÃO</t>
        </is>
      </c>
      <c r="K952" s="13" t="inlineStr">
        <is>
          <t>Embalagem Rígida — LAVÁVEL (Obrigatória Tríplice Lavagem ou Pressão)</t>
        </is>
      </c>
      <c r="L952" s="13" t="inlineStr">
        <is>
          <t>NÃO</t>
        </is>
      </c>
      <c r="M952" s="13" t="inlineStr">
        <is>
          <t>0,00% (Lei nº 10.925/2004)</t>
        </is>
      </c>
      <c r="N952" s="13" t="inlineStr">
        <is>
          <t>0,925% (LC nº 224/2025)</t>
        </is>
      </c>
      <c r="O952" s="13" t="inlineStr">
        <is>
          <t>0,365% (LC nº 224/2025)</t>
        </is>
      </c>
      <c r="P952" s="13" t="inlineStr">
        <is>
          <t>CST 06</t>
        </is>
      </c>
      <c r="Q952" s="13" t="inlineStr">
        <is>
          <t>CST 73</t>
        </is>
      </c>
      <c r="R952" s="13" t="inlineStr">
        <is>
          <t>Redução de 60% + Diferimento (Art. 138 e Anexo IX LC 214/2025)</t>
        </is>
      </c>
    </row>
    <row r="953" ht="22" customHeight="1">
      <c r="A953" s="6" t="inlineStr">
        <is>
          <t>SKU-0949</t>
        </is>
      </c>
      <c r="B953" s="5" t="n">
        <v>680</v>
      </c>
      <c r="C953" s="7" t="inlineStr">
        <is>
          <t>Nº 7823</t>
        </is>
      </c>
      <c r="D953" s="8" t="inlineStr">
        <is>
          <t>INEDITO</t>
        </is>
      </c>
      <c r="E953" s="7" t="inlineStr">
        <is>
          <t>Embalagem Comercial do Produto</t>
        </is>
      </c>
      <c r="F953" s="7" t="inlineStr">
        <is>
          <t>1X20L (20 L)</t>
        </is>
      </c>
      <c r="G953" s="7" t="inlineStr">
        <is>
          <t>L</t>
        </is>
      </c>
      <c r="H953" s="9" t="n">
        <v>20</v>
      </c>
      <c r="I953" s="7" t="inlineStr">
        <is>
          <t>3808.93.29</t>
        </is>
      </c>
      <c r="J953" s="7" t="inlineStr">
        <is>
          <t>NÃO</t>
        </is>
      </c>
      <c r="K953" s="7" t="inlineStr">
        <is>
          <t>Embalagem Rígida — LAVÁVEL (Obrigatória Tríplice Lavagem ou Pressão)</t>
        </is>
      </c>
      <c r="L953" s="7" t="inlineStr">
        <is>
          <t>NÃO</t>
        </is>
      </c>
      <c r="M953" s="7" t="inlineStr">
        <is>
          <t>0,00% (Lei nº 10.925/2004)</t>
        </is>
      </c>
      <c r="N953" s="7" t="inlineStr">
        <is>
          <t>0,925% (LC nº 224/2025)</t>
        </is>
      </c>
      <c r="O953" s="7" t="inlineStr">
        <is>
          <t>0,365% (LC nº 224/2025)</t>
        </is>
      </c>
      <c r="P953" s="7" t="inlineStr">
        <is>
          <t>CST 06</t>
        </is>
      </c>
      <c r="Q953" s="7" t="inlineStr">
        <is>
          <t>CST 73</t>
        </is>
      </c>
      <c r="R953" s="7" t="inlineStr">
        <is>
          <t>Redução de 60% + Diferimento (Art. 138 e Anexo IX LC 214/2025)</t>
        </is>
      </c>
    </row>
    <row r="954" ht="22" customHeight="1">
      <c r="A954" s="12" t="inlineStr">
        <is>
          <t>SKU-0950</t>
        </is>
      </c>
      <c r="B954" s="11" t="n">
        <v>681</v>
      </c>
      <c r="C954" s="13" t="inlineStr">
        <is>
          <t>Nº 1613</t>
        </is>
      </c>
      <c r="D954" s="14" t="inlineStr">
        <is>
          <t>GAME</t>
        </is>
      </c>
      <c r="E954" s="13" t="inlineStr">
        <is>
          <t>Embalagem Comercial do Produto</t>
        </is>
      </c>
      <c r="F954" s="13" t="inlineStr">
        <is>
          <t>4X5L (5 L)</t>
        </is>
      </c>
      <c r="G954" s="13" t="inlineStr">
        <is>
          <t>L</t>
        </is>
      </c>
      <c r="H954" s="15" t="n">
        <v>5</v>
      </c>
      <c r="I954" s="13" t="inlineStr">
        <is>
          <t>3808.91.99</t>
        </is>
      </c>
      <c r="J954" s="13" t="inlineStr">
        <is>
          <t>NÃO</t>
        </is>
      </c>
      <c r="K954" s="13" t="inlineStr">
        <is>
          <t>Embalagem Rígida — LAVÁVEL (Obrigatória Tríplice Lavagem ou Pressão)</t>
        </is>
      </c>
      <c r="L954" s="13" t="inlineStr">
        <is>
          <t>NÃO</t>
        </is>
      </c>
      <c r="M954" s="13" t="inlineStr">
        <is>
          <t>0,00% (Lei nº 10.925/2004)</t>
        </is>
      </c>
      <c r="N954" s="13" t="inlineStr">
        <is>
          <t>0,925% (LC nº 224/2025)</t>
        </is>
      </c>
      <c r="O954" s="13" t="inlineStr">
        <is>
          <t>0,365% (LC nº 224/2025)</t>
        </is>
      </c>
      <c r="P954" s="13" t="inlineStr">
        <is>
          <t>CST 06</t>
        </is>
      </c>
      <c r="Q954" s="13" t="inlineStr">
        <is>
          <t>CST 73</t>
        </is>
      </c>
      <c r="R954" s="13" t="inlineStr">
        <is>
          <t>Redução de 60% + Diferimento (Art. 138 e Anexo IX LC 214/2025)</t>
        </is>
      </c>
    </row>
    <row r="955" ht="22" customHeight="1">
      <c r="A955" s="6" t="inlineStr">
        <is>
          <t>SKU-0951</t>
        </is>
      </c>
      <c r="B955" s="5" t="n">
        <v>682</v>
      </c>
      <c r="C955" s="7" t="inlineStr">
        <is>
          <t>Nº 18122</t>
        </is>
      </c>
      <c r="D955" s="8" t="inlineStr">
        <is>
          <t>TRICLOMAX</t>
        </is>
      </c>
      <c r="E955" s="7" t="inlineStr">
        <is>
          <t>Embalagem Comercial do Produto</t>
        </is>
      </c>
      <c r="F955" s="7" t="inlineStr">
        <is>
          <t>1X20L (20 L)</t>
        </is>
      </c>
      <c r="G955" s="7" t="inlineStr">
        <is>
          <t>L</t>
        </is>
      </c>
      <c r="H955" s="9" t="n">
        <v>20</v>
      </c>
      <c r="I955" s="7" t="inlineStr">
        <is>
          <t>3808.93.29</t>
        </is>
      </c>
      <c r="J955" s="7" t="inlineStr">
        <is>
          <t>NÃO</t>
        </is>
      </c>
      <c r="K955" s="7" t="inlineStr">
        <is>
          <t>Embalagem Rígida — LAVÁVEL (Obrigatória Tríplice Lavagem ou Pressão)</t>
        </is>
      </c>
      <c r="L955" s="7" t="inlineStr">
        <is>
          <t>NÃO</t>
        </is>
      </c>
      <c r="M955" s="7" t="inlineStr">
        <is>
          <t>0,00% (Lei nº 10.925/2004)</t>
        </is>
      </c>
      <c r="N955" s="7" t="inlineStr">
        <is>
          <t>0,925% (LC nº 224/2025)</t>
        </is>
      </c>
      <c r="O955" s="7" t="inlineStr">
        <is>
          <t>0,365% (LC nº 224/2025)</t>
        </is>
      </c>
      <c r="P955" s="7" t="inlineStr">
        <is>
          <t>CST 06</t>
        </is>
      </c>
      <c r="Q955" s="7" t="inlineStr">
        <is>
          <t>CST 73</t>
        </is>
      </c>
      <c r="R955" s="7" t="inlineStr">
        <is>
          <t>Redução de 60% + Diferimento (Art. 138 e Anexo IX LC 214/2025)</t>
        </is>
      </c>
    </row>
    <row r="956" ht="22" customHeight="1">
      <c r="A956" s="12" t="inlineStr">
        <is>
          <t>SKU-0952</t>
        </is>
      </c>
      <c r="B956" s="11" t="n">
        <v>683</v>
      </c>
      <c r="C956" s="13" t="inlineStr">
        <is>
          <t>Nº 18122</t>
        </is>
      </c>
      <c r="D956" s="14" t="inlineStr">
        <is>
          <t>TRICLOMAX 0,200L AMOSTRA (IMP) RW</t>
        </is>
      </c>
      <c r="E956" s="13" t="inlineStr">
        <is>
          <t>Embalagem Comercial do Produto</t>
        </is>
      </c>
      <c r="F956" s="13" t="inlineStr">
        <is>
          <t>0,200L (0.2 L)</t>
        </is>
      </c>
      <c r="G956" s="13" t="inlineStr">
        <is>
          <t>L</t>
        </is>
      </c>
      <c r="H956" s="18" t="n">
        <v>0.2</v>
      </c>
      <c r="I956" s="13" t="inlineStr">
        <is>
          <t>3808.93.29</t>
        </is>
      </c>
      <c r="J956" s="13" t="inlineStr">
        <is>
          <t>NÃO</t>
        </is>
      </c>
      <c r="K956" s="13" t="inlineStr">
        <is>
          <t>Embalagem Rígida — LAVÁVEL (Obrigatória Tríplice Lavagem ou Pressão)</t>
        </is>
      </c>
      <c r="L956" s="13" t="inlineStr">
        <is>
          <t>NÃO</t>
        </is>
      </c>
      <c r="M956" s="13" t="inlineStr">
        <is>
          <t>0,00% (Lei nº 10.925/2004)</t>
        </is>
      </c>
      <c r="N956" s="13" t="inlineStr">
        <is>
          <t>0,925% (LC nº 224/2025)</t>
        </is>
      </c>
      <c r="O956" s="13" t="inlineStr">
        <is>
          <t>0,365% (LC nº 224/2025)</t>
        </is>
      </c>
      <c r="P956" s="13" t="inlineStr">
        <is>
          <t>CST 06</t>
        </is>
      </c>
      <c r="Q956" s="13" t="inlineStr">
        <is>
          <t>CST 73</t>
        </is>
      </c>
      <c r="R956" s="13" t="inlineStr">
        <is>
          <t>Redução de 60% + Diferimento (Art. 138 e Anexo IX LC 214/2025)</t>
        </is>
      </c>
    </row>
    <row r="957" ht="22" customHeight="1">
      <c r="A957" s="6" t="inlineStr">
        <is>
          <t>SKU-0953</t>
        </is>
      </c>
      <c r="B957" s="5" t="n">
        <v>684</v>
      </c>
      <c r="C957" s="7" t="inlineStr">
        <is>
          <t>Nº 25423</t>
        </is>
      </c>
      <c r="D957" s="8" t="inlineStr">
        <is>
          <t>GLUFE 200 SL</t>
        </is>
      </c>
      <c r="E957" s="7" t="inlineStr">
        <is>
          <t>Embalagem Comercial do Produto</t>
        </is>
      </c>
      <c r="F957" s="7" t="inlineStr">
        <is>
          <t>1X20L (20 L)</t>
        </is>
      </c>
      <c r="G957" s="7" t="inlineStr">
        <is>
          <t>L</t>
        </is>
      </c>
      <c r="H957" s="9" t="n">
        <v>20</v>
      </c>
      <c r="I957" s="7" t="inlineStr">
        <is>
          <t>3808.93.29</t>
        </is>
      </c>
      <c r="J957" s="7" t="inlineStr">
        <is>
          <t>NÃO</t>
        </is>
      </c>
      <c r="K957" s="7" t="inlineStr">
        <is>
          <t>Embalagem Rígida — LAVÁVEL (Obrigatória Tríplice Lavagem ou Pressão)</t>
        </is>
      </c>
      <c r="L957" s="7" t="inlineStr">
        <is>
          <t>NÃO</t>
        </is>
      </c>
      <c r="M957" s="7" t="inlineStr">
        <is>
          <t>0,00% (Lei nº 10.925/2004)</t>
        </is>
      </c>
      <c r="N957" s="7" t="inlineStr">
        <is>
          <t>0,925% (LC nº 224/2025)</t>
        </is>
      </c>
      <c r="O957" s="7" t="inlineStr">
        <is>
          <t>0,365% (LC nº 224/2025)</t>
        </is>
      </c>
      <c r="P957" s="7" t="inlineStr">
        <is>
          <t>CST 06</t>
        </is>
      </c>
      <c r="Q957" s="7" t="inlineStr">
        <is>
          <t>CST 73</t>
        </is>
      </c>
      <c r="R957" s="7" t="inlineStr">
        <is>
          <t>Redução de 60% + Diferimento (Art. 138 e Anexo IX LC 214/2025)</t>
        </is>
      </c>
    </row>
    <row r="958" ht="22" customHeight="1">
      <c r="A958" s="12" t="inlineStr">
        <is>
          <t>SKU-0954</t>
        </is>
      </c>
      <c r="B958" s="11" t="n">
        <v>685</v>
      </c>
      <c r="C958" s="13" t="inlineStr">
        <is>
          <t>Nº 25423</t>
        </is>
      </c>
      <c r="D958" s="14" t="inlineStr">
        <is>
          <t>GLUFOSINATE 200 SL LIBEN 0,200L AMOSTRA (IMP) LL</t>
        </is>
      </c>
      <c r="E958" s="13" t="inlineStr">
        <is>
          <t>Embalagem Comercial do Produto</t>
        </is>
      </c>
      <c r="F958" s="13" t="inlineStr">
        <is>
          <t>0,200L (0.2 L)</t>
        </is>
      </c>
      <c r="G958" s="13" t="inlineStr">
        <is>
          <t>L</t>
        </is>
      </c>
      <c r="H958" s="18" t="n">
        <v>0.2</v>
      </c>
      <c r="I958" s="13" t="inlineStr">
        <is>
          <t>3808.93.29</t>
        </is>
      </c>
      <c r="J958" s="13" t="inlineStr">
        <is>
          <t>NÃO</t>
        </is>
      </c>
      <c r="K958" s="13" t="inlineStr">
        <is>
          <t>Embalagem Rígida — LAVÁVEL (Obrigatória Tríplice Lavagem ou Pressão)</t>
        </is>
      </c>
      <c r="L958" s="13" t="inlineStr">
        <is>
          <t>NÃO</t>
        </is>
      </c>
      <c r="M958" s="13" t="inlineStr">
        <is>
          <t>0,00% (Lei nº 10.925/2004)</t>
        </is>
      </c>
      <c r="N958" s="13" t="inlineStr">
        <is>
          <t>0,925% (LC nº 224/2025)</t>
        </is>
      </c>
      <c r="O958" s="13" t="inlineStr">
        <is>
          <t>0,365% (LC nº 224/2025)</t>
        </is>
      </c>
      <c r="P958" s="13" t="inlineStr">
        <is>
          <t>CST 06</t>
        </is>
      </c>
      <c r="Q958" s="13" t="inlineStr">
        <is>
          <t>CST 73</t>
        </is>
      </c>
      <c r="R958" s="13" t="inlineStr">
        <is>
          <t>Redução de 60% + Diferimento (Art. 138 e Anexo IX LC 214/2025)</t>
        </is>
      </c>
    </row>
    <row r="959" ht="22" customHeight="1">
      <c r="A959" s="6" t="inlineStr">
        <is>
          <t>SKU-0955</t>
        </is>
      </c>
      <c r="B959" s="5" t="n">
        <v>686</v>
      </c>
      <c r="C959" s="7" t="inlineStr">
        <is>
          <t>Nº 9520</t>
        </is>
      </c>
      <c r="D959" s="8" t="inlineStr">
        <is>
          <t>DK MAX</t>
        </is>
      </c>
      <c r="E959" s="7" t="inlineStr">
        <is>
          <t>Embalagem Comercial do Produto</t>
        </is>
      </c>
      <c r="F959" s="7" t="inlineStr">
        <is>
          <t>1X10KG (10 KG)</t>
        </is>
      </c>
      <c r="G959" s="7" t="inlineStr">
        <is>
          <t>KG</t>
        </is>
      </c>
      <c r="H959" s="9" t="n">
        <v>10</v>
      </c>
      <c r="I959" s="7" t="inlineStr">
        <is>
          <t>3808.93.23</t>
        </is>
      </c>
      <c r="J959" s="7" t="inlineStr">
        <is>
          <t>NÃO</t>
        </is>
      </c>
      <c r="K959" s="7" t="inlineStr">
        <is>
          <t>Embalagem Flexível — NÃO LAVÁVEL (Perfurar e usar saco ABNT)</t>
        </is>
      </c>
      <c r="L959" s="7" t="inlineStr">
        <is>
          <t>SIM (Saco Transparente ABNT)</t>
        </is>
      </c>
      <c r="M959" s="7" t="inlineStr">
        <is>
          <t>0,00% (Lei nº 10.925/2004)</t>
        </is>
      </c>
      <c r="N959" s="7" t="inlineStr">
        <is>
          <t>0,925% (LC nº 224/2025)</t>
        </is>
      </c>
      <c r="O959" s="7" t="inlineStr">
        <is>
          <t>0,365% (LC nº 224/2025)</t>
        </is>
      </c>
      <c r="P959" s="7" t="inlineStr">
        <is>
          <t>CST 06</t>
        </is>
      </c>
      <c r="Q959" s="7" t="inlineStr">
        <is>
          <t>CST 73</t>
        </is>
      </c>
      <c r="R959" s="7" t="inlineStr">
        <is>
          <t>Redução de 60% + Diferimento (Art. 138 e Anexo IX LC 214/2025)</t>
        </is>
      </c>
    </row>
    <row r="960" ht="22" customHeight="1">
      <c r="A960" s="12" t="inlineStr">
        <is>
          <t>SKU-0956</t>
        </is>
      </c>
      <c r="B960" s="11" t="n">
        <v>687</v>
      </c>
      <c r="C960" s="13" t="inlineStr">
        <is>
          <t>Nº 2024</t>
        </is>
      </c>
      <c r="D960" s="14" t="inlineStr">
        <is>
          <t>THIOPHANATE METHYL</t>
        </is>
      </c>
      <c r="E960" s="13" t="inlineStr">
        <is>
          <t>Embalagem Comercial do Produto</t>
        </is>
      </c>
      <c r="F960" s="13" t="inlineStr">
        <is>
          <t>1X20L (20 L)</t>
        </is>
      </c>
      <c r="G960" s="13" t="inlineStr">
        <is>
          <t>L</t>
        </is>
      </c>
      <c r="H960" s="15" t="n">
        <v>20</v>
      </c>
      <c r="I960" s="13" t="inlineStr">
        <is>
          <t>3808.92.99</t>
        </is>
      </c>
      <c r="J960" s="13" t="inlineStr">
        <is>
          <t>NÃO</t>
        </is>
      </c>
      <c r="K960" s="13" t="inlineStr">
        <is>
          <t>Embalagem Rígida — LAVÁVEL (Obrigatória Tríplice Lavagem ou Pressão)</t>
        </is>
      </c>
      <c r="L960" s="13" t="inlineStr">
        <is>
          <t>NÃO</t>
        </is>
      </c>
      <c r="M960" s="13" t="inlineStr">
        <is>
          <t>0,00% (Lei nº 10.925/2004)</t>
        </is>
      </c>
      <c r="N960" s="13" t="inlineStr">
        <is>
          <t>0,925% (LC nº 224/2025)</t>
        </is>
      </c>
      <c r="O960" s="13" t="inlineStr">
        <is>
          <t>0,365% (LC nº 224/2025)</t>
        </is>
      </c>
      <c r="P960" s="13" t="inlineStr">
        <is>
          <t>CST 06</t>
        </is>
      </c>
      <c r="Q960" s="13" t="inlineStr">
        <is>
          <t>CST 73</t>
        </is>
      </c>
      <c r="R960" s="13" t="inlineStr">
        <is>
          <t>Redução de 60% + Diferimento (Art. 138 e Anexo IX LC 214/2025)</t>
        </is>
      </c>
    </row>
    <row r="961" ht="22" customHeight="1">
      <c r="A961" s="6" t="inlineStr">
        <is>
          <t>SKU-0957</t>
        </is>
      </c>
      <c r="B961" s="5" t="n">
        <v>688</v>
      </c>
      <c r="C961" s="7" t="inlineStr">
        <is>
          <t>Nº 17921</t>
        </is>
      </c>
      <c r="D961" s="8" t="inlineStr">
        <is>
          <t>TIOFANATO</t>
        </is>
      </c>
      <c r="E961" s="7" t="inlineStr">
        <is>
          <t>Embalagem Comercial do Produto</t>
        </is>
      </c>
      <c r="F961" s="7" t="inlineStr">
        <is>
          <t>1X20L (20 L)</t>
        </is>
      </c>
      <c r="G961" s="7" t="inlineStr">
        <is>
          <t>L</t>
        </is>
      </c>
      <c r="H961" s="9" t="n">
        <v>20</v>
      </c>
      <c r="I961" s="7" t="inlineStr">
        <is>
          <t>3808.92.99</t>
        </is>
      </c>
      <c r="J961" s="7" t="inlineStr">
        <is>
          <t>NÃO</t>
        </is>
      </c>
      <c r="K961" s="7" t="inlineStr">
        <is>
          <t>Embalagem Rígida — LAVÁVEL (Obrigatória Tríplice Lavagem ou Pressão)</t>
        </is>
      </c>
      <c r="L961" s="7" t="inlineStr">
        <is>
          <t>NÃO</t>
        </is>
      </c>
      <c r="M961" s="7" t="inlineStr">
        <is>
          <t>0,00% (Lei nº 10.925/2004)</t>
        </is>
      </c>
      <c r="N961" s="7" t="inlineStr">
        <is>
          <t>0,925% (LC nº 224/2025)</t>
        </is>
      </c>
      <c r="O961" s="7" t="inlineStr">
        <is>
          <t>0,365% (LC nº 224/2025)</t>
        </is>
      </c>
      <c r="P961" s="7" t="inlineStr">
        <is>
          <t>CST 06</t>
        </is>
      </c>
      <c r="Q961" s="7" t="inlineStr">
        <is>
          <t>CST 73</t>
        </is>
      </c>
      <c r="R961" s="7" t="inlineStr">
        <is>
          <t>Redução de 60% + Diferimento (Art. 138 e Anexo IX LC 214/2025)</t>
        </is>
      </c>
    </row>
    <row r="962" ht="22" customHeight="1">
      <c r="A962" s="12" t="inlineStr">
        <is>
          <t>SKU-0958</t>
        </is>
      </c>
      <c r="B962" s="11" t="n">
        <v>689</v>
      </c>
      <c r="C962" s="13" t="inlineStr">
        <is>
          <t>Nº 6715</t>
        </is>
      </c>
      <c r="D962" s="14" t="inlineStr">
        <is>
          <t>2,4-D 806 SL CROTECT BBA</t>
        </is>
      </c>
      <c r="E962" s="13" t="inlineStr">
        <is>
          <t>Embalagem Comercial do Produto</t>
        </is>
      </c>
      <c r="F962" s="13" t="inlineStr">
        <is>
          <t>1X20L (20 L)</t>
        </is>
      </c>
      <c r="G962" s="13" t="inlineStr">
        <is>
          <t>L</t>
        </is>
      </c>
      <c r="H962" s="15" t="n">
        <v>20</v>
      </c>
      <c r="I962" s="13" t="inlineStr">
        <is>
          <t>3808.93.22</t>
        </is>
      </c>
      <c r="J962" s="13" t="inlineStr">
        <is>
          <t>NÃO</t>
        </is>
      </c>
      <c r="K962" s="13" t="inlineStr">
        <is>
          <t>Embalagem Rígida — LAVÁVEL (Obrigatória Tríplice Lavagem ou Pressão)</t>
        </is>
      </c>
      <c r="L962" s="13" t="inlineStr">
        <is>
          <t>NÃO</t>
        </is>
      </c>
      <c r="M962" s="13" t="inlineStr">
        <is>
          <t>0,00% (Lei nº 10.925/2004)</t>
        </is>
      </c>
      <c r="N962" s="13" t="inlineStr">
        <is>
          <t>0,925% (LC nº 224/2025)</t>
        </is>
      </c>
      <c r="O962" s="13" t="inlineStr">
        <is>
          <t>0,365% (LC nº 224/2025)</t>
        </is>
      </c>
      <c r="P962" s="13" t="inlineStr">
        <is>
          <t>CST 06</t>
        </is>
      </c>
      <c r="Q962" s="13" t="inlineStr">
        <is>
          <t>CST 73</t>
        </is>
      </c>
      <c r="R962" s="13" t="inlineStr">
        <is>
          <t>Redução de 60% + Diferimento (Art. 138 e Anexo IX LC 214/2025)</t>
        </is>
      </c>
    </row>
    <row r="963" ht="22" customHeight="1">
      <c r="A963" s="6" t="inlineStr">
        <is>
          <t>SKU-0959</t>
        </is>
      </c>
      <c r="B963" s="5" t="n">
        <v>690</v>
      </c>
      <c r="C963" s="7" t="inlineStr">
        <is>
          <t>Nº 16922</t>
        </is>
      </c>
      <c r="D963" s="8" t="inlineStr">
        <is>
          <t>GLUFOS-WYN 200 SL</t>
        </is>
      </c>
      <c r="E963" s="7" t="inlineStr">
        <is>
          <t>Embalagem Comercial do Produto</t>
        </is>
      </c>
      <c r="F963" s="7" t="inlineStr">
        <is>
          <t>1X20L (20 L)</t>
        </is>
      </c>
      <c r="G963" s="7" t="inlineStr">
        <is>
          <t>L</t>
        </is>
      </c>
      <c r="H963" s="9" t="n">
        <v>20</v>
      </c>
      <c r="I963" s="7" t="inlineStr">
        <is>
          <t>3808.93.29</t>
        </is>
      </c>
      <c r="J963" s="7" t="inlineStr">
        <is>
          <t>NÃO</t>
        </is>
      </c>
      <c r="K963" s="7" t="inlineStr">
        <is>
          <t>Embalagem Rígida — LAVÁVEL (Obrigatória Tríplice Lavagem ou Pressão)</t>
        </is>
      </c>
      <c r="L963" s="7" t="inlineStr">
        <is>
          <t>NÃO</t>
        </is>
      </c>
      <c r="M963" s="7" t="inlineStr">
        <is>
          <t>0,00% (Lei nº 10.925/2004)</t>
        </is>
      </c>
      <c r="N963" s="7" t="inlineStr">
        <is>
          <t>0,925% (LC nº 224/2025)</t>
        </is>
      </c>
      <c r="O963" s="7" t="inlineStr">
        <is>
          <t>0,365% (LC nº 224/2025)</t>
        </is>
      </c>
      <c r="P963" s="7" t="inlineStr">
        <is>
          <t>CST 06</t>
        </is>
      </c>
      <c r="Q963" s="7" t="inlineStr">
        <is>
          <t>CST 73</t>
        </is>
      </c>
      <c r="R963" s="7" t="inlineStr">
        <is>
          <t>Redução de 60% + Diferimento (Art. 138 e Anexo IX LC 214/2025)</t>
        </is>
      </c>
    </row>
    <row r="964" ht="22" customHeight="1">
      <c r="A964" s="12" t="inlineStr">
        <is>
          <t>SKU-0960</t>
        </is>
      </c>
      <c r="B964" s="11" t="n">
        <v>691</v>
      </c>
      <c r="C964" s="13" t="inlineStr">
        <is>
          <t>Nº 25423</t>
        </is>
      </c>
      <c r="D964" s="14" t="inlineStr">
        <is>
          <t>GLUFOSINATE 200 SL LIBEN</t>
        </is>
      </c>
      <c r="E964" s="13" t="inlineStr">
        <is>
          <t>Embalagem Comercial do Produto</t>
        </is>
      </c>
      <c r="F964" s="13" t="inlineStr">
        <is>
          <t>1X20L (20 L)</t>
        </is>
      </c>
      <c r="G964" s="13" t="inlineStr">
        <is>
          <t>L</t>
        </is>
      </c>
      <c r="H964" s="15" t="n">
        <v>20</v>
      </c>
      <c r="I964" s="13" t="inlineStr">
        <is>
          <t>3808.93.29</t>
        </is>
      </c>
      <c r="J964" s="13" t="inlineStr">
        <is>
          <t>NÃO</t>
        </is>
      </c>
      <c r="K964" s="13" t="inlineStr">
        <is>
          <t>Embalagem Rígida — LAVÁVEL (Obrigatória Tríplice Lavagem ou Pressão)</t>
        </is>
      </c>
      <c r="L964" s="13" t="inlineStr">
        <is>
          <t>NÃO</t>
        </is>
      </c>
      <c r="M964" s="13" t="inlineStr">
        <is>
          <t>0,00% (Lei nº 10.925/2004)</t>
        </is>
      </c>
      <c r="N964" s="13" t="inlineStr">
        <is>
          <t>0,925% (LC nº 224/2025)</t>
        </is>
      </c>
      <c r="O964" s="13" t="inlineStr">
        <is>
          <t>0,365% (LC nº 224/2025)</t>
        </is>
      </c>
      <c r="P964" s="13" t="inlineStr">
        <is>
          <t>CST 06</t>
        </is>
      </c>
      <c r="Q964" s="13" t="inlineStr">
        <is>
          <t>CST 73</t>
        </is>
      </c>
      <c r="R964" s="13" t="inlineStr">
        <is>
          <t>Redução de 60% + Diferimento (Art. 138 e Anexo IX LC 214/2025)</t>
        </is>
      </c>
    </row>
    <row r="965" ht="22" customHeight="1">
      <c r="A965" s="6" t="inlineStr">
        <is>
          <t>SKU-0961</t>
        </is>
      </c>
      <c r="B965" s="5" t="n">
        <v>692</v>
      </c>
      <c r="C965" s="7" t="inlineStr">
        <is>
          <t>Nº 34318</t>
        </is>
      </c>
      <c r="D965" s="8" t="inlineStr">
        <is>
          <t>MAGNUM</t>
        </is>
      </c>
      <c r="E965" s="7" t="inlineStr">
        <is>
          <t>Embalagem Comercial do Produto</t>
        </is>
      </c>
      <c r="F965" s="7" t="inlineStr">
        <is>
          <t>4X5KG (5 KG)</t>
        </is>
      </c>
      <c r="G965" s="7" t="inlineStr">
        <is>
          <t>KG</t>
        </is>
      </c>
      <c r="H965" s="9" t="n">
        <v>5</v>
      </c>
      <c r="I965" s="7" t="inlineStr">
        <is>
          <t>3808.91.91</t>
        </is>
      </c>
      <c r="J965" s="7" t="inlineStr">
        <is>
          <t>NÃO</t>
        </is>
      </c>
      <c r="K965" s="7" t="inlineStr">
        <is>
          <t>Embalagem Flexível — NÃO LAVÁVEL (Perfurar e usar saco ABNT)</t>
        </is>
      </c>
      <c r="L965" s="7" t="inlineStr">
        <is>
          <t>SIM (Saco Transparente ABNT)</t>
        </is>
      </c>
      <c r="M965" s="7" t="inlineStr">
        <is>
          <t>0,00% (Lei nº 10.925/2004)</t>
        </is>
      </c>
      <c r="N965" s="7" t="inlineStr">
        <is>
          <t>0,925% (LC nº 224/2025)</t>
        </is>
      </c>
      <c r="O965" s="7" t="inlineStr">
        <is>
          <t>0,365% (LC nº 224/2025)</t>
        </is>
      </c>
      <c r="P965" s="7" t="inlineStr">
        <is>
          <t>CST 06</t>
        </is>
      </c>
      <c r="Q965" s="7" t="inlineStr">
        <is>
          <t>CST 73</t>
        </is>
      </c>
      <c r="R965" s="7" t="inlineStr">
        <is>
          <t>Redução de 60% + Diferimento (Art. 138 e Anexo IX LC 214/2025)</t>
        </is>
      </c>
    </row>
    <row r="966" ht="22" customHeight="1">
      <c r="A966" s="12" t="inlineStr">
        <is>
          <t>SKU-0962</t>
        </is>
      </c>
      <c r="B966" s="11" t="n">
        <v>693</v>
      </c>
      <c r="C966" s="13" t="inlineStr">
        <is>
          <t>Nº 9420</t>
        </is>
      </c>
      <c r="D966" s="14" t="inlineStr">
        <is>
          <t>ENSIS-TURBO 0,200L (IMP) AMOSTRA</t>
        </is>
      </c>
      <c r="E966" s="13" t="inlineStr">
        <is>
          <t>Embalagem Comercial do Produto</t>
        </is>
      </c>
      <c r="F966" s="13" t="inlineStr">
        <is>
          <t>0,200L (0.2 L)</t>
        </is>
      </c>
      <c r="G966" s="13" t="inlineStr">
        <is>
          <t>L</t>
        </is>
      </c>
      <c r="H966" s="18" t="n">
        <v>0.2</v>
      </c>
      <c r="I966" s="13" t="inlineStr">
        <is>
          <t>3808.92.99</t>
        </is>
      </c>
      <c r="J966" s="13" t="inlineStr">
        <is>
          <t>NÃO</t>
        </is>
      </c>
      <c r="K966" s="13" t="inlineStr">
        <is>
          <t>Embalagem Rígida — LAVÁVEL (Obrigatória Tríplice Lavagem ou Pressão)</t>
        </is>
      </c>
      <c r="L966" s="13" t="inlineStr">
        <is>
          <t>NÃO</t>
        </is>
      </c>
      <c r="M966" s="13" t="inlineStr">
        <is>
          <t>0,00% (Lei nº 10.925/2004)</t>
        </is>
      </c>
      <c r="N966" s="13" t="inlineStr">
        <is>
          <t>0,925% (LC nº 224/2025)</t>
        </is>
      </c>
      <c r="O966" s="13" t="inlineStr">
        <is>
          <t>0,365% (LC nº 224/2025)</t>
        </is>
      </c>
      <c r="P966" s="13" t="inlineStr">
        <is>
          <t>CST 06</t>
        </is>
      </c>
      <c r="Q966" s="13" t="inlineStr">
        <is>
          <t>CST 73</t>
        </is>
      </c>
      <c r="R966" s="13" t="inlineStr">
        <is>
          <t>Redução de 60% + Diferimento (Art. 138 e Anexo IX LC 214/2025)</t>
        </is>
      </c>
    </row>
    <row r="967" ht="22" customHeight="1">
      <c r="A967" s="6" t="inlineStr">
        <is>
          <t>SKU-0963</t>
        </is>
      </c>
      <c r="B967" s="5" t="n">
        <v>694</v>
      </c>
      <c r="C967" s="7" t="inlineStr">
        <is>
          <t>SIPEAGRO (UF-XXXXX)</t>
        </is>
      </c>
      <c r="D967" s="8" t="inlineStr">
        <is>
          <t>FOSFATO MONOAMONICO 11-52-00 (44% H2O) (VALIDAR)</t>
        </is>
      </c>
      <c r="E967" s="7" t="inlineStr">
        <is>
          <t>Embalagem Comercial do Produto</t>
        </is>
      </c>
      <c r="F967" s="7" t="inlineStr">
        <is>
          <t>GRANEL / BIG BAG (1000 TL)</t>
        </is>
      </c>
      <c r="G967" s="7" t="inlineStr">
        <is>
          <t>TL</t>
        </is>
      </c>
      <c r="H967" s="9" t="n">
        <v>1</v>
      </c>
      <c r="I967" s="7" t="inlineStr">
        <is>
          <t>3105.40.00</t>
        </is>
      </c>
      <c r="J967" s="7" t="inlineStr">
        <is>
          <t>NÃO</t>
        </is>
      </c>
      <c r="K967" s="7" t="inlineStr">
        <is>
          <t>Embalagem Flexível — NÃO LAVÁVEL (Perfurar e usar saco ABNT)</t>
        </is>
      </c>
      <c r="L967" s="7" t="inlineStr">
        <is>
          <t>SIM (Saco Transparente ABNT)</t>
        </is>
      </c>
      <c r="M967" s="7" t="inlineStr">
        <is>
          <t>0,00% (Lei nº 10.925/2004)</t>
        </is>
      </c>
      <c r="N967" s="7" t="inlineStr">
        <is>
          <t>0,925% (LC nº 224/2025)</t>
        </is>
      </c>
      <c r="O967" s="7" t="inlineStr">
        <is>
          <t>0,365% (LC nº 224/2025)</t>
        </is>
      </c>
      <c r="P967" s="7" t="inlineStr">
        <is>
          <t>CST 06</t>
        </is>
      </c>
      <c r="Q967" s="7" t="inlineStr">
        <is>
          <t>CST 73</t>
        </is>
      </c>
      <c r="R967" s="7" t="inlineStr">
        <is>
          <t>Redução de 60% + Diferimento (Art. 138 e Anexo IX LC 214/2025)</t>
        </is>
      </c>
    </row>
    <row r="968" ht="22" customHeight="1">
      <c r="A968" s="12" t="inlineStr">
        <is>
          <t>SKU-0964</t>
        </is>
      </c>
      <c r="B968" s="11" t="n">
        <v>694</v>
      </c>
      <c r="C968" s="13" t="inlineStr">
        <is>
          <t>SIPEAGRO (UF-XXXXX)</t>
        </is>
      </c>
      <c r="D968" s="14" t="inlineStr">
        <is>
          <t>FOSFATO MONOAMONICO 11-52-00 (44% H2O) (VALIDAR)</t>
        </is>
      </c>
      <c r="E968" s="13" t="inlineStr">
        <is>
          <t>Faixa 1 TIPI (Apresentação &lt;= 300 g ou mL)</t>
        </is>
      </c>
      <c r="F968" s="13" t="inlineStr">
        <is>
          <t>Fracionado / Amostra &lt;= 0,3 TL</t>
        </is>
      </c>
      <c r="G968" s="13" t="inlineStr">
        <is>
          <t>TL</t>
        </is>
      </c>
      <c r="H968" s="18" t="n">
        <v>0.3</v>
      </c>
      <c r="I968" s="13" t="inlineStr">
        <is>
          <t>3105.40.00</t>
        </is>
      </c>
      <c r="J968" s="13" t="inlineStr">
        <is>
          <t>NÃO</t>
        </is>
      </c>
      <c r="K968" s="13" t="inlineStr">
        <is>
          <t>Embalagem Flexível — NÃO LAVÁVEL (Perfurar e usar saco ABNT)</t>
        </is>
      </c>
      <c r="L968" s="13" t="inlineStr">
        <is>
          <t>SIM (Saco Transparente ABNT)</t>
        </is>
      </c>
      <c r="M968" s="13" t="inlineStr">
        <is>
          <t>0,00% (Lei nº 10.925/2004)</t>
        </is>
      </c>
      <c r="N968" s="13" t="inlineStr">
        <is>
          <t>0,925% (LC nº 224/2025)</t>
        </is>
      </c>
      <c r="O968" s="13" t="inlineStr">
        <is>
          <t>0,365% (LC nº 224/2025)</t>
        </is>
      </c>
      <c r="P968" s="13" t="inlineStr">
        <is>
          <t>CST 06</t>
        </is>
      </c>
      <c r="Q968" s="13" t="inlineStr">
        <is>
          <t>CST 73</t>
        </is>
      </c>
      <c r="R968" s="13" t="inlineStr">
        <is>
          <t>Redução de 60% + Diferimento (Art. 138 e Anexo IX LC 214/2025)</t>
        </is>
      </c>
    </row>
    <row r="969" ht="22" customHeight="1">
      <c r="A969" s="6" t="inlineStr">
        <is>
          <t>SKU-0965</t>
        </is>
      </c>
      <c r="B969" s="5" t="n">
        <v>695</v>
      </c>
      <c r="C969" s="7" t="inlineStr">
        <is>
          <t>Nº 14421</t>
        </is>
      </c>
      <c r="D969" s="8" t="inlineStr">
        <is>
          <t>FIPRONIL 250 FS ( PRINCIPIO ATIVO)</t>
        </is>
      </c>
      <c r="E969" s="7" t="inlineStr">
        <is>
          <t>Embalagem Comercial do Produto</t>
        </is>
      </c>
      <c r="F969" s="7" t="inlineStr">
        <is>
          <t>GRANEL / P.A. (0 L)</t>
        </is>
      </c>
      <c r="G969" s="7" t="inlineStr">
        <is>
          <t>L</t>
        </is>
      </c>
      <c r="H969" s="9" t="n">
        <v>0</v>
      </c>
      <c r="I969" s="7" t="inlineStr">
        <is>
          <t>3808.91.99</t>
        </is>
      </c>
      <c r="J969" s="7" t="inlineStr">
        <is>
          <t>NÃO</t>
        </is>
      </c>
      <c r="K969" s="7" t="inlineStr">
        <is>
          <t>Uso Industrial Exclusivo (PGRS / NBR 10004)</t>
        </is>
      </c>
      <c r="L969" s="7" t="inlineStr">
        <is>
          <t>NÃO</t>
        </is>
      </c>
      <c r="M969" s="7" t="inlineStr">
        <is>
          <t>0,00% (Lei nº 10.925/2004)</t>
        </is>
      </c>
      <c r="N969" s="7" t="inlineStr">
        <is>
          <t>0,925% (LC nº 224/2025)</t>
        </is>
      </c>
      <c r="O969" s="7" t="inlineStr">
        <is>
          <t>0,365% (LC nº 224/2025)</t>
        </is>
      </c>
      <c r="P969" s="7" t="inlineStr">
        <is>
          <t>CST 06 (Uso Agrícola/Industrial)</t>
        </is>
      </c>
      <c r="Q969" s="7" t="inlineStr">
        <is>
          <t>CST 73 (Revenda / Destinação)</t>
        </is>
      </c>
      <c r="R969" s="7" t="inlineStr">
        <is>
          <t>Redução de 60% + Diferimento (Art. 138 LC 214/2025)</t>
        </is>
      </c>
    </row>
    <row r="970" ht="22" customHeight="1">
      <c r="A970" s="12" t="inlineStr">
        <is>
          <t>SKU-0966</t>
        </is>
      </c>
      <c r="B970" s="11" t="n">
        <v>695</v>
      </c>
      <c r="C970" s="13" t="inlineStr">
        <is>
          <t>Nº 14421</t>
        </is>
      </c>
      <c r="D970" s="14" t="inlineStr">
        <is>
          <t>FIPRONIL 250 FS ( PRINCIPIO ATIVO)</t>
        </is>
      </c>
      <c r="E970" s="13" t="inlineStr">
        <is>
          <t>Faixa 1 TIPI (Apresentação &lt;= 300 g ou mL)</t>
        </is>
      </c>
      <c r="F970" s="13" t="inlineStr">
        <is>
          <t>Fracionado / Amostra &lt;= 0,3 L</t>
        </is>
      </c>
      <c r="G970" s="13" t="inlineStr">
        <is>
          <t>L</t>
        </is>
      </c>
      <c r="H970" s="18" t="n">
        <v>0.3</v>
      </c>
      <c r="I970" s="13" t="inlineStr">
        <is>
          <t>3808.91.20</t>
        </is>
      </c>
      <c r="J970" s="13" t="inlineStr">
        <is>
          <t>NÃO</t>
        </is>
      </c>
      <c r="K970" s="13" t="inlineStr">
        <is>
          <t>Uso Industrial Exclusivo (PGRS / NBR 10004)</t>
        </is>
      </c>
      <c r="L970" s="13" t="inlineStr">
        <is>
          <t>NÃO</t>
        </is>
      </c>
      <c r="M970" s="13" t="inlineStr">
        <is>
          <t>0,00% (Lei nº 10.925/2004)</t>
        </is>
      </c>
      <c r="N970" s="13" t="inlineStr">
        <is>
          <t>0,925% (LC nº 224/2025)</t>
        </is>
      </c>
      <c r="O970" s="13" t="inlineStr">
        <is>
          <t>0,365% (LC nº 224/2025)</t>
        </is>
      </c>
      <c r="P970" s="13" t="inlineStr">
        <is>
          <t>CST 06 (Uso Agrícola/Industrial)</t>
        </is>
      </c>
      <c r="Q970" s="13" t="inlineStr">
        <is>
          <t>CST 73 (Revenda / Destinação)</t>
        </is>
      </c>
      <c r="R970" s="13" t="inlineStr">
        <is>
          <t>Redução de 60% + Diferimento (Art. 138 LC 214/2025)</t>
        </is>
      </c>
    </row>
    <row r="971" ht="22" customHeight="1">
      <c r="A971" s="6" t="inlineStr">
        <is>
          <t>SKU-0967</t>
        </is>
      </c>
      <c r="B971" s="5" t="n">
        <v>696</v>
      </c>
      <c r="C971" s="7" t="inlineStr">
        <is>
          <t>Nº 14623</t>
        </is>
      </c>
      <c r="D971" s="8" t="inlineStr">
        <is>
          <t>METSULFUROM - METILICO (PRINCIPIO ATIVO)</t>
        </is>
      </c>
      <c r="E971" s="7" t="inlineStr">
        <is>
          <t>Embalagem Comercial do Produto</t>
        </is>
      </c>
      <c r="F971" s="7" t="inlineStr">
        <is>
          <t>GRANEL / P.A. (0 KG)</t>
        </is>
      </c>
      <c r="G971" s="7" t="inlineStr">
        <is>
          <t>KG</t>
        </is>
      </c>
      <c r="H971" s="9" t="n">
        <v>0</v>
      </c>
      <c r="I971" s="7" t="inlineStr">
        <is>
          <t>3808.93.29</t>
        </is>
      </c>
      <c r="J971" s="7" t="inlineStr">
        <is>
          <t>NÃO</t>
        </is>
      </c>
      <c r="K971" s="7" t="inlineStr">
        <is>
          <t>Uso Industrial Exclusivo (PGRS / NBR 10004)</t>
        </is>
      </c>
      <c r="L971" s="7" t="inlineStr">
        <is>
          <t>NÃO</t>
        </is>
      </c>
      <c r="M971" s="7" t="inlineStr">
        <is>
          <t>0,00% (Lei nº 10.925/2004)</t>
        </is>
      </c>
      <c r="N971" s="7" t="inlineStr">
        <is>
          <t>0,925% (LC nº 224/2025)</t>
        </is>
      </c>
      <c r="O971" s="7" t="inlineStr">
        <is>
          <t>0,365% (LC nº 224/2025)</t>
        </is>
      </c>
      <c r="P971" s="7" t="inlineStr">
        <is>
          <t>CST 06 (Uso Agrícola/Industrial)</t>
        </is>
      </c>
      <c r="Q971" s="7" t="inlineStr">
        <is>
          <t>CST 73 (Revenda / Destinação)</t>
        </is>
      </c>
      <c r="R971" s="7" t="inlineStr">
        <is>
          <t>Redução de 60% + Diferimento (Art. 138 LC 214/2025)</t>
        </is>
      </c>
    </row>
    <row r="972" ht="22" customHeight="1">
      <c r="A972" s="12" t="inlineStr">
        <is>
          <t>SKU-0968</t>
        </is>
      </c>
      <c r="B972" s="11" t="n">
        <v>696</v>
      </c>
      <c r="C972" s="13" t="inlineStr">
        <is>
          <t>Nº 14623</t>
        </is>
      </c>
      <c r="D972" s="14" t="inlineStr">
        <is>
          <t>METSULFUROM - METILICO (PRINCIPIO ATIVO)</t>
        </is>
      </c>
      <c r="E972" s="13" t="inlineStr">
        <is>
          <t>Faixa 1 TIPI (Apresentação &lt;= 300 g ou mL)</t>
        </is>
      </c>
      <c r="F972" s="13" t="inlineStr">
        <is>
          <t>Fracionado / Amostra &lt;= 0,3 KG</t>
        </is>
      </c>
      <c r="G972" s="13" t="inlineStr">
        <is>
          <t>KG</t>
        </is>
      </c>
      <c r="H972" s="18" t="n">
        <v>0.3</v>
      </c>
      <c r="I972" s="13" t="inlineStr">
        <is>
          <t>3808.93.19</t>
        </is>
      </c>
      <c r="J972" s="13" t="inlineStr">
        <is>
          <t>NÃO</t>
        </is>
      </c>
      <c r="K972" s="13" t="inlineStr">
        <is>
          <t>Uso Industrial Exclusivo (PGRS / NBR 10004)</t>
        </is>
      </c>
      <c r="L972" s="13" t="inlineStr">
        <is>
          <t>NÃO</t>
        </is>
      </c>
      <c r="M972" s="13" t="inlineStr">
        <is>
          <t>0,00% (Lei nº 10.925/2004)</t>
        </is>
      </c>
      <c r="N972" s="13" t="inlineStr">
        <is>
          <t>0,925% (LC nº 224/2025)</t>
        </is>
      </c>
      <c r="O972" s="13" t="inlineStr">
        <is>
          <t>0,365% (LC nº 224/2025)</t>
        </is>
      </c>
      <c r="P972" s="13" t="inlineStr">
        <is>
          <t>CST 06 (Uso Agrícola/Industrial)</t>
        </is>
      </c>
      <c r="Q972" s="13" t="inlineStr">
        <is>
          <t>CST 73 (Revenda / Destinação)</t>
        </is>
      </c>
      <c r="R972" s="13" t="inlineStr">
        <is>
          <t>Redução de 60% + Diferimento (Art. 138 LC 214/2025)</t>
        </is>
      </c>
    </row>
    <row r="973" ht="22" customHeight="1">
      <c r="A973" s="6" t="inlineStr">
        <is>
          <t>SKU-0969</t>
        </is>
      </c>
      <c r="B973" s="5" t="n">
        <v>697</v>
      </c>
      <c r="C973" s="7" t="inlineStr">
        <is>
          <t>Nº 34725</t>
        </is>
      </c>
      <c r="D973" s="8" t="inlineStr">
        <is>
          <t>PROTIOCONAZOLE175+TRIFLOXYSTROBIN150 (PRINC ATIVO)</t>
        </is>
      </c>
      <c r="E973" s="7" t="inlineStr">
        <is>
          <t>Embalagem Comercial do Produto</t>
        </is>
      </c>
      <c r="F973" s="7" t="inlineStr">
        <is>
          <t>EMBALAGEM PADRÃO (20 L)</t>
        </is>
      </c>
      <c r="G973" s="7" t="inlineStr">
        <is>
          <t>L</t>
        </is>
      </c>
      <c r="H973" s="9" t="n">
        <v>20</v>
      </c>
      <c r="I973" s="7" t="inlineStr">
        <is>
          <t>3808.92.99</t>
        </is>
      </c>
      <c r="J973" s="7" t="inlineStr">
        <is>
          <t>NÃO</t>
        </is>
      </c>
      <c r="K973" s="7" t="inlineStr">
        <is>
          <t>Uso Industrial Exclusivo (PGRS / NBR 10004)</t>
        </is>
      </c>
      <c r="L973" s="7" t="inlineStr">
        <is>
          <t>NÃO</t>
        </is>
      </c>
      <c r="M973" s="7" t="inlineStr">
        <is>
          <t>0,00% (Lei nº 10.925/2004)</t>
        </is>
      </c>
      <c r="N973" s="7" t="inlineStr">
        <is>
          <t>0,925% (LC nº 224/2025)</t>
        </is>
      </c>
      <c r="O973" s="7" t="inlineStr">
        <is>
          <t>0,365% (LC nº 224/2025)</t>
        </is>
      </c>
      <c r="P973" s="7" t="inlineStr">
        <is>
          <t>CST 06 (Uso Agrícola/Industrial)</t>
        </is>
      </c>
      <c r="Q973" s="7" t="inlineStr">
        <is>
          <t>CST 73 (Revenda / Destinação)</t>
        </is>
      </c>
      <c r="R973" s="7" t="inlineStr">
        <is>
          <t>Redução de 60% + Diferimento (Art. 138 LC 214/2025)</t>
        </is>
      </c>
    </row>
    <row r="974" ht="22" customHeight="1">
      <c r="A974" s="12" t="inlineStr">
        <is>
          <t>SKU-0970</t>
        </is>
      </c>
      <c r="B974" s="11" t="n">
        <v>697</v>
      </c>
      <c r="C974" s="13" t="inlineStr">
        <is>
          <t>Nº 34725</t>
        </is>
      </c>
      <c r="D974" s="14" t="inlineStr">
        <is>
          <t>PROTIOCONAZOLE175+TRIFLOXYSTROBIN150 (PRINC ATIVO)</t>
        </is>
      </c>
      <c r="E974" s="13" t="inlineStr">
        <is>
          <t>Faixa 1 TIPI (Apresentação &lt;= 300 g ou mL)</t>
        </is>
      </c>
      <c r="F974" s="13" t="inlineStr">
        <is>
          <t>Fracionado / Amostra &lt;= 0,3 L</t>
        </is>
      </c>
      <c r="G974" s="13" t="inlineStr">
        <is>
          <t>L</t>
        </is>
      </c>
      <c r="H974" s="18" t="n">
        <v>0.3</v>
      </c>
      <c r="I974" s="13" t="inlineStr">
        <is>
          <t>3808.92.20</t>
        </is>
      </c>
      <c r="J974" s="13" t="inlineStr">
        <is>
          <t>NÃO</t>
        </is>
      </c>
      <c r="K974" s="13" t="inlineStr">
        <is>
          <t>Uso Industrial Exclusivo (PGRS / NBR 10004)</t>
        </is>
      </c>
      <c r="L974" s="13" t="inlineStr">
        <is>
          <t>NÃO</t>
        </is>
      </c>
      <c r="M974" s="13" t="inlineStr">
        <is>
          <t>0,00% (Lei nº 10.925/2004)</t>
        </is>
      </c>
      <c r="N974" s="13" t="inlineStr">
        <is>
          <t>0,925% (LC nº 224/2025)</t>
        </is>
      </c>
      <c r="O974" s="13" t="inlineStr">
        <is>
          <t>0,365% (LC nº 224/2025)</t>
        </is>
      </c>
      <c r="P974" s="13" t="inlineStr">
        <is>
          <t>CST 06 (Uso Agrícola/Industrial)</t>
        </is>
      </c>
      <c r="Q974" s="13" t="inlineStr">
        <is>
          <t>CST 73 (Revenda / Destinação)</t>
        </is>
      </c>
      <c r="R974" s="13" t="inlineStr">
        <is>
          <t>Redução de 60% + Diferimento (Art. 138 LC 214/2025)</t>
        </is>
      </c>
    </row>
    <row r="975" ht="22" customHeight="1">
      <c r="A975" s="6" t="inlineStr">
        <is>
          <t>SKU-0971</t>
        </is>
      </c>
      <c r="B975" s="5" t="n">
        <v>698</v>
      </c>
      <c r="C975" s="7" t="inlineStr">
        <is>
          <t>Nº 1838604</t>
        </is>
      </c>
      <c r="D975" s="8" t="inlineStr">
        <is>
          <t>OXIFLUORFEM 240 (PRINCIPIO ATIVO)</t>
        </is>
      </c>
      <c r="E975" s="7" t="inlineStr">
        <is>
          <t>Embalagem Comercial do Produto</t>
        </is>
      </c>
      <c r="F975" s="7" t="inlineStr">
        <is>
          <t>GRANEL / P.A. (0 L)</t>
        </is>
      </c>
      <c r="G975" s="7" t="inlineStr">
        <is>
          <t>L</t>
        </is>
      </c>
      <c r="H975" s="9" t="n">
        <v>0</v>
      </c>
      <c r="I975" s="7" t="inlineStr">
        <is>
          <t>3808.93.29</t>
        </is>
      </c>
      <c r="J975" s="7" t="inlineStr">
        <is>
          <t>NÃO</t>
        </is>
      </c>
      <c r="K975" s="7" t="inlineStr">
        <is>
          <t>Uso Industrial Exclusivo (PGRS / NBR 10004)</t>
        </is>
      </c>
      <c r="L975" s="7" t="inlineStr">
        <is>
          <t>NÃO</t>
        </is>
      </c>
      <c r="M975" s="7" t="inlineStr">
        <is>
          <t>0,00% (Lei nº 10.925/2004)</t>
        </is>
      </c>
      <c r="N975" s="7" t="inlineStr">
        <is>
          <t>0,925% (LC nº 224/2025)</t>
        </is>
      </c>
      <c r="O975" s="7" t="inlineStr">
        <is>
          <t>0,365% (LC nº 224/2025)</t>
        </is>
      </c>
      <c r="P975" s="7" t="inlineStr">
        <is>
          <t>CST 06 (Uso Agrícola/Industrial)</t>
        </is>
      </c>
      <c r="Q975" s="7" t="inlineStr">
        <is>
          <t>CST 73 (Revenda / Destinação)</t>
        </is>
      </c>
      <c r="R975" s="7" t="inlineStr">
        <is>
          <t>Redução de 60% + Diferimento (Art. 138 LC 214/2025)</t>
        </is>
      </c>
    </row>
    <row r="976" ht="22" customHeight="1">
      <c r="A976" s="12" t="inlineStr">
        <is>
          <t>SKU-0972</t>
        </is>
      </c>
      <c r="B976" s="11" t="n">
        <v>698</v>
      </c>
      <c r="C976" s="13" t="inlineStr">
        <is>
          <t>Nº 1838604</t>
        </is>
      </c>
      <c r="D976" s="14" t="inlineStr">
        <is>
          <t>OXIFLUORFEM 240 (PRINCIPIO ATIVO)</t>
        </is>
      </c>
      <c r="E976" s="13" t="inlineStr">
        <is>
          <t>Faixa 1 TIPI (Apresentação &lt;= 300 g ou mL)</t>
        </is>
      </c>
      <c r="F976" s="13" t="inlineStr">
        <is>
          <t>Fracionado / Amostra &lt;= 0,3 L</t>
        </is>
      </c>
      <c r="G976" s="13" t="inlineStr">
        <is>
          <t>L</t>
        </is>
      </c>
      <c r="H976" s="18" t="n">
        <v>0.3</v>
      </c>
      <c r="I976" s="13" t="inlineStr">
        <is>
          <t>3808.93.19</t>
        </is>
      </c>
      <c r="J976" s="13" t="inlineStr">
        <is>
          <t>NÃO</t>
        </is>
      </c>
      <c r="K976" s="13" t="inlineStr">
        <is>
          <t>Uso Industrial Exclusivo (PGRS / NBR 10004)</t>
        </is>
      </c>
      <c r="L976" s="13" t="inlineStr">
        <is>
          <t>NÃO</t>
        </is>
      </c>
      <c r="M976" s="13" t="inlineStr">
        <is>
          <t>0,00% (Lei nº 10.925/2004)</t>
        </is>
      </c>
      <c r="N976" s="13" t="inlineStr">
        <is>
          <t>0,925% (LC nº 224/2025)</t>
        </is>
      </c>
      <c r="O976" s="13" t="inlineStr">
        <is>
          <t>0,365% (LC nº 224/2025)</t>
        </is>
      </c>
      <c r="P976" s="13" t="inlineStr">
        <is>
          <t>CST 06 (Uso Agrícola/Industrial)</t>
        </is>
      </c>
      <c r="Q976" s="13" t="inlineStr">
        <is>
          <t>CST 73 (Revenda / Destinação)</t>
        </is>
      </c>
      <c r="R976" s="13" t="inlineStr">
        <is>
          <t>Redução de 60% + Diferimento (Art. 138 LC 214/2025)</t>
        </is>
      </c>
    </row>
    <row r="977" ht="22" customHeight="1">
      <c r="A977" s="6" t="inlineStr">
        <is>
          <t>SKU-0973</t>
        </is>
      </c>
      <c r="B977" s="5" t="n">
        <v>699</v>
      </c>
      <c r="C977" s="7" t="inlineStr">
        <is>
          <t>Nº 40024</t>
        </is>
      </c>
      <c r="D977" s="8" t="inlineStr">
        <is>
          <t>CYPROCONAZOLE80+PICOXYSTROBIN200 (PRINCIPIO ATIVO)</t>
        </is>
      </c>
      <c r="E977" s="7" t="inlineStr">
        <is>
          <t>Embalagem Comercial do Produto</t>
        </is>
      </c>
      <c r="F977" s="7" t="inlineStr">
        <is>
          <t>GRANEL / P.A. (0 L)</t>
        </is>
      </c>
      <c r="G977" s="7" t="inlineStr">
        <is>
          <t>L</t>
        </is>
      </c>
      <c r="H977" s="9" t="n">
        <v>0</v>
      </c>
      <c r="I977" s="7" t="inlineStr">
        <is>
          <t>3808.92.99</t>
        </is>
      </c>
      <c r="J977" s="7" t="inlineStr">
        <is>
          <t>NÃO</t>
        </is>
      </c>
      <c r="K977" s="7" t="inlineStr">
        <is>
          <t>Uso Industrial Exclusivo (PGRS / NBR 10004)</t>
        </is>
      </c>
      <c r="L977" s="7" t="inlineStr">
        <is>
          <t>NÃO</t>
        </is>
      </c>
      <c r="M977" s="7" t="inlineStr">
        <is>
          <t>0,00% (Lei nº 10.925/2004)</t>
        </is>
      </c>
      <c r="N977" s="7" t="inlineStr">
        <is>
          <t>0,925% (LC nº 224/2025)</t>
        </is>
      </c>
      <c r="O977" s="7" t="inlineStr">
        <is>
          <t>0,365% (LC nº 224/2025)</t>
        </is>
      </c>
      <c r="P977" s="7" t="inlineStr">
        <is>
          <t>CST 06 (Uso Agrícola/Industrial)</t>
        </is>
      </c>
      <c r="Q977" s="7" t="inlineStr">
        <is>
          <t>CST 73 (Revenda / Destinação)</t>
        </is>
      </c>
      <c r="R977" s="7" t="inlineStr">
        <is>
          <t>Redução de 60% + Diferimento (Art. 138 LC 214/2025)</t>
        </is>
      </c>
    </row>
    <row r="978" ht="22" customHeight="1">
      <c r="A978" s="12" t="inlineStr">
        <is>
          <t>SKU-0974</t>
        </is>
      </c>
      <c r="B978" s="11" t="n">
        <v>699</v>
      </c>
      <c r="C978" s="13" t="inlineStr">
        <is>
          <t>Nº 40024</t>
        </is>
      </c>
      <c r="D978" s="14" t="inlineStr">
        <is>
          <t>CYPROCONAZOLE80+PICOXYSTROBIN200 (PRINCIPIO ATIVO)</t>
        </is>
      </c>
      <c r="E978" s="13" t="inlineStr">
        <is>
          <t>Faixa 1 TIPI (Apresentação &lt;= 300 g ou mL)</t>
        </is>
      </c>
      <c r="F978" s="13" t="inlineStr">
        <is>
          <t>Fracionado / Amostra &lt;= 0,3 L</t>
        </is>
      </c>
      <c r="G978" s="13" t="inlineStr">
        <is>
          <t>L</t>
        </is>
      </c>
      <c r="H978" s="18" t="n">
        <v>0.3</v>
      </c>
      <c r="I978" s="13" t="inlineStr">
        <is>
          <t>3808.92.20</t>
        </is>
      </c>
      <c r="J978" s="13" t="inlineStr">
        <is>
          <t>NÃO</t>
        </is>
      </c>
      <c r="K978" s="13" t="inlineStr">
        <is>
          <t>Uso Industrial Exclusivo (PGRS / NBR 10004)</t>
        </is>
      </c>
      <c r="L978" s="13" t="inlineStr">
        <is>
          <t>NÃO</t>
        </is>
      </c>
      <c r="M978" s="13" t="inlineStr">
        <is>
          <t>0,00% (Lei nº 10.925/2004)</t>
        </is>
      </c>
      <c r="N978" s="13" t="inlineStr">
        <is>
          <t>0,925% (LC nº 224/2025)</t>
        </is>
      </c>
      <c r="O978" s="13" t="inlineStr">
        <is>
          <t>0,365% (LC nº 224/2025)</t>
        </is>
      </c>
      <c r="P978" s="13" t="inlineStr">
        <is>
          <t>CST 06 (Uso Agrícola/Industrial)</t>
        </is>
      </c>
      <c r="Q978" s="13" t="inlineStr">
        <is>
          <t>CST 73 (Revenda / Destinação)</t>
        </is>
      </c>
      <c r="R978" s="13" t="inlineStr">
        <is>
          <t>Redução de 60% + Diferimento (Art. 138 LC 214/2025)</t>
        </is>
      </c>
    </row>
    <row r="979" ht="22" customHeight="1">
      <c r="A979" s="6" t="inlineStr">
        <is>
          <t>SKU-0975</t>
        </is>
      </c>
      <c r="B979" s="5" t="n">
        <v>700</v>
      </c>
      <c r="C979" s="7" t="inlineStr">
        <is>
          <t>Nº 14623</t>
        </is>
      </c>
      <c r="D979" s="8" t="inlineStr">
        <is>
          <t>METSULFUROM 600 (PRINCIPIO ATIVO)</t>
        </is>
      </c>
      <c r="E979" s="7" t="inlineStr">
        <is>
          <t>Embalagem Comercial do Produto</t>
        </is>
      </c>
      <c r="F979" s="7" t="inlineStr">
        <is>
          <t>GRANEL / P.A. (0 KG)</t>
        </is>
      </c>
      <c r="G979" s="7" t="inlineStr">
        <is>
          <t>KG</t>
        </is>
      </c>
      <c r="H979" s="9" t="n">
        <v>0</v>
      </c>
      <c r="I979" s="7" t="inlineStr">
        <is>
          <t>3808.93.29</t>
        </is>
      </c>
      <c r="J979" s="7" t="inlineStr">
        <is>
          <t>NÃO</t>
        </is>
      </c>
      <c r="K979" s="7" t="inlineStr">
        <is>
          <t>Uso Industrial Exclusivo (PGRS / NBR 10004)</t>
        </is>
      </c>
      <c r="L979" s="7" t="inlineStr">
        <is>
          <t>NÃO</t>
        </is>
      </c>
      <c r="M979" s="7" t="inlineStr">
        <is>
          <t>0,00% (Lei nº 10.925/2004)</t>
        </is>
      </c>
      <c r="N979" s="7" t="inlineStr">
        <is>
          <t>0,925% (LC nº 224/2025)</t>
        </is>
      </c>
      <c r="O979" s="7" t="inlineStr">
        <is>
          <t>0,365% (LC nº 224/2025)</t>
        </is>
      </c>
      <c r="P979" s="7" t="inlineStr">
        <is>
          <t>CST 06 (Uso Agrícola/Industrial)</t>
        </is>
      </c>
      <c r="Q979" s="7" t="inlineStr">
        <is>
          <t>CST 73 (Revenda / Destinação)</t>
        </is>
      </c>
      <c r="R979" s="7" t="inlineStr">
        <is>
          <t>Redução de 60% + Diferimento (Art. 138 LC 214/2025)</t>
        </is>
      </c>
    </row>
    <row r="980" ht="22" customHeight="1">
      <c r="A980" s="12" t="inlineStr">
        <is>
          <t>SKU-0976</t>
        </is>
      </c>
      <c r="B980" s="11" t="n">
        <v>700</v>
      </c>
      <c r="C980" s="13" t="inlineStr">
        <is>
          <t>Nº 14623</t>
        </is>
      </c>
      <c r="D980" s="14" t="inlineStr">
        <is>
          <t>METSULFUROM 600 (PRINCIPIO ATIVO)</t>
        </is>
      </c>
      <c r="E980" s="13" t="inlineStr">
        <is>
          <t>Faixa 1 TIPI (Apresentação &lt;= 300 g ou mL)</t>
        </is>
      </c>
      <c r="F980" s="13" t="inlineStr">
        <is>
          <t>Fracionado / Amostra &lt;= 0,3 KG</t>
        </is>
      </c>
      <c r="G980" s="13" t="inlineStr">
        <is>
          <t>KG</t>
        </is>
      </c>
      <c r="H980" s="18" t="n">
        <v>0.3</v>
      </c>
      <c r="I980" s="13" t="inlineStr">
        <is>
          <t>3808.93.19</t>
        </is>
      </c>
      <c r="J980" s="13" t="inlineStr">
        <is>
          <t>NÃO</t>
        </is>
      </c>
      <c r="K980" s="13" t="inlineStr">
        <is>
          <t>Uso Industrial Exclusivo (PGRS / NBR 10004)</t>
        </is>
      </c>
      <c r="L980" s="13" t="inlineStr">
        <is>
          <t>NÃO</t>
        </is>
      </c>
      <c r="M980" s="13" t="inlineStr">
        <is>
          <t>0,00% (Lei nº 10.925/2004)</t>
        </is>
      </c>
      <c r="N980" s="13" t="inlineStr">
        <is>
          <t>0,925% (LC nº 224/2025)</t>
        </is>
      </c>
      <c r="O980" s="13" t="inlineStr">
        <is>
          <t>0,365% (LC nº 224/2025)</t>
        </is>
      </c>
      <c r="P980" s="13" t="inlineStr">
        <is>
          <t>CST 06 (Uso Agrícola/Industrial)</t>
        </is>
      </c>
      <c r="Q980" s="13" t="inlineStr">
        <is>
          <t>CST 73 (Revenda / Destinação)</t>
        </is>
      </c>
      <c r="R980" s="13" t="inlineStr">
        <is>
          <t>Redução de 60% + Diferimento (Art. 138 LC 214/2025)</t>
        </is>
      </c>
    </row>
    <row r="981" ht="22" customHeight="1">
      <c r="A981" s="6" t="inlineStr">
        <is>
          <t>SKU-0977</t>
        </is>
      </c>
      <c r="B981" s="5" t="n">
        <v>701</v>
      </c>
      <c r="C981" s="7" t="inlineStr">
        <is>
          <t>Nº 24925</t>
        </is>
      </c>
      <c r="D981" s="8" t="inlineStr">
        <is>
          <t>ATOL TRIO (METOLACHLOR+ATRAZINE+MESOTRIONE) (P. A)</t>
        </is>
      </c>
      <c r="E981" s="7" t="inlineStr">
        <is>
          <t>Embalagem Comercial do Produto</t>
        </is>
      </c>
      <c r="F981" s="7" t="inlineStr">
        <is>
          <t>GRANEL / P.A. (0 L)</t>
        </is>
      </c>
      <c r="G981" s="7" t="inlineStr">
        <is>
          <t>L</t>
        </is>
      </c>
      <c r="H981" s="9" t="n">
        <v>0</v>
      </c>
      <c r="I981" s="7" t="inlineStr">
        <is>
          <t>3808.93.29</t>
        </is>
      </c>
      <c r="J981" s="7" t="inlineStr">
        <is>
          <t>NÃO</t>
        </is>
      </c>
      <c r="K981" s="7" t="inlineStr">
        <is>
          <t>Uso Industrial Exclusivo (PGRS / NBR 10004)</t>
        </is>
      </c>
      <c r="L981" s="7" t="inlineStr">
        <is>
          <t>NÃO</t>
        </is>
      </c>
      <c r="M981" s="7" t="inlineStr">
        <is>
          <t>0,00% (Lei nº 10.925/2004)</t>
        </is>
      </c>
      <c r="N981" s="7" t="inlineStr">
        <is>
          <t>0,925% (LC nº 224/2025)</t>
        </is>
      </c>
      <c r="O981" s="7" t="inlineStr">
        <is>
          <t>0,365% (LC nº 224/2025)</t>
        </is>
      </c>
      <c r="P981" s="7" t="inlineStr">
        <is>
          <t>CST 06 (Uso Agrícola/Industrial)</t>
        </is>
      </c>
      <c r="Q981" s="7" t="inlineStr">
        <is>
          <t>CST 73 (Revenda / Destinação)</t>
        </is>
      </c>
      <c r="R981" s="7" t="inlineStr">
        <is>
          <t>Redução de 60% + Diferimento (Art. 138 LC 214/2025)</t>
        </is>
      </c>
    </row>
    <row r="982" ht="22" customHeight="1">
      <c r="A982" s="12" t="inlineStr">
        <is>
          <t>SKU-0978</t>
        </is>
      </c>
      <c r="B982" s="11" t="n">
        <v>701</v>
      </c>
      <c r="C982" s="13" t="inlineStr">
        <is>
          <t>Nº 24925</t>
        </is>
      </c>
      <c r="D982" s="14" t="inlineStr">
        <is>
          <t>ATOL TRIO (METOLACHLOR+ATRAZINE+MESOTRIONE) (P. A)</t>
        </is>
      </c>
      <c r="E982" s="13" t="inlineStr">
        <is>
          <t>Faixa 1 TIPI (Apresentação &lt;= 300 g ou mL)</t>
        </is>
      </c>
      <c r="F982" s="13" t="inlineStr">
        <is>
          <t>Fracionado / Amostra &lt;= 0,3 L</t>
        </is>
      </c>
      <c r="G982" s="13" t="inlineStr">
        <is>
          <t>L</t>
        </is>
      </c>
      <c r="H982" s="18" t="n">
        <v>0.3</v>
      </c>
      <c r="I982" s="13" t="inlineStr">
        <is>
          <t>3808.93.19</t>
        </is>
      </c>
      <c r="J982" s="13" t="inlineStr">
        <is>
          <t>NÃO</t>
        </is>
      </c>
      <c r="K982" s="13" t="inlineStr">
        <is>
          <t>Uso Industrial Exclusivo (PGRS / NBR 10004)</t>
        </is>
      </c>
      <c r="L982" s="13" t="inlineStr">
        <is>
          <t>NÃO</t>
        </is>
      </c>
      <c r="M982" s="13" t="inlineStr">
        <is>
          <t>0,00% (Lei nº 10.925/2004)</t>
        </is>
      </c>
      <c r="N982" s="13" t="inlineStr">
        <is>
          <t>0,925% (LC nº 224/2025)</t>
        </is>
      </c>
      <c r="O982" s="13" t="inlineStr">
        <is>
          <t>0,365% (LC nº 224/2025)</t>
        </is>
      </c>
      <c r="P982" s="13" t="inlineStr">
        <is>
          <t>CST 06 (Uso Agrícola/Industrial)</t>
        </is>
      </c>
      <c r="Q982" s="13" t="inlineStr">
        <is>
          <t>CST 73 (Revenda / Destinação)</t>
        </is>
      </c>
      <c r="R982" s="13" t="inlineStr">
        <is>
          <t>Redução de 60% + Diferimento (Art. 138 LC 214/2025)</t>
        </is>
      </c>
    </row>
    <row r="983" ht="22" customHeight="1">
      <c r="A983" s="6" t="inlineStr">
        <is>
          <t>SKU-0979</t>
        </is>
      </c>
      <c r="B983" s="5" t="n">
        <v>702</v>
      </c>
      <c r="C983" s="7" t="inlineStr">
        <is>
          <t>Nº 4810</t>
        </is>
      </c>
      <c r="D983" s="8" t="inlineStr">
        <is>
          <t>CERTEZA N</t>
        </is>
      </c>
      <c r="E983" s="7" t="inlineStr">
        <is>
          <t>Embalagem Comercial do Produto</t>
        </is>
      </c>
      <c r="F983" s="7" t="inlineStr">
        <is>
          <t>1X20L (20 L)</t>
        </is>
      </c>
      <c r="G983" s="7" t="inlineStr">
        <is>
          <t>L</t>
        </is>
      </c>
      <c r="H983" s="9" t="n">
        <v>20</v>
      </c>
      <c r="I983" s="7" t="inlineStr">
        <is>
          <t>3808.92.99</t>
        </is>
      </c>
      <c r="J983" s="7" t="inlineStr">
        <is>
          <t>NÃO</t>
        </is>
      </c>
      <c r="K983" s="7" t="inlineStr">
        <is>
          <t>Embalagem Rígida — LAVÁVEL (Obrigatória Tríplice Lavagem ou Pressão)</t>
        </is>
      </c>
      <c r="L983" s="7" t="inlineStr">
        <is>
          <t>NÃO</t>
        </is>
      </c>
      <c r="M983" s="7" t="inlineStr">
        <is>
          <t>0,00% (Lei nº 10.925/2004)</t>
        </is>
      </c>
      <c r="N983" s="7" t="inlineStr">
        <is>
          <t>0,925% (LC nº 224/2025)</t>
        </is>
      </c>
      <c r="O983" s="7" t="inlineStr">
        <is>
          <t>0,365% (LC nº 224/2025)</t>
        </is>
      </c>
      <c r="P983" s="7" t="inlineStr">
        <is>
          <t>CST 06</t>
        </is>
      </c>
      <c r="Q983" s="7" t="inlineStr">
        <is>
          <t>CST 73</t>
        </is>
      </c>
      <c r="R983" s="7" t="inlineStr">
        <is>
          <t>Redução de 60% + Diferimento (Art. 138 e Anexo IX LC 214/2025)</t>
        </is>
      </c>
    </row>
    <row r="984" ht="22" customHeight="1">
      <c r="A984" s="12" t="inlineStr">
        <is>
          <t>SKU-0980</t>
        </is>
      </c>
      <c r="B984" s="11" t="n">
        <v>703</v>
      </c>
      <c r="C984" s="13" t="inlineStr">
        <is>
          <t>Nº 4810</t>
        </is>
      </c>
      <c r="D984" s="14" t="inlineStr">
        <is>
          <t>CERTEZA N</t>
        </is>
      </c>
      <c r="E984" s="13" t="inlineStr">
        <is>
          <t>Embalagem Comercial do Produto</t>
        </is>
      </c>
      <c r="F984" s="13" t="inlineStr">
        <is>
          <t>1X1000L (1000 L)</t>
        </is>
      </c>
      <c r="G984" s="13" t="inlineStr">
        <is>
          <t>L</t>
        </is>
      </c>
      <c r="H984" s="15" t="n">
        <v>1000</v>
      </c>
      <c r="I984" s="13" t="inlineStr">
        <is>
          <t>3808.92.99</t>
        </is>
      </c>
      <c r="J984" s="13" t="inlineStr">
        <is>
          <t>NÃO</t>
        </is>
      </c>
      <c r="K984" s="13" t="inlineStr">
        <is>
          <t>Embalagem Rígida — LAVÁVEL (Obrigatória Tríplice Lavagem ou Pressão)</t>
        </is>
      </c>
      <c r="L984" s="13" t="inlineStr">
        <is>
          <t>NÃO</t>
        </is>
      </c>
      <c r="M984" s="13" t="inlineStr">
        <is>
          <t>0,00% (Lei nº 10.925/2004)</t>
        </is>
      </c>
      <c r="N984" s="13" t="inlineStr">
        <is>
          <t>0,925% (LC nº 224/2025)</t>
        </is>
      </c>
      <c r="O984" s="13" t="inlineStr">
        <is>
          <t>0,365% (LC nº 224/2025)</t>
        </is>
      </c>
      <c r="P984" s="13" t="inlineStr">
        <is>
          <t>CST 06</t>
        </is>
      </c>
      <c r="Q984" s="13" t="inlineStr">
        <is>
          <t>CST 73</t>
        </is>
      </c>
      <c r="R984" s="13" t="inlineStr">
        <is>
          <t>Redução de 60% + Diferimento (Art. 138 e Anexo IX LC 214/2025)</t>
        </is>
      </c>
    </row>
    <row r="985" ht="22" customHeight="1">
      <c r="A985" s="6" t="inlineStr">
        <is>
          <t>SKU-0981</t>
        </is>
      </c>
      <c r="B985" s="5" t="n">
        <v>704</v>
      </c>
      <c r="C985" s="7" t="inlineStr">
        <is>
          <t>SIPEAGRO (UF-XXXXX)</t>
        </is>
      </c>
      <c r="D985" s="8" t="inlineStr">
        <is>
          <t>ENXOFRE BENTONITA - BG 1.097 KG - CAMPO RICO</t>
        </is>
      </c>
      <c r="E985" s="7" t="inlineStr">
        <is>
          <t>Embalagem Comercial do Produto</t>
        </is>
      </c>
      <c r="F985" s="7" t="inlineStr">
        <is>
          <t>1.097 KG (1097 KG)</t>
        </is>
      </c>
      <c r="G985" s="7" t="inlineStr">
        <is>
          <t>KG</t>
        </is>
      </c>
      <c r="H985" s="17" t="n">
        <v>1.097</v>
      </c>
      <c r="I985" s="7" t="inlineStr">
        <is>
          <t>2503.00.90</t>
        </is>
      </c>
      <c r="J985" s="7" t="inlineStr">
        <is>
          <t>NÃO</t>
        </is>
      </c>
      <c r="K985" s="7" t="inlineStr">
        <is>
          <t>Embalagem de Insumo Nutricional/Biológico (Logística Reversa)</t>
        </is>
      </c>
      <c r="L985" s="7" t="inlineStr">
        <is>
          <t>NÃO</t>
        </is>
      </c>
      <c r="M985" s="7" t="inlineStr">
        <is>
          <t>0,00% (Lei nº 10.925/2004)</t>
        </is>
      </c>
      <c r="N985" s="7" t="inlineStr">
        <is>
          <t>0,925% (LC nº 224/2025)</t>
        </is>
      </c>
      <c r="O985" s="7" t="inlineStr">
        <is>
          <t>0,365% (LC nº 224/2025)</t>
        </is>
      </c>
      <c r="P985" s="7" t="inlineStr">
        <is>
          <t>CST 06 (Uso Agrícola/Industrial)</t>
        </is>
      </c>
      <c r="Q985" s="7" t="inlineStr">
        <is>
          <t>CST 73 (Revenda / Destinação)</t>
        </is>
      </c>
      <c r="R985" s="7" t="inlineStr">
        <is>
          <t>Redução de 60% + Diferimento (Art. 138 LC 214/2025)</t>
        </is>
      </c>
    </row>
    <row r="986" ht="22" customHeight="1">
      <c r="A986" s="12" t="inlineStr">
        <is>
          <t>SKU-0982</t>
        </is>
      </c>
      <c r="B986" s="11" t="n">
        <v>704</v>
      </c>
      <c r="C986" s="13" t="inlineStr">
        <is>
          <t>SIPEAGRO (UF-XXXXX)</t>
        </is>
      </c>
      <c r="D986" s="14" t="inlineStr">
        <is>
          <t>ENXOFRE BENTONITA - BG 1.097 KG - CAMPO RICO</t>
        </is>
      </c>
      <c r="E986" s="13" t="inlineStr">
        <is>
          <t>Faixa 1 TIPI (Apresentação &lt;= 300 g ou mL)</t>
        </is>
      </c>
      <c r="F986" s="13" t="inlineStr">
        <is>
          <t>Fracionado / Amostra &lt;= 0,3 KG</t>
        </is>
      </c>
      <c r="G986" s="13" t="inlineStr">
        <is>
          <t>KG</t>
        </is>
      </c>
      <c r="H986" s="18" t="n">
        <v>0.3</v>
      </c>
      <c r="I986" s="13" t="inlineStr">
        <is>
          <t>3105.90.90</t>
        </is>
      </c>
      <c r="J986" s="13" t="inlineStr">
        <is>
          <t>NÃO</t>
        </is>
      </c>
      <c r="K986" s="13" t="inlineStr">
        <is>
          <t>Embalagem de Insumo Nutricional/Biológico (Logística Reversa)</t>
        </is>
      </c>
      <c r="L986" s="13" t="inlineStr">
        <is>
          <t>NÃO</t>
        </is>
      </c>
      <c r="M986" s="13" t="inlineStr">
        <is>
          <t>0,00% (Lei nº 10.925/2004)</t>
        </is>
      </c>
      <c r="N986" s="13" t="inlineStr">
        <is>
          <t>0,925% (LC nº 224/2025)</t>
        </is>
      </c>
      <c r="O986" s="13" t="inlineStr">
        <is>
          <t>0,365% (LC nº 224/2025)</t>
        </is>
      </c>
      <c r="P986" s="13" t="inlineStr">
        <is>
          <t>CST 06 (Uso Agrícola/Industrial)</t>
        </is>
      </c>
      <c r="Q986" s="13" t="inlineStr">
        <is>
          <t>CST 73 (Revenda / Destinação)</t>
        </is>
      </c>
      <c r="R986" s="13" t="inlineStr">
        <is>
          <t>Redução de 60% + Diferimento (Art. 138 LC 214/2025)</t>
        </is>
      </c>
    </row>
    <row r="987" ht="22" customHeight="1">
      <c r="A987" s="6" t="inlineStr">
        <is>
          <t>SKU-0983</t>
        </is>
      </c>
      <c r="B987" s="5" t="n">
        <v>705</v>
      </c>
      <c r="C987" s="7" t="inlineStr">
        <is>
          <t>Nº 27025</t>
        </is>
      </c>
      <c r="D987" s="8" t="inlineStr">
        <is>
          <t>FLUMIOXAZINA 100 + IMAZETAPIR 200 (PRINC. ATIVO)</t>
        </is>
      </c>
      <c r="E987" s="7" t="inlineStr">
        <is>
          <t>Embalagem Comercial do Produto</t>
        </is>
      </c>
      <c r="F987" s="7" t="inlineStr">
        <is>
          <t>GRANEL / P.A. (0 KG)</t>
        </is>
      </c>
      <c r="G987" s="7" t="inlineStr">
        <is>
          <t>KG</t>
        </is>
      </c>
      <c r="H987" s="9" t="n">
        <v>0</v>
      </c>
      <c r="I987" s="7" t="inlineStr">
        <is>
          <t>3808.93.27</t>
        </is>
      </c>
      <c r="J987" s="7" t="inlineStr">
        <is>
          <t>NÃO</t>
        </is>
      </c>
      <c r="K987" s="7" t="inlineStr">
        <is>
          <t>Uso Industrial Exclusivo (PGRS / NBR 10004)</t>
        </is>
      </c>
      <c r="L987" s="7" t="inlineStr">
        <is>
          <t>NÃO</t>
        </is>
      </c>
      <c r="M987" s="7" t="inlineStr">
        <is>
          <t>0,00% (Lei nº 10.925/2004)</t>
        </is>
      </c>
      <c r="N987" s="7" t="inlineStr">
        <is>
          <t>0,925% (LC nº 224/2025)</t>
        </is>
      </c>
      <c r="O987" s="7" t="inlineStr">
        <is>
          <t>0,365% (LC nº 224/2025)</t>
        </is>
      </c>
      <c r="P987" s="7" t="inlineStr">
        <is>
          <t>CST 06 (Uso Agrícola/Industrial)</t>
        </is>
      </c>
      <c r="Q987" s="7" t="inlineStr">
        <is>
          <t>CST 73 (Revenda / Destinação)</t>
        </is>
      </c>
      <c r="R987" s="7" t="inlineStr">
        <is>
          <t>Redução de 60% + Diferimento (Art. 138 LC 214/2025)</t>
        </is>
      </c>
    </row>
    <row r="988" ht="22" customHeight="1">
      <c r="A988" s="12" t="inlineStr">
        <is>
          <t>SKU-0984</t>
        </is>
      </c>
      <c r="B988" s="11" t="n">
        <v>705</v>
      </c>
      <c r="C988" s="13" t="inlineStr">
        <is>
          <t>Nº 27025</t>
        </is>
      </c>
      <c r="D988" s="14" t="inlineStr">
        <is>
          <t>FLUMIOXAZINA 100 + IMAZETAPIR 200 (PRINC. ATIVO)</t>
        </is>
      </c>
      <c r="E988" s="13" t="inlineStr">
        <is>
          <t>Faixa 1 TIPI (Apresentação &lt;= 300 g ou mL)</t>
        </is>
      </c>
      <c r="F988" s="13" t="inlineStr">
        <is>
          <t>Fracionado / Amostra &lt;= 0,3 KG</t>
        </is>
      </c>
      <c r="G988" s="13" t="inlineStr">
        <is>
          <t>KG</t>
        </is>
      </c>
      <c r="H988" s="18" t="n">
        <v>0.3</v>
      </c>
      <c r="I988" s="13" t="inlineStr">
        <is>
          <t>3808.93.19</t>
        </is>
      </c>
      <c r="J988" s="13" t="inlineStr">
        <is>
          <t>NÃO</t>
        </is>
      </c>
      <c r="K988" s="13" t="inlineStr">
        <is>
          <t>Uso Industrial Exclusivo (PGRS / NBR 10004)</t>
        </is>
      </c>
      <c r="L988" s="13" t="inlineStr">
        <is>
          <t>NÃO</t>
        </is>
      </c>
      <c r="M988" s="13" t="inlineStr">
        <is>
          <t>0,00% (Lei nº 10.925/2004)</t>
        </is>
      </c>
      <c r="N988" s="13" t="inlineStr">
        <is>
          <t>0,925% (LC nº 224/2025)</t>
        </is>
      </c>
      <c r="O988" s="13" t="inlineStr">
        <is>
          <t>0,365% (LC nº 224/2025)</t>
        </is>
      </c>
      <c r="P988" s="13" t="inlineStr">
        <is>
          <t>CST 06 (Uso Agrícola/Industrial)</t>
        </is>
      </c>
      <c r="Q988" s="13" t="inlineStr">
        <is>
          <t>CST 73 (Revenda / Destinação)</t>
        </is>
      </c>
      <c r="R988" s="13" t="inlineStr">
        <is>
          <t>Redução de 60% + Diferimento (Art. 138 LC 214/2025)</t>
        </is>
      </c>
    </row>
    <row r="989" ht="22" customHeight="1">
      <c r="A989" s="6" t="inlineStr">
        <is>
          <t>SKU-0985</t>
        </is>
      </c>
      <c r="B989" s="5" t="n">
        <v>706</v>
      </c>
      <c r="C989" s="7" t="inlineStr">
        <is>
          <t>VINCULAR MARCA</t>
        </is>
      </c>
      <c r="D989" s="8" t="inlineStr">
        <is>
          <t>PIRIPROXIFEM 100 + LUFENUROM 30 (PRINC. ATIVO)</t>
        </is>
      </c>
      <c r="E989" s="7" t="inlineStr">
        <is>
          <t>Embalagem Comercial do Produto</t>
        </is>
      </c>
      <c r="F989" s="7" t="inlineStr">
        <is>
          <t>GRANEL / P.A. (0 L)</t>
        </is>
      </c>
      <c r="G989" s="7" t="inlineStr">
        <is>
          <t>L</t>
        </is>
      </c>
      <c r="H989" s="9" t="n">
        <v>0</v>
      </c>
      <c r="I989" s="7" t="inlineStr">
        <is>
          <t>3808.91.99</t>
        </is>
      </c>
      <c r="J989" s="7" t="inlineStr">
        <is>
          <t>NÃO</t>
        </is>
      </c>
      <c r="K989" s="7" t="inlineStr">
        <is>
          <t>Uso Industrial Exclusivo (PGRS / NBR 10004)</t>
        </is>
      </c>
      <c r="L989" s="7" t="inlineStr">
        <is>
          <t>NÃO</t>
        </is>
      </c>
      <c r="M989" s="7" t="inlineStr">
        <is>
          <t>0,00% (Lei nº 10.925/2004)</t>
        </is>
      </c>
      <c r="N989" s="7" t="inlineStr">
        <is>
          <t>0,925% (LC nº 224/2025)</t>
        </is>
      </c>
      <c r="O989" s="7" t="inlineStr">
        <is>
          <t>0,365% (LC nº 224/2025)</t>
        </is>
      </c>
      <c r="P989" s="7" t="inlineStr">
        <is>
          <t>CST 06 (Uso Agrícola/Industrial)</t>
        </is>
      </c>
      <c r="Q989" s="7" t="inlineStr">
        <is>
          <t>CST 73 (Revenda / Destinação)</t>
        </is>
      </c>
      <c r="R989" s="7" t="inlineStr">
        <is>
          <t>Redução de 60% + Diferimento (Art. 138 LC 214/2025)</t>
        </is>
      </c>
    </row>
    <row r="990" ht="22" customHeight="1">
      <c r="A990" s="12" t="inlineStr">
        <is>
          <t>SKU-0986</t>
        </is>
      </c>
      <c r="B990" s="11" t="n">
        <v>706</v>
      </c>
      <c r="C990" s="13" t="inlineStr">
        <is>
          <t>VINCULAR MARCA</t>
        </is>
      </c>
      <c r="D990" s="14" t="inlineStr">
        <is>
          <t>PIRIPROXIFEM 100 + LUFENUROM 30 (PRINC. ATIVO)</t>
        </is>
      </c>
      <c r="E990" s="13" t="inlineStr">
        <is>
          <t>Faixa 1 TIPI (Apresentação &lt;= 300 g ou mL)</t>
        </is>
      </c>
      <c r="F990" s="13" t="inlineStr">
        <is>
          <t>Fracionado / Amostra &lt;= 0,3 L</t>
        </is>
      </c>
      <c r="G990" s="13" t="inlineStr">
        <is>
          <t>L</t>
        </is>
      </c>
      <c r="H990" s="18" t="n">
        <v>0.3</v>
      </c>
      <c r="I990" s="13" t="inlineStr">
        <is>
          <t>3808.92.20</t>
        </is>
      </c>
      <c r="J990" s="13" t="inlineStr">
        <is>
          <t>NÃO</t>
        </is>
      </c>
      <c r="K990" s="13" t="inlineStr">
        <is>
          <t>Uso Industrial Exclusivo (PGRS / NBR 10004)</t>
        </is>
      </c>
      <c r="L990" s="13" t="inlineStr">
        <is>
          <t>NÃO</t>
        </is>
      </c>
      <c r="M990" s="13" t="inlineStr">
        <is>
          <t>0,00% (Lei nº 10.925/2004)</t>
        </is>
      </c>
      <c r="N990" s="13" t="inlineStr">
        <is>
          <t>0,925% (LC nº 224/2025)</t>
        </is>
      </c>
      <c r="O990" s="13" t="inlineStr">
        <is>
          <t>0,365% (LC nº 224/2025)</t>
        </is>
      </c>
      <c r="P990" s="13" t="inlineStr">
        <is>
          <t>CST 06 (Uso Agrícola/Industrial)</t>
        </is>
      </c>
      <c r="Q990" s="13" t="inlineStr">
        <is>
          <t>CST 73 (Revenda / Destinação)</t>
        </is>
      </c>
      <c r="R990" s="13" t="inlineStr">
        <is>
          <t>Redução de 60% + Diferimento (Art. 138 LC 214/2025)</t>
        </is>
      </c>
    </row>
    <row r="991" ht="22" customHeight="1">
      <c r="A991" s="6" t="inlineStr">
        <is>
          <t>SKU-0987</t>
        </is>
      </c>
      <c r="B991" s="5" t="n">
        <v>707</v>
      </c>
      <c r="C991" s="7" t="inlineStr">
        <is>
          <t>Nº 32518</t>
        </is>
      </c>
      <c r="D991" s="8" t="inlineStr">
        <is>
          <t>ACETAMIPRIDO 186 + PIRIPROXIFEM 124 (PRINC. ATIVO)</t>
        </is>
      </c>
      <c r="E991" s="7" t="inlineStr">
        <is>
          <t>Embalagem Comercial do Produto</t>
        </is>
      </c>
      <c r="F991" s="7" t="inlineStr">
        <is>
          <t>GRANEL / P.A. (0 KG)</t>
        </is>
      </c>
      <c r="G991" s="7" t="inlineStr">
        <is>
          <t>KG</t>
        </is>
      </c>
      <c r="H991" s="9" t="n">
        <v>0</v>
      </c>
      <c r="I991" s="7" t="inlineStr">
        <is>
          <t>3808.91.99</t>
        </is>
      </c>
      <c r="J991" s="7" t="inlineStr">
        <is>
          <t>NÃO</t>
        </is>
      </c>
      <c r="K991" s="7" t="inlineStr">
        <is>
          <t>Uso Industrial Exclusivo (PGRS / NBR 10004)</t>
        </is>
      </c>
      <c r="L991" s="7" t="inlineStr">
        <is>
          <t>NÃO</t>
        </is>
      </c>
      <c r="M991" s="7" t="inlineStr">
        <is>
          <t>0,00% (Lei nº 10.925/2004)</t>
        </is>
      </c>
      <c r="N991" s="7" t="inlineStr">
        <is>
          <t>0,925% (LC nº 224/2025)</t>
        </is>
      </c>
      <c r="O991" s="7" t="inlineStr">
        <is>
          <t>0,365% (LC nº 224/2025)</t>
        </is>
      </c>
      <c r="P991" s="7" t="inlineStr">
        <is>
          <t>CST 06 (Uso Agrícola/Industrial)</t>
        </is>
      </c>
      <c r="Q991" s="7" t="inlineStr">
        <is>
          <t>CST 73 (Revenda / Destinação)</t>
        </is>
      </c>
      <c r="R991" s="7" t="inlineStr">
        <is>
          <t>Redução de 60% + Diferimento (Art. 138 LC 214/2025)</t>
        </is>
      </c>
    </row>
    <row r="992" ht="22" customHeight="1">
      <c r="A992" s="12" t="inlineStr">
        <is>
          <t>SKU-0988</t>
        </is>
      </c>
      <c r="B992" s="11" t="n">
        <v>707</v>
      </c>
      <c r="C992" s="13" t="inlineStr">
        <is>
          <t>Nº 32518</t>
        </is>
      </c>
      <c r="D992" s="14" t="inlineStr">
        <is>
          <t>ACETAMIPRIDO 186 + PIRIPROXIFEM 124 (PRINC. ATIVO)</t>
        </is>
      </c>
      <c r="E992" s="13" t="inlineStr">
        <is>
          <t>Faixa 1 TIPI (Apresentação &lt;= 300 g ou mL)</t>
        </is>
      </c>
      <c r="F992" s="13" t="inlineStr">
        <is>
          <t>Fracionado / Amostra &lt;= 0,3 KG</t>
        </is>
      </c>
      <c r="G992" s="13" t="inlineStr">
        <is>
          <t>KG</t>
        </is>
      </c>
      <c r="H992" s="18" t="n">
        <v>0.3</v>
      </c>
      <c r="I992" s="13" t="inlineStr">
        <is>
          <t>3808.91.20</t>
        </is>
      </c>
      <c r="J992" s="13" t="inlineStr">
        <is>
          <t>NÃO</t>
        </is>
      </c>
      <c r="K992" s="13" t="inlineStr">
        <is>
          <t>Uso Industrial Exclusivo (PGRS / NBR 10004)</t>
        </is>
      </c>
      <c r="L992" s="13" t="inlineStr">
        <is>
          <t>NÃO</t>
        </is>
      </c>
      <c r="M992" s="13" t="inlineStr">
        <is>
          <t>0,00% (Lei nº 10.925/2004)</t>
        </is>
      </c>
      <c r="N992" s="13" t="inlineStr">
        <is>
          <t>0,925% (LC nº 224/2025)</t>
        </is>
      </c>
      <c r="O992" s="13" t="inlineStr">
        <is>
          <t>0,365% (LC nº 224/2025)</t>
        </is>
      </c>
      <c r="P992" s="13" t="inlineStr">
        <is>
          <t>CST 06 (Uso Agrícola/Industrial)</t>
        </is>
      </c>
      <c r="Q992" s="13" t="inlineStr">
        <is>
          <t>CST 73 (Revenda / Destinação)</t>
        </is>
      </c>
      <c r="R992" s="13" t="inlineStr">
        <is>
          <t>Redução de 60% + Diferimento (Art. 138 LC 214/2025)</t>
        </is>
      </c>
    </row>
    <row r="993" ht="22" customHeight="1">
      <c r="A993" s="6" t="inlineStr">
        <is>
          <t>SKU-0989</t>
        </is>
      </c>
      <c r="B993" s="5" t="n">
        <v>708</v>
      </c>
      <c r="C993" s="7" t="inlineStr">
        <is>
          <t>VINCULAR MARCA</t>
        </is>
      </c>
      <c r="D993" s="8" t="inlineStr">
        <is>
          <t>FLUMIOXAZINA 500 + DICLOSULAM 340 (PRINC. ATIVO)</t>
        </is>
      </c>
      <c r="E993" s="7" t="inlineStr">
        <is>
          <t>Embalagem Comercial do Produto</t>
        </is>
      </c>
      <c r="F993" s="7" t="inlineStr">
        <is>
          <t>GRANEL / P.A. (0 KG)</t>
        </is>
      </c>
      <c r="G993" s="7" t="inlineStr">
        <is>
          <t>KG</t>
        </is>
      </c>
      <c r="H993" s="9" t="n">
        <v>0</v>
      </c>
      <c r="I993" s="7" t="inlineStr">
        <is>
          <t>3808.93.29</t>
        </is>
      </c>
      <c r="J993" s="7" t="inlineStr">
        <is>
          <t>NÃO</t>
        </is>
      </c>
      <c r="K993" s="7" t="inlineStr">
        <is>
          <t>Uso Industrial Exclusivo (PGRS / NBR 10004)</t>
        </is>
      </c>
      <c r="L993" s="7" t="inlineStr">
        <is>
          <t>NÃO</t>
        </is>
      </c>
      <c r="M993" s="7" t="inlineStr">
        <is>
          <t>0,00% (Lei nº 10.925/2004)</t>
        </is>
      </c>
      <c r="N993" s="7" t="inlineStr">
        <is>
          <t>0,925% (LC nº 224/2025)</t>
        </is>
      </c>
      <c r="O993" s="7" t="inlineStr">
        <is>
          <t>0,365% (LC nº 224/2025)</t>
        </is>
      </c>
      <c r="P993" s="7" t="inlineStr">
        <is>
          <t>CST 06 (Uso Agrícola/Industrial)</t>
        </is>
      </c>
      <c r="Q993" s="7" t="inlineStr">
        <is>
          <t>CST 73 (Revenda / Destinação)</t>
        </is>
      </c>
      <c r="R993" s="7" t="inlineStr">
        <is>
          <t>Redução de 60% + Diferimento (Art. 138 LC 214/2025)</t>
        </is>
      </c>
    </row>
    <row r="994" ht="22" customHeight="1">
      <c r="A994" s="12" t="inlineStr">
        <is>
          <t>SKU-0990</t>
        </is>
      </c>
      <c r="B994" s="11" t="n">
        <v>708</v>
      </c>
      <c r="C994" s="13" t="inlineStr">
        <is>
          <t>VINCULAR MARCA</t>
        </is>
      </c>
      <c r="D994" s="14" t="inlineStr">
        <is>
          <t>FLUMIOXAZINA 500 + DICLOSULAM 340 (PRINC. ATIVO)</t>
        </is>
      </c>
      <c r="E994" s="13" t="inlineStr">
        <is>
          <t>Faixa 1 TIPI (Apresentação &lt;= 300 g ou mL)</t>
        </is>
      </c>
      <c r="F994" s="13" t="inlineStr">
        <is>
          <t>Fracionado / Amostra &lt;= 0,3 KG</t>
        </is>
      </c>
      <c r="G994" s="13" t="inlineStr">
        <is>
          <t>KG</t>
        </is>
      </c>
      <c r="H994" s="18" t="n">
        <v>0.3</v>
      </c>
      <c r="I994" s="13" t="inlineStr">
        <is>
          <t>3808.92.20</t>
        </is>
      </c>
      <c r="J994" s="13" t="inlineStr">
        <is>
          <t>NÃO</t>
        </is>
      </c>
      <c r="K994" s="13" t="inlineStr">
        <is>
          <t>Uso Industrial Exclusivo (PGRS / NBR 10004)</t>
        </is>
      </c>
      <c r="L994" s="13" t="inlineStr">
        <is>
          <t>NÃO</t>
        </is>
      </c>
      <c r="M994" s="13" t="inlineStr">
        <is>
          <t>0,00% (Lei nº 10.925/2004)</t>
        </is>
      </c>
      <c r="N994" s="13" t="inlineStr">
        <is>
          <t>0,925% (LC nº 224/2025)</t>
        </is>
      </c>
      <c r="O994" s="13" t="inlineStr">
        <is>
          <t>0,365% (LC nº 224/2025)</t>
        </is>
      </c>
      <c r="P994" s="13" t="inlineStr">
        <is>
          <t>CST 06 (Uso Agrícola/Industrial)</t>
        </is>
      </c>
      <c r="Q994" s="13" t="inlineStr">
        <is>
          <t>CST 73 (Revenda / Destinação)</t>
        </is>
      </c>
      <c r="R994" s="13" t="inlineStr">
        <is>
          <t>Redução de 60% + Diferimento (Art. 138 LC 214/2025)</t>
        </is>
      </c>
    </row>
    <row r="995" ht="22" customHeight="1">
      <c r="A995" s="6" t="inlineStr">
        <is>
          <t>SKU-0991</t>
        </is>
      </c>
      <c r="B995" s="5" t="n">
        <v>709</v>
      </c>
      <c r="C995" s="7" t="inlineStr">
        <is>
          <t>VINCULAR MARCA</t>
        </is>
      </c>
      <c r="D995" s="8" t="inlineStr">
        <is>
          <t>INDOXAC. 100 + BIFENT. 90 + ACETAM. 137,5 (PR.AT.)</t>
        </is>
      </c>
      <c r="E995" s="7" t="inlineStr">
        <is>
          <t>Embalagem Comercial do Produto</t>
        </is>
      </c>
      <c r="F995" s="7" t="inlineStr">
        <is>
          <t>GRANEL / P.A. (0 L)</t>
        </is>
      </c>
      <c r="G995" s="7" t="inlineStr">
        <is>
          <t>L</t>
        </is>
      </c>
      <c r="H995" s="9" t="n">
        <v>0</v>
      </c>
      <c r="I995" s="7" t="inlineStr">
        <is>
          <t>3808.69.90</t>
        </is>
      </c>
      <c r="J995" s="7" t="inlineStr">
        <is>
          <t>SIM</t>
        </is>
      </c>
      <c r="K995" s="7" t="inlineStr">
        <is>
          <t>Uso Industrial Exclusivo (PGRS / NBR 10004)</t>
        </is>
      </c>
      <c r="L995" s="7" t="inlineStr">
        <is>
          <t>NÃO</t>
        </is>
      </c>
      <c r="M995" s="7" t="inlineStr">
        <is>
          <t>0,00% (Lei nº 10.925/2004)</t>
        </is>
      </c>
      <c r="N995" s="7" t="inlineStr">
        <is>
          <t>0,925% (LC nº 224/2025)</t>
        </is>
      </c>
      <c r="O995" s="7" t="inlineStr">
        <is>
          <t>0,365% (LC nº 224/2025)</t>
        </is>
      </c>
      <c r="P995" s="7" t="inlineStr">
        <is>
          <t>CST 06 (Uso Agrícola/Industrial)</t>
        </is>
      </c>
      <c r="Q995" s="7" t="inlineStr">
        <is>
          <t>CST 73 (Revenda / Destinação)</t>
        </is>
      </c>
      <c r="R995" s="7" t="inlineStr">
        <is>
          <t>Redução de 60% + Diferimento (Art. 138 LC 214/2025)</t>
        </is>
      </c>
    </row>
    <row r="996" ht="22" customHeight="1">
      <c r="A996" s="12" t="inlineStr">
        <is>
          <t>SKU-0992</t>
        </is>
      </c>
      <c r="B996" s="11" t="n">
        <v>709</v>
      </c>
      <c r="C996" s="13" t="inlineStr">
        <is>
          <t>VINCULAR MARCA</t>
        </is>
      </c>
      <c r="D996" s="14" t="inlineStr">
        <is>
          <t>INDOXAC. 100 + BIFENT. 90 + ACETAM. 137,5 (PR.AT.)</t>
        </is>
      </c>
      <c r="E996" s="13" t="inlineStr">
        <is>
          <t>Faixa 1 TIPI (Apresentação &lt;= 300 g ou mL)</t>
        </is>
      </c>
      <c r="F996" s="13" t="inlineStr">
        <is>
          <t>Fracionado / Amostra &lt;= 0,3 L</t>
        </is>
      </c>
      <c r="G996" s="13" t="inlineStr">
        <is>
          <t>L</t>
        </is>
      </c>
      <c r="H996" s="18" t="n">
        <v>0.3</v>
      </c>
      <c r="I996" s="13" t="inlineStr">
        <is>
          <t>3808.92.20</t>
        </is>
      </c>
      <c r="J996" s="13" t="inlineStr">
        <is>
          <t>SIM</t>
        </is>
      </c>
      <c r="K996" s="13" t="inlineStr">
        <is>
          <t>Uso Industrial Exclusivo (PGRS / NBR 10004)</t>
        </is>
      </c>
      <c r="L996" s="13" t="inlineStr">
        <is>
          <t>NÃO</t>
        </is>
      </c>
      <c r="M996" s="13" t="inlineStr">
        <is>
          <t>0,00% (Lei nº 10.925/2004)</t>
        </is>
      </c>
      <c r="N996" s="13" t="inlineStr">
        <is>
          <t>0,925% (LC nº 224/2025)</t>
        </is>
      </c>
      <c r="O996" s="13" t="inlineStr">
        <is>
          <t>0,365% (LC nº 224/2025)</t>
        </is>
      </c>
      <c r="P996" s="13" t="inlineStr">
        <is>
          <t>CST 06 (Uso Agrícola/Industrial)</t>
        </is>
      </c>
      <c r="Q996" s="13" t="inlineStr">
        <is>
          <t>CST 73 (Revenda / Destinação)</t>
        </is>
      </c>
      <c r="R996" s="13" t="inlineStr">
        <is>
          <t>Redução de 60% + Diferimento (Art. 138 LC 214/2025)</t>
        </is>
      </c>
    </row>
    <row r="997" ht="22" customHeight="1">
      <c r="A997" s="6" t="inlineStr">
        <is>
          <t>SKU-0993</t>
        </is>
      </c>
      <c r="B997" s="5" t="n">
        <v>710</v>
      </c>
      <c r="C997" s="7" t="inlineStr">
        <is>
          <t>VINCULAR MARCA</t>
        </is>
      </c>
      <c r="D997" s="8" t="inlineStr">
        <is>
          <t>BIFENTRINA 360 + CLORANTRANILIPRO. 200 (PR. ATIVO)</t>
        </is>
      </c>
      <c r="E997" s="7" t="inlineStr">
        <is>
          <t>Embalagem Comercial do Produto</t>
        </is>
      </c>
      <c r="F997" s="7" t="inlineStr">
        <is>
          <t>GRANEL / P.A. (0 L)</t>
        </is>
      </c>
      <c r="G997" s="7" t="inlineStr">
        <is>
          <t>L</t>
        </is>
      </c>
      <c r="H997" s="9" t="n">
        <v>0</v>
      </c>
      <c r="I997" s="7" t="inlineStr">
        <is>
          <t>3808.69.90</t>
        </is>
      </c>
      <c r="J997" s="7" t="inlineStr">
        <is>
          <t>SIM</t>
        </is>
      </c>
      <c r="K997" s="7" t="inlineStr">
        <is>
          <t>Embalagem Rígida — LAVÁVEL (Obrigatória Tríplice Lavagem ou Pressão)</t>
        </is>
      </c>
      <c r="L997" s="7" t="inlineStr">
        <is>
          <t>NÃO</t>
        </is>
      </c>
      <c r="M997" s="7" t="inlineStr">
        <is>
          <t>0,00% (Lei nº 10.925/2004)</t>
        </is>
      </c>
      <c r="N997" s="7" t="inlineStr">
        <is>
          <t>0,925% (LC nº 224/2025)</t>
        </is>
      </c>
      <c r="O997" s="7" t="inlineStr">
        <is>
          <t>0,365% (LC nº 224/2025)</t>
        </is>
      </c>
      <c r="P997" s="7" t="inlineStr">
        <is>
          <t>CST 06</t>
        </is>
      </c>
      <c r="Q997" s="7" t="inlineStr">
        <is>
          <t>CST 73</t>
        </is>
      </c>
      <c r="R997" s="7" t="inlineStr">
        <is>
          <t>Redução de 60% + Diferimento (Art. 138 e Anexo IX LC 214/2025)</t>
        </is>
      </c>
    </row>
    <row r="998" ht="22" customHeight="1">
      <c r="A998" s="12" t="inlineStr">
        <is>
          <t>SKU-0994</t>
        </is>
      </c>
      <c r="B998" s="11" t="n">
        <v>710</v>
      </c>
      <c r="C998" s="13" t="inlineStr">
        <is>
          <t>VINCULAR MARCA</t>
        </is>
      </c>
      <c r="D998" s="14" t="inlineStr">
        <is>
          <t>BIFENTRINA 360 + CLORANTRANILIPRO. 200 (PR. ATIVO)</t>
        </is>
      </c>
      <c r="E998" s="13" t="inlineStr">
        <is>
          <t>Faixa 1 TIPI (Apresentação &lt;= 300 g ou mL)</t>
        </is>
      </c>
      <c r="F998" s="13" t="inlineStr">
        <is>
          <t>Fracionado / Amostra &lt;= 0,3 L</t>
        </is>
      </c>
      <c r="G998" s="13" t="inlineStr">
        <is>
          <t>L</t>
        </is>
      </c>
      <c r="H998" s="18" t="n">
        <v>0.3</v>
      </c>
      <c r="I998" s="13" t="inlineStr">
        <is>
          <t>3808.92.20</t>
        </is>
      </c>
      <c r="J998" s="13" t="inlineStr">
        <is>
          <t>SIM</t>
        </is>
      </c>
      <c r="K998" s="13" t="inlineStr">
        <is>
          <t>Embalagem Rígida — LAVÁVEL (Obrigatória Tríplice Lavagem ou Pressão)</t>
        </is>
      </c>
      <c r="L998" s="13" t="inlineStr">
        <is>
          <t>NÃO</t>
        </is>
      </c>
      <c r="M998" s="13" t="inlineStr">
        <is>
          <t>0,00% (Lei nº 10.925/2004)</t>
        </is>
      </c>
      <c r="N998" s="13" t="inlineStr">
        <is>
          <t>0,925% (LC nº 224/2025)</t>
        </is>
      </c>
      <c r="O998" s="13" t="inlineStr">
        <is>
          <t>0,365% (LC nº 224/2025)</t>
        </is>
      </c>
      <c r="P998" s="13" t="inlineStr">
        <is>
          <t>CST 06</t>
        </is>
      </c>
      <c r="Q998" s="13" t="inlineStr">
        <is>
          <t>CST 73</t>
        </is>
      </c>
      <c r="R998" s="13" t="inlineStr">
        <is>
          <t>Redução de 60% + Diferimento (Art. 138 e Anexo IX LC 214/2025)</t>
        </is>
      </c>
    </row>
    <row r="999" ht="22" customHeight="1">
      <c r="A999" s="6" t="inlineStr">
        <is>
          <t>SKU-0995</t>
        </is>
      </c>
      <c r="B999" s="5" t="n">
        <v>711</v>
      </c>
      <c r="C999" s="7" t="inlineStr">
        <is>
          <t>VINCULAR MARCA</t>
        </is>
      </c>
      <c r="D999" s="8" t="inlineStr">
        <is>
          <t>GLUFOSINATO 490 + FLUMIOXAZINA 49 (PRINC. ATIVO)</t>
        </is>
      </c>
      <c r="E999" s="7" t="inlineStr">
        <is>
          <t>Embalagem Comercial do Produto</t>
        </is>
      </c>
      <c r="F999" s="7" t="inlineStr">
        <is>
          <t>GRANEL / P.A. (0 KG)</t>
        </is>
      </c>
      <c r="G999" s="7" t="inlineStr">
        <is>
          <t>KG</t>
        </is>
      </c>
      <c r="H999" s="9" t="n">
        <v>0</v>
      </c>
      <c r="I999" s="7" t="inlineStr">
        <is>
          <t>3808.93.29</t>
        </is>
      </c>
      <c r="J999" s="7" t="inlineStr">
        <is>
          <t>NÃO</t>
        </is>
      </c>
      <c r="K999" s="7" t="inlineStr">
        <is>
          <t>Uso Industrial Exclusivo (PGRS / NBR 10004)</t>
        </is>
      </c>
      <c r="L999" s="7" t="inlineStr">
        <is>
          <t>NÃO</t>
        </is>
      </c>
      <c r="M999" s="7" t="inlineStr">
        <is>
          <t>0,00% (Lei nº 10.925/2004)</t>
        </is>
      </c>
      <c r="N999" s="7" t="inlineStr">
        <is>
          <t>0,925% (LC nº 224/2025)</t>
        </is>
      </c>
      <c r="O999" s="7" t="inlineStr">
        <is>
          <t>0,365% (LC nº 224/2025)</t>
        </is>
      </c>
      <c r="P999" s="7" t="inlineStr">
        <is>
          <t>CST 06 (Uso Agrícola/Industrial)</t>
        </is>
      </c>
      <c r="Q999" s="7" t="inlineStr">
        <is>
          <t>CST 73 (Revenda / Destinação)</t>
        </is>
      </c>
      <c r="R999" s="7" t="inlineStr">
        <is>
          <t>Redução de 60% + Diferimento (Art. 138 LC 214/2025)</t>
        </is>
      </c>
    </row>
    <row r="1000" ht="22" customHeight="1">
      <c r="A1000" s="12" t="inlineStr">
        <is>
          <t>SKU-0996</t>
        </is>
      </c>
      <c r="B1000" s="11" t="n">
        <v>711</v>
      </c>
      <c r="C1000" s="13" t="inlineStr">
        <is>
          <t>VINCULAR MARCA</t>
        </is>
      </c>
      <c r="D1000" s="14" t="inlineStr">
        <is>
          <t>GLUFOSINATO 490 + FLUMIOXAZINA 49 (PRINC. ATIVO)</t>
        </is>
      </c>
      <c r="E1000" s="13" t="inlineStr">
        <is>
          <t>Faixa 1 TIPI (Apresentação &lt;= 300 g ou mL)</t>
        </is>
      </c>
      <c r="F1000" s="13" t="inlineStr">
        <is>
          <t>Fracionado / Amostra &lt;= 0,3 KG</t>
        </is>
      </c>
      <c r="G1000" s="13" t="inlineStr">
        <is>
          <t>KG</t>
        </is>
      </c>
      <c r="H1000" s="18" t="n">
        <v>0.3</v>
      </c>
      <c r="I1000" s="13" t="inlineStr">
        <is>
          <t>3808.92.20</t>
        </is>
      </c>
      <c r="J1000" s="13" t="inlineStr">
        <is>
          <t>NÃO</t>
        </is>
      </c>
      <c r="K1000" s="13" t="inlineStr">
        <is>
          <t>Uso Industrial Exclusivo (PGRS / NBR 10004)</t>
        </is>
      </c>
      <c r="L1000" s="13" t="inlineStr">
        <is>
          <t>NÃO</t>
        </is>
      </c>
      <c r="M1000" s="13" t="inlineStr">
        <is>
          <t>0,00% (Lei nº 10.925/2004)</t>
        </is>
      </c>
      <c r="N1000" s="13" t="inlineStr">
        <is>
          <t>0,925% (LC nº 224/2025)</t>
        </is>
      </c>
      <c r="O1000" s="13" t="inlineStr">
        <is>
          <t>0,365% (LC nº 224/2025)</t>
        </is>
      </c>
      <c r="P1000" s="13" t="inlineStr">
        <is>
          <t>CST 06 (Uso Agrícola/Industrial)</t>
        </is>
      </c>
      <c r="Q1000" s="13" t="inlineStr">
        <is>
          <t>CST 73 (Revenda / Destinação)</t>
        </is>
      </c>
      <c r="R1000" s="13" t="inlineStr">
        <is>
          <t>Redução de 60% + Diferimento (Art. 138 LC 214/2025)</t>
        </is>
      </c>
    </row>
    <row r="1001" ht="22" customHeight="1">
      <c r="A1001" s="6" t="inlineStr">
        <is>
          <t>SKU-0997</t>
        </is>
      </c>
      <c r="B1001" s="5" t="n">
        <v>712</v>
      </c>
      <c r="C1001" s="7" t="inlineStr">
        <is>
          <t>Nº 24925</t>
        </is>
      </c>
      <c r="D1001" s="8" t="inlineStr">
        <is>
          <t>S-METOLACL. 290 + ATRAZ. 200 + MESOT. 40 (PR. AT.)</t>
        </is>
      </c>
      <c r="E1001" s="7" t="inlineStr">
        <is>
          <t>Embalagem Comercial do Produto</t>
        </is>
      </c>
      <c r="F1001" s="7" t="inlineStr">
        <is>
          <t>EMBALAGEM PADRÃO (20 L)</t>
        </is>
      </c>
      <c r="G1001" s="7" t="inlineStr">
        <is>
          <t>L</t>
        </is>
      </c>
      <c r="H1001" s="9" t="n">
        <v>20</v>
      </c>
      <c r="I1001" s="7" t="inlineStr">
        <is>
          <t>3808.93.29</t>
        </is>
      </c>
      <c r="J1001" s="7" t="inlineStr">
        <is>
          <t>NÃO</t>
        </is>
      </c>
      <c r="K1001" s="7" t="inlineStr">
        <is>
          <t>Uso Industrial Exclusivo (PGRS / NBR 10004)</t>
        </is>
      </c>
      <c r="L1001" s="7" t="inlineStr">
        <is>
          <t>NÃO</t>
        </is>
      </c>
      <c r="M1001" s="7" t="inlineStr">
        <is>
          <t>0,00% (Lei nº 10.925/2004)</t>
        </is>
      </c>
      <c r="N1001" s="7" t="inlineStr">
        <is>
          <t>0,925% (LC nº 224/2025)</t>
        </is>
      </c>
      <c r="O1001" s="7" t="inlineStr">
        <is>
          <t>0,365% (LC nº 224/2025)</t>
        </is>
      </c>
      <c r="P1001" s="7" t="inlineStr">
        <is>
          <t>CST 06 (Uso Agrícola/Industrial)</t>
        </is>
      </c>
      <c r="Q1001" s="7" t="inlineStr">
        <is>
          <t>CST 73 (Revenda / Destinação)</t>
        </is>
      </c>
      <c r="R1001" s="7" t="inlineStr">
        <is>
          <t>Redução de 60% + Diferimento (Art. 138 LC 214/2025)</t>
        </is>
      </c>
    </row>
    <row r="1002" ht="22" customHeight="1">
      <c r="A1002" s="12" t="inlineStr">
        <is>
          <t>SKU-0998</t>
        </is>
      </c>
      <c r="B1002" s="11" t="n">
        <v>712</v>
      </c>
      <c r="C1002" s="13" t="inlineStr">
        <is>
          <t>Nº 24925</t>
        </is>
      </c>
      <c r="D1002" s="14" t="inlineStr">
        <is>
          <t>S-METOLACL. 290 + ATRAZ. 200 + MESOT. 40 (PR. AT.)</t>
        </is>
      </c>
      <c r="E1002" s="13" t="inlineStr">
        <is>
          <t>Faixa 1 TIPI (Apresentação &lt;= 300 g ou mL)</t>
        </is>
      </c>
      <c r="F1002" s="13" t="inlineStr">
        <is>
          <t>Fracionado / Amostra &lt;= 0,3 L</t>
        </is>
      </c>
      <c r="G1002" s="13" t="inlineStr">
        <is>
          <t>L</t>
        </is>
      </c>
      <c r="H1002" s="18" t="n">
        <v>0.3</v>
      </c>
      <c r="I1002" s="13" t="inlineStr">
        <is>
          <t>3808.93.19</t>
        </is>
      </c>
      <c r="J1002" s="13" t="inlineStr">
        <is>
          <t>NÃO</t>
        </is>
      </c>
      <c r="K1002" s="13" t="inlineStr">
        <is>
          <t>Uso Industrial Exclusivo (PGRS / NBR 10004)</t>
        </is>
      </c>
      <c r="L1002" s="13" t="inlineStr">
        <is>
          <t>NÃO</t>
        </is>
      </c>
      <c r="M1002" s="13" t="inlineStr">
        <is>
          <t>0,00% (Lei nº 10.925/2004)</t>
        </is>
      </c>
      <c r="N1002" s="13" t="inlineStr">
        <is>
          <t>0,925% (LC nº 224/2025)</t>
        </is>
      </c>
      <c r="O1002" s="13" t="inlineStr">
        <is>
          <t>0,365% (LC nº 224/2025)</t>
        </is>
      </c>
      <c r="P1002" s="13" t="inlineStr">
        <is>
          <t>CST 06 (Uso Agrícola/Industrial)</t>
        </is>
      </c>
      <c r="Q1002" s="13" t="inlineStr">
        <is>
          <t>CST 73 (Revenda / Destinação)</t>
        </is>
      </c>
      <c r="R1002" s="13" t="inlineStr">
        <is>
          <t>Redução de 60% + Diferimento (Art. 138 LC 214/2025)</t>
        </is>
      </c>
    </row>
    <row r="1003" ht="22" customHeight="1">
      <c r="A1003" s="6" t="inlineStr">
        <is>
          <t>SKU-0999</t>
        </is>
      </c>
      <c r="B1003" s="5" t="n">
        <v>713</v>
      </c>
      <c r="C1003" s="7" t="inlineStr">
        <is>
          <t>VINCULAR MARCA</t>
        </is>
      </c>
      <c r="D1003" s="8" t="inlineStr">
        <is>
          <t>CLOROTALONIL 580 + DIFENOCONAZOL 30 (PRINC. ATIVO)</t>
        </is>
      </c>
      <c r="E1003" s="7" t="inlineStr">
        <is>
          <t>Embalagem Comercial do Produto</t>
        </is>
      </c>
      <c r="F1003" s="7" t="inlineStr">
        <is>
          <t>GRANEL / P.A. (0 L)</t>
        </is>
      </c>
      <c r="G1003" s="7" t="inlineStr">
        <is>
          <t>L</t>
        </is>
      </c>
      <c r="H1003" s="9" t="n">
        <v>0</v>
      </c>
      <c r="I1003" s="7" t="inlineStr">
        <is>
          <t>3808.92.99</t>
        </is>
      </c>
      <c r="J1003" s="7" t="inlineStr">
        <is>
          <t>NÃO</t>
        </is>
      </c>
      <c r="K1003" s="7" t="inlineStr">
        <is>
          <t>Uso Industrial Exclusivo (PGRS / NBR 10004)</t>
        </is>
      </c>
      <c r="L1003" s="7" t="inlineStr">
        <is>
          <t>NÃO</t>
        </is>
      </c>
      <c r="M1003" s="7" t="inlineStr">
        <is>
          <t>0,00% (Lei nº 10.925/2004)</t>
        </is>
      </c>
      <c r="N1003" s="7" t="inlineStr">
        <is>
          <t>0,925% (LC nº 224/2025)</t>
        </is>
      </c>
      <c r="O1003" s="7" t="inlineStr">
        <is>
          <t>0,365% (LC nº 224/2025)</t>
        </is>
      </c>
      <c r="P1003" s="7" t="inlineStr">
        <is>
          <t>CST 06 (Uso Agrícola/Industrial)</t>
        </is>
      </c>
      <c r="Q1003" s="7" t="inlineStr">
        <is>
          <t>CST 73 (Revenda / Destinação)</t>
        </is>
      </c>
      <c r="R1003" s="7" t="inlineStr">
        <is>
          <t>Redução de 60% + Diferimento (Art. 138 LC 214/2025)</t>
        </is>
      </c>
    </row>
    <row r="1004" ht="22" customHeight="1">
      <c r="A1004" s="12" t="inlineStr">
        <is>
          <t>SKU-1000</t>
        </is>
      </c>
      <c r="B1004" s="11" t="n">
        <v>713</v>
      </c>
      <c r="C1004" s="13" t="inlineStr">
        <is>
          <t>VINCULAR MARCA</t>
        </is>
      </c>
      <c r="D1004" s="14" t="inlineStr">
        <is>
          <t>CLOROTALONIL 580 + DIFENOCONAZOL 30 (PRINC. ATIVO)</t>
        </is>
      </c>
      <c r="E1004" s="13" t="inlineStr">
        <is>
          <t>Faixa 1 TIPI (Apresentação &lt;= 300 g ou mL)</t>
        </is>
      </c>
      <c r="F1004" s="13" t="inlineStr">
        <is>
          <t>Fracionado / Amostra &lt;= 0,3 L</t>
        </is>
      </c>
      <c r="G1004" s="13" t="inlineStr">
        <is>
          <t>L</t>
        </is>
      </c>
      <c r="H1004" s="18" t="n">
        <v>0.3</v>
      </c>
      <c r="I1004" s="13" t="inlineStr">
        <is>
          <t>3808.92.20</t>
        </is>
      </c>
      <c r="J1004" s="13" t="inlineStr">
        <is>
          <t>NÃO</t>
        </is>
      </c>
      <c r="K1004" s="13" t="inlineStr">
        <is>
          <t>Uso Industrial Exclusivo (PGRS / NBR 10004)</t>
        </is>
      </c>
      <c r="L1004" s="13" t="inlineStr">
        <is>
          <t>NÃO</t>
        </is>
      </c>
      <c r="M1004" s="13" t="inlineStr">
        <is>
          <t>0,00% (Lei nº 10.925/2004)</t>
        </is>
      </c>
      <c r="N1004" s="13" t="inlineStr">
        <is>
          <t>0,925% (LC nº 224/2025)</t>
        </is>
      </c>
      <c r="O1004" s="13" t="inlineStr">
        <is>
          <t>0,365% (LC nº 224/2025)</t>
        </is>
      </c>
      <c r="P1004" s="13" t="inlineStr">
        <is>
          <t>CST 06 (Uso Agrícola/Industrial)</t>
        </is>
      </c>
      <c r="Q1004" s="13" t="inlineStr">
        <is>
          <t>CST 73 (Revenda / Destinação)</t>
        </is>
      </c>
      <c r="R1004" s="13" t="inlineStr">
        <is>
          <t>Redução de 60% + Diferimento (Art. 138 LC 214/2025)</t>
        </is>
      </c>
    </row>
    <row r="1005" ht="22" customHeight="1">
      <c r="A1005" s="6" t="inlineStr">
        <is>
          <t>SKU-1001</t>
        </is>
      </c>
      <c r="B1005" s="5" t="n">
        <v>714</v>
      </c>
      <c r="C1005" s="7" t="inlineStr">
        <is>
          <t>Nº 4810</t>
        </is>
      </c>
      <c r="D1005" s="8" t="inlineStr">
        <is>
          <t>TIOFANATO-METILICO + FLUAZINAM</t>
        </is>
      </c>
      <c r="E1005" s="7" t="inlineStr">
        <is>
          <t>Embalagem Comercial do Produto</t>
        </is>
      </c>
      <c r="F1005" s="7" t="inlineStr">
        <is>
          <t>EMBALAGEM PADRÃO (20 L)</t>
        </is>
      </c>
      <c r="G1005" s="7" t="inlineStr">
        <is>
          <t>L</t>
        </is>
      </c>
      <c r="H1005" s="9" t="n">
        <v>20</v>
      </c>
      <c r="I1005" s="7" t="inlineStr">
        <is>
          <t>3808.92.99</t>
        </is>
      </c>
      <c r="J1005" s="7" t="inlineStr">
        <is>
          <t>NÃO</t>
        </is>
      </c>
      <c r="K1005" s="7" t="inlineStr">
        <is>
          <t>Embalagem Rígida — LAVÁVEL (Obrigatória Tríplice Lavagem ou Pressão)</t>
        </is>
      </c>
      <c r="L1005" s="7" t="inlineStr">
        <is>
          <t>NÃO</t>
        </is>
      </c>
      <c r="M1005" s="7" t="inlineStr">
        <is>
          <t>0,00% (Lei nº 10.925/2004)</t>
        </is>
      </c>
      <c r="N1005" s="7" t="inlineStr">
        <is>
          <t>0,925% (LC nº 224/2025)</t>
        </is>
      </c>
      <c r="O1005" s="7" t="inlineStr">
        <is>
          <t>0,365% (LC nº 224/2025)</t>
        </is>
      </c>
      <c r="P1005" s="7" t="inlineStr">
        <is>
          <t>CST 06</t>
        </is>
      </c>
      <c r="Q1005" s="7" t="inlineStr">
        <is>
          <t>CST 73</t>
        </is>
      </c>
      <c r="R1005" s="7" t="inlineStr">
        <is>
          <t>Redução de 60% + Diferimento (Art. 138 e Anexo IX LC 214/2025)</t>
        </is>
      </c>
    </row>
    <row r="1006" ht="22" customHeight="1">
      <c r="A1006" s="12" t="inlineStr">
        <is>
          <t>SKU-1002</t>
        </is>
      </c>
      <c r="B1006" s="11" t="n">
        <v>715</v>
      </c>
      <c r="C1006" s="13" t="inlineStr">
        <is>
          <t>VINCULAR MARCA</t>
        </is>
      </c>
      <c r="D1006" s="14" t="inlineStr">
        <is>
          <t>TEBUCONAZOL 50 + CLOROTALONIL 450  (PRINC. ATIVO)</t>
        </is>
      </c>
      <c r="E1006" s="13" t="inlineStr">
        <is>
          <t>Embalagem Comercial do Produto</t>
        </is>
      </c>
      <c r="F1006" s="13" t="inlineStr">
        <is>
          <t>GRANEL / P.A. (0 L)</t>
        </is>
      </c>
      <c r="G1006" s="13" t="inlineStr">
        <is>
          <t>L</t>
        </is>
      </c>
      <c r="H1006" s="15" t="n">
        <v>0</v>
      </c>
      <c r="I1006" s="13" t="inlineStr">
        <is>
          <t>3808.92.99</t>
        </is>
      </c>
      <c r="J1006" s="13" t="inlineStr">
        <is>
          <t>NÃO</t>
        </is>
      </c>
      <c r="K1006" s="13" t="inlineStr">
        <is>
          <t>Uso Industrial Exclusivo (PGRS / NBR 10004)</t>
        </is>
      </c>
      <c r="L1006" s="13" t="inlineStr">
        <is>
          <t>NÃO</t>
        </is>
      </c>
      <c r="M1006" s="13" t="inlineStr">
        <is>
          <t>0,00% (Lei nº 10.925/2004)</t>
        </is>
      </c>
      <c r="N1006" s="13" t="inlineStr">
        <is>
          <t>0,925% (LC nº 224/2025)</t>
        </is>
      </c>
      <c r="O1006" s="13" t="inlineStr">
        <is>
          <t>0,365% (LC nº 224/2025)</t>
        </is>
      </c>
      <c r="P1006" s="13" t="inlineStr">
        <is>
          <t>CST 06 (Uso Agrícola/Industrial)</t>
        </is>
      </c>
      <c r="Q1006" s="13" t="inlineStr">
        <is>
          <t>CST 73 (Revenda / Destinação)</t>
        </is>
      </c>
      <c r="R1006" s="13" t="inlineStr">
        <is>
          <t>Redução de 60% + Diferimento (Art. 138 LC 214/2025)</t>
        </is>
      </c>
    </row>
    <row r="1007" ht="22" customHeight="1">
      <c r="A1007" s="6" t="inlineStr">
        <is>
          <t>SKU-1003</t>
        </is>
      </c>
      <c r="B1007" s="5" t="n">
        <v>715</v>
      </c>
      <c r="C1007" s="7" t="inlineStr">
        <is>
          <t>VINCULAR MARCA</t>
        </is>
      </c>
      <c r="D1007" s="8" t="inlineStr">
        <is>
          <t>TEBUCONAZOL 50 + CLOROTALONIL 450  (PRINC. ATIVO)</t>
        </is>
      </c>
      <c r="E1007" s="7" t="inlineStr">
        <is>
          <t>Faixa 1 TIPI (Apresentação &lt;= 300 g ou mL)</t>
        </is>
      </c>
      <c r="F1007" s="7" t="inlineStr">
        <is>
          <t>Fracionado / Amostra &lt;= 0,3 L</t>
        </is>
      </c>
      <c r="G1007" s="7" t="inlineStr">
        <is>
          <t>L</t>
        </is>
      </c>
      <c r="H1007" s="17" t="n">
        <v>0.3</v>
      </c>
      <c r="I1007" s="7" t="inlineStr">
        <is>
          <t>3808.92.20</t>
        </is>
      </c>
      <c r="J1007" s="7" t="inlineStr">
        <is>
          <t>NÃO</t>
        </is>
      </c>
      <c r="K1007" s="7" t="inlineStr">
        <is>
          <t>Uso Industrial Exclusivo (PGRS / NBR 10004)</t>
        </is>
      </c>
      <c r="L1007" s="7" t="inlineStr">
        <is>
          <t>NÃO</t>
        </is>
      </c>
      <c r="M1007" s="7" t="inlineStr">
        <is>
          <t>0,00% (Lei nº 10.925/2004)</t>
        </is>
      </c>
      <c r="N1007" s="7" t="inlineStr">
        <is>
          <t>0,925% (LC nº 224/2025)</t>
        </is>
      </c>
      <c r="O1007" s="7" t="inlineStr">
        <is>
          <t>0,365% (LC nº 224/2025)</t>
        </is>
      </c>
      <c r="P1007" s="7" t="inlineStr">
        <is>
          <t>CST 06 (Uso Agrícola/Industrial)</t>
        </is>
      </c>
      <c r="Q1007" s="7" t="inlineStr">
        <is>
          <t>CST 73 (Revenda / Destinação)</t>
        </is>
      </c>
      <c r="R1007" s="7" t="inlineStr">
        <is>
          <t>Redução de 60% + Diferimento (Art. 138 LC 214/2025)</t>
        </is>
      </c>
    </row>
    <row r="1008" ht="22" customHeight="1">
      <c r="A1008" s="12" t="inlineStr">
        <is>
          <t>SKU-1004</t>
        </is>
      </c>
      <c r="B1008" s="11" t="n">
        <v>716</v>
      </c>
      <c r="C1008" s="13" t="inlineStr">
        <is>
          <t>SIPEAGRO (UF-XXXXX)</t>
        </is>
      </c>
      <c r="D1008" s="14" t="inlineStr">
        <is>
          <t>KCL 00-00-60 (TON) EUROCHEM</t>
        </is>
      </c>
      <c r="E1008" s="13" t="inlineStr">
        <is>
          <t>Embalagem Comercial do Produto</t>
        </is>
      </c>
      <c r="F1008" s="13" t="inlineStr">
        <is>
          <t>GRANEL / BIG BAG (1000 TL)</t>
        </is>
      </c>
      <c r="G1008" s="13" t="inlineStr">
        <is>
          <t>TL</t>
        </is>
      </c>
      <c r="H1008" s="15" t="n">
        <v>1</v>
      </c>
      <c r="I1008" s="13" t="inlineStr">
        <is>
          <t>3104.20.90</t>
        </is>
      </c>
      <c r="J1008" s="13" t="inlineStr">
        <is>
          <t>NÃO</t>
        </is>
      </c>
      <c r="K1008" s="13" t="inlineStr">
        <is>
          <t>Embalagem Flexível — NÃO LAVÁVEL (Perfurar e usar saco ABNT)</t>
        </is>
      </c>
      <c r="L1008" s="13" t="inlineStr">
        <is>
          <t>SIM (Saco Transparente ABNT)</t>
        </is>
      </c>
      <c r="M1008" s="13" t="inlineStr">
        <is>
          <t>0,00% (Lei nº 10.925/2004)</t>
        </is>
      </c>
      <c r="N1008" s="13" t="inlineStr">
        <is>
          <t>0,925% (LC nº 224/2025)</t>
        </is>
      </c>
      <c r="O1008" s="13" t="inlineStr">
        <is>
          <t>0,365% (LC nº 224/2025)</t>
        </is>
      </c>
      <c r="P1008" s="13" t="inlineStr">
        <is>
          <t>CST 06</t>
        </is>
      </c>
      <c r="Q1008" s="13" t="inlineStr">
        <is>
          <t>CST 73</t>
        </is>
      </c>
      <c r="R1008" s="13" t="inlineStr">
        <is>
          <t>Redução de 60% + Diferimento (Art. 138 e Anexo IX LC 214/2025)</t>
        </is>
      </c>
    </row>
    <row r="1009" ht="22" customHeight="1">
      <c r="A1009" s="6" t="inlineStr">
        <is>
          <t>SKU-1005</t>
        </is>
      </c>
      <c r="B1009" s="5" t="n">
        <v>716</v>
      </c>
      <c r="C1009" s="7" t="inlineStr">
        <is>
          <t>SIPEAGRO (UF-XXXXX)</t>
        </is>
      </c>
      <c r="D1009" s="8" t="inlineStr">
        <is>
          <t>KCL 00-00-60 (TON) EUROCHEM</t>
        </is>
      </c>
      <c r="E1009" s="7" t="inlineStr">
        <is>
          <t>Faixa 1 TIPI (Apresentação &lt;= 300 g ou mL)</t>
        </is>
      </c>
      <c r="F1009" s="7" t="inlineStr">
        <is>
          <t>Fracionado / Amostra &lt;= 0,3 TL</t>
        </is>
      </c>
      <c r="G1009" s="7" t="inlineStr">
        <is>
          <t>TL</t>
        </is>
      </c>
      <c r="H1009" s="17" t="n">
        <v>0.3</v>
      </c>
      <c r="I1009" s="7" t="inlineStr">
        <is>
          <t>3104.20.90</t>
        </is>
      </c>
      <c r="J1009" s="7" t="inlineStr">
        <is>
          <t>NÃO</t>
        </is>
      </c>
      <c r="K1009" s="7" t="inlineStr">
        <is>
          <t>Embalagem Flexível — NÃO LAVÁVEL (Perfurar e usar saco ABNT)</t>
        </is>
      </c>
      <c r="L1009" s="7" t="inlineStr">
        <is>
          <t>SIM (Saco Transparente ABNT)</t>
        </is>
      </c>
      <c r="M1009" s="7" t="inlineStr">
        <is>
          <t>0,00% (Lei nº 10.925/2004)</t>
        </is>
      </c>
      <c r="N1009" s="7" t="inlineStr">
        <is>
          <t>0,925% (LC nº 224/2025)</t>
        </is>
      </c>
      <c r="O1009" s="7" t="inlineStr">
        <is>
          <t>0,365% (LC nº 224/2025)</t>
        </is>
      </c>
      <c r="P1009" s="7" t="inlineStr">
        <is>
          <t>CST 06</t>
        </is>
      </c>
      <c r="Q1009" s="7" t="inlineStr">
        <is>
          <t>CST 73</t>
        </is>
      </c>
      <c r="R1009" s="7" t="inlineStr">
        <is>
          <t>Redução de 60% + Diferimento (Art. 138 e Anexo IX LC 214/2025)</t>
        </is>
      </c>
    </row>
    <row r="1010" ht="22" customHeight="1">
      <c r="A1010" s="12" t="inlineStr">
        <is>
          <t>SKU-1006</t>
        </is>
      </c>
      <c r="B1010" s="11" t="n">
        <v>717</v>
      </c>
      <c r="C1010" s="13" t="inlineStr">
        <is>
          <t>Nº 27717</t>
        </is>
      </c>
      <c r="D1010" s="14" t="inlineStr">
        <is>
          <t>LEALTY WG</t>
        </is>
      </c>
      <c r="E1010" s="13" t="inlineStr">
        <is>
          <t>Embalagem Comercial do Produto</t>
        </is>
      </c>
      <c r="F1010" s="13" t="inlineStr">
        <is>
          <t>4X5KG (5 KG)</t>
        </is>
      </c>
      <c r="G1010" s="13" t="inlineStr">
        <is>
          <t>KG</t>
        </is>
      </c>
      <c r="H1010" s="15" t="n">
        <v>5</v>
      </c>
      <c r="I1010" s="13" t="inlineStr">
        <is>
          <t>3808.91.99</t>
        </is>
      </c>
      <c r="J1010" s="13" t="inlineStr">
        <is>
          <t>NÃO</t>
        </is>
      </c>
      <c r="K1010" s="13" t="inlineStr">
        <is>
          <t>Embalagem Flexível — NÃO LAVÁVEL (Perfurar e usar saco ABNT)</t>
        </is>
      </c>
      <c r="L1010" s="13" t="inlineStr">
        <is>
          <t>SIM (Saco Transparente ABNT)</t>
        </is>
      </c>
      <c r="M1010" s="13" t="inlineStr">
        <is>
          <t>0,00% (Lei nº 10.925/2004)</t>
        </is>
      </c>
      <c r="N1010" s="13" t="inlineStr">
        <is>
          <t>0,925% (LC nº 224/2025)</t>
        </is>
      </c>
      <c r="O1010" s="13" t="inlineStr">
        <is>
          <t>0,365% (LC nº 224/2025)</t>
        </is>
      </c>
      <c r="P1010" s="13" t="inlineStr">
        <is>
          <t>CST 06</t>
        </is>
      </c>
      <c r="Q1010" s="13" t="inlineStr">
        <is>
          <t>CST 73</t>
        </is>
      </c>
      <c r="R1010" s="13" t="inlineStr">
        <is>
          <t>Redução de 60% + Diferimento (Art. 138 e Anexo IX LC 214/2025)</t>
        </is>
      </c>
    </row>
    <row r="1011" ht="22" customHeight="1">
      <c r="A1011" s="6" t="inlineStr">
        <is>
          <t>SKU-1007</t>
        </is>
      </c>
      <c r="B1011" s="5" t="n">
        <v>718</v>
      </c>
      <c r="C1011" s="7" t="inlineStr">
        <is>
          <t>Nº 27717</t>
        </is>
      </c>
      <c r="D1011" s="8" t="inlineStr">
        <is>
          <t>LEALTY WG</t>
        </is>
      </c>
      <c r="E1011" s="7" t="inlineStr">
        <is>
          <t>Embalagem Comercial do Produto</t>
        </is>
      </c>
      <c r="F1011" s="7" t="inlineStr">
        <is>
          <t>10X1KG (1 KG)</t>
        </is>
      </c>
      <c r="G1011" s="7" t="inlineStr">
        <is>
          <t>KG</t>
        </is>
      </c>
      <c r="H1011" s="9" t="n">
        <v>1</v>
      </c>
      <c r="I1011" s="7" t="inlineStr">
        <is>
          <t>3808.91.99</t>
        </is>
      </c>
      <c r="J1011" s="7" t="inlineStr">
        <is>
          <t>NÃO</t>
        </is>
      </c>
      <c r="K1011" s="7" t="inlineStr">
        <is>
          <t>Embalagem Flexível — NÃO LAVÁVEL (Perfurar e usar saco ABNT)</t>
        </is>
      </c>
      <c r="L1011" s="7" t="inlineStr">
        <is>
          <t>SIM (Saco Transparente ABNT)</t>
        </is>
      </c>
      <c r="M1011" s="7" t="inlineStr">
        <is>
          <t>0,00% (Lei nº 10.925/2004)</t>
        </is>
      </c>
      <c r="N1011" s="7" t="inlineStr">
        <is>
          <t>0,925% (LC nº 224/2025)</t>
        </is>
      </c>
      <c r="O1011" s="7" t="inlineStr">
        <is>
          <t>0,365% (LC nº 224/2025)</t>
        </is>
      </c>
      <c r="P1011" s="7" t="inlineStr">
        <is>
          <t>CST 06</t>
        </is>
      </c>
      <c r="Q1011" s="7" t="inlineStr">
        <is>
          <t>CST 73</t>
        </is>
      </c>
      <c r="R1011" s="7" t="inlineStr">
        <is>
          <t>Redução de 60% + Diferimento (Art. 138 e Anexo IX LC 214/2025)</t>
        </is>
      </c>
    </row>
    <row r="1012" ht="22" customHeight="1">
      <c r="A1012" s="12" t="inlineStr">
        <is>
          <t>SKU-1008</t>
        </is>
      </c>
      <c r="B1012" s="11" t="n">
        <v>719</v>
      </c>
      <c r="C1012" s="13" t="inlineStr">
        <is>
          <t>SIPEAGRO (UF-XXXXX)</t>
        </is>
      </c>
      <c r="D1012" s="14" t="inlineStr">
        <is>
          <t>1003057 - ES - FOSF  MAP GR 11N 52/44 P2O5- MOSAIC</t>
        </is>
      </c>
      <c r="E1012" s="13" t="inlineStr">
        <is>
          <t>Embalagem Comercial do Produto</t>
        </is>
      </c>
      <c r="F1012" s="13" t="inlineStr">
        <is>
          <t>GRANEL / BIG BAG (1000 TL)</t>
        </is>
      </c>
      <c r="G1012" s="13" t="inlineStr">
        <is>
          <t>TL</t>
        </is>
      </c>
      <c r="H1012" s="15" t="n">
        <v>1</v>
      </c>
      <c r="I1012" s="13" t="inlineStr">
        <is>
          <t>3105.40.00</t>
        </is>
      </c>
      <c r="J1012" s="13" t="inlineStr">
        <is>
          <t>NÃO</t>
        </is>
      </c>
      <c r="K1012" s="13" t="inlineStr">
        <is>
          <t>Embalagem Flexível — NÃO LAVÁVEL (Perfurar e usar saco ABNT)</t>
        </is>
      </c>
      <c r="L1012" s="13" t="inlineStr">
        <is>
          <t>SIM (Saco Transparente ABNT)</t>
        </is>
      </c>
      <c r="M1012" s="13" t="inlineStr">
        <is>
          <t>0,00% (Lei nº 10.925/2004)</t>
        </is>
      </c>
      <c r="N1012" s="13" t="inlineStr">
        <is>
          <t>0,925% (LC nº 224/2025)</t>
        </is>
      </c>
      <c r="O1012" s="13" t="inlineStr">
        <is>
          <t>0,365% (LC nº 224/2025)</t>
        </is>
      </c>
      <c r="P1012" s="13" t="inlineStr">
        <is>
          <t>CST 06</t>
        </is>
      </c>
      <c r="Q1012" s="13" t="inlineStr">
        <is>
          <t>CST 73</t>
        </is>
      </c>
      <c r="R1012" s="13" t="inlineStr">
        <is>
          <t>Redução de 60% + Diferimento (Art. 138 e Anexo IX LC 214/2025)</t>
        </is>
      </c>
    </row>
    <row r="1013" ht="22" customHeight="1">
      <c r="A1013" s="6" t="inlineStr">
        <is>
          <t>SKU-1009</t>
        </is>
      </c>
      <c r="B1013" s="5" t="n">
        <v>719</v>
      </c>
      <c r="C1013" s="7" t="inlineStr">
        <is>
          <t>SIPEAGRO (UF-XXXXX)</t>
        </is>
      </c>
      <c r="D1013" s="8" t="inlineStr">
        <is>
          <t>1003057 - ES - FOSF  MAP GR 11N 52/44 P2O5- MOSAIC</t>
        </is>
      </c>
      <c r="E1013" s="7" t="inlineStr">
        <is>
          <t>Faixa 1 TIPI (Apresentação &lt;= 300 g ou mL)</t>
        </is>
      </c>
      <c r="F1013" s="7" t="inlineStr">
        <is>
          <t>Fracionado / Amostra &lt;= 0,3 TL</t>
        </is>
      </c>
      <c r="G1013" s="7" t="inlineStr">
        <is>
          <t>TL</t>
        </is>
      </c>
      <c r="H1013" s="17" t="n">
        <v>0.3</v>
      </c>
      <c r="I1013" s="7" t="inlineStr">
        <is>
          <t>3105.40.00</t>
        </is>
      </c>
      <c r="J1013" s="7" t="inlineStr">
        <is>
          <t>NÃO</t>
        </is>
      </c>
      <c r="K1013" s="7" t="inlineStr">
        <is>
          <t>Embalagem Flexível — NÃO LAVÁVEL (Perfurar e usar saco ABNT)</t>
        </is>
      </c>
      <c r="L1013" s="7" t="inlineStr">
        <is>
          <t>SIM (Saco Transparente ABNT)</t>
        </is>
      </c>
      <c r="M1013" s="7" t="inlineStr">
        <is>
          <t>0,00% (Lei nº 10.925/2004)</t>
        </is>
      </c>
      <c r="N1013" s="7" t="inlineStr">
        <is>
          <t>0,925% (LC nº 224/2025)</t>
        </is>
      </c>
      <c r="O1013" s="7" t="inlineStr">
        <is>
          <t>0,365% (LC nº 224/2025)</t>
        </is>
      </c>
      <c r="P1013" s="7" t="inlineStr">
        <is>
          <t>CST 06</t>
        </is>
      </c>
      <c r="Q1013" s="7" t="inlineStr">
        <is>
          <t>CST 73</t>
        </is>
      </c>
      <c r="R1013" s="7" t="inlineStr">
        <is>
          <t>Redução de 60% + Diferimento (Art. 138 e Anexo IX LC 214/2025)</t>
        </is>
      </c>
    </row>
    <row r="1014" ht="22" customHeight="1">
      <c r="A1014" s="12" t="inlineStr">
        <is>
          <t>SKU-1010</t>
        </is>
      </c>
      <c r="B1014" s="11" t="n">
        <v>720</v>
      </c>
      <c r="C1014" s="13" t="inlineStr">
        <is>
          <t>SIPEAGRO (UF-XXXXX)</t>
        </is>
      </c>
      <c r="D1014" s="14" t="inlineStr">
        <is>
          <t>1014099 - ES - MICROESSENTIALS S9 10 46 00-MOSAIC</t>
        </is>
      </c>
      <c r="E1014" s="13" t="inlineStr">
        <is>
          <t>Embalagem Comercial do Produto</t>
        </is>
      </c>
      <c r="F1014" s="13" t="inlineStr">
        <is>
          <t>GRANEL / BIG BAG (1000 TL)</t>
        </is>
      </c>
      <c r="G1014" s="13" t="inlineStr">
        <is>
          <t>TL</t>
        </is>
      </c>
      <c r="H1014" s="15" t="n">
        <v>1</v>
      </c>
      <c r="I1014" s="13" t="inlineStr">
        <is>
          <t>3105.59.00</t>
        </is>
      </c>
      <c r="J1014" s="13" t="inlineStr">
        <is>
          <t>NÃO</t>
        </is>
      </c>
      <c r="K1014" s="13" t="inlineStr">
        <is>
          <t>Embalagem Flexível — NÃO LAVÁVEL (Perfurar e usar saco ABNT)</t>
        </is>
      </c>
      <c r="L1014" s="13" t="inlineStr">
        <is>
          <t>SIM (Saco Transparente ABNT)</t>
        </is>
      </c>
      <c r="M1014" s="13" t="inlineStr">
        <is>
          <t>0,00% (Lei nº 10.925/2004)</t>
        </is>
      </c>
      <c r="N1014" s="13" t="inlineStr">
        <is>
          <t>0,925% (LC nº 224/2025)</t>
        </is>
      </c>
      <c r="O1014" s="13" t="inlineStr">
        <is>
          <t>0,365% (LC nº 224/2025)</t>
        </is>
      </c>
      <c r="P1014" s="13" t="inlineStr">
        <is>
          <t>CST 06</t>
        </is>
      </c>
      <c r="Q1014" s="13" t="inlineStr">
        <is>
          <t>CST 73</t>
        </is>
      </c>
      <c r="R1014" s="13" t="inlineStr">
        <is>
          <t>Redução de 60% + Diferimento (Art. 138 e Anexo IX LC 214/2025)</t>
        </is>
      </c>
    </row>
    <row r="1015" ht="22" customHeight="1">
      <c r="A1015" s="6" t="inlineStr">
        <is>
          <t>SKU-1011</t>
        </is>
      </c>
      <c r="B1015" s="5" t="n">
        <v>720</v>
      </c>
      <c r="C1015" s="7" t="inlineStr">
        <is>
          <t>SIPEAGRO (UF-XXXXX)</t>
        </is>
      </c>
      <c r="D1015" s="8" t="inlineStr">
        <is>
          <t>1014099 - ES - MICROESSENTIALS S9 10 46 00-MOSAIC</t>
        </is>
      </c>
      <c r="E1015" s="7" t="inlineStr">
        <is>
          <t>Faixa 1 TIPI (Apresentação &lt;= 300 g ou mL)</t>
        </is>
      </c>
      <c r="F1015" s="7" t="inlineStr">
        <is>
          <t>Fracionado / Amostra &lt;= 0,3 TL</t>
        </is>
      </c>
      <c r="G1015" s="7" t="inlineStr">
        <is>
          <t>TL</t>
        </is>
      </c>
      <c r="H1015" s="17" t="n">
        <v>0.3</v>
      </c>
      <c r="I1015" s="7" t="inlineStr">
        <is>
          <t>3105.40.00</t>
        </is>
      </c>
      <c r="J1015" s="7" t="inlineStr">
        <is>
          <t>NÃO</t>
        </is>
      </c>
      <c r="K1015" s="7" t="inlineStr">
        <is>
          <t>Embalagem Flexível — NÃO LAVÁVEL (Perfurar e usar saco ABNT)</t>
        </is>
      </c>
      <c r="L1015" s="7" t="inlineStr">
        <is>
          <t>SIM (Saco Transparente ABNT)</t>
        </is>
      </c>
      <c r="M1015" s="7" t="inlineStr">
        <is>
          <t>0,00% (Lei nº 10.925/2004)</t>
        </is>
      </c>
      <c r="N1015" s="7" t="inlineStr">
        <is>
          <t>0,925% (LC nº 224/2025)</t>
        </is>
      </c>
      <c r="O1015" s="7" t="inlineStr">
        <is>
          <t>0,365% (LC nº 224/2025)</t>
        </is>
      </c>
      <c r="P1015" s="7" t="inlineStr">
        <is>
          <t>CST 06</t>
        </is>
      </c>
      <c r="Q1015" s="7" t="inlineStr">
        <is>
          <t>CST 73</t>
        </is>
      </c>
      <c r="R1015" s="7" t="inlineStr">
        <is>
          <t>Redução de 60% + Diferimento (Art. 138 e Anexo IX LC 214/2025)</t>
        </is>
      </c>
    </row>
    <row r="1016" ht="22" customHeight="1">
      <c r="A1016" s="12" t="inlineStr">
        <is>
          <t>SKU-1012</t>
        </is>
      </c>
      <c r="B1016" s="11" t="n">
        <v>721</v>
      </c>
      <c r="C1016" s="13" t="inlineStr">
        <is>
          <t>SIPEAGRO (UF-XXXXX)</t>
        </is>
      </c>
      <c r="D1016" s="14" t="inlineStr">
        <is>
          <t>1017068 - MP - CLOR  POTASS. 60,5 K2O GRAN</t>
        </is>
      </c>
      <c r="E1016" s="13" t="inlineStr">
        <is>
          <t>Embalagem Comercial do Produto</t>
        </is>
      </c>
      <c r="F1016" s="13" t="inlineStr">
        <is>
          <t>GRANEL / BIG BAG (1000 TL)</t>
        </is>
      </c>
      <c r="G1016" s="13" t="inlineStr">
        <is>
          <t>TL</t>
        </is>
      </c>
      <c r="H1016" s="15" t="n">
        <v>1</v>
      </c>
      <c r="I1016" s="13" t="inlineStr">
        <is>
          <t>3104.20.90</t>
        </is>
      </c>
      <c r="J1016" s="13" t="inlineStr">
        <is>
          <t>NÃO</t>
        </is>
      </c>
      <c r="K1016" s="13" t="inlineStr">
        <is>
          <t>Embalagem Flexível — NÃO LAVÁVEL (Perfurar e usar saco ABNT)</t>
        </is>
      </c>
      <c r="L1016" s="13" t="inlineStr">
        <is>
          <t>SIM (Saco Transparente ABNT)</t>
        </is>
      </c>
      <c r="M1016" s="13" t="inlineStr">
        <is>
          <t>0,00% (Lei nº 10.925/2004)</t>
        </is>
      </c>
      <c r="N1016" s="13" t="inlineStr">
        <is>
          <t>0,925% (LC nº 224/2025)</t>
        </is>
      </c>
      <c r="O1016" s="13" t="inlineStr">
        <is>
          <t>0,365% (LC nº 224/2025)</t>
        </is>
      </c>
      <c r="P1016" s="13" t="inlineStr">
        <is>
          <t>CST 06</t>
        </is>
      </c>
      <c r="Q1016" s="13" t="inlineStr">
        <is>
          <t>CST 73</t>
        </is>
      </c>
      <c r="R1016" s="13" t="inlineStr">
        <is>
          <t>Redução de 60% + Diferimento (Art. 138 e Anexo IX LC 214/2025)</t>
        </is>
      </c>
    </row>
    <row r="1017" ht="22" customHeight="1">
      <c r="A1017" s="6" t="inlineStr">
        <is>
          <t>SKU-1013</t>
        </is>
      </c>
      <c r="B1017" s="5" t="n">
        <v>721</v>
      </c>
      <c r="C1017" s="7" t="inlineStr">
        <is>
          <t>SIPEAGRO (UF-XXXXX)</t>
        </is>
      </c>
      <c r="D1017" s="8" t="inlineStr">
        <is>
          <t>1017068 - MP - CLOR  POTASS. 60,5 K2O GRAN</t>
        </is>
      </c>
      <c r="E1017" s="7" t="inlineStr">
        <is>
          <t>Faixa 1 TIPI (Apresentação &lt;= 300 g ou mL)</t>
        </is>
      </c>
      <c r="F1017" s="7" t="inlineStr">
        <is>
          <t>Fracionado / Amostra &lt;= 0,3 TL</t>
        </is>
      </c>
      <c r="G1017" s="7" t="inlineStr">
        <is>
          <t>TL</t>
        </is>
      </c>
      <c r="H1017" s="17" t="n">
        <v>0.3</v>
      </c>
      <c r="I1017" s="7" t="inlineStr">
        <is>
          <t>3104.20.90</t>
        </is>
      </c>
      <c r="J1017" s="7" t="inlineStr">
        <is>
          <t>NÃO</t>
        </is>
      </c>
      <c r="K1017" s="7" t="inlineStr">
        <is>
          <t>Embalagem Flexível — NÃO LAVÁVEL (Perfurar e usar saco ABNT)</t>
        </is>
      </c>
      <c r="L1017" s="7" t="inlineStr">
        <is>
          <t>SIM (Saco Transparente ABNT)</t>
        </is>
      </c>
      <c r="M1017" s="7" t="inlineStr">
        <is>
          <t>0,00% (Lei nº 10.925/2004)</t>
        </is>
      </c>
      <c r="N1017" s="7" t="inlineStr">
        <is>
          <t>0,925% (LC nº 224/2025)</t>
        </is>
      </c>
      <c r="O1017" s="7" t="inlineStr">
        <is>
          <t>0,365% (LC nº 224/2025)</t>
        </is>
      </c>
      <c r="P1017" s="7" t="inlineStr">
        <is>
          <t>CST 06</t>
        </is>
      </c>
      <c r="Q1017" s="7" t="inlineStr">
        <is>
          <t>CST 73</t>
        </is>
      </c>
      <c r="R1017" s="7" t="inlineStr">
        <is>
          <t>Redução de 60% + Diferimento (Art. 138 e Anexo IX LC 214/2025)</t>
        </is>
      </c>
    </row>
    <row r="1018" ht="22" customHeight="1">
      <c r="A1018" s="12" t="inlineStr">
        <is>
          <t>SKU-1014</t>
        </is>
      </c>
      <c r="B1018" s="11" t="n">
        <v>722</v>
      </c>
      <c r="C1018" s="13" t="inlineStr">
        <is>
          <t>SIPEAGRO (UF-XXXXX)</t>
        </is>
      </c>
      <c r="D1018" s="14" t="inlineStr">
        <is>
          <t>1003007-SUPERFOS TRIP GR 46/36 P2O5+ 10 CA VALIDAR</t>
        </is>
      </c>
      <c r="E1018" s="13" t="inlineStr">
        <is>
          <t>Embalagem Comercial do Produto</t>
        </is>
      </c>
      <c r="F1018" s="13" t="inlineStr">
        <is>
          <t>GRANEL / BIG BAG (1000 TL)</t>
        </is>
      </c>
      <c r="G1018" s="13" t="inlineStr">
        <is>
          <t>TL</t>
        </is>
      </c>
      <c r="H1018" s="15" t="n">
        <v>1</v>
      </c>
      <c r="I1018" s="13" t="inlineStr">
        <is>
          <t>3103.11.00</t>
        </is>
      </c>
      <c r="J1018" s="13" t="inlineStr">
        <is>
          <t>NÃO</t>
        </is>
      </c>
      <c r="K1018" s="13" t="inlineStr">
        <is>
          <t>Embalagem Flexível — NÃO LAVÁVEL (Perfurar e usar saco ABNT)</t>
        </is>
      </c>
      <c r="L1018" s="13" t="inlineStr">
        <is>
          <t>SIM (Saco Transparente ABNT)</t>
        </is>
      </c>
      <c r="M1018" s="13" t="inlineStr">
        <is>
          <t>0,00% (Lei nº 10.925/2004)</t>
        </is>
      </c>
      <c r="N1018" s="13" t="inlineStr">
        <is>
          <t>0,925% (LC nº 224/2025)</t>
        </is>
      </c>
      <c r="O1018" s="13" t="inlineStr">
        <is>
          <t>0,365% (LC nº 224/2025)</t>
        </is>
      </c>
      <c r="P1018" s="13" t="inlineStr">
        <is>
          <t>CST 06</t>
        </is>
      </c>
      <c r="Q1018" s="13" t="inlineStr">
        <is>
          <t>CST 73</t>
        </is>
      </c>
      <c r="R1018" s="13" t="inlineStr">
        <is>
          <t>Redução de 60% + Diferimento (Art. 138 e Anexo IX LC 214/2025)</t>
        </is>
      </c>
    </row>
    <row r="1019" ht="22" customHeight="1">
      <c r="A1019" s="6" t="inlineStr">
        <is>
          <t>SKU-1015</t>
        </is>
      </c>
      <c r="B1019" s="5" t="n">
        <v>722</v>
      </c>
      <c r="C1019" s="7" t="inlineStr">
        <is>
          <t>SIPEAGRO (UF-XXXXX)</t>
        </is>
      </c>
      <c r="D1019" s="8" t="inlineStr">
        <is>
          <t>1003007-SUPERFOS TRIP GR 46/36 P2O5+ 10 CA VALIDAR</t>
        </is>
      </c>
      <c r="E1019" s="7" t="inlineStr">
        <is>
          <t>Faixa 1 TIPI (Apresentação &lt;= 300 g ou mL)</t>
        </is>
      </c>
      <c r="F1019" s="7" t="inlineStr">
        <is>
          <t>Fracionado / Amostra &lt;= 0,3 TL</t>
        </is>
      </c>
      <c r="G1019" s="7" t="inlineStr">
        <is>
          <t>TL</t>
        </is>
      </c>
      <c r="H1019" s="17" t="n">
        <v>0.3</v>
      </c>
      <c r="I1019" s="7" t="inlineStr">
        <is>
          <t>3103.11.00</t>
        </is>
      </c>
      <c r="J1019" s="7" t="inlineStr">
        <is>
          <t>NÃO</t>
        </is>
      </c>
      <c r="K1019" s="7" t="inlineStr">
        <is>
          <t>Embalagem Flexível — NÃO LAVÁVEL (Perfurar e usar saco ABNT)</t>
        </is>
      </c>
      <c r="L1019" s="7" t="inlineStr">
        <is>
          <t>SIM (Saco Transparente ABNT)</t>
        </is>
      </c>
      <c r="M1019" s="7" t="inlineStr">
        <is>
          <t>0,00% (Lei nº 10.925/2004)</t>
        </is>
      </c>
      <c r="N1019" s="7" t="inlineStr">
        <is>
          <t>0,925% (LC nº 224/2025)</t>
        </is>
      </c>
      <c r="O1019" s="7" t="inlineStr">
        <is>
          <t>0,365% (LC nº 224/2025)</t>
        </is>
      </c>
      <c r="P1019" s="7" t="inlineStr">
        <is>
          <t>CST 06</t>
        </is>
      </c>
      <c r="Q1019" s="7" t="inlineStr">
        <is>
          <t>CST 73</t>
        </is>
      </c>
      <c r="R1019" s="7" t="inlineStr">
        <is>
          <t>Redução de 60% + Diferimento (Art. 138 e Anexo IX LC 214/2025)</t>
        </is>
      </c>
    </row>
    <row r="1020" ht="22" customHeight="1">
      <c r="A1020" s="12" t="inlineStr">
        <is>
          <t>SKU-1016</t>
        </is>
      </c>
      <c r="B1020" s="11" t="n">
        <v>723</v>
      </c>
      <c r="C1020" s="13" t="inlineStr">
        <is>
          <t>SIPEAGRO (UF-XXXXX)</t>
        </is>
      </c>
      <c r="D1020" s="14" t="inlineStr">
        <is>
          <t>KCL 00-00-60 - GRAN</t>
        </is>
      </c>
      <c r="E1020" s="13" t="inlineStr">
        <is>
          <t>Embalagem Comercial do Produto</t>
        </is>
      </c>
      <c r="F1020" s="13" t="inlineStr">
        <is>
          <t>1000KG (1000 KG)</t>
        </is>
      </c>
      <c r="G1020" s="13" t="inlineStr">
        <is>
          <t>KG</t>
        </is>
      </c>
      <c r="H1020" s="15" t="n">
        <v>1000</v>
      </c>
      <c r="I1020" s="13" t="inlineStr">
        <is>
          <t>3104.20.90</t>
        </is>
      </c>
      <c r="J1020" s="13" t="inlineStr">
        <is>
          <t>NÃO</t>
        </is>
      </c>
      <c r="K1020" s="13" t="inlineStr">
        <is>
          <t>Embalagem de Insumo Nutricional/Biológico (Logística Reversa)</t>
        </is>
      </c>
      <c r="L1020" s="13" t="inlineStr">
        <is>
          <t>NÃO</t>
        </is>
      </c>
      <c r="M1020" s="13" t="inlineStr">
        <is>
          <t>0,00% (Lei nº 10.925/2004)</t>
        </is>
      </c>
      <c r="N1020" s="13" t="inlineStr">
        <is>
          <t>0,925% (LC nº 224/2025)</t>
        </is>
      </c>
      <c r="O1020" s="13" t="inlineStr">
        <is>
          <t>0,365% (LC nº 224/2025)</t>
        </is>
      </c>
      <c r="P1020" s="13" t="inlineStr">
        <is>
          <t>CST 06</t>
        </is>
      </c>
      <c r="Q1020" s="13" t="inlineStr">
        <is>
          <t>CST 73</t>
        </is>
      </c>
      <c r="R1020" s="13" t="inlineStr">
        <is>
          <t>Redução de 60% + Diferimento (Art. 138 e Anexo IX LC 214/2025)</t>
        </is>
      </c>
    </row>
    <row r="1021" ht="22" customHeight="1">
      <c r="A1021" s="6" t="inlineStr">
        <is>
          <t>SKU-1017</t>
        </is>
      </c>
      <c r="B1021" s="5" t="n">
        <v>723</v>
      </c>
      <c r="C1021" s="7" t="inlineStr">
        <is>
          <t>SIPEAGRO (UF-XXXXX)</t>
        </is>
      </c>
      <c r="D1021" s="8" t="inlineStr">
        <is>
          <t>KCL 00-00-60 - GRAN</t>
        </is>
      </c>
      <c r="E1021" s="7" t="inlineStr">
        <is>
          <t>Faixa 1 TIPI (Apresentação &lt;= 300 g ou mL)</t>
        </is>
      </c>
      <c r="F1021" s="7" t="inlineStr">
        <is>
          <t>Fracionado / Amostra &lt;= 0,3 KG</t>
        </is>
      </c>
      <c r="G1021" s="7" t="inlineStr">
        <is>
          <t>KG</t>
        </is>
      </c>
      <c r="H1021" s="17" t="n">
        <v>0.3</v>
      </c>
      <c r="I1021" s="7" t="inlineStr">
        <is>
          <t>3104.20.90</t>
        </is>
      </c>
      <c r="J1021" s="7" t="inlineStr">
        <is>
          <t>NÃO</t>
        </is>
      </c>
      <c r="K1021" s="7" t="inlineStr">
        <is>
          <t>Embalagem de Insumo Nutricional/Biológico (Logística Reversa)</t>
        </is>
      </c>
      <c r="L1021" s="7" t="inlineStr">
        <is>
          <t>NÃO</t>
        </is>
      </c>
      <c r="M1021" s="7" t="inlineStr">
        <is>
          <t>0,00% (Lei nº 10.925/2004)</t>
        </is>
      </c>
      <c r="N1021" s="7" t="inlineStr">
        <is>
          <t>0,925% (LC nº 224/2025)</t>
        </is>
      </c>
      <c r="O1021" s="7" t="inlineStr">
        <is>
          <t>0,365% (LC nº 224/2025)</t>
        </is>
      </c>
      <c r="P1021" s="7" t="inlineStr">
        <is>
          <t>CST 06</t>
        </is>
      </c>
      <c r="Q1021" s="7" t="inlineStr">
        <is>
          <t>CST 73</t>
        </is>
      </c>
      <c r="R1021" s="7" t="inlineStr">
        <is>
          <t>Redução de 60% + Diferimento (Art. 138 e Anexo IX LC 214/2025)</t>
        </is>
      </c>
    </row>
    <row r="1022" ht="22" customHeight="1">
      <c r="A1022" s="12" t="inlineStr">
        <is>
          <t>SKU-1018</t>
        </is>
      </c>
      <c r="B1022" s="11" t="n">
        <v>724</v>
      </c>
      <c r="C1022" s="13" t="inlineStr">
        <is>
          <t>Nº 14421</t>
        </is>
      </c>
      <c r="D1022" s="14" t="inlineStr">
        <is>
          <t>LEALTY FS IBC 1.000L (IMP) SS</t>
        </is>
      </c>
      <c r="E1022" s="13" t="inlineStr">
        <is>
          <t>Embalagem Comercial do Produto</t>
        </is>
      </c>
      <c r="F1022" s="13" t="inlineStr">
        <is>
          <t>1.000L (1000 L)</t>
        </is>
      </c>
      <c r="G1022" s="13" t="inlineStr">
        <is>
          <t>L</t>
        </is>
      </c>
      <c r="H1022" s="15" t="n">
        <v>1</v>
      </c>
      <c r="I1022" s="13" t="inlineStr">
        <is>
          <t>3808.91.99</t>
        </is>
      </c>
      <c r="J1022" s="13" t="inlineStr">
        <is>
          <t>NÃO</t>
        </is>
      </c>
      <c r="K1022" s="13" t="inlineStr">
        <is>
          <t>Embalagem Rígida — LAVÁVEL (Obrigatória Tríplice Lavagem ou Pressão)</t>
        </is>
      </c>
      <c r="L1022" s="13" t="inlineStr">
        <is>
          <t>NÃO</t>
        </is>
      </c>
      <c r="M1022" s="13" t="inlineStr">
        <is>
          <t>0,00% (Lei nº 10.925/2004)</t>
        </is>
      </c>
      <c r="N1022" s="13" t="inlineStr">
        <is>
          <t>0,925% (LC nº 224/2025)</t>
        </is>
      </c>
      <c r="O1022" s="13" t="inlineStr">
        <is>
          <t>0,365% (LC nº 224/2025)</t>
        </is>
      </c>
      <c r="P1022" s="13" t="inlineStr">
        <is>
          <t>CST 06</t>
        </is>
      </c>
      <c r="Q1022" s="13" t="inlineStr">
        <is>
          <t>CST 73</t>
        </is>
      </c>
      <c r="R1022" s="13" t="inlineStr">
        <is>
          <t>Redução de 60% + Diferimento (Art. 138 e Anexo IX LC 214/2025)</t>
        </is>
      </c>
    </row>
    <row r="1023" ht="22" customHeight="1">
      <c r="A1023" s="6" t="inlineStr">
        <is>
          <t>SKU-1019</t>
        </is>
      </c>
      <c r="B1023" s="5" t="n">
        <v>724</v>
      </c>
      <c r="C1023" s="7" t="inlineStr">
        <is>
          <t>Nº 14421</t>
        </is>
      </c>
      <c r="D1023" s="8" t="inlineStr">
        <is>
          <t>LEALTY FS IBC 1.000L (IMP) SS</t>
        </is>
      </c>
      <c r="E1023" s="7" t="inlineStr">
        <is>
          <t>Faixa 1 TIPI (Apresentação &lt;= 300 g ou mL)</t>
        </is>
      </c>
      <c r="F1023" s="7" t="inlineStr">
        <is>
          <t>Fracionado / Amostra &lt;= 0,3 L</t>
        </is>
      </c>
      <c r="G1023" s="7" t="inlineStr">
        <is>
          <t>L</t>
        </is>
      </c>
      <c r="H1023" s="17" t="n">
        <v>0.3</v>
      </c>
      <c r="I1023" s="7" t="inlineStr">
        <is>
          <t>3808.91.20</t>
        </is>
      </c>
      <c r="J1023" s="7" t="inlineStr">
        <is>
          <t>NÃO</t>
        </is>
      </c>
      <c r="K1023" s="7" t="inlineStr">
        <is>
          <t>Embalagem Rígida — LAVÁVEL (Obrigatória Tríplice Lavagem ou Pressão)</t>
        </is>
      </c>
      <c r="L1023" s="7" t="inlineStr">
        <is>
          <t>NÃO</t>
        </is>
      </c>
      <c r="M1023" s="7" t="inlineStr">
        <is>
          <t>0,00% (Lei nº 10.925/2004)</t>
        </is>
      </c>
      <c r="N1023" s="7" t="inlineStr">
        <is>
          <t>0,925% (LC nº 224/2025)</t>
        </is>
      </c>
      <c r="O1023" s="7" t="inlineStr">
        <is>
          <t>0,365% (LC nº 224/2025)</t>
        </is>
      </c>
      <c r="P1023" s="7" t="inlineStr">
        <is>
          <t>CST 06</t>
        </is>
      </c>
      <c r="Q1023" s="7" t="inlineStr">
        <is>
          <t>CST 73</t>
        </is>
      </c>
      <c r="R1023" s="7" t="inlineStr">
        <is>
          <t>Redução de 60% + Diferimento (Art. 138 e Anexo IX LC 214/2025)</t>
        </is>
      </c>
    </row>
    <row r="1024" ht="22" customHeight="1">
      <c r="A1024" s="12" t="inlineStr">
        <is>
          <t>SKU-1020</t>
        </is>
      </c>
      <c r="B1024" s="11" t="n">
        <v>725</v>
      </c>
      <c r="C1024" s="13" t="inlineStr">
        <is>
          <t>Nº 11819</t>
        </is>
      </c>
      <c r="D1024" s="14" t="inlineStr">
        <is>
          <t>MANCOZEB 800 (PRINCIPIO ATIVO)</t>
        </is>
      </c>
      <c r="E1024" s="13" t="inlineStr">
        <is>
          <t>Embalagem Comercial do Produto</t>
        </is>
      </c>
      <c r="F1024" s="13" t="inlineStr">
        <is>
          <t>GRANEL / P.A. (0 KG)</t>
        </is>
      </c>
      <c r="G1024" s="13" t="inlineStr">
        <is>
          <t>KG</t>
        </is>
      </c>
      <c r="H1024" s="15" t="n">
        <v>0</v>
      </c>
      <c r="I1024" s="13" t="inlineStr">
        <is>
          <t>3808.92.93</t>
        </is>
      </c>
      <c r="J1024" s="13" t="inlineStr">
        <is>
          <t>NÃO</t>
        </is>
      </c>
      <c r="K1024" s="13" t="inlineStr">
        <is>
          <t>Uso Industrial Exclusivo (PGRS / NBR 10004)</t>
        </is>
      </c>
      <c r="L1024" s="13" t="inlineStr">
        <is>
          <t>NÃO</t>
        </is>
      </c>
      <c r="M1024" s="13" t="inlineStr">
        <is>
          <t>0,00% (Lei nº 10.925/2004)</t>
        </is>
      </c>
      <c r="N1024" s="13" t="inlineStr">
        <is>
          <t>0,925% (LC nº 224/2025)</t>
        </is>
      </c>
      <c r="O1024" s="13" t="inlineStr">
        <is>
          <t>0,365% (LC nº 224/2025)</t>
        </is>
      </c>
      <c r="P1024" s="13" t="inlineStr">
        <is>
          <t>CST 06 (Uso Agrícola/Industrial)</t>
        </is>
      </c>
      <c r="Q1024" s="13" t="inlineStr">
        <is>
          <t>CST 73 (Revenda / Destinação)</t>
        </is>
      </c>
      <c r="R1024" s="13" t="inlineStr">
        <is>
          <t>Redução de 60% + Diferimento (Art. 138 LC 214/2025)</t>
        </is>
      </c>
    </row>
    <row r="1025" ht="22" customHeight="1">
      <c r="A1025" s="6" t="inlineStr">
        <is>
          <t>SKU-1021</t>
        </is>
      </c>
      <c r="B1025" s="5" t="n">
        <v>726</v>
      </c>
      <c r="C1025" s="7" t="inlineStr">
        <is>
          <t>Nº 28925</t>
        </is>
      </c>
      <c r="D1025" s="8" t="inlineStr">
        <is>
          <t>S-METOLACHLOR 960 EC BINNONG</t>
        </is>
      </c>
      <c r="E1025" s="7" t="inlineStr">
        <is>
          <t>Embalagem Comercial do Produto</t>
        </is>
      </c>
      <c r="F1025" s="7" t="inlineStr">
        <is>
          <t>20L (20 L)</t>
        </is>
      </c>
      <c r="G1025" s="7" t="inlineStr">
        <is>
          <t>L</t>
        </is>
      </c>
      <c r="H1025" s="9" t="n">
        <v>20</v>
      </c>
      <c r="I1025" s="7" t="inlineStr">
        <is>
          <t>3808.93.29</t>
        </is>
      </c>
      <c r="J1025" s="7" t="inlineStr">
        <is>
          <t>NÃO</t>
        </is>
      </c>
      <c r="K1025" s="7" t="inlineStr">
        <is>
          <t>Embalagem Rígida — LAVÁVEL (Obrigatória Tríplice Lavagem ou Pressão)</t>
        </is>
      </c>
      <c r="L1025" s="7" t="inlineStr">
        <is>
          <t>NÃO</t>
        </is>
      </c>
      <c r="M1025" s="7" t="inlineStr">
        <is>
          <t>0,00% (Lei nº 10.925/2004)</t>
        </is>
      </c>
      <c r="N1025" s="7" t="inlineStr">
        <is>
          <t>0,925% (LC nº 224/2025)</t>
        </is>
      </c>
      <c r="O1025" s="7" t="inlineStr">
        <is>
          <t>0,365% (LC nº 224/2025)</t>
        </is>
      </c>
      <c r="P1025" s="7" t="inlineStr">
        <is>
          <t>CST 06</t>
        </is>
      </c>
      <c r="Q1025" s="7" t="inlineStr">
        <is>
          <t>CST 73</t>
        </is>
      </c>
      <c r="R1025" s="7" t="inlineStr">
        <is>
          <t>Redução de 60% + Diferimento (Art. 138 e Anexo IX LC 214/2025)</t>
        </is>
      </c>
    </row>
    <row r="1026" ht="22" customHeight="1">
      <c r="A1026" s="12" t="inlineStr">
        <is>
          <t>SKU-1022</t>
        </is>
      </c>
      <c r="B1026" s="11" t="n">
        <v>727</v>
      </c>
      <c r="C1026" s="13" t="inlineStr">
        <is>
          <t>Nº 2020</t>
        </is>
      </c>
      <c r="D1026" s="14" t="inlineStr">
        <is>
          <t>BUSHI</t>
        </is>
      </c>
      <c r="E1026" s="13" t="inlineStr">
        <is>
          <t>Embalagem Comercial do Produto</t>
        </is>
      </c>
      <c r="F1026" s="13" t="inlineStr">
        <is>
          <t>1X10L (10 L)</t>
        </is>
      </c>
      <c r="G1026" s="13" t="inlineStr">
        <is>
          <t>L</t>
        </is>
      </c>
      <c r="H1026" s="15" t="n">
        <v>10</v>
      </c>
      <c r="I1026" s="13" t="inlineStr">
        <is>
          <t>3808.69.90</t>
        </is>
      </c>
      <c r="J1026" s="13" t="inlineStr">
        <is>
          <t>SIM</t>
        </is>
      </c>
      <c r="K1026" s="13" t="inlineStr">
        <is>
          <t>Embalagem Rígida — LAVÁVEL (Obrigatória Tríplice Lavagem ou Pressão)</t>
        </is>
      </c>
      <c r="L1026" s="13" t="inlineStr">
        <is>
          <t>NÃO</t>
        </is>
      </c>
      <c r="M1026" s="13" t="inlineStr">
        <is>
          <t>0,00% (Lei nº 10.925/2004)</t>
        </is>
      </c>
      <c r="N1026" s="13" t="inlineStr">
        <is>
          <t>0,925% (LC nº 224/2025)</t>
        </is>
      </c>
      <c r="O1026" s="13" t="inlineStr">
        <is>
          <t>0,365% (LC nº 224/2025)</t>
        </is>
      </c>
      <c r="P1026" s="13" t="inlineStr">
        <is>
          <t>CST 06</t>
        </is>
      </c>
      <c r="Q1026" s="13" t="inlineStr">
        <is>
          <t>CST 73</t>
        </is>
      </c>
      <c r="R1026" s="13" t="inlineStr">
        <is>
          <t>Redução de 60% + Diferimento (Art. 138 e Anexo IX LC 214/2025)</t>
        </is>
      </c>
    </row>
    <row r="1027" ht="22" customHeight="1">
      <c r="A1027" s="6" t="inlineStr">
        <is>
          <t>SKU-1023</t>
        </is>
      </c>
      <c r="B1027" s="5" t="n">
        <v>727</v>
      </c>
      <c r="C1027" s="7" t="inlineStr">
        <is>
          <t>Nº 2020</t>
        </is>
      </c>
      <c r="D1027" s="8" t="inlineStr">
        <is>
          <t>BUSHI</t>
        </is>
      </c>
      <c r="E1027" s="7" t="inlineStr">
        <is>
          <t>Faixa 1 TIPI (Apresentação &lt;= 300 g ou mL)</t>
        </is>
      </c>
      <c r="F1027" s="7" t="inlineStr">
        <is>
          <t>Fracionado / Amostra &lt;= 0,3 L</t>
        </is>
      </c>
      <c r="G1027" s="7" t="inlineStr">
        <is>
          <t>L</t>
        </is>
      </c>
      <c r="H1027" s="17" t="n">
        <v>0.3</v>
      </c>
      <c r="I1027" s="7" t="inlineStr">
        <is>
          <t>3808.61.00</t>
        </is>
      </c>
      <c r="J1027" s="7" t="inlineStr">
        <is>
          <t>SIM</t>
        </is>
      </c>
      <c r="K1027" s="7" t="inlineStr">
        <is>
          <t>Embalagem Rígida — LAVÁVEL (Obrigatória Tríplice Lavagem ou Pressão)</t>
        </is>
      </c>
      <c r="L1027" s="7" t="inlineStr">
        <is>
          <t>NÃO</t>
        </is>
      </c>
      <c r="M1027" s="7" t="inlineStr">
        <is>
          <t>0,00% (Lei nº 10.925/2004)</t>
        </is>
      </c>
      <c r="N1027" s="7" t="inlineStr">
        <is>
          <t>0,925% (LC nº 224/2025)</t>
        </is>
      </c>
      <c r="O1027" s="7" t="inlineStr">
        <is>
          <t>0,365% (LC nº 224/2025)</t>
        </is>
      </c>
      <c r="P1027" s="7" t="inlineStr">
        <is>
          <t>CST 06</t>
        </is>
      </c>
      <c r="Q1027" s="7" t="inlineStr">
        <is>
          <t>CST 73</t>
        </is>
      </c>
      <c r="R1027" s="7" t="inlineStr">
        <is>
          <t>Redução de 60% + Diferimento (Art. 138 e Anexo IX LC 214/2025)</t>
        </is>
      </c>
    </row>
    <row r="1028" ht="22" customHeight="1">
      <c r="A1028" s="12" t="inlineStr">
        <is>
          <t>SKU-1024</t>
        </is>
      </c>
      <c r="B1028" s="11" t="n">
        <v>728</v>
      </c>
      <c r="C1028" s="13" t="inlineStr">
        <is>
          <t>Nº 2710</t>
        </is>
      </c>
      <c r="D1028" s="14" t="inlineStr">
        <is>
          <t>IMIDACLOPRIDO 700 (PRINCIPIO ATIVO)</t>
        </is>
      </c>
      <c r="E1028" s="13" t="inlineStr">
        <is>
          <t>Embalagem Comercial do Produto</t>
        </is>
      </c>
      <c r="F1028" s="13" t="inlineStr">
        <is>
          <t>GRANEL / P.A. (0 KG)</t>
        </is>
      </c>
      <c r="G1028" s="13" t="inlineStr">
        <is>
          <t>KG</t>
        </is>
      </c>
      <c r="H1028" s="15" t="n">
        <v>0</v>
      </c>
      <c r="I1028" s="13" t="inlineStr">
        <is>
          <t>3808.91.99</t>
        </is>
      </c>
      <c r="J1028" s="13" t="inlineStr">
        <is>
          <t>NÃO</t>
        </is>
      </c>
      <c r="K1028" s="13" t="inlineStr">
        <is>
          <t>Uso Industrial Exclusivo (PGRS / NBR 10004)</t>
        </is>
      </c>
      <c r="L1028" s="13" t="inlineStr">
        <is>
          <t>NÃO</t>
        </is>
      </c>
      <c r="M1028" s="13" t="inlineStr">
        <is>
          <t>0,00% (Lei nº 10.925/2004)</t>
        </is>
      </c>
      <c r="N1028" s="13" t="inlineStr">
        <is>
          <t>0,925% (LC nº 224/2025)</t>
        </is>
      </c>
      <c r="O1028" s="13" t="inlineStr">
        <is>
          <t>0,365% (LC nº 224/2025)</t>
        </is>
      </c>
      <c r="P1028" s="13" t="inlineStr">
        <is>
          <t>CST 06 (Uso Agrícola/Industrial)</t>
        </is>
      </c>
      <c r="Q1028" s="13" t="inlineStr">
        <is>
          <t>CST 73 (Revenda / Destinação)</t>
        </is>
      </c>
      <c r="R1028" s="13" t="inlineStr">
        <is>
          <t>Redução de 60% + Diferimento (Art. 138 LC 214/2025)</t>
        </is>
      </c>
    </row>
    <row r="1029" ht="22" customHeight="1">
      <c r="A1029" s="6" t="inlineStr">
        <is>
          <t>SKU-1025</t>
        </is>
      </c>
      <c r="B1029" s="5" t="n">
        <v>728</v>
      </c>
      <c r="C1029" s="7" t="inlineStr">
        <is>
          <t>Nº 2710</t>
        </is>
      </c>
      <c r="D1029" s="8" t="inlineStr">
        <is>
          <t>IMIDACLOPRIDO 700 (PRINCIPIO ATIVO)</t>
        </is>
      </c>
      <c r="E1029" s="7" t="inlineStr">
        <is>
          <t>Faixa 1 TIPI (Apresentação &lt;= 300 g ou mL)</t>
        </is>
      </c>
      <c r="F1029" s="7" t="inlineStr">
        <is>
          <t>Fracionado / Amostra &lt;= 0,3 KG</t>
        </is>
      </c>
      <c r="G1029" s="7" t="inlineStr">
        <is>
          <t>KG</t>
        </is>
      </c>
      <c r="H1029" s="17" t="n">
        <v>0.3</v>
      </c>
      <c r="I1029" s="7" t="inlineStr">
        <is>
          <t>3808.91.20</t>
        </is>
      </c>
      <c r="J1029" s="7" t="inlineStr">
        <is>
          <t>NÃO</t>
        </is>
      </c>
      <c r="K1029" s="7" t="inlineStr">
        <is>
          <t>Uso Industrial Exclusivo (PGRS / NBR 10004)</t>
        </is>
      </c>
      <c r="L1029" s="7" t="inlineStr">
        <is>
          <t>NÃO</t>
        </is>
      </c>
      <c r="M1029" s="7" t="inlineStr">
        <is>
          <t>0,00% (Lei nº 10.925/2004)</t>
        </is>
      </c>
      <c r="N1029" s="7" t="inlineStr">
        <is>
          <t>0,925% (LC nº 224/2025)</t>
        </is>
      </c>
      <c r="O1029" s="7" t="inlineStr">
        <is>
          <t>0,365% (LC nº 224/2025)</t>
        </is>
      </c>
      <c r="P1029" s="7" t="inlineStr">
        <is>
          <t>CST 06 (Uso Agrícola/Industrial)</t>
        </is>
      </c>
      <c r="Q1029" s="7" t="inlineStr">
        <is>
          <t>CST 73 (Revenda / Destinação)</t>
        </is>
      </c>
      <c r="R1029" s="7" t="inlineStr">
        <is>
          <t>Redução de 60% + Diferimento (Art. 138 LC 214/2025)</t>
        </is>
      </c>
    </row>
    <row r="1030" ht="22" customHeight="1">
      <c r="A1030" s="12" t="inlineStr">
        <is>
          <t>SKU-1026</t>
        </is>
      </c>
      <c r="B1030" s="11" t="n">
        <v>729</v>
      </c>
      <c r="C1030" s="13" t="inlineStr">
        <is>
          <t>Nº 2820</t>
        </is>
      </c>
      <c r="D1030" s="14" t="inlineStr">
        <is>
          <t>LIMPA</t>
        </is>
      </c>
      <c r="E1030" s="13" t="inlineStr">
        <is>
          <t>Embalagem Comercial do Produto</t>
        </is>
      </c>
      <c r="F1030" s="13" t="inlineStr">
        <is>
          <t>10KG (10 KG)</t>
        </is>
      </c>
      <c r="G1030" s="13" t="inlineStr">
        <is>
          <t>KG</t>
        </is>
      </c>
      <c r="H1030" s="15" t="n">
        <v>10</v>
      </c>
      <c r="I1030" s="13" t="inlineStr">
        <is>
          <t>3808.93.23</t>
        </is>
      </c>
      <c r="J1030" s="13" t="inlineStr">
        <is>
          <t>NÃO</t>
        </is>
      </c>
      <c r="K1030" s="13" t="inlineStr">
        <is>
          <t>Embalagem Flexível — NÃO LAVÁVEL (Perfurar e usar saco ABNT)</t>
        </is>
      </c>
      <c r="L1030" s="13" t="inlineStr">
        <is>
          <t>SIM (Saco Transparente ABNT)</t>
        </is>
      </c>
      <c r="M1030" s="13" t="inlineStr">
        <is>
          <t>0,00% (Lei nº 10.925/2004)</t>
        </is>
      </c>
      <c r="N1030" s="13" t="inlineStr">
        <is>
          <t>0,925% (LC nº 224/2025)</t>
        </is>
      </c>
      <c r="O1030" s="13" t="inlineStr">
        <is>
          <t>0,365% (LC nº 224/2025)</t>
        </is>
      </c>
      <c r="P1030" s="13" t="inlineStr">
        <is>
          <t>CST 06</t>
        </is>
      </c>
      <c r="Q1030" s="13" t="inlineStr">
        <is>
          <t>CST 73</t>
        </is>
      </c>
      <c r="R1030" s="13" t="inlineStr">
        <is>
          <t>Redução de 60% + Diferimento (Art. 138 e Anexo IX LC 214/2025)</t>
        </is>
      </c>
    </row>
    <row r="1031" ht="22" customHeight="1">
      <c r="A1031" s="6" t="inlineStr">
        <is>
          <t>SKU-1027</t>
        </is>
      </c>
      <c r="B1031" s="5" t="n">
        <v>730</v>
      </c>
      <c r="C1031" s="7" t="inlineStr">
        <is>
          <t>Nº 18723</t>
        </is>
      </c>
      <c r="D1031" s="8" t="inlineStr">
        <is>
          <t>S-METOLACLORO (PRINCIPIO ATIVO)</t>
        </is>
      </c>
      <c r="E1031" s="7" t="inlineStr">
        <is>
          <t>Embalagem Comercial do Produto</t>
        </is>
      </c>
      <c r="F1031" s="7" t="inlineStr">
        <is>
          <t>GRANEL / P.A. (0 L)</t>
        </is>
      </c>
      <c r="G1031" s="7" t="inlineStr">
        <is>
          <t>L</t>
        </is>
      </c>
      <c r="H1031" s="9" t="n">
        <v>0</v>
      </c>
      <c r="I1031" s="7" t="inlineStr">
        <is>
          <t>3808.93.29</t>
        </is>
      </c>
      <c r="J1031" s="7" t="inlineStr">
        <is>
          <t>NÃO</t>
        </is>
      </c>
      <c r="K1031" s="7" t="inlineStr">
        <is>
          <t>Uso Industrial Exclusivo (PGRS / NBR 10004)</t>
        </is>
      </c>
      <c r="L1031" s="7" t="inlineStr">
        <is>
          <t>NÃO</t>
        </is>
      </c>
      <c r="M1031" s="7" t="inlineStr">
        <is>
          <t>0,00% (Lei nº 10.925/2004)</t>
        </is>
      </c>
      <c r="N1031" s="7" t="inlineStr">
        <is>
          <t>0,925% (LC nº 224/2025)</t>
        </is>
      </c>
      <c r="O1031" s="7" t="inlineStr">
        <is>
          <t>0,365% (LC nº 224/2025)</t>
        </is>
      </c>
      <c r="P1031" s="7" t="inlineStr">
        <is>
          <t>CST 06 (Uso Agrícola/Industrial)</t>
        </is>
      </c>
      <c r="Q1031" s="7" t="inlineStr">
        <is>
          <t>CST 73 (Revenda / Destinação)</t>
        </is>
      </c>
      <c r="R1031" s="7" t="inlineStr">
        <is>
          <t>Redução de 60% + Diferimento (Art. 138 LC 214/2025)</t>
        </is>
      </c>
    </row>
    <row r="1032" ht="22" customHeight="1">
      <c r="A1032" s="12" t="inlineStr">
        <is>
          <t>SKU-1028</t>
        </is>
      </c>
      <c r="B1032" s="11" t="n">
        <v>730</v>
      </c>
      <c r="C1032" s="13" t="inlineStr">
        <is>
          <t>Nº 18723</t>
        </is>
      </c>
      <c r="D1032" s="14" t="inlineStr">
        <is>
          <t>S-METOLACLORO (PRINCIPIO ATIVO)</t>
        </is>
      </c>
      <c r="E1032" s="13" t="inlineStr">
        <is>
          <t>Faixa 1 TIPI (Apresentação &lt;= 300 g ou mL)</t>
        </is>
      </c>
      <c r="F1032" s="13" t="inlineStr">
        <is>
          <t>Fracionado / Amostra &lt;= 0,3 L</t>
        </is>
      </c>
      <c r="G1032" s="13" t="inlineStr">
        <is>
          <t>L</t>
        </is>
      </c>
      <c r="H1032" s="18" t="n">
        <v>0.3</v>
      </c>
      <c r="I1032" s="13" t="inlineStr">
        <is>
          <t>3808.93.19</t>
        </is>
      </c>
      <c r="J1032" s="13" t="inlineStr">
        <is>
          <t>NÃO</t>
        </is>
      </c>
      <c r="K1032" s="13" t="inlineStr">
        <is>
          <t>Uso Industrial Exclusivo (PGRS / NBR 10004)</t>
        </is>
      </c>
      <c r="L1032" s="13" t="inlineStr">
        <is>
          <t>NÃO</t>
        </is>
      </c>
      <c r="M1032" s="13" t="inlineStr">
        <is>
          <t>0,00% (Lei nº 10.925/2004)</t>
        </is>
      </c>
      <c r="N1032" s="13" t="inlineStr">
        <is>
          <t>0,925% (LC nº 224/2025)</t>
        </is>
      </c>
      <c r="O1032" s="13" t="inlineStr">
        <is>
          <t>0,365% (LC nº 224/2025)</t>
        </is>
      </c>
      <c r="P1032" s="13" t="inlineStr">
        <is>
          <t>CST 06 (Uso Agrícola/Industrial)</t>
        </is>
      </c>
      <c r="Q1032" s="13" t="inlineStr">
        <is>
          <t>CST 73 (Revenda / Destinação)</t>
        </is>
      </c>
      <c r="R1032" s="13" t="inlineStr">
        <is>
          <t>Redução de 60% + Diferimento (Art. 138 LC 214/2025)</t>
        </is>
      </c>
    </row>
    <row r="1033" ht="22" customHeight="1">
      <c r="A1033" s="6" t="inlineStr">
        <is>
          <t>SKU-1029</t>
        </is>
      </c>
      <c r="B1033" s="5" t="n">
        <v>731</v>
      </c>
      <c r="C1033" s="7" t="inlineStr">
        <is>
          <t>Nº 14518</t>
        </is>
      </c>
      <c r="D1033" s="8" t="inlineStr">
        <is>
          <t>IMAZETAPIR 700 (PRINCIPIO ATIVO)</t>
        </is>
      </c>
      <c r="E1033" s="7" t="inlineStr">
        <is>
          <t>Embalagem Comercial do Produto</t>
        </is>
      </c>
      <c r="F1033" s="7" t="inlineStr">
        <is>
          <t>GRANEL / P.A. (0 KG)</t>
        </is>
      </c>
      <c r="G1033" s="7" t="inlineStr">
        <is>
          <t>KG</t>
        </is>
      </c>
      <c r="H1033" s="9" t="n">
        <v>0</v>
      </c>
      <c r="I1033" s="7" t="inlineStr">
        <is>
          <t>3808.93.27</t>
        </is>
      </c>
      <c r="J1033" s="7" t="inlineStr">
        <is>
          <t>NÃO</t>
        </is>
      </c>
      <c r="K1033" s="7" t="inlineStr">
        <is>
          <t>Uso Industrial Exclusivo (PGRS / NBR 10004)</t>
        </is>
      </c>
      <c r="L1033" s="7" t="inlineStr">
        <is>
          <t>NÃO</t>
        </is>
      </c>
      <c r="M1033" s="7" t="inlineStr">
        <is>
          <t>0,00% (Lei nº 10.925/2004)</t>
        </is>
      </c>
      <c r="N1033" s="7" t="inlineStr">
        <is>
          <t>0,925% (LC nº 224/2025)</t>
        </is>
      </c>
      <c r="O1033" s="7" t="inlineStr">
        <is>
          <t>0,365% (LC nº 224/2025)</t>
        </is>
      </c>
      <c r="P1033" s="7" t="inlineStr">
        <is>
          <t>CST 06 (Uso Agrícola/Industrial)</t>
        </is>
      </c>
      <c r="Q1033" s="7" t="inlineStr">
        <is>
          <t>CST 73 (Revenda / Destinação)</t>
        </is>
      </c>
      <c r="R1033" s="7" t="inlineStr">
        <is>
          <t>Redução de 60% + Diferimento (Art. 138 LC 214/2025)</t>
        </is>
      </c>
    </row>
    <row r="1034" ht="22" customHeight="1">
      <c r="A1034" s="12" t="inlineStr">
        <is>
          <t>SKU-1030</t>
        </is>
      </c>
      <c r="B1034" s="11" t="n">
        <v>732</v>
      </c>
      <c r="C1034" s="13" t="inlineStr">
        <is>
          <t>Nº 9210</t>
        </is>
      </c>
      <c r="D1034" s="14" t="inlineStr">
        <is>
          <t>PIRACLOSTROBINA 133 + EPOXICONAZOL 50 (PR. ATIVO)</t>
        </is>
      </c>
      <c r="E1034" s="13" t="inlineStr">
        <is>
          <t>Embalagem Comercial do Produto</t>
        </is>
      </c>
      <c r="F1034" s="13" t="inlineStr">
        <is>
          <t>GRANEL / P.A. (0 L)</t>
        </is>
      </c>
      <c r="G1034" s="13" t="inlineStr">
        <is>
          <t>L</t>
        </is>
      </c>
      <c r="H1034" s="15" t="n">
        <v>0</v>
      </c>
      <c r="I1034" s="13" t="inlineStr">
        <is>
          <t>3808.92.99</t>
        </is>
      </c>
      <c r="J1034" s="13" t="inlineStr">
        <is>
          <t>NÃO</t>
        </is>
      </c>
      <c r="K1034" s="13" t="inlineStr">
        <is>
          <t>Embalagem Rígida — LAVÁVEL (Obrigatória Tríplice Lavagem ou Pressão)</t>
        </is>
      </c>
      <c r="L1034" s="13" t="inlineStr">
        <is>
          <t>NÃO</t>
        </is>
      </c>
      <c r="M1034" s="13" t="inlineStr">
        <is>
          <t>0,00% (Lei nº 10.925/2004)</t>
        </is>
      </c>
      <c r="N1034" s="13" t="inlineStr">
        <is>
          <t>0,925% (LC nº 224/2025)</t>
        </is>
      </c>
      <c r="O1034" s="13" t="inlineStr">
        <is>
          <t>0,365% (LC nº 224/2025)</t>
        </is>
      </c>
      <c r="P1034" s="13" t="inlineStr">
        <is>
          <t>CST 06</t>
        </is>
      </c>
      <c r="Q1034" s="13" t="inlineStr">
        <is>
          <t>CST 73</t>
        </is>
      </c>
      <c r="R1034" s="13" t="inlineStr">
        <is>
          <t>Redução de 60% + Diferimento (Art. 138 e Anexo IX LC 214/2025)</t>
        </is>
      </c>
    </row>
    <row r="1035" ht="22" customHeight="1">
      <c r="A1035" s="6" t="inlineStr">
        <is>
          <t>SKU-1031</t>
        </is>
      </c>
      <c r="B1035" s="5" t="n">
        <v>733</v>
      </c>
      <c r="C1035" s="7" t="inlineStr">
        <is>
          <t>SIPEAGRO (UF-XXXXX)</t>
        </is>
      </c>
      <c r="D1035" s="8" t="inlineStr">
        <is>
          <t>FFALM 00 45 00 + 160 BBD - MOSAIC</t>
        </is>
      </c>
      <c r="E1035" s="7" t="inlineStr">
        <is>
          <t>Embalagem Comercial do Produto</t>
        </is>
      </c>
      <c r="F1035" s="7" t="inlineStr">
        <is>
          <t>GRANEL / BIG BAG (1000 TL)</t>
        </is>
      </c>
      <c r="G1035" s="7" t="inlineStr">
        <is>
          <t>TL</t>
        </is>
      </c>
      <c r="H1035" s="9" t="n">
        <v>1</v>
      </c>
      <c r="I1035" s="7" t="inlineStr">
        <is>
          <t>3103.90.90</t>
        </is>
      </c>
      <c r="J1035" s="7" t="inlineStr">
        <is>
          <t>NÃO</t>
        </is>
      </c>
      <c r="K1035" s="7" t="inlineStr">
        <is>
          <t>Embalagem Flexível — NÃO LAVÁVEL (Perfurar e usar saco ABNT)</t>
        </is>
      </c>
      <c r="L1035" s="7" t="inlineStr">
        <is>
          <t>SIM (Saco Transparente ABNT)</t>
        </is>
      </c>
      <c r="M1035" s="7" t="inlineStr">
        <is>
          <t>0,00% (Lei nº 10.925/2004)</t>
        </is>
      </c>
      <c r="N1035" s="7" t="inlineStr">
        <is>
          <t>0,925% (LC nº 224/2025)</t>
        </is>
      </c>
      <c r="O1035" s="7" t="inlineStr">
        <is>
          <t>0,365% (LC nº 224/2025)</t>
        </is>
      </c>
      <c r="P1035" s="7" t="inlineStr">
        <is>
          <t>CST 06</t>
        </is>
      </c>
      <c r="Q1035" s="7" t="inlineStr">
        <is>
          <t>CST 73</t>
        </is>
      </c>
      <c r="R1035" s="7" t="inlineStr">
        <is>
          <t>Redução de 60% + Diferimento (Art. 138 e Anexo IX LC 214/2025)</t>
        </is>
      </c>
    </row>
    <row r="1036" ht="22" customHeight="1">
      <c r="A1036" s="12" t="inlineStr">
        <is>
          <t>SKU-1032</t>
        </is>
      </c>
      <c r="B1036" s="11" t="n">
        <v>733</v>
      </c>
      <c r="C1036" s="13" t="inlineStr">
        <is>
          <t>SIPEAGRO (UF-XXXXX)</t>
        </is>
      </c>
      <c r="D1036" s="14" t="inlineStr">
        <is>
          <t>FFALM 00 45 00 + 160 BBD - MOSAIC</t>
        </is>
      </c>
      <c r="E1036" s="13" t="inlineStr">
        <is>
          <t>Faixa 1 TIPI (Apresentação &lt;= 300 g ou mL)</t>
        </is>
      </c>
      <c r="F1036" s="13" t="inlineStr">
        <is>
          <t>Fracionado / Amostra &lt;= 0,3 TL</t>
        </is>
      </c>
      <c r="G1036" s="13" t="inlineStr">
        <is>
          <t>TL</t>
        </is>
      </c>
      <c r="H1036" s="18" t="n">
        <v>0.3</v>
      </c>
      <c r="I1036" s="13" t="inlineStr">
        <is>
          <t>3105.90.90</t>
        </is>
      </c>
      <c r="J1036" s="13" t="inlineStr">
        <is>
          <t>NÃO</t>
        </is>
      </c>
      <c r="K1036" s="13" t="inlineStr">
        <is>
          <t>Embalagem Flexível — NÃO LAVÁVEL (Perfurar e usar saco ABNT)</t>
        </is>
      </c>
      <c r="L1036" s="13" t="inlineStr">
        <is>
          <t>SIM (Saco Transparente ABNT)</t>
        </is>
      </c>
      <c r="M1036" s="13" t="inlineStr">
        <is>
          <t>0,00% (Lei nº 10.925/2004)</t>
        </is>
      </c>
      <c r="N1036" s="13" t="inlineStr">
        <is>
          <t>0,925% (LC nº 224/2025)</t>
        </is>
      </c>
      <c r="O1036" s="13" t="inlineStr">
        <is>
          <t>0,365% (LC nº 224/2025)</t>
        </is>
      </c>
      <c r="P1036" s="13" t="inlineStr">
        <is>
          <t>CST 06</t>
        </is>
      </c>
      <c r="Q1036" s="13" t="inlineStr">
        <is>
          <t>CST 73</t>
        </is>
      </c>
      <c r="R1036" s="13" t="inlineStr">
        <is>
          <t>Redução de 60% + Diferimento (Art. 138 e Anexo IX LC 214/2025)</t>
        </is>
      </c>
    </row>
    <row r="1037" ht="22" customHeight="1">
      <c r="A1037" s="6" t="inlineStr">
        <is>
          <t>SKU-1033</t>
        </is>
      </c>
      <c r="B1037" s="5" t="n">
        <v>734</v>
      </c>
      <c r="C1037" s="7" t="inlineStr">
        <is>
          <t>Nº 34725</t>
        </is>
      </c>
      <c r="D1037" s="8" t="inlineStr">
        <is>
          <t>TRIFLOXISTROBINA 150+PROTIOCONAZOL 175 (P. ATIVO)</t>
        </is>
      </c>
      <c r="E1037" s="7" t="inlineStr">
        <is>
          <t>Embalagem Comercial do Produto</t>
        </is>
      </c>
      <c r="F1037" s="7" t="inlineStr">
        <is>
          <t>EMBALAGEM PADRÃO (25 KG)</t>
        </is>
      </c>
      <c r="G1037" s="7" t="inlineStr">
        <is>
          <t>L</t>
        </is>
      </c>
      <c r="H1037" s="9" t="n">
        <v>25</v>
      </c>
      <c r="I1037" s="7" t="inlineStr">
        <is>
          <t>3808.92.99</t>
        </is>
      </c>
      <c r="J1037" s="7" t="inlineStr">
        <is>
          <t>NÃO</t>
        </is>
      </c>
      <c r="K1037" s="7" t="inlineStr">
        <is>
          <t>Embalagem Rígida — LAVÁVEL (Obrigatória Tríplice Lavagem ou Pressão)</t>
        </is>
      </c>
      <c r="L1037" s="7" t="inlineStr">
        <is>
          <t>NÃO</t>
        </is>
      </c>
      <c r="M1037" s="7" t="inlineStr">
        <is>
          <t>0,00% (Lei nº 10.925/2004)</t>
        </is>
      </c>
      <c r="N1037" s="7" t="inlineStr">
        <is>
          <t>0,925% (LC nº 224/2025)</t>
        </is>
      </c>
      <c r="O1037" s="7" t="inlineStr">
        <is>
          <t>0,365% (LC nº 224/2025)</t>
        </is>
      </c>
      <c r="P1037" s="7" t="inlineStr">
        <is>
          <t>CST 06</t>
        </is>
      </c>
      <c r="Q1037" s="7" t="inlineStr">
        <is>
          <t>CST 73</t>
        </is>
      </c>
      <c r="R1037" s="7" t="inlineStr">
        <is>
          <t>Redução de 60% + Diferimento (Art. 138 e Anexo IX LC 214/2025)</t>
        </is>
      </c>
    </row>
    <row r="1038" ht="22" customHeight="1">
      <c r="A1038" s="12" t="inlineStr">
        <is>
          <t>SKU-1034</t>
        </is>
      </c>
      <c r="B1038" s="11" t="n">
        <v>734</v>
      </c>
      <c r="C1038" s="13" t="inlineStr">
        <is>
          <t>Nº 34725</t>
        </is>
      </c>
      <c r="D1038" s="14" t="inlineStr">
        <is>
          <t>TRIFLOXISTROBINA 150+PROTIOCONAZOL 175 (P. ATIVO)</t>
        </is>
      </c>
      <c r="E1038" s="13" t="inlineStr">
        <is>
          <t>Faixa 1 TIPI (Apresentação &lt;= 300 g ou mL)</t>
        </is>
      </c>
      <c r="F1038" s="13" t="inlineStr">
        <is>
          <t>Fracionado / Amostra &lt;= 0,3 L</t>
        </is>
      </c>
      <c r="G1038" s="13" t="inlineStr">
        <is>
          <t>L</t>
        </is>
      </c>
      <c r="H1038" s="18" t="n">
        <v>0.3</v>
      </c>
      <c r="I1038" s="13" t="inlineStr">
        <is>
          <t>3808.92.20</t>
        </is>
      </c>
      <c r="J1038" s="13" t="inlineStr">
        <is>
          <t>NÃO</t>
        </is>
      </c>
      <c r="K1038" s="13" t="inlineStr">
        <is>
          <t>Embalagem Rígida — LAVÁVEL (Obrigatória Tríplice Lavagem ou Pressão)</t>
        </is>
      </c>
      <c r="L1038" s="13" t="inlineStr">
        <is>
          <t>NÃO</t>
        </is>
      </c>
      <c r="M1038" s="13" t="inlineStr">
        <is>
          <t>0,00% (Lei nº 10.925/2004)</t>
        </is>
      </c>
      <c r="N1038" s="13" t="inlineStr">
        <is>
          <t>0,925% (LC nº 224/2025)</t>
        </is>
      </c>
      <c r="O1038" s="13" t="inlineStr">
        <is>
          <t>0,365% (LC nº 224/2025)</t>
        </is>
      </c>
      <c r="P1038" s="13" t="inlineStr">
        <is>
          <t>CST 06</t>
        </is>
      </c>
      <c r="Q1038" s="13" t="inlineStr">
        <is>
          <t>CST 73</t>
        </is>
      </c>
      <c r="R1038" s="13" t="inlineStr">
        <is>
          <t>Redução de 60% + Diferimento (Art. 138 e Anexo IX LC 214/2025)</t>
        </is>
      </c>
    </row>
    <row r="1039" ht="22" customHeight="1">
      <c r="A1039" s="6" t="inlineStr">
        <is>
          <t>SKU-1035</t>
        </is>
      </c>
      <c r="B1039" s="5" t="n">
        <v>735</v>
      </c>
      <c r="C1039" s="7" t="inlineStr">
        <is>
          <t>Nº 28520</t>
        </is>
      </c>
      <c r="D1039" s="8" t="inlineStr">
        <is>
          <t>GLIFOSATO 720 (PRINCIPIO ATIVO)</t>
        </is>
      </c>
      <c r="E1039" s="7" t="inlineStr">
        <is>
          <t>Embalagem Comercial do Produto</t>
        </is>
      </c>
      <c r="F1039" s="7" t="inlineStr">
        <is>
          <t>GRANEL / P.A. (0 KG)</t>
        </is>
      </c>
      <c r="G1039" s="7" t="inlineStr">
        <is>
          <t>KG</t>
        </is>
      </c>
      <c r="H1039" s="9" t="n">
        <v>0</v>
      </c>
      <c r="I1039" s="7" t="inlineStr">
        <is>
          <t>3808.93.24</t>
        </is>
      </c>
      <c r="J1039" s="7" t="inlineStr">
        <is>
          <t>NÃO</t>
        </is>
      </c>
      <c r="K1039" s="7" t="inlineStr">
        <is>
          <t>Uso Industrial Exclusivo (PGRS / NBR 10004)</t>
        </is>
      </c>
      <c r="L1039" s="7" t="inlineStr">
        <is>
          <t>NÃO</t>
        </is>
      </c>
      <c r="M1039" s="7" t="inlineStr">
        <is>
          <t>0,00% (Lei nº 10.925/2004)</t>
        </is>
      </c>
      <c r="N1039" s="7" t="inlineStr">
        <is>
          <t>0,925% (LC nº 224/2025)</t>
        </is>
      </c>
      <c r="O1039" s="7" t="inlineStr">
        <is>
          <t>0,365% (LC nº 224/2025)</t>
        </is>
      </c>
      <c r="P1039" s="7" t="inlineStr">
        <is>
          <t>CST 06 (Uso Agrícola/Industrial)</t>
        </is>
      </c>
      <c r="Q1039" s="7" t="inlineStr">
        <is>
          <t>CST 73 (Revenda / Destinação)</t>
        </is>
      </c>
      <c r="R1039" s="7" t="inlineStr">
        <is>
          <t>Redução de 60% + Diferimento (Art. 138 LC 214/2025)</t>
        </is>
      </c>
    </row>
    <row r="1040" ht="22" customHeight="1">
      <c r="A1040" s="12" t="inlineStr">
        <is>
          <t>SKU-1036</t>
        </is>
      </c>
      <c r="B1040" s="11" t="n">
        <v>736</v>
      </c>
      <c r="C1040" s="13" t="inlineStr">
        <is>
          <t>Nº 14421</t>
        </is>
      </c>
      <c r="D1040" s="14" t="inlineStr">
        <is>
          <t>LEALTY FS</t>
        </is>
      </c>
      <c r="E1040" s="13" t="inlineStr">
        <is>
          <t>Embalagem Comercial do Produto</t>
        </is>
      </c>
      <c r="F1040" s="13" t="inlineStr">
        <is>
          <t>5X1L (1 L)</t>
        </is>
      </c>
      <c r="G1040" s="13" t="inlineStr">
        <is>
          <t>L</t>
        </is>
      </c>
      <c r="H1040" s="18" t="n">
        <v>0.2</v>
      </c>
      <c r="I1040" s="13" t="inlineStr">
        <is>
          <t>3808.91.99</t>
        </is>
      </c>
      <c r="J1040" s="13" t="inlineStr">
        <is>
          <t>NÃO</t>
        </is>
      </c>
      <c r="K1040" s="13" t="inlineStr">
        <is>
          <t>Embalagem Rígida — LAVÁVEL (Obrigatória Tríplice Lavagem ou Pressão)</t>
        </is>
      </c>
      <c r="L1040" s="13" t="inlineStr">
        <is>
          <t>NÃO</t>
        </is>
      </c>
      <c r="M1040" s="13" t="inlineStr">
        <is>
          <t>0,00% (Lei nº 10.925/2004)</t>
        </is>
      </c>
      <c r="N1040" s="13" t="inlineStr">
        <is>
          <t>0,925% (LC nº 224/2025)</t>
        </is>
      </c>
      <c r="O1040" s="13" t="inlineStr">
        <is>
          <t>0,365% (LC nº 224/2025)</t>
        </is>
      </c>
      <c r="P1040" s="13" t="inlineStr">
        <is>
          <t>CST 06</t>
        </is>
      </c>
      <c r="Q1040" s="13" t="inlineStr">
        <is>
          <t>CST 73</t>
        </is>
      </c>
      <c r="R1040" s="13" t="inlineStr">
        <is>
          <t>Redução de 60% + Diferimento (Art. 138 e Anexo IX LC 214/2025)</t>
        </is>
      </c>
    </row>
    <row r="1041" ht="22" customHeight="1">
      <c r="A1041" s="6" t="inlineStr">
        <is>
          <t>SKU-1037</t>
        </is>
      </c>
      <c r="B1041" s="5" t="n">
        <v>736</v>
      </c>
      <c r="C1041" s="7" t="inlineStr">
        <is>
          <t>Nº 14421</t>
        </is>
      </c>
      <c r="D1041" s="8" t="inlineStr">
        <is>
          <t>LEALTY FS</t>
        </is>
      </c>
      <c r="E1041" s="7" t="inlineStr">
        <is>
          <t>Faixa 1 TIPI (Apresentação &lt;= 300 g ou mL)</t>
        </is>
      </c>
      <c r="F1041" s="7" t="inlineStr">
        <is>
          <t>Fracionado / Amostra &lt;= 0,3 L</t>
        </is>
      </c>
      <c r="G1041" s="7" t="inlineStr">
        <is>
          <t>L</t>
        </is>
      </c>
      <c r="H1041" s="17" t="n">
        <v>0.3</v>
      </c>
      <c r="I1041" s="7" t="inlineStr">
        <is>
          <t>3808.91.20</t>
        </is>
      </c>
      <c r="J1041" s="7" t="inlineStr">
        <is>
          <t>NÃO</t>
        </is>
      </c>
      <c r="K1041" s="7" t="inlineStr">
        <is>
          <t>Embalagem Rígida — LAVÁVEL (Obrigatória Tríplice Lavagem ou Pressão)</t>
        </is>
      </c>
      <c r="L1041" s="7" t="inlineStr">
        <is>
          <t>NÃO</t>
        </is>
      </c>
      <c r="M1041" s="7" t="inlineStr">
        <is>
          <t>0,00% (Lei nº 10.925/2004)</t>
        </is>
      </c>
      <c r="N1041" s="7" t="inlineStr">
        <is>
          <t>0,925% (LC nº 224/2025)</t>
        </is>
      </c>
      <c r="O1041" s="7" t="inlineStr">
        <is>
          <t>0,365% (LC nº 224/2025)</t>
        </is>
      </c>
      <c r="P1041" s="7" t="inlineStr">
        <is>
          <t>CST 06</t>
        </is>
      </c>
      <c r="Q1041" s="7" t="inlineStr">
        <is>
          <t>CST 73</t>
        </is>
      </c>
      <c r="R1041" s="7" t="inlineStr">
        <is>
          <t>Redução de 60% + Diferimento (Art. 138 e Anexo IX LC 214/2025)</t>
        </is>
      </c>
    </row>
    <row r="1042" ht="22" customHeight="1">
      <c r="A1042" s="12" t="inlineStr">
        <is>
          <t>SKU-1038</t>
        </is>
      </c>
      <c r="B1042" s="11" t="n">
        <v>737</v>
      </c>
      <c r="C1042" s="13" t="inlineStr">
        <is>
          <t>Nº 25224</t>
        </is>
      </c>
      <c r="D1042" s="14" t="inlineStr">
        <is>
          <t>CLETODIM 240 EC BRILLIANCE</t>
        </is>
      </c>
      <c r="E1042" s="13" t="inlineStr">
        <is>
          <t>Embalagem Comercial do Produto</t>
        </is>
      </c>
      <c r="F1042" s="13" t="inlineStr">
        <is>
          <t>1X20L (20 L)</t>
        </is>
      </c>
      <c r="G1042" s="13" t="inlineStr">
        <is>
          <t>L</t>
        </is>
      </c>
      <c r="H1042" s="15" t="n">
        <v>20</v>
      </c>
      <c r="I1042" s="13" t="inlineStr">
        <is>
          <t>3808.93.29</t>
        </is>
      </c>
      <c r="J1042" s="13" t="inlineStr">
        <is>
          <t>NÃO</t>
        </is>
      </c>
      <c r="K1042" s="13" t="inlineStr">
        <is>
          <t>Embalagem Rígida — LAVÁVEL (Obrigatória Tríplice Lavagem ou Pressão)</t>
        </is>
      </c>
      <c r="L1042" s="13" t="inlineStr">
        <is>
          <t>NÃO</t>
        </is>
      </c>
      <c r="M1042" s="13" t="inlineStr">
        <is>
          <t>0,00% (Lei nº 10.925/2004)</t>
        </is>
      </c>
      <c r="N1042" s="13" t="inlineStr">
        <is>
          <t>0,925% (LC nº 224/2025)</t>
        </is>
      </c>
      <c r="O1042" s="13" t="inlineStr">
        <is>
          <t>0,365% (LC nº 224/2025)</t>
        </is>
      </c>
      <c r="P1042" s="13" t="inlineStr">
        <is>
          <t>CST 06</t>
        </is>
      </c>
      <c r="Q1042" s="13" t="inlineStr">
        <is>
          <t>CST 73</t>
        </is>
      </c>
      <c r="R1042" s="13" t="inlineStr">
        <is>
          <t>Redução de 60% + Diferimento (Art. 138 e Anexo IX LC 214/2025)</t>
        </is>
      </c>
    </row>
    <row r="1043" ht="22" customHeight="1">
      <c r="A1043" s="6" t="inlineStr">
        <is>
          <t>SKU-1039</t>
        </is>
      </c>
      <c r="B1043" s="5" t="n">
        <v>738</v>
      </c>
      <c r="C1043" s="7" t="inlineStr">
        <is>
          <t>Nº 16223</t>
        </is>
      </c>
      <c r="D1043" s="8" t="inlineStr">
        <is>
          <t>COMPRAY</t>
        </is>
      </c>
      <c r="E1043" s="7" t="inlineStr">
        <is>
          <t>Embalagem Comercial do Produto</t>
        </is>
      </c>
      <c r="F1043" s="7" t="inlineStr">
        <is>
          <t>1X20L (20 L)</t>
        </is>
      </c>
      <c r="G1043" s="7" t="inlineStr">
        <is>
          <t>L</t>
        </is>
      </c>
      <c r="H1043" s="9" t="n">
        <v>20</v>
      </c>
      <c r="I1043" s="7" t="inlineStr">
        <is>
          <t>3808.93.29</t>
        </is>
      </c>
      <c r="J1043" s="7" t="inlineStr">
        <is>
          <t>NÃO</t>
        </is>
      </c>
      <c r="K1043" s="7" t="inlineStr">
        <is>
          <t>Embalagem Rígida — LAVÁVEL (Obrigatória Tríplice Lavagem ou Pressão)</t>
        </is>
      </c>
      <c r="L1043" s="7" t="inlineStr">
        <is>
          <t>NÃO</t>
        </is>
      </c>
      <c r="M1043" s="7" t="inlineStr">
        <is>
          <t>0,00% (Lei nº 10.925/2004)</t>
        </is>
      </c>
      <c r="N1043" s="7" t="inlineStr">
        <is>
          <t>0,925% (LC nº 224/2025)</t>
        </is>
      </c>
      <c r="O1043" s="7" t="inlineStr">
        <is>
          <t>0,365% (LC nº 224/2025)</t>
        </is>
      </c>
      <c r="P1043" s="7" t="inlineStr">
        <is>
          <t>CST 06</t>
        </is>
      </c>
      <c r="Q1043" s="7" t="inlineStr">
        <is>
          <t>CST 73</t>
        </is>
      </c>
      <c r="R1043" s="7" t="inlineStr">
        <is>
          <t>Redução de 60% + Diferimento (Art. 138 e Anexo IX LC 214/2025)</t>
        </is>
      </c>
    </row>
    <row r="1044" ht="22" customHeight="1">
      <c r="A1044" s="12" t="inlineStr">
        <is>
          <t>SKU-1040</t>
        </is>
      </c>
      <c r="B1044" s="11" t="n">
        <v>739</v>
      </c>
      <c r="C1044" s="13" t="inlineStr">
        <is>
          <t>Nº 34725</t>
        </is>
      </c>
      <c r="D1044" s="14" t="inlineStr">
        <is>
          <t>SPIREEL</t>
        </is>
      </c>
      <c r="E1044" s="13" t="inlineStr">
        <is>
          <t>Embalagem Comercial do Produto</t>
        </is>
      </c>
      <c r="F1044" s="13" t="inlineStr">
        <is>
          <t>1X10L (10 L)</t>
        </is>
      </c>
      <c r="G1044" s="13" t="inlineStr">
        <is>
          <t>L</t>
        </is>
      </c>
      <c r="H1044" s="15" t="n">
        <v>10</v>
      </c>
      <c r="I1044" s="13" t="inlineStr">
        <is>
          <t>3808.92.99</t>
        </is>
      </c>
      <c r="J1044" s="13" t="inlineStr">
        <is>
          <t>NÃO</t>
        </is>
      </c>
      <c r="K1044" s="13" t="inlineStr">
        <is>
          <t>Embalagem Rígida — LAVÁVEL (Obrigatória Tríplice Lavagem ou Pressão)</t>
        </is>
      </c>
      <c r="L1044" s="13" t="inlineStr">
        <is>
          <t>NÃO</t>
        </is>
      </c>
      <c r="M1044" s="13" t="inlineStr">
        <is>
          <t>0,00% (Lei nº 10.925/2004)</t>
        </is>
      </c>
      <c r="N1044" s="13" t="inlineStr">
        <is>
          <t>0,925% (LC nº 224/2025)</t>
        </is>
      </c>
      <c r="O1044" s="13" t="inlineStr">
        <is>
          <t>0,365% (LC nº 224/2025)</t>
        </is>
      </c>
      <c r="P1044" s="13" t="inlineStr">
        <is>
          <t>CST 06</t>
        </is>
      </c>
      <c r="Q1044" s="13" t="inlineStr">
        <is>
          <t>CST 73</t>
        </is>
      </c>
      <c r="R1044" s="13" t="inlineStr">
        <is>
          <t>Redução de 60% + Diferimento (Art. 138 e Anexo IX LC 214/2025)</t>
        </is>
      </c>
    </row>
    <row r="1045" ht="22" customHeight="1">
      <c r="A1045" s="6" t="inlineStr">
        <is>
          <t>SKU-1041</t>
        </is>
      </c>
      <c r="B1045" s="5" t="n">
        <v>739</v>
      </c>
      <c r="C1045" s="7" t="inlineStr">
        <is>
          <t>Nº 34725</t>
        </is>
      </c>
      <c r="D1045" s="8" t="inlineStr">
        <is>
          <t>SPIREEL</t>
        </is>
      </c>
      <c r="E1045" s="7" t="inlineStr">
        <is>
          <t>Faixa 1 TIPI (Apresentação &lt;= 300 g ou mL)</t>
        </is>
      </c>
      <c r="F1045" s="7" t="inlineStr">
        <is>
          <t>Fracionado / Amostra &lt;= 0,3 L</t>
        </is>
      </c>
      <c r="G1045" s="7" t="inlineStr">
        <is>
          <t>L</t>
        </is>
      </c>
      <c r="H1045" s="17" t="n">
        <v>0.3</v>
      </c>
      <c r="I1045" s="7" t="inlineStr">
        <is>
          <t>3808.92.20</t>
        </is>
      </c>
      <c r="J1045" s="7" t="inlineStr">
        <is>
          <t>NÃO</t>
        </is>
      </c>
      <c r="K1045" s="7" t="inlineStr">
        <is>
          <t>Embalagem Rígida — LAVÁVEL (Obrigatória Tríplice Lavagem ou Pressão)</t>
        </is>
      </c>
      <c r="L1045" s="7" t="inlineStr">
        <is>
          <t>NÃO</t>
        </is>
      </c>
      <c r="M1045" s="7" t="inlineStr">
        <is>
          <t>0,00% (Lei nº 10.925/2004)</t>
        </is>
      </c>
      <c r="N1045" s="7" t="inlineStr">
        <is>
          <t>0,925% (LC nº 224/2025)</t>
        </is>
      </c>
      <c r="O1045" s="7" t="inlineStr">
        <is>
          <t>0,365% (LC nº 224/2025)</t>
        </is>
      </c>
      <c r="P1045" s="7" t="inlineStr">
        <is>
          <t>CST 06</t>
        </is>
      </c>
      <c r="Q1045" s="7" t="inlineStr">
        <is>
          <t>CST 73</t>
        </is>
      </c>
      <c r="R1045" s="7" t="inlineStr">
        <is>
          <t>Redução de 60% + Diferimento (Art. 138 e Anexo IX LC 214/2025)</t>
        </is>
      </c>
    </row>
    <row r="1046" ht="22" customHeight="1">
      <c r="A1046" s="12" t="inlineStr">
        <is>
          <t>SKU-1042</t>
        </is>
      </c>
      <c r="B1046" s="11" t="n">
        <v>740</v>
      </c>
      <c r="C1046" s="13" t="inlineStr">
        <is>
          <t>Nº 14518</t>
        </is>
      </c>
      <c r="D1046" s="14" t="inlineStr">
        <is>
          <t>SOYACLEAN XTRA</t>
        </is>
      </c>
      <c r="E1046" s="13" t="inlineStr">
        <is>
          <t>Embalagem Comercial do Produto</t>
        </is>
      </c>
      <c r="F1046" s="13" t="inlineStr">
        <is>
          <t>2X5KG (5 KG)</t>
        </is>
      </c>
      <c r="G1046" s="13" t="inlineStr">
        <is>
          <t>KG</t>
        </is>
      </c>
      <c r="H1046" s="15" t="n">
        <v>5</v>
      </c>
      <c r="I1046" s="13" t="inlineStr">
        <is>
          <t>3808.93.27</t>
        </is>
      </c>
      <c r="J1046" s="13" t="inlineStr">
        <is>
          <t>NÃO</t>
        </is>
      </c>
      <c r="K1046" s="13" t="inlineStr">
        <is>
          <t>Embalagem Flexível — NÃO LAVÁVEL (Perfurar e usar saco ABNT)</t>
        </is>
      </c>
      <c r="L1046" s="13" t="inlineStr">
        <is>
          <t>SIM (Saco Transparente ABNT)</t>
        </is>
      </c>
      <c r="M1046" s="13" t="inlineStr">
        <is>
          <t>0,00% (Lei nº 10.925/2004)</t>
        </is>
      </c>
      <c r="N1046" s="13" t="inlineStr">
        <is>
          <t>0,925% (LC nº 224/2025)</t>
        </is>
      </c>
      <c r="O1046" s="13" t="inlineStr">
        <is>
          <t>0,365% (LC nº 224/2025)</t>
        </is>
      </c>
      <c r="P1046" s="13" t="inlineStr">
        <is>
          <t>CST 06</t>
        </is>
      </c>
      <c r="Q1046" s="13" t="inlineStr">
        <is>
          <t>CST 73</t>
        </is>
      </c>
      <c r="R1046" s="13" t="inlineStr">
        <is>
          <t>Redução de 60% + Diferimento (Art. 138 e Anexo IX LC 214/2025)</t>
        </is>
      </c>
    </row>
    <row r="1047" ht="22" customHeight="1">
      <c r="A1047" s="6" t="inlineStr">
        <is>
          <t>SKU-1043</t>
        </is>
      </c>
      <c r="B1047" s="5" t="n">
        <v>741</v>
      </c>
      <c r="C1047" s="7" t="inlineStr">
        <is>
          <t>Nº 31522</t>
        </is>
      </c>
      <c r="D1047" s="8" t="inlineStr">
        <is>
          <t>MITTO 900 (5X1KG)X4 (IMP) RW (VALIDAR)</t>
        </is>
      </c>
      <c r="E1047" s="7" t="inlineStr">
        <is>
          <t>Embalagem Comercial do Produto</t>
        </is>
      </c>
      <c r="F1047" s="7" t="inlineStr">
        <is>
          <t>5X1KG (1 KG)</t>
        </is>
      </c>
      <c r="G1047" s="7" t="inlineStr">
        <is>
          <t>KG</t>
        </is>
      </c>
      <c r="H1047" s="9" t="n">
        <v>1</v>
      </c>
      <c r="I1047" s="7" t="inlineStr">
        <is>
          <t>3808.91.99</t>
        </is>
      </c>
      <c r="J1047" s="7" t="inlineStr">
        <is>
          <t>NÃO</t>
        </is>
      </c>
      <c r="K1047" s="7" t="inlineStr">
        <is>
          <t>Embalagem Flexível — NÃO LAVÁVEL (Perfurar e usar saco ABNT)</t>
        </is>
      </c>
      <c r="L1047" s="7" t="inlineStr">
        <is>
          <t>SIM (Saco Transparente ABNT)</t>
        </is>
      </c>
      <c r="M1047" s="7" t="inlineStr">
        <is>
          <t>0,00% (Lei nº 10.925/2004)</t>
        </is>
      </c>
      <c r="N1047" s="7" t="inlineStr">
        <is>
          <t>0,925% (LC nº 224/2025)</t>
        </is>
      </c>
      <c r="O1047" s="7" t="inlineStr">
        <is>
          <t>0,365% (LC nº 224/2025)</t>
        </is>
      </c>
      <c r="P1047" s="7" t="inlineStr">
        <is>
          <t>CST 06</t>
        </is>
      </c>
      <c r="Q1047" s="7" t="inlineStr">
        <is>
          <t>CST 73</t>
        </is>
      </c>
      <c r="R1047" s="7" t="inlineStr">
        <is>
          <t>Redução de 60% + Diferimento (Art. 138 e Anexo IX LC 214/2025)</t>
        </is>
      </c>
    </row>
    <row r="1048" ht="22" customHeight="1">
      <c r="A1048" s="12" t="inlineStr">
        <is>
          <t>SKU-1044</t>
        </is>
      </c>
      <c r="B1048" s="11" t="n">
        <v>742</v>
      </c>
      <c r="C1048" s="13" t="inlineStr">
        <is>
          <t>SIPEAGRO (UF-XXXXX)</t>
        </is>
      </c>
      <c r="D1048" s="14" t="inlineStr">
        <is>
          <t>BORO GRANULADO 14.5%B - DREYMOOR</t>
        </is>
      </c>
      <c r="E1048" s="13" t="inlineStr">
        <is>
          <t>Embalagem Comercial do Produto</t>
        </is>
      </c>
      <c r="F1048" s="13" t="inlineStr">
        <is>
          <t>GRANEL / BIG BAG (1000 TL)</t>
        </is>
      </c>
      <c r="G1048" s="13" t="inlineStr">
        <is>
          <t>TL</t>
        </is>
      </c>
      <c r="H1048" s="15" t="n">
        <v>1</v>
      </c>
      <c r="I1048" s="13" t="inlineStr">
        <is>
          <t>2840.19.00</t>
        </is>
      </c>
      <c r="J1048" s="13" t="inlineStr">
        <is>
          <t>NÃO</t>
        </is>
      </c>
      <c r="K1048" s="13" t="inlineStr">
        <is>
          <t>Embalagem Flexível — NÃO LAVÁVEL (Perfurar e usar saco ABNT)</t>
        </is>
      </c>
      <c r="L1048" s="13" t="inlineStr">
        <is>
          <t>SIM (Saco Transparente ABNT)</t>
        </is>
      </c>
      <c r="M1048" s="13" t="inlineStr">
        <is>
          <t>0,00% (Lei nº 10.925/2004)</t>
        </is>
      </c>
      <c r="N1048" s="13" t="inlineStr">
        <is>
          <t>0,925% (LC nº 224/2025)</t>
        </is>
      </c>
      <c r="O1048" s="13" t="inlineStr">
        <is>
          <t>0,365% (LC nº 224/2025)</t>
        </is>
      </c>
      <c r="P1048" s="13" t="inlineStr">
        <is>
          <t>CST 06 (Uso Agrícola/Industrial)</t>
        </is>
      </c>
      <c r="Q1048" s="13" t="inlineStr">
        <is>
          <t>CST 73 (Revenda / Destinação)</t>
        </is>
      </c>
      <c r="R1048" s="13" t="inlineStr">
        <is>
          <t>Redução de 60% + Diferimento (Art. 138 LC 214/2025)</t>
        </is>
      </c>
    </row>
    <row r="1049" ht="22" customHeight="1">
      <c r="A1049" s="6" t="inlineStr">
        <is>
          <t>SKU-1045</t>
        </is>
      </c>
      <c r="B1049" s="5" t="n">
        <v>742</v>
      </c>
      <c r="C1049" s="7" t="inlineStr">
        <is>
          <t>SIPEAGRO (UF-XXXXX)</t>
        </is>
      </c>
      <c r="D1049" s="8" t="inlineStr">
        <is>
          <t>BORO GRANULADO 14.5%B - DREYMOOR</t>
        </is>
      </c>
      <c r="E1049" s="7" t="inlineStr">
        <is>
          <t>Faixa 1 TIPI (Apresentação &lt;= 300 g ou mL)</t>
        </is>
      </c>
      <c r="F1049" s="7" t="inlineStr">
        <is>
          <t>Fracionado / Amostra &lt;= 0,3 TL</t>
        </is>
      </c>
      <c r="G1049" s="7" t="inlineStr">
        <is>
          <t>TL</t>
        </is>
      </c>
      <c r="H1049" s="17" t="n">
        <v>0.3</v>
      </c>
      <c r="I1049" s="7" t="inlineStr">
        <is>
          <t>3105.90.90</t>
        </is>
      </c>
      <c r="J1049" s="7" t="inlineStr">
        <is>
          <t>NÃO</t>
        </is>
      </c>
      <c r="K1049" s="7" t="inlineStr">
        <is>
          <t>Embalagem Flexível — NÃO LAVÁVEL (Perfurar e usar saco ABNT)</t>
        </is>
      </c>
      <c r="L1049" s="7" t="inlineStr">
        <is>
          <t>SIM (Saco Transparente ABNT)</t>
        </is>
      </c>
      <c r="M1049" s="7" t="inlineStr">
        <is>
          <t>0,00% (Lei nº 10.925/2004)</t>
        </is>
      </c>
      <c r="N1049" s="7" t="inlineStr">
        <is>
          <t>0,925% (LC nº 224/2025)</t>
        </is>
      </c>
      <c r="O1049" s="7" t="inlineStr">
        <is>
          <t>0,365% (LC nº 224/2025)</t>
        </is>
      </c>
      <c r="P1049" s="7" t="inlineStr">
        <is>
          <t>CST 06 (Uso Agrícola/Industrial)</t>
        </is>
      </c>
      <c r="Q1049" s="7" t="inlineStr">
        <is>
          <t>CST 73 (Revenda / Destinação)</t>
        </is>
      </c>
      <c r="R1049" s="7" t="inlineStr">
        <is>
          <t>Redução de 60% + Diferimento (Art. 138 LC 214/2025)</t>
        </is>
      </c>
    </row>
    <row r="1050" ht="22" customHeight="1">
      <c r="A1050" s="12" t="inlineStr">
        <is>
          <t>SKU-1046</t>
        </is>
      </c>
      <c r="B1050" s="11" t="n">
        <v>743</v>
      </c>
      <c r="C1050" s="13" t="inlineStr">
        <is>
          <t>Nº 27025</t>
        </is>
      </c>
      <c r="D1050" s="14" t="inlineStr">
        <is>
          <t>PYROX</t>
        </is>
      </c>
      <c r="E1050" s="13" t="inlineStr">
        <is>
          <t>Embalagem Comercial do Produto</t>
        </is>
      </c>
      <c r="F1050" s="13" t="inlineStr">
        <is>
          <t>1X20L (20 L)</t>
        </is>
      </c>
      <c r="G1050" s="13" t="inlineStr">
        <is>
          <t>L</t>
        </is>
      </c>
      <c r="H1050" s="15" t="n">
        <v>20</v>
      </c>
      <c r="I1050" s="13" t="inlineStr">
        <is>
          <t>3808.93.27</t>
        </is>
      </c>
      <c r="J1050" s="13" t="inlineStr">
        <is>
          <t>NÃO</t>
        </is>
      </c>
      <c r="K1050" s="13" t="inlineStr">
        <is>
          <t>Embalagem Rígida — LAVÁVEL (Obrigatória Tríplice Lavagem ou Pressão)</t>
        </is>
      </c>
      <c r="L1050" s="13" t="inlineStr">
        <is>
          <t>NÃO</t>
        </is>
      </c>
      <c r="M1050" s="13" t="inlineStr">
        <is>
          <t>0,00% (Lei nº 10.925/2004)</t>
        </is>
      </c>
      <c r="N1050" s="13" t="inlineStr">
        <is>
          <t>0,925% (LC nº 224/2025)</t>
        </is>
      </c>
      <c r="O1050" s="13" t="inlineStr">
        <is>
          <t>0,365% (LC nº 224/2025)</t>
        </is>
      </c>
      <c r="P1050" s="13" t="inlineStr">
        <is>
          <t>CST 06</t>
        </is>
      </c>
      <c r="Q1050" s="13" t="inlineStr">
        <is>
          <t>CST 73</t>
        </is>
      </c>
      <c r="R1050" s="13" t="inlineStr">
        <is>
          <t>Redução de 60% + Diferimento (Art. 138 e Anexo IX LC 214/2025)</t>
        </is>
      </c>
    </row>
    <row r="1051" ht="22" customHeight="1">
      <c r="A1051" s="6" t="inlineStr">
        <is>
          <t>SKU-1047</t>
        </is>
      </c>
      <c r="B1051" s="5" t="n">
        <v>743</v>
      </c>
      <c r="C1051" s="7" t="inlineStr">
        <is>
          <t>Nº 27025</t>
        </is>
      </c>
      <c r="D1051" s="8" t="inlineStr">
        <is>
          <t>PYROX</t>
        </is>
      </c>
      <c r="E1051" s="7" t="inlineStr">
        <is>
          <t>Faixa 1 TIPI (Apresentação &lt;= 300 g ou mL)</t>
        </is>
      </c>
      <c r="F1051" s="7" t="inlineStr">
        <is>
          <t>Fracionado / Amostra &lt;= 0,3 L</t>
        </is>
      </c>
      <c r="G1051" s="7" t="inlineStr">
        <is>
          <t>L</t>
        </is>
      </c>
      <c r="H1051" s="17" t="n">
        <v>0.3</v>
      </c>
      <c r="I1051" s="7" t="inlineStr">
        <is>
          <t>3808.93.19</t>
        </is>
      </c>
      <c r="J1051" s="7" t="inlineStr">
        <is>
          <t>NÃO</t>
        </is>
      </c>
      <c r="K1051" s="7" t="inlineStr">
        <is>
          <t>Embalagem Rígida — LAVÁVEL (Obrigatória Tríplice Lavagem ou Pressão)</t>
        </is>
      </c>
      <c r="L1051" s="7" t="inlineStr">
        <is>
          <t>NÃO</t>
        </is>
      </c>
      <c r="M1051" s="7" t="inlineStr">
        <is>
          <t>0,00% (Lei nº 10.925/2004)</t>
        </is>
      </c>
      <c r="N1051" s="7" t="inlineStr">
        <is>
          <t>0,925% (LC nº 224/2025)</t>
        </is>
      </c>
      <c r="O1051" s="7" t="inlineStr">
        <is>
          <t>0,365% (LC nº 224/2025)</t>
        </is>
      </c>
      <c r="P1051" s="7" t="inlineStr">
        <is>
          <t>CST 06</t>
        </is>
      </c>
      <c r="Q1051" s="7" t="inlineStr">
        <is>
          <t>CST 73</t>
        </is>
      </c>
      <c r="R1051" s="7" t="inlineStr">
        <is>
          <t>Redução de 60% + Diferimento (Art. 138 e Anexo IX LC 214/2025)</t>
        </is>
      </c>
    </row>
    <row r="1052" ht="22" customHeight="1">
      <c r="A1052" s="12" t="inlineStr">
        <is>
          <t>SKU-1048</t>
        </is>
      </c>
      <c r="B1052" s="11" t="n">
        <v>744</v>
      </c>
      <c r="C1052" s="13" t="inlineStr">
        <is>
          <t>Nº 28925</t>
        </is>
      </c>
      <c r="D1052" s="14" t="inlineStr">
        <is>
          <t>S-METOLACHLOR 960 EC BINNONG</t>
        </is>
      </c>
      <c r="E1052" s="13" t="inlineStr">
        <is>
          <t>Embalagem Comercial do Produto</t>
        </is>
      </c>
      <c r="F1052" s="13" t="inlineStr">
        <is>
          <t>1X20L (20 L)</t>
        </is>
      </c>
      <c r="G1052" s="13" t="inlineStr">
        <is>
          <t>L</t>
        </is>
      </c>
      <c r="H1052" s="15" t="n">
        <v>20</v>
      </c>
      <c r="I1052" s="13" t="inlineStr">
        <is>
          <t>3808.93.29</t>
        </is>
      </c>
      <c r="J1052" s="13" t="inlineStr">
        <is>
          <t>NÃO</t>
        </is>
      </c>
      <c r="K1052" s="13" t="inlineStr">
        <is>
          <t>Embalagem Rígida — LAVÁVEL (Obrigatória Tríplice Lavagem ou Pressão)</t>
        </is>
      </c>
      <c r="L1052" s="13" t="inlineStr">
        <is>
          <t>NÃO</t>
        </is>
      </c>
      <c r="M1052" s="13" t="inlineStr">
        <is>
          <t>0,00% (Lei nº 10.925/2004)</t>
        </is>
      </c>
      <c r="N1052" s="13" t="inlineStr">
        <is>
          <t>0,925% (LC nº 224/2025)</t>
        </is>
      </c>
      <c r="O1052" s="13" t="inlineStr">
        <is>
          <t>0,365% (LC nº 224/2025)</t>
        </is>
      </c>
      <c r="P1052" s="13" t="inlineStr">
        <is>
          <t>CST 06</t>
        </is>
      </c>
      <c r="Q1052" s="13" t="inlineStr">
        <is>
          <t>CST 73</t>
        </is>
      </c>
      <c r="R1052" s="13" t="inlineStr">
        <is>
          <t>Redução de 60% + Diferimento (Art. 138 e Anexo IX LC 214/2025)</t>
        </is>
      </c>
    </row>
    <row r="1053" ht="22" customHeight="1">
      <c r="A1053" s="6" t="inlineStr">
        <is>
          <t>SKU-1049</t>
        </is>
      </c>
      <c r="B1053" s="5" t="n">
        <v>745</v>
      </c>
      <c r="C1053" s="7" t="inlineStr">
        <is>
          <t>Nº 47125</t>
        </is>
      </c>
      <c r="D1053" s="8" t="inlineStr">
        <is>
          <t>CHLORFENAPYR</t>
        </is>
      </c>
      <c r="E1053" s="7" t="inlineStr">
        <is>
          <t>Embalagem Comercial do Produto</t>
        </is>
      </c>
      <c r="F1053" s="7" t="inlineStr">
        <is>
          <t>1X20L (20 L)</t>
        </is>
      </c>
      <c r="G1053" s="7" t="inlineStr">
        <is>
          <t>L</t>
        </is>
      </c>
      <c r="H1053" s="9" t="n">
        <v>20</v>
      </c>
      <c r="I1053" s="7" t="inlineStr">
        <is>
          <t>3808.69.90</t>
        </is>
      </c>
      <c r="J1053" s="7" t="inlineStr">
        <is>
          <t>SIM</t>
        </is>
      </c>
      <c r="K1053" s="7" t="inlineStr">
        <is>
          <t>Embalagem Rígida — LAVÁVEL (Obrigatória Tríplice Lavagem ou Pressão)</t>
        </is>
      </c>
      <c r="L1053" s="7" t="inlineStr">
        <is>
          <t>NÃO</t>
        </is>
      </c>
      <c r="M1053" s="7" t="inlineStr">
        <is>
          <t>0,00% (Lei nº 10.925/2004)</t>
        </is>
      </c>
      <c r="N1053" s="7" t="inlineStr">
        <is>
          <t>0,925% (LC nº 224/2025)</t>
        </is>
      </c>
      <c r="O1053" s="7" t="inlineStr">
        <is>
          <t>0,365% (LC nº 224/2025)</t>
        </is>
      </c>
      <c r="P1053" s="7" t="inlineStr">
        <is>
          <t>CST 06</t>
        </is>
      </c>
      <c r="Q1053" s="7" t="inlineStr">
        <is>
          <t>CST 73</t>
        </is>
      </c>
      <c r="R1053" s="7" t="inlineStr">
        <is>
          <t>Redução de 60% + Diferimento (Art. 138 e Anexo IX LC 214/2025)</t>
        </is>
      </c>
    </row>
    <row r="1054" ht="22" customHeight="1">
      <c r="A1054" s="12" t="inlineStr">
        <is>
          <t>SKU-1050</t>
        </is>
      </c>
      <c r="B1054" s="11" t="n">
        <v>745</v>
      </c>
      <c r="C1054" s="13" t="inlineStr">
        <is>
          <t>Nº 47125</t>
        </is>
      </c>
      <c r="D1054" s="14" t="inlineStr">
        <is>
          <t>CHLORFENAPYR</t>
        </is>
      </c>
      <c r="E1054" s="13" t="inlineStr">
        <is>
          <t>Faixa 1 TIPI (Apresentação &lt;= 300 g ou mL)</t>
        </is>
      </c>
      <c r="F1054" s="13" t="inlineStr">
        <is>
          <t>Fracionado / Amostra &lt;= 0,3 L</t>
        </is>
      </c>
      <c r="G1054" s="13" t="inlineStr">
        <is>
          <t>L</t>
        </is>
      </c>
      <c r="H1054" s="18" t="n">
        <v>0.3</v>
      </c>
      <c r="I1054" s="13" t="inlineStr">
        <is>
          <t>3808.61.00</t>
        </is>
      </c>
      <c r="J1054" s="13" t="inlineStr">
        <is>
          <t>SIM</t>
        </is>
      </c>
      <c r="K1054" s="13" t="inlineStr">
        <is>
          <t>Embalagem Rígida — LAVÁVEL (Obrigatória Tríplice Lavagem ou Pressão)</t>
        </is>
      </c>
      <c r="L1054" s="13" t="inlineStr">
        <is>
          <t>NÃO</t>
        </is>
      </c>
      <c r="M1054" s="13" t="inlineStr">
        <is>
          <t>0,00% (Lei nº 10.925/2004)</t>
        </is>
      </c>
      <c r="N1054" s="13" t="inlineStr">
        <is>
          <t>0,925% (LC nº 224/2025)</t>
        </is>
      </c>
      <c r="O1054" s="13" t="inlineStr">
        <is>
          <t>0,365% (LC nº 224/2025)</t>
        </is>
      </c>
      <c r="P1054" s="13" t="inlineStr">
        <is>
          <t>CST 06</t>
        </is>
      </c>
      <c r="Q1054" s="13" t="inlineStr">
        <is>
          <t>CST 73</t>
        </is>
      </c>
      <c r="R1054" s="13" t="inlineStr">
        <is>
          <t>Redução de 60% + Diferimento (Art. 138 e Anexo IX LC 214/2025)</t>
        </is>
      </c>
    </row>
    <row r="1055" ht="22" customHeight="1">
      <c r="A1055" s="6" t="inlineStr">
        <is>
          <t>SKU-1051</t>
        </is>
      </c>
      <c r="B1055" s="5" t="n">
        <v>746</v>
      </c>
      <c r="C1055" s="7" t="inlineStr">
        <is>
          <t>Nº 23623</t>
        </is>
      </c>
      <c r="D1055" s="8" t="inlineStr">
        <is>
          <t>GLIMOR WG</t>
        </is>
      </c>
      <c r="E1055" s="7" t="inlineStr">
        <is>
          <t>Embalagem Comercial do Produto</t>
        </is>
      </c>
      <c r="F1055" s="7" t="inlineStr">
        <is>
          <t>1X10KG (10 KG)</t>
        </is>
      </c>
      <c r="G1055" s="7" t="inlineStr">
        <is>
          <t>KG</t>
        </is>
      </c>
      <c r="H1055" s="9" t="n">
        <v>10</v>
      </c>
      <c r="I1055" s="7" t="inlineStr">
        <is>
          <t>3808.93.24</t>
        </is>
      </c>
      <c r="J1055" s="7" t="inlineStr">
        <is>
          <t>NÃO</t>
        </is>
      </c>
      <c r="K1055" s="7" t="inlineStr">
        <is>
          <t>Embalagem Flexível — NÃO LAVÁVEL (Perfurar e usar saco ABNT)</t>
        </is>
      </c>
      <c r="L1055" s="7" t="inlineStr">
        <is>
          <t>SIM (Saco Transparente ABNT)</t>
        </is>
      </c>
      <c r="M1055" s="7" t="inlineStr">
        <is>
          <t>0,00% (Lei nº 10.925/2004)</t>
        </is>
      </c>
      <c r="N1055" s="7" t="inlineStr">
        <is>
          <t>0,925% (LC nº 224/2025)</t>
        </is>
      </c>
      <c r="O1055" s="7" t="inlineStr">
        <is>
          <t>0,365% (LC nº 224/2025)</t>
        </is>
      </c>
      <c r="P1055" s="7" t="inlineStr">
        <is>
          <t>CST 06</t>
        </is>
      </c>
      <c r="Q1055" s="7" t="inlineStr">
        <is>
          <t>CST 73</t>
        </is>
      </c>
      <c r="R1055" s="7" t="inlineStr">
        <is>
          <t>Redução de 60% + Diferimento (Art. 138 e Anexo IX LC 214/2025)</t>
        </is>
      </c>
    </row>
    <row r="1056" ht="22" customHeight="1">
      <c r="A1056" s="12" t="inlineStr">
        <is>
          <t>SKU-1052</t>
        </is>
      </c>
      <c r="B1056" s="11" t="n">
        <v>747</v>
      </c>
      <c r="C1056" s="13" t="inlineStr">
        <is>
          <t>Nº 25224</t>
        </is>
      </c>
      <c r="D1056" s="14" t="inlineStr">
        <is>
          <t>CLETODIM 240 EC BRILLIANCE</t>
        </is>
      </c>
      <c r="E1056" s="13" t="inlineStr">
        <is>
          <t>Embalagem Comercial do Produto</t>
        </is>
      </c>
      <c r="F1056" s="13" t="inlineStr">
        <is>
          <t>1X20L (20 L)</t>
        </is>
      </c>
      <c r="G1056" s="13" t="inlineStr">
        <is>
          <t>L</t>
        </is>
      </c>
      <c r="H1056" s="15" t="n">
        <v>20</v>
      </c>
      <c r="I1056" s="13" t="inlineStr">
        <is>
          <t>3808.93.29</t>
        </is>
      </c>
      <c r="J1056" s="13" t="inlineStr">
        <is>
          <t>NÃO</t>
        </is>
      </c>
      <c r="K1056" s="13" t="inlineStr">
        <is>
          <t>Embalagem Rígida — LAVÁVEL (Obrigatória Tríplice Lavagem ou Pressão)</t>
        </is>
      </c>
      <c r="L1056" s="13" t="inlineStr">
        <is>
          <t>NÃO</t>
        </is>
      </c>
      <c r="M1056" s="13" t="inlineStr">
        <is>
          <t>0,00% (Lei nº 10.925/2004)</t>
        </is>
      </c>
      <c r="N1056" s="13" t="inlineStr">
        <is>
          <t>0,925% (LC nº 224/2025)</t>
        </is>
      </c>
      <c r="O1056" s="13" t="inlineStr">
        <is>
          <t>0,365% (LC nº 224/2025)</t>
        </is>
      </c>
      <c r="P1056" s="13" t="inlineStr">
        <is>
          <t>CST 06</t>
        </is>
      </c>
      <c r="Q1056" s="13" t="inlineStr">
        <is>
          <t>CST 73</t>
        </is>
      </c>
      <c r="R1056" s="13" t="inlineStr">
        <is>
          <t>Redução de 60% + Diferimento (Art. 138 e Anexo IX LC 214/2025)</t>
        </is>
      </c>
    </row>
    <row r="1057" ht="22" customHeight="1">
      <c r="A1057" s="6" t="inlineStr">
        <is>
          <t>SKU-1053</t>
        </is>
      </c>
      <c r="B1057" s="5" t="n">
        <v>748</v>
      </c>
      <c r="C1057" s="7" t="inlineStr">
        <is>
          <t>Nº 15725</t>
        </is>
      </c>
      <c r="D1057" s="8" t="inlineStr">
        <is>
          <t>CLETODIM 360 EC BRILLIANCE</t>
        </is>
      </c>
      <c r="E1057" s="7" t="inlineStr">
        <is>
          <t>Embalagem Comercial do Produto</t>
        </is>
      </c>
      <c r="F1057" s="7" t="inlineStr">
        <is>
          <t>1X20L (20 L)</t>
        </is>
      </c>
      <c r="G1057" s="7" t="inlineStr">
        <is>
          <t>L</t>
        </is>
      </c>
      <c r="H1057" s="9" t="n">
        <v>20</v>
      </c>
      <c r="I1057" s="7" t="inlineStr">
        <is>
          <t>3808.93.29</t>
        </is>
      </c>
      <c r="J1057" s="7" t="inlineStr">
        <is>
          <t>NÃO</t>
        </is>
      </c>
      <c r="K1057" s="7" t="inlineStr">
        <is>
          <t>Embalagem Rígida — LAVÁVEL (Obrigatória Tríplice Lavagem ou Pressão)</t>
        </is>
      </c>
      <c r="L1057" s="7" t="inlineStr">
        <is>
          <t>NÃO</t>
        </is>
      </c>
      <c r="M1057" s="7" t="inlineStr">
        <is>
          <t>0,00% (Lei nº 10.925/2004)</t>
        </is>
      </c>
      <c r="N1057" s="7" t="inlineStr">
        <is>
          <t>0,925% (LC nº 224/2025)</t>
        </is>
      </c>
      <c r="O1057" s="7" t="inlineStr">
        <is>
          <t>0,365% (LC nº 224/2025)</t>
        </is>
      </c>
      <c r="P1057" s="7" t="inlineStr">
        <is>
          <t>CST 06</t>
        </is>
      </c>
      <c r="Q1057" s="7" t="inlineStr">
        <is>
          <t>CST 73</t>
        </is>
      </c>
      <c r="R1057" s="7" t="inlineStr">
        <is>
          <t>Redução de 60% + Diferimento (Art. 138 e Anexo IX LC 214/2025)</t>
        </is>
      </c>
    </row>
    <row r="1058" ht="22" customHeight="1">
      <c r="A1058" s="12" t="inlineStr">
        <is>
          <t>SKU-1054</t>
        </is>
      </c>
      <c r="B1058" s="11" t="n">
        <v>749</v>
      </c>
      <c r="C1058" s="13" t="inlineStr">
        <is>
          <t>Nº 49425</t>
        </is>
      </c>
      <c r="D1058" s="14" t="inlineStr">
        <is>
          <t>GAZINA</t>
        </is>
      </c>
      <c r="E1058" s="13" t="inlineStr">
        <is>
          <t>Embalagem Comercial do Produto</t>
        </is>
      </c>
      <c r="F1058" s="13" t="inlineStr">
        <is>
          <t>1X20L (20 L)</t>
        </is>
      </c>
      <c r="G1058" s="13" t="inlineStr">
        <is>
          <t>L</t>
        </is>
      </c>
      <c r="H1058" s="15" t="n">
        <v>20</v>
      </c>
      <c r="I1058" s="13" t="inlineStr">
        <is>
          <t>3808.93.29</t>
        </is>
      </c>
      <c r="J1058" s="13" t="inlineStr">
        <is>
          <t>NÃO</t>
        </is>
      </c>
      <c r="K1058" s="13" t="inlineStr">
        <is>
          <t>Embalagem Rígida — LAVÁVEL (Obrigatória Tríplice Lavagem ou Pressão)</t>
        </is>
      </c>
      <c r="L1058" s="13" t="inlineStr">
        <is>
          <t>NÃO</t>
        </is>
      </c>
      <c r="M1058" s="13" t="inlineStr">
        <is>
          <t>0,00% (Lei nº 10.925/2004)</t>
        </is>
      </c>
      <c r="N1058" s="13" t="inlineStr">
        <is>
          <t>0,925% (LC nº 224/2025)</t>
        </is>
      </c>
      <c r="O1058" s="13" t="inlineStr">
        <is>
          <t>0,365% (LC nº 224/2025)</t>
        </is>
      </c>
      <c r="P1058" s="13" t="inlineStr">
        <is>
          <t>CST 06</t>
        </is>
      </c>
      <c r="Q1058" s="13" t="inlineStr">
        <is>
          <t>CST 73</t>
        </is>
      </c>
      <c r="R1058" s="13" t="inlineStr">
        <is>
          <t>Redução de 60% + Diferimento (Art. 138 e Anexo IX LC 214/2025)</t>
        </is>
      </c>
    </row>
    <row r="1059" ht="22" customHeight="1">
      <c r="A1059" s="6" t="inlineStr">
        <is>
          <t>SKU-1055</t>
        </is>
      </c>
      <c r="B1059" s="5" t="n">
        <v>750</v>
      </c>
      <c r="C1059" s="7" t="inlineStr">
        <is>
          <t>Nº 52425</t>
        </is>
      </c>
      <c r="D1059" s="8" t="inlineStr">
        <is>
          <t>GEODO</t>
        </is>
      </c>
      <c r="E1059" s="7" t="inlineStr">
        <is>
          <t>Embalagem Comercial do Produto</t>
        </is>
      </c>
      <c r="F1059" s="7" t="inlineStr">
        <is>
          <t>2X10KG (10 KG)</t>
        </is>
      </c>
      <c r="G1059" s="7" t="inlineStr">
        <is>
          <t>KG</t>
        </is>
      </c>
      <c r="H1059" s="9" t="n">
        <v>10</v>
      </c>
      <c r="I1059" s="7" t="inlineStr">
        <is>
          <t>3808.69.90</t>
        </is>
      </c>
      <c r="J1059" s="7" t="inlineStr">
        <is>
          <t>SIM</t>
        </is>
      </c>
      <c r="K1059" s="7" t="inlineStr">
        <is>
          <t>Embalagem Flexível — NÃO LAVÁVEL (Perfurar e usar saco ABNT)</t>
        </is>
      </c>
      <c r="L1059" s="7" t="inlineStr">
        <is>
          <t>SIM (Saco Transparente ABNT)</t>
        </is>
      </c>
      <c r="M1059" s="7" t="inlineStr">
        <is>
          <t>0,00% (Lei nº 10.925/2004)</t>
        </is>
      </c>
      <c r="N1059" s="7" t="inlineStr">
        <is>
          <t>0,925% (LC nº 224/2025)</t>
        </is>
      </c>
      <c r="O1059" s="7" t="inlineStr">
        <is>
          <t>0,365% (LC nº 224/2025)</t>
        </is>
      </c>
      <c r="P1059" s="7" t="inlineStr">
        <is>
          <t>CST 06</t>
        </is>
      </c>
      <c r="Q1059" s="7" t="inlineStr">
        <is>
          <t>CST 73</t>
        </is>
      </c>
      <c r="R1059" s="7" t="inlineStr">
        <is>
          <t>Redução de 60% + Diferimento (Art. 138 e Anexo IX LC 214/2025)</t>
        </is>
      </c>
    </row>
    <row r="1060" ht="22" customHeight="1">
      <c r="A1060" s="12" t="inlineStr">
        <is>
          <t>SKU-1056</t>
        </is>
      </c>
      <c r="B1060" s="11" t="n">
        <v>750</v>
      </c>
      <c r="C1060" s="13" t="inlineStr">
        <is>
          <t>Nº 52425</t>
        </is>
      </c>
      <c r="D1060" s="14" t="inlineStr">
        <is>
          <t>GEODO</t>
        </is>
      </c>
      <c r="E1060" s="13" t="inlineStr">
        <is>
          <t>Faixa 1 TIPI (Apresentação &lt;= 300 g ou mL)</t>
        </is>
      </c>
      <c r="F1060" s="13" t="inlineStr">
        <is>
          <t>Fracionado / Amostra &lt;= 0,3 KG</t>
        </is>
      </c>
      <c r="G1060" s="13" t="inlineStr">
        <is>
          <t>KG</t>
        </is>
      </c>
      <c r="H1060" s="18" t="n">
        <v>0.3</v>
      </c>
      <c r="I1060" s="13" t="inlineStr">
        <is>
          <t>3808.61.00</t>
        </is>
      </c>
      <c r="J1060" s="13" t="inlineStr">
        <is>
          <t>SIM</t>
        </is>
      </c>
      <c r="K1060" s="13" t="inlineStr">
        <is>
          <t>Embalagem Flexível — NÃO LAVÁVEL (Perfurar e usar saco ABNT)</t>
        </is>
      </c>
      <c r="L1060" s="13" t="inlineStr">
        <is>
          <t>SIM (Saco Transparente ABNT)</t>
        </is>
      </c>
      <c r="M1060" s="13" t="inlineStr">
        <is>
          <t>0,00% (Lei nº 10.925/2004)</t>
        </is>
      </c>
      <c r="N1060" s="13" t="inlineStr">
        <is>
          <t>0,925% (LC nº 224/2025)</t>
        </is>
      </c>
      <c r="O1060" s="13" t="inlineStr">
        <is>
          <t>0,365% (LC nº 224/2025)</t>
        </is>
      </c>
      <c r="P1060" s="13" t="inlineStr">
        <is>
          <t>CST 06</t>
        </is>
      </c>
      <c r="Q1060" s="13" t="inlineStr">
        <is>
          <t>CST 73</t>
        </is>
      </c>
      <c r="R1060" s="13" t="inlineStr">
        <is>
          <t>Redução de 60% + Diferimento (Art. 138 e Anexo IX LC 214/2025)</t>
        </is>
      </c>
    </row>
    <row r="1061" ht="22" customHeight="1">
      <c r="A1061" s="6" t="inlineStr">
        <is>
          <t>SKU-1057</t>
        </is>
      </c>
      <c r="B1061" s="5" t="n">
        <v>751</v>
      </c>
      <c r="C1061" s="7" t="inlineStr">
        <is>
          <t>Nº 14421</t>
        </is>
      </c>
      <c r="D1061" s="8" t="inlineStr">
        <is>
          <t>LEALTY FS</t>
        </is>
      </c>
      <c r="E1061" s="7" t="inlineStr">
        <is>
          <t>Embalagem Comercial do Produto</t>
        </is>
      </c>
      <c r="F1061" s="7" t="inlineStr">
        <is>
          <t>1X20L (20 L)</t>
        </is>
      </c>
      <c r="G1061" s="7" t="inlineStr">
        <is>
          <t>L</t>
        </is>
      </c>
      <c r="H1061" s="9" t="n">
        <v>20</v>
      </c>
      <c r="I1061" s="7" t="inlineStr">
        <is>
          <t>3808.91.99</t>
        </is>
      </c>
      <c r="J1061" s="7" t="inlineStr">
        <is>
          <t>NÃO</t>
        </is>
      </c>
      <c r="K1061" s="7" t="inlineStr">
        <is>
          <t>Embalagem Rígida — LAVÁVEL (Obrigatória Tríplice Lavagem ou Pressão)</t>
        </is>
      </c>
      <c r="L1061" s="7" t="inlineStr">
        <is>
          <t>NÃO</t>
        </is>
      </c>
      <c r="M1061" s="7" t="inlineStr">
        <is>
          <t>0,00% (Lei nº 10.925/2004)</t>
        </is>
      </c>
      <c r="N1061" s="7" t="inlineStr">
        <is>
          <t>0,925% (LC nº 224/2025)</t>
        </is>
      </c>
      <c r="O1061" s="7" t="inlineStr">
        <is>
          <t>0,365% (LC nº 224/2025)</t>
        </is>
      </c>
      <c r="P1061" s="7" t="inlineStr">
        <is>
          <t>CST 06</t>
        </is>
      </c>
      <c r="Q1061" s="7" t="inlineStr">
        <is>
          <t>CST 73</t>
        </is>
      </c>
      <c r="R1061" s="7" t="inlineStr">
        <is>
          <t>Redução de 60% + Diferimento (Art. 138 e Anexo IX LC 214/2025)</t>
        </is>
      </c>
    </row>
    <row r="1062" ht="22" customHeight="1">
      <c r="A1062" s="12" t="inlineStr">
        <is>
          <t>SKU-1058</t>
        </is>
      </c>
      <c r="B1062" s="11" t="n">
        <v>751</v>
      </c>
      <c r="C1062" s="13" t="inlineStr">
        <is>
          <t>Nº 14421</t>
        </is>
      </c>
      <c r="D1062" s="14" t="inlineStr">
        <is>
          <t>LEALTY FS</t>
        </is>
      </c>
      <c r="E1062" s="13" t="inlineStr">
        <is>
          <t>Faixa 1 TIPI (Apresentação &lt;= 300 g ou mL)</t>
        </is>
      </c>
      <c r="F1062" s="13" t="inlineStr">
        <is>
          <t>Fracionado / Amostra &lt;= 0,3 L</t>
        </is>
      </c>
      <c r="G1062" s="13" t="inlineStr">
        <is>
          <t>L</t>
        </is>
      </c>
      <c r="H1062" s="18" t="n">
        <v>0.3</v>
      </c>
      <c r="I1062" s="13" t="inlineStr">
        <is>
          <t>3808.91.20</t>
        </is>
      </c>
      <c r="J1062" s="13" t="inlineStr">
        <is>
          <t>NÃO</t>
        </is>
      </c>
      <c r="K1062" s="13" t="inlineStr">
        <is>
          <t>Embalagem Rígida — LAVÁVEL (Obrigatória Tríplice Lavagem ou Pressão)</t>
        </is>
      </c>
      <c r="L1062" s="13" t="inlineStr">
        <is>
          <t>NÃO</t>
        </is>
      </c>
      <c r="M1062" s="13" t="inlineStr">
        <is>
          <t>0,00% (Lei nº 10.925/2004)</t>
        </is>
      </c>
      <c r="N1062" s="13" t="inlineStr">
        <is>
          <t>0,925% (LC nº 224/2025)</t>
        </is>
      </c>
      <c r="O1062" s="13" t="inlineStr">
        <is>
          <t>0,365% (LC nº 224/2025)</t>
        </is>
      </c>
      <c r="P1062" s="13" t="inlineStr">
        <is>
          <t>CST 06</t>
        </is>
      </c>
      <c r="Q1062" s="13" t="inlineStr">
        <is>
          <t>CST 73</t>
        </is>
      </c>
      <c r="R1062" s="13" t="inlineStr">
        <is>
          <t>Redução de 60% + Diferimento (Art. 138 e Anexo IX LC 214/2025)</t>
        </is>
      </c>
    </row>
    <row r="1063" ht="22" customHeight="1">
      <c r="A1063" s="6" t="inlineStr">
        <is>
          <t>SKU-1059</t>
        </is>
      </c>
      <c r="B1063" s="5" t="n">
        <v>752</v>
      </c>
      <c r="C1063" s="7" t="inlineStr">
        <is>
          <t>Nº 7023</t>
        </is>
      </c>
      <c r="D1063" s="8" t="inlineStr">
        <is>
          <t>TORINO</t>
        </is>
      </c>
      <c r="E1063" s="7" t="inlineStr">
        <is>
          <t>Embalagem Comercial do Produto</t>
        </is>
      </c>
      <c r="F1063" s="7" t="inlineStr">
        <is>
          <t>4X5L (5 L)</t>
        </is>
      </c>
      <c r="G1063" s="7" t="inlineStr">
        <is>
          <t>L</t>
        </is>
      </c>
      <c r="H1063" s="9" t="n">
        <v>5</v>
      </c>
      <c r="I1063" s="7" t="inlineStr">
        <is>
          <t>3808.92.99</t>
        </is>
      </c>
      <c r="J1063" s="7" t="inlineStr">
        <is>
          <t>NÃO</t>
        </is>
      </c>
      <c r="K1063" s="7" t="inlineStr">
        <is>
          <t>Embalagem Rígida — LAVÁVEL (Obrigatória Tríplice Lavagem ou Pressão)</t>
        </is>
      </c>
      <c r="L1063" s="7" t="inlineStr">
        <is>
          <t>NÃO</t>
        </is>
      </c>
      <c r="M1063" s="7" t="inlineStr">
        <is>
          <t>0,00% (Lei nº 10.925/2004)</t>
        </is>
      </c>
      <c r="N1063" s="7" t="inlineStr">
        <is>
          <t>0,925% (LC nº 224/2025)</t>
        </is>
      </c>
      <c r="O1063" s="7" t="inlineStr">
        <is>
          <t>0,365% (LC nº 224/2025)</t>
        </is>
      </c>
      <c r="P1063" s="7" t="inlineStr">
        <is>
          <t>CST 06</t>
        </is>
      </c>
      <c r="Q1063" s="7" t="inlineStr">
        <is>
          <t>CST 73</t>
        </is>
      </c>
      <c r="R1063" s="7" t="inlineStr">
        <is>
          <t>Redução de 60% + Diferimento (Art. 138 e Anexo IX LC 214/2025)</t>
        </is>
      </c>
    </row>
    <row r="1064" ht="22" customHeight="1">
      <c r="A1064" s="12" t="inlineStr">
        <is>
          <t>SKU-1060</t>
        </is>
      </c>
      <c r="B1064" s="11" t="n">
        <v>753</v>
      </c>
      <c r="C1064" s="13" t="inlineStr">
        <is>
          <t>Nº 2218</t>
        </is>
      </c>
      <c r="D1064" s="14" t="inlineStr">
        <is>
          <t>ACETA 4X5 KG IMP AH</t>
        </is>
      </c>
      <c r="E1064" s="13" t="inlineStr">
        <is>
          <t>Embalagem Comercial do Produto</t>
        </is>
      </c>
      <c r="F1064" s="13" t="inlineStr">
        <is>
          <t>4X5 KG (5 KG)</t>
        </is>
      </c>
      <c r="G1064" s="13" t="inlineStr">
        <is>
          <t>KG</t>
        </is>
      </c>
      <c r="H1064" s="15" t="n">
        <v>5</v>
      </c>
      <c r="I1064" s="13" t="inlineStr">
        <is>
          <t>3808.91.99</t>
        </is>
      </c>
      <c r="J1064" s="13" t="inlineStr">
        <is>
          <t>NÃO</t>
        </is>
      </c>
      <c r="K1064" s="13" t="inlineStr">
        <is>
          <t>Embalagem Flexível — NÃO LAVÁVEL (Perfurar e usar saco ABNT)</t>
        </is>
      </c>
      <c r="L1064" s="13" t="inlineStr">
        <is>
          <t>SIM (Saco Transparente ABNT)</t>
        </is>
      </c>
      <c r="M1064" s="13" t="inlineStr">
        <is>
          <t>0,00% (Lei nº 10.925/2004)</t>
        </is>
      </c>
      <c r="N1064" s="13" t="inlineStr">
        <is>
          <t>0,925% (LC nº 224/2025)</t>
        </is>
      </c>
      <c r="O1064" s="13" t="inlineStr">
        <is>
          <t>0,365% (LC nº 224/2025)</t>
        </is>
      </c>
      <c r="P1064" s="13" t="inlineStr">
        <is>
          <t>CST 06</t>
        </is>
      </c>
      <c r="Q1064" s="13" t="inlineStr">
        <is>
          <t>CST 73</t>
        </is>
      </c>
      <c r="R1064" s="13" t="inlineStr">
        <is>
          <t>Redução de 60% + Diferimento (Art. 138 e Anexo IX LC 214/2025)</t>
        </is>
      </c>
    </row>
    <row r="1065" ht="22" customHeight="1">
      <c r="A1065" s="6" t="inlineStr">
        <is>
          <t>SKU-1061</t>
        </is>
      </c>
      <c r="B1065" s="5" t="n">
        <v>754</v>
      </c>
      <c r="C1065" s="7" t="inlineStr">
        <is>
          <t>Nº 1223</t>
        </is>
      </c>
      <c r="D1065" s="8" t="inlineStr">
        <is>
          <t>FULLGUARD</t>
        </is>
      </c>
      <c r="E1065" s="7" t="inlineStr">
        <is>
          <t>Embalagem Comercial do Produto</t>
        </is>
      </c>
      <c r="F1065" s="7" t="inlineStr">
        <is>
          <t>12X1L (1 L)</t>
        </is>
      </c>
      <c r="G1065" s="7" t="inlineStr">
        <is>
          <t>L</t>
        </is>
      </c>
      <c r="H1065" s="9" t="n">
        <v>1</v>
      </c>
      <c r="I1065" s="7" t="inlineStr">
        <is>
          <t>3808.93.29</t>
        </is>
      </c>
      <c r="J1065" s="7" t="inlineStr">
        <is>
          <t>NÃO</t>
        </is>
      </c>
      <c r="K1065" s="7" t="inlineStr">
        <is>
          <t>Embalagem Rígida — LAVÁVEL (Obrigatória Tríplice Lavagem ou Pressão)</t>
        </is>
      </c>
      <c r="L1065" s="7" t="inlineStr">
        <is>
          <t>NÃO</t>
        </is>
      </c>
      <c r="M1065" s="7" t="inlineStr">
        <is>
          <t>0,00% (Lei nº 10.925/2004)</t>
        </is>
      </c>
      <c r="N1065" s="7" t="inlineStr">
        <is>
          <t>0,925% (LC nº 224/2025)</t>
        </is>
      </c>
      <c r="O1065" s="7" t="inlineStr">
        <is>
          <t>0,365% (LC nº 224/2025)</t>
        </is>
      </c>
      <c r="P1065" s="7" t="inlineStr">
        <is>
          <t>CST 06</t>
        </is>
      </c>
      <c r="Q1065" s="7" t="inlineStr">
        <is>
          <t>CST 73</t>
        </is>
      </c>
      <c r="R1065" s="7" t="inlineStr">
        <is>
          <t>Redução de 60% + Diferimento (Art. 138 e Anexo IX LC 214/2025)</t>
        </is>
      </c>
    </row>
    <row r="1066" ht="22" customHeight="1">
      <c r="A1066" s="12" t="inlineStr">
        <is>
          <t>SKU-1062</t>
        </is>
      </c>
      <c r="B1066" s="11" t="n">
        <v>755</v>
      </c>
      <c r="C1066" s="13" t="inlineStr">
        <is>
          <t>Nº 19122</t>
        </is>
      </c>
      <c r="D1066" s="14" t="inlineStr">
        <is>
          <t>AVENCA</t>
        </is>
      </c>
      <c r="E1066" s="13" t="inlineStr">
        <is>
          <t>Embalagem Comercial do Produto</t>
        </is>
      </c>
      <c r="F1066" s="13" t="inlineStr">
        <is>
          <t>1X20L (20 L)</t>
        </is>
      </c>
      <c r="G1066" s="13" t="inlineStr">
        <is>
          <t>L</t>
        </is>
      </c>
      <c r="H1066" s="15" t="n">
        <v>20</v>
      </c>
      <c r="I1066" s="13" t="inlineStr">
        <is>
          <t>3808.92.99</t>
        </is>
      </c>
      <c r="J1066" s="13" t="inlineStr">
        <is>
          <t>NÃO</t>
        </is>
      </c>
      <c r="K1066" s="13" t="inlineStr">
        <is>
          <t>Embalagem Rígida — LAVÁVEL (Obrigatória Tríplice Lavagem ou Pressão)</t>
        </is>
      </c>
      <c r="L1066" s="13" t="inlineStr">
        <is>
          <t>NÃO</t>
        </is>
      </c>
      <c r="M1066" s="13" t="inlineStr">
        <is>
          <t>0,00% (Lei nº 10.925/2004)</t>
        </is>
      </c>
      <c r="N1066" s="13" t="inlineStr">
        <is>
          <t>0,925% (LC nº 224/2025)</t>
        </is>
      </c>
      <c r="O1066" s="13" t="inlineStr">
        <is>
          <t>0,365% (LC nº 224/2025)</t>
        </is>
      </c>
      <c r="P1066" s="13" t="inlineStr">
        <is>
          <t>CST 06</t>
        </is>
      </c>
      <c r="Q1066" s="13" t="inlineStr">
        <is>
          <t>CST 73</t>
        </is>
      </c>
      <c r="R1066" s="13" t="inlineStr">
        <is>
          <t>Redução de 60% + Diferimento (Art. 138 e Anexo IX LC 214/2025)</t>
        </is>
      </c>
    </row>
    <row r="1067" ht="22" customHeight="1">
      <c r="A1067" s="6" t="inlineStr">
        <is>
          <t>SKU-1063</t>
        </is>
      </c>
      <c r="B1067" s="5" t="n">
        <v>756</v>
      </c>
      <c r="C1067" s="7" t="inlineStr">
        <is>
          <t>Nº 3621</t>
        </is>
      </c>
      <c r="D1067" s="8" t="inlineStr">
        <is>
          <t>TECNUP MAX 720 WG</t>
        </is>
      </c>
      <c r="E1067" s="7" t="inlineStr">
        <is>
          <t>Embalagem Comercial do Produto</t>
        </is>
      </c>
      <c r="F1067" s="7" t="inlineStr">
        <is>
          <t>1X10KG (10 KG)</t>
        </is>
      </c>
      <c r="G1067" s="7" t="inlineStr">
        <is>
          <t>KG</t>
        </is>
      </c>
      <c r="H1067" s="9" t="n">
        <v>10</v>
      </c>
      <c r="I1067" s="7" t="inlineStr">
        <is>
          <t>3808.93.24</t>
        </is>
      </c>
      <c r="J1067" s="7" t="inlineStr">
        <is>
          <t>NÃO</t>
        </is>
      </c>
      <c r="K1067" s="7" t="inlineStr">
        <is>
          <t>Embalagem Flexível — NÃO LAVÁVEL (Perfurar e usar saco ABNT)</t>
        </is>
      </c>
      <c r="L1067" s="7" t="inlineStr">
        <is>
          <t>SIM (Saco Transparente ABNT)</t>
        </is>
      </c>
      <c r="M1067" s="7" t="inlineStr">
        <is>
          <t>0,00% (Lei nº 10.925/2004)</t>
        </is>
      </c>
      <c r="N1067" s="7" t="inlineStr">
        <is>
          <t>0,925% (LC nº 224/2025)</t>
        </is>
      </c>
      <c r="O1067" s="7" t="inlineStr">
        <is>
          <t>0,365% (LC nº 224/2025)</t>
        </is>
      </c>
      <c r="P1067" s="7" t="inlineStr">
        <is>
          <t>CST 06</t>
        </is>
      </c>
      <c r="Q1067" s="7" t="inlineStr">
        <is>
          <t>CST 73</t>
        </is>
      </c>
      <c r="R1067" s="7" t="inlineStr">
        <is>
          <t>Redução de 60% + Diferimento (Art. 138 e Anexo IX LC 214/2025)</t>
        </is>
      </c>
    </row>
    <row r="1068" ht="22" customHeight="1">
      <c r="A1068" s="12" t="inlineStr">
        <is>
          <t>SKU-1064</t>
        </is>
      </c>
      <c r="B1068" s="11" t="n">
        <v>757</v>
      </c>
      <c r="C1068" s="13" t="inlineStr">
        <is>
          <t>Nº 5622</t>
        </is>
      </c>
      <c r="D1068" s="14" t="inlineStr">
        <is>
          <t>FIERA SC</t>
        </is>
      </c>
      <c r="E1068" s="13" t="inlineStr">
        <is>
          <t>Embalagem Comercial do Produto</t>
        </is>
      </c>
      <c r="F1068" s="13" t="inlineStr">
        <is>
          <t>1X20L (20 L)</t>
        </is>
      </c>
      <c r="G1068" s="13" t="inlineStr">
        <is>
          <t>L</t>
        </is>
      </c>
      <c r="H1068" s="15" t="n">
        <v>20</v>
      </c>
      <c r="I1068" s="13" t="inlineStr">
        <is>
          <t>3808.91.99</t>
        </is>
      </c>
      <c r="J1068" s="13" t="inlineStr">
        <is>
          <t>NÃO</t>
        </is>
      </c>
      <c r="K1068" s="13" t="inlineStr">
        <is>
          <t>Embalagem Rígida — LAVÁVEL (Obrigatória Tríplice Lavagem ou Pressão)</t>
        </is>
      </c>
      <c r="L1068" s="13" t="inlineStr">
        <is>
          <t>NÃO</t>
        </is>
      </c>
      <c r="M1068" s="13" t="inlineStr">
        <is>
          <t>0,00% (Lei nº 10.925/2004)</t>
        </is>
      </c>
      <c r="N1068" s="13" t="inlineStr">
        <is>
          <t>0,925% (LC nº 224/2025)</t>
        </is>
      </c>
      <c r="O1068" s="13" t="inlineStr">
        <is>
          <t>0,365% (LC nº 224/2025)</t>
        </is>
      </c>
      <c r="P1068" s="13" t="inlineStr">
        <is>
          <t>CST 06</t>
        </is>
      </c>
      <c r="Q1068" s="13" t="inlineStr">
        <is>
          <t>CST 73</t>
        </is>
      </c>
      <c r="R1068" s="13" t="inlineStr">
        <is>
          <t>Redução de 60% + Diferimento (Art. 138 e Anexo IX LC 214/2025)</t>
        </is>
      </c>
    </row>
    <row r="1069" ht="22" customHeight="1">
      <c r="A1069" s="6" t="inlineStr">
        <is>
          <t>SKU-1065</t>
        </is>
      </c>
      <c r="B1069" s="5" t="n">
        <v>758</v>
      </c>
      <c r="C1069" s="7" t="inlineStr">
        <is>
          <t>Nº 5725</t>
        </is>
      </c>
      <c r="D1069" s="8" t="inlineStr">
        <is>
          <t>ESIFON FULL</t>
        </is>
      </c>
      <c r="E1069" s="7" t="inlineStr">
        <is>
          <t>Embalagem Comercial do Produto</t>
        </is>
      </c>
      <c r="F1069" s="7" t="inlineStr">
        <is>
          <t>1X20L (20 L)</t>
        </is>
      </c>
      <c r="G1069" s="7" t="inlineStr">
        <is>
          <t>L</t>
        </is>
      </c>
      <c r="H1069" s="9" t="n">
        <v>20</v>
      </c>
      <c r="I1069" s="7" t="inlineStr">
        <is>
          <t>3808.93.59</t>
        </is>
      </c>
      <c r="J1069" s="7" t="inlineStr">
        <is>
          <t>NÃO</t>
        </is>
      </c>
      <c r="K1069" s="7" t="inlineStr">
        <is>
          <t>Embalagem Rígida — LAVÁVEL (Obrigatória Tríplice Lavagem ou Pressão)</t>
        </is>
      </c>
      <c r="L1069" s="7" t="inlineStr">
        <is>
          <t>NÃO</t>
        </is>
      </c>
      <c r="M1069" s="7" t="inlineStr">
        <is>
          <t>0,00% (Lei nº 10.925/2004)</t>
        </is>
      </c>
      <c r="N1069" s="7" t="inlineStr">
        <is>
          <t>0,925% (LC nº 224/2025)</t>
        </is>
      </c>
      <c r="O1069" s="7" t="inlineStr">
        <is>
          <t>0,365% (LC nº 224/2025)</t>
        </is>
      </c>
      <c r="P1069" s="7" t="inlineStr">
        <is>
          <t>CST 06</t>
        </is>
      </c>
      <c r="Q1069" s="7" t="inlineStr">
        <is>
          <t>CST 73</t>
        </is>
      </c>
      <c r="R1069" s="7" t="inlineStr">
        <is>
          <t>Redução de 60% + Diferimento (Art. 138 e Anexo IX LC 214/2025)</t>
        </is>
      </c>
    </row>
    <row r="1070" ht="22" customHeight="1">
      <c r="A1070" s="12" t="inlineStr">
        <is>
          <t>SKU-1066</t>
        </is>
      </c>
      <c r="B1070" s="11" t="n">
        <v>759</v>
      </c>
      <c r="C1070" s="13" t="inlineStr">
        <is>
          <t>Nº 14421</t>
        </is>
      </c>
      <c r="D1070" s="14" t="inlineStr">
        <is>
          <t>LEALTY FS</t>
        </is>
      </c>
      <c r="E1070" s="13" t="inlineStr">
        <is>
          <t>Embalagem Comercial do Produto</t>
        </is>
      </c>
      <c r="F1070" s="13" t="inlineStr">
        <is>
          <t>4X5L (5 L)</t>
        </is>
      </c>
      <c r="G1070" s="13" t="inlineStr">
        <is>
          <t>L</t>
        </is>
      </c>
      <c r="H1070" s="15" t="n">
        <v>5</v>
      </c>
      <c r="I1070" s="13" t="inlineStr">
        <is>
          <t>3808.91.99</t>
        </is>
      </c>
      <c r="J1070" s="13" t="inlineStr">
        <is>
          <t>NÃO</t>
        </is>
      </c>
      <c r="K1070" s="13" t="inlineStr">
        <is>
          <t>Embalagem Rígida — LAVÁVEL (Obrigatória Tríplice Lavagem ou Pressão)</t>
        </is>
      </c>
      <c r="L1070" s="13" t="inlineStr">
        <is>
          <t>NÃO</t>
        </is>
      </c>
      <c r="M1070" s="13" t="inlineStr">
        <is>
          <t>0,00% (Lei nº 10.925/2004)</t>
        </is>
      </c>
      <c r="N1070" s="13" t="inlineStr">
        <is>
          <t>0,925% (LC nº 224/2025)</t>
        </is>
      </c>
      <c r="O1070" s="13" t="inlineStr">
        <is>
          <t>0,365% (LC nº 224/2025)</t>
        </is>
      </c>
      <c r="P1070" s="13" t="inlineStr">
        <is>
          <t>CST 06</t>
        </is>
      </c>
      <c r="Q1070" s="13" t="inlineStr">
        <is>
          <t>CST 73</t>
        </is>
      </c>
      <c r="R1070" s="13" t="inlineStr">
        <is>
          <t>Redução de 60% + Diferimento (Art. 138 e Anexo IX LC 214/2025)</t>
        </is>
      </c>
    </row>
    <row r="1071" ht="22" customHeight="1">
      <c r="A1071" s="6" t="inlineStr">
        <is>
          <t>SKU-1067</t>
        </is>
      </c>
      <c r="B1071" s="5" t="n">
        <v>759</v>
      </c>
      <c r="C1071" s="7" t="inlineStr">
        <is>
          <t>Nº 14421</t>
        </is>
      </c>
      <c r="D1071" s="8" t="inlineStr">
        <is>
          <t>LEALTY FS</t>
        </is>
      </c>
      <c r="E1071" s="7" t="inlineStr">
        <is>
          <t>Faixa 1 TIPI (Apresentação &lt;= 300 g ou mL)</t>
        </is>
      </c>
      <c r="F1071" s="7" t="inlineStr">
        <is>
          <t>Fracionado / Amostra &lt;= 0,3 L</t>
        </is>
      </c>
      <c r="G1071" s="7" t="inlineStr">
        <is>
          <t>L</t>
        </is>
      </c>
      <c r="H1071" s="17" t="n">
        <v>0.3</v>
      </c>
      <c r="I1071" s="7" t="inlineStr">
        <is>
          <t>3808.91.20</t>
        </is>
      </c>
      <c r="J1071" s="7" t="inlineStr">
        <is>
          <t>NÃO</t>
        </is>
      </c>
      <c r="K1071" s="7" t="inlineStr">
        <is>
          <t>Embalagem Rígida — LAVÁVEL (Obrigatória Tríplice Lavagem ou Pressão)</t>
        </is>
      </c>
      <c r="L1071" s="7" t="inlineStr">
        <is>
          <t>NÃO</t>
        </is>
      </c>
      <c r="M1071" s="7" t="inlineStr">
        <is>
          <t>0,00% (Lei nº 10.925/2004)</t>
        </is>
      </c>
      <c r="N1071" s="7" t="inlineStr">
        <is>
          <t>0,925% (LC nº 224/2025)</t>
        </is>
      </c>
      <c r="O1071" s="7" t="inlineStr">
        <is>
          <t>0,365% (LC nº 224/2025)</t>
        </is>
      </c>
      <c r="P1071" s="7" t="inlineStr">
        <is>
          <t>CST 06</t>
        </is>
      </c>
      <c r="Q1071" s="7" t="inlineStr">
        <is>
          <t>CST 73</t>
        </is>
      </c>
      <c r="R1071" s="7" t="inlineStr">
        <is>
          <t>Redução de 60% + Diferimento (Art. 138 e Anexo IX LC 214/2025)</t>
        </is>
      </c>
    </row>
    <row r="1072" ht="22" customHeight="1">
      <c r="A1072" s="12" t="inlineStr">
        <is>
          <t>SKU-1068</t>
        </is>
      </c>
      <c r="B1072" s="11" t="n">
        <v>760</v>
      </c>
      <c r="C1072" s="13" t="inlineStr">
        <is>
          <t>Nº 5622</t>
        </is>
      </c>
      <c r="D1072" s="14" t="inlineStr">
        <is>
          <t>FIERA SC</t>
        </is>
      </c>
      <c r="E1072" s="13" t="inlineStr">
        <is>
          <t>Embalagem Comercial do Produto</t>
        </is>
      </c>
      <c r="F1072" s="13" t="inlineStr">
        <is>
          <t>4X5L (5 L)</t>
        </is>
      </c>
      <c r="G1072" s="13" t="inlineStr">
        <is>
          <t>L</t>
        </is>
      </c>
      <c r="H1072" s="15" t="n">
        <v>5</v>
      </c>
      <c r="I1072" s="13" t="inlineStr">
        <is>
          <t>3808.91.99</t>
        </is>
      </c>
      <c r="J1072" s="13" t="inlineStr">
        <is>
          <t>NÃO</t>
        </is>
      </c>
      <c r="K1072" s="13" t="inlineStr">
        <is>
          <t>Embalagem Rígida — LAVÁVEL (Obrigatória Tríplice Lavagem ou Pressão)</t>
        </is>
      </c>
      <c r="L1072" s="13" t="inlineStr">
        <is>
          <t>NÃO</t>
        </is>
      </c>
      <c r="M1072" s="13" t="inlineStr">
        <is>
          <t>0,00% (Lei nº 10.925/2004)</t>
        </is>
      </c>
      <c r="N1072" s="13" t="inlineStr">
        <is>
          <t>0,925% (LC nº 224/2025)</t>
        </is>
      </c>
      <c r="O1072" s="13" t="inlineStr">
        <is>
          <t>0,365% (LC nº 224/2025)</t>
        </is>
      </c>
      <c r="P1072" s="13" t="inlineStr">
        <is>
          <t>CST 06</t>
        </is>
      </c>
      <c r="Q1072" s="13" t="inlineStr">
        <is>
          <t>CST 73</t>
        </is>
      </c>
      <c r="R1072" s="13" t="inlineStr">
        <is>
          <t>Redução de 60% + Diferimento (Art. 138 e Anexo IX LC 214/2025)</t>
        </is>
      </c>
    </row>
    <row r="1073" ht="22" customHeight="1">
      <c r="A1073" s="6" t="inlineStr">
        <is>
          <t>SKU-1069</t>
        </is>
      </c>
      <c r="B1073" s="5" t="n">
        <v>761</v>
      </c>
      <c r="C1073" s="7" t="inlineStr">
        <is>
          <t>SIPEAGRO (UF-XXXXX)</t>
        </is>
      </c>
      <c r="D1073" s="8" t="inlineStr">
        <is>
          <t>FERTILIZANTE 00 00 60 KCL - YARA</t>
        </is>
      </c>
      <c r="E1073" s="7" t="inlineStr">
        <is>
          <t>Embalagem Comercial do Produto</t>
        </is>
      </c>
      <c r="F1073" s="7" t="inlineStr">
        <is>
          <t>GRANEL / BIG BAG (1000 TL)</t>
        </is>
      </c>
      <c r="G1073" s="7" t="inlineStr">
        <is>
          <t>TL</t>
        </is>
      </c>
      <c r="H1073" s="9" t="n">
        <v>1</v>
      </c>
      <c r="I1073" s="7" t="inlineStr">
        <is>
          <t>3104.20.90</t>
        </is>
      </c>
      <c r="J1073" s="7" t="inlineStr">
        <is>
          <t>NÃO</t>
        </is>
      </c>
      <c r="K1073" s="7" t="inlineStr">
        <is>
          <t>Embalagem Flexível — NÃO LAVÁVEL (Perfurar e usar saco ABNT)</t>
        </is>
      </c>
      <c r="L1073" s="7" t="inlineStr">
        <is>
          <t>SIM (Saco Transparente ABNT)</t>
        </is>
      </c>
      <c r="M1073" s="7" t="inlineStr">
        <is>
          <t>0,00% (Lei nº 10.925/2004)</t>
        </is>
      </c>
      <c r="N1073" s="7" t="inlineStr">
        <is>
          <t>0,925% (LC nº 224/2025)</t>
        </is>
      </c>
      <c r="O1073" s="7" t="inlineStr">
        <is>
          <t>0,365% (LC nº 224/2025)</t>
        </is>
      </c>
      <c r="P1073" s="7" t="inlineStr">
        <is>
          <t>CST 06</t>
        </is>
      </c>
      <c r="Q1073" s="7" t="inlineStr">
        <is>
          <t>CST 73</t>
        </is>
      </c>
      <c r="R1073" s="7" t="inlineStr">
        <is>
          <t>Redução de 60% + Diferimento (Art. 138 e Anexo IX LC 214/2025)</t>
        </is>
      </c>
    </row>
    <row r="1074" ht="22" customHeight="1">
      <c r="A1074" s="12" t="inlineStr">
        <is>
          <t>SKU-1070</t>
        </is>
      </c>
      <c r="B1074" s="11" t="n">
        <v>761</v>
      </c>
      <c r="C1074" s="13" t="inlineStr">
        <is>
          <t>SIPEAGRO (UF-XXXXX)</t>
        </is>
      </c>
      <c r="D1074" s="14" t="inlineStr">
        <is>
          <t>FERTILIZANTE 00 00 60 KCL - YARA</t>
        </is>
      </c>
      <c r="E1074" s="13" t="inlineStr">
        <is>
          <t>Faixa 1 TIPI (Apresentação &lt;= 300 g ou mL)</t>
        </is>
      </c>
      <c r="F1074" s="13" t="inlineStr">
        <is>
          <t>Fracionado / Amostra &lt;= 0,3 TL</t>
        </is>
      </c>
      <c r="G1074" s="13" t="inlineStr">
        <is>
          <t>TL</t>
        </is>
      </c>
      <c r="H1074" s="18" t="n">
        <v>0.3</v>
      </c>
      <c r="I1074" s="13" t="inlineStr">
        <is>
          <t>3104.20.90</t>
        </is>
      </c>
      <c r="J1074" s="13" t="inlineStr">
        <is>
          <t>NÃO</t>
        </is>
      </c>
      <c r="K1074" s="13" t="inlineStr">
        <is>
          <t>Embalagem Flexível — NÃO LAVÁVEL (Perfurar e usar saco ABNT)</t>
        </is>
      </c>
      <c r="L1074" s="13" t="inlineStr">
        <is>
          <t>SIM (Saco Transparente ABNT)</t>
        </is>
      </c>
      <c r="M1074" s="13" t="inlineStr">
        <is>
          <t>0,00% (Lei nº 10.925/2004)</t>
        </is>
      </c>
      <c r="N1074" s="13" t="inlineStr">
        <is>
          <t>0,925% (LC nº 224/2025)</t>
        </is>
      </c>
      <c r="O1074" s="13" t="inlineStr">
        <is>
          <t>0,365% (LC nº 224/2025)</t>
        </is>
      </c>
      <c r="P1074" s="13" t="inlineStr">
        <is>
          <t>CST 06</t>
        </is>
      </c>
      <c r="Q1074" s="13" t="inlineStr">
        <is>
          <t>CST 73</t>
        </is>
      </c>
      <c r="R1074" s="13" t="inlineStr">
        <is>
          <t>Redução de 60% + Diferimento (Art. 138 e Anexo IX LC 214/2025)</t>
        </is>
      </c>
    </row>
    <row r="1075" ht="22" customHeight="1">
      <c r="A1075" s="6" t="inlineStr">
        <is>
          <t>SKU-1071</t>
        </is>
      </c>
      <c r="B1075" s="5" t="n">
        <v>762</v>
      </c>
      <c r="C1075" s="7" t="inlineStr">
        <is>
          <t>Nº 40624</t>
        </is>
      </c>
      <c r="D1075" s="8" t="inlineStr">
        <is>
          <t>SHARK - CLORPIRIFOS 480 EC (PRINCIPIO ATIVO)</t>
        </is>
      </c>
      <c r="E1075" s="7" t="inlineStr">
        <is>
          <t>Embalagem Comercial do Produto</t>
        </is>
      </c>
      <c r="F1075" s="7" t="inlineStr">
        <is>
          <t>GRANEL / P.A. (0 L)</t>
        </is>
      </c>
      <c r="G1075" s="7" t="inlineStr">
        <is>
          <t>L</t>
        </is>
      </c>
      <c r="H1075" s="9" t="n">
        <v>0</v>
      </c>
      <c r="I1075" s="7" t="inlineStr">
        <is>
          <t>3808.91.99</t>
        </is>
      </c>
      <c r="J1075" s="7" t="inlineStr">
        <is>
          <t>NÃO</t>
        </is>
      </c>
      <c r="K1075" s="7" t="inlineStr">
        <is>
          <t>Uso Industrial Exclusivo (PGRS / NBR 10004)</t>
        </is>
      </c>
      <c r="L1075" s="7" t="inlineStr">
        <is>
          <t>NÃO</t>
        </is>
      </c>
      <c r="M1075" s="7" t="inlineStr">
        <is>
          <t>0,00% (Lei nº 10.925/2004)</t>
        </is>
      </c>
      <c r="N1075" s="7" t="inlineStr">
        <is>
          <t>0,925% (LC nº 224/2025)</t>
        </is>
      </c>
      <c r="O1075" s="7" t="inlineStr">
        <is>
          <t>0,365% (LC nº 224/2025)</t>
        </is>
      </c>
      <c r="P1075" s="7" t="inlineStr">
        <is>
          <t>CST 06 (Uso Agrícola/Industrial)</t>
        </is>
      </c>
      <c r="Q1075" s="7" t="inlineStr">
        <is>
          <t>CST 73 (Revenda / Destinação)</t>
        </is>
      </c>
      <c r="R1075" s="7" t="inlineStr">
        <is>
          <t>Redução de 60% + Diferimento (Art. 138 LC 214/2025)</t>
        </is>
      </c>
    </row>
    <row r="1076" ht="22" customHeight="1">
      <c r="A1076" s="12" t="inlineStr">
        <is>
          <t>SKU-1072</t>
        </is>
      </c>
      <c r="B1076" s="11" t="n">
        <v>763</v>
      </c>
      <c r="C1076" s="13" t="inlineStr">
        <is>
          <t>SIPEAGRO (UF-XXXXX)</t>
        </is>
      </c>
      <c r="D1076" s="14" t="inlineStr">
        <is>
          <t>CLORETO DE POTASSIO GRAN KCL - FERTIPAR</t>
        </is>
      </c>
      <c r="E1076" s="13" t="inlineStr">
        <is>
          <t>Embalagem Comercial do Produto</t>
        </is>
      </c>
      <c r="F1076" s="13" t="inlineStr">
        <is>
          <t>GRANEL / BIG BAG (1000 TL)</t>
        </is>
      </c>
      <c r="G1076" s="13" t="inlineStr">
        <is>
          <t>TL</t>
        </is>
      </c>
      <c r="H1076" s="15" t="n">
        <v>1</v>
      </c>
      <c r="I1076" s="13" t="inlineStr">
        <is>
          <t>3104.20.90</t>
        </is>
      </c>
      <c r="J1076" s="13" t="inlineStr">
        <is>
          <t>NÃO</t>
        </is>
      </c>
      <c r="K1076" s="13" t="inlineStr">
        <is>
          <t>Embalagem Flexível — NÃO LAVÁVEL (Perfurar e usar saco ABNT)</t>
        </is>
      </c>
      <c r="L1076" s="13" t="inlineStr">
        <is>
          <t>SIM (Saco Transparente ABNT)</t>
        </is>
      </c>
      <c r="M1076" s="13" t="inlineStr">
        <is>
          <t>0,00% (Lei nº 10.925/2004)</t>
        </is>
      </c>
      <c r="N1076" s="13" t="inlineStr">
        <is>
          <t>0,925% (LC nº 224/2025)</t>
        </is>
      </c>
      <c r="O1076" s="13" t="inlineStr">
        <is>
          <t>0,365% (LC nº 224/2025)</t>
        </is>
      </c>
      <c r="P1076" s="13" t="inlineStr">
        <is>
          <t>CST 06</t>
        </is>
      </c>
      <c r="Q1076" s="13" t="inlineStr">
        <is>
          <t>CST 73</t>
        </is>
      </c>
      <c r="R1076" s="13" t="inlineStr">
        <is>
          <t>Redução de 60% + Diferimento (Art. 138 e Anexo IX LC 214/2025)</t>
        </is>
      </c>
    </row>
    <row r="1077" ht="22" customHeight="1">
      <c r="A1077" s="6" t="inlineStr">
        <is>
          <t>SKU-1073</t>
        </is>
      </c>
      <c r="B1077" s="5" t="n">
        <v>763</v>
      </c>
      <c r="C1077" s="7" t="inlineStr">
        <is>
          <t>SIPEAGRO (UF-XXXXX)</t>
        </is>
      </c>
      <c r="D1077" s="8" t="inlineStr">
        <is>
          <t>CLORETO DE POTASSIO GRAN KCL - FERTIPAR</t>
        </is>
      </c>
      <c r="E1077" s="7" t="inlineStr">
        <is>
          <t>Faixa 1 TIPI (Apresentação &lt;= 300 g ou mL)</t>
        </is>
      </c>
      <c r="F1077" s="7" t="inlineStr">
        <is>
          <t>Fracionado / Amostra &lt;= 0,3 TL</t>
        </is>
      </c>
      <c r="G1077" s="7" t="inlineStr">
        <is>
          <t>TL</t>
        </is>
      </c>
      <c r="H1077" s="17" t="n">
        <v>0.3</v>
      </c>
      <c r="I1077" s="7" t="inlineStr">
        <is>
          <t>3104.20.90</t>
        </is>
      </c>
      <c r="J1077" s="7" t="inlineStr">
        <is>
          <t>NÃO</t>
        </is>
      </c>
      <c r="K1077" s="7" t="inlineStr">
        <is>
          <t>Embalagem Flexível — NÃO LAVÁVEL (Perfurar e usar saco ABNT)</t>
        </is>
      </c>
      <c r="L1077" s="7" t="inlineStr">
        <is>
          <t>SIM (Saco Transparente ABNT)</t>
        </is>
      </c>
      <c r="M1077" s="7" t="inlineStr">
        <is>
          <t>0,00% (Lei nº 10.925/2004)</t>
        </is>
      </c>
      <c r="N1077" s="7" t="inlineStr">
        <is>
          <t>0,925% (LC nº 224/2025)</t>
        </is>
      </c>
      <c r="O1077" s="7" t="inlineStr">
        <is>
          <t>0,365% (LC nº 224/2025)</t>
        </is>
      </c>
      <c r="P1077" s="7" t="inlineStr">
        <is>
          <t>CST 06</t>
        </is>
      </c>
      <c r="Q1077" s="7" t="inlineStr">
        <is>
          <t>CST 73</t>
        </is>
      </c>
      <c r="R1077" s="7" t="inlineStr">
        <is>
          <t>Redução de 60% + Diferimento (Art. 138 e Anexo IX LC 214/2025)</t>
        </is>
      </c>
    </row>
    <row r="1078" ht="22" customHeight="1">
      <c r="A1078" s="12" t="inlineStr">
        <is>
          <t>SKU-1074</t>
        </is>
      </c>
      <c r="B1078" s="11" t="n">
        <v>764</v>
      </c>
      <c r="C1078" s="13" t="inlineStr">
        <is>
          <t>Nº 15025</t>
        </is>
      </c>
      <c r="D1078" s="14" t="inlineStr">
        <is>
          <t>PROTHIOCONAZOLE + TRIFLOXYSTROBIN</t>
        </is>
      </c>
      <c r="E1078" s="13" t="inlineStr">
        <is>
          <t>Embalagem Comercial do Produto</t>
        </is>
      </c>
      <c r="F1078" s="13" t="inlineStr">
        <is>
          <t>1X20L (20 L)</t>
        </is>
      </c>
      <c r="G1078" s="13" t="inlineStr">
        <is>
          <t>L</t>
        </is>
      </c>
      <c r="H1078" s="15" t="n">
        <v>20</v>
      </c>
      <c r="I1078" s="13" t="inlineStr">
        <is>
          <t>3808.92.99</t>
        </is>
      </c>
      <c r="J1078" s="13" t="inlineStr">
        <is>
          <t>NÃO</t>
        </is>
      </c>
      <c r="K1078" s="13" t="inlineStr">
        <is>
          <t>Embalagem Rígida — LAVÁVEL (Obrigatória Tríplice Lavagem ou Pressão)</t>
        </is>
      </c>
      <c r="L1078" s="13" t="inlineStr">
        <is>
          <t>NÃO</t>
        </is>
      </c>
      <c r="M1078" s="13" t="inlineStr">
        <is>
          <t>0,00% (Lei nº 10.925/2004)</t>
        </is>
      </c>
      <c r="N1078" s="13" t="inlineStr">
        <is>
          <t>0,925% (LC nº 224/2025)</t>
        </is>
      </c>
      <c r="O1078" s="13" t="inlineStr">
        <is>
          <t>0,365% (LC nº 224/2025)</t>
        </is>
      </c>
      <c r="P1078" s="13" t="inlineStr">
        <is>
          <t>CST 06</t>
        </is>
      </c>
      <c r="Q1078" s="13" t="inlineStr">
        <is>
          <t>CST 73</t>
        </is>
      </c>
      <c r="R1078" s="13" t="inlineStr">
        <is>
          <t>Redução de 60% + Diferimento (Art. 138 e Anexo IX LC 214/2025)</t>
        </is>
      </c>
    </row>
    <row r="1079" ht="22" customHeight="1">
      <c r="A1079" s="6" t="inlineStr">
        <is>
          <t>SKU-1075</t>
        </is>
      </c>
      <c r="B1079" s="5" t="n">
        <v>765</v>
      </c>
      <c r="C1079" s="7" t="inlineStr">
        <is>
          <t>Nº 15025</t>
        </is>
      </c>
      <c r="D1079" s="8" t="inlineStr">
        <is>
          <t>PROTHIOCONAZOLE + TRIFLOXYSTROBIN</t>
        </is>
      </c>
      <c r="E1079" s="7" t="inlineStr">
        <is>
          <t>Embalagem Comercial do Produto</t>
        </is>
      </c>
      <c r="F1079" s="7" t="inlineStr">
        <is>
          <t>4X5L (5 L)</t>
        </is>
      </c>
      <c r="G1079" s="7" t="inlineStr">
        <is>
          <t>L</t>
        </is>
      </c>
      <c r="H1079" s="9" t="n">
        <v>5</v>
      </c>
      <c r="I1079" s="7" t="inlineStr">
        <is>
          <t>3808.92.99</t>
        </is>
      </c>
      <c r="J1079" s="7" t="inlineStr">
        <is>
          <t>NÃO</t>
        </is>
      </c>
      <c r="K1079" s="7" t="inlineStr">
        <is>
          <t>Embalagem Rígida — LAVÁVEL (Obrigatória Tríplice Lavagem ou Pressão)</t>
        </is>
      </c>
      <c r="L1079" s="7" t="inlineStr">
        <is>
          <t>NÃO</t>
        </is>
      </c>
      <c r="M1079" s="7" t="inlineStr">
        <is>
          <t>0,00% (Lei nº 10.925/2004)</t>
        </is>
      </c>
      <c r="N1079" s="7" t="inlineStr">
        <is>
          <t>0,925% (LC nº 224/2025)</t>
        </is>
      </c>
      <c r="O1079" s="7" t="inlineStr">
        <is>
          <t>0,365% (LC nº 224/2025)</t>
        </is>
      </c>
      <c r="P1079" s="7" t="inlineStr">
        <is>
          <t>CST 06</t>
        </is>
      </c>
      <c r="Q1079" s="7" t="inlineStr">
        <is>
          <t>CST 73</t>
        </is>
      </c>
      <c r="R1079" s="7" t="inlineStr">
        <is>
          <t>Redução de 60% + Diferimento (Art. 138 e Anexo IX LC 214/2025)</t>
        </is>
      </c>
    </row>
    <row r="1080" ht="22" customHeight="1">
      <c r="A1080" s="12" t="inlineStr">
        <is>
          <t>SKU-1076</t>
        </is>
      </c>
      <c r="B1080" s="11" t="n">
        <v>766</v>
      </c>
      <c r="C1080" s="13" t="inlineStr">
        <is>
          <t>Nº 15025</t>
        </is>
      </c>
      <c r="D1080" s="14" t="inlineStr">
        <is>
          <t>PROTHIOCONAZOLE + TRIFLOXYSTROBIN</t>
        </is>
      </c>
      <c r="E1080" s="13" t="inlineStr">
        <is>
          <t>Embalagem Comercial do Produto</t>
        </is>
      </c>
      <c r="F1080" s="13" t="inlineStr">
        <is>
          <t>1X20L (20 L)</t>
        </is>
      </c>
      <c r="G1080" s="13" t="inlineStr">
        <is>
          <t>L</t>
        </is>
      </c>
      <c r="H1080" s="15" t="n">
        <v>20</v>
      </c>
      <c r="I1080" s="13" t="inlineStr">
        <is>
          <t>3808.92.99</t>
        </is>
      </c>
      <c r="J1080" s="13" t="inlineStr">
        <is>
          <t>NÃO</t>
        </is>
      </c>
      <c r="K1080" s="13" t="inlineStr">
        <is>
          <t>Embalagem Rígida — LAVÁVEL (Obrigatória Tríplice Lavagem ou Pressão)</t>
        </is>
      </c>
      <c r="L1080" s="13" t="inlineStr">
        <is>
          <t>NÃO</t>
        </is>
      </c>
      <c r="M1080" s="13" t="inlineStr">
        <is>
          <t>0,00% (Lei nº 10.925/2004)</t>
        </is>
      </c>
      <c r="N1080" s="13" t="inlineStr">
        <is>
          <t>0,925% (LC nº 224/2025)</t>
        </is>
      </c>
      <c r="O1080" s="13" t="inlineStr">
        <is>
          <t>0,365% (LC nº 224/2025)</t>
        </is>
      </c>
      <c r="P1080" s="13" t="inlineStr">
        <is>
          <t>CST 06</t>
        </is>
      </c>
      <c r="Q1080" s="13" t="inlineStr">
        <is>
          <t>CST 73</t>
        </is>
      </c>
      <c r="R1080" s="13" t="inlineStr">
        <is>
          <t>Redução de 60% + Diferimento (Art. 138 e Anexo IX LC 214/2025)</t>
        </is>
      </c>
    </row>
    <row r="1081" ht="22" customHeight="1">
      <c r="A1081" s="6" t="inlineStr">
        <is>
          <t>SKU-1077</t>
        </is>
      </c>
      <c r="B1081" s="5" t="n">
        <v>767</v>
      </c>
      <c r="C1081" s="7" t="inlineStr">
        <is>
          <t>Nº 15025</t>
        </is>
      </c>
      <c r="D1081" s="8" t="inlineStr">
        <is>
          <t>PROTHIOCONAZOLE + TRIFLOXYSTROBIN</t>
        </is>
      </c>
      <c r="E1081" s="7" t="inlineStr">
        <is>
          <t>Embalagem Comercial do Produto</t>
        </is>
      </c>
      <c r="F1081" s="7" t="inlineStr">
        <is>
          <t>4X5L (5 L)</t>
        </is>
      </c>
      <c r="G1081" s="7" t="inlineStr">
        <is>
          <t>L</t>
        </is>
      </c>
      <c r="H1081" s="9" t="n">
        <v>5</v>
      </c>
      <c r="I1081" s="7" t="inlineStr">
        <is>
          <t>3808.92.99</t>
        </is>
      </c>
      <c r="J1081" s="7" t="inlineStr">
        <is>
          <t>NÃO</t>
        </is>
      </c>
      <c r="K1081" s="7" t="inlineStr">
        <is>
          <t>Embalagem Rígida — LAVÁVEL (Obrigatória Tríplice Lavagem ou Pressão)</t>
        </is>
      </c>
      <c r="L1081" s="7" t="inlineStr">
        <is>
          <t>NÃO</t>
        </is>
      </c>
      <c r="M1081" s="7" t="inlineStr">
        <is>
          <t>0,00% (Lei nº 10.925/2004)</t>
        </is>
      </c>
      <c r="N1081" s="7" t="inlineStr">
        <is>
          <t>0,925% (LC nº 224/2025)</t>
        </is>
      </c>
      <c r="O1081" s="7" t="inlineStr">
        <is>
          <t>0,365% (LC nº 224/2025)</t>
        </is>
      </c>
      <c r="P1081" s="7" t="inlineStr">
        <is>
          <t>CST 06</t>
        </is>
      </c>
      <c r="Q1081" s="7" t="inlineStr">
        <is>
          <t>CST 73</t>
        </is>
      </c>
      <c r="R1081" s="7" t="inlineStr">
        <is>
          <t>Redução de 60% + Diferimento (Art. 138 e Anexo IX LC 214/2025)</t>
        </is>
      </c>
    </row>
    <row r="1082" ht="22" customHeight="1">
      <c r="A1082" s="12" t="inlineStr">
        <is>
          <t>SKU-1078</t>
        </is>
      </c>
      <c r="B1082" s="11" t="n">
        <v>768</v>
      </c>
      <c r="C1082" s="13" t="inlineStr">
        <is>
          <t>Nº 15623</t>
        </is>
      </c>
      <c r="D1082" s="14" t="inlineStr">
        <is>
          <t>FLUMIOXAZINA 500 (PRINCIPIO ATIVO)</t>
        </is>
      </c>
      <c r="E1082" s="13" t="inlineStr">
        <is>
          <t>Embalagem Comercial do Produto</t>
        </is>
      </c>
      <c r="F1082" s="13" t="inlineStr">
        <is>
          <t>GRANEL / P.A. (0 L)</t>
        </is>
      </c>
      <c r="G1082" s="13" t="inlineStr">
        <is>
          <t>L</t>
        </is>
      </c>
      <c r="H1082" s="15" t="n">
        <v>0</v>
      </c>
      <c r="I1082" s="13" t="inlineStr">
        <is>
          <t>3808.93.29</t>
        </is>
      </c>
      <c r="J1082" s="13" t="inlineStr">
        <is>
          <t>NÃO</t>
        </is>
      </c>
      <c r="K1082" s="13" t="inlineStr">
        <is>
          <t>Uso Industrial Exclusivo (PGRS / NBR 10004)</t>
        </is>
      </c>
      <c r="L1082" s="13" t="inlineStr">
        <is>
          <t>NÃO</t>
        </is>
      </c>
      <c r="M1082" s="13" t="inlineStr">
        <is>
          <t>0,00% (Lei nº 10.925/2004)</t>
        </is>
      </c>
      <c r="N1082" s="13" t="inlineStr">
        <is>
          <t>0,925% (LC nº 224/2025)</t>
        </is>
      </c>
      <c r="O1082" s="13" t="inlineStr">
        <is>
          <t>0,365% (LC nº 224/2025)</t>
        </is>
      </c>
      <c r="P1082" s="13" t="inlineStr">
        <is>
          <t>CST 06 (Uso Agrícola/Industrial)</t>
        </is>
      </c>
      <c r="Q1082" s="13" t="inlineStr">
        <is>
          <t>CST 73 (Revenda / Destinação)</t>
        </is>
      </c>
      <c r="R1082" s="13" t="inlineStr">
        <is>
          <t>Redução de 60% + Diferimento (Art. 138 LC 214/2025)</t>
        </is>
      </c>
    </row>
    <row r="1083" ht="22" customHeight="1">
      <c r="A1083" s="6" t="inlineStr">
        <is>
          <t>SKU-1079</t>
        </is>
      </c>
      <c r="B1083" s="5" t="n">
        <v>768</v>
      </c>
      <c r="C1083" s="7" t="inlineStr">
        <is>
          <t>Nº 15623</t>
        </is>
      </c>
      <c r="D1083" s="8" t="inlineStr">
        <is>
          <t>FLUMIOXAZINA 500 (PRINCIPIO ATIVO)</t>
        </is>
      </c>
      <c r="E1083" s="7" t="inlineStr">
        <is>
          <t>Faixa 1 TIPI (Apresentação &lt;= 300 g ou mL)</t>
        </is>
      </c>
      <c r="F1083" s="7" t="inlineStr">
        <is>
          <t>Fracionado / Amostra &lt;= 0,3 L</t>
        </is>
      </c>
      <c r="G1083" s="7" t="inlineStr">
        <is>
          <t>L</t>
        </is>
      </c>
      <c r="H1083" s="17" t="n">
        <v>0.3</v>
      </c>
      <c r="I1083" s="7" t="inlineStr">
        <is>
          <t>3808.93.19</t>
        </is>
      </c>
      <c r="J1083" s="7" t="inlineStr">
        <is>
          <t>NÃO</t>
        </is>
      </c>
      <c r="K1083" s="7" t="inlineStr">
        <is>
          <t>Uso Industrial Exclusivo (PGRS / NBR 10004)</t>
        </is>
      </c>
      <c r="L1083" s="7" t="inlineStr">
        <is>
          <t>NÃO</t>
        </is>
      </c>
      <c r="M1083" s="7" t="inlineStr">
        <is>
          <t>0,00% (Lei nº 10.925/2004)</t>
        </is>
      </c>
      <c r="N1083" s="7" t="inlineStr">
        <is>
          <t>0,925% (LC nº 224/2025)</t>
        </is>
      </c>
      <c r="O1083" s="7" t="inlineStr">
        <is>
          <t>0,365% (LC nº 224/2025)</t>
        </is>
      </c>
      <c r="P1083" s="7" t="inlineStr">
        <is>
          <t>CST 06 (Uso Agrícola/Industrial)</t>
        </is>
      </c>
      <c r="Q1083" s="7" t="inlineStr">
        <is>
          <t>CST 73 (Revenda / Destinação)</t>
        </is>
      </c>
      <c r="R1083" s="7" t="inlineStr">
        <is>
          <t>Redução de 60% + Diferimento (Art. 138 LC 214/2025)</t>
        </is>
      </c>
    </row>
    <row r="1084" ht="22" customHeight="1">
      <c r="A1084" s="12" t="inlineStr">
        <is>
          <t>SKU-1080</t>
        </is>
      </c>
      <c r="B1084" s="11" t="n">
        <v>769</v>
      </c>
      <c r="C1084" s="13" t="inlineStr">
        <is>
          <t>Nº 2520</t>
        </is>
      </c>
      <c r="D1084" s="14" t="inlineStr">
        <is>
          <t>SURVEY 250 FS</t>
        </is>
      </c>
      <c r="E1084" s="13" t="inlineStr">
        <is>
          <t>Embalagem Comercial do Produto</t>
        </is>
      </c>
      <c r="F1084" s="13" t="inlineStr">
        <is>
          <t>1X20L (20 L)</t>
        </is>
      </c>
      <c r="G1084" s="13" t="inlineStr">
        <is>
          <t>L</t>
        </is>
      </c>
      <c r="H1084" s="15" t="n">
        <v>20</v>
      </c>
      <c r="I1084" s="13" t="inlineStr">
        <is>
          <t>3808.91.99</t>
        </is>
      </c>
      <c r="J1084" s="13" t="inlineStr">
        <is>
          <t>NÃO</t>
        </is>
      </c>
      <c r="K1084" s="13" t="inlineStr">
        <is>
          <t>Embalagem Rígida — LAVÁVEL (Obrigatória Tríplice Lavagem ou Pressão)</t>
        </is>
      </c>
      <c r="L1084" s="13" t="inlineStr">
        <is>
          <t>NÃO</t>
        </is>
      </c>
      <c r="M1084" s="13" t="inlineStr">
        <is>
          <t>0,00% (Lei nº 10.925/2004)</t>
        </is>
      </c>
      <c r="N1084" s="13" t="inlineStr">
        <is>
          <t>0,925% (LC nº 224/2025)</t>
        </is>
      </c>
      <c r="O1084" s="13" t="inlineStr">
        <is>
          <t>0,365% (LC nº 224/2025)</t>
        </is>
      </c>
      <c r="P1084" s="13" t="inlineStr">
        <is>
          <t>CST 06</t>
        </is>
      </c>
      <c r="Q1084" s="13" t="inlineStr">
        <is>
          <t>CST 73</t>
        </is>
      </c>
      <c r="R1084" s="13" t="inlineStr">
        <is>
          <t>Redução de 60% + Diferimento (Art. 138 e Anexo IX LC 214/2025)</t>
        </is>
      </c>
    </row>
    <row r="1085" ht="22" customHeight="1">
      <c r="A1085" s="6" t="inlineStr">
        <is>
          <t>SKU-1081</t>
        </is>
      </c>
      <c r="B1085" s="5" t="n">
        <v>770</v>
      </c>
      <c r="C1085" s="7" t="inlineStr">
        <is>
          <t>SIPEAGRO (UF-XXXXX)</t>
        </is>
      </c>
      <c r="D1085" s="8" t="inlineStr">
        <is>
          <t>ADUBO SUPER TRIPLO 00-46-00 FERT. MIN - IMPACTPVA</t>
        </is>
      </c>
      <c r="E1085" s="7" t="inlineStr">
        <is>
          <t>Embalagem Comercial do Produto</t>
        </is>
      </c>
      <c r="F1085" s="7" t="inlineStr">
        <is>
          <t>EMBALAGEM PADRÃO (25 KG)</t>
        </is>
      </c>
      <c r="G1085" s="7" t="inlineStr">
        <is>
          <t>KG</t>
        </is>
      </c>
      <c r="H1085" s="9" t="n">
        <v>25</v>
      </c>
      <c r="I1085" s="7" t="inlineStr">
        <is>
          <t>3105.59.00</t>
        </is>
      </c>
      <c r="J1085" s="7" t="inlineStr">
        <is>
          <t>NÃO</t>
        </is>
      </c>
      <c r="K1085" s="7" t="inlineStr">
        <is>
          <t>Embalagem de Insumo Nutricional/Biológico (Logística Reversa)</t>
        </is>
      </c>
      <c r="L1085" s="7" t="inlineStr">
        <is>
          <t>NÃO</t>
        </is>
      </c>
      <c r="M1085" s="7" t="inlineStr">
        <is>
          <t>0,00% (Lei nº 10.925/2004)</t>
        </is>
      </c>
      <c r="N1085" s="7" t="inlineStr">
        <is>
          <t>0,925% (LC nº 224/2025)</t>
        </is>
      </c>
      <c r="O1085" s="7" t="inlineStr">
        <is>
          <t>0,365% (LC nº 224/2025)</t>
        </is>
      </c>
      <c r="P1085" s="7" t="inlineStr">
        <is>
          <t>CST 06</t>
        </is>
      </c>
      <c r="Q1085" s="7" t="inlineStr">
        <is>
          <t>CST 73</t>
        </is>
      </c>
      <c r="R1085" s="7" t="inlineStr">
        <is>
          <t>Redução de 60% + Diferimento (Art. 138 e Anexo IX LC 214/2025)</t>
        </is>
      </c>
    </row>
    <row r="1086" ht="22" customHeight="1">
      <c r="A1086" s="12" t="inlineStr">
        <is>
          <t>SKU-1082</t>
        </is>
      </c>
      <c r="B1086" s="11" t="n">
        <v>770</v>
      </c>
      <c r="C1086" s="13" t="inlineStr">
        <is>
          <t>SIPEAGRO (UF-XXXXX)</t>
        </is>
      </c>
      <c r="D1086" s="14" t="inlineStr">
        <is>
          <t>ADUBO SUPER TRIPLO 00-46-00 FERT. MIN - IMPACTPVA</t>
        </is>
      </c>
      <c r="E1086" s="13" t="inlineStr">
        <is>
          <t>Faixa 1 TIPI (Apresentação &lt;= 300 g ou mL)</t>
        </is>
      </c>
      <c r="F1086" s="13" t="inlineStr">
        <is>
          <t>Fracionado / Amostra &lt;= 0,3 KG</t>
        </is>
      </c>
      <c r="G1086" s="13" t="inlineStr">
        <is>
          <t>KG</t>
        </is>
      </c>
      <c r="H1086" s="18" t="n">
        <v>0.3</v>
      </c>
      <c r="I1086" s="13" t="inlineStr">
        <is>
          <t>3103.11.00</t>
        </is>
      </c>
      <c r="J1086" s="13" t="inlineStr">
        <is>
          <t>NÃO</t>
        </is>
      </c>
      <c r="K1086" s="13" t="inlineStr">
        <is>
          <t>Embalagem de Insumo Nutricional/Biológico (Logística Reversa)</t>
        </is>
      </c>
      <c r="L1086" s="13" t="inlineStr">
        <is>
          <t>NÃO</t>
        </is>
      </c>
      <c r="M1086" s="13" t="inlineStr">
        <is>
          <t>0,00% (Lei nº 10.925/2004)</t>
        </is>
      </c>
      <c r="N1086" s="13" t="inlineStr">
        <is>
          <t>0,925% (LC nº 224/2025)</t>
        </is>
      </c>
      <c r="O1086" s="13" t="inlineStr">
        <is>
          <t>0,365% (LC nº 224/2025)</t>
        </is>
      </c>
      <c r="P1086" s="13" t="inlineStr">
        <is>
          <t>CST 06</t>
        </is>
      </c>
      <c r="Q1086" s="13" t="inlineStr">
        <is>
          <t>CST 73</t>
        </is>
      </c>
      <c r="R1086" s="13" t="inlineStr">
        <is>
          <t>Redução de 60% + Diferimento (Art. 138 e Anexo IX LC 214/2025)</t>
        </is>
      </c>
    </row>
    <row r="1087" ht="22" customHeight="1">
      <c r="A1087" s="6" t="inlineStr">
        <is>
          <t>SKU-1083</t>
        </is>
      </c>
      <c r="B1087" s="5" t="n">
        <v>771</v>
      </c>
      <c r="C1087" s="7" t="inlineStr">
        <is>
          <t>Nº 40624</t>
        </is>
      </c>
      <c r="D1087" s="8" t="inlineStr">
        <is>
          <t>SHARK</t>
        </is>
      </c>
      <c r="E1087" s="7" t="inlineStr">
        <is>
          <t>Embalagem Comercial do Produto</t>
        </is>
      </c>
      <c r="F1087" s="7" t="inlineStr">
        <is>
          <t>1X20L (20 L)</t>
        </is>
      </c>
      <c r="G1087" s="7" t="inlineStr">
        <is>
          <t>L</t>
        </is>
      </c>
      <c r="H1087" s="9" t="n">
        <v>20</v>
      </c>
      <c r="I1087" s="7" t="inlineStr">
        <is>
          <t>3808.91.99</t>
        </is>
      </c>
      <c r="J1087" s="7" t="inlineStr">
        <is>
          <t>NÃO</t>
        </is>
      </c>
      <c r="K1087" s="7" t="inlineStr">
        <is>
          <t>Embalagem Rígida — LAVÁVEL (Obrigatória Tríplice Lavagem ou Pressão)</t>
        </is>
      </c>
      <c r="L1087" s="7" t="inlineStr">
        <is>
          <t>NÃO</t>
        </is>
      </c>
      <c r="M1087" s="7" t="inlineStr">
        <is>
          <t>0,00% (Lei nº 10.925/2004)</t>
        </is>
      </c>
      <c r="N1087" s="7" t="inlineStr">
        <is>
          <t>0,925% (LC nº 224/2025)</t>
        </is>
      </c>
      <c r="O1087" s="7" t="inlineStr">
        <is>
          <t>0,365% (LC nº 224/2025)</t>
        </is>
      </c>
      <c r="P1087" s="7" t="inlineStr">
        <is>
          <t>CST 06</t>
        </is>
      </c>
      <c r="Q1087" s="7" t="inlineStr">
        <is>
          <t>CST 73</t>
        </is>
      </c>
      <c r="R1087" s="7" t="inlineStr">
        <is>
          <t>Redução de 60% + Diferimento (Art. 138 e Anexo IX LC 214/2025)</t>
        </is>
      </c>
    </row>
    <row r="1088" ht="22" customHeight="1">
      <c r="A1088" s="12" t="inlineStr">
        <is>
          <t>SKU-1084</t>
        </is>
      </c>
      <c r="B1088" s="11" t="n">
        <v>772</v>
      </c>
      <c r="C1088" s="13" t="inlineStr">
        <is>
          <t>Nº 14623</t>
        </is>
      </c>
      <c r="D1088" s="14" t="inlineStr">
        <is>
          <t>METSULFUROM ULTRA 50X0,1KG (IMP) JA (VALIDAR)</t>
        </is>
      </c>
      <c r="E1088" s="13" t="inlineStr">
        <is>
          <t>Embalagem Comercial do Produto</t>
        </is>
      </c>
      <c r="F1088" s="13" t="inlineStr">
        <is>
          <t>50X0,1KG (0.1 KG)</t>
        </is>
      </c>
      <c r="G1088" s="13" t="inlineStr">
        <is>
          <t>KG</t>
        </is>
      </c>
      <c r="H1088" s="18" t="n">
        <v>0.2</v>
      </c>
      <c r="I1088" s="13" t="inlineStr">
        <is>
          <t>3808.93.27</t>
        </is>
      </c>
      <c r="J1088" s="13" t="inlineStr">
        <is>
          <t>NÃO</t>
        </is>
      </c>
      <c r="K1088" s="13" t="inlineStr">
        <is>
          <t>Embalagem Flexível — NÃO LAVÁVEL (Perfurar e usar saco ABNT)</t>
        </is>
      </c>
      <c r="L1088" s="13" t="inlineStr">
        <is>
          <t>SIM (Saco Transparente ABNT)</t>
        </is>
      </c>
      <c r="M1088" s="13" t="inlineStr">
        <is>
          <t>0,00% (Lei nº 10.925/2004)</t>
        </is>
      </c>
      <c r="N1088" s="13" t="inlineStr">
        <is>
          <t>0,925% (LC nº 224/2025)</t>
        </is>
      </c>
      <c r="O1088" s="13" t="inlineStr">
        <is>
          <t>0,365% (LC nº 224/2025)</t>
        </is>
      </c>
      <c r="P1088" s="13" t="inlineStr">
        <is>
          <t>CST 06</t>
        </is>
      </c>
      <c r="Q1088" s="13" t="inlineStr">
        <is>
          <t>CST 73</t>
        </is>
      </c>
      <c r="R1088" s="13" t="inlineStr">
        <is>
          <t>Redução de 60% + Diferimento (Art. 138 e Anexo IX LC 214/2025)</t>
        </is>
      </c>
    </row>
    <row r="1089" ht="22" customHeight="1">
      <c r="A1089" s="6" t="inlineStr">
        <is>
          <t>SKU-1085</t>
        </is>
      </c>
      <c r="B1089" s="5" t="n">
        <v>772</v>
      </c>
      <c r="C1089" s="7" t="inlineStr">
        <is>
          <t>Nº 14623</t>
        </is>
      </c>
      <c r="D1089" s="8" t="inlineStr">
        <is>
          <t>METSULFUROM ULTRA 50X0,1KG (IMP) JA (VALIDAR)</t>
        </is>
      </c>
      <c r="E1089" s="7" t="inlineStr">
        <is>
          <t>Faixa 1 TIPI (Apresentação &lt;= 300 g ou mL)</t>
        </is>
      </c>
      <c r="F1089" s="7" t="inlineStr">
        <is>
          <t>Fracionado / Amostra &lt;= 0,3 KG</t>
        </is>
      </c>
      <c r="G1089" s="7" t="inlineStr">
        <is>
          <t>KG</t>
        </is>
      </c>
      <c r="H1089" s="17" t="n">
        <v>0.3</v>
      </c>
      <c r="I1089" s="7" t="inlineStr">
        <is>
          <t>3808.93.19</t>
        </is>
      </c>
      <c r="J1089" s="7" t="inlineStr">
        <is>
          <t>NÃO</t>
        </is>
      </c>
      <c r="K1089" s="7" t="inlineStr">
        <is>
          <t>Embalagem Flexível — NÃO LAVÁVEL (Perfurar e usar saco ABNT)</t>
        </is>
      </c>
      <c r="L1089" s="7" t="inlineStr">
        <is>
          <t>SIM (Saco Transparente ABNT)</t>
        </is>
      </c>
      <c r="M1089" s="7" t="inlineStr">
        <is>
          <t>0,00% (Lei nº 10.925/2004)</t>
        </is>
      </c>
      <c r="N1089" s="7" t="inlineStr">
        <is>
          <t>0,925% (LC nº 224/2025)</t>
        </is>
      </c>
      <c r="O1089" s="7" t="inlineStr">
        <is>
          <t>0,365% (LC nº 224/2025)</t>
        </is>
      </c>
      <c r="P1089" s="7" t="inlineStr">
        <is>
          <t>CST 06</t>
        </is>
      </c>
      <c r="Q1089" s="7" t="inlineStr">
        <is>
          <t>CST 73</t>
        </is>
      </c>
      <c r="R1089" s="7" t="inlineStr">
        <is>
          <t>Redução de 60% + Diferimento (Art. 138 e Anexo IX LC 214/2025)</t>
        </is>
      </c>
    </row>
    <row r="1090" ht="22" customHeight="1">
      <c r="A1090" s="12" t="inlineStr">
        <is>
          <t>SKU-1086</t>
        </is>
      </c>
      <c r="B1090" s="11" t="n">
        <v>773</v>
      </c>
      <c r="C1090" s="13" t="inlineStr">
        <is>
          <t>Nº 1838604</t>
        </is>
      </c>
      <c r="D1090" s="14" t="inlineStr">
        <is>
          <t>OXYFLUORFEN 240 EC PROVENTIS</t>
        </is>
      </c>
      <c r="E1090" s="13" t="inlineStr">
        <is>
          <t>Embalagem Comercial do Produto</t>
        </is>
      </c>
      <c r="F1090" s="13" t="inlineStr">
        <is>
          <t>1X20L (20 L)</t>
        </is>
      </c>
      <c r="G1090" s="13" t="inlineStr">
        <is>
          <t>L</t>
        </is>
      </c>
      <c r="H1090" s="15" t="n">
        <v>20</v>
      </c>
      <c r="I1090" s="13" t="inlineStr">
        <is>
          <t>3808.93.29</t>
        </is>
      </c>
      <c r="J1090" s="13" t="inlineStr">
        <is>
          <t>NÃO</t>
        </is>
      </c>
      <c r="K1090" s="13" t="inlineStr">
        <is>
          <t>Embalagem Rígida — LAVÁVEL (Obrigatória Tríplice Lavagem ou Pressão)</t>
        </is>
      </c>
      <c r="L1090" s="13" t="inlineStr">
        <is>
          <t>NÃO</t>
        </is>
      </c>
      <c r="M1090" s="13" t="inlineStr">
        <is>
          <t>0,00% (Lei nº 10.925/2004)</t>
        </is>
      </c>
      <c r="N1090" s="13" t="inlineStr">
        <is>
          <t>0,925% (LC nº 224/2025)</t>
        </is>
      </c>
      <c r="O1090" s="13" t="inlineStr">
        <is>
          <t>0,365% (LC nº 224/2025)</t>
        </is>
      </c>
      <c r="P1090" s="13" t="inlineStr">
        <is>
          <t>CST 06</t>
        </is>
      </c>
      <c r="Q1090" s="13" t="inlineStr">
        <is>
          <t>CST 73</t>
        </is>
      </c>
      <c r="R1090" s="13" t="inlineStr">
        <is>
          <t>Redução de 60% + Diferimento (Art. 138 e Anexo IX LC 214/2025)</t>
        </is>
      </c>
    </row>
    <row r="1091" ht="22" customHeight="1">
      <c r="A1091" s="6" t="inlineStr">
        <is>
          <t>SKU-1087</t>
        </is>
      </c>
      <c r="B1091" s="5" t="n">
        <v>773</v>
      </c>
      <c r="C1091" s="7" t="inlineStr">
        <is>
          <t>Nº 1838604</t>
        </is>
      </c>
      <c r="D1091" s="8" t="inlineStr">
        <is>
          <t>OXYFLUORFEN 240 EC PROVENTIS</t>
        </is>
      </c>
      <c r="E1091" s="7" t="inlineStr">
        <is>
          <t>Faixa 1 TIPI (Apresentação &lt;= 300 g ou mL)</t>
        </is>
      </c>
      <c r="F1091" s="7" t="inlineStr">
        <is>
          <t>Fracionado / Amostra &lt;= 0,3 L</t>
        </is>
      </c>
      <c r="G1091" s="7" t="inlineStr">
        <is>
          <t>L</t>
        </is>
      </c>
      <c r="H1091" s="17" t="n">
        <v>0.3</v>
      </c>
      <c r="I1091" s="7" t="inlineStr">
        <is>
          <t>3808.93.19</t>
        </is>
      </c>
      <c r="J1091" s="7" t="inlineStr">
        <is>
          <t>NÃO</t>
        </is>
      </c>
      <c r="K1091" s="7" t="inlineStr">
        <is>
          <t>Embalagem Rígida — LAVÁVEL (Obrigatória Tríplice Lavagem ou Pressão)</t>
        </is>
      </c>
      <c r="L1091" s="7" t="inlineStr">
        <is>
          <t>NÃO</t>
        </is>
      </c>
      <c r="M1091" s="7" t="inlineStr">
        <is>
          <t>0,00% (Lei nº 10.925/2004)</t>
        </is>
      </c>
      <c r="N1091" s="7" t="inlineStr">
        <is>
          <t>0,925% (LC nº 224/2025)</t>
        </is>
      </c>
      <c r="O1091" s="7" t="inlineStr">
        <is>
          <t>0,365% (LC nº 224/2025)</t>
        </is>
      </c>
      <c r="P1091" s="7" t="inlineStr">
        <is>
          <t>CST 06</t>
        </is>
      </c>
      <c r="Q1091" s="7" t="inlineStr">
        <is>
          <t>CST 73</t>
        </is>
      </c>
      <c r="R1091" s="7" t="inlineStr">
        <is>
          <t>Redução de 60% + Diferimento (Art. 138 e Anexo IX LC 214/2025)</t>
        </is>
      </c>
    </row>
    <row r="1092" ht="22" customHeight="1">
      <c r="A1092" s="12" t="inlineStr">
        <is>
          <t>SKU-1088</t>
        </is>
      </c>
      <c r="B1092" s="11" t="n">
        <v>774</v>
      </c>
      <c r="C1092" s="13" t="inlineStr">
        <is>
          <t>Nº 47125</t>
        </is>
      </c>
      <c r="D1092" s="14" t="inlineStr">
        <is>
          <t>CHLORFENAPYR</t>
        </is>
      </c>
      <c r="E1092" s="13" t="inlineStr">
        <is>
          <t>Embalagem Comercial do Produto</t>
        </is>
      </c>
      <c r="F1092" s="13" t="inlineStr">
        <is>
          <t>1X20L (20 L)</t>
        </is>
      </c>
      <c r="G1092" s="13" t="inlineStr">
        <is>
          <t>L</t>
        </is>
      </c>
      <c r="H1092" s="15" t="n">
        <v>20</v>
      </c>
      <c r="I1092" s="13" t="inlineStr">
        <is>
          <t>3808.69.90</t>
        </is>
      </c>
      <c r="J1092" s="13" t="inlineStr">
        <is>
          <t>SIM</t>
        </is>
      </c>
      <c r="K1092" s="13" t="inlineStr">
        <is>
          <t>Embalagem Rígida — LAVÁVEL (Obrigatória Tríplice Lavagem ou Pressão)</t>
        </is>
      </c>
      <c r="L1092" s="13" t="inlineStr">
        <is>
          <t>NÃO</t>
        </is>
      </c>
      <c r="M1092" s="13" t="inlineStr">
        <is>
          <t>0,00% (Lei nº 10.925/2004)</t>
        </is>
      </c>
      <c r="N1092" s="13" t="inlineStr">
        <is>
          <t>0,925% (LC nº 224/2025)</t>
        </is>
      </c>
      <c r="O1092" s="13" t="inlineStr">
        <is>
          <t>0,365% (LC nº 224/2025)</t>
        </is>
      </c>
      <c r="P1092" s="13" t="inlineStr">
        <is>
          <t>CST 06</t>
        </is>
      </c>
      <c r="Q1092" s="13" t="inlineStr">
        <is>
          <t>CST 73</t>
        </is>
      </c>
      <c r="R1092" s="13" t="inlineStr">
        <is>
          <t>Redução de 60% + Diferimento (Art. 138 e Anexo IX LC 214/2025)</t>
        </is>
      </c>
    </row>
    <row r="1093" ht="22" customHeight="1">
      <c r="A1093" s="6" t="inlineStr">
        <is>
          <t>SKU-1089</t>
        </is>
      </c>
      <c r="B1093" s="5" t="n">
        <v>774</v>
      </c>
      <c r="C1093" s="7" t="inlineStr">
        <is>
          <t>Nº 47125</t>
        </is>
      </c>
      <c r="D1093" s="8" t="inlineStr">
        <is>
          <t>CHLORFENAPYR</t>
        </is>
      </c>
      <c r="E1093" s="7" t="inlineStr">
        <is>
          <t>Faixa 1 TIPI (Apresentação &lt;= 300 g ou mL)</t>
        </is>
      </c>
      <c r="F1093" s="7" t="inlineStr">
        <is>
          <t>Fracionado / Amostra &lt;= 0,3 L</t>
        </is>
      </c>
      <c r="G1093" s="7" t="inlineStr">
        <is>
          <t>L</t>
        </is>
      </c>
      <c r="H1093" s="17" t="n">
        <v>0.3</v>
      </c>
      <c r="I1093" s="7" t="inlineStr">
        <is>
          <t>3808.61.00</t>
        </is>
      </c>
      <c r="J1093" s="7" t="inlineStr">
        <is>
          <t>SIM</t>
        </is>
      </c>
      <c r="K1093" s="7" t="inlineStr">
        <is>
          <t>Embalagem Rígida — LAVÁVEL (Obrigatória Tríplice Lavagem ou Pressão)</t>
        </is>
      </c>
      <c r="L1093" s="7" t="inlineStr">
        <is>
          <t>NÃO</t>
        </is>
      </c>
      <c r="M1093" s="7" t="inlineStr">
        <is>
          <t>0,00% (Lei nº 10.925/2004)</t>
        </is>
      </c>
      <c r="N1093" s="7" t="inlineStr">
        <is>
          <t>0,925% (LC nº 224/2025)</t>
        </is>
      </c>
      <c r="O1093" s="7" t="inlineStr">
        <is>
          <t>0,365% (LC nº 224/2025)</t>
        </is>
      </c>
      <c r="P1093" s="7" t="inlineStr">
        <is>
          <t>CST 06</t>
        </is>
      </c>
      <c r="Q1093" s="7" t="inlineStr">
        <is>
          <t>CST 73</t>
        </is>
      </c>
      <c r="R1093" s="7" t="inlineStr">
        <is>
          <t>Redução de 60% + Diferimento (Art. 138 e Anexo IX LC 214/2025)</t>
        </is>
      </c>
    </row>
    <row r="1094" ht="22" customHeight="1">
      <c r="A1094" s="12" t="inlineStr">
        <is>
          <t>SKU-1090</t>
        </is>
      </c>
      <c r="B1094" s="11" t="n">
        <v>775</v>
      </c>
      <c r="C1094" s="13" t="inlineStr">
        <is>
          <t>Nº 5725</t>
        </is>
      </c>
      <c r="D1094" s="14" t="inlineStr">
        <is>
          <t>ESIFON FULL</t>
        </is>
      </c>
      <c r="E1094" s="13" t="inlineStr">
        <is>
          <t>Embalagem Comercial do Produto</t>
        </is>
      </c>
      <c r="F1094" s="13" t="inlineStr">
        <is>
          <t>4X5L (5 L)</t>
        </is>
      </c>
      <c r="G1094" s="13" t="inlineStr">
        <is>
          <t>L</t>
        </is>
      </c>
      <c r="H1094" s="15" t="n">
        <v>5</v>
      </c>
      <c r="I1094" s="13" t="inlineStr">
        <is>
          <t>3808.93.59</t>
        </is>
      </c>
      <c r="J1094" s="13" t="inlineStr">
        <is>
          <t>NÃO</t>
        </is>
      </c>
      <c r="K1094" s="13" t="inlineStr">
        <is>
          <t>Embalagem Rígida — LAVÁVEL (Obrigatória Tríplice Lavagem ou Pressão)</t>
        </is>
      </c>
      <c r="L1094" s="13" t="inlineStr">
        <is>
          <t>NÃO</t>
        </is>
      </c>
      <c r="M1094" s="13" t="inlineStr">
        <is>
          <t>0,00% (Lei nº 10.925/2004)</t>
        </is>
      </c>
      <c r="N1094" s="13" t="inlineStr">
        <is>
          <t>0,925% (LC nº 224/2025)</t>
        </is>
      </c>
      <c r="O1094" s="13" t="inlineStr">
        <is>
          <t>0,365% (LC nº 224/2025)</t>
        </is>
      </c>
      <c r="P1094" s="13" t="inlineStr">
        <is>
          <t>CST 06</t>
        </is>
      </c>
      <c r="Q1094" s="13" t="inlineStr">
        <is>
          <t>CST 73</t>
        </is>
      </c>
      <c r="R1094" s="13" t="inlineStr">
        <is>
          <t>Redução de 60% + Diferimento (Art. 138 e Anexo IX LC 214/2025)</t>
        </is>
      </c>
    </row>
    <row r="1095" ht="22" customHeight="1">
      <c r="A1095" s="6" t="inlineStr">
        <is>
          <t>SKU-1091</t>
        </is>
      </c>
      <c r="B1095" s="5" t="n">
        <v>776</v>
      </c>
      <c r="C1095" s="7" t="inlineStr">
        <is>
          <t>Nº 14623</t>
        </is>
      </c>
      <c r="D1095" s="8" t="inlineStr">
        <is>
          <t>MILHA</t>
        </is>
      </c>
      <c r="E1095" s="7" t="inlineStr">
        <is>
          <t>Embalagem Comercial do Produto</t>
        </is>
      </c>
      <c r="F1095" s="7" t="inlineStr">
        <is>
          <t>30 X 0,2 KG (0.2 KG)</t>
        </is>
      </c>
      <c r="G1095" s="7" t="inlineStr">
        <is>
          <t>KG</t>
        </is>
      </c>
      <c r="H1095" s="17" t="n">
        <v>0.2</v>
      </c>
      <c r="I1095" s="7" t="inlineStr">
        <is>
          <t>3808.93.29</t>
        </is>
      </c>
      <c r="J1095" s="7" t="inlineStr">
        <is>
          <t>NÃO</t>
        </is>
      </c>
      <c r="K1095" s="7" t="inlineStr">
        <is>
          <t>Embalagem Flexível — NÃO LAVÁVEL (Perfurar e usar saco ABNT)</t>
        </is>
      </c>
      <c r="L1095" s="7" t="inlineStr">
        <is>
          <t>SIM (Saco Transparente ABNT)</t>
        </is>
      </c>
      <c r="M1095" s="7" t="inlineStr">
        <is>
          <t>0,00% (Lei nº 10.925/2004)</t>
        </is>
      </c>
      <c r="N1095" s="7" t="inlineStr">
        <is>
          <t>0,925% (LC nº 224/2025)</t>
        </is>
      </c>
      <c r="O1095" s="7" t="inlineStr">
        <is>
          <t>0,365% (LC nº 224/2025)</t>
        </is>
      </c>
      <c r="P1095" s="7" t="inlineStr">
        <is>
          <t>CST 06</t>
        </is>
      </c>
      <c r="Q1095" s="7" t="inlineStr">
        <is>
          <t>CST 73</t>
        </is>
      </c>
      <c r="R1095" s="7" t="inlineStr">
        <is>
          <t>Redução de 60% + Diferimento (Art. 138 e Anexo IX LC 214/2025)</t>
        </is>
      </c>
    </row>
    <row r="1096" ht="22" customHeight="1">
      <c r="A1096" s="12" t="inlineStr">
        <is>
          <t>SKU-1092</t>
        </is>
      </c>
      <c r="B1096" s="11" t="n">
        <v>776</v>
      </c>
      <c r="C1096" s="13" t="inlineStr">
        <is>
          <t>Nº 14623</t>
        </is>
      </c>
      <c r="D1096" s="14" t="inlineStr">
        <is>
          <t>MILHA</t>
        </is>
      </c>
      <c r="E1096" s="13" t="inlineStr">
        <is>
          <t>Faixa 1 TIPI (Apresentação &lt;= 300 g ou mL)</t>
        </is>
      </c>
      <c r="F1096" s="13" t="inlineStr">
        <is>
          <t>Fracionado / Amostra &lt;= 0,3 KG</t>
        </is>
      </c>
      <c r="G1096" s="13" t="inlineStr">
        <is>
          <t>KG</t>
        </is>
      </c>
      <c r="H1096" s="18" t="n">
        <v>0.3</v>
      </c>
      <c r="I1096" s="13" t="inlineStr">
        <is>
          <t>3808.93.19</t>
        </is>
      </c>
      <c r="J1096" s="13" t="inlineStr">
        <is>
          <t>NÃO</t>
        </is>
      </c>
      <c r="K1096" s="13" t="inlineStr">
        <is>
          <t>Embalagem Flexível — NÃO LAVÁVEL (Perfurar e usar saco ABNT)</t>
        </is>
      </c>
      <c r="L1096" s="13" t="inlineStr">
        <is>
          <t>SIM (Saco Transparente ABNT)</t>
        </is>
      </c>
      <c r="M1096" s="13" t="inlineStr">
        <is>
          <t>0,00% (Lei nº 10.925/2004)</t>
        </is>
      </c>
      <c r="N1096" s="13" t="inlineStr">
        <is>
          <t>0,925% (LC nº 224/2025)</t>
        </is>
      </c>
      <c r="O1096" s="13" t="inlineStr">
        <is>
          <t>0,365% (LC nº 224/2025)</t>
        </is>
      </c>
      <c r="P1096" s="13" t="inlineStr">
        <is>
          <t>CST 06</t>
        </is>
      </c>
      <c r="Q1096" s="13" t="inlineStr">
        <is>
          <t>CST 73</t>
        </is>
      </c>
      <c r="R1096" s="13" t="inlineStr">
        <is>
          <t>Redução de 60% + Diferimento (Art. 138 e Anexo IX LC 214/2025)</t>
        </is>
      </c>
    </row>
    <row r="1097" ht="22" customHeight="1">
      <c r="A1097" s="6" t="inlineStr">
        <is>
          <t>SKU-1093</t>
        </is>
      </c>
      <c r="B1097" s="5" t="n">
        <v>777</v>
      </c>
      <c r="C1097" s="7" t="inlineStr">
        <is>
          <t>VINCULAR MARCA</t>
        </is>
      </c>
      <c r="D1097" s="8" t="inlineStr">
        <is>
          <t>FLUMIOXAZINA 480 (PRINCIPIO ATIVO)</t>
        </is>
      </c>
      <c r="E1097" s="7" t="inlineStr">
        <is>
          <t>Embalagem Comercial do Produto</t>
        </is>
      </c>
      <c r="F1097" s="7" t="inlineStr">
        <is>
          <t>GRANEL / P.A. (0 L)</t>
        </is>
      </c>
      <c r="G1097" s="7" t="inlineStr">
        <is>
          <t>L</t>
        </is>
      </c>
      <c r="H1097" s="9" t="n">
        <v>0</v>
      </c>
      <c r="I1097" s="7" t="inlineStr">
        <is>
          <t>3808.93.29</t>
        </is>
      </c>
      <c r="J1097" s="7" t="inlineStr">
        <is>
          <t>NÃO</t>
        </is>
      </c>
      <c r="K1097" s="7" t="inlineStr">
        <is>
          <t>Uso Industrial Exclusivo (PGRS / NBR 10004)</t>
        </is>
      </c>
      <c r="L1097" s="7" t="inlineStr">
        <is>
          <t>NÃO</t>
        </is>
      </c>
      <c r="M1097" s="7" t="inlineStr">
        <is>
          <t>0,00% (Lei nº 10.925/2004)</t>
        </is>
      </c>
      <c r="N1097" s="7" t="inlineStr">
        <is>
          <t>0,925% (LC nº 224/2025)</t>
        </is>
      </c>
      <c r="O1097" s="7" t="inlineStr">
        <is>
          <t>0,365% (LC nº 224/2025)</t>
        </is>
      </c>
      <c r="P1097" s="7" t="inlineStr">
        <is>
          <t>CST 06 (Uso Agrícola/Industrial)</t>
        </is>
      </c>
      <c r="Q1097" s="7" t="inlineStr">
        <is>
          <t>CST 73 (Revenda / Destinação)</t>
        </is>
      </c>
      <c r="R1097" s="7" t="inlineStr">
        <is>
          <t>Redução de 60% + Diferimento (Art. 138 LC 214/2025)</t>
        </is>
      </c>
    </row>
    <row r="1098" ht="22" customHeight="1">
      <c r="A1098" s="12" t="inlineStr">
        <is>
          <t>SKU-1094</t>
        </is>
      </c>
      <c r="B1098" s="11" t="n">
        <v>777</v>
      </c>
      <c r="C1098" s="13" t="inlineStr">
        <is>
          <t>VINCULAR MARCA</t>
        </is>
      </c>
      <c r="D1098" s="14" t="inlineStr">
        <is>
          <t>FLUMIOXAZINA 480 (PRINCIPIO ATIVO)</t>
        </is>
      </c>
      <c r="E1098" s="13" t="inlineStr">
        <is>
          <t>Faixa 1 TIPI (Apresentação &lt;= 300 g ou mL)</t>
        </is>
      </c>
      <c r="F1098" s="13" t="inlineStr">
        <is>
          <t>Fracionado / Amostra &lt;= 0,3 L</t>
        </is>
      </c>
      <c r="G1098" s="13" t="inlineStr">
        <is>
          <t>L</t>
        </is>
      </c>
      <c r="H1098" s="18" t="n">
        <v>0.3</v>
      </c>
      <c r="I1098" s="13" t="inlineStr">
        <is>
          <t>3808.92.20</t>
        </is>
      </c>
      <c r="J1098" s="13" t="inlineStr">
        <is>
          <t>NÃO</t>
        </is>
      </c>
      <c r="K1098" s="13" t="inlineStr">
        <is>
          <t>Uso Industrial Exclusivo (PGRS / NBR 10004)</t>
        </is>
      </c>
      <c r="L1098" s="13" t="inlineStr">
        <is>
          <t>NÃO</t>
        </is>
      </c>
      <c r="M1098" s="13" t="inlineStr">
        <is>
          <t>0,00% (Lei nº 10.925/2004)</t>
        </is>
      </c>
      <c r="N1098" s="13" t="inlineStr">
        <is>
          <t>0,925% (LC nº 224/2025)</t>
        </is>
      </c>
      <c r="O1098" s="13" t="inlineStr">
        <is>
          <t>0,365% (LC nº 224/2025)</t>
        </is>
      </c>
      <c r="P1098" s="13" t="inlineStr">
        <is>
          <t>CST 06 (Uso Agrícola/Industrial)</t>
        </is>
      </c>
      <c r="Q1098" s="13" t="inlineStr">
        <is>
          <t>CST 73 (Revenda / Destinação)</t>
        </is>
      </c>
      <c r="R1098" s="13" t="inlineStr">
        <is>
          <t>Redução de 60% + Diferimento (Art. 138 LC 214/2025)</t>
        </is>
      </c>
    </row>
    <row r="1099" ht="22" customHeight="1">
      <c r="A1099" s="6" t="inlineStr">
        <is>
          <t>SKU-1095</t>
        </is>
      </c>
      <c r="B1099" s="5" t="n">
        <v>778</v>
      </c>
      <c r="C1099" s="7" t="inlineStr">
        <is>
          <t>SIPEAGRO (UF-XXXXX)</t>
        </is>
      </c>
      <c r="D1099" s="8" t="inlineStr">
        <is>
          <t>KCL VERMELHO 60% K2O - JBS</t>
        </is>
      </c>
      <c r="E1099" s="7" t="inlineStr">
        <is>
          <t>Embalagem Comercial do Produto</t>
        </is>
      </c>
      <c r="F1099" s="7" t="inlineStr">
        <is>
          <t>EMBALAGEM PADRÃO (25 KG)</t>
        </is>
      </c>
      <c r="G1099" s="7" t="inlineStr">
        <is>
          <t>KG</t>
        </is>
      </c>
      <c r="H1099" s="9" t="n">
        <v>25</v>
      </c>
      <c r="I1099" s="7" t="inlineStr">
        <is>
          <t>3104.20.90</t>
        </is>
      </c>
      <c r="J1099" s="7" t="inlineStr">
        <is>
          <t>NÃO</t>
        </is>
      </c>
      <c r="K1099" s="7" t="inlineStr">
        <is>
          <t>Embalagem de Insumo Nutricional/Biológico (Logística Reversa)</t>
        </is>
      </c>
      <c r="L1099" s="7" t="inlineStr">
        <is>
          <t>NÃO</t>
        </is>
      </c>
      <c r="M1099" s="7" t="inlineStr">
        <is>
          <t>0,00% (Lei nº 10.925/2004)</t>
        </is>
      </c>
      <c r="N1099" s="7" t="inlineStr">
        <is>
          <t>0,925% (LC nº 224/2025)</t>
        </is>
      </c>
      <c r="O1099" s="7" t="inlineStr">
        <is>
          <t>0,365% (LC nº 224/2025)</t>
        </is>
      </c>
      <c r="P1099" s="7" t="inlineStr">
        <is>
          <t>CST 06</t>
        </is>
      </c>
      <c r="Q1099" s="7" t="inlineStr">
        <is>
          <t>CST 73</t>
        </is>
      </c>
      <c r="R1099" s="7" t="inlineStr">
        <is>
          <t>Redução de 60% + Diferimento (Art. 138 e Anexo IX LC 214/2025)</t>
        </is>
      </c>
    </row>
    <row r="1100" ht="22" customHeight="1">
      <c r="A1100" s="12" t="inlineStr">
        <is>
          <t>SKU-1096</t>
        </is>
      </c>
      <c r="B1100" s="11" t="n">
        <v>778</v>
      </c>
      <c r="C1100" s="13" t="inlineStr">
        <is>
          <t>SIPEAGRO (UF-XXXXX)</t>
        </is>
      </c>
      <c r="D1100" s="14" t="inlineStr">
        <is>
          <t>KCL VERMELHO 60% K2O - JBS</t>
        </is>
      </c>
      <c r="E1100" s="13" t="inlineStr">
        <is>
          <t>Faixa 1 TIPI (Apresentação &lt;= 300 g ou mL)</t>
        </is>
      </c>
      <c r="F1100" s="13" t="inlineStr">
        <is>
          <t>Fracionado / Amostra &lt;= 0,3 KG</t>
        </is>
      </c>
      <c r="G1100" s="13" t="inlineStr">
        <is>
          <t>KG</t>
        </is>
      </c>
      <c r="H1100" s="18" t="n">
        <v>0.3</v>
      </c>
      <c r="I1100" s="13" t="inlineStr">
        <is>
          <t>3104.20.90</t>
        </is>
      </c>
      <c r="J1100" s="13" t="inlineStr">
        <is>
          <t>NÃO</t>
        </is>
      </c>
      <c r="K1100" s="13" t="inlineStr">
        <is>
          <t>Embalagem de Insumo Nutricional/Biológico (Logística Reversa)</t>
        </is>
      </c>
      <c r="L1100" s="13" t="inlineStr">
        <is>
          <t>NÃO</t>
        </is>
      </c>
      <c r="M1100" s="13" t="inlineStr">
        <is>
          <t>0,00% (Lei nº 10.925/2004)</t>
        </is>
      </c>
      <c r="N1100" s="13" t="inlineStr">
        <is>
          <t>0,925% (LC nº 224/2025)</t>
        </is>
      </c>
      <c r="O1100" s="13" t="inlineStr">
        <is>
          <t>0,365% (LC nº 224/2025)</t>
        </is>
      </c>
      <c r="P1100" s="13" t="inlineStr">
        <is>
          <t>CST 06</t>
        </is>
      </c>
      <c r="Q1100" s="13" t="inlineStr">
        <is>
          <t>CST 73</t>
        </is>
      </c>
      <c r="R1100" s="13" t="inlineStr">
        <is>
          <t>Redução de 60% + Diferimento (Art. 138 e Anexo IX LC 214/2025)</t>
        </is>
      </c>
    </row>
    <row r="1101" ht="22" customHeight="1">
      <c r="A1101" s="6" t="inlineStr">
        <is>
          <t>SKU-1097</t>
        </is>
      </c>
      <c r="B1101" s="5" t="n">
        <v>779</v>
      </c>
      <c r="C1101" s="7" t="inlineStr">
        <is>
          <t>Nº 25224</t>
        </is>
      </c>
      <c r="D1101" s="8" t="inlineStr">
        <is>
          <t>CLETODIM 240 EC BRILLIANCE 0,2L AMOSTRA (IMP) GB</t>
        </is>
      </c>
      <c r="E1101" s="7" t="inlineStr">
        <is>
          <t>Embalagem Comercial do Produto</t>
        </is>
      </c>
      <c r="F1101" s="7" t="inlineStr">
        <is>
          <t>0,2L (0.2 L)</t>
        </is>
      </c>
      <c r="G1101" s="7" t="inlineStr">
        <is>
          <t>L</t>
        </is>
      </c>
      <c r="H1101" s="17" t="n">
        <v>0.2</v>
      </c>
      <c r="I1101" s="7" t="inlineStr">
        <is>
          <t>3808.93.29</t>
        </is>
      </c>
      <c r="J1101" s="7" t="inlineStr">
        <is>
          <t>NÃO</t>
        </is>
      </c>
      <c r="K1101" s="7" t="inlineStr">
        <is>
          <t>Embalagem Rígida — LAVÁVEL (Obrigatória Tríplice Lavagem ou Pressão)</t>
        </is>
      </c>
      <c r="L1101" s="7" t="inlineStr">
        <is>
          <t>NÃO</t>
        </is>
      </c>
      <c r="M1101" s="7" t="inlineStr">
        <is>
          <t>0,00% (Lei nº 10.925/2004)</t>
        </is>
      </c>
      <c r="N1101" s="7" t="inlineStr">
        <is>
          <t>0,925% (LC nº 224/2025)</t>
        </is>
      </c>
      <c r="O1101" s="7" t="inlineStr">
        <is>
          <t>0,365% (LC nº 224/2025)</t>
        </is>
      </c>
      <c r="P1101" s="7" t="inlineStr">
        <is>
          <t>CST 06</t>
        </is>
      </c>
      <c r="Q1101" s="7" t="inlineStr">
        <is>
          <t>CST 73</t>
        </is>
      </c>
      <c r="R1101" s="7" t="inlineStr">
        <is>
          <t>Redução de 60% + Diferimento (Art. 138 e Anexo IX LC 214/2025)</t>
        </is>
      </c>
    </row>
    <row r="1102" ht="22" customHeight="1">
      <c r="A1102" s="12" t="inlineStr">
        <is>
          <t>SKU-1098</t>
        </is>
      </c>
      <c r="B1102" s="11" t="n">
        <v>780</v>
      </c>
      <c r="C1102" s="13" t="inlineStr">
        <is>
          <t>Nº 26820</t>
        </is>
      </c>
      <c r="D1102" s="14" t="inlineStr">
        <is>
          <t>CRUZARO 480 EC 0,2L AMOSTRA (IMP) GL</t>
        </is>
      </c>
      <c r="E1102" s="13" t="inlineStr">
        <is>
          <t>Embalagem Comercial do Produto</t>
        </is>
      </c>
      <c r="F1102" s="13" t="inlineStr">
        <is>
          <t>0,2L (0.2 L)</t>
        </is>
      </c>
      <c r="G1102" s="13" t="inlineStr">
        <is>
          <t>L</t>
        </is>
      </c>
      <c r="H1102" s="18" t="n">
        <v>0.2</v>
      </c>
      <c r="I1102" s="13" t="inlineStr">
        <is>
          <t>3808.93.29</t>
        </is>
      </c>
      <c r="J1102" s="13" t="inlineStr">
        <is>
          <t>NÃO</t>
        </is>
      </c>
      <c r="K1102" s="13" t="inlineStr">
        <is>
          <t>Embalagem Rígida — LAVÁVEL (Obrigatória Tríplice Lavagem ou Pressão)</t>
        </is>
      </c>
      <c r="L1102" s="13" t="inlineStr">
        <is>
          <t>NÃO</t>
        </is>
      </c>
      <c r="M1102" s="13" t="inlineStr">
        <is>
          <t>0,00% (Lei nº 10.925/2004)</t>
        </is>
      </c>
      <c r="N1102" s="13" t="inlineStr">
        <is>
          <t>0,925% (LC nº 224/2025)</t>
        </is>
      </c>
      <c r="O1102" s="13" t="inlineStr">
        <is>
          <t>0,365% (LC nº 224/2025)</t>
        </is>
      </c>
      <c r="P1102" s="13" t="inlineStr">
        <is>
          <t>CST 06</t>
        </is>
      </c>
      <c r="Q1102" s="13" t="inlineStr">
        <is>
          <t>CST 73</t>
        </is>
      </c>
      <c r="R1102" s="13" t="inlineStr">
        <is>
          <t>Redução de 60% + Diferimento (Art. 138 e Anexo IX LC 214/2025)</t>
        </is>
      </c>
    </row>
    <row r="1103" ht="22" customHeight="1">
      <c r="A1103" s="6" t="inlineStr">
        <is>
          <t>SKU-1099</t>
        </is>
      </c>
      <c r="B1103" s="5" t="n">
        <v>781</v>
      </c>
      <c r="C1103" s="7" t="inlineStr">
        <is>
          <t>Nº 40024</t>
        </is>
      </c>
      <c r="D1103" s="8" t="inlineStr">
        <is>
          <t>FOLICRON</t>
        </is>
      </c>
      <c r="E1103" s="7" t="inlineStr">
        <is>
          <t>Embalagem Comercial do Produto</t>
        </is>
      </c>
      <c r="F1103" s="7" t="inlineStr">
        <is>
          <t>4X5L (5 L)</t>
        </is>
      </c>
      <c r="G1103" s="7" t="inlineStr">
        <is>
          <t>L</t>
        </is>
      </c>
      <c r="H1103" s="9" t="n">
        <v>5</v>
      </c>
      <c r="I1103" s="7" t="inlineStr">
        <is>
          <t>3808.92.99</t>
        </is>
      </c>
      <c r="J1103" s="7" t="inlineStr">
        <is>
          <t>NÃO</t>
        </is>
      </c>
      <c r="K1103" s="7" t="inlineStr">
        <is>
          <t>Embalagem Rígida — LAVÁVEL (Obrigatória Tríplice Lavagem ou Pressão)</t>
        </is>
      </c>
      <c r="L1103" s="7" t="inlineStr">
        <is>
          <t>NÃO</t>
        </is>
      </c>
      <c r="M1103" s="7" t="inlineStr">
        <is>
          <t>0,00% (Lei nº 10.925/2004)</t>
        </is>
      </c>
      <c r="N1103" s="7" t="inlineStr">
        <is>
          <t>0,925% (LC nº 224/2025)</t>
        </is>
      </c>
      <c r="O1103" s="7" t="inlineStr">
        <is>
          <t>0,365% (LC nº 224/2025)</t>
        </is>
      </c>
      <c r="P1103" s="7" t="inlineStr">
        <is>
          <t>CST 06</t>
        </is>
      </c>
      <c r="Q1103" s="7" t="inlineStr">
        <is>
          <t>CST 73</t>
        </is>
      </c>
      <c r="R1103" s="7" t="inlineStr">
        <is>
          <t>Redução de 60% + Diferimento (Art. 138 e Anexo IX LC 214/2025)</t>
        </is>
      </c>
    </row>
    <row r="1104" ht="22" customHeight="1">
      <c r="A1104" s="12" t="inlineStr">
        <is>
          <t>SKU-1100</t>
        </is>
      </c>
      <c r="B1104" s="11" t="n">
        <v>781</v>
      </c>
      <c r="C1104" s="13" t="inlineStr">
        <is>
          <t>Nº 40024</t>
        </is>
      </c>
      <c r="D1104" s="14" t="inlineStr">
        <is>
          <t>FOLICRON</t>
        </is>
      </c>
      <c r="E1104" s="13" t="inlineStr">
        <is>
          <t>Faixa 1 TIPI (Apresentação &lt;= 300 g ou mL)</t>
        </is>
      </c>
      <c r="F1104" s="13" t="inlineStr">
        <is>
          <t>Fracionado / Amostra &lt;= 0,3 L</t>
        </is>
      </c>
      <c r="G1104" s="13" t="inlineStr">
        <is>
          <t>L</t>
        </is>
      </c>
      <c r="H1104" s="18" t="n">
        <v>0.3</v>
      </c>
      <c r="I1104" s="13" t="inlineStr">
        <is>
          <t>3808.92.20</t>
        </is>
      </c>
      <c r="J1104" s="13" t="inlineStr">
        <is>
          <t>NÃO</t>
        </is>
      </c>
      <c r="K1104" s="13" t="inlineStr">
        <is>
          <t>Embalagem Rígida — LAVÁVEL (Obrigatória Tríplice Lavagem ou Pressão)</t>
        </is>
      </c>
      <c r="L1104" s="13" t="inlineStr">
        <is>
          <t>NÃO</t>
        </is>
      </c>
      <c r="M1104" s="13" t="inlineStr">
        <is>
          <t>0,00% (Lei nº 10.925/2004)</t>
        </is>
      </c>
      <c r="N1104" s="13" t="inlineStr">
        <is>
          <t>0,925% (LC nº 224/2025)</t>
        </is>
      </c>
      <c r="O1104" s="13" t="inlineStr">
        <is>
          <t>0,365% (LC nº 224/2025)</t>
        </is>
      </c>
      <c r="P1104" s="13" t="inlineStr">
        <is>
          <t>CST 06</t>
        </is>
      </c>
      <c r="Q1104" s="13" t="inlineStr">
        <is>
          <t>CST 73</t>
        </is>
      </c>
      <c r="R1104" s="13" t="inlineStr">
        <is>
          <t>Redução de 60% + Diferimento (Art. 138 e Anexo IX LC 214/2025)</t>
        </is>
      </c>
    </row>
    <row r="1105" ht="22" customHeight="1">
      <c r="A1105" s="6" t="inlineStr">
        <is>
          <t>SKU-1101</t>
        </is>
      </c>
      <c r="B1105" s="5" t="n">
        <v>782</v>
      </c>
      <c r="C1105" s="7" t="inlineStr">
        <is>
          <t>Nº 11325</t>
        </is>
      </c>
      <c r="D1105" s="8" t="inlineStr">
        <is>
          <t>VISTARA</t>
        </is>
      </c>
      <c r="E1105" s="7" t="inlineStr">
        <is>
          <t>Embalagem Comercial do Produto</t>
        </is>
      </c>
      <c r="F1105" s="7" t="inlineStr">
        <is>
          <t>1X20L (20 L)</t>
        </is>
      </c>
      <c r="G1105" s="7" t="inlineStr">
        <is>
          <t>L</t>
        </is>
      </c>
      <c r="H1105" s="9" t="n">
        <v>20</v>
      </c>
      <c r="I1105" s="7" t="inlineStr">
        <is>
          <t>3808.92.99</t>
        </is>
      </c>
      <c r="J1105" s="7" t="inlineStr">
        <is>
          <t>NÃO</t>
        </is>
      </c>
      <c r="K1105" s="7" t="inlineStr">
        <is>
          <t>Embalagem Rígida — LAVÁVEL (Obrigatória Tríplice Lavagem ou Pressão)</t>
        </is>
      </c>
      <c r="L1105" s="7" t="inlineStr">
        <is>
          <t>NÃO</t>
        </is>
      </c>
      <c r="M1105" s="7" t="inlineStr">
        <is>
          <t>0,00% (Lei nº 10.925/2004)</t>
        </is>
      </c>
      <c r="N1105" s="7" t="inlineStr">
        <is>
          <t>0,925% (LC nº 224/2025)</t>
        </is>
      </c>
      <c r="O1105" s="7" t="inlineStr">
        <is>
          <t>0,365% (LC nº 224/2025)</t>
        </is>
      </c>
      <c r="P1105" s="7" t="inlineStr">
        <is>
          <t>CST 06</t>
        </is>
      </c>
      <c r="Q1105" s="7" t="inlineStr">
        <is>
          <t>CST 73</t>
        </is>
      </c>
      <c r="R1105" s="7" t="inlineStr">
        <is>
          <t>Redução de 60% + Diferimento (Art. 138 e Anexo IX LC 214/2025)</t>
        </is>
      </c>
    </row>
    <row r="1106" ht="22" customHeight="1">
      <c r="A1106" s="12" t="inlineStr">
        <is>
          <t>SKU-1102</t>
        </is>
      </c>
      <c r="B1106" s="11" t="n">
        <v>783</v>
      </c>
      <c r="C1106" s="13" t="inlineStr">
        <is>
          <t>Nº 27025</t>
        </is>
      </c>
      <c r="D1106" s="14" t="inlineStr">
        <is>
          <t>PYROX</t>
        </is>
      </c>
      <c r="E1106" s="13" t="inlineStr">
        <is>
          <t>Embalagem Comercial do Produto</t>
        </is>
      </c>
      <c r="F1106" s="13" t="inlineStr">
        <is>
          <t>4X5L (5 L)</t>
        </is>
      </c>
      <c r="G1106" s="13" t="inlineStr">
        <is>
          <t>L</t>
        </is>
      </c>
      <c r="H1106" s="15" t="n">
        <v>5</v>
      </c>
      <c r="I1106" s="13" t="inlineStr">
        <is>
          <t>3808.93.27</t>
        </is>
      </c>
      <c r="J1106" s="13" t="inlineStr">
        <is>
          <t>NÃO</t>
        </is>
      </c>
      <c r="K1106" s="13" t="inlineStr">
        <is>
          <t>Embalagem Rígida — LAVÁVEL (Obrigatória Tríplice Lavagem ou Pressão)</t>
        </is>
      </c>
      <c r="L1106" s="13" t="inlineStr">
        <is>
          <t>NÃO</t>
        </is>
      </c>
      <c r="M1106" s="13" t="inlineStr">
        <is>
          <t>0,00% (Lei nº 10.925/2004)</t>
        </is>
      </c>
      <c r="N1106" s="13" t="inlineStr">
        <is>
          <t>0,925% (LC nº 224/2025)</t>
        </is>
      </c>
      <c r="O1106" s="13" t="inlineStr">
        <is>
          <t>0,365% (LC nº 224/2025)</t>
        </is>
      </c>
      <c r="P1106" s="13" t="inlineStr">
        <is>
          <t>CST 06</t>
        </is>
      </c>
      <c r="Q1106" s="13" t="inlineStr">
        <is>
          <t>CST 73</t>
        </is>
      </c>
      <c r="R1106" s="13" t="inlineStr">
        <is>
          <t>Redução de 60% + Diferimento (Art. 138 e Anexo IX LC 214/2025)</t>
        </is>
      </c>
    </row>
    <row r="1107" ht="22" customHeight="1">
      <c r="A1107" s="6" t="inlineStr">
        <is>
          <t>SKU-1103</t>
        </is>
      </c>
      <c r="B1107" s="5" t="n">
        <v>783</v>
      </c>
      <c r="C1107" s="7" t="inlineStr">
        <is>
          <t>Nº 27025</t>
        </is>
      </c>
      <c r="D1107" s="8" t="inlineStr">
        <is>
          <t>PYROX</t>
        </is>
      </c>
      <c r="E1107" s="7" t="inlineStr">
        <is>
          <t>Faixa 1 TIPI (Apresentação &lt;= 300 g ou mL)</t>
        </is>
      </c>
      <c r="F1107" s="7" t="inlineStr">
        <is>
          <t>Fracionado / Amostra &lt;= 0,3 L</t>
        </is>
      </c>
      <c r="G1107" s="7" t="inlineStr">
        <is>
          <t>L</t>
        </is>
      </c>
      <c r="H1107" s="17" t="n">
        <v>0.3</v>
      </c>
      <c r="I1107" s="7" t="inlineStr">
        <is>
          <t>3808.93.19</t>
        </is>
      </c>
      <c r="J1107" s="7" t="inlineStr">
        <is>
          <t>NÃO</t>
        </is>
      </c>
      <c r="K1107" s="7" t="inlineStr">
        <is>
          <t>Embalagem Rígida — LAVÁVEL (Obrigatória Tríplice Lavagem ou Pressão)</t>
        </is>
      </c>
      <c r="L1107" s="7" t="inlineStr">
        <is>
          <t>NÃO</t>
        </is>
      </c>
      <c r="M1107" s="7" t="inlineStr">
        <is>
          <t>0,00% (Lei nº 10.925/2004)</t>
        </is>
      </c>
      <c r="N1107" s="7" t="inlineStr">
        <is>
          <t>0,925% (LC nº 224/2025)</t>
        </is>
      </c>
      <c r="O1107" s="7" t="inlineStr">
        <is>
          <t>0,365% (LC nº 224/2025)</t>
        </is>
      </c>
      <c r="P1107" s="7" t="inlineStr">
        <is>
          <t>CST 06</t>
        </is>
      </c>
      <c r="Q1107" s="7" t="inlineStr">
        <is>
          <t>CST 73</t>
        </is>
      </c>
      <c r="R1107" s="7" t="inlineStr">
        <is>
          <t>Redução de 60% + Diferimento (Art. 138 e Anexo IX LC 214/2025)</t>
        </is>
      </c>
    </row>
    <row r="1108" ht="22" customHeight="1">
      <c r="A1108" s="12" t="inlineStr">
        <is>
          <t>SKU-1104</t>
        </is>
      </c>
      <c r="B1108" s="11" t="n">
        <v>784</v>
      </c>
      <c r="C1108" s="13" t="inlineStr">
        <is>
          <t>Nº 13714</t>
        </is>
      </c>
      <c r="D1108" s="14" t="inlineStr">
        <is>
          <t>WIPE OUT</t>
        </is>
      </c>
      <c r="E1108" s="13" t="inlineStr">
        <is>
          <t>Embalagem Comercial do Produto</t>
        </is>
      </c>
      <c r="F1108" s="13" t="inlineStr">
        <is>
          <t>1X20KG (20 KG)</t>
        </is>
      </c>
      <c r="G1108" s="13" t="inlineStr">
        <is>
          <t>KG</t>
        </is>
      </c>
      <c r="H1108" s="15" t="n">
        <v>20</v>
      </c>
      <c r="I1108" s="13" t="inlineStr">
        <is>
          <t>3808.93.24</t>
        </is>
      </c>
      <c r="J1108" s="13" t="inlineStr">
        <is>
          <t>NÃO</t>
        </is>
      </c>
      <c r="K1108" s="13" t="inlineStr">
        <is>
          <t>Embalagem Flexível — NÃO LAVÁVEL (Perfurar e usar saco ABNT)</t>
        </is>
      </c>
      <c r="L1108" s="13" t="inlineStr">
        <is>
          <t>SIM (Saco Transparente ABNT)</t>
        </is>
      </c>
      <c r="M1108" s="13" t="inlineStr">
        <is>
          <t>0,00% (Lei nº 10.925/2004)</t>
        </is>
      </c>
      <c r="N1108" s="13" t="inlineStr">
        <is>
          <t>0,925% (LC nº 224/2025)</t>
        </is>
      </c>
      <c r="O1108" s="13" t="inlineStr">
        <is>
          <t>0,365% (LC nº 224/2025)</t>
        </is>
      </c>
      <c r="P1108" s="13" t="inlineStr">
        <is>
          <t>CST 06</t>
        </is>
      </c>
      <c r="Q1108" s="13" t="inlineStr">
        <is>
          <t>CST 73</t>
        </is>
      </c>
      <c r="R1108" s="13" t="inlineStr">
        <is>
          <t>Redução de 60% + Diferimento (Art. 138 e Anexo IX LC 214/2025)</t>
        </is>
      </c>
    </row>
    <row r="1109" ht="22" customHeight="1">
      <c r="A1109" s="6" t="inlineStr">
        <is>
          <t>SKU-1105</t>
        </is>
      </c>
      <c r="B1109" s="5" t="n">
        <v>785</v>
      </c>
      <c r="C1109" s="7" t="inlineStr">
        <is>
          <t>Nº 16223</t>
        </is>
      </c>
      <c r="D1109" s="8" t="inlineStr">
        <is>
          <t>COMPRAY</t>
        </is>
      </c>
      <c r="E1109" s="7" t="inlineStr">
        <is>
          <t>Embalagem Comercial do Produto</t>
        </is>
      </c>
      <c r="F1109" s="7" t="inlineStr">
        <is>
          <t>4X5L (5 L)</t>
        </is>
      </c>
      <c r="G1109" s="7" t="inlineStr">
        <is>
          <t>L</t>
        </is>
      </c>
      <c r="H1109" s="9" t="n">
        <v>5</v>
      </c>
      <c r="I1109" s="7" t="inlineStr">
        <is>
          <t>3808.93.29</t>
        </is>
      </c>
      <c r="J1109" s="7" t="inlineStr">
        <is>
          <t>NÃO</t>
        </is>
      </c>
      <c r="K1109" s="7" t="inlineStr">
        <is>
          <t>Embalagem Rígida — LAVÁVEL (Obrigatória Tríplice Lavagem ou Pressão)</t>
        </is>
      </c>
      <c r="L1109" s="7" t="inlineStr">
        <is>
          <t>NÃO</t>
        </is>
      </c>
      <c r="M1109" s="7" t="inlineStr">
        <is>
          <t>0,00% (Lei nº 10.925/2004)</t>
        </is>
      </c>
      <c r="N1109" s="7" t="inlineStr">
        <is>
          <t>0,925% (LC nº 224/2025)</t>
        </is>
      </c>
      <c r="O1109" s="7" t="inlineStr">
        <is>
          <t>0,365% (LC nº 224/2025)</t>
        </is>
      </c>
      <c r="P1109" s="7" t="inlineStr">
        <is>
          <t>CST 06</t>
        </is>
      </c>
      <c r="Q1109" s="7" t="inlineStr">
        <is>
          <t>CST 73</t>
        </is>
      </c>
      <c r="R1109" s="7" t="inlineStr">
        <is>
          <t>Redução de 60% + Diferimento (Art. 138 e Anexo IX LC 214/2025)</t>
        </is>
      </c>
    </row>
    <row r="1110" ht="22" customHeight="1">
      <c r="A1110" s="12" t="inlineStr">
        <is>
          <t>SKU-1106</t>
        </is>
      </c>
      <c r="B1110" s="11" t="n">
        <v>786</v>
      </c>
      <c r="C1110" s="13" t="inlineStr">
        <is>
          <t>SIPEAGRO (UF-XXXXX)</t>
        </is>
      </c>
      <c r="D1110" s="14" t="inlineStr">
        <is>
          <t>MAP 11-52 - GRANULADO - REVENDA - JBS</t>
        </is>
      </c>
      <c r="E1110" s="13" t="inlineStr">
        <is>
          <t>Embalagem Comercial do Produto</t>
        </is>
      </c>
      <c r="F1110" s="13" t="inlineStr">
        <is>
          <t>GRANEL / BIG BAG (1000 KG)</t>
        </is>
      </c>
      <c r="G1110" s="13" t="inlineStr">
        <is>
          <t>KG</t>
        </is>
      </c>
      <c r="H1110" s="15" t="n">
        <v>1000</v>
      </c>
      <c r="I1110" s="13" t="inlineStr">
        <is>
          <t>3105.40.00</t>
        </is>
      </c>
      <c r="J1110" s="13" t="inlineStr">
        <is>
          <t>NÃO</t>
        </is>
      </c>
      <c r="K1110" s="13" t="inlineStr">
        <is>
          <t>Embalagem Flexível — NÃO LAVÁVEL (Perfurar e usar saco ABNT)</t>
        </is>
      </c>
      <c r="L1110" s="13" t="inlineStr">
        <is>
          <t>SIM (Saco Transparente ABNT)</t>
        </is>
      </c>
      <c r="M1110" s="13" t="inlineStr">
        <is>
          <t>0,00% (Lei nº 10.925/2004)</t>
        </is>
      </c>
      <c r="N1110" s="13" t="inlineStr">
        <is>
          <t>0,925% (LC nº 224/2025)</t>
        </is>
      </c>
      <c r="O1110" s="13" t="inlineStr">
        <is>
          <t>0,365% (LC nº 224/2025)</t>
        </is>
      </c>
      <c r="P1110" s="13" t="inlineStr">
        <is>
          <t>CST 06</t>
        </is>
      </c>
      <c r="Q1110" s="13" t="inlineStr">
        <is>
          <t>CST 73</t>
        </is>
      </c>
      <c r="R1110" s="13" t="inlineStr">
        <is>
          <t>Redução de 60% + Diferimento (Art. 138 e Anexo IX LC 214/2025)</t>
        </is>
      </c>
    </row>
    <row r="1111" ht="22" customHeight="1">
      <c r="A1111" s="6" t="inlineStr">
        <is>
          <t>SKU-1107</t>
        </is>
      </c>
      <c r="B1111" s="5" t="n">
        <v>786</v>
      </c>
      <c r="C1111" s="7" t="inlineStr">
        <is>
          <t>SIPEAGRO (UF-XXXXX)</t>
        </is>
      </c>
      <c r="D1111" s="8" t="inlineStr">
        <is>
          <t>MAP 11-52 - GRANULADO - REVENDA - JBS</t>
        </is>
      </c>
      <c r="E1111" s="7" t="inlineStr">
        <is>
          <t>Faixa 1 TIPI (Apresentação &lt;= 300 g ou mL)</t>
        </is>
      </c>
      <c r="F1111" s="7" t="inlineStr">
        <is>
          <t>Fracionado / Amostra &lt;= 0,3 KG</t>
        </is>
      </c>
      <c r="G1111" s="7" t="inlineStr">
        <is>
          <t>KG</t>
        </is>
      </c>
      <c r="H1111" s="17" t="n">
        <v>0.3</v>
      </c>
      <c r="I1111" s="7" t="inlineStr">
        <is>
          <t>3105.40.00</t>
        </is>
      </c>
      <c r="J1111" s="7" t="inlineStr">
        <is>
          <t>NÃO</t>
        </is>
      </c>
      <c r="K1111" s="7" t="inlineStr">
        <is>
          <t>Embalagem Flexível — NÃO LAVÁVEL (Perfurar e usar saco ABNT)</t>
        </is>
      </c>
      <c r="L1111" s="7" t="inlineStr">
        <is>
          <t>SIM (Saco Transparente ABNT)</t>
        </is>
      </c>
      <c r="M1111" s="7" t="inlineStr">
        <is>
          <t>0,00% (Lei nº 10.925/2004)</t>
        </is>
      </c>
      <c r="N1111" s="7" t="inlineStr">
        <is>
          <t>0,925% (LC nº 224/2025)</t>
        </is>
      </c>
      <c r="O1111" s="7" t="inlineStr">
        <is>
          <t>0,365% (LC nº 224/2025)</t>
        </is>
      </c>
      <c r="P1111" s="7" t="inlineStr">
        <is>
          <t>CST 06</t>
        </is>
      </c>
      <c r="Q1111" s="7" t="inlineStr">
        <is>
          <t>CST 73</t>
        </is>
      </c>
      <c r="R1111" s="7" t="inlineStr">
        <is>
          <t>Redução de 60% + Diferimento (Art. 138 e Anexo IX LC 214/2025)</t>
        </is>
      </c>
    </row>
    <row r="1112" ht="22" customHeight="1">
      <c r="A1112" s="12" t="inlineStr">
        <is>
          <t>SKU-1108</t>
        </is>
      </c>
      <c r="B1112" s="11" t="n">
        <v>787</v>
      </c>
      <c r="C1112" s="13" t="inlineStr">
        <is>
          <t>Nº 3524</t>
        </is>
      </c>
      <c r="D1112" s="14" t="inlineStr">
        <is>
          <t>GLUFOSINATO 200 SL CROTECT</t>
        </is>
      </c>
      <c r="E1112" s="13" t="inlineStr">
        <is>
          <t>Embalagem Comercial do Produto</t>
        </is>
      </c>
      <c r="F1112" s="13" t="inlineStr">
        <is>
          <t>1X20L (20 L)</t>
        </is>
      </c>
      <c r="G1112" s="13" t="inlineStr">
        <is>
          <t>L</t>
        </is>
      </c>
      <c r="H1112" s="15" t="n">
        <v>20</v>
      </c>
      <c r="I1112" s="13" t="inlineStr">
        <is>
          <t>3808.93.29</t>
        </is>
      </c>
      <c r="J1112" s="13" t="inlineStr">
        <is>
          <t>NÃO</t>
        </is>
      </c>
      <c r="K1112" s="13" t="inlineStr">
        <is>
          <t>Embalagem Rígida — LAVÁVEL (Obrigatória Tríplice Lavagem ou Pressão)</t>
        </is>
      </c>
      <c r="L1112" s="13" t="inlineStr">
        <is>
          <t>NÃO</t>
        </is>
      </c>
      <c r="M1112" s="13" t="inlineStr">
        <is>
          <t>0,00% (Lei nº 10.925/2004)</t>
        </is>
      </c>
      <c r="N1112" s="13" t="inlineStr">
        <is>
          <t>0,925% (LC nº 224/2025)</t>
        </is>
      </c>
      <c r="O1112" s="13" t="inlineStr">
        <is>
          <t>0,365% (LC nº 224/2025)</t>
        </is>
      </c>
      <c r="P1112" s="13" t="inlineStr">
        <is>
          <t>CST 06</t>
        </is>
      </c>
      <c r="Q1112" s="13" t="inlineStr">
        <is>
          <t>CST 73</t>
        </is>
      </c>
      <c r="R1112" s="13" t="inlineStr">
        <is>
          <t>Redução de 60% + Diferimento (Art. 138 e Anexo IX LC 214/2025)</t>
        </is>
      </c>
    </row>
    <row r="1113" ht="22" customHeight="1">
      <c r="A1113" s="6" t="inlineStr">
        <is>
          <t>SKU-1109</t>
        </is>
      </c>
      <c r="B1113" s="5" t="n">
        <v>788</v>
      </c>
      <c r="C1113" s="7" t="inlineStr">
        <is>
          <t>Nº 12123</t>
        </is>
      </c>
      <c r="D1113" s="8" t="inlineStr">
        <is>
          <t>ARCAR</t>
        </is>
      </c>
      <c r="E1113" s="7" t="inlineStr">
        <is>
          <t>Embalagem Comercial do Produto</t>
        </is>
      </c>
      <c r="F1113" s="7" t="inlineStr">
        <is>
          <t>1X20L (20 L)</t>
        </is>
      </c>
      <c r="G1113" s="7" t="inlineStr">
        <is>
          <t>L</t>
        </is>
      </c>
      <c r="H1113" s="9" t="n">
        <v>20</v>
      </c>
      <c r="I1113" s="7" t="inlineStr">
        <is>
          <t>3808.91.99</t>
        </is>
      </c>
      <c r="J1113" s="7" t="inlineStr">
        <is>
          <t>NÃO</t>
        </is>
      </c>
      <c r="K1113" s="7" t="inlineStr">
        <is>
          <t>Embalagem Rígida — LAVÁVEL (Obrigatória Tríplice Lavagem ou Pressão)</t>
        </is>
      </c>
      <c r="L1113" s="7" t="inlineStr">
        <is>
          <t>NÃO</t>
        </is>
      </c>
      <c r="M1113" s="7" t="inlineStr">
        <is>
          <t>0,00% (Lei nº 10.925/2004)</t>
        </is>
      </c>
      <c r="N1113" s="7" t="inlineStr">
        <is>
          <t>0,925% (LC nº 224/2025)</t>
        </is>
      </c>
      <c r="O1113" s="7" t="inlineStr">
        <is>
          <t>0,365% (LC nº 224/2025)</t>
        </is>
      </c>
      <c r="P1113" s="7" t="inlineStr">
        <is>
          <t>CST 06</t>
        </is>
      </c>
      <c r="Q1113" s="7" t="inlineStr">
        <is>
          <t>CST 73</t>
        </is>
      </c>
      <c r="R1113" s="7" t="inlineStr">
        <is>
          <t>Redução de 60% + Diferimento (Art. 138 e Anexo IX LC 214/2025)</t>
        </is>
      </c>
    </row>
    <row r="1114" ht="22" customHeight="1">
      <c r="A1114" s="12" t="inlineStr">
        <is>
          <t>SKU-1110</t>
        </is>
      </c>
      <c r="B1114" s="11" t="n">
        <v>789</v>
      </c>
      <c r="C1114" s="13" t="inlineStr">
        <is>
          <t>Nº 28925</t>
        </is>
      </c>
      <c r="D1114" s="14" t="inlineStr">
        <is>
          <t>S-METOLACHLOR 960 EC BINNONG 0,200L (AMOSTRA)</t>
        </is>
      </c>
      <c r="E1114" s="13" t="inlineStr">
        <is>
          <t>Embalagem Comercial do Produto</t>
        </is>
      </c>
      <c r="F1114" s="13" t="inlineStr">
        <is>
          <t>0,200L (0.2 L)</t>
        </is>
      </c>
      <c r="G1114" s="13" t="inlineStr">
        <is>
          <t>L</t>
        </is>
      </c>
      <c r="H1114" s="18" t="n">
        <v>0.2</v>
      </c>
      <c r="I1114" s="13" t="inlineStr">
        <is>
          <t>3808.93.29</t>
        </is>
      </c>
      <c r="J1114" s="13" t="inlineStr">
        <is>
          <t>NÃO</t>
        </is>
      </c>
      <c r="K1114" s="13" t="inlineStr">
        <is>
          <t>Embalagem Rígida — LAVÁVEL (Obrigatória Tríplice Lavagem ou Pressão)</t>
        </is>
      </c>
      <c r="L1114" s="13" t="inlineStr">
        <is>
          <t>NÃO</t>
        </is>
      </c>
      <c r="M1114" s="13" t="inlineStr">
        <is>
          <t>0,00% (Lei nº 10.925/2004)</t>
        </is>
      </c>
      <c r="N1114" s="13" t="inlineStr">
        <is>
          <t>0,925% (LC nº 224/2025)</t>
        </is>
      </c>
      <c r="O1114" s="13" t="inlineStr">
        <is>
          <t>0,365% (LC nº 224/2025)</t>
        </is>
      </c>
      <c r="P1114" s="13" t="inlineStr">
        <is>
          <t>CST 06</t>
        </is>
      </c>
      <c r="Q1114" s="13" t="inlineStr">
        <is>
          <t>CST 73</t>
        </is>
      </c>
      <c r="R1114" s="13" t="inlineStr">
        <is>
          <t>Redução de 60% + Diferimento (Art. 138 e Anexo IX LC 214/2025)</t>
        </is>
      </c>
    </row>
    <row r="1115" ht="22" customHeight="1">
      <c r="A1115" s="6" t="inlineStr">
        <is>
          <t>SKU-1111</t>
        </is>
      </c>
      <c r="B1115" s="5" t="n">
        <v>790</v>
      </c>
      <c r="C1115" s="7" t="inlineStr">
        <is>
          <t>Nº 31422</t>
        </is>
      </c>
      <c r="D1115" s="8" t="inlineStr">
        <is>
          <t>ZARPAL</t>
        </is>
      </c>
      <c r="E1115" s="7" t="inlineStr">
        <is>
          <t>Embalagem Comercial do Produto</t>
        </is>
      </c>
      <c r="F1115" s="7" t="inlineStr">
        <is>
          <t>1X10L (10 L)</t>
        </is>
      </c>
      <c r="G1115" s="7" t="inlineStr">
        <is>
          <t>L</t>
        </is>
      </c>
      <c r="H1115" s="9" t="n">
        <v>10</v>
      </c>
      <c r="I1115" s="7" t="inlineStr">
        <is>
          <t>3808.69.90</t>
        </is>
      </c>
      <c r="J1115" s="7" t="inlineStr">
        <is>
          <t>SIM</t>
        </is>
      </c>
      <c r="K1115" s="7" t="inlineStr">
        <is>
          <t>Embalagem Rígida — LAVÁVEL (Obrigatória Tríplice Lavagem ou Pressão)</t>
        </is>
      </c>
      <c r="L1115" s="7" t="inlineStr">
        <is>
          <t>NÃO</t>
        </is>
      </c>
      <c r="M1115" s="7" t="inlineStr">
        <is>
          <t>0,00% (Lei nº 10.925/2004)</t>
        </is>
      </c>
      <c r="N1115" s="7" t="inlineStr">
        <is>
          <t>0,925% (LC nº 224/2025)</t>
        </is>
      </c>
      <c r="O1115" s="7" t="inlineStr">
        <is>
          <t>0,365% (LC nº 224/2025)</t>
        </is>
      </c>
      <c r="P1115" s="7" t="inlineStr">
        <is>
          <t>CST 06</t>
        </is>
      </c>
      <c r="Q1115" s="7" t="inlineStr">
        <is>
          <t>CST 73</t>
        </is>
      </c>
      <c r="R1115" s="7" t="inlineStr">
        <is>
          <t>Redução de 60% + Diferimento (Art. 138 e Anexo IX LC 214/2025)</t>
        </is>
      </c>
    </row>
    <row r="1116" ht="22" customHeight="1">
      <c r="A1116" s="12" t="inlineStr">
        <is>
          <t>SKU-1112</t>
        </is>
      </c>
      <c r="B1116" s="11" t="n">
        <v>790</v>
      </c>
      <c r="C1116" s="13" t="inlineStr">
        <is>
          <t>Nº 31422</t>
        </is>
      </c>
      <c r="D1116" s="14" t="inlineStr">
        <is>
          <t>ZARPAL</t>
        </is>
      </c>
      <c r="E1116" s="13" t="inlineStr">
        <is>
          <t>Faixa 1 TIPI (Apresentação &lt;= 300 g ou mL)</t>
        </is>
      </c>
      <c r="F1116" s="13" t="inlineStr">
        <is>
          <t>Fracionado / Amostra &lt;= 0,3 L</t>
        </is>
      </c>
      <c r="G1116" s="13" t="inlineStr">
        <is>
          <t>L</t>
        </is>
      </c>
      <c r="H1116" s="18" t="n">
        <v>0.3</v>
      </c>
      <c r="I1116" s="13" t="inlineStr">
        <is>
          <t>3808.61.00</t>
        </is>
      </c>
      <c r="J1116" s="13" t="inlineStr">
        <is>
          <t>SIM</t>
        </is>
      </c>
      <c r="K1116" s="13" t="inlineStr">
        <is>
          <t>Embalagem Rígida — LAVÁVEL (Obrigatória Tríplice Lavagem ou Pressão)</t>
        </is>
      </c>
      <c r="L1116" s="13" t="inlineStr">
        <is>
          <t>NÃO</t>
        </is>
      </c>
      <c r="M1116" s="13" t="inlineStr">
        <is>
          <t>0,00% (Lei nº 10.925/2004)</t>
        </is>
      </c>
      <c r="N1116" s="13" t="inlineStr">
        <is>
          <t>0,925% (LC nº 224/2025)</t>
        </is>
      </c>
      <c r="O1116" s="13" t="inlineStr">
        <is>
          <t>0,365% (LC nº 224/2025)</t>
        </is>
      </c>
      <c r="P1116" s="13" t="inlineStr">
        <is>
          <t>CST 06</t>
        </is>
      </c>
      <c r="Q1116" s="13" t="inlineStr">
        <is>
          <t>CST 73</t>
        </is>
      </c>
      <c r="R1116" s="13" t="inlineStr">
        <is>
          <t>Redução de 60% + Diferimento (Art. 138 e Anexo IX LC 214/2025)</t>
        </is>
      </c>
    </row>
    <row r="1117" ht="22" customHeight="1">
      <c r="A1117" s="6" t="inlineStr">
        <is>
          <t>SKU-1113</t>
        </is>
      </c>
      <c r="B1117" s="5" t="n">
        <v>791</v>
      </c>
      <c r="C1117" s="7" t="inlineStr">
        <is>
          <t>Nº 40024</t>
        </is>
      </c>
      <c r="D1117" s="8" t="inlineStr">
        <is>
          <t>CIPROCONAZOL 80 + PICOXISTROBINA 200 (PRINCIPIO ATIVO)</t>
        </is>
      </c>
      <c r="E1117" s="7" t="inlineStr">
        <is>
          <t>Embalagem Comercial do Produto</t>
        </is>
      </c>
      <c r="F1117" s="7" t="inlineStr">
        <is>
          <t>GRANEL / P.A. (0 L)</t>
        </is>
      </c>
      <c r="G1117" s="7" t="inlineStr">
        <is>
          <t>L</t>
        </is>
      </c>
      <c r="H1117" s="9" t="n">
        <v>0</v>
      </c>
      <c r="I1117" s="7" t="inlineStr">
        <is>
          <t>3808.92.99</t>
        </is>
      </c>
      <c r="J1117" s="7" t="inlineStr">
        <is>
          <t>NÃO</t>
        </is>
      </c>
      <c r="K1117" s="7" t="inlineStr">
        <is>
          <t>Uso Industrial Exclusivo (PGRS / NBR 10004)</t>
        </is>
      </c>
      <c r="L1117" s="7" t="inlineStr">
        <is>
          <t>NÃO</t>
        </is>
      </c>
      <c r="M1117" s="7" t="inlineStr">
        <is>
          <t>0,00% (Lei nº 10.925/2004)</t>
        </is>
      </c>
      <c r="N1117" s="7" t="inlineStr">
        <is>
          <t>0,925% (LC nº 224/2025)</t>
        </is>
      </c>
      <c r="O1117" s="7" t="inlineStr">
        <is>
          <t>0,365% (LC nº 224/2025)</t>
        </is>
      </c>
      <c r="P1117" s="7" t="inlineStr">
        <is>
          <t>CST 06 (Uso Agrícola/Industrial)</t>
        </is>
      </c>
      <c r="Q1117" s="7" t="inlineStr">
        <is>
          <t>CST 73 (Revenda / Destinação)</t>
        </is>
      </c>
      <c r="R1117" s="7" t="inlineStr">
        <is>
          <t>Redução de 60% + Diferimento (Art. 138 LC 214/2025)</t>
        </is>
      </c>
    </row>
    <row r="1118" ht="22" customHeight="1">
      <c r="A1118" s="12" t="inlineStr">
        <is>
          <t>SKU-1114</t>
        </is>
      </c>
      <c r="B1118" s="11" t="n">
        <v>792</v>
      </c>
      <c r="C1118" s="13" t="inlineStr">
        <is>
          <t>VINCULAR MARCA</t>
        </is>
      </c>
      <c r="D1118" s="14" t="inlineStr">
        <is>
          <t>CLORPIRIFOS 480 -</t>
        </is>
      </c>
      <c r="E1118" s="13" t="inlineStr">
        <is>
          <t>Embalagem Comercial do Produto</t>
        </is>
      </c>
      <c r="F1118" s="13" t="inlineStr">
        <is>
          <t>4X5L (5 L)</t>
        </is>
      </c>
      <c r="G1118" s="13" t="inlineStr">
        <is>
          <t>L</t>
        </is>
      </c>
      <c r="H1118" s="15" t="n">
        <v>5</v>
      </c>
      <c r="I1118" s="13" t="inlineStr">
        <is>
          <t>3808.91.99</t>
        </is>
      </c>
      <c r="J1118" s="13" t="inlineStr">
        <is>
          <t>NÃO</t>
        </is>
      </c>
      <c r="K1118" s="13" t="inlineStr">
        <is>
          <t>Uso Industrial Exclusivo (PGRS / NBR 10004)</t>
        </is>
      </c>
      <c r="L1118" s="13" t="inlineStr">
        <is>
          <t>NÃO</t>
        </is>
      </c>
      <c r="M1118" s="13" t="inlineStr">
        <is>
          <t>0,00% (Lei nº 10.925/2004)</t>
        </is>
      </c>
      <c r="N1118" s="13" t="inlineStr">
        <is>
          <t>0,925% (LC nº 224/2025)</t>
        </is>
      </c>
      <c r="O1118" s="13" t="inlineStr">
        <is>
          <t>0,365% (LC nº 224/2025)</t>
        </is>
      </c>
      <c r="P1118" s="13" t="inlineStr">
        <is>
          <t>CST 06 (Uso Agrícola/Industrial)</t>
        </is>
      </c>
      <c r="Q1118" s="13" t="inlineStr">
        <is>
          <t>CST 73 (Revenda / Destinação)</t>
        </is>
      </c>
      <c r="R1118" s="13" t="inlineStr">
        <is>
          <t>Redução de 60% + Diferimento (Art. 138 LC 214/2025)</t>
        </is>
      </c>
    </row>
    <row r="1119" ht="22" customHeight="1">
      <c r="A1119" s="6" t="inlineStr">
        <is>
          <t>SKU-1115</t>
        </is>
      </c>
      <c r="B1119" s="5" t="n">
        <v>792</v>
      </c>
      <c r="C1119" s="7" t="inlineStr">
        <is>
          <t>VINCULAR MARCA</t>
        </is>
      </c>
      <c r="D1119" s="8" t="inlineStr">
        <is>
          <t>CLORPIRIFOS 480 -</t>
        </is>
      </c>
      <c r="E1119" s="7" t="inlineStr">
        <is>
          <t>Faixa 1 TIPI (Apresentação &lt;= 300 g ou mL)</t>
        </is>
      </c>
      <c r="F1119" s="7" t="inlineStr">
        <is>
          <t>Fracionado / Amostra &lt;= 0,3 L</t>
        </is>
      </c>
      <c r="G1119" s="7" t="inlineStr">
        <is>
          <t>L</t>
        </is>
      </c>
      <c r="H1119" s="17" t="n">
        <v>0.3</v>
      </c>
      <c r="I1119" s="7" t="inlineStr">
        <is>
          <t>3808.92.20</t>
        </is>
      </c>
      <c r="J1119" s="7" t="inlineStr">
        <is>
          <t>NÃO</t>
        </is>
      </c>
      <c r="K1119" s="7" t="inlineStr">
        <is>
          <t>Uso Industrial Exclusivo (PGRS / NBR 10004)</t>
        </is>
      </c>
      <c r="L1119" s="7" t="inlineStr">
        <is>
          <t>NÃO</t>
        </is>
      </c>
      <c r="M1119" s="7" t="inlineStr">
        <is>
          <t>0,00% (Lei nº 10.925/2004)</t>
        </is>
      </c>
      <c r="N1119" s="7" t="inlineStr">
        <is>
          <t>0,925% (LC nº 224/2025)</t>
        </is>
      </c>
      <c r="O1119" s="7" t="inlineStr">
        <is>
          <t>0,365% (LC nº 224/2025)</t>
        </is>
      </c>
      <c r="P1119" s="7" t="inlineStr">
        <is>
          <t>CST 06 (Uso Agrícola/Industrial)</t>
        </is>
      </c>
      <c r="Q1119" s="7" t="inlineStr">
        <is>
          <t>CST 73 (Revenda / Destinação)</t>
        </is>
      </c>
      <c r="R1119" s="7" t="inlineStr">
        <is>
          <t>Redução de 60% + Diferimento (Art. 138 LC 214/2025)</t>
        </is>
      </c>
    </row>
    <row r="1120" ht="22" customHeight="1">
      <c r="A1120" s="12" t="inlineStr">
        <is>
          <t>SKU-1116</t>
        </is>
      </c>
      <c r="B1120" s="11" t="n">
        <v>793</v>
      </c>
      <c r="C1120" s="13" t="inlineStr">
        <is>
          <t>VINCULAR MARCA</t>
        </is>
      </c>
      <c r="D1120" s="14" t="inlineStr">
        <is>
          <t>CLORPIRIFOS 480 -</t>
        </is>
      </c>
      <c r="E1120" s="13" t="inlineStr">
        <is>
          <t>Embalagem Comercial do Produto</t>
        </is>
      </c>
      <c r="F1120" s="13" t="inlineStr">
        <is>
          <t>10L (10 L)</t>
        </is>
      </c>
      <c r="G1120" s="13" t="inlineStr">
        <is>
          <t>L</t>
        </is>
      </c>
      <c r="H1120" s="15" t="n">
        <v>10</v>
      </c>
      <c r="I1120" s="13" t="inlineStr">
        <is>
          <t>3808.91.99</t>
        </is>
      </c>
      <c r="J1120" s="13" t="inlineStr">
        <is>
          <t>NÃO</t>
        </is>
      </c>
      <c r="K1120" s="13" t="inlineStr">
        <is>
          <t>Uso Industrial Exclusivo (PGRS / NBR 10004)</t>
        </is>
      </c>
      <c r="L1120" s="13" t="inlineStr">
        <is>
          <t>NÃO</t>
        </is>
      </c>
      <c r="M1120" s="13" t="inlineStr">
        <is>
          <t>0,00% (Lei nº 10.925/2004)</t>
        </is>
      </c>
      <c r="N1120" s="13" t="inlineStr">
        <is>
          <t>0,925% (LC nº 224/2025)</t>
        </is>
      </c>
      <c r="O1120" s="13" t="inlineStr">
        <is>
          <t>0,365% (LC nº 224/2025)</t>
        </is>
      </c>
      <c r="P1120" s="13" t="inlineStr">
        <is>
          <t>CST 06 (Uso Agrícola/Industrial)</t>
        </is>
      </c>
      <c r="Q1120" s="13" t="inlineStr">
        <is>
          <t>CST 73 (Revenda / Destinação)</t>
        </is>
      </c>
      <c r="R1120" s="13" t="inlineStr">
        <is>
          <t>Redução de 60% + Diferimento (Art. 138 LC 214/2025)</t>
        </is>
      </c>
    </row>
    <row r="1121" ht="22" customHeight="1">
      <c r="A1121" s="6" t="inlineStr">
        <is>
          <t>SKU-1117</t>
        </is>
      </c>
      <c r="B1121" s="5" t="n">
        <v>793</v>
      </c>
      <c r="C1121" s="7" t="inlineStr">
        <is>
          <t>VINCULAR MARCA</t>
        </is>
      </c>
      <c r="D1121" s="8" t="inlineStr">
        <is>
          <t>CLORPIRIFOS 480 -</t>
        </is>
      </c>
      <c r="E1121" s="7" t="inlineStr">
        <is>
          <t>Faixa 1 TIPI (Apresentação &lt;= 300 g ou mL)</t>
        </is>
      </c>
      <c r="F1121" s="7" t="inlineStr">
        <is>
          <t>Fracionado / Amostra &lt;= 0,3 L</t>
        </is>
      </c>
      <c r="G1121" s="7" t="inlineStr">
        <is>
          <t>L</t>
        </is>
      </c>
      <c r="H1121" s="17" t="n">
        <v>0.3</v>
      </c>
      <c r="I1121" s="7" t="inlineStr">
        <is>
          <t>3808.92.20</t>
        </is>
      </c>
      <c r="J1121" s="7" t="inlineStr">
        <is>
          <t>NÃO</t>
        </is>
      </c>
      <c r="K1121" s="7" t="inlineStr">
        <is>
          <t>Uso Industrial Exclusivo (PGRS / NBR 10004)</t>
        </is>
      </c>
      <c r="L1121" s="7" t="inlineStr">
        <is>
          <t>NÃO</t>
        </is>
      </c>
      <c r="M1121" s="7" t="inlineStr">
        <is>
          <t>0,00% (Lei nº 10.925/2004)</t>
        </is>
      </c>
      <c r="N1121" s="7" t="inlineStr">
        <is>
          <t>0,925% (LC nº 224/2025)</t>
        </is>
      </c>
      <c r="O1121" s="7" t="inlineStr">
        <is>
          <t>0,365% (LC nº 224/2025)</t>
        </is>
      </c>
      <c r="P1121" s="7" t="inlineStr">
        <is>
          <t>CST 06 (Uso Agrícola/Industrial)</t>
        </is>
      </c>
      <c r="Q1121" s="7" t="inlineStr">
        <is>
          <t>CST 73 (Revenda / Destinação)</t>
        </is>
      </c>
      <c r="R1121" s="7" t="inlineStr">
        <is>
          <t>Redução de 60% + Diferimento (Art. 138 LC 214/2025)</t>
        </is>
      </c>
    </row>
    <row r="1122" ht="22" customHeight="1">
      <c r="A1122" s="12" t="inlineStr">
        <is>
          <t>SKU-1118</t>
        </is>
      </c>
      <c r="B1122" s="11" t="n">
        <v>794</v>
      </c>
      <c r="C1122" s="13" t="inlineStr">
        <is>
          <t>Nº 27717</t>
        </is>
      </c>
      <c r="D1122" s="14" t="inlineStr">
        <is>
          <t>FIPRONIL 800 (PRINCIPIO ATIVO)</t>
        </is>
      </c>
      <c r="E1122" s="13" t="inlineStr">
        <is>
          <t>Embalagem Comercial do Produto</t>
        </is>
      </c>
      <c r="F1122" s="13" t="inlineStr">
        <is>
          <t>GRANEL / P.A. (0 KG)</t>
        </is>
      </c>
      <c r="G1122" s="13" t="inlineStr">
        <is>
          <t>KG</t>
        </is>
      </c>
      <c r="H1122" s="15" t="n">
        <v>0</v>
      </c>
      <c r="I1122" s="13" t="inlineStr">
        <is>
          <t>3808.91.99</t>
        </is>
      </c>
      <c r="J1122" s="13" t="inlineStr">
        <is>
          <t>NÃO</t>
        </is>
      </c>
      <c r="K1122" s="13" t="inlineStr">
        <is>
          <t>Uso Industrial Exclusivo (PGRS / NBR 10004)</t>
        </is>
      </c>
      <c r="L1122" s="13" t="inlineStr">
        <is>
          <t>NÃO</t>
        </is>
      </c>
      <c r="M1122" s="13" t="inlineStr">
        <is>
          <t>0,00% (Lei nº 10.925/2004)</t>
        </is>
      </c>
      <c r="N1122" s="13" t="inlineStr">
        <is>
          <t>0,925% (LC nº 224/2025)</t>
        </is>
      </c>
      <c r="O1122" s="13" t="inlineStr">
        <is>
          <t>0,365% (LC nº 224/2025)</t>
        </is>
      </c>
      <c r="P1122" s="13" t="inlineStr">
        <is>
          <t>CST 06 (Uso Agrícola/Industrial)</t>
        </is>
      </c>
      <c r="Q1122" s="13" t="inlineStr">
        <is>
          <t>CST 73 (Revenda / Destinação)</t>
        </is>
      </c>
      <c r="R1122" s="13" t="inlineStr">
        <is>
          <t>Redução de 60% + Diferimento (Art. 138 LC 214/2025)</t>
        </is>
      </c>
    </row>
    <row r="1123" ht="22" customHeight="1">
      <c r="A1123" s="6" t="inlineStr">
        <is>
          <t>SKU-1119</t>
        </is>
      </c>
      <c r="B1123" s="5" t="n">
        <v>795</v>
      </c>
      <c r="C1123" s="7" t="inlineStr">
        <is>
          <t>Nº 12920</t>
        </is>
      </c>
      <c r="D1123" s="8" t="inlineStr">
        <is>
          <t>ATRAZINA 900 (PRINCIPIO ATIVO)</t>
        </is>
      </c>
      <c r="E1123" s="7" t="inlineStr">
        <is>
          <t>Embalagem Comercial do Produto</t>
        </is>
      </c>
      <c r="F1123" s="7" t="inlineStr">
        <is>
          <t>GRANEL / P.A. (0 KG)</t>
        </is>
      </c>
      <c r="G1123" s="7" t="inlineStr">
        <is>
          <t>KG</t>
        </is>
      </c>
      <c r="H1123" s="9" t="n">
        <v>0</v>
      </c>
      <c r="I1123" s="7" t="inlineStr">
        <is>
          <t>3808.93.23</t>
        </is>
      </c>
      <c r="J1123" s="7" t="inlineStr">
        <is>
          <t>NÃO</t>
        </is>
      </c>
      <c r="K1123" s="7" t="inlineStr">
        <is>
          <t>Uso Industrial Exclusivo (PGRS / NBR 10004)</t>
        </is>
      </c>
      <c r="L1123" s="7" t="inlineStr">
        <is>
          <t>NÃO</t>
        </is>
      </c>
      <c r="M1123" s="7" t="inlineStr">
        <is>
          <t>0,00% (Lei nº 10.925/2004)</t>
        </is>
      </c>
      <c r="N1123" s="7" t="inlineStr">
        <is>
          <t>0,925% (LC nº 224/2025)</t>
        </is>
      </c>
      <c r="O1123" s="7" t="inlineStr">
        <is>
          <t>0,365% (LC nº 224/2025)</t>
        </is>
      </c>
      <c r="P1123" s="7" t="inlineStr">
        <is>
          <t>CST 06 (Uso Agrícola/Industrial)</t>
        </is>
      </c>
      <c r="Q1123" s="7" t="inlineStr">
        <is>
          <t>CST 73 (Revenda / Destinação)</t>
        </is>
      </c>
      <c r="R1123" s="7" t="inlineStr">
        <is>
          <t>Redução de 60% + Diferimento (Art. 138 LC 214/2025)</t>
        </is>
      </c>
    </row>
    <row r="1124" ht="22" customHeight="1">
      <c r="A1124" s="12" t="inlineStr">
        <is>
          <t>SKU-1120</t>
        </is>
      </c>
      <c r="B1124" s="11" t="n">
        <v>796</v>
      </c>
      <c r="C1124" s="13" t="inlineStr">
        <is>
          <t>Nº 26222</t>
        </is>
      </c>
      <c r="D1124" s="14" t="inlineStr">
        <is>
          <t>DIQUATE (PRINCIPIO ATIVO)</t>
        </is>
      </c>
      <c r="E1124" s="13" t="inlineStr">
        <is>
          <t>Embalagem Comercial do Produto</t>
        </is>
      </c>
      <c r="F1124" s="13" t="inlineStr">
        <is>
          <t>GRANEL / P.A. (0 L)</t>
        </is>
      </c>
      <c r="G1124" s="13" t="inlineStr">
        <is>
          <t>L</t>
        </is>
      </c>
      <c r="H1124" s="15" t="n">
        <v>0</v>
      </c>
      <c r="I1124" s="13" t="inlineStr">
        <is>
          <t>3808.93.29</t>
        </is>
      </c>
      <c r="J1124" s="13" t="inlineStr">
        <is>
          <t>NÃO</t>
        </is>
      </c>
      <c r="K1124" s="13" t="inlineStr">
        <is>
          <t>Uso Industrial Exclusivo (PGRS / NBR 10004)</t>
        </is>
      </c>
      <c r="L1124" s="13" t="inlineStr">
        <is>
          <t>NÃO</t>
        </is>
      </c>
      <c r="M1124" s="13" t="inlineStr">
        <is>
          <t>0,00% (Lei nº 10.925/2004)</t>
        </is>
      </c>
      <c r="N1124" s="13" t="inlineStr">
        <is>
          <t>0,925% (LC nº 224/2025)</t>
        </is>
      </c>
      <c r="O1124" s="13" t="inlineStr">
        <is>
          <t>0,365% (LC nº 224/2025)</t>
        </is>
      </c>
      <c r="P1124" s="13" t="inlineStr">
        <is>
          <t>CST 06 (Uso Agrícola/Industrial)</t>
        </is>
      </c>
      <c r="Q1124" s="13" t="inlineStr">
        <is>
          <t>CST 73 (Revenda / Destinação)</t>
        </is>
      </c>
      <c r="R1124" s="13" t="inlineStr">
        <is>
          <t>Redução de 60% + Diferimento (Art. 138 LC 214/2025)</t>
        </is>
      </c>
    </row>
    <row r="1125" ht="22" customHeight="1">
      <c r="A1125" s="6" t="inlineStr">
        <is>
          <t>SKU-1121</t>
        </is>
      </c>
      <c r="B1125" s="5" t="n">
        <v>797</v>
      </c>
      <c r="C1125" s="7" t="inlineStr">
        <is>
          <t>Nº 4026</t>
        </is>
      </c>
      <c r="D1125" s="8" t="inlineStr">
        <is>
          <t>PROTIOCONAZOLE 480 (PRINCIPIO ATIVO)</t>
        </is>
      </c>
      <c r="E1125" s="7" t="inlineStr">
        <is>
          <t>Embalagem Comercial do Produto</t>
        </is>
      </c>
      <c r="F1125" s="7" t="inlineStr">
        <is>
          <t>GRANEL / P.A. (0 L)</t>
        </is>
      </c>
      <c r="G1125" s="7" t="inlineStr">
        <is>
          <t>L</t>
        </is>
      </c>
      <c r="H1125" s="9" t="n">
        <v>0</v>
      </c>
      <c r="I1125" s="7" t="inlineStr">
        <is>
          <t>3808.92.99</t>
        </is>
      </c>
      <c r="J1125" s="7" t="inlineStr">
        <is>
          <t>NÃO</t>
        </is>
      </c>
      <c r="K1125" s="7" t="inlineStr">
        <is>
          <t>Uso Industrial Exclusivo (PGRS / NBR 10004)</t>
        </is>
      </c>
      <c r="L1125" s="7" t="inlineStr">
        <is>
          <t>NÃO</t>
        </is>
      </c>
      <c r="M1125" s="7" t="inlineStr">
        <is>
          <t>0,00% (Lei nº 10.925/2004)</t>
        </is>
      </c>
      <c r="N1125" s="7" t="inlineStr">
        <is>
          <t>0,925% (LC nº 224/2025)</t>
        </is>
      </c>
      <c r="O1125" s="7" t="inlineStr">
        <is>
          <t>0,365% (LC nº 224/2025)</t>
        </is>
      </c>
      <c r="P1125" s="7" t="inlineStr">
        <is>
          <t>CST 06 (Uso Agrícola/Industrial)</t>
        </is>
      </c>
      <c r="Q1125" s="7" t="inlineStr">
        <is>
          <t>CST 73 (Revenda / Destinação)</t>
        </is>
      </c>
      <c r="R1125" s="7" t="inlineStr">
        <is>
          <t>Redução de 60% + Diferimento (Art. 138 LC 214/2025)</t>
        </is>
      </c>
    </row>
    <row r="1126" ht="22" customHeight="1">
      <c r="A1126" s="12" t="inlineStr">
        <is>
          <t>SKU-1122</t>
        </is>
      </c>
      <c r="B1126" s="11" t="n">
        <v>797</v>
      </c>
      <c r="C1126" s="13" t="inlineStr">
        <is>
          <t>Nº 4026</t>
        </is>
      </c>
      <c r="D1126" s="14" t="inlineStr">
        <is>
          <t>PROTIOCONAZOLE 480 (PRINCIPIO ATIVO)</t>
        </is>
      </c>
      <c r="E1126" s="13" t="inlineStr">
        <is>
          <t>Faixa 1 TIPI (Apresentação &lt;= 300 g ou mL)</t>
        </is>
      </c>
      <c r="F1126" s="13" t="inlineStr">
        <is>
          <t>Fracionado / Amostra &lt;= 0,3 L</t>
        </is>
      </c>
      <c r="G1126" s="13" t="inlineStr">
        <is>
          <t>L</t>
        </is>
      </c>
      <c r="H1126" s="18" t="n">
        <v>0.3</v>
      </c>
      <c r="I1126" s="13" t="inlineStr">
        <is>
          <t>3808.92.20</t>
        </is>
      </c>
      <c r="J1126" s="13" t="inlineStr">
        <is>
          <t>NÃO</t>
        </is>
      </c>
      <c r="K1126" s="13" t="inlineStr">
        <is>
          <t>Uso Industrial Exclusivo (PGRS / NBR 10004)</t>
        </is>
      </c>
      <c r="L1126" s="13" t="inlineStr">
        <is>
          <t>NÃO</t>
        </is>
      </c>
      <c r="M1126" s="13" t="inlineStr">
        <is>
          <t>0,00% (Lei nº 10.925/2004)</t>
        </is>
      </c>
      <c r="N1126" s="13" t="inlineStr">
        <is>
          <t>0,925% (LC nº 224/2025)</t>
        </is>
      </c>
      <c r="O1126" s="13" t="inlineStr">
        <is>
          <t>0,365% (LC nº 224/2025)</t>
        </is>
      </c>
      <c r="P1126" s="13" t="inlineStr">
        <is>
          <t>CST 06 (Uso Agrícola/Industrial)</t>
        </is>
      </c>
      <c r="Q1126" s="13" t="inlineStr">
        <is>
          <t>CST 73 (Revenda / Destinação)</t>
        </is>
      </c>
      <c r="R1126" s="13" t="inlineStr">
        <is>
          <t>Redução de 60% + Diferimento (Art. 138 LC 214/2025)</t>
        </is>
      </c>
    </row>
    <row r="1127" ht="22" customHeight="1">
      <c r="A1127" s="6" t="inlineStr">
        <is>
          <t>SKU-1123</t>
        </is>
      </c>
      <c r="B1127" s="5" t="n">
        <v>798</v>
      </c>
      <c r="C1127" s="7" t="inlineStr">
        <is>
          <t>Nº 43818</t>
        </is>
      </c>
      <c r="D1127" s="8" t="inlineStr">
        <is>
          <t>RUBY</t>
        </is>
      </c>
      <c r="E1127" s="7" t="inlineStr">
        <is>
          <t>Embalagem Comercial do Produto</t>
        </is>
      </c>
      <c r="F1127" s="7" t="inlineStr">
        <is>
          <t>20 L (20 L)</t>
        </is>
      </c>
      <c r="G1127" s="7" t="inlineStr">
        <is>
          <t>L</t>
        </is>
      </c>
      <c r="H1127" s="9" t="n">
        <v>20</v>
      </c>
      <c r="I1127" s="7" t="inlineStr">
        <is>
          <t>3808.91.99</t>
        </is>
      </c>
      <c r="J1127" s="7" t="inlineStr">
        <is>
          <t>NÃO</t>
        </is>
      </c>
      <c r="K1127" s="7" t="inlineStr">
        <is>
          <t>Embalagem Rígida — LAVÁVEL (Obrigatória Tríplice Lavagem ou Pressão)</t>
        </is>
      </c>
      <c r="L1127" s="7" t="inlineStr">
        <is>
          <t>NÃO</t>
        </is>
      </c>
      <c r="M1127" s="7" t="inlineStr">
        <is>
          <t>0,00% (Lei nº 10.925/2004)</t>
        </is>
      </c>
      <c r="N1127" s="7" t="inlineStr">
        <is>
          <t>0,925% (LC nº 224/2025)</t>
        </is>
      </c>
      <c r="O1127" s="7" t="inlineStr">
        <is>
          <t>0,365% (LC nº 224/2025)</t>
        </is>
      </c>
      <c r="P1127" s="7" t="inlineStr">
        <is>
          <t>CST 06</t>
        </is>
      </c>
      <c r="Q1127" s="7" t="inlineStr">
        <is>
          <t>CST 73</t>
        </is>
      </c>
      <c r="R1127" s="7" t="inlineStr">
        <is>
          <t>Redução de 60% + Diferimento (Art. 138 e Anexo IX LC 214/2025)</t>
        </is>
      </c>
    </row>
    <row r="1128" ht="22" customHeight="1">
      <c r="A1128" s="12" t="inlineStr">
        <is>
          <t>SKU-1124</t>
        </is>
      </c>
      <c r="B1128" s="11" t="n">
        <v>799</v>
      </c>
      <c r="C1128" s="13" t="inlineStr">
        <is>
          <t>Nº 40624</t>
        </is>
      </c>
      <c r="D1128" s="14" t="inlineStr">
        <is>
          <t>SHARK</t>
        </is>
      </c>
      <c r="E1128" s="13" t="inlineStr">
        <is>
          <t>Embalagem Comercial do Produto</t>
        </is>
      </c>
      <c r="F1128" s="13" t="inlineStr">
        <is>
          <t>10L (10 L)</t>
        </is>
      </c>
      <c r="G1128" s="13" t="inlineStr">
        <is>
          <t>L</t>
        </is>
      </c>
      <c r="H1128" s="15" t="n">
        <v>10</v>
      </c>
      <c r="I1128" s="13" t="inlineStr">
        <is>
          <t>3808.91.99</t>
        </is>
      </c>
      <c r="J1128" s="13" t="inlineStr">
        <is>
          <t>NÃO</t>
        </is>
      </c>
      <c r="K1128" s="13" t="inlineStr">
        <is>
          <t>Embalagem Rígida — LAVÁVEL (Obrigatória Tríplice Lavagem ou Pressão)</t>
        </is>
      </c>
      <c r="L1128" s="13" t="inlineStr">
        <is>
          <t>NÃO</t>
        </is>
      </c>
      <c r="M1128" s="13" t="inlineStr">
        <is>
          <t>0,00% (Lei nº 10.925/2004)</t>
        </is>
      </c>
      <c r="N1128" s="13" t="inlineStr">
        <is>
          <t>0,925% (LC nº 224/2025)</t>
        </is>
      </c>
      <c r="O1128" s="13" t="inlineStr">
        <is>
          <t>0,365% (LC nº 224/2025)</t>
        </is>
      </c>
      <c r="P1128" s="13" t="inlineStr">
        <is>
          <t>CST 06</t>
        </is>
      </c>
      <c r="Q1128" s="13" t="inlineStr">
        <is>
          <t>CST 73</t>
        </is>
      </c>
      <c r="R1128" s="13" t="inlineStr">
        <is>
          <t>Redução de 60% + Diferimento (Art. 138 e Anexo IX LC 214/2025)</t>
        </is>
      </c>
    </row>
    <row r="1129" ht="22" customHeight="1">
      <c r="A1129" s="6" t="inlineStr">
        <is>
          <t>SKU-1125</t>
        </is>
      </c>
      <c r="B1129" s="5" t="n">
        <v>800</v>
      </c>
      <c r="C1129" s="7" t="inlineStr">
        <is>
          <t>Nº 40624</t>
        </is>
      </c>
      <c r="D1129" s="8" t="inlineStr">
        <is>
          <t>SHARK</t>
        </is>
      </c>
      <c r="E1129" s="7" t="inlineStr">
        <is>
          <t>Embalagem Comercial do Produto</t>
        </is>
      </c>
      <c r="F1129" s="7" t="inlineStr">
        <is>
          <t>4X5L (5 L)</t>
        </is>
      </c>
      <c r="G1129" s="7" t="inlineStr">
        <is>
          <t>L</t>
        </is>
      </c>
      <c r="H1129" s="9" t="n">
        <v>5</v>
      </c>
      <c r="I1129" s="7" t="inlineStr">
        <is>
          <t>3808.91.99</t>
        </is>
      </c>
      <c r="J1129" s="7" t="inlineStr">
        <is>
          <t>NÃO</t>
        </is>
      </c>
      <c r="K1129" s="7" t="inlineStr">
        <is>
          <t>Embalagem Rígida — LAVÁVEL (Obrigatória Tríplice Lavagem ou Pressão)</t>
        </is>
      </c>
      <c r="L1129" s="7" t="inlineStr">
        <is>
          <t>NÃO</t>
        </is>
      </c>
      <c r="M1129" s="7" t="inlineStr">
        <is>
          <t>0,00% (Lei nº 10.925/2004)</t>
        </is>
      </c>
      <c r="N1129" s="7" t="inlineStr">
        <is>
          <t>0,925% (LC nº 224/2025)</t>
        </is>
      </c>
      <c r="O1129" s="7" t="inlineStr">
        <is>
          <t>0,365% (LC nº 224/2025)</t>
        </is>
      </c>
      <c r="P1129" s="7" t="inlineStr">
        <is>
          <t>CST 06</t>
        </is>
      </c>
      <c r="Q1129" s="7" t="inlineStr">
        <is>
          <t>CST 73</t>
        </is>
      </c>
      <c r="R1129" s="7" t="inlineStr">
        <is>
          <t>Redução de 60% + Diferimento (Art. 138 e Anexo IX LC 214/2025)</t>
        </is>
      </c>
    </row>
    <row r="1130" ht="22" customHeight="1">
      <c r="A1130" s="12" t="inlineStr">
        <is>
          <t>SKU-1126</t>
        </is>
      </c>
      <c r="B1130" s="11" t="n">
        <v>801</v>
      </c>
      <c r="C1130" s="13" t="inlineStr">
        <is>
          <t>Nº 17219</t>
        </is>
      </c>
      <c r="D1130" s="14" t="inlineStr">
        <is>
          <t>PERAK</t>
        </is>
      </c>
      <c r="E1130" s="13" t="inlineStr">
        <is>
          <t>Embalagem Comercial do Produto</t>
        </is>
      </c>
      <c r="F1130" s="13" t="inlineStr">
        <is>
          <t>4X5L (5 L)</t>
        </is>
      </c>
      <c r="G1130" s="13" t="inlineStr">
        <is>
          <t>L</t>
        </is>
      </c>
      <c r="H1130" s="15" t="n">
        <v>5</v>
      </c>
      <c r="I1130" s="13" t="inlineStr">
        <is>
          <t>3808.92.99</t>
        </is>
      </c>
      <c r="J1130" s="13" t="inlineStr">
        <is>
          <t>NÃO</t>
        </is>
      </c>
      <c r="K1130" s="13" t="inlineStr">
        <is>
          <t>Embalagem Rígida — LAVÁVEL (Obrigatória Tríplice Lavagem ou Pressão)</t>
        </is>
      </c>
      <c r="L1130" s="13" t="inlineStr">
        <is>
          <t>NÃO</t>
        </is>
      </c>
      <c r="M1130" s="13" t="inlineStr">
        <is>
          <t>0,00% (Lei nº 10.925/2004)</t>
        </is>
      </c>
      <c r="N1130" s="13" t="inlineStr">
        <is>
          <t>0,925% (LC nº 224/2025)</t>
        </is>
      </c>
      <c r="O1130" s="13" t="inlineStr">
        <is>
          <t>0,365% (LC nº 224/2025)</t>
        </is>
      </c>
      <c r="P1130" s="13" t="inlineStr">
        <is>
          <t>CST 06</t>
        </is>
      </c>
      <c r="Q1130" s="13" t="inlineStr">
        <is>
          <t>CST 73</t>
        </is>
      </c>
      <c r="R1130" s="13" t="inlineStr">
        <is>
          <t>Redução de 60% + Diferimento (Art. 138 e Anexo IX LC 214/2025)</t>
        </is>
      </c>
    </row>
    <row r="1131" ht="22" customHeight="1">
      <c r="A1131" s="6" t="inlineStr">
        <is>
          <t>SKU-1127</t>
        </is>
      </c>
      <c r="B1131" s="5" t="n">
        <v>802</v>
      </c>
      <c r="C1131" s="7" t="inlineStr">
        <is>
          <t>SIPEAGRO (UF-XXXXX)</t>
        </is>
      </c>
      <c r="D1131" s="8" t="inlineStr">
        <is>
          <t>TSP - 46%P2O5 - GRAN - REVENDA - JBS</t>
        </is>
      </c>
      <c r="E1131" s="7" t="inlineStr">
        <is>
          <t>Embalagem Comercial do Produto</t>
        </is>
      </c>
      <c r="F1131" s="7" t="inlineStr">
        <is>
          <t>EMBALAGEM PADRÃO (25 KG)</t>
        </is>
      </c>
      <c r="G1131" s="7" t="inlineStr">
        <is>
          <t>KG</t>
        </is>
      </c>
      <c r="H1131" s="9" t="n">
        <v>25</v>
      </c>
      <c r="I1131" s="7" t="inlineStr">
        <is>
          <t>3103.11.00</t>
        </is>
      </c>
      <c r="J1131" s="7" t="inlineStr">
        <is>
          <t>NÃO</t>
        </is>
      </c>
      <c r="K1131" s="7" t="inlineStr">
        <is>
          <t>Embalagem de Insumo Nutricional/Biológico (Logística Reversa)</t>
        </is>
      </c>
      <c r="L1131" s="7" t="inlineStr">
        <is>
          <t>NÃO</t>
        </is>
      </c>
      <c r="M1131" s="7" t="inlineStr">
        <is>
          <t>0,00% (Lei nº 10.925/2004)</t>
        </is>
      </c>
      <c r="N1131" s="7" t="inlineStr">
        <is>
          <t>0,925% (LC nº 224/2025)</t>
        </is>
      </c>
      <c r="O1131" s="7" t="inlineStr">
        <is>
          <t>0,365% (LC nº 224/2025)</t>
        </is>
      </c>
      <c r="P1131" s="7" t="inlineStr">
        <is>
          <t>CST 06</t>
        </is>
      </c>
      <c r="Q1131" s="7" t="inlineStr">
        <is>
          <t>CST 73</t>
        </is>
      </c>
      <c r="R1131" s="7" t="inlineStr">
        <is>
          <t>Redução de 60% + Diferimento (Art. 138 e Anexo IX LC 214/2025)</t>
        </is>
      </c>
    </row>
    <row r="1132" ht="22" customHeight="1">
      <c r="A1132" s="12" t="inlineStr">
        <is>
          <t>SKU-1128</t>
        </is>
      </c>
      <c r="B1132" s="11" t="n">
        <v>802</v>
      </c>
      <c r="C1132" s="13" t="inlineStr">
        <is>
          <t>SIPEAGRO (UF-XXXXX)</t>
        </is>
      </c>
      <c r="D1132" s="14" t="inlineStr">
        <is>
          <t>TSP - 46%P2O5 - GRAN - REVENDA - JBS</t>
        </is>
      </c>
      <c r="E1132" s="13" t="inlineStr">
        <is>
          <t>Faixa 1 TIPI (Apresentação &lt;= 300 g ou mL)</t>
        </is>
      </c>
      <c r="F1132" s="13" t="inlineStr">
        <is>
          <t>Fracionado / Amostra &lt;= 0,3 KG</t>
        </is>
      </c>
      <c r="G1132" s="13" t="inlineStr">
        <is>
          <t>KG</t>
        </is>
      </c>
      <c r="H1132" s="18" t="n">
        <v>0.3</v>
      </c>
      <c r="I1132" s="13" t="inlineStr">
        <is>
          <t>3103.11.00</t>
        </is>
      </c>
      <c r="J1132" s="13" t="inlineStr">
        <is>
          <t>NÃO</t>
        </is>
      </c>
      <c r="K1132" s="13" t="inlineStr">
        <is>
          <t>Embalagem de Insumo Nutricional/Biológico (Logística Reversa)</t>
        </is>
      </c>
      <c r="L1132" s="13" t="inlineStr">
        <is>
          <t>NÃO</t>
        </is>
      </c>
      <c r="M1132" s="13" t="inlineStr">
        <is>
          <t>0,00% (Lei nº 10.925/2004)</t>
        </is>
      </c>
      <c r="N1132" s="13" t="inlineStr">
        <is>
          <t>0,925% (LC nº 224/2025)</t>
        </is>
      </c>
      <c r="O1132" s="13" t="inlineStr">
        <is>
          <t>0,365% (LC nº 224/2025)</t>
        </is>
      </c>
      <c r="P1132" s="13" t="inlineStr">
        <is>
          <t>CST 06</t>
        </is>
      </c>
      <c r="Q1132" s="13" t="inlineStr">
        <is>
          <t>CST 73</t>
        </is>
      </c>
      <c r="R1132" s="13" t="inlineStr">
        <is>
          <t>Redução de 60% + Diferimento (Art. 138 e Anexo IX LC 214/2025)</t>
        </is>
      </c>
    </row>
    <row r="1133" ht="22" customHeight="1">
      <c r="A1133" s="6" t="inlineStr">
        <is>
          <t>SKU-1129</t>
        </is>
      </c>
      <c r="B1133" s="5" t="n">
        <v>803</v>
      </c>
      <c r="C1133" s="7" t="inlineStr">
        <is>
          <t>Nº 2020</t>
        </is>
      </c>
      <c r="D1133" s="8" t="inlineStr">
        <is>
          <t>BUSHI 0,2L (AMOSTRA) IMP</t>
        </is>
      </c>
      <c r="E1133" s="7" t="inlineStr">
        <is>
          <t>Embalagem Comercial do Produto</t>
        </is>
      </c>
      <c r="F1133" s="7" t="inlineStr">
        <is>
          <t>0,2L (0.2 L)</t>
        </is>
      </c>
      <c r="G1133" s="7" t="inlineStr">
        <is>
          <t>L</t>
        </is>
      </c>
      <c r="H1133" s="17" t="n">
        <v>0.2</v>
      </c>
      <c r="I1133" s="7" t="inlineStr">
        <is>
          <t>3808.61.00</t>
        </is>
      </c>
      <c r="J1133" s="7" t="inlineStr">
        <is>
          <t>SIM</t>
        </is>
      </c>
      <c r="K1133" s="7" t="inlineStr">
        <is>
          <t>Embalagem Rígida — LAVÁVEL (Obrigatória Tríplice Lavagem ou Pressão)</t>
        </is>
      </c>
      <c r="L1133" s="7" t="inlineStr">
        <is>
          <t>NÃO</t>
        </is>
      </c>
      <c r="M1133" s="7" t="inlineStr">
        <is>
          <t>0,00% (Lei nº 10.925/2004)</t>
        </is>
      </c>
      <c r="N1133" s="7" t="inlineStr">
        <is>
          <t>0,925% (LC nº 224/2025)</t>
        </is>
      </c>
      <c r="O1133" s="7" t="inlineStr">
        <is>
          <t>0,365% (LC nº 224/2025)</t>
        </is>
      </c>
      <c r="P1133" s="7" t="inlineStr">
        <is>
          <t>CST 06</t>
        </is>
      </c>
      <c r="Q1133" s="7" t="inlineStr">
        <is>
          <t>CST 73</t>
        </is>
      </c>
      <c r="R1133" s="7" t="inlineStr">
        <is>
          <t>Redução de 60% + Diferimento (Art. 138 e Anexo IX LC 214/2025)</t>
        </is>
      </c>
    </row>
    <row r="1134" ht="22" customHeight="1">
      <c r="A1134" s="12" t="inlineStr">
        <is>
          <t>SKU-1130</t>
        </is>
      </c>
      <c r="B1134" s="11" t="n">
        <v>804</v>
      </c>
      <c r="C1134" s="13" t="inlineStr">
        <is>
          <t>Nº 34621</t>
        </is>
      </c>
      <c r="D1134" s="14" t="inlineStr">
        <is>
          <t>DIBROMETO DE DIQUATE</t>
        </is>
      </c>
      <c r="E1134" s="13" t="inlineStr">
        <is>
          <t>Embalagem Comercial do Produto</t>
        </is>
      </c>
      <c r="F1134" s="13" t="inlineStr">
        <is>
          <t>1X20L (20 L)</t>
        </is>
      </c>
      <c r="G1134" s="13" t="inlineStr">
        <is>
          <t>L</t>
        </is>
      </c>
      <c r="H1134" s="15" t="n">
        <v>20</v>
      </c>
      <c r="I1134" s="13" t="inlineStr">
        <is>
          <t>3808.93.29</t>
        </is>
      </c>
      <c r="J1134" s="13" t="inlineStr">
        <is>
          <t>NÃO</t>
        </is>
      </c>
      <c r="K1134" s="13" t="inlineStr">
        <is>
          <t>Embalagem Rígida — LAVÁVEL (Obrigatória Tríplice Lavagem ou Pressão)</t>
        </is>
      </c>
      <c r="L1134" s="13" t="inlineStr">
        <is>
          <t>NÃO</t>
        </is>
      </c>
      <c r="M1134" s="13" t="inlineStr">
        <is>
          <t>0,00% (Lei nº 10.925/2004)</t>
        </is>
      </c>
      <c r="N1134" s="13" t="inlineStr">
        <is>
          <t>0,925% (LC nº 224/2025)</t>
        </is>
      </c>
      <c r="O1134" s="13" t="inlineStr">
        <is>
          <t>0,365% (LC nº 224/2025)</t>
        </is>
      </c>
      <c r="P1134" s="13" t="inlineStr">
        <is>
          <t>CST 06</t>
        </is>
      </c>
      <c r="Q1134" s="13" t="inlineStr">
        <is>
          <t>CST 73</t>
        </is>
      </c>
      <c r="R1134" s="13" t="inlineStr">
        <is>
          <t>Redução de 60% + Diferimento (Art. 138 e Anexo IX LC 214/2025)</t>
        </is>
      </c>
    </row>
    <row r="1135" ht="22" customHeight="1">
      <c r="A1135" s="6" t="inlineStr">
        <is>
          <t>SKU-1131</t>
        </is>
      </c>
      <c r="B1135" s="5" t="n">
        <v>805</v>
      </c>
      <c r="C1135" s="7" t="inlineStr">
        <is>
          <t>Nº 25423</t>
        </is>
      </c>
      <c r="D1135" s="8" t="inlineStr">
        <is>
          <t>GLUFE 200 SL</t>
        </is>
      </c>
      <c r="E1135" s="7" t="inlineStr">
        <is>
          <t>Embalagem Comercial do Produto</t>
        </is>
      </c>
      <c r="F1135" s="7" t="inlineStr">
        <is>
          <t>4X5L (5 L)</t>
        </is>
      </c>
      <c r="G1135" s="7" t="inlineStr">
        <is>
          <t>L</t>
        </is>
      </c>
      <c r="H1135" s="9" t="n">
        <v>5</v>
      </c>
      <c r="I1135" s="7" t="inlineStr">
        <is>
          <t>3808.93.29</t>
        </is>
      </c>
      <c r="J1135" s="7" t="inlineStr">
        <is>
          <t>NÃO</t>
        </is>
      </c>
      <c r="K1135" s="7" t="inlineStr">
        <is>
          <t>Embalagem Rígida — LAVÁVEL (Obrigatória Tríplice Lavagem ou Pressão)</t>
        </is>
      </c>
      <c r="L1135" s="7" t="inlineStr">
        <is>
          <t>NÃO</t>
        </is>
      </c>
      <c r="M1135" s="7" t="inlineStr">
        <is>
          <t>0,00% (Lei nº 10.925/2004)</t>
        </is>
      </c>
      <c r="N1135" s="7" t="inlineStr">
        <is>
          <t>0,925% (LC nº 224/2025)</t>
        </is>
      </c>
      <c r="O1135" s="7" t="inlineStr">
        <is>
          <t>0,365% (LC nº 224/2025)</t>
        </is>
      </c>
      <c r="P1135" s="7" t="inlineStr">
        <is>
          <t>CST 06</t>
        </is>
      </c>
      <c r="Q1135" s="7" t="inlineStr">
        <is>
          <t>CST 73</t>
        </is>
      </c>
      <c r="R1135" s="7" t="inlineStr">
        <is>
          <t>Redução de 60% + Diferimento (Art. 138 e Anexo IX LC 214/2025)</t>
        </is>
      </c>
    </row>
    <row r="1136" ht="22" customHeight="1">
      <c r="A1136" s="12" t="inlineStr">
        <is>
          <t>SKU-1132</t>
        </is>
      </c>
      <c r="B1136" s="11" t="n">
        <v>806</v>
      </c>
      <c r="C1136" s="13" t="inlineStr">
        <is>
          <t>SIPEAGRO (UF-XXXXX)</t>
        </is>
      </c>
      <c r="D1136" s="14" t="inlineStr">
        <is>
          <t>MS09E 04 24 24 S9 - MOSAIC (VALIDAR)</t>
        </is>
      </c>
      <c r="E1136" s="13" t="inlineStr">
        <is>
          <t>Embalagem Comercial do Produto</t>
        </is>
      </c>
      <c r="F1136" s="13" t="inlineStr">
        <is>
          <t>GRANEL / BIG BAG (1000 TL)</t>
        </is>
      </c>
      <c r="G1136" s="13" t="inlineStr">
        <is>
          <t>TL</t>
        </is>
      </c>
      <c r="H1136" s="15" t="n">
        <v>1</v>
      </c>
      <c r="I1136" s="13" t="inlineStr">
        <is>
          <t>3105.20.00</t>
        </is>
      </c>
      <c r="J1136" s="13" t="inlineStr">
        <is>
          <t>NÃO</t>
        </is>
      </c>
      <c r="K1136" s="13" t="inlineStr">
        <is>
          <t>Embalagem Flexível — NÃO LAVÁVEL (Perfurar e usar saco ABNT)</t>
        </is>
      </c>
      <c r="L1136" s="13" t="inlineStr">
        <is>
          <t>SIM (Saco Transparente ABNT)</t>
        </is>
      </c>
      <c r="M1136" s="13" t="inlineStr">
        <is>
          <t>0,00% (Lei nº 10.925/2004)</t>
        </is>
      </c>
      <c r="N1136" s="13" t="inlineStr">
        <is>
          <t>0,925% (LC nº 224/2025)</t>
        </is>
      </c>
      <c r="O1136" s="13" t="inlineStr">
        <is>
          <t>0,365% (LC nº 224/2025)</t>
        </is>
      </c>
      <c r="P1136" s="13" t="inlineStr">
        <is>
          <t>CST 06</t>
        </is>
      </c>
      <c r="Q1136" s="13" t="inlineStr">
        <is>
          <t>CST 73</t>
        </is>
      </c>
      <c r="R1136" s="13" t="inlineStr">
        <is>
          <t>Redução de 60% + Diferimento (Art. 138 e Anexo IX LC 214/2025)</t>
        </is>
      </c>
    </row>
    <row r="1137" ht="22" customHeight="1">
      <c r="A1137" s="6" t="inlineStr">
        <is>
          <t>SKU-1133</t>
        </is>
      </c>
      <c r="B1137" s="5" t="n">
        <v>806</v>
      </c>
      <c r="C1137" s="7" t="inlineStr">
        <is>
          <t>SIPEAGRO (UF-XXXXX)</t>
        </is>
      </c>
      <c r="D1137" s="8" t="inlineStr">
        <is>
          <t>MS09E 04 24 24 S9 - MOSAIC (VALIDAR)</t>
        </is>
      </c>
      <c r="E1137" s="7" t="inlineStr">
        <is>
          <t>Faixa 1 TIPI (Apresentação &lt;= 300 g ou mL)</t>
        </is>
      </c>
      <c r="F1137" s="7" t="inlineStr">
        <is>
          <t>Fracionado / Amostra &lt;= 0,3 TL</t>
        </is>
      </c>
      <c r="G1137" s="7" t="inlineStr">
        <is>
          <t>TL</t>
        </is>
      </c>
      <c r="H1137" s="17" t="n">
        <v>0.3</v>
      </c>
      <c r="I1137" s="7" t="inlineStr">
        <is>
          <t>3105.20.00</t>
        </is>
      </c>
      <c r="J1137" s="7" t="inlineStr">
        <is>
          <t>NÃO</t>
        </is>
      </c>
      <c r="K1137" s="7" t="inlineStr">
        <is>
          <t>Embalagem Flexível — NÃO LAVÁVEL (Perfurar e usar saco ABNT)</t>
        </is>
      </c>
      <c r="L1137" s="7" t="inlineStr">
        <is>
          <t>SIM (Saco Transparente ABNT)</t>
        </is>
      </c>
      <c r="M1137" s="7" t="inlineStr">
        <is>
          <t>0,00% (Lei nº 10.925/2004)</t>
        </is>
      </c>
      <c r="N1137" s="7" t="inlineStr">
        <is>
          <t>0,925% (LC nº 224/2025)</t>
        </is>
      </c>
      <c r="O1137" s="7" t="inlineStr">
        <is>
          <t>0,365% (LC nº 224/2025)</t>
        </is>
      </c>
      <c r="P1137" s="7" t="inlineStr">
        <is>
          <t>CST 06</t>
        </is>
      </c>
      <c r="Q1137" s="7" t="inlineStr">
        <is>
          <t>CST 73</t>
        </is>
      </c>
      <c r="R1137" s="7" t="inlineStr">
        <is>
          <t>Redução de 60% + Diferimento (Art. 138 e Anexo IX LC 214/2025)</t>
        </is>
      </c>
    </row>
    <row r="1138" ht="22" customHeight="1">
      <c r="A1138" s="12" t="inlineStr">
        <is>
          <t>SKU-1134</t>
        </is>
      </c>
      <c r="B1138" s="11" t="n">
        <v>807</v>
      </c>
      <c r="C1138" s="13" t="inlineStr">
        <is>
          <t>Nº 15623</t>
        </is>
      </c>
      <c r="D1138" s="14" t="inlineStr">
        <is>
          <t>TUCANO</t>
        </is>
      </c>
      <c r="E1138" s="13" t="inlineStr">
        <is>
          <t>Embalagem Comercial do Produto</t>
        </is>
      </c>
      <c r="F1138" s="13" t="inlineStr">
        <is>
          <t>4X5KG (5 KG)</t>
        </is>
      </c>
      <c r="G1138" s="13" t="inlineStr">
        <is>
          <t>KG</t>
        </is>
      </c>
      <c r="H1138" s="15" t="n">
        <v>5</v>
      </c>
      <c r="I1138" s="13" t="inlineStr">
        <is>
          <t>3808.93.29</t>
        </is>
      </c>
      <c r="J1138" s="13" t="inlineStr">
        <is>
          <t>NÃO</t>
        </is>
      </c>
      <c r="K1138" s="13" t="inlineStr">
        <is>
          <t>Embalagem Flexível — NÃO LAVÁVEL (Perfurar e usar saco ABNT)</t>
        </is>
      </c>
      <c r="L1138" s="13" t="inlineStr">
        <is>
          <t>SIM (Saco Transparente ABNT)</t>
        </is>
      </c>
      <c r="M1138" s="13" t="inlineStr">
        <is>
          <t>0,00% (Lei nº 10.925/2004)</t>
        </is>
      </c>
      <c r="N1138" s="13" t="inlineStr">
        <is>
          <t>0,925% (LC nº 224/2025)</t>
        </is>
      </c>
      <c r="O1138" s="13" t="inlineStr">
        <is>
          <t>0,365% (LC nº 224/2025)</t>
        </is>
      </c>
      <c r="P1138" s="13" t="inlineStr">
        <is>
          <t>CST 06</t>
        </is>
      </c>
      <c r="Q1138" s="13" t="inlineStr">
        <is>
          <t>CST 73</t>
        </is>
      </c>
      <c r="R1138" s="13" t="inlineStr">
        <is>
          <t>Redução de 60% + Diferimento (Art. 138 e Anexo IX LC 214/2025)</t>
        </is>
      </c>
    </row>
    <row r="1139" ht="22" customHeight="1">
      <c r="A1139" s="6" t="inlineStr">
        <is>
          <t>SKU-1135</t>
        </is>
      </c>
      <c r="B1139" s="5" t="n">
        <v>807</v>
      </c>
      <c r="C1139" s="7" t="inlineStr">
        <is>
          <t>Nº 15623</t>
        </is>
      </c>
      <c r="D1139" s="8" t="inlineStr">
        <is>
          <t>TUCANO</t>
        </is>
      </c>
      <c r="E1139" s="7" t="inlineStr">
        <is>
          <t>Faixa 1 TIPI (Apresentação &lt;= 300 g ou mL)</t>
        </is>
      </c>
      <c r="F1139" s="7" t="inlineStr">
        <is>
          <t>Fracionado / Amostra &lt;= 0,3 KG</t>
        </is>
      </c>
      <c r="G1139" s="7" t="inlineStr">
        <is>
          <t>KG</t>
        </is>
      </c>
      <c r="H1139" s="17" t="n">
        <v>0.3</v>
      </c>
      <c r="I1139" s="7" t="inlineStr">
        <is>
          <t>3808.93.19</t>
        </is>
      </c>
      <c r="J1139" s="7" t="inlineStr">
        <is>
          <t>NÃO</t>
        </is>
      </c>
      <c r="K1139" s="7" t="inlineStr">
        <is>
          <t>Embalagem Flexível — NÃO LAVÁVEL (Perfurar e usar saco ABNT)</t>
        </is>
      </c>
      <c r="L1139" s="7" t="inlineStr">
        <is>
          <t>SIM (Saco Transparente ABNT)</t>
        </is>
      </c>
      <c r="M1139" s="7" t="inlineStr">
        <is>
          <t>0,00% (Lei nº 10.925/2004)</t>
        </is>
      </c>
      <c r="N1139" s="7" t="inlineStr">
        <is>
          <t>0,925% (LC nº 224/2025)</t>
        </is>
      </c>
      <c r="O1139" s="7" t="inlineStr">
        <is>
          <t>0,365% (LC nº 224/2025)</t>
        </is>
      </c>
      <c r="P1139" s="7" t="inlineStr">
        <is>
          <t>CST 06</t>
        </is>
      </c>
      <c r="Q1139" s="7" t="inlineStr">
        <is>
          <t>CST 73</t>
        </is>
      </c>
      <c r="R1139" s="7" t="inlineStr">
        <is>
          <t>Redução de 60% + Diferimento (Art. 138 e Anexo IX LC 214/2025)</t>
        </is>
      </c>
    </row>
    <row r="1140" ht="22" customHeight="1">
      <c r="A1140" s="12" t="inlineStr">
        <is>
          <t>SKU-1136</t>
        </is>
      </c>
      <c r="B1140" s="11" t="n">
        <v>808</v>
      </c>
      <c r="C1140" s="13" t="inlineStr">
        <is>
          <t>Nº 11325</t>
        </is>
      </c>
      <c r="D1140" s="14" t="inlineStr">
        <is>
          <t>VISTARA</t>
        </is>
      </c>
      <c r="E1140" s="13" t="inlineStr">
        <is>
          <t>Embalagem Comercial do Produto</t>
        </is>
      </c>
      <c r="F1140" s="13" t="inlineStr">
        <is>
          <t>4X5L (5 L)</t>
        </is>
      </c>
      <c r="G1140" s="13" t="inlineStr">
        <is>
          <t>L</t>
        </is>
      </c>
      <c r="H1140" s="15" t="n">
        <v>5</v>
      </c>
      <c r="I1140" s="13" t="inlineStr">
        <is>
          <t>3808.92.99</t>
        </is>
      </c>
      <c r="J1140" s="13" t="inlineStr">
        <is>
          <t>NÃO</t>
        </is>
      </c>
      <c r="K1140" s="13" t="inlineStr">
        <is>
          <t>Embalagem Rígida — LAVÁVEL (Obrigatória Tríplice Lavagem ou Pressão)</t>
        </is>
      </c>
      <c r="L1140" s="13" t="inlineStr">
        <is>
          <t>NÃO</t>
        </is>
      </c>
      <c r="M1140" s="13" t="inlineStr">
        <is>
          <t>0,00% (Lei nº 10.925/2004)</t>
        </is>
      </c>
      <c r="N1140" s="13" t="inlineStr">
        <is>
          <t>0,925% (LC nº 224/2025)</t>
        </is>
      </c>
      <c r="O1140" s="13" t="inlineStr">
        <is>
          <t>0,365% (LC nº 224/2025)</t>
        </is>
      </c>
      <c r="P1140" s="13" t="inlineStr">
        <is>
          <t>CST 06</t>
        </is>
      </c>
      <c r="Q1140" s="13" t="inlineStr">
        <is>
          <t>CST 73</t>
        </is>
      </c>
      <c r="R1140" s="13" t="inlineStr">
        <is>
          <t>Redução de 60% + Diferimento (Art. 138 e Anexo IX LC 214/2025)</t>
        </is>
      </c>
    </row>
    <row r="1141" ht="22" customHeight="1">
      <c r="A1141" s="6" t="inlineStr">
        <is>
          <t>SKU-1137</t>
        </is>
      </c>
      <c r="B1141" s="5" t="n">
        <v>809</v>
      </c>
      <c r="C1141" s="7" t="inlineStr">
        <is>
          <t>Nº 12123</t>
        </is>
      </c>
      <c r="D1141" s="8" t="inlineStr">
        <is>
          <t>ARCAR</t>
        </is>
      </c>
      <c r="E1141" s="7" t="inlineStr">
        <is>
          <t>Embalagem Comercial do Produto</t>
        </is>
      </c>
      <c r="F1141" s="7" t="inlineStr">
        <is>
          <t>1X20L (20 L)</t>
        </is>
      </c>
      <c r="G1141" s="7" t="inlineStr">
        <is>
          <t>L</t>
        </is>
      </c>
      <c r="H1141" s="9" t="n">
        <v>20</v>
      </c>
      <c r="I1141" s="7" t="inlineStr">
        <is>
          <t>3808.91.99</t>
        </is>
      </c>
      <c r="J1141" s="7" t="inlineStr">
        <is>
          <t>NÃO</t>
        </is>
      </c>
      <c r="K1141" s="7" t="inlineStr">
        <is>
          <t>Embalagem Rígida — LAVÁVEL (Obrigatória Tríplice Lavagem ou Pressão)</t>
        </is>
      </c>
      <c r="L1141" s="7" t="inlineStr">
        <is>
          <t>NÃO</t>
        </is>
      </c>
      <c r="M1141" s="7" t="inlineStr">
        <is>
          <t>0,00% (Lei nº 10.925/2004)</t>
        </is>
      </c>
      <c r="N1141" s="7" t="inlineStr">
        <is>
          <t>0,925% (LC nº 224/2025)</t>
        </is>
      </c>
      <c r="O1141" s="7" t="inlineStr">
        <is>
          <t>0,365% (LC nº 224/2025)</t>
        </is>
      </c>
      <c r="P1141" s="7" t="inlineStr">
        <is>
          <t>CST 06</t>
        </is>
      </c>
      <c r="Q1141" s="7" t="inlineStr">
        <is>
          <t>CST 73</t>
        </is>
      </c>
      <c r="R1141" s="7" t="inlineStr">
        <is>
          <t>Redução de 60% + Diferimento (Art. 138 e Anexo IX LC 214/2025)</t>
        </is>
      </c>
    </row>
    <row r="1142" ht="22" customHeight="1">
      <c r="A1142" s="12" t="inlineStr">
        <is>
          <t>SKU-1138</t>
        </is>
      </c>
      <c r="B1142" s="11" t="n">
        <v>810</v>
      </c>
      <c r="C1142" s="13" t="inlineStr">
        <is>
          <t>Nº 12123</t>
        </is>
      </c>
      <c r="D1142" s="14" t="inlineStr">
        <is>
          <t>ARCAR</t>
        </is>
      </c>
      <c r="E1142" s="13" t="inlineStr">
        <is>
          <t>Embalagem Comercial do Produto</t>
        </is>
      </c>
      <c r="F1142" s="13" t="inlineStr">
        <is>
          <t>1X20L (20 L)</t>
        </is>
      </c>
      <c r="G1142" s="13" t="inlineStr">
        <is>
          <t>L</t>
        </is>
      </c>
      <c r="H1142" s="15" t="n">
        <v>20</v>
      </c>
      <c r="I1142" s="13" t="inlineStr">
        <is>
          <t>3808.91.99</t>
        </is>
      </c>
      <c r="J1142" s="13" t="inlineStr">
        <is>
          <t>NÃO</t>
        </is>
      </c>
      <c r="K1142" s="13" t="inlineStr">
        <is>
          <t>Embalagem Rígida — LAVÁVEL (Obrigatória Tríplice Lavagem ou Pressão)</t>
        </is>
      </c>
      <c r="L1142" s="13" t="inlineStr">
        <is>
          <t>NÃO</t>
        </is>
      </c>
      <c r="M1142" s="13" t="inlineStr">
        <is>
          <t>0,00% (Lei nº 10.925/2004)</t>
        </is>
      </c>
      <c r="N1142" s="13" t="inlineStr">
        <is>
          <t>0,925% (LC nº 224/2025)</t>
        </is>
      </c>
      <c r="O1142" s="13" t="inlineStr">
        <is>
          <t>0,365% (LC nº 224/2025)</t>
        </is>
      </c>
      <c r="P1142" s="13" t="inlineStr">
        <is>
          <t>CST 06</t>
        </is>
      </c>
      <c r="Q1142" s="13" t="inlineStr">
        <is>
          <t>CST 73</t>
        </is>
      </c>
      <c r="R1142" s="13" t="inlineStr">
        <is>
          <t>Redução de 60% + Diferimento (Art. 138 e Anexo IX LC 214/2025)</t>
        </is>
      </c>
    </row>
    <row r="1143" ht="22" customHeight="1">
      <c r="A1143" s="6" t="inlineStr">
        <is>
          <t>SKU-1139</t>
        </is>
      </c>
      <c r="B1143" s="5" t="n">
        <v>811</v>
      </c>
      <c r="C1143" s="7" t="inlineStr">
        <is>
          <t>Nº 23623</t>
        </is>
      </c>
      <c r="D1143" s="8" t="inlineStr">
        <is>
          <t>GLIMOR WG</t>
        </is>
      </c>
      <c r="E1143" s="7" t="inlineStr">
        <is>
          <t>Embalagem Comercial do Produto</t>
        </is>
      </c>
      <c r="F1143" s="7" t="inlineStr">
        <is>
          <t>1X20KG (20 KG)</t>
        </is>
      </c>
      <c r="G1143" s="7" t="inlineStr">
        <is>
          <t>KG</t>
        </is>
      </c>
      <c r="H1143" s="9" t="n">
        <v>20</v>
      </c>
      <c r="I1143" s="7" t="inlineStr">
        <is>
          <t>3808.93.24</t>
        </is>
      </c>
      <c r="J1143" s="7" t="inlineStr">
        <is>
          <t>NÃO</t>
        </is>
      </c>
      <c r="K1143" s="7" t="inlineStr">
        <is>
          <t>Embalagem Flexível — NÃO LAVÁVEL (Perfurar e usar saco ABNT)</t>
        </is>
      </c>
      <c r="L1143" s="7" t="inlineStr">
        <is>
          <t>SIM (Saco Transparente ABNT)</t>
        </is>
      </c>
      <c r="M1143" s="7" t="inlineStr">
        <is>
          <t>0,00% (Lei nº 10.925/2004)</t>
        </is>
      </c>
      <c r="N1143" s="7" t="inlineStr">
        <is>
          <t>0,925% (LC nº 224/2025)</t>
        </is>
      </c>
      <c r="O1143" s="7" t="inlineStr">
        <is>
          <t>0,365% (LC nº 224/2025)</t>
        </is>
      </c>
      <c r="P1143" s="7" t="inlineStr">
        <is>
          <t>CST 06</t>
        </is>
      </c>
      <c r="Q1143" s="7" t="inlineStr">
        <is>
          <t>CST 73</t>
        </is>
      </c>
      <c r="R1143" s="7" t="inlineStr">
        <is>
          <t>Redução de 60% + Diferimento (Art. 138 e Anexo IX LC 214/2025)</t>
        </is>
      </c>
    </row>
    <row r="1144" ht="22" customHeight="1">
      <c r="A1144" s="12" t="inlineStr">
        <is>
          <t>SKU-1140</t>
        </is>
      </c>
      <c r="B1144" s="11" t="n">
        <v>812</v>
      </c>
      <c r="C1144" s="13" t="inlineStr">
        <is>
          <t>Nº 12712</t>
        </is>
      </c>
      <c r="D1144" s="14" t="inlineStr">
        <is>
          <t>FASON</t>
        </is>
      </c>
      <c r="E1144" s="13" t="inlineStr">
        <is>
          <t>Embalagem Comercial do Produto</t>
        </is>
      </c>
      <c r="F1144" s="13" t="inlineStr">
        <is>
          <t>12X1L (1 L)</t>
        </is>
      </c>
      <c r="G1144" s="13" t="inlineStr">
        <is>
          <t>L</t>
        </is>
      </c>
      <c r="H1144" s="15" t="n">
        <v>1</v>
      </c>
      <c r="I1144" s="13" t="inlineStr">
        <is>
          <t>3808.93.29</t>
        </is>
      </c>
      <c r="J1144" s="13" t="inlineStr">
        <is>
          <t>NÃO</t>
        </is>
      </c>
      <c r="K1144" s="13" t="inlineStr">
        <is>
          <t>Embalagem Rígida — LAVÁVEL (Obrigatória Tríplice Lavagem ou Pressão)</t>
        </is>
      </c>
      <c r="L1144" s="13" t="inlineStr">
        <is>
          <t>NÃO</t>
        </is>
      </c>
      <c r="M1144" s="13" t="inlineStr">
        <is>
          <t>0,00% (Lei nº 10.925/2004)</t>
        </is>
      </c>
      <c r="N1144" s="13" t="inlineStr">
        <is>
          <t>0,925% (LC nº 224/2025)</t>
        </is>
      </c>
      <c r="O1144" s="13" t="inlineStr">
        <is>
          <t>0,365% (LC nº 224/2025)</t>
        </is>
      </c>
      <c r="P1144" s="13" t="inlineStr">
        <is>
          <t>CST 06</t>
        </is>
      </c>
      <c r="Q1144" s="13" t="inlineStr">
        <is>
          <t>CST 73</t>
        </is>
      </c>
      <c r="R1144" s="13" t="inlineStr">
        <is>
          <t>Redução de 60% + Diferimento (Art. 138 e Anexo IX LC 214/2025)</t>
        </is>
      </c>
    </row>
    <row r="1145" ht="22" customHeight="1">
      <c r="A1145" s="6" t="inlineStr">
        <is>
          <t>SKU-1141</t>
        </is>
      </c>
      <c r="B1145" s="5" t="n">
        <v>813</v>
      </c>
      <c r="C1145" s="7" t="inlineStr">
        <is>
          <t>Nº 5524</t>
        </is>
      </c>
      <c r="D1145" s="8" t="inlineStr">
        <is>
          <t>EVOLIN</t>
        </is>
      </c>
      <c r="E1145" s="7" t="inlineStr">
        <is>
          <t>Embalagem Comercial do Produto</t>
        </is>
      </c>
      <c r="F1145" s="7" t="inlineStr">
        <is>
          <t>1X20L (20 L)</t>
        </is>
      </c>
      <c r="G1145" s="7" t="inlineStr">
        <is>
          <t>L</t>
        </is>
      </c>
      <c r="H1145" s="9" t="n">
        <v>20</v>
      </c>
      <c r="I1145" s="7" t="inlineStr">
        <is>
          <t>3808.91.99</t>
        </is>
      </c>
      <c r="J1145" s="7" t="inlineStr">
        <is>
          <t>NÃO</t>
        </is>
      </c>
      <c r="K1145" s="7" t="inlineStr">
        <is>
          <t>Embalagem Rígida — LAVÁVEL (Obrigatória Tríplice Lavagem ou Pressão)</t>
        </is>
      </c>
      <c r="L1145" s="7" t="inlineStr">
        <is>
          <t>NÃO</t>
        </is>
      </c>
      <c r="M1145" s="7" t="inlineStr">
        <is>
          <t>0,00% (Lei nº 10.925/2004)</t>
        </is>
      </c>
      <c r="N1145" s="7" t="inlineStr">
        <is>
          <t>0,925% (LC nº 224/2025)</t>
        </is>
      </c>
      <c r="O1145" s="7" t="inlineStr">
        <is>
          <t>0,365% (LC nº 224/2025)</t>
        </is>
      </c>
      <c r="P1145" s="7" t="inlineStr">
        <is>
          <t>CST 06</t>
        </is>
      </c>
      <c r="Q1145" s="7" t="inlineStr">
        <is>
          <t>CST 73</t>
        </is>
      </c>
      <c r="R1145" s="7" t="inlineStr">
        <is>
          <t>Redução de 60% + Diferimento (Art. 138 e Anexo IX LC 214/2025)</t>
        </is>
      </c>
    </row>
    <row r="1146" ht="22" customHeight="1">
      <c r="A1146" s="12" t="inlineStr">
        <is>
          <t>SKU-1142</t>
        </is>
      </c>
      <c r="B1146" s="11" t="n">
        <v>814</v>
      </c>
      <c r="C1146" s="13" t="inlineStr">
        <is>
          <t>Nº 4623</t>
        </is>
      </c>
      <c r="D1146" s="14" t="inlineStr">
        <is>
          <t>WEXITE</t>
        </is>
      </c>
      <c r="E1146" s="13" t="inlineStr">
        <is>
          <t>Embalagem Comercial do Produto</t>
        </is>
      </c>
      <c r="F1146" s="13" t="inlineStr">
        <is>
          <t>4X5KG (5 KG)</t>
        </is>
      </c>
      <c r="G1146" s="13" t="inlineStr">
        <is>
          <t>KG</t>
        </is>
      </c>
      <c r="H1146" s="15" t="n">
        <v>5</v>
      </c>
      <c r="I1146" s="13" t="inlineStr">
        <is>
          <t>3808.91.91</t>
        </is>
      </c>
      <c r="J1146" s="13" t="inlineStr">
        <is>
          <t>NÃO</t>
        </is>
      </c>
      <c r="K1146" s="13" t="inlineStr">
        <is>
          <t>Embalagem Flexível — NÃO LAVÁVEL (Perfurar e usar saco ABNT)</t>
        </is>
      </c>
      <c r="L1146" s="13" t="inlineStr">
        <is>
          <t>SIM (Saco Transparente ABNT)</t>
        </is>
      </c>
      <c r="M1146" s="13" t="inlineStr">
        <is>
          <t>0,00% (Lei nº 10.925/2004)</t>
        </is>
      </c>
      <c r="N1146" s="13" t="inlineStr">
        <is>
          <t>0,925% (LC nº 224/2025)</t>
        </is>
      </c>
      <c r="O1146" s="13" t="inlineStr">
        <is>
          <t>0,365% (LC nº 224/2025)</t>
        </is>
      </c>
      <c r="P1146" s="13" t="inlineStr">
        <is>
          <t>CST 06</t>
        </is>
      </c>
      <c r="Q1146" s="13" t="inlineStr">
        <is>
          <t>CST 73</t>
        </is>
      </c>
      <c r="R1146" s="13" t="inlineStr">
        <is>
          <t>Redução de 60% + Diferimento (Art. 138 e Anexo IX LC 214/2025)</t>
        </is>
      </c>
    </row>
    <row r="1147" ht="22" customHeight="1">
      <c r="A1147" s="6" t="inlineStr">
        <is>
          <t>SKU-1143</t>
        </is>
      </c>
      <c r="B1147" s="5" t="n">
        <v>815</v>
      </c>
      <c r="C1147" s="7" t="inlineStr">
        <is>
          <t>SIPEAGRO (UF-XXXXX)</t>
        </is>
      </c>
      <c r="D1147" s="8" t="inlineStr">
        <is>
          <t>SSP 19% P2O5 - GRANULADO - REVENDA - JBS</t>
        </is>
      </c>
      <c r="E1147" s="7" t="inlineStr">
        <is>
          <t>Embalagem Comercial do Produto</t>
        </is>
      </c>
      <c r="F1147" s="7" t="inlineStr">
        <is>
          <t>GRANEL / BIG BAG (1000 KG)</t>
        </is>
      </c>
      <c r="G1147" s="7" t="inlineStr">
        <is>
          <t>KG</t>
        </is>
      </c>
      <c r="H1147" s="9" t="n">
        <v>1000</v>
      </c>
      <c r="I1147" s="7" t="inlineStr">
        <is>
          <t>3103.19.00</t>
        </is>
      </c>
      <c r="J1147" s="7" t="inlineStr">
        <is>
          <t>NÃO</t>
        </is>
      </c>
      <c r="K1147" s="7" t="inlineStr">
        <is>
          <t>Embalagem Flexível — NÃO LAVÁVEL (Perfurar e usar saco ABNT)</t>
        </is>
      </c>
      <c r="L1147" s="7" t="inlineStr">
        <is>
          <t>SIM (Saco Transparente ABNT)</t>
        </is>
      </c>
      <c r="M1147" s="7" t="inlineStr">
        <is>
          <t>0,00% (Lei nº 10.925/2004)</t>
        </is>
      </c>
      <c r="N1147" s="7" t="inlineStr">
        <is>
          <t>0,925% (LC nº 224/2025)</t>
        </is>
      </c>
      <c r="O1147" s="7" t="inlineStr">
        <is>
          <t>0,365% (LC nº 224/2025)</t>
        </is>
      </c>
      <c r="P1147" s="7" t="inlineStr">
        <is>
          <t>CST 06</t>
        </is>
      </c>
      <c r="Q1147" s="7" t="inlineStr">
        <is>
          <t>CST 73</t>
        </is>
      </c>
      <c r="R1147" s="7" t="inlineStr">
        <is>
          <t>Redução de 60% + Diferimento (Art. 138 e Anexo IX LC 214/2025)</t>
        </is>
      </c>
    </row>
    <row r="1148" ht="22" customHeight="1">
      <c r="A1148" s="12" t="inlineStr">
        <is>
          <t>SKU-1144</t>
        </is>
      </c>
      <c r="B1148" s="11" t="n">
        <v>815</v>
      </c>
      <c r="C1148" s="13" t="inlineStr">
        <is>
          <t>SIPEAGRO (UF-XXXXX)</t>
        </is>
      </c>
      <c r="D1148" s="14" t="inlineStr">
        <is>
          <t>SSP 19% P2O5 - GRANULADO - REVENDA - JBS</t>
        </is>
      </c>
      <c r="E1148" s="13" t="inlineStr">
        <is>
          <t>Faixa 1 TIPI (Apresentação &lt;= 300 g ou mL)</t>
        </is>
      </c>
      <c r="F1148" s="13" t="inlineStr">
        <is>
          <t>Fracionado / Amostra &lt;= 0,3 KG</t>
        </is>
      </c>
      <c r="G1148" s="13" t="inlineStr">
        <is>
          <t>KG</t>
        </is>
      </c>
      <c r="H1148" s="18" t="n">
        <v>0.3</v>
      </c>
      <c r="I1148" s="13" t="inlineStr">
        <is>
          <t>3103.19.00</t>
        </is>
      </c>
      <c r="J1148" s="13" t="inlineStr">
        <is>
          <t>NÃO</t>
        </is>
      </c>
      <c r="K1148" s="13" t="inlineStr">
        <is>
          <t>Embalagem Flexível — NÃO LAVÁVEL (Perfurar e usar saco ABNT)</t>
        </is>
      </c>
      <c r="L1148" s="13" t="inlineStr">
        <is>
          <t>SIM (Saco Transparente ABNT)</t>
        </is>
      </c>
      <c r="M1148" s="13" t="inlineStr">
        <is>
          <t>0,00% (Lei nº 10.925/2004)</t>
        </is>
      </c>
      <c r="N1148" s="13" t="inlineStr">
        <is>
          <t>0,925% (LC nº 224/2025)</t>
        </is>
      </c>
      <c r="O1148" s="13" t="inlineStr">
        <is>
          <t>0,365% (LC nº 224/2025)</t>
        </is>
      </c>
      <c r="P1148" s="13" t="inlineStr">
        <is>
          <t>CST 06</t>
        </is>
      </c>
      <c r="Q1148" s="13" t="inlineStr">
        <is>
          <t>CST 73</t>
        </is>
      </c>
      <c r="R1148" s="13" t="inlineStr">
        <is>
          <t>Redução de 60% + Diferimento (Art. 138 e Anexo IX LC 214/2025)</t>
        </is>
      </c>
    </row>
    <row r="1149" ht="22" customHeight="1">
      <c r="A1149" s="6" t="inlineStr">
        <is>
          <t>SKU-1145</t>
        </is>
      </c>
      <c r="B1149" s="5" t="n">
        <v>816</v>
      </c>
      <c r="C1149" s="7" t="inlineStr">
        <is>
          <t>SIPEAGRO (UF-XXXXX)</t>
        </is>
      </c>
      <c r="D1149" s="8" t="inlineStr">
        <is>
          <t>SSP 22% P2O5 - GRANULADO - REVENDA - JBS</t>
        </is>
      </c>
      <c r="E1149" s="7" t="inlineStr">
        <is>
          <t>Embalagem Comercial do Produto</t>
        </is>
      </c>
      <c r="F1149" s="7" t="inlineStr">
        <is>
          <t>GRANEL / BIG BAG (1000 KG)</t>
        </is>
      </c>
      <c r="G1149" s="7" t="inlineStr">
        <is>
          <t>KG</t>
        </is>
      </c>
      <c r="H1149" s="9" t="n">
        <v>1000</v>
      </c>
      <c r="I1149" s="7" t="inlineStr">
        <is>
          <t>3103.19.00</t>
        </is>
      </c>
      <c r="J1149" s="7" t="inlineStr">
        <is>
          <t>NÃO</t>
        </is>
      </c>
      <c r="K1149" s="7" t="inlineStr">
        <is>
          <t>Embalagem Flexível — NÃO LAVÁVEL (Perfurar e usar saco ABNT)</t>
        </is>
      </c>
      <c r="L1149" s="7" t="inlineStr">
        <is>
          <t>SIM (Saco Transparente ABNT)</t>
        </is>
      </c>
      <c r="M1149" s="7" t="inlineStr">
        <is>
          <t>0,00% (Lei nº 10.925/2004)</t>
        </is>
      </c>
      <c r="N1149" s="7" t="inlineStr">
        <is>
          <t>0,925% (LC nº 224/2025)</t>
        </is>
      </c>
      <c r="O1149" s="7" t="inlineStr">
        <is>
          <t>0,365% (LC nº 224/2025)</t>
        </is>
      </c>
      <c r="P1149" s="7" t="inlineStr">
        <is>
          <t>CST 06</t>
        </is>
      </c>
      <c r="Q1149" s="7" t="inlineStr">
        <is>
          <t>CST 73</t>
        </is>
      </c>
      <c r="R1149" s="7" t="inlineStr">
        <is>
          <t>Redução de 60% + Diferimento (Art. 138 e Anexo IX LC 214/2025)</t>
        </is>
      </c>
    </row>
    <row r="1150" ht="22" customHeight="1">
      <c r="A1150" s="12" t="inlineStr">
        <is>
          <t>SKU-1146</t>
        </is>
      </c>
      <c r="B1150" s="11" t="n">
        <v>816</v>
      </c>
      <c r="C1150" s="13" t="inlineStr">
        <is>
          <t>SIPEAGRO (UF-XXXXX)</t>
        </is>
      </c>
      <c r="D1150" s="14" t="inlineStr">
        <is>
          <t>SSP 22% P2O5 - GRANULADO - REVENDA - JBS</t>
        </is>
      </c>
      <c r="E1150" s="13" t="inlineStr">
        <is>
          <t>Faixa 1 TIPI (Apresentação &lt;= 300 g ou mL)</t>
        </is>
      </c>
      <c r="F1150" s="13" t="inlineStr">
        <is>
          <t>Fracionado / Amostra &lt;= 0,3 KG</t>
        </is>
      </c>
      <c r="G1150" s="13" t="inlineStr">
        <is>
          <t>KG</t>
        </is>
      </c>
      <c r="H1150" s="18" t="n">
        <v>0.3</v>
      </c>
      <c r="I1150" s="13" t="inlineStr">
        <is>
          <t>3103.19.00</t>
        </is>
      </c>
      <c r="J1150" s="13" t="inlineStr">
        <is>
          <t>NÃO</t>
        </is>
      </c>
      <c r="K1150" s="13" t="inlineStr">
        <is>
          <t>Embalagem Flexível — NÃO LAVÁVEL (Perfurar e usar saco ABNT)</t>
        </is>
      </c>
      <c r="L1150" s="13" t="inlineStr">
        <is>
          <t>SIM (Saco Transparente ABNT)</t>
        </is>
      </c>
      <c r="M1150" s="13" t="inlineStr">
        <is>
          <t>0,00% (Lei nº 10.925/2004)</t>
        </is>
      </c>
      <c r="N1150" s="13" t="inlineStr">
        <is>
          <t>0,925% (LC nº 224/2025)</t>
        </is>
      </c>
      <c r="O1150" s="13" t="inlineStr">
        <is>
          <t>0,365% (LC nº 224/2025)</t>
        </is>
      </c>
      <c r="P1150" s="13" t="inlineStr">
        <is>
          <t>CST 06</t>
        </is>
      </c>
      <c r="Q1150" s="13" t="inlineStr">
        <is>
          <t>CST 73</t>
        </is>
      </c>
      <c r="R1150" s="13" t="inlineStr">
        <is>
          <t>Redução de 60% + Diferimento (Art. 138 e Anexo IX LC 214/2025)</t>
        </is>
      </c>
    </row>
    <row r="1151" ht="22" customHeight="1">
      <c r="A1151" s="6" t="inlineStr">
        <is>
          <t>SKU-1147</t>
        </is>
      </c>
      <c r="B1151" s="5" t="n">
        <v>817</v>
      </c>
      <c r="C1151" s="7" t="inlineStr">
        <is>
          <t>SIPEAGRO (UF-XXXXX)</t>
        </is>
      </c>
      <c r="D1151" s="8" t="inlineStr">
        <is>
          <t>PLUS 05 24 24 + 0,26 B + 50BMI2 - REVENDA - MOSAIC</t>
        </is>
      </c>
      <c r="E1151" s="7" t="inlineStr">
        <is>
          <t>Embalagem Comercial do Produto</t>
        </is>
      </c>
      <c r="F1151" s="7" t="inlineStr">
        <is>
          <t>GRANEL / BIG BAG (1000 TL)</t>
        </is>
      </c>
      <c r="G1151" s="7" t="inlineStr">
        <is>
          <t>TL</t>
        </is>
      </c>
      <c r="H1151" s="17" t="n">
        <v>0.2</v>
      </c>
      <c r="I1151" s="7" t="inlineStr">
        <is>
          <t>3105.20.00</t>
        </is>
      </c>
      <c r="J1151" s="7" t="inlineStr">
        <is>
          <t>NÃO</t>
        </is>
      </c>
      <c r="K1151" s="7" t="inlineStr">
        <is>
          <t>Embalagem Flexível — NÃO LAVÁVEL (Perfurar e usar saco ABNT)</t>
        </is>
      </c>
      <c r="L1151" s="7" t="inlineStr">
        <is>
          <t>SIM (Saco Transparente ABNT)</t>
        </is>
      </c>
      <c r="M1151" s="7" t="inlineStr">
        <is>
          <t>0,00% (Lei nº 10.925/2004)</t>
        </is>
      </c>
      <c r="N1151" s="7" t="inlineStr">
        <is>
          <t>0,925% (LC nº 224/2025)</t>
        </is>
      </c>
      <c r="O1151" s="7" t="inlineStr">
        <is>
          <t>0,365% (LC nº 224/2025)</t>
        </is>
      </c>
      <c r="P1151" s="7" t="inlineStr">
        <is>
          <t>CST 06</t>
        </is>
      </c>
      <c r="Q1151" s="7" t="inlineStr">
        <is>
          <t>CST 73</t>
        </is>
      </c>
      <c r="R1151" s="7" t="inlineStr">
        <is>
          <t>Redução de 60% + Diferimento (Art. 138 e Anexo IX LC 214/2025)</t>
        </is>
      </c>
    </row>
    <row r="1152" ht="22" customHeight="1">
      <c r="A1152" s="12" t="inlineStr">
        <is>
          <t>SKU-1148</t>
        </is>
      </c>
      <c r="B1152" s="11" t="n">
        <v>817</v>
      </c>
      <c r="C1152" s="13" t="inlineStr">
        <is>
          <t>SIPEAGRO (UF-XXXXX)</t>
        </is>
      </c>
      <c r="D1152" s="14" t="inlineStr">
        <is>
          <t>PLUS 05 24 24 + 0,26 B + 50BMI2 - REVENDA - MOSAIC</t>
        </is>
      </c>
      <c r="E1152" s="13" t="inlineStr">
        <is>
          <t>Faixa 1 TIPI (Apresentação &lt;= 300 g ou mL)</t>
        </is>
      </c>
      <c r="F1152" s="13" t="inlineStr">
        <is>
          <t>Fracionado / Amostra &lt;= 0,3 TL</t>
        </is>
      </c>
      <c r="G1152" s="13" t="inlineStr">
        <is>
          <t>TL</t>
        </is>
      </c>
      <c r="H1152" s="18" t="n">
        <v>0.3</v>
      </c>
      <c r="I1152" s="13" t="inlineStr">
        <is>
          <t>3105.20.00</t>
        </is>
      </c>
      <c r="J1152" s="13" t="inlineStr">
        <is>
          <t>NÃO</t>
        </is>
      </c>
      <c r="K1152" s="13" t="inlineStr">
        <is>
          <t>Embalagem Flexível — NÃO LAVÁVEL (Perfurar e usar saco ABNT)</t>
        </is>
      </c>
      <c r="L1152" s="13" t="inlineStr">
        <is>
          <t>SIM (Saco Transparente ABNT)</t>
        </is>
      </c>
      <c r="M1152" s="13" t="inlineStr">
        <is>
          <t>0,00% (Lei nº 10.925/2004)</t>
        </is>
      </c>
      <c r="N1152" s="13" t="inlineStr">
        <is>
          <t>0,925% (LC nº 224/2025)</t>
        </is>
      </c>
      <c r="O1152" s="13" t="inlineStr">
        <is>
          <t>0,365% (LC nº 224/2025)</t>
        </is>
      </c>
      <c r="P1152" s="13" t="inlineStr">
        <is>
          <t>CST 06</t>
        </is>
      </c>
      <c r="Q1152" s="13" t="inlineStr">
        <is>
          <t>CST 73</t>
        </is>
      </c>
      <c r="R1152" s="13" t="inlineStr">
        <is>
          <t>Redução de 60% + Diferimento (Art. 138 e Anexo IX LC 214/2025)</t>
        </is>
      </c>
    </row>
    <row r="1153" ht="22" customHeight="1">
      <c r="A1153" s="6" t="inlineStr">
        <is>
          <t>SKU-1149</t>
        </is>
      </c>
      <c r="B1153" s="5" t="n">
        <v>818</v>
      </c>
      <c r="C1153" s="7" t="inlineStr">
        <is>
          <t>SIPEAGRO (UF-XXXXX)</t>
        </is>
      </c>
      <c r="D1153" s="8" t="inlineStr">
        <is>
          <t>MAP SOLUVEL 12-61-00 - OCP</t>
        </is>
      </c>
      <c r="E1153" s="7" t="inlineStr">
        <is>
          <t>Embalagem Comercial do Produto</t>
        </is>
      </c>
      <c r="F1153" s="7" t="inlineStr">
        <is>
          <t>GRANEL / BIG BAG (1000 TL)</t>
        </is>
      </c>
      <c r="G1153" s="7" t="inlineStr">
        <is>
          <t>TL</t>
        </is>
      </c>
      <c r="H1153" s="9" t="n">
        <v>1</v>
      </c>
      <c r="I1153" s="7" t="inlineStr">
        <is>
          <t>3105.40.00</t>
        </is>
      </c>
      <c r="J1153" s="7" t="inlineStr">
        <is>
          <t>NÃO</t>
        </is>
      </c>
      <c r="K1153" s="7" t="inlineStr">
        <is>
          <t>Embalagem Flexível — NÃO LAVÁVEL (Perfurar e usar saco ABNT)</t>
        </is>
      </c>
      <c r="L1153" s="7" t="inlineStr">
        <is>
          <t>SIM (Saco Transparente ABNT)</t>
        </is>
      </c>
      <c r="M1153" s="7" t="inlineStr">
        <is>
          <t>0,00% (Lei nº 10.925/2004)</t>
        </is>
      </c>
      <c r="N1153" s="7" t="inlineStr">
        <is>
          <t>0,925% (LC nº 224/2025)</t>
        </is>
      </c>
      <c r="O1153" s="7" t="inlineStr">
        <is>
          <t>0,365% (LC nº 224/2025)</t>
        </is>
      </c>
      <c r="P1153" s="7" t="inlineStr">
        <is>
          <t>CST 06</t>
        </is>
      </c>
      <c r="Q1153" s="7" t="inlineStr">
        <is>
          <t>CST 73</t>
        </is>
      </c>
      <c r="R1153" s="7" t="inlineStr">
        <is>
          <t>Redução de 60% + Diferimento (Art. 138 e Anexo IX LC 214/2025)</t>
        </is>
      </c>
    </row>
    <row r="1154" ht="22" customHeight="1">
      <c r="A1154" s="12" t="inlineStr">
        <is>
          <t>SKU-1150</t>
        </is>
      </c>
      <c r="B1154" s="11" t="n">
        <v>818</v>
      </c>
      <c r="C1154" s="13" t="inlineStr">
        <is>
          <t>SIPEAGRO (UF-XXXXX)</t>
        </is>
      </c>
      <c r="D1154" s="14" t="inlineStr">
        <is>
          <t>MAP SOLUVEL 12-61-00 - OCP</t>
        </is>
      </c>
      <c r="E1154" s="13" t="inlineStr">
        <is>
          <t>Faixa 1 TIPI (Apresentação &lt;= 300 g ou mL)</t>
        </is>
      </c>
      <c r="F1154" s="13" t="inlineStr">
        <is>
          <t>Fracionado / Amostra &lt;= 0,3 TL</t>
        </is>
      </c>
      <c r="G1154" s="13" t="inlineStr">
        <is>
          <t>TL</t>
        </is>
      </c>
      <c r="H1154" s="18" t="n">
        <v>0.3</v>
      </c>
      <c r="I1154" s="13" t="inlineStr">
        <is>
          <t>3105.40.00</t>
        </is>
      </c>
      <c r="J1154" s="13" t="inlineStr">
        <is>
          <t>NÃO</t>
        </is>
      </c>
      <c r="K1154" s="13" t="inlineStr">
        <is>
          <t>Embalagem Flexível — NÃO LAVÁVEL (Perfurar e usar saco ABNT)</t>
        </is>
      </c>
      <c r="L1154" s="13" t="inlineStr">
        <is>
          <t>SIM (Saco Transparente ABNT)</t>
        </is>
      </c>
      <c r="M1154" s="13" t="inlineStr">
        <is>
          <t>0,00% (Lei nº 10.925/2004)</t>
        </is>
      </c>
      <c r="N1154" s="13" t="inlineStr">
        <is>
          <t>0,925% (LC nº 224/2025)</t>
        </is>
      </c>
      <c r="O1154" s="13" t="inlineStr">
        <is>
          <t>0,365% (LC nº 224/2025)</t>
        </is>
      </c>
      <c r="P1154" s="13" t="inlineStr">
        <is>
          <t>CST 06</t>
        </is>
      </c>
      <c r="Q1154" s="13" t="inlineStr">
        <is>
          <t>CST 73</t>
        </is>
      </c>
      <c r="R1154" s="13" t="inlineStr">
        <is>
          <t>Redução de 60% + Diferimento (Art. 138 e Anexo IX LC 214/2025)</t>
        </is>
      </c>
    </row>
    <row r="1155" ht="22" customHeight="1">
      <c r="A1155" s="6" t="inlineStr">
        <is>
          <t>SKU-1151</t>
        </is>
      </c>
      <c r="B1155" s="5" t="n">
        <v>819</v>
      </c>
      <c r="C1155" s="7" t="inlineStr">
        <is>
          <t>Nº 2218</t>
        </is>
      </c>
      <c r="D1155" s="8" t="inlineStr">
        <is>
          <t>ACETA</t>
        </is>
      </c>
      <c r="E1155" s="7" t="inlineStr">
        <is>
          <t>Embalagem Comercial do Produto</t>
        </is>
      </c>
      <c r="F1155" s="7" t="inlineStr">
        <is>
          <t>4X5KG (5 KG)</t>
        </is>
      </c>
      <c r="G1155" s="7" t="inlineStr">
        <is>
          <t>KG</t>
        </is>
      </c>
      <c r="H1155" s="9" t="n">
        <v>5</v>
      </c>
      <c r="I1155" s="7" t="inlineStr">
        <is>
          <t>3808.91.99</t>
        </is>
      </c>
      <c r="J1155" s="7" t="inlineStr">
        <is>
          <t>NÃO</t>
        </is>
      </c>
      <c r="K1155" s="7" t="inlineStr">
        <is>
          <t>Embalagem Flexível — NÃO LAVÁVEL (Perfurar e usar saco ABNT)</t>
        </is>
      </c>
      <c r="L1155" s="7" t="inlineStr">
        <is>
          <t>SIM (Saco Transparente ABNT)</t>
        </is>
      </c>
      <c r="M1155" s="7" t="inlineStr">
        <is>
          <t>0,00% (Lei nº 10.925/2004)</t>
        </is>
      </c>
      <c r="N1155" s="7" t="inlineStr">
        <is>
          <t>0,925% (LC nº 224/2025)</t>
        </is>
      </c>
      <c r="O1155" s="7" t="inlineStr">
        <is>
          <t>0,365% (LC nº 224/2025)</t>
        </is>
      </c>
      <c r="P1155" s="7" t="inlineStr">
        <is>
          <t>CST 06</t>
        </is>
      </c>
      <c r="Q1155" s="7" t="inlineStr">
        <is>
          <t>CST 73</t>
        </is>
      </c>
      <c r="R1155" s="7" t="inlineStr">
        <is>
          <t>Redução de 60% + Diferimento (Art. 138 e Anexo IX LC 214/2025)</t>
        </is>
      </c>
    </row>
    <row r="1156" ht="22" customHeight="1">
      <c r="A1156" s="12" t="inlineStr">
        <is>
          <t>SKU-1152</t>
        </is>
      </c>
      <c r="B1156" s="11" t="n">
        <v>820</v>
      </c>
      <c r="C1156" s="13" t="inlineStr">
        <is>
          <t>Nº 2520</t>
        </is>
      </c>
      <c r="D1156" s="14" t="inlineStr">
        <is>
          <t>SURVEY 250 FS AMOSTRA 0,200L</t>
        </is>
      </c>
      <c r="E1156" s="13" t="inlineStr">
        <is>
          <t>Embalagem Comercial do Produto</t>
        </is>
      </c>
      <c r="F1156" s="13" t="inlineStr">
        <is>
          <t>0,200L (0.2 L)</t>
        </is>
      </c>
      <c r="G1156" s="13" t="inlineStr">
        <is>
          <t>L</t>
        </is>
      </c>
      <c r="H1156" s="18" t="n">
        <v>0.2</v>
      </c>
      <c r="I1156" s="13" t="inlineStr">
        <is>
          <t>3808.91.99</t>
        </is>
      </c>
      <c r="J1156" s="13" t="inlineStr">
        <is>
          <t>NÃO</t>
        </is>
      </c>
      <c r="K1156" s="13" t="inlineStr">
        <is>
          <t>Embalagem Rígida — LAVÁVEL (Obrigatória Tríplice Lavagem ou Pressão)</t>
        </is>
      </c>
      <c r="L1156" s="13" t="inlineStr">
        <is>
          <t>NÃO</t>
        </is>
      </c>
      <c r="M1156" s="13" t="inlineStr">
        <is>
          <t>0,00% (Lei nº 10.925/2004)</t>
        </is>
      </c>
      <c r="N1156" s="13" t="inlineStr">
        <is>
          <t>0,925% (LC nº 224/2025)</t>
        </is>
      </c>
      <c r="O1156" s="13" t="inlineStr">
        <is>
          <t>0,365% (LC nº 224/2025)</t>
        </is>
      </c>
      <c r="P1156" s="13" t="inlineStr">
        <is>
          <t>CST 06</t>
        </is>
      </c>
      <c r="Q1156" s="13" t="inlineStr">
        <is>
          <t>CST 73</t>
        </is>
      </c>
      <c r="R1156" s="13" t="inlineStr">
        <is>
          <t>Redução de 60% + Diferimento (Art. 138 e Anexo IX LC 214/2025)</t>
        </is>
      </c>
    </row>
    <row r="1157" ht="22" customHeight="1">
      <c r="A1157" s="6" t="inlineStr">
        <is>
          <t>SKU-1153</t>
        </is>
      </c>
      <c r="B1157" s="5" t="n">
        <v>821</v>
      </c>
      <c r="C1157" s="7" t="inlineStr">
        <is>
          <t>Nº 34224</t>
        </is>
      </c>
      <c r="D1157" s="8" t="inlineStr">
        <is>
          <t>MESTRONG</t>
        </is>
      </c>
      <c r="E1157" s="7" t="inlineStr">
        <is>
          <t>Embalagem Comercial do Produto</t>
        </is>
      </c>
      <c r="F1157" s="7" t="inlineStr">
        <is>
          <t>1X20L (20 L)</t>
        </is>
      </c>
      <c r="G1157" s="7" t="inlineStr">
        <is>
          <t>L</t>
        </is>
      </c>
      <c r="H1157" s="9" t="n">
        <v>20</v>
      </c>
      <c r="I1157" s="7" t="inlineStr">
        <is>
          <t>3808.93.29</t>
        </is>
      </c>
      <c r="J1157" s="7" t="inlineStr">
        <is>
          <t>NÃO</t>
        </is>
      </c>
      <c r="K1157" s="7" t="inlineStr">
        <is>
          <t>Embalagem Rígida — LAVÁVEL (Obrigatória Tríplice Lavagem ou Pressão)</t>
        </is>
      </c>
      <c r="L1157" s="7" t="inlineStr">
        <is>
          <t>NÃO</t>
        </is>
      </c>
      <c r="M1157" s="7" t="inlineStr">
        <is>
          <t>0,00% (Lei nº 10.925/2004)</t>
        </is>
      </c>
      <c r="N1157" s="7" t="inlineStr">
        <is>
          <t>0,925% (LC nº 224/2025)</t>
        </is>
      </c>
      <c r="O1157" s="7" t="inlineStr">
        <is>
          <t>0,365% (LC nº 224/2025)</t>
        </is>
      </c>
      <c r="P1157" s="7" t="inlineStr">
        <is>
          <t>CST 06</t>
        </is>
      </c>
      <c r="Q1157" s="7" t="inlineStr">
        <is>
          <t>CST 73</t>
        </is>
      </c>
      <c r="R1157" s="7" t="inlineStr">
        <is>
          <t>Redução de 60% + Diferimento (Art. 138 e Anexo IX LC 214/2025)</t>
        </is>
      </c>
    </row>
    <row r="1158" ht="22" customHeight="1">
      <c r="A1158" s="12" t="inlineStr">
        <is>
          <t>SKU-1154</t>
        </is>
      </c>
      <c r="B1158" s="11" t="n">
        <v>822</v>
      </c>
      <c r="C1158" s="13" t="inlineStr">
        <is>
          <t>Nº 14421</t>
        </is>
      </c>
      <c r="D1158" s="14" t="inlineStr">
        <is>
          <t>LEALTY FS</t>
        </is>
      </c>
      <c r="E1158" s="13" t="inlineStr">
        <is>
          <t>Embalagem Comercial do Produto</t>
        </is>
      </c>
      <c r="F1158" s="13" t="inlineStr">
        <is>
          <t>1L (1 L)</t>
        </is>
      </c>
      <c r="G1158" s="13" t="inlineStr">
        <is>
          <t>L</t>
        </is>
      </c>
      <c r="H1158" s="18" t="n">
        <v>0.2</v>
      </c>
      <c r="I1158" s="13" t="inlineStr">
        <is>
          <t>3808.91.99</t>
        </is>
      </c>
      <c r="J1158" s="13" t="inlineStr">
        <is>
          <t>NÃO</t>
        </is>
      </c>
      <c r="K1158" s="13" t="inlineStr">
        <is>
          <t>Embalagem Rígida — LAVÁVEL (Obrigatória Tríplice Lavagem ou Pressão)</t>
        </is>
      </c>
      <c r="L1158" s="13" t="inlineStr">
        <is>
          <t>NÃO</t>
        </is>
      </c>
      <c r="M1158" s="13" t="inlineStr">
        <is>
          <t>0,00% (Lei nº 10.925/2004)</t>
        </is>
      </c>
      <c r="N1158" s="13" t="inlineStr">
        <is>
          <t>0,925% (LC nº 224/2025)</t>
        </is>
      </c>
      <c r="O1158" s="13" t="inlineStr">
        <is>
          <t>0,365% (LC nº 224/2025)</t>
        </is>
      </c>
      <c r="P1158" s="13" t="inlineStr">
        <is>
          <t>CST 06</t>
        </is>
      </c>
      <c r="Q1158" s="13" t="inlineStr">
        <is>
          <t>CST 73</t>
        </is>
      </c>
      <c r="R1158" s="13" t="inlineStr">
        <is>
          <t>Redução de 60% + Diferimento (Art. 138 e Anexo IX LC 214/2025)</t>
        </is>
      </c>
    </row>
    <row r="1159" ht="22" customHeight="1">
      <c r="A1159" s="6" t="inlineStr">
        <is>
          <t>SKU-1155</t>
        </is>
      </c>
      <c r="B1159" s="5" t="n">
        <v>822</v>
      </c>
      <c r="C1159" s="7" t="inlineStr">
        <is>
          <t>Nº 14421</t>
        </is>
      </c>
      <c r="D1159" s="8" t="inlineStr">
        <is>
          <t>LEALTY FS</t>
        </is>
      </c>
      <c r="E1159" s="7" t="inlineStr">
        <is>
          <t>Faixa 1 TIPI (Apresentação &lt;= 300 g ou mL)</t>
        </is>
      </c>
      <c r="F1159" s="7" t="inlineStr">
        <is>
          <t>Fracionado / Amostra &lt;= 0,3 L</t>
        </is>
      </c>
      <c r="G1159" s="7" t="inlineStr">
        <is>
          <t>L</t>
        </is>
      </c>
      <c r="H1159" s="17" t="n">
        <v>0.3</v>
      </c>
      <c r="I1159" s="7" t="inlineStr">
        <is>
          <t>3808.91.20</t>
        </is>
      </c>
      <c r="J1159" s="7" t="inlineStr">
        <is>
          <t>NÃO</t>
        </is>
      </c>
      <c r="K1159" s="7" t="inlineStr">
        <is>
          <t>Embalagem Rígida — LAVÁVEL (Obrigatória Tríplice Lavagem ou Pressão)</t>
        </is>
      </c>
      <c r="L1159" s="7" t="inlineStr">
        <is>
          <t>NÃO</t>
        </is>
      </c>
      <c r="M1159" s="7" t="inlineStr">
        <is>
          <t>0,00% (Lei nº 10.925/2004)</t>
        </is>
      </c>
      <c r="N1159" s="7" t="inlineStr">
        <is>
          <t>0,925% (LC nº 224/2025)</t>
        </is>
      </c>
      <c r="O1159" s="7" t="inlineStr">
        <is>
          <t>0,365% (LC nº 224/2025)</t>
        </is>
      </c>
      <c r="P1159" s="7" t="inlineStr">
        <is>
          <t>CST 06</t>
        </is>
      </c>
      <c r="Q1159" s="7" t="inlineStr">
        <is>
          <t>CST 73</t>
        </is>
      </c>
      <c r="R1159" s="7" t="inlineStr">
        <is>
          <t>Redução de 60% + Diferimento (Art. 138 e Anexo IX LC 214/2025)</t>
        </is>
      </c>
    </row>
    <row r="1160" ht="22" customHeight="1">
      <c r="A1160" s="12" t="inlineStr">
        <is>
          <t>SKU-1156</t>
        </is>
      </c>
      <c r="B1160" s="11" t="n">
        <v>823</v>
      </c>
      <c r="C1160" s="13" t="inlineStr">
        <is>
          <t>Nº 32224</t>
        </is>
      </c>
      <c r="D1160" s="14" t="inlineStr">
        <is>
          <t>PYRIPROXYFEN 100 SINO-AGRI AMOSTRA 0,200L</t>
        </is>
      </c>
      <c r="E1160" s="13" t="inlineStr">
        <is>
          <t>Embalagem Comercial do Produto</t>
        </is>
      </c>
      <c r="F1160" s="13" t="inlineStr">
        <is>
          <t>0,200L (0.2 L)</t>
        </is>
      </c>
      <c r="G1160" s="13" t="inlineStr">
        <is>
          <t>L</t>
        </is>
      </c>
      <c r="H1160" s="18" t="n">
        <v>0.2</v>
      </c>
      <c r="I1160" s="13" t="inlineStr">
        <is>
          <t>3808.91.99</t>
        </is>
      </c>
      <c r="J1160" s="13" t="inlineStr">
        <is>
          <t>NÃO</t>
        </is>
      </c>
      <c r="K1160" s="13" t="inlineStr">
        <is>
          <t>Embalagem Rígida — LAVÁVEL (Obrigatória Tríplice Lavagem ou Pressão)</t>
        </is>
      </c>
      <c r="L1160" s="13" t="inlineStr">
        <is>
          <t>NÃO</t>
        </is>
      </c>
      <c r="M1160" s="13" t="inlineStr">
        <is>
          <t>0,00% (Lei nº 10.925/2004)</t>
        </is>
      </c>
      <c r="N1160" s="13" t="inlineStr">
        <is>
          <t>0,925% (LC nº 224/2025)</t>
        </is>
      </c>
      <c r="O1160" s="13" t="inlineStr">
        <is>
          <t>0,365% (LC nº 224/2025)</t>
        </is>
      </c>
      <c r="P1160" s="13" t="inlineStr">
        <is>
          <t>CST 06</t>
        </is>
      </c>
      <c r="Q1160" s="13" t="inlineStr">
        <is>
          <t>CST 73</t>
        </is>
      </c>
      <c r="R1160" s="13" t="inlineStr">
        <is>
          <t>Redução de 60% + Diferimento (Art. 138 e Anexo IX LC 214/2025)</t>
        </is>
      </c>
    </row>
    <row r="1161" ht="22" customHeight="1">
      <c r="A1161" s="6" t="inlineStr">
        <is>
          <t>SKU-1157</t>
        </is>
      </c>
      <c r="B1161" s="5" t="n">
        <v>824</v>
      </c>
      <c r="C1161" s="7" t="inlineStr">
        <is>
          <t>SIPEAGRO (UF-XXXXX)</t>
        </is>
      </c>
      <c r="D1161" s="8" t="inlineStr">
        <is>
          <t>ULEXITA 10B GRANULADO (NaCaB5O9.8H2O) - PROBORO</t>
        </is>
      </c>
      <c r="E1161" s="7" t="inlineStr">
        <is>
          <t>Embalagem Comercial do Produto</t>
        </is>
      </c>
      <c r="F1161" s="7" t="inlineStr">
        <is>
          <t>GRANEL / BIG BAG (1000 KG)</t>
        </is>
      </c>
      <c r="G1161" s="7" t="inlineStr">
        <is>
          <t>KG</t>
        </is>
      </c>
      <c r="H1161" s="9" t="n">
        <v>1000</v>
      </c>
      <c r="I1161" s="7" t="inlineStr">
        <is>
          <t>2528.00.00</t>
        </is>
      </c>
      <c r="J1161" s="7" t="inlineStr">
        <is>
          <t>NÃO</t>
        </is>
      </c>
      <c r="K1161" s="7" t="inlineStr">
        <is>
          <t>Embalagem Flexível — NÃO LAVÁVEL (Perfurar e usar saco ABNT)</t>
        </is>
      </c>
      <c r="L1161" s="7" t="inlineStr">
        <is>
          <t>SIM (Saco Transparente ABNT)</t>
        </is>
      </c>
      <c r="M1161" s="7" t="inlineStr">
        <is>
          <t>0,00% (Lei nº 10.925/2004)</t>
        </is>
      </c>
      <c r="N1161" s="7" t="inlineStr">
        <is>
          <t>0,925% (LC nº 224/2025)</t>
        </is>
      </c>
      <c r="O1161" s="7" t="inlineStr">
        <is>
          <t>0,365% (LC nº 224/2025)</t>
        </is>
      </c>
      <c r="P1161" s="7" t="inlineStr">
        <is>
          <t>CST 06 (Uso Agrícola/Industrial)</t>
        </is>
      </c>
      <c r="Q1161" s="7" t="inlineStr">
        <is>
          <t>CST 73 (Revenda / Destinação)</t>
        </is>
      </c>
      <c r="R1161" s="7" t="inlineStr">
        <is>
          <t>Redução de 60% + Diferimento (Art. 138 LC 214/2025)</t>
        </is>
      </c>
    </row>
    <row r="1162" ht="22" customHeight="1">
      <c r="A1162" s="12" t="inlineStr">
        <is>
          <t>SKU-1158</t>
        </is>
      </c>
      <c r="B1162" s="11" t="n">
        <v>824</v>
      </c>
      <c r="C1162" s="13" t="inlineStr">
        <is>
          <t>SIPEAGRO (UF-XXXXX)</t>
        </is>
      </c>
      <c r="D1162" s="14" t="inlineStr">
        <is>
          <t>ULEXITA 10B GRANULADO (NaCaB5O9.8H2O) - PROBORO</t>
        </is>
      </c>
      <c r="E1162" s="13" t="inlineStr">
        <is>
          <t>Faixa 1 TIPI (Apresentação &lt;= 300 g ou mL)</t>
        </is>
      </c>
      <c r="F1162" s="13" t="inlineStr">
        <is>
          <t>Fracionado / Amostra &lt;= 0,3 KG</t>
        </is>
      </c>
      <c r="G1162" s="13" t="inlineStr">
        <is>
          <t>KG</t>
        </is>
      </c>
      <c r="H1162" s="18" t="n">
        <v>0.3</v>
      </c>
      <c r="I1162" s="13" t="inlineStr">
        <is>
          <t>3105.90.90</t>
        </is>
      </c>
      <c r="J1162" s="13" t="inlineStr">
        <is>
          <t>NÃO</t>
        </is>
      </c>
      <c r="K1162" s="13" t="inlineStr">
        <is>
          <t>Embalagem Flexível — NÃO LAVÁVEL (Perfurar e usar saco ABNT)</t>
        </is>
      </c>
      <c r="L1162" s="13" t="inlineStr">
        <is>
          <t>SIM (Saco Transparente ABNT)</t>
        </is>
      </c>
      <c r="M1162" s="13" t="inlineStr">
        <is>
          <t>0,00% (Lei nº 10.925/2004)</t>
        </is>
      </c>
      <c r="N1162" s="13" t="inlineStr">
        <is>
          <t>0,925% (LC nº 224/2025)</t>
        </is>
      </c>
      <c r="O1162" s="13" t="inlineStr">
        <is>
          <t>0,365% (LC nº 224/2025)</t>
        </is>
      </c>
      <c r="P1162" s="13" t="inlineStr">
        <is>
          <t>CST 06 (Uso Agrícola/Industrial)</t>
        </is>
      </c>
      <c r="Q1162" s="13" t="inlineStr">
        <is>
          <t>CST 73 (Revenda / Destinação)</t>
        </is>
      </c>
      <c r="R1162" s="13" t="inlineStr">
        <is>
          <t>Redução de 60% + Diferimento (Art. 138 LC 214/2025)</t>
        </is>
      </c>
    </row>
    <row r="1163" ht="22" customHeight="1">
      <c r="A1163" s="6" t="inlineStr">
        <is>
          <t>SKU-1159</t>
        </is>
      </c>
      <c r="B1163" s="5" t="n">
        <v>825</v>
      </c>
      <c r="C1163" s="7" t="inlineStr">
        <is>
          <t>Nº 32322</t>
        </is>
      </c>
      <c r="D1163" s="8" t="inlineStr">
        <is>
          <t>JOYA BB</t>
        </is>
      </c>
      <c r="E1163" s="7" t="inlineStr">
        <is>
          <t>Embalagem Comercial do Produto</t>
        </is>
      </c>
      <c r="F1163" s="7" t="inlineStr">
        <is>
          <t>4X5L (5 L)</t>
        </is>
      </c>
      <c r="G1163" s="7" t="inlineStr">
        <is>
          <t>L</t>
        </is>
      </c>
      <c r="H1163" s="9" t="n">
        <v>5</v>
      </c>
      <c r="I1163" s="7" t="inlineStr">
        <is>
          <t>3808.93.29</t>
        </is>
      </c>
      <c r="J1163" s="7" t="inlineStr">
        <is>
          <t>NÃO</t>
        </is>
      </c>
      <c r="K1163" s="7" t="inlineStr">
        <is>
          <t>Embalagem Rígida — LAVÁVEL (Obrigatória Tríplice Lavagem ou Pressão)</t>
        </is>
      </c>
      <c r="L1163" s="7" t="inlineStr">
        <is>
          <t>NÃO</t>
        </is>
      </c>
      <c r="M1163" s="7" t="inlineStr">
        <is>
          <t>0,00% (Lei nº 10.925/2004)</t>
        </is>
      </c>
      <c r="N1163" s="7" t="inlineStr">
        <is>
          <t>0,925% (LC nº 224/2025)</t>
        </is>
      </c>
      <c r="O1163" s="7" t="inlineStr">
        <is>
          <t>0,365% (LC nº 224/2025)</t>
        </is>
      </c>
      <c r="P1163" s="7" t="inlineStr">
        <is>
          <t>CST 06</t>
        </is>
      </c>
      <c r="Q1163" s="7" t="inlineStr">
        <is>
          <t>CST 73</t>
        </is>
      </c>
      <c r="R1163" s="7" t="inlineStr">
        <is>
          <t>Redução de 60% + Diferimento (Art. 138 e Anexo IX LC 214/2025)</t>
        </is>
      </c>
    </row>
    <row r="1164" ht="22" customHeight="1">
      <c r="A1164" s="12" t="inlineStr">
        <is>
          <t>SKU-1160</t>
        </is>
      </c>
      <c r="B1164" s="11" t="n">
        <v>826</v>
      </c>
      <c r="C1164" s="13" t="inlineStr">
        <is>
          <t>Nº 40024</t>
        </is>
      </c>
      <c r="D1164" s="14" t="inlineStr">
        <is>
          <t>KROMSTAR</t>
        </is>
      </c>
      <c r="E1164" s="13" t="inlineStr">
        <is>
          <t>Embalagem Comercial do Produto</t>
        </is>
      </c>
      <c r="F1164" s="13" t="inlineStr">
        <is>
          <t>4X5L (5 L)</t>
        </is>
      </c>
      <c r="G1164" s="13" t="inlineStr">
        <is>
          <t>L</t>
        </is>
      </c>
      <c r="H1164" s="15" t="n">
        <v>5</v>
      </c>
      <c r="I1164" s="13" t="inlineStr">
        <is>
          <t>3808.92.99</t>
        </is>
      </c>
      <c r="J1164" s="13" t="inlineStr">
        <is>
          <t>NÃO</t>
        </is>
      </c>
      <c r="K1164" s="13" t="inlineStr">
        <is>
          <t>Embalagem Rígida — LAVÁVEL (Obrigatória Tríplice Lavagem ou Pressão)</t>
        </is>
      </c>
      <c r="L1164" s="13" t="inlineStr">
        <is>
          <t>NÃO</t>
        </is>
      </c>
      <c r="M1164" s="13" t="inlineStr">
        <is>
          <t>0,00% (Lei nº 10.925/2004)</t>
        </is>
      </c>
      <c r="N1164" s="13" t="inlineStr">
        <is>
          <t>0,925% (LC nº 224/2025)</t>
        </is>
      </c>
      <c r="O1164" s="13" t="inlineStr">
        <is>
          <t>0,365% (LC nº 224/2025)</t>
        </is>
      </c>
      <c r="P1164" s="13" t="inlineStr">
        <is>
          <t>CST 06</t>
        </is>
      </c>
      <c r="Q1164" s="13" t="inlineStr">
        <is>
          <t>CST 73</t>
        </is>
      </c>
      <c r="R1164" s="13" t="inlineStr">
        <is>
          <t>Redução de 60% + Diferimento (Art. 138 e Anexo IX LC 214/2025)</t>
        </is>
      </c>
    </row>
    <row r="1165" ht="22" customHeight="1">
      <c r="A1165" s="6" t="inlineStr">
        <is>
          <t>SKU-1161</t>
        </is>
      </c>
      <c r="B1165" s="5" t="n">
        <v>826</v>
      </c>
      <c r="C1165" s="7" t="inlineStr">
        <is>
          <t>Nº 40024</t>
        </is>
      </c>
      <c r="D1165" s="8" t="inlineStr">
        <is>
          <t>KROMSTAR</t>
        </is>
      </c>
      <c r="E1165" s="7" t="inlineStr">
        <is>
          <t>Faixa 1 TIPI (Apresentação &lt;= 300 g ou mL)</t>
        </is>
      </c>
      <c r="F1165" s="7" t="inlineStr">
        <is>
          <t>Fracionado / Amostra &lt;= 0,3 L</t>
        </is>
      </c>
      <c r="G1165" s="7" t="inlineStr">
        <is>
          <t>L</t>
        </is>
      </c>
      <c r="H1165" s="17" t="n">
        <v>0.3</v>
      </c>
      <c r="I1165" s="7" t="inlineStr">
        <is>
          <t>3808.92.20</t>
        </is>
      </c>
      <c r="J1165" s="7" t="inlineStr">
        <is>
          <t>NÃO</t>
        </is>
      </c>
      <c r="K1165" s="7" t="inlineStr">
        <is>
          <t>Embalagem Rígida — LAVÁVEL (Obrigatória Tríplice Lavagem ou Pressão)</t>
        </is>
      </c>
      <c r="L1165" s="7" t="inlineStr">
        <is>
          <t>NÃO</t>
        </is>
      </c>
      <c r="M1165" s="7" t="inlineStr">
        <is>
          <t>0,00% (Lei nº 10.925/2004)</t>
        </is>
      </c>
      <c r="N1165" s="7" t="inlineStr">
        <is>
          <t>0,925% (LC nº 224/2025)</t>
        </is>
      </c>
      <c r="O1165" s="7" t="inlineStr">
        <is>
          <t>0,365% (LC nº 224/2025)</t>
        </is>
      </c>
      <c r="P1165" s="7" t="inlineStr">
        <is>
          <t>CST 06</t>
        </is>
      </c>
      <c r="Q1165" s="7" t="inlineStr">
        <is>
          <t>CST 73</t>
        </is>
      </c>
      <c r="R1165" s="7" t="inlineStr">
        <is>
          <t>Redução de 60% + Diferimento (Art. 138 e Anexo IX LC 214/2025)</t>
        </is>
      </c>
    </row>
    <row r="1166" ht="22" customHeight="1">
      <c r="A1166" s="12" t="inlineStr">
        <is>
          <t>SKU-1162</t>
        </is>
      </c>
      <c r="B1166" s="11" t="n">
        <v>827</v>
      </c>
      <c r="C1166" s="13" t="inlineStr">
        <is>
          <t>Nº 22225</t>
        </is>
      </c>
      <c r="D1166" s="14" t="inlineStr">
        <is>
          <t>KILLIGAN</t>
        </is>
      </c>
      <c r="E1166" s="13" t="inlineStr">
        <is>
          <t>Embalagem Comercial do Produto</t>
        </is>
      </c>
      <c r="F1166" s="13" t="inlineStr">
        <is>
          <t>10L (10 L)</t>
        </is>
      </c>
      <c r="G1166" s="13" t="inlineStr">
        <is>
          <t>L</t>
        </is>
      </c>
      <c r="H1166" s="15" t="n">
        <v>10</v>
      </c>
      <c r="I1166" s="13" t="inlineStr">
        <is>
          <t>3808.69.90</t>
        </is>
      </c>
      <c r="J1166" s="13" t="inlineStr">
        <is>
          <t>SIM</t>
        </is>
      </c>
      <c r="K1166" s="13" t="inlineStr">
        <is>
          <t>Embalagem Rígida — LAVÁVEL (Obrigatória Tríplice Lavagem ou Pressão)</t>
        </is>
      </c>
      <c r="L1166" s="13" t="inlineStr">
        <is>
          <t>NÃO</t>
        </is>
      </c>
      <c r="M1166" s="13" t="inlineStr">
        <is>
          <t>0,00% (Lei nº 10.925/2004)</t>
        </is>
      </c>
      <c r="N1166" s="13" t="inlineStr">
        <is>
          <t>0,925% (LC nº 224/2025)</t>
        </is>
      </c>
      <c r="O1166" s="13" t="inlineStr">
        <is>
          <t>0,365% (LC nº 224/2025)</t>
        </is>
      </c>
      <c r="P1166" s="13" t="inlineStr">
        <is>
          <t>CST 06</t>
        </is>
      </c>
      <c r="Q1166" s="13" t="inlineStr">
        <is>
          <t>CST 73</t>
        </is>
      </c>
      <c r="R1166" s="13" t="inlineStr">
        <is>
          <t>Redução de 60% + Diferimento (Art. 138 e Anexo IX LC 214/2025)</t>
        </is>
      </c>
    </row>
    <row r="1167" ht="22" customHeight="1">
      <c r="A1167" s="6" t="inlineStr">
        <is>
          <t>SKU-1163</t>
        </is>
      </c>
      <c r="B1167" s="5" t="n">
        <v>827</v>
      </c>
      <c r="C1167" s="7" t="inlineStr">
        <is>
          <t>Nº 22225</t>
        </is>
      </c>
      <c r="D1167" s="8" t="inlineStr">
        <is>
          <t>KILLIGAN</t>
        </is>
      </c>
      <c r="E1167" s="7" t="inlineStr">
        <is>
          <t>Faixa 1 TIPI (Apresentação &lt;= 300 g ou mL)</t>
        </is>
      </c>
      <c r="F1167" s="7" t="inlineStr">
        <is>
          <t>Fracionado / Amostra &lt;= 0,3 L</t>
        </is>
      </c>
      <c r="G1167" s="7" t="inlineStr">
        <is>
          <t>L</t>
        </is>
      </c>
      <c r="H1167" s="17" t="n">
        <v>0.3</v>
      </c>
      <c r="I1167" s="7" t="inlineStr">
        <is>
          <t>3808.61.00</t>
        </is>
      </c>
      <c r="J1167" s="7" t="inlineStr">
        <is>
          <t>SIM</t>
        </is>
      </c>
      <c r="K1167" s="7" t="inlineStr">
        <is>
          <t>Embalagem Rígida — LAVÁVEL (Obrigatória Tríplice Lavagem ou Pressão)</t>
        </is>
      </c>
      <c r="L1167" s="7" t="inlineStr">
        <is>
          <t>NÃO</t>
        </is>
      </c>
      <c r="M1167" s="7" t="inlineStr">
        <is>
          <t>0,00% (Lei nº 10.925/2004)</t>
        </is>
      </c>
      <c r="N1167" s="7" t="inlineStr">
        <is>
          <t>0,925% (LC nº 224/2025)</t>
        </is>
      </c>
      <c r="O1167" s="7" t="inlineStr">
        <is>
          <t>0,365% (LC nº 224/2025)</t>
        </is>
      </c>
      <c r="P1167" s="7" t="inlineStr">
        <is>
          <t>CST 06</t>
        </is>
      </c>
      <c r="Q1167" s="7" t="inlineStr">
        <is>
          <t>CST 73</t>
        </is>
      </c>
      <c r="R1167" s="7" t="inlineStr">
        <is>
          <t>Redução de 60% + Diferimento (Art. 138 e Anexo IX LC 214/2025)</t>
        </is>
      </c>
    </row>
    <row r="1168" ht="22" customHeight="1">
      <c r="A1168" s="12" t="inlineStr">
        <is>
          <t>SKU-1164</t>
        </is>
      </c>
      <c r="B1168" s="11" t="n">
        <v>828</v>
      </c>
      <c r="C1168" s="13" t="inlineStr">
        <is>
          <t>Nº 22824</t>
        </is>
      </c>
      <c r="D1168" s="14" t="inlineStr">
        <is>
          <t>FLAIL</t>
        </is>
      </c>
      <c r="E1168" s="13" t="inlineStr">
        <is>
          <t>Embalagem Comercial do Produto</t>
        </is>
      </c>
      <c r="F1168" s="13" t="inlineStr">
        <is>
          <t>4X5L (5 L)</t>
        </is>
      </c>
      <c r="G1168" s="13" t="inlineStr">
        <is>
          <t>L</t>
        </is>
      </c>
      <c r="H1168" s="15" t="n">
        <v>5</v>
      </c>
      <c r="I1168" s="13" t="inlineStr">
        <is>
          <t>3808.93.29</t>
        </is>
      </c>
      <c r="J1168" s="13" t="inlineStr">
        <is>
          <t>NÃO</t>
        </is>
      </c>
      <c r="K1168" s="13" t="inlineStr">
        <is>
          <t>Embalagem Rígida — LAVÁVEL (Obrigatória Tríplice Lavagem ou Pressão)</t>
        </is>
      </c>
      <c r="L1168" s="13" t="inlineStr">
        <is>
          <t>NÃO</t>
        </is>
      </c>
      <c r="M1168" s="13" t="inlineStr">
        <is>
          <t>0,00% (Lei nº 10.925/2004)</t>
        </is>
      </c>
      <c r="N1168" s="13" t="inlineStr">
        <is>
          <t>0,925% (LC nº 224/2025)</t>
        </is>
      </c>
      <c r="O1168" s="13" t="inlineStr">
        <is>
          <t>0,365% (LC nº 224/2025)</t>
        </is>
      </c>
      <c r="P1168" s="13" t="inlineStr">
        <is>
          <t>CST 06</t>
        </is>
      </c>
      <c r="Q1168" s="13" t="inlineStr">
        <is>
          <t>CST 73</t>
        </is>
      </c>
      <c r="R1168" s="13" t="inlineStr">
        <is>
          <t>Redução de 60% + Diferimento (Art. 138 e Anexo IX LC 214/2025)</t>
        </is>
      </c>
    </row>
    <row r="1169" ht="22" customHeight="1">
      <c r="A1169" s="6" t="inlineStr">
        <is>
          <t>SKU-1165</t>
        </is>
      </c>
      <c r="B1169" s="5" t="n">
        <v>829</v>
      </c>
      <c r="C1169" s="7" t="inlineStr">
        <is>
          <t>Nº 4623</t>
        </is>
      </c>
      <c r="D1169" s="8" t="inlineStr">
        <is>
          <t>WEXITE</t>
        </is>
      </c>
      <c r="E1169" s="7" t="inlineStr">
        <is>
          <t>Embalagem Comercial do Produto</t>
        </is>
      </c>
      <c r="F1169" s="7" t="inlineStr">
        <is>
          <t>4X5KG (5 KG)</t>
        </is>
      </c>
      <c r="G1169" s="7" t="inlineStr">
        <is>
          <t>KG</t>
        </is>
      </c>
      <c r="H1169" s="9" t="n">
        <v>5</v>
      </c>
      <c r="I1169" s="7" t="inlineStr">
        <is>
          <t>3808.91.91</t>
        </is>
      </c>
      <c r="J1169" s="7" t="inlineStr">
        <is>
          <t>NÃO</t>
        </is>
      </c>
      <c r="K1169" s="7" t="inlineStr">
        <is>
          <t>Embalagem Flexível — NÃO LAVÁVEL (Perfurar e usar saco ABNT)</t>
        </is>
      </c>
      <c r="L1169" s="7" t="inlineStr">
        <is>
          <t>SIM (Saco Transparente ABNT)</t>
        </is>
      </c>
      <c r="M1169" s="7" t="inlineStr">
        <is>
          <t>0,00% (Lei nº 10.925/2004)</t>
        </is>
      </c>
      <c r="N1169" s="7" t="inlineStr">
        <is>
          <t>0,925% (LC nº 224/2025)</t>
        </is>
      </c>
      <c r="O1169" s="7" t="inlineStr">
        <is>
          <t>0,365% (LC nº 224/2025)</t>
        </is>
      </c>
      <c r="P1169" s="7" t="inlineStr">
        <is>
          <t>CST 06</t>
        </is>
      </c>
      <c r="Q1169" s="7" t="inlineStr">
        <is>
          <t>CST 73</t>
        </is>
      </c>
      <c r="R1169" s="7" t="inlineStr">
        <is>
          <t>Redução de 60% + Diferimento (Art. 138 e Anexo IX LC 214/2025)</t>
        </is>
      </c>
    </row>
    <row r="1170" ht="22" customHeight="1">
      <c r="A1170" s="12" t="inlineStr">
        <is>
          <t>SKU-1166</t>
        </is>
      </c>
      <c r="B1170" s="11" t="n">
        <v>830</v>
      </c>
      <c r="C1170" s="13" t="inlineStr">
        <is>
          <t>SIPEAGRO (UF-XXXXX)</t>
        </is>
      </c>
      <c r="D1170" s="14" t="inlineStr">
        <is>
          <t>ENXOFRE BENTONITA - BG 1.097 KG - IMPACTPVA</t>
        </is>
      </c>
      <c r="E1170" s="13" t="inlineStr">
        <is>
          <t>Embalagem Comercial do Produto</t>
        </is>
      </c>
      <c r="F1170" s="13" t="inlineStr">
        <is>
          <t>1.097 KG (1097 KG)</t>
        </is>
      </c>
      <c r="G1170" s="13" t="inlineStr">
        <is>
          <t>KG</t>
        </is>
      </c>
      <c r="H1170" s="18" t="n">
        <v>1.097</v>
      </c>
      <c r="I1170" s="13" t="inlineStr">
        <is>
          <t>2503.00.90</t>
        </is>
      </c>
      <c r="J1170" s="13" t="inlineStr">
        <is>
          <t>NÃO</t>
        </is>
      </c>
      <c r="K1170" s="13" t="inlineStr">
        <is>
          <t>Embalagem de Insumo Nutricional/Biológico (Logística Reversa)</t>
        </is>
      </c>
      <c r="L1170" s="13" t="inlineStr">
        <is>
          <t>NÃO</t>
        </is>
      </c>
      <c r="M1170" s="13" t="inlineStr">
        <is>
          <t>0,00% (Lei nº 10.925/2004)</t>
        </is>
      </c>
      <c r="N1170" s="13" t="inlineStr">
        <is>
          <t>0,925% (LC nº 224/2025)</t>
        </is>
      </c>
      <c r="O1170" s="13" t="inlineStr">
        <is>
          <t>0,365% (LC nº 224/2025)</t>
        </is>
      </c>
      <c r="P1170" s="13" t="inlineStr">
        <is>
          <t>CST 06 (Uso Agrícola/Industrial)</t>
        </is>
      </c>
      <c r="Q1170" s="13" t="inlineStr">
        <is>
          <t>CST 73 (Revenda / Destinação)</t>
        </is>
      </c>
      <c r="R1170" s="13" t="inlineStr">
        <is>
          <t>Redução de 60% + Diferimento (Art. 138 LC 214/2025)</t>
        </is>
      </c>
    </row>
    <row r="1171" ht="22" customHeight="1">
      <c r="A1171" s="6" t="inlineStr">
        <is>
          <t>SKU-1167</t>
        </is>
      </c>
      <c r="B1171" s="5" t="n">
        <v>830</v>
      </c>
      <c r="C1171" s="7" t="inlineStr">
        <is>
          <t>SIPEAGRO (UF-XXXXX)</t>
        </is>
      </c>
      <c r="D1171" s="8" t="inlineStr">
        <is>
          <t>ENXOFRE BENTONITA - BG 1.097 KG - IMPACTPVA</t>
        </is>
      </c>
      <c r="E1171" s="7" t="inlineStr">
        <is>
          <t>Faixa 1 TIPI (Apresentação &lt;= 300 g ou mL)</t>
        </is>
      </c>
      <c r="F1171" s="7" t="inlineStr">
        <is>
          <t>Fracionado / Amostra &lt;= 0,3 KG</t>
        </is>
      </c>
      <c r="G1171" s="7" t="inlineStr">
        <is>
          <t>KG</t>
        </is>
      </c>
      <c r="H1171" s="17" t="n">
        <v>0.3</v>
      </c>
      <c r="I1171" s="7" t="inlineStr">
        <is>
          <t>3105.90.90</t>
        </is>
      </c>
      <c r="J1171" s="7" t="inlineStr">
        <is>
          <t>NÃO</t>
        </is>
      </c>
      <c r="K1171" s="7" t="inlineStr">
        <is>
          <t>Embalagem de Insumo Nutricional/Biológico (Logística Reversa)</t>
        </is>
      </c>
      <c r="L1171" s="7" t="inlineStr">
        <is>
          <t>NÃO</t>
        </is>
      </c>
      <c r="M1171" s="7" t="inlineStr">
        <is>
          <t>0,00% (Lei nº 10.925/2004)</t>
        </is>
      </c>
      <c r="N1171" s="7" t="inlineStr">
        <is>
          <t>0,925% (LC nº 224/2025)</t>
        </is>
      </c>
      <c r="O1171" s="7" t="inlineStr">
        <is>
          <t>0,365% (LC nº 224/2025)</t>
        </is>
      </c>
      <c r="P1171" s="7" t="inlineStr">
        <is>
          <t>CST 06 (Uso Agrícola/Industrial)</t>
        </is>
      </c>
      <c r="Q1171" s="7" t="inlineStr">
        <is>
          <t>CST 73 (Revenda / Destinação)</t>
        </is>
      </c>
      <c r="R1171" s="7" t="inlineStr">
        <is>
          <t>Redução de 60% + Diferimento (Art. 138 LC 214/2025)</t>
        </is>
      </c>
    </row>
    <row r="1172" ht="22" customHeight="1">
      <c r="A1172" s="12" t="inlineStr">
        <is>
          <t>SKU-1168</t>
        </is>
      </c>
      <c r="B1172" s="11" t="n">
        <v>831</v>
      </c>
      <c r="C1172" s="13" t="inlineStr">
        <is>
          <t>Nº 47125</t>
        </is>
      </c>
      <c r="D1172" s="14" t="inlineStr">
        <is>
          <t>CHLORFENAPYR</t>
        </is>
      </c>
      <c r="E1172" s="13" t="inlineStr">
        <is>
          <t>Embalagem Comercial do Produto</t>
        </is>
      </c>
      <c r="F1172" s="13" t="inlineStr">
        <is>
          <t>1X20L (20 L)</t>
        </is>
      </c>
      <c r="G1172" s="13" t="inlineStr">
        <is>
          <t>L</t>
        </is>
      </c>
      <c r="H1172" s="15" t="n">
        <v>20</v>
      </c>
      <c r="I1172" s="13" t="inlineStr">
        <is>
          <t>3808.69.90</t>
        </is>
      </c>
      <c r="J1172" s="13" t="inlineStr">
        <is>
          <t>SIM</t>
        </is>
      </c>
      <c r="K1172" s="13" t="inlineStr">
        <is>
          <t>Embalagem Rígida — LAVÁVEL (Obrigatória Tríplice Lavagem ou Pressão)</t>
        </is>
      </c>
      <c r="L1172" s="13" t="inlineStr">
        <is>
          <t>NÃO</t>
        </is>
      </c>
      <c r="M1172" s="13" t="inlineStr">
        <is>
          <t>0,00% (Lei nº 10.925/2004)</t>
        </is>
      </c>
      <c r="N1172" s="13" t="inlineStr">
        <is>
          <t>0,925% (LC nº 224/2025)</t>
        </is>
      </c>
      <c r="O1172" s="13" t="inlineStr">
        <is>
          <t>0,365% (LC nº 224/2025)</t>
        </is>
      </c>
      <c r="P1172" s="13" t="inlineStr">
        <is>
          <t>CST 06</t>
        </is>
      </c>
      <c r="Q1172" s="13" t="inlineStr">
        <is>
          <t>CST 73</t>
        </is>
      </c>
      <c r="R1172" s="13" t="inlineStr">
        <is>
          <t>Redução de 60% + Diferimento (Art. 138 e Anexo IX LC 214/2025)</t>
        </is>
      </c>
    </row>
    <row r="1173" ht="22" customHeight="1">
      <c r="A1173" s="6" t="inlineStr">
        <is>
          <t>SKU-1169</t>
        </is>
      </c>
      <c r="B1173" s="5" t="n">
        <v>831</v>
      </c>
      <c r="C1173" s="7" t="inlineStr">
        <is>
          <t>Nº 47125</t>
        </is>
      </c>
      <c r="D1173" s="8" t="inlineStr">
        <is>
          <t>CHLORFENAPYR</t>
        </is>
      </c>
      <c r="E1173" s="7" t="inlineStr">
        <is>
          <t>Faixa 1 TIPI (Apresentação &lt;= 300 g ou mL)</t>
        </is>
      </c>
      <c r="F1173" s="7" t="inlineStr">
        <is>
          <t>Fracionado / Amostra &lt;= 0,3 L</t>
        </is>
      </c>
      <c r="G1173" s="7" t="inlineStr">
        <is>
          <t>L</t>
        </is>
      </c>
      <c r="H1173" s="17" t="n">
        <v>0.3</v>
      </c>
      <c r="I1173" s="7" t="inlineStr">
        <is>
          <t>3808.61.00</t>
        </is>
      </c>
      <c r="J1173" s="7" t="inlineStr">
        <is>
          <t>SIM</t>
        </is>
      </c>
      <c r="K1173" s="7" t="inlineStr">
        <is>
          <t>Embalagem Rígida — LAVÁVEL (Obrigatória Tríplice Lavagem ou Pressão)</t>
        </is>
      </c>
      <c r="L1173" s="7" t="inlineStr">
        <is>
          <t>NÃO</t>
        </is>
      </c>
      <c r="M1173" s="7" t="inlineStr">
        <is>
          <t>0,00% (Lei nº 10.925/2004)</t>
        </is>
      </c>
      <c r="N1173" s="7" t="inlineStr">
        <is>
          <t>0,925% (LC nº 224/2025)</t>
        </is>
      </c>
      <c r="O1173" s="7" t="inlineStr">
        <is>
          <t>0,365% (LC nº 224/2025)</t>
        </is>
      </c>
      <c r="P1173" s="7" t="inlineStr">
        <is>
          <t>CST 06</t>
        </is>
      </c>
      <c r="Q1173" s="7" t="inlineStr">
        <is>
          <t>CST 73</t>
        </is>
      </c>
      <c r="R1173" s="7" t="inlineStr">
        <is>
          <t>Redução de 60% + Diferimento (Art. 138 e Anexo IX LC 214/2025)</t>
        </is>
      </c>
    </row>
    <row r="1174" ht="22" customHeight="1">
      <c r="A1174" s="12" t="inlineStr">
        <is>
          <t>SKU-1170</t>
        </is>
      </c>
      <c r="B1174" s="11" t="n">
        <v>832</v>
      </c>
      <c r="C1174" s="13" t="inlineStr">
        <is>
          <t>Nº 2218</t>
        </is>
      </c>
      <c r="D1174" s="14" t="inlineStr">
        <is>
          <t>ACETA</t>
        </is>
      </c>
      <c r="E1174" s="13" t="inlineStr">
        <is>
          <t>Embalagem Comercial do Produto</t>
        </is>
      </c>
      <c r="F1174" s="13" t="inlineStr">
        <is>
          <t>4X5KG (5 KG)</t>
        </is>
      </c>
      <c r="G1174" s="13" t="inlineStr">
        <is>
          <t>KG</t>
        </is>
      </c>
      <c r="H1174" s="15" t="n">
        <v>5</v>
      </c>
      <c r="I1174" s="13" t="inlineStr">
        <is>
          <t>3808.91.99</t>
        </is>
      </c>
      <c r="J1174" s="13" t="inlineStr">
        <is>
          <t>NÃO</t>
        </is>
      </c>
      <c r="K1174" s="13" t="inlineStr">
        <is>
          <t>Embalagem Flexível — NÃO LAVÁVEL (Perfurar e usar saco ABNT)</t>
        </is>
      </c>
      <c r="L1174" s="13" t="inlineStr">
        <is>
          <t>SIM (Saco Transparente ABNT)</t>
        </is>
      </c>
      <c r="M1174" s="13" t="inlineStr">
        <is>
          <t>0,00% (Lei nº 10.925/2004)</t>
        </is>
      </c>
      <c r="N1174" s="13" t="inlineStr">
        <is>
          <t>0,925% (LC nº 224/2025)</t>
        </is>
      </c>
      <c r="O1174" s="13" t="inlineStr">
        <is>
          <t>0,365% (LC nº 224/2025)</t>
        </is>
      </c>
      <c r="P1174" s="13" t="inlineStr">
        <is>
          <t>CST 06</t>
        </is>
      </c>
      <c r="Q1174" s="13" t="inlineStr">
        <is>
          <t>CST 73</t>
        </is>
      </c>
      <c r="R1174" s="13" t="inlineStr">
        <is>
          <t>Redução de 60% + Diferimento (Art. 138 e Anexo IX LC 214/2025)</t>
        </is>
      </c>
    </row>
    <row r="1175" ht="22" customHeight="1">
      <c r="A1175" s="6" t="inlineStr">
        <is>
          <t>SKU-1171</t>
        </is>
      </c>
      <c r="B1175" s="5" t="n">
        <v>833</v>
      </c>
      <c r="C1175" s="7" t="inlineStr">
        <is>
          <t>Nº 47125</t>
        </is>
      </c>
      <c r="D1175" s="8" t="inlineStr">
        <is>
          <t>CHLORFENAPYR</t>
        </is>
      </c>
      <c r="E1175" s="7" t="inlineStr">
        <is>
          <t>Embalagem Comercial do Produto</t>
        </is>
      </c>
      <c r="F1175" s="7" t="inlineStr">
        <is>
          <t>1X20L (20 L)</t>
        </is>
      </c>
      <c r="G1175" s="7" t="inlineStr">
        <is>
          <t>L</t>
        </is>
      </c>
      <c r="H1175" s="9" t="n">
        <v>20</v>
      </c>
      <c r="I1175" s="7" t="inlineStr">
        <is>
          <t>3808.69.90</t>
        </is>
      </c>
      <c r="J1175" s="7" t="inlineStr">
        <is>
          <t>SIM</t>
        </is>
      </c>
      <c r="K1175" s="7" t="inlineStr">
        <is>
          <t>Embalagem Rígida — LAVÁVEL (Obrigatória Tríplice Lavagem ou Pressão)</t>
        </is>
      </c>
      <c r="L1175" s="7" t="inlineStr">
        <is>
          <t>NÃO</t>
        </is>
      </c>
      <c r="M1175" s="7" t="inlineStr">
        <is>
          <t>0,00% (Lei nº 10.925/2004)</t>
        </is>
      </c>
      <c r="N1175" s="7" t="inlineStr">
        <is>
          <t>0,925% (LC nº 224/2025)</t>
        </is>
      </c>
      <c r="O1175" s="7" t="inlineStr">
        <is>
          <t>0,365% (LC nº 224/2025)</t>
        </is>
      </c>
      <c r="P1175" s="7" t="inlineStr">
        <is>
          <t>CST 06</t>
        </is>
      </c>
      <c r="Q1175" s="7" t="inlineStr">
        <is>
          <t>CST 73</t>
        </is>
      </c>
      <c r="R1175" s="7" t="inlineStr">
        <is>
          <t>Redução de 60% + Diferimento (Art. 138 e Anexo IX LC 214/2025)</t>
        </is>
      </c>
    </row>
    <row r="1176" ht="22" customHeight="1">
      <c r="A1176" s="12" t="inlineStr">
        <is>
          <t>SKU-1172</t>
        </is>
      </c>
      <c r="B1176" s="11" t="n">
        <v>833</v>
      </c>
      <c r="C1176" s="13" t="inlineStr">
        <is>
          <t>Nº 47125</t>
        </is>
      </c>
      <c r="D1176" s="14" t="inlineStr">
        <is>
          <t>CHLORFENAPYR</t>
        </is>
      </c>
      <c r="E1176" s="13" t="inlineStr">
        <is>
          <t>Faixa 1 TIPI (Apresentação &lt;= 300 g ou mL)</t>
        </is>
      </c>
      <c r="F1176" s="13" t="inlineStr">
        <is>
          <t>Fracionado / Amostra &lt;= 0,3 L</t>
        </is>
      </c>
      <c r="G1176" s="13" t="inlineStr">
        <is>
          <t>L</t>
        </is>
      </c>
      <c r="H1176" s="18" t="n">
        <v>0.3</v>
      </c>
      <c r="I1176" s="13" t="inlineStr">
        <is>
          <t>3808.61.00</t>
        </is>
      </c>
      <c r="J1176" s="13" t="inlineStr">
        <is>
          <t>SIM</t>
        </is>
      </c>
      <c r="K1176" s="13" t="inlineStr">
        <is>
          <t>Embalagem Rígida — LAVÁVEL (Obrigatória Tríplice Lavagem ou Pressão)</t>
        </is>
      </c>
      <c r="L1176" s="13" t="inlineStr">
        <is>
          <t>NÃO</t>
        </is>
      </c>
      <c r="M1176" s="13" t="inlineStr">
        <is>
          <t>0,00% (Lei nº 10.925/2004)</t>
        </is>
      </c>
      <c r="N1176" s="13" t="inlineStr">
        <is>
          <t>0,925% (LC nº 224/2025)</t>
        </is>
      </c>
      <c r="O1176" s="13" t="inlineStr">
        <is>
          <t>0,365% (LC nº 224/2025)</t>
        </is>
      </c>
      <c r="P1176" s="13" t="inlineStr">
        <is>
          <t>CST 06</t>
        </is>
      </c>
      <c r="Q1176" s="13" t="inlineStr">
        <is>
          <t>CST 73</t>
        </is>
      </c>
      <c r="R1176" s="13" t="inlineStr">
        <is>
          <t>Redução de 60% + Diferimento (Art. 138 e Anexo IX LC 214/2025)</t>
        </is>
      </c>
    </row>
    <row r="1177" ht="22" customHeight="1">
      <c r="A1177" s="6" t="inlineStr">
        <is>
          <t>SKU-1173</t>
        </is>
      </c>
      <c r="B1177" s="5" t="n">
        <v>834</v>
      </c>
      <c r="C1177" s="7" t="inlineStr">
        <is>
          <t>SIPEAGRO (UF-XXXXX)</t>
        </is>
      </c>
      <c r="D1177" s="8" t="inlineStr">
        <is>
          <t>SUPERFOSFATO TRIPLO 46%  - FERTALVO</t>
        </is>
      </c>
      <c r="E1177" s="7" t="inlineStr">
        <is>
          <t>Embalagem Comercial do Produto</t>
        </is>
      </c>
      <c r="F1177" s="7" t="inlineStr">
        <is>
          <t>GRANEL / BIG BAG (1000 TL)</t>
        </is>
      </c>
      <c r="G1177" s="7" t="inlineStr">
        <is>
          <t>TL</t>
        </is>
      </c>
      <c r="H1177" s="9" t="n">
        <v>1</v>
      </c>
      <c r="I1177" s="7" t="inlineStr">
        <is>
          <t>3103.11.00</t>
        </is>
      </c>
      <c r="J1177" s="7" t="inlineStr">
        <is>
          <t>NÃO</t>
        </is>
      </c>
      <c r="K1177" s="7" t="inlineStr">
        <is>
          <t>Embalagem Flexível — NÃO LAVÁVEL (Perfurar e usar saco ABNT)</t>
        </is>
      </c>
      <c r="L1177" s="7" t="inlineStr">
        <is>
          <t>SIM (Saco Transparente ABNT)</t>
        </is>
      </c>
      <c r="M1177" s="7" t="inlineStr">
        <is>
          <t>0,00% (Lei nº 10.925/2004)</t>
        </is>
      </c>
      <c r="N1177" s="7" t="inlineStr">
        <is>
          <t>0,925% (LC nº 224/2025)</t>
        </is>
      </c>
      <c r="O1177" s="7" t="inlineStr">
        <is>
          <t>0,365% (LC nº 224/2025)</t>
        </is>
      </c>
      <c r="P1177" s="7" t="inlineStr">
        <is>
          <t>CST 06</t>
        </is>
      </c>
      <c r="Q1177" s="7" t="inlineStr">
        <is>
          <t>CST 73</t>
        </is>
      </c>
      <c r="R1177" s="7" t="inlineStr">
        <is>
          <t>Redução de 60% + Diferimento (Art. 138 e Anexo IX LC 214/2025)</t>
        </is>
      </c>
    </row>
    <row r="1178" ht="22" customHeight="1">
      <c r="A1178" s="12" t="inlineStr">
        <is>
          <t>SKU-1174</t>
        </is>
      </c>
      <c r="B1178" s="11" t="n">
        <v>834</v>
      </c>
      <c r="C1178" s="13" t="inlineStr">
        <is>
          <t>SIPEAGRO (UF-XXXXX)</t>
        </is>
      </c>
      <c r="D1178" s="14" t="inlineStr">
        <is>
          <t>SUPERFOSFATO TRIPLO 46%  - FERTALVO</t>
        </is>
      </c>
      <c r="E1178" s="13" t="inlineStr">
        <is>
          <t>Faixa 1 TIPI (Apresentação &lt;= 300 g ou mL)</t>
        </is>
      </c>
      <c r="F1178" s="13" t="inlineStr">
        <is>
          <t>Fracionado / Amostra &lt;= 0,3 TL</t>
        </is>
      </c>
      <c r="G1178" s="13" t="inlineStr">
        <is>
          <t>TL</t>
        </is>
      </c>
      <c r="H1178" s="18" t="n">
        <v>0.3</v>
      </c>
      <c r="I1178" s="13" t="inlineStr">
        <is>
          <t>3103.11.00</t>
        </is>
      </c>
      <c r="J1178" s="13" t="inlineStr">
        <is>
          <t>NÃO</t>
        </is>
      </c>
      <c r="K1178" s="13" t="inlineStr">
        <is>
          <t>Embalagem Flexível — NÃO LAVÁVEL (Perfurar e usar saco ABNT)</t>
        </is>
      </c>
      <c r="L1178" s="13" t="inlineStr">
        <is>
          <t>SIM (Saco Transparente ABNT)</t>
        </is>
      </c>
      <c r="M1178" s="13" t="inlineStr">
        <is>
          <t>0,00% (Lei nº 10.925/2004)</t>
        </is>
      </c>
      <c r="N1178" s="13" t="inlineStr">
        <is>
          <t>0,925% (LC nº 224/2025)</t>
        </is>
      </c>
      <c r="O1178" s="13" t="inlineStr">
        <is>
          <t>0,365% (LC nº 224/2025)</t>
        </is>
      </c>
      <c r="P1178" s="13" t="inlineStr">
        <is>
          <t>CST 06</t>
        </is>
      </c>
      <c r="Q1178" s="13" t="inlineStr">
        <is>
          <t>CST 73</t>
        </is>
      </c>
      <c r="R1178" s="13" t="inlineStr">
        <is>
          <t>Redução de 60% + Diferimento (Art. 138 e Anexo IX LC 214/2025)</t>
        </is>
      </c>
    </row>
    <row r="1179" ht="22" customHeight="1">
      <c r="A1179" s="6" t="inlineStr">
        <is>
          <t>SKU-1175</t>
        </is>
      </c>
      <c r="B1179" s="5" t="n">
        <v>835</v>
      </c>
      <c r="C1179" s="7" t="inlineStr">
        <is>
          <t>Nº 47125</t>
        </is>
      </c>
      <c r="D1179" s="8" t="inlineStr">
        <is>
          <t>CHLORFENAPYR</t>
        </is>
      </c>
      <c r="E1179" s="7" t="inlineStr">
        <is>
          <t>Embalagem Comercial do Produto</t>
        </is>
      </c>
      <c r="F1179" s="7" t="inlineStr">
        <is>
          <t>1X20L (20 L)</t>
        </is>
      </c>
      <c r="G1179" s="7" t="inlineStr">
        <is>
          <t>L</t>
        </is>
      </c>
      <c r="H1179" s="9" t="n">
        <v>20</v>
      </c>
      <c r="I1179" s="7" t="inlineStr">
        <is>
          <t>3808.69.90</t>
        </is>
      </c>
      <c r="J1179" s="7" t="inlineStr">
        <is>
          <t>SIM</t>
        </is>
      </c>
      <c r="K1179" s="7" t="inlineStr">
        <is>
          <t>Embalagem Rígida — LAVÁVEL (Obrigatória Tríplice Lavagem ou Pressão)</t>
        </is>
      </c>
      <c r="L1179" s="7" t="inlineStr">
        <is>
          <t>NÃO</t>
        </is>
      </c>
      <c r="M1179" s="7" t="inlineStr">
        <is>
          <t>0,00% (Lei nº 10.925/2004)</t>
        </is>
      </c>
      <c r="N1179" s="7" t="inlineStr">
        <is>
          <t>0,925% (LC nº 224/2025)</t>
        </is>
      </c>
      <c r="O1179" s="7" t="inlineStr">
        <is>
          <t>0,365% (LC nº 224/2025)</t>
        </is>
      </c>
      <c r="P1179" s="7" t="inlineStr">
        <is>
          <t>CST 06</t>
        </is>
      </c>
      <c r="Q1179" s="7" t="inlineStr">
        <is>
          <t>CST 73</t>
        </is>
      </c>
      <c r="R1179" s="7" t="inlineStr">
        <is>
          <t>Redução de 60% + Diferimento (Art. 138 e Anexo IX LC 214/2025)</t>
        </is>
      </c>
    </row>
    <row r="1180" ht="22" customHeight="1">
      <c r="A1180" s="12" t="inlineStr">
        <is>
          <t>SKU-1176</t>
        </is>
      </c>
      <c r="B1180" s="11" t="n">
        <v>835</v>
      </c>
      <c r="C1180" s="13" t="inlineStr">
        <is>
          <t>Nº 47125</t>
        </is>
      </c>
      <c r="D1180" s="14" t="inlineStr">
        <is>
          <t>CHLORFENAPYR</t>
        </is>
      </c>
      <c r="E1180" s="13" t="inlineStr">
        <is>
          <t>Faixa 1 TIPI (Apresentação &lt;= 300 g ou mL)</t>
        </is>
      </c>
      <c r="F1180" s="13" t="inlineStr">
        <is>
          <t>Fracionado / Amostra &lt;= 0,3 L</t>
        </is>
      </c>
      <c r="G1180" s="13" t="inlineStr">
        <is>
          <t>L</t>
        </is>
      </c>
      <c r="H1180" s="18" t="n">
        <v>0.3</v>
      </c>
      <c r="I1180" s="13" t="inlineStr">
        <is>
          <t>3808.61.00</t>
        </is>
      </c>
      <c r="J1180" s="13" t="inlineStr">
        <is>
          <t>SIM</t>
        </is>
      </c>
      <c r="K1180" s="13" t="inlineStr">
        <is>
          <t>Embalagem Rígida — LAVÁVEL (Obrigatória Tríplice Lavagem ou Pressão)</t>
        </is>
      </c>
      <c r="L1180" s="13" t="inlineStr">
        <is>
          <t>NÃO</t>
        </is>
      </c>
      <c r="M1180" s="13" t="inlineStr">
        <is>
          <t>0,00% (Lei nº 10.925/2004)</t>
        </is>
      </c>
      <c r="N1180" s="13" t="inlineStr">
        <is>
          <t>0,925% (LC nº 224/2025)</t>
        </is>
      </c>
      <c r="O1180" s="13" t="inlineStr">
        <is>
          <t>0,365% (LC nº 224/2025)</t>
        </is>
      </c>
      <c r="P1180" s="13" t="inlineStr">
        <is>
          <t>CST 06</t>
        </is>
      </c>
      <c r="Q1180" s="13" t="inlineStr">
        <is>
          <t>CST 73</t>
        </is>
      </c>
      <c r="R1180" s="13" t="inlineStr">
        <is>
          <t>Redução de 60% + Diferimento (Art. 138 e Anexo IX LC 214/2025)</t>
        </is>
      </c>
    </row>
    <row r="1181" ht="22" customHeight="1">
      <c r="A1181" s="6" t="inlineStr">
        <is>
          <t>SKU-1177</t>
        </is>
      </c>
      <c r="B1181" s="5" t="n">
        <v>836</v>
      </c>
      <c r="C1181" s="7" t="inlineStr">
        <is>
          <t>Nº 8406</t>
        </is>
      </c>
      <c r="D1181" s="8" t="inlineStr">
        <is>
          <t>CUREFORCE 250 EC IMP</t>
        </is>
      </c>
      <c r="E1181" s="7" t="inlineStr">
        <is>
          <t>Embalagem Comercial do Produto</t>
        </is>
      </c>
      <c r="F1181" s="7" t="inlineStr">
        <is>
          <t>1X20L (20 L)</t>
        </is>
      </c>
      <c r="G1181" s="7" t="inlineStr">
        <is>
          <t>L</t>
        </is>
      </c>
      <c r="H1181" s="9" t="n">
        <v>20</v>
      </c>
      <c r="I1181" s="7" t="inlineStr">
        <is>
          <t>3808.92.99</t>
        </is>
      </c>
      <c r="J1181" s="7" t="inlineStr">
        <is>
          <t>NÃO</t>
        </is>
      </c>
      <c r="K1181" s="7" t="inlineStr">
        <is>
          <t>Embalagem Rígida — LAVÁVEL (Obrigatória Tríplice Lavagem ou Pressão)</t>
        </is>
      </c>
      <c r="L1181" s="7" t="inlineStr">
        <is>
          <t>NÃO</t>
        </is>
      </c>
      <c r="M1181" s="7" t="inlineStr">
        <is>
          <t>0,00% (Lei nº 10.925/2004)</t>
        </is>
      </c>
      <c r="N1181" s="7" t="inlineStr">
        <is>
          <t>0,925% (LC nº 224/2025)</t>
        </is>
      </c>
      <c r="O1181" s="7" t="inlineStr">
        <is>
          <t>0,365% (LC nº 224/2025)</t>
        </is>
      </c>
      <c r="P1181" s="7" t="inlineStr">
        <is>
          <t>CST 06</t>
        </is>
      </c>
      <c r="Q1181" s="7" t="inlineStr">
        <is>
          <t>CST 73</t>
        </is>
      </c>
      <c r="R1181" s="7" t="inlineStr">
        <is>
          <t>Redução de 60% + Diferimento (Art. 138 e Anexo IX LC 214/2025)</t>
        </is>
      </c>
    </row>
    <row r="1182" ht="22" customHeight="1">
      <c r="A1182" s="12" t="inlineStr">
        <is>
          <t>SKU-1178</t>
        </is>
      </c>
      <c r="B1182" s="11" t="n">
        <v>837</v>
      </c>
      <c r="C1182" s="13" t="inlineStr">
        <is>
          <t>Nº 28421</t>
        </is>
      </c>
      <c r="D1182" s="14" t="inlineStr">
        <is>
          <t>BALLA IMP (VALIDAR)</t>
        </is>
      </c>
      <c r="E1182" s="13" t="inlineStr">
        <is>
          <t>Embalagem Comercial do Produto</t>
        </is>
      </c>
      <c r="F1182" s="13" t="inlineStr">
        <is>
          <t>EMBALAGEM PADRÃO (20 L)</t>
        </is>
      </c>
      <c r="G1182" s="13" t="inlineStr">
        <is>
          <t>L</t>
        </is>
      </c>
      <c r="H1182" s="15" t="n">
        <v>20</v>
      </c>
      <c r="I1182" s="13" t="inlineStr">
        <is>
          <t>3808.69.90</t>
        </is>
      </c>
      <c r="J1182" s="13" t="inlineStr">
        <is>
          <t>SIM</t>
        </is>
      </c>
      <c r="K1182" s="13" t="inlineStr">
        <is>
          <t>Embalagem Rígida — LAVÁVEL (Obrigatória Tríplice Lavagem ou Pressão)</t>
        </is>
      </c>
      <c r="L1182" s="13" t="inlineStr">
        <is>
          <t>NÃO</t>
        </is>
      </c>
      <c r="M1182" s="13" t="inlineStr">
        <is>
          <t>0,00% (Lei nº 10.925/2004)</t>
        </is>
      </c>
      <c r="N1182" s="13" t="inlineStr">
        <is>
          <t>0,925% (LC nº 224/2025)</t>
        </is>
      </c>
      <c r="O1182" s="13" t="inlineStr">
        <is>
          <t>0,365% (LC nº 224/2025)</t>
        </is>
      </c>
      <c r="P1182" s="13" t="inlineStr">
        <is>
          <t>CST 06</t>
        </is>
      </c>
      <c r="Q1182" s="13" t="inlineStr">
        <is>
          <t>CST 73</t>
        </is>
      </c>
      <c r="R1182" s="13" t="inlineStr">
        <is>
          <t>Redução de 60% + Diferimento (Art. 138 e Anexo IX LC 214/2025)</t>
        </is>
      </c>
    </row>
    <row r="1183" ht="22" customHeight="1">
      <c r="A1183" s="6" t="inlineStr">
        <is>
          <t>SKU-1179</t>
        </is>
      </c>
      <c r="B1183" s="5" t="n">
        <v>838</v>
      </c>
      <c r="C1183" s="7" t="inlineStr">
        <is>
          <t>Nº 36721</t>
        </is>
      </c>
      <c r="D1183" s="8" t="inlineStr">
        <is>
          <t>MAIZEFORCE IMP</t>
        </is>
      </c>
      <c r="E1183" s="7" t="inlineStr">
        <is>
          <t>Embalagem Comercial do Produto</t>
        </is>
      </c>
      <c r="F1183" s="7" t="inlineStr">
        <is>
          <t>20L (20 L)</t>
        </is>
      </c>
      <c r="G1183" s="7" t="inlineStr">
        <is>
          <t>L</t>
        </is>
      </c>
      <c r="H1183" s="9" t="n">
        <v>20</v>
      </c>
      <c r="I1183" s="7" t="inlineStr">
        <is>
          <t>3808.93.29</t>
        </is>
      </c>
      <c r="J1183" s="7" t="inlineStr">
        <is>
          <t>NÃO</t>
        </is>
      </c>
      <c r="K1183" s="7" t="inlineStr">
        <is>
          <t>Embalagem Rígida — LAVÁVEL (Obrigatória Tríplice Lavagem ou Pressão)</t>
        </is>
      </c>
      <c r="L1183" s="7" t="inlineStr">
        <is>
          <t>NÃO</t>
        </is>
      </c>
      <c r="M1183" s="7" t="inlineStr">
        <is>
          <t>0,00% (Lei nº 10.925/2004)</t>
        </is>
      </c>
      <c r="N1183" s="7" t="inlineStr">
        <is>
          <t>0,925% (LC nº 224/2025)</t>
        </is>
      </c>
      <c r="O1183" s="7" t="inlineStr">
        <is>
          <t>0,365% (LC nº 224/2025)</t>
        </is>
      </c>
      <c r="P1183" s="7" t="inlineStr">
        <is>
          <t>CST 06</t>
        </is>
      </c>
      <c r="Q1183" s="7" t="inlineStr">
        <is>
          <t>CST 73</t>
        </is>
      </c>
      <c r="R1183" s="7" t="inlineStr">
        <is>
          <t>Redução de 60% + Diferimento (Art. 138 e Anexo IX LC 214/2025)</t>
        </is>
      </c>
    </row>
    <row r="1184" ht="22" customHeight="1">
      <c r="A1184" s="12" t="inlineStr">
        <is>
          <t>SKU-1180</t>
        </is>
      </c>
      <c r="B1184" s="11" t="n">
        <v>839</v>
      </c>
      <c r="C1184" s="13" t="inlineStr">
        <is>
          <t>Nº 19217</t>
        </is>
      </c>
      <c r="D1184" s="14" t="inlineStr">
        <is>
          <t>BLOWOUT</t>
        </is>
      </c>
      <c r="E1184" s="13" t="inlineStr">
        <is>
          <t>Embalagem Comercial do Produto</t>
        </is>
      </c>
      <c r="F1184" s="13" t="inlineStr">
        <is>
          <t>1X20L (20 L)</t>
        </is>
      </c>
      <c r="G1184" s="13" t="inlineStr">
        <is>
          <t>L</t>
        </is>
      </c>
      <c r="H1184" s="15" t="n">
        <v>20</v>
      </c>
      <c r="I1184" s="13" t="inlineStr">
        <is>
          <t>3808.93.29</t>
        </is>
      </c>
      <c r="J1184" s="13" t="inlineStr">
        <is>
          <t>NÃO</t>
        </is>
      </c>
      <c r="K1184" s="13" t="inlineStr">
        <is>
          <t>Embalagem Rígida — LAVÁVEL (Obrigatória Tríplice Lavagem ou Pressão)</t>
        </is>
      </c>
      <c r="L1184" s="13" t="inlineStr">
        <is>
          <t>NÃO</t>
        </is>
      </c>
      <c r="M1184" s="13" t="inlineStr">
        <is>
          <t>0,00% (Lei nº 10.925/2004)</t>
        </is>
      </c>
      <c r="N1184" s="13" t="inlineStr">
        <is>
          <t>0,925% (LC nº 224/2025)</t>
        </is>
      </c>
      <c r="O1184" s="13" t="inlineStr">
        <is>
          <t>0,365% (LC nº 224/2025)</t>
        </is>
      </c>
      <c r="P1184" s="13" t="inlineStr">
        <is>
          <t>CST 06</t>
        </is>
      </c>
      <c r="Q1184" s="13" t="inlineStr">
        <is>
          <t>CST 73</t>
        </is>
      </c>
      <c r="R1184" s="13" t="inlineStr">
        <is>
          <t>Redução de 60% + Diferimento (Art. 138 e Anexo IX LC 214/2025)</t>
        </is>
      </c>
    </row>
    <row r="1185" ht="22" customHeight="1">
      <c r="A1185" s="6" t="inlineStr">
        <is>
          <t>SKU-1181</t>
        </is>
      </c>
      <c r="B1185" s="5" t="n">
        <v>840</v>
      </c>
      <c r="C1185" s="7" t="inlineStr">
        <is>
          <t>Nº 4026</t>
        </is>
      </c>
      <c r="D1185" s="8" t="inlineStr">
        <is>
          <t>SYNPROLE</t>
        </is>
      </c>
      <c r="E1185" s="7" t="inlineStr">
        <is>
          <t>Embalagem Comercial do Produto</t>
        </is>
      </c>
      <c r="F1185" s="7" t="inlineStr">
        <is>
          <t>1X20L (20 L)</t>
        </is>
      </c>
      <c r="G1185" s="7" t="inlineStr">
        <is>
          <t>L</t>
        </is>
      </c>
      <c r="H1185" s="9" t="n">
        <v>20</v>
      </c>
      <c r="I1185" s="7" t="inlineStr">
        <is>
          <t>3808.92.99</t>
        </is>
      </c>
      <c r="J1185" s="7" t="inlineStr">
        <is>
          <t>NÃO</t>
        </is>
      </c>
      <c r="K1185" s="7" t="inlineStr">
        <is>
          <t>Embalagem Rígida — LAVÁVEL (Obrigatória Tríplice Lavagem ou Pressão)</t>
        </is>
      </c>
      <c r="L1185" s="7" t="inlineStr">
        <is>
          <t>NÃO</t>
        </is>
      </c>
      <c r="M1185" s="7" t="inlineStr">
        <is>
          <t>0,00% (Lei nº 10.925/2004)</t>
        </is>
      </c>
      <c r="N1185" s="7" t="inlineStr">
        <is>
          <t>0,925% (LC nº 224/2025)</t>
        </is>
      </c>
      <c r="O1185" s="7" t="inlineStr">
        <is>
          <t>0,365% (LC nº 224/2025)</t>
        </is>
      </c>
      <c r="P1185" s="7" t="inlineStr">
        <is>
          <t>CST 06</t>
        </is>
      </c>
      <c r="Q1185" s="7" t="inlineStr">
        <is>
          <t>CST 73</t>
        </is>
      </c>
      <c r="R1185" s="7" t="inlineStr">
        <is>
          <t>Redução de 60% + Diferimento (Art. 138 e Anexo IX LC 214/2025)</t>
        </is>
      </c>
    </row>
    <row r="1186" ht="22" customHeight="1">
      <c r="A1186" s="12" t="inlineStr">
        <is>
          <t>SKU-1182</t>
        </is>
      </c>
      <c r="B1186" s="11" t="n">
        <v>840</v>
      </c>
      <c r="C1186" s="13" t="inlineStr">
        <is>
          <t>Nº 4026</t>
        </is>
      </c>
      <c r="D1186" s="14" t="inlineStr">
        <is>
          <t>SYNPROLE</t>
        </is>
      </c>
      <c r="E1186" s="13" t="inlineStr">
        <is>
          <t>Faixa 1 TIPI (Apresentação &lt;= 300 g ou mL)</t>
        </is>
      </c>
      <c r="F1186" s="13" t="inlineStr">
        <is>
          <t>Fracionado / Amostra &lt;= 0,3 L</t>
        </is>
      </c>
      <c r="G1186" s="13" t="inlineStr">
        <is>
          <t>L</t>
        </is>
      </c>
      <c r="H1186" s="18" t="n">
        <v>0.3</v>
      </c>
      <c r="I1186" s="13" t="inlineStr">
        <is>
          <t>3808.92.20</t>
        </is>
      </c>
      <c r="J1186" s="13" t="inlineStr">
        <is>
          <t>NÃO</t>
        </is>
      </c>
      <c r="K1186" s="13" t="inlineStr">
        <is>
          <t>Embalagem Rígida — LAVÁVEL (Obrigatória Tríplice Lavagem ou Pressão)</t>
        </is>
      </c>
      <c r="L1186" s="13" t="inlineStr">
        <is>
          <t>NÃO</t>
        </is>
      </c>
      <c r="M1186" s="13" t="inlineStr">
        <is>
          <t>0,00% (Lei nº 10.925/2004)</t>
        </is>
      </c>
      <c r="N1186" s="13" t="inlineStr">
        <is>
          <t>0,925% (LC nº 224/2025)</t>
        </is>
      </c>
      <c r="O1186" s="13" t="inlineStr">
        <is>
          <t>0,365% (LC nº 224/2025)</t>
        </is>
      </c>
      <c r="P1186" s="13" t="inlineStr">
        <is>
          <t>CST 06</t>
        </is>
      </c>
      <c r="Q1186" s="13" t="inlineStr">
        <is>
          <t>CST 73</t>
        </is>
      </c>
      <c r="R1186" s="13" t="inlineStr">
        <is>
          <t>Redução de 60% + Diferimento (Art. 138 e Anexo IX LC 214/2025)</t>
        </is>
      </c>
    </row>
    <row r="1187" ht="22" customHeight="1">
      <c r="A1187" s="6" t="inlineStr">
        <is>
          <t>SKU-1183</t>
        </is>
      </c>
      <c r="B1187" s="5" t="n">
        <v>841</v>
      </c>
      <c r="C1187" s="7" t="inlineStr">
        <is>
          <t>VINCULAR MARCA</t>
        </is>
      </c>
      <c r="D1187" s="8" t="inlineStr">
        <is>
          <t>FLUAZINAM TECNICO 98% (AMOSTRA)</t>
        </is>
      </c>
      <c r="E1187" s="7" t="inlineStr">
        <is>
          <t>Embalagem Comercial do Produto</t>
        </is>
      </c>
      <c r="F1187" s="7" t="inlineStr">
        <is>
          <t>AMOSTRA (&lt;= 1 KG/L) (1 KG)</t>
        </is>
      </c>
      <c r="G1187" s="7" t="inlineStr">
        <is>
          <t>KG</t>
        </is>
      </c>
      <c r="H1187" s="17" t="n">
        <v>0.2</v>
      </c>
      <c r="I1187" s="7" t="inlineStr">
        <is>
          <t>2933.39.19</t>
        </is>
      </c>
      <c r="J1187" s="7" t="inlineStr">
        <is>
          <t>NÃO</t>
        </is>
      </c>
      <c r="K1187" s="7" t="inlineStr">
        <is>
          <t>Uso Industrial Exclusivo (PGRS / NBR 10004)</t>
        </is>
      </c>
      <c r="L1187" s="7" t="inlineStr">
        <is>
          <t>NÃO</t>
        </is>
      </c>
      <c r="M1187" s="7" t="inlineStr">
        <is>
          <t>0,00% (Lei nº 10.925/2004)</t>
        </is>
      </c>
      <c r="N1187" s="7" t="inlineStr">
        <is>
          <t>0,925% (LC nº 224/2025)</t>
        </is>
      </c>
      <c r="O1187" s="7" t="inlineStr">
        <is>
          <t>0,365% (LC nº 224/2025)</t>
        </is>
      </c>
      <c r="P1187" s="7" t="inlineStr">
        <is>
          <t>CST 06 (Uso Agrícola/Industrial)</t>
        </is>
      </c>
      <c r="Q1187" s="7" t="inlineStr">
        <is>
          <t>CST 73 (Revenda / Destinação)</t>
        </is>
      </c>
      <c r="R1187" s="7" t="inlineStr">
        <is>
          <t>Redução de 60% + Diferimento (Art. 138 LC 214/2025)</t>
        </is>
      </c>
    </row>
    <row r="1188" ht="22" customHeight="1">
      <c r="A1188" s="12" t="inlineStr">
        <is>
          <t>SKU-1184</t>
        </is>
      </c>
      <c r="B1188" s="11" t="n">
        <v>841</v>
      </c>
      <c r="C1188" s="13" t="inlineStr">
        <is>
          <t>VINCULAR MARCA</t>
        </is>
      </c>
      <c r="D1188" s="14" t="inlineStr">
        <is>
          <t>FLUAZINAM TECNICO 98% (AMOSTRA)</t>
        </is>
      </c>
      <c r="E1188" s="13" t="inlineStr">
        <is>
          <t>Faixa 1 TIPI (Apresentação &lt;= 300 g ou mL)</t>
        </is>
      </c>
      <c r="F1188" s="13" t="inlineStr">
        <is>
          <t>Fracionado / Amostra &lt;= 0,3 KG</t>
        </is>
      </c>
      <c r="G1188" s="13" t="inlineStr">
        <is>
          <t>KG</t>
        </is>
      </c>
      <c r="H1188" s="18" t="n">
        <v>0.3</v>
      </c>
      <c r="I1188" s="13" t="inlineStr">
        <is>
          <t>3808.92.20</t>
        </is>
      </c>
      <c r="J1188" s="13" t="inlineStr">
        <is>
          <t>NÃO</t>
        </is>
      </c>
      <c r="K1188" s="13" t="inlineStr">
        <is>
          <t>Uso Industrial Exclusivo (PGRS / NBR 10004)</t>
        </is>
      </c>
      <c r="L1188" s="13" t="inlineStr">
        <is>
          <t>NÃO</t>
        </is>
      </c>
      <c r="M1188" s="13" t="inlineStr">
        <is>
          <t>0,00% (Lei nº 10.925/2004)</t>
        </is>
      </c>
      <c r="N1188" s="13" t="inlineStr">
        <is>
          <t>0,925% (LC nº 224/2025)</t>
        </is>
      </c>
      <c r="O1188" s="13" t="inlineStr">
        <is>
          <t>0,365% (LC nº 224/2025)</t>
        </is>
      </c>
      <c r="P1188" s="13" t="inlineStr">
        <is>
          <t>CST 06 (Uso Agrícola/Industrial)</t>
        </is>
      </c>
      <c r="Q1188" s="13" t="inlineStr">
        <is>
          <t>CST 73 (Revenda / Destinação)</t>
        </is>
      </c>
      <c r="R1188" s="13" t="inlineStr">
        <is>
          <t>Redução de 60% + Diferimento (Art. 138 LC 214/2025)</t>
        </is>
      </c>
    </row>
    <row r="1189" ht="22" customHeight="1">
      <c r="A1189" s="6" t="inlineStr">
        <is>
          <t>SKU-1185</t>
        </is>
      </c>
      <c r="B1189" s="5" t="n">
        <v>842</v>
      </c>
      <c r="C1189" s="7" t="inlineStr">
        <is>
          <t>Nº 40624</t>
        </is>
      </c>
      <c r="D1189" s="8" t="inlineStr">
        <is>
          <t>SHARK</t>
        </is>
      </c>
      <c r="E1189" s="7" t="inlineStr">
        <is>
          <t>Embalagem Comercial do Produto</t>
        </is>
      </c>
      <c r="F1189" s="7" t="inlineStr">
        <is>
          <t>1X20L (20 L)</t>
        </is>
      </c>
      <c r="G1189" s="7" t="inlineStr">
        <is>
          <t>L</t>
        </is>
      </c>
      <c r="H1189" s="9" t="n">
        <v>20</v>
      </c>
      <c r="I1189" s="7" t="inlineStr">
        <is>
          <t>3808.91.99</t>
        </is>
      </c>
      <c r="J1189" s="7" t="inlineStr">
        <is>
          <t>NÃO</t>
        </is>
      </c>
      <c r="K1189" s="7" t="inlineStr">
        <is>
          <t>Embalagem Rígida — LAVÁVEL (Obrigatória Tríplice Lavagem ou Pressão)</t>
        </is>
      </c>
      <c r="L1189" s="7" t="inlineStr">
        <is>
          <t>NÃO</t>
        </is>
      </c>
      <c r="M1189" s="7" t="inlineStr">
        <is>
          <t>0,00% (Lei nº 10.925/2004)</t>
        </is>
      </c>
      <c r="N1189" s="7" t="inlineStr">
        <is>
          <t>0,925% (LC nº 224/2025)</t>
        </is>
      </c>
      <c r="O1189" s="7" t="inlineStr">
        <is>
          <t>0,365% (LC nº 224/2025)</t>
        </is>
      </c>
      <c r="P1189" s="7" t="inlineStr">
        <is>
          <t>CST 06</t>
        </is>
      </c>
      <c r="Q1189" s="7" t="inlineStr">
        <is>
          <t>CST 73</t>
        </is>
      </c>
      <c r="R1189" s="7" t="inlineStr">
        <is>
          <t>Redução de 60% + Diferimento (Art. 138 e Anexo IX LC 214/2025)</t>
        </is>
      </c>
    </row>
    <row r="1190" ht="22" customHeight="1">
      <c r="A1190" s="12" t="inlineStr">
        <is>
          <t>SKU-1186</t>
        </is>
      </c>
      <c r="B1190" s="11" t="n">
        <v>843</v>
      </c>
      <c r="C1190" s="13" t="inlineStr">
        <is>
          <t>Nº 15716</t>
        </is>
      </c>
      <c r="D1190" s="14" t="inlineStr">
        <is>
          <t>DIFCOR 250 EC</t>
        </is>
      </c>
      <c r="E1190" s="13" t="inlineStr">
        <is>
          <t>Embalagem Comercial do Produto</t>
        </is>
      </c>
      <c r="F1190" s="13" t="inlineStr">
        <is>
          <t>1X20L (20 L)</t>
        </is>
      </c>
      <c r="G1190" s="13" t="inlineStr">
        <is>
          <t>L</t>
        </is>
      </c>
      <c r="H1190" s="15" t="n">
        <v>20</v>
      </c>
      <c r="I1190" s="13" t="inlineStr">
        <is>
          <t>3808.92.99</t>
        </is>
      </c>
      <c r="J1190" s="13" t="inlineStr">
        <is>
          <t>NÃO</t>
        </is>
      </c>
      <c r="K1190" s="13" t="inlineStr">
        <is>
          <t>Embalagem Rígida — LAVÁVEL (Obrigatória Tríplice Lavagem ou Pressão)</t>
        </is>
      </c>
      <c r="L1190" s="13" t="inlineStr">
        <is>
          <t>NÃO</t>
        </is>
      </c>
      <c r="M1190" s="13" t="inlineStr">
        <is>
          <t>0,00% (Lei nº 10.925/2004)</t>
        </is>
      </c>
      <c r="N1190" s="13" t="inlineStr">
        <is>
          <t>0,925% (LC nº 224/2025)</t>
        </is>
      </c>
      <c r="O1190" s="13" t="inlineStr">
        <is>
          <t>0,365% (LC nº 224/2025)</t>
        </is>
      </c>
      <c r="P1190" s="13" t="inlineStr">
        <is>
          <t>CST 06</t>
        </is>
      </c>
      <c r="Q1190" s="13" t="inlineStr">
        <is>
          <t>CST 73</t>
        </is>
      </c>
      <c r="R1190" s="13" t="inlineStr">
        <is>
          <t>Redução de 60% + Diferimento (Art. 138 e Anexo IX LC 214/2025)</t>
        </is>
      </c>
    </row>
    <row r="1191" ht="22" customHeight="1">
      <c r="A1191" s="6" t="inlineStr">
        <is>
          <t>SKU-1187</t>
        </is>
      </c>
      <c r="B1191" s="5" t="n">
        <v>844</v>
      </c>
      <c r="C1191" s="7" t="inlineStr">
        <is>
          <t>Nº 52425</t>
        </is>
      </c>
      <c r="D1191" s="8" t="inlineStr">
        <is>
          <t>GEODO AMOSTRA 0,100KG IMP</t>
        </is>
      </c>
      <c r="E1191" s="7" t="inlineStr">
        <is>
          <t>Embalagem Comercial do Produto</t>
        </is>
      </c>
      <c r="F1191" s="7" t="inlineStr">
        <is>
          <t>0,100KG (0.1 KG)</t>
        </is>
      </c>
      <c r="G1191" s="7" t="inlineStr">
        <is>
          <t>KG</t>
        </is>
      </c>
      <c r="H1191" s="17" t="n">
        <v>0.2</v>
      </c>
      <c r="I1191" s="7" t="inlineStr">
        <is>
          <t>3808.61.00</t>
        </is>
      </c>
      <c r="J1191" s="7" t="inlineStr">
        <is>
          <t>SIM</t>
        </is>
      </c>
      <c r="K1191" s="7" t="inlineStr">
        <is>
          <t>Embalagem Flexível — NÃO LAVÁVEL (Perfurar e usar saco ABNT)</t>
        </is>
      </c>
      <c r="L1191" s="7" t="inlineStr">
        <is>
          <t>SIM (Saco Transparente ABNT)</t>
        </is>
      </c>
      <c r="M1191" s="7" t="inlineStr">
        <is>
          <t>0,00% (Lei nº 10.925/2004)</t>
        </is>
      </c>
      <c r="N1191" s="7" t="inlineStr">
        <is>
          <t>0,925% (LC nº 224/2025)</t>
        </is>
      </c>
      <c r="O1191" s="7" t="inlineStr">
        <is>
          <t>0,365% (LC nº 224/2025)</t>
        </is>
      </c>
      <c r="P1191" s="7" t="inlineStr">
        <is>
          <t>CST 06</t>
        </is>
      </c>
      <c r="Q1191" s="7" t="inlineStr">
        <is>
          <t>CST 73</t>
        </is>
      </c>
      <c r="R1191" s="7" t="inlineStr">
        <is>
          <t>Redução de 60% + Diferimento (Art. 138 e Anexo IX LC 214/2025)</t>
        </is>
      </c>
    </row>
    <row r="1192" ht="22" customHeight="1">
      <c r="A1192" s="12" t="inlineStr">
        <is>
          <t>SKU-1188</t>
        </is>
      </c>
      <c r="B1192" s="11" t="n">
        <v>845</v>
      </c>
      <c r="C1192" s="13" t="inlineStr">
        <is>
          <t>Nº 4516</t>
        </is>
      </c>
      <c r="D1192" s="14" t="inlineStr">
        <is>
          <t>STRONGFORCE</t>
        </is>
      </c>
      <c r="E1192" s="13" t="inlineStr">
        <is>
          <t>Embalagem Comercial do Produto</t>
        </is>
      </c>
      <c r="F1192" s="13" t="inlineStr">
        <is>
          <t>4X5L (5 L)</t>
        </is>
      </c>
      <c r="G1192" s="13" t="inlineStr">
        <is>
          <t>L</t>
        </is>
      </c>
      <c r="H1192" s="15" t="n">
        <v>5</v>
      </c>
      <c r="I1192" s="13" t="inlineStr">
        <is>
          <t>3808.91.99</t>
        </is>
      </c>
      <c r="J1192" s="13" t="inlineStr">
        <is>
          <t>NÃO</t>
        </is>
      </c>
      <c r="K1192" s="13" t="inlineStr">
        <is>
          <t>Embalagem Rígida — LAVÁVEL (Obrigatória Tríplice Lavagem ou Pressão)</t>
        </is>
      </c>
      <c r="L1192" s="13" t="inlineStr">
        <is>
          <t>NÃO</t>
        </is>
      </c>
      <c r="M1192" s="13" t="inlineStr">
        <is>
          <t>0,00% (Lei nº 10.925/2004)</t>
        </is>
      </c>
      <c r="N1192" s="13" t="inlineStr">
        <is>
          <t>0,925% (LC nº 224/2025)</t>
        </is>
      </c>
      <c r="O1192" s="13" t="inlineStr">
        <is>
          <t>0,365% (LC nº 224/2025)</t>
        </is>
      </c>
      <c r="P1192" s="13" t="inlineStr">
        <is>
          <t>CST 06</t>
        </is>
      </c>
      <c r="Q1192" s="13" t="inlineStr">
        <is>
          <t>CST 73</t>
        </is>
      </c>
      <c r="R1192" s="13" t="inlineStr">
        <is>
          <t>Redução de 60% + Diferimento (Art. 138 e Anexo IX LC 214/2025)</t>
        </is>
      </c>
    </row>
    <row r="1193" ht="22" customHeight="1">
      <c r="A1193" s="6" t="inlineStr">
        <is>
          <t>SKU-1189</t>
        </is>
      </c>
      <c r="B1193" s="5" t="n">
        <v>846</v>
      </c>
      <c r="C1193" s="7" t="inlineStr">
        <is>
          <t>SIPEAGRO (UF-XXXXX)</t>
        </is>
      </c>
      <c r="D1193" s="8" t="inlineStr">
        <is>
          <t>GESSO AGRICOLA MINERAL NATURAL (GIPSITA MOIDA) GRANEL</t>
        </is>
      </c>
      <c r="E1193" s="7" t="inlineStr">
        <is>
          <t>Embalagem Comercial do Produto</t>
        </is>
      </c>
      <c r="F1193" s="7" t="inlineStr">
        <is>
          <t>GRANEL / BIG BAG (1000 TL)</t>
        </is>
      </c>
      <c r="G1193" s="7" t="inlineStr">
        <is>
          <t>TL</t>
        </is>
      </c>
      <c r="H1193" s="9" t="n">
        <v>1</v>
      </c>
      <c r="I1193" s="7" t="inlineStr">
        <is>
          <t>2520.10.19</t>
        </is>
      </c>
      <c r="J1193" s="7" t="inlineStr">
        <is>
          <t>NÃO</t>
        </is>
      </c>
      <c r="K1193" s="7" t="inlineStr">
        <is>
          <t>Embalagem Flexível — NÃO LAVÁVEL (Perfurar e usar saco ABNT)</t>
        </is>
      </c>
      <c r="L1193" s="7" t="inlineStr">
        <is>
          <t>SIM (Saco Transparente ABNT)</t>
        </is>
      </c>
      <c r="M1193" s="7" t="inlineStr">
        <is>
          <t>0,00% (Lei nº 10.925/2004)</t>
        </is>
      </c>
      <c r="N1193" s="7" t="inlineStr">
        <is>
          <t>0,925% (LC nº 224/2025)</t>
        </is>
      </c>
      <c r="O1193" s="7" t="inlineStr">
        <is>
          <t>0,365% (LC nº 224/2025)</t>
        </is>
      </c>
      <c r="P1193" s="7" t="inlineStr">
        <is>
          <t>CST 06 (Uso Agrícola/Industrial)</t>
        </is>
      </c>
      <c r="Q1193" s="7" t="inlineStr">
        <is>
          <t>CST 73 (Revenda / Destinação)</t>
        </is>
      </c>
      <c r="R1193" s="7" t="inlineStr">
        <is>
          <t>Redução de 60% + Diferimento (Art. 138 LC 214/2025)</t>
        </is>
      </c>
    </row>
    <row r="1194" ht="22" customHeight="1">
      <c r="A1194" s="12" t="inlineStr">
        <is>
          <t>SKU-1190</t>
        </is>
      </c>
      <c r="B1194" s="11" t="n">
        <v>846</v>
      </c>
      <c r="C1194" s="13" t="inlineStr">
        <is>
          <t>SIPEAGRO (UF-XXXXX)</t>
        </is>
      </c>
      <c r="D1194" s="14" t="inlineStr">
        <is>
          <t>GESSO AGRICOLA MINERAL NATURAL (GIPSITA MOIDA) GRANEL</t>
        </is>
      </c>
      <c r="E1194" s="13" t="inlineStr">
        <is>
          <t>Faixa 1 TIPI (Apresentação &lt;= 300 g ou mL)</t>
        </is>
      </c>
      <c r="F1194" s="13" t="inlineStr">
        <is>
          <t>Fracionado / Amostra &lt;= 0,3 TL</t>
        </is>
      </c>
      <c r="G1194" s="13" t="inlineStr">
        <is>
          <t>TL</t>
        </is>
      </c>
      <c r="H1194" s="18" t="n">
        <v>0.3</v>
      </c>
      <c r="I1194" s="13" t="inlineStr">
        <is>
          <t>3105.90.90</t>
        </is>
      </c>
      <c r="J1194" s="13" t="inlineStr">
        <is>
          <t>NÃO</t>
        </is>
      </c>
      <c r="K1194" s="13" t="inlineStr">
        <is>
          <t>Embalagem Flexível — NÃO LAVÁVEL (Perfurar e usar saco ABNT)</t>
        </is>
      </c>
      <c r="L1194" s="13" t="inlineStr">
        <is>
          <t>SIM (Saco Transparente ABNT)</t>
        </is>
      </c>
      <c r="M1194" s="13" t="inlineStr">
        <is>
          <t>0,00% (Lei nº 10.925/2004)</t>
        </is>
      </c>
      <c r="N1194" s="13" t="inlineStr">
        <is>
          <t>0,925% (LC nº 224/2025)</t>
        </is>
      </c>
      <c r="O1194" s="13" t="inlineStr">
        <is>
          <t>0,365% (LC nº 224/2025)</t>
        </is>
      </c>
      <c r="P1194" s="13" t="inlineStr">
        <is>
          <t>CST 06 (Uso Agrícola/Industrial)</t>
        </is>
      </c>
      <c r="Q1194" s="13" t="inlineStr">
        <is>
          <t>CST 73 (Revenda / Destinação)</t>
        </is>
      </c>
      <c r="R1194" s="13" t="inlineStr">
        <is>
          <t>Redução de 60% + Diferimento (Art. 138 LC 214/2025)</t>
        </is>
      </c>
    </row>
    <row r="1195" ht="22" customHeight="1">
      <c r="A1195" s="6" t="inlineStr">
        <is>
          <t>SKU-1191</t>
        </is>
      </c>
      <c r="B1195" s="5" t="n">
        <v>847</v>
      </c>
      <c r="C1195" s="7" t="inlineStr">
        <is>
          <t>SIPEAGRO (UF-XXXXX)</t>
        </is>
      </c>
      <c r="D1195" s="8" t="inlineStr">
        <is>
          <t>FOSFOGESSO AGRICOLA (SUBPRODUTO INDUSTRIAL) GRANEL</t>
        </is>
      </c>
      <c r="E1195" s="7" t="inlineStr">
        <is>
          <t>Embalagem Comercial do Produto</t>
        </is>
      </c>
      <c r="F1195" s="7" t="inlineStr">
        <is>
          <t>GRANEL / BIG BAG (1000 TL)</t>
        </is>
      </c>
      <c r="G1195" s="7" t="inlineStr">
        <is>
          <t>TL</t>
        </is>
      </c>
      <c r="H1195" s="9" t="n">
        <v>1</v>
      </c>
      <c r="I1195" s="7" t="inlineStr">
        <is>
          <t>3824.99.89</t>
        </is>
      </c>
      <c r="J1195" s="7" t="inlineStr">
        <is>
          <t>NÃO</t>
        </is>
      </c>
      <c r="K1195" s="7" t="inlineStr">
        <is>
          <t>Embalagem Flexível — NÃO LAVÁVEL (Perfurar e usar saco ABNT)</t>
        </is>
      </c>
      <c r="L1195" s="7" t="inlineStr">
        <is>
          <t>SIM (Saco Transparente ABNT)</t>
        </is>
      </c>
      <c r="M1195" s="7" t="inlineStr">
        <is>
          <t>0,00% (Lei nº 10.925/2004)</t>
        </is>
      </c>
      <c r="N1195" s="7" t="inlineStr">
        <is>
          <t>0,925% (LC nº 224/2025)</t>
        </is>
      </c>
      <c r="O1195" s="7" t="inlineStr">
        <is>
          <t>0,365% (LC nº 224/2025)</t>
        </is>
      </c>
      <c r="P1195" s="7" t="inlineStr">
        <is>
          <t>CST 06 (Uso Agrícola/Industrial)</t>
        </is>
      </c>
      <c r="Q1195" s="7" t="inlineStr">
        <is>
          <t>CST 73 (Revenda / Destinação)</t>
        </is>
      </c>
      <c r="R1195" s="7" t="inlineStr">
        <is>
          <t>Redução de 60% + Diferimento (Art. 138 LC 214/2025)</t>
        </is>
      </c>
    </row>
    <row r="1196" ht="22" customHeight="1">
      <c r="A1196" s="12" t="inlineStr">
        <is>
          <t>SKU-1192</t>
        </is>
      </c>
      <c r="B1196" s="11" t="n">
        <v>847</v>
      </c>
      <c r="C1196" s="13" t="inlineStr">
        <is>
          <t>SIPEAGRO (UF-XXXXX)</t>
        </is>
      </c>
      <c r="D1196" s="14" t="inlineStr">
        <is>
          <t>FOSFOGESSO AGRICOLA (SUBPRODUTO INDUSTRIAL) GRANEL</t>
        </is>
      </c>
      <c r="E1196" s="13" t="inlineStr">
        <is>
          <t>Faixa 1 TIPI (Apresentação &lt;= 300 g ou mL)</t>
        </is>
      </c>
      <c r="F1196" s="13" t="inlineStr">
        <is>
          <t>Fracionado / Amostra &lt;= 0,3 TL</t>
        </is>
      </c>
      <c r="G1196" s="13" t="inlineStr">
        <is>
          <t>TL</t>
        </is>
      </c>
      <c r="H1196" s="18" t="n">
        <v>0.3</v>
      </c>
      <c r="I1196" s="13" t="inlineStr">
        <is>
          <t>3105.90.90</t>
        </is>
      </c>
      <c r="J1196" s="13" t="inlineStr">
        <is>
          <t>NÃO</t>
        </is>
      </c>
      <c r="K1196" s="13" t="inlineStr">
        <is>
          <t>Embalagem Flexível — NÃO LAVÁVEL (Perfurar e usar saco ABNT)</t>
        </is>
      </c>
      <c r="L1196" s="13" t="inlineStr">
        <is>
          <t>SIM (Saco Transparente ABNT)</t>
        </is>
      </c>
      <c r="M1196" s="13" t="inlineStr">
        <is>
          <t>0,00% (Lei nº 10.925/2004)</t>
        </is>
      </c>
      <c r="N1196" s="13" t="inlineStr">
        <is>
          <t>0,925% (LC nº 224/2025)</t>
        </is>
      </c>
      <c r="O1196" s="13" t="inlineStr">
        <is>
          <t>0,365% (LC nº 224/2025)</t>
        </is>
      </c>
      <c r="P1196" s="13" t="inlineStr">
        <is>
          <t>CST 06 (Uso Agrícola/Industrial)</t>
        </is>
      </c>
      <c r="Q1196" s="13" t="inlineStr">
        <is>
          <t>CST 73 (Revenda / Destinação)</t>
        </is>
      </c>
      <c r="R1196" s="13" t="inlineStr">
        <is>
          <t>Redução de 60% + Diferimento (Art. 138 LC 214/2025)</t>
        </is>
      </c>
    </row>
    <row r="1197" ht="22" customHeight="1">
      <c r="A1197" s="6" t="inlineStr">
        <is>
          <t>SKU-1193</t>
        </is>
      </c>
      <c r="B1197" s="5" t="n">
        <v>848</v>
      </c>
      <c r="C1197" s="7" t="inlineStr">
        <is>
          <t>SIPEAGRO (UF-XXXXX)</t>
        </is>
      </c>
      <c r="D1197" s="8" t="inlineStr">
        <is>
          <t>CALCARIO AGRICOLA DOLOMITICO / CALCITICO GRANEL (TON)</t>
        </is>
      </c>
      <c r="E1197" s="7" t="inlineStr">
        <is>
          <t>Embalagem Comercial do Produto</t>
        </is>
      </c>
      <c r="F1197" s="7" t="inlineStr">
        <is>
          <t>GRANEL / BIG BAG (1000 TL)</t>
        </is>
      </c>
      <c r="G1197" s="7" t="inlineStr">
        <is>
          <t>TL</t>
        </is>
      </c>
      <c r="H1197" s="9" t="n">
        <v>1</v>
      </c>
      <c r="I1197" s="7" t="inlineStr">
        <is>
          <t>2521.00.00</t>
        </is>
      </c>
      <c r="J1197" s="7" t="inlineStr">
        <is>
          <t>NÃO</t>
        </is>
      </c>
      <c r="K1197" s="7" t="inlineStr">
        <is>
          <t>Embalagem Flexível — NÃO LAVÁVEL (Perfurar e usar saco ABNT)</t>
        </is>
      </c>
      <c r="L1197" s="7" t="inlineStr">
        <is>
          <t>SIM (Saco Transparente ABNT)</t>
        </is>
      </c>
      <c r="M1197" s="7" t="inlineStr">
        <is>
          <t>0,00% (Lei nº 10.925/2004)</t>
        </is>
      </c>
      <c r="N1197" s="7" t="inlineStr">
        <is>
          <t>0,925% (LC nº 224/2025)</t>
        </is>
      </c>
      <c r="O1197" s="7" t="inlineStr">
        <is>
          <t>0,365% (LC nº 224/2025)</t>
        </is>
      </c>
      <c r="P1197" s="7" t="inlineStr">
        <is>
          <t>CST 06</t>
        </is>
      </c>
      <c r="Q1197" s="7" t="inlineStr">
        <is>
          <t>CST 73</t>
        </is>
      </c>
      <c r="R1197" s="7" t="inlineStr">
        <is>
          <t>Redução de 60% + Diferimento (Art. 138 e Anexo IX LC 214/2025)</t>
        </is>
      </c>
    </row>
    <row r="1198" ht="22" customHeight="1">
      <c r="A1198" s="12" t="inlineStr">
        <is>
          <t>SKU-1194</t>
        </is>
      </c>
      <c r="B1198" s="11" t="n">
        <v>848</v>
      </c>
      <c r="C1198" s="13" t="inlineStr">
        <is>
          <t>SIPEAGRO (UF-XXXXX)</t>
        </is>
      </c>
      <c r="D1198" s="14" t="inlineStr">
        <is>
          <t>CALCARIO AGRICOLA DOLOMITICO / CALCITICO GRANEL (TON)</t>
        </is>
      </c>
      <c r="E1198" s="13" t="inlineStr">
        <is>
          <t>Faixa 1 TIPI (Apresentação &lt;= 300 g ou mL)</t>
        </is>
      </c>
      <c r="F1198" s="13" t="inlineStr">
        <is>
          <t>Fracionado / Amostra &lt;= 0,3 TL</t>
        </is>
      </c>
      <c r="G1198" s="13" t="inlineStr">
        <is>
          <t>TL</t>
        </is>
      </c>
      <c r="H1198" s="18" t="n">
        <v>0.3</v>
      </c>
      <c r="I1198" s="13" t="inlineStr">
        <is>
          <t>3105.90.90</t>
        </is>
      </c>
      <c r="J1198" s="13" t="inlineStr">
        <is>
          <t>NÃO</t>
        </is>
      </c>
      <c r="K1198" s="13" t="inlineStr">
        <is>
          <t>Embalagem Flexível — NÃO LAVÁVEL (Perfurar e usar saco ABNT)</t>
        </is>
      </c>
      <c r="L1198" s="13" t="inlineStr">
        <is>
          <t>SIM (Saco Transparente ABNT)</t>
        </is>
      </c>
      <c r="M1198" s="13" t="inlineStr">
        <is>
          <t>0,00% (Lei nº 10.925/2004)</t>
        </is>
      </c>
      <c r="N1198" s="13" t="inlineStr">
        <is>
          <t>0,925% (LC nº 224/2025)</t>
        </is>
      </c>
      <c r="O1198" s="13" t="inlineStr">
        <is>
          <t>0,365% (LC nº 224/2025)</t>
        </is>
      </c>
      <c r="P1198" s="13" t="inlineStr">
        <is>
          <t>CST 06</t>
        </is>
      </c>
      <c r="Q1198" s="13" t="inlineStr">
        <is>
          <t>CST 73</t>
        </is>
      </c>
      <c r="R1198" s="13" t="inlineStr">
        <is>
          <t>Redução de 60% + Diferimento (Art. 138 e Anexo IX LC 214/2025)</t>
        </is>
      </c>
    </row>
    <row r="1199" ht="22" customHeight="1">
      <c r="A1199" s="6" t="inlineStr">
        <is>
          <t>SKU-1195</t>
        </is>
      </c>
      <c r="B1199" s="5" t="n">
        <v>849</v>
      </c>
      <c r="C1199" s="7" t="inlineStr">
        <is>
          <t>SIPEAGRO (UF-XXXXX)</t>
        </is>
      </c>
      <c r="D1199" s="8" t="inlineStr">
        <is>
          <t>CAL HIDRATADA / VIRGEM AGRICOLA</t>
        </is>
      </c>
      <c r="E1199" s="7" t="inlineStr">
        <is>
          <t>Embalagem Comercial do Produto</t>
        </is>
      </c>
      <c r="F1199" s="7" t="inlineStr">
        <is>
          <t>1X25KG (25 KG)</t>
        </is>
      </c>
      <c r="G1199" s="7" t="inlineStr">
        <is>
          <t>KG</t>
        </is>
      </c>
      <c r="H1199" s="9" t="n">
        <v>25</v>
      </c>
      <c r="I1199" s="7" t="inlineStr">
        <is>
          <t>2522.20.00</t>
        </is>
      </c>
      <c r="J1199" s="7" t="inlineStr">
        <is>
          <t>NÃO</t>
        </is>
      </c>
      <c r="K1199" s="7" t="inlineStr">
        <is>
          <t>Embalagem de Insumo Nutricional/Biológico (Logística Reversa)</t>
        </is>
      </c>
      <c r="L1199" s="7" t="inlineStr">
        <is>
          <t>NÃO</t>
        </is>
      </c>
      <c r="M1199" s="7" t="inlineStr">
        <is>
          <t>0,00% (Lei nº 10.925/2004)</t>
        </is>
      </c>
      <c r="N1199" s="7" t="inlineStr">
        <is>
          <t>0,925% (LC nº 224/2025)</t>
        </is>
      </c>
      <c r="O1199" s="7" t="inlineStr">
        <is>
          <t>0,365% (LC nº 224/2025)</t>
        </is>
      </c>
      <c r="P1199" s="7" t="inlineStr">
        <is>
          <t>CST 06 (Uso Agrícola/Industrial)</t>
        </is>
      </c>
      <c r="Q1199" s="7" t="inlineStr">
        <is>
          <t>CST 73 (Revenda / Destinação)</t>
        </is>
      </c>
      <c r="R1199" s="7" t="inlineStr">
        <is>
          <t>Redução de 60% + Diferimento (Art. 138 LC 214/2025)</t>
        </is>
      </c>
    </row>
    <row r="1200" ht="22" customHeight="1">
      <c r="A1200" s="12" t="inlineStr">
        <is>
          <t>SKU-1196</t>
        </is>
      </c>
      <c r="B1200" s="11" t="n">
        <v>849</v>
      </c>
      <c r="C1200" s="13" t="inlineStr">
        <is>
          <t>SIPEAGRO (UF-XXXXX)</t>
        </is>
      </c>
      <c r="D1200" s="14" t="inlineStr">
        <is>
          <t>CAL HIDRATADA / VIRGEM AGRICOLA</t>
        </is>
      </c>
      <c r="E1200" s="13" t="inlineStr">
        <is>
          <t>Faixa 1 TIPI (Apresentação &lt;= 300 g ou mL)</t>
        </is>
      </c>
      <c r="F1200" s="13" t="inlineStr">
        <is>
          <t>Fracionado / Amostra &lt;= 0,3 KG</t>
        </is>
      </c>
      <c r="G1200" s="13" t="inlineStr">
        <is>
          <t>KG</t>
        </is>
      </c>
      <c r="H1200" s="18" t="n">
        <v>0.3</v>
      </c>
      <c r="I1200" s="13" t="inlineStr">
        <is>
          <t>3105.90.90</t>
        </is>
      </c>
      <c r="J1200" s="13" t="inlineStr">
        <is>
          <t>NÃO</t>
        </is>
      </c>
      <c r="K1200" s="13" t="inlineStr">
        <is>
          <t>Embalagem de Insumo Nutricional/Biológico (Logística Reversa)</t>
        </is>
      </c>
      <c r="L1200" s="13" t="inlineStr">
        <is>
          <t>NÃO</t>
        </is>
      </c>
      <c r="M1200" s="13" t="inlineStr">
        <is>
          <t>0,00% (Lei nº 10.925/2004)</t>
        </is>
      </c>
      <c r="N1200" s="13" t="inlineStr">
        <is>
          <t>0,925% (LC nº 224/2025)</t>
        </is>
      </c>
      <c r="O1200" s="13" t="inlineStr">
        <is>
          <t>0,365% (LC nº 224/2025)</t>
        </is>
      </c>
      <c r="P1200" s="13" t="inlineStr">
        <is>
          <t>CST 06 (Uso Agrícola/Industrial)</t>
        </is>
      </c>
      <c r="Q1200" s="13" t="inlineStr">
        <is>
          <t>CST 73 (Revenda / Destinação)</t>
        </is>
      </c>
      <c r="R1200" s="13" t="inlineStr">
        <is>
          <t>Redução de 60% + Diferimento (Art. 138 LC 214/2025)</t>
        </is>
      </c>
    </row>
    <row r="1201" ht="22" customHeight="1">
      <c r="A1201" s="6" t="inlineStr">
        <is>
          <t>SKU-1197</t>
        </is>
      </c>
      <c r="B1201" s="5" t="n">
        <v>850</v>
      </c>
      <c r="C1201" s="7" t="inlineStr">
        <is>
          <t>SIPEAGRO (UF-XXXXX)</t>
        </is>
      </c>
      <c r="D1201" s="8" t="inlineStr">
        <is>
          <t>FOSFATO DIAMONICO (DAP 18-46-00) GRANULADO GRANEL</t>
        </is>
      </c>
      <c r="E1201" s="7" t="inlineStr">
        <is>
          <t>Embalagem Comercial do Produto</t>
        </is>
      </c>
      <c r="F1201" s="7" t="inlineStr">
        <is>
          <t>GRANEL / BIG BAG (1000 TL)</t>
        </is>
      </c>
      <c r="G1201" s="7" t="inlineStr">
        <is>
          <t>TL</t>
        </is>
      </c>
      <c r="H1201" s="9" t="n">
        <v>1</v>
      </c>
      <c r="I1201" s="7" t="inlineStr">
        <is>
          <t>3105.30.00</t>
        </is>
      </c>
      <c r="J1201" s="7" t="inlineStr">
        <is>
          <t>NÃO</t>
        </is>
      </c>
      <c r="K1201" s="7" t="inlineStr">
        <is>
          <t>Embalagem Flexível — NÃO LAVÁVEL (Perfurar e usar saco ABNT)</t>
        </is>
      </c>
      <c r="L1201" s="7" t="inlineStr">
        <is>
          <t>SIM (Saco Transparente ABNT)</t>
        </is>
      </c>
      <c r="M1201" s="7" t="inlineStr">
        <is>
          <t>0,00% (Lei nº 10.925/2004)</t>
        </is>
      </c>
      <c r="N1201" s="7" t="inlineStr">
        <is>
          <t>0,925% (LC nº 224/2025)</t>
        </is>
      </c>
      <c r="O1201" s="7" t="inlineStr">
        <is>
          <t>0,365% (LC nº 224/2025)</t>
        </is>
      </c>
      <c r="P1201" s="7" t="inlineStr">
        <is>
          <t>CST 06</t>
        </is>
      </c>
      <c r="Q1201" s="7" t="inlineStr">
        <is>
          <t>CST 73</t>
        </is>
      </c>
      <c r="R1201" s="7" t="inlineStr">
        <is>
          <t>Redução de 60% + Diferimento (Art. 138 e Anexo IX LC 214/2025)</t>
        </is>
      </c>
    </row>
    <row r="1202" ht="22" customHeight="1">
      <c r="A1202" s="12" t="inlineStr">
        <is>
          <t>SKU-1198</t>
        </is>
      </c>
      <c r="B1202" s="11" t="n">
        <v>850</v>
      </c>
      <c r="C1202" s="13" t="inlineStr">
        <is>
          <t>SIPEAGRO (UF-XXXXX)</t>
        </is>
      </c>
      <c r="D1202" s="14" t="inlineStr">
        <is>
          <t>FOSFATO DIAMONICO (DAP 18-46-00) GRANULADO GRANEL</t>
        </is>
      </c>
      <c r="E1202" s="13" t="inlineStr">
        <is>
          <t>Faixa 1 TIPI (Apresentação &lt;= 300 g ou mL)</t>
        </is>
      </c>
      <c r="F1202" s="13" t="inlineStr">
        <is>
          <t>Fracionado / Amostra &lt;= 0,3 TL</t>
        </is>
      </c>
      <c r="G1202" s="13" t="inlineStr">
        <is>
          <t>TL</t>
        </is>
      </c>
      <c r="H1202" s="18" t="n">
        <v>0.3</v>
      </c>
      <c r="I1202" s="13" t="inlineStr">
        <is>
          <t>3105.30.00</t>
        </is>
      </c>
      <c r="J1202" s="13" t="inlineStr">
        <is>
          <t>NÃO</t>
        </is>
      </c>
      <c r="K1202" s="13" t="inlineStr">
        <is>
          <t>Embalagem Flexível — NÃO LAVÁVEL (Perfurar e usar saco ABNT)</t>
        </is>
      </c>
      <c r="L1202" s="13" t="inlineStr">
        <is>
          <t>SIM (Saco Transparente ABNT)</t>
        </is>
      </c>
      <c r="M1202" s="13" t="inlineStr">
        <is>
          <t>0,00% (Lei nº 10.925/2004)</t>
        </is>
      </c>
      <c r="N1202" s="13" t="inlineStr">
        <is>
          <t>0,925% (LC nº 224/2025)</t>
        </is>
      </c>
      <c r="O1202" s="13" t="inlineStr">
        <is>
          <t>0,365% (LC nº 224/2025)</t>
        </is>
      </c>
      <c r="P1202" s="13" t="inlineStr">
        <is>
          <t>CST 06</t>
        </is>
      </c>
      <c r="Q1202" s="13" t="inlineStr">
        <is>
          <t>CST 73</t>
        </is>
      </c>
      <c r="R1202" s="13" t="inlineStr">
        <is>
          <t>Redução de 60% + Diferimento (Art. 138 e Anexo IX LC 214/2025)</t>
        </is>
      </c>
    </row>
    <row r="1203" ht="22" customHeight="1">
      <c r="A1203" s="6" t="inlineStr">
        <is>
          <t>SKU-1199</t>
        </is>
      </c>
      <c r="B1203" s="5" t="n">
        <v>851</v>
      </c>
      <c r="C1203" s="7" t="inlineStr">
        <is>
          <t>SIPEAGRO (UF-XXXXX)</t>
        </is>
      </c>
      <c r="D1203" s="8" t="inlineStr">
        <is>
          <t>TERMOFOSFATO MAGNESIANO FUNDIDO (YOORIN)</t>
        </is>
      </c>
      <c r="E1203" s="7" t="inlineStr">
        <is>
          <t>Embalagem Comercial do Produto</t>
        </is>
      </c>
      <c r="F1203" s="7" t="inlineStr">
        <is>
          <t>1X25KG (25 KG)</t>
        </is>
      </c>
      <c r="G1203" s="7" t="inlineStr">
        <is>
          <t>KG</t>
        </is>
      </c>
      <c r="H1203" s="9" t="n">
        <v>25</v>
      </c>
      <c r="I1203" s="7" t="inlineStr">
        <is>
          <t>3103.90.90</t>
        </is>
      </c>
      <c r="J1203" s="7" t="inlineStr">
        <is>
          <t>NÃO</t>
        </is>
      </c>
      <c r="K1203" s="7" t="inlineStr">
        <is>
          <t>Embalagem de Insumo Nutricional/Biológico (Logística Reversa)</t>
        </is>
      </c>
      <c r="L1203" s="7" t="inlineStr">
        <is>
          <t>NÃO</t>
        </is>
      </c>
      <c r="M1203" s="7" t="inlineStr">
        <is>
          <t>0,00% (Lei nº 10.925/2004)</t>
        </is>
      </c>
      <c r="N1203" s="7" t="inlineStr">
        <is>
          <t>0,925% (LC nº 224/2025)</t>
        </is>
      </c>
      <c r="O1203" s="7" t="inlineStr">
        <is>
          <t>0,365% (LC nº 224/2025)</t>
        </is>
      </c>
      <c r="P1203" s="7" t="inlineStr">
        <is>
          <t>CST 06</t>
        </is>
      </c>
      <c r="Q1203" s="7" t="inlineStr">
        <is>
          <t>CST 73</t>
        </is>
      </c>
      <c r="R1203" s="7" t="inlineStr">
        <is>
          <t>Redução de 60% + Diferimento (Art. 138 e Anexo IX LC 214/2025)</t>
        </is>
      </c>
    </row>
    <row r="1204" ht="22" customHeight="1">
      <c r="A1204" s="12" t="inlineStr">
        <is>
          <t>SKU-1200</t>
        </is>
      </c>
      <c r="B1204" s="11" t="n">
        <v>851</v>
      </c>
      <c r="C1204" s="13" t="inlineStr">
        <is>
          <t>SIPEAGRO (UF-XXXXX)</t>
        </is>
      </c>
      <c r="D1204" s="14" t="inlineStr">
        <is>
          <t>TERMOFOSFATO MAGNESIANO FUNDIDO (YOORIN)</t>
        </is>
      </c>
      <c r="E1204" s="13" t="inlineStr">
        <is>
          <t>Faixa 1 TIPI (Apresentação &lt;= 300 g ou mL)</t>
        </is>
      </c>
      <c r="F1204" s="13" t="inlineStr">
        <is>
          <t>Fracionado / Amostra &lt;= 0,3 KG</t>
        </is>
      </c>
      <c r="G1204" s="13" t="inlineStr">
        <is>
          <t>KG</t>
        </is>
      </c>
      <c r="H1204" s="18" t="n">
        <v>0.3</v>
      </c>
      <c r="I1204" s="13" t="inlineStr">
        <is>
          <t>3103.19.00</t>
        </is>
      </c>
      <c r="J1204" s="13" t="inlineStr">
        <is>
          <t>NÃO</t>
        </is>
      </c>
      <c r="K1204" s="13" t="inlineStr">
        <is>
          <t>Embalagem de Insumo Nutricional/Biológico (Logística Reversa)</t>
        </is>
      </c>
      <c r="L1204" s="13" t="inlineStr">
        <is>
          <t>NÃO</t>
        </is>
      </c>
      <c r="M1204" s="13" t="inlineStr">
        <is>
          <t>0,00% (Lei nº 10.925/2004)</t>
        </is>
      </c>
      <c r="N1204" s="13" t="inlineStr">
        <is>
          <t>0,925% (LC nº 224/2025)</t>
        </is>
      </c>
      <c r="O1204" s="13" t="inlineStr">
        <is>
          <t>0,365% (LC nº 224/2025)</t>
        </is>
      </c>
      <c r="P1204" s="13" t="inlineStr">
        <is>
          <t>CST 06</t>
        </is>
      </c>
      <c r="Q1204" s="13" t="inlineStr">
        <is>
          <t>CST 73</t>
        </is>
      </c>
      <c r="R1204" s="13" t="inlineStr">
        <is>
          <t>Redução de 60% + Diferimento (Art. 138 e Anexo IX LC 214/2025)</t>
        </is>
      </c>
    </row>
    <row r="1205" ht="22" customHeight="1">
      <c r="A1205" s="6" t="inlineStr">
        <is>
          <t>SKU-1201</t>
        </is>
      </c>
      <c r="B1205" s="5" t="n">
        <v>852</v>
      </c>
      <c r="C1205" s="7" t="inlineStr">
        <is>
          <t>SIPEAGRO (UF-XXXXX)</t>
        </is>
      </c>
      <c r="D1205" s="8" t="inlineStr">
        <is>
          <t>NITRATO DE AMONIO AGRICOLA (33% A 34% N) BIG BAG</t>
        </is>
      </c>
      <c r="E1205" s="7" t="inlineStr">
        <is>
          <t>Embalagem Comercial do Produto</t>
        </is>
      </c>
      <c r="F1205" s="7" t="inlineStr">
        <is>
          <t>1000KG (1000 KG)</t>
        </is>
      </c>
      <c r="G1205" s="7" t="inlineStr">
        <is>
          <t>KG</t>
        </is>
      </c>
      <c r="H1205" s="9" t="n">
        <v>1000</v>
      </c>
      <c r="I1205" s="7" t="inlineStr">
        <is>
          <t>3102.30.00</t>
        </is>
      </c>
      <c r="J1205" s="7" t="inlineStr">
        <is>
          <t>NÃO</t>
        </is>
      </c>
      <c r="K1205" s="7" t="inlineStr">
        <is>
          <t>Embalagem de Insumo Nutricional/Biológico (Logística Reversa)</t>
        </is>
      </c>
      <c r="L1205" s="7" t="inlineStr">
        <is>
          <t>NÃO</t>
        </is>
      </c>
      <c r="M1205" s="7" t="inlineStr">
        <is>
          <t>0,00% (Lei nº 10.925/2004)</t>
        </is>
      </c>
      <c r="N1205" s="7" t="inlineStr">
        <is>
          <t>0,925% (LC nº 224/2025)</t>
        </is>
      </c>
      <c r="O1205" s="7" t="inlineStr">
        <is>
          <t>0,365% (LC nº 224/2025)</t>
        </is>
      </c>
      <c r="P1205" s="7" t="inlineStr">
        <is>
          <t>CST 06</t>
        </is>
      </c>
      <c r="Q1205" s="7" t="inlineStr">
        <is>
          <t>CST 73</t>
        </is>
      </c>
      <c r="R1205" s="7" t="inlineStr">
        <is>
          <t>Redução de 60% + Diferimento (Art. 138 e Anexo IX LC 214/2025)</t>
        </is>
      </c>
    </row>
    <row r="1206" ht="22" customHeight="1">
      <c r="A1206" s="12" t="inlineStr">
        <is>
          <t>SKU-1202</t>
        </is>
      </c>
      <c r="B1206" s="11" t="n">
        <v>852</v>
      </c>
      <c r="C1206" s="13" t="inlineStr">
        <is>
          <t>SIPEAGRO (UF-XXXXX)</t>
        </is>
      </c>
      <c r="D1206" s="14" t="inlineStr">
        <is>
          <t>NITRATO DE AMONIO AGRICOLA (33% A 34% N) BIG BAG</t>
        </is>
      </c>
      <c r="E1206" s="13" t="inlineStr">
        <is>
          <t>Faixa 1 TIPI (Apresentação &lt;= 300 g ou mL)</t>
        </is>
      </c>
      <c r="F1206" s="13" t="inlineStr">
        <is>
          <t>Fracionado / Amostra &lt;= 0,3 KG</t>
        </is>
      </c>
      <c r="G1206" s="13" t="inlineStr">
        <is>
          <t>KG</t>
        </is>
      </c>
      <c r="H1206" s="18" t="n">
        <v>0.3</v>
      </c>
      <c r="I1206" s="13" t="inlineStr">
        <is>
          <t>3102.30.00</t>
        </is>
      </c>
      <c r="J1206" s="13" t="inlineStr">
        <is>
          <t>NÃO</t>
        </is>
      </c>
      <c r="K1206" s="13" t="inlineStr">
        <is>
          <t>Embalagem de Insumo Nutricional/Biológico (Logística Reversa)</t>
        </is>
      </c>
      <c r="L1206" s="13" t="inlineStr">
        <is>
          <t>NÃO</t>
        </is>
      </c>
      <c r="M1206" s="13" t="inlineStr">
        <is>
          <t>0,00% (Lei nº 10.925/2004)</t>
        </is>
      </c>
      <c r="N1206" s="13" t="inlineStr">
        <is>
          <t>0,925% (LC nº 224/2025)</t>
        </is>
      </c>
      <c r="O1206" s="13" t="inlineStr">
        <is>
          <t>0,365% (LC nº 224/2025)</t>
        </is>
      </c>
      <c r="P1206" s="13" t="inlineStr">
        <is>
          <t>CST 06</t>
        </is>
      </c>
      <c r="Q1206" s="13" t="inlineStr">
        <is>
          <t>CST 73</t>
        </is>
      </c>
      <c r="R1206" s="13" t="inlineStr">
        <is>
          <t>Redução de 60% + Diferimento (Art. 138 e Anexo IX LC 214/2025)</t>
        </is>
      </c>
    </row>
    <row r="1207" ht="22" customHeight="1">
      <c r="A1207" s="6" t="inlineStr">
        <is>
          <t>SKU-1203</t>
        </is>
      </c>
      <c r="B1207" s="5" t="n">
        <v>853</v>
      </c>
      <c r="C1207" s="7" t="inlineStr">
        <is>
          <t>SIPEAGRO (UF-XXXXX)</t>
        </is>
      </c>
      <c r="D1207" s="8" t="inlineStr">
        <is>
          <t>ACIDO BORICO TECNICO AGRICOLA (H3BO3 - 17% B)</t>
        </is>
      </c>
      <c r="E1207" s="7" t="inlineStr">
        <is>
          <t>Embalagem Comercial do Produto</t>
        </is>
      </c>
      <c r="F1207" s="7" t="inlineStr">
        <is>
          <t>1X25KG (25 KG)</t>
        </is>
      </c>
      <c r="G1207" s="7" t="inlineStr">
        <is>
          <t>KG</t>
        </is>
      </c>
      <c r="H1207" s="9" t="n">
        <v>25</v>
      </c>
      <c r="I1207" s="7" t="inlineStr">
        <is>
          <t>2810.00.10</t>
        </is>
      </c>
      <c r="J1207" s="7" t="inlineStr">
        <is>
          <t>NÃO</t>
        </is>
      </c>
      <c r="K1207" s="7" t="inlineStr">
        <is>
          <t>Embalagem de Insumo Nutricional/Biológico (Logística Reversa)</t>
        </is>
      </c>
      <c r="L1207" s="7" t="inlineStr">
        <is>
          <t>NÃO</t>
        </is>
      </c>
      <c r="M1207" s="7" t="inlineStr">
        <is>
          <t>0,00% (Lei nº 10.925/2004)</t>
        </is>
      </c>
      <c r="N1207" s="7" t="inlineStr">
        <is>
          <t>0,925% (LC nº 224/2025)</t>
        </is>
      </c>
      <c r="O1207" s="7" t="inlineStr">
        <is>
          <t>0,365% (LC nº 224/2025)</t>
        </is>
      </c>
      <c r="P1207" s="7" t="inlineStr">
        <is>
          <t>CST 06 (Uso Agrícola/Industrial)</t>
        </is>
      </c>
      <c r="Q1207" s="7" t="inlineStr">
        <is>
          <t>CST 73 (Revenda / Destinação)</t>
        </is>
      </c>
      <c r="R1207" s="7" t="inlineStr">
        <is>
          <t>Redução de 60% + Diferimento (Art. 138 LC 214/2025)</t>
        </is>
      </c>
    </row>
    <row r="1208" ht="22" customHeight="1">
      <c r="A1208" s="12" t="inlineStr">
        <is>
          <t>SKU-1204</t>
        </is>
      </c>
      <c r="B1208" s="11" t="n">
        <v>853</v>
      </c>
      <c r="C1208" s="13" t="inlineStr">
        <is>
          <t>SIPEAGRO (UF-XXXXX)</t>
        </is>
      </c>
      <c r="D1208" s="14" t="inlineStr">
        <is>
          <t>ACIDO BORICO TECNICO AGRICOLA (H3BO3 - 17% B)</t>
        </is>
      </c>
      <c r="E1208" s="13" t="inlineStr">
        <is>
          <t>Faixa 1 TIPI (Apresentação &lt;= 300 g ou mL)</t>
        </is>
      </c>
      <c r="F1208" s="13" t="inlineStr">
        <is>
          <t>Fracionado / Amostra &lt;= 0,3 KG</t>
        </is>
      </c>
      <c r="G1208" s="13" t="inlineStr">
        <is>
          <t>KG</t>
        </is>
      </c>
      <c r="H1208" s="18" t="n">
        <v>0.3</v>
      </c>
      <c r="I1208" s="13" t="inlineStr">
        <is>
          <t>3105.90.90</t>
        </is>
      </c>
      <c r="J1208" s="13" t="inlineStr">
        <is>
          <t>NÃO</t>
        </is>
      </c>
      <c r="K1208" s="13" t="inlineStr">
        <is>
          <t>Embalagem de Insumo Nutricional/Biológico (Logística Reversa)</t>
        </is>
      </c>
      <c r="L1208" s="13" t="inlineStr">
        <is>
          <t>NÃO</t>
        </is>
      </c>
      <c r="M1208" s="13" t="inlineStr">
        <is>
          <t>0,00% (Lei nº 10.925/2004)</t>
        </is>
      </c>
      <c r="N1208" s="13" t="inlineStr">
        <is>
          <t>0,925% (LC nº 224/2025)</t>
        </is>
      </c>
      <c r="O1208" s="13" t="inlineStr">
        <is>
          <t>0,365% (LC nº 224/2025)</t>
        </is>
      </c>
      <c r="P1208" s="13" t="inlineStr">
        <is>
          <t>CST 06 (Uso Agrícola/Industrial)</t>
        </is>
      </c>
      <c r="Q1208" s="13" t="inlineStr">
        <is>
          <t>CST 73 (Revenda / Destinação)</t>
        </is>
      </c>
      <c r="R1208" s="13" t="inlineStr">
        <is>
          <t>Redução de 60% + Diferimento (Art. 138 LC 214/2025)</t>
        </is>
      </c>
    </row>
    <row r="1209" ht="22" customHeight="1">
      <c r="A1209" s="6" t="inlineStr">
        <is>
          <t>SKU-1205</t>
        </is>
      </c>
      <c r="B1209" s="5" t="n">
        <v>854</v>
      </c>
      <c r="C1209" s="7" t="inlineStr">
        <is>
          <t>SIPEAGRO (UF-XXXXX)</t>
        </is>
      </c>
      <c r="D1209" s="8" t="inlineStr">
        <is>
          <t>SULFATO DE COBRE PENTAHIDRATADO AGRICOLA (25% CU)</t>
        </is>
      </c>
      <c r="E1209" s="7" t="inlineStr">
        <is>
          <t>Embalagem Comercial do Produto</t>
        </is>
      </c>
      <c r="F1209" s="7" t="inlineStr">
        <is>
          <t>1X25KG (25 KG)</t>
        </is>
      </c>
      <c r="G1209" s="7" t="inlineStr">
        <is>
          <t>KG</t>
        </is>
      </c>
      <c r="H1209" s="9" t="n">
        <v>25</v>
      </c>
      <c r="I1209" s="7" t="inlineStr">
        <is>
          <t>2833.25.10</t>
        </is>
      </c>
      <c r="J1209" s="7" t="inlineStr">
        <is>
          <t>NÃO</t>
        </is>
      </c>
      <c r="K1209" s="7" t="inlineStr">
        <is>
          <t>Embalagem de Insumo Nutricional/Biológico (Logística Reversa)</t>
        </is>
      </c>
      <c r="L1209" s="7" t="inlineStr">
        <is>
          <t>NÃO</t>
        </is>
      </c>
      <c r="M1209" s="7" t="inlineStr">
        <is>
          <t>0,00% (Lei nº 10.925/2004)</t>
        </is>
      </c>
      <c r="N1209" s="7" t="inlineStr">
        <is>
          <t>0,925% (LC nº 224/2025)</t>
        </is>
      </c>
      <c r="O1209" s="7" t="inlineStr">
        <is>
          <t>0,365% (LC nº 224/2025)</t>
        </is>
      </c>
      <c r="P1209" s="7" t="inlineStr">
        <is>
          <t>CST 06 (Uso Agrícola/Industrial)</t>
        </is>
      </c>
      <c r="Q1209" s="7" t="inlineStr">
        <is>
          <t>CST 73 (Revenda / Destinação)</t>
        </is>
      </c>
      <c r="R1209" s="7" t="inlineStr">
        <is>
          <t>Redução de 60% + Diferimento (Art. 138 LC 214/2025)</t>
        </is>
      </c>
    </row>
    <row r="1210" ht="22" customHeight="1">
      <c r="A1210" s="12" t="inlineStr">
        <is>
          <t>SKU-1206</t>
        </is>
      </c>
      <c r="B1210" s="11" t="n">
        <v>854</v>
      </c>
      <c r="C1210" s="13" t="inlineStr">
        <is>
          <t>SIPEAGRO (UF-XXXXX)</t>
        </is>
      </c>
      <c r="D1210" s="14" t="inlineStr">
        <is>
          <t>SULFATO DE COBRE PENTAHIDRATADO AGRICOLA (25% CU)</t>
        </is>
      </c>
      <c r="E1210" s="13" t="inlineStr">
        <is>
          <t>Faixa 1 TIPI (Apresentação &lt;= 300 g ou mL)</t>
        </is>
      </c>
      <c r="F1210" s="13" t="inlineStr">
        <is>
          <t>Fracionado / Amostra &lt;= 0,3 KG</t>
        </is>
      </c>
      <c r="G1210" s="13" t="inlineStr">
        <is>
          <t>KG</t>
        </is>
      </c>
      <c r="H1210" s="18" t="n">
        <v>0.3</v>
      </c>
      <c r="I1210" s="13" t="inlineStr">
        <is>
          <t>3105.90.90</t>
        </is>
      </c>
      <c r="J1210" s="13" t="inlineStr">
        <is>
          <t>NÃO</t>
        </is>
      </c>
      <c r="K1210" s="13" t="inlineStr">
        <is>
          <t>Embalagem de Insumo Nutricional/Biológico (Logística Reversa)</t>
        </is>
      </c>
      <c r="L1210" s="13" t="inlineStr">
        <is>
          <t>NÃO</t>
        </is>
      </c>
      <c r="M1210" s="13" t="inlineStr">
        <is>
          <t>0,00% (Lei nº 10.925/2004)</t>
        </is>
      </c>
      <c r="N1210" s="13" t="inlineStr">
        <is>
          <t>0,925% (LC nº 224/2025)</t>
        </is>
      </c>
      <c r="O1210" s="13" t="inlineStr">
        <is>
          <t>0,365% (LC nº 224/2025)</t>
        </is>
      </c>
      <c r="P1210" s="13" t="inlineStr">
        <is>
          <t>CST 06 (Uso Agrícola/Industrial)</t>
        </is>
      </c>
      <c r="Q1210" s="13" t="inlineStr">
        <is>
          <t>CST 73 (Revenda / Destinação)</t>
        </is>
      </c>
      <c r="R1210" s="13" t="inlineStr">
        <is>
          <t>Redução de 60% + Diferimento (Art. 138 LC 214/2025)</t>
        </is>
      </c>
    </row>
    <row r="1211" ht="22" customHeight="1">
      <c r="A1211" s="6" t="inlineStr">
        <is>
          <t>SKU-1207</t>
        </is>
      </c>
      <c r="B1211" s="5" t="n">
        <v>855</v>
      </c>
      <c r="C1211" s="7" t="inlineStr">
        <is>
          <t>SIPEAGRO (UF-XXXXX)</t>
        </is>
      </c>
      <c r="D1211" s="8" t="inlineStr">
        <is>
          <t>BIOMAPHOS INOCULANTE SOLUBILIZADOR DE FOSFORO</t>
        </is>
      </c>
      <c r="E1211" s="7" t="inlineStr">
        <is>
          <t>Embalagem Comercial do Produto</t>
        </is>
      </c>
      <c r="F1211" s="7" t="inlineStr">
        <is>
          <t>4X5L (5 L)</t>
        </is>
      </c>
      <c r="G1211" s="7" t="inlineStr">
        <is>
          <t>L</t>
        </is>
      </c>
      <c r="H1211" s="9" t="n">
        <v>5</v>
      </c>
      <c r="I1211" s="7" t="inlineStr">
        <is>
          <t>3002.49.99</t>
        </is>
      </c>
      <c r="J1211" s="7" t="inlineStr">
        <is>
          <t>NÃO</t>
        </is>
      </c>
      <c r="K1211" s="7" t="inlineStr">
        <is>
          <t>Embalagem de Insumo Nutricional/Biológico (Logística Reversa)</t>
        </is>
      </c>
      <c r="L1211" s="7" t="inlineStr">
        <is>
          <t>NÃO</t>
        </is>
      </c>
      <c r="M1211" s="7" t="inlineStr">
        <is>
          <t>9,25% Real | 3,65% Presumido</t>
        </is>
      </c>
      <c r="N1211" s="7" t="inlineStr">
        <is>
          <t>9,250% (Integral)</t>
        </is>
      </c>
      <c r="O1211" s="7" t="inlineStr">
        <is>
          <t>3,650% (Integral)</t>
        </is>
      </c>
      <c r="P1211" s="7" t="inlineStr">
        <is>
          <t>CST 01</t>
        </is>
      </c>
      <c r="Q1211" s="7" t="inlineStr">
        <is>
          <t>CST 50</t>
        </is>
      </c>
      <c r="R1211" s="7" t="inlineStr">
        <is>
          <t>Alíquota Padrão Integral (LC 214/2025)</t>
        </is>
      </c>
    </row>
    <row r="1212" ht="22" customHeight="1">
      <c r="A1212" s="12" t="inlineStr">
        <is>
          <t>SKU-1208</t>
        </is>
      </c>
      <c r="B1212" s="11" t="n">
        <v>855</v>
      </c>
      <c r="C1212" s="13" t="inlineStr">
        <is>
          <t>SIPEAGRO (UF-XXXXX)</t>
        </is>
      </c>
      <c r="D1212" s="14" t="inlineStr">
        <is>
          <t>BIOMAPHOS INOCULANTE SOLUBILIZADOR DE FOSFORO</t>
        </is>
      </c>
      <c r="E1212" s="13" t="inlineStr">
        <is>
          <t>Faixa 1 TIPI (Apresentação &lt;= 300 g ou mL)</t>
        </is>
      </c>
      <c r="F1212" s="13" t="inlineStr">
        <is>
          <t>Fracionado / Amostra &lt;= 0,3 L</t>
        </is>
      </c>
      <c r="G1212" s="13" t="inlineStr">
        <is>
          <t>L</t>
        </is>
      </c>
      <c r="H1212" s="18" t="n">
        <v>0.3</v>
      </c>
      <c r="I1212" s="13" t="inlineStr">
        <is>
          <t>3002.49.99</t>
        </is>
      </c>
      <c r="J1212" s="13" t="inlineStr">
        <is>
          <t>NÃO</t>
        </is>
      </c>
      <c r="K1212" s="13" t="inlineStr">
        <is>
          <t>Embalagem de Insumo Nutricional/Biológico (Logística Reversa)</t>
        </is>
      </c>
      <c r="L1212" s="13" t="inlineStr">
        <is>
          <t>NÃO</t>
        </is>
      </c>
      <c r="M1212" s="13" t="inlineStr">
        <is>
          <t>9,25% Real | 3,65% Presumido</t>
        </is>
      </c>
      <c r="N1212" s="13" t="inlineStr">
        <is>
          <t>9,250% (Integral)</t>
        </is>
      </c>
      <c r="O1212" s="13" t="inlineStr">
        <is>
          <t>3,650% (Integral)</t>
        </is>
      </c>
      <c r="P1212" s="13" t="inlineStr">
        <is>
          <t>CST 01</t>
        </is>
      </c>
      <c r="Q1212" s="13" t="inlineStr">
        <is>
          <t>CST 50</t>
        </is>
      </c>
      <c r="R1212" s="13" t="inlineStr">
        <is>
          <t>Alíquota Padrão Integral (LC 214/2025)</t>
        </is>
      </c>
    </row>
    <row r="1213" ht="22" customHeight="1">
      <c r="A1213" s="6" t="inlineStr">
        <is>
          <t>SKU-1209</t>
        </is>
      </c>
      <c r="B1213" s="5" t="n">
        <v>856</v>
      </c>
      <c r="C1213" s="7" t="inlineStr">
        <is>
          <t>Nº 16124</t>
        </is>
      </c>
      <c r="D1213" s="8" t="inlineStr">
        <is>
          <t>ALTO</t>
        </is>
      </c>
      <c r="E1213" s="7" t="inlineStr">
        <is>
          <t>Embalagem Comercial do Produto</t>
        </is>
      </c>
      <c r="F1213" s="7" t="inlineStr">
        <is>
          <t>GALÃO / BOMBONA 5L A 20L (PADRÃO COMERCIAL)</t>
        </is>
      </c>
      <c r="G1213" s="7" t="inlineStr">
        <is>
          <t>LT</t>
        </is>
      </c>
      <c r="H1213" s="9" t="n">
        <v>5</v>
      </c>
      <c r="I1213" s="7" t="inlineStr">
        <is>
          <t>3808.92.99</t>
        </is>
      </c>
      <c r="J1213" s="7" t="inlineStr">
        <is>
          <t>NÃO</t>
        </is>
      </c>
      <c r="K1213" s="7" t="inlineStr">
        <is>
          <t>Embalagem Rígida — LAVÁVEL (Obrigatória Tríplice Lavagem ou Pressão)</t>
        </is>
      </c>
      <c r="L1213" s="7" t="inlineStr">
        <is>
          <t>NÃO</t>
        </is>
      </c>
      <c r="M1213" s="7" t="inlineStr">
        <is>
          <t>0,00% (Lei nº 10.925/2004)</t>
        </is>
      </c>
      <c r="N1213" s="7" t="inlineStr">
        <is>
          <t>0,925% (LC nº 224/2025)</t>
        </is>
      </c>
      <c r="O1213" s="7" t="inlineStr">
        <is>
          <t>0,365% (LC nº 224/2025)</t>
        </is>
      </c>
      <c r="P1213" s="7" t="inlineStr">
        <is>
          <t>CST 06</t>
        </is>
      </c>
      <c r="Q1213" s="7" t="inlineStr">
        <is>
          <t>CST 73</t>
        </is>
      </c>
      <c r="R1213" s="7" t="inlineStr">
        <is>
          <t>Redução de 60% + Diferimento (Art. 138 e Anexo IX LC 214/2025)</t>
        </is>
      </c>
    </row>
    <row r="1214" ht="22" customHeight="1">
      <c r="A1214" s="12" t="inlineStr">
        <is>
          <t>SKU-1210</t>
        </is>
      </c>
      <c r="B1214" s="11" t="n">
        <v>857</v>
      </c>
      <c r="C1214" s="13" t="inlineStr">
        <is>
          <t>VINC-16124</t>
        </is>
      </c>
      <c r="D1214" s="14" t="inlineStr">
        <is>
          <t>Ciproconazol Técnico Syn</t>
        </is>
      </c>
      <c r="E1214" s="13" t="inlineStr">
        <is>
          <t>Embalagem Comercial do Produto</t>
        </is>
      </c>
      <c r="F1214" s="13" t="inlineStr">
        <is>
          <t>TAMBOR / BIG BAG INDUSTRIAL 250 KG</t>
        </is>
      </c>
      <c r="G1214" s="13" t="inlineStr">
        <is>
          <t>KG</t>
        </is>
      </c>
      <c r="H1214" s="15" t="n">
        <v>250</v>
      </c>
      <c r="I1214" s="13" t="inlineStr">
        <is>
          <t>3808.92.20</t>
        </is>
      </c>
      <c r="J1214" s="13" t="inlineStr">
        <is>
          <t>NÃO</t>
        </is>
      </c>
      <c r="K1214" s="13" t="inlineStr">
        <is>
          <t>Uso Industrial Exclusivo (PGRS / NBR 10004)</t>
        </is>
      </c>
      <c r="L1214" s="13" t="inlineStr">
        <is>
          <t>NÃO</t>
        </is>
      </c>
      <c r="M1214" s="13" t="inlineStr">
        <is>
          <t>0,00% (Lei nº 10.925/2004)</t>
        </is>
      </c>
      <c r="N1214" s="13" t="inlineStr">
        <is>
          <t>0,925% (LC nº 224/2025)</t>
        </is>
      </c>
      <c r="O1214" s="13" t="inlineStr">
        <is>
          <t>0,365% (LC nº 224/2025)</t>
        </is>
      </c>
      <c r="P1214" s="13" t="inlineStr">
        <is>
          <t>CST 06 (Uso Agrícola/Industrial)</t>
        </is>
      </c>
      <c r="Q1214" s="13" t="inlineStr">
        <is>
          <t>CST 73 (Revenda / Destinação)</t>
        </is>
      </c>
      <c r="R1214" s="13" t="inlineStr">
        <is>
          <t>Redução de 60% + Diferimento (Art. 138 LC 214/2025)</t>
        </is>
      </c>
    </row>
    <row r="1215" ht="22" customHeight="1">
      <c r="A1215" s="6" t="inlineStr">
        <is>
          <t>SKU-1211</t>
        </is>
      </c>
      <c r="B1215" s="5" t="n">
        <v>858</v>
      </c>
      <c r="C1215" s="7" t="inlineStr">
        <is>
          <t>VINC-16124</t>
        </is>
      </c>
      <c r="D1215" s="8" t="inlineStr">
        <is>
          <t>Cyproconazole Técnico</t>
        </is>
      </c>
      <c r="E1215" s="7" t="inlineStr">
        <is>
          <t>Embalagem Comercial do Produto</t>
        </is>
      </c>
      <c r="F1215" s="7" t="inlineStr">
        <is>
          <t>TAMBOR / BIG BAG INDUSTRIAL 250 KG</t>
        </is>
      </c>
      <c r="G1215" s="7" t="inlineStr">
        <is>
          <t>KG</t>
        </is>
      </c>
      <c r="H1215" s="9" t="n">
        <v>250</v>
      </c>
      <c r="I1215" s="7" t="inlineStr">
        <is>
          <t>3808.92.20</t>
        </is>
      </c>
      <c r="J1215" s="7" t="inlineStr">
        <is>
          <t>NÃO</t>
        </is>
      </c>
      <c r="K1215" s="7" t="inlineStr">
        <is>
          <t>Uso Industrial Exclusivo (PGRS / NBR 10004)</t>
        </is>
      </c>
      <c r="L1215" s="7" t="inlineStr">
        <is>
          <t>NÃO</t>
        </is>
      </c>
      <c r="M1215" s="7" t="inlineStr">
        <is>
          <t>0,00% (Lei nº 10.925/2004)</t>
        </is>
      </c>
      <c r="N1215" s="7" t="inlineStr">
        <is>
          <t>0,925% (LC nº 224/2025)</t>
        </is>
      </c>
      <c r="O1215" s="7" t="inlineStr">
        <is>
          <t>0,365% (LC nº 224/2025)</t>
        </is>
      </c>
      <c r="P1215" s="7" t="inlineStr">
        <is>
          <t>CST 06 (Uso Agrícola/Industrial)</t>
        </is>
      </c>
      <c r="Q1215" s="7" t="inlineStr">
        <is>
          <t>CST 73 (Revenda / Destinação)</t>
        </is>
      </c>
      <c r="R1215" s="7" t="inlineStr">
        <is>
          <t>Redução de 60% + Diferimento (Art. 138 LC 214/2025)</t>
        </is>
      </c>
    </row>
    <row r="1216" ht="22" customHeight="1">
      <c r="A1216" s="12" t="inlineStr">
        <is>
          <t>SKU-1212</t>
        </is>
      </c>
      <c r="B1216" s="11" t="n">
        <v>859</v>
      </c>
      <c r="C1216" s="13" t="inlineStr">
        <is>
          <t>Nº 16224</t>
        </is>
      </c>
      <c r="D1216" s="14" t="inlineStr">
        <is>
          <t>PEÃO 200 EC</t>
        </is>
      </c>
      <c r="E1216" s="13" t="inlineStr">
        <is>
          <t>Embalagem Comercial do Produto</t>
        </is>
      </c>
      <c r="F1216" s="13" t="inlineStr">
        <is>
          <t>GALÃO / BOMBONA 5L A 20L (PADRÃO COMERCIAL)</t>
        </is>
      </c>
      <c r="G1216" s="13" t="inlineStr">
        <is>
          <t>LT</t>
        </is>
      </c>
      <c r="H1216" s="15" t="n">
        <v>5</v>
      </c>
      <c r="I1216" s="13" t="inlineStr">
        <is>
          <t>3808.93.29</t>
        </is>
      </c>
      <c r="J1216" s="13" t="inlineStr">
        <is>
          <t>NÃO</t>
        </is>
      </c>
      <c r="K1216" s="13" t="inlineStr">
        <is>
          <t>Uso Industrial Exclusivo (PGRS / NBR 10004)</t>
        </is>
      </c>
      <c r="L1216" s="13" t="inlineStr">
        <is>
          <t>NÃO</t>
        </is>
      </c>
      <c r="M1216" s="13" t="inlineStr">
        <is>
          <t>0,00% (Lei nº 10.925/2004)</t>
        </is>
      </c>
      <c r="N1216" s="13" t="inlineStr">
        <is>
          <t>0,925% (LC nº 224/2025)</t>
        </is>
      </c>
      <c r="O1216" s="13" t="inlineStr">
        <is>
          <t>0,365% (LC nº 224/2025)</t>
        </is>
      </c>
      <c r="P1216" s="13" t="inlineStr">
        <is>
          <t>CST 06 (Uso Agrícola/Industrial)</t>
        </is>
      </c>
      <c r="Q1216" s="13" t="inlineStr">
        <is>
          <t>CST 73 (Revenda / Destinação)</t>
        </is>
      </c>
      <c r="R1216" s="13" t="inlineStr">
        <is>
          <t>Redução de 60% + Diferimento (Art. 138 LC 214/2025)</t>
        </is>
      </c>
    </row>
    <row r="1217" ht="22" customHeight="1">
      <c r="A1217" s="6" t="inlineStr">
        <is>
          <t>SKU-1213</t>
        </is>
      </c>
      <c r="B1217" s="5" t="n">
        <v>860</v>
      </c>
      <c r="C1217" s="7" t="inlineStr">
        <is>
          <t>VINC-16224</t>
        </is>
      </c>
      <c r="D1217" s="8" t="inlineStr">
        <is>
          <t>Fluroxipir Técnico CropChem</t>
        </is>
      </c>
      <c r="E1217" s="7" t="inlineStr">
        <is>
          <t>Embalagem Comercial do Produto</t>
        </is>
      </c>
      <c r="F1217" s="7" t="inlineStr">
        <is>
          <t>TAMBOR / BIG BAG INDUSTRIAL 250 KG</t>
        </is>
      </c>
      <c r="G1217" s="7" t="inlineStr">
        <is>
          <t>KG</t>
        </is>
      </c>
      <c r="H1217" s="9" t="n">
        <v>250</v>
      </c>
      <c r="I1217" s="7" t="inlineStr">
        <is>
          <t>3808.93.19</t>
        </is>
      </c>
      <c r="J1217" s="7" t="inlineStr">
        <is>
          <t>NÃO</t>
        </is>
      </c>
      <c r="K1217" s="7" t="inlineStr">
        <is>
          <t>Uso Industrial Exclusivo (PGRS / NBR 10004)</t>
        </is>
      </c>
      <c r="L1217" s="7" t="inlineStr">
        <is>
          <t>NÃO</t>
        </is>
      </c>
      <c r="M1217" s="7" t="inlineStr">
        <is>
          <t>0,00% (Lei nº 10.925/2004)</t>
        </is>
      </c>
      <c r="N1217" s="7" t="inlineStr">
        <is>
          <t>0,925% (LC nº 224/2025)</t>
        </is>
      </c>
      <c r="O1217" s="7" t="inlineStr">
        <is>
          <t>0,365% (LC nº 224/2025)</t>
        </is>
      </c>
      <c r="P1217" s="7" t="inlineStr">
        <is>
          <t>CST 06 (Uso Agrícola/Industrial)</t>
        </is>
      </c>
      <c r="Q1217" s="7" t="inlineStr">
        <is>
          <t>CST 73 (Revenda / Destinação)</t>
        </is>
      </c>
      <c r="R1217" s="7" t="inlineStr">
        <is>
          <t>Redução de 60% + Diferimento (Art. 138 LC 214/2025)</t>
        </is>
      </c>
    </row>
    <row r="1218" ht="22" customHeight="1">
      <c r="A1218" s="12" t="inlineStr">
        <is>
          <t>SKU-1214</t>
        </is>
      </c>
      <c r="B1218" s="11" t="n">
        <v>861</v>
      </c>
      <c r="C1218" s="13" t="inlineStr">
        <is>
          <t>Nº 16324</t>
        </is>
      </c>
      <c r="D1218" s="14" t="inlineStr">
        <is>
          <t>METRIBUZIM</t>
        </is>
      </c>
      <c r="E1218" s="13" t="inlineStr">
        <is>
          <t>Embalagem Comercial do Produto</t>
        </is>
      </c>
      <c r="F1218" s="13" t="inlineStr">
        <is>
          <t>GALÃO / BOMBONA 5L A 20L (PADRÃO COMERCIAL)</t>
        </is>
      </c>
      <c r="G1218" s="13" t="inlineStr">
        <is>
          <t>LT</t>
        </is>
      </c>
      <c r="H1218" s="15" t="n">
        <v>5</v>
      </c>
      <c r="I1218" s="13" t="inlineStr">
        <is>
          <t>3808.93.28</t>
        </is>
      </c>
      <c r="J1218" s="13" t="inlineStr">
        <is>
          <t>NÃO</t>
        </is>
      </c>
      <c r="K1218" s="13" t="inlineStr">
        <is>
          <t>Embalagem Rígida — LAVÁVEL (Obrigatória Tríplice Lavagem ou Pressão)</t>
        </is>
      </c>
      <c r="L1218" s="13" t="inlineStr">
        <is>
          <t>NÃO</t>
        </is>
      </c>
      <c r="M1218" s="13" t="inlineStr">
        <is>
          <t>0,00% (Lei nº 10.925/2004)</t>
        </is>
      </c>
      <c r="N1218" s="13" t="inlineStr">
        <is>
          <t>0,925% (LC nº 224/2025)</t>
        </is>
      </c>
      <c r="O1218" s="13" t="inlineStr">
        <is>
          <t>0,365% (LC nº 224/2025)</t>
        </is>
      </c>
      <c r="P1218" s="13" t="inlineStr">
        <is>
          <t>CST 06</t>
        </is>
      </c>
      <c r="Q1218" s="13" t="inlineStr">
        <is>
          <t>CST 73</t>
        </is>
      </c>
      <c r="R1218" s="13" t="inlineStr">
        <is>
          <t>Redução de 60% + Diferimento (Art. 138 e Anexo IX LC 214/2025)</t>
        </is>
      </c>
    </row>
    <row r="1219" ht="22" customHeight="1">
      <c r="A1219" s="6" t="inlineStr">
        <is>
          <t>SKU-1215</t>
        </is>
      </c>
      <c r="B1219" s="5" t="n">
        <v>862</v>
      </c>
      <c r="C1219" s="7" t="inlineStr">
        <is>
          <t>VINC-16324</t>
        </is>
      </c>
      <c r="D1219" s="8" t="inlineStr">
        <is>
          <t>Metribuzin Técnico Rallis</t>
        </is>
      </c>
      <c r="E1219" s="7" t="inlineStr">
        <is>
          <t>Embalagem Comercial do Produto</t>
        </is>
      </c>
      <c r="F1219" s="7" t="inlineStr">
        <is>
          <t>TAMBOR / BIG BAG INDUSTRIAL 250 KG</t>
        </is>
      </c>
      <c r="G1219" s="7" t="inlineStr">
        <is>
          <t>KG</t>
        </is>
      </c>
      <c r="H1219" s="9" t="n">
        <v>250</v>
      </c>
      <c r="I1219" s="7" t="inlineStr">
        <is>
          <t>3808.93.19</t>
        </is>
      </c>
      <c r="J1219" s="7" t="inlineStr">
        <is>
          <t>NÃO</t>
        </is>
      </c>
      <c r="K1219" s="7" t="inlineStr">
        <is>
          <t>Uso Industrial Exclusivo (PGRS / NBR 10004)</t>
        </is>
      </c>
      <c r="L1219" s="7" t="inlineStr">
        <is>
          <t>NÃO</t>
        </is>
      </c>
      <c r="M1219" s="7" t="inlineStr">
        <is>
          <t>0,00% (Lei nº 10.925/2004)</t>
        </is>
      </c>
      <c r="N1219" s="7" t="inlineStr">
        <is>
          <t>0,925% (LC nº 224/2025)</t>
        </is>
      </c>
      <c r="O1219" s="7" t="inlineStr">
        <is>
          <t>0,365% (LC nº 224/2025)</t>
        </is>
      </c>
      <c r="P1219" s="7" t="inlineStr">
        <is>
          <t>CST 06 (Uso Agrícola/Industrial)</t>
        </is>
      </c>
      <c r="Q1219" s="7" t="inlineStr">
        <is>
          <t>CST 73 (Revenda / Destinação)</t>
        </is>
      </c>
      <c r="R1219" s="7" t="inlineStr">
        <is>
          <t>Redução de 60% + Diferimento (Art. 138 LC 214/2025)</t>
        </is>
      </c>
    </row>
    <row r="1220" ht="22" customHeight="1">
      <c r="A1220" s="12" t="inlineStr">
        <is>
          <t>SKU-1216</t>
        </is>
      </c>
      <c r="B1220" s="11" t="n">
        <v>863</v>
      </c>
      <c r="C1220" s="13" t="inlineStr">
        <is>
          <t>Nº 16424</t>
        </is>
      </c>
      <c r="D1220" s="14" t="inlineStr">
        <is>
          <t>SOLEADO 50 WG</t>
        </is>
      </c>
      <c r="E1220" s="13" t="inlineStr">
        <is>
          <t>Embalagem Comercial do Produto</t>
        </is>
      </c>
      <c r="F1220" s="13" t="inlineStr">
        <is>
          <t>GALÃO / BOMBONA 5L A 20L (PADRÃO COMERCIAL)</t>
        </is>
      </c>
      <c r="G1220" s="13" t="inlineStr">
        <is>
          <t>KG</t>
        </is>
      </c>
      <c r="H1220" s="15" t="n">
        <v>5</v>
      </c>
      <c r="I1220" s="13" t="inlineStr">
        <is>
          <t>3808.92.99</t>
        </is>
      </c>
      <c r="J1220" s="13" t="inlineStr">
        <is>
          <t>NÃO</t>
        </is>
      </c>
      <c r="K1220" s="13" t="inlineStr">
        <is>
          <t>Uso Industrial Exclusivo (PGRS / NBR 10004)</t>
        </is>
      </c>
      <c r="L1220" s="13" t="inlineStr">
        <is>
          <t>NÃO</t>
        </is>
      </c>
      <c r="M1220" s="13" t="inlineStr">
        <is>
          <t>0,00% (Lei nº 10.925/2004)</t>
        </is>
      </c>
      <c r="N1220" s="13" t="inlineStr">
        <is>
          <t>0,925% (LC nº 224/2025)</t>
        </is>
      </c>
      <c r="O1220" s="13" t="inlineStr">
        <is>
          <t>0,365% (LC nº 224/2025)</t>
        </is>
      </c>
      <c r="P1220" s="13" t="inlineStr">
        <is>
          <t>CST 06 (Uso Agrícola/Industrial)</t>
        </is>
      </c>
      <c r="Q1220" s="13" t="inlineStr">
        <is>
          <t>CST 73 (Revenda / Destinação)</t>
        </is>
      </c>
      <c r="R1220" s="13" t="inlineStr">
        <is>
          <t>Redução de 60% + Diferimento (Art. 138 LC 214/2025)</t>
        </is>
      </c>
    </row>
    <row r="1221" ht="22" customHeight="1">
      <c r="A1221" s="6" t="inlineStr">
        <is>
          <t>SKU-1217</t>
        </is>
      </c>
      <c r="B1221" s="5" t="n">
        <v>864</v>
      </c>
      <c r="C1221" s="7" t="inlineStr">
        <is>
          <t>VINC-16424</t>
        </is>
      </c>
      <c r="D1221" s="8" t="inlineStr">
        <is>
          <t>Boscalid Técnico Oxon</t>
        </is>
      </c>
      <c r="E1221" s="7" t="inlineStr">
        <is>
          <t>Embalagem Comercial do Produto</t>
        </is>
      </c>
      <c r="F1221" s="7" t="inlineStr">
        <is>
          <t>TAMBOR / BIG BAG INDUSTRIAL 250 KG</t>
        </is>
      </c>
      <c r="G1221" s="7" t="inlineStr">
        <is>
          <t>KG</t>
        </is>
      </c>
      <c r="H1221" s="9" t="n">
        <v>250</v>
      </c>
      <c r="I1221" s="7" t="inlineStr">
        <is>
          <t>3808.92.20</t>
        </is>
      </c>
      <c r="J1221" s="7" t="inlineStr">
        <is>
          <t>NÃO</t>
        </is>
      </c>
      <c r="K1221" s="7" t="inlineStr">
        <is>
          <t>Uso Industrial Exclusivo (PGRS / NBR 10004)</t>
        </is>
      </c>
      <c r="L1221" s="7" t="inlineStr">
        <is>
          <t>NÃO</t>
        </is>
      </c>
      <c r="M1221" s="7" t="inlineStr">
        <is>
          <t>0,00% (Lei nº 10.925/2004)</t>
        </is>
      </c>
      <c r="N1221" s="7" t="inlineStr">
        <is>
          <t>0,925% (LC nº 224/2025)</t>
        </is>
      </c>
      <c r="O1221" s="7" t="inlineStr">
        <is>
          <t>0,365% (LC nº 224/2025)</t>
        </is>
      </c>
      <c r="P1221" s="7" t="inlineStr">
        <is>
          <t>CST 06 (Uso Agrícola/Industrial)</t>
        </is>
      </c>
      <c r="Q1221" s="7" t="inlineStr">
        <is>
          <t>CST 73 (Revenda / Destinação)</t>
        </is>
      </c>
      <c r="R1221" s="7" t="inlineStr">
        <is>
          <t>Redução de 60% + Diferimento (Art. 138 LC 214/2025)</t>
        </is>
      </c>
    </row>
    <row r="1222" ht="22" customHeight="1">
      <c r="A1222" s="12" t="inlineStr">
        <is>
          <t>SKU-1218</t>
        </is>
      </c>
      <c r="B1222" s="11" t="n">
        <v>865</v>
      </c>
      <c r="C1222" s="13" t="inlineStr">
        <is>
          <t>Nº 16524</t>
        </is>
      </c>
      <c r="D1222" s="14" t="inlineStr">
        <is>
          <t>ALLURE BR</t>
        </is>
      </c>
      <c r="E1222" s="13" t="inlineStr">
        <is>
          <t>Embalagem Comercial do Produto</t>
        </is>
      </c>
      <c r="F1222" s="13" t="inlineStr">
        <is>
          <t>SACARIA / EMBALAGEM FLEXÍVEL 5KG A 25KG (PADRÃO COMERCIAL)</t>
        </is>
      </c>
      <c r="G1222" s="13" t="inlineStr">
        <is>
          <t>KG</t>
        </is>
      </c>
      <c r="H1222" s="15" t="n">
        <v>5</v>
      </c>
      <c r="I1222" s="13" t="inlineStr">
        <is>
          <t>3808.93.29</t>
        </is>
      </c>
      <c r="J1222" s="13" t="inlineStr">
        <is>
          <t>NÃO</t>
        </is>
      </c>
      <c r="K1222" s="13" t="inlineStr">
        <is>
          <t>Embalagem Flexível — NÃO LAVÁVEL (Perfurar e usar saco ABNT)</t>
        </is>
      </c>
      <c r="L1222" s="13" t="inlineStr">
        <is>
          <t>SIM (Saco Transparente ABNT)</t>
        </is>
      </c>
      <c r="M1222" s="13" t="inlineStr">
        <is>
          <t>0,00% (Lei nº 10.925/2004)</t>
        </is>
      </c>
      <c r="N1222" s="13" t="inlineStr">
        <is>
          <t>0,925% (LC nº 224/2025)</t>
        </is>
      </c>
      <c r="O1222" s="13" t="inlineStr">
        <is>
          <t>0,365% (LC nº 224/2025)</t>
        </is>
      </c>
      <c r="P1222" s="13" t="inlineStr">
        <is>
          <t>CST 06 (Uso Agrícola/Industrial)</t>
        </is>
      </c>
      <c r="Q1222" s="13" t="inlineStr">
        <is>
          <t>CST 73 (Revenda / Destinação)</t>
        </is>
      </c>
      <c r="R1222" s="13" t="inlineStr">
        <is>
          <t>Redução de 60% + Diferimento (Art. 138 LC 214/2025)</t>
        </is>
      </c>
    </row>
    <row r="1223" ht="22" customHeight="1">
      <c r="A1223" s="6" t="inlineStr">
        <is>
          <t>SKU-1219</t>
        </is>
      </c>
      <c r="B1223" s="5" t="n">
        <v>866</v>
      </c>
      <c r="C1223" s="7" t="inlineStr">
        <is>
          <t>VINC-16524</t>
        </is>
      </c>
      <c r="D1223" s="8" t="inlineStr">
        <is>
          <t>Clomazone Técnico Milenia</t>
        </is>
      </c>
      <c r="E1223" s="7" t="inlineStr">
        <is>
          <t>Embalagem Comercial do Produto</t>
        </is>
      </c>
      <c r="F1223" s="7" t="inlineStr">
        <is>
          <t>TAMBOR / BIG BAG INDUSTRIAL 250 KG</t>
        </is>
      </c>
      <c r="G1223" s="7" t="inlineStr">
        <is>
          <t>KG</t>
        </is>
      </c>
      <c r="H1223" s="9" t="n">
        <v>250</v>
      </c>
      <c r="I1223" s="7" t="inlineStr">
        <is>
          <t>3808.93.19</t>
        </is>
      </c>
      <c r="J1223" s="7" t="inlineStr">
        <is>
          <t>NÃO</t>
        </is>
      </c>
      <c r="K1223" s="7" t="inlineStr">
        <is>
          <t>Uso Industrial Exclusivo (PGRS / NBR 10004)</t>
        </is>
      </c>
      <c r="L1223" s="7" t="inlineStr">
        <is>
          <t>NÃO</t>
        </is>
      </c>
      <c r="M1223" s="7" t="inlineStr">
        <is>
          <t>0,00% (Lei nº 10.925/2004)</t>
        </is>
      </c>
      <c r="N1223" s="7" t="inlineStr">
        <is>
          <t>0,925% (LC nº 224/2025)</t>
        </is>
      </c>
      <c r="O1223" s="7" t="inlineStr">
        <is>
          <t>0,365% (LC nº 224/2025)</t>
        </is>
      </c>
      <c r="P1223" s="7" t="inlineStr">
        <is>
          <t>CST 06 (Uso Agrícola/Industrial)</t>
        </is>
      </c>
      <c r="Q1223" s="7" t="inlineStr">
        <is>
          <t>CST 73 (Revenda / Destinação)</t>
        </is>
      </c>
      <c r="R1223" s="7" t="inlineStr">
        <is>
          <t>Redução de 60% + Diferimento (Art. 138 LC 214/2025)</t>
        </is>
      </c>
    </row>
    <row r="1224" ht="22" customHeight="1">
      <c r="A1224" s="12" t="inlineStr">
        <is>
          <t>SKU-1220</t>
        </is>
      </c>
      <c r="B1224" s="11" t="n">
        <v>867</v>
      </c>
      <c r="C1224" s="13" t="inlineStr">
        <is>
          <t>VINC-16524</t>
        </is>
      </c>
      <c r="D1224" s="14" t="inlineStr">
        <is>
          <t>Diuron Técnico 970 BR</t>
        </is>
      </c>
      <c r="E1224" s="13" t="inlineStr">
        <is>
          <t>Embalagem Comercial do Produto</t>
        </is>
      </c>
      <c r="F1224" s="13" t="inlineStr">
        <is>
          <t>TAMBOR / BIG BAG INDUSTRIAL 250 KG</t>
        </is>
      </c>
      <c r="G1224" s="13" t="inlineStr">
        <is>
          <t>KG</t>
        </is>
      </c>
      <c r="H1224" s="15" t="n">
        <v>250</v>
      </c>
      <c r="I1224" s="13" t="inlineStr">
        <is>
          <t>3808.93.19</t>
        </is>
      </c>
      <c r="J1224" s="13" t="inlineStr">
        <is>
          <t>NÃO</t>
        </is>
      </c>
      <c r="K1224" s="13" t="inlineStr">
        <is>
          <t>Uso Industrial Exclusivo (PGRS / NBR 10004)</t>
        </is>
      </c>
      <c r="L1224" s="13" t="inlineStr">
        <is>
          <t>NÃO</t>
        </is>
      </c>
      <c r="M1224" s="13" t="inlineStr">
        <is>
          <t>0,00% (Lei nº 10.925/2004)</t>
        </is>
      </c>
      <c r="N1224" s="13" t="inlineStr">
        <is>
          <t>0,925% (LC nº 224/2025)</t>
        </is>
      </c>
      <c r="O1224" s="13" t="inlineStr">
        <is>
          <t>0,365% (LC nº 224/2025)</t>
        </is>
      </c>
      <c r="P1224" s="13" t="inlineStr">
        <is>
          <t>CST 06 (Uso Agrícola/Industrial)</t>
        </is>
      </c>
      <c r="Q1224" s="13" t="inlineStr">
        <is>
          <t>CST 73 (Revenda / Destinação)</t>
        </is>
      </c>
      <c r="R1224" s="13" t="inlineStr">
        <is>
          <t>Redução de 60% + Diferimento (Art. 138 LC 214/2025)</t>
        </is>
      </c>
    </row>
    <row r="1225" ht="22" customHeight="1">
      <c r="A1225" s="6" t="inlineStr">
        <is>
          <t>SKU-1221</t>
        </is>
      </c>
      <c r="B1225" s="5" t="n">
        <v>868</v>
      </c>
      <c r="C1225" s="7" t="inlineStr">
        <is>
          <t>VINC-16524</t>
        </is>
      </c>
      <c r="D1225" s="8" t="inlineStr">
        <is>
          <t>Hexazinona Técnico Milenia</t>
        </is>
      </c>
      <c r="E1225" s="7" t="inlineStr">
        <is>
          <t>Embalagem Comercial do Produto</t>
        </is>
      </c>
      <c r="F1225" s="7" t="inlineStr">
        <is>
          <t>TAMBOR / BIG BAG INDUSTRIAL 250 KG</t>
        </is>
      </c>
      <c r="G1225" s="7" t="inlineStr">
        <is>
          <t>KG</t>
        </is>
      </c>
      <c r="H1225" s="9" t="n">
        <v>250</v>
      </c>
      <c r="I1225" s="7" t="inlineStr">
        <is>
          <t>3808.93.19</t>
        </is>
      </c>
      <c r="J1225" s="7" t="inlineStr">
        <is>
          <t>NÃO</t>
        </is>
      </c>
      <c r="K1225" s="7" t="inlineStr">
        <is>
          <t>Uso Industrial Exclusivo (PGRS / NBR 10004)</t>
        </is>
      </c>
      <c r="L1225" s="7" t="inlineStr">
        <is>
          <t>NÃO</t>
        </is>
      </c>
      <c r="M1225" s="7" t="inlineStr">
        <is>
          <t>0,00% (Lei nº 10.925/2004)</t>
        </is>
      </c>
      <c r="N1225" s="7" t="inlineStr">
        <is>
          <t>0,925% (LC nº 224/2025)</t>
        </is>
      </c>
      <c r="O1225" s="7" t="inlineStr">
        <is>
          <t>0,365% (LC nº 224/2025)</t>
        </is>
      </c>
      <c r="P1225" s="7" t="inlineStr">
        <is>
          <t>CST 06 (Uso Agrícola/Industrial)</t>
        </is>
      </c>
      <c r="Q1225" s="7" t="inlineStr">
        <is>
          <t>CST 73 (Revenda / Destinação)</t>
        </is>
      </c>
      <c r="R1225" s="7" t="inlineStr">
        <is>
          <t>Redução de 60% + Diferimento (Art. 138 LC 214/2025)</t>
        </is>
      </c>
    </row>
    <row r="1226" ht="22" customHeight="1">
      <c r="A1226" s="12" t="inlineStr">
        <is>
          <t>SKU-1222</t>
        </is>
      </c>
      <c r="B1226" s="11" t="n">
        <v>869</v>
      </c>
      <c r="C1226" s="13" t="inlineStr">
        <is>
          <t>VINC-16524</t>
        </is>
      </c>
      <c r="D1226" s="14" t="inlineStr">
        <is>
          <t>Hexazinona Técnico Milenia BR</t>
        </is>
      </c>
      <c r="E1226" s="13" t="inlineStr">
        <is>
          <t>Embalagem Comercial do Produto</t>
        </is>
      </c>
      <c r="F1226" s="13" t="inlineStr">
        <is>
          <t>TAMBOR / BIG BAG INDUSTRIAL 250 KG</t>
        </is>
      </c>
      <c r="G1226" s="13" t="inlineStr">
        <is>
          <t>KG</t>
        </is>
      </c>
      <c r="H1226" s="15" t="n">
        <v>250</v>
      </c>
      <c r="I1226" s="13" t="inlineStr">
        <is>
          <t>3808.93.19</t>
        </is>
      </c>
      <c r="J1226" s="13" t="inlineStr">
        <is>
          <t>NÃO</t>
        </is>
      </c>
      <c r="K1226" s="13" t="inlineStr">
        <is>
          <t>Uso Industrial Exclusivo (PGRS / NBR 10004)</t>
        </is>
      </c>
      <c r="L1226" s="13" t="inlineStr">
        <is>
          <t>NÃO</t>
        </is>
      </c>
      <c r="M1226" s="13" t="inlineStr">
        <is>
          <t>0,00% (Lei nº 10.925/2004)</t>
        </is>
      </c>
      <c r="N1226" s="13" t="inlineStr">
        <is>
          <t>0,925% (LC nº 224/2025)</t>
        </is>
      </c>
      <c r="O1226" s="13" t="inlineStr">
        <is>
          <t>0,365% (LC nº 224/2025)</t>
        </is>
      </c>
      <c r="P1226" s="13" t="inlineStr">
        <is>
          <t>CST 06 (Uso Agrícola/Industrial)</t>
        </is>
      </c>
      <c r="Q1226" s="13" t="inlineStr">
        <is>
          <t>CST 73 (Revenda / Destinação)</t>
        </is>
      </c>
      <c r="R1226" s="13" t="inlineStr">
        <is>
          <t>Redução de 60% + Diferimento (Art. 138 LC 214/2025)</t>
        </is>
      </c>
    </row>
    <row r="1227" ht="22" customHeight="1">
      <c r="A1227" s="6" t="inlineStr">
        <is>
          <t>SKU-1223</t>
        </is>
      </c>
      <c r="B1227" s="5" t="n">
        <v>870</v>
      </c>
      <c r="C1227" s="7" t="inlineStr">
        <is>
          <t>VINC-16524</t>
        </is>
      </c>
      <c r="D1227" s="8" t="inlineStr">
        <is>
          <t>Hexazinona Técnico Adama BR</t>
        </is>
      </c>
      <c r="E1227" s="7" t="inlineStr">
        <is>
          <t>Embalagem Comercial do Produto</t>
        </is>
      </c>
      <c r="F1227" s="7" t="inlineStr">
        <is>
          <t>TAMBOR / BIG BAG INDUSTRIAL 250 KG</t>
        </is>
      </c>
      <c r="G1227" s="7" t="inlineStr">
        <is>
          <t>KG</t>
        </is>
      </c>
      <c r="H1227" s="9" t="n">
        <v>250</v>
      </c>
      <c r="I1227" s="7" t="inlineStr">
        <is>
          <t>3808.93.19</t>
        </is>
      </c>
      <c r="J1227" s="7" t="inlineStr">
        <is>
          <t>NÃO</t>
        </is>
      </c>
      <c r="K1227" s="7" t="inlineStr">
        <is>
          <t>Uso Industrial Exclusivo (PGRS / NBR 10004)</t>
        </is>
      </c>
      <c r="L1227" s="7" t="inlineStr">
        <is>
          <t>NÃO</t>
        </is>
      </c>
      <c r="M1227" s="7" t="inlineStr">
        <is>
          <t>0,00% (Lei nº 10.925/2004)</t>
        </is>
      </c>
      <c r="N1227" s="7" t="inlineStr">
        <is>
          <t>0,925% (LC nº 224/2025)</t>
        </is>
      </c>
      <c r="O1227" s="7" t="inlineStr">
        <is>
          <t>0,365% (LC nº 224/2025)</t>
        </is>
      </c>
      <c r="P1227" s="7" t="inlineStr">
        <is>
          <t>CST 06 (Uso Agrícola/Industrial)</t>
        </is>
      </c>
      <c r="Q1227" s="7" t="inlineStr">
        <is>
          <t>CST 73 (Revenda / Destinação)</t>
        </is>
      </c>
      <c r="R1227" s="7" t="inlineStr">
        <is>
          <t>Redução de 60% + Diferimento (Art. 138 LC 214/2025)</t>
        </is>
      </c>
    </row>
    <row r="1228" ht="22" customHeight="1">
      <c r="A1228" s="12" t="inlineStr">
        <is>
          <t>SKU-1224</t>
        </is>
      </c>
      <c r="B1228" s="11" t="n">
        <v>871</v>
      </c>
      <c r="C1228" s="13" t="inlineStr">
        <is>
          <t>Nº 16624</t>
        </is>
      </c>
      <c r="D1228" s="14" t="inlineStr">
        <is>
          <t>TIOFANIL SNB</t>
        </is>
      </c>
      <c r="E1228" s="13" t="inlineStr">
        <is>
          <t>Embalagem Comercial do Produto</t>
        </is>
      </c>
      <c r="F1228" s="13" t="inlineStr">
        <is>
          <t>GALÃO / BOMBONA 5L A 20L (PADRÃO COMERCIAL)</t>
        </is>
      </c>
      <c r="G1228" s="13" t="inlineStr">
        <is>
          <t>LT</t>
        </is>
      </c>
      <c r="H1228" s="15" t="n">
        <v>5</v>
      </c>
      <c r="I1228" s="13" t="inlineStr">
        <is>
          <t>3808.92.99</t>
        </is>
      </c>
      <c r="J1228" s="13" t="inlineStr">
        <is>
          <t>NÃO</t>
        </is>
      </c>
      <c r="K1228" s="13" t="inlineStr">
        <is>
          <t>Embalagem Rígida — LAVÁVEL (Obrigatória Tríplice Lavagem ou Pressão)</t>
        </is>
      </c>
      <c r="L1228" s="13" t="inlineStr">
        <is>
          <t>NÃO</t>
        </is>
      </c>
      <c r="M1228" s="13" t="inlineStr">
        <is>
          <t>0,00% (Lei nº 10.925/2004)</t>
        </is>
      </c>
      <c r="N1228" s="13" t="inlineStr">
        <is>
          <t>0,925% (LC nº 224/2025)</t>
        </is>
      </c>
      <c r="O1228" s="13" t="inlineStr">
        <is>
          <t>0,365% (LC nº 224/2025)</t>
        </is>
      </c>
      <c r="P1228" s="13" t="inlineStr">
        <is>
          <t>CST 06</t>
        </is>
      </c>
      <c r="Q1228" s="13" t="inlineStr">
        <is>
          <t>CST 73</t>
        </is>
      </c>
      <c r="R1228" s="13" t="inlineStr">
        <is>
          <t>Redução de 60% + Diferimento (Art. 138 e Anexo IX LC 214/2025)</t>
        </is>
      </c>
    </row>
    <row r="1229" ht="22" customHeight="1">
      <c r="A1229" s="6" t="inlineStr">
        <is>
          <t>SKU-1225</t>
        </is>
      </c>
      <c r="B1229" s="5" t="n">
        <v>872</v>
      </c>
      <c r="C1229" s="7" t="inlineStr">
        <is>
          <t>VINC-16624</t>
        </is>
      </c>
      <c r="D1229" s="8" t="inlineStr">
        <is>
          <t>Clorotalonil Técnico Oxon</t>
        </is>
      </c>
      <c r="E1229" s="7" t="inlineStr">
        <is>
          <t>Embalagem Comercial do Produto</t>
        </is>
      </c>
      <c r="F1229" s="7" t="inlineStr">
        <is>
          <t>TAMBOR / BIG BAG INDUSTRIAL 250 KG</t>
        </is>
      </c>
      <c r="G1229" s="7" t="inlineStr">
        <is>
          <t>KG</t>
        </is>
      </c>
      <c r="H1229" s="9" t="n">
        <v>250</v>
      </c>
      <c r="I1229" s="7" t="inlineStr">
        <is>
          <t>3808.92.20</t>
        </is>
      </c>
      <c r="J1229" s="7" t="inlineStr">
        <is>
          <t>NÃO</t>
        </is>
      </c>
      <c r="K1229" s="7" t="inlineStr">
        <is>
          <t>Uso Industrial Exclusivo (PGRS / NBR 10004)</t>
        </is>
      </c>
      <c r="L1229" s="7" t="inlineStr">
        <is>
          <t>NÃO</t>
        </is>
      </c>
      <c r="M1229" s="7" t="inlineStr">
        <is>
          <t>0,00% (Lei nº 10.925/2004)</t>
        </is>
      </c>
      <c r="N1229" s="7" t="inlineStr">
        <is>
          <t>0,925% (LC nº 224/2025)</t>
        </is>
      </c>
      <c r="O1229" s="7" t="inlineStr">
        <is>
          <t>0,365% (LC nº 224/2025)</t>
        </is>
      </c>
      <c r="P1229" s="7" t="inlineStr">
        <is>
          <t>CST 06 (Uso Agrícola/Industrial)</t>
        </is>
      </c>
      <c r="Q1229" s="7" t="inlineStr">
        <is>
          <t>CST 73 (Revenda / Destinação)</t>
        </is>
      </c>
      <c r="R1229" s="7" t="inlineStr">
        <is>
          <t>Redução de 60% + Diferimento (Art. 138 LC 214/2025)</t>
        </is>
      </c>
    </row>
    <row r="1230" ht="22" customHeight="1">
      <c r="A1230" s="12" t="inlineStr">
        <is>
          <t>SKU-1226</t>
        </is>
      </c>
      <c r="B1230" s="11" t="n">
        <v>873</v>
      </c>
      <c r="C1230" s="13" t="inlineStr">
        <is>
          <t>Nº 16724</t>
        </is>
      </c>
      <c r="D1230" s="14" t="inlineStr">
        <is>
          <t>FLUAZINAM LOVELAND</t>
        </is>
      </c>
      <c r="E1230" s="13" t="inlineStr">
        <is>
          <t>Embalagem Comercial do Produto</t>
        </is>
      </c>
      <c r="F1230" s="13" t="inlineStr">
        <is>
          <t>GALÃO / BOMBONA 5L A 20L (PADRÃO COMERCIAL)</t>
        </is>
      </c>
      <c r="G1230" s="13" t="inlineStr">
        <is>
          <t>LT</t>
        </is>
      </c>
      <c r="H1230" s="15" t="n">
        <v>5</v>
      </c>
      <c r="I1230" s="13" t="inlineStr">
        <is>
          <t>2933.39.19</t>
        </is>
      </c>
      <c r="J1230" s="13" t="inlineStr">
        <is>
          <t>NÃO</t>
        </is>
      </c>
      <c r="K1230" s="13" t="inlineStr">
        <is>
          <t>Uso Industrial Exclusivo (PGRS / NBR 10004)</t>
        </is>
      </c>
      <c r="L1230" s="13" t="inlineStr">
        <is>
          <t>NÃO</t>
        </is>
      </c>
      <c r="M1230" s="13" t="inlineStr">
        <is>
          <t>0,00% (Lei nº 10.925/2004)</t>
        </is>
      </c>
      <c r="N1230" s="13" t="inlineStr">
        <is>
          <t>0,925% (LC nº 224/2025)</t>
        </is>
      </c>
      <c r="O1230" s="13" t="inlineStr">
        <is>
          <t>0,365% (LC nº 224/2025)</t>
        </is>
      </c>
      <c r="P1230" s="13" t="inlineStr">
        <is>
          <t>CST 06 (Uso Agrícola/Industrial)</t>
        </is>
      </c>
      <c r="Q1230" s="13" t="inlineStr">
        <is>
          <t>CST 73 (Revenda / Destinação)</t>
        </is>
      </c>
      <c r="R1230" s="13" t="inlineStr">
        <is>
          <t>Redução de 60% + Diferimento (Art. 138 LC 214/2025)</t>
        </is>
      </c>
    </row>
    <row r="1231" ht="22" customHeight="1">
      <c r="A1231" s="6" t="inlineStr">
        <is>
          <t>SKU-1227</t>
        </is>
      </c>
      <c r="B1231" s="5" t="n">
        <v>874</v>
      </c>
      <c r="C1231" s="7" t="inlineStr">
        <is>
          <t>VINC-16724</t>
        </is>
      </c>
      <c r="D1231" s="8" t="inlineStr">
        <is>
          <t>Fluazinam Técnico Loveland</t>
        </is>
      </c>
      <c r="E1231" s="7" t="inlineStr">
        <is>
          <t>Embalagem Comercial do Produto</t>
        </is>
      </c>
      <c r="F1231" s="7" t="inlineStr">
        <is>
          <t>TAMBOR / BIG BAG INDUSTRIAL 250 KG</t>
        </is>
      </c>
      <c r="G1231" s="7" t="inlineStr">
        <is>
          <t>KG</t>
        </is>
      </c>
      <c r="H1231" s="9" t="n">
        <v>250</v>
      </c>
      <c r="I1231" s="7" t="inlineStr">
        <is>
          <t>3808.92.20</t>
        </is>
      </c>
      <c r="J1231" s="7" t="inlineStr">
        <is>
          <t>NÃO</t>
        </is>
      </c>
      <c r="K1231" s="7" t="inlineStr">
        <is>
          <t>Uso Industrial Exclusivo (PGRS / NBR 10004)</t>
        </is>
      </c>
      <c r="L1231" s="7" t="inlineStr">
        <is>
          <t>NÃO</t>
        </is>
      </c>
      <c r="M1231" s="7" t="inlineStr">
        <is>
          <t>0,00% (Lei nº 10.925/2004)</t>
        </is>
      </c>
      <c r="N1231" s="7" t="inlineStr">
        <is>
          <t>0,925% (LC nº 224/2025)</t>
        </is>
      </c>
      <c r="O1231" s="7" t="inlineStr">
        <is>
          <t>0,365% (LC nº 224/2025)</t>
        </is>
      </c>
      <c r="P1231" s="7" t="inlineStr">
        <is>
          <t>CST 06 (Uso Agrícola/Industrial)</t>
        </is>
      </c>
      <c r="Q1231" s="7" t="inlineStr">
        <is>
          <t>CST 73 (Revenda / Destinação)</t>
        </is>
      </c>
      <c r="R1231" s="7" t="inlineStr">
        <is>
          <t>Redução de 60% + Diferimento (Art. 138 LC 214/2025)</t>
        </is>
      </c>
    </row>
    <row r="1232" ht="22" customHeight="1">
      <c r="A1232" s="12" t="inlineStr">
        <is>
          <t>SKU-1228</t>
        </is>
      </c>
      <c r="B1232" s="11" t="n">
        <v>875</v>
      </c>
      <c r="C1232" s="13" t="inlineStr">
        <is>
          <t>Nº 16824</t>
        </is>
      </c>
      <c r="D1232" s="14" t="inlineStr">
        <is>
          <t>TROIA 750 WG</t>
        </is>
      </c>
      <c r="E1232" s="13" t="inlineStr">
        <is>
          <t>Embalagem Comercial do Produto</t>
        </is>
      </c>
      <c r="F1232" s="13" t="inlineStr">
        <is>
          <t>GALÃO / BOMBONA 5L A 20L (PADRÃO COMERCIAL)</t>
        </is>
      </c>
      <c r="G1232" s="13" t="inlineStr">
        <is>
          <t>KG</t>
        </is>
      </c>
      <c r="H1232" s="15" t="n">
        <v>5</v>
      </c>
      <c r="I1232" s="13" t="inlineStr">
        <is>
          <t>3808.92.93</t>
        </is>
      </c>
      <c r="J1232" s="13" t="inlineStr">
        <is>
          <t>NÃO</t>
        </is>
      </c>
      <c r="K1232" s="13" t="inlineStr">
        <is>
          <t>Embalagem Flexível — NÃO LAVÁVEL (Perfurar e usar saco ABNT)</t>
        </is>
      </c>
      <c r="L1232" s="13" t="inlineStr">
        <is>
          <t>SIM (Saco Transparente ABNT)</t>
        </is>
      </c>
      <c r="M1232" s="13" t="inlineStr">
        <is>
          <t>0,00% (Lei nº 10.925/2004)</t>
        </is>
      </c>
      <c r="N1232" s="13" t="inlineStr">
        <is>
          <t>0,925% (LC nº 224/2025)</t>
        </is>
      </c>
      <c r="O1232" s="13" t="inlineStr">
        <is>
          <t>0,365% (LC nº 224/2025)</t>
        </is>
      </c>
      <c r="P1232" s="13" t="inlineStr">
        <is>
          <t>CST 06</t>
        </is>
      </c>
      <c r="Q1232" s="13" t="inlineStr">
        <is>
          <t>CST 73</t>
        </is>
      </c>
      <c r="R1232" s="13" t="inlineStr">
        <is>
          <t>Redução de 60% + Diferimento (Art. 138 e Anexo IX LC 214/2025)</t>
        </is>
      </c>
    </row>
    <row r="1233" ht="22" customHeight="1">
      <c r="A1233" s="6" t="inlineStr">
        <is>
          <t>SKU-1229</t>
        </is>
      </c>
      <c r="B1233" s="5" t="n">
        <v>876</v>
      </c>
      <c r="C1233" s="7" t="inlineStr">
        <is>
          <t>VINC-16824</t>
        </is>
      </c>
      <c r="D1233" s="8" t="inlineStr">
        <is>
          <t>Mancozeb Técnico Sumitomo</t>
        </is>
      </c>
      <c r="E1233" s="7" t="inlineStr">
        <is>
          <t>Embalagem Comercial do Produto</t>
        </is>
      </c>
      <c r="F1233" s="7" t="inlineStr">
        <is>
          <t>TAMBOR / BIG BAG INDUSTRIAL 250 KG</t>
        </is>
      </c>
      <c r="G1233" s="7" t="inlineStr">
        <is>
          <t>KG</t>
        </is>
      </c>
      <c r="H1233" s="9" t="n">
        <v>250</v>
      </c>
      <c r="I1233" s="7" t="inlineStr">
        <is>
          <t>3808.92.20</t>
        </is>
      </c>
      <c r="J1233" s="7" t="inlineStr">
        <is>
          <t>NÃO</t>
        </is>
      </c>
      <c r="K1233" s="7" t="inlineStr">
        <is>
          <t>Uso Industrial Exclusivo (PGRS / NBR 10004)</t>
        </is>
      </c>
      <c r="L1233" s="7" t="inlineStr">
        <is>
          <t>NÃO</t>
        </is>
      </c>
      <c r="M1233" s="7" t="inlineStr">
        <is>
          <t>0,00% (Lei nº 10.925/2004)</t>
        </is>
      </c>
      <c r="N1233" s="7" t="inlineStr">
        <is>
          <t>0,925% (LC nº 224/2025)</t>
        </is>
      </c>
      <c r="O1233" s="7" t="inlineStr">
        <is>
          <t>0,365% (LC nº 224/2025)</t>
        </is>
      </c>
      <c r="P1233" s="7" t="inlineStr">
        <is>
          <t>CST 06 (Uso Agrícola/Industrial)</t>
        </is>
      </c>
      <c r="Q1233" s="7" t="inlineStr">
        <is>
          <t>CST 73 (Revenda / Destinação)</t>
        </is>
      </c>
      <c r="R1233" s="7" t="inlineStr">
        <is>
          <t>Redução de 60% + Diferimento (Art. 138 LC 214/2025)</t>
        </is>
      </c>
    </row>
    <row r="1234" ht="22" customHeight="1">
      <c r="A1234" s="12" t="inlineStr">
        <is>
          <t>SKU-1230</t>
        </is>
      </c>
      <c r="B1234" s="11" t="n">
        <v>877</v>
      </c>
      <c r="C1234" s="13" t="inlineStr">
        <is>
          <t>Nº 16924</t>
        </is>
      </c>
      <c r="D1234" s="14" t="inlineStr">
        <is>
          <t>PRIMEPLUS</t>
        </is>
      </c>
      <c r="E1234" s="13" t="inlineStr">
        <is>
          <t>Embalagem Comercial do Produto</t>
        </is>
      </c>
      <c r="F1234" s="13" t="inlineStr">
        <is>
          <t>GALÃO / BOMBONA 5L A 20L (PADRÃO COMERCIAL)</t>
        </is>
      </c>
      <c r="G1234" s="13" t="inlineStr">
        <is>
          <t>LT</t>
        </is>
      </c>
      <c r="H1234" s="15" t="n">
        <v>5</v>
      </c>
      <c r="I1234" s="13" t="inlineStr">
        <is>
          <t>3808.93.59</t>
        </is>
      </c>
      <c r="J1234" s="13" t="inlineStr">
        <is>
          <t>NÃO</t>
        </is>
      </c>
      <c r="K1234" s="13" t="inlineStr">
        <is>
          <t>Embalagem Rígida — LAVÁVEL (Obrigatória Tríplice Lavagem ou Pressão)</t>
        </is>
      </c>
      <c r="L1234" s="13" t="inlineStr">
        <is>
          <t>NÃO</t>
        </is>
      </c>
      <c r="M1234" s="13" t="inlineStr">
        <is>
          <t>0,00% (Lei nº 10.925/2004)</t>
        </is>
      </c>
      <c r="N1234" s="13" t="inlineStr">
        <is>
          <t>0,925% (LC nº 224/2025)</t>
        </is>
      </c>
      <c r="O1234" s="13" t="inlineStr">
        <is>
          <t>0,365% (LC nº 224/2025)</t>
        </is>
      </c>
      <c r="P1234" s="13" t="inlineStr">
        <is>
          <t>CST 06</t>
        </is>
      </c>
      <c r="Q1234" s="13" t="inlineStr">
        <is>
          <t>CST 73</t>
        </is>
      </c>
      <c r="R1234" s="13" t="inlineStr">
        <is>
          <t>Redução de 60% + Diferimento (Art. 138 e Anexo IX LC 214/2025)</t>
        </is>
      </c>
    </row>
    <row r="1235" ht="22" customHeight="1">
      <c r="A1235" s="6" t="inlineStr">
        <is>
          <t>SKU-1231</t>
        </is>
      </c>
      <c r="B1235" s="5" t="n">
        <v>878</v>
      </c>
      <c r="C1235" s="7" t="inlineStr">
        <is>
          <t>VINC-16924</t>
        </is>
      </c>
      <c r="D1235" s="8" t="inlineStr">
        <is>
          <t>Flumetralin Técnico Syngenta</t>
        </is>
      </c>
      <c r="E1235" s="7" t="inlineStr">
        <is>
          <t>Embalagem Comercial do Produto</t>
        </is>
      </c>
      <c r="F1235" s="7" t="inlineStr">
        <is>
          <t>TAMBOR / BIG BAG INDUSTRIAL 250 KG</t>
        </is>
      </c>
      <c r="G1235" s="7" t="inlineStr">
        <is>
          <t>KG</t>
        </is>
      </c>
      <c r="H1235" s="9" t="n">
        <v>250</v>
      </c>
      <c r="I1235" s="7" t="inlineStr">
        <is>
          <t>3808.93.49</t>
        </is>
      </c>
      <c r="J1235" s="7" t="inlineStr">
        <is>
          <t>NÃO</t>
        </is>
      </c>
      <c r="K1235" s="7" t="inlineStr">
        <is>
          <t>Uso Industrial Exclusivo (PGRS / NBR 10004)</t>
        </is>
      </c>
      <c r="L1235" s="7" t="inlineStr">
        <is>
          <t>NÃO</t>
        </is>
      </c>
      <c r="M1235" s="7" t="inlineStr">
        <is>
          <t>0,00% (Lei nº 10.925/2004)</t>
        </is>
      </c>
      <c r="N1235" s="7" t="inlineStr">
        <is>
          <t>0,925% (LC nº 224/2025)</t>
        </is>
      </c>
      <c r="O1235" s="7" t="inlineStr">
        <is>
          <t>0,365% (LC nº 224/2025)</t>
        </is>
      </c>
      <c r="P1235" s="7" t="inlineStr">
        <is>
          <t>CST 06 (Uso Agrícola/Industrial)</t>
        </is>
      </c>
      <c r="Q1235" s="7" t="inlineStr">
        <is>
          <t>CST 73 (Revenda / Destinação)</t>
        </is>
      </c>
      <c r="R1235" s="7" t="inlineStr">
        <is>
          <t>Redução de 60% + Diferimento (Art. 138 LC 214/2025)</t>
        </is>
      </c>
    </row>
    <row r="1236" ht="22" customHeight="1">
      <c r="A1236" s="12" t="inlineStr">
        <is>
          <t>SKU-1232</t>
        </is>
      </c>
      <c r="B1236" s="11" t="n">
        <v>879</v>
      </c>
      <c r="C1236" s="13" t="inlineStr">
        <is>
          <t>Nº 17024</t>
        </is>
      </c>
      <c r="D1236" s="14" t="inlineStr">
        <is>
          <t>GLIFOSATO 720 WG PERTERRA</t>
        </is>
      </c>
      <c r="E1236" s="13" t="inlineStr">
        <is>
          <t>Embalagem Comercial do Produto</t>
        </is>
      </c>
      <c r="F1236" s="13" t="inlineStr">
        <is>
          <t>GALÃO / BOMBONA 5L A 20L (PADRÃO COMERCIAL)</t>
        </is>
      </c>
      <c r="G1236" s="13" t="inlineStr">
        <is>
          <t>KG</t>
        </is>
      </c>
      <c r="H1236" s="15" t="n">
        <v>5</v>
      </c>
      <c r="I1236" s="13" t="inlineStr">
        <is>
          <t>3808.93.24</t>
        </is>
      </c>
      <c r="J1236" s="13" t="inlineStr">
        <is>
          <t>NÃO</t>
        </is>
      </c>
      <c r="K1236" s="13" t="inlineStr">
        <is>
          <t>Embalagem Flexível — NÃO LAVÁVEL (Perfurar e usar saco ABNT)</t>
        </is>
      </c>
      <c r="L1236" s="13" t="inlineStr">
        <is>
          <t>SIM (Saco Transparente ABNT)</t>
        </is>
      </c>
      <c r="M1236" s="13" t="inlineStr">
        <is>
          <t>0,00% (Lei nº 10.925/2004)</t>
        </is>
      </c>
      <c r="N1236" s="13" t="inlineStr">
        <is>
          <t>0,925% (LC nº 224/2025)</t>
        </is>
      </c>
      <c r="O1236" s="13" t="inlineStr">
        <is>
          <t>0,365% (LC nº 224/2025)</t>
        </is>
      </c>
      <c r="P1236" s="13" t="inlineStr">
        <is>
          <t>CST 06</t>
        </is>
      </c>
      <c r="Q1236" s="13" t="inlineStr">
        <is>
          <t>CST 73</t>
        </is>
      </c>
      <c r="R1236" s="13" t="inlineStr">
        <is>
          <t>Redução de 60% + Diferimento (Art. 138 e Anexo IX LC 214/2025)</t>
        </is>
      </c>
    </row>
    <row r="1237" ht="22" customHeight="1">
      <c r="A1237" s="6" t="inlineStr">
        <is>
          <t>SKU-1233</t>
        </is>
      </c>
      <c r="B1237" s="5" t="n">
        <v>880</v>
      </c>
      <c r="C1237" s="7" t="inlineStr">
        <is>
          <t>VINC-17024</t>
        </is>
      </c>
      <c r="D1237" s="8" t="inlineStr">
        <is>
          <t>Glifosato G Técnico Rainbow</t>
        </is>
      </c>
      <c r="E1237" s="7" t="inlineStr">
        <is>
          <t>Embalagem Comercial do Produto</t>
        </is>
      </c>
      <c r="F1237" s="7" t="inlineStr">
        <is>
          <t>TAMBOR / BIG BAG INDUSTRIAL 250 KG</t>
        </is>
      </c>
      <c r="G1237" s="7" t="inlineStr">
        <is>
          <t>KG</t>
        </is>
      </c>
      <c r="H1237" s="9" t="n">
        <v>250</v>
      </c>
      <c r="I1237" s="7" t="inlineStr">
        <is>
          <t>3808.93.19</t>
        </is>
      </c>
      <c r="J1237" s="7" t="inlineStr">
        <is>
          <t>NÃO</t>
        </is>
      </c>
      <c r="K1237" s="7" t="inlineStr">
        <is>
          <t>Uso Industrial Exclusivo (PGRS / NBR 10004)</t>
        </is>
      </c>
      <c r="L1237" s="7" t="inlineStr">
        <is>
          <t>NÃO</t>
        </is>
      </c>
      <c r="M1237" s="7" t="inlineStr">
        <is>
          <t>0,00% (Lei nº 10.925/2004)</t>
        </is>
      </c>
      <c r="N1237" s="7" t="inlineStr">
        <is>
          <t>0,925% (LC nº 224/2025)</t>
        </is>
      </c>
      <c r="O1237" s="7" t="inlineStr">
        <is>
          <t>0,365% (LC nº 224/2025)</t>
        </is>
      </c>
      <c r="P1237" s="7" t="inlineStr">
        <is>
          <t>CST 06 (Uso Agrícola/Industrial)</t>
        </is>
      </c>
      <c r="Q1237" s="7" t="inlineStr">
        <is>
          <t>CST 73 (Revenda / Destinação)</t>
        </is>
      </c>
      <c r="R1237" s="7" t="inlineStr">
        <is>
          <t>Redução de 60% + Diferimento (Art. 138 LC 214/2025)</t>
        </is>
      </c>
    </row>
    <row r="1238" ht="22" customHeight="1">
      <c r="A1238" s="12" t="inlineStr">
        <is>
          <t>SKU-1234</t>
        </is>
      </c>
      <c r="B1238" s="11" t="n">
        <v>881</v>
      </c>
      <c r="C1238" s="13" t="inlineStr">
        <is>
          <t>Nº 17124</t>
        </is>
      </c>
      <c r="D1238" s="14" t="inlineStr">
        <is>
          <t>DANTOTSU</t>
        </is>
      </c>
      <c r="E1238" s="13" t="inlineStr">
        <is>
          <t>Embalagem Comercial do Produto</t>
        </is>
      </c>
      <c r="F1238" s="13" t="inlineStr">
        <is>
          <t>SACARIA / EMBALAGEM FLEXÍVEL 5KG A 25KG (PADRÃO COMERCIAL)</t>
        </is>
      </c>
      <c r="G1238" s="13" t="inlineStr">
        <is>
          <t>KG</t>
        </is>
      </c>
      <c r="H1238" s="15" t="n">
        <v>5</v>
      </c>
      <c r="I1238" s="13" t="inlineStr">
        <is>
          <t>3808.91.99</t>
        </is>
      </c>
      <c r="J1238" s="13" t="inlineStr">
        <is>
          <t>NÃO</t>
        </is>
      </c>
      <c r="K1238" s="13" t="inlineStr">
        <is>
          <t>Embalagem Flexível — NÃO LAVÁVEL (Perfurar e usar saco ABNT)</t>
        </is>
      </c>
      <c r="L1238" s="13" t="inlineStr">
        <is>
          <t>SIM (Saco Transparente ABNT)</t>
        </is>
      </c>
      <c r="M1238" s="13" t="inlineStr">
        <is>
          <t>0,00% (Lei nº 10.925/2004)</t>
        </is>
      </c>
      <c r="N1238" s="13" t="inlineStr">
        <is>
          <t>0,925% (LC nº 224/2025)</t>
        </is>
      </c>
      <c r="O1238" s="13" t="inlineStr">
        <is>
          <t>0,365% (LC nº 224/2025)</t>
        </is>
      </c>
      <c r="P1238" s="13" t="inlineStr">
        <is>
          <t>CST 06</t>
        </is>
      </c>
      <c r="Q1238" s="13" t="inlineStr">
        <is>
          <t>CST 73</t>
        </is>
      </c>
      <c r="R1238" s="13" t="inlineStr">
        <is>
          <t>Redução de 60% + Diferimento (Art. 138 e Anexo IX LC 214/2025)</t>
        </is>
      </c>
    </row>
    <row r="1239" ht="22" customHeight="1">
      <c r="A1239" s="6" t="inlineStr">
        <is>
          <t>SKU-1235</t>
        </is>
      </c>
      <c r="B1239" s="5" t="n">
        <v>882</v>
      </c>
      <c r="C1239" s="7" t="inlineStr">
        <is>
          <t>VINC-17124</t>
        </is>
      </c>
      <c r="D1239" s="8" t="inlineStr">
        <is>
          <t>Focus Técnico</t>
        </is>
      </c>
      <c r="E1239" s="7" t="inlineStr">
        <is>
          <t>Embalagem Comercial do Produto</t>
        </is>
      </c>
      <c r="F1239" s="7" t="inlineStr">
        <is>
          <t>TAMBOR / BIG BAG INDUSTRIAL 250 KG</t>
        </is>
      </c>
      <c r="G1239" s="7" t="inlineStr">
        <is>
          <t>KG</t>
        </is>
      </c>
      <c r="H1239" s="9" t="n">
        <v>250</v>
      </c>
      <c r="I1239" s="7" t="inlineStr">
        <is>
          <t>3808.91.20</t>
        </is>
      </c>
      <c r="J1239" s="7" t="inlineStr">
        <is>
          <t>NÃO</t>
        </is>
      </c>
      <c r="K1239" s="7" t="inlineStr">
        <is>
          <t>Uso Industrial Exclusivo (PGRS / NBR 10004)</t>
        </is>
      </c>
      <c r="L1239" s="7" t="inlineStr">
        <is>
          <t>NÃO</t>
        </is>
      </c>
      <c r="M1239" s="7" t="inlineStr">
        <is>
          <t>0,00% (Lei nº 10.925/2004)</t>
        </is>
      </c>
      <c r="N1239" s="7" t="inlineStr">
        <is>
          <t>0,925% (LC nº 224/2025)</t>
        </is>
      </c>
      <c r="O1239" s="7" t="inlineStr">
        <is>
          <t>0,365% (LC nº 224/2025)</t>
        </is>
      </c>
      <c r="P1239" s="7" t="inlineStr">
        <is>
          <t>CST 06 (Uso Agrícola/Industrial)</t>
        </is>
      </c>
      <c r="Q1239" s="7" t="inlineStr">
        <is>
          <t>CST 73 (Revenda / Destinação)</t>
        </is>
      </c>
      <c r="R1239" s="7" t="inlineStr">
        <is>
          <t>Redução de 60% + Diferimento (Art. 138 LC 214/2025)</t>
        </is>
      </c>
    </row>
    <row r="1240" ht="22" customHeight="1">
      <c r="A1240" s="12" t="inlineStr">
        <is>
          <t>SKU-1236</t>
        </is>
      </c>
      <c r="B1240" s="11" t="n">
        <v>883</v>
      </c>
      <c r="C1240" s="13" t="inlineStr">
        <is>
          <t>VINC-17124</t>
        </is>
      </c>
      <c r="D1240" s="14" t="inlineStr">
        <is>
          <t>Clothianidin Técnico SCB</t>
        </is>
      </c>
      <c r="E1240" s="13" t="inlineStr">
        <is>
          <t>Embalagem Comercial do Produto</t>
        </is>
      </c>
      <c r="F1240" s="13" t="inlineStr">
        <is>
          <t>TAMBOR / BIG BAG INDUSTRIAL 250 KG</t>
        </is>
      </c>
      <c r="G1240" s="13" t="inlineStr">
        <is>
          <t>KG</t>
        </is>
      </c>
      <c r="H1240" s="15" t="n">
        <v>250</v>
      </c>
      <c r="I1240" s="13" t="inlineStr">
        <is>
          <t>3808.91.20</t>
        </is>
      </c>
      <c r="J1240" s="13" t="inlineStr">
        <is>
          <t>NÃO</t>
        </is>
      </c>
      <c r="K1240" s="13" t="inlineStr">
        <is>
          <t>Uso Industrial Exclusivo (PGRS / NBR 10004)</t>
        </is>
      </c>
      <c r="L1240" s="13" t="inlineStr">
        <is>
          <t>NÃO</t>
        </is>
      </c>
      <c r="M1240" s="13" t="inlineStr">
        <is>
          <t>0,00% (Lei nº 10.925/2004)</t>
        </is>
      </c>
      <c r="N1240" s="13" t="inlineStr">
        <is>
          <t>0,925% (LC nº 224/2025)</t>
        </is>
      </c>
      <c r="O1240" s="13" t="inlineStr">
        <is>
          <t>0,365% (LC nº 224/2025)</t>
        </is>
      </c>
      <c r="P1240" s="13" t="inlineStr">
        <is>
          <t>CST 06 (Uso Agrícola/Industrial)</t>
        </is>
      </c>
      <c r="Q1240" s="13" t="inlineStr">
        <is>
          <t>CST 73 (Revenda / Destinação)</t>
        </is>
      </c>
      <c r="R1240" s="13" t="inlineStr">
        <is>
          <t>Redução de 60% + Diferimento (Art. 138 LC 214/2025)</t>
        </is>
      </c>
    </row>
    <row r="1241" ht="22" customHeight="1">
      <c r="A1241" s="6" t="inlineStr">
        <is>
          <t>SKU-1237</t>
        </is>
      </c>
      <c r="B1241" s="5" t="n">
        <v>884</v>
      </c>
      <c r="C1241" s="7" t="inlineStr">
        <is>
          <t>Nº 17224</t>
        </is>
      </c>
      <c r="D1241" s="8" t="inlineStr">
        <is>
          <t>LUMISURE</t>
        </is>
      </c>
      <c r="E1241" s="7" t="inlineStr">
        <is>
          <t>Embalagem Comercial do Produto</t>
        </is>
      </c>
      <c r="F1241" s="7" t="inlineStr">
        <is>
          <t>GALÃO / BOMBONA 5L A 20L (PADRÃO COMERCIAL)</t>
        </is>
      </c>
      <c r="G1241" s="7" t="inlineStr">
        <is>
          <t>LT</t>
        </is>
      </c>
      <c r="H1241" s="9" t="n">
        <v>5</v>
      </c>
      <c r="I1241" s="7" t="inlineStr">
        <is>
          <t>3808.91.20</t>
        </is>
      </c>
      <c r="J1241" s="7" t="inlineStr">
        <is>
          <t>NÃO</t>
        </is>
      </c>
      <c r="K1241" s="7" t="inlineStr">
        <is>
          <t>Uso Industrial Exclusivo (PGRS / NBR 10004)</t>
        </is>
      </c>
      <c r="L1241" s="7" t="inlineStr">
        <is>
          <t>NÃO</t>
        </is>
      </c>
      <c r="M1241" s="7" t="inlineStr">
        <is>
          <t>0,00% (Lei nº 10.925/2004)</t>
        </is>
      </c>
      <c r="N1241" s="7" t="inlineStr">
        <is>
          <t>0,925% (LC nº 224/2025)</t>
        </is>
      </c>
      <c r="O1241" s="7" t="inlineStr">
        <is>
          <t>0,365% (LC nº 224/2025)</t>
        </is>
      </c>
      <c r="P1241" s="7" t="inlineStr">
        <is>
          <t>CST 06 (Uso Agrícola/Industrial)</t>
        </is>
      </c>
      <c r="Q1241" s="7" t="inlineStr">
        <is>
          <t>CST 73 (Revenda / Destinação)</t>
        </is>
      </c>
      <c r="R1241" s="7" t="inlineStr">
        <is>
          <t>Redução de 60% + Diferimento (Art. 138 LC 214/2025)</t>
        </is>
      </c>
    </row>
    <row r="1242" ht="22" customHeight="1">
      <c r="A1242" s="12" t="inlineStr">
        <is>
          <t>SKU-1238</t>
        </is>
      </c>
      <c r="B1242" s="11" t="n">
        <v>885</v>
      </c>
      <c r="C1242" s="13" t="inlineStr">
        <is>
          <t>Nº 17324</t>
        </is>
      </c>
      <c r="D1242" s="14" t="inlineStr">
        <is>
          <t>ELIOS WG</t>
        </is>
      </c>
      <c r="E1242" s="13" t="inlineStr">
        <is>
          <t>Embalagem Comercial do Produto</t>
        </is>
      </c>
      <c r="F1242" s="13" t="inlineStr">
        <is>
          <t>GALÃO / BOMBONA 5L A 20L (PADRÃO COMERCIAL)</t>
        </is>
      </c>
      <c r="G1242" s="13" t="inlineStr">
        <is>
          <t>KG</t>
        </is>
      </c>
      <c r="H1242" s="15" t="n">
        <v>5</v>
      </c>
      <c r="I1242" s="13" t="inlineStr">
        <is>
          <t>3808.92.99</t>
        </is>
      </c>
      <c r="J1242" s="13" t="inlineStr">
        <is>
          <t>NÃO</t>
        </is>
      </c>
      <c r="K1242" s="13" t="inlineStr">
        <is>
          <t>Embalagem Flexível — NÃO LAVÁVEL (Perfurar e usar saco ABNT)</t>
        </is>
      </c>
      <c r="L1242" s="13" t="inlineStr">
        <is>
          <t>SIM (Saco Transparente ABNT)</t>
        </is>
      </c>
      <c r="M1242" s="13" t="inlineStr">
        <is>
          <t>0,00% (Lei nº 10.925/2004)</t>
        </is>
      </c>
      <c r="N1242" s="13" t="inlineStr">
        <is>
          <t>0,925% (LC nº 224/2025)</t>
        </is>
      </c>
      <c r="O1242" s="13" t="inlineStr">
        <is>
          <t>0,365% (LC nº 224/2025)</t>
        </is>
      </c>
      <c r="P1242" s="13" t="inlineStr">
        <is>
          <t>CST 06</t>
        </is>
      </c>
      <c r="Q1242" s="13" t="inlineStr">
        <is>
          <t>CST 73</t>
        </is>
      </c>
      <c r="R1242" s="13" t="inlineStr">
        <is>
          <t>Redução de 60% + Diferimento (Art. 138 e Anexo IX LC 214/2025)</t>
        </is>
      </c>
    </row>
    <row r="1243" ht="22" customHeight="1">
      <c r="A1243" s="6" t="inlineStr">
        <is>
          <t>SKU-1239</t>
        </is>
      </c>
      <c r="B1243" s="5" t="n">
        <v>886</v>
      </c>
      <c r="C1243" s="7" t="inlineStr">
        <is>
          <t>VINC-17324</t>
        </is>
      </c>
      <c r="D1243" s="8" t="inlineStr">
        <is>
          <t>Imidacloprid Tecnico Agroqualita SNB</t>
        </is>
      </c>
      <c r="E1243" s="7" t="inlineStr">
        <is>
          <t>Embalagem Comercial do Produto</t>
        </is>
      </c>
      <c r="F1243" s="7" t="inlineStr">
        <is>
          <t>TAMBOR / BIG BAG INDUSTRIAL 250 KG</t>
        </is>
      </c>
      <c r="G1243" s="7" t="inlineStr">
        <is>
          <t>KG</t>
        </is>
      </c>
      <c r="H1243" s="9" t="n">
        <v>250</v>
      </c>
      <c r="I1243" s="7" t="inlineStr">
        <is>
          <t>3808.92.20</t>
        </is>
      </c>
      <c r="J1243" s="7" t="inlineStr">
        <is>
          <t>NÃO</t>
        </is>
      </c>
      <c r="K1243" s="7" t="inlineStr">
        <is>
          <t>Uso Industrial Exclusivo (PGRS / NBR 10004)</t>
        </is>
      </c>
      <c r="L1243" s="7" t="inlineStr">
        <is>
          <t>NÃO</t>
        </is>
      </c>
      <c r="M1243" s="7" t="inlineStr">
        <is>
          <t>0,00% (Lei nº 10.925/2004)</t>
        </is>
      </c>
      <c r="N1243" s="7" t="inlineStr">
        <is>
          <t>0,925% (LC nº 224/2025)</t>
        </is>
      </c>
      <c r="O1243" s="7" t="inlineStr">
        <is>
          <t>0,365% (LC nº 224/2025)</t>
        </is>
      </c>
      <c r="P1243" s="7" t="inlineStr">
        <is>
          <t>CST 06 (Uso Agrícola/Industrial)</t>
        </is>
      </c>
      <c r="Q1243" s="7" t="inlineStr">
        <is>
          <t>CST 73 (Revenda / Destinação)</t>
        </is>
      </c>
      <c r="R1243" s="7" t="inlineStr">
        <is>
          <t>Redução de 60% + Diferimento (Art. 138 LC 214/2025)</t>
        </is>
      </c>
    </row>
    <row r="1244" ht="22" customHeight="1">
      <c r="A1244" s="12" t="inlineStr">
        <is>
          <t>SKU-1240</t>
        </is>
      </c>
      <c r="B1244" s="11" t="n">
        <v>887</v>
      </c>
      <c r="C1244" s="13" t="inlineStr">
        <is>
          <t>Nº 17424</t>
        </is>
      </c>
      <c r="D1244" s="14" t="inlineStr">
        <is>
          <t>CROPSTAR FLEXX</t>
        </is>
      </c>
      <c r="E1244" s="13" t="inlineStr">
        <is>
          <t>Embalagem Comercial do Produto</t>
        </is>
      </c>
      <c r="F1244" s="13" t="inlineStr">
        <is>
          <t>GALÃO / BOMBONA 5L A 20L (PADRÃO COMERCIAL)</t>
        </is>
      </c>
      <c r="G1244" s="13" t="inlineStr">
        <is>
          <t>LT</t>
        </is>
      </c>
      <c r="H1244" s="15" t="n">
        <v>5</v>
      </c>
      <c r="I1244" s="13" t="inlineStr">
        <is>
          <t>3808.91.99</t>
        </is>
      </c>
      <c r="J1244" s="13" t="inlineStr">
        <is>
          <t>NÃO</t>
        </is>
      </c>
      <c r="K1244" s="13" t="inlineStr">
        <is>
          <t>Embalagem Rígida — LAVÁVEL (Obrigatória Tríplice Lavagem ou Pressão)</t>
        </is>
      </c>
      <c r="L1244" s="13" t="inlineStr">
        <is>
          <t>NÃO</t>
        </is>
      </c>
      <c r="M1244" s="13" t="inlineStr">
        <is>
          <t>0,00% (Lei nº 10.925/2004)</t>
        </is>
      </c>
      <c r="N1244" s="13" t="inlineStr">
        <is>
          <t>0,925% (LC nº 224/2025)</t>
        </is>
      </c>
      <c r="O1244" s="13" t="inlineStr">
        <is>
          <t>0,365% (LC nº 224/2025)</t>
        </is>
      </c>
      <c r="P1244" s="13" t="inlineStr">
        <is>
          <t>CST 06</t>
        </is>
      </c>
      <c r="Q1244" s="13" t="inlineStr">
        <is>
          <t>CST 73</t>
        </is>
      </c>
      <c r="R1244" s="13" t="inlineStr">
        <is>
          <t>Redução de 60% + Diferimento (Art. 138 e Anexo IX LC 214/2025)</t>
        </is>
      </c>
    </row>
    <row r="1245" ht="22" customHeight="1">
      <c r="A1245" s="6" t="inlineStr">
        <is>
          <t>SKU-1241</t>
        </is>
      </c>
      <c r="B1245" s="5" t="n">
        <v>888</v>
      </c>
      <c r="C1245" s="7" t="inlineStr">
        <is>
          <t>VINC-17424</t>
        </is>
      </c>
      <c r="D1245" s="8" t="inlineStr">
        <is>
          <t>Premier Técnico</t>
        </is>
      </c>
      <c r="E1245" s="7" t="inlineStr">
        <is>
          <t>Embalagem Comercial do Produto</t>
        </is>
      </c>
      <c r="F1245" s="7" t="inlineStr">
        <is>
          <t>TAMBOR / BIG BAG INDUSTRIAL 250 KG</t>
        </is>
      </c>
      <c r="G1245" s="7" t="inlineStr">
        <is>
          <t>KG</t>
        </is>
      </c>
      <c r="H1245" s="9" t="n">
        <v>250</v>
      </c>
      <c r="I1245" s="7" t="inlineStr">
        <is>
          <t>3808.91.20</t>
        </is>
      </c>
      <c r="J1245" s="7" t="inlineStr">
        <is>
          <t>NÃO</t>
        </is>
      </c>
      <c r="K1245" s="7" t="inlineStr">
        <is>
          <t>Uso Industrial Exclusivo (PGRS / NBR 10004)</t>
        </is>
      </c>
      <c r="L1245" s="7" t="inlineStr">
        <is>
          <t>NÃO</t>
        </is>
      </c>
      <c r="M1245" s="7" t="inlineStr">
        <is>
          <t>0,00% (Lei nº 10.925/2004)</t>
        </is>
      </c>
      <c r="N1245" s="7" t="inlineStr">
        <is>
          <t>0,925% (LC nº 224/2025)</t>
        </is>
      </c>
      <c r="O1245" s="7" t="inlineStr">
        <is>
          <t>0,365% (LC nº 224/2025)</t>
        </is>
      </c>
      <c r="P1245" s="7" t="inlineStr">
        <is>
          <t>CST 06 (Uso Agrícola/Industrial)</t>
        </is>
      </c>
      <c r="Q1245" s="7" t="inlineStr">
        <is>
          <t>CST 73 (Revenda / Destinação)</t>
        </is>
      </c>
      <c r="R1245" s="7" t="inlineStr">
        <is>
          <t>Redução de 60% + Diferimento (Art. 138 LC 214/2025)</t>
        </is>
      </c>
    </row>
    <row r="1246" ht="22" customHeight="1">
      <c r="A1246" s="12" t="inlineStr">
        <is>
          <t>SKU-1242</t>
        </is>
      </c>
      <c r="B1246" s="11" t="n">
        <v>889</v>
      </c>
      <c r="C1246" s="13" t="inlineStr">
        <is>
          <t>Nº 17524</t>
        </is>
      </c>
      <c r="D1246" s="14" t="inlineStr">
        <is>
          <t>SUMIRODY</t>
        </is>
      </c>
      <c r="E1246" s="13" t="inlineStr">
        <is>
          <t>Embalagem Comercial do Produto</t>
        </is>
      </c>
      <c r="F1246" s="13" t="inlineStr">
        <is>
          <t>GALÃO / BOMBONA 5L A 20L (PADRÃO COMERCIAL)</t>
        </is>
      </c>
      <c r="G1246" s="13" t="inlineStr">
        <is>
          <t>LT</t>
        </is>
      </c>
      <c r="H1246" s="15" t="n">
        <v>5</v>
      </c>
      <c r="I1246" s="13" t="inlineStr">
        <is>
          <t>3808.91.99</t>
        </is>
      </c>
      <c r="J1246" s="13" t="inlineStr">
        <is>
          <t>NÃO</t>
        </is>
      </c>
      <c r="K1246" s="13" t="inlineStr">
        <is>
          <t>Embalagem Rígida — LAVÁVEL (Obrigatória Tríplice Lavagem ou Pressão)</t>
        </is>
      </c>
      <c r="L1246" s="13" t="inlineStr">
        <is>
          <t>NÃO</t>
        </is>
      </c>
      <c r="M1246" s="13" t="inlineStr">
        <is>
          <t>0,00% (Lei nº 10.925/2004)</t>
        </is>
      </c>
      <c r="N1246" s="13" t="inlineStr">
        <is>
          <t>0,925% (LC nº 224/2025)</t>
        </is>
      </c>
      <c r="O1246" s="13" t="inlineStr">
        <is>
          <t>0,365% (LC nº 224/2025)</t>
        </is>
      </c>
      <c r="P1246" s="13" t="inlineStr">
        <is>
          <t>CST 06</t>
        </is>
      </c>
      <c r="Q1246" s="13" t="inlineStr">
        <is>
          <t>CST 73</t>
        </is>
      </c>
      <c r="R1246" s="13" t="inlineStr">
        <is>
          <t>Redução de 60% + Diferimento (Art. 138 e Anexo IX LC 214/2025)</t>
        </is>
      </c>
    </row>
    <row r="1247" ht="22" customHeight="1">
      <c r="A1247" s="6" t="inlineStr">
        <is>
          <t>SKU-1243</t>
        </is>
      </c>
      <c r="B1247" s="5" t="n">
        <v>890</v>
      </c>
      <c r="C1247" s="7" t="inlineStr">
        <is>
          <t>VINC-17524</t>
        </is>
      </c>
      <c r="D1247" s="8" t="inlineStr">
        <is>
          <t>Danimen Técnico 900</t>
        </is>
      </c>
      <c r="E1247" s="7" t="inlineStr">
        <is>
          <t>Embalagem Comercial do Produto</t>
        </is>
      </c>
      <c r="F1247" s="7" t="inlineStr">
        <is>
          <t>TAMBOR / BIG BAG INDUSTRIAL 250 KG</t>
        </is>
      </c>
      <c r="G1247" s="7" t="inlineStr">
        <is>
          <t>KG</t>
        </is>
      </c>
      <c r="H1247" s="9" t="n">
        <v>250</v>
      </c>
      <c r="I1247" s="7" t="inlineStr">
        <is>
          <t>3808.91.20</t>
        </is>
      </c>
      <c r="J1247" s="7" t="inlineStr">
        <is>
          <t>NÃO</t>
        </is>
      </c>
      <c r="K1247" s="7" t="inlineStr">
        <is>
          <t>Uso Industrial Exclusivo (PGRS / NBR 10004)</t>
        </is>
      </c>
      <c r="L1247" s="7" t="inlineStr">
        <is>
          <t>NÃO</t>
        </is>
      </c>
      <c r="M1247" s="7" t="inlineStr">
        <is>
          <t>0,00% (Lei nº 10.925/2004)</t>
        </is>
      </c>
      <c r="N1247" s="7" t="inlineStr">
        <is>
          <t>0,925% (LC nº 224/2025)</t>
        </is>
      </c>
      <c r="O1247" s="7" t="inlineStr">
        <is>
          <t>0,365% (LC nº 224/2025)</t>
        </is>
      </c>
      <c r="P1247" s="7" t="inlineStr">
        <is>
          <t>CST 06 (Uso Agrícola/Industrial)</t>
        </is>
      </c>
      <c r="Q1247" s="7" t="inlineStr">
        <is>
          <t>CST 73 (Revenda / Destinação)</t>
        </is>
      </c>
      <c r="R1247" s="7" t="inlineStr">
        <is>
          <t>Redução de 60% + Diferimento (Art. 138 LC 214/2025)</t>
        </is>
      </c>
    </row>
    <row r="1248" ht="22" customHeight="1">
      <c r="A1248" s="12" t="inlineStr">
        <is>
          <t>SKU-1244</t>
        </is>
      </c>
      <c r="B1248" s="11" t="n">
        <v>891</v>
      </c>
      <c r="C1248" s="13" t="inlineStr">
        <is>
          <t>Nº 17624</t>
        </is>
      </c>
      <c r="D1248" s="14" t="inlineStr">
        <is>
          <t>SONUTRIR</t>
        </is>
      </c>
      <c r="E1248" s="13" t="inlineStr">
        <is>
          <t>Embalagem Comercial do Produto</t>
        </is>
      </c>
      <c r="F1248" s="13" t="inlineStr">
        <is>
          <t>GALÃO / BOMBONA 5L A 20L (PADRÃO COMERCIAL)</t>
        </is>
      </c>
      <c r="G1248" s="13" t="inlineStr">
        <is>
          <t>LT</t>
        </is>
      </c>
      <c r="H1248" s="15" t="n">
        <v>5</v>
      </c>
      <c r="I1248" s="13" t="inlineStr">
        <is>
          <t>3808.93.29</t>
        </is>
      </c>
      <c r="J1248" s="13" t="inlineStr">
        <is>
          <t>NÃO</t>
        </is>
      </c>
      <c r="K1248" s="13" t="inlineStr">
        <is>
          <t>Uso Industrial Exclusivo (PGRS / NBR 10004)</t>
        </is>
      </c>
      <c r="L1248" s="13" t="inlineStr">
        <is>
          <t>NÃO</t>
        </is>
      </c>
      <c r="M1248" s="13" t="inlineStr">
        <is>
          <t>0,00% (Lei nº 10.925/2004)</t>
        </is>
      </c>
      <c r="N1248" s="13" t="inlineStr">
        <is>
          <t>0,925% (LC nº 224/2025)</t>
        </is>
      </c>
      <c r="O1248" s="13" t="inlineStr">
        <is>
          <t>0,365% (LC nº 224/2025)</t>
        </is>
      </c>
      <c r="P1248" s="13" t="inlineStr">
        <is>
          <t>CST 06 (Uso Agrícola/Industrial)</t>
        </is>
      </c>
      <c r="Q1248" s="13" t="inlineStr">
        <is>
          <t>CST 73 (Revenda / Destinação)</t>
        </is>
      </c>
      <c r="R1248" s="13" t="inlineStr">
        <is>
          <t>Redução de 60% + Diferimento (Art. 138 LC 214/2025)</t>
        </is>
      </c>
    </row>
    <row r="1249" ht="22" customHeight="1">
      <c r="A1249" s="6" t="inlineStr">
        <is>
          <t>SKU-1245</t>
        </is>
      </c>
      <c r="B1249" s="5" t="n">
        <v>892</v>
      </c>
      <c r="C1249" s="7" t="inlineStr">
        <is>
          <t>VINC-17624</t>
        </is>
      </c>
      <c r="D1249" s="8" t="inlineStr">
        <is>
          <t>S-Metolacloro Técnico Rainbow</t>
        </is>
      </c>
      <c r="E1249" s="7" t="inlineStr">
        <is>
          <t>Embalagem Comercial do Produto</t>
        </is>
      </c>
      <c r="F1249" s="7" t="inlineStr">
        <is>
          <t>TAMBOR / BIG BAG INDUSTRIAL 250 KG</t>
        </is>
      </c>
      <c r="G1249" s="7" t="inlineStr">
        <is>
          <t>KG</t>
        </is>
      </c>
      <c r="H1249" s="9" t="n">
        <v>250</v>
      </c>
      <c r="I1249" s="7" t="inlineStr">
        <is>
          <t>3808.93.19</t>
        </is>
      </c>
      <c r="J1249" s="7" t="inlineStr">
        <is>
          <t>NÃO</t>
        </is>
      </c>
      <c r="K1249" s="7" t="inlineStr">
        <is>
          <t>Uso Industrial Exclusivo (PGRS / NBR 10004)</t>
        </is>
      </c>
      <c r="L1249" s="7" t="inlineStr">
        <is>
          <t>NÃO</t>
        </is>
      </c>
      <c r="M1249" s="7" t="inlineStr">
        <is>
          <t>0,00% (Lei nº 10.925/2004)</t>
        </is>
      </c>
      <c r="N1249" s="7" t="inlineStr">
        <is>
          <t>0,925% (LC nº 224/2025)</t>
        </is>
      </c>
      <c r="O1249" s="7" t="inlineStr">
        <is>
          <t>0,365% (LC nº 224/2025)</t>
        </is>
      </c>
      <c r="P1249" s="7" t="inlineStr">
        <is>
          <t>CST 06 (Uso Agrícola/Industrial)</t>
        </is>
      </c>
      <c r="Q1249" s="7" t="inlineStr">
        <is>
          <t>CST 73 (Revenda / Destinação)</t>
        </is>
      </c>
      <c r="R1249" s="7" t="inlineStr">
        <is>
          <t>Redução de 60% + Diferimento (Art. 138 LC 214/2025)</t>
        </is>
      </c>
    </row>
    <row r="1250" ht="22" customHeight="1">
      <c r="A1250" s="12" t="inlineStr">
        <is>
          <t>SKU-1246</t>
        </is>
      </c>
      <c r="B1250" s="11" t="n">
        <v>893</v>
      </c>
      <c r="C1250" s="13" t="inlineStr">
        <is>
          <t>Nº 17724</t>
        </is>
      </c>
      <c r="D1250" s="14" t="inlineStr">
        <is>
          <t>TECANOA</t>
        </is>
      </c>
      <c r="E1250" s="13" t="inlineStr">
        <is>
          <t>Embalagem Comercial do Produto</t>
        </is>
      </c>
      <c r="F1250" s="13" t="inlineStr">
        <is>
          <t>GALÃO / BOMBONA 5L A 20L (PADRÃO COMERCIAL)</t>
        </is>
      </c>
      <c r="G1250" s="13" t="inlineStr">
        <is>
          <t>LT</t>
        </is>
      </c>
      <c r="H1250" s="15" t="n">
        <v>5</v>
      </c>
      <c r="I1250" s="13" t="inlineStr">
        <is>
          <t>3808.93.29</t>
        </is>
      </c>
      <c r="J1250" s="13" t="inlineStr">
        <is>
          <t>NÃO</t>
        </is>
      </c>
      <c r="K1250" s="13" t="inlineStr">
        <is>
          <t>Embalagem Rígida — LAVÁVEL (Obrigatória Tríplice Lavagem ou Pressão)</t>
        </is>
      </c>
      <c r="L1250" s="13" t="inlineStr">
        <is>
          <t>NÃO</t>
        </is>
      </c>
      <c r="M1250" s="13" t="inlineStr">
        <is>
          <t>0,00% (Lei nº 10.925/2004)</t>
        </is>
      </c>
      <c r="N1250" s="13" t="inlineStr">
        <is>
          <t>0,925% (LC nº 224/2025)</t>
        </is>
      </c>
      <c r="O1250" s="13" t="inlineStr">
        <is>
          <t>0,365% (LC nº 224/2025)</t>
        </is>
      </c>
      <c r="P1250" s="13" t="inlineStr">
        <is>
          <t>CST 06</t>
        </is>
      </c>
      <c r="Q1250" s="13" t="inlineStr">
        <is>
          <t>CST 73</t>
        </is>
      </c>
      <c r="R1250" s="13" t="inlineStr">
        <is>
          <t>Redução de 60% + Diferimento (Art. 138 e Anexo IX LC 214/2025)</t>
        </is>
      </c>
    </row>
    <row r="1251" ht="22" customHeight="1">
      <c r="A1251" s="6" t="inlineStr">
        <is>
          <t>SKU-1247</t>
        </is>
      </c>
      <c r="B1251" s="5" t="n">
        <v>894</v>
      </c>
      <c r="C1251" s="7" t="inlineStr">
        <is>
          <t>VINC-17724</t>
        </is>
      </c>
      <c r="D1251" s="8" t="inlineStr">
        <is>
          <t>Tebuthiuron Técnico Rainbow</t>
        </is>
      </c>
      <c r="E1251" s="7" t="inlineStr">
        <is>
          <t>Embalagem Comercial do Produto</t>
        </is>
      </c>
      <c r="F1251" s="7" t="inlineStr">
        <is>
          <t>TAMBOR / BIG BAG INDUSTRIAL 250 KG</t>
        </is>
      </c>
      <c r="G1251" s="7" t="inlineStr">
        <is>
          <t>KG</t>
        </is>
      </c>
      <c r="H1251" s="9" t="n">
        <v>250</v>
      </c>
      <c r="I1251" s="7" t="inlineStr">
        <is>
          <t>3808.93.19</t>
        </is>
      </c>
      <c r="J1251" s="7" t="inlineStr">
        <is>
          <t>NÃO</t>
        </is>
      </c>
      <c r="K1251" s="7" t="inlineStr">
        <is>
          <t>Uso Industrial Exclusivo (PGRS / NBR 10004)</t>
        </is>
      </c>
      <c r="L1251" s="7" t="inlineStr">
        <is>
          <t>NÃO</t>
        </is>
      </c>
      <c r="M1251" s="7" t="inlineStr">
        <is>
          <t>0,00% (Lei nº 10.925/2004)</t>
        </is>
      </c>
      <c r="N1251" s="7" t="inlineStr">
        <is>
          <t>0,925% (LC nº 224/2025)</t>
        </is>
      </c>
      <c r="O1251" s="7" t="inlineStr">
        <is>
          <t>0,365% (LC nº 224/2025)</t>
        </is>
      </c>
      <c r="P1251" s="7" t="inlineStr">
        <is>
          <t>CST 06 (Uso Agrícola/Industrial)</t>
        </is>
      </c>
      <c r="Q1251" s="7" t="inlineStr">
        <is>
          <t>CST 73 (Revenda / Destinação)</t>
        </is>
      </c>
      <c r="R1251" s="7" t="inlineStr">
        <is>
          <t>Redução de 60% + Diferimento (Art. 138 LC 214/2025)</t>
        </is>
      </c>
    </row>
    <row r="1252" ht="22" customHeight="1">
      <c r="A1252" s="12" t="inlineStr">
        <is>
          <t>SKU-1248</t>
        </is>
      </c>
      <c r="B1252" s="11" t="n">
        <v>895</v>
      </c>
      <c r="C1252" s="13" t="inlineStr">
        <is>
          <t>Nº 17824</t>
        </is>
      </c>
      <c r="D1252" s="14" t="inlineStr">
        <is>
          <t>NUF150F400</t>
        </is>
      </c>
      <c r="E1252" s="13" t="inlineStr">
        <is>
          <t>Embalagem Comercial do Produto</t>
        </is>
      </c>
      <c r="F1252" s="13" t="inlineStr">
        <is>
          <t>GALÃO / BOMBONA 5L A 20L (PADRÃO COMERCIAL)</t>
        </is>
      </c>
      <c r="G1252" s="13" t="inlineStr">
        <is>
          <t>LT</t>
        </is>
      </c>
      <c r="H1252" s="15" t="n">
        <v>5</v>
      </c>
      <c r="I1252" s="13" t="inlineStr">
        <is>
          <t>3808.93.29</t>
        </is>
      </c>
      <c r="J1252" s="13" t="inlineStr">
        <is>
          <t>NÃO</t>
        </is>
      </c>
      <c r="K1252" s="13" t="inlineStr">
        <is>
          <t>Embalagem Rígida — LAVÁVEL (Obrigatória Tríplice Lavagem ou Pressão)</t>
        </is>
      </c>
      <c r="L1252" s="13" t="inlineStr">
        <is>
          <t>NÃO</t>
        </is>
      </c>
      <c r="M1252" s="13" t="inlineStr">
        <is>
          <t>0,00% (Lei nº 10.925/2004)</t>
        </is>
      </c>
      <c r="N1252" s="13" t="inlineStr">
        <is>
          <t>0,925% (LC nº 224/2025)</t>
        </is>
      </c>
      <c r="O1252" s="13" t="inlineStr">
        <is>
          <t>0,365% (LC nº 224/2025)</t>
        </is>
      </c>
      <c r="P1252" s="13" t="inlineStr">
        <is>
          <t>CST 06</t>
        </is>
      </c>
      <c r="Q1252" s="13" t="inlineStr">
        <is>
          <t>CST 73</t>
        </is>
      </c>
      <c r="R1252" s="13" t="inlineStr">
        <is>
          <t>Redução de 60% + Diferimento (Art. 138 e Anexo IX LC 214/2025)</t>
        </is>
      </c>
    </row>
    <row r="1253" ht="22" customHeight="1">
      <c r="A1253" s="6" t="inlineStr">
        <is>
          <t>SKU-1249</t>
        </is>
      </c>
      <c r="B1253" s="5" t="n">
        <v>896</v>
      </c>
      <c r="C1253" s="7" t="inlineStr">
        <is>
          <t>VINC-17824</t>
        </is>
      </c>
      <c r="D1253" s="8" t="inlineStr">
        <is>
          <t>Triclopir-Butotílico Técnico Sumitomo</t>
        </is>
      </c>
      <c r="E1253" s="7" t="inlineStr">
        <is>
          <t>Embalagem Comercial do Produto</t>
        </is>
      </c>
      <c r="F1253" s="7" t="inlineStr">
        <is>
          <t>TAMBOR / BIG BAG INDUSTRIAL 250 KG</t>
        </is>
      </c>
      <c r="G1253" s="7" t="inlineStr">
        <is>
          <t>KG</t>
        </is>
      </c>
      <c r="H1253" s="9" t="n">
        <v>250</v>
      </c>
      <c r="I1253" s="7" t="inlineStr">
        <is>
          <t>3808.93.19</t>
        </is>
      </c>
      <c r="J1253" s="7" t="inlineStr">
        <is>
          <t>NÃO</t>
        </is>
      </c>
      <c r="K1253" s="7" t="inlineStr">
        <is>
          <t>Uso Industrial Exclusivo (PGRS / NBR 10004)</t>
        </is>
      </c>
      <c r="L1253" s="7" t="inlineStr">
        <is>
          <t>NÃO</t>
        </is>
      </c>
      <c r="M1253" s="7" t="inlineStr">
        <is>
          <t>0,00% (Lei nº 10.925/2004)</t>
        </is>
      </c>
      <c r="N1253" s="7" t="inlineStr">
        <is>
          <t>0,925% (LC nº 224/2025)</t>
        </is>
      </c>
      <c r="O1253" s="7" t="inlineStr">
        <is>
          <t>0,365% (LC nº 224/2025)</t>
        </is>
      </c>
      <c r="P1253" s="7" t="inlineStr">
        <is>
          <t>CST 06 (Uso Agrícola/Industrial)</t>
        </is>
      </c>
      <c r="Q1253" s="7" t="inlineStr">
        <is>
          <t>CST 73 (Revenda / Destinação)</t>
        </is>
      </c>
      <c r="R1253" s="7" t="inlineStr">
        <is>
          <t>Redução de 60% + Diferimento (Art. 138 LC 214/2025)</t>
        </is>
      </c>
    </row>
    <row r="1254" ht="22" customHeight="1">
      <c r="A1254" s="12" t="inlineStr">
        <is>
          <t>SKU-1250</t>
        </is>
      </c>
      <c r="B1254" s="11" t="n">
        <v>897</v>
      </c>
      <c r="C1254" s="13" t="inlineStr">
        <is>
          <t>Nº 17924</t>
        </is>
      </c>
      <c r="D1254" s="14" t="inlineStr">
        <is>
          <t>CIFRÃO</t>
        </is>
      </c>
      <c r="E1254" s="13" t="inlineStr">
        <is>
          <t>Embalagem Comercial do Produto</t>
        </is>
      </c>
      <c r="F1254" s="13" t="inlineStr">
        <is>
          <t>GALÃO / BOMBONA 5L A 20L (PADRÃO COMERCIAL)</t>
        </is>
      </c>
      <c r="G1254" s="13" t="inlineStr">
        <is>
          <t>LT</t>
        </is>
      </c>
      <c r="H1254" s="15" t="n">
        <v>5</v>
      </c>
      <c r="I1254" s="13" t="inlineStr">
        <is>
          <t>3808.91.99</t>
        </is>
      </c>
      <c r="J1254" s="13" t="inlineStr">
        <is>
          <t>NÃO</t>
        </is>
      </c>
      <c r="K1254" s="13" t="inlineStr">
        <is>
          <t>Embalagem Rígida — LAVÁVEL (Obrigatória Tríplice Lavagem ou Pressão)</t>
        </is>
      </c>
      <c r="L1254" s="13" t="inlineStr">
        <is>
          <t>NÃO</t>
        </is>
      </c>
      <c r="M1254" s="13" t="inlineStr">
        <is>
          <t>0,00% (Lei nº 10.925/2004)</t>
        </is>
      </c>
      <c r="N1254" s="13" t="inlineStr">
        <is>
          <t>0,925% (LC nº 224/2025)</t>
        </is>
      </c>
      <c r="O1254" s="13" t="inlineStr">
        <is>
          <t>0,365% (LC nº 224/2025)</t>
        </is>
      </c>
      <c r="P1254" s="13" t="inlineStr">
        <is>
          <t>CST 06</t>
        </is>
      </c>
      <c r="Q1254" s="13" t="inlineStr">
        <is>
          <t>CST 73</t>
        </is>
      </c>
      <c r="R1254" s="13" t="inlineStr">
        <is>
          <t>Redução de 60% + Diferimento (Art. 138 e Anexo IX LC 214/2025)</t>
        </is>
      </c>
    </row>
    <row r="1255" ht="22" customHeight="1">
      <c r="A1255" s="6" t="inlineStr">
        <is>
          <t>SKU-1251</t>
        </is>
      </c>
      <c r="B1255" s="5" t="n">
        <v>898</v>
      </c>
      <c r="C1255" s="7" t="inlineStr">
        <is>
          <t>VINC-17924</t>
        </is>
      </c>
      <c r="D1255" s="8" t="inlineStr">
        <is>
          <t>Imidacloprid 97 Técnico Helm</t>
        </is>
      </c>
      <c r="E1255" s="7" t="inlineStr">
        <is>
          <t>Embalagem Comercial do Produto</t>
        </is>
      </c>
      <c r="F1255" s="7" t="inlineStr">
        <is>
          <t>TAMBOR / BIG BAG INDUSTRIAL 250 KG</t>
        </is>
      </c>
      <c r="G1255" s="7" t="inlineStr">
        <is>
          <t>KG</t>
        </is>
      </c>
      <c r="H1255" s="9" t="n">
        <v>250</v>
      </c>
      <c r="I1255" s="7" t="inlineStr">
        <is>
          <t>3808.69.90</t>
        </is>
      </c>
      <c r="J1255" s="7" t="inlineStr">
        <is>
          <t>SIM</t>
        </is>
      </c>
      <c r="K1255" s="7" t="inlineStr">
        <is>
          <t>Uso Industrial Exclusivo (PGRS / NBR 10004)</t>
        </is>
      </c>
      <c r="L1255" s="7" t="inlineStr">
        <is>
          <t>NÃO</t>
        </is>
      </c>
      <c r="M1255" s="7" t="inlineStr">
        <is>
          <t>0,00% (Lei nº 10.925/2004)</t>
        </is>
      </c>
      <c r="N1255" s="7" t="inlineStr">
        <is>
          <t>0,925% (LC nº 224/2025)</t>
        </is>
      </c>
      <c r="O1255" s="7" t="inlineStr">
        <is>
          <t>0,365% (LC nº 224/2025)</t>
        </is>
      </c>
      <c r="P1255" s="7" t="inlineStr">
        <is>
          <t>CST 06 (Uso Agrícola/Industrial)</t>
        </is>
      </c>
      <c r="Q1255" s="7" t="inlineStr">
        <is>
          <t>CST 73 (Revenda / Destinação)</t>
        </is>
      </c>
      <c r="R1255" s="7" t="inlineStr">
        <is>
          <t>Redução de 60% + Diferimento (Art. 138 LC 214/2025)</t>
        </is>
      </c>
    </row>
    <row r="1256" ht="22" customHeight="1">
      <c r="A1256" s="12" t="inlineStr">
        <is>
          <t>SKU-1252</t>
        </is>
      </c>
      <c r="B1256" s="11" t="n">
        <v>899</v>
      </c>
      <c r="C1256" s="13" t="inlineStr">
        <is>
          <t>Nº 18024</t>
        </is>
      </c>
      <c r="D1256" s="14" t="inlineStr">
        <is>
          <t>P&amp;D 149 B</t>
        </is>
      </c>
      <c r="E1256" s="13" t="inlineStr">
        <is>
          <t>Embalagem Comercial do Produto</t>
        </is>
      </c>
      <c r="F1256" s="13" t="inlineStr">
        <is>
          <t>SACARIA / EMBALAGEM FLEXÍVEL 5KG A 25KG (PADRÃO COMERCIAL)</t>
        </is>
      </c>
      <c r="G1256" s="13" t="inlineStr">
        <is>
          <t>KG</t>
        </is>
      </c>
      <c r="H1256" s="15" t="n">
        <v>5</v>
      </c>
      <c r="I1256" s="13" t="inlineStr">
        <is>
          <t>3808.91.99</t>
        </is>
      </c>
      <c r="J1256" s="13" t="inlineStr">
        <is>
          <t>NÃO</t>
        </is>
      </c>
      <c r="K1256" s="13" t="inlineStr">
        <is>
          <t>Embalagem Flexível — NÃO LAVÁVEL (Perfurar e usar saco ABNT)</t>
        </is>
      </c>
      <c r="L1256" s="13" t="inlineStr">
        <is>
          <t>SIM (Saco Transparente ABNT)</t>
        </is>
      </c>
      <c r="M1256" s="13" t="inlineStr">
        <is>
          <t>0,00% (Lei nº 10.925/2004)</t>
        </is>
      </c>
      <c r="N1256" s="13" t="inlineStr">
        <is>
          <t>0,925% (LC nº 224/2025)</t>
        </is>
      </c>
      <c r="O1256" s="13" t="inlineStr">
        <is>
          <t>0,365% (LC nº 224/2025)</t>
        </is>
      </c>
      <c r="P1256" s="13" t="inlineStr">
        <is>
          <t>CST 06</t>
        </is>
      </c>
      <c r="Q1256" s="13" t="inlineStr">
        <is>
          <t>CST 73</t>
        </is>
      </c>
      <c r="R1256" s="13" t="inlineStr">
        <is>
          <t>Redução de 60% + Diferimento (Art. 138 e Anexo IX LC 214/2025)</t>
        </is>
      </c>
    </row>
    <row r="1257" ht="22" customHeight="1">
      <c r="A1257" s="6" t="inlineStr">
        <is>
          <t>SKU-1253</t>
        </is>
      </c>
      <c r="B1257" s="5" t="n">
        <v>900</v>
      </c>
      <c r="C1257" s="7" t="inlineStr">
        <is>
          <t>Nº 18124</t>
        </is>
      </c>
      <c r="D1257" s="8" t="inlineStr">
        <is>
          <t>EVOLUT DUO</t>
        </is>
      </c>
      <c r="E1257" s="7" t="inlineStr">
        <is>
          <t>Embalagem Comercial do Produto</t>
        </is>
      </c>
      <c r="F1257" s="7" t="inlineStr">
        <is>
          <t>SACARIA / EMBALAGEM FLEXÍVEL 5KG A 25KG (PADRÃO COMERCIAL)</t>
        </is>
      </c>
      <c r="G1257" s="7" t="inlineStr">
        <is>
          <t>KG</t>
        </is>
      </c>
      <c r="H1257" s="9" t="n">
        <v>5</v>
      </c>
      <c r="I1257" s="7" t="inlineStr">
        <is>
          <t>3808.91.99</t>
        </is>
      </c>
      <c r="J1257" s="7" t="inlineStr">
        <is>
          <t>NÃO</t>
        </is>
      </c>
      <c r="K1257" s="7" t="inlineStr">
        <is>
          <t>Embalagem Flexível — NÃO LAVÁVEL (Perfurar e usar saco ABNT)</t>
        </is>
      </c>
      <c r="L1257" s="7" t="inlineStr">
        <is>
          <t>SIM (Saco Transparente ABNT)</t>
        </is>
      </c>
      <c r="M1257" s="7" t="inlineStr">
        <is>
          <t>0,00% (Lei nº 10.925/2004)</t>
        </is>
      </c>
      <c r="N1257" s="7" t="inlineStr">
        <is>
          <t>0,925% (LC nº 224/2025)</t>
        </is>
      </c>
      <c r="O1257" s="7" t="inlineStr">
        <is>
          <t>0,365% (LC nº 224/2025)</t>
        </is>
      </c>
      <c r="P1257" s="7" t="inlineStr">
        <is>
          <t>CST 06</t>
        </is>
      </c>
      <c r="Q1257" s="7" t="inlineStr">
        <is>
          <t>CST 73</t>
        </is>
      </c>
      <c r="R1257" s="7" t="inlineStr">
        <is>
          <t>Redução de 60% + Diferimento (Art. 138 e Anexo IX LC 214/2025)</t>
        </is>
      </c>
    </row>
    <row r="1258" ht="22" customHeight="1">
      <c r="A1258" s="12" t="inlineStr">
        <is>
          <t>SKU-1254</t>
        </is>
      </c>
      <c r="B1258" s="11" t="n">
        <v>901</v>
      </c>
      <c r="C1258" s="13" t="inlineStr">
        <is>
          <t>Nº 18224</t>
        </is>
      </c>
      <c r="D1258" s="14" t="inlineStr">
        <is>
          <t>FUNGUS HIZIUM</t>
        </is>
      </c>
      <c r="E1258" s="13" t="inlineStr">
        <is>
          <t>Embalagem Comercial do Produto</t>
        </is>
      </c>
      <c r="F1258" s="13" t="inlineStr">
        <is>
          <t>GALÃO / BOMBONA 5L A 20L (PADRÃO COMERCIAL)</t>
        </is>
      </c>
      <c r="G1258" s="13" t="inlineStr">
        <is>
          <t>LT</t>
        </is>
      </c>
      <c r="H1258" s="15" t="n">
        <v>5</v>
      </c>
      <c r="I1258" s="13" t="inlineStr">
        <is>
          <t>3808.91.99</t>
        </is>
      </c>
      <c r="J1258" s="13" t="inlineStr">
        <is>
          <t>NÃO</t>
        </is>
      </c>
      <c r="K1258" s="13" t="inlineStr">
        <is>
          <t>Embalagem Rígida — LAVÁVEL (Obrigatória Tríplice Lavagem ou Pressão)</t>
        </is>
      </c>
      <c r="L1258" s="13" t="inlineStr">
        <is>
          <t>NÃO</t>
        </is>
      </c>
      <c r="M1258" s="13" t="inlineStr">
        <is>
          <t>0,00% (Lei nº 10.925/2004)</t>
        </is>
      </c>
      <c r="N1258" s="13" t="inlineStr">
        <is>
          <t>0,925% (LC nº 224/2025)</t>
        </is>
      </c>
      <c r="O1258" s="13" t="inlineStr">
        <is>
          <t>0,365% (LC nº 224/2025)</t>
        </is>
      </c>
      <c r="P1258" s="13" t="inlineStr">
        <is>
          <t>CST 06</t>
        </is>
      </c>
      <c r="Q1258" s="13" t="inlineStr">
        <is>
          <t>CST 73</t>
        </is>
      </c>
      <c r="R1258" s="13" t="inlineStr">
        <is>
          <t>Redução de 60% + Diferimento (Art. 138 e Anexo IX LC 214/2025)</t>
        </is>
      </c>
    </row>
    <row r="1259" ht="22" customHeight="1">
      <c r="A1259" s="6" t="inlineStr">
        <is>
          <t>SKU-1255</t>
        </is>
      </c>
      <c r="B1259" s="5" t="n">
        <v>902</v>
      </c>
      <c r="C1259" s="7" t="inlineStr">
        <is>
          <t>Nº 18324</t>
        </is>
      </c>
      <c r="D1259" s="8" t="inlineStr">
        <is>
          <t>GLÁDIOS</t>
        </is>
      </c>
      <c r="E1259" s="7" t="inlineStr">
        <is>
          <t>Embalagem Comercial do Produto</t>
        </is>
      </c>
      <c r="F1259" s="7" t="inlineStr">
        <is>
          <t>SACARIA / EMBALAGEM FLEXÍVEL 5KG A 25KG (PADRÃO COMERCIAL)</t>
        </is>
      </c>
      <c r="G1259" s="7" t="inlineStr">
        <is>
          <t>KG</t>
        </is>
      </c>
      <c r="H1259" s="9" t="n">
        <v>5</v>
      </c>
      <c r="I1259" s="7" t="inlineStr">
        <is>
          <t>3808.99.95</t>
        </is>
      </c>
      <c r="J1259" s="7" t="inlineStr">
        <is>
          <t>NÃO</t>
        </is>
      </c>
      <c r="K1259" s="7" t="inlineStr">
        <is>
          <t>Embalagem Flexível — NÃO LAVÁVEL (Perfurar e usar saco ABNT)</t>
        </is>
      </c>
      <c r="L1259" s="7" t="inlineStr">
        <is>
          <t>SIM (Saco Transparente ABNT)</t>
        </is>
      </c>
      <c r="M1259" s="7" t="inlineStr">
        <is>
          <t>0,00% (Lei nº 10.925/2004)</t>
        </is>
      </c>
      <c r="N1259" s="7" t="inlineStr">
        <is>
          <t>0,925% (LC nº 224/2025)</t>
        </is>
      </c>
      <c r="O1259" s="7" t="inlineStr">
        <is>
          <t>0,365% (LC nº 224/2025)</t>
        </is>
      </c>
      <c r="P1259" s="7" t="inlineStr">
        <is>
          <t>CST 06</t>
        </is>
      </c>
      <c r="Q1259" s="7" t="inlineStr">
        <is>
          <t>CST 73</t>
        </is>
      </c>
      <c r="R1259" s="7" t="inlineStr">
        <is>
          <t>Redução de 60% + Diferimento (Art. 138 e Anexo IX LC 214/2025)</t>
        </is>
      </c>
    </row>
    <row r="1260" ht="22" customHeight="1">
      <c r="A1260" s="12" t="inlineStr">
        <is>
          <t>SKU-1256</t>
        </is>
      </c>
      <c r="B1260" s="11" t="n">
        <v>903</v>
      </c>
      <c r="C1260" s="13" t="inlineStr">
        <is>
          <t>Nº 18424</t>
        </is>
      </c>
      <c r="D1260" s="14" t="inlineStr">
        <is>
          <t>PHOSAL</t>
        </is>
      </c>
      <c r="E1260" s="13" t="inlineStr">
        <is>
          <t>Embalagem Comercial do Produto</t>
        </is>
      </c>
      <c r="F1260" s="13" t="inlineStr">
        <is>
          <t>FRASCO / BOTIJÃO METÁLICO HERMÉTICO (1,0 A 1,5 KG)</t>
        </is>
      </c>
      <c r="G1260" s="13" t="inlineStr">
        <is>
          <t>KG</t>
        </is>
      </c>
      <c r="H1260" s="18" t="n">
        <v>1.5</v>
      </c>
      <c r="I1260" s="13" t="inlineStr">
        <is>
          <t>3808.91.93</t>
        </is>
      </c>
      <c r="J1260" s="13" t="inlineStr">
        <is>
          <t>NÃO</t>
        </is>
      </c>
      <c r="K1260" s="13" t="inlineStr">
        <is>
          <t>Embalagem Rígida Metálica — ESTRITAMENTE NÃO LAVÁVEL (Perigo Letal/Inflamável com Água)</t>
        </is>
      </c>
      <c r="L1260" s="13" t="inlineStr">
        <is>
          <t>NÃO (Devolução em Botijão Metálico Hermético Vedado)</t>
        </is>
      </c>
      <c r="M1260" s="13" t="inlineStr">
        <is>
          <t>0,00% (Lei nº 10.925/2004)</t>
        </is>
      </c>
      <c r="N1260" s="13" t="inlineStr">
        <is>
          <t>0,925% (LC nº 224/2025)</t>
        </is>
      </c>
      <c r="O1260" s="13" t="inlineStr">
        <is>
          <t>0,365% (LC nº 224/2025)</t>
        </is>
      </c>
      <c r="P1260" s="13" t="inlineStr">
        <is>
          <t>CST 06</t>
        </is>
      </c>
      <c r="Q1260" s="13" t="inlineStr">
        <is>
          <t>CST 73</t>
        </is>
      </c>
      <c r="R1260" s="13" t="inlineStr">
        <is>
          <t>Redução de 60% + Diferimento (Art. 138 e Anexo IX LC 214/2025)</t>
        </is>
      </c>
    </row>
    <row r="1261" ht="22" customHeight="1">
      <c r="A1261" s="6" t="inlineStr">
        <is>
          <t>SKU-1257</t>
        </is>
      </c>
      <c r="B1261" s="5" t="n">
        <v>904</v>
      </c>
      <c r="C1261" s="7" t="inlineStr">
        <is>
          <t>Nº 18524</t>
        </is>
      </c>
      <c r="D1261" s="8" t="inlineStr">
        <is>
          <t>BRADOOCK 72 WG BR</t>
        </is>
      </c>
      <c r="E1261" s="7" t="inlineStr">
        <is>
          <t>Embalagem Comercial do Produto</t>
        </is>
      </c>
      <c r="F1261" s="7" t="inlineStr">
        <is>
          <t>GALÃO / BOMBONA 5L A 20L (PADRÃO COMERCIAL)</t>
        </is>
      </c>
      <c r="G1261" s="7" t="inlineStr">
        <is>
          <t>KG</t>
        </is>
      </c>
      <c r="H1261" s="9" t="n">
        <v>5</v>
      </c>
      <c r="I1261" s="7" t="inlineStr">
        <is>
          <t>3808.93.19</t>
        </is>
      </c>
      <c r="J1261" s="7" t="inlineStr">
        <is>
          <t>NÃO</t>
        </is>
      </c>
      <c r="K1261" s="7" t="inlineStr">
        <is>
          <t>Uso Industrial Exclusivo (PGRS / NBR 10004)</t>
        </is>
      </c>
      <c r="L1261" s="7" t="inlineStr">
        <is>
          <t>NÃO</t>
        </is>
      </c>
      <c r="M1261" s="7" t="inlineStr">
        <is>
          <t>0,00% (Lei nº 10.925/2004)</t>
        </is>
      </c>
      <c r="N1261" s="7" t="inlineStr">
        <is>
          <t>0,925% (LC nº 224/2025)</t>
        </is>
      </c>
      <c r="O1261" s="7" t="inlineStr">
        <is>
          <t>0,365% (LC nº 224/2025)</t>
        </is>
      </c>
      <c r="P1261" s="7" t="inlineStr">
        <is>
          <t>CST 06 (Uso Agrícola/Industrial)</t>
        </is>
      </c>
      <c r="Q1261" s="7" t="inlineStr">
        <is>
          <t>CST 73 (Revenda / Destinação)</t>
        </is>
      </c>
      <c r="R1261" s="7" t="inlineStr">
        <is>
          <t>Redução de 60% + Diferimento (Art. 138 LC 214/2025)</t>
        </is>
      </c>
    </row>
    <row r="1262" ht="22" customHeight="1">
      <c r="A1262" s="12" t="inlineStr">
        <is>
          <t>SKU-1258</t>
        </is>
      </c>
      <c r="B1262" s="11" t="n">
        <v>905</v>
      </c>
      <c r="C1262" s="13" t="inlineStr">
        <is>
          <t>VINC-18524</t>
        </is>
      </c>
      <c r="D1262" s="14" t="inlineStr">
        <is>
          <t>Glifosato Técnico Biorisk</t>
        </is>
      </c>
      <c r="E1262" s="13" t="inlineStr">
        <is>
          <t>Embalagem Comercial do Produto</t>
        </is>
      </c>
      <c r="F1262" s="13" t="inlineStr">
        <is>
          <t>TAMBOR / BIG BAG INDUSTRIAL 250 KG</t>
        </is>
      </c>
      <c r="G1262" s="13" t="inlineStr">
        <is>
          <t>KG</t>
        </is>
      </c>
      <c r="H1262" s="15" t="n">
        <v>250</v>
      </c>
      <c r="I1262" s="13" t="inlineStr">
        <is>
          <t>3808.93.19</t>
        </is>
      </c>
      <c r="J1262" s="13" t="inlineStr">
        <is>
          <t>NÃO</t>
        </is>
      </c>
      <c r="K1262" s="13" t="inlineStr">
        <is>
          <t>Uso Industrial Exclusivo (PGRS / NBR 10004)</t>
        </is>
      </c>
      <c r="L1262" s="13" t="inlineStr">
        <is>
          <t>NÃO</t>
        </is>
      </c>
      <c r="M1262" s="13" t="inlineStr">
        <is>
          <t>0,00% (Lei nº 10.925/2004)</t>
        </is>
      </c>
      <c r="N1262" s="13" t="inlineStr">
        <is>
          <t>0,925% (LC nº 224/2025)</t>
        </is>
      </c>
      <c r="O1262" s="13" t="inlineStr">
        <is>
          <t>0,365% (LC nº 224/2025)</t>
        </is>
      </c>
      <c r="P1262" s="13" t="inlineStr">
        <is>
          <t>CST 06 (Uso Agrícola/Industrial)</t>
        </is>
      </c>
      <c r="Q1262" s="13" t="inlineStr">
        <is>
          <t>CST 73 (Revenda / Destinação)</t>
        </is>
      </c>
      <c r="R1262" s="13" t="inlineStr">
        <is>
          <t>Redução de 60% + Diferimento (Art. 138 LC 214/2025)</t>
        </is>
      </c>
    </row>
    <row r="1263" ht="22" customHeight="1">
      <c r="A1263" s="6" t="inlineStr">
        <is>
          <t>SKU-1259</t>
        </is>
      </c>
      <c r="B1263" s="5" t="n">
        <v>906</v>
      </c>
      <c r="C1263" s="7" t="inlineStr">
        <is>
          <t>Nº 18624</t>
        </is>
      </c>
      <c r="D1263" s="8" t="inlineStr">
        <is>
          <t>ORSA 400 EC</t>
        </is>
      </c>
      <c r="E1263" s="7" t="inlineStr">
        <is>
          <t>Embalagem Comercial do Produto</t>
        </is>
      </c>
      <c r="F1263" s="7" t="inlineStr">
        <is>
          <t>GALÃO / BOMBONA 5L A 20L (PADRÃO COMERCIAL)</t>
        </is>
      </c>
      <c r="G1263" s="7" t="inlineStr">
        <is>
          <t>LT</t>
        </is>
      </c>
      <c r="H1263" s="9" t="n">
        <v>5</v>
      </c>
      <c r="I1263" s="7" t="inlineStr">
        <is>
          <t>3808.62.90</t>
        </is>
      </c>
      <c r="J1263" s="7" t="inlineStr">
        <is>
          <t>SIM</t>
        </is>
      </c>
      <c r="K1263" s="7" t="inlineStr">
        <is>
          <t>Embalagem Rígida — LAVÁVEL (Obrigatória Tríplice Lavagem ou Pressão)</t>
        </is>
      </c>
      <c r="L1263" s="7" t="inlineStr">
        <is>
          <t>NÃO</t>
        </is>
      </c>
      <c r="M1263" s="7" t="inlineStr">
        <is>
          <t>0,00% (Lei nº 10.925/2004)</t>
        </is>
      </c>
      <c r="N1263" s="7" t="inlineStr">
        <is>
          <t>0,925% (LC nº 224/2025)</t>
        </is>
      </c>
      <c r="O1263" s="7" t="inlineStr">
        <is>
          <t>0,365% (LC nº 224/2025)</t>
        </is>
      </c>
      <c r="P1263" s="7" t="inlineStr">
        <is>
          <t>CST 06</t>
        </is>
      </c>
      <c r="Q1263" s="7" t="inlineStr">
        <is>
          <t>CST 73</t>
        </is>
      </c>
      <c r="R1263" s="7" t="inlineStr">
        <is>
          <t>Redução de 60% + Diferimento (Art. 138 e Anexo IX LC 214/2025)</t>
        </is>
      </c>
    </row>
    <row r="1264" ht="22" customHeight="1">
      <c r="A1264" s="12" t="inlineStr">
        <is>
          <t>SKU-1260</t>
        </is>
      </c>
      <c r="B1264" s="11" t="n">
        <v>906</v>
      </c>
      <c r="C1264" s="13" t="inlineStr">
        <is>
          <t>Nº 18624</t>
        </is>
      </c>
      <c r="D1264" s="14" t="inlineStr">
        <is>
          <t>ORSA 400 EC</t>
        </is>
      </c>
      <c r="E1264" s="13" t="inlineStr">
        <is>
          <t>Faixa 1 TIPI (Apresentação &lt;= 300 g ou mL)</t>
        </is>
      </c>
      <c r="F1264" s="13" t="inlineStr">
        <is>
          <t>Fracionado / Amostra &lt;= 0,3 LT</t>
        </is>
      </c>
      <c r="G1264" s="13" t="inlineStr">
        <is>
          <t>LT</t>
        </is>
      </c>
      <c r="H1264" s="18" t="n">
        <v>0.3</v>
      </c>
      <c r="I1264" s="13" t="inlineStr">
        <is>
          <t>3808.61.00</t>
        </is>
      </c>
      <c r="J1264" s="13" t="inlineStr">
        <is>
          <t>SIM</t>
        </is>
      </c>
      <c r="K1264" s="13" t="inlineStr">
        <is>
          <t>Embalagem Rígida — LAVÁVEL (Obrigatória Tríplice Lavagem ou Pressão)</t>
        </is>
      </c>
      <c r="L1264" s="13" t="inlineStr">
        <is>
          <t>NÃO</t>
        </is>
      </c>
      <c r="M1264" s="13" t="inlineStr">
        <is>
          <t>0,00% (Lei nº 10.925/2004)</t>
        </is>
      </c>
      <c r="N1264" s="13" t="inlineStr">
        <is>
          <t>0,925% (LC nº 224/2025)</t>
        </is>
      </c>
      <c r="O1264" s="13" t="inlineStr">
        <is>
          <t>0,365% (LC nº 224/2025)</t>
        </is>
      </c>
      <c r="P1264" s="13" t="inlineStr">
        <is>
          <t>CST 06</t>
        </is>
      </c>
      <c r="Q1264" s="13" t="inlineStr">
        <is>
          <t>CST 73</t>
        </is>
      </c>
      <c r="R1264" s="13" t="inlineStr">
        <is>
          <t>Redução de 60% + Diferimento (Art. 138 e Anexo IX LC 214/2025)</t>
        </is>
      </c>
    </row>
    <row r="1265" ht="22" customHeight="1">
      <c r="A1265" s="6" t="inlineStr">
        <is>
          <t>SKU-1261</t>
        </is>
      </c>
      <c r="B1265" s="5" t="n">
        <v>907</v>
      </c>
      <c r="C1265" s="7" t="inlineStr">
        <is>
          <t>Nº 18624</t>
        </is>
      </c>
      <c r="D1265" s="8" t="inlineStr">
        <is>
          <t>BIFENTRINA 400 EC TECNOMYL</t>
        </is>
      </c>
      <c r="E1265" s="7" t="inlineStr">
        <is>
          <t>Embalagem Comercial do Produto</t>
        </is>
      </c>
      <c r="F1265" s="7" t="inlineStr">
        <is>
          <t>GALÃO / BOMBONA 5L A 20L (PADRÃO COMERCIAL)</t>
        </is>
      </c>
      <c r="G1265" s="7" t="inlineStr">
        <is>
          <t>LT</t>
        </is>
      </c>
      <c r="H1265" s="9" t="n">
        <v>5</v>
      </c>
      <c r="I1265" s="7" t="inlineStr">
        <is>
          <t>3808.62.90</t>
        </is>
      </c>
      <c r="J1265" s="7" t="inlineStr">
        <is>
          <t>SIM</t>
        </is>
      </c>
      <c r="K1265" s="7" t="inlineStr">
        <is>
          <t>Embalagem Rígida — LAVÁVEL (Obrigatória Tríplice Lavagem ou Pressão)</t>
        </is>
      </c>
      <c r="L1265" s="7" t="inlineStr">
        <is>
          <t>NÃO</t>
        </is>
      </c>
      <c r="M1265" s="7" t="inlineStr">
        <is>
          <t>0,00% (Lei nº 10.925/2004)</t>
        </is>
      </c>
      <c r="N1265" s="7" t="inlineStr">
        <is>
          <t>0,925% (LC nº 224/2025)</t>
        </is>
      </c>
      <c r="O1265" s="7" t="inlineStr">
        <is>
          <t>0,365% (LC nº 224/2025)</t>
        </is>
      </c>
      <c r="P1265" s="7" t="inlineStr">
        <is>
          <t>CST 06</t>
        </is>
      </c>
      <c r="Q1265" s="7" t="inlineStr">
        <is>
          <t>CST 73</t>
        </is>
      </c>
      <c r="R1265" s="7" t="inlineStr">
        <is>
          <t>Redução de 60% + Diferimento (Art. 138 e Anexo IX LC 214/2025)</t>
        </is>
      </c>
    </row>
    <row r="1266" ht="22" customHeight="1">
      <c r="A1266" s="12" t="inlineStr">
        <is>
          <t>SKU-1262</t>
        </is>
      </c>
      <c r="B1266" s="11" t="n">
        <v>907</v>
      </c>
      <c r="C1266" s="13" t="inlineStr">
        <is>
          <t>Nº 18624</t>
        </is>
      </c>
      <c r="D1266" s="14" t="inlineStr">
        <is>
          <t>BIFENTRINA 400 EC TECNOMYL</t>
        </is>
      </c>
      <c r="E1266" s="13" t="inlineStr">
        <is>
          <t>Faixa 1 TIPI (Apresentação &lt;= 300 g ou mL)</t>
        </is>
      </c>
      <c r="F1266" s="13" t="inlineStr">
        <is>
          <t>Fracionado / Amostra &lt;= 0,3 LT</t>
        </is>
      </c>
      <c r="G1266" s="13" t="inlineStr">
        <is>
          <t>LT</t>
        </is>
      </c>
      <c r="H1266" s="18" t="n">
        <v>0.3</v>
      </c>
      <c r="I1266" s="13" t="inlineStr">
        <is>
          <t>3808.61.00</t>
        </is>
      </c>
      <c r="J1266" s="13" t="inlineStr">
        <is>
          <t>SIM</t>
        </is>
      </c>
      <c r="K1266" s="13" t="inlineStr">
        <is>
          <t>Embalagem Rígida — LAVÁVEL (Obrigatória Tríplice Lavagem ou Pressão)</t>
        </is>
      </c>
      <c r="L1266" s="13" t="inlineStr">
        <is>
          <t>NÃO</t>
        </is>
      </c>
      <c r="M1266" s="13" t="inlineStr">
        <is>
          <t>0,00% (Lei nº 10.925/2004)</t>
        </is>
      </c>
      <c r="N1266" s="13" t="inlineStr">
        <is>
          <t>0,925% (LC nº 224/2025)</t>
        </is>
      </c>
      <c r="O1266" s="13" t="inlineStr">
        <is>
          <t>0,365% (LC nº 224/2025)</t>
        </is>
      </c>
      <c r="P1266" s="13" t="inlineStr">
        <is>
          <t>CST 06</t>
        </is>
      </c>
      <c r="Q1266" s="13" t="inlineStr">
        <is>
          <t>CST 73</t>
        </is>
      </c>
      <c r="R1266" s="13" t="inlineStr">
        <is>
          <t>Redução de 60% + Diferimento (Art. 138 e Anexo IX LC 214/2025)</t>
        </is>
      </c>
    </row>
    <row r="1267" ht="22" customHeight="1">
      <c r="A1267" s="6" t="inlineStr">
        <is>
          <t>SKU-1263</t>
        </is>
      </c>
      <c r="B1267" s="5" t="n">
        <v>908</v>
      </c>
      <c r="C1267" s="7" t="inlineStr">
        <is>
          <t>Nº 18624</t>
        </is>
      </c>
      <c r="D1267" s="8" t="inlineStr">
        <is>
          <t>BIFENTRINA 400 EC TECNOMYL I</t>
        </is>
      </c>
      <c r="E1267" s="7" t="inlineStr">
        <is>
          <t>Embalagem Comercial do Produto</t>
        </is>
      </c>
      <c r="F1267" s="7" t="inlineStr">
        <is>
          <t>GALÃO / BOMBONA 5L A 20L (PADRÃO COMERCIAL)</t>
        </is>
      </c>
      <c r="G1267" s="7" t="inlineStr">
        <is>
          <t>LT</t>
        </is>
      </c>
      <c r="H1267" s="9" t="n">
        <v>5</v>
      </c>
      <c r="I1267" s="7" t="inlineStr">
        <is>
          <t>3808.62.90</t>
        </is>
      </c>
      <c r="J1267" s="7" t="inlineStr">
        <is>
          <t>SIM</t>
        </is>
      </c>
      <c r="K1267" s="7" t="inlineStr">
        <is>
          <t>Embalagem Rígida — LAVÁVEL (Obrigatória Tríplice Lavagem ou Pressão)</t>
        </is>
      </c>
      <c r="L1267" s="7" t="inlineStr">
        <is>
          <t>NÃO</t>
        </is>
      </c>
      <c r="M1267" s="7" t="inlineStr">
        <is>
          <t>0,00% (Lei nº 10.925/2004)</t>
        </is>
      </c>
      <c r="N1267" s="7" t="inlineStr">
        <is>
          <t>0,925% (LC nº 224/2025)</t>
        </is>
      </c>
      <c r="O1267" s="7" t="inlineStr">
        <is>
          <t>0,365% (LC nº 224/2025)</t>
        </is>
      </c>
      <c r="P1267" s="7" t="inlineStr">
        <is>
          <t>CST 06</t>
        </is>
      </c>
      <c r="Q1267" s="7" t="inlineStr">
        <is>
          <t>CST 73</t>
        </is>
      </c>
      <c r="R1267" s="7" t="inlineStr">
        <is>
          <t>Redução de 60% + Diferimento (Art. 138 e Anexo IX LC 214/2025)</t>
        </is>
      </c>
    </row>
    <row r="1268" ht="22" customHeight="1">
      <c r="A1268" s="12" t="inlineStr">
        <is>
          <t>SKU-1264</t>
        </is>
      </c>
      <c r="B1268" s="11" t="n">
        <v>908</v>
      </c>
      <c r="C1268" s="13" t="inlineStr">
        <is>
          <t>Nº 18624</t>
        </is>
      </c>
      <c r="D1268" s="14" t="inlineStr">
        <is>
          <t>BIFENTRINA 400 EC TECNOMYL I</t>
        </is>
      </c>
      <c r="E1268" s="13" t="inlineStr">
        <is>
          <t>Faixa 1 TIPI (Apresentação &lt;= 300 g ou mL)</t>
        </is>
      </c>
      <c r="F1268" s="13" t="inlineStr">
        <is>
          <t>Fracionado / Amostra &lt;= 0,3 LT</t>
        </is>
      </c>
      <c r="G1268" s="13" t="inlineStr">
        <is>
          <t>LT</t>
        </is>
      </c>
      <c r="H1268" s="18" t="n">
        <v>0.3</v>
      </c>
      <c r="I1268" s="13" t="inlineStr">
        <is>
          <t>3808.61.00</t>
        </is>
      </c>
      <c r="J1268" s="13" t="inlineStr">
        <is>
          <t>SIM</t>
        </is>
      </c>
      <c r="K1268" s="13" t="inlineStr">
        <is>
          <t>Embalagem Rígida — LAVÁVEL (Obrigatória Tríplice Lavagem ou Pressão)</t>
        </is>
      </c>
      <c r="L1268" s="13" t="inlineStr">
        <is>
          <t>NÃO</t>
        </is>
      </c>
      <c r="M1268" s="13" t="inlineStr">
        <is>
          <t>0,00% (Lei nº 10.925/2004)</t>
        </is>
      </c>
      <c r="N1268" s="13" t="inlineStr">
        <is>
          <t>0,925% (LC nº 224/2025)</t>
        </is>
      </c>
      <c r="O1268" s="13" t="inlineStr">
        <is>
          <t>0,365% (LC nº 224/2025)</t>
        </is>
      </c>
      <c r="P1268" s="13" t="inlineStr">
        <is>
          <t>CST 06</t>
        </is>
      </c>
      <c r="Q1268" s="13" t="inlineStr">
        <is>
          <t>CST 73</t>
        </is>
      </c>
      <c r="R1268" s="13" t="inlineStr">
        <is>
          <t>Redução de 60% + Diferimento (Art. 138 e Anexo IX LC 214/2025)</t>
        </is>
      </c>
    </row>
    <row r="1269" ht="22" customHeight="1">
      <c r="A1269" s="6" t="inlineStr">
        <is>
          <t>SKU-1265</t>
        </is>
      </c>
      <c r="B1269" s="5" t="n">
        <v>909</v>
      </c>
      <c r="C1269" s="7" t="inlineStr">
        <is>
          <t>Nº 18624</t>
        </is>
      </c>
      <c r="D1269" s="8" t="inlineStr">
        <is>
          <t>BIFENTRINA 400 EC TECNOMYL II</t>
        </is>
      </c>
      <c r="E1269" s="7" t="inlineStr">
        <is>
          <t>Embalagem Comercial do Produto</t>
        </is>
      </c>
      <c r="F1269" s="7" t="inlineStr">
        <is>
          <t>GALÃO / BOMBONA 5L A 20L (PADRÃO COMERCIAL)</t>
        </is>
      </c>
      <c r="G1269" s="7" t="inlineStr">
        <is>
          <t>LT</t>
        </is>
      </c>
      <c r="H1269" s="9" t="n">
        <v>5</v>
      </c>
      <c r="I1269" s="7" t="inlineStr">
        <is>
          <t>3808.62.90</t>
        </is>
      </c>
      <c r="J1269" s="7" t="inlineStr">
        <is>
          <t>SIM</t>
        </is>
      </c>
      <c r="K1269" s="7" t="inlineStr">
        <is>
          <t>Embalagem Rígida — LAVÁVEL (Obrigatória Tríplice Lavagem ou Pressão)</t>
        </is>
      </c>
      <c r="L1269" s="7" t="inlineStr">
        <is>
          <t>NÃO</t>
        </is>
      </c>
      <c r="M1269" s="7" t="inlineStr">
        <is>
          <t>0,00% (Lei nº 10.925/2004)</t>
        </is>
      </c>
      <c r="N1269" s="7" t="inlineStr">
        <is>
          <t>0,925% (LC nº 224/2025)</t>
        </is>
      </c>
      <c r="O1269" s="7" t="inlineStr">
        <is>
          <t>0,365% (LC nº 224/2025)</t>
        </is>
      </c>
      <c r="P1269" s="7" t="inlineStr">
        <is>
          <t>CST 06</t>
        </is>
      </c>
      <c r="Q1269" s="7" t="inlineStr">
        <is>
          <t>CST 73</t>
        </is>
      </c>
      <c r="R1269" s="7" t="inlineStr">
        <is>
          <t>Redução de 60% + Diferimento (Art. 138 e Anexo IX LC 214/2025)</t>
        </is>
      </c>
    </row>
    <row r="1270" ht="22" customHeight="1">
      <c r="A1270" s="12" t="inlineStr">
        <is>
          <t>SKU-1266</t>
        </is>
      </c>
      <c r="B1270" s="11" t="n">
        <v>909</v>
      </c>
      <c r="C1270" s="13" t="inlineStr">
        <is>
          <t>Nº 18624</t>
        </is>
      </c>
      <c r="D1270" s="14" t="inlineStr">
        <is>
          <t>BIFENTRINA 400 EC TECNOMYL II</t>
        </is>
      </c>
      <c r="E1270" s="13" t="inlineStr">
        <is>
          <t>Faixa 1 TIPI (Apresentação &lt;= 300 g ou mL)</t>
        </is>
      </c>
      <c r="F1270" s="13" t="inlineStr">
        <is>
          <t>Fracionado / Amostra &lt;= 0,3 LT</t>
        </is>
      </c>
      <c r="G1270" s="13" t="inlineStr">
        <is>
          <t>LT</t>
        </is>
      </c>
      <c r="H1270" s="18" t="n">
        <v>0.3</v>
      </c>
      <c r="I1270" s="13" t="inlineStr">
        <is>
          <t>3808.61.00</t>
        </is>
      </c>
      <c r="J1270" s="13" t="inlineStr">
        <is>
          <t>SIM</t>
        </is>
      </c>
      <c r="K1270" s="13" t="inlineStr">
        <is>
          <t>Embalagem Rígida — LAVÁVEL (Obrigatória Tríplice Lavagem ou Pressão)</t>
        </is>
      </c>
      <c r="L1270" s="13" t="inlineStr">
        <is>
          <t>NÃO</t>
        </is>
      </c>
      <c r="M1270" s="13" t="inlineStr">
        <is>
          <t>0,00% (Lei nº 10.925/2004)</t>
        </is>
      </c>
      <c r="N1270" s="13" t="inlineStr">
        <is>
          <t>0,925% (LC nº 224/2025)</t>
        </is>
      </c>
      <c r="O1270" s="13" t="inlineStr">
        <is>
          <t>0,365% (LC nº 224/2025)</t>
        </is>
      </c>
      <c r="P1270" s="13" t="inlineStr">
        <is>
          <t>CST 06</t>
        </is>
      </c>
      <c r="Q1270" s="13" t="inlineStr">
        <is>
          <t>CST 73</t>
        </is>
      </c>
      <c r="R1270" s="13" t="inlineStr">
        <is>
          <t>Redução de 60% + Diferimento (Art. 138 e Anexo IX LC 214/2025)</t>
        </is>
      </c>
    </row>
    <row r="1271" ht="22" customHeight="1">
      <c r="A1271" s="6" t="inlineStr">
        <is>
          <t>SKU-1267</t>
        </is>
      </c>
      <c r="B1271" s="5" t="n">
        <v>910</v>
      </c>
      <c r="C1271" s="7" t="inlineStr">
        <is>
          <t>Nº 18624</t>
        </is>
      </c>
      <c r="D1271" s="8" t="inlineStr">
        <is>
          <t>BIFENTRINA 400 EC TECNOMYL III</t>
        </is>
      </c>
      <c r="E1271" s="7" t="inlineStr">
        <is>
          <t>Embalagem Comercial do Produto</t>
        </is>
      </c>
      <c r="F1271" s="7" t="inlineStr">
        <is>
          <t>GALÃO / BOMBONA 5L A 20L (PADRÃO COMERCIAL)</t>
        </is>
      </c>
      <c r="G1271" s="7" t="inlineStr">
        <is>
          <t>LT</t>
        </is>
      </c>
      <c r="H1271" s="9" t="n">
        <v>5</v>
      </c>
      <c r="I1271" s="7" t="inlineStr">
        <is>
          <t>3808.62.90</t>
        </is>
      </c>
      <c r="J1271" s="7" t="inlineStr">
        <is>
          <t>SIM</t>
        </is>
      </c>
      <c r="K1271" s="7" t="inlineStr">
        <is>
          <t>Embalagem Rígida — LAVÁVEL (Obrigatória Tríplice Lavagem ou Pressão)</t>
        </is>
      </c>
      <c r="L1271" s="7" t="inlineStr">
        <is>
          <t>NÃO</t>
        </is>
      </c>
      <c r="M1271" s="7" t="inlineStr">
        <is>
          <t>0,00% (Lei nº 10.925/2004)</t>
        </is>
      </c>
      <c r="N1271" s="7" t="inlineStr">
        <is>
          <t>0,925% (LC nº 224/2025)</t>
        </is>
      </c>
      <c r="O1271" s="7" t="inlineStr">
        <is>
          <t>0,365% (LC nº 224/2025)</t>
        </is>
      </c>
      <c r="P1271" s="7" t="inlineStr">
        <is>
          <t>CST 06</t>
        </is>
      </c>
      <c r="Q1271" s="7" t="inlineStr">
        <is>
          <t>CST 73</t>
        </is>
      </c>
      <c r="R1271" s="7" t="inlineStr">
        <is>
          <t>Redução de 60% + Diferimento (Art. 138 e Anexo IX LC 214/2025)</t>
        </is>
      </c>
    </row>
    <row r="1272" ht="22" customHeight="1">
      <c r="A1272" s="12" t="inlineStr">
        <is>
          <t>SKU-1268</t>
        </is>
      </c>
      <c r="B1272" s="11" t="n">
        <v>910</v>
      </c>
      <c r="C1272" s="13" t="inlineStr">
        <is>
          <t>Nº 18624</t>
        </is>
      </c>
      <c r="D1272" s="14" t="inlineStr">
        <is>
          <t>BIFENTRINA 400 EC TECNOMYL III</t>
        </is>
      </c>
      <c r="E1272" s="13" t="inlineStr">
        <is>
          <t>Faixa 1 TIPI (Apresentação &lt;= 300 g ou mL)</t>
        </is>
      </c>
      <c r="F1272" s="13" t="inlineStr">
        <is>
          <t>Fracionado / Amostra &lt;= 0,3 LT</t>
        </is>
      </c>
      <c r="G1272" s="13" t="inlineStr">
        <is>
          <t>LT</t>
        </is>
      </c>
      <c r="H1272" s="18" t="n">
        <v>0.3</v>
      </c>
      <c r="I1272" s="13" t="inlineStr">
        <is>
          <t>3808.61.00</t>
        </is>
      </c>
      <c r="J1272" s="13" t="inlineStr">
        <is>
          <t>SIM</t>
        </is>
      </c>
      <c r="K1272" s="13" t="inlineStr">
        <is>
          <t>Embalagem Rígida — LAVÁVEL (Obrigatória Tríplice Lavagem ou Pressão)</t>
        </is>
      </c>
      <c r="L1272" s="13" t="inlineStr">
        <is>
          <t>NÃO</t>
        </is>
      </c>
      <c r="M1272" s="13" t="inlineStr">
        <is>
          <t>0,00% (Lei nº 10.925/2004)</t>
        </is>
      </c>
      <c r="N1272" s="13" t="inlineStr">
        <is>
          <t>0,925% (LC nº 224/2025)</t>
        </is>
      </c>
      <c r="O1272" s="13" t="inlineStr">
        <is>
          <t>0,365% (LC nº 224/2025)</t>
        </is>
      </c>
      <c r="P1272" s="13" t="inlineStr">
        <is>
          <t>CST 06</t>
        </is>
      </c>
      <c r="Q1272" s="13" t="inlineStr">
        <is>
          <t>CST 73</t>
        </is>
      </c>
      <c r="R1272" s="13" t="inlineStr">
        <is>
          <t>Redução de 60% + Diferimento (Art. 138 e Anexo IX LC 214/2025)</t>
        </is>
      </c>
    </row>
    <row r="1273" ht="22" customHeight="1">
      <c r="A1273" s="6" t="inlineStr">
        <is>
          <t>SKU-1269</t>
        </is>
      </c>
      <c r="B1273" s="5" t="n">
        <v>911</v>
      </c>
      <c r="C1273" s="7" t="inlineStr">
        <is>
          <t>VINC-18624</t>
        </is>
      </c>
      <c r="D1273" s="8" t="inlineStr">
        <is>
          <t>Bifentrina Técnico Tecnomyl</t>
        </is>
      </c>
      <c r="E1273" s="7" t="inlineStr">
        <is>
          <t>Embalagem Comercial do Produto</t>
        </is>
      </c>
      <c r="F1273" s="7" t="inlineStr">
        <is>
          <t>TAMBOR / BIG BAG INDUSTRIAL 250 KG</t>
        </is>
      </c>
      <c r="G1273" s="7" t="inlineStr">
        <is>
          <t>KG</t>
        </is>
      </c>
      <c r="H1273" s="9" t="n">
        <v>250</v>
      </c>
      <c r="I1273" s="7" t="inlineStr">
        <is>
          <t>3808.69.90</t>
        </is>
      </c>
      <c r="J1273" s="7" t="inlineStr">
        <is>
          <t>SIM</t>
        </is>
      </c>
      <c r="K1273" s="7" t="inlineStr">
        <is>
          <t>Uso Industrial Exclusivo (PGRS / NBR 10004)</t>
        </is>
      </c>
      <c r="L1273" s="7" t="inlineStr">
        <is>
          <t>NÃO</t>
        </is>
      </c>
      <c r="M1273" s="7" t="inlineStr">
        <is>
          <t>0,00% (Lei nº 10.925/2004)</t>
        </is>
      </c>
      <c r="N1273" s="7" t="inlineStr">
        <is>
          <t>0,925% (LC nº 224/2025)</t>
        </is>
      </c>
      <c r="O1273" s="7" t="inlineStr">
        <is>
          <t>0,365% (LC nº 224/2025)</t>
        </is>
      </c>
      <c r="P1273" s="7" t="inlineStr">
        <is>
          <t>CST 06 (Uso Agrícola/Industrial)</t>
        </is>
      </c>
      <c r="Q1273" s="7" t="inlineStr">
        <is>
          <t>CST 73 (Revenda / Destinação)</t>
        </is>
      </c>
      <c r="R1273" s="7" t="inlineStr">
        <is>
          <t>Redução de 60% + Diferimento (Art. 138 LC 214/2025)</t>
        </is>
      </c>
    </row>
    <row r="1274" ht="22" customHeight="1">
      <c r="A1274" s="12" t="inlineStr">
        <is>
          <t>SKU-1270</t>
        </is>
      </c>
      <c r="B1274" s="11" t="n">
        <v>912</v>
      </c>
      <c r="C1274" s="13" t="inlineStr">
        <is>
          <t>Nº 18724</t>
        </is>
      </c>
      <c r="D1274" s="14" t="inlineStr">
        <is>
          <t>PYRIPROXYFEN WOOD 100 EC</t>
        </is>
      </c>
      <c r="E1274" s="13" t="inlineStr">
        <is>
          <t>Embalagem Comercial do Produto</t>
        </is>
      </c>
      <c r="F1274" s="13" t="inlineStr">
        <is>
          <t>GALÃO / BOMBONA 5L A 20L (PADRÃO COMERCIAL)</t>
        </is>
      </c>
      <c r="G1274" s="13" t="inlineStr">
        <is>
          <t>LT</t>
        </is>
      </c>
      <c r="H1274" s="15" t="n">
        <v>5</v>
      </c>
      <c r="I1274" s="13" t="inlineStr">
        <is>
          <t>3808.91.99</t>
        </is>
      </c>
      <c r="J1274" s="13" t="inlineStr">
        <is>
          <t>NÃO</t>
        </is>
      </c>
      <c r="K1274" s="13" t="inlineStr">
        <is>
          <t>Uso Industrial Exclusivo (PGRS / NBR 10004)</t>
        </is>
      </c>
      <c r="L1274" s="13" t="inlineStr">
        <is>
          <t>NÃO</t>
        </is>
      </c>
      <c r="M1274" s="13" t="inlineStr">
        <is>
          <t>0,00% (Lei nº 10.925/2004)</t>
        </is>
      </c>
      <c r="N1274" s="13" t="inlineStr">
        <is>
          <t>0,925% (LC nº 224/2025)</t>
        </is>
      </c>
      <c r="O1274" s="13" t="inlineStr">
        <is>
          <t>0,365% (LC nº 224/2025)</t>
        </is>
      </c>
      <c r="P1274" s="13" t="inlineStr">
        <is>
          <t>CST 06 (Uso Agrícola/Industrial)</t>
        </is>
      </c>
      <c r="Q1274" s="13" t="inlineStr">
        <is>
          <t>CST 73 (Revenda / Destinação)</t>
        </is>
      </c>
      <c r="R1274" s="13" t="inlineStr">
        <is>
          <t>Redução de 60% + Diferimento (Art. 138 LC 214/2025)</t>
        </is>
      </c>
    </row>
    <row r="1275" ht="22" customHeight="1">
      <c r="A1275" s="6" t="inlineStr">
        <is>
          <t>SKU-1271</t>
        </is>
      </c>
      <c r="B1275" s="5" t="n">
        <v>913</v>
      </c>
      <c r="C1275" s="7" t="inlineStr">
        <is>
          <t>VINC-18724</t>
        </is>
      </c>
      <c r="D1275" s="8" t="inlineStr">
        <is>
          <t>Pyriproxyfen Técnico Sino-Agri</t>
        </is>
      </c>
      <c r="E1275" s="7" t="inlineStr">
        <is>
          <t>Embalagem Comercial do Produto</t>
        </is>
      </c>
      <c r="F1275" s="7" t="inlineStr">
        <is>
          <t>TAMBOR / BIG BAG INDUSTRIAL 250 KG</t>
        </is>
      </c>
      <c r="G1275" s="7" t="inlineStr">
        <is>
          <t>KG</t>
        </is>
      </c>
      <c r="H1275" s="9" t="n">
        <v>250</v>
      </c>
      <c r="I1275" s="7" t="inlineStr">
        <is>
          <t>3808.91.20</t>
        </is>
      </c>
      <c r="J1275" s="7" t="inlineStr">
        <is>
          <t>NÃO</t>
        </is>
      </c>
      <c r="K1275" s="7" t="inlineStr">
        <is>
          <t>Uso Industrial Exclusivo (PGRS / NBR 10004)</t>
        </is>
      </c>
      <c r="L1275" s="7" t="inlineStr">
        <is>
          <t>NÃO</t>
        </is>
      </c>
      <c r="M1275" s="7" t="inlineStr">
        <is>
          <t>0,00% (Lei nº 10.925/2004)</t>
        </is>
      </c>
      <c r="N1275" s="7" t="inlineStr">
        <is>
          <t>0,925% (LC nº 224/2025)</t>
        </is>
      </c>
      <c r="O1275" s="7" t="inlineStr">
        <is>
          <t>0,365% (LC nº 224/2025)</t>
        </is>
      </c>
      <c r="P1275" s="7" t="inlineStr">
        <is>
          <t>CST 06 (Uso Agrícola/Industrial)</t>
        </is>
      </c>
      <c r="Q1275" s="7" t="inlineStr">
        <is>
          <t>CST 73 (Revenda / Destinação)</t>
        </is>
      </c>
      <c r="R1275" s="7" t="inlineStr">
        <is>
          <t>Redução de 60% + Diferimento (Art. 138 LC 214/2025)</t>
        </is>
      </c>
    </row>
    <row r="1276" ht="22" customHeight="1">
      <c r="A1276" s="12" t="inlineStr">
        <is>
          <t>SKU-1272</t>
        </is>
      </c>
      <c r="B1276" s="11" t="n">
        <v>914</v>
      </c>
      <c r="C1276" s="13" t="inlineStr">
        <is>
          <t>Nº 18824</t>
        </is>
      </c>
      <c r="D1276" s="14" t="inlineStr">
        <is>
          <t>TKI-15 BR</t>
        </is>
      </c>
      <c r="E1276" s="13" t="inlineStr">
        <is>
          <t>Embalagem Comercial do Produto</t>
        </is>
      </c>
      <c r="F1276" s="13" t="inlineStr">
        <is>
          <t>GALÃO / BOMBONA 5L A 20L (PADRÃO COMERCIAL)</t>
        </is>
      </c>
      <c r="G1276" s="13" t="inlineStr">
        <is>
          <t>LT</t>
        </is>
      </c>
      <c r="H1276" s="15" t="n">
        <v>5</v>
      </c>
      <c r="I1276" s="13" t="inlineStr">
        <is>
          <t>2839.90.90</t>
        </is>
      </c>
      <c r="J1276" s="13" t="inlineStr">
        <is>
          <t>NÃO</t>
        </is>
      </c>
      <c r="K1276" s="13" t="inlineStr">
        <is>
          <t>Embalagem de Insumo Nutricional/Biológico (Logística Reversa)</t>
        </is>
      </c>
      <c r="L1276" s="13" t="inlineStr">
        <is>
          <t>NÃO</t>
        </is>
      </c>
      <c r="M1276" s="13" t="inlineStr">
        <is>
          <t>0,00% (Lei nº 10.925/2004)</t>
        </is>
      </c>
      <c r="N1276" s="13" t="inlineStr">
        <is>
          <t>0,925% (LC nº 224/2025)</t>
        </is>
      </c>
      <c r="O1276" s="13" t="inlineStr">
        <is>
          <t>0,365% (LC nº 224/2025)</t>
        </is>
      </c>
      <c r="P1276" s="13" t="inlineStr">
        <is>
          <t>CST 06</t>
        </is>
      </c>
      <c r="Q1276" s="13" t="inlineStr">
        <is>
          <t>CST 73</t>
        </is>
      </c>
      <c r="R1276" s="13" t="inlineStr">
        <is>
          <t>Redução de 60% + Diferimento (Art. 138 e Anexo IX LC 214/2025)</t>
        </is>
      </c>
    </row>
    <row r="1277" ht="22" customHeight="1">
      <c r="A1277" s="6" t="inlineStr">
        <is>
          <t>SKU-1273</t>
        </is>
      </c>
      <c r="B1277" s="5" t="n">
        <v>915</v>
      </c>
      <c r="C1277" s="7" t="inlineStr">
        <is>
          <t>Nº 18924</t>
        </is>
      </c>
      <c r="D1277" s="8" t="inlineStr">
        <is>
          <t>TRINEXAPAC 250 EC MAXUNITECH</t>
        </is>
      </c>
      <c r="E1277" s="7" t="inlineStr">
        <is>
          <t>Embalagem Comercial do Produto</t>
        </is>
      </c>
      <c r="F1277" s="7" t="inlineStr">
        <is>
          <t>GALÃO / BOMBONA 5L A 20L (PADRÃO COMERCIAL)</t>
        </is>
      </c>
      <c r="G1277" s="7" t="inlineStr">
        <is>
          <t>LT</t>
        </is>
      </c>
      <c r="H1277" s="9" t="n">
        <v>5</v>
      </c>
      <c r="I1277" s="7" t="inlineStr">
        <is>
          <t>3808.93.59</t>
        </is>
      </c>
      <c r="J1277" s="7" t="inlineStr">
        <is>
          <t>NÃO</t>
        </is>
      </c>
      <c r="K1277" s="7" t="inlineStr">
        <is>
          <t>Embalagem Rígida — LAVÁVEL (Obrigatória Tríplice Lavagem ou Pressão)</t>
        </is>
      </c>
      <c r="L1277" s="7" t="inlineStr">
        <is>
          <t>NÃO</t>
        </is>
      </c>
      <c r="M1277" s="7" t="inlineStr">
        <is>
          <t>0,00% (Lei nº 10.925/2004)</t>
        </is>
      </c>
      <c r="N1277" s="7" t="inlineStr">
        <is>
          <t>0,925% (LC nº 224/2025)</t>
        </is>
      </c>
      <c r="O1277" s="7" t="inlineStr">
        <is>
          <t>0,365% (LC nº 224/2025)</t>
        </is>
      </c>
      <c r="P1277" s="7" t="inlineStr">
        <is>
          <t>CST 06</t>
        </is>
      </c>
      <c r="Q1277" s="7" t="inlineStr">
        <is>
          <t>CST 73</t>
        </is>
      </c>
      <c r="R1277" s="7" t="inlineStr">
        <is>
          <t>Redução de 60% + Diferimento (Art. 138 e Anexo IX LC 214/2025)</t>
        </is>
      </c>
    </row>
    <row r="1278" ht="22" customHeight="1">
      <c r="A1278" s="12" t="inlineStr">
        <is>
          <t>SKU-1274</t>
        </is>
      </c>
      <c r="B1278" s="11" t="n">
        <v>916</v>
      </c>
      <c r="C1278" s="13" t="inlineStr">
        <is>
          <t>VINC-18924</t>
        </is>
      </c>
      <c r="D1278" s="14" t="inlineStr">
        <is>
          <t>Trinexapaque-etílico Técnico Max</t>
        </is>
      </c>
      <c r="E1278" s="13" t="inlineStr">
        <is>
          <t>Embalagem Comercial do Produto</t>
        </is>
      </c>
      <c r="F1278" s="13" t="inlineStr">
        <is>
          <t>TAMBOR / BIG BAG INDUSTRIAL 250 KG</t>
        </is>
      </c>
      <c r="G1278" s="13" t="inlineStr">
        <is>
          <t>KG</t>
        </is>
      </c>
      <c r="H1278" s="15" t="n">
        <v>250</v>
      </c>
      <c r="I1278" s="13" t="inlineStr">
        <is>
          <t>3808.93.49</t>
        </is>
      </c>
      <c r="J1278" s="13" t="inlineStr">
        <is>
          <t>NÃO</t>
        </is>
      </c>
      <c r="K1278" s="13" t="inlineStr">
        <is>
          <t>Uso Industrial Exclusivo (PGRS / NBR 10004)</t>
        </is>
      </c>
      <c r="L1278" s="13" t="inlineStr">
        <is>
          <t>NÃO</t>
        </is>
      </c>
      <c r="M1278" s="13" t="inlineStr">
        <is>
          <t>0,00% (Lei nº 10.925/2004)</t>
        </is>
      </c>
      <c r="N1278" s="13" t="inlineStr">
        <is>
          <t>0,925% (LC nº 224/2025)</t>
        </is>
      </c>
      <c r="O1278" s="13" t="inlineStr">
        <is>
          <t>0,365% (LC nº 224/2025)</t>
        </is>
      </c>
      <c r="P1278" s="13" t="inlineStr">
        <is>
          <t>CST 06 (Uso Agrícola/Industrial)</t>
        </is>
      </c>
      <c r="Q1278" s="13" t="inlineStr">
        <is>
          <t>CST 73 (Revenda / Destinação)</t>
        </is>
      </c>
      <c r="R1278" s="13" t="inlineStr">
        <is>
          <t>Redução de 60% + Diferimento (Art. 138 LC 214/2025)</t>
        </is>
      </c>
    </row>
    <row r="1279" ht="22" customHeight="1">
      <c r="A1279" s="6" t="inlineStr">
        <is>
          <t>SKU-1275</t>
        </is>
      </c>
      <c r="B1279" s="5" t="n">
        <v>917</v>
      </c>
      <c r="C1279" s="7" t="inlineStr">
        <is>
          <t>Nº 19024</t>
        </is>
      </c>
      <c r="D1279" s="8" t="inlineStr">
        <is>
          <t>CALIZI</t>
        </is>
      </c>
      <c r="E1279" s="7" t="inlineStr">
        <is>
          <t>Embalagem Comercial do Produto</t>
        </is>
      </c>
      <c r="F1279" s="7" t="inlineStr">
        <is>
          <t>GALÃO / BOMBONA 5L A 20L (PADRÃO COMERCIAL)</t>
        </is>
      </c>
      <c r="G1279" s="7" t="inlineStr">
        <is>
          <t>LT</t>
        </is>
      </c>
      <c r="H1279" s="9" t="n">
        <v>5</v>
      </c>
      <c r="I1279" s="7" t="inlineStr">
        <is>
          <t>3808.92.99</t>
        </is>
      </c>
      <c r="J1279" s="7" t="inlineStr">
        <is>
          <t>NÃO</t>
        </is>
      </c>
      <c r="K1279" s="7" t="inlineStr">
        <is>
          <t>Embalagem Rígida — LAVÁVEL (Obrigatória Tríplice Lavagem ou Pressão)</t>
        </is>
      </c>
      <c r="L1279" s="7" t="inlineStr">
        <is>
          <t>NÃO</t>
        </is>
      </c>
      <c r="M1279" s="7" t="inlineStr">
        <is>
          <t>0,00% (Lei nº 10.925/2004)</t>
        </is>
      </c>
      <c r="N1279" s="7" t="inlineStr">
        <is>
          <t>0,925% (LC nº 224/2025)</t>
        </is>
      </c>
      <c r="O1279" s="7" t="inlineStr">
        <is>
          <t>0,365% (LC nº 224/2025)</t>
        </is>
      </c>
      <c r="P1279" s="7" t="inlineStr">
        <is>
          <t>CST 06</t>
        </is>
      </c>
      <c r="Q1279" s="7" t="inlineStr">
        <is>
          <t>CST 73</t>
        </is>
      </c>
      <c r="R1279" s="7" t="inlineStr">
        <is>
          <t>Redução de 60% + Diferimento (Art. 138 e Anexo IX LC 214/2025)</t>
        </is>
      </c>
    </row>
    <row r="1280" ht="22" customHeight="1">
      <c r="A1280" s="12" t="inlineStr">
        <is>
          <t>SKU-1276</t>
        </is>
      </c>
      <c r="B1280" s="11" t="n">
        <v>918</v>
      </c>
      <c r="C1280" s="13" t="inlineStr">
        <is>
          <t>VINC-19024</t>
        </is>
      </c>
      <c r="D1280" s="14" t="inlineStr">
        <is>
          <t>Azoxistrobin Técnico Sinon</t>
        </is>
      </c>
      <c r="E1280" s="13" t="inlineStr">
        <is>
          <t>Embalagem Comercial do Produto</t>
        </is>
      </c>
      <c r="F1280" s="13" t="inlineStr">
        <is>
          <t>TAMBOR / BIG BAG INDUSTRIAL 250 KG</t>
        </is>
      </c>
      <c r="G1280" s="13" t="inlineStr">
        <is>
          <t>KG</t>
        </is>
      </c>
      <c r="H1280" s="15" t="n">
        <v>250</v>
      </c>
      <c r="I1280" s="13" t="inlineStr">
        <is>
          <t>3808.92.20</t>
        </is>
      </c>
      <c r="J1280" s="13" t="inlineStr">
        <is>
          <t>NÃO</t>
        </is>
      </c>
      <c r="K1280" s="13" t="inlineStr">
        <is>
          <t>Uso Industrial Exclusivo (PGRS / NBR 10004)</t>
        </is>
      </c>
      <c r="L1280" s="13" t="inlineStr">
        <is>
          <t>NÃO</t>
        </is>
      </c>
      <c r="M1280" s="13" t="inlineStr">
        <is>
          <t>0,00% (Lei nº 10.925/2004)</t>
        </is>
      </c>
      <c r="N1280" s="13" t="inlineStr">
        <is>
          <t>0,925% (LC nº 224/2025)</t>
        </is>
      </c>
      <c r="O1280" s="13" t="inlineStr">
        <is>
          <t>0,365% (LC nº 224/2025)</t>
        </is>
      </c>
      <c r="P1280" s="13" t="inlineStr">
        <is>
          <t>CST 06 (Uso Agrícola/Industrial)</t>
        </is>
      </c>
      <c r="Q1280" s="13" t="inlineStr">
        <is>
          <t>CST 73 (Revenda / Destinação)</t>
        </is>
      </c>
      <c r="R1280" s="13" t="inlineStr">
        <is>
          <t>Redução de 60% + Diferimento (Art. 138 LC 214/2025)</t>
        </is>
      </c>
    </row>
    <row r="1281" ht="22" customHeight="1">
      <c r="A1281" s="6" t="inlineStr">
        <is>
          <t>SKU-1277</t>
        </is>
      </c>
      <c r="B1281" s="5" t="n">
        <v>919</v>
      </c>
      <c r="C1281" s="7" t="inlineStr">
        <is>
          <t>Nº 19124</t>
        </is>
      </c>
      <c r="D1281" s="8" t="inlineStr">
        <is>
          <t>FLUTRIAFOL AS</t>
        </is>
      </c>
      <c r="E1281" s="7" t="inlineStr">
        <is>
          <t>Embalagem Comercial do Produto</t>
        </is>
      </c>
      <c r="F1281" s="7" t="inlineStr">
        <is>
          <t>GALÃO / BOMBONA 5L A 20L (PADRÃO COMERCIAL)</t>
        </is>
      </c>
      <c r="G1281" s="7" t="inlineStr">
        <is>
          <t>LT</t>
        </is>
      </c>
      <c r="H1281" s="9" t="n">
        <v>5</v>
      </c>
      <c r="I1281" s="7" t="inlineStr">
        <is>
          <t>3808.92.99</t>
        </is>
      </c>
      <c r="J1281" s="7" t="inlineStr">
        <is>
          <t>NÃO</t>
        </is>
      </c>
      <c r="K1281" s="7" t="inlineStr">
        <is>
          <t>Embalagem Rígida — LAVÁVEL (Obrigatória Tríplice Lavagem ou Pressão)</t>
        </is>
      </c>
      <c r="L1281" s="7" t="inlineStr">
        <is>
          <t>NÃO</t>
        </is>
      </c>
      <c r="M1281" s="7" t="inlineStr">
        <is>
          <t>0,00% (Lei nº 10.925/2004)</t>
        </is>
      </c>
      <c r="N1281" s="7" t="inlineStr">
        <is>
          <t>0,925% (LC nº 224/2025)</t>
        </is>
      </c>
      <c r="O1281" s="7" t="inlineStr">
        <is>
          <t>0,365% (LC nº 224/2025)</t>
        </is>
      </c>
      <c r="P1281" s="7" t="inlineStr">
        <is>
          <t>CST 06</t>
        </is>
      </c>
      <c r="Q1281" s="7" t="inlineStr">
        <is>
          <t>CST 73</t>
        </is>
      </c>
      <c r="R1281" s="7" t="inlineStr">
        <is>
          <t>Redução de 60% + Diferimento (Art. 138 e Anexo IX LC 214/2025)</t>
        </is>
      </c>
    </row>
    <row r="1282" ht="22" customHeight="1">
      <c r="A1282" s="12" t="inlineStr">
        <is>
          <t>SKU-1278</t>
        </is>
      </c>
      <c r="B1282" s="11" t="n">
        <v>920</v>
      </c>
      <c r="C1282" s="13" t="inlineStr">
        <is>
          <t>VINC-19124</t>
        </is>
      </c>
      <c r="D1282" s="14" t="inlineStr">
        <is>
          <t>Flutriafol Tradecorp Técnico</t>
        </is>
      </c>
      <c r="E1282" s="13" t="inlineStr">
        <is>
          <t>Embalagem Comercial do Produto</t>
        </is>
      </c>
      <c r="F1282" s="13" t="inlineStr">
        <is>
          <t>TAMBOR / BIG BAG INDUSTRIAL 250 KG</t>
        </is>
      </c>
      <c r="G1282" s="13" t="inlineStr">
        <is>
          <t>KG</t>
        </is>
      </c>
      <c r="H1282" s="15" t="n">
        <v>250</v>
      </c>
      <c r="I1282" s="13" t="inlineStr">
        <is>
          <t>3808.92.20</t>
        </is>
      </c>
      <c r="J1282" s="13" t="inlineStr">
        <is>
          <t>NÃO</t>
        </is>
      </c>
      <c r="K1282" s="13" t="inlineStr">
        <is>
          <t>Uso Industrial Exclusivo (PGRS / NBR 10004)</t>
        </is>
      </c>
      <c r="L1282" s="13" t="inlineStr">
        <is>
          <t>NÃO</t>
        </is>
      </c>
      <c r="M1282" s="13" t="inlineStr">
        <is>
          <t>0,00% (Lei nº 10.925/2004)</t>
        </is>
      </c>
      <c r="N1282" s="13" t="inlineStr">
        <is>
          <t>0,925% (LC nº 224/2025)</t>
        </is>
      </c>
      <c r="O1282" s="13" t="inlineStr">
        <is>
          <t>0,365% (LC nº 224/2025)</t>
        </is>
      </c>
      <c r="P1282" s="13" t="inlineStr">
        <is>
          <t>CST 06 (Uso Agrícola/Industrial)</t>
        </is>
      </c>
      <c r="Q1282" s="13" t="inlineStr">
        <is>
          <t>CST 73 (Revenda / Destinação)</t>
        </is>
      </c>
      <c r="R1282" s="13" t="inlineStr">
        <is>
          <t>Redução de 60% + Diferimento (Art. 138 LC 214/2025)</t>
        </is>
      </c>
    </row>
    <row r="1283" ht="22" customHeight="1">
      <c r="A1283" s="6" t="inlineStr">
        <is>
          <t>SKU-1279</t>
        </is>
      </c>
      <c r="B1283" s="5" t="n">
        <v>921</v>
      </c>
      <c r="C1283" s="7" t="inlineStr">
        <is>
          <t>Nº 19224</t>
        </is>
      </c>
      <c r="D1283" s="8" t="inlineStr">
        <is>
          <t>ZOOM TOP</t>
        </is>
      </c>
      <c r="E1283" s="7" t="inlineStr">
        <is>
          <t>Embalagem Comercial do Produto</t>
        </is>
      </c>
      <c r="F1283" s="7" t="inlineStr">
        <is>
          <t>GALÃO / BOMBONA 5L A 20L (PADRÃO COMERCIAL)</t>
        </is>
      </c>
      <c r="G1283" s="7" t="inlineStr">
        <is>
          <t>LT</t>
        </is>
      </c>
      <c r="H1283" s="9" t="n">
        <v>5</v>
      </c>
      <c r="I1283" s="7" t="inlineStr">
        <is>
          <t>3808.92.20</t>
        </is>
      </c>
      <c r="J1283" s="7" t="inlineStr">
        <is>
          <t>NÃO</t>
        </is>
      </c>
      <c r="K1283" s="7" t="inlineStr">
        <is>
          <t>Uso Industrial Exclusivo (PGRS / NBR 10004)</t>
        </is>
      </c>
      <c r="L1283" s="7" t="inlineStr">
        <is>
          <t>NÃO</t>
        </is>
      </c>
      <c r="M1283" s="7" t="inlineStr">
        <is>
          <t>0,00% (Lei nº 10.925/2004)</t>
        </is>
      </c>
      <c r="N1283" s="7" t="inlineStr">
        <is>
          <t>0,925% (LC nº 224/2025)</t>
        </is>
      </c>
      <c r="O1283" s="7" t="inlineStr">
        <is>
          <t>0,365% (LC nº 224/2025)</t>
        </is>
      </c>
      <c r="P1283" s="7" t="inlineStr">
        <is>
          <t>CST 06 (Uso Agrícola/Industrial)</t>
        </is>
      </c>
      <c r="Q1283" s="7" t="inlineStr">
        <is>
          <t>CST 73 (Revenda / Destinação)</t>
        </is>
      </c>
      <c r="R1283" s="7" t="inlineStr">
        <is>
          <t>Redução de 60% + Diferimento (Art. 138 LC 214/2025)</t>
        </is>
      </c>
    </row>
    <row r="1284" ht="22" customHeight="1">
      <c r="A1284" s="12" t="inlineStr">
        <is>
          <t>SKU-1280</t>
        </is>
      </c>
      <c r="B1284" s="11" t="n">
        <v>922</v>
      </c>
      <c r="C1284" s="13" t="inlineStr">
        <is>
          <t>VINC-19224</t>
        </is>
      </c>
      <c r="D1284" s="14" t="inlineStr">
        <is>
          <t>Flutriafol Técnico Sinon</t>
        </is>
      </c>
      <c r="E1284" s="13" t="inlineStr">
        <is>
          <t>Embalagem Comercial do Produto</t>
        </is>
      </c>
      <c r="F1284" s="13" t="inlineStr">
        <is>
          <t>TAMBOR / BIG BAG INDUSTRIAL 250 KG</t>
        </is>
      </c>
      <c r="G1284" s="13" t="inlineStr">
        <is>
          <t>KG</t>
        </is>
      </c>
      <c r="H1284" s="15" t="n">
        <v>250</v>
      </c>
      <c r="I1284" s="13" t="inlineStr">
        <is>
          <t>3808.92.20</t>
        </is>
      </c>
      <c r="J1284" s="13" t="inlineStr">
        <is>
          <t>NÃO</t>
        </is>
      </c>
      <c r="K1284" s="13" t="inlineStr">
        <is>
          <t>Uso Industrial Exclusivo (PGRS / NBR 10004)</t>
        </is>
      </c>
      <c r="L1284" s="13" t="inlineStr">
        <is>
          <t>NÃO</t>
        </is>
      </c>
      <c r="M1284" s="13" t="inlineStr">
        <is>
          <t>0,00% (Lei nº 10.925/2004)</t>
        </is>
      </c>
      <c r="N1284" s="13" t="inlineStr">
        <is>
          <t>0,925% (LC nº 224/2025)</t>
        </is>
      </c>
      <c r="O1284" s="13" t="inlineStr">
        <is>
          <t>0,365% (LC nº 224/2025)</t>
        </is>
      </c>
      <c r="P1284" s="13" t="inlineStr">
        <is>
          <t>CST 06 (Uso Agrícola/Industrial)</t>
        </is>
      </c>
      <c r="Q1284" s="13" t="inlineStr">
        <is>
          <t>CST 73 (Revenda / Destinação)</t>
        </is>
      </c>
      <c r="R1284" s="13" t="inlineStr">
        <is>
          <t>Redução de 60% + Diferimento (Art. 138 LC 214/2025)</t>
        </is>
      </c>
    </row>
    <row r="1285" ht="22" customHeight="1">
      <c r="A1285" s="6" t="inlineStr">
        <is>
          <t>SKU-1281</t>
        </is>
      </c>
      <c r="B1285" s="5" t="n">
        <v>923</v>
      </c>
      <c r="C1285" s="7" t="inlineStr">
        <is>
          <t>Nº 19324</t>
        </is>
      </c>
      <c r="D1285" s="8" t="inlineStr">
        <is>
          <t>MESOTRIONA SOLUS</t>
        </is>
      </c>
      <c r="E1285" s="7" t="inlineStr">
        <is>
          <t>Embalagem Comercial do Produto</t>
        </is>
      </c>
      <c r="F1285" s="7" t="inlineStr">
        <is>
          <t>GALÃO / BOMBONA 5L A 20L (PADRÃO COMERCIAL)</t>
        </is>
      </c>
      <c r="G1285" s="7" t="inlineStr">
        <is>
          <t>LT</t>
        </is>
      </c>
      <c r="H1285" s="9" t="n">
        <v>5</v>
      </c>
      <c r="I1285" s="7" t="inlineStr">
        <is>
          <t>3808.93.29</t>
        </is>
      </c>
      <c r="J1285" s="7" t="inlineStr">
        <is>
          <t>NÃO</t>
        </is>
      </c>
      <c r="K1285" s="7" t="inlineStr">
        <is>
          <t>Embalagem Rígida — LAVÁVEL (Obrigatória Tríplice Lavagem ou Pressão)</t>
        </is>
      </c>
      <c r="L1285" s="7" t="inlineStr">
        <is>
          <t>NÃO</t>
        </is>
      </c>
      <c r="M1285" s="7" t="inlineStr">
        <is>
          <t>0,00% (Lei nº 10.925/2004)</t>
        </is>
      </c>
      <c r="N1285" s="7" t="inlineStr">
        <is>
          <t>0,925% (LC nº 224/2025)</t>
        </is>
      </c>
      <c r="O1285" s="7" t="inlineStr">
        <is>
          <t>0,365% (LC nº 224/2025)</t>
        </is>
      </c>
      <c r="P1285" s="7" t="inlineStr">
        <is>
          <t>CST 06</t>
        </is>
      </c>
      <c r="Q1285" s="7" t="inlineStr">
        <is>
          <t>CST 73</t>
        </is>
      </c>
      <c r="R1285" s="7" t="inlineStr">
        <is>
          <t>Redução de 60% + Diferimento (Art. 138 e Anexo IX LC 214/2025)</t>
        </is>
      </c>
    </row>
    <row r="1286" ht="22" customHeight="1">
      <c r="A1286" s="12" t="inlineStr">
        <is>
          <t>SKU-1282</t>
        </is>
      </c>
      <c r="B1286" s="11" t="n">
        <v>924</v>
      </c>
      <c r="C1286" s="13" t="inlineStr">
        <is>
          <t>VINC-19324</t>
        </is>
      </c>
      <c r="D1286" s="14" t="inlineStr">
        <is>
          <t>Mesotriona Técnico Solus</t>
        </is>
      </c>
      <c r="E1286" s="13" t="inlineStr">
        <is>
          <t>Embalagem Comercial do Produto</t>
        </is>
      </c>
      <c r="F1286" s="13" t="inlineStr">
        <is>
          <t>TAMBOR / BIG BAG INDUSTRIAL 250 KG</t>
        </is>
      </c>
      <c r="G1286" s="13" t="inlineStr">
        <is>
          <t>KG</t>
        </is>
      </c>
      <c r="H1286" s="15" t="n">
        <v>250</v>
      </c>
      <c r="I1286" s="13" t="inlineStr">
        <is>
          <t>3808.93.19</t>
        </is>
      </c>
      <c r="J1286" s="13" t="inlineStr">
        <is>
          <t>NÃO</t>
        </is>
      </c>
      <c r="K1286" s="13" t="inlineStr">
        <is>
          <t>Uso Industrial Exclusivo (PGRS / NBR 10004)</t>
        </is>
      </c>
      <c r="L1286" s="13" t="inlineStr">
        <is>
          <t>NÃO</t>
        </is>
      </c>
      <c r="M1286" s="13" t="inlineStr">
        <is>
          <t>0,00% (Lei nº 10.925/2004)</t>
        </is>
      </c>
      <c r="N1286" s="13" t="inlineStr">
        <is>
          <t>0,925% (LC nº 224/2025)</t>
        </is>
      </c>
      <c r="O1286" s="13" t="inlineStr">
        <is>
          <t>0,365% (LC nº 224/2025)</t>
        </is>
      </c>
      <c r="P1286" s="13" t="inlineStr">
        <is>
          <t>CST 06 (Uso Agrícola/Industrial)</t>
        </is>
      </c>
      <c r="Q1286" s="13" t="inlineStr">
        <is>
          <t>CST 73 (Revenda / Destinação)</t>
        </is>
      </c>
      <c r="R1286" s="13" t="inlineStr">
        <is>
          <t>Redução de 60% + Diferimento (Art. 138 LC 214/2025)</t>
        </is>
      </c>
    </row>
    <row r="1287" ht="22" customHeight="1">
      <c r="A1287" s="6" t="inlineStr">
        <is>
          <t>SKU-1283</t>
        </is>
      </c>
      <c r="B1287" s="5" t="n">
        <v>925</v>
      </c>
      <c r="C1287" s="7" t="inlineStr">
        <is>
          <t>Nº 19424</t>
        </is>
      </c>
      <c r="D1287" s="8" t="inlineStr">
        <is>
          <t>TRINEXAPAQUE ASCENZA EC</t>
        </is>
      </c>
      <c r="E1287" s="7" t="inlineStr">
        <is>
          <t>Embalagem Comercial do Produto</t>
        </is>
      </c>
      <c r="F1287" s="7" t="inlineStr">
        <is>
          <t>GALÃO / BOMBONA 5L A 20L (PADRÃO COMERCIAL)</t>
        </is>
      </c>
      <c r="G1287" s="7" t="inlineStr">
        <is>
          <t>LT</t>
        </is>
      </c>
      <c r="H1287" s="9" t="n">
        <v>5</v>
      </c>
      <c r="I1287" s="7" t="inlineStr">
        <is>
          <t>3808.93.59</t>
        </is>
      </c>
      <c r="J1287" s="7" t="inlineStr">
        <is>
          <t>NÃO</t>
        </is>
      </c>
      <c r="K1287" s="7" t="inlineStr">
        <is>
          <t>Embalagem Rígida — LAVÁVEL (Obrigatória Tríplice Lavagem ou Pressão)</t>
        </is>
      </c>
      <c r="L1287" s="7" t="inlineStr">
        <is>
          <t>NÃO</t>
        </is>
      </c>
      <c r="M1287" s="7" t="inlineStr">
        <is>
          <t>0,00% (Lei nº 10.925/2004)</t>
        </is>
      </c>
      <c r="N1287" s="7" t="inlineStr">
        <is>
          <t>0,925% (LC nº 224/2025)</t>
        </is>
      </c>
      <c r="O1287" s="7" t="inlineStr">
        <is>
          <t>0,365% (LC nº 224/2025)</t>
        </is>
      </c>
      <c r="P1287" s="7" t="inlineStr">
        <is>
          <t>CST 06</t>
        </is>
      </c>
      <c r="Q1287" s="7" t="inlineStr">
        <is>
          <t>CST 73</t>
        </is>
      </c>
      <c r="R1287" s="7" t="inlineStr">
        <is>
          <t>Redução de 60% + Diferimento (Art. 138 e Anexo IX LC 214/2025)</t>
        </is>
      </c>
    </row>
    <row r="1288" ht="22" customHeight="1">
      <c r="A1288" s="12" t="inlineStr">
        <is>
          <t>SKU-1284</t>
        </is>
      </c>
      <c r="B1288" s="11" t="n">
        <v>926</v>
      </c>
      <c r="C1288" s="13" t="inlineStr">
        <is>
          <t>VINC-19424</t>
        </is>
      </c>
      <c r="D1288" s="14" t="inlineStr">
        <is>
          <t>Trinexapaque-Etílico Ascenza Técnico</t>
        </is>
      </c>
      <c r="E1288" s="13" t="inlineStr">
        <is>
          <t>Embalagem Comercial do Produto</t>
        </is>
      </c>
      <c r="F1288" s="13" t="inlineStr">
        <is>
          <t>TAMBOR / BIG BAG INDUSTRIAL 250 KG</t>
        </is>
      </c>
      <c r="G1288" s="13" t="inlineStr">
        <is>
          <t>KG</t>
        </is>
      </c>
      <c r="H1288" s="15" t="n">
        <v>250</v>
      </c>
      <c r="I1288" s="13" t="inlineStr">
        <is>
          <t>3808.93.49</t>
        </is>
      </c>
      <c r="J1288" s="13" t="inlineStr">
        <is>
          <t>NÃO</t>
        </is>
      </c>
      <c r="K1288" s="13" t="inlineStr">
        <is>
          <t>Uso Industrial Exclusivo (PGRS / NBR 10004)</t>
        </is>
      </c>
      <c r="L1288" s="13" t="inlineStr">
        <is>
          <t>NÃO</t>
        </is>
      </c>
      <c r="M1288" s="13" t="inlineStr">
        <is>
          <t>0,00% (Lei nº 10.925/2004)</t>
        </is>
      </c>
      <c r="N1288" s="13" t="inlineStr">
        <is>
          <t>0,925% (LC nº 224/2025)</t>
        </is>
      </c>
      <c r="O1288" s="13" t="inlineStr">
        <is>
          <t>0,365% (LC nº 224/2025)</t>
        </is>
      </c>
      <c r="P1288" s="13" t="inlineStr">
        <is>
          <t>CST 06 (Uso Agrícola/Industrial)</t>
        </is>
      </c>
      <c r="Q1288" s="13" t="inlineStr">
        <is>
          <t>CST 73 (Revenda / Destinação)</t>
        </is>
      </c>
      <c r="R1288" s="13" t="inlineStr">
        <is>
          <t>Redução de 60% + Diferimento (Art. 138 LC 214/2025)</t>
        </is>
      </c>
    </row>
    <row r="1289" ht="22" customHeight="1">
      <c r="A1289" s="6" t="inlineStr">
        <is>
          <t>SKU-1285</t>
        </is>
      </c>
      <c r="B1289" s="5" t="n">
        <v>927</v>
      </c>
      <c r="C1289" s="7" t="inlineStr">
        <is>
          <t>Nº 19524</t>
        </is>
      </c>
      <c r="D1289" s="8" t="inlineStr">
        <is>
          <t>CARAVANA 806 SL</t>
        </is>
      </c>
      <c r="E1289" s="7" t="inlineStr">
        <is>
          <t>Embalagem Comercial do Produto</t>
        </is>
      </c>
      <c r="F1289" s="7" t="inlineStr">
        <is>
          <t>GALÃO / BOMBONA 5L A 20L (PADRÃO COMERCIAL)</t>
        </is>
      </c>
      <c r="G1289" s="7" t="inlineStr">
        <is>
          <t>LT</t>
        </is>
      </c>
      <c r="H1289" s="9" t="n">
        <v>5</v>
      </c>
      <c r="I1289" s="7" t="inlineStr">
        <is>
          <t>3808.93.22</t>
        </is>
      </c>
      <c r="J1289" s="7" t="inlineStr">
        <is>
          <t>NÃO</t>
        </is>
      </c>
      <c r="K1289" s="7" t="inlineStr">
        <is>
          <t>Embalagem Rígida — LAVÁVEL (Obrigatória Tríplice Lavagem ou Pressão)</t>
        </is>
      </c>
      <c r="L1289" s="7" t="inlineStr">
        <is>
          <t>NÃO</t>
        </is>
      </c>
      <c r="M1289" s="7" t="inlineStr">
        <is>
          <t>0,00% (Lei nº 10.925/2004)</t>
        </is>
      </c>
      <c r="N1289" s="7" t="inlineStr">
        <is>
          <t>0,925% (LC nº 224/2025)</t>
        </is>
      </c>
      <c r="O1289" s="7" t="inlineStr">
        <is>
          <t>0,365% (LC nº 224/2025)</t>
        </is>
      </c>
      <c r="P1289" s="7" t="inlineStr">
        <is>
          <t>CST 06</t>
        </is>
      </c>
      <c r="Q1289" s="7" t="inlineStr">
        <is>
          <t>CST 73</t>
        </is>
      </c>
      <c r="R1289" s="7" t="inlineStr">
        <is>
          <t>Redução de 60% + Diferimento (Art. 138 e Anexo IX LC 214/2025)</t>
        </is>
      </c>
    </row>
    <row r="1290" ht="22" customHeight="1">
      <c r="A1290" s="12" t="inlineStr">
        <is>
          <t>SKU-1286</t>
        </is>
      </c>
      <c r="B1290" s="11" t="n">
        <v>928</v>
      </c>
      <c r="C1290" s="13" t="inlineStr">
        <is>
          <t>VINC-19524</t>
        </is>
      </c>
      <c r="D1290" s="14" t="inlineStr">
        <is>
          <t>2,4-D Técnico MCR</t>
        </is>
      </c>
      <c r="E1290" s="13" t="inlineStr">
        <is>
          <t>Embalagem Comercial do Produto</t>
        </is>
      </c>
      <c r="F1290" s="13" t="inlineStr">
        <is>
          <t>TAMBOR / BIG BAG INDUSTRIAL 250 KG</t>
        </is>
      </c>
      <c r="G1290" s="13" t="inlineStr">
        <is>
          <t>KG</t>
        </is>
      </c>
      <c r="H1290" s="15" t="n">
        <v>250</v>
      </c>
      <c r="I1290" s="13" t="inlineStr">
        <is>
          <t>3808.93.19</t>
        </is>
      </c>
      <c r="J1290" s="13" t="inlineStr">
        <is>
          <t>NÃO</t>
        </is>
      </c>
      <c r="K1290" s="13" t="inlineStr">
        <is>
          <t>Uso Industrial Exclusivo (PGRS / NBR 10004)</t>
        </is>
      </c>
      <c r="L1290" s="13" t="inlineStr">
        <is>
          <t>NÃO</t>
        </is>
      </c>
      <c r="M1290" s="13" t="inlineStr">
        <is>
          <t>0,00% (Lei nº 10.925/2004)</t>
        </is>
      </c>
      <c r="N1290" s="13" t="inlineStr">
        <is>
          <t>0,925% (LC nº 224/2025)</t>
        </is>
      </c>
      <c r="O1290" s="13" t="inlineStr">
        <is>
          <t>0,365% (LC nº 224/2025)</t>
        </is>
      </c>
      <c r="P1290" s="13" t="inlineStr">
        <is>
          <t>CST 06 (Uso Agrícola/Industrial)</t>
        </is>
      </c>
      <c r="Q1290" s="13" t="inlineStr">
        <is>
          <t>CST 73 (Revenda / Destinação)</t>
        </is>
      </c>
      <c r="R1290" s="13" t="inlineStr">
        <is>
          <t>Redução de 60% + Diferimento (Art. 138 LC 214/2025)</t>
        </is>
      </c>
    </row>
    <row r="1291" ht="22" customHeight="1">
      <c r="A1291" s="6" t="inlineStr">
        <is>
          <t>SKU-1287</t>
        </is>
      </c>
      <c r="B1291" s="5" t="n">
        <v>929</v>
      </c>
      <c r="C1291" s="7" t="inlineStr">
        <is>
          <t>Nº 19624</t>
        </is>
      </c>
      <c r="D1291" s="8" t="inlineStr">
        <is>
          <t>PIRIPROXIFEM BRX</t>
        </is>
      </c>
      <c r="E1291" s="7" t="inlineStr">
        <is>
          <t>Embalagem Comercial do Produto</t>
        </is>
      </c>
      <c r="F1291" s="7" t="inlineStr">
        <is>
          <t>GALÃO / BOMBONA 5L A 20L (PADRÃO COMERCIAL)</t>
        </is>
      </c>
      <c r="G1291" s="7" t="inlineStr">
        <is>
          <t>LT</t>
        </is>
      </c>
      <c r="H1291" s="9" t="n">
        <v>5</v>
      </c>
      <c r="I1291" s="7" t="inlineStr">
        <is>
          <t>3808.91.20</t>
        </is>
      </c>
      <c r="J1291" s="7" t="inlineStr">
        <is>
          <t>NÃO</t>
        </is>
      </c>
      <c r="K1291" s="7" t="inlineStr">
        <is>
          <t>Uso Industrial Exclusivo (PGRS / NBR 10004)</t>
        </is>
      </c>
      <c r="L1291" s="7" t="inlineStr">
        <is>
          <t>NÃO</t>
        </is>
      </c>
      <c r="M1291" s="7" t="inlineStr">
        <is>
          <t>0,00% (Lei nº 10.925/2004)</t>
        </is>
      </c>
      <c r="N1291" s="7" t="inlineStr">
        <is>
          <t>0,925% (LC nº 224/2025)</t>
        </is>
      </c>
      <c r="O1291" s="7" t="inlineStr">
        <is>
          <t>0,365% (LC nº 224/2025)</t>
        </is>
      </c>
      <c r="P1291" s="7" t="inlineStr">
        <is>
          <t>CST 06 (Uso Agrícola/Industrial)</t>
        </is>
      </c>
      <c r="Q1291" s="7" t="inlineStr">
        <is>
          <t>CST 73 (Revenda / Destinação)</t>
        </is>
      </c>
      <c r="R1291" s="7" t="inlineStr">
        <is>
          <t>Redução de 60% + Diferimento (Art. 138 LC 214/2025)</t>
        </is>
      </c>
    </row>
    <row r="1292" ht="22" customHeight="1">
      <c r="A1292" s="12" t="inlineStr">
        <is>
          <t>SKU-1288</t>
        </is>
      </c>
      <c r="B1292" s="11" t="n">
        <v>930</v>
      </c>
      <c r="C1292" s="13" t="inlineStr">
        <is>
          <t>VINC-19624</t>
        </is>
      </c>
      <c r="D1292" s="14" t="inlineStr">
        <is>
          <t>Piriproxifen Técnico Nortox</t>
        </is>
      </c>
      <c r="E1292" s="13" t="inlineStr">
        <is>
          <t>Embalagem Comercial do Produto</t>
        </is>
      </c>
      <c r="F1292" s="13" t="inlineStr">
        <is>
          <t>TAMBOR / BIG BAG INDUSTRIAL 250 KG</t>
        </is>
      </c>
      <c r="G1292" s="13" t="inlineStr">
        <is>
          <t>KG</t>
        </is>
      </c>
      <c r="H1292" s="15" t="n">
        <v>250</v>
      </c>
      <c r="I1292" s="13" t="inlineStr">
        <is>
          <t>3808.91.20</t>
        </is>
      </c>
      <c r="J1292" s="13" t="inlineStr">
        <is>
          <t>NÃO</t>
        </is>
      </c>
      <c r="K1292" s="13" t="inlineStr">
        <is>
          <t>Uso Industrial Exclusivo (PGRS / NBR 10004)</t>
        </is>
      </c>
      <c r="L1292" s="13" t="inlineStr">
        <is>
          <t>NÃO</t>
        </is>
      </c>
      <c r="M1292" s="13" t="inlineStr">
        <is>
          <t>0,00% (Lei nº 10.925/2004)</t>
        </is>
      </c>
      <c r="N1292" s="13" t="inlineStr">
        <is>
          <t>0,925% (LC nº 224/2025)</t>
        </is>
      </c>
      <c r="O1292" s="13" t="inlineStr">
        <is>
          <t>0,365% (LC nº 224/2025)</t>
        </is>
      </c>
      <c r="P1292" s="13" t="inlineStr">
        <is>
          <t>CST 06 (Uso Agrícola/Industrial)</t>
        </is>
      </c>
      <c r="Q1292" s="13" t="inlineStr">
        <is>
          <t>CST 73 (Revenda / Destinação)</t>
        </is>
      </c>
      <c r="R1292" s="13" t="inlineStr">
        <is>
          <t>Redução de 60% + Diferimento (Art. 138 LC 214/2025)</t>
        </is>
      </c>
    </row>
    <row r="1293" ht="22" customHeight="1">
      <c r="A1293" s="6" t="inlineStr">
        <is>
          <t>SKU-1289</t>
        </is>
      </c>
      <c r="B1293" s="5" t="n">
        <v>931</v>
      </c>
      <c r="C1293" s="7" t="inlineStr">
        <is>
          <t>Nº 19724</t>
        </is>
      </c>
      <c r="D1293" s="8" t="inlineStr">
        <is>
          <t>SONET</t>
        </is>
      </c>
      <c r="E1293" s="7" t="inlineStr">
        <is>
          <t>Embalagem Comercial do Produto</t>
        </is>
      </c>
      <c r="F1293" s="7" t="inlineStr">
        <is>
          <t>GALÃO / BOMBONA 5L A 20L (PADRÃO COMERCIAL)</t>
        </is>
      </c>
      <c r="G1293" s="7" t="inlineStr">
        <is>
          <t>LT</t>
        </is>
      </c>
      <c r="H1293" s="9" t="n">
        <v>5</v>
      </c>
      <c r="I1293" s="7" t="inlineStr">
        <is>
          <t>3808.91.99</t>
        </is>
      </c>
      <c r="J1293" s="7" t="inlineStr">
        <is>
          <t>NÃO</t>
        </is>
      </c>
      <c r="K1293" s="7" t="inlineStr">
        <is>
          <t>Embalagem Rígida — LAVÁVEL (Obrigatória Tríplice Lavagem ou Pressão)</t>
        </is>
      </c>
      <c r="L1293" s="7" t="inlineStr">
        <is>
          <t>NÃO</t>
        </is>
      </c>
      <c r="M1293" s="7" t="inlineStr">
        <is>
          <t>0,00% (Lei nº 10.925/2004)</t>
        </is>
      </c>
      <c r="N1293" s="7" t="inlineStr">
        <is>
          <t>0,925% (LC nº 224/2025)</t>
        </is>
      </c>
      <c r="O1293" s="7" t="inlineStr">
        <is>
          <t>0,365% (LC nº 224/2025)</t>
        </is>
      </c>
      <c r="P1293" s="7" t="inlineStr">
        <is>
          <t>CST 06</t>
        </is>
      </c>
      <c r="Q1293" s="7" t="inlineStr">
        <is>
          <t>CST 73</t>
        </is>
      </c>
      <c r="R1293" s="7" t="inlineStr">
        <is>
          <t>Redução de 60% + Diferimento (Art. 138 e Anexo IX LC 214/2025)</t>
        </is>
      </c>
    </row>
    <row r="1294" ht="22" customHeight="1">
      <c r="A1294" s="12" t="inlineStr">
        <is>
          <t>SKU-1290</t>
        </is>
      </c>
      <c r="B1294" s="11" t="n">
        <v>932</v>
      </c>
      <c r="C1294" s="13" t="inlineStr">
        <is>
          <t>VINC-19724</t>
        </is>
      </c>
      <c r="D1294" s="14" t="inlineStr">
        <is>
          <t>Dinno Técnico</t>
        </is>
      </c>
      <c r="E1294" s="13" t="inlineStr">
        <is>
          <t>Embalagem Comercial do Produto</t>
        </is>
      </c>
      <c r="F1294" s="13" t="inlineStr">
        <is>
          <t>TAMBOR / BIG BAG INDUSTRIAL 250 KG</t>
        </is>
      </c>
      <c r="G1294" s="13" t="inlineStr">
        <is>
          <t>KG</t>
        </is>
      </c>
      <c r="H1294" s="15" t="n">
        <v>250</v>
      </c>
      <c r="I1294" s="13" t="inlineStr">
        <is>
          <t>3808.69.90</t>
        </is>
      </c>
      <c r="J1294" s="13" t="inlineStr">
        <is>
          <t>SIM</t>
        </is>
      </c>
      <c r="K1294" s="13" t="inlineStr">
        <is>
          <t>Uso Industrial Exclusivo (PGRS / NBR 10004)</t>
        </is>
      </c>
      <c r="L1294" s="13" t="inlineStr">
        <is>
          <t>NÃO</t>
        </is>
      </c>
      <c r="M1294" s="13" t="inlineStr">
        <is>
          <t>0,00% (Lei nº 10.925/2004)</t>
        </is>
      </c>
      <c r="N1294" s="13" t="inlineStr">
        <is>
          <t>0,925% (LC nº 224/2025)</t>
        </is>
      </c>
      <c r="O1294" s="13" t="inlineStr">
        <is>
          <t>0,365% (LC nº 224/2025)</t>
        </is>
      </c>
      <c r="P1294" s="13" t="inlineStr">
        <is>
          <t>CST 06 (Uso Agrícola/Industrial)</t>
        </is>
      </c>
      <c r="Q1294" s="13" t="inlineStr">
        <is>
          <t>CST 73 (Revenda / Destinação)</t>
        </is>
      </c>
      <c r="R1294" s="13" t="inlineStr">
        <is>
          <t>Redução de 60% + Diferimento (Art. 138 LC 214/2025)</t>
        </is>
      </c>
    </row>
    <row r="1295" ht="22" customHeight="1">
      <c r="A1295" s="6" t="inlineStr">
        <is>
          <t>SKU-1291</t>
        </is>
      </c>
      <c r="B1295" s="5" t="n">
        <v>933</v>
      </c>
      <c r="C1295" s="7" t="inlineStr">
        <is>
          <t>VINC-19724</t>
        </is>
      </c>
      <c r="D1295" s="8" t="inlineStr">
        <is>
          <t>Lambda-Cialotrina Técnico Ihara</t>
        </is>
      </c>
      <c r="E1295" s="7" t="inlineStr">
        <is>
          <t>Embalagem Comercial do Produto</t>
        </is>
      </c>
      <c r="F1295" s="7" t="inlineStr">
        <is>
          <t>TAMBOR / BIG BAG INDUSTRIAL 250 KG</t>
        </is>
      </c>
      <c r="G1295" s="7" t="inlineStr">
        <is>
          <t>KG</t>
        </is>
      </c>
      <c r="H1295" s="9" t="n">
        <v>250</v>
      </c>
      <c r="I1295" s="7" t="inlineStr">
        <is>
          <t>3808.69.90</t>
        </is>
      </c>
      <c r="J1295" s="7" t="inlineStr">
        <is>
          <t>SIM</t>
        </is>
      </c>
      <c r="K1295" s="7" t="inlineStr">
        <is>
          <t>Uso Industrial Exclusivo (PGRS / NBR 10004)</t>
        </is>
      </c>
      <c r="L1295" s="7" t="inlineStr">
        <is>
          <t>NÃO</t>
        </is>
      </c>
      <c r="M1295" s="7" t="inlineStr">
        <is>
          <t>0,00% (Lei nº 10.925/2004)</t>
        </is>
      </c>
      <c r="N1295" s="7" t="inlineStr">
        <is>
          <t>0,925% (LC nº 224/2025)</t>
        </is>
      </c>
      <c r="O1295" s="7" t="inlineStr">
        <is>
          <t>0,365% (LC nº 224/2025)</t>
        </is>
      </c>
      <c r="P1295" s="7" t="inlineStr">
        <is>
          <t>CST 06 (Uso Agrícola/Industrial)</t>
        </is>
      </c>
      <c r="Q1295" s="7" t="inlineStr">
        <is>
          <t>CST 73 (Revenda / Destinação)</t>
        </is>
      </c>
      <c r="R1295" s="7" t="inlineStr">
        <is>
          <t>Redução de 60% + Diferimento (Art. 138 LC 214/2025)</t>
        </is>
      </c>
    </row>
    <row r="1296" ht="22" customHeight="1">
      <c r="A1296" s="12" t="inlineStr">
        <is>
          <t>SKU-1292</t>
        </is>
      </c>
      <c r="B1296" s="11" t="n">
        <v>934</v>
      </c>
      <c r="C1296" s="13" t="inlineStr">
        <is>
          <t>VINC-19724</t>
        </is>
      </c>
      <c r="D1296" s="14" t="inlineStr">
        <is>
          <t>Lambda-Cyhalothrin Técnico Oxon</t>
        </is>
      </c>
      <c r="E1296" s="13" t="inlineStr">
        <is>
          <t>Embalagem Comercial do Produto</t>
        </is>
      </c>
      <c r="F1296" s="13" t="inlineStr">
        <is>
          <t>TAMBOR / BIG BAG INDUSTRIAL 250 KG</t>
        </is>
      </c>
      <c r="G1296" s="13" t="inlineStr">
        <is>
          <t>KG</t>
        </is>
      </c>
      <c r="H1296" s="15" t="n">
        <v>250</v>
      </c>
      <c r="I1296" s="13" t="inlineStr">
        <is>
          <t>3808.69.90</t>
        </is>
      </c>
      <c r="J1296" s="13" t="inlineStr">
        <is>
          <t>SIM</t>
        </is>
      </c>
      <c r="K1296" s="13" t="inlineStr">
        <is>
          <t>Uso Industrial Exclusivo (PGRS / NBR 10004)</t>
        </is>
      </c>
      <c r="L1296" s="13" t="inlineStr">
        <is>
          <t>NÃO</t>
        </is>
      </c>
      <c r="M1296" s="13" t="inlineStr">
        <is>
          <t>0,00% (Lei nº 10.925/2004)</t>
        </is>
      </c>
      <c r="N1296" s="13" t="inlineStr">
        <is>
          <t>0,925% (LC nº 224/2025)</t>
        </is>
      </c>
      <c r="O1296" s="13" t="inlineStr">
        <is>
          <t>0,365% (LC nº 224/2025)</t>
        </is>
      </c>
      <c r="P1296" s="13" t="inlineStr">
        <is>
          <t>CST 06 (Uso Agrícola/Industrial)</t>
        </is>
      </c>
      <c r="Q1296" s="13" t="inlineStr">
        <is>
          <t>CST 73 (Revenda / Destinação)</t>
        </is>
      </c>
      <c r="R1296" s="13" t="inlineStr">
        <is>
          <t>Redução de 60% + Diferimento (Art. 138 LC 214/2025)</t>
        </is>
      </c>
    </row>
    <row r="1297" ht="22" customHeight="1">
      <c r="A1297" s="6" t="inlineStr">
        <is>
          <t>SKU-1293</t>
        </is>
      </c>
      <c r="B1297" s="5" t="n">
        <v>935</v>
      </c>
      <c r="C1297" s="7" t="inlineStr">
        <is>
          <t>VINC-19724</t>
        </is>
      </c>
      <c r="D1297" s="8" t="inlineStr">
        <is>
          <t>Lambda Cyhalothrin Técnico Sulphur Mills</t>
        </is>
      </c>
      <c r="E1297" s="7" t="inlineStr">
        <is>
          <t>Embalagem Comercial do Produto</t>
        </is>
      </c>
      <c r="F1297" s="7" t="inlineStr">
        <is>
          <t>TAMBOR / BIG BAG INDUSTRIAL 250 KG</t>
        </is>
      </c>
      <c r="G1297" s="7" t="inlineStr">
        <is>
          <t>KG</t>
        </is>
      </c>
      <c r="H1297" s="9" t="n">
        <v>250</v>
      </c>
      <c r="I1297" s="7" t="inlineStr">
        <is>
          <t>3808.69.90</t>
        </is>
      </c>
      <c r="J1297" s="7" t="inlineStr">
        <is>
          <t>SIM</t>
        </is>
      </c>
      <c r="K1297" s="7" t="inlineStr">
        <is>
          <t>Uso Industrial Exclusivo (PGRS / NBR 10004)</t>
        </is>
      </c>
      <c r="L1297" s="7" t="inlineStr">
        <is>
          <t>NÃO</t>
        </is>
      </c>
      <c r="M1297" s="7" t="inlineStr">
        <is>
          <t>0,00% (Lei nº 10.925/2004)</t>
        </is>
      </c>
      <c r="N1297" s="7" t="inlineStr">
        <is>
          <t>0,925% (LC nº 224/2025)</t>
        </is>
      </c>
      <c r="O1297" s="7" t="inlineStr">
        <is>
          <t>0,365% (LC nº 224/2025)</t>
        </is>
      </c>
      <c r="P1297" s="7" t="inlineStr">
        <is>
          <t>CST 06 (Uso Agrícola/Industrial)</t>
        </is>
      </c>
      <c r="Q1297" s="7" t="inlineStr">
        <is>
          <t>CST 73 (Revenda / Destinação)</t>
        </is>
      </c>
      <c r="R1297" s="7" t="inlineStr">
        <is>
          <t>Redução de 60% + Diferimento (Art. 138 LC 214/2025)</t>
        </is>
      </c>
    </row>
    <row r="1298" ht="22" customHeight="1">
      <c r="A1298" s="12" t="inlineStr">
        <is>
          <t>SKU-1294</t>
        </is>
      </c>
      <c r="B1298" s="11" t="n">
        <v>936</v>
      </c>
      <c r="C1298" s="13" t="inlineStr">
        <is>
          <t>Nº 19824</t>
        </is>
      </c>
      <c r="D1298" s="14" t="inlineStr">
        <is>
          <t>AHEAD</t>
        </is>
      </c>
      <c r="E1298" s="13" t="inlineStr">
        <is>
          <t>Embalagem Comercial do Produto</t>
        </is>
      </c>
      <c r="F1298" s="13" t="inlineStr">
        <is>
          <t>GALÃO / BOMBONA 5L A 20L (PADRÃO COMERCIAL)</t>
        </is>
      </c>
      <c r="G1298" s="13" t="inlineStr">
        <is>
          <t>LT</t>
        </is>
      </c>
      <c r="H1298" s="15" t="n">
        <v>5</v>
      </c>
      <c r="I1298" s="13" t="inlineStr">
        <is>
          <t>3808.91.99</t>
        </is>
      </c>
      <c r="J1298" s="13" t="inlineStr">
        <is>
          <t>NÃO</t>
        </is>
      </c>
      <c r="K1298" s="13" t="inlineStr">
        <is>
          <t>Embalagem Rígida — LAVÁVEL (Obrigatória Tríplice Lavagem ou Pressão)</t>
        </is>
      </c>
      <c r="L1298" s="13" t="inlineStr">
        <is>
          <t>NÃO</t>
        </is>
      </c>
      <c r="M1298" s="13" t="inlineStr">
        <is>
          <t>0,00% (Lei nº 10.925/2004)</t>
        </is>
      </c>
      <c r="N1298" s="13" t="inlineStr">
        <is>
          <t>0,925% (LC nº 224/2025)</t>
        </is>
      </c>
      <c r="O1298" s="13" t="inlineStr">
        <is>
          <t>0,365% (LC nº 224/2025)</t>
        </is>
      </c>
      <c r="P1298" s="13" t="inlineStr">
        <is>
          <t>CST 06</t>
        </is>
      </c>
      <c r="Q1298" s="13" t="inlineStr">
        <is>
          <t>CST 73</t>
        </is>
      </c>
      <c r="R1298" s="13" t="inlineStr">
        <is>
          <t>Redução de 60% + Diferimento (Art. 138 e Anexo IX LC 214/2025)</t>
        </is>
      </c>
    </row>
    <row r="1299" ht="22" customHeight="1">
      <c r="A1299" s="6" t="inlineStr">
        <is>
          <t>SKU-1295</t>
        </is>
      </c>
      <c r="B1299" s="5" t="n">
        <v>937</v>
      </c>
      <c r="C1299" s="7" t="inlineStr">
        <is>
          <t>VINC-19824</t>
        </is>
      </c>
      <c r="D1299" s="8" t="inlineStr">
        <is>
          <t>Tiger Técnico</t>
        </is>
      </c>
      <c r="E1299" s="7" t="inlineStr">
        <is>
          <t>Embalagem Comercial do Produto</t>
        </is>
      </c>
      <c r="F1299" s="7" t="inlineStr">
        <is>
          <t>TAMBOR / BIG BAG INDUSTRIAL 250 KG</t>
        </is>
      </c>
      <c r="G1299" s="7" t="inlineStr">
        <is>
          <t>KG</t>
        </is>
      </c>
      <c r="H1299" s="9" t="n">
        <v>250</v>
      </c>
      <c r="I1299" s="7" t="inlineStr">
        <is>
          <t>3808.91.20</t>
        </is>
      </c>
      <c r="J1299" s="7" t="inlineStr">
        <is>
          <t>NÃO</t>
        </is>
      </c>
      <c r="K1299" s="7" t="inlineStr">
        <is>
          <t>Uso Industrial Exclusivo (PGRS / NBR 10004)</t>
        </is>
      </c>
      <c r="L1299" s="7" t="inlineStr">
        <is>
          <t>NÃO</t>
        </is>
      </c>
      <c r="M1299" s="7" t="inlineStr">
        <is>
          <t>0,00% (Lei nº 10.925/2004)</t>
        </is>
      </c>
      <c r="N1299" s="7" t="inlineStr">
        <is>
          <t>0,925% (LC nº 224/2025)</t>
        </is>
      </c>
      <c r="O1299" s="7" t="inlineStr">
        <is>
          <t>0,365% (LC nº 224/2025)</t>
        </is>
      </c>
      <c r="P1299" s="7" t="inlineStr">
        <is>
          <t>CST 06 (Uso Agrícola/Industrial)</t>
        </is>
      </c>
      <c r="Q1299" s="7" t="inlineStr">
        <is>
          <t>CST 73 (Revenda / Destinação)</t>
        </is>
      </c>
      <c r="R1299" s="7" t="inlineStr">
        <is>
          <t>Redução de 60% + Diferimento (Art. 138 LC 214/2025)</t>
        </is>
      </c>
    </row>
    <row r="1300" ht="22" customHeight="1">
      <c r="A1300" s="12" t="inlineStr">
        <is>
          <t>SKU-1296</t>
        </is>
      </c>
      <c r="B1300" s="11" t="n">
        <v>938</v>
      </c>
      <c r="C1300" s="13" t="inlineStr">
        <is>
          <t>Nº 19924</t>
        </is>
      </c>
      <c r="D1300" s="14" t="inlineStr">
        <is>
          <t>DOPPIO</t>
        </is>
      </c>
      <c r="E1300" s="13" t="inlineStr">
        <is>
          <t>Embalagem Comercial do Produto</t>
        </is>
      </c>
      <c r="F1300" s="13" t="inlineStr">
        <is>
          <t>GALÃO / BOMBONA 5L A 20L (PADRÃO COMERCIAL)</t>
        </is>
      </c>
      <c r="G1300" s="13" t="inlineStr">
        <is>
          <t>LT</t>
        </is>
      </c>
      <c r="H1300" s="15" t="n">
        <v>5</v>
      </c>
      <c r="I1300" s="13" t="inlineStr">
        <is>
          <t>3808.93.29</t>
        </is>
      </c>
      <c r="J1300" s="13" t="inlineStr">
        <is>
          <t>NÃO</t>
        </is>
      </c>
      <c r="K1300" s="13" t="inlineStr">
        <is>
          <t>Embalagem Rígida — LAVÁVEL (Obrigatória Tríplice Lavagem ou Pressão)</t>
        </is>
      </c>
      <c r="L1300" s="13" t="inlineStr">
        <is>
          <t>NÃO</t>
        </is>
      </c>
      <c r="M1300" s="13" t="inlineStr">
        <is>
          <t>0,00% (Lei nº 10.925/2004)</t>
        </is>
      </c>
      <c r="N1300" s="13" t="inlineStr">
        <is>
          <t>0,925% (LC nº 224/2025)</t>
        </is>
      </c>
      <c r="O1300" s="13" t="inlineStr">
        <is>
          <t>0,365% (LC nº 224/2025)</t>
        </is>
      </c>
      <c r="P1300" s="13" t="inlineStr">
        <is>
          <t>CST 06</t>
        </is>
      </c>
      <c r="Q1300" s="13" t="inlineStr">
        <is>
          <t>CST 73</t>
        </is>
      </c>
      <c r="R1300" s="13" t="inlineStr">
        <is>
          <t>Redução de 60% + Diferimento (Art. 138 e Anexo IX LC 214/2025)</t>
        </is>
      </c>
    </row>
    <row r="1301" ht="22" customHeight="1">
      <c r="A1301" s="6" t="inlineStr">
        <is>
          <t>SKU-1297</t>
        </is>
      </c>
      <c r="B1301" s="5" t="n">
        <v>939</v>
      </c>
      <c r="C1301" s="7" t="inlineStr">
        <is>
          <t>VINC-19924</t>
        </is>
      </c>
      <c r="D1301" s="8" t="inlineStr">
        <is>
          <t>Diquat Técnico</t>
        </is>
      </c>
      <c r="E1301" s="7" t="inlineStr">
        <is>
          <t>Embalagem Comercial do Produto</t>
        </is>
      </c>
      <c r="F1301" s="7" t="inlineStr">
        <is>
          <t>TAMBOR / BIG BAG INDUSTRIAL 250 KG</t>
        </is>
      </c>
      <c r="G1301" s="7" t="inlineStr">
        <is>
          <t>KG</t>
        </is>
      </c>
      <c r="H1301" s="9" t="n">
        <v>250</v>
      </c>
      <c r="I1301" s="7" t="inlineStr">
        <is>
          <t>3808.93.19</t>
        </is>
      </c>
      <c r="J1301" s="7" t="inlineStr">
        <is>
          <t>NÃO</t>
        </is>
      </c>
      <c r="K1301" s="7" t="inlineStr">
        <is>
          <t>Uso Industrial Exclusivo (PGRS / NBR 10004)</t>
        </is>
      </c>
      <c r="L1301" s="7" t="inlineStr">
        <is>
          <t>NÃO</t>
        </is>
      </c>
      <c r="M1301" s="7" t="inlineStr">
        <is>
          <t>0,00% (Lei nº 10.925/2004)</t>
        </is>
      </c>
      <c r="N1301" s="7" t="inlineStr">
        <is>
          <t>0,925% (LC nº 224/2025)</t>
        </is>
      </c>
      <c r="O1301" s="7" t="inlineStr">
        <is>
          <t>0,365% (LC nº 224/2025)</t>
        </is>
      </c>
      <c r="P1301" s="7" t="inlineStr">
        <is>
          <t>CST 06 (Uso Agrícola/Industrial)</t>
        </is>
      </c>
      <c r="Q1301" s="7" t="inlineStr">
        <is>
          <t>CST 73 (Revenda / Destinação)</t>
        </is>
      </c>
      <c r="R1301" s="7" t="inlineStr">
        <is>
          <t>Redução de 60% + Diferimento (Art. 138 LC 214/2025)</t>
        </is>
      </c>
    </row>
    <row r="1302" ht="22" customHeight="1">
      <c r="A1302" s="12" t="inlineStr">
        <is>
          <t>SKU-1298</t>
        </is>
      </c>
      <c r="B1302" s="11" t="n">
        <v>940</v>
      </c>
      <c r="C1302" s="13" t="inlineStr">
        <is>
          <t>VINC-19924</t>
        </is>
      </c>
      <c r="D1302" s="14" t="inlineStr">
        <is>
          <t>Diquat Técnico Ihara</t>
        </is>
      </c>
      <c r="E1302" s="13" t="inlineStr">
        <is>
          <t>Embalagem Comercial do Produto</t>
        </is>
      </c>
      <c r="F1302" s="13" t="inlineStr">
        <is>
          <t>TAMBOR / BIG BAG INDUSTRIAL 250 KG</t>
        </is>
      </c>
      <c r="G1302" s="13" t="inlineStr">
        <is>
          <t>KG</t>
        </is>
      </c>
      <c r="H1302" s="15" t="n">
        <v>250</v>
      </c>
      <c r="I1302" s="13" t="inlineStr">
        <is>
          <t>3808.93.19</t>
        </is>
      </c>
      <c r="J1302" s="13" t="inlineStr">
        <is>
          <t>NÃO</t>
        </is>
      </c>
      <c r="K1302" s="13" t="inlineStr">
        <is>
          <t>Uso Industrial Exclusivo (PGRS / NBR 10004)</t>
        </is>
      </c>
      <c r="L1302" s="13" t="inlineStr">
        <is>
          <t>NÃO</t>
        </is>
      </c>
      <c r="M1302" s="13" t="inlineStr">
        <is>
          <t>0,00% (Lei nº 10.925/2004)</t>
        </is>
      </c>
      <c r="N1302" s="13" t="inlineStr">
        <is>
          <t>0,925% (LC nº 224/2025)</t>
        </is>
      </c>
      <c r="O1302" s="13" t="inlineStr">
        <is>
          <t>0,365% (LC nº 224/2025)</t>
        </is>
      </c>
      <c r="P1302" s="13" t="inlineStr">
        <is>
          <t>CST 06 (Uso Agrícola/Industrial)</t>
        </is>
      </c>
      <c r="Q1302" s="13" t="inlineStr">
        <is>
          <t>CST 73 (Revenda / Destinação)</t>
        </is>
      </c>
      <c r="R1302" s="13" t="inlineStr">
        <is>
          <t>Redução de 60% + Diferimento (Art. 138 LC 214/2025)</t>
        </is>
      </c>
    </row>
    <row r="1303" ht="22" customHeight="1">
      <c r="A1303" s="6" t="inlineStr">
        <is>
          <t>SKU-1299</t>
        </is>
      </c>
      <c r="B1303" s="5" t="n">
        <v>941</v>
      </c>
      <c r="C1303" s="7" t="inlineStr">
        <is>
          <t>VINC-19924</t>
        </is>
      </c>
      <c r="D1303" s="8" t="inlineStr">
        <is>
          <t>Magneto Técnico</t>
        </is>
      </c>
      <c r="E1303" s="7" t="inlineStr">
        <is>
          <t>Embalagem Comercial do Produto</t>
        </is>
      </c>
      <c r="F1303" s="7" t="inlineStr">
        <is>
          <t>TAMBOR / BIG BAG INDUSTRIAL 250 KG</t>
        </is>
      </c>
      <c r="G1303" s="7" t="inlineStr">
        <is>
          <t>KG</t>
        </is>
      </c>
      <c r="H1303" s="9" t="n">
        <v>250</v>
      </c>
      <c r="I1303" s="7" t="inlineStr">
        <is>
          <t>3808.93.19</t>
        </is>
      </c>
      <c r="J1303" s="7" t="inlineStr">
        <is>
          <t>NÃO</t>
        </is>
      </c>
      <c r="K1303" s="7" t="inlineStr">
        <is>
          <t>Uso Industrial Exclusivo (PGRS / NBR 10004)</t>
        </is>
      </c>
      <c r="L1303" s="7" t="inlineStr">
        <is>
          <t>NÃO</t>
        </is>
      </c>
      <c r="M1303" s="7" t="inlineStr">
        <is>
          <t>0,00% (Lei nº 10.925/2004)</t>
        </is>
      </c>
      <c r="N1303" s="7" t="inlineStr">
        <is>
          <t>0,925% (LC nº 224/2025)</t>
        </is>
      </c>
      <c r="O1303" s="7" t="inlineStr">
        <is>
          <t>0,365% (LC nº 224/2025)</t>
        </is>
      </c>
      <c r="P1303" s="7" t="inlineStr">
        <is>
          <t>CST 06 (Uso Agrícola/Industrial)</t>
        </is>
      </c>
      <c r="Q1303" s="7" t="inlineStr">
        <is>
          <t>CST 73 (Revenda / Destinação)</t>
        </is>
      </c>
      <c r="R1303" s="7" t="inlineStr">
        <is>
          <t>Redução de 60% + Diferimento (Art. 138 LC 214/2025)</t>
        </is>
      </c>
    </row>
    <row r="1304" ht="22" customHeight="1">
      <c r="A1304" s="12" t="inlineStr">
        <is>
          <t>SKU-1300</t>
        </is>
      </c>
      <c r="B1304" s="11" t="n">
        <v>942</v>
      </c>
      <c r="C1304" s="13" t="inlineStr">
        <is>
          <t>Nº 20024</t>
        </is>
      </c>
      <c r="D1304" s="14" t="inlineStr">
        <is>
          <t>DANTAI</t>
        </is>
      </c>
      <c r="E1304" s="13" t="inlineStr">
        <is>
          <t>Embalagem Comercial do Produto</t>
        </is>
      </c>
      <c r="F1304" s="13" t="inlineStr">
        <is>
          <t>GALÃO / BOMBONA 5L A 20L (PADRÃO COMERCIAL)</t>
        </is>
      </c>
      <c r="G1304" s="13" t="inlineStr">
        <is>
          <t>LT</t>
        </is>
      </c>
      <c r="H1304" s="15" t="n">
        <v>5</v>
      </c>
      <c r="I1304" s="13" t="inlineStr">
        <is>
          <t>3808.92.99</t>
        </is>
      </c>
      <c r="J1304" s="13" t="inlineStr">
        <is>
          <t>NÃO</t>
        </is>
      </c>
      <c r="K1304" s="13" t="inlineStr">
        <is>
          <t>Embalagem Rígida — LAVÁVEL (Obrigatória Tríplice Lavagem ou Pressão)</t>
        </is>
      </c>
      <c r="L1304" s="13" t="inlineStr">
        <is>
          <t>NÃO</t>
        </is>
      </c>
      <c r="M1304" s="13" t="inlineStr">
        <is>
          <t>0,00% (Lei nº 10.925/2004)</t>
        </is>
      </c>
      <c r="N1304" s="13" t="inlineStr">
        <is>
          <t>0,925% (LC nº 224/2025)</t>
        </is>
      </c>
      <c r="O1304" s="13" t="inlineStr">
        <is>
          <t>0,365% (LC nº 224/2025)</t>
        </is>
      </c>
      <c r="P1304" s="13" t="inlineStr">
        <is>
          <t>CST 06</t>
        </is>
      </c>
      <c r="Q1304" s="13" t="inlineStr">
        <is>
          <t>CST 73</t>
        </is>
      </c>
      <c r="R1304" s="13" t="inlineStr">
        <is>
          <t>Redução de 60% + Diferimento (Art. 138 e Anexo IX LC 214/2025)</t>
        </is>
      </c>
    </row>
    <row r="1305" ht="22" customHeight="1">
      <c r="A1305" s="6" t="inlineStr">
        <is>
          <t>SKU-1301</t>
        </is>
      </c>
      <c r="B1305" s="5" t="n">
        <v>943</v>
      </c>
      <c r="C1305" s="7" t="inlineStr">
        <is>
          <t>VINC-20024</t>
        </is>
      </c>
      <c r="D1305" s="8" t="inlineStr">
        <is>
          <t>Completto Técnico</t>
        </is>
      </c>
      <c r="E1305" s="7" t="inlineStr">
        <is>
          <t>Embalagem Comercial do Produto</t>
        </is>
      </c>
      <c r="F1305" s="7" t="inlineStr">
        <is>
          <t>TAMBOR / BIG BAG INDUSTRIAL 250 KG</t>
        </is>
      </c>
      <c r="G1305" s="7" t="inlineStr">
        <is>
          <t>KG</t>
        </is>
      </c>
      <c r="H1305" s="9" t="n">
        <v>250</v>
      </c>
      <c r="I1305" s="7" t="inlineStr">
        <is>
          <t>3808.92.20</t>
        </is>
      </c>
      <c r="J1305" s="7" t="inlineStr">
        <is>
          <t>NÃO</t>
        </is>
      </c>
      <c r="K1305" s="7" t="inlineStr">
        <is>
          <t>Uso Industrial Exclusivo (PGRS / NBR 10004)</t>
        </is>
      </c>
      <c r="L1305" s="7" t="inlineStr">
        <is>
          <t>NÃO</t>
        </is>
      </c>
      <c r="M1305" s="7" t="inlineStr">
        <is>
          <t>0,00% (Lei nº 10.925/2004)</t>
        </is>
      </c>
      <c r="N1305" s="7" t="inlineStr">
        <is>
          <t>0,925% (LC nº 224/2025)</t>
        </is>
      </c>
      <c r="O1305" s="7" t="inlineStr">
        <is>
          <t>0,365% (LC nº 224/2025)</t>
        </is>
      </c>
      <c r="P1305" s="7" t="inlineStr">
        <is>
          <t>CST 06 (Uso Agrícola/Industrial)</t>
        </is>
      </c>
      <c r="Q1305" s="7" t="inlineStr">
        <is>
          <t>CST 73 (Revenda / Destinação)</t>
        </is>
      </c>
      <c r="R1305" s="7" t="inlineStr">
        <is>
          <t>Redução de 60% + Diferimento (Art. 138 LC 214/2025)</t>
        </is>
      </c>
    </row>
    <row r="1306" ht="22" customHeight="1">
      <c r="A1306" s="12" t="inlineStr">
        <is>
          <t>SKU-1302</t>
        </is>
      </c>
      <c r="B1306" s="11" t="n">
        <v>944</v>
      </c>
      <c r="C1306" s="13" t="inlineStr">
        <is>
          <t>VINC-20024</t>
        </is>
      </c>
      <c r="D1306" s="14" t="inlineStr">
        <is>
          <t>Pilarich Técnico</t>
        </is>
      </c>
      <c r="E1306" s="13" t="inlineStr">
        <is>
          <t>Embalagem Comercial do Produto</t>
        </is>
      </c>
      <c r="F1306" s="13" t="inlineStr">
        <is>
          <t>TAMBOR / BIG BAG INDUSTRIAL 250 KG</t>
        </is>
      </c>
      <c r="G1306" s="13" t="inlineStr">
        <is>
          <t>KG</t>
        </is>
      </c>
      <c r="H1306" s="15" t="n">
        <v>250</v>
      </c>
      <c r="I1306" s="13" t="inlineStr">
        <is>
          <t>3808.92.20</t>
        </is>
      </c>
      <c r="J1306" s="13" t="inlineStr">
        <is>
          <t>NÃO</t>
        </is>
      </c>
      <c r="K1306" s="13" t="inlineStr">
        <is>
          <t>Uso Industrial Exclusivo (PGRS / NBR 10004)</t>
        </is>
      </c>
      <c r="L1306" s="13" t="inlineStr">
        <is>
          <t>NÃO</t>
        </is>
      </c>
      <c r="M1306" s="13" t="inlineStr">
        <is>
          <t>0,00% (Lei nº 10.925/2004)</t>
        </is>
      </c>
      <c r="N1306" s="13" t="inlineStr">
        <is>
          <t>0,925% (LC nº 224/2025)</t>
        </is>
      </c>
      <c r="O1306" s="13" t="inlineStr">
        <is>
          <t>0,365% (LC nº 224/2025)</t>
        </is>
      </c>
      <c r="P1306" s="13" t="inlineStr">
        <is>
          <t>CST 06 (Uso Agrícola/Industrial)</t>
        </is>
      </c>
      <c r="Q1306" s="13" t="inlineStr">
        <is>
          <t>CST 73 (Revenda / Destinação)</t>
        </is>
      </c>
      <c r="R1306" s="13" t="inlineStr">
        <is>
          <t>Redução de 60% + Diferimento (Art. 138 LC 214/2025)</t>
        </is>
      </c>
    </row>
    <row r="1307" ht="22" customHeight="1">
      <c r="A1307" s="6" t="inlineStr">
        <is>
          <t>SKU-1303</t>
        </is>
      </c>
      <c r="B1307" s="5" t="n">
        <v>945</v>
      </c>
      <c r="C1307" s="7" t="inlineStr">
        <is>
          <t>Nº 20124</t>
        </is>
      </c>
      <c r="D1307" s="8" t="inlineStr">
        <is>
          <t>TEBUTIURON 800 WG PERTERRA</t>
        </is>
      </c>
      <c r="E1307" s="7" t="inlineStr">
        <is>
          <t>Embalagem Comercial do Produto</t>
        </is>
      </c>
      <c r="F1307" s="7" t="inlineStr">
        <is>
          <t>GALÃO / BOMBONA 5L A 20L (PADRÃO COMERCIAL)</t>
        </is>
      </c>
      <c r="G1307" s="7" t="inlineStr">
        <is>
          <t>KG</t>
        </is>
      </c>
      <c r="H1307" s="9" t="n">
        <v>5</v>
      </c>
      <c r="I1307" s="7" t="inlineStr">
        <is>
          <t>3808.93.29</t>
        </is>
      </c>
      <c r="J1307" s="7" t="inlineStr">
        <is>
          <t>NÃO</t>
        </is>
      </c>
      <c r="K1307" s="7" t="inlineStr">
        <is>
          <t>Embalagem Flexível — NÃO LAVÁVEL (Perfurar e usar saco ABNT)</t>
        </is>
      </c>
      <c r="L1307" s="7" t="inlineStr">
        <is>
          <t>SIM (Saco Transparente ABNT)</t>
        </is>
      </c>
      <c r="M1307" s="7" t="inlineStr">
        <is>
          <t>0,00% (Lei nº 10.925/2004)</t>
        </is>
      </c>
      <c r="N1307" s="7" t="inlineStr">
        <is>
          <t>0,925% (LC nº 224/2025)</t>
        </is>
      </c>
      <c r="O1307" s="7" t="inlineStr">
        <is>
          <t>0,365% (LC nº 224/2025)</t>
        </is>
      </c>
      <c r="P1307" s="7" t="inlineStr">
        <is>
          <t>CST 06</t>
        </is>
      </c>
      <c r="Q1307" s="7" t="inlineStr">
        <is>
          <t>CST 73</t>
        </is>
      </c>
      <c r="R1307" s="7" t="inlineStr">
        <is>
          <t>Redução de 60% + Diferimento (Art. 138 e Anexo IX LC 214/2025)</t>
        </is>
      </c>
    </row>
    <row r="1308" ht="22" customHeight="1">
      <c r="A1308" s="12" t="inlineStr">
        <is>
          <t>SKU-1304</t>
        </is>
      </c>
      <c r="B1308" s="11" t="n">
        <v>946</v>
      </c>
      <c r="C1308" s="13" t="inlineStr">
        <is>
          <t>Nº 20224</t>
        </is>
      </c>
      <c r="D1308" s="14" t="inlineStr">
        <is>
          <t>PRO-PIC 720 WG</t>
        </is>
      </c>
      <c r="E1308" s="13" t="inlineStr">
        <is>
          <t>Embalagem Comercial do Produto</t>
        </is>
      </c>
      <c r="F1308" s="13" t="inlineStr">
        <is>
          <t>GALÃO / BOMBONA 5L A 20L (PADRÃO COMERCIAL)</t>
        </is>
      </c>
      <c r="G1308" s="13" t="inlineStr">
        <is>
          <t>KG</t>
        </is>
      </c>
      <c r="H1308" s="15" t="n">
        <v>5</v>
      </c>
      <c r="I1308" s="13" t="inlineStr">
        <is>
          <t>3808.93.19</t>
        </is>
      </c>
      <c r="J1308" s="13" t="inlineStr">
        <is>
          <t>NÃO</t>
        </is>
      </c>
      <c r="K1308" s="13" t="inlineStr">
        <is>
          <t>Uso Industrial Exclusivo (PGRS / NBR 10004)</t>
        </is>
      </c>
      <c r="L1308" s="13" t="inlineStr">
        <is>
          <t>NÃO</t>
        </is>
      </c>
      <c r="M1308" s="13" t="inlineStr">
        <is>
          <t>0,00% (Lei nº 10.925/2004)</t>
        </is>
      </c>
      <c r="N1308" s="13" t="inlineStr">
        <is>
          <t>0,925% (LC nº 224/2025)</t>
        </is>
      </c>
      <c r="O1308" s="13" t="inlineStr">
        <is>
          <t>0,365% (LC nº 224/2025)</t>
        </is>
      </c>
      <c r="P1308" s="13" t="inlineStr">
        <is>
          <t>CST 06 (Uso Agrícola/Industrial)</t>
        </is>
      </c>
      <c r="Q1308" s="13" t="inlineStr">
        <is>
          <t>CST 73 (Revenda / Destinação)</t>
        </is>
      </c>
      <c r="R1308" s="13" t="inlineStr">
        <is>
          <t>Redução de 60% + Diferimento (Art. 138 LC 214/2025)</t>
        </is>
      </c>
    </row>
    <row r="1309" ht="22" customHeight="1">
      <c r="A1309" s="6" t="inlineStr">
        <is>
          <t>SKU-1305</t>
        </is>
      </c>
      <c r="B1309" s="5" t="n">
        <v>947</v>
      </c>
      <c r="C1309" s="7" t="inlineStr">
        <is>
          <t>VINC-20224</t>
        </is>
      </c>
      <c r="D1309" s="8" t="inlineStr">
        <is>
          <t>Glifosato Técnico GHA</t>
        </is>
      </c>
      <c r="E1309" s="7" t="inlineStr">
        <is>
          <t>Embalagem Comercial do Produto</t>
        </is>
      </c>
      <c r="F1309" s="7" t="inlineStr">
        <is>
          <t>TAMBOR / BIG BAG INDUSTRIAL 250 KG</t>
        </is>
      </c>
      <c r="G1309" s="7" t="inlineStr">
        <is>
          <t>KG</t>
        </is>
      </c>
      <c r="H1309" s="9" t="n">
        <v>250</v>
      </c>
      <c r="I1309" s="7" t="inlineStr">
        <is>
          <t>3808.93.19</t>
        </is>
      </c>
      <c r="J1309" s="7" t="inlineStr">
        <is>
          <t>NÃO</t>
        </is>
      </c>
      <c r="K1309" s="7" t="inlineStr">
        <is>
          <t>Uso Industrial Exclusivo (PGRS / NBR 10004)</t>
        </is>
      </c>
      <c r="L1309" s="7" t="inlineStr">
        <is>
          <t>NÃO</t>
        </is>
      </c>
      <c r="M1309" s="7" t="inlineStr">
        <is>
          <t>0,00% (Lei nº 10.925/2004)</t>
        </is>
      </c>
      <c r="N1309" s="7" t="inlineStr">
        <is>
          <t>0,925% (LC nº 224/2025)</t>
        </is>
      </c>
      <c r="O1309" s="7" t="inlineStr">
        <is>
          <t>0,365% (LC nº 224/2025)</t>
        </is>
      </c>
      <c r="P1309" s="7" t="inlineStr">
        <is>
          <t>CST 06 (Uso Agrícola/Industrial)</t>
        </is>
      </c>
      <c r="Q1309" s="7" t="inlineStr">
        <is>
          <t>CST 73 (Revenda / Destinação)</t>
        </is>
      </c>
      <c r="R1309" s="7" t="inlineStr">
        <is>
          <t>Redução de 60% + Diferimento (Art. 138 LC 214/2025)</t>
        </is>
      </c>
    </row>
    <row r="1310" ht="22" customHeight="1">
      <c r="A1310" s="12" t="inlineStr">
        <is>
          <t>SKU-1306</t>
        </is>
      </c>
      <c r="B1310" s="11" t="n">
        <v>948</v>
      </c>
      <c r="C1310" s="13" t="inlineStr">
        <is>
          <t>Nº 20324</t>
        </is>
      </c>
      <c r="D1310" s="14" t="inlineStr">
        <is>
          <t>OLAPAQUE</t>
        </is>
      </c>
      <c r="E1310" s="13" t="inlineStr">
        <is>
          <t>Embalagem Comercial do Produto</t>
        </is>
      </c>
      <c r="F1310" s="13" t="inlineStr">
        <is>
          <t>GALÃO / BOMBONA 5L A 20L (PADRÃO COMERCIAL)</t>
        </is>
      </c>
      <c r="G1310" s="13" t="inlineStr">
        <is>
          <t>LT</t>
        </is>
      </c>
      <c r="H1310" s="15" t="n">
        <v>5</v>
      </c>
      <c r="I1310" s="13" t="inlineStr">
        <is>
          <t>3808.93.59</t>
        </is>
      </c>
      <c r="J1310" s="13" t="inlineStr">
        <is>
          <t>NÃO</t>
        </is>
      </c>
      <c r="K1310" s="13" t="inlineStr">
        <is>
          <t>Embalagem Rígida — LAVÁVEL (Obrigatória Tríplice Lavagem ou Pressão)</t>
        </is>
      </c>
      <c r="L1310" s="13" t="inlineStr">
        <is>
          <t>NÃO</t>
        </is>
      </c>
      <c r="M1310" s="13" t="inlineStr">
        <is>
          <t>0,00% (Lei nº 10.925/2004)</t>
        </is>
      </c>
      <c r="N1310" s="13" t="inlineStr">
        <is>
          <t>0,925% (LC nº 224/2025)</t>
        </is>
      </c>
      <c r="O1310" s="13" t="inlineStr">
        <is>
          <t>0,365% (LC nº 224/2025)</t>
        </is>
      </c>
      <c r="P1310" s="13" t="inlineStr">
        <is>
          <t>CST 06</t>
        </is>
      </c>
      <c r="Q1310" s="13" t="inlineStr">
        <is>
          <t>CST 73</t>
        </is>
      </c>
      <c r="R1310" s="13" t="inlineStr">
        <is>
          <t>Redução de 60% + Diferimento (Art. 138 e Anexo IX LC 214/2025)</t>
        </is>
      </c>
    </row>
    <row r="1311" ht="22" customHeight="1">
      <c r="A1311" s="6" t="inlineStr">
        <is>
          <t>SKU-1307</t>
        </is>
      </c>
      <c r="B1311" s="5" t="n">
        <v>949</v>
      </c>
      <c r="C1311" s="7" t="inlineStr">
        <is>
          <t>Nº 20424</t>
        </is>
      </c>
      <c r="D1311" s="8" t="inlineStr">
        <is>
          <t>BIOPAK 720 WG</t>
        </is>
      </c>
      <c r="E1311" s="7" t="inlineStr">
        <is>
          <t>Embalagem Comercial do Produto</t>
        </is>
      </c>
      <c r="F1311" s="7" t="inlineStr">
        <is>
          <t>GALÃO / BOMBONA 5L A 20L (PADRÃO COMERCIAL)</t>
        </is>
      </c>
      <c r="G1311" s="7" t="inlineStr">
        <is>
          <t>KG</t>
        </is>
      </c>
      <c r="H1311" s="9" t="n">
        <v>5</v>
      </c>
      <c r="I1311" s="7" t="inlineStr">
        <is>
          <t>3808.93.19</t>
        </is>
      </c>
      <c r="J1311" s="7" t="inlineStr">
        <is>
          <t>NÃO</t>
        </is>
      </c>
      <c r="K1311" s="7" t="inlineStr">
        <is>
          <t>Uso Industrial Exclusivo (PGRS / NBR 10004)</t>
        </is>
      </c>
      <c r="L1311" s="7" t="inlineStr">
        <is>
          <t>NÃO</t>
        </is>
      </c>
      <c r="M1311" s="7" t="inlineStr">
        <is>
          <t>0,00% (Lei nº 10.925/2004)</t>
        </is>
      </c>
      <c r="N1311" s="7" t="inlineStr">
        <is>
          <t>0,925% (LC nº 224/2025)</t>
        </is>
      </c>
      <c r="O1311" s="7" t="inlineStr">
        <is>
          <t>0,365% (LC nº 224/2025)</t>
        </is>
      </c>
      <c r="P1311" s="7" t="inlineStr">
        <is>
          <t>CST 06 (Uso Agrícola/Industrial)</t>
        </is>
      </c>
      <c r="Q1311" s="7" t="inlineStr">
        <is>
          <t>CST 73 (Revenda / Destinação)</t>
        </is>
      </c>
      <c r="R1311" s="7" t="inlineStr">
        <is>
          <t>Redução de 60% + Diferimento (Art. 138 LC 214/2025)</t>
        </is>
      </c>
    </row>
    <row r="1312" ht="22" customHeight="1">
      <c r="A1312" s="12" t="inlineStr">
        <is>
          <t>SKU-1308</t>
        </is>
      </c>
      <c r="B1312" s="11" t="n">
        <v>950</v>
      </c>
      <c r="C1312" s="13" t="inlineStr">
        <is>
          <t>Nº 20524</t>
        </is>
      </c>
      <c r="D1312" s="14" t="inlineStr">
        <is>
          <t>NAVEGANTE 806 SL</t>
        </is>
      </c>
      <c r="E1312" s="13" t="inlineStr">
        <is>
          <t>Embalagem Comercial do Produto</t>
        </is>
      </c>
      <c r="F1312" s="13" t="inlineStr">
        <is>
          <t>GALÃO / BOMBONA 5L A 20L (PADRÃO COMERCIAL)</t>
        </is>
      </c>
      <c r="G1312" s="13" t="inlineStr">
        <is>
          <t>LT</t>
        </is>
      </c>
      <c r="H1312" s="15" t="n">
        <v>5</v>
      </c>
      <c r="I1312" s="13" t="inlineStr">
        <is>
          <t>3808.93.22</t>
        </is>
      </c>
      <c r="J1312" s="13" t="inlineStr">
        <is>
          <t>NÃO</t>
        </is>
      </c>
      <c r="K1312" s="13" t="inlineStr">
        <is>
          <t>Embalagem Rígida — LAVÁVEL (Obrigatória Tríplice Lavagem ou Pressão)</t>
        </is>
      </c>
      <c r="L1312" s="13" t="inlineStr">
        <is>
          <t>NÃO</t>
        </is>
      </c>
      <c r="M1312" s="13" t="inlineStr">
        <is>
          <t>0,00% (Lei nº 10.925/2004)</t>
        </is>
      </c>
      <c r="N1312" s="13" t="inlineStr">
        <is>
          <t>0,925% (LC nº 224/2025)</t>
        </is>
      </c>
      <c r="O1312" s="13" t="inlineStr">
        <is>
          <t>0,365% (LC nº 224/2025)</t>
        </is>
      </c>
      <c r="P1312" s="13" t="inlineStr">
        <is>
          <t>CST 06</t>
        </is>
      </c>
      <c r="Q1312" s="13" t="inlineStr">
        <is>
          <t>CST 73</t>
        </is>
      </c>
      <c r="R1312" s="13" t="inlineStr">
        <is>
          <t>Redução de 60% + Diferimento (Art. 138 e Anexo IX LC 214/2025)</t>
        </is>
      </c>
    </row>
    <row r="1313" ht="22" customHeight="1">
      <c r="A1313" s="6" t="inlineStr">
        <is>
          <t>SKU-1309</t>
        </is>
      </c>
      <c r="B1313" s="5" t="n">
        <v>951</v>
      </c>
      <c r="C1313" s="7" t="inlineStr">
        <is>
          <t>Nº 20624</t>
        </is>
      </c>
      <c r="D1313" s="8" t="inlineStr">
        <is>
          <t>CISHA 250 EC</t>
        </is>
      </c>
      <c r="E1313" s="7" t="inlineStr">
        <is>
          <t>Embalagem Comercial do Produto</t>
        </is>
      </c>
      <c r="F1313" s="7" t="inlineStr">
        <is>
          <t>GALÃO / BOMBONA 5L A 20L (PADRÃO COMERCIAL)</t>
        </is>
      </c>
      <c r="G1313" s="7" t="inlineStr">
        <is>
          <t>LT</t>
        </is>
      </c>
      <c r="H1313" s="9" t="n">
        <v>5</v>
      </c>
      <c r="I1313" s="7" t="inlineStr">
        <is>
          <t>3808.91.92</t>
        </is>
      </c>
      <c r="J1313" s="7" t="inlineStr">
        <is>
          <t>NÃO</t>
        </is>
      </c>
      <c r="K1313" s="7" t="inlineStr">
        <is>
          <t>Embalagem Rígida — LAVÁVEL (Obrigatória Tríplice Lavagem ou Pressão)</t>
        </is>
      </c>
      <c r="L1313" s="7" t="inlineStr">
        <is>
          <t>NÃO</t>
        </is>
      </c>
      <c r="M1313" s="7" t="inlineStr">
        <is>
          <t>0,00% (Lei nº 10.925/2004)</t>
        </is>
      </c>
      <c r="N1313" s="7" t="inlineStr">
        <is>
          <t>0,925% (LC nº 224/2025)</t>
        </is>
      </c>
      <c r="O1313" s="7" t="inlineStr">
        <is>
          <t>0,365% (LC nº 224/2025)</t>
        </is>
      </c>
      <c r="P1313" s="7" t="inlineStr">
        <is>
          <t>CST 06</t>
        </is>
      </c>
      <c r="Q1313" s="7" t="inlineStr">
        <is>
          <t>CST 73</t>
        </is>
      </c>
      <c r="R1313" s="7" t="inlineStr">
        <is>
          <t>Redução de 60% + Diferimento (Art. 138 e Anexo IX LC 214/2025)</t>
        </is>
      </c>
    </row>
    <row r="1314" ht="22" customHeight="1">
      <c r="A1314" s="12" t="inlineStr">
        <is>
          <t>SKU-1310</t>
        </is>
      </c>
      <c r="B1314" s="11" t="n">
        <v>952</v>
      </c>
      <c r="C1314" s="13" t="inlineStr">
        <is>
          <t>VINC-20624</t>
        </is>
      </c>
      <c r="D1314" s="14" t="inlineStr">
        <is>
          <t>Shyper Técnico</t>
        </is>
      </c>
      <c r="E1314" s="13" t="inlineStr">
        <is>
          <t>Embalagem Comercial do Produto</t>
        </is>
      </c>
      <c r="F1314" s="13" t="inlineStr">
        <is>
          <t>TAMBOR / BIG BAG INDUSTRIAL 250 KG</t>
        </is>
      </c>
      <c r="G1314" s="13" t="inlineStr">
        <is>
          <t>KG</t>
        </is>
      </c>
      <c r="H1314" s="15" t="n">
        <v>250</v>
      </c>
      <c r="I1314" s="13" t="inlineStr">
        <is>
          <t>3808.69.90</t>
        </is>
      </c>
      <c r="J1314" s="13" t="inlineStr">
        <is>
          <t>SIM</t>
        </is>
      </c>
      <c r="K1314" s="13" t="inlineStr">
        <is>
          <t>Uso Industrial Exclusivo (PGRS / NBR 10004)</t>
        </is>
      </c>
      <c r="L1314" s="13" t="inlineStr">
        <is>
          <t>NÃO</t>
        </is>
      </c>
      <c r="M1314" s="13" t="inlineStr">
        <is>
          <t>0,00% (Lei nº 10.925/2004)</t>
        </is>
      </c>
      <c r="N1314" s="13" t="inlineStr">
        <is>
          <t>0,925% (LC nº 224/2025)</t>
        </is>
      </c>
      <c r="O1314" s="13" t="inlineStr">
        <is>
          <t>0,365% (LC nº 224/2025)</t>
        </is>
      </c>
      <c r="P1314" s="13" t="inlineStr">
        <is>
          <t>CST 06 (Uso Agrícola/Industrial)</t>
        </is>
      </c>
      <c r="Q1314" s="13" t="inlineStr">
        <is>
          <t>CST 73 (Revenda / Destinação)</t>
        </is>
      </c>
      <c r="R1314" s="13" t="inlineStr">
        <is>
          <t>Redução de 60% + Diferimento (Art. 138 LC 214/2025)</t>
        </is>
      </c>
    </row>
    <row r="1315" ht="22" customHeight="1">
      <c r="A1315" s="6" t="inlineStr">
        <is>
          <t>SKU-1311</t>
        </is>
      </c>
      <c r="B1315" s="5" t="n">
        <v>953</v>
      </c>
      <c r="C1315" s="7" t="inlineStr">
        <is>
          <t>Nº 20724</t>
        </is>
      </c>
      <c r="D1315" s="8" t="inlineStr">
        <is>
          <t>GLUFORCE</t>
        </is>
      </c>
      <c r="E1315" s="7" t="inlineStr">
        <is>
          <t>Embalagem Comercial do Produto</t>
        </is>
      </c>
      <c r="F1315" s="7" t="inlineStr">
        <is>
          <t>GALÃO / BOMBONA 5L A 20L (PADRÃO COMERCIAL)</t>
        </is>
      </c>
      <c r="G1315" s="7" t="inlineStr">
        <is>
          <t>LT</t>
        </is>
      </c>
      <c r="H1315" s="9" t="n">
        <v>5</v>
      </c>
      <c r="I1315" s="7" t="inlineStr">
        <is>
          <t>3808.93.29</t>
        </is>
      </c>
      <c r="J1315" s="7" t="inlineStr">
        <is>
          <t>NÃO</t>
        </is>
      </c>
      <c r="K1315" s="7" t="inlineStr">
        <is>
          <t>Embalagem Rígida — LAVÁVEL (Obrigatória Tríplice Lavagem ou Pressão)</t>
        </is>
      </c>
      <c r="L1315" s="7" t="inlineStr">
        <is>
          <t>NÃO</t>
        </is>
      </c>
      <c r="M1315" s="7" t="inlineStr">
        <is>
          <t>0,00% (Lei nº 10.925/2004)</t>
        </is>
      </c>
      <c r="N1315" s="7" t="inlineStr">
        <is>
          <t>0,925% (LC nº 224/2025)</t>
        </is>
      </c>
      <c r="O1315" s="7" t="inlineStr">
        <is>
          <t>0,365% (LC nº 224/2025)</t>
        </is>
      </c>
      <c r="P1315" s="7" t="inlineStr">
        <is>
          <t>CST 06</t>
        </is>
      </c>
      <c r="Q1315" s="7" t="inlineStr">
        <is>
          <t>CST 73</t>
        </is>
      </c>
      <c r="R1315" s="7" t="inlineStr">
        <is>
          <t>Redução de 60% + Diferimento (Art. 138 e Anexo IX LC 214/2025)</t>
        </is>
      </c>
    </row>
    <row r="1316" ht="22" customHeight="1">
      <c r="A1316" s="12" t="inlineStr">
        <is>
          <t>SKU-1312</t>
        </is>
      </c>
      <c r="B1316" s="11" t="n">
        <v>954</v>
      </c>
      <c r="C1316" s="13" t="inlineStr">
        <is>
          <t>VINC-20724</t>
        </is>
      </c>
      <c r="D1316" s="14" t="inlineStr">
        <is>
          <t>Glufosinato Técnico Dinagro</t>
        </is>
      </c>
      <c r="E1316" s="13" t="inlineStr">
        <is>
          <t>Embalagem Comercial do Produto</t>
        </is>
      </c>
      <c r="F1316" s="13" t="inlineStr">
        <is>
          <t>TAMBOR / BIG BAG INDUSTRIAL 250 KG</t>
        </is>
      </c>
      <c r="G1316" s="13" t="inlineStr">
        <is>
          <t>KG</t>
        </is>
      </c>
      <c r="H1316" s="15" t="n">
        <v>250</v>
      </c>
      <c r="I1316" s="13" t="inlineStr">
        <is>
          <t>3808.93.19</t>
        </is>
      </c>
      <c r="J1316" s="13" t="inlineStr">
        <is>
          <t>NÃO</t>
        </is>
      </c>
      <c r="K1316" s="13" t="inlineStr">
        <is>
          <t>Uso Industrial Exclusivo (PGRS / NBR 10004)</t>
        </is>
      </c>
      <c r="L1316" s="13" t="inlineStr">
        <is>
          <t>NÃO</t>
        </is>
      </c>
      <c r="M1316" s="13" t="inlineStr">
        <is>
          <t>0,00% (Lei nº 10.925/2004)</t>
        </is>
      </c>
      <c r="N1316" s="13" t="inlineStr">
        <is>
          <t>0,925% (LC nº 224/2025)</t>
        </is>
      </c>
      <c r="O1316" s="13" t="inlineStr">
        <is>
          <t>0,365% (LC nº 224/2025)</t>
        </is>
      </c>
      <c r="P1316" s="13" t="inlineStr">
        <is>
          <t>CST 06 (Uso Agrícola/Industrial)</t>
        </is>
      </c>
      <c r="Q1316" s="13" t="inlineStr">
        <is>
          <t>CST 73 (Revenda / Destinação)</t>
        </is>
      </c>
      <c r="R1316" s="13" t="inlineStr">
        <is>
          <t>Redução de 60% + Diferimento (Art. 138 LC 214/2025)</t>
        </is>
      </c>
    </row>
    <row r="1317" ht="22" customHeight="1">
      <c r="A1317" s="6" t="inlineStr">
        <is>
          <t>SKU-1313</t>
        </is>
      </c>
      <c r="B1317" s="5" t="n">
        <v>955</v>
      </c>
      <c r="C1317" s="7" t="inlineStr">
        <is>
          <t>Nº 20824</t>
        </is>
      </c>
      <c r="D1317" s="8" t="inlineStr">
        <is>
          <t>BIOMETATRIL</t>
        </is>
      </c>
      <c r="E1317" s="7" t="inlineStr">
        <is>
          <t>Embalagem Comercial do Produto</t>
        </is>
      </c>
      <c r="F1317" s="7" t="inlineStr">
        <is>
          <t>SACARIA / EMBALAGEM FLEXÍVEL 5KG A 25KG (PADRÃO COMERCIAL)</t>
        </is>
      </c>
      <c r="G1317" s="7" t="inlineStr">
        <is>
          <t>KG</t>
        </is>
      </c>
      <c r="H1317" s="9" t="n">
        <v>5</v>
      </c>
      <c r="I1317" s="7" t="inlineStr">
        <is>
          <t>3808.91.99</t>
        </is>
      </c>
      <c r="J1317" s="7" t="inlineStr">
        <is>
          <t>NÃO</t>
        </is>
      </c>
      <c r="K1317" s="7" t="inlineStr">
        <is>
          <t>Embalagem Flexível — NÃO LAVÁVEL (Perfurar e usar saco ABNT)</t>
        </is>
      </c>
      <c r="L1317" s="7" t="inlineStr">
        <is>
          <t>SIM (Saco Transparente ABNT)</t>
        </is>
      </c>
      <c r="M1317" s="7" t="inlineStr">
        <is>
          <t>0,00% (Lei nº 10.925/2004)</t>
        </is>
      </c>
      <c r="N1317" s="7" t="inlineStr">
        <is>
          <t>0,925% (LC nº 224/2025)</t>
        </is>
      </c>
      <c r="O1317" s="7" t="inlineStr">
        <is>
          <t>0,365% (LC nº 224/2025)</t>
        </is>
      </c>
      <c r="P1317" s="7" t="inlineStr">
        <is>
          <t>CST 06</t>
        </is>
      </c>
      <c r="Q1317" s="7" t="inlineStr">
        <is>
          <t>CST 73</t>
        </is>
      </c>
      <c r="R1317" s="7" t="inlineStr">
        <is>
          <t>Redução de 60% + Diferimento (Art. 138 e Anexo IX LC 214/2025)</t>
        </is>
      </c>
    </row>
    <row r="1318" ht="22" customHeight="1">
      <c r="A1318" s="12" t="inlineStr">
        <is>
          <t>SKU-1314</t>
        </is>
      </c>
      <c r="B1318" s="11" t="n">
        <v>956</v>
      </c>
      <c r="C1318" s="13" t="inlineStr">
        <is>
          <t>Nº 20924</t>
        </is>
      </c>
      <c r="D1318" s="14" t="inlineStr">
        <is>
          <t>FOLPEC 50</t>
        </is>
      </c>
      <c r="E1318" s="13" t="inlineStr">
        <is>
          <t>Embalagem Comercial do Produto</t>
        </is>
      </c>
      <c r="F1318" s="13" t="inlineStr">
        <is>
          <t>GALÃO / BOMBONA 5L A 20L (PADRÃO COMERCIAL)</t>
        </is>
      </c>
      <c r="G1318" s="13" t="inlineStr">
        <is>
          <t>LT</t>
        </is>
      </c>
      <c r="H1318" s="15" t="n">
        <v>5</v>
      </c>
      <c r="I1318" s="13" t="inlineStr">
        <is>
          <t>3808.92.99</t>
        </is>
      </c>
      <c r="J1318" s="13" t="inlineStr">
        <is>
          <t>NÃO</t>
        </is>
      </c>
      <c r="K1318" s="13" t="inlineStr">
        <is>
          <t>Embalagem Rígida — LAVÁVEL (Obrigatória Tríplice Lavagem ou Pressão)</t>
        </is>
      </c>
      <c r="L1318" s="13" t="inlineStr">
        <is>
          <t>NÃO</t>
        </is>
      </c>
      <c r="M1318" s="13" t="inlineStr">
        <is>
          <t>0,00% (Lei nº 10.925/2004)</t>
        </is>
      </c>
      <c r="N1318" s="13" t="inlineStr">
        <is>
          <t>0,925% (LC nº 224/2025)</t>
        </is>
      </c>
      <c r="O1318" s="13" t="inlineStr">
        <is>
          <t>0,365% (LC nº 224/2025)</t>
        </is>
      </c>
      <c r="P1318" s="13" t="inlineStr">
        <is>
          <t>CST 06</t>
        </is>
      </c>
      <c r="Q1318" s="13" t="inlineStr">
        <is>
          <t>CST 73</t>
        </is>
      </c>
      <c r="R1318" s="13" t="inlineStr">
        <is>
          <t>Redução de 60% + Diferimento (Art. 138 e Anexo IX LC 214/2025)</t>
        </is>
      </c>
    </row>
    <row r="1319" ht="22" customHeight="1">
      <c r="A1319" s="6" t="inlineStr">
        <is>
          <t>SKU-1315</t>
        </is>
      </c>
      <c r="B1319" s="5" t="n">
        <v>957</v>
      </c>
      <c r="C1319" s="7" t="inlineStr">
        <is>
          <t>VINC-20924</t>
        </is>
      </c>
      <c r="D1319" s="8" t="inlineStr">
        <is>
          <t>Folpete Tradecorp Técnico</t>
        </is>
      </c>
      <c r="E1319" s="7" t="inlineStr">
        <is>
          <t>Embalagem Comercial do Produto</t>
        </is>
      </c>
      <c r="F1319" s="7" t="inlineStr">
        <is>
          <t>TAMBOR / BIG BAG INDUSTRIAL 250 KG</t>
        </is>
      </c>
      <c r="G1319" s="7" t="inlineStr">
        <is>
          <t>KG</t>
        </is>
      </c>
      <c r="H1319" s="9" t="n">
        <v>250</v>
      </c>
      <c r="I1319" s="7" t="inlineStr">
        <is>
          <t>3808.92.20</t>
        </is>
      </c>
      <c r="J1319" s="7" t="inlineStr">
        <is>
          <t>NÃO</t>
        </is>
      </c>
      <c r="K1319" s="7" t="inlineStr">
        <is>
          <t>Uso Industrial Exclusivo (PGRS / NBR 10004)</t>
        </is>
      </c>
      <c r="L1319" s="7" t="inlineStr">
        <is>
          <t>NÃO</t>
        </is>
      </c>
      <c r="M1319" s="7" t="inlineStr">
        <is>
          <t>0,00% (Lei nº 10.925/2004)</t>
        </is>
      </c>
      <c r="N1319" s="7" t="inlineStr">
        <is>
          <t>0,925% (LC nº 224/2025)</t>
        </is>
      </c>
      <c r="O1319" s="7" t="inlineStr">
        <is>
          <t>0,365% (LC nº 224/2025)</t>
        </is>
      </c>
      <c r="P1319" s="7" t="inlineStr">
        <is>
          <t>CST 06 (Uso Agrícola/Industrial)</t>
        </is>
      </c>
      <c r="Q1319" s="7" t="inlineStr">
        <is>
          <t>CST 73 (Revenda / Destinação)</t>
        </is>
      </c>
      <c r="R1319" s="7" t="inlineStr">
        <is>
          <t>Redução de 60% + Diferimento (Art. 138 LC 214/2025)</t>
        </is>
      </c>
    </row>
    <row r="1320" ht="22" customHeight="1">
      <c r="A1320" s="12" t="inlineStr">
        <is>
          <t>SKU-1316</t>
        </is>
      </c>
      <c r="B1320" s="11" t="n">
        <v>958</v>
      </c>
      <c r="C1320" s="13" t="inlineStr">
        <is>
          <t>Nº 21024</t>
        </is>
      </c>
      <c r="D1320" s="14" t="inlineStr">
        <is>
          <t>METABOV</t>
        </is>
      </c>
      <c r="E1320" s="13" t="inlineStr">
        <is>
          <t>Embalagem Comercial do Produto</t>
        </is>
      </c>
      <c r="F1320" s="13" t="inlineStr">
        <is>
          <t>SACARIA / EMBALAGEM FLEXÍVEL 5KG A 25KG (PADRÃO COMERCIAL)</t>
        </is>
      </c>
      <c r="G1320" s="13" t="inlineStr">
        <is>
          <t>KG</t>
        </is>
      </c>
      <c r="H1320" s="15" t="n">
        <v>5</v>
      </c>
      <c r="I1320" s="13" t="inlineStr">
        <is>
          <t>3808.91.99</t>
        </is>
      </c>
      <c r="J1320" s="13" t="inlineStr">
        <is>
          <t>NÃO</t>
        </is>
      </c>
      <c r="K1320" s="13" t="inlineStr">
        <is>
          <t>Embalagem Flexível — NÃO LAVÁVEL (Perfurar e usar saco ABNT)</t>
        </is>
      </c>
      <c r="L1320" s="13" t="inlineStr">
        <is>
          <t>SIM (Saco Transparente ABNT)</t>
        </is>
      </c>
      <c r="M1320" s="13" t="inlineStr">
        <is>
          <t>0,00% (Lei nº 10.925/2004)</t>
        </is>
      </c>
      <c r="N1320" s="13" t="inlineStr">
        <is>
          <t>0,925% (LC nº 224/2025)</t>
        </is>
      </c>
      <c r="O1320" s="13" t="inlineStr">
        <is>
          <t>0,365% (LC nº 224/2025)</t>
        </is>
      </c>
      <c r="P1320" s="13" t="inlineStr">
        <is>
          <t>CST 06</t>
        </is>
      </c>
      <c r="Q1320" s="13" t="inlineStr">
        <is>
          <t>CST 73</t>
        </is>
      </c>
      <c r="R1320" s="13" t="inlineStr">
        <is>
          <t>Redução de 60% + Diferimento (Art. 138 e Anexo IX LC 214/2025)</t>
        </is>
      </c>
    </row>
    <row r="1321" ht="22" customHeight="1">
      <c r="A1321" s="6" t="inlineStr">
        <is>
          <t>SKU-1317</t>
        </is>
      </c>
      <c r="B1321" s="5" t="n">
        <v>959</v>
      </c>
      <c r="C1321" s="7" t="inlineStr">
        <is>
          <t>Nº 21024</t>
        </is>
      </c>
      <c r="D1321" s="8" t="inlineStr">
        <is>
          <t>ATLASMIX</t>
        </is>
      </c>
      <c r="E1321" s="7" t="inlineStr">
        <is>
          <t>Embalagem Comercial do Produto</t>
        </is>
      </c>
      <c r="F1321" s="7" t="inlineStr">
        <is>
          <t>SACARIA / EMBALAGEM FLEXÍVEL 5KG A 25KG (PADRÃO COMERCIAL)</t>
        </is>
      </c>
      <c r="G1321" s="7" t="inlineStr">
        <is>
          <t>KG</t>
        </is>
      </c>
      <c r="H1321" s="9" t="n">
        <v>5</v>
      </c>
      <c r="I1321" s="7" t="inlineStr">
        <is>
          <t>3808.91.99</t>
        </is>
      </c>
      <c r="J1321" s="7" t="inlineStr">
        <is>
          <t>NÃO</t>
        </is>
      </c>
      <c r="K1321" s="7" t="inlineStr">
        <is>
          <t>Embalagem Flexível — NÃO LAVÁVEL (Perfurar e usar saco ABNT)</t>
        </is>
      </c>
      <c r="L1321" s="7" t="inlineStr">
        <is>
          <t>SIM (Saco Transparente ABNT)</t>
        </is>
      </c>
      <c r="M1321" s="7" t="inlineStr">
        <is>
          <t>0,00% (Lei nº 10.925/2004)</t>
        </is>
      </c>
      <c r="N1321" s="7" t="inlineStr">
        <is>
          <t>0,925% (LC nº 224/2025)</t>
        </is>
      </c>
      <c r="O1321" s="7" t="inlineStr">
        <is>
          <t>0,365% (LC nº 224/2025)</t>
        </is>
      </c>
      <c r="P1321" s="7" t="inlineStr">
        <is>
          <t>CST 06</t>
        </is>
      </c>
      <c r="Q1321" s="7" t="inlineStr">
        <is>
          <t>CST 73</t>
        </is>
      </c>
      <c r="R1321" s="7" t="inlineStr">
        <is>
          <t>Redução de 60% + Diferimento (Art. 138 e Anexo IX LC 214/2025)</t>
        </is>
      </c>
    </row>
    <row r="1322" ht="22" customHeight="1">
      <c r="A1322" s="12" t="inlineStr">
        <is>
          <t>SKU-1318</t>
        </is>
      </c>
      <c r="B1322" s="11" t="n">
        <v>960</v>
      </c>
      <c r="C1322" s="13" t="inlineStr">
        <is>
          <t>Nº 21024</t>
        </is>
      </c>
      <c r="D1322" s="14" t="inlineStr">
        <is>
          <t>GRIFOS</t>
        </is>
      </c>
      <c r="E1322" s="13" t="inlineStr">
        <is>
          <t>Embalagem Comercial do Produto</t>
        </is>
      </c>
      <c r="F1322" s="13" t="inlineStr">
        <is>
          <t>SACARIA / EMBALAGEM FLEXÍVEL 5KG A 25KG (PADRÃO COMERCIAL)</t>
        </is>
      </c>
      <c r="G1322" s="13" t="inlineStr">
        <is>
          <t>KG</t>
        </is>
      </c>
      <c r="H1322" s="15" t="n">
        <v>5</v>
      </c>
      <c r="I1322" s="13" t="inlineStr">
        <is>
          <t>3808.91.99</t>
        </is>
      </c>
      <c r="J1322" s="13" t="inlineStr">
        <is>
          <t>NÃO</t>
        </is>
      </c>
      <c r="K1322" s="13" t="inlineStr">
        <is>
          <t>Embalagem Flexível — NÃO LAVÁVEL (Perfurar e usar saco ABNT)</t>
        </is>
      </c>
      <c r="L1322" s="13" t="inlineStr">
        <is>
          <t>SIM (Saco Transparente ABNT)</t>
        </is>
      </c>
      <c r="M1322" s="13" t="inlineStr">
        <is>
          <t>0,00% (Lei nº 10.925/2004)</t>
        </is>
      </c>
      <c r="N1322" s="13" t="inlineStr">
        <is>
          <t>0,925% (LC nº 224/2025)</t>
        </is>
      </c>
      <c r="O1322" s="13" t="inlineStr">
        <is>
          <t>0,365% (LC nº 224/2025)</t>
        </is>
      </c>
      <c r="P1322" s="13" t="inlineStr">
        <is>
          <t>CST 06</t>
        </is>
      </c>
      <c r="Q1322" s="13" t="inlineStr">
        <is>
          <t>CST 73</t>
        </is>
      </c>
      <c r="R1322" s="13" t="inlineStr">
        <is>
          <t>Redução de 60% + Diferimento (Art. 138 e Anexo IX LC 214/2025)</t>
        </is>
      </c>
    </row>
    <row r="1323" ht="22" customHeight="1">
      <c r="A1323" s="6" t="inlineStr">
        <is>
          <t>SKU-1319</t>
        </is>
      </c>
      <c r="B1323" s="5" t="n">
        <v>961</v>
      </c>
      <c r="C1323" s="7" t="inlineStr">
        <is>
          <t>Nº 21124</t>
        </is>
      </c>
      <c r="D1323" s="8" t="inlineStr">
        <is>
          <t>TRATTARE</t>
        </is>
      </c>
      <c r="E1323" s="7" t="inlineStr">
        <is>
          <t>Embalagem Comercial do Produto</t>
        </is>
      </c>
      <c r="F1323" s="7" t="inlineStr">
        <is>
          <t>GALÃO / BOMBONA 5L A 20L (PADRÃO COMERCIAL)</t>
        </is>
      </c>
      <c r="G1323" s="7" t="inlineStr">
        <is>
          <t>LT</t>
        </is>
      </c>
      <c r="H1323" s="9" t="n">
        <v>5</v>
      </c>
      <c r="I1323" s="7" t="inlineStr">
        <is>
          <t>3808.92.99</t>
        </is>
      </c>
      <c r="J1323" s="7" t="inlineStr">
        <is>
          <t>NÃO</t>
        </is>
      </c>
      <c r="K1323" s="7" t="inlineStr">
        <is>
          <t>Embalagem Rígida — LAVÁVEL (Obrigatória Tríplice Lavagem ou Pressão)</t>
        </is>
      </c>
      <c r="L1323" s="7" t="inlineStr">
        <is>
          <t>NÃO</t>
        </is>
      </c>
      <c r="M1323" s="7" t="inlineStr">
        <is>
          <t>0,00% (Lei nº 10.925/2004)</t>
        </is>
      </c>
      <c r="N1323" s="7" t="inlineStr">
        <is>
          <t>0,925% (LC nº 224/2025)</t>
        </is>
      </c>
      <c r="O1323" s="7" t="inlineStr">
        <is>
          <t>0,365% (LC nº 224/2025)</t>
        </is>
      </c>
      <c r="P1323" s="7" t="inlineStr">
        <is>
          <t>CST 06</t>
        </is>
      </c>
      <c r="Q1323" s="7" t="inlineStr">
        <is>
          <t>CST 73</t>
        </is>
      </c>
      <c r="R1323" s="7" t="inlineStr">
        <is>
          <t>Redução de 60% + Diferimento (Art. 138 e Anexo IX LC 214/2025)</t>
        </is>
      </c>
    </row>
    <row r="1324" ht="22" customHeight="1">
      <c r="A1324" s="12" t="inlineStr">
        <is>
          <t>SKU-1320</t>
        </is>
      </c>
      <c r="B1324" s="11" t="n">
        <v>962</v>
      </c>
      <c r="C1324" s="13" t="inlineStr">
        <is>
          <t>VINC-21124</t>
        </is>
      </c>
      <c r="D1324" s="14" t="inlineStr">
        <is>
          <t>Protioconazol Técnico Ouro Fino</t>
        </is>
      </c>
      <c r="E1324" s="13" t="inlineStr">
        <is>
          <t>Embalagem Comercial do Produto</t>
        </is>
      </c>
      <c r="F1324" s="13" t="inlineStr">
        <is>
          <t>TAMBOR / BIG BAG INDUSTRIAL 250 KG</t>
        </is>
      </c>
      <c r="G1324" s="13" t="inlineStr">
        <is>
          <t>KG</t>
        </is>
      </c>
      <c r="H1324" s="15" t="n">
        <v>250</v>
      </c>
      <c r="I1324" s="13" t="inlineStr">
        <is>
          <t>3808.92.20</t>
        </is>
      </c>
      <c r="J1324" s="13" t="inlineStr">
        <is>
          <t>NÃO</t>
        </is>
      </c>
      <c r="K1324" s="13" t="inlineStr">
        <is>
          <t>Uso Industrial Exclusivo (PGRS / NBR 10004)</t>
        </is>
      </c>
      <c r="L1324" s="13" t="inlineStr">
        <is>
          <t>NÃO</t>
        </is>
      </c>
      <c r="M1324" s="13" t="inlineStr">
        <is>
          <t>0,00% (Lei nº 10.925/2004)</t>
        </is>
      </c>
      <c r="N1324" s="13" t="inlineStr">
        <is>
          <t>0,925% (LC nº 224/2025)</t>
        </is>
      </c>
      <c r="O1324" s="13" t="inlineStr">
        <is>
          <t>0,365% (LC nº 224/2025)</t>
        </is>
      </c>
      <c r="P1324" s="13" t="inlineStr">
        <is>
          <t>CST 06 (Uso Agrícola/Industrial)</t>
        </is>
      </c>
      <c r="Q1324" s="13" t="inlineStr">
        <is>
          <t>CST 73 (Revenda / Destinação)</t>
        </is>
      </c>
      <c r="R1324" s="13" t="inlineStr">
        <is>
          <t>Redução de 60% + Diferimento (Art. 138 LC 214/2025)</t>
        </is>
      </c>
    </row>
    <row r="1325" ht="22" customHeight="1">
      <c r="A1325" s="6" t="inlineStr">
        <is>
          <t>SKU-1321</t>
        </is>
      </c>
      <c r="B1325" s="5" t="n">
        <v>963</v>
      </c>
      <c r="C1325" s="7" t="inlineStr">
        <is>
          <t>Nº 21224</t>
        </is>
      </c>
      <c r="D1325" s="8" t="inlineStr">
        <is>
          <t>ECLIPSE</t>
        </is>
      </c>
      <c r="E1325" s="7" t="inlineStr">
        <is>
          <t>Embalagem Comercial do Produto</t>
        </is>
      </c>
      <c r="F1325" s="7" t="inlineStr">
        <is>
          <t>SACARIA / EMBALAGEM FLEXÍVEL 5KG A 25KG (PADRÃO COMERCIAL)</t>
        </is>
      </c>
      <c r="G1325" s="7" t="inlineStr">
        <is>
          <t>KG</t>
        </is>
      </c>
      <c r="H1325" s="9" t="n">
        <v>5</v>
      </c>
      <c r="I1325" s="7" t="inlineStr">
        <is>
          <t>3808.62.90</t>
        </is>
      </c>
      <c r="J1325" s="7" t="inlineStr">
        <is>
          <t>SIM</t>
        </is>
      </c>
      <c r="K1325" s="7" t="inlineStr">
        <is>
          <t>Embalagem Flexível — NÃO LAVÁVEL (Perfurar e usar saco ABNT)</t>
        </is>
      </c>
      <c r="L1325" s="7" t="inlineStr">
        <is>
          <t>SIM (Saco Transparente ABNT)</t>
        </is>
      </c>
      <c r="M1325" s="7" t="inlineStr">
        <is>
          <t>0,00% (Lei nº 10.925/2004)</t>
        </is>
      </c>
      <c r="N1325" s="7" t="inlineStr">
        <is>
          <t>0,925% (LC nº 224/2025)</t>
        </is>
      </c>
      <c r="O1325" s="7" t="inlineStr">
        <is>
          <t>0,365% (LC nº 224/2025)</t>
        </is>
      </c>
      <c r="P1325" s="7" t="inlineStr">
        <is>
          <t>CST 06</t>
        </is>
      </c>
      <c r="Q1325" s="7" t="inlineStr">
        <is>
          <t>CST 73</t>
        </is>
      </c>
      <c r="R1325" s="7" t="inlineStr">
        <is>
          <t>Redução de 60% + Diferimento (Art. 138 e Anexo IX LC 214/2025)</t>
        </is>
      </c>
    </row>
    <row r="1326" ht="22" customHeight="1">
      <c r="A1326" s="12" t="inlineStr">
        <is>
          <t>SKU-1322</t>
        </is>
      </c>
      <c r="B1326" s="11" t="n">
        <v>963</v>
      </c>
      <c r="C1326" s="13" t="inlineStr">
        <is>
          <t>Nº 21224</t>
        </is>
      </c>
      <c r="D1326" s="14" t="inlineStr">
        <is>
          <t>ECLIPSE</t>
        </is>
      </c>
      <c r="E1326" s="13" t="inlineStr">
        <is>
          <t>Faixa 1 TIPI (Apresentação &lt;= 300 g ou mL)</t>
        </is>
      </c>
      <c r="F1326" s="13" t="inlineStr">
        <is>
          <t>Fracionado / Amostra &lt;= 0,3 KG</t>
        </is>
      </c>
      <c r="G1326" s="13" t="inlineStr">
        <is>
          <t>KG</t>
        </is>
      </c>
      <c r="H1326" s="18" t="n">
        <v>0.3</v>
      </c>
      <c r="I1326" s="13" t="inlineStr">
        <is>
          <t>3808.61.00</t>
        </is>
      </c>
      <c r="J1326" s="13" t="inlineStr">
        <is>
          <t>SIM</t>
        </is>
      </c>
      <c r="K1326" s="13" t="inlineStr">
        <is>
          <t>Embalagem Flexível — NÃO LAVÁVEL (Perfurar e usar saco ABNT)</t>
        </is>
      </c>
      <c r="L1326" s="13" t="inlineStr">
        <is>
          <t>SIM (Saco Transparente ABNT)</t>
        </is>
      </c>
      <c r="M1326" s="13" t="inlineStr">
        <is>
          <t>0,00% (Lei nº 10.925/2004)</t>
        </is>
      </c>
      <c r="N1326" s="13" t="inlineStr">
        <is>
          <t>0,925% (LC nº 224/2025)</t>
        </is>
      </c>
      <c r="O1326" s="13" t="inlineStr">
        <is>
          <t>0,365% (LC nº 224/2025)</t>
        </is>
      </c>
      <c r="P1326" s="13" t="inlineStr">
        <is>
          <t>CST 06</t>
        </is>
      </c>
      <c r="Q1326" s="13" t="inlineStr">
        <is>
          <t>CST 73</t>
        </is>
      </c>
      <c r="R1326" s="13" t="inlineStr">
        <is>
          <t>Redução de 60% + Diferimento (Art. 138 e Anexo IX LC 214/2025)</t>
        </is>
      </c>
    </row>
    <row r="1327" ht="22" customHeight="1">
      <c r="A1327" s="6" t="inlineStr">
        <is>
          <t>SKU-1323</t>
        </is>
      </c>
      <c r="B1327" s="5" t="n">
        <v>964</v>
      </c>
      <c r="C1327" s="7" t="inlineStr">
        <is>
          <t>VINC-21224</t>
        </is>
      </c>
      <c r="D1327" s="8" t="inlineStr">
        <is>
          <t>Tiametoxam Técnico IN</t>
        </is>
      </c>
      <c r="E1327" s="7" t="inlineStr">
        <is>
          <t>Embalagem Comercial do Produto</t>
        </is>
      </c>
      <c r="F1327" s="7" t="inlineStr">
        <is>
          <t>TAMBOR / BIG BAG INDUSTRIAL 250 KG</t>
        </is>
      </c>
      <c r="G1327" s="7" t="inlineStr">
        <is>
          <t>KG</t>
        </is>
      </c>
      <c r="H1327" s="9" t="n">
        <v>250</v>
      </c>
      <c r="I1327" s="7" t="inlineStr">
        <is>
          <t>3808.91.20</t>
        </is>
      </c>
      <c r="J1327" s="7" t="inlineStr">
        <is>
          <t>NÃO</t>
        </is>
      </c>
      <c r="K1327" s="7" t="inlineStr">
        <is>
          <t>Uso Industrial Exclusivo (PGRS / NBR 10004)</t>
        </is>
      </c>
      <c r="L1327" s="7" t="inlineStr">
        <is>
          <t>NÃO</t>
        </is>
      </c>
      <c r="M1327" s="7" t="inlineStr">
        <is>
          <t>0,00% (Lei nº 10.925/2004)</t>
        </is>
      </c>
      <c r="N1327" s="7" t="inlineStr">
        <is>
          <t>0,925% (LC nº 224/2025)</t>
        </is>
      </c>
      <c r="O1327" s="7" t="inlineStr">
        <is>
          <t>0,365% (LC nº 224/2025)</t>
        </is>
      </c>
      <c r="P1327" s="7" t="inlineStr">
        <is>
          <t>CST 06 (Uso Agrícola/Industrial)</t>
        </is>
      </c>
      <c r="Q1327" s="7" t="inlineStr">
        <is>
          <t>CST 73 (Revenda / Destinação)</t>
        </is>
      </c>
      <c r="R1327" s="7" t="inlineStr">
        <is>
          <t>Redução de 60% + Diferimento (Art. 138 LC 214/2025)</t>
        </is>
      </c>
    </row>
    <row r="1328" ht="22" customHeight="1">
      <c r="A1328" s="12" t="inlineStr">
        <is>
          <t>SKU-1324</t>
        </is>
      </c>
      <c r="B1328" s="11" t="n">
        <v>965</v>
      </c>
      <c r="C1328" s="13" t="inlineStr">
        <is>
          <t>Nº 21324</t>
        </is>
      </c>
      <c r="D1328" s="14" t="inlineStr">
        <is>
          <t>TRICHO-HARMAX</t>
        </is>
      </c>
      <c r="E1328" s="13" t="inlineStr">
        <is>
          <t>Embalagem Comercial do Produto</t>
        </is>
      </c>
      <c r="F1328" s="13" t="inlineStr">
        <is>
          <t>GALÃO / BOMBONA 5L A 20L (PADRÃO COMERCIAL)</t>
        </is>
      </c>
      <c r="G1328" s="13" t="inlineStr">
        <is>
          <t>LT</t>
        </is>
      </c>
      <c r="H1328" s="15" t="n">
        <v>5</v>
      </c>
      <c r="I1328" s="13" t="inlineStr">
        <is>
          <t>3808.92.99</t>
        </is>
      </c>
      <c r="J1328" s="13" t="inlineStr">
        <is>
          <t>NÃO</t>
        </is>
      </c>
      <c r="K1328" s="13" t="inlineStr">
        <is>
          <t>Embalagem Rígida — LAVÁVEL (Obrigatória Tríplice Lavagem ou Pressão)</t>
        </is>
      </c>
      <c r="L1328" s="13" t="inlineStr">
        <is>
          <t>NÃO</t>
        </is>
      </c>
      <c r="M1328" s="13" t="inlineStr">
        <is>
          <t>0,00% (Lei nº 10.925/2004)</t>
        </is>
      </c>
      <c r="N1328" s="13" t="inlineStr">
        <is>
          <t>0,925% (LC nº 224/2025)</t>
        </is>
      </c>
      <c r="O1328" s="13" t="inlineStr">
        <is>
          <t>0,365% (LC nº 224/2025)</t>
        </is>
      </c>
      <c r="P1328" s="13" t="inlineStr">
        <is>
          <t>CST 06</t>
        </is>
      </c>
      <c r="Q1328" s="13" t="inlineStr">
        <is>
          <t>CST 73</t>
        </is>
      </c>
      <c r="R1328" s="13" t="inlineStr">
        <is>
          <t>Redução de 60% + Diferimento (Art. 138 e Anexo IX LC 214/2025)</t>
        </is>
      </c>
    </row>
    <row r="1329" ht="22" customHeight="1">
      <c r="A1329" s="6" t="inlineStr">
        <is>
          <t>SKU-1325</t>
        </is>
      </c>
      <c r="B1329" s="5" t="n">
        <v>966</v>
      </c>
      <c r="C1329" s="7" t="inlineStr">
        <is>
          <t>Nº 21424</t>
        </is>
      </c>
      <c r="D1329" s="8" t="inlineStr">
        <is>
          <t>ÉGIDE</t>
        </is>
      </c>
      <c r="E1329" s="7" t="inlineStr">
        <is>
          <t>Embalagem Comercial do Produto</t>
        </is>
      </c>
      <c r="F1329" s="7" t="inlineStr">
        <is>
          <t>GALÃO / BOMBONA 5L A 20L (PADRÃO COMERCIAL)</t>
        </is>
      </c>
      <c r="G1329" s="7" t="inlineStr">
        <is>
          <t>LT</t>
        </is>
      </c>
      <c r="H1329" s="9" t="n">
        <v>5</v>
      </c>
      <c r="I1329" s="7" t="inlineStr">
        <is>
          <t>3808.99.95</t>
        </is>
      </c>
      <c r="J1329" s="7" t="inlineStr">
        <is>
          <t>NÃO</t>
        </is>
      </c>
      <c r="K1329" s="7" t="inlineStr">
        <is>
          <t>Embalagem Rígida — LAVÁVEL (Obrigatória Tríplice Lavagem ou Pressão)</t>
        </is>
      </c>
      <c r="L1329" s="7" t="inlineStr">
        <is>
          <t>NÃO</t>
        </is>
      </c>
      <c r="M1329" s="7" t="inlineStr">
        <is>
          <t>0,00% (Lei nº 10.925/2004)</t>
        </is>
      </c>
      <c r="N1329" s="7" t="inlineStr">
        <is>
          <t>0,925% (LC nº 224/2025)</t>
        </is>
      </c>
      <c r="O1329" s="7" t="inlineStr">
        <is>
          <t>0,365% (LC nº 224/2025)</t>
        </is>
      </c>
      <c r="P1329" s="7" t="inlineStr">
        <is>
          <t>CST 06</t>
        </is>
      </c>
      <c r="Q1329" s="7" t="inlineStr">
        <is>
          <t>CST 73</t>
        </is>
      </c>
      <c r="R1329" s="7" t="inlineStr">
        <is>
          <t>Redução de 60% + Diferimento (Art. 138 e Anexo IX LC 214/2025)</t>
        </is>
      </c>
    </row>
    <row r="1330" ht="22" customHeight="1">
      <c r="A1330" s="12" t="inlineStr">
        <is>
          <t>SKU-1326</t>
        </is>
      </c>
      <c r="B1330" s="11" t="n">
        <v>967</v>
      </c>
      <c r="C1330" s="13" t="inlineStr">
        <is>
          <t>Nº 21524</t>
        </is>
      </c>
      <c r="D1330" s="14" t="inlineStr">
        <is>
          <t>MAVIC BIO</t>
        </is>
      </c>
      <c r="E1330" s="13" t="inlineStr">
        <is>
          <t>Embalagem Comercial do Produto</t>
        </is>
      </c>
      <c r="F1330" s="13" t="inlineStr">
        <is>
          <t>GALÃO / BOMBONA 5L A 20L (PADRÃO COMERCIAL)</t>
        </is>
      </c>
      <c r="G1330" s="13" t="inlineStr">
        <is>
          <t>LT</t>
        </is>
      </c>
      <c r="H1330" s="15" t="n">
        <v>5</v>
      </c>
      <c r="I1330" s="13" t="inlineStr">
        <is>
          <t>3808.91.99</t>
        </is>
      </c>
      <c r="J1330" s="13" t="inlineStr">
        <is>
          <t>NÃO</t>
        </is>
      </c>
      <c r="K1330" s="13" t="inlineStr">
        <is>
          <t>Embalagem Rígida — LAVÁVEL (Obrigatória Tríplice Lavagem ou Pressão)</t>
        </is>
      </c>
      <c r="L1330" s="13" t="inlineStr">
        <is>
          <t>NÃO</t>
        </is>
      </c>
      <c r="M1330" s="13" t="inlineStr">
        <is>
          <t>0,00% (Lei nº 10.925/2004)</t>
        </is>
      </c>
      <c r="N1330" s="13" t="inlineStr">
        <is>
          <t>0,925% (LC nº 224/2025)</t>
        </is>
      </c>
      <c r="O1330" s="13" t="inlineStr">
        <is>
          <t>0,365% (LC nº 224/2025)</t>
        </is>
      </c>
      <c r="P1330" s="13" t="inlineStr">
        <is>
          <t>CST 06</t>
        </is>
      </c>
      <c r="Q1330" s="13" t="inlineStr">
        <is>
          <t>CST 73</t>
        </is>
      </c>
      <c r="R1330" s="13" t="inlineStr">
        <is>
          <t>Redução de 60% + Diferimento (Art. 138 e Anexo IX LC 214/2025)</t>
        </is>
      </c>
    </row>
    <row r="1331" ht="22" customHeight="1">
      <c r="A1331" s="6" t="inlineStr">
        <is>
          <t>SKU-1327</t>
        </is>
      </c>
      <c r="B1331" s="5" t="n">
        <v>968</v>
      </c>
      <c r="C1331" s="7" t="inlineStr">
        <is>
          <t>Nº 21624</t>
        </is>
      </c>
      <c r="D1331" s="8" t="inlineStr">
        <is>
          <t>GRANT 970 WG</t>
        </is>
      </c>
      <c r="E1331" s="7" t="inlineStr">
        <is>
          <t>Embalagem Comercial do Produto</t>
        </is>
      </c>
      <c r="F1331" s="7" t="inlineStr">
        <is>
          <t>GALÃO / BOMBONA 5L A 20L (PADRÃO COMERCIAL)</t>
        </is>
      </c>
      <c r="G1331" s="7" t="inlineStr">
        <is>
          <t>KG</t>
        </is>
      </c>
      <c r="H1331" s="9" t="n">
        <v>5</v>
      </c>
      <c r="I1331" s="7" t="inlineStr">
        <is>
          <t>3808.93.22</t>
        </is>
      </c>
      <c r="J1331" s="7" t="inlineStr">
        <is>
          <t>NÃO</t>
        </is>
      </c>
      <c r="K1331" s="7" t="inlineStr">
        <is>
          <t>Embalagem Flexível — NÃO LAVÁVEL (Perfurar e usar saco ABNT)</t>
        </is>
      </c>
      <c r="L1331" s="7" t="inlineStr">
        <is>
          <t>SIM (Saco Transparente ABNT)</t>
        </is>
      </c>
      <c r="M1331" s="7" t="inlineStr">
        <is>
          <t>0,00% (Lei nº 10.925/2004)</t>
        </is>
      </c>
      <c r="N1331" s="7" t="inlineStr">
        <is>
          <t>0,925% (LC nº 224/2025)</t>
        </is>
      </c>
      <c r="O1331" s="7" t="inlineStr">
        <is>
          <t>0,365% (LC nº 224/2025)</t>
        </is>
      </c>
      <c r="P1331" s="7" t="inlineStr">
        <is>
          <t>CST 06</t>
        </is>
      </c>
      <c r="Q1331" s="7" t="inlineStr">
        <is>
          <t>CST 73</t>
        </is>
      </c>
      <c r="R1331" s="7" t="inlineStr">
        <is>
          <t>Redução de 60% + Diferimento (Art. 138 e Anexo IX LC 214/2025)</t>
        </is>
      </c>
    </row>
    <row r="1332" ht="22" customHeight="1">
      <c r="A1332" s="12" t="inlineStr">
        <is>
          <t>SKU-1328</t>
        </is>
      </c>
      <c r="B1332" s="11" t="n">
        <v>969</v>
      </c>
      <c r="C1332" s="13" t="inlineStr">
        <is>
          <t>VINC-21624</t>
        </is>
      </c>
      <c r="D1332" s="14" t="inlineStr">
        <is>
          <t>2,4-D Tecnico TW Loveland</t>
        </is>
      </c>
      <c r="E1332" s="13" t="inlineStr">
        <is>
          <t>Embalagem Comercial do Produto</t>
        </is>
      </c>
      <c r="F1332" s="13" t="inlineStr">
        <is>
          <t>TAMBOR / BIG BAG INDUSTRIAL 250 KG</t>
        </is>
      </c>
      <c r="G1332" s="13" t="inlineStr">
        <is>
          <t>KG</t>
        </is>
      </c>
      <c r="H1332" s="15" t="n">
        <v>250</v>
      </c>
      <c r="I1332" s="13" t="inlineStr">
        <is>
          <t>3808.93.19</t>
        </is>
      </c>
      <c r="J1332" s="13" t="inlineStr">
        <is>
          <t>NÃO</t>
        </is>
      </c>
      <c r="K1332" s="13" t="inlineStr">
        <is>
          <t>Uso Industrial Exclusivo (PGRS / NBR 10004)</t>
        </is>
      </c>
      <c r="L1332" s="13" t="inlineStr">
        <is>
          <t>NÃO</t>
        </is>
      </c>
      <c r="M1332" s="13" t="inlineStr">
        <is>
          <t>0,00% (Lei nº 10.925/2004)</t>
        </is>
      </c>
      <c r="N1332" s="13" t="inlineStr">
        <is>
          <t>0,925% (LC nº 224/2025)</t>
        </is>
      </c>
      <c r="O1332" s="13" t="inlineStr">
        <is>
          <t>0,365% (LC nº 224/2025)</t>
        </is>
      </c>
      <c r="P1332" s="13" t="inlineStr">
        <is>
          <t>CST 06 (Uso Agrícola/Industrial)</t>
        </is>
      </c>
      <c r="Q1332" s="13" t="inlineStr">
        <is>
          <t>CST 73 (Revenda / Destinação)</t>
        </is>
      </c>
      <c r="R1332" s="13" t="inlineStr">
        <is>
          <t>Redução de 60% + Diferimento (Art. 138 LC 214/2025)</t>
        </is>
      </c>
    </row>
    <row r="1333" ht="22" customHeight="1">
      <c r="A1333" s="6" t="inlineStr">
        <is>
          <t>SKU-1329</t>
        </is>
      </c>
      <c r="B1333" s="5" t="n">
        <v>970</v>
      </c>
      <c r="C1333" s="7" t="inlineStr">
        <is>
          <t>Nº 21724</t>
        </is>
      </c>
      <c r="D1333" s="8" t="inlineStr">
        <is>
          <t>ORONDIS OPTI</t>
        </is>
      </c>
      <c r="E1333" s="7" t="inlineStr">
        <is>
          <t>Embalagem Comercial do Produto</t>
        </is>
      </c>
      <c r="F1333" s="7" t="inlineStr">
        <is>
          <t>GALÃO / BOMBONA 5L A 20L (PADRÃO COMERCIAL)</t>
        </is>
      </c>
      <c r="G1333" s="7" t="inlineStr">
        <is>
          <t>LT</t>
        </is>
      </c>
      <c r="H1333" s="9" t="n">
        <v>5</v>
      </c>
      <c r="I1333" s="7" t="inlineStr">
        <is>
          <t>3808.92.99</t>
        </is>
      </c>
      <c r="J1333" s="7" t="inlineStr">
        <is>
          <t>NÃO</t>
        </is>
      </c>
      <c r="K1333" s="7" t="inlineStr">
        <is>
          <t>Embalagem Rígida — LAVÁVEL (Obrigatória Tríplice Lavagem ou Pressão)</t>
        </is>
      </c>
      <c r="L1333" s="7" t="inlineStr">
        <is>
          <t>NÃO</t>
        </is>
      </c>
      <c r="M1333" s="7" t="inlineStr">
        <is>
          <t>0,00% (Lei nº 10.925/2004)</t>
        </is>
      </c>
      <c r="N1333" s="7" t="inlineStr">
        <is>
          <t>0,925% (LC nº 224/2025)</t>
        </is>
      </c>
      <c r="O1333" s="7" t="inlineStr">
        <is>
          <t>0,365% (LC nº 224/2025)</t>
        </is>
      </c>
      <c r="P1333" s="7" t="inlineStr">
        <is>
          <t>CST 06</t>
        </is>
      </c>
      <c r="Q1333" s="7" t="inlineStr">
        <is>
          <t>CST 73</t>
        </is>
      </c>
      <c r="R1333" s="7" t="inlineStr">
        <is>
          <t>Redução de 60% + Diferimento (Art. 138 e Anexo IX LC 214/2025)</t>
        </is>
      </c>
    </row>
    <row r="1334" ht="22" customHeight="1">
      <c r="A1334" s="12" t="inlineStr">
        <is>
          <t>SKU-1330</t>
        </is>
      </c>
      <c r="B1334" s="11" t="n">
        <v>971</v>
      </c>
      <c r="C1334" s="13" t="inlineStr">
        <is>
          <t>VINC-21724</t>
        </is>
      </c>
      <c r="D1334" s="14" t="inlineStr">
        <is>
          <t>Clorotalonil Técnico</t>
        </is>
      </c>
      <c r="E1334" s="13" t="inlineStr">
        <is>
          <t>Embalagem Comercial do Produto</t>
        </is>
      </c>
      <c r="F1334" s="13" t="inlineStr">
        <is>
          <t>TAMBOR / BIG BAG INDUSTRIAL 250 KG</t>
        </is>
      </c>
      <c r="G1334" s="13" t="inlineStr">
        <is>
          <t>KG</t>
        </is>
      </c>
      <c r="H1334" s="15" t="n">
        <v>250</v>
      </c>
      <c r="I1334" s="13" t="inlineStr">
        <is>
          <t>3808.92.20</t>
        </is>
      </c>
      <c r="J1334" s="13" t="inlineStr">
        <is>
          <t>NÃO</t>
        </is>
      </c>
      <c r="K1334" s="13" t="inlineStr">
        <is>
          <t>Uso Industrial Exclusivo (PGRS / NBR 10004)</t>
        </is>
      </c>
      <c r="L1334" s="13" t="inlineStr">
        <is>
          <t>NÃO</t>
        </is>
      </c>
      <c r="M1334" s="13" t="inlineStr">
        <is>
          <t>0,00% (Lei nº 10.925/2004)</t>
        </is>
      </c>
      <c r="N1334" s="13" t="inlineStr">
        <is>
          <t>0,925% (LC nº 224/2025)</t>
        </is>
      </c>
      <c r="O1334" s="13" t="inlineStr">
        <is>
          <t>0,365% (LC nº 224/2025)</t>
        </is>
      </c>
      <c r="P1334" s="13" t="inlineStr">
        <is>
          <t>CST 06 (Uso Agrícola/Industrial)</t>
        </is>
      </c>
      <c r="Q1334" s="13" t="inlineStr">
        <is>
          <t>CST 73 (Revenda / Destinação)</t>
        </is>
      </c>
      <c r="R1334" s="13" t="inlineStr">
        <is>
          <t>Redução de 60% + Diferimento (Art. 138 LC 214/2025)</t>
        </is>
      </c>
    </row>
    <row r="1335" ht="22" customHeight="1">
      <c r="A1335" s="6" t="inlineStr">
        <is>
          <t>SKU-1331</t>
        </is>
      </c>
      <c r="B1335" s="5" t="n">
        <v>972</v>
      </c>
      <c r="C1335" s="7" t="inlineStr">
        <is>
          <t>VINC-21724</t>
        </is>
      </c>
      <c r="D1335" s="8" t="inlineStr">
        <is>
          <t>Oxathiapiprolin Técnico</t>
        </is>
      </c>
      <c r="E1335" s="7" t="inlineStr">
        <is>
          <t>Embalagem Comercial do Produto</t>
        </is>
      </c>
      <c r="F1335" s="7" t="inlineStr">
        <is>
          <t>TAMBOR / BIG BAG INDUSTRIAL 250 KG</t>
        </is>
      </c>
      <c r="G1335" s="7" t="inlineStr">
        <is>
          <t>KG</t>
        </is>
      </c>
      <c r="H1335" s="9" t="n">
        <v>250</v>
      </c>
      <c r="I1335" s="7" t="inlineStr">
        <is>
          <t>3808.92.20</t>
        </is>
      </c>
      <c r="J1335" s="7" t="inlineStr">
        <is>
          <t>NÃO</t>
        </is>
      </c>
      <c r="K1335" s="7" t="inlineStr">
        <is>
          <t>Uso Industrial Exclusivo (PGRS / NBR 10004)</t>
        </is>
      </c>
      <c r="L1335" s="7" t="inlineStr">
        <is>
          <t>NÃO</t>
        </is>
      </c>
      <c r="M1335" s="7" t="inlineStr">
        <is>
          <t>0,00% (Lei nº 10.925/2004)</t>
        </is>
      </c>
      <c r="N1335" s="7" t="inlineStr">
        <is>
          <t>0,925% (LC nº 224/2025)</t>
        </is>
      </c>
      <c r="O1335" s="7" t="inlineStr">
        <is>
          <t>0,365% (LC nº 224/2025)</t>
        </is>
      </c>
      <c r="P1335" s="7" t="inlineStr">
        <is>
          <t>CST 06 (Uso Agrícola/Industrial)</t>
        </is>
      </c>
      <c r="Q1335" s="7" t="inlineStr">
        <is>
          <t>CST 73 (Revenda / Destinação)</t>
        </is>
      </c>
      <c r="R1335" s="7" t="inlineStr">
        <is>
          <t>Redução de 60% + Diferimento (Art. 138 LC 214/2025)</t>
        </is>
      </c>
    </row>
    <row r="1336" ht="22" customHeight="1">
      <c r="A1336" s="12" t="inlineStr">
        <is>
          <t>SKU-1332</t>
        </is>
      </c>
      <c r="B1336" s="11" t="n">
        <v>973</v>
      </c>
      <c r="C1336" s="13" t="inlineStr">
        <is>
          <t>Nº 21824</t>
        </is>
      </c>
      <c r="D1336" s="14" t="inlineStr">
        <is>
          <t>CLOROTALONIL NORTOX</t>
        </is>
      </c>
      <c r="E1336" s="13" t="inlineStr">
        <is>
          <t>Embalagem Comercial do Produto</t>
        </is>
      </c>
      <c r="F1336" s="13" t="inlineStr">
        <is>
          <t>GALÃO / BOMBONA 5L A 20L (PADRÃO COMERCIAL)</t>
        </is>
      </c>
      <c r="G1336" s="13" t="inlineStr">
        <is>
          <t>LT</t>
        </is>
      </c>
      <c r="H1336" s="15" t="n">
        <v>5</v>
      </c>
      <c r="I1336" s="13" t="inlineStr">
        <is>
          <t>3808.92.99</t>
        </is>
      </c>
      <c r="J1336" s="13" t="inlineStr">
        <is>
          <t>NÃO</t>
        </is>
      </c>
      <c r="K1336" s="13" t="inlineStr">
        <is>
          <t>Embalagem Rígida — LAVÁVEL (Obrigatória Tríplice Lavagem ou Pressão)</t>
        </is>
      </c>
      <c r="L1336" s="13" t="inlineStr">
        <is>
          <t>NÃO</t>
        </is>
      </c>
      <c r="M1336" s="13" t="inlineStr">
        <is>
          <t>0,00% (Lei nº 10.925/2004)</t>
        </is>
      </c>
      <c r="N1336" s="13" t="inlineStr">
        <is>
          <t>0,925% (LC nº 224/2025)</t>
        </is>
      </c>
      <c r="O1336" s="13" t="inlineStr">
        <is>
          <t>0,365% (LC nº 224/2025)</t>
        </is>
      </c>
      <c r="P1336" s="13" t="inlineStr">
        <is>
          <t>CST 06</t>
        </is>
      </c>
      <c r="Q1336" s="13" t="inlineStr">
        <is>
          <t>CST 73</t>
        </is>
      </c>
      <c r="R1336" s="13" t="inlineStr">
        <is>
          <t>Redução de 60% + Diferimento (Art. 138 e Anexo IX LC 214/2025)</t>
        </is>
      </c>
    </row>
    <row r="1337" ht="22" customHeight="1">
      <c r="A1337" s="6" t="inlineStr">
        <is>
          <t>SKU-1333</t>
        </is>
      </c>
      <c r="B1337" s="5" t="n">
        <v>974</v>
      </c>
      <c r="C1337" s="7" t="inlineStr">
        <is>
          <t>VINC-21824</t>
        </is>
      </c>
      <c r="D1337" s="8" t="inlineStr">
        <is>
          <t>Clorotalonil Técnico Nortox</t>
        </is>
      </c>
      <c r="E1337" s="7" t="inlineStr">
        <is>
          <t>Embalagem Comercial do Produto</t>
        </is>
      </c>
      <c r="F1337" s="7" t="inlineStr">
        <is>
          <t>TAMBOR / BIG BAG INDUSTRIAL 250 KG</t>
        </is>
      </c>
      <c r="G1337" s="7" t="inlineStr">
        <is>
          <t>KG</t>
        </is>
      </c>
      <c r="H1337" s="9" t="n">
        <v>250</v>
      </c>
      <c r="I1337" s="7" t="inlineStr">
        <is>
          <t>3808.92.20</t>
        </is>
      </c>
      <c r="J1337" s="7" t="inlineStr">
        <is>
          <t>NÃO</t>
        </is>
      </c>
      <c r="K1337" s="7" t="inlineStr">
        <is>
          <t>Uso Industrial Exclusivo (PGRS / NBR 10004)</t>
        </is>
      </c>
      <c r="L1337" s="7" t="inlineStr">
        <is>
          <t>NÃO</t>
        </is>
      </c>
      <c r="M1337" s="7" t="inlineStr">
        <is>
          <t>0,00% (Lei nº 10.925/2004)</t>
        </is>
      </c>
      <c r="N1337" s="7" t="inlineStr">
        <is>
          <t>0,925% (LC nº 224/2025)</t>
        </is>
      </c>
      <c r="O1337" s="7" t="inlineStr">
        <is>
          <t>0,365% (LC nº 224/2025)</t>
        </is>
      </c>
      <c r="P1337" s="7" t="inlineStr">
        <is>
          <t>CST 06 (Uso Agrícola/Industrial)</t>
        </is>
      </c>
      <c r="Q1337" s="7" t="inlineStr">
        <is>
          <t>CST 73 (Revenda / Destinação)</t>
        </is>
      </c>
      <c r="R1337" s="7" t="inlineStr">
        <is>
          <t>Redução de 60% + Diferimento (Art. 138 LC 214/2025)</t>
        </is>
      </c>
    </row>
    <row r="1338" ht="22" customHeight="1">
      <c r="A1338" s="12" t="inlineStr">
        <is>
          <t>SKU-1334</t>
        </is>
      </c>
      <c r="B1338" s="11" t="n">
        <v>975</v>
      </c>
      <c r="C1338" s="13" t="inlineStr">
        <is>
          <t>VINC-21824</t>
        </is>
      </c>
      <c r="D1338" s="14" t="inlineStr">
        <is>
          <t>Clorotalonil Técnico Cropchem</t>
        </is>
      </c>
      <c r="E1338" s="13" t="inlineStr">
        <is>
          <t>Embalagem Comercial do Produto</t>
        </is>
      </c>
      <c r="F1338" s="13" t="inlineStr">
        <is>
          <t>TAMBOR / BIG BAG INDUSTRIAL 250 KG</t>
        </is>
      </c>
      <c r="G1338" s="13" t="inlineStr">
        <is>
          <t>KG</t>
        </is>
      </c>
      <c r="H1338" s="15" t="n">
        <v>250</v>
      </c>
      <c r="I1338" s="13" t="inlineStr">
        <is>
          <t>3808.92.20</t>
        </is>
      </c>
      <c r="J1338" s="13" t="inlineStr">
        <is>
          <t>NÃO</t>
        </is>
      </c>
      <c r="K1338" s="13" t="inlineStr">
        <is>
          <t>Uso Industrial Exclusivo (PGRS / NBR 10004)</t>
        </is>
      </c>
      <c r="L1338" s="13" t="inlineStr">
        <is>
          <t>NÃO</t>
        </is>
      </c>
      <c r="M1338" s="13" t="inlineStr">
        <is>
          <t>0,00% (Lei nº 10.925/2004)</t>
        </is>
      </c>
      <c r="N1338" s="13" t="inlineStr">
        <is>
          <t>0,925% (LC nº 224/2025)</t>
        </is>
      </c>
      <c r="O1338" s="13" t="inlineStr">
        <is>
          <t>0,365% (LC nº 224/2025)</t>
        </is>
      </c>
      <c r="P1338" s="13" t="inlineStr">
        <is>
          <t>CST 06 (Uso Agrícola/Industrial)</t>
        </is>
      </c>
      <c r="Q1338" s="13" t="inlineStr">
        <is>
          <t>CST 73 (Revenda / Destinação)</t>
        </is>
      </c>
      <c r="R1338" s="13" t="inlineStr">
        <is>
          <t>Redução de 60% + Diferimento (Art. 138 LC 214/2025)</t>
        </is>
      </c>
    </row>
    <row r="1339" ht="22" customHeight="1">
      <c r="A1339" s="6" t="inlineStr">
        <is>
          <t>SKU-1335</t>
        </is>
      </c>
      <c r="B1339" s="5" t="n">
        <v>976</v>
      </c>
      <c r="C1339" s="7" t="inlineStr">
        <is>
          <t>Nº 21924</t>
        </is>
      </c>
      <c r="D1339" s="8" t="inlineStr">
        <is>
          <t>FRONDEO</t>
        </is>
      </c>
      <c r="E1339" s="7" t="inlineStr">
        <is>
          <t>Embalagem Comercial do Produto</t>
        </is>
      </c>
      <c r="F1339" s="7" t="inlineStr">
        <is>
          <t>GALÃO / BOMBONA 5L A 20L (PADRÃO COMERCIAL)</t>
        </is>
      </c>
      <c r="G1339" s="7" t="inlineStr">
        <is>
          <t>LT</t>
        </is>
      </c>
      <c r="H1339" s="9" t="n">
        <v>5</v>
      </c>
      <c r="I1339" s="7" t="inlineStr">
        <is>
          <t>3808.91.99</t>
        </is>
      </c>
      <c r="J1339" s="7" t="inlineStr">
        <is>
          <t>NÃO</t>
        </is>
      </c>
      <c r="K1339" s="7" t="inlineStr">
        <is>
          <t>Embalagem Rígida — LAVÁVEL (Obrigatória Tríplice Lavagem ou Pressão)</t>
        </is>
      </c>
      <c r="L1339" s="7" t="inlineStr">
        <is>
          <t>NÃO</t>
        </is>
      </c>
      <c r="M1339" s="7" t="inlineStr">
        <is>
          <t>0,00% (Lei nº 10.925/2004)</t>
        </is>
      </c>
      <c r="N1339" s="7" t="inlineStr">
        <is>
          <t>0,925% (LC nº 224/2025)</t>
        </is>
      </c>
      <c r="O1339" s="7" t="inlineStr">
        <is>
          <t>0,365% (LC nº 224/2025)</t>
        </is>
      </c>
      <c r="P1339" s="7" t="inlineStr">
        <is>
          <t>CST 06</t>
        </is>
      </c>
      <c r="Q1339" s="7" t="inlineStr">
        <is>
          <t>CST 73</t>
        </is>
      </c>
      <c r="R1339" s="7" t="inlineStr">
        <is>
          <t>Redução de 60% + Diferimento (Art. 138 e Anexo IX LC 214/2025)</t>
        </is>
      </c>
    </row>
    <row r="1340" ht="22" customHeight="1">
      <c r="A1340" s="12" t="inlineStr">
        <is>
          <t>SKU-1336</t>
        </is>
      </c>
      <c r="B1340" s="11" t="n">
        <v>977</v>
      </c>
      <c r="C1340" s="13" t="inlineStr">
        <is>
          <t>VINC-21924</t>
        </is>
      </c>
      <c r="D1340" s="14" t="inlineStr">
        <is>
          <t>Isocycloseram Técnico</t>
        </is>
      </c>
      <c r="E1340" s="13" t="inlineStr">
        <is>
          <t>Embalagem Comercial do Produto</t>
        </is>
      </c>
      <c r="F1340" s="13" t="inlineStr">
        <is>
          <t>TAMBOR / BIG BAG INDUSTRIAL 250 KG</t>
        </is>
      </c>
      <c r="G1340" s="13" t="inlineStr">
        <is>
          <t>KG</t>
        </is>
      </c>
      <c r="H1340" s="15" t="n">
        <v>250</v>
      </c>
      <c r="I1340" s="13" t="inlineStr">
        <is>
          <t>3808.91.20</t>
        </is>
      </c>
      <c r="J1340" s="13" t="inlineStr">
        <is>
          <t>NÃO</t>
        </is>
      </c>
      <c r="K1340" s="13" t="inlineStr">
        <is>
          <t>Uso Industrial Exclusivo (PGRS / NBR 10004)</t>
        </is>
      </c>
      <c r="L1340" s="13" t="inlineStr">
        <is>
          <t>NÃO</t>
        </is>
      </c>
      <c r="M1340" s="13" t="inlineStr">
        <is>
          <t>0,00% (Lei nº 10.925/2004)</t>
        </is>
      </c>
      <c r="N1340" s="13" t="inlineStr">
        <is>
          <t>0,925% (LC nº 224/2025)</t>
        </is>
      </c>
      <c r="O1340" s="13" t="inlineStr">
        <is>
          <t>0,365% (LC nº 224/2025)</t>
        </is>
      </c>
      <c r="P1340" s="13" t="inlineStr">
        <is>
          <t>CST 06 (Uso Agrícola/Industrial)</t>
        </is>
      </c>
      <c r="Q1340" s="13" t="inlineStr">
        <is>
          <t>CST 73 (Revenda / Destinação)</t>
        </is>
      </c>
      <c r="R1340" s="13" t="inlineStr">
        <is>
          <t>Redução de 60% + Diferimento (Art. 138 LC 214/2025)</t>
        </is>
      </c>
    </row>
    <row r="1341" ht="22" customHeight="1">
      <c r="A1341" s="6" t="inlineStr">
        <is>
          <t>SKU-1337</t>
        </is>
      </c>
      <c r="B1341" s="5" t="n">
        <v>978</v>
      </c>
      <c r="C1341" s="7" t="inlineStr">
        <is>
          <t>Nº 22024</t>
        </is>
      </c>
      <c r="D1341" s="8" t="inlineStr">
        <is>
          <t>FUNGUS BVERIA</t>
        </is>
      </c>
      <c r="E1341" s="7" t="inlineStr">
        <is>
          <t>Embalagem Comercial do Produto</t>
        </is>
      </c>
      <c r="F1341" s="7" t="inlineStr">
        <is>
          <t>SACARIA / EMBALAGEM FLEXÍVEL 5KG A 25KG (PADRÃO COMERCIAL)</t>
        </is>
      </c>
      <c r="G1341" s="7" t="inlineStr">
        <is>
          <t>KG</t>
        </is>
      </c>
      <c r="H1341" s="9" t="n">
        <v>5</v>
      </c>
      <c r="I1341" s="7" t="inlineStr">
        <is>
          <t>3808.91.99</t>
        </is>
      </c>
      <c r="J1341" s="7" t="inlineStr">
        <is>
          <t>NÃO</t>
        </is>
      </c>
      <c r="K1341" s="7" t="inlineStr">
        <is>
          <t>Embalagem Flexível — NÃO LAVÁVEL (Perfurar e usar saco ABNT)</t>
        </is>
      </c>
      <c r="L1341" s="7" t="inlineStr">
        <is>
          <t>SIM (Saco Transparente ABNT)</t>
        </is>
      </c>
      <c r="M1341" s="7" t="inlineStr">
        <is>
          <t>0,00% (Lei nº 10.925/2004)</t>
        </is>
      </c>
      <c r="N1341" s="7" t="inlineStr">
        <is>
          <t>0,925% (LC nº 224/2025)</t>
        </is>
      </c>
      <c r="O1341" s="7" t="inlineStr">
        <is>
          <t>0,365% (LC nº 224/2025)</t>
        </is>
      </c>
      <c r="P1341" s="7" t="inlineStr">
        <is>
          <t>CST 06</t>
        </is>
      </c>
      <c r="Q1341" s="7" t="inlineStr">
        <is>
          <t>CST 73</t>
        </is>
      </c>
      <c r="R1341" s="7" t="inlineStr">
        <is>
          <t>Redução de 60% + Diferimento (Art. 138 e Anexo IX LC 214/2025)</t>
        </is>
      </c>
    </row>
    <row r="1342" ht="22" customHeight="1">
      <c r="A1342" s="12" t="inlineStr">
        <is>
          <t>SKU-1338</t>
        </is>
      </c>
      <c r="B1342" s="11" t="n">
        <v>979</v>
      </c>
      <c r="C1342" s="13" t="inlineStr">
        <is>
          <t>Nº 22024</t>
        </is>
      </c>
      <c r="D1342" s="14" t="inlineStr">
        <is>
          <t>FUNGUS BVERIA RBR</t>
        </is>
      </c>
      <c r="E1342" s="13" t="inlineStr">
        <is>
          <t>Embalagem Comercial do Produto</t>
        </is>
      </c>
      <c r="F1342" s="13" t="inlineStr">
        <is>
          <t>SACARIA / EMBALAGEM FLEXÍVEL 5KG A 25KG (PADRÃO COMERCIAL)</t>
        </is>
      </c>
      <c r="G1342" s="13" t="inlineStr">
        <is>
          <t>KG</t>
        </is>
      </c>
      <c r="H1342" s="15" t="n">
        <v>5</v>
      </c>
      <c r="I1342" s="13" t="inlineStr">
        <is>
          <t>3808.91.99</t>
        </is>
      </c>
      <c r="J1342" s="13" t="inlineStr">
        <is>
          <t>NÃO</t>
        </is>
      </c>
      <c r="K1342" s="13" t="inlineStr">
        <is>
          <t>Embalagem Flexível — NÃO LAVÁVEL (Perfurar e usar saco ABNT)</t>
        </is>
      </c>
      <c r="L1342" s="13" t="inlineStr">
        <is>
          <t>SIM (Saco Transparente ABNT)</t>
        </is>
      </c>
      <c r="M1342" s="13" t="inlineStr">
        <is>
          <t>0,00% (Lei nº 10.925/2004)</t>
        </is>
      </c>
      <c r="N1342" s="13" t="inlineStr">
        <is>
          <t>0,925% (LC nº 224/2025)</t>
        </is>
      </c>
      <c r="O1342" s="13" t="inlineStr">
        <is>
          <t>0,365% (LC nº 224/2025)</t>
        </is>
      </c>
      <c r="P1342" s="13" t="inlineStr">
        <is>
          <t>CST 06</t>
        </is>
      </c>
      <c r="Q1342" s="13" t="inlineStr">
        <is>
          <t>CST 73</t>
        </is>
      </c>
      <c r="R1342" s="13" t="inlineStr">
        <is>
          <t>Redução de 60% + Diferimento (Art. 138 e Anexo IX LC 214/2025)</t>
        </is>
      </c>
    </row>
    <row r="1343" ht="22" customHeight="1">
      <c r="A1343" s="6" t="inlineStr">
        <is>
          <t>SKU-1339</t>
        </is>
      </c>
      <c r="B1343" s="5" t="n">
        <v>980</v>
      </c>
      <c r="C1343" s="7" t="inlineStr">
        <is>
          <t>Nº 22024</t>
        </is>
      </c>
      <c r="D1343" s="8" t="inlineStr">
        <is>
          <t>FUNGUS BVERIA INC</t>
        </is>
      </c>
      <c r="E1343" s="7" t="inlineStr">
        <is>
          <t>Embalagem Comercial do Produto</t>
        </is>
      </c>
      <c r="F1343" s="7" t="inlineStr">
        <is>
          <t>SACARIA / EMBALAGEM FLEXÍVEL 5KG A 25KG (PADRÃO COMERCIAL)</t>
        </is>
      </c>
      <c r="G1343" s="7" t="inlineStr">
        <is>
          <t>KG</t>
        </is>
      </c>
      <c r="H1343" s="9" t="n">
        <v>5</v>
      </c>
      <c r="I1343" s="7" t="inlineStr">
        <is>
          <t>3808.91.99</t>
        </is>
      </c>
      <c r="J1343" s="7" t="inlineStr">
        <is>
          <t>NÃO</t>
        </is>
      </c>
      <c r="K1343" s="7" t="inlineStr">
        <is>
          <t>Embalagem Flexível — NÃO LAVÁVEL (Perfurar e usar saco ABNT)</t>
        </is>
      </c>
      <c r="L1343" s="7" t="inlineStr">
        <is>
          <t>SIM (Saco Transparente ABNT)</t>
        </is>
      </c>
      <c r="M1343" s="7" t="inlineStr">
        <is>
          <t>0,00% (Lei nº 10.925/2004)</t>
        </is>
      </c>
      <c r="N1343" s="7" t="inlineStr">
        <is>
          <t>0,925% (LC nº 224/2025)</t>
        </is>
      </c>
      <c r="O1343" s="7" t="inlineStr">
        <is>
          <t>0,365% (LC nº 224/2025)</t>
        </is>
      </c>
      <c r="P1343" s="7" t="inlineStr">
        <is>
          <t>CST 06</t>
        </is>
      </c>
      <c r="Q1343" s="7" t="inlineStr">
        <is>
          <t>CST 73</t>
        </is>
      </c>
      <c r="R1343" s="7" t="inlineStr">
        <is>
          <t>Redução de 60% + Diferimento (Art. 138 e Anexo IX LC 214/2025)</t>
        </is>
      </c>
    </row>
    <row r="1344" ht="22" customHeight="1">
      <c r="A1344" s="12" t="inlineStr">
        <is>
          <t>SKU-1340</t>
        </is>
      </c>
      <c r="B1344" s="11" t="n">
        <v>981</v>
      </c>
      <c r="C1344" s="13" t="inlineStr">
        <is>
          <t>Nº 22024</t>
        </is>
      </c>
      <c r="D1344" s="14" t="inlineStr">
        <is>
          <t>FUNGUS BVERIA MAX</t>
        </is>
      </c>
      <c r="E1344" s="13" t="inlineStr">
        <is>
          <t>Embalagem Comercial do Produto</t>
        </is>
      </c>
      <c r="F1344" s="13" t="inlineStr">
        <is>
          <t>SACARIA / EMBALAGEM FLEXÍVEL 5KG A 25KG (PADRÃO COMERCIAL)</t>
        </is>
      </c>
      <c r="G1344" s="13" t="inlineStr">
        <is>
          <t>KG</t>
        </is>
      </c>
      <c r="H1344" s="15" t="n">
        <v>5</v>
      </c>
      <c r="I1344" s="13" t="inlineStr">
        <is>
          <t>3808.91.99</t>
        </is>
      </c>
      <c r="J1344" s="13" t="inlineStr">
        <is>
          <t>NÃO</t>
        </is>
      </c>
      <c r="K1344" s="13" t="inlineStr">
        <is>
          <t>Embalagem Flexível — NÃO LAVÁVEL (Perfurar e usar saco ABNT)</t>
        </is>
      </c>
      <c r="L1344" s="13" t="inlineStr">
        <is>
          <t>SIM (Saco Transparente ABNT)</t>
        </is>
      </c>
      <c r="M1344" s="13" t="inlineStr">
        <is>
          <t>0,00% (Lei nº 10.925/2004)</t>
        </is>
      </c>
      <c r="N1344" s="13" t="inlineStr">
        <is>
          <t>0,925% (LC nº 224/2025)</t>
        </is>
      </c>
      <c r="O1344" s="13" t="inlineStr">
        <is>
          <t>0,365% (LC nº 224/2025)</t>
        </is>
      </c>
      <c r="P1344" s="13" t="inlineStr">
        <is>
          <t>CST 06</t>
        </is>
      </c>
      <c r="Q1344" s="13" t="inlineStr">
        <is>
          <t>CST 73</t>
        </is>
      </c>
      <c r="R1344" s="13" t="inlineStr">
        <is>
          <t>Redução de 60% + Diferimento (Art. 138 e Anexo IX LC 214/2025)</t>
        </is>
      </c>
    </row>
    <row r="1345" ht="22" customHeight="1">
      <c r="A1345" s="6" t="inlineStr">
        <is>
          <t>SKU-1341</t>
        </is>
      </c>
      <c r="B1345" s="5" t="n">
        <v>982</v>
      </c>
      <c r="C1345" s="7" t="inlineStr">
        <is>
          <t>Nº 22024</t>
        </is>
      </c>
      <c r="D1345" s="8" t="inlineStr">
        <is>
          <t>FUNGUS BVERIA OGN</t>
        </is>
      </c>
      <c r="E1345" s="7" t="inlineStr">
        <is>
          <t>Embalagem Comercial do Produto</t>
        </is>
      </c>
      <c r="F1345" s="7" t="inlineStr">
        <is>
          <t>SACARIA / EMBALAGEM FLEXÍVEL 5KG A 25KG (PADRÃO COMERCIAL)</t>
        </is>
      </c>
      <c r="G1345" s="7" t="inlineStr">
        <is>
          <t>KG</t>
        </is>
      </c>
      <c r="H1345" s="9" t="n">
        <v>5</v>
      </c>
      <c r="I1345" s="7" t="inlineStr">
        <is>
          <t>3808.91.99</t>
        </is>
      </c>
      <c r="J1345" s="7" t="inlineStr">
        <is>
          <t>NÃO</t>
        </is>
      </c>
      <c r="K1345" s="7" t="inlineStr">
        <is>
          <t>Embalagem Flexível — NÃO LAVÁVEL (Perfurar e usar saco ABNT)</t>
        </is>
      </c>
      <c r="L1345" s="7" t="inlineStr">
        <is>
          <t>SIM (Saco Transparente ABNT)</t>
        </is>
      </c>
      <c r="M1345" s="7" t="inlineStr">
        <is>
          <t>0,00% (Lei nº 10.925/2004)</t>
        </is>
      </c>
      <c r="N1345" s="7" t="inlineStr">
        <is>
          <t>0,925% (LC nº 224/2025)</t>
        </is>
      </c>
      <c r="O1345" s="7" t="inlineStr">
        <is>
          <t>0,365% (LC nº 224/2025)</t>
        </is>
      </c>
      <c r="P1345" s="7" t="inlineStr">
        <is>
          <t>CST 06</t>
        </is>
      </c>
      <c r="Q1345" s="7" t="inlineStr">
        <is>
          <t>CST 73</t>
        </is>
      </c>
      <c r="R1345" s="7" t="inlineStr">
        <is>
          <t>Redução de 60% + Diferimento (Art. 138 e Anexo IX LC 214/2025)</t>
        </is>
      </c>
    </row>
    <row r="1346" ht="22" customHeight="1">
      <c r="A1346" s="12" t="inlineStr">
        <is>
          <t>SKU-1342</t>
        </is>
      </c>
      <c r="B1346" s="11" t="n">
        <v>983</v>
      </c>
      <c r="C1346" s="13" t="inlineStr">
        <is>
          <t>Nº 22024</t>
        </is>
      </c>
      <c r="D1346" s="14" t="inlineStr">
        <is>
          <t>FUNGUS BVERIA GOLD</t>
        </is>
      </c>
      <c r="E1346" s="13" t="inlineStr">
        <is>
          <t>Embalagem Comercial do Produto</t>
        </is>
      </c>
      <c r="F1346" s="13" t="inlineStr">
        <is>
          <t>SACARIA / EMBALAGEM FLEXÍVEL 5KG A 25KG (PADRÃO COMERCIAL)</t>
        </is>
      </c>
      <c r="G1346" s="13" t="inlineStr">
        <is>
          <t>KG</t>
        </is>
      </c>
      <c r="H1346" s="15" t="n">
        <v>5</v>
      </c>
      <c r="I1346" s="13" t="inlineStr">
        <is>
          <t>3808.91.99</t>
        </is>
      </c>
      <c r="J1346" s="13" t="inlineStr">
        <is>
          <t>NÃO</t>
        </is>
      </c>
      <c r="K1346" s="13" t="inlineStr">
        <is>
          <t>Embalagem Flexível — NÃO LAVÁVEL (Perfurar e usar saco ABNT)</t>
        </is>
      </c>
      <c r="L1346" s="13" t="inlineStr">
        <is>
          <t>SIM (Saco Transparente ABNT)</t>
        </is>
      </c>
      <c r="M1346" s="13" t="inlineStr">
        <is>
          <t>0,00% (Lei nº 10.925/2004)</t>
        </is>
      </c>
      <c r="N1346" s="13" t="inlineStr">
        <is>
          <t>0,925% (LC nº 224/2025)</t>
        </is>
      </c>
      <c r="O1346" s="13" t="inlineStr">
        <is>
          <t>0,365% (LC nº 224/2025)</t>
        </is>
      </c>
      <c r="P1346" s="13" t="inlineStr">
        <is>
          <t>CST 06</t>
        </is>
      </c>
      <c r="Q1346" s="13" t="inlineStr">
        <is>
          <t>CST 73</t>
        </is>
      </c>
      <c r="R1346" s="13" t="inlineStr">
        <is>
          <t>Redução de 60% + Diferimento (Art. 138 e Anexo IX LC 214/2025)</t>
        </is>
      </c>
    </row>
    <row r="1347" ht="22" customHeight="1">
      <c r="A1347" s="6" t="inlineStr">
        <is>
          <t>SKU-1343</t>
        </is>
      </c>
      <c r="B1347" s="5" t="n">
        <v>984</v>
      </c>
      <c r="C1347" s="7" t="inlineStr">
        <is>
          <t>Nº 02801</t>
        </is>
      </c>
      <c r="D1347" s="8" t="inlineStr">
        <is>
          <t>2,4-D AGRITEC</t>
        </is>
      </c>
      <c r="E1347" s="7" t="inlineStr">
        <is>
          <t>Embalagem Comercial do Produto</t>
        </is>
      </c>
      <c r="F1347" s="7" t="inlineStr">
        <is>
          <t>GALÃO / BOMBONA 5L A 20L (PADRÃO COMERCIAL)</t>
        </is>
      </c>
      <c r="G1347" s="7" t="inlineStr">
        <is>
          <t>LT</t>
        </is>
      </c>
      <c r="H1347" s="9" t="n">
        <v>5</v>
      </c>
      <c r="I1347" s="7" t="inlineStr">
        <is>
          <t>3808.93.22</t>
        </is>
      </c>
      <c r="J1347" s="7" t="inlineStr">
        <is>
          <t>NÃO</t>
        </is>
      </c>
      <c r="K1347" s="7" t="inlineStr">
        <is>
          <t>Embalagem Rígida — LAVÁVEL (Obrigatória Tríplice Lavagem ou Pressão)</t>
        </is>
      </c>
      <c r="L1347" s="7" t="inlineStr">
        <is>
          <t>NÃO</t>
        </is>
      </c>
      <c r="M1347" s="7" t="inlineStr">
        <is>
          <t>0,00% (Lei nº 10.925/2004)</t>
        </is>
      </c>
      <c r="N1347" s="7" t="inlineStr">
        <is>
          <t>0,925% (LC nº 224/2025)</t>
        </is>
      </c>
      <c r="O1347" s="7" t="inlineStr">
        <is>
          <t>0,365% (LC nº 224/2025)</t>
        </is>
      </c>
      <c r="P1347" s="7" t="inlineStr">
        <is>
          <t>CST 06</t>
        </is>
      </c>
      <c r="Q1347" s="7" t="inlineStr">
        <is>
          <t>CST 73</t>
        </is>
      </c>
      <c r="R1347" s="7" t="inlineStr">
        <is>
          <t>Redução de 60% + Diferimento (Art. 138 e Anexo IX LC 214/2025)</t>
        </is>
      </c>
    </row>
    <row r="1348" ht="22" customHeight="1">
      <c r="A1348" s="12" t="inlineStr">
        <is>
          <t>SKU-1344</t>
        </is>
      </c>
      <c r="B1348" s="11" t="n">
        <v>985</v>
      </c>
      <c r="C1348" s="13" t="inlineStr">
        <is>
          <t>Nº 2500</t>
        </is>
      </c>
      <c r="D1348" s="14" t="inlineStr">
        <is>
          <t>PILARSATO</t>
        </is>
      </c>
      <c r="E1348" s="13" t="inlineStr">
        <is>
          <t>Embalagem Comercial do Produto</t>
        </is>
      </c>
      <c r="F1348" s="13" t="inlineStr">
        <is>
          <t>GALÃO / BOMBONA 5L A 20L (PADRÃO COMERCIAL)</t>
        </is>
      </c>
      <c r="G1348" s="13" t="inlineStr">
        <is>
          <t>L</t>
        </is>
      </c>
      <c r="H1348" s="15" t="n">
        <v>5</v>
      </c>
      <c r="I1348" s="13" t="inlineStr">
        <is>
          <t>3808.93.24</t>
        </is>
      </c>
      <c r="J1348" s="13" t="inlineStr">
        <is>
          <t>NÃO</t>
        </is>
      </c>
      <c r="K1348" s="13" t="inlineStr">
        <is>
          <t>Embalagem Rígida — LAVÁVEL (Obrigatória Tríplice Lavagem ou Pressão)</t>
        </is>
      </c>
      <c r="L1348" s="13" t="inlineStr">
        <is>
          <t>NÃO</t>
        </is>
      </c>
      <c r="M1348" s="13" t="inlineStr">
        <is>
          <t>0,00% (Lei nº 10.925/2004)</t>
        </is>
      </c>
      <c r="N1348" s="13" t="inlineStr">
        <is>
          <t>0,925% (LC nº 224/2025)</t>
        </is>
      </c>
      <c r="O1348" s="13" t="inlineStr">
        <is>
          <t>0,365% (LC nº 224/2025)</t>
        </is>
      </c>
      <c r="P1348" s="13" t="inlineStr">
        <is>
          <t>CST 06</t>
        </is>
      </c>
      <c r="Q1348" s="13" t="inlineStr">
        <is>
          <t>CST 73</t>
        </is>
      </c>
      <c r="R1348" s="13" t="inlineStr">
        <is>
          <t>Redução de 60% + Diferimento (Art. 138 e Anexo IX LC 214/2025)</t>
        </is>
      </c>
    </row>
    <row r="1349" ht="22" customHeight="1">
      <c r="A1349" s="6" t="inlineStr">
        <is>
          <t>SKU-1345</t>
        </is>
      </c>
      <c r="B1349" s="5" t="n">
        <v>986</v>
      </c>
      <c r="C1349" s="7" t="inlineStr">
        <is>
          <t>Nº 14308</t>
        </is>
      </c>
      <c r="D1349" s="8" t="inlineStr">
        <is>
          <t>SUMÔ</t>
        </is>
      </c>
      <c r="E1349" s="7" t="inlineStr">
        <is>
          <t>Embalagem Comercial do Produto</t>
        </is>
      </c>
      <c r="F1349" s="7" t="inlineStr">
        <is>
          <t>GALÃO / BOMBONA 5L A 20L (PADRÃO COMERCIAL)</t>
        </is>
      </c>
      <c r="G1349" s="7" t="inlineStr">
        <is>
          <t>LT</t>
        </is>
      </c>
      <c r="H1349" s="9" t="n">
        <v>5</v>
      </c>
      <c r="I1349" s="7" t="inlineStr">
        <is>
          <t>3808.93.27</t>
        </is>
      </c>
      <c r="J1349" s="7" t="inlineStr">
        <is>
          <t>NÃO</t>
        </is>
      </c>
      <c r="K1349" s="7" t="inlineStr">
        <is>
          <t>Uso Industrial Exclusivo (PGRS / NBR 10004)</t>
        </is>
      </c>
      <c r="L1349" s="7" t="inlineStr">
        <is>
          <t>NÃO</t>
        </is>
      </c>
      <c r="M1349" s="7" t="inlineStr">
        <is>
          <t>0,00% (Lei nº 10.925/2004)</t>
        </is>
      </c>
      <c r="N1349" s="7" t="inlineStr">
        <is>
          <t>0,925% (LC nº 224/2025)</t>
        </is>
      </c>
      <c r="O1349" s="7" t="inlineStr">
        <is>
          <t>0,365% (LC nº 224/2025)</t>
        </is>
      </c>
      <c r="P1349" s="7" t="inlineStr">
        <is>
          <t>CST 06 (Uso Agrícola/Industrial)</t>
        </is>
      </c>
      <c r="Q1349" s="7" t="inlineStr">
        <is>
          <t>CST 73 (Revenda / Destinação)</t>
        </is>
      </c>
      <c r="R1349" s="7" t="inlineStr">
        <is>
          <t>Redução de 60% + Diferimento (Art. 138 LC 214/2025)</t>
        </is>
      </c>
    </row>
    <row r="1350" ht="22" customHeight="1">
      <c r="A1350" s="12" t="inlineStr">
        <is>
          <t>SKU-1346</t>
        </is>
      </c>
      <c r="B1350" s="11" t="n">
        <v>987</v>
      </c>
      <c r="C1350" s="13" t="inlineStr">
        <is>
          <t>Nº 0314</t>
        </is>
      </c>
      <c r="D1350" s="14" t="inlineStr">
        <is>
          <t>2,4-D TÉCNICO SWR AGROIMPORT</t>
        </is>
      </c>
      <c r="E1350" s="13" t="inlineStr">
        <is>
          <t>Embalagem Comercial do Produto</t>
        </is>
      </c>
      <c r="F1350" s="13" t="inlineStr">
        <is>
          <t>TAMBOR / BIG BAG INDUSTRIAL 250 KG</t>
        </is>
      </c>
      <c r="G1350" s="13" t="inlineStr">
        <is>
          <t>KG</t>
        </is>
      </c>
      <c r="H1350" s="15" t="n">
        <v>250</v>
      </c>
      <c r="I1350" s="13" t="inlineStr">
        <is>
          <t>3808.93.19</t>
        </is>
      </c>
      <c r="J1350" s="13" t="inlineStr">
        <is>
          <t>NÃO</t>
        </is>
      </c>
      <c r="K1350" s="13" t="inlineStr">
        <is>
          <t>Uso Industrial Exclusivo (PGRS / NBR 10004)</t>
        </is>
      </c>
      <c r="L1350" s="13" t="inlineStr">
        <is>
          <t>NÃO</t>
        </is>
      </c>
      <c r="M1350" s="13" t="inlineStr">
        <is>
          <t>0,00% (Lei nº 10.925/2004)</t>
        </is>
      </c>
      <c r="N1350" s="13" t="inlineStr">
        <is>
          <t>0,925% (LC nº 224/2025)</t>
        </is>
      </c>
      <c r="O1350" s="13" t="inlineStr">
        <is>
          <t>0,365% (LC nº 224/2025)</t>
        </is>
      </c>
      <c r="P1350" s="13" t="inlineStr">
        <is>
          <t>CST 06 (Uso Agrícola/Industrial)</t>
        </is>
      </c>
      <c r="Q1350" s="13" t="inlineStr">
        <is>
          <t>CST 73 (Revenda / Destinação)</t>
        </is>
      </c>
      <c r="R1350" s="13" t="inlineStr">
        <is>
          <t>Redução de 60% + Diferimento (Art. 138 LC 214/2025)</t>
        </is>
      </c>
    </row>
    <row r="1351" ht="22" customHeight="1">
      <c r="A1351" s="6" t="inlineStr">
        <is>
          <t>SKU-1347</t>
        </is>
      </c>
      <c r="B1351" s="5" t="n">
        <v>988</v>
      </c>
      <c r="C1351" s="7" t="inlineStr">
        <is>
          <t>Nº 10618</t>
        </is>
      </c>
      <c r="D1351" s="8" t="inlineStr">
        <is>
          <t>2,4-D TÉCNICO AGROIMPORT</t>
        </is>
      </c>
      <c r="E1351" s="7" t="inlineStr">
        <is>
          <t>Embalagem Comercial do Produto</t>
        </is>
      </c>
      <c r="F1351" s="7" t="inlineStr">
        <is>
          <t>TAMBOR / BIG BAG INDUSTRIAL 250 KG</t>
        </is>
      </c>
      <c r="G1351" s="7" t="inlineStr">
        <is>
          <t>KG</t>
        </is>
      </c>
      <c r="H1351" s="9" t="n">
        <v>250</v>
      </c>
      <c r="I1351" s="7" t="inlineStr">
        <is>
          <t>3808.93.19</t>
        </is>
      </c>
      <c r="J1351" s="7" t="inlineStr">
        <is>
          <t>NÃO</t>
        </is>
      </c>
      <c r="K1351" s="7" t="inlineStr">
        <is>
          <t>Uso Industrial Exclusivo (PGRS / NBR 10004)</t>
        </is>
      </c>
      <c r="L1351" s="7" t="inlineStr">
        <is>
          <t>NÃO</t>
        </is>
      </c>
      <c r="M1351" s="7" t="inlineStr">
        <is>
          <t>0,00% (Lei nº 10.925/2004)</t>
        </is>
      </c>
      <c r="N1351" s="7" t="inlineStr">
        <is>
          <t>0,925% (LC nº 224/2025)</t>
        </is>
      </c>
      <c r="O1351" s="7" t="inlineStr">
        <is>
          <t>0,365% (LC nº 224/2025)</t>
        </is>
      </c>
      <c r="P1351" s="7" t="inlineStr">
        <is>
          <t>CST 06 (Uso Agrícola/Industrial)</t>
        </is>
      </c>
      <c r="Q1351" s="7" t="inlineStr">
        <is>
          <t>CST 73 (Revenda / Destinação)</t>
        </is>
      </c>
      <c r="R1351" s="7" t="inlineStr">
        <is>
          <t>Redução de 60% + Diferimento (Art. 138 LC 214/2025)</t>
        </is>
      </c>
    </row>
    <row r="1352" ht="22" customHeight="1">
      <c r="A1352" s="12" t="inlineStr">
        <is>
          <t>SKU-1348</t>
        </is>
      </c>
      <c r="B1352" s="11" t="n">
        <v>989</v>
      </c>
      <c r="C1352" s="13" t="inlineStr">
        <is>
          <t>Nº 18816</t>
        </is>
      </c>
      <c r="D1352" s="14" t="inlineStr">
        <is>
          <t>GLIFOSATO G TÉCNICO AGROIMPORT</t>
        </is>
      </c>
      <c r="E1352" s="13" t="inlineStr">
        <is>
          <t>Embalagem Comercial do Produto</t>
        </is>
      </c>
      <c r="F1352" s="13" t="inlineStr">
        <is>
          <t>TAMBOR / BIG BAG INDUSTRIAL 250 KG</t>
        </is>
      </c>
      <c r="G1352" s="13" t="inlineStr">
        <is>
          <t>KG</t>
        </is>
      </c>
      <c r="H1352" s="15" t="n">
        <v>250</v>
      </c>
      <c r="I1352" s="13" t="inlineStr">
        <is>
          <t>3808.93.19</t>
        </is>
      </c>
      <c r="J1352" s="13" t="inlineStr">
        <is>
          <t>NÃO</t>
        </is>
      </c>
      <c r="K1352" s="13" t="inlineStr">
        <is>
          <t>Uso Industrial Exclusivo (PGRS / NBR 10004)</t>
        </is>
      </c>
      <c r="L1352" s="13" t="inlineStr">
        <is>
          <t>NÃO</t>
        </is>
      </c>
      <c r="M1352" s="13" t="inlineStr">
        <is>
          <t>0,00% (Lei nº 10.925/2004)</t>
        </is>
      </c>
      <c r="N1352" s="13" t="inlineStr">
        <is>
          <t>0,925% (LC nº 224/2025)</t>
        </is>
      </c>
      <c r="O1352" s="13" t="inlineStr">
        <is>
          <t>0,365% (LC nº 224/2025)</t>
        </is>
      </c>
      <c r="P1352" s="13" t="inlineStr">
        <is>
          <t>CST 06 (Uso Agrícola/Industrial)</t>
        </is>
      </c>
      <c r="Q1352" s="13" t="inlineStr">
        <is>
          <t>CST 73 (Revenda / Destinação)</t>
        </is>
      </c>
      <c r="R1352" s="13" t="inlineStr">
        <is>
          <t>Redução de 60% + Diferimento (Art. 138 LC 214/2025)</t>
        </is>
      </c>
    </row>
    <row r="1353" ht="22" customHeight="1">
      <c r="A1353" s="6" t="inlineStr">
        <is>
          <t>SKU-1349</t>
        </is>
      </c>
      <c r="B1353" s="5" t="n">
        <v>990</v>
      </c>
      <c r="C1353" s="7" t="inlineStr">
        <is>
          <t>Nº 12515</t>
        </is>
      </c>
      <c r="D1353" s="8" t="inlineStr">
        <is>
          <t>GLIFOSATO TÉCNICO SWR AGROIMPORT</t>
        </is>
      </c>
      <c r="E1353" s="7" t="inlineStr">
        <is>
          <t>Embalagem Comercial do Produto</t>
        </is>
      </c>
      <c r="F1353" s="7" t="inlineStr">
        <is>
          <t>TAMBOR / BIG BAG INDUSTRIAL 250 KG</t>
        </is>
      </c>
      <c r="G1353" s="7" t="inlineStr">
        <is>
          <t>KG</t>
        </is>
      </c>
      <c r="H1353" s="9" t="n">
        <v>250</v>
      </c>
      <c r="I1353" s="7" t="inlineStr">
        <is>
          <t>3808.93.19</t>
        </is>
      </c>
      <c r="J1353" s="7" t="inlineStr">
        <is>
          <t>NÃO</t>
        </is>
      </c>
      <c r="K1353" s="7" t="inlineStr">
        <is>
          <t>Uso Industrial Exclusivo (PGRS / NBR 10004)</t>
        </is>
      </c>
      <c r="L1353" s="7" t="inlineStr">
        <is>
          <t>NÃO</t>
        </is>
      </c>
      <c r="M1353" s="7" t="inlineStr">
        <is>
          <t>0,00% (Lei nº 10.925/2004)</t>
        </is>
      </c>
      <c r="N1353" s="7" t="inlineStr">
        <is>
          <t>0,925% (LC nº 224/2025)</t>
        </is>
      </c>
      <c r="O1353" s="7" t="inlineStr">
        <is>
          <t>0,365% (LC nº 224/2025)</t>
        </is>
      </c>
      <c r="P1353" s="7" t="inlineStr">
        <is>
          <t>CST 06 (Uso Agrícola/Industrial)</t>
        </is>
      </c>
      <c r="Q1353" s="7" t="inlineStr">
        <is>
          <t>CST 73 (Revenda / Destinação)</t>
        </is>
      </c>
      <c r="R1353" s="7" t="inlineStr">
        <is>
          <t>Redução de 60% + Diferimento (Art. 138 LC 214/2025)</t>
        </is>
      </c>
    </row>
    <row r="1354" ht="22" customHeight="1">
      <c r="A1354" s="12" t="inlineStr">
        <is>
          <t>SKU-1350</t>
        </is>
      </c>
      <c r="B1354" s="11" t="n">
        <v>991</v>
      </c>
      <c r="C1354" s="13" t="inlineStr">
        <is>
          <t>Nº 10714</t>
        </is>
      </c>
      <c r="D1354" s="14" t="inlineStr">
        <is>
          <t>MEGASATO TÉCNICO</t>
        </is>
      </c>
      <c r="E1354" s="13" t="inlineStr">
        <is>
          <t>Embalagem Comercial do Produto</t>
        </is>
      </c>
      <c r="F1354" s="13" t="inlineStr">
        <is>
          <t>TAMBOR / BIG BAG INDUSTRIAL 250 KG</t>
        </is>
      </c>
      <c r="G1354" s="13" t="inlineStr">
        <is>
          <t>KG</t>
        </is>
      </c>
      <c r="H1354" s="15" t="n">
        <v>250</v>
      </c>
      <c r="I1354" s="13" t="inlineStr">
        <is>
          <t>3808.93.19</t>
        </is>
      </c>
      <c r="J1354" s="13" t="inlineStr">
        <is>
          <t>NÃO</t>
        </is>
      </c>
      <c r="K1354" s="13" t="inlineStr">
        <is>
          <t>Uso Industrial Exclusivo (PGRS / NBR 10004)</t>
        </is>
      </c>
      <c r="L1354" s="13" t="inlineStr">
        <is>
          <t>NÃO</t>
        </is>
      </c>
      <c r="M1354" s="13" t="inlineStr">
        <is>
          <t>0,00% (Lei nº 10.925/2004)</t>
        </is>
      </c>
      <c r="N1354" s="13" t="inlineStr">
        <is>
          <t>0,925% (LC nº 224/2025)</t>
        </is>
      </c>
      <c r="O1354" s="13" t="inlineStr">
        <is>
          <t>0,365% (LC nº 224/2025)</t>
        </is>
      </c>
      <c r="P1354" s="13" t="inlineStr">
        <is>
          <t>CST 06 (Uso Agrícola/Industrial)</t>
        </is>
      </c>
      <c r="Q1354" s="13" t="inlineStr">
        <is>
          <t>CST 73 (Revenda / Destinação)</t>
        </is>
      </c>
      <c r="R1354" s="13" t="inlineStr">
        <is>
          <t>Redução de 60% + Diferimento (Art. 138 LC 214/2025)</t>
        </is>
      </c>
    </row>
    <row r="1355" ht="22" customHeight="1">
      <c r="A1355" s="6" t="inlineStr">
        <is>
          <t>SKU-1351</t>
        </is>
      </c>
      <c r="B1355" s="5" t="n">
        <v>992</v>
      </c>
      <c r="C1355" s="7" t="inlineStr">
        <is>
          <t>TC08623</t>
        </is>
      </c>
      <c r="D1355" s="8" t="inlineStr">
        <is>
          <t>2,4-D TÉCNICO ALBAUGH 02 HF</t>
        </is>
      </c>
      <c r="E1355" s="7" t="inlineStr">
        <is>
          <t>Embalagem Comercial do Produto</t>
        </is>
      </c>
      <c r="F1355" s="7" t="inlineStr">
        <is>
          <t>TAMBOR / BIG BAG INDUSTRIAL 250 KG</t>
        </is>
      </c>
      <c r="G1355" s="7" t="inlineStr">
        <is>
          <t>KG</t>
        </is>
      </c>
      <c r="H1355" s="9" t="n">
        <v>250</v>
      </c>
      <c r="I1355" s="7" t="inlineStr">
        <is>
          <t>3808.93.19</t>
        </is>
      </c>
      <c r="J1355" s="7" t="inlineStr">
        <is>
          <t>NÃO</t>
        </is>
      </c>
      <c r="K1355" s="7" t="inlineStr">
        <is>
          <t>Uso Industrial Exclusivo (PGRS / NBR 10004)</t>
        </is>
      </c>
      <c r="L1355" s="7" t="inlineStr">
        <is>
          <t>NÃO</t>
        </is>
      </c>
      <c r="M1355" s="7" t="inlineStr">
        <is>
          <t>0,00% (Lei nº 10.925/2004)</t>
        </is>
      </c>
      <c r="N1355" s="7" t="inlineStr">
        <is>
          <t>0,925% (LC nº 224/2025)</t>
        </is>
      </c>
      <c r="O1355" s="7" t="inlineStr">
        <is>
          <t>0,365% (LC nº 224/2025)</t>
        </is>
      </c>
      <c r="P1355" s="7" t="inlineStr">
        <is>
          <t>CST 06 (Uso Agrícola/Industrial)</t>
        </is>
      </c>
      <c r="Q1355" s="7" t="inlineStr">
        <is>
          <t>CST 73 (Revenda / Destinação)</t>
        </is>
      </c>
      <c r="R1355" s="7" t="inlineStr">
        <is>
          <t>Redução de 60% + Diferimento (Art. 138 LC 214/2025)</t>
        </is>
      </c>
    </row>
    <row r="1356" ht="22" customHeight="1">
      <c r="A1356" s="12" t="inlineStr">
        <is>
          <t>SKU-1352</t>
        </is>
      </c>
      <c r="B1356" s="11" t="n">
        <v>993</v>
      </c>
      <c r="C1356" s="13" t="inlineStr">
        <is>
          <t>Nº 13914</t>
        </is>
      </c>
      <c r="D1356" s="14" t="inlineStr">
        <is>
          <t>2,4-D ÁCIDO TÉCNICO CCAB</t>
        </is>
      </c>
      <c r="E1356" s="13" t="inlineStr">
        <is>
          <t>Embalagem Comercial do Produto</t>
        </is>
      </c>
      <c r="F1356" s="13" t="inlineStr">
        <is>
          <t>TAMBOR / BIG BAG INDUSTRIAL 250 KG</t>
        </is>
      </c>
      <c r="G1356" s="13" t="inlineStr">
        <is>
          <t>KG</t>
        </is>
      </c>
      <c r="H1356" s="15" t="n">
        <v>250</v>
      </c>
      <c r="I1356" s="13" t="inlineStr">
        <is>
          <t>3808.93.19</t>
        </is>
      </c>
      <c r="J1356" s="13" t="inlineStr">
        <is>
          <t>NÃO</t>
        </is>
      </c>
      <c r="K1356" s="13" t="inlineStr">
        <is>
          <t>Uso Industrial Exclusivo (PGRS / NBR 10004)</t>
        </is>
      </c>
      <c r="L1356" s="13" t="inlineStr">
        <is>
          <t>NÃO</t>
        </is>
      </c>
      <c r="M1356" s="13" t="inlineStr">
        <is>
          <t>0,00% (Lei nº 10.925/2004)</t>
        </is>
      </c>
      <c r="N1356" s="13" t="inlineStr">
        <is>
          <t>0,925% (LC nº 224/2025)</t>
        </is>
      </c>
      <c r="O1356" s="13" t="inlineStr">
        <is>
          <t>0,365% (LC nº 224/2025)</t>
        </is>
      </c>
      <c r="P1356" s="13" t="inlineStr">
        <is>
          <t>CST 06 (Uso Agrícola/Industrial)</t>
        </is>
      </c>
      <c r="Q1356" s="13" t="inlineStr">
        <is>
          <t>CST 73 (Revenda / Destinação)</t>
        </is>
      </c>
      <c r="R1356" s="13" t="inlineStr">
        <is>
          <t>Redução de 60% + Diferimento (Art. 138 LC 214/2025)</t>
        </is>
      </c>
    </row>
    <row r="1357" ht="22" customHeight="1">
      <c r="A1357" s="6" t="inlineStr">
        <is>
          <t>SKU-1353</t>
        </is>
      </c>
      <c r="B1357" s="5" t="n">
        <v>994</v>
      </c>
      <c r="C1357" s="7" t="inlineStr">
        <is>
          <t>Nº 10216</t>
        </is>
      </c>
      <c r="D1357" s="8" t="inlineStr">
        <is>
          <t>GLIFOSATO TÉCNICO CCAB II</t>
        </is>
      </c>
      <c r="E1357" s="7" t="inlineStr">
        <is>
          <t>Embalagem Comercial do Produto</t>
        </is>
      </c>
      <c r="F1357" s="7" t="inlineStr">
        <is>
          <t>TAMBOR / BIG BAG INDUSTRIAL 250 KG</t>
        </is>
      </c>
      <c r="G1357" s="7" t="inlineStr">
        <is>
          <t>KG</t>
        </is>
      </c>
      <c r="H1357" s="9" t="n">
        <v>250</v>
      </c>
      <c r="I1357" s="7" t="inlineStr">
        <is>
          <t>3808.93.19</t>
        </is>
      </c>
      <c r="J1357" s="7" t="inlineStr">
        <is>
          <t>NÃO</t>
        </is>
      </c>
      <c r="K1357" s="7" t="inlineStr">
        <is>
          <t>Uso Industrial Exclusivo (PGRS / NBR 10004)</t>
        </is>
      </c>
      <c r="L1357" s="7" t="inlineStr">
        <is>
          <t>NÃO</t>
        </is>
      </c>
      <c r="M1357" s="7" t="inlineStr">
        <is>
          <t>0,00% (Lei nº 10.925/2004)</t>
        </is>
      </c>
      <c r="N1357" s="7" t="inlineStr">
        <is>
          <t>0,925% (LC nº 224/2025)</t>
        </is>
      </c>
      <c r="O1357" s="7" t="inlineStr">
        <is>
          <t>0,365% (LC nº 224/2025)</t>
        </is>
      </c>
      <c r="P1357" s="7" t="inlineStr">
        <is>
          <t>CST 06 (Uso Agrícola/Industrial)</t>
        </is>
      </c>
      <c r="Q1357" s="7" t="inlineStr">
        <is>
          <t>CST 73 (Revenda / Destinação)</t>
        </is>
      </c>
      <c r="R1357" s="7" t="inlineStr">
        <is>
          <t>Redução de 60% + Diferimento (Art. 138 LC 214/2025)</t>
        </is>
      </c>
    </row>
    <row r="1358" ht="22" customHeight="1">
      <c r="A1358" s="12" t="inlineStr">
        <is>
          <t>SKU-1354</t>
        </is>
      </c>
      <c r="B1358" s="11" t="n">
        <v>995</v>
      </c>
      <c r="C1358" s="13" t="inlineStr">
        <is>
          <t>Nº 3316</t>
        </is>
      </c>
      <c r="D1358" s="14" t="inlineStr">
        <is>
          <t>2,4-D TÉCNICO MCR</t>
        </is>
      </c>
      <c r="E1358" s="13" t="inlineStr">
        <is>
          <t>Embalagem Comercial do Produto</t>
        </is>
      </c>
      <c r="F1358" s="13" t="inlineStr">
        <is>
          <t>TAMBOR / BIG BAG INDUSTRIAL 250 KG</t>
        </is>
      </c>
      <c r="G1358" s="13" t="inlineStr">
        <is>
          <t>KG</t>
        </is>
      </c>
      <c r="H1358" s="15" t="n">
        <v>250</v>
      </c>
      <c r="I1358" s="13" t="inlineStr">
        <is>
          <t>3808.93.19</t>
        </is>
      </c>
      <c r="J1358" s="13" t="inlineStr">
        <is>
          <t>NÃO</t>
        </is>
      </c>
      <c r="K1358" s="13" t="inlineStr">
        <is>
          <t>Uso Industrial Exclusivo (PGRS / NBR 10004)</t>
        </is>
      </c>
      <c r="L1358" s="13" t="inlineStr">
        <is>
          <t>NÃO</t>
        </is>
      </c>
      <c r="M1358" s="13" t="inlineStr">
        <is>
          <t>0,00% (Lei nº 10.925/2004)</t>
        </is>
      </c>
      <c r="N1358" s="13" t="inlineStr">
        <is>
          <t>0,925% (LC nº 224/2025)</t>
        </is>
      </c>
      <c r="O1358" s="13" t="inlineStr">
        <is>
          <t>0,365% (LC nº 224/2025)</t>
        </is>
      </c>
      <c r="P1358" s="13" t="inlineStr">
        <is>
          <t>CST 06 (Uso Agrícola/Industrial)</t>
        </is>
      </c>
      <c r="Q1358" s="13" t="inlineStr">
        <is>
          <t>CST 73 (Revenda / Destinação)</t>
        </is>
      </c>
      <c r="R1358" s="13" t="inlineStr">
        <is>
          <t>Redução de 60% + Diferimento (Art. 138 LC 214/2025)</t>
        </is>
      </c>
    </row>
    <row r="1359" ht="22" customHeight="1">
      <c r="A1359" s="6" t="inlineStr">
        <is>
          <t>SKU-1355</t>
        </is>
      </c>
      <c r="B1359" s="5" t="n">
        <v>996</v>
      </c>
      <c r="C1359" s="7" t="inlineStr">
        <is>
          <t>Nº 1114</t>
        </is>
      </c>
      <c r="D1359" s="8" t="inlineStr">
        <is>
          <t>GLIFOSATO TÉCNICO COPALLIANCE</t>
        </is>
      </c>
      <c r="E1359" s="7" t="inlineStr">
        <is>
          <t>Embalagem Comercial do Produto</t>
        </is>
      </c>
      <c r="F1359" s="7" t="inlineStr">
        <is>
          <t>TAMBOR / BIG BAG INDUSTRIAL 250 KG</t>
        </is>
      </c>
      <c r="G1359" s="7" t="inlineStr">
        <is>
          <t>KG</t>
        </is>
      </c>
      <c r="H1359" s="9" t="n">
        <v>250</v>
      </c>
      <c r="I1359" s="7" t="inlineStr">
        <is>
          <t>3808.93.19</t>
        </is>
      </c>
      <c r="J1359" s="7" t="inlineStr">
        <is>
          <t>NÃO</t>
        </is>
      </c>
      <c r="K1359" s="7" t="inlineStr">
        <is>
          <t>Uso Industrial Exclusivo (PGRS / NBR 10004)</t>
        </is>
      </c>
      <c r="L1359" s="7" t="inlineStr">
        <is>
          <t>NÃO</t>
        </is>
      </c>
      <c r="M1359" s="7" t="inlineStr">
        <is>
          <t>0,00% (Lei nº 10.925/2004)</t>
        </is>
      </c>
      <c r="N1359" s="7" t="inlineStr">
        <is>
          <t>0,925% (LC nº 224/2025)</t>
        </is>
      </c>
      <c r="O1359" s="7" t="inlineStr">
        <is>
          <t>0,365% (LC nº 224/2025)</t>
        </is>
      </c>
      <c r="P1359" s="7" t="inlineStr">
        <is>
          <t>CST 06 (Uso Agrícola/Industrial)</t>
        </is>
      </c>
      <c r="Q1359" s="7" t="inlineStr">
        <is>
          <t>CST 73 (Revenda / Destinação)</t>
        </is>
      </c>
      <c r="R1359" s="7" t="inlineStr">
        <is>
          <t>Redução de 60% + Diferimento (Art. 138 LC 214/2025)</t>
        </is>
      </c>
    </row>
    <row r="1360" ht="22" customHeight="1">
      <c r="A1360" s="12" t="inlineStr">
        <is>
          <t>SKU-1356</t>
        </is>
      </c>
      <c r="B1360" s="11" t="n">
        <v>997</v>
      </c>
      <c r="C1360" s="13" t="inlineStr">
        <is>
          <t>Nº 10901</t>
        </is>
      </c>
      <c r="D1360" s="14" t="inlineStr">
        <is>
          <t>ROUNDUP AMÔNIO PRÉ MIX</t>
        </is>
      </c>
      <c r="E1360" s="13" t="inlineStr">
        <is>
          <t>Embalagem Comercial do Produto</t>
        </is>
      </c>
      <c r="F1360" s="13" t="inlineStr">
        <is>
          <t>TAMBOR / BIG BAG INDUSTRIAL 250 KG</t>
        </is>
      </c>
      <c r="G1360" s="13" t="inlineStr">
        <is>
          <t>KG</t>
        </is>
      </c>
      <c r="H1360" s="15" t="n">
        <v>250</v>
      </c>
      <c r="I1360" s="13" t="inlineStr">
        <is>
          <t>3808.93.19</t>
        </is>
      </c>
      <c r="J1360" s="13" t="inlineStr">
        <is>
          <t>NÃO</t>
        </is>
      </c>
      <c r="K1360" s="13" t="inlineStr">
        <is>
          <t>Uso Industrial Exclusivo (PGRS / NBR 10004)</t>
        </is>
      </c>
      <c r="L1360" s="13" t="inlineStr">
        <is>
          <t>NÃO</t>
        </is>
      </c>
      <c r="M1360" s="13" t="inlineStr">
        <is>
          <t>0,00% (Lei nº 10.925/2004)</t>
        </is>
      </c>
      <c r="N1360" s="13" t="inlineStr">
        <is>
          <t>0,925% (LC nº 224/2025)</t>
        </is>
      </c>
      <c r="O1360" s="13" t="inlineStr">
        <is>
          <t>0,365% (LC nº 224/2025)</t>
        </is>
      </c>
      <c r="P1360" s="13" t="inlineStr">
        <is>
          <t>CST 06 (Uso Agrícola/Industrial)</t>
        </is>
      </c>
      <c r="Q1360" s="13" t="inlineStr">
        <is>
          <t>CST 73 (Revenda / Destinação)</t>
        </is>
      </c>
      <c r="R1360" s="13" t="inlineStr">
        <is>
          <t>Redução de 60% + Diferimento (Art. 138 LC 214/2025)</t>
        </is>
      </c>
    </row>
    <row r="1361" ht="22" customHeight="1">
      <c r="A1361" s="6" t="inlineStr">
        <is>
          <t>SKU-1357</t>
        </is>
      </c>
      <c r="B1361" s="5" t="n">
        <v>998</v>
      </c>
      <c r="C1361" s="7" t="inlineStr">
        <is>
          <t>TC08525</t>
        </is>
      </c>
      <c r="D1361" s="8" t="inlineStr">
        <is>
          <t>ROUNDUP MEA PREMIX</t>
        </is>
      </c>
      <c r="E1361" s="7" t="inlineStr">
        <is>
          <t>Embalagem Comercial do Produto</t>
        </is>
      </c>
      <c r="F1361" s="7" t="inlineStr">
        <is>
          <t>TAMBOR / BIG BAG INDUSTRIAL 250 KG</t>
        </is>
      </c>
      <c r="G1361" s="7" t="inlineStr">
        <is>
          <t>KG</t>
        </is>
      </c>
      <c r="H1361" s="9" t="n">
        <v>250</v>
      </c>
      <c r="I1361" s="7" t="inlineStr">
        <is>
          <t>3808.93.19</t>
        </is>
      </c>
      <c r="J1361" s="7" t="inlineStr">
        <is>
          <t>NÃO</t>
        </is>
      </c>
      <c r="K1361" s="7" t="inlineStr">
        <is>
          <t>Uso Industrial Exclusivo (PGRS / NBR 10004)</t>
        </is>
      </c>
      <c r="L1361" s="7" t="inlineStr">
        <is>
          <t>NÃO</t>
        </is>
      </c>
      <c r="M1361" s="7" t="inlineStr">
        <is>
          <t>0,00% (Lei nº 10.925/2004)</t>
        </is>
      </c>
      <c r="N1361" s="7" t="inlineStr">
        <is>
          <t>0,925% (LC nº 224/2025)</t>
        </is>
      </c>
      <c r="O1361" s="7" t="inlineStr">
        <is>
          <t>0,365% (LC nº 224/2025)</t>
        </is>
      </c>
      <c r="P1361" s="7" t="inlineStr">
        <is>
          <t>CST 06 (Uso Agrícola/Industrial)</t>
        </is>
      </c>
      <c r="Q1361" s="7" t="inlineStr">
        <is>
          <t>CST 73 (Revenda / Destinação)</t>
        </is>
      </c>
      <c r="R1361" s="7" t="inlineStr">
        <is>
          <t>Redução de 60% + Diferimento (Art. 138 LC 214/2025)</t>
        </is>
      </c>
    </row>
    <row r="1362" ht="22" customHeight="1">
      <c r="A1362" s="12" t="inlineStr">
        <is>
          <t>SKU-1358</t>
        </is>
      </c>
      <c r="B1362" s="11" t="n">
        <v>999</v>
      </c>
      <c r="C1362" s="13" t="inlineStr">
        <is>
          <t>TC00623</t>
        </is>
      </c>
      <c r="D1362" s="14" t="inlineStr">
        <is>
          <t>2,4-D TÉCNICO NORTOX V</t>
        </is>
      </c>
      <c r="E1362" s="13" t="inlineStr">
        <is>
          <t>Embalagem Comercial do Produto</t>
        </is>
      </c>
      <c r="F1362" s="13" t="inlineStr">
        <is>
          <t>TAMBOR / BIG BAG INDUSTRIAL 250 KG</t>
        </is>
      </c>
      <c r="G1362" s="13" t="inlineStr">
        <is>
          <t>KG</t>
        </is>
      </c>
      <c r="H1362" s="15" t="n">
        <v>250</v>
      </c>
      <c r="I1362" s="13" t="inlineStr">
        <is>
          <t>3808.93.19</t>
        </is>
      </c>
      <c r="J1362" s="13" t="inlineStr">
        <is>
          <t>NÃO</t>
        </is>
      </c>
      <c r="K1362" s="13" t="inlineStr">
        <is>
          <t>Uso Industrial Exclusivo (PGRS / NBR 10004)</t>
        </is>
      </c>
      <c r="L1362" s="13" t="inlineStr">
        <is>
          <t>NÃO</t>
        </is>
      </c>
      <c r="M1362" s="13" t="inlineStr">
        <is>
          <t>0,00% (Lei nº 10.925/2004)</t>
        </is>
      </c>
      <c r="N1362" s="13" t="inlineStr">
        <is>
          <t>0,925% (LC nº 224/2025)</t>
        </is>
      </c>
      <c r="O1362" s="13" t="inlineStr">
        <is>
          <t>0,365% (LC nº 224/2025)</t>
        </is>
      </c>
      <c r="P1362" s="13" t="inlineStr">
        <is>
          <t>CST 06 (Uso Agrícola/Industrial)</t>
        </is>
      </c>
      <c r="Q1362" s="13" t="inlineStr">
        <is>
          <t>CST 73 (Revenda / Destinação)</t>
        </is>
      </c>
      <c r="R1362" s="13" t="inlineStr">
        <is>
          <t>Redução de 60% + Diferimento (Art. 138 LC 214/2025)</t>
        </is>
      </c>
    </row>
    <row r="1363" ht="22" customHeight="1">
      <c r="A1363" s="6" t="inlineStr">
        <is>
          <t>SKU-1359</t>
        </is>
      </c>
      <c r="B1363" s="5" t="n">
        <v>1000</v>
      </c>
      <c r="C1363" s="7" t="inlineStr">
        <is>
          <t>Nº 1414</t>
        </is>
      </c>
      <c r="D1363" s="8" t="inlineStr">
        <is>
          <t>2,4-D TÉCNICO RED SURCOS</t>
        </is>
      </c>
      <c r="E1363" s="7" t="inlineStr">
        <is>
          <t>Embalagem Comercial do Produto</t>
        </is>
      </c>
      <c r="F1363" s="7" t="inlineStr">
        <is>
          <t>TAMBOR / BIG BAG INDUSTRIAL 250 KG</t>
        </is>
      </c>
      <c r="G1363" s="7" t="inlineStr">
        <is>
          <t>KG</t>
        </is>
      </c>
      <c r="H1363" s="9" t="n">
        <v>250</v>
      </c>
      <c r="I1363" s="7" t="inlineStr">
        <is>
          <t>3808.93.19</t>
        </is>
      </c>
      <c r="J1363" s="7" t="inlineStr">
        <is>
          <t>NÃO</t>
        </is>
      </c>
      <c r="K1363" s="7" t="inlineStr">
        <is>
          <t>Uso Industrial Exclusivo (PGRS / NBR 10004)</t>
        </is>
      </c>
      <c r="L1363" s="7" t="inlineStr">
        <is>
          <t>NÃO</t>
        </is>
      </c>
      <c r="M1363" s="7" t="inlineStr">
        <is>
          <t>0,00% (Lei nº 10.925/2004)</t>
        </is>
      </c>
      <c r="N1363" s="7" t="inlineStr">
        <is>
          <t>0,925% (LC nº 224/2025)</t>
        </is>
      </c>
      <c r="O1363" s="7" t="inlineStr">
        <is>
          <t>0,365% (LC nº 224/2025)</t>
        </is>
      </c>
      <c r="P1363" s="7" t="inlineStr">
        <is>
          <t>CST 06 (Uso Agrícola/Industrial)</t>
        </is>
      </c>
      <c r="Q1363" s="7" t="inlineStr">
        <is>
          <t>CST 73 (Revenda / Destinação)</t>
        </is>
      </c>
      <c r="R1363" s="7" t="inlineStr">
        <is>
          <t>Redução de 60% + Diferimento (Art. 138 LC 214/2025)</t>
        </is>
      </c>
    </row>
    <row r="1364" ht="22" customHeight="1">
      <c r="A1364" s="12" t="inlineStr">
        <is>
          <t>SKU-1360</t>
        </is>
      </c>
      <c r="B1364" s="11" t="n">
        <v>1001</v>
      </c>
      <c r="C1364" s="13" t="inlineStr">
        <is>
          <t>Nº 12415</t>
        </is>
      </c>
      <c r="D1364" s="14" t="inlineStr">
        <is>
          <t>GLIFOSATO TÉCNICO RED SURCOS II</t>
        </is>
      </c>
      <c r="E1364" s="13" t="inlineStr">
        <is>
          <t>Embalagem Comercial do Produto</t>
        </is>
      </c>
      <c r="F1364" s="13" t="inlineStr">
        <is>
          <t>TAMBOR / BIG BAG INDUSTRIAL 250 KG</t>
        </is>
      </c>
      <c r="G1364" s="13" t="inlineStr">
        <is>
          <t>KG</t>
        </is>
      </c>
      <c r="H1364" s="15" t="n">
        <v>250</v>
      </c>
      <c r="I1364" s="13" t="inlineStr">
        <is>
          <t>3808.93.19</t>
        </is>
      </c>
      <c r="J1364" s="13" t="inlineStr">
        <is>
          <t>NÃO</t>
        </is>
      </c>
      <c r="K1364" s="13" t="inlineStr">
        <is>
          <t>Uso Industrial Exclusivo (PGRS / NBR 10004)</t>
        </is>
      </c>
      <c r="L1364" s="13" t="inlineStr">
        <is>
          <t>NÃO</t>
        </is>
      </c>
      <c r="M1364" s="13" t="inlineStr">
        <is>
          <t>0,00% (Lei nº 10.925/2004)</t>
        </is>
      </c>
      <c r="N1364" s="13" t="inlineStr">
        <is>
          <t>0,925% (LC nº 224/2025)</t>
        </is>
      </c>
      <c r="O1364" s="13" t="inlineStr">
        <is>
          <t>0,365% (LC nº 224/2025)</t>
        </is>
      </c>
      <c r="P1364" s="13" t="inlineStr">
        <is>
          <t>CST 06 (Uso Agrícola/Industrial)</t>
        </is>
      </c>
      <c r="Q1364" s="13" t="inlineStr">
        <is>
          <t>CST 73 (Revenda / Destinação)</t>
        </is>
      </c>
      <c r="R1364" s="13" t="inlineStr">
        <is>
          <t>Redução de 60% + Diferimento (Art. 138 LC 214/2025)</t>
        </is>
      </c>
    </row>
    <row r="1365" ht="22" customHeight="1">
      <c r="A1365" s="6" t="inlineStr">
        <is>
          <t>SKU-1361</t>
        </is>
      </c>
      <c r="B1365" s="5" t="n">
        <v>1002</v>
      </c>
      <c r="C1365" s="7" t="inlineStr">
        <is>
          <t>Nº 4901</t>
        </is>
      </c>
      <c r="D1365" s="8" t="inlineStr">
        <is>
          <t>2,4-D ÁCIDO TÉCNICO SUMITOMO</t>
        </is>
      </c>
      <c r="E1365" s="7" t="inlineStr">
        <is>
          <t>Embalagem Comercial do Produto</t>
        </is>
      </c>
      <c r="F1365" s="7" t="inlineStr">
        <is>
          <t>TAMBOR / BIG BAG INDUSTRIAL 250 KG</t>
        </is>
      </c>
      <c r="G1365" s="7" t="inlineStr">
        <is>
          <t>KG</t>
        </is>
      </c>
      <c r="H1365" s="9" t="n">
        <v>250</v>
      </c>
      <c r="I1365" s="7" t="inlineStr">
        <is>
          <t>3808.93.19</t>
        </is>
      </c>
      <c r="J1365" s="7" t="inlineStr">
        <is>
          <t>NÃO</t>
        </is>
      </c>
      <c r="K1365" s="7" t="inlineStr">
        <is>
          <t>Uso Industrial Exclusivo (PGRS / NBR 10004)</t>
        </is>
      </c>
      <c r="L1365" s="7" t="inlineStr">
        <is>
          <t>NÃO</t>
        </is>
      </c>
      <c r="M1365" s="7" t="inlineStr">
        <is>
          <t>0,00% (Lei nº 10.925/2004)</t>
        </is>
      </c>
      <c r="N1365" s="7" t="inlineStr">
        <is>
          <t>0,925% (LC nº 224/2025)</t>
        </is>
      </c>
      <c r="O1365" s="7" t="inlineStr">
        <is>
          <t>0,365% (LC nº 224/2025)</t>
        </is>
      </c>
      <c r="P1365" s="7" t="inlineStr">
        <is>
          <t>CST 06 (Uso Agrícola/Industrial)</t>
        </is>
      </c>
      <c r="Q1365" s="7" t="inlineStr">
        <is>
          <t>CST 73 (Revenda / Destinação)</t>
        </is>
      </c>
      <c r="R1365" s="7" t="inlineStr">
        <is>
          <t>Redução de 60% + Diferimento (Art. 138 LC 214/2025)</t>
        </is>
      </c>
    </row>
    <row r="1366" ht="22" customHeight="1">
      <c r="A1366" s="12" t="inlineStr">
        <is>
          <t>SKU-1362</t>
        </is>
      </c>
      <c r="B1366" s="11" t="n">
        <v>1003</v>
      </c>
      <c r="C1366" s="13" t="inlineStr">
        <is>
          <t>TC07621</t>
        </is>
      </c>
      <c r="D1366" s="14" t="inlineStr">
        <is>
          <t>2,4-D TÉCNICO DT</t>
        </is>
      </c>
      <c r="E1366" s="13" t="inlineStr">
        <is>
          <t>Embalagem Comercial do Produto</t>
        </is>
      </c>
      <c r="F1366" s="13" t="inlineStr">
        <is>
          <t>TAMBOR / BIG BAG INDUSTRIAL 250 KG</t>
        </is>
      </c>
      <c r="G1366" s="13" t="inlineStr">
        <is>
          <t>KG</t>
        </is>
      </c>
      <c r="H1366" s="15" t="n">
        <v>250</v>
      </c>
      <c r="I1366" s="13" t="inlineStr">
        <is>
          <t>3808.93.19</t>
        </is>
      </c>
      <c r="J1366" s="13" t="inlineStr">
        <is>
          <t>NÃO</t>
        </is>
      </c>
      <c r="K1366" s="13" t="inlineStr">
        <is>
          <t>Uso Industrial Exclusivo (PGRS / NBR 10004)</t>
        </is>
      </c>
      <c r="L1366" s="13" t="inlineStr">
        <is>
          <t>NÃO</t>
        </is>
      </c>
      <c r="M1366" s="13" t="inlineStr">
        <is>
          <t>0,00% (Lei nº 10.925/2004)</t>
        </is>
      </c>
      <c r="N1366" s="13" t="inlineStr">
        <is>
          <t>0,925% (LC nº 224/2025)</t>
        </is>
      </c>
      <c r="O1366" s="13" t="inlineStr">
        <is>
          <t>0,365% (LC nº 224/2025)</t>
        </is>
      </c>
      <c r="P1366" s="13" t="inlineStr">
        <is>
          <t>CST 06 (Uso Agrícola/Industrial)</t>
        </is>
      </c>
      <c r="Q1366" s="13" t="inlineStr">
        <is>
          <t>CST 73 (Revenda / Destinação)</t>
        </is>
      </c>
      <c r="R1366" s="13" t="inlineStr">
        <is>
          <t>Redução de 60% + Diferimento (Art. 138 LC 214/2025)</t>
        </is>
      </c>
    </row>
    <row r="1367" ht="22" customHeight="1">
      <c r="A1367" s="6" t="inlineStr">
        <is>
          <t>SKU-1363</t>
        </is>
      </c>
      <c r="B1367" s="5" t="n">
        <v>1004</v>
      </c>
      <c r="C1367" s="7" t="inlineStr">
        <is>
          <t>Nº 36721</t>
        </is>
      </c>
      <c r="D1367" s="8" t="inlineStr">
        <is>
          <t>MAIZEFORCE</t>
        </is>
      </c>
      <c r="E1367" s="7" t="inlineStr">
        <is>
          <t>Embalagem Comercial do Produto</t>
        </is>
      </c>
      <c r="F1367" s="7" t="inlineStr">
        <is>
          <t>GALÃO / BOMBONA 5L A 20L (PADRÃO COMERCIAL)</t>
        </is>
      </c>
      <c r="G1367" s="7" t="inlineStr">
        <is>
          <t>LT</t>
        </is>
      </c>
      <c r="H1367" s="9" t="n">
        <v>5</v>
      </c>
      <c r="I1367" s="7" t="inlineStr">
        <is>
          <t>3808.93.29</t>
        </is>
      </c>
      <c r="J1367" s="7" t="inlineStr">
        <is>
          <t>NÃO</t>
        </is>
      </c>
      <c r="K1367" s="7" t="inlineStr">
        <is>
          <t>Embalagem Rígida — LAVÁVEL (Obrigatória Tríplice Lavagem ou Pressão)</t>
        </is>
      </c>
      <c r="L1367" s="7" t="inlineStr">
        <is>
          <t>NÃO</t>
        </is>
      </c>
      <c r="M1367" s="7" t="inlineStr">
        <is>
          <t>0,00% (Lei nº 10.925/2004)</t>
        </is>
      </c>
      <c r="N1367" s="7" t="inlineStr">
        <is>
          <t>0,925% (LC nº 224/2025)</t>
        </is>
      </c>
      <c r="O1367" s="7" t="inlineStr">
        <is>
          <t>0,365% (LC nº 224/2025)</t>
        </is>
      </c>
      <c r="P1367" s="7" t="inlineStr">
        <is>
          <t>CST 06</t>
        </is>
      </c>
      <c r="Q1367" s="7" t="inlineStr">
        <is>
          <t>CST 73</t>
        </is>
      </c>
      <c r="R1367" s="7" t="inlineStr">
        <is>
          <t>Redução de 60% + Diferimento (Art. 138 e Anexo IX LC 214/2025)</t>
        </is>
      </c>
    </row>
    <row r="1368" ht="22" customHeight="1">
      <c r="A1368" s="12" t="inlineStr">
        <is>
          <t>SKU-1364</t>
        </is>
      </c>
      <c r="B1368" s="11" t="n">
        <v>1005</v>
      </c>
      <c r="C1368" s="13" t="inlineStr">
        <is>
          <t>Nº 17416</t>
        </is>
      </c>
      <c r="D1368" s="14" t="inlineStr">
        <is>
          <t>MESOTRIONE TÉCNICO ROTAM</t>
        </is>
      </c>
      <c r="E1368" s="13" t="inlineStr">
        <is>
          <t>Embalagem Comercial do Produto</t>
        </is>
      </c>
      <c r="F1368" s="13" t="inlineStr">
        <is>
          <t>TAMBOR / BIG BAG INDUSTRIAL 250 KG</t>
        </is>
      </c>
      <c r="G1368" s="13" t="inlineStr">
        <is>
          <t>KG</t>
        </is>
      </c>
      <c r="H1368" s="15" t="n">
        <v>250</v>
      </c>
      <c r="I1368" s="13" t="inlineStr">
        <is>
          <t>3808.93.19</t>
        </is>
      </c>
      <c r="J1368" s="13" t="inlineStr">
        <is>
          <t>NÃO</t>
        </is>
      </c>
      <c r="K1368" s="13" t="inlineStr">
        <is>
          <t>Uso Industrial Exclusivo (PGRS / NBR 10004)</t>
        </is>
      </c>
      <c r="L1368" s="13" t="inlineStr">
        <is>
          <t>NÃO</t>
        </is>
      </c>
      <c r="M1368" s="13" t="inlineStr">
        <is>
          <t>0,00% (Lei nº 10.925/2004)</t>
        </is>
      </c>
      <c r="N1368" s="13" t="inlineStr">
        <is>
          <t>0,925% (LC nº 224/2025)</t>
        </is>
      </c>
      <c r="O1368" s="13" t="inlineStr">
        <is>
          <t>0,365% (LC nº 224/2025)</t>
        </is>
      </c>
      <c r="P1368" s="13" t="inlineStr">
        <is>
          <t>CST 06 (Uso Agrícola/Industrial)</t>
        </is>
      </c>
      <c r="Q1368" s="13" t="inlineStr">
        <is>
          <t>CST 73 (Revenda / Destinação)</t>
        </is>
      </c>
      <c r="R1368" s="13" t="inlineStr">
        <is>
          <t>Redução de 60% + Diferimento (Art. 138 LC 214/2025)</t>
        </is>
      </c>
    </row>
    <row r="1369" ht="22" customHeight="1">
      <c r="A1369" s="6" t="inlineStr">
        <is>
          <t>SKU-1365</t>
        </is>
      </c>
      <c r="B1369" s="5" t="n">
        <v>1006</v>
      </c>
      <c r="C1369" s="7" t="inlineStr">
        <is>
          <t>TC07920</t>
        </is>
      </c>
      <c r="D1369" s="8" t="inlineStr">
        <is>
          <t>MESOTRIONE TÉCNICO ALBAUGH</t>
        </is>
      </c>
      <c r="E1369" s="7" t="inlineStr">
        <is>
          <t>Embalagem Comercial do Produto</t>
        </is>
      </c>
      <c r="F1369" s="7" t="inlineStr">
        <is>
          <t>TAMBOR / BIG BAG INDUSTRIAL 250 KG</t>
        </is>
      </c>
      <c r="G1369" s="7" t="inlineStr">
        <is>
          <t>KG</t>
        </is>
      </c>
      <c r="H1369" s="9" t="n">
        <v>250</v>
      </c>
      <c r="I1369" s="7" t="inlineStr">
        <is>
          <t>3808.93.19</t>
        </is>
      </c>
      <c r="J1369" s="7" t="inlineStr">
        <is>
          <t>NÃO</t>
        </is>
      </c>
      <c r="K1369" s="7" t="inlineStr">
        <is>
          <t>Uso Industrial Exclusivo (PGRS / NBR 10004)</t>
        </is>
      </c>
      <c r="L1369" s="7" t="inlineStr">
        <is>
          <t>NÃO</t>
        </is>
      </c>
      <c r="M1369" s="7" t="inlineStr">
        <is>
          <t>0,00% (Lei nº 10.925/2004)</t>
        </is>
      </c>
      <c r="N1369" s="7" t="inlineStr">
        <is>
          <t>0,925% (LC nº 224/2025)</t>
        </is>
      </c>
      <c r="O1369" s="7" t="inlineStr">
        <is>
          <t>0,365% (LC nº 224/2025)</t>
        </is>
      </c>
      <c r="P1369" s="7" t="inlineStr">
        <is>
          <t>CST 06 (Uso Agrícola/Industrial)</t>
        </is>
      </c>
      <c r="Q1369" s="7" t="inlineStr">
        <is>
          <t>CST 73 (Revenda / Destinação)</t>
        </is>
      </c>
      <c r="R1369" s="7" t="inlineStr">
        <is>
          <t>Redução de 60% + Diferimento (Art. 138 LC 214/2025)</t>
        </is>
      </c>
    </row>
    <row r="1370" ht="22" customHeight="1">
      <c r="A1370" s="12" t="inlineStr">
        <is>
          <t>SKU-1366</t>
        </is>
      </c>
      <c r="B1370" s="11" t="n">
        <v>1007</v>
      </c>
      <c r="C1370" s="13" t="inlineStr">
        <is>
          <t>TC26122</t>
        </is>
      </c>
      <c r="D1370" s="14" t="inlineStr">
        <is>
          <t>MESOTRIONE TÉCNICO ALBAUGH AZ</t>
        </is>
      </c>
      <c r="E1370" s="13" t="inlineStr">
        <is>
          <t>Embalagem Comercial do Produto</t>
        </is>
      </c>
      <c r="F1370" s="13" t="inlineStr">
        <is>
          <t>TAMBOR / BIG BAG INDUSTRIAL 250 KG</t>
        </is>
      </c>
      <c r="G1370" s="13" t="inlineStr">
        <is>
          <t>KG</t>
        </is>
      </c>
      <c r="H1370" s="15" t="n">
        <v>250</v>
      </c>
      <c r="I1370" s="13" t="inlineStr">
        <is>
          <t>3808.93.19</t>
        </is>
      </c>
      <c r="J1370" s="13" t="inlineStr">
        <is>
          <t>NÃO</t>
        </is>
      </c>
      <c r="K1370" s="13" t="inlineStr">
        <is>
          <t>Uso Industrial Exclusivo (PGRS / NBR 10004)</t>
        </is>
      </c>
      <c r="L1370" s="13" t="inlineStr">
        <is>
          <t>NÃO</t>
        </is>
      </c>
      <c r="M1370" s="13" t="inlineStr">
        <is>
          <t>0,00% (Lei nº 10.925/2004)</t>
        </is>
      </c>
      <c r="N1370" s="13" t="inlineStr">
        <is>
          <t>0,925% (LC nº 224/2025)</t>
        </is>
      </c>
      <c r="O1370" s="13" t="inlineStr">
        <is>
          <t>0,365% (LC nº 224/2025)</t>
        </is>
      </c>
      <c r="P1370" s="13" t="inlineStr">
        <is>
          <t>CST 06 (Uso Agrícola/Industrial)</t>
        </is>
      </c>
      <c r="Q1370" s="13" t="inlineStr">
        <is>
          <t>CST 73 (Revenda / Destinação)</t>
        </is>
      </c>
      <c r="R1370" s="13" t="inlineStr">
        <is>
          <t>Redução de 60% + Diferimento (Art. 138 LC 214/2025)</t>
        </is>
      </c>
    </row>
    <row r="1371" ht="22" customHeight="1">
      <c r="A1371" s="6" t="inlineStr">
        <is>
          <t>SKU-1367</t>
        </is>
      </c>
      <c r="B1371" s="5" t="n">
        <v>1008</v>
      </c>
      <c r="C1371" s="7" t="inlineStr">
        <is>
          <t>TC00921</t>
        </is>
      </c>
      <c r="D1371" s="8" t="inlineStr">
        <is>
          <t>MESOTRIONE TÉCNICO ALBAUGH BN</t>
        </is>
      </c>
      <c r="E1371" s="7" t="inlineStr">
        <is>
          <t>Embalagem Comercial do Produto</t>
        </is>
      </c>
      <c r="F1371" s="7" t="inlineStr">
        <is>
          <t>TAMBOR / BIG BAG INDUSTRIAL 250 KG</t>
        </is>
      </c>
      <c r="G1371" s="7" t="inlineStr">
        <is>
          <t>KG</t>
        </is>
      </c>
      <c r="H1371" s="9" t="n">
        <v>250</v>
      </c>
      <c r="I1371" s="7" t="inlineStr">
        <is>
          <t>3808.93.19</t>
        </is>
      </c>
      <c r="J1371" s="7" t="inlineStr">
        <is>
          <t>NÃO</t>
        </is>
      </c>
      <c r="K1371" s="7" t="inlineStr">
        <is>
          <t>Uso Industrial Exclusivo (PGRS / NBR 10004)</t>
        </is>
      </c>
      <c r="L1371" s="7" t="inlineStr">
        <is>
          <t>NÃO</t>
        </is>
      </c>
      <c r="M1371" s="7" t="inlineStr">
        <is>
          <t>0,00% (Lei nº 10.925/2004)</t>
        </is>
      </c>
      <c r="N1371" s="7" t="inlineStr">
        <is>
          <t>0,925% (LC nº 224/2025)</t>
        </is>
      </c>
      <c r="O1371" s="7" t="inlineStr">
        <is>
          <t>0,365% (LC nº 224/2025)</t>
        </is>
      </c>
      <c r="P1371" s="7" t="inlineStr">
        <is>
          <t>CST 06 (Uso Agrícola/Industrial)</t>
        </is>
      </c>
      <c r="Q1371" s="7" t="inlineStr">
        <is>
          <t>CST 73 (Revenda / Destinação)</t>
        </is>
      </c>
      <c r="R1371" s="7" t="inlineStr">
        <is>
          <t>Redução de 60% + Diferimento (Art. 138 LC 214/2025)</t>
        </is>
      </c>
    </row>
    <row r="1372" ht="22" customHeight="1">
      <c r="A1372" s="12" t="inlineStr">
        <is>
          <t>SKU-1368</t>
        </is>
      </c>
      <c r="B1372" s="11" t="n">
        <v>1009</v>
      </c>
      <c r="C1372" s="13" t="inlineStr">
        <is>
          <t>Nº 44024</t>
        </is>
      </c>
      <c r="D1372" s="14" t="inlineStr">
        <is>
          <t>BIOFOLL DUO</t>
        </is>
      </c>
      <c r="E1372" s="13" t="inlineStr">
        <is>
          <t>Embalagem Comercial do Produto</t>
        </is>
      </c>
      <c r="F1372" s="13" t="inlineStr">
        <is>
          <t>GALÃO / BOMBONA 5L A 20L (PADRÃO COMERCIAL)</t>
        </is>
      </c>
      <c r="G1372" s="13" t="inlineStr">
        <is>
          <t>L</t>
        </is>
      </c>
      <c r="H1372" s="15" t="n">
        <v>5</v>
      </c>
      <c r="I1372" s="13" t="inlineStr">
        <is>
          <t>3808.91.99</t>
        </is>
      </c>
      <c r="J1372" s="13" t="inlineStr">
        <is>
          <t>NÃO</t>
        </is>
      </c>
      <c r="K1372" s="13" t="inlineStr">
        <is>
          <t>Embalagem Rígida — LAVÁVEL (Obrigatória Tríplice Lavagem ou Pressão)</t>
        </is>
      </c>
      <c r="L1372" s="13" t="inlineStr">
        <is>
          <t>NÃO</t>
        </is>
      </c>
      <c r="M1372" s="13" t="inlineStr">
        <is>
          <t>0,00% (Lei nº 10.925/2004)</t>
        </is>
      </c>
      <c r="N1372" s="13" t="inlineStr">
        <is>
          <t>0,925% (LC nº 224/2025)</t>
        </is>
      </c>
      <c r="O1372" s="13" t="inlineStr">
        <is>
          <t>0,365% (LC nº 224/2025)</t>
        </is>
      </c>
      <c r="P1372" s="13" t="inlineStr">
        <is>
          <t>CST 06</t>
        </is>
      </c>
      <c r="Q1372" s="13" t="inlineStr">
        <is>
          <t>CST 73</t>
        </is>
      </c>
      <c r="R1372" s="13" t="inlineStr">
        <is>
          <t>Redução de 60% + Diferimento (Art. 138 e Anexo IX LC 214/2025)</t>
        </is>
      </c>
    </row>
    <row r="1373" ht="22" customHeight="1">
      <c r="A1373" s="6" t="inlineStr">
        <is>
          <t>SKU-1369</t>
        </is>
      </c>
      <c r="B1373" s="5" t="n">
        <v>1010</v>
      </c>
      <c r="C1373" s="7" t="inlineStr">
        <is>
          <t>Nº 44024</t>
        </is>
      </c>
      <c r="D1373" s="8" t="inlineStr">
        <is>
          <t>CROPBIO BIOKILLER</t>
        </is>
      </c>
      <c r="E1373" s="7" t="inlineStr">
        <is>
          <t>Embalagem Comercial do Produto</t>
        </is>
      </c>
      <c r="F1373" s="7" t="inlineStr">
        <is>
          <t>SACARIA / EMBALAGEM FLEXÍVEL 5KG A 25KG (PADRÃO COMERCIAL)</t>
        </is>
      </c>
      <c r="G1373" s="7" t="inlineStr">
        <is>
          <t>KG</t>
        </is>
      </c>
      <c r="H1373" s="9" t="n">
        <v>5</v>
      </c>
      <c r="I1373" s="7" t="inlineStr">
        <is>
          <t>3808.91.99</t>
        </is>
      </c>
      <c r="J1373" s="7" t="inlineStr">
        <is>
          <t>NÃO</t>
        </is>
      </c>
      <c r="K1373" s="7" t="inlineStr">
        <is>
          <t>Embalagem Flexível — NÃO LAVÁVEL (Perfurar e usar saco ABNT)</t>
        </is>
      </c>
      <c r="L1373" s="7" t="inlineStr">
        <is>
          <t>SIM (Saco Transparente ABNT)</t>
        </is>
      </c>
      <c r="M1373" s="7" t="inlineStr">
        <is>
          <t>0,00% (Lei nº 10.925/2004)</t>
        </is>
      </c>
      <c r="N1373" s="7" t="inlineStr">
        <is>
          <t>0,925% (LC nº 224/2025)</t>
        </is>
      </c>
      <c r="O1373" s="7" t="inlineStr">
        <is>
          <t>0,365% (LC nº 224/2025)</t>
        </is>
      </c>
      <c r="P1373" s="7" t="inlineStr">
        <is>
          <t>CST 06</t>
        </is>
      </c>
      <c r="Q1373" s="7" t="inlineStr">
        <is>
          <t>CST 73</t>
        </is>
      </c>
      <c r="R1373" s="7" t="inlineStr">
        <is>
          <t>Redução de 60% + Diferimento (Art. 138 e Anexo IX LC 214/2025)</t>
        </is>
      </c>
    </row>
    <row r="1374" ht="22" customHeight="1">
      <c r="A1374" s="12" t="inlineStr">
        <is>
          <t>SKU-1370</t>
        </is>
      </c>
      <c r="B1374" s="11" t="n">
        <v>1011</v>
      </c>
      <c r="C1374" s="13" t="inlineStr">
        <is>
          <t>Nº 44024</t>
        </is>
      </c>
      <c r="D1374" s="14" t="inlineStr">
        <is>
          <t>BIOTOP DUO</t>
        </is>
      </c>
      <c r="E1374" s="13" t="inlineStr">
        <is>
          <t>Embalagem Comercial do Produto</t>
        </is>
      </c>
      <c r="F1374" s="13" t="inlineStr">
        <is>
          <t>SACARIA / EMBALAGEM FLEXÍVEL 5KG A 25KG (PADRÃO COMERCIAL)</t>
        </is>
      </c>
      <c r="G1374" s="13" t="inlineStr">
        <is>
          <t>KG</t>
        </is>
      </c>
      <c r="H1374" s="15" t="n">
        <v>5</v>
      </c>
      <c r="I1374" s="13" t="inlineStr">
        <is>
          <t>3808.91.99</t>
        </is>
      </c>
      <c r="J1374" s="13" t="inlineStr">
        <is>
          <t>NÃO</t>
        </is>
      </c>
      <c r="K1374" s="13" t="inlineStr">
        <is>
          <t>Embalagem Flexível — NÃO LAVÁVEL (Perfurar e usar saco ABNT)</t>
        </is>
      </c>
      <c r="L1374" s="13" t="inlineStr">
        <is>
          <t>SIM (Saco Transparente ABNT)</t>
        </is>
      </c>
      <c r="M1374" s="13" t="inlineStr">
        <is>
          <t>0,00% (Lei nº 10.925/2004)</t>
        </is>
      </c>
      <c r="N1374" s="13" t="inlineStr">
        <is>
          <t>0,925% (LC nº 224/2025)</t>
        </is>
      </c>
      <c r="O1374" s="13" t="inlineStr">
        <is>
          <t>0,365% (LC nº 224/2025)</t>
        </is>
      </c>
      <c r="P1374" s="13" t="inlineStr">
        <is>
          <t>CST 06</t>
        </is>
      </c>
      <c r="Q1374" s="13" t="inlineStr">
        <is>
          <t>CST 73</t>
        </is>
      </c>
      <c r="R1374" s="13" t="inlineStr">
        <is>
          <t>Redução de 60% + Diferimento (Art. 138 e Anexo IX LC 214/2025)</t>
        </is>
      </c>
    </row>
    <row r="1375" ht="22" customHeight="1">
      <c r="A1375" s="6" t="inlineStr">
        <is>
          <t>SKU-1371</t>
        </is>
      </c>
      <c r="B1375" s="5" t="n">
        <v>1012</v>
      </c>
      <c r="C1375" s="7" t="inlineStr">
        <is>
          <t>Nº 44024</t>
        </is>
      </c>
      <c r="D1375" s="8" t="inlineStr">
        <is>
          <t>INSECTA BM</t>
        </is>
      </c>
      <c r="E1375" s="7" t="inlineStr">
        <is>
          <t>Embalagem Comercial do Produto</t>
        </is>
      </c>
      <c r="F1375" s="7" t="inlineStr">
        <is>
          <t>SACARIA / EMBALAGEM FLEXÍVEL 5KG A 25KG (PADRÃO COMERCIAL)</t>
        </is>
      </c>
      <c r="G1375" s="7" t="inlineStr">
        <is>
          <t>KG</t>
        </is>
      </c>
      <c r="H1375" s="9" t="n">
        <v>5</v>
      </c>
      <c r="I1375" s="7" t="inlineStr">
        <is>
          <t>3808.91.99</t>
        </is>
      </c>
      <c r="J1375" s="7" t="inlineStr">
        <is>
          <t>NÃO</t>
        </is>
      </c>
      <c r="K1375" s="7" t="inlineStr">
        <is>
          <t>Embalagem Flexível — NÃO LAVÁVEL (Perfurar e usar saco ABNT)</t>
        </is>
      </c>
      <c r="L1375" s="7" t="inlineStr">
        <is>
          <t>SIM (Saco Transparente ABNT)</t>
        </is>
      </c>
      <c r="M1375" s="7" t="inlineStr">
        <is>
          <t>0,00% (Lei nº 10.925/2004)</t>
        </is>
      </c>
      <c r="N1375" s="7" t="inlineStr">
        <is>
          <t>0,925% (LC nº 224/2025)</t>
        </is>
      </c>
      <c r="O1375" s="7" t="inlineStr">
        <is>
          <t>0,365% (LC nº 224/2025)</t>
        </is>
      </c>
      <c r="P1375" s="7" t="inlineStr">
        <is>
          <t>CST 06</t>
        </is>
      </c>
      <c r="Q1375" s="7" t="inlineStr">
        <is>
          <t>CST 73</t>
        </is>
      </c>
      <c r="R1375" s="7" t="inlineStr">
        <is>
          <t>Redução de 60% + Diferimento (Art. 138 e Anexo IX LC 214/2025)</t>
        </is>
      </c>
    </row>
    <row r="1376" ht="22" customHeight="1">
      <c r="A1376" s="12" t="inlineStr">
        <is>
          <t>SKU-1372</t>
        </is>
      </c>
      <c r="B1376" s="11" t="n">
        <v>1013</v>
      </c>
      <c r="C1376" s="13" t="inlineStr">
        <is>
          <t>Nº 44024</t>
        </is>
      </c>
      <c r="D1376" s="14" t="inlineStr">
        <is>
          <t>BOWE</t>
        </is>
      </c>
      <c r="E1376" s="13" t="inlineStr">
        <is>
          <t>Embalagem Comercial do Produto</t>
        </is>
      </c>
      <c r="F1376" s="13" t="inlineStr">
        <is>
          <t>SACARIA / EMBALAGEM FLEXÍVEL 5KG A 25KG (PADRÃO COMERCIAL)</t>
        </is>
      </c>
      <c r="G1376" s="13" t="inlineStr">
        <is>
          <t>KG</t>
        </is>
      </c>
      <c r="H1376" s="15" t="n">
        <v>5</v>
      </c>
      <c r="I1376" s="13" t="inlineStr">
        <is>
          <t>3808.91.99</t>
        </is>
      </c>
      <c r="J1376" s="13" t="inlineStr">
        <is>
          <t>NÃO</t>
        </is>
      </c>
      <c r="K1376" s="13" t="inlineStr">
        <is>
          <t>Embalagem Flexível — NÃO LAVÁVEL (Perfurar e usar saco ABNT)</t>
        </is>
      </c>
      <c r="L1376" s="13" t="inlineStr">
        <is>
          <t>SIM (Saco Transparente ABNT)</t>
        </is>
      </c>
      <c r="M1376" s="13" t="inlineStr">
        <is>
          <t>0,00% (Lei nº 10.925/2004)</t>
        </is>
      </c>
      <c r="N1376" s="13" t="inlineStr">
        <is>
          <t>0,925% (LC nº 224/2025)</t>
        </is>
      </c>
      <c r="O1376" s="13" t="inlineStr">
        <is>
          <t>0,365% (LC nº 224/2025)</t>
        </is>
      </c>
      <c r="P1376" s="13" t="inlineStr">
        <is>
          <t>CST 06</t>
        </is>
      </c>
      <c r="Q1376" s="13" t="inlineStr">
        <is>
          <t>CST 73</t>
        </is>
      </c>
      <c r="R1376" s="13" t="inlineStr">
        <is>
          <t>Redução de 60% + Diferimento (Art. 138 e Anexo IX LC 214/2025)</t>
        </is>
      </c>
    </row>
  </sheetData>
  <mergeCells count="2">
    <mergeCell ref="A2:R2"/>
    <mergeCell ref="A1:R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76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50" customWidth="1" min="4" max="4"/>
    <col width="46" customWidth="1" min="5" max="5"/>
    <col width="50" customWidth="1" min="6" max="6"/>
    <col width="33" customWidth="1" min="7" max="7"/>
    <col width="42" customWidth="1" min="8" max="8"/>
    <col width="38" customWidth="1" min="9" max="9"/>
    <col width="48" customWidth="1" min="10" max="10"/>
  </cols>
  <sheetData>
    <row r="1" ht="30" customHeight="1">
      <c r="A1" s="1" t="inlineStr">
        <is>
          <t>6. CULTURAS AUTORIZADAS, MODALIDADES DE APLICAÇÃO E INTERVALO DE SEGURANÇA (CARÊNCIA) EM LINHAS — [BASE OFICIAL SANEADA E CORRIGIDA CONFORME BULAS MAPA / ANVISA / SIPEAGRO]</t>
        </is>
      </c>
    </row>
    <row r="2" ht="20" customHeight="1">
      <c r="A2" s="2" t="inlineStr">
        <is>
          <t>Cada cultura autorizada para os produtos/registros da base ocupa 1 linha individual com modalidade de aplicação, volume de calda e período de carência oficial. | Total de Registros: 4765</t>
        </is>
      </c>
    </row>
    <row r="3" ht="8" customHeight="1"/>
    <row r="4" ht="26" customHeight="1">
      <c r="A4" s="3" t="inlineStr">
        <is>
          <t>ID Cultura</t>
        </is>
      </c>
      <c r="B4" s="3" t="inlineStr">
        <is>
          <t>ID Produto Ref.</t>
        </is>
      </c>
      <c r="C4" s="3" t="inlineStr">
        <is>
          <t>Nº Registro MAPA</t>
        </is>
      </c>
      <c r="D4" s="4" t="inlineStr">
        <is>
          <t>Marca Comercial</t>
        </is>
      </c>
      <c r="E4" s="4" t="inlineStr">
        <is>
          <t>Modalidade de Emprego / Quadro Bula</t>
        </is>
      </c>
      <c r="F4" s="4" t="inlineStr">
        <is>
          <t>Cultura Autorizada (1 por Linha)</t>
        </is>
      </c>
      <c r="G4" s="4" t="inlineStr">
        <is>
          <t>Tecnologia / Grupo da Cultura</t>
        </is>
      </c>
      <c r="H4" s="4" t="inlineStr">
        <is>
          <t>Volume de Calda Terrestre</t>
        </is>
      </c>
      <c r="I4" s="4" t="inlineStr">
        <is>
          <t>Volume de Calda Aérea</t>
        </is>
      </c>
      <c r="J4" s="4" t="inlineStr">
        <is>
          <t>Intervalo de Segurança (Carência)</t>
        </is>
      </c>
    </row>
    <row r="5" ht="22" customHeight="1">
      <c r="A5" s="6" t="inlineStr">
        <is>
          <t>CUL-0001</t>
        </is>
      </c>
      <c r="B5" s="5" t="n">
        <v>1</v>
      </c>
      <c r="C5" s="7" t="inlineStr">
        <is>
          <t>Nº 0315</t>
        </is>
      </c>
      <c r="D5" s="8" t="inlineStr">
        <is>
          <t>2-4 D AGCN</t>
        </is>
      </c>
      <c r="E5" s="7" t="inlineStr">
        <is>
          <t>Pulverização Agrícola Conforme Bula</t>
        </is>
      </c>
      <c r="F5" s="7" t="inlineStr">
        <is>
          <t>Soja (Dessecação Pré-Plantio)</t>
        </is>
      </c>
      <c r="G5" s="7" t="inlineStr">
        <is>
          <t>Cultura Autorizada na Bula</t>
        </is>
      </c>
      <c r="H5" s="7" t="inlineStr">
        <is>
          <t>100 a 300 L/ha</t>
        </is>
      </c>
      <c r="I5" s="7" t="inlineStr">
        <is>
          <t>20 a 40 L/ha</t>
        </is>
      </c>
      <c r="J5" s="7" t="inlineStr">
        <is>
          <t>N/D</t>
        </is>
      </c>
    </row>
    <row r="6" ht="22" customHeight="1">
      <c r="A6" s="12" t="inlineStr">
        <is>
          <t>CUL-0002</t>
        </is>
      </c>
      <c r="B6" s="11" t="n">
        <v>1</v>
      </c>
      <c r="C6" s="13" t="inlineStr">
        <is>
          <t>Nº 0315</t>
        </is>
      </c>
      <c r="D6" s="14" t="inlineStr">
        <is>
          <t>2-4 D AGCN</t>
        </is>
      </c>
      <c r="E6" s="13" t="inlineStr">
        <is>
          <t>Pulverização Agrícola Conforme Bula</t>
        </is>
      </c>
      <c r="F6" s="13" t="inlineStr">
        <is>
          <t>Milho</t>
        </is>
      </c>
      <c r="G6" s="13" t="inlineStr">
        <is>
          <t>Cultura Autorizada na Bula</t>
        </is>
      </c>
      <c r="H6" s="13" t="inlineStr">
        <is>
          <t>100 a 300 L/ha</t>
        </is>
      </c>
      <c r="I6" s="13" t="inlineStr">
        <is>
          <t>20 a 40 L/ha</t>
        </is>
      </c>
      <c r="J6" s="13" t="inlineStr">
        <is>
          <t>40 dias</t>
        </is>
      </c>
    </row>
    <row r="7" ht="22" customHeight="1">
      <c r="A7" s="6" t="inlineStr">
        <is>
          <t>CUL-0003</t>
        </is>
      </c>
      <c r="B7" s="5" t="n">
        <v>1</v>
      </c>
      <c r="C7" s="7" t="inlineStr">
        <is>
          <t>Nº 0315</t>
        </is>
      </c>
      <c r="D7" s="8" t="inlineStr">
        <is>
          <t>2-4 D AGCN</t>
        </is>
      </c>
      <c r="E7" s="7" t="inlineStr">
        <is>
          <t>Pulverização Agrícola Conforme Bula</t>
        </is>
      </c>
      <c r="F7" s="7" t="inlineStr">
        <is>
          <t>Cana-de-açúcar</t>
        </is>
      </c>
      <c r="G7" s="7" t="inlineStr">
        <is>
          <t>Cultura Autorizada na Bula</t>
        </is>
      </c>
      <c r="H7" s="7" t="inlineStr">
        <is>
          <t>100 a 300 L/ha</t>
        </is>
      </c>
      <c r="I7" s="7" t="inlineStr">
        <is>
          <t>20 a 40 L/ha</t>
        </is>
      </c>
      <c r="J7" s="7" t="inlineStr">
        <is>
          <t>N/D</t>
        </is>
      </c>
    </row>
    <row r="8" ht="22" customHeight="1">
      <c r="A8" s="12" t="inlineStr">
        <is>
          <t>CUL-0004</t>
        </is>
      </c>
      <c r="B8" s="11" t="n">
        <v>1</v>
      </c>
      <c r="C8" s="13" t="inlineStr">
        <is>
          <t>Nº 0315</t>
        </is>
      </c>
      <c r="D8" s="14" t="inlineStr">
        <is>
          <t>2-4 D AGCN</t>
        </is>
      </c>
      <c r="E8" s="13" t="inlineStr">
        <is>
          <t>Pulverização Agrícola Conforme Bula</t>
        </is>
      </c>
      <c r="F8" s="13" t="inlineStr">
        <is>
          <t>Trigo</t>
        </is>
      </c>
      <c r="G8" s="13" t="inlineStr">
        <is>
          <t>Cultura Autorizada na Bula</t>
        </is>
      </c>
      <c r="H8" s="13" t="inlineStr">
        <is>
          <t>100 a 300 L/ha</t>
        </is>
      </c>
      <c r="I8" s="13" t="inlineStr">
        <is>
          <t>20 a 40 L/ha</t>
        </is>
      </c>
      <c r="J8" s="13" t="inlineStr">
        <is>
          <t>45 dias</t>
        </is>
      </c>
    </row>
    <row r="9" ht="22" customHeight="1">
      <c r="A9" s="6" t="inlineStr">
        <is>
          <t>CUL-0005</t>
        </is>
      </c>
      <c r="B9" s="5" t="n">
        <v>1</v>
      </c>
      <c r="C9" s="7" t="inlineStr">
        <is>
          <t>Nº 0315</t>
        </is>
      </c>
      <c r="D9" s="8" t="inlineStr">
        <is>
          <t>2-4 D AGCN</t>
        </is>
      </c>
      <c r="E9" s="7" t="inlineStr">
        <is>
          <t>Pulverização Agrícola Conforme Bula</t>
        </is>
      </c>
      <c r="F9" s="7" t="inlineStr">
        <is>
          <t>Pastagens</t>
        </is>
      </c>
      <c r="G9" s="7" t="inlineStr">
        <is>
          <t>Cultura Autorizada na Bula</t>
        </is>
      </c>
      <c r="H9" s="7" t="inlineStr">
        <is>
          <t>100 a 300 L/ha</t>
        </is>
      </c>
      <c r="I9" s="7" t="inlineStr">
        <is>
          <t>20 a 40 L/ha</t>
        </is>
      </c>
      <c r="J9" s="7" t="inlineStr">
        <is>
          <t>N/D</t>
        </is>
      </c>
    </row>
    <row r="10" ht="22" customHeight="1">
      <c r="A10" s="12" t="inlineStr">
        <is>
          <t>CUL-0006</t>
        </is>
      </c>
      <c r="B10" s="11" t="n">
        <v>2</v>
      </c>
      <c r="C10" s="13" t="inlineStr">
        <is>
          <t>Nº 0315</t>
        </is>
      </c>
      <c r="D10" s="14" t="inlineStr">
        <is>
          <t>AGCN 2,4-D</t>
        </is>
      </c>
      <c r="E10" s="13" t="inlineStr">
        <is>
          <t>Pulverização Agrícola Conforme Bula</t>
        </is>
      </c>
      <c r="F10" s="13" t="inlineStr">
        <is>
          <t>Soja (Dessecação Pré-Plantio)</t>
        </is>
      </c>
      <c r="G10" s="13" t="inlineStr">
        <is>
          <t>Cultura Autorizada na Bula</t>
        </is>
      </c>
      <c r="H10" s="13" t="inlineStr">
        <is>
          <t>100 a 300 L/ha</t>
        </is>
      </c>
      <c r="I10" s="13" t="inlineStr">
        <is>
          <t>20 a 40 L/ha</t>
        </is>
      </c>
      <c r="J10" s="13" t="inlineStr">
        <is>
          <t>N/D</t>
        </is>
      </c>
    </row>
    <row r="11" ht="22" customHeight="1">
      <c r="A11" s="6" t="inlineStr">
        <is>
          <t>CUL-0007</t>
        </is>
      </c>
      <c r="B11" s="5" t="n">
        <v>2</v>
      </c>
      <c r="C11" s="7" t="inlineStr">
        <is>
          <t>Nº 0315</t>
        </is>
      </c>
      <c r="D11" s="8" t="inlineStr">
        <is>
          <t>AGCN 2,4-D</t>
        </is>
      </c>
      <c r="E11" s="7" t="inlineStr">
        <is>
          <t>Pulverização Agrícola Conforme Bula</t>
        </is>
      </c>
      <c r="F11" s="7" t="inlineStr">
        <is>
          <t>Milho</t>
        </is>
      </c>
      <c r="G11" s="7" t="inlineStr">
        <is>
          <t>Cultura Autorizada na Bula</t>
        </is>
      </c>
      <c r="H11" s="7" t="inlineStr">
        <is>
          <t>100 a 300 L/ha</t>
        </is>
      </c>
      <c r="I11" s="7" t="inlineStr">
        <is>
          <t>20 a 40 L/ha</t>
        </is>
      </c>
      <c r="J11" s="7" t="inlineStr">
        <is>
          <t>40 dias</t>
        </is>
      </c>
    </row>
    <row r="12" ht="22" customHeight="1">
      <c r="A12" s="12" t="inlineStr">
        <is>
          <t>CUL-0008</t>
        </is>
      </c>
      <c r="B12" s="11" t="n">
        <v>2</v>
      </c>
      <c r="C12" s="13" t="inlineStr">
        <is>
          <t>Nº 0315</t>
        </is>
      </c>
      <c r="D12" s="14" t="inlineStr">
        <is>
          <t>AGCN 2,4-D</t>
        </is>
      </c>
      <c r="E12" s="13" t="inlineStr">
        <is>
          <t>Pulverização Agrícola Conforme Bula</t>
        </is>
      </c>
      <c r="F12" s="13" t="inlineStr">
        <is>
          <t>Cana-de-açúcar</t>
        </is>
      </c>
      <c r="G12" s="13" t="inlineStr">
        <is>
          <t>Cultura Autorizada na Bula</t>
        </is>
      </c>
      <c r="H12" s="13" t="inlineStr">
        <is>
          <t>100 a 300 L/ha</t>
        </is>
      </c>
      <c r="I12" s="13" t="inlineStr">
        <is>
          <t>20 a 40 L/ha</t>
        </is>
      </c>
      <c r="J12" s="13" t="inlineStr">
        <is>
          <t>N/D</t>
        </is>
      </c>
    </row>
    <row r="13" ht="22" customHeight="1">
      <c r="A13" s="6" t="inlineStr">
        <is>
          <t>CUL-0009</t>
        </is>
      </c>
      <c r="B13" s="5" t="n">
        <v>2</v>
      </c>
      <c r="C13" s="7" t="inlineStr">
        <is>
          <t>Nº 0315</t>
        </is>
      </c>
      <c r="D13" s="8" t="inlineStr">
        <is>
          <t>AGCN 2,4-D</t>
        </is>
      </c>
      <c r="E13" s="7" t="inlineStr">
        <is>
          <t>Pulverização Agrícola Conforme Bula</t>
        </is>
      </c>
      <c r="F13" s="7" t="inlineStr">
        <is>
          <t>Trigo</t>
        </is>
      </c>
      <c r="G13" s="7" t="inlineStr">
        <is>
          <t>Cultura Autorizada na Bula</t>
        </is>
      </c>
      <c r="H13" s="7" t="inlineStr">
        <is>
          <t>100 a 300 L/ha</t>
        </is>
      </c>
      <c r="I13" s="7" t="inlineStr">
        <is>
          <t>20 a 40 L/ha</t>
        </is>
      </c>
      <c r="J13" s="7" t="inlineStr">
        <is>
          <t>45 dias</t>
        </is>
      </c>
    </row>
    <row r="14" ht="22" customHeight="1">
      <c r="A14" s="12" t="inlineStr">
        <is>
          <t>CUL-0010</t>
        </is>
      </c>
      <c r="B14" s="11" t="n">
        <v>2</v>
      </c>
      <c r="C14" s="13" t="inlineStr">
        <is>
          <t>Nº 0315</t>
        </is>
      </c>
      <c r="D14" s="14" t="inlineStr">
        <is>
          <t>AGCN 2,4-D</t>
        </is>
      </c>
      <c r="E14" s="13" t="inlineStr">
        <is>
          <t>Pulverização Agrícola Conforme Bula</t>
        </is>
      </c>
      <c r="F14" s="13" t="inlineStr">
        <is>
          <t>Pastagens</t>
        </is>
      </c>
      <c r="G14" s="13" t="inlineStr">
        <is>
          <t>Cultura Autorizada na Bula</t>
        </is>
      </c>
      <c r="H14" s="13" t="inlineStr">
        <is>
          <t>100 a 300 L/ha</t>
        </is>
      </c>
      <c r="I14" s="13" t="inlineStr">
        <is>
          <t>20 a 40 L/ha</t>
        </is>
      </c>
      <c r="J14" s="13" t="inlineStr">
        <is>
          <t>N/D</t>
        </is>
      </c>
    </row>
    <row r="15" ht="22" customHeight="1">
      <c r="A15" s="6" t="inlineStr">
        <is>
          <t>CUL-0011</t>
        </is>
      </c>
      <c r="B15" s="5" t="n">
        <v>3</v>
      </c>
      <c r="C15" s="7" t="inlineStr">
        <is>
          <t>Nº 6908</t>
        </is>
      </c>
      <c r="D15" s="8" t="inlineStr">
        <is>
          <t>MIRANT</t>
        </is>
      </c>
      <c r="E15" s="7" t="inlineStr">
        <is>
          <t>Pulverização Agrícola Conforme Bula</t>
        </is>
      </c>
      <c r="F15" s="7" t="inlineStr">
        <is>
          <t>Soja (Dessecação Pré-Plantio)</t>
        </is>
      </c>
      <c r="G15" s="7" t="inlineStr">
        <is>
          <t>Cultura Autorizada na Bula</t>
        </is>
      </c>
      <c r="H15" s="7" t="inlineStr">
        <is>
          <t>100 a 300 L/ha</t>
        </is>
      </c>
      <c r="I15" s="7" t="inlineStr">
        <is>
          <t>20 a 40 L/ha</t>
        </is>
      </c>
      <c r="J15" s="7" t="inlineStr">
        <is>
          <t>N/D</t>
        </is>
      </c>
    </row>
    <row r="16" ht="22" customHeight="1">
      <c r="A16" s="12" t="inlineStr">
        <is>
          <t>CUL-0012</t>
        </is>
      </c>
      <c r="B16" s="11" t="n">
        <v>3</v>
      </c>
      <c r="C16" s="13" t="inlineStr">
        <is>
          <t>Nº 6908</t>
        </is>
      </c>
      <c r="D16" s="14" t="inlineStr">
        <is>
          <t>MIRANT</t>
        </is>
      </c>
      <c r="E16" s="13" t="inlineStr">
        <is>
          <t>Pulverização Agrícola Conforme Bula</t>
        </is>
      </c>
      <c r="F16" s="13" t="inlineStr">
        <is>
          <t>Milho</t>
        </is>
      </c>
      <c r="G16" s="13" t="inlineStr">
        <is>
          <t>Cultura Autorizada na Bula</t>
        </is>
      </c>
      <c r="H16" s="13" t="inlineStr">
        <is>
          <t>100 a 300 L/ha</t>
        </is>
      </c>
      <c r="I16" s="13" t="inlineStr">
        <is>
          <t>20 a 40 L/ha</t>
        </is>
      </c>
      <c r="J16" s="13" t="inlineStr">
        <is>
          <t>40 dias</t>
        </is>
      </c>
    </row>
    <row r="17" ht="22" customHeight="1">
      <c r="A17" s="6" t="inlineStr">
        <is>
          <t>CUL-0013</t>
        </is>
      </c>
      <c r="B17" s="5" t="n">
        <v>3</v>
      </c>
      <c r="C17" s="7" t="inlineStr">
        <is>
          <t>Nº 6908</t>
        </is>
      </c>
      <c r="D17" s="8" t="inlineStr">
        <is>
          <t>MIRANT</t>
        </is>
      </c>
      <c r="E17" s="7" t="inlineStr">
        <is>
          <t>Pulverização Agrícola Conforme Bula</t>
        </is>
      </c>
      <c r="F17" s="7" t="inlineStr">
        <is>
          <t>Cana-de-açúcar</t>
        </is>
      </c>
      <c r="G17" s="7" t="inlineStr">
        <is>
          <t>Cultura Autorizada na Bula</t>
        </is>
      </c>
      <c r="H17" s="7" t="inlineStr">
        <is>
          <t>100 a 300 L/ha</t>
        </is>
      </c>
      <c r="I17" s="7" t="inlineStr">
        <is>
          <t>20 a 40 L/ha</t>
        </is>
      </c>
      <c r="J17" s="7" t="inlineStr">
        <is>
          <t>N/D</t>
        </is>
      </c>
    </row>
    <row r="18" ht="22" customHeight="1">
      <c r="A18" s="12" t="inlineStr">
        <is>
          <t>CUL-0014</t>
        </is>
      </c>
      <c r="B18" s="11" t="n">
        <v>3</v>
      </c>
      <c r="C18" s="13" t="inlineStr">
        <is>
          <t>Nº 6908</t>
        </is>
      </c>
      <c r="D18" s="14" t="inlineStr">
        <is>
          <t>MIRANT</t>
        </is>
      </c>
      <c r="E18" s="13" t="inlineStr">
        <is>
          <t>Pulverização Agrícola Conforme Bula</t>
        </is>
      </c>
      <c r="F18" s="13" t="inlineStr">
        <is>
          <t>Trigo</t>
        </is>
      </c>
      <c r="G18" s="13" t="inlineStr">
        <is>
          <t>Cultura Autorizada na Bula</t>
        </is>
      </c>
      <c r="H18" s="13" t="inlineStr">
        <is>
          <t>100 a 300 L/ha</t>
        </is>
      </c>
      <c r="I18" s="13" t="inlineStr">
        <is>
          <t>20 a 40 L/ha</t>
        </is>
      </c>
      <c r="J18" s="13" t="inlineStr">
        <is>
          <t>45 dias</t>
        </is>
      </c>
    </row>
    <row r="19" ht="22" customHeight="1">
      <c r="A19" s="6" t="inlineStr">
        <is>
          <t>CUL-0015</t>
        </is>
      </c>
      <c r="B19" s="5" t="n">
        <v>3</v>
      </c>
      <c r="C19" s="7" t="inlineStr">
        <is>
          <t>Nº 6908</t>
        </is>
      </c>
      <c r="D19" s="8" t="inlineStr">
        <is>
          <t>MIRANT</t>
        </is>
      </c>
      <c r="E19" s="7" t="inlineStr">
        <is>
          <t>Pulverização Agrícola Conforme Bula</t>
        </is>
      </c>
      <c r="F19" s="7" t="inlineStr">
        <is>
          <t>Pastagens</t>
        </is>
      </c>
      <c r="G19" s="7" t="inlineStr">
        <is>
          <t>Cultura Autorizada na Bula</t>
        </is>
      </c>
      <c r="H19" s="7" t="inlineStr">
        <is>
          <t>100 a 300 L/ha</t>
        </is>
      </c>
      <c r="I19" s="7" t="inlineStr">
        <is>
          <t>20 a 40 L/ha</t>
        </is>
      </c>
      <c r="J19" s="7" t="inlineStr">
        <is>
          <t>N/D</t>
        </is>
      </c>
    </row>
    <row r="20" ht="22" customHeight="1">
      <c r="A20" s="12" t="inlineStr">
        <is>
          <t>CUL-0016</t>
        </is>
      </c>
      <c r="B20" s="11" t="n">
        <v>4</v>
      </c>
      <c r="C20" s="13" t="inlineStr">
        <is>
          <t>Nº 2704</t>
        </is>
      </c>
      <c r="D20" s="14" t="inlineStr">
        <is>
          <t>U 46 PRIME</t>
        </is>
      </c>
      <c r="E20" s="13" t="inlineStr">
        <is>
          <t>Pulverização Agrícola Conforme Bula</t>
        </is>
      </c>
      <c r="F20" s="13" t="inlineStr">
        <is>
          <t>Soja (Dessecação Pré-Plantio)</t>
        </is>
      </c>
      <c r="G20" s="13" t="inlineStr">
        <is>
          <t>Cultura Autorizada na Bula</t>
        </is>
      </c>
      <c r="H20" s="13" t="inlineStr">
        <is>
          <t>100 a 300 L/ha</t>
        </is>
      </c>
      <c r="I20" s="13" t="inlineStr">
        <is>
          <t>20 a 40 L/ha</t>
        </is>
      </c>
      <c r="J20" s="13" t="inlineStr">
        <is>
          <t>N/D</t>
        </is>
      </c>
    </row>
    <row r="21" ht="22" customHeight="1">
      <c r="A21" s="6" t="inlineStr">
        <is>
          <t>CUL-0017</t>
        </is>
      </c>
      <c r="B21" s="5" t="n">
        <v>4</v>
      </c>
      <c r="C21" s="7" t="inlineStr">
        <is>
          <t>Nº 2704</t>
        </is>
      </c>
      <c r="D21" s="8" t="inlineStr">
        <is>
          <t>U 46 PRIME</t>
        </is>
      </c>
      <c r="E21" s="7" t="inlineStr">
        <is>
          <t>Pulverização Agrícola Conforme Bula</t>
        </is>
      </c>
      <c r="F21" s="7" t="inlineStr">
        <is>
          <t>Milho</t>
        </is>
      </c>
      <c r="G21" s="7" t="inlineStr">
        <is>
          <t>Cultura Autorizada na Bula</t>
        </is>
      </c>
      <c r="H21" s="7" t="inlineStr">
        <is>
          <t>100 a 300 L/ha</t>
        </is>
      </c>
      <c r="I21" s="7" t="inlineStr">
        <is>
          <t>20 a 40 L/ha</t>
        </is>
      </c>
      <c r="J21" s="7" t="inlineStr">
        <is>
          <t>40 dias</t>
        </is>
      </c>
    </row>
    <row r="22" ht="22" customHeight="1">
      <c r="A22" s="12" t="inlineStr">
        <is>
          <t>CUL-0018</t>
        </is>
      </c>
      <c r="B22" s="11" t="n">
        <v>4</v>
      </c>
      <c r="C22" s="13" t="inlineStr">
        <is>
          <t>Nº 2704</t>
        </is>
      </c>
      <c r="D22" s="14" t="inlineStr">
        <is>
          <t>U 46 PRIME</t>
        </is>
      </c>
      <c r="E22" s="13" t="inlineStr">
        <is>
          <t>Pulverização Agrícola Conforme Bula</t>
        </is>
      </c>
      <c r="F22" s="13" t="inlineStr">
        <is>
          <t>Cana-de-açúcar</t>
        </is>
      </c>
      <c r="G22" s="13" t="inlineStr">
        <is>
          <t>Cultura Autorizada na Bula</t>
        </is>
      </c>
      <c r="H22" s="13" t="inlineStr">
        <is>
          <t>100 a 300 L/ha</t>
        </is>
      </c>
      <c r="I22" s="13" t="inlineStr">
        <is>
          <t>20 a 40 L/ha</t>
        </is>
      </c>
      <c r="J22" s="13" t="inlineStr">
        <is>
          <t>N/D</t>
        </is>
      </c>
    </row>
    <row r="23" ht="22" customHeight="1">
      <c r="A23" s="6" t="inlineStr">
        <is>
          <t>CUL-0019</t>
        </is>
      </c>
      <c r="B23" s="5" t="n">
        <v>4</v>
      </c>
      <c r="C23" s="7" t="inlineStr">
        <is>
          <t>Nº 2704</t>
        </is>
      </c>
      <c r="D23" s="8" t="inlineStr">
        <is>
          <t>U 46 PRIME</t>
        </is>
      </c>
      <c r="E23" s="7" t="inlineStr">
        <is>
          <t>Pulverização Agrícola Conforme Bula</t>
        </is>
      </c>
      <c r="F23" s="7" t="inlineStr">
        <is>
          <t>Trigo</t>
        </is>
      </c>
      <c r="G23" s="7" t="inlineStr">
        <is>
          <t>Cultura Autorizada na Bula</t>
        </is>
      </c>
      <c r="H23" s="7" t="inlineStr">
        <is>
          <t>100 a 300 L/ha</t>
        </is>
      </c>
      <c r="I23" s="7" t="inlineStr">
        <is>
          <t>20 a 40 L/ha</t>
        </is>
      </c>
      <c r="J23" s="7" t="inlineStr">
        <is>
          <t>45 dias</t>
        </is>
      </c>
    </row>
    <row r="24" ht="22" customHeight="1">
      <c r="A24" s="12" t="inlineStr">
        <is>
          <t>CUL-0020</t>
        </is>
      </c>
      <c r="B24" s="11" t="n">
        <v>4</v>
      </c>
      <c r="C24" s="13" t="inlineStr">
        <is>
          <t>Nº 2704</t>
        </is>
      </c>
      <c r="D24" s="14" t="inlineStr">
        <is>
          <t>U 46 PRIME</t>
        </is>
      </c>
      <c r="E24" s="13" t="inlineStr">
        <is>
          <t>Pulverização Agrícola Conforme Bula</t>
        </is>
      </c>
      <c r="F24" s="13" t="inlineStr">
        <is>
          <t>Pastagens</t>
        </is>
      </c>
      <c r="G24" s="13" t="inlineStr">
        <is>
          <t>Cultura Autorizada na Bula</t>
        </is>
      </c>
      <c r="H24" s="13" t="inlineStr">
        <is>
          <t>100 a 300 L/ha</t>
        </is>
      </c>
      <c r="I24" s="13" t="inlineStr">
        <is>
          <t>20 a 40 L/ha</t>
        </is>
      </c>
      <c r="J24" s="13" t="inlineStr">
        <is>
          <t>N/D</t>
        </is>
      </c>
    </row>
    <row r="25" ht="22" customHeight="1">
      <c r="A25" s="6" t="inlineStr">
        <is>
          <t>CUL-0021</t>
        </is>
      </c>
      <c r="B25" s="5" t="n">
        <v>5</v>
      </c>
      <c r="C25" s="7" t="inlineStr">
        <is>
          <t>Nº 19917</t>
        </is>
      </c>
      <c r="D25" s="8" t="inlineStr">
        <is>
          <t>ABADIN 72 EC</t>
        </is>
      </c>
      <c r="E25" s="7" t="inlineStr">
        <is>
          <t>Pulverização Agrícola Conforme Bula</t>
        </is>
      </c>
      <c r="F25" s="7" t="inlineStr">
        <is>
          <t>Soja</t>
        </is>
      </c>
      <c r="G25" s="7" t="inlineStr">
        <is>
          <t>Cultura Autorizada na Bula</t>
        </is>
      </c>
      <c r="H25" s="7" t="inlineStr">
        <is>
          <t>100 a 300 L/ha</t>
        </is>
      </c>
      <c r="I25" s="7" t="inlineStr">
        <is>
          <t>20 a 40 L/ha</t>
        </is>
      </c>
      <c r="J25" s="7" t="inlineStr">
        <is>
          <t>21 dias</t>
        </is>
      </c>
    </row>
    <row r="26" ht="22" customHeight="1">
      <c r="A26" s="12" t="inlineStr">
        <is>
          <t>CUL-0022</t>
        </is>
      </c>
      <c r="B26" s="11" t="n">
        <v>5</v>
      </c>
      <c r="C26" s="13" t="inlineStr">
        <is>
          <t>Nº 19917</t>
        </is>
      </c>
      <c r="D26" s="14" t="inlineStr">
        <is>
          <t>ABADIN 72 EC</t>
        </is>
      </c>
      <c r="E26" s="13" t="inlineStr">
        <is>
          <t>Pulverização Agrícola Conforme Bula</t>
        </is>
      </c>
      <c r="F26" s="13" t="inlineStr">
        <is>
          <t>Milho</t>
        </is>
      </c>
      <c r="G26" s="13" t="inlineStr">
        <is>
          <t>Cultura Autorizada na Bula</t>
        </is>
      </c>
      <c r="H26" s="13" t="inlineStr">
        <is>
          <t>100 a 300 L/ha</t>
        </is>
      </c>
      <c r="I26" s="13" t="inlineStr">
        <is>
          <t>20 a 40 L/ha</t>
        </is>
      </c>
      <c r="J26" s="13" t="inlineStr">
        <is>
          <t>21 dias</t>
        </is>
      </c>
    </row>
    <row r="27" ht="22" customHeight="1">
      <c r="A27" s="6" t="inlineStr">
        <is>
          <t>CUL-0023</t>
        </is>
      </c>
      <c r="B27" s="5" t="n">
        <v>5</v>
      </c>
      <c r="C27" s="7" t="inlineStr">
        <is>
          <t>Nº 19917</t>
        </is>
      </c>
      <c r="D27" s="8" t="inlineStr">
        <is>
          <t>ABADIN 72 EC</t>
        </is>
      </c>
      <c r="E27" s="7" t="inlineStr">
        <is>
          <t>Pulverização Agrícola Conforme Bula</t>
        </is>
      </c>
      <c r="F27" s="7" t="inlineStr">
        <is>
          <t>Algodão</t>
        </is>
      </c>
      <c r="G27" s="7" t="inlineStr">
        <is>
          <t>Cultura Autorizada na Bula</t>
        </is>
      </c>
      <c r="H27" s="7" t="inlineStr">
        <is>
          <t>100 a 300 L/ha</t>
        </is>
      </c>
      <c r="I27" s="7" t="inlineStr">
        <is>
          <t>20 a 40 L/ha</t>
        </is>
      </c>
      <c r="J27" s="7" t="inlineStr">
        <is>
          <t>21 dias</t>
        </is>
      </c>
    </row>
    <row r="28" ht="22" customHeight="1">
      <c r="A28" s="12" t="inlineStr">
        <is>
          <t>CUL-0024</t>
        </is>
      </c>
      <c r="B28" s="11" t="n">
        <v>5</v>
      </c>
      <c r="C28" s="13" t="inlineStr">
        <is>
          <t>Nº 19917</t>
        </is>
      </c>
      <c r="D28" s="14" t="inlineStr">
        <is>
          <t>ABADIN 72 EC</t>
        </is>
      </c>
      <c r="E28" s="13" t="inlineStr">
        <is>
          <t>Pulverização Agrícola Conforme Bula</t>
        </is>
      </c>
      <c r="F28" s="13" t="inlineStr">
        <is>
          <t>Feijão</t>
        </is>
      </c>
      <c r="G28" s="13" t="inlineStr">
        <is>
          <t>Cultura Autorizada na Bula</t>
        </is>
      </c>
      <c r="H28" s="13" t="inlineStr">
        <is>
          <t>100 a 300 L/ha</t>
        </is>
      </c>
      <c r="I28" s="13" t="inlineStr">
        <is>
          <t>20 a 40 L/ha</t>
        </is>
      </c>
      <c r="J28" s="13" t="inlineStr">
        <is>
          <t>14 dias</t>
        </is>
      </c>
    </row>
    <row r="29" ht="22" customHeight="1">
      <c r="A29" s="6" t="inlineStr">
        <is>
          <t>CUL-0025</t>
        </is>
      </c>
      <c r="B29" s="5" t="n">
        <v>6</v>
      </c>
      <c r="C29" s="7" t="inlineStr">
        <is>
          <t>Nº 1378704</t>
        </is>
      </c>
      <c r="D29" s="8" t="inlineStr">
        <is>
          <t>ACEFATO 750</t>
        </is>
      </c>
      <c r="E29" s="7" t="inlineStr">
        <is>
          <t>Pulverização Agrícola Conforme Bula</t>
        </is>
      </c>
      <c r="F29" s="7" t="inlineStr">
        <is>
          <t>Soja</t>
        </is>
      </c>
      <c r="G29" s="7" t="inlineStr">
        <is>
          <t>Cultura Autorizada na Bula</t>
        </is>
      </c>
      <c r="H29" s="7" t="inlineStr">
        <is>
          <t>100 a 300 L/ha</t>
        </is>
      </c>
      <c r="I29" s="7" t="inlineStr">
        <is>
          <t>20 a 40 L/ha</t>
        </is>
      </c>
      <c r="J29" s="7" t="inlineStr">
        <is>
          <t>21 dias</t>
        </is>
      </c>
    </row>
    <row r="30" ht="22" customHeight="1">
      <c r="A30" s="12" t="inlineStr">
        <is>
          <t>CUL-0026</t>
        </is>
      </c>
      <c r="B30" s="11" t="n">
        <v>6</v>
      </c>
      <c r="C30" s="13" t="inlineStr">
        <is>
          <t>Nº 1378704</t>
        </is>
      </c>
      <c r="D30" s="14" t="inlineStr">
        <is>
          <t>ACEFATO 750</t>
        </is>
      </c>
      <c r="E30" s="13" t="inlineStr">
        <is>
          <t>Pulverização Agrícola Conforme Bula</t>
        </is>
      </c>
      <c r="F30" s="13" t="inlineStr">
        <is>
          <t>Algodão</t>
        </is>
      </c>
      <c r="G30" s="13" t="inlineStr">
        <is>
          <t>Cultura Autorizada na Bula</t>
        </is>
      </c>
      <c r="H30" s="13" t="inlineStr">
        <is>
          <t>100 a 300 L/ha</t>
        </is>
      </c>
      <c r="I30" s="13" t="inlineStr">
        <is>
          <t>20 a 40 L/ha</t>
        </is>
      </c>
      <c r="J30" s="13" t="inlineStr">
        <is>
          <t>21 dias</t>
        </is>
      </c>
    </row>
    <row r="31" ht="22" customHeight="1">
      <c r="A31" s="6" t="inlineStr">
        <is>
          <t>CUL-0027</t>
        </is>
      </c>
      <c r="B31" s="5" t="n">
        <v>6</v>
      </c>
      <c r="C31" s="7" t="inlineStr">
        <is>
          <t>Nº 1378704</t>
        </is>
      </c>
      <c r="D31" s="8" t="inlineStr">
        <is>
          <t>ACEFATO 750</t>
        </is>
      </c>
      <c r="E31" s="7" t="inlineStr">
        <is>
          <t>Pulverização Agrícola Conforme Bula</t>
        </is>
      </c>
      <c r="F31" s="7" t="inlineStr">
        <is>
          <t>Feijão</t>
        </is>
      </c>
      <c r="G31" s="7" t="inlineStr">
        <is>
          <t>Cultura Autorizada na Bula</t>
        </is>
      </c>
      <c r="H31" s="7" t="inlineStr">
        <is>
          <t>100 a 300 L/ha</t>
        </is>
      </c>
      <c r="I31" s="7" t="inlineStr">
        <is>
          <t>20 a 40 L/ha</t>
        </is>
      </c>
      <c r="J31" s="7" t="inlineStr">
        <is>
          <t>14 dias</t>
        </is>
      </c>
    </row>
    <row r="32" ht="22" customHeight="1">
      <c r="A32" s="12" t="inlineStr">
        <is>
          <t>CUL-0028</t>
        </is>
      </c>
      <c r="B32" s="11" t="n">
        <v>6</v>
      </c>
      <c r="C32" s="13" t="inlineStr">
        <is>
          <t>Nº 1378704</t>
        </is>
      </c>
      <c r="D32" s="14" t="inlineStr">
        <is>
          <t>ACEFATO 750</t>
        </is>
      </c>
      <c r="E32" s="13" t="inlineStr">
        <is>
          <t>Pulverização Agrícola Conforme Bula</t>
        </is>
      </c>
      <c r="F32" s="13" t="inlineStr">
        <is>
          <t>Milho</t>
        </is>
      </c>
      <c r="G32" s="13" t="inlineStr">
        <is>
          <t>Cultura Autorizada na Bula</t>
        </is>
      </c>
      <c r="H32" s="13" t="inlineStr">
        <is>
          <t>100 a 300 L/ha</t>
        </is>
      </c>
      <c r="I32" s="13" t="inlineStr">
        <is>
          <t>20 a 40 L/ha</t>
        </is>
      </c>
      <c r="J32" s="13" t="inlineStr">
        <is>
          <t>21 dias</t>
        </is>
      </c>
    </row>
    <row r="33" ht="22" customHeight="1">
      <c r="A33" s="6" t="inlineStr">
        <is>
          <t>CUL-0029</t>
        </is>
      </c>
      <c r="B33" s="5" t="n">
        <v>7</v>
      </c>
      <c r="C33" s="7" t="inlineStr">
        <is>
          <t>Nº 458294</t>
        </is>
      </c>
      <c r="D33" s="8" t="inlineStr">
        <is>
          <t>ACEFATO FERSOL 750</t>
        </is>
      </c>
      <c r="E33" s="7" t="inlineStr">
        <is>
          <t>Pulverização Agrícola Conforme Bula</t>
        </is>
      </c>
      <c r="F33" s="7" t="inlineStr">
        <is>
          <t>Soja</t>
        </is>
      </c>
      <c r="G33" s="7" t="inlineStr">
        <is>
          <t>Cultura Autorizada na Bula</t>
        </is>
      </c>
      <c r="H33" s="7" t="inlineStr">
        <is>
          <t>100 a 300 L/ha</t>
        </is>
      </c>
      <c r="I33" s="7" t="inlineStr">
        <is>
          <t>20 a 40 L/ha</t>
        </is>
      </c>
      <c r="J33" s="7" t="inlineStr">
        <is>
          <t>21 dias</t>
        </is>
      </c>
    </row>
    <row r="34" ht="22" customHeight="1">
      <c r="A34" s="12" t="inlineStr">
        <is>
          <t>CUL-0030</t>
        </is>
      </c>
      <c r="B34" s="11" t="n">
        <v>7</v>
      </c>
      <c r="C34" s="13" t="inlineStr">
        <is>
          <t>Nº 458294</t>
        </is>
      </c>
      <c r="D34" s="14" t="inlineStr">
        <is>
          <t>ACEFATO FERSOL 750</t>
        </is>
      </c>
      <c r="E34" s="13" t="inlineStr">
        <is>
          <t>Pulverização Agrícola Conforme Bula</t>
        </is>
      </c>
      <c r="F34" s="13" t="inlineStr">
        <is>
          <t>Algodão</t>
        </is>
      </c>
      <c r="G34" s="13" t="inlineStr">
        <is>
          <t>Cultura Autorizada na Bula</t>
        </is>
      </c>
      <c r="H34" s="13" t="inlineStr">
        <is>
          <t>100 a 300 L/ha</t>
        </is>
      </c>
      <c r="I34" s="13" t="inlineStr">
        <is>
          <t>20 a 40 L/ha</t>
        </is>
      </c>
      <c r="J34" s="13" t="inlineStr">
        <is>
          <t>21 dias</t>
        </is>
      </c>
    </row>
    <row r="35" ht="22" customHeight="1">
      <c r="A35" s="6" t="inlineStr">
        <is>
          <t>CUL-0031</t>
        </is>
      </c>
      <c r="B35" s="5" t="n">
        <v>7</v>
      </c>
      <c r="C35" s="7" t="inlineStr">
        <is>
          <t>Nº 458294</t>
        </is>
      </c>
      <c r="D35" s="8" t="inlineStr">
        <is>
          <t>ACEFATO FERSOL 750</t>
        </is>
      </c>
      <c r="E35" s="7" t="inlineStr">
        <is>
          <t>Pulverização Agrícola Conforme Bula</t>
        </is>
      </c>
      <c r="F35" s="7" t="inlineStr">
        <is>
          <t>Feijão</t>
        </is>
      </c>
      <c r="G35" s="7" t="inlineStr">
        <is>
          <t>Cultura Autorizada na Bula</t>
        </is>
      </c>
      <c r="H35" s="7" t="inlineStr">
        <is>
          <t>100 a 300 L/ha</t>
        </is>
      </c>
      <c r="I35" s="7" t="inlineStr">
        <is>
          <t>20 a 40 L/ha</t>
        </is>
      </c>
      <c r="J35" s="7" t="inlineStr">
        <is>
          <t>14 dias</t>
        </is>
      </c>
    </row>
    <row r="36" ht="22" customHeight="1">
      <c r="A36" s="12" t="inlineStr">
        <is>
          <t>CUL-0032</t>
        </is>
      </c>
      <c r="B36" s="11" t="n">
        <v>7</v>
      </c>
      <c r="C36" s="13" t="inlineStr">
        <is>
          <t>Nº 458294</t>
        </is>
      </c>
      <c r="D36" s="14" t="inlineStr">
        <is>
          <t>ACEFATO FERSOL 750</t>
        </is>
      </c>
      <c r="E36" s="13" t="inlineStr">
        <is>
          <t>Pulverização Agrícola Conforme Bula</t>
        </is>
      </c>
      <c r="F36" s="13" t="inlineStr">
        <is>
          <t>Milho</t>
        </is>
      </c>
      <c r="G36" s="13" t="inlineStr">
        <is>
          <t>Cultura Autorizada na Bula</t>
        </is>
      </c>
      <c r="H36" s="13" t="inlineStr">
        <is>
          <t>100 a 300 L/ha</t>
        </is>
      </c>
      <c r="I36" s="13" t="inlineStr">
        <is>
          <t>20 a 40 L/ha</t>
        </is>
      </c>
      <c r="J36" s="13" t="inlineStr">
        <is>
          <t>21 dias</t>
        </is>
      </c>
    </row>
    <row r="37" ht="22" customHeight="1">
      <c r="A37" s="6" t="inlineStr">
        <is>
          <t>CUL-0033</t>
        </is>
      </c>
      <c r="B37" s="5" t="n">
        <v>8</v>
      </c>
      <c r="C37" s="7" t="inlineStr">
        <is>
          <t>Nº 20817</t>
        </is>
      </c>
      <c r="D37" s="8" t="inlineStr">
        <is>
          <t>TRISHUL 750 SP</t>
        </is>
      </c>
      <c r="E37" s="7" t="inlineStr">
        <is>
          <t>Pulverização Agrícola Conforme Bula</t>
        </is>
      </c>
      <c r="F37" s="7" t="inlineStr">
        <is>
          <t>Soja</t>
        </is>
      </c>
      <c r="G37" s="7" t="inlineStr">
        <is>
          <t>Cultura Autorizada na Bula</t>
        </is>
      </c>
      <c r="H37" s="7" t="inlineStr">
        <is>
          <t>100 a 300 L/ha</t>
        </is>
      </c>
      <c r="I37" s="7" t="inlineStr">
        <is>
          <t>20 a 40 L/ha</t>
        </is>
      </c>
      <c r="J37" s="7" t="inlineStr">
        <is>
          <t>21 dias</t>
        </is>
      </c>
    </row>
    <row r="38" ht="22" customHeight="1">
      <c r="A38" s="12" t="inlineStr">
        <is>
          <t>CUL-0034</t>
        </is>
      </c>
      <c r="B38" s="11" t="n">
        <v>8</v>
      </c>
      <c r="C38" s="13" t="inlineStr">
        <is>
          <t>Nº 20817</t>
        </is>
      </c>
      <c r="D38" s="14" t="inlineStr">
        <is>
          <t>TRISHUL 750 SP</t>
        </is>
      </c>
      <c r="E38" s="13" t="inlineStr">
        <is>
          <t>Pulverização Agrícola Conforme Bula</t>
        </is>
      </c>
      <c r="F38" s="13" t="inlineStr">
        <is>
          <t>Algodão</t>
        </is>
      </c>
      <c r="G38" s="13" t="inlineStr">
        <is>
          <t>Cultura Autorizada na Bula</t>
        </is>
      </c>
      <c r="H38" s="13" t="inlineStr">
        <is>
          <t>100 a 300 L/ha</t>
        </is>
      </c>
      <c r="I38" s="13" t="inlineStr">
        <is>
          <t>20 a 40 L/ha</t>
        </is>
      </c>
      <c r="J38" s="13" t="inlineStr">
        <is>
          <t>21 dias</t>
        </is>
      </c>
    </row>
    <row r="39" ht="22" customHeight="1">
      <c r="A39" s="6" t="inlineStr">
        <is>
          <t>CUL-0035</t>
        </is>
      </c>
      <c r="B39" s="5" t="n">
        <v>8</v>
      </c>
      <c r="C39" s="7" t="inlineStr">
        <is>
          <t>Nº 20817</t>
        </is>
      </c>
      <c r="D39" s="8" t="inlineStr">
        <is>
          <t>TRISHUL 750 SP</t>
        </is>
      </c>
      <c r="E39" s="7" t="inlineStr">
        <is>
          <t>Pulverização Agrícola Conforme Bula</t>
        </is>
      </c>
      <c r="F39" s="7" t="inlineStr">
        <is>
          <t>Feijão</t>
        </is>
      </c>
      <c r="G39" s="7" t="inlineStr">
        <is>
          <t>Cultura Autorizada na Bula</t>
        </is>
      </c>
      <c r="H39" s="7" t="inlineStr">
        <is>
          <t>100 a 300 L/ha</t>
        </is>
      </c>
      <c r="I39" s="7" t="inlineStr">
        <is>
          <t>20 a 40 L/ha</t>
        </is>
      </c>
      <c r="J39" s="7" t="inlineStr">
        <is>
          <t>14 dias</t>
        </is>
      </c>
    </row>
    <row r="40" ht="22" customHeight="1">
      <c r="A40" s="12" t="inlineStr">
        <is>
          <t>CUL-0036</t>
        </is>
      </c>
      <c r="B40" s="11" t="n">
        <v>8</v>
      </c>
      <c r="C40" s="13" t="inlineStr">
        <is>
          <t>Nº 20817</t>
        </is>
      </c>
      <c r="D40" s="14" t="inlineStr">
        <is>
          <t>TRISHUL 750 SP</t>
        </is>
      </c>
      <c r="E40" s="13" t="inlineStr">
        <is>
          <t>Pulverização Agrícola Conforme Bula</t>
        </is>
      </c>
      <c r="F40" s="13" t="inlineStr">
        <is>
          <t>Milho</t>
        </is>
      </c>
      <c r="G40" s="13" t="inlineStr">
        <is>
          <t>Cultura Autorizada na Bula</t>
        </is>
      </c>
      <c r="H40" s="13" t="inlineStr">
        <is>
          <t>100 a 300 L/ha</t>
        </is>
      </c>
      <c r="I40" s="13" t="inlineStr">
        <is>
          <t>20 a 40 L/ha</t>
        </is>
      </c>
      <c r="J40" s="13" t="inlineStr">
        <is>
          <t>21 dias</t>
        </is>
      </c>
    </row>
    <row r="41" ht="22" customHeight="1">
      <c r="A41" s="6" t="inlineStr">
        <is>
          <t>CUL-0037</t>
        </is>
      </c>
      <c r="B41" s="5" t="n">
        <v>9</v>
      </c>
      <c r="C41" s="7" t="inlineStr">
        <is>
          <t>Nº 1378704</t>
        </is>
      </c>
      <c r="D41" s="8" t="inlineStr">
        <is>
          <t>CEFANOL</t>
        </is>
      </c>
      <c r="E41" s="7" t="inlineStr">
        <is>
          <t>Pulverização Agrícola Conforme Bula</t>
        </is>
      </c>
      <c r="F41" s="7" t="inlineStr">
        <is>
          <t>Soja</t>
        </is>
      </c>
      <c r="G41" s="7" t="inlineStr">
        <is>
          <t>Cultura Autorizada na Bula</t>
        </is>
      </c>
      <c r="H41" s="7" t="inlineStr">
        <is>
          <t>100 a 300 L/ha</t>
        </is>
      </c>
      <c r="I41" s="7" t="inlineStr">
        <is>
          <t>20 a 40 L/ha</t>
        </is>
      </c>
      <c r="J41" s="7" t="inlineStr">
        <is>
          <t>21 dias</t>
        </is>
      </c>
    </row>
    <row r="42" ht="22" customHeight="1">
      <c r="A42" s="12" t="inlineStr">
        <is>
          <t>CUL-0038</t>
        </is>
      </c>
      <c r="B42" s="11" t="n">
        <v>9</v>
      </c>
      <c r="C42" s="13" t="inlineStr">
        <is>
          <t>Nº 1378704</t>
        </is>
      </c>
      <c r="D42" s="14" t="inlineStr">
        <is>
          <t>CEFANOL</t>
        </is>
      </c>
      <c r="E42" s="13" t="inlineStr">
        <is>
          <t>Pulverização Agrícola Conforme Bula</t>
        </is>
      </c>
      <c r="F42" s="13" t="inlineStr">
        <is>
          <t>Algodão</t>
        </is>
      </c>
      <c r="G42" s="13" t="inlineStr">
        <is>
          <t>Cultura Autorizada na Bula</t>
        </is>
      </c>
      <c r="H42" s="13" t="inlineStr">
        <is>
          <t>100 a 300 L/ha</t>
        </is>
      </c>
      <c r="I42" s="13" t="inlineStr">
        <is>
          <t>20 a 40 L/ha</t>
        </is>
      </c>
      <c r="J42" s="13" t="inlineStr">
        <is>
          <t>21 dias</t>
        </is>
      </c>
    </row>
    <row r="43" ht="22" customHeight="1">
      <c r="A43" s="6" t="inlineStr">
        <is>
          <t>CUL-0039</t>
        </is>
      </c>
      <c r="B43" s="5" t="n">
        <v>9</v>
      </c>
      <c r="C43" s="7" t="inlineStr">
        <is>
          <t>Nº 1378704</t>
        </is>
      </c>
      <c r="D43" s="8" t="inlineStr">
        <is>
          <t>CEFANOL</t>
        </is>
      </c>
      <c r="E43" s="7" t="inlineStr">
        <is>
          <t>Pulverização Agrícola Conforme Bula</t>
        </is>
      </c>
      <c r="F43" s="7" t="inlineStr">
        <is>
          <t>Feijão</t>
        </is>
      </c>
      <c r="G43" s="7" t="inlineStr">
        <is>
          <t>Cultura Autorizada na Bula</t>
        </is>
      </c>
      <c r="H43" s="7" t="inlineStr">
        <is>
          <t>100 a 300 L/ha</t>
        </is>
      </c>
      <c r="I43" s="7" t="inlineStr">
        <is>
          <t>20 a 40 L/ha</t>
        </is>
      </c>
      <c r="J43" s="7" t="inlineStr">
        <is>
          <t>14 dias</t>
        </is>
      </c>
    </row>
    <row r="44" ht="22" customHeight="1">
      <c r="A44" s="12" t="inlineStr">
        <is>
          <t>CUL-0040</t>
        </is>
      </c>
      <c r="B44" s="11" t="n">
        <v>9</v>
      </c>
      <c r="C44" s="13" t="inlineStr">
        <is>
          <t>Nº 1378704</t>
        </is>
      </c>
      <c r="D44" s="14" t="inlineStr">
        <is>
          <t>CEFANOL</t>
        </is>
      </c>
      <c r="E44" s="13" t="inlineStr">
        <is>
          <t>Pulverização Agrícola Conforme Bula</t>
        </is>
      </c>
      <c r="F44" s="13" t="inlineStr">
        <is>
          <t>Milho</t>
        </is>
      </c>
      <c r="G44" s="13" t="inlineStr">
        <is>
          <t>Cultura Autorizada na Bula</t>
        </is>
      </c>
      <c r="H44" s="13" t="inlineStr">
        <is>
          <t>100 a 300 L/ha</t>
        </is>
      </c>
      <c r="I44" s="13" t="inlineStr">
        <is>
          <t>20 a 40 L/ha</t>
        </is>
      </c>
      <c r="J44" s="13" t="inlineStr">
        <is>
          <t>21 dias</t>
        </is>
      </c>
    </row>
    <row r="45" ht="22" customHeight="1">
      <c r="A45" s="6" t="inlineStr">
        <is>
          <t>CUL-0041</t>
        </is>
      </c>
      <c r="B45" s="5" t="n">
        <v>10</v>
      </c>
      <c r="C45" s="7" t="inlineStr">
        <is>
          <t>Nº 23121</t>
        </is>
      </c>
      <c r="D45" s="8" t="inlineStr">
        <is>
          <t>ASLAN SL</t>
        </is>
      </c>
      <c r="E45" s="7" t="inlineStr">
        <is>
          <t>Pulverização Agrícola Conforme Bula</t>
        </is>
      </c>
      <c r="F45" s="7" t="inlineStr">
        <is>
          <t>Algodão</t>
        </is>
      </c>
      <c r="G45" s="7" t="inlineStr">
        <is>
          <t>Cultura Autorizada na Bula</t>
        </is>
      </c>
      <c r="H45" s="7" t="inlineStr">
        <is>
          <t>100 a 300 L/ha</t>
        </is>
      </c>
      <c r="I45" s="7" t="inlineStr">
        <is>
          <t>20 a 40 L/ha</t>
        </is>
      </c>
      <c r="J45" s="7" t="inlineStr">
        <is>
          <t>15 dias</t>
        </is>
      </c>
    </row>
    <row r="46" ht="22" customHeight="1">
      <c r="A46" s="12" t="inlineStr">
        <is>
          <t>CUL-0042</t>
        </is>
      </c>
      <c r="B46" s="11" t="n">
        <v>10</v>
      </c>
      <c r="C46" s="13" t="inlineStr">
        <is>
          <t>Nº 23121</t>
        </is>
      </c>
      <c r="D46" s="14" t="inlineStr">
        <is>
          <t>ASLAN SL</t>
        </is>
      </c>
      <c r="E46" s="13" t="inlineStr">
        <is>
          <t>Pulverização Agrícola Conforme Bula</t>
        </is>
      </c>
      <c r="F46" s="13" t="inlineStr">
        <is>
          <t>Soja</t>
        </is>
      </c>
      <c r="G46" s="13" t="inlineStr">
        <is>
          <t>Cultura Autorizada na Bula</t>
        </is>
      </c>
      <c r="H46" s="13" t="inlineStr">
        <is>
          <t>100 a 300 L/ha</t>
        </is>
      </c>
      <c r="I46" s="13" t="inlineStr">
        <is>
          <t>20 a 40 L/ha</t>
        </is>
      </c>
      <c r="J46" s="13" t="inlineStr">
        <is>
          <t>30 dias</t>
        </is>
      </c>
    </row>
    <row r="47" ht="22" customHeight="1">
      <c r="A47" s="6" t="inlineStr">
        <is>
          <t>CUL-0043</t>
        </is>
      </c>
      <c r="B47" s="5" t="n">
        <v>10</v>
      </c>
      <c r="C47" s="7" t="inlineStr">
        <is>
          <t>Nº 23121</t>
        </is>
      </c>
      <c r="D47" s="8" t="inlineStr">
        <is>
          <t>ASLAN SL</t>
        </is>
      </c>
      <c r="E47" s="7" t="inlineStr">
        <is>
          <t>Pulverização Agrícola Conforme Bula</t>
        </is>
      </c>
      <c r="F47" s="7" t="inlineStr">
        <is>
          <t>Milho</t>
        </is>
      </c>
      <c r="G47" s="7" t="inlineStr">
        <is>
          <t>Cultura Autorizada na Bula</t>
        </is>
      </c>
      <c r="H47" s="7" t="inlineStr">
        <is>
          <t>100 a 300 L/ha</t>
        </is>
      </c>
      <c r="I47" s="7" t="inlineStr">
        <is>
          <t>20 a 40 L/ha</t>
        </is>
      </c>
      <c r="J47" s="7" t="inlineStr">
        <is>
          <t>30 dias</t>
        </is>
      </c>
    </row>
    <row r="48" ht="22" customHeight="1">
      <c r="A48" s="12" t="inlineStr">
        <is>
          <t>CUL-0044</t>
        </is>
      </c>
      <c r="B48" s="11" t="n">
        <v>10</v>
      </c>
      <c r="C48" s="13" t="inlineStr">
        <is>
          <t>Nº 23121</t>
        </is>
      </c>
      <c r="D48" s="14" t="inlineStr">
        <is>
          <t>ASLAN SL</t>
        </is>
      </c>
      <c r="E48" s="13" t="inlineStr">
        <is>
          <t>Pulverização Agrícola Conforme Bula</t>
        </is>
      </c>
      <c r="F48" s="13" t="inlineStr">
        <is>
          <t>Cana-de-açúcar</t>
        </is>
      </c>
      <c r="G48" s="13" t="inlineStr">
        <is>
          <t>Cultura Autorizada na Bula</t>
        </is>
      </c>
      <c r="H48" s="13" t="inlineStr">
        <is>
          <t>100 a 300 L/ha</t>
        </is>
      </c>
      <c r="I48" s="13" t="inlineStr">
        <is>
          <t>20 a 40 L/ha</t>
        </is>
      </c>
      <c r="J48" s="13" t="inlineStr">
        <is>
          <t>30 dias</t>
        </is>
      </c>
    </row>
    <row r="49" ht="22" customHeight="1">
      <c r="A49" s="6" t="inlineStr">
        <is>
          <t>CUL-0045</t>
        </is>
      </c>
      <c r="B49" s="5" t="n">
        <v>10</v>
      </c>
      <c r="C49" s="7" t="inlineStr">
        <is>
          <t>Nº 23121</t>
        </is>
      </c>
      <c r="D49" s="8" t="inlineStr">
        <is>
          <t>ASLAN SL</t>
        </is>
      </c>
      <c r="E49" s="7" t="inlineStr">
        <is>
          <t>Pulverização Agrícola Conforme Bula</t>
        </is>
      </c>
      <c r="F49" s="7" t="inlineStr">
        <is>
          <t>Café</t>
        </is>
      </c>
      <c r="G49" s="7" t="inlineStr">
        <is>
          <t>Cultura Autorizada na Bula</t>
        </is>
      </c>
      <c r="H49" s="7" t="inlineStr">
        <is>
          <t>100 a 300 L/ha</t>
        </is>
      </c>
      <c r="I49" s="7" t="inlineStr">
        <is>
          <t>20 a 40 L/ha</t>
        </is>
      </c>
      <c r="J49" s="7" t="inlineStr">
        <is>
          <t>30 dias</t>
        </is>
      </c>
    </row>
    <row r="50" ht="22" customHeight="1">
      <c r="A50" s="12" t="inlineStr">
        <is>
          <t>CUL-0046</t>
        </is>
      </c>
      <c r="B50" s="11" t="n">
        <v>10</v>
      </c>
      <c r="C50" s="13" t="inlineStr">
        <is>
          <t>Nº 23121</t>
        </is>
      </c>
      <c r="D50" s="14" t="inlineStr">
        <is>
          <t>ASLAN SL</t>
        </is>
      </c>
      <c r="E50" s="13" t="inlineStr">
        <is>
          <t>Pulverização Agrícola Conforme Bula</t>
        </is>
      </c>
      <c r="F50" s="13" t="inlineStr">
        <is>
          <t>Citros</t>
        </is>
      </c>
      <c r="G50" s="13" t="inlineStr">
        <is>
          <t>Cultura Autorizada na Bula</t>
        </is>
      </c>
      <c r="H50" s="13" t="inlineStr">
        <is>
          <t>100 a 300 L/ha</t>
        </is>
      </c>
      <c r="I50" s="13" t="inlineStr">
        <is>
          <t>20 a 40 L/ha</t>
        </is>
      </c>
      <c r="J50" s="13" t="inlineStr">
        <is>
          <t>7 dias</t>
        </is>
      </c>
    </row>
    <row r="51" ht="22" customHeight="1">
      <c r="A51" s="6" t="inlineStr">
        <is>
          <t>CUL-0047</t>
        </is>
      </c>
      <c r="B51" s="5" t="n">
        <v>10</v>
      </c>
      <c r="C51" s="7" t="inlineStr">
        <is>
          <t>Nº 23121</t>
        </is>
      </c>
      <c r="D51" s="8" t="inlineStr">
        <is>
          <t>ASLAN SL</t>
        </is>
      </c>
      <c r="E51" s="7" t="inlineStr">
        <is>
          <t>Pulverização Agrícola Conforme Bula</t>
        </is>
      </c>
      <c r="F51" s="7" t="inlineStr">
        <is>
          <t>Feijão</t>
        </is>
      </c>
      <c r="G51" s="7" t="inlineStr">
        <is>
          <t>Cultura Autorizada na Bula</t>
        </is>
      </c>
      <c r="H51" s="7" t="inlineStr">
        <is>
          <t>100 a 300 L/ha</t>
        </is>
      </c>
      <c r="I51" s="7" t="inlineStr">
        <is>
          <t>20 a 40 L/ha</t>
        </is>
      </c>
      <c r="J51" s="7" t="inlineStr">
        <is>
          <t>20 dias</t>
        </is>
      </c>
    </row>
    <row r="52" ht="22" customHeight="1">
      <c r="A52" s="12" t="inlineStr">
        <is>
          <t>CUL-0048</t>
        </is>
      </c>
      <c r="B52" s="11" t="n">
        <v>10</v>
      </c>
      <c r="C52" s="13" t="inlineStr">
        <is>
          <t>Nº 23121</t>
        </is>
      </c>
      <c r="D52" s="14" t="inlineStr">
        <is>
          <t>ASLAN SL</t>
        </is>
      </c>
      <c r="E52" s="13" t="inlineStr">
        <is>
          <t>Pulverização Agrícola Conforme Bula</t>
        </is>
      </c>
      <c r="F52" s="13" t="inlineStr">
        <is>
          <t>Trigo</t>
        </is>
      </c>
      <c r="G52" s="13" t="inlineStr">
        <is>
          <t>Cultura Autorizada na Bula</t>
        </is>
      </c>
      <c r="H52" s="13" t="inlineStr">
        <is>
          <t>100 a 300 L/ha</t>
        </is>
      </c>
      <c r="I52" s="13" t="inlineStr">
        <is>
          <t>20 a 40 L/ha</t>
        </is>
      </c>
      <c r="J52" s="13" t="inlineStr">
        <is>
          <t>30 dias</t>
        </is>
      </c>
    </row>
    <row r="53" ht="22" customHeight="1">
      <c r="A53" s="6" t="inlineStr">
        <is>
          <t>CUL-0049</t>
        </is>
      </c>
      <c r="B53" s="5" t="n">
        <v>11</v>
      </c>
      <c r="C53" s="7" t="inlineStr">
        <is>
          <t>Nº 26718</t>
        </is>
      </c>
      <c r="D53" s="8" t="inlineStr">
        <is>
          <t>DINKY</t>
        </is>
      </c>
      <c r="E53" s="7" t="inlineStr">
        <is>
          <t>Pulverização Agrícola Conforme Bula</t>
        </is>
      </c>
      <c r="F53" s="7" t="inlineStr">
        <is>
          <t>Algodão</t>
        </is>
      </c>
      <c r="G53" s="7" t="inlineStr">
        <is>
          <t>Cultura Autorizada na Bula</t>
        </is>
      </c>
      <c r="H53" s="7" t="inlineStr">
        <is>
          <t>100 a 300 L/ha</t>
        </is>
      </c>
      <c r="I53" s="7" t="inlineStr">
        <is>
          <t>20 a 40 L/ha</t>
        </is>
      </c>
      <c r="J53" s="7" t="inlineStr">
        <is>
          <t>28 dias</t>
        </is>
      </c>
    </row>
    <row r="54" ht="22" customHeight="1">
      <c r="A54" s="12" t="inlineStr">
        <is>
          <t>CUL-0050</t>
        </is>
      </c>
      <c r="B54" s="11" t="n">
        <v>11</v>
      </c>
      <c r="C54" s="13" t="inlineStr">
        <is>
          <t>Nº 26718</t>
        </is>
      </c>
      <c r="D54" s="14" t="inlineStr">
        <is>
          <t>DINKY</t>
        </is>
      </c>
      <c r="E54" s="13" t="inlineStr">
        <is>
          <t>Pulverização Agrícola Conforme Bula</t>
        </is>
      </c>
      <c r="F54" s="13" t="inlineStr">
        <is>
          <t>Soja</t>
        </is>
      </c>
      <c r="G54" s="13" t="inlineStr">
        <is>
          <t>Cultura Autorizada na Bula</t>
        </is>
      </c>
      <c r="H54" s="13" t="inlineStr">
        <is>
          <t>100 a 300 L/ha</t>
        </is>
      </c>
      <c r="I54" s="13" t="inlineStr">
        <is>
          <t>20 a 40 L/ha</t>
        </is>
      </c>
      <c r="J54" s="13" t="inlineStr">
        <is>
          <t>21 dias</t>
        </is>
      </c>
    </row>
    <row r="55" ht="22" customHeight="1">
      <c r="A55" s="6" t="inlineStr">
        <is>
          <t>CUL-0051</t>
        </is>
      </c>
      <c r="B55" s="5" t="n">
        <v>11</v>
      </c>
      <c r="C55" s="7" t="inlineStr">
        <is>
          <t>Nº 26718</t>
        </is>
      </c>
      <c r="D55" s="8" t="inlineStr">
        <is>
          <t>DINKY</t>
        </is>
      </c>
      <c r="E55" s="7" t="inlineStr">
        <is>
          <t>Pulverização Agrícola Conforme Bula</t>
        </is>
      </c>
      <c r="F55" s="7" t="inlineStr">
        <is>
          <t>Milho</t>
        </is>
      </c>
      <c r="G55" s="7" t="inlineStr">
        <is>
          <t>Cultura Autorizada na Bula</t>
        </is>
      </c>
      <c r="H55" s="7" t="inlineStr">
        <is>
          <t>100 a 300 L/ha</t>
        </is>
      </c>
      <c r="I55" s="7" t="inlineStr">
        <is>
          <t>20 a 40 L/ha</t>
        </is>
      </c>
      <c r="J55" s="7" t="inlineStr">
        <is>
          <t>30 dias</t>
        </is>
      </c>
    </row>
    <row r="56" ht="22" customHeight="1">
      <c r="A56" s="12" t="inlineStr">
        <is>
          <t>CUL-0052</t>
        </is>
      </c>
      <c r="B56" s="11" t="n">
        <v>11</v>
      </c>
      <c r="C56" s="13" t="inlineStr">
        <is>
          <t>Nº 26718</t>
        </is>
      </c>
      <c r="D56" s="14" t="inlineStr">
        <is>
          <t>DINKY</t>
        </is>
      </c>
      <c r="E56" s="13" t="inlineStr">
        <is>
          <t>Pulverização Agrícola Conforme Bula</t>
        </is>
      </c>
      <c r="F56" s="13" t="inlineStr">
        <is>
          <t>Feijão</t>
        </is>
      </c>
      <c r="G56" s="13" t="inlineStr">
        <is>
          <t>Cultura Autorizada na Bula</t>
        </is>
      </c>
      <c r="H56" s="13" t="inlineStr">
        <is>
          <t>100 a 300 L/ha</t>
        </is>
      </c>
      <c r="I56" s="13" t="inlineStr">
        <is>
          <t>20 a 40 L/ha</t>
        </is>
      </c>
      <c r="J56" s="13" t="inlineStr">
        <is>
          <t>14 dias</t>
        </is>
      </c>
    </row>
    <row r="57" ht="22" customHeight="1">
      <c r="A57" s="6" t="inlineStr">
        <is>
          <t>CUL-0053</t>
        </is>
      </c>
      <c r="B57" s="5" t="n">
        <v>11</v>
      </c>
      <c r="C57" s="7" t="inlineStr">
        <is>
          <t>Nº 26718</t>
        </is>
      </c>
      <c r="D57" s="8" t="inlineStr">
        <is>
          <t>DINKY</t>
        </is>
      </c>
      <c r="E57" s="7" t="inlineStr">
        <is>
          <t>Pulverização Agrícola Conforme Bula</t>
        </is>
      </c>
      <c r="F57" s="7" t="inlineStr">
        <is>
          <t>Café</t>
        </is>
      </c>
      <c r="G57" s="7" t="inlineStr">
        <is>
          <t>Cultura Autorizada na Bula</t>
        </is>
      </c>
      <c r="H57" s="7" t="inlineStr">
        <is>
          <t>100 a 300 L/ha</t>
        </is>
      </c>
      <c r="I57" s="7" t="inlineStr">
        <is>
          <t>20 a 40 L/ha</t>
        </is>
      </c>
      <c r="J57" s="7" t="inlineStr">
        <is>
          <t>28 dias</t>
        </is>
      </c>
    </row>
    <row r="58" ht="22" customHeight="1">
      <c r="A58" s="12" t="inlineStr">
        <is>
          <t>CUL-0054</t>
        </is>
      </c>
      <c r="B58" s="11" t="n">
        <v>11</v>
      </c>
      <c r="C58" s="13" t="inlineStr">
        <is>
          <t>Nº 26718</t>
        </is>
      </c>
      <c r="D58" s="14" t="inlineStr">
        <is>
          <t>DINKY</t>
        </is>
      </c>
      <c r="E58" s="13" t="inlineStr">
        <is>
          <t>Pulverização Agrícola Conforme Bula</t>
        </is>
      </c>
      <c r="F58" s="13" t="inlineStr">
        <is>
          <t>Citros</t>
        </is>
      </c>
      <c r="G58" s="13" t="inlineStr">
        <is>
          <t>Cultura Autorizada na Bula</t>
        </is>
      </c>
      <c r="H58" s="13" t="inlineStr">
        <is>
          <t>100 a 300 L/ha</t>
        </is>
      </c>
      <c r="I58" s="13" t="inlineStr">
        <is>
          <t>20 a 40 L/ha</t>
        </is>
      </c>
      <c r="J58" s="13" t="inlineStr">
        <is>
          <t>7 dias</t>
        </is>
      </c>
    </row>
    <row r="59" ht="22" customHeight="1">
      <c r="A59" s="6" t="inlineStr">
        <is>
          <t>CUL-0055</t>
        </is>
      </c>
      <c r="B59" s="5" t="n">
        <v>11</v>
      </c>
      <c r="C59" s="7" t="inlineStr">
        <is>
          <t>Nº 26718</t>
        </is>
      </c>
      <c r="D59" s="8" t="inlineStr">
        <is>
          <t>DINKY</t>
        </is>
      </c>
      <c r="E59" s="7" t="inlineStr">
        <is>
          <t>Pulverização Agrícola Conforme Bula</t>
        </is>
      </c>
      <c r="F59" s="7" t="inlineStr">
        <is>
          <t>Tomate</t>
        </is>
      </c>
      <c r="G59" s="7" t="inlineStr">
        <is>
          <t>Cultura Autorizada na Bula</t>
        </is>
      </c>
      <c r="H59" s="7" t="inlineStr">
        <is>
          <t>100 a 300 L/ha</t>
        </is>
      </c>
      <c r="I59" s="7" t="inlineStr">
        <is>
          <t>20 a 40 L/ha</t>
        </is>
      </c>
      <c r="J59" s="7" t="inlineStr">
        <is>
          <t>3 dias</t>
        </is>
      </c>
    </row>
    <row r="60" ht="22" customHeight="1">
      <c r="A60" s="12" t="inlineStr">
        <is>
          <t>CUL-0056</t>
        </is>
      </c>
      <c r="B60" s="11" t="n">
        <v>12</v>
      </c>
      <c r="C60" s="13" t="inlineStr">
        <is>
          <t>Nº 11018</t>
        </is>
      </c>
      <c r="D60" s="14" t="inlineStr">
        <is>
          <t>JAVA 200 SP</t>
        </is>
      </c>
      <c r="E60" s="13" t="inlineStr">
        <is>
          <t>Pulverização Agrícola Conforme Bula</t>
        </is>
      </c>
      <c r="F60" s="13" t="inlineStr">
        <is>
          <t>Algodão</t>
        </is>
      </c>
      <c r="G60" s="13" t="inlineStr">
        <is>
          <t>Cultura Autorizada na Bula</t>
        </is>
      </c>
      <c r="H60" s="13" t="inlineStr">
        <is>
          <t>100 a 300 L/ha</t>
        </is>
      </c>
      <c r="I60" s="13" t="inlineStr">
        <is>
          <t>20 a 40 L/ha</t>
        </is>
      </c>
      <c r="J60" s="13" t="inlineStr">
        <is>
          <t>28 dias</t>
        </is>
      </c>
    </row>
    <row r="61" ht="22" customHeight="1">
      <c r="A61" s="6" t="inlineStr">
        <is>
          <t>CUL-0057</t>
        </is>
      </c>
      <c r="B61" s="5" t="n">
        <v>12</v>
      </c>
      <c r="C61" s="7" t="inlineStr">
        <is>
          <t>Nº 11018</t>
        </is>
      </c>
      <c r="D61" s="8" t="inlineStr">
        <is>
          <t>JAVA 200 SP</t>
        </is>
      </c>
      <c r="E61" s="7" t="inlineStr">
        <is>
          <t>Pulverização Agrícola Conforme Bula</t>
        </is>
      </c>
      <c r="F61" s="7" t="inlineStr">
        <is>
          <t>Soja</t>
        </is>
      </c>
      <c r="G61" s="7" t="inlineStr">
        <is>
          <t>Cultura Autorizada na Bula</t>
        </is>
      </c>
      <c r="H61" s="7" t="inlineStr">
        <is>
          <t>100 a 300 L/ha</t>
        </is>
      </c>
      <c r="I61" s="7" t="inlineStr">
        <is>
          <t>20 a 40 L/ha</t>
        </is>
      </c>
      <c r="J61" s="7" t="inlineStr">
        <is>
          <t>21 dias</t>
        </is>
      </c>
    </row>
    <row r="62" ht="22" customHeight="1">
      <c r="A62" s="12" t="inlineStr">
        <is>
          <t>CUL-0058</t>
        </is>
      </c>
      <c r="B62" s="11" t="n">
        <v>12</v>
      </c>
      <c r="C62" s="13" t="inlineStr">
        <is>
          <t>Nº 11018</t>
        </is>
      </c>
      <c r="D62" s="14" t="inlineStr">
        <is>
          <t>JAVA 200 SP</t>
        </is>
      </c>
      <c r="E62" s="13" t="inlineStr">
        <is>
          <t>Pulverização Agrícola Conforme Bula</t>
        </is>
      </c>
      <c r="F62" s="13" t="inlineStr">
        <is>
          <t>Milho</t>
        </is>
      </c>
      <c r="G62" s="13" t="inlineStr">
        <is>
          <t>Cultura Autorizada na Bula</t>
        </is>
      </c>
      <c r="H62" s="13" t="inlineStr">
        <is>
          <t>100 a 300 L/ha</t>
        </is>
      </c>
      <c r="I62" s="13" t="inlineStr">
        <is>
          <t>20 a 40 L/ha</t>
        </is>
      </c>
      <c r="J62" s="13" t="inlineStr">
        <is>
          <t>30 dias</t>
        </is>
      </c>
    </row>
    <row r="63" ht="22" customHeight="1">
      <c r="A63" s="6" t="inlineStr">
        <is>
          <t>CUL-0059</t>
        </is>
      </c>
      <c r="B63" s="5" t="n">
        <v>12</v>
      </c>
      <c r="C63" s="7" t="inlineStr">
        <is>
          <t>Nº 11018</t>
        </is>
      </c>
      <c r="D63" s="8" t="inlineStr">
        <is>
          <t>JAVA 200 SP</t>
        </is>
      </c>
      <c r="E63" s="7" t="inlineStr">
        <is>
          <t>Pulverização Agrícola Conforme Bula</t>
        </is>
      </c>
      <c r="F63" s="7" t="inlineStr">
        <is>
          <t>Feijão</t>
        </is>
      </c>
      <c r="G63" s="7" t="inlineStr">
        <is>
          <t>Cultura Autorizada na Bula</t>
        </is>
      </c>
      <c r="H63" s="7" t="inlineStr">
        <is>
          <t>100 a 300 L/ha</t>
        </is>
      </c>
      <c r="I63" s="7" t="inlineStr">
        <is>
          <t>20 a 40 L/ha</t>
        </is>
      </c>
      <c r="J63" s="7" t="inlineStr">
        <is>
          <t>14 dias</t>
        </is>
      </c>
    </row>
    <row r="64" ht="22" customHeight="1">
      <c r="A64" s="12" t="inlineStr">
        <is>
          <t>CUL-0060</t>
        </is>
      </c>
      <c r="B64" s="11" t="n">
        <v>12</v>
      </c>
      <c r="C64" s="13" t="inlineStr">
        <is>
          <t>Nº 11018</t>
        </is>
      </c>
      <c r="D64" s="14" t="inlineStr">
        <is>
          <t>JAVA 200 SP</t>
        </is>
      </c>
      <c r="E64" s="13" t="inlineStr">
        <is>
          <t>Pulverização Agrícola Conforme Bula</t>
        </is>
      </c>
      <c r="F64" s="13" t="inlineStr">
        <is>
          <t>Café</t>
        </is>
      </c>
      <c r="G64" s="13" t="inlineStr">
        <is>
          <t>Cultura Autorizada na Bula</t>
        </is>
      </c>
      <c r="H64" s="13" t="inlineStr">
        <is>
          <t>100 a 300 L/ha</t>
        </is>
      </c>
      <c r="I64" s="13" t="inlineStr">
        <is>
          <t>20 a 40 L/ha</t>
        </is>
      </c>
      <c r="J64" s="13" t="inlineStr">
        <is>
          <t>28 dias</t>
        </is>
      </c>
    </row>
    <row r="65" ht="22" customHeight="1">
      <c r="A65" s="6" t="inlineStr">
        <is>
          <t>CUL-0061</t>
        </is>
      </c>
      <c r="B65" s="5" t="n">
        <v>12</v>
      </c>
      <c r="C65" s="7" t="inlineStr">
        <is>
          <t>Nº 11018</t>
        </is>
      </c>
      <c r="D65" s="8" t="inlineStr">
        <is>
          <t>JAVA 200 SP</t>
        </is>
      </c>
      <c r="E65" s="7" t="inlineStr">
        <is>
          <t>Pulverização Agrícola Conforme Bula</t>
        </is>
      </c>
      <c r="F65" s="7" t="inlineStr">
        <is>
          <t>Citros</t>
        </is>
      </c>
      <c r="G65" s="7" t="inlineStr">
        <is>
          <t>Cultura Autorizada na Bula</t>
        </is>
      </c>
      <c r="H65" s="7" t="inlineStr">
        <is>
          <t>100 a 300 L/ha</t>
        </is>
      </c>
      <c r="I65" s="7" t="inlineStr">
        <is>
          <t>20 a 40 L/ha</t>
        </is>
      </c>
      <c r="J65" s="7" t="inlineStr">
        <is>
          <t>7 dias</t>
        </is>
      </c>
    </row>
    <row r="66" ht="22" customHeight="1">
      <c r="A66" s="12" t="inlineStr">
        <is>
          <t>CUL-0062</t>
        </is>
      </c>
      <c r="B66" s="11" t="n">
        <v>12</v>
      </c>
      <c r="C66" s="13" t="inlineStr">
        <is>
          <t>Nº 11018</t>
        </is>
      </c>
      <c r="D66" s="14" t="inlineStr">
        <is>
          <t>JAVA 200 SP</t>
        </is>
      </c>
      <c r="E66" s="13" t="inlineStr">
        <is>
          <t>Pulverização Agrícola Conforme Bula</t>
        </is>
      </c>
      <c r="F66" s="13" t="inlineStr">
        <is>
          <t>Tomate</t>
        </is>
      </c>
      <c r="G66" s="13" t="inlineStr">
        <is>
          <t>Cultura Autorizada na Bula</t>
        </is>
      </c>
      <c r="H66" s="13" t="inlineStr">
        <is>
          <t>100 a 300 L/ha</t>
        </is>
      </c>
      <c r="I66" s="13" t="inlineStr">
        <is>
          <t>20 a 40 L/ha</t>
        </is>
      </c>
      <c r="J66" s="13" t="inlineStr">
        <is>
          <t>3 dias</t>
        </is>
      </c>
    </row>
    <row r="67" ht="22" customHeight="1">
      <c r="A67" s="6" t="inlineStr">
        <is>
          <t>CUL-0063</t>
        </is>
      </c>
      <c r="B67" s="5" t="n">
        <v>13</v>
      </c>
      <c r="C67" s="7" t="inlineStr">
        <is>
          <t>Nº 28017</t>
        </is>
      </c>
      <c r="D67" s="8" t="inlineStr">
        <is>
          <t>RODOLIA 200 SP</t>
        </is>
      </c>
      <c r="E67" s="7" t="inlineStr">
        <is>
          <t>Pulverização Agrícola Conforme Bula</t>
        </is>
      </c>
      <c r="F67" s="7" t="inlineStr">
        <is>
          <t>Algodão</t>
        </is>
      </c>
      <c r="G67" s="7" t="inlineStr">
        <is>
          <t>Cultura Autorizada na Bula</t>
        </is>
      </c>
      <c r="H67" s="7" t="inlineStr">
        <is>
          <t>100 a 300 L/ha</t>
        </is>
      </c>
      <c r="I67" s="7" t="inlineStr">
        <is>
          <t>20 a 40 L/ha</t>
        </is>
      </c>
      <c r="J67" s="7" t="inlineStr">
        <is>
          <t>28 dias</t>
        </is>
      </c>
    </row>
    <row r="68" ht="22" customHeight="1">
      <c r="A68" s="12" t="inlineStr">
        <is>
          <t>CUL-0064</t>
        </is>
      </c>
      <c r="B68" s="11" t="n">
        <v>13</v>
      </c>
      <c r="C68" s="13" t="inlineStr">
        <is>
          <t>Nº 28017</t>
        </is>
      </c>
      <c r="D68" s="14" t="inlineStr">
        <is>
          <t>RODOLIA 200 SP</t>
        </is>
      </c>
      <c r="E68" s="13" t="inlineStr">
        <is>
          <t>Pulverização Agrícola Conforme Bula</t>
        </is>
      </c>
      <c r="F68" s="13" t="inlineStr">
        <is>
          <t>Soja</t>
        </is>
      </c>
      <c r="G68" s="13" t="inlineStr">
        <is>
          <t>Cultura Autorizada na Bula</t>
        </is>
      </c>
      <c r="H68" s="13" t="inlineStr">
        <is>
          <t>100 a 300 L/ha</t>
        </is>
      </c>
      <c r="I68" s="13" t="inlineStr">
        <is>
          <t>20 a 40 L/ha</t>
        </is>
      </c>
      <c r="J68" s="13" t="inlineStr">
        <is>
          <t>21 dias</t>
        </is>
      </c>
    </row>
    <row r="69" ht="22" customHeight="1">
      <c r="A69" s="6" t="inlineStr">
        <is>
          <t>CUL-0065</t>
        </is>
      </c>
      <c r="B69" s="5" t="n">
        <v>13</v>
      </c>
      <c r="C69" s="7" t="inlineStr">
        <is>
          <t>Nº 28017</t>
        </is>
      </c>
      <c r="D69" s="8" t="inlineStr">
        <is>
          <t>RODOLIA 200 SP</t>
        </is>
      </c>
      <c r="E69" s="7" t="inlineStr">
        <is>
          <t>Pulverização Agrícola Conforme Bula</t>
        </is>
      </c>
      <c r="F69" s="7" t="inlineStr">
        <is>
          <t>Milho</t>
        </is>
      </c>
      <c r="G69" s="7" t="inlineStr">
        <is>
          <t>Cultura Autorizada na Bula</t>
        </is>
      </c>
      <c r="H69" s="7" t="inlineStr">
        <is>
          <t>100 a 300 L/ha</t>
        </is>
      </c>
      <c r="I69" s="7" t="inlineStr">
        <is>
          <t>20 a 40 L/ha</t>
        </is>
      </c>
      <c r="J69" s="7" t="inlineStr">
        <is>
          <t>30 dias</t>
        </is>
      </c>
    </row>
    <row r="70" ht="22" customHeight="1">
      <c r="A70" s="12" t="inlineStr">
        <is>
          <t>CUL-0066</t>
        </is>
      </c>
      <c r="B70" s="11" t="n">
        <v>13</v>
      </c>
      <c r="C70" s="13" t="inlineStr">
        <is>
          <t>Nº 28017</t>
        </is>
      </c>
      <c r="D70" s="14" t="inlineStr">
        <is>
          <t>RODOLIA 200 SP</t>
        </is>
      </c>
      <c r="E70" s="13" t="inlineStr">
        <is>
          <t>Pulverização Agrícola Conforme Bula</t>
        </is>
      </c>
      <c r="F70" s="13" t="inlineStr">
        <is>
          <t>Feijão</t>
        </is>
      </c>
      <c r="G70" s="13" t="inlineStr">
        <is>
          <t>Cultura Autorizada na Bula</t>
        </is>
      </c>
      <c r="H70" s="13" t="inlineStr">
        <is>
          <t>100 a 300 L/ha</t>
        </is>
      </c>
      <c r="I70" s="13" t="inlineStr">
        <is>
          <t>20 a 40 L/ha</t>
        </is>
      </c>
      <c r="J70" s="13" t="inlineStr">
        <is>
          <t>14 dias</t>
        </is>
      </c>
    </row>
    <row r="71" ht="22" customHeight="1">
      <c r="A71" s="6" t="inlineStr">
        <is>
          <t>CUL-0067</t>
        </is>
      </c>
      <c r="B71" s="5" t="n">
        <v>13</v>
      </c>
      <c r="C71" s="7" t="inlineStr">
        <is>
          <t>Nº 28017</t>
        </is>
      </c>
      <c r="D71" s="8" t="inlineStr">
        <is>
          <t>RODOLIA 200 SP</t>
        </is>
      </c>
      <c r="E71" s="7" t="inlineStr">
        <is>
          <t>Pulverização Agrícola Conforme Bula</t>
        </is>
      </c>
      <c r="F71" s="7" t="inlineStr">
        <is>
          <t>Café</t>
        </is>
      </c>
      <c r="G71" s="7" t="inlineStr">
        <is>
          <t>Cultura Autorizada na Bula</t>
        </is>
      </c>
      <c r="H71" s="7" t="inlineStr">
        <is>
          <t>100 a 300 L/ha</t>
        </is>
      </c>
      <c r="I71" s="7" t="inlineStr">
        <is>
          <t>20 a 40 L/ha</t>
        </is>
      </c>
      <c r="J71" s="7" t="inlineStr">
        <is>
          <t>28 dias</t>
        </is>
      </c>
    </row>
    <row r="72" ht="22" customHeight="1">
      <c r="A72" s="12" t="inlineStr">
        <is>
          <t>CUL-0068</t>
        </is>
      </c>
      <c r="B72" s="11" t="n">
        <v>13</v>
      </c>
      <c r="C72" s="13" t="inlineStr">
        <is>
          <t>Nº 28017</t>
        </is>
      </c>
      <c r="D72" s="14" t="inlineStr">
        <is>
          <t>RODOLIA 200 SP</t>
        </is>
      </c>
      <c r="E72" s="13" t="inlineStr">
        <is>
          <t>Pulverização Agrícola Conforme Bula</t>
        </is>
      </c>
      <c r="F72" s="13" t="inlineStr">
        <is>
          <t>Citros</t>
        </is>
      </c>
      <c r="G72" s="13" t="inlineStr">
        <is>
          <t>Cultura Autorizada na Bula</t>
        </is>
      </c>
      <c r="H72" s="13" t="inlineStr">
        <is>
          <t>100 a 300 L/ha</t>
        </is>
      </c>
      <c r="I72" s="13" t="inlineStr">
        <is>
          <t>20 a 40 L/ha</t>
        </is>
      </c>
      <c r="J72" s="13" t="inlineStr">
        <is>
          <t>7 dias</t>
        </is>
      </c>
    </row>
    <row r="73" ht="22" customHeight="1">
      <c r="A73" s="6" t="inlineStr">
        <is>
          <t>CUL-0069</t>
        </is>
      </c>
      <c r="B73" s="5" t="n">
        <v>13</v>
      </c>
      <c r="C73" s="7" t="inlineStr">
        <is>
          <t>Nº 28017</t>
        </is>
      </c>
      <c r="D73" s="8" t="inlineStr">
        <is>
          <t>RODOLIA 200 SP</t>
        </is>
      </c>
      <c r="E73" s="7" t="inlineStr">
        <is>
          <t>Pulverização Agrícola Conforme Bula</t>
        </is>
      </c>
      <c r="F73" s="7" t="inlineStr">
        <is>
          <t>Tomate</t>
        </is>
      </c>
      <c r="G73" s="7" t="inlineStr">
        <is>
          <t>Cultura Autorizada na Bula</t>
        </is>
      </c>
      <c r="H73" s="7" t="inlineStr">
        <is>
          <t>100 a 300 L/ha</t>
        </is>
      </c>
      <c r="I73" s="7" t="inlineStr">
        <is>
          <t>20 a 40 L/ha</t>
        </is>
      </c>
      <c r="J73" s="7" t="inlineStr">
        <is>
          <t>3 dias</t>
        </is>
      </c>
    </row>
    <row r="74" ht="22" customHeight="1">
      <c r="A74" s="12" t="inlineStr">
        <is>
          <t>CUL-0070</t>
        </is>
      </c>
      <c r="B74" s="11" t="n">
        <v>14</v>
      </c>
      <c r="C74" s="13" t="inlineStr">
        <is>
          <t>ISENTO (ATO 104/2017)</t>
        </is>
      </c>
      <c r="D74" s="14" t="inlineStr">
        <is>
          <t>AGCN SAFE AIR</t>
        </is>
      </c>
      <c r="E74" s="13" t="inlineStr">
        <is>
          <t>Pulverização Agrícola Conforme Bula</t>
        </is>
      </c>
      <c r="F74" s="13" t="inlineStr">
        <is>
          <t>Soja, Milho, Algodão, Café, Citros, Cana-de-açúcar (Adição à calda)</t>
        </is>
      </c>
      <c r="G74" s="13" t="inlineStr">
        <is>
          <t>Cultura Autorizada na Bula</t>
        </is>
      </c>
      <c r="H74" s="13" t="inlineStr">
        <is>
          <t>100 a 300 L/ha</t>
        </is>
      </c>
      <c r="I74" s="13" t="inlineStr">
        <is>
          <t>20 a 40 L/ha</t>
        </is>
      </c>
      <c r="J74" s="13" t="inlineStr">
        <is>
          <t>Conforme defensivo principal</t>
        </is>
      </c>
    </row>
    <row r="75" ht="22" customHeight="1">
      <c r="A75" s="6" t="inlineStr">
        <is>
          <t>CUL-0071</t>
        </is>
      </c>
      <c r="B75" s="5" t="n">
        <v>15</v>
      </c>
      <c r="C75" s="7" t="inlineStr">
        <is>
          <t>ISENTO (ATO 104/2017)</t>
        </is>
      </c>
      <c r="D75" s="8" t="inlineStr">
        <is>
          <t>AGCN SAFE DESSEK</t>
        </is>
      </c>
      <c r="E75" s="7" t="inlineStr">
        <is>
          <t>Pulverização Agrícola Conforme Bula</t>
        </is>
      </c>
      <c r="F75" s="7" t="inlineStr">
        <is>
          <t>Soja, Milho, Algodão, Café, Citros, Cana-de-açúcar (Adição à calda)</t>
        </is>
      </c>
      <c r="G75" s="7" t="inlineStr">
        <is>
          <t>Cultura Autorizada na Bula</t>
        </is>
      </c>
      <c r="H75" s="7" t="inlineStr">
        <is>
          <t>100 a 300 L/ha</t>
        </is>
      </c>
      <c r="I75" s="7" t="inlineStr">
        <is>
          <t>20 a 40 L/ha</t>
        </is>
      </c>
      <c r="J75" s="7" t="inlineStr">
        <is>
          <t>Conforme defensivo principal</t>
        </is>
      </c>
    </row>
    <row r="76" ht="22" customHeight="1">
      <c r="A76" s="12" t="inlineStr">
        <is>
          <t>CUL-0072</t>
        </is>
      </c>
      <c r="B76" s="11" t="n">
        <v>16</v>
      </c>
      <c r="C76" s="13" t="inlineStr">
        <is>
          <t>ISENTO (ATO 104/2017)</t>
        </is>
      </c>
      <c r="D76" s="14" t="inlineStr">
        <is>
          <t>AGCN SAFE SPRAY</t>
        </is>
      </c>
      <c r="E76" s="13" t="inlineStr">
        <is>
          <t>Pulverização Agrícola Conforme Bula</t>
        </is>
      </c>
      <c r="F76" s="13" t="inlineStr">
        <is>
          <t>Soja, Milho, Algodão, Café, Citros, Cana-de-açúcar (Adição à calda)</t>
        </is>
      </c>
      <c r="G76" s="13" t="inlineStr">
        <is>
          <t>Cultura Autorizada na Bula</t>
        </is>
      </c>
      <c r="H76" s="13" t="inlineStr">
        <is>
          <t>100 a 300 L/ha</t>
        </is>
      </c>
      <c r="I76" s="13" t="inlineStr">
        <is>
          <t>20 a 40 L/ha</t>
        </is>
      </c>
      <c r="J76" s="13" t="inlineStr">
        <is>
          <t>Conforme defensivo principal</t>
        </is>
      </c>
    </row>
    <row r="77" ht="22" customHeight="1">
      <c r="A77" s="6" t="inlineStr">
        <is>
          <t>CUL-0073</t>
        </is>
      </c>
      <c r="B77" s="5" t="n">
        <v>17</v>
      </c>
      <c r="C77" s="7" t="inlineStr">
        <is>
          <t>SIPEAGRO (UF-XXXXX)</t>
        </is>
      </c>
      <c r="D77" s="8" t="inlineStr">
        <is>
          <t>AGCN SEED</t>
        </is>
      </c>
      <c r="E77" s="7" t="inlineStr">
        <is>
          <t>Adubação de Solo / Foliar</t>
        </is>
      </c>
      <c r="F77" s="7" t="inlineStr">
        <is>
          <t>Soja</t>
        </is>
      </c>
      <c r="G77" s="7" t="inlineStr">
        <is>
          <t>Cultura Autorizada na Bula</t>
        </is>
      </c>
      <c r="H77" s="7" t="inlineStr">
        <is>
          <t>100 a 300 L/ha</t>
        </is>
      </c>
      <c r="I77" s="7" t="inlineStr">
        <is>
          <t>20 a 40 L/ha</t>
        </is>
      </c>
      <c r="J77" s="7" t="inlineStr">
        <is>
          <t>Isento</t>
        </is>
      </c>
    </row>
    <row r="78" ht="22" customHeight="1">
      <c r="A78" s="12" t="inlineStr">
        <is>
          <t>CUL-0074</t>
        </is>
      </c>
      <c r="B78" s="11" t="n">
        <v>17</v>
      </c>
      <c r="C78" s="13" t="inlineStr">
        <is>
          <t>SIPEAGRO (UF-XXXXX)</t>
        </is>
      </c>
      <c r="D78" s="14" t="inlineStr">
        <is>
          <t>AGCN SEED</t>
        </is>
      </c>
      <c r="E78" s="13" t="inlineStr">
        <is>
          <t>Adubação de Solo / Foliar</t>
        </is>
      </c>
      <c r="F78" s="13" t="inlineStr">
        <is>
          <t>Milho</t>
        </is>
      </c>
      <c r="G78" s="13" t="inlineStr">
        <is>
          <t>Cultura Autorizada na Bula</t>
        </is>
      </c>
      <c r="H78" s="13" t="inlineStr">
        <is>
          <t>100 a 300 L/ha</t>
        </is>
      </c>
      <c r="I78" s="13" t="inlineStr">
        <is>
          <t>20 a 40 L/ha</t>
        </is>
      </c>
      <c r="J78" s="13" t="inlineStr">
        <is>
          <t>Isento</t>
        </is>
      </c>
    </row>
    <row r="79" ht="22" customHeight="1">
      <c r="A79" s="6" t="inlineStr">
        <is>
          <t>CUL-0075</t>
        </is>
      </c>
      <c r="B79" s="5" t="n">
        <v>17</v>
      </c>
      <c r="C79" s="7" t="inlineStr">
        <is>
          <t>SIPEAGRO (UF-XXXXX)</t>
        </is>
      </c>
      <c r="D79" s="8" t="inlineStr">
        <is>
          <t>AGCN SEED</t>
        </is>
      </c>
      <c r="E79" s="7" t="inlineStr">
        <is>
          <t>Adubação de Solo / Foliar</t>
        </is>
      </c>
      <c r="F79" s="7" t="inlineStr">
        <is>
          <t>Algodão</t>
        </is>
      </c>
      <c r="G79" s="7" t="inlineStr">
        <is>
          <t>Cultura Autorizada na Bula</t>
        </is>
      </c>
      <c r="H79" s="7" t="inlineStr">
        <is>
          <t>100 a 300 L/ha</t>
        </is>
      </c>
      <c r="I79" s="7" t="inlineStr">
        <is>
          <t>20 a 40 L/ha</t>
        </is>
      </c>
      <c r="J79" s="7" t="inlineStr">
        <is>
          <t>Isento</t>
        </is>
      </c>
    </row>
    <row r="80" ht="22" customHeight="1">
      <c r="A80" s="12" t="inlineStr">
        <is>
          <t>CUL-0076</t>
        </is>
      </c>
      <c r="B80" s="11" t="n">
        <v>17</v>
      </c>
      <c r="C80" s="13" t="inlineStr">
        <is>
          <t>SIPEAGRO (UF-XXXXX)</t>
        </is>
      </c>
      <c r="D80" s="14" t="inlineStr">
        <is>
          <t>AGCN SEED</t>
        </is>
      </c>
      <c r="E80" s="13" t="inlineStr">
        <is>
          <t>Adubação de Solo / Foliar</t>
        </is>
      </c>
      <c r="F80" s="13" t="inlineStr">
        <is>
          <t>Cana-de-açúcar</t>
        </is>
      </c>
      <c r="G80" s="13" t="inlineStr">
        <is>
          <t>Cultura Autorizada na Bula</t>
        </is>
      </c>
      <c r="H80" s="13" t="inlineStr">
        <is>
          <t>100 a 300 L/ha</t>
        </is>
      </c>
      <c r="I80" s="13" t="inlineStr">
        <is>
          <t>20 a 40 L/ha</t>
        </is>
      </c>
      <c r="J80" s="13" t="inlineStr">
        <is>
          <t>Isento</t>
        </is>
      </c>
    </row>
    <row r="81" ht="22" customHeight="1">
      <c r="A81" s="6" t="inlineStr">
        <is>
          <t>CUL-0077</t>
        </is>
      </c>
      <c r="B81" s="5" t="n">
        <v>17</v>
      </c>
      <c r="C81" s="7" t="inlineStr">
        <is>
          <t>SIPEAGRO (UF-XXXXX)</t>
        </is>
      </c>
      <c r="D81" s="8" t="inlineStr">
        <is>
          <t>AGCN SEED</t>
        </is>
      </c>
      <c r="E81" s="7" t="inlineStr">
        <is>
          <t>Adubação de Solo / Foliar</t>
        </is>
      </c>
      <c r="F81" s="7" t="inlineStr">
        <is>
          <t>Café</t>
        </is>
      </c>
      <c r="G81" s="7" t="inlineStr">
        <is>
          <t>Cultura Autorizada na Bula</t>
        </is>
      </c>
      <c r="H81" s="7" t="inlineStr">
        <is>
          <t>100 a 300 L/ha</t>
        </is>
      </c>
      <c r="I81" s="7" t="inlineStr">
        <is>
          <t>20 a 40 L/ha</t>
        </is>
      </c>
      <c r="J81" s="7" t="inlineStr">
        <is>
          <t>Isento</t>
        </is>
      </c>
    </row>
    <row r="82" ht="22" customHeight="1">
      <c r="A82" s="12" t="inlineStr">
        <is>
          <t>CUL-0078</t>
        </is>
      </c>
      <c r="B82" s="11" t="n">
        <v>18</v>
      </c>
      <c r="C82" s="13" t="inlineStr">
        <is>
          <t>SIPEAGRO (UF-XXXXX)</t>
        </is>
      </c>
      <c r="D82" s="14" t="inlineStr">
        <is>
          <t>AGCN SEED ULTRA</t>
        </is>
      </c>
      <c r="E82" s="13" t="inlineStr">
        <is>
          <t>Adubação de Solo / Foliar</t>
        </is>
      </c>
      <c r="F82" s="13" t="inlineStr">
        <is>
          <t>Soja</t>
        </is>
      </c>
      <c r="G82" s="13" t="inlineStr">
        <is>
          <t>Cultura Autorizada na Bula</t>
        </is>
      </c>
      <c r="H82" s="13" t="inlineStr">
        <is>
          <t>100 a 300 L/ha</t>
        </is>
      </c>
      <c r="I82" s="13" t="inlineStr">
        <is>
          <t>20 a 40 L/ha</t>
        </is>
      </c>
      <c r="J82" s="13" t="inlineStr">
        <is>
          <t>Isento</t>
        </is>
      </c>
    </row>
    <row r="83" ht="22" customHeight="1">
      <c r="A83" s="6" t="inlineStr">
        <is>
          <t>CUL-0079</t>
        </is>
      </c>
      <c r="B83" s="5" t="n">
        <v>18</v>
      </c>
      <c r="C83" s="7" t="inlineStr">
        <is>
          <t>SIPEAGRO (UF-XXXXX)</t>
        </is>
      </c>
      <c r="D83" s="8" t="inlineStr">
        <is>
          <t>AGCN SEED ULTRA</t>
        </is>
      </c>
      <c r="E83" s="7" t="inlineStr">
        <is>
          <t>Adubação de Solo / Foliar</t>
        </is>
      </c>
      <c r="F83" s="7" t="inlineStr">
        <is>
          <t>Milho</t>
        </is>
      </c>
      <c r="G83" s="7" t="inlineStr">
        <is>
          <t>Cultura Autorizada na Bula</t>
        </is>
      </c>
      <c r="H83" s="7" t="inlineStr">
        <is>
          <t>100 a 300 L/ha</t>
        </is>
      </c>
      <c r="I83" s="7" t="inlineStr">
        <is>
          <t>20 a 40 L/ha</t>
        </is>
      </c>
      <c r="J83" s="7" t="inlineStr">
        <is>
          <t>Isento</t>
        </is>
      </c>
    </row>
    <row r="84" ht="22" customHeight="1">
      <c r="A84" s="12" t="inlineStr">
        <is>
          <t>CUL-0080</t>
        </is>
      </c>
      <c r="B84" s="11" t="n">
        <v>18</v>
      </c>
      <c r="C84" s="13" t="inlineStr">
        <is>
          <t>SIPEAGRO (UF-XXXXX)</t>
        </is>
      </c>
      <c r="D84" s="14" t="inlineStr">
        <is>
          <t>AGCN SEED ULTRA</t>
        </is>
      </c>
      <c r="E84" s="13" t="inlineStr">
        <is>
          <t>Adubação de Solo / Foliar</t>
        </is>
      </c>
      <c r="F84" s="13" t="inlineStr">
        <is>
          <t>Algodão</t>
        </is>
      </c>
      <c r="G84" s="13" t="inlineStr">
        <is>
          <t>Cultura Autorizada na Bula</t>
        </is>
      </c>
      <c r="H84" s="13" t="inlineStr">
        <is>
          <t>100 a 300 L/ha</t>
        </is>
      </c>
      <c r="I84" s="13" t="inlineStr">
        <is>
          <t>20 a 40 L/ha</t>
        </is>
      </c>
      <c r="J84" s="13" t="inlineStr">
        <is>
          <t>Isento</t>
        </is>
      </c>
    </row>
    <row r="85" ht="22" customHeight="1">
      <c r="A85" s="6" t="inlineStr">
        <is>
          <t>CUL-0081</t>
        </is>
      </c>
      <c r="B85" s="5" t="n">
        <v>18</v>
      </c>
      <c r="C85" s="7" t="inlineStr">
        <is>
          <t>SIPEAGRO (UF-XXXXX)</t>
        </is>
      </c>
      <c r="D85" s="8" t="inlineStr">
        <is>
          <t>AGCN SEED ULTRA</t>
        </is>
      </c>
      <c r="E85" s="7" t="inlineStr">
        <is>
          <t>Adubação de Solo / Foliar</t>
        </is>
      </c>
      <c r="F85" s="7" t="inlineStr">
        <is>
          <t>Cana-de-açúcar</t>
        </is>
      </c>
      <c r="G85" s="7" t="inlineStr">
        <is>
          <t>Cultura Autorizada na Bula</t>
        </is>
      </c>
      <c r="H85" s="7" t="inlineStr">
        <is>
          <t>100 a 300 L/ha</t>
        </is>
      </c>
      <c r="I85" s="7" t="inlineStr">
        <is>
          <t>20 a 40 L/ha</t>
        </is>
      </c>
      <c r="J85" s="7" t="inlineStr">
        <is>
          <t>Isento</t>
        </is>
      </c>
    </row>
    <row r="86" ht="22" customHeight="1">
      <c r="A86" s="12" t="inlineStr">
        <is>
          <t>CUL-0082</t>
        </is>
      </c>
      <c r="B86" s="11" t="n">
        <v>18</v>
      </c>
      <c r="C86" s="13" t="inlineStr">
        <is>
          <t>SIPEAGRO (UF-XXXXX)</t>
        </is>
      </c>
      <c r="D86" s="14" t="inlineStr">
        <is>
          <t>AGCN SEED ULTRA</t>
        </is>
      </c>
      <c r="E86" s="13" t="inlineStr">
        <is>
          <t>Adubação de Solo / Foliar</t>
        </is>
      </c>
      <c r="F86" s="13" t="inlineStr">
        <is>
          <t>Café</t>
        </is>
      </c>
      <c r="G86" s="13" t="inlineStr">
        <is>
          <t>Cultura Autorizada na Bula</t>
        </is>
      </c>
      <c r="H86" s="13" t="inlineStr">
        <is>
          <t>100 a 300 L/ha</t>
        </is>
      </c>
      <c r="I86" s="13" t="inlineStr">
        <is>
          <t>20 a 40 L/ha</t>
        </is>
      </c>
      <c r="J86" s="13" t="inlineStr">
        <is>
          <t>Isento</t>
        </is>
      </c>
    </row>
    <row r="87" ht="22" customHeight="1">
      <c r="A87" s="6" t="inlineStr">
        <is>
          <t>CUL-0083</t>
        </is>
      </c>
      <c r="B87" s="5" t="n">
        <v>19</v>
      </c>
      <c r="C87" s="7" t="inlineStr">
        <is>
          <t>Nº 10018</t>
        </is>
      </c>
      <c r="D87" s="8" t="inlineStr">
        <is>
          <t>ATRAZINA</t>
        </is>
      </c>
      <c r="E87" s="7" t="inlineStr">
        <is>
          <t>Pulverização Agrícola Conforme Bula</t>
        </is>
      </c>
      <c r="F87" s="7" t="inlineStr">
        <is>
          <t>Milho</t>
        </is>
      </c>
      <c r="G87" s="7" t="inlineStr">
        <is>
          <t>Cultura Autorizada na Bula</t>
        </is>
      </c>
      <c r="H87" s="7" t="inlineStr">
        <is>
          <t>100 a 300 L/ha</t>
        </is>
      </c>
      <c r="I87" s="7" t="inlineStr">
        <is>
          <t>20 a 40 L/ha</t>
        </is>
      </c>
      <c r="J87" s="7" t="inlineStr">
        <is>
          <t>60 dias</t>
        </is>
      </c>
    </row>
    <row r="88" ht="22" customHeight="1">
      <c r="A88" s="12" t="inlineStr">
        <is>
          <t>CUL-0084</t>
        </is>
      </c>
      <c r="B88" s="11" t="n">
        <v>19</v>
      </c>
      <c r="C88" s="13" t="inlineStr">
        <is>
          <t>Nº 10018</t>
        </is>
      </c>
      <c r="D88" s="14" t="inlineStr">
        <is>
          <t>ATRAZINA</t>
        </is>
      </c>
      <c r="E88" s="13" t="inlineStr">
        <is>
          <t>Pulverização Agrícola Conforme Bula</t>
        </is>
      </c>
      <c r="F88" s="13" t="inlineStr">
        <is>
          <t>Cana-de-açúcar</t>
        </is>
      </c>
      <c r="G88" s="13" t="inlineStr">
        <is>
          <t>Cultura Autorizada na Bula</t>
        </is>
      </c>
      <c r="H88" s="13" t="inlineStr">
        <is>
          <t>100 a 300 L/ha</t>
        </is>
      </c>
      <c r="I88" s="13" t="inlineStr">
        <is>
          <t>20 a 40 L/ha</t>
        </is>
      </c>
      <c r="J88" s="13" t="inlineStr">
        <is>
          <t>N/D</t>
        </is>
      </c>
    </row>
    <row r="89" ht="22" customHeight="1">
      <c r="A89" s="6" t="inlineStr">
        <is>
          <t>CUL-0085</t>
        </is>
      </c>
      <c r="B89" s="5" t="n">
        <v>19</v>
      </c>
      <c r="C89" s="7" t="inlineStr">
        <is>
          <t>Nº 10018</t>
        </is>
      </c>
      <c r="D89" s="8" t="inlineStr">
        <is>
          <t>ATRAZINA</t>
        </is>
      </c>
      <c r="E89" s="7" t="inlineStr">
        <is>
          <t>Pulverização Agrícola Conforme Bula</t>
        </is>
      </c>
      <c r="F89" s="7" t="inlineStr">
        <is>
          <t>Sorgo</t>
        </is>
      </c>
      <c r="G89" s="7" t="inlineStr">
        <is>
          <t>Cultura Autorizada na Bula</t>
        </is>
      </c>
      <c r="H89" s="7" t="inlineStr">
        <is>
          <t>100 a 300 L/ha</t>
        </is>
      </c>
      <c r="I89" s="7" t="inlineStr">
        <is>
          <t>20 a 40 L/ha</t>
        </is>
      </c>
      <c r="J89" s="7" t="inlineStr">
        <is>
          <t>60 dias</t>
        </is>
      </c>
    </row>
    <row r="90" ht="22" customHeight="1">
      <c r="A90" s="12" t="inlineStr">
        <is>
          <t>CUL-0086</t>
        </is>
      </c>
      <c r="B90" s="11" t="n">
        <v>19</v>
      </c>
      <c r="C90" s="13" t="inlineStr">
        <is>
          <t>Nº 10018</t>
        </is>
      </c>
      <c r="D90" s="14" t="inlineStr">
        <is>
          <t>ATRAZINA</t>
        </is>
      </c>
      <c r="E90" s="13" t="inlineStr">
        <is>
          <t>Pulverização Agrícola Conforme Bula</t>
        </is>
      </c>
      <c r="F90" s="13" t="inlineStr">
        <is>
          <t>Pinus / Eucalipto</t>
        </is>
      </c>
      <c r="G90" s="13" t="inlineStr">
        <is>
          <t>Cultura Autorizada na Bula</t>
        </is>
      </c>
      <c r="H90" s="13" t="inlineStr">
        <is>
          <t>100 a 300 L/ha</t>
        </is>
      </c>
      <c r="I90" s="13" t="inlineStr">
        <is>
          <t>20 a 40 L/ha</t>
        </is>
      </c>
      <c r="J90" s="13" t="inlineStr">
        <is>
          <t>U.N.A.</t>
        </is>
      </c>
    </row>
    <row r="91" ht="22" customHeight="1">
      <c r="A91" s="6" t="inlineStr">
        <is>
          <t>CUL-0087</t>
        </is>
      </c>
      <c r="B91" s="5" t="n">
        <v>20</v>
      </c>
      <c r="C91" s="7" t="inlineStr">
        <is>
          <t>Nº 12920</t>
        </is>
      </c>
      <c r="D91" s="8" t="inlineStr">
        <is>
          <t>ATRAZINA 900 WG</t>
        </is>
      </c>
      <c r="E91" s="7" t="inlineStr">
        <is>
          <t>Pulverização Agrícola Conforme Bula</t>
        </is>
      </c>
      <c r="F91" s="7" t="inlineStr">
        <is>
          <t>Milho</t>
        </is>
      </c>
      <c r="G91" s="7" t="inlineStr">
        <is>
          <t>Cultura Autorizada na Bula</t>
        </is>
      </c>
      <c r="H91" s="7" t="inlineStr">
        <is>
          <t>100 a 300 L/ha</t>
        </is>
      </c>
      <c r="I91" s="7" t="inlineStr">
        <is>
          <t>20 a 40 L/ha</t>
        </is>
      </c>
      <c r="J91" s="7" t="inlineStr">
        <is>
          <t>60 dias</t>
        </is>
      </c>
    </row>
    <row r="92" ht="22" customHeight="1">
      <c r="A92" s="12" t="inlineStr">
        <is>
          <t>CUL-0088</t>
        </is>
      </c>
      <c r="B92" s="11" t="n">
        <v>20</v>
      </c>
      <c r="C92" s="13" t="inlineStr">
        <is>
          <t>Nº 12920</t>
        </is>
      </c>
      <c r="D92" s="14" t="inlineStr">
        <is>
          <t>ATRAZINA 900 WG</t>
        </is>
      </c>
      <c r="E92" s="13" t="inlineStr">
        <is>
          <t>Pulverização Agrícola Conforme Bula</t>
        </is>
      </c>
      <c r="F92" s="13" t="inlineStr">
        <is>
          <t>Cana-de-açúcar</t>
        </is>
      </c>
      <c r="G92" s="13" t="inlineStr">
        <is>
          <t>Cultura Autorizada na Bula</t>
        </is>
      </c>
      <c r="H92" s="13" t="inlineStr">
        <is>
          <t>100 a 300 L/ha</t>
        </is>
      </c>
      <c r="I92" s="13" t="inlineStr">
        <is>
          <t>20 a 40 L/ha</t>
        </is>
      </c>
      <c r="J92" s="13" t="inlineStr">
        <is>
          <t>N/D</t>
        </is>
      </c>
    </row>
    <row r="93" ht="22" customHeight="1">
      <c r="A93" s="6" t="inlineStr">
        <is>
          <t>CUL-0089</t>
        </is>
      </c>
      <c r="B93" s="5" t="n">
        <v>20</v>
      </c>
      <c r="C93" s="7" t="inlineStr">
        <is>
          <t>Nº 12920</t>
        </is>
      </c>
      <c r="D93" s="8" t="inlineStr">
        <is>
          <t>ATRAZINA 900 WG</t>
        </is>
      </c>
      <c r="E93" s="7" t="inlineStr">
        <is>
          <t>Pulverização Agrícola Conforme Bula</t>
        </is>
      </c>
      <c r="F93" s="7" t="inlineStr">
        <is>
          <t>Sorgo</t>
        </is>
      </c>
      <c r="G93" s="7" t="inlineStr">
        <is>
          <t>Cultura Autorizada na Bula</t>
        </is>
      </c>
      <c r="H93" s="7" t="inlineStr">
        <is>
          <t>100 a 300 L/ha</t>
        </is>
      </c>
      <c r="I93" s="7" t="inlineStr">
        <is>
          <t>20 a 40 L/ha</t>
        </is>
      </c>
      <c r="J93" s="7" t="inlineStr">
        <is>
          <t>60 dias</t>
        </is>
      </c>
    </row>
    <row r="94" ht="22" customHeight="1">
      <c r="A94" s="12" t="inlineStr">
        <is>
          <t>CUL-0090</t>
        </is>
      </c>
      <c r="B94" s="11" t="n">
        <v>20</v>
      </c>
      <c r="C94" s="13" t="inlineStr">
        <is>
          <t>Nº 12920</t>
        </is>
      </c>
      <c r="D94" s="14" t="inlineStr">
        <is>
          <t>ATRAZINA 900 WG</t>
        </is>
      </c>
      <c r="E94" s="13" t="inlineStr">
        <is>
          <t>Pulverização Agrícola Conforme Bula</t>
        </is>
      </c>
      <c r="F94" s="13" t="inlineStr">
        <is>
          <t>Pinus / Eucalipto</t>
        </is>
      </c>
      <c r="G94" s="13" t="inlineStr">
        <is>
          <t>Cultura Autorizada na Bula</t>
        </is>
      </c>
      <c r="H94" s="13" t="inlineStr">
        <is>
          <t>100 a 300 L/ha</t>
        </is>
      </c>
      <c r="I94" s="13" t="inlineStr">
        <is>
          <t>20 a 40 L/ha</t>
        </is>
      </c>
      <c r="J94" s="13" t="inlineStr">
        <is>
          <t>U.N.A.</t>
        </is>
      </c>
    </row>
    <row r="95" ht="22" customHeight="1">
      <c r="A95" s="6" t="inlineStr">
        <is>
          <t>CUL-0091</t>
        </is>
      </c>
      <c r="B95" s="5" t="n">
        <v>21</v>
      </c>
      <c r="C95" s="7" t="inlineStr">
        <is>
          <t>Nº 12920</t>
        </is>
      </c>
      <c r="D95" s="8" t="inlineStr">
        <is>
          <t>ATRAZINA 900 WG</t>
        </is>
      </c>
      <c r="E95" s="7" t="inlineStr">
        <is>
          <t>Pulverização Agrícola Conforme Bula</t>
        </is>
      </c>
      <c r="F95" s="7" t="inlineStr">
        <is>
          <t>Milho</t>
        </is>
      </c>
      <c r="G95" s="7" t="inlineStr">
        <is>
          <t>Cultura Autorizada na Bula</t>
        </is>
      </c>
      <c r="H95" s="7" t="inlineStr">
        <is>
          <t>100 a 300 L/ha</t>
        </is>
      </c>
      <c r="I95" s="7" t="inlineStr">
        <is>
          <t>20 a 40 L/ha</t>
        </is>
      </c>
      <c r="J95" s="7" t="inlineStr">
        <is>
          <t>60 dias</t>
        </is>
      </c>
    </row>
    <row r="96" ht="22" customHeight="1">
      <c r="A96" s="12" t="inlineStr">
        <is>
          <t>CUL-0092</t>
        </is>
      </c>
      <c r="B96" s="11" t="n">
        <v>21</v>
      </c>
      <c r="C96" s="13" t="inlineStr">
        <is>
          <t>Nº 12920</t>
        </is>
      </c>
      <c r="D96" s="14" t="inlineStr">
        <is>
          <t>ATRAZINA 900 WG</t>
        </is>
      </c>
      <c r="E96" s="13" t="inlineStr">
        <is>
          <t>Pulverização Agrícola Conforme Bula</t>
        </is>
      </c>
      <c r="F96" s="13" t="inlineStr">
        <is>
          <t>Cana-de-açúcar</t>
        </is>
      </c>
      <c r="G96" s="13" t="inlineStr">
        <is>
          <t>Cultura Autorizada na Bula</t>
        </is>
      </c>
      <c r="H96" s="13" t="inlineStr">
        <is>
          <t>100 a 300 L/ha</t>
        </is>
      </c>
      <c r="I96" s="13" t="inlineStr">
        <is>
          <t>20 a 40 L/ha</t>
        </is>
      </c>
      <c r="J96" s="13" t="inlineStr">
        <is>
          <t>N/D</t>
        </is>
      </c>
    </row>
    <row r="97" ht="22" customHeight="1">
      <c r="A97" s="6" t="inlineStr">
        <is>
          <t>CUL-0093</t>
        </is>
      </c>
      <c r="B97" s="5" t="n">
        <v>21</v>
      </c>
      <c r="C97" s="7" t="inlineStr">
        <is>
          <t>Nº 12920</t>
        </is>
      </c>
      <c r="D97" s="8" t="inlineStr">
        <is>
          <t>ATRAZINA 900 WG</t>
        </is>
      </c>
      <c r="E97" s="7" t="inlineStr">
        <is>
          <t>Pulverização Agrícola Conforme Bula</t>
        </is>
      </c>
      <c r="F97" s="7" t="inlineStr">
        <is>
          <t>Sorgo</t>
        </is>
      </c>
      <c r="G97" s="7" t="inlineStr">
        <is>
          <t>Cultura Autorizada na Bula</t>
        </is>
      </c>
      <c r="H97" s="7" t="inlineStr">
        <is>
          <t>100 a 300 L/ha</t>
        </is>
      </c>
      <c r="I97" s="7" t="inlineStr">
        <is>
          <t>20 a 40 L/ha</t>
        </is>
      </c>
      <c r="J97" s="7" t="inlineStr">
        <is>
          <t>60 dias</t>
        </is>
      </c>
    </row>
    <row r="98" ht="22" customHeight="1">
      <c r="A98" s="12" t="inlineStr">
        <is>
          <t>CUL-0094</t>
        </is>
      </c>
      <c r="B98" s="11" t="n">
        <v>21</v>
      </c>
      <c r="C98" s="13" t="inlineStr">
        <is>
          <t>Nº 12920</t>
        </is>
      </c>
      <c r="D98" s="14" t="inlineStr">
        <is>
          <t>ATRAZINA 900 WG</t>
        </is>
      </c>
      <c r="E98" s="13" t="inlineStr">
        <is>
          <t>Pulverização Agrícola Conforme Bula</t>
        </is>
      </c>
      <c r="F98" s="13" t="inlineStr">
        <is>
          <t>Pinus / Eucalipto</t>
        </is>
      </c>
      <c r="G98" s="13" t="inlineStr">
        <is>
          <t>Cultura Autorizada na Bula</t>
        </is>
      </c>
      <c r="H98" s="13" t="inlineStr">
        <is>
          <t>100 a 300 L/ha</t>
        </is>
      </c>
      <c r="I98" s="13" t="inlineStr">
        <is>
          <t>20 a 40 L/ha</t>
        </is>
      </c>
      <c r="J98" s="13" t="inlineStr">
        <is>
          <t>U.N.A.</t>
        </is>
      </c>
    </row>
    <row r="99" ht="22" customHeight="1">
      <c r="A99" s="6" t="inlineStr">
        <is>
          <t>CUL-0095</t>
        </is>
      </c>
      <c r="B99" s="5" t="n">
        <v>22</v>
      </c>
      <c r="C99" s="7" t="inlineStr">
        <is>
          <t>Nº 5217</t>
        </is>
      </c>
      <c r="D99" s="8" t="inlineStr">
        <is>
          <t>HERBZINA PLUS 900 WG</t>
        </is>
      </c>
      <c r="E99" s="7" t="inlineStr">
        <is>
          <t>Pulverização Agrícola Conforme Bula</t>
        </is>
      </c>
      <c r="F99" s="7" t="inlineStr">
        <is>
          <t>Milho</t>
        </is>
      </c>
      <c r="G99" s="7" t="inlineStr">
        <is>
          <t>Cultura Autorizada na Bula</t>
        </is>
      </c>
      <c r="H99" s="7" t="inlineStr">
        <is>
          <t>100 a 300 L/ha</t>
        </is>
      </c>
      <c r="I99" s="7" t="inlineStr">
        <is>
          <t>20 a 40 L/ha</t>
        </is>
      </c>
      <c r="J99" s="7" t="inlineStr">
        <is>
          <t>60 dias</t>
        </is>
      </c>
    </row>
    <row r="100" ht="22" customHeight="1">
      <c r="A100" s="12" t="inlineStr">
        <is>
          <t>CUL-0096</t>
        </is>
      </c>
      <c r="B100" s="11" t="n">
        <v>22</v>
      </c>
      <c r="C100" s="13" t="inlineStr">
        <is>
          <t>Nº 5217</t>
        </is>
      </c>
      <c r="D100" s="14" t="inlineStr">
        <is>
          <t>HERBZINA PLUS 900 WG</t>
        </is>
      </c>
      <c r="E100" s="13" t="inlineStr">
        <is>
          <t>Pulverização Agrícola Conforme Bula</t>
        </is>
      </c>
      <c r="F100" s="13" t="inlineStr">
        <is>
          <t>Cana-de-açúcar</t>
        </is>
      </c>
      <c r="G100" s="13" t="inlineStr">
        <is>
          <t>Cultura Autorizada na Bula</t>
        </is>
      </c>
      <c r="H100" s="13" t="inlineStr">
        <is>
          <t>100 a 300 L/ha</t>
        </is>
      </c>
      <c r="I100" s="13" t="inlineStr">
        <is>
          <t>20 a 40 L/ha</t>
        </is>
      </c>
      <c r="J100" s="13" t="inlineStr">
        <is>
          <t>N/D</t>
        </is>
      </c>
    </row>
    <row r="101" ht="22" customHeight="1">
      <c r="A101" s="6" t="inlineStr">
        <is>
          <t>CUL-0097</t>
        </is>
      </c>
      <c r="B101" s="5" t="n">
        <v>22</v>
      </c>
      <c r="C101" s="7" t="inlineStr">
        <is>
          <t>Nº 5217</t>
        </is>
      </c>
      <c r="D101" s="8" t="inlineStr">
        <is>
          <t>HERBZINA PLUS 900 WG</t>
        </is>
      </c>
      <c r="E101" s="7" t="inlineStr">
        <is>
          <t>Pulverização Agrícola Conforme Bula</t>
        </is>
      </c>
      <c r="F101" s="7" t="inlineStr">
        <is>
          <t>Sorgo</t>
        </is>
      </c>
      <c r="G101" s="7" t="inlineStr">
        <is>
          <t>Cultura Autorizada na Bula</t>
        </is>
      </c>
      <c r="H101" s="7" t="inlineStr">
        <is>
          <t>100 a 300 L/ha</t>
        </is>
      </c>
      <c r="I101" s="7" t="inlineStr">
        <is>
          <t>20 a 40 L/ha</t>
        </is>
      </c>
      <c r="J101" s="7" t="inlineStr">
        <is>
          <t>60 dias</t>
        </is>
      </c>
    </row>
    <row r="102" ht="22" customHeight="1">
      <c r="A102" s="12" t="inlineStr">
        <is>
          <t>CUL-0098</t>
        </is>
      </c>
      <c r="B102" s="11" t="n">
        <v>22</v>
      </c>
      <c r="C102" s="13" t="inlineStr">
        <is>
          <t>Nº 5217</t>
        </is>
      </c>
      <c r="D102" s="14" t="inlineStr">
        <is>
          <t>HERBZINA PLUS 900 WG</t>
        </is>
      </c>
      <c r="E102" s="13" t="inlineStr">
        <is>
          <t>Pulverização Agrícola Conforme Bula</t>
        </is>
      </c>
      <c r="F102" s="13" t="inlineStr">
        <is>
          <t>Pinus / Eucalipto</t>
        </is>
      </c>
      <c r="G102" s="13" t="inlineStr">
        <is>
          <t>Cultura Autorizada na Bula</t>
        </is>
      </c>
      <c r="H102" s="13" t="inlineStr">
        <is>
          <t>100 a 300 L/ha</t>
        </is>
      </c>
      <c r="I102" s="13" t="inlineStr">
        <is>
          <t>20 a 40 L/ha</t>
        </is>
      </c>
      <c r="J102" s="13" t="inlineStr">
        <is>
          <t>U.N.A.</t>
        </is>
      </c>
    </row>
    <row r="103" ht="22" customHeight="1">
      <c r="A103" s="6" t="inlineStr">
        <is>
          <t>CUL-0099</t>
        </is>
      </c>
      <c r="B103" s="5" t="n">
        <v>23</v>
      </c>
      <c r="C103" s="7" t="inlineStr">
        <is>
          <t>Nº 33217</t>
        </is>
      </c>
      <c r="D103" s="8" t="inlineStr">
        <is>
          <t>PANGA 900 WG</t>
        </is>
      </c>
      <c r="E103" s="7" t="inlineStr">
        <is>
          <t>Pulverização Agrícola Conforme Bula</t>
        </is>
      </c>
      <c r="F103" s="7" t="inlineStr">
        <is>
          <t>Milho</t>
        </is>
      </c>
      <c r="G103" s="7" t="inlineStr">
        <is>
          <t>Cultura Autorizada na Bula</t>
        </is>
      </c>
      <c r="H103" s="7" t="inlineStr">
        <is>
          <t>100 a 300 L/ha</t>
        </is>
      </c>
      <c r="I103" s="7" t="inlineStr">
        <is>
          <t>20 a 40 L/ha</t>
        </is>
      </c>
      <c r="J103" s="7" t="inlineStr">
        <is>
          <t>60 dias</t>
        </is>
      </c>
    </row>
    <row r="104" ht="22" customHeight="1">
      <c r="A104" s="12" t="inlineStr">
        <is>
          <t>CUL-0100</t>
        </is>
      </c>
      <c r="B104" s="11" t="n">
        <v>23</v>
      </c>
      <c r="C104" s="13" t="inlineStr">
        <is>
          <t>Nº 33217</t>
        </is>
      </c>
      <c r="D104" s="14" t="inlineStr">
        <is>
          <t>PANGA 900 WG</t>
        </is>
      </c>
      <c r="E104" s="13" t="inlineStr">
        <is>
          <t>Pulverização Agrícola Conforme Bula</t>
        </is>
      </c>
      <c r="F104" s="13" t="inlineStr">
        <is>
          <t>Cana-de-açúcar</t>
        </is>
      </c>
      <c r="G104" s="13" t="inlineStr">
        <is>
          <t>Cultura Autorizada na Bula</t>
        </is>
      </c>
      <c r="H104" s="13" t="inlineStr">
        <is>
          <t>100 a 300 L/ha</t>
        </is>
      </c>
      <c r="I104" s="13" t="inlineStr">
        <is>
          <t>20 a 40 L/ha</t>
        </is>
      </c>
      <c r="J104" s="13" t="inlineStr">
        <is>
          <t>N/D</t>
        </is>
      </c>
    </row>
    <row r="105" ht="22" customHeight="1">
      <c r="A105" s="6" t="inlineStr">
        <is>
          <t>CUL-0101</t>
        </is>
      </c>
      <c r="B105" s="5" t="n">
        <v>23</v>
      </c>
      <c r="C105" s="7" t="inlineStr">
        <is>
          <t>Nº 33217</t>
        </is>
      </c>
      <c r="D105" s="8" t="inlineStr">
        <is>
          <t>PANGA 900 WG</t>
        </is>
      </c>
      <c r="E105" s="7" t="inlineStr">
        <is>
          <t>Pulverização Agrícola Conforme Bula</t>
        </is>
      </c>
      <c r="F105" s="7" t="inlineStr">
        <is>
          <t>Sorgo</t>
        </is>
      </c>
      <c r="G105" s="7" t="inlineStr">
        <is>
          <t>Cultura Autorizada na Bula</t>
        </is>
      </c>
      <c r="H105" s="7" t="inlineStr">
        <is>
          <t>100 a 300 L/ha</t>
        </is>
      </c>
      <c r="I105" s="7" t="inlineStr">
        <is>
          <t>20 a 40 L/ha</t>
        </is>
      </c>
      <c r="J105" s="7" t="inlineStr">
        <is>
          <t>60 dias</t>
        </is>
      </c>
    </row>
    <row r="106" ht="22" customHeight="1">
      <c r="A106" s="12" t="inlineStr">
        <is>
          <t>CUL-0102</t>
        </is>
      </c>
      <c r="B106" s="11" t="n">
        <v>23</v>
      </c>
      <c r="C106" s="13" t="inlineStr">
        <is>
          <t>Nº 33217</t>
        </is>
      </c>
      <c r="D106" s="14" t="inlineStr">
        <is>
          <t>PANGA 900 WG</t>
        </is>
      </c>
      <c r="E106" s="13" t="inlineStr">
        <is>
          <t>Pulverização Agrícola Conforme Bula</t>
        </is>
      </c>
      <c r="F106" s="13" t="inlineStr">
        <is>
          <t>Pinus / Eucalipto</t>
        </is>
      </c>
      <c r="G106" s="13" t="inlineStr">
        <is>
          <t>Cultura Autorizada na Bula</t>
        </is>
      </c>
      <c r="H106" s="13" t="inlineStr">
        <is>
          <t>100 a 300 L/ha</t>
        </is>
      </c>
      <c r="I106" s="13" t="inlineStr">
        <is>
          <t>20 a 40 L/ha</t>
        </is>
      </c>
      <c r="J106" s="13" t="inlineStr">
        <is>
          <t>U.N.A.</t>
        </is>
      </c>
    </row>
    <row r="107" ht="22" customHeight="1">
      <c r="A107" s="6" t="inlineStr">
        <is>
          <t>CUL-0103</t>
        </is>
      </c>
      <c r="B107" s="5" t="n">
        <v>24</v>
      </c>
      <c r="C107" s="7" t="inlineStr">
        <is>
          <t>Nº 22922</t>
        </is>
      </c>
      <c r="D107" s="8" t="inlineStr">
        <is>
          <t>PRILAN DUO</t>
        </is>
      </c>
      <c r="E107" s="7" t="inlineStr">
        <is>
          <t>Pulverização Agrícola Conforme Bula</t>
        </is>
      </c>
      <c r="F107" s="7" t="inlineStr">
        <is>
          <t>Soja</t>
        </is>
      </c>
      <c r="G107" s="7" t="inlineStr">
        <is>
          <t>Cultura Autorizada na Bula</t>
        </is>
      </c>
      <c r="H107" s="7" t="inlineStr">
        <is>
          <t>100 a 300 L/ha</t>
        </is>
      </c>
      <c r="I107" s="7" t="inlineStr">
        <is>
          <t>20 a 40 L/ha</t>
        </is>
      </c>
      <c r="J107" s="7" t="inlineStr">
        <is>
          <t>30 dias</t>
        </is>
      </c>
    </row>
    <row r="108" ht="22" customHeight="1">
      <c r="A108" s="12" t="inlineStr">
        <is>
          <t>CUL-0104</t>
        </is>
      </c>
      <c r="B108" s="11" t="n">
        <v>24</v>
      </c>
      <c r="C108" s="13" t="inlineStr">
        <is>
          <t>Nº 22922</t>
        </is>
      </c>
      <c r="D108" s="14" t="inlineStr">
        <is>
          <t>PRILAN DUO</t>
        </is>
      </c>
      <c r="E108" s="13" t="inlineStr">
        <is>
          <t>Pulverização Agrícola Conforme Bula</t>
        </is>
      </c>
      <c r="F108" s="13" t="inlineStr">
        <is>
          <t>Milho</t>
        </is>
      </c>
      <c r="G108" s="13" t="inlineStr">
        <is>
          <t>Cultura Autorizada na Bula</t>
        </is>
      </c>
      <c r="H108" s="13" t="inlineStr">
        <is>
          <t>100 a 300 L/ha</t>
        </is>
      </c>
      <c r="I108" s="13" t="inlineStr">
        <is>
          <t>20 a 40 L/ha</t>
        </is>
      </c>
      <c r="J108" s="13" t="inlineStr">
        <is>
          <t>15 dias</t>
        </is>
      </c>
    </row>
    <row r="109" ht="22" customHeight="1">
      <c r="A109" s="6" t="inlineStr">
        <is>
          <t>CUL-0105</t>
        </is>
      </c>
      <c r="B109" s="5" t="n">
        <v>24</v>
      </c>
      <c r="C109" s="7" t="inlineStr">
        <is>
          <t>Nº 22922</t>
        </is>
      </c>
      <c r="D109" s="8" t="inlineStr">
        <is>
          <t>PRILAN DUO</t>
        </is>
      </c>
      <c r="E109" s="7" t="inlineStr">
        <is>
          <t>Pulverização Agrícola Conforme Bula</t>
        </is>
      </c>
      <c r="F109" s="7" t="inlineStr">
        <is>
          <t>Algodão</t>
        </is>
      </c>
      <c r="G109" s="7" t="inlineStr">
        <is>
          <t>Cultura Autorizada na Bula</t>
        </is>
      </c>
      <c r="H109" s="7" t="inlineStr">
        <is>
          <t>100 a 300 L/ha</t>
        </is>
      </c>
      <c r="I109" s="7" t="inlineStr">
        <is>
          <t>20 a 40 L/ha</t>
        </is>
      </c>
      <c r="J109" s="7" t="inlineStr">
        <is>
          <t>30 dias</t>
        </is>
      </c>
    </row>
    <row r="110" ht="22" customHeight="1">
      <c r="A110" s="12" t="inlineStr">
        <is>
          <t>CUL-0106</t>
        </is>
      </c>
      <c r="B110" s="11" t="n">
        <v>24</v>
      </c>
      <c r="C110" s="13" t="inlineStr">
        <is>
          <t>Nº 22922</t>
        </is>
      </c>
      <c r="D110" s="14" t="inlineStr">
        <is>
          <t>PRILAN DUO</t>
        </is>
      </c>
      <c r="E110" s="13" t="inlineStr">
        <is>
          <t>Pulverização Agrícola Conforme Bula</t>
        </is>
      </c>
      <c r="F110" s="13" t="inlineStr">
        <is>
          <t>Trigo</t>
        </is>
      </c>
      <c r="G110" s="13" t="inlineStr">
        <is>
          <t>Cultura Autorizada na Bula</t>
        </is>
      </c>
      <c r="H110" s="13" t="inlineStr">
        <is>
          <t>100 a 300 L/ha</t>
        </is>
      </c>
      <c r="I110" s="13" t="inlineStr">
        <is>
          <t>20 a 40 L/ha</t>
        </is>
      </c>
      <c r="J110" s="13" t="inlineStr">
        <is>
          <t>35 dias</t>
        </is>
      </c>
    </row>
    <row r="111" ht="22" customHeight="1">
      <c r="A111" s="6" t="inlineStr">
        <is>
          <t>CUL-0107</t>
        </is>
      </c>
      <c r="B111" s="5" t="n">
        <v>24</v>
      </c>
      <c r="C111" s="7" t="inlineStr">
        <is>
          <t>Nº 22922</t>
        </is>
      </c>
      <c r="D111" s="8" t="inlineStr">
        <is>
          <t>PRILAN DUO</t>
        </is>
      </c>
      <c r="E111" s="7" t="inlineStr">
        <is>
          <t>Pulverização Agrícola Conforme Bula</t>
        </is>
      </c>
      <c r="F111" s="7" t="inlineStr">
        <is>
          <t>Café</t>
        </is>
      </c>
      <c r="G111" s="7" t="inlineStr">
        <is>
          <t>Cultura Autorizada na Bula</t>
        </is>
      </c>
      <c r="H111" s="7" t="inlineStr">
        <is>
          <t>100 a 300 L/ha</t>
        </is>
      </c>
      <c r="I111" s="7" t="inlineStr">
        <is>
          <t>20 a 40 L/ha</t>
        </is>
      </c>
      <c r="J111" s="7" t="inlineStr">
        <is>
          <t>30 dias</t>
        </is>
      </c>
    </row>
    <row r="112" ht="22" customHeight="1">
      <c r="A112" s="12" t="inlineStr">
        <is>
          <t>CUL-0108</t>
        </is>
      </c>
      <c r="B112" s="11" t="n">
        <v>24</v>
      </c>
      <c r="C112" s="13" t="inlineStr">
        <is>
          <t>Nº 22922</t>
        </is>
      </c>
      <c r="D112" s="14" t="inlineStr">
        <is>
          <t>PRILAN DUO</t>
        </is>
      </c>
      <c r="E112" s="13" t="inlineStr">
        <is>
          <t>Pulverização Agrícola Conforme Bula</t>
        </is>
      </c>
      <c r="F112" s="13" t="inlineStr">
        <is>
          <t>Feijão</t>
        </is>
      </c>
      <c r="G112" s="13" t="inlineStr">
        <is>
          <t>Cultura Autorizada na Bula</t>
        </is>
      </c>
      <c r="H112" s="13" t="inlineStr">
        <is>
          <t>100 a 300 L/ha</t>
        </is>
      </c>
      <c r="I112" s="13" t="inlineStr">
        <is>
          <t>20 a 40 L/ha</t>
        </is>
      </c>
      <c r="J112" s="13" t="inlineStr">
        <is>
          <t>14 dias</t>
        </is>
      </c>
    </row>
    <row r="113" ht="22" customHeight="1">
      <c r="A113" s="6" t="inlineStr">
        <is>
          <t>CUL-0109</t>
        </is>
      </c>
      <c r="B113" s="5" t="n">
        <v>25</v>
      </c>
      <c r="C113" s="7" t="inlineStr">
        <is>
          <t>SIPEAGRO (UF-XXXXX)</t>
        </is>
      </c>
      <c r="D113" s="8" t="inlineStr">
        <is>
          <t>AGCN BORO ULTRA</t>
        </is>
      </c>
      <c r="E113" s="7" t="inlineStr">
        <is>
          <t>Adubação de Solo / Foliar</t>
        </is>
      </c>
      <c r="F113" s="7" t="inlineStr">
        <is>
          <t>Soja</t>
        </is>
      </c>
      <c r="G113" s="7" t="inlineStr">
        <is>
          <t>Cultura Autorizada na Bula</t>
        </is>
      </c>
      <c r="H113" s="7" t="inlineStr">
        <is>
          <t>100 a 300 L/ha</t>
        </is>
      </c>
      <c r="I113" s="7" t="inlineStr">
        <is>
          <t>20 a 40 L/ha</t>
        </is>
      </c>
      <c r="J113" s="7" t="inlineStr">
        <is>
          <t>Isento</t>
        </is>
      </c>
    </row>
    <row r="114" ht="22" customHeight="1">
      <c r="A114" s="12" t="inlineStr">
        <is>
          <t>CUL-0110</t>
        </is>
      </c>
      <c r="B114" s="11" t="n">
        <v>25</v>
      </c>
      <c r="C114" s="13" t="inlineStr">
        <is>
          <t>SIPEAGRO (UF-XXXXX)</t>
        </is>
      </c>
      <c r="D114" s="14" t="inlineStr">
        <is>
          <t>AGCN BORO ULTRA</t>
        </is>
      </c>
      <c r="E114" s="13" t="inlineStr">
        <is>
          <t>Adubação de Solo / Foliar</t>
        </is>
      </c>
      <c r="F114" s="13" t="inlineStr">
        <is>
          <t>Milho</t>
        </is>
      </c>
      <c r="G114" s="13" t="inlineStr">
        <is>
          <t>Cultura Autorizada na Bula</t>
        </is>
      </c>
      <c r="H114" s="13" t="inlineStr">
        <is>
          <t>100 a 300 L/ha</t>
        </is>
      </c>
      <c r="I114" s="13" t="inlineStr">
        <is>
          <t>20 a 40 L/ha</t>
        </is>
      </c>
      <c r="J114" s="13" t="inlineStr">
        <is>
          <t>Isento</t>
        </is>
      </c>
    </row>
    <row r="115" ht="22" customHeight="1">
      <c r="A115" s="6" t="inlineStr">
        <is>
          <t>CUL-0111</t>
        </is>
      </c>
      <c r="B115" s="5" t="n">
        <v>25</v>
      </c>
      <c r="C115" s="7" t="inlineStr">
        <is>
          <t>SIPEAGRO (UF-XXXXX)</t>
        </is>
      </c>
      <c r="D115" s="8" t="inlineStr">
        <is>
          <t>AGCN BORO ULTRA</t>
        </is>
      </c>
      <c r="E115" s="7" t="inlineStr">
        <is>
          <t>Adubação de Solo / Foliar</t>
        </is>
      </c>
      <c r="F115" s="7" t="inlineStr">
        <is>
          <t>Algodão</t>
        </is>
      </c>
      <c r="G115" s="7" t="inlineStr">
        <is>
          <t>Cultura Autorizada na Bula</t>
        </is>
      </c>
      <c r="H115" s="7" t="inlineStr">
        <is>
          <t>100 a 300 L/ha</t>
        </is>
      </c>
      <c r="I115" s="7" t="inlineStr">
        <is>
          <t>20 a 40 L/ha</t>
        </is>
      </c>
      <c r="J115" s="7" t="inlineStr">
        <is>
          <t>Isento</t>
        </is>
      </c>
    </row>
    <row r="116" ht="22" customHeight="1">
      <c r="A116" s="12" t="inlineStr">
        <is>
          <t>CUL-0112</t>
        </is>
      </c>
      <c r="B116" s="11" t="n">
        <v>25</v>
      </c>
      <c r="C116" s="13" t="inlineStr">
        <is>
          <t>SIPEAGRO (UF-XXXXX)</t>
        </is>
      </c>
      <c r="D116" s="14" t="inlineStr">
        <is>
          <t>AGCN BORO ULTRA</t>
        </is>
      </c>
      <c r="E116" s="13" t="inlineStr">
        <is>
          <t>Adubação de Solo / Foliar</t>
        </is>
      </c>
      <c r="F116" s="13" t="inlineStr">
        <is>
          <t>Cana-de-açúcar</t>
        </is>
      </c>
      <c r="G116" s="13" t="inlineStr">
        <is>
          <t>Cultura Autorizada na Bula</t>
        </is>
      </c>
      <c r="H116" s="13" t="inlineStr">
        <is>
          <t>100 a 300 L/ha</t>
        </is>
      </c>
      <c r="I116" s="13" t="inlineStr">
        <is>
          <t>20 a 40 L/ha</t>
        </is>
      </c>
      <c r="J116" s="13" t="inlineStr">
        <is>
          <t>Isento</t>
        </is>
      </c>
    </row>
    <row r="117" ht="22" customHeight="1">
      <c r="A117" s="6" t="inlineStr">
        <is>
          <t>CUL-0113</t>
        </is>
      </c>
      <c r="B117" s="5" t="n">
        <v>25</v>
      </c>
      <c r="C117" s="7" t="inlineStr">
        <is>
          <t>SIPEAGRO (UF-XXXXX)</t>
        </is>
      </c>
      <c r="D117" s="8" t="inlineStr">
        <is>
          <t>AGCN BORO ULTRA</t>
        </is>
      </c>
      <c r="E117" s="7" t="inlineStr">
        <is>
          <t>Adubação de Solo / Foliar</t>
        </is>
      </c>
      <c r="F117" s="7" t="inlineStr">
        <is>
          <t>Café</t>
        </is>
      </c>
      <c r="G117" s="7" t="inlineStr">
        <is>
          <t>Cultura Autorizada na Bula</t>
        </is>
      </c>
      <c r="H117" s="7" t="inlineStr">
        <is>
          <t>100 a 300 L/ha</t>
        </is>
      </c>
      <c r="I117" s="7" t="inlineStr">
        <is>
          <t>20 a 40 L/ha</t>
        </is>
      </c>
      <c r="J117" s="7" t="inlineStr">
        <is>
          <t>Isento</t>
        </is>
      </c>
    </row>
    <row r="118" ht="22" customHeight="1">
      <c r="A118" s="12" t="inlineStr">
        <is>
          <t>CUL-0114</t>
        </is>
      </c>
      <c r="B118" s="11" t="n">
        <v>26</v>
      </c>
      <c r="C118" s="13" t="inlineStr">
        <is>
          <t>Nº 44024</t>
        </is>
      </c>
      <c r="D118" s="14" t="inlineStr">
        <is>
          <t>AGCN DUX</t>
        </is>
      </c>
      <c r="E118" s="13" t="inlineStr">
        <is>
          <t>Pulverização Agrícola Conforme Bula</t>
        </is>
      </c>
      <c r="F118" s="13" t="inlineStr">
        <is>
          <t>Todas as Culturas (Alvo Biológico Autorizado MAPA)</t>
        </is>
      </c>
      <c r="G118" s="13" t="inlineStr">
        <is>
          <t>Cultura Autorizada na Bula</t>
        </is>
      </c>
      <c r="H118" s="13" t="inlineStr">
        <is>
          <t>100 a 300 L/ha</t>
        </is>
      </c>
      <c r="I118" s="13" t="inlineStr">
        <is>
          <t>20 a 40 L/ha</t>
        </is>
      </c>
      <c r="J118" s="13" t="inlineStr">
        <is>
          <t>0 (Isento de Carência)</t>
        </is>
      </c>
    </row>
    <row r="119" ht="22" customHeight="1">
      <c r="A119" s="6" t="inlineStr">
        <is>
          <t>CUL-0115</t>
        </is>
      </c>
      <c r="B119" s="5" t="n">
        <v>27</v>
      </c>
      <c r="C119" s="7" t="inlineStr">
        <is>
          <t>Nº 24117</t>
        </is>
      </c>
      <c r="D119" s="8" t="inlineStr">
        <is>
          <t>FOX XPRO</t>
        </is>
      </c>
      <c r="E119" s="7" t="inlineStr">
        <is>
          <t>Pulverização Agrícola Conforme Bula</t>
        </is>
      </c>
      <c r="F119" s="7" t="inlineStr">
        <is>
          <t>Soja</t>
        </is>
      </c>
      <c r="G119" s="7" t="inlineStr">
        <is>
          <t>Cultura Autorizada na Bula</t>
        </is>
      </c>
      <c r="H119" s="7" t="inlineStr">
        <is>
          <t>100 a 300 L/ha</t>
        </is>
      </c>
      <c r="I119" s="7" t="inlineStr">
        <is>
          <t>20 a 40 L/ha</t>
        </is>
      </c>
      <c r="J119" s="7" t="inlineStr">
        <is>
          <t>30 dias</t>
        </is>
      </c>
    </row>
    <row r="120" ht="22" customHeight="1">
      <c r="A120" s="12" t="inlineStr">
        <is>
          <t>CUL-0116</t>
        </is>
      </c>
      <c r="B120" s="11" t="n">
        <v>27</v>
      </c>
      <c r="C120" s="13" t="inlineStr">
        <is>
          <t>Nº 24117</t>
        </is>
      </c>
      <c r="D120" s="14" t="inlineStr">
        <is>
          <t>FOX XPRO</t>
        </is>
      </c>
      <c r="E120" s="13" t="inlineStr">
        <is>
          <t>Pulverização Agrícola Conforme Bula</t>
        </is>
      </c>
      <c r="F120" s="13" t="inlineStr">
        <is>
          <t>Algodão</t>
        </is>
      </c>
      <c r="G120" s="13" t="inlineStr">
        <is>
          <t>Cultura Autorizada na Bula</t>
        </is>
      </c>
      <c r="H120" s="13" t="inlineStr">
        <is>
          <t>100 a 300 L/ha</t>
        </is>
      </c>
      <c r="I120" s="13" t="inlineStr">
        <is>
          <t>20 a 40 L/ha</t>
        </is>
      </c>
      <c r="J120" s="13" t="inlineStr">
        <is>
          <t>30 dias</t>
        </is>
      </c>
    </row>
    <row r="121" ht="22" customHeight="1">
      <c r="A121" s="6" t="inlineStr">
        <is>
          <t>CUL-0117</t>
        </is>
      </c>
      <c r="B121" s="5" t="n">
        <v>27</v>
      </c>
      <c r="C121" s="7" t="inlineStr">
        <is>
          <t>Nº 24117</t>
        </is>
      </c>
      <c r="D121" s="8" t="inlineStr">
        <is>
          <t>FOX XPRO</t>
        </is>
      </c>
      <c r="E121" s="7" t="inlineStr">
        <is>
          <t>Pulverização Agrícola Conforme Bula</t>
        </is>
      </c>
      <c r="F121" s="7" t="inlineStr">
        <is>
          <t>Milho</t>
        </is>
      </c>
      <c r="G121" s="7" t="inlineStr">
        <is>
          <t>Cultura Autorizada na Bula</t>
        </is>
      </c>
      <c r="H121" s="7" t="inlineStr">
        <is>
          <t>100 a 300 L/ha</t>
        </is>
      </c>
      <c r="I121" s="7" t="inlineStr">
        <is>
          <t>20 a 40 L/ha</t>
        </is>
      </c>
      <c r="J121" s="7" t="inlineStr">
        <is>
          <t>42 dias</t>
        </is>
      </c>
    </row>
    <row r="122" ht="22" customHeight="1">
      <c r="A122" s="12" t="inlineStr">
        <is>
          <t>CUL-0118</t>
        </is>
      </c>
      <c r="B122" s="11" t="n">
        <v>27</v>
      </c>
      <c r="C122" s="13" t="inlineStr">
        <is>
          <t>Nº 24117</t>
        </is>
      </c>
      <c r="D122" s="14" t="inlineStr">
        <is>
          <t>FOX XPRO</t>
        </is>
      </c>
      <c r="E122" s="13" t="inlineStr">
        <is>
          <t>Pulverização Agrícola Conforme Bula</t>
        </is>
      </c>
      <c r="F122" s="13" t="inlineStr">
        <is>
          <t>Feijão</t>
        </is>
      </c>
      <c r="G122" s="13" t="inlineStr">
        <is>
          <t>Cultura Autorizada na Bula</t>
        </is>
      </c>
      <c r="H122" s="13" t="inlineStr">
        <is>
          <t>100 a 300 L/ha</t>
        </is>
      </c>
      <c r="I122" s="13" t="inlineStr">
        <is>
          <t>20 a 40 L/ha</t>
        </is>
      </c>
      <c r="J122" s="13" t="inlineStr">
        <is>
          <t>15 dias</t>
        </is>
      </c>
    </row>
    <row r="123" ht="22" customHeight="1">
      <c r="A123" s="6" t="inlineStr">
        <is>
          <t>CUL-0119</t>
        </is>
      </c>
      <c r="B123" s="5" t="n">
        <v>27</v>
      </c>
      <c r="C123" s="7" t="inlineStr">
        <is>
          <t>Nº 24117</t>
        </is>
      </c>
      <c r="D123" s="8" t="inlineStr">
        <is>
          <t>FOX XPRO</t>
        </is>
      </c>
      <c r="E123" s="7" t="inlineStr">
        <is>
          <t>Pulverização Agrícola Conforme Bula</t>
        </is>
      </c>
      <c r="F123" s="7" t="inlineStr">
        <is>
          <t>Trigo</t>
        </is>
      </c>
      <c r="G123" s="7" t="inlineStr">
        <is>
          <t>Cultura Autorizada na Bula</t>
        </is>
      </c>
      <c r="H123" s="7" t="inlineStr">
        <is>
          <t>100 a 300 L/ha</t>
        </is>
      </c>
      <c r="I123" s="7" t="inlineStr">
        <is>
          <t>20 a 40 L/ha</t>
        </is>
      </c>
      <c r="J123" s="7" t="inlineStr">
        <is>
          <t>30 dias</t>
        </is>
      </c>
    </row>
    <row r="124" ht="22" customHeight="1">
      <c r="A124" s="12" t="inlineStr">
        <is>
          <t>CUL-0120</t>
        </is>
      </c>
      <c r="B124" s="11" t="n">
        <v>28</v>
      </c>
      <c r="C124" s="13" t="inlineStr">
        <is>
          <t>SIPEAGRO (UF-XXXXX)</t>
        </is>
      </c>
      <c r="D124" s="14" t="inlineStr">
        <is>
          <t>AGCN BORO</t>
        </is>
      </c>
      <c r="E124" s="13" t="inlineStr">
        <is>
          <t>Adubação de Solo / Foliar</t>
        </is>
      </c>
      <c r="F124" s="13" t="inlineStr">
        <is>
          <t>Soja</t>
        </is>
      </c>
      <c r="G124" s="13" t="inlineStr">
        <is>
          <t>Cultura Autorizada na Bula</t>
        </is>
      </c>
      <c r="H124" s="13" t="inlineStr">
        <is>
          <t>100 a 300 L/ha</t>
        </is>
      </c>
      <c r="I124" s="13" t="inlineStr">
        <is>
          <t>20 a 40 L/ha</t>
        </is>
      </c>
      <c r="J124" s="13" t="inlineStr">
        <is>
          <t>Isento</t>
        </is>
      </c>
    </row>
    <row r="125" ht="22" customHeight="1">
      <c r="A125" s="6" t="inlineStr">
        <is>
          <t>CUL-0121</t>
        </is>
      </c>
      <c r="B125" s="5" t="n">
        <v>28</v>
      </c>
      <c r="C125" s="7" t="inlineStr">
        <is>
          <t>SIPEAGRO (UF-XXXXX)</t>
        </is>
      </c>
      <c r="D125" s="8" t="inlineStr">
        <is>
          <t>AGCN BORO</t>
        </is>
      </c>
      <c r="E125" s="7" t="inlineStr">
        <is>
          <t>Adubação de Solo / Foliar</t>
        </is>
      </c>
      <c r="F125" s="7" t="inlineStr">
        <is>
          <t>Milho</t>
        </is>
      </c>
      <c r="G125" s="7" t="inlineStr">
        <is>
          <t>Cultura Autorizada na Bula</t>
        </is>
      </c>
      <c r="H125" s="7" t="inlineStr">
        <is>
          <t>100 a 300 L/ha</t>
        </is>
      </c>
      <c r="I125" s="7" t="inlineStr">
        <is>
          <t>20 a 40 L/ha</t>
        </is>
      </c>
      <c r="J125" s="7" t="inlineStr">
        <is>
          <t>Isento</t>
        </is>
      </c>
    </row>
    <row r="126" ht="22" customHeight="1">
      <c r="A126" s="12" t="inlineStr">
        <is>
          <t>CUL-0122</t>
        </is>
      </c>
      <c r="B126" s="11" t="n">
        <v>28</v>
      </c>
      <c r="C126" s="13" t="inlineStr">
        <is>
          <t>SIPEAGRO (UF-XXXXX)</t>
        </is>
      </c>
      <c r="D126" s="14" t="inlineStr">
        <is>
          <t>AGCN BORO</t>
        </is>
      </c>
      <c r="E126" s="13" t="inlineStr">
        <is>
          <t>Adubação de Solo / Foliar</t>
        </is>
      </c>
      <c r="F126" s="13" t="inlineStr">
        <is>
          <t>Algodão</t>
        </is>
      </c>
      <c r="G126" s="13" t="inlineStr">
        <is>
          <t>Cultura Autorizada na Bula</t>
        </is>
      </c>
      <c r="H126" s="13" t="inlineStr">
        <is>
          <t>100 a 300 L/ha</t>
        </is>
      </c>
      <c r="I126" s="13" t="inlineStr">
        <is>
          <t>20 a 40 L/ha</t>
        </is>
      </c>
      <c r="J126" s="13" t="inlineStr">
        <is>
          <t>Isento</t>
        </is>
      </c>
    </row>
    <row r="127" ht="22" customHeight="1">
      <c r="A127" s="6" t="inlineStr">
        <is>
          <t>CUL-0123</t>
        </is>
      </c>
      <c r="B127" s="5" t="n">
        <v>28</v>
      </c>
      <c r="C127" s="7" t="inlineStr">
        <is>
          <t>SIPEAGRO (UF-XXXXX)</t>
        </is>
      </c>
      <c r="D127" s="8" t="inlineStr">
        <is>
          <t>AGCN BORO</t>
        </is>
      </c>
      <c r="E127" s="7" t="inlineStr">
        <is>
          <t>Adubação de Solo / Foliar</t>
        </is>
      </c>
      <c r="F127" s="7" t="inlineStr">
        <is>
          <t>Cana-de-açúcar</t>
        </is>
      </c>
      <c r="G127" s="7" t="inlineStr">
        <is>
          <t>Cultura Autorizada na Bula</t>
        </is>
      </c>
      <c r="H127" s="7" t="inlineStr">
        <is>
          <t>100 a 300 L/ha</t>
        </is>
      </c>
      <c r="I127" s="7" t="inlineStr">
        <is>
          <t>20 a 40 L/ha</t>
        </is>
      </c>
      <c r="J127" s="7" t="inlineStr">
        <is>
          <t>Isento</t>
        </is>
      </c>
    </row>
    <row r="128" ht="22" customHeight="1">
      <c r="A128" s="12" t="inlineStr">
        <is>
          <t>CUL-0124</t>
        </is>
      </c>
      <c r="B128" s="11" t="n">
        <v>28</v>
      </c>
      <c r="C128" s="13" t="inlineStr">
        <is>
          <t>SIPEAGRO (UF-XXXXX)</t>
        </is>
      </c>
      <c r="D128" s="14" t="inlineStr">
        <is>
          <t>AGCN BORO</t>
        </is>
      </c>
      <c r="E128" s="13" t="inlineStr">
        <is>
          <t>Adubação de Solo / Foliar</t>
        </is>
      </c>
      <c r="F128" s="13" t="inlineStr">
        <is>
          <t>Café</t>
        </is>
      </c>
      <c r="G128" s="13" t="inlineStr">
        <is>
          <t>Cultura Autorizada na Bula</t>
        </is>
      </c>
      <c r="H128" s="13" t="inlineStr">
        <is>
          <t>100 a 300 L/ha</t>
        </is>
      </c>
      <c r="I128" s="13" t="inlineStr">
        <is>
          <t>20 a 40 L/ha</t>
        </is>
      </c>
      <c r="J128" s="13" t="inlineStr">
        <is>
          <t>Isento</t>
        </is>
      </c>
    </row>
    <row r="129" ht="22" customHeight="1">
      <c r="A129" s="6" t="inlineStr">
        <is>
          <t>CUL-0125</t>
        </is>
      </c>
      <c r="B129" s="5" t="n">
        <v>29</v>
      </c>
      <c r="C129" s="7" t="inlineStr">
        <is>
          <t>SIPEAGRO (UF-XXXXX)</t>
        </is>
      </c>
      <c r="D129" s="8" t="inlineStr">
        <is>
          <t>AGCN CAB</t>
        </is>
      </c>
      <c r="E129" s="7" t="inlineStr">
        <is>
          <t>Adubação de Solo / Foliar</t>
        </is>
      </c>
      <c r="F129" s="7" t="inlineStr">
        <is>
          <t>Soja</t>
        </is>
      </c>
      <c r="G129" s="7" t="inlineStr">
        <is>
          <t>Cultura Autorizada na Bula</t>
        </is>
      </c>
      <c r="H129" s="7" t="inlineStr">
        <is>
          <t>100 a 300 L/ha</t>
        </is>
      </c>
      <c r="I129" s="7" t="inlineStr">
        <is>
          <t>20 a 40 L/ha</t>
        </is>
      </c>
      <c r="J129" s="7" t="inlineStr">
        <is>
          <t>Isento</t>
        </is>
      </c>
    </row>
    <row r="130" ht="22" customHeight="1">
      <c r="A130" s="12" t="inlineStr">
        <is>
          <t>CUL-0126</t>
        </is>
      </c>
      <c r="B130" s="11" t="n">
        <v>29</v>
      </c>
      <c r="C130" s="13" t="inlineStr">
        <is>
          <t>SIPEAGRO (UF-XXXXX)</t>
        </is>
      </c>
      <c r="D130" s="14" t="inlineStr">
        <is>
          <t>AGCN CAB</t>
        </is>
      </c>
      <c r="E130" s="13" t="inlineStr">
        <is>
          <t>Adubação de Solo / Foliar</t>
        </is>
      </c>
      <c r="F130" s="13" t="inlineStr">
        <is>
          <t>Milho</t>
        </is>
      </c>
      <c r="G130" s="13" t="inlineStr">
        <is>
          <t>Cultura Autorizada na Bula</t>
        </is>
      </c>
      <c r="H130" s="13" t="inlineStr">
        <is>
          <t>100 a 300 L/ha</t>
        </is>
      </c>
      <c r="I130" s="13" t="inlineStr">
        <is>
          <t>20 a 40 L/ha</t>
        </is>
      </c>
      <c r="J130" s="13" t="inlineStr">
        <is>
          <t>Isento</t>
        </is>
      </c>
    </row>
    <row r="131" ht="22" customHeight="1">
      <c r="A131" s="6" t="inlineStr">
        <is>
          <t>CUL-0127</t>
        </is>
      </c>
      <c r="B131" s="5" t="n">
        <v>29</v>
      </c>
      <c r="C131" s="7" t="inlineStr">
        <is>
          <t>SIPEAGRO (UF-XXXXX)</t>
        </is>
      </c>
      <c r="D131" s="8" t="inlineStr">
        <is>
          <t>AGCN CAB</t>
        </is>
      </c>
      <c r="E131" s="7" t="inlineStr">
        <is>
          <t>Adubação de Solo / Foliar</t>
        </is>
      </c>
      <c r="F131" s="7" t="inlineStr">
        <is>
          <t>Algodão</t>
        </is>
      </c>
      <c r="G131" s="7" t="inlineStr">
        <is>
          <t>Cultura Autorizada na Bula</t>
        </is>
      </c>
      <c r="H131" s="7" t="inlineStr">
        <is>
          <t>100 a 300 L/ha</t>
        </is>
      </c>
      <c r="I131" s="7" t="inlineStr">
        <is>
          <t>20 a 40 L/ha</t>
        </is>
      </c>
      <c r="J131" s="7" t="inlineStr">
        <is>
          <t>Isento</t>
        </is>
      </c>
    </row>
    <row r="132" ht="22" customHeight="1">
      <c r="A132" s="12" t="inlineStr">
        <is>
          <t>CUL-0128</t>
        </is>
      </c>
      <c r="B132" s="11" t="n">
        <v>29</v>
      </c>
      <c r="C132" s="13" t="inlineStr">
        <is>
          <t>SIPEAGRO (UF-XXXXX)</t>
        </is>
      </c>
      <c r="D132" s="14" t="inlineStr">
        <is>
          <t>AGCN CAB</t>
        </is>
      </c>
      <c r="E132" s="13" t="inlineStr">
        <is>
          <t>Adubação de Solo / Foliar</t>
        </is>
      </c>
      <c r="F132" s="13" t="inlineStr">
        <is>
          <t>Cana-de-açúcar</t>
        </is>
      </c>
      <c r="G132" s="13" t="inlineStr">
        <is>
          <t>Cultura Autorizada na Bula</t>
        </is>
      </c>
      <c r="H132" s="13" t="inlineStr">
        <is>
          <t>100 a 300 L/ha</t>
        </is>
      </c>
      <c r="I132" s="13" t="inlineStr">
        <is>
          <t>20 a 40 L/ha</t>
        </is>
      </c>
      <c r="J132" s="13" t="inlineStr">
        <is>
          <t>Isento</t>
        </is>
      </c>
    </row>
    <row r="133" ht="22" customHeight="1">
      <c r="A133" s="6" t="inlineStr">
        <is>
          <t>CUL-0129</t>
        </is>
      </c>
      <c r="B133" s="5" t="n">
        <v>29</v>
      </c>
      <c r="C133" s="7" t="inlineStr">
        <is>
          <t>SIPEAGRO (UF-XXXXX)</t>
        </is>
      </c>
      <c r="D133" s="8" t="inlineStr">
        <is>
          <t>AGCN CAB</t>
        </is>
      </c>
      <c r="E133" s="7" t="inlineStr">
        <is>
          <t>Adubação de Solo / Foliar</t>
        </is>
      </c>
      <c r="F133" s="7" t="inlineStr">
        <is>
          <t>Café</t>
        </is>
      </c>
      <c r="G133" s="7" t="inlineStr">
        <is>
          <t>Cultura Autorizada na Bula</t>
        </is>
      </c>
      <c r="H133" s="7" t="inlineStr">
        <is>
          <t>100 a 300 L/ha</t>
        </is>
      </c>
      <c r="I133" s="7" t="inlineStr">
        <is>
          <t>20 a 40 L/ha</t>
        </is>
      </c>
      <c r="J133" s="7" t="inlineStr">
        <is>
          <t>Isento</t>
        </is>
      </c>
    </row>
    <row r="134" ht="22" customHeight="1">
      <c r="A134" s="12" t="inlineStr">
        <is>
          <t>CUL-0130</t>
        </is>
      </c>
      <c r="B134" s="11" t="n">
        <v>30</v>
      </c>
      <c r="C134" s="13" t="inlineStr">
        <is>
          <t>Nº 8214</t>
        </is>
      </c>
      <c r="D134" s="14" t="inlineStr">
        <is>
          <t>BRIT</t>
        </is>
      </c>
      <c r="E134" s="13" t="inlineStr">
        <is>
          <t>Pulverização Agrícola Conforme Bula</t>
        </is>
      </c>
      <c r="F134" s="13" t="inlineStr">
        <is>
          <t>Soja</t>
        </is>
      </c>
      <c r="G134" s="13" t="inlineStr">
        <is>
          <t>Cultura Autorizada na Bula</t>
        </is>
      </c>
      <c r="H134" s="13" t="inlineStr">
        <is>
          <t>100 a 300 L/ha</t>
        </is>
      </c>
      <c r="I134" s="13" t="inlineStr">
        <is>
          <t>20 a 40 L/ha</t>
        </is>
      </c>
      <c r="J134" s="13" t="inlineStr">
        <is>
          <t>21 dias</t>
        </is>
      </c>
    </row>
    <row r="135" ht="22" customHeight="1">
      <c r="A135" s="6" t="inlineStr">
        <is>
          <t>CUL-0131</t>
        </is>
      </c>
      <c r="B135" s="5" t="n">
        <v>30</v>
      </c>
      <c r="C135" s="7" t="inlineStr">
        <is>
          <t>Nº 8214</t>
        </is>
      </c>
      <c r="D135" s="8" t="inlineStr">
        <is>
          <t>BRIT</t>
        </is>
      </c>
      <c r="E135" s="7" t="inlineStr">
        <is>
          <t>Pulverização Agrícola Conforme Bula</t>
        </is>
      </c>
      <c r="F135" s="7" t="inlineStr">
        <is>
          <t>Milho</t>
        </is>
      </c>
      <c r="G135" s="7" t="inlineStr">
        <is>
          <t>Cultura Autorizada na Bula</t>
        </is>
      </c>
      <c r="H135" s="7" t="inlineStr">
        <is>
          <t>100 a 300 L/ha</t>
        </is>
      </c>
      <c r="I135" s="7" t="inlineStr">
        <is>
          <t>20 a 40 L/ha</t>
        </is>
      </c>
      <c r="J135" s="7" t="inlineStr">
        <is>
          <t>21 dias</t>
        </is>
      </c>
    </row>
    <row r="136" ht="22" customHeight="1">
      <c r="A136" s="12" t="inlineStr">
        <is>
          <t>CUL-0132</t>
        </is>
      </c>
      <c r="B136" s="11" t="n">
        <v>30</v>
      </c>
      <c r="C136" s="13" t="inlineStr">
        <is>
          <t>Nº 8214</t>
        </is>
      </c>
      <c r="D136" s="14" t="inlineStr">
        <is>
          <t>BRIT</t>
        </is>
      </c>
      <c r="E136" s="13" t="inlineStr">
        <is>
          <t>Pulverização Agrícola Conforme Bula</t>
        </is>
      </c>
      <c r="F136" s="13" t="inlineStr">
        <is>
          <t>Algodão</t>
        </is>
      </c>
      <c r="G136" s="13" t="inlineStr">
        <is>
          <t>Cultura Autorizada na Bula</t>
        </is>
      </c>
      <c r="H136" s="13" t="inlineStr">
        <is>
          <t>100 a 300 L/ha</t>
        </is>
      </c>
      <c r="I136" s="13" t="inlineStr">
        <is>
          <t>20 a 40 L/ha</t>
        </is>
      </c>
      <c r="J136" s="13" t="inlineStr">
        <is>
          <t>21 dias</t>
        </is>
      </c>
    </row>
    <row r="137" ht="22" customHeight="1">
      <c r="A137" s="6" t="inlineStr">
        <is>
          <t>CUL-0133</t>
        </is>
      </c>
      <c r="B137" s="5" t="n">
        <v>30</v>
      </c>
      <c r="C137" s="7" t="inlineStr">
        <is>
          <t>Nº 8214</t>
        </is>
      </c>
      <c r="D137" s="8" t="inlineStr">
        <is>
          <t>BRIT</t>
        </is>
      </c>
      <c r="E137" s="7" t="inlineStr">
        <is>
          <t>Pulverização Agrícola Conforme Bula</t>
        </is>
      </c>
      <c r="F137" s="7" t="inlineStr">
        <is>
          <t>Feijão</t>
        </is>
      </c>
      <c r="G137" s="7" t="inlineStr">
        <is>
          <t>Cultura Autorizada na Bula</t>
        </is>
      </c>
      <c r="H137" s="7" t="inlineStr">
        <is>
          <t>100 a 300 L/ha</t>
        </is>
      </c>
      <c r="I137" s="7" t="inlineStr">
        <is>
          <t>20 a 40 L/ha</t>
        </is>
      </c>
      <c r="J137" s="7" t="inlineStr">
        <is>
          <t>14 dias</t>
        </is>
      </c>
    </row>
    <row r="138" ht="22" customHeight="1">
      <c r="A138" s="12" t="inlineStr">
        <is>
          <t>CUL-0134</t>
        </is>
      </c>
      <c r="B138" s="11" t="n">
        <v>31</v>
      </c>
      <c r="C138" s="13" t="inlineStr">
        <is>
          <t>Nº 11117</t>
        </is>
      </c>
      <c r="D138" s="14" t="inlineStr">
        <is>
          <t>CLETODIM CCAB 240 EC</t>
        </is>
      </c>
      <c r="E138" s="13" t="inlineStr">
        <is>
          <t>Pulverização Agrícola Conforme Bula</t>
        </is>
      </c>
      <c r="F138" s="13" t="inlineStr">
        <is>
          <t>Soja</t>
        </is>
      </c>
      <c r="G138" s="13" t="inlineStr">
        <is>
          <t>Cultura Autorizada na Bula</t>
        </is>
      </c>
      <c r="H138" s="13" t="inlineStr">
        <is>
          <t>100 a 300 L/ha</t>
        </is>
      </c>
      <c r="I138" s="13" t="inlineStr">
        <is>
          <t>20 a 40 L/ha</t>
        </is>
      </c>
      <c r="J138" s="13" t="inlineStr">
        <is>
          <t>60 dias</t>
        </is>
      </c>
    </row>
    <row r="139" ht="22" customHeight="1">
      <c r="A139" s="6" t="inlineStr">
        <is>
          <t>CUL-0135</t>
        </is>
      </c>
      <c r="B139" s="5" t="n">
        <v>31</v>
      </c>
      <c r="C139" s="7" t="inlineStr">
        <is>
          <t>Nº 11117</t>
        </is>
      </c>
      <c r="D139" s="8" t="inlineStr">
        <is>
          <t>CLETODIM CCAB 240 EC</t>
        </is>
      </c>
      <c r="E139" s="7" t="inlineStr">
        <is>
          <t>Pulverização Agrícola Conforme Bula</t>
        </is>
      </c>
      <c r="F139" s="7" t="inlineStr">
        <is>
          <t>Algodão</t>
        </is>
      </c>
      <c r="G139" s="7" t="inlineStr">
        <is>
          <t>Cultura Autorizada na Bula</t>
        </is>
      </c>
      <c r="H139" s="7" t="inlineStr">
        <is>
          <t>100 a 300 L/ha</t>
        </is>
      </c>
      <c r="I139" s="7" t="inlineStr">
        <is>
          <t>20 a 40 L/ha</t>
        </is>
      </c>
      <c r="J139" s="7" t="inlineStr">
        <is>
          <t>58 dias</t>
        </is>
      </c>
    </row>
    <row r="140" ht="22" customHeight="1">
      <c r="A140" s="12" t="inlineStr">
        <is>
          <t>CUL-0136</t>
        </is>
      </c>
      <c r="B140" s="11" t="n">
        <v>31</v>
      </c>
      <c r="C140" s="13" t="inlineStr">
        <is>
          <t>Nº 11117</t>
        </is>
      </c>
      <c r="D140" s="14" t="inlineStr">
        <is>
          <t>CLETODIM CCAB 240 EC</t>
        </is>
      </c>
      <c r="E140" s="13" t="inlineStr">
        <is>
          <t>Pulverização Agrícola Conforme Bula</t>
        </is>
      </c>
      <c r="F140" s="13" t="inlineStr">
        <is>
          <t>Feijão</t>
        </is>
      </c>
      <c r="G140" s="13" t="inlineStr">
        <is>
          <t>Cultura Autorizada na Bula</t>
        </is>
      </c>
      <c r="H140" s="13" t="inlineStr">
        <is>
          <t>100 a 300 L/ha</t>
        </is>
      </c>
      <c r="I140" s="13" t="inlineStr">
        <is>
          <t>20 a 40 L/ha</t>
        </is>
      </c>
      <c r="J140" s="13" t="inlineStr">
        <is>
          <t>40 dias</t>
        </is>
      </c>
    </row>
    <row r="141" ht="22" customHeight="1">
      <c r="A141" s="6" t="inlineStr">
        <is>
          <t>CUL-0137</t>
        </is>
      </c>
      <c r="B141" s="5" t="n">
        <v>31</v>
      </c>
      <c r="C141" s="7" t="inlineStr">
        <is>
          <t>Nº 11117</t>
        </is>
      </c>
      <c r="D141" s="8" t="inlineStr">
        <is>
          <t>CLETODIM CCAB 240 EC</t>
        </is>
      </c>
      <c r="E141" s="7" t="inlineStr">
        <is>
          <t>Pulverização Agrícola Conforme Bula</t>
        </is>
      </c>
      <c r="F141" s="7" t="inlineStr">
        <is>
          <t>Café</t>
        </is>
      </c>
      <c r="G141" s="7" t="inlineStr">
        <is>
          <t>Cultura Autorizada na Bula</t>
        </is>
      </c>
      <c r="H141" s="7" t="inlineStr">
        <is>
          <t>100 a 300 L/ha</t>
        </is>
      </c>
      <c r="I141" s="7" t="inlineStr">
        <is>
          <t>20 a 40 L/ha</t>
        </is>
      </c>
      <c r="J141" s="7" t="inlineStr">
        <is>
          <t>14 dias</t>
        </is>
      </c>
    </row>
    <row r="142" ht="22" customHeight="1">
      <c r="A142" s="12" t="inlineStr">
        <is>
          <t>CUL-0138</t>
        </is>
      </c>
      <c r="B142" s="11" t="n">
        <v>31</v>
      </c>
      <c r="C142" s="13" t="inlineStr">
        <is>
          <t>Nº 11117</t>
        </is>
      </c>
      <c r="D142" s="14" t="inlineStr">
        <is>
          <t>CLETODIM CCAB 240 EC</t>
        </is>
      </c>
      <c r="E142" s="13" t="inlineStr">
        <is>
          <t>Pulverização Agrícola Conforme Bula</t>
        </is>
      </c>
      <c r="F142" s="13" t="inlineStr">
        <is>
          <t>Batata</t>
        </is>
      </c>
      <c r="G142" s="13" t="inlineStr">
        <is>
          <t>Cultura Autorizada na Bula</t>
        </is>
      </c>
      <c r="H142" s="13" t="inlineStr">
        <is>
          <t>100 a 300 L/ha</t>
        </is>
      </c>
      <c r="I142" s="13" t="inlineStr">
        <is>
          <t>20 a 40 L/ha</t>
        </is>
      </c>
      <c r="J142" s="13" t="inlineStr">
        <is>
          <t>20 dias</t>
        </is>
      </c>
    </row>
    <row r="143" ht="22" customHeight="1">
      <c r="A143" s="6" t="inlineStr">
        <is>
          <t>CUL-0139</t>
        </is>
      </c>
      <c r="B143" s="5" t="n">
        <v>31</v>
      </c>
      <c r="C143" s="7" t="inlineStr">
        <is>
          <t>Nº 11117</t>
        </is>
      </c>
      <c r="D143" s="8" t="inlineStr">
        <is>
          <t>CLETODIM CCAB 240 EC</t>
        </is>
      </c>
      <c r="E143" s="7" t="inlineStr">
        <is>
          <t>Pulverização Agrícola Conforme Bula</t>
        </is>
      </c>
      <c r="F143" s="7" t="inlineStr">
        <is>
          <t>Mandioca</t>
        </is>
      </c>
      <c r="G143" s="7" t="inlineStr">
        <is>
          <t>Cultura Autorizada na Bula</t>
        </is>
      </c>
      <c r="H143" s="7" t="inlineStr">
        <is>
          <t>100 a 300 L/ha</t>
        </is>
      </c>
      <c r="I143" s="7" t="inlineStr">
        <is>
          <t>20 a 40 L/ha</t>
        </is>
      </c>
      <c r="J143" s="7" t="inlineStr">
        <is>
          <t>90 dias</t>
        </is>
      </c>
    </row>
    <row r="144" ht="22" customHeight="1">
      <c r="A144" s="12" t="inlineStr">
        <is>
          <t>CUL-0140</t>
        </is>
      </c>
      <c r="B144" s="11" t="n">
        <v>31</v>
      </c>
      <c r="C144" s="13" t="inlineStr">
        <is>
          <t>Nº 11117</t>
        </is>
      </c>
      <c r="D144" s="14" t="inlineStr">
        <is>
          <t>CLETODIM CCAB 240 EC</t>
        </is>
      </c>
      <c r="E144" s="13" t="inlineStr">
        <is>
          <t>Pulverização Agrícola Conforme Bula</t>
        </is>
      </c>
      <c r="F144" s="13" t="inlineStr">
        <is>
          <t>Tomate</t>
        </is>
      </c>
      <c r="G144" s="13" t="inlineStr">
        <is>
          <t>Cultura Autorizada na Bula</t>
        </is>
      </c>
      <c r="H144" s="13" t="inlineStr">
        <is>
          <t>100 a 300 L/ha</t>
        </is>
      </c>
      <c r="I144" s="13" t="inlineStr">
        <is>
          <t>20 a 40 L/ha</t>
        </is>
      </c>
      <c r="J144" s="13" t="inlineStr">
        <is>
          <t>20 dias</t>
        </is>
      </c>
    </row>
    <row r="145" ht="22" customHeight="1">
      <c r="A145" s="6" t="inlineStr">
        <is>
          <t>CUL-0141</t>
        </is>
      </c>
      <c r="B145" s="5" t="n">
        <v>32</v>
      </c>
      <c r="C145" s="7" t="inlineStr">
        <is>
          <t>Nº 22221</t>
        </is>
      </c>
      <c r="D145" s="8" t="inlineStr">
        <is>
          <t>GRASIDIM</t>
        </is>
      </c>
      <c r="E145" s="7" t="inlineStr">
        <is>
          <t>Pulverização Agrícola Conforme Bula</t>
        </is>
      </c>
      <c r="F145" s="7" t="inlineStr">
        <is>
          <t>Soja</t>
        </is>
      </c>
      <c r="G145" s="7" t="inlineStr">
        <is>
          <t>Cultura Autorizada na Bula</t>
        </is>
      </c>
      <c r="H145" s="7" t="inlineStr">
        <is>
          <t>100 a 300 L/ha</t>
        </is>
      </c>
      <c r="I145" s="7" t="inlineStr">
        <is>
          <t>20 a 40 L/ha</t>
        </is>
      </c>
      <c r="J145" s="7" t="inlineStr">
        <is>
          <t>60 dias</t>
        </is>
      </c>
    </row>
    <row r="146" ht="22" customHeight="1">
      <c r="A146" s="12" t="inlineStr">
        <is>
          <t>CUL-0142</t>
        </is>
      </c>
      <c r="B146" s="11" t="n">
        <v>32</v>
      </c>
      <c r="C146" s="13" t="inlineStr">
        <is>
          <t>Nº 22221</t>
        </is>
      </c>
      <c r="D146" s="14" t="inlineStr">
        <is>
          <t>GRASIDIM</t>
        </is>
      </c>
      <c r="E146" s="13" t="inlineStr">
        <is>
          <t>Pulverização Agrícola Conforme Bula</t>
        </is>
      </c>
      <c r="F146" s="13" t="inlineStr">
        <is>
          <t>Algodão</t>
        </is>
      </c>
      <c r="G146" s="13" t="inlineStr">
        <is>
          <t>Cultura Autorizada na Bula</t>
        </is>
      </c>
      <c r="H146" s="13" t="inlineStr">
        <is>
          <t>100 a 300 L/ha</t>
        </is>
      </c>
      <c r="I146" s="13" t="inlineStr">
        <is>
          <t>20 a 40 L/ha</t>
        </is>
      </c>
      <c r="J146" s="13" t="inlineStr">
        <is>
          <t>58 dias</t>
        </is>
      </c>
    </row>
    <row r="147" ht="22" customHeight="1">
      <c r="A147" s="6" t="inlineStr">
        <is>
          <t>CUL-0143</t>
        </is>
      </c>
      <c r="B147" s="5" t="n">
        <v>32</v>
      </c>
      <c r="C147" s="7" t="inlineStr">
        <is>
          <t>Nº 22221</t>
        </is>
      </c>
      <c r="D147" s="8" t="inlineStr">
        <is>
          <t>GRASIDIM</t>
        </is>
      </c>
      <c r="E147" s="7" t="inlineStr">
        <is>
          <t>Pulverização Agrícola Conforme Bula</t>
        </is>
      </c>
      <c r="F147" s="7" t="inlineStr">
        <is>
          <t>Feijão</t>
        </is>
      </c>
      <c r="G147" s="7" t="inlineStr">
        <is>
          <t>Cultura Autorizada na Bula</t>
        </is>
      </c>
      <c r="H147" s="7" t="inlineStr">
        <is>
          <t>100 a 300 L/ha</t>
        </is>
      </c>
      <c r="I147" s="7" t="inlineStr">
        <is>
          <t>20 a 40 L/ha</t>
        </is>
      </c>
      <c r="J147" s="7" t="inlineStr">
        <is>
          <t>40 dias</t>
        </is>
      </c>
    </row>
    <row r="148" ht="22" customHeight="1">
      <c r="A148" s="12" t="inlineStr">
        <is>
          <t>CUL-0144</t>
        </is>
      </c>
      <c r="B148" s="11" t="n">
        <v>32</v>
      </c>
      <c r="C148" s="13" t="inlineStr">
        <is>
          <t>Nº 22221</t>
        </is>
      </c>
      <c r="D148" s="14" t="inlineStr">
        <is>
          <t>GRASIDIM</t>
        </is>
      </c>
      <c r="E148" s="13" t="inlineStr">
        <is>
          <t>Pulverização Agrícola Conforme Bula</t>
        </is>
      </c>
      <c r="F148" s="13" t="inlineStr">
        <is>
          <t>Café</t>
        </is>
      </c>
      <c r="G148" s="13" t="inlineStr">
        <is>
          <t>Cultura Autorizada na Bula</t>
        </is>
      </c>
      <c r="H148" s="13" t="inlineStr">
        <is>
          <t>100 a 300 L/ha</t>
        </is>
      </c>
      <c r="I148" s="13" t="inlineStr">
        <is>
          <t>20 a 40 L/ha</t>
        </is>
      </c>
      <c r="J148" s="13" t="inlineStr">
        <is>
          <t>14 dias</t>
        </is>
      </c>
    </row>
    <row r="149" ht="22" customHeight="1">
      <c r="A149" s="6" t="inlineStr">
        <is>
          <t>CUL-0145</t>
        </is>
      </c>
      <c r="B149" s="5" t="n">
        <v>32</v>
      </c>
      <c r="C149" s="7" t="inlineStr">
        <is>
          <t>Nº 22221</t>
        </is>
      </c>
      <c r="D149" s="8" t="inlineStr">
        <is>
          <t>GRASIDIM</t>
        </is>
      </c>
      <c r="E149" s="7" t="inlineStr">
        <is>
          <t>Pulverização Agrícola Conforme Bula</t>
        </is>
      </c>
      <c r="F149" s="7" t="inlineStr">
        <is>
          <t>Batata</t>
        </is>
      </c>
      <c r="G149" s="7" t="inlineStr">
        <is>
          <t>Cultura Autorizada na Bula</t>
        </is>
      </c>
      <c r="H149" s="7" t="inlineStr">
        <is>
          <t>100 a 300 L/ha</t>
        </is>
      </c>
      <c r="I149" s="7" t="inlineStr">
        <is>
          <t>20 a 40 L/ha</t>
        </is>
      </c>
      <c r="J149" s="7" t="inlineStr">
        <is>
          <t>20 dias</t>
        </is>
      </c>
    </row>
    <row r="150" ht="22" customHeight="1">
      <c r="A150" s="12" t="inlineStr">
        <is>
          <t>CUL-0146</t>
        </is>
      </c>
      <c r="B150" s="11" t="n">
        <v>32</v>
      </c>
      <c r="C150" s="13" t="inlineStr">
        <is>
          <t>Nº 22221</t>
        </is>
      </c>
      <c r="D150" s="14" t="inlineStr">
        <is>
          <t>GRASIDIM</t>
        </is>
      </c>
      <c r="E150" s="13" t="inlineStr">
        <is>
          <t>Pulverização Agrícola Conforme Bula</t>
        </is>
      </c>
      <c r="F150" s="13" t="inlineStr">
        <is>
          <t>Mandioca</t>
        </is>
      </c>
      <c r="G150" s="13" t="inlineStr">
        <is>
          <t>Cultura Autorizada na Bula</t>
        </is>
      </c>
      <c r="H150" s="13" t="inlineStr">
        <is>
          <t>100 a 300 L/ha</t>
        </is>
      </c>
      <c r="I150" s="13" t="inlineStr">
        <is>
          <t>20 a 40 L/ha</t>
        </is>
      </c>
      <c r="J150" s="13" t="inlineStr">
        <is>
          <t>90 dias</t>
        </is>
      </c>
    </row>
    <row r="151" ht="22" customHeight="1">
      <c r="A151" s="6" t="inlineStr">
        <is>
          <t>CUL-0147</t>
        </is>
      </c>
      <c r="B151" s="5" t="n">
        <v>32</v>
      </c>
      <c r="C151" s="7" t="inlineStr">
        <is>
          <t>Nº 22221</t>
        </is>
      </c>
      <c r="D151" s="8" t="inlineStr">
        <is>
          <t>GRASIDIM</t>
        </is>
      </c>
      <c r="E151" s="7" t="inlineStr">
        <is>
          <t>Pulverização Agrícola Conforme Bula</t>
        </is>
      </c>
      <c r="F151" s="7" t="inlineStr">
        <is>
          <t>Tomate</t>
        </is>
      </c>
      <c r="G151" s="7" t="inlineStr">
        <is>
          <t>Cultura Autorizada na Bula</t>
        </is>
      </c>
      <c r="H151" s="7" t="inlineStr">
        <is>
          <t>100 a 300 L/ha</t>
        </is>
      </c>
      <c r="I151" s="7" t="inlineStr">
        <is>
          <t>20 a 40 L/ha</t>
        </is>
      </c>
      <c r="J151" s="7" t="inlineStr">
        <is>
          <t>20 dias</t>
        </is>
      </c>
    </row>
    <row r="152" ht="22" customHeight="1">
      <c r="A152" s="12" t="inlineStr">
        <is>
          <t>CUL-0148</t>
        </is>
      </c>
      <c r="B152" s="11" t="n">
        <v>33</v>
      </c>
      <c r="C152" s="13" t="inlineStr">
        <is>
          <t>Nº 479097</t>
        </is>
      </c>
      <c r="D152" s="14" t="inlineStr">
        <is>
          <t>SELECT 240 EC</t>
        </is>
      </c>
      <c r="E152" s="13" t="inlineStr">
        <is>
          <t>Pulverização Agrícola Conforme Bula</t>
        </is>
      </c>
      <c r="F152" s="13" t="inlineStr">
        <is>
          <t>Soja</t>
        </is>
      </c>
      <c r="G152" s="13" t="inlineStr">
        <is>
          <t>Cultura Autorizada na Bula</t>
        </is>
      </c>
      <c r="H152" s="13" t="inlineStr">
        <is>
          <t>100 a 300 L/ha</t>
        </is>
      </c>
      <c r="I152" s="13" t="inlineStr">
        <is>
          <t>20 a 40 L/ha</t>
        </is>
      </c>
      <c r="J152" s="13" t="inlineStr">
        <is>
          <t>60 dias</t>
        </is>
      </c>
    </row>
    <row r="153" ht="22" customHeight="1">
      <c r="A153" s="6" t="inlineStr">
        <is>
          <t>CUL-0149</t>
        </is>
      </c>
      <c r="B153" s="5" t="n">
        <v>33</v>
      </c>
      <c r="C153" s="7" t="inlineStr">
        <is>
          <t>Nº 479097</t>
        </is>
      </c>
      <c r="D153" s="8" t="inlineStr">
        <is>
          <t>SELECT 240 EC</t>
        </is>
      </c>
      <c r="E153" s="7" t="inlineStr">
        <is>
          <t>Pulverização Agrícola Conforme Bula</t>
        </is>
      </c>
      <c r="F153" s="7" t="inlineStr">
        <is>
          <t>Algodão</t>
        </is>
      </c>
      <c r="G153" s="7" t="inlineStr">
        <is>
          <t>Cultura Autorizada na Bula</t>
        </is>
      </c>
      <c r="H153" s="7" t="inlineStr">
        <is>
          <t>100 a 300 L/ha</t>
        </is>
      </c>
      <c r="I153" s="7" t="inlineStr">
        <is>
          <t>20 a 40 L/ha</t>
        </is>
      </c>
      <c r="J153" s="7" t="inlineStr">
        <is>
          <t>58 dias</t>
        </is>
      </c>
    </row>
    <row r="154" ht="22" customHeight="1">
      <c r="A154" s="12" t="inlineStr">
        <is>
          <t>CUL-0150</t>
        </is>
      </c>
      <c r="B154" s="11" t="n">
        <v>33</v>
      </c>
      <c r="C154" s="13" t="inlineStr">
        <is>
          <t>Nº 479097</t>
        </is>
      </c>
      <c r="D154" s="14" t="inlineStr">
        <is>
          <t>SELECT 240 EC</t>
        </is>
      </c>
      <c r="E154" s="13" t="inlineStr">
        <is>
          <t>Pulverização Agrícola Conforme Bula</t>
        </is>
      </c>
      <c r="F154" s="13" t="inlineStr">
        <is>
          <t>Feijão</t>
        </is>
      </c>
      <c r="G154" s="13" t="inlineStr">
        <is>
          <t>Cultura Autorizada na Bula</t>
        </is>
      </c>
      <c r="H154" s="13" t="inlineStr">
        <is>
          <t>100 a 300 L/ha</t>
        </is>
      </c>
      <c r="I154" s="13" t="inlineStr">
        <is>
          <t>20 a 40 L/ha</t>
        </is>
      </c>
      <c r="J154" s="13" t="inlineStr">
        <is>
          <t>40 dias</t>
        </is>
      </c>
    </row>
    <row r="155" ht="22" customHeight="1">
      <c r="A155" s="6" t="inlineStr">
        <is>
          <t>CUL-0151</t>
        </is>
      </c>
      <c r="B155" s="5" t="n">
        <v>33</v>
      </c>
      <c r="C155" s="7" t="inlineStr">
        <is>
          <t>Nº 479097</t>
        </is>
      </c>
      <c r="D155" s="8" t="inlineStr">
        <is>
          <t>SELECT 240 EC</t>
        </is>
      </c>
      <c r="E155" s="7" t="inlineStr">
        <is>
          <t>Pulverização Agrícola Conforme Bula</t>
        </is>
      </c>
      <c r="F155" s="7" t="inlineStr">
        <is>
          <t>Café</t>
        </is>
      </c>
      <c r="G155" s="7" t="inlineStr">
        <is>
          <t>Cultura Autorizada na Bula</t>
        </is>
      </c>
      <c r="H155" s="7" t="inlineStr">
        <is>
          <t>100 a 300 L/ha</t>
        </is>
      </c>
      <c r="I155" s="7" t="inlineStr">
        <is>
          <t>20 a 40 L/ha</t>
        </is>
      </c>
      <c r="J155" s="7" t="inlineStr">
        <is>
          <t>14 dias</t>
        </is>
      </c>
    </row>
    <row r="156" ht="22" customHeight="1">
      <c r="A156" s="12" t="inlineStr">
        <is>
          <t>CUL-0152</t>
        </is>
      </c>
      <c r="B156" s="11" t="n">
        <v>33</v>
      </c>
      <c r="C156" s="13" t="inlineStr">
        <is>
          <t>Nº 479097</t>
        </is>
      </c>
      <c r="D156" s="14" t="inlineStr">
        <is>
          <t>SELECT 240 EC</t>
        </is>
      </c>
      <c r="E156" s="13" t="inlineStr">
        <is>
          <t>Pulverização Agrícola Conforme Bula</t>
        </is>
      </c>
      <c r="F156" s="13" t="inlineStr">
        <is>
          <t>Batata</t>
        </is>
      </c>
      <c r="G156" s="13" t="inlineStr">
        <is>
          <t>Cultura Autorizada na Bula</t>
        </is>
      </c>
      <c r="H156" s="13" t="inlineStr">
        <is>
          <t>100 a 300 L/ha</t>
        </is>
      </c>
      <c r="I156" s="13" t="inlineStr">
        <is>
          <t>20 a 40 L/ha</t>
        </is>
      </c>
      <c r="J156" s="13" t="inlineStr">
        <is>
          <t>20 dias</t>
        </is>
      </c>
    </row>
    <row r="157" ht="22" customHeight="1">
      <c r="A157" s="6" t="inlineStr">
        <is>
          <t>CUL-0153</t>
        </is>
      </c>
      <c r="B157" s="5" t="n">
        <v>33</v>
      </c>
      <c r="C157" s="7" t="inlineStr">
        <is>
          <t>Nº 479097</t>
        </is>
      </c>
      <c r="D157" s="8" t="inlineStr">
        <is>
          <t>SELECT 240 EC</t>
        </is>
      </c>
      <c r="E157" s="7" t="inlineStr">
        <is>
          <t>Pulverização Agrícola Conforme Bula</t>
        </is>
      </c>
      <c r="F157" s="7" t="inlineStr">
        <is>
          <t>Mandioca</t>
        </is>
      </c>
      <c r="G157" s="7" t="inlineStr">
        <is>
          <t>Cultura Autorizada na Bula</t>
        </is>
      </c>
      <c r="H157" s="7" t="inlineStr">
        <is>
          <t>100 a 300 L/ha</t>
        </is>
      </c>
      <c r="I157" s="7" t="inlineStr">
        <is>
          <t>20 a 40 L/ha</t>
        </is>
      </c>
      <c r="J157" s="7" t="inlineStr">
        <is>
          <t>90 dias</t>
        </is>
      </c>
    </row>
    <row r="158" ht="22" customHeight="1">
      <c r="A158" s="12" t="inlineStr">
        <is>
          <t>CUL-0154</t>
        </is>
      </c>
      <c r="B158" s="11" t="n">
        <v>33</v>
      </c>
      <c r="C158" s="13" t="inlineStr">
        <is>
          <t>Nº 479097</t>
        </is>
      </c>
      <c r="D158" s="14" t="inlineStr">
        <is>
          <t>SELECT 240 EC</t>
        </is>
      </c>
      <c r="E158" s="13" t="inlineStr">
        <is>
          <t>Pulverização Agrícola Conforme Bula</t>
        </is>
      </c>
      <c r="F158" s="13" t="inlineStr">
        <is>
          <t>Tomate</t>
        </is>
      </c>
      <c r="G158" s="13" t="inlineStr">
        <is>
          <t>Cultura Autorizada na Bula</t>
        </is>
      </c>
      <c r="H158" s="13" t="inlineStr">
        <is>
          <t>100 a 300 L/ha</t>
        </is>
      </c>
      <c r="I158" s="13" t="inlineStr">
        <is>
          <t>20 a 40 L/ha</t>
        </is>
      </c>
      <c r="J158" s="13" t="inlineStr">
        <is>
          <t>20 dias</t>
        </is>
      </c>
    </row>
    <row r="159" ht="22" customHeight="1">
      <c r="A159" s="6" t="inlineStr">
        <is>
          <t>CUL-0155</t>
        </is>
      </c>
      <c r="B159" s="5" t="n">
        <v>34</v>
      </c>
      <c r="C159" s="7" t="inlineStr">
        <is>
          <t>Nº 28917</t>
        </is>
      </c>
      <c r="D159" s="8" t="inlineStr">
        <is>
          <t>VIANCE</t>
        </is>
      </c>
      <c r="E159" s="7" t="inlineStr">
        <is>
          <t>Pulverização Agrícola Conforme Bula</t>
        </is>
      </c>
      <c r="F159" s="7" t="inlineStr">
        <is>
          <t>Soja</t>
        </is>
      </c>
      <c r="G159" s="7" t="inlineStr">
        <is>
          <t>Cultura Autorizada na Bula</t>
        </is>
      </c>
      <c r="H159" s="7" t="inlineStr">
        <is>
          <t>100 a 300 L/ha</t>
        </is>
      </c>
      <c r="I159" s="7" t="inlineStr">
        <is>
          <t>20 a 40 L/ha</t>
        </is>
      </c>
      <c r="J159" s="7" t="inlineStr">
        <is>
          <t>60 dias</t>
        </is>
      </c>
    </row>
    <row r="160" ht="22" customHeight="1">
      <c r="A160" s="12" t="inlineStr">
        <is>
          <t>CUL-0156</t>
        </is>
      </c>
      <c r="B160" s="11" t="n">
        <v>34</v>
      </c>
      <c r="C160" s="13" t="inlineStr">
        <is>
          <t>Nº 28917</t>
        </is>
      </c>
      <c r="D160" s="14" t="inlineStr">
        <is>
          <t>VIANCE</t>
        </is>
      </c>
      <c r="E160" s="13" t="inlineStr">
        <is>
          <t>Pulverização Agrícola Conforme Bula</t>
        </is>
      </c>
      <c r="F160" s="13" t="inlineStr">
        <is>
          <t>Algodão</t>
        </is>
      </c>
      <c r="G160" s="13" t="inlineStr">
        <is>
          <t>Cultura Autorizada na Bula</t>
        </is>
      </c>
      <c r="H160" s="13" t="inlineStr">
        <is>
          <t>100 a 300 L/ha</t>
        </is>
      </c>
      <c r="I160" s="13" t="inlineStr">
        <is>
          <t>20 a 40 L/ha</t>
        </is>
      </c>
      <c r="J160" s="13" t="inlineStr">
        <is>
          <t>58 dias</t>
        </is>
      </c>
    </row>
    <row r="161" ht="22" customHeight="1">
      <c r="A161" s="6" t="inlineStr">
        <is>
          <t>CUL-0157</t>
        </is>
      </c>
      <c r="B161" s="5" t="n">
        <v>34</v>
      </c>
      <c r="C161" s="7" t="inlineStr">
        <is>
          <t>Nº 28917</t>
        </is>
      </c>
      <c r="D161" s="8" t="inlineStr">
        <is>
          <t>VIANCE</t>
        </is>
      </c>
      <c r="E161" s="7" t="inlineStr">
        <is>
          <t>Pulverização Agrícola Conforme Bula</t>
        </is>
      </c>
      <c r="F161" s="7" t="inlineStr">
        <is>
          <t>Feijão</t>
        </is>
      </c>
      <c r="G161" s="7" t="inlineStr">
        <is>
          <t>Cultura Autorizada na Bula</t>
        </is>
      </c>
      <c r="H161" s="7" t="inlineStr">
        <is>
          <t>100 a 300 L/ha</t>
        </is>
      </c>
      <c r="I161" s="7" t="inlineStr">
        <is>
          <t>20 a 40 L/ha</t>
        </is>
      </c>
      <c r="J161" s="7" t="inlineStr">
        <is>
          <t>40 dias</t>
        </is>
      </c>
    </row>
    <row r="162" ht="22" customHeight="1">
      <c r="A162" s="12" t="inlineStr">
        <is>
          <t>CUL-0158</t>
        </is>
      </c>
      <c r="B162" s="11" t="n">
        <v>34</v>
      </c>
      <c r="C162" s="13" t="inlineStr">
        <is>
          <t>Nº 28917</t>
        </is>
      </c>
      <c r="D162" s="14" t="inlineStr">
        <is>
          <t>VIANCE</t>
        </is>
      </c>
      <c r="E162" s="13" t="inlineStr">
        <is>
          <t>Pulverização Agrícola Conforme Bula</t>
        </is>
      </c>
      <c r="F162" s="13" t="inlineStr">
        <is>
          <t>Café</t>
        </is>
      </c>
      <c r="G162" s="13" t="inlineStr">
        <is>
          <t>Cultura Autorizada na Bula</t>
        </is>
      </c>
      <c r="H162" s="13" t="inlineStr">
        <is>
          <t>100 a 300 L/ha</t>
        </is>
      </c>
      <c r="I162" s="13" t="inlineStr">
        <is>
          <t>20 a 40 L/ha</t>
        </is>
      </c>
      <c r="J162" s="13" t="inlineStr">
        <is>
          <t>14 dias</t>
        </is>
      </c>
    </row>
    <row r="163" ht="22" customHeight="1">
      <c r="A163" s="6" t="inlineStr">
        <is>
          <t>CUL-0159</t>
        </is>
      </c>
      <c r="B163" s="5" t="n">
        <v>34</v>
      </c>
      <c r="C163" s="7" t="inlineStr">
        <is>
          <t>Nº 28917</t>
        </is>
      </c>
      <c r="D163" s="8" t="inlineStr">
        <is>
          <t>VIANCE</t>
        </is>
      </c>
      <c r="E163" s="7" t="inlineStr">
        <is>
          <t>Pulverização Agrícola Conforme Bula</t>
        </is>
      </c>
      <c r="F163" s="7" t="inlineStr">
        <is>
          <t>Batata</t>
        </is>
      </c>
      <c r="G163" s="7" t="inlineStr">
        <is>
          <t>Cultura Autorizada na Bula</t>
        </is>
      </c>
      <c r="H163" s="7" t="inlineStr">
        <is>
          <t>100 a 300 L/ha</t>
        </is>
      </c>
      <c r="I163" s="7" t="inlineStr">
        <is>
          <t>20 a 40 L/ha</t>
        </is>
      </c>
      <c r="J163" s="7" t="inlineStr">
        <is>
          <t>20 dias</t>
        </is>
      </c>
    </row>
    <row r="164" ht="22" customHeight="1">
      <c r="A164" s="12" t="inlineStr">
        <is>
          <t>CUL-0160</t>
        </is>
      </c>
      <c r="B164" s="11" t="n">
        <v>34</v>
      </c>
      <c r="C164" s="13" t="inlineStr">
        <is>
          <t>Nº 28917</t>
        </is>
      </c>
      <c r="D164" s="14" t="inlineStr">
        <is>
          <t>VIANCE</t>
        </is>
      </c>
      <c r="E164" s="13" t="inlineStr">
        <is>
          <t>Pulverização Agrícola Conforme Bula</t>
        </is>
      </c>
      <c r="F164" s="13" t="inlineStr">
        <is>
          <t>Mandioca</t>
        </is>
      </c>
      <c r="G164" s="13" t="inlineStr">
        <is>
          <t>Cultura Autorizada na Bula</t>
        </is>
      </c>
      <c r="H164" s="13" t="inlineStr">
        <is>
          <t>100 a 300 L/ha</t>
        </is>
      </c>
      <c r="I164" s="13" t="inlineStr">
        <is>
          <t>20 a 40 L/ha</t>
        </is>
      </c>
      <c r="J164" s="13" t="inlineStr">
        <is>
          <t>90 dias</t>
        </is>
      </c>
    </row>
    <row r="165" ht="22" customHeight="1">
      <c r="A165" s="6" t="inlineStr">
        <is>
          <t>CUL-0161</t>
        </is>
      </c>
      <c r="B165" s="5" t="n">
        <v>34</v>
      </c>
      <c r="C165" s="7" t="inlineStr">
        <is>
          <t>Nº 28917</t>
        </is>
      </c>
      <c r="D165" s="8" t="inlineStr">
        <is>
          <t>VIANCE</t>
        </is>
      </c>
      <c r="E165" s="7" t="inlineStr">
        <is>
          <t>Pulverização Agrícola Conforme Bula</t>
        </is>
      </c>
      <c r="F165" s="7" t="inlineStr">
        <is>
          <t>Tomate</t>
        </is>
      </c>
      <c r="G165" s="7" t="inlineStr">
        <is>
          <t>Cultura Autorizada na Bula</t>
        </is>
      </c>
      <c r="H165" s="7" t="inlineStr">
        <is>
          <t>100 a 300 L/ha</t>
        </is>
      </c>
      <c r="I165" s="7" t="inlineStr">
        <is>
          <t>20 a 40 L/ha</t>
        </is>
      </c>
      <c r="J165" s="7" t="inlineStr">
        <is>
          <t>20 dias</t>
        </is>
      </c>
    </row>
    <row r="166" ht="22" customHeight="1">
      <c r="A166" s="12" t="inlineStr">
        <is>
          <t>CUL-0162</t>
        </is>
      </c>
      <c r="B166" s="11" t="n">
        <v>35</v>
      </c>
      <c r="C166" s="13" t="inlineStr">
        <is>
          <t>Nº 7398</t>
        </is>
      </c>
      <c r="D166" s="14" t="inlineStr">
        <is>
          <t>PACTO 10X0,240 KG</t>
        </is>
      </c>
      <c r="E166" s="13" t="inlineStr">
        <is>
          <t>Pulverização Agrícola Conforme Bula</t>
        </is>
      </c>
      <c r="F166" s="13" t="inlineStr">
        <is>
          <t>Soja</t>
        </is>
      </c>
      <c r="G166" s="13" t="inlineStr">
        <is>
          <t>Cultura Autorizada na Bula</t>
        </is>
      </c>
      <c r="H166" s="13" t="inlineStr">
        <is>
          <t>100 a 300 L/ha</t>
        </is>
      </c>
      <c r="I166" s="13" t="inlineStr">
        <is>
          <t>20 a 40 L/ha</t>
        </is>
      </c>
      <c r="J166" s="13" t="inlineStr">
        <is>
          <t>60 dias</t>
        </is>
      </c>
    </row>
    <row r="167" ht="22" customHeight="1">
      <c r="A167" s="6" t="inlineStr">
        <is>
          <t>CUL-0163</t>
        </is>
      </c>
      <c r="B167" s="5" t="n">
        <v>35</v>
      </c>
      <c r="C167" s="7" t="inlineStr">
        <is>
          <t>Nº 7398</t>
        </is>
      </c>
      <c r="D167" s="8" t="inlineStr">
        <is>
          <t>PACTO 10X0,240 KG</t>
        </is>
      </c>
      <c r="E167" s="7" t="inlineStr">
        <is>
          <t>Pulverização Agrícola Conforme Bula</t>
        </is>
      </c>
      <c r="F167" s="7" t="inlineStr">
        <is>
          <t>Milho</t>
        </is>
      </c>
      <c r="G167" s="7" t="inlineStr">
        <is>
          <t>Cultura Autorizada na Bula</t>
        </is>
      </c>
      <c r="H167" s="7" t="inlineStr">
        <is>
          <t>100 a 300 L/ha</t>
        </is>
      </c>
      <c r="I167" s="7" t="inlineStr">
        <is>
          <t>20 a 40 L/ha</t>
        </is>
      </c>
      <c r="J167" s="7" t="inlineStr">
        <is>
          <t>45 dias</t>
        </is>
      </c>
    </row>
    <row r="168" ht="22" customHeight="1">
      <c r="A168" s="12" t="inlineStr">
        <is>
          <t>CUL-0164</t>
        </is>
      </c>
      <c r="B168" s="11" t="n">
        <v>35</v>
      </c>
      <c r="C168" s="13" t="inlineStr">
        <is>
          <t>Nº 7398</t>
        </is>
      </c>
      <c r="D168" s="14" t="inlineStr">
        <is>
          <t>PACTO 10X0,240 KG</t>
        </is>
      </c>
      <c r="E168" s="13" t="inlineStr">
        <is>
          <t>Pulverização Agrícola Conforme Bula</t>
        </is>
      </c>
      <c r="F168" s="13" t="inlineStr">
        <is>
          <t>Algodão</t>
        </is>
      </c>
      <c r="G168" s="13" t="inlineStr">
        <is>
          <t>Cultura Autorizada na Bula</t>
        </is>
      </c>
      <c r="H168" s="13" t="inlineStr">
        <is>
          <t>100 a 300 L/ha</t>
        </is>
      </c>
      <c r="I168" s="13" t="inlineStr">
        <is>
          <t>20 a 40 L/ha</t>
        </is>
      </c>
      <c r="J168" s="13" t="inlineStr">
        <is>
          <t>60 dias</t>
        </is>
      </c>
    </row>
    <row r="169" ht="22" customHeight="1">
      <c r="A169" s="6" t="inlineStr">
        <is>
          <t>CUL-0165</t>
        </is>
      </c>
      <c r="B169" s="5" t="n">
        <v>35</v>
      </c>
      <c r="C169" s="7" t="inlineStr">
        <is>
          <t>Nº 7398</t>
        </is>
      </c>
      <c r="D169" s="8" t="inlineStr">
        <is>
          <t>PACTO 10X0,240 KG</t>
        </is>
      </c>
      <c r="E169" s="7" t="inlineStr">
        <is>
          <t>Pulverização Agrícola Conforme Bula</t>
        </is>
      </c>
      <c r="F169" s="7" t="inlineStr">
        <is>
          <t>Cana-de-açúcar</t>
        </is>
      </c>
      <c r="G169" s="7" t="inlineStr">
        <is>
          <t>Cultura Autorizada na Bula</t>
        </is>
      </c>
      <c r="H169" s="7" t="inlineStr">
        <is>
          <t>100 a 300 L/ha</t>
        </is>
      </c>
      <c r="I169" s="7" t="inlineStr">
        <is>
          <t>20 a 40 L/ha</t>
        </is>
      </c>
      <c r="J169" s="7" t="inlineStr">
        <is>
          <t>90 dias</t>
        </is>
      </c>
    </row>
    <row r="170" ht="22" customHeight="1">
      <c r="A170" s="12" t="inlineStr">
        <is>
          <t>CUL-0166</t>
        </is>
      </c>
      <c r="B170" s="11" t="n">
        <v>36</v>
      </c>
      <c r="C170" s="13" t="inlineStr">
        <is>
          <t>Nº 9109</t>
        </is>
      </c>
      <c r="D170" s="14" t="inlineStr">
        <is>
          <t>PREMIO</t>
        </is>
      </c>
      <c r="E170" s="13" t="inlineStr">
        <is>
          <t>Pulverização Agrícola Conforme Bula</t>
        </is>
      </c>
      <c r="F170" s="13" t="inlineStr">
        <is>
          <t>Soja</t>
        </is>
      </c>
      <c r="G170" s="13" t="inlineStr">
        <is>
          <t>Cultura Autorizada na Bula</t>
        </is>
      </c>
      <c r="H170" s="13" t="inlineStr">
        <is>
          <t>100 a 300 L/ha</t>
        </is>
      </c>
      <c r="I170" s="13" t="inlineStr">
        <is>
          <t>20 a 40 L/ha</t>
        </is>
      </c>
      <c r="J170" s="13" t="inlineStr">
        <is>
          <t>21 dias</t>
        </is>
      </c>
    </row>
    <row r="171" ht="22" customHeight="1">
      <c r="A171" s="6" t="inlineStr">
        <is>
          <t>CUL-0167</t>
        </is>
      </c>
      <c r="B171" s="5" t="n">
        <v>36</v>
      </c>
      <c r="C171" s="7" t="inlineStr">
        <is>
          <t>Nº 9109</t>
        </is>
      </c>
      <c r="D171" s="8" t="inlineStr">
        <is>
          <t>PREMIO</t>
        </is>
      </c>
      <c r="E171" s="7" t="inlineStr">
        <is>
          <t>Pulverização Agrícola Conforme Bula</t>
        </is>
      </c>
      <c r="F171" s="7" t="inlineStr">
        <is>
          <t>Milho</t>
        </is>
      </c>
      <c r="G171" s="7" t="inlineStr">
        <is>
          <t>Cultura Autorizada na Bula</t>
        </is>
      </c>
      <c r="H171" s="7" t="inlineStr">
        <is>
          <t>100 a 300 L/ha</t>
        </is>
      </c>
      <c r="I171" s="7" t="inlineStr">
        <is>
          <t>20 a 40 L/ha</t>
        </is>
      </c>
      <c r="J171" s="7" t="inlineStr">
        <is>
          <t>21 dias</t>
        </is>
      </c>
    </row>
    <row r="172" ht="22" customHeight="1">
      <c r="A172" s="12" t="inlineStr">
        <is>
          <t>CUL-0168</t>
        </is>
      </c>
      <c r="B172" s="11" t="n">
        <v>36</v>
      </c>
      <c r="C172" s="13" t="inlineStr">
        <is>
          <t>Nº 9109</t>
        </is>
      </c>
      <c r="D172" s="14" t="inlineStr">
        <is>
          <t>PREMIO</t>
        </is>
      </c>
      <c r="E172" s="13" t="inlineStr">
        <is>
          <t>Pulverização Agrícola Conforme Bula</t>
        </is>
      </c>
      <c r="F172" s="13" t="inlineStr">
        <is>
          <t>Algodão</t>
        </is>
      </c>
      <c r="G172" s="13" t="inlineStr">
        <is>
          <t>Cultura Autorizada na Bula</t>
        </is>
      </c>
      <c r="H172" s="13" t="inlineStr">
        <is>
          <t>100 a 300 L/ha</t>
        </is>
      </c>
      <c r="I172" s="13" t="inlineStr">
        <is>
          <t>20 a 40 L/ha</t>
        </is>
      </c>
      <c r="J172" s="13" t="inlineStr">
        <is>
          <t>21 dias</t>
        </is>
      </c>
    </row>
    <row r="173" ht="22" customHeight="1">
      <c r="A173" s="6" t="inlineStr">
        <is>
          <t>CUL-0169</t>
        </is>
      </c>
      <c r="B173" s="5" t="n">
        <v>36</v>
      </c>
      <c r="C173" s="7" t="inlineStr">
        <is>
          <t>Nº 9109</t>
        </is>
      </c>
      <c r="D173" s="8" t="inlineStr">
        <is>
          <t>PREMIO</t>
        </is>
      </c>
      <c r="E173" s="7" t="inlineStr">
        <is>
          <t>Pulverização Agrícola Conforme Bula</t>
        </is>
      </c>
      <c r="F173" s="7" t="inlineStr">
        <is>
          <t>Feijão</t>
        </is>
      </c>
      <c r="G173" s="7" t="inlineStr">
        <is>
          <t>Cultura Autorizada na Bula</t>
        </is>
      </c>
      <c r="H173" s="7" t="inlineStr">
        <is>
          <t>100 a 300 L/ha</t>
        </is>
      </c>
      <c r="I173" s="7" t="inlineStr">
        <is>
          <t>20 a 40 L/ha</t>
        </is>
      </c>
      <c r="J173" s="7" t="inlineStr">
        <is>
          <t>14 dias</t>
        </is>
      </c>
    </row>
    <row r="174" ht="22" customHeight="1">
      <c r="A174" s="12" t="inlineStr">
        <is>
          <t>CUL-0170</t>
        </is>
      </c>
      <c r="B174" s="11" t="n">
        <v>37</v>
      </c>
      <c r="C174" s="13" t="inlineStr">
        <is>
          <t>Nº 9515</t>
        </is>
      </c>
      <c r="D174" s="14" t="inlineStr">
        <is>
          <t>DERMACOR</t>
        </is>
      </c>
      <c r="E174" s="13" t="inlineStr">
        <is>
          <t>Pulverização Agrícola Conforme Bula</t>
        </is>
      </c>
      <c r="F174" s="13" t="inlineStr">
        <is>
          <t>Soja</t>
        </is>
      </c>
      <c r="G174" s="13" t="inlineStr">
        <is>
          <t>Cultura Autorizada na Bula</t>
        </is>
      </c>
      <c r="H174" s="13" t="inlineStr">
        <is>
          <t>100 a 300 L/ha</t>
        </is>
      </c>
      <c r="I174" s="13" t="inlineStr">
        <is>
          <t>20 a 40 L/ha</t>
        </is>
      </c>
      <c r="J174" s="13" t="inlineStr">
        <is>
          <t>21 dias</t>
        </is>
      </c>
    </row>
    <row r="175" ht="22" customHeight="1">
      <c r="A175" s="6" t="inlineStr">
        <is>
          <t>CUL-0171</t>
        </is>
      </c>
      <c r="B175" s="5" t="n">
        <v>37</v>
      </c>
      <c r="C175" s="7" t="inlineStr">
        <is>
          <t>Nº 9515</t>
        </is>
      </c>
      <c r="D175" s="8" t="inlineStr">
        <is>
          <t>DERMACOR</t>
        </is>
      </c>
      <c r="E175" s="7" t="inlineStr">
        <is>
          <t>Pulverização Agrícola Conforme Bula</t>
        </is>
      </c>
      <c r="F175" s="7" t="inlineStr">
        <is>
          <t>Milho</t>
        </is>
      </c>
      <c r="G175" s="7" t="inlineStr">
        <is>
          <t>Cultura Autorizada na Bula</t>
        </is>
      </c>
      <c r="H175" s="7" t="inlineStr">
        <is>
          <t>100 a 300 L/ha</t>
        </is>
      </c>
      <c r="I175" s="7" t="inlineStr">
        <is>
          <t>20 a 40 L/ha</t>
        </is>
      </c>
      <c r="J175" s="7" t="inlineStr">
        <is>
          <t>21 dias</t>
        </is>
      </c>
    </row>
    <row r="176" ht="22" customHeight="1">
      <c r="A176" s="12" t="inlineStr">
        <is>
          <t>CUL-0172</t>
        </is>
      </c>
      <c r="B176" s="11" t="n">
        <v>37</v>
      </c>
      <c r="C176" s="13" t="inlineStr">
        <is>
          <t>Nº 9515</t>
        </is>
      </c>
      <c r="D176" s="14" t="inlineStr">
        <is>
          <t>DERMACOR</t>
        </is>
      </c>
      <c r="E176" s="13" t="inlineStr">
        <is>
          <t>Pulverização Agrícola Conforme Bula</t>
        </is>
      </c>
      <c r="F176" s="13" t="inlineStr">
        <is>
          <t>Algodão</t>
        </is>
      </c>
      <c r="G176" s="13" t="inlineStr">
        <is>
          <t>Cultura Autorizada na Bula</t>
        </is>
      </c>
      <c r="H176" s="13" t="inlineStr">
        <is>
          <t>100 a 300 L/ha</t>
        </is>
      </c>
      <c r="I176" s="13" t="inlineStr">
        <is>
          <t>20 a 40 L/ha</t>
        </is>
      </c>
      <c r="J176" s="13" t="inlineStr">
        <is>
          <t>21 dias</t>
        </is>
      </c>
    </row>
    <row r="177" ht="22" customHeight="1">
      <c r="A177" s="6" t="inlineStr">
        <is>
          <t>CUL-0173</t>
        </is>
      </c>
      <c r="B177" s="5" t="n">
        <v>37</v>
      </c>
      <c r="C177" s="7" t="inlineStr">
        <is>
          <t>Nº 9515</t>
        </is>
      </c>
      <c r="D177" s="8" t="inlineStr">
        <is>
          <t>DERMACOR</t>
        </is>
      </c>
      <c r="E177" s="7" t="inlineStr">
        <is>
          <t>Pulverização Agrícola Conforme Bula</t>
        </is>
      </c>
      <c r="F177" s="7" t="inlineStr">
        <is>
          <t>Feijão</t>
        </is>
      </c>
      <c r="G177" s="7" t="inlineStr">
        <is>
          <t>Cultura Autorizada na Bula</t>
        </is>
      </c>
      <c r="H177" s="7" t="inlineStr">
        <is>
          <t>100 a 300 L/ha</t>
        </is>
      </c>
      <c r="I177" s="7" t="inlineStr">
        <is>
          <t>20 a 40 L/ha</t>
        </is>
      </c>
      <c r="J177" s="7" t="inlineStr">
        <is>
          <t>14 dias</t>
        </is>
      </c>
    </row>
    <row r="178" ht="22" customHeight="1">
      <c r="A178" s="12" t="inlineStr">
        <is>
          <t>CUL-0174</t>
        </is>
      </c>
      <c r="B178" s="11" t="n">
        <v>38</v>
      </c>
      <c r="C178" s="13" t="inlineStr">
        <is>
          <t>Nº 0711</t>
        </is>
      </c>
      <c r="D178" s="14" t="inlineStr">
        <is>
          <t>CUPRODIL WG</t>
        </is>
      </c>
      <c r="E178" s="13" t="inlineStr">
        <is>
          <t>Pulverização Agrícola Conforme Bula</t>
        </is>
      </c>
      <c r="F178" s="13" t="inlineStr">
        <is>
          <t>Soja</t>
        </is>
      </c>
      <c r="G178" s="13" t="inlineStr">
        <is>
          <t>Cultura Autorizada na Bula</t>
        </is>
      </c>
      <c r="H178" s="13" t="inlineStr">
        <is>
          <t>100 a 300 L/ha</t>
        </is>
      </c>
      <c r="I178" s="13" t="inlineStr">
        <is>
          <t>20 a 40 L/ha</t>
        </is>
      </c>
      <c r="J178" s="13" t="inlineStr">
        <is>
          <t>14 dias</t>
        </is>
      </c>
    </row>
    <row r="179" ht="22" customHeight="1">
      <c r="A179" s="6" t="inlineStr">
        <is>
          <t>CUL-0175</t>
        </is>
      </c>
      <c r="B179" s="5" t="n">
        <v>38</v>
      </c>
      <c r="C179" s="7" t="inlineStr">
        <is>
          <t>Nº 0711</t>
        </is>
      </c>
      <c r="D179" s="8" t="inlineStr">
        <is>
          <t>CUPRODIL WG</t>
        </is>
      </c>
      <c r="E179" s="7" t="inlineStr">
        <is>
          <t>Pulverização Agrícola Conforme Bula</t>
        </is>
      </c>
      <c r="F179" s="7" t="inlineStr">
        <is>
          <t>Algodão</t>
        </is>
      </c>
      <c r="G179" s="7" t="inlineStr">
        <is>
          <t>Cultura Autorizada na Bula</t>
        </is>
      </c>
      <c r="H179" s="7" t="inlineStr">
        <is>
          <t>100 a 300 L/ha</t>
        </is>
      </c>
      <c r="I179" s="7" t="inlineStr">
        <is>
          <t>20 a 40 L/ha</t>
        </is>
      </c>
      <c r="J179" s="7" t="inlineStr">
        <is>
          <t>14 dias</t>
        </is>
      </c>
    </row>
    <row r="180" ht="22" customHeight="1">
      <c r="A180" s="12" t="inlineStr">
        <is>
          <t>CUL-0176</t>
        </is>
      </c>
      <c r="B180" s="11" t="n">
        <v>38</v>
      </c>
      <c r="C180" s="13" t="inlineStr">
        <is>
          <t>Nº 0711</t>
        </is>
      </c>
      <c r="D180" s="14" t="inlineStr">
        <is>
          <t>CUPRODIL WG</t>
        </is>
      </c>
      <c r="E180" s="13" t="inlineStr">
        <is>
          <t>Pulverização Agrícola Conforme Bula</t>
        </is>
      </c>
      <c r="F180" s="13" t="inlineStr">
        <is>
          <t>Feijão</t>
        </is>
      </c>
      <c r="G180" s="13" t="inlineStr">
        <is>
          <t>Cultura Autorizada na Bula</t>
        </is>
      </c>
      <c r="H180" s="13" t="inlineStr">
        <is>
          <t>100 a 300 L/ha</t>
        </is>
      </c>
      <c r="I180" s="13" t="inlineStr">
        <is>
          <t>20 a 40 L/ha</t>
        </is>
      </c>
      <c r="J180" s="13" t="inlineStr">
        <is>
          <t>14 dias</t>
        </is>
      </c>
    </row>
    <row r="181" ht="22" customHeight="1">
      <c r="A181" s="6" t="inlineStr">
        <is>
          <t>CUL-0177</t>
        </is>
      </c>
      <c r="B181" s="5" t="n">
        <v>38</v>
      </c>
      <c r="C181" s="7" t="inlineStr">
        <is>
          <t>Nº 0711</t>
        </is>
      </c>
      <c r="D181" s="8" t="inlineStr">
        <is>
          <t>CUPRODIL WG</t>
        </is>
      </c>
      <c r="E181" s="7" t="inlineStr">
        <is>
          <t>Pulverização Agrícola Conforme Bula</t>
        </is>
      </c>
      <c r="F181" s="7" t="inlineStr">
        <is>
          <t>Milho</t>
        </is>
      </c>
      <c r="G181" s="7" t="inlineStr">
        <is>
          <t>Cultura Autorizada na Bula</t>
        </is>
      </c>
      <c r="H181" s="7" t="inlineStr">
        <is>
          <t>100 a 300 L/ha</t>
        </is>
      </c>
      <c r="I181" s="7" t="inlineStr">
        <is>
          <t>20 a 40 L/ha</t>
        </is>
      </c>
      <c r="J181" s="7" t="inlineStr">
        <is>
          <t>14 dias</t>
        </is>
      </c>
    </row>
    <row r="182" ht="22" customHeight="1">
      <c r="A182" s="12" t="inlineStr">
        <is>
          <t>CUL-0178</t>
        </is>
      </c>
      <c r="B182" s="11" t="n">
        <v>38</v>
      </c>
      <c r="C182" s="13" t="inlineStr">
        <is>
          <t>Nº 0711</t>
        </is>
      </c>
      <c r="D182" s="14" t="inlineStr">
        <is>
          <t>CUPRODIL WG</t>
        </is>
      </c>
      <c r="E182" s="13" t="inlineStr">
        <is>
          <t>Pulverização Agrícola Conforme Bula</t>
        </is>
      </c>
      <c r="F182" s="13" t="inlineStr">
        <is>
          <t>Trigo</t>
        </is>
      </c>
      <c r="G182" s="13" t="inlineStr">
        <is>
          <t>Cultura Autorizada na Bula</t>
        </is>
      </c>
      <c r="H182" s="13" t="inlineStr">
        <is>
          <t>100 a 300 L/ha</t>
        </is>
      </c>
      <c r="I182" s="13" t="inlineStr">
        <is>
          <t>20 a 40 L/ha</t>
        </is>
      </c>
      <c r="J182" s="13" t="inlineStr">
        <is>
          <t>30 dias</t>
        </is>
      </c>
    </row>
    <row r="183" ht="22" customHeight="1">
      <c r="A183" s="6" t="inlineStr">
        <is>
          <t>CUL-0179</t>
        </is>
      </c>
      <c r="B183" s="5" t="n">
        <v>38</v>
      </c>
      <c r="C183" s="7" t="inlineStr">
        <is>
          <t>Nº 0711</t>
        </is>
      </c>
      <c r="D183" s="8" t="inlineStr">
        <is>
          <t>CUPRODIL WG</t>
        </is>
      </c>
      <c r="E183" s="7" t="inlineStr">
        <is>
          <t>Pulverização Agrícola Conforme Bula</t>
        </is>
      </c>
      <c r="F183" s="7" t="inlineStr">
        <is>
          <t>Batata</t>
        </is>
      </c>
      <c r="G183" s="7" t="inlineStr">
        <is>
          <t>Cultura Autorizada na Bula</t>
        </is>
      </c>
      <c r="H183" s="7" t="inlineStr">
        <is>
          <t>100 a 300 L/ha</t>
        </is>
      </c>
      <c r="I183" s="7" t="inlineStr">
        <is>
          <t>20 a 40 L/ha</t>
        </is>
      </c>
      <c r="J183" s="7" t="inlineStr">
        <is>
          <t>7 dias</t>
        </is>
      </c>
    </row>
    <row r="184" ht="22" customHeight="1">
      <c r="A184" s="12" t="inlineStr">
        <is>
          <t>CUL-0180</t>
        </is>
      </c>
      <c r="B184" s="11" t="n">
        <v>38</v>
      </c>
      <c r="C184" s="13" t="inlineStr">
        <is>
          <t>Nº 0711</t>
        </is>
      </c>
      <c r="D184" s="14" t="inlineStr">
        <is>
          <t>CUPRODIL WG</t>
        </is>
      </c>
      <c r="E184" s="13" t="inlineStr">
        <is>
          <t>Pulverização Agrícola Conforme Bula</t>
        </is>
      </c>
      <c r="F184" s="13" t="inlineStr">
        <is>
          <t>Café</t>
        </is>
      </c>
      <c r="G184" s="13" t="inlineStr">
        <is>
          <t>Cultura Autorizada na Bula</t>
        </is>
      </c>
      <c r="H184" s="13" t="inlineStr">
        <is>
          <t>100 a 300 L/ha</t>
        </is>
      </c>
      <c r="I184" s="13" t="inlineStr">
        <is>
          <t>20 a 40 L/ha</t>
        </is>
      </c>
      <c r="J184" s="13" t="inlineStr">
        <is>
          <t>30 dias</t>
        </is>
      </c>
    </row>
    <row r="185" ht="22" customHeight="1">
      <c r="A185" s="6" t="inlineStr">
        <is>
          <t>CUL-0181</t>
        </is>
      </c>
      <c r="B185" s="5" t="n">
        <v>38</v>
      </c>
      <c r="C185" s="7" t="inlineStr">
        <is>
          <t>Nº 0711</t>
        </is>
      </c>
      <c r="D185" s="8" t="inlineStr">
        <is>
          <t>CUPRODIL WG</t>
        </is>
      </c>
      <c r="E185" s="7" t="inlineStr">
        <is>
          <t>Pulverização Agrícola Conforme Bula</t>
        </is>
      </c>
      <c r="F185" s="7" t="inlineStr">
        <is>
          <t>Tomate</t>
        </is>
      </c>
      <c r="G185" s="7" t="inlineStr">
        <is>
          <t>Cultura Autorizada na Bula</t>
        </is>
      </c>
      <c r="H185" s="7" t="inlineStr">
        <is>
          <t>100 a 300 L/ha</t>
        </is>
      </c>
      <c r="I185" s="7" t="inlineStr">
        <is>
          <t>20 a 40 L/ha</t>
        </is>
      </c>
      <c r="J185" s="7" t="inlineStr">
        <is>
          <t>7 dias</t>
        </is>
      </c>
    </row>
    <row r="186" ht="22" customHeight="1">
      <c r="A186" s="12" t="inlineStr">
        <is>
          <t>CUL-0182</t>
        </is>
      </c>
      <c r="B186" s="11" t="n">
        <v>39</v>
      </c>
      <c r="C186" s="13" t="inlineStr">
        <is>
          <t>Nº 26321</t>
        </is>
      </c>
      <c r="D186" s="14" t="inlineStr">
        <is>
          <t>GUARDANIL</t>
        </is>
      </c>
      <c r="E186" s="13" t="inlineStr">
        <is>
          <t>Pulverização Agrícola Conforme Bula</t>
        </is>
      </c>
      <c r="F186" s="13" t="inlineStr">
        <is>
          <t>Soja</t>
        </is>
      </c>
      <c r="G186" s="13" t="inlineStr">
        <is>
          <t>Cultura Autorizada na Bula</t>
        </is>
      </c>
      <c r="H186" s="13" t="inlineStr">
        <is>
          <t>100 a 300 L/ha</t>
        </is>
      </c>
      <c r="I186" s="13" t="inlineStr">
        <is>
          <t>20 a 40 L/ha</t>
        </is>
      </c>
      <c r="J186" s="13" t="inlineStr">
        <is>
          <t>14 dias</t>
        </is>
      </c>
    </row>
    <row r="187" ht="22" customHeight="1">
      <c r="A187" s="6" t="inlineStr">
        <is>
          <t>CUL-0183</t>
        </is>
      </c>
      <c r="B187" s="5" t="n">
        <v>39</v>
      </c>
      <c r="C187" s="7" t="inlineStr">
        <is>
          <t>Nº 26321</t>
        </is>
      </c>
      <c r="D187" s="8" t="inlineStr">
        <is>
          <t>GUARDANIL</t>
        </is>
      </c>
      <c r="E187" s="7" t="inlineStr">
        <is>
          <t>Pulverização Agrícola Conforme Bula</t>
        </is>
      </c>
      <c r="F187" s="7" t="inlineStr">
        <is>
          <t>Algodão</t>
        </is>
      </c>
      <c r="G187" s="7" t="inlineStr">
        <is>
          <t>Cultura Autorizada na Bula</t>
        </is>
      </c>
      <c r="H187" s="7" t="inlineStr">
        <is>
          <t>100 a 300 L/ha</t>
        </is>
      </c>
      <c r="I187" s="7" t="inlineStr">
        <is>
          <t>20 a 40 L/ha</t>
        </is>
      </c>
      <c r="J187" s="7" t="inlineStr">
        <is>
          <t>14 dias</t>
        </is>
      </c>
    </row>
    <row r="188" ht="22" customHeight="1">
      <c r="A188" s="12" t="inlineStr">
        <is>
          <t>CUL-0184</t>
        </is>
      </c>
      <c r="B188" s="11" t="n">
        <v>39</v>
      </c>
      <c r="C188" s="13" t="inlineStr">
        <is>
          <t>Nº 26321</t>
        </is>
      </c>
      <c r="D188" s="14" t="inlineStr">
        <is>
          <t>GUARDANIL</t>
        </is>
      </c>
      <c r="E188" s="13" t="inlineStr">
        <is>
          <t>Pulverização Agrícola Conforme Bula</t>
        </is>
      </c>
      <c r="F188" s="13" t="inlineStr">
        <is>
          <t>Feijão</t>
        </is>
      </c>
      <c r="G188" s="13" t="inlineStr">
        <is>
          <t>Cultura Autorizada na Bula</t>
        </is>
      </c>
      <c r="H188" s="13" t="inlineStr">
        <is>
          <t>100 a 300 L/ha</t>
        </is>
      </c>
      <c r="I188" s="13" t="inlineStr">
        <is>
          <t>20 a 40 L/ha</t>
        </is>
      </c>
      <c r="J188" s="13" t="inlineStr">
        <is>
          <t>14 dias</t>
        </is>
      </c>
    </row>
    <row r="189" ht="22" customHeight="1">
      <c r="A189" s="6" t="inlineStr">
        <is>
          <t>CUL-0185</t>
        </is>
      </c>
      <c r="B189" s="5" t="n">
        <v>39</v>
      </c>
      <c r="C189" s="7" t="inlineStr">
        <is>
          <t>Nº 26321</t>
        </is>
      </c>
      <c r="D189" s="8" t="inlineStr">
        <is>
          <t>GUARDANIL</t>
        </is>
      </c>
      <c r="E189" s="7" t="inlineStr">
        <is>
          <t>Pulverização Agrícola Conforme Bula</t>
        </is>
      </c>
      <c r="F189" s="7" t="inlineStr">
        <is>
          <t>Milho</t>
        </is>
      </c>
      <c r="G189" s="7" t="inlineStr">
        <is>
          <t>Cultura Autorizada na Bula</t>
        </is>
      </c>
      <c r="H189" s="7" t="inlineStr">
        <is>
          <t>100 a 300 L/ha</t>
        </is>
      </c>
      <c r="I189" s="7" t="inlineStr">
        <is>
          <t>20 a 40 L/ha</t>
        </is>
      </c>
      <c r="J189" s="7" t="inlineStr">
        <is>
          <t>14 dias</t>
        </is>
      </c>
    </row>
    <row r="190" ht="22" customHeight="1">
      <c r="A190" s="12" t="inlineStr">
        <is>
          <t>CUL-0186</t>
        </is>
      </c>
      <c r="B190" s="11" t="n">
        <v>39</v>
      </c>
      <c r="C190" s="13" t="inlineStr">
        <is>
          <t>Nº 26321</t>
        </is>
      </c>
      <c r="D190" s="14" t="inlineStr">
        <is>
          <t>GUARDANIL</t>
        </is>
      </c>
      <c r="E190" s="13" t="inlineStr">
        <is>
          <t>Pulverização Agrícola Conforme Bula</t>
        </is>
      </c>
      <c r="F190" s="13" t="inlineStr">
        <is>
          <t>Trigo</t>
        </is>
      </c>
      <c r="G190" s="13" t="inlineStr">
        <is>
          <t>Cultura Autorizada na Bula</t>
        </is>
      </c>
      <c r="H190" s="13" t="inlineStr">
        <is>
          <t>100 a 300 L/ha</t>
        </is>
      </c>
      <c r="I190" s="13" t="inlineStr">
        <is>
          <t>20 a 40 L/ha</t>
        </is>
      </c>
      <c r="J190" s="13" t="inlineStr">
        <is>
          <t>30 dias</t>
        </is>
      </c>
    </row>
    <row r="191" ht="22" customHeight="1">
      <c r="A191" s="6" t="inlineStr">
        <is>
          <t>CUL-0187</t>
        </is>
      </c>
      <c r="B191" s="5" t="n">
        <v>39</v>
      </c>
      <c r="C191" s="7" t="inlineStr">
        <is>
          <t>Nº 26321</t>
        </is>
      </c>
      <c r="D191" s="8" t="inlineStr">
        <is>
          <t>GUARDANIL</t>
        </is>
      </c>
      <c r="E191" s="7" t="inlineStr">
        <is>
          <t>Pulverização Agrícola Conforme Bula</t>
        </is>
      </c>
      <c r="F191" s="7" t="inlineStr">
        <is>
          <t>Batata</t>
        </is>
      </c>
      <c r="G191" s="7" t="inlineStr">
        <is>
          <t>Cultura Autorizada na Bula</t>
        </is>
      </c>
      <c r="H191" s="7" t="inlineStr">
        <is>
          <t>100 a 300 L/ha</t>
        </is>
      </c>
      <c r="I191" s="7" t="inlineStr">
        <is>
          <t>20 a 40 L/ha</t>
        </is>
      </c>
      <c r="J191" s="7" t="inlineStr">
        <is>
          <t>7 dias</t>
        </is>
      </c>
    </row>
    <row r="192" ht="22" customHeight="1">
      <c r="A192" s="12" t="inlineStr">
        <is>
          <t>CUL-0188</t>
        </is>
      </c>
      <c r="B192" s="11" t="n">
        <v>39</v>
      </c>
      <c r="C192" s="13" t="inlineStr">
        <is>
          <t>Nº 26321</t>
        </is>
      </c>
      <c r="D192" s="14" t="inlineStr">
        <is>
          <t>GUARDANIL</t>
        </is>
      </c>
      <c r="E192" s="13" t="inlineStr">
        <is>
          <t>Pulverização Agrícola Conforme Bula</t>
        </is>
      </c>
      <c r="F192" s="13" t="inlineStr">
        <is>
          <t>Café</t>
        </is>
      </c>
      <c r="G192" s="13" t="inlineStr">
        <is>
          <t>Cultura Autorizada na Bula</t>
        </is>
      </c>
      <c r="H192" s="13" t="inlineStr">
        <is>
          <t>100 a 300 L/ha</t>
        </is>
      </c>
      <c r="I192" s="13" t="inlineStr">
        <is>
          <t>20 a 40 L/ha</t>
        </is>
      </c>
      <c r="J192" s="13" t="inlineStr">
        <is>
          <t>30 dias</t>
        </is>
      </c>
    </row>
    <row r="193" ht="22" customHeight="1">
      <c r="A193" s="6" t="inlineStr">
        <is>
          <t>CUL-0189</t>
        </is>
      </c>
      <c r="B193" s="5" t="n">
        <v>39</v>
      </c>
      <c r="C193" s="7" t="inlineStr">
        <is>
          <t>Nº 26321</t>
        </is>
      </c>
      <c r="D193" s="8" t="inlineStr">
        <is>
          <t>GUARDANIL</t>
        </is>
      </c>
      <c r="E193" s="7" t="inlineStr">
        <is>
          <t>Pulverização Agrícola Conforme Bula</t>
        </is>
      </c>
      <c r="F193" s="7" t="inlineStr">
        <is>
          <t>Tomate</t>
        </is>
      </c>
      <c r="G193" s="7" t="inlineStr">
        <is>
          <t>Cultura Autorizada na Bula</t>
        </is>
      </c>
      <c r="H193" s="7" t="inlineStr">
        <is>
          <t>100 a 300 L/ha</t>
        </is>
      </c>
      <c r="I193" s="7" t="inlineStr">
        <is>
          <t>20 a 40 L/ha</t>
        </is>
      </c>
      <c r="J193" s="7" t="inlineStr">
        <is>
          <t>7 dias</t>
        </is>
      </c>
    </row>
    <row r="194" ht="22" customHeight="1">
      <c r="A194" s="12" t="inlineStr">
        <is>
          <t>CUL-0190</t>
        </is>
      </c>
      <c r="B194" s="11" t="n">
        <v>40</v>
      </c>
      <c r="C194" s="13" t="inlineStr">
        <is>
          <t>Nº 23419</t>
        </is>
      </c>
      <c r="D194" s="14" t="inlineStr">
        <is>
          <t>SAFENITH</t>
        </is>
      </c>
      <c r="E194" s="13" t="inlineStr">
        <is>
          <t>Pulverização Agrícola Conforme Bula</t>
        </is>
      </c>
      <c r="F194" s="13" t="inlineStr">
        <is>
          <t>Soja</t>
        </is>
      </c>
      <c r="G194" s="13" t="inlineStr">
        <is>
          <t>Cultura Autorizada na Bula</t>
        </is>
      </c>
      <c r="H194" s="13" t="inlineStr">
        <is>
          <t>100 a 300 L/ha</t>
        </is>
      </c>
      <c r="I194" s="13" t="inlineStr">
        <is>
          <t>20 a 40 L/ha</t>
        </is>
      </c>
      <c r="J194" s="13" t="inlineStr">
        <is>
          <t>14 dias</t>
        </is>
      </c>
    </row>
    <row r="195" ht="22" customHeight="1">
      <c r="A195" s="6" t="inlineStr">
        <is>
          <t>CUL-0191</t>
        </is>
      </c>
      <c r="B195" s="5" t="n">
        <v>40</v>
      </c>
      <c r="C195" s="7" t="inlineStr">
        <is>
          <t>Nº 23419</t>
        </is>
      </c>
      <c r="D195" s="8" t="inlineStr">
        <is>
          <t>SAFENITH</t>
        </is>
      </c>
      <c r="E195" s="7" t="inlineStr">
        <is>
          <t>Pulverização Agrícola Conforme Bula</t>
        </is>
      </c>
      <c r="F195" s="7" t="inlineStr">
        <is>
          <t>Algodão</t>
        </is>
      </c>
      <c r="G195" s="7" t="inlineStr">
        <is>
          <t>Cultura Autorizada na Bula</t>
        </is>
      </c>
      <c r="H195" s="7" t="inlineStr">
        <is>
          <t>100 a 300 L/ha</t>
        </is>
      </c>
      <c r="I195" s="7" t="inlineStr">
        <is>
          <t>20 a 40 L/ha</t>
        </is>
      </c>
      <c r="J195" s="7" t="inlineStr">
        <is>
          <t>14 dias</t>
        </is>
      </c>
    </row>
    <row r="196" ht="22" customHeight="1">
      <c r="A196" s="12" t="inlineStr">
        <is>
          <t>CUL-0192</t>
        </is>
      </c>
      <c r="B196" s="11" t="n">
        <v>40</v>
      </c>
      <c r="C196" s="13" t="inlineStr">
        <is>
          <t>Nº 23419</t>
        </is>
      </c>
      <c r="D196" s="14" t="inlineStr">
        <is>
          <t>SAFENITH</t>
        </is>
      </c>
      <c r="E196" s="13" t="inlineStr">
        <is>
          <t>Pulverização Agrícola Conforme Bula</t>
        </is>
      </c>
      <c r="F196" s="13" t="inlineStr">
        <is>
          <t>Feijão</t>
        </is>
      </c>
      <c r="G196" s="13" t="inlineStr">
        <is>
          <t>Cultura Autorizada na Bula</t>
        </is>
      </c>
      <c r="H196" s="13" t="inlineStr">
        <is>
          <t>100 a 300 L/ha</t>
        </is>
      </c>
      <c r="I196" s="13" t="inlineStr">
        <is>
          <t>20 a 40 L/ha</t>
        </is>
      </c>
      <c r="J196" s="13" t="inlineStr">
        <is>
          <t>14 dias</t>
        </is>
      </c>
    </row>
    <row r="197" ht="22" customHeight="1">
      <c r="A197" s="6" t="inlineStr">
        <is>
          <t>CUL-0193</t>
        </is>
      </c>
      <c r="B197" s="5" t="n">
        <v>40</v>
      </c>
      <c r="C197" s="7" t="inlineStr">
        <is>
          <t>Nº 23419</t>
        </is>
      </c>
      <c r="D197" s="8" t="inlineStr">
        <is>
          <t>SAFENITH</t>
        </is>
      </c>
      <c r="E197" s="7" t="inlineStr">
        <is>
          <t>Pulverização Agrícola Conforme Bula</t>
        </is>
      </c>
      <c r="F197" s="7" t="inlineStr">
        <is>
          <t>Milho</t>
        </is>
      </c>
      <c r="G197" s="7" t="inlineStr">
        <is>
          <t>Cultura Autorizada na Bula</t>
        </is>
      </c>
      <c r="H197" s="7" t="inlineStr">
        <is>
          <t>100 a 300 L/ha</t>
        </is>
      </c>
      <c r="I197" s="7" t="inlineStr">
        <is>
          <t>20 a 40 L/ha</t>
        </is>
      </c>
      <c r="J197" s="7" t="inlineStr">
        <is>
          <t>14 dias</t>
        </is>
      </c>
    </row>
    <row r="198" ht="22" customHeight="1">
      <c r="A198" s="12" t="inlineStr">
        <is>
          <t>CUL-0194</t>
        </is>
      </c>
      <c r="B198" s="11" t="n">
        <v>40</v>
      </c>
      <c r="C198" s="13" t="inlineStr">
        <is>
          <t>Nº 23419</t>
        </is>
      </c>
      <c r="D198" s="14" t="inlineStr">
        <is>
          <t>SAFENITH</t>
        </is>
      </c>
      <c r="E198" s="13" t="inlineStr">
        <is>
          <t>Pulverização Agrícola Conforme Bula</t>
        </is>
      </c>
      <c r="F198" s="13" t="inlineStr">
        <is>
          <t>Trigo</t>
        </is>
      </c>
      <c r="G198" s="13" t="inlineStr">
        <is>
          <t>Cultura Autorizada na Bula</t>
        </is>
      </c>
      <c r="H198" s="13" t="inlineStr">
        <is>
          <t>100 a 300 L/ha</t>
        </is>
      </c>
      <c r="I198" s="13" t="inlineStr">
        <is>
          <t>20 a 40 L/ha</t>
        </is>
      </c>
      <c r="J198" s="13" t="inlineStr">
        <is>
          <t>30 dias</t>
        </is>
      </c>
    </row>
    <row r="199" ht="22" customHeight="1">
      <c r="A199" s="6" t="inlineStr">
        <is>
          <t>CUL-0195</t>
        </is>
      </c>
      <c r="B199" s="5" t="n">
        <v>40</v>
      </c>
      <c r="C199" s="7" t="inlineStr">
        <is>
          <t>Nº 23419</t>
        </is>
      </c>
      <c r="D199" s="8" t="inlineStr">
        <is>
          <t>SAFENITH</t>
        </is>
      </c>
      <c r="E199" s="7" t="inlineStr">
        <is>
          <t>Pulverização Agrícola Conforme Bula</t>
        </is>
      </c>
      <c r="F199" s="7" t="inlineStr">
        <is>
          <t>Batata</t>
        </is>
      </c>
      <c r="G199" s="7" t="inlineStr">
        <is>
          <t>Cultura Autorizada na Bula</t>
        </is>
      </c>
      <c r="H199" s="7" t="inlineStr">
        <is>
          <t>100 a 300 L/ha</t>
        </is>
      </c>
      <c r="I199" s="7" t="inlineStr">
        <is>
          <t>20 a 40 L/ha</t>
        </is>
      </c>
      <c r="J199" s="7" t="inlineStr">
        <is>
          <t>7 dias</t>
        </is>
      </c>
    </row>
    <row r="200" ht="22" customHeight="1">
      <c r="A200" s="12" t="inlineStr">
        <is>
          <t>CUL-0196</t>
        </is>
      </c>
      <c r="B200" s="11" t="n">
        <v>40</v>
      </c>
      <c r="C200" s="13" t="inlineStr">
        <is>
          <t>Nº 23419</t>
        </is>
      </c>
      <c r="D200" s="14" t="inlineStr">
        <is>
          <t>SAFENITH</t>
        </is>
      </c>
      <c r="E200" s="13" t="inlineStr">
        <is>
          <t>Pulverização Agrícola Conforme Bula</t>
        </is>
      </c>
      <c r="F200" s="13" t="inlineStr">
        <is>
          <t>Café</t>
        </is>
      </c>
      <c r="G200" s="13" t="inlineStr">
        <is>
          <t>Cultura Autorizada na Bula</t>
        </is>
      </c>
      <c r="H200" s="13" t="inlineStr">
        <is>
          <t>100 a 300 L/ha</t>
        </is>
      </c>
      <c r="I200" s="13" t="inlineStr">
        <is>
          <t>20 a 40 L/ha</t>
        </is>
      </c>
      <c r="J200" s="13" t="inlineStr">
        <is>
          <t>30 dias</t>
        </is>
      </c>
    </row>
    <row r="201" ht="22" customHeight="1">
      <c r="A201" s="6" t="inlineStr">
        <is>
          <t>CUL-0197</t>
        </is>
      </c>
      <c r="B201" s="5" t="n">
        <v>40</v>
      </c>
      <c r="C201" s="7" t="inlineStr">
        <is>
          <t>Nº 23419</t>
        </is>
      </c>
      <c r="D201" s="8" t="inlineStr">
        <is>
          <t>SAFENITH</t>
        </is>
      </c>
      <c r="E201" s="7" t="inlineStr">
        <is>
          <t>Pulverização Agrícola Conforme Bula</t>
        </is>
      </c>
      <c r="F201" s="7" t="inlineStr">
        <is>
          <t>Tomate</t>
        </is>
      </c>
      <c r="G201" s="7" t="inlineStr">
        <is>
          <t>Cultura Autorizada na Bula</t>
        </is>
      </c>
      <c r="H201" s="7" t="inlineStr">
        <is>
          <t>100 a 300 L/ha</t>
        </is>
      </c>
      <c r="I201" s="7" t="inlineStr">
        <is>
          <t>20 a 40 L/ha</t>
        </is>
      </c>
      <c r="J201" s="7" t="inlineStr">
        <is>
          <t>7 dias</t>
        </is>
      </c>
    </row>
    <row r="202" ht="22" customHeight="1">
      <c r="A202" s="12" t="inlineStr">
        <is>
          <t>CUL-0198</t>
        </is>
      </c>
      <c r="B202" s="11" t="n">
        <v>41</v>
      </c>
      <c r="C202" s="13" t="inlineStr">
        <is>
          <t>Nº 24320</t>
        </is>
      </c>
      <c r="D202" s="14" t="inlineStr">
        <is>
          <t>CLOPANTO</t>
        </is>
      </c>
      <c r="E202" s="13" t="inlineStr">
        <is>
          <t>Pulverização Agrícola Conforme Bula</t>
        </is>
      </c>
      <c r="F202" s="13" t="inlineStr">
        <is>
          <t>Soja</t>
        </is>
      </c>
      <c r="G202" s="13" t="inlineStr">
        <is>
          <t>Cultura Autorizada na Bula</t>
        </is>
      </c>
      <c r="H202" s="13" t="inlineStr">
        <is>
          <t>100 a 300 L/ha</t>
        </is>
      </c>
      <c r="I202" s="13" t="inlineStr">
        <is>
          <t>20 a 40 L/ha</t>
        </is>
      </c>
      <c r="J202" s="13" t="inlineStr">
        <is>
          <t>21 dias</t>
        </is>
      </c>
    </row>
    <row r="203" ht="22" customHeight="1">
      <c r="A203" s="6" t="inlineStr">
        <is>
          <t>CUL-0199</t>
        </is>
      </c>
      <c r="B203" s="5" t="n">
        <v>41</v>
      </c>
      <c r="C203" s="7" t="inlineStr">
        <is>
          <t>Nº 24320</t>
        </is>
      </c>
      <c r="D203" s="8" t="inlineStr">
        <is>
          <t>CLOPANTO</t>
        </is>
      </c>
      <c r="E203" s="7" t="inlineStr">
        <is>
          <t>Pulverização Agrícola Conforme Bula</t>
        </is>
      </c>
      <c r="F203" s="7" t="inlineStr">
        <is>
          <t>Milho</t>
        </is>
      </c>
      <c r="G203" s="7" t="inlineStr">
        <is>
          <t>Cultura Autorizada na Bula</t>
        </is>
      </c>
      <c r="H203" s="7" t="inlineStr">
        <is>
          <t>100 a 300 L/ha</t>
        </is>
      </c>
      <c r="I203" s="7" t="inlineStr">
        <is>
          <t>20 a 40 L/ha</t>
        </is>
      </c>
      <c r="J203" s="7" t="inlineStr">
        <is>
          <t>21 dias</t>
        </is>
      </c>
    </row>
    <row r="204" ht="22" customHeight="1">
      <c r="A204" s="12" t="inlineStr">
        <is>
          <t>CUL-0200</t>
        </is>
      </c>
      <c r="B204" s="11" t="n">
        <v>41</v>
      </c>
      <c r="C204" s="13" t="inlineStr">
        <is>
          <t>Nº 24320</t>
        </is>
      </c>
      <c r="D204" s="14" t="inlineStr">
        <is>
          <t>CLOPANTO</t>
        </is>
      </c>
      <c r="E204" s="13" t="inlineStr">
        <is>
          <t>Pulverização Agrícola Conforme Bula</t>
        </is>
      </c>
      <c r="F204" s="13" t="inlineStr">
        <is>
          <t>Algodão</t>
        </is>
      </c>
      <c r="G204" s="13" t="inlineStr">
        <is>
          <t>Cultura Autorizada na Bula</t>
        </is>
      </c>
      <c r="H204" s="13" t="inlineStr">
        <is>
          <t>100 a 300 L/ha</t>
        </is>
      </c>
      <c r="I204" s="13" t="inlineStr">
        <is>
          <t>20 a 40 L/ha</t>
        </is>
      </c>
      <c r="J204" s="13" t="inlineStr">
        <is>
          <t>21 dias</t>
        </is>
      </c>
    </row>
    <row r="205" ht="22" customHeight="1">
      <c r="A205" s="6" t="inlineStr">
        <is>
          <t>CUL-0201</t>
        </is>
      </c>
      <c r="B205" s="5" t="n">
        <v>41</v>
      </c>
      <c r="C205" s="7" t="inlineStr">
        <is>
          <t>Nº 24320</t>
        </is>
      </c>
      <c r="D205" s="8" t="inlineStr">
        <is>
          <t>CLOPANTO</t>
        </is>
      </c>
      <c r="E205" s="7" t="inlineStr">
        <is>
          <t>Pulverização Agrícola Conforme Bula</t>
        </is>
      </c>
      <c r="F205" s="7" t="inlineStr">
        <is>
          <t>Café</t>
        </is>
      </c>
      <c r="G205" s="7" t="inlineStr">
        <is>
          <t>Cultura Autorizada na Bula</t>
        </is>
      </c>
      <c r="H205" s="7" t="inlineStr">
        <is>
          <t>100 a 300 L/ha</t>
        </is>
      </c>
      <c r="I205" s="7" t="inlineStr">
        <is>
          <t>20 a 40 L/ha</t>
        </is>
      </c>
      <c r="J205" s="7" t="inlineStr">
        <is>
          <t>21 dias</t>
        </is>
      </c>
    </row>
    <row r="206" ht="22" customHeight="1">
      <c r="A206" s="12" t="inlineStr">
        <is>
          <t>CUL-0202</t>
        </is>
      </c>
      <c r="B206" s="11" t="n">
        <v>41</v>
      </c>
      <c r="C206" s="13" t="inlineStr">
        <is>
          <t>Nº 24320</t>
        </is>
      </c>
      <c r="D206" s="14" t="inlineStr">
        <is>
          <t>CLOPANTO</t>
        </is>
      </c>
      <c r="E206" s="13" t="inlineStr">
        <is>
          <t>Pulverização Agrícola Conforme Bula</t>
        </is>
      </c>
      <c r="F206" s="13" t="inlineStr">
        <is>
          <t>Citros</t>
        </is>
      </c>
      <c r="G206" s="13" t="inlineStr">
        <is>
          <t>Cultura Autorizada na Bula</t>
        </is>
      </c>
      <c r="H206" s="13" t="inlineStr">
        <is>
          <t>100 a 300 L/ha</t>
        </is>
      </c>
      <c r="I206" s="13" t="inlineStr">
        <is>
          <t>20 a 40 L/ha</t>
        </is>
      </c>
      <c r="J206" s="13" t="inlineStr">
        <is>
          <t>21 dias</t>
        </is>
      </c>
    </row>
    <row r="207" ht="22" customHeight="1">
      <c r="A207" s="6" t="inlineStr">
        <is>
          <t>CUL-0203</t>
        </is>
      </c>
      <c r="B207" s="5" t="n">
        <v>41</v>
      </c>
      <c r="C207" s="7" t="inlineStr">
        <is>
          <t>Nº 24320</t>
        </is>
      </c>
      <c r="D207" s="8" t="inlineStr">
        <is>
          <t>CLOPANTO</t>
        </is>
      </c>
      <c r="E207" s="7" t="inlineStr">
        <is>
          <t>Pulverização Agrícola Conforme Bula</t>
        </is>
      </c>
      <c r="F207" s="7" t="inlineStr">
        <is>
          <t>Feijão</t>
        </is>
      </c>
      <c r="G207" s="7" t="inlineStr">
        <is>
          <t>Cultura Autorizada na Bula</t>
        </is>
      </c>
      <c r="H207" s="7" t="inlineStr">
        <is>
          <t>100 a 300 L/ha</t>
        </is>
      </c>
      <c r="I207" s="7" t="inlineStr">
        <is>
          <t>20 a 40 L/ha</t>
        </is>
      </c>
      <c r="J207" s="7" t="inlineStr">
        <is>
          <t>25 dias</t>
        </is>
      </c>
    </row>
    <row r="208" ht="22" customHeight="1">
      <c r="A208" s="12" t="inlineStr">
        <is>
          <t>CUL-0204</t>
        </is>
      </c>
      <c r="B208" s="11" t="n">
        <v>41</v>
      </c>
      <c r="C208" s="13" t="inlineStr">
        <is>
          <t>Nº 24320</t>
        </is>
      </c>
      <c r="D208" s="14" t="inlineStr">
        <is>
          <t>CLOPANTO</t>
        </is>
      </c>
      <c r="E208" s="13" t="inlineStr">
        <is>
          <t>Pulverização Agrícola Conforme Bula</t>
        </is>
      </c>
      <c r="F208" s="13" t="inlineStr">
        <is>
          <t>Batata</t>
        </is>
      </c>
      <c r="G208" s="13" t="inlineStr">
        <is>
          <t>Cultura Autorizada na Bula</t>
        </is>
      </c>
      <c r="H208" s="13" t="inlineStr">
        <is>
          <t>100 a 300 L/ha</t>
        </is>
      </c>
      <c r="I208" s="13" t="inlineStr">
        <is>
          <t>20 a 40 L/ha</t>
        </is>
      </c>
      <c r="J208" s="13" t="inlineStr">
        <is>
          <t>21 dias</t>
        </is>
      </c>
    </row>
    <row r="209" ht="22" customHeight="1">
      <c r="A209" s="6" t="inlineStr">
        <is>
          <t>CUL-0205</t>
        </is>
      </c>
      <c r="B209" s="5" t="n">
        <v>41</v>
      </c>
      <c r="C209" s="7" t="inlineStr">
        <is>
          <t>Nº 24320</t>
        </is>
      </c>
      <c r="D209" s="8" t="inlineStr">
        <is>
          <t>CLOPANTO</t>
        </is>
      </c>
      <c r="E209" s="7" t="inlineStr">
        <is>
          <t>Pulverização Agrícola Conforme Bula</t>
        </is>
      </c>
      <c r="F209" s="7" t="inlineStr">
        <is>
          <t>Tomate</t>
        </is>
      </c>
      <c r="G209" s="7" t="inlineStr">
        <is>
          <t>Cultura Autorizada na Bula</t>
        </is>
      </c>
      <c r="H209" s="7" t="inlineStr">
        <is>
          <t>100 a 300 L/ha</t>
        </is>
      </c>
      <c r="I209" s="7" t="inlineStr">
        <is>
          <t>20 a 40 L/ha</t>
        </is>
      </c>
      <c r="J209" s="7" t="inlineStr">
        <is>
          <t>21 dias</t>
        </is>
      </c>
    </row>
    <row r="210" ht="22" customHeight="1">
      <c r="A210" s="12" t="inlineStr">
        <is>
          <t>CUL-0206</t>
        </is>
      </c>
      <c r="B210" s="11" t="n">
        <v>41</v>
      </c>
      <c r="C210" s="13" t="inlineStr">
        <is>
          <t>Nº 24320</t>
        </is>
      </c>
      <c r="D210" s="14" t="inlineStr">
        <is>
          <t>CLOPANTO</t>
        </is>
      </c>
      <c r="E210" s="13" t="inlineStr">
        <is>
          <t>Pulverização Agrícola Conforme Bula</t>
        </is>
      </c>
      <c r="F210" s="13" t="inlineStr">
        <is>
          <t>Trigo</t>
        </is>
      </c>
      <c r="G210" s="13" t="inlineStr">
        <is>
          <t>Cultura Autorizada na Bula</t>
        </is>
      </c>
      <c r="H210" s="13" t="inlineStr">
        <is>
          <t>100 a 300 L/ha</t>
        </is>
      </c>
      <c r="I210" s="13" t="inlineStr">
        <is>
          <t>20 a 40 L/ha</t>
        </is>
      </c>
      <c r="J210" s="13" t="inlineStr">
        <is>
          <t>21 dias</t>
        </is>
      </c>
    </row>
    <row r="211" ht="22" customHeight="1">
      <c r="A211" s="6" t="inlineStr">
        <is>
          <t>CUL-0207</t>
        </is>
      </c>
      <c r="B211" s="5" t="n">
        <v>42</v>
      </c>
      <c r="C211" s="7" t="inlineStr">
        <is>
          <t>Nº 7899</t>
        </is>
      </c>
      <c r="D211" s="8" t="inlineStr">
        <is>
          <t>KLORPAN 480 EC</t>
        </is>
      </c>
      <c r="E211" s="7" t="inlineStr">
        <is>
          <t>Pulverização Agrícola Conforme Bula</t>
        </is>
      </c>
      <c r="F211" s="7" t="inlineStr">
        <is>
          <t>Soja</t>
        </is>
      </c>
      <c r="G211" s="7" t="inlineStr">
        <is>
          <t>Cultura Autorizada na Bula</t>
        </is>
      </c>
      <c r="H211" s="7" t="inlineStr">
        <is>
          <t>100 a 300 L/ha</t>
        </is>
      </c>
      <c r="I211" s="7" t="inlineStr">
        <is>
          <t>20 a 40 L/ha</t>
        </is>
      </c>
      <c r="J211" s="7" t="inlineStr">
        <is>
          <t>21 dias</t>
        </is>
      </c>
    </row>
    <row r="212" ht="22" customHeight="1">
      <c r="A212" s="12" t="inlineStr">
        <is>
          <t>CUL-0208</t>
        </is>
      </c>
      <c r="B212" s="11" t="n">
        <v>42</v>
      </c>
      <c r="C212" s="13" t="inlineStr">
        <is>
          <t>Nº 7899</t>
        </is>
      </c>
      <c r="D212" s="14" t="inlineStr">
        <is>
          <t>KLORPAN 480 EC</t>
        </is>
      </c>
      <c r="E212" s="13" t="inlineStr">
        <is>
          <t>Pulverização Agrícola Conforme Bula</t>
        </is>
      </c>
      <c r="F212" s="13" t="inlineStr">
        <is>
          <t>Milho</t>
        </is>
      </c>
      <c r="G212" s="13" t="inlineStr">
        <is>
          <t>Cultura Autorizada na Bula</t>
        </is>
      </c>
      <c r="H212" s="13" t="inlineStr">
        <is>
          <t>100 a 300 L/ha</t>
        </is>
      </c>
      <c r="I212" s="13" t="inlineStr">
        <is>
          <t>20 a 40 L/ha</t>
        </is>
      </c>
      <c r="J212" s="13" t="inlineStr">
        <is>
          <t>21 dias</t>
        </is>
      </c>
    </row>
    <row r="213" ht="22" customHeight="1">
      <c r="A213" s="6" t="inlineStr">
        <is>
          <t>CUL-0209</t>
        </is>
      </c>
      <c r="B213" s="5" t="n">
        <v>42</v>
      </c>
      <c r="C213" s="7" t="inlineStr">
        <is>
          <t>Nº 7899</t>
        </is>
      </c>
      <c r="D213" s="8" t="inlineStr">
        <is>
          <t>KLORPAN 480 EC</t>
        </is>
      </c>
      <c r="E213" s="7" t="inlineStr">
        <is>
          <t>Pulverização Agrícola Conforme Bula</t>
        </is>
      </c>
      <c r="F213" s="7" t="inlineStr">
        <is>
          <t>Algodão</t>
        </is>
      </c>
      <c r="G213" s="7" t="inlineStr">
        <is>
          <t>Cultura Autorizada na Bula</t>
        </is>
      </c>
      <c r="H213" s="7" t="inlineStr">
        <is>
          <t>100 a 300 L/ha</t>
        </is>
      </c>
      <c r="I213" s="7" t="inlineStr">
        <is>
          <t>20 a 40 L/ha</t>
        </is>
      </c>
      <c r="J213" s="7" t="inlineStr">
        <is>
          <t>21 dias</t>
        </is>
      </c>
    </row>
    <row r="214" ht="22" customHeight="1">
      <c r="A214" s="12" t="inlineStr">
        <is>
          <t>CUL-0210</t>
        </is>
      </c>
      <c r="B214" s="11" t="n">
        <v>42</v>
      </c>
      <c r="C214" s="13" t="inlineStr">
        <is>
          <t>Nº 7899</t>
        </is>
      </c>
      <c r="D214" s="14" t="inlineStr">
        <is>
          <t>KLORPAN 480 EC</t>
        </is>
      </c>
      <c r="E214" s="13" t="inlineStr">
        <is>
          <t>Pulverização Agrícola Conforme Bula</t>
        </is>
      </c>
      <c r="F214" s="13" t="inlineStr">
        <is>
          <t>Café</t>
        </is>
      </c>
      <c r="G214" s="13" t="inlineStr">
        <is>
          <t>Cultura Autorizada na Bula</t>
        </is>
      </c>
      <c r="H214" s="13" t="inlineStr">
        <is>
          <t>100 a 300 L/ha</t>
        </is>
      </c>
      <c r="I214" s="13" t="inlineStr">
        <is>
          <t>20 a 40 L/ha</t>
        </is>
      </c>
      <c r="J214" s="13" t="inlineStr">
        <is>
          <t>21 dias</t>
        </is>
      </c>
    </row>
    <row r="215" ht="22" customHeight="1">
      <c r="A215" s="6" t="inlineStr">
        <is>
          <t>CUL-0211</t>
        </is>
      </c>
      <c r="B215" s="5" t="n">
        <v>42</v>
      </c>
      <c r="C215" s="7" t="inlineStr">
        <is>
          <t>Nº 7899</t>
        </is>
      </c>
      <c r="D215" s="8" t="inlineStr">
        <is>
          <t>KLORPAN 480 EC</t>
        </is>
      </c>
      <c r="E215" s="7" t="inlineStr">
        <is>
          <t>Pulverização Agrícola Conforme Bula</t>
        </is>
      </c>
      <c r="F215" s="7" t="inlineStr">
        <is>
          <t>Citros</t>
        </is>
      </c>
      <c r="G215" s="7" t="inlineStr">
        <is>
          <t>Cultura Autorizada na Bula</t>
        </is>
      </c>
      <c r="H215" s="7" t="inlineStr">
        <is>
          <t>100 a 300 L/ha</t>
        </is>
      </c>
      <c r="I215" s="7" t="inlineStr">
        <is>
          <t>20 a 40 L/ha</t>
        </is>
      </c>
      <c r="J215" s="7" t="inlineStr">
        <is>
          <t>21 dias</t>
        </is>
      </c>
    </row>
    <row r="216" ht="22" customHeight="1">
      <c r="A216" s="12" t="inlineStr">
        <is>
          <t>CUL-0212</t>
        </is>
      </c>
      <c r="B216" s="11" t="n">
        <v>42</v>
      </c>
      <c r="C216" s="13" t="inlineStr">
        <is>
          <t>Nº 7899</t>
        </is>
      </c>
      <c r="D216" s="14" t="inlineStr">
        <is>
          <t>KLORPAN 480 EC</t>
        </is>
      </c>
      <c r="E216" s="13" t="inlineStr">
        <is>
          <t>Pulverização Agrícola Conforme Bula</t>
        </is>
      </c>
      <c r="F216" s="13" t="inlineStr">
        <is>
          <t>Feijão</t>
        </is>
      </c>
      <c r="G216" s="13" t="inlineStr">
        <is>
          <t>Cultura Autorizada na Bula</t>
        </is>
      </c>
      <c r="H216" s="13" t="inlineStr">
        <is>
          <t>100 a 300 L/ha</t>
        </is>
      </c>
      <c r="I216" s="13" t="inlineStr">
        <is>
          <t>20 a 40 L/ha</t>
        </is>
      </c>
      <c r="J216" s="13" t="inlineStr">
        <is>
          <t>25 dias</t>
        </is>
      </c>
    </row>
    <row r="217" ht="22" customHeight="1">
      <c r="A217" s="6" t="inlineStr">
        <is>
          <t>CUL-0213</t>
        </is>
      </c>
      <c r="B217" s="5" t="n">
        <v>42</v>
      </c>
      <c r="C217" s="7" t="inlineStr">
        <is>
          <t>Nº 7899</t>
        </is>
      </c>
      <c r="D217" s="8" t="inlineStr">
        <is>
          <t>KLORPAN 480 EC</t>
        </is>
      </c>
      <c r="E217" s="7" t="inlineStr">
        <is>
          <t>Pulverização Agrícola Conforme Bula</t>
        </is>
      </c>
      <c r="F217" s="7" t="inlineStr">
        <is>
          <t>Batata</t>
        </is>
      </c>
      <c r="G217" s="7" t="inlineStr">
        <is>
          <t>Cultura Autorizada na Bula</t>
        </is>
      </c>
      <c r="H217" s="7" t="inlineStr">
        <is>
          <t>100 a 300 L/ha</t>
        </is>
      </c>
      <c r="I217" s="7" t="inlineStr">
        <is>
          <t>20 a 40 L/ha</t>
        </is>
      </c>
      <c r="J217" s="7" t="inlineStr">
        <is>
          <t>21 dias</t>
        </is>
      </c>
    </row>
    <row r="218" ht="22" customHeight="1">
      <c r="A218" s="12" t="inlineStr">
        <is>
          <t>CUL-0214</t>
        </is>
      </c>
      <c r="B218" s="11" t="n">
        <v>42</v>
      </c>
      <c r="C218" s="13" t="inlineStr">
        <is>
          <t>Nº 7899</t>
        </is>
      </c>
      <c r="D218" s="14" t="inlineStr">
        <is>
          <t>KLORPAN 480 EC</t>
        </is>
      </c>
      <c r="E218" s="13" t="inlineStr">
        <is>
          <t>Pulverização Agrícola Conforme Bula</t>
        </is>
      </c>
      <c r="F218" s="13" t="inlineStr">
        <is>
          <t>Tomate</t>
        </is>
      </c>
      <c r="G218" s="13" t="inlineStr">
        <is>
          <t>Cultura Autorizada na Bula</t>
        </is>
      </c>
      <c r="H218" s="13" t="inlineStr">
        <is>
          <t>100 a 300 L/ha</t>
        </is>
      </c>
      <c r="I218" s="13" t="inlineStr">
        <is>
          <t>20 a 40 L/ha</t>
        </is>
      </c>
      <c r="J218" s="13" t="inlineStr">
        <is>
          <t>21 dias</t>
        </is>
      </c>
    </row>
    <row r="219" ht="22" customHeight="1">
      <c r="A219" s="6" t="inlineStr">
        <is>
          <t>CUL-0215</t>
        </is>
      </c>
      <c r="B219" s="5" t="n">
        <v>42</v>
      </c>
      <c r="C219" s="7" t="inlineStr">
        <is>
          <t>Nº 7899</t>
        </is>
      </c>
      <c r="D219" s="8" t="inlineStr">
        <is>
          <t>KLORPAN 480 EC</t>
        </is>
      </c>
      <c r="E219" s="7" t="inlineStr">
        <is>
          <t>Pulverização Agrícola Conforme Bula</t>
        </is>
      </c>
      <c r="F219" s="7" t="inlineStr">
        <is>
          <t>Trigo</t>
        </is>
      </c>
      <c r="G219" s="7" t="inlineStr">
        <is>
          <t>Cultura Autorizada na Bula</t>
        </is>
      </c>
      <c r="H219" s="7" t="inlineStr">
        <is>
          <t>100 a 300 L/ha</t>
        </is>
      </c>
      <c r="I219" s="7" t="inlineStr">
        <is>
          <t>20 a 40 L/ha</t>
        </is>
      </c>
      <c r="J219" s="7" t="inlineStr">
        <is>
          <t>21 dias</t>
        </is>
      </c>
    </row>
    <row r="220" ht="22" customHeight="1">
      <c r="A220" s="12" t="inlineStr">
        <is>
          <t>CUL-0216</t>
        </is>
      </c>
      <c r="B220" s="11" t="n">
        <v>43</v>
      </c>
      <c r="C220" s="13" t="inlineStr">
        <is>
          <t>Nº 18618</t>
        </is>
      </c>
      <c r="D220" s="14" t="inlineStr">
        <is>
          <t>WILD</t>
        </is>
      </c>
      <c r="E220" s="13" t="inlineStr">
        <is>
          <t>Pulverização Agrícola Conforme Bula</t>
        </is>
      </c>
      <c r="F220" s="13" t="inlineStr">
        <is>
          <t>Soja</t>
        </is>
      </c>
      <c r="G220" s="13" t="inlineStr">
        <is>
          <t>Cultura Autorizada na Bula</t>
        </is>
      </c>
      <c r="H220" s="13" t="inlineStr">
        <is>
          <t>100 a 300 L/ha</t>
        </is>
      </c>
      <c r="I220" s="13" t="inlineStr">
        <is>
          <t>20 a 40 L/ha</t>
        </is>
      </c>
      <c r="J220" s="13" t="inlineStr">
        <is>
          <t>21 dias</t>
        </is>
      </c>
    </row>
    <row r="221" ht="22" customHeight="1">
      <c r="A221" s="6" t="inlineStr">
        <is>
          <t>CUL-0217</t>
        </is>
      </c>
      <c r="B221" s="5" t="n">
        <v>43</v>
      </c>
      <c r="C221" s="7" t="inlineStr">
        <is>
          <t>Nº 18618</t>
        </is>
      </c>
      <c r="D221" s="8" t="inlineStr">
        <is>
          <t>WILD</t>
        </is>
      </c>
      <c r="E221" s="7" t="inlineStr">
        <is>
          <t>Pulverização Agrícola Conforme Bula</t>
        </is>
      </c>
      <c r="F221" s="7" t="inlineStr">
        <is>
          <t>Milho</t>
        </is>
      </c>
      <c r="G221" s="7" t="inlineStr">
        <is>
          <t>Cultura Autorizada na Bula</t>
        </is>
      </c>
      <c r="H221" s="7" t="inlineStr">
        <is>
          <t>100 a 300 L/ha</t>
        </is>
      </c>
      <c r="I221" s="7" t="inlineStr">
        <is>
          <t>20 a 40 L/ha</t>
        </is>
      </c>
      <c r="J221" s="7" t="inlineStr">
        <is>
          <t>21 dias</t>
        </is>
      </c>
    </row>
    <row r="222" ht="22" customHeight="1">
      <c r="A222" s="12" t="inlineStr">
        <is>
          <t>CUL-0218</t>
        </is>
      </c>
      <c r="B222" s="11" t="n">
        <v>43</v>
      </c>
      <c r="C222" s="13" t="inlineStr">
        <is>
          <t>Nº 18618</t>
        </is>
      </c>
      <c r="D222" s="14" t="inlineStr">
        <is>
          <t>WILD</t>
        </is>
      </c>
      <c r="E222" s="13" t="inlineStr">
        <is>
          <t>Pulverização Agrícola Conforme Bula</t>
        </is>
      </c>
      <c r="F222" s="13" t="inlineStr">
        <is>
          <t>Algodão</t>
        </is>
      </c>
      <c r="G222" s="13" t="inlineStr">
        <is>
          <t>Cultura Autorizada na Bula</t>
        </is>
      </c>
      <c r="H222" s="13" t="inlineStr">
        <is>
          <t>100 a 300 L/ha</t>
        </is>
      </c>
      <c r="I222" s="13" t="inlineStr">
        <is>
          <t>20 a 40 L/ha</t>
        </is>
      </c>
      <c r="J222" s="13" t="inlineStr">
        <is>
          <t>21 dias</t>
        </is>
      </c>
    </row>
    <row r="223" ht="22" customHeight="1">
      <c r="A223" s="6" t="inlineStr">
        <is>
          <t>CUL-0219</t>
        </is>
      </c>
      <c r="B223" s="5" t="n">
        <v>43</v>
      </c>
      <c r="C223" s="7" t="inlineStr">
        <is>
          <t>Nº 18618</t>
        </is>
      </c>
      <c r="D223" s="8" t="inlineStr">
        <is>
          <t>WILD</t>
        </is>
      </c>
      <c r="E223" s="7" t="inlineStr">
        <is>
          <t>Pulverização Agrícola Conforme Bula</t>
        </is>
      </c>
      <c r="F223" s="7" t="inlineStr">
        <is>
          <t>Café</t>
        </is>
      </c>
      <c r="G223" s="7" t="inlineStr">
        <is>
          <t>Cultura Autorizada na Bula</t>
        </is>
      </c>
      <c r="H223" s="7" t="inlineStr">
        <is>
          <t>100 a 300 L/ha</t>
        </is>
      </c>
      <c r="I223" s="7" t="inlineStr">
        <is>
          <t>20 a 40 L/ha</t>
        </is>
      </c>
      <c r="J223" s="7" t="inlineStr">
        <is>
          <t>21 dias</t>
        </is>
      </c>
    </row>
    <row r="224" ht="22" customHeight="1">
      <c r="A224" s="12" t="inlineStr">
        <is>
          <t>CUL-0220</t>
        </is>
      </c>
      <c r="B224" s="11" t="n">
        <v>43</v>
      </c>
      <c r="C224" s="13" t="inlineStr">
        <is>
          <t>Nº 18618</t>
        </is>
      </c>
      <c r="D224" s="14" t="inlineStr">
        <is>
          <t>WILD</t>
        </is>
      </c>
      <c r="E224" s="13" t="inlineStr">
        <is>
          <t>Pulverização Agrícola Conforme Bula</t>
        </is>
      </c>
      <c r="F224" s="13" t="inlineStr">
        <is>
          <t>Citros</t>
        </is>
      </c>
      <c r="G224" s="13" t="inlineStr">
        <is>
          <t>Cultura Autorizada na Bula</t>
        </is>
      </c>
      <c r="H224" s="13" t="inlineStr">
        <is>
          <t>100 a 300 L/ha</t>
        </is>
      </c>
      <c r="I224" s="13" t="inlineStr">
        <is>
          <t>20 a 40 L/ha</t>
        </is>
      </c>
      <c r="J224" s="13" t="inlineStr">
        <is>
          <t>21 dias</t>
        </is>
      </c>
    </row>
    <row r="225" ht="22" customHeight="1">
      <c r="A225" s="6" t="inlineStr">
        <is>
          <t>CUL-0221</t>
        </is>
      </c>
      <c r="B225" s="5" t="n">
        <v>43</v>
      </c>
      <c r="C225" s="7" t="inlineStr">
        <is>
          <t>Nº 18618</t>
        </is>
      </c>
      <c r="D225" s="8" t="inlineStr">
        <is>
          <t>WILD</t>
        </is>
      </c>
      <c r="E225" s="7" t="inlineStr">
        <is>
          <t>Pulverização Agrícola Conforme Bula</t>
        </is>
      </c>
      <c r="F225" s="7" t="inlineStr">
        <is>
          <t>Feijão</t>
        </is>
      </c>
      <c r="G225" s="7" t="inlineStr">
        <is>
          <t>Cultura Autorizada na Bula</t>
        </is>
      </c>
      <c r="H225" s="7" t="inlineStr">
        <is>
          <t>100 a 300 L/ha</t>
        </is>
      </c>
      <c r="I225" s="7" t="inlineStr">
        <is>
          <t>20 a 40 L/ha</t>
        </is>
      </c>
      <c r="J225" s="7" t="inlineStr">
        <is>
          <t>25 dias</t>
        </is>
      </c>
    </row>
    <row r="226" ht="22" customHeight="1">
      <c r="A226" s="12" t="inlineStr">
        <is>
          <t>CUL-0222</t>
        </is>
      </c>
      <c r="B226" s="11" t="n">
        <v>43</v>
      </c>
      <c r="C226" s="13" t="inlineStr">
        <is>
          <t>Nº 18618</t>
        </is>
      </c>
      <c r="D226" s="14" t="inlineStr">
        <is>
          <t>WILD</t>
        </is>
      </c>
      <c r="E226" s="13" t="inlineStr">
        <is>
          <t>Pulverização Agrícola Conforme Bula</t>
        </is>
      </c>
      <c r="F226" s="13" t="inlineStr">
        <is>
          <t>Batata</t>
        </is>
      </c>
      <c r="G226" s="13" t="inlineStr">
        <is>
          <t>Cultura Autorizada na Bula</t>
        </is>
      </c>
      <c r="H226" s="13" t="inlineStr">
        <is>
          <t>100 a 300 L/ha</t>
        </is>
      </c>
      <c r="I226" s="13" t="inlineStr">
        <is>
          <t>20 a 40 L/ha</t>
        </is>
      </c>
      <c r="J226" s="13" t="inlineStr">
        <is>
          <t>21 dias</t>
        </is>
      </c>
    </row>
    <row r="227" ht="22" customHeight="1">
      <c r="A227" s="6" t="inlineStr">
        <is>
          <t>CUL-0223</t>
        </is>
      </c>
      <c r="B227" s="5" t="n">
        <v>43</v>
      </c>
      <c r="C227" s="7" t="inlineStr">
        <is>
          <t>Nº 18618</t>
        </is>
      </c>
      <c r="D227" s="8" t="inlineStr">
        <is>
          <t>WILD</t>
        </is>
      </c>
      <c r="E227" s="7" t="inlineStr">
        <is>
          <t>Pulverização Agrícola Conforme Bula</t>
        </is>
      </c>
      <c r="F227" s="7" t="inlineStr">
        <is>
          <t>Tomate</t>
        </is>
      </c>
      <c r="G227" s="7" t="inlineStr">
        <is>
          <t>Cultura Autorizada na Bula</t>
        </is>
      </c>
      <c r="H227" s="7" t="inlineStr">
        <is>
          <t>100 a 300 L/ha</t>
        </is>
      </c>
      <c r="I227" s="7" t="inlineStr">
        <is>
          <t>20 a 40 L/ha</t>
        </is>
      </c>
      <c r="J227" s="7" t="inlineStr">
        <is>
          <t>21 dias</t>
        </is>
      </c>
    </row>
    <row r="228" ht="22" customHeight="1">
      <c r="A228" s="12" t="inlineStr">
        <is>
          <t>CUL-0224</t>
        </is>
      </c>
      <c r="B228" s="11" t="n">
        <v>43</v>
      </c>
      <c r="C228" s="13" t="inlineStr">
        <is>
          <t>Nº 18618</t>
        </is>
      </c>
      <c r="D228" s="14" t="inlineStr">
        <is>
          <t>WILD</t>
        </is>
      </c>
      <c r="E228" s="13" t="inlineStr">
        <is>
          <t>Pulverização Agrícola Conforme Bula</t>
        </is>
      </c>
      <c r="F228" s="13" t="inlineStr">
        <is>
          <t>Trigo</t>
        </is>
      </c>
      <c r="G228" s="13" t="inlineStr">
        <is>
          <t>Cultura Autorizada na Bula</t>
        </is>
      </c>
      <c r="H228" s="13" t="inlineStr">
        <is>
          <t>100 a 300 L/ha</t>
        </is>
      </c>
      <c r="I228" s="13" t="inlineStr">
        <is>
          <t>20 a 40 L/ha</t>
        </is>
      </c>
      <c r="J228" s="13" t="inlineStr">
        <is>
          <t>21 dias</t>
        </is>
      </c>
    </row>
    <row r="229" ht="22" customHeight="1">
      <c r="A229" s="6" t="inlineStr">
        <is>
          <t>CUL-0225</t>
        </is>
      </c>
      <c r="B229" s="5" t="n">
        <v>44</v>
      </c>
      <c r="C229" s="7" t="inlineStr">
        <is>
          <t>ISENTO (ATO 104/2017)</t>
        </is>
      </c>
      <c r="D229" s="8" t="inlineStr">
        <is>
          <t>AGCN DESALOJ TAB 12X0,8KG</t>
        </is>
      </c>
      <c r="E229" s="7" t="inlineStr">
        <is>
          <t>Pulverização Agrícola Conforme Bula</t>
        </is>
      </c>
      <c r="F229" s="7" t="inlineStr">
        <is>
          <t>Soja</t>
        </is>
      </c>
      <c r="G229" s="7" t="inlineStr">
        <is>
          <t>Cultura Autorizada na Bula</t>
        </is>
      </c>
      <c r="H229" s="7" t="inlineStr">
        <is>
          <t>100 a 300 L/ha</t>
        </is>
      </c>
      <c r="I229" s="7" t="inlineStr">
        <is>
          <t>20 a 40 L/ha</t>
        </is>
      </c>
      <c r="J229" s="7" t="inlineStr">
        <is>
          <t>21 dias</t>
        </is>
      </c>
    </row>
    <row r="230" ht="22" customHeight="1">
      <c r="A230" s="12" t="inlineStr">
        <is>
          <t>CUL-0226</t>
        </is>
      </c>
      <c r="B230" s="11" t="n">
        <v>44</v>
      </c>
      <c r="C230" s="13" t="inlineStr">
        <is>
          <t>ISENTO (ATO 104/2017)</t>
        </is>
      </c>
      <c r="D230" s="14" t="inlineStr">
        <is>
          <t>AGCN DESALOJ TAB 12X0,8KG</t>
        </is>
      </c>
      <c r="E230" s="13" t="inlineStr">
        <is>
          <t>Pulverização Agrícola Conforme Bula</t>
        </is>
      </c>
      <c r="F230" s="13" t="inlineStr">
        <is>
          <t>Milho</t>
        </is>
      </c>
      <c r="G230" s="13" t="inlineStr">
        <is>
          <t>Cultura Autorizada na Bula</t>
        </is>
      </c>
      <c r="H230" s="13" t="inlineStr">
        <is>
          <t>100 a 300 L/ha</t>
        </is>
      </c>
      <c r="I230" s="13" t="inlineStr">
        <is>
          <t>20 a 40 L/ha</t>
        </is>
      </c>
      <c r="J230" s="13" t="inlineStr">
        <is>
          <t>21 dias</t>
        </is>
      </c>
    </row>
    <row r="231" ht="22" customHeight="1">
      <c r="A231" s="6" t="inlineStr">
        <is>
          <t>CUL-0227</t>
        </is>
      </c>
      <c r="B231" s="5" t="n">
        <v>44</v>
      </c>
      <c r="C231" s="7" t="inlineStr">
        <is>
          <t>ISENTO (ATO 104/2017)</t>
        </is>
      </c>
      <c r="D231" s="8" t="inlineStr">
        <is>
          <t>AGCN DESALOJ TAB 12X0,8KG</t>
        </is>
      </c>
      <c r="E231" s="7" t="inlineStr">
        <is>
          <t>Pulverização Agrícola Conforme Bula</t>
        </is>
      </c>
      <c r="F231" s="7" t="inlineStr">
        <is>
          <t>Algodão</t>
        </is>
      </c>
      <c r="G231" s="7" t="inlineStr">
        <is>
          <t>Cultura Autorizada na Bula</t>
        </is>
      </c>
      <c r="H231" s="7" t="inlineStr">
        <is>
          <t>100 a 300 L/ha</t>
        </is>
      </c>
      <c r="I231" s="7" t="inlineStr">
        <is>
          <t>20 a 40 L/ha</t>
        </is>
      </c>
      <c r="J231" s="7" t="inlineStr">
        <is>
          <t>21 dias</t>
        </is>
      </c>
    </row>
    <row r="232" ht="22" customHeight="1">
      <c r="A232" s="12" t="inlineStr">
        <is>
          <t>CUL-0228</t>
        </is>
      </c>
      <c r="B232" s="11" t="n">
        <v>44</v>
      </c>
      <c r="C232" s="13" t="inlineStr">
        <is>
          <t>ISENTO (ATO 104/2017)</t>
        </is>
      </c>
      <c r="D232" s="14" t="inlineStr">
        <is>
          <t>AGCN DESALOJ TAB 12X0,8KG</t>
        </is>
      </c>
      <c r="E232" s="13" t="inlineStr">
        <is>
          <t>Pulverização Agrícola Conforme Bula</t>
        </is>
      </c>
      <c r="F232" s="13" t="inlineStr">
        <is>
          <t>Feijão</t>
        </is>
      </c>
      <c r="G232" s="13" t="inlineStr">
        <is>
          <t>Cultura Autorizada na Bula</t>
        </is>
      </c>
      <c r="H232" s="13" t="inlineStr">
        <is>
          <t>100 a 300 L/ha</t>
        </is>
      </c>
      <c r="I232" s="13" t="inlineStr">
        <is>
          <t>20 a 40 L/ha</t>
        </is>
      </c>
      <c r="J232" s="13" t="inlineStr">
        <is>
          <t>14 dias</t>
        </is>
      </c>
    </row>
    <row r="233" ht="22" customHeight="1">
      <c r="A233" s="6" t="inlineStr">
        <is>
          <t>CUL-0229</t>
        </is>
      </c>
      <c r="B233" s="5" t="n">
        <v>45</v>
      </c>
      <c r="C233" s="7" t="inlineStr">
        <is>
          <t>Nº 5097</t>
        </is>
      </c>
      <c r="D233" s="8" t="inlineStr">
        <is>
          <t>SPIDER 840 WG 10X0,21KG</t>
        </is>
      </c>
      <c r="E233" s="7" t="inlineStr">
        <is>
          <t>Pulverização Agrícola Conforme Bula</t>
        </is>
      </c>
      <c r="F233" s="7" t="inlineStr">
        <is>
          <t>Soja</t>
        </is>
      </c>
      <c r="G233" s="7" t="inlineStr">
        <is>
          <t>Cultura Autorizada na Bula</t>
        </is>
      </c>
      <c r="H233" s="7" t="inlineStr">
        <is>
          <t>100 a 300 L/ha</t>
        </is>
      </c>
      <c r="I233" s="7" t="inlineStr">
        <is>
          <t>20 a 40 L/ha</t>
        </is>
      </c>
      <c r="J233" s="7" t="inlineStr">
        <is>
          <t>60 dias</t>
        </is>
      </c>
    </row>
    <row r="234" ht="22" customHeight="1">
      <c r="A234" s="12" t="inlineStr">
        <is>
          <t>CUL-0230</t>
        </is>
      </c>
      <c r="B234" s="11" t="n">
        <v>45</v>
      </c>
      <c r="C234" s="13" t="inlineStr">
        <is>
          <t>Nº 5097</t>
        </is>
      </c>
      <c r="D234" s="14" t="inlineStr">
        <is>
          <t>SPIDER 840 WG 10X0,21KG</t>
        </is>
      </c>
      <c r="E234" s="13" t="inlineStr">
        <is>
          <t>Pulverização Agrícola Conforme Bula</t>
        </is>
      </c>
      <c r="F234" s="13" t="inlineStr">
        <is>
          <t>Milho</t>
        </is>
      </c>
      <c r="G234" s="13" t="inlineStr">
        <is>
          <t>Cultura Autorizada na Bula</t>
        </is>
      </c>
      <c r="H234" s="13" t="inlineStr">
        <is>
          <t>100 a 300 L/ha</t>
        </is>
      </c>
      <c r="I234" s="13" t="inlineStr">
        <is>
          <t>20 a 40 L/ha</t>
        </is>
      </c>
      <c r="J234" s="13" t="inlineStr">
        <is>
          <t>45 dias</t>
        </is>
      </c>
    </row>
    <row r="235" ht="22" customHeight="1">
      <c r="A235" s="6" t="inlineStr">
        <is>
          <t>CUL-0231</t>
        </is>
      </c>
      <c r="B235" s="5" t="n">
        <v>45</v>
      </c>
      <c r="C235" s="7" t="inlineStr">
        <is>
          <t>Nº 5097</t>
        </is>
      </c>
      <c r="D235" s="8" t="inlineStr">
        <is>
          <t>SPIDER 840 WG 10X0,21KG</t>
        </is>
      </c>
      <c r="E235" s="7" t="inlineStr">
        <is>
          <t>Pulverização Agrícola Conforme Bula</t>
        </is>
      </c>
      <c r="F235" s="7" t="inlineStr">
        <is>
          <t>Algodão</t>
        </is>
      </c>
      <c r="G235" s="7" t="inlineStr">
        <is>
          <t>Cultura Autorizada na Bula</t>
        </is>
      </c>
      <c r="H235" s="7" t="inlineStr">
        <is>
          <t>100 a 300 L/ha</t>
        </is>
      </c>
      <c r="I235" s="7" t="inlineStr">
        <is>
          <t>20 a 40 L/ha</t>
        </is>
      </c>
      <c r="J235" s="7" t="inlineStr">
        <is>
          <t>60 dias</t>
        </is>
      </c>
    </row>
    <row r="236" ht="22" customHeight="1">
      <c r="A236" s="12" t="inlineStr">
        <is>
          <t>CUL-0232</t>
        </is>
      </c>
      <c r="B236" s="11" t="n">
        <v>45</v>
      </c>
      <c r="C236" s="13" t="inlineStr">
        <is>
          <t>Nº 5097</t>
        </is>
      </c>
      <c r="D236" s="14" t="inlineStr">
        <is>
          <t>SPIDER 840 WG 10X0,21KG</t>
        </is>
      </c>
      <c r="E236" s="13" t="inlineStr">
        <is>
          <t>Pulverização Agrícola Conforme Bula</t>
        </is>
      </c>
      <c r="F236" s="13" t="inlineStr">
        <is>
          <t>Cana-de-açúcar</t>
        </is>
      </c>
      <c r="G236" s="13" t="inlineStr">
        <is>
          <t>Cultura Autorizada na Bula</t>
        </is>
      </c>
      <c r="H236" s="13" t="inlineStr">
        <is>
          <t>100 a 300 L/ha</t>
        </is>
      </c>
      <c r="I236" s="13" t="inlineStr">
        <is>
          <t>20 a 40 L/ha</t>
        </is>
      </c>
      <c r="J236" s="13" t="inlineStr">
        <is>
          <t>90 dias</t>
        </is>
      </c>
    </row>
    <row r="237" ht="22" customHeight="1">
      <c r="A237" s="6" t="inlineStr">
        <is>
          <t>CUL-0233</t>
        </is>
      </c>
      <c r="B237" s="5" t="n">
        <v>46</v>
      </c>
      <c r="C237" s="7" t="inlineStr">
        <is>
          <t>Nº 15716</t>
        </is>
      </c>
      <c r="D237" s="8" t="inlineStr">
        <is>
          <t>DIFCOR 250 EC BR</t>
        </is>
      </c>
      <c r="E237" s="7" t="inlineStr">
        <is>
          <t>Pulverização Agrícola Conforme Bula</t>
        </is>
      </c>
      <c r="F237" s="7" t="inlineStr">
        <is>
          <t>Soja</t>
        </is>
      </c>
      <c r="G237" s="7" t="inlineStr">
        <is>
          <t>Cultura Autorizada na Bula</t>
        </is>
      </c>
      <c r="H237" s="7" t="inlineStr">
        <is>
          <t>100 a 300 L/ha</t>
        </is>
      </c>
      <c r="I237" s="7" t="inlineStr">
        <is>
          <t>20 a 40 L/ha</t>
        </is>
      </c>
      <c r="J237" s="7" t="inlineStr">
        <is>
          <t>30 dias</t>
        </is>
      </c>
    </row>
    <row r="238" ht="22" customHeight="1">
      <c r="A238" s="12" t="inlineStr">
        <is>
          <t>CUL-0234</t>
        </is>
      </c>
      <c r="B238" s="11" t="n">
        <v>46</v>
      </c>
      <c r="C238" s="13" t="inlineStr">
        <is>
          <t>Nº 15716</t>
        </is>
      </c>
      <c r="D238" s="14" t="inlineStr">
        <is>
          <t>DIFCOR 250 EC BR</t>
        </is>
      </c>
      <c r="E238" s="13" t="inlineStr">
        <is>
          <t>Pulverização Agrícola Conforme Bula</t>
        </is>
      </c>
      <c r="F238" s="13" t="inlineStr">
        <is>
          <t>Algodão</t>
        </is>
      </c>
      <c r="G238" s="13" t="inlineStr">
        <is>
          <t>Cultura Autorizada na Bula</t>
        </is>
      </c>
      <c r="H238" s="13" t="inlineStr">
        <is>
          <t>100 a 300 L/ha</t>
        </is>
      </c>
      <c r="I238" s="13" t="inlineStr">
        <is>
          <t>20 a 40 L/ha</t>
        </is>
      </c>
      <c r="J238" s="13" t="inlineStr">
        <is>
          <t>30 dias</t>
        </is>
      </c>
    </row>
    <row r="239" ht="22" customHeight="1">
      <c r="A239" s="6" t="inlineStr">
        <is>
          <t>CUL-0235</t>
        </is>
      </c>
      <c r="B239" s="5" t="n">
        <v>46</v>
      </c>
      <c r="C239" s="7" t="inlineStr">
        <is>
          <t>Nº 15716</t>
        </is>
      </c>
      <c r="D239" s="8" t="inlineStr">
        <is>
          <t>DIFCOR 250 EC BR</t>
        </is>
      </c>
      <c r="E239" s="7" t="inlineStr">
        <is>
          <t>Pulverização Agrícola Conforme Bula</t>
        </is>
      </c>
      <c r="F239" s="7" t="inlineStr">
        <is>
          <t>Feijão</t>
        </is>
      </c>
      <c r="G239" s="7" t="inlineStr">
        <is>
          <t>Cultura Autorizada na Bula</t>
        </is>
      </c>
      <c r="H239" s="7" t="inlineStr">
        <is>
          <t>100 a 300 L/ha</t>
        </is>
      </c>
      <c r="I239" s="7" t="inlineStr">
        <is>
          <t>20 a 40 L/ha</t>
        </is>
      </c>
      <c r="J239" s="7" t="inlineStr">
        <is>
          <t>14 dias</t>
        </is>
      </c>
    </row>
    <row r="240" ht="22" customHeight="1">
      <c r="A240" s="12" t="inlineStr">
        <is>
          <t>CUL-0236</t>
        </is>
      </c>
      <c r="B240" s="11" t="n">
        <v>46</v>
      </c>
      <c r="C240" s="13" t="inlineStr">
        <is>
          <t>Nº 15716</t>
        </is>
      </c>
      <c r="D240" s="14" t="inlineStr">
        <is>
          <t>DIFCOR 250 EC BR</t>
        </is>
      </c>
      <c r="E240" s="13" t="inlineStr">
        <is>
          <t>Pulverização Agrícola Conforme Bula</t>
        </is>
      </c>
      <c r="F240" s="13" t="inlineStr">
        <is>
          <t>Arroz</t>
        </is>
      </c>
      <c r="G240" s="13" t="inlineStr">
        <is>
          <t>Cultura Autorizada na Bula</t>
        </is>
      </c>
      <c r="H240" s="13" t="inlineStr">
        <is>
          <t>100 a 300 L/ha</t>
        </is>
      </c>
      <c r="I240" s="13" t="inlineStr">
        <is>
          <t>20 a 40 L/ha</t>
        </is>
      </c>
      <c r="J240" s="13" t="inlineStr">
        <is>
          <t>40 dias</t>
        </is>
      </c>
    </row>
    <row r="241" ht="22" customHeight="1">
      <c r="A241" s="6" t="inlineStr">
        <is>
          <t>CUL-0237</t>
        </is>
      </c>
      <c r="B241" s="5" t="n">
        <v>46</v>
      </c>
      <c r="C241" s="7" t="inlineStr">
        <is>
          <t>Nº 15716</t>
        </is>
      </c>
      <c r="D241" s="8" t="inlineStr">
        <is>
          <t>DIFCOR 250 EC BR</t>
        </is>
      </c>
      <c r="E241" s="7" t="inlineStr">
        <is>
          <t>Pulverização Agrícola Conforme Bula</t>
        </is>
      </c>
      <c r="F241" s="7" t="inlineStr">
        <is>
          <t>Café</t>
        </is>
      </c>
      <c r="G241" s="7" t="inlineStr">
        <is>
          <t>Cultura Autorizada na Bula</t>
        </is>
      </c>
      <c r="H241" s="7" t="inlineStr">
        <is>
          <t>100 a 300 L/ha</t>
        </is>
      </c>
      <c r="I241" s="7" t="inlineStr">
        <is>
          <t>20 a 40 L/ha</t>
        </is>
      </c>
      <c r="J241" s="7" t="inlineStr">
        <is>
          <t>30 dias</t>
        </is>
      </c>
    </row>
    <row r="242" ht="22" customHeight="1">
      <c r="A242" s="12" t="inlineStr">
        <is>
          <t>CUL-0238</t>
        </is>
      </c>
      <c r="B242" s="11" t="n">
        <v>46</v>
      </c>
      <c r="C242" s="13" t="inlineStr">
        <is>
          <t>Nº 15716</t>
        </is>
      </c>
      <c r="D242" s="14" t="inlineStr">
        <is>
          <t>DIFCOR 250 EC BR</t>
        </is>
      </c>
      <c r="E242" s="13" t="inlineStr">
        <is>
          <t>Pulverização Agrícola Conforme Bula</t>
        </is>
      </c>
      <c r="F242" s="13" t="inlineStr">
        <is>
          <t>Trigo</t>
        </is>
      </c>
      <c r="G242" s="13" t="inlineStr">
        <is>
          <t>Cultura Autorizada na Bula</t>
        </is>
      </c>
      <c r="H242" s="13" t="inlineStr">
        <is>
          <t>100 a 300 L/ha</t>
        </is>
      </c>
      <c r="I242" s="13" t="inlineStr">
        <is>
          <t>20 a 40 L/ha</t>
        </is>
      </c>
      <c r="J242" s="13" t="inlineStr">
        <is>
          <t>35 dias</t>
        </is>
      </c>
    </row>
    <row r="243" ht="22" customHeight="1">
      <c r="A243" s="6" t="inlineStr">
        <is>
          <t>CUL-0239</t>
        </is>
      </c>
      <c r="B243" s="5" t="n">
        <v>46</v>
      </c>
      <c r="C243" s="7" t="inlineStr">
        <is>
          <t>Nº 15716</t>
        </is>
      </c>
      <c r="D243" s="8" t="inlineStr">
        <is>
          <t>DIFCOR 250 EC BR</t>
        </is>
      </c>
      <c r="E243" s="7" t="inlineStr">
        <is>
          <t>Pulverização Agrícola Conforme Bula</t>
        </is>
      </c>
      <c r="F243" s="7" t="inlineStr">
        <is>
          <t>Tomate</t>
        </is>
      </c>
      <c r="G243" s="7" t="inlineStr">
        <is>
          <t>Cultura Autorizada na Bula</t>
        </is>
      </c>
      <c r="H243" s="7" t="inlineStr">
        <is>
          <t>100 a 300 L/ha</t>
        </is>
      </c>
      <c r="I243" s="7" t="inlineStr">
        <is>
          <t>20 a 40 L/ha</t>
        </is>
      </c>
      <c r="J243" s="7" t="inlineStr">
        <is>
          <t>7 dias</t>
        </is>
      </c>
    </row>
    <row r="244" ht="22" customHeight="1">
      <c r="A244" s="12" t="inlineStr">
        <is>
          <t>CUL-0240</t>
        </is>
      </c>
      <c r="B244" s="11" t="n">
        <v>47</v>
      </c>
      <c r="C244" s="13" t="inlineStr">
        <is>
          <t>Nº 19217</t>
        </is>
      </c>
      <c r="D244" s="14" t="inlineStr">
        <is>
          <t>BLOWOUT</t>
        </is>
      </c>
      <c r="E244" s="13" t="inlineStr">
        <is>
          <t>Pulverização Agrícola Conforme Bula</t>
        </is>
      </c>
      <c r="F244" s="13" t="inlineStr">
        <is>
          <t>Soja (Dessecação Pré-Colheita e Pré-Plantio)</t>
        </is>
      </c>
      <c r="G244" s="13" t="inlineStr">
        <is>
          <t>Cultura Autorizada na Bula</t>
        </is>
      </c>
      <c r="H244" s="13" t="inlineStr">
        <is>
          <t>100 a 300 L/ha</t>
        </is>
      </c>
      <c r="I244" s="13" t="inlineStr">
        <is>
          <t>20 a 40 L/ha</t>
        </is>
      </c>
      <c r="J244" s="13" t="inlineStr">
        <is>
          <t>7 dias</t>
        </is>
      </c>
    </row>
    <row r="245" ht="22" customHeight="1">
      <c r="A245" s="6" t="inlineStr">
        <is>
          <t>CUL-0241</t>
        </is>
      </c>
      <c r="B245" s="5" t="n">
        <v>47</v>
      </c>
      <c r="C245" s="7" t="inlineStr">
        <is>
          <t>Nº 19217</t>
        </is>
      </c>
      <c r="D245" s="8" t="inlineStr">
        <is>
          <t>BLOWOUT</t>
        </is>
      </c>
      <c r="E245" s="7" t="inlineStr">
        <is>
          <t>Pulverização Agrícola Conforme Bula</t>
        </is>
      </c>
      <c r="F245" s="7" t="inlineStr">
        <is>
          <t>Feijão (Dessecação Pré-Colheita)</t>
        </is>
      </c>
      <c r="G245" s="7" t="inlineStr">
        <is>
          <t>Cultura Autorizada na Bula</t>
        </is>
      </c>
      <c r="H245" s="7" t="inlineStr">
        <is>
          <t>100 a 300 L/ha</t>
        </is>
      </c>
      <c r="I245" s="7" t="inlineStr">
        <is>
          <t>20 a 40 L/ha</t>
        </is>
      </c>
      <c r="J245" s="7" t="inlineStr">
        <is>
          <t>7 dias</t>
        </is>
      </c>
    </row>
    <row r="246" ht="22" customHeight="1">
      <c r="A246" s="12" t="inlineStr">
        <is>
          <t>CUL-0242</t>
        </is>
      </c>
      <c r="B246" s="11" t="n">
        <v>47</v>
      </c>
      <c r="C246" s="13" t="inlineStr">
        <is>
          <t>Nº 19217</t>
        </is>
      </c>
      <c r="D246" s="14" t="inlineStr">
        <is>
          <t>BLOWOUT</t>
        </is>
      </c>
      <c r="E246" s="13" t="inlineStr">
        <is>
          <t>Pulverização Agrícola Conforme Bula</t>
        </is>
      </c>
      <c r="F246" s="13" t="inlineStr">
        <is>
          <t>Algodão</t>
        </is>
      </c>
      <c r="G246" s="13" t="inlineStr">
        <is>
          <t>Cultura Autorizada na Bula</t>
        </is>
      </c>
      <c r="H246" s="13" t="inlineStr">
        <is>
          <t>100 a 300 L/ha</t>
        </is>
      </c>
      <c r="I246" s="13" t="inlineStr">
        <is>
          <t>20 a 40 L/ha</t>
        </is>
      </c>
      <c r="J246" s="13" t="inlineStr">
        <is>
          <t>7 dias</t>
        </is>
      </c>
    </row>
    <row r="247" ht="22" customHeight="1">
      <c r="A247" s="6" t="inlineStr">
        <is>
          <t>CUL-0243</t>
        </is>
      </c>
      <c r="B247" s="5" t="n">
        <v>47</v>
      </c>
      <c r="C247" s="7" t="inlineStr">
        <is>
          <t>Nº 19217</t>
        </is>
      </c>
      <c r="D247" s="8" t="inlineStr">
        <is>
          <t>BLOWOUT</t>
        </is>
      </c>
      <c r="E247" s="7" t="inlineStr">
        <is>
          <t>Pulverização Agrícola Conforme Bula</t>
        </is>
      </c>
      <c r="F247" s="7" t="inlineStr">
        <is>
          <t>Batata</t>
        </is>
      </c>
      <c r="G247" s="7" t="inlineStr">
        <is>
          <t>Cultura Autorizada na Bula</t>
        </is>
      </c>
      <c r="H247" s="7" t="inlineStr">
        <is>
          <t>100 a 300 L/ha</t>
        </is>
      </c>
      <c r="I247" s="7" t="inlineStr">
        <is>
          <t>20 a 40 L/ha</t>
        </is>
      </c>
      <c r="J247" s="7" t="inlineStr">
        <is>
          <t>7 dias</t>
        </is>
      </c>
    </row>
    <row r="248" ht="22" customHeight="1">
      <c r="A248" s="12" t="inlineStr">
        <is>
          <t>CUL-0244</t>
        </is>
      </c>
      <c r="B248" s="11" t="n">
        <v>47</v>
      </c>
      <c r="C248" s="13" t="inlineStr">
        <is>
          <t>Nº 19217</t>
        </is>
      </c>
      <c r="D248" s="14" t="inlineStr">
        <is>
          <t>BLOWOUT</t>
        </is>
      </c>
      <c r="E248" s="13" t="inlineStr">
        <is>
          <t>Pulverização Agrícola Conforme Bula</t>
        </is>
      </c>
      <c r="F248" s="13" t="inlineStr">
        <is>
          <t>Milho (Pré-Plantio)</t>
        </is>
      </c>
      <c r="G248" s="13" t="inlineStr">
        <is>
          <t>Cultura Autorizada na Bula</t>
        </is>
      </c>
      <c r="H248" s="13" t="inlineStr">
        <is>
          <t>100 a 300 L/ha</t>
        </is>
      </c>
      <c r="I248" s="13" t="inlineStr">
        <is>
          <t>20 a 40 L/ha</t>
        </is>
      </c>
      <c r="J248" s="13" t="inlineStr">
        <is>
          <t>N/D</t>
        </is>
      </c>
    </row>
    <row r="249" ht="22" customHeight="1">
      <c r="A249" s="6" t="inlineStr">
        <is>
          <t>CUL-0245</t>
        </is>
      </c>
      <c r="B249" s="5" t="n">
        <v>48</v>
      </c>
      <c r="C249" s="7" t="inlineStr">
        <is>
          <t>Nº 25216</t>
        </is>
      </c>
      <c r="D249" s="8" t="inlineStr">
        <is>
          <t>DESSICASH 200</t>
        </is>
      </c>
      <c r="E249" s="7" t="inlineStr">
        <is>
          <t>Pulverização Agrícola Conforme Bula</t>
        </is>
      </c>
      <c r="F249" s="7" t="inlineStr">
        <is>
          <t>Soja (Dessecação Pré-Colheita e Pré-Plantio)</t>
        </is>
      </c>
      <c r="G249" s="7" t="inlineStr">
        <is>
          <t>Cultura Autorizada na Bula</t>
        </is>
      </c>
      <c r="H249" s="7" t="inlineStr">
        <is>
          <t>100 a 300 L/ha</t>
        </is>
      </c>
      <c r="I249" s="7" t="inlineStr">
        <is>
          <t>20 a 40 L/ha</t>
        </is>
      </c>
      <c r="J249" s="7" t="inlineStr">
        <is>
          <t>7 dias</t>
        </is>
      </c>
    </row>
    <row r="250" ht="22" customHeight="1">
      <c r="A250" s="12" t="inlineStr">
        <is>
          <t>CUL-0246</t>
        </is>
      </c>
      <c r="B250" s="11" t="n">
        <v>48</v>
      </c>
      <c r="C250" s="13" t="inlineStr">
        <is>
          <t>Nº 25216</t>
        </is>
      </c>
      <c r="D250" s="14" t="inlineStr">
        <is>
          <t>DESSICASH 200</t>
        </is>
      </c>
      <c r="E250" s="13" t="inlineStr">
        <is>
          <t>Pulverização Agrícola Conforme Bula</t>
        </is>
      </c>
      <c r="F250" s="13" t="inlineStr">
        <is>
          <t>Feijão (Dessecação Pré-Colheita)</t>
        </is>
      </c>
      <c r="G250" s="13" t="inlineStr">
        <is>
          <t>Cultura Autorizada na Bula</t>
        </is>
      </c>
      <c r="H250" s="13" t="inlineStr">
        <is>
          <t>100 a 300 L/ha</t>
        </is>
      </c>
      <c r="I250" s="13" t="inlineStr">
        <is>
          <t>20 a 40 L/ha</t>
        </is>
      </c>
      <c r="J250" s="13" t="inlineStr">
        <is>
          <t>7 dias</t>
        </is>
      </c>
    </row>
    <row r="251" ht="22" customHeight="1">
      <c r="A251" s="6" t="inlineStr">
        <is>
          <t>CUL-0247</t>
        </is>
      </c>
      <c r="B251" s="5" t="n">
        <v>48</v>
      </c>
      <c r="C251" s="7" t="inlineStr">
        <is>
          <t>Nº 25216</t>
        </is>
      </c>
      <c r="D251" s="8" t="inlineStr">
        <is>
          <t>DESSICASH 200</t>
        </is>
      </c>
      <c r="E251" s="7" t="inlineStr">
        <is>
          <t>Pulverização Agrícola Conforme Bula</t>
        </is>
      </c>
      <c r="F251" s="7" t="inlineStr">
        <is>
          <t>Algodão</t>
        </is>
      </c>
      <c r="G251" s="7" t="inlineStr">
        <is>
          <t>Cultura Autorizada na Bula</t>
        </is>
      </c>
      <c r="H251" s="7" t="inlineStr">
        <is>
          <t>100 a 300 L/ha</t>
        </is>
      </c>
      <c r="I251" s="7" t="inlineStr">
        <is>
          <t>20 a 40 L/ha</t>
        </is>
      </c>
      <c r="J251" s="7" t="inlineStr">
        <is>
          <t>7 dias</t>
        </is>
      </c>
    </row>
    <row r="252" ht="22" customHeight="1">
      <c r="A252" s="12" t="inlineStr">
        <is>
          <t>CUL-0248</t>
        </is>
      </c>
      <c r="B252" s="11" t="n">
        <v>48</v>
      </c>
      <c r="C252" s="13" t="inlineStr">
        <is>
          <t>Nº 25216</t>
        </is>
      </c>
      <c r="D252" s="14" t="inlineStr">
        <is>
          <t>DESSICASH 200</t>
        </is>
      </c>
      <c r="E252" s="13" t="inlineStr">
        <is>
          <t>Pulverização Agrícola Conforme Bula</t>
        </is>
      </c>
      <c r="F252" s="13" t="inlineStr">
        <is>
          <t>Batata</t>
        </is>
      </c>
      <c r="G252" s="13" t="inlineStr">
        <is>
          <t>Cultura Autorizada na Bula</t>
        </is>
      </c>
      <c r="H252" s="13" t="inlineStr">
        <is>
          <t>100 a 300 L/ha</t>
        </is>
      </c>
      <c r="I252" s="13" t="inlineStr">
        <is>
          <t>20 a 40 L/ha</t>
        </is>
      </c>
      <c r="J252" s="13" t="inlineStr">
        <is>
          <t>7 dias</t>
        </is>
      </c>
    </row>
    <row r="253" ht="22" customHeight="1">
      <c r="A253" s="6" t="inlineStr">
        <is>
          <t>CUL-0249</t>
        </is>
      </c>
      <c r="B253" s="5" t="n">
        <v>48</v>
      </c>
      <c r="C253" s="7" t="inlineStr">
        <is>
          <t>Nº 25216</t>
        </is>
      </c>
      <c r="D253" s="8" t="inlineStr">
        <is>
          <t>DESSICASH 200</t>
        </is>
      </c>
      <c r="E253" s="7" t="inlineStr">
        <is>
          <t>Pulverização Agrícola Conforme Bula</t>
        </is>
      </c>
      <c r="F253" s="7" t="inlineStr">
        <is>
          <t>Milho (Pré-Plantio)</t>
        </is>
      </c>
      <c r="G253" s="7" t="inlineStr">
        <is>
          <t>Cultura Autorizada na Bula</t>
        </is>
      </c>
      <c r="H253" s="7" t="inlineStr">
        <is>
          <t>100 a 300 L/ha</t>
        </is>
      </c>
      <c r="I253" s="7" t="inlineStr">
        <is>
          <t>20 a 40 L/ha</t>
        </is>
      </c>
      <c r="J253" s="7" t="inlineStr">
        <is>
          <t>N/D</t>
        </is>
      </c>
    </row>
    <row r="254" ht="22" customHeight="1">
      <c r="A254" s="12" t="inlineStr">
        <is>
          <t>CUL-0250</t>
        </is>
      </c>
      <c r="B254" s="11" t="n">
        <v>49</v>
      </c>
      <c r="C254" s="13" t="inlineStr">
        <is>
          <t>Nº 0812</t>
        </is>
      </c>
      <c r="D254" s="14" t="inlineStr">
        <is>
          <t>DIOX</t>
        </is>
      </c>
      <c r="E254" s="13" t="inlineStr">
        <is>
          <t>Pulverização Agrícola Conforme Bula</t>
        </is>
      </c>
      <c r="F254" s="13" t="inlineStr">
        <is>
          <t>Soja</t>
        </is>
      </c>
      <c r="G254" s="13" t="inlineStr">
        <is>
          <t>Cultura Autorizada na Bula</t>
        </is>
      </c>
      <c r="H254" s="13" t="inlineStr">
        <is>
          <t>100 a 300 L/ha</t>
        </is>
      </c>
      <c r="I254" s="13" t="inlineStr">
        <is>
          <t>20 a 40 L/ha</t>
        </is>
      </c>
      <c r="J254" s="13" t="inlineStr">
        <is>
          <t>60 dias</t>
        </is>
      </c>
    </row>
    <row r="255" ht="22" customHeight="1">
      <c r="A255" s="6" t="inlineStr">
        <is>
          <t>CUL-0251</t>
        </is>
      </c>
      <c r="B255" s="5" t="n">
        <v>49</v>
      </c>
      <c r="C255" s="7" t="inlineStr">
        <is>
          <t>Nº 0812</t>
        </is>
      </c>
      <c r="D255" s="8" t="inlineStr">
        <is>
          <t>DIOX</t>
        </is>
      </c>
      <c r="E255" s="7" t="inlineStr">
        <is>
          <t>Pulverização Agrícola Conforme Bula</t>
        </is>
      </c>
      <c r="F255" s="7" t="inlineStr">
        <is>
          <t>Milho</t>
        </is>
      </c>
      <c r="G255" s="7" t="inlineStr">
        <is>
          <t>Cultura Autorizada na Bula</t>
        </is>
      </c>
      <c r="H255" s="7" t="inlineStr">
        <is>
          <t>100 a 300 L/ha</t>
        </is>
      </c>
      <c r="I255" s="7" t="inlineStr">
        <is>
          <t>20 a 40 L/ha</t>
        </is>
      </c>
      <c r="J255" s="7" t="inlineStr">
        <is>
          <t>45 dias</t>
        </is>
      </c>
    </row>
    <row r="256" ht="22" customHeight="1">
      <c r="A256" s="12" t="inlineStr">
        <is>
          <t>CUL-0252</t>
        </is>
      </c>
      <c r="B256" s="11" t="n">
        <v>49</v>
      </c>
      <c r="C256" s="13" t="inlineStr">
        <is>
          <t>Nº 0812</t>
        </is>
      </c>
      <c r="D256" s="14" t="inlineStr">
        <is>
          <t>DIOX</t>
        </is>
      </c>
      <c r="E256" s="13" t="inlineStr">
        <is>
          <t>Pulverização Agrícola Conforme Bula</t>
        </is>
      </c>
      <c r="F256" s="13" t="inlineStr">
        <is>
          <t>Algodão</t>
        </is>
      </c>
      <c r="G256" s="13" t="inlineStr">
        <is>
          <t>Cultura Autorizada na Bula</t>
        </is>
      </c>
      <c r="H256" s="13" t="inlineStr">
        <is>
          <t>100 a 300 L/ha</t>
        </is>
      </c>
      <c r="I256" s="13" t="inlineStr">
        <is>
          <t>20 a 40 L/ha</t>
        </is>
      </c>
      <c r="J256" s="13" t="inlineStr">
        <is>
          <t>60 dias</t>
        </is>
      </c>
    </row>
    <row r="257" ht="22" customHeight="1">
      <c r="A257" s="6" t="inlineStr">
        <is>
          <t>CUL-0253</t>
        </is>
      </c>
      <c r="B257" s="5" t="n">
        <v>49</v>
      </c>
      <c r="C257" s="7" t="inlineStr">
        <is>
          <t>Nº 0812</t>
        </is>
      </c>
      <c r="D257" s="8" t="inlineStr">
        <is>
          <t>DIOX</t>
        </is>
      </c>
      <c r="E257" s="7" t="inlineStr">
        <is>
          <t>Pulverização Agrícola Conforme Bula</t>
        </is>
      </c>
      <c r="F257" s="7" t="inlineStr">
        <is>
          <t>Cana-de-açúcar</t>
        </is>
      </c>
      <c r="G257" s="7" t="inlineStr">
        <is>
          <t>Cultura Autorizada na Bula</t>
        </is>
      </c>
      <c r="H257" s="7" t="inlineStr">
        <is>
          <t>100 a 300 L/ha</t>
        </is>
      </c>
      <c r="I257" s="7" t="inlineStr">
        <is>
          <t>20 a 40 L/ha</t>
        </is>
      </c>
      <c r="J257" s="7" t="inlineStr">
        <is>
          <t>90 dias</t>
        </is>
      </c>
    </row>
    <row r="258" ht="22" customHeight="1">
      <c r="A258" s="12" t="inlineStr">
        <is>
          <t>CUL-0254</t>
        </is>
      </c>
      <c r="B258" s="11" t="n">
        <v>50</v>
      </c>
      <c r="C258" s="13" t="inlineStr">
        <is>
          <t>SIPEAGRO (UF-XXXXX)</t>
        </is>
      </c>
      <c r="D258" s="14" t="inlineStr">
        <is>
          <t>AGCN ENXOFRE</t>
        </is>
      </c>
      <c r="E258" s="13" t="inlineStr">
        <is>
          <t>Adubação de Solo / Foliar</t>
        </is>
      </c>
      <c r="F258" s="13" t="inlineStr">
        <is>
          <t>Soja</t>
        </is>
      </c>
      <c r="G258" s="13" t="inlineStr">
        <is>
          <t>Cultura Autorizada na Bula</t>
        </is>
      </c>
      <c r="H258" s="13" t="inlineStr">
        <is>
          <t>100 a 300 L/ha</t>
        </is>
      </c>
      <c r="I258" s="13" t="inlineStr">
        <is>
          <t>20 a 40 L/ha</t>
        </is>
      </c>
      <c r="J258" s="13" t="inlineStr">
        <is>
          <t>Isento</t>
        </is>
      </c>
    </row>
    <row r="259" ht="22" customHeight="1">
      <c r="A259" s="6" t="inlineStr">
        <is>
          <t>CUL-0255</t>
        </is>
      </c>
      <c r="B259" s="5" t="n">
        <v>50</v>
      </c>
      <c r="C259" s="7" t="inlineStr">
        <is>
          <t>SIPEAGRO (UF-XXXXX)</t>
        </is>
      </c>
      <c r="D259" s="8" t="inlineStr">
        <is>
          <t>AGCN ENXOFRE</t>
        </is>
      </c>
      <c r="E259" s="7" t="inlineStr">
        <is>
          <t>Adubação de Solo / Foliar</t>
        </is>
      </c>
      <c r="F259" s="7" t="inlineStr">
        <is>
          <t>Milho</t>
        </is>
      </c>
      <c r="G259" s="7" t="inlineStr">
        <is>
          <t>Cultura Autorizada na Bula</t>
        </is>
      </c>
      <c r="H259" s="7" t="inlineStr">
        <is>
          <t>100 a 300 L/ha</t>
        </is>
      </c>
      <c r="I259" s="7" t="inlineStr">
        <is>
          <t>20 a 40 L/ha</t>
        </is>
      </c>
      <c r="J259" s="7" t="inlineStr">
        <is>
          <t>Isento</t>
        </is>
      </c>
    </row>
    <row r="260" ht="22" customHeight="1">
      <c r="A260" s="12" t="inlineStr">
        <is>
          <t>CUL-0256</t>
        </is>
      </c>
      <c r="B260" s="11" t="n">
        <v>50</v>
      </c>
      <c r="C260" s="13" t="inlineStr">
        <is>
          <t>SIPEAGRO (UF-XXXXX)</t>
        </is>
      </c>
      <c r="D260" s="14" t="inlineStr">
        <is>
          <t>AGCN ENXOFRE</t>
        </is>
      </c>
      <c r="E260" s="13" t="inlineStr">
        <is>
          <t>Adubação de Solo / Foliar</t>
        </is>
      </c>
      <c r="F260" s="13" t="inlineStr">
        <is>
          <t>Algodão</t>
        </is>
      </c>
      <c r="G260" s="13" t="inlineStr">
        <is>
          <t>Cultura Autorizada na Bula</t>
        </is>
      </c>
      <c r="H260" s="13" t="inlineStr">
        <is>
          <t>100 a 300 L/ha</t>
        </is>
      </c>
      <c r="I260" s="13" t="inlineStr">
        <is>
          <t>20 a 40 L/ha</t>
        </is>
      </c>
      <c r="J260" s="13" t="inlineStr">
        <is>
          <t>Isento</t>
        </is>
      </c>
    </row>
    <row r="261" ht="22" customHeight="1">
      <c r="A261" s="6" t="inlineStr">
        <is>
          <t>CUL-0257</t>
        </is>
      </c>
      <c r="B261" s="5" t="n">
        <v>50</v>
      </c>
      <c r="C261" s="7" t="inlineStr">
        <is>
          <t>SIPEAGRO (UF-XXXXX)</t>
        </is>
      </c>
      <c r="D261" s="8" t="inlineStr">
        <is>
          <t>AGCN ENXOFRE</t>
        </is>
      </c>
      <c r="E261" s="7" t="inlineStr">
        <is>
          <t>Adubação de Solo / Foliar</t>
        </is>
      </c>
      <c r="F261" s="7" t="inlineStr">
        <is>
          <t>Cana-de-açúcar</t>
        </is>
      </c>
      <c r="G261" s="7" t="inlineStr">
        <is>
          <t>Cultura Autorizada na Bula</t>
        </is>
      </c>
      <c r="H261" s="7" t="inlineStr">
        <is>
          <t>100 a 300 L/ha</t>
        </is>
      </c>
      <c r="I261" s="7" t="inlineStr">
        <is>
          <t>20 a 40 L/ha</t>
        </is>
      </c>
      <c r="J261" s="7" t="inlineStr">
        <is>
          <t>Isento</t>
        </is>
      </c>
    </row>
    <row r="262" ht="22" customHeight="1">
      <c r="A262" s="12" t="inlineStr">
        <is>
          <t>CUL-0258</t>
        </is>
      </c>
      <c r="B262" s="11" t="n">
        <v>50</v>
      </c>
      <c r="C262" s="13" t="inlineStr">
        <is>
          <t>SIPEAGRO (UF-XXXXX)</t>
        </is>
      </c>
      <c r="D262" s="14" t="inlineStr">
        <is>
          <t>AGCN ENXOFRE</t>
        </is>
      </c>
      <c r="E262" s="13" t="inlineStr">
        <is>
          <t>Adubação de Solo / Foliar</t>
        </is>
      </c>
      <c r="F262" s="13" t="inlineStr">
        <is>
          <t>Café</t>
        </is>
      </c>
      <c r="G262" s="13" t="inlineStr">
        <is>
          <t>Cultura Autorizada na Bula</t>
        </is>
      </c>
      <c r="H262" s="13" t="inlineStr">
        <is>
          <t>100 a 300 L/ha</t>
        </is>
      </c>
      <c r="I262" s="13" t="inlineStr">
        <is>
          <t>20 a 40 L/ha</t>
        </is>
      </c>
      <c r="J262" s="13" t="inlineStr">
        <is>
          <t>Isento</t>
        </is>
      </c>
    </row>
    <row r="263" ht="22" customHeight="1">
      <c r="A263" s="6" t="inlineStr">
        <is>
          <t>CUL-0259</t>
        </is>
      </c>
      <c r="B263" s="5" t="n">
        <v>51</v>
      </c>
      <c r="C263" s="7" t="inlineStr">
        <is>
          <t>SIPEAGRO (UF-XXXXX)</t>
        </is>
      </c>
      <c r="D263" s="8" t="inlineStr">
        <is>
          <t>AGCN MG 16</t>
        </is>
      </c>
      <c r="E263" s="7" t="inlineStr">
        <is>
          <t>Adubação de Solo / Foliar</t>
        </is>
      </c>
      <c r="F263" s="7" t="inlineStr">
        <is>
          <t>Soja</t>
        </is>
      </c>
      <c r="G263" s="7" t="inlineStr">
        <is>
          <t>Cultura Autorizada na Bula</t>
        </is>
      </c>
      <c r="H263" s="7" t="inlineStr">
        <is>
          <t>100 a 300 L/ha</t>
        </is>
      </c>
      <c r="I263" s="7" t="inlineStr">
        <is>
          <t>20 a 40 L/ha</t>
        </is>
      </c>
      <c r="J263" s="7" t="inlineStr">
        <is>
          <t>Isento</t>
        </is>
      </c>
    </row>
    <row r="264" ht="22" customHeight="1">
      <c r="A264" s="12" t="inlineStr">
        <is>
          <t>CUL-0260</t>
        </is>
      </c>
      <c r="B264" s="11" t="n">
        <v>51</v>
      </c>
      <c r="C264" s="13" t="inlineStr">
        <is>
          <t>SIPEAGRO (UF-XXXXX)</t>
        </is>
      </c>
      <c r="D264" s="14" t="inlineStr">
        <is>
          <t>AGCN MG 16</t>
        </is>
      </c>
      <c r="E264" s="13" t="inlineStr">
        <is>
          <t>Adubação de Solo / Foliar</t>
        </is>
      </c>
      <c r="F264" s="13" t="inlineStr">
        <is>
          <t>Milho</t>
        </is>
      </c>
      <c r="G264" s="13" t="inlineStr">
        <is>
          <t>Cultura Autorizada na Bula</t>
        </is>
      </c>
      <c r="H264" s="13" t="inlineStr">
        <is>
          <t>100 a 300 L/ha</t>
        </is>
      </c>
      <c r="I264" s="13" t="inlineStr">
        <is>
          <t>20 a 40 L/ha</t>
        </is>
      </c>
      <c r="J264" s="13" t="inlineStr">
        <is>
          <t>Isento</t>
        </is>
      </c>
    </row>
    <row r="265" ht="22" customHeight="1">
      <c r="A265" s="6" t="inlineStr">
        <is>
          <t>CUL-0261</t>
        </is>
      </c>
      <c r="B265" s="5" t="n">
        <v>51</v>
      </c>
      <c r="C265" s="7" t="inlineStr">
        <is>
          <t>SIPEAGRO (UF-XXXXX)</t>
        </is>
      </c>
      <c r="D265" s="8" t="inlineStr">
        <is>
          <t>AGCN MG 16</t>
        </is>
      </c>
      <c r="E265" s="7" t="inlineStr">
        <is>
          <t>Adubação de Solo / Foliar</t>
        </is>
      </c>
      <c r="F265" s="7" t="inlineStr">
        <is>
          <t>Algodão</t>
        </is>
      </c>
      <c r="G265" s="7" t="inlineStr">
        <is>
          <t>Cultura Autorizada na Bula</t>
        </is>
      </c>
      <c r="H265" s="7" t="inlineStr">
        <is>
          <t>100 a 300 L/ha</t>
        </is>
      </c>
      <c r="I265" s="7" t="inlineStr">
        <is>
          <t>20 a 40 L/ha</t>
        </is>
      </c>
      <c r="J265" s="7" t="inlineStr">
        <is>
          <t>Isento</t>
        </is>
      </c>
    </row>
    <row r="266" ht="22" customHeight="1">
      <c r="A266" s="12" t="inlineStr">
        <is>
          <t>CUL-0262</t>
        </is>
      </c>
      <c r="B266" s="11" t="n">
        <v>51</v>
      </c>
      <c r="C266" s="13" t="inlineStr">
        <is>
          <t>SIPEAGRO (UF-XXXXX)</t>
        </is>
      </c>
      <c r="D266" s="14" t="inlineStr">
        <is>
          <t>AGCN MG 16</t>
        </is>
      </c>
      <c r="E266" s="13" t="inlineStr">
        <is>
          <t>Adubação de Solo / Foliar</t>
        </is>
      </c>
      <c r="F266" s="13" t="inlineStr">
        <is>
          <t>Cana-de-açúcar</t>
        </is>
      </c>
      <c r="G266" s="13" t="inlineStr">
        <is>
          <t>Cultura Autorizada na Bula</t>
        </is>
      </c>
      <c r="H266" s="13" t="inlineStr">
        <is>
          <t>100 a 300 L/ha</t>
        </is>
      </c>
      <c r="I266" s="13" t="inlineStr">
        <is>
          <t>20 a 40 L/ha</t>
        </is>
      </c>
      <c r="J266" s="13" t="inlineStr">
        <is>
          <t>Isento</t>
        </is>
      </c>
    </row>
    <row r="267" ht="22" customHeight="1">
      <c r="A267" s="6" t="inlineStr">
        <is>
          <t>CUL-0263</t>
        </is>
      </c>
      <c r="B267" s="5" t="n">
        <v>51</v>
      </c>
      <c r="C267" s="7" t="inlineStr">
        <is>
          <t>SIPEAGRO (UF-XXXXX)</t>
        </is>
      </c>
      <c r="D267" s="8" t="inlineStr">
        <is>
          <t>AGCN MG 16</t>
        </is>
      </c>
      <c r="E267" s="7" t="inlineStr">
        <is>
          <t>Adubação de Solo / Foliar</t>
        </is>
      </c>
      <c r="F267" s="7" t="inlineStr">
        <is>
          <t>Café</t>
        </is>
      </c>
      <c r="G267" s="7" t="inlineStr">
        <is>
          <t>Cultura Autorizada na Bula</t>
        </is>
      </c>
      <c r="H267" s="7" t="inlineStr">
        <is>
          <t>100 a 300 L/ha</t>
        </is>
      </c>
      <c r="I267" s="7" t="inlineStr">
        <is>
          <t>20 a 40 L/ha</t>
        </is>
      </c>
      <c r="J267" s="7" t="inlineStr">
        <is>
          <t>Isento</t>
        </is>
      </c>
    </row>
    <row r="268" ht="22" customHeight="1">
      <c r="A268" s="12" t="inlineStr">
        <is>
          <t>CUL-0264</t>
        </is>
      </c>
      <c r="B268" s="11" t="n">
        <v>52</v>
      </c>
      <c r="C268" s="13" t="inlineStr">
        <is>
          <t>Nº 14314</t>
        </is>
      </c>
      <c r="D268" s="14" t="inlineStr">
        <is>
          <t>EXALT</t>
        </is>
      </c>
      <c r="E268" s="13" t="inlineStr">
        <is>
          <t>Pulverização Agrícola Conforme Bula</t>
        </is>
      </c>
      <c r="F268" s="13" t="inlineStr">
        <is>
          <t>Soja</t>
        </is>
      </c>
      <c r="G268" s="13" t="inlineStr">
        <is>
          <t>Cultura Autorizada na Bula</t>
        </is>
      </c>
      <c r="H268" s="13" t="inlineStr">
        <is>
          <t>100 a 300 L/ha</t>
        </is>
      </c>
      <c r="I268" s="13" t="inlineStr">
        <is>
          <t>20 a 40 L/ha</t>
        </is>
      </c>
      <c r="J268" s="13" t="inlineStr">
        <is>
          <t>21 dias</t>
        </is>
      </c>
    </row>
    <row r="269" ht="22" customHeight="1">
      <c r="A269" s="6" t="inlineStr">
        <is>
          <t>CUL-0265</t>
        </is>
      </c>
      <c r="B269" s="5" t="n">
        <v>52</v>
      </c>
      <c r="C269" s="7" t="inlineStr">
        <is>
          <t>Nº 14314</t>
        </is>
      </c>
      <c r="D269" s="8" t="inlineStr">
        <is>
          <t>EXALT</t>
        </is>
      </c>
      <c r="E269" s="7" t="inlineStr">
        <is>
          <t>Pulverização Agrícola Conforme Bula</t>
        </is>
      </c>
      <c r="F269" s="7" t="inlineStr">
        <is>
          <t>Milho</t>
        </is>
      </c>
      <c r="G269" s="7" t="inlineStr">
        <is>
          <t>Cultura Autorizada na Bula</t>
        </is>
      </c>
      <c r="H269" s="7" t="inlineStr">
        <is>
          <t>100 a 300 L/ha</t>
        </is>
      </c>
      <c r="I269" s="7" t="inlineStr">
        <is>
          <t>20 a 40 L/ha</t>
        </is>
      </c>
      <c r="J269" s="7" t="inlineStr">
        <is>
          <t>21 dias</t>
        </is>
      </c>
    </row>
    <row r="270" ht="22" customHeight="1">
      <c r="A270" s="12" t="inlineStr">
        <is>
          <t>CUL-0266</t>
        </is>
      </c>
      <c r="B270" s="11" t="n">
        <v>52</v>
      </c>
      <c r="C270" s="13" t="inlineStr">
        <is>
          <t>Nº 14314</t>
        </is>
      </c>
      <c r="D270" s="14" t="inlineStr">
        <is>
          <t>EXALT</t>
        </is>
      </c>
      <c r="E270" s="13" t="inlineStr">
        <is>
          <t>Pulverização Agrícola Conforme Bula</t>
        </is>
      </c>
      <c r="F270" s="13" t="inlineStr">
        <is>
          <t>Algodão</t>
        </is>
      </c>
      <c r="G270" s="13" t="inlineStr">
        <is>
          <t>Cultura Autorizada na Bula</t>
        </is>
      </c>
      <c r="H270" s="13" t="inlineStr">
        <is>
          <t>100 a 300 L/ha</t>
        </is>
      </c>
      <c r="I270" s="13" t="inlineStr">
        <is>
          <t>20 a 40 L/ha</t>
        </is>
      </c>
      <c r="J270" s="13" t="inlineStr">
        <is>
          <t>21 dias</t>
        </is>
      </c>
    </row>
    <row r="271" ht="22" customHeight="1">
      <c r="A271" s="6" t="inlineStr">
        <is>
          <t>CUL-0267</t>
        </is>
      </c>
      <c r="B271" s="5" t="n">
        <v>52</v>
      </c>
      <c r="C271" s="7" t="inlineStr">
        <is>
          <t>Nº 14314</t>
        </is>
      </c>
      <c r="D271" s="8" t="inlineStr">
        <is>
          <t>EXALT</t>
        </is>
      </c>
      <c r="E271" s="7" t="inlineStr">
        <is>
          <t>Pulverização Agrícola Conforme Bula</t>
        </is>
      </c>
      <c r="F271" s="7" t="inlineStr">
        <is>
          <t>Feijão</t>
        </is>
      </c>
      <c r="G271" s="7" t="inlineStr">
        <is>
          <t>Cultura Autorizada na Bula</t>
        </is>
      </c>
      <c r="H271" s="7" t="inlineStr">
        <is>
          <t>100 a 300 L/ha</t>
        </is>
      </c>
      <c r="I271" s="7" t="inlineStr">
        <is>
          <t>20 a 40 L/ha</t>
        </is>
      </c>
      <c r="J271" s="7" t="inlineStr">
        <is>
          <t>14 dias</t>
        </is>
      </c>
    </row>
    <row r="272" ht="22" customHeight="1">
      <c r="A272" s="12" t="inlineStr">
        <is>
          <t>CUL-0268</t>
        </is>
      </c>
      <c r="B272" s="11" t="n">
        <v>53</v>
      </c>
      <c r="C272" s="13" t="inlineStr">
        <is>
          <t>Nº 2520</t>
        </is>
      </c>
      <c r="D272" s="14" t="inlineStr">
        <is>
          <t>SURVEY 250 FS</t>
        </is>
      </c>
      <c r="E272" s="13" t="inlineStr">
        <is>
          <t>Tratamento de Sementes / Sulco</t>
        </is>
      </c>
      <c r="F272" s="13" t="inlineStr">
        <is>
          <t>Soja (Trat. Sementes / Sulco)</t>
        </is>
      </c>
      <c r="G272" s="13" t="inlineStr">
        <is>
          <t>Cultura Autorizada na Bula</t>
        </is>
      </c>
      <c r="H272" s="13" t="inlineStr">
        <is>
          <t>Calda TS (0,2 a 0,6 L/100kg sem.)</t>
        </is>
      </c>
      <c r="I272" s="13" t="inlineStr">
        <is>
          <t>Não Autorizada (TS)</t>
        </is>
      </c>
      <c r="J272" s="13" t="inlineStr">
        <is>
          <t>N/D</t>
        </is>
      </c>
    </row>
    <row r="273" ht="22" customHeight="1">
      <c r="A273" s="6" t="inlineStr">
        <is>
          <t>CUL-0269</t>
        </is>
      </c>
      <c r="B273" s="5" t="n">
        <v>53</v>
      </c>
      <c r="C273" s="7" t="inlineStr">
        <is>
          <t>Nº 2520</t>
        </is>
      </c>
      <c r="D273" s="8" t="inlineStr">
        <is>
          <t>SURVEY 250 FS</t>
        </is>
      </c>
      <c r="E273" s="7" t="inlineStr">
        <is>
          <t>Tratamento de Sementes / Sulco</t>
        </is>
      </c>
      <c r="F273" s="7" t="inlineStr">
        <is>
          <t>Milho (Trat. Sementes)</t>
        </is>
      </c>
      <c r="G273" s="7" t="inlineStr">
        <is>
          <t>Cultura Autorizada na Bula</t>
        </is>
      </c>
      <c r="H273" s="7" t="inlineStr">
        <is>
          <t>Calda TS (0,2 a 0,6 L/100kg sem.)</t>
        </is>
      </c>
      <c r="I273" s="7" t="inlineStr">
        <is>
          <t>Não Autorizada (TS)</t>
        </is>
      </c>
      <c r="J273" s="7" t="inlineStr">
        <is>
          <t>N/D</t>
        </is>
      </c>
    </row>
    <row r="274" ht="22" customHeight="1">
      <c r="A274" s="12" t="inlineStr">
        <is>
          <t>CUL-0270</t>
        </is>
      </c>
      <c r="B274" s="11" t="n">
        <v>53</v>
      </c>
      <c r="C274" s="13" t="inlineStr">
        <is>
          <t>Nº 2520</t>
        </is>
      </c>
      <c r="D274" s="14" t="inlineStr">
        <is>
          <t>SURVEY 250 FS</t>
        </is>
      </c>
      <c r="E274" s="13" t="inlineStr">
        <is>
          <t>Tratamento de Sementes / Sulco</t>
        </is>
      </c>
      <c r="F274" s="13" t="inlineStr">
        <is>
          <t>Algodão</t>
        </is>
      </c>
      <c r="G274" s="13" t="inlineStr">
        <is>
          <t>Cultura Autorizada na Bula</t>
        </is>
      </c>
      <c r="H274" s="13" t="inlineStr">
        <is>
          <t>Calda TS (0,2 a 0,6 L/100kg sem.)</t>
        </is>
      </c>
      <c r="I274" s="13" t="inlineStr">
        <is>
          <t>Não Autorizada (TS)</t>
        </is>
      </c>
      <c r="J274" s="13" t="inlineStr">
        <is>
          <t>N/D</t>
        </is>
      </c>
    </row>
    <row r="275" ht="22" customHeight="1">
      <c r="A275" s="6" t="inlineStr">
        <is>
          <t>CUL-0271</t>
        </is>
      </c>
      <c r="B275" s="5" t="n">
        <v>53</v>
      </c>
      <c r="C275" s="7" t="inlineStr">
        <is>
          <t>Nº 2520</t>
        </is>
      </c>
      <c r="D275" s="8" t="inlineStr">
        <is>
          <t>SURVEY 250 FS</t>
        </is>
      </c>
      <c r="E275" s="7" t="inlineStr">
        <is>
          <t>Tratamento de Sementes / Sulco</t>
        </is>
      </c>
      <c r="F275" s="7" t="inlineStr">
        <is>
          <t>Cana-de-açúcar (Sulco)</t>
        </is>
      </c>
      <c r="G275" s="7" t="inlineStr">
        <is>
          <t>Cultura Autorizada na Bula</t>
        </is>
      </c>
      <c r="H275" s="7" t="inlineStr">
        <is>
          <t>Calda TS (0,2 a 0,6 L/100kg sem.)</t>
        </is>
      </c>
      <c r="I275" s="7" t="inlineStr">
        <is>
          <t>Não Autorizada (TS)</t>
        </is>
      </c>
      <c r="J275" s="7" t="inlineStr">
        <is>
          <t>N/D</t>
        </is>
      </c>
    </row>
    <row r="276" ht="22" customHeight="1">
      <c r="A276" s="12" t="inlineStr">
        <is>
          <t>CUL-0272</t>
        </is>
      </c>
      <c r="B276" s="11" t="n">
        <v>53</v>
      </c>
      <c r="C276" s="13" t="inlineStr">
        <is>
          <t>Nº 2520</t>
        </is>
      </c>
      <c r="D276" s="14" t="inlineStr">
        <is>
          <t>SURVEY 250 FS</t>
        </is>
      </c>
      <c r="E276" s="13" t="inlineStr">
        <is>
          <t>Tratamento de Sementes / Sulco</t>
        </is>
      </c>
      <c r="F276" s="13" t="inlineStr">
        <is>
          <t>Arroz</t>
        </is>
      </c>
      <c r="G276" s="13" t="inlineStr">
        <is>
          <t>Cultura Autorizada na Bula</t>
        </is>
      </c>
      <c r="H276" s="13" t="inlineStr">
        <is>
          <t>Calda TS (0,2 a 0,6 L/100kg sem.)</t>
        </is>
      </c>
      <c r="I276" s="13" t="inlineStr">
        <is>
          <t>Não Autorizada (TS)</t>
        </is>
      </c>
      <c r="J276" s="13" t="inlineStr">
        <is>
          <t>N/D</t>
        </is>
      </c>
    </row>
    <row r="277" ht="22" customHeight="1">
      <c r="A277" s="6" t="inlineStr">
        <is>
          <t>CUL-0273</t>
        </is>
      </c>
      <c r="B277" s="5" t="n">
        <v>53</v>
      </c>
      <c r="C277" s="7" t="inlineStr">
        <is>
          <t>Nº 2520</t>
        </is>
      </c>
      <c r="D277" s="8" t="inlineStr">
        <is>
          <t>SURVEY 250 FS</t>
        </is>
      </c>
      <c r="E277" s="7" t="inlineStr">
        <is>
          <t>Tratamento de Sementes / Sulco</t>
        </is>
      </c>
      <c r="F277" s="7" t="inlineStr">
        <is>
          <t>Feijão</t>
        </is>
      </c>
      <c r="G277" s="7" t="inlineStr">
        <is>
          <t>Cultura Autorizada na Bula</t>
        </is>
      </c>
      <c r="H277" s="7" t="inlineStr">
        <is>
          <t>Calda TS (0,2 a 0,6 L/100kg sem.)</t>
        </is>
      </c>
      <c r="I277" s="7" t="inlineStr">
        <is>
          <t>Não Autorizada (TS)</t>
        </is>
      </c>
      <c r="J277" s="7" t="inlineStr">
        <is>
          <t>N/D</t>
        </is>
      </c>
    </row>
    <row r="278" ht="22" customHeight="1">
      <c r="A278" s="12" t="inlineStr">
        <is>
          <t>CUL-0274</t>
        </is>
      </c>
      <c r="B278" s="11" t="n">
        <v>53</v>
      </c>
      <c r="C278" s="13" t="inlineStr">
        <is>
          <t>Nº 2520</t>
        </is>
      </c>
      <c r="D278" s="14" t="inlineStr">
        <is>
          <t>SURVEY 250 FS</t>
        </is>
      </c>
      <c r="E278" s="13" t="inlineStr">
        <is>
          <t>Tratamento de Sementes / Sulco</t>
        </is>
      </c>
      <c r="F278" s="13" t="inlineStr">
        <is>
          <t>Pastagens</t>
        </is>
      </c>
      <c r="G278" s="13" t="inlineStr">
        <is>
          <t>Cultura Autorizada na Bula</t>
        </is>
      </c>
      <c r="H278" s="13" t="inlineStr">
        <is>
          <t>Calda TS (0,2 a 0,6 L/100kg sem.)</t>
        </is>
      </c>
      <c r="I278" s="13" t="inlineStr">
        <is>
          <t>Não Autorizada (TS)</t>
        </is>
      </c>
      <c r="J278" s="13" t="inlineStr">
        <is>
          <t>N/D</t>
        </is>
      </c>
    </row>
    <row r="279" ht="22" customHeight="1">
      <c r="A279" s="6" t="inlineStr">
        <is>
          <t>CUL-0275</t>
        </is>
      </c>
      <c r="B279" s="5" t="n">
        <v>53</v>
      </c>
      <c r="C279" s="7" t="inlineStr">
        <is>
          <t>Nº 2520</t>
        </is>
      </c>
      <c r="D279" s="8" t="inlineStr">
        <is>
          <t>SURVEY 250 FS</t>
        </is>
      </c>
      <c r="E279" s="7" t="inlineStr">
        <is>
          <t>Tratamento de Sementes / Sulco</t>
        </is>
      </c>
      <c r="F279" s="7" t="inlineStr">
        <is>
          <t>Trigo</t>
        </is>
      </c>
      <c r="G279" s="7" t="inlineStr">
        <is>
          <t>Cultura Autorizada na Bula</t>
        </is>
      </c>
      <c r="H279" s="7" t="inlineStr">
        <is>
          <t>Calda TS (0,2 a 0,6 L/100kg sem.)</t>
        </is>
      </c>
      <c r="I279" s="7" t="inlineStr">
        <is>
          <t>Não Autorizada (TS)</t>
        </is>
      </c>
      <c r="J279" s="7" t="inlineStr">
        <is>
          <t>N/D</t>
        </is>
      </c>
    </row>
    <row r="280" ht="22" customHeight="1">
      <c r="A280" s="12" t="inlineStr">
        <is>
          <t>CUL-0276</t>
        </is>
      </c>
      <c r="B280" s="11" t="n">
        <v>54</v>
      </c>
      <c r="C280" s="13" t="inlineStr">
        <is>
          <t>Nº 0494</t>
        </is>
      </c>
      <c r="D280" s="14" t="inlineStr">
        <is>
          <t>SCORPION</t>
        </is>
      </c>
      <c r="E280" s="13" t="inlineStr">
        <is>
          <t>Pulverização Agrícola Conforme Bula</t>
        </is>
      </c>
      <c r="F280" s="13" t="inlineStr">
        <is>
          <t>Soja</t>
        </is>
      </c>
      <c r="G280" s="13" t="inlineStr">
        <is>
          <t>Cultura Autorizada na Bula</t>
        </is>
      </c>
      <c r="H280" s="13" t="inlineStr">
        <is>
          <t>100 a 300 L/ha</t>
        </is>
      </c>
      <c r="I280" s="13" t="inlineStr">
        <is>
          <t>20 a 40 L/ha</t>
        </is>
      </c>
      <c r="J280" s="13" t="inlineStr">
        <is>
          <t>60 dias</t>
        </is>
      </c>
    </row>
    <row r="281" ht="22" customHeight="1">
      <c r="A281" s="6" t="inlineStr">
        <is>
          <t>CUL-0277</t>
        </is>
      </c>
      <c r="B281" s="5" t="n">
        <v>54</v>
      </c>
      <c r="C281" s="7" t="inlineStr">
        <is>
          <t>Nº 0494</t>
        </is>
      </c>
      <c r="D281" s="8" t="inlineStr">
        <is>
          <t>SCORPION</t>
        </is>
      </c>
      <c r="E281" s="7" t="inlineStr">
        <is>
          <t>Pulverização Agrícola Conforme Bula</t>
        </is>
      </c>
      <c r="F281" s="7" t="inlineStr">
        <is>
          <t>Milho</t>
        </is>
      </c>
      <c r="G281" s="7" t="inlineStr">
        <is>
          <t>Cultura Autorizada na Bula</t>
        </is>
      </c>
      <c r="H281" s="7" t="inlineStr">
        <is>
          <t>100 a 300 L/ha</t>
        </is>
      </c>
      <c r="I281" s="7" t="inlineStr">
        <is>
          <t>20 a 40 L/ha</t>
        </is>
      </c>
      <c r="J281" s="7" t="inlineStr">
        <is>
          <t>45 dias</t>
        </is>
      </c>
    </row>
    <row r="282" ht="22" customHeight="1">
      <c r="A282" s="12" t="inlineStr">
        <is>
          <t>CUL-0278</t>
        </is>
      </c>
      <c r="B282" s="11" t="n">
        <v>54</v>
      </c>
      <c r="C282" s="13" t="inlineStr">
        <is>
          <t>Nº 0494</t>
        </is>
      </c>
      <c r="D282" s="14" t="inlineStr">
        <is>
          <t>SCORPION</t>
        </is>
      </c>
      <c r="E282" s="13" t="inlineStr">
        <is>
          <t>Pulverização Agrícola Conforme Bula</t>
        </is>
      </c>
      <c r="F282" s="13" t="inlineStr">
        <is>
          <t>Algodão</t>
        </is>
      </c>
      <c r="G282" s="13" t="inlineStr">
        <is>
          <t>Cultura Autorizada na Bula</t>
        </is>
      </c>
      <c r="H282" s="13" t="inlineStr">
        <is>
          <t>100 a 300 L/ha</t>
        </is>
      </c>
      <c r="I282" s="13" t="inlineStr">
        <is>
          <t>20 a 40 L/ha</t>
        </is>
      </c>
      <c r="J282" s="13" t="inlineStr">
        <is>
          <t>60 dias</t>
        </is>
      </c>
    </row>
    <row r="283" ht="22" customHeight="1">
      <c r="A283" s="6" t="inlineStr">
        <is>
          <t>CUL-0279</t>
        </is>
      </c>
      <c r="B283" s="5" t="n">
        <v>54</v>
      </c>
      <c r="C283" s="7" t="inlineStr">
        <is>
          <t>Nº 0494</t>
        </is>
      </c>
      <c r="D283" s="8" t="inlineStr">
        <is>
          <t>SCORPION</t>
        </is>
      </c>
      <c r="E283" s="7" t="inlineStr">
        <is>
          <t>Pulverização Agrícola Conforme Bula</t>
        </is>
      </c>
      <c r="F283" s="7" t="inlineStr">
        <is>
          <t>Cana-de-açúcar</t>
        </is>
      </c>
      <c r="G283" s="7" t="inlineStr">
        <is>
          <t>Cultura Autorizada na Bula</t>
        </is>
      </c>
      <c r="H283" s="7" t="inlineStr">
        <is>
          <t>100 a 300 L/ha</t>
        </is>
      </c>
      <c r="I283" s="7" t="inlineStr">
        <is>
          <t>20 a 40 L/ha</t>
        </is>
      </c>
      <c r="J283" s="7" t="inlineStr">
        <is>
          <t>90 dias</t>
        </is>
      </c>
    </row>
    <row r="284" ht="22" customHeight="1">
      <c r="A284" s="12" t="inlineStr">
        <is>
          <t>CUL-0280</t>
        </is>
      </c>
      <c r="B284" s="11" t="n">
        <v>55</v>
      </c>
      <c r="C284" s="13" t="inlineStr">
        <is>
          <t>Nº 8813</t>
        </is>
      </c>
      <c r="D284" s="14" t="inlineStr">
        <is>
          <t>ORKESTRA</t>
        </is>
      </c>
      <c r="E284" s="13" t="inlineStr">
        <is>
          <t>Pulverização Agrícola Conforme Bula</t>
        </is>
      </c>
      <c r="F284" s="13" t="inlineStr">
        <is>
          <t>Soja</t>
        </is>
      </c>
      <c r="G284" s="13" t="inlineStr">
        <is>
          <t>Cultura Autorizada na Bula</t>
        </is>
      </c>
      <c r="H284" s="13" t="inlineStr">
        <is>
          <t>100 a 300 L/ha</t>
        </is>
      </c>
      <c r="I284" s="13" t="inlineStr">
        <is>
          <t>20 a 40 L/ha</t>
        </is>
      </c>
      <c r="J284" s="13" t="inlineStr">
        <is>
          <t>30 dias</t>
        </is>
      </c>
    </row>
    <row r="285" ht="22" customHeight="1">
      <c r="A285" s="6" t="inlineStr">
        <is>
          <t>CUL-0281</t>
        </is>
      </c>
      <c r="B285" s="5" t="n">
        <v>55</v>
      </c>
      <c r="C285" s="7" t="inlineStr">
        <is>
          <t>Nº 8813</t>
        </is>
      </c>
      <c r="D285" s="8" t="inlineStr">
        <is>
          <t>ORKESTRA</t>
        </is>
      </c>
      <c r="E285" s="7" t="inlineStr">
        <is>
          <t>Pulverização Agrícola Conforme Bula</t>
        </is>
      </c>
      <c r="F285" s="7" t="inlineStr">
        <is>
          <t>Milho</t>
        </is>
      </c>
      <c r="G285" s="7" t="inlineStr">
        <is>
          <t>Cultura Autorizada na Bula</t>
        </is>
      </c>
      <c r="H285" s="7" t="inlineStr">
        <is>
          <t>100 a 300 L/ha</t>
        </is>
      </c>
      <c r="I285" s="7" t="inlineStr">
        <is>
          <t>20 a 40 L/ha</t>
        </is>
      </c>
      <c r="J285" s="7" t="inlineStr">
        <is>
          <t>30 dias</t>
        </is>
      </c>
    </row>
    <row r="286" ht="22" customHeight="1">
      <c r="A286" s="12" t="inlineStr">
        <is>
          <t>CUL-0282</t>
        </is>
      </c>
      <c r="B286" s="11" t="n">
        <v>55</v>
      </c>
      <c r="C286" s="13" t="inlineStr">
        <is>
          <t>Nº 8813</t>
        </is>
      </c>
      <c r="D286" s="14" t="inlineStr">
        <is>
          <t>ORKESTRA</t>
        </is>
      </c>
      <c r="E286" s="13" t="inlineStr">
        <is>
          <t>Pulverização Agrícola Conforme Bula</t>
        </is>
      </c>
      <c r="F286" s="13" t="inlineStr">
        <is>
          <t>Algodão</t>
        </is>
      </c>
      <c r="G286" s="13" t="inlineStr">
        <is>
          <t>Cultura Autorizada na Bula</t>
        </is>
      </c>
      <c r="H286" s="13" t="inlineStr">
        <is>
          <t>100 a 300 L/ha</t>
        </is>
      </c>
      <c r="I286" s="13" t="inlineStr">
        <is>
          <t>20 a 40 L/ha</t>
        </is>
      </c>
      <c r="J286" s="13" t="inlineStr">
        <is>
          <t>30 dias</t>
        </is>
      </c>
    </row>
    <row r="287" ht="22" customHeight="1">
      <c r="A287" s="6" t="inlineStr">
        <is>
          <t>CUL-0283</t>
        </is>
      </c>
      <c r="B287" s="5" t="n">
        <v>55</v>
      </c>
      <c r="C287" s="7" t="inlineStr">
        <is>
          <t>Nº 8813</t>
        </is>
      </c>
      <c r="D287" s="8" t="inlineStr">
        <is>
          <t>ORKESTRA</t>
        </is>
      </c>
      <c r="E287" s="7" t="inlineStr">
        <is>
          <t>Pulverização Agrícola Conforme Bula</t>
        </is>
      </c>
      <c r="F287" s="7" t="inlineStr">
        <is>
          <t>Trigo</t>
        </is>
      </c>
      <c r="G287" s="7" t="inlineStr">
        <is>
          <t>Cultura Autorizada na Bula</t>
        </is>
      </c>
      <c r="H287" s="7" t="inlineStr">
        <is>
          <t>100 a 300 L/ha</t>
        </is>
      </c>
      <c r="I287" s="7" t="inlineStr">
        <is>
          <t>20 a 40 L/ha</t>
        </is>
      </c>
      <c r="J287" s="7" t="inlineStr">
        <is>
          <t>30 dias</t>
        </is>
      </c>
    </row>
    <row r="288" ht="22" customHeight="1">
      <c r="A288" s="12" t="inlineStr">
        <is>
          <t>CUL-0284</t>
        </is>
      </c>
      <c r="B288" s="11" t="n">
        <v>55</v>
      </c>
      <c r="C288" s="13" t="inlineStr">
        <is>
          <t>Nº 8813</t>
        </is>
      </c>
      <c r="D288" s="14" t="inlineStr">
        <is>
          <t>ORKESTRA</t>
        </is>
      </c>
      <c r="E288" s="13" t="inlineStr">
        <is>
          <t>Pulverização Agrícola Conforme Bula</t>
        </is>
      </c>
      <c r="F288" s="13" t="inlineStr">
        <is>
          <t>Feijão</t>
        </is>
      </c>
      <c r="G288" s="13" t="inlineStr">
        <is>
          <t>Cultura Autorizada na Bula</t>
        </is>
      </c>
      <c r="H288" s="13" t="inlineStr">
        <is>
          <t>100 a 300 L/ha</t>
        </is>
      </c>
      <c r="I288" s="13" t="inlineStr">
        <is>
          <t>20 a 40 L/ha</t>
        </is>
      </c>
      <c r="J288" s="13" t="inlineStr">
        <is>
          <t>14 dias</t>
        </is>
      </c>
    </row>
    <row r="289" ht="22" customHeight="1">
      <c r="A289" s="6" t="inlineStr">
        <is>
          <t>CUL-0285</t>
        </is>
      </c>
      <c r="B289" s="5" t="n">
        <v>56</v>
      </c>
      <c r="C289" s="7" t="inlineStr">
        <is>
          <t>Nº 25119</t>
        </is>
      </c>
      <c r="D289" s="8" t="inlineStr">
        <is>
          <t>GLIFOSATO 72WG ALAMOS</t>
        </is>
      </c>
      <c r="E289" s="7" t="inlineStr">
        <is>
          <t>Pulverização Agrícola Conforme Bula</t>
        </is>
      </c>
      <c r="F289" s="7" t="inlineStr">
        <is>
          <t>Soja (Pré-Plantio / OGM)</t>
        </is>
      </c>
      <c r="G289" s="7" t="inlineStr">
        <is>
          <t>Cultura Autorizada na Bula</t>
        </is>
      </c>
      <c r="H289" s="7" t="inlineStr">
        <is>
          <t>100 a 300 L/ha</t>
        </is>
      </c>
      <c r="I289" s="7" t="inlineStr">
        <is>
          <t>20 a 40 L/ha</t>
        </is>
      </c>
      <c r="J289" s="7" t="inlineStr">
        <is>
          <t>56 dias</t>
        </is>
      </c>
    </row>
    <row r="290" ht="22" customHeight="1">
      <c r="A290" s="12" t="inlineStr">
        <is>
          <t>CUL-0286</t>
        </is>
      </c>
      <c r="B290" s="11" t="n">
        <v>56</v>
      </c>
      <c r="C290" s="13" t="inlineStr">
        <is>
          <t>Nº 25119</t>
        </is>
      </c>
      <c r="D290" s="14" t="inlineStr">
        <is>
          <t>GLIFOSATO 72WG ALAMOS</t>
        </is>
      </c>
      <c r="E290" s="13" t="inlineStr">
        <is>
          <t>Pulverização Agrícola Conforme Bula</t>
        </is>
      </c>
      <c r="F290" s="13" t="inlineStr">
        <is>
          <t>Milho (Pré-Plantio / OGM)</t>
        </is>
      </c>
      <c r="G290" s="13" t="inlineStr">
        <is>
          <t>Cultura Autorizada na Bula</t>
        </is>
      </c>
      <c r="H290" s="13" t="inlineStr">
        <is>
          <t>100 a 300 L/ha</t>
        </is>
      </c>
      <c r="I290" s="13" t="inlineStr">
        <is>
          <t>20 a 40 L/ha</t>
        </is>
      </c>
      <c r="J290" s="13" t="inlineStr">
        <is>
          <t>90 dias</t>
        </is>
      </c>
    </row>
    <row r="291" ht="22" customHeight="1">
      <c r="A291" s="6" t="inlineStr">
        <is>
          <t>CUL-0287</t>
        </is>
      </c>
      <c r="B291" s="5" t="n">
        <v>56</v>
      </c>
      <c r="C291" s="7" t="inlineStr">
        <is>
          <t>Nº 25119</t>
        </is>
      </c>
      <c r="D291" s="8" t="inlineStr">
        <is>
          <t>GLIFOSATO 72WG ALAMOS</t>
        </is>
      </c>
      <c r="E291" s="7" t="inlineStr">
        <is>
          <t>Pulverização Agrícola Conforme Bula</t>
        </is>
      </c>
      <c r="F291" s="7" t="inlineStr">
        <is>
          <t>Algodão (Pré-Plantio / OGM)</t>
        </is>
      </c>
      <c r="G291" s="7" t="inlineStr">
        <is>
          <t>Cultura Autorizada na Bula</t>
        </is>
      </c>
      <c r="H291" s="7" t="inlineStr">
        <is>
          <t>100 a 300 L/ha</t>
        </is>
      </c>
      <c r="I291" s="7" t="inlineStr">
        <is>
          <t>20 a 40 L/ha</t>
        </is>
      </c>
      <c r="J291" s="7" t="inlineStr">
        <is>
          <t>130 dias</t>
        </is>
      </c>
    </row>
    <row r="292" ht="22" customHeight="1">
      <c r="A292" s="12" t="inlineStr">
        <is>
          <t>CUL-0288</t>
        </is>
      </c>
      <c r="B292" s="11" t="n">
        <v>56</v>
      </c>
      <c r="C292" s="13" t="inlineStr">
        <is>
          <t>Nº 25119</t>
        </is>
      </c>
      <c r="D292" s="14" t="inlineStr">
        <is>
          <t>GLIFOSATO 72WG ALAMOS</t>
        </is>
      </c>
      <c r="E292" s="13" t="inlineStr">
        <is>
          <t>Pulverização Agrícola Conforme Bula</t>
        </is>
      </c>
      <c r="F292" s="13" t="inlineStr">
        <is>
          <t>Cana-de-açúcar</t>
        </is>
      </c>
      <c r="G292" s="13" t="inlineStr">
        <is>
          <t>Cultura Autorizada na Bula</t>
        </is>
      </c>
      <c r="H292" s="13" t="inlineStr">
        <is>
          <t>100 a 300 L/ha</t>
        </is>
      </c>
      <c r="I292" s="13" t="inlineStr">
        <is>
          <t>20 a 40 L/ha</t>
        </is>
      </c>
      <c r="J292" s="13" t="inlineStr">
        <is>
          <t>N/D</t>
        </is>
      </c>
    </row>
    <row r="293" ht="22" customHeight="1">
      <c r="A293" s="6" t="inlineStr">
        <is>
          <t>CUL-0289</t>
        </is>
      </c>
      <c r="B293" s="5" t="n">
        <v>56</v>
      </c>
      <c r="C293" s="7" t="inlineStr">
        <is>
          <t>Nº 25119</t>
        </is>
      </c>
      <c r="D293" s="8" t="inlineStr">
        <is>
          <t>GLIFOSATO 72WG ALAMOS</t>
        </is>
      </c>
      <c r="E293" s="7" t="inlineStr">
        <is>
          <t>Pulverização Agrícola Conforme Bula</t>
        </is>
      </c>
      <c r="F293" s="7" t="inlineStr">
        <is>
          <t>Café (Jato Dirigido)</t>
        </is>
      </c>
      <c r="G293" s="7" t="inlineStr">
        <is>
          <t>Cultura Autorizada na Bula</t>
        </is>
      </c>
      <c r="H293" s="7" t="inlineStr">
        <is>
          <t>100 a 300 L/ha</t>
        </is>
      </c>
      <c r="I293" s="7" t="inlineStr">
        <is>
          <t>20 a 40 L/ha</t>
        </is>
      </c>
      <c r="J293" s="7" t="inlineStr">
        <is>
          <t>15 dias</t>
        </is>
      </c>
    </row>
    <row r="294" ht="22" customHeight="1">
      <c r="A294" s="12" t="inlineStr">
        <is>
          <t>CUL-0290</t>
        </is>
      </c>
      <c r="B294" s="11" t="n">
        <v>56</v>
      </c>
      <c r="C294" s="13" t="inlineStr">
        <is>
          <t>Nº 25119</t>
        </is>
      </c>
      <c r="D294" s="14" t="inlineStr">
        <is>
          <t>GLIFOSATO 72WG ALAMOS</t>
        </is>
      </c>
      <c r="E294" s="13" t="inlineStr">
        <is>
          <t>Pulverização Agrícola Conforme Bula</t>
        </is>
      </c>
      <c r="F294" s="13" t="inlineStr">
        <is>
          <t>Citros (Jato Dirigido)</t>
        </is>
      </c>
      <c r="G294" s="13" t="inlineStr">
        <is>
          <t>Cultura Autorizada na Bula</t>
        </is>
      </c>
      <c r="H294" s="13" t="inlineStr">
        <is>
          <t>100 a 300 L/ha</t>
        </is>
      </c>
      <c r="I294" s="13" t="inlineStr">
        <is>
          <t>20 a 40 L/ha</t>
        </is>
      </c>
      <c r="J294" s="13" t="inlineStr">
        <is>
          <t>30 dias</t>
        </is>
      </c>
    </row>
    <row r="295" ht="22" customHeight="1">
      <c r="A295" s="6" t="inlineStr">
        <is>
          <t>CUL-0291</t>
        </is>
      </c>
      <c r="B295" s="5" t="n">
        <v>56</v>
      </c>
      <c r="C295" s="7" t="inlineStr">
        <is>
          <t>Nº 25119</t>
        </is>
      </c>
      <c r="D295" s="8" t="inlineStr">
        <is>
          <t>GLIFOSATO 72WG ALAMOS</t>
        </is>
      </c>
      <c r="E295" s="7" t="inlineStr">
        <is>
          <t>Pulverização Agrícola Conforme Bula</t>
        </is>
      </c>
      <c r="F295" s="7" t="inlineStr">
        <is>
          <t>Trigo (Pré-Plantio)</t>
        </is>
      </c>
      <c r="G295" s="7" t="inlineStr">
        <is>
          <t>Cultura Autorizada na Bula</t>
        </is>
      </c>
      <c r="H295" s="7" t="inlineStr">
        <is>
          <t>100 a 300 L/ha</t>
        </is>
      </c>
      <c r="I295" s="7" t="inlineStr">
        <is>
          <t>20 a 40 L/ha</t>
        </is>
      </c>
      <c r="J295" s="7" t="inlineStr">
        <is>
          <t>N/D</t>
        </is>
      </c>
    </row>
    <row r="296" ht="22" customHeight="1">
      <c r="A296" s="12" t="inlineStr">
        <is>
          <t>CUL-0292</t>
        </is>
      </c>
      <c r="B296" s="11" t="n">
        <v>56</v>
      </c>
      <c r="C296" s="13" t="inlineStr">
        <is>
          <t>Nº 25119</t>
        </is>
      </c>
      <c r="D296" s="14" t="inlineStr">
        <is>
          <t>GLIFOSATO 72WG ALAMOS</t>
        </is>
      </c>
      <c r="E296" s="13" t="inlineStr">
        <is>
          <t>Pulverização Agrícola Conforme Bula</t>
        </is>
      </c>
      <c r="F296" s="13" t="inlineStr">
        <is>
          <t>Pastagens</t>
        </is>
      </c>
      <c r="G296" s="13" t="inlineStr">
        <is>
          <t>Cultura Autorizada na Bula</t>
        </is>
      </c>
      <c r="H296" s="13" t="inlineStr">
        <is>
          <t>100 a 300 L/ha</t>
        </is>
      </c>
      <c r="I296" s="13" t="inlineStr">
        <is>
          <t>20 a 40 L/ha</t>
        </is>
      </c>
      <c r="J296" s="13" t="inlineStr">
        <is>
          <t>N/D</t>
        </is>
      </c>
    </row>
    <row r="297" ht="22" customHeight="1">
      <c r="A297" s="6" t="inlineStr">
        <is>
          <t>CUL-0293</t>
        </is>
      </c>
      <c r="B297" s="5" t="n">
        <v>57</v>
      </c>
      <c r="C297" s="7" t="inlineStr">
        <is>
          <t>Nº 36518</t>
        </is>
      </c>
      <c r="D297" s="8" t="inlineStr">
        <is>
          <t>MAXIZATO</t>
        </is>
      </c>
      <c r="E297" s="7" t="inlineStr">
        <is>
          <t>Pulverização Agrícola Conforme Bula</t>
        </is>
      </c>
      <c r="F297" s="7" t="inlineStr">
        <is>
          <t>Soja (Pré-Plantio / OGM)</t>
        </is>
      </c>
      <c r="G297" s="7" t="inlineStr">
        <is>
          <t>Cultura Autorizada na Bula</t>
        </is>
      </c>
      <c r="H297" s="7" t="inlineStr">
        <is>
          <t>100 a 300 L/ha</t>
        </is>
      </c>
      <c r="I297" s="7" t="inlineStr">
        <is>
          <t>20 a 40 L/ha</t>
        </is>
      </c>
      <c r="J297" s="7" t="inlineStr">
        <is>
          <t>56 dias</t>
        </is>
      </c>
    </row>
    <row r="298" ht="22" customHeight="1">
      <c r="A298" s="12" t="inlineStr">
        <is>
          <t>CUL-0294</t>
        </is>
      </c>
      <c r="B298" s="11" t="n">
        <v>57</v>
      </c>
      <c r="C298" s="13" t="inlineStr">
        <is>
          <t>Nº 36518</t>
        </is>
      </c>
      <c r="D298" s="14" t="inlineStr">
        <is>
          <t>MAXIZATO</t>
        </is>
      </c>
      <c r="E298" s="13" t="inlineStr">
        <is>
          <t>Pulverização Agrícola Conforme Bula</t>
        </is>
      </c>
      <c r="F298" s="13" t="inlineStr">
        <is>
          <t>Milho (Pré-Plantio / OGM)</t>
        </is>
      </c>
      <c r="G298" s="13" t="inlineStr">
        <is>
          <t>Cultura Autorizada na Bula</t>
        </is>
      </c>
      <c r="H298" s="13" t="inlineStr">
        <is>
          <t>100 a 300 L/ha</t>
        </is>
      </c>
      <c r="I298" s="13" t="inlineStr">
        <is>
          <t>20 a 40 L/ha</t>
        </is>
      </c>
      <c r="J298" s="13" t="inlineStr">
        <is>
          <t>90 dias</t>
        </is>
      </c>
    </row>
    <row r="299" ht="22" customHeight="1">
      <c r="A299" s="6" t="inlineStr">
        <is>
          <t>CUL-0295</t>
        </is>
      </c>
      <c r="B299" s="5" t="n">
        <v>57</v>
      </c>
      <c r="C299" s="7" t="inlineStr">
        <is>
          <t>Nº 36518</t>
        </is>
      </c>
      <c r="D299" s="8" t="inlineStr">
        <is>
          <t>MAXIZATO</t>
        </is>
      </c>
      <c r="E299" s="7" t="inlineStr">
        <is>
          <t>Pulverização Agrícola Conforme Bula</t>
        </is>
      </c>
      <c r="F299" s="7" t="inlineStr">
        <is>
          <t>Algodão (Pré-Plantio / OGM)</t>
        </is>
      </c>
      <c r="G299" s="7" t="inlineStr">
        <is>
          <t>Cultura Autorizada na Bula</t>
        </is>
      </c>
      <c r="H299" s="7" t="inlineStr">
        <is>
          <t>100 a 300 L/ha</t>
        </is>
      </c>
      <c r="I299" s="7" t="inlineStr">
        <is>
          <t>20 a 40 L/ha</t>
        </is>
      </c>
      <c r="J299" s="7" t="inlineStr">
        <is>
          <t>130 dias</t>
        </is>
      </c>
    </row>
    <row r="300" ht="22" customHeight="1">
      <c r="A300" s="12" t="inlineStr">
        <is>
          <t>CUL-0296</t>
        </is>
      </c>
      <c r="B300" s="11" t="n">
        <v>57</v>
      </c>
      <c r="C300" s="13" t="inlineStr">
        <is>
          <t>Nº 36518</t>
        </is>
      </c>
      <c r="D300" s="14" t="inlineStr">
        <is>
          <t>MAXIZATO</t>
        </is>
      </c>
      <c r="E300" s="13" t="inlineStr">
        <is>
          <t>Pulverização Agrícola Conforme Bula</t>
        </is>
      </c>
      <c r="F300" s="13" t="inlineStr">
        <is>
          <t>Cana-de-açúcar</t>
        </is>
      </c>
      <c r="G300" s="13" t="inlineStr">
        <is>
          <t>Cultura Autorizada na Bula</t>
        </is>
      </c>
      <c r="H300" s="13" t="inlineStr">
        <is>
          <t>100 a 300 L/ha</t>
        </is>
      </c>
      <c r="I300" s="13" t="inlineStr">
        <is>
          <t>20 a 40 L/ha</t>
        </is>
      </c>
      <c r="J300" s="13" t="inlineStr">
        <is>
          <t>N/D</t>
        </is>
      </c>
    </row>
    <row r="301" ht="22" customHeight="1">
      <c r="A301" s="6" t="inlineStr">
        <is>
          <t>CUL-0297</t>
        </is>
      </c>
      <c r="B301" s="5" t="n">
        <v>57</v>
      </c>
      <c r="C301" s="7" t="inlineStr">
        <is>
          <t>Nº 36518</t>
        </is>
      </c>
      <c r="D301" s="8" t="inlineStr">
        <is>
          <t>MAXIZATO</t>
        </is>
      </c>
      <c r="E301" s="7" t="inlineStr">
        <is>
          <t>Pulverização Agrícola Conforme Bula</t>
        </is>
      </c>
      <c r="F301" s="7" t="inlineStr">
        <is>
          <t>Café (Jato Dirigido)</t>
        </is>
      </c>
      <c r="G301" s="7" t="inlineStr">
        <is>
          <t>Cultura Autorizada na Bula</t>
        </is>
      </c>
      <c r="H301" s="7" t="inlineStr">
        <is>
          <t>100 a 300 L/ha</t>
        </is>
      </c>
      <c r="I301" s="7" t="inlineStr">
        <is>
          <t>20 a 40 L/ha</t>
        </is>
      </c>
      <c r="J301" s="7" t="inlineStr">
        <is>
          <t>15 dias</t>
        </is>
      </c>
    </row>
    <row r="302" ht="22" customHeight="1">
      <c r="A302" s="12" t="inlineStr">
        <is>
          <t>CUL-0298</t>
        </is>
      </c>
      <c r="B302" s="11" t="n">
        <v>57</v>
      </c>
      <c r="C302" s="13" t="inlineStr">
        <is>
          <t>Nº 36518</t>
        </is>
      </c>
      <c r="D302" s="14" t="inlineStr">
        <is>
          <t>MAXIZATO</t>
        </is>
      </c>
      <c r="E302" s="13" t="inlineStr">
        <is>
          <t>Pulverização Agrícola Conforme Bula</t>
        </is>
      </c>
      <c r="F302" s="13" t="inlineStr">
        <is>
          <t>Citros (Jato Dirigido)</t>
        </is>
      </c>
      <c r="G302" s="13" t="inlineStr">
        <is>
          <t>Cultura Autorizada na Bula</t>
        </is>
      </c>
      <c r="H302" s="13" t="inlineStr">
        <is>
          <t>100 a 300 L/ha</t>
        </is>
      </c>
      <c r="I302" s="13" t="inlineStr">
        <is>
          <t>20 a 40 L/ha</t>
        </is>
      </c>
      <c r="J302" s="13" t="inlineStr">
        <is>
          <t>30 dias</t>
        </is>
      </c>
    </row>
    <row r="303" ht="22" customHeight="1">
      <c r="A303" s="6" t="inlineStr">
        <is>
          <t>CUL-0299</t>
        </is>
      </c>
      <c r="B303" s="5" t="n">
        <v>57</v>
      </c>
      <c r="C303" s="7" t="inlineStr">
        <is>
          <t>Nº 36518</t>
        </is>
      </c>
      <c r="D303" s="8" t="inlineStr">
        <is>
          <t>MAXIZATO</t>
        </is>
      </c>
      <c r="E303" s="7" t="inlineStr">
        <is>
          <t>Pulverização Agrícola Conforme Bula</t>
        </is>
      </c>
      <c r="F303" s="7" t="inlineStr">
        <is>
          <t>Trigo (Pré-Plantio)</t>
        </is>
      </c>
      <c r="G303" s="7" t="inlineStr">
        <is>
          <t>Cultura Autorizada na Bula</t>
        </is>
      </c>
      <c r="H303" s="7" t="inlineStr">
        <is>
          <t>100 a 300 L/ha</t>
        </is>
      </c>
      <c r="I303" s="7" t="inlineStr">
        <is>
          <t>20 a 40 L/ha</t>
        </is>
      </c>
      <c r="J303" s="7" t="inlineStr">
        <is>
          <t>N/D</t>
        </is>
      </c>
    </row>
    <row r="304" ht="22" customHeight="1">
      <c r="A304" s="12" t="inlineStr">
        <is>
          <t>CUL-0300</t>
        </is>
      </c>
      <c r="B304" s="11" t="n">
        <v>57</v>
      </c>
      <c r="C304" s="13" t="inlineStr">
        <is>
          <t>Nº 36518</t>
        </is>
      </c>
      <c r="D304" s="14" t="inlineStr">
        <is>
          <t>MAXIZATO</t>
        </is>
      </c>
      <c r="E304" s="13" t="inlineStr">
        <is>
          <t>Pulverização Agrícola Conforme Bula</t>
        </is>
      </c>
      <c r="F304" s="13" t="inlineStr">
        <is>
          <t>Pastagens</t>
        </is>
      </c>
      <c r="G304" s="13" t="inlineStr">
        <is>
          <t>Cultura Autorizada na Bula</t>
        </is>
      </c>
      <c r="H304" s="13" t="inlineStr">
        <is>
          <t>100 a 300 L/ha</t>
        </is>
      </c>
      <c r="I304" s="13" t="inlineStr">
        <is>
          <t>20 a 40 L/ha</t>
        </is>
      </c>
      <c r="J304" s="13" t="inlineStr">
        <is>
          <t>N/D</t>
        </is>
      </c>
    </row>
    <row r="305" ht="22" customHeight="1">
      <c r="A305" s="6" t="inlineStr">
        <is>
          <t>CUL-0301</t>
        </is>
      </c>
      <c r="B305" s="5" t="n">
        <v>58</v>
      </c>
      <c r="C305" s="7" t="inlineStr">
        <is>
          <t>Nº 28520</t>
        </is>
      </c>
      <c r="D305" s="8" t="inlineStr">
        <is>
          <t>SENHA 720 WG</t>
        </is>
      </c>
      <c r="E305" s="7" t="inlineStr">
        <is>
          <t>Pulverização Agrícola Conforme Bula</t>
        </is>
      </c>
      <c r="F305" s="7" t="inlineStr">
        <is>
          <t>Soja (Pré-Plantio / OGM)</t>
        </is>
      </c>
      <c r="G305" s="7" t="inlineStr">
        <is>
          <t>Cultura Autorizada na Bula</t>
        </is>
      </c>
      <c r="H305" s="7" t="inlineStr">
        <is>
          <t>100 a 300 L/ha</t>
        </is>
      </c>
      <c r="I305" s="7" t="inlineStr">
        <is>
          <t>20 a 40 L/ha</t>
        </is>
      </c>
      <c r="J305" s="7" t="inlineStr">
        <is>
          <t>56 dias</t>
        </is>
      </c>
    </row>
    <row r="306" ht="22" customHeight="1">
      <c r="A306" s="12" t="inlineStr">
        <is>
          <t>CUL-0302</t>
        </is>
      </c>
      <c r="B306" s="11" t="n">
        <v>58</v>
      </c>
      <c r="C306" s="13" t="inlineStr">
        <is>
          <t>Nº 28520</t>
        </is>
      </c>
      <c r="D306" s="14" t="inlineStr">
        <is>
          <t>SENHA 720 WG</t>
        </is>
      </c>
      <c r="E306" s="13" t="inlineStr">
        <is>
          <t>Pulverização Agrícola Conforme Bula</t>
        </is>
      </c>
      <c r="F306" s="13" t="inlineStr">
        <is>
          <t>Milho (Pré-Plantio / OGM)</t>
        </is>
      </c>
      <c r="G306" s="13" t="inlineStr">
        <is>
          <t>Cultura Autorizada na Bula</t>
        </is>
      </c>
      <c r="H306" s="13" t="inlineStr">
        <is>
          <t>100 a 300 L/ha</t>
        </is>
      </c>
      <c r="I306" s="13" t="inlineStr">
        <is>
          <t>20 a 40 L/ha</t>
        </is>
      </c>
      <c r="J306" s="13" t="inlineStr">
        <is>
          <t>90 dias</t>
        </is>
      </c>
    </row>
    <row r="307" ht="22" customHeight="1">
      <c r="A307" s="6" t="inlineStr">
        <is>
          <t>CUL-0303</t>
        </is>
      </c>
      <c r="B307" s="5" t="n">
        <v>58</v>
      </c>
      <c r="C307" s="7" t="inlineStr">
        <is>
          <t>Nº 28520</t>
        </is>
      </c>
      <c r="D307" s="8" t="inlineStr">
        <is>
          <t>SENHA 720 WG</t>
        </is>
      </c>
      <c r="E307" s="7" t="inlineStr">
        <is>
          <t>Pulverização Agrícola Conforme Bula</t>
        </is>
      </c>
      <c r="F307" s="7" t="inlineStr">
        <is>
          <t>Algodão (Pré-Plantio / OGM)</t>
        </is>
      </c>
      <c r="G307" s="7" t="inlineStr">
        <is>
          <t>Cultura Autorizada na Bula</t>
        </is>
      </c>
      <c r="H307" s="7" t="inlineStr">
        <is>
          <t>100 a 300 L/ha</t>
        </is>
      </c>
      <c r="I307" s="7" t="inlineStr">
        <is>
          <t>20 a 40 L/ha</t>
        </is>
      </c>
      <c r="J307" s="7" t="inlineStr">
        <is>
          <t>130 dias</t>
        </is>
      </c>
    </row>
    <row r="308" ht="22" customHeight="1">
      <c r="A308" s="12" t="inlineStr">
        <is>
          <t>CUL-0304</t>
        </is>
      </c>
      <c r="B308" s="11" t="n">
        <v>58</v>
      </c>
      <c r="C308" s="13" t="inlineStr">
        <is>
          <t>Nº 28520</t>
        </is>
      </c>
      <c r="D308" s="14" t="inlineStr">
        <is>
          <t>SENHA 720 WG</t>
        </is>
      </c>
      <c r="E308" s="13" t="inlineStr">
        <is>
          <t>Pulverização Agrícola Conforme Bula</t>
        </is>
      </c>
      <c r="F308" s="13" t="inlineStr">
        <is>
          <t>Cana-de-açúcar</t>
        </is>
      </c>
      <c r="G308" s="13" t="inlineStr">
        <is>
          <t>Cultura Autorizada na Bula</t>
        </is>
      </c>
      <c r="H308" s="13" t="inlineStr">
        <is>
          <t>100 a 300 L/ha</t>
        </is>
      </c>
      <c r="I308" s="13" t="inlineStr">
        <is>
          <t>20 a 40 L/ha</t>
        </is>
      </c>
      <c r="J308" s="13" t="inlineStr">
        <is>
          <t>N/D</t>
        </is>
      </c>
    </row>
    <row r="309" ht="22" customHeight="1">
      <c r="A309" s="6" t="inlineStr">
        <is>
          <t>CUL-0305</t>
        </is>
      </c>
      <c r="B309" s="5" t="n">
        <v>58</v>
      </c>
      <c r="C309" s="7" t="inlineStr">
        <is>
          <t>Nº 28520</t>
        </is>
      </c>
      <c r="D309" s="8" t="inlineStr">
        <is>
          <t>SENHA 720 WG</t>
        </is>
      </c>
      <c r="E309" s="7" t="inlineStr">
        <is>
          <t>Pulverização Agrícola Conforme Bula</t>
        </is>
      </c>
      <c r="F309" s="7" t="inlineStr">
        <is>
          <t>Café (Jato Dirigido)</t>
        </is>
      </c>
      <c r="G309" s="7" t="inlineStr">
        <is>
          <t>Cultura Autorizada na Bula</t>
        </is>
      </c>
      <c r="H309" s="7" t="inlineStr">
        <is>
          <t>100 a 300 L/ha</t>
        </is>
      </c>
      <c r="I309" s="7" t="inlineStr">
        <is>
          <t>20 a 40 L/ha</t>
        </is>
      </c>
      <c r="J309" s="7" t="inlineStr">
        <is>
          <t>15 dias</t>
        </is>
      </c>
    </row>
    <row r="310" ht="22" customHeight="1">
      <c r="A310" s="12" t="inlineStr">
        <is>
          <t>CUL-0306</t>
        </is>
      </c>
      <c r="B310" s="11" t="n">
        <v>58</v>
      </c>
      <c r="C310" s="13" t="inlineStr">
        <is>
          <t>Nº 28520</t>
        </is>
      </c>
      <c r="D310" s="14" t="inlineStr">
        <is>
          <t>SENHA 720 WG</t>
        </is>
      </c>
      <c r="E310" s="13" t="inlineStr">
        <is>
          <t>Pulverização Agrícola Conforme Bula</t>
        </is>
      </c>
      <c r="F310" s="13" t="inlineStr">
        <is>
          <t>Citros (Jato Dirigido)</t>
        </is>
      </c>
      <c r="G310" s="13" t="inlineStr">
        <is>
          <t>Cultura Autorizada na Bula</t>
        </is>
      </c>
      <c r="H310" s="13" t="inlineStr">
        <is>
          <t>100 a 300 L/ha</t>
        </is>
      </c>
      <c r="I310" s="13" t="inlineStr">
        <is>
          <t>20 a 40 L/ha</t>
        </is>
      </c>
      <c r="J310" s="13" t="inlineStr">
        <is>
          <t>30 dias</t>
        </is>
      </c>
    </row>
    <row r="311" ht="22" customHeight="1">
      <c r="A311" s="6" t="inlineStr">
        <is>
          <t>CUL-0307</t>
        </is>
      </c>
      <c r="B311" s="5" t="n">
        <v>58</v>
      </c>
      <c r="C311" s="7" t="inlineStr">
        <is>
          <t>Nº 28520</t>
        </is>
      </c>
      <c r="D311" s="8" t="inlineStr">
        <is>
          <t>SENHA 720 WG</t>
        </is>
      </c>
      <c r="E311" s="7" t="inlineStr">
        <is>
          <t>Pulverização Agrícola Conforme Bula</t>
        </is>
      </c>
      <c r="F311" s="7" t="inlineStr">
        <is>
          <t>Trigo (Pré-Plantio)</t>
        </is>
      </c>
      <c r="G311" s="7" t="inlineStr">
        <is>
          <t>Cultura Autorizada na Bula</t>
        </is>
      </c>
      <c r="H311" s="7" t="inlineStr">
        <is>
          <t>100 a 300 L/ha</t>
        </is>
      </c>
      <c r="I311" s="7" t="inlineStr">
        <is>
          <t>20 a 40 L/ha</t>
        </is>
      </c>
      <c r="J311" s="7" t="inlineStr">
        <is>
          <t>N/D</t>
        </is>
      </c>
    </row>
    <row r="312" ht="22" customHeight="1">
      <c r="A312" s="12" t="inlineStr">
        <is>
          <t>CUL-0308</t>
        </is>
      </c>
      <c r="B312" s="11" t="n">
        <v>58</v>
      </c>
      <c r="C312" s="13" t="inlineStr">
        <is>
          <t>Nº 28520</t>
        </is>
      </c>
      <c r="D312" s="14" t="inlineStr">
        <is>
          <t>SENHA 720 WG</t>
        </is>
      </c>
      <c r="E312" s="13" t="inlineStr">
        <is>
          <t>Pulverização Agrícola Conforme Bula</t>
        </is>
      </c>
      <c r="F312" s="13" t="inlineStr">
        <is>
          <t>Pastagens</t>
        </is>
      </c>
      <c r="G312" s="13" t="inlineStr">
        <is>
          <t>Cultura Autorizada na Bula</t>
        </is>
      </c>
      <c r="H312" s="13" t="inlineStr">
        <is>
          <t>100 a 300 L/ha</t>
        </is>
      </c>
      <c r="I312" s="13" t="inlineStr">
        <is>
          <t>20 a 40 L/ha</t>
        </is>
      </c>
      <c r="J312" s="13" t="inlineStr">
        <is>
          <t>N/D</t>
        </is>
      </c>
    </row>
    <row r="313" ht="22" customHeight="1">
      <c r="A313" s="6" t="inlineStr">
        <is>
          <t>CUL-0309</t>
        </is>
      </c>
      <c r="B313" s="5" t="n">
        <v>59</v>
      </c>
      <c r="C313" s="7" t="inlineStr">
        <is>
          <t>Nº 13714</t>
        </is>
      </c>
      <c r="D313" s="8" t="inlineStr">
        <is>
          <t>WIPE OUT</t>
        </is>
      </c>
      <c r="E313" s="7" t="inlineStr">
        <is>
          <t>Pulverização Agrícola Conforme Bula</t>
        </is>
      </c>
      <c r="F313" s="7" t="inlineStr">
        <is>
          <t>Soja (Pré-Plantio / OGM)</t>
        </is>
      </c>
      <c r="G313" s="7" t="inlineStr">
        <is>
          <t>Cultura Autorizada na Bula</t>
        </is>
      </c>
      <c r="H313" s="7" t="inlineStr">
        <is>
          <t>100 a 300 L/ha</t>
        </is>
      </c>
      <c r="I313" s="7" t="inlineStr">
        <is>
          <t>20 a 40 L/ha</t>
        </is>
      </c>
      <c r="J313" s="7" t="inlineStr">
        <is>
          <t>56 dias</t>
        </is>
      </c>
    </row>
    <row r="314" ht="22" customHeight="1">
      <c r="A314" s="12" t="inlineStr">
        <is>
          <t>CUL-0310</t>
        </is>
      </c>
      <c r="B314" s="11" t="n">
        <v>59</v>
      </c>
      <c r="C314" s="13" t="inlineStr">
        <is>
          <t>Nº 13714</t>
        </is>
      </c>
      <c r="D314" s="14" t="inlineStr">
        <is>
          <t>WIPE OUT</t>
        </is>
      </c>
      <c r="E314" s="13" t="inlineStr">
        <is>
          <t>Pulverização Agrícola Conforme Bula</t>
        </is>
      </c>
      <c r="F314" s="13" t="inlineStr">
        <is>
          <t>Milho (Pré-Plantio / OGM)</t>
        </is>
      </c>
      <c r="G314" s="13" t="inlineStr">
        <is>
          <t>Cultura Autorizada na Bula</t>
        </is>
      </c>
      <c r="H314" s="13" t="inlineStr">
        <is>
          <t>100 a 300 L/ha</t>
        </is>
      </c>
      <c r="I314" s="13" t="inlineStr">
        <is>
          <t>20 a 40 L/ha</t>
        </is>
      </c>
      <c r="J314" s="13" t="inlineStr">
        <is>
          <t>90 dias</t>
        </is>
      </c>
    </row>
    <row r="315" ht="22" customHeight="1">
      <c r="A315" s="6" t="inlineStr">
        <is>
          <t>CUL-0311</t>
        </is>
      </c>
      <c r="B315" s="5" t="n">
        <v>59</v>
      </c>
      <c r="C315" s="7" t="inlineStr">
        <is>
          <t>Nº 13714</t>
        </is>
      </c>
      <c r="D315" s="8" t="inlineStr">
        <is>
          <t>WIPE OUT</t>
        </is>
      </c>
      <c r="E315" s="7" t="inlineStr">
        <is>
          <t>Pulverização Agrícola Conforme Bula</t>
        </is>
      </c>
      <c r="F315" s="7" t="inlineStr">
        <is>
          <t>Algodão (Pré-Plantio / OGM)</t>
        </is>
      </c>
      <c r="G315" s="7" t="inlineStr">
        <is>
          <t>Cultura Autorizada na Bula</t>
        </is>
      </c>
      <c r="H315" s="7" t="inlineStr">
        <is>
          <t>100 a 300 L/ha</t>
        </is>
      </c>
      <c r="I315" s="7" t="inlineStr">
        <is>
          <t>20 a 40 L/ha</t>
        </is>
      </c>
      <c r="J315" s="7" t="inlineStr">
        <is>
          <t>130 dias</t>
        </is>
      </c>
    </row>
    <row r="316" ht="22" customHeight="1">
      <c r="A316" s="12" t="inlineStr">
        <is>
          <t>CUL-0312</t>
        </is>
      </c>
      <c r="B316" s="11" t="n">
        <v>59</v>
      </c>
      <c r="C316" s="13" t="inlineStr">
        <is>
          <t>Nº 13714</t>
        </is>
      </c>
      <c r="D316" s="14" t="inlineStr">
        <is>
          <t>WIPE OUT</t>
        </is>
      </c>
      <c r="E316" s="13" t="inlineStr">
        <is>
          <t>Pulverização Agrícola Conforme Bula</t>
        </is>
      </c>
      <c r="F316" s="13" t="inlineStr">
        <is>
          <t>Cana-de-açúcar</t>
        </is>
      </c>
      <c r="G316" s="13" t="inlineStr">
        <is>
          <t>Cultura Autorizada na Bula</t>
        </is>
      </c>
      <c r="H316" s="13" t="inlineStr">
        <is>
          <t>100 a 300 L/ha</t>
        </is>
      </c>
      <c r="I316" s="13" t="inlineStr">
        <is>
          <t>20 a 40 L/ha</t>
        </is>
      </c>
      <c r="J316" s="13" t="inlineStr">
        <is>
          <t>N/D</t>
        </is>
      </c>
    </row>
    <row r="317" ht="22" customHeight="1">
      <c r="A317" s="6" t="inlineStr">
        <is>
          <t>CUL-0313</t>
        </is>
      </c>
      <c r="B317" s="5" t="n">
        <v>59</v>
      </c>
      <c r="C317" s="7" t="inlineStr">
        <is>
          <t>Nº 13714</t>
        </is>
      </c>
      <c r="D317" s="8" t="inlineStr">
        <is>
          <t>WIPE OUT</t>
        </is>
      </c>
      <c r="E317" s="7" t="inlineStr">
        <is>
          <t>Pulverização Agrícola Conforme Bula</t>
        </is>
      </c>
      <c r="F317" s="7" t="inlineStr">
        <is>
          <t>Café (Jato Dirigido)</t>
        </is>
      </c>
      <c r="G317" s="7" t="inlineStr">
        <is>
          <t>Cultura Autorizada na Bula</t>
        </is>
      </c>
      <c r="H317" s="7" t="inlineStr">
        <is>
          <t>100 a 300 L/ha</t>
        </is>
      </c>
      <c r="I317" s="7" t="inlineStr">
        <is>
          <t>20 a 40 L/ha</t>
        </is>
      </c>
      <c r="J317" s="7" t="inlineStr">
        <is>
          <t>15 dias</t>
        </is>
      </c>
    </row>
    <row r="318" ht="22" customHeight="1">
      <c r="A318" s="12" t="inlineStr">
        <is>
          <t>CUL-0314</t>
        </is>
      </c>
      <c r="B318" s="11" t="n">
        <v>59</v>
      </c>
      <c r="C318" s="13" t="inlineStr">
        <is>
          <t>Nº 13714</t>
        </is>
      </c>
      <c r="D318" s="14" t="inlineStr">
        <is>
          <t>WIPE OUT</t>
        </is>
      </c>
      <c r="E318" s="13" t="inlineStr">
        <is>
          <t>Pulverização Agrícola Conforme Bula</t>
        </is>
      </c>
      <c r="F318" s="13" t="inlineStr">
        <is>
          <t>Citros (Jato Dirigido)</t>
        </is>
      </c>
      <c r="G318" s="13" t="inlineStr">
        <is>
          <t>Cultura Autorizada na Bula</t>
        </is>
      </c>
      <c r="H318" s="13" t="inlineStr">
        <is>
          <t>100 a 300 L/ha</t>
        </is>
      </c>
      <c r="I318" s="13" t="inlineStr">
        <is>
          <t>20 a 40 L/ha</t>
        </is>
      </c>
      <c r="J318" s="13" t="inlineStr">
        <is>
          <t>30 dias</t>
        </is>
      </c>
    </row>
    <row r="319" ht="22" customHeight="1">
      <c r="A319" s="6" t="inlineStr">
        <is>
          <t>CUL-0315</t>
        </is>
      </c>
      <c r="B319" s="5" t="n">
        <v>59</v>
      </c>
      <c r="C319" s="7" t="inlineStr">
        <is>
          <t>Nº 13714</t>
        </is>
      </c>
      <c r="D319" s="8" t="inlineStr">
        <is>
          <t>WIPE OUT</t>
        </is>
      </c>
      <c r="E319" s="7" t="inlineStr">
        <is>
          <t>Pulverização Agrícola Conforme Bula</t>
        </is>
      </c>
      <c r="F319" s="7" t="inlineStr">
        <is>
          <t>Trigo (Pré-Plantio)</t>
        </is>
      </c>
      <c r="G319" s="7" t="inlineStr">
        <is>
          <t>Cultura Autorizada na Bula</t>
        </is>
      </c>
      <c r="H319" s="7" t="inlineStr">
        <is>
          <t>100 a 300 L/ha</t>
        </is>
      </c>
      <c r="I319" s="7" t="inlineStr">
        <is>
          <t>20 a 40 L/ha</t>
        </is>
      </c>
      <c r="J319" s="7" t="inlineStr">
        <is>
          <t>N/D</t>
        </is>
      </c>
    </row>
    <row r="320" ht="22" customHeight="1">
      <c r="A320" s="12" t="inlineStr">
        <is>
          <t>CUL-0316</t>
        </is>
      </c>
      <c r="B320" s="11" t="n">
        <v>59</v>
      </c>
      <c r="C320" s="13" t="inlineStr">
        <is>
          <t>Nº 13714</t>
        </is>
      </c>
      <c r="D320" s="14" t="inlineStr">
        <is>
          <t>WIPE OUT</t>
        </is>
      </c>
      <c r="E320" s="13" t="inlineStr">
        <is>
          <t>Pulverização Agrícola Conforme Bula</t>
        </is>
      </c>
      <c r="F320" s="13" t="inlineStr">
        <is>
          <t>Pastagens</t>
        </is>
      </c>
      <c r="G320" s="13" t="inlineStr">
        <is>
          <t>Cultura Autorizada na Bula</t>
        </is>
      </c>
      <c r="H320" s="13" t="inlineStr">
        <is>
          <t>100 a 300 L/ha</t>
        </is>
      </c>
      <c r="I320" s="13" t="inlineStr">
        <is>
          <t>20 a 40 L/ha</t>
        </is>
      </c>
      <c r="J320" s="13" t="inlineStr">
        <is>
          <t>N/D</t>
        </is>
      </c>
    </row>
    <row r="321" ht="22" customHeight="1">
      <c r="A321" s="6" t="inlineStr">
        <is>
          <t>CUL-0317</t>
        </is>
      </c>
      <c r="B321" s="5" t="n">
        <v>60</v>
      </c>
      <c r="C321" s="7" t="inlineStr">
        <is>
          <t>Nº 13714</t>
        </is>
      </c>
      <c r="D321" s="8" t="inlineStr">
        <is>
          <t>WIPE OUT</t>
        </is>
      </c>
      <c r="E321" s="7" t="inlineStr">
        <is>
          <t>Pulverização Agrícola Conforme Bula</t>
        </is>
      </c>
      <c r="F321" s="7" t="inlineStr">
        <is>
          <t>Soja (Pré-Plantio / OGM)</t>
        </is>
      </c>
      <c r="G321" s="7" t="inlineStr">
        <is>
          <t>Cultura Autorizada na Bula</t>
        </is>
      </c>
      <c r="H321" s="7" t="inlineStr">
        <is>
          <t>100 a 300 L/ha</t>
        </is>
      </c>
      <c r="I321" s="7" t="inlineStr">
        <is>
          <t>20 a 40 L/ha</t>
        </is>
      </c>
      <c r="J321" s="7" t="inlineStr">
        <is>
          <t>56 dias</t>
        </is>
      </c>
    </row>
    <row r="322" ht="22" customHeight="1">
      <c r="A322" s="12" t="inlineStr">
        <is>
          <t>CUL-0318</t>
        </is>
      </c>
      <c r="B322" s="11" t="n">
        <v>60</v>
      </c>
      <c r="C322" s="13" t="inlineStr">
        <is>
          <t>Nº 13714</t>
        </is>
      </c>
      <c r="D322" s="14" t="inlineStr">
        <is>
          <t>WIPE OUT</t>
        </is>
      </c>
      <c r="E322" s="13" t="inlineStr">
        <is>
          <t>Pulverização Agrícola Conforme Bula</t>
        </is>
      </c>
      <c r="F322" s="13" t="inlineStr">
        <is>
          <t>Milho (Pré-Plantio / OGM)</t>
        </is>
      </c>
      <c r="G322" s="13" t="inlineStr">
        <is>
          <t>Cultura Autorizada na Bula</t>
        </is>
      </c>
      <c r="H322" s="13" t="inlineStr">
        <is>
          <t>100 a 300 L/ha</t>
        </is>
      </c>
      <c r="I322" s="13" t="inlineStr">
        <is>
          <t>20 a 40 L/ha</t>
        </is>
      </c>
      <c r="J322" s="13" t="inlineStr">
        <is>
          <t>90 dias</t>
        </is>
      </c>
    </row>
    <row r="323" ht="22" customHeight="1">
      <c r="A323" s="6" t="inlineStr">
        <is>
          <t>CUL-0319</t>
        </is>
      </c>
      <c r="B323" s="5" t="n">
        <v>60</v>
      </c>
      <c r="C323" s="7" t="inlineStr">
        <is>
          <t>Nº 13714</t>
        </is>
      </c>
      <c r="D323" s="8" t="inlineStr">
        <is>
          <t>WIPE OUT</t>
        </is>
      </c>
      <c r="E323" s="7" t="inlineStr">
        <is>
          <t>Pulverização Agrícola Conforme Bula</t>
        </is>
      </c>
      <c r="F323" s="7" t="inlineStr">
        <is>
          <t>Algodão (Pré-Plantio / OGM)</t>
        </is>
      </c>
      <c r="G323" s="7" t="inlineStr">
        <is>
          <t>Cultura Autorizada na Bula</t>
        </is>
      </c>
      <c r="H323" s="7" t="inlineStr">
        <is>
          <t>100 a 300 L/ha</t>
        </is>
      </c>
      <c r="I323" s="7" t="inlineStr">
        <is>
          <t>20 a 40 L/ha</t>
        </is>
      </c>
      <c r="J323" s="7" t="inlineStr">
        <is>
          <t>130 dias</t>
        </is>
      </c>
    </row>
    <row r="324" ht="22" customHeight="1">
      <c r="A324" s="12" t="inlineStr">
        <is>
          <t>CUL-0320</t>
        </is>
      </c>
      <c r="B324" s="11" t="n">
        <v>60</v>
      </c>
      <c r="C324" s="13" t="inlineStr">
        <is>
          <t>Nº 13714</t>
        </is>
      </c>
      <c r="D324" s="14" t="inlineStr">
        <is>
          <t>WIPE OUT</t>
        </is>
      </c>
      <c r="E324" s="13" t="inlineStr">
        <is>
          <t>Pulverização Agrícola Conforme Bula</t>
        </is>
      </c>
      <c r="F324" s="13" t="inlineStr">
        <is>
          <t>Cana-de-açúcar</t>
        </is>
      </c>
      <c r="G324" s="13" t="inlineStr">
        <is>
          <t>Cultura Autorizada na Bula</t>
        </is>
      </c>
      <c r="H324" s="13" t="inlineStr">
        <is>
          <t>100 a 300 L/ha</t>
        </is>
      </c>
      <c r="I324" s="13" t="inlineStr">
        <is>
          <t>20 a 40 L/ha</t>
        </is>
      </c>
      <c r="J324" s="13" t="inlineStr">
        <is>
          <t>N/D</t>
        </is>
      </c>
    </row>
    <row r="325" ht="22" customHeight="1">
      <c r="A325" s="6" t="inlineStr">
        <is>
          <t>CUL-0321</t>
        </is>
      </c>
      <c r="B325" s="5" t="n">
        <v>60</v>
      </c>
      <c r="C325" s="7" t="inlineStr">
        <is>
          <t>Nº 13714</t>
        </is>
      </c>
      <c r="D325" s="8" t="inlineStr">
        <is>
          <t>WIPE OUT</t>
        </is>
      </c>
      <c r="E325" s="7" t="inlineStr">
        <is>
          <t>Pulverização Agrícola Conforme Bula</t>
        </is>
      </c>
      <c r="F325" s="7" t="inlineStr">
        <is>
          <t>Café (Jato Dirigido)</t>
        </is>
      </c>
      <c r="G325" s="7" t="inlineStr">
        <is>
          <t>Cultura Autorizada na Bula</t>
        </is>
      </c>
      <c r="H325" s="7" t="inlineStr">
        <is>
          <t>100 a 300 L/ha</t>
        </is>
      </c>
      <c r="I325" s="7" t="inlineStr">
        <is>
          <t>20 a 40 L/ha</t>
        </is>
      </c>
      <c r="J325" s="7" t="inlineStr">
        <is>
          <t>15 dias</t>
        </is>
      </c>
    </row>
    <row r="326" ht="22" customHeight="1">
      <c r="A326" s="12" t="inlineStr">
        <is>
          <t>CUL-0322</t>
        </is>
      </c>
      <c r="B326" s="11" t="n">
        <v>60</v>
      </c>
      <c r="C326" s="13" t="inlineStr">
        <is>
          <t>Nº 13714</t>
        </is>
      </c>
      <c r="D326" s="14" t="inlineStr">
        <is>
          <t>WIPE OUT</t>
        </is>
      </c>
      <c r="E326" s="13" t="inlineStr">
        <is>
          <t>Pulverização Agrícola Conforme Bula</t>
        </is>
      </c>
      <c r="F326" s="13" t="inlineStr">
        <is>
          <t>Citros (Jato Dirigido)</t>
        </is>
      </c>
      <c r="G326" s="13" t="inlineStr">
        <is>
          <t>Cultura Autorizada na Bula</t>
        </is>
      </c>
      <c r="H326" s="13" t="inlineStr">
        <is>
          <t>100 a 300 L/ha</t>
        </is>
      </c>
      <c r="I326" s="13" t="inlineStr">
        <is>
          <t>20 a 40 L/ha</t>
        </is>
      </c>
      <c r="J326" s="13" t="inlineStr">
        <is>
          <t>30 dias</t>
        </is>
      </c>
    </row>
    <row r="327" ht="22" customHeight="1">
      <c r="A327" s="6" t="inlineStr">
        <is>
          <t>CUL-0323</t>
        </is>
      </c>
      <c r="B327" s="5" t="n">
        <v>60</v>
      </c>
      <c r="C327" s="7" t="inlineStr">
        <is>
          <t>Nº 13714</t>
        </is>
      </c>
      <c r="D327" s="8" t="inlineStr">
        <is>
          <t>WIPE OUT</t>
        </is>
      </c>
      <c r="E327" s="7" t="inlineStr">
        <is>
          <t>Pulverização Agrícola Conforme Bula</t>
        </is>
      </c>
      <c r="F327" s="7" t="inlineStr">
        <is>
          <t>Trigo (Pré-Plantio)</t>
        </is>
      </c>
      <c r="G327" s="7" t="inlineStr">
        <is>
          <t>Cultura Autorizada na Bula</t>
        </is>
      </c>
      <c r="H327" s="7" t="inlineStr">
        <is>
          <t>100 a 300 L/ha</t>
        </is>
      </c>
      <c r="I327" s="7" t="inlineStr">
        <is>
          <t>20 a 40 L/ha</t>
        </is>
      </c>
      <c r="J327" s="7" t="inlineStr">
        <is>
          <t>N/D</t>
        </is>
      </c>
    </row>
    <row r="328" ht="22" customHeight="1">
      <c r="A328" s="12" t="inlineStr">
        <is>
          <t>CUL-0324</t>
        </is>
      </c>
      <c r="B328" s="11" t="n">
        <v>60</v>
      </c>
      <c r="C328" s="13" t="inlineStr">
        <is>
          <t>Nº 13714</t>
        </is>
      </c>
      <c r="D328" s="14" t="inlineStr">
        <is>
          <t>WIPE OUT</t>
        </is>
      </c>
      <c r="E328" s="13" t="inlineStr">
        <is>
          <t>Pulverização Agrícola Conforme Bula</t>
        </is>
      </c>
      <c r="F328" s="13" t="inlineStr">
        <is>
          <t>Pastagens</t>
        </is>
      </c>
      <c r="G328" s="13" t="inlineStr">
        <is>
          <t>Cultura Autorizada na Bula</t>
        </is>
      </c>
      <c r="H328" s="13" t="inlineStr">
        <is>
          <t>100 a 300 L/ha</t>
        </is>
      </c>
      <c r="I328" s="13" t="inlineStr">
        <is>
          <t>20 a 40 L/ha</t>
        </is>
      </c>
      <c r="J328" s="13" t="inlineStr">
        <is>
          <t>N/D</t>
        </is>
      </c>
    </row>
    <row r="329" ht="22" customHeight="1">
      <c r="A329" s="6" t="inlineStr">
        <is>
          <t>CUL-0325</t>
        </is>
      </c>
      <c r="B329" s="5" t="n">
        <v>61</v>
      </c>
      <c r="C329" s="7" t="inlineStr">
        <is>
          <t>Nº 34221</t>
        </is>
      </c>
      <c r="D329" s="8" t="inlineStr">
        <is>
          <t>SAPEK MAX</t>
        </is>
      </c>
      <c r="E329" s="7" t="inlineStr">
        <is>
          <t>Pulverização Agrícola Conforme Bula</t>
        </is>
      </c>
      <c r="F329" s="7" t="inlineStr">
        <is>
          <t>Soja (Pré-Plantio / OGM)</t>
        </is>
      </c>
      <c r="G329" s="7" t="inlineStr">
        <is>
          <t>Cultura Autorizada na Bula</t>
        </is>
      </c>
      <c r="H329" s="7" t="inlineStr">
        <is>
          <t>100 a 300 L/ha</t>
        </is>
      </c>
      <c r="I329" s="7" t="inlineStr">
        <is>
          <t>20 a 40 L/ha</t>
        </is>
      </c>
      <c r="J329" s="7" t="inlineStr">
        <is>
          <t>60 dias</t>
        </is>
      </c>
    </row>
    <row r="330" ht="22" customHeight="1">
      <c r="A330" s="12" t="inlineStr">
        <is>
          <t>CUL-0326</t>
        </is>
      </c>
      <c r="B330" s="11" t="n">
        <v>61</v>
      </c>
      <c r="C330" s="13" t="inlineStr">
        <is>
          <t>Nº 34221</t>
        </is>
      </c>
      <c r="D330" s="14" t="inlineStr">
        <is>
          <t>SAPEK MAX</t>
        </is>
      </c>
      <c r="E330" s="13" t="inlineStr">
        <is>
          <t>Pulverização Agrícola Conforme Bula</t>
        </is>
      </c>
      <c r="F330" s="13" t="inlineStr">
        <is>
          <t>Milho (Pré-Plantio / OGM)</t>
        </is>
      </c>
      <c r="G330" s="13" t="inlineStr">
        <is>
          <t>Cultura Autorizada na Bula</t>
        </is>
      </c>
      <c r="H330" s="13" t="inlineStr">
        <is>
          <t>100 a 300 L/ha</t>
        </is>
      </c>
      <c r="I330" s="13" t="inlineStr">
        <is>
          <t>20 a 40 L/ha</t>
        </is>
      </c>
      <c r="J330" s="13" t="inlineStr">
        <is>
          <t>40 dias</t>
        </is>
      </c>
    </row>
    <row r="331" ht="22" customHeight="1">
      <c r="A331" s="6" t="inlineStr">
        <is>
          <t>CUL-0327</t>
        </is>
      </c>
      <c r="B331" s="5" t="n">
        <v>61</v>
      </c>
      <c r="C331" s="7" t="inlineStr">
        <is>
          <t>Nº 34221</t>
        </is>
      </c>
      <c r="D331" s="8" t="inlineStr">
        <is>
          <t>SAPEK MAX</t>
        </is>
      </c>
      <c r="E331" s="7" t="inlineStr">
        <is>
          <t>Pulverização Agrícola Conforme Bula</t>
        </is>
      </c>
      <c r="F331" s="7" t="inlineStr">
        <is>
          <t>Algodão (Pré-Plantio / OGM / Desfolha)</t>
        </is>
      </c>
      <c r="G331" s="7" t="inlineStr">
        <is>
          <t>Cultura Autorizada na Bula</t>
        </is>
      </c>
      <c r="H331" s="7" t="inlineStr">
        <is>
          <t>100 a 300 L/ha</t>
        </is>
      </c>
      <c r="I331" s="7" t="inlineStr">
        <is>
          <t>20 a 40 L/ha</t>
        </is>
      </c>
      <c r="J331" s="7" t="inlineStr">
        <is>
          <t>15 dias</t>
        </is>
      </c>
    </row>
    <row r="332" ht="22" customHeight="1">
      <c r="A332" s="12" t="inlineStr">
        <is>
          <t>CUL-0328</t>
        </is>
      </c>
      <c r="B332" s="11" t="n">
        <v>61</v>
      </c>
      <c r="C332" s="13" t="inlineStr">
        <is>
          <t>Nº 34221</t>
        </is>
      </c>
      <c r="D332" s="14" t="inlineStr">
        <is>
          <t>SAPEK MAX</t>
        </is>
      </c>
      <c r="E332" s="13" t="inlineStr">
        <is>
          <t>Pulverização Agrícola Conforme Bula</t>
        </is>
      </c>
      <c r="F332" s="13" t="inlineStr">
        <is>
          <t>Café (Jato Dirigido)</t>
        </is>
      </c>
      <c r="G332" s="13" t="inlineStr">
        <is>
          <t>Cultura Autorizada na Bula</t>
        </is>
      </c>
      <c r="H332" s="13" t="inlineStr">
        <is>
          <t>100 a 300 L/ha</t>
        </is>
      </c>
      <c r="I332" s="13" t="inlineStr">
        <is>
          <t>20 a 40 L/ha</t>
        </is>
      </c>
      <c r="J332" s="13" t="inlineStr">
        <is>
          <t>20 dias</t>
        </is>
      </c>
    </row>
    <row r="333" ht="22" customHeight="1">
      <c r="A333" s="6" t="inlineStr">
        <is>
          <t>CUL-0329</t>
        </is>
      </c>
      <c r="B333" s="5" t="n">
        <v>61</v>
      </c>
      <c r="C333" s="7" t="inlineStr">
        <is>
          <t>Nº 34221</t>
        </is>
      </c>
      <c r="D333" s="8" t="inlineStr">
        <is>
          <t>SAPEK MAX</t>
        </is>
      </c>
      <c r="E333" s="7" t="inlineStr">
        <is>
          <t>Pulverização Agrícola Conforme Bula</t>
        </is>
      </c>
      <c r="F333" s="7" t="inlineStr">
        <is>
          <t>Citros (Jato Dirigido)</t>
        </is>
      </c>
      <c r="G333" s="7" t="inlineStr">
        <is>
          <t>Cultura Autorizada na Bula</t>
        </is>
      </c>
      <c r="H333" s="7" t="inlineStr">
        <is>
          <t>100 a 300 L/ha</t>
        </is>
      </c>
      <c r="I333" s="7" t="inlineStr">
        <is>
          <t>20 a 40 L/ha</t>
        </is>
      </c>
      <c r="J333" s="7" t="inlineStr">
        <is>
          <t>40 dias</t>
        </is>
      </c>
    </row>
    <row r="334" ht="22" customHeight="1">
      <c r="A334" s="12" t="inlineStr">
        <is>
          <t>CUL-0330</t>
        </is>
      </c>
      <c r="B334" s="11" t="n">
        <v>61</v>
      </c>
      <c r="C334" s="13" t="inlineStr">
        <is>
          <t>Nº 34221</t>
        </is>
      </c>
      <c r="D334" s="14" t="inlineStr">
        <is>
          <t>SAPEK MAX</t>
        </is>
      </c>
      <c r="E334" s="13" t="inlineStr">
        <is>
          <t>Pulverização Agrícola Conforme Bula</t>
        </is>
      </c>
      <c r="F334" s="13" t="inlineStr">
        <is>
          <t>Trigo</t>
        </is>
      </c>
      <c r="G334" s="13" t="inlineStr">
        <is>
          <t>Cultura Autorizada na Bula</t>
        </is>
      </c>
      <c r="H334" s="13" t="inlineStr">
        <is>
          <t>100 a 300 L/ha</t>
        </is>
      </c>
      <c r="I334" s="13" t="inlineStr">
        <is>
          <t>20 a 40 L/ha</t>
        </is>
      </c>
      <c r="J334" s="13" t="inlineStr">
        <is>
          <t>N/D</t>
        </is>
      </c>
    </row>
    <row r="335" ht="22" customHeight="1">
      <c r="A335" s="6" t="inlineStr">
        <is>
          <t>CUL-0331</t>
        </is>
      </c>
      <c r="B335" s="5" t="n">
        <v>62</v>
      </c>
      <c r="C335" s="7" t="inlineStr">
        <is>
          <t>Nº 3518</t>
        </is>
      </c>
      <c r="D335" s="8" t="inlineStr">
        <is>
          <t>VERDICT MAX</t>
        </is>
      </c>
      <c r="E335" s="7" t="inlineStr">
        <is>
          <t>Pulverização Agrícola Conforme Bula</t>
        </is>
      </c>
      <c r="F335" s="7" t="inlineStr">
        <is>
          <t>Soja</t>
        </is>
      </c>
      <c r="G335" s="7" t="inlineStr">
        <is>
          <t>Cultura Autorizada na Bula</t>
        </is>
      </c>
      <c r="H335" s="7" t="inlineStr">
        <is>
          <t>100 a 300 L/ha</t>
        </is>
      </c>
      <c r="I335" s="7" t="inlineStr">
        <is>
          <t>20 a 40 L/ha</t>
        </is>
      </c>
      <c r="J335" s="7" t="inlineStr">
        <is>
          <t>60 dias</t>
        </is>
      </c>
    </row>
    <row r="336" ht="22" customHeight="1">
      <c r="A336" s="12" t="inlineStr">
        <is>
          <t>CUL-0332</t>
        </is>
      </c>
      <c r="B336" s="11" t="n">
        <v>62</v>
      </c>
      <c r="C336" s="13" t="inlineStr">
        <is>
          <t>Nº 3518</t>
        </is>
      </c>
      <c r="D336" s="14" t="inlineStr">
        <is>
          <t>VERDICT MAX</t>
        </is>
      </c>
      <c r="E336" s="13" t="inlineStr">
        <is>
          <t>Pulverização Agrícola Conforme Bula</t>
        </is>
      </c>
      <c r="F336" s="13" t="inlineStr">
        <is>
          <t>Milho</t>
        </is>
      </c>
      <c r="G336" s="13" t="inlineStr">
        <is>
          <t>Cultura Autorizada na Bula</t>
        </is>
      </c>
      <c r="H336" s="13" t="inlineStr">
        <is>
          <t>100 a 300 L/ha</t>
        </is>
      </c>
      <c r="I336" s="13" t="inlineStr">
        <is>
          <t>20 a 40 L/ha</t>
        </is>
      </c>
      <c r="J336" s="13" t="inlineStr">
        <is>
          <t>45 dias</t>
        </is>
      </c>
    </row>
    <row r="337" ht="22" customHeight="1">
      <c r="A337" s="6" t="inlineStr">
        <is>
          <t>CUL-0333</t>
        </is>
      </c>
      <c r="B337" s="5" t="n">
        <v>62</v>
      </c>
      <c r="C337" s="7" t="inlineStr">
        <is>
          <t>Nº 3518</t>
        </is>
      </c>
      <c r="D337" s="8" t="inlineStr">
        <is>
          <t>VERDICT MAX</t>
        </is>
      </c>
      <c r="E337" s="7" t="inlineStr">
        <is>
          <t>Pulverização Agrícola Conforme Bula</t>
        </is>
      </c>
      <c r="F337" s="7" t="inlineStr">
        <is>
          <t>Algodão</t>
        </is>
      </c>
      <c r="G337" s="7" t="inlineStr">
        <is>
          <t>Cultura Autorizada na Bula</t>
        </is>
      </c>
      <c r="H337" s="7" t="inlineStr">
        <is>
          <t>100 a 300 L/ha</t>
        </is>
      </c>
      <c r="I337" s="7" t="inlineStr">
        <is>
          <t>20 a 40 L/ha</t>
        </is>
      </c>
      <c r="J337" s="7" t="inlineStr">
        <is>
          <t>60 dias</t>
        </is>
      </c>
    </row>
    <row r="338" ht="22" customHeight="1">
      <c r="A338" s="12" t="inlineStr">
        <is>
          <t>CUL-0334</t>
        </is>
      </c>
      <c r="B338" s="11" t="n">
        <v>62</v>
      </c>
      <c r="C338" s="13" t="inlineStr">
        <is>
          <t>Nº 3518</t>
        </is>
      </c>
      <c r="D338" s="14" t="inlineStr">
        <is>
          <t>VERDICT MAX</t>
        </is>
      </c>
      <c r="E338" s="13" t="inlineStr">
        <is>
          <t>Pulverização Agrícola Conforme Bula</t>
        </is>
      </c>
      <c r="F338" s="13" t="inlineStr">
        <is>
          <t>Cana-de-açúcar</t>
        </is>
      </c>
      <c r="G338" s="13" t="inlineStr">
        <is>
          <t>Cultura Autorizada na Bula</t>
        </is>
      </c>
      <c r="H338" s="13" t="inlineStr">
        <is>
          <t>100 a 300 L/ha</t>
        </is>
      </c>
      <c r="I338" s="13" t="inlineStr">
        <is>
          <t>20 a 40 L/ha</t>
        </is>
      </c>
      <c r="J338" s="13" t="inlineStr">
        <is>
          <t>90 dias</t>
        </is>
      </c>
    </row>
    <row r="339" ht="22" customHeight="1">
      <c r="A339" s="6" t="inlineStr">
        <is>
          <t>CUL-0335</t>
        </is>
      </c>
      <c r="B339" s="5" t="n">
        <v>63</v>
      </c>
      <c r="C339" s="7" t="inlineStr">
        <is>
          <t>Nº 14518</t>
        </is>
      </c>
      <c r="D339" s="8" t="inlineStr">
        <is>
          <t>SOYACLEAN XTRA</t>
        </is>
      </c>
      <c r="E339" s="7" t="inlineStr">
        <is>
          <t>Pulverização Agrícola Conforme Bula</t>
        </is>
      </c>
      <c r="F339" s="7" t="inlineStr">
        <is>
          <t>Soja</t>
        </is>
      </c>
      <c r="G339" s="7" t="inlineStr">
        <is>
          <t>Cultura Autorizada na Bula</t>
        </is>
      </c>
      <c r="H339" s="7" t="inlineStr">
        <is>
          <t>100 a 300 L/ha</t>
        </is>
      </c>
      <c r="I339" s="7" t="inlineStr">
        <is>
          <t>20 a 40 L/ha</t>
        </is>
      </c>
      <c r="J339" s="7" t="inlineStr">
        <is>
          <t>60 dias</t>
        </is>
      </c>
    </row>
    <row r="340" ht="22" customHeight="1">
      <c r="A340" s="12" t="inlineStr">
        <is>
          <t>CUL-0336</t>
        </is>
      </c>
      <c r="B340" s="11" t="n">
        <v>63</v>
      </c>
      <c r="C340" s="13" t="inlineStr">
        <is>
          <t>Nº 14518</t>
        </is>
      </c>
      <c r="D340" s="14" t="inlineStr">
        <is>
          <t>SOYACLEAN XTRA</t>
        </is>
      </c>
      <c r="E340" s="13" t="inlineStr">
        <is>
          <t>Pulverização Agrícola Conforme Bula</t>
        </is>
      </c>
      <c r="F340" s="13" t="inlineStr">
        <is>
          <t>Milho</t>
        </is>
      </c>
      <c r="G340" s="13" t="inlineStr">
        <is>
          <t>Cultura Autorizada na Bula</t>
        </is>
      </c>
      <c r="H340" s="13" t="inlineStr">
        <is>
          <t>100 a 300 L/ha</t>
        </is>
      </c>
      <c r="I340" s="13" t="inlineStr">
        <is>
          <t>20 a 40 L/ha</t>
        </is>
      </c>
      <c r="J340" s="13" t="inlineStr">
        <is>
          <t>45 dias</t>
        </is>
      </c>
    </row>
    <row r="341" ht="22" customHeight="1">
      <c r="A341" s="6" t="inlineStr">
        <is>
          <t>CUL-0337</t>
        </is>
      </c>
      <c r="B341" s="5" t="n">
        <v>63</v>
      </c>
      <c r="C341" s="7" t="inlineStr">
        <is>
          <t>Nº 14518</t>
        </is>
      </c>
      <c r="D341" s="8" t="inlineStr">
        <is>
          <t>SOYACLEAN XTRA</t>
        </is>
      </c>
      <c r="E341" s="7" t="inlineStr">
        <is>
          <t>Pulverização Agrícola Conforme Bula</t>
        </is>
      </c>
      <c r="F341" s="7" t="inlineStr">
        <is>
          <t>Algodão</t>
        </is>
      </c>
      <c r="G341" s="7" t="inlineStr">
        <is>
          <t>Cultura Autorizada na Bula</t>
        </is>
      </c>
      <c r="H341" s="7" t="inlineStr">
        <is>
          <t>100 a 300 L/ha</t>
        </is>
      </c>
      <c r="I341" s="7" t="inlineStr">
        <is>
          <t>20 a 40 L/ha</t>
        </is>
      </c>
      <c r="J341" s="7" t="inlineStr">
        <is>
          <t>60 dias</t>
        </is>
      </c>
    </row>
    <row r="342" ht="22" customHeight="1">
      <c r="A342" s="12" t="inlineStr">
        <is>
          <t>CUL-0338</t>
        </is>
      </c>
      <c r="B342" s="11" t="n">
        <v>63</v>
      </c>
      <c r="C342" s="13" t="inlineStr">
        <is>
          <t>Nº 14518</t>
        </is>
      </c>
      <c r="D342" s="14" t="inlineStr">
        <is>
          <t>SOYACLEAN XTRA</t>
        </is>
      </c>
      <c r="E342" s="13" t="inlineStr">
        <is>
          <t>Pulverização Agrícola Conforme Bula</t>
        </is>
      </c>
      <c r="F342" s="13" t="inlineStr">
        <is>
          <t>Cana-de-açúcar</t>
        </is>
      </c>
      <c r="G342" s="13" t="inlineStr">
        <is>
          <t>Cultura Autorizada na Bula</t>
        </is>
      </c>
      <c r="H342" s="13" t="inlineStr">
        <is>
          <t>100 a 300 L/ha</t>
        </is>
      </c>
      <c r="I342" s="13" t="inlineStr">
        <is>
          <t>20 a 40 L/ha</t>
        </is>
      </c>
      <c r="J342" s="13" t="inlineStr">
        <is>
          <t>90 dias</t>
        </is>
      </c>
    </row>
    <row r="343" ht="22" customHeight="1">
      <c r="A343" s="6" t="inlineStr">
        <is>
          <t>CUL-0339</t>
        </is>
      </c>
      <c r="B343" s="5" t="n">
        <v>64</v>
      </c>
      <c r="C343" s="7" t="inlineStr">
        <is>
          <t>SIPEAGRO (UF-XXXXX)</t>
        </is>
      </c>
      <c r="D343" s="8" t="inlineStr">
        <is>
          <t>AGCN NITROBIOT</t>
        </is>
      </c>
      <c r="E343" s="7" t="inlineStr">
        <is>
          <t>Pulverização Agrícola Conforme Bula</t>
        </is>
      </c>
      <c r="F343" s="7" t="inlineStr">
        <is>
          <t>Soja</t>
        </is>
      </c>
      <c r="G343" s="7" t="inlineStr">
        <is>
          <t>Cultura Autorizada na Bula</t>
        </is>
      </c>
      <c r="H343" s="7" t="inlineStr">
        <is>
          <t>100 a 300 L/ha</t>
        </is>
      </c>
      <c r="I343" s="7" t="inlineStr">
        <is>
          <t>20 a 40 L/ha</t>
        </is>
      </c>
      <c r="J343" s="7" t="inlineStr">
        <is>
          <t>0 (Isento)</t>
        </is>
      </c>
    </row>
    <row r="344" ht="22" customHeight="1">
      <c r="A344" s="12" t="inlineStr">
        <is>
          <t>CUL-0340</t>
        </is>
      </c>
      <c r="B344" s="11" t="n">
        <v>64</v>
      </c>
      <c r="C344" s="13" t="inlineStr">
        <is>
          <t>SIPEAGRO (UF-XXXXX)</t>
        </is>
      </c>
      <c r="D344" s="14" t="inlineStr">
        <is>
          <t>AGCN NITROBIOT</t>
        </is>
      </c>
      <c r="E344" s="13" t="inlineStr">
        <is>
          <t>Pulverização Agrícola Conforme Bula</t>
        </is>
      </c>
      <c r="F344" s="13" t="inlineStr">
        <is>
          <t>Milho</t>
        </is>
      </c>
      <c r="G344" s="13" t="inlineStr">
        <is>
          <t>Cultura Autorizada na Bula</t>
        </is>
      </c>
      <c r="H344" s="13" t="inlineStr">
        <is>
          <t>100 a 300 L/ha</t>
        </is>
      </c>
      <c r="I344" s="13" t="inlineStr">
        <is>
          <t>20 a 40 L/ha</t>
        </is>
      </c>
      <c r="J344" s="13" t="inlineStr">
        <is>
          <t>0 (Isento)</t>
        </is>
      </c>
    </row>
    <row r="345" ht="22" customHeight="1">
      <c r="A345" s="6" t="inlineStr">
        <is>
          <t>CUL-0341</t>
        </is>
      </c>
      <c r="B345" s="5" t="n">
        <v>64</v>
      </c>
      <c r="C345" s="7" t="inlineStr">
        <is>
          <t>SIPEAGRO (UF-XXXXX)</t>
        </is>
      </c>
      <c r="D345" s="8" t="inlineStr">
        <is>
          <t>AGCN NITROBIOT</t>
        </is>
      </c>
      <c r="E345" s="7" t="inlineStr">
        <is>
          <t>Pulverização Agrícola Conforme Bula</t>
        </is>
      </c>
      <c r="F345" s="7" t="inlineStr">
        <is>
          <t>Feijão</t>
        </is>
      </c>
      <c r="G345" s="7" t="inlineStr">
        <is>
          <t>Cultura Autorizada na Bula</t>
        </is>
      </c>
      <c r="H345" s="7" t="inlineStr">
        <is>
          <t>100 a 300 L/ha</t>
        </is>
      </c>
      <c r="I345" s="7" t="inlineStr">
        <is>
          <t>20 a 40 L/ha</t>
        </is>
      </c>
      <c r="J345" s="7" t="inlineStr">
        <is>
          <t>0 (Isento)</t>
        </is>
      </c>
    </row>
    <row r="346" ht="22" customHeight="1">
      <c r="A346" s="12" t="inlineStr">
        <is>
          <t>CUL-0342</t>
        </is>
      </c>
      <c r="B346" s="11" t="n">
        <v>64</v>
      </c>
      <c r="C346" s="13" t="inlineStr">
        <is>
          <t>SIPEAGRO (UF-XXXXX)</t>
        </is>
      </c>
      <c r="D346" s="14" t="inlineStr">
        <is>
          <t>AGCN NITROBIOT</t>
        </is>
      </c>
      <c r="E346" s="13" t="inlineStr">
        <is>
          <t>Pulverização Agrícola Conforme Bula</t>
        </is>
      </c>
      <c r="F346" s="13" t="inlineStr">
        <is>
          <t>Algodão</t>
        </is>
      </c>
      <c r="G346" s="13" t="inlineStr">
        <is>
          <t>Cultura Autorizada na Bula</t>
        </is>
      </c>
      <c r="H346" s="13" t="inlineStr">
        <is>
          <t>100 a 300 L/ha</t>
        </is>
      </c>
      <c r="I346" s="13" t="inlineStr">
        <is>
          <t>20 a 40 L/ha</t>
        </is>
      </c>
      <c r="J346" s="13" t="inlineStr">
        <is>
          <t>0 (Isento)</t>
        </is>
      </c>
    </row>
    <row r="347" ht="22" customHeight="1">
      <c r="A347" s="6" t="inlineStr">
        <is>
          <t>CUL-0343</t>
        </is>
      </c>
      <c r="B347" s="5" t="n">
        <v>65</v>
      </c>
      <c r="C347" s="7" t="inlineStr">
        <is>
          <t>SIPEAGRO (UF-XXXXX)</t>
        </is>
      </c>
      <c r="D347" s="8" t="inlineStr">
        <is>
          <t>AGCN RIZODERMA CX 10X0,5KG</t>
        </is>
      </c>
      <c r="E347" s="7" t="inlineStr">
        <is>
          <t>Adubação de Solo / Foliar</t>
        </is>
      </c>
      <c r="F347" s="7" t="inlineStr">
        <is>
          <t>Soja</t>
        </is>
      </c>
      <c r="G347" s="7" t="inlineStr">
        <is>
          <t>Cultura Autorizada na Bula</t>
        </is>
      </c>
      <c r="H347" s="7" t="inlineStr">
        <is>
          <t>100 a 300 L/ha</t>
        </is>
      </c>
      <c r="I347" s="7" t="inlineStr">
        <is>
          <t>20 a 40 L/ha</t>
        </is>
      </c>
      <c r="J347" s="7" t="inlineStr">
        <is>
          <t>Isento</t>
        </is>
      </c>
    </row>
    <row r="348" ht="22" customHeight="1">
      <c r="A348" s="12" t="inlineStr">
        <is>
          <t>CUL-0344</t>
        </is>
      </c>
      <c r="B348" s="11" t="n">
        <v>65</v>
      </c>
      <c r="C348" s="13" t="inlineStr">
        <is>
          <t>SIPEAGRO (UF-XXXXX)</t>
        </is>
      </c>
      <c r="D348" s="14" t="inlineStr">
        <is>
          <t>AGCN RIZODERMA CX 10X0,5KG</t>
        </is>
      </c>
      <c r="E348" s="13" t="inlineStr">
        <is>
          <t>Adubação de Solo / Foliar</t>
        </is>
      </c>
      <c r="F348" s="13" t="inlineStr">
        <is>
          <t>Milho</t>
        </is>
      </c>
      <c r="G348" s="13" t="inlineStr">
        <is>
          <t>Cultura Autorizada na Bula</t>
        </is>
      </c>
      <c r="H348" s="13" t="inlineStr">
        <is>
          <t>100 a 300 L/ha</t>
        </is>
      </c>
      <c r="I348" s="13" t="inlineStr">
        <is>
          <t>20 a 40 L/ha</t>
        </is>
      </c>
      <c r="J348" s="13" t="inlineStr">
        <is>
          <t>Isento</t>
        </is>
      </c>
    </row>
    <row r="349" ht="22" customHeight="1">
      <c r="A349" s="6" t="inlineStr">
        <is>
          <t>CUL-0345</t>
        </is>
      </c>
      <c r="B349" s="5" t="n">
        <v>65</v>
      </c>
      <c r="C349" s="7" t="inlineStr">
        <is>
          <t>SIPEAGRO (UF-XXXXX)</t>
        </is>
      </c>
      <c r="D349" s="8" t="inlineStr">
        <is>
          <t>AGCN RIZODERMA CX 10X0,5KG</t>
        </is>
      </c>
      <c r="E349" s="7" t="inlineStr">
        <is>
          <t>Adubação de Solo / Foliar</t>
        </is>
      </c>
      <c r="F349" s="7" t="inlineStr">
        <is>
          <t>Algodão</t>
        </is>
      </c>
      <c r="G349" s="7" t="inlineStr">
        <is>
          <t>Cultura Autorizada na Bula</t>
        </is>
      </c>
      <c r="H349" s="7" t="inlineStr">
        <is>
          <t>100 a 300 L/ha</t>
        </is>
      </c>
      <c r="I349" s="7" t="inlineStr">
        <is>
          <t>20 a 40 L/ha</t>
        </is>
      </c>
      <c r="J349" s="7" t="inlineStr">
        <is>
          <t>Isento</t>
        </is>
      </c>
    </row>
    <row r="350" ht="22" customHeight="1">
      <c r="A350" s="12" t="inlineStr">
        <is>
          <t>CUL-0346</t>
        </is>
      </c>
      <c r="B350" s="11" t="n">
        <v>65</v>
      </c>
      <c r="C350" s="13" t="inlineStr">
        <is>
          <t>SIPEAGRO (UF-XXXXX)</t>
        </is>
      </c>
      <c r="D350" s="14" t="inlineStr">
        <is>
          <t>AGCN RIZODERMA CX 10X0,5KG</t>
        </is>
      </c>
      <c r="E350" s="13" t="inlineStr">
        <is>
          <t>Adubação de Solo / Foliar</t>
        </is>
      </c>
      <c r="F350" s="13" t="inlineStr">
        <is>
          <t>Cana-de-açúcar</t>
        </is>
      </c>
      <c r="G350" s="13" t="inlineStr">
        <is>
          <t>Cultura Autorizada na Bula</t>
        </is>
      </c>
      <c r="H350" s="13" t="inlineStr">
        <is>
          <t>100 a 300 L/ha</t>
        </is>
      </c>
      <c r="I350" s="13" t="inlineStr">
        <is>
          <t>20 a 40 L/ha</t>
        </is>
      </c>
      <c r="J350" s="13" t="inlineStr">
        <is>
          <t>Isento</t>
        </is>
      </c>
    </row>
    <row r="351" ht="22" customHeight="1">
      <c r="A351" s="6" t="inlineStr">
        <is>
          <t>CUL-0347</t>
        </is>
      </c>
      <c r="B351" s="5" t="n">
        <v>65</v>
      </c>
      <c r="C351" s="7" t="inlineStr">
        <is>
          <t>SIPEAGRO (UF-XXXXX)</t>
        </is>
      </c>
      <c r="D351" s="8" t="inlineStr">
        <is>
          <t>AGCN RIZODERMA CX 10X0,5KG</t>
        </is>
      </c>
      <c r="E351" s="7" t="inlineStr">
        <is>
          <t>Adubação de Solo / Foliar</t>
        </is>
      </c>
      <c r="F351" s="7" t="inlineStr">
        <is>
          <t>Café</t>
        </is>
      </c>
      <c r="G351" s="7" t="inlineStr">
        <is>
          <t>Cultura Autorizada na Bula</t>
        </is>
      </c>
      <c r="H351" s="7" t="inlineStr">
        <is>
          <t>100 a 300 L/ha</t>
        </is>
      </c>
      <c r="I351" s="7" t="inlineStr">
        <is>
          <t>20 a 40 L/ha</t>
        </is>
      </c>
      <c r="J351" s="7" t="inlineStr">
        <is>
          <t>Isento</t>
        </is>
      </c>
    </row>
    <row r="352" ht="22" customHeight="1">
      <c r="A352" s="12" t="inlineStr">
        <is>
          <t>CUL-0348</t>
        </is>
      </c>
      <c r="B352" s="11" t="n">
        <v>66</v>
      </c>
      <c r="C352" s="13" t="inlineStr">
        <is>
          <t>SIPEAGRO (UF-XXXXX)</t>
        </is>
      </c>
      <c r="D352" s="14" t="inlineStr">
        <is>
          <t>AGCN RIZOFOS</t>
        </is>
      </c>
      <c r="E352" s="13" t="inlineStr">
        <is>
          <t>Pulverização Agrícola Conforme Bula</t>
        </is>
      </c>
      <c r="F352" s="13" t="inlineStr">
        <is>
          <t>Soja</t>
        </is>
      </c>
      <c r="G352" s="13" t="inlineStr">
        <is>
          <t>Cultura Autorizada na Bula</t>
        </is>
      </c>
      <c r="H352" s="13" t="inlineStr">
        <is>
          <t>100 a 300 L/ha</t>
        </is>
      </c>
      <c r="I352" s="13" t="inlineStr">
        <is>
          <t>20 a 40 L/ha</t>
        </is>
      </c>
      <c r="J352" s="13" t="inlineStr">
        <is>
          <t>0 (Isento)</t>
        </is>
      </c>
    </row>
    <row r="353" ht="22" customHeight="1">
      <c r="A353" s="6" t="inlineStr">
        <is>
          <t>CUL-0349</t>
        </is>
      </c>
      <c r="B353" s="5" t="n">
        <v>66</v>
      </c>
      <c r="C353" s="7" t="inlineStr">
        <is>
          <t>SIPEAGRO (UF-XXXXX)</t>
        </is>
      </c>
      <c r="D353" s="8" t="inlineStr">
        <is>
          <t>AGCN RIZOFOS</t>
        </is>
      </c>
      <c r="E353" s="7" t="inlineStr">
        <is>
          <t>Pulverização Agrícola Conforme Bula</t>
        </is>
      </c>
      <c r="F353" s="7" t="inlineStr">
        <is>
          <t>Milho</t>
        </is>
      </c>
      <c r="G353" s="7" t="inlineStr">
        <is>
          <t>Cultura Autorizada na Bula</t>
        </is>
      </c>
      <c r="H353" s="7" t="inlineStr">
        <is>
          <t>100 a 300 L/ha</t>
        </is>
      </c>
      <c r="I353" s="7" t="inlineStr">
        <is>
          <t>20 a 40 L/ha</t>
        </is>
      </c>
      <c r="J353" s="7" t="inlineStr">
        <is>
          <t>0 (Isento)</t>
        </is>
      </c>
    </row>
    <row r="354" ht="22" customHeight="1">
      <c r="A354" s="12" t="inlineStr">
        <is>
          <t>CUL-0350</t>
        </is>
      </c>
      <c r="B354" s="11" t="n">
        <v>66</v>
      </c>
      <c r="C354" s="13" t="inlineStr">
        <is>
          <t>SIPEAGRO (UF-XXXXX)</t>
        </is>
      </c>
      <c r="D354" s="14" t="inlineStr">
        <is>
          <t>AGCN RIZOFOS</t>
        </is>
      </c>
      <c r="E354" s="13" t="inlineStr">
        <is>
          <t>Pulverização Agrícola Conforme Bula</t>
        </is>
      </c>
      <c r="F354" s="13" t="inlineStr">
        <is>
          <t>Feijão</t>
        </is>
      </c>
      <c r="G354" s="13" t="inlineStr">
        <is>
          <t>Cultura Autorizada na Bula</t>
        </is>
      </c>
      <c r="H354" s="13" t="inlineStr">
        <is>
          <t>100 a 300 L/ha</t>
        </is>
      </c>
      <c r="I354" s="13" t="inlineStr">
        <is>
          <t>20 a 40 L/ha</t>
        </is>
      </c>
      <c r="J354" s="13" t="inlineStr">
        <is>
          <t>0 (Isento)</t>
        </is>
      </c>
    </row>
    <row r="355" ht="22" customHeight="1">
      <c r="A355" s="6" t="inlineStr">
        <is>
          <t>CUL-0351</t>
        </is>
      </c>
      <c r="B355" s="5" t="n">
        <v>66</v>
      </c>
      <c r="C355" s="7" t="inlineStr">
        <is>
          <t>SIPEAGRO (UF-XXXXX)</t>
        </is>
      </c>
      <c r="D355" s="8" t="inlineStr">
        <is>
          <t>AGCN RIZOFOS</t>
        </is>
      </c>
      <c r="E355" s="7" t="inlineStr">
        <is>
          <t>Pulverização Agrícola Conforme Bula</t>
        </is>
      </c>
      <c r="F355" s="7" t="inlineStr">
        <is>
          <t>Algodão</t>
        </is>
      </c>
      <c r="G355" s="7" t="inlineStr">
        <is>
          <t>Cultura Autorizada na Bula</t>
        </is>
      </c>
      <c r="H355" s="7" t="inlineStr">
        <is>
          <t>100 a 300 L/ha</t>
        </is>
      </c>
      <c r="I355" s="7" t="inlineStr">
        <is>
          <t>20 a 40 L/ha</t>
        </is>
      </c>
      <c r="J355" s="7" t="inlineStr">
        <is>
          <t>0 (Isento)</t>
        </is>
      </c>
    </row>
    <row r="356" ht="22" customHeight="1">
      <c r="A356" s="12" t="inlineStr">
        <is>
          <t>CUL-0352</t>
        </is>
      </c>
      <c r="B356" s="11" t="n">
        <v>67</v>
      </c>
      <c r="C356" s="13" t="inlineStr">
        <is>
          <t>SIPEAGRO (UF-XXXXX)</t>
        </is>
      </c>
      <c r="D356" s="14" t="inlineStr">
        <is>
          <t>AGCN RIZOSPIRILLUM CX 14X1,5L</t>
        </is>
      </c>
      <c r="E356" s="13" t="inlineStr">
        <is>
          <t>Pulverização Agrícola Conforme Bula</t>
        </is>
      </c>
      <c r="F356" s="13" t="inlineStr">
        <is>
          <t>Milho</t>
        </is>
      </c>
      <c r="G356" s="13" t="inlineStr">
        <is>
          <t>Cultura Autorizada na Bula</t>
        </is>
      </c>
      <c r="H356" s="13" t="inlineStr">
        <is>
          <t>100 a 300 L/ha</t>
        </is>
      </c>
      <c r="I356" s="13" t="inlineStr">
        <is>
          <t>20 a 40 L/ha</t>
        </is>
      </c>
      <c r="J356" s="13" t="inlineStr">
        <is>
          <t>0 (Isento)</t>
        </is>
      </c>
    </row>
    <row r="357" ht="22" customHeight="1">
      <c r="A357" s="6" t="inlineStr">
        <is>
          <t>CUL-0353</t>
        </is>
      </c>
      <c r="B357" s="5" t="n">
        <v>67</v>
      </c>
      <c r="C357" s="7" t="inlineStr">
        <is>
          <t>SIPEAGRO (UF-XXXXX)</t>
        </is>
      </c>
      <c r="D357" s="8" t="inlineStr">
        <is>
          <t>AGCN RIZOSPIRILLUM CX 14X1,5L</t>
        </is>
      </c>
      <c r="E357" s="7" t="inlineStr">
        <is>
          <t>Pulverização Agrícola Conforme Bula</t>
        </is>
      </c>
      <c r="F357" s="7" t="inlineStr">
        <is>
          <t>Soja (Coinoculação)</t>
        </is>
      </c>
      <c r="G357" s="7" t="inlineStr">
        <is>
          <t>Cultura Autorizada na Bula</t>
        </is>
      </c>
      <c r="H357" s="7" t="inlineStr">
        <is>
          <t>100 a 300 L/ha</t>
        </is>
      </c>
      <c r="I357" s="7" t="inlineStr">
        <is>
          <t>20 a 40 L/ha</t>
        </is>
      </c>
      <c r="J357" s="7" t="inlineStr">
        <is>
          <t>0 (Isento)</t>
        </is>
      </c>
    </row>
    <row r="358" ht="22" customHeight="1">
      <c r="A358" s="12" t="inlineStr">
        <is>
          <t>CUL-0354</t>
        </is>
      </c>
      <c r="B358" s="11" t="n">
        <v>67</v>
      </c>
      <c r="C358" s="13" t="inlineStr">
        <is>
          <t>SIPEAGRO (UF-XXXXX)</t>
        </is>
      </c>
      <c r="D358" s="14" t="inlineStr">
        <is>
          <t>AGCN RIZOSPIRILLUM CX 14X1,5L</t>
        </is>
      </c>
      <c r="E358" s="13" t="inlineStr">
        <is>
          <t>Pulverização Agrícola Conforme Bula</t>
        </is>
      </c>
      <c r="F358" s="13" t="inlineStr">
        <is>
          <t>Trigo</t>
        </is>
      </c>
      <c r="G358" s="13" t="inlineStr">
        <is>
          <t>Cultura Autorizada na Bula</t>
        </is>
      </c>
      <c r="H358" s="13" t="inlineStr">
        <is>
          <t>100 a 300 L/ha</t>
        </is>
      </c>
      <c r="I358" s="13" t="inlineStr">
        <is>
          <t>20 a 40 L/ha</t>
        </is>
      </c>
      <c r="J358" s="13" t="inlineStr">
        <is>
          <t>0 (Isento)</t>
        </is>
      </c>
    </row>
    <row r="359" ht="22" customHeight="1">
      <c r="A359" s="6" t="inlineStr">
        <is>
          <t>CUL-0355</t>
        </is>
      </c>
      <c r="B359" s="5" t="n">
        <v>67</v>
      </c>
      <c r="C359" s="7" t="inlineStr">
        <is>
          <t>SIPEAGRO (UF-XXXXX)</t>
        </is>
      </c>
      <c r="D359" s="8" t="inlineStr">
        <is>
          <t>AGCN RIZOSPIRILLUM CX 14X1,5L</t>
        </is>
      </c>
      <c r="E359" s="7" t="inlineStr">
        <is>
          <t>Pulverização Agrícola Conforme Bula</t>
        </is>
      </c>
      <c r="F359" s="7" t="inlineStr">
        <is>
          <t>Pastagens (Brachiaria)</t>
        </is>
      </c>
      <c r="G359" s="7" t="inlineStr">
        <is>
          <t>Cultura Autorizada na Bula</t>
        </is>
      </c>
      <c r="H359" s="7" t="inlineStr">
        <is>
          <t>100 a 300 L/ha</t>
        </is>
      </c>
      <c r="I359" s="7" t="inlineStr">
        <is>
          <t>20 a 40 L/ha</t>
        </is>
      </c>
      <c r="J359" s="7" t="inlineStr">
        <is>
          <t>0 (Isento)</t>
        </is>
      </c>
    </row>
    <row r="360" ht="22" customHeight="1">
      <c r="A360" s="12" t="inlineStr">
        <is>
          <t>CUL-0356</t>
        </is>
      </c>
      <c r="B360" s="11" t="n">
        <v>68</v>
      </c>
      <c r="C360" s="13" t="inlineStr">
        <is>
          <t>ISENTO (ATO 104/2017)</t>
        </is>
      </c>
      <c r="D360" s="14" t="inlineStr">
        <is>
          <t>AGCN RIZOSPRAY EXTREMO</t>
        </is>
      </c>
      <c r="E360" s="13" t="inlineStr">
        <is>
          <t>Pulverização Agrícola Conforme Bula</t>
        </is>
      </c>
      <c r="F360" s="13" t="inlineStr">
        <is>
          <t>Soja, Milho, Algodão, Café, Citros, Cana-de-açúcar (Adição à calda)</t>
        </is>
      </c>
      <c r="G360" s="13" t="inlineStr">
        <is>
          <t>Cultura Autorizada na Bula</t>
        </is>
      </c>
      <c r="H360" s="13" t="inlineStr">
        <is>
          <t>100 a 300 L/ha</t>
        </is>
      </c>
      <c r="I360" s="13" t="inlineStr">
        <is>
          <t>20 a 40 L/ha</t>
        </is>
      </c>
      <c r="J360" s="13" t="inlineStr">
        <is>
          <t>Conforme defensivo principal</t>
        </is>
      </c>
    </row>
    <row r="361" ht="22" customHeight="1">
      <c r="A361" s="6" t="inlineStr">
        <is>
          <t>CUL-0357</t>
        </is>
      </c>
      <c r="B361" s="5" t="n">
        <v>69</v>
      </c>
      <c r="C361" s="7" t="inlineStr">
        <is>
          <t>ISENTO (ATO 104/2017)</t>
        </is>
      </c>
      <c r="D361" s="8" t="inlineStr">
        <is>
          <t>AGCN SILWET AG</t>
        </is>
      </c>
      <c r="E361" s="7" t="inlineStr">
        <is>
          <t>Pulverização Agrícola Conforme Bula</t>
        </is>
      </c>
      <c r="F361" s="7" t="inlineStr">
        <is>
          <t>Soja, Milho, Algodão, Café, Citros, Cana-de-açúcar (Adição à calda)</t>
        </is>
      </c>
      <c r="G361" s="7" t="inlineStr">
        <is>
          <t>Cultura Autorizada na Bula</t>
        </is>
      </c>
      <c r="H361" s="7" t="inlineStr">
        <is>
          <t>100 a 300 L/ha</t>
        </is>
      </c>
      <c r="I361" s="7" t="inlineStr">
        <is>
          <t>20 a 40 L/ha</t>
        </is>
      </c>
      <c r="J361" s="7" t="inlineStr">
        <is>
          <t>Conforme defensivo principal</t>
        </is>
      </c>
    </row>
    <row r="362" ht="22" customHeight="1">
      <c r="A362" s="12" t="inlineStr">
        <is>
          <t>CUL-0358</t>
        </is>
      </c>
      <c r="B362" s="11" t="n">
        <v>70</v>
      </c>
      <c r="C362" s="13" t="inlineStr">
        <is>
          <t>SIPEAGRO (UF-XXXXX)</t>
        </is>
      </c>
      <c r="D362" s="14" t="inlineStr">
        <is>
          <t>BIOMAX AZUM 5X1.8L</t>
        </is>
      </c>
      <c r="E362" s="13" t="inlineStr">
        <is>
          <t>Pulverização Agrícola Conforme Bula</t>
        </is>
      </c>
      <c r="F362" s="13" t="inlineStr">
        <is>
          <t>Milho</t>
        </is>
      </c>
      <c r="G362" s="13" t="inlineStr">
        <is>
          <t>Cultura Autorizada na Bula</t>
        </is>
      </c>
      <c r="H362" s="13" t="inlineStr">
        <is>
          <t>100 a 300 L/ha</t>
        </is>
      </c>
      <c r="I362" s="13" t="inlineStr">
        <is>
          <t>20 a 40 L/ha</t>
        </is>
      </c>
      <c r="J362" s="13" t="inlineStr">
        <is>
          <t>0 (Isento)</t>
        </is>
      </c>
    </row>
    <row r="363" ht="22" customHeight="1">
      <c r="A363" s="6" t="inlineStr">
        <is>
          <t>CUL-0359</t>
        </is>
      </c>
      <c r="B363" s="5" t="n">
        <v>70</v>
      </c>
      <c r="C363" s="7" t="inlineStr">
        <is>
          <t>SIPEAGRO (UF-XXXXX)</t>
        </is>
      </c>
      <c r="D363" s="8" t="inlineStr">
        <is>
          <t>BIOMAX AZUM 5X1.8L</t>
        </is>
      </c>
      <c r="E363" s="7" t="inlineStr">
        <is>
          <t>Pulverização Agrícola Conforme Bula</t>
        </is>
      </c>
      <c r="F363" s="7" t="inlineStr">
        <is>
          <t>Soja (Coinoculação)</t>
        </is>
      </c>
      <c r="G363" s="7" t="inlineStr">
        <is>
          <t>Cultura Autorizada na Bula</t>
        </is>
      </c>
      <c r="H363" s="7" t="inlineStr">
        <is>
          <t>100 a 300 L/ha</t>
        </is>
      </c>
      <c r="I363" s="7" t="inlineStr">
        <is>
          <t>20 a 40 L/ha</t>
        </is>
      </c>
      <c r="J363" s="7" t="inlineStr">
        <is>
          <t>0 (Isento)</t>
        </is>
      </c>
    </row>
    <row r="364" ht="22" customHeight="1">
      <c r="A364" s="12" t="inlineStr">
        <is>
          <t>CUL-0360</t>
        </is>
      </c>
      <c r="B364" s="11" t="n">
        <v>70</v>
      </c>
      <c r="C364" s="13" t="inlineStr">
        <is>
          <t>SIPEAGRO (UF-XXXXX)</t>
        </is>
      </c>
      <c r="D364" s="14" t="inlineStr">
        <is>
          <t>BIOMAX AZUM 5X1.8L</t>
        </is>
      </c>
      <c r="E364" s="13" t="inlineStr">
        <is>
          <t>Pulverização Agrícola Conforme Bula</t>
        </is>
      </c>
      <c r="F364" s="13" t="inlineStr">
        <is>
          <t>Trigo</t>
        </is>
      </c>
      <c r="G364" s="13" t="inlineStr">
        <is>
          <t>Cultura Autorizada na Bula</t>
        </is>
      </c>
      <c r="H364" s="13" t="inlineStr">
        <is>
          <t>100 a 300 L/ha</t>
        </is>
      </c>
      <c r="I364" s="13" t="inlineStr">
        <is>
          <t>20 a 40 L/ha</t>
        </is>
      </c>
      <c r="J364" s="13" t="inlineStr">
        <is>
          <t>0 (Isento)</t>
        </is>
      </c>
    </row>
    <row r="365" ht="22" customHeight="1">
      <c r="A365" s="6" t="inlineStr">
        <is>
          <t>CUL-0361</t>
        </is>
      </c>
      <c r="B365" s="5" t="n">
        <v>70</v>
      </c>
      <c r="C365" s="7" t="inlineStr">
        <is>
          <t>SIPEAGRO (UF-XXXXX)</t>
        </is>
      </c>
      <c r="D365" s="8" t="inlineStr">
        <is>
          <t>BIOMAX AZUM 5X1.8L</t>
        </is>
      </c>
      <c r="E365" s="7" t="inlineStr">
        <is>
          <t>Pulverização Agrícola Conforme Bula</t>
        </is>
      </c>
      <c r="F365" s="7" t="inlineStr">
        <is>
          <t>Pastagens (Brachiaria)</t>
        </is>
      </c>
      <c r="G365" s="7" t="inlineStr">
        <is>
          <t>Cultura Autorizada na Bula</t>
        </is>
      </c>
      <c r="H365" s="7" t="inlineStr">
        <is>
          <t>100 a 300 L/ha</t>
        </is>
      </c>
      <c r="I365" s="7" t="inlineStr">
        <is>
          <t>20 a 40 L/ha</t>
        </is>
      </c>
      <c r="J365" s="7" t="inlineStr">
        <is>
          <t>0 (Isento)</t>
        </is>
      </c>
    </row>
    <row r="366" ht="22" customHeight="1">
      <c r="A366" s="12" t="inlineStr">
        <is>
          <t>CUL-0362</t>
        </is>
      </c>
      <c r="B366" s="11" t="n">
        <v>71</v>
      </c>
      <c r="C366" s="13" t="inlineStr">
        <is>
          <t>SIPEAGRO (UF-XXXXX)</t>
        </is>
      </c>
      <c r="D366" s="14" t="inlineStr">
        <is>
          <t>AGCN POTASSIO</t>
        </is>
      </c>
      <c r="E366" s="13" t="inlineStr">
        <is>
          <t>Adubação de Solo / Foliar</t>
        </is>
      </c>
      <c r="F366" s="13" t="inlineStr">
        <is>
          <t>Soja</t>
        </is>
      </c>
      <c r="G366" s="13" t="inlineStr">
        <is>
          <t>Cultura Autorizada na Bula</t>
        </is>
      </c>
      <c r="H366" s="13" t="inlineStr">
        <is>
          <t>100 a 300 L/ha</t>
        </is>
      </c>
      <c r="I366" s="13" t="inlineStr">
        <is>
          <t>20 a 40 L/ha</t>
        </is>
      </c>
      <c r="J366" s="13" t="inlineStr">
        <is>
          <t>Isento</t>
        </is>
      </c>
    </row>
    <row r="367" ht="22" customHeight="1">
      <c r="A367" s="6" t="inlineStr">
        <is>
          <t>CUL-0363</t>
        </is>
      </c>
      <c r="B367" s="5" t="n">
        <v>71</v>
      </c>
      <c r="C367" s="7" t="inlineStr">
        <is>
          <t>SIPEAGRO (UF-XXXXX)</t>
        </is>
      </c>
      <c r="D367" s="8" t="inlineStr">
        <is>
          <t>AGCN POTASSIO</t>
        </is>
      </c>
      <c r="E367" s="7" t="inlineStr">
        <is>
          <t>Adubação de Solo / Foliar</t>
        </is>
      </c>
      <c r="F367" s="7" t="inlineStr">
        <is>
          <t>Milho</t>
        </is>
      </c>
      <c r="G367" s="7" t="inlineStr">
        <is>
          <t>Cultura Autorizada na Bula</t>
        </is>
      </c>
      <c r="H367" s="7" t="inlineStr">
        <is>
          <t>100 a 300 L/ha</t>
        </is>
      </c>
      <c r="I367" s="7" t="inlineStr">
        <is>
          <t>20 a 40 L/ha</t>
        </is>
      </c>
      <c r="J367" s="7" t="inlineStr">
        <is>
          <t>Isento</t>
        </is>
      </c>
    </row>
    <row r="368" ht="22" customHeight="1">
      <c r="A368" s="12" t="inlineStr">
        <is>
          <t>CUL-0364</t>
        </is>
      </c>
      <c r="B368" s="11" t="n">
        <v>71</v>
      </c>
      <c r="C368" s="13" t="inlineStr">
        <is>
          <t>SIPEAGRO (UF-XXXXX)</t>
        </is>
      </c>
      <c r="D368" s="14" t="inlineStr">
        <is>
          <t>AGCN POTASSIO</t>
        </is>
      </c>
      <c r="E368" s="13" t="inlineStr">
        <is>
          <t>Adubação de Solo / Foliar</t>
        </is>
      </c>
      <c r="F368" s="13" t="inlineStr">
        <is>
          <t>Algodão</t>
        </is>
      </c>
      <c r="G368" s="13" t="inlineStr">
        <is>
          <t>Cultura Autorizada na Bula</t>
        </is>
      </c>
      <c r="H368" s="13" t="inlineStr">
        <is>
          <t>100 a 300 L/ha</t>
        </is>
      </c>
      <c r="I368" s="13" t="inlineStr">
        <is>
          <t>20 a 40 L/ha</t>
        </is>
      </c>
      <c r="J368" s="13" t="inlineStr">
        <is>
          <t>Isento</t>
        </is>
      </c>
    </row>
    <row r="369" ht="22" customHeight="1">
      <c r="A369" s="6" t="inlineStr">
        <is>
          <t>CUL-0365</t>
        </is>
      </c>
      <c r="B369" s="5" t="n">
        <v>71</v>
      </c>
      <c r="C369" s="7" t="inlineStr">
        <is>
          <t>SIPEAGRO (UF-XXXXX)</t>
        </is>
      </c>
      <c r="D369" s="8" t="inlineStr">
        <is>
          <t>AGCN POTASSIO</t>
        </is>
      </c>
      <c r="E369" s="7" t="inlineStr">
        <is>
          <t>Adubação de Solo / Foliar</t>
        </is>
      </c>
      <c r="F369" s="7" t="inlineStr">
        <is>
          <t>Cana-de-açúcar</t>
        </is>
      </c>
      <c r="G369" s="7" t="inlineStr">
        <is>
          <t>Cultura Autorizada na Bula</t>
        </is>
      </c>
      <c r="H369" s="7" t="inlineStr">
        <is>
          <t>100 a 300 L/ha</t>
        </is>
      </c>
      <c r="I369" s="7" t="inlineStr">
        <is>
          <t>20 a 40 L/ha</t>
        </is>
      </c>
      <c r="J369" s="7" t="inlineStr">
        <is>
          <t>Isento</t>
        </is>
      </c>
    </row>
    <row r="370" ht="22" customHeight="1">
      <c r="A370" s="12" t="inlineStr">
        <is>
          <t>CUL-0366</t>
        </is>
      </c>
      <c r="B370" s="11" t="n">
        <v>71</v>
      </c>
      <c r="C370" s="13" t="inlineStr">
        <is>
          <t>SIPEAGRO (UF-XXXXX)</t>
        </is>
      </c>
      <c r="D370" s="14" t="inlineStr">
        <is>
          <t>AGCN POTASSIO</t>
        </is>
      </c>
      <c r="E370" s="13" t="inlineStr">
        <is>
          <t>Adubação de Solo / Foliar</t>
        </is>
      </c>
      <c r="F370" s="13" t="inlineStr">
        <is>
          <t>Café</t>
        </is>
      </c>
      <c r="G370" s="13" t="inlineStr">
        <is>
          <t>Cultura Autorizada na Bula</t>
        </is>
      </c>
      <c r="H370" s="13" t="inlineStr">
        <is>
          <t>100 a 300 L/ha</t>
        </is>
      </c>
      <c r="I370" s="13" t="inlineStr">
        <is>
          <t>20 a 40 L/ha</t>
        </is>
      </c>
      <c r="J370" s="13" t="inlineStr">
        <is>
          <t>Isento</t>
        </is>
      </c>
    </row>
    <row r="371" ht="22" customHeight="1">
      <c r="A371" s="6" t="inlineStr">
        <is>
          <t>CUL-0367</t>
        </is>
      </c>
      <c r="B371" s="5" t="n">
        <v>72</v>
      </c>
      <c r="C371" s="7" t="inlineStr">
        <is>
          <t>Nº 2020</t>
        </is>
      </c>
      <c r="D371" s="8" t="inlineStr">
        <is>
          <t>SAMURAI</t>
        </is>
      </c>
      <c r="E371" s="7" t="inlineStr">
        <is>
          <t>Pulverização Agrícola Conforme Bula</t>
        </is>
      </c>
      <c r="F371" s="7" t="inlineStr">
        <is>
          <t>Soja</t>
        </is>
      </c>
      <c r="G371" s="7" t="inlineStr">
        <is>
          <t>Cultura Autorizada na Bula</t>
        </is>
      </c>
      <c r="H371" s="7" t="inlineStr">
        <is>
          <t>100 a 300 L/ha</t>
        </is>
      </c>
      <c r="I371" s="7" t="inlineStr">
        <is>
          <t>20 a 40 L/ha</t>
        </is>
      </c>
      <c r="J371" s="7" t="inlineStr">
        <is>
          <t>14 dias</t>
        </is>
      </c>
    </row>
    <row r="372" ht="22" customHeight="1">
      <c r="A372" s="12" t="inlineStr">
        <is>
          <t>CUL-0368</t>
        </is>
      </c>
      <c r="B372" s="11" t="n">
        <v>72</v>
      </c>
      <c r="C372" s="13" t="inlineStr">
        <is>
          <t>Nº 2020</t>
        </is>
      </c>
      <c r="D372" s="14" t="inlineStr">
        <is>
          <t>SAMURAI</t>
        </is>
      </c>
      <c r="E372" s="13" t="inlineStr">
        <is>
          <t>Pulverização Agrícola Conforme Bula</t>
        </is>
      </c>
      <c r="F372" s="13" t="inlineStr">
        <is>
          <t>Milho</t>
        </is>
      </c>
      <c r="G372" s="13" t="inlineStr">
        <is>
          <t>Cultura Autorizada na Bula</t>
        </is>
      </c>
      <c r="H372" s="13" t="inlineStr">
        <is>
          <t>100 a 300 L/ha</t>
        </is>
      </c>
      <c r="I372" s="13" t="inlineStr">
        <is>
          <t>20 a 40 L/ha</t>
        </is>
      </c>
      <c r="J372" s="13" t="inlineStr">
        <is>
          <t>15 dias</t>
        </is>
      </c>
    </row>
    <row r="373" ht="22" customHeight="1">
      <c r="A373" s="6" t="inlineStr">
        <is>
          <t>CUL-0369</t>
        </is>
      </c>
      <c r="B373" s="5" t="n">
        <v>72</v>
      </c>
      <c r="C373" s="7" t="inlineStr">
        <is>
          <t>Nº 2020</t>
        </is>
      </c>
      <c r="D373" s="8" t="inlineStr">
        <is>
          <t>SAMURAI</t>
        </is>
      </c>
      <c r="E373" s="7" t="inlineStr">
        <is>
          <t>Pulverização Agrícola Conforme Bula</t>
        </is>
      </c>
      <c r="F373" s="7" t="inlineStr">
        <is>
          <t>Algodão</t>
        </is>
      </c>
      <c r="G373" s="7" t="inlineStr">
        <is>
          <t>Cultura Autorizada na Bula</t>
        </is>
      </c>
      <c r="H373" s="7" t="inlineStr">
        <is>
          <t>100 a 300 L/ha</t>
        </is>
      </c>
      <c r="I373" s="7" t="inlineStr">
        <is>
          <t>20 a 40 L/ha</t>
        </is>
      </c>
      <c r="J373" s="7" t="inlineStr">
        <is>
          <t>7 dias</t>
        </is>
      </c>
    </row>
    <row r="374" ht="22" customHeight="1">
      <c r="A374" s="12" t="inlineStr">
        <is>
          <t>CUL-0370</t>
        </is>
      </c>
      <c r="B374" s="11" t="n">
        <v>72</v>
      </c>
      <c r="C374" s="13" t="inlineStr">
        <is>
          <t>Nº 2020</t>
        </is>
      </c>
      <c r="D374" s="14" t="inlineStr">
        <is>
          <t>SAMURAI</t>
        </is>
      </c>
      <c r="E374" s="13" t="inlineStr">
        <is>
          <t>Pulverização Agrícola Conforme Bula</t>
        </is>
      </c>
      <c r="F374" s="13" t="inlineStr">
        <is>
          <t>Café</t>
        </is>
      </c>
      <c r="G374" s="13" t="inlineStr">
        <is>
          <t>Cultura Autorizada na Bula</t>
        </is>
      </c>
      <c r="H374" s="13" t="inlineStr">
        <is>
          <t>100 a 300 L/ha</t>
        </is>
      </c>
      <c r="I374" s="13" t="inlineStr">
        <is>
          <t>20 a 40 L/ha</t>
        </is>
      </c>
      <c r="J374" s="13" t="inlineStr">
        <is>
          <t>1 dias</t>
        </is>
      </c>
    </row>
    <row r="375" ht="22" customHeight="1">
      <c r="A375" s="6" t="inlineStr">
        <is>
          <t>CUL-0371</t>
        </is>
      </c>
      <c r="B375" s="5" t="n">
        <v>72</v>
      </c>
      <c r="C375" s="7" t="inlineStr">
        <is>
          <t>Nº 2020</t>
        </is>
      </c>
      <c r="D375" s="8" t="inlineStr">
        <is>
          <t>SAMURAI</t>
        </is>
      </c>
      <c r="E375" s="7" t="inlineStr">
        <is>
          <t>Pulverização Agrícola Conforme Bula</t>
        </is>
      </c>
      <c r="F375" s="7" t="inlineStr">
        <is>
          <t>Feijão</t>
        </is>
      </c>
      <c r="G375" s="7" t="inlineStr">
        <is>
          <t>Cultura Autorizada na Bula</t>
        </is>
      </c>
      <c r="H375" s="7" t="inlineStr">
        <is>
          <t>100 a 300 L/ha</t>
        </is>
      </c>
      <c r="I375" s="7" t="inlineStr">
        <is>
          <t>20 a 40 L/ha</t>
        </is>
      </c>
      <c r="J375" s="7" t="inlineStr">
        <is>
          <t>15 dias</t>
        </is>
      </c>
    </row>
    <row r="376" ht="22" customHeight="1">
      <c r="A376" s="12" t="inlineStr">
        <is>
          <t>CUL-0372</t>
        </is>
      </c>
      <c r="B376" s="11" t="n">
        <v>72</v>
      </c>
      <c r="C376" s="13" t="inlineStr">
        <is>
          <t>Nº 2020</t>
        </is>
      </c>
      <c r="D376" s="14" t="inlineStr">
        <is>
          <t>SAMURAI</t>
        </is>
      </c>
      <c r="E376" s="13" t="inlineStr">
        <is>
          <t>Pulverização Agrícola Conforme Bula</t>
        </is>
      </c>
      <c r="F376" s="13" t="inlineStr">
        <is>
          <t>Trigo</t>
        </is>
      </c>
      <c r="G376" s="13" t="inlineStr">
        <is>
          <t>Cultura Autorizada na Bula</t>
        </is>
      </c>
      <c r="H376" s="13" t="inlineStr">
        <is>
          <t>100 a 300 L/ha</t>
        </is>
      </c>
      <c r="I376" s="13" t="inlineStr">
        <is>
          <t>20 a 40 L/ha</t>
        </is>
      </c>
      <c r="J376" s="13" t="inlineStr">
        <is>
          <t>21 dias</t>
        </is>
      </c>
    </row>
    <row r="377" ht="22" customHeight="1">
      <c r="A377" s="6" t="inlineStr">
        <is>
          <t>CUL-0373</t>
        </is>
      </c>
      <c r="B377" s="5" t="n">
        <v>72</v>
      </c>
      <c r="C377" s="7" t="inlineStr">
        <is>
          <t>Nº 2020</t>
        </is>
      </c>
      <c r="D377" s="8" t="inlineStr">
        <is>
          <t>SAMURAI</t>
        </is>
      </c>
      <c r="E377" s="7" t="inlineStr">
        <is>
          <t>Pulverização Agrícola Conforme Bula</t>
        </is>
      </c>
      <c r="F377" s="7" t="inlineStr">
        <is>
          <t>Cana-de-açúcar</t>
        </is>
      </c>
      <c r="G377" s="7" t="inlineStr">
        <is>
          <t>Cultura Autorizada na Bula</t>
        </is>
      </c>
      <c r="H377" s="7" t="inlineStr">
        <is>
          <t>100 a 300 L/ha</t>
        </is>
      </c>
      <c r="I377" s="7" t="inlineStr">
        <is>
          <t>20 a 40 L/ha</t>
        </is>
      </c>
      <c r="J377" s="7" t="inlineStr">
        <is>
          <t>21 dias</t>
        </is>
      </c>
    </row>
    <row r="378" ht="22" customHeight="1">
      <c r="A378" s="12" t="inlineStr">
        <is>
          <t>CUL-0374</t>
        </is>
      </c>
      <c r="B378" s="11" t="n">
        <v>73</v>
      </c>
      <c r="C378" s="13" t="inlineStr">
        <is>
          <t>Nº 4110</t>
        </is>
      </c>
      <c r="D378" s="14" t="inlineStr">
        <is>
          <t>TRINCA CAPS</t>
        </is>
      </c>
      <c r="E378" s="13" t="inlineStr">
        <is>
          <t>Pulverização Agrícola Conforme Bula</t>
        </is>
      </c>
      <c r="F378" s="13" t="inlineStr">
        <is>
          <t>Soja</t>
        </is>
      </c>
      <c r="G378" s="13" t="inlineStr">
        <is>
          <t>Cultura Autorizada na Bula</t>
        </is>
      </c>
      <c r="H378" s="13" t="inlineStr">
        <is>
          <t>100 a 300 L/ha</t>
        </is>
      </c>
      <c r="I378" s="13" t="inlineStr">
        <is>
          <t>20 a 40 L/ha</t>
        </is>
      </c>
      <c r="J378" s="13" t="inlineStr">
        <is>
          <t>14 dias</t>
        </is>
      </c>
    </row>
    <row r="379" ht="22" customHeight="1">
      <c r="A379" s="6" t="inlineStr">
        <is>
          <t>CUL-0375</t>
        </is>
      </c>
      <c r="B379" s="5" t="n">
        <v>73</v>
      </c>
      <c r="C379" s="7" t="inlineStr">
        <is>
          <t>Nº 4110</t>
        </is>
      </c>
      <c r="D379" s="8" t="inlineStr">
        <is>
          <t>TRINCA CAPS</t>
        </is>
      </c>
      <c r="E379" s="7" t="inlineStr">
        <is>
          <t>Pulverização Agrícola Conforme Bula</t>
        </is>
      </c>
      <c r="F379" s="7" t="inlineStr">
        <is>
          <t>Milho</t>
        </is>
      </c>
      <c r="G379" s="7" t="inlineStr">
        <is>
          <t>Cultura Autorizada na Bula</t>
        </is>
      </c>
      <c r="H379" s="7" t="inlineStr">
        <is>
          <t>100 a 300 L/ha</t>
        </is>
      </c>
      <c r="I379" s="7" t="inlineStr">
        <is>
          <t>20 a 40 L/ha</t>
        </is>
      </c>
      <c r="J379" s="7" t="inlineStr">
        <is>
          <t>15 dias</t>
        </is>
      </c>
    </row>
    <row r="380" ht="22" customHeight="1">
      <c r="A380" s="12" t="inlineStr">
        <is>
          <t>CUL-0376</t>
        </is>
      </c>
      <c r="B380" s="11" t="n">
        <v>73</v>
      </c>
      <c r="C380" s="13" t="inlineStr">
        <is>
          <t>Nº 4110</t>
        </is>
      </c>
      <c r="D380" s="14" t="inlineStr">
        <is>
          <t>TRINCA CAPS</t>
        </is>
      </c>
      <c r="E380" s="13" t="inlineStr">
        <is>
          <t>Pulverização Agrícola Conforme Bula</t>
        </is>
      </c>
      <c r="F380" s="13" t="inlineStr">
        <is>
          <t>Algodão</t>
        </is>
      </c>
      <c r="G380" s="13" t="inlineStr">
        <is>
          <t>Cultura Autorizada na Bula</t>
        </is>
      </c>
      <c r="H380" s="13" t="inlineStr">
        <is>
          <t>100 a 300 L/ha</t>
        </is>
      </c>
      <c r="I380" s="13" t="inlineStr">
        <is>
          <t>20 a 40 L/ha</t>
        </is>
      </c>
      <c r="J380" s="13" t="inlineStr">
        <is>
          <t>7 dias</t>
        </is>
      </c>
    </row>
    <row r="381" ht="22" customHeight="1">
      <c r="A381" s="6" t="inlineStr">
        <is>
          <t>CUL-0377</t>
        </is>
      </c>
      <c r="B381" s="5" t="n">
        <v>73</v>
      </c>
      <c r="C381" s="7" t="inlineStr">
        <is>
          <t>Nº 4110</t>
        </is>
      </c>
      <c r="D381" s="8" t="inlineStr">
        <is>
          <t>TRINCA CAPS</t>
        </is>
      </c>
      <c r="E381" s="7" t="inlineStr">
        <is>
          <t>Pulverização Agrícola Conforme Bula</t>
        </is>
      </c>
      <c r="F381" s="7" t="inlineStr">
        <is>
          <t>Café</t>
        </is>
      </c>
      <c r="G381" s="7" t="inlineStr">
        <is>
          <t>Cultura Autorizada na Bula</t>
        </is>
      </c>
      <c r="H381" s="7" t="inlineStr">
        <is>
          <t>100 a 300 L/ha</t>
        </is>
      </c>
      <c r="I381" s="7" t="inlineStr">
        <is>
          <t>20 a 40 L/ha</t>
        </is>
      </c>
      <c r="J381" s="7" t="inlineStr">
        <is>
          <t>1 dias</t>
        </is>
      </c>
    </row>
    <row r="382" ht="22" customHeight="1">
      <c r="A382" s="12" t="inlineStr">
        <is>
          <t>CUL-0378</t>
        </is>
      </c>
      <c r="B382" s="11" t="n">
        <v>73</v>
      </c>
      <c r="C382" s="13" t="inlineStr">
        <is>
          <t>Nº 4110</t>
        </is>
      </c>
      <c r="D382" s="14" t="inlineStr">
        <is>
          <t>TRINCA CAPS</t>
        </is>
      </c>
      <c r="E382" s="13" t="inlineStr">
        <is>
          <t>Pulverização Agrícola Conforme Bula</t>
        </is>
      </c>
      <c r="F382" s="13" t="inlineStr">
        <is>
          <t>Feijão</t>
        </is>
      </c>
      <c r="G382" s="13" t="inlineStr">
        <is>
          <t>Cultura Autorizada na Bula</t>
        </is>
      </c>
      <c r="H382" s="13" t="inlineStr">
        <is>
          <t>100 a 300 L/ha</t>
        </is>
      </c>
      <c r="I382" s="13" t="inlineStr">
        <is>
          <t>20 a 40 L/ha</t>
        </is>
      </c>
      <c r="J382" s="13" t="inlineStr">
        <is>
          <t>15 dias</t>
        </is>
      </c>
    </row>
    <row r="383" ht="22" customHeight="1">
      <c r="A383" s="6" t="inlineStr">
        <is>
          <t>CUL-0379</t>
        </is>
      </c>
      <c r="B383" s="5" t="n">
        <v>73</v>
      </c>
      <c r="C383" s="7" t="inlineStr">
        <is>
          <t>Nº 4110</t>
        </is>
      </c>
      <c r="D383" s="8" t="inlineStr">
        <is>
          <t>TRINCA CAPS</t>
        </is>
      </c>
      <c r="E383" s="7" t="inlineStr">
        <is>
          <t>Pulverização Agrícola Conforme Bula</t>
        </is>
      </c>
      <c r="F383" s="7" t="inlineStr">
        <is>
          <t>Trigo</t>
        </is>
      </c>
      <c r="G383" s="7" t="inlineStr">
        <is>
          <t>Cultura Autorizada na Bula</t>
        </is>
      </c>
      <c r="H383" s="7" t="inlineStr">
        <is>
          <t>100 a 300 L/ha</t>
        </is>
      </c>
      <c r="I383" s="7" t="inlineStr">
        <is>
          <t>20 a 40 L/ha</t>
        </is>
      </c>
      <c r="J383" s="7" t="inlineStr">
        <is>
          <t>21 dias</t>
        </is>
      </c>
    </row>
    <row r="384" ht="22" customHeight="1">
      <c r="A384" s="12" t="inlineStr">
        <is>
          <t>CUL-0380</t>
        </is>
      </c>
      <c r="B384" s="11" t="n">
        <v>73</v>
      </c>
      <c r="C384" s="13" t="inlineStr">
        <is>
          <t>Nº 4110</t>
        </is>
      </c>
      <c r="D384" s="14" t="inlineStr">
        <is>
          <t>TRINCA CAPS</t>
        </is>
      </c>
      <c r="E384" s="13" t="inlineStr">
        <is>
          <t>Pulverização Agrícola Conforme Bula</t>
        </is>
      </c>
      <c r="F384" s="13" t="inlineStr">
        <is>
          <t>Cana-de-açúcar</t>
        </is>
      </c>
      <c r="G384" s="13" t="inlineStr">
        <is>
          <t>Cultura Autorizada na Bula</t>
        </is>
      </c>
      <c r="H384" s="13" t="inlineStr">
        <is>
          <t>100 a 300 L/ha</t>
        </is>
      </c>
      <c r="I384" s="13" t="inlineStr">
        <is>
          <t>20 a 40 L/ha</t>
        </is>
      </c>
      <c r="J384" s="13" t="inlineStr">
        <is>
          <t>21 dias</t>
        </is>
      </c>
    </row>
    <row r="385" ht="22" customHeight="1">
      <c r="A385" s="6" t="inlineStr">
        <is>
          <t>CUL-0381</t>
        </is>
      </c>
      <c r="B385" s="5" t="n">
        <v>74</v>
      </c>
      <c r="C385" s="7" t="inlineStr">
        <is>
          <t>Nº 17618</t>
        </is>
      </c>
      <c r="D385" s="8" t="inlineStr">
        <is>
          <t>KRATON 100 EC</t>
        </is>
      </c>
      <c r="E385" s="7" t="inlineStr">
        <is>
          <t>Pulverização Agrícola Conforme Bula</t>
        </is>
      </c>
      <c r="F385" s="7" t="inlineStr">
        <is>
          <t>Soja</t>
        </is>
      </c>
      <c r="G385" s="7" t="inlineStr">
        <is>
          <t>Cultura Autorizada na Bula</t>
        </is>
      </c>
      <c r="H385" s="7" t="inlineStr">
        <is>
          <t>100 a 300 L/ha</t>
        </is>
      </c>
      <c r="I385" s="7" t="inlineStr">
        <is>
          <t>20 a 40 L/ha</t>
        </is>
      </c>
      <c r="J385" s="7" t="inlineStr">
        <is>
          <t>35 dias</t>
        </is>
      </c>
    </row>
    <row r="386" ht="22" customHeight="1">
      <c r="A386" s="12" t="inlineStr">
        <is>
          <t>CUL-0382</t>
        </is>
      </c>
      <c r="B386" s="11" t="n">
        <v>74</v>
      </c>
      <c r="C386" s="13" t="inlineStr">
        <is>
          <t>Nº 17618</t>
        </is>
      </c>
      <c r="D386" s="14" t="inlineStr">
        <is>
          <t>KRATON 100 EC</t>
        </is>
      </c>
      <c r="E386" s="13" t="inlineStr">
        <is>
          <t>Pulverização Agrícola Conforme Bula</t>
        </is>
      </c>
      <c r="F386" s="13" t="inlineStr">
        <is>
          <t>Milho</t>
        </is>
      </c>
      <c r="G386" s="13" t="inlineStr">
        <is>
          <t>Cultura Autorizada na Bula</t>
        </is>
      </c>
      <c r="H386" s="13" t="inlineStr">
        <is>
          <t>100 a 300 L/ha</t>
        </is>
      </c>
      <c r="I386" s="13" t="inlineStr">
        <is>
          <t>20 a 40 L/ha</t>
        </is>
      </c>
      <c r="J386" s="13" t="inlineStr">
        <is>
          <t>35 dias</t>
        </is>
      </c>
    </row>
    <row r="387" ht="22" customHeight="1">
      <c r="A387" s="6" t="inlineStr">
        <is>
          <t>CUL-0383</t>
        </is>
      </c>
      <c r="B387" s="5" t="n">
        <v>74</v>
      </c>
      <c r="C387" s="7" t="inlineStr">
        <is>
          <t>Nº 17618</t>
        </is>
      </c>
      <c r="D387" s="8" t="inlineStr">
        <is>
          <t>KRATON 100 EC</t>
        </is>
      </c>
      <c r="E387" s="7" t="inlineStr">
        <is>
          <t>Pulverização Agrícola Conforme Bula</t>
        </is>
      </c>
      <c r="F387" s="7" t="inlineStr">
        <is>
          <t>Algodão</t>
        </is>
      </c>
      <c r="G387" s="7" t="inlineStr">
        <is>
          <t>Cultura Autorizada na Bula</t>
        </is>
      </c>
      <c r="H387" s="7" t="inlineStr">
        <is>
          <t>100 a 300 L/ha</t>
        </is>
      </c>
      <c r="I387" s="7" t="inlineStr">
        <is>
          <t>20 a 40 L/ha</t>
        </is>
      </c>
      <c r="J387" s="7" t="inlineStr">
        <is>
          <t>28 dias</t>
        </is>
      </c>
    </row>
    <row r="388" ht="22" customHeight="1">
      <c r="A388" s="12" t="inlineStr">
        <is>
          <t>CUL-0384</t>
        </is>
      </c>
      <c r="B388" s="11" t="n">
        <v>74</v>
      </c>
      <c r="C388" s="13" t="inlineStr">
        <is>
          <t>Nº 17618</t>
        </is>
      </c>
      <c r="D388" s="14" t="inlineStr">
        <is>
          <t>KRATON 100 EC</t>
        </is>
      </c>
      <c r="E388" s="13" t="inlineStr">
        <is>
          <t>Pulverização Agrícola Conforme Bula</t>
        </is>
      </c>
      <c r="F388" s="13" t="inlineStr">
        <is>
          <t>Batata</t>
        </is>
      </c>
      <c r="G388" s="13" t="inlineStr">
        <is>
          <t>Cultura Autorizada na Bula</t>
        </is>
      </c>
      <c r="H388" s="13" t="inlineStr">
        <is>
          <t>100 a 300 L/ha</t>
        </is>
      </c>
      <c r="I388" s="13" t="inlineStr">
        <is>
          <t>20 a 40 L/ha</t>
        </is>
      </c>
      <c r="J388" s="13" t="inlineStr">
        <is>
          <t>14 dias</t>
        </is>
      </c>
    </row>
    <row r="389" ht="22" customHeight="1">
      <c r="A389" s="6" t="inlineStr">
        <is>
          <t>CUL-0385</t>
        </is>
      </c>
      <c r="B389" s="5" t="n">
        <v>74</v>
      </c>
      <c r="C389" s="7" t="inlineStr">
        <is>
          <t>Nº 17618</t>
        </is>
      </c>
      <c r="D389" s="8" t="inlineStr">
        <is>
          <t>KRATON 100 EC</t>
        </is>
      </c>
      <c r="E389" s="7" t="inlineStr">
        <is>
          <t>Pulverização Agrícola Conforme Bula</t>
        </is>
      </c>
      <c r="F389" s="7" t="inlineStr">
        <is>
          <t>Tomate</t>
        </is>
      </c>
      <c r="G389" s="7" t="inlineStr">
        <is>
          <t>Cultura Autorizada na Bula</t>
        </is>
      </c>
      <c r="H389" s="7" t="inlineStr">
        <is>
          <t>100 a 300 L/ha</t>
        </is>
      </c>
      <c r="I389" s="7" t="inlineStr">
        <is>
          <t>20 a 40 L/ha</t>
        </is>
      </c>
      <c r="J389" s="7" t="inlineStr">
        <is>
          <t>10 dias</t>
        </is>
      </c>
    </row>
    <row r="390" ht="22" customHeight="1">
      <c r="A390" s="12" t="inlineStr">
        <is>
          <t>CUL-0386</t>
        </is>
      </c>
      <c r="B390" s="11" t="n">
        <v>74</v>
      </c>
      <c r="C390" s="13" t="inlineStr">
        <is>
          <t>Nº 17618</t>
        </is>
      </c>
      <c r="D390" s="14" t="inlineStr">
        <is>
          <t>KRATON 100 EC</t>
        </is>
      </c>
      <c r="E390" s="13" t="inlineStr">
        <is>
          <t>Pulverização Agrícola Conforme Bula</t>
        </is>
      </c>
      <c r="F390" s="13" t="inlineStr">
        <is>
          <t>Trigo</t>
        </is>
      </c>
      <c r="G390" s="13" t="inlineStr">
        <is>
          <t>Cultura Autorizada na Bula</t>
        </is>
      </c>
      <c r="H390" s="13" t="inlineStr">
        <is>
          <t>100 a 300 L/ha</t>
        </is>
      </c>
      <c r="I390" s="13" t="inlineStr">
        <is>
          <t>20 a 40 L/ha</t>
        </is>
      </c>
      <c r="J390" s="13" t="inlineStr">
        <is>
          <t>14 dias</t>
        </is>
      </c>
    </row>
    <row r="391" ht="22" customHeight="1">
      <c r="A391" s="6" t="inlineStr">
        <is>
          <t>CUL-0387</t>
        </is>
      </c>
      <c r="B391" s="5" t="n">
        <v>75</v>
      </c>
      <c r="C391" s="7" t="inlineStr">
        <is>
          <t>SIPEAGRO (UF-XXXXX)</t>
        </is>
      </c>
      <c r="D391" s="8" t="inlineStr">
        <is>
          <t>AGCN MAGNESIO</t>
        </is>
      </c>
      <c r="E391" s="7" t="inlineStr">
        <is>
          <t>Adubação de Solo / Foliar</t>
        </is>
      </c>
      <c r="F391" s="7" t="inlineStr">
        <is>
          <t>Soja</t>
        </is>
      </c>
      <c r="G391" s="7" t="inlineStr">
        <is>
          <t>Cultura Autorizada na Bula</t>
        </is>
      </c>
      <c r="H391" s="7" t="inlineStr">
        <is>
          <t>100 a 300 L/ha</t>
        </is>
      </c>
      <c r="I391" s="7" t="inlineStr">
        <is>
          <t>20 a 40 L/ha</t>
        </is>
      </c>
      <c r="J391" s="7" t="inlineStr">
        <is>
          <t>Isento</t>
        </is>
      </c>
    </row>
    <row r="392" ht="22" customHeight="1">
      <c r="A392" s="12" t="inlineStr">
        <is>
          <t>CUL-0388</t>
        </is>
      </c>
      <c r="B392" s="11" t="n">
        <v>75</v>
      </c>
      <c r="C392" s="13" t="inlineStr">
        <is>
          <t>SIPEAGRO (UF-XXXXX)</t>
        </is>
      </c>
      <c r="D392" s="14" t="inlineStr">
        <is>
          <t>AGCN MAGNESIO</t>
        </is>
      </c>
      <c r="E392" s="13" t="inlineStr">
        <is>
          <t>Adubação de Solo / Foliar</t>
        </is>
      </c>
      <c r="F392" s="13" t="inlineStr">
        <is>
          <t>Milho</t>
        </is>
      </c>
      <c r="G392" s="13" t="inlineStr">
        <is>
          <t>Cultura Autorizada na Bula</t>
        </is>
      </c>
      <c r="H392" s="13" t="inlineStr">
        <is>
          <t>100 a 300 L/ha</t>
        </is>
      </c>
      <c r="I392" s="13" t="inlineStr">
        <is>
          <t>20 a 40 L/ha</t>
        </is>
      </c>
      <c r="J392" s="13" t="inlineStr">
        <is>
          <t>Isento</t>
        </is>
      </c>
    </row>
    <row r="393" ht="22" customHeight="1">
      <c r="A393" s="6" t="inlineStr">
        <is>
          <t>CUL-0389</t>
        </is>
      </c>
      <c r="B393" s="5" t="n">
        <v>75</v>
      </c>
      <c r="C393" s="7" t="inlineStr">
        <is>
          <t>SIPEAGRO (UF-XXXXX)</t>
        </is>
      </c>
      <c r="D393" s="8" t="inlineStr">
        <is>
          <t>AGCN MAGNESIO</t>
        </is>
      </c>
      <c r="E393" s="7" t="inlineStr">
        <is>
          <t>Adubação de Solo / Foliar</t>
        </is>
      </c>
      <c r="F393" s="7" t="inlineStr">
        <is>
          <t>Algodão</t>
        </is>
      </c>
      <c r="G393" s="7" t="inlineStr">
        <is>
          <t>Cultura Autorizada na Bula</t>
        </is>
      </c>
      <c r="H393" s="7" t="inlineStr">
        <is>
          <t>100 a 300 L/ha</t>
        </is>
      </c>
      <c r="I393" s="7" t="inlineStr">
        <is>
          <t>20 a 40 L/ha</t>
        </is>
      </c>
      <c r="J393" s="7" t="inlineStr">
        <is>
          <t>Isento</t>
        </is>
      </c>
    </row>
    <row r="394" ht="22" customHeight="1">
      <c r="A394" s="12" t="inlineStr">
        <is>
          <t>CUL-0390</t>
        </is>
      </c>
      <c r="B394" s="11" t="n">
        <v>75</v>
      </c>
      <c r="C394" s="13" t="inlineStr">
        <is>
          <t>SIPEAGRO (UF-XXXXX)</t>
        </is>
      </c>
      <c r="D394" s="14" t="inlineStr">
        <is>
          <t>AGCN MAGNESIO</t>
        </is>
      </c>
      <c r="E394" s="13" t="inlineStr">
        <is>
          <t>Adubação de Solo / Foliar</t>
        </is>
      </c>
      <c r="F394" s="13" t="inlineStr">
        <is>
          <t>Cana-de-açúcar</t>
        </is>
      </c>
      <c r="G394" s="13" t="inlineStr">
        <is>
          <t>Cultura Autorizada na Bula</t>
        </is>
      </c>
      <c r="H394" s="13" t="inlineStr">
        <is>
          <t>100 a 300 L/ha</t>
        </is>
      </c>
      <c r="I394" s="13" t="inlineStr">
        <is>
          <t>20 a 40 L/ha</t>
        </is>
      </c>
      <c r="J394" s="13" t="inlineStr">
        <is>
          <t>Isento</t>
        </is>
      </c>
    </row>
    <row r="395" ht="22" customHeight="1">
      <c r="A395" s="6" t="inlineStr">
        <is>
          <t>CUL-0391</t>
        </is>
      </c>
      <c r="B395" s="5" t="n">
        <v>75</v>
      </c>
      <c r="C395" s="7" t="inlineStr">
        <is>
          <t>SIPEAGRO (UF-XXXXX)</t>
        </is>
      </c>
      <c r="D395" s="8" t="inlineStr">
        <is>
          <t>AGCN MAGNESIO</t>
        </is>
      </c>
      <c r="E395" s="7" t="inlineStr">
        <is>
          <t>Adubação de Solo / Foliar</t>
        </is>
      </c>
      <c r="F395" s="7" t="inlineStr">
        <is>
          <t>Café</t>
        </is>
      </c>
      <c r="G395" s="7" t="inlineStr">
        <is>
          <t>Cultura Autorizada na Bula</t>
        </is>
      </c>
      <c r="H395" s="7" t="inlineStr">
        <is>
          <t>100 a 300 L/ha</t>
        </is>
      </c>
      <c r="I395" s="7" t="inlineStr">
        <is>
          <t>20 a 40 L/ha</t>
        </is>
      </c>
      <c r="J395" s="7" t="inlineStr">
        <is>
          <t>Isento</t>
        </is>
      </c>
    </row>
    <row r="396" ht="22" customHeight="1">
      <c r="A396" s="12" t="inlineStr">
        <is>
          <t>CUL-0392</t>
        </is>
      </c>
      <c r="B396" s="11" t="n">
        <v>76</v>
      </c>
      <c r="C396" s="13" t="inlineStr">
        <is>
          <t>SIPEAGRO (UF-XXXXX)</t>
        </is>
      </c>
      <c r="D396" s="14" t="inlineStr">
        <is>
          <t>HAIFA MAG</t>
        </is>
      </c>
      <c r="E396" s="13" t="inlineStr">
        <is>
          <t>Adubação de Solo / Foliar</t>
        </is>
      </c>
      <c r="F396" s="13" t="inlineStr">
        <is>
          <t>Soja</t>
        </is>
      </c>
      <c r="G396" s="13" t="inlineStr">
        <is>
          <t>Cultura Autorizada na Bula</t>
        </is>
      </c>
      <c r="H396" s="13" t="inlineStr">
        <is>
          <t>100 a 300 L/ha</t>
        </is>
      </c>
      <c r="I396" s="13" t="inlineStr">
        <is>
          <t>20 a 40 L/ha</t>
        </is>
      </c>
      <c r="J396" s="13" t="inlineStr">
        <is>
          <t>Isento</t>
        </is>
      </c>
    </row>
    <row r="397" ht="22" customHeight="1">
      <c r="A397" s="6" t="inlineStr">
        <is>
          <t>CUL-0393</t>
        </is>
      </c>
      <c r="B397" s="5" t="n">
        <v>76</v>
      </c>
      <c r="C397" s="7" t="inlineStr">
        <is>
          <t>SIPEAGRO (UF-XXXXX)</t>
        </is>
      </c>
      <c r="D397" s="8" t="inlineStr">
        <is>
          <t>HAIFA MAG</t>
        </is>
      </c>
      <c r="E397" s="7" t="inlineStr">
        <is>
          <t>Adubação de Solo / Foliar</t>
        </is>
      </c>
      <c r="F397" s="7" t="inlineStr">
        <is>
          <t>Milho</t>
        </is>
      </c>
      <c r="G397" s="7" t="inlineStr">
        <is>
          <t>Cultura Autorizada na Bula</t>
        </is>
      </c>
      <c r="H397" s="7" t="inlineStr">
        <is>
          <t>100 a 300 L/ha</t>
        </is>
      </c>
      <c r="I397" s="7" t="inlineStr">
        <is>
          <t>20 a 40 L/ha</t>
        </is>
      </c>
      <c r="J397" s="7" t="inlineStr">
        <is>
          <t>Isento</t>
        </is>
      </c>
    </row>
    <row r="398" ht="22" customHeight="1">
      <c r="A398" s="12" t="inlineStr">
        <is>
          <t>CUL-0394</t>
        </is>
      </c>
      <c r="B398" s="11" t="n">
        <v>76</v>
      </c>
      <c r="C398" s="13" t="inlineStr">
        <is>
          <t>SIPEAGRO (UF-XXXXX)</t>
        </is>
      </c>
      <c r="D398" s="14" t="inlineStr">
        <is>
          <t>HAIFA MAG</t>
        </is>
      </c>
      <c r="E398" s="13" t="inlineStr">
        <is>
          <t>Adubação de Solo / Foliar</t>
        </is>
      </c>
      <c r="F398" s="13" t="inlineStr">
        <is>
          <t>Algodão</t>
        </is>
      </c>
      <c r="G398" s="13" t="inlineStr">
        <is>
          <t>Cultura Autorizada na Bula</t>
        </is>
      </c>
      <c r="H398" s="13" t="inlineStr">
        <is>
          <t>100 a 300 L/ha</t>
        </is>
      </c>
      <c r="I398" s="13" t="inlineStr">
        <is>
          <t>20 a 40 L/ha</t>
        </is>
      </c>
      <c r="J398" s="13" t="inlineStr">
        <is>
          <t>Isento</t>
        </is>
      </c>
    </row>
    <row r="399" ht="22" customHeight="1">
      <c r="A399" s="6" t="inlineStr">
        <is>
          <t>CUL-0395</t>
        </is>
      </c>
      <c r="B399" s="5" t="n">
        <v>76</v>
      </c>
      <c r="C399" s="7" t="inlineStr">
        <is>
          <t>SIPEAGRO (UF-XXXXX)</t>
        </is>
      </c>
      <c r="D399" s="8" t="inlineStr">
        <is>
          <t>HAIFA MAG</t>
        </is>
      </c>
      <c r="E399" s="7" t="inlineStr">
        <is>
          <t>Adubação de Solo / Foliar</t>
        </is>
      </c>
      <c r="F399" s="7" t="inlineStr">
        <is>
          <t>Cana-de-açúcar</t>
        </is>
      </c>
      <c r="G399" s="7" t="inlineStr">
        <is>
          <t>Cultura Autorizada na Bula</t>
        </is>
      </c>
      <c r="H399" s="7" t="inlineStr">
        <is>
          <t>100 a 300 L/ha</t>
        </is>
      </c>
      <c r="I399" s="7" t="inlineStr">
        <is>
          <t>20 a 40 L/ha</t>
        </is>
      </c>
      <c r="J399" s="7" t="inlineStr">
        <is>
          <t>Isento</t>
        </is>
      </c>
    </row>
    <row r="400" ht="22" customHeight="1">
      <c r="A400" s="12" t="inlineStr">
        <is>
          <t>CUL-0396</t>
        </is>
      </c>
      <c r="B400" s="11" t="n">
        <v>76</v>
      </c>
      <c r="C400" s="13" t="inlineStr">
        <is>
          <t>SIPEAGRO (UF-XXXXX)</t>
        </is>
      </c>
      <c r="D400" s="14" t="inlineStr">
        <is>
          <t>HAIFA MAG</t>
        </is>
      </c>
      <c r="E400" s="13" t="inlineStr">
        <is>
          <t>Adubação de Solo / Foliar</t>
        </is>
      </c>
      <c r="F400" s="13" t="inlineStr">
        <is>
          <t>Café</t>
        </is>
      </c>
      <c r="G400" s="13" t="inlineStr">
        <is>
          <t>Cultura Autorizada na Bula</t>
        </is>
      </c>
      <c r="H400" s="13" t="inlineStr">
        <is>
          <t>100 a 300 L/ha</t>
        </is>
      </c>
      <c r="I400" s="13" t="inlineStr">
        <is>
          <t>20 a 40 L/ha</t>
        </is>
      </c>
      <c r="J400" s="13" t="inlineStr">
        <is>
          <t>Isento</t>
        </is>
      </c>
    </row>
    <row r="401" ht="22" customHeight="1">
      <c r="A401" s="6" t="inlineStr">
        <is>
          <t>CUL-0397</t>
        </is>
      </c>
      <c r="B401" s="5" t="n">
        <v>77</v>
      </c>
      <c r="C401" s="7" t="inlineStr">
        <is>
          <t>Nº 1921</t>
        </is>
      </c>
      <c r="D401" s="8" t="inlineStr">
        <is>
          <t>EMZEB PLATINA 750 WG</t>
        </is>
      </c>
      <c r="E401" s="7" t="inlineStr">
        <is>
          <t>Pulverização Agrícola Conforme Bula</t>
        </is>
      </c>
      <c r="F401" s="7" t="inlineStr">
        <is>
          <t>Soja</t>
        </is>
      </c>
      <c r="G401" s="7" t="inlineStr">
        <is>
          <t>Cultura Autorizada na Bula</t>
        </is>
      </c>
      <c r="H401" s="7" t="inlineStr">
        <is>
          <t>100 a 300 L/ha</t>
        </is>
      </c>
      <c r="I401" s="7" t="inlineStr">
        <is>
          <t>20 a 40 L/ha</t>
        </is>
      </c>
      <c r="J401" s="7" t="inlineStr">
        <is>
          <t>21 dias</t>
        </is>
      </c>
    </row>
    <row r="402" ht="22" customHeight="1">
      <c r="A402" s="12" t="inlineStr">
        <is>
          <t>CUL-0398</t>
        </is>
      </c>
      <c r="B402" s="11" t="n">
        <v>77</v>
      </c>
      <c r="C402" s="13" t="inlineStr">
        <is>
          <t>Nº 1921</t>
        </is>
      </c>
      <c r="D402" s="14" t="inlineStr">
        <is>
          <t>EMZEB PLATINA 750 WG</t>
        </is>
      </c>
      <c r="E402" s="13" t="inlineStr">
        <is>
          <t>Pulverização Agrícola Conforme Bula</t>
        </is>
      </c>
      <c r="F402" s="13" t="inlineStr">
        <is>
          <t>Algodão</t>
        </is>
      </c>
      <c r="G402" s="13" t="inlineStr">
        <is>
          <t>Cultura Autorizada na Bula</t>
        </is>
      </c>
      <c r="H402" s="13" t="inlineStr">
        <is>
          <t>100 a 300 L/ha</t>
        </is>
      </c>
      <c r="I402" s="13" t="inlineStr">
        <is>
          <t>20 a 40 L/ha</t>
        </is>
      </c>
      <c r="J402" s="13" t="inlineStr">
        <is>
          <t>21 dias</t>
        </is>
      </c>
    </row>
    <row r="403" ht="22" customHeight="1">
      <c r="A403" s="6" t="inlineStr">
        <is>
          <t>CUL-0399</t>
        </is>
      </c>
      <c r="B403" s="5" t="n">
        <v>77</v>
      </c>
      <c r="C403" s="7" t="inlineStr">
        <is>
          <t>Nº 1921</t>
        </is>
      </c>
      <c r="D403" s="8" t="inlineStr">
        <is>
          <t>EMZEB PLATINA 750 WG</t>
        </is>
      </c>
      <c r="E403" s="7" t="inlineStr">
        <is>
          <t>Pulverização Agrícola Conforme Bula</t>
        </is>
      </c>
      <c r="F403" s="7" t="inlineStr">
        <is>
          <t>Café</t>
        </is>
      </c>
      <c r="G403" s="7" t="inlineStr">
        <is>
          <t>Cultura Autorizada na Bula</t>
        </is>
      </c>
      <c r="H403" s="7" t="inlineStr">
        <is>
          <t>100 a 300 L/ha</t>
        </is>
      </c>
      <c r="I403" s="7" t="inlineStr">
        <is>
          <t>20 a 40 L/ha</t>
        </is>
      </c>
      <c r="J403" s="7" t="inlineStr">
        <is>
          <t>21 dias</t>
        </is>
      </c>
    </row>
    <row r="404" ht="22" customHeight="1">
      <c r="A404" s="12" t="inlineStr">
        <is>
          <t>CUL-0400</t>
        </is>
      </c>
      <c r="B404" s="11" t="n">
        <v>77</v>
      </c>
      <c r="C404" s="13" t="inlineStr">
        <is>
          <t>Nº 1921</t>
        </is>
      </c>
      <c r="D404" s="14" t="inlineStr">
        <is>
          <t>EMZEB PLATINA 750 WG</t>
        </is>
      </c>
      <c r="E404" s="13" t="inlineStr">
        <is>
          <t>Pulverização Agrícola Conforme Bula</t>
        </is>
      </c>
      <c r="F404" s="13" t="inlineStr">
        <is>
          <t>Feijão</t>
        </is>
      </c>
      <c r="G404" s="13" t="inlineStr">
        <is>
          <t>Cultura Autorizada na Bula</t>
        </is>
      </c>
      <c r="H404" s="13" t="inlineStr">
        <is>
          <t>100 a 300 L/ha</t>
        </is>
      </c>
      <c r="I404" s="13" t="inlineStr">
        <is>
          <t>20 a 40 L/ha</t>
        </is>
      </c>
      <c r="J404" s="13" t="inlineStr">
        <is>
          <t>14 dias</t>
        </is>
      </c>
    </row>
    <row r="405" ht="22" customHeight="1">
      <c r="A405" s="6" t="inlineStr">
        <is>
          <t>CUL-0401</t>
        </is>
      </c>
      <c r="B405" s="5" t="n">
        <v>77</v>
      </c>
      <c r="C405" s="7" t="inlineStr">
        <is>
          <t>Nº 1921</t>
        </is>
      </c>
      <c r="D405" s="8" t="inlineStr">
        <is>
          <t>EMZEB PLATINA 750 WG</t>
        </is>
      </c>
      <c r="E405" s="7" t="inlineStr">
        <is>
          <t>Pulverização Agrícola Conforme Bula</t>
        </is>
      </c>
      <c r="F405" s="7" t="inlineStr">
        <is>
          <t>Milho</t>
        </is>
      </c>
      <c r="G405" s="7" t="inlineStr">
        <is>
          <t>Cultura Autorizada na Bula</t>
        </is>
      </c>
      <c r="H405" s="7" t="inlineStr">
        <is>
          <t>100 a 300 L/ha</t>
        </is>
      </c>
      <c r="I405" s="7" t="inlineStr">
        <is>
          <t>20 a 40 L/ha</t>
        </is>
      </c>
      <c r="J405" s="7" t="inlineStr">
        <is>
          <t>21 dias</t>
        </is>
      </c>
    </row>
    <row r="406" ht="22" customHeight="1">
      <c r="A406" s="12" t="inlineStr">
        <is>
          <t>CUL-0402</t>
        </is>
      </c>
      <c r="B406" s="11" t="n">
        <v>77</v>
      </c>
      <c r="C406" s="13" t="inlineStr">
        <is>
          <t>Nº 1921</t>
        </is>
      </c>
      <c r="D406" s="14" t="inlineStr">
        <is>
          <t>EMZEB PLATINA 750 WG</t>
        </is>
      </c>
      <c r="E406" s="13" t="inlineStr">
        <is>
          <t>Pulverização Agrícola Conforme Bula</t>
        </is>
      </c>
      <c r="F406" s="13" t="inlineStr">
        <is>
          <t>Batata</t>
        </is>
      </c>
      <c r="G406" s="13" t="inlineStr">
        <is>
          <t>Cultura Autorizada na Bula</t>
        </is>
      </c>
      <c r="H406" s="13" t="inlineStr">
        <is>
          <t>100 a 300 L/ha</t>
        </is>
      </c>
      <c r="I406" s="13" t="inlineStr">
        <is>
          <t>20 a 40 L/ha</t>
        </is>
      </c>
      <c r="J406" s="13" t="inlineStr">
        <is>
          <t>7 dias</t>
        </is>
      </c>
    </row>
    <row r="407" ht="22" customHeight="1">
      <c r="A407" s="6" t="inlineStr">
        <is>
          <t>CUL-0403</t>
        </is>
      </c>
      <c r="B407" s="5" t="n">
        <v>77</v>
      </c>
      <c r="C407" s="7" t="inlineStr">
        <is>
          <t>Nº 1921</t>
        </is>
      </c>
      <c r="D407" s="8" t="inlineStr">
        <is>
          <t>EMZEB PLATINA 750 WG</t>
        </is>
      </c>
      <c r="E407" s="7" t="inlineStr">
        <is>
          <t>Pulverização Agrícola Conforme Bula</t>
        </is>
      </c>
      <c r="F407" s="7" t="inlineStr">
        <is>
          <t>Tomate</t>
        </is>
      </c>
      <c r="G407" s="7" t="inlineStr">
        <is>
          <t>Cultura Autorizada na Bula</t>
        </is>
      </c>
      <c r="H407" s="7" t="inlineStr">
        <is>
          <t>100 a 300 L/ha</t>
        </is>
      </c>
      <c r="I407" s="7" t="inlineStr">
        <is>
          <t>20 a 40 L/ha</t>
        </is>
      </c>
      <c r="J407" s="7" t="inlineStr">
        <is>
          <t>7 dias</t>
        </is>
      </c>
    </row>
    <row r="408" ht="22" customHeight="1">
      <c r="A408" s="12" t="inlineStr">
        <is>
          <t>CUL-0404</t>
        </is>
      </c>
      <c r="B408" s="11" t="n">
        <v>77</v>
      </c>
      <c r="C408" s="13" t="inlineStr">
        <is>
          <t>Nº 1921</t>
        </is>
      </c>
      <c r="D408" s="14" t="inlineStr">
        <is>
          <t>EMZEB PLATINA 750 WG</t>
        </is>
      </c>
      <c r="E408" s="13" t="inlineStr">
        <is>
          <t>Pulverização Agrícola Conforme Bula</t>
        </is>
      </c>
      <c r="F408" s="13" t="inlineStr">
        <is>
          <t>Trigo</t>
        </is>
      </c>
      <c r="G408" s="13" t="inlineStr">
        <is>
          <t>Cultura Autorizada na Bula</t>
        </is>
      </c>
      <c r="H408" s="13" t="inlineStr">
        <is>
          <t>100 a 300 L/ha</t>
        </is>
      </c>
      <c r="I408" s="13" t="inlineStr">
        <is>
          <t>20 a 40 L/ha</t>
        </is>
      </c>
      <c r="J408" s="13" t="inlineStr">
        <is>
          <t>21 dias</t>
        </is>
      </c>
    </row>
    <row r="409" ht="22" customHeight="1">
      <c r="A409" s="6" t="inlineStr">
        <is>
          <t>CUL-0405</t>
        </is>
      </c>
      <c r="B409" s="5" t="n">
        <v>78</v>
      </c>
      <c r="C409" s="7" t="inlineStr">
        <is>
          <t>Nº 0720</t>
        </is>
      </c>
      <c r="D409" s="8" t="inlineStr">
        <is>
          <t>INDOZEB 750 WG</t>
        </is>
      </c>
      <c r="E409" s="7" t="inlineStr">
        <is>
          <t>Pulverização Agrícola Conforme Bula</t>
        </is>
      </c>
      <c r="F409" s="7" t="inlineStr">
        <is>
          <t>Soja</t>
        </is>
      </c>
      <c r="G409" s="7" t="inlineStr">
        <is>
          <t>Cultura Autorizada na Bula</t>
        </is>
      </c>
      <c r="H409" s="7" t="inlineStr">
        <is>
          <t>100 a 300 L/ha</t>
        </is>
      </c>
      <c r="I409" s="7" t="inlineStr">
        <is>
          <t>20 a 40 L/ha</t>
        </is>
      </c>
      <c r="J409" s="7" t="inlineStr">
        <is>
          <t>21 dias</t>
        </is>
      </c>
    </row>
    <row r="410" ht="22" customHeight="1">
      <c r="A410" s="12" t="inlineStr">
        <is>
          <t>CUL-0406</t>
        </is>
      </c>
      <c r="B410" s="11" t="n">
        <v>78</v>
      </c>
      <c r="C410" s="13" t="inlineStr">
        <is>
          <t>Nº 0720</t>
        </is>
      </c>
      <c r="D410" s="14" t="inlineStr">
        <is>
          <t>INDOZEB 750 WG</t>
        </is>
      </c>
      <c r="E410" s="13" t="inlineStr">
        <is>
          <t>Pulverização Agrícola Conforme Bula</t>
        </is>
      </c>
      <c r="F410" s="13" t="inlineStr">
        <is>
          <t>Algodão</t>
        </is>
      </c>
      <c r="G410" s="13" t="inlineStr">
        <is>
          <t>Cultura Autorizada na Bula</t>
        </is>
      </c>
      <c r="H410" s="13" t="inlineStr">
        <is>
          <t>100 a 300 L/ha</t>
        </is>
      </c>
      <c r="I410" s="13" t="inlineStr">
        <is>
          <t>20 a 40 L/ha</t>
        </is>
      </c>
      <c r="J410" s="13" t="inlineStr">
        <is>
          <t>21 dias</t>
        </is>
      </c>
    </row>
    <row r="411" ht="22" customHeight="1">
      <c r="A411" s="6" t="inlineStr">
        <is>
          <t>CUL-0407</t>
        </is>
      </c>
      <c r="B411" s="5" t="n">
        <v>78</v>
      </c>
      <c r="C411" s="7" t="inlineStr">
        <is>
          <t>Nº 0720</t>
        </is>
      </c>
      <c r="D411" s="8" t="inlineStr">
        <is>
          <t>INDOZEB 750 WG</t>
        </is>
      </c>
      <c r="E411" s="7" t="inlineStr">
        <is>
          <t>Pulverização Agrícola Conforme Bula</t>
        </is>
      </c>
      <c r="F411" s="7" t="inlineStr">
        <is>
          <t>Café</t>
        </is>
      </c>
      <c r="G411" s="7" t="inlineStr">
        <is>
          <t>Cultura Autorizada na Bula</t>
        </is>
      </c>
      <c r="H411" s="7" t="inlineStr">
        <is>
          <t>100 a 300 L/ha</t>
        </is>
      </c>
      <c r="I411" s="7" t="inlineStr">
        <is>
          <t>20 a 40 L/ha</t>
        </is>
      </c>
      <c r="J411" s="7" t="inlineStr">
        <is>
          <t>21 dias</t>
        </is>
      </c>
    </row>
    <row r="412" ht="22" customHeight="1">
      <c r="A412" s="12" t="inlineStr">
        <is>
          <t>CUL-0408</t>
        </is>
      </c>
      <c r="B412" s="11" t="n">
        <v>78</v>
      </c>
      <c r="C412" s="13" t="inlineStr">
        <is>
          <t>Nº 0720</t>
        </is>
      </c>
      <c r="D412" s="14" t="inlineStr">
        <is>
          <t>INDOZEB 750 WG</t>
        </is>
      </c>
      <c r="E412" s="13" t="inlineStr">
        <is>
          <t>Pulverização Agrícola Conforme Bula</t>
        </is>
      </c>
      <c r="F412" s="13" t="inlineStr">
        <is>
          <t>Feijão</t>
        </is>
      </c>
      <c r="G412" s="13" t="inlineStr">
        <is>
          <t>Cultura Autorizada na Bula</t>
        </is>
      </c>
      <c r="H412" s="13" t="inlineStr">
        <is>
          <t>100 a 300 L/ha</t>
        </is>
      </c>
      <c r="I412" s="13" t="inlineStr">
        <is>
          <t>20 a 40 L/ha</t>
        </is>
      </c>
      <c r="J412" s="13" t="inlineStr">
        <is>
          <t>14 dias</t>
        </is>
      </c>
    </row>
    <row r="413" ht="22" customHeight="1">
      <c r="A413" s="6" t="inlineStr">
        <is>
          <t>CUL-0409</t>
        </is>
      </c>
      <c r="B413" s="5" t="n">
        <v>78</v>
      </c>
      <c r="C413" s="7" t="inlineStr">
        <is>
          <t>Nº 0720</t>
        </is>
      </c>
      <c r="D413" s="8" t="inlineStr">
        <is>
          <t>INDOZEB 750 WG</t>
        </is>
      </c>
      <c r="E413" s="7" t="inlineStr">
        <is>
          <t>Pulverização Agrícola Conforme Bula</t>
        </is>
      </c>
      <c r="F413" s="7" t="inlineStr">
        <is>
          <t>Milho</t>
        </is>
      </c>
      <c r="G413" s="7" t="inlineStr">
        <is>
          <t>Cultura Autorizada na Bula</t>
        </is>
      </c>
      <c r="H413" s="7" t="inlineStr">
        <is>
          <t>100 a 300 L/ha</t>
        </is>
      </c>
      <c r="I413" s="7" t="inlineStr">
        <is>
          <t>20 a 40 L/ha</t>
        </is>
      </c>
      <c r="J413" s="7" t="inlineStr">
        <is>
          <t>21 dias</t>
        </is>
      </c>
    </row>
    <row r="414" ht="22" customHeight="1">
      <c r="A414" s="12" t="inlineStr">
        <is>
          <t>CUL-0410</t>
        </is>
      </c>
      <c r="B414" s="11" t="n">
        <v>78</v>
      </c>
      <c r="C414" s="13" t="inlineStr">
        <is>
          <t>Nº 0720</t>
        </is>
      </c>
      <c r="D414" s="14" t="inlineStr">
        <is>
          <t>INDOZEB 750 WG</t>
        </is>
      </c>
      <c r="E414" s="13" t="inlineStr">
        <is>
          <t>Pulverização Agrícola Conforme Bula</t>
        </is>
      </c>
      <c r="F414" s="13" t="inlineStr">
        <is>
          <t>Batata</t>
        </is>
      </c>
      <c r="G414" s="13" t="inlineStr">
        <is>
          <t>Cultura Autorizada na Bula</t>
        </is>
      </c>
      <c r="H414" s="13" t="inlineStr">
        <is>
          <t>100 a 300 L/ha</t>
        </is>
      </c>
      <c r="I414" s="13" t="inlineStr">
        <is>
          <t>20 a 40 L/ha</t>
        </is>
      </c>
      <c r="J414" s="13" t="inlineStr">
        <is>
          <t>7 dias</t>
        </is>
      </c>
    </row>
    <row r="415" ht="22" customHeight="1">
      <c r="A415" s="6" t="inlineStr">
        <is>
          <t>CUL-0411</t>
        </is>
      </c>
      <c r="B415" s="5" t="n">
        <v>78</v>
      </c>
      <c r="C415" s="7" t="inlineStr">
        <is>
          <t>Nº 0720</t>
        </is>
      </c>
      <c r="D415" s="8" t="inlineStr">
        <is>
          <t>INDOZEB 750 WG</t>
        </is>
      </c>
      <c r="E415" s="7" t="inlineStr">
        <is>
          <t>Pulverização Agrícola Conforme Bula</t>
        </is>
      </c>
      <c r="F415" s="7" t="inlineStr">
        <is>
          <t>Tomate</t>
        </is>
      </c>
      <c r="G415" s="7" t="inlineStr">
        <is>
          <t>Cultura Autorizada na Bula</t>
        </is>
      </c>
      <c r="H415" s="7" t="inlineStr">
        <is>
          <t>100 a 300 L/ha</t>
        </is>
      </c>
      <c r="I415" s="7" t="inlineStr">
        <is>
          <t>20 a 40 L/ha</t>
        </is>
      </c>
      <c r="J415" s="7" t="inlineStr">
        <is>
          <t>7 dias</t>
        </is>
      </c>
    </row>
    <row r="416" ht="22" customHeight="1">
      <c r="A416" s="12" t="inlineStr">
        <is>
          <t>CUL-0412</t>
        </is>
      </c>
      <c r="B416" s="11" t="n">
        <v>78</v>
      </c>
      <c r="C416" s="13" t="inlineStr">
        <is>
          <t>Nº 0720</t>
        </is>
      </c>
      <c r="D416" s="14" t="inlineStr">
        <is>
          <t>INDOZEB 750 WG</t>
        </is>
      </c>
      <c r="E416" s="13" t="inlineStr">
        <is>
          <t>Pulverização Agrícola Conforme Bula</t>
        </is>
      </c>
      <c r="F416" s="13" t="inlineStr">
        <is>
          <t>Trigo</t>
        </is>
      </c>
      <c r="G416" s="13" t="inlineStr">
        <is>
          <t>Cultura Autorizada na Bula</t>
        </is>
      </c>
      <c r="H416" s="13" t="inlineStr">
        <is>
          <t>100 a 300 L/ha</t>
        </is>
      </c>
      <c r="I416" s="13" t="inlineStr">
        <is>
          <t>20 a 40 L/ha</t>
        </is>
      </c>
      <c r="J416" s="13" t="inlineStr">
        <is>
          <t>21 dias</t>
        </is>
      </c>
    </row>
    <row r="417" ht="22" customHeight="1">
      <c r="A417" s="6" t="inlineStr">
        <is>
          <t>CUL-0413</t>
        </is>
      </c>
      <c r="B417" s="5" t="n">
        <v>79</v>
      </c>
      <c r="C417" s="7" t="inlineStr">
        <is>
          <t>Nº 6313</t>
        </is>
      </c>
      <c r="D417" s="8" t="inlineStr">
        <is>
          <t>MANFIL 800 WP</t>
        </is>
      </c>
      <c r="E417" s="7" t="inlineStr">
        <is>
          <t>Pulverização Agrícola Conforme Bula</t>
        </is>
      </c>
      <c r="F417" s="7" t="inlineStr">
        <is>
          <t>Soja</t>
        </is>
      </c>
      <c r="G417" s="7" t="inlineStr">
        <is>
          <t>Cultura Autorizada na Bula</t>
        </is>
      </c>
      <c r="H417" s="7" t="inlineStr">
        <is>
          <t>100 a 300 L/ha</t>
        </is>
      </c>
      <c r="I417" s="7" t="inlineStr">
        <is>
          <t>20 a 40 L/ha</t>
        </is>
      </c>
      <c r="J417" s="7" t="inlineStr">
        <is>
          <t>21 dias</t>
        </is>
      </c>
    </row>
    <row r="418" ht="22" customHeight="1">
      <c r="A418" s="12" t="inlineStr">
        <is>
          <t>CUL-0414</t>
        </is>
      </c>
      <c r="B418" s="11" t="n">
        <v>79</v>
      </c>
      <c r="C418" s="13" t="inlineStr">
        <is>
          <t>Nº 6313</t>
        </is>
      </c>
      <c r="D418" s="14" t="inlineStr">
        <is>
          <t>MANFIL 800 WP</t>
        </is>
      </c>
      <c r="E418" s="13" t="inlineStr">
        <is>
          <t>Pulverização Agrícola Conforme Bula</t>
        </is>
      </c>
      <c r="F418" s="13" t="inlineStr">
        <is>
          <t>Algodão</t>
        </is>
      </c>
      <c r="G418" s="13" t="inlineStr">
        <is>
          <t>Cultura Autorizada na Bula</t>
        </is>
      </c>
      <c r="H418" s="13" t="inlineStr">
        <is>
          <t>100 a 300 L/ha</t>
        </is>
      </c>
      <c r="I418" s="13" t="inlineStr">
        <is>
          <t>20 a 40 L/ha</t>
        </is>
      </c>
      <c r="J418" s="13" t="inlineStr">
        <is>
          <t>21 dias</t>
        </is>
      </c>
    </row>
    <row r="419" ht="22" customHeight="1">
      <c r="A419" s="6" t="inlineStr">
        <is>
          <t>CUL-0415</t>
        </is>
      </c>
      <c r="B419" s="5" t="n">
        <v>79</v>
      </c>
      <c r="C419" s="7" t="inlineStr">
        <is>
          <t>Nº 6313</t>
        </is>
      </c>
      <c r="D419" s="8" t="inlineStr">
        <is>
          <t>MANFIL 800 WP</t>
        </is>
      </c>
      <c r="E419" s="7" t="inlineStr">
        <is>
          <t>Pulverização Agrícola Conforme Bula</t>
        </is>
      </c>
      <c r="F419" s="7" t="inlineStr">
        <is>
          <t>Café</t>
        </is>
      </c>
      <c r="G419" s="7" t="inlineStr">
        <is>
          <t>Cultura Autorizada na Bula</t>
        </is>
      </c>
      <c r="H419" s="7" t="inlineStr">
        <is>
          <t>100 a 300 L/ha</t>
        </is>
      </c>
      <c r="I419" s="7" t="inlineStr">
        <is>
          <t>20 a 40 L/ha</t>
        </is>
      </c>
      <c r="J419" s="7" t="inlineStr">
        <is>
          <t>21 dias</t>
        </is>
      </c>
    </row>
    <row r="420" ht="22" customHeight="1">
      <c r="A420" s="12" t="inlineStr">
        <is>
          <t>CUL-0416</t>
        </is>
      </c>
      <c r="B420" s="11" t="n">
        <v>79</v>
      </c>
      <c r="C420" s="13" t="inlineStr">
        <is>
          <t>Nº 6313</t>
        </is>
      </c>
      <c r="D420" s="14" t="inlineStr">
        <is>
          <t>MANFIL 800 WP</t>
        </is>
      </c>
      <c r="E420" s="13" t="inlineStr">
        <is>
          <t>Pulverização Agrícola Conforme Bula</t>
        </is>
      </c>
      <c r="F420" s="13" t="inlineStr">
        <is>
          <t>Feijão</t>
        </is>
      </c>
      <c r="G420" s="13" t="inlineStr">
        <is>
          <t>Cultura Autorizada na Bula</t>
        </is>
      </c>
      <c r="H420" s="13" t="inlineStr">
        <is>
          <t>100 a 300 L/ha</t>
        </is>
      </c>
      <c r="I420" s="13" t="inlineStr">
        <is>
          <t>20 a 40 L/ha</t>
        </is>
      </c>
      <c r="J420" s="13" t="inlineStr">
        <is>
          <t>14 dias</t>
        </is>
      </c>
    </row>
    <row r="421" ht="22" customHeight="1">
      <c r="A421" s="6" t="inlineStr">
        <is>
          <t>CUL-0417</t>
        </is>
      </c>
      <c r="B421" s="5" t="n">
        <v>79</v>
      </c>
      <c r="C421" s="7" t="inlineStr">
        <is>
          <t>Nº 6313</t>
        </is>
      </c>
      <c r="D421" s="8" t="inlineStr">
        <is>
          <t>MANFIL 800 WP</t>
        </is>
      </c>
      <c r="E421" s="7" t="inlineStr">
        <is>
          <t>Pulverização Agrícola Conforme Bula</t>
        </is>
      </c>
      <c r="F421" s="7" t="inlineStr">
        <is>
          <t>Milho</t>
        </is>
      </c>
      <c r="G421" s="7" t="inlineStr">
        <is>
          <t>Cultura Autorizada na Bula</t>
        </is>
      </c>
      <c r="H421" s="7" t="inlineStr">
        <is>
          <t>100 a 300 L/ha</t>
        </is>
      </c>
      <c r="I421" s="7" t="inlineStr">
        <is>
          <t>20 a 40 L/ha</t>
        </is>
      </c>
      <c r="J421" s="7" t="inlineStr">
        <is>
          <t>21 dias</t>
        </is>
      </c>
    </row>
    <row r="422" ht="22" customHeight="1">
      <c r="A422" s="12" t="inlineStr">
        <is>
          <t>CUL-0418</t>
        </is>
      </c>
      <c r="B422" s="11" t="n">
        <v>79</v>
      </c>
      <c r="C422" s="13" t="inlineStr">
        <is>
          <t>Nº 6313</t>
        </is>
      </c>
      <c r="D422" s="14" t="inlineStr">
        <is>
          <t>MANFIL 800 WP</t>
        </is>
      </c>
      <c r="E422" s="13" t="inlineStr">
        <is>
          <t>Pulverização Agrícola Conforme Bula</t>
        </is>
      </c>
      <c r="F422" s="13" t="inlineStr">
        <is>
          <t>Batata</t>
        </is>
      </c>
      <c r="G422" s="13" t="inlineStr">
        <is>
          <t>Cultura Autorizada na Bula</t>
        </is>
      </c>
      <c r="H422" s="13" t="inlineStr">
        <is>
          <t>100 a 300 L/ha</t>
        </is>
      </c>
      <c r="I422" s="13" t="inlineStr">
        <is>
          <t>20 a 40 L/ha</t>
        </is>
      </c>
      <c r="J422" s="13" t="inlineStr">
        <is>
          <t>7 dias</t>
        </is>
      </c>
    </row>
    <row r="423" ht="22" customHeight="1">
      <c r="A423" s="6" t="inlineStr">
        <is>
          <t>CUL-0419</t>
        </is>
      </c>
      <c r="B423" s="5" t="n">
        <v>79</v>
      </c>
      <c r="C423" s="7" t="inlineStr">
        <is>
          <t>Nº 6313</t>
        </is>
      </c>
      <c r="D423" s="8" t="inlineStr">
        <is>
          <t>MANFIL 800 WP</t>
        </is>
      </c>
      <c r="E423" s="7" t="inlineStr">
        <is>
          <t>Pulverização Agrícola Conforme Bula</t>
        </is>
      </c>
      <c r="F423" s="7" t="inlineStr">
        <is>
          <t>Tomate</t>
        </is>
      </c>
      <c r="G423" s="7" t="inlineStr">
        <is>
          <t>Cultura Autorizada na Bula</t>
        </is>
      </c>
      <c r="H423" s="7" t="inlineStr">
        <is>
          <t>100 a 300 L/ha</t>
        </is>
      </c>
      <c r="I423" s="7" t="inlineStr">
        <is>
          <t>20 a 40 L/ha</t>
        </is>
      </c>
      <c r="J423" s="7" t="inlineStr">
        <is>
          <t>7 dias</t>
        </is>
      </c>
    </row>
    <row r="424" ht="22" customHeight="1">
      <c r="A424" s="12" t="inlineStr">
        <is>
          <t>CUL-0420</t>
        </is>
      </c>
      <c r="B424" s="11" t="n">
        <v>79</v>
      </c>
      <c r="C424" s="13" t="inlineStr">
        <is>
          <t>Nº 6313</t>
        </is>
      </c>
      <c r="D424" s="14" t="inlineStr">
        <is>
          <t>MANFIL 800 WP</t>
        </is>
      </c>
      <c r="E424" s="13" t="inlineStr">
        <is>
          <t>Pulverização Agrícola Conforme Bula</t>
        </is>
      </c>
      <c r="F424" s="13" t="inlineStr">
        <is>
          <t>Trigo</t>
        </is>
      </c>
      <c r="G424" s="13" t="inlineStr">
        <is>
          <t>Cultura Autorizada na Bula</t>
        </is>
      </c>
      <c r="H424" s="13" t="inlineStr">
        <is>
          <t>100 a 300 L/ha</t>
        </is>
      </c>
      <c r="I424" s="13" t="inlineStr">
        <is>
          <t>20 a 40 L/ha</t>
        </is>
      </c>
      <c r="J424" s="13" t="inlineStr">
        <is>
          <t>21 dias</t>
        </is>
      </c>
    </row>
    <row r="425" ht="22" customHeight="1">
      <c r="A425" s="6" t="inlineStr">
        <is>
          <t>CUL-0421</t>
        </is>
      </c>
      <c r="B425" s="5" t="n">
        <v>80</v>
      </c>
      <c r="C425" s="7" t="inlineStr">
        <is>
          <t>Nº 6313</t>
        </is>
      </c>
      <c r="D425" s="8" t="inlineStr">
        <is>
          <t>MANFIL 800 WP 1X7,5KG (AGUARDAR FISCAL)</t>
        </is>
      </c>
      <c r="E425" s="7" t="inlineStr">
        <is>
          <t>Pulverização Agrícola Conforme Bula</t>
        </is>
      </c>
      <c r="F425" s="7" t="inlineStr">
        <is>
          <t>Soja</t>
        </is>
      </c>
      <c r="G425" s="7" t="inlineStr">
        <is>
          <t>Cultura Autorizada na Bula</t>
        </is>
      </c>
      <c r="H425" s="7" t="inlineStr">
        <is>
          <t>100 a 300 L/ha</t>
        </is>
      </c>
      <c r="I425" s="7" t="inlineStr">
        <is>
          <t>20 a 40 L/ha</t>
        </is>
      </c>
      <c r="J425" s="7" t="inlineStr">
        <is>
          <t>21 dias</t>
        </is>
      </c>
    </row>
    <row r="426" ht="22" customHeight="1">
      <c r="A426" s="12" t="inlineStr">
        <is>
          <t>CUL-0422</t>
        </is>
      </c>
      <c r="B426" s="11" t="n">
        <v>80</v>
      </c>
      <c r="C426" s="13" t="inlineStr">
        <is>
          <t>Nº 6313</t>
        </is>
      </c>
      <c r="D426" s="14" t="inlineStr">
        <is>
          <t>MANFIL 800 WP 1X7,5KG (AGUARDAR FISCAL)</t>
        </is>
      </c>
      <c r="E426" s="13" t="inlineStr">
        <is>
          <t>Pulverização Agrícola Conforme Bula</t>
        </is>
      </c>
      <c r="F426" s="13" t="inlineStr">
        <is>
          <t>Algodão</t>
        </is>
      </c>
      <c r="G426" s="13" t="inlineStr">
        <is>
          <t>Cultura Autorizada na Bula</t>
        </is>
      </c>
      <c r="H426" s="13" t="inlineStr">
        <is>
          <t>100 a 300 L/ha</t>
        </is>
      </c>
      <c r="I426" s="13" t="inlineStr">
        <is>
          <t>20 a 40 L/ha</t>
        </is>
      </c>
      <c r="J426" s="13" t="inlineStr">
        <is>
          <t>21 dias</t>
        </is>
      </c>
    </row>
    <row r="427" ht="22" customHeight="1">
      <c r="A427" s="6" t="inlineStr">
        <is>
          <t>CUL-0423</t>
        </is>
      </c>
      <c r="B427" s="5" t="n">
        <v>80</v>
      </c>
      <c r="C427" s="7" t="inlineStr">
        <is>
          <t>Nº 6313</t>
        </is>
      </c>
      <c r="D427" s="8" t="inlineStr">
        <is>
          <t>MANFIL 800 WP 1X7,5KG (AGUARDAR FISCAL)</t>
        </is>
      </c>
      <c r="E427" s="7" t="inlineStr">
        <is>
          <t>Pulverização Agrícola Conforme Bula</t>
        </is>
      </c>
      <c r="F427" s="7" t="inlineStr">
        <is>
          <t>Café</t>
        </is>
      </c>
      <c r="G427" s="7" t="inlineStr">
        <is>
          <t>Cultura Autorizada na Bula</t>
        </is>
      </c>
      <c r="H427" s="7" t="inlineStr">
        <is>
          <t>100 a 300 L/ha</t>
        </is>
      </c>
      <c r="I427" s="7" t="inlineStr">
        <is>
          <t>20 a 40 L/ha</t>
        </is>
      </c>
      <c r="J427" s="7" t="inlineStr">
        <is>
          <t>21 dias</t>
        </is>
      </c>
    </row>
    <row r="428" ht="22" customHeight="1">
      <c r="A428" s="12" t="inlineStr">
        <is>
          <t>CUL-0424</t>
        </is>
      </c>
      <c r="B428" s="11" t="n">
        <v>80</v>
      </c>
      <c r="C428" s="13" t="inlineStr">
        <is>
          <t>Nº 6313</t>
        </is>
      </c>
      <c r="D428" s="14" t="inlineStr">
        <is>
          <t>MANFIL 800 WP 1X7,5KG (AGUARDAR FISCAL)</t>
        </is>
      </c>
      <c r="E428" s="13" t="inlineStr">
        <is>
          <t>Pulverização Agrícola Conforme Bula</t>
        </is>
      </c>
      <c r="F428" s="13" t="inlineStr">
        <is>
          <t>Feijão</t>
        </is>
      </c>
      <c r="G428" s="13" t="inlineStr">
        <is>
          <t>Cultura Autorizada na Bula</t>
        </is>
      </c>
      <c r="H428" s="13" t="inlineStr">
        <is>
          <t>100 a 300 L/ha</t>
        </is>
      </c>
      <c r="I428" s="13" t="inlineStr">
        <is>
          <t>20 a 40 L/ha</t>
        </is>
      </c>
      <c r="J428" s="13" t="inlineStr">
        <is>
          <t>14 dias</t>
        </is>
      </c>
    </row>
    <row r="429" ht="22" customHeight="1">
      <c r="A429" s="6" t="inlineStr">
        <is>
          <t>CUL-0425</t>
        </is>
      </c>
      <c r="B429" s="5" t="n">
        <v>80</v>
      </c>
      <c r="C429" s="7" t="inlineStr">
        <is>
          <t>Nº 6313</t>
        </is>
      </c>
      <c r="D429" s="8" t="inlineStr">
        <is>
          <t>MANFIL 800 WP 1X7,5KG (AGUARDAR FISCAL)</t>
        </is>
      </c>
      <c r="E429" s="7" t="inlineStr">
        <is>
          <t>Pulverização Agrícola Conforme Bula</t>
        </is>
      </c>
      <c r="F429" s="7" t="inlineStr">
        <is>
          <t>Milho</t>
        </is>
      </c>
      <c r="G429" s="7" t="inlineStr">
        <is>
          <t>Cultura Autorizada na Bula</t>
        </is>
      </c>
      <c r="H429" s="7" t="inlineStr">
        <is>
          <t>100 a 300 L/ha</t>
        </is>
      </c>
      <c r="I429" s="7" t="inlineStr">
        <is>
          <t>20 a 40 L/ha</t>
        </is>
      </c>
      <c r="J429" s="7" t="inlineStr">
        <is>
          <t>21 dias</t>
        </is>
      </c>
    </row>
    <row r="430" ht="22" customHeight="1">
      <c r="A430" s="12" t="inlineStr">
        <is>
          <t>CUL-0426</t>
        </is>
      </c>
      <c r="B430" s="11" t="n">
        <v>80</v>
      </c>
      <c r="C430" s="13" t="inlineStr">
        <is>
          <t>Nº 6313</t>
        </is>
      </c>
      <c r="D430" s="14" t="inlineStr">
        <is>
          <t>MANFIL 800 WP 1X7,5KG (AGUARDAR FISCAL)</t>
        </is>
      </c>
      <c r="E430" s="13" t="inlineStr">
        <is>
          <t>Pulverização Agrícola Conforme Bula</t>
        </is>
      </c>
      <c r="F430" s="13" t="inlineStr">
        <is>
          <t>Batata</t>
        </is>
      </c>
      <c r="G430" s="13" t="inlineStr">
        <is>
          <t>Cultura Autorizada na Bula</t>
        </is>
      </c>
      <c r="H430" s="13" t="inlineStr">
        <is>
          <t>100 a 300 L/ha</t>
        </is>
      </c>
      <c r="I430" s="13" t="inlineStr">
        <is>
          <t>20 a 40 L/ha</t>
        </is>
      </c>
      <c r="J430" s="13" t="inlineStr">
        <is>
          <t>7 dias</t>
        </is>
      </c>
    </row>
    <row r="431" ht="22" customHeight="1">
      <c r="A431" s="6" t="inlineStr">
        <is>
          <t>CUL-0427</t>
        </is>
      </c>
      <c r="B431" s="5" t="n">
        <v>80</v>
      </c>
      <c r="C431" s="7" t="inlineStr">
        <is>
          <t>Nº 6313</t>
        </is>
      </c>
      <c r="D431" s="8" t="inlineStr">
        <is>
          <t>MANFIL 800 WP 1X7,5KG (AGUARDAR FISCAL)</t>
        </is>
      </c>
      <c r="E431" s="7" t="inlineStr">
        <is>
          <t>Pulverização Agrícola Conforme Bula</t>
        </is>
      </c>
      <c r="F431" s="7" t="inlineStr">
        <is>
          <t>Tomate</t>
        </is>
      </c>
      <c r="G431" s="7" t="inlineStr">
        <is>
          <t>Cultura Autorizada na Bula</t>
        </is>
      </c>
      <c r="H431" s="7" t="inlineStr">
        <is>
          <t>100 a 300 L/ha</t>
        </is>
      </c>
      <c r="I431" s="7" t="inlineStr">
        <is>
          <t>20 a 40 L/ha</t>
        </is>
      </c>
      <c r="J431" s="7" t="inlineStr">
        <is>
          <t>7 dias</t>
        </is>
      </c>
    </row>
    <row r="432" ht="22" customHeight="1">
      <c r="A432" s="12" t="inlineStr">
        <is>
          <t>CUL-0428</t>
        </is>
      </c>
      <c r="B432" s="11" t="n">
        <v>80</v>
      </c>
      <c r="C432" s="13" t="inlineStr">
        <is>
          <t>Nº 6313</t>
        </is>
      </c>
      <c r="D432" s="14" t="inlineStr">
        <is>
          <t>MANFIL 800 WP 1X7,5KG (AGUARDAR FISCAL)</t>
        </is>
      </c>
      <c r="E432" s="13" t="inlineStr">
        <is>
          <t>Pulverização Agrícola Conforme Bula</t>
        </is>
      </c>
      <c r="F432" s="13" t="inlineStr">
        <is>
          <t>Trigo</t>
        </is>
      </c>
      <c r="G432" s="13" t="inlineStr">
        <is>
          <t>Cultura Autorizada na Bula</t>
        </is>
      </c>
      <c r="H432" s="13" t="inlineStr">
        <is>
          <t>100 a 300 L/ha</t>
        </is>
      </c>
      <c r="I432" s="13" t="inlineStr">
        <is>
          <t>20 a 40 L/ha</t>
        </is>
      </c>
      <c r="J432" s="13" t="inlineStr">
        <is>
          <t>21 dias</t>
        </is>
      </c>
    </row>
    <row r="433" ht="22" customHeight="1">
      <c r="A433" s="6" t="inlineStr">
        <is>
          <t>CUL-0429</t>
        </is>
      </c>
      <c r="B433" s="5" t="n">
        <v>81</v>
      </c>
      <c r="C433" s="7" t="inlineStr">
        <is>
          <t>Nº 38917</t>
        </is>
      </c>
      <c r="D433" s="8" t="inlineStr">
        <is>
          <t>MESON</t>
        </is>
      </c>
      <c r="E433" s="7" t="inlineStr">
        <is>
          <t>Pulverização Agrícola Conforme Bula</t>
        </is>
      </c>
      <c r="F433" s="7" t="inlineStr">
        <is>
          <t>Milho</t>
        </is>
      </c>
      <c r="G433" s="7" t="inlineStr">
        <is>
          <t>Cultura Autorizada na Bula</t>
        </is>
      </c>
      <c r="H433" s="7" t="inlineStr">
        <is>
          <t>100 a 300 L/ha</t>
        </is>
      </c>
      <c r="I433" s="7" t="inlineStr">
        <is>
          <t>20 a 40 L/ha</t>
        </is>
      </c>
      <c r="J433" s="7" t="inlineStr">
        <is>
          <t>63 dias</t>
        </is>
      </c>
    </row>
    <row r="434" ht="22" customHeight="1">
      <c r="A434" s="12" t="inlineStr">
        <is>
          <t>CUL-0430</t>
        </is>
      </c>
      <c r="B434" s="11" t="n">
        <v>81</v>
      </c>
      <c r="C434" s="13" t="inlineStr">
        <is>
          <t>Nº 38917</t>
        </is>
      </c>
      <c r="D434" s="14" t="inlineStr">
        <is>
          <t>MESON</t>
        </is>
      </c>
      <c r="E434" s="13" t="inlineStr">
        <is>
          <t>Pulverização Agrícola Conforme Bula</t>
        </is>
      </c>
      <c r="F434" s="13" t="inlineStr">
        <is>
          <t>Cana-de-açúcar</t>
        </is>
      </c>
      <c r="G434" s="13" t="inlineStr">
        <is>
          <t>Cultura Autorizada na Bula</t>
        </is>
      </c>
      <c r="H434" s="13" t="inlineStr">
        <is>
          <t>100 a 300 L/ha</t>
        </is>
      </c>
      <c r="I434" s="13" t="inlineStr">
        <is>
          <t>20 a 40 L/ha</t>
        </is>
      </c>
      <c r="J434" s="13" t="inlineStr">
        <is>
          <t>150 dias</t>
        </is>
      </c>
    </row>
    <row r="435" ht="22" customHeight="1">
      <c r="A435" s="6" t="inlineStr">
        <is>
          <t>CUL-0431</t>
        </is>
      </c>
      <c r="B435" s="5" t="n">
        <v>81</v>
      </c>
      <c r="C435" s="7" t="inlineStr">
        <is>
          <t>Nº 38917</t>
        </is>
      </c>
      <c r="D435" s="8" t="inlineStr">
        <is>
          <t>MESON</t>
        </is>
      </c>
      <c r="E435" s="7" t="inlineStr">
        <is>
          <t>Pulverização Agrícola Conforme Bula</t>
        </is>
      </c>
      <c r="F435" s="7" t="inlineStr">
        <is>
          <t>Milheto</t>
        </is>
      </c>
      <c r="G435" s="7" t="inlineStr">
        <is>
          <t>Cultura Autorizada na Bula</t>
        </is>
      </c>
      <c r="H435" s="7" t="inlineStr">
        <is>
          <t>100 a 300 L/ha</t>
        </is>
      </c>
      <c r="I435" s="7" t="inlineStr">
        <is>
          <t>20 a 40 L/ha</t>
        </is>
      </c>
      <c r="J435" s="7" t="inlineStr">
        <is>
          <t>60 dias</t>
        </is>
      </c>
    </row>
    <row r="436" ht="22" customHeight="1">
      <c r="A436" s="12" t="inlineStr">
        <is>
          <t>CUL-0432</t>
        </is>
      </c>
      <c r="B436" s="11" t="n">
        <v>81</v>
      </c>
      <c r="C436" s="13" t="inlineStr">
        <is>
          <t>Nº 38917</t>
        </is>
      </c>
      <c r="D436" s="14" t="inlineStr">
        <is>
          <t>MESON</t>
        </is>
      </c>
      <c r="E436" s="13" t="inlineStr">
        <is>
          <t>Pulverização Agrícola Conforme Bula</t>
        </is>
      </c>
      <c r="F436" s="13" t="inlineStr">
        <is>
          <t>Sorgo</t>
        </is>
      </c>
      <c r="G436" s="13" t="inlineStr">
        <is>
          <t>Cultura Autorizada na Bula</t>
        </is>
      </c>
      <c r="H436" s="13" t="inlineStr">
        <is>
          <t>100 a 300 L/ha</t>
        </is>
      </c>
      <c r="I436" s="13" t="inlineStr">
        <is>
          <t>20 a 40 L/ha</t>
        </is>
      </c>
      <c r="J436" s="13" t="inlineStr">
        <is>
          <t>60 dias</t>
        </is>
      </c>
    </row>
    <row r="437" ht="22" customHeight="1">
      <c r="A437" s="6" t="inlineStr">
        <is>
          <t>CUL-0433</t>
        </is>
      </c>
      <c r="B437" s="5" t="n">
        <v>82</v>
      </c>
      <c r="C437" s="7" t="inlineStr">
        <is>
          <t>Nº 14816</t>
        </is>
      </c>
      <c r="D437" s="8" t="inlineStr">
        <is>
          <t>CHIAVE SUP</t>
        </is>
      </c>
      <c r="E437" s="7" t="inlineStr">
        <is>
          <t>Pulverização Agrícola Conforme Bula</t>
        </is>
      </c>
      <c r="F437" s="7" t="inlineStr">
        <is>
          <t>Soja</t>
        </is>
      </c>
      <c r="G437" s="7" t="inlineStr">
        <is>
          <t>Cultura Autorizada na Bula</t>
        </is>
      </c>
      <c r="H437" s="7" t="inlineStr">
        <is>
          <t>100 a 300 L/ha</t>
        </is>
      </c>
      <c r="I437" s="7" t="inlineStr">
        <is>
          <t>20 a 40 L/ha</t>
        </is>
      </c>
      <c r="J437" s="7" t="inlineStr">
        <is>
          <t>14 dias</t>
        </is>
      </c>
    </row>
    <row r="438" ht="22" customHeight="1">
      <c r="A438" s="12" t="inlineStr">
        <is>
          <t>CUL-0434</t>
        </is>
      </c>
      <c r="B438" s="11" t="n">
        <v>82</v>
      </c>
      <c r="C438" s="13" t="inlineStr">
        <is>
          <t>Nº 14816</t>
        </is>
      </c>
      <c r="D438" s="14" t="inlineStr">
        <is>
          <t>CHIAVE SUP</t>
        </is>
      </c>
      <c r="E438" s="13" t="inlineStr">
        <is>
          <t>Pulverização Agrícola Conforme Bula</t>
        </is>
      </c>
      <c r="F438" s="13" t="inlineStr">
        <is>
          <t>Milho</t>
        </is>
      </c>
      <c r="G438" s="13" t="inlineStr">
        <is>
          <t>Cultura Autorizada na Bula</t>
        </is>
      </c>
      <c r="H438" s="13" t="inlineStr">
        <is>
          <t>100 a 300 L/ha</t>
        </is>
      </c>
      <c r="I438" s="13" t="inlineStr">
        <is>
          <t>20 a 40 L/ha</t>
        </is>
      </c>
      <c r="J438" s="13" t="inlineStr">
        <is>
          <t>14 dias</t>
        </is>
      </c>
    </row>
    <row r="439" ht="22" customHeight="1">
      <c r="A439" s="6" t="inlineStr">
        <is>
          <t>CUL-0435</t>
        </is>
      </c>
      <c r="B439" s="5" t="n">
        <v>82</v>
      </c>
      <c r="C439" s="7" t="inlineStr">
        <is>
          <t>Nº 14816</t>
        </is>
      </c>
      <c r="D439" s="8" t="inlineStr">
        <is>
          <t>CHIAVE SUP</t>
        </is>
      </c>
      <c r="E439" s="7" t="inlineStr">
        <is>
          <t>Pulverização Agrícola Conforme Bula</t>
        </is>
      </c>
      <c r="F439" s="7" t="inlineStr">
        <is>
          <t>Algodão</t>
        </is>
      </c>
      <c r="G439" s="7" t="inlineStr">
        <is>
          <t>Cultura Autorizada na Bula</t>
        </is>
      </c>
      <c r="H439" s="7" t="inlineStr">
        <is>
          <t>100 a 300 L/ha</t>
        </is>
      </c>
      <c r="I439" s="7" t="inlineStr">
        <is>
          <t>20 a 40 L/ha</t>
        </is>
      </c>
      <c r="J439" s="7" t="inlineStr">
        <is>
          <t>14 dias</t>
        </is>
      </c>
    </row>
    <row r="440" ht="22" customHeight="1">
      <c r="A440" s="12" t="inlineStr">
        <is>
          <t>CUL-0436</t>
        </is>
      </c>
      <c r="B440" s="11" t="n">
        <v>82</v>
      </c>
      <c r="C440" s="13" t="inlineStr">
        <is>
          <t>Nº 14816</t>
        </is>
      </c>
      <c r="D440" s="14" t="inlineStr">
        <is>
          <t>CHIAVE SUP</t>
        </is>
      </c>
      <c r="E440" s="13" t="inlineStr">
        <is>
          <t>Pulverização Agrícola Conforme Bula</t>
        </is>
      </c>
      <c r="F440" s="13" t="inlineStr">
        <is>
          <t>Trigo</t>
        </is>
      </c>
      <c r="G440" s="13" t="inlineStr">
        <is>
          <t>Cultura Autorizada na Bula</t>
        </is>
      </c>
      <c r="H440" s="13" t="inlineStr">
        <is>
          <t>100 a 300 L/ha</t>
        </is>
      </c>
      <c r="I440" s="13" t="inlineStr">
        <is>
          <t>20 a 40 L/ha</t>
        </is>
      </c>
      <c r="J440" s="13" t="inlineStr">
        <is>
          <t>14 dias</t>
        </is>
      </c>
    </row>
    <row r="441" ht="22" customHeight="1">
      <c r="A441" s="6" t="inlineStr">
        <is>
          <t>CUL-0437</t>
        </is>
      </c>
      <c r="B441" s="5" t="n">
        <v>82</v>
      </c>
      <c r="C441" s="7" t="inlineStr">
        <is>
          <t>Nº 14816</t>
        </is>
      </c>
      <c r="D441" s="8" t="inlineStr">
        <is>
          <t>CHIAVE SUP</t>
        </is>
      </c>
      <c r="E441" s="7" t="inlineStr">
        <is>
          <t>Pulverização Agrícola Conforme Bula</t>
        </is>
      </c>
      <c r="F441" s="7" t="inlineStr">
        <is>
          <t>Batata</t>
        </is>
      </c>
      <c r="G441" s="7" t="inlineStr">
        <is>
          <t>Cultura Autorizada na Bula</t>
        </is>
      </c>
      <c r="H441" s="7" t="inlineStr">
        <is>
          <t>100 a 300 L/ha</t>
        </is>
      </c>
      <c r="I441" s="7" t="inlineStr">
        <is>
          <t>20 a 40 L/ha</t>
        </is>
      </c>
      <c r="J441" s="7" t="inlineStr">
        <is>
          <t>14 dias</t>
        </is>
      </c>
    </row>
    <row r="442" ht="22" customHeight="1">
      <c r="A442" s="12" t="inlineStr">
        <is>
          <t>CUL-0438</t>
        </is>
      </c>
      <c r="B442" s="11" t="n">
        <v>82</v>
      </c>
      <c r="C442" s="13" t="inlineStr">
        <is>
          <t>Nº 14816</t>
        </is>
      </c>
      <c r="D442" s="14" t="inlineStr">
        <is>
          <t>CHIAVE SUP</t>
        </is>
      </c>
      <c r="E442" s="13" t="inlineStr">
        <is>
          <t>Pulverização Agrícola Conforme Bula</t>
        </is>
      </c>
      <c r="F442" s="13" t="inlineStr">
        <is>
          <t>Tomate</t>
        </is>
      </c>
      <c r="G442" s="13" t="inlineStr">
        <is>
          <t>Cultura Autorizada na Bula</t>
        </is>
      </c>
      <c r="H442" s="13" t="inlineStr">
        <is>
          <t>100 a 300 L/ha</t>
        </is>
      </c>
      <c r="I442" s="13" t="inlineStr">
        <is>
          <t>20 a 40 L/ha</t>
        </is>
      </c>
      <c r="J442" s="13" t="inlineStr">
        <is>
          <t>3 dias</t>
        </is>
      </c>
    </row>
    <row r="443" ht="22" customHeight="1">
      <c r="A443" s="6" t="inlineStr">
        <is>
          <t>CUL-0439</t>
        </is>
      </c>
      <c r="B443" s="5" t="n">
        <v>83</v>
      </c>
      <c r="C443" s="7" t="inlineStr">
        <is>
          <t>Nº 27620</t>
        </is>
      </c>
      <c r="D443" s="8" t="inlineStr">
        <is>
          <t>METOMIL CHD S</t>
        </is>
      </c>
      <c r="E443" s="7" t="inlineStr">
        <is>
          <t>Pulverização Agrícola Conforme Bula</t>
        </is>
      </c>
      <c r="F443" s="7" t="inlineStr">
        <is>
          <t>Soja</t>
        </is>
      </c>
      <c r="G443" s="7" t="inlineStr">
        <is>
          <t>Cultura Autorizada na Bula</t>
        </is>
      </c>
      <c r="H443" s="7" t="inlineStr">
        <is>
          <t>100 a 300 L/ha</t>
        </is>
      </c>
      <c r="I443" s="7" t="inlineStr">
        <is>
          <t>20 a 40 L/ha</t>
        </is>
      </c>
      <c r="J443" s="7" t="inlineStr">
        <is>
          <t>14 dias</t>
        </is>
      </c>
    </row>
    <row r="444" ht="22" customHeight="1">
      <c r="A444" s="12" t="inlineStr">
        <is>
          <t>CUL-0440</t>
        </is>
      </c>
      <c r="B444" s="11" t="n">
        <v>83</v>
      </c>
      <c r="C444" s="13" t="inlineStr">
        <is>
          <t>Nº 27620</t>
        </is>
      </c>
      <c r="D444" s="14" t="inlineStr">
        <is>
          <t>METOMIL CHD S</t>
        </is>
      </c>
      <c r="E444" s="13" t="inlineStr">
        <is>
          <t>Pulverização Agrícola Conforme Bula</t>
        </is>
      </c>
      <c r="F444" s="13" t="inlineStr">
        <is>
          <t>Milho</t>
        </is>
      </c>
      <c r="G444" s="13" t="inlineStr">
        <is>
          <t>Cultura Autorizada na Bula</t>
        </is>
      </c>
      <c r="H444" s="13" t="inlineStr">
        <is>
          <t>100 a 300 L/ha</t>
        </is>
      </c>
      <c r="I444" s="13" t="inlineStr">
        <is>
          <t>20 a 40 L/ha</t>
        </is>
      </c>
      <c r="J444" s="13" t="inlineStr">
        <is>
          <t>14 dias</t>
        </is>
      </c>
    </row>
    <row r="445" ht="22" customHeight="1">
      <c r="A445" s="6" t="inlineStr">
        <is>
          <t>CUL-0441</t>
        </is>
      </c>
      <c r="B445" s="5" t="n">
        <v>83</v>
      </c>
      <c r="C445" s="7" t="inlineStr">
        <is>
          <t>Nº 27620</t>
        </is>
      </c>
      <c r="D445" s="8" t="inlineStr">
        <is>
          <t>METOMIL CHD S</t>
        </is>
      </c>
      <c r="E445" s="7" t="inlineStr">
        <is>
          <t>Pulverização Agrícola Conforme Bula</t>
        </is>
      </c>
      <c r="F445" s="7" t="inlineStr">
        <is>
          <t>Algodão</t>
        </is>
      </c>
      <c r="G445" s="7" t="inlineStr">
        <is>
          <t>Cultura Autorizada na Bula</t>
        </is>
      </c>
      <c r="H445" s="7" t="inlineStr">
        <is>
          <t>100 a 300 L/ha</t>
        </is>
      </c>
      <c r="I445" s="7" t="inlineStr">
        <is>
          <t>20 a 40 L/ha</t>
        </is>
      </c>
      <c r="J445" s="7" t="inlineStr">
        <is>
          <t>14 dias</t>
        </is>
      </c>
    </row>
    <row r="446" ht="22" customHeight="1">
      <c r="A446" s="12" t="inlineStr">
        <is>
          <t>CUL-0442</t>
        </is>
      </c>
      <c r="B446" s="11" t="n">
        <v>83</v>
      </c>
      <c r="C446" s="13" t="inlineStr">
        <is>
          <t>Nº 27620</t>
        </is>
      </c>
      <c r="D446" s="14" t="inlineStr">
        <is>
          <t>METOMIL CHD S</t>
        </is>
      </c>
      <c r="E446" s="13" t="inlineStr">
        <is>
          <t>Pulverização Agrícola Conforme Bula</t>
        </is>
      </c>
      <c r="F446" s="13" t="inlineStr">
        <is>
          <t>Trigo</t>
        </is>
      </c>
      <c r="G446" s="13" t="inlineStr">
        <is>
          <t>Cultura Autorizada na Bula</t>
        </is>
      </c>
      <c r="H446" s="13" t="inlineStr">
        <is>
          <t>100 a 300 L/ha</t>
        </is>
      </c>
      <c r="I446" s="13" t="inlineStr">
        <is>
          <t>20 a 40 L/ha</t>
        </is>
      </c>
      <c r="J446" s="13" t="inlineStr">
        <is>
          <t>14 dias</t>
        </is>
      </c>
    </row>
    <row r="447" ht="22" customHeight="1">
      <c r="A447" s="6" t="inlineStr">
        <is>
          <t>CUL-0443</t>
        </is>
      </c>
      <c r="B447" s="5" t="n">
        <v>83</v>
      </c>
      <c r="C447" s="7" t="inlineStr">
        <is>
          <t>Nº 27620</t>
        </is>
      </c>
      <c r="D447" s="8" t="inlineStr">
        <is>
          <t>METOMIL CHD S</t>
        </is>
      </c>
      <c r="E447" s="7" t="inlineStr">
        <is>
          <t>Pulverização Agrícola Conforme Bula</t>
        </is>
      </c>
      <c r="F447" s="7" t="inlineStr">
        <is>
          <t>Batata</t>
        </is>
      </c>
      <c r="G447" s="7" t="inlineStr">
        <is>
          <t>Cultura Autorizada na Bula</t>
        </is>
      </c>
      <c r="H447" s="7" t="inlineStr">
        <is>
          <t>100 a 300 L/ha</t>
        </is>
      </c>
      <c r="I447" s="7" t="inlineStr">
        <is>
          <t>20 a 40 L/ha</t>
        </is>
      </c>
      <c r="J447" s="7" t="inlineStr">
        <is>
          <t>14 dias</t>
        </is>
      </c>
    </row>
    <row r="448" ht="22" customHeight="1">
      <c r="A448" s="12" t="inlineStr">
        <is>
          <t>CUL-0444</t>
        </is>
      </c>
      <c r="B448" s="11" t="n">
        <v>83</v>
      </c>
      <c r="C448" s="13" t="inlineStr">
        <is>
          <t>Nº 27620</t>
        </is>
      </c>
      <c r="D448" s="14" t="inlineStr">
        <is>
          <t>METOMIL CHD S</t>
        </is>
      </c>
      <c r="E448" s="13" t="inlineStr">
        <is>
          <t>Pulverização Agrícola Conforme Bula</t>
        </is>
      </c>
      <c r="F448" s="13" t="inlineStr">
        <is>
          <t>Tomate</t>
        </is>
      </c>
      <c r="G448" s="13" t="inlineStr">
        <is>
          <t>Cultura Autorizada na Bula</t>
        </is>
      </c>
      <c r="H448" s="13" t="inlineStr">
        <is>
          <t>100 a 300 L/ha</t>
        </is>
      </c>
      <c r="I448" s="13" t="inlineStr">
        <is>
          <t>20 a 40 L/ha</t>
        </is>
      </c>
      <c r="J448" s="13" t="inlineStr">
        <is>
          <t>3 dias</t>
        </is>
      </c>
    </row>
    <row r="449" ht="22" customHeight="1">
      <c r="A449" s="6" t="inlineStr">
        <is>
          <t>CUL-0445</t>
        </is>
      </c>
      <c r="B449" s="5" t="n">
        <v>84</v>
      </c>
      <c r="C449" s="7" t="inlineStr">
        <is>
          <t>Nº 31522</t>
        </is>
      </c>
      <c r="D449" s="8" t="inlineStr">
        <is>
          <t>METOMY 900</t>
        </is>
      </c>
      <c r="E449" s="7" t="inlineStr">
        <is>
          <t>Pulverização Agrícola Conforme Bula</t>
        </is>
      </c>
      <c r="F449" s="7" t="inlineStr">
        <is>
          <t>Soja</t>
        </is>
      </c>
      <c r="G449" s="7" t="inlineStr">
        <is>
          <t>Cultura Autorizada na Bula</t>
        </is>
      </c>
      <c r="H449" s="7" t="inlineStr">
        <is>
          <t>100 a 300 L/ha</t>
        </is>
      </c>
      <c r="I449" s="7" t="inlineStr">
        <is>
          <t>20 a 40 L/ha</t>
        </is>
      </c>
      <c r="J449" s="7" t="inlineStr">
        <is>
          <t>14 dias</t>
        </is>
      </c>
    </row>
    <row r="450" ht="22" customHeight="1">
      <c r="A450" s="12" t="inlineStr">
        <is>
          <t>CUL-0446</t>
        </is>
      </c>
      <c r="B450" s="11" t="n">
        <v>84</v>
      </c>
      <c r="C450" s="13" t="inlineStr">
        <is>
          <t>Nº 31522</t>
        </is>
      </c>
      <c r="D450" s="14" t="inlineStr">
        <is>
          <t>METOMY 900</t>
        </is>
      </c>
      <c r="E450" s="13" t="inlineStr">
        <is>
          <t>Pulverização Agrícola Conforme Bula</t>
        </is>
      </c>
      <c r="F450" s="13" t="inlineStr">
        <is>
          <t>Milho</t>
        </is>
      </c>
      <c r="G450" s="13" t="inlineStr">
        <is>
          <t>Cultura Autorizada na Bula</t>
        </is>
      </c>
      <c r="H450" s="13" t="inlineStr">
        <is>
          <t>100 a 300 L/ha</t>
        </is>
      </c>
      <c r="I450" s="13" t="inlineStr">
        <is>
          <t>20 a 40 L/ha</t>
        </is>
      </c>
      <c r="J450" s="13" t="inlineStr">
        <is>
          <t>14 dias</t>
        </is>
      </c>
    </row>
    <row r="451" ht="22" customHeight="1">
      <c r="A451" s="6" t="inlineStr">
        <is>
          <t>CUL-0447</t>
        </is>
      </c>
      <c r="B451" s="5" t="n">
        <v>84</v>
      </c>
      <c r="C451" s="7" t="inlineStr">
        <is>
          <t>Nº 31522</t>
        </is>
      </c>
      <c r="D451" s="8" t="inlineStr">
        <is>
          <t>METOMY 900</t>
        </is>
      </c>
      <c r="E451" s="7" t="inlineStr">
        <is>
          <t>Pulverização Agrícola Conforme Bula</t>
        </is>
      </c>
      <c r="F451" s="7" t="inlineStr">
        <is>
          <t>Algodão</t>
        </is>
      </c>
      <c r="G451" s="7" t="inlineStr">
        <is>
          <t>Cultura Autorizada na Bula</t>
        </is>
      </c>
      <c r="H451" s="7" t="inlineStr">
        <is>
          <t>100 a 300 L/ha</t>
        </is>
      </c>
      <c r="I451" s="7" t="inlineStr">
        <is>
          <t>20 a 40 L/ha</t>
        </is>
      </c>
      <c r="J451" s="7" t="inlineStr">
        <is>
          <t>14 dias</t>
        </is>
      </c>
    </row>
    <row r="452" ht="22" customHeight="1">
      <c r="A452" s="12" t="inlineStr">
        <is>
          <t>CUL-0448</t>
        </is>
      </c>
      <c r="B452" s="11" t="n">
        <v>84</v>
      </c>
      <c r="C452" s="13" t="inlineStr">
        <is>
          <t>Nº 31522</t>
        </is>
      </c>
      <c r="D452" s="14" t="inlineStr">
        <is>
          <t>METOMY 900</t>
        </is>
      </c>
      <c r="E452" s="13" t="inlineStr">
        <is>
          <t>Pulverização Agrícola Conforme Bula</t>
        </is>
      </c>
      <c r="F452" s="13" t="inlineStr">
        <is>
          <t>Trigo</t>
        </is>
      </c>
      <c r="G452" s="13" t="inlineStr">
        <is>
          <t>Cultura Autorizada na Bula</t>
        </is>
      </c>
      <c r="H452" s="13" t="inlineStr">
        <is>
          <t>100 a 300 L/ha</t>
        </is>
      </c>
      <c r="I452" s="13" t="inlineStr">
        <is>
          <t>20 a 40 L/ha</t>
        </is>
      </c>
      <c r="J452" s="13" t="inlineStr">
        <is>
          <t>14 dias</t>
        </is>
      </c>
    </row>
    <row r="453" ht="22" customHeight="1">
      <c r="A453" s="6" t="inlineStr">
        <is>
          <t>CUL-0449</t>
        </is>
      </c>
      <c r="B453" s="5" t="n">
        <v>84</v>
      </c>
      <c r="C453" s="7" t="inlineStr">
        <is>
          <t>Nº 31522</t>
        </is>
      </c>
      <c r="D453" s="8" t="inlineStr">
        <is>
          <t>METOMY 900</t>
        </is>
      </c>
      <c r="E453" s="7" t="inlineStr">
        <is>
          <t>Pulverização Agrícola Conforme Bula</t>
        </is>
      </c>
      <c r="F453" s="7" t="inlineStr">
        <is>
          <t>Batata</t>
        </is>
      </c>
      <c r="G453" s="7" t="inlineStr">
        <is>
          <t>Cultura Autorizada na Bula</t>
        </is>
      </c>
      <c r="H453" s="7" t="inlineStr">
        <is>
          <t>100 a 300 L/ha</t>
        </is>
      </c>
      <c r="I453" s="7" t="inlineStr">
        <is>
          <t>20 a 40 L/ha</t>
        </is>
      </c>
      <c r="J453" s="7" t="inlineStr">
        <is>
          <t>14 dias</t>
        </is>
      </c>
    </row>
    <row r="454" ht="22" customHeight="1">
      <c r="A454" s="12" t="inlineStr">
        <is>
          <t>CUL-0450</t>
        </is>
      </c>
      <c r="B454" s="11" t="n">
        <v>84</v>
      </c>
      <c r="C454" s="13" t="inlineStr">
        <is>
          <t>Nº 31522</t>
        </is>
      </c>
      <c r="D454" s="14" t="inlineStr">
        <is>
          <t>METOMY 900</t>
        </is>
      </c>
      <c r="E454" s="13" t="inlineStr">
        <is>
          <t>Pulverização Agrícola Conforme Bula</t>
        </is>
      </c>
      <c r="F454" s="13" t="inlineStr">
        <is>
          <t>Tomate</t>
        </is>
      </c>
      <c r="G454" s="13" t="inlineStr">
        <is>
          <t>Cultura Autorizada na Bula</t>
        </is>
      </c>
      <c r="H454" s="13" t="inlineStr">
        <is>
          <t>100 a 300 L/ha</t>
        </is>
      </c>
      <c r="I454" s="13" t="inlineStr">
        <is>
          <t>20 a 40 L/ha</t>
        </is>
      </c>
      <c r="J454" s="13" t="inlineStr">
        <is>
          <t>3 dias</t>
        </is>
      </c>
    </row>
    <row r="455" ht="22" customHeight="1">
      <c r="A455" s="6" t="inlineStr">
        <is>
          <t>CUL-0451</t>
        </is>
      </c>
      <c r="B455" s="5" t="n">
        <v>85</v>
      </c>
      <c r="C455" s="7" t="inlineStr">
        <is>
          <t>Nº 6914</t>
        </is>
      </c>
      <c r="D455" s="8" t="inlineStr">
        <is>
          <t>UPMYL</t>
        </is>
      </c>
      <c r="E455" s="7" t="inlineStr">
        <is>
          <t>Pulverização Agrícola Conforme Bula</t>
        </is>
      </c>
      <c r="F455" s="7" t="inlineStr">
        <is>
          <t>Soja</t>
        </is>
      </c>
      <c r="G455" s="7" t="inlineStr">
        <is>
          <t>Cultura Autorizada na Bula</t>
        </is>
      </c>
      <c r="H455" s="7" t="inlineStr">
        <is>
          <t>100 a 300 L/ha</t>
        </is>
      </c>
      <c r="I455" s="7" t="inlineStr">
        <is>
          <t>20 a 40 L/ha</t>
        </is>
      </c>
      <c r="J455" s="7" t="inlineStr">
        <is>
          <t>14 dias</t>
        </is>
      </c>
    </row>
    <row r="456" ht="22" customHeight="1">
      <c r="A456" s="12" t="inlineStr">
        <is>
          <t>CUL-0452</t>
        </is>
      </c>
      <c r="B456" s="11" t="n">
        <v>85</v>
      </c>
      <c r="C456" s="13" t="inlineStr">
        <is>
          <t>Nº 6914</t>
        </is>
      </c>
      <c r="D456" s="14" t="inlineStr">
        <is>
          <t>UPMYL</t>
        </is>
      </c>
      <c r="E456" s="13" t="inlineStr">
        <is>
          <t>Pulverização Agrícola Conforme Bula</t>
        </is>
      </c>
      <c r="F456" s="13" t="inlineStr">
        <is>
          <t>Milho</t>
        </is>
      </c>
      <c r="G456" s="13" t="inlineStr">
        <is>
          <t>Cultura Autorizada na Bula</t>
        </is>
      </c>
      <c r="H456" s="13" t="inlineStr">
        <is>
          <t>100 a 300 L/ha</t>
        </is>
      </c>
      <c r="I456" s="13" t="inlineStr">
        <is>
          <t>20 a 40 L/ha</t>
        </is>
      </c>
      <c r="J456" s="13" t="inlineStr">
        <is>
          <t>14 dias</t>
        </is>
      </c>
    </row>
    <row r="457" ht="22" customHeight="1">
      <c r="A457" s="6" t="inlineStr">
        <is>
          <t>CUL-0453</t>
        </is>
      </c>
      <c r="B457" s="5" t="n">
        <v>85</v>
      </c>
      <c r="C457" s="7" t="inlineStr">
        <is>
          <t>Nº 6914</t>
        </is>
      </c>
      <c r="D457" s="8" t="inlineStr">
        <is>
          <t>UPMYL</t>
        </is>
      </c>
      <c r="E457" s="7" t="inlineStr">
        <is>
          <t>Pulverização Agrícola Conforme Bula</t>
        </is>
      </c>
      <c r="F457" s="7" t="inlineStr">
        <is>
          <t>Algodão</t>
        </is>
      </c>
      <c r="G457" s="7" t="inlineStr">
        <is>
          <t>Cultura Autorizada na Bula</t>
        </is>
      </c>
      <c r="H457" s="7" t="inlineStr">
        <is>
          <t>100 a 300 L/ha</t>
        </is>
      </c>
      <c r="I457" s="7" t="inlineStr">
        <is>
          <t>20 a 40 L/ha</t>
        </is>
      </c>
      <c r="J457" s="7" t="inlineStr">
        <is>
          <t>14 dias</t>
        </is>
      </c>
    </row>
    <row r="458" ht="22" customHeight="1">
      <c r="A458" s="12" t="inlineStr">
        <is>
          <t>CUL-0454</t>
        </is>
      </c>
      <c r="B458" s="11" t="n">
        <v>85</v>
      </c>
      <c r="C458" s="13" t="inlineStr">
        <is>
          <t>Nº 6914</t>
        </is>
      </c>
      <c r="D458" s="14" t="inlineStr">
        <is>
          <t>UPMYL</t>
        </is>
      </c>
      <c r="E458" s="13" t="inlineStr">
        <is>
          <t>Pulverização Agrícola Conforme Bula</t>
        </is>
      </c>
      <c r="F458" s="13" t="inlineStr">
        <is>
          <t>Trigo</t>
        </is>
      </c>
      <c r="G458" s="13" t="inlineStr">
        <is>
          <t>Cultura Autorizada na Bula</t>
        </is>
      </c>
      <c r="H458" s="13" t="inlineStr">
        <is>
          <t>100 a 300 L/ha</t>
        </is>
      </c>
      <c r="I458" s="13" t="inlineStr">
        <is>
          <t>20 a 40 L/ha</t>
        </is>
      </c>
      <c r="J458" s="13" t="inlineStr">
        <is>
          <t>14 dias</t>
        </is>
      </c>
    </row>
    <row r="459" ht="22" customHeight="1">
      <c r="A459" s="6" t="inlineStr">
        <is>
          <t>CUL-0455</t>
        </is>
      </c>
      <c r="B459" s="5" t="n">
        <v>85</v>
      </c>
      <c r="C459" s="7" t="inlineStr">
        <is>
          <t>Nº 6914</t>
        </is>
      </c>
      <c r="D459" s="8" t="inlineStr">
        <is>
          <t>UPMYL</t>
        </is>
      </c>
      <c r="E459" s="7" t="inlineStr">
        <is>
          <t>Pulverização Agrícola Conforme Bula</t>
        </is>
      </c>
      <c r="F459" s="7" t="inlineStr">
        <is>
          <t>Batata</t>
        </is>
      </c>
      <c r="G459" s="7" t="inlineStr">
        <is>
          <t>Cultura Autorizada na Bula</t>
        </is>
      </c>
      <c r="H459" s="7" t="inlineStr">
        <is>
          <t>100 a 300 L/ha</t>
        </is>
      </c>
      <c r="I459" s="7" t="inlineStr">
        <is>
          <t>20 a 40 L/ha</t>
        </is>
      </c>
      <c r="J459" s="7" t="inlineStr">
        <is>
          <t>14 dias</t>
        </is>
      </c>
    </row>
    <row r="460" ht="22" customHeight="1">
      <c r="A460" s="12" t="inlineStr">
        <is>
          <t>CUL-0456</t>
        </is>
      </c>
      <c r="B460" s="11" t="n">
        <v>85</v>
      </c>
      <c r="C460" s="13" t="inlineStr">
        <is>
          <t>Nº 6914</t>
        </is>
      </c>
      <c r="D460" s="14" t="inlineStr">
        <is>
          <t>UPMYL</t>
        </is>
      </c>
      <c r="E460" s="13" t="inlineStr">
        <is>
          <t>Pulverização Agrícola Conforme Bula</t>
        </is>
      </c>
      <c r="F460" s="13" t="inlineStr">
        <is>
          <t>Tomate</t>
        </is>
      </c>
      <c r="G460" s="13" t="inlineStr">
        <is>
          <t>Cultura Autorizada na Bula</t>
        </is>
      </c>
      <c r="H460" s="13" t="inlineStr">
        <is>
          <t>100 a 300 L/ha</t>
        </is>
      </c>
      <c r="I460" s="13" t="inlineStr">
        <is>
          <t>20 a 40 L/ha</t>
        </is>
      </c>
      <c r="J460" s="13" t="inlineStr">
        <is>
          <t>3 dias</t>
        </is>
      </c>
    </row>
    <row r="461" ht="22" customHeight="1">
      <c r="A461" s="6" t="inlineStr">
        <is>
          <t>CUL-0457</t>
        </is>
      </c>
      <c r="B461" s="5" t="n">
        <v>86</v>
      </c>
      <c r="C461" s="7" t="inlineStr">
        <is>
          <t>SIPEAGRO (UF-XXXXX)</t>
        </is>
      </c>
      <c r="D461" s="8" t="inlineStr">
        <is>
          <t>AGCN MANGANES</t>
        </is>
      </c>
      <c r="E461" s="7" t="inlineStr">
        <is>
          <t>Adubação de Solo / Foliar</t>
        </is>
      </c>
      <c r="F461" s="7" t="inlineStr">
        <is>
          <t>Soja</t>
        </is>
      </c>
      <c r="G461" s="7" t="inlineStr">
        <is>
          <t>Cultura Autorizada na Bula</t>
        </is>
      </c>
      <c r="H461" s="7" t="inlineStr">
        <is>
          <t>100 a 300 L/ha</t>
        </is>
      </c>
      <c r="I461" s="7" t="inlineStr">
        <is>
          <t>20 a 40 L/ha</t>
        </is>
      </c>
      <c r="J461" s="7" t="inlineStr">
        <is>
          <t>Isento</t>
        </is>
      </c>
    </row>
    <row r="462" ht="22" customHeight="1">
      <c r="A462" s="12" t="inlineStr">
        <is>
          <t>CUL-0458</t>
        </is>
      </c>
      <c r="B462" s="11" t="n">
        <v>86</v>
      </c>
      <c r="C462" s="13" t="inlineStr">
        <is>
          <t>SIPEAGRO (UF-XXXXX)</t>
        </is>
      </c>
      <c r="D462" s="14" t="inlineStr">
        <is>
          <t>AGCN MANGANES</t>
        </is>
      </c>
      <c r="E462" s="13" t="inlineStr">
        <is>
          <t>Adubação de Solo / Foliar</t>
        </is>
      </c>
      <c r="F462" s="13" t="inlineStr">
        <is>
          <t>Milho</t>
        </is>
      </c>
      <c r="G462" s="13" t="inlineStr">
        <is>
          <t>Cultura Autorizada na Bula</t>
        </is>
      </c>
      <c r="H462" s="13" t="inlineStr">
        <is>
          <t>100 a 300 L/ha</t>
        </is>
      </c>
      <c r="I462" s="13" t="inlineStr">
        <is>
          <t>20 a 40 L/ha</t>
        </is>
      </c>
      <c r="J462" s="13" t="inlineStr">
        <is>
          <t>Isento</t>
        </is>
      </c>
    </row>
    <row r="463" ht="22" customHeight="1">
      <c r="A463" s="6" t="inlineStr">
        <is>
          <t>CUL-0459</t>
        </is>
      </c>
      <c r="B463" s="5" t="n">
        <v>86</v>
      </c>
      <c r="C463" s="7" t="inlineStr">
        <is>
          <t>SIPEAGRO (UF-XXXXX)</t>
        </is>
      </c>
      <c r="D463" s="8" t="inlineStr">
        <is>
          <t>AGCN MANGANES</t>
        </is>
      </c>
      <c r="E463" s="7" t="inlineStr">
        <is>
          <t>Adubação de Solo / Foliar</t>
        </is>
      </c>
      <c r="F463" s="7" t="inlineStr">
        <is>
          <t>Algodão</t>
        </is>
      </c>
      <c r="G463" s="7" t="inlineStr">
        <is>
          <t>Cultura Autorizada na Bula</t>
        </is>
      </c>
      <c r="H463" s="7" t="inlineStr">
        <is>
          <t>100 a 300 L/ha</t>
        </is>
      </c>
      <c r="I463" s="7" t="inlineStr">
        <is>
          <t>20 a 40 L/ha</t>
        </is>
      </c>
      <c r="J463" s="7" t="inlineStr">
        <is>
          <t>Isento</t>
        </is>
      </c>
    </row>
    <row r="464" ht="22" customHeight="1">
      <c r="A464" s="12" t="inlineStr">
        <is>
          <t>CUL-0460</t>
        </is>
      </c>
      <c r="B464" s="11" t="n">
        <v>86</v>
      </c>
      <c r="C464" s="13" t="inlineStr">
        <is>
          <t>SIPEAGRO (UF-XXXXX)</t>
        </is>
      </c>
      <c r="D464" s="14" t="inlineStr">
        <is>
          <t>AGCN MANGANES</t>
        </is>
      </c>
      <c r="E464" s="13" t="inlineStr">
        <is>
          <t>Adubação de Solo / Foliar</t>
        </is>
      </c>
      <c r="F464" s="13" t="inlineStr">
        <is>
          <t>Cana-de-açúcar</t>
        </is>
      </c>
      <c r="G464" s="13" t="inlineStr">
        <is>
          <t>Cultura Autorizada na Bula</t>
        </is>
      </c>
      <c r="H464" s="13" t="inlineStr">
        <is>
          <t>100 a 300 L/ha</t>
        </is>
      </c>
      <c r="I464" s="13" t="inlineStr">
        <is>
          <t>20 a 40 L/ha</t>
        </is>
      </c>
      <c r="J464" s="13" t="inlineStr">
        <is>
          <t>Isento</t>
        </is>
      </c>
    </row>
    <row r="465" ht="22" customHeight="1">
      <c r="A465" s="6" t="inlineStr">
        <is>
          <t>CUL-0461</t>
        </is>
      </c>
      <c r="B465" s="5" t="n">
        <v>86</v>
      </c>
      <c r="C465" s="7" t="inlineStr">
        <is>
          <t>SIPEAGRO (UF-XXXXX)</t>
        </is>
      </c>
      <c r="D465" s="8" t="inlineStr">
        <is>
          <t>AGCN MANGANES</t>
        </is>
      </c>
      <c r="E465" s="7" t="inlineStr">
        <is>
          <t>Adubação de Solo / Foliar</t>
        </is>
      </c>
      <c r="F465" s="7" t="inlineStr">
        <is>
          <t>Café</t>
        </is>
      </c>
      <c r="G465" s="7" t="inlineStr">
        <is>
          <t>Cultura Autorizada na Bula</t>
        </is>
      </c>
      <c r="H465" s="7" t="inlineStr">
        <is>
          <t>100 a 300 L/ha</t>
        </is>
      </c>
      <c r="I465" s="7" t="inlineStr">
        <is>
          <t>20 a 40 L/ha</t>
        </is>
      </c>
      <c r="J465" s="7" t="inlineStr">
        <is>
          <t>Isento</t>
        </is>
      </c>
    </row>
    <row r="466" ht="22" customHeight="1">
      <c r="A466" s="12" t="inlineStr">
        <is>
          <t>CUL-0462</t>
        </is>
      </c>
      <c r="B466" s="11" t="n">
        <v>87</v>
      </c>
      <c r="C466" s="13" t="inlineStr">
        <is>
          <t>SIPEAGRO (UF-XXXXX)</t>
        </is>
      </c>
      <c r="D466" s="14" t="inlineStr">
        <is>
          <t>AGCN MN ULTRA</t>
        </is>
      </c>
      <c r="E466" s="13" t="inlineStr">
        <is>
          <t>Adubação de Solo / Foliar</t>
        </is>
      </c>
      <c r="F466" s="13" t="inlineStr">
        <is>
          <t>Soja</t>
        </is>
      </c>
      <c r="G466" s="13" t="inlineStr">
        <is>
          <t>Cultura Autorizada na Bula</t>
        </is>
      </c>
      <c r="H466" s="13" t="inlineStr">
        <is>
          <t>100 a 300 L/ha</t>
        </is>
      </c>
      <c r="I466" s="13" t="inlineStr">
        <is>
          <t>20 a 40 L/ha</t>
        </is>
      </c>
      <c r="J466" s="13" t="inlineStr">
        <is>
          <t>Isento</t>
        </is>
      </c>
    </row>
    <row r="467" ht="22" customHeight="1">
      <c r="A467" s="6" t="inlineStr">
        <is>
          <t>CUL-0463</t>
        </is>
      </c>
      <c r="B467" s="5" t="n">
        <v>87</v>
      </c>
      <c r="C467" s="7" t="inlineStr">
        <is>
          <t>SIPEAGRO (UF-XXXXX)</t>
        </is>
      </c>
      <c r="D467" s="8" t="inlineStr">
        <is>
          <t>AGCN MN ULTRA</t>
        </is>
      </c>
      <c r="E467" s="7" t="inlineStr">
        <is>
          <t>Adubação de Solo / Foliar</t>
        </is>
      </c>
      <c r="F467" s="7" t="inlineStr">
        <is>
          <t>Milho</t>
        </is>
      </c>
      <c r="G467" s="7" t="inlineStr">
        <is>
          <t>Cultura Autorizada na Bula</t>
        </is>
      </c>
      <c r="H467" s="7" t="inlineStr">
        <is>
          <t>100 a 300 L/ha</t>
        </is>
      </c>
      <c r="I467" s="7" t="inlineStr">
        <is>
          <t>20 a 40 L/ha</t>
        </is>
      </c>
      <c r="J467" s="7" t="inlineStr">
        <is>
          <t>Isento</t>
        </is>
      </c>
    </row>
    <row r="468" ht="22" customHeight="1">
      <c r="A468" s="12" t="inlineStr">
        <is>
          <t>CUL-0464</t>
        </is>
      </c>
      <c r="B468" s="11" t="n">
        <v>87</v>
      </c>
      <c r="C468" s="13" t="inlineStr">
        <is>
          <t>SIPEAGRO (UF-XXXXX)</t>
        </is>
      </c>
      <c r="D468" s="14" t="inlineStr">
        <is>
          <t>AGCN MN ULTRA</t>
        </is>
      </c>
      <c r="E468" s="13" t="inlineStr">
        <is>
          <t>Adubação de Solo / Foliar</t>
        </is>
      </c>
      <c r="F468" s="13" t="inlineStr">
        <is>
          <t>Algodão</t>
        </is>
      </c>
      <c r="G468" s="13" t="inlineStr">
        <is>
          <t>Cultura Autorizada na Bula</t>
        </is>
      </c>
      <c r="H468" s="13" t="inlineStr">
        <is>
          <t>100 a 300 L/ha</t>
        </is>
      </c>
      <c r="I468" s="13" t="inlineStr">
        <is>
          <t>20 a 40 L/ha</t>
        </is>
      </c>
      <c r="J468" s="13" t="inlineStr">
        <is>
          <t>Isento</t>
        </is>
      </c>
    </row>
    <row r="469" ht="22" customHeight="1">
      <c r="A469" s="6" t="inlineStr">
        <is>
          <t>CUL-0465</t>
        </is>
      </c>
      <c r="B469" s="5" t="n">
        <v>87</v>
      </c>
      <c r="C469" s="7" t="inlineStr">
        <is>
          <t>SIPEAGRO (UF-XXXXX)</t>
        </is>
      </c>
      <c r="D469" s="8" t="inlineStr">
        <is>
          <t>AGCN MN ULTRA</t>
        </is>
      </c>
      <c r="E469" s="7" t="inlineStr">
        <is>
          <t>Adubação de Solo / Foliar</t>
        </is>
      </c>
      <c r="F469" s="7" t="inlineStr">
        <is>
          <t>Cana-de-açúcar</t>
        </is>
      </c>
      <c r="G469" s="7" t="inlineStr">
        <is>
          <t>Cultura Autorizada na Bula</t>
        </is>
      </c>
      <c r="H469" s="7" t="inlineStr">
        <is>
          <t>100 a 300 L/ha</t>
        </is>
      </c>
      <c r="I469" s="7" t="inlineStr">
        <is>
          <t>20 a 40 L/ha</t>
        </is>
      </c>
      <c r="J469" s="7" t="inlineStr">
        <is>
          <t>Isento</t>
        </is>
      </c>
    </row>
    <row r="470" ht="22" customHeight="1">
      <c r="A470" s="12" t="inlineStr">
        <is>
          <t>CUL-0466</t>
        </is>
      </c>
      <c r="B470" s="11" t="n">
        <v>87</v>
      </c>
      <c r="C470" s="13" t="inlineStr">
        <is>
          <t>SIPEAGRO (UF-XXXXX)</t>
        </is>
      </c>
      <c r="D470" s="14" t="inlineStr">
        <is>
          <t>AGCN MN ULTRA</t>
        </is>
      </c>
      <c r="E470" s="13" t="inlineStr">
        <is>
          <t>Adubação de Solo / Foliar</t>
        </is>
      </c>
      <c r="F470" s="13" t="inlineStr">
        <is>
          <t>Café</t>
        </is>
      </c>
      <c r="G470" s="13" t="inlineStr">
        <is>
          <t>Cultura Autorizada na Bula</t>
        </is>
      </c>
      <c r="H470" s="13" t="inlineStr">
        <is>
          <t>100 a 300 L/ha</t>
        </is>
      </c>
      <c r="I470" s="13" t="inlineStr">
        <is>
          <t>20 a 40 L/ha</t>
        </is>
      </c>
      <c r="J470" s="13" t="inlineStr">
        <is>
          <t>Isento</t>
        </is>
      </c>
    </row>
    <row r="471" ht="22" customHeight="1">
      <c r="A471" s="6" t="inlineStr">
        <is>
          <t>CUL-0467</t>
        </is>
      </c>
      <c r="B471" s="5" t="n">
        <v>88</v>
      </c>
      <c r="C471" s="7" t="inlineStr">
        <is>
          <t>SIPEAGRO (UF-XXXXX)</t>
        </is>
      </c>
      <c r="D471" s="8" t="inlineStr">
        <is>
          <t>AGCN MOLIBIDENIO</t>
        </is>
      </c>
      <c r="E471" s="7" t="inlineStr">
        <is>
          <t>Adubação de Solo / Foliar</t>
        </is>
      </c>
      <c r="F471" s="7" t="inlineStr">
        <is>
          <t>Soja</t>
        </is>
      </c>
      <c r="G471" s="7" t="inlineStr">
        <is>
          <t>Cultura Autorizada na Bula</t>
        </is>
      </c>
      <c r="H471" s="7" t="inlineStr">
        <is>
          <t>100 a 300 L/ha</t>
        </is>
      </c>
      <c r="I471" s="7" t="inlineStr">
        <is>
          <t>20 a 40 L/ha</t>
        </is>
      </c>
      <c r="J471" s="7" t="inlineStr">
        <is>
          <t>Isento</t>
        </is>
      </c>
    </row>
    <row r="472" ht="22" customHeight="1">
      <c r="A472" s="12" t="inlineStr">
        <is>
          <t>CUL-0468</t>
        </is>
      </c>
      <c r="B472" s="11" t="n">
        <v>88</v>
      </c>
      <c r="C472" s="13" t="inlineStr">
        <is>
          <t>SIPEAGRO (UF-XXXXX)</t>
        </is>
      </c>
      <c r="D472" s="14" t="inlineStr">
        <is>
          <t>AGCN MOLIBIDENIO</t>
        </is>
      </c>
      <c r="E472" s="13" t="inlineStr">
        <is>
          <t>Adubação de Solo / Foliar</t>
        </is>
      </c>
      <c r="F472" s="13" t="inlineStr">
        <is>
          <t>Milho</t>
        </is>
      </c>
      <c r="G472" s="13" t="inlineStr">
        <is>
          <t>Cultura Autorizada na Bula</t>
        </is>
      </c>
      <c r="H472" s="13" t="inlineStr">
        <is>
          <t>100 a 300 L/ha</t>
        </is>
      </c>
      <c r="I472" s="13" t="inlineStr">
        <is>
          <t>20 a 40 L/ha</t>
        </is>
      </c>
      <c r="J472" s="13" t="inlineStr">
        <is>
          <t>Isento</t>
        </is>
      </c>
    </row>
    <row r="473" ht="22" customHeight="1">
      <c r="A473" s="6" t="inlineStr">
        <is>
          <t>CUL-0469</t>
        </is>
      </c>
      <c r="B473" s="5" t="n">
        <v>88</v>
      </c>
      <c r="C473" s="7" t="inlineStr">
        <is>
          <t>SIPEAGRO (UF-XXXXX)</t>
        </is>
      </c>
      <c r="D473" s="8" t="inlineStr">
        <is>
          <t>AGCN MOLIBIDENIO</t>
        </is>
      </c>
      <c r="E473" s="7" t="inlineStr">
        <is>
          <t>Adubação de Solo / Foliar</t>
        </is>
      </c>
      <c r="F473" s="7" t="inlineStr">
        <is>
          <t>Algodão</t>
        </is>
      </c>
      <c r="G473" s="7" t="inlineStr">
        <is>
          <t>Cultura Autorizada na Bula</t>
        </is>
      </c>
      <c r="H473" s="7" t="inlineStr">
        <is>
          <t>100 a 300 L/ha</t>
        </is>
      </c>
      <c r="I473" s="7" t="inlineStr">
        <is>
          <t>20 a 40 L/ha</t>
        </is>
      </c>
      <c r="J473" s="7" t="inlineStr">
        <is>
          <t>Isento</t>
        </is>
      </c>
    </row>
    <row r="474" ht="22" customHeight="1">
      <c r="A474" s="12" t="inlineStr">
        <is>
          <t>CUL-0470</t>
        </is>
      </c>
      <c r="B474" s="11" t="n">
        <v>88</v>
      </c>
      <c r="C474" s="13" t="inlineStr">
        <is>
          <t>SIPEAGRO (UF-XXXXX)</t>
        </is>
      </c>
      <c r="D474" s="14" t="inlineStr">
        <is>
          <t>AGCN MOLIBIDENIO</t>
        </is>
      </c>
      <c r="E474" s="13" t="inlineStr">
        <is>
          <t>Adubação de Solo / Foliar</t>
        </is>
      </c>
      <c r="F474" s="13" t="inlineStr">
        <is>
          <t>Cana-de-açúcar</t>
        </is>
      </c>
      <c r="G474" s="13" t="inlineStr">
        <is>
          <t>Cultura Autorizada na Bula</t>
        </is>
      </c>
      <c r="H474" s="13" t="inlineStr">
        <is>
          <t>100 a 300 L/ha</t>
        </is>
      </c>
      <c r="I474" s="13" t="inlineStr">
        <is>
          <t>20 a 40 L/ha</t>
        </is>
      </c>
      <c r="J474" s="13" t="inlineStr">
        <is>
          <t>Isento</t>
        </is>
      </c>
    </row>
    <row r="475" ht="22" customHeight="1">
      <c r="A475" s="6" t="inlineStr">
        <is>
          <t>CUL-0471</t>
        </is>
      </c>
      <c r="B475" s="5" t="n">
        <v>88</v>
      </c>
      <c r="C475" s="7" t="inlineStr">
        <is>
          <t>SIPEAGRO (UF-XXXXX)</t>
        </is>
      </c>
      <c r="D475" s="8" t="inlineStr">
        <is>
          <t>AGCN MOLIBIDENIO</t>
        </is>
      </c>
      <c r="E475" s="7" t="inlineStr">
        <is>
          <t>Adubação de Solo / Foliar</t>
        </is>
      </c>
      <c r="F475" s="7" t="inlineStr">
        <is>
          <t>Café</t>
        </is>
      </c>
      <c r="G475" s="7" t="inlineStr">
        <is>
          <t>Cultura Autorizada na Bula</t>
        </is>
      </c>
      <c r="H475" s="7" t="inlineStr">
        <is>
          <t>100 a 300 L/ha</t>
        </is>
      </c>
      <c r="I475" s="7" t="inlineStr">
        <is>
          <t>20 a 40 L/ha</t>
        </is>
      </c>
      <c r="J475" s="7" t="inlineStr">
        <is>
          <t>Isento</t>
        </is>
      </c>
    </row>
    <row r="476" ht="22" customHeight="1">
      <c r="A476" s="12" t="inlineStr">
        <is>
          <t>CUL-0472</t>
        </is>
      </c>
      <c r="B476" s="11" t="n">
        <v>89</v>
      </c>
      <c r="C476" s="13" t="inlineStr">
        <is>
          <t>SIPEAGRO (UF-XXXXX)</t>
        </is>
      </c>
      <c r="D476" s="14" t="inlineStr">
        <is>
          <t>AGCN MN ULTRA AA</t>
        </is>
      </c>
      <c r="E476" s="13" t="inlineStr">
        <is>
          <t>Adubação de Solo / Foliar</t>
        </is>
      </c>
      <c r="F476" s="13" t="inlineStr">
        <is>
          <t>Soja</t>
        </is>
      </c>
      <c r="G476" s="13" t="inlineStr">
        <is>
          <t>Cultura Autorizada na Bula</t>
        </is>
      </c>
      <c r="H476" s="13" t="inlineStr">
        <is>
          <t>100 a 300 L/ha</t>
        </is>
      </c>
      <c r="I476" s="13" t="inlineStr">
        <is>
          <t>20 a 40 L/ha</t>
        </is>
      </c>
      <c r="J476" s="13" t="inlineStr">
        <is>
          <t>Isento</t>
        </is>
      </c>
    </row>
    <row r="477" ht="22" customHeight="1">
      <c r="A477" s="6" t="inlineStr">
        <is>
          <t>CUL-0473</t>
        </is>
      </c>
      <c r="B477" s="5" t="n">
        <v>89</v>
      </c>
      <c r="C477" s="7" t="inlineStr">
        <is>
          <t>SIPEAGRO (UF-XXXXX)</t>
        </is>
      </c>
      <c r="D477" s="8" t="inlineStr">
        <is>
          <t>AGCN MN ULTRA AA</t>
        </is>
      </c>
      <c r="E477" s="7" t="inlineStr">
        <is>
          <t>Adubação de Solo / Foliar</t>
        </is>
      </c>
      <c r="F477" s="7" t="inlineStr">
        <is>
          <t>Milho</t>
        </is>
      </c>
      <c r="G477" s="7" t="inlineStr">
        <is>
          <t>Cultura Autorizada na Bula</t>
        </is>
      </c>
      <c r="H477" s="7" t="inlineStr">
        <is>
          <t>100 a 300 L/ha</t>
        </is>
      </c>
      <c r="I477" s="7" t="inlineStr">
        <is>
          <t>20 a 40 L/ha</t>
        </is>
      </c>
      <c r="J477" s="7" t="inlineStr">
        <is>
          <t>Isento</t>
        </is>
      </c>
    </row>
    <row r="478" ht="22" customHeight="1">
      <c r="A478" s="12" t="inlineStr">
        <is>
          <t>CUL-0474</t>
        </is>
      </c>
      <c r="B478" s="11" t="n">
        <v>89</v>
      </c>
      <c r="C478" s="13" t="inlineStr">
        <is>
          <t>SIPEAGRO (UF-XXXXX)</t>
        </is>
      </c>
      <c r="D478" s="14" t="inlineStr">
        <is>
          <t>AGCN MN ULTRA AA</t>
        </is>
      </c>
      <c r="E478" s="13" t="inlineStr">
        <is>
          <t>Adubação de Solo / Foliar</t>
        </is>
      </c>
      <c r="F478" s="13" t="inlineStr">
        <is>
          <t>Algodão</t>
        </is>
      </c>
      <c r="G478" s="13" t="inlineStr">
        <is>
          <t>Cultura Autorizada na Bula</t>
        </is>
      </c>
      <c r="H478" s="13" t="inlineStr">
        <is>
          <t>100 a 300 L/ha</t>
        </is>
      </c>
      <c r="I478" s="13" t="inlineStr">
        <is>
          <t>20 a 40 L/ha</t>
        </is>
      </c>
      <c r="J478" s="13" t="inlineStr">
        <is>
          <t>Isento</t>
        </is>
      </c>
    </row>
    <row r="479" ht="22" customHeight="1">
      <c r="A479" s="6" t="inlineStr">
        <is>
          <t>CUL-0475</t>
        </is>
      </c>
      <c r="B479" s="5" t="n">
        <v>89</v>
      </c>
      <c r="C479" s="7" t="inlineStr">
        <is>
          <t>SIPEAGRO (UF-XXXXX)</t>
        </is>
      </c>
      <c r="D479" s="8" t="inlineStr">
        <is>
          <t>AGCN MN ULTRA AA</t>
        </is>
      </c>
      <c r="E479" s="7" t="inlineStr">
        <is>
          <t>Adubação de Solo / Foliar</t>
        </is>
      </c>
      <c r="F479" s="7" t="inlineStr">
        <is>
          <t>Cana-de-açúcar</t>
        </is>
      </c>
      <c r="G479" s="7" t="inlineStr">
        <is>
          <t>Cultura Autorizada na Bula</t>
        </is>
      </c>
      <c r="H479" s="7" t="inlineStr">
        <is>
          <t>100 a 300 L/ha</t>
        </is>
      </c>
      <c r="I479" s="7" t="inlineStr">
        <is>
          <t>20 a 40 L/ha</t>
        </is>
      </c>
      <c r="J479" s="7" t="inlineStr">
        <is>
          <t>Isento</t>
        </is>
      </c>
    </row>
    <row r="480" ht="22" customHeight="1">
      <c r="A480" s="12" t="inlineStr">
        <is>
          <t>CUL-0476</t>
        </is>
      </c>
      <c r="B480" s="11" t="n">
        <v>89</v>
      </c>
      <c r="C480" s="13" t="inlineStr">
        <is>
          <t>SIPEAGRO (UF-XXXXX)</t>
        </is>
      </c>
      <c r="D480" s="14" t="inlineStr">
        <is>
          <t>AGCN MN ULTRA AA</t>
        </is>
      </c>
      <c r="E480" s="13" t="inlineStr">
        <is>
          <t>Adubação de Solo / Foliar</t>
        </is>
      </c>
      <c r="F480" s="13" t="inlineStr">
        <is>
          <t>Café</t>
        </is>
      </c>
      <c r="G480" s="13" t="inlineStr">
        <is>
          <t>Cultura Autorizada na Bula</t>
        </is>
      </c>
      <c r="H480" s="13" t="inlineStr">
        <is>
          <t>100 a 300 L/ha</t>
        </is>
      </c>
      <c r="I480" s="13" t="inlineStr">
        <is>
          <t>20 a 40 L/ha</t>
        </is>
      </c>
      <c r="J480" s="13" t="inlineStr">
        <is>
          <t>Isento</t>
        </is>
      </c>
    </row>
    <row r="481" ht="22" customHeight="1">
      <c r="A481" s="6" t="inlineStr">
        <is>
          <t>CUL-0477</t>
        </is>
      </c>
      <c r="B481" s="5" t="n">
        <v>90</v>
      </c>
      <c r="C481" s="7" t="inlineStr">
        <is>
          <t>SIPEAGRO (UF-XXXXX)</t>
        </is>
      </c>
      <c r="D481" s="8" t="inlineStr">
        <is>
          <t>AGCN MOLIB ULTRA</t>
        </is>
      </c>
      <c r="E481" s="7" t="inlineStr">
        <is>
          <t>Adubação de Solo / Foliar</t>
        </is>
      </c>
      <c r="F481" s="7" t="inlineStr">
        <is>
          <t>Soja</t>
        </is>
      </c>
      <c r="G481" s="7" t="inlineStr">
        <is>
          <t>Cultura Autorizada na Bula</t>
        </is>
      </c>
      <c r="H481" s="7" t="inlineStr">
        <is>
          <t>100 a 300 L/ha</t>
        </is>
      </c>
      <c r="I481" s="7" t="inlineStr">
        <is>
          <t>20 a 40 L/ha</t>
        </is>
      </c>
      <c r="J481" s="7" t="inlineStr">
        <is>
          <t>Isento</t>
        </is>
      </c>
    </row>
    <row r="482" ht="22" customHeight="1">
      <c r="A482" s="12" t="inlineStr">
        <is>
          <t>CUL-0478</t>
        </is>
      </c>
      <c r="B482" s="11" t="n">
        <v>90</v>
      </c>
      <c r="C482" s="13" t="inlineStr">
        <is>
          <t>SIPEAGRO (UF-XXXXX)</t>
        </is>
      </c>
      <c r="D482" s="14" t="inlineStr">
        <is>
          <t>AGCN MOLIB ULTRA</t>
        </is>
      </c>
      <c r="E482" s="13" t="inlineStr">
        <is>
          <t>Adubação de Solo / Foliar</t>
        </is>
      </c>
      <c r="F482" s="13" t="inlineStr">
        <is>
          <t>Milho</t>
        </is>
      </c>
      <c r="G482" s="13" t="inlineStr">
        <is>
          <t>Cultura Autorizada na Bula</t>
        </is>
      </c>
      <c r="H482" s="13" t="inlineStr">
        <is>
          <t>100 a 300 L/ha</t>
        </is>
      </c>
      <c r="I482" s="13" t="inlineStr">
        <is>
          <t>20 a 40 L/ha</t>
        </is>
      </c>
      <c r="J482" s="13" t="inlineStr">
        <is>
          <t>Isento</t>
        </is>
      </c>
    </row>
    <row r="483" ht="22" customHeight="1">
      <c r="A483" s="6" t="inlineStr">
        <is>
          <t>CUL-0479</t>
        </is>
      </c>
      <c r="B483" s="5" t="n">
        <v>90</v>
      </c>
      <c r="C483" s="7" t="inlineStr">
        <is>
          <t>SIPEAGRO (UF-XXXXX)</t>
        </is>
      </c>
      <c r="D483" s="8" t="inlineStr">
        <is>
          <t>AGCN MOLIB ULTRA</t>
        </is>
      </c>
      <c r="E483" s="7" t="inlineStr">
        <is>
          <t>Adubação de Solo / Foliar</t>
        </is>
      </c>
      <c r="F483" s="7" t="inlineStr">
        <is>
          <t>Algodão</t>
        </is>
      </c>
      <c r="G483" s="7" t="inlineStr">
        <is>
          <t>Cultura Autorizada na Bula</t>
        </is>
      </c>
      <c r="H483" s="7" t="inlineStr">
        <is>
          <t>100 a 300 L/ha</t>
        </is>
      </c>
      <c r="I483" s="7" t="inlineStr">
        <is>
          <t>20 a 40 L/ha</t>
        </is>
      </c>
      <c r="J483" s="7" t="inlineStr">
        <is>
          <t>Isento</t>
        </is>
      </c>
    </row>
    <row r="484" ht="22" customHeight="1">
      <c r="A484" s="12" t="inlineStr">
        <is>
          <t>CUL-0480</t>
        </is>
      </c>
      <c r="B484" s="11" t="n">
        <v>90</v>
      </c>
      <c r="C484" s="13" t="inlineStr">
        <is>
          <t>SIPEAGRO (UF-XXXXX)</t>
        </is>
      </c>
      <c r="D484" s="14" t="inlineStr">
        <is>
          <t>AGCN MOLIB ULTRA</t>
        </is>
      </c>
      <c r="E484" s="13" t="inlineStr">
        <is>
          <t>Adubação de Solo / Foliar</t>
        </is>
      </c>
      <c r="F484" s="13" t="inlineStr">
        <is>
          <t>Cana-de-açúcar</t>
        </is>
      </c>
      <c r="G484" s="13" t="inlineStr">
        <is>
          <t>Cultura Autorizada na Bula</t>
        </is>
      </c>
      <c r="H484" s="13" t="inlineStr">
        <is>
          <t>100 a 300 L/ha</t>
        </is>
      </c>
      <c r="I484" s="13" t="inlineStr">
        <is>
          <t>20 a 40 L/ha</t>
        </is>
      </c>
      <c r="J484" s="13" t="inlineStr">
        <is>
          <t>Isento</t>
        </is>
      </c>
    </row>
    <row r="485" ht="22" customHeight="1">
      <c r="A485" s="6" t="inlineStr">
        <is>
          <t>CUL-0481</t>
        </is>
      </c>
      <c r="B485" s="5" t="n">
        <v>90</v>
      </c>
      <c r="C485" s="7" t="inlineStr">
        <is>
          <t>SIPEAGRO (UF-XXXXX)</t>
        </is>
      </c>
      <c r="D485" s="8" t="inlineStr">
        <is>
          <t>AGCN MOLIB ULTRA</t>
        </is>
      </c>
      <c r="E485" s="7" t="inlineStr">
        <is>
          <t>Adubação de Solo / Foliar</t>
        </is>
      </c>
      <c r="F485" s="7" t="inlineStr">
        <is>
          <t>Café</t>
        </is>
      </c>
      <c r="G485" s="7" t="inlineStr">
        <is>
          <t>Cultura Autorizada na Bula</t>
        </is>
      </c>
      <c r="H485" s="7" t="inlineStr">
        <is>
          <t>100 a 300 L/ha</t>
        </is>
      </c>
      <c r="I485" s="7" t="inlineStr">
        <is>
          <t>20 a 40 L/ha</t>
        </is>
      </c>
      <c r="J485" s="7" t="inlineStr">
        <is>
          <t>Isento</t>
        </is>
      </c>
    </row>
    <row r="486" ht="22" customHeight="1">
      <c r="A486" s="12" t="inlineStr">
        <is>
          <t>CUL-0482</t>
        </is>
      </c>
      <c r="B486" s="11" t="n">
        <v>91</v>
      </c>
      <c r="C486" s="13" t="inlineStr">
        <is>
          <t>Nº 3705</t>
        </is>
      </c>
      <c r="D486" s="14" t="inlineStr">
        <is>
          <t>ANCOSAR 720</t>
        </is>
      </c>
      <c r="E486" s="13" t="inlineStr">
        <is>
          <t>Pulverização Agrícola Conforme Bula</t>
        </is>
      </c>
      <c r="F486" s="13" t="inlineStr">
        <is>
          <t>Soja</t>
        </is>
      </c>
      <c r="G486" s="13" t="inlineStr">
        <is>
          <t>Cultura Autorizada na Bula</t>
        </is>
      </c>
      <c r="H486" s="13" t="inlineStr">
        <is>
          <t>100 a 300 L/ha</t>
        </is>
      </c>
      <c r="I486" s="13" t="inlineStr">
        <is>
          <t>20 a 40 L/ha</t>
        </is>
      </c>
      <c r="J486" s="13" t="inlineStr">
        <is>
          <t>60 dias</t>
        </is>
      </c>
    </row>
    <row r="487" ht="22" customHeight="1">
      <c r="A487" s="6" t="inlineStr">
        <is>
          <t>CUL-0483</t>
        </is>
      </c>
      <c r="B487" s="5" t="n">
        <v>91</v>
      </c>
      <c r="C487" s="7" t="inlineStr">
        <is>
          <t>Nº 3705</t>
        </is>
      </c>
      <c r="D487" s="8" t="inlineStr">
        <is>
          <t>ANCOSAR 720</t>
        </is>
      </c>
      <c r="E487" s="7" t="inlineStr">
        <is>
          <t>Pulverização Agrícola Conforme Bula</t>
        </is>
      </c>
      <c r="F487" s="7" t="inlineStr">
        <is>
          <t>Milho</t>
        </is>
      </c>
      <c r="G487" s="7" t="inlineStr">
        <is>
          <t>Cultura Autorizada na Bula</t>
        </is>
      </c>
      <c r="H487" s="7" t="inlineStr">
        <is>
          <t>100 a 300 L/ha</t>
        </is>
      </c>
      <c r="I487" s="7" t="inlineStr">
        <is>
          <t>20 a 40 L/ha</t>
        </is>
      </c>
      <c r="J487" s="7" t="inlineStr">
        <is>
          <t>45 dias</t>
        </is>
      </c>
    </row>
    <row r="488" ht="22" customHeight="1">
      <c r="A488" s="12" t="inlineStr">
        <is>
          <t>CUL-0484</t>
        </is>
      </c>
      <c r="B488" s="11" t="n">
        <v>91</v>
      </c>
      <c r="C488" s="13" t="inlineStr">
        <is>
          <t>Nº 3705</t>
        </is>
      </c>
      <c r="D488" s="14" t="inlineStr">
        <is>
          <t>ANCOSAR 720</t>
        </is>
      </c>
      <c r="E488" s="13" t="inlineStr">
        <is>
          <t>Pulverização Agrícola Conforme Bula</t>
        </is>
      </c>
      <c r="F488" s="13" t="inlineStr">
        <is>
          <t>Algodão</t>
        </is>
      </c>
      <c r="G488" s="13" t="inlineStr">
        <is>
          <t>Cultura Autorizada na Bula</t>
        </is>
      </c>
      <c r="H488" s="13" t="inlineStr">
        <is>
          <t>100 a 300 L/ha</t>
        </is>
      </c>
      <c r="I488" s="13" t="inlineStr">
        <is>
          <t>20 a 40 L/ha</t>
        </is>
      </c>
      <c r="J488" s="13" t="inlineStr">
        <is>
          <t>60 dias</t>
        </is>
      </c>
    </row>
    <row r="489" ht="22" customHeight="1">
      <c r="A489" s="6" t="inlineStr">
        <is>
          <t>CUL-0485</t>
        </is>
      </c>
      <c r="B489" s="5" t="n">
        <v>91</v>
      </c>
      <c r="C489" s="7" t="inlineStr">
        <is>
          <t>Nº 3705</t>
        </is>
      </c>
      <c r="D489" s="8" t="inlineStr">
        <is>
          <t>ANCOSAR 720</t>
        </is>
      </c>
      <c r="E489" s="7" t="inlineStr">
        <is>
          <t>Pulverização Agrícola Conforme Bula</t>
        </is>
      </c>
      <c r="F489" s="7" t="inlineStr">
        <is>
          <t>Cana-de-açúcar</t>
        </is>
      </c>
      <c r="G489" s="7" t="inlineStr">
        <is>
          <t>Cultura Autorizada na Bula</t>
        </is>
      </c>
      <c r="H489" s="7" t="inlineStr">
        <is>
          <t>100 a 300 L/ha</t>
        </is>
      </c>
      <c r="I489" s="7" t="inlineStr">
        <is>
          <t>20 a 40 L/ha</t>
        </is>
      </c>
      <c r="J489" s="7" t="inlineStr">
        <is>
          <t>90 dias</t>
        </is>
      </c>
    </row>
    <row r="490" ht="22" customHeight="1">
      <c r="A490" s="12" t="inlineStr">
        <is>
          <t>CUL-0486</t>
        </is>
      </c>
      <c r="B490" s="11" t="n">
        <v>92</v>
      </c>
      <c r="C490" s="13" t="inlineStr">
        <is>
          <t>Nº 4798</t>
        </is>
      </c>
      <c r="D490" s="14" t="inlineStr">
        <is>
          <t>VOLCANE 790</t>
        </is>
      </c>
      <c r="E490" s="13" t="inlineStr">
        <is>
          <t>Pulverização Agrícola Conforme Bula</t>
        </is>
      </c>
      <c r="F490" s="13" t="inlineStr">
        <is>
          <t>Soja</t>
        </is>
      </c>
      <c r="G490" s="13" t="inlineStr">
        <is>
          <t>Cultura Autorizada na Bula</t>
        </is>
      </c>
      <c r="H490" s="13" t="inlineStr">
        <is>
          <t>100 a 300 L/ha</t>
        </is>
      </c>
      <c r="I490" s="13" t="inlineStr">
        <is>
          <t>20 a 40 L/ha</t>
        </is>
      </c>
      <c r="J490" s="13" t="inlineStr">
        <is>
          <t>60 dias</t>
        </is>
      </c>
    </row>
    <row r="491" ht="22" customHeight="1">
      <c r="A491" s="6" t="inlineStr">
        <is>
          <t>CUL-0487</t>
        </is>
      </c>
      <c r="B491" s="5" t="n">
        <v>92</v>
      </c>
      <c r="C491" s="7" t="inlineStr">
        <is>
          <t>Nº 4798</t>
        </is>
      </c>
      <c r="D491" s="8" t="inlineStr">
        <is>
          <t>VOLCANE 790</t>
        </is>
      </c>
      <c r="E491" s="7" t="inlineStr">
        <is>
          <t>Pulverização Agrícola Conforme Bula</t>
        </is>
      </c>
      <c r="F491" s="7" t="inlineStr">
        <is>
          <t>Milho</t>
        </is>
      </c>
      <c r="G491" s="7" t="inlineStr">
        <is>
          <t>Cultura Autorizada na Bula</t>
        </is>
      </c>
      <c r="H491" s="7" t="inlineStr">
        <is>
          <t>100 a 300 L/ha</t>
        </is>
      </c>
      <c r="I491" s="7" t="inlineStr">
        <is>
          <t>20 a 40 L/ha</t>
        </is>
      </c>
      <c r="J491" s="7" t="inlineStr">
        <is>
          <t>45 dias</t>
        </is>
      </c>
    </row>
    <row r="492" ht="22" customHeight="1">
      <c r="A492" s="12" t="inlineStr">
        <is>
          <t>CUL-0488</t>
        </is>
      </c>
      <c r="B492" s="11" t="n">
        <v>92</v>
      </c>
      <c r="C492" s="13" t="inlineStr">
        <is>
          <t>Nº 4798</t>
        </is>
      </c>
      <c r="D492" s="14" t="inlineStr">
        <is>
          <t>VOLCANE 790</t>
        </is>
      </c>
      <c r="E492" s="13" t="inlineStr">
        <is>
          <t>Pulverização Agrícola Conforme Bula</t>
        </is>
      </c>
      <c r="F492" s="13" t="inlineStr">
        <is>
          <t>Algodão</t>
        </is>
      </c>
      <c r="G492" s="13" t="inlineStr">
        <is>
          <t>Cultura Autorizada na Bula</t>
        </is>
      </c>
      <c r="H492" s="13" t="inlineStr">
        <is>
          <t>100 a 300 L/ha</t>
        </is>
      </c>
      <c r="I492" s="13" t="inlineStr">
        <is>
          <t>20 a 40 L/ha</t>
        </is>
      </c>
      <c r="J492" s="13" t="inlineStr">
        <is>
          <t>60 dias</t>
        </is>
      </c>
    </row>
    <row r="493" ht="22" customHeight="1">
      <c r="A493" s="6" t="inlineStr">
        <is>
          <t>CUL-0489</t>
        </is>
      </c>
      <c r="B493" s="5" t="n">
        <v>92</v>
      </c>
      <c r="C493" s="7" t="inlineStr">
        <is>
          <t>Nº 4798</t>
        </is>
      </c>
      <c r="D493" s="8" t="inlineStr">
        <is>
          <t>VOLCANE 790</t>
        </is>
      </c>
      <c r="E493" s="7" t="inlineStr">
        <is>
          <t>Pulverização Agrícola Conforme Bula</t>
        </is>
      </c>
      <c r="F493" s="7" t="inlineStr">
        <is>
          <t>Cana-de-açúcar</t>
        </is>
      </c>
      <c r="G493" s="7" t="inlineStr">
        <is>
          <t>Cultura Autorizada na Bula</t>
        </is>
      </c>
      <c r="H493" s="7" t="inlineStr">
        <is>
          <t>100 a 300 L/ha</t>
        </is>
      </c>
      <c r="I493" s="7" t="inlineStr">
        <is>
          <t>20 a 40 L/ha</t>
        </is>
      </c>
      <c r="J493" s="7" t="inlineStr">
        <is>
          <t>90 dias</t>
        </is>
      </c>
    </row>
    <row r="494" ht="22" customHeight="1">
      <c r="A494" s="12" t="inlineStr">
        <is>
          <t>CUL-0490</t>
        </is>
      </c>
      <c r="B494" s="11" t="n">
        <v>93</v>
      </c>
      <c r="C494" s="13" t="inlineStr">
        <is>
          <t>SIPEAGRO (UF-XXXXX)</t>
        </is>
      </c>
      <c r="D494" s="14" t="inlineStr">
        <is>
          <t>AGCN FULL</t>
        </is>
      </c>
      <c r="E494" s="13" t="inlineStr">
        <is>
          <t>Adubação de Solo / Foliar</t>
        </is>
      </c>
      <c r="F494" s="13" t="inlineStr">
        <is>
          <t>Soja</t>
        </is>
      </c>
      <c r="G494" s="13" t="inlineStr">
        <is>
          <t>Cultura Autorizada na Bula</t>
        </is>
      </c>
      <c r="H494" s="13" t="inlineStr">
        <is>
          <t>100 a 300 L/ha</t>
        </is>
      </c>
      <c r="I494" s="13" t="inlineStr">
        <is>
          <t>20 a 40 L/ha</t>
        </is>
      </c>
      <c r="J494" s="13" t="inlineStr">
        <is>
          <t>Isento</t>
        </is>
      </c>
    </row>
    <row r="495" ht="22" customHeight="1">
      <c r="A495" s="6" t="inlineStr">
        <is>
          <t>CUL-0491</t>
        </is>
      </c>
      <c r="B495" s="5" t="n">
        <v>93</v>
      </c>
      <c r="C495" s="7" t="inlineStr">
        <is>
          <t>SIPEAGRO (UF-XXXXX)</t>
        </is>
      </c>
      <c r="D495" s="8" t="inlineStr">
        <is>
          <t>AGCN FULL</t>
        </is>
      </c>
      <c r="E495" s="7" t="inlineStr">
        <is>
          <t>Adubação de Solo / Foliar</t>
        </is>
      </c>
      <c r="F495" s="7" t="inlineStr">
        <is>
          <t>Milho</t>
        </is>
      </c>
      <c r="G495" s="7" t="inlineStr">
        <is>
          <t>Cultura Autorizada na Bula</t>
        </is>
      </c>
      <c r="H495" s="7" t="inlineStr">
        <is>
          <t>100 a 300 L/ha</t>
        </is>
      </c>
      <c r="I495" s="7" t="inlineStr">
        <is>
          <t>20 a 40 L/ha</t>
        </is>
      </c>
      <c r="J495" s="7" t="inlineStr">
        <is>
          <t>Isento</t>
        </is>
      </c>
    </row>
    <row r="496" ht="22" customHeight="1">
      <c r="A496" s="12" t="inlineStr">
        <is>
          <t>CUL-0492</t>
        </is>
      </c>
      <c r="B496" s="11" t="n">
        <v>93</v>
      </c>
      <c r="C496" s="13" t="inlineStr">
        <is>
          <t>SIPEAGRO (UF-XXXXX)</t>
        </is>
      </c>
      <c r="D496" s="14" t="inlineStr">
        <is>
          <t>AGCN FULL</t>
        </is>
      </c>
      <c r="E496" s="13" t="inlineStr">
        <is>
          <t>Adubação de Solo / Foliar</t>
        </is>
      </c>
      <c r="F496" s="13" t="inlineStr">
        <is>
          <t>Algodão</t>
        </is>
      </c>
      <c r="G496" s="13" t="inlineStr">
        <is>
          <t>Cultura Autorizada na Bula</t>
        </is>
      </c>
      <c r="H496" s="13" t="inlineStr">
        <is>
          <t>100 a 300 L/ha</t>
        </is>
      </c>
      <c r="I496" s="13" t="inlineStr">
        <is>
          <t>20 a 40 L/ha</t>
        </is>
      </c>
      <c r="J496" s="13" t="inlineStr">
        <is>
          <t>Isento</t>
        </is>
      </c>
    </row>
    <row r="497" ht="22" customHeight="1">
      <c r="A497" s="6" t="inlineStr">
        <is>
          <t>CUL-0493</t>
        </is>
      </c>
      <c r="B497" s="5" t="n">
        <v>93</v>
      </c>
      <c r="C497" s="7" t="inlineStr">
        <is>
          <t>SIPEAGRO (UF-XXXXX)</t>
        </is>
      </c>
      <c r="D497" s="8" t="inlineStr">
        <is>
          <t>AGCN FULL</t>
        </is>
      </c>
      <c r="E497" s="7" t="inlineStr">
        <is>
          <t>Adubação de Solo / Foliar</t>
        </is>
      </c>
      <c r="F497" s="7" t="inlineStr">
        <is>
          <t>Cana-de-açúcar</t>
        </is>
      </c>
      <c r="G497" s="7" t="inlineStr">
        <is>
          <t>Cultura Autorizada na Bula</t>
        </is>
      </c>
      <c r="H497" s="7" t="inlineStr">
        <is>
          <t>100 a 300 L/ha</t>
        </is>
      </c>
      <c r="I497" s="7" t="inlineStr">
        <is>
          <t>20 a 40 L/ha</t>
        </is>
      </c>
      <c r="J497" s="7" t="inlineStr">
        <is>
          <t>Isento</t>
        </is>
      </c>
    </row>
    <row r="498" ht="22" customHeight="1">
      <c r="A498" s="12" t="inlineStr">
        <is>
          <t>CUL-0494</t>
        </is>
      </c>
      <c r="B498" s="11" t="n">
        <v>93</v>
      </c>
      <c r="C498" s="13" t="inlineStr">
        <is>
          <t>SIPEAGRO (UF-XXXXX)</t>
        </is>
      </c>
      <c r="D498" s="14" t="inlineStr">
        <is>
          <t>AGCN FULL</t>
        </is>
      </c>
      <c r="E498" s="13" t="inlineStr">
        <is>
          <t>Adubação de Solo / Foliar</t>
        </is>
      </c>
      <c r="F498" s="13" t="inlineStr">
        <is>
          <t>Café</t>
        </is>
      </c>
      <c r="G498" s="13" t="inlineStr">
        <is>
          <t>Cultura Autorizada na Bula</t>
        </is>
      </c>
      <c r="H498" s="13" t="inlineStr">
        <is>
          <t>100 a 300 L/ha</t>
        </is>
      </c>
      <c r="I498" s="13" t="inlineStr">
        <is>
          <t>20 a 40 L/ha</t>
        </is>
      </c>
      <c r="J498" s="13" t="inlineStr">
        <is>
          <t>Isento</t>
        </is>
      </c>
    </row>
    <row r="499" ht="22" customHeight="1">
      <c r="A499" s="6" t="inlineStr">
        <is>
          <t>CUL-0495</t>
        </is>
      </c>
      <c r="B499" s="5" t="n">
        <v>94</v>
      </c>
      <c r="C499" s="7" t="inlineStr">
        <is>
          <t>SIPEAGRO (UF-XXXXX)</t>
        </is>
      </c>
      <c r="D499" s="8" t="inlineStr">
        <is>
          <t>AGCN NITROGEN</t>
        </is>
      </c>
      <c r="E499" s="7" t="inlineStr">
        <is>
          <t>Adubação de Solo / Foliar</t>
        </is>
      </c>
      <c r="F499" s="7" t="inlineStr">
        <is>
          <t>Soja</t>
        </is>
      </c>
      <c r="G499" s="7" t="inlineStr">
        <is>
          <t>Cultura Autorizada na Bula</t>
        </is>
      </c>
      <c r="H499" s="7" t="inlineStr">
        <is>
          <t>100 a 300 L/ha</t>
        </is>
      </c>
      <c r="I499" s="7" t="inlineStr">
        <is>
          <t>20 a 40 L/ha</t>
        </is>
      </c>
      <c r="J499" s="7" t="inlineStr">
        <is>
          <t>Isento</t>
        </is>
      </c>
    </row>
    <row r="500" ht="22" customHeight="1">
      <c r="A500" s="12" t="inlineStr">
        <is>
          <t>CUL-0496</t>
        </is>
      </c>
      <c r="B500" s="11" t="n">
        <v>94</v>
      </c>
      <c r="C500" s="13" t="inlineStr">
        <is>
          <t>SIPEAGRO (UF-XXXXX)</t>
        </is>
      </c>
      <c r="D500" s="14" t="inlineStr">
        <is>
          <t>AGCN NITROGEN</t>
        </is>
      </c>
      <c r="E500" s="13" t="inlineStr">
        <is>
          <t>Adubação de Solo / Foliar</t>
        </is>
      </c>
      <c r="F500" s="13" t="inlineStr">
        <is>
          <t>Milho</t>
        </is>
      </c>
      <c r="G500" s="13" t="inlineStr">
        <is>
          <t>Cultura Autorizada na Bula</t>
        </is>
      </c>
      <c r="H500" s="13" t="inlineStr">
        <is>
          <t>100 a 300 L/ha</t>
        </is>
      </c>
      <c r="I500" s="13" t="inlineStr">
        <is>
          <t>20 a 40 L/ha</t>
        </is>
      </c>
      <c r="J500" s="13" t="inlineStr">
        <is>
          <t>Isento</t>
        </is>
      </c>
    </row>
    <row r="501" ht="22" customHeight="1">
      <c r="A501" s="6" t="inlineStr">
        <is>
          <t>CUL-0497</t>
        </is>
      </c>
      <c r="B501" s="5" t="n">
        <v>94</v>
      </c>
      <c r="C501" s="7" t="inlineStr">
        <is>
          <t>SIPEAGRO (UF-XXXXX)</t>
        </is>
      </c>
      <c r="D501" s="8" t="inlineStr">
        <is>
          <t>AGCN NITROGEN</t>
        </is>
      </c>
      <c r="E501" s="7" t="inlineStr">
        <is>
          <t>Adubação de Solo / Foliar</t>
        </is>
      </c>
      <c r="F501" s="7" t="inlineStr">
        <is>
          <t>Algodão</t>
        </is>
      </c>
      <c r="G501" s="7" t="inlineStr">
        <is>
          <t>Cultura Autorizada na Bula</t>
        </is>
      </c>
      <c r="H501" s="7" t="inlineStr">
        <is>
          <t>100 a 300 L/ha</t>
        </is>
      </c>
      <c r="I501" s="7" t="inlineStr">
        <is>
          <t>20 a 40 L/ha</t>
        </is>
      </c>
      <c r="J501" s="7" t="inlineStr">
        <is>
          <t>Isento</t>
        </is>
      </c>
    </row>
    <row r="502" ht="22" customHeight="1">
      <c r="A502" s="12" t="inlineStr">
        <is>
          <t>CUL-0498</t>
        </is>
      </c>
      <c r="B502" s="11" t="n">
        <v>94</v>
      </c>
      <c r="C502" s="13" t="inlineStr">
        <is>
          <t>SIPEAGRO (UF-XXXXX)</t>
        </is>
      </c>
      <c r="D502" s="14" t="inlineStr">
        <is>
          <t>AGCN NITROGEN</t>
        </is>
      </c>
      <c r="E502" s="13" t="inlineStr">
        <is>
          <t>Adubação de Solo / Foliar</t>
        </is>
      </c>
      <c r="F502" s="13" t="inlineStr">
        <is>
          <t>Cana-de-açúcar</t>
        </is>
      </c>
      <c r="G502" s="13" t="inlineStr">
        <is>
          <t>Cultura Autorizada na Bula</t>
        </is>
      </c>
      <c r="H502" s="13" t="inlineStr">
        <is>
          <t>100 a 300 L/ha</t>
        </is>
      </c>
      <c r="I502" s="13" t="inlineStr">
        <is>
          <t>20 a 40 L/ha</t>
        </is>
      </c>
      <c r="J502" s="13" t="inlineStr">
        <is>
          <t>Isento</t>
        </is>
      </c>
    </row>
    <row r="503" ht="22" customHeight="1">
      <c r="A503" s="6" t="inlineStr">
        <is>
          <t>CUL-0499</t>
        </is>
      </c>
      <c r="B503" s="5" t="n">
        <v>94</v>
      </c>
      <c r="C503" s="7" t="inlineStr">
        <is>
          <t>SIPEAGRO (UF-XXXXX)</t>
        </is>
      </c>
      <c r="D503" s="8" t="inlineStr">
        <is>
          <t>AGCN NITROGEN</t>
        </is>
      </c>
      <c r="E503" s="7" t="inlineStr">
        <is>
          <t>Adubação de Solo / Foliar</t>
        </is>
      </c>
      <c r="F503" s="7" t="inlineStr">
        <is>
          <t>Café</t>
        </is>
      </c>
      <c r="G503" s="7" t="inlineStr">
        <is>
          <t>Cultura Autorizada na Bula</t>
        </is>
      </c>
      <c r="H503" s="7" t="inlineStr">
        <is>
          <t>100 a 300 L/ha</t>
        </is>
      </c>
      <c r="I503" s="7" t="inlineStr">
        <is>
          <t>20 a 40 L/ha</t>
        </is>
      </c>
      <c r="J503" s="7" t="inlineStr">
        <is>
          <t>Isento</t>
        </is>
      </c>
    </row>
    <row r="504" ht="22" customHeight="1">
      <c r="A504" s="12" t="inlineStr">
        <is>
          <t>CUL-0500</t>
        </is>
      </c>
      <c r="B504" s="11" t="n">
        <v>95</v>
      </c>
      <c r="C504" s="13" t="inlineStr">
        <is>
          <t>SIPEAGRO (UF-XXXXX)</t>
        </is>
      </c>
      <c r="D504" s="14" t="inlineStr">
        <is>
          <t>AGCN NITROGEN 30%</t>
        </is>
      </c>
      <c r="E504" s="13" t="inlineStr">
        <is>
          <t>Adubação de Solo / Foliar</t>
        </is>
      </c>
      <c r="F504" s="13" t="inlineStr">
        <is>
          <t>Soja</t>
        </is>
      </c>
      <c r="G504" s="13" t="inlineStr">
        <is>
          <t>Cultura Autorizada na Bula</t>
        </is>
      </c>
      <c r="H504" s="13" t="inlineStr">
        <is>
          <t>100 a 300 L/ha</t>
        </is>
      </c>
      <c r="I504" s="13" t="inlineStr">
        <is>
          <t>20 a 40 L/ha</t>
        </is>
      </c>
      <c r="J504" s="13" t="inlineStr">
        <is>
          <t>Isento</t>
        </is>
      </c>
    </row>
    <row r="505" ht="22" customHeight="1">
      <c r="A505" s="6" t="inlineStr">
        <is>
          <t>CUL-0501</t>
        </is>
      </c>
      <c r="B505" s="5" t="n">
        <v>95</v>
      </c>
      <c r="C505" s="7" t="inlineStr">
        <is>
          <t>SIPEAGRO (UF-XXXXX)</t>
        </is>
      </c>
      <c r="D505" s="8" t="inlineStr">
        <is>
          <t>AGCN NITROGEN 30%</t>
        </is>
      </c>
      <c r="E505" s="7" t="inlineStr">
        <is>
          <t>Adubação de Solo / Foliar</t>
        </is>
      </c>
      <c r="F505" s="7" t="inlineStr">
        <is>
          <t>Milho</t>
        </is>
      </c>
      <c r="G505" s="7" t="inlineStr">
        <is>
          <t>Cultura Autorizada na Bula</t>
        </is>
      </c>
      <c r="H505" s="7" t="inlineStr">
        <is>
          <t>100 a 300 L/ha</t>
        </is>
      </c>
      <c r="I505" s="7" t="inlineStr">
        <is>
          <t>20 a 40 L/ha</t>
        </is>
      </c>
      <c r="J505" s="7" t="inlineStr">
        <is>
          <t>Isento</t>
        </is>
      </c>
    </row>
    <row r="506" ht="22" customHeight="1">
      <c r="A506" s="12" t="inlineStr">
        <is>
          <t>CUL-0502</t>
        </is>
      </c>
      <c r="B506" s="11" t="n">
        <v>95</v>
      </c>
      <c r="C506" s="13" t="inlineStr">
        <is>
          <t>SIPEAGRO (UF-XXXXX)</t>
        </is>
      </c>
      <c r="D506" s="14" t="inlineStr">
        <is>
          <t>AGCN NITROGEN 30%</t>
        </is>
      </c>
      <c r="E506" s="13" t="inlineStr">
        <is>
          <t>Adubação de Solo / Foliar</t>
        </is>
      </c>
      <c r="F506" s="13" t="inlineStr">
        <is>
          <t>Algodão</t>
        </is>
      </c>
      <c r="G506" s="13" t="inlineStr">
        <is>
          <t>Cultura Autorizada na Bula</t>
        </is>
      </c>
      <c r="H506" s="13" t="inlineStr">
        <is>
          <t>100 a 300 L/ha</t>
        </is>
      </c>
      <c r="I506" s="13" t="inlineStr">
        <is>
          <t>20 a 40 L/ha</t>
        </is>
      </c>
      <c r="J506" s="13" t="inlineStr">
        <is>
          <t>Isento</t>
        </is>
      </c>
    </row>
    <row r="507" ht="22" customHeight="1">
      <c r="A507" s="6" t="inlineStr">
        <is>
          <t>CUL-0503</t>
        </is>
      </c>
      <c r="B507" s="5" t="n">
        <v>95</v>
      </c>
      <c r="C507" s="7" t="inlineStr">
        <is>
          <t>SIPEAGRO (UF-XXXXX)</t>
        </is>
      </c>
      <c r="D507" s="8" t="inlineStr">
        <is>
          <t>AGCN NITROGEN 30%</t>
        </is>
      </c>
      <c r="E507" s="7" t="inlineStr">
        <is>
          <t>Adubação de Solo / Foliar</t>
        </is>
      </c>
      <c r="F507" s="7" t="inlineStr">
        <is>
          <t>Cana-de-açúcar</t>
        </is>
      </c>
      <c r="G507" s="7" t="inlineStr">
        <is>
          <t>Cultura Autorizada na Bula</t>
        </is>
      </c>
      <c r="H507" s="7" t="inlineStr">
        <is>
          <t>100 a 300 L/ha</t>
        </is>
      </c>
      <c r="I507" s="7" t="inlineStr">
        <is>
          <t>20 a 40 L/ha</t>
        </is>
      </c>
      <c r="J507" s="7" t="inlineStr">
        <is>
          <t>Isento</t>
        </is>
      </c>
    </row>
    <row r="508" ht="22" customHeight="1">
      <c r="A508" s="12" t="inlineStr">
        <is>
          <t>CUL-0504</t>
        </is>
      </c>
      <c r="B508" s="11" t="n">
        <v>95</v>
      </c>
      <c r="C508" s="13" t="inlineStr">
        <is>
          <t>SIPEAGRO (UF-XXXXX)</t>
        </is>
      </c>
      <c r="D508" s="14" t="inlineStr">
        <is>
          <t>AGCN NITROGEN 30%</t>
        </is>
      </c>
      <c r="E508" s="13" t="inlineStr">
        <is>
          <t>Adubação de Solo / Foliar</t>
        </is>
      </c>
      <c r="F508" s="13" t="inlineStr">
        <is>
          <t>Café</t>
        </is>
      </c>
      <c r="G508" s="13" t="inlineStr">
        <is>
          <t>Cultura Autorizada na Bula</t>
        </is>
      </c>
      <c r="H508" s="13" t="inlineStr">
        <is>
          <t>100 a 300 L/ha</t>
        </is>
      </c>
      <c r="I508" s="13" t="inlineStr">
        <is>
          <t>20 a 40 L/ha</t>
        </is>
      </c>
      <c r="J508" s="13" t="inlineStr">
        <is>
          <t>Isento</t>
        </is>
      </c>
    </row>
    <row r="509" ht="22" customHeight="1">
      <c r="A509" s="6" t="inlineStr">
        <is>
          <t>CUL-0505</t>
        </is>
      </c>
      <c r="B509" s="5" t="n">
        <v>96</v>
      </c>
      <c r="C509" s="7" t="inlineStr">
        <is>
          <t>SIPEAGRO (UF-XXXXX)</t>
        </is>
      </c>
      <c r="D509" s="8" t="inlineStr">
        <is>
          <t>AGCN MAG ULTRA</t>
        </is>
      </c>
      <c r="E509" s="7" t="inlineStr">
        <is>
          <t>Adubação de Solo / Foliar</t>
        </is>
      </c>
      <c r="F509" s="7" t="inlineStr">
        <is>
          <t>Soja</t>
        </is>
      </c>
      <c r="G509" s="7" t="inlineStr">
        <is>
          <t>Cultura Autorizada na Bula</t>
        </is>
      </c>
      <c r="H509" s="7" t="inlineStr">
        <is>
          <t>100 a 300 L/ha</t>
        </is>
      </c>
      <c r="I509" s="7" t="inlineStr">
        <is>
          <t>20 a 40 L/ha</t>
        </is>
      </c>
      <c r="J509" s="7" t="inlineStr">
        <is>
          <t>Isento</t>
        </is>
      </c>
    </row>
    <row r="510" ht="22" customHeight="1">
      <c r="A510" s="12" t="inlineStr">
        <is>
          <t>CUL-0506</t>
        </is>
      </c>
      <c r="B510" s="11" t="n">
        <v>96</v>
      </c>
      <c r="C510" s="13" t="inlineStr">
        <is>
          <t>SIPEAGRO (UF-XXXXX)</t>
        </is>
      </c>
      <c r="D510" s="14" t="inlineStr">
        <is>
          <t>AGCN MAG ULTRA</t>
        </is>
      </c>
      <c r="E510" s="13" t="inlineStr">
        <is>
          <t>Adubação de Solo / Foliar</t>
        </is>
      </c>
      <c r="F510" s="13" t="inlineStr">
        <is>
          <t>Milho</t>
        </is>
      </c>
      <c r="G510" s="13" t="inlineStr">
        <is>
          <t>Cultura Autorizada na Bula</t>
        </is>
      </c>
      <c r="H510" s="13" t="inlineStr">
        <is>
          <t>100 a 300 L/ha</t>
        </is>
      </c>
      <c r="I510" s="13" t="inlineStr">
        <is>
          <t>20 a 40 L/ha</t>
        </is>
      </c>
      <c r="J510" s="13" t="inlineStr">
        <is>
          <t>Isento</t>
        </is>
      </c>
    </row>
    <row r="511" ht="22" customHeight="1">
      <c r="A511" s="6" t="inlineStr">
        <is>
          <t>CUL-0507</t>
        </is>
      </c>
      <c r="B511" s="5" t="n">
        <v>96</v>
      </c>
      <c r="C511" s="7" t="inlineStr">
        <is>
          <t>SIPEAGRO (UF-XXXXX)</t>
        </is>
      </c>
      <c r="D511" s="8" t="inlineStr">
        <is>
          <t>AGCN MAG ULTRA</t>
        </is>
      </c>
      <c r="E511" s="7" t="inlineStr">
        <is>
          <t>Adubação de Solo / Foliar</t>
        </is>
      </c>
      <c r="F511" s="7" t="inlineStr">
        <is>
          <t>Algodão</t>
        </is>
      </c>
      <c r="G511" s="7" t="inlineStr">
        <is>
          <t>Cultura Autorizada na Bula</t>
        </is>
      </c>
      <c r="H511" s="7" t="inlineStr">
        <is>
          <t>100 a 300 L/ha</t>
        </is>
      </c>
      <c r="I511" s="7" t="inlineStr">
        <is>
          <t>20 a 40 L/ha</t>
        </is>
      </c>
      <c r="J511" s="7" t="inlineStr">
        <is>
          <t>Isento</t>
        </is>
      </c>
    </row>
    <row r="512" ht="22" customHeight="1">
      <c r="A512" s="12" t="inlineStr">
        <is>
          <t>CUL-0508</t>
        </is>
      </c>
      <c r="B512" s="11" t="n">
        <v>96</v>
      </c>
      <c r="C512" s="13" t="inlineStr">
        <is>
          <t>SIPEAGRO (UF-XXXXX)</t>
        </is>
      </c>
      <c r="D512" s="14" t="inlineStr">
        <is>
          <t>AGCN MAG ULTRA</t>
        </is>
      </c>
      <c r="E512" s="13" t="inlineStr">
        <is>
          <t>Adubação de Solo / Foliar</t>
        </is>
      </c>
      <c r="F512" s="13" t="inlineStr">
        <is>
          <t>Cana-de-açúcar</t>
        </is>
      </c>
      <c r="G512" s="13" t="inlineStr">
        <is>
          <t>Cultura Autorizada na Bula</t>
        </is>
      </c>
      <c r="H512" s="13" t="inlineStr">
        <is>
          <t>100 a 300 L/ha</t>
        </is>
      </c>
      <c r="I512" s="13" t="inlineStr">
        <is>
          <t>20 a 40 L/ha</t>
        </is>
      </c>
      <c r="J512" s="13" t="inlineStr">
        <is>
          <t>Isento</t>
        </is>
      </c>
    </row>
    <row r="513" ht="22" customHeight="1">
      <c r="A513" s="6" t="inlineStr">
        <is>
          <t>CUL-0509</t>
        </is>
      </c>
      <c r="B513" s="5" t="n">
        <v>96</v>
      </c>
      <c r="C513" s="7" t="inlineStr">
        <is>
          <t>SIPEAGRO (UF-XXXXX)</t>
        </is>
      </c>
      <c r="D513" s="8" t="inlineStr">
        <is>
          <t>AGCN MAG ULTRA</t>
        </is>
      </c>
      <c r="E513" s="7" t="inlineStr">
        <is>
          <t>Adubação de Solo / Foliar</t>
        </is>
      </c>
      <c r="F513" s="7" t="inlineStr">
        <is>
          <t>Café</t>
        </is>
      </c>
      <c r="G513" s="7" t="inlineStr">
        <is>
          <t>Cultura Autorizada na Bula</t>
        </is>
      </c>
      <c r="H513" s="7" t="inlineStr">
        <is>
          <t>100 a 300 L/ha</t>
        </is>
      </c>
      <c r="I513" s="7" t="inlineStr">
        <is>
          <t>20 a 40 L/ha</t>
        </is>
      </c>
      <c r="J513" s="7" t="inlineStr">
        <is>
          <t>Isento</t>
        </is>
      </c>
    </row>
    <row r="514" ht="22" customHeight="1">
      <c r="A514" s="12" t="inlineStr">
        <is>
          <t>CUL-0510</t>
        </is>
      </c>
      <c r="B514" s="11" t="n">
        <v>97</v>
      </c>
      <c r="C514" s="13" t="inlineStr">
        <is>
          <t>SIPEAGRO (UF-XXXXX)</t>
        </is>
      </c>
      <c r="D514" s="14" t="inlineStr">
        <is>
          <t>AGCN FULL ULTRA</t>
        </is>
      </c>
      <c r="E514" s="13" t="inlineStr">
        <is>
          <t>Adubação de Solo / Foliar</t>
        </is>
      </c>
      <c r="F514" s="13" t="inlineStr">
        <is>
          <t>Soja</t>
        </is>
      </c>
      <c r="G514" s="13" t="inlineStr">
        <is>
          <t>Cultura Autorizada na Bula</t>
        </is>
      </c>
      <c r="H514" s="13" t="inlineStr">
        <is>
          <t>100 a 300 L/ha</t>
        </is>
      </c>
      <c r="I514" s="13" t="inlineStr">
        <is>
          <t>20 a 40 L/ha</t>
        </is>
      </c>
      <c r="J514" s="13" t="inlineStr">
        <is>
          <t>Isento</t>
        </is>
      </c>
    </row>
    <row r="515" ht="22" customHeight="1">
      <c r="A515" s="6" t="inlineStr">
        <is>
          <t>CUL-0511</t>
        </is>
      </c>
      <c r="B515" s="5" t="n">
        <v>97</v>
      </c>
      <c r="C515" s="7" t="inlineStr">
        <is>
          <t>SIPEAGRO (UF-XXXXX)</t>
        </is>
      </c>
      <c r="D515" s="8" t="inlineStr">
        <is>
          <t>AGCN FULL ULTRA</t>
        </is>
      </c>
      <c r="E515" s="7" t="inlineStr">
        <is>
          <t>Adubação de Solo / Foliar</t>
        </is>
      </c>
      <c r="F515" s="7" t="inlineStr">
        <is>
          <t>Milho</t>
        </is>
      </c>
      <c r="G515" s="7" t="inlineStr">
        <is>
          <t>Cultura Autorizada na Bula</t>
        </is>
      </c>
      <c r="H515" s="7" t="inlineStr">
        <is>
          <t>100 a 300 L/ha</t>
        </is>
      </c>
      <c r="I515" s="7" t="inlineStr">
        <is>
          <t>20 a 40 L/ha</t>
        </is>
      </c>
      <c r="J515" s="7" t="inlineStr">
        <is>
          <t>Isento</t>
        </is>
      </c>
    </row>
    <row r="516" ht="22" customHeight="1">
      <c r="A516" s="12" t="inlineStr">
        <is>
          <t>CUL-0512</t>
        </is>
      </c>
      <c r="B516" s="11" t="n">
        <v>97</v>
      </c>
      <c r="C516" s="13" t="inlineStr">
        <is>
          <t>SIPEAGRO (UF-XXXXX)</t>
        </is>
      </c>
      <c r="D516" s="14" t="inlineStr">
        <is>
          <t>AGCN FULL ULTRA</t>
        </is>
      </c>
      <c r="E516" s="13" t="inlineStr">
        <is>
          <t>Adubação de Solo / Foliar</t>
        </is>
      </c>
      <c r="F516" s="13" t="inlineStr">
        <is>
          <t>Algodão</t>
        </is>
      </c>
      <c r="G516" s="13" t="inlineStr">
        <is>
          <t>Cultura Autorizada na Bula</t>
        </is>
      </c>
      <c r="H516" s="13" t="inlineStr">
        <is>
          <t>100 a 300 L/ha</t>
        </is>
      </c>
      <c r="I516" s="13" t="inlineStr">
        <is>
          <t>20 a 40 L/ha</t>
        </is>
      </c>
      <c r="J516" s="13" t="inlineStr">
        <is>
          <t>Isento</t>
        </is>
      </c>
    </row>
    <row r="517" ht="22" customHeight="1">
      <c r="A517" s="6" t="inlineStr">
        <is>
          <t>CUL-0513</t>
        </is>
      </c>
      <c r="B517" s="5" t="n">
        <v>97</v>
      </c>
      <c r="C517" s="7" t="inlineStr">
        <is>
          <t>SIPEAGRO (UF-XXXXX)</t>
        </is>
      </c>
      <c r="D517" s="8" t="inlineStr">
        <is>
          <t>AGCN FULL ULTRA</t>
        </is>
      </c>
      <c r="E517" s="7" t="inlineStr">
        <is>
          <t>Adubação de Solo / Foliar</t>
        </is>
      </c>
      <c r="F517" s="7" t="inlineStr">
        <is>
          <t>Cana-de-açúcar</t>
        </is>
      </c>
      <c r="G517" s="7" t="inlineStr">
        <is>
          <t>Cultura Autorizada na Bula</t>
        </is>
      </c>
      <c r="H517" s="7" t="inlineStr">
        <is>
          <t>100 a 300 L/ha</t>
        </is>
      </c>
      <c r="I517" s="7" t="inlineStr">
        <is>
          <t>20 a 40 L/ha</t>
        </is>
      </c>
      <c r="J517" s="7" t="inlineStr">
        <is>
          <t>Isento</t>
        </is>
      </c>
    </row>
    <row r="518" ht="22" customHeight="1">
      <c r="A518" s="12" t="inlineStr">
        <is>
          <t>CUL-0514</t>
        </is>
      </c>
      <c r="B518" s="11" t="n">
        <v>97</v>
      </c>
      <c r="C518" s="13" t="inlineStr">
        <is>
          <t>SIPEAGRO (UF-XXXXX)</t>
        </is>
      </c>
      <c r="D518" s="14" t="inlineStr">
        <is>
          <t>AGCN FULL ULTRA</t>
        </is>
      </c>
      <c r="E518" s="13" t="inlineStr">
        <is>
          <t>Adubação de Solo / Foliar</t>
        </is>
      </c>
      <c r="F518" s="13" t="inlineStr">
        <is>
          <t>Café</t>
        </is>
      </c>
      <c r="G518" s="13" t="inlineStr">
        <is>
          <t>Cultura Autorizada na Bula</t>
        </is>
      </c>
      <c r="H518" s="13" t="inlineStr">
        <is>
          <t>100 a 300 L/ha</t>
        </is>
      </c>
      <c r="I518" s="13" t="inlineStr">
        <is>
          <t>20 a 40 L/ha</t>
        </is>
      </c>
      <c r="J518" s="13" t="inlineStr">
        <is>
          <t>Isento</t>
        </is>
      </c>
    </row>
    <row r="519" ht="22" customHeight="1">
      <c r="A519" s="6" t="inlineStr">
        <is>
          <t>CUL-0515</t>
        </is>
      </c>
      <c r="B519" s="5" t="n">
        <v>98</v>
      </c>
      <c r="C519" s="7" t="inlineStr">
        <is>
          <t>ISENTO (ATO 104/2017)</t>
        </is>
      </c>
      <c r="D519" s="8" t="inlineStr">
        <is>
          <t>AGRICOIL CITRUS</t>
        </is>
      </c>
      <c r="E519" s="7" t="inlineStr">
        <is>
          <t>Pulverização Agrícola Conforme Bula</t>
        </is>
      </c>
      <c r="F519" s="7" t="inlineStr">
        <is>
          <t>Soja, Milho, Algodão, Café, Citros, Cana-de-açúcar (Adição à calda)</t>
        </is>
      </c>
      <c r="G519" s="7" t="inlineStr">
        <is>
          <t>Cultura Autorizada na Bula</t>
        </is>
      </c>
      <c r="H519" s="7" t="inlineStr">
        <is>
          <t>100 a 300 L/ha</t>
        </is>
      </c>
      <c r="I519" s="7" t="inlineStr">
        <is>
          <t>20 a 40 L/ha</t>
        </is>
      </c>
      <c r="J519" s="7" t="inlineStr">
        <is>
          <t>Conforme defensivo principal</t>
        </is>
      </c>
    </row>
    <row r="520" ht="22" customHeight="1">
      <c r="A520" s="12" t="inlineStr">
        <is>
          <t>CUL-0516</t>
        </is>
      </c>
      <c r="B520" s="11" t="n">
        <v>99</v>
      </c>
      <c r="C520" s="13" t="inlineStr">
        <is>
          <t>ISENTO (ATO 104/2017)</t>
        </is>
      </c>
      <c r="D520" s="14" t="inlineStr">
        <is>
          <t>AGRICOIL CITRUS</t>
        </is>
      </c>
      <c r="E520" s="13" t="inlineStr">
        <is>
          <t>Pulverização Agrícola Conforme Bula</t>
        </is>
      </c>
      <c r="F520" s="13" t="inlineStr">
        <is>
          <t>Soja, Milho, Algodão, Café, Citros, Cana-de-açúcar (Adição à calda)</t>
        </is>
      </c>
      <c r="G520" s="13" t="inlineStr">
        <is>
          <t>Cultura Autorizada na Bula</t>
        </is>
      </c>
      <c r="H520" s="13" t="inlineStr">
        <is>
          <t>100 a 300 L/ha</t>
        </is>
      </c>
      <c r="I520" s="13" t="inlineStr">
        <is>
          <t>20 a 40 L/ha</t>
        </is>
      </c>
      <c r="J520" s="13" t="inlineStr">
        <is>
          <t>Conforme defensivo principal</t>
        </is>
      </c>
    </row>
    <row r="521" ht="22" customHeight="1">
      <c r="A521" s="6" t="inlineStr">
        <is>
          <t>CUL-0517</t>
        </is>
      </c>
      <c r="B521" s="5" t="n">
        <v>100</v>
      </c>
      <c r="C521" s="7" t="inlineStr">
        <is>
          <t>ISENTO (ATO 104/2017)</t>
        </is>
      </c>
      <c r="D521" s="8" t="inlineStr">
        <is>
          <t>AGRICOIL MINERAL YPF</t>
        </is>
      </c>
      <c r="E521" s="7" t="inlineStr">
        <is>
          <t>Pulverização Agrícola Conforme Bula</t>
        </is>
      </c>
      <c r="F521" s="7" t="inlineStr">
        <is>
          <t>Soja, Milho, Algodão, Café, Citros, Cana-de-açúcar (Adição à calda)</t>
        </is>
      </c>
      <c r="G521" s="7" t="inlineStr">
        <is>
          <t>Cultura Autorizada na Bula</t>
        </is>
      </c>
      <c r="H521" s="7" t="inlineStr">
        <is>
          <t>100 a 300 L/ha</t>
        </is>
      </c>
      <c r="I521" s="7" t="inlineStr">
        <is>
          <t>20 a 40 L/ha</t>
        </is>
      </c>
      <c r="J521" s="7" t="inlineStr">
        <is>
          <t>Conforme defensivo principal</t>
        </is>
      </c>
    </row>
    <row r="522" ht="22" customHeight="1">
      <c r="A522" s="12" t="inlineStr">
        <is>
          <t>CUL-0518</t>
        </is>
      </c>
      <c r="B522" s="11" t="n">
        <v>101</v>
      </c>
      <c r="C522" s="13" t="inlineStr">
        <is>
          <t>ISENTO (ATO 104/2017)</t>
        </is>
      </c>
      <c r="D522" s="14" t="inlineStr">
        <is>
          <t>AGRICOIL MINERAL</t>
        </is>
      </c>
      <c r="E522" s="13" t="inlineStr">
        <is>
          <t>Pulverização Agrícola Conforme Bula</t>
        </is>
      </c>
      <c r="F522" s="13" t="inlineStr">
        <is>
          <t>Soja, Milho, Algodão, Café, Citros, Cana-de-açúcar (Adição à calda)</t>
        </is>
      </c>
      <c r="G522" s="13" t="inlineStr">
        <is>
          <t>Cultura Autorizada na Bula</t>
        </is>
      </c>
      <c r="H522" s="13" t="inlineStr">
        <is>
          <t>100 a 300 L/ha</t>
        </is>
      </c>
      <c r="I522" s="13" t="inlineStr">
        <is>
          <t>20 a 40 L/ha</t>
        </is>
      </c>
      <c r="J522" s="13" t="inlineStr">
        <is>
          <t>Conforme defensivo principal</t>
        </is>
      </c>
    </row>
    <row r="523" ht="22" customHeight="1">
      <c r="A523" s="6" t="inlineStr">
        <is>
          <t>CUL-0519</t>
        </is>
      </c>
      <c r="B523" s="5" t="n">
        <v>102</v>
      </c>
      <c r="C523" s="7" t="inlineStr">
        <is>
          <t>ISENTO (ATO 104/2017)</t>
        </is>
      </c>
      <c r="D523" s="8" t="inlineStr">
        <is>
          <t>AGRICOIL VEGETAL</t>
        </is>
      </c>
      <c r="E523" s="7" t="inlineStr">
        <is>
          <t>Pulverização Agrícola Conforme Bula</t>
        </is>
      </c>
      <c r="F523" s="7" t="inlineStr">
        <is>
          <t>Soja, Milho, Algodão, Café, Citros, Cana-de-açúcar (Adição à calda)</t>
        </is>
      </c>
      <c r="G523" s="7" t="inlineStr">
        <is>
          <t>Cultura Autorizada na Bula</t>
        </is>
      </c>
      <c r="H523" s="7" t="inlineStr">
        <is>
          <t>100 a 300 L/ha</t>
        </is>
      </c>
      <c r="I523" s="7" t="inlineStr">
        <is>
          <t>20 a 40 L/ha</t>
        </is>
      </c>
      <c r="J523" s="7" t="inlineStr">
        <is>
          <t>Conforme defensivo principal</t>
        </is>
      </c>
    </row>
    <row r="524" ht="22" customHeight="1">
      <c r="A524" s="12" t="inlineStr">
        <is>
          <t>CUL-0520</t>
        </is>
      </c>
      <c r="B524" s="11" t="n">
        <v>103</v>
      </c>
      <c r="C524" s="13" t="inlineStr">
        <is>
          <t>SIPEAGRO (UF-XXXXX)</t>
        </is>
      </c>
      <c r="D524" s="14" t="inlineStr">
        <is>
          <t>SAGERSOLOS FORCE</t>
        </is>
      </c>
      <c r="E524" s="13" t="inlineStr">
        <is>
          <t>Adubação de Solo / Foliar</t>
        </is>
      </c>
      <c r="F524" s="13" t="inlineStr">
        <is>
          <t>Soja</t>
        </is>
      </c>
      <c r="G524" s="13" t="inlineStr">
        <is>
          <t>Cultura Autorizada na Bula</t>
        </is>
      </c>
      <c r="H524" s="13" t="inlineStr">
        <is>
          <t>100 a 300 L/ha</t>
        </is>
      </c>
      <c r="I524" s="13" t="inlineStr">
        <is>
          <t>20 a 40 L/ha</t>
        </is>
      </c>
      <c r="J524" s="13" t="inlineStr">
        <is>
          <t>Isento</t>
        </is>
      </c>
    </row>
    <row r="525" ht="22" customHeight="1">
      <c r="A525" s="6" t="inlineStr">
        <is>
          <t>CUL-0521</t>
        </is>
      </c>
      <c r="B525" s="5" t="n">
        <v>103</v>
      </c>
      <c r="C525" s="7" t="inlineStr">
        <is>
          <t>SIPEAGRO (UF-XXXXX)</t>
        </is>
      </c>
      <c r="D525" s="8" t="inlineStr">
        <is>
          <t>SAGERSOLOS FORCE</t>
        </is>
      </c>
      <c r="E525" s="7" t="inlineStr">
        <is>
          <t>Adubação de Solo / Foliar</t>
        </is>
      </c>
      <c r="F525" s="7" t="inlineStr">
        <is>
          <t>Milho</t>
        </is>
      </c>
      <c r="G525" s="7" t="inlineStr">
        <is>
          <t>Cultura Autorizada na Bula</t>
        </is>
      </c>
      <c r="H525" s="7" t="inlineStr">
        <is>
          <t>100 a 300 L/ha</t>
        </is>
      </c>
      <c r="I525" s="7" t="inlineStr">
        <is>
          <t>20 a 40 L/ha</t>
        </is>
      </c>
      <c r="J525" s="7" t="inlineStr">
        <is>
          <t>Isento</t>
        </is>
      </c>
    </row>
    <row r="526" ht="22" customHeight="1">
      <c r="A526" s="12" t="inlineStr">
        <is>
          <t>CUL-0522</t>
        </is>
      </c>
      <c r="B526" s="11" t="n">
        <v>103</v>
      </c>
      <c r="C526" s="13" t="inlineStr">
        <is>
          <t>SIPEAGRO (UF-XXXXX)</t>
        </is>
      </c>
      <c r="D526" s="14" t="inlineStr">
        <is>
          <t>SAGERSOLOS FORCE</t>
        </is>
      </c>
      <c r="E526" s="13" t="inlineStr">
        <is>
          <t>Adubação de Solo / Foliar</t>
        </is>
      </c>
      <c r="F526" s="13" t="inlineStr">
        <is>
          <t>Algodão</t>
        </is>
      </c>
      <c r="G526" s="13" t="inlineStr">
        <is>
          <t>Cultura Autorizada na Bula</t>
        </is>
      </c>
      <c r="H526" s="13" t="inlineStr">
        <is>
          <t>100 a 300 L/ha</t>
        </is>
      </c>
      <c r="I526" s="13" t="inlineStr">
        <is>
          <t>20 a 40 L/ha</t>
        </is>
      </c>
      <c r="J526" s="13" t="inlineStr">
        <is>
          <t>Isento</t>
        </is>
      </c>
    </row>
    <row r="527" ht="22" customHeight="1">
      <c r="A527" s="6" t="inlineStr">
        <is>
          <t>CUL-0523</t>
        </is>
      </c>
      <c r="B527" s="5" t="n">
        <v>103</v>
      </c>
      <c r="C527" s="7" t="inlineStr">
        <is>
          <t>SIPEAGRO (UF-XXXXX)</t>
        </is>
      </c>
      <c r="D527" s="8" t="inlineStr">
        <is>
          <t>SAGERSOLOS FORCE</t>
        </is>
      </c>
      <c r="E527" s="7" t="inlineStr">
        <is>
          <t>Adubação de Solo / Foliar</t>
        </is>
      </c>
      <c r="F527" s="7" t="inlineStr">
        <is>
          <t>Cana-de-açúcar</t>
        </is>
      </c>
      <c r="G527" s="7" t="inlineStr">
        <is>
          <t>Cultura Autorizada na Bula</t>
        </is>
      </c>
      <c r="H527" s="7" t="inlineStr">
        <is>
          <t>100 a 300 L/ha</t>
        </is>
      </c>
      <c r="I527" s="7" t="inlineStr">
        <is>
          <t>20 a 40 L/ha</t>
        </is>
      </c>
      <c r="J527" s="7" t="inlineStr">
        <is>
          <t>Isento</t>
        </is>
      </c>
    </row>
    <row r="528" ht="22" customHeight="1">
      <c r="A528" s="12" t="inlineStr">
        <is>
          <t>CUL-0524</t>
        </is>
      </c>
      <c r="B528" s="11" t="n">
        <v>103</v>
      </c>
      <c r="C528" s="13" t="inlineStr">
        <is>
          <t>SIPEAGRO (UF-XXXXX)</t>
        </is>
      </c>
      <c r="D528" s="14" t="inlineStr">
        <is>
          <t>SAGERSOLOS FORCE</t>
        </is>
      </c>
      <c r="E528" s="13" t="inlineStr">
        <is>
          <t>Adubação de Solo / Foliar</t>
        </is>
      </c>
      <c r="F528" s="13" t="inlineStr">
        <is>
          <t>Café</t>
        </is>
      </c>
      <c r="G528" s="13" t="inlineStr">
        <is>
          <t>Cultura Autorizada na Bula</t>
        </is>
      </c>
      <c r="H528" s="13" t="inlineStr">
        <is>
          <t>100 a 300 L/ha</t>
        </is>
      </c>
      <c r="I528" s="13" t="inlineStr">
        <is>
          <t>20 a 40 L/ha</t>
        </is>
      </c>
      <c r="J528" s="13" t="inlineStr">
        <is>
          <t>Isento</t>
        </is>
      </c>
    </row>
    <row r="529" ht="22" customHeight="1">
      <c r="A529" s="6" t="inlineStr">
        <is>
          <t>CUL-0525</t>
        </is>
      </c>
      <c r="B529" s="5" t="n">
        <v>104</v>
      </c>
      <c r="C529" s="7" t="inlineStr">
        <is>
          <t>SIPEAGRO (UF-XXXXX)</t>
        </is>
      </c>
      <c r="D529" s="8" t="inlineStr">
        <is>
          <t>SAGERSOLOS SINERGY</t>
        </is>
      </c>
      <c r="E529" s="7" t="inlineStr">
        <is>
          <t>Adubação de Solo / Foliar</t>
        </is>
      </c>
      <c r="F529" s="7" t="inlineStr">
        <is>
          <t>Soja</t>
        </is>
      </c>
      <c r="G529" s="7" t="inlineStr">
        <is>
          <t>Cultura Autorizada na Bula</t>
        </is>
      </c>
      <c r="H529" s="7" t="inlineStr">
        <is>
          <t>100 a 300 L/ha</t>
        </is>
      </c>
      <c r="I529" s="7" t="inlineStr">
        <is>
          <t>20 a 40 L/ha</t>
        </is>
      </c>
      <c r="J529" s="7" t="inlineStr">
        <is>
          <t>Isento</t>
        </is>
      </c>
    </row>
    <row r="530" ht="22" customHeight="1">
      <c r="A530" s="12" t="inlineStr">
        <is>
          <t>CUL-0526</t>
        </is>
      </c>
      <c r="B530" s="11" t="n">
        <v>104</v>
      </c>
      <c r="C530" s="13" t="inlineStr">
        <is>
          <t>SIPEAGRO (UF-XXXXX)</t>
        </is>
      </c>
      <c r="D530" s="14" t="inlineStr">
        <is>
          <t>SAGERSOLOS SINERGY</t>
        </is>
      </c>
      <c r="E530" s="13" t="inlineStr">
        <is>
          <t>Adubação de Solo / Foliar</t>
        </is>
      </c>
      <c r="F530" s="13" t="inlineStr">
        <is>
          <t>Milho</t>
        </is>
      </c>
      <c r="G530" s="13" t="inlineStr">
        <is>
          <t>Cultura Autorizada na Bula</t>
        </is>
      </c>
      <c r="H530" s="13" t="inlineStr">
        <is>
          <t>100 a 300 L/ha</t>
        </is>
      </c>
      <c r="I530" s="13" t="inlineStr">
        <is>
          <t>20 a 40 L/ha</t>
        </is>
      </c>
      <c r="J530" s="13" t="inlineStr">
        <is>
          <t>Isento</t>
        </is>
      </c>
    </row>
    <row r="531" ht="22" customHeight="1">
      <c r="A531" s="6" t="inlineStr">
        <is>
          <t>CUL-0527</t>
        </is>
      </c>
      <c r="B531" s="5" t="n">
        <v>104</v>
      </c>
      <c r="C531" s="7" t="inlineStr">
        <is>
          <t>SIPEAGRO (UF-XXXXX)</t>
        </is>
      </c>
      <c r="D531" s="8" t="inlineStr">
        <is>
          <t>SAGERSOLOS SINERGY</t>
        </is>
      </c>
      <c r="E531" s="7" t="inlineStr">
        <is>
          <t>Adubação de Solo / Foliar</t>
        </is>
      </c>
      <c r="F531" s="7" t="inlineStr">
        <is>
          <t>Algodão</t>
        </is>
      </c>
      <c r="G531" s="7" t="inlineStr">
        <is>
          <t>Cultura Autorizada na Bula</t>
        </is>
      </c>
      <c r="H531" s="7" t="inlineStr">
        <is>
          <t>100 a 300 L/ha</t>
        </is>
      </c>
      <c r="I531" s="7" t="inlineStr">
        <is>
          <t>20 a 40 L/ha</t>
        </is>
      </c>
      <c r="J531" s="7" t="inlineStr">
        <is>
          <t>Isento</t>
        </is>
      </c>
    </row>
    <row r="532" ht="22" customHeight="1">
      <c r="A532" s="12" t="inlineStr">
        <is>
          <t>CUL-0528</t>
        </is>
      </c>
      <c r="B532" s="11" t="n">
        <v>104</v>
      </c>
      <c r="C532" s="13" t="inlineStr">
        <is>
          <t>SIPEAGRO (UF-XXXXX)</t>
        </is>
      </c>
      <c r="D532" s="14" t="inlineStr">
        <is>
          <t>SAGERSOLOS SINERGY</t>
        </is>
      </c>
      <c r="E532" s="13" t="inlineStr">
        <is>
          <t>Adubação de Solo / Foliar</t>
        </is>
      </c>
      <c r="F532" s="13" t="inlineStr">
        <is>
          <t>Cana-de-açúcar</t>
        </is>
      </c>
      <c r="G532" s="13" t="inlineStr">
        <is>
          <t>Cultura Autorizada na Bula</t>
        </is>
      </c>
      <c r="H532" s="13" t="inlineStr">
        <is>
          <t>100 a 300 L/ha</t>
        </is>
      </c>
      <c r="I532" s="13" t="inlineStr">
        <is>
          <t>20 a 40 L/ha</t>
        </is>
      </c>
      <c r="J532" s="13" t="inlineStr">
        <is>
          <t>Isento</t>
        </is>
      </c>
    </row>
    <row r="533" ht="22" customHeight="1">
      <c r="A533" s="6" t="inlineStr">
        <is>
          <t>CUL-0529</t>
        </is>
      </c>
      <c r="B533" s="5" t="n">
        <v>104</v>
      </c>
      <c r="C533" s="7" t="inlineStr">
        <is>
          <t>SIPEAGRO (UF-XXXXX)</t>
        </is>
      </c>
      <c r="D533" s="8" t="inlineStr">
        <is>
          <t>SAGERSOLOS SINERGY</t>
        </is>
      </c>
      <c r="E533" s="7" t="inlineStr">
        <is>
          <t>Adubação de Solo / Foliar</t>
        </is>
      </c>
      <c r="F533" s="7" t="inlineStr">
        <is>
          <t>Café</t>
        </is>
      </c>
      <c r="G533" s="7" t="inlineStr">
        <is>
          <t>Cultura Autorizada na Bula</t>
        </is>
      </c>
      <c r="H533" s="7" t="inlineStr">
        <is>
          <t>100 a 300 L/ha</t>
        </is>
      </c>
      <c r="I533" s="7" t="inlineStr">
        <is>
          <t>20 a 40 L/ha</t>
        </is>
      </c>
      <c r="J533" s="7" t="inlineStr">
        <is>
          <t>Isento</t>
        </is>
      </c>
    </row>
    <row r="534" ht="22" customHeight="1">
      <c r="A534" s="12" t="inlineStr">
        <is>
          <t>CUL-0530</t>
        </is>
      </c>
      <c r="B534" s="11" t="n">
        <v>105</v>
      </c>
      <c r="C534" s="13" t="inlineStr">
        <is>
          <t>Nº 2808</t>
        </is>
      </c>
      <c r="D534" s="14" t="inlineStr">
        <is>
          <t>TROPERO</t>
        </is>
      </c>
      <c r="E534" s="13" t="inlineStr">
        <is>
          <t>Pulverização Agrícola Conforme Bula</t>
        </is>
      </c>
      <c r="F534" s="13" t="inlineStr">
        <is>
          <t>Soja</t>
        </is>
      </c>
      <c r="G534" s="13" t="inlineStr">
        <is>
          <t>Cultura Autorizada na Bula</t>
        </is>
      </c>
      <c r="H534" s="13" t="inlineStr">
        <is>
          <t>100 a 300 L/ha</t>
        </is>
      </c>
      <c r="I534" s="13" t="inlineStr">
        <is>
          <t>20 a 40 L/ha</t>
        </is>
      </c>
      <c r="J534" s="13" t="inlineStr">
        <is>
          <t>60 dias</t>
        </is>
      </c>
    </row>
    <row r="535" ht="22" customHeight="1">
      <c r="A535" s="6" t="inlineStr">
        <is>
          <t>CUL-0531</t>
        </is>
      </c>
      <c r="B535" s="5" t="n">
        <v>105</v>
      </c>
      <c r="C535" s="7" t="inlineStr">
        <is>
          <t>Nº 2808</t>
        </is>
      </c>
      <c r="D535" s="8" t="inlineStr">
        <is>
          <t>TROPERO</t>
        </is>
      </c>
      <c r="E535" s="7" t="inlineStr">
        <is>
          <t>Pulverização Agrícola Conforme Bula</t>
        </is>
      </c>
      <c r="F535" s="7" t="inlineStr">
        <is>
          <t>Milho</t>
        </is>
      </c>
      <c r="G535" s="7" t="inlineStr">
        <is>
          <t>Cultura Autorizada na Bula</t>
        </is>
      </c>
      <c r="H535" s="7" t="inlineStr">
        <is>
          <t>100 a 300 L/ha</t>
        </is>
      </c>
      <c r="I535" s="7" t="inlineStr">
        <is>
          <t>20 a 40 L/ha</t>
        </is>
      </c>
      <c r="J535" s="7" t="inlineStr">
        <is>
          <t>45 dias</t>
        </is>
      </c>
    </row>
    <row r="536" ht="22" customHeight="1">
      <c r="A536" s="12" t="inlineStr">
        <is>
          <t>CUL-0532</t>
        </is>
      </c>
      <c r="B536" s="11" t="n">
        <v>105</v>
      </c>
      <c r="C536" s="13" t="inlineStr">
        <is>
          <t>Nº 2808</t>
        </is>
      </c>
      <c r="D536" s="14" t="inlineStr">
        <is>
          <t>TROPERO</t>
        </is>
      </c>
      <c r="E536" s="13" t="inlineStr">
        <is>
          <t>Pulverização Agrícola Conforme Bula</t>
        </is>
      </c>
      <c r="F536" s="13" t="inlineStr">
        <is>
          <t>Algodão</t>
        </is>
      </c>
      <c r="G536" s="13" t="inlineStr">
        <is>
          <t>Cultura Autorizada na Bula</t>
        </is>
      </c>
      <c r="H536" s="13" t="inlineStr">
        <is>
          <t>100 a 300 L/ha</t>
        </is>
      </c>
      <c r="I536" s="13" t="inlineStr">
        <is>
          <t>20 a 40 L/ha</t>
        </is>
      </c>
      <c r="J536" s="13" t="inlineStr">
        <is>
          <t>60 dias</t>
        </is>
      </c>
    </row>
    <row r="537" ht="22" customHeight="1">
      <c r="A537" s="6" t="inlineStr">
        <is>
          <t>CUL-0533</t>
        </is>
      </c>
      <c r="B537" s="5" t="n">
        <v>105</v>
      </c>
      <c r="C537" s="7" t="inlineStr">
        <is>
          <t>Nº 2808</t>
        </is>
      </c>
      <c r="D537" s="8" t="inlineStr">
        <is>
          <t>TROPERO</t>
        </is>
      </c>
      <c r="E537" s="7" t="inlineStr">
        <is>
          <t>Pulverização Agrícola Conforme Bula</t>
        </is>
      </c>
      <c r="F537" s="7" t="inlineStr">
        <is>
          <t>Cana-de-açúcar</t>
        </is>
      </c>
      <c r="G537" s="7" t="inlineStr">
        <is>
          <t>Cultura Autorizada na Bula</t>
        </is>
      </c>
      <c r="H537" s="7" t="inlineStr">
        <is>
          <t>100 a 300 L/ha</t>
        </is>
      </c>
      <c r="I537" s="7" t="inlineStr">
        <is>
          <t>20 a 40 L/ha</t>
        </is>
      </c>
      <c r="J537" s="7" t="inlineStr">
        <is>
          <t>90 dias</t>
        </is>
      </c>
    </row>
    <row r="538" ht="22" customHeight="1">
      <c r="A538" s="12" t="inlineStr">
        <is>
          <t>CUL-0534</t>
        </is>
      </c>
      <c r="B538" s="11" t="n">
        <v>106</v>
      </c>
      <c r="C538" s="13" t="inlineStr">
        <is>
          <t>Nº 14207</t>
        </is>
      </c>
      <c r="D538" s="14" t="inlineStr">
        <is>
          <t>TURUNA</t>
        </is>
      </c>
      <c r="E538" s="13" t="inlineStr">
        <is>
          <t>Pulverização Agrícola Conforme Bula</t>
        </is>
      </c>
      <c r="F538" s="13" t="inlineStr">
        <is>
          <t>Soja (Dessecação Pré-Plantio)</t>
        </is>
      </c>
      <c r="G538" s="13" t="inlineStr">
        <is>
          <t>Cultura Autorizada na Bula</t>
        </is>
      </c>
      <c r="H538" s="13" t="inlineStr">
        <is>
          <t>100 a 300 L/ha</t>
        </is>
      </c>
      <c r="I538" s="13" t="inlineStr">
        <is>
          <t>20 a 40 L/ha</t>
        </is>
      </c>
      <c r="J538" s="13" t="inlineStr">
        <is>
          <t>N/D</t>
        </is>
      </c>
    </row>
    <row r="539" ht="22" customHeight="1">
      <c r="A539" s="6" t="inlineStr">
        <is>
          <t>CUL-0535</t>
        </is>
      </c>
      <c r="B539" s="5" t="n">
        <v>106</v>
      </c>
      <c r="C539" s="7" t="inlineStr">
        <is>
          <t>Nº 14207</t>
        </is>
      </c>
      <c r="D539" s="8" t="inlineStr">
        <is>
          <t>TURUNA</t>
        </is>
      </c>
      <c r="E539" s="7" t="inlineStr">
        <is>
          <t>Pulverização Agrícola Conforme Bula</t>
        </is>
      </c>
      <c r="F539" s="7" t="inlineStr">
        <is>
          <t>Milho</t>
        </is>
      </c>
      <c r="G539" s="7" t="inlineStr">
        <is>
          <t>Cultura Autorizada na Bula</t>
        </is>
      </c>
      <c r="H539" s="7" t="inlineStr">
        <is>
          <t>100 a 300 L/ha</t>
        </is>
      </c>
      <c r="I539" s="7" t="inlineStr">
        <is>
          <t>20 a 40 L/ha</t>
        </is>
      </c>
      <c r="J539" s="7" t="inlineStr">
        <is>
          <t>40 dias</t>
        </is>
      </c>
    </row>
    <row r="540" ht="22" customHeight="1">
      <c r="A540" s="12" t="inlineStr">
        <is>
          <t>CUL-0536</t>
        </is>
      </c>
      <c r="B540" s="11" t="n">
        <v>106</v>
      </c>
      <c r="C540" s="13" t="inlineStr">
        <is>
          <t>Nº 14207</t>
        </is>
      </c>
      <c r="D540" s="14" t="inlineStr">
        <is>
          <t>TURUNA</t>
        </is>
      </c>
      <c r="E540" s="13" t="inlineStr">
        <is>
          <t>Pulverização Agrícola Conforme Bula</t>
        </is>
      </c>
      <c r="F540" s="13" t="inlineStr">
        <is>
          <t>Cana-de-açúcar</t>
        </is>
      </c>
      <c r="G540" s="13" t="inlineStr">
        <is>
          <t>Cultura Autorizada na Bula</t>
        </is>
      </c>
      <c r="H540" s="13" t="inlineStr">
        <is>
          <t>100 a 300 L/ha</t>
        </is>
      </c>
      <c r="I540" s="13" t="inlineStr">
        <is>
          <t>20 a 40 L/ha</t>
        </is>
      </c>
      <c r="J540" s="13" t="inlineStr">
        <is>
          <t>N/D</t>
        </is>
      </c>
    </row>
    <row r="541" ht="22" customHeight="1">
      <c r="A541" s="6" t="inlineStr">
        <is>
          <t>CUL-0537</t>
        </is>
      </c>
      <c r="B541" s="5" t="n">
        <v>106</v>
      </c>
      <c r="C541" s="7" t="inlineStr">
        <is>
          <t>Nº 14207</t>
        </is>
      </c>
      <c r="D541" s="8" t="inlineStr">
        <is>
          <t>TURUNA</t>
        </is>
      </c>
      <c r="E541" s="7" t="inlineStr">
        <is>
          <t>Pulverização Agrícola Conforme Bula</t>
        </is>
      </c>
      <c r="F541" s="7" t="inlineStr">
        <is>
          <t>Trigo</t>
        </is>
      </c>
      <c r="G541" s="7" t="inlineStr">
        <is>
          <t>Cultura Autorizada na Bula</t>
        </is>
      </c>
      <c r="H541" s="7" t="inlineStr">
        <is>
          <t>100 a 300 L/ha</t>
        </is>
      </c>
      <c r="I541" s="7" t="inlineStr">
        <is>
          <t>20 a 40 L/ha</t>
        </is>
      </c>
      <c r="J541" s="7" t="inlineStr">
        <is>
          <t>45 dias</t>
        </is>
      </c>
    </row>
    <row r="542" ht="22" customHeight="1">
      <c r="A542" s="12" t="inlineStr">
        <is>
          <t>CUL-0538</t>
        </is>
      </c>
      <c r="B542" s="11" t="n">
        <v>106</v>
      </c>
      <c r="C542" s="13" t="inlineStr">
        <is>
          <t>Nº 14207</t>
        </is>
      </c>
      <c r="D542" s="14" t="inlineStr">
        <is>
          <t>TURUNA</t>
        </is>
      </c>
      <c r="E542" s="13" t="inlineStr">
        <is>
          <t>Pulverização Agrícola Conforme Bula</t>
        </is>
      </c>
      <c r="F542" s="13" t="inlineStr">
        <is>
          <t>Pastagens</t>
        </is>
      </c>
      <c r="G542" s="13" t="inlineStr">
        <is>
          <t>Cultura Autorizada na Bula</t>
        </is>
      </c>
      <c r="H542" s="13" t="inlineStr">
        <is>
          <t>100 a 300 L/ha</t>
        </is>
      </c>
      <c r="I542" s="13" t="inlineStr">
        <is>
          <t>20 a 40 L/ha</t>
        </is>
      </c>
      <c r="J542" s="13" t="inlineStr">
        <is>
          <t>N/D</t>
        </is>
      </c>
    </row>
    <row r="543" ht="22" customHeight="1">
      <c r="A543" s="6" t="inlineStr">
        <is>
          <t>CUL-0539</t>
        </is>
      </c>
      <c r="B543" s="5" t="n">
        <v>106</v>
      </c>
      <c r="C543" s="7" t="inlineStr">
        <is>
          <t>Nº 14207</t>
        </is>
      </c>
      <c r="D543" s="8" t="inlineStr">
        <is>
          <t>TURUNA</t>
        </is>
      </c>
      <c r="E543" s="7" t="inlineStr">
        <is>
          <t>Pulverização Agrícola Conforme Bula</t>
        </is>
      </c>
      <c r="F543" s="7" t="inlineStr">
        <is>
          <t>Arroz</t>
        </is>
      </c>
      <c r="G543" s="7" t="inlineStr">
        <is>
          <t>Cultura Autorizada na Bula</t>
        </is>
      </c>
      <c r="H543" s="7" t="inlineStr">
        <is>
          <t>100 a 300 L/ha</t>
        </is>
      </c>
      <c r="I543" s="7" t="inlineStr">
        <is>
          <t>20 a 40 L/ha</t>
        </is>
      </c>
      <c r="J543" s="7" t="inlineStr">
        <is>
          <t>60 dias</t>
        </is>
      </c>
    </row>
    <row r="544" ht="22" customHeight="1">
      <c r="A544" s="12" t="inlineStr">
        <is>
          <t>CUL-0540</t>
        </is>
      </c>
      <c r="B544" s="11" t="n">
        <v>107</v>
      </c>
      <c r="C544" s="13" t="inlineStr">
        <is>
          <t>Nº 13420</t>
        </is>
      </c>
      <c r="D544" s="14" t="inlineStr">
        <is>
          <t>APROACH POWER</t>
        </is>
      </c>
      <c r="E544" s="13" t="inlineStr">
        <is>
          <t>Pulverização Agrícola Conforme Bula</t>
        </is>
      </c>
      <c r="F544" s="13" t="inlineStr">
        <is>
          <t>Soja</t>
        </is>
      </c>
      <c r="G544" s="13" t="inlineStr">
        <is>
          <t>Cultura Autorizada na Bula</t>
        </is>
      </c>
      <c r="H544" s="13" t="inlineStr">
        <is>
          <t>100 a 300 L/ha</t>
        </is>
      </c>
      <c r="I544" s="13" t="inlineStr">
        <is>
          <t>20 a 40 L/ha</t>
        </is>
      </c>
      <c r="J544" s="13" t="inlineStr">
        <is>
          <t>30 dias</t>
        </is>
      </c>
    </row>
    <row r="545" ht="22" customHeight="1">
      <c r="A545" s="6" t="inlineStr">
        <is>
          <t>CUL-0541</t>
        </is>
      </c>
      <c r="B545" s="5" t="n">
        <v>107</v>
      </c>
      <c r="C545" s="7" t="inlineStr">
        <is>
          <t>Nº 13420</t>
        </is>
      </c>
      <c r="D545" s="8" t="inlineStr">
        <is>
          <t>APROACH POWER</t>
        </is>
      </c>
      <c r="E545" s="7" t="inlineStr">
        <is>
          <t>Pulverização Agrícola Conforme Bula</t>
        </is>
      </c>
      <c r="F545" s="7" t="inlineStr">
        <is>
          <t>Milho</t>
        </is>
      </c>
      <c r="G545" s="7" t="inlineStr">
        <is>
          <t>Cultura Autorizada na Bula</t>
        </is>
      </c>
      <c r="H545" s="7" t="inlineStr">
        <is>
          <t>100 a 300 L/ha</t>
        </is>
      </c>
      <c r="I545" s="7" t="inlineStr">
        <is>
          <t>20 a 40 L/ha</t>
        </is>
      </c>
      <c r="J545" s="7" t="inlineStr">
        <is>
          <t>30 dias</t>
        </is>
      </c>
    </row>
    <row r="546" ht="22" customHeight="1">
      <c r="A546" s="12" t="inlineStr">
        <is>
          <t>CUL-0542</t>
        </is>
      </c>
      <c r="B546" s="11" t="n">
        <v>107</v>
      </c>
      <c r="C546" s="13" t="inlineStr">
        <is>
          <t>Nº 13420</t>
        </is>
      </c>
      <c r="D546" s="14" t="inlineStr">
        <is>
          <t>APROACH POWER</t>
        </is>
      </c>
      <c r="E546" s="13" t="inlineStr">
        <is>
          <t>Pulverização Agrícola Conforme Bula</t>
        </is>
      </c>
      <c r="F546" s="13" t="inlineStr">
        <is>
          <t>Algodão</t>
        </is>
      </c>
      <c r="G546" s="13" t="inlineStr">
        <is>
          <t>Cultura Autorizada na Bula</t>
        </is>
      </c>
      <c r="H546" s="13" t="inlineStr">
        <is>
          <t>100 a 300 L/ha</t>
        </is>
      </c>
      <c r="I546" s="13" t="inlineStr">
        <is>
          <t>20 a 40 L/ha</t>
        </is>
      </c>
      <c r="J546" s="13" t="inlineStr">
        <is>
          <t>30 dias</t>
        </is>
      </c>
    </row>
    <row r="547" ht="22" customHeight="1">
      <c r="A547" s="6" t="inlineStr">
        <is>
          <t>CUL-0543</t>
        </is>
      </c>
      <c r="B547" s="5" t="n">
        <v>107</v>
      </c>
      <c r="C547" s="7" t="inlineStr">
        <is>
          <t>Nº 13420</t>
        </is>
      </c>
      <c r="D547" s="8" t="inlineStr">
        <is>
          <t>APROACH POWER</t>
        </is>
      </c>
      <c r="E547" s="7" t="inlineStr">
        <is>
          <t>Pulverização Agrícola Conforme Bula</t>
        </is>
      </c>
      <c r="F547" s="7" t="inlineStr">
        <is>
          <t>Trigo</t>
        </is>
      </c>
      <c r="G547" s="7" t="inlineStr">
        <is>
          <t>Cultura Autorizada na Bula</t>
        </is>
      </c>
      <c r="H547" s="7" t="inlineStr">
        <is>
          <t>100 a 300 L/ha</t>
        </is>
      </c>
      <c r="I547" s="7" t="inlineStr">
        <is>
          <t>20 a 40 L/ha</t>
        </is>
      </c>
      <c r="J547" s="7" t="inlineStr">
        <is>
          <t>30 dias</t>
        </is>
      </c>
    </row>
    <row r="548" ht="22" customHeight="1">
      <c r="A548" s="12" t="inlineStr">
        <is>
          <t>CUL-0544</t>
        </is>
      </c>
      <c r="B548" s="11" t="n">
        <v>107</v>
      </c>
      <c r="C548" s="13" t="inlineStr">
        <is>
          <t>Nº 13420</t>
        </is>
      </c>
      <c r="D548" s="14" t="inlineStr">
        <is>
          <t>APROACH POWER</t>
        </is>
      </c>
      <c r="E548" s="13" t="inlineStr">
        <is>
          <t>Pulverização Agrícola Conforme Bula</t>
        </is>
      </c>
      <c r="F548" s="13" t="inlineStr">
        <is>
          <t>Feijão</t>
        </is>
      </c>
      <c r="G548" s="13" t="inlineStr">
        <is>
          <t>Cultura Autorizada na Bula</t>
        </is>
      </c>
      <c r="H548" s="13" t="inlineStr">
        <is>
          <t>100 a 300 L/ha</t>
        </is>
      </c>
      <c r="I548" s="13" t="inlineStr">
        <is>
          <t>20 a 40 L/ha</t>
        </is>
      </c>
      <c r="J548" s="13" t="inlineStr">
        <is>
          <t>14 dias</t>
        </is>
      </c>
    </row>
    <row r="549" ht="22" customHeight="1">
      <c r="A549" s="6" t="inlineStr">
        <is>
          <t>CUL-0545</t>
        </is>
      </c>
      <c r="B549" s="5" t="n">
        <v>108</v>
      </c>
      <c r="C549" s="7" t="inlineStr">
        <is>
          <t>Nº 1419</t>
        </is>
      </c>
      <c r="D549" s="8" t="inlineStr">
        <is>
          <t>TAURA 200 EC</t>
        </is>
      </c>
      <c r="E549" s="7" t="inlineStr">
        <is>
          <t>Pulverização Agrícola Conforme Bula</t>
        </is>
      </c>
      <c r="F549" s="7" t="inlineStr">
        <is>
          <t>Soja</t>
        </is>
      </c>
      <c r="G549" s="7" t="inlineStr">
        <is>
          <t>Cultura Autorizada na Bula</t>
        </is>
      </c>
      <c r="H549" s="7" t="inlineStr">
        <is>
          <t>100 a 300 L/ha</t>
        </is>
      </c>
      <c r="I549" s="7" t="inlineStr">
        <is>
          <t>20 a 40 L/ha</t>
        </is>
      </c>
      <c r="J549" s="7" t="inlineStr">
        <is>
          <t>30 dias</t>
        </is>
      </c>
    </row>
    <row r="550" ht="22" customHeight="1">
      <c r="A550" s="12" t="inlineStr">
        <is>
          <t>CUL-0546</t>
        </is>
      </c>
      <c r="B550" s="11" t="n">
        <v>108</v>
      </c>
      <c r="C550" s="13" t="inlineStr">
        <is>
          <t>Nº 1419</t>
        </is>
      </c>
      <c r="D550" s="14" t="inlineStr">
        <is>
          <t>TAURA 200 EC</t>
        </is>
      </c>
      <c r="E550" s="13" t="inlineStr">
        <is>
          <t>Pulverização Agrícola Conforme Bula</t>
        </is>
      </c>
      <c r="F550" s="13" t="inlineStr">
        <is>
          <t>Algodão</t>
        </is>
      </c>
      <c r="G550" s="13" t="inlineStr">
        <is>
          <t>Cultura Autorizada na Bula</t>
        </is>
      </c>
      <c r="H550" s="13" t="inlineStr">
        <is>
          <t>100 a 300 L/ha</t>
        </is>
      </c>
      <c r="I550" s="13" t="inlineStr">
        <is>
          <t>20 a 40 L/ha</t>
        </is>
      </c>
      <c r="J550" s="13" t="inlineStr">
        <is>
          <t>14 dias</t>
        </is>
      </c>
    </row>
    <row r="551" ht="22" customHeight="1">
      <c r="A551" s="6" t="inlineStr">
        <is>
          <t>CUL-0547</t>
        </is>
      </c>
      <c r="B551" s="5" t="n">
        <v>108</v>
      </c>
      <c r="C551" s="7" t="inlineStr">
        <is>
          <t>Nº 1419</t>
        </is>
      </c>
      <c r="D551" s="8" t="inlineStr">
        <is>
          <t>TAURA 200 EC</t>
        </is>
      </c>
      <c r="E551" s="7" t="inlineStr">
        <is>
          <t>Pulverização Agrícola Conforme Bula</t>
        </is>
      </c>
      <c r="F551" s="7" t="inlineStr">
        <is>
          <t>Feijão</t>
        </is>
      </c>
      <c r="G551" s="7" t="inlineStr">
        <is>
          <t>Cultura Autorizada na Bula</t>
        </is>
      </c>
      <c r="H551" s="7" t="inlineStr">
        <is>
          <t>100 a 300 L/ha</t>
        </is>
      </c>
      <c r="I551" s="7" t="inlineStr">
        <is>
          <t>20 a 40 L/ha</t>
        </is>
      </c>
      <c r="J551" s="7" t="inlineStr">
        <is>
          <t>14 dias</t>
        </is>
      </c>
    </row>
    <row r="552" ht="22" customHeight="1">
      <c r="A552" s="12" t="inlineStr">
        <is>
          <t>CUL-0548</t>
        </is>
      </c>
      <c r="B552" s="11" t="n">
        <v>108</v>
      </c>
      <c r="C552" s="13" t="inlineStr">
        <is>
          <t>Nº 1419</t>
        </is>
      </c>
      <c r="D552" s="14" t="inlineStr">
        <is>
          <t>TAURA 200 EC</t>
        </is>
      </c>
      <c r="E552" s="13" t="inlineStr">
        <is>
          <t>Pulverização Agrícola Conforme Bula</t>
        </is>
      </c>
      <c r="F552" s="13" t="inlineStr">
        <is>
          <t>Citros</t>
        </is>
      </c>
      <c r="G552" s="13" t="inlineStr">
        <is>
          <t>Cultura Autorizada na Bula</t>
        </is>
      </c>
      <c r="H552" s="13" t="inlineStr">
        <is>
          <t>100 a 300 L/ha</t>
        </is>
      </c>
      <c r="I552" s="13" t="inlineStr">
        <is>
          <t>20 a 40 L/ha</t>
        </is>
      </c>
      <c r="J552" s="13" t="inlineStr">
        <is>
          <t>14 dias</t>
        </is>
      </c>
    </row>
    <row r="553" ht="22" customHeight="1">
      <c r="A553" s="6" t="inlineStr">
        <is>
          <t>CUL-0549</t>
        </is>
      </c>
      <c r="B553" s="5" t="n">
        <v>108</v>
      </c>
      <c r="C553" s="7" t="inlineStr">
        <is>
          <t>Nº 1419</t>
        </is>
      </c>
      <c r="D553" s="8" t="inlineStr">
        <is>
          <t>TAURA 200 EC</t>
        </is>
      </c>
      <c r="E553" s="7" t="inlineStr">
        <is>
          <t>Pulverização Agrícola Conforme Bula</t>
        </is>
      </c>
      <c r="F553" s="7" t="inlineStr">
        <is>
          <t>Melão</t>
        </is>
      </c>
      <c r="G553" s="7" t="inlineStr">
        <is>
          <t>Cultura Autorizada na Bula</t>
        </is>
      </c>
      <c r="H553" s="7" t="inlineStr">
        <is>
          <t>100 a 300 L/ha</t>
        </is>
      </c>
      <c r="I553" s="7" t="inlineStr">
        <is>
          <t>20 a 40 L/ha</t>
        </is>
      </c>
      <c r="J553" s="7" t="inlineStr">
        <is>
          <t>7 dias</t>
        </is>
      </c>
    </row>
    <row r="554" ht="22" customHeight="1">
      <c r="A554" s="12" t="inlineStr">
        <is>
          <t>CUL-0550</t>
        </is>
      </c>
      <c r="B554" s="11" t="n">
        <v>108</v>
      </c>
      <c r="C554" s="13" t="inlineStr">
        <is>
          <t>Nº 1419</t>
        </is>
      </c>
      <c r="D554" s="14" t="inlineStr">
        <is>
          <t>TAURA 200 EC</t>
        </is>
      </c>
      <c r="E554" s="13" t="inlineStr">
        <is>
          <t>Pulverização Agrícola Conforme Bula</t>
        </is>
      </c>
      <c r="F554" s="13" t="inlineStr">
        <is>
          <t>Tomate</t>
        </is>
      </c>
      <c r="G554" s="13" t="inlineStr">
        <is>
          <t>Cultura Autorizada na Bula</t>
        </is>
      </c>
      <c r="H554" s="13" t="inlineStr">
        <is>
          <t>100 a 300 L/ha</t>
        </is>
      </c>
      <c r="I554" s="13" t="inlineStr">
        <is>
          <t>20 a 40 L/ha</t>
        </is>
      </c>
      <c r="J554" s="13" t="inlineStr">
        <is>
          <t>7 dias</t>
        </is>
      </c>
    </row>
    <row r="555" ht="22" customHeight="1">
      <c r="A555" s="6" t="inlineStr">
        <is>
          <t>CUL-0551</t>
        </is>
      </c>
      <c r="B555" s="5" t="n">
        <v>109</v>
      </c>
      <c r="C555" s="7" t="inlineStr">
        <is>
          <t>SIPEAGRO (UF-XXXXX)</t>
        </is>
      </c>
      <c r="D555" s="8" t="inlineStr">
        <is>
          <t>AGRIGENTO KIESER</t>
        </is>
      </c>
      <c r="E555" s="7" t="inlineStr">
        <is>
          <t>Adubação de Solo / Foliar</t>
        </is>
      </c>
      <c r="F555" s="7" t="inlineStr">
        <is>
          <t>Soja</t>
        </is>
      </c>
      <c r="G555" s="7" t="inlineStr">
        <is>
          <t>Cultura Autorizada na Bula</t>
        </is>
      </c>
      <c r="H555" s="7" t="inlineStr">
        <is>
          <t>100 a 300 L/ha</t>
        </is>
      </c>
      <c r="I555" s="7" t="inlineStr">
        <is>
          <t>20 a 40 L/ha</t>
        </is>
      </c>
      <c r="J555" s="7" t="inlineStr">
        <is>
          <t>Isento</t>
        </is>
      </c>
    </row>
    <row r="556" ht="22" customHeight="1">
      <c r="A556" s="12" t="inlineStr">
        <is>
          <t>CUL-0552</t>
        </is>
      </c>
      <c r="B556" s="11" t="n">
        <v>109</v>
      </c>
      <c r="C556" s="13" t="inlineStr">
        <is>
          <t>SIPEAGRO (UF-XXXXX)</t>
        </is>
      </c>
      <c r="D556" s="14" t="inlineStr">
        <is>
          <t>AGRIGENTO KIESER</t>
        </is>
      </c>
      <c r="E556" s="13" t="inlineStr">
        <is>
          <t>Adubação de Solo / Foliar</t>
        </is>
      </c>
      <c r="F556" s="13" t="inlineStr">
        <is>
          <t>Milho</t>
        </is>
      </c>
      <c r="G556" s="13" t="inlineStr">
        <is>
          <t>Cultura Autorizada na Bula</t>
        </is>
      </c>
      <c r="H556" s="13" t="inlineStr">
        <is>
          <t>100 a 300 L/ha</t>
        </is>
      </c>
      <c r="I556" s="13" t="inlineStr">
        <is>
          <t>20 a 40 L/ha</t>
        </is>
      </c>
      <c r="J556" s="13" t="inlineStr">
        <is>
          <t>Isento</t>
        </is>
      </c>
    </row>
    <row r="557" ht="22" customHeight="1">
      <c r="A557" s="6" t="inlineStr">
        <is>
          <t>CUL-0553</t>
        </is>
      </c>
      <c r="B557" s="5" t="n">
        <v>109</v>
      </c>
      <c r="C557" s="7" t="inlineStr">
        <is>
          <t>SIPEAGRO (UF-XXXXX)</t>
        </is>
      </c>
      <c r="D557" s="8" t="inlineStr">
        <is>
          <t>AGRIGENTO KIESER</t>
        </is>
      </c>
      <c r="E557" s="7" t="inlineStr">
        <is>
          <t>Adubação de Solo / Foliar</t>
        </is>
      </c>
      <c r="F557" s="7" t="inlineStr">
        <is>
          <t>Algodão</t>
        </is>
      </c>
      <c r="G557" s="7" t="inlineStr">
        <is>
          <t>Cultura Autorizada na Bula</t>
        </is>
      </c>
      <c r="H557" s="7" t="inlineStr">
        <is>
          <t>100 a 300 L/ha</t>
        </is>
      </c>
      <c r="I557" s="7" t="inlineStr">
        <is>
          <t>20 a 40 L/ha</t>
        </is>
      </c>
      <c r="J557" s="7" t="inlineStr">
        <is>
          <t>Isento</t>
        </is>
      </c>
    </row>
    <row r="558" ht="22" customHeight="1">
      <c r="A558" s="12" t="inlineStr">
        <is>
          <t>CUL-0554</t>
        </is>
      </c>
      <c r="B558" s="11" t="n">
        <v>109</v>
      </c>
      <c r="C558" s="13" t="inlineStr">
        <is>
          <t>SIPEAGRO (UF-XXXXX)</t>
        </is>
      </c>
      <c r="D558" s="14" t="inlineStr">
        <is>
          <t>AGRIGENTO KIESER</t>
        </is>
      </c>
      <c r="E558" s="13" t="inlineStr">
        <is>
          <t>Adubação de Solo / Foliar</t>
        </is>
      </c>
      <c r="F558" s="13" t="inlineStr">
        <is>
          <t>Cana-de-açúcar</t>
        </is>
      </c>
      <c r="G558" s="13" t="inlineStr">
        <is>
          <t>Cultura Autorizada na Bula</t>
        </is>
      </c>
      <c r="H558" s="13" t="inlineStr">
        <is>
          <t>100 a 300 L/ha</t>
        </is>
      </c>
      <c r="I558" s="13" t="inlineStr">
        <is>
          <t>20 a 40 L/ha</t>
        </is>
      </c>
      <c r="J558" s="13" t="inlineStr">
        <is>
          <t>Isento</t>
        </is>
      </c>
    </row>
    <row r="559" ht="22" customHeight="1">
      <c r="A559" s="6" t="inlineStr">
        <is>
          <t>CUL-0555</t>
        </is>
      </c>
      <c r="B559" s="5" t="n">
        <v>109</v>
      </c>
      <c r="C559" s="7" t="inlineStr">
        <is>
          <t>SIPEAGRO (UF-XXXXX)</t>
        </is>
      </c>
      <c r="D559" s="8" t="inlineStr">
        <is>
          <t>AGRIGENTO KIESER</t>
        </is>
      </c>
      <c r="E559" s="7" t="inlineStr">
        <is>
          <t>Adubação de Solo / Foliar</t>
        </is>
      </c>
      <c r="F559" s="7" t="inlineStr">
        <is>
          <t>Café</t>
        </is>
      </c>
      <c r="G559" s="7" t="inlineStr">
        <is>
          <t>Cultura Autorizada na Bula</t>
        </is>
      </c>
      <c r="H559" s="7" t="inlineStr">
        <is>
          <t>100 a 300 L/ha</t>
        </is>
      </c>
      <c r="I559" s="7" t="inlineStr">
        <is>
          <t>20 a 40 L/ha</t>
        </is>
      </c>
      <c r="J559" s="7" t="inlineStr">
        <is>
          <t>Isento</t>
        </is>
      </c>
    </row>
    <row r="560" ht="22" customHeight="1">
      <c r="A560" s="12" t="inlineStr">
        <is>
          <t>CUL-0556</t>
        </is>
      </c>
      <c r="B560" s="11" t="n">
        <v>110</v>
      </c>
      <c r="C560" s="13" t="inlineStr">
        <is>
          <t>Nº 8215</t>
        </is>
      </c>
      <c r="D560" s="14" t="inlineStr">
        <is>
          <t>FEZAN GOLD</t>
        </is>
      </c>
      <c r="E560" s="13" t="inlineStr">
        <is>
          <t>Pulverização Agrícola Conforme Bula</t>
        </is>
      </c>
      <c r="F560" s="13" t="inlineStr">
        <is>
          <t>Soja</t>
        </is>
      </c>
      <c r="G560" s="13" t="inlineStr">
        <is>
          <t>Cultura Autorizada na Bula</t>
        </is>
      </c>
      <c r="H560" s="13" t="inlineStr">
        <is>
          <t>100 a 300 L/ha</t>
        </is>
      </c>
      <c r="I560" s="13" t="inlineStr">
        <is>
          <t>20 a 40 L/ha</t>
        </is>
      </c>
      <c r="J560" s="13" t="inlineStr">
        <is>
          <t>14 dias</t>
        </is>
      </c>
    </row>
    <row r="561" ht="22" customHeight="1">
      <c r="A561" s="6" t="inlineStr">
        <is>
          <t>CUL-0557</t>
        </is>
      </c>
      <c r="B561" s="5" t="n">
        <v>110</v>
      </c>
      <c r="C561" s="7" t="inlineStr">
        <is>
          <t>Nº 8215</t>
        </is>
      </c>
      <c r="D561" s="8" t="inlineStr">
        <is>
          <t>FEZAN GOLD</t>
        </is>
      </c>
      <c r="E561" s="7" t="inlineStr">
        <is>
          <t>Pulverização Agrícola Conforme Bula</t>
        </is>
      </c>
      <c r="F561" s="7" t="inlineStr">
        <is>
          <t>Algodão</t>
        </is>
      </c>
      <c r="G561" s="7" t="inlineStr">
        <is>
          <t>Cultura Autorizada na Bula</t>
        </is>
      </c>
      <c r="H561" s="7" t="inlineStr">
        <is>
          <t>100 a 300 L/ha</t>
        </is>
      </c>
      <c r="I561" s="7" t="inlineStr">
        <is>
          <t>20 a 40 L/ha</t>
        </is>
      </c>
      <c r="J561" s="7" t="inlineStr">
        <is>
          <t>14 dias</t>
        </is>
      </c>
    </row>
    <row r="562" ht="22" customHeight="1">
      <c r="A562" s="12" t="inlineStr">
        <is>
          <t>CUL-0558</t>
        </is>
      </c>
      <c r="B562" s="11" t="n">
        <v>110</v>
      </c>
      <c r="C562" s="13" t="inlineStr">
        <is>
          <t>Nº 8215</t>
        </is>
      </c>
      <c r="D562" s="14" t="inlineStr">
        <is>
          <t>FEZAN GOLD</t>
        </is>
      </c>
      <c r="E562" s="13" t="inlineStr">
        <is>
          <t>Pulverização Agrícola Conforme Bula</t>
        </is>
      </c>
      <c r="F562" s="13" t="inlineStr">
        <is>
          <t>Feijão</t>
        </is>
      </c>
      <c r="G562" s="13" t="inlineStr">
        <is>
          <t>Cultura Autorizada na Bula</t>
        </is>
      </c>
      <c r="H562" s="13" t="inlineStr">
        <is>
          <t>100 a 300 L/ha</t>
        </is>
      </c>
      <c r="I562" s="13" t="inlineStr">
        <is>
          <t>20 a 40 L/ha</t>
        </is>
      </c>
      <c r="J562" s="13" t="inlineStr">
        <is>
          <t>14 dias</t>
        </is>
      </c>
    </row>
    <row r="563" ht="22" customHeight="1">
      <c r="A563" s="6" t="inlineStr">
        <is>
          <t>CUL-0559</t>
        </is>
      </c>
      <c r="B563" s="5" t="n">
        <v>110</v>
      </c>
      <c r="C563" s="7" t="inlineStr">
        <is>
          <t>Nº 8215</t>
        </is>
      </c>
      <c r="D563" s="8" t="inlineStr">
        <is>
          <t>FEZAN GOLD</t>
        </is>
      </c>
      <c r="E563" s="7" t="inlineStr">
        <is>
          <t>Pulverização Agrícola Conforme Bula</t>
        </is>
      </c>
      <c r="F563" s="7" t="inlineStr">
        <is>
          <t>Milho</t>
        </is>
      </c>
      <c r="G563" s="7" t="inlineStr">
        <is>
          <t>Cultura Autorizada na Bula</t>
        </is>
      </c>
      <c r="H563" s="7" t="inlineStr">
        <is>
          <t>100 a 300 L/ha</t>
        </is>
      </c>
      <c r="I563" s="7" t="inlineStr">
        <is>
          <t>20 a 40 L/ha</t>
        </is>
      </c>
      <c r="J563" s="7" t="inlineStr">
        <is>
          <t>14 dias</t>
        </is>
      </c>
    </row>
    <row r="564" ht="22" customHeight="1">
      <c r="A564" s="12" t="inlineStr">
        <is>
          <t>CUL-0560</t>
        </is>
      </c>
      <c r="B564" s="11" t="n">
        <v>110</v>
      </c>
      <c r="C564" s="13" t="inlineStr">
        <is>
          <t>Nº 8215</t>
        </is>
      </c>
      <c r="D564" s="14" t="inlineStr">
        <is>
          <t>FEZAN GOLD</t>
        </is>
      </c>
      <c r="E564" s="13" t="inlineStr">
        <is>
          <t>Pulverização Agrícola Conforme Bula</t>
        </is>
      </c>
      <c r="F564" s="13" t="inlineStr">
        <is>
          <t>Trigo</t>
        </is>
      </c>
      <c r="G564" s="13" t="inlineStr">
        <is>
          <t>Cultura Autorizada na Bula</t>
        </is>
      </c>
      <c r="H564" s="13" t="inlineStr">
        <is>
          <t>100 a 300 L/ha</t>
        </is>
      </c>
      <c r="I564" s="13" t="inlineStr">
        <is>
          <t>20 a 40 L/ha</t>
        </is>
      </c>
      <c r="J564" s="13" t="inlineStr">
        <is>
          <t>30 dias</t>
        </is>
      </c>
    </row>
    <row r="565" ht="22" customHeight="1">
      <c r="A565" s="6" t="inlineStr">
        <is>
          <t>CUL-0561</t>
        </is>
      </c>
      <c r="B565" s="5" t="n">
        <v>110</v>
      </c>
      <c r="C565" s="7" t="inlineStr">
        <is>
          <t>Nº 8215</t>
        </is>
      </c>
      <c r="D565" s="8" t="inlineStr">
        <is>
          <t>FEZAN GOLD</t>
        </is>
      </c>
      <c r="E565" s="7" t="inlineStr">
        <is>
          <t>Pulverização Agrícola Conforme Bula</t>
        </is>
      </c>
      <c r="F565" s="7" t="inlineStr">
        <is>
          <t>Batata</t>
        </is>
      </c>
      <c r="G565" s="7" t="inlineStr">
        <is>
          <t>Cultura Autorizada na Bula</t>
        </is>
      </c>
      <c r="H565" s="7" t="inlineStr">
        <is>
          <t>100 a 300 L/ha</t>
        </is>
      </c>
      <c r="I565" s="7" t="inlineStr">
        <is>
          <t>20 a 40 L/ha</t>
        </is>
      </c>
      <c r="J565" s="7" t="inlineStr">
        <is>
          <t>7 dias</t>
        </is>
      </c>
    </row>
    <row r="566" ht="22" customHeight="1">
      <c r="A566" s="12" t="inlineStr">
        <is>
          <t>CUL-0562</t>
        </is>
      </c>
      <c r="B566" s="11" t="n">
        <v>110</v>
      </c>
      <c r="C566" s="13" t="inlineStr">
        <is>
          <t>Nº 8215</t>
        </is>
      </c>
      <c r="D566" s="14" t="inlineStr">
        <is>
          <t>FEZAN GOLD</t>
        </is>
      </c>
      <c r="E566" s="13" t="inlineStr">
        <is>
          <t>Pulverização Agrícola Conforme Bula</t>
        </is>
      </c>
      <c r="F566" s="13" t="inlineStr">
        <is>
          <t>Café</t>
        </is>
      </c>
      <c r="G566" s="13" t="inlineStr">
        <is>
          <t>Cultura Autorizada na Bula</t>
        </is>
      </c>
      <c r="H566" s="13" t="inlineStr">
        <is>
          <t>100 a 300 L/ha</t>
        </is>
      </c>
      <c r="I566" s="13" t="inlineStr">
        <is>
          <t>20 a 40 L/ha</t>
        </is>
      </c>
      <c r="J566" s="13" t="inlineStr">
        <is>
          <t>30 dias</t>
        </is>
      </c>
    </row>
    <row r="567" ht="22" customHeight="1">
      <c r="A567" s="6" t="inlineStr">
        <is>
          <t>CUL-0563</t>
        </is>
      </c>
      <c r="B567" s="5" t="n">
        <v>110</v>
      </c>
      <c r="C567" s="7" t="inlineStr">
        <is>
          <t>Nº 8215</t>
        </is>
      </c>
      <c r="D567" s="8" t="inlineStr">
        <is>
          <t>FEZAN GOLD</t>
        </is>
      </c>
      <c r="E567" s="7" t="inlineStr">
        <is>
          <t>Pulverização Agrícola Conforme Bula</t>
        </is>
      </c>
      <c r="F567" s="7" t="inlineStr">
        <is>
          <t>Tomate</t>
        </is>
      </c>
      <c r="G567" s="7" t="inlineStr">
        <is>
          <t>Cultura Autorizada na Bula</t>
        </is>
      </c>
      <c r="H567" s="7" t="inlineStr">
        <is>
          <t>100 a 300 L/ha</t>
        </is>
      </c>
      <c r="I567" s="7" t="inlineStr">
        <is>
          <t>20 a 40 L/ha</t>
        </is>
      </c>
      <c r="J567" s="7" t="inlineStr">
        <is>
          <t>7 dias</t>
        </is>
      </c>
    </row>
    <row r="568" ht="22" customHeight="1">
      <c r="A568" s="12" t="inlineStr">
        <is>
          <t>CUL-0564</t>
        </is>
      </c>
      <c r="B568" s="11" t="n">
        <v>111</v>
      </c>
      <c r="C568" s="13" t="inlineStr">
        <is>
          <t>Nº 20920</t>
        </is>
      </c>
      <c r="D568" s="14" t="inlineStr">
        <is>
          <t>CLICK</t>
        </is>
      </c>
      <c r="E568" s="13" t="inlineStr">
        <is>
          <t>Pulverização Agrícola Conforme Bula</t>
        </is>
      </c>
      <c r="F568" s="13" t="inlineStr">
        <is>
          <t>Soja</t>
        </is>
      </c>
      <c r="G568" s="13" t="inlineStr">
        <is>
          <t>Cultura Autorizada na Bula</t>
        </is>
      </c>
      <c r="H568" s="13" t="inlineStr">
        <is>
          <t>100 a 300 L/ha</t>
        </is>
      </c>
      <c r="I568" s="13" t="inlineStr">
        <is>
          <t>20 a 40 L/ha</t>
        </is>
      </c>
      <c r="J568" s="13" t="inlineStr">
        <is>
          <t>60 dias</t>
        </is>
      </c>
    </row>
    <row r="569" ht="22" customHeight="1">
      <c r="A569" s="6" t="inlineStr">
        <is>
          <t>CUL-0565</t>
        </is>
      </c>
      <c r="B569" s="5" t="n">
        <v>111</v>
      </c>
      <c r="C569" s="7" t="inlineStr">
        <is>
          <t>Nº 20920</t>
        </is>
      </c>
      <c r="D569" s="8" t="inlineStr">
        <is>
          <t>CLICK</t>
        </is>
      </c>
      <c r="E569" s="7" t="inlineStr">
        <is>
          <t>Pulverização Agrícola Conforme Bula</t>
        </is>
      </c>
      <c r="F569" s="7" t="inlineStr">
        <is>
          <t>Milho</t>
        </is>
      </c>
      <c r="G569" s="7" t="inlineStr">
        <is>
          <t>Cultura Autorizada na Bula</t>
        </is>
      </c>
      <c r="H569" s="7" t="inlineStr">
        <is>
          <t>100 a 300 L/ha</t>
        </is>
      </c>
      <c r="I569" s="7" t="inlineStr">
        <is>
          <t>20 a 40 L/ha</t>
        </is>
      </c>
      <c r="J569" s="7" t="inlineStr">
        <is>
          <t>45 dias</t>
        </is>
      </c>
    </row>
    <row r="570" ht="22" customHeight="1">
      <c r="A570" s="12" t="inlineStr">
        <is>
          <t>CUL-0566</t>
        </is>
      </c>
      <c r="B570" s="11" t="n">
        <v>111</v>
      </c>
      <c r="C570" s="13" t="inlineStr">
        <is>
          <t>Nº 20920</t>
        </is>
      </c>
      <c r="D570" s="14" t="inlineStr">
        <is>
          <t>CLICK</t>
        </is>
      </c>
      <c r="E570" s="13" t="inlineStr">
        <is>
          <t>Pulverização Agrícola Conforme Bula</t>
        </is>
      </c>
      <c r="F570" s="13" t="inlineStr">
        <is>
          <t>Algodão</t>
        </is>
      </c>
      <c r="G570" s="13" t="inlineStr">
        <is>
          <t>Cultura Autorizada na Bula</t>
        </is>
      </c>
      <c r="H570" s="13" t="inlineStr">
        <is>
          <t>100 a 300 L/ha</t>
        </is>
      </c>
      <c r="I570" s="13" t="inlineStr">
        <is>
          <t>20 a 40 L/ha</t>
        </is>
      </c>
      <c r="J570" s="13" t="inlineStr">
        <is>
          <t>60 dias</t>
        </is>
      </c>
    </row>
    <row r="571" ht="22" customHeight="1">
      <c r="A571" s="6" t="inlineStr">
        <is>
          <t>CUL-0567</t>
        </is>
      </c>
      <c r="B571" s="5" t="n">
        <v>111</v>
      </c>
      <c r="C571" s="7" t="inlineStr">
        <is>
          <t>Nº 20920</t>
        </is>
      </c>
      <c r="D571" s="8" t="inlineStr">
        <is>
          <t>CLICK</t>
        </is>
      </c>
      <c r="E571" s="7" t="inlineStr">
        <is>
          <t>Pulverização Agrícola Conforme Bula</t>
        </is>
      </c>
      <c r="F571" s="7" t="inlineStr">
        <is>
          <t>Cana-de-açúcar</t>
        </is>
      </c>
      <c r="G571" s="7" t="inlineStr">
        <is>
          <t>Cultura Autorizada na Bula</t>
        </is>
      </c>
      <c r="H571" s="7" t="inlineStr">
        <is>
          <t>100 a 300 L/ha</t>
        </is>
      </c>
      <c r="I571" s="7" t="inlineStr">
        <is>
          <t>20 a 40 L/ha</t>
        </is>
      </c>
      <c r="J571" s="7" t="inlineStr">
        <is>
          <t>90 dias</t>
        </is>
      </c>
    </row>
    <row r="572" ht="22" customHeight="1">
      <c r="A572" s="12" t="inlineStr">
        <is>
          <t>CUL-0568</t>
        </is>
      </c>
      <c r="B572" s="11" t="n">
        <v>112</v>
      </c>
      <c r="C572" s="13" t="inlineStr">
        <is>
          <t>Nº 238904</t>
        </is>
      </c>
      <c r="D572" s="14" t="inlineStr">
        <is>
          <t>SUPPORT</t>
        </is>
      </c>
      <c r="E572" s="13" t="inlineStr">
        <is>
          <t>Pulverização Agrícola Conforme Bula</t>
        </is>
      </c>
      <c r="F572" s="13" t="inlineStr">
        <is>
          <t>Soja</t>
        </is>
      </c>
      <c r="G572" s="13" t="inlineStr">
        <is>
          <t>Cultura Autorizada na Bula</t>
        </is>
      </c>
      <c r="H572" s="13" t="inlineStr">
        <is>
          <t>100 a 300 L/ha</t>
        </is>
      </c>
      <c r="I572" s="13" t="inlineStr">
        <is>
          <t>20 a 40 L/ha</t>
        </is>
      </c>
      <c r="J572" s="13" t="inlineStr">
        <is>
          <t>28 dias</t>
        </is>
      </c>
    </row>
    <row r="573" ht="22" customHeight="1">
      <c r="A573" s="6" t="inlineStr">
        <is>
          <t>CUL-0569</t>
        </is>
      </c>
      <c r="B573" s="5" t="n">
        <v>112</v>
      </c>
      <c r="C573" s="7" t="inlineStr">
        <is>
          <t>Nº 238904</t>
        </is>
      </c>
      <c r="D573" s="8" t="inlineStr">
        <is>
          <t>SUPPORT</t>
        </is>
      </c>
      <c r="E573" s="7" t="inlineStr">
        <is>
          <t>Pulverização Agrícola Conforme Bula</t>
        </is>
      </c>
      <c r="F573" s="7" t="inlineStr">
        <is>
          <t>Feijão</t>
        </is>
      </c>
      <c r="G573" s="7" t="inlineStr">
        <is>
          <t>Cultura Autorizada na Bula</t>
        </is>
      </c>
      <c r="H573" s="7" t="inlineStr">
        <is>
          <t>100 a 300 L/ha</t>
        </is>
      </c>
      <c r="I573" s="7" t="inlineStr">
        <is>
          <t>20 a 40 L/ha</t>
        </is>
      </c>
      <c r="J573" s="7" t="inlineStr">
        <is>
          <t>14 dias</t>
        </is>
      </c>
    </row>
    <row r="574" ht="22" customHeight="1">
      <c r="A574" s="12" t="inlineStr">
        <is>
          <t>CUL-0570</t>
        </is>
      </c>
      <c r="B574" s="11" t="n">
        <v>112</v>
      </c>
      <c r="C574" s="13" t="inlineStr">
        <is>
          <t>Nº 238904</t>
        </is>
      </c>
      <c r="D574" s="14" t="inlineStr">
        <is>
          <t>SUPPORT</t>
        </is>
      </c>
      <c r="E574" s="13" t="inlineStr">
        <is>
          <t>Pulverização Agrícola Conforme Bula</t>
        </is>
      </c>
      <c r="F574" s="13" t="inlineStr">
        <is>
          <t>Algodão</t>
        </is>
      </c>
      <c r="G574" s="13" t="inlineStr">
        <is>
          <t>Cultura Autorizada na Bula</t>
        </is>
      </c>
      <c r="H574" s="13" t="inlineStr">
        <is>
          <t>100 a 300 L/ha</t>
        </is>
      </c>
      <c r="I574" s="13" t="inlineStr">
        <is>
          <t>20 a 40 L/ha</t>
        </is>
      </c>
      <c r="J574" s="13" t="inlineStr">
        <is>
          <t>28 dias</t>
        </is>
      </c>
    </row>
    <row r="575" ht="22" customHeight="1">
      <c r="A575" s="6" t="inlineStr">
        <is>
          <t>CUL-0571</t>
        </is>
      </c>
      <c r="B575" s="5" t="n">
        <v>112</v>
      </c>
      <c r="C575" s="7" t="inlineStr">
        <is>
          <t>Nº 238904</t>
        </is>
      </c>
      <c r="D575" s="8" t="inlineStr">
        <is>
          <t>SUPPORT</t>
        </is>
      </c>
      <c r="E575" s="7" t="inlineStr">
        <is>
          <t>Pulverização Agrícola Conforme Bula</t>
        </is>
      </c>
      <c r="F575" s="7" t="inlineStr">
        <is>
          <t>Citros</t>
        </is>
      </c>
      <c r="G575" s="7" t="inlineStr">
        <is>
          <t>Cultura Autorizada na Bula</t>
        </is>
      </c>
      <c r="H575" s="7" t="inlineStr">
        <is>
          <t>100 a 300 L/ha</t>
        </is>
      </c>
      <c r="I575" s="7" t="inlineStr">
        <is>
          <t>20 a 40 L/ha</t>
        </is>
      </c>
      <c r="J575" s="7" t="inlineStr">
        <is>
          <t>14 dias</t>
        </is>
      </c>
    </row>
    <row r="576" ht="22" customHeight="1">
      <c r="A576" s="12" t="inlineStr">
        <is>
          <t>CUL-0572</t>
        </is>
      </c>
      <c r="B576" s="11" t="n">
        <v>112</v>
      </c>
      <c r="C576" s="13" t="inlineStr">
        <is>
          <t>Nº 238904</t>
        </is>
      </c>
      <c r="D576" s="14" t="inlineStr">
        <is>
          <t>SUPPORT</t>
        </is>
      </c>
      <c r="E576" s="13" t="inlineStr">
        <is>
          <t>Pulverização Agrícola Conforme Bula</t>
        </is>
      </c>
      <c r="F576" s="13" t="inlineStr">
        <is>
          <t>Café</t>
        </is>
      </c>
      <c r="G576" s="13" t="inlineStr">
        <is>
          <t>Cultura Autorizada na Bula</t>
        </is>
      </c>
      <c r="H576" s="13" t="inlineStr">
        <is>
          <t>100 a 300 L/ha</t>
        </is>
      </c>
      <c r="I576" s="13" t="inlineStr">
        <is>
          <t>20 a 40 L/ha</t>
        </is>
      </c>
      <c r="J576" s="13" t="inlineStr">
        <is>
          <t>21 dias</t>
        </is>
      </c>
    </row>
    <row r="577" ht="22" customHeight="1">
      <c r="A577" s="6" t="inlineStr">
        <is>
          <t>CUL-0573</t>
        </is>
      </c>
      <c r="B577" s="5" t="n">
        <v>112</v>
      </c>
      <c r="C577" s="7" t="inlineStr">
        <is>
          <t>Nº 238904</t>
        </is>
      </c>
      <c r="D577" s="8" t="inlineStr">
        <is>
          <t>SUPPORT</t>
        </is>
      </c>
      <c r="E577" s="7" t="inlineStr">
        <is>
          <t>Pulverização Agrícola Conforme Bula</t>
        </is>
      </c>
      <c r="F577" s="7" t="inlineStr">
        <is>
          <t>Trigo</t>
        </is>
      </c>
      <c r="G577" s="7" t="inlineStr">
        <is>
          <t>Cultura Autorizada na Bula</t>
        </is>
      </c>
      <c r="H577" s="7" t="inlineStr">
        <is>
          <t>100 a 300 L/ha</t>
        </is>
      </c>
      <c r="I577" s="7" t="inlineStr">
        <is>
          <t>20 a 40 L/ha</t>
        </is>
      </c>
      <c r="J577" s="7" t="inlineStr">
        <is>
          <t>35 dias</t>
        </is>
      </c>
    </row>
    <row r="578" ht="22" customHeight="1">
      <c r="A578" s="12" t="inlineStr">
        <is>
          <t>CUL-0574</t>
        </is>
      </c>
      <c r="B578" s="11" t="n">
        <v>113</v>
      </c>
      <c r="C578" s="13" t="inlineStr">
        <is>
          <t>SIPEAGRO (UF-XXXXX)</t>
        </is>
      </c>
      <c r="D578" s="14" t="inlineStr">
        <is>
          <t>AGCN ZINCO ULTRA</t>
        </is>
      </c>
      <c r="E578" s="13" t="inlineStr">
        <is>
          <t>Adubação de Solo / Foliar</t>
        </is>
      </c>
      <c r="F578" s="13" t="inlineStr">
        <is>
          <t>Soja</t>
        </is>
      </c>
      <c r="G578" s="13" t="inlineStr">
        <is>
          <t>Cultura Autorizada na Bula</t>
        </is>
      </c>
      <c r="H578" s="13" t="inlineStr">
        <is>
          <t>100 a 300 L/ha</t>
        </is>
      </c>
      <c r="I578" s="13" t="inlineStr">
        <is>
          <t>20 a 40 L/ha</t>
        </is>
      </c>
      <c r="J578" s="13" t="inlineStr">
        <is>
          <t>Isento</t>
        </is>
      </c>
    </row>
    <row r="579" ht="22" customHeight="1">
      <c r="A579" s="6" t="inlineStr">
        <is>
          <t>CUL-0575</t>
        </is>
      </c>
      <c r="B579" s="5" t="n">
        <v>113</v>
      </c>
      <c r="C579" s="7" t="inlineStr">
        <is>
          <t>SIPEAGRO (UF-XXXXX)</t>
        </is>
      </c>
      <c r="D579" s="8" t="inlineStr">
        <is>
          <t>AGCN ZINCO ULTRA</t>
        </is>
      </c>
      <c r="E579" s="7" t="inlineStr">
        <is>
          <t>Adubação de Solo / Foliar</t>
        </is>
      </c>
      <c r="F579" s="7" t="inlineStr">
        <is>
          <t>Milho</t>
        </is>
      </c>
      <c r="G579" s="7" t="inlineStr">
        <is>
          <t>Cultura Autorizada na Bula</t>
        </is>
      </c>
      <c r="H579" s="7" t="inlineStr">
        <is>
          <t>100 a 300 L/ha</t>
        </is>
      </c>
      <c r="I579" s="7" t="inlineStr">
        <is>
          <t>20 a 40 L/ha</t>
        </is>
      </c>
      <c r="J579" s="7" t="inlineStr">
        <is>
          <t>Isento</t>
        </is>
      </c>
    </row>
    <row r="580" ht="22" customHeight="1">
      <c r="A580" s="12" t="inlineStr">
        <is>
          <t>CUL-0576</t>
        </is>
      </c>
      <c r="B580" s="11" t="n">
        <v>113</v>
      </c>
      <c r="C580" s="13" t="inlineStr">
        <is>
          <t>SIPEAGRO (UF-XXXXX)</t>
        </is>
      </c>
      <c r="D580" s="14" t="inlineStr">
        <is>
          <t>AGCN ZINCO ULTRA</t>
        </is>
      </c>
      <c r="E580" s="13" t="inlineStr">
        <is>
          <t>Adubação de Solo / Foliar</t>
        </is>
      </c>
      <c r="F580" s="13" t="inlineStr">
        <is>
          <t>Algodão</t>
        </is>
      </c>
      <c r="G580" s="13" t="inlineStr">
        <is>
          <t>Cultura Autorizada na Bula</t>
        </is>
      </c>
      <c r="H580" s="13" t="inlineStr">
        <is>
          <t>100 a 300 L/ha</t>
        </is>
      </c>
      <c r="I580" s="13" t="inlineStr">
        <is>
          <t>20 a 40 L/ha</t>
        </is>
      </c>
      <c r="J580" s="13" t="inlineStr">
        <is>
          <t>Isento</t>
        </is>
      </c>
    </row>
    <row r="581" ht="22" customHeight="1">
      <c r="A581" s="6" t="inlineStr">
        <is>
          <t>CUL-0577</t>
        </is>
      </c>
      <c r="B581" s="5" t="n">
        <v>113</v>
      </c>
      <c r="C581" s="7" t="inlineStr">
        <is>
          <t>SIPEAGRO (UF-XXXXX)</t>
        </is>
      </c>
      <c r="D581" s="8" t="inlineStr">
        <is>
          <t>AGCN ZINCO ULTRA</t>
        </is>
      </c>
      <c r="E581" s="7" t="inlineStr">
        <is>
          <t>Adubação de Solo / Foliar</t>
        </is>
      </c>
      <c r="F581" s="7" t="inlineStr">
        <is>
          <t>Cana-de-açúcar</t>
        </is>
      </c>
      <c r="G581" s="7" t="inlineStr">
        <is>
          <t>Cultura Autorizada na Bula</t>
        </is>
      </c>
      <c r="H581" s="7" t="inlineStr">
        <is>
          <t>100 a 300 L/ha</t>
        </is>
      </c>
      <c r="I581" s="7" t="inlineStr">
        <is>
          <t>20 a 40 L/ha</t>
        </is>
      </c>
      <c r="J581" s="7" t="inlineStr">
        <is>
          <t>Isento</t>
        </is>
      </c>
    </row>
    <row r="582" ht="22" customHeight="1">
      <c r="A582" s="12" t="inlineStr">
        <is>
          <t>CUL-0578</t>
        </is>
      </c>
      <c r="B582" s="11" t="n">
        <v>113</v>
      </c>
      <c r="C582" s="13" t="inlineStr">
        <is>
          <t>SIPEAGRO (UF-XXXXX)</t>
        </is>
      </c>
      <c r="D582" s="14" t="inlineStr">
        <is>
          <t>AGCN ZINCO ULTRA</t>
        </is>
      </c>
      <c r="E582" s="13" t="inlineStr">
        <is>
          <t>Adubação de Solo / Foliar</t>
        </is>
      </c>
      <c r="F582" s="13" t="inlineStr">
        <is>
          <t>Café</t>
        </is>
      </c>
      <c r="G582" s="13" t="inlineStr">
        <is>
          <t>Cultura Autorizada na Bula</t>
        </is>
      </c>
      <c r="H582" s="13" t="inlineStr">
        <is>
          <t>100 a 300 L/ha</t>
        </is>
      </c>
      <c r="I582" s="13" t="inlineStr">
        <is>
          <t>20 a 40 L/ha</t>
        </is>
      </c>
      <c r="J582" s="13" t="inlineStr">
        <is>
          <t>Isento</t>
        </is>
      </c>
    </row>
    <row r="583" ht="22" customHeight="1">
      <c r="A583" s="6" t="inlineStr">
        <is>
          <t>CUL-0579</t>
        </is>
      </c>
      <c r="B583" s="5" t="n">
        <v>114</v>
      </c>
      <c r="C583" s="7" t="inlineStr">
        <is>
          <t>SIPEAGRO (UF-XXXXX)</t>
        </is>
      </c>
      <c r="D583" s="8" t="inlineStr">
        <is>
          <t>AGCN ZINCO ULTRA</t>
        </is>
      </c>
      <c r="E583" s="7" t="inlineStr">
        <is>
          <t>Adubação de Solo / Foliar</t>
        </is>
      </c>
      <c r="F583" s="7" t="inlineStr">
        <is>
          <t>Soja</t>
        </is>
      </c>
      <c r="G583" s="7" t="inlineStr">
        <is>
          <t>Cultura Autorizada na Bula</t>
        </is>
      </c>
      <c r="H583" s="7" t="inlineStr">
        <is>
          <t>100 a 300 L/ha</t>
        </is>
      </c>
      <c r="I583" s="7" t="inlineStr">
        <is>
          <t>20 a 40 L/ha</t>
        </is>
      </c>
      <c r="J583" s="7" t="inlineStr">
        <is>
          <t>Isento</t>
        </is>
      </c>
    </row>
    <row r="584" ht="22" customHeight="1">
      <c r="A584" s="12" t="inlineStr">
        <is>
          <t>CUL-0580</t>
        </is>
      </c>
      <c r="B584" s="11" t="n">
        <v>114</v>
      </c>
      <c r="C584" s="13" t="inlineStr">
        <is>
          <t>SIPEAGRO (UF-XXXXX)</t>
        </is>
      </c>
      <c r="D584" s="14" t="inlineStr">
        <is>
          <t>AGCN ZINCO ULTRA</t>
        </is>
      </c>
      <c r="E584" s="13" t="inlineStr">
        <is>
          <t>Adubação de Solo / Foliar</t>
        </is>
      </c>
      <c r="F584" s="13" t="inlineStr">
        <is>
          <t>Milho</t>
        </is>
      </c>
      <c r="G584" s="13" t="inlineStr">
        <is>
          <t>Cultura Autorizada na Bula</t>
        </is>
      </c>
      <c r="H584" s="13" t="inlineStr">
        <is>
          <t>100 a 300 L/ha</t>
        </is>
      </c>
      <c r="I584" s="13" t="inlineStr">
        <is>
          <t>20 a 40 L/ha</t>
        </is>
      </c>
      <c r="J584" s="13" t="inlineStr">
        <is>
          <t>Isento</t>
        </is>
      </c>
    </row>
    <row r="585" ht="22" customHeight="1">
      <c r="A585" s="6" t="inlineStr">
        <is>
          <t>CUL-0581</t>
        </is>
      </c>
      <c r="B585" s="5" t="n">
        <v>114</v>
      </c>
      <c r="C585" s="7" t="inlineStr">
        <is>
          <t>SIPEAGRO (UF-XXXXX)</t>
        </is>
      </c>
      <c r="D585" s="8" t="inlineStr">
        <is>
          <t>AGCN ZINCO ULTRA</t>
        </is>
      </c>
      <c r="E585" s="7" t="inlineStr">
        <is>
          <t>Adubação de Solo / Foliar</t>
        </is>
      </c>
      <c r="F585" s="7" t="inlineStr">
        <is>
          <t>Algodão</t>
        </is>
      </c>
      <c r="G585" s="7" t="inlineStr">
        <is>
          <t>Cultura Autorizada na Bula</t>
        </is>
      </c>
      <c r="H585" s="7" t="inlineStr">
        <is>
          <t>100 a 300 L/ha</t>
        </is>
      </c>
      <c r="I585" s="7" t="inlineStr">
        <is>
          <t>20 a 40 L/ha</t>
        </is>
      </c>
      <c r="J585" s="7" t="inlineStr">
        <is>
          <t>Isento</t>
        </is>
      </c>
    </row>
    <row r="586" ht="22" customHeight="1">
      <c r="A586" s="12" t="inlineStr">
        <is>
          <t>CUL-0582</t>
        </is>
      </c>
      <c r="B586" s="11" t="n">
        <v>114</v>
      </c>
      <c r="C586" s="13" t="inlineStr">
        <is>
          <t>SIPEAGRO (UF-XXXXX)</t>
        </is>
      </c>
      <c r="D586" s="14" t="inlineStr">
        <is>
          <t>AGCN ZINCO ULTRA</t>
        </is>
      </c>
      <c r="E586" s="13" t="inlineStr">
        <is>
          <t>Adubação de Solo / Foliar</t>
        </is>
      </c>
      <c r="F586" s="13" t="inlineStr">
        <is>
          <t>Cana-de-açúcar</t>
        </is>
      </c>
      <c r="G586" s="13" t="inlineStr">
        <is>
          <t>Cultura Autorizada na Bula</t>
        </is>
      </c>
      <c r="H586" s="13" t="inlineStr">
        <is>
          <t>100 a 300 L/ha</t>
        </is>
      </c>
      <c r="I586" s="13" t="inlineStr">
        <is>
          <t>20 a 40 L/ha</t>
        </is>
      </c>
      <c r="J586" s="13" t="inlineStr">
        <is>
          <t>Isento</t>
        </is>
      </c>
    </row>
    <row r="587" ht="22" customHeight="1">
      <c r="A587" s="6" t="inlineStr">
        <is>
          <t>CUL-0583</t>
        </is>
      </c>
      <c r="B587" s="5" t="n">
        <v>114</v>
      </c>
      <c r="C587" s="7" t="inlineStr">
        <is>
          <t>SIPEAGRO (UF-XXXXX)</t>
        </is>
      </c>
      <c r="D587" s="8" t="inlineStr">
        <is>
          <t>AGCN ZINCO ULTRA</t>
        </is>
      </c>
      <c r="E587" s="7" t="inlineStr">
        <is>
          <t>Adubação de Solo / Foliar</t>
        </is>
      </c>
      <c r="F587" s="7" t="inlineStr">
        <is>
          <t>Café</t>
        </is>
      </c>
      <c r="G587" s="7" t="inlineStr">
        <is>
          <t>Cultura Autorizada na Bula</t>
        </is>
      </c>
      <c r="H587" s="7" t="inlineStr">
        <is>
          <t>100 a 300 L/ha</t>
        </is>
      </c>
      <c r="I587" s="7" t="inlineStr">
        <is>
          <t>20 a 40 L/ha</t>
        </is>
      </c>
      <c r="J587" s="7" t="inlineStr">
        <is>
          <t>Isento</t>
        </is>
      </c>
    </row>
    <row r="588" ht="22" customHeight="1">
      <c r="A588" s="12" t="inlineStr">
        <is>
          <t>CUL-0584</t>
        </is>
      </c>
      <c r="B588" s="11" t="n">
        <v>115</v>
      </c>
      <c r="C588" s="13" t="inlineStr">
        <is>
          <t>SIPEAGRO (UF-XXXXX)</t>
        </is>
      </c>
      <c r="D588" s="14" t="inlineStr">
        <is>
          <t>AGCN ZINCO ULTRA</t>
        </is>
      </c>
      <c r="E588" s="13" t="inlineStr">
        <is>
          <t>Adubação de Solo / Foliar</t>
        </is>
      </c>
      <c r="F588" s="13" t="inlineStr">
        <is>
          <t>Soja</t>
        </is>
      </c>
      <c r="G588" s="13" t="inlineStr">
        <is>
          <t>Cultura Autorizada na Bula</t>
        </is>
      </c>
      <c r="H588" s="13" t="inlineStr">
        <is>
          <t>100 a 300 L/ha</t>
        </is>
      </c>
      <c r="I588" s="13" t="inlineStr">
        <is>
          <t>20 a 40 L/ha</t>
        </is>
      </c>
      <c r="J588" s="13" t="inlineStr">
        <is>
          <t>Isento</t>
        </is>
      </c>
    </row>
    <row r="589" ht="22" customHeight="1">
      <c r="A589" s="6" t="inlineStr">
        <is>
          <t>CUL-0585</t>
        </is>
      </c>
      <c r="B589" s="5" t="n">
        <v>115</v>
      </c>
      <c r="C589" s="7" t="inlineStr">
        <is>
          <t>SIPEAGRO (UF-XXXXX)</t>
        </is>
      </c>
      <c r="D589" s="8" t="inlineStr">
        <is>
          <t>AGCN ZINCO ULTRA</t>
        </is>
      </c>
      <c r="E589" s="7" t="inlineStr">
        <is>
          <t>Adubação de Solo / Foliar</t>
        </is>
      </c>
      <c r="F589" s="7" t="inlineStr">
        <is>
          <t>Milho</t>
        </is>
      </c>
      <c r="G589" s="7" t="inlineStr">
        <is>
          <t>Cultura Autorizada na Bula</t>
        </is>
      </c>
      <c r="H589" s="7" t="inlineStr">
        <is>
          <t>100 a 300 L/ha</t>
        </is>
      </c>
      <c r="I589" s="7" t="inlineStr">
        <is>
          <t>20 a 40 L/ha</t>
        </is>
      </c>
      <c r="J589" s="7" t="inlineStr">
        <is>
          <t>Isento</t>
        </is>
      </c>
    </row>
    <row r="590" ht="22" customHeight="1">
      <c r="A590" s="12" t="inlineStr">
        <is>
          <t>CUL-0586</t>
        </is>
      </c>
      <c r="B590" s="11" t="n">
        <v>115</v>
      </c>
      <c r="C590" s="13" t="inlineStr">
        <is>
          <t>SIPEAGRO (UF-XXXXX)</t>
        </is>
      </c>
      <c r="D590" s="14" t="inlineStr">
        <is>
          <t>AGCN ZINCO ULTRA</t>
        </is>
      </c>
      <c r="E590" s="13" t="inlineStr">
        <is>
          <t>Adubação de Solo / Foliar</t>
        </is>
      </c>
      <c r="F590" s="13" t="inlineStr">
        <is>
          <t>Algodão</t>
        </is>
      </c>
      <c r="G590" s="13" t="inlineStr">
        <is>
          <t>Cultura Autorizada na Bula</t>
        </is>
      </c>
      <c r="H590" s="13" t="inlineStr">
        <is>
          <t>100 a 300 L/ha</t>
        </is>
      </c>
      <c r="I590" s="13" t="inlineStr">
        <is>
          <t>20 a 40 L/ha</t>
        </is>
      </c>
      <c r="J590" s="13" t="inlineStr">
        <is>
          <t>Isento</t>
        </is>
      </c>
    </row>
    <row r="591" ht="22" customHeight="1">
      <c r="A591" s="6" t="inlineStr">
        <is>
          <t>CUL-0587</t>
        </is>
      </c>
      <c r="B591" s="5" t="n">
        <v>115</v>
      </c>
      <c r="C591" s="7" t="inlineStr">
        <is>
          <t>SIPEAGRO (UF-XXXXX)</t>
        </is>
      </c>
      <c r="D591" s="8" t="inlineStr">
        <is>
          <t>AGCN ZINCO ULTRA</t>
        </is>
      </c>
      <c r="E591" s="7" t="inlineStr">
        <is>
          <t>Adubação de Solo / Foliar</t>
        </is>
      </c>
      <c r="F591" s="7" t="inlineStr">
        <is>
          <t>Cana-de-açúcar</t>
        </is>
      </c>
      <c r="G591" s="7" t="inlineStr">
        <is>
          <t>Cultura Autorizada na Bula</t>
        </is>
      </c>
      <c r="H591" s="7" t="inlineStr">
        <is>
          <t>100 a 300 L/ha</t>
        </is>
      </c>
      <c r="I591" s="7" t="inlineStr">
        <is>
          <t>20 a 40 L/ha</t>
        </is>
      </c>
      <c r="J591" s="7" t="inlineStr">
        <is>
          <t>Isento</t>
        </is>
      </c>
    </row>
    <row r="592" ht="22" customHeight="1">
      <c r="A592" s="12" t="inlineStr">
        <is>
          <t>CUL-0588</t>
        </is>
      </c>
      <c r="B592" s="11" t="n">
        <v>115</v>
      </c>
      <c r="C592" s="13" t="inlineStr">
        <is>
          <t>SIPEAGRO (UF-XXXXX)</t>
        </is>
      </c>
      <c r="D592" s="14" t="inlineStr">
        <is>
          <t>AGCN ZINCO ULTRA</t>
        </is>
      </c>
      <c r="E592" s="13" t="inlineStr">
        <is>
          <t>Adubação de Solo / Foliar</t>
        </is>
      </c>
      <c r="F592" s="13" t="inlineStr">
        <is>
          <t>Café</t>
        </is>
      </c>
      <c r="G592" s="13" t="inlineStr">
        <is>
          <t>Cultura Autorizada na Bula</t>
        </is>
      </c>
      <c r="H592" s="13" t="inlineStr">
        <is>
          <t>100 a 300 L/ha</t>
        </is>
      </c>
      <c r="I592" s="13" t="inlineStr">
        <is>
          <t>20 a 40 L/ha</t>
        </is>
      </c>
      <c r="J592" s="13" t="inlineStr">
        <is>
          <t>Isento</t>
        </is>
      </c>
    </row>
    <row r="593" ht="22" customHeight="1">
      <c r="A593" s="6" t="inlineStr">
        <is>
          <t>CUL-0589</t>
        </is>
      </c>
      <c r="B593" s="5" t="n">
        <v>116</v>
      </c>
      <c r="C593" s="7" t="inlineStr">
        <is>
          <t>SIPEAGRO (UF-XXXXX)</t>
        </is>
      </c>
      <c r="D593" s="8" t="inlineStr">
        <is>
          <t>SOLO AGRI S90 120</t>
        </is>
      </c>
      <c r="E593" s="7" t="inlineStr">
        <is>
          <t>Pulverização Agrícola Conforme Bula</t>
        </is>
      </c>
      <c r="F593" s="7" t="inlineStr">
        <is>
          <t>Grandes Culturas, Perenes e Pastagens</t>
        </is>
      </c>
      <c r="G593" s="7" t="inlineStr">
        <is>
          <t>Cultura Autorizada na Bula</t>
        </is>
      </c>
      <c r="H593" s="7" t="inlineStr">
        <is>
          <t>100 a 300 L/ha</t>
        </is>
      </c>
      <c r="I593" s="7" t="inlineStr">
        <is>
          <t>20 a 40 L/ha</t>
        </is>
      </c>
      <c r="J593" s="7" t="inlineStr">
        <is>
          <t>Isento</t>
        </is>
      </c>
    </row>
    <row r="594" ht="22" customHeight="1">
      <c r="A594" s="12" t="inlineStr">
        <is>
          <t>CUL-0590</t>
        </is>
      </c>
      <c r="B594" s="11" t="n">
        <v>117</v>
      </c>
      <c r="C594" s="13" t="inlineStr">
        <is>
          <t>SIPEAGRO (UF-XXXXX)</t>
        </is>
      </c>
      <c r="D594" s="14" t="inlineStr">
        <is>
          <t>ULEXITA 100</t>
        </is>
      </c>
      <c r="E594" s="13" t="inlineStr">
        <is>
          <t>Pulverização Agrícola Conforme Bula</t>
        </is>
      </c>
      <c r="F594" s="13" t="inlineStr">
        <is>
          <t>Grandes Culturas, Perenes e Pastagens</t>
        </is>
      </c>
      <c r="G594" s="13" t="inlineStr">
        <is>
          <t>Cultura Autorizada na Bula</t>
        </is>
      </c>
      <c r="H594" s="13" t="inlineStr">
        <is>
          <t>100 a 300 L/ha</t>
        </is>
      </c>
      <c r="I594" s="13" t="inlineStr">
        <is>
          <t>20 a 40 L/ha</t>
        </is>
      </c>
      <c r="J594" s="13" t="inlineStr">
        <is>
          <t>Isento</t>
        </is>
      </c>
    </row>
    <row r="595" ht="22" customHeight="1">
      <c r="A595" s="6" t="inlineStr">
        <is>
          <t>CUL-0591</t>
        </is>
      </c>
      <c r="B595" s="5" t="n">
        <v>118</v>
      </c>
      <c r="C595" s="7" t="inlineStr">
        <is>
          <t>Nº 6922</t>
        </is>
      </c>
      <c r="D595" s="8" t="inlineStr">
        <is>
          <t>COFENRIN</t>
        </is>
      </c>
      <c r="E595" s="7" t="inlineStr">
        <is>
          <t>Pulverização Agrícola Conforme Bula</t>
        </is>
      </c>
      <c r="F595" s="7" t="inlineStr">
        <is>
          <t>Algodão</t>
        </is>
      </c>
      <c r="G595" s="7" t="inlineStr">
        <is>
          <t>Cultura Autorizada na Bula</t>
        </is>
      </c>
      <c r="H595" s="7" t="inlineStr">
        <is>
          <t>100 a 300 L/ha</t>
        </is>
      </c>
      <c r="I595" s="7" t="inlineStr">
        <is>
          <t>20 a 40 L/ha</t>
        </is>
      </c>
      <c r="J595" s="7" t="inlineStr">
        <is>
          <t>15 dias</t>
        </is>
      </c>
    </row>
    <row r="596" ht="22" customHeight="1">
      <c r="A596" s="12" t="inlineStr">
        <is>
          <t>CUL-0592</t>
        </is>
      </c>
      <c r="B596" s="11" t="n">
        <v>118</v>
      </c>
      <c r="C596" s="13" t="inlineStr">
        <is>
          <t>Nº 6922</t>
        </is>
      </c>
      <c r="D596" s="14" t="inlineStr">
        <is>
          <t>COFENRIN</t>
        </is>
      </c>
      <c r="E596" s="13" t="inlineStr">
        <is>
          <t>Pulverização Agrícola Conforme Bula</t>
        </is>
      </c>
      <c r="F596" s="13" t="inlineStr">
        <is>
          <t>Soja</t>
        </is>
      </c>
      <c r="G596" s="13" t="inlineStr">
        <is>
          <t>Cultura Autorizada na Bula</t>
        </is>
      </c>
      <c r="H596" s="13" t="inlineStr">
        <is>
          <t>100 a 300 L/ha</t>
        </is>
      </c>
      <c r="I596" s="13" t="inlineStr">
        <is>
          <t>20 a 40 L/ha</t>
        </is>
      </c>
      <c r="J596" s="13" t="inlineStr">
        <is>
          <t>30 dias</t>
        </is>
      </c>
    </row>
    <row r="597" ht="22" customHeight="1">
      <c r="A597" s="6" t="inlineStr">
        <is>
          <t>CUL-0593</t>
        </is>
      </c>
      <c r="B597" s="5" t="n">
        <v>118</v>
      </c>
      <c r="C597" s="7" t="inlineStr">
        <is>
          <t>Nº 6922</t>
        </is>
      </c>
      <c r="D597" s="8" t="inlineStr">
        <is>
          <t>COFENRIN</t>
        </is>
      </c>
      <c r="E597" s="7" t="inlineStr">
        <is>
          <t>Pulverização Agrícola Conforme Bula</t>
        </is>
      </c>
      <c r="F597" s="7" t="inlineStr">
        <is>
          <t>Milho</t>
        </is>
      </c>
      <c r="G597" s="7" t="inlineStr">
        <is>
          <t>Cultura Autorizada na Bula</t>
        </is>
      </c>
      <c r="H597" s="7" t="inlineStr">
        <is>
          <t>100 a 300 L/ha</t>
        </is>
      </c>
      <c r="I597" s="7" t="inlineStr">
        <is>
          <t>20 a 40 L/ha</t>
        </is>
      </c>
      <c r="J597" s="7" t="inlineStr">
        <is>
          <t>30 dias</t>
        </is>
      </c>
    </row>
    <row r="598" ht="22" customHeight="1">
      <c r="A598" s="12" t="inlineStr">
        <is>
          <t>CUL-0594</t>
        </is>
      </c>
      <c r="B598" s="11" t="n">
        <v>118</v>
      </c>
      <c r="C598" s="13" t="inlineStr">
        <is>
          <t>Nº 6922</t>
        </is>
      </c>
      <c r="D598" s="14" t="inlineStr">
        <is>
          <t>COFENRIN</t>
        </is>
      </c>
      <c r="E598" s="13" t="inlineStr">
        <is>
          <t>Pulverização Agrícola Conforme Bula</t>
        </is>
      </c>
      <c r="F598" s="13" t="inlineStr">
        <is>
          <t>Cana-de-açúcar</t>
        </is>
      </c>
      <c r="G598" s="13" t="inlineStr">
        <is>
          <t>Cultura Autorizada na Bula</t>
        </is>
      </c>
      <c r="H598" s="13" t="inlineStr">
        <is>
          <t>100 a 300 L/ha</t>
        </is>
      </c>
      <c r="I598" s="13" t="inlineStr">
        <is>
          <t>20 a 40 L/ha</t>
        </is>
      </c>
      <c r="J598" s="13" t="inlineStr">
        <is>
          <t>30 dias</t>
        </is>
      </c>
    </row>
    <row r="599" ht="22" customHeight="1">
      <c r="A599" s="6" t="inlineStr">
        <is>
          <t>CUL-0595</t>
        </is>
      </c>
      <c r="B599" s="5" t="n">
        <v>118</v>
      </c>
      <c r="C599" s="7" t="inlineStr">
        <is>
          <t>Nº 6922</t>
        </is>
      </c>
      <c r="D599" s="8" t="inlineStr">
        <is>
          <t>COFENRIN</t>
        </is>
      </c>
      <c r="E599" s="7" t="inlineStr">
        <is>
          <t>Pulverização Agrícola Conforme Bula</t>
        </is>
      </c>
      <c r="F599" s="7" t="inlineStr">
        <is>
          <t>Café</t>
        </is>
      </c>
      <c r="G599" s="7" t="inlineStr">
        <is>
          <t>Cultura Autorizada na Bula</t>
        </is>
      </c>
      <c r="H599" s="7" t="inlineStr">
        <is>
          <t>100 a 300 L/ha</t>
        </is>
      </c>
      <c r="I599" s="7" t="inlineStr">
        <is>
          <t>20 a 40 L/ha</t>
        </is>
      </c>
      <c r="J599" s="7" t="inlineStr">
        <is>
          <t>30 dias</t>
        </is>
      </c>
    </row>
    <row r="600" ht="22" customHeight="1">
      <c r="A600" s="12" t="inlineStr">
        <is>
          <t>CUL-0596</t>
        </is>
      </c>
      <c r="B600" s="11" t="n">
        <v>118</v>
      </c>
      <c r="C600" s="13" t="inlineStr">
        <is>
          <t>Nº 6922</t>
        </is>
      </c>
      <c r="D600" s="14" t="inlineStr">
        <is>
          <t>COFENRIN</t>
        </is>
      </c>
      <c r="E600" s="13" t="inlineStr">
        <is>
          <t>Pulverização Agrícola Conforme Bula</t>
        </is>
      </c>
      <c r="F600" s="13" t="inlineStr">
        <is>
          <t>Citros</t>
        </is>
      </c>
      <c r="G600" s="13" t="inlineStr">
        <is>
          <t>Cultura Autorizada na Bula</t>
        </is>
      </c>
      <c r="H600" s="13" t="inlineStr">
        <is>
          <t>100 a 300 L/ha</t>
        </is>
      </c>
      <c r="I600" s="13" t="inlineStr">
        <is>
          <t>20 a 40 L/ha</t>
        </is>
      </c>
      <c r="J600" s="13" t="inlineStr">
        <is>
          <t>7 dias</t>
        </is>
      </c>
    </row>
    <row r="601" ht="22" customHeight="1">
      <c r="A601" s="6" t="inlineStr">
        <is>
          <t>CUL-0597</t>
        </is>
      </c>
      <c r="B601" s="5" t="n">
        <v>118</v>
      </c>
      <c r="C601" s="7" t="inlineStr">
        <is>
          <t>Nº 6922</t>
        </is>
      </c>
      <c r="D601" s="8" t="inlineStr">
        <is>
          <t>COFENRIN</t>
        </is>
      </c>
      <c r="E601" s="7" t="inlineStr">
        <is>
          <t>Pulverização Agrícola Conforme Bula</t>
        </is>
      </c>
      <c r="F601" s="7" t="inlineStr">
        <is>
          <t>Feijão</t>
        </is>
      </c>
      <c r="G601" s="7" t="inlineStr">
        <is>
          <t>Cultura Autorizada na Bula</t>
        </is>
      </c>
      <c r="H601" s="7" t="inlineStr">
        <is>
          <t>100 a 300 L/ha</t>
        </is>
      </c>
      <c r="I601" s="7" t="inlineStr">
        <is>
          <t>20 a 40 L/ha</t>
        </is>
      </c>
      <c r="J601" s="7" t="inlineStr">
        <is>
          <t>20 dias</t>
        </is>
      </c>
    </row>
    <row r="602" ht="22" customHeight="1">
      <c r="A602" s="12" t="inlineStr">
        <is>
          <t>CUL-0598</t>
        </is>
      </c>
      <c r="B602" s="11" t="n">
        <v>118</v>
      </c>
      <c r="C602" s="13" t="inlineStr">
        <is>
          <t>Nº 6922</t>
        </is>
      </c>
      <c r="D602" s="14" t="inlineStr">
        <is>
          <t>COFENRIN</t>
        </is>
      </c>
      <c r="E602" s="13" t="inlineStr">
        <is>
          <t>Pulverização Agrícola Conforme Bula</t>
        </is>
      </c>
      <c r="F602" s="13" t="inlineStr">
        <is>
          <t>Trigo</t>
        </is>
      </c>
      <c r="G602" s="13" t="inlineStr">
        <is>
          <t>Cultura Autorizada na Bula</t>
        </is>
      </c>
      <c r="H602" s="13" t="inlineStr">
        <is>
          <t>100 a 300 L/ha</t>
        </is>
      </c>
      <c r="I602" s="13" t="inlineStr">
        <is>
          <t>20 a 40 L/ha</t>
        </is>
      </c>
      <c r="J602" s="13" t="inlineStr">
        <is>
          <t>30 dias</t>
        </is>
      </c>
    </row>
    <row r="603" ht="22" customHeight="1">
      <c r="A603" s="6" t="inlineStr">
        <is>
          <t>CUL-0599</t>
        </is>
      </c>
      <c r="B603" s="5" t="n">
        <v>119</v>
      </c>
      <c r="C603" s="7" t="inlineStr">
        <is>
          <t>Nº 8311</t>
        </is>
      </c>
      <c r="D603" s="8" t="inlineStr">
        <is>
          <t>ACEHERO</t>
        </is>
      </c>
      <c r="E603" s="7" t="inlineStr">
        <is>
          <t>Pulverização Agrícola Conforme Bula</t>
        </is>
      </c>
      <c r="F603" s="7" t="inlineStr">
        <is>
          <t>Soja</t>
        </is>
      </c>
      <c r="G603" s="7" t="inlineStr">
        <is>
          <t>Cultura Autorizada na Bula</t>
        </is>
      </c>
      <c r="H603" s="7" t="inlineStr">
        <is>
          <t>100 a 300 L/ha</t>
        </is>
      </c>
      <c r="I603" s="7" t="inlineStr">
        <is>
          <t>20 a 40 L/ha</t>
        </is>
      </c>
      <c r="J603" s="7" t="inlineStr">
        <is>
          <t>21 dias</t>
        </is>
      </c>
    </row>
    <row r="604" ht="22" customHeight="1">
      <c r="A604" s="12" t="inlineStr">
        <is>
          <t>CUL-0600</t>
        </is>
      </c>
      <c r="B604" s="11" t="n">
        <v>119</v>
      </c>
      <c r="C604" s="13" t="inlineStr">
        <is>
          <t>Nº 8311</t>
        </is>
      </c>
      <c r="D604" s="14" t="inlineStr">
        <is>
          <t>ACEHERO</t>
        </is>
      </c>
      <c r="E604" s="13" t="inlineStr">
        <is>
          <t>Pulverização Agrícola Conforme Bula</t>
        </is>
      </c>
      <c r="F604" s="13" t="inlineStr">
        <is>
          <t>Algodão</t>
        </is>
      </c>
      <c r="G604" s="13" t="inlineStr">
        <is>
          <t>Cultura Autorizada na Bula</t>
        </is>
      </c>
      <c r="H604" s="13" t="inlineStr">
        <is>
          <t>100 a 300 L/ha</t>
        </is>
      </c>
      <c r="I604" s="13" t="inlineStr">
        <is>
          <t>20 a 40 L/ha</t>
        </is>
      </c>
      <c r="J604" s="13" t="inlineStr">
        <is>
          <t>21 dias</t>
        </is>
      </c>
    </row>
    <row r="605" ht="22" customHeight="1">
      <c r="A605" s="6" t="inlineStr">
        <is>
          <t>CUL-0601</t>
        </is>
      </c>
      <c r="B605" s="5" t="n">
        <v>119</v>
      </c>
      <c r="C605" s="7" t="inlineStr">
        <is>
          <t>Nº 8311</t>
        </is>
      </c>
      <c r="D605" s="8" t="inlineStr">
        <is>
          <t>ACEHERO</t>
        </is>
      </c>
      <c r="E605" s="7" t="inlineStr">
        <is>
          <t>Pulverização Agrícola Conforme Bula</t>
        </is>
      </c>
      <c r="F605" s="7" t="inlineStr">
        <is>
          <t>Feijão</t>
        </is>
      </c>
      <c r="G605" s="7" t="inlineStr">
        <is>
          <t>Cultura Autorizada na Bula</t>
        </is>
      </c>
      <c r="H605" s="7" t="inlineStr">
        <is>
          <t>100 a 300 L/ha</t>
        </is>
      </c>
      <c r="I605" s="7" t="inlineStr">
        <is>
          <t>20 a 40 L/ha</t>
        </is>
      </c>
      <c r="J605" s="7" t="inlineStr">
        <is>
          <t>14 dias</t>
        </is>
      </c>
    </row>
    <row r="606" ht="22" customHeight="1">
      <c r="A606" s="12" t="inlineStr">
        <is>
          <t>CUL-0602</t>
        </is>
      </c>
      <c r="B606" s="11" t="n">
        <v>119</v>
      </c>
      <c r="C606" s="13" t="inlineStr">
        <is>
          <t>Nº 8311</t>
        </is>
      </c>
      <c r="D606" s="14" t="inlineStr">
        <is>
          <t>ACEHERO</t>
        </is>
      </c>
      <c r="E606" s="13" t="inlineStr">
        <is>
          <t>Pulverização Agrícola Conforme Bula</t>
        </is>
      </c>
      <c r="F606" s="13" t="inlineStr">
        <is>
          <t>Milho</t>
        </is>
      </c>
      <c r="G606" s="13" t="inlineStr">
        <is>
          <t>Cultura Autorizada na Bula</t>
        </is>
      </c>
      <c r="H606" s="13" t="inlineStr">
        <is>
          <t>100 a 300 L/ha</t>
        </is>
      </c>
      <c r="I606" s="13" t="inlineStr">
        <is>
          <t>20 a 40 L/ha</t>
        </is>
      </c>
      <c r="J606" s="13" t="inlineStr">
        <is>
          <t>21 dias</t>
        </is>
      </c>
    </row>
    <row r="607" ht="22" customHeight="1">
      <c r="A607" s="6" t="inlineStr">
        <is>
          <t>CUL-0603</t>
        </is>
      </c>
      <c r="B607" s="5" t="n">
        <v>120</v>
      </c>
      <c r="C607" s="7" t="inlineStr">
        <is>
          <t>Nº 4623</t>
        </is>
      </c>
      <c r="D607" s="8" t="inlineStr">
        <is>
          <t>WEXITE</t>
        </is>
      </c>
      <c r="E607" s="7" t="inlineStr">
        <is>
          <t>Pulverização Agrícola Conforme Bula</t>
        </is>
      </c>
      <c r="F607" s="7" t="inlineStr">
        <is>
          <t>Soja</t>
        </is>
      </c>
      <c r="G607" s="7" t="inlineStr">
        <is>
          <t>Cultura Autorizada na Bula</t>
        </is>
      </c>
      <c r="H607" s="7" t="inlineStr">
        <is>
          <t>100 a 300 L/ha</t>
        </is>
      </c>
      <c r="I607" s="7" t="inlineStr">
        <is>
          <t>20 a 40 L/ha</t>
        </is>
      </c>
      <c r="J607" s="7" t="inlineStr">
        <is>
          <t>21 dias</t>
        </is>
      </c>
    </row>
    <row r="608" ht="22" customHeight="1">
      <c r="A608" s="12" t="inlineStr">
        <is>
          <t>CUL-0604</t>
        </is>
      </c>
      <c r="B608" s="11" t="n">
        <v>120</v>
      </c>
      <c r="C608" s="13" t="inlineStr">
        <is>
          <t>Nº 4623</t>
        </is>
      </c>
      <c r="D608" s="14" t="inlineStr">
        <is>
          <t>WEXITE</t>
        </is>
      </c>
      <c r="E608" s="13" t="inlineStr">
        <is>
          <t>Pulverização Agrícola Conforme Bula</t>
        </is>
      </c>
      <c r="F608" s="13" t="inlineStr">
        <is>
          <t>Algodão</t>
        </is>
      </c>
      <c r="G608" s="13" t="inlineStr">
        <is>
          <t>Cultura Autorizada na Bula</t>
        </is>
      </c>
      <c r="H608" s="13" t="inlineStr">
        <is>
          <t>100 a 300 L/ha</t>
        </is>
      </c>
      <c r="I608" s="13" t="inlineStr">
        <is>
          <t>20 a 40 L/ha</t>
        </is>
      </c>
      <c r="J608" s="13" t="inlineStr">
        <is>
          <t>21 dias</t>
        </is>
      </c>
    </row>
    <row r="609" ht="22" customHeight="1">
      <c r="A609" s="6" t="inlineStr">
        <is>
          <t>CUL-0605</t>
        </is>
      </c>
      <c r="B609" s="5" t="n">
        <v>120</v>
      </c>
      <c r="C609" s="7" t="inlineStr">
        <is>
          <t>Nº 4623</t>
        </is>
      </c>
      <c r="D609" s="8" t="inlineStr">
        <is>
          <t>WEXITE</t>
        </is>
      </c>
      <c r="E609" s="7" t="inlineStr">
        <is>
          <t>Pulverização Agrícola Conforme Bula</t>
        </is>
      </c>
      <c r="F609" s="7" t="inlineStr">
        <is>
          <t>Feijão</t>
        </is>
      </c>
      <c r="G609" s="7" t="inlineStr">
        <is>
          <t>Cultura Autorizada na Bula</t>
        </is>
      </c>
      <c r="H609" s="7" t="inlineStr">
        <is>
          <t>100 a 300 L/ha</t>
        </is>
      </c>
      <c r="I609" s="7" t="inlineStr">
        <is>
          <t>20 a 40 L/ha</t>
        </is>
      </c>
      <c r="J609" s="7" t="inlineStr">
        <is>
          <t>14 dias</t>
        </is>
      </c>
    </row>
    <row r="610" ht="22" customHeight="1">
      <c r="A610" s="12" t="inlineStr">
        <is>
          <t>CUL-0606</t>
        </is>
      </c>
      <c r="B610" s="11" t="n">
        <v>120</v>
      </c>
      <c r="C610" s="13" t="inlineStr">
        <is>
          <t>Nº 4623</t>
        </is>
      </c>
      <c r="D610" s="14" t="inlineStr">
        <is>
          <t>WEXITE</t>
        </is>
      </c>
      <c r="E610" s="13" t="inlineStr">
        <is>
          <t>Pulverização Agrícola Conforme Bula</t>
        </is>
      </c>
      <c r="F610" s="13" t="inlineStr">
        <is>
          <t>Milho</t>
        </is>
      </c>
      <c r="G610" s="13" t="inlineStr">
        <is>
          <t>Cultura Autorizada na Bula</t>
        </is>
      </c>
      <c r="H610" s="13" t="inlineStr">
        <is>
          <t>100 a 300 L/ha</t>
        </is>
      </c>
      <c r="I610" s="13" t="inlineStr">
        <is>
          <t>20 a 40 L/ha</t>
        </is>
      </c>
      <c r="J610" s="13" t="inlineStr">
        <is>
          <t>21 dias</t>
        </is>
      </c>
    </row>
    <row r="611" ht="22" customHeight="1">
      <c r="A611" s="6" t="inlineStr">
        <is>
          <t>CUL-0607</t>
        </is>
      </c>
      <c r="B611" s="5" t="n">
        <v>121</v>
      </c>
      <c r="C611" s="7" t="inlineStr">
        <is>
          <t>Nº 0422</t>
        </is>
      </c>
      <c r="D611" s="8" t="inlineStr">
        <is>
          <t>XEQUE MATE HT</t>
        </is>
      </c>
      <c r="E611" s="7" t="inlineStr">
        <is>
          <t>Pulverização Agrícola Conforme Bula</t>
        </is>
      </c>
      <c r="F611" s="7" t="inlineStr">
        <is>
          <t>Soja (Pré-Plantio / OGM)</t>
        </is>
      </c>
      <c r="G611" s="7" t="inlineStr">
        <is>
          <t>Cultura Autorizada na Bula</t>
        </is>
      </c>
      <c r="H611" s="7" t="inlineStr">
        <is>
          <t>100 a 300 L/ha</t>
        </is>
      </c>
      <c r="I611" s="7" t="inlineStr">
        <is>
          <t>20 a 40 L/ha</t>
        </is>
      </c>
      <c r="J611" s="7" t="inlineStr">
        <is>
          <t>56 dias</t>
        </is>
      </c>
    </row>
    <row r="612" ht="22" customHeight="1">
      <c r="A612" s="12" t="inlineStr">
        <is>
          <t>CUL-0608</t>
        </is>
      </c>
      <c r="B612" s="11" t="n">
        <v>121</v>
      </c>
      <c r="C612" s="13" t="inlineStr">
        <is>
          <t>Nº 0422</t>
        </is>
      </c>
      <c r="D612" s="14" t="inlineStr">
        <is>
          <t>XEQUE MATE HT</t>
        </is>
      </c>
      <c r="E612" s="13" t="inlineStr">
        <is>
          <t>Pulverização Agrícola Conforme Bula</t>
        </is>
      </c>
      <c r="F612" s="13" t="inlineStr">
        <is>
          <t>Milho (Pré-Plantio / OGM)</t>
        </is>
      </c>
      <c r="G612" s="13" t="inlineStr">
        <is>
          <t>Cultura Autorizada na Bula</t>
        </is>
      </c>
      <c r="H612" s="13" t="inlineStr">
        <is>
          <t>100 a 300 L/ha</t>
        </is>
      </c>
      <c r="I612" s="13" t="inlineStr">
        <is>
          <t>20 a 40 L/ha</t>
        </is>
      </c>
      <c r="J612" s="13" t="inlineStr">
        <is>
          <t>90 dias</t>
        </is>
      </c>
    </row>
    <row r="613" ht="22" customHeight="1">
      <c r="A613" s="6" t="inlineStr">
        <is>
          <t>CUL-0609</t>
        </is>
      </c>
      <c r="B613" s="5" t="n">
        <v>121</v>
      </c>
      <c r="C613" s="7" t="inlineStr">
        <is>
          <t>Nº 0422</t>
        </is>
      </c>
      <c r="D613" s="8" t="inlineStr">
        <is>
          <t>XEQUE MATE HT</t>
        </is>
      </c>
      <c r="E613" s="7" t="inlineStr">
        <is>
          <t>Pulverização Agrícola Conforme Bula</t>
        </is>
      </c>
      <c r="F613" s="7" t="inlineStr">
        <is>
          <t>Algodão (Pré-Plantio / OGM)</t>
        </is>
      </c>
      <c r="G613" s="7" t="inlineStr">
        <is>
          <t>Cultura Autorizada na Bula</t>
        </is>
      </c>
      <c r="H613" s="7" t="inlineStr">
        <is>
          <t>100 a 300 L/ha</t>
        </is>
      </c>
      <c r="I613" s="7" t="inlineStr">
        <is>
          <t>20 a 40 L/ha</t>
        </is>
      </c>
      <c r="J613" s="7" t="inlineStr">
        <is>
          <t>130 dias</t>
        </is>
      </c>
    </row>
    <row r="614" ht="22" customHeight="1">
      <c r="A614" s="12" t="inlineStr">
        <is>
          <t>CUL-0610</t>
        </is>
      </c>
      <c r="B614" s="11" t="n">
        <v>121</v>
      </c>
      <c r="C614" s="13" t="inlineStr">
        <is>
          <t>Nº 0422</t>
        </is>
      </c>
      <c r="D614" s="14" t="inlineStr">
        <is>
          <t>XEQUE MATE HT</t>
        </is>
      </c>
      <c r="E614" s="13" t="inlineStr">
        <is>
          <t>Pulverização Agrícola Conforme Bula</t>
        </is>
      </c>
      <c r="F614" s="13" t="inlineStr">
        <is>
          <t>Cana-de-açúcar</t>
        </is>
      </c>
      <c r="G614" s="13" t="inlineStr">
        <is>
          <t>Cultura Autorizada na Bula</t>
        </is>
      </c>
      <c r="H614" s="13" t="inlineStr">
        <is>
          <t>100 a 300 L/ha</t>
        </is>
      </c>
      <c r="I614" s="13" t="inlineStr">
        <is>
          <t>20 a 40 L/ha</t>
        </is>
      </c>
      <c r="J614" s="13" t="inlineStr">
        <is>
          <t>N/D</t>
        </is>
      </c>
    </row>
    <row r="615" ht="22" customHeight="1">
      <c r="A615" s="6" t="inlineStr">
        <is>
          <t>CUL-0611</t>
        </is>
      </c>
      <c r="B615" s="5" t="n">
        <v>121</v>
      </c>
      <c r="C615" s="7" t="inlineStr">
        <is>
          <t>Nº 0422</t>
        </is>
      </c>
      <c r="D615" s="8" t="inlineStr">
        <is>
          <t>XEQUE MATE HT</t>
        </is>
      </c>
      <c r="E615" s="7" t="inlineStr">
        <is>
          <t>Pulverização Agrícola Conforme Bula</t>
        </is>
      </c>
      <c r="F615" s="7" t="inlineStr">
        <is>
          <t>Café (Jato Dirigido)</t>
        </is>
      </c>
      <c r="G615" s="7" t="inlineStr">
        <is>
          <t>Cultura Autorizada na Bula</t>
        </is>
      </c>
      <c r="H615" s="7" t="inlineStr">
        <is>
          <t>100 a 300 L/ha</t>
        </is>
      </c>
      <c r="I615" s="7" t="inlineStr">
        <is>
          <t>20 a 40 L/ha</t>
        </is>
      </c>
      <c r="J615" s="7" t="inlineStr">
        <is>
          <t>15 dias</t>
        </is>
      </c>
    </row>
    <row r="616" ht="22" customHeight="1">
      <c r="A616" s="12" t="inlineStr">
        <is>
          <t>CUL-0612</t>
        </is>
      </c>
      <c r="B616" s="11" t="n">
        <v>121</v>
      </c>
      <c r="C616" s="13" t="inlineStr">
        <is>
          <t>Nº 0422</t>
        </is>
      </c>
      <c r="D616" s="14" t="inlineStr">
        <is>
          <t>XEQUE MATE HT</t>
        </is>
      </c>
      <c r="E616" s="13" t="inlineStr">
        <is>
          <t>Pulverização Agrícola Conforme Bula</t>
        </is>
      </c>
      <c r="F616" s="13" t="inlineStr">
        <is>
          <t>Citros (Jato Dirigido)</t>
        </is>
      </c>
      <c r="G616" s="13" t="inlineStr">
        <is>
          <t>Cultura Autorizada na Bula</t>
        </is>
      </c>
      <c r="H616" s="13" t="inlineStr">
        <is>
          <t>100 a 300 L/ha</t>
        </is>
      </c>
      <c r="I616" s="13" t="inlineStr">
        <is>
          <t>20 a 40 L/ha</t>
        </is>
      </c>
      <c r="J616" s="13" t="inlineStr">
        <is>
          <t>30 dias</t>
        </is>
      </c>
    </row>
    <row r="617" ht="22" customHeight="1">
      <c r="A617" s="6" t="inlineStr">
        <is>
          <t>CUL-0613</t>
        </is>
      </c>
      <c r="B617" s="5" t="n">
        <v>121</v>
      </c>
      <c r="C617" s="7" t="inlineStr">
        <is>
          <t>Nº 0422</t>
        </is>
      </c>
      <c r="D617" s="8" t="inlineStr">
        <is>
          <t>XEQUE MATE HT</t>
        </is>
      </c>
      <c r="E617" s="7" t="inlineStr">
        <is>
          <t>Pulverização Agrícola Conforme Bula</t>
        </is>
      </c>
      <c r="F617" s="7" t="inlineStr">
        <is>
          <t>Trigo (Pré-Plantio)</t>
        </is>
      </c>
      <c r="G617" s="7" t="inlineStr">
        <is>
          <t>Cultura Autorizada na Bula</t>
        </is>
      </c>
      <c r="H617" s="7" t="inlineStr">
        <is>
          <t>100 a 300 L/ha</t>
        </is>
      </c>
      <c r="I617" s="7" t="inlineStr">
        <is>
          <t>20 a 40 L/ha</t>
        </is>
      </c>
      <c r="J617" s="7" t="inlineStr">
        <is>
          <t>N/D</t>
        </is>
      </c>
    </row>
    <row r="618" ht="22" customHeight="1">
      <c r="A618" s="12" t="inlineStr">
        <is>
          <t>CUL-0614</t>
        </is>
      </c>
      <c r="B618" s="11" t="n">
        <v>121</v>
      </c>
      <c r="C618" s="13" t="inlineStr">
        <is>
          <t>Nº 0422</t>
        </is>
      </c>
      <c r="D618" s="14" t="inlineStr">
        <is>
          <t>XEQUE MATE HT</t>
        </is>
      </c>
      <c r="E618" s="13" t="inlineStr">
        <is>
          <t>Pulverização Agrícola Conforme Bula</t>
        </is>
      </c>
      <c r="F618" s="13" t="inlineStr">
        <is>
          <t>Pastagens</t>
        </is>
      </c>
      <c r="G618" s="13" t="inlineStr">
        <is>
          <t>Cultura Autorizada na Bula</t>
        </is>
      </c>
      <c r="H618" s="13" t="inlineStr">
        <is>
          <t>100 a 300 L/ha</t>
        </is>
      </c>
      <c r="I618" s="13" t="inlineStr">
        <is>
          <t>20 a 40 L/ha</t>
        </is>
      </c>
      <c r="J618" s="13" t="inlineStr">
        <is>
          <t>N/D</t>
        </is>
      </c>
    </row>
    <row r="619" ht="22" customHeight="1">
      <c r="A619" s="6" t="inlineStr">
        <is>
          <t>CUL-0615</t>
        </is>
      </c>
      <c r="B619" s="5" t="n">
        <v>122</v>
      </c>
      <c r="C619" s="7" t="inlineStr">
        <is>
          <t>Nº 3422</t>
        </is>
      </c>
      <c r="D619" s="8" t="inlineStr">
        <is>
          <t>FOX SUPRA</t>
        </is>
      </c>
      <c r="E619" s="7" t="inlineStr">
        <is>
          <t>Pulverização Agrícola Conforme Bula</t>
        </is>
      </c>
      <c r="F619" s="7" t="inlineStr">
        <is>
          <t>Soja</t>
        </is>
      </c>
      <c r="G619" s="7" t="inlineStr">
        <is>
          <t>Cultura Autorizada na Bula</t>
        </is>
      </c>
      <c r="H619" s="7" t="inlineStr">
        <is>
          <t>100 a 300 L/ha</t>
        </is>
      </c>
      <c r="I619" s="7" t="inlineStr">
        <is>
          <t>20 a 40 L/ha</t>
        </is>
      </c>
      <c r="J619" s="7" t="inlineStr">
        <is>
          <t>30 dias</t>
        </is>
      </c>
    </row>
    <row r="620" ht="22" customHeight="1">
      <c r="A620" s="12" t="inlineStr">
        <is>
          <t>CUL-0616</t>
        </is>
      </c>
      <c r="B620" s="11" t="n">
        <v>122</v>
      </c>
      <c r="C620" s="13" t="inlineStr">
        <is>
          <t>Nº 3422</t>
        </is>
      </c>
      <c r="D620" s="14" t="inlineStr">
        <is>
          <t>FOX SUPRA</t>
        </is>
      </c>
      <c r="E620" s="13" t="inlineStr">
        <is>
          <t>Pulverização Agrícola Conforme Bula</t>
        </is>
      </c>
      <c r="F620" s="13" t="inlineStr">
        <is>
          <t>Milho</t>
        </is>
      </c>
      <c r="G620" s="13" t="inlineStr">
        <is>
          <t>Cultura Autorizada na Bula</t>
        </is>
      </c>
      <c r="H620" s="13" t="inlineStr">
        <is>
          <t>100 a 300 L/ha</t>
        </is>
      </c>
      <c r="I620" s="13" t="inlineStr">
        <is>
          <t>20 a 40 L/ha</t>
        </is>
      </c>
      <c r="J620" s="13" t="inlineStr">
        <is>
          <t>30 dias</t>
        </is>
      </c>
    </row>
    <row r="621" ht="22" customHeight="1">
      <c r="A621" s="6" t="inlineStr">
        <is>
          <t>CUL-0617</t>
        </is>
      </c>
      <c r="B621" s="5" t="n">
        <v>122</v>
      </c>
      <c r="C621" s="7" t="inlineStr">
        <is>
          <t>Nº 3422</t>
        </is>
      </c>
      <c r="D621" s="8" t="inlineStr">
        <is>
          <t>FOX SUPRA</t>
        </is>
      </c>
      <c r="E621" s="7" t="inlineStr">
        <is>
          <t>Pulverização Agrícola Conforme Bula</t>
        </is>
      </c>
      <c r="F621" s="7" t="inlineStr">
        <is>
          <t>Algodão</t>
        </is>
      </c>
      <c r="G621" s="7" t="inlineStr">
        <is>
          <t>Cultura Autorizada na Bula</t>
        </is>
      </c>
      <c r="H621" s="7" t="inlineStr">
        <is>
          <t>100 a 300 L/ha</t>
        </is>
      </c>
      <c r="I621" s="7" t="inlineStr">
        <is>
          <t>20 a 40 L/ha</t>
        </is>
      </c>
      <c r="J621" s="7" t="inlineStr">
        <is>
          <t>30 dias</t>
        </is>
      </c>
    </row>
    <row r="622" ht="22" customHeight="1">
      <c r="A622" s="12" t="inlineStr">
        <is>
          <t>CUL-0618</t>
        </is>
      </c>
      <c r="B622" s="11" t="n">
        <v>122</v>
      </c>
      <c r="C622" s="13" t="inlineStr">
        <is>
          <t>Nº 3422</t>
        </is>
      </c>
      <c r="D622" s="14" t="inlineStr">
        <is>
          <t>FOX SUPRA</t>
        </is>
      </c>
      <c r="E622" s="13" t="inlineStr">
        <is>
          <t>Pulverização Agrícola Conforme Bula</t>
        </is>
      </c>
      <c r="F622" s="13" t="inlineStr">
        <is>
          <t>Trigo</t>
        </is>
      </c>
      <c r="G622" s="13" t="inlineStr">
        <is>
          <t>Cultura Autorizada na Bula</t>
        </is>
      </c>
      <c r="H622" s="13" t="inlineStr">
        <is>
          <t>100 a 300 L/ha</t>
        </is>
      </c>
      <c r="I622" s="13" t="inlineStr">
        <is>
          <t>20 a 40 L/ha</t>
        </is>
      </c>
      <c r="J622" s="13" t="inlineStr">
        <is>
          <t>30 dias</t>
        </is>
      </c>
    </row>
    <row r="623" ht="22" customHeight="1">
      <c r="A623" s="6" t="inlineStr">
        <is>
          <t>CUL-0619</t>
        </is>
      </c>
      <c r="B623" s="5" t="n">
        <v>122</v>
      </c>
      <c r="C623" s="7" t="inlineStr">
        <is>
          <t>Nº 3422</t>
        </is>
      </c>
      <c r="D623" s="8" t="inlineStr">
        <is>
          <t>FOX SUPRA</t>
        </is>
      </c>
      <c r="E623" s="7" t="inlineStr">
        <is>
          <t>Pulverização Agrícola Conforme Bula</t>
        </is>
      </c>
      <c r="F623" s="7" t="inlineStr">
        <is>
          <t>Feijão</t>
        </is>
      </c>
      <c r="G623" s="7" t="inlineStr">
        <is>
          <t>Cultura Autorizada na Bula</t>
        </is>
      </c>
      <c r="H623" s="7" t="inlineStr">
        <is>
          <t>100 a 300 L/ha</t>
        </is>
      </c>
      <c r="I623" s="7" t="inlineStr">
        <is>
          <t>20 a 40 L/ha</t>
        </is>
      </c>
      <c r="J623" s="7" t="inlineStr">
        <is>
          <t>14 dias</t>
        </is>
      </c>
    </row>
    <row r="624" ht="22" customHeight="1">
      <c r="A624" s="12" t="inlineStr">
        <is>
          <t>CUL-0620</t>
        </is>
      </c>
      <c r="B624" s="11" t="n">
        <v>123</v>
      </c>
      <c r="C624" s="13" t="inlineStr">
        <is>
          <t>Nº 34621</t>
        </is>
      </c>
      <c r="D624" s="14" t="inlineStr">
        <is>
          <t>RATEIO 200 SL</t>
        </is>
      </c>
      <c r="E624" s="13" t="inlineStr">
        <is>
          <t>Pulverização Agrícola Conforme Bula</t>
        </is>
      </c>
      <c r="F624" s="13" t="inlineStr">
        <is>
          <t>Soja (Dessecação Pré-Colheita e Pré-Plantio)</t>
        </is>
      </c>
      <c r="G624" s="13" t="inlineStr">
        <is>
          <t>Cultura Autorizada na Bula</t>
        </is>
      </c>
      <c r="H624" s="13" t="inlineStr">
        <is>
          <t>100 a 300 L/ha</t>
        </is>
      </c>
      <c r="I624" s="13" t="inlineStr">
        <is>
          <t>20 a 40 L/ha</t>
        </is>
      </c>
      <c r="J624" s="13" t="inlineStr">
        <is>
          <t>7 dias</t>
        </is>
      </c>
    </row>
    <row r="625" ht="22" customHeight="1">
      <c r="A625" s="6" t="inlineStr">
        <is>
          <t>CUL-0621</t>
        </is>
      </c>
      <c r="B625" s="5" t="n">
        <v>123</v>
      </c>
      <c r="C625" s="7" t="inlineStr">
        <is>
          <t>Nº 34621</t>
        </is>
      </c>
      <c r="D625" s="8" t="inlineStr">
        <is>
          <t>RATEIO 200 SL</t>
        </is>
      </c>
      <c r="E625" s="7" t="inlineStr">
        <is>
          <t>Pulverização Agrícola Conforme Bula</t>
        </is>
      </c>
      <c r="F625" s="7" t="inlineStr">
        <is>
          <t>Feijão (Dessecação Pré-Colheita)</t>
        </is>
      </c>
      <c r="G625" s="7" t="inlineStr">
        <is>
          <t>Cultura Autorizada na Bula</t>
        </is>
      </c>
      <c r="H625" s="7" t="inlineStr">
        <is>
          <t>100 a 300 L/ha</t>
        </is>
      </c>
      <c r="I625" s="7" t="inlineStr">
        <is>
          <t>20 a 40 L/ha</t>
        </is>
      </c>
      <c r="J625" s="7" t="inlineStr">
        <is>
          <t>7 dias</t>
        </is>
      </c>
    </row>
    <row r="626" ht="22" customHeight="1">
      <c r="A626" s="12" t="inlineStr">
        <is>
          <t>CUL-0622</t>
        </is>
      </c>
      <c r="B626" s="11" t="n">
        <v>123</v>
      </c>
      <c r="C626" s="13" t="inlineStr">
        <is>
          <t>Nº 34621</t>
        </is>
      </c>
      <c r="D626" s="14" t="inlineStr">
        <is>
          <t>RATEIO 200 SL</t>
        </is>
      </c>
      <c r="E626" s="13" t="inlineStr">
        <is>
          <t>Pulverização Agrícola Conforme Bula</t>
        </is>
      </c>
      <c r="F626" s="13" t="inlineStr">
        <is>
          <t>Algodão</t>
        </is>
      </c>
      <c r="G626" s="13" t="inlineStr">
        <is>
          <t>Cultura Autorizada na Bula</t>
        </is>
      </c>
      <c r="H626" s="13" t="inlineStr">
        <is>
          <t>100 a 300 L/ha</t>
        </is>
      </c>
      <c r="I626" s="13" t="inlineStr">
        <is>
          <t>20 a 40 L/ha</t>
        </is>
      </c>
      <c r="J626" s="13" t="inlineStr">
        <is>
          <t>7 dias</t>
        </is>
      </c>
    </row>
    <row r="627" ht="22" customHeight="1">
      <c r="A627" s="6" t="inlineStr">
        <is>
          <t>CUL-0623</t>
        </is>
      </c>
      <c r="B627" s="5" t="n">
        <v>123</v>
      </c>
      <c r="C627" s="7" t="inlineStr">
        <is>
          <t>Nº 34621</t>
        </is>
      </c>
      <c r="D627" s="8" t="inlineStr">
        <is>
          <t>RATEIO 200 SL</t>
        </is>
      </c>
      <c r="E627" s="7" t="inlineStr">
        <is>
          <t>Pulverização Agrícola Conforme Bula</t>
        </is>
      </c>
      <c r="F627" s="7" t="inlineStr">
        <is>
          <t>Batata</t>
        </is>
      </c>
      <c r="G627" s="7" t="inlineStr">
        <is>
          <t>Cultura Autorizada na Bula</t>
        </is>
      </c>
      <c r="H627" s="7" t="inlineStr">
        <is>
          <t>100 a 300 L/ha</t>
        </is>
      </c>
      <c r="I627" s="7" t="inlineStr">
        <is>
          <t>20 a 40 L/ha</t>
        </is>
      </c>
      <c r="J627" s="7" t="inlineStr">
        <is>
          <t>7 dias</t>
        </is>
      </c>
    </row>
    <row r="628" ht="22" customHeight="1">
      <c r="A628" s="12" t="inlineStr">
        <is>
          <t>CUL-0624</t>
        </is>
      </c>
      <c r="B628" s="11" t="n">
        <v>123</v>
      </c>
      <c r="C628" s="13" t="inlineStr">
        <is>
          <t>Nº 34621</t>
        </is>
      </c>
      <c r="D628" s="14" t="inlineStr">
        <is>
          <t>RATEIO 200 SL</t>
        </is>
      </c>
      <c r="E628" s="13" t="inlineStr">
        <is>
          <t>Pulverização Agrícola Conforme Bula</t>
        </is>
      </c>
      <c r="F628" s="13" t="inlineStr">
        <is>
          <t>Milho (Pré-Plantio)</t>
        </is>
      </c>
      <c r="G628" s="13" t="inlineStr">
        <is>
          <t>Cultura Autorizada na Bula</t>
        </is>
      </c>
      <c r="H628" s="13" t="inlineStr">
        <is>
          <t>100 a 300 L/ha</t>
        </is>
      </c>
      <c r="I628" s="13" t="inlineStr">
        <is>
          <t>20 a 40 L/ha</t>
        </is>
      </c>
      <c r="J628" s="13" t="inlineStr">
        <is>
          <t>N/D</t>
        </is>
      </c>
    </row>
    <row r="629" ht="22" customHeight="1">
      <c r="A629" s="6" t="inlineStr">
        <is>
          <t>CUL-0625</t>
        </is>
      </c>
      <c r="B629" s="5" t="n">
        <v>124</v>
      </c>
      <c r="C629" s="7" t="inlineStr">
        <is>
          <t>Nº 18022</t>
        </is>
      </c>
      <c r="D629" s="8" t="inlineStr">
        <is>
          <t>TARBOX</t>
        </is>
      </c>
      <c r="E629" s="7" t="inlineStr">
        <is>
          <t>Pulverização Agrícola Conforme Bula</t>
        </is>
      </c>
      <c r="F629" s="7" t="inlineStr">
        <is>
          <t>Soja (Pré-Plantio / OGM)</t>
        </is>
      </c>
      <c r="G629" s="7" t="inlineStr">
        <is>
          <t>Cultura Autorizada na Bula</t>
        </is>
      </c>
      <c r="H629" s="7" t="inlineStr">
        <is>
          <t>100 a 300 L/ha</t>
        </is>
      </c>
      <c r="I629" s="7" t="inlineStr">
        <is>
          <t>20 a 40 L/ha</t>
        </is>
      </c>
      <c r="J629" s="7" t="inlineStr">
        <is>
          <t>60 dias</t>
        </is>
      </c>
    </row>
    <row r="630" ht="22" customHeight="1">
      <c r="A630" s="12" t="inlineStr">
        <is>
          <t>CUL-0626</t>
        </is>
      </c>
      <c r="B630" s="11" t="n">
        <v>124</v>
      </c>
      <c r="C630" s="13" t="inlineStr">
        <is>
          <t>Nº 18022</t>
        </is>
      </c>
      <c r="D630" s="14" t="inlineStr">
        <is>
          <t>TARBOX</t>
        </is>
      </c>
      <c r="E630" s="13" t="inlineStr">
        <is>
          <t>Pulverização Agrícola Conforme Bula</t>
        </is>
      </c>
      <c r="F630" s="13" t="inlineStr">
        <is>
          <t>Milho (Pré-Plantio / OGM)</t>
        </is>
      </c>
      <c r="G630" s="13" t="inlineStr">
        <is>
          <t>Cultura Autorizada na Bula</t>
        </is>
      </c>
      <c r="H630" s="13" t="inlineStr">
        <is>
          <t>100 a 300 L/ha</t>
        </is>
      </c>
      <c r="I630" s="13" t="inlineStr">
        <is>
          <t>20 a 40 L/ha</t>
        </is>
      </c>
      <c r="J630" s="13" t="inlineStr">
        <is>
          <t>40 dias</t>
        </is>
      </c>
    </row>
    <row r="631" ht="22" customHeight="1">
      <c r="A631" s="6" t="inlineStr">
        <is>
          <t>CUL-0627</t>
        </is>
      </c>
      <c r="B631" s="5" t="n">
        <v>124</v>
      </c>
      <c r="C631" s="7" t="inlineStr">
        <is>
          <t>Nº 18022</t>
        </is>
      </c>
      <c r="D631" s="8" t="inlineStr">
        <is>
          <t>TARBOX</t>
        </is>
      </c>
      <c r="E631" s="7" t="inlineStr">
        <is>
          <t>Pulverização Agrícola Conforme Bula</t>
        </is>
      </c>
      <c r="F631" s="7" t="inlineStr">
        <is>
          <t>Algodão (Pré-Plantio / OGM / Desfolha)</t>
        </is>
      </c>
      <c r="G631" s="7" t="inlineStr">
        <is>
          <t>Cultura Autorizada na Bula</t>
        </is>
      </c>
      <c r="H631" s="7" t="inlineStr">
        <is>
          <t>100 a 300 L/ha</t>
        </is>
      </c>
      <c r="I631" s="7" t="inlineStr">
        <is>
          <t>20 a 40 L/ha</t>
        </is>
      </c>
      <c r="J631" s="7" t="inlineStr">
        <is>
          <t>15 dias</t>
        </is>
      </c>
    </row>
    <row r="632" ht="22" customHeight="1">
      <c r="A632" s="12" t="inlineStr">
        <is>
          <t>CUL-0628</t>
        </is>
      </c>
      <c r="B632" s="11" t="n">
        <v>124</v>
      </c>
      <c r="C632" s="13" t="inlineStr">
        <is>
          <t>Nº 18022</t>
        </is>
      </c>
      <c r="D632" s="14" t="inlineStr">
        <is>
          <t>TARBOX</t>
        </is>
      </c>
      <c r="E632" s="13" t="inlineStr">
        <is>
          <t>Pulverização Agrícola Conforme Bula</t>
        </is>
      </c>
      <c r="F632" s="13" t="inlineStr">
        <is>
          <t>Café (Jato Dirigido)</t>
        </is>
      </c>
      <c r="G632" s="13" t="inlineStr">
        <is>
          <t>Cultura Autorizada na Bula</t>
        </is>
      </c>
      <c r="H632" s="13" t="inlineStr">
        <is>
          <t>100 a 300 L/ha</t>
        </is>
      </c>
      <c r="I632" s="13" t="inlineStr">
        <is>
          <t>20 a 40 L/ha</t>
        </is>
      </c>
      <c r="J632" s="13" t="inlineStr">
        <is>
          <t>20 dias</t>
        </is>
      </c>
    </row>
    <row r="633" ht="22" customHeight="1">
      <c r="A633" s="6" t="inlineStr">
        <is>
          <t>CUL-0629</t>
        </is>
      </c>
      <c r="B633" s="5" t="n">
        <v>124</v>
      </c>
      <c r="C633" s="7" t="inlineStr">
        <is>
          <t>Nº 18022</t>
        </is>
      </c>
      <c r="D633" s="8" t="inlineStr">
        <is>
          <t>TARBOX</t>
        </is>
      </c>
      <c r="E633" s="7" t="inlineStr">
        <is>
          <t>Pulverização Agrícola Conforme Bula</t>
        </is>
      </c>
      <c r="F633" s="7" t="inlineStr">
        <is>
          <t>Citros (Jato Dirigido)</t>
        </is>
      </c>
      <c r="G633" s="7" t="inlineStr">
        <is>
          <t>Cultura Autorizada na Bula</t>
        </is>
      </c>
      <c r="H633" s="7" t="inlineStr">
        <is>
          <t>100 a 300 L/ha</t>
        </is>
      </c>
      <c r="I633" s="7" t="inlineStr">
        <is>
          <t>20 a 40 L/ha</t>
        </is>
      </c>
      <c r="J633" s="7" t="inlineStr">
        <is>
          <t>40 dias</t>
        </is>
      </c>
    </row>
    <row r="634" ht="22" customHeight="1">
      <c r="A634" s="12" t="inlineStr">
        <is>
          <t>CUL-0630</t>
        </is>
      </c>
      <c r="B634" s="11" t="n">
        <v>124</v>
      </c>
      <c r="C634" s="13" t="inlineStr">
        <is>
          <t>Nº 18022</t>
        </is>
      </c>
      <c r="D634" s="14" t="inlineStr">
        <is>
          <t>TARBOX</t>
        </is>
      </c>
      <c r="E634" s="13" t="inlineStr">
        <is>
          <t>Pulverização Agrícola Conforme Bula</t>
        </is>
      </c>
      <c r="F634" s="13" t="inlineStr">
        <is>
          <t>Trigo</t>
        </is>
      </c>
      <c r="G634" s="13" t="inlineStr">
        <is>
          <t>Cultura Autorizada na Bula</t>
        </is>
      </c>
      <c r="H634" s="13" t="inlineStr">
        <is>
          <t>100 a 300 L/ha</t>
        </is>
      </c>
      <c r="I634" s="13" t="inlineStr">
        <is>
          <t>20 a 40 L/ha</t>
        </is>
      </c>
      <c r="J634" s="13" t="inlineStr">
        <is>
          <t>N/D</t>
        </is>
      </c>
    </row>
    <row r="635" ht="22" customHeight="1">
      <c r="A635" s="6" t="inlineStr">
        <is>
          <t>CUL-0631</t>
        </is>
      </c>
      <c r="B635" s="5" t="n">
        <v>125</v>
      </c>
      <c r="C635" s="7" t="inlineStr">
        <is>
          <t>SIPEAGRO (UF-XXXXX)</t>
        </is>
      </c>
      <c r="D635" s="8" t="inlineStr">
        <is>
          <t>FOSFATO MONOAMONICO CRISTAL MAP</t>
        </is>
      </c>
      <c r="E635" s="7" t="inlineStr">
        <is>
          <t>Adubação de Solo / Foliar</t>
        </is>
      </c>
      <c r="F635" s="7" t="inlineStr">
        <is>
          <t>Soja</t>
        </is>
      </c>
      <c r="G635" s="7" t="inlineStr">
        <is>
          <t>Cultura Autorizada na Bula</t>
        </is>
      </c>
      <c r="H635" s="7" t="inlineStr">
        <is>
          <t>100 a 300 L/ha</t>
        </is>
      </c>
      <c r="I635" s="7" t="inlineStr">
        <is>
          <t>20 a 40 L/ha</t>
        </is>
      </c>
      <c r="J635" s="7" t="inlineStr">
        <is>
          <t>Isento</t>
        </is>
      </c>
    </row>
    <row r="636" ht="22" customHeight="1">
      <c r="A636" s="12" t="inlineStr">
        <is>
          <t>CUL-0632</t>
        </is>
      </c>
      <c r="B636" s="11" t="n">
        <v>125</v>
      </c>
      <c r="C636" s="13" t="inlineStr">
        <is>
          <t>SIPEAGRO (UF-XXXXX)</t>
        </is>
      </c>
      <c r="D636" s="14" t="inlineStr">
        <is>
          <t>FOSFATO MONOAMONICO CRISTAL MAP</t>
        </is>
      </c>
      <c r="E636" s="13" t="inlineStr">
        <is>
          <t>Adubação de Solo / Foliar</t>
        </is>
      </c>
      <c r="F636" s="13" t="inlineStr">
        <is>
          <t>Milho</t>
        </is>
      </c>
      <c r="G636" s="13" t="inlineStr">
        <is>
          <t>Cultura Autorizada na Bula</t>
        </is>
      </c>
      <c r="H636" s="13" t="inlineStr">
        <is>
          <t>100 a 300 L/ha</t>
        </is>
      </c>
      <c r="I636" s="13" t="inlineStr">
        <is>
          <t>20 a 40 L/ha</t>
        </is>
      </c>
      <c r="J636" s="13" t="inlineStr">
        <is>
          <t>Isento</t>
        </is>
      </c>
    </row>
    <row r="637" ht="22" customHeight="1">
      <c r="A637" s="6" t="inlineStr">
        <is>
          <t>CUL-0633</t>
        </is>
      </c>
      <c r="B637" s="5" t="n">
        <v>125</v>
      </c>
      <c r="C637" s="7" t="inlineStr">
        <is>
          <t>SIPEAGRO (UF-XXXXX)</t>
        </is>
      </c>
      <c r="D637" s="8" t="inlineStr">
        <is>
          <t>FOSFATO MONOAMONICO CRISTAL MAP</t>
        </is>
      </c>
      <c r="E637" s="7" t="inlineStr">
        <is>
          <t>Adubação de Solo / Foliar</t>
        </is>
      </c>
      <c r="F637" s="7" t="inlineStr">
        <is>
          <t>Algodão</t>
        </is>
      </c>
      <c r="G637" s="7" t="inlineStr">
        <is>
          <t>Cultura Autorizada na Bula</t>
        </is>
      </c>
      <c r="H637" s="7" t="inlineStr">
        <is>
          <t>100 a 300 L/ha</t>
        </is>
      </c>
      <c r="I637" s="7" t="inlineStr">
        <is>
          <t>20 a 40 L/ha</t>
        </is>
      </c>
      <c r="J637" s="7" t="inlineStr">
        <is>
          <t>Isento</t>
        </is>
      </c>
    </row>
    <row r="638" ht="22" customHeight="1">
      <c r="A638" s="12" t="inlineStr">
        <is>
          <t>CUL-0634</t>
        </is>
      </c>
      <c r="B638" s="11" t="n">
        <v>125</v>
      </c>
      <c r="C638" s="13" t="inlineStr">
        <is>
          <t>SIPEAGRO (UF-XXXXX)</t>
        </is>
      </c>
      <c r="D638" s="14" t="inlineStr">
        <is>
          <t>FOSFATO MONOAMONICO CRISTAL MAP</t>
        </is>
      </c>
      <c r="E638" s="13" t="inlineStr">
        <is>
          <t>Adubação de Solo / Foliar</t>
        </is>
      </c>
      <c r="F638" s="13" t="inlineStr">
        <is>
          <t>Cana-de-açúcar</t>
        </is>
      </c>
      <c r="G638" s="13" t="inlineStr">
        <is>
          <t>Cultura Autorizada na Bula</t>
        </is>
      </c>
      <c r="H638" s="13" t="inlineStr">
        <is>
          <t>100 a 300 L/ha</t>
        </is>
      </c>
      <c r="I638" s="13" t="inlineStr">
        <is>
          <t>20 a 40 L/ha</t>
        </is>
      </c>
      <c r="J638" s="13" t="inlineStr">
        <is>
          <t>Isento</t>
        </is>
      </c>
    </row>
    <row r="639" ht="22" customHeight="1">
      <c r="A639" s="6" t="inlineStr">
        <is>
          <t>CUL-0635</t>
        </is>
      </c>
      <c r="B639" s="5" t="n">
        <v>125</v>
      </c>
      <c r="C639" s="7" t="inlineStr">
        <is>
          <t>SIPEAGRO (UF-XXXXX)</t>
        </is>
      </c>
      <c r="D639" s="8" t="inlineStr">
        <is>
          <t>FOSFATO MONOAMONICO CRISTAL MAP</t>
        </is>
      </c>
      <c r="E639" s="7" t="inlineStr">
        <is>
          <t>Adubação de Solo / Foliar</t>
        </is>
      </c>
      <c r="F639" s="7" t="inlineStr">
        <is>
          <t>Café</t>
        </is>
      </c>
      <c r="G639" s="7" t="inlineStr">
        <is>
          <t>Cultura Autorizada na Bula</t>
        </is>
      </c>
      <c r="H639" s="7" t="inlineStr">
        <is>
          <t>100 a 300 L/ha</t>
        </is>
      </c>
      <c r="I639" s="7" t="inlineStr">
        <is>
          <t>20 a 40 L/ha</t>
        </is>
      </c>
      <c r="J639" s="7" t="inlineStr">
        <is>
          <t>Isento</t>
        </is>
      </c>
    </row>
    <row r="640" ht="22" customHeight="1">
      <c r="A640" s="12" t="inlineStr">
        <is>
          <t>CUL-0636</t>
        </is>
      </c>
      <c r="B640" s="11" t="n">
        <v>126</v>
      </c>
      <c r="C640" s="13" t="inlineStr">
        <is>
          <t>Nº 1119</t>
        </is>
      </c>
      <c r="D640" s="14" t="inlineStr">
        <is>
          <t>ROUNDUP ORIGINAL MAIS</t>
        </is>
      </c>
      <c r="E640" s="13" t="inlineStr">
        <is>
          <t>Pulverização Agrícola Conforme Bula</t>
        </is>
      </c>
      <c r="F640" s="13" t="inlineStr">
        <is>
          <t>Soja (Pré-Plantio / OGM)</t>
        </is>
      </c>
      <c r="G640" s="13" t="inlineStr">
        <is>
          <t>Cultura Autorizada na Bula</t>
        </is>
      </c>
      <c r="H640" s="13" t="inlineStr">
        <is>
          <t>100 a 300 L/ha</t>
        </is>
      </c>
      <c r="I640" s="13" t="inlineStr">
        <is>
          <t>20 a 40 L/ha</t>
        </is>
      </c>
      <c r="J640" s="13" t="inlineStr">
        <is>
          <t>56 dias</t>
        </is>
      </c>
    </row>
    <row r="641" ht="22" customHeight="1">
      <c r="A641" s="6" t="inlineStr">
        <is>
          <t>CUL-0637</t>
        </is>
      </c>
      <c r="B641" s="5" t="n">
        <v>126</v>
      </c>
      <c r="C641" s="7" t="inlineStr">
        <is>
          <t>Nº 1119</t>
        </is>
      </c>
      <c r="D641" s="8" t="inlineStr">
        <is>
          <t>ROUNDUP ORIGINAL MAIS</t>
        </is>
      </c>
      <c r="E641" s="7" t="inlineStr">
        <is>
          <t>Pulverização Agrícola Conforme Bula</t>
        </is>
      </c>
      <c r="F641" s="7" t="inlineStr">
        <is>
          <t>Milho (Pré-Plantio / OGM)</t>
        </is>
      </c>
      <c r="G641" s="7" t="inlineStr">
        <is>
          <t>Cultura Autorizada na Bula</t>
        </is>
      </c>
      <c r="H641" s="7" t="inlineStr">
        <is>
          <t>100 a 300 L/ha</t>
        </is>
      </c>
      <c r="I641" s="7" t="inlineStr">
        <is>
          <t>20 a 40 L/ha</t>
        </is>
      </c>
      <c r="J641" s="7" t="inlineStr">
        <is>
          <t>90 dias</t>
        </is>
      </c>
    </row>
    <row r="642" ht="22" customHeight="1">
      <c r="A642" s="12" t="inlineStr">
        <is>
          <t>CUL-0638</t>
        </is>
      </c>
      <c r="B642" s="11" t="n">
        <v>126</v>
      </c>
      <c r="C642" s="13" t="inlineStr">
        <is>
          <t>Nº 1119</t>
        </is>
      </c>
      <c r="D642" s="14" t="inlineStr">
        <is>
          <t>ROUNDUP ORIGINAL MAIS</t>
        </is>
      </c>
      <c r="E642" s="13" t="inlineStr">
        <is>
          <t>Pulverização Agrícola Conforme Bula</t>
        </is>
      </c>
      <c r="F642" s="13" t="inlineStr">
        <is>
          <t>Algodão (Pré-Plantio / OGM)</t>
        </is>
      </c>
      <c r="G642" s="13" t="inlineStr">
        <is>
          <t>Cultura Autorizada na Bula</t>
        </is>
      </c>
      <c r="H642" s="13" t="inlineStr">
        <is>
          <t>100 a 300 L/ha</t>
        </is>
      </c>
      <c r="I642" s="13" t="inlineStr">
        <is>
          <t>20 a 40 L/ha</t>
        </is>
      </c>
      <c r="J642" s="13" t="inlineStr">
        <is>
          <t>130 dias</t>
        </is>
      </c>
    </row>
    <row r="643" ht="22" customHeight="1">
      <c r="A643" s="6" t="inlineStr">
        <is>
          <t>CUL-0639</t>
        </is>
      </c>
      <c r="B643" s="5" t="n">
        <v>126</v>
      </c>
      <c r="C643" s="7" t="inlineStr">
        <is>
          <t>Nº 1119</t>
        </is>
      </c>
      <c r="D643" s="8" t="inlineStr">
        <is>
          <t>ROUNDUP ORIGINAL MAIS</t>
        </is>
      </c>
      <c r="E643" s="7" t="inlineStr">
        <is>
          <t>Pulverização Agrícola Conforme Bula</t>
        </is>
      </c>
      <c r="F643" s="7" t="inlineStr">
        <is>
          <t>Cana-de-açúcar</t>
        </is>
      </c>
      <c r="G643" s="7" t="inlineStr">
        <is>
          <t>Cultura Autorizada na Bula</t>
        </is>
      </c>
      <c r="H643" s="7" t="inlineStr">
        <is>
          <t>100 a 300 L/ha</t>
        </is>
      </c>
      <c r="I643" s="7" t="inlineStr">
        <is>
          <t>20 a 40 L/ha</t>
        </is>
      </c>
      <c r="J643" s="7" t="inlineStr">
        <is>
          <t>N/D</t>
        </is>
      </c>
    </row>
    <row r="644" ht="22" customHeight="1">
      <c r="A644" s="12" t="inlineStr">
        <is>
          <t>CUL-0640</t>
        </is>
      </c>
      <c r="B644" s="11" t="n">
        <v>126</v>
      </c>
      <c r="C644" s="13" t="inlineStr">
        <is>
          <t>Nº 1119</t>
        </is>
      </c>
      <c r="D644" s="14" t="inlineStr">
        <is>
          <t>ROUNDUP ORIGINAL MAIS</t>
        </is>
      </c>
      <c r="E644" s="13" t="inlineStr">
        <is>
          <t>Pulverização Agrícola Conforme Bula</t>
        </is>
      </c>
      <c r="F644" s="13" t="inlineStr">
        <is>
          <t>Café (Jato Dirigido)</t>
        </is>
      </c>
      <c r="G644" s="13" t="inlineStr">
        <is>
          <t>Cultura Autorizada na Bula</t>
        </is>
      </c>
      <c r="H644" s="13" t="inlineStr">
        <is>
          <t>100 a 300 L/ha</t>
        </is>
      </c>
      <c r="I644" s="13" t="inlineStr">
        <is>
          <t>20 a 40 L/ha</t>
        </is>
      </c>
      <c r="J644" s="13" t="inlineStr">
        <is>
          <t>15 dias</t>
        </is>
      </c>
    </row>
    <row r="645" ht="22" customHeight="1">
      <c r="A645" s="6" t="inlineStr">
        <is>
          <t>CUL-0641</t>
        </is>
      </c>
      <c r="B645" s="5" t="n">
        <v>126</v>
      </c>
      <c r="C645" s="7" t="inlineStr">
        <is>
          <t>Nº 1119</t>
        </is>
      </c>
      <c r="D645" s="8" t="inlineStr">
        <is>
          <t>ROUNDUP ORIGINAL MAIS</t>
        </is>
      </c>
      <c r="E645" s="7" t="inlineStr">
        <is>
          <t>Pulverização Agrícola Conforme Bula</t>
        </is>
      </c>
      <c r="F645" s="7" t="inlineStr">
        <is>
          <t>Citros (Jato Dirigido)</t>
        </is>
      </c>
      <c r="G645" s="7" t="inlineStr">
        <is>
          <t>Cultura Autorizada na Bula</t>
        </is>
      </c>
      <c r="H645" s="7" t="inlineStr">
        <is>
          <t>100 a 300 L/ha</t>
        </is>
      </c>
      <c r="I645" s="7" t="inlineStr">
        <is>
          <t>20 a 40 L/ha</t>
        </is>
      </c>
      <c r="J645" s="7" t="inlineStr">
        <is>
          <t>30 dias</t>
        </is>
      </c>
    </row>
    <row r="646" ht="22" customHeight="1">
      <c r="A646" s="12" t="inlineStr">
        <is>
          <t>CUL-0642</t>
        </is>
      </c>
      <c r="B646" s="11" t="n">
        <v>126</v>
      </c>
      <c r="C646" s="13" t="inlineStr">
        <is>
          <t>Nº 1119</t>
        </is>
      </c>
      <c r="D646" s="14" t="inlineStr">
        <is>
          <t>ROUNDUP ORIGINAL MAIS</t>
        </is>
      </c>
      <c r="E646" s="13" t="inlineStr">
        <is>
          <t>Pulverização Agrícola Conforme Bula</t>
        </is>
      </c>
      <c r="F646" s="13" t="inlineStr">
        <is>
          <t>Trigo (Pré-Plantio)</t>
        </is>
      </c>
      <c r="G646" s="13" t="inlineStr">
        <is>
          <t>Cultura Autorizada na Bula</t>
        </is>
      </c>
      <c r="H646" s="13" t="inlineStr">
        <is>
          <t>100 a 300 L/ha</t>
        </is>
      </c>
      <c r="I646" s="13" t="inlineStr">
        <is>
          <t>20 a 40 L/ha</t>
        </is>
      </c>
      <c r="J646" s="13" t="inlineStr">
        <is>
          <t>N/D</t>
        </is>
      </c>
    </row>
    <row r="647" ht="22" customHeight="1">
      <c r="A647" s="6" t="inlineStr">
        <is>
          <t>CUL-0643</t>
        </is>
      </c>
      <c r="B647" s="5" t="n">
        <v>126</v>
      </c>
      <c r="C647" s="7" t="inlineStr">
        <is>
          <t>Nº 1119</t>
        </is>
      </c>
      <c r="D647" s="8" t="inlineStr">
        <is>
          <t>ROUNDUP ORIGINAL MAIS</t>
        </is>
      </c>
      <c r="E647" s="7" t="inlineStr">
        <is>
          <t>Pulverização Agrícola Conforme Bula</t>
        </is>
      </c>
      <c r="F647" s="7" t="inlineStr">
        <is>
          <t>Pastagens</t>
        </is>
      </c>
      <c r="G647" s="7" t="inlineStr">
        <is>
          <t>Cultura Autorizada na Bula</t>
        </is>
      </c>
      <c r="H647" s="7" t="inlineStr">
        <is>
          <t>100 a 300 L/ha</t>
        </is>
      </c>
      <c r="I647" s="7" t="inlineStr">
        <is>
          <t>20 a 40 L/ha</t>
        </is>
      </c>
      <c r="J647" s="7" t="inlineStr">
        <is>
          <t>N/D</t>
        </is>
      </c>
    </row>
    <row r="648" ht="22" customHeight="1">
      <c r="A648" s="12" t="inlineStr">
        <is>
          <t>CUL-0644</t>
        </is>
      </c>
      <c r="B648" s="11" t="n">
        <v>127</v>
      </c>
      <c r="C648" s="13" t="inlineStr">
        <is>
          <t>Nº 9920</t>
        </is>
      </c>
      <c r="D648" s="14" t="inlineStr">
        <is>
          <t>SURRENA</t>
        </is>
      </c>
      <c r="E648" s="13" t="inlineStr">
        <is>
          <t>Pulverização Agrícola Conforme Bula</t>
        </is>
      </c>
      <c r="F648" s="13" t="inlineStr">
        <is>
          <t>Soja</t>
        </is>
      </c>
      <c r="G648" s="13" t="inlineStr">
        <is>
          <t>Cultura Autorizada na Bula</t>
        </is>
      </c>
      <c r="H648" s="13" t="inlineStr">
        <is>
          <t>100 a 300 L/ha</t>
        </is>
      </c>
      <c r="I648" s="13" t="inlineStr">
        <is>
          <t>20 a 40 L/ha</t>
        </is>
      </c>
      <c r="J648" s="13" t="inlineStr">
        <is>
          <t>60 dias</t>
        </is>
      </c>
    </row>
    <row r="649" ht="22" customHeight="1">
      <c r="A649" s="6" t="inlineStr">
        <is>
          <t>CUL-0645</t>
        </is>
      </c>
      <c r="B649" s="5" t="n">
        <v>127</v>
      </c>
      <c r="C649" s="7" t="inlineStr">
        <is>
          <t>Nº 9920</t>
        </is>
      </c>
      <c r="D649" s="8" t="inlineStr">
        <is>
          <t>SURRENA</t>
        </is>
      </c>
      <c r="E649" s="7" t="inlineStr">
        <is>
          <t>Pulverização Agrícola Conforme Bula</t>
        </is>
      </c>
      <c r="F649" s="7" t="inlineStr">
        <is>
          <t>Milho</t>
        </is>
      </c>
      <c r="G649" s="7" t="inlineStr">
        <is>
          <t>Cultura Autorizada na Bula</t>
        </is>
      </c>
      <c r="H649" s="7" t="inlineStr">
        <is>
          <t>100 a 300 L/ha</t>
        </is>
      </c>
      <c r="I649" s="7" t="inlineStr">
        <is>
          <t>20 a 40 L/ha</t>
        </is>
      </c>
      <c r="J649" s="7" t="inlineStr">
        <is>
          <t>45 dias</t>
        </is>
      </c>
    </row>
    <row r="650" ht="22" customHeight="1">
      <c r="A650" s="12" t="inlineStr">
        <is>
          <t>CUL-0646</t>
        </is>
      </c>
      <c r="B650" s="11" t="n">
        <v>127</v>
      </c>
      <c r="C650" s="13" t="inlineStr">
        <is>
          <t>Nº 9920</t>
        </is>
      </c>
      <c r="D650" s="14" t="inlineStr">
        <is>
          <t>SURRENA</t>
        </is>
      </c>
      <c r="E650" s="13" t="inlineStr">
        <is>
          <t>Pulverização Agrícola Conforme Bula</t>
        </is>
      </c>
      <c r="F650" s="13" t="inlineStr">
        <is>
          <t>Algodão</t>
        </is>
      </c>
      <c r="G650" s="13" t="inlineStr">
        <is>
          <t>Cultura Autorizada na Bula</t>
        </is>
      </c>
      <c r="H650" s="13" t="inlineStr">
        <is>
          <t>100 a 300 L/ha</t>
        </is>
      </c>
      <c r="I650" s="13" t="inlineStr">
        <is>
          <t>20 a 40 L/ha</t>
        </is>
      </c>
      <c r="J650" s="13" t="inlineStr">
        <is>
          <t>60 dias</t>
        </is>
      </c>
    </row>
    <row r="651" ht="22" customHeight="1">
      <c r="A651" s="6" t="inlineStr">
        <is>
          <t>CUL-0647</t>
        </is>
      </c>
      <c r="B651" s="5" t="n">
        <v>127</v>
      </c>
      <c r="C651" s="7" t="inlineStr">
        <is>
          <t>Nº 9920</t>
        </is>
      </c>
      <c r="D651" s="8" t="inlineStr">
        <is>
          <t>SURRENA</t>
        </is>
      </c>
      <c r="E651" s="7" t="inlineStr">
        <is>
          <t>Pulverização Agrícola Conforme Bula</t>
        </is>
      </c>
      <c r="F651" s="7" t="inlineStr">
        <is>
          <t>Cana-de-açúcar</t>
        </is>
      </c>
      <c r="G651" s="7" t="inlineStr">
        <is>
          <t>Cultura Autorizada na Bula</t>
        </is>
      </c>
      <c r="H651" s="7" t="inlineStr">
        <is>
          <t>100 a 300 L/ha</t>
        </is>
      </c>
      <c r="I651" s="7" t="inlineStr">
        <is>
          <t>20 a 40 L/ha</t>
        </is>
      </c>
      <c r="J651" s="7" t="inlineStr">
        <is>
          <t>90 dias</t>
        </is>
      </c>
    </row>
    <row r="652" ht="22" customHeight="1">
      <c r="A652" s="12" t="inlineStr">
        <is>
          <t>CUL-0648</t>
        </is>
      </c>
      <c r="B652" s="11" t="n">
        <v>128</v>
      </c>
      <c r="C652" s="13" t="inlineStr">
        <is>
          <t>Nº 2020</t>
        </is>
      </c>
      <c r="D652" s="14" t="inlineStr">
        <is>
          <t>SAMURAI</t>
        </is>
      </c>
      <c r="E652" s="13" t="inlineStr">
        <is>
          <t>Pulverização Agrícola Conforme Bula</t>
        </is>
      </c>
      <c r="F652" s="13" t="inlineStr">
        <is>
          <t>Soja</t>
        </is>
      </c>
      <c r="G652" s="13" t="inlineStr">
        <is>
          <t>Cultura Autorizada na Bula</t>
        </is>
      </c>
      <c r="H652" s="13" t="inlineStr">
        <is>
          <t>100 a 300 L/ha</t>
        </is>
      </c>
      <c r="I652" s="13" t="inlineStr">
        <is>
          <t>20 a 40 L/ha</t>
        </is>
      </c>
      <c r="J652" s="13" t="inlineStr">
        <is>
          <t>14 dias</t>
        </is>
      </c>
    </row>
    <row r="653" ht="22" customHeight="1">
      <c r="A653" s="6" t="inlineStr">
        <is>
          <t>CUL-0649</t>
        </is>
      </c>
      <c r="B653" s="5" t="n">
        <v>128</v>
      </c>
      <c r="C653" s="7" t="inlineStr">
        <is>
          <t>Nº 2020</t>
        </is>
      </c>
      <c r="D653" s="8" t="inlineStr">
        <is>
          <t>SAMURAI</t>
        </is>
      </c>
      <c r="E653" s="7" t="inlineStr">
        <is>
          <t>Pulverização Agrícola Conforme Bula</t>
        </is>
      </c>
      <c r="F653" s="7" t="inlineStr">
        <is>
          <t>Milho</t>
        </is>
      </c>
      <c r="G653" s="7" t="inlineStr">
        <is>
          <t>Cultura Autorizada na Bula</t>
        </is>
      </c>
      <c r="H653" s="7" t="inlineStr">
        <is>
          <t>100 a 300 L/ha</t>
        </is>
      </c>
      <c r="I653" s="7" t="inlineStr">
        <is>
          <t>20 a 40 L/ha</t>
        </is>
      </c>
      <c r="J653" s="7" t="inlineStr">
        <is>
          <t>15 dias</t>
        </is>
      </c>
    </row>
    <row r="654" ht="22" customHeight="1">
      <c r="A654" s="12" t="inlineStr">
        <is>
          <t>CUL-0650</t>
        </is>
      </c>
      <c r="B654" s="11" t="n">
        <v>128</v>
      </c>
      <c r="C654" s="13" t="inlineStr">
        <is>
          <t>Nº 2020</t>
        </is>
      </c>
      <c r="D654" s="14" t="inlineStr">
        <is>
          <t>SAMURAI</t>
        </is>
      </c>
      <c r="E654" s="13" t="inlineStr">
        <is>
          <t>Pulverização Agrícola Conforme Bula</t>
        </is>
      </c>
      <c r="F654" s="13" t="inlineStr">
        <is>
          <t>Algodão</t>
        </is>
      </c>
      <c r="G654" s="13" t="inlineStr">
        <is>
          <t>Cultura Autorizada na Bula</t>
        </is>
      </c>
      <c r="H654" s="13" t="inlineStr">
        <is>
          <t>100 a 300 L/ha</t>
        </is>
      </c>
      <c r="I654" s="13" t="inlineStr">
        <is>
          <t>20 a 40 L/ha</t>
        </is>
      </c>
      <c r="J654" s="13" t="inlineStr">
        <is>
          <t>7 dias</t>
        </is>
      </c>
    </row>
    <row r="655" ht="22" customHeight="1">
      <c r="A655" s="6" t="inlineStr">
        <is>
          <t>CUL-0651</t>
        </is>
      </c>
      <c r="B655" s="5" t="n">
        <v>128</v>
      </c>
      <c r="C655" s="7" t="inlineStr">
        <is>
          <t>Nº 2020</t>
        </is>
      </c>
      <c r="D655" s="8" t="inlineStr">
        <is>
          <t>SAMURAI</t>
        </is>
      </c>
      <c r="E655" s="7" t="inlineStr">
        <is>
          <t>Pulverização Agrícola Conforme Bula</t>
        </is>
      </c>
      <c r="F655" s="7" t="inlineStr">
        <is>
          <t>Café</t>
        </is>
      </c>
      <c r="G655" s="7" t="inlineStr">
        <is>
          <t>Cultura Autorizada na Bula</t>
        </is>
      </c>
      <c r="H655" s="7" t="inlineStr">
        <is>
          <t>100 a 300 L/ha</t>
        </is>
      </c>
      <c r="I655" s="7" t="inlineStr">
        <is>
          <t>20 a 40 L/ha</t>
        </is>
      </c>
      <c r="J655" s="7" t="inlineStr">
        <is>
          <t>1 dias</t>
        </is>
      </c>
    </row>
    <row r="656" ht="22" customHeight="1">
      <c r="A656" s="12" t="inlineStr">
        <is>
          <t>CUL-0652</t>
        </is>
      </c>
      <c r="B656" s="11" t="n">
        <v>128</v>
      </c>
      <c r="C656" s="13" t="inlineStr">
        <is>
          <t>Nº 2020</t>
        </is>
      </c>
      <c r="D656" s="14" t="inlineStr">
        <is>
          <t>SAMURAI</t>
        </is>
      </c>
      <c r="E656" s="13" t="inlineStr">
        <is>
          <t>Pulverização Agrícola Conforme Bula</t>
        </is>
      </c>
      <c r="F656" s="13" t="inlineStr">
        <is>
          <t>Feijão</t>
        </is>
      </c>
      <c r="G656" s="13" t="inlineStr">
        <is>
          <t>Cultura Autorizada na Bula</t>
        </is>
      </c>
      <c r="H656" s="13" t="inlineStr">
        <is>
          <t>100 a 300 L/ha</t>
        </is>
      </c>
      <c r="I656" s="13" t="inlineStr">
        <is>
          <t>20 a 40 L/ha</t>
        </is>
      </c>
      <c r="J656" s="13" t="inlineStr">
        <is>
          <t>15 dias</t>
        </is>
      </c>
    </row>
    <row r="657" ht="22" customHeight="1">
      <c r="A657" s="6" t="inlineStr">
        <is>
          <t>CUL-0653</t>
        </is>
      </c>
      <c r="B657" s="5" t="n">
        <v>128</v>
      </c>
      <c r="C657" s="7" t="inlineStr">
        <is>
          <t>Nº 2020</t>
        </is>
      </c>
      <c r="D657" s="8" t="inlineStr">
        <is>
          <t>SAMURAI</t>
        </is>
      </c>
      <c r="E657" s="7" t="inlineStr">
        <is>
          <t>Pulverização Agrícola Conforme Bula</t>
        </is>
      </c>
      <c r="F657" s="7" t="inlineStr">
        <is>
          <t>Trigo</t>
        </is>
      </c>
      <c r="G657" s="7" t="inlineStr">
        <is>
          <t>Cultura Autorizada na Bula</t>
        </is>
      </c>
      <c r="H657" s="7" t="inlineStr">
        <is>
          <t>100 a 300 L/ha</t>
        </is>
      </c>
      <c r="I657" s="7" t="inlineStr">
        <is>
          <t>20 a 40 L/ha</t>
        </is>
      </c>
      <c r="J657" s="7" t="inlineStr">
        <is>
          <t>21 dias</t>
        </is>
      </c>
    </row>
    <row r="658" ht="22" customHeight="1">
      <c r="A658" s="12" t="inlineStr">
        <is>
          <t>CUL-0654</t>
        </is>
      </c>
      <c r="B658" s="11" t="n">
        <v>128</v>
      </c>
      <c r="C658" s="13" t="inlineStr">
        <is>
          <t>Nº 2020</t>
        </is>
      </c>
      <c r="D658" s="14" t="inlineStr">
        <is>
          <t>SAMURAI</t>
        </is>
      </c>
      <c r="E658" s="13" t="inlineStr">
        <is>
          <t>Pulverização Agrícola Conforme Bula</t>
        </is>
      </c>
      <c r="F658" s="13" t="inlineStr">
        <is>
          <t>Cana-de-açúcar</t>
        </is>
      </c>
      <c r="G658" s="13" t="inlineStr">
        <is>
          <t>Cultura Autorizada na Bula</t>
        </is>
      </c>
      <c r="H658" s="13" t="inlineStr">
        <is>
          <t>100 a 300 L/ha</t>
        </is>
      </c>
      <c r="I658" s="13" t="inlineStr">
        <is>
          <t>20 a 40 L/ha</t>
        </is>
      </c>
      <c r="J658" s="13" t="inlineStr">
        <is>
          <t>21 dias</t>
        </is>
      </c>
    </row>
    <row r="659" ht="22" customHeight="1">
      <c r="A659" s="6" t="inlineStr">
        <is>
          <t>CUL-0655</t>
        </is>
      </c>
      <c r="B659" s="5" t="n">
        <v>129</v>
      </c>
      <c r="C659" s="7" t="inlineStr">
        <is>
          <t>Nº 0315</t>
        </is>
      </c>
      <c r="D659" s="8" t="inlineStr">
        <is>
          <t>AGCN 2,4-D</t>
        </is>
      </c>
      <c r="E659" s="7" t="inlineStr">
        <is>
          <t>Pulverização Agrícola Conforme Bula</t>
        </is>
      </c>
      <c r="F659" s="7" t="inlineStr">
        <is>
          <t>Soja (Dessecação Pré-Plantio)</t>
        </is>
      </c>
      <c r="G659" s="7" t="inlineStr">
        <is>
          <t>Cultura Autorizada na Bula</t>
        </is>
      </c>
      <c r="H659" s="7" t="inlineStr">
        <is>
          <t>100 a 300 L/ha</t>
        </is>
      </c>
      <c r="I659" s="7" t="inlineStr">
        <is>
          <t>20 a 40 L/ha</t>
        </is>
      </c>
      <c r="J659" s="7" t="inlineStr">
        <is>
          <t>N/D</t>
        </is>
      </c>
    </row>
    <row r="660" ht="22" customHeight="1">
      <c r="A660" s="12" t="inlineStr">
        <is>
          <t>CUL-0656</t>
        </is>
      </c>
      <c r="B660" s="11" t="n">
        <v>129</v>
      </c>
      <c r="C660" s="13" t="inlineStr">
        <is>
          <t>Nº 0315</t>
        </is>
      </c>
      <c r="D660" s="14" t="inlineStr">
        <is>
          <t>AGCN 2,4-D</t>
        </is>
      </c>
      <c r="E660" s="13" t="inlineStr">
        <is>
          <t>Pulverização Agrícola Conforme Bula</t>
        </is>
      </c>
      <c r="F660" s="13" t="inlineStr">
        <is>
          <t>Milho</t>
        </is>
      </c>
      <c r="G660" s="13" t="inlineStr">
        <is>
          <t>Cultura Autorizada na Bula</t>
        </is>
      </c>
      <c r="H660" s="13" t="inlineStr">
        <is>
          <t>100 a 300 L/ha</t>
        </is>
      </c>
      <c r="I660" s="13" t="inlineStr">
        <is>
          <t>20 a 40 L/ha</t>
        </is>
      </c>
      <c r="J660" s="13" t="inlineStr">
        <is>
          <t>40 dias</t>
        </is>
      </c>
    </row>
    <row r="661" ht="22" customHeight="1">
      <c r="A661" s="6" t="inlineStr">
        <is>
          <t>CUL-0657</t>
        </is>
      </c>
      <c r="B661" s="5" t="n">
        <v>129</v>
      </c>
      <c r="C661" s="7" t="inlineStr">
        <is>
          <t>Nº 0315</t>
        </is>
      </c>
      <c r="D661" s="8" t="inlineStr">
        <is>
          <t>AGCN 2,4-D</t>
        </is>
      </c>
      <c r="E661" s="7" t="inlineStr">
        <is>
          <t>Pulverização Agrícola Conforme Bula</t>
        </is>
      </c>
      <c r="F661" s="7" t="inlineStr">
        <is>
          <t>Cana-de-açúcar</t>
        </is>
      </c>
      <c r="G661" s="7" t="inlineStr">
        <is>
          <t>Cultura Autorizada na Bula</t>
        </is>
      </c>
      <c r="H661" s="7" t="inlineStr">
        <is>
          <t>100 a 300 L/ha</t>
        </is>
      </c>
      <c r="I661" s="7" t="inlineStr">
        <is>
          <t>20 a 40 L/ha</t>
        </is>
      </c>
      <c r="J661" s="7" t="inlineStr">
        <is>
          <t>N/D</t>
        </is>
      </c>
    </row>
    <row r="662" ht="22" customHeight="1">
      <c r="A662" s="12" t="inlineStr">
        <is>
          <t>CUL-0658</t>
        </is>
      </c>
      <c r="B662" s="11" t="n">
        <v>129</v>
      </c>
      <c r="C662" s="13" t="inlineStr">
        <is>
          <t>Nº 0315</t>
        </is>
      </c>
      <c r="D662" s="14" t="inlineStr">
        <is>
          <t>AGCN 2,4-D</t>
        </is>
      </c>
      <c r="E662" s="13" t="inlineStr">
        <is>
          <t>Pulverização Agrícola Conforme Bula</t>
        </is>
      </c>
      <c r="F662" s="13" t="inlineStr">
        <is>
          <t>Trigo</t>
        </is>
      </c>
      <c r="G662" s="13" t="inlineStr">
        <is>
          <t>Cultura Autorizada na Bula</t>
        </is>
      </c>
      <c r="H662" s="13" t="inlineStr">
        <is>
          <t>100 a 300 L/ha</t>
        </is>
      </c>
      <c r="I662" s="13" t="inlineStr">
        <is>
          <t>20 a 40 L/ha</t>
        </is>
      </c>
      <c r="J662" s="13" t="inlineStr">
        <is>
          <t>45 dias</t>
        </is>
      </c>
    </row>
    <row r="663" ht="22" customHeight="1">
      <c r="A663" s="6" t="inlineStr">
        <is>
          <t>CUL-0659</t>
        </is>
      </c>
      <c r="B663" s="5" t="n">
        <v>129</v>
      </c>
      <c r="C663" s="7" t="inlineStr">
        <is>
          <t>Nº 0315</t>
        </is>
      </c>
      <c r="D663" s="8" t="inlineStr">
        <is>
          <t>AGCN 2,4-D</t>
        </is>
      </c>
      <c r="E663" s="7" t="inlineStr">
        <is>
          <t>Pulverização Agrícola Conforme Bula</t>
        </is>
      </c>
      <c r="F663" s="7" t="inlineStr">
        <is>
          <t>Pastagens</t>
        </is>
      </c>
      <c r="G663" s="7" t="inlineStr">
        <is>
          <t>Cultura Autorizada na Bula</t>
        </is>
      </c>
      <c r="H663" s="7" t="inlineStr">
        <is>
          <t>100 a 300 L/ha</t>
        </is>
      </c>
      <c r="I663" s="7" t="inlineStr">
        <is>
          <t>20 a 40 L/ha</t>
        </is>
      </c>
      <c r="J663" s="7" t="inlineStr">
        <is>
          <t>N/D</t>
        </is>
      </c>
    </row>
    <row r="664" ht="22" customHeight="1">
      <c r="A664" s="12" t="inlineStr">
        <is>
          <t>CUL-0660</t>
        </is>
      </c>
      <c r="B664" s="11" t="n">
        <v>130</v>
      </c>
      <c r="C664" s="13" t="inlineStr">
        <is>
          <t>SIPEAGRO (UF-XXXXX)</t>
        </is>
      </c>
      <c r="D664" s="14" t="inlineStr">
        <is>
          <t>TOTALNITRO FEIJAO 8X1,5L (DOSE)</t>
        </is>
      </c>
      <c r="E664" s="13" t="inlineStr">
        <is>
          <t>Pulverização Agrícola Conforme Bula</t>
        </is>
      </c>
      <c r="F664" s="13" t="inlineStr">
        <is>
          <t>Soja</t>
        </is>
      </c>
      <c r="G664" s="13" t="inlineStr">
        <is>
          <t>Cultura Autorizada na Bula</t>
        </is>
      </c>
      <c r="H664" s="13" t="inlineStr">
        <is>
          <t>100 a 300 L/ha</t>
        </is>
      </c>
      <c r="I664" s="13" t="inlineStr">
        <is>
          <t>20 a 40 L/ha</t>
        </is>
      </c>
      <c r="J664" s="13" t="inlineStr">
        <is>
          <t>0 (Isento)</t>
        </is>
      </c>
    </row>
    <row r="665" ht="22" customHeight="1">
      <c r="A665" s="6" t="inlineStr">
        <is>
          <t>CUL-0661</t>
        </is>
      </c>
      <c r="B665" s="5" t="n">
        <v>130</v>
      </c>
      <c r="C665" s="7" t="inlineStr">
        <is>
          <t>SIPEAGRO (UF-XXXXX)</t>
        </is>
      </c>
      <c r="D665" s="8" t="inlineStr">
        <is>
          <t>TOTALNITRO FEIJAO 8X1,5L (DOSE)</t>
        </is>
      </c>
      <c r="E665" s="7" t="inlineStr">
        <is>
          <t>Pulverização Agrícola Conforme Bula</t>
        </is>
      </c>
      <c r="F665" s="7" t="inlineStr">
        <is>
          <t>Milho</t>
        </is>
      </c>
      <c r="G665" s="7" t="inlineStr">
        <is>
          <t>Cultura Autorizada na Bula</t>
        </is>
      </c>
      <c r="H665" s="7" t="inlineStr">
        <is>
          <t>100 a 300 L/ha</t>
        </is>
      </c>
      <c r="I665" s="7" t="inlineStr">
        <is>
          <t>20 a 40 L/ha</t>
        </is>
      </c>
      <c r="J665" s="7" t="inlineStr">
        <is>
          <t>0 (Isento)</t>
        </is>
      </c>
    </row>
    <row r="666" ht="22" customHeight="1">
      <c r="A666" s="12" t="inlineStr">
        <is>
          <t>CUL-0662</t>
        </is>
      </c>
      <c r="B666" s="11" t="n">
        <v>130</v>
      </c>
      <c r="C666" s="13" t="inlineStr">
        <is>
          <t>SIPEAGRO (UF-XXXXX)</t>
        </is>
      </c>
      <c r="D666" s="14" t="inlineStr">
        <is>
          <t>TOTALNITRO FEIJAO 8X1,5L (DOSE)</t>
        </is>
      </c>
      <c r="E666" s="13" t="inlineStr">
        <is>
          <t>Pulverização Agrícola Conforme Bula</t>
        </is>
      </c>
      <c r="F666" s="13" t="inlineStr">
        <is>
          <t>Feijão</t>
        </is>
      </c>
      <c r="G666" s="13" t="inlineStr">
        <is>
          <t>Cultura Autorizada na Bula</t>
        </is>
      </c>
      <c r="H666" s="13" t="inlineStr">
        <is>
          <t>100 a 300 L/ha</t>
        </is>
      </c>
      <c r="I666" s="13" t="inlineStr">
        <is>
          <t>20 a 40 L/ha</t>
        </is>
      </c>
      <c r="J666" s="13" t="inlineStr">
        <is>
          <t>0 (Isento)</t>
        </is>
      </c>
    </row>
    <row r="667" ht="22" customHeight="1">
      <c r="A667" s="6" t="inlineStr">
        <is>
          <t>CUL-0663</t>
        </is>
      </c>
      <c r="B667" s="5" t="n">
        <v>130</v>
      </c>
      <c r="C667" s="7" t="inlineStr">
        <is>
          <t>SIPEAGRO (UF-XXXXX)</t>
        </is>
      </c>
      <c r="D667" s="8" t="inlineStr">
        <is>
          <t>TOTALNITRO FEIJAO 8X1,5L (DOSE)</t>
        </is>
      </c>
      <c r="E667" s="7" t="inlineStr">
        <is>
          <t>Pulverização Agrícola Conforme Bula</t>
        </is>
      </c>
      <c r="F667" s="7" t="inlineStr">
        <is>
          <t>Algodão</t>
        </is>
      </c>
      <c r="G667" s="7" t="inlineStr">
        <is>
          <t>Cultura Autorizada na Bula</t>
        </is>
      </c>
      <c r="H667" s="7" t="inlineStr">
        <is>
          <t>100 a 300 L/ha</t>
        </is>
      </c>
      <c r="I667" s="7" t="inlineStr">
        <is>
          <t>20 a 40 L/ha</t>
        </is>
      </c>
      <c r="J667" s="7" t="inlineStr">
        <is>
          <t>0 (Isento)</t>
        </is>
      </c>
    </row>
    <row r="668" ht="22" customHeight="1">
      <c r="A668" s="12" t="inlineStr">
        <is>
          <t>CUL-0664</t>
        </is>
      </c>
      <c r="B668" s="11" t="n">
        <v>131</v>
      </c>
      <c r="C668" s="13" t="inlineStr">
        <is>
          <t>Nº 0120</t>
        </is>
      </c>
      <c r="D668" s="14" t="inlineStr">
        <is>
          <t>GLUCARE</t>
        </is>
      </c>
      <c r="E668" s="13" t="inlineStr">
        <is>
          <t>Pulverização Agrícola Conforme Bula</t>
        </is>
      </c>
      <c r="F668" s="13" t="inlineStr">
        <is>
          <t>Soja (Pré-Plantio / OGM)</t>
        </is>
      </c>
      <c r="G668" s="13" t="inlineStr">
        <is>
          <t>Cultura Autorizada na Bula</t>
        </is>
      </c>
      <c r="H668" s="13" t="inlineStr">
        <is>
          <t>100 a 300 L/ha</t>
        </is>
      </c>
      <c r="I668" s="13" t="inlineStr">
        <is>
          <t>20 a 40 L/ha</t>
        </is>
      </c>
      <c r="J668" s="13" t="inlineStr">
        <is>
          <t>60 dias</t>
        </is>
      </c>
    </row>
    <row r="669" ht="22" customHeight="1">
      <c r="A669" s="6" t="inlineStr">
        <is>
          <t>CUL-0665</t>
        </is>
      </c>
      <c r="B669" s="5" t="n">
        <v>131</v>
      </c>
      <c r="C669" s="7" t="inlineStr">
        <is>
          <t>Nº 0120</t>
        </is>
      </c>
      <c r="D669" s="8" t="inlineStr">
        <is>
          <t>GLUCARE</t>
        </is>
      </c>
      <c r="E669" s="7" t="inlineStr">
        <is>
          <t>Pulverização Agrícola Conforme Bula</t>
        </is>
      </c>
      <c r="F669" s="7" t="inlineStr">
        <is>
          <t>Milho (Pré-Plantio / OGM)</t>
        </is>
      </c>
      <c r="G669" s="7" t="inlineStr">
        <is>
          <t>Cultura Autorizada na Bula</t>
        </is>
      </c>
      <c r="H669" s="7" t="inlineStr">
        <is>
          <t>100 a 300 L/ha</t>
        </is>
      </c>
      <c r="I669" s="7" t="inlineStr">
        <is>
          <t>20 a 40 L/ha</t>
        </is>
      </c>
      <c r="J669" s="7" t="inlineStr">
        <is>
          <t>40 dias</t>
        </is>
      </c>
    </row>
    <row r="670" ht="22" customHeight="1">
      <c r="A670" s="12" t="inlineStr">
        <is>
          <t>CUL-0666</t>
        </is>
      </c>
      <c r="B670" s="11" t="n">
        <v>131</v>
      </c>
      <c r="C670" s="13" t="inlineStr">
        <is>
          <t>Nº 0120</t>
        </is>
      </c>
      <c r="D670" s="14" t="inlineStr">
        <is>
          <t>GLUCARE</t>
        </is>
      </c>
      <c r="E670" s="13" t="inlineStr">
        <is>
          <t>Pulverização Agrícola Conforme Bula</t>
        </is>
      </c>
      <c r="F670" s="13" t="inlineStr">
        <is>
          <t>Algodão (Pré-Plantio / OGM / Desfolha)</t>
        </is>
      </c>
      <c r="G670" s="13" t="inlineStr">
        <is>
          <t>Cultura Autorizada na Bula</t>
        </is>
      </c>
      <c r="H670" s="13" t="inlineStr">
        <is>
          <t>100 a 300 L/ha</t>
        </is>
      </c>
      <c r="I670" s="13" t="inlineStr">
        <is>
          <t>20 a 40 L/ha</t>
        </is>
      </c>
      <c r="J670" s="13" t="inlineStr">
        <is>
          <t>15 dias</t>
        </is>
      </c>
    </row>
    <row r="671" ht="22" customHeight="1">
      <c r="A671" s="6" t="inlineStr">
        <is>
          <t>CUL-0667</t>
        </is>
      </c>
      <c r="B671" s="5" t="n">
        <v>131</v>
      </c>
      <c r="C671" s="7" t="inlineStr">
        <is>
          <t>Nº 0120</t>
        </is>
      </c>
      <c r="D671" s="8" t="inlineStr">
        <is>
          <t>GLUCARE</t>
        </is>
      </c>
      <c r="E671" s="7" t="inlineStr">
        <is>
          <t>Pulverização Agrícola Conforme Bula</t>
        </is>
      </c>
      <c r="F671" s="7" t="inlineStr">
        <is>
          <t>Café (Jato Dirigido)</t>
        </is>
      </c>
      <c r="G671" s="7" t="inlineStr">
        <is>
          <t>Cultura Autorizada na Bula</t>
        </is>
      </c>
      <c r="H671" s="7" t="inlineStr">
        <is>
          <t>100 a 300 L/ha</t>
        </is>
      </c>
      <c r="I671" s="7" t="inlineStr">
        <is>
          <t>20 a 40 L/ha</t>
        </is>
      </c>
      <c r="J671" s="7" t="inlineStr">
        <is>
          <t>20 dias</t>
        </is>
      </c>
    </row>
    <row r="672" ht="22" customHeight="1">
      <c r="A672" s="12" t="inlineStr">
        <is>
          <t>CUL-0668</t>
        </is>
      </c>
      <c r="B672" s="11" t="n">
        <v>131</v>
      </c>
      <c r="C672" s="13" t="inlineStr">
        <is>
          <t>Nº 0120</t>
        </is>
      </c>
      <c r="D672" s="14" t="inlineStr">
        <is>
          <t>GLUCARE</t>
        </is>
      </c>
      <c r="E672" s="13" t="inlineStr">
        <is>
          <t>Pulverização Agrícola Conforme Bula</t>
        </is>
      </c>
      <c r="F672" s="13" t="inlineStr">
        <is>
          <t>Citros (Jato Dirigido)</t>
        </is>
      </c>
      <c r="G672" s="13" t="inlineStr">
        <is>
          <t>Cultura Autorizada na Bula</t>
        </is>
      </c>
      <c r="H672" s="13" t="inlineStr">
        <is>
          <t>100 a 300 L/ha</t>
        </is>
      </c>
      <c r="I672" s="13" t="inlineStr">
        <is>
          <t>20 a 40 L/ha</t>
        </is>
      </c>
      <c r="J672" s="13" t="inlineStr">
        <is>
          <t>40 dias</t>
        </is>
      </c>
    </row>
    <row r="673" ht="22" customHeight="1">
      <c r="A673" s="6" t="inlineStr">
        <is>
          <t>CUL-0669</t>
        </is>
      </c>
      <c r="B673" s="5" t="n">
        <v>131</v>
      </c>
      <c r="C673" s="7" t="inlineStr">
        <is>
          <t>Nº 0120</t>
        </is>
      </c>
      <c r="D673" s="8" t="inlineStr">
        <is>
          <t>GLUCARE</t>
        </is>
      </c>
      <c r="E673" s="7" t="inlineStr">
        <is>
          <t>Pulverização Agrícola Conforme Bula</t>
        </is>
      </c>
      <c r="F673" s="7" t="inlineStr">
        <is>
          <t>Trigo</t>
        </is>
      </c>
      <c r="G673" s="7" t="inlineStr">
        <is>
          <t>Cultura Autorizada na Bula</t>
        </is>
      </c>
      <c r="H673" s="7" t="inlineStr">
        <is>
          <t>100 a 300 L/ha</t>
        </is>
      </c>
      <c r="I673" s="7" t="inlineStr">
        <is>
          <t>20 a 40 L/ha</t>
        </is>
      </c>
      <c r="J673" s="7" t="inlineStr">
        <is>
          <t>N/D</t>
        </is>
      </c>
    </row>
    <row r="674" ht="22" customHeight="1">
      <c r="A674" s="12" t="inlineStr">
        <is>
          <t>CUL-0670</t>
        </is>
      </c>
      <c r="B674" s="11" t="n">
        <v>132</v>
      </c>
      <c r="C674" s="13" t="inlineStr">
        <is>
          <t>Nº 31817</t>
        </is>
      </c>
      <c r="D674" s="14" t="inlineStr">
        <is>
          <t>RAINIL</t>
        </is>
      </c>
      <c r="E674" s="13" t="inlineStr">
        <is>
          <t>Tratamento de Sementes / Sulco</t>
        </is>
      </c>
      <c r="F674" s="13" t="inlineStr">
        <is>
          <t>Soja (Trat. Sementes / Sulco)</t>
        </is>
      </c>
      <c r="G674" s="13" t="inlineStr">
        <is>
          <t>Cultura Autorizada na Bula</t>
        </is>
      </c>
      <c r="H674" s="13" t="inlineStr">
        <is>
          <t>Calda TS (0,2 a 0,6 L/100kg sem.)</t>
        </is>
      </c>
      <c r="I674" s="13" t="inlineStr">
        <is>
          <t>Não Autorizada (TS)</t>
        </is>
      </c>
      <c r="J674" s="13" t="inlineStr">
        <is>
          <t>N/D</t>
        </is>
      </c>
    </row>
    <row r="675" ht="22" customHeight="1">
      <c r="A675" s="6" t="inlineStr">
        <is>
          <t>CUL-0671</t>
        </is>
      </c>
      <c r="B675" s="5" t="n">
        <v>132</v>
      </c>
      <c r="C675" s="7" t="inlineStr">
        <is>
          <t>Nº 31817</t>
        </is>
      </c>
      <c r="D675" s="8" t="inlineStr">
        <is>
          <t>RAINIL</t>
        </is>
      </c>
      <c r="E675" s="7" t="inlineStr">
        <is>
          <t>Tratamento de Sementes / Sulco</t>
        </is>
      </c>
      <c r="F675" s="7" t="inlineStr">
        <is>
          <t>Milho (Trat. Sementes)</t>
        </is>
      </c>
      <c r="G675" s="7" t="inlineStr">
        <is>
          <t>Cultura Autorizada na Bula</t>
        </is>
      </c>
      <c r="H675" s="7" t="inlineStr">
        <is>
          <t>Calda TS (0,2 a 0,6 L/100kg sem.)</t>
        </is>
      </c>
      <c r="I675" s="7" t="inlineStr">
        <is>
          <t>Não Autorizada (TS)</t>
        </is>
      </c>
      <c r="J675" s="7" t="inlineStr">
        <is>
          <t>N/D</t>
        </is>
      </c>
    </row>
    <row r="676" ht="22" customHeight="1">
      <c r="A676" s="12" t="inlineStr">
        <is>
          <t>CUL-0672</t>
        </is>
      </c>
      <c r="B676" s="11" t="n">
        <v>132</v>
      </c>
      <c r="C676" s="13" t="inlineStr">
        <is>
          <t>Nº 31817</t>
        </is>
      </c>
      <c r="D676" s="14" t="inlineStr">
        <is>
          <t>RAINIL</t>
        </is>
      </c>
      <c r="E676" s="13" t="inlineStr">
        <is>
          <t>Tratamento de Sementes / Sulco</t>
        </is>
      </c>
      <c r="F676" s="13" t="inlineStr">
        <is>
          <t>Algodão</t>
        </is>
      </c>
      <c r="G676" s="13" t="inlineStr">
        <is>
          <t>Cultura Autorizada na Bula</t>
        </is>
      </c>
      <c r="H676" s="13" t="inlineStr">
        <is>
          <t>Calda TS (0,2 a 0,6 L/100kg sem.)</t>
        </is>
      </c>
      <c r="I676" s="13" t="inlineStr">
        <is>
          <t>Não Autorizada (TS)</t>
        </is>
      </c>
      <c r="J676" s="13" t="inlineStr">
        <is>
          <t>N/D</t>
        </is>
      </c>
    </row>
    <row r="677" ht="22" customHeight="1">
      <c r="A677" s="6" t="inlineStr">
        <is>
          <t>CUL-0673</t>
        </is>
      </c>
      <c r="B677" s="5" t="n">
        <v>132</v>
      </c>
      <c r="C677" s="7" t="inlineStr">
        <is>
          <t>Nº 31817</t>
        </is>
      </c>
      <c r="D677" s="8" t="inlineStr">
        <is>
          <t>RAINIL</t>
        </is>
      </c>
      <c r="E677" s="7" t="inlineStr">
        <is>
          <t>Tratamento de Sementes / Sulco</t>
        </is>
      </c>
      <c r="F677" s="7" t="inlineStr">
        <is>
          <t>Cana-de-açúcar (Sulco)</t>
        </is>
      </c>
      <c r="G677" s="7" t="inlineStr">
        <is>
          <t>Cultura Autorizada na Bula</t>
        </is>
      </c>
      <c r="H677" s="7" t="inlineStr">
        <is>
          <t>Calda TS (0,2 a 0,6 L/100kg sem.)</t>
        </is>
      </c>
      <c r="I677" s="7" t="inlineStr">
        <is>
          <t>Não Autorizada (TS)</t>
        </is>
      </c>
      <c r="J677" s="7" t="inlineStr">
        <is>
          <t>N/D</t>
        </is>
      </c>
    </row>
    <row r="678" ht="22" customHeight="1">
      <c r="A678" s="12" t="inlineStr">
        <is>
          <t>CUL-0674</t>
        </is>
      </c>
      <c r="B678" s="11" t="n">
        <v>132</v>
      </c>
      <c r="C678" s="13" t="inlineStr">
        <is>
          <t>Nº 31817</t>
        </is>
      </c>
      <c r="D678" s="14" t="inlineStr">
        <is>
          <t>RAINIL</t>
        </is>
      </c>
      <c r="E678" s="13" t="inlineStr">
        <is>
          <t>Tratamento de Sementes / Sulco</t>
        </is>
      </c>
      <c r="F678" s="13" t="inlineStr">
        <is>
          <t>Arroz</t>
        </is>
      </c>
      <c r="G678" s="13" t="inlineStr">
        <is>
          <t>Cultura Autorizada na Bula</t>
        </is>
      </c>
      <c r="H678" s="13" t="inlineStr">
        <is>
          <t>Calda TS (0,2 a 0,6 L/100kg sem.)</t>
        </is>
      </c>
      <c r="I678" s="13" t="inlineStr">
        <is>
          <t>Não Autorizada (TS)</t>
        </is>
      </c>
      <c r="J678" s="13" t="inlineStr">
        <is>
          <t>N/D</t>
        </is>
      </c>
    </row>
    <row r="679" ht="22" customHeight="1">
      <c r="A679" s="6" t="inlineStr">
        <is>
          <t>CUL-0675</t>
        </is>
      </c>
      <c r="B679" s="5" t="n">
        <v>132</v>
      </c>
      <c r="C679" s="7" t="inlineStr">
        <is>
          <t>Nº 31817</t>
        </is>
      </c>
      <c r="D679" s="8" t="inlineStr">
        <is>
          <t>RAINIL</t>
        </is>
      </c>
      <c r="E679" s="7" t="inlineStr">
        <is>
          <t>Tratamento de Sementes / Sulco</t>
        </is>
      </c>
      <c r="F679" s="7" t="inlineStr">
        <is>
          <t>Feijão</t>
        </is>
      </c>
      <c r="G679" s="7" t="inlineStr">
        <is>
          <t>Cultura Autorizada na Bula</t>
        </is>
      </c>
      <c r="H679" s="7" t="inlineStr">
        <is>
          <t>Calda TS (0,2 a 0,6 L/100kg sem.)</t>
        </is>
      </c>
      <c r="I679" s="7" t="inlineStr">
        <is>
          <t>Não Autorizada (TS)</t>
        </is>
      </c>
      <c r="J679" s="7" t="inlineStr">
        <is>
          <t>N/D</t>
        </is>
      </c>
    </row>
    <row r="680" ht="22" customHeight="1">
      <c r="A680" s="12" t="inlineStr">
        <is>
          <t>CUL-0676</t>
        </is>
      </c>
      <c r="B680" s="11" t="n">
        <v>132</v>
      </c>
      <c r="C680" s="13" t="inlineStr">
        <is>
          <t>Nº 31817</t>
        </is>
      </c>
      <c r="D680" s="14" t="inlineStr">
        <is>
          <t>RAINIL</t>
        </is>
      </c>
      <c r="E680" s="13" t="inlineStr">
        <is>
          <t>Tratamento de Sementes / Sulco</t>
        </is>
      </c>
      <c r="F680" s="13" t="inlineStr">
        <is>
          <t>Pastagens</t>
        </is>
      </c>
      <c r="G680" s="13" t="inlineStr">
        <is>
          <t>Cultura Autorizada na Bula</t>
        </is>
      </c>
      <c r="H680" s="13" t="inlineStr">
        <is>
          <t>Calda TS (0,2 a 0,6 L/100kg sem.)</t>
        </is>
      </c>
      <c r="I680" s="13" t="inlineStr">
        <is>
          <t>Não Autorizada (TS)</t>
        </is>
      </c>
      <c r="J680" s="13" t="inlineStr">
        <is>
          <t>N/D</t>
        </is>
      </c>
    </row>
    <row r="681" ht="22" customHeight="1">
      <c r="A681" s="6" t="inlineStr">
        <is>
          <t>CUL-0677</t>
        </is>
      </c>
      <c r="B681" s="5" t="n">
        <v>132</v>
      </c>
      <c r="C681" s="7" t="inlineStr">
        <is>
          <t>Nº 31817</t>
        </is>
      </c>
      <c r="D681" s="8" t="inlineStr">
        <is>
          <t>RAINIL</t>
        </is>
      </c>
      <c r="E681" s="7" t="inlineStr">
        <is>
          <t>Tratamento de Sementes / Sulco</t>
        </is>
      </c>
      <c r="F681" s="7" t="inlineStr">
        <is>
          <t>Trigo</t>
        </is>
      </c>
      <c r="G681" s="7" t="inlineStr">
        <is>
          <t>Cultura Autorizada na Bula</t>
        </is>
      </c>
      <c r="H681" s="7" t="inlineStr">
        <is>
          <t>Calda TS (0,2 a 0,6 L/100kg sem.)</t>
        </is>
      </c>
      <c r="I681" s="7" t="inlineStr">
        <is>
          <t>Não Autorizada (TS)</t>
        </is>
      </c>
      <c r="J681" s="7" t="inlineStr">
        <is>
          <t>N/D</t>
        </is>
      </c>
    </row>
    <row r="682" ht="22" customHeight="1">
      <c r="A682" s="12" t="inlineStr">
        <is>
          <t>CUL-0678</t>
        </is>
      </c>
      <c r="B682" s="11" t="n">
        <v>133</v>
      </c>
      <c r="C682" s="13" t="inlineStr">
        <is>
          <t>Nº 32322</t>
        </is>
      </c>
      <c r="D682" s="14" t="inlineStr">
        <is>
          <t>JOYA BB</t>
        </is>
      </c>
      <c r="E682" s="13" t="inlineStr">
        <is>
          <t>Pulverização Agrícola Conforme Bula</t>
        </is>
      </c>
      <c r="F682" s="13" t="inlineStr">
        <is>
          <t>Soja (Pré-Plantio)</t>
        </is>
      </c>
      <c r="G682" s="13" t="inlineStr">
        <is>
          <t>Cultura Autorizada na Bula</t>
        </is>
      </c>
      <c r="H682" s="13" t="inlineStr">
        <is>
          <t>100 a 300 L/ha</t>
        </is>
      </c>
      <c r="I682" s="13" t="inlineStr">
        <is>
          <t>20 a 40 L/ha</t>
        </is>
      </c>
      <c r="J682" s="13" t="inlineStr">
        <is>
          <t>N/D</t>
        </is>
      </c>
    </row>
    <row r="683" ht="22" customHeight="1">
      <c r="A683" s="6" t="inlineStr">
        <is>
          <t>CUL-0679</t>
        </is>
      </c>
      <c r="B683" s="5" t="n">
        <v>133</v>
      </c>
      <c r="C683" s="7" t="inlineStr">
        <is>
          <t>Nº 32322</t>
        </is>
      </c>
      <c r="D683" s="8" t="inlineStr">
        <is>
          <t>JOYA BB</t>
        </is>
      </c>
      <c r="E683" s="7" t="inlineStr">
        <is>
          <t>Pulverização Agrícola Conforme Bula</t>
        </is>
      </c>
      <c r="F683" s="7" t="inlineStr">
        <is>
          <t>Algodão</t>
        </is>
      </c>
      <c r="G683" s="7" t="inlineStr">
        <is>
          <t>Cultura Autorizada na Bula</t>
        </is>
      </c>
      <c r="H683" s="7" t="inlineStr">
        <is>
          <t>100 a 300 L/ha</t>
        </is>
      </c>
      <c r="I683" s="7" t="inlineStr">
        <is>
          <t>20 a 40 L/ha</t>
        </is>
      </c>
      <c r="J683" s="7" t="inlineStr">
        <is>
          <t>90 dias</t>
        </is>
      </c>
    </row>
    <row r="684" ht="22" customHeight="1">
      <c r="A684" s="12" t="inlineStr">
        <is>
          <t>CUL-0680</t>
        </is>
      </c>
      <c r="B684" s="11" t="n">
        <v>133</v>
      </c>
      <c r="C684" s="13" t="inlineStr">
        <is>
          <t>Nº 32322</t>
        </is>
      </c>
      <c r="D684" s="14" t="inlineStr">
        <is>
          <t>JOYA BB</t>
        </is>
      </c>
      <c r="E684" s="13" t="inlineStr">
        <is>
          <t>Pulverização Agrícola Conforme Bula</t>
        </is>
      </c>
      <c r="F684" s="13" t="inlineStr">
        <is>
          <t>Cana-de-açúcar</t>
        </is>
      </c>
      <c r="G684" s="13" t="inlineStr">
        <is>
          <t>Cultura Autorizada na Bula</t>
        </is>
      </c>
      <c r="H684" s="13" t="inlineStr">
        <is>
          <t>100 a 300 L/ha</t>
        </is>
      </c>
      <c r="I684" s="13" t="inlineStr">
        <is>
          <t>20 a 40 L/ha</t>
        </is>
      </c>
      <c r="J684" s="13" t="inlineStr">
        <is>
          <t>85 dias</t>
        </is>
      </c>
    </row>
    <row r="685" ht="22" customHeight="1">
      <c r="A685" s="6" t="inlineStr">
        <is>
          <t>CUL-0681</t>
        </is>
      </c>
      <c r="B685" s="5" t="n">
        <v>133</v>
      </c>
      <c r="C685" s="7" t="inlineStr">
        <is>
          <t>Nº 32322</t>
        </is>
      </c>
      <c r="D685" s="8" t="inlineStr">
        <is>
          <t>JOYA BB</t>
        </is>
      </c>
      <c r="E685" s="7" t="inlineStr">
        <is>
          <t>Pulverização Agrícola Conforme Bula</t>
        </is>
      </c>
      <c r="F685" s="7" t="inlineStr">
        <is>
          <t>Café</t>
        </is>
      </c>
      <c r="G685" s="7" t="inlineStr">
        <is>
          <t>Cultura Autorizada na Bula</t>
        </is>
      </c>
      <c r="H685" s="7" t="inlineStr">
        <is>
          <t>100 a 300 L/ha</t>
        </is>
      </c>
      <c r="I685" s="7" t="inlineStr">
        <is>
          <t>20 a 40 L/ha</t>
        </is>
      </c>
      <c r="J685" s="7" t="inlineStr">
        <is>
          <t>15 dias</t>
        </is>
      </c>
    </row>
    <row r="686" ht="22" customHeight="1">
      <c r="A686" s="12" t="inlineStr">
        <is>
          <t>CUL-0682</t>
        </is>
      </c>
      <c r="B686" s="11" t="n">
        <v>133</v>
      </c>
      <c r="C686" s="13" t="inlineStr">
        <is>
          <t>Nº 32322</t>
        </is>
      </c>
      <c r="D686" s="14" t="inlineStr">
        <is>
          <t>JOYA BB</t>
        </is>
      </c>
      <c r="E686" s="13" t="inlineStr">
        <is>
          <t>Pulverização Agrícola Conforme Bula</t>
        </is>
      </c>
      <c r="F686" s="13" t="inlineStr">
        <is>
          <t>Citros</t>
        </is>
      </c>
      <c r="G686" s="13" t="inlineStr">
        <is>
          <t>Cultura Autorizada na Bula</t>
        </is>
      </c>
      <c r="H686" s="13" t="inlineStr">
        <is>
          <t>100 a 300 L/ha</t>
        </is>
      </c>
      <c r="I686" s="13" t="inlineStr">
        <is>
          <t>20 a 40 L/ha</t>
        </is>
      </c>
      <c r="J686" s="13" t="inlineStr">
        <is>
          <t>N/D</t>
        </is>
      </c>
    </row>
    <row r="687" ht="22" customHeight="1">
      <c r="A687" s="6" t="inlineStr">
        <is>
          <t>CUL-0683</t>
        </is>
      </c>
      <c r="B687" s="5" t="n">
        <v>133</v>
      </c>
      <c r="C687" s="7" t="inlineStr">
        <is>
          <t>Nº 32322</t>
        </is>
      </c>
      <c r="D687" s="8" t="inlineStr">
        <is>
          <t>JOYA BB</t>
        </is>
      </c>
      <c r="E687" s="7" t="inlineStr">
        <is>
          <t>Pulverização Agrícola Conforme Bula</t>
        </is>
      </c>
      <c r="F687" s="7" t="inlineStr">
        <is>
          <t>Feijão</t>
        </is>
      </c>
      <c r="G687" s="7" t="inlineStr">
        <is>
          <t>Cultura Autorizada na Bula</t>
        </is>
      </c>
      <c r="H687" s="7" t="inlineStr">
        <is>
          <t>100 a 300 L/ha</t>
        </is>
      </c>
      <c r="I687" s="7" t="inlineStr">
        <is>
          <t>20 a 40 L/ha</t>
        </is>
      </c>
      <c r="J687" s="7" t="inlineStr">
        <is>
          <t>N/D</t>
        </is>
      </c>
    </row>
    <row r="688" ht="22" customHeight="1">
      <c r="A688" s="12" t="inlineStr">
        <is>
          <t>CUL-0684</t>
        </is>
      </c>
      <c r="B688" s="11" t="n">
        <v>134</v>
      </c>
      <c r="C688" s="13" t="inlineStr">
        <is>
          <t>Nº 2020</t>
        </is>
      </c>
      <c r="D688" s="14" t="inlineStr">
        <is>
          <t>BUSHI</t>
        </is>
      </c>
      <c r="E688" s="13" t="inlineStr">
        <is>
          <t>Pulverização Agrícola Conforme Bula</t>
        </is>
      </c>
      <c r="F688" s="13" t="inlineStr">
        <is>
          <t>Soja</t>
        </is>
      </c>
      <c r="G688" s="13" t="inlineStr">
        <is>
          <t>Cultura Autorizada na Bula</t>
        </is>
      </c>
      <c r="H688" s="13" t="inlineStr">
        <is>
          <t>100 a 300 L/ha</t>
        </is>
      </c>
      <c r="I688" s="13" t="inlineStr">
        <is>
          <t>20 a 40 L/ha</t>
        </is>
      </c>
      <c r="J688" s="13" t="inlineStr">
        <is>
          <t>14 dias</t>
        </is>
      </c>
    </row>
    <row r="689" ht="22" customHeight="1">
      <c r="A689" s="6" t="inlineStr">
        <is>
          <t>CUL-0685</t>
        </is>
      </c>
      <c r="B689" s="5" t="n">
        <v>134</v>
      </c>
      <c r="C689" s="7" t="inlineStr">
        <is>
          <t>Nº 2020</t>
        </is>
      </c>
      <c r="D689" s="8" t="inlineStr">
        <is>
          <t>BUSHI</t>
        </is>
      </c>
      <c r="E689" s="7" t="inlineStr">
        <is>
          <t>Pulverização Agrícola Conforme Bula</t>
        </is>
      </c>
      <c r="F689" s="7" t="inlineStr">
        <is>
          <t>Milho</t>
        </is>
      </c>
      <c r="G689" s="7" t="inlineStr">
        <is>
          <t>Cultura Autorizada na Bula</t>
        </is>
      </c>
      <c r="H689" s="7" t="inlineStr">
        <is>
          <t>100 a 300 L/ha</t>
        </is>
      </c>
      <c r="I689" s="7" t="inlineStr">
        <is>
          <t>20 a 40 L/ha</t>
        </is>
      </c>
      <c r="J689" s="7" t="inlineStr">
        <is>
          <t>15 dias</t>
        </is>
      </c>
    </row>
    <row r="690" ht="22" customHeight="1">
      <c r="A690" s="12" t="inlineStr">
        <is>
          <t>CUL-0686</t>
        </is>
      </c>
      <c r="B690" s="11" t="n">
        <v>134</v>
      </c>
      <c r="C690" s="13" t="inlineStr">
        <is>
          <t>Nº 2020</t>
        </is>
      </c>
      <c r="D690" s="14" t="inlineStr">
        <is>
          <t>BUSHI</t>
        </is>
      </c>
      <c r="E690" s="13" t="inlineStr">
        <is>
          <t>Pulverização Agrícola Conforme Bula</t>
        </is>
      </c>
      <c r="F690" s="13" t="inlineStr">
        <is>
          <t>Algodão</t>
        </is>
      </c>
      <c r="G690" s="13" t="inlineStr">
        <is>
          <t>Cultura Autorizada na Bula</t>
        </is>
      </c>
      <c r="H690" s="13" t="inlineStr">
        <is>
          <t>100 a 300 L/ha</t>
        </is>
      </c>
      <c r="I690" s="13" t="inlineStr">
        <is>
          <t>20 a 40 L/ha</t>
        </is>
      </c>
      <c r="J690" s="13" t="inlineStr">
        <is>
          <t>7 dias</t>
        </is>
      </c>
    </row>
    <row r="691" ht="22" customHeight="1">
      <c r="A691" s="6" t="inlineStr">
        <is>
          <t>CUL-0687</t>
        </is>
      </c>
      <c r="B691" s="5" t="n">
        <v>134</v>
      </c>
      <c r="C691" s="7" t="inlineStr">
        <is>
          <t>Nº 2020</t>
        </is>
      </c>
      <c r="D691" s="8" t="inlineStr">
        <is>
          <t>BUSHI</t>
        </is>
      </c>
      <c r="E691" s="7" t="inlineStr">
        <is>
          <t>Pulverização Agrícola Conforme Bula</t>
        </is>
      </c>
      <c r="F691" s="7" t="inlineStr">
        <is>
          <t>Café</t>
        </is>
      </c>
      <c r="G691" s="7" t="inlineStr">
        <is>
          <t>Cultura Autorizada na Bula</t>
        </is>
      </c>
      <c r="H691" s="7" t="inlineStr">
        <is>
          <t>100 a 300 L/ha</t>
        </is>
      </c>
      <c r="I691" s="7" t="inlineStr">
        <is>
          <t>20 a 40 L/ha</t>
        </is>
      </c>
      <c r="J691" s="7" t="inlineStr">
        <is>
          <t>1 dias</t>
        </is>
      </c>
    </row>
    <row r="692" ht="22" customHeight="1">
      <c r="A692" s="12" t="inlineStr">
        <is>
          <t>CUL-0688</t>
        </is>
      </c>
      <c r="B692" s="11" t="n">
        <v>134</v>
      </c>
      <c r="C692" s="13" t="inlineStr">
        <is>
          <t>Nº 2020</t>
        </is>
      </c>
      <c r="D692" s="14" t="inlineStr">
        <is>
          <t>BUSHI</t>
        </is>
      </c>
      <c r="E692" s="13" t="inlineStr">
        <is>
          <t>Pulverização Agrícola Conforme Bula</t>
        </is>
      </c>
      <c r="F692" s="13" t="inlineStr">
        <is>
          <t>Feijão</t>
        </is>
      </c>
      <c r="G692" s="13" t="inlineStr">
        <is>
          <t>Cultura Autorizada na Bula</t>
        </is>
      </c>
      <c r="H692" s="13" t="inlineStr">
        <is>
          <t>100 a 300 L/ha</t>
        </is>
      </c>
      <c r="I692" s="13" t="inlineStr">
        <is>
          <t>20 a 40 L/ha</t>
        </is>
      </c>
      <c r="J692" s="13" t="inlineStr">
        <is>
          <t>15 dias</t>
        </is>
      </c>
    </row>
    <row r="693" ht="22" customHeight="1">
      <c r="A693" s="6" t="inlineStr">
        <is>
          <t>CUL-0689</t>
        </is>
      </c>
      <c r="B693" s="5" t="n">
        <v>134</v>
      </c>
      <c r="C693" s="7" t="inlineStr">
        <is>
          <t>Nº 2020</t>
        </is>
      </c>
      <c r="D693" s="8" t="inlineStr">
        <is>
          <t>BUSHI</t>
        </is>
      </c>
      <c r="E693" s="7" t="inlineStr">
        <is>
          <t>Pulverização Agrícola Conforme Bula</t>
        </is>
      </c>
      <c r="F693" s="7" t="inlineStr">
        <is>
          <t>Trigo</t>
        </is>
      </c>
      <c r="G693" s="7" t="inlineStr">
        <is>
          <t>Cultura Autorizada na Bula</t>
        </is>
      </c>
      <c r="H693" s="7" t="inlineStr">
        <is>
          <t>100 a 300 L/ha</t>
        </is>
      </c>
      <c r="I693" s="7" t="inlineStr">
        <is>
          <t>20 a 40 L/ha</t>
        </is>
      </c>
      <c r="J693" s="7" t="inlineStr">
        <is>
          <t>21 dias</t>
        </is>
      </c>
    </row>
    <row r="694" ht="22" customHeight="1">
      <c r="A694" s="12" t="inlineStr">
        <is>
          <t>CUL-0690</t>
        </is>
      </c>
      <c r="B694" s="11" t="n">
        <v>134</v>
      </c>
      <c r="C694" s="13" t="inlineStr">
        <is>
          <t>Nº 2020</t>
        </is>
      </c>
      <c r="D694" s="14" t="inlineStr">
        <is>
          <t>BUSHI</t>
        </is>
      </c>
      <c r="E694" s="13" t="inlineStr">
        <is>
          <t>Pulverização Agrícola Conforme Bula</t>
        </is>
      </c>
      <c r="F694" s="13" t="inlineStr">
        <is>
          <t>Cana-de-açúcar</t>
        </is>
      </c>
      <c r="G694" s="13" t="inlineStr">
        <is>
          <t>Cultura Autorizada na Bula</t>
        </is>
      </c>
      <c r="H694" s="13" t="inlineStr">
        <is>
          <t>100 a 300 L/ha</t>
        </is>
      </c>
      <c r="I694" s="13" t="inlineStr">
        <is>
          <t>20 a 40 L/ha</t>
        </is>
      </c>
      <c r="J694" s="13" t="inlineStr">
        <is>
          <t>21 dias</t>
        </is>
      </c>
    </row>
    <row r="695" ht="22" customHeight="1">
      <c r="A695" s="6" t="inlineStr">
        <is>
          <t>CUL-0691</t>
        </is>
      </c>
      <c r="B695" s="5" t="n">
        <v>135</v>
      </c>
      <c r="C695" s="7" t="inlineStr">
        <is>
          <t>Nº 10018</t>
        </is>
      </c>
      <c r="D695" s="8" t="inlineStr">
        <is>
          <t>ATRAZINA</t>
        </is>
      </c>
      <c r="E695" s="7" t="inlineStr">
        <is>
          <t>Pulverização Agrícola Conforme Bula</t>
        </is>
      </c>
      <c r="F695" s="7" t="inlineStr">
        <is>
          <t>Milho</t>
        </is>
      </c>
      <c r="G695" s="7" t="inlineStr">
        <is>
          <t>Cultura Autorizada na Bula</t>
        </is>
      </c>
      <c r="H695" s="7" t="inlineStr">
        <is>
          <t>100 a 300 L/ha</t>
        </is>
      </c>
      <c r="I695" s="7" t="inlineStr">
        <is>
          <t>20 a 40 L/ha</t>
        </is>
      </c>
      <c r="J695" s="7" t="inlineStr">
        <is>
          <t>60 dias</t>
        </is>
      </c>
    </row>
    <row r="696" ht="22" customHeight="1">
      <c r="A696" s="12" t="inlineStr">
        <is>
          <t>CUL-0692</t>
        </is>
      </c>
      <c r="B696" s="11" t="n">
        <v>135</v>
      </c>
      <c r="C696" s="13" t="inlineStr">
        <is>
          <t>Nº 10018</t>
        </is>
      </c>
      <c r="D696" s="14" t="inlineStr">
        <is>
          <t>ATRAZINA</t>
        </is>
      </c>
      <c r="E696" s="13" t="inlineStr">
        <is>
          <t>Pulverização Agrícola Conforme Bula</t>
        </is>
      </c>
      <c r="F696" s="13" t="inlineStr">
        <is>
          <t>Cana-de-açúcar</t>
        </is>
      </c>
      <c r="G696" s="13" t="inlineStr">
        <is>
          <t>Cultura Autorizada na Bula</t>
        </is>
      </c>
      <c r="H696" s="13" t="inlineStr">
        <is>
          <t>100 a 300 L/ha</t>
        </is>
      </c>
      <c r="I696" s="13" t="inlineStr">
        <is>
          <t>20 a 40 L/ha</t>
        </is>
      </c>
      <c r="J696" s="13" t="inlineStr">
        <is>
          <t>N/D</t>
        </is>
      </c>
    </row>
    <row r="697" ht="22" customHeight="1">
      <c r="A697" s="6" t="inlineStr">
        <is>
          <t>CUL-0693</t>
        </is>
      </c>
      <c r="B697" s="5" t="n">
        <v>135</v>
      </c>
      <c r="C697" s="7" t="inlineStr">
        <is>
          <t>Nº 10018</t>
        </is>
      </c>
      <c r="D697" s="8" t="inlineStr">
        <is>
          <t>ATRAZINA</t>
        </is>
      </c>
      <c r="E697" s="7" t="inlineStr">
        <is>
          <t>Pulverização Agrícola Conforme Bula</t>
        </is>
      </c>
      <c r="F697" s="7" t="inlineStr">
        <is>
          <t>Sorgo</t>
        </is>
      </c>
      <c r="G697" s="7" t="inlineStr">
        <is>
          <t>Cultura Autorizada na Bula</t>
        </is>
      </c>
      <c r="H697" s="7" t="inlineStr">
        <is>
          <t>100 a 300 L/ha</t>
        </is>
      </c>
      <c r="I697" s="7" t="inlineStr">
        <is>
          <t>20 a 40 L/ha</t>
        </is>
      </c>
      <c r="J697" s="7" t="inlineStr">
        <is>
          <t>60 dias</t>
        </is>
      </c>
    </row>
    <row r="698" ht="22" customHeight="1">
      <c r="A698" s="12" t="inlineStr">
        <is>
          <t>CUL-0694</t>
        </is>
      </c>
      <c r="B698" s="11" t="n">
        <v>135</v>
      </c>
      <c r="C698" s="13" t="inlineStr">
        <is>
          <t>Nº 10018</t>
        </is>
      </c>
      <c r="D698" s="14" t="inlineStr">
        <is>
          <t>ATRAZINA</t>
        </is>
      </c>
      <c r="E698" s="13" t="inlineStr">
        <is>
          <t>Pulverização Agrícola Conforme Bula</t>
        </is>
      </c>
      <c r="F698" s="13" t="inlineStr">
        <is>
          <t>Pinus / Eucalipto</t>
        </is>
      </c>
      <c r="G698" s="13" t="inlineStr">
        <is>
          <t>Cultura Autorizada na Bula</t>
        </is>
      </c>
      <c r="H698" s="13" t="inlineStr">
        <is>
          <t>100 a 300 L/ha</t>
        </is>
      </c>
      <c r="I698" s="13" t="inlineStr">
        <is>
          <t>20 a 40 L/ha</t>
        </is>
      </c>
      <c r="J698" s="13" t="inlineStr">
        <is>
          <t>U.N.A.</t>
        </is>
      </c>
    </row>
    <row r="699" ht="22" customHeight="1">
      <c r="A699" s="6" t="inlineStr">
        <is>
          <t>CUL-0695</t>
        </is>
      </c>
      <c r="B699" s="5" t="n">
        <v>136</v>
      </c>
      <c r="C699" s="7" t="inlineStr">
        <is>
          <t>Nº 938801</t>
        </is>
      </c>
      <c r="D699" s="8" t="inlineStr">
        <is>
          <t>CLASSIC 4X2 KG (IMP)</t>
        </is>
      </c>
      <c r="E699" s="7" t="inlineStr">
        <is>
          <t>Pulverização Agrícola Conforme Bula</t>
        </is>
      </c>
      <c r="F699" s="7" t="inlineStr">
        <is>
          <t>Soja</t>
        </is>
      </c>
      <c r="G699" s="7" t="inlineStr">
        <is>
          <t>Cultura Autorizada na Bula</t>
        </is>
      </c>
      <c r="H699" s="7" t="inlineStr">
        <is>
          <t>100 a 300 L/ha</t>
        </is>
      </c>
      <c r="I699" s="7" t="inlineStr">
        <is>
          <t>20 a 40 L/ha</t>
        </is>
      </c>
      <c r="J699" s="7" t="inlineStr">
        <is>
          <t>60 dias</t>
        </is>
      </c>
    </row>
    <row r="700" ht="22" customHeight="1">
      <c r="A700" s="12" t="inlineStr">
        <is>
          <t>CUL-0696</t>
        </is>
      </c>
      <c r="B700" s="11" t="n">
        <v>136</v>
      </c>
      <c r="C700" s="13" t="inlineStr">
        <is>
          <t>Nº 938801</t>
        </is>
      </c>
      <c r="D700" s="14" t="inlineStr">
        <is>
          <t>CLASSIC 4X2 KG (IMP)</t>
        </is>
      </c>
      <c r="E700" s="13" t="inlineStr">
        <is>
          <t>Pulverização Agrícola Conforme Bula</t>
        </is>
      </c>
      <c r="F700" s="13" t="inlineStr">
        <is>
          <t>Milho</t>
        </is>
      </c>
      <c r="G700" s="13" t="inlineStr">
        <is>
          <t>Cultura Autorizada na Bula</t>
        </is>
      </c>
      <c r="H700" s="13" t="inlineStr">
        <is>
          <t>100 a 300 L/ha</t>
        </is>
      </c>
      <c r="I700" s="13" t="inlineStr">
        <is>
          <t>20 a 40 L/ha</t>
        </is>
      </c>
      <c r="J700" s="13" t="inlineStr">
        <is>
          <t>45 dias</t>
        </is>
      </c>
    </row>
    <row r="701" ht="22" customHeight="1">
      <c r="A701" s="6" t="inlineStr">
        <is>
          <t>CUL-0697</t>
        </is>
      </c>
      <c r="B701" s="5" t="n">
        <v>136</v>
      </c>
      <c r="C701" s="7" t="inlineStr">
        <is>
          <t>Nº 938801</t>
        </is>
      </c>
      <c r="D701" s="8" t="inlineStr">
        <is>
          <t>CLASSIC 4X2 KG (IMP)</t>
        </is>
      </c>
      <c r="E701" s="7" t="inlineStr">
        <is>
          <t>Pulverização Agrícola Conforme Bula</t>
        </is>
      </c>
      <c r="F701" s="7" t="inlineStr">
        <is>
          <t>Algodão</t>
        </is>
      </c>
      <c r="G701" s="7" t="inlineStr">
        <is>
          <t>Cultura Autorizada na Bula</t>
        </is>
      </c>
      <c r="H701" s="7" t="inlineStr">
        <is>
          <t>100 a 300 L/ha</t>
        </is>
      </c>
      <c r="I701" s="7" t="inlineStr">
        <is>
          <t>20 a 40 L/ha</t>
        </is>
      </c>
      <c r="J701" s="7" t="inlineStr">
        <is>
          <t>60 dias</t>
        </is>
      </c>
    </row>
    <row r="702" ht="22" customHeight="1">
      <c r="A702" s="12" t="inlineStr">
        <is>
          <t>CUL-0698</t>
        </is>
      </c>
      <c r="B702" s="11" t="n">
        <v>136</v>
      </c>
      <c r="C702" s="13" t="inlineStr">
        <is>
          <t>Nº 938801</t>
        </is>
      </c>
      <c r="D702" s="14" t="inlineStr">
        <is>
          <t>CLASSIC 4X2 KG (IMP)</t>
        </is>
      </c>
      <c r="E702" s="13" t="inlineStr">
        <is>
          <t>Pulverização Agrícola Conforme Bula</t>
        </is>
      </c>
      <c r="F702" s="13" t="inlineStr">
        <is>
          <t>Cana-de-açúcar</t>
        </is>
      </c>
      <c r="G702" s="13" t="inlineStr">
        <is>
          <t>Cultura Autorizada na Bula</t>
        </is>
      </c>
      <c r="H702" s="13" t="inlineStr">
        <is>
          <t>100 a 300 L/ha</t>
        </is>
      </c>
      <c r="I702" s="13" t="inlineStr">
        <is>
          <t>20 a 40 L/ha</t>
        </is>
      </c>
      <c r="J702" s="13" t="inlineStr">
        <is>
          <t>90 dias</t>
        </is>
      </c>
    </row>
    <row r="703" ht="22" customHeight="1">
      <c r="A703" s="6" t="inlineStr">
        <is>
          <t>CUL-0699</t>
        </is>
      </c>
      <c r="B703" s="5" t="n">
        <v>137</v>
      </c>
      <c r="C703" s="7" t="inlineStr">
        <is>
          <t>Nº 11320</t>
        </is>
      </c>
      <c r="D703" s="8" t="inlineStr">
        <is>
          <t>SURVEY 800 WG</t>
        </is>
      </c>
      <c r="E703" s="7" t="inlineStr">
        <is>
          <t>Pulverização Agrícola Conforme Bula</t>
        </is>
      </c>
      <c r="F703" s="7" t="inlineStr">
        <is>
          <t>Soja (Trat. Sementes / Sulco)</t>
        </is>
      </c>
      <c r="G703" s="7" t="inlineStr">
        <is>
          <t>Cultura Autorizada na Bula</t>
        </is>
      </c>
      <c r="H703" s="7" t="inlineStr">
        <is>
          <t>100 a 300 L/ha</t>
        </is>
      </c>
      <c r="I703" s="7" t="inlineStr">
        <is>
          <t>20 a 40 L/ha</t>
        </is>
      </c>
      <c r="J703" s="7" t="inlineStr">
        <is>
          <t>N/D</t>
        </is>
      </c>
    </row>
    <row r="704" ht="22" customHeight="1">
      <c r="A704" s="12" t="inlineStr">
        <is>
          <t>CUL-0700</t>
        </is>
      </c>
      <c r="B704" s="11" t="n">
        <v>137</v>
      </c>
      <c r="C704" s="13" t="inlineStr">
        <is>
          <t>Nº 11320</t>
        </is>
      </c>
      <c r="D704" s="14" t="inlineStr">
        <is>
          <t>SURVEY 800 WG</t>
        </is>
      </c>
      <c r="E704" s="13" t="inlineStr">
        <is>
          <t>Pulverização Agrícola Conforme Bula</t>
        </is>
      </c>
      <c r="F704" s="13" t="inlineStr">
        <is>
          <t>Milho (Trat. Sementes)</t>
        </is>
      </c>
      <c r="G704" s="13" t="inlineStr">
        <is>
          <t>Cultura Autorizada na Bula</t>
        </is>
      </c>
      <c r="H704" s="13" t="inlineStr">
        <is>
          <t>100 a 300 L/ha</t>
        </is>
      </c>
      <c r="I704" s="13" t="inlineStr">
        <is>
          <t>20 a 40 L/ha</t>
        </is>
      </c>
      <c r="J704" s="13" t="inlineStr">
        <is>
          <t>N/D</t>
        </is>
      </c>
    </row>
    <row r="705" ht="22" customHeight="1">
      <c r="A705" s="6" t="inlineStr">
        <is>
          <t>CUL-0701</t>
        </is>
      </c>
      <c r="B705" s="5" t="n">
        <v>137</v>
      </c>
      <c r="C705" s="7" t="inlineStr">
        <is>
          <t>Nº 11320</t>
        </is>
      </c>
      <c r="D705" s="8" t="inlineStr">
        <is>
          <t>SURVEY 800 WG</t>
        </is>
      </c>
      <c r="E705" s="7" t="inlineStr">
        <is>
          <t>Pulverização Agrícola Conforme Bula</t>
        </is>
      </c>
      <c r="F705" s="7" t="inlineStr">
        <is>
          <t>Algodão</t>
        </is>
      </c>
      <c r="G705" s="7" t="inlineStr">
        <is>
          <t>Cultura Autorizada na Bula</t>
        </is>
      </c>
      <c r="H705" s="7" t="inlineStr">
        <is>
          <t>100 a 300 L/ha</t>
        </is>
      </c>
      <c r="I705" s="7" t="inlineStr">
        <is>
          <t>20 a 40 L/ha</t>
        </is>
      </c>
      <c r="J705" s="7" t="inlineStr">
        <is>
          <t>N/D</t>
        </is>
      </c>
    </row>
    <row r="706" ht="22" customHeight="1">
      <c r="A706" s="12" t="inlineStr">
        <is>
          <t>CUL-0702</t>
        </is>
      </c>
      <c r="B706" s="11" t="n">
        <v>137</v>
      </c>
      <c r="C706" s="13" t="inlineStr">
        <is>
          <t>Nº 11320</t>
        </is>
      </c>
      <c r="D706" s="14" t="inlineStr">
        <is>
          <t>SURVEY 800 WG</t>
        </is>
      </c>
      <c r="E706" s="13" t="inlineStr">
        <is>
          <t>Pulverização Agrícola Conforme Bula</t>
        </is>
      </c>
      <c r="F706" s="13" t="inlineStr">
        <is>
          <t>Cana-de-açúcar (Sulco)</t>
        </is>
      </c>
      <c r="G706" s="13" t="inlineStr">
        <is>
          <t>Cultura Autorizada na Bula</t>
        </is>
      </c>
      <c r="H706" s="13" t="inlineStr">
        <is>
          <t>100 a 300 L/ha</t>
        </is>
      </c>
      <c r="I706" s="13" t="inlineStr">
        <is>
          <t>20 a 40 L/ha</t>
        </is>
      </c>
      <c r="J706" s="13" t="inlineStr">
        <is>
          <t>N/D</t>
        </is>
      </c>
    </row>
    <row r="707" ht="22" customHeight="1">
      <c r="A707" s="6" t="inlineStr">
        <is>
          <t>CUL-0703</t>
        </is>
      </c>
      <c r="B707" s="5" t="n">
        <v>137</v>
      </c>
      <c r="C707" s="7" t="inlineStr">
        <is>
          <t>Nº 11320</t>
        </is>
      </c>
      <c r="D707" s="8" t="inlineStr">
        <is>
          <t>SURVEY 800 WG</t>
        </is>
      </c>
      <c r="E707" s="7" t="inlineStr">
        <is>
          <t>Pulverização Agrícola Conforme Bula</t>
        </is>
      </c>
      <c r="F707" s="7" t="inlineStr">
        <is>
          <t>Arroz</t>
        </is>
      </c>
      <c r="G707" s="7" t="inlineStr">
        <is>
          <t>Cultura Autorizada na Bula</t>
        </is>
      </c>
      <c r="H707" s="7" t="inlineStr">
        <is>
          <t>100 a 300 L/ha</t>
        </is>
      </c>
      <c r="I707" s="7" t="inlineStr">
        <is>
          <t>20 a 40 L/ha</t>
        </is>
      </c>
      <c r="J707" s="7" t="inlineStr">
        <is>
          <t>N/D</t>
        </is>
      </c>
    </row>
    <row r="708" ht="22" customHeight="1">
      <c r="A708" s="12" t="inlineStr">
        <is>
          <t>CUL-0704</t>
        </is>
      </c>
      <c r="B708" s="11" t="n">
        <v>137</v>
      </c>
      <c r="C708" s="13" t="inlineStr">
        <is>
          <t>Nº 11320</t>
        </is>
      </c>
      <c r="D708" s="14" t="inlineStr">
        <is>
          <t>SURVEY 800 WG</t>
        </is>
      </c>
      <c r="E708" s="13" t="inlineStr">
        <is>
          <t>Pulverização Agrícola Conforme Bula</t>
        </is>
      </c>
      <c r="F708" s="13" t="inlineStr">
        <is>
          <t>Feijão</t>
        </is>
      </c>
      <c r="G708" s="13" t="inlineStr">
        <is>
          <t>Cultura Autorizada na Bula</t>
        </is>
      </c>
      <c r="H708" s="13" t="inlineStr">
        <is>
          <t>100 a 300 L/ha</t>
        </is>
      </c>
      <c r="I708" s="13" t="inlineStr">
        <is>
          <t>20 a 40 L/ha</t>
        </is>
      </c>
      <c r="J708" s="13" t="inlineStr">
        <is>
          <t>N/D</t>
        </is>
      </c>
    </row>
    <row r="709" ht="22" customHeight="1">
      <c r="A709" s="6" t="inlineStr">
        <is>
          <t>CUL-0705</t>
        </is>
      </c>
      <c r="B709" s="5" t="n">
        <v>137</v>
      </c>
      <c r="C709" s="7" t="inlineStr">
        <is>
          <t>Nº 11320</t>
        </is>
      </c>
      <c r="D709" s="8" t="inlineStr">
        <is>
          <t>SURVEY 800 WG</t>
        </is>
      </c>
      <c r="E709" s="7" t="inlineStr">
        <is>
          <t>Pulverização Agrícola Conforme Bula</t>
        </is>
      </c>
      <c r="F709" s="7" t="inlineStr">
        <is>
          <t>Pastagens</t>
        </is>
      </c>
      <c r="G709" s="7" t="inlineStr">
        <is>
          <t>Cultura Autorizada na Bula</t>
        </is>
      </c>
      <c r="H709" s="7" t="inlineStr">
        <is>
          <t>100 a 300 L/ha</t>
        </is>
      </c>
      <c r="I709" s="7" t="inlineStr">
        <is>
          <t>20 a 40 L/ha</t>
        </is>
      </c>
      <c r="J709" s="7" t="inlineStr">
        <is>
          <t>N/D</t>
        </is>
      </c>
    </row>
    <row r="710" ht="22" customHeight="1">
      <c r="A710" s="12" t="inlineStr">
        <is>
          <t>CUL-0706</t>
        </is>
      </c>
      <c r="B710" s="11" t="n">
        <v>137</v>
      </c>
      <c r="C710" s="13" t="inlineStr">
        <is>
          <t>Nº 11320</t>
        </is>
      </c>
      <c r="D710" s="14" t="inlineStr">
        <is>
          <t>SURVEY 800 WG</t>
        </is>
      </c>
      <c r="E710" s="13" t="inlineStr">
        <is>
          <t>Pulverização Agrícola Conforme Bula</t>
        </is>
      </c>
      <c r="F710" s="13" t="inlineStr">
        <is>
          <t>Trigo</t>
        </is>
      </c>
      <c r="G710" s="13" t="inlineStr">
        <is>
          <t>Cultura Autorizada na Bula</t>
        </is>
      </c>
      <c r="H710" s="13" t="inlineStr">
        <is>
          <t>100 a 300 L/ha</t>
        </is>
      </c>
      <c r="I710" s="13" t="inlineStr">
        <is>
          <t>20 a 40 L/ha</t>
        </is>
      </c>
      <c r="J710" s="13" t="inlineStr">
        <is>
          <t>N/D</t>
        </is>
      </c>
    </row>
    <row r="711" ht="22" customHeight="1">
      <c r="A711" s="6" t="inlineStr">
        <is>
          <t>CUL-0707</t>
        </is>
      </c>
      <c r="B711" s="5" t="n">
        <v>138</v>
      </c>
      <c r="C711" s="7" t="inlineStr">
        <is>
          <t>SIPEAGRO (UF-XXXXX)</t>
        </is>
      </c>
      <c r="D711" s="8" t="inlineStr">
        <is>
          <t>AGCN GRANU S BAG 120</t>
        </is>
      </c>
      <c r="E711" s="7" t="inlineStr">
        <is>
          <t>Pulverização Agrícola Conforme Bula</t>
        </is>
      </c>
      <c r="F711" s="7" t="inlineStr">
        <is>
          <t>Grandes Culturas, Perenes e Pastagens</t>
        </is>
      </c>
      <c r="G711" s="7" t="inlineStr">
        <is>
          <t>Cultura Autorizada na Bula</t>
        </is>
      </c>
      <c r="H711" s="7" t="inlineStr">
        <is>
          <t>100 a 300 L/ha</t>
        </is>
      </c>
      <c r="I711" s="7" t="inlineStr">
        <is>
          <t>20 a 40 L/ha</t>
        </is>
      </c>
      <c r="J711" s="7" t="inlineStr">
        <is>
          <t>Isento</t>
        </is>
      </c>
    </row>
    <row r="712" ht="22" customHeight="1">
      <c r="A712" s="12" t="inlineStr">
        <is>
          <t>CUL-0708</t>
        </is>
      </c>
      <c r="B712" s="11" t="n">
        <v>139</v>
      </c>
      <c r="C712" s="13" t="inlineStr">
        <is>
          <t>Nº 13419</t>
        </is>
      </c>
      <c r="D712" s="14" t="inlineStr">
        <is>
          <t>FRENO 240 EC</t>
        </is>
      </c>
      <c r="E712" s="13" t="inlineStr">
        <is>
          <t>Pulverização Agrícola Conforme Bula</t>
        </is>
      </c>
      <c r="F712" s="13" t="inlineStr">
        <is>
          <t>Soja</t>
        </is>
      </c>
      <c r="G712" s="13" t="inlineStr">
        <is>
          <t>Cultura Autorizada na Bula</t>
        </is>
      </c>
      <c r="H712" s="13" t="inlineStr">
        <is>
          <t>100 a 300 L/ha</t>
        </is>
      </c>
      <c r="I712" s="13" t="inlineStr">
        <is>
          <t>20 a 40 L/ha</t>
        </is>
      </c>
      <c r="J712" s="13" t="inlineStr">
        <is>
          <t>60 dias</t>
        </is>
      </c>
    </row>
    <row r="713" ht="22" customHeight="1">
      <c r="A713" s="6" t="inlineStr">
        <is>
          <t>CUL-0709</t>
        </is>
      </c>
      <c r="B713" s="5" t="n">
        <v>139</v>
      </c>
      <c r="C713" s="7" t="inlineStr">
        <is>
          <t>Nº 13419</t>
        </is>
      </c>
      <c r="D713" s="8" t="inlineStr">
        <is>
          <t>FRENO 240 EC</t>
        </is>
      </c>
      <c r="E713" s="7" t="inlineStr">
        <is>
          <t>Pulverização Agrícola Conforme Bula</t>
        </is>
      </c>
      <c r="F713" s="7" t="inlineStr">
        <is>
          <t>Algodão</t>
        </is>
      </c>
      <c r="G713" s="7" t="inlineStr">
        <is>
          <t>Cultura Autorizada na Bula</t>
        </is>
      </c>
      <c r="H713" s="7" t="inlineStr">
        <is>
          <t>100 a 300 L/ha</t>
        </is>
      </c>
      <c r="I713" s="7" t="inlineStr">
        <is>
          <t>20 a 40 L/ha</t>
        </is>
      </c>
      <c r="J713" s="7" t="inlineStr">
        <is>
          <t>58 dias</t>
        </is>
      </c>
    </row>
    <row r="714" ht="22" customHeight="1">
      <c r="A714" s="12" t="inlineStr">
        <is>
          <t>CUL-0710</t>
        </is>
      </c>
      <c r="B714" s="11" t="n">
        <v>139</v>
      </c>
      <c r="C714" s="13" t="inlineStr">
        <is>
          <t>Nº 13419</t>
        </is>
      </c>
      <c r="D714" s="14" t="inlineStr">
        <is>
          <t>FRENO 240 EC</t>
        </is>
      </c>
      <c r="E714" s="13" t="inlineStr">
        <is>
          <t>Pulverização Agrícola Conforme Bula</t>
        </is>
      </c>
      <c r="F714" s="13" t="inlineStr">
        <is>
          <t>Feijão</t>
        </is>
      </c>
      <c r="G714" s="13" t="inlineStr">
        <is>
          <t>Cultura Autorizada na Bula</t>
        </is>
      </c>
      <c r="H714" s="13" t="inlineStr">
        <is>
          <t>100 a 300 L/ha</t>
        </is>
      </c>
      <c r="I714" s="13" t="inlineStr">
        <is>
          <t>20 a 40 L/ha</t>
        </is>
      </c>
      <c r="J714" s="13" t="inlineStr">
        <is>
          <t>40 dias</t>
        </is>
      </c>
    </row>
    <row r="715" ht="22" customHeight="1">
      <c r="A715" s="6" t="inlineStr">
        <is>
          <t>CUL-0711</t>
        </is>
      </c>
      <c r="B715" s="5" t="n">
        <v>139</v>
      </c>
      <c r="C715" s="7" t="inlineStr">
        <is>
          <t>Nº 13419</t>
        </is>
      </c>
      <c r="D715" s="8" t="inlineStr">
        <is>
          <t>FRENO 240 EC</t>
        </is>
      </c>
      <c r="E715" s="7" t="inlineStr">
        <is>
          <t>Pulverização Agrícola Conforme Bula</t>
        </is>
      </c>
      <c r="F715" s="7" t="inlineStr">
        <is>
          <t>Café</t>
        </is>
      </c>
      <c r="G715" s="7" t="inlineStr">
        <is>
          <t>Cultura Autorizada na Bula</t>
        </is>
      </c>
      <c r="H715" s="7" t="inlineStr">
        <is>
          <t>100 a 300 L/ha</t>
        </is>
      </c>
      <c r="I715" s="7" t="inlineStr">
        <is>
          <t>20 a 40 L/ha</t>
        </is>
      </c>
      <c r="J715" s="7" t="inlineStr">
        <is>
          <t>14 dias</t>
        </is>
      </c>
    </row>
    <row r="716" ht="22" customHeight="1">
      <c r="A716" s="12" t="inlineStr">
        <is>
          <t>CUL-0712</t>
        </is>
      </c>
      <c r="B716" s="11" t="n">
        <v>139</v>
      </c>
      <c r="C716" s="13" t="inlineStr">
        <is>
          <t>Nº 13419</t>
        </is>
      </c>
      <c r="D716" s="14" t="inlineStr">
        <is>
          <t>FRENO 240 EC</t>
        </is>
      </c>
      <c r="E716" s="13" t="inlineStr">
        <is>
          <t>Pulverização Agrícola Conforme Bula</t>
        </is>
      </c>
      <c r="F716" s="13" t="inlineStr">
        <is>
          <t>Batata</t>
        </is>
      </c>
      <c r="G716" s="13" t="inlineStr">
        <is>
          <t>Cultura Autorizada na Bula</t>
        </is>
      </c>
      <c r="H716" s="13" t="inlineStr">
        <is>
          <t>100 a 300 L/ha</t>
        </is>
      </c>
      <c r="I716" s="13" t="inlineStr">
        <is>
          <t>20 a 40 L/ha</t>
        </is>
      </c>
      <c r="J716" s="13" t="inlineStr">
        <is>
          <t>20 dias</t>
        </is>
      </c>
    </row>
    <row r="717" ht="22" customHeight="1">
      <c r="A717" s="6" t="inlineStr">
        <is>
          <t>CUL-0713</t>
        </is>
      </c>
      <c r="B717" s="5" t="n">
        <v>139</v>
      </c>
      <c r="C717" s="7" t="inlineStr">
        <is>
          <t>Nº 13419</t>
        </is>
      </c>
      <c r="D717" s="8" t="inlineStr">
        <is>
          <t>FRENO 240 EC</t>
        </is>
      </c>
      <c r="E717" s="7" t="inlineStr">
        <is>
          <t>Pulverização Agrícola Conforme Bula</t>
        </is>
      </c>
      <c r="F717" s="7" t="inlineStr">
        <is>
          <t>Mandioca</t>
        </is>
      </c>
      <c r="G717" s="7" t="inlineStr">
        <is>
          <t>Cultura Autorizada na Bula</t>
        </is>
      </c>
      <c r="H717" s="7" t="inlineStr">
        <is>
          <t>100 a 300 L/ha</t>
        </is>
      </c>
      <c r="I717" s="7" t="inlineStr">
        <is>
          <t>20 a 40 L/ha</t>
        </is>
      </c>
      <c r="J717" s="7" t="inlineStr">
        <is>
          <t>90 dias</t>
        </is>
      </c>
    </row>
    <row r="718" ht="22" customHeight="1">
      <c r="A718" s="12" t="inlineStr">
        <is>
          <t>CUL-0714</t>
        </is>
      </c>
      <c r="B718" s="11" t="n">
        <v>139</v>
      </c>
      <c r="C718" s="13" t="inlineStr">
        <is>
          <t>Nº 13419</t>
        </is>
      </c>
      <c r="D718" s="14" t="inlineStr">
        <is>
          <t>FRENO 240 EC</t>
        </is>
      </c>
      <c r="E718" s="13" t="inlineStr">
        <is>
          <t>Pulverização Agrícola Conforme Bula</t>
        </is>
      </c>
      <c r="F718" s="13" t="inlineStr">
        <is>
          <t>Tomate</t>
        </is>
      </c>
      <c r="G718" s="13" t="inlineStr">
        <is>
          <t>Cultura Autorizada na Bula</t>
        </is>
      </c>
      <c r="H718" s="13" t="inlineStr">
        <is>
          <t>100 a 300 L/ha</t>
        </is>
      </c>
      <c r="I718" s="13" t="inlineStr">
        <is>
          <t>20 a 40 L/ha</t>
        </is>
      </c>
      <c r="J718" s="13" t="inlineStr">
        <is>
          <t>20 dias</t>
        </is>
      </c>
    </row>
    <row r="719" ht="22" customHeight="1">
      <c r="A719" s="6" t="inlineStr">
        <is>
          <t>CUL-0715</t>
        </is>
      </c>
      <c r="B719" s="5" t="n">
        <v>140</v>
      </c>
      <c r="C719" s="7" t="inlineStr">
        <is>
          <t>ISENTO (ATO 104/2017)</t>
        </is>
      </c>
      <c r="D719" s="8" t="inlineStr">
        <is>
          <t>AGRICOIL VEGETAL</t>
        </is>
      </c>
      <c r="E719" s="7" t="inlineStr">
        <is>
          <t>Pulverização Agrícola Conforme Bula</t>
        </is>
      </c>
      <c r="F719" s="7" t="inlineStr">
        <is>
          <t>Soja, Milho, Algodão, Café, Citros, Cana-de-açúcar (Adição à calda)</t>
        </is>
      </c>
      <c r="G719" s="7" t="inlineStr">
        <is>
          <t>Cultura Autorizada na Bula</t>
        </is>
      </c>
      <c r="H719" s="7" t="inlineStr">
        <is>
          <t>100 a 300 L/ha</t>
        </is>
      </c>
      <c r="I719" s="7" t="inlineStr">
        <is>
          <t>20 a 40 L/ha</t>
        </is>
      </c>
      <c r="J719" s="7" t="inlineStr">
        <is>
          <t>Conforme defensivo principal</t>
        </is>
      </c>
    </row>
    <row r="720" ht="22" customHeight="1">
      <c r="A720" s="12" t="inlineStr">
        <is>
          <t>CUL-0716</t>
        </is>
      </c>
      <c r="B720" s="11" t="n">
        <v>141</v>
      </c>
      <c r="C720" s="13" t="inlineStr">
        <is>
          <t>SIPEAGRO (UF-XXXXX)</t>
        </is>
      </c>
      <c r="D720" s="14" t="inlineStr">
        <is>
          <t>AGCN ULTRA S</t>
        </is>
      </c>
      <c r="E720" s="13" t="inlineStr">
        <is>
          <t>Pulverização Agrícola Conforme Bula</t>
        </is>
      </c>
      <c r="F720" s="13" t="inlineStr">
        <is>
          <t>Grandes Culturas, Perenes e Pastagens</t>
        </is>
      </c>
      <c r="G720" s="13" t="inlineStr">
        <is>
          <t>Cultura Autorizada na Bula</t>
        </is>
      </c>
      <c r="H720" s="13" t="inlineStr">
        <is>
          <t>100 a 300 L/ha</t>
        </is>
      </c>
      <c r="I720" s="13" t="inlineStr">
        <is>
          <t>20 a 40 L/ha</t>
        </is>
      </c>
      <c r="J720" s="13" t="inlineStr">
        <is>
          <t>Isento</t>
        </is>
      </c>
    </row>
    <row r="721" ht="22" customHeight="1">
      <c r="A721" s="6" t="inlineStr">
        <is>
          <t>CUL-0717</t>
        </is>
      </c>
      <c r="B721" s="5" t="n">
        <v>142</v>
      </c>
      <c r="C721" s="7" t="inlineStr">
        <is>
          <t>Nº 0115</t>
        </is>
      </c>
      <c r="D721" s="8" t="inlineStr">
        <is>
          <t>2,4-D DECORUM</t>
        </is>
      </c>
      <c r="E721" s="7" t="inlineStr">
        <is>
          <t>Pulverização Agrícola Conforme Bula</t>
        </is>
      </c>
      <c r="F721" s="7" t="inlineStr">
        <is>
          <t>Soja (Dessecação Pré-Plantio)</t>
        </is>
      </c>
      <c r="G721" s="7" t="inlineStr">
        <is>
          <t>Cultura Autorizada na Bula</t>
        </is>
      </c>
      <c r="H721" s="7" t="inlineStr">
        <is>
          <t>100 a 300 L/ha</t>
        </is>
      </c>
      <c r="I721" s="7" t="inlineStr">
        <is>
          <t>20 a 40 L/ha</t>
        </is>
      </c>
      <c r="J721" s="7" t="inlineStr">
        <is>
          <t>N/D</t>
        </is>
      </c>
    </row>
    <row r="722" ht="22" customHeight="1">
      <c r="A722" s="12" t="inlineStr">
        <is>
          <t>CUL-0718</t>
        </is>
      </c>
      <c r="B722" s="11" t="n">
        <v>142</v>
      </c>
      <c r="C722" s="13" t="inlineStr">
        <is>
          <t>Nº 0115</t>
        </is>
      </c>
      <c r="D722" s="14" t="inlineStr">
        <is>
          <t>2,4-D DECORUM</t>
        </is>
      </c>
      <c r="E722" s="13" t="inlineStr">
        <is>
          <t>Pulverização Agrícola Conforme Bula</t>
        </is>
      </c>
      <c r="F722" s="13" t="inlineStr">
        <is>
          <t>Milho</t>
        </is>
      </c>
      <c r="G722" s="13" t="inlineStr">
        <is>
          <t>Cultura Autorizada na Bula</t>
        </is>
      </c>
      <c r="H722" s="13" t="inlineStr">
        <is>
          <t>100 a 300 L/ha</t>
        </is>
      </c>
      <c r="I722" s="13" t="inlineStr">
        <is>
          <t>20 a 40 L/ha</t>
        </is>
      </c>
      <c r="J722" s="13" t="inlineStr">
        <is>
          <t>40 dias</t>
        </is>
      </c>
    </row>
    <row r="723" ht="22" customHeight="1">
      <c r="A723" s="6" t="inlineStr">
        <is>
          <t>CUL-0719</t>
        </is>
      </c>
      <c r="B723" s="5" t="n">
        <v>142</v>
      </c>
      <c r="C723" s="7" t="inlineStr">
        <is>
          <t>Nº 0115</t>
        </is>
      </c>
      <c r="D723" s="8" t="inlineStr">
        <is>
          <t>2,4-D DECORUM</t>
        </is>
      </c>
      <c r="E723" s="7" t="inlineStr">
        <is>
          <t>Pulverização Agrícola Conforme Bula</t>
        </is>
      </c>
      <c r="F723" s="7" t="inlineStr">
        <is>
          <t>Cana-de-açúcar</t>
        </is>
      </c>
      <c r="G723" s="7" t="inlineStr">
        <is>
          <t>Cultura Autorizada na Bula</t>
        </is>
      </c>
      <c r="H723" s="7" t="inlineStr">
        <is>
          <t>100 a 300 L/ha</t>
        </is>
      </c>
      <c r="I723" s="7" t="inlineStr">
        <is>
          <t>20 a 40 L/ha</t>
        </is>
      </c>
      <c r="J723" s="7" t="inlineStr">
        <is>
          <t>N/D</t>
        </is>
      </c>
    </row>
    <row r="724" ht="22" customHeight="1">
      <c r="A724" s="12" t="inlineStr">
        <is>
          <t>CUL-0720</t>
        </is>
      </c>
      <c r="B724" s="11" t="n">
        <v>142</v>
      </c>
      <c r="C724" s="13" t="inlineStr">
        <is>
          <t>Nº 0115</t>
        </is>
      </c>
      <c r="D724" s="14" t="inlineStr">
        <is>
          <t>2,4-D DECORUM</t>
        </is>
      </c>
      <c r="E724" s="13" t="inlineStr">
        <is>
          <t>Pulverização Agrícola Conforme Bula</t>
        </is>
      </c>
      <c r="F724" s="13" t="inlineStr">
        <is>
          <t>Trigo</t>
        </is>
      </c>
      <c r="G724" s="13" t="inlineStr">
        <is>
          <t>Cultura Autorizada na Bula</t>
        </is>
      </c>
      <c r="H724" s="13" t="inlineStr">
        <is>
          <t>100 a 300 L/ha</t>
        </is>
      </c>
      <c r="I724" s="13" t="inlineStr">
        <is>
          <t>20 a 40 L/ha</t>
        </is>
      </c>
      <c r="J724" s="13" t="inlineStr">
        <is>
          <t>45 dias</t>
        </is>
      </c>
    </row>
    <row r="725" ht="22" customHeight="1">
      <c r="A725" s="6" t="inlineStr">
        <is>
          <t>CUL-0721</t>
        </is>
      </c>
      <c r="B725" s="5" t="n">
        <v>142</v>
      </c>
      <c r="C725" s="7" t="inlineStr">
        <is>
          <t>Nº 0115</t>
        </is>
      </c>
      <c r="D725" s="8" t="inlineStr">
        <is>
          <t>2,4-D DECORUM</t>
        </is>
      </c>
      <c r="E725" s="7" t="inlineStr">
        <is>
          <t>Pulverização Agrícola Conforme Bula</t>
        </is>
      </c>
      <c r="F725" s="7" t="inlineStr">
        <is>
          <t>Pastagens</t>
        </is>
      </c>
      <c r="G725" s="7" t="inlineStr">
        <is>
          <t>Cultura Autorizada na Bula</t>
        </is>
      </c>
      <c r="H725" s="7" t="inlineStr">
        <is>
          <t>100 a 300 L/ha</t>
        </is>
      </c>
      <c r="I725" s="7" t="inlineStr">
        <is>
          <t>20 a 40 L/ha</t>
        </is>
      </c>
      <c r="J725" s="7" t="inlineStr">
        <is>
          <t>N/D</t>
        </is>
      </c>
    </row>
    <row r="726" ht="22" customHeight="1">
      <c r="A726" s="12" t="inlineStr">
        <is>
          <t>CUL-0722</t>
        </is>
      </c>
      <c r="B726" s="11" t="n">
        <v>143</v>
      </c>
      <c r="C726" s="13" t="inlineStr">
        <is>
          <t>Nº 31522</t>
        </is>
      </c>
      <c r="D726" s="14" t="inlineStr">
        <is>
          <t>METOMY</t>
        </is>
      </c>
      <c r="E726" s="13" t="inlineStr">
        <is>
          <t>Pulverização Agrícola Conforme Bula</t>
        </is>
      </c>
      <c r="F726" s="13" t="inlineStr">
        <is>
          <t>Soja</t>
        </is>
      </c>
      <c r="G726" s="13" t="inlineStr">
        <is>
          <t>Cultura Autorizada na Bula</t>
        </is>
      </c>
      <c r="H726" s="13" t="inlineStr">
        <is>
          <t>100 a 300 L/ha</t>
        </is>
      </c>
      <c r="I726" s="13" t="inlineStr">
        <is>
          <t>20 a 40 L/ha</t>
        </is>
      </c>
      <c r="J726" s="13" t="inlineStr">
        <is>
          <t>14 dias</t>
        </is>
      </c>
    </row>
    <row r="727" ht="22" customHeight="1">
      <c r="A727" s="6" t="inlineStr">
        <is>
          <t>CUL-0723</t>
        </is>
      </c>
      <c r="B727" s="5" t="n">
        <v>143</v>
      </c>
      <c r="C727" s="7" t="inlineStr">
        <is>
          <t>Nº 31522</t>
        </is>
      </c>
      <c r="D727" s="8" t="inlineStr">
        <is>
          <t>METOMY</t>
        </is>
      </c>
      <c r="E727" s="7" t="inlineStr">
        <is>
          <t>Pulverização Agrícola Conforme Bula</t>
        </is>
      </c>
      <c r="F727" s="7" t="inlineStr">
        <is>
          <t>Milho</t>
        </is>
      </c>
      <c r="G727" s="7" t="inlineStr">
        <is>
          <t>Cultura Autorizada na Bula</t>
        </is>
      </c>
      <c r="H727" s="7" t="inlineStr">
        <is>
          <t>100 a 300 L/ha</t>
        </is>
      </c>
      <c r="I727" s="7" t="inlineStr">
        <is>
          <t>20 a 40 L/ha</t>
        </is>
      </c>
      <c r="J727" s="7" t="inlineStr">
        <is>
          <t>14 dias</t>
        </is>
      </c>
    </row>
    <row r="728" ht="22" customHeight="1">
      <c r="A728" s="12" t="inlineStr">
        <is>
          <t>CUL-0724</t>
        </is>
      </c>
      <c r="B728" s="11" t="n">
        <v>143</v>
      </c>
      <c r="C728" s="13" t="inlineStr">
        <is>
          <t>Nº 31522</t>
        </is>
      </c>
      <c r="D728" s="14" t="inlineStr">
        <is>
          <t>METOMY</t>
        </is>
      </c>
      <c r="E728" s="13" t="inlineStr">
        <is>
          <t>Pulverização Agrícola Conforme Bula</t>
        </is>
      </c>
      <c r="F728" s="13" t="inlineStr">
        <is>
          <t>Algodão</t>
        </is>
      </c>
      <c r="G728" s="13" t="inlineStr">
        <is>
          <t>Cultura Autorizada na Bula</t>
        </is>
      </c>
      <c r="H728" s="13" t="inlineStr">
        <is>
          <t>100 a 300 L/ha</t>
        </is>
      </c>
      <c r="I728" s="13" t="inlineStr">
        <is>
          <t>20 a 40 L/ha</t>
        </is>
      </c>
      <c r="J728" s="13" t="inlineStr">
        <is>
          <t>14 dias</t>
        </is>
      </c>
    </row>
    <row r="729" ht="22" customHeight="1">
      <c r="A729" s="6" t="inlineStr">
        <is>
          <t>CUL-0725</t>
        </is>
      </c>
      <c r="B729" s="5" t="n">
        <v>143</v>
      </c>
      <c r="C729" s="7" t="inlineStr">
        <is>
          <t>Nº 31522</t>
        </is>
      </c>
      <c r="D729" s="8" t="inlineStr">
        <is>
          <t>METOMY</t>
        </is>
      </c>
      <c r="E729" s="7" t="inlineStr">
        <is>
          <t>Pulverização Agrícola Conforme Bula</t>
        </is>
      </c>
      <c r="F729" s="7" t="inlineStr">
        <is>
          <t>Trigo</t>
        </is>
      </c>
      <c r="G729" s="7" t="inlineStr">
        <is>
          <t>Cultura Autorizada na Bula</t>
        </is>
      </c>
      <c r="H729" s="7" t="inlineStr">
        <is>
          <t>100 a 300 L/ha</t>
        </is>
      </c>
      <c r="I729" s="7" t="inlineStr">
        <is>
          <t>20 a 40 L/ha</t>
        </is>
      </c>
      <c r="J729" s="7" t="inlineStr">
        <is>
          <t>14 dias</t>
        </is>
      </c>
    </row>
    <row r="730" ht="22" customHeight="1">
      <c r="A730" s="12" t="inlineStr">
        <is>
          <t>CUL-0726</t>
        </is>
      </c>
      <c r="B730" s="11" t="n">
        <v>143</v>
      </c>
      <c r="C730" s="13" t="inlineStr">
        <is>
          <t>Nº 31522</t>
        </is>
      </c>
      <c r="D730" s="14" t="inlineStr">
        <is>
          <t>METOMY</t>
        </is>
      </c>
      <c r="E730" s="13" t="inlineStr">
        <is>
          <t>Pulverização Agrícola Conforme Bula</t>
        </is>
      </c>
      <c r="F730" s="13" t="inlineStr">
        <is>
          <t>Batata</t>
        </is>
      </c>
      <c r="G730" s="13" t="inlineStr">
        <is>
          <t>Cultura Autorizada na Bula</t>
        </is>
      </c>
      <c r="H730" s="13" t="inlineStr">
        <is>
          <t>100 a 300 L/ha</t>
        </is>
      </c>
      <c r="I730" s="13" t="inlineStr">
        <is>
          <t>20 a 40 L/ha</t>
        </is>
      </c>
      <c r="J730" s="13" t="inlineStr">
        <is>
          <t>14 dias</t>
        </is>
      </c>
    </row>
    <row r="731" ht="22" customHeight="1">
      <c r="A731" s="6" t="inlineStr">
        <is>
          <t>CUL-0727</t>
        </is>
      </c>
      <c r="B731" s="5" t="n">
        <v>143</v>
      </c>
      <c r="C731" s="7" t="inlineStr">
        <is>
          <t>Nº 31522</t>
        </is>
      </c>
      <c r="D731" s="8" t="inlineStr">
        <is>
          <t>METOMY</t>
        </is>
      </c>
      <c r="E731" s="7" t="inlineStr">
        <is>
          <t>Pulverização Agrícola Conforme Bula</t>
        </is>
      </c>
      <c r="F731" s="7" t="inlineStr">
        <is>
          <t>Tomate</t>
        </is>
      </c>
      <c r="G731" s="7" t="inlineStr">
        <is>
          <t>Cultura Autorizada na Bula</t>
        </is>
      </c>
      <c r="H731" s="7" t="inlineStr">
        <is>
          <t>100 a 300 L/ha</t>
        </is>
      </c>
      <c r="I731" s="7" t="inlineStr">
        <is>
          <t>20 a 40 L/ha</t>
        </is>
      </c>
      <c r="J731" s="7" t="inlineStr">
        <is>
          <t>3 dias</t>
        </is>
      </c>
    </row>
    <row r="732" ht="22" customHeight="1">
      <c r="A732" s="12" t="inlineStr">
        <is>
          <t>CUL-0728</t>
        </is>
      </c>
      <c r="B732" s="11" t="n">
        <v>144</v>
      </c>
      <c r="C732" s="13" t="inlineStr">
        <is>
          <t>Nº 34122</t>
        </is>
      </c>
      <c r="D732" s="14" t="inlineStr">
        <is>
          <t>METRARO EC</t>
        </is>
      </c>
      <c r="E732" s="13" t="inlineStr">
        <is>
          <t>Pulverização Agrícola Conforme Bula</t>
        </is>
      </c>
      <c r="F732" s="13" t="inlineStr">
        <is>
          <t>Soja</t>
        </is>
      </c>
      <c r="G732" s="13" t="inlineStr">
        <is>
          <t>Cultura Autorizada na Bula</t>
        </is>
      </c>
      <c r="H732" s="13" t="inlineStr">
        <is>
          <t>100 a 300 L/ha</t>
        </is>
      </c>
      <c r="I732" s="13" t="inlineStr">
        <is>
          <t>20 a 40 L/ha</t>
        </is>
      </c>
      <c r="J732" s="13" t="inlineStr">
        <is>
          <t>N/D</t>
        </is>
      </c>
    </row>
    <row r="733" ht="22" customHeight="1">
      <c r="A733" s="6" t="inlineStr">
        <is>
          <t>CUL-0729</t>
        </is>
      </c>
      <c r="B733" s="5" t="n">
        <v>144</v>
      </c>
      <c r="C733" s="7" t="inlineStr">
        <is>
          <t>Nº 34122</t>
        </is>
      </c>
      <c r="D733" s="8" t="inlineStr">
        <is>
          <t>METRARO EC</t>
        </is>
      </c>
      <c r="E733" s="7" t="inlineStr">
        <is>
          <t>Pulverização Agrícola Conforme Bula</t>
        </is>
      </c>
      <c r="F733" s="7" t="inlineStr">
        <is>
          <t>Milho</t>
        </is>
      </c>
      <c r="G733" s="7" t="inlineStr">
        <is>
          <t>Cultura Autorizada na Bula</t>
        </is>
      </c>
      <c r="H733" s="7" t="inlineStr">
        <is>
          <t>100 a 300 L/ha</t>
        </is>
      </c>
      <c r="I733" s="7" t="inlineStr">
        <is>
          <t>20 a 40 L/ha</t>
        </is>
      </c>
      <c r="J733" s="7" t="inlineStr">
        <is>
          <t>N/D</t>
        </is>
      </c>
    </row>
    <row r="734" ht="22" customHeight="1">
      <c r="A734" s="12" t="inlineStr">
        <is>
          <t>CUL-0730</t>
        </is>
      </c>
      <c r="B734" s="11" t="n">
        <v>144</v>
      </c>
      <c r="C734" s="13" t="inlineStr">
        <is>
          <t>Nº 34122</t>
        </is>
      </c>
      <c r="D734" s="14" t="inlineStr">
        <is>
          <t>METRARO EC</t>
        </is>
      </c>
      <c r="E734" s="13" t="inlineStr">
        <is>
          <t>Pulverização Agrícola Conforme Bula</t>
        </is>
      </c>
      <c r="F734" s="13" t="inlineStr">
        <is>
          <t>Algodão</t>
        </is>
      </c>
      <c r="G734" s="13" t="inlineStr">
        <is>
          <t>Cultura Autorizada na Bula</t>
        </is>
      </c>
      <c r="H734" s="13" t="inlineStr">
        <is>
          <t>100 a 300 L/ha</t>
        </is>
      </c>
      <c r="I734" s="13" t="inlineStr">
        <is>
          <t>20 a 40 L/ha</t>
        </is>
      </c>
      <c r="J734" s="13" t="inlineStr">
        <is>
          <t>N/D</t>
        </is>
      </c>
    </row>
    <row r="735" ht="22" customHeight="1">
      <c r="A735" s="6" t="inlineStr">
        <is>
          <t>CUL-0731</t>
        </is>
      </c>
      <c r="B735" s="5" t="n">
        <v>144</v>
      </c>
      <c r="C735" s="7" t="inlineStr">
        <is>
          <t>Nº 34122</t>
        </is>
      </c>
      <c r="D735" s="8" t="inlineStr">
        <is>
          <t>METRARO EC</t>
        </is>
      </c>
      <c r="E735" s="7" t="inlineStr">
        <is>
          <t>Pulverização Agrícola Conforme Bula</t>
        </is>
      </c>
      <c r="F735" s="7" t="inlineStr">
        <is>
          <t>Cana-de-açúcar</t>
        </is>
      </c>
      <c r="G735" s="7" t="inlineStr">
        <is>
          <t>Cultura Autorizada na Bula</t>
        </is>
      </c>
      <c r="H735" s="7" t="inlineStr">
        <is>
          <t>100 a 300 L/ha</t>
        </is>
      </c>
      <c r="I735" s="7" t="inlineStr">
        <is>
          <t>20 a 40 L/ha</t>
        </is>
      </c>
      <c r="J735" s="7" t="inlineStr">
        <is>
          <t>N/D</t>
        </is>
      </c>
    </row>
    <row r="736" ht="22" customHeight="1">
      <c r="A736" s="12" t="inlineStr">
        <is>
          <t>CUL-0732</t>
        </is>
      </c>
      <c r="B736" s="11" t="n">
        <v>144</v>
      </c>
      <c r="C736" s="13" t="inlineStr">
        <is>
          <t>Nº 34122</t>
        </is>
      </c>
      <c r="D736" s="14" t="inlineStr">
        <is>
          <t>METRARO EC</t>
        </is>
      </c>
      <c r="E736" s="13" t="inlineStr">
        <is>
          <t>Pulverização Agrícola Conforme Bula</t>
        </is>
      </c>
      <c r="F736" s="13" t="inlineStr">
        <is>
          <t>Feijão</t>
        </is>
      </c>
      <c r="G736" s="13" t="inlineStr">
        <is>
          <t>Cultura Autorizada na Bula</t>
        </is>
      </c>
      <c r="H736" s="13" t="inlineStr">
        <is>
          <t>100 a 300 L/ha</t>
        </is>
      </c>
      <c r="I736" s="13" t="inlineStr">
        <is>
          <t>20 a 40 L/ha</t>
        </is>
      </c>
      <c r="J736" s="13" t="inlineStr">
        <is>
          <t>N/D</t>
        </is>
      </c>
    </row>
    <row r="737" ht="22" customHeight="1">
      <c r="A737" s="6" t="inlineStr">
        <is>
          <t>CUL-0733</t>
        </is>
      </c>
      <c r="B737" s="5" t="n">
        <v>145</v>
      </c>
      <c r="C737" s="7" t="inlineStr">
        <is>
          <t>Nº 13720</t>
        </is>
      </c>
      <c r="D737" s="8" t="inlineStr">
        <is>
          <t>VELBOW</t>
        </is>
      </c>
      <c r="E737" s="7" t="inlineStr">
        <is>
          <t>Pulverização Agrícola Conforme Bula</t>
        </is>
      </c>
      <c r="F737" s="7" t="inlineStr">
        <is>
          <t>Soja</t>
        </is>
      </c>
      <c r="G737" s="7" t="inlineStr">
        <is>
          <t>Cultura Autorizada na Bula</t>
        </is>
      </c>
      <c r="H737" s="7" t="inlineStr">
        <is>
          <t>100 a 300 L/ha</t>
        </is>
      </c>
      <c r="I737" s="7" t="inlineStr">
        <is>
          <t>20 a 40 L/ha</t>
        </is>
      </c>
      <c r="J737" s="7" t="inlineStr">
        <is>
          <t>60 dias</t>
        </is>
      </c>
    </row>
    <row r="738" ht="22" customHeight="1">
      <c r="A738" s="12" t="inlineStr">
        <is>
          <t>CUL-0734</t>
        </is>
      </c>
      <c r="B738" s="11" t="n">
        <v>145</v>
      </c>
      <c r="C738" s="13" t="inlineStr">
        <is>
          <t>Nº 13720</t>
        </is>
      </c>
      <c r="D738" s="14" t="inlineStr">
        <is>
          <t>VELBOW</t>
        </is>
      </c>
      <c r="E738" s="13" t="inlineStr">
        <is>
          <t>Pulverização Agrícola Conforme Bula</t>
        </is>
      </c>
      <c r="F738" s="13" t="inlineStr">
        <is>
          <t>Milho</t>
        </is>
      </c>
      <c r="G738" s="13" t="inlineStr">
        <is>
          <t>Cultura Autorizada na Bula</t>
        </is>
      </c>
      <c r="H738" s="13" t="inlineStr">
        <is>
          <t>100 a 300 L/ha</t>
        </is>
      </c>
      <c r="I738" s="13" t="inlineStr">
        <is>
          <t>20 a 40 L/ha</t>
        </is>
      </c>
      <c r="J738" s="13" t="inlineStr">
        <is>
          <t>45 dias</t>
        </is>
      </c>
    </row>
    <row r="739" ht="22" customHeight="1">
      <c r="A739" s="6" t="inlineStr">
        <is>
          <t>CUL-0735</t>
        </is>
      </c>
      <c r="B739" s="5" t="n">
        <v>145</v>
      </c>
      <c r="C739" s="7" t="inlineStr">
        <is>
          <t>Nº 13720</t>
        </is>
      </c>
      <c r="D739" s="8" t="inlineStr">
        <is>
          <t>VELBOW</t>
        </is>
      </c>
      <c r="E739" s="7" t="inlineStr">
        <is>
          <t>Pulverização Agrícola Conforme Bula</t>
        </is>
      </c>
      <c r="F739" s="7" t="inlineStr">
        <is>
          <t>Algodão</t>
        </is>
      </c>
      <c r="G739" s="7" t="inlineStr">
        <is>
          <t>Cultura Autorizada na Bula</t>
        </is>
      </c>
      <c r="H739" s="7" t="inlineStr">
        <is>
          <t>100 a 300 L/ha</t>
        </is>
      </c>
      <c r="I739" s="7" t="inlineStr">
        <is>
          <t>20 a 40 L/ha</t>
        </is>
      </c>
      <c r="J739" s="7" t="inlineStr">
        <is>
          <t>60 dias</t>
        </is>
      </c>
    </row>
    <row r="740" ht="22" customHeight="1">
      <c r="A740" s="12" t="inlineStr">
        <is>
          <t>CUL-0736</t>
        </is>
      </c>
      <c r="B740" s="11" t="n">
        <v>145</v>
      </c>
      <c r="C740" s="13" t="inlineStr">
        <is>
          <t>Nº 13720</t>
        </is>
      </c>
      <c r="D740" s="14" t="inlineStr">
        <is>
          <t>VELBOW</t>
        </is>
      </c>
      <c r="E740" s="13" t="inlineStr">
        <is>
          <t>Pulverização Agrícola Conforme Bula</t>
        </is>
      </c>
      <c r="F740" s="13" t="inlineStr">
        <is>
          <t>Cana-de-açúcar</t>
        </is>
      </c>
      <c r="G740" s="13" t="inlineStr">
        <is>
          <t>Cultura Autorizada na Bula</t>
        </is>
      </c>
      <c r="H740" s="13" t="inlineStr">
        <is>
          <t>100 a 300 L/ha</t>
        </is>
      </c>
      <c r="I740" s="13" t="inlineStr">
        <is>
          <t>20 a 40 L/ha</t>
        </is>
      </c>
      <c r="J740" s="13" t="inlineStr">
        <is>
          <t>90 dias</t>
        </is>
      </c>
    </row>
    <row r="741" ht="22" customHeight="1">
      <c r="A741" s="6" t="inlineStr">
        <is>
          <t>CUL-0737</t>
        </is>
      </c>
      <c r="B741" s="5" t="n">
        <v>146</v>
      </c>
      <c r="C741" s="7" t="inlineStr">
        <is>
          <t>Nº 3522</t>
        </is>
      </c>
      <c r="D741" s="8" t="inlineStr">
        <is>
          <t>TAGZOLE 250 EC</t>
        </is>
      </c>
      <c r="E741" s="7" t="inlineStr">
        <is>
          <t>Pulverização Agrícola Conforme Bula</t>
        </is>
      </c>
      <c r="F741" s="7" t="inlineStr">
        <is>
          <t>Soja</t>
        </is>
      </c>
      <c r="G741" s="7" t="inlineStr">
        <is>
          <t>Cultura Autorizada na Bula</t>
        </is>
      </c>
      <c r="H741" s="7" t="inlineStr">
        <is>
          <t>100 a 300 L/ha</t>
        </is>
      </c>
      <c r="I741" s="7" t="inlineStr">
        <is>
          <t>20 a 40 L/ha</t>
        </is>
      </c>
      <c r="J741" s="7" t="inlineStr">
        <is>
          <t>30 dias</t>
        </is>
      </c>
    </row>
    <row r="742" ht="22" customHeight="1">
      <c r="A742" s="12" t="inlineStr">
        <is>
          <t>CUL-0738</t>
        </is>
      </c>
      <c r="B742" s="11" t="n">
        <v>146</v>
      </c>
      <c r="C742" s="13" t="inlineStr">
        <is>
          <t>Nº 3522</t>
        </is>
      </c>
      <c r="D742" s="14" t="inlineStr">
        <is>
          <t>TAGZOLE 250 EC</t>
        </is>
      </c>
      <c r="E742" s="13" t="inlineStr">
        <is>
          <t>Pulverização Agrícola Conforme Bula</t>
        </is>
      </c>
      <c r="F742" s="13" t="inlineStr">
        <is>
          <t>Algodão</t>
        </is>
      </c>
      <c r="G742" s="13" t="inlineStr">
        <is>
          <t>Cultura Autorizada na Bula</t>
        </is>
      </c>
      <c r="H742" s="13" t="inlineStr">
        <is>
          <t>100 a 300 L/ha</t>
        </is>
      </c>
      <c r="I742" s="13" t="inlineStr">
        <is>
          <t>20 a 40 L/ha</t>
        </is>
      </c>
      <c r="J742" s="13" t="inlineStr">
        <is>
          <t>30 dias</t>
        </is>
      </c>
    </row>
    <row r="743" ht="22" customHeight="1">
      <c r="A743" s="6" t="inlineStr">
        <is>
          <t>CUL-0739</t>
        </is>
      </c>
      <c r="B743" s="5" t="n">
        <v>146</v>
      </c>
      <c r="C743" s="7" t="inlineStr">
        <is>
          <t>Nº 3522</t>
        </is>
      </c>
      <c r="D743" s="8" t="inlineStr">
        <is>
          <t>TAGZOLE 250 EC</t>
        </is>
      </c>
      <c r="E743" s="7" t="inlineStr">
        <is>
          <t>Pulverização Agrícola Conforme Bula</t>
        </is>
      </c>
      <c r="F743" s="7" t="inlineStr">
        <is>
          <t>Feijão</t>
        </is>
      </c>
      <c r="G743" s="7" t="inlineStr">
        <is>
          <t>Cultura Autorizada na Bula</t>
        </is>
      </c>
      <c r="H743" s="7" t="inlineStr">
        <is>
          <t>100 a 300 L/ha</t>
        </is>
      </c>
      <c r="I743" s="7" t="inlineStr">
        <is>
          <t>20 a 40 L/ha</t>
        </is>
      </c>
      <c r="J743" s="7" t="inlineStr">
        <is>
          <t>14 dias</t>
        </is>
      </c>
    </row>
    <row r="744" ht="22" customHeight="1">
      <c r="A744" s="12" t="inlineStr">
        <is>
          <t>CUL-0740</t>
        </is>
      </c>
      <c r="B744" s="11" t="n">
        <v>146</v>
      </c>
      <c r="C744" s="13" t="inlineStr">
        <is>
          <t>Nº 3522</t>
        </is>
      </c>
      <c r="D744" s="14" t="inlineStr">
        <is>
          <t>TAGZOLE 250 EC</t>
        </is>
      </c>
      <c r="E744" s="13" t="inlineStr">
        <is>
          <t>Pulverização Agrícola Conforme Bula</t>
        </is>
      </c>
      <c r="F744" s="13" t="inlineStr">
        <is>
          <t>Arroz</t>
        </is>
      </c>
      <c r="G744" s="13" t="inlineStr">
        <is>
          <t>Cultura Autorizada na Bula</t>
        </is>
      </c>
      <c r="H744" s="13" t="inlineStr">
        <is>
          <t>100 a 300 L/ha</t>
        </is>
      </c>
      <c r="I744" s="13" t="inlineStr">
        <is>
          <t>20 a 40 L/ha</t>
        </is>
      </c>
      <c r="J744" s="13" t="inlineStr">
        <is>
          <t>40 dias</t>
        </is>
      </c>
    </row>
    <row r="745" ht="22" customHeight="1">
      <c r="A745" s="6" t="inlineStr">
        <is>
          <t>CUL-0741</t>
        </is>
      </c>
      <c r="B745" s="5" t="n">
        <v>146</v>
      </c>
      <c r="C745" s="7" t="inlineStr">
        <is>
          <t>Nº 3522</t>
        </is>
      </c>
      <c r="D745" s="8" t="inlineStr">
        <is>
          <t>TAGZOLE 250 EC</t>
        </is>
      </c>
      <c r="E745" s="7" t="inlineStr">
        <is>
          <t>Pulverização Agrícola Conforme Bula</t>
        </is>
      </c>
      <c r="F745" s="7" t="inlineStr">
        <is>
          <t>Café</t>
        </is>
      </c>
      <c r="G745" s="7" t="inlineStr">
        <is>
          <t>Cultura Autorizada na Bula</t>
        </is>
      </c>
      <c r="H745" s="7" t="inlineStr">
        <is>
          <t>100 a 300 L/ha</t>
        </is>
      </c>
      <c r="I745" s="7" t="inlineStr">
        <is>
          <t>20 a 40 L/ha</t>
        </is>
      </c>
      <c r="J745" s="7" t="inlineStr">
        <is>
          <t>30 dias</t>
        </is>
      </c>
    </row>
    <row r="746" ht="22" customHeight="1">
      <c r="A746" s="12" t="inlineStr">
        <is>
          <t>CUL-0742</t>
        </is>
      </c>
      <c r="B746" s="11" t="n">
        <v>146</v>
      </c>
      <c r="C746" s="13" t="inlineStr">
        <is>
          <t>Nº 3522</t>
        </is>
      </c>
      <c r="D746" s="14" t="inlineStr">
        <is>
          <t>TAGZOLE 250 EC</t>
        </is>
      </c>
      <c r="E746" s="13" t="inlineStr">
        <is>
          <t>Pulverização Agrícola Conforme Bula</t>
        </is>
      </c>
      <c r="F746" s="13" t="inlineStr">
        <is>
          <t>Trigo</t>
        </is>
      </c>
      <c r="G746" s="13" t="inlineStr">
        <is>
          <t>Cultura Autorizada na Bula</t>
        </is>
      </c>
      <c r="H746" s="13" t="inlineStr">
        <is>
          <t>100 a 300 L/ha</t>
        </is>
      </c>
      <c r="I746" s="13" t="inlineStr">
        <is>
          <t>20 a 40 L/ha</t>
        </is>
      </c>
      <c r="J746" s="13" t="inlineStr">
        <is>
          <t>35 dias</t>
        </is>
      </c>
    </row>
    <row r="747" ht="22" customHeight="1">
      <c r="A747" s="6" t="inlineStr">
        <is>
          <t>CUL-0743</t>
        </is>
      </c>
      <c r="B747" s="5" t="n">
        <v>146</v>
      </c>
      <c r="C747" s="7" t="inlineStr">
        <is>
          <t>Nº 3522</t>
        </is>
      </c>
      <c r="D747" s="8" t="inlineStr">
        <is>
          <t>TAGZOLE 250 EC</t>
        </is>
      </c>
      <c r="E747" s="7" t="inlineStr">
        <is>
          <t>Pulverização Agrícola Conforme Bula</t>
        </is>
      </c>
      <c r="F747" s="7" t="inlineStr">
        <is>
          <t>Tomate</t>
        </is>
      </c>
      <c r="G747" s="7" t="inlineStr">
        <is>
          <t>Cultura Autorizada na Bula</t>
        </is>
      </c>
      <c r="H747" s="7" t="inlineStr">
        <is>
          <t>100 a 300 L/ha</t>
        </is>
      </c>
      <c r="I747" s="7" t="inlineStr">
        <is>
          <t>20 a 40 L/ha</t>
        </is>
      </c>
      <c r="J747" s="7" t="inlineStr">
        <is>
          <t>7 dias</t>
        </is>
      </c>
    </row>
    <row r="748" ht="22" customHeight="1">
      <c r="A748" s="12" t="inlineStr">
        <is>
          <t>CUL-0744</t>
        </is>
      </c>
      <c r="B748" s="11" t="n">
        <v>147</v>
      </c>
      <c r="C748" s="13" t="inlineStr">
        <is>
          <t>Nº 5417</t>
        </is>
      </c>
      <c r="D748" s="14" t="inlineStr">
        <is>
          <t>GLIFOSATO IPA 480 RAINBOW</t>
        </is>
      </c>
      <c r="E748" s="13" t="inlineStr">
        <is>
          <t>Pulverização Agrícola Conforme Bula</t>
        </is>
      </c>
      <c r="F748" s="13" t="inlineStr">
        <is>
          <t>Soja (Pré-Plantio / OGM)</t>
        </is>
      </c>
      <c r="G748" s="13" t="inlineStr">
        <is>
          <t>Cultura Autorizada na Bula</t>
        </is>
      </c>
      <c r="H748" s="13" t="inlineStr">
        <is>
          <t>100 a 300 L/ha</t>
        </is>
      </c>
      <c r="I748" s="13" t="inlineStr">
        <is>
          <t>20 a 40 L/ha</t>
        </is>
      </c>
      <c r="J748" s="13" t="inlineStr">
        <is>
          <t>56 dias</t>
        </is>
      </c>
    </row>
    <row r="749" ht="22" customHeight="1">
      <c r="A749" s="6" t="inlineStr">
        <is>
          <t>CUL-0745</t>
        </is>
      </c>
      <c r="B749" s="5" t="n">
        <v>147</v>
      </c>
      <c r="C749" s="7" t="inlineStr">
        <is>
          <t>Nº 5417</t>
        </is>
      </c>
      <c r="D749" s="8" t="inlineStr">
        <is>
          <t>GLIFOSATO IPA 480 RAINBOW</t>
        </is>
      </c>
      <c r="E749" s="7" t="inlineStr">
        <is>
          <t>Pulverização Agrícola Conforme Bula</t>
        </is>
      </c>
      <c r="F749" s="7" t="inlineStr">
        <is>
          <t>Milho (Pré-Plantio / OGM)</t>
        </is>
      </c>
      <c r="G749" s="7" t="inlineStr">
        <is>
          <t>Cultura Autorizada na Bula</t>
        </is>
      </c>
      <c r="H749" s="7" t="inlineStr">
        <is>
          <t>100 a 300 L/ha</t>
        </is>
      </c>
      <c r="I749" s="7" t="inlineStr">
        <is>
          <t>20 a 40 L/ha</t>
        </is>
      </c>
      <c r="J749" s="7" t="inlineStr">
        <is>
          <t>90 dias</t>
        </is>
      </c>
    </row>
    <row r="750" ht="22" customHeight="1">
      <c r="A750" s="12" t="inlineStr">
        <is>
          <t>CUL-0746</t>
        </is>
      </c>
      <c r="B750" s="11" t="n">
        <v>147</v>
      </c>
      <c r="C750" s="13" t="inlineStr">
        <is>
          <t>Nº 5417</t>
        </is>
      </c>
      <c r="D750" s="14" t="inlineStr">
        <is>
          <t>GLIFOSATO IPA 480 RAINBOW</t>
        </is>
      </c>
      <c r="E750" s="13" t="inlineStr">
        <is>
          <t>Pulverização Agrícola Conforme Bula</t>
        </is>
      </c>
      <c r="F750" s="13" t="inlineStr">
        <is>
          <t>Algodão (Pré-Plantio / OGM)</t>
        </is>
      </c>
      <c r="G750" s="13" t="inlineStr">
        <is>
          <t>Cultura Autorizada na Bula</t>
        </is>
      </c>
      <c r="H750" s="13" t="inlineStr">
        <is>
          <t>100 a 300 L/ha</t>
        </is>
      </c>
      <c r="I750" s="13" t="inlineStr">
        <is>
          <t>20 a 40 L/ha</t>
        </is>
      </c>
      <c r="J750" s="13" t="inlineStr">
        <is>
          <t>130 dias</t>
        </is>
      </c>
    </row>
    <row r="751" ht="22" customHeight="1">
      <c r="A751" s="6" t="inlineStr">
        <is>
          <t>CUL-0747</t>
        </is>
      </c>
      <c r="B751" s="5" t="n">
        <v>147</v>
      </c>
      <c r="C751" s="7" t="inlineStr">
        <is>
          <t>Nº 5417</t>
        </is>
      </c>
      <c r="D751" s="8" t="inlineStr">
        <is>
          <t>GLIFOSATO IPA 480 RAINBOW</t>
        </is>
      </c>
      <c r="E751" s="7" t="inlineStr">
        <is>
          <t>Pulverização Agrícola Conforme Bula</t>
        </is>
      </c>
      <c r="F751" s="7" t="inlineStr">
        <is>
          <t>Cana-de-açúcar</t>
        </is>
      </c>
      <c r="G751" s="7" t="inlineStr">
        <is>
          <t>Cultura Autorizada na Bula</t>
        </is>
      </c>
      <c r="H751" s="7" t="inlineStr">
        <is>
          <t>100 a 300 L/ha</t>
        </is>
      </c>
      <c r="I751" s="7" t="inlineStr">
        <is>
          <t>20 a 40 L/ha</t>
        </is>
      </c>
      <c r="J751" s="7" t="inlineStr">
        <is>
          <t>N/D</t>
        </is>
      </c>
    </row>
    <row r="752" ht="22" customHeight="1">
      <c r="A752" s="12" t="inlineStr">
        <is>
          <t>CUL-0748</t>
        </is>
      </c>
      <c r="B752" s="11" t="n">
        <v>147</v>
      </c>
      <c r="C752" s="13" t="inlineStr">
        <is>
          <t>Nº 5417</t>
        </is>
      </c>
      <c r="D752" s="14" t="inlineStr">
        <is>
          <t>GLIFOSATO IPA 480 RAINBOW</t>
        </is>
      </c>
      <c r="E752" s="13" t="inlineStr">
        <is>
          <t>Pulverização Agrícola Conforme Bula</t>
        </is>
      </c>
      <c r="F752" s="13" t="inlineStr">
        <is>
          <t>Café (Jato Dirigido)</t>
        </is>
      </c>
      <c r="G752" s="13" t="inlineStr">
        <is>
          <t>Cultura Autorizada na Bula</t>
        </is>
      </c>
      <c r="H752" s="13" t="inlineStr">
        <is>
          <t>100 a 300 L/ha</t>
        </is>
      </c>
      <c r="I752" s="13" t="inlineStr">
        <is>
          <t>20 a 40 L/ha</t>
        </is>
      </c>
      <c r="J752" s="13" t="inlineStr">
        <is>
          <t>15 dias</t>
        </is>
      </c>
    </row>
    <row r="753" ht="22" customHeight="1">
      <c r="A753" s="6" t="inlineStr">
        <is>
          <t>CUL-0749</t>
        </is>
      </c>
      <c r="B753" s="5" t="n">
        <v>147</v>
      </c>
      <c r="C753" s="7" t="inlineStr">
        <is>
          <t>Nº 5417</t>
        </is>
      </c>
      <c r="D753" s="8" t="inlineStr">
        <is>
          <t>GLIFOSATO IPA 480 RAINBOW</t>
        </is>
      </c>
      <c r="E753" s="7" t="inlineStr">
        <is>
          <t>Pulverização Agrícola Conforme Bula</t>
        </is>
      </c>
      <c r="F753" s="7" t="inlineStr">
        <is>
          <t>Citros (Jato Dirigido)</t>
        </is>
      </c>
      <c r="G753" s="7" t="inlineStr">
        <is>
          <t>Cultura Autorizada na Bula</t>
        </is>
      </c>
      <c r="H753" s="7" t="inlineStr">
        <is>
          <t>100 a 300 L/ha</t>
        </is>
      </c>
      <c r="I753" s="7" t="inlineStr">
        <is>
          <t>20 a 40 L/ha</t>
        </is>
      </c>
      <c r="J753" s="7" t="inlineStr">
        <is>
          <t>30 dias</t>
        </is>
      </c>
    </row>
    <row r="754" ht="22" customHeight="1">
      <c r="A754" s="12" t="inlineStr">
        <is>
          <t>CUL-0750</t>
        </is>
      </c>
      <c r="B754" s="11" t="n">
        <v>147</v>
      </c>
      <c r="C754" s="13" t="inlineStr">
        <is>
          <t>Nº 5417</t>
        </is>
      </c>
      <c r="D754" s="14" t="inlineStr">
        <is>
          <t>GLIFOSATO IPA 480 RAINBOW</t>
        </is>
      </c>
      <c r="E754" s="13" t="inlineStr">
        <is>
          <t>Pulverização Agrícola Conforme Bula</t>
        </is>
      </c>
      <c r="F754" s="13" t="inlineStr">
        <is>
          <t>Trigo (Pré-Plantio)</t>
        </is>
      </c>
      <c r="G754" s="13" t="inlineStr">
        <is>
          <t>Cultura Autorizada na Bula</t>
        </is>
      </c>
      <c r="H754" s="13" t="inlineStr">
        <is>
          <t>100 a 300 L/ha</t>
        </is>
      </c>
      <c r="I754" s="13" t="inlineStr">
        <is>
          <t>20 a 40 L/ha</t>
        </is>
      </c>
      <c r="J754" s="13" t="inlineStr">
        <is>
          <t>N/D</t>
        </is>
      </c>
    </row>
    <row r="755" ht="22" customHeight="1">
      <c r="A755" s="6" t="inlineStr">
        <is>
          <t>CUL-0751</t>
        </is>
      </c>
      <c r="B755" s="5" t="n">
        <v>147</v>
      </c>
      <c r="C755" s="7" t="inlineStr">
        <is>
          <t>Nº 5417</t>
        </is>
      </c>
      <c r="D755" s="8" t="inlineStr">
        <is>
          <t>GLIFOSATO IPA 480 RAINBOW</t>
        </is>
      </c>
      <c r="E755" s="7" t="inlineStr">
        <is>
          <t>Pulverização Agrícola Conforme Bula</t>
        </is>
      </c>
      <c r="F755" s="7" t="inlineStr">
        <is>
          <t>Pastagens</t>
        </is>
      </c>
      <c r="G755" s="7" t="inlineStr">
        <is>
          <t>Cultura Autorizada na Bula</t>
        </is>
      </c>
      <c r="H755" s="7" t="inlineStr">
        <is>
          <t>100 a 300 L/ha</t>
        </is>
      </c>
      <c r="I755" s="7" t="inlineStr">
        <is>
          <t>20 a 40 L/ha</t>
        </is>
      </c>
      <c r="J755" s="7" t="inlineStr">
        <is>
          <t>N/D</t>
        </is>
      </c>
    </row>
    <row r="756" ht="22" customHeight="1">
      <c r="A756" s="12" t="inlineStr">
        <is>
          <t>CUL-0752</t>
        </is>
      </c>
      <c r="B756" s="11" t="n">
        <v>148</v>
      </c>
      <c r="C756" s="13" t="inlineStr">
        <is>
          <t>Nº 44024</t>
        </is>
      </c>
      <c r="D756" s="14" t="inlineStr">
        <is>
          <t>BIOLOGIC BRAVIA</t>
        </is>
      </c>
      <c r="E756" s="13" t="inlineStr">
        <is>
          <t>Pulverização Agrícola Conforme Bula</t>
        </is>
      </c>
      <c r="F756" s="13" t="inlineStr">
        <is>
          <t>Todas as Culturas (Alvo Biológico Autorizado MAPA)</t>
        </is>
      </c>
      <c r="G756" s="13" t="inlineStr">
        <is>
          <t>Cultura Autorizada na Bula</t>
        </is>
      </c>
      <c r="H756" s="13" t="inlineStr">
        <is>
          <t>100 a 300 L/ha</t>
        </is>
      </c>
      <c r="I756" s="13" t="inlineStr">
        <is>
          <t>20 a 40 L/ha</t>
        </is>
      </c>
      <c r="J756" s="13" t="inlineStr">
        <is>
          <t>0 (Isento de Carência)</t>
        </is>
      </c>
    </row>
    <row r="757" ht="22" customHeight="1">
      <c r="A757" s="6" t="inlineStr">
        <is>
          <t>CUL-0753</t>
        </is>
      </c>
      <c r="B757" s="5" t="n">
        <v>149</v>
      </c>
      <c r="C757" s="7" t="inlineStr">
        <is>
          <t>Nº 40818</t>
        </is>
      </c>
      <c r="D757" s="8" t="inlineStr">
        <is>
          <t>GLUFOSINATE-AMMONIUN 200 SL YONON</t>
        </is>
      </c>
      <c r="E757" s="7" t="inlineStr">
        <is>
          <t>Pulverização Agrícola Conforme Bula</t>
        </is>
      </c>
      <c r="F757" s="7" t="inlineStr">
        <is>
          <t>Soja (Pré-Plantio / OGM)</t>
        </is>
      </c>
      <c r="G757" s="7" t="inlineStr">
        <is>
          <t>Cultura Autorizada na Bula</t>
        </is>
      </c>
      <c r="H757" s="7" t="inlineStr">
        <is>
          <t>100 a 300 L/ha</t>
        </is>
      </c>
      <c r="I757" s="7" t="inlineStr">
        <is>
          <t>20 a 40 L/ha</t>
        </is>
      </c>
      <c r="J757" s="7" t="inlineStr">
        <is>
          <t>60 dias</t>
        </is>
      </c>
    </row>
    <row r="758" ht="22" customHeight="1">
      <c r="A758" s="12" t="inlineStr">
        <is>
          <t>CUL-0754</t>
        </is>
      </c>
      <c r="B758" s="11" t="n">
        <v>149</v>
      </c>
      <c r="C758" s="13" t="inlineStr">
        <is>
          <t>Nº 40818</t>
        </is>
      </c>
      <c r="D758" s="14" t="inlineStr">
        <is>
          <t>GLUFOSINATE-AMMONIUN 200 SL YONON</t>
        </is>
      </c>
      <c r="E758" s="13" t="inlineStr">
        <is>
          <t>Pulverização Agrícola Conforme Bula</t>
        </is>
      </c>
      <c r="F758" s="13" t="inlineStr">
        <is>
          <t>Milho (Pré-Plantio / OGM)</t>
        </is>
      </c>
      <c r="G758" s="13" t="inlineStr">
        <is>
          <t>Cultura Autorizada na Bula</t>
        </is>
      </c>
      <c r="H758" s="13" t="inlineStr">
        <is>
          <t>100 a 300 L/ha</t>
        </is>
      </c>
      <c r="I758" s="13" t="inlineStr">
        <is>
          <t>20 a 40 L/ha</t>
        </is>
      </c>
      <c r="J758" s="13" t="inlineStr">
        <is>
          <t>40 dias</t>
        </is>
      </c>
    </row>
    <row r="759" ht="22" customHeight="1">
      <c r="A759" s="6" t="inlineStr">
        <is>
          <t>CUL-0755</t>
        </is>
      </c>
      <c r="B759" s="5" t="n">
        <v>149</v>
      </c>
      <c r="C759" s="7" t="inlineStr">
        <is>
          <t>Nº 40818</t>
        </is>
      </c>
      <c r="D759" s="8" t="inlineStr">
        <is>
          <t>GLUFOSINATE-AMMONIUN 200 SL YONON</t>
        </is>
      </c>
      <c r="E759" s="7" t="inlineStr">
        <is>
          <t>Pulverização Agrícola Conforme Bula</t>
        </is>
      </c>
      <c r="F759" s="7" t="inlineStr">
        <is>
          <t>Algodão (Pré-Plantio / OGM / Desfolha)</t>
        </is>
      </c>
      <c r="G759" s="7" t="inlineStr">
        <is>
          <t>Cultura Autorizada na Bula</t>
        </is>
      </c>
      <c r="H759" s="7" t="inlineStr">
        <is>
          <t>100 a 300 L/ha</t>
        </is>
      </c>
      <c r="I759" s="7" t="inlineStr">
        <is>
          <t>20 a 40 L/ha</t>
        </is>
      </c>
      <c r="J759" s="7" t="inlineStr">
        <is>
          <t>15 dias</t>
        </is>
      </c>
    </row>
    <row r="760" ht="22" customHeight="1">
      <c r="A760" s="12" t="inlineStr">
        <is>
          <t>CUL-0756</t>
        </is>
      </c>
      <c r="B760" s="11" t="n">
        <v>149</v>
      </c>
      <c r="C760" s="13" t="inlineStr">
        <is>
          <t>Nº 40818</t>
        </is>
      </c>
      <c r="D760" s="14" t="inlineStr">
        <is>
          <t>GLUFOSINATE-AMMONIUN 200 SL YONON</t>
        </is>
      </c>
      <c r="E760" s="13" t="inlineStr">
        <is>
          <t>Pulverização Agrícola Conforme Bula</t>
        </is>
      </c>
      <c r="F760" s="13" t="inlineStr">
        <is>
          <t>Café (Jato Dirigido)</t>
        </is>
      </c>
      <c r="G760" s="13" t="inlineStr">
        <is>
          <t>Cultura Autorizada na Bula</t>
        </is>
      </c>
      <c r="H760" s="13" t="inlineStr">
        <is>
          <t>100 a 300 L/ha</t>
        </is>
      </c>
      <c r="I760" s="13" t="inlineStr">
        <is>
          <t>20 a 40 L/ha</t>
        </is>
      </c>
      <c r="J760" s="13" t="inlineStr">
        <is>
          <t>20 dias</t>
        </is>
      </c>
    </row>
    <row r="761" ht="22" customHeight="1">
      <c r="A761" s="6" t="inlineStr">
        <is>
          <t>CUL-0757</t>
        </is>
      </c>
      <c r="B761" s="5" t="n">
        <v>149</v>
      </c>
      <c r="C761" s="7" t="inlineStr">
        <is>
          <t>Nº 40818</t>
        </is>
      </c>
      <c r="D761" s="8" t="inlineStr">
        <is>
          <t>GLUFOSINATE-AMMONIUN 200 SL YONON</t>
        </is>
      </c>
      <c r="E761" s="7" t="inlineStr">
        <is>
          <t>Pulverização Agrícola Conforme Bula</t>
        </is>
      </c>
      <c r="F761" s="7" t="inlineStr">
        <is>
          <t>Citros (Jato Dirigido)</t>
        </is>
      </c>
      <c r="G761" s="7" t="inlineStr">
        <is>
          <t>Cultura Autorizada na Bula</t>
        </is>
      </c>
      <c r="H761" s="7" t="inlineStr">
        <is>
          <t>100 a 300 L/ha</t>
        </is>
      </c>
      <c r="I761" s="7" t="inlineStr">
        <is>
          <t>20 a 40 L/ha</t>
        </is>
      </c>
      <c r="J761" s="7" t="inlineStr">
        <is>
          <t>40 dias</t>
        </is>
      </c>
    </row>
    <row r="762" ht="22" customHeight="1">
      <c r="A762" s="12" t="inlineStr">
        <is>
          <t>CUL-0758</t>
        </is>
      </c>
      <c r="B762" s="11" t="n">
        <v>149</v>
      </c>
      <c r="C762" s="13" t="inlineStr">
        <is>
          <t>Nº 40818</t>
        </is>
      </c>
      <c r="D762" s="14" t="inlineStr">
        <is>
          <t>GLUFOSINATE-AMMONIUN 200 SL YONON</t>
        </is>
      </c>
      <c r="E762" s="13" t="inlineStr">
        <is>
          <t>Pulverização Agrícola Conforme Bula</t>
        </is>
      </c>
      <c r="F762" s="13" t="inlineStr">
        <is>
          <t>Trigo</t>
        </is>
      </c>
      <c r="G762" s="13" t="inlineStr">
        <is>
          <t>Cultura Autorizada na Bula</t>
        </is>
      </c>
      <c r="H762" s="13" t="inlineStr">
        <is>
          <t>100 a 300 L/ha</t>
        </is>
      </c>
      <c r="I762" s="13" t="inlineStr">
        <is>
          <t>20 a 40 L/ha</t>
        </is>
      </c>
      <c r="J762" s="13" t="inlineStr">
        <is>
          <t>N/D</t>
        </is>
      </c>
    </row>
    <row r="763" ht="22" customHeight="1">
      <c r="A763" s="6" t="inlineStr">
        <is>
          <t>CUL-0759</t>
        </is>
      </c>
      <c r="B763" s="5" t="n">
        <v>150</v>
      </c>
      <c r="C763" s="7" t="inlineStr">
        <is>
          <t>Nº 9420</t>
        </is>
      </c>
      <c r="D763" s="8" t="inlineStr">
        <is>
          <t>ENSIS-TURBO</t>
        </is>
      </c>
      <c r="E763" s="7" t="inlineStr">
        <is>
          <t>Pulverização Agrícola Conforme Bula</t>
        </is>
      </c>
      <c r="F763" s="7" t="inlineStr">
        <is>
          <t>Soja</t>
        </is>
      </c>
      <c r="G763" s="7" t="inlineStr">
        <is>
          <t>Cultura Autorizada na Bula</t>
        </is>
      </c>
      <c r="H763" s="7" t="inlineStr">
        <is>
          <t>100 a 300 L/ha</t>
        </is>
      </c>
      <c r="I763" s="7" t="inlineStr">
        <is>
          <t>20 a 40 L/ha</t>
        </is>
      </c>
      <c r="J763" s="7" t="inlineStr">
        <is>
          <t>30 dias</t>
        </is>
      </c>
    </row>
    <row r="764" ht="22" customHeight="1">
      <c r="A764" s="12" t="inlineStr">
        <is>
          <t>CUL-0760</t>
        </is>
      </c>
      <c r="B764" s="11" t="n">
        <v>150</v>
      </c>
      <c r="C764" s="13" t="inlineStr">
        <is>
          <t>Nº 9420</t>
        </is>
      </c>
      <c r="D764" s="14" t="inlineStr">
        <is>
          <t>ENSIS-TURBO</t>
        </is>
      </c>
      <c r="E764" s="13" t="inlineStr">
        <is>
          <t>Pulverização Agrícola Conforme Bula</t>
        </is>
      </c>
      <c r="F764" s="13" t="inlineStr">
        <is>
          <t>Milho</t>
        </is>
      </c>
      <c r="G764" s="13" t="inlineStr">
        <is>
          <t>Cultura Autorizada na Bula</t>
        </is>
      </c>
      <c r="H764" s="13" t="inlineStr">
        <is>
          <t>100 a 300 L/ha</t>
        </is>
      </c>
      <c r="I764" s="13" t="inlineStr">
        <is>
          <t>20 a 40 L/ha</t>
        </is>
      </c>
      <c r="J764" s="13" t="inlineStr">
        <is>
          <t>15 dias</t>
        </is>
      </c>
    </row>
    <row r="765" ht="22" customHeight="1">
      <c r="A765" s="6" t="inlineStr">
        <is>
          <t>CUL-0761</t>
        </is>
      </c>
      <c r="B765" s="5" t="n">
        <v>150</v>
      </c>
      <c r="C765" s="7" t="inlineStr">
        <is>
          <t>Nº 9420</t>
        </is>
      </c>
      <c r="D765" s="8" t="inlineStr">
        <is>
          <t>ENSIS-TURBO</t>
        </is>
      </c>
      <c r="E765" s="7" t="inlineStr">
        <is>
          <t>Pulverização Agrícola Conforme Bula</t>
        </is>
      </c>
      <c r="F765" s="7" t="inlineStr">
        <is>
          <t>Algodão</t>
        </is>
      </c>
      <c r="G765" s="7" t="inlineStr">
        <is>
          <t>Cultura Autorizada na Bula</t>
        </is>
      </c>
      <c r="H765" s="7" t="inlineStr">
        <is>
          <t>100 a 300 L/ha</t>
        </is>
      </c>
      <c r="I765" s="7" t="inlineStr">
        <is>
          <t>20 a 40 L/ha</t>
        </is>
      </c>
      <c r="J765" s="7" t="inlineStr">
        <is>
          <t>30 dias</t>
        </is>
      </c>
    </row>
    <row r="766" ht="22" customHeight="1">
      <c r="A766" s="12" t="inlineStr">
        <is>
          <t>CUL-0762</t>
        </is>
      </c>
      <c r="B766" s="11" t="n">
        <v>150</v>
      </c>
      <c r="C766" s="13" t="inlineStr">
        <is>
          <t>Nº 9420</t>
        </is>
      </c>
      <c r="D766" s="14" t="inlineStr">
        <is>
          <t>ENSIS-TURBO</t>
        </is>
      </c>
      <c r="E766" s="13" t="inlineStr">
        <is>
          <t>Pulverização Agrícola Conforme Bula</t>
        </is>
      </c>
      <c r="F766" s="13" t="inlineStr">
        <is>
          <t>Trigo</t>
        </is>
      </c>
      <c r="G766" s="13" t="inlineStr">
        <is>
          <t>Cultura Autorizada na Bula</t>
        </is>
      </c>
      <c r="H766" s="13" t="inlineStr">
        <is>
          <t>100 a 300 L/ha</t>
        </is>
      </c>
      <c r="I766" s="13" t="inlineStr">
        <is>
          <t>20 a 40 L/ha</t>
        </is>
      </c>
      <c r="J766" s="13" t="inlineStr">
        <is>
          <t>35 dias</t>
        </is>
      </c>
    </row>
    <row r="767" ht="22" customHeight="1">
      <c r="A767" s="6" t="inlineStr">
        <is>
          <t>CUL-0763</t>
        </is>
      </c>
      <c r="B767" s="5" t="n">
        <v>150</v>
      </c>
      <c r="C767" s="7" t="inlineStr">
        <is>
          <t>Nº 9420</t>
        </is>
      </c>
      <c r="D767" s="8" t="inlineStr">
        <is>
          <t>ENSIS-TURBO</t>
        </is>
      </c>
      <c r="E767" s="7" t="inlineStr">
        <is>
          <t>Pulverização Agrícola Conforme Bula</t>
        </is>
      </c>
      <c r="F767" s="7" t="inlineStr">
        <is>
          <t>Café</t>
        </is>
      </c>
      <c r="G767" s="7" t="inlineStr">
        <is>
          <t>Cultura Autorizada na Bula</t>
        </is>
      </c>
      <c r="H767" s="7" t="inlineStr">
        <is>
          <t>100 a 300 L/ha</t>
        </is>
      </c>
      <c r="I767" s="7" t="inlineStr">
        <is>
          <t>20 a 40 L/ha</t>
        </is>
      </c>
      <c r="J767" s="7" t="inlineStr">
        <is>
          <t>30 dias</t>
        </is>
      </c>
    </row>
    <row r="768" ht="22" customHeight="1">
      <c r="A768" s="12" t="inlineStr">
        <is>
          <t>CUL-0764</t>
        </is>
      </c>
      <c r="B768" s="11" t="n">
        <v>150</v>
      </c>
      <c r="C768" s="13" t="inlineStr">
        <is>
          <t>Nº 9420</t>
        </is>
      </c>
      <c r="D768" s="14" t="inlineStr">
        <is>
          <t>ENSIS-TURBO</t>
        </is>
      </c>
      <c r="E768" s="13" t="inlineStr">
        <is>
          <t>Pulverização Agrícola Conforme Bula</t>
        </is>
      </c>
      <c r="F768" s="13" t="inlineStr">
        <is>
          <t>Feijão</t>
        </is>
      </c>
      <c r="G768" s="13" t="inlineStr">
        <is>
          <t>Cultura Autorizada na Bula</t>
        </is>
      </c>
      <c r="H768" s="13" t="inlineStr">
        <is>
          <t>100 a 300 L/ha</t>
        </is>
      </c>
      <c r="I768" s="13" t="inlineStr">
        <is>
          <t>20 a 40 L/ha</t>
        </is>
      </c>
      <c r="J768" s="13" t="inlineStr">
        <is>
          <t>14 dias</t>
        </is>
      </c>
    </row>
    <row r="769" ht="22" customHeight="1">
      <c r="A769" s="6" t="inlineStr">
        <is>
          <t>CUL-0765</t>
        </is>
      </c>
      <c r="B769" s="5" t="n">
        <v>151</v>
      </c>
      <c r="C769" s="7" t="inlineStr">
        <is>
          <t>Nº 15508</t>
        </is>
      </c>
      <c r="D769" s="8" t="inlineStr">
        <is>
          <t>TRINITY</t>
        </is>
      </c>
      <c r="E769" s="7" t="inlineStr">
        <is>
          <t>Pulverização Agrícola Conforme Bula</t>
        </is>
      </c>
      <c r="F769" s="7" t="inlineStr">
        <is>
          <t>Soja</t>
        </is>
      </c>
      <c r="G769" s="7" t="inlineStr">
        <is>
          <t>Cultura Autorizada na Bula</t>
        </is>
      </c>
      <c r="H769" s="7" t="inlineStr">
        <is>
          <t>100 a 300 L/ha</t>
        </is>
      </c>
      <c r="I769" s="7" t="inlineStr">
        <is>
          <t>20 a 40 L/ha</t>
        </is>
      </c>
      <c r="J769" s="7" t="inlineStr">
        <is>
          <t>30 dias</t>
        </is>
      </c>
    </row>
    <row r="770" ht="22" customHeight="1">
      <c r="A770" s="12" t="inlineStr">
        <is>
          <t>CUL-0766</t>
        </is>
      </c>
      <c r="B770" s="11" t="n">
        <v>151</v>
      </c>
      <c r="C770" s="13" t="inlineStr">
        <is>
          <t>Nº 15508</t>
        </is>
      </c>
      <c r="D770" s="14" t="inlineStr">
        <is>
          <t>TRINITY</t>
        </is>
      </c>
      <c r="E770" s="13" t="inlineStr">
        <is>
          <t>Pulverização Agrícola Conforme Bula</t>
        </is>
      </c>
      <c r="F770" s="13" t="inlineStr">
        <is>
          <t>Milho</t>
        </is>
      </c>
      <c r="G770" s="13" t="inlineStr">
        <is>
          <t>Cultura Autorizada na Bula</t>
        </is>
      </c>
      <c r="H770" s="13" t="inlineStr">
        <is>
          <t>100 a 300 L/ha</t>
        </is>
      </c>
      <c r="I770" s="13" t="inlineStr">
        <is>
          <t>20 a 40 L/ha</t>
        </is>
      </c>
      <c r="J770" s="13" t="inlineStr">
        <is>
          <t>30 dias</t>
        </is>
      </c>
    </row>
    <row r="771" ht="22" customHeight="1">
      <c r="A771" s="6" t="inlineStr">
        <is>
          <t>CUL-0767</t>
        </is>
      </c>
      <c r="B771" s="5" t="n">
        <v>151</v>
      </c>
      <c r="C771" s="7" t="inlineStr">
        <is>
          <t>Nº 15508</t>
        </is>
      </c>
      <c r="D771" s="8" t="inlineStr">
        <is>
          <t>TRINITY</t>
        </is>
      </c>
      <c r="E771" s="7" t="inlineStr">
        <is>
          <t>Pulverização Agrícola Conforme Bula</t>
        </is>
      </c>
      <c r="F771" s="7" t="inlineStr">
        <is>
          <t>Algodão</t>
        </is>
      </c>
      <c r="G771" s="7" t="inlineStr">
        <is>
          <t>Cultura Autorizada na Bula</t>
        </is>
      </c>
      <c r="H771" s="7" t="inlineStr">
        <is>
          <t>100 a 300 L/ha</t>
        </is>
      </c>
      <c r="I771" s="7" t="inlineStr">
        <is>
          <t>20 a 40 L/ha</t>
        </is>
      </c>
      <c r="J771" s="7" t="inlineStr">
        <is>
          <t>30 dias</t>
        </is>
      </c>
    </row>
    <row r="772" ht="22" customHeight="1">
      <c r="A772" s="12" t="inlineStr">
        <is>
          <t>CUL-0768</t>
        </is>
      </c>
      <c r="B772" s="11" t="n">
        <v>151</v>
      </c>
      <c r="C772" s="13" t="inlineStr">
        <is>
          <t>Nº 15508</t>
        </is>
      </c>
      <c r="D772" s="14" t="inlineStr">
        <is>
          <t>TRINITY</t>
        </is>
      </c>
      <c r="E772" s="13" t="inlineStr">
        <is>
          <t>Pulverização Agrícola Conforme Bula</t>
        </is>
      </c>
      <c r="F772" s="13" t="inlineStr">
        <is>
          <t>Trigo</t>
        </is>
      </c>
      <c r="G772" s="13" t="inlineStr">
        <is>
          <t>Cultura Autorizada na Bula</t>
        </is>
      </c>
      <c r="H772" s="13" t="inlineStr">
        <is>
          <t>100 a 300 L/ha</t>
        </is>
      </c>
      <c r="I772" s="13" t="inlineStr">
        <is>
          <t>20 a 40 L/ha</t>
        </is>
      </c>
      <c r="J772" s="13" t="inlineStr">
        <is>
          <t>30 dias</t>
        </is>
      </c>
    </row>
    <row r="773" ht="22" customHeight="1">
      <c r="A773" s="6" t="inlineStr">
        <is>
          <t>CUL-0769</t>
        </is>
      </c>
      <c r="B773" s="5" t="n">
        <v>151</v>
      </c>
      <c r="C773" s="7" t="inlineStr">
        <is>
          <t>Nº 15508</t>
        </is>
      </c>
      <c r="D773" s="8" t="inlineStr">
        <is>
          <t>TRINITY</t>
        </is>
      </c>
      <c r="E773" s="7" t="inlineStr">
        <is>
          <t>Pulverização Agrícola Conforme Bula</t>
        </is>
      </c>
      <c r="F773" s="7" t="inlineStr">
        <is>
          <t>Feijão</t>
        </is>
      </c>
      <c r="G773" s="7" t="inlineStr">
        <is>
          <t>Cultura Autorizada na Bula</t>
        </is>
      </c>
      <c r="H773" s="7" t="inlineStr">
        <is>
          <t>100 a 300 L/ha</t>
        </is>
      </c>
      <c r="I773" s="7" t="inlineStr">
        <is>
          <t>20 a 40 L/ha</t>
        </is>
      </c>
      <c r="J773" s="7" t="inlineStr">
        <is>
          <t>14 dias</t>
        </is>
      </c>
    </row>
    <row r="774" ht="22" customHeight="1">
      <c r="A774" s="12" t="inlineStr">
        <is>
          <t>CUL-0770</t>
        </is>
      </c>
      <c r="B774" s="11" t="n">
        <v>152</v>
      </c>
      <c r="C774" s="13" t="inlineStr">
        <is>
          <t>Nº 9621</t>
        </is>
      </c>
      <c r="D774" s="14" t="inlineStr">
        <is>
          <t>PRECISO XK</t>
        </is>
      </c>
      <c r="E774" s="13" t="inlineStr">
        <is>
          <t>Pulverização Agrícola Conforme Bula</t>
        </is>
      </c>
      <c r="F774" s="13" t="inlineStr">
        <is>
          <t>Soja (Pré-Plantio / OGM)</t>
        </is>
      </c>
      <c r="G774" s="13" t="inlineStr">
        <is>
          <t>Cultura Autorizada na Bula</t>
        </is>
      </c>
      <c r="H774" s="13" t="inlineStr">
        <is>
          <t>100 a 300 L/ha</t>
        </is>
      </c>
      <c r="I774" s="13" t="inlineStr">
        <is>
          <t>20 a 40 L/ha</t>
        </is>
      </c>
      <c r="J774" s="13" t="inlineStr">
        <is>
          <t>56 dias</t>
        </is>
      </c>
    </row>
    <row r="775" ht="22" customHeight="1">
      <c r="A775" s="6" t="inlineStr">
        <is>
          <t>CUL-0771</t>
        </is>
      </c>
      <c r="B775" s="5" t="n">
        <v>152</v>
      </c>
      <c r="C775" s="7" t="inlineStr">
        <is>
          <t>Nº 9621</t>
        </is>
      </c>
      <c r="D775" s="8" t="inlineStr">
        <is>
          <t>PRECISO XK</t>
        </is>
      </c>
      <c r="E775" s="7" t="inlineStr">
        <is>
          <t>Pulverização Agrícola Conforme Bula</t>
        </is>
      </c>
      <c r="F775" s="7" t="inlineStr">
        <is>
          <t>Milho (Pré-Plantio / OGM)</t>
        </is>
      </c>
      <c r="G775" s="7" t="inlineStr">
        <is>
          <t>Cultura Autorizada na Bula</t>
        </is>
      </c>
      <c r="H775" s="7" t="inlineStr">
        <is>
          <t>100 a 300 L/ha</t>
        </is>
      </c>
      <c r="I775" s="7" t="inlineStr">
        <is>
          <t>20 a 40 L/ha</t>
        </is>
      </c>
      <c r="J775" s="7" t="inlineStr">
        <is>
          <t>90 dias</t>
        </is>
      </c>
    </row>
    <row r="776" ht="22" customHeight="1">
      <c r="A776" s="12" t="inlineStr">
        <is>
          <t>CUL-0772</t>
        </is>
      </c>
      <c r="B776" s="11" t="n">
        <v>152</v>
      </c>
      <c r="C776" s="13" t="inlineStr">
        <is>
          <t>Nº 9621</t>
        </is>
      </c>
      <c r="D776" s="14" t="inlineStr">
        <is>
          <t>PRECISO XK</t>
        </is>
      </c>
      <c r="E776" s="13" t="inlineStr">
        <is>
          <t>Pulverização Agrícola Conforme Bula</t>
        </is>
      </c>
      <c r="F776" s="13" t="inlineStr">
        <is>
          <t>Algodão (Pré-Plantio / OGM)</t>
        </is>
      </c>
      <c r="G776" s="13" t="inlineStr">
        <is>
          <t>Cultura Autorizada na Bula</t>
        </is>
      </c>
      <c r="H776" s="13" t="inlineStr">
        <is>
          <t>100 a 300 L/ha</t>
        </is>
      </c>
      <c r="I776" s="13" t="inlineStr">
        <is>
          <t>20 a 40 L/ha</t>
        </is>
      </c>
      <c r="J776" s="13" t="inlineStr">
        <is>
          <t>130 dias</t>
        </is>
      </c>
    </row>
    <row r="777" ht="22" customHeight="1">
      <c r="A777" s="6" t="inlineStr">
        <is>
          <t>CUL-0773</t>
        </is>
      </c>
      <c r="B777" s="5" t="n">
        <v>152</v>
      </c>
      <c r="C777" s="7" t="inlineStr">
        <is>
          <t>Nº 9621</t>
        </is>
      </c>
      <c r="D777" s="8" t="inlineStr">
        <is>
          <t>PRECISO XK</t>
        </is>
      </c>
      <c r="E777" s="7" t="inlineStr">
        <is>
          <t>Pulverização Agrícola Conforme Bula</t>
        </is>
      </c>
      <c r="F777" s="7" t="inlineStr">
        <is>
          <t>Cana-de-açúcar</t>
        </is>
      </c>
      <c r="G777" s="7" t="inlineStr">
        <is>
          <t>Cultura Autorizada na Bula</t>
        </is>
      </c>
      <c r="H777" s="7" t="inlineStr">
        <is>
          <t>100 a 300 L/ha</t>
        </is>
      </c>
      <c r="I777" s="7" t="inlineStr">
        <is>
          <t>20 a 40 L/ha</t>
        </is>
      </c>
      <c r="J777" s="7" t="inlineStr">
        <is>
          <t>N/D</t>
        </is>
      </c>
    </row>
    <row r="778" ht="22" customHeight="1">
      <c r="A778" s="12" t="inlineStr">
        <is>
          <t>CUL-0774</t>
        </is>
      </c>
      <c r="B778" s="11" t="n">
        <v>152</v>
      </c>
      <c r="C778" s="13" t="inlineStr">
        <is>
          <t>Nº 9621</t>
        </is>
      </c>
      <c r="D778" s="14" t="inlineStr">
        <is>
          <t>PRECISO XK</t>
        </is>
      </c>
      <c r="E778" s="13" t="inlineStr">
        <is>
          <t>Pulverização Agrícola Conforme Bula</t>
        </is>
      </c>
      <c r="F778" s="13" t="inlineStr">
        <is>
          <t>Café (Jato Dirigido)</t>
        </is>
      </c>
      <c r="G778" s="13" t="inlineStr">
        <is>
          <t>Cultura Autorizada na Bula</t>
        </is>
      </c>
      <c r="H778" s="13" t="inlineStr">
        <is>
          <t>100 a 300 L/ha</t>
        </is>
      </c>
      <c r="I778" s="13" t="inlineStr">
        <is>
          <t>20 a 40 L/ha</t>
        </is>
      </c>
      <c r="J778" s="13" t="inlineStr">
        <is>
          <t>15 dias</t>
        </is>
      </c>
    </row>
    <row r="779" ht="22" customHeight="1">
      <c r="A779" s="6" t="inlineStr">
        <is>
          <t>CUL-0775</t>
        </is>
      </c>
      <c r="B779" s="5" t="n">
        <v>152</v>
      </c>
      <c r="C779" s="7" t="inlineStr">
        <is>
          <t>Nº 9621</t>
        </is>
      </c>
      <c r="D779" s="8" t="inlineStr">
        <is>
          <t>PRECISO XK</t>
        </is>
      </c>
      <c r="E779" s="7" t="inlineStr">
        <is>
          <t>Pulverização Agrícola Conforme Bula</t>
        </is>
      </c>
      <c r="F779" s="7" t="inlineStr">
        <is>
          <t>Citros (Jato Dirigido)</t>
        </is>
      </c>
      <c r="G779" s="7" t="inlineStr">
        <is>
          <t>Cultura Autorizada na Bula</t>
        </is>
      </c>
      <c r="H779" s="7" t="inlineStr">
        <is>
          <t>100 a 300 L/ha</t>
        </is>
      </c>
      <c r="I779" s="7" t="inlineStr">
        <is>
          <t>20 a 40 L/ha</t>
        </is>
      </c>
      <c r="J779" s="7" t="inlineStr">
        <is>
          <t>30 dias</t>
        </is>
      </c>
    </row>
    <row r="780" ht="22" customHeight="1">
      <c r="A780" s="12" t="inlineStr">
        <is>
          <t>CUL-0776</t>
        </is>
      </c>
      <c r="B780" s="11" t="n">
        <v>152</v>
      </c>
      <c r="C780" s="13" t="inlineStr">
        <is>
          <t>Nº 9621</t>
        </is>
      </c>
      <c r="D780" s="14" t="inlineStr">
        <is>
          <t>PRECISO XK</t>
        </is>
      </c>
      <c r="E780" s="13" t="inlineStr">
        <is>
          <t>Pulverização Agrícola Conforme Bula</t>
        </is>
      </c>
      <c r="F780" s="13" t="inlineStr">
        <is>
          <t>Trigo (Pré-Plantio)</t>
        </is>
      </c>
      <c r="G780" s="13" t="inlineStr">
        <is>
          <t>Cultura Autorizada na Bula</t>
        </is>
      </c>
      <c r="H780" s="13" t="inlineStr">
        <is>
          <t>100 a 300 L/ha</t>
        </is>
      </c>
      <c r="I780" s="13" t="inlineStr">
        <is>
          <t>20 a 40 L/ha</t>
        </is>
      </c>
      <c r="J780" s="13" t="inlineStr">
        <is>
          <t>N/D</t>
        </is>
      </c>
    </row>
    <row r="781" ht="22" customHeight="1">
      <c r="A781" s="6" t="inlineStr">
        <is>
          <t>CUL-0777</t>
        </is>
      </c>
      <c r="B781" s="5" t="n">
        <v>152</v>
      </c>
      <c r="C781" s="7" t="inlineStr">
        <is>
          <t>Nº 9621</t>
        </is>
      </c>
      <c r="D781" s="8" t="inlineStr">
        <is>
          <t>PRECISO XK</t>
        </is>
      </c>
      <c r="E781" s="7" t="inlineStr">
        <is>
          <t>Pulverização Agrícola Conforme Bula</t>
        </is>
      </c>
      <c r="F781" s="7" t="inlineStr">
        <is>
          <t>Pastagens</t>
        </is>
      </c>
      <c r="G781" s="7" t="inlineStr">
        <is>
          <t>Cultura Autorizada na Bula</t>
        </is>
      </c>
      <c r="H781" s="7" t="inlineStr">
        <is>
          <t>100 a 300 L/ha</t>
        </is>
      </c>
      <c r="I781" s="7" t="inlineStr">
        <is>
          <t>20 a 40 L/ha</t>
        </is>
      </c>
      <c r="J781" s="7" t="inlineStr">
        <is>
          <t>N/D</t>
        </is>
      </c>
    </row>
    <row r="782" ht="22" customHeight="1">
      <c r="A782" s="12" t="inlineStr">
        <is>
          <t>CUL-0778</t>
        </is>
      </c>
      <c r="B782" s="11" t="n">
        <v>153</v>
      </c>
      <c r="C782" s="13" t="inlineStr">
        <is>
          <t>SIPEAGRO (UF-XXXXX)</t>
        </is>
      </c>
      <c r="D782" s="14" t="inlineStr">
        <is>
          <t>BIOMAX AZUM</t>
        </is>
      </c>
      <c r="E782" s="13" t="inlineStr">
        <is>
          <t>Pulverização Agrícola Conforme Bula</t>
        </is>
      </c>
      <c r="F782" s="13" t="inlineStr">
        <is>
          <t>Milho</t>
        </is>
      </c>
      <c r="G782" s="13" t="inlineStr">
        <is>
          <t>Cultura Autorizada na Bula</t>
        </is>
      </c>
      <c r="H782" s="13" t="inlineStr">
        <is>
          <t>100 a 300 L/ha</t>
        </is>
      </c>
      <c r="I782" s="13" t="inlineStr">
        <is>
          <t>20 a 40 L/ha</t>
        </is>
      </c>
      <c r="J782" s="13" t="inlineStr">
        <is>
          <t>0 (Isento)</t>
        </is>
      </c>
    </row>
    <row r="783" ht="22" customHeight="1">
      <c r="A783" s="6" t="inlineStr">
        <is>
          <t>CUL-0779</t>
        </is>
      </c>
      <c r="B783" s="5" t="n">
        <v>153</v>
      </c>
      <c r="C783" s="7" t="inlineStr">
        <is>
          <t>SIPEAGRO (UF-XXXXX)</t>
        </is>
      </c>
      <c r="D783" s="8" t="inlineStr">
        <is>
          <t>BIOMAX AZUM</t>
        </is>
      </c>
      <c r="E783" s="7" t="inlineStr">
        <is>
          <t>Pulverização Agrícola Conforme Bula</t>
        </is>
      </c>
      <c r="F783" s="7" t="inlineStr">
        <is>
          <t>Soja (Coinoculação)</t>
        </is>
      </c>
      <c r="G783" s="7" t="inlineStr">
        <is>
          <t>Cultura Autorizada na Bula</t>
        </is>
      </c>
      <c r="H783" s="7" t="inlineStr">
        <is>
          <t>100 a 300 L/ha</t>
        </is>
      </c>
      <c r="I783" s="7" t="inlineStr">
        <is>
          <t>20 a 40 L/ha</t>
        </is>
      </c>
      <c r="J783" s="7" t="inlineStr">
        <is>
          <t>0 (Isento)</t>
        </is>
      </c>
    </row>
    <row r="784" ht="22" customHeight="1">
      <c r="A784" s="12" t="inlineStr">
        <is>
          <t>CUL-0780</t>
        </is>
      </c>
      <c r="B784" s="11" t="n">
        <v>153</v>
      </c>
      <c r="C784" s="13" t="inlineStr">
        <is>
          <t>SIPEAGRO (UF-XXXXX)</t>
        </is>
      </c>
      <c r="D784" s="14" t="inlineStr">
        <is>
          <t>BIOMAX AZUM</t>
        </is>
      </c>
      <c r="E784" s="13" t="inlineStr">
        <is>
          <t>Pulverização Agrícola Conforme Bula</t>
        </is>
      </c>
      <c r="F784" s="13" t="inlineStr">
        <is>
          <t>Trigo</t>
        </is>
      </c>
      <c r="G784" s="13" t="inlineStr">
        <is>
          <t>Cultura Autorizada na Bula</t>
        </is>
      </c>
      <c r="H784" s="13" t="inlineStr">
        <is>
          <t>100 a 300 L/ha</t>
        </is>
      </c>
      <c r="I784" s="13" t="inlineStr">
        <is>
          <t>20 a 40 L/ha</t>
        </is>
      </c>
      <c r="J784" s="13" t="inlineStr">
        <is>
          <t>0 (Isento)</t>
        </is>
      </c>
    </row>
    <row r="785" ht="22" customHeight="1">
      <c r="A785" s="6" t="inlineStr">
        <is>
          <t>CUL-0781</t>
        </is>
      </c>
      <c r="B785" s="5" t="n">
        <v>153</v>
      </c>
      <c r="C785" s="7" t="inlineStr">
        <is>
          <t>SIPEAGRO (UF-XXXXX)</t>
        </is>
      </c>
      <c r="D785" s="8" t="inlineStr">
        <is>
          <t>BIOMAX AZUM</t>
        </is>
      </c>
      <c r="E785" s="7" t="inlineStr">
        <is>
          <t>Pulverização Agrícola Conforme Bula</t>
        </is>
      </c>
      <c r="F785" s="7" t="inlineStr">
        <is>
          <t>Pastagens (Brachiaria)</t>
        </is>
      </c>
      <c r="G785" s="7" t="inlineStr">
        <is>
          <t>Cultura Autorizada na Bula</t>
        </is>
      </c>
      <c r="H785" s="7" t="inlineStr">
        <is>
          <t>100 a 300 L/ha</t>
        </is>
      </c>
      <c r="I785" s="7" t="inlineStr">
        <is>
          <t>20 a 40 L/ha</t>
        </is>
      </c>
      <c r="J785" s="7" t="inlineStr">
        <is>
          <t>0 (Isento)</t>
        </is>
      </c>
    </row>
    <row r="786" ht="22" customHeight="1">
      <c r="A786" s="12" t="inlineStr">
        <is>
          <t>CUL-0782</t>
        </is>
      </c>
      <c r="B786" s="11" t="n">
        <v>154</v>
      </c>
      <c r="C786" s="13" t="inlineStr">
        <is>
          <t>Nº 3307</t>
        </is>
      </c>
      <c r="D786" s="14" t="inlineStr">
        <is>
          <t>BRIGADE 400 EC</t>
        </is>
      </c>
      <c r="E786" s="13" t="inlineStr">
        <is>
          <t>Pulverização Agrícola Conforme Bula</t>
        </is>
      </c>
      <c r="F786" s="13" t="inlineStr">
        <is>
          <t>Algodão</t>
        </is>
      </c>
      <c r="G786" s="13" t="inlineStr">
        <is>
          <t>Cultura Autorizada na Bula</t>
        </is>
      </c>
      <c r="H786" s="13" t="inlineStr">
        <is>
          <t>100 a 300 L/ha</t>
        </is>
      </c>
      <c r="I786" s="13" t="inlineStr">
        <is>
          <t>20 a 40 L/ha</t>
        </is>
      </c>
      <c r="J786" s="13" t="inlineStr">
        <is>
          <t>15 dias</t>
        </is>
      </c>
    </row>
    <row r="787" ht="22" customHeight="1">
      <c r="A787" s="6" t="inlineStr">
        <is>
          <t>CUL-0783</t>
        </is>
      </c>
      <c r="B787" s="5" t="n">
        <v>154</v>
      </c>
      <c r="C787" s="7" t="inlineStr">
        <is>
          <t>Nº 3307</t>
        </is>
      </c>
      <c r="D787" s="8" t="inlineStr">
        <is>
          <t>BRIGADE 400 EC</t>
        </is>
      </c>
      <c r="E787" s="7" t="inlineStr">
        <is>
          <t>Pulverização Agrícola Conforme Bula</t>
        </is>
      </c>
      <c r="F787" s="7" t="inlineStr">
        <is>
          <t>Soja</t>
        </is>
      </c>
      <c r="G787" s="7" t="inlineStr">
        <is>
          <t>Cultura Autorizada na Bula</t>
        </is>
      </c>
      <c r="H787" s="7" t="inlineStr">
        <is>
          <t>100 a 300 L/ha</t>
        </is>
      </c>
      <c r="I787" s="7" t="inlineStr">
        <is>
          <t>20 a 40 L/ha</t>
        </is>
      </c>
      <c r="J787" s="7" t="inlineStr">
        <is>
          <t>30 dias</t>
        </is>
      </c>
    </row>
    <row r="788" ht="22" customHeight="1">
      <c r="A788" s="12" t="inlineStr">
        <is>
          <t>CUL-0784</t>
        </is>
      </c>
      <c r="B788" s="11" t="n">
        <v>154</v>
      </c>
      <c r="C788" s="13" t="inlineStr">
        <is>
          <t>Nº 3307</t>
        </is>
      </c>
      <c r="D788" s="14" t="inlineStr">
        <is>
          <t>BRIGADE 400 EC</t>
        </is>
      </c>
      <c r="E788" s="13" t="inlineStr">
        <is>
          <t>Pulverização Agrícola Conforme Bula</t>
        </is>
      </c>
      <c r="F788" s="13" t="inlineStr">
        <is>
          <t>Milho</t>
        </is>
      </c>
      <c r="G788" s="13" t="inlineStr">
        <is>
          <t>Cultura Autorizada na Bula</t>
        </is>
      </c>
      <c r="H788" s="13" t="inlineStr">
        <is>
          <t>100 a 300 L/ha</t>
        </is>
      </c>
      <c r="I788" s="13" t="inlineStr">
        <is>
          <t>20 a 40 L/ha</t>
        </is>
      </c>
      <c r="J788" s="13" t="inlineStr">
        <is>
          <t>30 dias</t>
        </is>
      </c>
    </row>
    <row r="789" ht="22" customHeight="1">
      <c r="A789" s="6" t="inlineStr">
        <is>
          <t>CUL-0785</t>
        </is>
      </c>
      <c r="B789" s="5" t="n">
        <v>154</v>
      </c>
      <c r="C789" s="7" t="inlineStr">
        <is>
          <t>Nº 3307</t>
        </is>
      </c>
      <c r="D789" s="8" t="inlineStr">
        <is>
          <t>BRIGADE 400 EC</t>
        </is>
      </c>
      <c r="E789" s="7" t="inlineStr">
        <is>
          <t>Pulverização Agrícola Conforme Bula</t>
        </is>
      </c>
      <c r="F789" s="7" t="inlineStr">
        <is>
          <t>Cana-de-açúcar</t>
        </is>
      </c>
      <c r="G789" s="7" t="inlineStr">
        <is>
          <t>Cultura Autorizada na Bula</t>
        </is>
      </c>
      <c r="H789" s="7" t="inlineStr">
        <is>
          <t>100 a 300 L/ha</t>
        </is>
      </c>
      <c r="I789" s="7" t="inlineStr">
        <is>
          <t>20 a 40 L/ha</t>
        </is>
      </c>
      <c r="J789" s="7" t="inlineStr">
        <is>
          <t>30 dias</t>
        </is>
      </c>
    </row>
    <row r="790" ht="22" customHeight="1">
      <c r="A790" s="12" t="inlineStr">
        <is>
          <t>CUL-0786</t>
        </is>
      </c>
      <c r="B790" s="11" t="n">
        <v>154</v>
      </c>
      <c r="C790" s="13" t="inlineStr">
        <is>
          <t>Nº 3307</t>
        </is>
      </c>
      <c r="D790" s="14" t="inlineStr">
        <is>
          <t>BRIGADE 400 EC</t>
        </is>
      </c>
      <c r="E790" s="13" t="inlineStr">
        <is>
          <t>Pulverização Agrícola Conforme Bula</t>
        </is>
      </c>
      <c r="F790" s="13" t="inlineStr">
        <is>
          <t>Café</t>
        </is>
      </c>
      <c r="G790" s="13" t="inlineStr">
        <is>
          <t>Cultura Autorizada na Bula</t>
        </is>
      </c>
      <c r="H790" s="13" t="inlineStr">
        <is>
          <t>100 a 300 L/ha</t>
        </is>
      </c>
      <c r="I790" s="13" t="inlineStr">
        <is>
          <t>20 a 40 L/ha</t>
        </is>
      </c>
      <c r="J790" s="13" t="inlineStr">
        <is>
          <t>30 dias</t>
        </is>
      </c>
    </row>
    <row r="791" ht="22" customHeight="1">
      <c r="A791" s="6" t="inlineStr">
        <is>
          <t>CUL-0787</t>
        </is>
      </c>
      <c r="B791" s="5" t="n">
        <v>154</v>
      </c>
      <c r="C791" s="7" t="inlineStr">
        <is>
          <t>Nº 3307</t>
        </is>
      </c>
      <c r="D791" s="8" t="inlineStr">
        <is>
          <t>BRIGADE 400 EC</t>
        </is>
      </c>
      <c r="E791" s="7" t="inlineStr">
        <is>
          <t>Pulverização Agrícola Conforme Bula</t>
        </is>
      </c>
      <c r="F791" s="7" t="inlineStr">
        <is>
          <t>Citros</t>
        </is>
      </c>
      <c r="G791" s="7" t="inlineStr">
        <is>
          <t>Cultura Autorizada na Bula</t>
        </is>
      </c>
      <c r="H791" s="7" t="inlineStr">
        <is>
          <t>100 a 300 L/ha</t>
        </is>
      </c>
      <c r="I791" s="7" t="inlineStr">
        <is>
          <t>20 a 40 L/ha</t>
        </is>
      </c>
      <c r="J791" s="7" t="inlineStr">
        <is>
          <t>7 dias</t>
        </is>
      </c>
    </row>
    <row r="792" ht="22" customHeight="1">
      <c r="A792" s="12" t="inlineStr">
        <is>
          <t>CUL-0788</t>
        </is>
      </c>
      <c r="B792" s="11" t="n">
        <v>154</v>
      </c>
      <c r="C792" s="13" t="inlineStr">
        <is>
          <t>Nº 3307</t>
        </is>
      </c>
      <c r="D792" s="14" t="inlineStr">
        <is>
          <t>BRIGADE 400 EC</t>
        </is>
      </c>
      <c r="E792" s="13" t="inlineStr">
        <is>
          <t>Pulverização Agrícola Conforme Bula</t>
        </is>
      </c>
      <c r="F792" s="13" t="inlineStr">
        <is>
          <t>Feijão</t>
        </is>
      </c>
      <c r="G792" s="13" t="inlineStr">
        <is>
          <t>Cultura Autorizada na Bula</t>
        </is>
      </c>
      <c r="H792" s="13" t="inlineStr">
        <is>
          <t>100 a 300 L/ha</t>
        </is>
      </c>
      <c r="I792" s="13" t="inlineStr">
        <is>
          <t>20 a 40 L/ha</t>
        </is>
      </c>
      <c r="J792" s="13" t="inlineStr">
        <is>
          <t>20 dias</t>
        </is>
      </c>
    </row>
    <row r="793" ht="22" customHeight="1">
      <c r="A793" s="6" t="inlineStr">
        <is>
          <t>CUL-0789</t>
        </is>
      </c>
      <c r="B793" s="5" t="n">
        <v>154</v>
      </c>
      <c r="C793" s="7" t="inlineStr">
        <is>
          <t>Nº 3307</t>
        </is>
      </c>
      <c r="D793" s="8" t="inlineStr">
        <is>
          <t>BRIGADE 400 EC</t>
        </is>
      </c>
      <c r="E793" s="7" t="inlineStr">
        <is>
          <t>Pulverização Agrícola Conforme Bula</t>
        </is>
      </c>
      <c r="F793" s="7" t="inlineStr">
        <is>
          <t>Trigo</t>
        </is>
      </c>
      <c r="G793" s="7" t="inlineStr">
        <is>
          <t>Cultura Autorizada na Bula</t>
        </is>
      </c>
      <c r="H793" s="7" t="inlineStr">
        <is>
          <t>100 a 300 L/ha</t>
        </is>
      </c>
      <c r="I793" s="7" t="inlineStr">
        <is>
          <t>20 a 40 L/ha</t>
        </is>
      </c>
      <c r="J793" s="7" t="inlineStr">
        <is>
          <t>30 dias</t>
        </is>
      </c>
    </row>
    <row r="794" ht="22" customHeight="1">
      <c r="A794" s="12" t="inlineStr">
        <is>
          <t>CUL-0790</t>
        </is>
      </c>
      <c r="B794" s="11" t="n">
        <v>155</v>
      </c>
      <c r="C794" s="13" t="inlineStr">
        <is>
          <t>SIPEAGRO (UF-XXXXX)</t>
        </is>
      </c>
      <c r="D794" s="14" t="inlineStr">
        <is>
          <t>NITRATO DE MAGNESIO 1000 X</t>
        </is>
      </c>
      <c r="E794" s="13" t="inlineStr">
        <is>
          <t>Adubação de Solo / Foliar</t>
        </is>
      </c>
      <c r="F794" s="13" t="inlineStr">
        <is>
          <t>Soja</t>
        </is>
      </c>
      <c r="G794" s="13" t="inlineStr">
        <is>
          <t>Cultura Autorizada na Bula</t>
        </is>
      </c>
      <c r="H794" s="13" t="inlineStr">
        <is>
          <t>100 a 300 L/ha</t>
        </is>
      </c>
      <c r="I794" s="13" t="inlineStr">
        <is>
          <t>20 a 40 L/ha</t>
        </is>
      </c>
      <c r="J794" s="13" t="inlineStr">
        <is>
          <t>Isento</t>
        </is>
      </c>
    </row>
    <row r="795" ht="22" customHeight="1">
      <c r="A795" s="6" t="inlineStr">
        <is>
          <t>CUL-0791</t>
        </is>
      </c>
      <c r="B795" s="5" t="n">
        <v>155</v>
      </c>
      <c r="C795" s="7" t="inlineStr">
        <is>
          <t>SIPEAGRO (UF-XXXXX)</t>
        </is>
      </c>
      <c r="D795" s="8" t="inlineStr">
        <is>
          <t>NITRATO DE MAGNESIO 1000 X</t>
        </is>
      </c>
      <c r="E795" s="7" t="inlineStr">
        <is>
          <t>Adubação de Solo / Foliar</t>
        </is>
      </c>
      <c r="F795" s="7" t="inlineStr">
        <is>
          <t>Milho</t>
        </is>
      </c>
      <c r="G795" s="7" t="inlineStr">
        <is>
          <t>Cultura Autorizada na Bula</t>
        </is>
      </c>
      <c r="H795" s="7" t="inlineStr">
        <is>
          <t>100 a 300 L/ha</t>
        </is>
      </c>
      <c r="I795" s="7" t="inlineStr">
        <is>
          <t>20 a 40 L/ha</t>
        </is>
      </c>
      <c r="J795" s="7" t="inlineStr">
        <is>
          <t>Isento</t>
        </is>
      </c>
    </row>
    <row r="796" ht="22" customHeight="1">
      <c r="A796" s="12" t="inlineStr">
        <is>
          <t>CUL-0792</t>
        </is>
      </c>
      <c r="B796" s="11" t="n">
        <v>155</v>
      </c>
      <c r="C796" s="13" t="inlineStr">
        <is>
          <t>SIPEAGRO (UF-XXXXX)</t>
        </is>
      </c>
      <c r="D796" s="14" t="inlineStr">
        <is>
          <t>NITRATO DE MAGNESIO 1000 X</t>
        </is>
      </c>
      <c r="E796" s="13" t="inlineStr">
        <is>
          <t>Adubação de Solo / Foliar</t>
        </is>
      </c>
      <c r="F796" s="13" t="inlineStr">
        <is>
          <t>Algodão</t>
        </is>
      </c>
      <c r="G796" s="13" t="inlineStr">
        <is>
          <t>Cultura Autorizada na Bula</t>
        </is>
      </c>
      <c r="H796" s="13" t="inlineStr">
        <is>
          <t>100 a 300 L/ha</t>
        </is>
      </c>
      <c r="I796" s="13" t="inlineStr">
        <is>
          <t>20 a 40 L/ha</t>
        </is>
      </c>
      <c r="J796" s="13" t="inlineStr">
        <is>
          <t>Isento</t>
        </is>
      </c>
    </row>
    <row r="797" ht="22" customHeight="1">
      <c r="A797" s="6" t="inlineStr">
        <is>
          <t>CUL-0793</t>
        </is>
      </c>
      <c r="B797" s="5" t="n">
        <v>155</v>
      </c>
      <c r="C797" s="7" t="inlineStr">
        <is>
          <t>SIPEAGRO (UF-XXXXX)</t>
        </is>
      </c>
      <c r="D797" s="8" t="inlineStr">
        <is>
          <t>NITRATO DE MAGNESIO 1000 X</t>
        </is>
      </c>
      <c r="E797" s="7" t="inlineStr">
        <is>
          <t>Adubação de Solo / Foliar</t>
        </is>
      </c>
      <c r="F797" s="7" t="inlineStr">
        <is>
          <t>Cana-de-açúcar</t>
        </is>
      </c>
      <c r="G797" s="7" t="inlineStr">
        <is>
          <t>Cultura Autorizada na Bula</t>
        </is>
      </c>
      <c r="H797" s="7" t="inlineStr">
        <is>
          <t>100 a 300 L/ha</t>
        </is>
      </c>
      <c r="I797" s="7" t="inlineStr">
        <is>
          <t>20 a 40 L/ha</t>
        </is>
      </c>
      <c r="J797" s="7" t="inlineStr">
        <is>
          <t>Isento</t>
        </is>
      </c>
    </row>
    <row r="798" ht="22" customHeight="1">
      <c r="A798" s="12" t="inlineStr">
        <is>
          <t>CUL-0794</t>
        </is>
      </c>
      <c r="B798" s="11" t="n">
        <v>155</v>
      </c>
      <c r="C798" s="13" t="inlineStr">
        <is>
          <t>SIPEAGRO (UF-XXXXX)</t>
        </is>
      </c>
      <c r="D798" s="14" t="inlineStr">
        <is>
          <t>NITRATO DE MAGNESIO 1000 X</t>
        </is>
      </c>
      <c r="E798" s="13" t="inlineStr">
        <is>
          <t>Adubação de Solo / Foliar</t>
        </is>
      </c>
      <c r="F798" s="13" t="inlineStr">
        <is>
          <t>Café</t>
        </is>
      </c>
      <c r="G798" s="13" t="inlineStr">
        <is>
          <t>Cultura Autorizada na Bula</t>
        </is>
      </c>
      <c r="H798" s="13" t="inlineStr">
        <is>
          <t>100 a 300 L/ha</t>
        </is>
      </c>
      <c r="I798" s="13" t="inlineStr">
        <is>
          <t>20 a 40 L/ha</t>
        </is>
      </c>
      <c r="J798" s="13" t="inlineStr">
        <is>
          <t>Isento</t>
        </is>
      </c>
    </row>
    <row r="799" ht="22" customHeight="1">
      <c r="A799" s="6" t="inlineStr">
        <is>
          <t>CUL-0795</t>
        </is>
      </c>
      <c r="B799" s="5" t="n">
        <v>156</v>
      </c>
      <c r="C799" s="7" t="inlineStr">
        <is>
          <t>Nº 36321</t>
        </is>
      </c>
      <c r="D799" s="8" t="inlineStr">
        <is>
          <t>ERRADIK</t>
        </is>
      </c>
      <c r="E799" s="7" t="inlineStr">
        <is>
          <t>Pulverização Agrícola Conforme Bula</t>
        </is>
      </c>
      <c r="F799" s="7" t="inlineStr">
        <is>
          <t>Soja</t>
        </is>
      </c>
      <c r="G799" s="7" t="inlineStr">
        <is>
          <t>Cultura Autorizada na Bula</t>
        </is>
      </c>
      <c r="H799" s="7" t="inlineStr">
        <is>
          <t>100 a 300 L/ha</t>
        </is>
      </c>
      <c r="I799" s="7" t="inlineStr">
        <is>
          <t>20 a 40 L/ha</t>
        </is>
      </c>
      <c r="J799" s="7" t="inlineStr">
        <is>
          <t>30 dias</t>
        </is>
      </c>
    </row>
    <row r="800" ht="22" customHeight="1">
      <c r="A800" s="12" t="inlineStr">
        <is>
          <t>CUL-0796</t>
        </is>
      </c>
      <c r="B800" s="11" t="n">
        <v>156</v>
      </c>
      <c r="C800" s="13" t="inlineStr">
        <is>
          <t>Nº 36321</t>
        </is>
      </c>
      <c r="D800" s="14" t="inlineStr">
        <is>
          <t>ERRADIK</t>
        </is>
      </c>
      <c r="E800" s="13" t="inlineStr">
        <is>
          <t>Pulverização Agrícola Conforme Bula</t>
        </is>
      </c>
      <c r="F800" s="13" t="inlineStr">
        <is>
          <t>Algodão</t>
        </is>
      </c>
      <c r="G800" s="13" t="inlineStr">
        <is>
          <t>Cultura Autorizada na Bula</t>
        </is>
      </c>
      <c r="H800" s="13" t="inlineStr">
        <is>
          <t>100 a 300 L/ha</t>
        </is>
      </c>
      <c r="I800" s="13" t="inlineStr">
        <is>
          <t>20 a 40 L/ha</t>
        </is>
      </c>
      <c r="J800" s="13" t="inlineStr">
        <is>
          <t>30 dias</t>
        </is>
      </c>
    </row>
    <row r="801" ht="22" customHeight="1">
      <c r="A801" s="6" t="inlineStr">
        <is>
          <t>CUL-0797</t>
        </is>
      </c>
      <c r="B801" s="5" t="n">
        <v>156</v>
      </c>
      <c r="C801" s="7" t="inlineStr">
        <is>
          <t>Nº 36321</t>
        </is>
      </c>
      <c r="D801" s="8" t="inlineStr">
        <is>
          <t>ERRADIK</t>
        </is>
      </c>
      <c r="E801" s="7" t="inlineStr">
        <is>
          <t>Pulverização Agrícola Conforme Bula</t>
        </is>
      </c>
      <c r="F801" s="7" t="inlineStr">
        <is>
          <t>Feijão</t>
        </is>
      </c>
      <c r="G801" s="7" t="inlineStr">
        <is>
          <t>Cultura Autorizada na Bula</t>
        </is>
      </c>
      <c r="H801" s="7" t="inlineStr">
        <is>
          <t>100 a 300 L/ha</t>
        </is>
      </c>
      <c r="I801" s="7" t="inlineStr">
        <is>
          <t>20 a 40 L/ha</t>
        </is>
      </c>
      <c r="J801" s="7" t="inlineStr">
        <is>
          <t>14 dias</t>
        </is>
      </c>
    </row>
    <row r="802" ht="22" customHeight="1">
      <c r="A802" s="12" t="inlineStr">
        <is>
          <t>CUL-0798</t>
        </is>
      </c>
      <c r="B802" s="11" t="n">
        <v>156</v>
      </c>
      <c r="C802" s="13" t="inlineStr">
        <is>
          <t>Nº 36321</t>
        </is>
      </c>
      <c r="D802" s="14" t="inlineStr">
        <is>
          <t>ERRADIK</t>
        </is>
      </c>
      <c r="E802" s="13" t="inlineStr">
        <is>
          <t>Pulverização Agrícola Conforme Bula</t>
        </is>
      </c>
      <c r="F802" s="13" t="inlineStr">
        <is>
          <t>Arroz</t>
        </is>
      </c>
      <c r="G802" s="13" t="inlineStr">
        <is>
          <t>Cultura Autorizada na Bula</t>
        </is>
      </c>
      <c r="H802" s="13" t="inlineStr">
        <is>
          <t>100 a 300 L/ha</t>
        </is>
      </c>
      <c r="I802" s="13" t="inlineStr">
        <is>
          <t>20 a 40 L/ha</t>
        </is>
      </c>
      <c r="J802" s="13" t="inlineStr">
        <is>
          <t>40 dias</t>
        </is>
      </c>
    </row>
    <row r="803" ht="22" customHeight="1">
      <c r="A803" s="6" t="inlineStr">
        <is>
          <t>CUL-0799</t>
        </is>
      </c>
      <c r="B803" s="5" t="n">
        <v>156</v>
      </c>
      <c r="C803" s="7" t="inlineStr">
        <is>
          <t>Nº 36321</t>
        </is>
      </c>
      <c r="D803" s="8" t="inlineStr">
        <is>
          <t>ERRADIK</t>
        </is>
      </c>
      <c r="E803" s="7" t="inlineStr">
        <is>
          <t>Pulverização Agrícola Conforme Bula</t>
        </is>
      </c>
      <c r="F803" s="7" t="inlineStr">
        <is>
          <t>Café</t>
        </is>
      </c>
      <c r="G803" s="7" t="inlineStr">
        <is>
          <t>Cultura Autorizada na Bula</t>
        </is>
      </c>
      <c r="H803" s="7" t="inlineStr">
        <is>
          <t>100 a 300 L/ha</t>
        </is>
      </c>
      <c r="I803" s="7" t="inlineStr">
        <is>
          <t>20 a 40 L/ha</t>
        </is>
      </c>
      <c r="J803" s="7" t="inlineStr">
        <is>
          <t>30 dias</t>
        </is>
      </c>
    </row>
    <row r="804" ht="22" customHeight="1">
      <c r="A804" s="12" t="inlineStr">
        <is>
          <t>CUL-0800</t>
        </is>
      </c>
      <c r="B804" s="11" t="n">
        <v>156</v>
      </c>
      <c r="C804" s="13" t="inlineStr">
        <is>
          <t>Nº 36321</t>
        </is>
      </c>
      <c r="D804" s="14" t="inlineStr">
        <is>
          <t>ERRADIK</t>
        </is>
      </c>
      <c r="E804" s="13" t="inlineStr">
        <is>
          <t>Pulverização Agrícola Conforme Bula</t>
        </is>
      </c>
      <c r="F804" s="13" t="inlineStr">
        <is>
          <t>Trigo</t>
        </is>
      </c>
      <c r="G804" s="13" t="inlineStr">
        <is>
          <t>Cultura Autorizada na Bula</t>
        </is>
      </c>
      <c r="H804" s="13" t="inlineStr">
        <is>
          <t>100 a 300 L/ha</t>
        </is>
      </c>
      <c r="I804" s="13" t="inlineStr">
        <is>
          <t>20 a 40 L/ha</t>
        </is>
      </c>
      <c r="J804" s="13" t="inlineStr">
        <is>
          <t>35 dias</t>
        </is>
      </c>
    </row>
    <row r="805" ht="22" customHeight="1">
      <c r="A805" s="6" t="inlineStr">
        <is>
          <t>CUL-0801</t>
        </is>
      </c>
      <c r="B805" s="5" t="n">
        <v>156</v>
      </c>
      <c r="C805" s="7" t="inlineStr">
        <is>
          <t>Nº 36321</t>
        </is>
      </c>
      <c r="D805" s="8" t="inlineStr">
        <is>
          <t>ERRADIK</t>
        </is>
      </c>
      <c r="E805" s="7" t="inlineStr">
        <is>
          <t>Pulverização Agrícola Conforme Bula</t>
        </is>
      </c>
      <c r="F805" s="7" t="inlineStr">
        <is>
          <t>Tomate</t>
        </is>
      </c>
      <c r="G805" s="7" t="inlineStr">
        <is>
          <t>Cultura Autorizada na Bula</t>
        </is>
      </c>
      <c r="H805" s="7" t="inlineStr">
        <is>
          <t>100 a 300 L/ha</t>
        </is>
      </c>
      <c r="I805" s="7" t="inlineStr">
        <is>
          <t>20 a 40 L/ha</t>
        </is>
      </c>
      <c r="J805" s="7" t="inlineStr">
        <is>
          <t>7 dias</t>
        </is>
      </c>
    </row>
    <row r="806" ht="22" customHeight="1">
      <c r="A806" s="12" t="inlineStr">
        <is>
          <t>CUL-0802</t>
        </is>
      </c>
      <c r="B806" s="11" t="n">
        <v>157</v>
      </c>
      <c r="C806" s="13" t="inlineStr">
        <is>
          <t>Nº 31618</t>
        </is>
      </c>
      <c r="D806" s="14" t="inlineStr">
        <is>
          <t>ASSARIS</t>
        </is>
      </c>
      <c r="E806" s="13" t="inlineStr">
        <is>
          <t>Pulverização Agrícola Conforme Bula</t>
        </is>
      </c>
      <c r="F806" s="13" t="inlineStr">
        <is>
          <t>Soja</t>
        </is>
      </c>
      <c r="G806" s="13" t="inlineStr">
        <is>
          <t>Cultura Autorizada na Bula</t>
        </is>
      </c>
      <c r="H806" s="13" t="inlineStr">
        <is>
          <t>100 a 300 L/ha</t>
        </is>
      </c>
      <c r="I806" s="13" t="inlineStr">
        <is>
          <t>20 a 40 L/ha</t>
        </is>
      </c>
      <c r="J806" s="13" t="inlineStr">
        <is>
          <t>14 dias</t>
        </is>
      </c>
    </row>
    <row r="807" ht="22" customHeight="1">
      <c r="A807" s="6" t="inlineStr">
        <is>
          <t>CUL-0803</t>
        </is>
      </c>
      <c r="B807" s="5" t="n">
        <v>157</v>
      </c>
      <c r="C807" s="7" t="inlineStr">
        <is>
          <t>Nº 31618</t>
        </is>
      </c>
      <c r="D807" s="8" t="inlineStr">
        <is>
          <t>ASSARIS</t>
        </is>
      </c>
      <c r="E807" s="7" t="inlineStr">
        <is>
          <t>Pulverização Agrícola Conforme Bula</t>
        </is>
      </c>
      <c r="F807" s="7" t="inlineStr">
        <is>
          <t>Milho</t>
        </is>
      </c>
      <c r="G807" s="7" t="inlineStr">
        <is>
          <t>Cultura Autorizada na Bula</t>
        </is>
      </c>
      <c r="H807" s="7" t="inlineStr">
        <is>
          <t>100 a 300 L/ha</t>
        </is>
      </c>
      <c r="I807" s="7" t="inlineStr">
        <is>
          <t>20 a 40 L/ha</t>
        </is>
      </c>
      <c r="J807" s="7" t="inlineStr">
        <is>
          <t>14 dias</t>
        </is>
      </c>
    </row>
    <row r="808" ht="22" customHeight="1">
      <c r="A808" s="12" t="inlineStr">
        <is>
          <t>CUL-0804</t>
        </is>
      </c>
      <c r="B808" s="11" t="n">
        <v>157</v>
      </c>
      <c r="C808" s="13" t="inlineStr">
        <is>
          <t>Nº 31618</t>
        </is>
      </c>
      <c r="D808" s="14" t="inlineStr">
        <is>
          <t>ASSARIS</t>
        </is>
      </c>
      <c r="E808" s="13" t="inlineStr">
        <is>
          <t>Pulverização Agrícola Conforme Bula</t>
        </is>
      </c>
      <c r="F808" s="13" t="inlineStr">
        <is>
          <t>Algodão</t>
        </is>
      </c>
      <c r="G808" s="13" t="inlineStr">
        <is>
          <t>Cultura Autorizada na Bula</t>
        </is>
      </c>
      <c r="H808" s="13" t="inlineStr">
        <is>
          <t>100 a 300 L/ha</t>
        </is>
      </c>
      <c r="I808" s="13" t="inlineStr">
        <is>
          <t>20 a 40 L/ha</t>
        </is>
      </c>
      <c r="J808" s="13" t="inlineStr">
        <is>
          <t>14 dias</t>
        </is>
      </c>
    </row>
    <row r="809" ht="22" customHeight="1">
      <c r="A809" s="6" t="inlineStr">
        <is>
          <t>CUL-0805</t>
        </is>
      </c>
      <c r="B809" s="5" t="n">
        <v>157</v>
      </c>
      <c r="C809" s="7" t="inlineStr">
        <is>
          <t>Nº 31618</t>
        </is>
      </c>
      <c r="D809" s="8" t="inlineStr">
        <is>
          <t>ASSARIS</t>
        </is>
      </c>
      <c r="E809" s="7" t="inlineStr">
        <is>
          <t>Pulverização Agrícola Conforme Bula</t>
        </is>
      </c>
      <c r="F809" s="7" t="inlineStr">
        <is>
          <t>Trigo</t>
        </is>
      </c>
      <c r="G809" s="7" t="inlineStr">
        <is>
          <t>Cultura Autorizada na Bula</t>
        </is>
      </c>
      <c r="H809" s="7" t="inlineStr">
        <is>
          <t>100 a 300 L/ha</t>
        </is>
      </c>
      <c r="I809" s="7" t="inlineStr">
        <is>
          <t>20 a 40 L/ha</t>
        </is>
      </c>
      <c r="J809" s="7" t="inlineStr">
        <is>
          <t>14 dias</t>
        </is>
      </c>
    </row>
    <row r="810" ht="22" customHeight="1">
      <c r="A810" s="12" t="inlineStr">
        <is>
          <t>CUL-0806</t>
        </is>
      </c>
      <c r="B810" s="11" t="n">
        <v>157</v>
      </c>
      <c r="C810" s="13" t="inlineStr">
        <is>
          <t>Nº 31618</t>
        </is>
      </c>
      <c r="D810" s="14" t="inlineStr">
        <is>
          <t>ASSARIS</t>
        </is>
      </c>
      <c r="E810" s="13" t="inlineStr">
        <is>
          <t>Pulverização Agrícola Conforme Bula</t>
        </is>
      </c>
      <c r="F810" s="13" t="inlineStr">
        <is>
          <t>Batata</t>
        </is>
      </c>
      <c r="G810" s="13" t="inlineStr">
        <is>
          <t>Cultura Autorizada na Bula</t>
        </is>
      </c>
      <c r="H810" s="13" t="inlineStr">
        <is>
          <t>100 a 300 L/ha</t>
        </is>
      </c>
      <c r="I810" s="13" t="inlineStr">
        <is>
          <t>20 a 40 L/ha</t>
        </is>
      </c>
      <c r="J810" s="13" t="inlineStr">
        <is>
          <t>14 dias</t>
        </is>
      </c>
    </row>
    <row r="811" ht="22" customHeight="1">
      <c r="A811" s="6" t="inlineStr">
        <is>
          <t>CUL-0807</t>
        </is>
      </c>
      <c r="B811" s="5" t="n">
        <v>157</v>
      </c>
      <c r="C811" s="7" t="inlineStr">
        <is>
          <t>Nº 31618</t>
        </is>
      </c>
      <c r="D811" s="8" t="inlineStr">
        <is>
          <t>ASSARIS</t>
        </is>
      </c>
      <c r="E811" s="7" t="inlineStr">
        <is>
          <t>Pulverização Agrícola Conforme Bula</t>
        </is>
      </c>
      <c r="F811" s="7" t="inlineStr">
        <is>
          <t>Tomate</t>
        </is>
      </c>
      <c r="G811" s="7" t="inlineStr">
        <is>
          <t>Cultura Autorizada na Bula</t>
        </is>
      </c>
      <c r="H811" s="7" t="inlineStr">
        <is>
          <t>100 a 300 L/ha</t>
        </is>
      </c>
      <c r="I811" s="7" t="inlineStr">
        <is>
          <t>20 a 40 L/ha</t>
        </is>
      </c>
      <c r="J811" s="7" t="inlineStr">
        <is>
          <t>3 dias</t>
        </is>
      </c>
    </row>
    <row r="812" ht="22" customHeight="1">
      <c r="A812" s="12" t="inlineStr">
        <is>
          <t>CUL-0808</t>
        </is>
      </c>
      <c r="B812" s="11" t="n">
        <v>158</v>
      </c>
      <c r="C812" s="13" t="inlineStr">
        <is>
          <t>Nº 17219</t>
        </is>
      </c>
      <c r="D812" s="14" t="inlineStr">
        <is>
          <t>FLUAZINAM</t>
        </is>
      </c>
      <c r="E812" s="13" t="inlineStr">
        <is>
          <t>Pulverização Agrícola Conforme Bula</t>
        </is>
      </c>
      <c r="F812" s="13" t="inlineStr">
        <is>
          <t>Soja</t>
        </is>
      </c>
      <c r="G812" s="13" t="inlineStr">
        <is>
          <t>Cultura Autorizada na Bula</t>
        </is>
      </c>
      <c r="H812" s="13" t="inlineStr">
        <is>
          <t>100 a 300 L/ha</t>
        </is>
      </c>
      <c r="I812" s="13" t="inlineStr">
        <is>
          <t>20 a 40 L/ha</t>
        </is>
      </c>
      <c r="J812" s="13" t="inlineStr">
        <is>
          <t>28 dias</t>
        </is>
      </c>
    </row>
    <row r="813" ht="22" customHeight="1">
      <c r="A813" s="6" t="inlineStr">
        <is>
          <t>CUL-0809</t>
        </is>
      </c>
      <c r="B813" s="5" t="n">
        <v>158</v>
      </c>
      <c r="C813" s="7" t="inlineStr">
        <is>
          <t>Nº 17219</t>
        </is>
      </c>
      <c r="D813" s="8" t="inlineStr">
        <is>
          <t>FLUAZINAM</t>
        </is>
      </c>
      <c r="E813" s="7" t="inlineStr">
        <is>
          <t>Pulverização Agrícola Conforme Bula</t>
        </is>
      </c>
      <c r="F813" s="7" t="inlineStr">
        <is>
          <t>Feijão</t>
        </is>
      </c>
      <c r="G813" s="7" t="inlineStr">
        <is>
          <t>Cultura Autorizada na Bula</t>
        </is>
      </c>
      <c r="H813" s="7" t="inlineStr">
        <is>
          <t>100 a 300 L/ha</t>
        </is>
      </c>
      <c r="I813" s="7" t="inlineStr">
        <is>
          <t>20 a 40 L/ha</t>
        </is>
      </c>
      <c r="J813" s="7" t="inlineStr">
        <is>
          <t>20 dias</t>
        </is>
      </c>
    </row>
    <row r="814" ht="22" customHeight="1">
      <c r="A814" s="12" t="inlineStr">
        <is>
          <t>CUL-0810</t>
        </is>
      </c>
      <c r="B814" s="11" t="n">
        <v>158</v>
      </c>
      <c r="C814" s="13" t="inlineStr">
        <is>
          <t>Nº 17219</t>
        </is>
      </c>
      <c r="D814" s="14" t="inlineStr">
        <is>
          <t>FLUAZINAM</t>
        </is>
      </c>
      <c r="E814" s="13" t="inlineStr">
        <is>
          <t>Pulverização Agrícola Conforme Bula</t>
        </is>
      </c>
      <c r="F814" s="13" t="inlineStr">
        <is>
          <t>Batata</t>
        </is>
      </c>
      <c r="G814" s="13" t="inlineStr">
        <is>
          <t>Cultura Autorizada na Bula</t>
        </is>
      </c>
      <c r="H814" s="13" t="inlineStr">
        <is>
          <t>100 a 300 L/ha</t>
        </is>
      </c>
      <c r="I814" s="13" t="inlineStr">
        <is>
          <t>20 a 40 L/ha</t>
        </is>
      </c>
      <c r="J814" s="13" t="inlineStr">
        <is>
          <t>7 dias</t>
        </is>
      </c>
    </row>
    <row r="815" ht="22" customHeight="1">
      <c r="A815" s="6" t="inlineStr">
        <is>
          <t>CUL-0811</t>
        </is>
      </c>
      <c r="B815" s="5" t="n">
        <v>158</v>
      </c>
      <c r="C815" s="7" t="inlineStr">
        <is>
          <t>Nº 17219</t>
        </is>
      </c>
      <c r="D815" s="8" t="inlineStr">
        <is>
          <t>FLUAZINAM</t>
        </is>
      </c>
      <c r="E815" s="7" t="inlineStr">
        <is>
          <t>Pulverização Agrícola Conforme Bula</t>
        </is>
      </c>
      <c r="F815" s="7" t="inlineStr">
        <is>
          <t>Algodão</t>
        </is>
      </c>
      <c r="G815" s="7" t="inlineStr">
        <is>
          <t>Cultura Autorizada na Bula</t>
        </is>
      </c>
      <c r="H815" s="7" t="inlineStr">
        <is>
          <t>100 a 300 L/ha</t>
        </is>
      </c>
      <c r="I815" s="7" t="inlineStr">
        <is>
          <t>20 a 40 L/ha</t>
        </is>
      </c>
      <c r="J815" s="7" t="inlineStr">
        <is>
          <t>30 dias</t>
        </is>
      </c>
    </row>
    <row r="816" ht="22" customHeight="1">
      <c r="A816" s="12" t="inlineStr">
        <is>
          <t>CUL-0812</t>
        </is>
      </c>
      <c r="B816" s="11" t="n">
        <v>158</v>
      </c>
      <c r="C816" s="13" t="inlineStr">
        <is>
          <t>Nº 17219</t>
        </is>
      </c>
      <c r="D816" s="14" t="inlineStr">
        <is>
          <t>FLUAZINAM</t>
        </is>
      </c>
      <c r="E816" s="13" t="inlineStr">
        <is>
          <t>Pulverização Agrícola Conforme Bula</t>
        </is>
      </c>
      <c r="F816" s="13" t="inlineStr">
        <is>
          <t>Tomate</t>
        </is>
      </c>
      <c r="G816" s="13" t="inlineStr">
        <is>
          <t>Cultura Autorizada na Bula</t>
        </is>
      </c>
      <c r="H816" s="13" t="inlineStr">
        <is>
          <t>100 a 300 L/ha</t>
        </is>
      </c>
      <c r="I816" s="13" t="inlineStr">
        <is>
          <t>20 a 40 L/ha</t>
        </is>
      </c>
      <c r="J816" s="13" t="inlineStr">
        <is>
          <t>7 dias</t>
        </is>
      </c>
    </row>
    <row r="817" ht="22" customHeight="1">
      <c r="A817" s="6" t="inlineStr">
        <is>
          <t>CUL-0813</t>
        </is>
      </c>
      <c r="B817" s="5" t="n">
        <v>159</v>
      </c>
      <c r="C817" s="7" t="inlineStr">
        <is>
          <t>SIPEAGRO (UF-XXXXX)</t>
        </is>
      </c>
      <c r="D817" s="8" t="inlineStr">
        <is>
          <t>D0323.02-B1A (CU-9,0% MN-18,0% K20-1,0%)</t>
        </is>
      </c>
      <c r="E817" s="7" t="inlineStr">
        <is>
          <t>Adubação de Solo / Foliar</t>
        </is>
      </c>
      <c r="F817" s="7" t="inlineStr">
        <is>
          <t>Soja</t>
        </is>
      </c>
      <c r="G817" s="7" t="inlineStr">
        <is>
          <t>Cultura Autorizada na Bula</t>
        </is>
      </c>
      <c r="H817" s="7" t="inlineStr">
        <is>
          <t>100 a 300 L/ha</t>
        </is>
      </c>
      <c r="I817" s="7" t="inlineStr">
        <is>
          <t>20 a 40 L/ha</t>
        </is>
      </c>
      <c r="J817" s="7" t="inlineStr">
        <is>
          <t>Isento</t>
        </is>
      </c>
    </row>
    <row r="818" ht="22" customHeight="1">
      <c r="A818" s="12" t="inlineStr">
        <is>
          <t>CUL-0814</t>
        </is>
      </c>
      <c r="B818" s="11" t="n">
        <v>159</v>
      </c>
      <c r="C818" s="13" t="inlineStr">
        <is>
          <t>SIPEAGRO (UF-XXXXX)</t>
        </is>
      </c>
      <c r="D818" s="14" t="inlineStr">
        <is>
          <t>D0323.02-B1A (CU-9,0% MN-18,0% K20-1,0%)</t>
        </is>
      </c>
      <c r="E818" s="13" t="inlineStr">
        <is>
          <t>Adubação de Solo / Foliar</t>
        </is>
      </c>
      <c r="F818" s="13" t="inlineStr">
        <is>
          <t>Milho</t>
        </is>
      </c>
      <c r="G818" s="13" t="inlineStr">
        <is>
          <t>Cultura Autorizada na Bula</t>
        </is>
      </c>
      <c r="H818" s="13" t="inlineStr">
        <is>
          <t>100 a 300 L/ha</t>
        </is>
      </c>
      <c r="I818" s="13" t="inlineStr">
        <is>
          <t>20 a 40 L/ha</t>
        </is>
      </c>
      <c r="J818" s="13" t="inlineStr">
        <is>
          <t>Isento</t>
        </is>
      </c>
    </row>
    <row r="819" ht="22" customHeight="1">
      <c r="A819" s="6" t="inlineStr">
        <is>
          <t>CUL-0815</t>
        </is>
      </c>
      <c r="B819" s="5" t="n">
        <v>159</v>
      </c>
      <c r="C819" s="7" t="inlineStr">
        <is>
          <t>SIPEAGRO (UF-XXXXX)</t>
        </is>
      </c>
      <c r="D819" s="8" t="inlineStr">
        <is>
          <t>D0323.02-B1A (CU-9,0% MN-18,0% K20-1,0%)</t>
        </is>
      </c>
      <c r="E819" s="7" t="inlineStr">
        <is>
          <t>Adubação de Solo / Foliar</t>
        </is>
      </c>
      <c r="F819" s="7" t="inlineStr">
        <is>
          <t>Algodão</t>
        </is>
      </c>
      <c r="G819" s="7" t="inlineStr">
        <is>
          <t>Cultura Autorizada na Bula</t>
        </is>
      </c>
      <c r="H819" s="7" t="inlineStr">
        <is>
          <t>100 a 300 L/ha</t>
        </is>
      </c>
      <c r="I819" s="7" t="inlineStr">
        <is>
          <t>20 a 40 L/ha</t>
        </is>
      </c>
      <c r="J819" s="7" t="inlineStr">
        <is>
          <t>Isento</t>
        </is>
      </c>
    </row>
    <row r="820" ht="22" customHeight="1">
      <c r="A820" s="12" t="inlineStr">
        <is>
          <t>CUL-0816</t>
        </is>
      </c>
      <c r="B820" s="11" t="n">
        <v>159</v>
      </c>
      <c r="C820" s="13" t="inlineStr">
        <is>
          <t>SIPEAGRO (UF-XXXXX)</t>
        </is>
      </c>
      <c r="D820" s="14" t="inlineStr">
        <is>
          <t>D0323.02-B1A (CU-9,0% MN-18,0% K20-1,0%)</t>
        </is>
      </c>
      <c r="E820" s="13" t="inlineStr">
        <is>
          <t>Adubação de Solo / Foliar</t>
        </is>
      </c>
      <c r="F820" s="13" t="inlineStr">
        <is>
          <t>Cana-de-açúcar</t>
        </is>
      </c>
      <c r="G820" s="13" t="inlineStr">
        <is>
          <t>Cultura Autorizada na Bula</t>
        </is>
      </c>
      <c r="H820" s="13" t="inlineStr">
        <is>
          <t>100 a 300 L/ha</t>
        </is>
      </c>
      <c r="I820" s="13" t="inlineStr">
        <is>
          <t>20 a 40 L/ha</t>
        </is>
      </c>
      <c r="J820" s="13" t="inlineStr">
        <is>
          <t>Isento</t>
        </is>
      </c>
    </row>
    <row r="821" ht="22" customHeight="1">
      <c r="A821" s="6" t="inlineStr">
        <is>
          <t>CUL-0817</t>
        </is>
      </c>
      <c r="B821" s="5" t="n">
        <v>159</v>
      </c>
      <c r="C821" s="7" t="inlineStr">
        <is>
          <t>SIPEAGRO (UF-XXXXX)</t>
        </is>
      </c>
      <c r="D821" s="8" t="inlineStr">
        <is>
          <t>D0323.02-B1A (CU-9,0% MN-18,0% K20-1,0%)</t>
        </is>
      </c>
      <c r="E821" s="7" t="inlineStr">
        <is>
          <t>Adubação de Solo / Foliar</t>
        </is>
      </c>
      <c r="F821" s="7" t="inlineStr">
        <is>
          <t>Café</t>
        </is>
      </c>
      <c r="G821" s="7" t="inlineStr">
        <is>
          <t>Cultura Autorizada na Bula</t>
        </is>
      </c>
      <c r="H821" s="7" t="inlineStr">
        <is>
          <t>100 a 300 L/ha</t>
        </is>
      </c>
      <c r="I821" s="7" t="inlineStr">
        <is>
          <t>20 a 40 L/ha</t>
        </is>
      </c>
      <c r="J821" s="7" t="inlineStr">
        <is>
          <t>Isento</t>
        </is>
      </c>
    </row>
    <row r="822" ht="22" customHeight="1">
      <c r="A822" s="12" t="inlineStr">
        <is>
          <t>CUL-0818</t>
        </is>
      </c>
      <c r="B822" s="11" t="n">
        <v>160</v>
      </c>
      <c r="C822" s="13" t="inlineStr">
        <is>
          <t>SIPEAGRO (UF-XXXXX)</t>
        </is>
      </c>
      <c r="D822" s="14" t="inlineStr">
        <is>
          <t>BIOLOGIC SOY 4X1,8L</t>
        </is>
      </c>
      <c r="E822" s="13" t="inlineStr">
        <is>
          <t>Pulverização Agrícola Conforme Bula</t>
        </is>
      </c>
      <c r="F822" s="13" t="inlineStr">
        <is>
          <t>Soja</t>
        </is>
      </c>
      <c r="G822" s="13" t="inlineStr">
        <is>
          <t>Cultura Autorizada na Bula</t>
        </is>
      </c>
      <c r="H822" s="13" t="inlineStr">
        <is>
          <t>100 a 300 L/ha</t>
        </is>
      </c>
      <c r="I822" s="13" t="inlineStr">
        <is>
          <t>20 a 40 L/ha</t>
        </is>
      </c>
      <c r="J822" s="13" t="inlineStr">
        <is>
          <t>0 (Isento)</t>
        </is>
      </c>
    </row>
    <row r="823" ht="22" customHeight="1">
      <c r="A823" s="6" t="inlineStr">
        <is>
          <t>CUL-0819</t>
        </is>
      </c>
      <c r="B823" s="5" t="n">
        <v>160</v>
      </c>
      <c r="C823" s="7" t="inlineStr">
        <is>
          <t>SIPEAGRO (UF-XXXXX)</t>
        </is>
      </c>
      <c r="D823" s="8" t="inlineStr">
        <is>
          <t>BIOLOGIC SOY 4X1,8L</t>
        </is>
      </c>
      <c r="E823" s="7" t="inlineStr">
        <is>
          <t>Pulverização Agrícola Conforme Bula</t>
        </is>
      </c>
      <c r="F823" s="7" t="inlineStr">
        <is>
          <t>Milho</t>
        </is>
      </c>
      <c r="G823" s="7" t="inlineStr">
        <is>
          <t>Cultura Autorizada na Bula</t>
        </is>
      </c>
      <c r="H823" s="7" t="inlineStr">
        <is>
          <t>100 a 300 L/ha</t>
        </is>
      </c>
      <c r="I823" s="7" t="inlineStr">
        <is>
          <t>20 a 40 L/ha</t>
        </is>
      </c>
      <c r="J823" s="7" t="inlineStr">
        <is>
          <t>0 (Isento)</t>
        </is>
      </c>
    </row>
    <row r="824" ht="22" customHeight="1">
      <c r="A824" s="12" t="inlineStr">
        <is>
          <t>CUL-0820</t>
        </is>
      </c>
      <c r="B824" s="11" t="n">
        <v>160</v>
      </c>
      <c r="C824" s="13" t="inlineStr">
        <is>
          <t>SIPEAGRO (UF-XXXXX)</t>
        </is>
      </c>
      <c r="D824" s="14" t="inlineStr">
        <is>
          <t>BIOLOGIC SOY 4X1,8L</t>
        </is>
      </c>
      <c r="E824" s="13" t="inlineStr">
        <is>
          <t>Pulverização Agrícola Conforme Bula</t>
        </is>
      </c>
      <c r="F824" s="13" t="inlineStr">
        <is>
          <t>Feijão</t>
        </is>
      </c>
      <c r="G824" s="13" t="inlineStr">
        <is>
          <t>Cultura Autorizada na Bula</t>
        </is>
      </c>
      <c r="H824" s="13" t="inlineStr">
        <is>
          <t>100 a 300 L/ha</t>
        </is>
      </c>
      <c r="I824" s="13" t="inlineStr">
        <is>
          <t>20 a 40 L/ha</t>
        </is>
      </c>
      <c r="J824" s="13" t="inlineStr">
        <is>
          <t>0 (Isento)</t>
        </is>
      </c>
    </row>
    <row r="825" ht="22" customHeight="1">
      <c r="A825" s="6" t="inlineStr">
        <is>
          <t>CUL-0821</t>
        </is>
      </c>
      <c r="B825" s="5" t="n">
        <v>160</v>
      </c>
      <c r="C825" s="7" t="inlineStr">
        <is>
          <t>SIPEAGRO (UF-XXXXX)</t>
        </is>
      </c>
      <c r="D825" s="8" t="inlineStr">
        <is>
          <t>BIOLOGIC SOY 4X1,8L</t>
        </is>
      </c>
      <c r="E825" s="7" t="inlineStr">
        <is>
          <t>Pulverização Agrícola Conforme Bula</t>
        </is>
      </c>
      <c r="F825" s="7" t="inlineStr">
        <is>
          <t>Algodão</t>
        </is>
      </c>
      <c r="G825" s="7" t="inlineStr">
        <is>
          <t>Cultura Autorizada na Bula</t>
        </is>
      </c>
      <c r="H825" s="7" t="inlineStr">
        <is>
          <t>100 a 300 L/ha</t>
        </is>
      </c>
      <c r="I825" s="7" t="inlineStr">
        <is>
          <t>20 a 40 L/ha</t>
        </is>
      </c>
      <c r="J825" s="7" t="inlineStr">
        <is>
          <t>0 (Isento)</t>
        </is>
      </c>
    </row>
    <row r="826" ht="22" customHeight="1">
      <c r="A826" s="12" t="inlineStr">
        <is>
          <t>CUL-0822</t>
        </is>
      </c>
      <c r="B826" s="11" t="n">
        <v>161</v>
      </c>
      <c r="C826" s="13" t="inlineStr">
        <is>
          <t>Nº 10816</t>
        </is>
      </c>
      <c r="D826" s="14" t="inlineStr">
        <is>
          <t>MAESTRO FS</t>
        </is>
      </c>
      <c r="E826" s="13" t="inlineStr">
        <is>
          <t>Tratamento de Sementes / Sulco</t>
        </is>
      </c>
      <c r="F826" s="13" t="inlineStr">
        <is>
          <t>Soja (Trat. Sementes / Sulco)</t>
        </is>
      </c>
      <c r="G826" s="13" t="inlineStr">
        <is>
          <t>Cultura Autorizada na Bula</t>
        </is>
      </c>
      <c r="H826" s="13" t="inlineStr">
        <is>
          <t>Calda TS (0,2 a 0,6 L/100kg sem.)</t>
        </is>
      </c>
      <c r="I826" s="13" t="inlineStr">
        <is>
          <t>Não Autorizada (TS)</t>
        </is>
      </c>
      <c r="J826" s="13" t="inlineStr">
        <is>
          <t>N/D</t>
        </is>
      </c>
    </row>
    <row r="827" ht="22" customHeight="1">
      <c r="A827" s="6" t="inlineStr">
        <is>
          <t>CUL-0823</t>
        </is>
      </c>
      <c r="B827" s="5" t="n">
        <v>161</v>
      </c>
      <c r="C827" s="7" t="inlineStr">
        <is>
          <t>Nº 10816</t>
        </is>
      </c>
      <c r="D827" s="8" t="inlineStr">
        <is>
          <t>MAESTRO FS</t>
        </is>
      </c>
      <c r="E827" s="7" t="inlineStr">
        <is>
          <t>Tratamento de Sementes / Sulco</t>
        </is>
      </c>
      <c r="F827" s="7" t="inlineStr">
        <is>
          <t>Milho (Trat. Sementes)</t>
        </is>
      </c>
      <c r="G827" s="7" t="inlineStr">
        <is>
          <t>Cultura Autorizada na Bula</t>
        </is>
      </c>
      <c r="H827" s="7" t="inlineStr">
        <is>
          <t>Calda TS (0,2 a 0,6 L/100kg sem.)</t>
        </is>
      </c>
      <c r="I827" s="7" t="inlineStr">
        <is>
          <t>Não Autorizada (TS)</t>
        </is>
      </c>
      <c r="J827" s="7" t="inlineStr">
        <is>
          <t>N/D</t>
        </is>
      </c>
    </row>
    <row r="828" ht="22" customHeight="1">
      <c r="A828" s="12" t="inlineStr">
        <is>
          <t>CUL-0824</t>
        </is>
      </c>
      <c r="B828" s="11" t="n">
        <v>161</v>
      </c>
      <c r="C828" s="13" t="inlineStr">
        <is>
          <t>Nº 10816</t>
        </is>
      </c>
      <c r="D828" s="14" t="inlineStr">
        <is>
          <t>MAESTRO FS</t>
        </is>
      </c>
      <c r="E828" s="13" t="inlineStr">
        <is>
          <t>Tratamento de Sementes / Sulco</t>
        </is>
      </c>
      <c r="F828" s="13" t="inlineStr">
        <is>
          <t>Algodão</t>
        </is>
      </c>
      <c r="G828" s="13" t="inlineStr">
        <is>
          <t>Cultura Autorizada na Bula</t>
        </is>
      </c>
      <c r="H828" s="13" t="inlineStr">
        <is>
          <t>Calda TS (0,2 a 0,6 L/100kg sem.)</t>
        </is>
      </c>
      <c r="I828" s="13" t="inlineStr">
        <is>
          <t>Não Autorizada (TS)</t>
        </is>
      </c>
      <c r="J828" s="13" t="inlineStr">
        <is>
          <t>N/D</t>
        </is>
      </c>
    </row>
    <row r="829" ht="22" customHeight="1">
      <c r="A829" s="6" t="inlineStr">
        <is>
          <t>CUL-0825</t>
        </is>
      </c>
      <c r="B829" s="5" t="n">
        <v>161</v>
      </c>
      <c r="C829" s="7" t="inlineStr">
        <is>
          <t>Nº 10816</t>
        </is>
      </c>
      <c r="D829" s="8" t="inlineStr">
        <is>
          <t>MAESTRO FS</t>
        </is>
      </c>
      <c r="E829" s="7" t="inlineStr">
        <is>
          <t>Tratamento de Sementes / Sulco</t>
        </is>
      </c>
      <c r="F829" s="7" t="inlineStr">
        <is>
          <t>Cana-de-açúcar (Sulco)</t>
        </is>
      </c>
      <c r="G829" s="7" t="inlineStr">
        <is>
          <t>Cultura Autorizada na Bula</t>
        </is>
      </c>
      <c r="H829" s="7" t="inlineStr">
        <is>
          <t>Calda TS (0,2 a 0,6 L/100kg sem.)</t>
        </is>
      </c>
      <c r="I829" s="7" t="inlineStr">
        <is>
          <t>Não Autorizada (TS)</t>
        </is>
      </c>
      <c r="J829" s="7" t="inlineStr">
        <is>
          <t>N/D</t>
        </is>
      </c>
    </row>
    <row r="830" ht="22" customHeight="1">
      <c r="A830" s="12" t="inlineStr">
        <is>
          <t>CUL-0826</t>
        </is>
      </c>
      <c r="B830" s="11" t="n">
        <v>161</v>
      </c>
      <c r="C830" s="13" t="inlineStr">
        <is>
          <t>Nº 10816</t>
        </is>
      </c>
      <c r="D830" s="14" t="inlineStr">
        <is>
          <t>MAESTRO FS</t>
        </is>
      </c>
      <c r="E830" s="13" t="inlineStr">
        <is>
          <t>Tratamento de Sementes / Sulco</t>
        </is>
      </c>
      <c r="F830" s="13" t="inlineStr">
        <is>
          <t>Arroz</t>
        </is>
      </c>
      <c r="G830" s="13" t="inlineStr">
        <is>
          <t>Cultura Autorizada na Bula</t>
        </is>
      </c>
      <c r="H830" s="13" t="inlineStr">
        <is>
          <t>Calda TS (0,2 a 0,6 L/100kg sem.)</t>
        </is>
      </c>
      <c r="I830" s="13" t="inlineStr">
        <is>
          <t>Não Autorizada (TS)</t>
        </is>
      </c>
      <c r="J830" s="13" t="inlineStr">
        <is>
          <t>N/D</t>
        </is>
      </c>
    </row>
    <row r="831" ht="22" customHeight="1">
      <c r="A831" s="6" t="inlineStr">
        <is>
          <t>CUL-0827</t>
        </is>
      </c>
      <c r="B831" s="5" t="n">
        <v>161</v>
      </c>
      <c r="C831" s="7" t="inlineStr">
        <is>
          <t>Nº 10816</t>
        </is>
      </c>
      <c r="D831" s="8" t="inlineStr">
        <is>
          <t>MAESTRO FS</t>
        </is>
      </c>
      <c r="E831" s="7" t="inlineStr">
        <is>
          <t>Tratamento de Sementes / Sulco</t>
        </is>
      </c>
      <c r="F831" s="7" t="inlineStr">
        <is>
          <t>Feijão</t>
        </is>
      </c>
      <c r="G831" s="7" t="inlineStr">
        <is>
          <t>Cultura Autorizada na Bula</t>
        </is>
      </c>
      <c r="H831" s="7" t="inlineStr">
        <is>
          <t>Calda TS (0,2 a 0,6 L/100kg sem.)</t>
        </is>
      </c>
      <c r="I831" s="7" t="inlineStr">
        <is>
          <t>Não Autorizada (TS)</t>
        </is>
      </c>
      <c r="J831" s="7" t="inlineStr">
        <is>
          <t>N/D</t>
        </is>
      </c>
    </row>
    <row r="832" ht="22" customHeight="1">
      <c r="A832" s="12" t="inlineStr">
        <is>
          <t>CUL-0828</t>
        </is>
      </c>
      <c r="B832" s="11" t="n">
        <v>161</v>
      </c>
      <c r="C832" s="13" t="inlineStr">
        <is>
          <t>Nº 10816</t>
        </is>
      </c>
      <c r="D832" s="14" t="inlineStr">
        <is>
          <t>MAESTRO FS</t>
        </is>
      </c>
      <c r="E832" s="13" t="inlineStr">
        <is>
          <t>Tratamento de Sementes / Sulco</t>
        </is>
      </c>
      <c r="F832" s="13" t="inlineStr">
        <is>
          <t>Pastagens</t>
        </is>
      </c>
      <c r="G832" s="13" t="inlineStr">
        <is>
          <t>Cultura Autorizada na Bula</t>
        </is>
      </c>
      <c r="H832" s="13" t="inlineStr">
        <is>
          <t>Calda TS (0,2 a 0,6 L/100kg sem.)</t>
        </is>
      </c>
      <c r="I832" s="13" t="inlineStr">
        <is>
          <t>Não Autorizada (TS)</t>
        </is>
      </c>
      <c r="J832" s="13" t="inlineStr">
        <is>
          <t>N/D</t>
        </is>
      </c>
    </row>
    <row r="833" ht="22" customHeight="1">
      <c r="A833" s="6" t="inlineStr">
        <is>
          <t>CUL-0829</t>
        </is>
      </c>
      <c r="B833" s="5" t="n">
        <v>161</v>
      </c>
      <c r="C833" s="7" t="inlineStr">
        <is>
          <t>Nº 10816</t>
        </is>
      </c>
      <c r="D833" s="8" t="inlineStr">
        <is>
          <t>MAESTRO FS</t>
        </is>
      </c>
      <c r="E833" s="7" t="inlineStr">
        <is>
          <t>Tratamento de Sementes / Sulco</t>
        </is>
      </c>
      <c r="F833" s="7" t="inlineStr">
        <is>
          <t>Trigo</t>
        </is>
      </c>
      <c r="G833" s="7" t="inlineStr">
        <is>
          <t>Cultura Autorizada na Bula</t>
        </is>
      </c>
      <c r="H833" s="7" t="inlineStr">
        <is>
          <t>Calda TS (0,2 a 0,6 L/100kg sem.)</t>
        </is>
      </c>
      <c r="I833" s="7" t="inlineStr">
        <is>
          <t>Não Autorizada (TS)</t>
        </is>
      </c>
      <c r="J833" s="7" t="inlineStr">
        <is>
          <t>N/D</t>
        </is>
      </c>
    </row>
    <row r="834" ht="22" customHeight="1">
      <c r="A834" s="12" t="inlineStr">
        <is>
          <t>CUL-0830</t>
        </is>
      </c>
      <c r="B834" s="11" t="n">
        <v>162</v>
      </c>
      <c r="C834" s="13" t="inlineStr">
        <is>
          <t>SIPEAGRO (UF-XXXXX)</t>
        </is>
      </c>
      <c r="D834" s="14" t="inlineStr">
        <is>
          <t>ECOBOR 10 - ULEXITA BAG 1.273 KG (IMP)</t>
        </is>
      </c>
      <c r="E834" s="13" t="inlineStr">
        <is>
          <t>Pulverização Agrícola Conforme Bula</t>
        </is>
      </c>
      <c r="F834" s="13" t="inlineStr">
        <is>
          <t>Grandes Culturas, Perenes e Pastagens</t>
        </is>
      </c>
      <c r="G834" s="13" t="inlineStr">
        <is>
          <t>Cultura Autorizada na Bula</t>
        </is>
      </c>
      <c r="H834" s="13" t="inlineStr">
        <is>
          <t>100 a 300 L/ha</t>
        </is>
      </c>
      <c r="I834" s="13" t="inlineStr">
        <is>
          <t>20 a 40 L/ha</t>
        </is>
      </c>
      <c r="J834" s="13" t="inlineStr">
        <is>
          <t>Isento</t>
        </is>
      </c>
    </row>
    <row r="835" ht="22" customHeight="1">
      <c r="A835" s="6" t="inlineStr">
        <is>
          <t>CUL-0831</t>
        </is>
      </c>
      <c r="B835" s="5" t="n">
        <v>163</v>
      </c>
      <c r="C835" s="7" t="inlineStr">
        <is>
          <t>SIPEAGRO (UF-XXXXX)</t>
        </is>
      </c>
      <c r="D835" s="8" t="inlineStr">
        <is>
          <t>NODOFIX AZP 4X1,8L</t>
        </is>
      </c>
      <c r="E835" s="7" t="inlineStr">
        <is>
          <t>Pulverização Agrícola Conforme Bula</t>
        </is>
      </c>
      <c r="F835" s="7" t="inlineStr">
        <is>
          <t>Milho</t>
        </is>
      </c>
      <c r="G835" s="7" t="inlineStr">
        <is>
          <t>Cultura Autorizada na Bula</t>
        </is>
      </c>
      <c r="H835" s="7" t="inlineStr">
        <is>
          <t>100 a 300 L/ha</t>
        </is>
      </c>
      <c r="I835" s="7" t="inlineStr">
        <is>
          <t>20 a 40 L/ha</t>
        </is>
      </c>
      <c r="J835" s="7" t="inlineStr">
        <is>
          <t>0 (Isento)</t>
        </is>
      </c>
    </row>
    <row r="836" ht="22" customHeight="1">
      <c r="A836" s="12" t="inlineStr">
        <is>
          <t>CUL-0832</t>
        </is>
      </c>
      <c r="B836" s="11" t="n">
        <v>163</v>
      </c>
      <c r="C836" s="13" t="inlineStr">
        <is>
          <t>SIPEAGRO (UF-XXXXX)</t>
        </is>
      </c>
      <c r="D836" s="14" t="inlineStr">
        <is>
          <t>NODOFIX AZP 4X1,8L</t>
        </is>
      </c>
      <c r="E836" s="13" t="inlineStr">
        <is>
          <t>Pulverização Agrícola Conforme Bula</t>
        </is>
      </c>
      <c r="F836" s="13" t="inlineStr">
        <is>
          <t>Soja (Coinoculação)</t>
        </is>
      </c>
      <c r="G836" s="13" t="inlineStr">
        <is>
          <t>Cultura Autorizada na Bula</t>
        </is>
      </c>
      <c r="H836" s="13" t="inlineStr">
        <is>
          <t>100 a 300 L/ha</t>
        </is>
      </c>
      <c r="I836" s="13" t="inlineStr">
        <is>
          <t>20 a 40 L/ha</t>
        </is>
      </c>
      <c r="J836" s="13" t="inlineStr">
        <is>
          <t>0 (Isento)</t>
        </is>
      </c>
    </row>
    <row r="837" ht="22" customHeight="1">
      <c r="A837" s="6" t="inlineStr">
        <is>
          <t>CUL-0833</t>
        </is>
      </c>
      <c r="B837" s="5" t="n">
        <v>163</v>
      </c>
      <c r="C837" s="7" t="inlineStr">
        <is>
          <t>SIPEAGRO (UF-XXXXX)</t>
        </is>
      </c>
      <c r="D837" s="8" t="inlineStr">
        <is>
          <t>NODOFIX AZP 4X1,8L</t>
        </is>
      </c>
      <c r="E837" s="7" t="inlineStr">
        <is>
          <t>Pulverização Agrícola Conforme Bula</t>
        </is>
      </c>
      <c r="F837" s="7" t="inlineStr">
        <is>
          <t>Trigo</t>
        </is>
      </c>
      <c r="G837" s="7" t="inlineStr">
        <is>
          <t>Cultura Autorizada na Bula</t>
        </is>
      </c>
      <c r="H837" s="7" t="inlineStr">
        <is>
          <t>100 a 300 L/ha</t>
        </is>
      </c>
      <c r="I837" s="7" t="inlineStr">
        <is>
          <t>20 a 40 L/ha</t>
        </is>
      </c>
      <c r="J837" s="7" t="inlineStr">
        <is>
          <t>0 (Isento)</t>
        </is>
      </c>
    </row>
    <row r="838" ht="22" customHeight="1">
      <c r="A838" s="12" t="inlineStr">
        <is>
          <t>CUL-0834</t>
        </is>
      </c>
      <c r="B838" s="11" t="n">
        <v>163</v>
      </c>
      <c r="C838" s="13" t="inlineStr">
        <is>
          <t>SIPEAGRO (UF-XXXXX)</t>
        </is>
      </c>
      <c r="D838" s="14" t="inlineStr">
        <is>
          <t>NODOFIX AZP 4X1,8L</t>
        </is>
      </c>
      <c r="E838" s="13" t="inlineStr">
        <is>
          <t>Pulverização Agrícola Conforme Bula</t>
        </is>
      </c>
      <c r="F838" s="13" t="inlineStr">
        <is>
          <t>Pastagens (Brachiaria)</t>
        </is>
      </c>
      <c r="G838" s="13" t="inlineStr">
        <is>
          <t>Cultura Autorizada na Bula</t>
        </is>
      </c>
      <c r="H838" s="13" t="inlineStr">
        <is>
          <t>100 a 300 L/ha</t>
        </is>
      </c>
      <c r="I838" s="13" t="inlineStr">
        <is>
          <t>20 a 40 L/ha</t>
        </is>
      </c>
      <c r="J838" s="13" t="inlineStr">
        <is>
          <t>0 (Isento)</t>
        </is>
      </c>
    </row>
    <row r="839" ht="22" customHeight="1">
      <c r="A839" s="6" t="inlineStr">
        <is>
          <t>CUL-0835</t>
        </is>
      </c>
      <c r="B839" s="5" t="n">
        <v>164</v>
      </c>
      <c r="C839" s="7" t="inlineStr">
        <is>
          <t>Nº 3010</t>
        </is>
      </c>
      <c r="D839" s="8" t="inlineStr">
        <is>
          <t>BAZUKA 216 SL</t>
        </is>
      </c>
      <c r="E839" s="7" t="inlineStr">
        <is>
          <t>Pulverização Agrícola Conforme Bula</t>
        </is>
      </c>
      <c r="F839" s="7" t="inlineStr">
        <is>
          <t>Soja</t>
        </is>
      </c>
      <c r="G839" s="7" t="inlineStr">
        <is>
          <t>Cultura Autorizada na Bula</t>
        </is>
      </c>
      <c r="H839" s="7" t="inlineStr">
        <is>
          <t>100 a 300 L/ha</t>
        </is>
      </c>
      <c r="I839" s="7" t="inlineStr">
        <is>
          <t>20 a 40 L/ha</t>
        </is>
      </c>
      <c r="J839" s="7" t="inlineStr">
        <is>
          <t>14 dias</t>
        </is>
      </c>
    </row>
    <row r="840" ht="22" customHeight="1">
      <c r="A840" s="12" t="inlineStr">
        <is>
          <t>CUL-0836</t>
        </is>
      </c>
      <c r="B840" s="11" t="n">
        <v>164</v>
      </c>
      <c r="C840" s="13" t="inlineStr">
        <is>
          <t>Nº 3010</t>
        </is>
      </c>
      <c r="D840" s="14" t="inlineStr">
        <is>
          <t>BAZUKA 216 SL</t>
        </is>
      </c>
      <c r="E840" s="13" t="inlineStr">
        <is>
          <t>Pulverização Agrícola Conforme Bula</t>
        </is>
      </c>
      <c r="F840" s="13" t="inlineStr">
        <is>
          <t>Milho</t>
        </is>
      </c>
      <c r="G840" s="13" t="inlineStr">
        <is>
          <t>Cultura Autorizada na Bula</t>
        </is>
      </c>
      <c r="H840" s="13" t="inlineStr">
        <is>
          <t>100 a 300 L/ha</t>
        </is>
      </c>
      <c r="I840" s="13" t="inlineStr">
        <is>
          <t>20 a 40 L/ha</t>
        </is>
      </c>
      <c r="J840" s="13" t="inlineStr">
        <is>
          <t>14 dias</t>
        </is>
      </c>
    </row>
    <row r="841" ht="22" customHeight="1">
      <c r="A841" s="6" t="inlineStr">
        <is>
          <t>CUL-0837</t>
        </is>
      </c>
      <c r="B841" s="5" t="n">
        <v>164</v>
      </c>
      <c r="C841" s="7" t="inlineStr">
        <is>
          <t>Nº 3010</t>
        </is>
      </c>
      <c r="D841" s="8" t="inlineStr">
        <is>
          <t>BAZUKA 216 SL</t>
        </is>
      </c>
      <c r="E841" s="7" t="inlineStr">
        <is>
          <t>Pulverização Agrícola Conforme Bula</t>
        </is>
      </c>
      <c r="F841" s="7" t="inlineStr">
        <is>
          <t>Algodão</t>
        </is>
      </c>
      <c r="G841" s="7" t="inlineStr">
        <is>
          <t>Cultura Autorizada na Bula</t>
        </is>
      </c>
      <c r="H841" s="7" t="inlineStr">
        <is>
          <t>100 a 300 L/ha</t>
        </is>
      </c>
      <c r="I841" s="7" t="inlineStr">
        <is>
          <t>20 a 40 L/ha</t>
        </is>
      </c>
      <c r="J841" s="7" t="inlineStr">
        <is>
          <t>14 dias</t>
        </is>
      </c>
    </row>
    <row r="842" ht="22" customHeight="1">
      <c r="A842" s="12" t="inlineStr">
        <is>
          <t>CUL-0838</t>
        </is>
      </c>
      <c r="B842" s="11" t="n">
        <v>164</v>
      </c>
      <c r="C842" s="13" t="inlineStr">
        <is>
          <t>Nº 3010</t>
        </is>
      </c>
      <c r="D842" s="14" t="inlineStr">
        <is>
          <t>BAZUKA 216 SL</t>
        </is>
      </c>
      <c r="E842" s="13" t="inlineStr">
        <is>
          <t>Pulverização Agrícola Conforme Bula</t>
        </is>
      </c>
      <c r="F842" s="13" t="inlineStr">
        <is>
          <t>Trigo</t>
        </is>
      </c>
      <c r="G842" s="13" t="inlineStr">
        <is>
          <t>Cultura Autorizada na Bula</t>
        </is>
      </c>
      <c r="H842" s="13" t="inlineStr">
        <is>
          <t>100 a 300 L/ha</t>
        </is>
      </c>
      <c r="I842" s="13" t="inlineStr">
        <is>
          <t>20 a 40 L/ha</t>
        </is>
      </c>
      <c r="J842" s="13" t="inlineStr">
        <is>
          <t>14 dias</t>
        </is>
      </c>
    </row>
    <row r="843" ht="22" customHeight="1">
      <c r="A843" s="6" t="inlineStr">
        <is>
          <t>CUL-0839</t>
        </is>
      </c>
      <c r="B843" s="5" t="n">
        <v>164</v>
      </c>
      <c r="C843" s="7" t="inlineStr">
        <is>
          <t>Nº 3010</t>
        </is>
      </c>
      <c r="D843" s="8" t="inlineStr">
        <is>
          <t>BAZUKA 216 SL</t>
        </is>
      </c>
      <c r="E843" s="7" t="inlineStr">
        <is>
          <t>Pulverização Agrícola Conforme Bula</t>
        </is>
      </c>
      <c r="F843" s="7" t="inlineStr">
        <is>
          <t>Batata</t>
        </is>
      </c>
      <c r="G843" s="7" t="inlineStr">
        <is>
          <t>Cultura Autorizada na Bula</t>
        </is>
      </c>
      <c r="H843" s="7" t="inlineStr">
        <is>
          <t>100 a 300 L/ha</t>
        </is>
      </c>
      <c r="I843" s="7" t="inlineStr">
        <is>
          <t>20 a 40 L/ha</t>
        </is>
      </c>
      <c r="J843" s="7" t="inlineStr">
        <is>
          <t>14 dias</t>
        </is>
      </c>
    </row>
    <row r="844" ht="22" customHeight="1">
      <c r="A844" s="12" t="inlineStr">
        <is>
          <t>CUL-0840</t>
        </is>
      </c>
      <c r="B844" s="11" t="n">
        <v>164</v>
      </c>
      <c r="C844" s="13" t="inlineStr">
        <is>
          <t>Nº 3010</t>
        </is>
      </c>
      <c r="D844" s="14" t="inlineStr">
        <is>
          <t>BAZUKA 216 SL</t>
        </is>
      </c>
      <c r="E844" s="13" t="inlineStr">
        <is>
          <t>Pulverização Agrícola Conforme Bula</t>
        </is>
      </c>
      <c r="F844" s="13" t="inlineStr">
        <is>
          <t>Tomate</t>
        </is>
      </c>
      <c r="G844" s="13" t="inlineStr">
        <is>
          <t>Cultura Autorizada na Bula</t>
        </is>
      </c>
      <c r="H844" s="13" t="inlineStr">
        <is>
          <t>100 a 300 L/ha</t>
        </is>
      </c>
      <c r="I844" s="13" t="inlineStr">
        <is>
          <t>20 a 40 L/ha</t>
        </is>
      </c>
      <c r="J844" s="13" t="inlineStr">
        <is>
          <t>3 dias</t>
        </is>
      </c>
    </row>
    <row r="845" ht="22" customHeight="1">
      <c r="A845" s="6" t="inlineStr">
        <is>
          <t>CUL-0841</t>
        </is>
      </c>
      <c r="B845" s="5" t="n">
        <v>165</v>
      </c>
      <c r="C845" s="7" t="inlineStr">
        <is>
          <t>Nº 8319</t>
        </is>
      </c>
      <c r="D845" s="8" t="inlineStr">
        <is>
          <t>DIUROM 500</t>
        </is>
      </c>
      <c r="E845" s="7" t="inlineStr">
        <is>
          <t>Pulverização Agrícola Conforme Bula</t>
        </is>
      </c>
      <c r="F845" s="7" t="inlineStr">
        <is>
          <t>Soja</t>
        </is>
      </c>
      <c r="G845" s="7" t="inlineStr">
        <is>
          <t>Cultura Autorizada na Bula</t>
        </is>
      </c>
      <c r="H845" s="7" t="inlineStr">
        <is>
          <t>100 a 300 L/ha</t>
        </is>
      </c>
      <c r="I845" s="7" t="inlineStr">
        <is>
          <t>20 a 40 L/ha</t>
        </is>
      </c>
      <c r="J845" s="7" t="inlineStr">
        <is>
          <t>60 dias</t>
        </is>
      </c>
    </row>
    <row r="846" ht="22" customHeight="1">
      <c r="A846" s="12" t="inlineStr">
        <is>
          <t>CUL-0842</t>
        </is>
      </c>
      <c r="B846" s="11" t="n">
        <v>165</v>
      </c>
      <c r="C846" s="13" t="inlineStr">
        <is>
          <t>Nº 8319</t>
        </is>
      </c>
      <c r="D846" s="14" t="inlineStr">
        <is>
          <t>DIUROM 500</t>
        </is>
      </c>
      <c r="E846" s="13" t="inlineStr">
        <is>
          <t>Pulverização Agrícola Conforme Bula</t>
        </is>
      </c>
      <c r="F846" s="13" t="inlineStr">
        <is>
          <t>Milho</t>
        </is>
      </c>
      <c r="G846" s="13" t="inlineStr">
        <is>
          <t>Cultura Autorizada na Bula</t>
        </is>
      </c>
      <c r="H846" s="13" t="inlineStr">
        <is>
          <t>100 a 300 L/ha</t>
        </is>
      </c>
      <c r="I846" s="13" t="inlineStr">
        <is>
          <t>20 a 40 L/ha</t>
        </is>
      </c>
      <c r="J846" s="13" t="inlineStr">
        <is>
          <t>45 dias</t>
        </is>
      </c>
    </row>
    <row r="847" ht="22" customHeight="1">
      <c r="A847" s="6" t="inlineStr">
        <is>
          <t>CUL-0843</t>
        </is>
      </c>
      <c r="B847" s="5" t="n">
        <v>165</v>
      </c>
      <c r="C847" s="7" t="inlineStr">
        <is>
          <t>Nº 8319</t>
        </is>
      </c>
      <c r="D847" s="8" t="inlineStr">
        <is>
          <t>DIUROM 500</t>
        </is>
      </c>
      <c r="E847" s="7" t="inlineStr">
        <is>
          <t>Pulverização Agrícola Conforme Bula</t>
        </is>
      </c>
      <c r="F847" s="7" t="inlineStr">
        <is>
          <t>Algodão</t>
        </is>
      </c>
      <c r="G847" s="7" t="inlineStr">
        <is>
          <t>Cultura Autorizada na Bula</t>
        </is>
      </c>
      <c r="H847" s="7" t="inlineStr">
        <is>
          <t>100 a 300 L/ha</t>
        </is>
      </c>
      <c r="I847" s="7" t="inlineStr">
        <is>
          <t>20 a 40 L/ha</t>
        </is>
      </c>
      <c r="J847" s="7" t="inlineStr">
        <is>
          <t>60 dias</t>
        </is>
      </c>
    </row>
    <row r="848" ht="22" customHeight="1">
      <c r="A848" s="12" t="inlineStr">
        <is>
          <t>CUL-0844</t>
        </is>
      </c>
      <c r="B848" s="11" t="n">
        <v>165</v>
      </c>
      <c r="C848" s="13" t="inlineStr">
        <is>
          <t>Nº 8319</t>
        </is>
      </c>
      <c r="D848" s="14" t="inlineStr">
        <is>
          <t>DIUROM 500</t>
        </is>
      </c>
      <c r="E848" s="13" t="inlineStr">
        <is>
          <t>Pulverização Agrícola Conforme Bula</t>
        </is>
      </c>
      <c r="F848" s="13" t="inlineStr">
        <is>
          <t>Cana-de-açúcar</t>
        </is>
      </c>
      <c r="G848" s="13" t="inlineStr">
        <is>
          <t>Cultura Autorizada na Bula</t>
        </is>
      </c>
      <c r="H848" s="13" t="inlineStr">
        <is>
          <t>100 a 300 L/ha</t>
        </is>
      </c>
      <c r="I848" s="13" t="inlineStr">
        <is>
          <t>20 a 40 L/ha</t>
        </is>
      </c>
      <c r="J848" s="13" t="inlineStr">
        <is>
          <t>90 dias</t>
        </is>
      </c>
    </row>
    <row r="849" ht="22" customHeight="1">
      <c r="A849" s="6" t="inlineStr">
        <is>
          <t>CUL-0845</t>
        </is>
      </c>
      <c r="B849" s="5" t="n">
        <v>166</v>
      </c>
      <c r="C849" s="7" t="inlineStr">
        <is>
          <t>Nº 31222</t>
        </is>
      </c>
      <c r="D849" s="8" t="inlineStr">
        <is>
          <t>GLINT FULL</t>
        </is>
      </c>
      <c r="E849" s="7" t="inlineStr">
        <is>
          <t>Pulverização Agrícola Conforme Bula</t>
        </is>
      </c>
      <c r="F849" s="7" t="inlineStr">
        <is>
          <t>Soja</t>
        </is>
      </c>
      <c r="G849" s="7" t="inlineStr">
        <is>
          <t>Cultura Autorizada na Bula</t>
        </is>
      </c>
      <c r="H849" s="7" t="inlineStr">
        <is>
          <t>100 a 300 L/ha</t>
        </is>
      </c>
      <c r="I849" s="7" t="inlineStr">
        <is>
          <t>20 a 40 L/ha</t>
        </is>
      </c>
      <c r="J849" s="7" t="inlineStr">
        <is>
          <t>60 dias</t>
        </is>
      </c>
    </row>
    <row r="850" ht="22" customHeight="1">
      <c r="A850" s="12" t="inlineStr">
        <is>
          <t>CUL-0846</t>
        </is>
      </c>
      <c r="B850" s="11" t="n">
        <v>166</v>
      </c>
      <c r="C850" s="13" t="inlineStr">
        <is>
          <t>Nº 31222</t>
        </is>
      </c>
      <c r="D850" s="14" t="inlineStr">
        <is>
          <t>GLINT FULL</t>
        </is>
      </c>
      <c r="E850" s="13" t="inlineStr">
        <is>
          <t>Pulverização Agrícola Conforme Bula</t>
        </is>
      </c>
      <c r="F850" s="13" t="inlineStr">
        <is>
          <t>Milho</t>
        </is>
      </c>
      <c r="G850" s="13" t="inlineStr">
        <is>
          <t>Cultura Autorizada na Bula</t>
        </is>
      </c>
      <c r="H850" s="13" t="inlineStr">
        <is>
          <t>100 a 300 L/ha</t>
        </is>
      </c>
      <c r="I850" s="13" t="inlineStr">
        <is>
          <t>20 a 40 L/ha</t>
        </is>
      </c>
      <c r="J850" s="13" t="inlineStr">
        <is>
          <t>45 dias</t>
        </is>
      </c>
    </row>
    <row r="851" ht="22" customHeight="1">
      <c r="A851" s="6" t="inlineStr">
        <is>
          <t>CUL-0847</t>
        </is>
      </c>
      <c r="B851" s="5" t="n">
        <v>166</v>
      </c>
      <c r="C851" s="7" t="inlineStr">
        <is>
          <t>Nº 31222</t>
        </is>
      </c>
      <c r="D851" s="8" t="inlineStr">
        <is>
          <t>GLINT FULL</t>
        </is>
      </c>
      <c r="E851" s="7" t="inlineStr">
        <is>
          <t>Pulverização Agrícola Conforme Bula</t>
        </is>
      </c>
      <c r="F851" s="7" t="inlineStr">
        <is>
          <t>Algodão</t>
        </is>
      </c>
      <c r="G851" s="7" t="inlineStr">
        <is>
          <t>Cultura Autorizada na Bula</t>
        </is>
      </c>
      <c r="H851" s="7" t="inlineStr">
        <is>
          <t>100 a 300 L/ha</t>
        </is>
      </c>
      <c r="I851" s="7" t="inlineStr">
        <is>
          <t>20 a 40 L/ha</t>
        </is>
      </c>
      <c r="J851" s="7" t="inlineStr">
        <is>
          <t>60 dias</t>
        </is>
      </c>
    </row>
    <row r="852" ht="22" customHeight="1">
      <c r="A852" s="12" t="inlineStr">
        <is>
          <t>CUL-0848</t>
        </is>
      </c>
      <c r="B852" s="11" t="n">
        <v>166</v>
      </c>
      <c r="C852" s="13" t="inlineStr">
        <is>
          <t>Nº 31222</t>
        </is>
      </c>
      <c r="D852" s="14" t="inlineStr">
        <is>
          <t>GLINT FULL</t>
        </is>
      </c>
      <c r="E852" s="13" t="inlineStr">
        <is>
          <t>Pulverização Agrícola Conforme Bula</t>
        </is>
      </c>
      <c r="F852" s="13" t="inlineStr">
        <is>
          <t>Cana-de-açúcar</t>
        </is>
      </c>
      <c r="G852" s="13" t="inlineStr">
        <is>
          <t>Cultura Autorizada na Bula</t>
        </is>
      </c>
      <c r="H852" s="13" t="inlineStr">
        <is>
          <t>100 a 300 L/ha</t>
        </is>
      </c>
      <c r="I852" s="13" t="inlineStr">
        <is>
          <t>20 a 40 L/ha</t>
        </is>
      </c>
      <c r="J852" s="13" t="inlineStr">
        <is>
          <t>90 dias</t>
        </is>
      </c>
    </row>
    <row r="853" ht="22" customHeight="1">
      <c r="A853" s="6" t="inlineStr">
        <is>
          <t>CUL-0849</t>
        </is>
      </c>
      <c r="B853" s="5" t="n">
        <v>167</v>
      </c>
      <c r="C853" s="7" t="inlineStr">
        <is>
          <t>Nº 17208</t>
        </is>
      </c>
      <c r="D853" s="8" t="inlineStr">
        <is>
          <t>TRICLON</t>
        </is>
      </c>
      <c r="E853" s="7" t="inlineStr">
        <is>
          <t>Pulverização Agrícola Conforme Bula</t>
        </is>
      </c>
      <c r="F853" s="7" t="inlineStr">
        <is>
          <t>Soja (Dessecação Pré-Plantio)</t>
        </is>
      </c>
      <c r="G853" s="7" t="inlineStr">
        <is>
          <t>Cultura Autorizada na Bula</t>
        </is>
      </c>
      <c r="H853" s="7" t="inlineStr">
        <is>
          <t>100 a 300 L/ha</t>
        </is>
      </c>
      <c r="I853" s="7" t="inlineStr">
        <is>
          <t>20 a 40 L/ha</t>
        </is>
      </c>
      <c r="J853" s="7" t="inlineStr">
        <is>
          <t>N/D</t>
        </is>
      </c>
    </row>
    <row r="854" ht="22" customHeight="1">
      <c r="A854" s="12" t="inlineStr">
        <is>
          <t>CUL-0850</t>
        </is>
      </c>
      <c r="B854" s="11" t="n">
        <v>167</v>
      </c>
      <c r="C854" s="13" t="inlineStr">
        <is>
          <t>Nº 17208</t>
        </is>
      </c>
      <c r="D854" s="14" t="inlineStr">
        <is>
          <t>TRICLON</t>
        </is>
      </c>
      <c r="E854" s="13" t="inlineStr">
        <is>
          <t>Pulverização Agrícola Conforme Bula</t>
        </is>
      </c>
      <c r="F854" s="13" t="inlineStr">
        <is>
          <t>Pastagens</t>
        </is>
      </c>
      <c r="G854" s="13" t="inlineStr">
        <is>
          <t>Cultura Autorizada na Bula</t>
        </is>
      </c>
      <c r="H854" s="13" t="inlineStr">
        <is>
          <t>100 a 300 L/ha</t>
        </is>
      </c>
      <c r="I854" s="13" t="inlineStr">
        <is>
          <t>20 a 40 L/ha</t>
        </is>
      </c>
      <c r="J854" s="13" t="inlineStr">
        <is>
          <t>N/D</t>
        </is>
      </c>
    </row>
    <row r="855" ht="22" customHeight="1">
      <c r="A855" s="6" t="inlineStr">
        <is>
          <t>CUL-0851</t>
        </is>
      </c>
      <c r="B855" s="5" t="n">
        <v>167</v>
      </c>
      <c r="C855" s="7" t="inlineStr">
        <is>
          <t>Nº 17208</t>
        </is>
      </c>
      <c r="D855" s="8" t="inlineStr">
        <is>
          <t>TRICLON</t>
        </is>
      </c>
      <c r="E855" s="7" t="inlineStr">
        <is>
          <t>Pulverização Agrícola Conforme Bula</t>
        </is>
      </c>
      <c r="F855" s="7" t="inlineStr">
        <is>
          <t>Arroz Irrigado</t>
        </is>
      </c>
      <c r="G855" s="7" t="inlineStr">
        <is>
          <t>Cultura Autorizada na Bula</t>
        </is>
      </c>
      <c r="H855" s="7" t="inlineStr">
        <is>
          <t>100 a 300 L/ha</t>
        </is>
      </c>
      <c r="I855" s="7" t="inlineStr">
        <is>
          <t>20 a 40 L/ha</t>
        </is>
      </c>
      <c r="J855" s="7" t="inlineStr">
        <is>
          <t>30 dias</t>
        </is>
      </c>
    </row>
    <row r="856" ht="22" customHeight="1">
      <c r="A856" s="12" t="inlineStr">
        <is>
          <t>CUL-0852</t>
        </is>
      </c>
      <c r="B856" s="11" t="n">
        <v>167</v>
      </c>
      <c r="C856" s="13" t="inlineStr">
        <is>
          <t>Nº 17208</t>
        </is>
      </c>
      <c r="D856" s="14" t="inlineStr">
        <is>
          <t>TRICLON</t>
        </is>
      </c>
      <c r="E856" s="13" t="inlineStr">
        <is>
          <t>Pulverização Agrícola Conforme Bula</t>
        </is>
      </c>
      <c r="F856" s="13" t="inlineStr">
        <is>
          <t>Eucalipto</t>
        </is>
      </c>
      <c r="G856" s="13" t="inlineStr">
        <is>
          <t>Cultura Autorizada na Bula</t>
        </is>
      </c>
      <c r="H856" s="13" t="inlineStr">
        <is>
          <t>100 a 300 L/ha</t>
        </is>
      </c>
      <c r="I856" s="13" t="inlineStr">
        <is>
          <t>20 a 40 L/ha</t>
        </is>
      </c>
      <c r="J856" s="13" t="inlineStr">
        <is>
          <t>U.N.A.</t>
        </is>
      </c>
    </row>
    <row r="857" ht="22" customHeight="1">
      <c r="A857" s="6" t="inlineStr">
        <is>
          <t>CUL-0853</t>
        </is>
      </c>
      <c r="B857" s="5" t="n">
        <v>168</v>
      </c>
      <c r="C857" s="7" t="inlineStr">
        <is>
          <t>Nº 10416</t>
        </is>
      </c>
      <c r="D857" s="8" t="inlineStr">
        <is>
          <t>ZETHAMAXX</t>
        </is>
      </c>
      <c r="E857" s="7" t="inlineStr">
        <is>
          <t>Pulverização Agrícola Conforme Bula</t>
        </is>
      </c>
      <c r="F857" s="7" t="inlineStr">
        <is>
          <t>Soja (Pré-Plantio)</t>
        </is>
      </c>
      <c r="G857" s="7" t="inlineStr">
        <is>
          <t>Cultura Autorizada na Bula</t>
        </is>
      </c>
      <c r="H857" s="7" t="inlineStr">
        <is>
          <t>100 a 300 L/ha</t>
        </is>
      </c>
      <c r="I857" s="7" t="inlineStr">
        <is>
          <t>20 a 40 L/ha</t>
        </is>
      </c>
      <c r="J857" s="7" t="inlineStr">
        <is>
          <t>N/D</t>
        </is>
      </c>
    </row>
    <row r="858" ht="22" customHeight="1">
      <c r="A858" s="12" t="inlineStr">
        <is>
          <t>CUL-0854</t>
        </is>
      </c>
      <c r="B858" s="11" t="n">
        <v>168</v>
      </c>
      <c r="C858" s="13" t="inlineStr">
        <is>
          <t>Nº 10416</t>
        </is>
      </c>
      <c r="D858" s="14" t="inlineStr">
        <is>
          <t>ZETHAMAXX</t>
        </is>
      </c>
      <c r="E858" s="13" t="inlineStr">
        <is>
          <t>Pulverização Agrícola Conforme Bula</t>
        </is>
      </c>
      <c r="F858" s="13" t="inlineStr">
        <is>
          <t>Algodão</t>
        </is>
      </c>
      <c r="G858" s="13" t="inlineStr">
        <is>
          <t>Cultura Autorizada na Bula</t>
        </is>
      </c>
      <c r="H858" s="13" t="inlineStr">
        <is>
          <t>100 a 300 L/ha</t>
        </is>
      </c>
      <c r="I858" s="13" t="inlineStr">
        <is>
          <t>20 a 40 L/ha</t>
        </is>
      </c>
      <c r="J858" s="13" t="inlineStr">
        <is>
          <t>90 dias</t>
        </is>
      </c>
    </row>
    <row r="859" ht="22" customHeight="1">
      <c r="A859" s="6" t="inlineStr">
        <is>
          <t>CUL-0855</t>
        </is>
      </c>
      <c r="B859" s="5" t="n">
        <v>168</v>
      </c>
      <c r="C859" s="7" t="inlineStr">
        <is>
          <t>Nº 10416</t>
        </is>
      </c>
      <c r="D859" s="8" t="inlineStr">
        <is>
          <t>ZETHAMAXX</t>
        </is>
      </c>
      <c r="E859" s="7" t="inlineStr">
        <is>
          <t>Pulverização Agrícola Conforme Bula</t>
        </is>
      </c>
      <c r="F859" s="7" t="inlineStr">
        <is>
          <t>Cana-de-açúcar</t>
        </is>
      </c>
      <c r="G859" s="7" t="inlineStr">
        <is>
          <t>Cultura Autorizada na Bula</t>
        </is>
      </c>
      <c r="H859" s="7" t="inlineStr">
        <is>
          <t>100 a 300 L/ha</t>
        </is>
      </c>
      <c r="I859" s="7" t="inlineStr">
        <is>
          <t>20 a 40 L/ha</t>
        </is>
      </c>
      <c r="J859" s="7" t="inlineStr">
        <is>
          <t>85 dias</t>
        </is>
      </c>
    </row>
    <row r="860" ht="22" customHeight="1">
      <c r="A860" s="12" t="inlineStr">
        <is>
          <t>CUL-0856</t>
        </is>
      </c>
      <c r="B860" s="11" t="n">
        <v>168</v>
      </c>
      <c r="C860" s="13" t="inlineStr">
        <is>
          <t>Nº 10416</t>
        </is>
      </c>
      <c r="D860" s="14" t="inlineStr">
        <is>
          <t>ZETHAMAXX</t>
        </is>
      </c>
      <c r="E860" s="13" t="inlineStr">
        <is>
          <t>Pulverização Agrícola Conforme Bula</t>
        </is>
      </c>
      <c r="F860" s="13" t="inlineStr">
        <is>
          <t>Café</t>
        </is>
      </c>
      <c r="G860" s="13" t="inlineStr">
        <is>
          <t>Cultura Autorizada na Bula</t>
        </is>
      </c>
      <c r="H860" s="13" t="inlineStr">
        <is>
          <t>100 a 300 L/ha</t>
        </is>
      </c>
      <c r="I860" s="13" t="inlineStr">
        <is>
          <t>20 a 40 L/ha</t>
        </is>
      </c>
      <c r="J860" s="13" t="inlineStr">
        <is>
          <t>15 dias</t>
        </is>
      </c>
    </row>
    <row r="861" ht="22" customHeight="1">
      <c r="A861" s="6" t="inlineStr">
        <is>
          <t>CUL-0857</t>
        </is>
      </c>
      <c r="B861" s="5" t="n">
        <v>168</v>
      </c>
      <c r="C861" s="7" t="inlineStr">
        <is>
          <t>Nº 10416</t>
        </is>
      </c>
      <c r="D861" s="8" t="inlineStr">
        <is>
          <t>ZETHAMAXX</t>
        </is>
      </c>
      <c r="E861" s="7" t="inlineStr">
        <is>
          <t>Pulverização Agrícola Conforme Bula</t>
        </is>
      </c>
      <c r="F861" s="7" t="inlineStr">
        <is>
          <t>Citros</t>
        </is>
      </c>
      <c r="G861" s="7" t="inlineStr">
        <is>
          <t>Cultura Autorizada na Bula</t>
        </is>
      </c>
      <c r="H861" s="7" t="inlineStr">
        <is>
          <t>100 a 300 L/ha</t>
        </is>
      </c>
      <c r="I861" s="7" t="inlineStr">
        <is>
          <t>20 a 40 L/ha</t>
        </is>
      </c>
      <c r="J861" s="7" t="inlineStr">
        <is>
          <t>N/D</t>
        </is>
      </c>
    </row>
    <row r="862" ht="22" customHeight="1">
      <c r="A862" s="12" t="inlineStr">
        <is>
          <t>CUL-0858</t>
        </is>
      </c>
      <c r="B862" s="11" t="n">
        <v>168</v>
      </c>
      <c r="C862" s="13" t="inlineStr">
        <is>
          <t>Nº 10416</t>
        </is>
      </c>
      <c r="D862" s="14" t="inlineStr">
        <is>
          <t>ZETHAMAXX</t>
        </is>
      </c>
      <c r="E862" s="13" t="inlineStr">
        <is>
          <t>Pulverização Agrícola Conforme Bula</t>
        </is>
      </c>
      <c r="F862" s="13" t="inlineStr">
        <is>
          <t>Feijão</t>
        </is>
      </c>
      <c r="G862" s="13" t="inlineStr">
        <is>
          <t>Cultura Autorizada na Bula</t>
        </is>
      </c>
      <c r="H862" s="13" t="inlineStr">
        <is>
          <t>100 a 300 L/ha</t>
        </is>
      </c>
      <c r="I862" s="13" t="inlineStr">
        <is>
          <t>20 a 40 L/ha</t>
        </is>
      </c>
      <c r="J862" s="13" t="inlineStr">
        <is>
          <t>N/D</t>
        </is>
      </c>
    </row>
    <row r="863" ht="22" customHeight="1">
      <c r="A863" s="6" t="inlineStr">
        <is>
          <t>CUL-0859</t>
        </is>
      </c>
      <c r="B863" s="5" t="n">
        <v>169</v>
      </c>
      <c r="C863" s="7" t="inlineStr">
        <is>
          <t>SIPEAGRO (UF-XXXXX)</t>
        </is>
      </c>
      <c r="D863" s="8" t="inlineStr">
        <is>
          <t>AZOKOP 15X1,5L</t>
        </is>
      </c>
      <c r="E863" s="7" t="inlineStr">
        <is>
          <t>Pulverização Agrícola Conforme Bula</t>
        </is>
      </c>
      <c r="F863" s="7" t="inlineStr">
        <is>
          <t>Milho</t>
        </is>
      </c>
      <c r="G863" s="7" t="inlineStr">
        <is>
          <t>Cultura Autorizada na Bula</t>
        </is>
      </c>
      <c r="H863" s="7" t="inlineStr">
        <is>
          <t>100 a 300 L/ha</t>
        </is>
      </c>
      <c r="I863" s="7" t="inlineStr">
        <is>
          <t>20 a 40 L/ha</t>
        </is>
      </c>
      <c r="J863" s="7" t="inlineStr">
        <is>
          <t>0 (Isento)</t>
        </is>
      </c>
    </row>
    <row r="864" ht="22" customHeight="1">
      <c r="A864" s="12" t="inlineStr">
        <is>
          <t>CUL-0860</t>
        </is>
      </c>
      <c r="B864" s="11" t="n">
        <v>169</v>
      </c>
      <c r="C864" s="13" t="inlineStr">
        <is>
          <t>SIPEAGRO (UF-XXXXX)</t>
        </is>
      </c>
      <c r="D864" s="14" t="inlineStr">
        <is>
          <t>AZOKOP 15X1,5L</t>
        </is>
      </c>
      <c r="E864" s="13" t="inlineStr">
        <is>
          <t>Pulverização Agrícola Conforme Bula</t>
        </is>
      </c>
      <c r="F864" s="13" t="inlineStr">
        <is>
          <t>Soja (Coinoculação)</t>
        </is>
      </c>
      <c r="G864" s="13" t="inlineStr">
        <is>
          <t>Cultura Autorizada na Bula</t>
        </is>
      </c>
      <c r="H864" s="13" t="inlineStr">
        <is>
          <t>100 a 300 L/ha</t>
        </is>
      </c>
      <c r="I864" s="13" t="inlineStr">
        <is>
          <t>20 a 40 L/ha</t>
        </is>
      </c>
      <c r="J864" s="13" t="inlineStr">
        <is>
          <t>0 (Isento)</t>
        </is>
      </c>
    </row>
    <row r="865" ht="22" customHeight="1">
      <c r="A865" s="6" t="inlineStr">
        <is>
          <t>CUL-0861</t>
        </is>
      </c>
      <c r="B865" s="5" t="n">
        <v>169</v>
      </c>
      <c r="C865" s="7" t="inlineStr">
        <is>
          <t>SIPEAGRO (UF-XXXXX)</t>
        </is>
      </c>
      <c r="D865" s="8" t="inlineStr">
        <is>
          <t>AZOKOP 15X1,5L</t>
        </is>
      </c>
      <c r="E865" s="7" t="inlineStr">
        <is>
          <t>Pulverização Agrícola Conforme Bula</t>
        </is>
      </c>
      <c r="F865" s="7" t="inlineStr">
        <is>
          <t>Trigo</t>
        </is>
      </c>
      <c r="G865" s="7" t="inlineStr">
        <is>
          <t>Cultura Autorizada na Bula</t>
        </is>
      </c>
      <c r="H865" s="7" t="inlineStr">
        <is>
          <t>100 a 300 L/ha</t>
        </is>
      </c>
      <c r="I865" s="7" t="inlineStr">
        <is>
          <t>20 a 40 L/ha</t>
        </is>
      </c>
      <c r="J865" s="7" t="inlineStr">
        <is>
          <t>0 (Isento)</t>
        </is>
      </c>
    </row>
    <row r="866" ht="22" customHeight="1">
      <c r="A866" s="12" t="inlineStr">
        <is>
          <t>CUL-0862</t>
        </is>
      </c>
      <c r="B866" s="11" t="n">
        <v>169</v>
      </c>
      <c r="C866" s="13" t="inlineStr">
        <is>
          <t>SIPEAGRO (UF-XXXXX)</t>
        </is>
      </c>
      <c r="D866" s="14" t="inlineStr">
        <is>
          <t>AZOKOP 15X1,5L</t>
        </is>
      </c>
      <c r="E866" s="13" t="inlineStr">
        <is>
          <t>Pulverização Agrícola Conforme Bula</t>
        </is>
      </c>
      <c r="F866" s="13" t="inlineStr">
        <is>
          <t>Pastagens (Brachiaria)</t>
        </is>
      </c>
      <c r="G866" s="13" t="inlineStr">
        <is>
          <t>Cultura Autorizada na Bula</t>
        </is>
      </c>
      <c r="H866" s="13" t="inlineStr">
        <is>
          <t>100 a 300 L/ha</t>
        </is>
      </c>
      <c r="I866" s="13" t="inlineStr">
        <is>
          <t>20 a 40 L/ha</t>
        </is>
      </c>
      <c r="J866" s="13" t="inlineStr">
        <is>
          <t>0 (Isento)</t>
        </is>
      </c>
    </row>
    <row r="867" ht="22" customHeight="1">
      <c r="A867" s="6" t="inlineStr">
        <is>
          <t>CUL-0863</t>
        </is>
      </c>
      <c r="B867" s="5" t="n">
        <v>170</v>
      </c>
      <c r="C867" s="7" t="inlineStr">
        <is>
          <t>Nº 17921</t>
        </is>
      </c>
      <c r="D867" s="8" t="inlineStr">
        <is>
          <t>TIOFANATO METILICO 500</t>
        </is>
      </c>
      <c r="E867" s="7" t="inlineStr">
        <is>
          <t>Pulverização Agrícola Conforme Bula</t>
        </is>
      </c>
      <c r="F867" s="7" t="inlineStr">
        <is>
          <t>Soja</t>
        </is>
      </c>
      <c r="G867" s="7" t="inlineStr">
        <is>
          <t>Cultura Autorizada na Bula</t>
        </is>
      </c>
      <c r="H867" s="7" t="inlineStr">
        <is>
          <t>100 a 300 L/ha</t>
        </is>
      </c>
      <c r="I867" s="7" t="inlineStr">
        <is>
          <t>20 a 40 L/ha</t>
        </is>
      </c>
      <c r="J867" s="7" t="inlineStr">
        <is>
          <t>28 dias</t>
        </is>
      </c>
    </row>
    <row r="868" ht="22" customHeight="1">
      <c r="A868" s="12" t="inlineStr">
        <is>
          <t>CUL-0864</t>
        </is>
      </c>
      <c r="B868" s="11" t="n">
        <v>170</v>
      </c>
      <c r="C868" s="13" t="inlineStr">
        <is>
          <t>Nº 17921</t>
        </is>
      </c>
      <c r="D868" s="14" t="inlineStr">
        <is>
          <t>TIOFANATO METILICO 500</t>
        </is>
      </c>
      <c r="E868" s="13" t="inlineStr">
        <is>
          <t>Pulverização Agrícola Conforme Bula</t>
        </is>
      </c>
      <c r="F868" s="13" t="inlineStr">
        <is>
          <t>Feijão</t>
        </is>
      </c>
      <c r="G868" s="13" t="inlineStr">
        <is>
          <t>Cultura Autorizada na Bula</t>
        </is>
      </c>
      <c r="H868" s="13" t="inlineStr">
        <is>
          <t>100 a 300 L/ha</t>
        </is>
      </c>
      <c r="I868" s="13" t="inlineStr">
        <is>
          <t>20 a 40 L/ha</t>
        </is>
      </c>
      <c r="J868" s="13" t="inlineStr">
        <is>
          <t>14 dias</t>
        </is>
      </c>
    </row>
    <row r="869" ht="22" customHeight="1">
      <c r="A869" s="6" t="inlineStr">
        <is>
          <t>CUL-0865</t>
        </is>
      </c>
      <c r="B869" s="5" t="n">
        <v>170</v>
      </c>
      <c r="C869" s="7" t="inlineStr">
        <is>
          <t>Nº 17921</t>
        </is>
      </c>
      <c r="D869" s="8" t="inlineStr">
        <is>
          <t>TIOFANATO METILICO 500</t>
        </is>
      </c>
      <c r="E869" s="7" t="inlineStr">
        <is>
          <t>Pulverização Agrícola Conforme Bula</t>
        </is>
      </c>
      <c r="F869" s="7" t="inlineStr">
        <is>
          <t>Algodão</t>
        </is>
      </c>
      <c r="G869" s="7" t="inlineStr">
        <is>
          <t>Cultura Autorizada na Bula</t>
        </is>
      </c>
      <c r="H869" s="7" t="inlineStr">
        <is>
          <t>100 a 300 L/ha</t>
        </is>
      </c>
      <c r="I869" s="7" t="inlineStr">
        <is>
          <t>20 a 40 L/ha</t>
        </is>
      </c>
      <c r="J869" s="7" t="inlineStr">
        <is>
          <t>28 dias</t>
        </is>
      </c>
    </row>
    <row r="870" ht="22" customHeight="1">
      <c r="A870" s="12" t="inlineStr">
        <is>
          <t>CUL-0866</t>
        </is>
      </c>
      <c r="B870" s="11" t="n">
        <v>170</v>
      </c>
      <c r="C870" s="13" t="inlineStr">
        <is>
          <t>Nº 17921</t>
        </is>
      </c>
      <c r="D870" s="14" t="inlineStr">
        <is>
          <t>TIOFANATO METILICO 500</t>
        </is>
      </c>
      <c r="E870" s="13" t="inlineStr">
        <is>
          <t>Pulverização Agrícola Conforme Bula</t>
        </is>
      </c>
      <c r="F870" s="13" t="inlineStr">
        <is>
          <t>Citros</t>
        </is>
      </c>
      <c r="G870" s="13" t="inlineStr">
        <is>
          <t>Cultura Autorizada na Bula</t>
        </is>
      </c>
      <c r="H870" s="13" t="inlineStr">
        <is>
          <t>100 a 300 L/ha</t>
        </is>
      </c>
      <c r="I870" s="13" t="inlineStr">
        <is>
          <t>20 a 40 L/ha</t>
        </is>
      </c>
      <c r="J870" s="13" t="inlineStr">
        <is>
          <t>14 dias</t>
        </is>
      </c>
    </row>
    <row r="871" ht="22" customHeight="1">
      <c r="A871" s="6" t="inlineStr">
        <is>
          <t>CUL-0867</t>
        </is>
      </c>
      <c r="B871" s="5" t="n">
        <v>170</v>
      </c>
      <c r="C871" s="7" t="inlineStr">
        <is>
          <t>Nº 17921</t>
        </is>
      </c>
      <c r="D871" s="8" t="inlineStr">
        <is>
          <t>TIOFANATO METILICO 500</t>
        </is>
      </c>
      <c r="E871" s="7" t="inlineStr">
        <is>
          <t>Pulverização Agrícola Conforme Bula</t>
        </is>
      </c>
      <c r="F871" s="7" t="inlineStr">
        <is>
          <t>Café</t>
        </is>
      </c>
      <c r="G871" s="7" t="inlineStr">
        <is>
          <t>Cultura Autorizada na Bula</t>
        </is>
      </c>
      <c r="H871" s="7" t="inlineStr">
        <is>
          <t>100 a 300 L/ha</t>
        </is>
      </c>
      <c r="I871" s="7" t="inlineStr">
        <is>
          <t>20 a 40 L/ha</t>
        </is>
      </c>
      <c r="J871" s="7" t="inlineStr">
        <is>
          <t>21 dias</t>
        </is>
      </c>
    </row>
    <row r="872" ht="22" customHeight="1">
      <c r="A872" s="12" t="inlineStr">
        <is>
          <t>CUL-0868</t>
        </is>
      </c>
      <c r="B872" s="11" t="n">
        <v>170</v>
      </c>
      <c r="C872" s="13" t="inlineStr">
        <is>
          <t>Nº 17921</t>
        </is>
      </c>
      <c r="D872" s="14" t="inlineStr">
        <is>
          <t>TIOFANATO METILICO 500</t>
        </is>
      </c>
      <c r="E872" s="13" t="inlineStr">
        <is>
          <t>Pulverização Agrícola Conforme Bula</t>
        </is>
      </c>
      <c r="F872" s="13" t="inlineStr">
        <is>
          <t>Trigo</t>
        </is>
      </c>
      <c r="G872" s="13" t="inlineStr">
        <is>
          <t>Cultura Autorizada na Bula</t>
        </is>
      </c>
      <c r="H872" s="13" t="inlineStr">
        <is>
          <t>100 a 300 L/ha</t>
        </is>
      </c>
      <c r="I872" s="13" t="inlineStr">
        <is>
          <t>20 a 40 L/ha</t>
        </is>
      </c>
      <c r="J872" s="13" t="inlineStr">
        <is>
          <t>35 dias</t>
        </is>
      </c>
    </row>
    <row r="873" ht="22" customHeight="1">
      <c r="A873" s="6" t="inlineStr">
        <is>
          <t>CUL-0869</t>
        </is>
      </c>
      <c r="B873" s="5" t="n">
        <v>171</v>
      </c>
      <c r="C873" s="7" t="inlineStr">
        <is>
          <t>Nº 30917</t>
        </is>
      </c>
      <c r="D873" s="8" t="inlineStr">
        <is>
          <t>BIOLOGIC RAZOR</t>
        </is>
      </c>
      <c r="E873" s="7" t="inlineStr">
        <is>
          <t>Pulverização Agrícola Conforme Bula</t>
        </is>
      </c>
      <c r="F873" s="7" t="inlineStr">
        <is>
          <t>Soja</t>
        </is>
      </c>
      <c r="G873" s="7" t="inlineStr">
        <is>
          <t>Cultura Autorizada na Bula</t>
        </is>
      </c>
      <c r="H873" s="7" t="inlineStr">
        <is>
          <t>100 a 300 L/ha</t>
        </is>
      </c>
      <c r="I873" s="7" t="inlineStr">
        <is>
          <t>20 a 40 L/ha</t>
        </is>
      </c>
      <c r="J873" s="7" t="inlineStr">
        <is>
          <t>21 dias</t>
        </is>
      </c>
    </row>
    <row r="874" ht="22" customHeight="1">
      <c r="A874" s="12" t="inlineStr">
        <is>
          <t>CUL-0870</t>
        </is>
      </c>
      <c r="B874" s="11" t="n">
        <v>171</v>
      </c>
      <c r="C874" s="13" t="inlineStr">
        <is>
          <t>Nº 30917</t>
        </is>
      </c>
      <c r="D874" s="14" t="inlineStr">
        <is>
          <t>BIOLOGIC RAZOR</t>
        </is>
      </c>
      <c r="E874" s="13" t="inlineStr">
        <is>
          <t>Pulverização Agrícola Conforme Bula</t>
        </is>
      </c>
      <c r="F874" s="13" t="inlineStr">
        <is>
          <t>Milho</t>
        </is>
      </c>
      <c r="G874" s="13" t="inlineStr">
        <is>
          <t>Cultura Autorizada na Bula</t>
        </is>
      </c>
      <c r="H874" s="13" t="inlineStr">
        <is>
          <t>100 a 300 L/ha</t>
        </is>
      </c>
      <c r="I874" s="13" t="inlineStr">
        <is>
          <t>20 a 40 L/ha</t>
        </is>
      </c>
      <c r="J874" s="13" t="inlineStr">
        <is>
          <t>21 dias</t>
        </is>
      </c>
    </row>
    <row r="875" ht="22" customHeight="1">
      <c r="A875" s="6" t="inlineStr">
        <is>
          <t>CUL-0871</t>
        </is>
      </c>
      <c r="B875" s="5" t="n">
        <v>171</v>
      </c>
      <c r="C875" s="7" t="inlineStr">
        <is>
          <t>Nº 30917</t>
        </is>
      </c>
      <c r="D875" s="8" t="inlineStr">
        <is>
          <t>BIOLOGIC RAZOR</t>
        </is>
      </c>
      <c r="E875" s="7" t="inlineStr">
        <is>
          <t>Pulverização Agrícola Conforme Bula</t>
        </is>
      </c>
      <c r="F875" s="7" t="inlineStr">
        <is>
          <t>Algodão</t>
        </is>
      </c>
      <c r="G875" s="7" t="inlineStr">
        <is>
          <t>Cultura Autorizada na Bula</t>
        </is>
      </c>
      <c r="H875" s="7" t="inlineStr">
        <is>
          <t>100 a 300 L/ha</t>
        </is>
      </c>
      <c r="I875" s="7" t="inlineStr">
        <is>
          <t>20 a 40 L/ha</t>
        </is>
      </c>
      <c r="J875" s="7" t="inlineStr">
        <is>
          <t>21 dias</t>
        </is>
      </c>
    </row>
    <row r="876" ht="22" customHeight="1">
      <c r="A876" s="12" t="inlineStr">
        <is>
          <t>CUL-0872</t>
        </is>
      </c>
      <c r="B876" s="11" t="n">
        <v>171</v>
      </c>
      <c r="C876" s="13" t="inlineStr">
        <is>
          <t>Nº 30917</t>
        </is>
      </c>
      <c r="D876" s="14" t="inlineStr">
        <is>
          <t>BIOLOGIC RAZOR</t>
        </is>
      </c>
      <c r="E876" s="13" t="inlineStr">
        <is>
          <t>Pulverização Agrícola Conforme Bula</t>
        </is>
      </c>
      <c r="F876" s="13" t="inlineStr">
        <is>
          <t>Feijão</t>
        </is>
      </c>
      <c r="G876" s="13" t="inlineStr">
        <is>
          <t>Cultura Autorizada na Bula</t>
        </is>
      </c>
      <c r="H876" s="13" t="inlineStr">
        <is>
          <t>100 a 300 L/ha</t>
        </is>
      </c>
      <c r="I876" s="13" t="inlineStr">
        <is>
          <t>20 a 40 L/ha</t>
        </is>
      </c>
      <c r="J876" s="13" t="inlineStr">
        <is>
          <t>14 dias</t>
        </is>
      </c>
    </row>
    <row r="877" ht="22" customHeight="1">
      <c r="A877" s="6" t="inlineStr">
        <is>
          <t>CUL-0873</t>
        </is>
      </c>
      <c r="B877" s="5" t="n">
        <v>172</v>
      </c>
      <c r="C877" s="7" t="inlineStr">
        <is>
          <t>SIPEAGRO (UF-XXXXX)</t>
        </is>
      </c>
      <c r="D877" s="8" t="inlineStr">
        <is>
          <t>AGCN MANGANES 100</t>
        </is>
      </c>
      <c r="E877" s="7" t="inlineStr">
        <is>
          <t>Adubação de Solo / Foliar</t>
        </is>
      </c>
      <c r="F877" s="7" t="inlineStr">
        <is>
          <t>Soja</t>
        </is>
      </c>
      <c r="G877" s="7" t="inlineStr">
        <is>
          <t>Cultura Autorizada na Bula</t>
        </is>
      </c>
      <c r="H877" s="7" t="inlineStr">
        <is>
          <t>100 a 300 L/ha</t>
        </is>
      </c>
      <c r="I877" s="7" t="inlineStr">
        <is>
          <t>20 a 40 L/ha</t>
        </is>
      </c>
      <c r="J877" s="7" t="inlineStr">
        <is>
          <t>Isento</t>
        </is>
      </c>
    </row>
    <row r="878" ht="22" customHeight="1">
      <c r="A878" s="12" t="inlineStr">
        <is>
          <t>CUL-0874</t>
        </is>
      </c>
      <c r="B878" s="11" t="n">
        <v>172</v>
      </c>
      <c r="C878" s="13" t="inlineStr">
        <is>
          <t>SIPEAGRO (UF-XXXXX)</t>
        </is>
      </c>
      <c r="D878" s="14" t="inlineStr">
        <is>
          <t>AGCN MANGANES 100</t>
        </is>
      </c>
      <c r="E878" s="13" t="inlineStr">
        <is>
          <t>Adubação de Solo / Foliar</t>
        </is>
      </c>
      <c r="F878" s="13" t="inlineStr">
        <is>
          <t>Milho</t>
        </is>
      </c>
      <c r="G878" s="13" t="inlineStr">
        <is>
          <t>Cultura Autorizada na Bula</t>
        </is>
      </c>
      <c r="H878" s="13" t="inlineStr">
        <is>
          <t>100 a 300 L/ha</t>
        </is>
      </c>
      <c r="I878" s="13" t="inlineStr">
        <is>
          <t>20 a 40 L/ha</t>
        </is>
      </c>
      <c r="J878" s="13" t="inlineStr">
        <is>
          <t>Isento</t>
        </is>
      </c>
    </row>
    <row r="879" ht="22" customHeight="1">
      <c r="A879" s="6" t="inlineStr">
        <is>
          <t>CUL-0875</t>
        </is>
      </c>
      <c r="B879" s="5" t="n">
        <v>172</v>
      </c>
      <c r="C879" s="7" t="inlineStr">
        <is>
          <t>SIPEAGRO (UF-XXXXX)</t>
        </is>
      </c>
      <c r="D879" s="8" t="inlineStr">
        <is>
          <t>AGCN MANGANES 100</t>
        </is>
      </c>
      <c r="E879" s="7" t="inlineStr">
        <is>
          <t>Adubação de Solo / Foliar</t>
        </is>
      </c>
      <c r="F879" s="7" t="inlineStr">
        <is>
          <t>Algodão</t>
        </is>
      </c>
      <c r="G879" s="7" t="inlineStr">
        <is>
          <t>Cultura Autorizada na Bula</t>
        </is>
      </c>
      <c r="H879" s="7" t="inlineStr">
        <is>
          <t>100 a 300 L/ha</t>
        </is>
      </c>
      <c r="I879" s="7" t="inlineStr">
        <is>
          <t>20 a 40 L/ha</t>
        </is>
      </c>
      <c r="J879" s="7" t="inlineStr">
        <is>
          <t>Isento</t>
        </is>
      </c>
    </row>
    <row r="880" ht="22" customHeight="1">
      <c r="A880" s="12" t="inlineStr">
        <is>
          <t>CUL-0876</t>
        </is>
      </c>
      <c r="B880" s="11" t="n">
        <v>172</v>
      </c>
      <c r="C880" s="13" t="inlineStr">
        <is>
          <t>SIPEAGRO (UF-XXXXX)</t>
        </is>
      </c>
      <c r="D880" s="14" t="inlineStr">
        <is>
          <t>AGCN MANGANES 100</t>
        </is>
      </c>
      <c r="E880" s="13" t="inlineStr">
        <is>
          <t>Adubação de Solo / Foliar</t>
        </is>
      </c>
      <c r="F880" s="13" t="inlineStr">
        <is>
          <t>Cana-de-açúcar</t>
        </is>
      </c>
      <c r="G880" s="13" t="inlineStr">
        <is>
          <t>Cultura Autorizada na Bula</t>
        </is>
      </c>
      <c r="H880" s="13" t="inlineStr">
        <is>
          <t>100 a 300 L/ha</t>
        </is>
      </c>
      <c r="I880" s="13" t="inlineStr">
        <is>
          <t>20 a 40 L/ha</t>
        </is>
      </c>
      <c r="J880" s="13" t="inlineStr">
        <is>
          <t>Isento</t>
        </is>
      </c>
    </row>
    <row r="881" ht="22" customHeight="1">
      <c r="A881" s="6" t="inlineStr">
        <is>
          <t>CUL-0877</t>
        </is>
      </c>
      <c r="B881" s="5" t="n">
        <v>172</v>
      </c>
      <c r="C881" s="7" t="inlineStr">
        <is>
          <t>SIPEAGRO (UF-XXXXX)</t>
        </is>
      </c>
      <c r="D881" s="8" t="inlineStr">
        <is>
          <t>AGCN MANGANES 100</t>
        </is>
      </c>
      <c r="E881" s="7" t="inlineStr">
        <is>
          <t>Adubação de Solo / Foliar</t>
        </is>
      </c>
      <c r="F881" s="7" t="inlineStr">
        <is>
          <t>Café</t>
        </is>
      </c>
      <c r="G881" s="7" t="inlineStr">
        <is>
          <t>Cultura Autorizada na Bula</t>
        </is>
      </c>
      <c r="H881" s="7" t="inlineStr">
        <is>
          <t>100 a 300 L/ha</t>
        </is>
      </c>
      <c r="I881" s="7" t="inlineStr">
        <is>
          <t>20 a 40 L/ha</t>
        </is>
      </c>
      <c r="J881" s="7" t="inlineStr">
        <is>
          <t>Isento</t>
        </is>
      </c>
    </row>
    <row r="882" ht="22" customHeight="1">
      <c r="A882" s="12" t="inlineStr">
        <is>
          <t>CUL-0878</t>
        </is>
      </c>
      <c r="B882" s="11" t="n">
        <v>173</v>
      </c>
      <c r="C882" s="13" t="inlineStr">
        <is>
          <t>SIPEAGRO (UF-XXXXX)</t>
        </is>
      </c>
      <c r="D882" s="14" t="inlineStr">
        <is>
          <t>AGCN ENXOFRE 100</t>
        </is>
      </c>
      <c r="E882" s="13" t="inlineStr">
        <is>
          <t>Adubação de Solo / Foliar</t>
        </is>
      </c>
      <c r="F882" s="13" t="inlineStr">
        <is>
          <t>Soja</t>
        </is>
      </c>
      <c r="G882" s="13" t="inlineStr">
        <is>
          <t>Cultura Autorizada na Bula</t>
        </is>
      </c>
      <c r="H882" s="13" t="inlineStr">
        <is>
          <t>100 a 300 L/ha</t>
        </is>
      </c>
      <c r="I882" s="13" t="inlineStr">
        <is>
          <t>20 a 40 L/ha</t>
        </is>
      </c>
      <c r="J882" s="13" t="inlineStr">
        <is>
          <t>Isento</t>
        </is>
      </c>
    </row>
    <row r="883" ht="22" customHeight="1">
      <c r="A883" s="6" t="inlineStr">
        <is>
          <t>CUL-0879</t>
        </is>
      </c>
      <c r="B883" s="5" t="n">
        <v>173</v>
      </c>
      <c r="C883" s="7" t="inlineStr">
        <is>
          <t>SIPEAGRO (UF-XXXXX)</t>
        </is>
      </c>
      <c r="D883" s="8" t="inlineStr">
        <is>
          <t>AGCN ENXOFRE 100</t>
        </is>
      </c>
      <c r="E883" s="7" t="inlineStr">
        <is>
          <t>Adubação de Solo / Foliar</t>
        </is>
      </c>
      <c r="F883" s="7" t="inlineStr">
        <is>
          <t>Milho</t>
        </is>
      </c>
      <c r="G883" s="7" t="inlineStr">
        <is>
          <t>Cultura Autorizada na Bula</t>
        </is>
      </c>
      <c r="H883" s="7" t="inlineStr">
        <is>
          <t>100 a 300 L/ha</t>
        </is>
      </c>
      <c r="I883" s="7" t="inlineStr">
        <is>
          <t>20 a 40 L/ha</t>
        </is>
      </c>
      <c r="J883" s="7" t="inlineStr">
        <is>
          <t>Isento</t>
        </is>
      </c>
    </row>
    <row r="884" ht="22" customHeight="1">
      <c r="A884" s="12" t="inlineStr">
        <is>
          <t>CUL-0880</t>
        </is>
      </c>
      <c r="B884" s="11" t="n">
        <v>173</v>
      </c>
      <c r="C884" s="13" t="inlineStr">
        <is>
          <t>SIPEAGRO (UF-XXXXX)</t>
        </is>
      </c>
      <c r="D884" s="14" t="inlineStr">
        <is>
          <t>AGCN ENXOFRE 100</t>
        </is>
      </c>
      <c r="E884" s="13" t="inlineStr">
        <is>
          <t>Adubação de Solo / Foliar</t>
        </is>
      </c>
      <c r="F884" s="13" t="inlineStr">
        <is>
          <t>Algodão</t>
        </is>
      </c>
      <c r="G884" s="13" t="inlineStr">
        <is>
          <t>Cultura Autorizada na Bula</t>
        </is>
      </c>
      <c r="H884" s="13" t="inlineStr">
        <is>
          <t>100 a 300 L/ha</t>
        </is>
      </c>
      <c r="I884" s="13" t="inlineStr">
        <is>
          <t>20 a 40 L/ha</t>
        </is>
      </c>
      <c r="J884" s="13" t="inlineStr">
        <is>
          <t>Isento</t>
        </is>
      </c>
    </row>
    <row r="885" ht="22" customHeight="1">
      <c r="A885" s="6" t="inlineStr">
        <is>
          <t>CUL-0881</t>
        </is>
      </c>
      <c r="B885" s="5" t="n">
        <v>173</v>
      </c>
      <c r="C885" s="7" t="inlineStr">
        <is>
          <t>SIPEAGRO (UF-XXXXX)</t>
        </is>
      </c>
      <c r="D885" s="8" t="inlineStr">
        <is>
          <t>AGCN ENXOFRE 100</t>
        </is>
      </c>
      <c r="E885" s="7" t="inlineStr">
        <is>
          <t>Adubação de Solo / Foliar</t>
        </is>
      </c>
      <c r="F885" s="7" t="inlineStr">
        <is>
          <t>Cana-de-açúcar</t>
        </is>
      </c>
      <c r="G885" s="7" t="inlineStr">
        <is>
          <t>Cultura Autorizada na Bula</t>
        </is>
      </c>
      <c r="H885" s="7" t="inlineStr">
        <is>
          <t>100 a 300 L/ha</t>
        </is>
      </c>
      <c r="I885" s="7" t="inlineStr">
        <is>
          <t>20 a 40 L/ha</t>
        </is>
      </c>
      <c r="J885" s="7" t="inlineStr">
        <is>
          <t>Isento</t>
        </is>
      </c>
    </row>
    <row r="886" ht="22" customHeight="1">
      <c r="A886" s="12" t="inlineStr">
        <is>
          <t>CUL-0882</t>
        </is>
      </c>
      <c r="B886" s="11" t="n">
        <v>173</v>
      </c>
      <c r="C886" s="13" t="inlineStr">
        <is>
          <t>SIPEAGRO (UF-XXXXX)</t>
        </is>
      </c>
      <c r="D886" s="14" t="inlineStr">
        <is>
          <t>AGCN ENXOFRE 100</t>
        </is>
      </c>
      <c r="E886" s="13" t="inlineStr">
        <is>
          <t>Adubação de Solo / Foliar</t>
        </is>
      </c>
      <c r="F886" s="13" t="inlineStr">
        <is>
          <t>Café</t>
        </is>
      </c>
      <c r="G886" s="13" t="inlineStr">
        <is>
          <t>Cultura Autorizada na Bula</t>
        </is>
      </c>
      <c r="H886" s="13" t="inlineStr">
        <is>
          <t>100 a 300 L/ha</t>
        </is>
      </c>
      <c r="I886" s="13" t="inlineStr">
        <is>
          <t>20 a 40 L/ha</t>
        </is>
      </c>
      <c r="J886" s="13" t="inlineStr">
        <is>
          <t>Isento</t>
        </is>
      </c>
    </row>
    <row r="887" ht="22" customHeight="1">
      <c r="A887" s="6" t="inlineStr">
        <is>
          <t>CUL-0883</t>
        </is>
      </c>
      <c r="B887" s="5" t="n">
        <v>174</v>
      </c>
      <c r="C887" s="7" t="inlineStr">
        <is>
          <t>SIPEAGRO (UF-XXXXX)</t>
        </is>
      </c>
      <c r="D887" s="8" t="inlineStr">
        <is>
          <t>AGCN FULL 100</t>
        </is>
      </c>
      <c r="E887" s="7" t="inlineStr">
        <is>
          <t>Adubação de Solo / Foliar</t>
        </is>
      </c>
      <c r="F887" s="7" t="inlineStr">
        <is>
          <t>Soja</t>
        </is>
      </c>
      <c r="G887" s="7" t="inlineStr">
        <is>
          <t>Cultura Autorizada na Bula</t>
        </is>
      </c>
      <c r="H887" s="7" t="inlineStr">
        <is>
          <t>100 a 300 L/ha</t>
        </is>
      </c>
      <c r="I887" s="7" t="inlineStr">
        <is>
          <t>20 a 40 L/ha</t>
        </is>
      </c>
      <c r="J887" s="7" t="inlineStr">
        <is>
          <t>Isento</t>
        </is>
      </c>
    </row>
    <row r="888" ht="22" customHeight="1">
      <c r="A888" s="12" t="inlineStr">
        <is>
          <t>CUL-0884</t>
        </is>
      </c>
      <c r="B888" s="11" t="n">
        <v>174</v>
      </c>
      <c r="C888" s="13" t="inlineStr">
        <is>
          <t>SIPEAGRO (UF-XXXXX)</t>
        </is>
      </c>
      <c r="D888" s="14" t="inlineStr">
        <is>
          <t>AGCN FULL 100</t>
        </is>
      </c>
      <c r="E888" s="13" t="inlineStr">
        <is>
          <t>Adubação de Solo / Foliar</t>
        </is>
      </c>
      <c r="F888" s="13" t="inlineStr">
        <is>
          <t>Milho</t>
        </is>
      </c>
      <c r="G888" s="13" t="inlineStr">
        <is>
          <t>Cultura Autorizada na Bula</t>
        </is>
      </c>
      <c r="H888" s="13" t="inlineStr">
        <is>
          <t>100 a 300 L/ha</t>
        </is>
      </c>
      <c r="I888" s="13" t="inlineStr">
        <is>
          <t>20 a 40 L/ha</t>
        </is>
      </c>
      <c r="J888" s="13" t="inlineStr">
        <is>
          <t>Isento</t>
        </is>
      </c>
    </row>
    <row r="889" ht="22" customHeight="1">
      <c r="A889" s="6" t="inlineStr">
        <is>
          <t>CUL-0885</t>
        </is>
      </c>
      <c r="B889" s="5" t="n">
        <v>174</v>
      </c>
      <c r="C889" s="7" t="inlineStr">
        <is>
          <t>SIPEAGRO (UF-XXXXX)</t>
        </is>
      </c>
      <c r="D889" s="8" t="inlineStr">
        <is>
          <t>AGCN FULL 100</t>
        </is>
      </c>
      <c r="E889" s="7" t="inlineStr">
        <is>
          <t>Adubação de Solo / Foliar</t>
        </is>
      </c>
      <c r="F889" s="7" t="inlineStr">
        <is>
          <t>Algodão</t>
        </is>
      </c>
      <c r="G889" s="7" t="inlineStr">
        <is>
          <t>Cultura Autorizada na Bula</t>
        </is>
      </c>
      <c r="H889" s="7" t="inlineStr">
        <is>
          <t>100 a 300 L/ha</t>
        </is>
      </c>
      <c r="I889" s="7" t="inlineStr">
        <is>
          <t>20 a 40 L/ha</t>
        </is>
      </c>
      <c r="J889" s="7" t="inlineStr">
        <is>
          <t>Isento</t>
        </is>
      </c>
    </row>
    <row r="890" ht="22" customHeight="1">
      <c r="A890" s="12" t="inlineStr">
        <is>
          <t>CUL-0886</t>
        </is>
      </c>
      <c r="B890" s="11" t="n">
        <v>174</v>
      </c>
      <c r="C890" s="13" t="inlineStr">
        <is>
          <t>SIPEAGRO (UF-XXXXX)</t>
        </is>
      </c>
      <c r="D890" s="14" t="inlineStr">
        <is>
          <t>AGCN FULL 100</t>
        </is>
      </c>
      <c r="E890" s="13" t="inlineStr">
        <is>
          <t>Adubação de Solo / Foliar</t>
        </is>
      </c>
      <c r="F890" s="13" t="inlineStr">
        <is>
          <t>Cana-de-açúcar</t>
        </is>
      </c>
      <c r="G890" s="13" t="inlineStr">
        <is>
          <t>Cultura Autorizada na Bula</t>
        </is>
      </c>
      <c r="H890" s="13" t="inlineStr">
        <is>
          <t>100 a 300 L/ha</t>
        </is>
      </c>
      <c r="I890" s="13" t="inlineStr">
        <is>
          <t>20 a 40 L/ha</t>
        </is>
      </c>
      <c r="J890" s="13" t="inlineStr">
        <is>
          <t>Isento</t>
        </is>
      </c>
    </row>
    <row r="891" ht="22" customHeight="1">
      <c r="A891" s="6" t="inlineStr">
        <is>
          <t>CUL-0887</t>
        </is>
      </c>
      <c r="B891" s="5" t="n">
        <v>174</v>
      </c>
      <c r="C891" s="7" t="inlineStr">
        <is>
          <t>SIPEAGRO (UF-XXXXX)</t>
        </is>
      </c>
      <c r="D891" s="8" t="inlineStr">
        <is>
          <t>AGCN FULL 100</t>
        </is>
      </c>
      <c r="E891" s="7" t="inlineStr">
        <is>
          <t>Adubação de Solo / Foliar</t>
        </is>
      </c>
      <c r="F891" s="7" t="inlineStr">
        <is>
          <t>Café</t>
        </is>
      </c>
      <c r="G891" s="7" t="inlineStr">
        <is>
          <t>Cultura Autorizada na Bula</t>
        </is>
      </c>
      <c r="H891" s="7" t="inlineStr">
        <is>
          <t>100 a 300 L/ha</t>
        </is>
      </c>
      <c r="I891" s="7" t="inlineStr">
        <is>
          <t>20 a 40 L/ha</t>
        </is>
      </c>
      <c r="J891" s="7" t="inlineStr">
        <is>
          <t>Isento</t>
        </is>
      </c>
    </row>
    <row r="892" ht="22" customHeight="1">
      <c r="A892" s="12" t="inlineStr">
        <is>
          <t>CUL-0888</t>
        </is>
      </c>
      <c r="B892" s="11" t="n">
        <v>175</v>
      </c>
      <c r="C892" s="13" t="inlineStr">
        <is>
          <t>SIPEAGRO (UF-XXXXX)</t>
        </is>
      </c>
      <c r="D892" s="14" t="inlineStr">
        <is>
          <t>AGCN MN</t>
        </is>
      </c>
      <c r="E892" s="13" t="inlineStr">
        <is>
          <t>Adubação de Solo / Foliar</t>
        </is>
      </c>
      <c r="F892" s="13" t="inlineStr">
        <is>
          <t>Soja</t>
        </is>
      </c>
      <c r="G892" s="13" t="inlineStr">
        <is>
          <t>Cultura Autorizada na Bula</t>
        </is>
      </c>
      <c r="H892" s="13" t="inlineStr">
        <is>
          <t>100 a 300 L/ha</t>
        </is>
      </c>
      <c r="I892" s="13" t="inlineStr">
        <is>
          <t>20 a 40 L/ha</t>
        </is>
      </c>
      <c r="J892" s="13" t="inlineStr">
        <is>
          <t>Isento</t>
        </is>
      </c>
    </row>
    <row r="893" ht="22" customHeight="1">
      <c r="A893" s="6" t="inlineStr">
        <is>
          <t>CUL-0889</t>
        </is>
      </c>
      <c r="B893" s="5" t="n">
        <v>175</v>
      </c>
      <c r="C893" s="7" t="inlineStr">
        <is>
          <t>SIPEAGRO (UF-XXXXX)</t>
        </is>
      </c>
      <c r="D893" s="8" t="inlineStr">
        <is>
          <t>AGCN MN</t>
        </is>
      </c>
      <c r="E893" s="7" t="inlineStr">
        <is>
          <t>Adubação de Solo / Foliar</t>
        </is>
      </c>
      <c r="F893" s="7" t="inlineStr">
        <is>
          <t>Milho</t>
        </is>
      </c>
      <c r="G893" s="7" t="inlineStr">
        <is>
          <t>Cultura Autorizada na Bula</t>
        </is>
      </c>
      <c r="H893" s="7" t="inlineStr">
        <is>
          <t>100 a 300 L/ha</t>
        </is>
      </c>
      <c r="I893" s="7" t="inlineStr">
        <is>
          <t>20 a 40 L/ha</t>
        </is>
      </c>
      <c r="J893" s="7" t="inlineStr">
        <is>
          <t>Isento</t>
        </is>
      </c>
    </row>
    <row r="894" ht="22" customHeight="1">
      <c r="A894" s="12" t="inlineStr">
        <is>
          <t>CUL-0890</t>
        </is>
      </c>
      <c r="B894" s="11" t="n">
        <v>175</v>
      </c>
      <c r="C894" s="13" t="inlineStr">
        <is>
          <t>SIPEAGRO (UF-XXXXX)</t>
        </is>
      </c>
      <c r="D894" s="14" t="inlineStr">
        <is>
          <t>AGCN MN</t>
        </is>
      </c>
      <c r="E894" s="13" t="inlineStr">
        <is>
          <t>Adubação de Solo / Foliar</t>
        </is>
      </c>
      <c r="F894" s="13" t="inlineStr">
        <is>
          <t>Algodão</t>
        </is>
      </c>
      <c r="G894" s="13" t="inlineStr">
        <is>
          <t>Cultura Autorizada na Bula</t>
        </is>
      </c>
      <c r="H894" s="13" t="inlineStr">
        <is>
          <t>100 a 300 L/ha</t>
        </is>
      </c>
      <c r="I894" s="13" t="inlineStr">
        <is>
          <t>20 a 40 L/ha</t>
        </is>
      </c>
      <c r="J894" s="13" t="inlineStr">
        <is>
          <t>Isento</t>
        </is>
      </c>
    </row>
    <row r="895" ht="22" customHeight="1">
      <c r="A895" s="6" t="inlineStr">
        <is>
          <t>CUL-0891</t>
        </is>
      </c>
      <c r="B895" s="5" t="n">
        <v>175</v>
      </c>
      <c r="C895" s="7" t="inlineStr">
        <is>
          <t>SIPEAGRO (UF-XXXXX)</t>
        </is>
      </c>
      <c r="D895" s="8" t="inlineStr">
        <is>
          <t>AGCN MN</t>
        </is>
      </c>
      <c r="E895" s="7" t="inlineStr">
        <is>
          <t>Adubação de Solo / Foliar</t>
        </is>
      </c>
      <c r="F895" s="7" t="inlineStr">
        <is>
          <t>Cana-de-açúcar</t>
        </is>
      </c>
      <c r="G895" s="7" t="inlineStr">
        <is>
          <t>Cultura Autorizada na Bula</t>
        </is>
      </c>
      <c r="H895" s="7" t="inlineStr">
        <is>
          <t>100 a 300 L/ha</t>
        </is>
      </c>
      <c r="I895" s="7" t="inlineStr">
        <is>
          <t>20 a 40 L/ha</t>
        </is>
      </c>
      <c r="J895" s="7" t="inlineStr">
        <is>
          <t>Isento</t>
        </is>
      </c>
    </row>
    <row r="896" ht="22" customHeight="1">
      <c r="A896" s="12" t="inlineStr">
        <is>
          <t>CUL-0892</t>
        </is>
      </c>
      <c r="B896" s="11" t="n">
        <v>175</v>
      </c>
      <c r="C896" s="13" t="inlineStr">
        <is>
          <t>SIPEAGRO (UF-XXXXX)</t>
        </is>
      </c>
      <c r="D896" s="14" t="inlineStr">
        <is>
          <t>AGCN MN</t>
        </is>
      </c>
      <c r="E896" s="13" t="inlineStr">
        <is>
          <t>Adubação de Solo / Foliar</t>
        </is>
      </c>
      <c r="F896" s="13" t="inlineStr">
        <is>
          <t>Café</t>
        </is>
      </c>
      <c r="G896" s="13" t="inlineStr">
        <is>
          <t>Cultura Autorizada na Bula</t>
        </is>
      </c>
      <c r="H896" s="13" t="inlineStr">
        <is>
          <t>100 a 300 L/ha</t>
        </is>
      </c>
      <c r="I896" s="13" t="inlineStr">
        <is>
          <t>20 a 40 L/ha</t>
        </is>
      </c>
      <c r="J896" s="13" t="inlineStr">
        <is>
          <t>Isento</t>
        </is>
      </c>
    </row>
    <row r="897" ht="22" customHeight="1">
      <c r="A897" s="6" t="inlineStr">
        <is>
          <t>CUL-0893</t>
        </is>
      </c>
      <c r="B897" s="5" t="n">
        <v>176</v>
      </c>
      <c r="C897" s="7" t="inlineStr">
        <is>
          <t>SIPEAGRO (UF-XXXXX)</t>
        </is>
      </c>
      <c r="D897" s="8" t="inlineStr">
        <is>
          <t>AGCN MN ULTRA 100</t>
        </is>
      </c>
      <c r="E897" s="7" t="inlineStr">
        <is>
          <t>Adubação de Solo / Foliar</t>
        </is>
      </c>
      <c r="F897" s="7" t="inlineStr">
        <is>
          <t>Soja</t>
        </is>
      </c>
      <c r="G897" s="7" t="inlineStr">
        <is>
          <t>Cultura Autorizada na Bula</t>
        </is>
      </c>
      <c r="H897" s="7" t="inlineStr">
        <is>
          <t>100 a 300 L/ha</t>
        </is>
      </c>
      <c r="I897" s="7" t="inlineStr">
        <is>
          <t>20 a 40 L/ha</t>
        </is>
      </c>
      <c r="J897" s="7" t="inlineStr">
        <is>
          <t>Isento</t>
        </is>
      </c>
    </row>
    <row r="898" ht="22" customHeight="1">
      <c r="A898" s="12" t="inlineStr">
        <is>
          <t>CUL-0894</t>
        </is>
      </c>
      <c r="B898" s="11" t="n">
        <v>176</v>
      </c>
      <c r="C898" s="13" t="inlineStr">
        <is>
          <t>SIPEAGRO (UF-XXXXX)</t>
        </is>
      </c>
      <c r="D898" s="14" t="inlineStr">
        <is>
          <t>AGCN MN ULTRA 100</t>
        </is>
      </c>
      <c r="E898" s="13" t="inlineStr">
        <is>
          <t>Adubação de Solo / Foliar</t>
        </is>
      </c>
      <c r="F898" s="13" t="inlineStr">
        <is>
          <t>Milho</t>
        </is>
      </c>
      <c r="G898" s="13" t="inlineStr">
        <is>
          <t>Cultura Autorizada na Bula</t>
        </is>
      </c>
      <c r="H898" s="13" t="inlineStr">
        <is>
          <t>100 a 300 L/ha</t>
        </is>
      </c>
      <c r="I898" s="13" t="inlineStr">
        <is>
          <t>20 a 40 L/ha</t>
        </is>
      </c>
      <c r="J898" s="13" t="inlineStr">
        <is>
          <t>Isento</t>
        </is>
      </c>
    </row>
    <row r="899" ht="22" customHeight="1">
      <c r="A899" s="6" t="inlineStr">
        <is>
          <t>CUL-0895</t>
        </is>
      </c>
      <c r="B899" s="5" t="n">
        <v>176</v>
      </c>
      <c r="C899" s="7" t="inlineStr">
        <is>
          <t>SIPEAGRO (UF-XXXXX)</t>
        </is>
      </c>
      <c r="D899" s="8" t="inlineStr">
        <is>
          <t>AGCN MN ULTRA 100</t>
        </is>
      </c>
      <c r="E899" s="7" t="inlineStr">
        <is>
          <t>Adubação de Solo / Foliar</t>
        </is>
      </c>
      <c r="F899" s="7" t="inlineStr">
        <is>
          <t>Algodão</t>
        </is>
      </c>
      <c r="G899" s="7" t="inlineStr">
        <is>
          <t>Cultura Autorizada na Bula</t>
        </is>
      </c>
      <c r="H899" s="7" t="inlineStr">
        <is>
          <t>100 a 300 L/ha</t>
        </is>
      </c>
      <c r="I899" s="7" t="inlineStr">
        <is>
          <t>20 a 40 L/ha</t>
        </is>
      </c>
      <c r="J899" s="7" t="inlineStr">
        <is>
          <t>Isento</t>
        </is>
      </c>
    </row>
    <row r="900" ht="22" customHeight="1">
      <c r="A900" s="12" t="inlineStr">
        <is>
          <t>CUL-0896</t>
        </is>
      </c>
      <c r="B900" s="11" t="n">
        <v>176</v>
      </c>
      <c r="C900" s="13" t="inlineStr">
        <is>
          <t>SIPEAGRO (UF-XXXXX)</t>
        </is>
      </c>
      <c r="D900" s="14" t="inlineStr">
        <is>
          <t>AGCN MN ULTRA 100</t>
        </is>
      </c>
      <c r="E900" s="13" t="inlineStr">
        <is>
          <t>Adubação de Solo / Foliar</t>
        </is>
      </c>
      <c r="F900" s="13" t="inlineStr">
        <is>
          <t>Cana-de-açúcar</t>
        </is>
      </c>
      <c r="G900" s="13" t="inlineStr">
        <is>
          <t>Cultura Autorizada na Bula</t>
        </is>
      </c>
      <c r="H900" s="13" t="inlineStr">
        <is>
          <t>100 a 300 L/ha</t>
        </is>
      </c>
      <c r="I900" s="13" t="inlineStr">
        <is>
          <t>20 a 40 L/ha</t>
        </is>
      </c>
      <c r="J900" s="13" t="inlineStr">
        <is>
          <t>Isento</t>
        </is>
      </c>
    </row>
    <row r="901" ht="22" customHeight="1">
      <c r="A901" s="6" t="inlineStr">
        <is>
          <t>CUL-0897</t>
        </is>
      </c>
      <c r="B901" s="5" t="n">
        <v>176</v>
      </c>
      <c r="C901" s="7" t="inlineStr">
        <is>
          <t>SIPEAGRO (UF-XXXXX)</t>
        </is>
      </c>
      <c r="D901" s="8" t="inlineStr">
        <is>
          <t>AGCN MN ULTRA 100</t>
        </is>
      </c>
      <c r="E901" s="7" t="inlineStr">
        <is>
          <t>Adubação de Solo / Foliar</t>
        </is>
      </c>
      <c r="F901" s="7" t="inlineStr">
        <is>
          <t>Café</t>
        </is>
      </c>
      <c r="G901" s="7" t="inlineStr">
        <is>
          <t>Cultura Autorizada na Bula</t>
        </is>
      </c>
      <c r="H901" s="7" t="inlineStr">
        <is>
          <t>100 a 300 L/ha</t>
        </is>
      </c>
      <c r="I901" s="7" t="inlineStr">
        <is>
          <t>20 a 40 L/ha</t>
        </is>
      </c>
      <c r="J901" s="7" t="inlineStr">
        <is>
          <t>Isento</t>
        </is>
      </c>
    </row>
    <row r="902" ht="22" customHeight="1">
      <c r="A902" s="12" t="inlineStr">
        <is>
          <t>CUL-0898</t>
        </is>
      </c>
      <c r="B902" s="11" t="n">
        <v>177</v>
      </c>
      <c r="C902" s="13" t="inlineStr">
        <is>
          <t>SIPEAGRO (UF-XXXXX)</t>
        </is>
      </c>
      <c r="D902" s="14" t="inlineStr">
        <is>
          <t>AGCN MN+</t>
        </is>
      </c>
      <c r="E902" s="13" t="inlineStr">
        <is>
          <t>Adubação de Solo / Foliar</t>
        </is>
      </c>
      <c r="F902" s="13" t="inlineStr">
        <is>
          <t>Soja</t>
        </is>
      </c>
      <c r="G902" s="13" t="inlineStr">
        <is>
          <t>Cultura Autorizada na Bula</t>
        </is>
      </c>
      <c r="H902" s="13" t="inlineStr">
        <is>
          <t>100 a 300 L/ha</t>
        </is>
      </c>
      <c r="I902" s="13" t="inlineStr">
        <is>
          <t>20 a 40 L/ha</t>
        </is>
      </c>
      <c r="J902" s="13" t="inlineStr">
        <is>
          <t>Isento</t>
        </is>
      </c>
    </row>
    <row r="903" ht="22" customHeight="1">
      <c r="A903" s="6" t="inlineStr">
        <is>
          <t>CUL-0899</t>
        </is>
      </c>
      <c r="B903" s="5" t="n">
        <v>177</v>
      </c>
      <c r="C903" s="7" t="inlineStr">
        <is>
          <t>SIPEAGRO (UF-XXXXX)</t>
        </is>
      </c>
      <c r="D903" s="8" t="inlineStr">
        <is>
          <t>AGCN MN+</t>
        </is>
      </c>
      <c r="E903" s="7" t="inlineStr">
        <is>
          <t>Adubação de Solo / Foliar</t>
        </is>
      </c>
      <c r="F903" s="7" t="inlineStr">
        <is>
          <t>Milho</t>
        </is>
      </c>
      <c r="G903" s="7" t="inlineStr">
        <is>
          <t>Cultura Autorizada na Bula</t>
        </is>
      </c>
      <c r="H903" s="7" t="inlineStr">
        <is>
          <t>100 a 300 L/ha</t>
        </is>
      </c>
      <c r="I903" s="7" t="inlineStr">
        <is>
          <t>20 a 40 L/ha</t>
        </is>
      </c>
      <c r="J903" s="7" t="inlineStr">
        <is>
          <t>Isento</t>
        </is>
      </c>
    </row>
    <row r="904" ht="22" customHeight="1">
      <c r="A904" s="12" t="inlineStr">
        <is>
          <t>CUL-0900</t>
        </is>
      </c>
      <c r="B904" s="11" t="n">
        <v>177</v>
      </c>
      <c r="C904" s="13" t="inlineStr">
        <is>
          <t>SIPEAGRO (UF-XXXXX)</t>
        </is>
      </c>
      <c r="D904" s="14" t="inlineStr">
        <is>
          <t>AGCN MN+</t>
        </is>
      </c>
      <c r="E904" s="13" t="inlineStr">
        <is>
          <t>Adubação de Solo / Foliar</t>
        </is>
      </c>
      <c r="F904" s="13" t="inlineStr">
        <is>
          <t>Algodão</t>
        </is>
      </c>
      <c r="G904" s="13" t="inlineStr">
        <is>
          <t>Cultura Autorizada na Bula</t>
        </is>
      </c>
      <c r="H904" s="13" t="inlineStr">
        <is>
          <t>100 a 300 L/ha</t>
        </is>
      </c>
      <c r="I904" s="13" t="inlineStr">
        <is>
          <t>20 a 40 L/ha</t>
        </is>
      </c>
      <c r="J904" s="13" t="inlineStr">
        <is>
          <t>Isento</t>
        </is>
      </c>
    </row>
    <row r="905" ht="22" customHeight="1">
      <c r="A905" s="6" t="inlineStr">
        <is>
          <t>CUL-0901</t>
        </is>
      </c>
      <c r="B905" s="5" t="n">
        <v>177</v>
      </c>
      <c r="C905" s="7" t="inlineStr">
        <is>
          <t>SIPEAGRO (UF-XXXXX)</t>
        </is>
      </c>
      <c r="D905" s="8" t="inlineStr">
        <is>
          <t>AGCN MN+</t>
        </is>
      </c>
      <c r="E905" s="7" t="inlineStr">
        <is>
          <t>Adubação de Solo / Foliar</t>
        </is>
      </c>
      <c r="F905" s="7" t="inlineStr">
        <is>
          <t>Cana-de-açúcar</t>
        </is>
      </c>
      <c r="G905" s="7" t="inlineStr">
        <is>
          <t>Cultura Autorizada na Bula</t>
        </is>
      </c>
      <c r="H905" s="7" t="inlineStr">
        <is>
          <t>100 a 300 L/ha</t>
        </is>
      </c>
      <c r="I905" s="7" t="inlineStr">
        <is>
          <t>20 a 40 L/ha</t>
        </is>
      </c>
      <c r="J905" s="7" t="inlineStr">
        <is>
          <t>Isento</t>
        </is>
      </c>
    </row>
    <row r="906" ht="22" customHeight="1">
      <c r="A906" s="12" t="inlineStr">
        <is>
          <t>CUL-0902</t>
        </is>
      </c>
      <c r="B906" s="11" t="n">
        <v>177</v>
      </c>
      <c r="C906" s="13" t="inlineStr">
        <is>
          <t>SIPEAGRO (UF-XXXXX)</t>
        </is>
      </c>
      <c r="D906" s="14" t="inlineStr">
        <is>
          <t>AGCN MN+</t>
        </is>
      </c>
      <c r="E906" s="13" t="inlineStr">
        <is>
          <t>Adubação de Solo / Foliar</t>
        </is>
      </c>
      <c r="F906" s="13" t="inlineStr">
        <is>
          <t>Café</t>
        </is>
      </c>
      <c r="G906" s="13" t="inlineStr">
        <is>
          <t>Cultura Autorizada na Bula</t>
        </is>
      </c>
      <c r="H906" s="13" t="inlineStr">
        <is>
          <t>100 a 300 L/ha</t>
        </is>
      </c>
      <c r="I906" s="13" t="inlineStr">
        <is>
          <t>20 a 40 L/ha</t>
        </is>
      </c>
      <c r="J906" s="13" t="inlineStr">
        <is>
          <t>Isento</t>
        </is>
      </c>
    </row>
    <row r="907" ht="22" customHeight="1">
      <c r="A907" s="6" t="inlineStr">
        <is>
          <t>CUL-0903</t>
        </is>
      </c>
      <c r="B907" s="5" t="n">
        <v>178</v>
      </c>
      <c r="C907" s="7" t="inlineStr">
        <is>
          <t>SIPEAGRO (UF-XXXXX)</t>
        </is>
      </c>
      <c r="D907" s="8" t="inlineStr">
        <is>
          <t>AGCN NITROGEN 30% 100</t>
        </is>
      </c>
      <c r="E907" s="7" t="inlineStr">
        <is>
          <t>Adubação de Solo / Foliar</t>
        </is>
      </c>
      <c r="F907" s="7" t="inlineStr">
        <is>
          <t>Soja</t>
        </is>
      </c>
      <c r="G907" s="7" t="inlineStr">
        <is>
          <t>Cultura Autorizada na Bula</t>
        </is>
      </c>
      <c r="H907" s="7" t="inlineStr">
        <is>
          <t>100 a 300 L/ha</t>
        </is>
      </c>
      <c r="I907" s="7" t="inlineStr">
        <is>
          <t>20 a 40 L/ha</t>
        </is>
      </c>
      <c r="J907" s="7" t="inlineStr">
        <is>
          <t>Isento</t>
        </is>
      </c>
    </row>
    <row r="908" ht="22" customHeight="1">
      <c r="A908" s="12" t="inlineStr">
        <is>
          <t>CUL-0904</t>
        </is>
      </c>
      <c r="B908" s="11" t="n">
        <v>178</v>
      </c>
      <c r="C908" s="13" t="inlineStr">
        <is>
          <t>SIPEAGRO (UF-XXXXX)</t>
        </is>
      </c>
      <c r="D908" s="14" t="inlineStr">
        <is>
          <t>AGCN NITROGEN 30% 100</t>
        </is>
      </c>
      <c r="E908" s="13" t="inlineStr">
        <is>
          <t>Adubação de Solo / Foliar</t>
        </is>
      </c>
      <c r="F908" s="13" t="inlineStr">
        <is>
          <t>Milho</t>
        </is>
      </c>
      <c r="G908" s="13" t="inlineStr">
        <is>
          <t>Cultura Autorizada na Bula</t>
        </is>
      </c>
      <c r="H908" s="13" t="inlineStr">
        <is>
          <t>100 a 300 L/ha</t>
        </is>
      </c>
      <c r="I908" s="13" t="inlineStr">
        <is>
          <t>20 a 40 L/ha</t>
        </is>
      </c>
      <c r="J908" s="13" t="inlineStr">
        <is>
          <t>Isento</t>
        </is>
      </c>
    </row>
    <row r="909" ht="22" customHeight="1">
      <c r="A909" s="6" t="inlineStr">
        <is>
          <t>CUL-0905</t>
        </is>
      </c>
      <c r="B909" s="5" t="n">
        <v>178</v>
      </c>
      <c r="C909" s="7" t="inlineStr">
        <is>
          <t>SIPEAGRO (UF-XXXXX)</t>
        </is>
      </c>
      <c r="D909" s="8" t="inlineStr">
        <is>
          <t>AGCN NITROGEN 30% 100</t>
        </is>
      </c>
      <c r="E909" s="7" t="inlineStr">
        <is>
          <t>Adubação de Solo / Foliar</t>
        </is>
      </c>
      <c r="F909" s="7" t="inlineStr">
        <is>
          <t>Algodão</t>
        </is>
      </c>
      <c r="G909" s="7" t="inlineStr">
        <is>
          <t>Cultura Autorizada na Bula</t>
        </is>
      </c>
      <c r="H909" s="7" t="inlineStr">
        <is>
          <t>100 a 300 L/ha</t>
        </is>
      </c>
      <c r="I909" s="7" t="inlineStr">
        <is>
          <t>20 a 40 L/ha</t>
        </is>
      </c>
      <c r="J909" s="7" t="inlineStr">
        <is>
          <t>Isento</t>
        </is>
      </c>
    </row>
    <row r="910" ht="22" customHeight="1">
      <c r="A910" s="12" t="inlineStr">
        <is>
          <t>CUL-0906</t>
        </is>
      </c>
      <c r="B910" s="11" t="n">
        <v>178</v>
      </c>
      <c r="C910" s="13" t="inlineStr">
        <is>
          <t>SIPEAGRO (UF-XXXXX)</t>
        </is>
      </c>
      <c r="D910" s="14" t="inlineStr">
        <is>
          <t>AGCN NITROGEN 30% 100</t>
        </is>
      </c>
      <c r="E910" s="13" t="inlineStr">
        <is>
          <t>Adubação de Solo / Foliar</t>
        </is>
      </c>
      <c r="F910" s="13" t="inlineStr">
        <is>
          <t>Cana-de-açúcar</t>
        </is>
      </c>
      <c r="G910" s="13" t="inlineStr">
        <is>
          <t>Cultura Autorizada na Bula</t>
        </is>
      </c>
      <c r="H910" s="13" t="inlineStr">
        <is>
          <t>100 a 300 L/ha</t>
        </is>
      </c>
      <c r="I910" s="13" t="inlineStr">
        <is>
          <t>20 a 40 L/ha</t>
        </is>
      </c>
      <c r="J910" s="13" t="inlineStr">
        <is>
          <t>Isento</t>
        </is>
      </c>
    </row>
    <row r="911" ht="22" customHeight="1">
      <c r="A911" s="6" t="inlineStr">
        <is>
          <t>CUL-0907</t>
        </is>
      </c>
      <c r="B911" s="5" t="n">
        <v>178</v>
      </c>
      <c r="C911" s="7" t="inlineStr">
        <is>
          <t>SIPEAGRO (UF-XXXXX)</t>
        </is>
      </c>
      <c r="D911" s="8" t="inlineStr">
        <is>
          <t>AGCN NITROGEN 30% 100</t>
        </is>
      </c>
      <c r="E911" s="7" t="inlineStr">
        <is>
          <t>Adubação de Solo / Foliar</t>
        </is>
      </c>
      <c r="F911" s="7" t="inlineStr">
        <is>
          <t>Café</t>
        </is>
      </c>
      <c r="G911" s="7" t="inlineStr">
        <is>
          <t>Cultura Autorizada na Bula</t>
        </is>
      </c>
      <c r="H911" s="7" t="inlineStr">
        <is>
          <t>100 a 300 L/ha</t>
        </is>
      </c>
      <c r="I911" s="7" t="inlineStr">
        <is>
          <t>20 a 40 L/ha</t>
        </is>
      </c>
      <c r="J911" s="7" t="inlineStr">
        <is>
          <t>Isento</t>
        </is>
      </c>
    </row>
    <row r="912" ht="22" customHeight="1">
      <c r="A912" s="12" t="inlineStr">
        <is>
          <t>CUL-0908</t>
        </is>
      </c>
      <c r="B912" s="11" t="n">
        <v>179</v>
      </c>
      <c r="C912" s="13" t="inlineStr">
        <is>
          <t>SIPEAGRO (UF-XXXXX)</t>
        </is>
      </c>
      <c r="D912" s="14" t="inlineStr">
        <is>
          <t>BIOLOGIC NEMA</t>
        </is>
      </c>
      <c r="E912" s="13" t="inlineStr">
        <is>
          <t>Pulverização Agrícola Conforme Bula</t>
        </is>
      </c>
      <c r="F912" s="13" t="inlineStr">
        <is>
          <t>Soja (Sulco / TS / Foliar)</t>
        </is>
      </c>
      <c r="G912" s="13" t="inlineStr">
        <is>
          <t>Cultura Autorizada na Bula</t>
        </is>
      </c>
      <c r="H912" s="13" t="inlineStr">
        <is>
          <t>100 a 300 L/ha</t>
        </is>
      </c>
      <c r="I912" s="13" t="inlineStr">
        <is>
          <t>20 a 40 L/ha</t>
        </is>
      </c>
      <c r="J912" s="13" t="inlineStr">
        <is>
          <t>0 (Isento)</t>
        </is>
      </c>
    </row>
    <row r="913" ht="22" customHeight="1">
      <c r="A913" s="6" t="inlineStr">
        <is>
          <t>CUL-0909</t>
        </is>
      </c>
      <c r="B913" s="5" t="n">
        <v>179</v>
      </c>
      <c r="C913" s="7" t="inlineStr">
        <is>
          <t>SIPEAGRO (UF-XXXXX)</t>
        </is>
      </c>
      <c r="D913" s="8" t="inlineStr">
        <is>
          <t>BIOLOGIC NEMA</t>
        </is>
      </c>
      <c r="E913" s="7" t="inlineStr">
        <is>
          <t>Pulverização Agrícola Conforme Bula</t>
        </is>
      </c>
      <c r="F913" s="7" t="inlineStr">
        <is>
          <t>Milho</t>
        </is>
      </c>
      <c r="G913" s="7" t="inlineStr">
        <is>
          <t>Cultura Autorizada na Bula</t>
        </is>
      </c>
      <c r="H913" s="7" t="inlineStr">
        <is>
          <t>100 a 300 L/ha</t>
        </is>
      </c>
      <c r="I913" s="7" t="inlineStr">
        <is>
          <t>20 a 40 L/ha</t>
        </is>
      </c>
      <c r="J913" s="7" t="inlineStr">
        <is>
          <t>0 (Isento)</t>
        </is>
      </c>
    </row>
    <row r="914" ht="22" customHeight="1">
      <c r="A914" s="12" t="inlineStr">
        <is>
          <t>CUL-0910</t>
        </is>
      </c>
      <c r="B914" s="11" t="n">
        <v>179</v>
      </c>
      <c r="C914" s="13" t="inlineStr">
        <is>
          <t>SIPEAGRO (UF-XXXXX)</t>
        </is>
      </c>
      <c r="D914" s="14" t="inlineStr">
        <is>
          <t>BIOLOGIC NEMA</t>
        </is>
      </c>
      <c r="E914" s="13" t="inlineStr">
        <is>
          <t>Pulverização Agrícola Conforme Bula</t>
        </is>
      </c>
      <c r="F914" s="13" t="inlineStr">
        <is>
          <t>Algodão</t>
        </is>
      </c>
      <c r="G914" s="13" t="inlineStr">
        <is>
          <t>Cultura Autorizada na Bula</t>
        </is>
      </c>
      <c r="H914" s="13" t="inlineStr">
        <is>
          <t>100 a 300 L/ha</t>
        </is>
      </c>
      <c r="I914" s="13" t="inlineStr">
        <is>
          <t>20 a 40 L/ha</t>
        </is>
      </c>
      <c r="J914" s="13" t="inlineStr">
        <is>
          <t>0 (Isento)</t>
        </is>
      </c>
    </row>
    <row r="915" ht="22" customHeight="1">
      <c r="A915" s="6" t="inlineStr">
        <is>
          <t>CUL-0911</t>
        </is>
      </c>
      <c r="B915" s="5" t="n">
        <v>179</v>
      </c>
      <c r="C915" s="7" t="inlineStr">
        <is>
          <t>SIPEAGRO (UF-XXXXX)</t>
        </is>
      </c>
      <c r="D915" s="8" t="inlineStr">
        <is>
          <t>BIOLOGIC NEMA</t>
        </is>
      </c>
      <c r="E915" s="7" t="inlineStr">
        <is>
          <t>Pulverização Agrícola Conforme Bula</t>
        </is>
      </c>
      <c r="F915" s="7" t="inlineStr">
        <is>
          <t>Feijão</t>
        </is>
      </c>
      <c r="G915" s="7" t="inlineStr">
        <is>
          <t>Cultura Autorizada na Bula</t>
        </is>
      </c>
      <c r="H915" s="7" t="inlineStr">
        <is>
          <t>100 a 300 L/ha</t>
        </is>
      </c>
      <c r="I915" s="7" t="inlineStr">
        <is>
          <t>20 a 40 L/ha</t>
        </is>
      </c>
      <c r="J915" s="7" t="inlineStr">
        <is>
          <t>0 (Isento)</t>
        </is>
      </c>
    </row>
    <row r="916" ht="22" customHeight="1">
      <c r="A916" s="12" t="inlineStr">
        <is>
          <t>CUL-0912</t>
        </is>
      </c>
      <c r="B916" s="11" t="n">
        <v>180</v>
      </c>
      <c r="C916" s="13" t="inlineStr">
        <is>
          <t>SIPEAGRO (UF-XXXXX)</t>
        </is>
      </c>
      <c r="D916" s="14" t="inlineStr">
        <is>
          <t>BIOLOGIC PHOS</t>
        </is>
      </c>
      <c r="E916" s="13" t="inlineStr">
        <is>
          <t>Pulverização Agrícola Conforme Bula</t>
        </is>
      </c>
      <c r="F916" s="13" t="inlineStr">
        <is>
          <t>Soja (Sulco / TS / Foliar)</t>
        </is>
      </c>
      <c r="G916" s="13" t="inlineStr">
        <is>
          <t>Cultura Autorizada na Bula</t>
        </is>
      </c>
      <c r="H916" s="13" t="inlineStr">
        <is>
          <t>100 a 300 L/ha</t>
        </is>
      </c>
      <c r="I916" s="13" t="inlineStr">
        <is>
          <t>20 a 40 L/ha</t>
        </is>
      </c>
      <c r="J916" s="13" t="inlineStr">
        <is>
          <t>0 (Isento)</t>
        </is>
      </c>
    </row>
    <row r="917" ht="22" customHeight="1">
      <c r="A917" s="6" t="inlineStr">
        <is>
          <t>CUL-0913</t>
        </is>
      </c>
      <c r="B917" s="5" t="n">
        <v>180</v>
      </c>
      <c r="C917" s="7" t="inlineStr">
        <is>
          <t>SIPEAGRO (UF-XXXXX)</t>
        </is>
      </c>
      <c r="D917" s="8" t="inlineStr">
        <is>
          <t>BIOLOGIC PHOS</t>
        </is>
      </c>
      <c r="E917" s="7" t="inlineStr">
        <is>
          <t>Pulverização Agrícola Conforme Bula</t>
        </is>
      </c>
      <c r="F917" s="7" t="inlineStr">
        <is>
          <t>Milho</t>
        </is>
      </c>
      <c r="G917" s="7" t="inlineStr">
        <is>
          <t>Cultura Autorizada na Bula</t>
        </is>
      </c>
      <c r="H917" s="7" t="inlineStr">
        <is>
          <t>100 a 300 L/ha</t>
        </is>
      </c>
      <c r="I917" s="7" t="inlineStr">
        <is>
          <t>20 a 40 L/ha</t>
        </is>
      </c>
      <c r="J917" s="7" t="inlineStr">
        <is>
          <t>0 (Isento)</t>
        </is>
      </c>
    </row>
    <row r="918" ht="22" customHeight="1">
      <c r="A918" s="12" t="inlineStr">
        <is>
          <t>CUL-0914</t>
        </is>
      </c>
      <c r="B918" s="11" t="n">
        <v>180</v>
      </c>
      <c r="C918" s="13" t="inlineStr">
        <is>
          <t>SIPEAGRO (UF-XXXXX)</t>
        </is>
      </c>
      <c r="D918" s="14" t="inlineStr">
        <is>
          <t>BIOLOGIC PHOS</t>
        </is>
      </c>
      <c r="E918" s="13" t="inlineStr">
        <is>
          <t>Pulverização Agrícola Conforme Bula</t>
        </is>
      </c>
      <c r="F918" s="13" t="inlineStr">
        <is>
          <t>Algodão</t>
        </is>
      </c>
      <c r="G918" s="13" t="inlineStr">
        <is>
          <t>Cultura Autorizada na Bula</t>
        </is>
      </c>
      <c r="H918" s="13" t="inlineStr">
        <is>
          <t>100 a 300 L/ha</t>
        </is>
      </c>
      <c r="I918" s="13" t="inlineStr">
        <is>
          <t>20 a 40 L/ha</t>
        </is>
      </c>
      <c r="J918" s="13" t="inlineStr">
        <is>
          <t>0 (Isento)</t>
        </is>
      </c>
    </row>
    <row r="919" ht="22" customHeight="1">
      <c r="A919" s="6" t="inlineStr">
        <is>
          <t>CUL-0915</t>
        </is>
      </c>
      <c r="B919" s="5" t="n">
        <v>180</v>
      </c>
      <c r="C919" s="7" t="inlineStr">
        <is>
          <t>SIPEAGRO (UF-XXXXX)</t>
        </is>
      </c>
      <c r="D919" s="8" t="inlineStr">
        <is>
          <t>BIOLOGIC PHOS</t>
        </is>
      </c>
      <c r="E919" s="7" t="inlineStr">
        <is>
          <t>Pulverização Agrícola Conforme Bula</t>
        </is>
      </c>
      <c r="F919" s="7" t="inlineStr">
        <is>
          <t>Feijão</t>
        </is>
      </c>
      <c r="G919" s="7" t="inlineStr">
        <is>
          <t>Cultura Autorizada na Bula</t>
        </is>
      </c>
      <c r="H919" s="7" t="inlineStr">
        <is>
          <t>100 a 300 L/ha</t>
        </is>
      </c>
      <c r="I919" s="7" t="inlineStr">
        <is>
          <t>20 a 40 L/ha</t>
        </is>
      </c>
      <c r="J919" s="7" t="inlineStr">
        <is>
          <t>0 (Isento)</t>
        </is>
      </c>
    </row>
    <row r="920" ht="22" customHeight="1">
      <c r="A920" s="12" t="inlineStr">
        <is>
          <t>CUL-0916</t>
        </is>
      </c>
      <c r="B920" s="11" t="n">
        <v>181</v>
      </c>
      <c r="C920" s="13" t="inlineStr">
        <is>
          <t>Nº 13620</t>
        </is>
      </c>
      <c r="D920" s="14" t="inlineStr">
        <is>
          <t>CLIMUR</t>
        </is>
      </c>
      <c r="E920" s="13" t="inlineStr">
        <is>
          <t>Pulverização Agrícola Conforme Bula</t>
        </is>
      </c>
      <c r="F920" s="13" t="inlineStr">
        <is>
          <t>Soja</t>
        </is>
      </c>
      <c r="G920" s="13" t="inlineStr">
        <is>
          <t>Cultura Autorizada na Bula</t>
        </is>
      </c>
      <c r="H920" s="13" t="inlineStr">
        <is>
          <t>100 a 300 L/ha</t>
        </is>
      </c>
      <c r="I920" s="13" t="inlineStr">
        <is>
          <t>20 a 40 L/ha</t>
        </is>
      </c>
      <c r="J920" s="13" t="inlineStr">
        <is>
          <t>60 dias</t>
        </is>
      </c>
    </row>
    <row r="921" ht="22" customHeight="1">
      <c r="A921" s="6" t="inlineStr">
        <is>
          <t>CUL-0917</t>
        </is>
      </c>
      <c r="B921" s="5" t="n">
        <v>181</v>
      </c>
      <c r="C921" s="7" t="inlineStr">
        <is>
          <t>Nº 13620</t>
        </is>
      </c>
      <c r="D921" s="8" t="inlineStr">
        <is>
          <t>CLIMUR</t>
        </is>
      </c>
      <c r="E921" s="7" t="inlineStr">
        <is>
          <t>Pulverização Agrícola Conforme Bula</t>
        </is>
      </c>
      <c r="F921" s="7" t="inlineStr">
        <is>
          <t>Milho</t>
        </is>
      </c>
      <c r="G921" s="7" t="inlineStr">
        <is>
          <t>Cultura Autorizada na Bula</t>
        </is>
      </c>
      <c r="H921" s="7" t="inlineStr">
        <is>
          <t>100 a 300 L/ha</t>
        </is>
      </c>
      <c r="I921" s="7" t="inlineStr">
        <is>
          <t>20 a 40 L/ha</t>
        </is>
      </c>
      <c r="J921" s="7" t="inlineStr">
        <is>
          <t>45 dias</t>
        </is>
      </c>
    </row>
    <row r="922" ht="22" customHeight="1">
      <c r="A922" s="12" t="inlineStr">
        <is>
          <t>CUL-0918</t>
        </is>
      </c>
      <c r="B922" s="11" t="n">
        <v>181</v>
      </c>
      <c r="C922" s="13" t="inlineStr">
        <is>
          <t>Nº 13620</t>
        </is>
      </c>
      <c r="D922" s="14" t="inlineStr">
        <is>
          <t>CLIMUR</t>
        </is>
      </c>
      <c r="E922" s="13" t="inlineStr">
        <is>
          <t>Pulverização Agrícola Conforme Bula</t>
        </is>
      </c>
      <c r="F922" s="13" t="inlineStr">
        <is>
          <t>Algodão</t>
        </is>
      </c>
      <c r="G922" s="13" t="inlineStr">
        <is>
          <t>Cultura Autorizada na Bula</t>
        </is>
      </c>
      <c r="H922" s="13" t="inlineStr">
        <is>
          <t>100 a 300 L/ha</t>
        </is>
      </c>
      <c r="I922" s="13" t="inlineStr">
        <is>
          <t>20 a 40 L/ha</t>
        </is>
      </c>
      <c r="J922" s="13" t="inlineStr">
        <is>
          <t>60 dias</t>
        </is>
      </c>
    </row>
    <row r="923" ht="22" customHeight="1">
      <c r="A923" s="6" t="inlineStr">
        <is>
          <t>CUL-0919</t>
        </is>
      </c>
      <c r="B923" s="5" t="n">
        <v>181</v>
      </c>
      <c r="C923" s="7" t="inlineStr">
        <is>
          <t>Nº 13620</t>
        </is>
      </c>
      <c r="D923" s="8" t="inlineStr">
        <is>
          <t>CLIMUR</t>
        </is>
      </c>
      <c r="E923" s="7" t="inlineStr">
        <is>
          <t>Pulverização Agrícola Conforme Bula</t>
        </is>
      </c>
      <c r="F923" s="7" t="inlineStr">
        <is>
          <t>Cana-de-açúcar</t>
        </is>
      </c>
      <c r="G923" s="7" t="inlineStr">
        <is>
          <t>Cultura Autorizada na Bula</t>
        </is>
      </c>
      <c r="H923" s="7" t="inlineStr">
        <is>
          <t>100 a 300 L/ha</t>
        </is>
      </c>
      <c r="I923" s="7" t="inlineStr">
        <is>
          <t>20 a 40 L/ha</t>
        </is>
      </c>
      <c r="J923" s="7" t="inlineStr">
        <is>
          <t>90 dias</t>
        </is>
      </c>
    </row>
    <row r="924" ht="22" customHeight="1">
      <c r="A924" s="12" t="inlineStr">
        <is>
          <t>CUL-0920</t>
        </is>
      </c>
      <c r="B924" s="11" t="n">
        <v>182</v>
      </c>
      <c r="C924" s="13" t="inlineStr">
        <is>
          <t>Nº 43219</t>
        </is>
      </c>
      <c r="D924" s="14" t="inlineStr">
        <is>
          <t>CLORPIRIFOS 480 EC GHARDA</t>
        </is>
      </c>
      <c r="E924" s="13" t="inlineStr">
        <is>
          <t>Pulverização Agrícola Conforme Bula</t>
        </is>
      </c>
      <c r="F924" s="13" t="inlineStr">
        <is>
          <t>Soja</t>
        </is>
      </c>
      <c r="G924" s="13" t="inlineStr">
        <is>
          <t>Cultura Autorizada na Bula</t>
        </is>
      </c>
      <c r="H924" s="13" t="inlineStr">
        <is>
          <t>100 a 300 L/ha</t>
        </is>
      </c>
      <c r="I924" s="13" t="inlineStr">
        <is>
          <t>20 a 40 L/ha</t>
        </is>
      </c>
      <c r="J924" s="13" t="inlineStr">
        <is>
          <t>21 dias</t>
        </is>
      </c>
    </row>
    <row r="925" ht="22" customHeight="1">
      <c r="A925" s="6" t="inlineStr">
        <is>
          <t>CUL-0921</t>
        </is>
      </c>
      <c r="B925" s="5" t="n">
        <v>182</v>
      </c>
      <c r="C925" s="7" t="inlineStr">
        <is>
          <t>Nº 43219</t>
        </is>
      </c>
      <c r="D925" s="8" t="inlineStr">
        <is>
          <t>CLORPIRIFOS 480 EC GHARDA</t>
        </is>
      </c>
      <c r="E925" s="7" t="inlineStr">
        <is>
          <t>Pulverização Agrícola Conforme Bula</t>
        </is>
      </c>
      <c r="F925" s="7" t="inlineStr">
        <is>
          <t>Milho</t>
        </is>
      </c>
      <c r="G925" s="7" t="inlineStr">
        <is>
          <t>Cultura Autorizada na Bula</t>
        </is>
      </c>
      <c r="H925" s="7" t="inlineStr">
        <is>
          <t>100 a 300 L/ha</t>
        </is>
      </c>
      <c r="I925" s="7" t="inlineStr">
        <is>
          <t>20 a 40 L/ha</t>
        </is>
      </c>
      <c r="J925" s="7" t="inlineStr">
        <is>
          <t>21 dias</t>
        </is>
      </c>
    </row>
    <row r="926" ht="22" customHeight="1">
      <c r="A926" s="12" t="inlineStr">
        <is>
          <t>CUL-0922</t>
        </is>
      </c>
      <c r="B926" s="11" t="n">
        <v>182</v>
      </c>
      <c r="C926" s="13" t="inlineStr">
        <is>
          <t>Nº 43219</t>
        </is>
      </c>
      <c r="D926" s="14" t="inlineStr">
        <is>
          <t>CLORPIRIFOS 480 EC GHARDA</t>
        </is>
      </c>
      <c r="E926" s="13" t="inlineStr">
        <is>
          <t>Pulverização Agrícola Conforme Bula</t>
        </is>
      </c>
      <c r="F926" s="13" t="inlineStr">
        <is>
          <t>Algodão</t>
        </is>
      </c>
      <c r="G926" s="13" t="inlineStr">
        <is>
          <t>Cultura Autorizada na Bula</t>
        </is>
      </c>
      <c r="H926" s="13" t="inlineStr">
        <is>
          <t>100 a 300 L/ha</t>
        </is>
      </c>
      <c r="I926" s="13" t="inlineStr">
        <is>
          <t>20 a 40 L/ha</t>
        </is>
      </c>
      <c r="J926" s="13" t="inlineStr">
        <is>
          <t>21 dias</t>
        </is>
      </c>
    </row>
    <row r="927" ht="22" customHeight="1">
      <c r="A927" s="6" t="inlineStr">
        <is>
          <t>CUL-0923</t>
        </is>
      </c>
      <c r="B927" s="5" t="n">
        <v>182</v>
      </c>
      <c r="C927" s="7" t="inlineStr">
        <is>
          <t>Nº 43219</t>
        </is>
      </c>
      <c r="D927" s="8" t="inlineStr">
        <is>
          <t>CLORPIRIFOS 480 EC GHARDA</t>
        </is>
      </c>
      <c r="E927" s="7" t="inlineStr">
        <is>
          <t>Pulverização Agrícola Conforme Bula</t>
        </is>
      </c>
      <c r="F927" s="7" t="inlineStr">
        <is>
          <t>Café</t>
        </is>
      </c>
      <c r="G927" s="7" t="inlineStr">
        <is>
          <t>Cultura Autorizada na Bula</t>
        </is>
      </c>
      <c r="H927" s="7" t="inlineStr">
        <is>
          <t>100 a 300 L/ha</t>
        </is>
      </c>
      <c r="I927" s="7" t="inlineStr">
        <is>
          <t>20 a 40 L/ha</t>
        </is>
      </c>
      <c r="J927" s="7" t="inlineStr">
        <is>
          <t>21 dias</t>
        </is>
      </c>
    </row>
    <row r="928" ht="22" customHeight="1">
      <c r="A928" s="12" t="inlineStr">
        <is>
          <t>CUL-0924</t>
        </is>
      </c>
      <c r="B928" s="11" t="n">
        <v>182</v>
      </c>
      <c r="C928" s="13" t="inlineStr">
        <is>
          <t>Nº 43219</t>
        </is>
      </c>
      <c r="D928" s="14" t="inlineStr">
        <is>
          <t>CLORPIRIFOS 480 EC GHARDA</t>
        </is>
      </c>
      <c r="E928" s="13" t="inlineStr">
        <is>
          <t>Pulverização Agrícola Conforme Bula</t>
        </is>
      </c>
      <c r="F928" s="13" t="inlineStr">
        <is>
          <t>Citros</t>
        </is>
      </c>
      <c r="G928" s="13" t="inlineStr">
        <is>
          <t>Cultura Autorizada na Bula</t>
        </is>
      </c>
      <c r="H928" s="13" t="inlineStr">
        <is>
          <t>100 a 300 L/ha</t>
        </is>
      </c>
      <c r="I928" s="13" t="inlineStr">
        <is>
          <t>20 a 40 L/ha</t>
        </is>
      </c>
      <c r="J928" s="13" t="inlineStr">
        <is>
          <t>21 dias</t>
        </is>
      </c>
    </row>
    <row r="929" ht="22" customHeight="1">
      <c r="A929" s="6" t="inlineStr">
        <is>
          <t>CUL-0925</t>
        </is>
      </c>
      <c r="B929" s="5" t="n">
        <v>182</v>
      </c>
      <c r="C929" s="7" t="inlineStr">
        <is>
          <t>Nº 43219</t>
        </is>
      </c>
      <c r="D929" s="8" t="inlineStr">
        <is>
          <t>CLORPIRIFOS 480 EC GHARDA</t>
        </is>
      </c>
      <c r="E929" s="7" t="inlineStr">
        <is>
          <t>Pulverização Agrícola Conforme Bula</t>
        </is>
      </c>
      <c r="F929" s="7" t="inlineStr">
        <is>
          <t>Feijão</t>
        </is>
      </c>
      <c r="G929" s="7" t="inlineStr">
        <is>
          <t>Cultura Autorizada na Bula</t>
        </is>
      </c>
      <c r="H929" s="7" t="inlineStr">
        <is>
          <t>100 a 300 L/ha</t>
        </is>
      </c>
      <c r="I929" s="7" t="inlineStr">
        <is>
          <t>20 a 40 L/ha</t>
        </is>
      </c>
      <c r="J929" s="7" t="inlineStr">
        <is>
          <t>25 dias</t>
        </is>
      </c>
    </row>
    <row r="930" ht="22" customHeight="1">
      <c r="A930" s="12" t="inlineStr">
        <is>
          <t>CUL-0926</t>
        </is>
      </c>
      <c r="B930" s="11" t="n">
        <v>182</v>
      </c>
      <c r="C930" s="13" t="inlineStr">
        <is>
          <t>Nº 43219</t>
        </is>
      </c>
      <c r="D930" s="14" t="inlineStr">
        <is>
          <t>CLORPIRIFOS 480 EC GHARDA</t>
        </is>
      </c>
      <c r="E930" s="13" t="inlineStr">
        <is>
          <t>Pulverização Agrícola Conforme Bula</t>
        </is>
      </c>
      <c r="F930" s="13" t="inlineStr">
        <is>
          <t>Batata</t>
        </is>
      </c>
      <c r="G930" s="13" t="inlineStr">
        <is>
          <t>Cultura Autorizada na Bula</t>
        </is>
      </c>
      <c r="H930" s="13" t="inlineStr">
        <is>
          <t>100 a 300 L/ha</t>
        </is>
      </c>
      <c r="I930" s="13" t="inlineStr">
        <is>
          <t>20 a 40 L/ha</t>
        </is>
      </c>
      <c r="J930" s="13" t="inlineStr">
        <is>
          <t>21 dias</t>
        </is>
      </c>
    </row>
    <row r="931" ht="22" customHeight="1">
      <c r="A931" s="6" t="inlineStr">
        <is>
          <t>CUL-0927</t>
        </is>
      </c>
      <c r="B931" s="5" t="n">
        <v>182</v>
      </c>
      <c r="C931" s="7" t="inlineStr">
        <is>
          <t>Nº 43219</t>
        </is>
      </c>
      <c r="D931" s="8" t="inlineStr">
        <is>
          <t>CLORPIRIFOS 480 EC GHARDA</t>
        </is>
      </c>
      <c r="E931" s="7" t="inlineStr">
        <is>
          <t>Pulverização Agrícola Conforme Bula</t>
        </is>
      </c>
      <c r="F931" s="7" t="inlineStr">
        <is>
          <t>Tomate</t>
        </is>
      </c>
      <c r="G931" s="7" t="inlineStr">
        <is>
          <t>Cultura Autorizada na Bula</t>
        </is>
      </c>
      <c r="H931" s="7" t="inlineStr">
        <is>
          <t>100 a 300 L/ha</t>
        </is>
      </c>
      <c r="I931" s="7" t="inlineStr">
        <is>
          <t>20 a 40 L/ha</t>
        </is>
      </c>
      <c r="J931" s="7" t="inlineStr">
        <is>
          <t>21 dias</t>
        </is>
      </c>
    </row>
    <row r="932" ht="22" customHeight="1">
      <c r="A932" s="12" t="inlineStr">
        <is>
          <t>CUL-0928</t>
        </is>
      </c>
      <c r="B932" s="11" t="n">
        <v>182</v>
      </c>
      <c r="C932" s="13" t="inlineStr">
        <is>
          <t>Nº 43219</t>
        </is>
      </c>
      <c r="D932" s="14" t="inlineStr">
        <is>
          <t>CLORPIRIFOS 480 EC GHARDA</t>
        </is>
      </c>
      <c r="E932" s="13" t="inlineStr">
        <is>
          <t>Pulverização Agrícola Conforme Bula</t>
        </is>
      </c>
      <c r="F932" s="13" t="inlineStr">
        <is>
          <t>Trigo</t>
        </is>
      </c>
      <c r="G932" s="13" t="inlineStr">
        <is>
          <t>Cultura Autorizada na Bula</t>
        </is>
      </c>
      <c r="H932" s="13" t="inlineStr">
        <is>
          <t>100 a 300 L/ha</t>
        </is>
      </c>
      <c r="I932" s="13" t="inlineStr">
        <is>
          <t>20 a 40 L/ha</t>
        </is>
      </c>
      <c r="J932" s="13" t="inlineStr">
        <is>
          <t>21 dias</t>
        </is>
      </c>
    </row>
    <row r="933" ht="22" customHeight="1">
      <c r="A933" s="6" t="inlineStr">
        <is>
          <t>CUL-0929</t>
        </is>
      </c>
      <c r="B933" s="5" t="n">
        <v>183</v>
      </c>
      <c r="C933" s="7" t="inlineStr">
        <is>
          <t>Nº 26820</t>
        </is>
      </c>
      <c r="D933" s="8" t="inlineStr">
        <is>
          <t>CRUZARO 480 EC</t>
        </is>
      </c>
      <c r="E933" s="7" t="inlineStr">
        <is>
          <t>Pulverização Agrícola Conforme Bula</t>
        </is>
      </c>
      <c r="F933" s="7" t="inlineStr">
        <is>
          <t>Soja (Dessecação Pré-Plantio)</t>
        </is>
      </c>
      <c r="G933" s="7" t="inlineStr">
        <is>
          <t>Cultura Autorizada na Bula</t>
        </is>
      </c>
      <c r="H933" s="7" t="inlineStr">
        <is>
          <t>100 a 300 L/ha</t>
        </is>
      </c>
      <c r="I933" s="7" t="inlineStr">
        <is>
          <t>20 a 40 L/ha</t>
        </is>
      </c>
      <c r="J933" s="7" t="inlineStr">
        <is>
          <t>N/D</t>
        </is>
      </c>
    </row>
    <row r="934" ht="22" customHeight="1">
      <c r="A934" s="12" t="inlineStr">
        <is>
          <t>CUL-0930</t>
        </is>
      </c>
      <c r="B934" s="11" t="n">
        <v>183</v>
      </c>
      <c r="C934" s="13" t="inlineStr">
        <is>
          <t>Nº 26820</t>
        </is>
      </c>
      <c r="D934" s="14" t="inlineStr">
        <is>
          <t>CRUZARO 480 EC</t>
        </is>
      </c>
      <c r="E934" s="13" t="inlineStr">
        <is>
          <t>Pulverização Agrícola Conforme Bula</t>
        </is>
      </c>
      <c r="F934" s="13" t="inlineStr">
        <is>
          <t>Pastagens</t>
        </is>
      </c>
      <c r="G934" s="13" t="inlineStr">
        <is>
          <t>Cultura Autorizada na Bula</t>
        </is>
      </c>
      <c r="H934" s="13" t="inlineStr">
        <is>
          <t>100 a 300 L/ha</t>
        </is>
      </c>
      <c r="I934" s="13" t="inlineStr">
        <is>
          <t>20 a 40 L/ha</t>
        </is>
      </c>
      <c r="J934" s="13" t="inlineStr">
        <is>
          <t>N/D</t>
        </is>
      </c>
    </row>
    <row r="935" ht="22" customHeight="1">
      <c r="A935" s="6" t="inlineStr">
        <is>
          <t>CUL-0931</t>
        </is>
      </c>
      <c r="B935" s="5" t="n">
        <v>183</v>
      </c>
      <c r="C935" s="7" t="inlineStr">
        <is>
          <t>Nº 26820</t>
        </is>
      </c>
      <c r="D935" s="8" t="inlineStr">
        <is>
          <t>CRUZARO 480 EC</t>
        </is>
      </c>
      <c r="E935" s="7" t="inlineStr">
        <is>
          <t>Pulverização Agrícola Conforme Bula</t>
        </is>
      </c>
      <c r="F935" s="7" t="inlineStr">
        <is>
          <t>Arroz Irrigado</t>
        </is>
      </c>
      <c r="G935" s="7" t="inlineStr">
        <is>
          <t>Cultura Autorizada na Bula</t>
        </is>
      </c>
      <c r="H935" s="7" t="inlineStr">
        <is>
          <t>100 a 300 L/ha</t>
        </is>
      </c>
      <c r="I935" s="7" t="inlineStr">
        <is>
          <t>20 a 40 L/ha</t>
        </is>
      </c>
      <c r="J935" s="7" t="inlineStr">
        <is>
          <t>30 dias</t>
        </is>
      </c>
    </row>
    <row r="936" ht="22" customHeight="1">
      <c r="A936" s="12" t="inlineStr">
        <is>
          <t>CUL-0932</t>
        </is>
      </c>
      <c r="B936" s="11" t="n">
        <v>183</v>
      </c>
      <c r="C936" s="13" t="inlineStr">
        <is>
          <t>Nº 26820</t>
        </is>
      </c>
      <c r="D936" s="14" t="inlineStr">
        <is>
          <t>CRUZARO 480 EC</t>
        </is>
      </c>
      <c r="E936" s="13" t="inlineStr">
        <is>
          <t>Pulverização Agrícola Conforme Bula</t>
        </is>
      </c>
      <c r="F936" s="13" t="inlineStr">
        <is>
          <t>Eucalipto</t>
        </is>
      </c>
      <c r="G936" s="13" t="inlineStr">
        <is>
          <t>Cultura Autorizada na Bula</t>
        </is>
      </c>
      <c r="H936" s="13" t="inlineStr">
        <is>
          <t>100 a 300 L/ha</t>
        </is>
      </c>
      <c r="I936" s="13" t="inlineStr">
        <is>
          <t>20 a 40 L/ha</t>
        </is>
      </c>
      <c r="J936" s="13" t="inlineStr">
        <is>
          <t>U.N.A.</t>
        </is>
      </c>
    </row>
    <row r="937" ht="22" customHeight="1">
      <c r="A937" s="6" t="inlineStr">
        <is>
          <t>CUL-0933</t>
        </is>
      </c>
      <c r="B937" s="5" t="n">
        <v>184</v>
      </c>
      <c r="C937" s="7" t="inlineStr">
        <is>
          <t>Nº 3915</t>
        </is>
      </c>
      <c r="D937" s="8" t="inlineStr">
        <is>
          <t>CYPER COPA 250 EC</t>
        </is>
      </c>
      <c r="E937" s="7" t="inlineStr">
        <is>
          <t>Pulverização Agrícola Conforme Bula</t>
        </is>
      </c>
      <c r="F937" s="7" t="inlineStr">
        <is>
          <t>Soja</t>
        </is>
      </c>
      <c r="G937" s="7" t="inlineStr">
        <is>
          <t>Cultura Autorizada na Bula</t>
        </is>
      </c>
      <c r="H937" s="7" t="inlineStr">
        <is>
          <t>100 a 300 L/ha</t>
        </is>
      </c>
      <c r="I937" s="7" t="inlineStr">
        <is>
          <t>20 a 40 L/ha</t>
        </is>
      </c>
      <c r="J937" s="7" t="inlineStr">
        <is>
          <t>21 dias</t>
        </is>
      </c>
    </row>
    <row r="938" ht="22" customHeight="1">
      <c r="A938" s="12" t="inlineStr">
        <is>
          <t>CUL-0934</t>
        </is>
      </c>
      <c r="B938" s="11" t="n">
        <v>184</v>
      </c>
      <c r="C938" s="13" t="inlineStr">
        <is>
          <t>Nº 3915</t>
        </is>
      </c>
      <c r="D938" s="14" t="inlineStr">
        <is>
          <t>CYPER COPA 250 EC</t>
        </is>
      </c>
      <c r="E938" s="13" t="inlineStr">
        <is>
          <t>Pulverização Agrícola Conforme Bula</t>
        </is>
      </c>
      <c r="F938" s="13" t="inlineStr">
        <is>
          <t>Milho</t>
        </is>
      </c>
      <c r="G938" s="13" t="inlineStr">
        <is>
          <t>Cultura Autorizada na Bula</t>
        </is>
      </c>
      <c r="H938" s="13" t="inlineStr">
        <is>
          <t>100 a 300 L/ha</t>
        </is>
      </c>
      <c r="I938" s="13" t="inlineStr">
        <is>
          <t>20 a 40 L/ha</t>
        </is>
      </c>
      <c r="J938" s="13" t="inlineStr">
        <is>
          <t>21 dias</t>
        </is>
      </c>
    </row>
    <row r="939" ht="22" customHeight="1">
      <c r="A939" s="6" t="inlineStr">
        <is>
          <t>CUL-0935</t>
        </is>
      </c>
      <c r="B939" s="5" t="n">
        <v>184</v>
      </c>
      <c r="C939" s="7" t="inlineStr">
        <is>
          <t>Nº 3915</t>
        </is>
      </c>
      <c r="D939" s="8" t="inlineStr">
        <is>
          <t>CYPER COPA 250 EC</t>
        </is>
      </c>
      <c r="E939" s="7" t="inlineStr">
        <is>
          <t>Pulverização Agrícola Conforme Bula</t>
        </is>
      </c>
      <c r="F939" s="7" t="inlineStr">
        <is>
          <t>Algodão</t>
        </is>
      </c>
      <c r="G939" s="7" t="inlineStr">
        <is>
          <t>Cultura Autorizada na Bula</t>
        </is>
      </c>
      <c r="H939" s="7" t="inlineStr">
        <is>
          <t>100 a 300 L/ha</t>
        </is>
      </c>
      <c r="I939" s="7" t="inlineStr">
        <is>
          <t>20 a 40 L/ha</t>
        </is>
      </c>
      <c r="J939" s="7" t="inlineStr">
        <is>
          <t>21 dias</t>
        </is>
      </c>
    </row>
    <row r="940" ht="22" customHeight="1">
      <c r="A940" s="12" t="inlineStr">
        <is>
          <t>CUL-0936</t>
        </is>
      </c>
      <c r="B940" s="11" t="n">
        <v>184</v>
      </c>
      <c r="C940" s="13" t="inlineStr">
        <is>
          <t>Nº 3915</t>
        </is>
      </c>
      <c r="D940" s="14" t="inlineStr">
        <is>
          <t>CYPER COPA 250 EC</t>
        </is>
      </c>
      <c r="E940" s="13" t="inlineStr">
        <is>
          <t>Pulverização Agrícola Conforme Bula</t>
        </is>
      </c>
      <c r="F940" s="13" t="inlineStr">
        <is>
          <t>Feijão</t>
        </is>
      </c>
      <c r="G940" s="13" t="inlineStr">
        <is>
          <t>Cultura Autorizada na Bula</t>
        </is>
      </c>
      <c r="H940" s="13" t="inlineStr">
        <is>
          <t>100 a 300 L/ha</t>
        </is>
      </c>
      <c r="I940" s="13" t="inlineStr">
        <is>
          <t>20 a 40 L/ha</t>
        </is>
      </c>
      <c r="J940" s="13" t="inlineStr">
        <is>
          <t>14 dias</t>
        </is>
      </c>
    </row>
    <row r="941" ht="22" customHeight="1">
      <c r="A941" s="6" t="inlineStr">
        <is>
          <t>CUL-0937</t>
        </is>
      </c>
      <c r="B941" s="5" t="n">
        <v>185</v>
      </c>
      <c r="C941" s="7" t="inlineStr">
        <is>
          <t>Nº 22221</t>
        </is>
      </c>
      <c r="D941" s="8" t="inlineStr">
        <is>
          <t>GRASIDIM</t>
        </is>
      </c>
      <c r="E941" s="7" t="inlineStr">
        <is>
          <t>Pulverização Agrícola Conforme Bula</t>
        </is>
      </c>
      <c r="F941" s="7" t="inlineStr">
        <is>
          <t>Soja</t>
        </is>
      </c>
      <c r="G941" s="7" t="inlineStr">
        <is>
          <t>Cultura Autorizada na Bula</t>
        </is>
      </c>
      <c r="H941" s="7" t="inlineStr">
        <is>
          <t>100 a 300 L/ha</t>
        </is>
      </c>
      <c r="I941" s="7" t="inlineStr">
        <is>
          <t>20 a 40 L/ha</t>
        </is>
      </c>
      <c r="J941" s="7" t="inlineStr">
        <is>
          <t>60 dias</t>
        </is>
      </c>
    </row>
    <row r="942" ht="22" customHeight="1">
      <c r="A942" s="12" t="inlineStr">
        <is>
          <t>CUL-0938</t>
        </is>
      </c>
      <c r="B942" s="11" t="n">
        <v>185</v>
      </c>
      <c r="C942" s="13" t="inlineStr">
        <is>
          <t>Nº 22221</t>
        </is>
      </c>
      <c r="D942" s="14" t="inlineStr">
        <is>
          <t>GRASIDIM</t>
        </is>
      </c>
      <c r="E942" s="13" t="inlineStr">
        <is>
          <t>Pulverização Agrícola Conforme Bula</t>
        </is>
      </c>
      <c r="F942" s="13" t="inlineStr">
        <is>
          <t>Algodão</t>
        </is>
      </c>
      <c r="G942" s="13" t="inlineStr">
        <is>
          <t>Cultura Autorizada na Bula</t>
        </is>
      </c>
      <c r="H942" s="13" t="inlineStr">
        <is>
          <t>100 a 300 L/ha</t>
        </is>
      </c>
      <c r="I942" s="13" t="inlineStr">
        <is>
          <t>20 a 40 L/ha</t>
        </is>
      </c>
      <c r="J942" s="13" t="inlineStr">
        <is>
          <t>58 dias</t>
        </is>
      </c>
    </row>
    <row r="943" ht="22" customHeight="1">
      <c r="A943" s="6" t="inlineStr">
        <is>
          <t>CUL-0939</t>
        </is>
      </c>
      <c r="B943" s="5" t="n">
        <v>185</v>
      </c>
      <c r="C943" s="7" t="inlineStr">
        <is>
          <t>Nº 22221</t>
        </is>
      </c>
      <c r="D943" s="8" t="inlineStr">
        <is>
          <t>GRASIDIM</t>
        </is>
      </c>
      <c r="E943" s="7" t="inlineStr">
        <is>
          <t>Pulverização Agrícola Conforme Bula</t>
        </is>
      </c>
      <c r="F943" s="7" t="inlineStr">
        <is>
          <t>Feijão</t>
        </is>
      </c>
      <c r="G943" s="7" t="inlineStr">
        <is>
          <t>Cultura Autorizada na Bula</t>
        </is>
      </c>
      <c r="H943" s="7" t="inlineStr">
        <is>
          <t>100 a 300 L/ha</t>
        </is>
      </c>
      <c r="I943" s="7" t="inlineStr">
        <is>
          <t>20 a 40 L/ha</t>
        </is>
      </c>
      <c r="J943" s="7" t="inlineStr">
        <is>
          <t>40 dias</t>
        </is>
      </c>
    </row>
    <row r="944" ht="22" customHeight="1">
      <c r="A944" s="12" t="inlineStr">
        <is>
          <t>CUL-0940</t>
        </is>
      </c>
      <c r="B944" s="11" t="n">
        <v>185</v>
      </c>
      <c r="C944" s="13" t="inlineStr">
        <is>
          <t>Nº 22221</t>
        </is>
      </c>
      <c r="D944" s="14" t="inlineStr">
        <is>
          <t>GRASIDIM</t>
        </is>
      </c>
      <c r="E944" s="13" t="inlineStr">
        <is>
          <t>Pulverização Agrícola Conforme Bula</t>
        </is>
      </c>
      <c r="F944" s="13" t="inlineStr">
        <is>
          <t>Café</t>
        </is>
      </c>
      <c r="G944" s="13" t="inlineStr">
        <is>
          <t>Cultura Autorizada na Bula</t>
        </is>
      </c>
      <c r="H944" s="13" t="inlineStr">
        <is>
          <t>100 a 300 L/ha</t>
        </is>
      </c>
      <c r="I944" s="13" t="inlineStr">
        <is>
          <t>20 a 40 L/ha</t>
        </is>
      </c>
      <c r="J944" s="13" t="inlineStr">
        <is>
          <t>14 dias</t>
        </is>
      </c>
    </row>
    <row r="945" ht="22" customHeight="1">
      <c r="A945" s="6" t="inlineStr">
        <is>
          <t>CUL-0941</t>
        </is>
      </c>
      <c r="B945" s="5" t="n">
        <v>185</v>
      </c>
      <c r="C945" s="7" t="inlineStr">
        <is>
          <t>Nº 22221</t>
        </is>
      </c>
      <c r="D945" s="8" t="inlineStr">
        <is>
          <t>GRASIDIM</t>
        </is>
      </c>
      <c r="E945" s="7" t="inlineStr">
        <is>
          <t>Pulverização Agrícola Conforme Bula</t>
        </is>
      </c>
      <c r="F945" s="7" t="inlineStr">
        <is>
          <t>Batata</t>
        </is>
      </c>
      <c r="G945" s="7" t="inlineStr">
        <is>
          <t>Cultura Autorizada na Bula</t>
        </is>
      </c>
      <c r="H945" s="7" t="inlineStr">
        <is>
          <t>100 a 300 L/ha</t>
        </is>
      </c>
      <c r="I945" s="7" t="inlineStr">
        <is>
          <t>20 a 40 L/ha</t>
        </is>
      </c>
      <c r="J945" s="7" t="inlineStr">
        <is>
          <t>20 dias</t>
        </is>
      </c>
    </row>
    <row r="946" ht="22" customHeight="1">
      <c r="A946" s="12" t="inlineStr">
        <is>
          <t>CUL-0942</t>
        </is>
      </c>
      <c r="B946" s="11" t="n">
        <v>185</v>
      </c>
      <c r="C946" s="13" t="inlineStr">
        <is>
          <t>Nº 22221</t>
        </is>
      </c>
      <c r="D946" s="14" t="inlineStr">
        <is>
          <t>GRASIDIM</t>
        </is>
      </c>
      <c r="E946" s="13" t="inlineStr">
        <is>
          <t>Pulverização Agrícola Conforme Bula</t>
        </is>
      </c>
      <c r="F946" s="13" t="inlineStr">
        <is>
          <t>Mandioca</t>
        </is>
      </c>
      <c r="G946" s="13" t="inlineStr">
        <is>
          <t>Cultura Autorizada na Bula</t>
        </is>
      </c>
      <c r="H946" s="13" t="inlineStr">
        <is>
          <t>100 a 300 L/ha</t>
        </is>
      </c>
      <c r="I946" s="13" t="inlineStr">
        <is>
          <t>20 a 40 L/ha</t>
        </is>
      </c>
      <c r="J946" s="13" t="inlineStr">
        <is>
          <t>90 dias</t>
        </is>
      </c>
    </row>
    <row r="947" ht="22" customHeight="1">
      <c r="A947" s="6" t="inlineStr">
        <is>
          <t>CUL-0943</t>
        </is>
      </c>
      <c r="B947" s="5" t="n">
        <v>185</v>
      </c>
      <c r="C947" s="7" t="inlineStr">
        <is>
          <t>Nº 22221</t>
        </is>
      </c>
      <c r="D947" s="8" t="inlineStr">
        <is>
          <t>GRASIDIM</t>
        </is>
      </c>
      <c r="E947" s="7" t="inlineStr">
        <is>
          <t>Pulverização Agrícola Conforme Bula</t>
        </is>
      </c>
      <c r="F947" s="7" t="inlineStr">
        <is>
          <t>Tomate</t>
        </is>
      </c>
      <c r="G947" s="7" t="inlineStr">
        <is>
          <t>Cultura Autorizada na Bula</t>
        </is>
      </c>
      <c r="H947" s="7" t="inlineStr">
        <is>
          <t>100 a 300 L/ha</t>
        </is>
      </c>
      <c r="I947" s="7" t="inlineStr">
        <is>
          <t>20 a 40 L/ha</t>
        </is>
      </c>
      <c r="J947" s="7" t="inlineStr">
        <is>
          <t>20 dias</t>
        </is>
      </c>
    </row>
    <row r="948" ht="22" customHeight="1">
      <c r="A948" s="12" t="inlineStr">
        <is>
          <t>CUL-0944</t>
        </is>
      </c>
      <c r="B948" s="11" t="n">
        <v>186</v>
      </c>
      <c r="C948" s="13" t="inlineStr">
        <is>
          <t>Nº 6421</t>
        </is>
      </c>
      <c r="D948" s="14" t="inlineStr">
        <is>
          <t>KINGSTAR XTRA</t>
        </is>
      </c>
      <c r="E948" s="13" t="inlineStr">
        <is>
          <t>Pulverização Agrícola Conforme Bula</t>
        </is>
      </c>
      <c r="F948" s="13" t="inlineStr">
        <is>
          <t>Soja</t>
        </is>
      </c>
      <c r="G948" s="13" t="inlineStr">
        <is>
          <t>Cultura Autorizada na Bula</t>
        </is>
      </c>
      <c r="H948" s="13" t="inlineStr">
        <is>
          <t>100 a 300 L/ha</t>
        </is>
      </c>
      <c r="I948" s="13" t="inlineStr">
        <is>
          <t>20 a 40 L/ha</t>
        </is>
      </c>
      <c r="J948" s="13" t="inlineStr">
        <is>
          <t>30 dias</t>
        </is>
      </c>
    </row>
    <row r="949" ht="22" customHeight="1">
      <c r="A949" s="6" t="inlineStr">
        <is>
          <t>CUL-0945</t>
        </is>
      </c>
      <c r="B949" s="5" t="n">
        <v>186</v>
      </c>
      <c r="C949" s="7" t="inlineStr">
        <is>
          <t>Nº 6421</t>
        </is>
      </c>
      <c r="D949" s="8" t="inlineStr">
        <is>
          <t>KINGSTAR XTRA</t>
        </is>
      </c>
      <c r="E949" s="7" t="inlineStr">
        <is>
          <t>Pulverização Agrícola Conforme Bula</t>
        </is>
      </c>
      <c r="F949" s="7" t="inlineStr">
        <is>
          <t>Milho</t>
        </is>
      </c>
      <c r="G949" s="7" t="inlineStr">
        <is>
          <t>Cultura Autorizada na Bula</t>
        </is>
      </c>
      <c r="H949" s="7" t="inlineStr">
        <is>
          <t>100 a 300 L/ha</t>
        </is>
      </c>
      <c r="I949" s="7" t="inlineStr">
        <is>
          <t>20 a 40 L/ha</t>
        </is>
      </c>
      <c r="J949" s="7" t="inlineStr">
        <is>
          <t>42 dias</t>
        </is>
      </c>
    </row>
    <row r="950" ht="22" customHeight="1">
      <c r="A950" s="12" t="inlineStr">
        <is>
          <t>CUL-0946</t>
        </is>
      </c>
      <c r="B950" s="11" t="n">
        <v>186</v>
      </c>
      <c r="C950" s="13" t="inlineStr">
        <is>
          <t>Nº 6421</t>
        </is>
      </c>
      <c r="D950" s="14" t="inlineStr">
        <is>
          <t>KINGSTAR XTRA</t>
        </is>
      </c>
      <c r="E950" s="13" t="inlineStr">
        <is>
          <t>Pulverização Agrícola Conforme Bula</t>
        </is>
      </c>
      <c r="F950" s="13" t="inlineStr">
        <is>
          <t>Algodão</t>
        </is>
      </c>
      <c r="G950" s="13" t="inlineStr">
        <is>
          <t>Cultura Autorizada na Bula</t>
        </is>
      </c>
      <c r="H950" s="13" t="inlineStr">
        <is>
          <t>100 a 300 L/ha</t>
        </is>
      </c>
      <c r="I950" s="13" t="inlineStr">
        <is>
          <t>20 a 40 L/ha</t>
        </is>
      </c>
      <c r="J950" s="13" t="inlineStr">
        <is>
          <t>30 dias</t>
        </is>
      </c>
    </row>
    <row r="951" ht="22" customHeight="1">
      <c r="A951" s="6" t="inlineStr">
        <is>
          <t>CUL-0947</t>
        </is>
      </c>
      <c r="B951" s="5" t="n">
        <v>186</v>
      </c>
      <c r="C951" s="7" t="inlineStr">
        <is>
          <t>Nº 6421</t>
        </is>
      </c>
      <c r="D951" s="8" t="inlineStr">
        <is>
          <t>KINGSTAR XTRA</t>
        </is>
      </c>
      <c r="E951" s="7" t="inlineStr">
        <is>
          <t>Pulverização Agrícola Conforme Bula</t>
        </is>
      </c>
      <c r="F951" s="7" t="inlineStr">
        <is>
          <t>Café</t>
        </is>
      </c>
      <c r="G951" s="7" t="inlineStr">
        <is>
          <t>Cultura Autorizada na Bula</t>
        </is>
      </c>
      <c r="H951" s="7" t="inlineStr">
        <is>
          <t>100 a 300 L/ha</t>
        </is>
      </c>
      <c r="I951" s="7" t="inlineStr">
        <is>
          <t>20 a 40 L/ha</t>
        </is>
      </c>
      <c r="J951" s="7" t="inlineStr">
        <is>
          <t>30 dias</t>
        </is>
      </c>
    </row>
    <row r="952" ht="22" customHeight="1">
      <c r="A952" s="12" t="inlineStr">
        <is>
          <t>CUL-0948</t>
        </is>
      </c>
      <c r="B952" s="11" t="n">
        <v>186</v>
      </c>
      <c r="C952" s="13" t="inlineStr">
        <is>
          <t>Nº 6421</t>
        </is>
      </c>
      <c r="D952" s="14" t="inlineStr">
        <is>
          <t>KINGSTAR XTRA</t>
        </is>
      </c>
      <c r="E952" s="13" t="inlineStr">
        <is>
          <t>Pulverização Agrícola Conforme Bula</t>
        </is>
      </c>
      <c r="F952" s="13" t="inlineStr">
        <is>
          <t>Feijão</t>
        </is>
      </c>
      <c r="G952" s="13" t="inlineStr">
        <is>
          <t>Cultura Autorizada na Bula</t>
        </is>
      </c>
      <c r="H952" s="13" t="inlineStr">
        <is>
          <t>100 a 300 L/ha</t>
        </is>
      </c>
      <c r="I952" s="13" t="inlineStr">
        <is>
          <t>20 a 40 L/ha</t>
        </is>
      </c>
      <c r="J952" s="13" t="inlineStr">
        <is>
          <t>14 dias</t>
        </is>
      </c>
    </row>
    <row r="953" ht="22" customHeight="1">
      <c r="A953" s="6" t="inlineStr">
        <is>
          <t>CUL-0949</t>
        </is>
      </c>
      <c r="B953" s="5" t="n">
        <v>186</v>
      </c>
      <c r="C953" s="7" t="inlineStr">
        <is>
          <t>Nº 6421</t>
        </is>
      </c>
      <c r="D953" s="8" t="inlineStr">
        <is>
          <t>KINGSTAR XTRA</t>
        </is>
      </c>
      <c r="E953" s="7" t="inlineStr">
        <is>
          <t>Pulverização Agrícola Conforme Bula</t>
        </is>
      </c>
      <c r="F953" s="7" t="inlineStr">
        <is>
          <t>Trigo</t>
        </is>
      </c>
      <c r="G953" s="7" t="inlineStr">
        <is>
          <t>Cultura Autorizada na Bula</t>
        </is>
      </c>
      <c r="H953" s="7" t="inlineStr">
        <is>
          <t>100 a 300 L/ha</t>
        </is>
      </c>
      <c r="I953" s="7" t="inlineStr">
        <is>
          <t>20 a 40 L/ha</t>
        </is>
      </c>
      <c r="J953" s="7" t="inlineStr">
        <is>
          <t>30 dias</t>
        </is>
      </c>
    </row>
    <row r="954" ht="22" customHeight="1">
      <c r="A954" s="12" t="inlineStr">
        <is>
          <t>CUL-0950</t>
        </is>
      </c>
      <c r="B954" s="11" t="n">
        <v>187</v>
      </c>
      <c r="C954" s="13" t="inlineStr">
        <is>
          <t>Nº 31522</t>
        </is>
      </c>
      <c r="D954" s="14" t="inlineStr">
        <is>
          <t>METOMY 900</t>
        </is>
      </c>
      <c r="E954" s="13" t="inlineStr">
        <is>
          <t>Pulverização Agrícola Conforme Bula</t>
        </is>
      </c>
      <c r="F954" s="13" t="inlineStr">
        <is>
          <t>Soja</t>
        </is>
      </c>
      <c r="G954" s="13" t="inlineStr">
        <is>
          <t>Cultura Autorizada na Bula</t>
        </is>
      </c>
      <c r="H954" s="13" t="inlineStr">
        <is>
          <t>100 a 300 L/ha</t>
        </is>
      </c>
      <c r="I954" s="13" t="inlineStr">
        <is>
          <t>20 a 40 L/ha</t>
        </is>
      </c>
      <c r="J954" s="13" t="inlineStr">
        <is>
          <t>14 dias</t>
        </is>
      </c>
    </row>
    <row r="955" ht="22" customHeight="1">
      <c r="A955" s="6" t="inlineStr">
        <is>
          <t>CUL-0951</t>
        </is>
      </c>
      <c r="B955" s="5" t="n">
        <v>187</v>
      </c>
      <c r="C955" s="7" t="inlineStr">
        <is>
          <t>Nº 31522</t>
        </is>
      </c>
      <c r="D955" s="8" t="inlineStr">
        <is>
          <t>METOMY 900</t>
        </is>
      </c>
      <c r="E955" s="7" t="inlineStr">
        <is>
          <t>Pulverização Agrícola Conforme Bula</t>
        </is>
      </c>
      <c r="F955" s="7" t="inlineStr">
        <is>
          <t>Milho</t>
        </is>
      </c>
      <c r="G955" s="7" t="inlineStr">
        <is>
          <t>Cultura Autorizada na Bula</t>
        </is>
      </c>
      <c r="H955" s="7" t="inlineStr">
        <is>
          <t>100 a 300 L/ha</t>
        </is>
      </c>
      <c r="I955" s="7" t="inlineStr">
        <is>
          <t>20 a 40 L/ha</t>
        </is>
      </c>
      <c r="J955" s="7" t="inlineStr">
        <is>
          <t>14 dias</t>
        </is>
      </c>
    </row>
    <row r="956" ht="22" customHeight="1">
      <c r="A956" s="12" t="inlineStr">
        <is>
          <t>CUL-0952</t>
        </is>
      </c>
      <c r="B956" s="11" t="n">
        <v>187</v>
      </c>
      <c r="C956" s="13" t="inlineStr">
        <is>
          <t>Nº 31522</t>
        </is>
      </c>
      <c r="D956" s="14" t="inlineStr">
        <is>
          <t>METOMY 900</t>
        </is>
      </c>
      <c r="E956" s="13" t="inlineStr">
        <is>
          <t>Pulverização Agrícola Conforme Bula</t>
        </is>
      </c>
      <c r="F956" s="13" t="inlineStr">
        <is>
          <t>Algodão</t>
        </is>
      </c>
      <c r="G956" s="13" t="inlineStr">
        <is>
          <t>Cultura Autorizada na Bula</t>
        </is>
      </c>
      <c r="H956" s="13" t="inlineStr">
        <is>
          <t>100 a 300 L/ha</t>
        </is>
      </c>
      <c r="I956" s="13" t="inlineStr">
        <is>
          <t>20 a 40 L/ha</t>
        </is>
      </c>
      <c r="J956" s="13" t="inlineStr">
        <is>
          <t>14 dias</t>
        </is>
      </c>
    </row>
    <row r="957" ht="22" customHeight="1">
      <c r="A957" s="6" t="inlineStr">
        <is>
          <t>CUL-0953</t>
        </is>
      </c>
      <c r="B957" s="5" t="n">
        <v>187</v>
      </c>
      <c r="C957" s="7" t="inlineStr">
        <is>
          <t>Nº 31522</t>
        </is>
      </c>
      <c r="D957" s="8" t="inlineStr">
        <is>
          <t>METOMY 900</t>
        </is>
      </c>
      <c r="E957" s="7" t="inlineStr">
        <is>
          <t>Pulverização Agrícola Conforme Bula</t>
        </is>
      </c>
      <c r="F957" s="7" t="inlineStr">
        <is>
          <t>Trigo</t>
        </is>
      </c>
      <c r="G957" s="7" t="inlineStr">
        <is>
          <t>Cultura Autorizada na Bula</t>
        </is>
      </c>
      <c r="H957" s="7" t="inlineStr">
        <is>
          <t>100 a 300 L/ha</t>
        </is>
      </c>
      <c r="I957" s="7" t="inlineStr">
        <is>
          <t>20 a 40 L/ha</t>
        </is>
      </c>
      <c r="J957" s="7" t="inlineStr">
        <is>
          <t>14 dias</t>
        </is>
      </c>
    </row>
    <row r="958" ht="22" customHeight="1">
      <c r="A958" s="12" t="inlineStr">
        <is>
          <t>CUL-0954</t>
        </is>
      </c>
      <c r="B958" s="11" t="n">
        <v>187</v>
      </c>
      <c r="C958" s="13" t="inlineStr">
        <is>
          <t>Nº 31522</t>
        </is>
      </c>
      <c r="D958" s="14" t="inlineStr">
        <is>
          <t>METOMY 900</t>
        </is>
      </c>
      <c r="E958" s="13" t="inlineStr">
        <is>
          <t>Pulverização Agrícola Conforme Bula</t>
        </is>
      </c>
      <c r="F958" s="13" t="inlineStr">
        <is>
          <t>Batata</t>
        </is>
      </c>
      <c r="G958" s="13" t="inlineStr">
        <is>
          <t>Cultura Autorizada na Bula</t>
        </is>
      </c>
      <c r="H958" s="13" t="inlineStr">
        <is>
          <t>100 a 300 L/ha</t>
        </is>
      </c>
      <c r="I958" s="13" t="inlineStr">
        <is>
          <t>20 a 40 L/ha</t>
        </is>
      </c>
      <c r="J958" s="13" t="inlineStr">
        <is>
          <t>14 dias</t>
        </is>
      </c>
    </row>
    <row r="959" ht="22" customHeight="1">
      <c r="A959" s="6" t="inlineStr">
        <is>
          <t>CUL-0955</t>
        </is>
      </c>
      <c r="B959" s="5" t="n">
        <v>187</v>
      </c>
      <c r="C959" s="7" t="inlineStr">
        <is>
          <t>Nº 31522</t>
        </is>
      </c>
      <c r="D959" s="8" t="inlineStr">
        <is>
          <t>METOMY 900</t>
        </is>
      </c>
      <c r="E959" s="7" t="inlineStr">
        <is>
          <t>Pulverização Agrícola Conforme Bula</t>
        </is>
      </c>
      <c r="F959" s="7" t="inlineStr">
        <is>
          <t>Tomate</t>
        </is>
      </c>
      <c r="G959" s="7" t="inlineStr">
        <is>
          <t>Cultura Autorizada na Bula</t>
        </is>
      </c>
      <c r="H959" s="7" t="inlineStr">
        <is>
          <t>100 a 300 L/ha</t>
        </is>
      </c>
      <c r="I959" s="7" t="inlineStr">
        <is>
          <t>20 a 40 L/ha</t>
        </is>
      </c>
      <c r="J959" s="7" t="inlineStr">
        <is>
          <t>3 dias</t>
        </is>
      </c>
    </row>
    <row r="960" ht="22" customHeight="1">
      <c r="A960" s="12" t="inlineStr">
        <is>
          <t>CUL-0956</t>
        </is>
      </c>
      <c r="B960" s="11" t="n">
        <v>188</v>
      </c>
      <c r="C960" s="13" t="inlineStr">
        <is>
          <t>Nº 28017</t>
        </is>
      </c>
      <c r="D960" s="14" t="inlineStr">
        <is>
          <t>RODOLIA 200 SP</t>
        </is>
      </c>
      <c r="E960" s="13" t="inlineStr">
        <is>
          <t>Pulverização Agrícola Conforme Bula</t>
        </is>
      </c>
      <c r="F960" s="13" t="inlineStr">
        <is>
          <t>Algodão</t>
        </is>
      </c>
      <c r="G960" s="13" t="inlineStr">
        <is>
          <t>Cultura Autorizada na Bula</t>
        </is>
      </c>
      <c r="H960" s="13" t="inlineStr">
        <is>
          <t>100 a 300 L/ha</t>
        </is>
      </c>
      <c r="I960" s="13" t="inlineStr">
        <is>
          <t>20 a 40 L/ha</t>
        </is>
      </c>
      <c r="J960" s="13" t="inlineStr">
        <is>
          <t>28 dias</t>
        </is>
      </c>
    </row>
    <row r="961" ht="22" customHeight="1">
      <c r="A961" s="6" t="inlineStr">
        <is>
          <t>CUL-0957</t>
        </is>
      </c>
      <c r="B961" s="5" t="n">
        <v>188</v>
      </c>
      <c r="C961" s="7" t="inlineStr">
        <is>
          <t>Nº 28017</t>
        </is>
      </c>
      <c r="D961" s="8" t="inlineStr">
        <is>
          <t>RODOLIA 200 SP</t>
        </is>
      </c>
      <c r="E961" s="7" t="inlineStr">
        <is>
          <t>Pulverização Agrícola Conforme Bula</t>
        </is>
      </c>
      <c r="F961" s="7" t="inlineStr">
        <is>
          <t>Soja</t>
        </is>
      </c>
      <c r="G961" s="7" t="inlineStr">
        <is>
          <t>Cultura Autorizada na Bula</t>
        </is>
      </c>
      <c r="H961" s="7" t="inlineStr">
        <is>
          <t>100 a 300 L/ha</t>
        </is>
      </c>
      <c r="I961" s="7" t="inlineStr">
        <is>
          <t>20 a 40 L/ha</t>
        </is>
      </c>
      <c r="J961" s="7" t="inlineStr">
        <is>
          <t>21 dias</t>
        </is>
      </c>
    </row>
    <row r="962" ht="22" customHeight="1">
      <c r="A962" s="12" t="inlineStr">
        <is>
          <t>CUL-0958</t>
        </is>
      </c>
      <c r="B962" s="11" t="n">
        <v>188</v>
      </c>
      <c r="C962" s="13" t="inlineStr">
        <is>
          <t>Nº 28017</t>
        </is>
      </c>
      <c r="D962" s="14" t="inlineStr">
        <is>
          <t>RODOLIA 200 SP</t>
        </is>
      </c>
      <c r="E962" s="13" t="inlineStr">
        <is>
          <t>Pulverização Agrícola Conforme Bula</t>
        </is>
      </c>
      <c r="F962" s="13" t="inlineStr">
        <is>
          <t>Milho</t>
        </is>
      </c>
      <c r="G962" s="13" t="inlineStr">
        <is>
          <t>Cultura Autorizada na Bula</t>
        </is>
      </c>
      <c r="H962" s="13" t="inlineStr">
        <is>
          <t>100 a 300 L/ha</t>
        </is>
      </c>
      <c r="I962" s="13" t="inlineStr">
        <is>
          <t>20 a 40 L/ha</t>
        </is>
      </c>
      <c r="J962" s="13" t="inlineStr">
        <is>
          <t>30 dias</t>
        </is>
      </c>
    </row>
    <row r="963" ht="22" customHeight="1">
      <c r="A963" s="6" t="inlineStr">
        <is>
          <t>CUL-0959</t>
        </is>
      </c>
      <c r="B963" s="5" t="n">
        <v>188</v>
      </c>
      <c r="C963" s="7" t="inlineStr">
        <is>
          <t>Nº 28017</t>
        </is>
      </c>
      <c r="D963" s="8" t="inlineStr">
        <is>
          <t>RODOLIA 200 SP</t>
        </is>
      </c>
      <c r="E963" s="7" t="inlineStr">
        <is>
          <t>Pulverização Agrícola Conforme Bula</t>
        </is>
      </c>
      <c r="F963" s="7" t="inlineStr">
        <is>
          <t>Feijão</t>
        </is>
      </c>
      <c r="G963" s="7" t="inlineStr">
        <is>
          <t>Cultura Autorizada na Bula</t>
        </is>
      </c>
      <c r="H963" s="7" t="inlineStr">
        <is>
          <t>100 a 300 L/ha</t>
        </is>
      </c>
      <c r="I963" s="7" t="inlineStr">
        <is>
          <t>20 a 40 L/ha</t>
        </is>
      </c>
      <c r="J963" s="7" t="inlineStr">
        <is>
          <t>14 dias</t>
        </is>
      </c>
    </row>
    <row r="964" ht="22" customHeight="1">
      <c r="A964" s="12" t="inlineStr">
        <is>
          <t>CUL-0960</t>
        </is>
      </c>
      <c r="B964" s="11" t="n">
        <v>188</v>
      </c>
      <c r="C964" s="13" t="inlineStr">
        <is>
          <t>Nº 28017</t>
        </is>
      </c>
      <c r="D964" s="14" t="inlineStr">
        <is>
          <t>RODOLIA 200 SP</t>
        </is>
      </c>
      <c r="E964" s="13" t="inlineStr">
        <is>
          <t>Pulverização Agrícola Conforme Bula</t>
        </is>
      </c>
      <c r="F964" s="13" t="inlineStr">
        <is>
          <t>Café</t>
        </is>
      </c>
      <c r="G964" s="13" t="inlineStr">
        <is>
          <t>Cultura Autorizada na Bula</t>
        </is>
      </c>
      <c r="H964" s="13" t="inlineStr">
        <is>
          <t>100 a 300 L/ha</t>
        </is>
      </c>
      <c r="I964" s="13" t="inlineStr">
        <is>
          <t>20 a 40 L/ha</t>
        </is>
      </c>
      <c r="J964" s="13" t="inlineStr">
        <is>
          <t>28 dias</t>
        </is>
      </c>
    </row>
    <row r="965" ht="22" customHeight="1">
      <c r="A965" s="6" t="inlineStr">
        <is>
          <t>CUL-0961</t>
        </is>
      </c>
      <c r="B965" s="5" t="n">
        <v>188</v>
      </c>
      <c r="C965" s="7" t="inlineStr">
        <is>
          <t>Nº 28017</t>
        </is>
      </c>
      <c r="D965" s="8" t="inlineStr">
        <is>
          <t>RODOLIA 200 SP</t>
        </is>
      </c>
      <c r="E965" s="7" t="inlineStr">
        <is>
          <t>Pulverização Agrícola Conforme Bula</t>
        </is>
      </c>
      <c r="F965" s="7" t="inlineStr">
        <is>
          <t>Citros</t>
        </is>
      </c>
      <c r="G965" s="7" t="inlineStr">
        <is>
          <t>Cultura Autorizada na Bula</t>
        </is>
      </c>
      <c r="H965" s="7" t="inlineStr">
        <is>
          <t>100 a 300 L/ha</t>
        </is>
      </c>
      <c r="I965" s="7" t="inlineStr">
        <is>
          <t>20 a 40 L/ha</t>
        </is>
      </c>
      <c r="J965" s="7" t="inlineStr">
        <is>
          <t>7 dias</t>
        </is>
      </c>
    </row>
    <row r="966" ht="22" customHeight="1">
      <c r="A966" s="12" t="inlineStr">
        <is>
          <t>CUL-0962</t>
        </is>
      </c>
      <c r="B966" s="11" t="n">
        <v>188</v>
      </c>
      <c r="C966" s="13" t="inlineStr">
        <is>
          <t>Nº 28017</t>
        </is>
      </c>
      <c r="D966" s="14" t="inlineStr">
        <is>
          <t>RODOLIA 200 SP</t>
        </is>
      </c>
      <c r="E966" s="13" t="inlineStr">
        <is>
          <t>Pulverização Agrícola Conforme Bula</t>
        </is>
      </c>
      <c r="F966" s="13" t="inlineStr">
        <is>
          <t>Tomate</t>
        </is>
      </c>
      <c r="G966" s="13" t="inlineStr">
        <is>
          <t>Cultura Autorizada na Bula</t>
        </is>
      </c>
      <c r="H966" s="13" t="inlineStr">
        <is>
          <t>100 a 300 L/ha</t>
        </is>
      </c>
      <c r="I966" s="13" t="inlineStr">
        <is>
          <t>20 a 40 L/ha</t>
        </is>
      </c>
      <c r="J966" s="13" t="inlineStr">
        <is>
          <t>3 dias</t>
        </is>
      </c>
    </row>
    <row r="967" ht="22" customHeight="1">
      <c r="A967" s="6" t="inlineStr">
        <is>
          <t>CUL-0963</t>
        </is>
      </c>
      <c r="B967" s="5" t="n">
        <v>189</v>
      </c>
      <c r="C967" s="7" t="inlineStr">
        <is>
          <t>Nº 12222</t>
        </is>
      </c>
      <c r="D967" s="8" t="inlineStr">
        <is>
          <t>SUNGAIN XTRA</t>
        </is>
      </c>
      <c r="E967" s="7" t="inlineStr">
        <is>
          <t>Pulverização Agrícola Conforme Bula</t>
        </is>
      </c>
      <c r="F967" s="7" t="inlineStr">
        <is>
          <t>Soja (Pré-Plantio)</t>
        </is>
      </c>
      <c r="G967" s="7" t="inlineStr">
        <is>
          <t>Cultura Autorizada na Bula</t>
        </is>
      </c>
      <c r="H967" s="7" t="inlineStr">
        <is>
          <t>100 a 300 L/ha</t>
        </is>
      </c>
      <c r="I967" s="7" t="inlineStr">
        <is>
          <t>20 a 40 L/ha</t>
        </is>
      </c>
      <c r="J967" s="7" t="inlineStr">
        <is>
          <t>N/D</t>
        </is>
      </c>
    </row>
    <row r="968" ht="22" customHeight="1">
      <c r="A968" s="12" t="inlineStr">
        <is>
          <t>CUL-0964</t>
        </is>
      </c>
      <c r="B968" s="11" t="n">
        <v>189</v>
      </c>
      <c r="C968" s="13" t="inlineStr">
        <is>
          <t>Nº 12222</t>
        </is>
      </c>
      <c r="D968" s="14" t="inlineStr">
        <is>
          <t>SUNGAIN XTRA</t>
        </is>
      </c>
      <c r="E968" s="13" t="inlineStr">
        <is>
          <t>Pulverização Agrícola Conforme Bula</t>
        </is>
      </c>
      <c r="F968" s="13" t="inlineStr">
        <is>
          <t>Algodão</t>
        </is>
      </c>
      <c r="G968" s="13" t="inlineStr">
        <is>
          <t>Cultura Autorizada na Bula</t>
        </is>
      </c>
      <c r="H968" s="13" t="inlineStr">
        <is>
          <t>100 a 300 L/ha</t>
        </is>
      </c>
      <c r="I968" s="13" t="inlineStr">
        <is>
          <t>20 a 40 L/ha</t>
        </is>
      </c>
      <c r="J968" s="13" t="inlineStr">
        <is>
          <t>90 dias</t>
        </is>
      </c>
    </row>
    <row r="969" ht="22" customHeight="1">
      <c r="A969" s="6" t="inlineStr">
        <is>
          <t>CUL-0965</t>
        </is>
      </c>
      <c r="B969" s="5" t="n">
        <v>189</v>
      </c>
      <c r="C969" s="7" t="inlineStr">
        <is>
          <t>Nº 12222</t>
        </is>
      </c>
      <c r="D969" s="8" t="inlineStr">
        <is>
          <t>SUNGAIN XTRA</t>
        </is>
      </c>
      <c r="E969" s="7" t="inlineStr">
        <is>
          <t>Pulverização Agrícola Conforme Bula</t>
        </is>
      </c>
      <c r="F969" s="7" t="inlineStr">
        <is>
          <t>Cana-de-açúcar</t>
        </is>
      </c>
      <c r="G969" s="7" t="inlineStr">
        <is>
          <t>Cultura Autorizada na Bula</t>
        </is>
      </c>
      <c r="H969" s="7" t="inlineStr">
        <is>
          <t>100 a 300 L/ha</t>
        </is>
      </c>
      <c r="I969" s="7" t="inlineStr">
        <is>
          <t>20 a 40 L/ha</t>
        </is>
      </c>
      <c r="J969" s="7" t="inlineStr">
        <is>
          <t>85 dias</t>
        </is>
      </c>
    </row>
    <row r="970" ht="22" customHeight="1">
      <c r="A970" s="12" t="inlineStr">
        <is>
          <t>CUL-0966</t>
        </is>
      </c>
      <c r="B970" s="11" t="n">
        <v>189</v>
      </c>
      <c r="C970" s="13" t="inlineStr">
        <is>
          <t>Nº 12222</t>
        </is>
      </c>
      <c r="D970" s="14" t="inlineStr">
        <is>
          <t>SUNGAIN XTRA</t>
        </is>
      </c>
      <c r="E970" s="13" t="inlineStr">
        <is>
          <t>Pulverização Agrícola Conforme Bula</t>
        </is>
      </c>
      <c r="F970" s="13" t="inlineStr">
        <is>
          <t>Café</t>
        </is>
      </c>
      <c r="G970" s="13" t="inlineStr">
        <is>
          <t>Cultura Autorizada na Bula</t>
        </is>
      </c>
      <c r="H970" s="13" t="inlineStr">
        <is>
          <t>100 a 300 L/ha</t>
        </is>
      </c>
      <c r="I970" s="13" t="inlineStr">
        <is>
          <t>20 a 40 L/ha</t>
        </is>
      </c>
      <c r="J970" s="13" t="inlineStr">
        <is>
          <t>15 dias</t>
        </is>
      </c>
    </row>
    <row r="971" ht="22" customHeight="1">
      <c r="A971" s="6" t="inlineStr">
        <is>
          <t>CUL-0967</t>
        </is>
      </c>
      <c r="B971" s="5" t="n">
        <v>189</v>
      </c>
      <c r="C971" s="7" t="inlineStr">
        <is>
          <t>Nº 12222</t>
        </is>
      </c>
      <c r="D971" s="8" t="inlineStr">
        <is>
          <t>SUNGAIN XTRA</t>
        </is>
      </c>
      <c r="E971" s="7" t="inlineStr">
        <is>
          <t>Pulverização Agrícola Conforme Bula</t>
        </is>
      </c>
      <c r="F971" s="7" t="inlineStr">
        <is>
          <t>Citros</t>
        </is>
      </c>
      <c r="G971" s="7" t="inlineStr">
        <is>
          <t>Cultura Autorizada na Bula</t>
        </is>
      </c>
      <c r="H971" s="7" t="inlineStr">
        <is>
          <t>100 a 300 L/ha</t>
        </is>
      </c>
      <c r="I971" s="7" t="inlineStr">
        <is>
          <t>20 a 40 L/ha</t>
        </is>
      </c>
      <c r="J971" s="7" t="inlineStr">
        <is>
          <t>N/D</t>
        </is>
      </c>
    </row>
    <row r="972" ht="22" customHeight="1">
      <c r="A972" s="12" t="inlineStr">
        <is>
          <t>CUL-0968</t>
        </is>
      </c>
      <c r="B972" s="11" t="n">
        <v>189</v>
      </c>
      <c r="C972" s="13" t="inlineStr">
        <is>
          <t>Nº 12222</t>
        </is>
      </c>
      <c r="D972" s="14" t="inlineStr">
        <is>
          <t>SUNGAIN XTRA</t>
        </is>
      </c>
      <c r="E972" s="13" t="inlineStr">
        <is>
          <t>Pulverização Agrícola Conforme Bula</t>
        </is>
      </c>
      <c r="F972" s="13" t="inlineStr">
        <is>
          <t>Feijão</t>
        </is>
      </c>
      <c r="G972" s="13" t="inlineStr">
        <is>
          <t>Cultura Autorizada na Bula</t>
        </is>
      </c>
      <c r="H972" s="13" t="inlineStr">
        <is>
          <t>100 a 300 L/ha</t>
        </is>
      </c>
      <c r="I972" s="13" t="inlineStr">
        <is>
          <t>20 a 40 L/ha</t>
        </is>
      </c>
      <c r="J972" s="13" t="inlineStr">
        <is>
          <t>N/D</t>
        </is>
      </c>
    </row>
    <row r="973" ht="22" customHeight="1">
      <c r="A973" s="6" t="inlineStr">
        <is>
          <t>CUL-0969</t>
        </is>
      </c>
      <c r="B973" s="5" t="n">
        <v>190</v>
      </c>
      <c r="C973" s="7" t="inlineStr">
        <is>
          <t>Nº 19623</t>
        </is>
      </c>
      <c r="D973" s="8" t="inlineStr">
        <is>
          <t>TORBAN PLUS</t>
        </is>
      </c>
      <c r="E973" s="7" t="inlineStr">
        <is>
          <t>Pulverização Agrícola Conforme Bula</t>
        </is>
      </c>
      <c r="F973" s="7" t="inlineStr">
        <is>
          <t>Soja (Dessecação Pré-Plantio)</t>
        </is>
      </c>
      <c r="G973" s="7" t="inlineStr">
        <is>
          <t>Cultura Autorizada na Bula</t>
        </is>
      </c>
      <c r="H973" s="7" t="inlineStr">
        <is>
          <t>100 a 300 L/ha</t>
        </is>
      </c>
      <c r="I973" s="7" t="inlineStr">
        <is>
          <t>20 a 40 L/ha</t>
        </is>
      </c>
      <c r="J973" s="7" t="inlineStr">
        <is>
          <t>N/D</t>
        </is>
      </c>
    </row>
    <row r="974" ht="22" customHeight="1">
      <c r="A974" s="12" t="inlineStr">
        <is>
          <t>CUL-0970</t>
        </is>
      </c>
      <c r="B974" s="11" t="n">
        <v>190</v>
      </c>
      <c r="C974" s="13" t="inlineStr">
        <is>
          <t>Nº 19623</t>
        </is>
      </c>
      <c r="D974" s="14" t="inlineStr">
        <is>
          <t>TORBAN PLUS</t>
        </is>
      </c>
      <c r="E974" s="13" t="inlineStr">
        <is>
          <t>Pulverização Agrícola Conforme Bula</t>
        </is>
      </c>
      <c r="F974" s="13" t="inlineStr">
        <is>
          <t>Milho</t>
        </is>
      </c>
      <c r="G974" s="13" t="inlineStr">
        <is>
          <t>Cultura Autorizada na Bula</t>
        </is>
      </c>
      <c r="H974" s="13" t="inlineStr">
        <is>
          <t>100 a 300 L/ha</t>
        </is>
      </c>
      <c r="I974" s="13" t="inlineStr">
        <is>
          <t>20 a 40 L/ha</t>
        </is>
      </c>
      <c r="J974" s="13" t="inlineStr">
        <is>
          <t>40 dias</t>
        </is>
      </c>
    </row>
    <row r="975" ht="22" customHeight="1">
      <c r="A975" s="6" t="inlineStr">
        <is>
          <t>CUL-0971</t>
        </is>
      </c>
      <c r="B975" s="5" t="n">
        <v>190</v>
      </c>
      <c r="C975" s="7" t="inlineStr">
        <is>
          <t>Nº 19623</t>
        </is>
      </c>
      <c r="D975" s="8" t="inlineStr">
        <is>
          <t>TORBAN PLUS</t>
        </is>
      </c>
      <c r="E975" s="7" t="inlineStr">
        <is>
          <t>Pulverização Agrícola Conforme Bula</t>
        </is>
      </c>
      <c r="F975" s="7" t="inlineStr">
        <is>
          <t>Cana-de-açúcar</t>
        </is>
      </c>
      <c r="G975" s="7" t="inlineStr">
        <is>
          <t>Cultura Autorizada na Bula</t>
        </is>
      </c>
      <c r="H975" s="7" t="inlineStr">
        <is>
          <t>100 a 300 L/ha</t>
        </is>
      </c>
      <c r="I975" s="7" t="inlineStr">
        <is>
          <t>20 a 40 L/ha</t>
        </is>
      </c>
      <c r="J975" s="7" t="inlineStr">
        <is>
          <t>N/D</t>
        </is>
      </c>
    </row>
    <row r="976" ht="22" customHeight="1">
      <c r="A976" s="12" t="inlineStr">
        <is>
          <t>CUL-0972</t>
        </is>
      </c>
      <c r="B976" s="11" t="n">
        <v>190</v>
      </c>
      <c r="C976" s="13" t="inlineStr">
        <is>
          <t>Nº 19623</t>
        </is>
      </c>
      <c r="D976" s="14" t="inlineStr">
        <is>
          <t>TORBAN PLUS</t>
        </is>
      </c>
      <c r="E976" s="13" t="inlineStr">
        <is>
          <t>Pulverização Agrícola Conforme Bula</t>
        </is>
      </c>
      <c r="F976" s="13" t="inlineStr">
        <is>
          <t>Trigo</t>
        </is>
      </c>
      <c r="G976" s="13" t="inlineStr">
        <is>
          <t>Cultura Autorizada na Bula</t>
        </is>
      </c>
      <c r="H976" s="13" t="inlineStr">
        <is>
          <t>100 a 300 L/ha</t>
        </is>
      </c>
      <c r="I976" s="13" t="inlineStr">
        <is>
          <t>20 a 40 L/ha</t>
        </is>
      </c>
      <c r="J976" s="13" t="inlineStr">
        <is>
          <t>45 dias</t>
        </is>
      </c>
    </row>
    <row r="977" ht="22" customHeight="1">
      <c r="A977" s="6" t="inlineStr">
        <is>
          <t>CUL-0973</t>
        </is>
      </c>
      <c r="B977" s="5" t="n">
        <v>190</v>
      </c>
      <c r="C977" s="7" t="inlineStr">
        <is>
          <t>Nº 19623</t>
        </is>
      </c>
      <c r="D977" s="8" t="inlineStr">
        <is>
          <t>TORBAN PLUS</t>
        </is>
      </c>
      <c r="E977" s="7" t="inlineStr">
        <is>
          <t>Pulverização Agrícola Conforme Bula</t>
        </is>
      </c>
      <c r="F977" s="7" t="inlineStr">
        <is>
          <t>Pastagens</t>
        </is>
      </c>
      <c r="G977" s="7" t="inlineStr">
        <is>
          <t>Cultura Autorizada na Bula</t>
        </is>
      </c>
      <c r="H977" s="7" t="inlineStr">
        <is>
          <t>100 a 300 L/ha</t>
        </is>
      </c>
      <c r="I977" s="7" t="inlineStr">
        <is>
          <t>20 a 40 L/ha</t>
        </is>
      </c>
      <c r="J977" s="7" t="inlineStr">
        <is>
          <t>N/D</t>
        </is>
      </c>
    </row>
    <row r="978" ht="22" customHeight="1">
      <c r="A978" s="12" t="inlineStr">
        <is>
          <t>CUL-0974</t>
        </is>
      </c>
      <c r="B978" s="11" t="n">
        <v>190</v>
      </c>
      <c r="C978" s="13" t="inlineStr">
        <is>
          <t>Nº 19623</t>
        </is>
      </c>
      <c r="D978" s="14" t="inlineStr">
        <is>
          <t>TORBAN PLUS</t>
        </is>
      </c>
      <c r="E978" s="13" t="inlineStr">
        <is>
          <t>Pulverização Agrícola Conforme Bula</t>
        </is>
      </c>
      <c r="F978" s="13" t="inlineStr">
        <is>
          <t>Arroz</t>
        </is>
      </c>
      <c r="G978" s="13" t="inlineStr">
        <is>
          <t>Cultura Autorizada na Bula</t>
        </is>
      </c>
      <c r="H978" s="13" t="inlineStr">
        <is>
          <t>100 a 300 L/ha</t>
        </is>
      </c>
      <c r="I978" s="13" t="inlineStr">
        <is>
          <t>20 a 40 L/ha</t>
        </is>
      </c>
      <c r="J978" s="13" t="inlineStr">
        <is>
          <t>60 dias</t>
        </is>
      </c>
    </row>
    <row r="979" ht="22" customHeight="1">
      <c r="A979" s="6" t="inlineStr">
        <is>
          <t>CUL-0975</t>
        </is>
      </c>
      <c r="B979" s="5" t="n">
        <v>191</v>
      </c>
      <c r="C979" s="7" t="inlineStr">
        <is>
          <t>Nº 19623</t>
        </is>
      </c>
      <c r="D979" s="8" t="inlineStr">
        <is>
          <t>TORBAN PLUS</t>
        </is>
      </c>
      <c r="E979" s="7" t="inlineStr">
        <is>
          <t>Pulverização Agrícola Conforme Bula</t>
        </is>
      </c>
      <c r="F979" s="7" t="inlineStr">
        <is>
          <t>Soja (Dessecação Pré-Plantio)</t>
        </is>
      </c>
      <c r="G979" s="7" t="inlineStr">
        <is>
          <t>Cultura Autorizada na Bula</t>
        </is>
      </c>
      <c r="H979" s="7" t="inlineStr">
        <is>
          <t>100 a 300 L/ha</t>
        </is>
      </c>
      <c r="I979" s="7" t="inlineStr">
        <is>
          <t>20 a 40 L/ha</t>
        </is>
      </c>
      <c r="J979" s="7" t="inlineStr">
        <is>
          <t>N/D</t>
        </is>
      </c>
    </row>
    <row r="980" ht="22" customHeight="1">
      <c r="A980" s="12" t="inlineStr">
        <is>
          <t>CUL-0976</t>
        </is>
      </c>
      <c r="B980" s="11" t="n">
        <v>191</v>
      </c>
      <c r="C980" s="13" t="inlineStr">
        <is>
          <t>Nº 19623</t>
        </is>
      </c>
      <c r="D980" s="14" t="inlineStr">
        <is>
          <t>TORBAN PLUS</t>
        </is>
      </c>
      <c r="E980" s="13" t="inlineStr">
        <is>
          <t>Pulverização Agrícola Conforme Bula</t>
        </is>
      </c>
      <c r="F980" s="13" t="inlineStr">
        <is>
          <t>Milho</t>
        </is>
      </c>
      <c r="G980" s="13" t="inlineStr">
        <is>
          <t>Cultura Autorizada na Bula</t>
        </is>
      </c>
      <c r="H980" s="13" t="inlineStr">
        <is>
          <t>100 a 300 L/ha</t>
        </is>
      </c>
      <c r="I980" s="13" t="inlineStr">
        <is>
          <t>20 a 40 L/ha</t>
        </is>
      </c>
      <c r="J980" s="13" t="inlineStr">
        <is>
          <t>40 dias</t>
        </is>
      </c>
    </row>
    <row r="981" ht="22" customHeight="1">
      <c r="A981" s="6" t="inlineStr">
        <is>
          <t>CUL-0977</t>
        </is>
      </c>
      <c r="B981" s="5" t="n">
        <v>191</v>
      </c>
      <c r="C981" s="7" t="inlineStr">
        <is>
          <t>Nº 19623</t>
        </is>
      </c>
      <c r="D981" s="8" t="inlineStr">
        <is>
          <t>TORBAN PLUS</t>
        </is>
      </c>
      <c r="E981" s="7" t="inlineStr">
        <is>
          <t>Pulverização Agrícola Conforme Bula</t>
        </is>
      </c>
      <c r="F981" s="7" t="inlineStr">
        <is>
          <t>Cana-de-açúcar</t>
        </is>
      </c>
      <c r="G981" s="7" t="inlineStr">
        <is>
          <t>Cultura Autorizada na Bula</t>
        </is>
      </c>
      <c r="H981" s="7" t="inlineStr">
        <is>
          <t>100 a 300 L/ha</t>
        </is>
      </c>
      <c r="I981" s="7" t="inlineStr">
        <is>
          <t>20 a 40 L/ha</t>
        </is>
      </c>
      <c r="J981" s="7" t="inlineStr">
        <is>
          <t>N/D</t>
        </is>
      </c>
    </row>
    <row r="982" ht="22" customHeight="1">
      <c r="A982" s="12" t="inlineStr">
        <is>
          <t>CUL-0978</t>
        </is>
      </c>
      <c r="B982" s="11" t="n">
        <v>191</v>
      </c>
      <c r="C982" s="13" t="inlineStr">
        <is>
          <t>Nº 19623</t>
        </is>
      </c>
      <c r="D982" s="14" t="inlineStr">
        <is>
          <t>TORBAN PLUS</t>
        </is>
      </c>
      <c r="E982" s="13" t="inlineStr">
        <is>
          <t>Pulverização Agrícola Conforme Bula</t>
        </is>
      </c>
      <c r="F982" s="13" t="inlineStr">
        <is>
          <t>Trigo</t>
        </is>
      </c>
      <c r="G982" s="13" t="inlineStr">
        <is>
          <t>Cultura Autorizada na Bula</t>
        </is>
      </c>
      <c r="H982" s="13" t="inlineStr">
        <is>
          <t>100 a 300 L/ha</t>
        </is>
      </c>
      <c r="I982" s="13" t="inlineStr">
        <is>
          <t>20 a 40 L/ha</t>
        </is>
      </c>
      <c r="J982" s="13" t="inlineStr">
        <is>
          <t>45 dias</t>
        </is>
      </c>
    </row>
    <row r="983" ht="22" customHeight="1">
      <c r="A983" s="6" t="inlineStr">
        <is>
          <t>CUL-0979</t>
        </is>
      </c>
      <c r="B983" s="5" t="n">
        <v>191</v>
      </c>
      <c r="C983" s="7" t="inlineStr">
        <is>
          <t>Nº 19623</t>
        </is>
      </c>
      <c r="D983" s="8" t="inlineStr">
        <is>
          <t>TORBAN PLUS</t>
        </is>
      </c>
      <c r="E983" s="7" t="inlineStr">
        <is>
          <t>Pulverização Agrícola Conforme Bula</t>
        </is>
      </c>
      <c r="F983" s="7" t="inlineStr">
        <is>
          <t>Pastagens</t>
        </is>
      </c>
      <c r="G983" s="7" t="inlineStr">
        <is>
          <t>Cultura Autorizada na Bula</t>
        </is>
      </c>
      <c r="H983" s="7" t="inlineStr">
        <is>
          <t>100 a 300 L/ha</t>
        </is>
      </c>
      <c r="I983" s="7" t="inlineStr">
        <is>
          <t>20 a 40 L/ha</t>
        </is>
      </c>
      <c r="J983" s="7" t="inlineStr">
        <is>
          <t>N/D</t>
        </is>
      </c>
    </row>
    <row r="984" ht="22" customHeight="1">
      <c r="A984" s="12" t="inlineStr">
        <is>
          <t>CUL-0980</t>
        </is>
      </c>
      <c r="B984" s="11" t="n">
        <v>191</v>
      </c>
      <c r="C984" s="13" t="inlineStr">
        <is>
          <t>Nº 19623</t>
        </is>
      </c>
      <c r="D984" s="14" t="inlineStr">
        <is>
          <t>TORBAN PLUS</t>
        </is>
      </c>
      <c r="E984" s="13" t="inlineStr">
        <is>
          <t>Pulverização Agrícola Conforme Bula</t>
        </is>
      </c>
      <c r="F984" s="13" t="inlineStr">
        <is>
          <t>Arroz</t>
        </is>
      </c>
      <c r="G984" s="13" t="inlineStr">
        <is>
          <t>Cultura Autorizada na Bula</t>
        </is>
      </c>
      <c r="H984" s="13" t="inlineStr">
        <is>
          <t>100 a 300 L/ha</t>
        </is>
      </c>
      <c r="I984" s="13" t="inlineStr">
        <is>
          <t>20 a 40 L/ha</t>
        </is>
      </c>
      <c r="J984" s="13" t="inlineStr">
        <is>
          <t>60 dias</t>
        </is>
      </c>
    </row>
    <row r="985" ht="22" customHeight="1">
      <c r="A985" s="6" t="inlineStr">
        <is>
          <t>CUL-0981</t>
        </is>
      </c>
      <c r="B985" s="5" t="n">
        <v>192</v>
      </c>
      <c r="C985" s="7" t="inlineStr">
        <is>
          <t>Nº 31422</t>
        </is>
      </c>
      <c r="D985" s="8" t="inlineStr">
        <is>
          <t>ZARPAL</t>
        </is>
      </c>
      <c r="E985" s="7" t="inlineStr">
        <is>
          <t>Pulverização Agrícola Conforme Bula</t>
        </is>
      </c>
      <c r="F985" s="7" t="inlineStr">
        <is>
          <t>Algodão</t>
        </is>
      </c>
      <c r="G985" s="7" t="inlineStr">
        <is>
          <t>Cultura Autorizada na Bula</t>
        </is>
      </c>
      <c r="H985" s="7" t="inlineStr">
        <is>
          <t>100 a 300 L/ha</t>
        </is>
      </c>
      <c r="I985" s="7" t="inlineStr">
        <is>
          <t>20 a 40 L/ha</t>
        </is>
      </c>
      <c r="J985" s="7" t="inlineStr">
        <is>
          <t>15 dias</t>
        </is>
      </c>
    </row>
    <row r="986" ht="22" customHeight="1">
      <c r="A986" s="12" t="inlineStr">
        <is>
          <t>CUL-0982</t>
        </is>
      </c>
      <c r="B986" s="11" t="n">
        <v>192</v>
      </c>
      <c r="C986" s="13" t="inlineStr">
        <is>
          <t>Nº 31422</t>
        </is>
      </c>
      <c r="D986" s="14" t="inlineStr">
        <is>
          <t>ZARPAL</t>
        </is>
      </c>
      <c r="E986" s="13" t="inlineStr">
        <is>
          <t>Pulverização Agrícola Conforme Bula</t>
        </is>
      </c>
      <c r="F986" s="13" t="inlineStr">
        <is>
          <t>Soja</t>
        </is>
      </c>
      <c r="G986" s="13" t="inlineStr">
        <is>
          <t>Cultura Autorizada na Bula</t>
        </is>
      </c>
      <c r="H986" s="13" t="inlineStr">
        <is>
          <t>100 a 300 L/ha</t>
        </is>
      </c>
      <c r="I986" s="13" t="inlineStr">
        <is>
          <t>20 a 40 L/ha</t>
        </is>
      </c>
      <c r="J986" s="13" t="inlineStr">
        <is>
          <t>30 dias</t>
        </is>
      </c>
    </row>
    <row r="987" ht="22" customHeight="1">
      <c r="A987" s="6" t="inlineStr">
        <is>
          <t>CUL-0983</t>
        </is>
      </c>
      <c r="B987" s="5" t="n">
        <v>192</v>
      </c>
      <c r="C987" s="7" t="inlineStr">
        <is>
          <t>Nº 31422</t>
        </is>
      </c>
      <c r="D987" s="8" t="inlineStr">
        <is>
          <t>ZARPAL</t>
        </is>
      </c>
      <c r="E987" s="7" t="inlineStr">
        <is>
          <t>Pulverização Agrícola Conforme Bula</t>
        </is>
      </c>
      <c r="F987" s="7" t="inlineStr">
        <is>
          <t>Milho</t>
        </is>
      </c>
      <c r="G987" s="7" t="inlineStr">
        <is>
          <t>Cultura Autorizada na Bula</t>
        </is>
      </c>
      <c r="H987" s="7" t="inlineStr">
        <is>
          <t>100 a 300 L/ha</t>
        </is>
      </c>
      <c r="I987" s="7" t="inlineStr">
        <is>
          <t>20 a 40 L/ha</t>
        </is>
      </c>
      <c r="J987" s="7" t="inlineStr">
        <is>
          <t>30 dias</t>
        </is>
      </c>
    </row>
    <row r="988" ht="22" customHeight="1">
      <c r="A988" s="12" t="inlineStr">
        <is>
          <t>CUL-0984</t>
        </is>
      </c>
      <c r="B988" s="11" t="n">
        <v>192</v>
      </c>
      <c r="C988" s="13" t="inlineStr">
        <is>
          <t>Nº 31422</t>
        </is>
      </c>
      <c r="D988" s="14" t="inlineStr">
        <is>
          <t>ZARPAL</t>
        </is>
      </c>
      <c r="E988" s="13" t="inlineStr">
        <is>
          <t>Pulverização Agrícola Conforme Bula</t>
        </is>
      </c>
      <c r="F988" s="13" t="inlineStr">
        <is>
          <t>Cana-de-açúcar</t>
        </is>
      </c>
      <c r="G988" s="13" t="inlineStr">
        <is>
          <t>Cultura Autorizada na Bula</t>
        </is>
      </c>
      <c r="H988" s="13" t="inlineStr">
        <is>
          <t>100 a 300 L/ha</t>
        </is>
      </c>
      <c r="I988" s="13" t="inlineStr">
        <is>
          <t>20 a 40 L/ha</t>
        </is>
      </c>
      <c r="J988" s="13" t="inlineStr">
        <is>
          <t>30 dias</t>
        </is>
      </c>
    </row>
    <row r="989" ht="22" customHeight="1">
      <c r="A989" s="6" t="inlineStr">
        <is>
          <t>CUL-0985</t>
        </is>
      </c>
      <c r="B989" s="5" t="n">
        <v>192</v>
      </c>
      <c r="C989" s="7" t="inlineStr">
        <is>
          <t>Nº 31422</t>
        </is>
      </c>
      <c r="D989" s="8" t="inlineStr">
        <is>
          <t>ZARPAL</t>
        </is>
      </c>
      <c r="E989" s="7" t="inlineStr">
        <is>
          <t>Pulverização Agrícola Conforme Bula</t>
        </is>
      </c>
      <c r="F989" s="7" t="inlineStr">
        <is>
          <t>Café</t>
        </is>
      </c>
      <c r="G989" s="7" t="inlineStr">
        <is>
          <t>Cultura Autorizada na Bula</t>
        </is>
      </c>
      <c r="H989" s="7" t="inlineStr">
        <is>
          <t>100 a 300 L/ha</t>
        </is>
      </c>
      <c r="I989" s="7" t="inlineStr">
        <is>
          <t>20 a 40 L/ha</t>
        </is>
      </c>
      <c r="J989" s="7" t="inlineStr">
        <is>
          <t>30 dias</t>
        </is>
      </c>
    </row>
    <row r="990" ht="22" customHeight="1">
      <c r="A990" s="12" t="inlineStr">
        <is>
          <t>CUL-0986</t>
        </is>
      </c>
      <c r="B990" s="11" t="n">
        <v>192</v>
      </c>
      <c r="C990" s="13" t="inlineStr">
        <is>
          <t>Nº 31422</t>
        </is>
      </c>
      <c r="D990" s="14" t="inlineStr">
        <is>
          <t>ZARPAL</t>
        </is>
      </c>
      <c r="E990" s="13" t="inlineStr">
        <is>
          <t>Pulverização Agrícola Conforme Bula</t>
        </is>
      </c>
      <c r="F990" s="13" t="inlineStr">
        <is>
          <t>Citros</t>
        </is>
      </c>
      <c r="G990" s="13" t="inlineStr">
        <is>
          <t>Cultura Autorizada na Bula</t>
        </is>
      </c>
      <c r="H990" s="13" t="inlineStr">
        <is>
          <t>100 a 300 L/ha</t>
        </is>
      </c>
      <c r="I990" s="13" t="inlineStr">
        <is>
          <t>20 a 40 L/ha</t>
        </is>
      </c>
      <c r="J990" s="13" t="inlineStr">
        <is>
          <t>7 dias</t>
        </is>
      </c>
    </row>
    <row r="991" ht="22" customHeight="1">
      <c r="A991" s="6" t="inlineStr">
        <is>
          <t>CUL-0987</t>
        </is>
      </c>
      <c r="B991" s="5" t="n">
        <v>192</v>
      </c>
      <c r="C991" s="7" t="inlineStr">
        <is>
          <t>Nº 31422</t>
        </is>
      </c>
      <c r="D991" s="8" t="inlineStr">
        <is>
          <t>ZARPAL</t>
        </is>
      </c>
      <c r="E991" s="7" t="inlineStr">
        <is>
          <t>Pulverização Agrícola Conforme Bula</t>
        </is>
      </c>
      <c r="F991" s="7" t="inlineStr">
        <is>
          <t>Feijão</t>
        </is>
      </c>
      <c r="G991" s="7" t="inlineStr">
        <is>
          <t>Cultura Autorizada na Bula</t>
        </is>
      </c>
      <c r="H991" s="7" t="inlineStr">
        <is>
          <t>100 a 300 L/ha</t>
        </is>
      </c>
      <c r="I991" s="7" t="inlineStr">
        <is>
          <t>20 a 40 L/ha</t>
        </is>
      </c>
      <c r="J991" s="7" t="inlineStr">
        <is>
          <t>20 dias</t>
        </is>
      </c>
    </row>
    <row r="992" ht="22" customHeight="1">
      <c r="A992" s="12" t="inlineStr">
        <is>
          <t>CUL-0988</t>
        </is>
      </c>
      <c r="B992" s="11" t="n">
        <v>192</v>
      </c>
      <c r="C992" s="13" t="inlineStr">
        <is>
          <t>Nº 31422</t>
        </is>
      </c>
      <c r="D992" s="14" t="inlineStr">
        <is>
          <t>ZARPAL</t>
        </is>
      </c>
      <c r="E992" s="13" t="inlineStr">
        <is>
          <t>Pulverização Agrícola Conforme Bula</t>
        </is>
      </c>
      <c r="F992" s="13" t="inlineStr">
        <is>
          <t>Trigo</t>
        </is>
      </c>
      <c r="G992" s="13" t="inlineStr">
        <is>
          <t>Cultura Autorizada na Bula</t>
        </is>
      </c>
      <c r="H992" s="13" t="inlineStr">
        <is>
          <t>100 a 300 L/ha</t>
        </is>
      </c>
      <c r="I992" s="13" t="inlineStr">
        <is>
          <t>20 a 40 L/ha</t>
        </is>
      </c>
      <c r="J992" s="13" t="inlineStr">
        <is>
          <t>30 dias</t>
        </is>
      </c>
    </row>
    <row r="993" ht="22" customHeight="1">
      <c r="A993" s="6" t="inlineStr">
        <is>
          <t>CUL-0989</t>
        </is>
      </c>
      <c r="B993" s="5" t="n">
        <v>193</v>
      </c>
      <c r="C993" s="7" t="inlineStr">
        <is>
          <t>Nº 10317</t>
        </is>
      </c>
      <c r="D993" s="8" t="inlineStr">
        <is>
          <t>XEQUE MATE</t>
        </is>
      </c>
      <c r="E993" s="7" t="inlineStr">
        <is>
          <t>Pulverização Agrícola Conforme Bula</t>
        </is>
      </c>
      <c r="F993" s="7" t="inlineStr">
        <is>
          <t>Soja (Pré-Plantio / OGM)</t>
        </is>
      </c>
      <c r="G993" s="7" t="inlineStr">
        <is>
          <t>Cultura Autorizada na Bula</t>
        </is>
      </c>
      <c r="H993" s="7" t="inlineStr">
        <is>
          <t>100 a 300 L/ha</t>
        </is>
      </c>
      <c r="I993" s="7" t="inlineStr">
        <is>
          <t>20 a 40 L/ha</t>
        </is>
      </c>
      <c r="J993" s="7" t="inlineStr">
        <is>
          <t>56 dias</t>
        </is>
      </c>
    </row>
    <row r="994" ht="22" customHeight="1">
      <c r="A994" s="12" t="inlineStr">
        <is>
          <t>CUL-0990</t>
        </is>
      </c>
      <c r="B994" s="11" t="n">
        <v>193</v>
      </c>
      <c r="C994" s="13" t="inlineStr">
        <is>
          <t>Nº 10317</t>
        </is>
      </c>
      <c r="D994" s="14" t="inlineStr">
        <is>
          <t>XEQUE MATE</t>
        </is>
      </c>
      <c r="E994" s="13" t="inlineStr">
        <is>
          <t>Pulverização Agrícola Conforme Bula</t>
        </is>
      </c>
      <c r="F994" s="13" t="inlineStr">
        <is>
          <t>Milho (Pré-Plantio / OGM)</t>
        </is>
      </c>
      <c r="G994" s="13" t="inlineStr">
        <is>
          <t>Cultura Autorizada na Bula</t>
        </is>
      </c>
      <c r="H994" s="13" t="inlineStr">
        <is>
          <t>100 a 300 L/ha</t>
        </is>
      </c>
      <c r="I994" s="13" t="inlineStr">
        <is>
          <t>20 a 40 L/ha</t>
        </is>
      </c>
      <c r="J994" s="13" t="inlineStr">
        <is>
          <t>90 dias</t>
        </is>
      </c>
    </row>
    <row r="995" ht="22" customHeight="1">
      <c r="A995" s="6" t="inlineStr">
        <is>
          <t>CUL-0991</t>
        </is>
      </c>
      <c r="B995" s="5" t="n">
        <v>193</v>
      </c>
      <c r="C995" s="7" t="inlineStr">
        <is>
          <t>Nº 10317</t>
        </is>
      </c>
      <c r="D995" s="8" t="inlineStr">
        <is>
          <t>XEQUE MATE</t>
        </is>
      </c>
      <c r="E995" s="7" t="inlineStr">
        <is>
          <t>Pulverização Agrícola Conforme Bula</t>
        </is>
      </c>
      <c r="F995" s="7" t="inlineStr">
        <is>
          <t>Algodão (Pré-Plantio / OGM)</t>
        </is>
      </c>
      <c r="G995" s="7" t="inlineStr">
        <is>
          <t>Cultura Autorizada na Bula</t>
        </is>
      </c>
      <c r="H995" s="7" t="inlineStr">
        <is>
          <t>100 a 300 L/ha</t>
        </is>
      </c>
      <c r="I995" s="7" t="inlineStr">
        <is>
          <t>20 a 40 L/ha</t>
        </is>
      </c>
      <c r="J995" s="7" t="inlineStr">
        <is>
          <t>130 dias</t>
        </is>
      </c>
    </row>
    <row r="996" ht="22" customHeight="1">
      <c r="A996" s="12" t="inlineStr">
        <is>
          <t>CUL-0992</t>
        </is>
      </c>
      <c r="B996" s="11" t="n">
        <v>193</v>
      </c>
      <c r="C996" s="13" t="inlineStr">
        <is>
          <t>Nº 10317</t>
        </is>
      </c>
      <c r="D996" s="14" t="inlineStr">
        <is>
          <t>XEQUE MATE</t>
        </is>
      </c>
      <c r="E996" s="13" t="inlineStr">
        <is>
          <t>Pulverização Agrícola Conforme Bula</t>
        </is>
      </c>
      <c r="F996" s="13" t="inlineStr">
        <is>
          <t>Cana-de-açúcar</t>
        </is>
      </c>
      <c r="G996" s="13" t="inlineStr">
        <is>
          <t>Cultura Autorizada na Bula</t>
        </is>
      </c>
      <c r="H996" s="13" t="inlineStr">
        <is>
          <t>100 a 300 L/ha</t>
        </is>
      </c>
      <c r="I996" s="13" t="inlineStr">
        <is>
          <t>20 a 40 L/ha</t>
        </is>
      </c>
      <c r="J996" s="13" t="inlineStr">
        <is>
          <t>N/D</t>
        </is>
      </c>
    </row>
    <row r="997" ht="22" customHeight="1">
      <c r="A997" s="6" t="inlineStr">
        <is>
          <t>CUL-0993</t>
        </is>
      </c>
      <c r="B997" s="5" t="n">
        <v>193</v>
      </c>
      <c r="C997" s="7" t="inlineStr">
        <is>
          <t>Nº 10317</t>
        </is>
      </c>
      <c r="D997" s="8" t="inlineStr">
        <is>
          <t>XEQUE MATE</t>
        </is>
      </c>
      <c r="E997" s="7" t="inlineStr">
        <is>
          <t>Pulverização Agrícola Conforme Bula</t>
        </is>
      </c>
      <c r="F997" s="7" t="inlineStr">
        <is>
          <t>Café (Jato Dirigido)</t>
        </is>
      </c>
      <c r="G997" s="7" t="inlineStr">
        <is>
          <t>Cultura Autorizada na Bula</t>
        </is>
      </c>
      <c r="H997" s="7" t="inlineStr">
        <is>
          <t>100 a 300 L/ha</t>
        </is>
      </c>
      <c r="I997" s="7" t="inlineStr">
        <is>
          <t>20 a 40 L/ha</t>
        </is>
      </c>
      <c r="J997" s="7" t="inlineStr">
        <is>
          <t>15 dias</t>
        </is>
      </c>
    </row>
    <row r="998" ht="22" customHeight="1">
      <c r="A998" s="12" t="inlineStr">
        <is>
          <t>CUL-0994</t>
        </is>
      </c>
      <c r="B998" s="11" t="n">
        <v>193</v>
      </c>
      <c r="C998" s="13" t="inlineStr">
        <is>
          <t>Nº 10317</t>
        </is>
      </c>
      <c r="D998" s="14" t="inlineStr">
        <is>
          <t>XEQUE MATE</t>
        </is>
      </c>
      <c r="E998" s="13" t="inlineStr">
        <is>
          <t>Pulverização Agrícola Conforme Bula</t>
        </is>
      </c>
      <c r="F998" s="13" t="inlineStr">
        <is>
          <t>Citros (Jato Dirigido)</t>
        </is>
      </c>
      <c r="G998" s="13" t="inlineStr">
        <is>
          <t>Cultura Autorizada na Bula</t>
        </is>
      </c>
      <c r="H998" s="13" t="inlineStr">
        <is>
          <t>100 a 300 L/ha</t>
        </is>
      </c>
      <c r="I998" s="13" t="inlineStr">
        <is>
          <t>20 a 40 L/ha</t>
        </is>
      </c>
      <c r="J998" s="13" t="inlineStr">
        <is>
          <t>30 dias</t>
        </is>
      </c>
    </row>
    <row r="999" ht="22" customHeight="1">
      <c r="A999" s="6" t="inlineStr">
        <is>
          <t>CUL-0995</t>
        </is>
      </c>
      <c r="B999" s="5" t="n">
        <v>193</v>
      </c>
      <c r="C999" s="7" t="inlineStr">
        <is>
          <t>Nº 10317</t>
        </is>
      </c>
      <c r="D999" s="8" t="inlineStr">
        <is>
          <t>XEQUE MATE</t>
        </is>
      </c>
      <c r="E999" s="7" t="inlineStr">
        <is>
          <t>Pulverização Agrícola Conforme Bula</t>
        </is>
      </c>
      <c r="F999" s="7" t="inlineStr">
        <is>
          <t>Trigo (Pré-Plantio)</t>
        </is>
      </c>
      <c r="G999" s="7" t="inlineStr">
        <is>
          <t>Cultura Autorizada na Bula</t>
        </is>
      </c>
      <c r="H999" s="7" t="inlineStr">
        <is>
          <t>100 a 300 L/ha</t>
        </is>
      </c>
      <c r="I999" s="7" t="inlineStr">
        <is>
          <t>20 a 40 L/ha</t>
        </is>
      </c>
      <c r="J999" s="7" t="inlineStr">
        <is>
          <t>N/D</t>
        </is>
      </c>
    </row>
    <row r="1000" ht="22" customHeight="1">
      <c r="A1000" s="12" t="inlineStr">
        <is>
          <t>CUL-0996</t>
        </is>
      </c>
      <c r="B1000" s="11" t="n">
        <v>193</v>
      </c>
      <c r="C1000" s="13" t="inlineStr">
        <is>
          <t>Nº 10317</t>
        </is>
      </c>
      <c r="D1000" s="14" t="inlineStr">
        <is>
          <t>XEQUE MATE</t>
        </is>
      </c>
      <c r="E1000" s="13" t="inlineStr">
        <is>
          <t>Pulverização Agrícola Conforme Bula</t>
        </is>
      </c>
      <c r="F1000" s="13" t="inlineStr">
        <is>
          <t>Pastagens</t>
        </is>
      </c>
      <c r="G1000" s="13" t="inlineStr">
        <is>
          <t>Cultura Autorizada na Bula</t>
        </is>
      </c>
      <c r="H1000" s="13" t="inlineStr">
        <is>
          <t>100 a 300 L/ha</t>
        </is>
      </c>
      <c r="I1000" s="13" t="inlineStr">
        <is>
          <t>20 a 40 L/ha</t>
        </is>
      </c>
      <c r="J1000" s="13" t="inlineStr">
        <is>
          <t>N/D</t>
        </is>
      </c>
    </row>
    <row r="1001" ht="22" customHeight="1">
      <c r="A1001" s="6" t="inlineStr">
        <is>
          <t>CUL-0997</t>
        </is>
      </c>
      <c r="B1001" s="5" t="n">
        <v>194</v>
      </c>
      <c r="C1001" s="7" t="inlineStr">
        <is>
          <t>Nº 6313</t>
        </is>
      </c>
      <c r="D1001" s="8" t="inlineStr">
        <is>
          <t>MANFIL 800 WP</t>
        </is>
      </c>
      <c r="E1001" s="7" t="inlineStr">
        <is>
          <t>Pulverização Agrícola Conforme Bula</t>
        </is>
      </c>
      <c r="F1001" s="7" t="inlineStr">
        <is>
          <t>Soja</t>
        </is>
      </c>
      <c r="G1001" s="7" t="inlineStr">
        <is>
          <t>Cultura Autorizada na Bula</t>
        </is>
      </c>
      <c r="H1001" s="7" t="inlineStr">
        <is>
          <t>100 a 300 L/ha</t>
        </is>
      </c>
      <c r="I1001" s="7" t="inlineStr">
        <is>
          <t>20 a 40 L/ha</t>
        </is>
      </c>
      <c r="J1001" s="7" t="inlineStr">
        <is>
          <t>21 dias</t>
        </is>
      </c>
    </row>
    <row r="1002" ht="22" customHeight="1">
      <c r="A1002" s="12" t="inlineStr">
        <is>
          <t>CUL-0998</t>
        </is>
      </c>
      <c r="B1002" s="11" t="n">
        <v>194</v>
      </c>
      <c r="C1002" s="13" t="inlineStr">
        <is>
          <t>Nº 6313</t>
        </is>
      </c>
      <c r="D1002" s="14" t="inlineStr">
        <is>
          <t>MANFIL 800 WP</t>
        </is>
      </c>
      <c r="E1002" s="13" t="inlineStr">
        <is>
          <t>Pulverização Agrícola Conforme Bula</t>
        </is>
      </c>
      <c r="F1002" s="13" t="inlineStr">
        <is>
          <t>Algodão</t>
        </is>
      </c>
      <c r="G1002" s="13" t="inlineStr">
        <is>
          <t>Cultura Autorizada na Bula</t>
        </is>
      </c>
      <c r="H1002" s="13" t="inlineStr">
        <is>
          <t>100 a 300 L/ha</t>
        </is>
      </c>
      <c r="I1002" s="13" t="inlineStr">
        <is>
          <t>20 a 40 L/ha</t>
        </is>
      </c>
      <c r="J1002" s="13" t="inlineStr">
        <is>
          <t>21 dias</t>
        </is>
      </c>
    </row>
    <row r="1003" ht="22" customHeight="1">
      <c r="A1003" s="6" t="inlineStr">
        <is>
          <t>CUL-0999</t>
        </is>
      </c>
      <c r="B1003" s="5" t="n">
        <v>194</v>
      </c>
      <c r="C1003" s="7" t="inlineStr">
        <is>
          <t>Nº 6313</t>
        </is>
      </c>
      <c r="D1003" s="8" t="inlineStr">
        <is>
          <t>MANFIL 800 WP</t>
        </is>
      </c>
      <c r="E1003" s="7" t="inlineStr">
        <is>
          <t>Pulverização Agrícola Conforme Bula</t>
        </is>
      </c>
      <c r="F1003" s="7" t="inlineStr">
        <is>
          <t>Café</t>
        </is>
      </c>
      <c r="G1003" s="7" t="inlineStr">
        <is>
          <t>Cultura Autorizada na Bula</t>
        </is>
      </c>
      <c r="H1003" s="7" t="inlineStr">
        <is>
          <t>100 a 300 L/ha</t>
        </is>
      </c>
      <c r="I1003" s="7" t="inlineStr">
        <is>
          <t>20 a 40 L/ha</t>
        </is>
      </c>
      <c r="J1003" s="7" t="inlineStr">
        <is>
          <t>21 dias</t>
        </is>
      </c>
    </row>
    <row r="1004" ht="22" customHeight="1">
      <c r="A1004" s="12" t="inlineStr">
        <is>
          <t>CUL-1000</t>
        </is>
      </c>
      <c r="B1004" s="11" t="n">
        <v>194</v>
      </c>
      <c r="C1004" s="13" t="inlineStr">
        <is>
          <t>Nº 6313</t>
        </is>
      </c>
      <c r="D1004" s="14" t="inlineStr">
        <is>
          <t>MANFIL 800 WP</t>
        </is>
      </c>
      <c r="E1004" s="13" t="inlineStr">
        <is>
          <t>Pulverização Agrícola Conforme Bula</t>
        </is>
      </c>
      <c r="F1004" s="13" t="inlineStr">
        <is>
          <t>Feijão</t>
        </is>
      </c>
      <c r="G1004" s="13" t="inlineStr">
        <is>
          <t>Cultura Autorizada na Bula</t>
        </is>
      </c>
      <c r="H1004" s="13" t="inlineStr">
        <is>
          <t>100 a 300 L/ha</t>
        </is>
      </c>
      <c r="I1004" s="13" t="inlineStr">
        <is>
          <t>20 a 40 L/ha</t>
        </is>
      </c>
      <c r="J1004" s="13" t="inlineStr">
        <is>
          <t>14 dias</t>
        </is>
      </c>
    </row>
    <row r="1005" ht="22" customHeight="1">
      <c r="A1005" s="6" t="inlineStr">
        <is>
          <t>CUL-1001</t>
        </is>
      </c>
      <c r="B1005" s="5" t="n">
        <v>194</v>
      </c>
      <c r="C1005" s="7" t="inlineStr">
        <is>
          <t>Nº 6313</t>
        </is>
      </c>
      <c r="D1005" s="8" t="inlineStr">
        <is>
          <t>MANFIL 800 WP</t>
        </is>
      </c>
      <c r="E1005" s="7" t="inlineStr">
        <is>
          <t>Pulverização Agrícola Conforme Bula</t>
        </is>
      </c>
      <c r="F1005" s="7" t="inlineStr">
        <is>
          <t>Milho</t>
        </is>
      </c>
      <c r="G1005" s="7" t="inlineStr">
        <is>
          <t>Cultura Autorizada na Bula</t>
        </is>
      </c>
      <c r="H1005" s="7" t="inlineStr">
        <is>
          <t>100 a 300 L/ha</t>
        </is>
      </c>
      <c r="I1005" s="7" t="inlineStr">
        <is>
          <t>20 a 40 L/ha</t>
        </is>
      </c>
      <c r="J1005" s="7" t="inlineStr">
        <is>
          <t>21 dias</t>
        </is>
      </c>
    </row>
    <row r="1006" ht="22" customHeight="1">
      <c r="A1006" s="12" t="inlineStr">
        <is>
          <t>CUL-1002</t>
        </is>
      </c>
      <c r="B1006" s="11" t="n">
        <v>194</v>
      </c>
      <c r="C1006" s="13" t="inlineStr">
        <is>
          <t>Nº 6313</t>
        </is>
      </c>
      <c r="D1006" s="14" t="inlineStr">
        <is>
          <t>MANFIL 800 WP</t>
        </is>
      </c>
      <c r="E1006" s="13" t="inlineStr">
        <is>
          <t>Pulverização Agrícola Conforme Bula</t>
        </is>
      </c>
      <c r="F1006" s="13" t="inlineStr">
        <is>
          <t>Batata</t>
        </is>
      </c>
      <c r="G1006" s="13" t="inlineStr">
        <is>
          <t>Cultura Autorizada na Bula</t>
        </is>
      </c>
      <c r="H1006" s="13" t="inlineStr">
        <is>
          <t>100 a 300 L/ha</t>
        </is>
      </c>
      <c r="I1006" s="13" t="inlineStr">
        <is>
          <t>20 a 40 L/ha</t>
        </is>
      </c>
      <c r="J1006" s="13" t="inlineStr">
        <is>
          <t>7 dias</t>
        </is>
      </c>
    </row>
    <row r="1007" ht="22" customHeight="1">
      <c r="A1007" s="6" t="inlineStr">
        <is>
          <t>CUL-1003</t>
        </is>
      </c>
      <c r="B1007" s="5" t="n">
        <v>194</v>
      </c>
      <c r="C1007" s="7" t="inlineStr">
        <is>
          <t>Nº 6313</t>
        </is>
      </c>
      <c r="D1007" s="8" t="inlineStr">
        <is>
          <t>MANFIL 800 WP</t>
        </is>
      </c>
      <c r="E1007" s="7" t="inlineStr">
        <is>
          <t>Pulverização Agrícola Conforme Bula</t>
        </is>
      </c>
      <c r="F1007" s="7" t="inlineStr">
        <is>
          <t>Tomate</t>
        </is>
      </c>
      <c r="G1007" s="7" t="inlineStr">
        <is>
          <t>Cultura Autorizada na Bula</t>
        </is>
      </c>
      <c r="H1007" s="7" t="inlineStr">
        <is>
          <t>100 a 300 L/ha</t>
        </is>
      </c>
      <c r="I1007" s="7" t="inlineStr">
        <is>
          <t>20 a 40 L/ha</t>
        </is>
      </c>
      <c r="J1007" s="7" t="inlineStr">
        <is>
          <t>7 dias</t>
        </is>
      </c>
    </row>
    <row r="1008" ht="22" customHeight="1">
      <c r="A1008" s="12" t="inlineStr">
        <is>
          <t>CUL-1004</t>
        </is>
      </c>
      <c r="B1008" s="11" t="n">
        <v>194</v>
      </c>
      <c r="C1008" s="13" t="inlineStr">
        <is>
          <t>Nº 6313</t>
        </is>
      </c>
      <c r="D1008" s="14" t="inlineStr">
        <is>
          <t>MANFIL 800 WP</t>
        </is>
      </c>
      <c r="E1008" s="13" t="inlineStr">
        <is>
          <t>Pulverização Agrícola Conforme Bula</t>
        </is>
      </c>
      <c r="F1008" s="13" t="inlineStr">
        <is>
          <t>Trigo</t>
        </is>
      </c>
      <c r="G1008" s="13" t="inlineStr">
        <is>
          <t>Cultura Autorizada na Bula</t>
        </is>
      </c>
      <c r="H1008" s="13" t="inlineStr">
        <is>
          <t>100 a 300 L/ha</t>
        </is>
      </c>
      <c r="I1008" s="13" t="inlineStr">
        <is>
          <t>20 a 40 L/ha</t>
        </is>
      </c>
      <c r="J1008" s="13" t="inlineStr">
        <is>
          <t>21 dias</t>
        </is>
      </c>
    </row>
    <row r="1009" ht="22" customHeight="1">
      <c r="A1009" s="6" t="inlineStr">
        <is>
          <t>CUL-1005</t>
        </is>
      </c>
      <c r="B1009" s="5" t="n">
        <v>195</v>
      </c>
      <c r="C1009" s="7" t="inlineStr">
        <is>
          <t>Nº 15716</t>
        </is>
      </c>
      <c r="D1009" s="8" t="inlineStr">
        <is>
          <t>DIFCOR 250 EC BR</t>
        </is>
      </c>
      <c r="E1009" s="7" t="inlineStr">
        <is>
          <t>Pulverização Agrícola Conforme Bula</t>
        </is>
      </c>
      <c r="F1009" s="7" t="inlineStr">
        <is>
          <t>Soja</t>
        </is>
      </c>
      <c r="G1009" s="7" t="inlineStr">
        <is>
          <t>Cultura Autorizada na Bula</t>
        </is>
      </c>
      <c r="H1009" s="7" t="inlineStr">
        <is>
          <t>100 a 300 L/ha</t>
        </is>
      </c>
      <c r="I1009" s="7" t="inlineStr">
        <is>
          <t>20 a 40 L/ha</t>
        </is>
      </c>
      <c r="J1009" s="7" t="inlineStr">
        <is>
          <t>30 dias</t>
        </is>
      </c>
    </row>
    <row r="1010" ht="22" customHeight="1">
      <c r="A1010" s="12" t="inlineStr">
        <is>
          <t>CUL-1006</t>
        </is>
      </c>
      <c r="B1010" s="11" t="n">
        <v>195</v>
      </c>
      <c r="C1010" s="13" t="inlineStr">
        <is>
          <t>Nº 15716</t>
        </is>
      </c>
      <c r="D1010" s="14" t="inlineStr">
        <is>
          <t>DIFCOR 250 EC BR</t>
        </is>
      </c>
      <c r="E1010" s="13" t="inlineStr">
        <is>
          <t>Pulverização Agrícola Conforme Bula</t>
        </is>
      </c>
      <c r="F1010" s="13" t="inlineStr">
        <is>
          <t>Algodão</t>
        </is>
      </c>
      <c r="G1010" s="13" t="inlineStr">
        <is>
          <t>Cultura Autorizada na Bula</t>
        </is>
      </c>
      <c r="H1010" s="13" t="inlineStr">
        <is>
          <t>100 a 300 L/ha</t>
        </is>
      </c>
      <c r="I1010" s="13" t="inlineStr">
        <is>
          <t>20 a 40 L/ha</t>
        </is>
      </c>
      <c r="J1010" s="13" t="inlineStr">
        <is>
          <t>30 dias</t>
        </is>
      </c>
    </row>
    <row r="1011" ht="22" customHeight="1">
      <c r="A1011" s="6" t="inlineStr">
        <is>
          <t>CUL-1007</t>
        </is>
      </c>
      <c r="B1011" s="5" t="n">
        <v>195</v>
      </c>
      <c r="C1011" s="7" t="inlineStr">
        <is>
          <t>Nº 15716</t>
        </is>
      </c>
      <c r="D1011" s="8" t="inlineStr">
        <is>
          <t>DIFCOR 250 EC BR</t>
        </is>
      </c>
      <c r="E1011" s="7" t="inlineStr">
        <is>
          <t>Pulverização Agrícola Conforme Bula</t>
        </is>
      </c>
      <c r="F1011" s="7" t="inlineStr">
        <is>
          <t>Feijão</t>
        </is>
      </c>
      <c r="G1011" s="7" t="inlineStr">
        <is>
          <t>Cultura Autorizada na Bula</t>
        </is>
      </c>
      <c r="H1011" s="7" t="inlineStr">
        <is>
          <t>100 a 300 L/ha</t>
        </is>
      </c>
      <c r="I1011" s="7" t="inlineStr">
        <is>
          <t>20 a 40 L/ha</t>
        </is>
      </c>
      <c r="J1011" s="7" t="inlineStr">
        <is>
          <t>14 dias</t>
        </is>
      </c>
    </row>
    <row r="1012" ht="22" customHeight="1">
      <c r="A1012" s="12" t="inlineStr">
        <is>
          <t>CUL-1008</t>
        </is>
      </c>
      <c r="B1012" s="11" t="n">
        <v>195</v>
      </c>
      <c r="C1012" s="13" t="inlineStr">
        <is>
          <t>Nº 15716</t>
        </is>
      </c>
      <c r="D1012" s="14" t="inlineStr">
        <is>
          <t>DIFCOR 250 EC BR</t>
        </is>
      </c>
      <c r="E1012" s="13" t="inlineStr">
        <is>
          <t>Pulverização Agrícola Conforme Bula</t>
        </is>
      </c>
      <c r="F1012" s="13" t="inlineStr">
        <is>
          <t>Arroz</t>
        </is>
      </c>
      <c r="G1012" s="13" t="inlineStr">
        <is>
          <t>Cultura Autorizada na Bula</t>
        </is>
      </c>
      <c r="H1012" s="13" t="inlineStr">
        <is>
          <t>100 a 300 L/ha</t>
        </is>
      </c>
      <c r="I1012" s="13" t="inlineStr">
        <is>
          <t>20 a 40 L/ha</t>
        </is>
      </c>
      <c r="J1012" s="13" t="inlineStr">
        <is>
          <t>40 dias</t>
        </is>
      </c>
    </row>
    <row r="1013" ht="22" customHeight="1">
      <c r="A1013" s="6" t="inlineStr">
        <is>
          <t>CUL-1009</t>
        </is>
      </c>
      <c r="B1013" s="5" t="n">
        <v>195</v>
      </c>
      <c r="C1013" s="7" t="inlineStr">
        <is>
          <t>Nº 15716</t>
        </is>
      </c>
      <c r="D1013" s="8" t="inlineStr">
        <is>
          <t>DIFCOR 250 EC BR</t>
        </is>
      </c>
      <c r="E1013" s="7" t="inlineStr">
        <is>
          <t>Pulverização Agrícola Conforme Bula</t>
        </is>
      </c>
      <c r="F1013" s="7" t="inlineStr">
        <is>
          <t>Café</t>
        </is>
      </c>
      <c r="G1013" s="7" t="inlineStr">
        <is>
          <t>Cultura Autorizada na Bula</t>
        </is>
      </c>
      <c r="H1013" s="7" t="inlineStr">
        <is>
          <t>100 a 300 L/ha</t>
        </is>
      </c>
      <c r="I1013" s="7" t="inlineStr">
        <is>
          <t>20 a 40 L/ha</t>
        </is>
      </c>
      <c r="J1013" s="7" t="inlineStr">
        <is>
          <t>30 dias</t>
        </is>
      </c>
    </row>
    <row r="1014" ht="22" customHeight="1">
      <c r="A1014" s="12" t="inlineStr">
        <is>
          <t>CUL-1010</t>
        </is>
      </c>
      <c r="B1014" s="11" t="n">
        <v>195</v>
      </c>
      <c r="C1014" s="13" t="inlineStr">
        <is>
          <t>Nº 15716</t>
        </is>
      </c>
      <c r="D1014" s="14" t="inlineStr">
        <is>
          <t>DIFCOR 250 EC BR</t>
        </is>
      </c>
      <c r="E1014" s="13" t="inlineStr">
        <is>
          <t>Pulverização Agrícola Conforme Bula</t>
        </is>
      </c>
      <c r="F1014" s="13" t="inlineStr">
        <is>
          <t>Trigo</t>
        </is>
      </c>
      <c r="G1014" s="13" t="inlineStr">
        <is>
          <t>Cultura Autorizada na Bula</t>
        </is>
      </c>
      <c r="H1014" s="13" t="inlineStr">
        <is>
          <t>100 a 300 L/ha</t>
        </is>
      </c>
      <c r="I1014" s="13" t="inlineStr">
        <is>
          <t>20 a 40 L/ha</t>
        </is>
      </c>
      <c r="J1014" s="13" t="inlineStr">
        <is>
          <t>35 dias</t>
        </is>
      </c>
    </row>
    <row r="1015" ht="22" customHeight="1">
      <c r="A1015" s="6" t="inlineStr">
        <is>
          <t>CUL-1011</t>
        </is>
      </c>
      <c r="B1015" s="5" t="n">
        <v>195</v>
      </c>
      <c r="C1015" s="7" t="inlineStr">
        <is>
          <t>Nº 15716</t>
        </is>
      </c>
      <c r="D1015" s="8" t="inlineStr">
        <is>
          <t>DIFCOR 250 EC BR</t>
        </is>
      </c>
      <c r="E1015" s="7" t="inlineStr">
        <is>
          <t>Pulverização Agrícola Conforme Bula</t>
        </is>
      </c>
      <c r="F1015" s="7" t="inlineStr">
        <is>
          <t>Tomate</t>
        </is>
      </c>
      <c r="G1015" s="7" t="inlineStr">
        <is>
          <t>Cultura Autorizada na Bula</t>
        </is>
      </c>
      <c r="H1015" s="7" t="inlineStr">
        <is>
          <t>100 a 300 L/ha</t>
        </is>
      </c>
      <c r="I1015" s="7" t="inlineStr">
        <is>
          <t>20 a 40 L/ha</t>
        </is>
      </c>
      <c r="J1015" s="7" t="inlineStr">
        <is>
          <t>7 dias</t>
        </is>
      </c>
    </row>
    <row r="1016" ht="22" customHeight="1">
      <c r="A1016" s="12" t="inlineStr">
        <is>
          <t>CUL-1012</t>
        </is>
      </c>
      <c r="B1016" s="11" t="n">
        <v>196</v>
      </c>
      <c r="C1016" s="13" t="inlineStr">
        <is>
          <t>SIPEAGRO (UF-XXXXX)</t>
        </is>
      </c>
      <c r="D1016" s="14" t="inlineStr">
        <is>
          <t>BIOMAX PREMIUM LIQ SOJA 4X1,8L</t>
        </is>
      </c>
      <c r="E1016" s="13" t="inlineStr">
        <is>
          <t>Pulverização Agrícola Conforme Bula</t>
        </is>
      </c>
      <c r="F1016" s="13" t="inlineStr">
        <is>
          <t>Soja</t>
        </is>
      </c>
      <c r="G1016" s="13" t="inlineStr">
        <is>
          <t>Cultura Autorizada na Bula</t>
        </is>
      </c>
      <c r="H1016" s="13" t="inlineStr">
        <is>
          <t>100 a 300 L/ha</t>
        </is>
      </c>
      <c r="I1016" s="13" t="inlineStr">
        <is>
          <t>20 a 40 L/ha</t>
        </is>
      </c>
      <c r="J1016" s="13" t="inlineStr">
        <is>
          <t>0 (Isento)</t>
        </is>
      </c>
    </row>
    <row r="1017" ht="22" customHeight="1">
      <c r="A1017" s="6" t="inlineStr">
        <is>
          <t>CUL-1013</t>
        </is>
      </c>
      <c r="B1017" s="5" t="n">
        <v>196</v>
      </c>
      <c r="C1017" s="7" t="inlineStr">
        <is>
          <t>SIPEAGRO (UF-XXXXX)</t>
        </is>
      </c>
      <c r="D1017" s="8" t="inlineStr">
        <is>
          <t>BIOMAX PREMIUM LIQ SOJA 4X1,8L</t>
        </is>
      </c>
      <c r="E1017" s="7" t="inlineStr">
        <is>
          <t>Pulverização Agrícola Conforme Bula</t>
        </is>
      </c>
      <c r="F1017" s="7" t="inlineStr">
        <is>
          <t>Milho</t>
        </is>
      </c>
      <c r="G1017" s="7" t="inlineStr">
        <is>
          <t>Cultura Autorizada na Bula</t>
        </is>
      </c>
      <c r="H1017" s="7" t="inlineStr">
        <is>
          <t>100 a 300 L/ha</t>
        </is>
      </c>
      <c r="I1017" s="7" t="inlineStr">
        <is>
          <t>20 a 40 L/ha</t>
        </is>
      </c>
      <c r="J1017" s="7" t="inlineStr">
        <is>
          <t>0 (Isento)</t>
        </is>
      </c>
    </row>
    <row r="1018" ht="22" customHeight="1">
      <c r="A1018" s="12" t="inlineStr">
        <is>
          <t>CUL-1014</t>
        </is>
      </c>
      <c r="B1018" s="11" t="n">
        <v>196</v>
      </c>
      <c r="C1018" s="13" t="inlineStr">
        <is>
          <t>SIPEAGRO (UF-XXXXX)</t>
        </is>
      </c>
      <c r="D1018" s="14" t="inlineStr">
        <is>
          <t>BIOMAX PREMIUM LIQ SOJA 4X1,8L</t>
        </is>
      </c>
      <c r="E1018" s="13" t="inlineStr">
        <is>
          <t>Pulverização Agrícola Conforme Bula</t>
        </is>
      </c>
      <c r="F1018" s="13" t="inlineStr">
        <is>
          <t>Feijão</t>
        </is>
      </c>
      <c r="G1018" s="13" t="inlineStr">
        <is>
          <t>Cultura Autorizada na Bula</t>
        </is>
      </c>
      <c r="H1018" s="13" t="inlineStr">
        <is>
          <t>100 a 300 L/ha</t>
        </is>
      </c>
      <c r="I1018" s="13" t="inlineStr">
        <is>
          <t>20 a 40 L/ha</t>
        </is>
      </c>
      <c r="J1018" s="13" t="inlineStr">
        <is>
          <t>0 (Isento)</t>
        </is>
      </c>
    </row>
    <row r="1019" ht="22" customHeight="1">
      <c r="A1019" s="6" t="inlineStr">
        <is>
          <t>CUL-1015</t>
        </is>
      </c>
      <c r="B1019" s="5" t="n">
        <v>196</v>
      </c>
      <c r="C1019" s="7" t="inlineStr">
        <is>
          <t>SIPEAGRO (UF-XXXXX)</t>
        </is>
      </c>
      <c r="D1019" s="8" t="inlineStr">
        <is>
          <t>BIOMAX PREMIUM LIQ SOJA 4X1,8L</t>
        </is>
      </c>
      <c r="E1019" s="7" t="inlineStr">
        <is>
          <t>Pulverização Agrícola Conforme Bula</t>
        </is>
      </c>
      <c r="F1019" s="7" t="inlineStr">
        <is>
          <t>Algodão</t>
        </is>
      </c>
      <c r="G1019" s="7" t="inlineStr">
        <is>
          <t>Cultura Autorizada na Bula</t>
        </is>
      </c>
      <c r="H1019" s="7" t="inlineStr">
        <is>
          <t>100 a 300 L/ha</t>
        </is>
      </c>
      <c r="I1019" s="7" t="inlineStr">
        <is>
          <t>20 a 40 L/ha</t>
        </is>
      </c>
      <c r="J1019" s="7" t="inlineStr">
        <is>
          <t>0 (Isento)</t>
        </is>
      </c>
    </row>
    <row r="1020" ht="22" customHeight="1">
      <c r="A1020" s="12" t="inlineStr">
        <is>
          <t>CUL-1016</t>
        </is>
      </c>
      <c r="B1020" s="11" t="n">
        <v>197</v>
      </c>
      <c r="C1020" s="13" t="inlineStr">
        <is>
          <t>Nº 12812</t>
        </is>
      </c>
      <c r="D1020" s="14" t="inlineStr">
        <is>
          <t>INSIDE FS</t>
        </is>
      </c>
      <c r="E1020" s="13" t="inlineStr">
        <is>
          <t>Tratamento de Sementes / Sulco</t>
        </is>
      </c>
      <c r="F1020" s="13" t="inlineStr">
        <is>
          <t>Soja</t>
        </is>
      </c>
      <c r="G1020" s="13" t="inlineStr">
        <is>
          <t>Cultura Autorizada na Bula</t>
        </is>
      </c>
      <c r="H1020" s="13" t="inlineStr">
        <is>
          <t>Calda TS (0,2 a 0,6 L/100kg sem.)</t>
        </is>
      </c>
      <c r="I1020" s="13" t="inlineStr">
        <is>
          <t>Não Autorizada (TS)</t>
        </is>
      </c>
      <c r="J1020" s="13" t="inlineStr">
        <is>
          <t>21 dias</t>
        </is>
      </c>
    </row>
    <row r="1021" ht="22" customHeight="1">
      <c r="A1021" s="6" t="inlineStr">
        <is>
          <t>CUL-1017</t>
        </is>
      </c>
      <c r="B1021" s="5" t="n">
        <v>197</v>
      </c>
      <c r="C1021" s="7" t="inlineStr">
        <is>
          <t>Nº 12812</t>
        </is>
      </c>
      <c r="D1021" s="8" t="inlineStr">
        <is>
          <t>INSIDE FS</t>
        </is>
      </c>
      <c r="E1021" s="7" t="inlineStr">
        <is>
          <t>Tratamento de Sementes / Sulco</t>
        </is>
      </c>
      <c r="F1021" s="7" t="inlineStr">
        <is>
          <t>Milho</t>
        </is>
      </c>
      <c r="G1021" s="7" t="inlineStr">
        <is>
          <t>Cultura Autorizada na Bula</t>
        </is>
      </c>
      <c r="H1021" s="7" t="inlineStr">
        <is>
          <t>Calda TS (0,2 a 0,6 L/100kg sem.)</t>
        </is>
      </c>
      <c r="I1021" s="7" t="inlineStr">
        <is>
          <t>Não Autorizada (TS)</t>
        </is>
      </c>
      <c r="J1021" s="7" t="inlineStr">
        <is>
          <t>21 dias</t>
        </is>
      </c>
    </row>
    <row r="1022" ht="22" customHeight="1">
      <c r="A1022" s="12" t="inlineStr">
        <is>
          <t>CUL-1018</t>
        </is>
      </c>
      <c r="B1022" s="11" t="n">
        <v>197</v>
      </c>
      <c r="C1022" s="13" t="inlineStr">
        <is>
          <t>Nº 12812</t>
        </is>
      </c>
      <c r="D1022" s="14" t="inlineStr">
        <is>
          <t>INSIDE FS</t>
        </is>
      </c>
      <c r="E1022" s="13" t="inlineStr">
        <is>
          <t>Tratamento de Sementes / Sulco</t>
        </is>
      </c>
      <c r="F1022" s="13" t="inlineStr">
        <is>
          <t>Algodão</t>
        </is>
      </c>
      <c r="G1022" s="13" t="inlineStr">
        <is>
          <t>Cultura Autorizada na Bula</t>
        </is>
      </c>
      <c r="H1022" s="13" t="inlineStr">
        <is>
          <t>Calda TS (0,2 a 0,6 L/100kg sem.)</t>
        </is>
      </c>
      <c r="I1022" s="13" t="inlineStr">
        <is>
          <t>Não Autorizada (TS)</t>
        </is>
      </c>
      <c r="J1022" s="13" t="inlineStr">
        <is>
          <t>21 dias</t>
        </is>
      </c>
    </row>
    <row r="1023" ht="22" customHeight="1">
      <c r="A1023" s="6" t="inlineStr">
        <is>
          <t>CUL-1019</t>
        </is>
      </c>
      <c r="B1023" s="5" t="n">
        <v>197</v>
      </c>
      <c r="C1023" s="7" t="inlineStr">
        <is>
          <t>Nº 12812</t>
        </is>
      </c>
      <c r="D1023" s="8" t="inlineStr">
        <is>
          <t>INSIDE FS</t>
        </is>
      </c>
      <c r="E1023" s="7" t="inlineStr">
        <is>
          <t>Tratamento de Sementes / Sulco</t>
        </is>
      </c>
      <c r="F1023" s="7" t="inlineStr">
        <is>
          <t>Feijão</t>
        </is>
      </c>
      <c r="G1023" s="7" t="inlineStr">
        <is>
          <t>Cultura Autorizada na Bula</t>
        </is>
      </c>
      <c r="H1023" s="7" t="inlineStr">
        <is>
          <t>Calda TS (0,2 a 0,6 L/100kg sem.)</t>
        </is>
      </c>
      <c r="I1023" s="7" t="inlineStr">
        <is>
          <t>Não Autorizada (TS)</t>
        </is>
      </c>
      <c r="J1023" s="7" t="inlineStr">
        <is>
          <t>14 dias</t>
        </is>
      </c>
    </row>
    <row r="1024" ht="22" customHeight="1">
      <c r="A1024" s="12" t="inlineStr">
        <is>
          <t>CUL-1020</t>
        </is>
      </c>
      <c r="B1024" s="11" t="n">
        <v>198</v>
      </c>
      <c r="C1024" s="13" t="inlineStr">
        <is>
          <t>Nº 22417</t>
        </is>
      </c>
      <c r="D1024" s="14" t="inlineStr">
        <is>
          <t>SUMYZIN</t>
        </is>
      </c>
      <c r="E1024" s="13" t="inlineStr">
        <is>
          <t>Pulverização Agrícola Conforme Bula</t>
        </is>
      </c>
      <c r="F1024" s="13" t="inlineStr">
        <is>
          <t>Soja (Pré-Plantio)</t>
        </is>
      </c>
      <c r="G1024" s="13" t="inlineStr">
        <is>
          <t>Cultura Autorizada na Bula</t>
        </is>
      </c>
      <c r="H1024" s="13" t="inlineStr">
        <is>
          <t>100 a 300 L/ha</t>
        </is>
      </c>
      <c r="I1024" s="13" t="inlineStr">
        <is>
          <t>20 a 40 L/ha</t>
        </is>
      </c>
      <c r="J1024" s="13" t="inlineStr">
        <is>
          <t>N/D</t>
        </is>
      </c>
    </row>
    <row r="1025" ht="22" customHeight="1">
      <c r="A1025" s="6" t="inlineStr">
        <is>
          <t>CUL-1021</t>
        </is>
      </c>
      <c r="B1025" s="5" t="n">
        <v>198</v>
      </c>
      <c r="C1025" s="7" t="inlineStr">
        <is>
          <t>Nº 22417</t>
        </is>
      </c>
      <c r="D1025" s="8" t="inlineStr">
        <is>
          <t>SUMYZIN</t>
        </is>
      </c>
      <c r="E1025" s="7" t="inlineStr">
        <is>
          <t>Pulverização Agrícola Conforme Bula</t>
        </is>
      </c>
      <c r="F1025" s="7" t="inlineStr">
        <is>
          <t>Algodão</t>
        </is>
      </c>
      <c r="G1025" s="7" t="inlineStr">
        <is>
          <t>Cultura Autorizada na Bula</t>
        </is>
      </c>
      <c r="H1025" s="7" t="inlineStr">
        <is>
          <t>100 a 300 L/ha</t>
        </is>
      </c>
      <c r="I1025" s="7" t="inlineStr">
        <is>
          <t>20 a 40 L/ha</t>
        </is>
      </c>
      <c r="J1025" s="7" t="inlineStr">
        <is>
          <t>90 dias</t>
        </is>
      </c>
    </row>
    <row r="1026" ht="22" customHeight="1">
      <c r="A1026" s="12" t="inlineStr">
        <is>
          <t>CUL-1022</t>
        </is>
      </c>
      <c r="B1026" s="11" t="n">
        <v>198</v>
      </c>
      <c r="C1026" s="13" t="inlineStr">
        <is>
          <t>Nº 22417</t>
        </is>
      </c>
      <c r="D1026" s="14" t="inlineStr">
        <is>
          <t>SUMYZIN</t>
        </is>
      </c>
      <c r="E1026" s="13" t="inlineStr">
        <is>
          <t>Pulverização Agrícola Conforme Bula</t>
        </is>
      </c>
      <c r="F1026" s="13" t="inlineStr">
        <is>
          <t>Cana-de-açúcar</t>
        </is>
      </c>
      <c r="G1026" s="13" t="inlineStr">
        <is>
          <t>Cultura Autorizada na Bula</t>
        </is>
      </c>
      <c r="H1026" s="13" t="inlineStr">
        <is>
          <t>100 a 300 L/ha</t>
        </is>
      </c>
      <c r="I1026" s="13" t="inlineStr">
        <is>
          <t>20 a 40 L/ha</t>
        </is>
      </c>
      <c r="J1026" s="13" t="inlineStr">
        <is>
          <t>85 dias</t>
        </is>
      </c>
    </row>
    <row r="1027" ht="22" customHeight="1">
      <c r="A1027" s="6" t="inlineStr">
        <is>
          <t>CUL-1023</t>
        </is>
      </c>
      <c r="B1027" s="5" t="n">
        <v>198</v>
      </c>
      <c r="C1027" s="7" t="inlineStr">
        <is>
          <t>Nº 22417</t>
        </is>
      </c>
      <c r="D1027" s="8" t="inlineStr">
        <is>
          <t>SUMYZIN</t>
        </is>
      </c>
      <c r="E1027" s="7" t="inlineStr">
        <is>
          <t>Pulverização Agrícola Conforme Bula</t>
        </is>
      </c>
      <c r="F1027" s="7" t="inlineStr">
        <is>
          <t>Café</t>
        </is>
      </c>
      <c r="G1027" s="7" t="inlineStr">
        <is>
          <t>Cultura Autorizada na Bula</t>
        </is>
      </c>
      <c r="H1027" s="7" t="inlineStr">
        <is>
          <t>100 a 300 L/ha</t>
        </is>
      </c>
      <c r="I1027" s="7" t="inlineStr">
        <is>
          <t>20 a 40 L/ha</t>
        </is>
      </c>
      <c r="J1027" s="7" t="inlineStr">
        <is>
          <t>15 dias</t>
        </is>
      </c>
    </row>
    <row r="1028" ht="22" customHeight="1">
      <c r="A1028" s="12" t="inlineStr">
        <is>
          <t>CUL-1024</t>
        </is>
      </c>
      <c r="B1028" s="11" t="n">
        <v>198</v>
      </c>
      <c r="C1028" s="13" t="inlineStr">
        <is>
          <t>Nº 22417</t>
        </is>
      </c>
      <c r="D1028" s="14" t="inlineStr">
        <is>
          <t>SUMYZIN</t>
        </is>
      </c>
      <c r="E1028" s="13" t="inlineStr">
        <is>
          <t>Pulverização Agrícola Conforme Bula</t>
        </is>
      </c>
      <c r="F1028" s="13" t="inlineStr">
        <is>
          <t>Citros</t>
        </is>
      </c>
      <c r="G1028" s="13" t="inlineStr">
        <is>
          <t>Cultura Autorizada na Bula</t>
        </is>
      </c>
      <c r="H1028" s="13" t="inlineStr">
        <is>
          <t>100 a 300 L/ha</t>
        </is>
      </c>
      <c r="I1028" s="13" t="inlineStr">
        <is>
          <t>20 a 40 L/ha</t>
        </is>
      </c>
      <c r="J1028" s="13" t="inlineStr">
        <is>
          <t>N/D</t>
        </is>
      </c>
    </row>
    <row r="1029" ht="22" customHeight="1">
      <c r="A1029" s="6" t="inlineStr">
        <is>
          <t>CUL-1025</t>
        </is>
      </c>
      <c r="B1029" s="5" t="n">
        <v>198</v>
      </c>
      <c r="C1029" s="7" t="inlineStr">
        <is>
          <t>Nº 22417</t>
        </is>
      </c>
      <c r="D1029" s="8" t="inlineStr">
        <is>
          <t>SUMYZIN</t>
        </is>
      </c>
      <c r="E1029" s="7" t="inlineStr">
        <is>
          <t>Pulverização Agrícola Conforme Bula</t>
        </is>
      </c>
      <c r="F1029" s="7" t="inlineStr">
        <is>
          <t>Feijão</t>
        </is>
      </c>
      <c r="G1029" s="7" t="inlineStr">
        <is>
          <t>Cultura Autorizada na Bula</t>
        </is>
      </c>
      <c r="H1029" s="7" t="inlineStr">
        <is>
          <t>100 a 300 L/ha</t>
        </is>
      </c>
      <c r="I1029" s="7" t="inlineStr">
        <is>
          <t>20 a 40 L/ha</t>
        </is>
      </c>
      <c r="J1029" s="7" t="inlineStr">
        <is>
          <t>N/D</t>
        </is>
      </c>
    </row>
    <row r="1030" ht="22" customHeight="1">
      <c r="A1030" s="12" t="inlineStr">
        <is>
          <t>CUL-1026</t>
        </is>
      </c>
      <c r="B1030" s="11" t="n">
        <v>199</v>
      </c>
      <c r="C1030" s="13" t="inlineStr">
        <is>
          <t>Nº 28520</t>
        </is>
      </c>
      <c r="D1030" s="14" t="inlineStr">
        <is>
          <t>SENHA 720 WG</t>
        </is>
      </c>
      <c r="E1030" s="13" t="inlineStr">
        <is>
          <t>Pulverização Agrícola Conforme Bula</t>
        </is>
      </c>
      <c r="F1030" s="13" t="inlineStr">
        <is>
          <t>Soja (Pré-Plantio / OGM)</t>
        </is>
      </c>
      <c r="G1030" s="13" t="inlineStr">
        <is>
          <t>Cultura Autorizada na Bula</t>
        </is>
      </c>
      <c r="H1030" s="13" t="inlineStr">
        <is>
          <t>100 a 300 L/ha</t>
        </is>
      </c>
      <c r="I1030" s="13" t="inlineStr">
        <is>
          <t>20 a 40 L/ha</t>
        </is>
      </c>
      <c r="J1030" s="13" t="inlineStr">
        <is>
          <t>56 dias</t>
        </is>
      </c>
    </row>
    <row r="1031" ht="22" customHeight="1">
      <c r="A1031" s="6" t="inlineStr">
        <is>
          <t>CUL-1027</t>
        </is>
      </c>
      <c r="B1031" s="5" t="n">
        <v>199</v>
      </c>
      <c r="C1031" s="7" t="inlineStr">
        <is>
          <t>Nº 28520</t>
        </is>
      </c>
      <c r="D1031" s="8" t="inlineStr">
        <is>
          <t>SENHA 720 WG</t>
        </is>
      </c>
      <c r="E1031" s="7" t="inlineStr">
        <is>
          <t>Pulverização Agrícola Conforme Bula</t>
        </is>
      </c>
      <c r="F1031" s="7" t="inlineStr">
        <is>
          <t>Milho (Pré-Plantio / OGM)</t>
        </is>
      </c>
      <c r="G1031" s="7" t="inlineStr">
        <is>
          <t>Cultura Autorizada na Bula</t>
        </is>
      </c>
      <c r="H1031" s="7" t="inlineStr">
        <is>
          <t>100 a 300 L/ha</t>
        </is>
      </c>
      <c r="I1031" s="7" t="inlineStr">
        <is>
          <t>20 a 40 L/ha</t>
        </is>
      </c>
      <c r="J1031" s="7" t="inlineStr">
        <is>
          <t>90 dias</t>
        </is>
      </c>
    </row>
    <row r="1032" ht="22" customHeight="1">
      <c r="A1032" s="12" t="inlineStr">
        <is>
          <t>CUL-1028</t>
        </is>
      </c>
      <c r="B1032" s="11" t="n">
        <v>199</v>
      </c>
      <c r="C1032" s="13" t="inlineStr">
        <is>
          <t>Nº 28520</t>
        </is>
      </c>
      <c r="D1032" s="14" t="inlineStr">
        <is>
          <t>SENHA 720 WG</t>
        </is>
      </c>
      <c r="E1032" s="13" t="inlineStr">
        <is>
          <t>Pulverização Agrícola Conforme Bula</t>
        </is>
      </c>
      <c r="F1032" s="13" t="inlineStr">
        <is>
          <t>Algodão (Pré-Plantio / OGM)</t>
        </is>
      </c>
      <c r="G1032" s="13" t="inlineStr">
        <is>
          <t>Cultura Autorizada na Bula</t>
        </is>
      </c>
      <c r="H1032" s="13" t="inlineStr">
        <is>
          <t>100 a 300 L/ha</t>
        </is>
      </c>
      <c r="I1032" s="13" t="inlineStr">
        <is>
          <t>20 a 40 L/ha</t>
        </is>
      </c>
      <c r="J1032" s="13" t="inlineStr">
        <is>
          <t>130 dias</t>
        </is>
      </c>
    </row>
    <row r="1033" ht="22" customHeight="1">
      <c r="A1033" s="6" t="inlineStr">
        <is>
          <t>CUL-1029</t>
        </is>
      </c>
      <c r="B1033" s="5" t="n">
        <v>199</v>
      </c>
      <c r="C1033" s="7" t="inlineStr">
        <is>
          <t>Nº 28520</t>
        </is>
      </c>
      <c r="D1033" s="8" t="inlineStr">
        <is>
          <t>SENHA 720 WG</t>
        </is>
      </c>
      <c r="E1033" s="7" t="inlineStr">
        <is>
          <t>Pulverização Agrícola Conforme Bula</t>
        </is>
      </c>
      <c r="F1033" s="7" t="inlineStr">
        <is>
          <t>Cana-de-açúcar</t>
        </is>
      </c>
      <c r="G1033" s="7" t="inlineStr">
        <is>
          <t>Cultura Autorizada na Bula</t>
        </is>
      </c>
      <c r="H1033" s="7" t="inlineStr">
        <is>
          <t>100 a 300 L/ha</t>
        </is>
      </c>
      <c r="I1033" s="7" t="inlineStr">
        <is>
          <t>20 a 40 L/ha</t>
        </is>
      </c>
      <c r="J1033" s="7" t="inlineStr">
        <is>
          <t>N/D</t>
        </is>
      </c>
    </row>
    <row r="1034" ht="22" customHeight="1">
      <c r="A1034" s="12" t="inlineStr">
        <is>
          <t>CUL-1030</t>
        </is>
      </c>
      <c r="B1034" s="11" t="n">
        <v>199</v>
      </c>
      <c r="C1034" s="13" t="inlineStr">
        <is>
          <t>Nº 28520</t>
        </is>
      </c>
      <c r="D1034" s="14" t="inlineStr">
        <is>
          <t>SENHA 720 WG</t>
        </is>
      </c>
      <c r="E1034" s="13" t="inlineStr">
        <is>
          <t>Pulverização Agrícola Conforme Bula</t>
        </is>
      </c>
      <c r="F1034" s="13" t="inlineStr">
        <is>
          <t>Café (Jato Dirigido)</t>
        </is>
      </c>
      <c r="G1034" s="13" t="inlineStr">
        <is>
          <t>Cultura Autorizada na Bula</t>
        </is>
      </c>
      <c r="H1034" s="13" t="inlineStr">
        <is>
          <t>100 a 300 L/ha</t>
        </is>
      </c>
      <c r="I1034" s="13" t="inlineStr">
        <is>
          <t>20 a 40 L/ha</t>
        </is>
      </c>
      <c r="J1034" s="13" t="inlineStr">
        <is>
          <t>15 dias</t>
        </is>
      </c>
    </row>
    <row r="1035" ht="22" customHeight="1">
      <c r="A1035" s="6" t="inlineStr">
        <is>
          <t>CUL-1031</t>
        </is>
      </c>
      <c r="B1035" s="5" t="n">
        <v>199</v>
      </c>
      <c r="C1035" s="7" t="inlineStr">
        <is>
          <t>Nº 28520</t>
        </is>
      </c>
      <c r="D1035" s="8" t="inlineStr">
        <is>
          <t>SENHA 720 WG</t>
        </is>
      </c>
      <c r="E1035" s="7" t="inlineStr">
        <is>
          <t>Pulverização Agrícola Conforme Bula</t>
        </is>
      </c>
      <c r="F1035" s="7" t="inlineStr">
        <is>
          <t>Citros (Jato Dirigido)</t>
        </is>
      </c>
      <c r="G1035" s="7" t="inlineStr">
        <is>
          <t>Cultura Autorizada na Bula</t>
        </is>
      </c>
      <c r="H1035" s="7" t="inlineStr">
        <is>
          <t>100 a 300 L/ha</t>
        </is>
      </c>
      <c r="I1035" s="7" t="inlineStr">
        <is>
          <t>20 a 40 L/ha</t>
        </is>
      </c>
      <c r="J1035" s="7" t="inlineStr">
        <is>
          <t>30 dias</t>
        </is>
      </c>
    </row>
    <row r="1036" ht="22" customHeight="1">
      <c r="A1036" s="12" t="inlineStr">
        <is>
          <t>CUL-1032</t>
        </is>
      </c>
      <c r="B1036" s="11" t="n">
        <v>199</v>
      </c>
      <c r="C1036" s="13" t="inlineStr">
        <is>
          <t>Nº 28520</t>
        </is>
      </c>
      <c r="D1036" s="14" t="inlineStr">
        <is>
          <t>SENHA 720 WG</t>
        </is>
      </c>
      <c r="E1036" s="13" t="inlineStr">
        <is>
          <t>Pulverização Agrícola Conforme Bula</t>
        </is>
      </c>
      <c r="F1036" s="13" t="inlineStr">
        <is>
          <t>Trigo (Pré-Plantio)</t>
        </is>
      </c>
      <c r="G1036" s="13" t="inlineStr">
        <is>
          <t>Cultura Autorizada na Bula</t>
        </is>
      </c>
      <c r="H1036" s="13" t="inlineStr">
        <is>
          <t>100 a 300 L/ha</t>
        </is>
      </c>
      <c r="I1036" s="13" t="inlineStr">
        <is>
          <t>20 a 40 L/ha</t>
        </is>
      </c>
      <c r="J1036" s="13" t="inlineStr">
        <is>
          <t>N/D</t>
        </is>
      </c>
    </row>
    <row r="1037" ht="22" customHeight="1">
      <c r="A1037" s="6" t="inlineStr">
        <is>
          <t>CUL-1033</t>
        </is>
      </c>
      <c r="B1037" s="5" t="n">
        <v>199</v>
      </c>
      <c r="C1037" s="7" t="inlineStr">
        <is>
          <t>Nº 28520</t>
        </is>
      </c>
      <c r="D1037" s="8" t="inlineStr">
        <is>
          <t>SENHA 720 WG</t>
        </is>
      </c>
      <c r="E1037" s="7" t="inlineStr">
        <is>
          <t>Pulverização Agrícola Conforme Bula</t>
        </is>
      </c>
      <c r="F1037" s="7" t="inlineStr">
        <is>
          <t>Pastagens</t>
        </is>
      </c>
      <c r="G1037" s="7" t="inlineStr">
        <is>
          <t>Cultura Autorizada na Bula</t>
        </is>
      </c>
      <c r="H1037" s="7" t="inlineStr">
        <is>
          <t>100 a 300 L/ha</t>
        </is>
      </c>
      <c r="I1037" s="7" t="inlineStr">
        <is>
          <t>20 a 40 L/ha</t>
        </is>
      </c>
      <c r="J1037" s="7" t="inlineStr">
        <is>
          <t>N/D</t>
        </is>
      </c>
    </row>
    <row r="1038" ht="22" customHeight="1">
      <c r="A1038" s="12" t="inlineStr">
        <is>
          <t>CUL-1034</t>
        </is>
      </c>
      <c r="B1038" s="11" t="n">
        <v>200</v>
      </c>
      <c r="C1038" s="13" t="inlineStr">
        <is>
          <t>SIPEAGRO (UF-XXXXX)</t>
        </is>
      </c>
      <c r="D1038" s="14" t="inlineStr">
        <is>
          <t>AGCN MG 16</t>
        </is>
      </c>
      <c r="E1038" s="13" t="inlineStr">
        <is>
          <t>Adubação de Solo / Foliar</t>
        </is>
      </c>
      <c r="F1038" s="13" t="inlineStr">
        <is>
          <t>Soja</t>
        </is>
      </c>
      <c r="G1038" s="13" t="inlineStr">
        <is>
          <t>Cultura Autorizada na Bula</t>
        </is>
      </c>
      <c r="H1038" s="13" t="inlineStr">
        <is>
          <t>100 a 300 L/ha</t>
        </is>
      </c>
      <c r="I1038" s="13" t="inlineStr">
        <is>
          <t>20 a 40 L/ha</t>
        </is>
      </c>
      <c r="J1038" s="13" t="inlineStr">
        <is>
          <t>Isento</t>
        </is>
      </c>
    </row>
    <row r="1039" ht="22" customHeight="1">
      <c r="A1039" s="6" t="inlineStr">
        <is>
          <t>CUL-1035</t>
        </is>
      </c>
      <c r="B1039" s="5" t="n">
        <v>200</v>
      </c>
      <c r="C1039" s="7" t="inlineStr">
        <is>
          <t>SIPEAGRO (UF-XXXXX)</t>
        </is>
      </c>
      <c r="D1039" s="8" t="inlineStr">
        <is>
          <t>AGCN MG 16</t>
        </is>
      </c>
      <c r="E1039" s="7" t="inlineStr">
        <is>
          <t>Adubação de Solo / Foliar</t>
        </is>
      </c>
      <c r="F1039" s="7" t="inlineStr">
        <is>
          <t>Milho</t>
        </is>
      </c>
      <c r="G1039" s="7" t="inlineStr">
        <is>
          <t>Cultura Autorizada na Bula</t>
        </is>
      </c>
      <c r="H1039" s="7" t="inlineStr">
        <is>
          <t>100 a 300 L/ha</t>
        </is>
      </c>
      <c r="I1039" s="7" t="inlineStr">
        <is>
          <t>20 a 40 L/ha</t>
        </is>
      </c>
      <c r="J1039" s="7" t="inlineStr">
        <is>
          <t>Isento</t>
        </is>
      </c>
    </row>
    <row r="1040" ht="22" customHeight="1">
      <c r="A1040" s="12" t="inlineStr">
        <is>
          <t>CUL-1036</t>
        </is>
      </c>
      <c r="B1040" s="11" t="n">
        <v>200</v>
      </c>
      <c r="C1040" s="13" t="inlineStr">
        <is>
          <t>SIPEAGRO (UF-XXXXX)</t>
        </is>
      </c>
      <c r="D1040" s="14" t="inlineStr">
        <is>
          <t>AGCN MG 16</t>
        </is>
      </c>
      <c r="E1040" s="13" t="inlineStr">
        <is>
          <t>Adubação de Solo / Foliar</t>
        </is>
      </c>
      <c r="F1040" s="13" t="inlineStr">
        <is>
          <t>Algodão</t>
        </is>
      </c>
      <c r="G1040" s="13" t="inlineStr">
        <is>
          <t>Cultura Autorizada na Bula</t>
        </is>
      </c>
      <c r="H1040" s="13" t="inlineStr">
        <is>
          <t>100 a 300 L/ha</t>
        </is>
      </c>
      <c r="I1040" s="13" t="inlineStr">
        <is>
          <t>20 a 40 L/ha</t>
        </is>
      </c>
      <c r="J1040" s="13" t="inlineStr">
        <is>
          <t>Isento</t>
        </is>
      </c>
    </row>
    <row r="1041" ht="22" customHeight="1">
      <c r="A1041" s="6" t="inlineStr">
        <is>
          <t>CUL-1037</t>
        </is>
      </c>
      <c r="B1041" s="5" t="n">
        <v>200</v>
      </c>
      <c r="C1041" s="7" t="inlineStr">
        <is>
          <t>SIPEAGRO (UF-XXXXX)</t>
        </is>
      </c>
      <c r="D1041" s="8" t="inlineStr">
        <is>
          <t>AGCN MG 16</t>
        </is>
      </c>
      <c r="E1041" s="7" t="inlineStr">
        <is>
          <t>Adubação de Solo / Foliar</t>
        </is>
      </c>
      <c r="F1041" s="7" t="inlineStr">
        <is>
          <t>Cana-de-açúcar</t>
        </is>
      </c>
      <c r="G1041" s="7" t="inlineStr">
        <is>
          <t>Cultura Autorizada na Bula</t>
        </is>
      </c>
      <c r="H1041" s="7" t="inlineStr">
        <is>
          <t>100 a 300 L/ha</t>
        </is>
      </c>
      <c r="I1041" s="7" t="inlineStr">
        <is>
          <t>20 a 40 L/ha</t>
        </is>
      </c>
      <c r="J1041" s="7" t="inlineStr">
        <is>
          <t>Isento</t>
        </is>
      </c>
    </row>
    <row r="1042" ht="22" customHeight="1">
      <c r="A1042" s="12" t="inlineStr">
        <is>
          <t>CUL-1038</t>
        </is>
      </c>
      <c r="B1042" s="11" t="n">
        <v>200</v>
      </c>
      <c r="C1042" s="13" t="inlineStr">
        <is>
          <t>SIPEAGRO (UF-XXXXX)</t>
        </is>
      </c>
      <c r="D1042" s="14" t="inlineStr">
        <is>
          <t>AGCN MG 16</t>
        </is>
      </c>
      <c r="E1042" s="13" t="inlineStr">
        <is>
          <t>Adubação de Solo / Foliar</t>
        </is>
      </c>
      <c r="F1042" s="13" t="inlineStr">
        <is>
          <t>Café</t>
        </is>
      </c>
      <c r="G1042" s="13" t="inlineStr">
        <is>
          <t>Cultura Autorizada na Bula</t>
        </is>
      </c>
      <c r="H1042" s="13" t="inlineStr">
        <is>
          <t>100 a 300 L/ha</t>
        </is>
      </c>
      <c r="I1042" s="13" t="inlineStr">
        <is>
          <t>20 a 40 L/ha</t>
        </is>
      </c>
      <c r="J1042" s="13" t="inlineStr">
        <is>
          <t>Isento</t>
        </is>
      </c>
    </row>
    <row r="1043" ht="22" customHeight="1">
      <c r="A1043" s="6" t="inlineStr">
        <is>
          <t>CUL-1039</t>
        </is>
      </c>
      <c r="B1043" s="5" t="n">
        <v>201</v>
      </c>
      <c r="C1043" s="7" t="inlineStr">
        <is>
          <t>Nº 25119</t>
        </is>
      </c>
      <c r="D1043" s="8" t="inlineStr">
        <is>
          <t>GLIFOSATO 72WG ALAMOS</t>
        </is>
      </c>
      <c r="E1043" s="7" t="inlineStr">
        <is>
          <t>Pulverização Agrícola Conforme Bula</t>
        </is>
      </c>
      <c r="F1043" s="7" t="inlineStr">
        <is>
          <t>Soja (Pré-Plantio / OGM)</t>
        </is>
      </c>
      <c r="G1043" s="7" t="inlineStr">
        <is>
          <t>Cultura Autorizada na Bula</t>
        </is>
      </c>
      <c r="H1043" s="7" t="inlineStr">
        <is>
          <t>100 a 300 L/ha</t>
        </is>
      </c>
      <c r="I1043" s="7" t="inlineStr">
        <is>
          <t>20 a 40 L/ha</t>
        </is>
      </c>
      <c r="J1043" s="7" t="inlineStr">
        <is>
          <t>56 dias</t>
        </is>
      </c>
    </row>
    <row r="1044" ht="22" customHeight="1">
      <c r="A1044" s="12" t="inlineStr">
        <is>
          <t>CUL-1040</t>
        </is>
      </c>
      <c r="B1044" s="11" t="n">
        <v>201</v>
      </c>
      <c r="C1044" s="13" t="inlineStr">
        <is>
          <t>Nº 25119</t>
        </is>
      </c>
      <c r="D1044" s="14" t="inlineStr">
        <is>
          <t>GLIFOSATO 72WG ALAMOS</t>
        </is>
      </c>
      <c r="E1044" s="13" t="inlineStr">
        <is>
          <t>Pulverização Agrícola Conforme Bula</t>
        </is>
      </c>
      <c r="F1044" s="13" t="inlineStr">
        <is>
          <t>Milho (Pré-Plantio / OGM)</t>
        </is>
      </c>
      <c r="G1044" s="13" t="inlineStr">
        <is>
          <t>Cultura Autorizada na Bula</t>
        </is>
      </c>
      <c r="H1044" s="13" t="inlineStr">
        <is>
          <t>100 a 300 L/ha</t>
        </is>
      </c>
      <c r="I1044" s="13" t="inlineStr">
        <is>
          <t>20 a 40 L/ha</t>
        </is>
      </c>
      <c r="J1044" s="13" t="inlineStr">
        <is>
          <t>90 dias</t>
        </is>
      </c>
    </row>
    <row r="1045" ht="22" customHeight="1">
      <c r="A1045" s="6" t="inlineStr">
        <is>
          <t>CUL-1041</t>
        </is>
      </c>
      <c r="B1045" s="5" t="n">
        <v>201</v>
      </c>
      <c r="C1045" s="7" t="inlineStr">
        <is>
          <t>Nº 25119</t>
        </is>
      </c>
      <c r="D1045" s="8" t="inlineStr">
        <is>
          <t>GLIFOSATO 72WG ALAMOS</t>
        </is>
      </c>
      <c r="E1045" s="7" t="inlineStr">
        <is>
          <t>Pulverização Agrícola Conforme Bula</t>
        </is>
      </c>
      <c r="F1045" s="7" t="inlineStr">
        <is>
          <t>Algodão (Pré-Plantio / OGM)</t>
        </is>
      </c>
      <c r="G1045" s="7" t="inlineStr">
        <is>
          <t>Cultura Autorizada na Bula</t>
        </is>
      </c>
      <c r="H1045" s="7" t="inlineStr">
        <is>
          <t>100 a 300 L/ha</t>
        </is>
      </c>
      <c r="I1045" s="7" t="inlineStr">
        <is>
          <t>20 a 40 L/ha</t>
        </is>
      </c>
      <c r="J1045" s="7" t="inlineStr">
        <is>
          <t>130 dias</t>
        </is>
      </c>
    </row>
    <row r="1046" ht="22" customHeight="1">
      <c r="A1046" s="12" t="inlineStr">
        <is>
          <t>CUL-1042</t>
        </is>
      </c>
      <c r="B1046" s="11" t="n">
        <v>201</v>
      </c>
      <c r="C1046" s="13" t="inlineStr">
        <is>
          <t>Nº 25119</t>
        </is>
      </c>
      <c r="D1046" s="14" t="inlineStr">
        <is>
          <t>GLIFOSATO 72WG ALAMOS</t>
        </is>
      </c>
      <c r="E1046" s="13" t="inlineStr">
        <is>
          <t>Pulverização Agrícola Conforme Bula</t>
        </is>
      </c>
      <c r="F1046" s="13" t="inlineStr">
        <is>
          <t>Cana-de-açúcar</t>
        </is>
      </c>
      <c r="G1046" s="13" t="inlineStr">
        <is>
          <t>Cultura Autorizada na Bula</t>
        </is>
      </c>
      <c r="H1046" s="13" t="inlineStr">
        <is>
          <t>100 a 300 L/ha</t>
        </is>
      </c>
      <c r="I1046" s="13" t="inlineStr">
        <is>
          <t>20 a 40 L/ha</t>
        </is>
      </c>
      <c r="J1046" s="13" t="inlineStr">
        <is>
          <t>N/D</t>
        </is>
      </c>
    </row>
    <row r="1047" ht="22" customHeight="1">
      <c r="A1047" s="6" t="inlineStr">
        <is>
          <t>CUL-1043</t>
        </is>
      </c>
      <c r="B1047" s="5" t="n">
        <v>201</v>
      </c>
      <c r="C1047" s="7" t="inlineStr">
        <is>
          <t>Nº 25119</t>
        </is>
      </c>
      <c r="D1047" s="8" t="inlineStr">
        <is>
          <t>GLIFOSATO 72WG ALAMOS</t>
        </is>
      </c>
      <c r="E1047" s="7" t="inlineStr">
        <is>
          <t>Pulverização Agrícola Conforme Bula</t>
        </is>
      </c>
      <c r="F1047" s="7" t="inlineStr">
        <is>
          <t>Café (Jato Dirigido)</t>
        </is>
      </c>
      <c r="G1047" s="7" t="inlineStr">
        <is>
          <t>Cultura Autorizada na Bula</t>
        </is>
      </c>
      <c r="H1047" s="7" t="inlineStr">
        <is>
          <t>100 a 300 L/ha</t>
        </is>
      </c>
      <c r="I1047" s="7" t="inlineStr">
        <is>
          <t>20 a 40 L/ha</t>
        </is>
      </c>
      <c r="J1047" s="7" t="inlineStr">
        <is>
          <t>15 dias</t>
        </is>
      </c>
    </row>
    <row r="1048" ht="22" customHeight="1">
      <c r="A1048" s="12" t="inlineStr">
        <is>
          <t>CUL-1044</t>
        </is>
      </c>
      <c r="B1048" s="11" t="n">
        <v>201</v>
      </c>
      <c r="C1048" s="13" t="inlineStr">
        <is>
          <t>Nº 25119</t>
        </is>
      </c>
      <c r="D1048" s="14" t="inlineStr">
        <is>
          <t>GLIFOSATO 72WG ALAMOS</t>
        </is>
      </c>
      <c r="E1048" s="13" t="inlineStr">
        <is>
          <t>Pulverização Agrícola Conforme Bula</t>
        </is>
      </c>
      <c r="F1048" s="13" t="inlineStr">
        <is>
          <t>Citros (Jato Dirigido)</t>
        </is>
      </c>
      <c r="G1048" s="13" t="inlineStr">
        <is>
          <t>Cultura Autorizada na Bula</t>
        </is>
      </c>
      <c r="H1048" s="13" t="inlineStr">
        <is>
          <t>100 a 300 L/ha</t>
        </is>
      </c>
      <c r="I1048" s="13" t="inlineStr">
        <is>
          <t>20 a 40 L/ha</t>
        </is>
      </c>
      <c r="J1048" s="13" t="inlineStr">
        <is>
          <t>30 dias</t>
        </is>
      </c>
    </row>
    <row r="1049" ht="22" customHeight="1">
      <c r="A1049" s="6" t="inlineStr">
        <is>
          <t>CUL-1045</t>
        </is>
      </c>
      <c r="B1049" s="5" t="n">
        <v>201</v>
      </c>
      <c r="C1049" s="7" t="inlineStr">
        <is>
          <t>Nº 25119</t>
        </is>
      </c>
      <c r="D1049" s="8" t="inlineStr">
        <is>
          <t>GLIFOSATO 72WG ALAMOS</t>
        </is>
      </c>
      <c r="E1049" s="7" t="inlineStr">
        <is>
          <t>Pulverização Agrícola Conforme Bula</t>
        </is>
      </c>
      <c r="F1049" s="7" t="inlineStr">
        <is>
          <t>Trigo (Pré-Plantio)</t>
        </is>
      </c>
      <c r="G1049" s="7" t="inlineStr">
        <is>
          <t>Cultura Autorizada na Bula</t>
        </is>
      </c>
      <c r="H1049" s="7" t="inlineStr">
        <is>
          <t>100 a 300 L/ha</t>
        </is>
      </c>
      <c r="I1049" s="7" t="inlineStr">
        <is>
          <t>20 a 40 L/ha</t>
        </is>
      </c>
      <c r="J1049" s="7" t="inlineStr">
        <is>
          <t>N/D</t>
        </is>
      </c>
    </row>
    <row r="1050" ht="22" customHeight="1">
      <c r="A1050" s="12" t="inlineStr">
        <is>
          <t>CUL-1046</t>
        </is>
      </c>
      <c r="B1050" s="11" t="n">
        <v>201</v>
      </c>
      <c r="C1050" s="13" t="inlineStr">
        <is>
          <t>Nº 25119</t>
        </is>
      </c>
      <c r="D1050" s="14" t="inlineStr">
        <is>
          <t>GLIFOSATO 72WG ALAMOS</t>
        </is>
      </c>
      <c r="E1050" s="13" t="inlineStr">
        <is>
          <t>Pulverização Agrícola Conforme Bula</t>
        </is>
      </c>
      <c r="F1050" s="13" t="inlineStr">
        <is>
          <t>Pastagens</t>
        </is>
      </c>
      <c r="G1050" s="13" t="inlineStr">
        <is>
          <t>Cultura Autorizada na Bula</t>
        </is>
      </c>
      <c r="H1050" s="13" t="inlineStr">
        <is>
          <t>100 a 300 L/ha</t>
        </is>
      </c>
      <c r="I1050" s="13" t="inlineStr">
        <is>
          <t>20 a 40 L/ha</t>
        </is>
      </c>
      <c r="J1050" s="13" t="inlineStr">
        <is>
          <t>N/D</t>
        </is>
      </c>
    </row>
    <row r="1051" ht="22" customHeight="1">
      <c r="A1051" s="6" t="inlineStr">
        <is>
          <t>CUL-1047</t>
        </is>
      </c>
      <c r="B1051" s="5" t="n">
        <v>202</v>
      </c>
      <c r="C1051" s="7" t="inlineStr">
        <is>
          <t>Nº 28923</t>
        </is>
      </c>
      <c r="D1051" s="8" t="inlineStr">
        <is>
          <t>PREVENTIS</t>
        </is>
      </c>
      <c r="E1051" s="7" t="inlineStr">
        <is>
          <t>Pulverização Agrícola Conforme Bula</t>
        </is>
      </c>
      <c r="F1051" s="7" t="inlineStr">
        <is>
          <t>Soja</t>
        </is>
      </c>
      <c r="G1051" s="7" t="inlineStr">
        <is>
          <t>Cultura Autorizada na Bula</t>
        </is>
      </c>
      <c r="H1051" s="7" t="inlineStr">
        <is>
          <t>100 a 300 L/ha</t>
        </is>
      </c>
      <c r="I1051" s="7" t="inlineStr">
        <is>
          <t>20 a 40 L/ha</t>
        </is>
      </c>
      <c r="J1051" s="7" t="inlineStr">
        <is>
          <t>21 dias</t>
        </is>
      </c>
    </row>
    <row r="1052" ht="22" customHeight="1">
      <c r="A1052" s="12" t="inlineStr">
        <is>
          <t>CUL-1048</t>
        </is>
      </c>
      <c r="B1052" s="11" t="n">
        <v>202</v>
      </c>
      <c r="C1052" s="13" t="inlineStr">
        <is>
          <t>Nº 28923</t>
        </is>
      </c>
      <c r="D1052" s="14" t="inlineStr">
        <is>
          <t>PREVENTIS</t>
        </is>
      </c>
      <c r="E1052" s="13" t="inlineStr">
        <is>
          <t>Pulverização Agrícola Conforme Bula</t>
        </is>
      </c>
      <c r="F1052" s="13" t="inlineStr">
        <is>
          <t>Algodão</t>
        </is>
      </c>
      <c r="G1052" s="13" t="inlineStr">
        <is>
          <t>Cultura Autorizada na Bula</t>
        </is>
      </c>
      <c r="H1052" s="13" t="inlineStr">
        <is>
          <t>100 a 300 L/ha</t>
        </is>
      </c>
      <c r="I1052" s="13" t="inlineStr">
        <is>
          <t>20 a 40 L/ha</t>
        </is>
      </c>
      <c r="J1052" s="13" t="inlineStr">
        <is>
          <t>21 dias</t>
        </is>
      </c>
    </row>
    <row r="1053" ht="22" customHeight="1">
      <c r="A1053" s="6" t="inlineStr">
        <is>
          <t>CUL-1049</t>
        </is>
      </c>
      <c r="B1053" s="5" t="n">
        <v>202</v>
      </c>
      <c r="C1053" s="7" t="inlineStr">
        <is>
          <t>Nº 28923</t>
        </is>
      </c>
      <c r="D1053" s="8" t="inlineStr">
        <is>
          <t>PREVENTIS</t>
        </is>
      </c>
      <c r="E1053" s="7" t="inlineStr">
        <is>
          <t>Pulverização Agrícola Conforme Bula</t>
        </is>
      </c>
      <c r="F1053" s="7" t="inlineStr">
        <is>
          <t>Café</t>
        </is>
      </c>
      <c r="G1053" s="7" t="inlineStr">
        <is>
          <t>Cultura Autorizada na Bula</t>
        </is>
      </c>
      <c r="H1053" s="7" t="inlineStr">
        <is>
          <t>100 a 300 L/ha</t>
        </is>
      </c>
      <c r="I1053" s="7" t="inlineStr">
        <is>
          <t>20 a 40 L/ha</t>
        </is>
      </c>
      <c r="J1053" s="7" t="inlineStr">
        <is>
          <t>21 dias</t>
        </is>
      </c>
    </row>
    <row r="1054" ht="22" customHeight="1">
      <c r="A1054" s="12" t="inlineStr">
        <is>
          <t>CUL-1050</t>
        </is>
      </c>
      <c r="B1054" s="11" t="n">
        <v>202</v>
      </c>
      <c r="C1054" s="13" t="inlineStr">
        <is>
          <t>Nº 28923</t>
        </is>
      </c>
      <c r="D1054" s="14" t="inlineStr">
        <is>
          <t>PREVENTIS</t>
        </is>
      </c>
      <c r="E1054" s="13" t="inlineStr">
        <is>
          <t>Pulverização Agrícola Conforme Bula</t>
        </is>
      </c>
      <c r="F1054" s="13" t="inlineStr">
        <is>
          <t>Feijão</t>
        </is>
      </c>
      <c r="G1054" s="13" t="inlineStr">
        <is>
          <t>Cultura Autorizada na Bula</t>
        </is>
      </c>
      <c r="H1054" s="13" t="inlineStr">
        <is>
          <t>100 a 300 L/ha</t>
        </is>
      </c>
      <c r="I1054" s="13" t="inlineStr">
        <is>
          <t>20 a 40 L/ha</t>
        </is>
      </c>
      <c r="J1054" s="13" t="inlineStr">
        <is>
          <t>14 dias</t>
        </is>
      </c>
    </row>
    <row r="1055" ht="22" customHeight="1">
      <c r="A1055" s="6" t="inlineStr">
        <is>
          <t>CUL-1051</t>
        </is>
      </c>
      <c r="B1055" s="5" t="n">
        <v>202</v>
      </c>
      <c r="C1055" s="7" t="inlineStr">
        <is>
          <t>Nº 28923</t>
        </is>
      </c>
      <c r="D1055" s="8" t="inlineStr">
        <is>
          <t>PREVENTIS</t>
        </is>
      </c>
      <c r="E1055" s="7" t="inlineStr">
        <is>
          <t>Pulverização Agrícola Conforme Bula</t>
        </is>
      </c>
      <c r="F1055" s="7" t="inlineStr">
        <is>
          <t>Milho</t>
        </is>
      </c>
      <c r="G1055" s="7" t="inlineStr">
        <is>
          <t>Cultura Autorizada na Bula</t>
        </is>
      </c>
      <c r="H1055" s="7" t="inlineStr">
        <is>
          <t>100 a 300 L/ha</t>
        </is>
      </c>
      <c r="I1055" s="7" t="inlineStr">
        <is>
          <t>20 a 40 L/ha</t>
        </is>
      </c>
      <c r="J1055" s="7" t="inlineStr">
        <is>
          <t>21 dias</t>
        </is>
      </c>
    </row>
    <row r="1056" ht="22" customHeight="1">
      <c r="A1056" s="12" t="inlineStr">
        <is>
          <t>CUL-1052</t>
        </is>
      </c>
      <c r="B1056" s="11" t="n">
        <v>202</v>
      </c>
      <c r="C1056" s="13" t="inlineStr">
        <is>
          <t>Nº 28923</t>
        </is>
      </c>
      <c r="D1056" s="14" t="inlineStr">
        <is>
          <t>PREVENTIS</t>
        </is>
      </c>
      <c r="E1056" s="13" t="inlineStr">
        <is>
          <t>Pulverização Agrícola Conforme Bula</t>
        </is>
      </c>
      <c r="F1056" s="13" t="inlineStr">
        <is>
          <t>Batata</t>
        </is>
      </c>
      <c r="G1056" s="13" t="inlineStr">
        <is>
          <t>Cultura Autorizada na Bula</t>
        </is>
      </c>
      <c r="H1056" s="13" t="inlineStr">
        <is>
          <t>100 a 300 L/ha</t>
        </is>
      </c>
      <c r="I1056" s="13" t="inlineStr">
        <is>
          <t>20 a 40 L/ha</t>
        </is>
      </c>
      <c r="J1056" s="13" t="inlineStr">
        <is>
          <t>7 dias</t>
        </is>
      </c>
    </row>
    <row r="1057" ht="22" customHeight="1">
      <c r="A1057" s="6" t="inlineStr">
        <is>
          <t>CUL-1053</t>
        </is>
      </c>
      <c r="B1057" s="5" t="n">
        <v>202</v>
      </c>
      <c r="C1057" s="7" t="inlineStr">
        <is>
          <t>Nº 28923</t>
        </is>
      </c>
      <c r="D1057" s="8" t="inlineStr">
        <is>
          <t>PREVENTIS</t>
        </is>
      </c>
      <c r="E1057" s="7" t="inlineStr">
        <is>
          <t>Pulverização Agrícola Conforme Bula</t>
        </is>
      </c>
      <c r="F1057" s="7" t="inlineStr">
        <is>
          <t>Tomate</t>
        </is>
      </c>
      <c r="G1057" s="7" t="inlineStr">
        <is>
          <t>Cultura Autorizada na Bula</t>
        </is>
      </c>
      <c r="H1057" s="7" t="inlineStr">
        <is>
          <t>100 a 300 L/ha</t>
        </is>
      </c>
      <c r="I1057" s="7" t="inlineStr">
        <is>
          <t>20 a 40 L/ha</t>
        </is>
      </c>
      <c r="J1057" s="7" t="inlineStr">
        <is>
          <t>7 dias</t>
        </is>
      </c>
    </row>
    <row r="1058" ht="22" customHeight="1">
      <c r="A1058" s="12" t="inlineStr">
        <is>
          <t>CUL-1054</t>
        </is>
      </c>
      <c r="B1058" s="11" t="n">
        <v>202</v>
      </c>
      <c r="C1058" s="13" t="inlineStr">
        <is>
          <t>Nº 28923</t>
        </is>
      </c>
      <c r="D1058" s="14" t="inlineStr">
        <is>
          <t>PREVENTIS</t>
        </is>
      </c>
      <c r="E1058" s="13" t="inlineStr">
        <is>
          <t>Pulverização Agrícola Conforme Bula</t>
        </is>
      </c>
      <c r="F1058" s="13" t="inlineStr">
        <is>
          <t>Trigo</t>
        </is>
      </c>
      <c r="G1058" s="13" t="inlineStr">
        <is>
          <t>Cultura Autorizada na Bula</t>
        </is>
      </c>
      <c r="H1058" s="13" t="inlineStr">
        <is>
          <t>100 a 300 L/ha</t>
        </is>
      </c>
      <c r="I1058" s="13" t="inlineStr">
        <is>
          <t>20 a 40 L/ha</t>
        </is>
      </c>
      <c r="J1058" s="13" t="inlineStr">
        <is>
          <t>21 dias</t>
        </is>
      </c>
    </row>
    <row r="1059" ht="22" customHeight="1">
      <c r="A1059" s="6" t="inlineStr">
        <is>
          <t>CUL-1055</t>
        </is>
      </c>
      <c r="B1059" s="5" t="n">
        <v>203</v>
      </c>
      <c r="C1059" s="7" t="inlineStr">
        <is>
          <t>SIPEAGRO (UF-XXXXX)</t>
        </is>
      </c>
      <c r="D1059" s="8" t="inlineStr">
        <is>
          <t>F.M.A. BR B6,0 CU1,0 MN7,5 ZN1,0</t>
        </is>
      </c>
      <c r="E1059" s="7" t="inlineStr">
        <is>
          <t>Adubação de Solo / Foliar</t>
        </is>
      </c>
      <c r="F1059" s="7" t="inlineStr">
        <is>
          <t>Soja</t>
        </is>
      </c>
      <c r="G1059" s="7" t="inlineStr">
        <is>
          <t>Cultura Autorizada na Bula</t>
        </is>
      </c>
      <c r="H1059" s="7" t="inlineStr">
        <is>
          <t>100 a 300 L/ha</t>
        </is>
      </c>
      <c r="I1059" s="7" t="inlineStr">
        <is>
          <t>20 a 40 L/ha</t>
        </is>
      </c>
      <c r="J1059" s="7" t="inlineStr">
        <is>
          <t>Isento</t>
        </is>
      </c>
    </row>
    <row r="1060" ht="22" customHeight="1">
      <c r="A1060" s="12" t="inlineStr">
        <is>
          <t>CUL-1056</t>
        </is>
      </c>
      <c r="B1060" s="11" t="n">
        <v>203</v>
      </c>
      <c r="C1060" s="13" t="inlineStr">
        <is>
          <t>SIPEAGRO (UF-XXXXX)</t>
        </is>
      </c>
      <c r="D1060" s="14" t="inlineStr">
        <is>
          <t>F.M.A. BR B6,0 CU1,0 MN7,5 ZN1,0</t>
        </is>
      </c>
      <c r="E1060" s="13" t="inlineStr">
        <is>
          <t>Adubação de Solo / Foliar</t>
        </is>
      </c>
      <c r="F1060" s="13" t="inlineStr">
        <is>
          <t>Milho</t>
        </is>
      </c>
      <c r="G1060" s="13" t="inlineStr">
        <is>
          <t>Cultura Autorizada na Bula</t>
        </is>
      </c>
      <c r="H1060" s="13" t="inlineStr">
        <is>
          <t>100 a 300 L/ha</t>
        </is>
      </c>
      <c r="I1060" s="13" t="inlineStr">
        <is>
          <t>20 a 40 L/ha</t>
        </is>
      </c>
      <c r="J1060" s="13" t="inlineStr">
        <is>
          <t>Isento</t>
        </is>
      </c>
    </row>
    <row r="1061" ht="22" customHeight="1">
      <c r="A1061" s="6" t="inlineStr">
        <is>
          <t>CUL-1057</t>
        </is>
      </c>
      <c r="B1061" s="5" t="n">
        <v>203</v>
      </c>
      <c r="C1061" s="7" t="inlineStr">
        <is>
          <t>SIPEAGRO (UF-XXXXX)</t>
        </is>
      </c>
      <c r="D1061" s="8" t="inlineStr">
        <is>
          <t>F.M.A. BR B6,0 CU1,0 MN7,5 ZN1,0</t>
        </is>
      </c>
      <c r="E1061" s="7" t="inlineStr">
        <is>
          <t>Adubação de Solo / Foliar</t>
        </is>
      </c>
      <c r="F1061" s="7" t="inlineStr">
        <is>
          <t>Algodão</t>
        </is>
      </c>
      <c r="G1061" s="7" t="inlineStr">
        <is>
          <t>Cultura Autorizada na Bula</t>
        </is>
      </c>
      <c r="H1061" s="7" t="inlineStr">
        <is>
          <t>100 a 300 L/ha</t>
        </is>
      </c>
      <c r="I1061" s="7" t="inlineStr">
        <is>
          <t>20 a 40 L/ha</t>
        </is>
      </c>
      <c r="J1061" s="7" t="inlineStr">
        <is>
          <t>Isento</t>
        </is>
      </c>
    </row>
    <row r="1062" ht="22" customHeight="1">
      <c r="A1062" s="12" t="inlineStr">
        <is>
          <t>CUL-1058</t>
        </is>
      </c>
      <c r="B1062" s="11" t="n">
        <v>203</v>
      </c>
      <c r="C1062" s="13" t="inlineStr">
        <is>
          <t>SIPEAGRO (UF-XXXXX)</t>
        </is>
      </c>
      <c r="D1062" s="14" t="inlineStr">
        <is>
          <t>F.M.A. BR B6,0 CU1,0 MN7,5 ZN1,0</t>
        </is>
      </c>
      <c r="E1062" s="13" t="inlineStr">
        <is>
          <t>Adubação de Solo / Foliar</t>
        </is>
      </c>
      <c r="F1062" s="13" t="inlineStr">
        <is>
          <t>Cana-de-açúcar</t>
        </is>
      </c>
      <c r="G1062" s="13" t="inlineStr">
        <is>
          <t>Cultura Autorizada na Bula</t>
        </is>
      </c>
      <c r="H1062" s="13" t="inlineStr">
        <is>
          <t>100 a 300 L/ha</t>
        </is>
      </c>
      <c r="I1062" s="13" t="inlineStr">
        <is>
          <t>20 a 40 L/ha</t>
        </is>
      </c>
      <c r="J1062" s="13" t="inlineStr">
        <is>
          <t>Isento</t>
        </is>
      </c>
    </row>
    <row r="1063" ht="22" customHeight="1">
      <c r="A1063" s="6" t="inlineStr">
        <is>
          <t>CUL-1059</t>
        </is>
      </c>
      <c r="B1063" s="5" t="n">
        <v>203</v>
      </c>
      <c r="C1063" s="7" t="inlineStr">
        <is>
          <t>SIPEAGRO (UF-XXXXX)</t>
        </is>
      </c>
      <c r="D1063" s="8" t="inlineStr">
        <is>
          <t>F.M.A. BR B6,0 CU1,0 MN7,5 ZN1,0</t>
        </is>
      </c>
      <c r="E1063" s="7" t="inlineStr">
        <is>
          <t>Adubação de Solo / Foliar</t>
        </is>
      </c>
      <c r="F1063" s="7" t="inlineStr">
        <is>
          <t>Café</t>
        </is>
      </c>
      <c r="G1063" s="7" t="inlineStr">
        <is>
          <t>Cultura Autorizada na Bula</t>
        </is>
      </c>
      <c r="H1063" s="7" t="inlineStr">
        <is>
          <t>100 a 300 L/ha</t>
        </is>
      </c>
      <c r="I1063" s="7" t="inlineStr">
        <is>
          <t>20 a 40 L/ha</t>
        </is>
      </c>
      <c r="J1063" s="7" t="inlineStr">
        <is>
          <t>Isento</t>
        </is>
      </c>
    </row>
    <row r="1064" ht="22" customHeight="1">
      <c r="A1064" s="12" t="inlineStr">
        <is>
          <t>CUL-1060</t>
        </is>
      </c>
      <c r="B1064" s="11" t="n">
        <v>204</v>
      </c>
      <c r="C1064" s="13" t="inlineStr">
        <is>
          <t>Nº 15407</t>
        </is>
      </c>
      <c r="D1064" s="14" t="inlineStr">
        <is>
          <t>SMITE</t>
        </is>
      </c>
      <c r="E1064" s="13" t="inlineStr">
        <is>
          <t>Pulverização Agrícola Conforme Bula</t>
        </is>
      </c>
      <c r="F1064" s="13" t="inlineStr">
        <is>
          <t>Soja</t>
        </is>
      </c>
      <c r="G1064" s="13" t="inlineStr">
        <is>
          <t>Cultura Autorizada na Bula</t>
        </is>
      </c>
      <c r="H1064" s="13" t="inlineStr">
        <is>
          <t>100 a 300 L/ha</t>
        </is>
      </c>
      <c r="I1064" s="13" t="inlineStr">
        <is>
          <t>20 a 40 L/ha</t>
        </is>
      </c>
      <c r="J1064" s="13" t="inlineStr">
        <is>
          <t>21 dias</t>
        </is>
      </c>
    </row>
    <row r="1065" ht="22" customHeight="1">
      <c r="A1065" s="6" t="inlineStr">
        <is>
          <t>CUL-1061</t>
        </is>
      </c>
      <c r="B1065" s="5" t="n">
        <v>204</v>
      </c>
      <c r="C1065" s="7" t="inlineStr">
        <is>
          <t>Nº 15407</t>
        </is>
      </c>
      <c r="D1065" s="8" t="inlineStr">
        <is>
          <t>SMITE</t>
        </is>
      </c>
      <c r="E1065" s="7" t="inlineStr">
        <is>
          <t>Pulverização Agrícola Conforme Bula</t>
        </is>
      </c>
      <c r="F1065" s="7" t="inlineStr">
        <is>
          <t>Milho</t>
        </is>
      </c>
      <c r="G1065" s="7" t="inlineStr">
        <is>
          <t>Cultura Autorizada na Bula</t>
        </is>
      </c>
      <c r="H1065" s="7" t="inlineStr">
        <is>
          <t>100 a 300 L/ha</t>
        </is>
      </c>
      <c r="I1065" s="7" t="inlineStr">
        <is>
          <t>20 a 40 L/ha</t>
        </is>
      </c>
      <c r="J1065" s="7" t="inlineStr">
        <is>
          <t>21 dias</t>
        </is>
      </c>
    </row>
    <row r="1066" ht="22" customHeight="1">
      <c r="A1066" s="12" t="inlineStr">
        <is>
          <t>CUL-1062</t>
        </is>
      </c>
      <c r="B1066" s="11" t="n">
        <v>204</v>
      </c>
      <c r="C1066" s="13" t="inlineStr">
        <is>
          <t>Nº 15407</t>
        </is>
      </c>
      <c r="D1066" s="14" t="inlineStr">
        <is>
          <t>SMITE</t>
        </is>
      </c>
      <c r="E1066" s="13" t="inlineStr">
        <is>
          <t>Pulverização Agrícola Conforme Bula</t>
        </is>
      </c>
      <c r="F1066" s="13" t="inlineStr">
        <is>
          <t>Algodão</t>
        </is>
      </c>
      <c r="G1066" s="13" t="inlineStr">
        <is>
          <t>Cultura Autorizada na Bula</t>
        </is>
      </c>
      <c r="H1066" s="13" t="inlineStr">
        <is>
          <t>100 a 300 L/ha</t>
        </is>
      </c>
      <c r="I1066" s="13" t="inlineStr">
        <is>
          <t>20 a 40 L/ha</t>
        </is>
      </c>
      <c r="J1066" s="13" t="inlineStr">
        <is>
          <t>21 dias</t>
        </is>
      </c>
    </row>
    <row r="1067" ht="22" customHeight="1">
      <c r="A1067" s="6" t="inlineStr">
        <is>
          <t>CUL-1063</t>
        </is>
      </c>
      <c r="B1067" s="5" t="n">
        <v>204</v>
      </c>
      <c r="C1067" s="7" t="inlineStr">
        <is>
          <t>Nº 15407</t>
        </is>
      </c>
      <c r="D1067" s="8" t="inlineStr">
        <is>
          <t>SMITE</t>
        </is>
      </c>
      <c r="E1067" s="7" t="inlineStr">
        <is>
          <t>Pulverização Agrícola Conforme Bula</t>
        </is>
      </c>
      <c r="F1067" s="7" t="inlineStr">
        <is>
          <t>Feijão</t>
        </is>
      </c>
      <c r="G1067" s="7" t="inlineStr">
        <is>
          <t>Cultura Autorizada na Bula</t>
        </is>
      </c>
      <c r="H1067" s="7" t="inlineStr">
        <is>
          <t>100 a 300 L/ha</t>
        </is>
      </c>
      <c r="I1067" s="7" t="inlineStr">
        <is>
          <t>20 a 40 L/ha</t>
        </is>
      </c>
      <c r="J1067" s="7" t="inlineStr">
        <is>
          <t>14 dias</t>
        </is>
      </c>
    </row>
    <row r="1068" ht="22" customHeight="1">
      <c r="A1068" s="12" t="inlineStr">
        <is>
          <t>CUL-1064</t>
        </is>
      </c>
      <c r="B1068" s="11" t="n">
        <v>205</v>
      </c>
      <c r="C1068" s="13" t="inlineStr">
        <is>
          <t>Nº 9420</t>
        </is>
      </c>
      <c r="D1068" s="14" t="inlineStr">
        <is>
          <t>ENSIS-TURBO</t>
        </is>
      </c>
      <c r="E1068" s="13" t="inlineStr">
        <is>
          <t>Pulverização Agrícola Conforme Bula</t>
        </is>
      </c>
      <c r="F1068" s="13" t="inlineStr">
        <is>
          <t>Soja</t>
        </is>
      </c>
      <c r="G1068" s="13" t="inlineStr">
        <is>
          <t>Cultura Autorizada na Bula</t>
        </is>
      </c>
      <c r="H1068" s="13" t="inlineStr">
        <is>
          <t>100 a 300 L/ha</t>
        </is>
      </c>
      <c r="I1068" s="13" t="inlineStr">
        <is>
          <t>20 a 40 L/ha</t>
        </is>
      </c>
      <c r="J1068" s="13" t="inlineStr">
        <is>
          <t>30 dias</t>
        </is>
      </c>
    </row>
    <row r="1069" ht="22" customHeight="1">
      <c r="A1069" s="6" t="inlineStr">
        <is>
          <t>CUL-1065</t>
        </is>
      </c>
      <c r="B1069" s="5" t="n">
        <v>205</v>
      </c>
      <c r="C1069" s="7" t="inlineStr">
        <is>
          <t>Nº 9420</t>
        </is>
      </c>
      <c r="D1069" s="8" t="inlineStr">
        <is>
          <t>ENSIS-TURBO</t>
        </is>
      </c>
      <c r="E1069" s="7" t="inlineStr">
        <is>
          <t>Pulverização Agrícola Conforme Bula</t>
        </is>
      </c>
      <c r="F1069" s="7" t="inlineStr">
        <is>
          <t>Milho</t>
        </is>
      </c>
      <c r="G1069" s="7" t="inlineStr">
        <is>
          <t>Cultura Autorizada na Bula</t>
        </is>
      </c>
      <c r="H1069" s="7" t="inlineStr">
        <is>
          <t>100 a 300 L/ha</t>
        </is>
      </c>
      <c r="I1069" s="7" t="inlineStr">
        <is>
          <t>20 a 40 L/ha</t>
        </is>
      </c>
      <c r="J1069" s="7" t="inlineStr">
        <is>
          <t>15 dias</t>
        </is>
      </c>
    </row>
    <row r="1070" ht="22" customHeight="1">
      <c r="A1070" s="12" t="inlineStr">
        <is>
          <t>CUL-1066</t>
        </is>
      </c>
      <c r="B1070" s="11" t="n">
        <v>205</v>
      </c>
      <c r="C1070" s="13" t="inlineStr">
        <is>
          <t>Nº 9420</t>
        </is>
      </c>
      <c r="D1070" s="14" t="inlineStr">
        <is>
          <t>ENSIS-TURBO</t>
        </is>
      </c>
      <c r="E1070" s="13" t="inlineStr">
        <is>
          <t>Pulverização Agrícola Conforme Bula</t>
        </is>
      </c>
      <c r="F1070" s="13" t="inlineStr">
        <is>
          <t>Algodão</t>
        </is>
      </c>
      <c r="G1070" s="13" t="inlineStr">
        <is>
          <t>Cultura Autorizada na Bula</t>
        </is>
      </c>
      <c r="H1070" s="13" t="inlineStr">
        <is>
          <t>100 a 300 L/ha</t>
        </is>
      </c>
      <c r="I1070" s="13" t="inlineStr">
        <is>
          <t>20 a 40 L/ha</t>
        </is>
      </c>
      <c r="J1070" s="13" t="inlineStr">
        <is>
          <t>30 dias</t>
        </is>
      </c>
    </row>
    <row r="1071" ht="22" customHeight="1">
      <c r="A1071" s="6" t="inlineStr">
        <is>
          <t>CUL-1067</t>
        </is>
      </c>
      <c r="B1071" s="5" t="n">
        <v>205</v>
      </c>
      <c r="C1071" s="7" t="inlineStr">
        <is>
          <t>Nº 9420</t>
        </is>
      </c>
      <c r="D1071" s="8" t="inlineStr">
        <is>
          <t>ENSIS-TURBO</t>
        </is>
      </c>
      <c r="E1071" s="7" t="inlineStr">
        <is>
          <t>Pulverização Agrícola Conforme Bula</t>
        </is>
      </c>
      <c r="F1071" s="7" t="inlineStr">
        <is>
          <t>Trigo</t>
        </is>
      </c>
      <c r="G1071" s="7" t="inlineStr">
        <is>
          <t>Cultura Autorizada na Bula</t>
        </is>
      </c>
      <c r="H1071" s="7" t="inlineStr">
        <is>
          <t>100 a 300 L/ha</t>
        </is>
      </c>
      <c r="I1071" s="7" t="inlineStr">
        <is>
          <t>20 a 40 L/ha</t>
        </is>
      </c>
      <c r="J1071" s="7" t="inlineStr">
        <is>
          <t>35 dias</t>
        </is>
      </c>
    </row>
    <row r="1072" ht="22" customHeight="1">
      <c r="A1072" s="12" t="inlineStr">
        <is>
          <t>CUL-1068</t>
        </is>
      </c>
      <c r="B1072" s="11" t="n">
        <v>205</v>
      </c>
      <c r="C1072" s="13" t="inlineStr">
        <is>
          <t>Nº 9420</t>
        </is>
      </c>
      <c r="D1072" s="14" t="inlineStr">
        <is>
          <t>ENSIS-TURBO</t>
        </is>
      </c>
      <c r="E1072" s="13" t="inlineStr">
        <is>
          <t>Pulverização Agrícola Conforme Bula</t>
        </is>
      </c>
      <c r="F1072" s="13" t="inlineStr">
        <is>
          <t>Café</t>
        </is>
      </c>
      <c r="G1072" s="13" t="inlineStr">
        <is>
          <t>Cultura Autorizada na Bula</t>
        </is>
      </c>
      <c r="H1072" s="13" t="inlineStr">
        <is>
          <t>100 a 300 L/ha</t>
        </is>
      </c>
      <c r="I1072" s="13" t="inlineStr">
        <is>
          <t>20 a 40 L/ha</t>
        </is>
      </c>
      <c r="J1072" s="13" t="inlineStr">
        <is>
          <t>30 dias</t>
        </is>
      </c>
    </row>
    <row r="1073" ht="22" customHeight="1">
      <c r="A1073" s="6" t="inlineStr">
        <is>
          <t>CUL-1069</t>
        </is>
      </c>
      <c r="B1073" s="5" t="n">
        <v>205</v>
      </c>
      <c r="C1073" s="7" t="inlineStr">
        <is>
          <t>Nº 9420</t>
        </is>
      </c>
      <c r="D1073" s="8" t="inlineStr">
        <is>
          <t>ENSIS-TURBO</t>
        </is>
      </c>
      <c r="E1073" s="7" t="inlineStr">
        <is>
          <t>Pulverização Agrícola Conforme Bula</t>
        </is>
      </c>
      <c r="F1073" s="7" t="inlineStr">
        <is>
          <t>Feijão</t>
        </is>
      </c>
      <c r="G1073" s="7" t="inlineStr">
        <is>
          <t>Cultura Autorizada na Bula</t>
        </is>
      </c>
      <c r="H1073" s="7" t="inlineStr">
        <is>
          <t>100 a 300 L/ha</t>
        </is>
      </c>
      <c r="I1073" s="7" t="inlineStr">
        <is>
          <t>20 a 40 L/ha</t>
        </is>
      </c>
      <c r="J1073" s="7" t="inlineStr">
        <is>
          <t>14 dias</t>
        </is>
      </c>
    </row>
    <row r="1074" ht="22" customHeight="1">
      <c r="A1074" s="12" t="inlineStr">
        <is>
          <t>CUL-1070</t>
        </is>
      </c>
      <c r="B1074" s="11" t="n">
        <v>206</v>
      </c>
      <c r="C1074" s="13" t="inlineStr">
        <is>
          <t>Nº 27323</t>
        </is>
      </c>
      <c r="D1074" s="14" t="inlineStr">
        <is>
          <t>ACEGOL</t>
        </is>
      </c>
      <c r="E1074" s="13" t="inlineStr">
        <is>
          <t>Pulverização Agrícola Conforme Bula</t>
        </is>
      </c>
      <c r="F1074" s="13" t="inlineStr">
        <is>
          <t>Algodão</t>
        </is>
      </c>
      <c r="G1074" s="13" t="inlineStr">
        <is>
          <t>Cultura Autorizada na Bula</t>
        </is>
      </c>
      <c r="H1074" s="13" t="inlineStr">
        <is>
          <t>100 a 300 L/ha</t>
        </is>
      </c>
      <c r="I1074" s="13" t="inlineStr">
        <is>
          <t>20 a 40 L/ha</t>
        </is>
      </c>
      <c r="J1074" s="13" t="inlineStr">
        <is>
          <t>28 dias</t>
        </is>
      </c>
    </row>
    <row r="1075" ht="22" customHeight="1">
      <c r="A1075" s="6" t="inlineStr">
        <is>
          <t>CUL-1071</t>
        </is>
      </c>
      <c r="B1075" s="5" t="n">
        <v>206</v>
      </c>
      <c r="C1075" s="7" t="inlineStr">
        <is>
          <t>Nº 27323</t>
        </is>
      </c>
      <c r="D1075" s="8" t="inlineStr">
        <is>
          <t>ACEGOL</t>
        </is>
      </c>
      <c r="E1075" s="7" t="inlineStr">
        <is>
          <t>Pulverização Agrícola Conforme Bula</t>
        </is>
      </c>
      <c r="F1075" s="7" t="inlineStr">
        <is>
          <t>Soja</t>
        </is>
      </c>
      <c r="G1075" s="7" t="inlineStr">
        <is>
          <t>Cultura Autorizada na Bula</t>
        </is>
      </c>
      <c r="H1075" s="7" t="inlineStr">
        <is>
          <t>100 a 300 L/ha</t>
        </is>
      </c>
      <c r="I1075" s="7" t="inlineStr">
        <is>
          <t>20 a 40 L/ha</t>
        </is>
      </c>
      <c r="J1075" s="7" t="inlineStr">
        <is>
          <t>21 dias</t>
        </is>
      </c>
    </row>
    <row r="1076" ht="22" customHeight="1">
      <c r="A1076" s="12" t="inlineStr">
        <is>
          <t>CUL-1072</t>
        </is>
      </c>
      <c r="B1076" s="11" t="n">
        <v>206</v>
      </c>
      <c r="C1076" s="13" t="inlineStr">
        <is>
          <t>Nº 27323</t>
        </is>
      </c>
      <c r="D1076" s="14" t="inlineStr">
        <is>
          <t>ACEGOL</t>
        </is>
      </c>
      <c r="E1076" s="13" t="inlineStr">
        <is>
          <t>Pulverização Agrícola Conforme Bula</t>
        </is>
      </c>
      <c r="F1076" s="13" t="inlineStr">
        <is>
          <t>Milho</t>
        </is>
      </c>
      <c r="G1076" s="13" t="inlineStr">
        <is>
          <t>Cultura Autorizada na Bula</t>
        </is>
      </c>
      <c r="H1076" s="13" t="inlineStr">
        <is>
          <t>100 a 300 L/ha</t>
        </is>
      </c>
      <c r="I1076" s="13" t="inlineStr">
        <is>
          <t>20 a 40 L/ha</t>
        </is>
      </c>
      <c r="J1076" s="13" t="inlineStr">
        <is>
          <t>30 dias</t>
        </is>
      </c>
    </row>
    <row r="1077" ht="22" customHeight="1">
      <c r="A1077" s="6" t="inlineStr">
        <is>
          <t>CUL-1073</t>
        </is>
      </c>
      <c r="B1077" s="5" t="n">
        <v>206</v>
      </c>
      <c r="C1077" s="7" t="inlineStr">
        <is>
          <t>Nº 27323</t>
        </is>
      </c>
      <c r="D1077" s="8" t="inlineStr">
        <is>
          <t>ACEGOL</t>
        </is>
      </c>
      <c r="E1077" s="7" t="inlineStr">
        <is>
          <t>Pulverização Agrícola Conforme Bula</t>
        </is>
      </c>
      <c r="F1077" s="7" t="inlineStr">
        <is>
          <t>Feijão</t>
        </is>
      </c>
      <c r="G1077" s="7" t="inlineStr">
        <is>
          <t>Cultura Autorizada na Bula</t>
        </is>
      </c>
      <c r="H1077" s="7" t="inlineStr">
        <is>
          <t>100 a 300 L/ha</t>
        </is>
      </c>
      <c r="I1077" s="7" t="inlineStr">
        <is>
          <t>20 a 40 L/ha</t>
        </is>
      </c>
      <c r="J1077" s="7" t="inlineStr">
        <is>
          <t>14 dias</t>
        </is>
      </c>
    </row>
    <row r="1078" ht="22" customHeight="1">
      <c r="A1078" s="12" t="inlineStr">
        <is>
          <t>CUL-1074</t>
        </is>
      </c>
      <c r="B1078" s="11" t="n">
        <v>206</v>
      </c>
      <c r="C1078" s="13" t="inlineStr">
        <is>
          <t>Nº 27323</t>
        </is>
      </c>
      <c r="D1078" s="14" t="inlineStr">
        <is>
          <t>ACEGOL</t>
        </is>
      </c>
      <c r="E1078" s="13" t="inlineStr">
        <is>
          <t>Pulverização Agrícola Conforme Bula</t>
        </is>
      </c>
      <c r="F1078" s="13" t="inlineStr">
        <is>
          <t>Café</t>
        </is>
      </c>
      <c r="G1078" s="13" t="inlineStr">
        <is>
          <t>Cultura Autorizada na Bula</t>
        </is>
      </c>
      <c r="H1078" s="13" t="inlineStr">
        <is>
          <t>100 a 300 L/ha</t>
        </is>
      </c>
      <c r="I1078" s="13" t="inlineStr">
        <is>
          <t>20 a 40 L/ha</t>
        </is>
      </c>
      <c r="J1078" s="13" t="inlineStr">
        <is>
          <t>28 dias</t>
        </is>
      </c>
    </row>
    <row r="1079" ht="22" customHeight="1">
      <c r="A1079" s="6" t="inlineStr">
        <is>
          <t>CUL-1075</t>
        </is>
      </c>
      <c r="B1079" s="5" t="n">
        <v>206</v>
      </c>
      <c r="C1079" s="7" t="inlineStr">
        <is>
          <t>Nº 27323</t>
        </is>
      </c>
      <c r="D1079" s="8" t="inlineStr">
        <is>
          <t>ACEGOL</t>
        </is>
      </c>
      <c r="E1079" s="7" t="inlineStr">
        <is>
          <t>Pulverização Agrícola Conforme Bula</t>
        </is>
      </c>
      <c r="F1079" s="7" t="inlineStr">
        <is>
          <t>Citros</t>
        </is>
      </c>
      <c r="G1079" s="7" t="inlineStr">
        <is>
          <t>Cultura Autorizada na Bula</t>
        </is>
      </c>
      <c r="H1079" s="7" t="inlineStr">
        <is>
          <t>100 a 300 L/ha</t>
        </is>
      </c>
      <c r="I1079" s="7" t="inlineStr">
        <is>
          <t>20 a 40 L/ha</t>
        </is>
      </c>
      <c r="J1079" s="7" t="inlineStr">
        <is>
          <t>7 dias</t>
        </is>
      </c>
    </row>
    <row r="1080" ht="22" customHeight="1">
      <c r="A1080" s="12" t="inlineStr">
        <is>
          <t>CUL-1076</t>
        </is>
      </c>
      <c r="B1080" s="11" t="n">
        <v>206</v>
      </c>
      <c r="C1080" s="13" t="inlineStr">
        <is>
          <t>Nº 27323</t>
        </is>
      </c>
      <c r="D1080" s="14" t="inlineStr">
        <is>
          <t>ACEGOL</t>
        </is>
      </c>
      <c r="E1080" s="13" t="inlineStr">
        <is>
          <t>Pulverização Agrícola Conforme Bula</t>
        </is>
      </c>
      <c r="F1080" s="13" t="inlineStr">
        <is>
          <t>Tomate</t>
        </is>
      </c>
      <c r="G1080" s="13" t="inlineStr">
        <is>
          <t>Cultura Autorizada na Bula</t>
        </is>
      </c>
      <c r="H1080" s="13" t="inlineStr">
        <is>
          <t>100 a 300 L/ha</t>
        </is>
      </c>
      <c r="I1080" s="13" t="inlineStr">
        <is>
          <t>20 a 40 L/ha</t>
        </is>
      </c>
      <c r="J1080" s="13" t="inlineStr">
        <is>
          <t>3 dias</t>
        </is>
      </c>
    </row>
    <row r="1081" ht="22" customHeight="1">
      <c r="A1081" s="6" t="inlineStr">
        <is>
          <t>CUL-1077</t>
        </is>
      </c>
      <c r="B1081" s="5" t="n">
        <v>207</v>
      </c>
      <c r="C1081" s="7" t="inlineStr">
        <is>
          <t>Nº 43818</t>
        </is>
      </c>
      <c r="D1081" s="8" t="inlineStr">
        <is>
          <t>DIAFENTIURON</t>
        </is>
      </c>
      <c r="E1081" s="7" t="inlineStr">
        <is>
          <t>Pulverização Agrícola Conforme Bula</t>
        </is>
      </c>
      <c r="F1081" s="7" t="inlineStr">
        <is>
          <t>Soja</t>
        </is>
      </c>
      <c r="G1081" s="7" t="inlineStr">
        <is>
          <t>Cultura Autorizada na Bula</t>
        </is>
      </c>
      <c r="H1081" s="7" t="inlineStr">
        <is>
          <t>100 a 300 L/ha</t>
        </is>
      </c>
      <c r="I1081" s="7" t="inlineStr">
        <is>
          <t>20 a 40 L/ha</t>
        </is>
      </c>
      <c r="J1081" s="7" t="inlineStr">
        <is>
          <t>21 dias</t>
        </is>
      </c>
    </row>
    <row r="1082" ht="22" customHeight="1">
      <c r="A1082" s="12" t="inlineStr">
        <is>
          <t>CUL-1078</t>
        </is>
      </c>
      <c r="B1082" s="11" t="n">
        <v>207</v>
      </c>
      <c r="C1082" s="13" t="inlineStr">
        <is>
          <t>Nº 43818</t>
        </is>
      </c>
      <c r="D1082" s="14" t="inlineStr">
        <is>
          <t>DIAFENTIURON</t>
        </is>
      </c>
      <c r="E1082" s="13" t="inlineStr">
        <is>
          <t>Pulverização Agrícola Conforme Bula</t>
        </is>
      </c>
      <c r="F1082" s="13" t="inlineStr">
        <is>
          <t>Milho</t>
        </is>
      </c>
      <c r="G1082" s="13" t="inlineStr">
        <is>
          <t>Cultura Autorizada na Bula</t>
        </is>
      </c>
      <c r="H1082" s="13" t="inlineStr">
        <is>
          <t>100 a 300 L/ha</t>
        </is>
      </c>
      <c r="I1082" s="13" t="inlineStr">
        <is>
          <t>20 a 40 L/ha</t>
        </is>
      </c>
      <c r="J1082" s="13" t="inlineStr">
        <is>
          <t>21 dias</t>
        </is>
      </c>
    </row>
    <row r="1083" ht="22" customHeight="1">
      <c r="A1083" s="6" t="inlineStr">
        <is>
          <t>CUL-1079</t>
        </is>
      </c>
      <c r="B1083" s="5" t="n">
        <v>207</v>
      </c>
      <c r="C1083" s="7" t="inlineStr">
        <is>
          <t>Nº 43818</t>
        </is>
      </c>
      <c r="D1083" s="8" t="inlineStr">
        <is>
          <t>DIAFENTIURON</t>
        </is>
      </c>
      <c r="E1083" s="7" t="inlineStr">
        <is>
          <t>Pulverização Agrícola Conforme Bula</t>
        </is>
      </c>
      <c r="F1083" s="7" t="inlineStr">
        <is>
          <t>Algodão</t>
        </is>
      </c>
      <c r="G1083" s="7" t="inlineStr">
        <is>
          <t>Cultura Autorizada na Bula</t>
        </is>
      </c>
      <c r="H1083" s="7" t="inlineStr">
        <is>
          <t>100 a 300 L/ha</t>
        </is>
      </c>
      <c r="I1083" s="7" t="inlineStr">
        <is>
          <t>20 a 40 L/ha</t>
        </is>
      </c>
      <c r="J1083" s="7" t="inlineStr">
        <is>
          <t>21 dias</t>
        </is>
      </c>
    </row>
    <row r="1084" ht="22" customHeight="1">
      <c r="A1084" s="12" t="inlineStr">
        <is>
          <t>CUL-1080</t>
        </is>
      </c>
      <c r="B1084" s="11" t="n">
        <v>207</v>
      </c>
      <c r="C1084" s="13" t="inlineStr">
        <is>
          <t>Nº 43818</t>
        </is>
      </c>
      <c r="D1084" s="14" t="inlineStr">
        <is>
          <t>DIAFENTIURON</t>
        </is>
      </c>
      <c r="E1084" s="13" t="inlineStr">
        <is>
          <t>Pulverização Agrícola Conforme Bula</t>
        </is>
      </c>
      <c r="F1084" s="13" t="inlineStr">
        <is>
          <t>Feijão</t>
        </is>
      </c>
      <c r="G1084" s="13" t="inlineStr">
        <is>
          <t>Cultura Autorizada na Bula</t>
        </is>
      </c>
      <c r="H1084" s="13" t="inlineStr">
        <is>
          <t>100 a 300 L/ha</t>
        </is>
      </c>
      <c r="I1084" s="13" t="inlineStr">
        <is>
          <t>20 a 40 L/ha</t>
        </is>
      </c>
      <c r="J1084" s="13" t="inlineStr">
        <is>
          <t>14 dias</t>
        </is>
      </c>
    </row>
    <row r="1085" ht="22" customHeight="1">
      <c r="A1085" s="6" t="inlineStr">
        <is>
          <t>CUL-1081</t>
        </is>
      </c>
      <c r="B1085" s="5" t="n">
        <v>208</v>
      </c>
      <c r="C1085" s="7" t="inlineStr">
        <is>
          <t>Nº 26017</t>
        </is>
      </c>
      <c r="D1085" s="8" t="inlineStr">
        <is>
          <t>MESOTRIONE</t>
        </is>
      </c>
      <c r="E1085" s="7" t="inlineStr">
        <is>
          <t>Pulverização Agrícola Conforme Bula</t>
        </is>
      </c>
      <c r="F1085" s="7" t="inlineStr">
        <is>
          <t>Milho</t>
        </is>
      </c>
      <c r="G1085" s="7" t="inlineStr">
        <is>
          <t>Cultura Autorizada na Bula</t>
        </is>
      </c>
      <c r="H1085" s="7" t="inlineStr">
        <is>
          <t>100 a 300 L/ha</t>
        </is>
      </c>
      <c r="I1085" s="7" t="inlineStr">
        <is>
          <t>20 a 40 L/ha</t>
        </is>
      </c>
      <c r="J1085" s="7" t="inlineStr">
        <is>
          <t>63 dias</t>
        </is>
      </c>
    </row>
    <row r="1086" ht="22" customHeight="1">
      <c r="A1086" s="12" t="inlineStr">
        <is>
          <t>CUL-1082</t>
        </is>
      </c>
      <c r="B1086" s="11" t="n">
        <v>208</v>
      </c>
      <c r="C1086" s="13" t="inlineStr">
        <is>
          <t>Nº 26017</t>
        </is>
      </c>
      <c r="D1086" s="14" t="inlineStr">
        <is>
          <t>MESOTRIONE</t>
        </is>
      </c>
      <c r="E1086" s="13" t="inlineStr">
        <is>
          <t>Pulverização Agrícola Conforme Bula</t>
        </is>
      </c>
      <c r="F1086" s="13" t="inlineStr">
        <is>
          <t>Cana-de-açúcar</t>
        </is>
      </c>
      <c r="G1086" s="13" t="inlineStr">
        <is>
          <t>Cultura Autorizada na Bula</t>
        </is>
      </c>
      <c r="H1086" s="13" t="inlineStr">
        <is>
          <t>100 a 300 L/ha</t>
        </is>
      </c>
      <c r="I1086" s="13" t="inlineStr">
        <is>
          <t>20 a 40 L/ha</t>
        </is>
      </c>
      <c r="J1086" s="13" t="inlineStr">
        <is>
          <t>150 dias</t>
        </is>
      </c>
    </row>
    <row r="1087" ht="22" customHeight="1">
      <c r="A1087" s="6" t="inlineStr">
        <is>
          <t>CUL-1083</t>
        </is>
      </c>
      <c r="B1087" s="5" t="n">
        <v>208</v>
      </c>
      <c r="C1087" s="7" t="inlineStr">
        <is>
          <t>Nº 26017</t>
        </is>
      </c>
      <c r="D1087" s="8" t="inlineStr">
        <is>
          <t>MESOTRIONE</t>
        </is>
      </c>
      <c r="E1087" s="7" t="inlineStr">
        <is>
          <t>Pulverização Agrícola Conforme Bula</t>
        </is>
      </c>
      <c r="F1087" s="7" t="inlineStr">
        <is>
          <t>Milheto</t>
        </is>
      </c>
      <c r="G1087" s="7" t="inlineStr">
        <is>
          <t>Cultura Autorizada na Bula</t>
        </is>
      </c>
      <c r="H1087" s="7" t="inlineStr">
        <is>
          <t>100 a 300 L/ha</t>
        </is>
      </c>
      <c r="I1087" s="7" t="inlineStr">
        <is>
          <t>20 a 40 L/ha</t>
        </is>
      </c>
      <c r="J1087" s="7" t="inlineStr">
        <is>
          <t>60 dias</t>
        </is>
      </c>
    </row>
    <row r="1088" ht="22" customHeight="1">
      <c r="A1088" s="12" t="inlineStr">
        <is>
          <t>CUL-1084</t>
        </is>
      </c>
      <c r="B1088" s="11" t="n">
        <v>208</v>
      </c>
      <c r="C1088" s="13" t="inlineStr">
        <is>
          <t>Nº 26017</t>
        </is>
      </c>
      <c r="D1088" s="14" t="inlineStr">
        <is>
          <t>MESOTRIONE</t>
        </is>
      </c>
      <c r="E1088" s="13" t="inlineStr">
        <is>
          <t>Pulverização Agrícola Conforme Bula</t>
        </is>
      </c>
      <c r="F1088" s="13" t="inlineStr">
        <is>
          <t>Sorgo</t>
        </is>
      </c>
      <c r="G1088" s="13" t="inlineStr">
        <is>
          <t>Cultura Autorizada na Bula</t>
        </is>
      </c>
      <c r="H1088" s="13" t="inlineStr">
        <is>
          <t>100 a 300 L/ha</t>
        </is>
      </c>
      <c r="I1088" s="13" t="inlineStr">
        <is>
          <t>20 a 40 L/ha</t>
        </is>
      </c>
      <c r="J1088" s="13" t="inlineStr">
        <is>
          <t>60 dias</t>
        </is>
      </c>
    </row>
    <row r="1089" ht="22" customHeight="1">
      <c r="A1089" s="6" t="inlineStr">
        <is>
          <t>CUL-1085</t>
        </is>
      </c>
      <c r="B1089" s="5" t="n">
        <v>209</v>
      </c>
      <c r="C1089" s="7" t="inlineStr">
        <is>
          <t>Nº 9823</t>
        </is>
      </c>
      <c r="D1089" s="8" t="inlineStr">
        <is>
          <t>OLASOJA</t>
        </is>
      </c>
      <c r="E1089" s="7" t="inlineStr">
        <is>
          <t>Pulverização Agrícola Conforme Bula</t>
        </is>
      </c>
      <c r="F1089" s="7" t="inlineStr">
        <is>
          <t>Soja (Pré-Plantio)</t>
        </is>
      </c>
      <c r="G1089" s="7" t="inlineStr">
        <is>
          <t>Cultura Autorizada na Bula</t>
        </is>
      </c>
      <c r="H1089" s="7" t="inlineStr">
        <is>
          <t>100 a 300 L/ha</t>
        </is>
      </c>
      <c r="I1089" s="7" t="inlineStr">
        <is>
          <t>20 a 40 L/ha</t>
        </is>
      </c>
      <c r="J1089" s="7" t="inlineStr">
        <is>
          <t>N/D</t>
        </is>
      </c>
    </row>
    <row r="1090" ht="22" customHeight="1">
      <c r="A1090" s="12" t="inlineStr">
        <is>
          <t>CUL-1086</t>
        </is>
      </c>
      <c r="B1090" s="11" t="n">
        <v>209</v>
      </c>
      <c r="C1090" s="13" t="inlineStr">
        <is>
          <t>Nº 9823</t>
        </is>
      </c>
      <c r="D1090" s="14" t="inlineStr">
        <is>
          <t>OLASOJA</t>
        </is>
      </c>
      <c r="E1090" s="13" t="inlineStr">
        <is>
          <t>Pulverização Agrícola Conforme Bula</t>
        </is>
      </c>
      <c r="F1090" s="13" t="inlineStr">
        <is>
          <t>Algodão</t>
        </is>
      </c>
      <c r="G1090" s="13" t="inlineStr">
        <is>
          <t>Cultura Autorizada na Bula</t>
        </is>
      </c>
      <c r="H1090" s="13" t="inlineStr">
        <is>
          <t>100 a 300 L/ha</t>
        </is>
      </c>
      <c r="I1090" s="13" t="inlineStr">
        <is>
          <t>20 a 40 L/ha</t>
        </is>
      </c>
      <c r="J1090" s="13" t="inlineStr">
        <is>
          <t>90 dias</t>
        </is>
      </c>
    </row>
    <row r="1091" ht="22" customHeight="1">
      <c r="A1091" s="6" t="inlineStr">
        <is>
          <t>CUL-1087</t>
        </is>
      </c>
      <c r="B1091" s="5" t="n">
        <v>209</v>
      </c>
      <c r="C1091" s="7" t="inlineStr">
        <is>
          <t>Nº 9823</t>
        </is>
      </c>
      <c r="D1091" s="8" t="inlineStr">
        <is>
          <t>OLASOJA</t>
        </is>
      </c>
      <c r="E1091" s="7" t="inlineStr">
        <is>
          <t>Pulverização Agrícola Conforme Bula</t>
        </is>
      </c>
      <c r="F1091" s="7" t="inlineStr">
        <is>
          <t>Cana-de-açúcar</t>
        </is>
      </c>
      <c r="G1091" s="7" t="inlineStr">
        <is>
          <t>Cultura Autorizada na Bula</t>
        </is>
      </c>
      <c r="H1091" s="7" t="inlineStr">
        <is>
          <t>100 a 300 L/ha</t>
        </is>
      </c>
      <c r="I1091" s="7" t="inlineStr">
        <is>
          <t>20 a 40 L/ha</t>
        </is>
      </c>
      <c r="J1091" s="7" t="inlineStr">
        <is>
          <t>85 dias</t>
        </is>
      </c>
    </row>
    <row r="1092" ht="22" customHeight="1">
      <c r="A1092" s="12" t="inlineStr">
        <is>
          <t>CUL-1088</t>
        </is>
      </c>
      <c r="B1092" s="11" t="n">
        <v>209</v>
      </c>
      <c r="C1092" s="13" t="inlineStr">
        <is>
          <t>Nº 9823</t>
        </is>
      </c>
      <c r="D1092" s="14" t="inlineStr">
        <is>
          <t>OLASOJA</t>
        </is>
      </c>
      <c r="E1092" s="13" t="inlineStr">
        <is>
          <t>Pulverização Agrícola Conforme Bula</t>
        </is>
      </c>
      <c r="F1092" s="13" t="inlineStr">
        <is>
          <t>Café</t>
        </is>
      </c>
      <c r="G1092" s="13" t="inlineStr">
        <is>
          <t>Cultura Autorizada na Bula</t>
        </is>
      </c>
      <c r="H1092" s="13" t="inlineStr">
        <is>
          <t>100 a 300 L/ha</t>
        </is>
      </c>
      <c r="I1092" s="13" t="inlineStr">
        <is>
          <t>20 a 40 L/ha</t>
        </is>
      </c>
      <c r="J1092" s="13" t="inlineStr">
        <is>
          <t>15 dias</t>
        </is>
      </c>
    </row>
    <row r="1093" ht="22" customHeight="1">
      <c r="A1093" s="6" t="inlineStr">
        <is>
          <t>CUL-1089</t>
        </is>
      </c>
      <c r="B1093" s="5" t="n">
        <v>209</v>
      </c>
      <c r="C1093" s="7" t="inlineStr">
        <is>
          <t>Nº 9823</t>
        </is>
      </c>
      <c r="D1093" s="8" t="inlineStr">
        <is>
          <t>OLASOJA</t>
        </is>
      </c>
      <c r="E1093" s="7" t="inlineStr">
        <is>
          <t>Pulverização Agrícola Conforme Bula</t>
        </is>
      </c>
      <c r="F1093" s="7" t="inlineStr">
        <is>
          <t>Citros</t>
        </is>
      </c>
      <c r="G1093" s="7" t="inlineStr">
        <is>
          <t>Cultura Autorizada na Bula</t>
        </is>
      </c>
      <c r="H1093" s="7" t="inlineStr">
        <is>
          <t>100 a 300 L/ha</t>
        </is>
      </c>
      <c r="I1093" s="7" t="inlineStr">
        <is>
          <t>20 a 40 L/ha</t>
        </is>
      </c>
      <c r="J1093" s="7" t="inlineStr">
        <is>
          <t>N/D</t>
        </is>
      </c>
    </row>
    <row r="1094" ht="22" customHeight="1">
      <c r="A1094" s="12" t="inlineStr">
        <is>
          <t>CUL-1090</t>
        </is>
      </c>
      <c r="B1094" s="11" t="n">
        <v>209</v>
      </c>
      <c r="C1094" s="13" t="inlineStr">
        <is>
          <t>Nº 9823</t>
        </is>
      </c>
      <c r="D1094" s="14" t="inlineStr">
        <is>
          <t>OLASOJA</t>
        </is>
      </c>
      <c r="E1094" s="13" t="inlineStr">
        <is>
          <t>Pulverização Agrícola Conforme Bula</t>
        </is>
      </c>
      <c r="F1094" s="13" t="inlineStr">
        <is>
          <t>Feijão</t>
        </is>
      </c>
      <c r="G1094" s="13" t="inlineStr">
        <is>
          <t>Cultura Autorizada na Bula</t>
        </is>
      </c>
      <c r="H1094" s="13" t="inlineStr">
        <is>
          <t>100 a 300 L/ha</t>
        </is>
      </c>
      <c r="I1094" s="13" t="inlineStr">
        <is>
          <t>20 a 40 L/ha</t>
        </is>
      </c>
      <c r="J1094" s="13" t="inlineStr">
        <is>
          <t>N/D</t>
        </is>
      </c>
    </row>
    <row r="1095" ht="22" customHeight="1">
      <c r="A1095" s="6" t="inlineStr">
        <is>
          <t>CUL-1091</t>
        </is>
      </c>
      <c r="B1095" s="5" t="n">
        <v>210</v>
      </c>
      <c r="C1095" s="7" t="inlineStr">
        <is>
          <t>SIPEAGRO (UF-XXXXX)</t>
        </is>
      </c>
      <c r="D1095" s="8" t="inlineStr">
        <is>
          <t>MAGNIFIC</t>
        </is>
      </c>
      <c r="E1095" s="7" t="inlineStr">
        <is>
          <t>Adubação de Solo / Foliar</t>
        </is>
      </c>
      <c r="F1095" s="7" t="inlineStr">
        <is>
          <t>Soja</t>
        </is>
      </c>
      <c r="G1095" s="7" t="inlineStr">
        <is>
          <t>Cultura Autorizada na Bula</t>
        </is>
      </c>
      <c r="H1095" s="7" t="inlineStr">
        <is>
          <t>100 a 300 L/ha</t>
        </is>
      </c>
      <c r="I1095" s="7" t="inlineStr">
        <is>
          <t>20 a 40 L/ha</t>
        </is>
      </c>
      <c r="J1095" s="7" t="inlineStr">
        <is>
          <t>Isento</t>
        </is>
      </c>
    </row>
    <row r="1096" ht="22" customHeight="1">
      <c r="A1096" s="12" t="inlineStr">
        <is>
          <t>CUL-1092</t>
        </is>
      </c>
      <c r="B1096" s="11" t="n">
        <v>210</v>
      </c>
      <c r="C1096" s="13" t="inlineStr">
        <is>
          <t>SIPEAGRO (UF-XXXXX)</t>
        </is>
      </c>
      <c r="D1096" s="14" t="inlineStr">
        <is>
          <t>MAGNIFIC</t>
        </is>
      </c>
      <c r="E1096" s="13" t="inlineStr">
        <is>
          <t>Adubação de Solo / Foliar</t>
        </is>
      </c>
      <c r="F1096" s="13" t="inlineStr">
        <is>
          <t>Milho</t>
        </is>
      </c>
      <c r="G1096" s="13" t="inlineStr">
        <is>
          <t>Cultura Autorizada na Bula</t>
        </is>
      </c>
      <c r="H1096" s="13" t="inlineStr">
        <is>
          <t>100 a 300 L/ha</t>
        </is>
      </c>
      <c r="I1096" s="13" t="inlineStr">
        <is>
          <t>20 a 40 L/ha</t>
        </is>
      </c>
      <c r="J1096" s="13" t="inlineStr">
        <is>
          <t>Isento</t>
        </is>
      </c>
    </row>
    <row r="1097" ht="22" customHeight="1">
      <c r="A1097" s="6" t="inlineStr">
        <is>
          <t>CUL-1093</t>
        </is>
      </c>
      <c r="B1097" s="5" t="n">
        <v>210</v>
      </c>
      <c r="C1097" s="7" t="inlineStr">
        <is>
          <t>SIPEAGRO (UF-XXXXX)</t>
        </is>
      </c>
      <c r="D1097" s="8" t="inlineStr">
        <is>
          <t>MAGNIFIC</t>
        </is>
      </c>
      <c r="E1097" s="7" t="inlineStr">
        <is>
          <t>Adubação de Solo / Foliar</t>
        </is>
      </c>
      <c r="F1097" s="7" t="inlineStr">
        <is>
          <t>Algodão</t>
        </is>
      </c>
      <c r="G1097" s="7" t="inlineStr">
        <is>
          <t>Cultura Autorizada na Bula</t>
        </is>
      </c>
      <c r="H1097" s="7" t="inlineStr">
        <is>
          <t>100 a 300 L/ha</t>
        </is>
      </c>
      <c r="I1097" s="7" t="inlineStr">
        <is>
          <t>20 a 40 L/ha</t>
        </is>
      </c>
      <c r="J1097" s="7" t="inlineStr">
        <is>
          <t>Isento</t>
        </is>
      </c>
    </row>
    <row r="1098" ht="22" customHeight="1">
      <c r="A1098" s="12" t="inlineStr">
        <is>
          <t>CUL-1094</t>
        </is>
      </c>
      <c r="B1098" s="11" t="n">
        <v>210</v>
      </c>
      <c r="C1098" s="13" t="inlineStr">
        <is>
          <t>SIPEAGRO (UF-XXXXX)</t>
        </is>
      </c>
      <c r="D1098" s="14" t="inlineStr">
        <is>
          <t>MAGNIFIC</t>
        </is>
      </c>
      <c r="E1098" s="13" t="inlineStr">
        <is>
          <t>Adubação de Solo / Foliar</t>
        </is>
      </c>
      <c r="F1098" s="13" t="inlineStr">
        <is>
          <t>Cana-de-açúcar</t>
        </is>
      </c>
      <c r="G1098" s="13" t="inlineStr">
        <is>
          <t>Cultura Autorizada na Bula</t>
        </is>
      </c>
      <c r="H1098" s="13" t="inlineStr">
        <is>
          <t>100 a 300 L/ha</t>
        </is>
      </c>
      <c r="I1098" s="13" t="inlineStr">
        <is>
          <t>20 a 40 L/ha</t>
        </is>
      </c>
      <c r="J1098" s="13" t="inlineStr">
        <is>
          <t>Isento</t>
        </is>
      </c>
    </row>
    <row r="1099" ht="22" customHeight="1">
      <c r="A1099" s="6" t="inlineStr">
        <is>
          <t>CUL-1095</t>
        </is>
      </c>
      <c r="B1099" s="5" t="n">
        <v>210</v>
      </c>
      <c r="C1099" s="7" t="inlineStr">
        <is>
          <t>SIPEAGRO (UF-XXXXX)</t>
        </is>
      </c>
      <c r="D1099" s="8" t="inlineStr">
        <is>
          <t>MAGNIFIC</t>
        </is>
      </c>
      <c r="E1099" s="7" t="inlineStr">
        <is>
          <t>Adubação de Solo / Foliar</t>
        </is>
      </c>
      <c r="F1099" s="7" t="inlineStr">
        <is>
          <t>Café</t>
        </is>
      </c>
      <c r="G1099" s="7" t="inlineStr">
        <is>
          <t>Cultura Autorizada na Bula</t>
        </is>
      </c>
      <c r="H1099" s="7" t="inlineStr">
        <is>
          <t>100 a 300 L/ha</t>
        </is>
      </c>
      <c r="I1099" s="7" t="inlineStr">
        <is>
          <t>20 a 40 L/ha</t>
        </is>
      </c>
      <c r="J1099" s="7" t="inlineStr">
        <is>
          <t>Isento</t>
        </is>
      </c>
    </row>
    <row r="1100" ht="22" customHeight="1">
      <c r="A1100" s="12" t="inlineStr">
        <is>
          <t>CUL-1096</t>
        </is>
      </c>
      <c r="B1100" s="11" t="n">
        <v>211</v>
      </c>
      <c r="C1100" s="13" t="inlineStr">
        <is>
          <t>SIPEAGRO (UF-XXXXX)</t>
        </is>
      </c>
      <c r="D1100" s="14" t="inlineStr">
        <is>
          <t>BORON</t>
        </is>
      </c>
      <c r="E1100" s="13" t="inlineStr">
        <is>
          <t>Pulverização Agrícola Conforme Bula</t>
        </is>
      </c>
      <c r="F1100" s="13" t="inlineStr">
        <is>
          <t>Grandes Culturas, Perenes e Pastagens</t>
        </is>
      </c>
      <c r="G1100" s="13" t="inlineStr">
        <is>
          <t>Cultura Autorizada na Bula</t>
        </is>
      </c>
      <c r="H1100" s="13" t="inlineStr">
        <is>
          <t>100 a 300 L/ha</t>
        </is>
      </c>
      <c r="I1100" s="13" t="inlineStr">
        <is>
          <t>20 a 40 L/ha</t>
        </is>
      </c>
      <c r="J1100" s="13" t="inlineStr">
        <is>
          <t>Isento</t>
        </is>
      </c>
    </row>
    <row r="1101" ht="22" customHeight="1">
      <c r="A1101" s="6" t="inlineStr">
        <is>
          <t>CUL-1097</t>
        </is>
      </c>
      <c r="B1101" s="5" t="n">
        <v>212</v>
      </c>
      <c r="C1101" s="7" t="inlineStr">
        <is>
          <t>Nº 28520</t>
        </is>
      </c>
      <c r="D1101" s="8" t="inlineStr">
        <is>
          <t>SENHA 720 WG</t>
        </is>
      </c>
      <c r="E1101" s="7" t="inlineStr">
        <is>
          <t>Pulverização Agrícola Conforme Bula</t>
        </is>
      </c>
      <c r="F1101" s="7" t="inlineStr">
        <is>
          <t>Soja (Pré-Plantio / OGM)</t>
        </is>
      </c>
      <c r="G1101" s="7" t="inlineStr">
        <is>
          <t>Cultura Autorizada na Bula</t>
        </is>
      </c>
      <c r="H1101" s="7" t="inlineStr">
        <is>
          <t>100 a 300 L/ha</t>
        </is>
      </c>
      <c r="I1101" s="7" t="inlineStr">
        <is>
          <t>20 a 40 L/ha</t>
        </is>
      </c>
      <c r="J1101" s="7" t="inlineStr">
        <is>
          <t>56 dias</t>
        </is>
      </c>
    </row>
    <row r="1102" ht="22" customHeight="1">
      <c r="A1102" s="12" t="inlineStr">
        <is>
          <t>CUL-1098</t>
        </is>
      </c>
      <c r="B1102" s="11" t="n">
        <v>212</v>
      </c>
      <c r="C1102" s="13" t="inlineStr">
        <is>
          <t>Nº 28520</t>
        </is>
      </c>
      <c r="D1102" s="14" t="inlineStr">
        <is>
          <t>SENHA 720 WG</t>
        </is>
      </c>
      <c r="E1102" s="13" t="inlineStr">
        <is>
          <t>Pulverização Agrícola Conforme Bula</t>
        </is>
      </c>
      <c r="F1102" s="13" t="inlineStr">
        <is>
          <t>Milho (Pré-Plantio / OGM)</t>
        </is>
      </c>
      <c r="G1102" s="13" t="inlineStr">
        <is>
          <t>Cultura Autorizada na Bula</t>
        </is>
      </c>
      <c r="H1102" s="13" t="inlineStr">
        <is>
          <t>100 a 300 L/ha</t>
        </is>
      </c>
      <c r="I1102" s="13" t="inlineStr">
        <is>
          <t>20 a 40 L/ha</t>
        </is>
      </c>
      <c r="J1102" s="13" t="inlineStr">
        <is>
          <t>90 dias</t>
        </is>
      </c>
    </row>
    <row r="1103" ht="22" customHeight="1">
      <c r="A1103" s="6" t="inlineStr">
        <is>
          <t>CUL-1099</t>
        </is>
      </c>
      <c r="B1103" s="5" t="n">
        <v>212</v>
      </c>
      <c r="C1103" s="7" t="inlineStr">
        <is>
          <t>Nº 28520</t>
        </is>
      </c>
      <c r="D1103" s="8" t="inlineStr">
        <is>
          <t>SENHA 720 WG</t>
        </is>
      </c>
      <c r="E1103" s="7" t="inlineStr">
        <is>
          <t>Pulverização Agrícola Conforme Bula</t>
        </is>
      </c>
      <c r="F1103" s="7" t="inlineStr">
        <is>
          <t>Algodão (Pré-Plantio / OGM)</t>
        </is>
      </c>
      <c r="G1103" s="7" t="inlineStr">
        <is>
          <t>Cultura Autorizada na Bula</t>
        </is>
      </c>
      <c r="H1103" s="7" t="inlineStr">
        <is>
          <t>100 a 300 L/ha</t>
        </is>
      </c>
      <c r="I1103" s="7" t="inlineStr">
        <is>
          <t>20 a 40 L/ha</t>
        </is>
      </c>
      <c r="J1103" s="7" t="inlineStr">
        <is>
          <t>130 dias</t>
        </is>
      </c>
    </row>
    <row r="1104" ht="22" customHeight="1">
      <c r="A1104" s="12" t="inlineStr">
        <is>
          <t>CUL-1100</t>
        </is>
      </c>
      <c r="B1104" s="11" t="n">
        <v>212</v>
      </c>
      <c r="C1104" s="13" t="inlineStr">
        <is>
          <t>Nº 28520</t>
        </is>
      </c>
      <c r="D1104" s="14" t="inlineStr">
        <is>
          <t>SENHA 720 WG</t>
        </is>
      </c>
      <c r="E1104" s="13" t="inlineStr">
        <is>
          <t>Pulverização Agrícola Conforme Bula</t>
        </is>
      </c>
      <c r="F1104" s="13" t="inlineStr">
        <is>
          <t>Cana-de-açúcar</t>
        </is>
      </c>
      <c r="G1104" s="13" t="inlineStr">
        <is>
          <t>Cultura Autorizada na Bula</t>
        </is>
      </c>
      <c r="H1104" s="13" t="inlineStr">
        <is>
          <t>100 a 300 L/ha</t>
        </is>
      </c>
      <c r="I1104" s="13" t="inlineStr">
        <is>
          <t>20 a 40 L/ha</t>
        </is>
      </c>
      <c r="J1104" s="13" t="inlineStr">
        <is>
          <t>N/D</t>
        </is>
      </c>
    </row>
    <row r="1105" ht="22" customHeight="1">
      <c r="A1105" s="6" t="inlineStr">
        <is>
          <t>CUL-1101</t>
        </is>
      </c>
      <c r="B1105" s="5" t="n">
        <v>212</v>
      </c>
      <c r="C1105" s="7" t="inlineStr">
        <is>
          <t>Nº 28520</t>
        </is>
      </c>
      <c r="D1105" s="8" t="inlineStr">
        <is>
          <t>SENHA 720 WG</t>
        </is>
      </c>
      <c r="E1105" s="7" t="inlineStr">
        <is>
          <t>Pulverização Agrícola Conforme Bula</t>
        </is>
      </c>
      <c r="F1105" s="7" t="inlineStr">
        <is>
          <t>Café (Jato Dirigido)</t>
        </is>
      </c>
      <c r="G1105" s="7" t="inlineStr">
        <is>
          <t>Cultura Autorizada na Bula</t>
        </is>
      </c>
      <c r="H1105" s="7" t="inlineStr">
        <is>
          <t>100 a 300 L/ha</t>
        </is>
      </c>
      <c r="I1105" s="7" t="inlineStr">
        <is>
          <t>20 a 40 L/ha</t>
        </is>
      </c>
      <c r="J1105" s="7" t="inlineStr">
        <is>
          <t>15 dias</t>
        </is>
      </c>
    </row>
    <row r="1106" ht="22" customHeight="1">
      <c r="A1106" s="12" t="inlineStr">
        <is>
          <t>CUL-1102</t>
        </is>
      </c>
      <c r="B1106" s="11" t="n">
        <v>212</v>
      </c>
      <c r="C1106" s="13" t="inlineStr">
        <is>
          <t>Nº 28520</t>
        </is>
      </c>
      <c r="D1106" s="14" t="inlineStr">
        <is>
          <t>SENHA 720 WG</t>
        </is>
      </c>
      <c r="E1106" s="13" t="inlineStr">
        <is>
          <t>Pulverização Agrícola Conforme Bula</t>
        </is>
      </c>
      <c r="F1106" s="13" t="inlineStr">
        <is>
          <t>Citros (Jato Dirigido)</t>
        </is>
      </c>
      <c r="G1106" s="13" t="inlineStr">
        <is>
          <t>Cultura Autorizada na Bula</t>
        </is>
      </c>
      <c r="H1106" s="13" t="inlineStr">
        <is>
          <t>100 a 300 L/ha</t>
        </is>
      </c>
      <c r="I1106" s="13" t="inlineStr">
        <is>
          <t>20 a 40 L/ha</t>
        </is>
      </c>
      <c r="J1106" s="13" t="inlineStr">
        <is>
          <t>30 dias</t>
        </is>
      </c>
    </row>
    <row r="1107" ht="22" customHeight="1">
      <c r="A1107" s="6" t="inlineStr">
        <is>
          <t>CUL-1103</t>
        </is>
      </c>
      <c r="B1107" s="5" t="n">
        <v>212</v>
      </c>
      <c r="C1107" s="7" t="inlineStr">
        <is>
          <t>Nº 28520</t>
        </is>
      </c>
      <c r="D1107" s="8" t="inlineStr">
        <is>
          <t>SENHA 720 WG</t>
        </is>
      </c>
      <c r="E1107" s="7" t="inlineStr">
        <is>
          <t>Pulverização Agrícola Conforme Bula</t>
        </is>
      </c>
      <c r="F1107" s="7" t="inlineStr">
        <is>
          <t>Trigo (Pré-Plantio)</t>
        </is>
      </c>
      <c r="G1107" s="7" t="inlineStr">
        <is>
          <t>Cultura Autorizada na Bula</t>
        </is>
      </c>
      <c r="H1107" s="7" t="inlineStr">
        <is>
          <t>100 a 300 L/ha</t>
        </is>
      </c>
      <c r="I1107" s="7" t="inlineStr">
        <is>
          <t>20 a 40 L/ha</t>
        </is>
      </c>
      <c r="J1107" s="7" t="inlineStr">
        <is>
          <t>N/D</t>
        </is>
      </c>
    </row>
    <row r="1108" ht="22" customHeight="1">
      <c r="A1108" s="12" t="inlineStr">
        <is>
          <t>CUL-1104</t>
        </is>
      </c>
      <c r="B1108" s="11" t="n">
        <v>212</v>
      </c>
      <c r="C1108" s="13" t="inlineStr">
        <is>
          <t>Nº 28520</t>
        </is>
      </c>
      <c r="D1108" s="14" t="inlineStr">
        <is>
          <t>SENHA 720 WG</t>
        </is>
      </c>
      <c r="E1108" s="13" t="inlineStr">
        <is>
          <t>Pulverização Agrícola Conforme Bula</t>
        </is>
      </c>
      <c r="F1108" s="13" t="inlineStr">
        <is>
          <t>Pastagens</t>
        </is>
      </c>
      <c r="G1108" s="13" t="inlineStr">
        <is>
          <t>Cultura Autorizada na Bula</t>
        </is>
      </c>
      <c r="H1108" s="13" t="inlineStr">
        <is>
          <t>100 a 300 L/ha</t>
        </is>
      </c>
      <c r="I1108" s="13" t="inlineStr">
        <is>
          <t>20 a 40 L/ha</t>
        </is>
      </c>
      <c r="J1108" s="13" t="inlineStr">
        <is>
          <t>N/D</t>
        </is>
      </c>
    </row>
    <row r="1109" ht="22" customHeight="1">
      <c r="A1109" s="6" t="inlineStr">
        <is>
          <t>CUL-1105</t>
        </is>
      </c>
      <c r="B1109" s="5" t="n">
        <v>213</v>
      </c>
      <c r="C1109" s="7" t="inlineStr">
        <is>
          <t>Nº 24823</t>
        </is>
      </c>
      <c r="D1109" s="8" t="inlineStr">
        <is>
          <t>OLASUL</t>
        </is>
      </c>
      <c r="E1109" s="7" t="inlineStr">
        <is>
          <t>Pulverização Agrícola Conforme Bula</t>
        </is>
      </c>
      <c r="F1109" s="7" t="inlineStr">
        <is>
          <t>Soja</t>
        </is>
      </c>
      <c r="G1109" s="7" t="inlineStr">
        <is>
          <t>Cultura Autorizada na Bula</t>
        </is>
      </c>
      <c r="H1109" s="7" t="inlineStr">
        <is>
          <t>100 a 300 L/ha</t>
        </is>
      </c>
      <c r="I1109" s="7" t="inlineStr">
        <is>
          <t>20 a 40 L/ha</t>
        </is>
      </c>
      <c r="J1109" s="7" t="inlineStr">
        <is>
          <t>60 dias</t>
        </is>
      </c>
    </row>
    <row r="1110" ht="22" customHeight="1">
      <c r="A1110" s="12" t="inlineStr">
        <is>
          <t>CUL-1106</t>
        </is>
      </c>
      <c r="B1110" s="11" t="n">
        <v>213</v>
      </c>
      <c r="C1110" s="13" t="inlineStr">
        <is>
          <t>Nº 24823</t>
        </is>
      </c>
      <c r="D1110" s="14" t="inlineStr">
        <is>
          <t>OLASUL</t>
        </is>
      </c>
      <c r="E1110" s="13" t="inlineStr">
        <is>
          <t>Pulverização Agrícola Conforme Bula</t>
        </is>
      </c>
      <c r="F1110" s="13" t="inlineStr">
        <is>
          <t>Milho</t>
        </is>
      </c>
      <c r="G1110" s="13" t="inlineStr">
        <is>
          <t>Cultura Autorizada na Bula</t>
        </is>
      </c>
      <c r="H1110" s="13" t="inlineStr">
        <is>
          <t>100 a 300 L/ha</t>
        </is>
      </c>
      <c r="I1110" s="13" t="inlineStr">
        <is>
          <t>20 a 40 L/ha</t>
        </is>
      </c>
      <c r="J1110" s="13" t="inlineStr">
        <is>
          <t>45 dias</t>
        </is>
      </c>
    </row>
    <row r="1111" ht="22" customHeight="1">
      <c r="A1111" s="6" t="inlineStr">
        <is>
          <t>CUL-1107</t>
        </is>
      </c>
      <c r="B1111" s="5" t="n">
        <v>213</v>
      </c>
      <c r="C1111" s="7" t="inlineStr">
        <is>
          <t>Nº 24823</t>
        </is>
      </c>
      <c r="D1111" s="8" t="inlineStr">
        <is>
          <t>OLASUL</t>
        </is>
      </c>
      <c r="E1111" s="7" t="inlineStr">
        <is>
          <t>Pulverização Agrícola Conforme Bula</t>
        </is>
      </c>
      <c r="F1111" s="7" t="inlineStr">
        <is>
          <t>Algodão</t>
        </is>
      </c>
      <c r="G1111" s="7" t="inlineStr">
        <is>
          <t>Cultura Autorizada na Bula</t>
        </is>
      </c>
      <c r="H1111" s="7" t="inlineStr">
        <is>
          <t>100 a 300 L/ha</t>
        </is>
      </c>
      <c r="I1111" s="7" t="inlineStr">
        <is>
          <t>20 a 40 L/ha</t>
        </is>
      </c>
      <c r="J1111" s="7" t="inlineStr">
        <is>
          <t>60 dias</t>
        </is>
      </c>
    </row>
    <row r="1112" ht="22" customHeight="1">
      <c r="A1112" s="12" t="inlineStr">
        <is>
          <t>CUL-1108</t>
        </is>
      </c>
      <c r="B1112" s="11" t="n">
        <v>213</v>
      </c>
      <c r="C1112" s="13" t="inlineStr">
        <is>
          <t>Nº 24823</t>
        </is>
      </c>
      <c r="D1112" s="14" t="inlineStr">
        <is>
          <t>OLASUL</t>
        </is>
      </c>
      <c r="E1112" s="13" t="inlineStr">
        <is>
          <t>Pulverização Agrícola Conforme Bula</t>
        </is>
      </c>
      <c r="F1112" s="13" t="inlineStr">
        <is>
          <t>Cana-de-açúcar</t>
        </is>
      </c>
      <c r="G1112" s="13" t="inlineStr">
        <is>
          <t>Cultura Autorizada na Bula</t>
        </is>
      </c>
      <c r="H1112" s="13" t="inlineStr">
        <is>
          <t>100 a 300 L/ha</t>
        </is>
      </c>
      <c r="I1112" s="13" t="inlineStr">
        <is>
          <t>20 a 40 L/ha</t>
        </is>
      </c>
      <c r="J1112" s="13" t="inlineStr">
        <is>
          <t>90 dias</t>
        </is>
      </c>
    </row>
    <row r="1113" ht="22" customHeight="1">
      <c r="A1113" s="6" t="inlineStr">
        <is>
          <t>CUL-1109</t>
        </is>
      </c>
      <c r="B1113" s="5" t="n">
        <v>214</v>
      </c>
      <c r="C1113" s="7" t="inlineStr">
        <is>
          <t>Nº 32323</t>
        </is>
      </c>
      <c r="D1113" s="8" t="inlineStr">
        <is>
          <t>OLATAZON 400 EC</t>
        </is>
      </c>
      <c r="E1113" s="7" t="inlineStr">
        <is>
          <t>Pulverização Agrícola Conforme Bula</t>
        </is>
      </c>
      <c r="F1113" s="7" t="inlineStr">
        <is>
          <t>Soja (Dessecação)</t>
        </is>
      </c>
      <c r="G1113" s="7" t="inlineStr">
        <is>
          <t>Cultura Autorizada na Bula</t>
        </is>
      </c>
      <c r="H1113" s="7" t="inlineStr">
        <is>
          <t>100 a 300 L/ha</t>
        </is>
      </c>
      <c r="I1113" s="7" t="inlineStr">
        <is>
          <t>20 a 40 L/ha</t>
        </is>
      </c>
      <c r="J1113" s="7" t="inlineStr">
        <is>
          <t>N/D</t>
        </is>
      </c>
    </row>
    <row r="1114" ht="22" customHeight="1">
      <c r="A1114" s="12" t="inlineStr">
        <is>
          <t>CUL-1110</t>
        </is>
      </c>
      <c r="B1114" s="11" t="n">
        <v>214</v>
      </c>
      <c r="C1114" s="13" t="inlineStr">
        <is>
          <t>Nº 32323</t>
        </is>
      </c>
      <c r="D1114" s="14" t="inlineStr">
        <is>
          <t>OLATAZON 400 EC</t>
        </is>
      </c>
      <c r="E1114" s="13" t="inlineStr">
        <is>
          <t>Pulverização Agrícola Conforme Bula</t>
        </is>
      </c>
      <c r="F1114" s="13" t="inlineStr">
        <is>
          <t>Milho</t>
        </is>
      </c>
      <c r="G1114" s="13" t="inlineStr">
        <is>
          <t>Cultura Autorizada na Bula</t>
        </is>
      </c>
      <c r="H1114" s="13" t="inlineStr">
        <is>
          <t>100 a 300 L/ha</t>
        </is>
      </c>
      <c r="I1114" s="13" t="inlineStr">
        <is>
          <t>20 a 40 L/ha</t>
        </is>
      </c>
      <c r="J1114" s="13" t="inlineStr">
        <is>
          <t>45 dias</t>
        </is>
      </c>
    </row>
    <row r="1115" ht="22" customHeight="1">
      <c r="A1115" s="6" t="inlineStr">
        <is>
          <t>CUL-1111</t>
        </is>
      </c>
      <c r="B1115" s="5" t="n">
        <v>214</v>
      </c>
      <c r="C1115" s="7" t="inlineStr">
        <is>
          <t>Nº 32323</t>
        </is>
      </c>
      <c r="D1115" s="8" t="inlineStr">
        <is>
          <t>OLATAZON 400 EC</t>
        </is>
      </c>
      <c r="E1115" s="7" t="inlineStr">
        <is>
          <t>Pulverização Agrícola Conforme Bula</t>
        </is>
      </c>
      <c r="F1115" s="7" t="inlineStr">
        <is>
          <t>Algodão (Desfolha / Jato Dirigido)</t>
        </is>
      </c>
      <c r="G1115" s="7" t="inlineStr">
        <is>
          <t>Cultura Autorizada na Bula</t>
        </is>
      </c>
      <c r="H1115" s="7" t="inlineStr">
        <is>
          <t>100 a 300 L/ha</t>
        </is>
      </c>
      <c r="I1115" s="7" t="inlineStr">
        <is>
          <t>20 a 40 L/ha</t>
        </is>
      </c>
      <c r="J1115" s="7" t="inlineStr">
        <is>
          <t>15 dias</t>
        </is>
      </c>
    </row>
    <row r="1116" ht="22" customHeight="1">
      <c r="A1116" s="12" t="inlineStr">
        <is>
          <t>CUL-1112</t>
        </is>
      </c>
      <c r="B1116" s="11" t="n">
        <v>214</v>
      </c>
      <c r="C1116" s="13" t="inlineStr">
        <is>
          <t>Nº 32323</t>
        </is>
      </c>
      <c r="D1116" s="14" t="inlineStr">
        <is>
          <t>OLATAZON 400 EC</t>
        </is>
      </c>
      <c r="E1116" s="13" t="inlineStr">
        <is>
          <t>Pulverização Agrícola Conforme Bula</t>
        </is>
      </c>
      <c r="F1116" s="13" t="inlineStr">
        <is>
          <t>Cana-de-açúcar</t>
        </is>
      </c>
      <c r="G1116" s="13" t="inlineStr">
        <is>
          <t>Cultura Autorizada na Bula</t>
        </is>
      </c>
      <c r="H1116" s="13" t="inlineStr">
        <is>
          <t>100 a 300 L/ha</t>
        </is>
      </c>
      <c r="I1116" s="13" t="inlineStr">
        <is>
          <t>20 a 40 L/ha</t>
        </is>
      </c>
      <c r="J1116" s="13" t="inlineStr">
        <is>
          <t>105 dias</t>
        </is>
      </c>
    </row>
    <row r="1117" ht="22" customHeight="1">
      <c r="A1117" s="6" t="inlineStr">
        <is>
          <t>CUL-1113</t>
        </is>
      </c>
      <c r="B1117" s="5" t="n">
        <v>214</v>
      </c>
      <c r="C1117" s="7" t="inlineStr">
        <is>
          <t>Nº 32323</t>
        </is>
      </c>
      <c r="D1117" s="8" t="inlineStr">
        <is>
          <t>OLATAZON 400 EC</t>
        </is>
      </c>
      <c r="E1117" s="7" t="inlineStr">
        <is>
          <t>Pulverização Agrícola Conforme Bula</t>
        </is>
      </c>
      <c r="F1117" s="7" t="inlineStr">
        <is>
          <t>Café</t>
        </is>
      </c>
      <c r="G1117" s="7" t="inlineStr">
        <is>
          <t>Cultura Autorizada na Bula</t>
        </is>
      </c>
      <c r="H1117" s="7" t="inlineStr">
        <is>
          <t>100 a 300 L/ha</t>
        </is>
      </c>
      <c r="I1117" s="7" t="inlineStr">
        <is>
          <t>20 a 40 L/ha</t>
        </is>
      </c>
      <c r="J1117" s="7" t="inlineStr">
        <is>
          <t>15 dias</t>
        </is>
      </c>
    </row>
    <row r="1118" ht="22" customHeight="1">
      <c r="A1118" s="12" t="inlineStr">
        <is>
          <t>CUL-1114</t>
        </is>
      </c>
      <c r="B1118" s="11" t="n">
        <v>214</v>
      </c>
      <c r="C1118" s="13" t="inlineStr">
        <is>
          <t>Nº 32323</t>
        </is>
      </c>
      <c r="D1118" s="14" t="inlineStr">
        <is>
          <t>OLATAZON 400 EC</t>
        </is>
      </c>
      <c r="E1118" s="13" t="inlineStr">
        <is>
          <t>Pulverização Agrícola Conforme Bula</t>
        </is>
      </c>
      <c r="F1118" s="13" t="inlineStr">
        <is>
          <t>Citros</t>
        </is>
      </c>
      <c r="G1118" s="13" t="inlineStr">
        <is>
          <t>Cultura Autorizada na Bula</t>
        </is>
      </c>
      <c r="H1118" s="13" t="inlineStr">
        <is>
          <t>100 a 300 L/ha</t>
        </is>
      </c>
      <c r="I1118" s="13" t="inlineStr">
        <is>
          <t>20 a 40 L/ha</t>
        </is>
      </c>
      <c r="J1118" s="13" t="inlineStr">
        <is>
          <t>15 dias</t>
        </is>
      </c>
    </row>
    <row r="1119" ht="22" customHeight="1">
      <c r="A1119" s="6" t="inlineStr">
        <is>
          <t>CUL-1115</t>
        </is>
      </c>
      <c r="B1119" s="5" t="n">
        <v>215</v>
      </c>
      <c r="C1119" s="7" t="inlineStr">
        <is>
          <t>Nº 30520</t>
        </is>
      </c>
      <c r="D1119" s="8" t="inlineStr">
        <is>
          <t>MAXAPAC 250 EC</t>
        </is>
      </c>
      <c r="E1119" s="7" t="inlineStr">
        <is>
          <t>Pulverização Agrícola Conforme Bula</t>
        </is>
      </c>
      <c r="F1119" s="7" t="inlineStr">
        <is>
          <t>Soja</t>
        </is>
      </c>
      <c r="G1119" s="7" t="inlineStr">
        <is>
          <t>Cultura Autorizada na Bula</t>
        </is>
      </c>
      <c r="H1119" s="7" t="inlineStr">
        <is>
          <t>100 a 300 L/ha</t>
        </is>
      </c>
      <c r="I1119" s="7" t="inlineStr">
        <is>
          <t>20 a 40 L/ha</t>
        </is>
      </c>
      <c r="J1119" s="7" t="inlineStr">
        <is>
          <t>21 dias</t>
        </is>
      </c>
    </row>
    <row r="1120" ht="22" customHeight="1">
      <c r="A1120" s="12" t="inlineStr">
        <is>
          <t>CUL-1116</t>
        </is>
      </c>
      <c r="B1120" s="11" t="n">
        <v>215</v>
      </c>
      <c r="C1120" s="13" t="inlineStr">
        <is>
          <t>Nº 30520</t>
        </is>
      </c>
      <c r="D1120" s="14" t="inlineStr">
        <is>
          <t>MAXAPAC 250 EC</t>
        </is>
      </c>
      <c r="E1120" s="13" t="inlineStr">
        <is>
          <t>Pulverização Agrícola Conforme Bula</t>
        </is>
      </c>
      <c r="F1120" s="13" t="inlineStr">
        <is>
          <t>Milho</t>
        </is>
      </c>
      <c r="G1120" s="13" t="inlineStr">
        <is>
          <t>Cultura Autorizada na Bula</t>
        </is>
      </c>
      <c r="H1120" s="13" t="inlineStr">
        <is>
          <t>100 a 300 L/ha</t>
        </is>
      </c>
      <c r="I1120" s="13" t="inlineStr">
        <is>
          <t>20 a 40 L/ha</t>
        </is>
      </c>
      <c r="J1120" s="13" t="inlineStr">
        <is>
          <t>21 dias</t>
        </is>
      </c>
    </row>
    <row r="1121" ht="22" customHeight="1">
      <c r="A1121" s="6" t="inlineStr">
        <is>
          <t>CUL-1117</t>
        </is>
      </c>
      <c r="B1121" s="5" t="n">
        <v>215</v>
      </c>
      <c r="C1121" s="7" t="inlineStr">
        <is>
          <t>Nº 30520</t>
        </is>
      </c>
      <c r="D1121" s="8" t="inlineStr">
        <is>
          <t>MAXAPAC 250 EC</t>
        </is>
      </c>
      <c r="E1121" s="7" t="inlineStr">
        <is>
          <t>Pulverização Agrícola Conforme Bula</t>
        </is>
      </c>
      <c r="F1121" s="7" t="inlineStr">
        <is>
          <t>Algodão</t>
        </is>
      </c>
      <c r="G1121" s="7" t="inlineStr">
        <is>
          <t>Cultura Autorizada na Bula</t>
        </is>
      </c>
      <c r="H1121" s="7" t="inlineStr">
        <is>
          <t>100 a 300 L/ha</t>
        </is>
      </c>
      <c r="I1121" s="7" t="inlineStr">
        <is>
          <t>20 a 40 L/ha</t>
        </is>
      </c>
      <c r="J1121" s="7" t="inlineStr">
        <is>
          <t>21 dias</t>
        </is>
      </c>
    </row>
    <row r="1122" ht="22" customHeight="1">
      <c r="A1122" s="12" t="inlineStr">
        <is>
          <t>CUL-1118</t>
        </is>
      </c>
      <c r="B1122" s="11" t="n">
        <v>215</v>
      </c>
      <c r="C1122" s="13" t="inlineStr">
        <is>
          <t>Nº 30520</t>
        </is>
      </c>
      <c r="D1122" s="14" t="inlineStr">
        <is>
          <t>MAXAPAC 250 EC</t>
        </is>
      </c>
      <c r="E1122" s="13" t="inlineStr">
        <is>
          <t>Pulverização Agrícola Conforme Bula</t>
        </is>
      </c>
      <c r="F1122" s="13" t="inlineStr">
        <is>
          <t>Feijão</t>
        </is>
      </c>
      <c r="G1122" s="13" t="inlineStr">
        <is>
          <t>Cultura Autorizada na Bula</t>
        </is>
      </c>
      <c r="H1122" s="13" t="inlineStr">
        <is>
          <t>100 a 300 L/ha</t>
        </is>
      </c>
      <c r="I1122" s="13" t="inlineStr">
        <is>
          <t>20 a 40 L/ha</t>
        </is>
      </c>
      <c r="J1122" s="13" t="inlineStr">
        <is>
          <t>14 dias</t>
        </is>
      </c>
    </row>
    <row r="1123" ht="22" customHeight="1">
      <c r="A1123" s="6" t="inlineStr">
        <is>
          <t>CUL-1119</t>
        </is>
      </c>
      <c r="B1123" s="5" t="n">
        <v>216</v>
      </c>
      <c r="C1123" s="7" t="inlineStr">
        <is>
          <t>Nº 6922</t>
        </is>
      </c>
      <c r="D1123" s="8" t="inlineStr">
        <is>
          <t>COFENRIN</t>
        </is>
      </c>
      <c r="E1123" s="7" t="inlineStr">
        <is>
          <t>Pulverização Agrícola Conforme Bula</t>
        </is>
      </c>
      <c r="F1123" s="7" t="inlineStr">
        <is>
          <t>Algodão</t>
        </is>
      </c>
      <c r="G1123" s="7" t="inlineStr">
        <is>
          <t>Cultura Autorizada na Bula</t>
        </is>
      </c>
      <c r="H1123" s="7" t="inlineStr">
        <is>
          <t>100 a 300 L/ha</t>
        </is>
      </c>
      <c r="I1123" s="7" t="inlineStr">
        <is>
          <t>20 a 40 L/ha</t>
        </is>
      </c>
      <c r="J1123" s="7" t="inlineStr">
        <is>
          <t>15 dias</t>
        </is>
      </c>
    </row>
    <row r="1124" ht="22" customHeight="1">
      <c r="A1124" s="12" t="inlineStr">
        <is>
          <t>CUL-1120</t>
        </is>
      </c>
      <c r="B1124" s="11" t="n">
        <v>216</v>
      </c>
      <c r="C1124" s="13" t="inlineStr">
        <is>
          <t>Nº 6922</t>
        </is>
      </c>
      <c r="D1124" s="14" t="inlineStr">
        <is>
          <t>COFENRIN</t>
        </is>
      </c>
      <c r="E1124" s="13" t="inlineStr">
        <is>
          <t>Pulverização Agrícola Conforme Bula</t>
        </is>
      </c>
      <c r="F1124" s="13" t="inlineStr">
        <is>
          <t>Soja</t>
        </is>
      </c>
      <c r="G1124" s="13" t="inlineStr">
        <is>
          <t>Cultura Autorizada na Bula</t>
        </is>
      </c>
      <c r="H1124" s="13" t="inlineStr">
        <is>
          <t>100 a 300 L/ha</t>
        </is>
      </c>
      <c r="I1124" s="13" t="inlineStr">
        <is>
          <t>20 a 40 L/ha</t>
        </is>
      </c>
      <c r="J1124" s="13" t="inlineStr">
        <is>
          <t>30 dias</t>
        </is>
      </c>
    </row>
    <row r="1125" ht="22" customHeight="1">
      <c r="A1125" s="6" t="inlineStr">
        <is>
          <t>CUL-1121</t>
        </is>
      </c>
      <c r="B1125" s="5" t="n">
        <v>216</v>
      </c>
      <c r="C1125" s="7" t="inlineStr">
        <is>
          <t>Nº 6922</t>
        </is>
      </c>
      <c r="D1125" s="8" t="inlineStr">
        <is>
          <t>COFENRIN</t>
        </is>
      </c>
      <c r="E1125" s="7" t="inlineStr">
        <is>
          <t>Pulverização Agrícola Conforme Bula</t>
        </is>
      </c>
      <c r="F1125" s="7" t="inlineStr">
        <is>
          <t>Milho</t>
        </is>
      </c>
      <c r="G1125" s="7" t="inlineStr">
        <is>
          <t>Cultura Autorizada na Bula</t>
        </is>
      </c>
      <c r="H1125" s="7" t="inlineStr">
        <is>
          <t>100 a 300 L/ha</t>
        </is>
      </c>
      <c r="I1125" s="7" t="inlineStr">
        <is>
          <t>20 a 40 L/ha</t>
        </is>
      </c>
      <c r="J1125" s="7" t="inlineStr">
        <is>
          <t>30 dias</t>
        </is>
      </c>
    </row>
    <row r="1126" ht="22" customHeight="1">
      <c r="A1126" s="12" t="inlineStr">
        <is>
          <t>CUL-1122</t>
        </is>
      </c>
      <c r="B1126" s="11" t="n">
        <v>216</v>
      </c>
      <c r="C1126" s="13" t="inlineStr">
        <is>
          <t>Nº 6922</t>
        </is>
      </c>
      <c r="D1126" s="14" t="inlineStr">
        <is>
          <t>COFENRIN</t>
        </is>
      </c>
      <c r="E1126" s="13" t="inlineStr">
        <is>
          <t>Pulverização Agrícola Conforme Bula</t>
        </is>
      </c>
      <c r="F1126" s="13" t="inlineStr">
        <is>
          <t>Cana-de-açúcar</t>
        </is>
      </c>
      <c r="G1126" s="13" t="inlineStr">
        <is>
          <t>Cultura Autorizada na Bula</t>
        </is>
      </c>
      <c r="H1126" s="13" t="inlineStr">
        <is>
          <t>100 a 300 L/ha</t>
        </is>
      </c>
      <c r="I1126" s="13" t="inlineStr">
        <is>
          <t>20 a 40 L/ha</t>
        </is>
      </c>
      <c r="J1126" s="13" t="inlineStr">
        <is>
          <t>30 dias</t>
        </is>
      </c>
    </row>
    <row r="1127" ht="22" customHeight="1">
      <c r="A1127" s="6" t="inlineStr">
        <is>
          <t>CUL-1123</t>
        </is>
      </c>
      <c r="B1127" s="5" t="n">
        <v>216</v>
      </c>
      <c r="C1127" s="7" t="inlineStr">
        <is>
          <t>Nº 6922</t>
        </is>
      </c>
      <c r="D1127" s="8" t="inlineStr">
        <is>
          <t>COFENRIN</t>
        </is>
      </c>
      <c r="E1127" s="7" t="inlineStr">
        <is>
          <t>Pulverização Agrícola Conforme Bula</t>
        </is>
      </c>
      <c r="F1127" s="7" t="inlineStr">
        <is>
          <t>Café</t>
        </is>
      </c>
      <c r="G1127" s="7" t="inlineStr">
        <is>
          <t>Cultura Autorizada na Bula</t>
        </is>
      </c>
      <c r="H1127" s="7" t="inlineStr">
        <is>
          <t>100 a 300 L/ha</t>
        </is>
      </c>
      <c r="I1127" s="7" t="inlineStr">
        <is>
          <t>20 a 40 L/ha</t>
        </is>
      </c>
      <c r="J1127" s="7" t="inlineStr">
        <is>
          <t>30 dias</t>
        </is>
      </c>
    </row>
    <row r="1128" ht="22" customHeight="1">
      <c r="A1128" s="12" t="inlineStr">
        <is>
          <t>CUL-1124</t>
        </is>
      </c>
      <c r="B1128" s="11" t="n">
        <v>216</v>
      </c>
      <c r="C1128" s="13" t="inlineStr">
        <is>
          <t>Nº 6922</t>
        </is>
      </c>
      <c r="D1128" s="14" t="inlineStr">
        <is>
          <t>COFENRIN</t>
        </is>
      </c>
      <c r="E1128" s="13" t="inlineStr">
        <is>
          <t>Pulverização Agrícola Conforme Bula</t>
        </is>
      </c>
      <c r="F1128" s="13" t="inlineStr">
        <is>
          <t>Citros</t>
        </is>
      </c>
      <c r="G1128" s="13" t="inlineStr">
        <is>
          <t>Cultura Autorizada na Bula</t>
        </is>
      </c>
      <c r="H1128" s="13" t="inlineStr">
        <is>
          <t>100 a 300 L/ha</t>
        </is>
      </c>
      <c r="I1128" s="13" t="inlineStr">
        <is>
          <t>20 a 40 L/ha</t>
        </is>
      </c>
      <c r="J1128" s="13" t="inlineStr">
        <is>
          <t>7 dias</t>
        </is>
      </c>
    </row>
    <row r="1129" ht="22" customHeight="1">
      <c r="A1129" s="6" t="inlineStr">
        <is>
          <t>CUL-1125</t>
        </is>
      </c>
      <c r="B1129" s="5" t="n">
        <v>216</v>
      </c>
      <c r="C1129" s="7" t="inlineStr">
        <is>
          <t>Nº 6922</t>
        </is>
      </c>
      <c r="D1129" s="8" t="inlineStr">
        <is>
          <t>COFENRIN</t>
        </is>
      </c>
      <c r="E1129" s="7" t="inlineStr">
        <is>
          <t>Pulverização Agrícola Conforme Bula</t>
        </is>
      </c>
      <c r="F1129" s="7" t="inlineStr">
        <is>
          <t>Feijão</t>
        </is>
      </c>
      <c r="G1129" s="7" t="inlineStr">
        <is>
          <t>Cultura Autorizada na Bula</t>
        </is>
      </c>
      <c r="H1129" s="7" t="inlineStr">
        <is>
          <t>100 a 300 L/ha</t>
        </is>
      </c>
      <c r="I1129" s="7" t="inlineStr">
        <is>
          <t>20 a 40 L/ha</t>
        </is>
      </c>
      <c r="J1129" s="7" t="inlineStr">
        <is>
          <t>20 dias</t>
        </is>
      </c>
    </row>
    <row r="1130" ht="22" customHeight="1">
      <c r="A1130" s="12" t="inlineStr">
        <is>
          <t>CUL-1126</t>
        </is>
      </c>
      <c r="B1130" s="11" t="n">
        <v>216</v>
      </c>
      <c r="C1130" s="13" t="inlineStr">
        <is>
          <t>Nº 6922</t>
        </is>
      </c>
      <c r="D1130" s="14" t="inlineStr">
        <is>
          <t>COFENRIN</t>
        </is>
      </c>
      <c r="E1130" s="13" t="inlineStr">
        <is>
          <t>Pulverização Agrícola Conforme Bula</t>
        </is>
      </c>
      <c r="F1130" s="13" t="inlineStr">
        <is>
          <t>Trigo</t>
        </is>
      </c>
      <c r="G1130" s="13" t="inlineStr">
        <is>
          <t>Cultura Autorizada na Bula</t>
        </is>
      </c>
      <c r="H1130" s="13" t="inlineStr">
        <is>
          <t>100 a 300 L/ha</t>
        </is>
      </c>
      <c r="I1130" s="13" t="inlineStr">
        <is>
          <t>20 a 40 L/ha</t>
        </is>
      </c>
      <c r="J1130" s="13" t="inlineStr">
        <is>
          <t>30 dias</t>
        </is>
      </c>
    </row>
    <row r="1131" ht="22" customHeight="1">
      <c r="A1131" s="6" t="inlineStr">
        <is>
          <t>CUL-1127</t>
        </is>
      </c>
      <c r="B1131" s="5" t="n">
        <v>217</v>
      </c>
      <c r="C1131" s="7" t="inlineStr">
        <is>
          <t>SIPEAGRO (UF-XXXXX)</t>
        </is>
      </c>
      <c r="D1131" s="8" t="inlineStr">
        <is>
          <t>AGCN ZINCO ULTRA</t>
        </is>
      </c>
      <c r="E1131" s="7" t="inlineStr">
        <is>
          <t>Adubação de Solo / Foliar</t>
        </is>
      </c>
      <c r="F1131" s="7" t="inlineStr">
        <is>
          <t>Soja</t>
        </is>
      </c>
      <c r="G1131" s="7" t="inlineStr">
        <is>
          <t>Cultura Autorizada na Bula</t>
        </is>
      </c>
      <c r="H1131" s="7" t="inlineStr">
        <is>
          <t>100 a 300 L/ha</t>
        </is>
      </c>
      <c r="I1131" s="7" t="inlineStr">
        <is>
          <t>20 a 40 L/ha</t>
        </is>
      </c>
      <c r="J1131" s="7" t="inlineStr">
        <is>
          <t>Isento</t>
        </is>
      </c>
    </row>
    <row r="1132" ht="22" customHeight="1">
      <c r="A1132" s="12" t="inlineStr">
        <is>
          <t>CUL-1128</t>
        </is>
      </c>
      <c r="B1132" s="11" t="n">
        <v>217</v>
      </c>
      <c r="C1132" s="13" t="inlineStr">
        <is>
          <t>SIPEAGRO (UF-XXXXX)</t>
        </is>
      </c>
      <c r="D1132" s="14" t="inlineStr">
        <is>
          <t>AGCN ZINCO ULTRA</t>
        </is>
      </c>
      <c r="E1132" s="13" t="inlineStr">
        <is>
          <t>Adubação de Solo / Foliar</t>
        </is>
      </c>
      <c r="F1132" s="13" t="inlineStr">
        <is>
          <t>Milho</t>
        </is>
      </c>
      <c r="G1132" s="13" t="inlineStr">
        <is>
          <t>Cultura Autorizada na Bula</t>
        </is>
      </c>
      <c r="H1132" s="13" t="inlineStr">
        <is>
          <t>100 a 300 L/ha</t>
        </is>
      </c>
      <c r="I1132" s="13" t="inlineStr">
        <is>
          <t>20 a 40 L/ha</t>
        </is>
      </c>
      <c r="J1132" s="13" t="inlineStr">
        <is>
          <t>Isento</t>
        </is>
      </c>
    </row>
    <row r="1133" ht="22" customHeight="1">
      <c r="A1133" s="6" t="inlineStr">
        <is>
          <t>CUL-1129</t>
        </is>
      </c>
      <c r="B1133" s="5" t="n">
        <v>217</v>
      </c>
      <c r="C1133" s="7" t="inlineStr">
        <is>
          <t>SIPEAGRO (UF-XXXXX)</t>
        </is>
      </c>
      <c r="D1133" s="8" t="inlineStr">
        <is>
          <t>AGCN ZINCO ULTRA</t>
        </is>
      </c>
      <c r="E1133" s="7" t="inlineStr">
        <is>
          <t>Adubação de Solo / Foliar</t>
        </is>
      </c>
      <c r="F1133" s="7" t="inlineStr">
        <is>
          <t>Algodão</t>
        </is>
      </c>
      <c r="G1133" s="7" t="inlineStr">
        <is>
          <t>Cultura Autorizada na Bula</t>
        </is>
      </c>
      <c r="H1133" s="7" t="inlineStr">
        <is>
          <t>100 a 300 L/ha</t>
        </is>
      </c>
      <c r="I1133" s="7" t="inlineStr">
        <is>
          <t>20 a 40 L/ha</t>
        </is>
      </c>
      <c r="J1133" s="7" t="inlineStr">
        <is>
          <t>Isento</t>
        </is>
      </c>
    </row>
    <row r="1134" ht="22" customHeight="1">
      <c r="A1134" s="12" t="inlineStr">
        <is>
          <t>CUL-1130</t>
        </is>
      </c>
      <c r="B1134" s="11" t="n">
        <v>217</v>
      </c>
      <c r="C1134" s="13" t="inlineStr">
        <is>
          <t>SIPEAGRO (UF-XXXXX)</t>
        </is>
      </c>
      <c r="D1134" s="14" t="inlineStr">
        <is>
          <t>AGCN ZINCO ULTRA</t>
        </is>
      </c>
      <c r="E1134" s="13" t="inlineStr">
        <is>
          <t>Adubação de Solo / Foliar</t>
        </is>
      </c>
      <c r="F1134" s="13" t="inlineStr">
        <is>
          <t>Cana-de-açúcar</t>
        </is>
      </c>
      <c r="G1134" s="13" t="inlineStr">
        <is>
          <t>Cultura Autorizada na Bula</t>
        </is>
      </c>
      <c r="H1134" s="13" t="inlineStr">
        <is>
          <t>100 a 300 L/ha</t>
        </is>
      </c>
      <c r="I1134" s="13" t="inlineStr">
        <is>
          <t>20 a 40 L/ha</t>
        </is>
      </c>
      <c r="J1134" s="13" t="inlineStr">
        <is>
          <t>Isento</t>
        </is>
      </c>
    </row>
    <row r="1135" ht="22" customHeight="1">
      <c r="A1135" s="6" t="inlineStr">
        <is>
          <t>CUL-1131</t>
        </is>
      </c>
      <c r="B1135" s="5" t="n">
        <v>217</v>
      </c>
      <c r="C1135" s="7" t="inlineStr">
        <is>
          <t>SIPEAGRO (UF-XXXXX)</t>
        </is>
      </c>
      <c r="D1135" s="8" t="inlineStr">
        <is>
          <t>AGCN ZINCO ULTRA</t>
        </is>
      </c>
      <c r="E1135" s="7" t="inlineStr">
        <is>
          <t>Adubação de Solo / Foliar</t>
        </is>
      </c>
      <c r="F1135" s="7" t="inlineStr">
        <is>
          <t>Café</t>
        </is>
      </c>
      <c r="G1135" s="7" t="inlineStr">
        <is>
          <t>Cultura Autorizada na Bula</t>
        </is>
      </c>
      <c r="H1135" s="7" t="inlineStr">
        <is>
          <t>100 a 300 L/ha</t>
        </is>
      </c>
      <c r="I1135" s="7" t="inlineStr">
        <is>
          <t>20 a 40 L/ha</t>
        </is>
      </c>
      <c r="J1135" s="7" t="inlineStr">
        <is>
          <t>Isento</t>
        </is>
      </c>
    </row>
    <row r="1136" ht="22" customHeight="1">
      <c r="A1136" s="12" t="inlineStr">
        <is>
          <t>CUL-1132</t>
        </is>
      </c>
      <c r="B1136" s="11" t="n">
        <v>218</v>
      </c>
      <c r="C1136" s="13" t="inlineStr">
        <is>
          <t>ISENTO (ATO 104/2017)</t>
        </is>
      </c>
      <c r="D1136" s="14" t="inlineStr">
        <is>
          <t>AGCN SAFE SPRAY</t>
        </is>
      </c>
      <c r="E1136" s="13" t="inlineStr">
        <is>
          <t>Pulverização Agrícola Conforme Bula</t>
        </is>
      </c>
      <c r="F1136" s="13" t="inlineStr">
        <is>
          <t>Soja, Milho, Algodão, Café, Citros, Cana-de-açúcar (Adição à calda)</t>
        </is>
      </c>
      <c r="G1136" s="13" t="inlineStr">
        <is>
          <t>Cultura Autorizada na Bula</t>
        </is>
      </c>
      <c r="H1136" s="13" t="inlineStr">
        <is>
          <t>100 a 300 L/ha</t>
        </is>
      </c>
      <c r="I1136" s="13" t="inlineStr">
        <is>
          <t>20 a 40 L/ha</t>
        </is>
      </c>
      <c r="J1136" s="13" t="inlineStr">
        <is>
          <t>Conforme defensivo principal</t>
        </is>
      </c>
    </row>
    <row r="1137" ht="22" customHeight="1">
      <c r="A1137" s="6" t="inlineStr">
        <is>
          <t>CUL-1133</t>
        </is>
      </c>
      <c r="B1137" s="5" t="n">
        <v>219</v>
      </c>
      <c r="C1137" s="7" t="inlineStr">
        <is>
          <t>SIPEAGRO (UF-XXXXX)</t>
        </is>
      </c>
      <c r="D1137" s="8" t="inlineStr">
        <is>
          <t>AGCN MN 10</t>
        </is>
      </c>
      <c r="E1137" s="7" t="inlineStr">
        <is>
          <t>Adubação de Solo / Foliar</t>
        </is>
      </c>
      <c r="F1137" s="7" t="inlineStr">
        <is>
          <t>Soja</t>
        </is>
      </c>
      <c r="G1137" s="7" t="inlineStr">
        <is>
          <t>Cultura Autorizada na Bula</t>
        </is>
      </c>
      <c r="H1137" s="7" t="inlineStr">
        <is>
          <t>100 a 300 L/ha</t>
        </is>
      </c>
      <c r="I1137" s="7" t="inlineStr">
        <is>
          <t>20 a 40 L/ha</t>
        </is>
      </c>
      <c r="J1137" s="7" t="inlineStr">
        <is>
          <t>Isento</t>
        </is>
      </c>
    </row>
    <row r="1138" ht="22" customHeight="1">
      <c r="A1138" s="12" t="inlineStr">
        <is>
          <t>CUL-1134</t>
        </is>
      </c>
      <c r="B1138" s="11" t="n">
        <v>219</v>
      </c>
      <c r="C1138" s="13" t="inlineStr">
        <is>
          <t>SIPEAGRO (UF-XXXXX)</t>
        </is>
      </c>
      <c r="D1138" s="14" t="inlineStr">
        <is>
          <t>AGCN MN 10</t>
        </is>
      </c>
      <c r="E1138" s="13" t="inlineStr">
        <is>
          <t>Adubação de Solo / Foliar</t>
        </is>
      </c>
      <c r="F1138" s="13" t="inlineStr">
        <is>
          <t>Milho</t>
        </is>
      </c>
      <c r="G1138" s="13" t="inlineStr">
        <is>
          <t>Cultura Autorizada na Bula</t>
        </is>
      </c>
      <c r="H1138" s="13" t="inlineStr">
        <is>
          <t>100 a 300 L/ha</t>
        </is>
      </c>
      <c r="I1138" s="13" t="inlineStr">
        <is>
          <t>20 a 40 L/ha</t>
        </is>
      </c>
      <c r="J1138" s="13" t="inlineStr">
        <is>
          <t>Isento</t>
        </is>
      </c>
    </row>
    <row r="1139" ht="22" customHeight="1">
      <c r="A1139" s="6" t="inlineStr">
        <is>
          <t>CUL-1135</t>
        </is>
      </c>
      <c r="B1139" s="5" t="n">
        <v>219</v>
      </c>
      <c r="C1139" s="7" t="inlineStr">
        <is>
          <t>SIPEAGRO (UF-XXXXX)</t>
        </is>
      </c>
      <c r="D1139" s="8" t="inlineStr">
        <is>
          <t>AGCN MN 10</t>
        </is>
      </c>
      <c r="E1139" s="7" t="inlineStr">
        <is>
          <t>Adubação de Solo / Foliar</t>
        </is>
      </c>
      <c r="F1139" s="7" t="inlineStr">
        <is>
          <t>Algodão</t>
        </is>
      </c>
      <c r="G1139" s="7" t="inlineStr">
        <is>
          <t>Cultura Autorizada na Bula</t>
        </is>
      </c>
      <c r="H1139" s="7" t="inlineStr">
        <is>
          <t>100 a 300 L/ha</t>
        </is>
      </c>
      <c r="I1139" s="7" t="inlineStr">
        <is>
          <t>20 a 40 L/ha</t>
        </is>
      </c>
      <c r="J1139" s="7" t="inlineStr">
        <is>
          <t>Isento</t>
        </is>
      </c>
    </row>
    <row r="1140" ht="22" customHeight="1">
      <c r="A1140" s="12" t="inlineStr">
        <is>
          <t>CUL-1136</t>
        </is>
      </c>
      <c r="B1140" s="11" t="n">
        <v>219</v>
      </c>
      <c r="C1140" s="13" t="inlineStr">
        <is>
          <t>SIPEAGRO (UF-XXXXX)</t>
        </is>
      </c>
      <c r="D1140" s="14" t="inlineStr">
        <is>
          <t>AGCN MN 10</t>
        </is>
      </c>
      <c r="E1140" s="13" t="inlineStr">
        <is>
          <t>Adubação de Solo / Foliar</t>
        </is>
      </c>
      <c r="F1140" s="13" t="inlineStr">
        <is>
          <t>Cana-de-açúcar</t>
        </is>
      </c>
      <c r="G1140" s="13" t="inlineStr">
        <is>
          <t>Cultura Autorizada na Bula</t>
        </is>
      </c>
      <c r="H1140" s="13" t="inlineStr">
        <is>
          <t>100 a 300 L/ha</t>
        </is>
      </c>
      <c r="I1140" s="13" t="inlineStr">
        <is>
          <t>20 a 40 L/ha</t>
        </is>
      </c>
      <c r="J1140" s="13" t="inlineStr">
        <is>
          <t>Isento</t>
        </is>
      </c>
    </row>
    <row r="1141" ht="22" customHeight="1">
      <c r="A1141" s="6" t="inlineStr">
        <is>
          <t>CUL-1137</t>
        </is>
      </c>
      <c r="B1141" s="5" t="n">
        <v>219</v>
      </c>
      <c r="C1141" s="7" t="inlineStr">
        <is>
          <t>SIPEAGRO (UF-XXXXX)</t>
        </is>
      </c>
      <c r="D1141" s="8" t="inlineStr">
        <is>
          <t>AGCN MN 10</t>
        </is>
      </c>
      <c r="E1141" s="7" t="inlineStr">
        <is>
          <t>Adubação de Solo / Foliar</t>
        </is>
      </c>
      <c r="F1141" s="7" t="inlineStr">
        <is>
          <t>Café</t>
        </is>
      </c>
      <c r="G1141" s="7" t="inlineStr">
        <is>
          <t>Cultura Autorizada na Bula</t>
        </is>
      </c>
      <c r="H1141" s="7" t="inlineStr">
        <is>
          <t>100 a 300 L/ha</t>
        </is>
      </c>
      <c r="I1141" s="7" t="inlineStr">
        <is>
          <t>20 a 40 L/ha</t>
        </is>
      </c>
      <c r="J1141" s="7" t="inlineStr">
        <is>
          <t>Isento</t>
        </is>
      </c>
    </row>
    <row r="1142" ht="22" customHeight="1">
      <c r="A1142" s="12" t="inlineStr">
        <is>
          <t>CUL-1138</t>
        </is>
      </c>
      <c r="B1142" s="11" t="n">
        <v>220</v>
      </c>
      <c r="C1142" s="13" t="inlineStr">
        <is>
          <t>SIPEAGRO (UF-XXXXX)</t>
        </is>
      </c>
      <c r="D1142" s="14" t="inlineStr">
        <is>
          <t>AGCN MAGNESIO</t>
        </is>
      </c>
      <c r="E1142" s="13" t="inlineStr">
        <is>
          <t>Adubação de Solo / Foliar</t>
        </is>
      </c>
      <c r="F1142" s="13" t="inlineStr">
        <is>
          <t>Soja</t>
        </is>
      </c>
      <c r="G1142" s="13" t="inlineStr">
        <is>
          <t>Cultura Autorizada na Bula</t>
        </is>
      </c>
      <c r="H1142" s="13" t="inlineStr">
        <is>
          <t>100 a 300 L/ha</t>
        </is>
      </c>
      <c r="I1142" s="13" t="inlineStr">
        <is>
          <t>20 a 40 L/ha</t>
        </is>
      </c>
      <c r="J1142" s="13" t="inlineStr">
        <is>
          <t>Isento</t>
        </is>
      </c>
    </row>
    <row r="1143" ht="22" customHeight="1">
      <c r="A1143" s="6" t="inlineStr">
        <is>
          <t>CUL-1139</t>
        </is>
      </c>
      <c r="B1143" s="5" t="n">
        <v>220</v>
      </c>
      <c r="C1143" s="7" t="inlineStr">
        <is>
          <t>SIPEAGRO (UF-XXXXX)</t>
        </is>
      </c>
      <c r="D1143" s="8" t="inlineStr">
        <is>
          <t>AGCN MAGNESIO</t>
        </is>
      </c>
      <c r="E1143" s="7" t="inlineStr">
        <is>
          <t>Adubação de Solo / Foliar</t>
        </is>
      </c>
      <c r="F1143" s="7" t="inlineStr">
        <is>
          <t>Milho</t>
        </is>
      </c>
      <c r="G1143" s="7" t="inlineStr">
        <is>
          <t>Cultura Autorizada na Bula</t>
        </is>
      </c>
      <c r="H1143" s="7" t="inlineStr">
        <is>
          <t>100 a 300 L/ha</t>
        </is>
      </c>
      <c r="I1143" s="7" t="inlineStr">
        <is>
          <t>20 a 40 L/ha</t>
        </is>
      </c>
      <c r="J1143" s="7" t="inlineStr">
        <is>
          <t>Isento</t>
        </is>
      </c>
    </row>
    <row r="1144" ht="22" customHeight="1">
      <c r="A1144" s="12" t="inlineStr">
        <is>
          <t>CUL-1140</t>
        </is>
      </c>
      <c r="B1144" s="11" t="n">
        <v>220</v>
      </c>
      <c r="C1144" s="13" t="inlineStr">
        <is>
          <t>SIPEAGRO (UF-XXXXX)</t>
        </is>
      </c>
      <c r="D1144" s="14" t="inlineStr">
        <is>
          <t>AGCN MAGNESIO</t>
        </is>
      </c>
      <c r="E1144" s="13" t="inlineStr">
        <is>
          <t>Adubação de Solo / Foliar</t>
        </is>
      </c>
      <c r="F1144" s="13" t="inlineStr">
        <is>
          <t>Algodão</t>
        </is>
      </c>
      <c r="G1144" s="13" t="inlineStr">
        <is>
          <t>Cultura Autorizada na Bula</t>
        </is>
      </c>
      <c r="H1144" s="13" t="inlineStr">
        <is>
          <t>100 a 300 L/ha</t>
        </is>
      </c>
      <c r="I1144" s="13" t="inlineStr">
        <is>
          <t>20 a 40 L/ha</t>
        </is>
      </c>
      <c r="J1144" s="13" t="inlineStr">
        <is>
          <t>Isento</t>
        </is>
      </c>
    </row>
    <row r="1145" ht="22" customHeight="1">
      <c r="A1145" s="6" t="inlineStr">
        <is>
          <t>CUL-1141</t>
        </is>
      </c>
      <c r="B1145" s="5" t="n">
        <v>220</v>
      </c>
      <c r="C1145" s="7" t="inlineStr">
        <is>
          <t>SIPEAGRO (UF-XXXXX)</t>
        </is>
      </c>
      <c r="D1145" s="8" t="inlineStr">
        <is>
          <t>AGCN MAGNESIO</t>
        </is>
      </c>
      <c r="E1145" s="7" t="inlineStr">
        <is>
          <t>Adubação de Solo / Foliar</t>
        </is>
      </c>
      <c r="F1145" s="7" t="inlineStr">
        <is>
          <t>Cana-de-açúcar</t>
        </is>
      </c>
      <c r="G1145" s="7" t="inlineStr">
        <is>
          <t>Cultura Autorizada na Bula</t>
        </is>
      </c>
      <c r="H1145" s="7" t="inlineStr">
        <is>
          <t>100 a 300 L/ha</t>
        </is>
      </c>
      <c r="I1145" s="7" t="inlineStr">
        <is>
          <t>20 a 40 L/ha</t>
        </is>
      </c>
      <c r="J1145" s="7" t="inlineStr">
        <is>
          <t>Isento</t>
        </is>
      </c>
    </row>
    <row r="1146" ht="22" customHeight="1">
      <c r="A1146" s="12" t="inlineStr">
        <is>
          <t>CUL-1142</t>
        </is>
      </c>
      <c r="B1146" s="11" t="n">
        <v>220</v>
      </c>
      <c r="C1146" s="13" t="inlineStr">
        <is>
          <t>SIPEAGRO (UF-XXXXX)</t>
        </is>
      </c>
      <c r="D1146" s="14" t="inlineStr">
        <is>
          <t>AGCN MAGNESIO</t>
        </is>
      </c>
      <c r="E1146" s="13" t="inlineStr">
        <is>
          <t>Adubação de Solo / Foliar</t>
        </is>
      </c>
      <c r="F1146" s="13" t="inlineStr">
        <is>
          <t>Café</t>
        </is>
      </c>
      <c r="G1146" s="13" t="inlineStr">
        <is>
          <t>Cultura Autorizada na Bula</t>
        </is>
      </c>
      <c r="H1146" s="13" t="inlineStr">
        <is>
          <t>100 a 300 L/ha</t>
        </is>
      </c>
      <c r="I1146" s="13" t="inlineStr">
        <is>
          <t>20 a 40 L/ha</t>
        </is>
      </c>
      <c r="J1146" s="13" t="inlineStr">
        <is>
          <t>Isento</t>
        </is>
      </c>
    </row>
    <row r="1147" ht="22" customHeight="1">
      <c r="A1147" s="6" t="inlineStr">
        <is>
          <t>CUL-1143</t>
        </is>
      </c>
      <c r="B1147" s="5" t="n">
        <v>221</v>
      </c>
      <c r="C1147" s="7" t="inlineStr">
        <is>
          <t>SIPEAGRO (UF-XXXXX)</t>
        </is>
      </c>
      <c r="D1147" s="8" t="inlineStr">
        <is>
          <t>AGCN FULL ULTRA</t>
        </is>
      </c>
      <c r="E1147" s="7" t="inlineStr">
        <is>
          <t>Adubação de Solo / Foliar</t>
        </is>
      </c>
      <c r="F1147" s="7" t="inlineStr">
        <is>
          <t>Soja</t>
        </is>
      </c>
      <c r="G1147" s="7" t="inlineStr">
        <is>
          <t>Cultura Autorizada na Bula</t>
        </is>
      </c>
      <c r="H1147" s="7" t="inlineStr">
        <is>
          <t>100 a 300 L/ha</t>
        </is>
      </c>
      <c r="I1147" s="7" t="inlineStr">
        <is>
          <t>20 a 40 L/ha</t>
        </is>
      </c>
      <c r="J1147" s="7" t="inlineStr">
        <is>
          <t>Isento</t>
        </is>
      </c>
    </row>
    <row r="1148" ht="22" customHeight="1">
      <c r="A1148" s="12" t="inlineStr">
        <is>
          <t>CUL-1144</t>
        </is>
      </c>
      <c r="B1148" s="11" t="n">
        <v>221</v>
      </c>
      <c r="C1148" s="13" t="inlineStr">
        <is>
          <t>SIPEAGRO (UF-XXXXX)</t>
        </is>
      </c>
      <c r="D1148" s="14" t="inlineStr">
        <is>
          <t>AGCN FULL ULTRA</t>
        </is>
      </c>
      <c r="E1148" s="13" t="inlineStr">
        <is>
          <t>Adubação de Solo / Foliar</t>
        </is>
      </c>
      <c r="F1148" s="13" t="inlineStr">
        <is>
          <t>Milho</t>
        </is>
      </c>
      <c r="G1148" s="13" t="inlineStr">
        <is>
          <t>Cultura Autorizada na Bula</t>
        </is>
      </c>
      <c r="H1148" s="13" t="inlineStr">
        <is>
          <t>100 a 300 L/ha</t>
        </is>
      </c>
      <c r="I1148" s="13" t="inlineStr">
        <is>
          <t>20 a 40 L/ha</t>
        </is>
      </c>
      <c r="J1148" s="13" t="inlineStr">
        <is>
          <t>Isento</t>
        </is>
      </c>
    </row>
    <row r="1149" ht="22" customHeight="1">
      <c r="A1149" s="6" t="inlineStr">
        <is>
          <t>CUL-1145</t>
        </is>
      </c>
      <c r="B1149" s="5" t="n">
        <v>221</v>
      </c>
      <c r="C1149" s="7" t="inlineStr">
        <is>
          <t>SIPEAGRO (UF-XXXXX)</t>
        </is>
      </c>
      <c r="D1149" s="8" t="inlineStr">
        <is>
          <t>AGCN FULL ULTRA</t>
        </is>
      </c>
      <c r="E1149" s="7" t="inlineStr">
        <is>
          <t>Adubação de Solo / Foliar</t>
        </is>
      </c>
      <c r="F1149" s="7" t="inlineStr">
        <is>
          <t>Algodão</t>
        </is>
      </c>
      <c r="G1149" s="7" t="inlineStr">
        <is>
          <t>Cultura Autorizada na Bula</t>
        </is>
      </c>
      <c r="H1149" s="7" t="inlineStr">
        <is>
          <t>100 a 300 L/ha</t>
        </is>
      </c>
      <c r="I1149" s="7" t="inlineStr">
        <is>
          <t>20 a 40 L/ha</t>
        </is>
      </c>
      <c r="J1149" s="7" t="inlineStr">
        <is>
          <t>Isento</t>
        </is>
      </c>
    </row>
    <row r="1150" ht="22" customHeight="1">
      <c r="A1150" s="12" t="inlineStr">
        <is>
          <t>CUL-1146</t>
        </is>
      </c>
      <c r="B1150" s="11" t="n">
        <v>221</v>
      </c>
      <c r="C1150" s="13" t="inlineStr">
        <is>
          <t>SIPEAGRO (UF-XXXXX)</t>
        </is>
      </c>
      <c r="D1150" s="14" t="inlineStr">
        <is>
          <t>AGCN FULL ULTRA</t>
        </is>
      </c>
      <c r="E1150" s="13" t="inlineStr">
        <is>
          <t>Adubação de Solo / Foliar</t>
        </is>
      </c>
      <c r="F1150" s="13" t="inlineStr">
        <is>
          <t>Cana-de-açúcar</t>
        </is>
      </c>
      <c r="G1150" s="13" t="inlineStr">
        <is>
          <t>Cultura Autorizada na Bula</t>
        </is>
      </c>
      <c r="H1150" s="13" t="inlineStr">
        <is>
          <t>100 a 300 L/ha</t>
        </is>
      </c>
      <c r="I1150" s="13" t="inlineStr">
        <is>
          <t>20 a 40 L/ha</t>
        </is>
      </c>
      <c r="J1150" s="13" t="inlineStr">
        <is>
          <t>Isento</t>
        </is>
      </c>
    </row>
    <row r="1151" ht="22" customHeight="1">
      <c r="A1151" s="6" t="inlineStr">
        <is>
          <t>CUL-1147</t>
        </is>
      </c>
      <c r="B1151" s="5" t="n">
        <v>221</v>
      </c>
      <c r="C1151" s="7" t="inlineStr">
        <is>
          <t>SIPEAGRO (UF-XXXXX)</t>
        </is>
      </c>
      <c r="D1151" s="8" t="inlineStr">
        <is>
          <t>AGCN FULL ULTRA</t>
        </is>
      </c>
      <c r="E1151" s="7" t="inlineStr">
        <is>
          <t>Adubação de Solo / Foliar</t>
        </is>
      </c>
      <c r="F1151" s="7" t="inlineStr">
        <is>
          <t>Café</t>
        </is>
      </c>
      <c r="G1151" s="7" t="inlineStr">
        <is>
          <t>Cultura Autorizada na Bula</t>
        </is>
      </c>
      <c r="H1151" s="7" t="inlineStr">
        <is>
          <t>100 a 300 L/ha</t>
        </is>
      </c>
      <c r="I1151" s="7" t="inlineStr">
        <is>
          <t>20 a 40 L/ha</t>
        </is>
      </c>
      <c r="J1151" s="7" t="inlineStr">
        <is>
          <t>Isento</t>
        </is>
      </c>
    </row>
    <row r="1152" ht="22" customHeight="1">
      <c r="A1152" s="12" t="inlineStr">
        <is>
          <t>CUL-1148</t>
        </is>
      </c>
      <c r="B1152" s="11" t="n">
        <v>222</v>
      </c>
      <c r="C1152" s="13" t="inlineStr">
        <is>
          <t>SIPEAGRO (UF-XXXXX)</t>
        </is>
      </c>
      <c r="D1152" s="14" t="inlineStr">
        <is>
          <t>AGCN FULL</t>
        </is>
      </c>
      <c r="E1152" s="13" t="inlineStr">
        <is>
          <t>Adubação de Solo / Foliar</t>
        </is>
      </c>
      <c r="F1152" s="13" t="inlineStr">
        <is>
          <t>Soja</t>
        </is>
      </c>
      <c r="G1152" s="13" t="inlineStr">
        <is>
          <t>Cultura Autorizada na Bula</t>
        </is>
      </c>
      <c r="H1152" s="13" t="inlineStr">
        <is>
          <t>100 a 300 L/ha</t>
        </is>
      </c>
      <c r="I1152" s="13" t="inlineStr">
        <is>
          <t>20 a 40 L/ha</t>
        </is>
      </c>
      <c r="J1152" s="13" t="inlineStr">
        <is>
          <t>Isento</t>
        </is>
      </c>
    </row>
    <row r="1153" ht="22" customHeight="1">
      <c r="A1153" s="6" t="inlineStr">
        <is>
          <t>CUL-1149</t>
        </is>
      </c>
      <c r="B1153" s="5" t="n">
        <v>222</v>
      </c>
      <c r="C1153" s="7" t="inlineStr">
        <is>
          <t>SIPEAGRO (UF-XXXXX)</t>
        </is>
      </c>
      <c r="D1153" s="8" t="inlineStr">
        <is>
          <t>AGCN FULL</t>
        </is>
      </c>
      <c r="E1153" s="7" t="inlineStr">
        <is>
          <t>Adubação de Solo / Foliar</t>
        </is>
      </c>
      <c r="F1153" s="7" t="inlineStr">
        <is>
          <t>Milho</t>
        </is>
      </c>
      <c r="G1153" s="7" t="inlineStr">
        <is>
          <t>Cultura Autorizada na Bula</t>
        </is>
      </c>
      <c r="H1153" s="7" t="inlineStr">
        <is>
          <t>100 a 300 L/ha</t>
        </is>
      </c>
      <c r="I1153" s="7" t="inlineStr">
        <is>
          <t>20 a 40 L/ha</t>
        </is>
      </c>
      <c r="J1153" s="7" t="inlineStr">
        <is>
          <t>Isento</t>
        </is>
      </c>
    </row>
    <row r="1154" ht="22" customHeight="1">
      <c r="A1154" s="12" t="inlineStr">
        <is>
          <t>CUL-1150</t>
        </is>
      </c>
      <c r="B1154" s="11" t="n">
        <v>222</v>
      </c>
      <c r="C1154" s="13" t="inlineStr">
        <is>
          <t>SIPEAGRO (UF-XXXXX)</t>
        </is>
      </c>
      <c r="D1154" s="14" t="inlineStr">
        <is>
          <t>AGCN FULL</t>
        </is>
      </c>
      <c r="E1154" s="13" t="inlineStr">
        <is>
          <t>Adubação de Solo / Foliar</t>
        </is>
      </c>
      <c r="F1154" s="13" t="inlineStr">
        <is>
          <t>Algodão</t>
        </is>
      </c>
      <c r="G1154" s="13" t="inlineStr">
        <is>
          <t>Cultura Autorizada na Bula</t>
        </is>
      </c>
      <c r="H1154" s="13" t="inlineStr">
        <is>
          <t>100 a 300 L/ha</t>
        </is>
      </c>
      <c r="I1154" s="13" t="inlineStr">
        <is>
          <t>20 a 40 L/ha</t>
        </is>
      </c>
      <c r="J1154" s="13" t="inlineStr">
        <is>
          <t>Isento</t>
        </is>
      </c>
    </row>
    <row r="1155" ht="22" customHeight="1">
      <c r="A1155" s="6" t="inlineStr">
        <is>
          <t>CUL-1151</t>
        </is>
      </c>
      <c r="B1155" s="5" t="n">
        <v>222</v>
      </c>
      <c r="C1155" s="7" t="inlineStr">
        <is>
          <t>SIPEAGRO (UF-XXXXX)</t>
        </is>
      </c>
      <c r="D1155" s="8" t="inlineStr">
        <is>
          <t>AGCN FULL</t>
        </is>
      </c>
      <c r="E1155" s="7" t="inlineStr">
        <is>
          <t>Adubação de Solo / Foliar</t>
        </is>
      </c>
      <c r="F1155" s="7" t="inlineStr">
        <is>
          <t>Cana-de-açúcar</t>
        </is>
      </c>
      <c r="G1155" s="7" t="inlineStr">
        <is>
          <t>Cultura Autorizada na Bula</t>
        </is>
      </c>
      <c r="H1155" s="7" t="inlineStr">
        <is>
          <t>100 a 300 L/ha</t>
        </is>
      </c>
      <c r="I1155" s="7" t="inlineStr">
        <is>
          <t>20 a 40 L/ha</t>
        </is>
      </c>
      <c r="J1155" s="7" t="inlineStr">
        <is>
          <t>Isento</t>
        </is>
      </c>
    </row>
    <row r="1156" ht="22" customHeight="1">
      <c r="A1156" s="12" t="inlineStr">
        <is>
          <t>CUL-1152</t>
        </is>
      </c>
      <c r="B1156" s="11" t="n">
        <v>222</v>
      </c>
      <c r="C1156" s="13" t="inlineStr">
        <is>
          <t>SIPEAGRO (UF-XXXXX)</t>
        </is>
      </c>
      <c r="D1156" s="14" t="inlineStr">
        <is>
          <t>AGCN FULL</t>
        </is>
      </c>
      <c r="E1156" s="13" t="inlineStr">
        <is>
          <t>Adubação de Solo / Foliar</t>
        </is>
      </c>
      <c r="F1156" s="13" t="inlineStr">
        <is>
          <t>Café</t>
        </is>
      </c>
      <c r="G1156" s="13" t="inlineStr">
        <is>
          <t>Cultura Autorizada na Bula</t>
        </is>
      </c>
      <c r="H1156" s="13" t="inlineStr">
        <is>
          <t>100 a 300 L/ha</t>
        </is>
      </c>
      <c r="I1156" s="13" t="inlineStr">
        <is>
          <t>20 a 40 L/ha</t>
        </is>
      </c>
      <c r="J1156" s="13" t="inlineStr">
        <is>
          <t>Isento</t>
        </is>
      </c>
    </row>
    <row r="1157" ht="22" customHeight="1">
      <c r="A1157" s="6" t="inlineStr">
        <is>
          <t>CUL-1153</t>
        </is>
      </c>
      <c r="B1157" s="5" t="n">
        <v>223</v>
      </c>
      <c r="C1157" s="7" t="inlineStr">
        <is>
          <t>ISENTO (ATO 104/2017)</t>
        </is>
      </c>
      <c r="D1157" s="8" t="inlineStr">
        <is>
          <t>AGRICOIL CITRUS</t>
        </is>
      </c>
      <c r="E1157" s="7" t="inlineStr">
        <is>
          <t>Pulverização Agrícola Conforme Bula</t>
        </is>
      </c>
      <c r="F1157" s="7" t="inlineStr">
        <is>
          <t>Soja, Milho, Algodão, Café, Citros, Cana-de-açúcar (Adição à calda)</t>
        </is>
      </c>
      <c r="G1157" s="7" t="inlineStr">
        <is>
          <t>Cultura Autorizada na Bula</t>
        </is>
      </c>
      <c r="H1157" s="7" t="inlineStr">
        <is>
          <t>100 a 300 L/ha</t>
        </is>
      </c>
      <c r="I1157" s="7" t="inlineStr">
        <is>
          <t>20 a 40 L/ha</t>
        </is>
      </c>
      <c r="J1157" s="7" t="inlineStr">
        <is>
          <t>Conforme defensivo principal</t>
        </is>
      </c>
    </row>
    <row r="1158" ht="22" customHeight="1">
      <c r="A1158" s="12" t="inlineStr">
        <is>
          <t>CUL-1154</t>
        </is>
      </c>
      <c r="B1158" s="11" t="n">
        <v>224</v>
      </c>
      <c r="C1158" s="13" t="inlineStr">
        <is>
          <t>ISENTO (ATO 104/2017)</t>
        </is>
      </c>
      <c r="D1158" s="14" t="inlineStr">
        <is>
          <t>AGRICOIL CITRUS PLUS</t>
        </is>
      </c>
      <c r="E1158" s="13" t="inlineStr">
        <is>
          <t>Pulverização Agrícola Conforme Bula</t>
        </is>
      </c>
      <c r="F1158" s="13" t="inlineStr">
        <is>
          <t>Soja, Milho, Algodão, Café, Citros, Cana-de-açúcar (Adição à calda)</t>
        </is>
      </c>
      <c r="G1158" s="13" t="inlineStr">
        <is>
          <t>Cultura Autorizada na Bula</t>
        </is>
      </c>
      <c r="H1158" s="13" t="inlineStr">
        <is>
          <t>100 a 300 L/ha</t>
        </is>
      </c>
      <c r="I1158" s="13" t="inlineStr">
        <is>
          <t>20 a 40 L/ha</t>
        </is>
      </c>
      <c r="J1158" s="13" t="inlineStr">
        <is>
          <t>Conforme defensivo principal</t>
        </is>
      </c>
    </row>
    <row r="1159" ht="22" customHeight="1">
      <c r="A1159" s="6" t="inlineStr">
        <is>
          <t>CUL-1155</t>
        </is>
      </c>
      <c r="B1159" s="5" t="n">
        <v>225</v>
      </c>
      <c r="C1159" s="7" t="inlineStr">
        <is>
          <t>ISENTO (ATO 104/2017)</t>
        </is>
      </c>
      <c r="D1159" s="8" t="inlineStr">
        <is>
          <t>AGCN SAFE AIR</t>
        </is>
      </c>
      <c r="E1159" s="7" t="inlineStr">
        <is>
          <t>Pulverização Agrícola Conforme Bula</t>
        </is>
      </c>
      <c r="F1159" s="7" t="inlineStr">
        <is>
          <t>Soja, Milho, Algodão, Café, Citros, Cana-de-açúcar (Adição à calda)</t>
        </is>
      </c>
      <c r="G1159" s="7" t="inlineStr">
        <is>
          <t>Cultura Autorizada na Bula</t>
        </is>
      </c>
      <c r="H1159" s="7" t="inlineStr">
        <is>
          <t>100 a 300 L/ha</t>
        </is>
      </c>
      <c r="I1159" s="7" t="inlineStr">
        <is>
          <t>20 a 40 L/ha</t>
        </is>
      </c>
      <c r="J1159" s="7" t="inlineStr">
        <is>
          <t>Conforme defensivo principal</t>
        </is>
      </c>
    </row>
    <row r="1160" ht="22" customHeight="1">
      <c r="A1160" s="12" t="inlineStr">
        <is>
          <t>CUL-1156</t>
        </is>
      </c>
      <c r="B1160" s="11" t="n">
        <v>226</v>
      </c>
      <c r="C1160" s="13" t="inlineStr">
        <is>
          <t>SIPEAGRO (UF-XXXXX)</t>
        </is>
      </c>
      <c r="D1160" s="14" t="inlineStr">
        <is>
          <t>AGCN MG 16</t>
        </is>
      </c>
      <c r="E1160" s="13" t="inlineStr">
        <is>
          <t>Adubação de Solo / Foliar</t>
        </is>
      </c>
      <c r="F1160" s="13" t="inlineStr">
        <is>
          <t>Soja</t>
        </is>
      </c>
      <c r="G1160" s="13" t="inlineStr">
        <is>
          <t>Cultura Autorizada na Bula</t>
        </is>
      </c>
      <c r="H1160" s="13" t="inlineStr">
        <is>
          <t>100 a 300 L/ha</t>
        </is>
      </c>
      <c r="I1160" s="13" t="inlineStr">
        <is>
          <t>20 a 40 L/ha</t>
        </is>
      </c>
      <c r="J1160" s="13" t="inlineStr">
        <is>
          <t>Isento</t>
        </is>
      </c>
    </row>
    <row r="1161" ht="22" customHeight="1">
      <c r="A1161" s="6" t="inlineStr">
        <is>
          <t>CUL-1157</t>
        </is>
      </c>
      <c r="B1161" s="5" t="n">
        <v>226</v>
      </c>
      <c r="C1161" s="7" t="inlineStr">
        <is>
          <t>SIPEAGRO (UF-XXXXX)</t>
        </is>
      </c>
      <c r="D1161" s="8" t="inlineStr">
        <is>
          <t>AGCN MG 16</t>
        </is>
      </c>
      <c r="E1161" s="7" t="inlineStr">
        <is>
          <t>Adubação de Solo / Foliar</t>
        </is>
      </c>
      <c r="F1161" s="7" t="inlineStr">
        <is>
          <t>Milho</t>
        </is>
      </c>
      <c r="G1161" s="7" t="inlineStr">
        <is>
          <t>Cultura Autorizada na Bula</t>
        </is>
      </c>
      <c r="H1161" s="7" t="inlineStr">
        <is>
          <t>100 a 300 L/ha</t>
        </is>
      </c>
      <c r="I1161" s="7" t="inlineStr">
        <is>
          <t>20 a 40 L/ha</t>
        </is>
      </c>
      <c r="J1161" s="7" t="inlineStr">
        <is>
          <t>Isento</t>
        </is>
      </c>
    </row>
    <row r="1162" ht="22" customHeight="1">
      <c r="A1162" s="12" t="inlineStr">
        <is>
          <t>CUL-1158</t>
        </is>
      </c>
      <c r="B1162" s="11" t="n">
        <v>226</v>
      </c>
      <c r="C1162" s="13" t="inlineStr">
        <is>
          <t>SIPEAGRO (UF-XXXXX)</t>
        </is>
      </c>
      <c r="D1162" s="14" t="inlineStr">
        <is>
          <t>AGCN MG 16</t>
        </is>
      </c>
      <c r="E1162" s="13" t="inlineStr">
        <is>
          <t>Adubação de Solo / Foliar</t>
        </is>
      </c>
      <c r="F1162" s="13" t="inlineStr">
        <is>
          <t>Algodão</t>
        </is>
      </c>
      <c r="G1162" s="13" t="inlineStr">
        <is>
          <t>Cultura Autorizada na Bula</t>
        </is>
      </c>
      <c r="H1162" s="13" t="inlineStr">
        <is>
          <t>100 a 300 L/ha</t>
        </is>
      </c>
      <c r="I1162" s="13" t="inlineStr">
        <is>
          <t>20 a 40 L/ha</t>
        </is>
      </c>
      <c r="J1162" s="13" t="inlineStr">
        <is>
          <t>Isento</t>
        </is>
      </c>
    </row>
    <row r="1163" ht="22" customHeight="1">
      <c r="A1163" s="6" t="inlineStr">
        <is>
          <t>CUL-1159</t>
        </is>
      </c>
      <c r="B1163" s="5" t="n">
        <v>226</v>
      </c>
      <c r="C1163" s="7" t="inlineStr">
        <is>
          <t>SIPEAGRO (UF-XXXXX)</t>
        </is>
      </c>
      <c r="D1163" s="8" t="inlineStr">
        <is>
          <t>AGCN MG 16</t>
        </is>
      </c>
      <c r="E1163" s="7" t="inlineStr">
        <is>
          <t>Adubação de Solo / Foliar</t>
        </is>
      </c>
      <c r="F1163" s="7" t="inlineStr">
        <is>
          <t>Cana-de-açúcar</t>
        </is>
      </c>
      <c r="G1163" s="7" t="inlineStr">
        <is>
          <t>Cultura Autorizada na Bula</t>
        </is>
      </c>
      <c r="H1163" s="7" t="inlineStr">
        <is>
          <t>100 a 300 L/ha</t>
        </is>
      </c>
      <c r="I1163" s="7" t="inlineStr">
        <is>
          <t>20 a 40 L/ha</t>
        </is>
      </c>
      <c r="J1163" s="7" t="inlineStr">
        <is>
          <t>Isento</t>
        </is>
      </c>
    </row>
    <row r="1164" ht="22" customHeight="1">
      <c r="A1164" s="12" t="inlineStr">
        <is>
          <t>CUL-1160</t>
        </is>
      </c>
      <c r="B1164" s="11" t="n">
        <v>226</v>
      </c>
      <c r="C1164" s="13" t="inlineStr">
        <is>
          <t>SIPEAGRO (UF-XXXXX)</t>
        </is>
      </c>
      <c r="D1164" s="14" t="inlineStr">
        <is>
          <t>AGCN MG 16</t>
        </is>
      </c>
      <c r="E1164" s="13" t="inlineStr">
        <is>
          <t>Adubação de Solo / Foliar</t>
        </is>
      </c>
      <c r="F1164" s="13" t="inlineStr">
        <is>
          <t>Café</t>
        </is>
      </c>
      <c r="G1164" s="13" t="inlineStr">
        <is>
          <t>Cultura Autorizada na Bula</t>
        </is>
      </c>
      <c r="H1164" s="13" t="inlineStr">
        <is>
          <t>100 a 300 L/ha</t>
        </is>
      </c>
      <c r="I1164" s="13" t="inlineStr">
        <is>
          <t>20 a 40 L/ha</t>
        </is>
      </c>
      <c r="J1164" s="13" t="inlineStr">
        <is>
          <t>Isento</t>
        </is>
      </c>
    </row>
    <row r="1165" ht="22" customHeight="1">
      <c r="A1165" s="6" t="inlineStr">
        <is>
          <t>CUL-1161</t>
        </is>
      </c>
      <c r="B1165" s="5" t="n">
        <v>227</v>
      </c>
      <c r="C1165" s="7" t="inlineStr">
        <is>
          <t>SIPEAGRO (UF-XXXXX)</t>
        </is>
      </c>
      <c r="D1165" s="8" t="inlineStr">
        <is>
          <t>BIOLOGIC GRAM 5X1,8L</t>
        </is>
      </c>
      <c r="E1165" s="7" t="inlineStr">
        <is>
          <t>Pulverização Agrícola Conforme Bula</t>
        </is>
      </c>
      <c r="F1165" s="7" t="inlineStr">
        <is>
          <t>Milho</t>
        </is>
      </c>
      <c r="G1165" s="7" t="inlineStr">
        <is>
          <t>Cultura Autorizada na Bula</t>
        </is>
      </c>
      <c r="H1165" s="7" t="inlineStr">
        <is>
          <t>100 a 300 L/ha</t>
        </is>
      </c>
      <c r="I1165" s="7" t="inlineStr">
        <is>
          <t>20 a 40 L/ha</t>
        </is>
      </c>
      <c r="J1165" s="7" t="inlineStr">
        <is>
          <t>0 (Isento)</t>
        </is>
      </c>
    </row>
    <row r="1166" ht="22" customHeight="1">
      <c r="A1166" s="12" t="inlineStr">
        <is>
          <t>CUL-1162</t>
        </is>
      </c>
      <c r="B1166" s="11" t="n">
        <v>227</v>
      </c>
      <c r="C1166" s="13" t="inlineStr">
        <is>
          <t>SIPEAGRO (UF-XXXXX)</t>
        </is>
      </c>
      <c r="D1166" s="14" t="inlineStr">
        <is>
          <t>BIOLOGIC GRAM 5X1,8L</t>
        </is>
      </c>
      <c r="E1166" s="13" t="inlineStr">
        <is>
          <t>Pulverização Agrícola Conforme Bula</t>
        </is>
      </c>
      <c r="F1166" s="13" t="inlineStr">
        <is>
          <t>Soja (Coinoculação)</t>
        </is>
      </c>
      <c r="G1166" s="13" t="inlineStr">
        <is>
          <t>Cultura Autorizada na Bula</t>
        </is>
      </c>
      <c r="H1166" s="13" t="inlineStr">
        <is>
          <t>100 a 300 L/ha</t>
        </is>
      </c>
      <c r="I1166" s="13" t="inlineStr">
        <is>
          <t>20 a 40 L/ha</t>
        </is>
      </c>
      <c r="J1166" s="13" t="inlineStr">
        <is>
          <t>0 (Isento)</t>
        </is>
      </c>
    </row>
    <row r="1167" ht="22" customHeight="1">
      <c r="A1167" s="6" t="inlineStr">
        <is>
          <t>CUL-1163</t>
        </is>
      </c>
      <c r="B1167" s="5" t="n">
        <v>227</v>
      </c>
      <c r="C1167" s="7" t="inlineStr">
        <is>
          <t>SIPEAGRO (UF-XXXXX)</t>
        </is>
      </c>
      <c r="D1167" s="8" t="inlineStr">
        <is>
          <t>BIOLOGIC GRAM 5X1,8L</t>
        </is>
      </c>
      <c r="E1167" s="7" t="inlineStr">
        <is>
          <t>Pulverização Agrícola Conforme Bula</t>
        </is>
      </c>
      <c r="F1167" s="7" t="inlineStr">
        <is>
          <t>Trigo</t>
        </is>
      </c>
      <c r="G1167" s="7" t="inlineStr">
        <is>
          <t>Cultura Autorizada na Bula</t>
        </is>
      </c>
      <c r="H1167" s="7" t="inlineStr">
        <is>
          <t>100 a 300 L/ha</t>
        </is>
      </c>
      <c r="I1167" s="7" t="inlineStr">
        <is>
          <t>20 a 40 L/ha</t>
        </is>
      </c>
      <c r="J1167" s="7" t="inlineStr">
        <is>
          <t>0 (Isento)</t>
        </is>
      </c>
    </row>
    <row r="1168" ht="22" customHeight="1">
      <c r="A1168" s="12" t="inlineStr">
        <is>
          <t>CUL-1164</t>
        </is>
      </c>
      <c r="B1168" s="11" t="n">
        <v>227</v>
      </c>
      <c r="C1168" s="13" t="inlineStr">
        <is>
          <t>SIPEAGRO (UF-XXXXX)</t>
        </is>
      </c>
      <c r="D1168" s="14" t="inlineStr">
        <is>
          <t>BIOLOGIC GRAM 5X1,8L</t>
        </is>
      </c>
      <c r="E1168" s="13" t="inlineStr">
        <is>
          <t>Pulverização Agrícola Conforme Bula</t>
        </is>
      </c>
      <c r="F1168" s="13" t="inlineStr">
        <is>
          <t>Pastagens (Brachiaria)</t>
        </is>
      </c>
      <c r="G1168" s="13" t="inlineStr">
        <is>
          <t>Cultura Autorizada na Bula</t>
        </is>
      </c>
      <c r="H1168" s="13" t="inlineStr">
        <is>
          <t>100 a 300 L/ha</t>
        </is>
      </c>
      <c r="I1168" s="13" t="inlineStr">
        <is>
          <t>20 a 40 L/ha</t>
        </is>
      </c>
      <c r="J1168" s="13" t="inlineStr">
        <is>
          <t>0 (Isento)</t>
        </is>
      </c>
    </row>
    <row r="1169" ht="22" customHeight="1">
      <c r="A1169" s="6" t="inlineStr">
        <is>
          <t>CUL-1165</t>
        </is>
      </c>
      <c r="B1169" s="5" t="n">
        <v>228</v>
      </c>
      <c r="C1169" s="7" t="inlineStr">
        <is>
          <t>Nº 34018</t>
        </is>
      </c>
      <c r="D1169" s="8" t="inlineStr">
        <is>
          <t>BIOLOGIC GUARD</t>
        </is>
      </c>
      <c r="E1169" s="7" t="inlineStr">
        <is>
          <t>Pulverização Agrícola Conforme Bula</t>
        </is>
      </c>
      <c r="F1169" s="7" t="inlineStr">
        <is>
          <t>Soja</t>
        </is>
      </c>
      <c r="G1169" s="7" t="inlineStr">
        <is>
          <t>Cultura Autorizada na Bula</t>
        </is>
      </c>
      <c r="H1169" s="7" t="inlineStr">
        <is>
          <t>100 a 300 L/ha</t>
        </is>
      </c>
      <c r="I1169" s="7" t="inlineStr">
        <is>
          <t>20 a 40 L/ha</t>
        </is>
      </c>
      <c r="J1169" s="7" t="inlineStr">
        <is>
          <t>0 (Isento)</t>
        </is>
      </c>
    </row>
    <row r="1170" ht="22" customHeight="1">
      <c r="A1170" s="12" t="inlineStr">
        <is>
          <t>CUL-1166</t>
        </is>
      </c>
      <c r="B1170" s="11" t="n">
        <v>228</v>
      </c>
      <c r="C1170" s="13" t="inlineStr">
        <is>
          <t>Nº 34018</t>
        </is>
      </c>
      <c r="D1170" s="14" t="inlineStr">
        <is>
          <t>BIOLOGIC GUARD</t>
        </is>
      </c>
      <c r="E1170" s="13" t="inlineStr">
        <is>
          <t>Pulverização Agrícola Conforme Bula</t>
        </is>
      </c>
      <c r="F1170" s="13" t="inlineStr">
        <is>
          <t>Milho</t>
        </is>
      </c>
      <c r="G1170" s="13" t="inlineStr">
        <is>
          <t>Cultura Autorizada na Bula</t>
        </is>
      </c>
      <c r="H1170" s="13" t="inlineStr">
        <is>
          <t>100 a 300 L/ha</t>
        </is>
      </c>
      <c r="I1170" s="13" t="inlineStr">
        <is>
          <t>20 a 40 L/ha</t>
        </is>
      </c>
      <c r="J1170" s="13" t="inlineStr">
        <is>
          <t>0 (Isento)</t>
        </is>
      </c>
    </row>
    <row r="1171" ht="22" customHeight="1">
      <c r="A1171" s="6" t="inlineStr">
        <is>
          <t>CUL-1167</t>
        </is>
      </c>
      <c r="B1171" s="5" t="n">
        <v>228</v>
      </c>
      <c r="C1171" s="7" t="inlineStr">
        <is>
          <t>Nº 34018</t>
        </is>
      </c>
      <c r="D1171" s="8" t="inlineStr">
        <is>
          <t>BIOLOGIC GUARD</t>
        </is>
      </c>
      <c r="E1171" s="7" t="inlineStr">
        <is>
          <t>Pulverização Agrícola Conforme Bula</t>
        </is>
      </c>
      <c r="F1171" s="7" t="inlineStr">
        <is>
          <t>Feijão</t>
        </is>
      </c>
      <c r="G1171" s="7" t="inlineStr">
        <is>
          <t>Cultura Autorizada na Bula</t>
        </is>
      </c>
      <c r="H1171" s="7" t="inlineStr">
        <is>
          <t>100 a 300 L/ha</t>
        </is>
      </c>
      <c r="I1171" s="7" t="inlineStr">
        <is>
          <t>20 a 40 L/ha</t>
        </is>
      </c>
      <c r="J1171" s="7" t="inlineStr">
        <is>
          <t>0 (Isento)</t>
        </is>
      </c>
    </row>
    <row r="1172" ht="22" customHeight="1">
      <c r="A1172" s="12" t="inlineStr">
        <is>
          <t>CUL-1168</t>
        </is>
      </c>
      <c r="B1172" s="11" t="n">
        <v>228</v>
      </c>
      <c r="C1172" s="13" t="inlineStr">
        <is>
          <t>Nº 34018</t>
        </is>
      </c>
      <c r="D1172" s="14" t="inlineStr">
        <is>
          <t>BIOLOGIC GUARD</t>
        </is>
      </c>
      <c r="E1172" s="13" t="inlineStr">
        <is>
          <t>Pulverização Agrícola Conforme Bula</t>
        </is>
      </c>
      <c r="F1172" s="13" t="inlineStr">
        <is>
          <t>Algodão</t>
        </is>
      </c>
      <c r="G1172" s="13" t="inlineStr">
        <is>
          <t>Cultura Autorizada na Bula</t>
        </is>
      </c>
      <c r="H1172" s="13" t="inlineStr">
        <is>
          <t>100 a 300 L/ha</t>
        </is>
      </c>
      <c r="I1172" s="13" t="inlineStr">
        <is>
          <t>20 a 40 L/ha</t>
        </is>
      </c>
      <c r="J1172" s="13" t="inlineStr">
        <is>
          <t>0 (Isento)</t>
        </is>
      </c>
    </row>
    <row r="1173" ht="22" customHeight="1">
      <c r="A1173" s="6" t="inlineStr">
        <is>
          <t>CUL-1169</t>
        </is>
      </c>
      <c r="B1173" s="5" t="n">
        <v>229</v>
      </c>
      <c r="C1173" s="7" t="inlineStr">
        <is>
          <t>SIPEAGRO (UF-XXXXX)</t>
        </is>
      </c>
      <c r="D1173" s="8" t="inlineStr">
        <is>
          <t>PREBIOTIC GL</t>
        </is>
      </c>
      <c r="E1173" s="7" t="inlineStr">
        <is>
          <t>Adubação de Solo / Foliar</t>
        </is>
      </c>
      <c r="F1173" s="7" t="inlineStr">
        <is>
          <t>Soja</t>
        </is>
      </c>
      <c r="G1173" s="7" t="inlineStr">
        <is>
          <t>Cultura Autorizada na Bula</t>
        </is>
      </c>
      <c r="H1173" s="7" t="inlineStr">
        <is>
          <t>100 a 300 L/ha</t>
        </is>
      </c>
      <c r="I1173" s="7" t="inlineStr">
        <is>
          <t>20 a 40 L/ha</t>
        </is>
      </c>
      <c r="J1173" s="7" t="inlineStr">
        <is>
          <t>Isento</t>
        </is>
      </c>
    </row>
    <row r="1174" ht="22" customHeight="1">
      <c r="A1174" s="12" t="inlineStr">
        <is>
          <t>CUL-1170</t>
        </is>
      </c>
      <c r="B1174" s="11" t="n">
        <v>229</v>
      </c>
      <c r="C1174" s="13" t="inlineStr">
        <is>
          <t>SIPEAGRO (UF-XXXXX)</t>
        </is>
      </c>
      <c r="D1174" s="14" t="inlineStr">
        <is>
          <t>PREBIOTIC GL</t>
        </is>
      </c>
      <c r="E1174" s="13" t="inlineStr">
        <is>
          <t>Adubação de Solo / Foliar</t>
        </is>
      </c>
      <c r="F1174" s="13" t="inlineStr">
        <is>
          <t>Milho</t>
        </is>
      </c>
      <c r="G1174" s="13" t="inlineStr">
        <is>
          <t>Cultura Autorizada na Bula</t>
        </is>
      </c>
      <c r="H1174" s="13" t="inlineStr">
        <is>
          <t>100 a 300 L/ha</t>
        </is>
      </c>
      <c r="I1174" s="13" t="inlineStr">
        <is>
          <t>20 a 40 L/ha</t>
        </is>
      </c>
      <c r="J1174" s="13" t="inlineStr">
        <is>
          <t>Isento</t>
        </is>
      </c>
    </row>
    <row r="1175" ht="22" customHeight="1">
      <c r="A1175" s="6" t="inlineStr">
        <is>
          <t>CUL-1171</t>
        </is>
      </c>
      <c r="B1175" s="5" t="n">
        <v>229</v>
      </c>
      <c r="C1175" s="7" t="inlineStr">
        <is>
          <t>SIPEAGRO (UF-XXXXX)</t>
        </is>
      </c>
      <c r="D1175" s="8" t="inlineStr">
        <is>
          <t>PREBIOTIC GL</t>
        </is>
      </c>
      <c r="E1175" s="7" t="inlineStr">
        <is>
          <t>Adubação de Solo / Foliar</t>
        </is>
      </c>
      <c r="F1175" s="7" t="inlineStr">
        <is>
          <t>Algodão</t>
        </is>
      </c>
      <c r="G1175" s="7" t="inlineStr">
        <is>
          <t>Cultura Autorizada na Bula</t>
        </is>
      </c>
      <c r="H1175" s="7" t="inlineStr">
        <is>
          <t>100 a 300 L/ha</t>
        </is>
      </c>
      <c r="I1175" s="7" t="inlineStr">
        <is>
          <t>20 a 40 L/ha</t>
        </is>
      </c>
      <c r="J1175" s="7" t="inlineStr">
        <is>
          <t>Isento</t>
        </is>
      </c>
    </row>
    <row r="1176" ht="22" customHeight="1">
      <c r="A1176" s="12" t="inlineStr">
        <is>
          <t>CUL-1172</t>
        </is>
      </c>
      <c r="B1176" s="11" t="n">
        <v>229</v>
      </c>
      <c r="C1176" s="13" t="inlineStr">
        <is>
          <t>SIPEAGRO (UF-XXXXX)</t>
        </is>
      </c>
      <c r="D1176" s="14" t="inlineStr">
        <is>
          <t>PREBIOTIC GL</t>
        </is>
      </c>
      <c r="E1176" s="13" t="inlineStr">
        <is>
          <t>Adubação de Solo / Foliar</t>
        </is>
      </c>
      <c r="F1176" s="13" t="inlineStr">
        <is>
          <t>Cana-de-açúcar</t>
        </is>
      </c>
      <c r="G1176" s="13" t="inlineStr">
        <is>
          <t>Cultura Autorizada na Bula</t>
        </is>
      </c>
      <c r="H1176" s="13" t="inlineStr">
        <is>
          <t>100 a 300 L/ha</t>
        </is>
      </c>
      <c r="I1176" s="13" t="inlineStr">
        <is>
          <t>20 a 40 L/ha</t>
        </is>
      </c>
      <c r="J1176" s="13" t="inlineStr">
        <is>
          <t>Isento</t>
        </is>
      </c>
    </row>
    <row r="1177" ht="22" customHeight="1">
      <c r="A1177" s="6" t="inlineStr">
        <is>
          <t>CUL-1173</t>
        </is>
      </c>
      <c r="B1177" s="5" t="n">
        <v>229</v>
      </c>
      <c r="C1177" s="7" t="inlineStr">
        <is>
          <t>SIPEAGRO (UF-XXXXX)</t>
        </is>
      </c>
      <c r="D1177" s="8" t="inlineStr">
        <is>
          <t>PREBIOTIC GL</t>
        </is>
      </c>
      <c r="E1177" s="7" t="inlineStr">
        <is>
          <t>Adubação de Solo / Foliar</t>
        </is>
      </c>
      <c r="F1177" s="7" t="inlineStr">
        <is>
          <t>Café</t>
        </is>
      </c>
      <c r="G1177" s="7" t="inlineStr">
        <is>
          <t>Cultura Autorizada na Bula</t>
        </is>
      </c>
      <c r="H1177" s="7" t="inlineStr">
        <is>
          <t>100 a 300 L/ha</t>
        </is>
      </c>
      <c r="I1177" s="7" t="inlineStr">
        <is>
          <t>20 a 40 L/ha</t>
        </is>
      </c>
      <c r="J1177" s="7" t="inlineStr">
        <is>
          <t>Isento</t>
        </is>
      </c>
    </row>
    <row r="1178" ht="22" customHeight="1">
      <c r="A1178" s="12" t="inlineStr">
        <is>
          <t>CUL-1174</t>
        </is>
      </c>
      <c r="B1178" s="11" t="n">
        <v>230</v>
      </c>
      <c r="C1178" s="13" t="inlineStr">
        <is>
          <t>Nº 9420</t>
        </is>
      </c>
      <c r="D1178" s="14" t="inlineStr">
        <is>
          <t>OFEK-TURBO</t>
        </is>
      </c>
      <c r="E1178" s="13" t="inlineStr">
        <is>
          <t>Pulverização Agrícola Conforme Bula</t>
        </is>
      </c>
      <c r="F1178" s="13" t="inlineStr">
        <is>
          <t>Soja</t>
        </is>
      </c>
      <c r="G1178" s="13" t="inlineStr">
        <is>
          <t>Cultura Autorizada na Bula</t>
        </is>
      </c>
      <c r="H1178" s="13" t="inlineStr">
        <is>
          <t>100 a 300 L/ha</t>
        </is>
      </c>
      <c r="I1178" s="13" t="inlineStr">
        <is>
          <t>20 a 40 L/ha</t>
        </is>
      </c>
      <c r="J1178" s="13" t="inlineStr">
        <is>
          <t>30 dias</t>
        </is>
      </c>
    </row>
    <row r="1179" ht="22" customHeight="1">
      <c r="A1179" s="6" t="inlineStr">
        <is>
          <t>CUL-1175</t>
        </is>
      </c>
      <c r="B1179" s="5" t="n">
        <v>230</v>
      </c>
      <c r="C1179" s="7" t="inlineStr">
        <is>
          <t>Nº 9420</t>
        </is>
      </c>
      <c r="D1179" s="8" t="inlineStr">
        <is>
          <t>OFEK-TURBO</t>
        </is>
      </c>
      <c r="E1179" s="7" t="inlineStr">
        <is>
          <t>Pulverização Agrícola Conforme Bula</t>
        </is>
      </c>
      <c r="F1179" s="7" t="inlineStr">
        <is>
          <t>Milho</t>
        </is>
      </c>
      <c r="G1179" s="7" t="inlineStr">
        <is>
          <t>Cultura Autorizada na Bula</t>
        </is>
      </c>
      <c r="H1179" s="7" t="inlineStr">
        <is>
          <t>100 a 300 L/ha</t>
        </is>
      </c>
      <c r="I1179" s="7" t="inlineStr">
        <is>
          <t>20 a 40 L/ha</t>
        </is>
      </c>
      <c r="J1179" s="7" t="inlineStr">
        <is>
          <t>15 dias</t>
        </is>
      </c>
    </row>
    <row r="1180" ht="22" customHeight="1">
      <c r="A1180" s="12" t="inlineStr">
        <is>
          <t>CUL-1176</t>
        </is>
      </c>
      <c r="B1180" s="11" t="n">
        <v>230</v>
      </c>
      <c r="C1180" s="13" t="inlineStr">
        <is>
          <t>Nº 9420</t>
        </is>
      </c>
      <c r="D1180" s="14" t="inlineStr">
        <is>
          <t>OFEK-TURBO</t>
        </is>
      </c>
      <c r="E1180" s="13" t="inlineStr">
        <is>
          <t>Pulverização Agrícola Conforme Bula</t>
        </is>
      </c>
      <c r="F1180" s="13" t="inlineStr">
        <is>
          <t>Algodão</t>
        </is>
      </c>
      <c r="G1180" s="13" t="inlineStr">
        <is>
          <t>Cultura Autorizada na Bula</t>
        </is>
      </c>
      <c r="H1180" s="13" t="inlineStr">
        <is>
          <t>100 a 300 L/ha</t>
        </is>
      </c>
      <c r="I1180" s="13" t="inlineStr">
        <is>
          <t>20 a 40 L/ha</t>
        </is>
      </c>
      <c r="J1180" s="13" t="inlineStr">
        <is>
          <t>30 dias</t>
        </is>
      </c>
    </row>
    <row r="1181" ht="22" customHeight="1">
      <c r="A1181" s="6" t="inlineStr">
        <is>
          <t>CUL-1177</t>
        </is>
      </c>
      <c r="B1181" s="5" t="n">
        <v>230</v>
      </c>
      <c r="C1181" s="7" t="inlineStr">
        <is>
          <t>Nº 9420</t>
        </is>
      </c>
      <c r="D1181" s="8" t="inlineStr">
        <is>
          <t>OFEK-TURBO</t>
        </is>
      </c>
      <c r="E1181" s="7" t="inlineStr">
        <is>
          <t>Pulverização Agrícola Conforme Bula</t>
        </is>
      </c>
      <c r="F1181" s="7" t="inlineStr">
        <is>
          <t>Trigo</t>
        </is>
      </c>
      <c r="G1181" s="7" t="inlineStr">
        <is>
          <t>Cultura Autorizada na Bula</t>
        </is>
      </c>
      <c r="H1181" s="7" t="inlineStr">
        <is>
          <t>100 a 300 L/ha</t>
        </is>
      </c>
      <c r="I1181" s="7" t="inlineStr">
        <is>
          <t>20 a 40 L/ha</t>
        </is>
      </c>
      <c r="J1181" s="7" t="inlineStr">
        <is>
          <t>35 dias</t>
        </is>
      </c>
    </row>
    <row r="1182" ht="22" customHeight="1">
      <c r="A1182" s="12" t="inlineStr">
        <is>
          <t>CUL-1178</t>
        </is>
      </c>
      <c r="B1182" s="11" t="n">
        <v>230</v>
      </c>
      <c r="C1182" s="13" t="inlineStr">
        <is>
          <t>Nº 9420</t>
        </is>
      </c>
      <c r="D1182" s="14" t="inlineStr">
        <is>
          <t>OFEK-TURBO</t>
        </is>
      </c>
      <c r="E1182" s="13" t="inlineStr">
        <is>
          <t>Pulverização Agrícola Conforme Bula</t>
        </is>
      </c>
      <c r="F1182" s="13" t="inlineStr">
        <is>
          <t>Café</t>
        </is>
      </c>
      <c r="G1182" s="13" t="inlineStr">
        <is>
          <t>Cultura Autorizada na Bula</t>
        </is>
      </c>
      <c r="H1182" s="13" t="inlineStr">
        <is>
          <t>100 a 300 L/ha</t>
        </is>
      </c>
      <c r="I1182" s="13" t="inlineStr">
        <is>
          <t>20 a 40 L/ha</t>
        </is>
      </c>
      <c r="J1182" s="13" t="inlineStr">
        <is>
          <t>30 dias</t>
        </is>
      </c>
    </row>
    <row r="1183" ht="22" customHeight="1">
      <c r="A1183" s="6" t="inlineStr">
        <is>
          <t>CUL-1179</t>
        </is>
      </c>
      <c r="B1183" s="5" t="n">
        <v>230</v>
      </c>
      <c r="C1183" s="7" t="inlineStr">
        <is>
          <t>Nº 9420</t>
        </is>
      </c>
      <c r="D1183" s="8" t="inlineStr">
        <is>
          <t>OFEK-TURBO</t>
        </is>
      </c>
      <c r="E1183" s="7" t="inlineStr">
        <is>
          <t>Pulverização Agrícola Conforme Bula</t>
        </is>
      </c>
      <c r="F1183" s="7" t="inlineStr">
        <is>
          <t>Feijão</t>
        </is>
      </c>
      <c r="G1183" s="7" t="inlineStr">
        <is>
          <t>Cultura Autorizada na Bula</t>
        </is>
      </c>
      <c r="H1183" s="7" t="inlineStr">
        <is>
          <t>100 a 300 L/ha</t>
        </is>
      </c>
      <c r="I1183" s="7" t="inlineStr">
        <is>
          <t>20 a 40 L/ha</t>
        </is>
      </c>
      <c r="J1183" s="7" t="inlineStr">
        <is>
          <t>14 dias</t>
        </is>
      </c>
    </row>
    <row r="1184" ht="22" customHeight="1">
      <c r="A1184" s="12" t="inlineStr">
        <is>
          <t>CUL-1180</t>
        </is>
      </c>
      <c r="B1184" s="11" t="n">
        <v>231</v>
      </c>
      <c r="C1184" s="13" t="inlineStr">
        <is>
          <t>VINCULAR MARCA</t>
        </is>
      </c>
      <c r="D1184" s="14" t="inlineStr">
        <is>
          <t>ETIPROLE</t>
        </is>
      </c>
      <c r="E1184" s="13" t="inlineStr">
        <is>
          <t>Uso Exclusivamente Industrial (Formulação)</t>
        </is>
      </c>
      <c r="F1184" s="13" t="inlineStr">
        <is>
          <t>Não Aplicável (Proibido uso direto na lavoura)</t>
        </is>
      </c>
      <c r="G1184" s="13" t="inlineStr">
        <is>
          <t>Insumo Industrial</t>
        </is>
      </c>
      <c r="H1184" s="13" t="inlineStr">
        <is>
          <t>N/A</t>
        </is>
      </c>
      <c r="I1184" s="13" t="inlineStr">
        <is>
          <t>N/A</t>
        </is>
      </c>
      <c r="J1184" s="13" t="inlineStr">
        <is>
          <t>N/A (Insumo Industrial)</t>
        </is>
      </c>
    </row>
    <row r="1185" ht="22" customHeight="1">
      <c r="A1185" s="6" t="inlineStr">
        <is>
          <t>CUL-1181</t>
        </is>
      </c>
      <c r="B1185" s="5" t="n">
        <v>232</v>
      </c>
      <c r="C1185" s="7" t="inlineStr">
        <is>
          <t>Nº 8215</t>
        </is>
      </c>
      <c r="D1185" s="8" t="inlineStr">
        <is>
          <t>TEBUCONAZOLE</t>
        </is>
      </c>
      <c r="E1185" s="7" t="inlineStr">
        <is>
          <t>Uso Exclusivamente Industrial (Formulação)</t>
        </is>
      </c>
      <c r="F1185" s="7" t="inlineStr">
        <is>
          <t>Não Aplicável (Proibido uso direto na lavoura)</t>
        </is>
      </c>
      <c r="G1185" s="7" t="inlineStr">
        <is>
          <t>Insumo Industrial</t>
        </is>
      </c>
      <c r="H1185" s="7" t="inlineStr">
        <is>
          <t>N/A</t>
        </is>
      </c>
      <c r="I1185" s="7" t="inlineStr">
        <is>
          <t>N/A</t>
        </is>
      </c>
      <c r="J1185" s="7" t="inlineStr">
        <is>
          <t>N/A (Insumo Industrial)</t>
        </is>
      </c>
    </row>
    <row r="1186" ht="22" customHeight="1">
      <c r="A1186" s="12" t="inlineStr">
        <is>
          <t>CUL-1182</t>
        </is>
      </c>
      <c r="B1186" s="11" t="n">
        <v>233</v>
      </c>
      <c r="C1186" s="13" t="inlineStr">
        <is>
          <t>Nº 14421</t>
        </is>
      </c>
      <c r="D1186" s="14" t="inlineStr">
        <is>
          <t>FIPRONIL 250 (PRINCIPIOA ATIVO)</t>
        </is>
      </c>
      <c r="E1186" s="13" t="inlineStr">
        <is>
          <t>Uso Exclusivamente Industrial (Formulação)</t>
        </is>
      </c>
      <c r="F1186" s="13" t="inlineStr">
        <is>
          <t>Não Aplicável (Proibido uso direto na lavoura)</t>
        </is>
      </c>
      <c r="G1186" s="13" t="inlineStr">
        <is>
          <t>Insumo Industrial</t>
        </is>
      </c>
      <c r="H1186" s="13" t="inlineStr">
        <is>
          <t>N/A</t>
        </is>
      </c>
      <c r="I1186" s="13" t="inlineStr">
        <is>
          <t>N/A</t>
        </is>
      </c>
      <c r="J1186" s="13" t="inlineStr">
        <is>
          <t>N/A (Insumo Industrial)</t>
        </is>
      </c>
    </row>
    <row r="1187" ht="22" customHeight="1">
      <c r="A1187" s="6" t="inlineStr">
        <is>
          <t>CUL-1183</t>
        </is>
      </c>
      <c r="B1187" s="5" t="n">
        <v>234</v>
      </c>
      <c r="C1187" s="7" t="inlineStr">
        <is>
          <t>Nº 4798</t>
        </is>
      </c>
      <c r="D1187" s="8" t="inlineStr">
        <is>
          <t>VOLCANE 790</t>
        </is>
      </c>
      <c r="E1187" s="7" t="inlineStr">
        <is>
          <t>Pulverização Agrícola Conforme Bula</t>
        </is>
      </c>
      <c r="F1187" s="7" t="inlineStr">
        <is>
          <t>Soja</t>
        </is>
      </c>
      <c r="G1187" s="7" t="inlineStr">
        <is>
          <t>Cultura Autorizada na Bula</t>
        </is>
      </c>
      <c r="H1187" s="7" t="inlineStr">
        <is>
          <t>100 a 300 L/ha</t>
        </is>
      </c>
      <c r="I1187" s="7" t="inlineStr">
        <is>
          <t>20 a 40 L/ha</t>
        </is>
      </c>
      <c r="J1187" s="7" t="inlineStr">
        <is>
          <t>60 dias</t>
        </is>
      </c>
    </row>
    <row r="1188" ht="22" customHeight="1">
      <c r="A1188" s="12" t="inlineStr">
        <is>
          <t>CUL-1184</t>
        </is>
      </c>
      <c r="B1188" s="11" t="n">
        <v>234</v>
      </c>
      <c r="C1188" s="13" t="inlineStr">
        <is>
          <t>Nº 4798</t>
        </is>
      </c>
      <c r="D1188" s="14" t="inlineStr">
        <is>
          <t>VOLCANE 790</t>
        </is>
      </c>
      <c r="E1188" s="13" t="inlineStr">
        <is>
          <t>Pulverização Agrícola Conforme Bula</t>
        </is>
      </c>
      <c r="F1188" s="13" t="inlineStr">
        <is>
          <t>Milho</t>
        </is>
      </c>
      <c r="G1188" s="13" t="inlineStr">
        <is>
          <t>Cultura Autorizada na Bula</t>
        </is>
      </c>
      <c r="H1188" s="13" t="inlineStr">
        <is>
          <t>100 a 300 L/ha</t>
        </is>
      </c>
      <c r="I1188" s="13" t="inlineStr">
        <is>
          <t>20 a 40 L/ha</t>
        </is>
      </c>
      <c r="J1188" s="13" t="inlineStr">
        <is>
          <t>45 dias</t>
        </is>
      </c>
    </row>
    <row r="1189" ht="22" customHeight="1">
      <c r="A1189" s="6" t="inlineStr">
        <is>
          <t>CUL-1185</t>
        </is>
      </c>
      <c r="B1189" s="5" t="n">
        <v>234</v>
      </c>
      <c r="C1189" s="7" t="inlineStr">
        <is>
          <t>Nº 4798</t>
        </is>
      </c>
      <c r="D1189" s="8" t="inlineStr">
        <is>
          <t>VOLCANE 790</t>
        </is>
      </c>
      <c r="E1189" s="7" t="inlineStr">
        <is>
          <t>Pulverização Agrícola Conforme Bula</t>
        </is>
      </c>
      <c r="F1189" s="7" t="inlineStr">
        <is>
          <t>Algodão</t>
        </is>
      </c>
      <c r="G1189" s="7" t="inlineStr">
        <is>
          <t>Cultura Autorizada na Bula</t>
        </is>
      </c>
      <c r="H1189" s="7" t="inlineStr">
        <is>
          <t>100 a 300 L/ha</t>
        </is>
      </c>
      <c r="I1189" s="7" t="inlineStr">
        <is>
          <t>20 a 40 L/ha</t>
        </is>
      </c>
      <c r="J1189" s="7" t="inlineStr">
        <is>
          <t>60 dias</t>
        </is>
      </c>
    </row>
    <row r="1190" ht="22" customHeight="1">
      <c r="A1190" s="12" t="inlineStr">
        <is>
          <t>CUL-1186</t>
        </is>
      </c>
      <c r="B1190" s="11" t="n">
        <v>234</v>
      </c>
      <c r="C1190" s="13" t="inlineStr">
        <is>
          <t>Nº 4798</t>
        </is>
      </c>
      <c r="D1190" s="14" t="inlineStr">
        <is>
          <t>VOLCANE 790</t>
        </is>
      </c>
      <c r="E1190" s="13" t="inlineStr">
        <is>
          <t>Pulverização Agrícola Conforme Bula</t>
        </is>
      </c>
      <c r="F1190" s="13" t="inlineStr">
        <is>
          <t>Cana-de-açúcar</t>
        </is>
      </c>
      <c r="G1190" s="13" t="inlineStr">
        <is>
          <t>Cultura Autorizada na Bula</t>
        </is>
      </c>
      <c r="H1190" s="13" t="inlineStr">
        <is>
          <t>100 a 300 L/ha</t>
        </is>
      </c>
      <c r="I1190" s="13" t="inlineStr">
        <is>
          <t>20 a 40 L/ha</t>
        </is>
      </c>
      <c r="J1190" s="13" t="inlineStr">
        <is>
          <t>90 dias</t>
        </is>
      </c>
    </row>
    <row r="1191" ht="22" customHeight="1">
      <c r="A1191" s="6" t="inlineStr">
        <is>
          <t>CUL-1187</t>
        </is>
      </c>
      <c r="B1191" s="5" t="n">
        <v>235</v>
      </c>
      <c r="C1191" s="7" t="inlineStr">
        <is>
          <t>Nº 11922</t>
        </is>
      </c>
      <c r="D1191" s="8" t="inlineStr">
        <is>
          <t>TRICLOPIR</t>
        </is>
      </c>
      <c r="E1191" s="7" t="inlineStr">
        <is>
          <t>Pulverização Agrícola Conforme Bula</t>
        </is>
      </c>
      <c r="F1191" s="7" t="inlineStr">
        <is>
          <t>Soja (Dessecação Pré-Plantio)</t>
        </is>
      </c>
      <c r="G1191" s="7" t="inlineStr">
        <is>
          <t>Cultura Autorizada na Bula</t>
        </is>
      </c>
      <c r="H1191" s="7" t="inlineStr">
        <is>
          <t>100 a 300 L/ha</t>
        </is>
      </c>
      <c r="I1191" s="7" t="inlineStr">
        <is>
          <t>20 a 40 L/ha</t>
        </is>
      </c>
      <c r="J1191" s="7" t="inlineStr">
        <is>
          <t>N/D</t>
        </is>
      </c>
    </row>
    <row r="1192" ht="22" customHeight="1">
      <c r="A1192" s="12" t="inlineStr">
        <is>
          <t>CUL-1188</t>
        </is>
      </c>
      <c r="B1192" s="11" t="n">
        <v>235</v>
      </c>
      <c r="C1192" s="13" t="inlineStr">
        <is>
          <t>Nº 11922</t>
        </is>
      </c>
      <c r="D1192" s="14" t="inlineStr">
        <is>
          <t>TRICLOPIR</t>
        </is>
      </c>
      <c r="E1192" s="13" t="inlineStr">
        <is>
          <t>Pulverização Agrícola Conforme Bula</t>
        </is>
      </c>
      <c r="F1192" s="13" t="inlineStr">
        <is>
          <t>Pastagens</t>
        </is>
      </c>
      <c r="G1192" s="13" t="inlineStr">
        <is>
          <t>Cultura Autorizada na Bula</t>
        </is>
      </c>
      <c r="H1192" s="13" t="inlineStr">
        <is>
          <t>100 a 300 L/ha</t>
        </is>
      </c>
      <c r="I1192" s="13" t="inlineStr">
        <is>
          <t>20 a 40 L/ha</t>
        </is>
      </c>
      <c r="J1192" s="13" t="inlineStr">
        <is>
          <t>N/D</t>
        </is>
      </c>
    </row>
    <row r="1193" ht="22" customHeight="1">
      <c r="A1193" s="6" t="inlineStr">
        <is>
          <t>CUL-1189</t>
        </is>
      </c>
      <c r="B1193" s="5" t="n">
        <v>235</v>
      </c>
      <c r="C1193" s="7" t="inlineStr">
        <is>
          <t>Nº 11922</t>
        </is>
      </c>
      <c r="D1193" s="8" t="inlineStr">
        <is>
          <t>TRICLOPIR</t>
        </is>
      </c>
      <c r="E1193" s="7" t="inlineStr">
        <is>
          <t>Pulverização Agrícola Conforme Bula</t>
        </is>
      </c>
      <c r="F1193" s="7" t="inlineStr">
        <is>
          <t>Arroz Irrigado</t>
        </is>
      </c>
      <c r="G1193" s="7" t="inlineStr">
        <is>
          <t>Cultura Autorizada na Bula</t>
        </is>
      </c>
      <c r="H1193" s="7" t="inlineStr">
        <is>
          <t>100 a 300 L/ha</t>
        </is>
      </c>
      <c r="I1193" s="7" t="inlineStr">
        <is>
          <t>20 a 40 L/ha</t>
        </is>
      </c>
      <c r="J1193" s="7" t="inlineStr">
        <is>
          <t>30 dias</t>
        </is>
      </c>
    </row>
    <row r="1194" ht="22" customHeight="1">
      <c r="A1194" s="12" t="inlineStr">
        <is>
          <t>CUL-1190</t>
        </is>
      </c>
      <c r="B1194" s="11" t="n">
        <v>235</v>
      </c>
      <c r="C1194" s="13" t="inlineStr">
        <is>
          <t>Nº 11922</t>
        </is>
      </c>
      <c r="D1194" s="14" t="inlineStr">
        <is>
          <t>TRICLOPIR</t>
        </is>
      </c>
      <c r="E1194" s="13" t="inlineStr">
        <is>
          <t>Pulverização Agrícola Conforme Bula</t>
        </is>
      </c>
      <c r="F1194" s="13" t="inlineStr">
        <is>
          <t>Eucalipto</t>
        </is>
      </c>
      <c r="G1194" s="13" t="inlineStr">
        <is>
          <t>Cultura Autorizada na Bula</t>
        </is>
      </c>
      <c r="H1194" s="13" t="inlineStr">
        <is>
          <t>100 a 300 L/ha</t>
        </is>
      </c>
      <c r="I1194" s="13" t="inlineStr">
        <is>
          <t>20 a 40 L/ha</t>
        </is>
      </c>
      <c r="J1194" s="13" t="inlineStr">
        <is>
          <t>U.N.A.</t>
        </is>
      </c>
    </row>
    <row r="1195" ht="22" customHeight="1">
      <c r="A1195" s="6" t="inlineStr">
        <is>
          <t>CUL-1191</t>
        </is>
      </c>
      <c r="B1195" s="5" t="n">
        <v>236</v>
      </c>
      <c r="C1195" s="7" t="inlineStr">
        <is>
          <t>Nº 13520</t>
        </is>
      </c>
      <c r="D1195" s="8" t="inlineStr">
        <is>
          <t>CLORIMURON 250 WG 48X0,3KG (AGUARDAR FISCAL)</t>
        </is>
      </c>
      <c r="E1195" s="7" t="inlineStr">
        <is>
          <t>Pulverização Agrícola Conforme Bula</t>
        </is>
      </c>
      <c r="F1195" s="7" t="inlineStr">
        <is>
          <t>Soja</t>
        </is>
      </c>
      <c r="G1195" s="7" t="inlineStr">
        <is>
          <t>Cultura Autorizada na Bula</t>
        </is>
      </c>
      <c r="H1195" s="7" t="inlineStr">
        <is>
          <t>100 a 300 L/ha</t>
        </is>
      </c>
      <c r="I1195" s="7" t="inlineStr">
        <is>
          <t>20 a 40 L/ha</t>
        </is>
      </c>
      <c r="J1195" s="7" t="inlineStr">
        <is>
          <t>60 dias</t>
        </is>
      </c>
    </row>
    <row r="1196" ht="22" customHeight="1">
      <c r="A1196" s="12" t="inlineStr">
        <is>
          <t>CUL-1192</t>
        </is>
      </c>
      <c r="B1196" s="11" t="n">
        <v>236</v>
      </c>
      <c r="C1196" s="13" t="inlineStr">
        <is>
          <t>Nº 13520</t>
        </is>
      </c>
      <c r="D1196" s="14" t="inlineStr">
        <is>
          <t>CLORIMURON 250 WG 48X0,3KG (AGUARDAR FISCAL)</t>
        </is>
      </c>
      <c r="E1196" s="13" t="inlineStr">
        <is>
          <t>Pulverização Agrícola Conforme Bula</t>
        </is>
      </c>
      <c r="F1196" s="13" t="inlineStr">
        <is>
          <t>Milho</t>
        </is>
      </c>
      <c r="G1196" s="13" t="inlineStr">
        <is>
          <t>Cultura Autorizada na Bula</t>
        </is>
      </c>
      <c r="H1196" s="13" t="inlineStr">
        <is>
          <t>100 a 300 L/ha</t>
        </is>
      </c>
      <c r="I1196" s="13" t="inlineStr">
        <is>
          <t>20 a 40 L/ha</t>
        </is>
      </c>
      <c r="J1196" s="13" t="inlineStr">
        <is>
          <t>45 dias</t>
        </is>
      </c>
    </row>
    <row r="1197" ht="22" customHeight="1">
      <c r="A1197" s="6" t="inlineStr">
        <is>
          <t>CUL-1193</t>
        </is>
      </c>
      <c r="B1197" s="5" t="n">
        <v>236</v>
      </c>
      <c r="C1197" s="7" t="inlineStr">
        <is>
          <t>Nº 13520</t>
        </is>
      </c>
      <c r="D1197" s="8" t="inlineStr">
        <is>
          <t>CLORIMURON 250 WG 48X0,3KG (AGUARDAR FISCAL)</t>
        </is>
      </c>
      <c r="E1197" s="7" t="inlineStr">
        <is>
          <t>Pulverização Agrícola Conforme Bula</t>
        </is>
      </c>
      <c r="F1197" s="7" t="inlineStr">
        <is>
          <t>Algodão</t>
        </is>
      </c>
      <c r="G1197" s="7" t="inlineStr">
        <is>
          <t>Cultura Autorizada na Bula</t>
        </is>
      </c>
      <c r="H1197" s="7" t="inlineStr">
        <is>
          <t>100 a 300 L/ha</t>
        </is>
      </c>
      <c r="I1197" s="7" t="inlineStr">
        <is>
          <t>20 a 40 L/ha</t>
        </is>
      </c>
      <c r="J1197" s="7" t="inlineStr">
        <is>
          <t>60 dias</t>
        </is>
      </c>
    </row>
    <row r="1198" ht="22" customHeight="1">
      <c r="A1198" s="12" t="inlineStr">
        <is>
          <t>CUL-1194</t>
        </is>
      </c>
      <c r="B1198" s="11" t="n">
        <v>236</v>
      </c>
      <c r="C1198" s="13" t="inlineStr">
        <is>
          <t>Nº 13520</t>
        </is>
      </c>
      <c r="D1198" s="14" t="inlineStr">
        <is>
          <t>CLORIMURON 250 WG 48X0,3KG (AGUARDAR FISCAL)</t>
        </is>
      </c>
      <c r="E1198" s="13" t="inlineStr">
        <is>
          <t>Pulverização Agrícola Conforme Bula</t>
        </is>
      </c>
      <c r="F1198" s="13" t="inlineStr">
        <is>
          <t>Cana-de-açúcar</t>
        </is>
      </c>
      <c r="G1198" s="13" t="inlineStr">
        <is>
          <t>Cultura Autorizada na Bula</t>
        </is>
      </c>
      <c r="H1198" s="13" t="inlineStr">
        <is>
          <t>100 a 300 L/ha</t>
        </is>
      </c>
      <c r="I1198" s="13" t="inlineStr">
        <is>
          <t>20 a 40 L/ha</t>
        </is>
      </c>
      <c r="J1198" s="13" t="inlineStr">
        <is>
          <t>90 dias</t>
        </is>
      </c>
    </row>
    <row r="1199" ht="22" customHeight="1">
      <c r="A1199" s="6" t="inlineStr">
        <is>
          <t>CUL-1195</t>
        </is>
      </c>
      <c r="B1199" s="5" t="n">
        <v>237</v>
      </c>
      <c r="C1199" s="7" t="inlineStr">
        <is>
          <t>Nº 13520</t>
        </is>
      </c>
      <c r="D1199" s="8" t="inlineStr">
        <is>
          <t>CLORIMURON 250 WG  15X0,300KG (AGUARDAR FISCAL)</t>
        </is>
      </c>
      <c r="E1199" s="7" t="inlineStr">
        <is>
          <t>Pulverização Agrícola Conforme Bula</t>
        </is>
      </c>
      <c r="F1199" s="7" t="inlineStr">
        <is>
          <t>Soja</t>
        </is>
      </c>
      <c r="G1199" s="7" t="inlineStr">
        <is>
          <t>Cultura Autorizada na Bula</t>
        </is>
      </c>
      <c r="H1199" s="7" t="inlineStr">
        <is>
          <t>100 a 300 L/ha</t>
        </is>
      </c>
      <c r="I1199" s="7" t="inlineStr">
        <is>
          <t>20 a 40 L/ha</t>
        </is>
      </c>
      <c r="J1199" s="7" t="inlineStr">
        <is>
          <t>60 dias</t>
        </is>
      </c>
    </row>
    <row r="1200" ht="22" customHeight="1">
      <c r="A1200" s="12" t="inlineStr">
        <is>
          <t>CUL-1196</t>
        </is>
      </c>
      <c r="B1200" s="11" t="n">
        <v>237</v>
      </c>
      <c r="C1200" s="13" t="inlineStr">
        <is>
          <t>Nº 13520</t>
        </is>
      </c>
      <c r="D1200" s="14" t="inlineStr">
        <is>
          <t>CLORIMURON 250 WG  15X0,300KG (AGUARDAR FISCAL)</t>
        </is>
      </c>
      <c r="E1200" s="13" t="inlineStr">
        <is>
          <t>Pulverização Agrícola Conforme Bula</t>
        </is>
      </c>
      <c r="F1200" s="13" t="inlineStr">
        <is>
          <t>Milho</t>
        </is>
      </c>
      <c r="G1200" s="13" t="inlineStr">
        <is>
          <t>Cultura Autorizada na Bula</t>
        </is>
      </c>
      <c r="H1200" s="13" t="inlineStr">
        <is>
          <t>100 a 300 L/ha</t>
        </is>
      </c>
      <c r="I1200" s="13" t="inlineStr">
        <is>
          <t>20 a 40 L/ha</t>
        </is>
      </c>
      <c r="J1200" s="13" t="inlineStr">
        <is>
          <t>45 dias</t>
        </is>
      </c>
    </row>
    <row r="1201" ht="22" customHeight="1">
      <c r="A1201" s="6" t="inlineStr">
        <is>
          <t>CUL-1197</t>
        </is>
      </c>
      <c r="B1201" s="5" t="n">
        <v>237</v>
      </c>
      <c r="C1201" s="7" t="inlineStr">
        <is>
          <t>Nº 13520</t>
        </is>
      </c>
      <c r="D1201" s="8" t="inlineStr">
        <is>
          <t>CLORIMURON 250 WG  15X0,300KG (AGUARDAR FISCAL)</t>
        </is>
      </c>
      <c r="E1201" s="7" t="inlineStr">
        <is>
          <t>Pulverização Agrícola Conforme Bula</t>
        </is>
      </c>
      <c r="F1201" s="7" t="inlineStr">
        <is>
          <t>Algodão</t>
        </is>
      </c>
      <c r="G1201" s="7" t="inlineStr">
        <is>
          <t>Cultura Autorizada na Bula</t>
        </is>
      </c>
      <c r="H1201" s="7" t="inlineStr">
        <is>
          <t>100 a 300 L/ha</t>
        </is>
      </c>
      <c r="I1201" s="7" t="inlineStr">
        <is>
          <t>20 a 40 L/ha</t>
        </is>
      </c>
      <c r="J1201" s="7" t="inlineStr">
        <is>
          <t>60 dias</t>
        </is>
      </c>
    </row>
    <row r="1202" ht="22" customHeight="1">
      <c r="A1202" s="12" t="inlineStr">
        <is>
          <t>CUL-1198</t>
        </is>
      </c>
      <c r="B1202" s="11" t="n">
        <v>237</v>
      </c>
      <c r="C1202" s="13" t="inlineStr">
        <is>
          <t>Nº 13520</t>
        </is>
      </c>
      <c r="D1202" s="14" t="inlineStr">
        <is>
          <t>CLORIMURON 250 WG  15X0,300KG (AGUARDAR FISCAL)</t>
        </is>
      </c>
      <c r="E1202" s="13" t="inlineStr">
        <is>
          <t>Pulverização Agrícola Conforme Bula</t>
        </is>
      </c>
      <c r="F1202" s="13" t="inlineStr">
        <is>
          <t>Cana-de-açúcar</t>
        </is>
      </c>
      <c r="G1202" s="13" t="inlineStr">
        <is>
          <t>Cultura Autorizada na Bula</t>
        </is>
      </c>
      <c r="H1202" s="13" t="inlineStr">
        <is>
          <t>100 a 300 L/ha</t>
        </is>
      </c>
      <c r="I1202" s="13" t="inlineStr">
        <is>
          <t>20 a 40 L/ha</t>
        </is>
      </c>
      <c r="J1202" s="13" t="inlineStr">
        <is>
          <t>90 dias</t>
        </is>
      </c>
    </row>
    <row r="1203" ht="22" customHeight="1">
      <c r="A1203" s="6" t="inlineStr">
        <is>
          <t>CUL-1199</t>
        </is>
      </c>
      <c r="B1203" s="5" t="n">
        <v>238</v>
      </c>
      <c r="C1203" s="7" t="inlineStr">
        <is>
          <t>Nº 13520</t>
        </is>
      </c>
      <c r="D1203" s="8" t="inlineStr">
        <is>
          <t>CLORIMURON 250 WG RAIMBOW 15X0,300KG (VALIDAR FISC</t>
        </is>
      </c>
      <c r="E1203" s="7" t="inlineStr">
        <is>
          <t>Pulverização Agrícola Conforme Bula</t>
        </is>
      </c>
      <c r="F1203" s="7" t="inlineStr">
        <is>
          <t>Soja</t>
        </is>
      </c>
      <c r="G1203" s="7" t="inlineStr">
        <is>
          <t>Cultura Autorizada na Bula</t>
        </is>
      </c>
      <c r="H1203" s="7" t="inlineStr">
        <is>
          <t>100 a 300 L/ha</t>
        </is>
      </c>
      <c r="I1203" s="7" t="inlineStr">
        <is>
          <t>20 a 40 L/ha</t>
        </is>
      </c>
      <c r="J1203" s="7" t="inlineStr">
        <is>
          <t>60 dias</t>
        </is>
      </c>
    </row>
    <row r="1204" ht="22" customHeight="1">
      <c r="A1204" s="12" t="inlineStr">
        <is>
          <t>CUL-1200</t>
        </is>
      </c>
      <c r="B1204" s="11" t="n">
        <v>238</v>
      </c>
      <c r="C1204" s="13" t="inlineStr">
        <is>
          <t>Nº 13520</t>
        </is>
      </c>
      <c r="D1204" s="14" t="inlineStr">
        <is>
          <t>CLORIMURON 250 WG RAIMBOW 15X0,300KG (VALIDAR FISC</t>
        </is>
      </c>
      <c r="E1204" s="13" t="inlineStr">
        <is>
          <t>Pulverização Agrícola Conforme Bula</t>
        </is>
      </c>
      <c r="F1204" s="13" t="inlineStr">
        <is>
          <t>Milho</t>
        </is>
      </c>
      <c r="G1204" s="13" t="inlineStr">
        <is>
          <t>Cultura Autorizada na Bula</t>
        </is>
      </c>
      <c r="H1204" s="13" t="inlineStr">
        <is>
          <t>100 a 300 L/ha</t>
        </is>
      </c>
      <c r="I1204" s="13" t="inlineStr">
        <is>
          <t>20 a 40 L/ha</t>
        </is>
      </c>
      <c r="J1204" s="13" t="inlineStr">
        <is>
          <t>45 dias</t>
        </is>
      </c>
    </row>
    <row r="1205" ht="22" customHeight="1">
      <c r="A1205" s="6" t="inlineStr">
        <is>
          <t>CUL-1201</t>
        </is>
      </c>
      <c r="B1205" s="5" t="n">
        <v>238</v>
      </c>
      <c r="C1205" s="7" t="inlineStr">
        <is>
          <t>Nº 13520</t>
        </is>
      </c>
      <c r="D1205" s="8" t="inlineStr">
        <is>
          <t>CLORIMURON 250 WG RAIMBOW 15X0,300KG (VALIDAR FISC</t>
        </is>
      </c>
      <c r="E1205" s="7" t="inlineStr">
        <is>
          <t>Pulverização Agrícola Conforme Bula</t>
        </is>
      </c>
      <c r="F1205" s="7" t="inlineStr">
        <is>
          <t>Algodão</t>
        </is>
      </c>
      <c r="G1205" s="7" t="inlineStr">
        <is>
          <t>Cultura Autorizada na Bula</t>
        </is>
      </c>
      <c r="H1205" s="7" t="inlineStr">
        <is>
          <t>100 a 300 L/ha</t>
        </is>
      </c>
      <c r="I1205" s="7" t="inlineStr">
        <is>
          <t>20 a 40 L/ha</t>
        </is>
      </c>
      <c r="J1205" s="7" t="inlineStr">
        <is>
          <t>60 dias</t>
        </is>
      </c>
    </row>
    <row r="1206" ht="22" customHeight="1">
      <c r="A1206" s="12" t="inlineStr">
        <is>
          <t>CUL-1202</t>
        </is>
      </c>
      <c r="B1206" s="11" t="n">
        <v>238</v>
      </c>
      <c r="C1206" s="13" t="inlineStr">
        <is>
          <t>Nº 13520</t>
        </is>
      </c>
      <c r="D1206" s="14" t="inlineStr">
        <is>
          <t>CLORIMURON 250 WG RAIMBOW 15X0,300KG (VALIDAR FISC</t>
        </is>
      </c>
      <c r="E1206" s="13" t="inlineStr">
        <is>
          <t>Pulverização Agrícola Conforme Bula</t>
        </is>
      </c>
      <c r="F1206" s="13" t="inlineStr">
        <is>
          <t>Cana-de-açúcar</t>
        </is>
      </c>
      <c r="G1206" s="13" t="inlineStr">
        <is>
          <t>Cultura Autorizada na Bula</t>
        </is>
      </c>
      <c r="H1206" s="13" t="inlineStr">
        <is>
          <t>100 a 300 L/ha</t>
        </is>
      </c>
      <c r="I1206" s="13" t="inlineStr">
        <is>
          <t>20 a 40 L/ha</t>
        </is>
      </c>
      <c r="J1206" s="13" t="inlineStr">
        <is>
          <t>90 dias</t>
        </is>
      </c>
    </row>
    <row r="1207" ht="22" customHeight="1">
      <c r="A1207" s="6" t="inlineStr">
        <is>
          <t>CUL-1203</t>
        </is>
      </c>
      <c r="B1207" s="5" t="n">
        <v>239</v>
      </c>
      <c r="C1207" s="7" t="inlineStr">
        <is>
          <t>Nº 11922</t>
        </is>
      </c>
      <c r="D1207" s="8" t="inlineStr">
        <is>
          <t>TRICLOPIR</t>
        </is>
      </c>
      <c r="E1207" s="7" t="inlineStr">
        <is>
          <t>Pulverização Agrícola Conforme Bula</t>
        </is>
      </c>
      <c r="F1207" s="7" t="inlineStr">
        <is>
          <t>Soja (Dessecação Pré-Plantio)</t>
        </is>
      </c>
      <c r="G1207" s="7" t="inlineStr">
        <is>
          <t>Cultura Autorizada na Bula</t>
        </is>
      </c>
      <c r="H1207" s="7" t="inlineStr">
        <is>
          <t>100 a 300 L/ha</t>
        </is>
      </c>
      <c r="I1207" s="7" t="inlineStr">
        <is>
          <t>20 a 40 L/ha</t>
        </is>
      </c>
      <c r="J1207" s="7" t="inlineStr">
        <is>
          <t>N/D</t>
        </is>
      </c>
    </row>
    <row r="1208" ht="22" customHeight="1">
      <c r="A1208" s="12" t="inlineStr">
        <is>
          <t>CUL-1204</t>
        </is>
      </c>
      <c r="B1208" s="11" t="n">
        <v>239</v>
      </c>
      <c r="C1208" s="13" t="inlineStr">
        <is>
          <t>Nº 11922</t>
        </is>
      </c>
      <c r="D1208" s="14" t="inlineStr">
        <is>
          <t>TRICLOPIR</t>
        </is>
      </c>
      <c r="E1208" s="13" t="inlineStr">
        <is>
          <t>Pulverização Agrícola Conforme Bula</t>
        </is>
      </c>
      <c r="F1208" s="13" t="inlineStr">
        <is>
          <t>Pastagens</t>
        </is>
      </c>
      <c r="G1208" s="13" t="inlineStr">
        <is>
          <t>Cultura Autorizada na Bula</t>
        </is>
      </c>
      <c r="H1208" s="13" t="inlineStr">
        <is>
          <t>100 a 300 L/ha</t>
        </is>
      </c>
      <c r="I1208" s="13" t="inlineStr">
        <is>
          <t>20 a 40 L/ha</t>
        </is>
      </c>
      <c r="J1208" s="13" t="inlineStr">
        <is>
          <t>N/D</t>
        </is>
      </c>
    </row>
    <row r="1209" ht="22" customHeight="1">
      <c r="A1209" s="6" t="inlineStr">
        <is>
          <t>CUL-1205</t>
        </is>
      </c>
      <c r="B1209" s="5" t="n">
        <v>239</v>
      </c>
      <c r="C1209" s="7" t="inlineStr">
        <is>
          <t>Nº 11922</t>
        </is>
      </c>
      <c r="D1209" s="8" t="inlineStr">
        <is>
          <t>TRICLOPIR</t>
        </is>
      </c>
      <c r="E1209" s="7" t="inlineStr">
        <is>
          <t>Pulverização Agrícola Conforme Bula</t>
        </is>
      </c>
      <c r="F1209" s="7" t="inlineStr">
        <is>
          <t>Arroz Irrigado</t>
        </is>
      </c>
      <c r="G1209" s="7" t="inlineStr">
        <is>
          <t>Cultura Autorizada na Bula</t>
        </is>
      </c>
      <c r="H1209" s="7" t="inlineStr">
        <is>
          <t>100 a 300 L/ha</t>
        </is>
      </c>
      <c r="I1209" s="7" t="inlineStr">
        <is>
          <t>20 a 40 L/ha</t>
        </is>
      </c>
      <c r="J1209" s="7" t="inlineStr">
        <is>
          <t>30 dias</t>
        </is>
      </c>
    </row>
    <row r="1210" ht="22" customHeight="1">
      <c r="A1210" s="12" t="inlineStr">
        <is>
          <t>CUL-1206</t>
        </is>
      </c>
      <c r="B1210" s="11" t="n">
        <v>239</v>
      </c>
      <c r="C1210" s="13" t="inlineStr">
        <is>
          <t>Nº 11922</t>
        </is>
      </c>
      <c r="D1210" s="14" t="inlineStr">
        <is>
          <t>TRICLOPIR</t>
        </is>
      </c>
      <c r="E1210" s="13" t="inlineStr">
        <is>
          <t>Pulverização Agrícola Conforme Bula</t>
        </is>
      </c>
      <c r="F1210" s="13" t="inlineStr">
        <is>
          <t>Eucalipto</t>
        </is>
      </c>
      <c r="G1210" s="13" t="inlineStr">
        <is>
          <t>Cultura Autorizada na Bula</t>
        </is>
      </c>
      <c r="H1210" s="13" t="inlineStr">
        <is>
          <t>100 a 300 L/ha</t>
        </is>
      </c>
      <c r="I1210" s="13" t="inlineStr">
        <is>
          <t>20 a 40 L/ha</t>
        </is>
      </c>
      <c r="J1210" s="13" t="inlineStr">
        <is>
          <t>U.N.A.</t>
        </is>
      </c>
    </row>
    <row r="1211" ht="22" customHeight="1">
      <c r="A1211" s="6" t="inlineStr">
        <is>
          <t>CUL-1207</t>
        </is>
      </c>
      <c r="B1211" s="5" t="n">
        <v>240</v>
      </c>
      <c r="C1211" s="7" t="inlineStr">
        <is>
          <t>Nº 11320</t>
        </is>
      </c>
      <c r="D1211" s="8" t="inlineStr">
        <is>
          <t>SURVEY 800 WG</t>
        </is>
      </c>
      <c r="E1211" s="7" t="inlineStr">
        <is>
          <t>Pulverização Agrícola Conforme Bula</t>
        </is>
      </c>
      <c r="F1211" s="7" t="inlineStr">
        <is>
          <t>Soja (Trat. Sementes / Sulco)</t>
        </is>
      </c>
      <c r="G1211" s="7" t="inlineStr">
        <is>
          <t>Cultura Autorizada na Bula</t>
        </is>
      </c>
      <c r="H1211" s="7" t="inlineStr">
        <is>
          <t>100 a 300 L/ha</t>
        </is>
      </c>
      <c r="I1211" s="7" t="inlineStr">
        <is>
          <t>20 a 40 L/ha</t>
        </is>
      </c>
      <c r="J1211" s="7" t="inlineStr">
        <is>
          <t>N/D</t>
        </is>
      </c>
    </row>
    <row r="1212" ht="22" customHeight="1">
      <c r="A1212" s="12" t="inlineStr">
        <is>
          <t>CUL-1208</t>
        </is>
      </c>
      <c r="B1212" s="11" t="n">
        <v>240</v>
      </c>
      <c r="C1212" s="13" t="inlineStr">
        <is>
          <t>Nº 11320</t>
        </is>
      </c>
      <c r="D1212" s="14" t="inlineStr">
        <is>
          <t>SURVEY 800 WG</t>
        </is>
      </c>
      <c r="E1212" s="13" t="inlineStr">
        <is>
          <t>Pulverização Agrícola Conforme Bula</t>
        </is>
      </c>
      <c r="F1212" s="13" t="inlineStr">
        <is>
          <t>Milho (Trat. Sementes)</t>
        </is>
      </c>
      <c r="G1212" s="13" t="inlineStr">
        <is>
          <t>Cultura Autorizada na Bula</t>
        </is>
      </c>
      <c r="H1212" s="13" t="inlineStr">
        <is>
          <t>100 a 300 L/ha</t>
        </is>
      </c>
      <c r="I1212" s="13" t="inlineStr">
        <is>
          <t>20 a 40 L/ha</t>
        </is>
      </c>
      <c r="J1212" s="13" t="inlineStr">
        <is>
          <t>N/D</t>
        </is>
      </c>
    </row>
    <row r="1213" ht="22" customHeight="1">
      <c r="A1213" s="6" t="inlineStr">
        <is>
          <t>CUL-1209</t>
        </is>
      </c>
      <c r="B1213" s="5" t="n">
        <v>240</v>
      </c>
      <c r="C1213" s="7" t="inlineStr">
        <is>
          <t>Nº 11320</t>
        </is>
      </c>
      <c r="D1213" s="8" t="inlineStr">
        <is>
          <t>SURVEY 800 WG</t>
        </is>
      </c>
      <c r="E1213" s="7" t="inlineStr">
        <is>
          <t>Pulverização Agrícola Conforme Bula</t>
        </is>
      </c>
      <c r="F1213" s="7" t="inlineStr">
        <is>
          <t>Algodão</t>
        </is>
      </c>
      <c r="G1213" s="7" t="inlineStr">
        <is>
          <t>Cultura Autorizada na Bula</t>
        </is>
      </c>
      <c r="H1213" s="7" t="inlineStr">
        <is>
          <t>100 a 300 L/ha</t>
        </is>
      </c>
      <c r="I1213" s="7" t="inlineStr">
        <is>
          <t>20 a 40 L/ha</t>
        </is>
      </c>
      <c r="J1213" s="7" t="inlineStr">
        <is>
          <t>N/D</t>
        </is>
      </c>
    </row>
    <row r="1214" ht="22" customHeight="1">
      <c r="A1214" s="12" t="inlineStr">
        <is>
          <t>CUL-1210</t>
        </is>
      </c>
      <c r="B1214" s="11" t="n">
        <v>240</v>
      </c>
      <c r="C1214" s="13" t="inlineStr">
        <is>
          <t>Nº 11320</t>
        </is>
      </c>
      <c r="D1214" s="14" t="inlineStr">
        <is>
          <t>SURVEY 800 WG</t>
        </is>
      </c>
      <c r="E1214" s="13" t="inlineStr">
        <is>
          <t>Pulverização Agrícola Conforme Bula</t>
        </is>
      </c>
      <c r="F1214" s="13" t="inlineStr">
        <is>
          <t>Cana-de-açúcar (Sulco)</t>
        </is>
      </c>
      <c r="G1214" s="13" t="inlineStr">
        <is>
          <t>Cultura Autorizada na Bula</t>
        </is>
      </c>
      <c r="H1214" s="13" t="inlineStr">
        <is>
          <t>100 a 300 L/ha</t>
        </is>
      </c>
      <c r="I1214" s="13" t="inlineStr">
        <is>
          <t>20 a 40 L/ha</t>
        </is>
      </c>
      <c r="J1214" s="13" t="inlineStr">
        <is>
          <t>N/D</t>
        </is>
      </c>
    </row>
    <row r="1215" ht="22" customHeight="1">
      <c r="A1215" s="6" t="inlineStr">
        <is>
          <t>CUL-1211</t>
        </is>
      </c>
      <c r="B1215" s="5" t="n">
        <v>240</v>
      </c>
      <c r="C1215" s="7" t="inlineStr">
        <is>
          <t>Nº 11320</t>
        </is>
      </c>
      <c r="D1215" s="8" t="inlineStr">
        <is>
          <t>SURVEY 800 WG</t>
        </is>
      </c>
      <c r="E1215" s="7" t="inlineStr">
        <is>
          <t>Pulverização Agrícola Conforme Bula</t>
        </is>
      </c>
      <c r="F1215" s="7" t="inlineStr">
        <is>
          <t>Arroz</t>
        </is>
      </c>
      <c r="G1215" s="7" t="inlineStr">
        <is>
          <t>Cultura Autorizada na Bula</t>
        </is>
      </c>
      <c r="H1215" s="7" t="inlineStr">
        <is>
          <t>100 a 300 L/ha</t>
        </is>
      </c>
      <c r="I1215" s="7" t="inlineStr">
        <is>
          <t>20 a 40 L/ha</t>
        </is>
      </c>
      <c r="J1215" s="7" t="inlineStr">
        <is>
          <t>N/D</t>
        </is>
      </c>
    </row>
    <row r="1216" ht="22" customHeight="1">
      <c r="A1216" s="12" t="inlineStr">
        <is>
          <t>CUL-1212</t>
        </is>
      </c>
      <c r="B1216" s="11" t="n">
        <v>240</v>
      </c>
      <c r="C1216" s="13" t="inlineStr">
        <is>
          <t>Nº 11320</t>
        </is>
      </c>
      <c r="D1216" s="14" t="inlineStr">
        <is>
          <t>SURVEY 800 WG</t>
        </is>
      </c>
      <c r="E1216" s="13" t="inlineStr">
        <is>
          <t>Pulverização Agrícola Conforme Bula</t>
        </is>
      </c>
      <c r="F1216" s="13" t="inlineStr">
        <is>
          <t>Feijão</t>
        </is>
      </c>
      <c r="G1216" s="13" t="inlineStr">
        <is>
          <t>Cultura Autorizada na Bula</t>
        </is>
      </c>
      <c r="H1216" s="13" t="inlineStr">
        <is>
          <t>100 a 300 L/ha</t>
        </is>
      </c>
      <c r="I1216" s="13" t="inlineStr">
        <is>
          <t>20 a 40 L/ha</t>
        </is>
      </c>
      <c r="J1216" s="13" t="inlineStr">
        <is>
          <t>N/D</t>
        </is>
      </c>
    </row>
    <row r="1217" ht="22" customHeight="1">
      <c r="A1217" s="6" t="inlineStr">
        <is>
          <t>CUL-1213</t>
        </is>
      </c>
      <c r="B1217" s="5" t="n">
        <v>240</v>
      </c>
      <c r="C1217" s="7" t="inlineStr">
        <is>
          <t>Nº 11320</t>
        </is>
      </c>
      <c r="D1217" s="8" t="inlineStr">
        <is>
          <t>SURVEY 800 WG</t>
        </is>
      </c>
      <c r="E1217" s="7" t="inlineStr">
        <is>
          <t>Pulverização Agrícola Conforme Bula</t>
        </is>
      </c>
      <c r="F1217" s="7" t="inlineStr">
        <is>
          <t>Pastagens</t>
        </is>
      </c>
      <c r="G1217" s="7" t="inlineStr">
        <is>
          <t>Cultura Autorizada na Bula</t>
        </is>
      </c>
      <c r="H1217" s="7" t="inlineStr">
        <is>
          <t>100 a 300 L/ha</t>
        </is>
      </c>
      <c r="I1217" s="7" t="inlineStr">
        <is>
          <t>20 a 40 L/ha</t>
        </is>
      </c>
      <c r="J1217" s="7" t="inlineStr">
        <is>
          <t>N/D</t>
        </is>
      </c>
    </row>
    <row r="1218" ht="22" customHeight="1">
      <c r="A1218" s="12" t="inlineStr">
        <is>
          <t>CUL-1214</t>
        </is>
      </c>
      <c r="B1218" s="11" t="n">
        <v>240</v>
      </c>
      <c r="C1218" s="13" t="inlineStr">
        <is>
          <t>Nº 11320</t>
        </is>
      </c>
      <c r="D1218" s="14" t="inlineStr">
        <is>
          <t>SURVEY 800 WG</t>
        </is>
      </c>
      <c r="E1218" s="13" t="inlineStr">
        <is>
          <t>Pulverização Agrícola Conforme Bula</t>
        </is>
      </c>
      <c r="F1218" s="13" t="inlineStr">
        <is>
          <t>Trigo</t>
        </is>
      </c>
      <c r="G1218" s="13" t="inlineStr">
        <is>
          <t>Cultura Autorizada na Bula</t>
        </is>
      </c>
      <c r="H1218" s="13" t="inlineStr">
        <is>
          <t>100 a 300 L/ha</t>
        </is>
      </c>
      <c r="I1218" s="13" t="inlineStr">
        <is>
          <t>20 a 40 L/ha</t>
        </is>
      </c>
      <c r="J1218" s="13" t="inlineStr">
        <is>
          <t>N/D</t>
        </is>
      </c>
    </row>
    <row r="1219" ht="22" customHeight="1">
      <c r="A1219" s="6" t="inlineStr">
        <is>
          <t>CUL-1215</t>
        </is>
      </c>
      <c r="B1219" s="5" t="n">
        <v>241</v>
      </c>
      <c r="C1219" s="7" t="inlineStr">
        <is>
          <t>Nº 12621</t>
        </is>
      </c>
      <c r="D1219" s="8" t="inlineStr">
        <is>
          <t>NADRAN 250SL (PRINCIPIO ATIVO)</t>
        </is>
      </c>
      <c r="E1219" s="7" t="inlineStr">
        <is>
          <t>Uso Exclusivamente Industrial (Formulação)</t>
        </is>
      </c>
      <c r="F1219" s="7" t="inlineStr">
        <is>
          <t>Não Aplicável (Proibido uso direto na lavoura)</t>
        </is>
      </c>
      <c r="G1219" s="7" t="inlineStr">
        <is>
          <t>Insumo Industrial</t>
        </is>
      </c>
      <c r="H1219" s="7" t="inlineStr">
        <is>
          <t>N/A</t>
        </is>
      </c>
      <c r="I1219" s="7" t="inlineStr">
        <is>
          <t>N/A</t>
        </is>
      </c>
      <c r="J1219" s="7" t="inlineStr">
        <is>
          <t>N/A (Insumo Industrial)</t>
        </is>
      </c>
    </row>
    <row r="1220" ht="22" customHeight="1">
      <c r="A1220" s="12" t="inlineStr">
        <is>
          <t>CUL-1216</t>
        </is>
      </c>
      <c r="B1220" s="11" t="n">
        <v>242</v>
      </c>
      <c r="C1220" s="13" t="inlineStr">
        <is>
          <t>Nº 12418</t>
        </is>
      </c>
      <c r="D1220" s="14" t="inlineStr">
        <is>
          <t>PENNCOZEB - MANCOZEB 750 (PRINCIPIO ATIVO)</t>
        </is>
      </c>
      <c r="E1220" s="13" t="inlineStr">
        <is>
          <t>Uso Exclusivamente Industrial (Formulação)</t>
        </is>
      </c>
      <c r="F1220" s="13" t="inlineStr">
        <is>
          <t>Não Aplicável (Proibido uso direto na lavoura)</t>
        </is>
      </c>
      <c r="G1220" s="13" t="inlineStr">
        <is>
          <t>Insumo Industrial</t>
        </is>
      </c>
      <c r="H1220" s="13" t="inlineStr">
        <is>
          <t>N/A</t>
        </is>
      </c>
      <c r="I1220" s="13" t="inlineStr">
        <is>
          <t>N/A</t>
        </is>
      </c>
      <c r="J1220" s="13" t="inlineStr">
        <is>
          <t>N/A (Insumo Industrial)</t>
        </is>
      </c>
    </row>
    <row r="1221" ht="22" customHeight="1">
      <c r="A1221" s="6" t="inlineStr">
        <is>
          <t>CUL-1217</t>
        </is>
      </c>
      <c r="B1221" s="5" t="n">
        <v>243</v>
      </c>
      <c r="C1221" s="7" t="inlineStr">
        <is>
          <t>Nº 43418</t>
        </is>
      </c>
      <c r="D1221" s="8" t="inlineStr">
        <is>
          <t>BIOLOGIC AERUM</t>
        </is>
      </c>
      <c r="E1221" s="7" t="inlineStr">
        <is>
          <t>Pulverização Agrícola Conforme Bula</t>
        </is>
      </c>
      <c r="F1221" s="7" t="inlineStr">
        <is>
          <t>Soja (Sulco / TS / Foliar)</t>
        </is>
      </c>
      <c r="G1221" s="7" t="inlineStr">
        <is>
          <t>Cultura Autorizada na Bula</t>
        </is>
      </c>
      <c r="H1221" s="7" t="inlineStr">
        <is>
          <t>100 a 300 L/ha</t>
        </is>
      </c>
      <c r="I1221" s="7" t="inlineStr">
        <is>
          <t>20 a 40 L/ha</t>
        </is>
      </c>
      <c r="J1221" s="7" t="inlineStr">
        <is>
          <t>0 (Isento)</t>
        </is>
      </c>
    </row>
    <row r="1222" ht="22" customHeight="1">
      <c r="A1222" s="12" t="inlineStr">
        <is>
          <t>CUL-1218</t>
        </is>
      </c>
      <c r="B1222" s="11" t="n">
        <v>243</v>
      </c>
      <c r="C1222" s="13" t="inlineStr">
        <is>
          <t>Nº 43418</t>
        </is>
      </c>
      <c r="D1222" s="14" t="inlineStr">
        <is>
          <t>BIOLOGIC AERUM</t>
        </is>
      </c>
      <c r="E1222" s="13" t="inlineStr">
        <is>
          <t>Pulverização Agrícola Conforme Bula</t>
        </is>
      </c>
      <c r="F1222" s="13" t="inlineStr">
        <is>
          <t>Milho</t>
        </is>
      </c>
      <c r="G1222" s="13" t="inlineStr">
        <is>
          <t>Cultura Autorizada na Bula</t>
        </is>
      </c>
      <c r="H1222" s="13" t="inlineStr">
        <is>
          <t>100 a 300 L/ha</t>
        </is>
      </c>
      <c r="I1222" s="13" t="inlineStr">
        <is>
          <t>20 a 40 L/ha</t>
        </is>
      </c>
      <c r="J1222" s="13" t="inlineStr">
        <is>
          <t>0 (Isento)</t>
        </is>
      </c>
    </row>
    <row r="1223" ht="22" customHeight="1">
      <c r="A1223" s="6" t="inlineStr">
        <is>
          <t>CUL-1219</t>
        </is>
      </c>
      <c r="B1223" s="5" t="n">
        <v>243</v>
      </c>
      <c r="C1223" s="7" t="inlineStr">
        <is>
          <t>Nº 43418</t>
        </is>
      </c>
      <c r="D1223" s="8" t="inlineStr">
        <is>
          <t>BIOLOGIC AERUM</t>
        </is>
      </c>
      <c r="E1223" s="7" t="inlineStr">
        <is>
          <t>Pulverização Agrícola Conforme Bula</t>
        </is>
      </c>
      <c r="F1223" s="7" t="inlineStr">
        <is>
          <t>Algodão</t>
        </is>
      </c>
      <c r="G1223" s="7" t="inlineStr">
        <is>
          <t>Cultura Autorizada na Bula</t>
        </is>
      </c>
      <c r="H1223" s="7" t="inlineStr">
        <is>
          <t>100 a 300 L/ha</t>
        </is>
      </c>
      <c r="I1223" s="7" t="inlineStr">
        <is>
          <t>20 a 40 L/ha</t>
        </is>
      </c>
      <c r="J1223" s="7" t="inlineStr">
        <is>
          <t>0 (Isento)</t>
        </is>
      </c>
    </row>
    <row r="1224" ht="22" customHeight="1">
      <c r="A1224" s="12" t="inlineStr">
        <is>
          <t>CUL-1220</t>
        </is>
      </c>
      <c r="B1224" s="11" t="n">
        <v>243</v>
      </c>
      <c r="C1224" s="13" t="inlineStr">
        <is>
          <t>Nº 43418</t>
        </is>
      </c>
      <c r="D1224" s="14" t="inlineStr">
        <is>
          <t>BIOLOGIC AERUM</t>
        </is>
      </c>
      <c r="E1224" s="13" t="inlineStr">
        <is>
          <t>Pulverização Agrícola Conforme Bula</t>
        </is>
      </c>
      <c r="F1224" s="13" t="inlineStr">
        <is>
          <t>Feijão</t>
        </is>
      </c>
      <c r="G1224" s="13" t="inlineStr">
        <is>
          <t>Cultura Autorizada na Bula</t>
        </is>
      </c>
      <c r="H1224" s="13" t="inlineStr">
        <is>
          <t>100 a 300 L/ha</t>
        </is>
      </c>
      <c r="I1224" s="13" t="inlineStr">
        <is>
          <t>20 a 40 L/ha</t>
        </is>
      </c>
      <c r="J1224" s="13" t="inlineStr">
        <is>
          <t>0 (Isento)</t>
        </is>
      </c>
    </row>
    <row r="1225" ht="22" customHeight="1">
      <c r="A1225" s="6" t="inlineStr">
        <is>
          <t>CUL-1221</t>
        </is>
      </c>
      <c r="B1225" s="5" t="n">
        <v>244</v>
      </c>
      <c r="C1225" s="7" t="inlineStr">
        <is>
          <t>SIPEAGRO (UF-XXXXX)</t>
        </is>
      </c>
      <c r="D1225" s="8" t="inlineStr">
        <is>
          <t>BRENNFEED BR 251</t>
        </is>
      </c>
      <c r="E1225" s="7" t="inlineStr">
        <is>
          <t>Adubação de Solo / Foliar</t>
        </is>
      </c>
      <c r="F1225" s="7" t="inlineStr">
        <is>
          <t>Soja</t>
        </is>
      </c>
      <c r="G1225" s="7" t="inlineStr">
        <is>
          <t>Cultura Autorizada na Bula</t>
        </is>
      </c>
      <c r="H1225" s="7" t="inlineStr">
        <is>
          <t>100 a 300 L/ha</t>
        </is>
      </c>
      <c r="I1225" s="7" t="inlineStr">
        <is>
          <t>20 a 40 L/ha</t>
        </is>
      </c>
      <c r="J1225" s="7" t="inlineStr">
        <is>
          <t>Isento</t>
        </is>
      </c>
    </row>
    <row r="1226" ht="22" customHeight="1">
      <c r="A1226" s="12" t="inlineStr">
        <is>
          <t>CUL-1222</t>
        </is>
      </c>
      <c r="B1226" s="11" t="n">
        <v>244</v>
      </c>
      <c r="C1226" s="13" t="inlineStr">
        <is>
          <t>SIPEAGRO (UF-XXXXX)</t>
        </is>
      </c>
      <c r="D1226" s="14" t="inlineStr">
        <is>
          <t>BRENNFEED BR 251</t>
        </is>
      </c>
      <c r="E1226" s="13" t="inlineStr">
        <is>
          <t>Adubação de Solo / Foliar</t>
        </is>
      </c>
      <c r="F1226" s="13" t="inlineStr">
        <is>
          <t>Milho</t>
        </is>
      </c>
      <c r="G1226" s="13" t="inlineStr">
        <is>
          <t>Cultura Autorizada na Bula</t>
        </is>
      </c>
      <c r="H1226" s="13" t="inlineStr">
        <is>
          <t>100 a 300 L/ha</t>
        </is>
      </c>
      <c r="I1226" s="13" t="inlineStr">
        <is>
          <t>20 a 40 L/ha</t>
        </is>
      </c>
      <c r="J1226" s="13" t="inlineStr">
        <is>
          <t>Isento</t>
        </is>
      </c>
    </row>
    <row r="1227" ht="22" customHeight="1">
      <c r="A1227" s="6" t="inlineStr">
        <is>
          <t>CUL-1223</t>
        </is>
      </c>
      <c r="B1227" s="5" t="n">
        <v>244</v>
      </c>
      <c r="C1227" s="7" t="inlineStr">
        <is>
          <t>SIPEAGRO (UF-XXXXX)</t>
        </is>
      </c>
      <c r="D1227" s="8" t="inlineStr">
        <is>
          <t>BRENNFEED BR 251</t>
        </is>
      </c>
      <c r="E1227" s="7" t="inlineStr">
        <is>
          <t>Adubação de Solo / Foliar</t>
        </is>
      </c>
      <c r="F1227" s="7" t="inlineStr">
        <is>
          <t>Algodão</t>
        </is>
      </c>
      <c r="G1227" s="7" t="inlineStr">
        <is>
          <t>Cultura Autorizada na Bula</t>
        </is>
      </c>
      <c r="H1227" s="7" t="inlineStr">
        <is>
          <t>100 a 300 L/ha</t>
        </is>
      </c>
      <c r="I1227" s="7" t="inlineStr">
        <is>
          <t>20 a 40 L/ha</t>
        </is>
      </c>
      <c r="J1227" s="7" t="inlineStr">
        <is>
          <t>Isento</t>
        </is>
      </c>
    </row>
    <row r="1228" ht="22" customHeight="1">
      <c r="A1228" s="12" t="inlineStr">
        <is>
          <t>CUL-1224</t>
        </is>
      </c>
      <c r="B1228" s="11" t="n">
        <v>244</v>
      </c>
      <c r="C1228" s="13" t="inlineStr">
        <is>
          <t>SIPEAGRO (UF-XXXXX)</t>
        </is>
      </c>
      <c r="D1228" s="14" t="inlineStr">
        <is>
          <t>BRENNFEED BR 251</t>
        </is>
      </c>
      <c r="E1228" s="13" t="inlineStr">
        <is>
          <t>Adubação de Solo / Foliar</t>
        </is>
      </c>
      <c r="F1228" s="13" t="inlineStr">
        <is>
          <t>Cana-de-açúcar</t>
        </is>
      </c>
      <c r="G1228" s="13" t="inlineStr">
        <is>
          <t>Cultura Autorizada na Bula</t>
        </is>
      </c>
      <c r="H1228" s="13" t="inlineStr">
        <is>
          <t>100 a 300 L/ha</t>
        </is>
      </c>
      <c r="I1228" s="13" t="inlineStr">
        <is>
          <t>20 a 40 L/ha</t>
        </is>
      </c>
      <c r="J1228" s="13" t="inlineStr">
        <is>
          <t>Isento</t>
        </is>
      </c>
    </row>
    <row r="1229" ht="22" customHeight="1">
      <c r="A1229" s="6" t="inlineStr">
        <is>
          <t>CUL-1225</t>
        </is>
      </c>
      <c r="B1229" s="5" t="n">
        <v>244</v>
      </c>
      <c r="C1229" s="7" t="inlineStr">
        <is>
          <t>SIPEAGRO (UF-XXXXX)</t>
        </is>
      </c>
      <c r="D1229" s="8" t="inlineStr">
        <is>
          <t>BRENNFEED BR 251</t>
        </is>
      </c>
      <c r="E1229" s="7" t="inlineStr">
        <is>
          <t>Adubação de Solo / Foliar</t>
        </is>
      </c>
      <c r="F1229" s="7" t="inlineStr">
        <is>
          <t>Café</t>
        </is>
      </c>
      <c r="G1229" s="7" t="inlineStr">
        <is>
          <t>Cultura Autorizada na Bula</t>
        </is>
      </c>
      <c r="H1229" s="7" t="inlineStr">
        <is>
          <t>100 a 300 L/ha</t>
        </is>
      </c>
      <c r="I1229" s="7" t="inlineStr">
        <is>
          <t>20 a 40 L/ha</t>
        </is>
      </c>
      <c r="J1229" s="7" t="inlineStr">
        <is>
          <t>Isento</t>
        </is>
      </c>
    </row>
    <row r="1230" ht="22" customHeight="1">
      <c r="A1230" s="12" t="inlineStr">
        <is>
          <t>CUL-1226</t>
        </is>
      </c>
      <c r="B1230" s="11" t="n">
        <v>245</v>
      </c>
      <c r="C1230" s="13" t="inlineStr">
        <is>
          <t>SIPEAGRO (UF-XXXXX)</t>
        </is>
      </c>
      <c r="D1230" s="14" t="inlineStr">
        <is>
          <t>BRENNFEED BR 256</t>
        </is>
      </c>
      <c r="E1230" s="13" t="inlineStr">
        <is>
          <t>Adubação de Solo / Foliar</t>
        </is>
      </c>
      <c r="F1230" s="13" t="inlineStr">
        <is>
          <t>Soja</t>
        </is>
      </c>
      <c r="G1230" s="13" t="inlineStr">
        <is>
          <t>Cultura Autorizada na Bula</t>
        </is>
      </c>
      <c r="H1230" s="13" t="inlineStr">
        <is>
          <t>100 a 300 L/ha</t>
        </is>
      </c>
      <c r="I1230" s="13" t="inlineStr">
        <is>
          <t>20 a 40 L/ha</t>
        </is>
      </c>
      <c r="J1230" s="13" t="inlineStr">
        <is>
          <t>Isento</t>
        </is>
      </c>
    </row>
    <row r="1231" ht="22" customHeight="1">
      <c r="A1231" s="6" t="inlineStr">
        <is>
          <t>CUL-1227</t>
        </is>
      </c>
      <c r="B1231" s="5" t="n">
        <v>245</v>
      </c>
      <c r="C1231" s="7" t="inlineStr">
        <is>
          <t>SIPEAGRO (UF-XXXXX)</t>
        </is>
      </c>
      <c r="D1231" s="8" t="inlineStr">
        <is>
          <t>BRENNFEED BR 256</t>
        </is>
      </c>
      <c r="E1231" s="7" t="inlineStr">
        <is>
          <t>Adubação de Solo / Foliar</t>
        </is>
      </c>
      <c r="F1231" s="7" t="inlineStr">
        <is>
          <t>Milho</t>
        </is>
      </c>
      <c r="G1231" s="7" t="inlineStr">
        <is>
          <t>Cultura Autorizada na Bula</t>
        </is>
      </c>
      <c r="H1231" s="7" t="inlineStr">
        <is>
          <t>100 a 300 L/ha</t>
        </is>
      </c>
      <c r="I1231" s="7" t="inlineStr">
        <is>
          <t>20 a 40 L/ha</t>
        </is>
      </c>
      <c r="J1231" s="7" t="inlineStr">
        <is>
          <t>Isento</t>
        </is>
      </c>
    </row>
    <row r="1232" ht="22" customHeight="1">
      <c r="A1232" s="12" t="inlineStr">
        <is>
          <t>CUL-1228</t>
        </is>
      </c>
      <c r="B1232" s="11" t="n">
        <v>245</v>
      </c>
      <c r="C1232" s="13" t="inlineStr">
        <is>
          <t>SIPEAGRO (UF-XXXXX)</t>
        </is>
      </c>
      <c r="D1232" s="14" t="inlineStr">
        <is>
          <t>BRENNFEED BR 256</t>
        </is>
      </c>
      <c r="E1232" s="13" t="inlineStr">
        <is>
          <t>Adubação de Solo / Foliar</t>
        </is>
      </c>
      <c r="F1232" s="13" t="inlineStr">
        <is>
          <t>Algodão</t>
        </is>
      </c>
      <c r="G1232" s="13" t="inlineStr">
        <is>
          <t>Cultura Autorizada na Bula</t>
        </is>
      </c>
      <c r="H1232" s="13" t="inlineStr">
        <is>
          <t>100 a 300 L/ha</t>
        </is>
      </c>
      <c r="I1232" s="13" t="inlineStr">
        <is>
          <t>20 a 40 L/ha</t>
        </is>
      </c>
      <c r="J1232" s="13" t="inlineStr">
        <is>
          <t>Isento</t>
        </is>
      </c>
    </row>
    <row r="1233" ht="22" customHeight="1">
      <c r="A1233" s="6" t="inlineStr">
        <is>
          <t>CUL-1229</t>
        </is>
      </c>
      <c r="B1233" s="5" t="n">
        <v>245</v>
      </c>
      <c r="C1233" s="7" t="inlineStr">
        <is>
          <t>SIPEAGRO (UF-XXXXX)</t>
        </is>
      </c>
      <c r="D1233" s="8" t="inlineStr">
        <is>
          <t>BRENNFEED BR 256</t>
        </is>
      </c>
      <c r="E1233" s="7" t="inlineStr">
        <is>
          <t>Adubação de Solo / Foliar</t>
        </is>
      </c>
      <c r="F1233" s="7" t="inlineStr">
        <is>
          <t>Cana-de-açúcar</t>
        </is>
      </c>
      <c r="G1233" s="7" t="inlineStr">
        <is>
          <t>Cultura Autorizada na Bula</t>
        </is>
      </c>
      <c r="H1233" s="7" t="inlineStr">
        <is>
          <t>100 a 300 L/ha</t>
        </is>
      </c>
      <c r="I1233" s="7" t="inlineStr">
        <is>
          <t>20 a 40 L/ha</t>
        </is>
      </c>
      <c r="J1233" s="7" t="inlineStr">
        <is>
          <t>Isento</t>
        </is>
      </c>
    </row>
    <row r="1234" ht="22" customHeight="1">
      <c r="A1234" s="12" t="inlineStr">
        <is>
          <t>CUL-1230</t>
        </is>
      </c>
      <c r="B1234" s="11" t="n">
        <v>245</v>
      </c>
      <c r="C1234" s="13" t="inlineStr">
        <is>
          <t>SIPEAGRO (UF-XXXXX)</t>
        </is>
      </c>
      <c r="D1234" s="14" t="inlineStr">
        <is>
          <t>BRENNFEED BR 256</t>
        </is>
      </c>
      <c r="E1234" s="13" t="inlineStr">
        <is>
          <t>Adubação de Solo / Foliar</t>
        </is>
      </c>
      <c r="F1234" s="13" t="inlineStr">
        <is>
          <t>Café</t>
        </is>
      </c>
      <c r="G1234" s="13" t="inlineStr">
        <is>
          <t>Cultura Autorizada na Bula</t>
        </is>
      </c>
      <c r="H1234" s="13" t="inlineStr">
        <is>
          <t>100 a 300 L/ha</t>
        </is>
      </c>
      <c r="I1234" s="13" t="inlineStr">
        <is>
          <t>20 a 40 L/ha</t>
        </is>
      </c>
      <c r="J1234" s="13" t="inlineStr">
        <is>
          <t>Isento</t>
        </is>
      </c>
    </row>
    <row r="1235" ht="22" customHeight="1">
      <c r="A1235" s="6" t="inlineStr">
        <is>
          <t>CUL-1231</t>
        </is>
      </c>
      <c r="B1235" s="5" t="n">
        <v>246</v>
      </c>
      <c r="C1235" s="7" t="inlineStr">
        <is>
          <t>SIPEAGRO (UF-XXXXX)</t>
        </is>
      </c>
      <c r="D1235" s="8" t="inlineStr">
        <is>
          <t>BRENNBRA 12 B 4,5KG (AMOSTRA)</t>
        </is>
      </c>
      <c r="E1235" s="7" t="inlineStr">
        <is>
          <t>Adubação de Solo / Foliar</t>
        </is>
      </c>
      <c r="F1235" s="7" t="inlineStr">
        <is>
          <t>Soja</t>
        </is>
      </c>
      <c r="G1235" s="7" t="inlineStr">
        <is>
          <t>Cultura Autorizada na Bula</t>
        </is>
      </c>
      <c r="H1235" s="7" t="inlineStr">
        <is>
          <t>100 a 300 L/ha</t>
        </is>
      </c>
      <c r="I1235" s="7" t="inlineStr">
        <is>
          <t>20 a 40 L/ha</t>
        </is>
      </c>
      <c r="J1235" s="7" t="inlineStr">
        <is>
          <t>Isento</t>
        </is>
      </c>
    </row>
    <row r="1236" ht="22" customHeight="1">
      <c r="A1236" s="12" t="inlineStr">
        <is>
          <t>CUL-1232</t>
        </is>
      </c>
      <c r="B1236" s="11" t="n">
        <v>246</v>
      </c>
      <c r="C1236" s="13" t="inlineStr">
        <is>
          <t>SIPEAGRO (UF-XXXXX)</t>
        </is>
      </c>
      <c r="D1236" s="14" t="inlineStr">
        <is>
          <t>BRENNBRA 12 B 4,5KG (AMOSTRA)</t>
        </is>
      </c>
      <c r="E1236" s="13" t="inlineStr">
        <is>
          <t>Adubação de Solo / Foliar</t>
        </is>
      </c>
      <c r="F1236" s="13" t="inlineStr">
        <is>
          <t>Milho</t>
        </is>
      </c>
      <c r="G1236" s="13" t="inlineStr">
        <is>
          <t>Cultura Autorizada na Bula</t>
        </is>
      </c>
      <c r="H1236" s="13" t="inlineStr">
        <is>
          <t>100 a 300 L/ha</t>
        </is>
      </c>
      <c r="I1236" s="13" t="inlineStr">
        <is>
          <t>20 a 40 L/ha</t>
        </is>
      </c>
      <c r="J1236" s="13" t="inlineStr">
        <is>
          <t>Isento</t>
        </is>
      </c>
    </row>
    <row r="1237" ht="22" customHeight="1">
      <c r="A1237" s="6" t="inlineStr">
        <is>
          <t>CUL-1233</t>
        </is>
      </c>
      <c r="B1237" s="5" t="n">
        <v>246</v>
      </c>
      <c r="C1237" s="7" t="inlineStr">
        <is>
          <t>SIPEAGRO (UF-XXXXX)</t>
        </is>
      </c>
      <c r="D1237" s="8" t="inlineStr">
        <is>
          <t>BRENNBRA 12 B 4,5KG (AMOSTRA)</t>
        </is>
      </c>
      <c r="E1237" s="7" t="inlineStr">
        <is>
          <t>Adubação de Solo / Foliar</t>
        </is>
      </c>
      <c r="F1237" s="7" t="inlineStr">
        <is>
          <t>Algodão</t>
        </is>
      </c>
      <c r="G1237" s="7" t="inlineStr">
        <is>
          <t>Cultura Autorizada na Bula</t>
        </is>
      </c>
      <c r="H1237" s="7" t="inlineStr">
        <is>
          <t>100 a 300 L/ha</t>
        </is>
      </c>
      <c r="I1237" s="7" t="inlineStr">
        <is>
          <t>20 a 40 L/ha</t>
        </is>
      </c>
      <c r="J1237" s="7" t="inlineStr">
        <is>
          <t>Isento</t>
        </is>
      </c>
    </row>
    <row r="1238" ht="22" customHeight="1">
      <c r="A1238" s="12" t="inlineStr">
        <is>
          <t>CUL-1234</t>
        </is>
      </c>
      <c r="B1238" s="11" t="n">
        <v>246</v>
      </c>
      <c r="C1238" s="13" t="inlineStr">
        <is>
          <t>SIPEAGRO (UF-XXXXX)</t>
        </is>
      </c>
      <c r="D1238" s="14" t="inlineStr">
        <is>
          <t>BRENNBRA 12 B 4,5KG (AMOSTRA)</t>
        </is>
      </c>
      <c r="E1238" s="13" t="inlineStr">
        <is>
          <t>Adubação de Solo / Foliar</t>
        </is>
      </c>
      <c r="F1238" s="13" t="inlineStr">
        <is>
          <t>Cana-de-açúcar</t>
        </is>
      </c>
      <c r="G1238" s="13" t="inlineStr">
        <is>
          <t>Cultura Autorizada na Bula</t>
        </is>
      </c>
      <c r="H1238" s="13" t="inlineStr">
        <is>
          <t>100 a 300 L/ha</t>
        </is>
      </c>
      <c r="I1238" s="13" t="inlineStr">
        <is>
          <t>20 a 40 L/ha</t>
        </is>
      </c>
      <c r="J1238" s="13" t="inlineStr">
        <is>
          <t>Isento</t>
        </is>
      </c>
    </row>
    <row r="1239" ht="22" customHeight="1">
      <c r="A1239" s="6" t="inlineStr">
        <is>
          <t>CUL-1235</t>
        </is>
      </c>
      <c r="B1239" s="5" t="n">
        <v>246</v>
      </c>
      <c r="C1239" s="7" t="inlineStr">
        <is>
          <t>SIPEAGRO (UF-XXXXX)</t>
        </is>
      </c>
      <c r="D1239" s="8" t="inlineStr">
        <is>
          <t>BRENNBRA 12 B 4,5KG (AMOSTRA)</t>
        </is>
      </c>
      <c r="E1239" s="7" t="inlineStr">
        <is>
          <t>Adubação de Solo / Foliar</t>
        </is>
      </c>
      <c r="F1239" s="7" t="inlineStr">
        <is>
          <t>Café</t>
        </is>
      </c>
      <c r="G1239" s="7" t="inlineStr">
        <is>
          <t>Cultura Autorizada na Bula</t>
        </is>
      </c>
      <c r="H1239" s="7" t="inlineStr">
        <is>
          <t>100 a 300 L/ha</t>
        </is>
      </c>
      <c r="I1239" s="7" t="inlineStr">
        <is>
          <t>20 a 40 L/ha</t>
        </is>
      </c>
      <c r="J1239" s="7" t="inlineStr">
        <is>
          <t>Isento</t>
        </is>
      </c>
    </row>
    <row r="1240" ht="22" customHeight="1">
      <c r="A1240" s="12" t="inlineStr">
        <is>
          <t>CUL-1236</t>
        </is>
      </c>
      <c r="B1240" s="11" t="n">
        <v>247</v>
      </c>
      <c r="C1240" s="13" t="inlineStr">
        <is>
          <t>SIPEAGRO (UF-XXXXX)</t>
        </is>
      </c>
      <c r="D1240" s="14" t="inlineStr">
        <is>
          <t>AGCN N-15,0% P205-5,0% K20-5,0% MG-1,6% (AMOSTRA)</t>
        </is>
      </c>
      <c r="E1240" s="13" t="inlineStr">
        <is>
          <t>Adubação de Solo / Foliar</t>
        </is>
      </c>
      <c r="F1240" s="13" t="inlineStr">
        <is>
          <t>Soja</t>
        </is>
      </c>
      <c r="G1240" s="13" t="inlineStr">
        <is>
          <t>Cultura Autorizada na Bula</t>
        </is>
      </c>
      <c r="H1240" s="13" t="inlineStr">
        <is>
          <t>100 a 300 L/ha</t>
        </is>
      </c>
      <c r="I1240" s="13" t="inlineStr">
        <is>
          <t>20 a 40 L/ha</t>
        </is>
      </c>
      <c r="J1240" s="13" t="inlineStr">
        <is>
          <t>Isento</t>
        </is>
      </c>
    </row>
    <row r="1241" ht="22" customHeight="1">
      <c r="A1241" s="6" t="inlineStr">
        <is>
          <t>CUL-1237</t>
        </is>
      </c>
      <c r="B1241" s="5" t="n">
        <v>247</v>
      </c>
      <c r="C1241" s="7" t="inlineStr">
        <is>
          <t>SIPEAGRO (UF-XXXXX)</t>
        </is>
      </c>
      <c r="D1241" s="8" t="inlineStr">
        <is>
          <t>AGCN N-15,0% P205-5,0% K20-5,0% MG-1,6% (AMOSTRA)</t>
        </is>
      </c>
      <c r="E1241" s="7" t="inlineStr">
        <is>
          <t>Adubação de Solo / Foliar</t>
        </is>
      </c>
      <c r="F1241" s="7" t="inlineStr">
        <is>
          <t>Milho</t>
        </is>
      </c>
      <c r="G1241" s="7" t="inlineStr">
        <is>
          <t>Cultura Autorizada na Bula</t>
        </is>
      </c>
      <c r="H1241" s="7" t="inlineStr">
        <is>
          <t>100 a 300 L/ha</t>
        </is>
      </c>
      <c r="I1241" s="7" t="inlineStr">
        <is>
          <t>20 a 40 L/ha</t>
        </is>
      </c>
      <c r="J1241" s="7" t="inlineStr">
        <is>
          <t>Isento</t>
        </is>
      </c>
    </row>
    <row r="1242" ht="22" customHeight="1">
      <c r="A1242" s="12" t="inlineStr">
        <is>
          <t>CUL-1238</t>
        </is>
      </c>
      <c r="B1242" s="11" t="n">
        <v>247</v>
      </c>
      <c r="C1242" s="13" t="inlineStr">
        <is>
          <t>SIPEAGRO (UF-XXXXX)</t>
        </is>
      </c>
      <c r="D1242" s="14" t="inlineStr">
        <is>
          <t>AGCN N-15,0% P205-5,0% K20-5,0% MG-1,6% (AMOSTRA)</t>
        </is>
      </c>
      <c r="E1242" s="13" t="inlineStr">
        <is>
          <t>Adubação de Solo / Foliar</t>
        </is>
      </c>
      <c r="F1242" s="13" t="inlineStr">
        <is>
          <t>Algodão</t>
        </is>
      </c>
      <c r="G1242" s="13" t="inlineStr">
        <is>
          <t>Cultura Autorizada na Bula</t>
        </is>
      </c>
      <c r="H1242" s="13" t="inlineStr">
        <is>
          <t>100 a 300 L/ha</t>
        </is>
      </c>
      <c r="I1242" s="13" t="inlineStr">
        <is>
          <t>20 a 40 L/ha</t>
        </is>
      </c>
      <c r="J1242" s="13" t="inlineStr">
        <is>
          <t>Isento</t>
        </is>
      </c>
    </row>
    <row r="1243" ht="22" customHeight="1">
      <c r="A1243" s="6" t="inlineStr">
        <is>
          <t>CUL-1239</t>
        </is>
      </c>
      <c r="B1243" s="5" t="n">
        <v>247</v>
      </c>
      <c r="C1243" s="7" t="inlineStr">
        <is>
          <t>SIPEAGRO (UF-XXXXX)</t>
        </is>
      </c>
      <c r="D1243" s="8" t="inlineStr">
        <is>
          <t>AGCN N-15,0% P205-5,0% K20-5,0% MG-1,6% (AMOSTRA)</t>
        </is>
      </c>
      <c r="E1243" s="7" t="inlineStr">
        <is>
          <t>Adubação de Solo / Foliar</t>
        </is>
      </c>
      <c r="F1243" s="7" t="inlineStr">
        <is>
          <t>Cana-de-açúcar</t>
        </is>
      </c>
      <c r="G1243" s="7" t="inlineStr">
        <is>
          <t>Cultura Autorizada na Bula</t>
        </is>
      </c>
      <c r="H1243" s="7" t="inlineStr">
        <is>
          <t>100 a 300 L/ha</t>
        </is>
      </c>
      <c r="I1243" s="7" t="inlineStr">
        <is>
          <t>20 a 40 L/ha</t>
        </is>
      </c>
      <c r="J1243" s="7" t="inlineStr">
        <is>
          <t>Isento</t>
        </is>
      </c>
    </row>
    <row r="1244" ht="22" customHeight="1">
      <c r="A1244" s="12" t="inlineStr">
        <is>
          <t>CUL-1240</t>
        </is>
      </c>
      <c r="B1244" s="11" t="n">
        <v>247</v>
      </c>
      <c r="C1244" s="13" t="inlineStr">
        <is>
          <t>SIPEAGRO (UF-XXXXX)</t>
        </is>
      </c>
      <c r="D1244" s="14" t="inlineStr">
        <is>
          <t>AGCN N-15,0% P205-5,0% K20-5,0% MG-1,6% (AMOSTRA)</t>
        </is>
      </c>
      <c r="E1244" s="13" t="inlineStr">
        <is>
          <t>Adubação de Solo / Foliar</t>
        </is>
      </c>
      <c r="F1244" s="13" t="inlineStr">
        <is>
          <t>Café</t>
        </is>
      </c>
      <c r="G1244" s="13" t="inlineStr">
        <is>
          <t>Cultura Autorizada na Bula</t>
        </is>
      </c>
      <c r="H1244" s="13" t="inlineStr">
        <is>
          <t>100 a 300 L/ha</t>
        </is>
      </c>
      <c r="I1244" s="13" t="inlineStr">
        <is>
          <t>20 a 40 L/ha</t>
        </is>
      </c>
      <c r="J1244" s="13" t="inlineStr">
        <is>
          <t>Isento</t>
        </is>
      </c>
    </row>
    <row r="1245" ht="22" customHeight="1">
      <c r="A1245" s="6" t="inlineStr">
        <is>
          <t>CUL-1241</t>
        </is>
      </c>
      <c r="B1245" s="5" t="n">
        <v>248</v>
      </c>
      <c r="C1245" s="7" t="inlineStr">
        <is>
          <t>SIPEAGRO (UF-XXXXX)</t>
        </is>
      </c>
      <c r="D1245" s="8" t="inlineStr">
        <is>
          <t>AGCN N-15,0% K20-7,0% CA-1,0% MG-1,0% (AMOSTRA)</t>
        </is>
      </c>
      <c r="E1245" s="7" t="inlineStr">
        <is>
          <t>Adubação de Solo / Foliar</t>
        </is>
      </c>
      <c r="F1245" s="7" t="inlineStr">
        <is>
          <t>Soja</t>
        </is>
      </c>
      <c r="G1245" s="7" t="inlineStr">
        <is>
          <t>Cultura Autorizada na Bula</t>
        </is>
      </c>
      <c r="H1245" s="7" t="inlineStr">
        <is>
          <t>100 a 300 L/ha</t>
        </is>
      </c>
      <c r="I1245" s="7" t="inlineStr">
        <is>
          <t>20 a 40 L/ha</t>
        </is>
      </c>
      <c r="J1245" s="7" t="inlineStr">
        <is>
          <t>Isento</t>
        </is>
      </c>
    </row>
    <row r="1246" ht="22" customHeight="1">
      <c r="A1246" s="12" t="inlineStr">
        <is>
          <t>CUL-1242</t>
        </is>
      </c>
      <c r="B1246" s="11" t="n">
        <v>248</v>
      </c>
      <c r="C1246" s="13" t="inlineStr">
        <is>
          <t>SIPEAGRO (UF-XXXXX)</t>
        </is>
      </c>
      <c r="D1246" s="14" t="inlineStr">
        <is>
          <t>AGCN N-15,0% K20-7,0% CA-1,0% MG-1,0% (AMOSTRA)</t>
        </is>
      </c>
      <c r="E1246" s="13" t="inlineStr">
        <is>
          <t>Adubação de Solo / Foliar</t>
        </is>
      </c>
      <c r="F1246" s="13" t="inlineStr">
        <is>
          <t>Milho</t>
        </is>
      </c>
      <c r="G1246" s="13" t="inlineStr">
        <is>
          <t>Cultura Autorizada na Bula</t>
        </is>
      </c>
      <c r="H1246" s="13" t="inlineStr">
        <is>
          <t>100 a 300 L/ha</t>
        </is>
      </c>
      <c r="I1246" s="13" t="inlineStr">
        <is>
          <t>20 a 40 L/ha</t>
        </is>
      </c>
      <c r="J1246" s="13" t="inlineStr">
        <is>
          <t>Isento</t>
        </is>
      </c>
    </row>
    <row r="1247" ht="22" customHeight="1">
      <c r="A1247" s="6" t="inlineStr">
        <is>
          <t>CUL-1243</t>
        </is>
      </c>
      <c r="B1247" s="5" t="n">
        <v>248</v>
      </c>
      <c r="C1247" s="7" t="inlineStr">
        <is>
          <t>SIPEAGRO (UF-XXXXX)</t>
        </is>
      </c>
      <c r="D1247" s="8" t="inlineStr">
        <is>
          <t>AGCN N-15,0% K20-7,0% CA-1,0% MG-1,0% (AMOSTRA)</t>
        </is>
      </c>
      <c r="E1247" s="7" t="inlineStr">
        <is>
          <t>Adubação de Solo / Foliar</t>
        </is>
      </c>
      <c r="F1247" s="7" t="inlineStr">
        <is>
          <t>Algodão</t>
        </is>
      </c>
      <c r="G1247" s="7" t="inlineStr">
        <is>
          <t>Cultura Autorizada na Bula</t>
        </is>
      </c>
      <c r="H1247" s="7" t="inlineStr">
        <is>
          <t>100 a 300 L/ha</t>
        </is>
      </c>
      <c r="I1247" s="7" t="inlineStr">
        <is>
          <t>20 a 40 L/ha</t>
        </is>
      </c>
      <c r="J1247" s="7" t="inlineStr">
        <is>
          <t>Isento</t>
        </is>
      </c>
    </row>
    <row r="1248" ht="22" customHeight="1">
      <c r="A1248" s="12" t="inlineStr">
        <is>
          <t>CUL-1244</t>
        </is>
      </c>
      <c r="B1248" s="11" t="n">
        <v>248</v>
      </c>
      <c r="C1248" s="13" t="inlineStr">
        <is>
          <t>SIPEAGRO (UF-XXXXX)</t>
        </is>
      </c>
      <c r="D1248" s="14" t="inlineStr">
        <is>
          <t>AGCN N-15,0% K20-7,0% CA-1,0% MG-1,0% (AMOSTRA)</t>
        </is>
      </c>
      <c r="E1248" s="13" t="inlineStr">
        <is>
          <t>Adubação de Solo / Foliar</t>
        </is>
      </c>
      <c r="F1248" s="13" t="inlineStr">
        <is>
          <t>Cana-de-açúcar</t>
        </is>
      </c>
      <c r="G1248" s="13" t="inlineStr">
        <is>
          <t>Cultura Autorizada na Bula</t>
        </is>
      </c>
      <c r="H1248" s="13" t="inlineStr">
        <is>
          <t>100 a 300 L/ha</t>
        </is>
      </c>
      <c r="I1248" s="13" t="inlineStr">
        <is>
          <t>20 a 40 L/ha</t>
        </is>
      </c>
      <c r="J1248" s="13" t="inlineStr">
        <is>
          <t>Isento</t>
        </is>
      </c>
    </row>
    <row r="1249" ht="22" customHeight="1">
      <c r="A1249" s="6" t="inlineStr">
        <is>
          <t>CUL-1245</t>
        </is>
      </c>
      <c r="B1249" s="5" t="n">
        <v>248</v>
      </c>
      <c r="C1249" s="7" t="inlineStr">
        <is>
          <t>SIPEAGRO (UF-XXXXX)</t>
        </is>
      </c>
      <c r="D1249" s="8" t="inlineStr">
        <is>
          <t>AGCN N-15,0% K20-7,0% CA-1,0% MG-1,0% (AMOSTRA)</t>
        </is>
      </c>
      <c r="E1249" s="7" t="inlineStr">
        <is>
          <t>Adubação de Solo / Foliar</t>
        </is>
      </c>
      <c r="F1249" s="7" t="inlineStr">
        <is>
          <t>Café</t>
        </is>
      </c>
      <c r="G1249" s="7" t="inlineStr">
        <is>
          <t>Cultura Autorizada na Bula</t>
        </is>
      </c>
      <c r="H1249" s="7" t="inlineStr">
        <is>
          <t>100 a 300 L/ha</t>
        </is>
      </c>
      <c r="I1249" s="7" t="inlineStr">
        <is>
          <t>20 a 40 L/ha</t>
        </is>
      </c>
      <c r="J1249" s="7" t="inlineStr">
        <is>
          <t>Isento</t>
        </is>
      </c>
    </row>
    <row r="1250" ht="22" customHeight="1">
      <c r="A1250" s="12" t="inlineStr">
        <is>
          <t>CUL-1246</t>
        </is>
      </c>
      <c r="B1250" s="11" t="n">
        <v>249</v>
      </c>
      <c r="C1250" s="13" t="inlineStr">
        <is>
          <t>SIPEAGRO (UF-XXXXX)</t>
        </is>
      </c>
      <c r="D1250" s="14" t="inlineStr">
        <is>
          <t>AGCN N-5,0% K20-7,0% CA-1,0% MG-1,0% (AMOSTRA)</t>
        </is>
      </c>
      <c r="E1250" s="13" t="inlineStr">
        <is>
          <t>Adubação de Solo / Foliar</t>
        </is>
      </c>
      <c r="F1250" s="13" t="inlineStr">
        <is>
          <t>Soja</t>
        </is>
      </c>
      <c r="G1250" s="13" t="inlineStr">
        <is>
          <t>Cultura Autorizada na Bula</t>
        </is>
      </c>
      <c r="H1250" s="13" t="inlineStr">
        <is>
          <t>100 a 300 L/ha</t>
        </is>
      </c>
      <c r="I1250" s="13" t="inlineStr">
        <is>
          <t>20 a 40 L/ha</t>
        </is>
      </c>
      <c r="J1250" s="13" t="inlineStr">
        <is>
          <t>Isento</t>
        </is>
      </c>
    </row>
    <row r="1251" ht="22" customHeight="1">
      <c r="A1251" s="6" t="inlineStr">
        <is>
          <t>CUL-1247</t>
        </is>
      </c>
      <c r="B1251" s="5" t="n">
        <v>249</v>
      </c>
      <c r="C1251" s="7" t="inlineStr">
        <is>
          <t>SIPEAGRO (UF-XXXXX)</t>
        </is>
      </c>
      <c r="D1251" s="8" t="inlineStr">
        <is>
          <t>AGCN N-5,0% K20-7,0% CA-1,0% MG-1,0% (AMOSTRA)</t>
        </is>
      </c>
      <c r="E1251" s="7" t="inlineStr">
        <is>
          <t>Adubação de Solo / Foliar</t>
        </is>
      </c>
      <c r="F1251" s="7" t="inlineStr">
        <is>
          <t>Milho</t>
        </is>
      </c>
      <c r="G1251" s="7" t="inlineStr">
        <is>
          <t>Cultura Autorizada na Bula</t>
        </is>
      </c>
      <c r="H1251" s="7" t="inlineStr">
        <is>
          <t>100 a 300 L/ha</t>
        </is>
      </c>
      <c r="I1251" s="7" t="inlineStr">
        <is>
          <t>20 a 40 L/ha</t>
        </is>
      </c>
      <c r="J1251" s="7" t="inlineStr">
        <is>
          <t>Isento</t>
        </is>
      </c>
    </row>
    <row r="1252" ht="22" customHeight="1">
      <c r="A1252" s="12" t="inlineStr">
        <is>
          <t>CUL-1248</t>
        </is>
      </c>
      <c r="B1252" s="11" t="n">
        <v>249</v>
      </c>
      <c r="C1252" s="13" t="inlineStr">
        <is>
          <t>SIPEAGRO (UF-XXXXX)</t>
        </is>
      </c>
      <c r="D1252" s="14" t="inlineStr">
        <is>
          <t>AGCN N-5,0% K20-7,0% CA-1,0% MG-1,0% (AMOSTRA)</t>
        </is>
      </c>
      <c r="E1252" s="13" t="inlineStr">
        <is>
          <t>Adubação de Solo / Foliar</t>
        </is>
      </c>
      <c r="F1252" s="13" t="inlineStr">
        <is>
          <t>Algodão</t>
        </is>
      </c>
      <c r="G1252" s="13" t="inlineStr">
        <is>
          <t>Cultura Autorizada na Bula</t>
        </is>
      </c>
      <c r="H1252" s="13" t="inlineStr">
        <is>
          <t>100 a 300 L/ha</t>
        </is>
      </c>
      <c r="I1252" s="13" t="inlineStr">
        <is>
          <t>20 a 40 L/ha</t>
        </is>
      </c>
      <c r="J1252" s="13" t="inlineStr">
        <is>
          <t>Isento</t>
        </is>
      </c>
    </row>
    <row r="1253" ht="22" customHeight="1">
      <c r="A1253" s="6" t="inlineStr">
        <is>
          <t>CUL-1249</t>
        </is>
      </c>
      <c r="B1253" s="5" t="n">
        <v>249</v>
      </c>
      <c r="C1253" s="7" t="inlineStr">
        <is>
          <t>SIPEAGRO (UF-XXXXX)</t>
        </is>
      </c>
      <c r="D1253" s="8" t="inlineStr">
        <is>
          <t>AGCN N-5,0% K20-7,0% CA-1,0% MG-1,0% (AMOSTRA)</t>
        </is>
      </c>
      <c r="E1253" s="7" t="inlineStr">
        <is>
          <t>Adubação de Solo / Foliar</t>
        </is>
      </c>
      <c r="F1253" s="7" t="inlineStr">
        <is>
          <t>Cana-de-açúcar</t>
        </is>
      </c>
      <c r="G1253" s="7" t="inlineStr">
        <is>
          <t>Cultura Autorizada na Bula</t>
        </is>
      </c>
      <c r="H1253" s="7" t="inlineStr">
        <is>
          <t>100 a 300 L/ha</t>
        </is>
      </c>
      <c r="I1253" s="7" t="inlineStr">
        <is>
          <t>20 a 40 L/ha</t>
        </is>
      </c>
      <c r="J1253" s="7" t="inlineStr">
        <is>
          <t>Isento</t>
        </is>
      </c>
    </row>
    <row r="1254" ht="22" customHeight="1">
      <c r="A1254" s="12" t="inlineStr">
        <is>
          <t>CUL-1250</t>
        </is>
      </c>
      <c r="B1254" s="11" t="n">
        <v>249</v>
      </c>
      <c r="C1254" s="13" t="inlineStr">
        <is>
          <t>SIPEAGRO (UF-XXXXX)</t>
        </is>
      </c>
      <c r="D1254" s="14" t="inlineStr">
        <is>
          <t>AGCN N-5,0% K20-7,0% CA-1,0% MG-1,0% (AMOSTRA)</t>
        </is>
      </c>
      <c r="E1254" s="13" t="inlineStr">
        <is>
          <t>Adubação de Solo / Foliar</t>
        </is>
      </c>
      <c r="F1254" s="13" t="inlineStr">
        <is>
          <t>Café</t>
        </is>
      </c>
      <c r="G1254" s="13" t="inlineStr">
        <is>
          <t>Cultura Autorizada na Bula</t>
        </is>
      </c>
      <c r="H1254" s="13" t="inlineStr">
        <is>
          <t>100 a 300 L/ha</t>
        </is>
      </c>
      <c r="I1254" s="13" t="inlineStr">
        <is>
          <t>20 a 40 L/ha</t>
        </is>
      </c>
      <c r="J1254" s="13" t="inlineStr">
        <is>
          <t>Isento</t>
        </is>
      </c>
    </row>
    <row r="1255" ht="22" customHeight="1">
      <c r="A1255" s="6" t="inlineStr">
        <is>
          <t>CUL-1251</t>
        </is>
      </c>
      <c r="B1255" s="5" t="n">
        <v>250</v>
      </c>
      <c r="C1255" s="7" t="inlineStr">
        <is>
          <t>Nº 28319</t>
        </is>
      </c>
      <c r="D1255" s="8" t="inlineStr">
        <is>
          <t>TOPINAM BALDE</t>
        </is>
      </c>
      <c r="E1255" s="7" t="inlineStr">
        <is>
          <t>Pulverização Agrícola Conforme Bula</t>
        </is>
      </c>
      <c r="F1255" s="7" t="inlineStr">
        <is>
          <t>Soja (Dessecação Pré-Plantio)</t>
        </is>
      </c>
      <c r="G1255" s="7" t="inlineStr">
        <is>
          <t>Cultura Autorizada na Bula</t>
        </is>
      </c>
      <c r="H1255" s="7" t="inlineStr">
        <is>
          <t>100 a 300 L/ha</t>
        </is>
      </c>
      <c r="I1255" s="7" t="inlineStr">
        <is>
          <t>20 a 40 L/ha</t>
        </is>
      </c>
      <c r="J1255" s="7" t="inlineStr">
        <is>
          <t>N/D</t>
        </is>
      </c>
    </row>
    <row r="1256" ht="22" customHeight="1">
      <c r="A1256" s="12" t="inlineStr">
        <is>
          <t>CUL-1252</t>
        </is>
      </c>
      <c r="B1256" s="11" t="n">
        <v>250</v>
      </c>
      <c r="C1256" s="13" t="inlineStr">
        <is>
          <t>Nº 28319</t>
        </is>
      </c>
      <c r="D1256" s="14" t="inlineStr">
        <is>
          <t>TOPINAM BALDE</t>
        </is>
      </c>
      <c r="E1256" s="13" t="inlineStr">
        <is>
          <t>Pulverização Agrícola Conforme Bula</t>
        </is>
      </c>
      <c r="F1256" s="13" t="inlineStr">
        <is>
          <t>Pastagens</t>
        </is>
      </c>
      <c r="G1256" s="13" t="inlineStr">
        <is>
          <t>Cultura Autorizada na Bula</t>
        </is>
      </c>
      <c r="H1256" s="13" t="inlineStr">
        <is>
          <t>100 a 300 L/ha</t>
        </is>
      </c>
      <c r="I1256" s="13" t="inlineStr">
        <is>
          <t>20 a 40 L/ha</t>
        </is>
      </c>
      <c r="J1256" s="13" t="inlineStr">
        <is>
          <t>N/D</t>
        </is>
      </c>
    </row>
    <row r="1257" ht="22" customHeight="1">
      <c r="A1257" s="6" t="inlineStr">
        <is>
          <t>CUL-1253</t>
        </is>
      </c>
      <c r="B1257" s="5" t="n">
        <v>250</v>
      </c>
      <c r="C1257" s="7" t="inlineStr">
        <is>
          <t>Nº 28319</t>
        </is>
      </c>
      <c r="D1257" s="8" t="inlineStr">
        <is>
          <t>TOPINAM BALDE</t>
        </is>
      </c>
      <c r="E1257" s="7" t="inlineStr">
        <is>
          <t>Pulverização Agrícola Conforme Bula</t>
        </is>
      </c>
      <c r="F1257" s="7" t="inlineStr">
        <is>
          <t>Arroz Irrigado</t>
        </is>
      </c>
      <c r="G1257" s="7" t="inlineStr">
        <is>
          <t>Cultura Autorizada na Bula</t>
        </is>
      </c>
      <c r="H1257" s="7" t="inlineStr">
        <is>
          <t>100 a 300 L/ha</t>
        </is>
      </c>
      <c r="I1257" s="7" t="inlineStr">
        <is>
          <t>20 a 40 L/ha</t>
        </is>
      </c>
      <c r="J1257" s="7" t="inlineStr">
        <is>
          <t>30 dias</t>
        </is>
      </c>
    </row>
    <row r="1258" ht="22" customHeight="1">
      <c r="A1258" s="12" t="inlineStr">
        <is>
          <t>CUL-1254</t>
        </is>
      </c>
      <c r="B1258" s="11" t="n">
        <v>250</v>
      </c>
      <c r="C1258" s="13" t="inlineStr">
        <is>
          <t>Nº 28319</t>
        </is>
      </c>
      <c r="D1258" s="14" t="inlineStr">
        <is>
          <t>TOPINAM BALDE</t>
        </is>
      </c>
      <c r="E1258" s="13" t="inlineStr">
        <is>
          <t>Pulverização Agrícola Conforme Bula</t>
        </is>
      </c>
      <c r="F1258" s="13" t="inlineStr">
        <is>
          <t>Eucalipto</t>
        </is>
      </c>
      <c r="G1258" s="13" t="inlineStr">
        <is>
          <t>Cultura Autorizada na Bula</t>
        </is>
      </c>
      <c r="H1258" s="13" t="inlineStr">
        <is>
          <t>100 a 300 L/ha</t>
        </is>
      </c>
      <c r="I1258" s="13" t="inlineStr">
        <is>
          <t>20 a 40 L/ha</t>
        </is>
      </c>
      <c r="J1258" s="13" t="inlineStr">
        <is>
          <t>U.N.A.</t>
        </is>
      </c>
    </row>
    <row r="1259" ht="22" customHeight="1">
      <c r="A1259" s="6" t="inlineStr">
        <is>
          <t>CUL-1255</t>
        </is>
      </c>
      <c r="B1259" s="5" t="n">
        <v>251</v>
      </c>
      <c r="C1259" s="7" t="inlineStr">
        <is>
          <t>Nº 17208</t>
        </is>
      </c>
      <c r="D1259" s="8" t="inlineStr">
        <is>
          <t>TRICLON</t>
        </is>
      </c>
      <c r="E1259" s="7" t="inlineStr">
        <is>
          <t>Pulverização Agrícola Conforme Bula</t>
        </is>
      </c>
      <c r="F1259" s="7" t="inlineStr">
        <is>
          <t>Soja (Dessecação Pré-Plantio)</t>
        </is>
      </c>
      <c r="G1259" s="7" t="inlineStr">
        <is>
          <t>Cultura Autorizada na Bula</t>
        </is>
      </c>
      <c r="H1259" s="7" t="inlineStr">
        <is>
          <t>100 a 300 L/ha</t>
        </is>
      </c>
      <c r="I1259" s="7" t="inlineStr">
        <is>
          <t>20 a 40 L/ha</t>
        </is>
      </c>
      <c r="J1259" s="7" t="inlineStr">
        <is>
          <t>N/D</t>
        </is>
      </c>
    </row>
    <row r="1260" ht="22" customHeight="1">
      <c r="A1260" s="12" t="inlineStr">
        <is>
          <t>CUL-1256</t>
        </is>
      </c>
      <c r="B1260" s="11" t="n">
        <v>251</v>
      </c>
      <c r="C1260" s="13" t="inlineStr">
        <is>
          <t>Nº 17208</t>
        </is>
      </c>
      <c r="D1260" s="14" t="inlineStr">
        <is>
          <t>TRICLON</t>
        </is>
      </c>
      <c r="E1260" s="13" t="inlineStr">
        <is>
          <t>Pulverização Agrícola Conforme Bula</t>
        </is>
      </c>
      <c r="F1260" s="13" t="inlineStr">
        <is>
          <t>Pastagens</t>
        </is>
      </c>
      <c r="G1260" s="13" t="inlineStr">
        <is>
          <t>Cultura Autorizada na Bula</t>
        </is>
      </c>
      <c r="H1260" s="13" t="inlineStr">
        <is>
          <t>100 a 300 L/ha</t>
        </is>
      </c>
      <c r="I1260" s="13" t="inlineStr">
        <is>
          <t>20 a 40 L/ha</t>
        </is>
      </c>
      <c r="J1260" s="13" t="inlineStr">
        <is>
          <t>N/D</t>
        </is>
      </c>
    </row>
    <row r="1261" ht="22" customHeight="1">
      <c r="A1261" s="6" t="inlineStr">
        <is>
          <t>CUL-1257</t>
        </is>
      </c>
      <c r="B1261" s="5" t="n">
        <v>251</v>
      </c>
      <c r="C1261" s="7" t="inlineStr">
        <is>
          <t>Nº 17208</t>
        </is>
      </c>
      <c r="D1261" s="8" t="inlineStr">
        <is>
          <t>TRICLON</t>
        </is>
      </c>
      <c r="E1261" s="7" t="inlineStr">
        <is>
          <t>Pulverização Agrícola Conforme Bula</t>
        </is>
      </c>
      <c r="F1261" s="7" t="inlineStr">
        <is>
          <t>Arroz Irrigado</t>
        </is>
      </c>
      <c r="G1261" s="7" t="inlineStr">
        <is>
          <t>Cultura Autorizada na Bula</t>
        </is>
      </c>
      <c r="H1261" s="7" t="inlineStr">
        <is>
          <t>100 a 300 L/ha</t>
        </is>
      </c>
      <c r="I1261" s="7" t="inlineStr">
        <is>
          <t>20 a 40 L/ha</t>
        </is>
      </c>
      <c r="J1261" s="7" t="inlineStr">
        <is>
          <t>30 dias</t>
        </is>
      </c>
    </row>
    <row r="1262" ht="22" customHeight="1">
      <c r="A1262" s="12" t="inlineStr">
        <is>
          <t>CUL-1258</t>
        </is>
      </c>
      <c r="B1262" s="11" t="n">
        <v>251</v>
      </c>
      <c r="C1262" s="13" t="inlineStr">
        <is>
          <t>Nº 17208</t>
        </is>
      </c>
      <c r="D1262" s="14" t="inlineStr">
        <is>
          <t>TRICLON</t>
        </is>
      </c>
      <c r="E1262" s="13" t="inlineStr">
        <is>
          <t>Pulverização Agrícola Conforme Bula</t>
        </is>
      </c>
      <c r="F1262" s="13" t="inlineStr">
        <is>
          <t>Eucalipto</t>
        </is>
      </c>
      <c r="G1262" s="13" t="inlineStr">
        <is>
          <t>Cultura Autorizada na Bula</t>
        </is>
      </c>
      <c r="H1262" s="13" t="inlineStr">
        <is>
          <t>100 a 300 L/ha</t>
        </is>
      </c>
      <c r="I1262" s="13" t="inlineStr">
        <is>
          <t>20 a 40 L/ha</t>
        </is>
      </c>
      <c r="J1262" s="13" t="inlineStr">
        <is>
          <t>U.N.A.</t>
        </is>
      </c>
    </row>
    <row r="1263" ht="22" customHeight="1">
      <c r="A1263" s="6" t="inlineStr">
        <is>
          <t>CUL-1259</t>
        </is>
      </c>
      <c r="B1263" s="5" t="n">
        <v>252</v>
      </c>
      <c r="C1263" s="7" t="inlineStr">
        <is>
          <t>Nº 34122</t>
        </is>
      </c>
      <c r="D1263" s="8" t="inlineStr">
        <is>
          <t>DURAX</t>
        </is>
      </c>
      <c r="E1263" s="7" t="inlineStr">
        <is>
          <t>Pulverização Agrícola Conforme Bula</t>
        </is>
      </c>
      <c r="F1263" s="7" t="inlineStr">
        <is>
          <t>Soja</t>
        </is>
      </c>
      <c r="G1263" s="7" t="inlineStr">
        <is>
          <t>Cultura Autorizada na Bula</t>
        </is>
      </c>
      <c r="H1263" s="7" t="inlineStr">
        <is>
          <t>100 a 300 L/ha</t>
        </is>
      </c>
      <c r="I1263" s="7" t="inlineStr">
        <is>
          <t>20 a 40 L/ha</t>
        </is>
      </c>
      <c r="J1263" s="7" t="inlineStr">
        <is>
          <t>N/D</t>
        </is>
      </c>
    </row>
    <row r="1264" ht="22" customHeight="1">
      <c r="A1264" s="12" t="inlineStr">
        <is>
          <t>CUL-1260</t>
        </is>
      </c>
      <c r="B1264" s="11" t="n">
        <v>252</v>
      </c>
      <c r="C1264" s="13" t="inlineStr">
        <is>
          <t>Nº 34122</t>
        </is>
      </c>
      <c r="D1264" s="14" t="inlineStr">
        <is>
          <t>DURAX</t>
        </is>
      </c>
      <c r="E1264" s="13" t="inlineStr">
        <is>
          <t>Pulverização Agrícola Conforme Bula</t>
        </is>
      </c>
      <c r="F1264" s="13" t="inlineStr">
        <is>
          <t>Milho</t>
        </is>
      </c>
      <c r="G1264" s="13" t="inlineStr">
        <is>
          <t>Cultura Autorizada na Bula</t>
        </is>
      </c>
      <c r="H1264" s="13" t="inlineStr">
        <is>
          <t>100 a 300 L/ha</t>
        </is>
      </c>
      <c r="I1264" s="13" t="inlineStr">
        <is>
          <t>20 a 40 L/ha</t>
        </is>
      </c>
      <c r="J1264" s="13" t="inlineStr">
        <is>
          <t>N/D</t>
        </is>
      </c>
    </row>
    <row r="1265" ht="22" customHeight="1">
      <c r="A1265" s="6" t="inlineStr">
        <is>
          <t>CUL-1261</t>
        </is>
      </c>
      <c r="B1265" s="5" t="n">
        <v>252</v>
      </c>
      <c r="C1265" s="7" t="inlineStr">
        <is>
          <t>Nº 34122</t>
        </is>
      </c>
      <c r="D1265" s="8" t="inlineStr">
        <is>
          <t>DURAX</t>
        </is>
      </c>
      <c r="E1265" s="7" t="inlineStr">
        <is>
          <t>Pulverização Agrícola Conforme Bula</t>
        </is>
      </c>
      <c r="F1265" s="7" t="inlineStr">
        <is>
          <t>Algodão</t>
        </is>
      </c>
      <c r="G1265" s="7" t="inlineStr">
        <is>
          <t>Cultura Autorizada na Bula</t>
        </is>
      </c>
      <c r="H1265" s="7" t="inlineStr">
        <is>
          <t>100 a 300 L/ha</t>
        </is>
      </c>
      <c r="I1265" s="7" t="inlineStr">
        <is>
          <t>20 a 40 L/ha</t>
        </is>
      </c>
      <c r="J1265" s="7" t="inlineStr">
        <is>
          <t>N/D</t>
        </is>
      </c>
    </row>
    <row r="1266" ht="22" customHeight="1">
      <c r="A1266" s="12" t="inlineStr">
        <is>
          <t>CUL-1262</t>
        </is>
      </c>
      <c r="B1266" s="11" t="n">
        <v>252</v>
      </c>
      <c r="C1266" s="13" t="inlineStr">
        <is>
          <t>Nº 34122</t>
        </is>
      </c>
      <c r="D1266" s="14" t="inlineStr">
        <is>
          <t>DURAX</t>
        </is>
      </c>
      <c r="E1266" s="13" t="inlineStr">
        <is>
          <t>Pulverização Agrícola Conforme Bula</t>
        </is>
      </c>
      <c r="F1266" s="13" t="inlineStr">
        <is>
          <t>Cana-de-açúcar</t>
        </is>
      </c>
      <c r="G1266" s="13" t="inlineStr">
        <is>
          <t>Cultura Autorizada na Bula</t>
        </is>
      </c>
      <c r="H1266" s="13" t="inlineStr">
        <is>
          <t>100 a 300 L/ha</t>
        </is>
      </c>
      <c r="I1266" s="13" t="inlineStr">
        <is>
          <t>20 a 40 L/ha</t>
        </is>
      </c>
      <c r="J1266" s="13" t="inlineStr">
        <is>
          <t>N/D</t>
        </is>
      </c>
    </row>
    <row r="1267" ht="22" customHeight="1">
      <c r="A1267" s="6" t="inlineStr">
        <is>
          <t>CUL-1263</t>
        </is>
      </c>
      <c r="B1267" s="5" t="n">
        <v>252</v>
      </c>
      <c r="C1267" s="7" t="inlineStr">
        <is>
          <t>Nº 34122</t>
        </is>
      </c>
      <c r="D1267" s="8" t="inlineStr">
        <is>
          <t>DURAX</t>
        </is>
      </c>
      <c r="E1267" s="7" t="inlineStr">
        <is>
          <t>Pulverização Agrícola Conforme Bula</t>
        </is>
      </c>
      <c r="F1267" s="7" t="inlineStr">
        <is>
          <t>Feijão</t>
        </is>
      </c>
      <c r="G1267" s="7" t="inlineStr">
        <is>
          <t>Cultura Autorizada na Bula</t>
        </is>
      </c>
      <c r="H1267" s="7" t="inlineStr">
        <is>
          <t>100 a 300 L/ha</t>
        </is>
      </c>
      <c r="I1267" s="7" t="inlineStr">
        <is>
          <t>20 a 40 L/ha</t>
        </is>
      </c>
      <c r="J1267" s="7" t="inlineStr">
        <is>
          <t>N/D</t>
        </is>
      </c>
    </row>
    <row r="1268" ht="22" customHeight="1">
      <c r="A1268" s="12" t="inlineStr">
        <is>
          <t>CUL-1264</t>
        </is>
      </c>
      <c r="B1268" s="11" t="n">
        <v>253</v>
      </c>
      <c r="C1268" s="13" t="inlineStr">
        <is>
          <t>Nº 20723</t>
        </is>
      </c>
      <c r="D1268" s="14" t="inlineStr">
        <is>
          <t>ACEMIP</t>
        </is>
      </c>
      <c r="E1268" s="13" t="inlineStr">
        <is>
          <t>Pulverização Agrícola Conforme Bula</t>
        </is>
      </c>
      <c r="F1268" s="13" t="inlineStr">
        <is>
          <t>Algodão</t>
        </is>
      </c>
      <c r="G1268" s="13" t="inlineStr">
        <is>
          <t>Cultura Autorizada na Bula</t>
        </is>
      </c>
      <c r="H1268" s="13" t="inlineStr">
        <is>
          <t>100 a 300 L/ha</t>
        </is>
      </c>
      <c r="I1268" s="13" t="inlineStr">
        <is>
          <t>20 a 40 L/ha</t>
        </is>
      </c>
      <c r="J1268" s="13" t="inlineStr">
        <is>
          <t>28 dias</t>
        </is>
      </c>
    </row>
    <row r="1269" ht="22" customHeight="1">
      <c r="A1269" s="6" t="inlineStr">
        <is>
          <t>CUL-1265</t>
        </is>
      </c>
      <c r="B1269" s="5" t="n">
        <v>253</v>
      </c>
      <c r="C1269" s="7" t="inlineStr">
        <is>
          <t>Nº 20723</t>
        </is>
      </c>
      <c r="D1269" s="8" t="inlineStr">
        <is>
          <t>ACEMIP</t>
        </is>
      </c>
      <c r="E1269" s="7" t="inlineStr">
        <is>
          <t>Pulverização Agrícola Conforme Bula</t>
        </is>
      </c>
      <c r="F1269" s="7" t="inlineStr">
        <is>
          <t>Soja</t>
        </is>
      </c>
      <c r="G1269" s="7" t="inlineStr">
        <is>
          <t>Cultura Autorizada na Bula</t>
        </is>
      </c>
      <c r="H1269" s="7" t="inlineStr">
        <is>
          <t>100 a 300 L/ha</t>
        </is>
      </c>
      <c r="I1269" s="7" t="inlineStr">
        <is>
          <t>20 a 40 L/ha</t>
        </is>
      </c>
      <c r="J1269" s="7" t="inlineStr">
        <is>
          <t>21 dias</t>
        </is>
      </c>
    </row>
    <row r="1270" ht="22" customHeight="1">
      <c r="A1270" s="12" t="inlineStr">
        <is>
          <t>CUL-1266</t>
        </is>
      </c>
      <c r="B1270" s="11" t="n">
        <v>253</v>
      </c>
      <c r="C1270" s="13" t="inlineStr">
        <is>
          <t>Nº 20723</t>
        </is>
      </c>
      <c r="D1270" s="14" t="inlineStr">
        <is>
          <t>ACEMIP</t>
        </is>
      </c>
      <c r="E1270" s="13" t="inlineStr">
        <is>
          <t>Pulverização Agrícola Conforme Bula</t>
        </is>
      </c>
      <c r="F1270" s="13" t="inlineStr">
        <is>
          <t>Milho</t>
        </is>
      </c>
      <c r="G1270" s="13" t="inlineStr">
        <is>
          <t>Cultura Autorizada na Bula</t>
        </is>
      </c>
      <c r="H1270" s="13" t="inlineStr">
        <is>
          <t>100 a 300 L/ha</t>
        </is>
      </c>
      <c r="I1270" s="13" t="inlineStr">
        <is>
          <t>20 a 40 L/ha</t>
        </is>
      </c>
      <c r="J1270" s="13" t="inlineStr">
        <is>
          <t>30 dias</t>
        </is>
      </c>
    </row>
    <row r="1271" ht="22" customHeight="1">
      <c r="A1271" s="6" t="inlineStr">
        <is>
          <t>CUL-1267</t>
        </is>
      </c>
      <c r="B1271" s="5" t="n">
        <v>253</v>
      </c>
      <c r="C1271" s="7" t="inlineStr">
        <is>
          <t>Nº 20723</t>
        </is>
      </c>
      <c r="D1271" s="8" t="inlineStr">
        <is>
          <t>ACEMIP</t>
        </is>
      </c>
      <c r="E1271" s="7" t="inlineStr">
        <is>
          <t>Pulverização Agrícola Conforme Bula</t>
        </is>
      </c>
      <c r="F1271" s="7" t="inlineStr">
        <is>
          <t>Feijão</t>
        </is>
      </c>
      <c r="G1271" s="7" t="inlineStr">
        <is>
          <t>Cultura Autorizada na Bula</t>
        </is>
      </c>
      <c r="H1271" s="7" t="inlineStr">
        <is>
          <t>100 a 300 L/ha</t>
        </is>
      </c>
      <c r="I1271" s="7" t="inlineStr">
        <is>
          <t>20 a 40 L/ha</t>
        </is>
      </c>
      <c r="J1271" s="7" t="inlineStr">
        <is>
          <t>14 dias</t>
        </is>
      </c>
    </row>
    <row r="1272" ht="22" customHeight="1">
      <c r="A1272" s="12" t="inlineStr">
        <is>
          <t>CUL-1268</t>
        </is>
      </c>
      <c r="B1272" s="11" t="n">
        <v>253</v>
      </c>
      <c r="C1272" s="13" t="inlineStr">
        <is>
          <t>Nº 20723</t>
        </is>
      </c>
      <c r="D1272" s="14" t="inlineStr">
        <is>
          <t>ACEMIP</t>
        </is>
      </c>
      <c r="E1272" s="13" t="inlineStr">
        <is>
          <t>Pulverização Agrícola Conforme Bula</t>
        </is>
      </c>
      <c r="F1272" s="13" t="inlineStr">
        <is>
          <t>Café</t>
        </is>
      </c>
      <c r="G1272" s="13" t="inlineStr">
        <is>
          <t>Cultura Autorizada na Bula</t>
        </is>
      </c>
      <c r="H1272" s="13" t="inlineStr">
        <is>
          <t>100 a 300 L/ha</t>
        </is>
      </c>
      <c r="I1272" s="13" t="inlineStr">
        <is>
          <t>20 a 40 L/ha</t>
        </is>
      </c>
      <c r="J1272" s="13" t="inlineStr">
        <is>
          <t>28 dias</t>
        </is>
      </c>
    </row>
    <row r="1273" ht="22" customHeight="1">
      <c r="A1273" s="6" t="inlineStr">
        <is>
          <t>CUL-1269</t>
        </is>
      </c>
      <c r="B1273" s="5" t="n">
        <v>253</v>
      </c>
      <c r="C1273" s="7" t="inlineStr">
        <is>
          <t>Nº 20723</t>
        </is>
      </c>
      <c r="D1273" s="8" t="inlineStr">
        <is>
          <t>ACEMIP</t>
        </is>
      </c>
      <c r="E1273" s="7" t="inlineStr">
        <is>
          <t>Pulverização Agrícola Conforme Bula</t>
        </is>
      </c>
      <c r="F1273" s="7" t="inlineStr">
        <is>
          <t>Citros</t>
        </is>
      </c>
      <c r="G1273" s="7" t="inlineStr">
        <is>
          <t>Cultura Autorizada na Bula</t>
        </is>
      </c>
      <c r="H1273" s="7" t="inlineStr">
        <is>
          <t>100 a 300 L/ha</t>
        </is>
      </c>
      <c r="I1273" s="7" t="inlineStr">
        <is>
          <t>20 a 40 L/ha</t>
        </is>
      </c>
      <c r="J1273" s="7" t="inlineStr">
        <is>
          <t>7 dias</t>
        </is>
      </c>
    </row>
    <row r="1274" ht="22" customHeight="1">
      <c r="A1274" s="12" t="inlineStr">
        <is>
          <t>CUL-1270</t>
        </is>
      </c>
      <c r="B1274" s="11" t="n">
        <v>253</v>
      </c>
      <c r="C1274" s="13" t="inlineStr">
        <is>
          <t>Nº 20723</t>
        </is>
      </c>
      <c r="D1274" s="14" t="inlineStr">
        <is>
          <t>ACEMIP</t>
        </is>
      </c>
      <c r="E1274" s="13" t="inlineStr">
        <is>
          <t>Pulverização Agrícola Conforme Bula</t>
        </is>
      </c>
      <c r="F1274" s="13" t="inlineStr">
        <is>
          <t>Tomate</t>
        </is>
      </c>
      <c r="G1274" s="13" t="inlineStr">
        <is>
          <t>Cultura Autorizada na Bula</t>
        </is>
      </c>
      <c r="H1274" s="13" t="inlineStr">
        <is>
          <t>100 a 300 L/ha</t>
        </is>
      </c>
      <c r="I1274" s="13" t="inlineStr">
        <is>
          <t>20 a 40 L/ha</t>
        </is>
      </c>
      <c r="J1274" s="13" t="inlineStr">
        <is>
          <t>3 dias</t>
        </is>
      </c>
    </row>
    <row r="1275" ht="22" customHeight="1">
      <c r="A1275" s="6" t="inlineStr">
        <is>
          <t>CUL-1271</t>
        </is>
      </c>
      <c r="B1275" s="5" t="n">
        <v>254</v>
      </c>
      <c r="C1275" s="7" t="inlineStr">
        <is>
          <t>Nº 22921</t>
        </is>
      </c>
      <c r="D1275" s="8" t="inlineStr">
        <is>
          <t>CLOMAZONA 360 (PRINCIPIO ATIVO)</t>
        </is>
      </c>
      <c r="E1275" s="7" t="inlineStr">
        <is>
          <t>Uso Exclusivamente Industrial (Formulação)</t>
        </is>
      </c>
      <c r="F1275" s="7" t="inlineStr">
        <is>
          <t>Não Aplicável (Proibido uso direto na lavoura)</t>
        </is>
      </c>
      <c r="G1275" s="7" t="inlineStr">
        <is>
          <t>Insumo Industrial</t>
        </is>
      </c>
      <c r="H1275" s="7" t="inlineStr">
        <is>
          <t>N/A</t>
        </is>
      </c>
      <c r="I1275" s="7" t="inlineStr">
        <is>
          <t>N/A</t>
        </is>
      </c>
      <c r="J1275" s="7" t="inlineStr">
        <is>
          <t>N/A (Insumo Industrial)</t>
        </is>
      </c>
    </row>
    <row r="1276" ht="22" customHeight="1">
      <c r="A1276" s="12" t="inlineStr">
        <is>
          <t>CUL-1272</t>
        </is>
      </c>
      <c r="B1276" s="11" t="n">
        <v>255</v>
      </c>
      <c r="C1276" s="13" t="inlineStr">
        <is>
          <t>SIPEAGRO (UF-XXXXX)</t>
        </is>
      </c>
      <c r="D1276" s="14" t="inlineStr">
        <is>
          <t>AGCN MN+ 100</t>
        </is>
      </c>
      <c r="E1276" s="13" t="inlineStr">
        <is>
          <t>Adubação de Solo / Foliar</t>
        </is>
      </c>
      <c r="F1276" s="13" t="inlineStr">
        <is>
          <t>Soja</t>
        </is>
      </c>
      <c r="G1276" s="13" t="inlineStr">
        <is>
          <t>Cultura Autorizada na Bula</t>
        </is>
      </c>
      <c r="H1276" s="13" t="inlineStr">
        <is>
          <t>100 a 300 L/ha</t>
        </is>
      </c>
      <c r="I1276" s="13" t="inlineStr">
        <is>
          <t>20 a 40 L/ha</t>
        </is>
      </c>
      <c r="J1276" s="13" t="inlineStr">
        <is>
          <t>Isento</t>
        </is>
      </c>
    </row>
    <row r="1277" ht="22" customHeight="1">
      <c r="A1277" s="6" t="inlineStr">
        <is>
          <t>CUL-1273</t>
        </is>
      </c>
      <c r="B1277" s="5" t="n">
        <v>255</v>
      </c>
      <c r="C1277" s="7" t="inlineStr">
        <is>
          <t>SIPEAGRO (UF-XXXXX)</t>
        </is>
      </c>
      <c r="D1277" s="8" t="inlineStr">
        <is>
          <t>AGCN MN+ 100</t>
        </is>
      </c>
      <c r="E1277" s="7" t="inlineStr">
        <is>
          <t>Adubação de Solo / Foliar</t>
        </is>
      </c>
      <c r="F1277" s="7" t="inlineStr">
        <is>
          <t>Milho</t>
        </is>
      </c>
      <c r="G1277" s="7" t="inlineStr">
        <is>
          <t>Cultura Autorizada na Bula</t>
        </is>
      </c>
      <c r="H1277" s="7" t="inlineStr">
        <is>
          <t>100 a 300 L/ha</t>
        </is>
      </c>
      <c r="I1277" s="7" t="inlineStr">
        <is>
          <t>20 a 40 L/ha</t>
        </is>
      </c>
      <c r="J1277" s="7" t="inlineStr">
        <is>
          <t>Isento</t>
        </is>
      </c>
    </row>
    <row r="1278" ht="22" customHeight="1">
      <c r="A1278" s="12" t="inlineStr">
        <is>
          <t>CUL-1274</t>
        </is>
      </c>
      <c r="B1278" s="11" t="n">
        <v>255</v>
      </c>
      <c r="C1278" s="13" t="inlineStr">
        <is>
          <t>SIPEAGRO (UF-XXXXX)</t>
        </is>
      </c>
      <c r="D1278" s="14" t="inlineStr">
        <is>
          <t>AGCN MN+ 100</t>
        </is>
      </c>
      <c r="E1278" s="13" t="inlineStr">
        <is>
          <t>Adubação de Solo / Foliar</t>
        </is>
      </c>
      <c r="F1278" s="13" t="inlineStr">
        <is>
          <t>Algodão</t>
        </is>
      </c>
      <c r="G1278" s="13" t="inlineStr">
        <is>
          <t>Cultura Autorizada na Bula</t>
        </is>
      </c>
      <c r="H1278" s="13" t="inlineStr">
        <is>
          <t>100 a 300 L/ha</t>
        </is>
      </c>
      <c r="I1278" s="13" t="inlineStr">
        <is>
          <t>20 a 40 L/ha</t>
        </is>
      </c>
      <c r="J1278" s="13" t="inlineStr">
        <is>
          <t>Isento</t>
        </is>
      </c>
    </row>
    <row r="1279" ht="22" customHeight="1">
      <c r="A1279" s="6" t="inlineStr">
        <is>
          <t>CUL-1275</t>
        </is>
      </c>
      <c r="B1279" s="5" t="n">
        <v>255</v>
      </c>
      <c r="C1279" s="7" t="inlineStr">
        <is>
          <t>SIPEAGRO (UF-XXXXX)</t>
        </is>
      </c>
      <c r="D1279" s="8" t="inlineStr">
        <is>
          <t>AGCN MN+ 100</t>
        </is>
      </c>
      <c r="E1279" s="7" t="inlineStr">
        <is>
          <t>Adubação de Solo / Foliar</t>
        </is>
      </c>
      <c r="F1279" s="7" t="inlineStr">
        <is>
          <t>Cana-de-açúcar</t>
        </is>
      </c>
      <c r="G1279" s="7" t="inlineStr">
        <is>
          <t>Cultura Autorizada na Bula</t>
        </is>
      </c>
      <c r="H1279" s="7" t="inlineStr">
        <is>
          <t>100 a 300 L/ha</t>
        </is>
      </c>
      <c r="I1279" s="7" t="inlineStr">
        <is>
          <t>20 a 40 L/ha</t>
        </is>
      </c>
      <c r="J1279" s="7" t="inlineStr">
        <is>
          <t>Isento</t>
        </is>
      </c>
    </row>
    <row r="1280" ht="22" customHeight="1">
      <c r="A1280" s="12" t="inlineStr">
        <is>
          <t>CUL-1276</t>
        </is>
      </c>
      <c r="B1280" s="11" t="n">
        <v>255</v>
      </c>
      <c r="C1280" s="13" t="inlineStr">
        <is>
          <t>SIPEAGRO (UF-XXXXX)</t>
        </is>
      </c>
      <c r="D1280" s="14" t="inlineStr">
        <is>
          <t>AGCN MN+ 100</t>
        </is>
      </c>
      <c r="E1280" s="13" t="inlineStr">
        <is>
          <t>Adubação de Solo / Foliar</t>
        </is>
      </c>
      <c r="F1280" s="13" t="inlineStr">
        <is>
          <t>Café</t>
        </is>
      </c>
      <c r="G1280" s="13" t="inlineStr">
        <is>
          <t>Cultura Autorizada na Bula</t>
        </is>
      </c>
      <c r="H1280" s="13" t="inlineStr">
        <is>
          <t>100 a 300 L/ha</t>
        </is>
      </c>
      <c r="I1280" s="13" t="inlineStr">
        <is>
          <t>20 a 40 L/ha</t>
        </is>
      </c>
      <c r="J1280" s="13" t="inlineStr">
        <is>
          <t>Isento</t>
        </is>
      </c>
    </row>
    <row r="1281" ht="22" customHeight="1">
      <c r="A1281" s="6" t="inlineStr">
        <is>
          <t>CUL-1277</t>
        </is>
      </c>
      <c r="B1281" s="5" t="n">
        <v>256</v>
      </c>
      <c r="C1281" s="7" t="inlineStr">
        <is>
          <t>Nº 1411</t>
        </is>
      </c>
      <c r="D1281" s="8" t="inlineStr">
        <is>
          <t>CLORIMUROM 360 (PRINCIPIO ATIVO)</t>
        </is>
      </c>
      <c r="E1281" s="7" t="inlineStr">
        <is>
          <t>Uso Exclusivamente Industrial (Formulação)</t>
        </is>
      </c>
      <c r="F1281" s="7" t="inlineStr">
        <is>
          <t>Não Aplicável (Proibido uso direto na lavoura)</t>
        </is>
      </c>
      <c r="G1281" s="7" t="inlineStr">
        <is>
          <t>Insumo Industrial</t>
        </is>
      </c>
      <c r="H1281" s="7" t="inlineStr">
        <is>
          <t>N/A</t>
        </is>
      </c>
      <c r="I1281" s="7" t="inlineStr">
        <is>
          <t>N/A</t>
        </is>
      </c>
      <c r="J1281" s="7" t="inlineStr">
        <is>
          <t>N/A (Insumo Industrial)</t>
        </is>
      </c>
    </row>
    <row r="1282" ht="22" customHeight="1">
      <c r="A1282" s="12" t="inlineStr">
        <is>
          <t>CUL-1278</t>
        </is>
      </c>
      <c r="B1282" s="11" t="n">
        <v>257</v>
      </c>
      <c r="C1282" s="13" t="inlineStr">
        <is>
          <t>Nº 28517</t>
        </is>
      </c>
      <c r="D1282" s="14" t="inlineStr">
        <is>
          <t>ABSOLUTO FIX</t>
        </is>
      </c>
      <c r="E1282" s="13" t="inlineStr">
        <is>
          <t>Pulverização Agrícola Conforme Bula</t>
        </is>
      </c>
      <c r="F1282" s="13" t="inlineStr">
        <is>
          <t>Soja</t>
        </is>
      </c>
      <c r="G1282" s="13" t="inlineStr">
        <is>
          <t>Cultura Autorizada na Bula</t>
        </is>
      </c>
      <c r="H1282" s="13" t="inlineStr">
        <is>
          <t>100 a 300 L/ha</t>
        </is>
      </c>
      <c r="I1282" s="13" t="inlineStr">
        <is>
          <t>20 a 40 L/ha</t>
        </is>
      </c>
      <c r="J1282" s="13" t="inlineStr">
        <is>
          <t>14 dias</t>
        </is>
      </c>
    </row>
    <row r="1283" ht="22" customHeight="1">
      <c r="A1283" s="6" t="inlineStr">
        <is>
          <t>CUL-1279</t>
        </is>
      </c>
      <c r="B1283" s="5" t="n">
        <v>257</v>
      </c>
      <c r="C1283" s="7" t="inlineStr">
        <is>
          <t>Nº 28517</t>
        </is>
      </c>
      <c r="D1283" s="8" t="inlineStr">
        <is>
          <t>ABSOLUTO FIX</t>
        </is>
      </c>
      <c r="E1283" s="7" t="inlineStr">
        <is>
          <t>Pulverização Agrícola Conforme Bula</t>
        </is>
      </c>
      <c r="F1283" s="7" t="inlineStr">
        <is>
          <t>Algodão</t>
        </is>
      </c>
      <c r="G1283" s="7" t="inlineStr">
        <is>
          <t>Cultura Autorizada na Bula</t>
        </is>
      </c>
      <c r="H1283" s="7" t="inlineStr">
        <is>
          <t>100 a 300 L/ha</t>
        </is>
      </c>
      <c r="I1283" s="7" t="inlineStr">
        <is>
          <t>20 a 40 L/ha</t>
        </is>
      </c>
      <c r="J1283" s="7" t="inlineStr">
        <is>
          <t>14 dias</t>
        </is>
      </c>
    </row>
    <row r="1284" ht="22" customHeight="1">
      <c r="A1284" s="12" t="inlineStr">
        <is>
          <t>CUL-1280</t>
        </is>
      </c>
      <c r="B1284" s="11" t="n">
        <v>257</v>
      </c>
      <c r="C1284" s="13" t="inlineStr">
        <is>
          <t>Nº 28517</t>
        </is>
      </c>
      <c r="D1284" s="14" t="inlineStr">
        <is>
          <t>ABSOLUTO FIX</t>
        </is>
      </c>
      <c r="E1284" s="13" t="inlineStr">
        <is>
          <t>Pulverização Agrícola Conforme Bula</t>
        </is>
      </c>
      <c r="F1284" s="13" t="inlineStr">
        <is>
          <t>Feijão</t>
        </is>
      </c>
      <c r="G1284" s="13" t="inlineStr">
        <is>
          <t>Cultura Autorizada na Bula</t>
        </is>
      </c>
      <c r="H1284" s="13" t="inlineStr">
        <is>
          <t>100 a 300 L/ha</t>
        </is>
      </c>
      <c r="I1284" s="13" t="inlineStr">
        <is>
          <t>20 a 40 L/ha</t>
        </is>
      </c>
      <c r="J1284" s="13" t="inlineStr">
        <is>
          <t>14 dias</t>
        </is>
      </c>
    </row>
    <row r="1285" ht="22" customHeight="1">
      <c r="A1285" s="6" t="inlineStr">
        <is>
          <t>CUL-1281</t>
        </is>
      </c>
      <c r="B1285" s="5" t="n">
        <v>257</v>
      </c>
      <c r="C1285" s="7" t="inlineStr">
        <is>
          <t>Nº 28517</t>
        </is>
      </c>
      <c r="D1285" s="8" t="inlineStr">
        <is>
          <t>ABSOLUTO FIX</t>
        </is>
      </c>
      <c r="E1285" s="7" t="inlineStr">
        <is>
          <t>Pulverização Agrícola Conforme Bula</t>
        </is>
      </c>
      <c r="F1285" s="7" t="inlineStr">
        <is>
          <t>Milho</t>
        </is>
      </c>
      <c r="G1285" s="7" t="inlineStr">
        <is>
          <t>Cultura Autorizada na Bula</t>
        </is>
      </c>
      <c r="H1285" s="7" t="inlineStr">
        <is>
          <t>100 a 300 L/ha</t>
        </is>
      </c>
      <c r="I1285" s="7" t="inlineStr">
        <is>
          <t>20 a 40 L/ha</t>
        </is>
      </c>
      <c r="J1285" s="7" t="inlineStr">
        <is>
          <t>14 dias</t>
        </is>
      </c>
    </row>
    <row r="1286" ht="22" customHeight="1">
      <c r="A1286" s="12" t="inlineStr">
        <is>
          <t>CUL-1282</t>
        </is>
      </c>
      <c r="B1286" s="11" t="n">
        <v>257</v>
      </c>
      <c r="C1286" s="13" t="inlineStr">
        <is>
          <t>Nº 28517</t>
        </is>
      </c>
      <c r="D1286" s="14" t="inlineStr">
        <is>
          <t>ABSOLUTO FIX</t>
        </is>
      </c>
      <c r="E1286" s="13" t="inlineStr">
        <is>
          <t>Pulverização Agrícola Conforme Bula</t>
        </is>
      </c>
      <c r="F1286" s="13" t="inlineStr">
        <is>
          <t>Trigo</t>
        </is>
      </c>
      <c r="G1286" s="13" t="inlineStr">
        <is>
          <t>Cultura Autorizada na Bula</t>
        </is>
      </c>
      <c r="H1286" s="13" t="inlineStr">
        <is>
          <t>100 a 300 L/ha</t>
        </is>
      </c>
      <c r="I1286" s="13" t="inlineStr">
        <is>
          <t>20 a 40 L/ha</t>
        </is>
      </c>
      <c r="J1286" s="13" t="inlineStr">
        <is>
          <t>30 dias</t>
        </is>
      </c>
    </row>
    <row r="1287" ht="22" customHeight="1">
      <c r="A1287" s="6" t="inlineStr">
        <is>
          <t>CUL-1283</t>
        </is>
      </c>
      <c r="B1287" s="5" t="n">
        <v>257</v>
      </c>
      <c r="C1287" s="7" t="inlineStr">
        <is>
          <t>Nº 28517</t>
        </is>
      </c>
      <c r="D1287" s="8" t="inlineStr">
        <is>
          <t>ABSOLUTO FIX</t>
        </is>
      </c>
      <c r="E1287" s="7" t="inlineStr">
        <is>
          <t>Pulverização Agrícola Conforme Bula</t>
        </is>
      </c>
      <c r="F1287" s="7" t="inlineStr">
        <is>
          <t>Batata</t>
        </is>
      </c>
      <c r="G1287" s="7" t="inlineStr">
        <is>
          <t>Cultura Autorizada na Bula</t>
        </is>
      </c>
      <c r="H1287" s="7" t="inlineStr">
        <is>
          <t>100 a 300 L/ha</t>
        </is>
      </c>
      <c r="I1287" s="7" t="inlineStr">
        <is>
          <t>20 a 40 L/ha</t>
        </is>
      </c>
      <c r="J1287" s="7" t="inlineStr">
        <is>
          <t>7 dias</t>
        </is>
      </c>
    </row>
    <row r="1288" ht="22" customHeight="1">
      <c r="A1288" s="12" t="inlineStr">
        <is>
          <t>CUL-1284</t>
        </is>
      </c>
      <c r="B1288" s="11" t="n">
        <v>257</v>
      </c>
      <c r="C1288" s="13" t="inlineStr">
        <is>
          <t>Nº 28517</t>
        </is>
      </c>
      <c r="D1288" s="14" t="inlineStr">
        <is>
          <t>ABSOLUTO FIX</t>
        </is>
      </c>
      <c r="E1288" s="13" t="inlineStr">
        <is>
          <t>Pulverização Agrícola Conforme Bula</t>
        </is>
      </c>
      <c r="F1288" s="13" t="inlineStr">
        <is>
          <t>Café</t>
        </is>
      </c>
      <c r="G1288" s="13" t="inlineStr">
        <is>
          <t>Cultura Autorizada na Bula</t>
        </is>
      </c>
      <c r="H1288" s="13" t="inlineStr">
        <is>
          <t>100 a 300 L/ha</t>
        </is>
      </c>
      <c r="I1288" s="13" t="inlineStr">
        <is>
          <t>20 a 40 L/ha</t>
        </is>
      </c>
      <c r="J1288" s="13" t="inlineStr">
        <is>
          <t>30 dias</t>
        </is>
      </c>
    </row>
    <row r="1289" ht="22" customHeight="1">
      <c r="A1289" s="6" t="inlineStr">
        <is>
          <t>CUL-1285</t>
        </is>
      </c>
      <c r="B1289" s="5" t="n">
        <v>257</v>
      </c>
      <c r="C1289" s="7" t="inlineStr">
        <is>
          <t>Nº 28517</t>
        </is>
      </c>
      <c r="D1289" s="8" t="inlineStr">
        <is>
          <t>ABSOLUTO FIX</t>
        </is>
      </c>
      <c r="E1289" s="7" t="inlineStr">
        <is>
          <t>Pulverização Agrícola Conforme Bula</t>
        </is>
      </c>
      <c r="F1289" s="7" t="inlineStr">
        <is>
          <t>Tomate</t>
        </is>
      </c>
      <c r="G1289" s="7" t="inlineStr">
        <is>
          <t>Cultura Autorizada na Bula</t>
        </is>
      </c>
      <c r="H1289" s="7" t="inlineStr">
        <is>
          <t>100 a 300 L/ha</t>
        </is>
      </c>
      <c r="I1289" s="7" t="inlineStr">
        <is>
          <t>20 a 40 L/ha</t>
        </is>
      </c>
      <c r="J1289" s="7" t="inlineStr">
        <is>
          <t>7 dias</t>
        </is>
      </c>
    </row>
    <row r="1290" ht="22" customHeight="1">
      <c r="A1290" s="12" t="inlineStr">
        <is>
          <t>CUL-1286</t>
        </is>
      </c>
      <c r="B1290" s="11" t="n">
        <v>258</v>
      </c>
      <c r="C1290" s="13" t="inlineStr">
        <is>
          <t>Nº 28517</t>
        </is>
      </c>
      <c r="D1290" s="14" t="inlineStr">
        <is>
          <t>ABSOLUTO FIX</t>
        </is>
      </c>
      <c r="E1290" s="13" t="inlineStr">
        <is>
          <t>Pulverização Agrícola Conforme Bula</t>
        </is>
      </c>
      <c r="F1290" s="13" t="inlineStr">
        <is>
          <t>Soja</t>
        </is>
      </c>
      <c r="G1290" s="13" t="inlineStr">
        <is>
          <t>Cultura Autorizada na Bula</t>
        </is>
      </c>
      <c r="H1290" s="13" t="inlineStr">
        <is>
          <t>100 a 300 L/ha</t>
        </is>
      </c>
      <c r="I1290" s="13" t="inlineStr">
        <is>
          <t>20 a 40 L/ha</t>
        </is>
      </c>
      <c r="J1290" s="13" t="inlineStr">
        <is>
          <t>14 dias</t>
        </is>
      </c>
    </row>
    <row r="1291" ht="22" customHeight="1">
      <c r="A1291" s="6" t="inlineStr">
        <is>
          <t>CUL-1287</t>
        </is>
      </c>
      <c r="B1291" s="5" t="n">
        <v>258</v>
      </c>
      <c r="C1291" s="7" t="inlineStr">
        <is>
          <t>Nº 28517</t>
        </is>
      </c>
      <c r="D1291" s="8" t="inlineStr">
        <is>
          <t>ABSOLUTO FIX</t>
        </is>
      </c>
      <c r="E1291" s="7" t="inlineStr">
        <is>
          <t>Pulverização Agrícola Conforme Bula</t>
        </is>
      </c>
      <c r="F1291" s="7" t="inlineStr">
        <is>
          <t>Algodão</t>
        </is>
      </c>
      <c r="G1291" s="7" t="inlineStr">
        <is>
          <t>Cultura Autorizada na Bula</t>
        </is>
      </c>
      <c r="H1291" s="7" t="inlineStr">
        <is>
          <t>100 a 300 L/ha</t>
        </is>
      </c>
      <c r="I1291" s="7" t="inlineStr">
        <is>
          <t>20 a 40 L/ha</t>
        </is>
      </c>
      <c r="J1291" s="7" t="inlineStr">
        <is>
          <t>14 dias</t>
        </is>
      </c>
    </row>
    <row r="1292" ht="22" customHeight="1">
      <c r="A1292" s="12" t="inlineStr">
        <is>
          <t>CUL-1288</t>
        </is>
      </c>
      <c r="B1292" s="11" t="n">
        <v>258</v>
      </c>
      <c r="C1292" s="13" t="inlineStr">
        <is>
          <t>Nº 28517</t>
        </is>
      </c>
      <c r="D1292" s="14" t="inlineStr">
        <is>
          <t>ABSOLUTO FIX</t>
        </is>
      </c>
      <c r="E1292" s="13" t="inlineStr">
        <is>
          <t>Pulverização Agrícola Conforme Bula</t>
        </is>
      </c>
      <c r="F1292" s="13" t="inlineStr">
        <is>
          <t>Feijão</t>
        </is>
      </c>
      <c r="G1292" s="13" t="inlineStr">
        <is>
          <t>Cultura Autorizada na Bula</t>
        </is>
      </c>
      <c r="H1292" s="13" t="inlineStr">
        <is>
          <t>100 a 300 L/ha</t>
        </is>
      </c>
      <c r="I1292" s="13" t="inlineStr">
        <is>
          <t>20 a 40 L/ha</t>
        </is>
      </c>
      <c r="J1292" s="13" t="inlineStr">
        <is>
          <t>14 dias</t>
        </is>
      </c>
    </row>
    <row r="1293" ht="22" customHeight="1">
      <c r="A1293" s="6" t="inlineStr">
        <is>
          <t>CUL-1289</t>
        </is>
      </c>
      <c r="B1293" s="5" t="n">
        <v>258</v>
      </c>
      <c r="C1293" s="7" t="inlineStr">
        <is>
          <t>Nº 28517</t>
        </is>
      </c>
      <c r="D1293" s="8" t="inlineStr">
        <is>
          <t>ABSOLUTO FIX</t>
        </is>
      </c>
      <c r="E1293" s="7" t="inlineStr">
        <is>
          <t>Pulverização Agrícola Conforme Bula</t>
        </is>
      </c>
      <c r="F1293" s="7" t="inlineStr">
        <is>
          <t>Milho</t>
        </is>
      </c>
      <c r="G1293" s="7" t="inlineStr">
        <is>
          <t>Cultura Autorizada na Bula</t>
        </is>
      </c>
      <c r="H1293" s="7" t="inlineStr">
        <is>
          <t>100 a 300 L/ha</t>
        </is>
      </c>
      <c r="I1293" s="7" t="inlineStr">
        <is>
          <t>20 a 40 L/ha</t>
        </is>
      </c>
      <c r="J1293" s="7" t="inlineStr">
        <is>
          <t>14 dias</t>
        </is>
      </c>
    </row>
    <row r="1294" ht="22" customHeight="1">
      <c r="A1294" s="12" t="inlineStr">
        <is>
          <t>CUL-1290</t>
        </is>
      </c>
      <c r="B1294" s="11" t="n">
        <v>258</v>
      </c>
      <c r="C1294" s="13" t="inlineStr">
        <is>
          <t>Nº 28517</t>
        </is>
      </c>
      <c r="D1294" s="14" t="inlineStr">
        <is>
          <t>ABSOLUTO FIX</t>
        </is>
      </c>
      <c r="E1294" s="13" t="inlineStr">
        <is>
          <t>Pulverização Agrícola Conforme Bula</t>
        </is>
      </c>
      <c r="F1294" s="13" t="inlineStr">
        <is>
          <t>Trigo</t>
        </is>
      </c>
      <c r="G1294" s="13" t="inlineStr">
        <is>
          <t>Cultura Autorizada na Bula</t>
        </is>
      </c>
      <c r="H1294" s="13" t="inlineStr">
        <is>
          <t>100 a 300 L/ha</t>
        </is>
      </c>
      <c r="I1294" s="13" t="inlineStr">
        <is>
          <t>20 a 40 L/ha</t>
        </is>
      </c>
      <c r="J1294" s="13" t="inlineStr">
        <is>
          <t>30 dias</t>
        </is>
      </c>
    </row>
    <row r="1295" ht="22" customHeight="1">
      <c r="A1295" s="6" t="inlineStr">
        <is>
          <t>CUL-1291</t>
        </is>
      </c>
      <c r="B1295" s="5" t="n">
        <v>258</v>
      </c>
      <c r="C1295" s="7" t="inlineStr">
        <is>
          <t>Nº 28517</t>
        </is>
      </c>
      <c r="D1295" s="8" t="inlineStr">
        <is>
          <t>ABSOLUTO FIX</t>
        </is>
      </c>
      <c r="E1295" s="7" t="inlineStr">
        <is>
          <t>Pulverização Agrícola Conforme Bula</t>
        </is>
      </c>
      <c r="F1295" s="7" t="inlineStr">
        <is>
          <t>Batata</t>
        </is>
      </c>
      <c r="G1295" s="7" t="inlineStr">
        <is>
          <t>Cultura Autorizada na Bula</t>
        </is>
      </c>
      <c r="H1295" s="7" t="inlineStr">
        <is>
          <t>100 a 300 L/ha</t>
        </is>
      </c>
      <c r="I1295" s="7" t="inlineStr">
        <is>
          <t>20 a 40 L/ha</t>
        </is>
      </c>
      <c r="J1295" s="7" t="inlineStr">
        <is>
          <t>7 dias</t>
        </is>
      </c>
    </row>
    <row r="1296" ht="22" customHeight="1">
      <c r="A1296" s="12" t="inlineStr">
        <is>
          <t>CUL-1292</t>
        </is>
      </c>
      <c r="B1296" s="11" t="n">
        <v>258</v>
      </c>
      <c r="C1296" s="13" t="inlineStr">
        <is>
          <t>Nº 28517</t>
        </is>
      </c>
      <c r="D1296" s="14" t="inlineStr">
        <is>
          <t>ABSOLUTO FIX</t>
        </is>
      </c>
      <c r="E1296" s="13" t="inlineStr">
        <is>
          <t>Pulverização Agrícola Conforme Bula</t>
        </is>
      </c>
      <c r="F1296" s="13" t="inlineStr">
        <is>
          <t>Café</t>
        </is>
      </c>
      <c r="G1296" s="13" t="inlineStr">
        <is>
          <t>Cultura Autorizada na Bula</t>
        </is>
      </c>
      <c r="H1296" s="13" t="inlineStr">
        <is>
          <t>100 a 300 L/ha</t>
        </is>
      </c>
      <c r="I1296" s="13" t="inlineStr">
        <is>
          <t>20 a 40 L/ha</t>
        </is>
      </c>
      <c r="J1296" s="13" t="inlineStr">
        <is>
          <t>30 dias</t>
        </is>
      </c>
    </row>
    <row r="1297" ht="22" customHeight="1">
      <c r="A1297" s="6" t="inlineStr">
        <is>
          <t>CUL-1293</t>
        </is>
      </c>
      <c r="B1297" s="5" t="n">
        <v>258</v>
      </c>
      <c r="C1297" s="7" t="inlineStr">
        <is>
          <t>Nº 28517</t>
        </is>
      </c>
      <c r="D1297" s="8" t="inlineStr">
        <is>
          <t>ABSOLUTO FIX</t>
        </is>
      </c>
      <c r="E1297" s="7" t="inlineStr">
        <is>
          <t>Pulverização Agrícola Conforme Bula</t>
        </is>
      </c>
      <c r="F1297" s="7" t="inlineStr">
        <is>
          <t>Tomate</t>
        </is>
      </c>
      <c r="G1297" s="7" t="inlineStr">
        <is>
          <t>Cultura Autorizada na Bula</t>
        </is>
      </c>
      <c r="H1297" s="7" t="inlineStr">
        <is>
          <t>100 a 300 L/ha</t>
        </is>
      </c>
      <c r="I1297" s="7" t="inlineStr">
        <is>
          <t>20 a 40 L/ha</t>
        </is>
      </c>
      <c r="J1297" s="7" t="inlineStr">
        <is>
          <t>7 dias</t>
        </is>
      </c>
    </row>
    <row r="1298" ht="22" customHeight="1">
      <c r="A1298" s="12" t="inlineStr">
        <is>
          <t>CUL-1294</t>
        </is>
      </c>
      <c r="B1298" s="11" t="n">
        <v>259</v>
      </c>
      <c r="C1298" s="13" t="inlineStr">
        <is>
          <t>Nº 16318</t>
        </is>
      </c>
      <c r="D1298" s="14" t="inlineStr">
        <is>
          <t>AMETRINA</t>
        </is>
      </c>
      <c r="E1298" s="13" t="inlineStr">
        <is>
          <t>Pulverização Agrícola Conforme Bula</t>
        </is>
      </c>
      <c r="F1298" s="13" t="inlineStr">
        <is>
          <t>Soja</t>
        </is>
      </c>
      <c r="G1298" s="13" t="inlineStr">
        <is>
          <t>Cultura Autorizada na Bula</t>
        </is>
      </c>
      <c r="H1298" s="13" t="inlineStr">
        <is>
          <t>100 a 300 L/ha</t>
        </is>
      </c>
      <c r="I1298" s="13" t="inlineStr">
        <is>
          <t>20 a 40 L/ha</t>
        </is>
      </c>
      <c r="J1298" s="13" t="inlineStr">
        <is>
          <t>60 dias</t>
        </is>
      </c>
    </row>
    <row r="1299" ht="22" customHeight="1">
      <c r="A1299" s="6" t="inlineStr">
        <is>
          <t>CUL-1295</t>
        </is>
      </c>
      <c r="B1299" s="5" t="n">
        <v>259</v>
      </c>
      <c r="C1299" s="7" t="inlineStr">
        <is>
          <t>Nº 16318</t>
        </is>
      </c>
      <c r="D1299" s="8" t="inlineStr">
        <is>
          <t>AMETRINA</t>
        </is>
      </c>
      <c r="E1299" s="7" t="inlineStr">
        <is>
          <t>Pulverização Agrícola Conforme Bula</t>
        </is>
      </c>
      <c r="F1299" s="7" t="inlineStr">
        <is>
          <t>Milho</t>
        </is>
      </c>
      <c r="G1299" s="7" t="inlineStr">
        <is>
          <t>Cultura Autorizada na Bula</t>
        </is>
      </c>
      <c r="H1299" s="7" t="inlineStr">
        <is>
          <t>100 a 300 L/ha</t>
        </is>
      </c>
      <c r="I1299" s="7" t="inlineStr">
        <is>
          <t>20 a 40 L/ha</t>
        </is>
      </c>
      <c r="J1299" s="7" t="inlineStr">
        <is>
          <t>45 dias</t>
        </is>
      </c>
    </row>
    <row r="1300" ht="22" customHeight="1">
      <c r="A1300" s="12" t="inlineStr">
        <is>
          <t>CUL-1296</t>
        </is>
      </c>
      <c r="B1300" s="11" t="n">
        <v>259</v>
      </c>
      <c r="C1300" s="13" t="inlineStr">
        <is>
          <t>Nº 16318</t>
        </is>
      </c>
      <c r="D1300" s="14" t="inlineStr">
        <is>
          <t>AMETRINA</t>
        </is>
      </c>
      <c r="E1300" s="13" t="inlineStr">
        <is>
          <t>Pulverização Agrícola Conforme Bula</t>
        </is>
      </c>
      <c r="F1300" s="13" t="inlineStr">
        <is>
          <t>Algodão</t>
        </is>
      </c>
      <c r="G1300" s="13" t="inlineStr">
        <is>
          <t>Cultura Autorizada na Bula</t>
        </is>
      </c>
      <c r="H1300" s="13" t="inlineStr">
        <is>
          <t>100 a 300 L/ha</t>
        </is>
      </c>
      <c r="I1300" s="13" t="inlineStr">
        <is>
          <t>20 a 40 L/ha</t>
        </is>
      </c>
      <c r="J1300" s="13" t="inlineStr">
        <is>
          <t>60 dias</t>
        </is>
      </c>
    </row>
    <row r="1301" ht="22" customHeight="1">
      <c r="A1301" s="6" t="inlineStr">
        <is>
          <t>CUL-1297</t>
        </is>
      </c>
      <c r="B1301" s="5" t="n">
        <v>259</v>
      </c>
      <c r="C1301" s="7" t="inlineStr">
        <is>
          <t>Nº 16318</t>
        </is>
      </c>
      <c r="D1301" s="8" t="inlineStr">
        <is>
          <t>AMETRINA</t>
        </is>
      </c>
      <c r="E1301" s="7" t="inlineStr">
        <is>
          <t>Pulverização Agrícola Conforme Bula</t>
        </is>
      </c>
      <c r="F1301" s="7" t="inlineStr">
        <is>
          <t>Cana-de-açúcar</t>
        </is>
      </c>
      <c r="G1301" s="7" t="inlineStr">
        <is>
          <t>Cultura Autorizada na Bula</t>
        </is>
      </c>
      <c r="H1301" s="7" t="inlineStr">
        <is>
          <t>100 a 300 L/ha</t>
        </is>
      </c>
      <c r="I1301" s="7" t="inlineStr">
        <is>
          <t>20 a 40 L/ha</t>
        </is>
      </c>
      <c r="J1301" s="7" t="inlineStr">
        <is>
          <t>90 dias</t>
        </is>
      </c>
    </row>
    <row r="1302" ht="22" customHeight="1">
      <c r="A1302" s="12" t="inlineStr">
        <is>
          <t>CUL-1298</t>
        </is>
      </c>
      <c r="B1302" s="11" t="n">
        <v>260</v>
      </c>
      <c r="C1302" s="13" t="inlineStr">
        <is>
          <t>Nº 1924</t>
        </is>
      </c>
      <c r="D1302" s="14" t="inlineStr">
        <is>
          <t>FORCEPS</t>
        </is>
      </c>
      <c r="E1302" s="13" t="inlineStr">
        <is>
          <t>Pulverização Agrícola Conforme Bula</t>
        </is>
      </c>
      <c r="F1302" s="13" t="inlineStr">
        <is>
          <t>Algodão</t>
        </is>
      </c>
      <c r="G1302" s="13" t="inlineStr">
        <is>
          <t>Cultura Autorizada na Bula</t>
        </is>
      </c>
      <c r="H1302" s="13" t="inlineStr">
        <is>
          <t>100 a 300 L/ha</t>
        </is>
      </c>
      <c r="I1302" s="13" t="inlineStr">
        <is>
          <t>20 a 40 L/ha</t>
        </is>
      </c>
      <c r="J1302" s="13" t="inlineStr">
        <is>
          <t>15 dias</t>
        </is>
      </c>
    </row>
    <row r="1303" ht="22" customHeight="1">
      <c r="A1303" s="6" t="inlineStr">
        <is>
          <t>CUL-1299</t>
        </is>
      </c>
      <c r="B1303" s="5" t="n">
        <v>260</v>
      </c>
      <c r="C1303" s="7" t="inlineStr">
        <is>
          <t>Nº 1924</t>
        </is>
      </c>
      <c r="D1303" s="8" t="inlineStr">
        <is>
          <t>FORCEPS</t>
        </is>
      </c>
      <c r="E1303" s="7" t="inlineStr">
        <is>
          <t>Pulverização Agrícola Conforme Bula</t>
        </is>
      </c>
      <c r="F1303" s="7" t="inlineStr">
        <is>
          <t>Soja</t>
        </is>
      </c>
      <c r="G1303" s="7" t="inlineStr">
        <is>
          <t>Cultura Autorizada na Bula</t>
        </is>
      </c>
      <c r="H1303" s="7" t="inlineStr">
        <is>
          <t>100 a 300 L/ha</t>
        </is>
      </c>
      <c r="I1303" s="7" t="inlineStr">
        <is>
          <t>20 a 40 L/ha</t>
        </is>
      </c>
      <c r="J1303" s="7" t="inlineStr">
        <is>
          <t>30 dias</t>
        </is>
      </c>
    </row>
    <row r="1304" ht="22" customHeight="1">
      <c r="A1304" s="12" t="inlineStr">
        <is>
          <t>CUL-1300</t>
        </is>
      </c>
      <c r="B1304" s="11" t="n">
        <v>260</v>
      </c>
      <c r="C1304" s="13" t="inlineStr">
        <is>
          <t>Nº 1924</t>
        </is>
      </c>
      <c r="D1304" s="14" t="inlineStr">
        <is>
          <t>FORCEPS</t>
        </is>
      </c>
      <c r="E1304" s="13" t="inlineStr">
        <is>
          <t>Pulverização Agrícola Conforme Bula</t>
        </is>
      </c>
      <c r="F1304" s="13" t="inlineStr">
        <is>
          <t>Milho</t>
        </is>
      </c>
      <c r="G1304" s="13" t="inlineStr">
        <is>
          <t>Cultura Autorizada na Bula</t>
        </is>
      </c>
      <c r="H1304" s="13" t="inlineStr">
        <is>
          <t>100 a 300 L/ha</t>
        </is>
      </c>
      <c r="I1304" s="13" t="inlineStr">
        <is>
          <t>20 a 40 L/ha</t>
        </is>
      </c>
      <c r="J1304" s="13" t="inlineStr">
        <is>
          <t>30 dias</t>
        </is>
      </c>
    </row>
    <row r="1305" ht="22" customHeight="1">
      <c r="A1305" s="6" t="inlineStr">
        <is>
          <t>CUL-1301</t>
        </is>
      </c>
      <c r="B1305" s="5" t="n">
        <v>260</v>
      </c>
      <c r="C1305" s="7" t="inlineStr">
        <is>
          <t>Nº 1924</t>
        </is>
      </c>
      <c r="D1305" s="8" t="inlineStr">
        <is>
          <t>FORCEPS</t>
        </is>
      </c>
      <c r="E1305" s="7" t="inlineStr">
        <is>
          <t>Pulverização Agrícola Conforme Bula</t>
        </is>
      </c>
      <c r="F1305" s="7" t="inlineStr">
        <is>
          <t>Cana-de-açúcar</t>
        </is>
      </c>
      <c r="G1305" s="7" t="inlineStr">
        <is>
          <t>Cultura Autorizada na Bula</t>
        </is>
      </c>
      <c r="H1305" s="7" t="inlineStr">
        <is>
          <t>100 a 300 L/ha</t>
        </is>
      </c>
      <c r="I1305" s="7" t="inlineStr">
        <is>
          <t>20 a 40 L/ha</t>
        </is>
      </c>
      <c r="J1305" s="7" t="inlineStr">
        <is>
          <t>30 dias</t>
        </is>
      </c>
    </row>
    <row r="1306" ht="22" customHeight="1">
      <c r="A1306" s="12" t="inlineStr">
        <is>
          <t>CUL-1302</t>
        </is>
      </c>
      <c r="B1306" s="11" t="n">
        <v>260</v>
      </c>
      <c r="C1306" s="13" t="inlineStr">
        <is>
          <t>Nº 1924</t>
        </is>
      </c>
      <c r="D1306" s="14" t="inlineStr">
        <is>
          <t>FORCEPS</t>
        </is>
      </c>
      <c r="E1306" s="13" t="inlineStr">
        <is>
          <t>Pulverização Agrícola Conforme Bula</t>
        </is>
      </c>
      <c r="F1306" s="13" t="inlineStr">
        <is>
          <t>Café</t>
        </is>
      </c>
      <c r="G1306" s="13" t="inlineStr">
        <is>
          <t>Cultura Autorizada na Bula</t>
        </is>
      </c>
      <c r="H1306" s="13" t="inlineStr">
        <is>
          <t>100 a 300 L/ha</t>
        </is>
      </c>
      <c r="I1306" s="13" t="inlineStr">
        <is>
          <t>20 a 40 L/ha</t>
        </is>
      </c>
      <c r="J1306" s="13" t="inlineStr">
        <is>
          <t>30 dias</t>
        </is>
      </c>
    </row>
    <row r="1307" ht="22" customHeight="1">
      <c r="A1307" s="6" t="inlineStr">
        <is>
          <t>CUL-1303</t>
        </is>
      </c>
      <c r="B1307" s="5" t="n">
        <v>260</v>
      </c>
      <c r="C1307" s="7" t="inlineStr">
        <is>
          <t>Nº 1924</t>
        </is>
      </c>
      <c r="D1307" s="8" t="inlineStr">
        <is>
          <t>FORCEPS</t>
        </is>
      </c>
      <c r="E1307" s="7" t="inlineStr">
        <is>
          <t>Pulverização Agrícola Conforme Bula</t>
        </is>
      </c>
      <c r="F1307" s="7" t="inlineStr">
        <is>
          <t>Citros</t>
        </is>
      </c>
      <c r="G1307" s="7" t="inlineStr">
        <is>
          <t>Cultura Autorizada na Bula</t>
        </is>
      </c>
      <c r="H1307" s="7" t="inlineStr">
        <is>
          <t>100 a 300 L/ha</t>
        </is>
      </c>
      <c r="I1307" s="7" t="inlineStr">
        <is>
          <t>20 a 40 L/ha</t>
        </is>
      </c>
      <c r="J1307" s="7" t="inlineStr">
        <is>
          <t>7 dias</t>
        </is>
      </c>
    </row>
    <row r="1308" ht="22" customHeight="1">
      <c r="A1308" s="12" t="inlineStr">
        <is>
          <t>CUL-1304</t>
        </is>
      </c>
      <c r="B1308" s="11" t="n">
        <v>260</v>
      </c>
      <c r="C1308" s="13" t="inlineStr">
        <is>
          <t>Nº 1924</t>
        </is>
      </c>
      <c r="D1308" s="14" t="inlineStr">
        <is>
          <t>FORCEPS</t>
        </is>
      </c>
      <c r="E1308" s="13" t="inlineStr">
        <is>
          <t>Pulverização Agrícola Conforme Bula</t>
        </is>
      </c>
      <c r="F1308" s="13" t="inlineStr">
        <is>
          <t>Feijão</t>
        </is>
      </c>
      <c r="G1308" s="13" t="inlineStr">
        <is>
          <t>Cultura Autorizada na Bula</t>
        </is>
      </c>
      <c r="H1308" s="13" t="inlineStr">
        <is>
          <t>100 a 300 L/ha</t>
        </is>
      </c>
      <c r="I1308" s="13" t="inlineStr">
        <is>
          <t>20 a 40 L/ha</t>
        </is>
      </c>
      <c r="J1308" s="13" t="inlineStr">
        <is>
          <t>20 dias</t>
        </is>
      </c>
    </row>
    <row r="1309" ht="22" customHeight="1">
      <c r="A1309" s="6" t="inlineStr">
        <is>
          <t>CUL-1305</t>
        </is>
      </c>
      <c r="B1309" s="5" t="n">
        <v>260</v>
      </c>
      <c r="C1309" s="7" t="inlineStr">
        <is>
          <t>Nº 1924</t>
        </is>
      </c>
      <c r="D1309" s="8" t="inlineStr">
        <is>
          <t>FORCEPS</t>
        </is>
      </c>
      <c r="E1309" s="7" t="inlineStr">
        <is>
          <t>Pulverização Agrícola Conforme Bula</t>
        </is>
      </c>
      <c r="F1309" s="7" t="inlineStr">
        <is>
          <t>Trigo</t>
        </is>
      </c>
      <c r="G1309" s="7" t="inlineStr">
        <is>
          <t>Cultura Autorizada na Bula</t>
        </is>
      </c>
      <c r="H1309" s="7" t="inlineStr">
        <is>
          <t>100 a 300 L/ha</t>
        </is>
      </c>
      <c r="I1309" s="7" t="inlineStr">
        <is>
          <t>20 a 40 L/ha</t>
        </is>
      </c>
      <c r="J1309" s="7" t="inlineStr">
        <is>
          <t>30 dias</t>
        </is>
      </c>
    </row>
    <row r="1310" ht="22" customHeight="1">
      <c r="A1310" s="12" t="inlineStr">
        <is>
          <t>CUL-1306</t>
        </is>
      </c>
      <c r="B1310" s="11" t="n">
        <v>261</v>
      </c>
      <c r="C1310" s="13" t="inlineStr">
        <is>
          <t>Nº 3915</t>
        </is>
      </c>
      <c r="D1310" s="14" t="inlineStr">
        <is>
          <t>CYPER COPA 250 EC</t>
        </is>
      </c>
      <c r="E1310" s="13" t="inlineStr">
        <is>
          <t>Pulverização Agrícola Conforme Bula</t>
        </is>
      </c>
      <c r="F1310" s="13" t="inlineStr">
        <is>
          <t>Soja</t>
        </is>
      </c>
      <c r="G1310" s="13" t="inlineStr">
        <is>
          <t>Cultura Autorizada na Bula</t>
        </is>
      </c>
      <c r="H1310" s="13" t="inlineStr">
        <is>
          <t>100 a 300 L/ha</t>
        </is>
      </c>
      <c r="I1310" s="13" t="inlineStr">
        <is>
          <t>20 a 40 L/ha</t>
        </is>
      </c>
      <c r="J1310" s="13" t="inlineStr">
        <is>
          <t>21 dias</t>
        </is>
      </c>
    </row>
    <row r="1311" ht="22" customHeight="1">
      <c r="A1311" s="6" t="inlineStr">
        <is>
          <t>CUL-1307</t>
        </is>
      </c>
      <c r="B1311" s="5" t="n">
        <v>261</v>
      </c>
      <c r="C1311" s="7" t="inlineStr">
        <is>
          <t>Nº 3915</t>
        </is>
      </c>
      <c r="D1311" s="8" t="inlineStr">
        <is>
          <t>CYPER COPA 250 EC</t>
        </is>
      </c>
      <c r="E1311" s="7" t="inlineStr">
        <is>
          <t>Pulverização Agrícola Conforme Bula</t>
        </is>
      </c>
      <c r="F1311" s="7" t="inlineStr">
        <is>
          <t>Milho</t>
        </is>
      </c>
      <c r="G1311" s="7" t="inlineStr">
        <is>
          <t>Cultura Autorizada na Bula</t>
        </is>
      </c>
      <c r="H1311" s="7" t="inlineStr">
        <is>
          <t>100 a 300 L/ha</t>
        </is>
      </c>
      <c r="I1311" s="7" t="inlineStr">
        <is>
          <t>20 a 40 L/ha</t>
        </is>
      </c>
      <c r="J1311" s="7" t="inlineStr">
        <is>
          <t>21 dias</t>
        </is>
      </c>
    </row>
    <row r="1312" ht="22" customHeight="1">
      <c r="A1312" s="12" t="inlineStr">
        <is>
          <t>CUL-1308</t>
        </is>
      </c>
      <c r="B1312" s="11" t="n">
        <v>261</v>
      </c>
      <c r="C1312" s="13" t="inlineStr">
        <is>
          <t>Nº 3915</t>
        </is>
      </c>
      <c r="D1312" s="14" t="inlineStr">
        <is>
          <t>CYPER COPA 250 EC</t>
        </is>
      </c>
      <c r="E1312" s="13" t="inlineStr">
        <is>
          <t>Pulverização Agrícola Conforme Bula</t>
        </is>
      </c>
      <c r="F1312" s="13" t="inlineStr">
        <is>
          <t>Algodão</t>
        </is>
      </c>
      <c r="G1312" s="13" t="inlineStr">
        <is>
          <t>Cultura Autorizada na Bula</t>
        </is>
      </c>
      <c r="H1312" s="13" t="inlineStr">
        <is>
          <t>100 a 300 L/ha</t>
        </is>
      </c>
      <c r="I1312" s="13" t="inlineStr">
        <is>
          <t>20 a 40 L/ha</t>
        </is>
      </c>
      <c r="J1312" s="13" t="inlineStr">
        <is>
          <t>21 dias</t>
        </is>
      </c>
    </row>
    <row r="1313" ht="22" customHeight="1">
      <c r="A1313" s="6" t="inlineStr">
        <is>
          <t>CUL-1309</t>
        </is>
      </c>
      <c r="B1313" s="5" t="n">
        <v>261</v>
      </c>
      <c r="C1313" s="7" t="inlineStr">
        <is>
          <t>Nº 3915</t>
        </is>
      </c>
      <c r="D1313" s="8" t="inlineStr">
        <is>
          <t>CYPER COPA 250 EC</t>
        </is>
      </c>
      <c r="E1313" s="7" t="inlineStr">
        <is>
          <t>Pulverização Agrícola Conforme Bula</t>
        </is>
      </c>
      <c r="F1313" s="7" t="inlineStr">
        <is>
          <t>Feijão</t>
        </is>
      </c>
      <c r="G1313" s="7" t="inlineStr">
        <is>
          <t>Cultura Autorizada na Bula</t>
        </is>
      </c>
      <c r="H1313" s="7" t="inlineStr">
        <is>
          <t>100 a 300 L/ha</t>
        </is>
      </c>
      <c r="I1313" s="7" t="inlineStr">
        <is>
          <t>20 a 40 L/ha</t>
        </is>
      </c>
      <c r="J1313" s="7" t="inlineStr">
        <is>
          <t>14 dias</t>
        </is>
      </c>
    </row>
    <row r="1314" ht="22" customHeight="1">
      <c r="A1314" s="12" t="inlineStr">
        <is>
          <t>CUL-1310</t>
        </is>
      </c>
      <c r="B1314" s="11" t="n">
        <v>262</v>
      </c>
      <c r="C1314" s="13" t="inlineStr">
        <is>
          <t>VINCULAR MARCA</t>
        </is>
      </c>
      <c r="D1314" s="14" t="inlineStr">
        <is>
          <t>GLUFOSINATO 880 (PRINCIPIO ATIVO)</t>
        </is>
      </c>
      <c r="E1314" s="13" t="inlineStr">
        <is>
          <t>Uso Exclusivamente Industrial (Formulação)</t>
        </is>
      </c>
      <c r="F1314" s="13" t="inlineStr">
        <is>
          <t>Não Aplicável (Proibido uso direto na lavoura)</t>
        </is>
      </c>
      <c r="G1314" s="13" t="inlineStr">
        <is>
          <t>Insumo Industrial</t>
        </is>
      </c>
      <c r="H1314" s="13" t="inlineStr">
        <is>
          <t>N/A</t>
        </is>
      </c>
      <c r="I1314" s="13" t="inlineStr">
        <is>
          <t>N/A</t>
        </is>
      </c>
      <c r="J1314" s="13" t="inlineStr">
        <is>
          <t>N/A (Insumo Industrial)</t>
        </is>
      </c>
    </row>
    <row r="1315" ht="22" customHeight="1">
      <c r="A1315" s="6" t="inlineStr">
        <is>
          <t>CUL-1311</t>
        </is>
      </c>
      <c r="B1315" s="5" t="n">
        <v>263</v>
      </c>
      <c r="C1315" s="7" t="inlineStr">
        <is>
          <t>SIPEAGRO (UF-XXXXX)</t>
        </is>
      </c>
      <c r="D1315" s="8" t="inlineStr">
        <is>
          <t>AGCN ULTRA COPPER</t>
        </is>
      </c>
      <c r="E1315" s="7" t="inlineStr">
        <is>
          <t>Adubação de Solo / Foliar</t>
        </is>
      </c>
      <c r="F1315" s="7" t="inlineStr">
        <is>
          <t>Soja</t>
        </is>
      </c>
      <c r="G1315" s="7" t="inlineStr">
        <is>
          <t>Cultura Autorizada na Bula</t>
        </is>
      </c>
      <c r="H1315" s="7" t="inlineStr">
        <is>
          <t>100 a 300 L/ha</t>
        </is>
      </c>
      <c r="I1315" s="7" t="inlineStr">
        <is>
          <t>20 a 40 L/ha</t>
        </is>
      </c>
      <c r="J1315" s="7" t="inlineStr">
        <is>
          <t>Isento</t>
        </is>
      </c>
    </row>
    <row r="1316" ht="22" customHeight="1">
      <c r="A1316" s="12" t="inlineStr">
        <is>
          <t>CUL-1312</t>
        </is>
      </c>
      <c r="B1316" s="11" t="n">
        <v>263</v>
      </c>
      <c r="C1316" s="13" t="inlineStr">
        <is>
          <t>SIPEAGRO (UF-XXXXX)</t>
        </is>
      </c>
      <c r="D1316" s="14" t="inlineStr">
        <is>
          <t>AGCN ULTRA COPPER</t>
        </is>
      </c>
      <c r="E1316" s="13" t="inlineStr">
        <is>
          <t>Adubação de Solo / Foliar</t>
        </is>
      </c>
      <c r="F1316" s="13" t="inlineStr">
        <is>
          <t>Milho</t>
        </is>
      </c>
      <c r="G1316" s="13" t="inlineStr">
        <is>
          <t>Cultura Autorizada na Bula</t>
        </is>
      </c>
      <c r="H1316" s="13" t="inlineStr">
        <is>
          <t>100 a 300 L/ha</t>
        </is>
      </c>
      <c r="I1316" s="13" t="inlineStr">
        <is>
          <t>20 a 40 L/ha</t>
        </is>
      </c>
      <c r="J1316" s="13" t="inlineStr">
        <is>
          <t>Isento</t>
        </is>
      </c>
    </row>
    <row r="1317" ht="22" customHeight="1">
      <c r="A1317" s="6" t="inlineStr">
        <is>
          <t>CUL-1313</t>
        </is>
      </c>
      <c r="B1317" s="5" t="n">
        <v>263</v>
      </c>
      <c r="C1317" s="7" t="inlineStr">
        <is>
          <t>SIPEAGRO (UF-XXXXX)</t>
        </is>
      </c>
      <c r="D1317" s="8" t="inlineStr">
        <is>
          <t>AGCN ULTRA COPPER</t>
        </is>
      </c>
      <c r="E1317" s="7" t="inlineStr">
        <is>
          <t>Adubação de Solo / Foliar</t>
        </is>
      </c>
      <c r="F1317" s="7" t="inlineStr">
        <is>
          <t>Algodão</t>
        </is>
      </c>
      <c r="G1317" s="7" t="inlineStr">
        <is>
          <t>Cultura Autorizada na Bula</t>
        </is>
      </c>
      <c r="H1317" s="7" t="inlineStr">
        <is>
          <t>100 a 300 L/ha</t>
        </is>
      </c>
      <c r="I1317" s="7" t="inlineStr">
        <is>
          <t>20 a 40 L/ha</t>
        </is>
      </c>
      <c r="J1317" s="7" t="inlineStr">
        <is>
          <t>Isento</t>
        </is>
      </c>
    </row>
    <row r="1318" ht="22" customHeight="1">
      <c r="A1318" s="12" t="inlineStr">
        <is>
          <t>CUL-1314</t>
        </is>
      </c>
      <c r="B1318" s="11" t="n">
        <v>263</v>
      </c>
      <c r="C1318" s="13" t="inlineStr">
        <is>
          <t>SIPEAGRO (UF-XXXXX)</t>
        </is>
      </c>
      <c r="D1318" s="14" t="inlineStr">
        <is>
          <t>AGCN ULTRA COPPER</t>
        </is>
      </c>
      <c r="E1318" s="13" t="inlineStr">
        <is>
          <t>Adubação de Solo / Foliar</t>
        </is>
      </c>
      <c r="F1318" s="13" t="inlineStr">
        <is>
          <t>Cana-de-açúcar</t>
        </is>
      </c>
      <c r="G1318" s="13" t="inlineStr">
        <is>
          <t>Cultura Autorizada na Bula</t>
        </is>
      </c>
      <c r="H1318" s="13" t="inlineStr">
        <is>
          <t>100 a 300 L/ha</t>
        </is>
      </c>
      <c r="I1318" s="13" t="inlineStr">
        <is>
          <t>20 a 40 L/ha</t>
        </is>
      </c>
      <c r="J1318" s="13" t="inlineStr">
        <is>
          <t>Isento</t>
        </is>
      </c>
    </row>
    <row r="1319" ht="22" customHeight="1">
      <c r="A1319" s="6" t="inlineStr">
        <is>
          <t>CUL-1315</t>
        </is>
      </c>
      <c r="B1319" s="5" t="n">
        <v>263</v>
      </c>
      <c r="C1319" s="7" t="inlineStr">
        <is>
          <t>SIPEAGRO (UF-XXXXX)</t>
        </is>
      </c>
      <c r="D1319" s="8" t="inlineStr">
        <is>
          <t>AGCN ULTRA COPPER</t>
        </is>
      </c>
      <c r="E1319" s="7" t="inlineStr">
        <is>
          <t>Adubação de Solo / Foliar</t>
        </is>
      </c>
      <c r="F1319" s="7" t="inlineStr">
        <is>
          <t>Café</t>
        </is>
      </c>
      <c r="G1319" s="7" t="inlineStr">
        <is>
          <t>Cultura Autorizada na Bula</t>
        </is>
      </c>
      <c r="H1319" s="7" t="inlineStr">
        <is>
          <t>100 a 300 L/ha</t>
        </is>
      </c>
      <c r="I1319" s="7" t="inlineStr">
        <is>
          <t>20 a 40 L/ha</t>
        </is>
      </c>
      <c r="J1319" s="7" t="inlineStr">
        <is>
          <t>Isento</t>
        </is>
      </c>
    </row>
    <row r="1320" ht="22" customHeight="1">
      <c r="A1320" s="12" t="inlineStr">
        <is>
          <t>CUL-1316</t>
        </is>
      </c>
      <c r="B1320" s="11" t="n">
        <v>264</v>
      </c>
      <c r="C1320" s="13" t="inlineStr">
        <is>
          <t>Nº 17219</t>
        </is>
      </c>
      <c r="D1320" s="14" t="inlineStr">
        <is>
          <t>FLUAZINAM</t>
        </is>
      </c>
      <c r="E1320" s="13" t="inlineStr">
        <is>
          <t>Pulverização Agrícola Conforme Bula</t>
        </is>
      </c>
      <c r="F1320" s="13" t="inlineStr">
        <is>
          <t>Soja</t>
        </is>
      </c>
      <c r="G1320" s="13" t="inlineStr">
        <is>
          <t>Cultura Autorizada na Bula</t>
        </is>
      </c>
      <c r="H1320" s="13" t="inlineStr">
        <is>
          <t>100 a 300 L/ha</t>
        </is>
      </c>
      <c r="I1320" s="13" t="inlineStr">
        <is>
          <t>20 a 40 L/ha</t>
        </is>
      </c>
      <c r="J1320" s="13" t="inlineStr">
        <is>
          <t>28 dias</t>
        </is>
      </c>
    </row>
    <row r="1321" ht="22" customHeight="1">
      <c r="A1321" s="6" t="inlineStr">
        <is>
          <t>CUL-1317</t>
        </is>
      </c>
      <c r="B1321" s="5" t="n">
        <v>264</v>
      </c>
      <c r="C1321" s="7" t="inlineStr">
        <is>
          <t>Nº 17219</t>
        </is>
      </c>
      <c r="D1321" s="8" t="inlineStr">
        <is>
          <t>FLUAZINAM</t>
        </is>
      </c>
      <c r="E1321" s="7" t="inlineStr">
        <is>
          <t>Pulverização Agrícola Conforme Bula</t>
        </is>
      </c>
      <c r="F1321" s="7" t="inlineStr">
        <is>
          <t>Feijão</t>
        </is>
      </c>
      <c r="G1321" s="7" t="inlineStr">
        <is>
          <t>Cultura Autorizada na Bula</t>
        </is>
      </c>
      <c r="H1321" s="7" t="inlineStr">
        <is>
          <t>100 a 300 L/ha</t>
        </is>
      </c>
      <c r="I1321" s="7" t="inlineStr">
        <is>
          <t>20 a 40 L/ha</t>
        </is>
      </c>
      <c r="J1321" s="7" t="inlineStr">
        <is>
          <t>20 dias</t>
        </is>
      </c>
    </row>
    <row r="1322" ht="22" customHeight="1">
      <c r="A1322" s="12" t="inlineStr">
        <is>
          <t>CUL-1318</t>
        </is>
      </c>
      <c r="B1322" s="11" t="n">
        <v>264</v>
      </c>
      <c r="C1322" s="13" t="inlineStr">
        <is>
          <t>Nº 17219</t>
        </is>
      </c>
      <c r="D1322" s="14" t="inlineStr">
        <is>
          <t>FLUAZINAM</t>
        </is>
      </c>
      <c r="E1322" s="13" t="inlineStr">
        <is>
          <t>Pulverização Agrícola Conforme Bula</t>
        </is>
      </c>
      <c r="F1322" s="13" t="inlineStr">
        <is>
          <t>Batata</t>
        </is>
      </c>
      <c r="G1322" s="13" t="inlineStr">
        <is>
          <t>Cultura Autorizada na Bula</t>
        </is>
      </c>
      <c r="H1322" s="13" t="inlineStr">
        <is>
          <t>100 a 300 L/ha</t>
        </is>
      </c>
      <c r="I1322" s="13" t="inlineStr">
        <is>
          <t>20 a 40 L/ha</t>
        </is>
      </c>
      <c r="J1322" s="13" t="inlineStr">
        <is>
          <t>7 dias</t>
        </is>
      </c>
    </row>
    <row r="1323" ht="22" customHeight="1">
      <c r="A1323" s="6" t="inlineStr">
        <is>
          <t>CUL-1319</t>
        </is>
      </c>
      <c r="B1323" s="5" t="n">
        <v>264</v>
      </c>
      <c r="C1323" s="7" t="inlineStr">
        <is>
          <t>Nº 17219</t>
        </is>
      </c>
      <c r="D1323" s="8" t="inlineStr">
        <is>
          <t>FLUAZINAM</t>
        </is>
      </c>
      <c r="E1323" s="7" t="inlineStr">
        <is>
          <t>Pulverização Agrícola Conforme Bula</t>
        </is>
      </c>
      <c r="F1323" s="7" t="inlineStr">
        <is>
          <t>Algodão</t>
        </is>
      </c>
      <c r="G1323" s="7" t="inlineStr">
        <is>
          <t>Cultura Autorizada na Bula</t>
        </is>
      </c>
      <c r="H1323" s="7" t="inlineStr">
        <is>
          <t>100 a 300 L/ha</t>
        </is>
      </c>
      <c r="I1323" s="7" t="inlineStr">
        <is>
          <t>20 a 40 L/ha</t>
        </is>
      </c>
      <c r="J1323" s="7" t="inlineStr">
        <is>
          <t>30 dias</t>
        </is>
      </c>
    </row>
    <row r="1324" ht="22" customHeight="1">
      <c r="A1324" s="12" t="inlineStr">
        <is>
          <t>CUL-1320</t>
        </is>
      </c>
      <c r="B1324" s="11" t="n">
        <v>264</v>
      </c>
      <c r="C1324" s="13" t="inlineStr">
        <is>
          <t>Nº 17219</t>
        </is>
      </c>
      <c r="D1324" s="14" t="inlineStr">
        <is>
          <t>FLUAZINAM</t>
        </is>
      </c>
      <c r="E1324" s="13" t="inlineStr">
        <is>
          <t>Pulverização Agrícola Conforme Bula</t>
        </is>
      </c>
      <c r="F1324" s="13" t="inlineStr">
        <is>
          <t>Tomate</t>
        </is>
      </c>
      <c r="G1324" s="13" t="inlineStr">
        <is>
          <t>Cultura Autorizada na Bula</t>
        </is>
      </c>
      <c r="H1324" s="13" t="inlineStr">
        <is>
          <t>100 a 300 L/ha</t>
        </is>
      </c>
      <c r="I1324" s="13" t="inlineStr">
        <is>
          <t>20 a 40 L/ha</t>
        </is>
      </c>
      <c r="J1324" s="13" t="inlineStr">
        <is>
          <t>7 dias</t>
        </is>
      </c>
    </row>
    <row r="1325" ht="22" customHeight="1">
      <c r="A1325" s="6" t="inlineStr">
        <is>
          <t>CUL-1321</t>
        </is>
      </c>
      <c r="B1325" s="5" t="n">
        <v>265</v>
      </c>
      <c r="C1325" s="7" t="inlineStr">
        <is>
          <t>Nº 14421</t>
        </is>
      </c>
      <c r="D1325" s="8" t="inlineStr">
        <is>
          <t>FIPRONIL 250 FS AGCN</t>
        </is>
      </c>
      <c r="E1325" s="7" t="inlineStr">
        <is>
          <t>Tratamento de Sementes / Sulco</t>
        </is>
      </c>
      <c r="F1325" s="7" t="inlineStr">
        <is>
          <t>Soja (Trat. Sementes / Sulco)</t>
        </is>
      </c>
      <c r="G1325" s="7" t="inlineStr">
        <is>
          <t>Cultura Autorizada na Bula</t>
        </is>
      </c>
      <c r="H1325" s="7" t="inlineStr">
        <is>
          <t>Calda TS (0,2 a 0,6 L/100kg sem.)</t>
        </is>
      </c>
      <c r="I1325" s="7" t="inlineStr">
        <is>
          <t>Não Autorizada (TS)</t>
        </is>
      </c>
      <c r="J1325" s="7" t="inlineStr">
        <is>
          <t>N/D</t>
        </is>
      </c>
    </row>
    <row r="1326" ht="22" customHeight="1">
      <c r="A1326" s="12" t="inlineStr">
        <is>
          <t>CUL-1322</t>
        </is>
      </c>
      <c r="B1326" s="11" t="n">
        <v>265</v>
      </c>
      <c r="C1326" s="13" t="inlineStr">
        <is>
          <t>Nº 14421</t>
        </is>
      </c>
      <c r="D1326" s="14" t="inlineStr">
        <is>
          <t>FIPRONIL 250 FS AGCN</t>
        </is>
      </c>
      <c r="E1326" s="13" t="inlineStr">
        <is>
          <t>Tratamento de Sementes / Sulco</t>
        </is>
      </c>
      <c r="F1326" s="13" t="inlineStr">
        <is>
          <t>Milho (Trat. Sementes)</t>
        </is>
      </c>
      <c r="G1326" s="13" t="inlineStr">
        <is>
          <t>Cultura Autorizada na Bula</t>
        </is>
      </c>
      <c r="H1326" s="13" t="inlineStr">
        <is>
          <t>Calda TS (0,2 a 0,6 L/100kg sem.)</t>
        </is>
      </c>
      <c r="I1326" s="13" t="inlineStr">
        <is>
          <t>Não Autorizada (TS)</t>
        </is>
      </c>
      <c r="J1326" s="13" t="inlineStr">
        <is>
          <t>N/D</t>
        </is>
      </c>
    </row>
    <row r="1327" ht="22" customHeight="1">
      <c r="A1327" s="6" t="inlineStr">
        <is>
          <t>CUL-1323</t>
        </is>
      </c>
      <c r="B1327" s="5" t="n">
        <v>265</v>
      </c>
      <c r="C1327" s="7" t="inlineStr">
        <is>
          <t>Nº 14421</t>
        </is>
      </c>
      <c r="D1327" s="8" t="inlineStr">
        <is>
          <t>FIPRONIL 250 FS AGCN</t>
        </is>
      </c>
      <c r="E1327" s="7" t="inlineStr">
        <is>
          <t>Tratamento de Sementes / Sulco</t>
        </is>
      </c>
      <c r="F1327" s="7" t="inlineStr">
        <is>
          <t>Algodão</t>
        </is>
      </c>
      <c r="G1327" s="7" t="inlineStr">
        <is>
          <t>Cultura Autorizada na Bula</t>
        </is>
      </c>
      <c r="H1327" s="7" t="inlineStr">
        <is>
          <t>Calda TS (0,2 a 0,6 L/100kg sem.)</t>
        </is>
      </c>
      <c r="I1327" s="7" t="inlineStr">
        <is>
          <t>Não Autorizada (TS)</t>
        </is>
      </c>
      <c r="J1327" s="7" t="inlineStr">
        <is>
          <t>N/D</t>
        </is>
      </c>
    </row>
    <row r="1328" ht="22" customHeight="1">
      <c r="A1328" s="12" t="inlineStr">
        <is>
          <t>CUL-1324</t>
        </is>
      </c>
      <c r="B1328" s="11" t="n">
        <v>265</v>
      </c>
      <c r="C1328" s="13" t="inlineStr">
        <is>
          <t>Nº 14421</t>
        </is>
      </c>
      <c r="D1328" s="14" t="inlineStr">
        <is>
          <t>FIPRONIL 250 FS AGCN</t>
        </is>
      </c>
      <c r="E1328" s="13" t="inlineStr">
        <is>
          <t>Tratamento de Sementes / Sulco</t>
        </is>
      </c>
      <c r="F1328" s="13" t="inlineStr">
        <is>
          <t>Cana-de-açúcar (Sulco)</t>
        </is>
      </c>
      <c r="G1328" s="13" t="inlineStr">
        <is>
          <t>Cultura Autorizada na Bula</t>
        </is>
      </c>
      <c r="H1328" s="13" t="inlineStr">
        <is>
          <t>Calda TS (0,2 a 0,6 L/100kg sem.)</t>
        </is>
      </c>
      <c r="I1328" s="13" t="inlineStr">
        <is>
          <t>Não Autorizada (TS)</t>
        </is>
      </c>
      <c r="J1328" s="13" t="inlineStr">
        <is>
          <t>N/D</t>
        </is>
      </c>
    </row>
    <row r="1329" ht="22" customHeight="1">
      <c r="A1329" s="6" t="inlineStr">
        <is>
          <t>CUL-1325</t>
        </is>
      </c>
      <c r="B1329" s="5" t="n">
        <v>265</v>
      </c>
      <c r="C1329" s="7" t="inlineStr">
        <is>
          <t>Nº 14421</t>
        </is>
      </c>
      <c r="D1329" s="8" t="inlineStr">
        <is>
          <t>FIPRONIL 250 FS AGCN</t>
        </is>
      </c>
      <c r="E1329" s="7" t="inlineStr">
        <is>
          <t>Tratamento de Sementes / Sulco</t>
        </is>
      </c>
      <c r="F1329" s="7" t="inlineStr">
        <is>
          <t>Arroz</t>
        </is>
      </c>
      <c r="G1329" s="7" t="inlineStr">
        <is>
          <t>Cultura Autorizada na Bula</t>
        </is>
      </c>
      <c r="H1329" s="7" t="inlineStr">
        <is>
          <t>Calda TS (0,2 a 0,6 L/100kg sem.)</t>
        </is>
      </c>
      <c r="I1329" s="7" t="inlineStr">
        <is>
          <t>Não Autorizada (TS)</t>
        </is>
      </c>
      <c r="J1329" s="7" t="inlineStr">
        <is>
          <t>N/D</t>
        </is>
      </c>
    </row>
    <row r="1330" ht="22" customHeight="1">
      <c r="A1330" s="12" t="inlineStr">
        <is>
          <t>CUL-1326</t>
        </is>
      </c>
      <c r="B1330" s="11" t="n">
        <v>265</v>
      </c>
      <c r="C1330" s="13" t="inlineStr">
        <is>
          <t>Nº 14421</t>
        </is>
      </c>
      <c r="D1330" s="14" t="inlineStr">
        <is>
          <t>FIPRONIL 250 FS AGCN</t>
        </is>
      </c>
      <c r="E1330" s="13" t="inlineStr">
        <is>
          <t>Tratamento de Sementes / Sulco</t>
        </is>
      </c>
      <c r="F1330" s="13" t="inlineStr">
        <is>
          <t>Feijão</t>
        </is>
      </c>
      <c r="G1330" s="13" t="inlineStr">
        <is>
          <t>Cultura Autorizada na Bula</t>
        </is>
      </c>
      <c r="H1330" s="13" t="inlineStr">
        <is>
          <t>Calda TS (0,2 a 0,6 L/100kg sem.)</t>
        </is>
      </c>
      <c r="I1330" s="13" t="inlineStr">
        <is>
          <t>Não Autorizada (TS)</t>
        </is>
      </c>
      <c r="J1330" s="13" t="inlineStr">
        <is>
          <t>N/D</t>
        </is>
      </c>
    </row>
    <row r="1331" ht="22" customHeight="1">
      <c r="A1331" s="6" t="inlineStr">
        <is>
          <t>CUL-1327</t>
        </is>
      </c>
      <c r="B1331" s="5" t="n">
        <v>265</v>
      </c>
      <c r="C1331" s="7" t="inlineStr">
        <is>
          <t>Nº 14421</t>
        </is>
      </c>
      <c r="D1331" s="8" t="inlineStr">
        <is>
          <t>FIPRONIL 250 FS AGCN</t>
        </is>
      </c>
      <c r="E1331" s="7" t="inlineStr">
        <is>
          <t>Tratamento de Sementes / Sulco</t>
        </is>
      </c>
      <c r="F1331" s="7" t="inlineStr">
        <is>
          <t>Pastagens</t>
        </is>
      </c>
      <c r="G1331" s="7" t="inlineStr">
        <is>
          <t>Cultura Autorizada na Bula</t>
        </is>
      </c>
      <c r="H1331" s="7" t="inlineStr">
        <is>
          <t>Calda TS (0,2 a 0,6 L/100kg sem.)</t>
        </is>
      </c>
      <c r="I1331" s="7" t="inlineStr">
        <is>
          <t>Não Autorizada (TS)</t>
        </is>
      </c>
      <c r="J1331" s="7" t="inlineStr">
        <is>
          <t>N/D</t>
        </is>
      </c>
    </row>
    <row r="1332" ht="22" customHeight="1">
      <c r="A1332" s="12" t="inlineStr">
        <is>
          <t>CUL-1328</t>
        </is>
      </c>
      <c r="B1332" s="11" t="n">
        <v>265</v>
      </c>
      <c r="C1332" s="13" t="inlineStr">
        <is>
          <t>Nº 14421</t>
        </is>
      </c>
      <c r="D1332" s="14" t="inlineStr">
        <is>
          <t>FIPRONIL 250 FS AGCN</t>
        </is>
      </c>
      <c r="E1332" s="13" t="inlineStr">
        <is>
          <t>Tratamento de Sementes / Sulco</t>
        </is>
      </c>
      <c r="F1332" s="13" t="inlineStr">
        <is>
          <t>Trigo</t>
        </is>
      </c>
      <c r="G1332" s="13" t="inlineStr">
        <is>
          <t>Cultura Autorizada na Bula</t>
        </is>
      </c>
      <c r="H1332" s="13" t="inlineStr">
        <is>
          <t>Calda TS (0,2 a 0,6 L/100kg sem.)</t>
        </is>
      </c>
      <c r="I1332" s="13" t="inlineStr">
        <is>
          <t>Não Autorizada (TS)</t>
        </is>
      </c>
      <c r="J1332" s="13" t="inlineStr">
        <is>
          <t>N/D</t>
        </is>
      </c>
    </row>
    <row r="1333" ht="22" customHeight="1">
      <c r="A1333" s="6" t="inlineStr">
        <is>
          <t>CUL-1329</t>
        </is>
      </c>
      <c r="B1333" s="5" t="n">
        <v>266</v>
      </c>
      <c r="C1333" s="7" t="inlineStr">
        <is>
          <t>Nº 14024</t>
        </is>
      </c>
      <c r="D1333" s="8" t="inlineStr">
        <is>
          <t>ETHIPROLE</t>
        </is>
      </c>
      <c r="E1333" s="7" t="inlineStr">
        <is>
          <t>Pulverização Agrícola Conforme Bula</t>
        </is>
      </c>
      <c r="F1333" s="7" t="inlineStr">
        <is>
          <t>Soja</t>
        </is>
      </c>
      <c r="G1333" s="7" t="inlineStr">
        <is>
          <t>Cultura Autorizada na Bula</t>
        </is>
      </c>
      <c r="H1333" s="7" t="inlineStr">
        <is>
          <t>100 a 300 L/ha</t>
        </is>
      </c>
      <c r="I1333" s="7" t="inlineStr">
        <is>
          <t>20 a 40 L/ha</t>
        </is>
      </c>
      <c r="J1333" s="7" t="inlineStr">
        <is>
          <t>21 dias</t>
        </is>
      </c>
    </row>
    <row r="1334" ht="22" customHeight="1">
      <c r="A1334" s="12" t="inlineStr">
        <is>
          <t>CUL-1330</t>
        </is>
      </c>
      <c r="B1334" s="11" t="n">
        <v>266</v>
      </c>
      <c r="C1334" s="13" t="inlineStr">
        <is>
          <t>Nº 14024</t>
        </is>
      </c>
      <c r="D1334" s="14" t="inlineStr">
        <is>
          <t>ETHIPROLE</t>
        </is>
      </c>
      <c r="E1334" s="13" t="inlineStr">
        <is>
          <t>Pulverização Agrícola Conforme Bula</t>
        </is>
      </c>
      <c r="F1334" s="13" t="inlineStr">
        <is>
          <t>Milho</t>
        </is>
      </c>
      <c r="G1334" s="13" t="inlineStr">
        <is>
          <t>Cultura Autorizada na Bula</t>
        </is>
      </c>
      <c r="H1334" s="13" t="inlineStr">
        <is>
          <t>100 a 300 L/ha</t>
        </is>
      </c>
      <c r="I1334" s="13" t="inlineStr">
        <is>
          <t>20 a 40 L/ha</t>
        </is>
      </c>
      <c r="J1334" s="13" t="inlineStr">
        <is>
          <t>21 dias</t>
        </is>
      </c>
    </row>
    <row r="1335" ht="22" customHeight="1">
      <c r="A1335" s="6" t="inlineStr">
        <is>
          <t>CUL-1331</t>
        </is>
      </c>
      <c r="B1335" s="5" t="n">
        <v>266</v>
      </c>
      <c r="C1335" s="7" t="inlineStr">
        <is>
          <t>Nº 14024</t>
        </is>
      </c>
      <c r="D1335" s="8" t="inlineStr">
        <is>
          <t>ETHIPROLE</t>
        </is>
      </c>
      <c r="E1335" s="7" t="inlineStr">
        <is>
          <t>Pulverização Agrícola Conforme Bula</t>
        </is>
      </c>
      <c r="F1335" s="7" t="inlineStr">
        <is>
          <t>Algodão</t>
        </is>
      </c>
      <c r="G1335" s="7" t="inlineStr">
        <is>
          <t>Cultura Autorizada na Bula</t>
        </is>
      </c>
      <c r="H1335" s="7" t="inlineStr">
        <is>
          <t>100 a 300 L/ha</t>
        </is>
      </c>
      <c r="I1335" s="7" t="inlineStr">
        <is>
          <t>20 a 40 L/ha</t>
        </is>
      </c>
      <c r="J1335" s="7" t="inlineStr">
        <is>
          <t>21 dias</t>
        </is>
      </c>
    </row>
    <row r="1336" ht="22" customHeight="1">
      <c r="A1336" s="12" t="inlineStr">
        <is>
          <t>CUL-1332</t>
        </is>
      </c>
      <c r="B1336" s="11" t="n">
        <v>266</v>
      </c>
      <c r="C1336" s="13" t="inlineStr">
        <is>
          <t>Nº 14024</t>
        </is>
      </c>
      <c r="D1336" s="14" t="inlineStr">
        <is>
          <t>ETHIPROLE</t>
        </is>
      </c>
      <c r="E1336" s="13" t="inlineStr">
        <is>
          <t>Pulverização Agrícola Conforme Bula</t>
        </is>
      </c>
      <c r="F1336" s="13" t="inlineStr">
        <is>
          <t>Feijão</t>
        </is>
      </c>
      <c r="G1336" s="13" t="inlineStr">
        <is>
          <t>Cultura Autorizada na Bula</t>
        </is>
      </c>
      <c r="H1336" s="13" t="inlineStr">
        <is>
          <t>100 a 300 L/ha</t>
        </is>
      </c>
      <c r="I1336" s="13" t="inlineStr">
        <is>
          <t>20 a 40 L/ha</t>
        </is>
      </c>
      <c r="J1336" s="13" t="inlineStr">
        <is>
          <t>14 dias</t>
        </is>
      </c>
    </row>
    <row r="1337" ht="22" customHeight="1">
      <c r="A1337" s="6" t="inlineStr">
        <is>
          <t>CUL-1333</t>
        </is>
      </c>
      <c r="B1337" s="5" t="n">
        <v>267</v>
      </c>
      <c r="C1337" s="7" t="inlineStr">
        <is>
          <t>Nº 2004</t>
        </is>
      </c>
      <c r="D1337" s="8" t="inlineStr">
        <is>
          <t>PENNCOZEB</t>
        </is>
      </c>
      <c r="E1337" s="7" t="inlineStr">
        <is>
          <t>Pulverização Agrícola Conforme Bula</t>
        </is>
      </c>
      <c r="F1337" s="7" t="inlineStr">
        <is>
          <t>Soja</t>
        </is>
      </c>
      <c r="G1337" s="7" t="inlineStr">
        <is>
          <t>Cultura Autorizada na Bula</t>
        </is>
      </c>
      <c r="H1337" s="7" t="inlineStr">
        <is>
          <t>100 a 300 L/ha</t>
        </is>
      </c>
      <c r="I1337" s="7" t="inlineStr">
        <is>
          <t>20 a 40 L/ha</t>
        </is>
      </c>
      <c r="J1337" s="7" t="inlineStr">
        <is>
          <t>21 dias</t>
        </is>
      </c>
    </row>
    <row r="1338" ht="22" customHeight="1">
      <c r="A1338" s="12" t="inlineStr">
        <is>
          <t>CUL-1334</t>
        </is>
      </c>
      <c r="B1338" s="11" t="n">
        <v>267</v>
      </c>
      <c r="C1338" s="13" t="inlineStr">
        <is>
          <t>Nº 2004</t>
        </is>
      </c>
      <c r="D1338" s="14" t="inlineStr">
        <is>
          <t>PENNCOZEB</t>
        </is>
      </c>
      <c r="E1338" s="13" t="inlineStr">
        <is>
          <t>Pulverização Agrícola Conforme Bula</t>
        </is>
      </c>
      <c r="F1338" s="13" t="inlineStr">
        <is>
          <t>Algodão</t>
        </is>
      </c>
      <c r="G1338" s="13" t="inlineStr">
        <is>
          <t>Cultura Autorizada na Bula</t>
        </is>
      </c>
      <c r="H1338" s="13" t="inlineStr">
        <is>
          <t>100 a 300 L/ha</t>
        </is>
      </c>
      <c r="I1338" s="13" t="inlineStr">
        <is>
          <t>20 a 40 L/ha</t>
        </is>
      </c>
      <c r="J1338" s="13" t="inlineStr">
        <is>
          <t>21 dias</t>
        </is>
      </c>
    </row>
    <row r="1339" ht="22" customHeight="1">
      <c r="A1339" s="6" t="inlineStr">
        <is>
          <t>CUL-1335</t>
        </is>
      </c>
      <c r="B1339" s="5" t="n">
        <v>267</v>
      </c>
      <c r="C1339" s="7" t="inlineStr">
        <is>
          <t>Nº 2004</t>
        </is>
      </c>
      <c r="D1339" s="8" t="inlineStr">
        <is>
          <t>PENNCOZEB</t>
        </is>
      </c>
      <c r="E1339" s="7" t="inlineStr">
        <is>
          <t>Pulverização Agrícola Conforme Bula</t>
        </is>
      </c>
      <c r="F1339" s="7" t="inlineStr">
        <is>
          <t>Café</t>
        </is>
      </c>
      <c r="G1339" s="7" t="inlineStr">
        <is>
          <t>Cultura Autorizada na Bula</t>
        </is>
      </c>
      <c r="H1339" s="7" t="inlineStr">
        <is>
          <t>100 a 300 L/ha</t>
        </is>
      </c>
      <c r="I1339" s="7" t="inlineStr">
        <is>
          <t>20 a 40 L/ha</t>
        </is>
      </c>
      <c r="J1339" s="7" t="inlineStr">
        <is>
          <t>21 dias</t>
        </is>
      </c>
    </row>
    <row r="1340" ht="22" customHeight="1">
      <c r="A1340" s="12" t="inlineStr">
        <is>
          <t>CUL-1336</t>
        </is>
      </c>
      <c r="B1340" s="11" t="n">
        <v>267</v>
      </c>
      <c r="C1340" s="13" t="inlineStr">
        <is>
          <t>Nº 2004</t>
        </is>
      </c>
      <c r="D1340" s="14" t="inlineStr">
        <is>
          <t>PENNCOZEB</t>
        </is>
      </c>
      <c r="E1340" s="13" t="inlineStr">
        <is>
          <t>Pulverização Agrícola Conforme Bula</t>
        </is>
      </c>
      <c r="F1340" s="13" t="inlineStr">
        <is>
          <t>Feijão</t>
        </is>
      </c>
      <c r="G1340" s="13" t="inlineStr">
        <is>
          <t>Cultura Autorizada na Bula</t>
        </is>
      </c>
      <c r="H1340" s="13" t="inlineStr">
        <is>
          <t>100 a 300 L/ha</t>
        </is>
      </c>
      <c r="I1340" s="13" t="inlineStr">
        <is>
          <t>20 a 40 L/ha</t>
        </is>
      </c>
      <c r="J1340" s="13" t="inlineStr">
        <is>
          <t>14 dias</t>
        </is>
      </c>
    </row>
    <row r="1341" ht="22" customHeight="1">
      <c r="A1341" s="6" t="inlineStr">
        <is>
          <t>CUL-1337</t>
        </is>
      </c>
      <c r="B1341" s="5" t="n">
        <v>267</v>
      </c>
      <c r="C1341" s="7" t="inlineStr">
        <is>
          <t>Nº 2004</t>
        </is>
      </c>
      <c r="D1341" s="8" t="inlineStr">
        <is>
          <t>PENNCOZEB</t>
        </is>
      </c>
      <c r="E1341" s="7" t="inlineStr">
        <is>
          <t>Pulverização Agrícola Conforme Bula</t>
        </is>
      </c>
      <c r="F1341" s="7" t="inlineStr">
        <is>
          <t>Milho</t>
        </is>
      </c>
      <c r="G1341" s="7" t="inlineStr">
        <is>
          <t>Cultura Autorizada na Bula</t>
        </is>
      </c>
      <c r="H1341" s="7" t="inlineStr">
        <is>
          <t>100 a 300 L/ha</t>
        </is>
      </c>
      <c r="I1341" s="7" t="inlineStr">
        <is>
          <t>20 a 40 L/ha</t>
        </is>
      </c>
      <c r="J1341" s="7" t="inlineStr">
        <is>
          <t>21 dias</t>
        </is>
      </c>
    </row>
    <row r="1342" ht="22" customHeight="1">
      <c r="A1342" s="12" t="inlineStr">
        <is>
          <t>CUL-1338</t>
        </is>
      </c>
      <c r="B1342" s="11" t="n">
        <v>267</v>
      </c>
      <c r="C1342" s="13" t="inlineStr">
        <is>
          <t>Nº 2004</t>
        </is>
      </c>
      <c r="D1342" s="14" t="inlineStr">
        <is>
          <t>PENNCOZEB</t>
        </is>
      </c>
      <c r="E1342" s="13" t="inlineStr">
        <is>
          <t>Pulverização Agrícola Conforme Bula</t>
        </is>
      </c>
      <c r="F1342" s="13" t="inlineStr">
        <is>
          <t>Batata</t>
        </is>
      </c>
      <c r="G1342" s="13" t="inlineStr">
        <is>
          <t>Cultura Autorizada na Bula</t>
        </is>
      </c>
      <c r="H1342" s="13" t="inlineStr">
        <is>
          <t>100 a 300 L/ha</t>
        </is>
      </c>
      <c r="I1342" s="13" t="inlineStr">
        <is>
          <t>20 a 40 L/ha</t>
        </is>
      </c>
      <c r="J1342" s="13" t="inlineStr">
        <is>
          <t>7 dias</t>
        </is>
      </c>
    </row>
    <row r="1343" ht="22" customHeight="1">
      <c r="A1343" s="6" t="inlineStr">
        <is>
          <t>CUL-1339</t>
        </is>
      </c>
      <c r="B1343" s="5" t="n">
        <v>267</v>
      </c>
      <c r="C1343" s="7" t="inlineStr">
        <is>
          <t>Nº 2004</t>
        </is>
      </c>
      <c r="D1343" s="8" t="inlineStr">
        <is>
          <t>PENNCOZEB</t>
        </is>
      </c>
      <c r="E1343" s="7" t="inlineStr">
        <is>
          <t>Pulverização Agrícola Conforme Bula</t>
        </is>
      </c>
      <c r="F1343" s="7" t="inlineStr">
        <is>
          <t>Tomate</t>
        </is>
      </c>
      <c r="G1343" s="7" t="inlineStr">
        <is>
          <t>Cultura Autorizada na Bula</t>
        </is>
      </c>
      <c r="H1343" s="7" t="inlineStr">
        <is>
          <t>100 a 300 L/ha</t>
        </is>
      </c>
      <c r="I1343" s="7" t="inlineStr">
        <is>
          <t>20 a 40 L/ha</t>
        </is>
      </c>
      <c r="J1343" s="7" t="inlineStr">
        <is>
          <t>7 dias</t>
        </is>
      </c>
    </row>
    <row r="1344" ht="22" customHeight="1">
      <c r="A1344" s="12" t="inlineStr">
        <is>
          <t>CUL-1340</t>
        </is>
      </c>
      <c r="B1344" s="11" t="n">
        <v>267</v>
      </c>
      <c r="C1344" s="13" t="inlineStr">
        <is>
          <t>Nº 2004</t>
        </is>
      </c>
      <c r="D1344" s="14" t="inlineStr">
        <is>
          <t>PENNCOZEB</t>
        </is>
      </c>
      <c r="E1344" s="13" t="inlineStr">
        <is>
          <t>Pulverização Agrícola Conforme Bula</t>
        </is>
      </c>
      <c r="F1344" s="13" t="inlineStr">
        <is>
          <t>Trigo</t>
        </is>
      </c>
      <c r="G1344" s="13" t="inlineStr">
        <is>
          <t>Cultura Autorizada na Bula</t>
        </is>
      </c>
      <c r="H1344" s="13" t="inlineStr">
        <is>
          <t>100 a 300 L/ha</t>
        </is>
      </c>
      <c r="I1344" s="13" t="inlineStr">
        <is>
          <t>20 a 40 L/ha</t>
        </is>
      </c>
      <c r="J1344" s="13" t="inlineStr">
        <is>
          <t>21 dias</t>
        </is>
      </c>
    </row>
    <row r="1345" ht="22" customHeight="1">
      <c r="A1345" s="6" t="inlineStr">
        <is>
          <t>CUL-1341</t>
        </is>
      </c>
      <c r="B1345" s="5" t="n">
        <v>268</v>
      </c>
      <c r="C1345" s="7" t="inlineStr">
        <is>
          <t>Nº 7124</t>
        </is>
      </c>
      <c r="D1345" s="8" t="inlineStr">
        <is>
          <t>OPTIBEX</t>
        </is>
      </c>
      <c r="E1345" s="7" t="inlineStr">
        <is>
          <t>Pulverização Agrícola Conforme Bula</t>
        </is>
      </c>
      <c r="F1345" s="7" t="inlineStr">
        <is>
          <t>Soja (Pré-Plantio / OGM)</t>
        </is>
      </c>
      <c r="G1345" s="7" t="inlineStr">
        <is>
          <t>Cultura Autorizada na Bula</t>
        </is>
      </c>
      <c r="H1345" s="7" t="inlineStr">
        <is>
          <t>100 a 300 L/ha</t>
        </is>
      </c>
      <c r="I1345" s="7" t="inlineStr">
        <is>
          <t>20 a 40 L/ha</t>
        </is>
      </c>
      <c r="J1345" s="7" t="inlineStr">
        <is>
          <t>60 dias</t>
        </is>
      </c>
    </row>
    <row r="1346" ht="22" customHeight="1">
      <c r="A1346" s="12" t="inlineStr">
        <is>
          <t>CUL-1342</t>
        </is>
      </c>
      <c r="B1346" s="11" t="n">
        <v>268</v>
      </c>
      <c r="C1346" s="13" t="inlineStr">
        <is>
          <t>Nº 7124</t>
        </is>
      </c>
      <c r="D1346" s="14" t="inlineStr">
        <is>
          <t>OPTIBEX</t>
        </is>
      </c>
      <c r="E1346" s="13" t="inlineStr">
        <is>
          <t>Pulverização Agrícola Conforme Bula</t>
        </is>
      </c>
      <c r="F1346" s="13" t="inlineStr">
        <is>
          <t>Milho (Pré-Plantio / OGM)</t>
        </is>
      </c>
      <c r="G1346" s="13" t="inlineStr">
        <is>
          <t>Cultura Autorizada na Bula</t>
        </is>
      </c>
      <c r="H1346" s="13" t="inlineStr">
        <is>
          <t>100 a 300 L/ha</t>
        </is>
      </c>
      <c r="I1346" s="13" t="inlineStr">
        <is>
          <t>20 a 40 L/ha</t>
        </is>
      </c>
      <c r="J1346" s="13" t="inlineStr">
        <is>
          <t>40 dias</t>
        </is>
      </c>
    </row>
    <row r="1347" ht="22" customHeight="1">
      <c r="A1347" s="6" t="inlineStr">
        <is>
          <t>CUL-1343</t>
        </is>
      </c>
      <c r="B1347" s="5" t="n">
        <v>268</v>
      </c>
      <c r="C1347" s="7" t="inlineStr">
        <is>
          <t>Nº 7124</t>
        </is>
      </c>
      <c r="D1347" s="8" t="inlineStr">
        <is>
          <t>OPTIBEX</t>
        </is>
      </c>
      <c r="E1347" s="7" t="inlineStr">
        <is>
          <t>Pulverização Agrícola Conforme Bula</t>
        </is>
      </c>
      <c r="F1347" s="7" t="inlineStr">
        <is>
          <t>Algodão (Pré-Plantio / OGM / Desfolha)</t>
        </is>
      </c>
      <c r="G1347" s="7" t="inlineStr">
        <is>
          <t>Cultura Autorizada na Bula</t>
        </is>
      </c>
      <c r="H1347" s="7" t="inlineStr">
        <is>
          <t>100 a 300 L/ha</t>
        </is>
      </c>
      <c r="I1347" s="7" t="inlineStr">
        <is>
          <t>20 a 40 L/ha</t>
        </is>
      </c>
      <c r="J1347" s="7" t="inlineStr">
        <is>
          <t>15 dias</t>
        </is>
      </c>
    </row>
    <row r="1348" ht="22" customHeight="1">
      <c r="A1348" s="12" t="inlineStr">
        <is>
          <t>CUL-1344</t>
        </is>
      </c>
      <c r="B1348" s="11" t="n">
        <v>268</v>
      </c>
      <c r="C1348" s="13" t="inlineStr">
        <is>
          <t>Nº 7124</t>
        </is>
      </c>
      <c r="D1348" s="14" t="inlineStr">
        <is>
          <t>OPTIBEX</t>
        </is>
      </c>
      <c r="E1348" s="13" t="inlineStr">
        <is>
          <t>Pulverização Agrícola Conforme Bula</t>
        </is>
      </c>
      <c r="F1348" s="13" t="inlineStr">
        <is>
          <t>Café (Jato Dirigido)</t>
        </is>
      </c>
      <c r="G1348" s="13" t="inlineStr">
        <is>
          <t>Cultura Autorizada na Bula</t>
        </is>
      </c>
      <c r="H1348" s="13" t="inlineStr">
        <is>
          <t>100 a 300 L/ha</t>
        </is>
      </c>
      <c r="I1348" s="13" t="inlineStr">
        <is>
          <t>20 a 40 L/ha</t>
        </is>
      </c>
      <c r="J1348" s="13" t="inlineStr">
        <is>
          <t>20 dias</t>
        </is>
      </c>
    </row>
    <row r="1349" ht="22" customHeight="1">
      <c r="A1349" s="6" t="inlineStr">
        <is>
          <t>CUL-1345</t>
        </is>
      </c>
      <c r="B1349" s="5" t="n">
        <v>268</v>
      </c>
      <c r="C1349" s="7" t="inlineStr">
        <is>
          <t>Nº 7124</t>
        </is>
      </c>
      <c r="D1349" s="8" t="inlineStr">
        <is>
          <t>OPTIBEX</t>
        </is>
      </c>
      <c r="E1349" s="7" t="inlineStr">
        <is>
          <t>Pulverização Agrícola Conforme Bula</t>
        </is>
      </c>
      <c r="F1349" s="7" t="inlineStr">
        <is>
          <t>Citros (Jato Dirigido)</t>
        </is>
      </c>
      <c r="G1349" s="7" t="inlineStr">
        <is>
          <t>Cultura Autorizada na Bula</t>
        </is>
      </c>
      <c r="H1349" s="7" t="inlineStr">
        <is>
          <t>100 a 300 L/ha</t>
        </is>
      </c>
      <c r="I1349" s="7" t="inlineStr">
        <is>
          <t>20 a 40 L/ha</t>
        </is>
      </c>
      <c r="J1349" s="7" t="inlineStr">
        <is>
          <t>40 dias</t>
        </is>
      </c>
    </row>
    <row r="1350" ht="22" customHeight="1">
      <c r="A1350" s="12" t="inlineStr">
        <is>
          <t>CUL-1346</t>
        </is>
      </c>
      <c r="B1350" s="11" t="n">
        <v>268</v>
      </c>
      <c r="C1350" s="13" t="inlineStr">
        <is>
          <t>Nº 7124</t>
        </is>
      </c>
      <c r="D1350" s="14" t="inlineStr">
        <is>
          <t>OPTIBEX</t>
        </is>
      </c>
      <c r="E1350" s="13" t="inlineStr">
        <is>
          <t>Pulverização Agrícola Conforme Bula</t>
        </is>
      </c>
      <c r="F1350" s="13" t="inlineStr">
        <is>
          <t>Trigo</t>
        </is>
      </c>
      <c r="G1350" s="13" t="inlineStr">
        <is>
          <t>Cultura Autorizada na Bula</t>
        </is>
      </c>
      <c r="H1350" s="13" t="inlineStr">
        <is>
          <t>100 a 300 L/ha</t>
        </is>
      </c>
      <c r="I1350" s="13" t="inlineStr">
        <is>
          <t>20 a 40 L/ha</t>
        </is>
      </c>
      <c r="J1350" s="13" t="inlineStr">
        <is>
          <t>N/D</t>
        </is>
      </c>
    </row>
    <row r="1351" ht="22" customHeight="1">
      <c r="A1351" s="6" t="inlineStr">
        <is>
          <t>CUL-1347</t>
        </is>
      </c>
      <c r="B1351" s="5" t="n">
        <v>269</v>
      </c>
      <c r="C1351" s="7" t="inlineStr">
        <is>
          <t>Nº 16407</t>
        </is>
      </c>
      <c r="D1351" s="8" t="inlineStr">
        <is>
          <t>ARENA</t>
        </is>
      </c>
      <c r="E1351" s="7" t="inlineStr">
        <is>
          <t>Pulverização Agrícola Conforme Bula</t>
        </is>
      </c>
      <c r="F1351" s="7" t="inlineStr">
        <is>
          <t>Soja (Dessecação Pré-Plantio)</t>
        </is>
      </c>
      <c r="G1351" s="7" t="inlineStr">
        <is>
          <t>Cultura Autorizada na Bula</t>
        </is>
      </c>
      <c r="H1351" s="7" t="inlineStr">
        <is>
          <t>100 a 300 L/ha</t>
        </is>
      </c>
      <c r="I1351" s="7" t="inlineStr">
        <is>
          <t>20 a 40 L/ha</t>
        </is>
      </c>
      <c r="J1351" s="7" t="inlineStr">
        <is>
          <t>N/D</t>
        </is>
      </c>
    </row>
    <row r="1352" ht="22" customHeight="1">
      <c r="A1352" s="12" t="inlineStr">
        <is>
          <t>CUL-1348</t>
        </is>
      </c>
      <c r="B1352" s="11" t="n">
        <v>269</v>
      </c>
      <c r="C1352" s="13" t="inlineStr">
        <is>
          <t>Nº 16407</t>
        </is>
      </c>
      <c r="D1352" s="14" t="inlineStr">
        <is>
          <t>ARENA</t>
        </is>
      </c>
      <c r="E1352" s="13" t="inlineStr">
        <is>
          <t>Pulverização Agrícola Conforme Bula</t>
        </is>
      </c>
      <c r="F1352" s="13" t="inlineStr">
        <is>
          <t>Milho</t>
        </is>
      </c>
      <c r="G1352" s="13" t="inlineStr">
        <is>
          <t>Cultura Autorizada na Bula</t>
        </is>
      </c>
      <c r="H1352" s="13" t="inlineStr">
        <is>
          <t>100 a 300 L/ha</t>
        </is>
      </c>
      <c r="I1352" s="13" t="inlineStr">
        <is>
          <t>20 a 40 L/ha</t>
        </is>
      </c>
      <c r="J1352" s="13" t="inlineStr">
        <is>
          <t>40 dias</t>
        </is>
      </c>
    </row>
    <row r="1353" ht="22" customHeight="1">
      <c r="A1353" s="6" t="inlineStr">
        <is>
          <t>CUL-1349</t>
        </is>
      </c>
      <c r="B1353" s="5" t="n">
        <v>269</v>
      </c>
      <c r="C1353" s="7" t="inlineStr">
        <is>
          <t>Nº 16407</t>
        </is>
      </c>
      <c r="D1353" s="8" t="inlineStr">
        <is>
          <t>ARENA</t>
        </is>
      </c>
      <c r="E1353" s="7" t="inlineStr">
        <is>
          <t>Pulverização Agrícola Conforme Bula</t>
        </is>
      </c>
      <c r="F1353" s="7" t="inlineStr">
        <is>
          <t>Cana-de-açúcar</t>
        </is>
      </c>
      <c r="G1353" s="7" t="inlineStr">
        <is>
          <t>Cultura Autorizada na Bula</t>
        </is>
      </c>
      <c r="H1353" s="7" t="inlineStr">
        <is>
          <t>100 a 300 L/ha</t>
        </is>
      </c>
      <c r="I1353" s="7" t="inlineStr">
        <is>
          <t>20 a 40 L/ha</t>
        </is>
      </c>
      <c r="J1353" s="7" t="inlineStr">
        <is>
          <t>N/D</t>
        </is>
      </c>
    </row>
    <row r="1354" ht="22" customHeight="1">
      <c r="A1354" s="12" t="inlineStr">
        <is>
          <t>CUL-1350</t>
        </is>
      </c>
      <c r="B1354" s="11" t="n">
        <v>269</v>
      </c>
      <c r="C1354" s="13" t="inlineStr">
        <is>
          <t>Nº 16407</t>
        </is>
      </c>
      <c r="D1354" s="14" t="inlineStr">
        <is>
          <t>ARENA</t>
        </is>
      </c>
      <c r="E1354" s="13" t="inlineStr">
        <is>
          <t>Pulverização Agrícola Conforme Bula</t>
        </is>
      </c>
      <c r="F1354" s="13" t="inlineStr">
        <is>
          <t>Trigo</t>
        </is>
      </c>
      <c r="G1354" s="13" t="inlineStr">
        <is>
          <t>Cultura Autorizada na Bula</t>
        </is>
      </c>
      <c r="H1354" s="13" t="inlineStr">
        <is>
          <t>100 a 300 L/ha</t>
        </is>
      </c>
      <c r="I1354" s="13" t="inlineStr">
        <is>
          <t>20 a 40 L/ha</t>
        </is>
      </c>
      <c r="J1354" s="13" t="inlineStr">
        <is>
          <t>45 dias</t>
        </is>
      </c>
    </row>
    <row r="1355" ht="22" customHeight="1">
      <c r="A1355" s="6" t="inlineStr">
        <is>
          <t>CUL-1351</t>
        </is>
      </c>
      <c r="B1355" s="5" t="n">
        <v>269</v>
      </c>
      <c r="C1355" s="7" t="inlineStr">
        <is>
          <t>Nº 16407</t>
        </is>
      </c>
      <c r="D1355" s="8" t="inlineStr">
        <is>
          <t>ARENA</t>
        </is>
      </c>
      <c r="E1355" s="7" t="inlineStr">
        <is>
          <t>Pulverização Agrícola Conforme Bula</t>
        </is>
      </c>
      <c r="F1355" s="7" t="inlineStr">
        <is>
          <t>Pastagens</t>
        </is>
      </c>
      <c r="G1355" s="7" t="inlineStr">
        <is>
          <t>Cultura Autorizada na Bula</t>
        </is>
      </c>
      <c r="H1355" s="7" t="inlineStr">
        <is>
          <t>100 a 300 L/ha</t>
        </is>
      </c>
      <c r="I1355" s="7" t="inlineStr">
        <is>
          <t>20 a 40 L/ha</t>
        </is>
      </c>
      <c r="J1355" s="7" t="inlineStr">
        <is>
          <t>N/D</t>
        </is>
      </c>
    </row>
    <row r="1356" ht="22" customHeight="1">
      <c r="A1356" s="12" t="inlineStr">
        <is>
          <t>CUL-1352</t>
        </is>
      </c>
      <c r="B1356" s="11" t="n">
        <v>269</v>
      </c>
      <c r="C1356" s="13" t="inlineStr">
        <is>
          <t>Nº 16407</t>
        </is>
      </c>
      <c r="D1356" s="14" t="inlineStr">
        <is>
          <t>ARENA</t>
        </is>
      </c>
      <c r="E1356" s="13" t="inlineStr">
        <is>
          <t>Pulverização Agrícola Conforme Bula</t>
        </is>
      </c>
      <c r="F1356" s="13" t="inlineStr">
        <is>
          <t>Arroz</t>
        </is>
      </c>
      <c r="G1356" s="13" t="inlineStr">
        <is>
          <t>Cultura Autorizada na Bula</t>
        </is>
      </c>
      <c r="H1356" s="13" t="inlineStr">
        <is>
          <t>100 a 300 L/ha</t>
        </is>
      </c>
      <c r="I1356" s="13" t="inlineStr">
        <is>
          <t>20 a 40 L/ha</t>
        </is>
      </c>
      <c r="J1356" s="13" t="inlineStr">
        <is>
          <t>60 dias</t>
        </is>
      </c>
    </row>
    <row r="1357" ht="22" customHeight="1">
      <c r="A1357" s="6" t="inlineStr">
        <is>
          <t>CUL-1353</t>
        </is>
      </c>
      <c r="B1357" s="5" t="n">
        <v>270</v>
      </c>
      <c r="C1357" s="7" t="inlineStr">
        <is>
          <t>Nº 22023</t>
        </is>
      </c>
      <c r="D1357" s="8" t="inlineStr">
        <is>
          <t>TEBUCONAZOLE 430 SINO-AGRI</t>
        </is>
      </c>
      <c r="E1357" s="7" t="inlineStr">
        <is>
          <t>Pulverização Agrícola Conforme Bula</t>
        </is>
      </c>
      <c r="F1357" s="7" t="inlineStr">
        <is>
          <t>Soja</t>
        </is>
      </c>
      <c r="G1357" s="7" t="inlineStr">
        <is>
          <t>Cultura Autorizada na Bula</t>
        </is>
      </c>
      <c r="H1357" s="7" t="inlineStr">
        <is>
          <t>100 a 300 L/ha</t>
        </is>
      </c>
      <c r="I1357" s="7" t="inlineStr">
        <is>
          <t>20 a 40 L/ha</t>
        </is>
      </c>
      <c r="J1357" s="7" t="inlineStr">
        <is>
          <t>30 dias</t>
        </is>
      </c>
    </row>
    <row r="1358" ht="22" customHeight="1">
      <c r="A1358" s="12" t="inlineStr">
        <is>
          <t>CUL-1354</t>
        </is>
      </c>
      <c r="B1358" s="11" t="n">
        <v>270</v>
      </c>
      <c r="C1358" s="13" t="inlineStr">
        <is>
          <t>Nº 22023</t>
        </is>
      </c>
      <c r="D1358" s="14" t="inlineStr">
        <is>
          <t>TEBUCONAZOLE 430 SINO-AGRI</t>
        </is>
      </c>
      <c r="E1358" s="13" t="inlineStr">
        <is>
          <t>Pulverização Agrícola Conforme Bula</t>
        </is>
      </c>
      <c r="F1358" s="13" t="inlineStr">
        <is>
          <t>Milho</t>
        </is>
      </c>
      <c r="G1358" s="13" t="inlineStr">
        <is>
          <t>Cultura Autorizada na Bula</t>
        </is>
      </c>
      <c r="H1358" s="13" t="inlineStr">
        <is>
          <t>100 a 300 L/ha</t>
        </is>
      </c>
      <c r="I1358" s="13" t="inlineStr">
        <is>
          <t>20 a 40 L/ha</t>
        </is>
      </c>
      <c r="J1358" s="13" t="inlineStr">
        <is>
          <t>15 dias</t>
        </is>
      </c>
    </row>
    <row r="1359" ht="22" customHeight="1">
      <c r="A1359" s="6" t="inlineStr">
        <is>
          <t>CUL-1355</t>
        </is>
      </c>
      <c r="B1359" s="5" t="n">
        <v>270</v>
      </c>
      <c r="C1359" s="7" t="inlineStr">
        <is>
          <t>Nº 22023</t>
        </is>
      </c>
      <c r="D1359" s="8" t="inlineStr">
        <is>
          <t>TEBUCONAZOLE 430 SINO-AGRI</t>
        </is>
      </c>
      <c r="E1359" s="7" t="inlineStr">
        <is>
          <t>Pulverização Agrícola Conforme Bula</t>
        </is>
      </c>
      <c r="F1359" s="7" t="inlineStr">
        <is>
          <t>Algodão</t>
        </is>
      </c>
      <c r="G1359" s="7" t="inlineStr">
        <is>
          <t>Cultura Autorizada na Bula</t>
        </is>
      </c>
      <c r="H1359" s="7" t="inlineStr">
        <is>
          <t>100 a 300 L/ha</t>
        </is>
      </c>
      <c r="I1359" s="7" t="inlineStr">
        <is>
          <t>20 a 40 L/ha</t>
        </is>
      </c>
      <c r="J1359" s="7" t="inlineStr">
        <is>
          <t>30 dias</t>
        </is>
      </c>
    </row>
    <row r="1360" ht="22" customHeight="1">
      <c r="A1360" s="12" t="inlineStr">
        <is>
          <t>CUL-1356</t>
        </is>
      </c>
      <c r="B1360" s="11" t="n">
        <v>270</v>
      </c>
      <c r="C1360" s="13" t="inlineStr">
        <is>
          <t>Nº 22023</t>
        </is>
      </c>
      <c r="D1360" s="14" t="inlineStr">
        <is>
          <t>TEBUCONAZOLE 430 SINO-AGRI</t>
        </is>
      </c>
      <c r="E1360" s="13" t="inlineStr">
        <is>
          <t>Pulverização Agrícola Conforme Bula</t>
        </is>
      </c>
      <c r="F1360" s="13" t="inlineStr">
        <is>
          <t>Trigo</t>
        </is>
      </c>
      <c r="G1360" s="13" t="inlineStr">
        <is>
          <t>Cultura Autorizada na Bula</t>
        </is>
      </c>
      <c r="H1360" s="13" t="inlineStr">
        <is>
          <t>100 a 300 L/ha</t>
        </is>
      </c>
      <c r="I1360" s="13" t="inlineStr">
        <is>
          <t>20 a 40 L/ha</t>
        </is>
      </c>
      <c r="J1360" s="13" t="inlineStr">
        <is>
          <t>35 dias</t>
        </is>
      </c>
    </row>
    <row r="1361" ht="22" customHeight="1">
      <c r="A1361" s="6" t="inlineStr">
        <is>
          <t>CUL-1357</t>
        </is>
      </c>
      <c r="B1361" s="5" t="n">
        <v>270</v>
      </c>
      <c r="C1361" s="7" t="inlineStr">
        <is>
          <t>Nº 22023</t>
        </is>
      </c>
      <c r="D1361" s="8" t="inlineStr">
        <is>
          <t>TEBUCONAZOLE 430 SINO-AGRI</t>
        </is>
      </c>
      <c r="E1361" s="7" t="inlineStr">
        <is>
          <t>Pulverização Agrícola Conforme Bula</t>
        </is>
      </c>
      <c r="F1361" s="7" t="inlineStr">
        <is>
          <t>Café</t>
        </is>
      </c>
      <c r="G1361" s="7" t="inlineStr">
        <is>
          <t>Cultura Autorizada na Bula</t>
        </is>
      </c>
      <c r="H1361" s="7" t="inlineStr">
        <is>
          <t>100 a 300 L/ha</t>
        </is>
      </c>
      <c r="I1361" s="7" t="inlineStr">
        <is>
          <t>20 a 40 L/ha</t>
        </is>
      </c>
      <c r="J1361" s="7" t="inlineStr">
        <is>
          <t>30 dias</t>
        </is>
      </c>
    </row>
    <row r="1362" ht="22" customHeight="1">
      <c r="A1362" s="12" t="inlineStr">
        <is>
          <t>CUL-1358</t>
        </is>
      </c>
      <c r="B1362" s="11" t="n">
        <v>270</v>
      </c>
      <c r="C1362" s="13" t="inlineStr">
        <is>
          <t>Nº 22023</t>
        </is>
      </c>
      <c r="D1362" s="14" t="inlineStr">
        <is>
          <t>TEBUCONAZOLE 430 SINO-AGRI</t>
        </is>
      </c>
      <c r="E1362" s="13" t="inlineStr">
        <is>
          <t>Pulverização Agrícola Conforme Bula</t>
        </is>
      </c>
      <c r="F1362" s="13" t="inlineStr">
        <is>
          <t>Feijão</t>
        </is>
      </c>
      <c r="G1362" s="13" t="inlineStr">
        <is>
          <t>Cultura Autorizada na Bula</t>
        </is>
      </c>
      <c r="H1362" s="13" t="inlineStr">
        <is>
          <t>100 a 300 L/ha</t>
        </is>
      </c>
      <c r="I1362" s="13" t="inlineStr">
        <is>
          <t>20 a 40 L/ha</t>
        </is>
      </c>
      <c r="J1362" s="13" t="inlineStr">
        <is>
          <t>14 dias</t>
        </is>
      </c>
    </row>
    <row r="1363" ht="22" customHeight="1">
      <c r="A1363" s="6" t="inlineStr">
        <is>
          <t>CUL-1359</t>
        </is>
      </c>
      <c r="B1363" s="5" t="n">
        <v>271</v>
      </c>
      <c r="C1363" s="7" t="inlineStr">
        <is>
          <t>Nº 22023</t>
        </is>
      </c>
      <c r="D1363" s="8" t="inlineStr">
        <is>
          <t>TEBUCONAZOLE 430 SINO-AGRI</t>
        </is>
      </c>
      <c r="E1363" s="7" t="inlineStr">
        <is>
          <t>Pulverização Agrícola Conforme Bula</t>
        </is>
      </c>
      <c r="F1363" s="7" t="inlineStr">
        <is>
          <t>Soja</t>
        </is>
      </c>
      <c r="G1363" s="7" t="inlineStr">
        <is>
          <t>Cultura Autorizada na Bula</t>
        </is>
      </c>
      <c r="H1363" s="7" t="inlineStr">
        <is>
          <t>100 a 300 L/ha</t>
        </is>
      </c>
      <c r="I1363" s="7" t="inlineStr">
        <is>
          <t>20 a 40 L/ha</t>
        </is>
      </c>
      <c r="J1363" s="7" t="inlineStr">
        <is>
          <t>30 dias</t>
        </is>
      </c>
    </row>
    <row r="1364" ht="22" customHeight="1">
      <c r="A1364" s="12" t="inlineStr">
        <is>
          <t>CUL-1360</t>
        </is>
      </c>
      <c r="B1364" s="11" t="n">
        <v>271</v>
      </c>
      <c r="C1364" s="13" t="inlineStr">
        <is>
          <t>Nº 22023</t>
        </is>
      </c>
      <c r="D1364" s="14" t="inlineStr">
        <is>
          <t>TEBUCONAZOLE 430 SINO-AGRI</t>
        </is>
      </c>
      <c r="E1364" s="13" t="inlineStr">
        <is>
          <t>Pulverização Agrícola Conforme Bula</t>
        </is>
      </c>
      <c r="F1364" s="13" t="inlineStr">
        <is>
          <t>Milho</t>
        </is>
      </c>
      <c r="G1364" s="13" t="inlineStr">
        <is>
          <t>Cultura Autorizada na Bula</t>
        </is>
      </c>
      <c r="H1364" s="13" t="inlineStr">
        <is>
          <t>100 a 300 L/ha</t>
        </is>
      </c>
      <c r="I1364" s="13" t="inlineStr">
        <is>
          <t>20 a 40 L/ha</t>
        </is>
      </c>
      <c r="J1364" s="13" t="inlineStr">
        <is>
          <t>15 dias</t>
        </is>
      </c>
    </row>
    <row r="1365" ht="22" customHeight="1">
      <c r="A1365" s="6" t="inlineStr">
        <is>
          <t>CUL-1361</t>
        </is>
      </c>
      <c r="B1365" s="5" t="n">
        <v>271</v>
      </c>
      <c r="C1365" s="7" t="inlineStr">
        <is>
          <t>Nº 22023</t>
        </is>
      </c>
      <c r="D1365" s="8" t="inlineStr">
        <is>
          <t>TEBUCONAZOLE 430 SINO-AGRI</t>
        </is>
      </c>
      <c r="E1365" s="7" t="inlineStr">
        <is>
          <t>Pulverização Agrícola Conforme Bula</t>
        </is>
      </c>
      <c r="F1365" s="7" t="inlineStr">
        <is>
          <t>Algodão</t>
        </is>
      </c>
      <c r="G1365" s="7" t="inlineStr">
        <is>
          <t>Cultura Autorizada na Bula</t>
        </is>
      </c>
      <c r="H1365" s="7" t="inlineStr">
        <is>
          <t>100 a 300 L/ha</t>
        </is>
      </c>
      <c r="I1365" s="7" t="inlineStr">
        <is>
          <t>20 a 40 L/ha</t>
        </is>
      </c>
      <c r="J1365" s="7" t="inlineStr">
        <is>
          <t>30 dias</t>
        </is>
      </c>
    </row>
    <row r="1366" ht="22" customHeight="1">
      <c r="A1366" s="12" t="inlineStr">
        <is>
          <t>CUL-1362</t>
        </is>
      </c>
      <c r="B1366" s="11" t="n">
        <v>271</v>
      </c>
      <c r="C1366" s="13" t="inlineStr">
        <is>
          <t>Nº 22023</t>
        </is>
      </c>
      <c r="D1366" s="14" t="inlineStr">
        <is>
          <t>TEBUCONAZOLE 430 SINO-AGRI</t>
        </is>
      </c>
      <c r="E1366" s="13" t="inlineStr">
        <is>
          <t>Pulverização Agrícola Conforme Bula</t>
        </is>
      </c>
      <c r="F1366" s="13" t="inlineStr">
        <is>
          <t>Trigo</t>
        </is>
      </c>
      <c r="G1366" s="13" t="inlineStr">
        <is>
          <t>Cultura Autorizada na Bula</t>
        </is>
      </c>
      <c r="H1366" s="13" t="inlineStr">
        <is>
          <t>100 a 300 L/ha</t>
        </is>
      </c>
      <c r="I1366" s="13" t="inlineStr">
        <is>
          <t>20 a 40 L/ha</t>
        </is>
      </c>
      <c r="J1366" s="13" t="inlineStr">
        <is>
          <t>35 dias</t>
        </is>
      </c>
    </row>
    <row r="1367" ht="22" customHeight="1">
      <c r="A1367" s="6" t="inlineStr">
        <is>
          <t>CUL-1363</t>
        </is>
      </c>
      <c r="B1367" s="5" t="n">
        <v>271</v>
      </c>
      <c r="C1367" s="7" t="inlineStr">
        <is>
          <t>Nº 22023</t>
        </is>
      </c>
      <c r="D1367" s="8" t="inlineStr">
        <is>
          <t>TEBUCONAZOLE 430 SINO-AGRI</t>
        </is>
      </c>
      <c r="E1367" s="7" t="inlineStr">
        <is>
          <t>Pulverização Agrícola Conforme Bula</t>
        </is>
      </c>
      <c r="F1367" s="7" t="inlineStr">
        <is>
          <t>Café</t>
        </is>
      </c>
      <c r="G1367" s="7" t="inlineStr">
        <is>
          <t>Cultura Autorizada na Bula</t>
        </is>
      </c>
      <c r="H1367" s="7" t="inlineStr">
        <is>
          <t>100 a 300 L/ha</t>
        </is>
      </c>
      <c r="I1367" s="7" t="inlineStr">
        <is>
          <t>20 a 40 L/ha</t>
        </is>
      </c>
      <c r="J1367" s="7" t="inlineStr">
        <is>
          <t>30 dias</t>
        </is>
      </c>
    </row>
    <row r="1368" ht="22" customHeight="1">
      <c r="A1368" s="12" t="inlineStr">
        <is>
          <t>CUL-1364</t>
        </is>
      </c>
      <c r="B1368" s="11" t="n">
        <v>271</v>
      </c>
      <c r="C1368" s="13" t="inlineStr">
        <is>
          <t>Nº 22023</t>
        </is>
      </c>
      <c r="D1368" s="14" t="inlineStr">
        <is>
          <t>TEBUCONAZOLE 430 SINO-AGRI</t>
        </is>
      </c>
      <c r="E1368" s="13" t="inlineStr">
        <is>
          <t>Pulverização Agrícola Conforme Bula</t>
        </is>
      </c>
      <c r="F1368" s="13" t="inlineStr">
        <is>
          <t>Feijão</t>
        </is>
      </c>
      <c r="G1368" s="13" t="inlineStr">
        <is>
          <t>Cultura Autorizada na Bula</t>
        </is>
      </c>
      <c r="H1368" s="13" t="inlineStr">
        <is>
          <t>100 a 300 L/ha</t>
        </is>
      </c>
      <c r="I1368" s="13" t="inlineStr">
        <is>
          <t>20 a 40 L/ha</t>
        </is>
      </c>
      <c r="J1368" s="13" t="inlineStr">
        <is>
          <t>14 dias</t>
        </is>
      </c>
    </row>
    <row r="1369" ht="22" customHeight="1">
      <c r="A1369" s="6" t="inlineStr">
        <is>
          <t>CUL-1365</t>
        </is>
      </c>
      <c r="B1369" s="5" t="n">
        <v>272</v>
      </c>
      <c r="C1369" s="7" t="inlineStr">
        <is>
          <t>Nº 10010</t>
        </is>
      </c>
      <c r="D1369" s="8" t="inlineStr">
        <is>
          <t>BRILHANTE BR</t>
        </is>
      </c>
      <c r="E1369" s="7" t="inlineStr">
        <is>
          <t>Pulverização Agrícola Conforme Bula</t>
        </is>
      </c>
      <c r="F1369" s="7" t="inlineStr">
        <is>
          <t>Soja</t>
        </is>
      </c>
      <c r="G1369" s="7" t="inlineStr">
        <is>
          <t>Cultura Autorizada na Bula</t>
        </is>
      </c>
      <c r="H1369" s="7" t="inlineStr">
        <is>
          <t>100 a 300 L/ha</t>
        </is>
      </c>
      <c r="I1369" s="7" t="inlineStr">
        <is>
          <t>20 a 40 L/ha</t>
        </is>
      </c>
      <c r="J1369" s="7" t="inlineStr">
        <is>
          <t>14 dias</t>
        </is>
      </c>
    </row>
    <row r="1370" ht="22" customHeight="1">
      <c r="A1370" s="12" t="inlineStr">
        <is>
          <t>CUL-1366</t>
        </is>
      </c>
      <c r="B1370" s="11" t="n">
        <v>272</v>
      </c>
      <c r="C1370" s="13" t="inlineStr">
        <is>
          <t>Nº 10010</t>
        </is>
      </c>
      <c r="D1370" s="14" t="inlineStr">
        <is>
          <t>BRILHANTE BR</t>
        </is>
      </c>
      <c r="E1370" s="13" t="inlineStr">
        <is>
          <t>Pulverização Agrícola Conforme Bula</t>
        </is>
      </c>
      <c r="F1370" s="13" t="inlineStr">
        <is>
          <t>Milho</t>
        </is>
      </c>
      <c r="G1370" s="13" t="inlineStr">
        <is>
          <t>Cultura Autorizada na Bula</t>
        </is>
      </c>
      <c r="H1370" s="13" t="inlineStr">
        <is>
          <t>100 a 300 L/ha</t>
        </is>
      </c>
      <c r="I1370" s="13" t="inlineStr">
        <is>
          <t>20 a 40 L/ha</t>
        </is>
      </c>
      <c r="J1370" s="13" t="inlineStr">
        <is>
          <t>14 dias</t>
        </is>
      </c>
    </row>
    <row r="1371" ht="22" customHeight="1">
      <c r="A1371" s="6" t="inlineStr">
        <is>
          <t>CUL-1367</t>
        </is>
      </c>
      <c r="B1371" s="5" t="n">
        <v>272</v>
      </c>
      <c r="C1371" s="7" t="inlineStr">
        <is>
          <t>Nº 10010</t>
        </is>
      </c>
      <c r="D1371" s="8" t="inlineStr">
        <is>
          <t>BRILHANTE BR</t>
        </is>
      </c>
      <c r="E1371" s="7" t="inlineStr">
        <is>
          <t>Pulverização Agrícola Conforme Bula</t>
        </is>
      </c>
      <c r="F1371" s="7" t="inlineStr">
        <is>
          <t>Algodão</t>
        </is>
      </c>
      <c r="G1371" s="7" t="inlineStr">
        <is>
          <t>Cultura Autorizada na Bula</t>
        </is>
      </c>
      <c r="H1371" s="7" t="inlineStr">
        <is>
          <t>100 a 300 L/ha</t>
        </is>
      </c>
      <c r="I1371" s="7" t="inlineStr">
        <is>
          <t>20 a 40 L/ha</t>
        </is>
      </c>
      <c r="J1371" s="7" t="inlineStr">
        <is>
          <t>14 dias</t>
        </is>
      </c>
    </row>
    <row r="1372" ht="22" customHeight="1">
      <c r="A1372" s="12" t="inlineStr">
        <is>
          <t>CUL-1368</t>
        </is>
      </c>
      <c r="B1372" s="11" t="n">
        <v>272</v>
      </c>
      <c r="C1372" s="13" t="inlineStr">
        <is>
          <t>Nº 10010</t>
        </is>
      </c>
      <c r="D1372" s="14" t="inlineStr">
        <is>
          <t>BRILHANTE BR</t>
        </is>
      </c>
      <c r="E1372" s="13" t="inlineStr">
        <is>
          <t>Pulverização Agrícola Conforme Bula</t>
        </is>
      </c>
      <c r="F1372" s="13" t="inlineStr">
        <is>
          <t>Trigo</t>
        </is>
      </c>
      <c r="G1372" s="13" t="inlineStr">
        <is>
          <t>Cultura Autorizada na Bula</t>
        </is>
      </c>
      <c r="H1372" s="13" t="inlineStr">
        <is>
          <t>100 a 300 L/ha</t>
        </is>
      </c>
      <c r="I1372" s="13" t="inlineStr">
        <is>
          <t>20 a 40 L/ha</t>
        </is>
      </c>
      <c r="J1372" s="13" t="inlineStr">
        <is>
          <t>14 dias</t>
        </is>
      </c>
    </row>
    <row r="1373" ht="22" customHeight="1">
      <c r="A1373" s="6" t="inlineStr">
        <is>
          <t>CUL-1369</t>
        </is>
      </c>
      <c r="B1373" s="5" t="n">
        <v>272</v>
      </c>
      <c r="C1373" s="7" t="inlineStr">
        <is>
          <t>Nº 10010</t>
        </is>
      </c>
      <c r="D1373" s="8" t="inlineStr">
        <is>
          <t>BRILHANTE BR</t>
        </is>
      </c>
      <c r="E1373" s="7" t="inlineStr">
        <is>
          <t>Pulverização Agrícola Conforme Bula</t>
        </is>
      </c>
      <c r="F1373" s="7" t="inlineStr">
        <is>
          <t>Batata</t>
        </is>
      </c>
      <c r="G1373" s="7" t="inlineStr">
        <is>
          <t>Cultura Autorizada na Bula</t>
        </is>
      </c>
      <c r="H1373" s="7" t="inlineStr">
        <is>
          <t>100 a 300 L/ha</t>
        </is>
      </c>
      <c r="I1373" s="7" t="inlineStr">
        <is>
          <t>20 a 40 L/ha</t>
        </is>
      </c>
      <c r="J1373" s="7" t="inlineStr">
        <is>
          <t>14 dias</t>
        </is>
      </c>
    </row>
    <row r="1374" ht="22" customHeight="1">
      <c r="A1374" s="12" t="inlineStr">
        <is>
          <t>CUL-1370</t>
        </is>
      </c>
      <c r="B1374" s="11" t="n">
        <v>272</v>
      </c>
      <c r="C1374" s="13" t="inlineStr">
        <is>
          <t>Nº 10010</t>
        </is>
      </c>
      <c r="D1374" s="14" t="inlineStr">
        <is>
          <t>BRILHANTE BR</t>
        </is>
      </c>
      <c r="E1374" s="13" t="inlineStr">
        <is>
          <t>Pulverização Agrícola Conforme Bula</t>
        </is>
      </c>
      <c r="F1374" s="13" t="inlineStr">
        <is>
          <t>Tomate</t>
        </is>
      </c>
      <c r="G1374" s="13" t="inlineStr">
        <is>
          <t>Cultura Autorizada na Bula</t>
        </is>
      </c>
      <c r="H1374" s="13" t="inlineStr">
        <is>
          <t>100 a 300 L/ha</t>
        </is>
      </c>
      <c r="I1374" s="13" t="inlineStr">
        <is>
          <t>20 a 40 L/ha</t>
        </is>
      </c>
      <c r="J1374" s="13" t="inlineStr">
        <is>
          <t>3 dias</t>
        </is>
      </c>
    </row>
    <row r="1375" ht="22" customHeight="1">
      <c r="A1375" s="6" t="inlineStr">
        <is>
          <t>CUL-1371</t>
        </is>
      </c>
      <c r="B1375" s="5" t="n">
        <v>273</v>
      </c>
      <c r="C1375" s="7" t="inlineStr">
        <is>
          <t>ISENTO (ATO 104/2017)</t>
        </is>
      </c>
      <c r="D1375" s="8" t="inlineStr">
        <is>
          <t>FERTILIZANTES 3 -</t>
        </is>
      </c>
      <c r="E1375" s="7" t="inlineStr">
        <is>
          <t>Pulverização Agrícola Conforme Bula</t>
        </is>
      </c>
      <c r="F1375" s="7" t="inlineStr">
        <is>
          <t>Soja, Milho, Algodão, Café, Citros, Cana-de-açúcar (Adição à calda)</t>
        </is>
      </c>
      <c r="G1375" s="7" t="inlineStr">
        <is>
          <t>Cultura Autorizada na Bula</t>
        </is>
      </c>
      <c r="H1375" s="7" t="inlineStr">
        <is>
          <t>100 a 300 L/ha</t>
        </is>
      </c>
      <c r="I1375" s="7" t="inlineStr">
        <is>
          <t>20 a 40 L/ha</t>
        </is>
      </c>
      <c r="J1375" s="7" t="inlineStr">
        <is>
          <t>Conforme defensivo principal</t>
        </is>
      </c>
    </row>
    <row r="1376" ht="22" customHeight="1">
      <c r="A1376" s="12" t="inlineStr">
        <is>
          <t>CUL-1372</t>
        </is>
      </c>
      <c r="B1376" s="11" t="n">
        <v>274</v>
      </c>
      <c r="C1376" s="13" t="inlineStr">
        <is>
          <t>Nº 12621</t>
        </is>
      </c>
      <c r="D1376" s="14" t="inlineStr">
        <is>
          <t>NADRAN 250</t>
        </is>
      </c>
      <c r="E1376" s="13" t="inlineStr">
        <is>
          <t>Pulverização Agrícola Conforme Bula</t>
        </is>
      </c>
      <c r="F1376" s="13" t="inlineStr">
        <is>
          <t>Soja</t>
        </is>
      </c>
      <c r="G1376" s="13" t="inlineStr">
        <is>
          <t>Cultura Autorizada na Bula</t>
        </is>
      </c>
      <c r="H1376" s="13" t="inlineStr">
        <is>
          <t>100 a 300 L/ha</t>
        </is>
      </c>
      <c r="I1376" s="13" t="inlineStr">
        <is>
          <t>20 a 40 L/ha</t>
        </is>
      </c>
      <c r="J1376" s="13" t="inlineStr">
        <is>
          <t>21 dias</t>
        </is>
      </c>
    </row>
    <row r="1377" ht="22" customHeight="1">
      <c r="A1377" s="6" t="inlineStr">
        <is>
          <t>CUL-1373</t>
        </is>
      </c>
      <c r="B1377" s="5" t="n">
        <v>274</v>
      </c>
      <c r="C1377" s="7" t="inlineStr">
        <is>
          <t>Nº 12621</t>
        </is>
      </c>
      <c r="D1377" s="8" t="inlineStr">
        <is>
          <t>NADRAN 250</t>
        </is>
      </c>
      <c r="E1377" s="7" t="inlineStr">
        <is>
          <t>Pulverização Agrícola Conforme Bula</t>
        </is>
      </c>
      <c r="F1377" s="7" t="inlineStr">
        <is>
          <t>Milho</t>
        </is>
      </c>
      <c r="G1377" s="7" t="inlineStr">
        <is>
          <t>Cultura Autorizada na Bula</t>
        </is>
      </c>
      <c r="H1377" s="7" t="inlineStr">
        <is>
          <t>100 a 300 L/ha</t>
        </is>
      </c>
      <c r="I1377" s="7" t="inlineStr">
        <is>
          <t>20 a 40 L/ha</t>
        </is>
      </c>
      <c r="J1377" s="7" t="inlineStr">
        <is>
          <t>21 dias</t>
        </is>
      </c>
    </row>
    <row r="1378" ht="22" customHeight="1">
      <c r="A1378" s="12" t="inlineStr">
        <is>
          <t>CUL-1374</t>
        </is>
      </c>
      <c r="B1378" s="11" t="n">
        <v>274</v>
      </c>
      <c r="C1378" s="13" t="inlineStr">
        <is>
          <t>Nº 12621</t>
        </is>
      </c>
      <c r="D1378" s="14" t="inlineStr">
        <is>
          <t>NADRAN 250</t>
        </is>
      </c>
      <c r="E1378" s="13" t="inlineStr">
        <is>
          <t>Pulverização Agrícola Conforme Bula</t>
        </is>
      </c>
      <c r="F1378" s="13" t="inlineStr">
        <is>
          <t>Algodão</t>
        </is>
      </c>
      <c r="G1378" s="13" t="inlineStr">
        <is>
          <t>Cultura Autorizada na Bula</t>
        </is>
      </c>
      <c r="H1378" s="13" t="inlineStr">
        <is>
          <t>100 a 300 L/ha</t>
        </is>
      </c>
      <c r="I1378" s="13" t="inlineStr">
        <is>
          <t>20 a 40 L/ha</t>
        </is>
      </c>
      <c r="J1378" s="13" t="inlineStr">
        <is>
          <t>21 dias</t>
        </is>
      </c>
    </row>
    <row r="1379" ht="22" customHeight="1">
      <c r="A1379" s="6" t="inlineStr">
        <is>
          <t>CUL-1375</t>
        </is>
      </c>
      <c r="B1379" s="5" t="n">
        <v>274</v>
      </c>
      <c r="C1379" s="7" t="inlineStr">
        <is>
          <t>Nº 12621</t>
        </is>
      </c>
      <c r="D1379" s="8" t="inlineStr">
        <is>
          <t>NADRAN 250</t>
        </is>
      </c>
      <c r="E1379" s="7" t="inlineStr">
        <is>
          <t>Pulverização Agrícola Conforme Bula</t>
        </is>
      </c>
      <c r="F1379" s="7" t="inlineStr">
        <is>
          <t>Feijão</t>
        </is>
      </c>
      <c r="G1379" s="7" t="inlineStr">
        <is>
          <t>Cultura Autorizada na Bula</t>
        </is>
      </c>
      <c r="H1379" s="7" t="inlineStr">
        <is>
          <t>100 a 300 L/ha</t>
        </is>
      </c>
      <c r="I1379" s="7" t="inlineStr">
        <is>
          <t>20 a 40 L/ha</t>
        </is>
      </c>
      <c r="J1379" s="7" t="inlineStr">
        <is>
          <t>14 dias</t>
        </is>
      </c>
    </row>
    <row r="1380" ht="22" customHeight="1">
      <c r="A1380" s="12" t="inlineStr">
        <is>
          <t>CUL-1376</t>
        </is>
      </c>
      <c r="B1380" s="11" t="n">
        <v>275</v>
      </c>
      <c r="C1380" s="13" t="inlineStr">
        <is>
          <t>SIPEAGRO (UF-XXXXX)</t>
        </is>
      </c>
      <c r="D1380" s="14" t="inlineStr">
        <is>
          <t>BRENNFEED BR 248</t>
        </is>
      </c>
      <c r="E1380" s="13" t="inlineStr">
        <is>
          <t>Adubação de Solo / Foliar</t>
        </is>
      </c>
      <c r="F1380" s="13" t="inlineStr">
        <is>
          <t>Soja</t>
        </is>
      </c>
      <c r="G1380" s="13" t="inlineStr">
        <is>
          <t>Cultura Autorizada na Bula</t>
        </is>
      </c>
      <c r="H1380" s="13" t="inlineStr">
        <is>
          <t>100 a 300 L/ha</t>
        </is>
      </c>
      <c r="I1380" s="13" t="inlineStr">
        <is>
          <t>20 a 40 L/ha</t>
        </is>
      </c>
      <c r="J1380" s="13" t="inlineStr">
        <is>
          <t>Isento</t>
        </is>
      </c>
    </row>
    <row r="1381" ht="22" customHeight="1">
      <c r="A1381" s="6" t="inlineStr">
        <is>
          <t>CUL-1377</t>
        </is>
      </c>
      <c r="B1381" s="5" t="n">
        <v>275</v>
      </c>
      <c r="C1381" s="7" t="inlineStr">
        <is>
          <t>SIPEAGRO (UF-XXXXX)</t>
        </is>
      </c>
      <c r="D1381" s="8" t="inlineStr">
        <is>
          <t>BRENNFEED BR 248</t>
        </is>
      </c>
      <c r="E1381" s="7" t="inlineStr">
        <is>
          <t>Adubação de Solo / Foliar</t>
        </is>
      </c>
      <c r="F1381" s="7" t="inlineStr">
        <is>
          <t>Milho</t>
        </is>
      </c>
      <c r="G1381" s="7" t="inlineStr">
        <is>
          <t>Cultura Autorizada na Bula</t>
        </is>
      </c>
      <c r="H1381" s="7" t="inlineStr">
        <is>
          <t>100 a 300 L/ha</t>
        </is>
      </c>
      <c r="I1381" s="7" t="inlineStr">
        <is>
          <t>20 a 40 L/ha</t>
        </is>
      </c>
      <c r="J1381" s="7" t="inlineStr">
        <is>
          <t>Isento</t>
        </is>
      </c>
    </row>
    <row r="1382" ht="22" customHeight="1">
      <c r="A1382" s="12" t="inlineStr">
        <is>
          <t>CUL-1378</t>
        </is>
      </c>
      <c r="B1382" s="11" t="n">
        <v>275</v>
      </c>
      <c r="C1382" s="13" t="inlineStr">
        <is>
          <t>SIPEAGRO (UF-XXXXX)</t>
        </is>
      </c>
      <c r="D1382" s="14" t="inlineStr">
        <is>
          <t>BRENNFEED BR 248</t>
        </is>
      </c>
      <c r="E1382" s="13" t="inlineStr">
        <is>
          <t>Adubação de Solo / Foliar</t>
        </is>
      </c>
      <c r="F1382" s="13" t="inlineStr">
        <is>
          <t>Algodão</t>
        </is>
      </c>
      <c r="G1382" s="13" t="inlineStr">
        <is>
          <t>Cultura Autorizada na Bula</t>
        </is>
      </c>
      <c r="H1382" s="13" t="inlineStr">
        <is>
          <t>100 a 300 L/ha</t>
        </is>
      </c>
      <c r="I1382" s="13" t="inlineStr">
        <is>
          <t>20 a 40 L/ha</t>
        </is>
      </c>
      <c r="J1382" s="13" t="inlineStr">
        <is>
          <t>Isento</t>
        </is>
      </c>
    </row>
    <row r="1383" ht="22" customHeight="1">
      <c r="A1383" s="6" t="inlineStr">
        <is>
          <t>CUL-1379</t>
        </is>
      </c>
      <c r="B1383" s="5" t="n">
        <v>275</v>
      </c>
      <c r="C1383" s="7" t="inlineStr">
        <is>
          <t>SIPEAGRO (UF-XXXXX)</t>
        </is>
      </c>
      <c r="D1383" s="8" t="inlineStr">
        <is>
          <t>BRENNFEED BR 248</t>
        </is>
      </c>
      <c r="E1383" s="7" t="inlineStr">
        <is>
          <t>Adubação de Solo / Foliar</t>
        </is>
      </c>
      <c r="F1383" s="7" t="inlineStr">
        <is>
          <t>Cana-de-açúcar</t>
        </is>
      </c>
      <c r="G1383" s="7" t="inlineStr">
        <is>
          <t>Cultura Autorizada na Bula</t>
        </is>
      </c>
      <c r="H1383" s="7" t="inlineStr">
        <is>
          <t>100 a 300 L/ha</t>
        </is>
      </c>
      <c r="I1383" s="7" t="inlineStr">
        <is>
          <t>20 a 40 L/ha</t>
        </is>
      </c>
      <c r="J1383" s="7" t="inlineStr">
        <is>
          <t>Isento</t>
        </is>
      </c>
    </row>
    <row r="1384" ht="22" customHeight="1">
      <c r="A1384" s="12" t="inlineStr">
        <is>
          <t>CUL-1380</t>
        </is>
      </c>
      <c r="B1384" s="11" t="n">
        <v>275</v>
      </c>
      <c r="C1384" s="13" t="inlineStr">
        <is>
          <t>SIPEAGRO (UF-XXXXX)</t>
        </is>
      </c>
      <c r="D1384" s="14" t="inlineStr">
        <is>
          <t>BRENNFEED BR 248</t>
        </is>
      </c>
      <c r="E1384" s="13" t="inlineStr">
        <is>
          <t>Adubação de Solo / Foliar</t>
        </is>
      </c>
      <c r="F1384" s="13" t="inlineStr">
        <is>
          <t>Café</t>
        </is>
      </c>
      <c r="G1384" s="13" t="inlineStr">
        <is>
          <t>Cultura Autorizada na Bula</t>
        </is>
      </c>
      <c r="H1384" s="13" t="inlineStr">
        <is>
          <t>100 a 300 L/ha</t>
        </is>
      </c>
      <c r="I1384" s="13" t="inlineStr">
        <is>
          <t>20 a 40 L/ha</t>
        </is>
      </c>
      <c r="J1384" s="13" t="inlineStr">
        <is>
          <t>Isento</t>
        </is>
      </c>
    </row>
    <row r="1385" ht="22" customHeight="1">
      <c r="A1385" s="6" t="inlineStr">
        <is>
          <t>CUL-1381</t>
        </is>
      </c>
      <c r="B1385" s="5" t="n">
        <v>276</v>
      </c>
      <c r="C1385" s="7" t="inlineStr">
        <is>
          <t>Nº 31817</t>
        </is>
      </c>
      <c r="D1385" s="8" t="inlineStr">
        <is>
          <t>RAINIL</t>
        </is>
      </c>
      <c r="E1385" s="7" t="inlineStr">
        <is>
          <t>Tratamento de Sementes / Sulco</t>
        </is>
      </c>
      <c r="F1385" s="7" t="inlineStr">
        <is>
          <t>Soja (Trat. Sementes / Sulco)</t>
        </is>
      </c>
      <c r="G1385" s="7" t="inlineStr">
        <is>
          <t>Cultura Autorizada na Bula</t>
        </is>
      </c>
      <c r="H1385" s="7" t="inlineStr">
        <is>
          <t>Calda TS (0,2 a 0,6 L/100kg sem.)</t>
        </is>
      </c>
      <c r="I1385" s="7" t="inlineStr">
        <is>
          <t>Não Autorizada (TS)</t>
        </is>
      </c>
      <c r="J1385" s="7" t="inlineStr">
        <is>
          <t>N/D</t>
        </is>
      </c>
    </row>
    <row r="1386" ht="22" customHeight="1">
      <c r="A1386" s="12" t="inlineStr">
        <is>
          <t>CUL-1382</t>
        </is>
      </c>
      <c r="B1386" s="11" t="n">
        <v>276</v>
      </c>
      <c r="C1386" s="13" t="inlineStr">
        <is>
          <t>Nº 31817</t>
        </is>
      </c>
      <c r="D1386" s="14" t="inlineStr">
        <is>
          <t>RAINIL</t>
        </is>
      </c>
      <c r="E1386" s="13" t="inlineStr">
        <is>
          <t>Tratamento de Sementes / Sulco</t>
        </is>
      </c>
      <c r="F1386" s="13" t="inlineStr">
        <is>
          <t>Milho (Trat. Sementes)</t>
        </is>
      </c>
      <c r="G1386" s="13" t="inlineStr">
        <is>
          <t>Cultura Autorizada na Bula</t>
        </is>
      </c>
      <c r="H1386" s="13" t="inlineStr">
        <is>
          <t>Calda TS (0,2 a 0,6 L/100kg sem.)</t>
        </is>
      </c>
      <c r="I1386" s="13" t="inlineStr">
        <is>
          <t>Não Autorizada (TS)</t>
        </is>
      </c>
      <c r="J1386" s="13" t="inlineStr">
        <is>
          <t>N/D</t>
        </is>
      </c>
    </row>
    <row r="1387" ht="22" customHeight="1">
      <c r="A1387" s="6" t="inlineStr">
        <is>
          <t>CUL-1383</t>
        </is>
      </c>
      <c r="B1387" s="5" t="n">
        <v>276</v>
      </c>
      <c r="C1387" s="7" t="inlineStr">
        <is>
          <t>Nº 31817</t>
        </is>
      </c>
      <c r="D1387" s="8" t="inlineStr">
        <is>
          <t>RAINIL</t>
        </is>
      </c>
      <c r="E1387" s="7" t="inlineStr">
        <is>
          <t>Tratamento de Sementes / Sulco</t>
        </is>
      </c>
      <c r="F1387" s="7" t="inlineStr">
        <is>
          <t>Algodão</t>
        </is>
      </c>
      <c r="G1387" s="7" t="inlineStr">
        <is>
          <t>Cultura Autorizada na Bula</t>
        </is>
      </c>
      <c r="H1387" s="7" t="inlineStr">
        <is>
          <t>Calda TS (0,2 a 0,6 L/100kg sem.)</t>
        </is>
      </c>
      <c r="I1387" s="7" t="inlineStr">
        <is>
          <t>Não Autorizada (TS)</t>
        </is>
      </c>
      <c r="J1387" s="7" t="inlineStr">
        <is>
          <t>N/D</t>
        </is>
      </c>
    </row>
    <row r="1388" ht="22" customHeight="1">
      <c r="A1388" s="12" t="inlineStr">
        <is>
          <t>CUL-1384</t>
        </is>
      </c>
      <c r="B1388" s="11" t="n">
        <v>276</v>
      </c>
      <c r="C1388" s="13" t="inlineStr">
        <is>
          <t>Nº 31817</t>
        </is>
      </c>
      <c r="D1388" s="14" t="inlineStr">
        <is>
          <t>RAINIL</t>
        </is>
      </c>
      <c r="E1388" s="13" t="inlineStr">
        <is>
          <t>Tratamento de Sementes / Sulco</t>
        </is>
      </c>
      <c r="F1388" s="13" t="inlineStr">
        <is>
          <t>Cana-de-açúcar (Sulco)</t>
        </is>
      </c>
      <c r="G1388" s="13" t="inlineStr">
        <is>
          <t>Cultura Autorizada na Bula</t>
        </is>
      </c>
      <c r="H1388" s="13" t="inlineStr">
        <is>
          <t>Calda TS (0,2 a 0,6 L/100kg sem.)</t>
        </is>
      </c>
      <c r="I1388" s="13" t="inlineStr">
        <is>
          <t>Não Autorizada (TS)</t>
        </is>
      </c>
      <c r="J1388" s="13" t="inlineStr">
        <is>
          <t>N/D</t>
        </is>
      </c>
    </row>
    <row r="1389" ht="22" customHeight="1">
      <c r="A1389" s="6" t="inlineStr">
        <is>
          <t>CUL-1385</t>
        </is>
      </c>
      <c r="B1389" s="5" t="n">
        <v>276</v>
      </c>
      <c r="C1389" s="7" t="inlineStr">
        <is>
          <t>Nº 31817</t>
        </is>
      </c>
      <c r="D1389" s="8" t="inlineStr">
        <is>
          <t>RAINIL</t>
        </is>
      </c>
      <c r="E1389" s="7" t="inlineStr">
        <is>
          <t>Tratamento de Sementes / Sulco</t>
        </is>
      </c>
      <c r="F1389" s="7" t="inlineStr">
        <is>
          <t>Arroz</t>
        </is>
      </c>
      <c r="G1389" s="7" t="inlineStr">
        <is>
          <t>Cultura Autorizada na Bula</t>
        </is>
      </c>
      <c r="H1389" s="7" t="inlineStr">
        <is>
          <t>Calda TS (0,2 a 0,6 L/100kg sem.)</t>
        </is>
      </c>
      <c r="I1389" s="7" t="inlineStr">
        <is>
          <t>Não Autorizada (TS)</t>
        </is>
      </c>
      <c r="J1389" s="7" t="inlineStr">
        <is>
          <t>N/D</t>
        </is>
      </c>
    </row>
    <row r="1390" ht="22" customHeight="1">
      <c r="A1390" s="12" t="inlineStr">
        <is>
          <t>CUL-1386</t>
        </is>
      </c>
      <c r="B1390" s="11" t="n">
        <v>276</v>
      </c>
      <c r="C1390" s="13" t="inlineStr">
        <is>
          <t>Nº 31817</t>
        </is>
      </c>
      <c r="D1390" s="14" t="inlineStr">
        <is>
          <t>RAINIL</t>
        </is>
      </c>
      <c r="E1390" s="13" t="inlineStr">
        <is>
          <t>Tratamento de Sementes / Sulco</t>
        </is>
      </c>
      <c r="F1390" s="13" t="inlineStr">
        <is>
          <t>Feijão</t>
        </is>
      </c>
      <c r="G1390" s="13" t="inlineStr">
        <is>
          <t>Cultura Autorizada na Bula</t>
        </is>
      </c>
      <c r="H1390" s="13" t="inlineStr">
        <is>
          <t>Calda TS (0,2 a 0,6 L/100kg sem.)</t>
        </is>
      </c>
      <c r="I1390" s="13" t="inlineStr">
        <is>
          <t>Não Autorizada (TS)</t>
        </is>
      </c>
      <c r="J1390" s="13" t="inlineStr">
        <is>
          <t>N/D</t>
        </is>
      </c>
    </row>
    <row r="1391" ht="22" customHeight="1">
      <c r="A1391" s="6" t="inlineStr">
        <is>
          <t>CUL-1387</t>
        </is>
      </c>
      <c r="B1391" s="5" t="n">
        <v>276</v>
      </c>
      <c r="C1391" s="7" t="inlineStr">
        <is>
          <t>Nº 31817</t>
        </is>
      </c>
      <c r="D1391" s="8" t="inlineStr">
        <is>
          <t>RAINIL</t>
        </is>
      </c>
      <c r="E1391" s="7" t="inlineStr">
        <is>
          <t>Tratamento de Sementes / Sulco</t>
        </is>
      </c>
      <c r="F1391" s="7" t="inlineStr">
        <is>
          <t>Pastagens</t>
        </is>
      </c>
      <c r="G1391" s="7" t="inlineStr">
        <is>
          <t>Cultura Autorizada na Bula</t>
        </is>
      </c>
      <c r="H1391" s="7" t="inlineStr">
        <is>
          <t>Calda TS (0,2 a 0,6 L/100kg sem.)</t>
        </is>
      </c>
      <c r="I1391" s="7" t="inlineStr">
        <is>
          <t>Não Autorizada (TS)</t>
        </is>
      </c>
      <c r="J1391" s="7" t="inlineStr">
        <is>
          <t>N/D</t>
        </is>
      </c>
    </row>
    <row r="1392" ht="22" customHeight="1">
      <c r="A1392" s="12" t="inlineStr">
        <is>
          <t>CUL-1388</t>
        </is>
      </c>
      <c r="B1392" s="11" t="n">
        <v>276</v>
      </c>
      <c r="C1392" s="13" t="inlineStr">
        <is>
          <t>Nº 31817</t>
        </is>
      </c>
      <c r="D1392" s="14" t="inlineStr">
        <is>
          <t>RAINIL</t>
        </is>
      </c>
      <c r="E1392" s="13" t="inlineStr">
        <is>
          <t>Tratamento de Sementes / Sulco</t>
        </is>
      </c>
      <c r="F1392" s="13" t="inlineStr">
        <is>
          <t>Trigo</t>
        </is>
      </c>
      <c r="G1392" s="13" t="inlineStr">
        <is>
          <t>Cultura Autorizada na Bula</t>
        </is>
      </c>
      <c r="H1392" s="13" t="inlineStr">
        <is>
          <t>Calda TS (0,2 a 0,6 L/100kg sem.)</t>
        </is>
      </c>
      <c r="I1392" s="13" t="inlineStr">
        <is>
          <t>Não Autorizada (TS)</t>
        </is>
      </c>
      <c r="J1392" s="13" t="inlineStr">
        <is>
          <t>N/D</t>
        </is>
      </c>
    </row>
    <row r="1393" ht="22" customHeight="1">
      <c r="A1393" s="6" t="inlineStr">
        <is>
          <t>CUL-1389</t>
        </is>
      </c>
      <c r="B1393" s="5" t="n">
        <v>277</v>
      </c>
      <c r="C1393" s="7" t="inlineStr">
        <is>
          <t>Nº 17119</t>
        </is>
      </c>
      <c r="D1393" s="8" t="inlineStr">
        <is>
          <t>DIFENCONAZOLE 25% EC</t>
        </is>
      </c>
      <c r="E1393" s="7" t="inlineStr">
        <is>
          <t>Pulverização Agrícola Conforme Bula</t>
        </is>
      </c>
      <c r="F1393" s="7" t="inlineStr">
        <is>
          <t>Soja</t>
        </is>
      </c>
      <c r="G1393" s="7" t="inlineStr">
        <is>
          <t>Cultura Autorizada na Bula</t>
        </is>
      </c>
      <c r="H1393" s="7" t="inlineStr">
        <is>
          <t>100 a 300 L/ha</t>
        </is>
      </c>
      <c r="I1393" s="7" t="inlineStr">
        <is>
          <t>20 a 40 L/ha</t>
        </is>
      </c>
      <c r="J1393" s="7" t="inlineStr">
        <is>
          <t>30 dias</t>
        </is>
      </c>
    </row>
    <row r="1394" ht="22" customHeight="1">
      <c r="A1394" s="12" t="inlineStr">
        <is>
          <t>CUL-1390</t>
        </is>
      </c>
      <c r="B1394" s="11" t="n">
        <v>277</v>
      </c>
      <c r="C1394" s="13" t="inlineStr">
        <is>
          <t>Nº 17119</t>
        </is>
      </c>
      <c r="D1394" s="14" t="inlineStr">
        <is>
          <t>DIFENCONAZOLE 25% EC</t>
        </is>
      </c>
      <c r="E1394" s="13" t="inlineStr">
        <is>
          <t>Pulverização Agrícola Conforme Bula</t>
        </is>
      </c>
      <c r="F1394" s="13" t="inlineStr">
        <is>
          <t>Algodão</t>
        </is>
      </c>
      <c r="G1394" s="13" t="inlineStr">
        <is>
          <t>Cultura Autorizada na Bula</t>
        </is>
      </c>
      <c r="H1394" s="13" t="inlineStr">
        <is>
          <t>100 a 300 L/ha</t>
        </is>
      </c>
      <c r="I1394" s="13" t="inlineStr">
        <is>
          <t>20 a 40 L/ha</t>
        </is>
      </c>
      <c r="J1394" s="13" t="inlineStr">
        <is>
          <t>30 dias</t>
        </is>
      </c>
    </row>
    <row r="1395" ht="22" customHeight="1">
      <c r="A1395" s="6" t="inlineStr">
        <is>
          <t>CUL-1391</t>
        </is>
      </c>
      <c r="B1395" s="5" t="n">
        <v>277</v>
      </c>
      <c r="C1395" s="7" t="inlineStr">
        <is>
          <t>Nº 17119</t>
        </is>
      </c>
      <c r="D1395" s="8" t="inlineStr">
        <is>
          <t>DIFENCONAZOLE 25% EC</t>
        </is>
      </c>
      <c r="E1395" s="7" t="inlineStr">
        <is>
          <t>Pulverização Agrícola Conforme Bula</t>
        </is>
      </c>
      <c r="F1395" s="7" t="inlineStr">
        <is>
          <t>Feijão</t>
        </is>
      </c>
      <c r="G1395" s="7" t="inlineStr">
        <is>
          <t>Cultura Autorizada na Bula</t>
        </is>
      </c>
      <c r="H1395" s="7" t="inlineStr">
        <is>
          <t>100 a 300 L/ha</t>
        </is>
      </c>
      <c r="I1395" s="7" t="inlineStr">
        <is>
          <t>20 a 40 L/ha</t>
        </is>
      </c>
      <c r="J1395" s="7" t="inlineStr">
        <is>
          <t>14 dias</t>
        </is>
      </c>
    </row>
    <row r="1396" ht="22" customHeight="1">
      <c r="A1396" s="12" t="inlineStr">
        <is>
          <t>CUL-1392</t>
        </is>
      </c>
      <c r="B1396" s="11" t="n">
        <v>277</v>
      </c>
      <c r="C1396" s="13" t="inlineStr">
        <is>
          <t>Nº 17119</t>
        </is>
      </c>
      <c r="D1396" s="14" t="inlineStr">
        <is>
          <t>DIFENCONAZOLE 25% EC</t>
        </is>
      </c>
      <c r="E1396" s="13" t="inlineStr">
        <is>
          <t>Pulverização Agrícola Conforme Bula</t>
        </is>
      </c>
      <c r="F1396" s="13" t="inlineStr">
        <is>
          <t>Arroz</t>
        </is>
      </c>
      <c r="G1396" s="13" t="inlineStr">
        <is>
          <t>Cultura Autorizada na Bula</t>
        </is>
      </c>
      <c r="H1396" s="13" t="inlineStr">
        <is>
          <t>100 a 300 L/ha</t>
        </is>
      </c>
      <c r="I1396" s="13" t="inlineStr">
        <is>
          <t>20 a 40 L/ha</t>
        </is>
      </c>
      <c r="J1396" s="13" t="inlineStr">
        <is>
          <t>40 dias</t>
        </is>
      </c>
    </row>
    <row r="1397" ht="22" customHeight="1">
      <c r="A1397" s="6" t="inlineStr">
        <is>
          <t>CUL-1393</t>
        </is>
      </c>
      <c r="B1397" s="5" t="n">
        <v>277</v>
      </c>
      <c r="C1397" s="7" t="inlineStr">
        <is>
          <t>Nº 17119</t>
        </is>
      </c>
      <c r="D1397" s="8" t="inlineStr">
        <is>
          <t>DIFENCONAZOLE 25% EC</t>
        </is>
      </c>
      <c r="E1397" s="7" t="inlineStr">
        <is>
          <t>Pulverização Agrícola Conforme Bula</t>
        </is>
      </c>
      <c r="F1397" s="7" t="inlineStr">
        <is>
          <t>Café</t>
        </is>
      </c>
      <c r="G1397" s="7" t="inlineStr">
        <is>
          <t>Cultura Autorizada na Bula</t>
        </is>
      </c>
      <c r="H1397" s="7" t="inlineStr">
        <is>
          <t>100 a 300 L/ha</t>
        </is>
      </c>
      <c r="I1397" s="7" t="inlineStr">
        <is>
          <t>20 a 40 L/ha</t>
        </is>
      </c>
      <c r="J1397" s="7" t="inlineStr">
        <is>
          <t>30 dias</t>
        </is>
      </c>
    </row>
    <row r="1398" ht="22" customHeight="1">
      <c r="A1398" s="12" t="inlineStr">
        <is>
          <t>CUL-1394</t>
        </is>
      </c>
      <c r="B1398" s="11" t="n">
        <v>277</v>
      </c>
      <c r="C1398" s="13" t="inlineStr">
        <is>
          <t>Nº 17119</t>
        </is>
      </c>
      <c r="D1398" s="14" t="inlineStr">
        <is>
          <t>DIFENCONAZOLE 25% EC</t>
        </is>
      </c>
      <c r="E1398" s="13" t="inlineStr">
        <is>
          <t>Pulverização Agrícola Conforme Bula</t>
        </is>
      </c>
      <c r="F1398" s="13" t="inlineStr">
        <is>
          <t>Trigo</t>
        </is>
      </c>
      <c r="G1398" s="13" t="inlineStr">
        <is>
          <t>Cultura Autorizada na Bula</t>
        </is>
      </c>
      <c r="H1398" s="13" t="inlineStr">
        <is>
          <t>100 a 300 L/ha</t>
        </is>
      </c>
      <c r="I1398" s="13" t="inlineStr">
        <is>
          <t>20 a 40 L/ha</t>
        </is>
      </c>
      <c r="J1398" s="13" t="inlineStr">
        <is>
          <t>35 dias</t>
        </is>
      </c>
    </row>
    <row r="1399" ht="22" customHeight="1">
      <c r="A1399" s="6" t="inlineStr">
        <is>
          <t>CUL-1395</t>
        </is>
      </c>
      <c r="B1399" s="5" t="n">
        <v>277</v>
      </c>
      <c r="C1399" s="7" t="inlineStr">
        <is>
          <t>Nº 17119</t>
        </is>
      </c>
      <c r="D1399" s="8" t="inlineStr">
        <is>
          <t>DIFENCONAZOLE 25% EC</t>
        </is>
      </c>
      <c r="E1399" s="7" t="inlineStr">
        <is>
          <t>Pulverização Agrícola Conforme Bula</t>
        </is>
      </c>
      <c r="F1399" s="7" t="inlineStr">
        <is>
          <t>Tomate</t>
        </is>
      </c>
      <c r="G1399" s="7" t="inlineStr">
        <is>
          <t>Cultura Autorizada na Bula</t>
        </is>
      </c>
      <c r="H1399" s="7" t="inlineStr">
        <is>
          <t>100 a 300 L/ha</t>
        </is>
      </c>
      <c r="I1399" s="7" t="inlineStr">
        <is>
          <t>20 a 40 L/ha</t>
        </is>
      </c>
      <c r="J1399" s="7" t="inlineStr">
        <is>
          <t>7 dias</t>
        </is>
      </c>
    </row>
    <row r="1400" ht="22" customHeight="1">
      <c r="A1400" s="12" t="inlineStr">
        <is>
          <t>CUL-1396</t>
        </is>
      </c>
      <c r="B1400" s="11" t="n">
        <v>278</v>
      </c>
      <c r="C1400" s="13" t="inlineStr">
        <is>
          <t>Nº 2788394</t>
        </is>
      </c>
      <c r="D1400" s="14" t="inlineStr">
        <is>
          <t>ORTHENE 750 BR</t>
        </is>
      </c>
      <c r="E1400" s="13" t="inlineStr">
        <is>
          <t>Pulverização Agrícola Conforme Bula</t>
        </is>
      </c>
      <c r="F1400" s="13" t="inlineStr">
        <is>
          <t>Soja</t>
        </is>
      </c>
      <c r="G1400" s="13" t="inlineStr">
        <is>
          <t>Cultura Autorizada na Bula</t>
        </is>
      </c>
      <c r="H1400" s="13" t="inlineStr">
        <is>
          <t>100 a 300 L/ha</t>
        </is>
      </c>
      <c r="I1400" s="13" t="inlineStr">
        <is>
          <t>20 a 40 L/ha</t>
        </is>
      </c>
      <c r="J1400" s="13" t="inlineStr">
        <is>
          <t>21 dias</t>
        </is>
      </c>
    </row>
    <row r="1401" ht="22" customHeight="1">
      <c r="A1401" s="6" t="inlineStr">
        <is>
          <t>CUL-1397</t>
        </is>
      </c>
      <c r="B1401" s="5" t="n">
        <v>278</v>
      </c>
      <c r="C1401" s="7" t="inlineStr">
        <is>
          <t>Nº 2788394</t>
        </is>
      </c>
      <c r="D1401" s="8" t="inlineStr">
        <is>
          <t>ORTHENE 750 BR</t>
        </is>
      </c>
      <c r="E1401" s="7" t="inlineStr">
        <is>
          <t>Pulverização Agrícola Conforme Bula</t>
        </is>
      </c>
      <c r="F1401" s="7" t="inlineStr">
        <is>
          <t>Algodão</t>
        </is>
      </c>
      <c r="G1401" s="7" t="inlineStr">
        <is>
          <t>Cultura Autorizada na Bula</t>
        </is>
      </c>
      <c r="H1401" s="7" t="inlineStr">
        <is>
          <t>100 a 300 L/ha</t>
        </is>
      </c>
      <c r="I1401" s="7" t="inlineStr">
        <is>
          <t>20 a 40 L/ha</t>
        </is>
      </c>
      <c r="J1401" s="7" t="inlineStr">
        <is>
          <t>21 dias</t>
        </is>
      </c>
    </row>
    <row r="1402" ht="22" customHeight="1">
      <c r="A1402" s="12" t="inlineStr">
        <is>
          <t>CUL-1398</t>
        </is>
      </c>
      <c r="B1402" s="11" t="n">
        <v>278</v>
      </c>
      <c r="C1402" s="13" t="inlineStr">
        <is>
          <t>Nº 2788394</t>
        </is>
      </c>
      <c r="D1402" s="14" t="inlineStr">
        <is>
          <t>ORTHENE 750 BR</t>
        </is>
      </c>
      <c r="E1402" s="13" t="inlineStr">
        <is>
          <t>Pulverização Agrícola Conforme Bula</t>
        </is>
      </c>
      <c r="F1402" s="13" t="inlineStr">
        <is>
          <t>Feijão</t>
        </is>
      </c>
      <c r="G1402" s="13" t="inlineStr">
        <is>
          <t>Cultura Autorizada na Bula</t>
        </is>
      </c>
      <c r="H1402" s="13" t="inlineStr">
        <is>
          <t>100 a 300 L/ha</t>
        </is>
      </c>
      <c r="I1402" s="13" t="inlineStr">
        <is>
          <t>20 a 40 L/ha</t>
        </is>
      </c>
      <c r="J1402" s="13" t="inlineStr">
        <is>
          <t>14 dias</t>
        </is>
      </c>
    </row>
    <row r="1403" ht="22" customHeight="1">
      <c r="A1403" s="6" t="inlineStr">
        <is>
          <t>CUL-1399</t>
        </is>
      </c>
      <c r="B1403" s="5" t="n">
        <v>278</v>
      </c>
      <c r="C1403" s="7" t="inlineStr">
        <is>
          <t>Nº 2788394</t>
        </is>
      </c>
      <c r="D1403" s="8" t="inlineStr">
        <is>
          <t>ORTHENE 750 BR</t>
        </is>
      </c>
      <c r="E1403" s="7" t="inlineStr">
        <is>
          <t>Pulverização Agrícola Conforme Bula</t>
        </is>
      </c>
      <c r="F1403" s="7" t="inlineStr">
        <is>
          <t>Milho</t>
        </is>
      </c>
      <c r="G1403" s="7" t="inlineStr">
        <is>
          <t>Cultura Autorizada na Bula</t>
        </is>
      </c>
      <c r="H1403" s="7" t="inlineStr">
        <is>
          <t>100 a 300 L/ha</t>
        </is>
      </c>
      <c r="I1403" s="7" t="inlineStr">
        <is>
          <t>20 a 40 L/ha</t>
        </is>
      </c>
      <c r="J1403" s="7" t="inlineStr">
        <is>
          <t>21 dias</t>
        </is>
      </c>
    </row>
    <row r="1404" ht="22" customHeight="1">
      <c r="A1404" s="12" t="inlineStr">
        <is>
          <t>CUL-1400</t>
        </is>
      </c>
      <c r="B1404" s="11" t="n">
        <v>279</v>
      </c>
      <c r="C1404" s="13" t="inlineStr">
        <is>
          <t>Nº 16223</t>
        </is>
      </c>
      <c r="D1404" s="14" t="inlineStr">
        <is>
          <t>CLOMASTER</t>
        </is>
      </c>
      <c r="E1404" s="13" t="inlineStr">
        <is>
          <t>Pulverização Agrícola Conforme Bula</t>
        </is>
      </c>
      <c r="F1404" s="13" t="inlineStr">
        <is>
          <t>Cana-de-açúcar</t>
        </is>
      </c>
      <c r="G1404" s="13" t="inlineStr">
        <is>
          <t>Cultura Autorizada na Bula</t>
        </is>
      </c>
      <c r="H1404" s="13" t="inlineStr">
        <is>
          <t>100 a 300 L/ha</t>
        </is>
      </c>
      <c r="I1404" s="13" t="inlineStr">
        <is>
          <t>20 a 40 L/ha</t>
        </is>
      </c>
      <c r="J1404" s="13" t="inlineStr">
        <is>
          <t>N/D</t>
        </is>
      </c>
    </row>
    <row r="1405" ht="22" customHeight="1">
      <c r="A1405" s="6" t="inlineStr">
        <is>
          <t>CUL-1401</t>
        </is>
      </c>
      <c r="B1405" s="5" t="n">
        <v>279</v>
      </c>
      <c r="C1405" s="7" t="inlineStr">
        <is>
          <t>Nº 16223</t>
        </is>
      </c>
      <c r="D1405" s="8" t="inlineStr">
        <is>
          <t>CLOMASTER</t>
        </is>
      </c>
      <c r="E1405" s="7" t="inlineStr">
        <is>
          <t>Pulverização Agrícola Conforme Bula</t>
        </is>
      </c>
      <c r="F1405" s="7" t="inlineStr">
        <is>
          <t>Arroz</t>
        </is>
      </c>
      <c r="G1405" s="7" t="inlineStr">
        <is>
          <t>Cultura Autorizada na Bula</t>
        </is>
      </c>
      <c r="H1405" s="7" t="inlineStr">
        <is>
          <t>100 a 300 L/ha</t>
        </is>
      </c>
      <c r="I1405" s="7" t="inlineStr">
        <is>
          <t>20 a 40 L/ha</t>
        </is>
      </c>
      <c r="J1405" s="7" t="inlineStr">
        <is>
          <t>90 dias</t>
        </is>
      </c>
    </row>
    <row r="1406" ht="22" customHeight="1">
      <c r="A1406" s="12" t="inlineStr">
        <is>
          <t>CUL-1402</t>
        </is>
      </c>
      <c r="B1406" s="11" t="n">
        <v>279</v>
      </c>
      <c r="C1406" s="13" t="inlineStr">
        <is>
          <t>Nº 16223</t>
        </is>
      </c>
      <c r="D1406" s="14" t="inlineStr">
        <is>
          <t>CLOMASTER</t>
        </is>
      </c>
      <c r="E1406" s="13" t="inlineStr">
        <is>
          <t>Pulverização Agrícola Conforme Bula</t>
        </is>
      </c>
      <c r="F1406" s="13" t="inlineStr">
        <is>
          <t>Soja</t>
        </is>
      </c>
      <c r="G1406" s="13" t="inlineStr">
        <is>
          <t>Cultura Autorizada na Bula</t>
        </is>
      </c>
      <c r="H1406" s="13" t="inlineStr">
        <is>
          <t>100 a 300 L/ha</t>
        </is>
      </c>
      <c r="I1406" s="13" t="inlineStr">
        <is>
          <t>20 a 40 L/ha</t>
        </is>
      </c>
      <c r="J1406" s="13" t="inlineStr">
        <is>
          <t>N/D</t>
        </is>
      </c>
    </row>
    <row r="1407" ht="22" customHeight="1">
      <c r="A1407" s="6" t="inlineStr">
        <is>
          <t>CUL-1403</t>
        </is>
      </c>
      <c r="B1407" s="5" t="n">
        <v>279</v>
      </c>
      <c r="C1407" s="7" t="inlineStr">
        <is>
          <t>Nº 16223</t>
        </is>
      </c>
      <c r="D1407" s="8" t="inlineStr">
        <is>
          <t>CLOMASTER</t>
        </is>
      </c>
      <c r="E1407" s="7" t="inlineStr">
        <is>
          <t>Pulverização Agrícola Conforme Bula</t>
        </is>
      </c>
      <c r="F1407" s="7" t="inlineStr">
        <is>
          <t>Algodão</t>
        </is>
      </c>
      <c r="G1407" s="7" t="inlineStr">
        <is>
          <t>Cultura Autorizada na Bula</t>
        </is>
      </c>
      <c r="H1407" s="7" t="inlineStr">
        <is>
          <t>100 a 300 L/ha</t>
        </is>
      </c>
      <c r="I1407" s="7" t="inlineStr">
        <is>
          <t>20 a 40 L/ha</t>
        </is>
      </c>
      <c r="J1407" s="7" t="inlineStr">
        <is>
          <t>100 dias</t>
        </is>
      </c>
    </row>
    <row r="1408" ht="22" customHeight="1">
      <c r="A1408" s="12" t="inlineStr">
        <is>
          <t>CUL-1404</t>
        </is>
      </c>
      <c r="B1408" s="11" t="n">
        <v>279</v>
      </c>
      <c r="C1408" s="13" t="inlineStr">
        <is>
          <t>Nº 16223</t>
        </is>
      </c>
      <c r="D1408" s="14" t="inlineStr">
        <is>
          <t>CLOMASTER</t>
        </is>
      </c>
      <c r="E1408" s="13" t="inlineStr">
        <is>
          <t>Pulverização Agrícola Conforme Bula</t>
        </is>
      </c>
      <c r="F1408" s="13" t="inlineStr">
        <is>
          <t>Mandioca</t>
        </is>
      </c>
      <c r="G1408" s="13" t="inlineStr">
        <is>
          <t>Cultura Autorizada na Bula</t>
        </is>
      </c>
      <c r="H1408" s="13" t="inlineStr">
        <is>
          <t>100 a 300 L/ha</t>
        </is>
      </c>
      <c r="I1408" s="13" t="inlineStr">
        <is>
          <t>20 a 40 L/ha</t>
        </is>
      </c>
      <c r="J1408" s="13" t="inlineStr">
        <is>
          <t>N/D</t>
        </is>
      </c>
    </row>
    <row r="1409" ht="22" customHeight="1">
      <c r="A1409" s="6" t="inlineStr">
        <is>
          <t>CUL-1405</t>
        </is>
      </c>
      <c r="B1409" s="5" t="n">
        <v>279</v>
      </c>
      <c r="C1409" s="7" t="inlineStr">
        <is>
          <t>Nº 16223</t>
        </is>
      </c>
      <c r="D1409" s="8" t="inlineStr">
        <is>
          <t>CLOMASTER</t>
        </is>
      </c>
      <c r="E1409" s="7" t="inlineStr">
        <is>
          <t>Pulverização Agrícola Conforme Bula</t>
        </is>
      </c>
      <c r="F1409" s="7" t="inlineStr">
        <is>
          <t>Tabaco</t>
        </is>
      </c>
      <c r="G1409" s="7" t="inlineStr">
        <is>
          <t>Cultura Autorizada na Bula</t>
        </is>
      </c>
      <c r="H1409" s="7" t="inlineStr">
        <is>
          <t>100 a 300 L/ha</t>
        </is>
      </c>
      <c r="I1409" s="7" t="inlineStr">
        <is>
          <t>20 a 40 L/ha</t>
        </is>
      </c>
      <c r="J1409" s="7" t="inlineStr">
        <is>
          <t>N/D</t>
        </is>
      </c>
    </row>
    <row r="1410" ht="22" customHeight="1">
      <c r="A1410" s="12" t="inlineStr">
        <is>
          <t>CUL-1406</t>
        </is>
      </c>
      <c r="B1410" s="11" t="n">
        <v>280</v>
      </c>
      <c r="C1410" s="13" t="inlineStr">
        <is>
          <t>ISENTO (ATO 104/2017)</t>
        </is>
      </c>
      <c r="D1410" s="14" t="inlineStr">
        <is>
          <t>AGCN SAFE AIR</t>
        </is>
      </c>
      <c r="E1410" s="13" t="inlineStr">
        <is>
          <t>Pulverização Agrícola Conforme Bula</t>
        </is>
      </c>
      <c r="F1410" s="13" t="inlineStr">
        <is>
          <t>Soja, Milho, Algodão, Café, Citros, Cana-de-açúcar (Adição à calda)</t>
        </is>
      </c>
      <c r="G1410" s="13" t="inlineStr">
        <is>
          <t>Cultura Autorizada na Bula</t>
        </is>
      </c>
      <c r="H1410" s="13" t="inlineStr">
        <is>
          <t>100 a 300 L/ha</t>
        </is>
      </c>
      <c r="I1410" s="13" t="inlineStr">
        <is>
          <t>20 a 40 L/ha</t>
        </is>
      </c>
      <c r="J1410" s="13" t="inlineStr">
        <is>
          <t>Conforme defensivo principal</t>
        </is>
      </c>
    </row>
    <row r="1411" ht="22" customHeight="1">
      <c r="A1411" s="6" t="inlineStr">
        <is>
          <t>CUL-1407</t>
        </is>
      </c>
      <c r="B1411" s="5" t="n">
        <v>281</v>
      </c>
      <c r="C1411" s="7" t="inlineStr">
        <is>
          <t>SIPEAGRO (UF-XXXXX)</t>
        </is>
      </c>
      <c r="D1411" s="8" t="inlineStr">
        <is>
          <t>AGCN SEED ULTRA</t>
        </is>
      </c>
      <c r="E1411" s="7" t="inlineStr">
        <is>
          <t>Adubação de Solo / Foliar</t>
        </is>
      </c>
      <c r="F1411" s="7" t="inlineStr">
        <is>
          <t>Soja</t>
        </is>
      </c>
      <c r="G1411" s="7" t="inlineStr">
        <is>
          <t>Cultura Autorizada na Bula</t>
        </is>
      </c>
      <c r="H1411" s="7" t="inlineStr">
        <is>
          <t>100 a 300 L/ha</t>
        </is>
      </c>
      <c r="I1411" s="7" t="inlineStr">
        <is>
          <t>20 a 40 L/ha</t>
        </is>
      </c>
      <c r="J1411" s="7" t="inlineStr">
        <is>
          <t>Isento</t>
        </is>
      </c>
    </row>
    <row r="1412" ht="22" customHeight="1">
      <c r="A1412" s="12" t="inlineStr">
        <is>
          <t>CUL-1408</t>
        </is>
      </c>
      <c r="B1412" s="11" t="n">
        <v>281</v>
      </c>
      <c r="C1412" s="13" t="inlineStr">
        <is>
          <t>SIPEAGRO (UF-XXXXX)</t>
        </is>
      </c>
      <c r="D1412" s="14" t="inlineStr">
        <is>
          <t>AGCN SEED ULTRA</t>
        </is>
      </c>
      <c r="E1412" s="13" t="inlineStr">
        <is>
          <t>Adubação de Solo / Foliar</t>
        </is>
      </c>
      <c r="F1412" s="13" t="inlineStr">
        <is>
          <t>Milho</t>
        </is>
      </c>
      <c r="G1412" s="13" t="inlineStr">
        <is>
          <t>Cultura Autorizada na Bula</t>
        </is>
      </c>
      <c r="H1412" s="13" t="inlineStr">
        <is>
          <t>100 a 300 L/ha</t>
        </is>
      </c>
      <c r="I1412" s="13" t="inlineStr">
        <is>
          <t>20 a 40 L/ha</t>
        </is>
      </c>
      <c r="J1412" s="13" t="inlineStr">
        <is>
          <t>Isento</t>
        </is>
      </c>
    </row>
    <row r="1413" ht="22" customHeight="1">
      <c r="A1413" s="6" t="inlineStr">
        <is>
          <t>CUL-1409</t>
        </is>
      </c>
      <c r="B1413" s="5" t="n">
        <v>281</v>
      </c>
      <c r="C1413" s="7" t="inlineStr">
        <is>
          <t>SIPEAGRO (UF-XXXXX)</t>
        </is>
      </c>
      <c r="D1413" s="8" t="inlineStr">
        <is>
          <t>AGCN SEED ULTRA</t>
        </is>
      </c>
      <c r="E1413" s="7" t="inlineStr">
        <is>
          <t>Adubação de Solo / Foliar</t>
        </is>
      </c>
      <c r="F1413" s="7" t="inlineStr">
        <is>
          <t>Algodão</t>
        </is>
      </c>
      <c r="G1413" s="7" t="inlineStr">
        <is>
          <t>Cultura Autorizada na Bula</t>
        </is>
      </c>
      <c r="H1413" s="7" t="inlineStr">
        <is>
          <t>100 a 300 L/ha</t>
        </is>
      </c>
      <c r="I1413" s="7" t="inlineStr">
        <is>
          <t>20 a 40 L/ha</t>
        </is>
      </c>
      <c r="J1413" s="7" t="inlineStr">
        <is>
          <t>Isento</t>
        </is>
      </c>
    </row>
    <row r="1414" ht="22" customHeight="1">
      <c r="A1414" s="12" t="inlineStr">
        <is>
          <t>CUL-1410</t>
        </is>
      </c>
      <c r="B1414" s="11" t="n">
        <v>281</v>
      </c>
      <c r="C1414" s="13" t="inlineStr">
        <is>
          <t>SIPEAGRO (UF-XXXXX)</t>
        </is>
      </c>
      <c r="D1414" s="14" t="inlineStr">
        <is>
          <t>AGCN SEED ULTRA</t>
        </is>
      </c>
      <c r="E1414" s="13" t="inlineStr">
        <is>
          <t>Adubação de Solo / Foliar</t>
        </is>
      </c>
      <c r="F1414" s="13" t="inlineStr">
        <is>
          <t>Cana-de-açúcar</t>
        </is>
      </c>
      <c r="G1414" s="13" t="inlineStr">
        <is>
          <t>Cultura Autorizada na Bula</t>
        </is>
      </c>
      <c r="H1414" s="13" t="inlineStr">
        <is>
          <t>100 a 300 L/ha</t>
        </is>
      </c>
      <c r="I1414" s="13" t="inlineStr">
        <is>
          <t>20 a 40 L/ha</t>
        </is>
      </c>
      <c r="J1414" s="13" t="inlineStr">
        <is>
          <t>Isento</t>
        </is>
      </c>
    </row>
    <row r="1415" ht="22" customHeight="1">
      <c r="A1415" s="6" t="inlineStr">
        <is>
          <t>CUL-1411</t>
        </is>
      </c>
      <c r="B1415" s="5" t="n">
        <v>281</v>
      </c>
      <c r="C1415" s="7" t="inlineStr">
        <is>
          <t>SIPEAGRO (UF-XXXXX)</t>
        </is>
      </c>
      <c r="D1415" s="8" t="inlineStr">
        <is>
          <t>AGCN SEED ULTRA</t>
        </is>
      </c>
      <c r="E1415" s="7" t="inlineStr">
        <is>
          <t>Adubação de Solo / Foliar</t>
        </is>
      </c>
      <c r="F1415" s="7" t="inlineStr">
        <is>
          <t>Café</t>
        </is>
      </c>
      <c r="G1415" s="7" t="inlineStr">
        <is>
          <t>Cultura Autorizada na Bula</t>
        </is>
      </c>
      <c r="H1415" s="7" t="inlineStr">
        <is>
          <t>100 a 300 L/ha</t>
        </is>
      </c>
      <c r="I1415" s="7" t="inlineStr">
        <is>
          <t>20 a 40 L/ha</t>
        </is>
      </c>
      <c r="J1415" s="7" t="inlineStr">
        <is>
          <t>Isento</t>
        </is>
      </c>
    </row>
    <row r="1416" ht="22" customHeight="1">
      <c r="A1416" s="12" t="inlineStr">
        <is>
          <t>CUL-1412</t>
        </is>
      </c>
      <c r="B1416" s="11" t="n">
        <v>282</v>
      </c>
      <c r="C1416" s="13" t="inlineStr">
        <is>
          <t>SIPEAGRO (UF-XXXXX)</t>
        </is>
      </c>
      <c r="D1416" s="14" t="inlineStr">
        <is>
          <t>AGCN FULL ULTRA</t>
        </is>
      </c>
      <c r="E1416" s="13" t="inlineStr">
        <is>
          <t>Adubação de Solo / Foliar</t>
        </is>
      </c>
      <c r="F1416" s="13" t="inlineStr">
        <is>
          <t>Soja</t>
        </is>
      </c>
      <c r="G1416" s="13" t="inlineStr">
        <is>
          <t>Cultura Autorizada na Bula</t>
        </is>
      </c>
      <c r="H1416" s="13" t="inlineStr">
        <is>
          <t>100 a 300 L/ha</t>
        </is>
      </c>
      <c r="I1416" s="13" t="inlineStr">
        <is>
          <t>20 a 40 L/ha</t>
        </is>
      </c>
      <c r="J1416" s="13" t="inlineStr">
        <is>
          <t>Isento</t>
        </is>
      </c>
    </row>
    <row r="1417" ht="22" customHeight="1">
      <c r="A1417" s="6" t="inlineStr">
        <is>
          <t>CUL-1413</t>
        </is>
      </c>
      <c r="B1417" s="5" t="n">
        <v>282</v>
      </c>
      <c r="C1417" s="7" t="inlineStr">
        <is>
          <t>SIPEAGRO (UF-XXXXX)</t>
        </is>
      </c>
      <c r="D1417" s="8" t="inlineStr">
        <is>
          <t>AGCN FULL ULTRA</t>
        </is>
      </c>
      <c r="E1417" s="7" t="inlineStr">
        <is>
          <t>Adubação de Solo / Foliar</t>
        </is>
      </c>
      <c r="F1417" s="7" t="inlineStr">
        <is>
          <t>Milho</t>
        </is>
      </c>
      <c r="G1417" s="7" t="inlineStr">
        <is>
          <t>Cultura Autorizada na Bula</t>
        </is>
      </c>
      <c r="H1417" s="7" t="inlineStr">
        <is>
          <t>100 a 300 L/ha</t>
        </is>
      </c>
      <c r="I1417" s="7" t="inlineStr">
        <is>
          <t>20 a 40 L/ha</t>
        </is>
      </c>
      <c r="J1417" s="7" t="inlineStr">
        <is>
          <t>Isento</t>
        </is>
      </c>
    </row>
    <row r="1418" ht="22" customHeight="1">
      <c r="A1418" s="12" t="inlineStr">
        <is>
          <t>CUL-1414</t>
        </is>
      </c>
      <c r="B1418" s="11" t="n">
        <v>282</v>
      </c>
      <c r="C1418" s="13" t="inlineStr">
        <is>
          <t>SIPEAGRO (UF-XXXXX)</t>
        </is>
      </c>
      <c r="D1418" s="14" t="inlineStr">
        <is>
          <t>AGCN FULL ULTRA</t>
        </is>
      </c>
      <c r="E1418" s="13" t="inlineStr">
        <is>
          <t>Adubação de Solo / Foliar</t>
        </is>
      </c>
      <c r="F1418" s="13" t="inlineStr">
        <is>
          <t>Algodão</t>
        </is>
      </c>
      <c r="G1418" s="13" t="inlineStr">
        <is>
          <t>Cultura Autorizada na Bula</t>
        </is>
      </c>
      <c r="H1418" s="13" t="inlineStr">
        <is>
          <t>100 a 300 L/ha</t>
        </is>
      </c>
      <c r="I1418" s="13" t="inlineStr">
        <is>
          <t>20 a 40 L/ha</t>
        </is>
      </c>
      <c r="J1418" s="13" t="inlineStr">
        <is>
          <t>Isento</t>
        </is>
      </c>
    </row>
    <row r="1419" ht="22" customHeight="1">
      <c r="A1419" s="6" t="inlineStr">
        <is>
          <t>CUL-1415</t>
        </is>
      </c>
      <c r="B1419" s="5" t="n">
        <v>282</v>
      </c>
      <c r="C1419" s="7" t="inlineStr">
        <is>
          <t>SIPEAGRO (UF-XXXXX)</t>
        </is>
      </c>
      <c r="D1419" s="8" t="inlineStr">
        <is>
          <t>AGCN FULL ULTRA</t>
        </is>
      </c>
      <c r="E1419" s="7" t="inlineStr">
        <is>
          <t>Adubação de Solo / Foliar</t>
        </is>
      </c>
      <c r="F1419" s="7" t="inlineStr">
        <is>
          <t>Cana-de-açúcar</t>
        </is>
      </c>
      <c r="G1419" s="7" t="inlineStr">
        <is>
          <t>Cultura Autorizada na Bula</t>
        </is>
      </c>
      <c r="H1419" s="7" t="inlineStr">
        <is>
          <t>100 a 300 L/ha</t>
        </is>
      </c>
      <c r="I1419" s="7" t="inlineStr">
        <is>
          <t>20 a 40 L/ha</t>
        </is>
      </c>
      <c r="J1419" s="7" t="inlineStr">
        <is>
          <t>Isento</t>
        </is>
      </c>
    </row>
    <row r="1420" ht="22" customHeight="1">
      <c r="A1420" s="12" t="inlineStr">
        <is>
          <t>CUL-1416</t>
        </is>
      </c>
      <c r="B1420" s="11" t="n">
        <v>282</v>
      </c>
      <c r="C1420" s="13" t="inlineStr">
        <is>
          <t>SIPEAGRO (UF-XXXXX)</t>
        </is>
      </c>
      <c r="D1420" s="14" t="inlineStr">
        <is>
          <t>AGCN FULL ULTRA</t>
        </is>
      </c>
      <c r="E1420" s="13" t="inlineStr">
        <is>
          <t>Adubação de Solo / Foliar</t>
        </is>
      </c>
      <c r="F1420" s="13" t="inlineStr">
        <is>
          <t>Café</t>
        </is>
      </c>
      <c r="G1420" s="13" t="inlineStr">
        <is>
          <t>Cultura Autorizada na Bula</t>
        </is>
      </c>
      <c r="H1420" s="13" t="inlineStr">
        <is>
          <t>100 a 300 L/ha</t>
        </is>
      </c>
      <c r="I1420" s="13" t="inlineStr">
        <is>
          <t>20 a 40 L/ha</t>
        </is>
      </c>
      <c r="J1420" s="13" t="inlineStr">
        <is>
          <t>Isento</t>
        </is>
      </c>
    </row>
    <row r="1421" ht="22" customHeight="1">
      <c r="A1421" s="6" t="inlineStr">
        <is>
          <t>CUL-1417</t>
        </is>
      </c>
      <c r="B1421" s="5" t="n">
        <v>283</v>
      </c>
      <c r="C1421" s="7" t="inlineStr">
        <is>
          <t>ISENTO (ATO 104/2017)</t>
        </is>
      </c>
      <c r="D1421" s="8" t="inlineStr">
        <is>
          <t>AGCN SAFE SPRAY</t>
        </is>
      </c>
      <c r="E1421" s="7" t="inlineStr">
        <is>
          <t>Pulverização Agrícola Conforme Bula</t>
        </is>
      </c>
      <c r="F1421" s="7" t="inlineStr">
        <is>
          <t>Soja, Milho, Algodão, Café, Citros, Cana-de-açúcar (Adição à calda)</t>
        </is>
      </c>
      <c r="G1421" s="7" t="inlineStr">
        <is>
          <t>Cultura Autorizada na Bula</t>
        </is>
      </c>
      <c r="H1421" s="7" t="inlineStr">
        <is>
          <t>100 a 300 L/ha</t>
        </is>
      </c>
      <c r="I1421" s="7" t="inlineStr">
        <is>
          <t>20 a 40 L/ha</t>
        </is>
      </c>
      <c r="J1421" s="7" t="inlineStr">
        <is>
          <t>Conforme defensivo principal</t>
        </is>
      </c>
    </row>
    <row r="1422" ht="22" customHeight="1">
      <c r="A1422" s="12" t="inlineStr">
        <is>
          <t>CUL-1418</t>
        </is>
      </c>
      <c r="B1422" s="11" t="n">
        <v>284</v>
      </c>
      <c r="C1422" s="13" t="inlineStr">
        <is>
          <t>SIPEAGRO (UF-XXXXX)</t>
        </is>
      </c>
      <c r="D1422" s="14" t="inlineStr">
        <is>
          <t>AGCN SEED +</t>
        </is>
      </c>
      <c r="E1422" s="13" t="inlineStr">
        <is>
          <t>Adubação de Solo / Foliar</t>
        </is>
      </c>
      <c r="F1422" s="13" t="inlineStr">
        <is>
          <t>Soja</t>
        </is>
      </c>
      <c r="G1422" s="13" t="inlineStr">
        <is>
          <t>Cultura Autorizada na Bula</t>
        </is>
      </c>
      <c r="H1422" s="13" t="inlineStr">
        <is>
          <t>100 a 300 L/ha</t>
        </is>
      </c>
      <c r="I1422" s="13" t="inlineStr">
        <is>
          <t>20 a 40 L/ha</t>
        </is>
      </c>
      <c r="J1422" s="13" t="inlineStr">
        <is>
          <t>Isento</t>
        </is>
      </c>
    </row>
    <row r="1423" ht="22" customHeight="1">
      <c r="A1423" s="6" t="inlineStr">
        <is>
          <t>CUL-1419</t>
        </is>
      </c>
      <c r="B1423" s="5" t="n">
        <v>284</v>
      </c>
      <c r="C1423" s="7" t="inlineStr">
        <is>
          <t>SIPEAGRO (UF-XXXXX)</t>
        </is>
      </c>
      <c r="D1423" s="8" t="inlineStr">
        <is>
          <t>AGCN SEED +</t>
        </is>
      </c>
      <c r="E1423" s="7" t="inlineStr">
        <is>
          <t>Adubação de Solo / Foliar</t>
        </is>
      </c>
      <c r="F1423" s="7" t="inlineStr">
        <is>
          <t>Milho</t>
        </is>
      </c>
      <c r="G1423" s="7" t="inlineStr">
        <is>
          <t>Cultura Autorizada na Bula</t>
        </is>
      </c>
      <c r="H1423" s="7" t="inlineStr">
        <is>
          <t>100 a 300 L/ha</t>
        </is>
      </c>
      <c r="I1423" s="7" t="inlineStr">
        <is>
          <t>20 a 40 L/ha</t>
        </is>
      </c>
      <c r="J1423" s="7" t="inlineStr">
        <is>
          <t>Isento</t>
        </is>
      </c>
    </row>
    <row r="1424" ht="22" customHeight="1">
      <c r="A1424" s="12" t="inlineStr">
        <is>
          <t>CUL-1420</t>
        </is>
      </c>
      <c r="B1424" s="11" t="n">
        <v>284</v>
      </c>
      <c r="C1424" s="13" t="inlineStr">
        <is>
          <t>SIPEAGRO (UF-XXXXX)</t>
        </is>
      </c>
      <c r="D1424" s="14" t="inlineStr">
        <is>
          <t>AGCN SEED +</t>
        </is>
      </c>
      <c r="E1424" s="13" t="inlineStr">
        <is>
          <t>Adubação de Solo / Foliar</t>
        </is>
      </c>
      <c r="F1424" s="13" t="inlineStr">
        <is>
          <t>Algodão</t>
        </is>
      </c>
      <c r="G1424" s="13" t="inlineStr">
        <is>
          <t>Cultura Autorizada na Bula</t>
        </is>
      </c>
      <c r="H1424" s="13" t="inlineStr">
        <is>
          <t>100 a 300 L/ha</t>
        </is>
      </c>
      <c r="I1424" s="13" t="inlineStr">
        <is>
          <t>20 a 40 L/ha</t>
        </is>
      </c>
      <c r="J1424" s="13" t="inlineStr">
        <is>
          <t>Isento</t>
        </is>
      </c>
    </row>
    <row r="1425" ht="22" customHeight="1">
      <c r="A1425" s="6" t="inlineStr">
        <is>
          <t>CUL-1421</t>
        </is>
      </c>
      <c r="B1425" s="5" t="n">
        <v>284</v>
      </c>
      <c r="C1425" s="7" t="inlineStr">
        <is>
          <t>SIPEAGRO (UF-XXXXX)</t>
        </is>
      </c>
      <c r="D1425" s="8" t="inlineStr">
        <is>
          <t>AGCN SEED +</t>
        </is>
      </c>
      <c r="E1425" s="7" t="inlineStr">
        <is>
          <t>Adubação de Solo / Foliar</t>
        </is>
      </c>
      <c r="F1425" s="7" t="inlineStr">
        <is>
          <t>Cana-de-açúcar</t>
        </is>
      </c>
      <c r="G1425" s="7" t="inlineStr">
        <is>
          <t>Cultura Autorizada na Bula</t>
        </is>
      </c>
      <c r="H1425" s="7" t="inlineStr">
        <is>
          <t>100 a 300 L/ha</t>
        </is>
      </c>
      <c r="I1425" s="7" t="inlineStr">
        <is>
          <t>20 a 40 L/ha</t>
        </is>
      </c>
      <c r="J1425" s="7" t="inlineStr">
        <is>
          <t>Isento</t>
        </is>
      </c>
    </row>
    <row r="1426" ht="22" customHeight="1">
      <c r="A1426" s="12" t="inlineStr">
        <is>
          <t>CUL-1422</t>
        </is>
      </c>
      <c r="B1426" s="11" t="n">
        <v>284</v>
      </c>
      <c r="C1426" s="13" t="inlineStr">
        <is>
          <t>SIPEAGRO (UF-XXXXX)</t>
        </is>
      </c>
      <c r="D1426" s="14" t="inlineStr">
        <is>
          <t>AGCN SEED +</t>
        </is>
      </c>
      <c r="E1426" s="13" t="inlineStr">
        <is>
          <t>Adubação de Solo / Foliar</t>
        </is>
      </c>
      <c r="F1426" s="13" t="inlineStr">
        <is>
          <t>Café</t>
        </is>
      </c>
      <c r="G1426" s="13" t="inlineStr">
        <is>
          <t>Cultura Autorizada na Bula</t>
        </is>
      </c>
      <c r="H1426" s="13" t="inlineStr">
        <is>
          <t>100 a 300 L/ha</t>
        </is>
      </c>
      <c r="I1426" s="13" t="inlineStr">
        <is>
          <t>20 a 40 L/ha</t>
        </is>
      </c>
      <c r="J1426" s="13" t="inlineStr">
        <is>
          <t>Isento</t>
        </is>
      </c>
    </row>
    <row r="1427" ht="22" customHeight="1">
      <c r="A1427" s="6" t="inlineStr">
        <is>
          <t>CUL-1423</t>
        </is>
      </c>
      <c r="B1427" s="5" t="n">
        <v>285</v>
      </c>
      <c r="C1427" s="7" t="inlineStr">
        <is>
          <t>SIPEAGRO (UF-XXXXX)</t>
        </is>
      </c>
      <c r="D1427" s="8" t="inlineStr">
        <is>
          <t>SULFATO DE ZINCO</t>
        </is>
      </c>
      <c r="E1427" s="7" t="inlineStr">
        <is>
          <t>Adubação de Solo / Foliar</t>
        </is>
      </c>
      <c r="F1427" s="7" t="inlineStr">
        <is>
          <t>Soja</t>
        </is>
      </c>
      <c r="G1427" s="7" t="inlineStr">
        <is>
          <t>Cultura Autorizada na Bula</t>
        </is>
      </c>
      <c r="H1427" s="7" t="inlineStr">
        <is>
          <t>100 a 300 L/ha</t>
        </is>
      </c>
      <c r="I1427" s="7" t="inlineStr">
        <is>
          <t>20 a 40 L/ha</t>
        </is>
      </c>
      <c r="J1427" s="7" t="inlineStr">
        <is>
          <t>Isento</t>
        </is>
      </c>
    </row>
    <row r="1428" ht="22" customHeight="1">
      <c r="A1428" s="12" t="inlineStr">
        <is>
          <t>CUL-1424</t>
        </is>
      </c>
      <c r="B1428" s="11" t="n">
        <v>285</v>
      </c>
      <c r="C1428" s="13" t="inlineStr">
        <is>
          <t>SIPEAGRO (UF-XXXXX)</t>
        </is>
      </c>
      <c r="D1428" s="14" t="inlineStr">
        <is>
          <t>SULFATO DE ZINCO</t>
        </is>
      </c>
      <c r="E1428" s="13" t="inlineStr">
        <is>
          <t>Adubação de Solo / Foliar</t>
        </is>
      </c>
      <c r="F1428" s="13" t="inlineStr">
        <is>
          <t>Milho</t>
        </is>
      </c>
      <c r="G1428" s="13" t="inlineStr">
        <is>
          <t>Cultura Autorizada na Bula</t>
        </is>
      </c>
      <c r="H1428" s="13" t="inlineStr">
        <is>
          <t>100 a 300 L/ha</t>
        </is>
      </c>
      <c r="I1428" s="13" t="inlineStr">
        <is>
          <t>20 a 40 L/ha</t>
        </is>
      </c>
      <c r="J1428" s="13" t="inlineStr">
        <is>
          <t>Isento</t>
        </is>
      </c>
    </row>
    <row r="1429" ht="22" customHeight="1">
      <c r="A1429" s="6" t="inlineStr">
        <is>
          <t>CUL-1425</t>
        </is>
      </c>
      <c r="B1429" s="5" t="n">
        <v>285</v>
      </c>
      <c r="C1429" s="7" t="inlineStr">
        <is>
          <t>SIPEAGRO (UF-XXXXX)</t>
        </is>
      </c>
      <c r="D1429" s="8" t="inlineStr">
        <is>
          <t>SULFATO DE ZINCO</t>
        </is>
      </c>
      <c r="E1429" s="7" t="inlineStr">
        <is>
          <t>Adubação de Solo / Foliar</t>
        </is>
      </c>
      <c r="F1429" s="7" t="inlineStr">
        <is>
          <t>Algodão</t>
        </is>
      </c>
      <c r="G1429" s="7" t="inlineStr">
        <is>
          <t>Cultura Autorizada na Bula</t>
        </is>
      </c>
      <c r="H1429" s="7" t="inlineStr">
        <is>
          <t>100 a 300 L/ha</t>
        </is>
      </c>
      <c r="I1429" s="7" t="inlineStr">
        <is>
          <t>20 a 40 L/ha</t>
        </is>
      </c>
      <c r="J1429" s="7" t="inlineStr">
        <is>
          <t>Isento</t>
        </is>
      </c>
    </row>
    <row r="1430" ht="22" customHeight="1">
      <c r="A1430" s="12" t="inlineStr">
        <is>
          <t>CUL-1426</t>
        </is>
      </c>
      <c r="B1430" s="11" t="n">
        <v>285</v>
      </c>
      <c r="C1430" s="13" t="inlineStr">
        <is>
          <t>SIPEAGRO (UF-XXXXX)</t>
        </is>
      </c>
      <c r="D1430" s="14" t="inlineStr">
        <is>
          <t>SULFATO DE ZINCO</t>
        </is>
      </c>
      <c r="E1430" s="13" t="inlineStr">
        <is>
          <t>Adubação de Solo / Foliar</t>
        </is>
      </c>
      <c r="F1430" s="13" t="inlineStr">
        <is>
          <t>Cana-de-açúcar</t>
        </is>
      </c>
      <c r="G1430" s="13" t="inlineStr">
        <is>
          <t>Cultura Autorizada na Bula</t>
        </is>
      </c>
      <c r="H1430" s="13" t="inlineStr">
        <is>
          <t>100 a 300 L/ha</t>
        </is>
      </c>
      <c r="I1430" s="13" t="inlineStr">
        <is>
          <t>20 a 40 L/ha</t>
        </is>
      </c>
      <c r="J1430" s="13" t="inlineStr">
        <is>
          <t>Isento</t>
        </is>
      </c>
    </row>
    <row r="1431" ht="22" customHeight="1">
      <c r="A1431" s="6" t="inlineStr">
        <is>
          <t>CUL-1427</t>
        </is>
      </c>
      <c r="B1431" s="5" t="n">
        <v>285</v>
      </c>
      <c r="C1431" s="7" t="inlineStr">
        <is>
          <t>SIPEAGRO (UF-XXXXX)</t>
        </is>
      </c>
      <c r="D1431" s="8" t="inlineStr">
        <is>
          <t>SULFATO DE ZINCO</t>
        </is>
      </c>
      <c r="E1431" s="7" t="inlineStr">
        <is>
          <t>Adubação de Solo / Foliar</t>
        </is>
      </c>
      <c r="F1431" s="7" t="inlineStr">
        <is>
          <t>Café</t>
        </is>
      </c>
      <c r="G1431" s="7" t="inlineStr">
        <is>
          <t>Cultura Autorizada na Bula</t>
        </is>
      </c>
      <c r="H1431" s="7" t="inlineStr">
        <is>
          <t>100 a 300 L/ha</t>
        </is>
      </c>
      <c r="I1431" s="7" t="inlineStr">
        <is>
          <t>20 a 40 L/ha</t>
        </is>
      </c>
      <c r="J1431" s="7" t="inlineStr">
        <is>
          <t>Isento</t>
        </is>
      </c>
    </row>
    <row r="1432" ht="22" customHeight="1">
      <c r="A1432" s="12" t="inlineStr">
        <is>
          <t>CUL-1428</t>
        </is>
      </c>
      <c r="B1432" s="11" t="n">
        <v>286</v>
      </c>
      <c r="C1432" s="13" t="inlineStr">
        <is>
          <t>SIPEAGRO (UF-XXXXX)</t>
        </is>
      </c>
      <c r="D1432" s="14" t="inlineStr">
        <is>
          <t>MAGNESIO ULTRA</t>
        </is>
      </c>
      <c r="E1432" s="13" t="inlineStr">
        <is>
          <t>Adubação de Solo / Foliar</t>
        </is>
      </c>
      <c r="F1432" s="13" t="inlineStr">
        <is>
          <t>Soja</t>
        </is>
      </c>
      <c r="G1432" s="13" t="inlineStr">
        <is>
          <t>Cultura Autorizada na Bula</t>
        </is>
      </c>
      <c r="H1432" s="13" t="inlineStr">
        <is>
          <t>100 a 300 L/ha</t>
        </is>
      </c>
      <c r="I1432" s="13" t="inlineStr">
        <is>
          <t>20 a 40 L/ha</t>
        </is>
      </c>
      <c r="J1432" s="13" t="inlineStr">
        <is>
          <t>Isento</t>
        </is>
      </c>
    </row>
    <row r="1433" ht="22" customHeight="1">
      <c r="A1433" s="6" t="inlineStr">
        <is>
          <t>CUL-1429</t>
        </is>
      </c>
      <c r="B1433" s="5" t="n">
        <v>286</v>
      </c>
      <c r="C1433" s="7" t="inlineStr">
        <is>
          <t>SIPEAGRO (UF-XXXXX)</t>
        </is>
      </c>
      <c r="D1433" s="8" t="inlineStr">
        <is>
          <t>MAGNESIO ULTRA</t>
        </is>
      </c>
      <c r="E1433" s="7" t="inlineStr">
        <is>
          <t>Adubação de Solo / Foliar</t>
        </is>
      </c>
      <c r="F1433" s="7" t="inlineStr">
        <is>
          <t>Milho</t>
        </is>
      </c>
      <c r="G1433" s="7" t="inlineStr">
        <is>
          <t>Cultura Autorizada na Bula</t>
        </is>
      </c>
      <c r="H1433" s="7" t="inlineStr">
        <is>
          <t>100 a 300 L/ha</t>
        </is>
      </c>
      <c r="I1433" s="7" t="inlineStr">
        <is>
          <t>20 a 40 L/ha</t>
        </is>
      </c>
      <c r="J1433" s="7" t="inlineStr">
        <is>
          <t>Isento</t>
        </is>
      </c>
    </row>
    <row r="1434" ht="22" customHeight="1">
      <c r="A1434" s="12" t="inlineStr">
        <is>
          <t>CUL-1430</t>
        </is>
      </c>
      <c r="B1434" s="11" t="n">
        <v>286</v>
      </c>
      <c r="C1434" s="13" t="inlineStr">
        <is>
          <t>SIPEAGRO (UF-XXXXX)</t>
        </is>
      </c>
      <c r="D1434" s="14" t="inlineStr">
        <is>
          <t>MAGNESIO ULTRA</t>
        </is>
      </c>
      <c r="E1434" s="13" t="inlineStr">
        <is>
          <t>Adubação de Solo / Foliar</t>
        </is>
      </c>
      <c r="F1434" s="13" t="inlineStr">
        <is>
          <t>Algodão</t>
        </is>
      </c>
      <c r="G1434" s="13" t="inlineStr">
        <is>
          <t>Cultura Autorizada na Bula</t>
        </is>
      </c>
      <c r="H1434" s="13" t="inlineStr">
        <is>
          <t>100 a 300 L/ha</t>
        </is>
      </c>
      <c r="I1434" s="13" t="inlineStr">
        <is>
          <t>20 a 40 L/ha</t>
        </is>
      </c>
      <c r="J1434" s="13" t="inlineStr">
        <is>
          <t>Isento</t>
        </is>
      </c>
    </row>
    <row r="1435" ht="22" customHeight="1">
      <c r="A1435" s="6" t="inlineStr">
        <is>
          <t>CUL-1431</t>
        </is>
      </c>
      <c r="B1435" s="5" t="n">
        <v>286</v>
      </c>
      <c r="C1435" s="7" t="inlineStr">
        <is>
          <t>SIPEAGRO (UF-XXXXX)</t>
        </is>
      </c>
      <c r="D1435" s="8" t="inlineStr">
        <is>
          <t>MAGNESIO ULTRA</t>
        </is>
      </c>
      <c r="E1435" s="7" t="inlineStr">
        <is>
          <t>Adubação de Solo / Foliar</t>
        </is>
      </c>
      <c r="F1435" s="7" t="inlineStr">
        <is>
          <t>Cana-de-açúcar</t>
        </is>
      </c>
      <c r="G1435" s="7" t="inlineStr">
        <is>
          <t>Cultura Autorizada na Bula</t>
        </is>
      </c>
      <c r="H1435" s="7" t="inlineStr">
        <is>
          <t>100 a 300 L/ha</t>
        </is>
      </c>
      <c r="I1435" s="7" t="inlineStr">
        <is>
          <t>20 a 40 L/ha</t>
        </is>
      </c>
      <c r="J1435" s="7" t="inlineStr">
        <is>
          <t>Isento</t>
        </is>
      </c>
    </row>
    <row r="1436" ht="22" customHeight="1">
      <c r="A1436" s="12" t="inlineStr">
        <is>
          <t>CUL-1432</t>
        </is>
      </c>
      <c r="B1436" s="11" t="n">
        <v>286</v>
      </c>
      <c r="C1436" s="13" t="inlineStr">
        <is>
          <t>SIPEAGRO (UF-XXXXX)</t>
        </is>
      </c>
      <c r="D1436" s="14" t="inlineStr">
        <is>
          <t>MAGNESIO ULTRA</t>
        </is>
      </c>
      <c r="E1436" s="13" t="inlineStr">
        <is>
          <t>Adubação de Solo / Foliar</t>
        </is>
      </c>
      <c r="F1436" s="13" t="inlineStr">
        <is>
          <t>Café</t>
        </is>
      </c>
      <c r="G1436" s="13" t="inlineStr">
        <is>
          <t>Cultura Autorizada na Bula</t>
        </is>
      </c>
      <c r="H1436" s="13" t="inlineStr">
        <is>
          <t>100 a 300 L/ha</t>
        </is>
      </c>
      <c r="I1436" s="13" t="inlineStr">
        <is>
          <t>20 a 40 L/ha</t>
        </is>
      </c>
      <c r="J1436" s="13" t="inlineStr">
        <is>
          <t>Isento</t>
        </is>
      </c>
    </row>
    <row r="1437" ht="22" customHeight="1">
      <c r="A1437" s="6" t="inlineStr">
        <is>
          <t>CUL-1433</t>
        </is>
      </c>
      <c r="B1437" s="5" t="n">
        <v>287</v>
      </c>
      <c r="C1437" s="7" t="inlineStr">
        <is>
          <t>SIPEAGRO (UF-XXXXX)</t>
        </is>
      </c>
      <c r="D1437" s="8" t="inlineStr">
        <is>
          <t>MFL MULTINITROPOTASSIO</t>
        </is>
      </c>
      <c r="E1437" s="7" t="inlineStr">
        <is>
          <t>Adubação de Solo / Foliar</t>
        </is>
      </c>
      <c r="F1437" s="7" t="inlineStr">
        <is>
          <t>Soja</t>
        </is>
      </c>
      <c r="G1437" s="7" t="inlineStr">
        <is>
          <t>Cultura Autorizada na Bula</t>
        </is>
      </c>
      <c r="H1437" s="7" t="inlineStr">
        <is>
          <t>100 a 300 L/ha</t>
        </is>
      </c>
      <c r="I1437" s="7" t="inlineStr">
        <is>
          <t>20 a 40 L/ha</t>
        </is>
      </c>
      <c r="J1437" s="7" t="inlineStr">
        <is>
          <t>Isento</t>
        </is>
      </c>
    </row>
    <row r="1438" ht="22" customHeight="1">
      <c r="A1438" s="12" t="inlineStr">
        <is>
          <t>CUL-1434</t>
        </is>
      </c>
      <c r="B1438" s="11" t="n">
        <v>287</v>
      </c>
      <c r="C1438" s="13" t="inlineStr">
        <is>
          <t>SIPEAGRO (UF-XXXXX)</t>
        </is>
      </c>
      <c r="D1438" s="14" t="inlineStr">
        <is>
          <t>MFL MULTINITROPOTASSIO</t>
        </is>
      </c>
      <c r="E1438" s="13" t="inlineStr">
        <is>
          <t>Adubação de Solo / Foliar</t>
        </is>
      </c>
      <c r="F1438" s="13" t="inlineStr">
        <is>
          <t>Milho</t>
        </is>
      </c>
      <c r="G1438" s="13" t="inlineStr">
        <is>
          <t>Cultura Autorizada na Bula</t>
        </is>
      </c>
      <c r="H1438" s="13" t="inlineStr">
        <is>
          <t>100 a 300 L/ha</t>
        </is>
      </c>
      <c r="I1438" s="13" t="inlineStr">
        <is>
          <t>20 a 40 L/ha</t>
        </is>
      </c>
      <c r="J1438" s="13" t="inlineStr">
        <is>
          <t>Isento</t>
        </is>
      </c>
    </row>
    <row r="1439" ht="22" customHeight="1">
      <c r="A1439" s="6" t="inlineStr">
        <is>
          <t>CUL-1435</t>
        </is>
      </c>
      <c r="B1439" s="5" t="n">
        <v>287</v>
      </c>
      <c r="C1439" s="7" t="inlineStr">
        <is>
          <t>SIPEAGRO (UF-XXXXX)</t>
        </is>
      </c>
      <c r="D1439" s="8" t="inlineStr">
        <is>
          <t>MFL MULTINITROPOTASSIO</t>
        </is>
      </c>
      <c r="E1439" s="7" t="inlineStr">
        <is>
          <t>Adubação de Solo / Foliar</t>
        </is>
      </c>
      <c r="F1439" s="7" t="inlineStr">
        <is>
          <t>Algodão</t>
        </is>
      </c>
      <c r="G1439" s="7" t="inlineStr">
        <is>
          <t>Cultura Autorizada na Bula</t>
        </is>
      </c>
      <c r="H1439" s="7" t="inlineStr">
        <is>
          <t>100 a 300 L/ha</t>
        </is>
      </c>
      <c r="I1439" s="7" t="inlineStr">
        <is>
          <t>20 a 40 L/ha</t>
        </is>
      </c>
      <c r="J1439" s="7" t="inlineStr">
        <is>
          <t>Isento</t>
        </is>
      </c>
    </row>
    <row r="1440" ht="22" customHeight="1">
      <c r="A1440" s="12" t="inlineStr">
        <is>
          <t>CUL-1436</t>
        </is>
      </c>
      <c r="B1440" s="11" t="n">
        <v>287</v>
      </c>
      <c r="C1440" s="13" t="inlineStr">
        <is>
          <t>SIPEAGRO (UF-XXXXX)</t>
        </is>
      </c>
      <c r="D1440" s="14" t="inlineStr">
        <is>
          <t>MFL MULTINITROPOTASSIO</t>
        </is>
      </c>
      <c r="E1440" s="13" t="inlineStr">
        <is>
          <t>Adubação de Solo / Foliar</t>
        </is>
      </c>
      <c r="F1440" s="13" t="inlineStr">
        <is>
          <t>Cana-de-açúcar</t>
        </is>
      </c>
      <c r="G1440" s="13" t="inlineStr">
        <is>
          <t>Cultura Autorizada na Bula</t>
        </is>
      </c>
      <c r="H1440" s="13" t="inlineStr">
        <is>
          <t>100 a 300 L/ha</t>
        </is>
      </c>
      <c r="I1440" s="13" t="inlineStr">
        <is>
          <t>20 a 40 L/ha</t>
        </is>
      </c>
      <c r="J1440" s="13" t="inlineStr">
        <is>
          <t>Isento</t>
        </is>
      </c>
    </row>
    <row r="1441" ht="22" customHeight="1">
      <c r="A1441" s="6" t="inlineStr">
        <is>
          <t>CUL-1437</t>
        </is>
      </c>
      <c r="B1441" s="5" t="n">
        <v>287</v>
      </c>
      <c r="C1441" s="7" t="inlineStr">
        <is>
          <t>SIPEAGRO (UF-XXXXX)</t>
        </is>
      </c>
      <c r="D1441" s="8" t="inlineStr">
        <is>
          <t>MFL MULTINITROPOTASSIO</t>
        </is>
      </c>
      <c r="E1441" s="7" t="inlineStr">
        <is>
          <t>Adubação de Solo / Foliar</t>
        </is>
      </c>
      <c r="F1441" s="7" t="inlineStr">
        <is>
          <t>Café</t>
        </is>
      </c>
      <c r="G1441" s="7" t="inlineStr">
        <is>
          <t>Cultura Autorizada na Bula</t>
        </is>
      </c>
      <c r="H1441" s="7" t="inlineStr">
        <is>
          <t>100 a 300 L/ha</t>
        </is>
      </c>
      <c r="I1441" s="7" t="inlineStr">
        <is>
          <t>20 a 40 L/ha</t>
        </is>
      </c>
      <c r="J1441" s="7" t="inlineStr">
        <is>
          <t>Isento</t>
        </is>
      </c>
    </row>
    <row r="1442" ht="22" customHeight="1">
      <c r="A1442" s="12" t="inlineStr">
        <is>
          <t>CUL-1438</t>
        </is>
      </c>
      <c r="B1442" s="11" t="n">
        <v>288</v>
      </c>
      <c r="C1442" s="13" t="inlineStr">
        <is>
          <t>SIPEAGRO (UF-XXXXX)</t>
        </is>
      </c>
      <c r="D1442" s="14" t="inlineStr">
        <is>
          <t>AGCN BORO 100</t>
        </is>
      </c>
      <c r="E1442" s="13" t="inlineStr">
        <is>
          <t>Adubação de Solo / Foliar</t>
        </is>
      </c>
      <c r="F1442" s="13" t="inlineStr">
        <is>
          <t>Soja</t>
        </is>
      </c>
      <c r="G1442" s="13" t="inlineStr">
        <is>
          <t>Cultura Autorizada na Bula</t>
        </is>
      </c>
      <c r="H1442" s="13" t="inlineStr">
        <is>
          <t>100 a 300 L/ha</t>
        </is>
      </c>
      <c r="I1442" s="13" t="inlineStr">
        <is>
          <t>20 a 40 L/ha</t>
        </is>
      </c>
      <c r="J1442" s="13" t="inlineStr">
        <is>
          <t>Isento</t>
        </is>
      </c>
    </row>
    <row r="1443" ht="22" customHeight="1">
      <c r="A1443" s="6" t="inlineStr">
        <is>
          <t>CUL-1439</t>
        </is>
      </c>
      <c r="B1443" s="5" t="n">
        <v>288</v>
      </c>
      <c r="C1443" s="7" t="inlineStr">
        <is>
          <t>SIPEAGRO (UF-XXXXX)</t>
        </is>
      </c>
      <c r="D1443" s="8" t="inlineStr">
        <is>
          <t>AGCN BORO 100</t>
        </is>
      </c>
      <c r="E1443" s="7" t="inlineStr">
        <is>
          <t>Adubação de Solo / Foliar</t>
        </is>
      </c>
      <c r="F1443" s="7" t="inlineStr">
        <is>
          <t>Milho</t>
        </is>
      </c>
      <c r="G1443" s="7" t="inlineStr">
        <is>
          <t>Cultura Autorizada na Bula</t>
        </is>
      </c>
      <c r="H1443" s="7" t="inlineStr">
        <is>
          <t>100 a 300 L/ha</t>
        </is>
      </c>
      <c r="I1443" s="7" t="inlineStr">
        <is>
          <t>20 a 40 L/ha</t>
        </is>
      </c>
      <c r="J1443" s="7" t="inlineStr">
        <is>
          <t>Isento</t>
        </is>
      </c>
    </row>
    <row r="1444" ht="22" customHeight="1">
      <c r="A1444" s="12" t="inlineStr">
        <is>
          <t>CUL-1440</t>
        </is>
      </c>
      <c r="B1444" s="11" t="n">
        <v>288</v>
      </c>
      <c r="C1444" s="13" t="inlineStr">
        <is>
          <t>SIPEAGRO (UF-XXXXX)</t>
        </is>
      </c>
      <c r="D1444" s="14" t="inlineStr">
        <is>
          <t>AGCN BORO 100</t>
        </is>
      </c>
      <c r="E1444" s="13" t="inlineStr">
        <is>
          <t>Adubação de Solo / Foliar</t>
        </is>
      </c>
      <c r="F1444" s="13" t="inlineStr">
        <is>
          <t>Algodão</t>
        </is>
      </c>
      <c r="G1444" s="13" t="inlineStr">
        <is>
          <t>Cultura Autorizada na Bula</t>
        </is>
      </c>
      <c r="H1444" s="13" t="inlineStr">
        <is>
          <t>100 a 300 L/ha</t>
        </is>
      </c>
      <c r="I1444" s="13" t="inlineStr">
        <is>
          <t>20 a 40 L/ha</t>
        </is>
      </c>
      <c r="J1444" s="13" t="inlineStr">
        <is>
          <t>Isento</t>
        </is>
      </c>
    </row>
    <row r="1445" ht="22" customHeight="1">
      <c r="A1445" s="6" t="inlineStr">
        <is>
          <t>CUL-1441</t>
        </is>
      </c>
      <c r="B1445" s="5" t="n">
        <v>288</v>
      </c>
      <c r="C1445" s="7" t="inlineStr">
        <is>
          <t>SIPEAGRO (UF-XXXXX)</t>
        </is>
      </c>
      <c r="D1445" s="8" t="inlineStr">
        <is>
          <t>AGCN BORO 100</t>
        </is>
      </c>
      <c r="E1445" s="7" t="inlineStr">
        <is>
          <t>Adubação de Solo / Foliar</t>
        </is>
      </c>
      <c r="F1445" s="7" t="inlineStr">
        <is>
          <t>Cana-de-açúcar</t>
        </is>
      </c>
      <c r="G1445" s="7" t="inlineStr">
        <is>
          <t>Cultura Autorizada na Bula</t>
        </is>
      </c>
      <c r="H1445" s="7" t="inlineStr">
        <is>
          <t>100 a 300 L/ha</t>
        </is>
      </c>
      <c r="I1445" s="7" t="inlineStr">
        <is>
          <t>20 a 40 L/ha</t>
        </is>
      </c>
      <c r="J1445" s="7" t="inlineStr">
        <is>
          <t>Isento</t>
        </is>
      </c>
    </row>
    <row r="1446" ht="22" customHeight="1">
      <c r="A1446" s="12" t="inlineStr">
        <is>
          <t>CUL-1442</t>
        </is>
      </c>
      <c r="B1446" s="11" t="n">
        <v>288</v>
      </c>
      <c r="C1446" s="13" t="inlineStr">
        <is>
          <t>SIPEAGRO (UF-XXXXX)</t>
        </is>
      </c>
      <c r="D1446" s="14" t="inlineStr">
        <is>
          <t>AGCN BORO 100</t>
        </is>
      </c>
      <c r="E1446" s="13" t="inlineStr">
        <is>
          <t>Adubação de Solo / Foliar</t>
        </is>
      </c>
      <c r="F1446" s="13" t="inlineStr">
        <is>
          <t>Café</t>
        </is>
      </c>
      <c r="G1446" s="13" t="inlineStr">
        <is>
          <t>Cultura Autorizada na Bula</t>
        </is>
      </c>
      <c r="H1446" s="13" t="inlineStr">
        <is>
          <t>100 a 300 L/ha</t>
        </is>
      </c>
      <c r="I1446" s="13" t="inlineStr">
        <is>
          <t>20 a 40 L/ha</t>
        </is>
      </c>
      <c r="J1446" s="13" t="inlineStr">
        <is>
          <t>Isento</t>
        </is>
      </c>
    </row>
    <row r="1447" ht="22" customHeight="1">
      <c r="A1447" s="6" t="inlineStr">
        <is>
          <t>CUL-1443</t>
        </is>
      </c>
      <c r="B1447" s="5" t="n">
        <v>289</v>
      </c>
      <c r="C1447" s="7" t="inlineStr">
        <is>
          <t>ISENTO (ATO 104/2017)</t>
        </is>
      </c>
      <c r="D1447" s="8" t="inlineStr">
        <is>
          <t>AGCN EASY OIL</t>
        </is>
      </c>
      <c r="E1447" s="7" t="inlineStr">
        <is>
          <t>Pulverização Agrícola Conforme Bula</t>
        </is>
      </c>
      <c r="F1447" s="7" t="inlineStr">
        <is>
          <t>Soja, Milho, Algodão, Café, Citros, Cana-de-açúcar (Adição à calda)</t>
        </is>
      </c>
      <c r="G1447" s="7" t="inlineStr">
        <is>
          <t>Cultura Autorizada na Bula</t>
        </is>
      </c>
      <c r="H1447" s="7" t="inlineStr">
        <is>
          <t>100 a 300 L/ha</t>
        </is>
      </c>
      <c r="I1447" s="7" t="inlineStr">
        <is>
          <t>20 a 40 L/ha</t>
        </is>
      </c>
      <c r="J1447" s="7" t="inlineStr">
        <is>
          <t>Conforme defensivo principal</t>
        </is>
      </c>
    </row>
    <row r="1448" ht="22" customHeight="1">
      <c r="A1448" s="12" t="inlineStr">
        <is>
          <t>CUL-1444</t>
        </is>
      </c>
      <c r="B1448" s="11" t="n">
        <v>290</v>
      </c>
      <c r="C1448" s="13" t="inlineStr">
        <is>
          <t>SIPEAGRO (UF-XXXXX)</t>
        </is>
      </c>
      <c r="D1448" s="14" t="inlineStr">
        <is>
          <t>AGCN MN RR</t>
        </is>
      </c>
      <c r="E1448" s="13" t="inlineStr">
        <is>
          <t>Adubação de Solo / Foliar</t>
        </is>
      </c>
      <c r="F1448" s="13" t="inlineStr">
        <is>
          <t>Soja</t>
        </is>
      </c>
      <c r="G1448" s="13" t="inlineStr">
        <is>
          <t>Cultura Autorizada na Bula</t>
        </is>
      </c>
      <c r="H1448" s="13" t="inlineStr">
        <is>
          <t>100 a 300 L/ha</t>
        </is>
      </c>
      <c r="I1448" s="13" t="inlineStr">
        <is>
          <t>20 a 40 L/ha</t>
        </is>
      </c>
      <c r="J1448" s="13" t="inlineStr">
        <is>
          <t>Isento</t>
        </is>
      </c>
    </row>
    <row r="1449" ht="22" customHeight="1">
      <c r="A1449" s="6" t="inlineStr">
        <is>
          <t>CUL-1445</t>
        </is>
      </c>
      <c r="B1449" s="5" t="n">
        <v>290</v>
      </c>
      <c r="C1449" s="7" t="inlineStr">
        <is>
          <t>SIPEAGRO (UF-XXXXX)</t>
        </is>
      </c>
      <c r="D1449" s="8" t="inlineStr">
        <is>
          <t>AGCN MN RR</t>
        </is>
      </c>
      <c r="E1449" s="7" t="inlineStr">
        <is>
          <t>Adubação de Solo / Foliar</t>
        </is>
      </c>
      <c r="F1449" s="7" t="inlineStr">
        <is>
          <t>Milho</t>
        </is>
      </c>
      <c r="G1449" s="7" t="inlineStr">
        <is>
          <t>Cultura Autorizada na Bula</t>
        </is>
      </c>
      <c r="H1449" s="7" t="inlineStr">
        <is>
          <t>100 a 300 L/ha</t>
        </is>
      </c>
      <c r="I1449" s="7" t="inlineStr">
        <is>
          <t>20 a 40 L/ha</t>
        </is>
      </c>
      <c r="J1449" s="7" t="inlineStr">
        <is>
          <t>Isento</t>
        </is>
      </c>
    </row>
    <row r="1450" ht="22" customHeight="1">
      <c r="A1450" s="12" t="inlineStr">
        <is>
          <t>CUL-1446</t>
        </is>
      </c>
      <c r="B1450" s="11" t="n">
        <v>290</v>
      </c>
      <c r="C1450" s="13" t="inlineStr">
        <is>
          <t>SIPEAGRO (UF-XXXXX)</t>
        </is>
      </c>
      <c r="D1450" s="14" t="inlineStr">
        <is>
          <t>AGCN MN RR</t>
        </is>
      </c>
      <c r="E1450" s="13" t="inlineStr">
        <is>
          <t>Adubação de Solo / Foliar</t>
        </is>
      </c>
      <c r="F1450" s="13" t="inlineStr">
        <is>
          <t>Algodão</t>
        </is>
      </c>
      <c r="G1450" s="13" t="inlineStr">
        <is>
          <t>Cultura Autorizada na Bula</t>
        </is>
      </c>
      <c r="H1450" s="13" t="inlineStr">
        <is>
          <t>100 a 300 L/ha</t>
        </is>
      </c>
      <c r="I1450" s="13" t="inlineStr">
        <is>
          <t>20 a 40 L/ha</t>
        </is>
      </c>
      <c r="J1450" s="13" t="inlineStr">
        <is>
          <t>Isento</t>
        </is>
      </c>
    </row>
    <row r="1451" ht="22" customHeight="1">
      <c r="A1451" s="6" t="inlineStr">
        <is>
          <t>CUL-1447</t>
        </is>
      </c>
      <c r="B1451" s="5" t="n">
        <v>290</v>
      </c>
      <c r="C1451" s="7" t="inlineStr">
        <is>
          <t>SIPEAGRO (UF-XXXXX)</t>
        </is>
      </c>
      <c r="D1451" s="8" t="inlineStr">
        <is>
          <t>AGCN MN RR</t>
        </is>
      </c>
      <c r="E1451" s="7" t="inlineStr">
        <is>
          <t>Adubação de Solo / Foliar</t>
        </is>
      </c>
      <c r="F1451" s="7" t="inlineStr">
        <is>
          <t>Cana-de-açúcar</t>
        </is>
      </c>
      <c r="G1451" s="7" t="inlineStr">
        <is>
          <t>Cultura Autorizada na Bula</t>
        </is>
      </c>
      <c r="H1451" s="7" t="inlineStr">
        <is>
          <t>100 a 300 L/ha</t>
        </is>
      </c>
      <c r="I1451" s="7" t="inlineStr">
        <is>
          <t>20 a 40 L/ha</t>
        </is>
      </c>
      <c r="J1451" s="7" t="inlineStr">
        <is>
          <t>Isento</t>
        </is>
      </c>
    </row>
    <row r="1452" ht="22" customHeight="1">
      <c r="A1452" s="12" t="inlineStr">
        <is>
          <t>CUL-1448</t>
        </is>
      </c>
      <c r="B1452" s="11" t="n">
        <v>290</v>
      </c>
      <c r="C1452" s="13" t="inlineStr">
        <is>
          <t>SIPEAGRO (UF-XXXXX)</t>
        </is>
      </c>
      <c r="D1452" s="14" t="inlineStr">
        <is>
          <t>AGCN MN RR</t>
        </is>
      </c>
      <c r="E1452" s="13" t="inlineStr">
        <is>
          <t>Adubação de Solo / Foliar</t>
        </is>
      </c>
      <c r="F1452" s="13" t="inlineStr">
        <is>
          <t>Café</t>
        </is>
      </c>
      <c r="G1452" s="13" t="inlineStr">
        <is>
          <t>Cultura Autorizada na Bula</t>
        </is>
      </c>
      <c r="H1452" s="13" t="inlineStr">
        <is>
          <t>100 a 300 L/ha</t>
        </is>
      </c>
      <c r="I1452" s="13" t="inlineStr">
        <is>
          <t>20 a 40 L/ha</t>
        </is>
      </c>
      <c r="J1452" s="13" t="inlineStr">
        <is>
          <t>Isento</t>
        </is>
      </c>
    </row>
    <row r="1453" ht="22" customHeight="1">
      <c r="A1453" s="6" t="inlineStr">
        <is>
          <t>CUL-1449</t>
        </is>
      </c>
      <c r="B1453" s="5" t="n">
        <v>291</v>
      </c>
      <c r="C1453" s="7" t="inlineStr">
        <is>
          <t>SIPEAGRO (UF-XXXXX)</t>
        </is>
      </c>
      <c r="D1453" s="8" t="inlineStr">
        <is>
          <t>AGCN MN RR 100</t>
        </is>
      </c>
      <c r="E1453" s="7" t="inlineStr">
        <is>
          <t>Adubação de Solo / Foliar</t>
        </is>
      </c>
      <c r="F1453" s="7" t="inlineStr">
        <is>
          <t>Soja</t>
        </is>
      </c>
      <c r="G1453" s="7" t="inlineStr">
        <is>
          <t>Cultura Autorizada na Bula</t>
        </is>
      </c>
      <c r="H1453" s="7" t="inlineStr">
        <is>
          <t>100 a 300 L/ha</t>
        </is>
      </c>
      <c r="I1453" s="7" t="inlineStr">
        <is>
          <t>20 a 40 L/ha</t>
        </is>
      </c>
      <c r="J1453" s="7" t="inlineStr">
        <is>
          <t>Isento</t>
        </is>
      </c>
    </row>
    <row r="1454" ht="22" customHeight="1">
      <c r="A1454" s="12" t="inlineStr">
        <is>
          <t>CUL-1450</t>
        </is>
      </c>
      <c r="B1454" s="11" t="n">
        <v>291</v>
      </c>
      <c r="C1454" s="13" t="inlineStr">
        <is>
          <t>SIPEAGRO (UF-XXXXX)</t>
        </is>
      </c>
      <c r="D1454" s="14" t="inlineStr">
        <is>
          <t>AGCN MN RR 100</t>
        </is>
      </c>
      <c r="E1454" s="13" t="inlineStr">
        <is>
          <t>Adubação de Solo / Foliar</t>
        </is>
      </c>
      <c r="F1454" s="13" t="inlineStr">
        <is>
          <t>Milho</t>
        </is>
      </c>
      <c r="G1454" s="13" t="inlineStr">
        <is>
          <t>Cultura Autorizada na Bula</t>
        </is>
      </c>
      <c r="H1454" s="13" t="inlineStr">
        <is>
          <t>100 a 300 L/ha</t>
        </is>
      </c>
      <c r="I1454" s="13" t="inlineStr">
        <is>
          <t>20 a 40 L/ha</t>
        </is>
      </c>
      <c r="J1454" s="13" t="inlineStr">
        <is>
          <t>Isento</t>
        </is>
      </c>
    </row>
    <row r="1455" ht="22" customHeight="1">
      <c r="A1455" s="6" t="inlineStr">
        <is>
          <t>CUL-1451</t>
        </is>
      </c>
      <c r="B1455" s="5" t="n">
        <v>291</v>
      </c>
      <c r="C1455" s="7" t="inlineStr">
        <is>
          <t>SIPEAGRO (UF-XXXXX)</t>
        </is>
      </c>
      <c r="D1455" s="8" t="inlineStr">
        <is>
          <t>AGCN MN RR 100</t>
        </is>
      </c>
      <c r="E1455" s="7" t="inlineStr">
        <is>
          <t>Adubação de Solo / Foliar</t>
        </is>
      </c>
      <c r="F1455" s="7" t="inlineStr">
        <is>
          <t>Algodão</t>
        </is>
      </c>
      <c r="G1455" s="7" t="inlineStr">
        <is>
          <t>Cultura Autorizada na Bula</t>
        </is>
      </c>
      <c r="H1455" s="7" t="inlineStr">
        <is>
          <t>100 a 300 L/ha</t>
        </is>
      </c>
      <c r="I1455" s="7" t="inlineStr">
        <is>
          <t>20 a 40 L/ha</t>
        </is>
      </c>
      <c r="J1455" s="7" t="inlineStr">
        <is>
          <t>Isento</t>
        </is>
      </c>
    </row>
    <row r="1456" ht="22" customHeight="1">
      <c r="A1456" s="12" t="inlineStr">
        <is>
          <t>CUL-1452</t>
        </is>
      </c>
      <c r="B1456" s="11" t="n">
        <v>291</v>
      </c>
      <c r="C1456" s="13" t="inlineStr">
        <is>
          <t>SIPEAGRO (UF-XXXXX)</t>
        </is>
      </c>
      <c r="D1456" s="14" t="inlineStr">
        <is>
          <t>AGCN MN RR 100</t>
        </is>
      </c>
      <c r="E1456" s="13" t="inlineStr">
        <is>
          <t>Adubação de Solo / Foliar</t>
        </is>
      </c>
      <c r="F1456" s="13" t="inlineStr">
        <is>
          <t>Cana-de-açúcar</t>
        </is>
      </c>
      <c r="G1456" s="13" t="inlineStr">
        <is>
          <t>Cultura Autorizada na Bula</t>
        </is>
      </c>
      <c r="H1456" s="13" t="inlineStr">
        <is>
          <t>100 a 300 L/ha</t>
        </is>
      </c>
      <c r="I1456" s="13" t="inlineStr">
        <is>
          <t>20 a 40 L/ha</t>
        </is>
      </c>
      <c r="J1456" s="13" t="inlineStr">
        <is>
          <t>Isento</t>
        </is>
      </c>
    </row>
    <row r="1457" ht="22" customHeight="1">
      <c r="A1457" s="6" t="inlineStr">
        <is>
          <t>CUL-1453</t>
        </is>
      </c>
      <c r="B1457" s="5" t="n">
        <v>291</v>
      </c>
      <c r="C1457" s="7" t="inlineStr">
        <is>
          <t>SIPEAGRO (UF-XXXXX)</t>
        </is>
      </c>
      <c r="D1457" s="8" t="inlineStr">
        <is>
          <t>AGCN MN RR 100</t>
        </is>
      </c>
      <c r="E1457" s="7" t="inlineStr">
        <is>
          <t>Adubação de Solo / Foliar</t>
        </is>
      </c>
      <c r="F1457" s="7" t="inlineStr">
        <is>
          <t>Café</t>
        </is>
      </c>
      <c r="G1457" s="7" t="inlineStr">
        <is>
          <t>Cultura Autorizada na Bula</t>
        </is>
      </c>
      <c r="H1457" s="7" t="inlineStr">
        <is>
          <t>100 a 300 L/ha</t>
        </is>
      </c>
      <c r="I1457" s="7" t="inlineStr">
        <is>
          <t>20 a 40 L/ha</t>
        </is>
      </c>
      <c r="J1457" s="7" t="inlineStr">
        <is>
          <t>Isento</t>
        </is>
      </c>
    </row>
    <row r="1458" ht="22" customHeight="1">
      <c r="A1458" s="12" t="inlineStr">
        <is>
          <t>CUL-1454</t>
        </is>
      </c>
      <c r="B1458" s="11" t="n">
        <v>292</v>
      </c>
      <c r="C1458" s="13" t="inlineStr">
        <is>
          <t>Nº 27717</t>
        </is>
      </c>
      <c r="D1458" s="14" t="inlineStr">
        <is>
          <t>FIPRONIL 800 WG AGCN</t>
        </is>
      </c>
      <c r="E1458" s="13" t="inlineStr">
        <is>
          <t>Pulverização Agrícola Conforme Bula</t>
        </is>
      </c>
      <c r="F1458" s="13" t="inlineStr">
        <is>
          <t>Soja (Trat. Sementes / Sulco)</t>
        </is>
      </c>
      <c r="G1458" s="13" t="inlineStr">
        <is>
          <t>Cultura Autorizada na Bula</t>
        </is>
      </c>
      <c r="H1458" s="13" t="inlineStr">
        <is>
          <t>100 a 300 L/ha</t>
        </is>
      </c>
      <c r="I1458" s="13" t="inlineStr">
        <is>
          <t>20 a 40 L/ha</t>
        </is>
      </c>
      <c r="J1458" s="13" t="inlineStr">
        <is>
          <t>N/D</t>
        </is>
      </c>
    </row>
    <row r="1459" ht="22" customHeight="1">
      <c r="A1459" s="6" t="inlineStr">
        <is>
          <t>CUL-1455</t>
        </is>
      </c>
      <c r="B1459" s="5" t="n">
        <v>292</v>
      </c>
      <c r="C1459" s="7" t="inlineStr">
        <is>
          <t>Nº 27717</t>
        </is>
      </c>
      <c r="D1459" s="8" t="inlineStr">
        <is>
          <t>FIPRONIL 800 WG AGCN</t>
        </is>
      </c>
      <c r="E1459" s="7" t="inlineStr">
        <is>
          <t>Pulverização Agrícola Conforme Bula</t>
        </is>
      </c>
      <c r="F1459" s="7" t="inlineStr">
        <is>
          <t>Milho (Trat. Sementes)</t>
        </is>
      </c>
      <c r="G1459" s="7" t="inlineStr">
        <is>
          <t>Cultura Autorizada na Bula</t>
        </is>
      </c>
      <c r="H1459" s="7" t="inlineStr">
        <is>
          <t>100 a 300 L/ha</t>
        </is>
      </c>
      <c r="I1459" s="7" t="inlineStr">
        <is>
          <t>20 a 40 L/ha</t>
        </is>
      </c>
      <c r="J1459" s="7" t="inlineStr">
        <is>
          <t>N/D</t>
        </is>
      </c>
    </row>
    <row r="1460" ht="22" customHeight="1">
      <c r="A1460" s="12" t="inlineStr">
        <is>
          <t>CUL-1456</t>
        </is>
      </c>
      <c r="B1460" s="11" t="n">
        <v>292</v>
      </c>
      <c r="C1460" s="13" t="inlineStr">
        <is>
          <t>Nº 27717</t>
        </is>
      </c>
      <c r="D1460" s="14" t="inlineStr">
        <is>
          <t>FIPRONIL 800 WG AGCN</t>
        </is>
      </c>
      <c r="E1460" s="13" t="inlineStr">
        <is>
          <t>Pulverização Agrícola Conforme Bula</t>
        </is>
      </c>
      <c r="F1460" s="13" t="inlineStr">
        <is>
          <t>Algodão</t>
        </is>
      </c>
      <c r="G1460" s="13" t="inlineStr">
        <is>
          <t>Cultura Autorizada na Bula</t>
        </is>
      </c>
      <c r="H1460" s="13" t="inlineStr">
        <is>
          <t>100 a 300 L/ha</t>
        </is>
      </c>
      <c r="I1460" s="13" t="inlineStr">
        <is>
          <t>20 a 40 L/ha</t>
        </is>
      </c>
      <c r="J1460" s="13" t="inlineStr">
        <is>
          <t>N/D</t>
        </is>
      </c>
    </row>
    <row r="1461" ht="22" customHeight="1">
      <c r="A1461" s="6" t="inlineStr">
        <is>
          <t>CUL-1457</t>
        </is>
      </c>
      <c r="B1461" s="5" t="n">
        <v>292</v>
      </c>
      <c r="C1461" s="7" t="inlineStr">
        <is>
          <t>Nº 27717</t>
        </is>
      </c>
      <c r="D1461" s="8" t="inlineStr">
        <is>
          <t>FIPRONIL 800 WG AGCN</t>
        </is>
      </c>
      <c r="E1461" s="7" t="inlineStr">
        <is>
          <t>Pulverização Agrícola Conforme Bula</t>
        </is>
      </c>
      <c r="F1461" s="7" t="inlineStr">
        <is>
          <t>Cana-de-açúcar (Sulco)</t>
        </is>
      </c>
      <c r="G1461" s="7" t="inlineStr">
        <is>
          <t>Cultura Autorizada na Bula</t>
        </is>
      </c>
      <c r="H1461" s="7" t="inlineStr">
        <is>
          <t>100 a 300 L/ha</t>
        </is>
      </c>
      <c r="I1461" s="7" t="inlineStr">
        <is>
          <t>20 a 40 L/ha</t>
        </is>
      </c>
      <c r="J1461" s="7" t="inlineStr">
        <is>
          <t>N/D</t>
        </is>
      </c>
    </row>
    <row r="1462" ht="22" customHeight="1">
      <c r="A1462" s="12" t="inlineStr">
        <is>
          <t>CUL-1458</t>
        </is>
      </c>
      <c r="B1462" s="11" t="n">
        <v>292</v>
      </c>
      <c r="C1462" s="13" t="inlineStr">
        <is>
          <t>Nº 27717</t>
        </is>
      </c>
      <c r="D1462" s="14" t="inlineStr">
        <is>
          <t>FIPRONIL 800 WG AGCN</t>
        </is>
      </c>
      <c r="E1462" s="13" t="inlineStr">
        <is>
          <t>Pulverização Agrícola Conforme Bula</t>
        </is>
      </c>
      <c r="F1462" s="13" t="inlineStr">
        <is>
          <t>Arroz</t>
        </is>
      </c>
      <c r="G1462" s="13" t="inlineStr">
        <is>
          <t>Cultura Autorizada na Bula</t>
        </is>
      </c>
      <c r="H1462" s="13" t="inlineStr">
        <is>
          <t>100 a 300 L/ha</t>
        </is>
      </c>
      <c r="I1462" s="13" t="inlineStr">
        <is>
          <t>20 a 40 L/ha</t>
        </is>
      </c>
      <c r="J1462" s="13" t="inlineStr">
        <is>
          <t>N/D</t>
        </is>
      </c>
    </row>
    <row r="1463" ht="22" customHeight="1">
      <c r="A1463" s="6" t="inlineStr">
        <is>
          <t>CUL-1459</t>
        </is>
      </c>
      <c r="B1463" s="5" t="n">
        <v>292</v>
      </c>
      <c r="C1463" s="7" t="inlineStr">
        <is>
          <t>Nº 27717</t>
        </is>
      </c>
      <c r="D1463" s="8" t="inlineStr">
        <is>
          <t>FIPRONIL 800 WG AGCN</t>
        </is>
      </c>
      <c r="E1463" s="7" t="inlineStr">
        <is>
          <t>Pulverização Agrícola Conforme Bula</t>
        </is>
      </c>
      <c r="F1463" s="7" t="inlineStr">
        <is>
          <t>Feijão</t>
        </is>
      </c>
      <c r="G1463" s="7" t="inlineStr">
        <is>
          <t>Cultura Autorizada na Bula</t>
        </is>
      </c>
      <c r="H1463" s="7" t="inlineStr">
        <is>
          <t>100 a 300 L/ha</t>
        </is>
      </c>
      <c r="I1463" s="7" t="inlineStr">
        <is>
          <t>20 a 40 L/ha</t>
        </is>
      </c>
      <c r="J1463" s="7" t="inlineStr">
        <is>
          <t>N/D</t>
        </is>
      </c>
    </row>
    <row r="1464" ht="22" customHeight="1">
      <c r="A1464" s="12" t="inlineStr">
        <is>
          <t>CUL-1460</t>
        </is>
      </c>
      <c r="B1464" s="11" t="n">
        <v>292</v>
      </c>
      <c r="C1464" s="13" t="inlineStr">
        <is>
          <t>Nº 27717</t>
        </is>
      </c>
      <c r="D1464" s="14" t="inlineStr">
        <is>
          <t>FIPRONIL 800 WG AGCN</t>
        </is>
      </c>
      <c r="E1464" s="13" t="inlineStr">
        <is>
          <t>Pulverização Agrícola Conforme Bula</t>
        </is>
      </c>
      <c r="F1464" s="13" t="inlineStr">
        <is>
          <t>Pastagens</t>
        </is>
      </c>
      <c r="G1464" s="13" t="inlineStr">
        <is>
          <t>Cultura Autorizada na Bula</t>
        </is>
      </c>
      <c r="H1464" s="13" t="inlineStr">
        <is>
          <t>100 a 300 L/ha</t>
        </is>
      </c>
      <c r="I1464" s="13" t="inlineStr">
        <is>
          <t>20 a 40 L/ha</t>
        </is>
      </c>
      <c r="J1464" s="13" t="inlineStr">
        <is>
          <t>N/D</t>
        </is>
      </c>
    </row>
    <row r="1465" ht="22" customHeight="1">
      <c r="A1465" s="6" t="inlineStr">
        <is>
          <t>CUL-1461</t>
        </is>
      </c>
      <c r="B1465" s="5" t="n">
        <v>292</v>
      </c>
      <c r="C1465" s="7" t="inlineStr">
        <is>
          <t>Nº 27717</t>
        </is>
      </c>
      <c r="D1465" s="8" t="inlineStr">
        <is>
          <t>FIPRONIL 800 WG AGCN</t>
        </is>
      </c>
      <c r="E1465" s="7" t="inlineStr">
        <is>
          <t>Pulverização Agrícola Conforme Bula</t>
        </is>
      </c>
      <c r="F1465" s="7" t="inlineStr">
        <is>
          <t>Trigo</t>
        </is>
      </c>
      <c r="G1465" s="7" t="inlineStr">
        <is>
          <t>Cultura Autorizada na Bula</t>
        </is>
      </c>
      <c r="H1465" s="7" t="inlineStr">
        <is>
          <t>100 a 300 L/ha</t>
        </is>
      </c>
      <c r="I1465" s="7" t="inlineStr">
        <is>
          <t>20 a 40 L/ha</t>
        </is>
      </c>
      <c r="J1465" s="7" t="inlineStr">
        <is>
          <t>N/D</t>
        </is>
      </c>
    </row>
    <row r="1466" ht="22" customHeight="1">
      <c r="A1466" s="12" t="inlineStr">
        <is>
          <t>CUL-1462</t>
        </is>
      </c>
      <c r="B1466" s="11" t="n">
        <v>293</v>
      </c>
      <c r="C1466" s="13" t="inlineStr">
        <is>
          <t>Nº 44018</t>
        </is>
      </c>
      <c r="D1466" s="14" t="inlineStr">
        <is>
          <t>SUMMIT 250 FS</t>
        </is>
      </c>
      <c r="E1466" s="13" t="inlineStr">
        <is>
          <t>Tratamento de Sementes / Sulco</t>
        </is>
      </c>
      <c r="F1466" s="13" t="inlineStr">
        <is>
          <t>Soja (Trat. Sementes / Sulco)</t>
        </is>
      </c>
      <c r="G1466" s="13" t="inlineStr">
        <is>
          <t>Cultura Autorizada na Bula</t>
        </is>
      </c>
      <c r="H1466" s="13" t="inlineStr">
        <is>
          <t>Calda TS (0,2 a 0,6 L/100kg sem.)</t>
        </is>
      </c>
      <c r="I1466" s="13" t="inlineStr">
        <is>
          <t>Não Autorizada (TS)</t>
        </is>
      </c>
      <c r="J1466" s="13" t="inlineStr">
        <is>
          <t>N/D</t>
        </is>
      </c>
    </row>
    <row r="1467" ht="22" customHeight="1">
      <c r="A1467" s="6" t="inlineStr">
        <is>
          <t>CUL-1463</t>
        </is>
      </c>
      <c r="B1467" s="5" t="n">
        <v>293</v>
      </c>
      <c r="C1467" s="7" t="inlineStr">
        <is>
          <t>Nº 44018</t>
        </is>
      </c>
      <c r="D1467" s="8" t="inlineStr">
        <is>
          <t>SUMMIT 250 FS</t>
        </is>
      </c>
      <c r="E1467" s="7" t="inlineStr">
        <is>
          <t>Tratamento de Sementes / Sulco</t>
        </is>
      </c>
      <c r="F1467" s="7" t="inlineStr">
        <is>
          <t>Milho (Trat. Sementes)</t>
        </is>
      </c>
      <c r="G1467" s="7" t="inlineStr">
        <is>
          <t>Cultura Autorizada na Bula</t>
        </is>
      </c>
      <c r="H1467" s="7" t="inlineStr">
        <is>
          <t>Calda TS (0,2 a 0,6 L/100kg sem.)</t>
        </is>
      </c>
      <c r="I1467" s="7" t="inlineStr">
        <is>
          <t>Não Autorizada (TS)</t>
        </is>
      </c>
      <c r="J1467" s="7" t="inlineStr">
        <is>
          <t>N/D</t>
        </is>
      </c>
    </row>
    <row r="1468" ht="22" customHeight="1">
      <c r="A1468" s="12" t="inlineStr">
        <is>
          <t>CUL-1464</t>
        </is>
      </c>
      <c r="B1468" s="11" t="n">
        <v>293</v>
      </c>
      <c r="C1468" s="13" t="inlineStr">
        <is>
          <t>Nº 44018</t>
        </is>
      </c>
      <c r="D1468" s="14" t="inlineStr">
        <is>
          <t>SUMMIT 250 FS</t>
        </is>
      </c>
      <c r="E1468" s="13" t="inlineStr">
        <is>
          <t>Tratamento de Sementes / Sulco</t>
        </is>
      </c>
      <c r="F1468" s="13" t="inlineStr">
        <is>
          <t>Algodão</t>
        </is>
      </c>
      <c r="G1468" s="13" t="inlineStr">
        <is>
          <t>Cultura Autorizada na Bula</t>
        </is>
      </c>
      <c r="H1468" s="13" t="inlineStr">
        <is>
          <t>Calda TS (0,2 a 0,6 L/100kg sem.)</t>
        </is>
      </c>
      <c r="I1468" s="13" t="inlineStr">
        <is>
          <t>Não Autorizada (TS)</t>
        </is>
      </c>
      <c r="J1468" s="13" t="inlineStr">
        <is>
          <t>N/D</t>
        </is>
      </c>
    </row>
    <row r="1469" ht="22" customHeight="1">
      <c r="A1469" s="6" t="inlineStr">
        <is>
          <t>CUL-1465</t>
        </is>
      </c>
      <c r="B1469" s="5" t="n">
        <v>293</v>
      </c>
      <c r="C1469" s="7" t="inlineStr">
        <is>
          <t>Nº 44018</t>
        </is>
      </c>
      <c r="D1469" s="8" t="inlineStr">
        <is>
          <t>SUMMIT 250 FS</t>
        </is>
      </c>
      <c r="E1469" s="7" t="inlineStr">
        <is>
          <t>Tratamento de Sementes / Sulco</t>
        </is>
      </c>
      <c r="F1469" s="7" t="inlineStr">
        <is>
          <t>Cana-de-açúcar (Sulco)</t>
        </is>
      </c>
      <c r="G1469" s="7" t="inlineStr">
        <is>
          <t>Cultura Autorizada na Bula</t>
        </is>
      </c>
      <c r="H1469" s="7" t="inlineStr">
        <is>
          <t>Calda TS (0,2 a 0,6 L/100kg sem.)</t>
        </is>
      </c>
      <c r="I1469" s="7" t="inlineStr">
        <is>
          <t>Não Autorizada (TS)</t>
        </is>
      </c>
      <c r="J1469" s="7" t="inlineStr">
        <is>
          <t>N/D</t>
        </is>
      </c>
    </row>
    <row r="1470" ht="22" customHeight="1">
      <c r="A1470" s="12" t="inlineStr">
        <is>
          <t>CUL-1466</t>
        </is>
      </c>
      <c r="B1470" s="11" t="n">
        <v>293</v>
      </c>
      <c r="C1470" s="13" t="inlineStr">
        <is>
          <t>Nº 44018</t>
        </is>
      </c>
      <c r="D1470" s="14" t="inlineStr">
        <is>
          <t>SUMMIT 250 FS</t>
        </is>
      </c>
      <c r="E1470" s="13" t="inlineStr">
        <is>
          <t>Tratamento de Sementes / Sulco</t>
        </is>
      </c>
      <c r="F1470" s="13" t="inlineStr">
        <is>
          <t>Arroz</t>
        </is>
      </c>
      <c r="G1470" s="13" t="inlineStr">
        <is>
          <t>Cultura Autorizada na Bula</t>
        </is>
      </c>
      <c r="H1470" s="13" t="inlineStr">
        <is>
          <t>Calda TS (0,2 a 0,6 L/100kg sem.)</t>
        </is>
      </c>
      <c r="I1470" s="13" t="inlineStr">
        <is>
          <t>Não Autorizada (TS)</t>
        </is>
      </c>
      <c r="J1470" s="13" t="inlineStr">
        <is>
          <t>N/D</t>
        </is>
      </c>
    </row>
    <row r="1471" ht="22" customHeight="1">
      <c r="A1471" s="6" t="inlineStr">
        <is>
          <t>CUL-1467</t>
        </is>
      </c>
      <c r="B1471" s="5" t="n">
        <v>293</v>
      </c>
      <c r="C1471" s="7" t="inlineStr">
        <is>
          <t>Nº 44018</t>
        </is>
      </c>
      <c r="D1471" s="8" t="inlineStr">
        <is>
          <t>SUMMIT 250 FS</t>
        </is>
      </c>
      <c r="E1471" s="7" t="inlineStr">
        <is>
          <t>Tratamento de Sementes / Sulco</t>
        </is>
      </c>
      <c r="F1471" s="7" t="inlineStr">
        <is>
          <t>Feijão</t>
        </is>
      </c>
      <c r="G1471" s="7" t="inlineStr">
        <is>
          <t>Cultura Autorizada na Bula</t>
        </is>
      </c>
      <c r="H1471" s="7" t="inlineStr">
        <is>
          <t>Calda TS (0,2 a 0,6 L/100kg sem.)</t>
        </is>
      </c>
      <c r="I1471" s="7" t="inlineStr">
        <is>
          <t>Não Autorizada (TS)</t>
        </is>
      </c>
      <c r="J1471" s="7" t="inlineStr">
        <is>
          <t>N/D</t>
        </is>
      </c>
    </row>
    <row r="1472" ht="22" customHeight="1">
      <c r="A1472" s="12" t="inlineStr">
        <is>
          <t>CUL-1468</t>
        </is>
      </c>
      <c r="B1472" s="11" t="n">
        <v>293</v>
      </c>
      <c r="C1472" s="13" t="inlineStr">
        <is>
          <t>Nº 44018</t>
        </is>
      </c>
      <c r="D1472" s="14" t="inlineStr">
        <is>
          <t>SUMMIT 250 FS</t>
        </is>
      </c>
      <c r="E1472" s="13" t="inlineStr">
        <is>
          <t>Tratamento de Sementes / Sulco</t>
        </is>
      </c>
      <c r="F1472" s="13" t="inlineStr">
        <is>
          <t>Pastagens</t>
        </is>
      </c>
      <c r="G1472" s="13" t="inlineStr">
        <is>
          <t>Cultura Autorizada na Bula</t>
        </is>
      </c>
      <c r="H1472" s="13" t="inlineStr">
        <is>
          <t>Calda TS (0,2 a 0,6 L/100kg sem.)</t>
        </is>
      </c>
      <c r="I1472" s="13" t="inlineStr">
        <is>
          <t>Não Autorizada (TS)</t>
        </is>
      </c>
      <c r="J1472" s="13" t="inlineStr">
        <is>
          <t>N/D</t>
        </is>
      </c>
    </row>
    <row r="1473" ht="22" customHeight="1">
      <c r="A1473" s="6" t="inlineStr">
        <is>
          <t>CUL-1469</t>
        </is>
      </c>
      <c r="B1473" s="5" t="n">
        <v>293</v>
      </c>
      <c r="C1473" s="7" t="inlineStr">
        <is>
          <t>Nº 44018</t>
        </is>
      </c>
      <c r="D1473" s="8" t="inlineStr">
        <is>
          <t>SUMMIT 250 FS</t>
        </is>
      </c>
      <c r="E1473" s="7" t="inlineStr">
        <is>
          <t>Tratamento de Sementes / Sulco</t>
        </is>
      </c>
      <c r="F1473" s="7" t="inlineStr">
        <is>
          <t>Trigo</t>
        </is>
      </c>
      <c r="G1473" s="7" t="inlineStr">
        <is>
          <t>Cultura Autorizada na Bula</t>
        </is>
      </c>
      <c r="H1473" s="7" t="inlineStr">
        <is>
          <t>Calda TS (0,2 a 0,6 L/100kg sem.)</t>
        </is>
      </c>
      <c r="I1473" s="7" t="inlineStr">
        <is>
          <t>Não Autorizada (TS)</t>
        </is>
      </c>
      <c r="J1473" s="7" t="inlineStr">
        <is>
          <t>N/D</t>
        </is>
      </c>
    </row>
    <row r="1474" ht="22" customHeight="1">
      <c r="A1474" s="12" t="inlineStr">
        <is>
          <t>CUL-1470</t>
        </is>
      </c>
      <c r="B1474" s="11" t="n">
        <v>294</v>
      </c>
      <c r="C1474" s="13" t="inlineStr">
        <is>
          <t>Nº 10421</t>
        </is>
      </c>
      <c r="D1474" s="14" t="inlineStr">
        <is>
          <t>LANEX 800 WG</t>
        </is>
      </c>
      <c r="E1474" s="13" t="inlineStr">
        <is>
          <t>Pulverização Agrícola Conforme Bula</t>
        </is>
      </c>
      <c r="F1474" s="13" t="inlineStr">
        <is>
          <t>Soja (Trat. Sementes / Sulco)</t>
        </is>
      </c>
      <c r="G1474" s="13" t="inlineStr">
        <is>
          <t>Cultura Autorizada na Bula</t>
        </is>
      </c>
      <c r="H1474" s="13" t="inlineStr">
        <is>
          <t>100 a 300 L/ha</t>
        </is>
      </c>
      <c r="I1474" s="13" t="inlineStr">
        <is>
          <t>20 a 40 L/ha</t>
        </is>
      </c>
      <c r="J1474" s="13" t="inlineStr">
        <is>
          <t>N/D</t>
        </is>
      </c>
    </row>
    <row r="1475" ht="22" customHeight="1">
      <c r="A1475" s="6" t="inlineStr">
        <is>
          <t>CUL-1471</t>
        </is>
      </c>
      <c r="B1475" s="5" t="n">
        <v>294</v>
      </c>
      <c r="C1475" s="7" t="inlineStr">
        <is>
          <t>Nº 10421</t>
        </is>
      </c>
      <c r="D1475" s="8" t="inlineStr">
        <is>
          <t>LANEX 800 WG</t>
        </is>
      </c>
      <c r="E1475" s="7" t="inlineStr">
        <is>
          <t>Pulverização Agrícola Conforme Bula</t>
        </is>
      </c>
      <c r="F1475" s="7" t="inlineStr">
        <is>
          <t>Milho (Trat. Sementes)</t>
        </is>
      </c>
      <c r="G1475" s="7" t="inlineStr">
        <is>
          <t>Cultura Autorizada na Bula</t>
        </is>
      </c>
      <c r="H1475" s="7" t="inlineStr">
        <is>
          <t>100 a 300 L/ha</t>
        </is>
      </c>
      <c r="I1475" s="7" t="inlineStr">
        <is>
          <t>20 a 40 L/ha</t>
        </is>
      </c>
      <c r="J1475" s="7" t="inlineStr">
        <is>
          <t>N/D</t>
        </is>
      </c>
    </row>
    <row r="1476" ht="22" customHeight="1">
      <c r="A1476" s="12" t="inlineStr">
        <is>
          <t>CUL-1472</t>
        </is>
      </c>
      <c r="B1476" s="11" t="n">
        <v>294</v>
      </c>
      <c r="C1476" s="13" t="inlineStr">
        <is>
          <t>Nº 10421</t>
        </is>
      </c>
      <c r="D1476" s="14" t="inlineStr">
        <is>
          <t>LANEX 800 WG</t>
        </is>
      </c>
      <c r="E1476" s="13" t="inlineStr">
        <is>
          <t>Pulverização Agrícola Conforme Bula</t>
        </is>
      </c>
      <c r="F1476" s="13" t="inlineStr">
        <is>
          <t>Algodão</t>
        </is>
      </c>
      <c r="G1476" s="13" t="inlineStr">
        <is>
          <t>Cultura Autorizada na Bula</t>
        </is>
      </c>
      <c r="H1476" s="13" t="inlineStr">
        <is>
          <t>100 a 300 L/ha</t>
        </is>
      </c>
      <c r="I1476" s="13" t="inlineStr">
        <is>
          <t>20 a 40 L/ha</t>
        </is>
      </c>
      <c r="J1476" s="13" t="inlineStr">
        <is>
          <t>N/D</t>
        </is>
      </c>
    </row>
    <row r="1477" ht="22" customHeight="1">
      <c r="A1477" s="6" t="inlineStr">
        <is>
          <t>CUL-1473</t>
        </is>
      </c>
      <c r="B1477" s="5" t="n">
        <v>294</v>
      </c>
      <c r="C1477" s="7" t="inlineStr">
        <is>
          <t>Nº 10421</t>
        </is>
      </c>
      <c r="D1477" s="8" t="inlineStr">
        <is>
          <t>LANEX 800 WG</t>
        </is>
      </c>
      <c r="E1477" s="7" t="inlineStr">
        <is>
          <t>Pulverização Agrícola Conforme Bula</t>
        </is>
      </c>
      <c r="F1477" s="7" t="inlineStr">
        <is>
          <t>Cana-de-açúcar (Sulco)</t>
        </is>
      </c>
      <c r="G1477" s="7" t="inlineStr">
        <is>
          <t>Cultura Autorizada na Bula</t>
        </is>
      </c>
      <c r="H1477" s="7" t="inlineStr">
        <is>
          <t>100 a 300 L/ha</t>
        </is>
      </c>
      <c r="I1477" s="7" t="inlineStr">
        <is>
          <t>20 a 40 L/ha</t>
        </is>
      </c>
      <c r="J1477" s="7" t="inlineStr">
        <is>
          <t>N/D</t>
        </is>
      </c>
    </row>
    <row r="1478" ht="22" customHeight="1">
      <c r="A1478" s="12" t="inlineStr">
        <is>
          <t>CUL-1474</t>
        </is>
      </c>
      <c r="B1478" s="11" t="n">
        <v>294</v>
      </c>
      <c r="C1478" s="13" t="inlineStr">
        <is>
          <t>Nº 10421</t>
        </is>
      </c>
      <c r="D1478" s="14" t="inlineStr">
        <is>
          <t>LANEX 800 WG</t>
        </is>
      </c>
      <c r="E1478" s="13" t="inlineStr">
        <is>
          <t>Pulverização Agrícola Conforme Bula</t>
        </is>
      </c>
      <c r="F1478" s="13" t="inlineStr">
        <is>
          <t>Arroz</t>
        </is>
      </c>
      <c r="G1478" s="13" t="inlineStr">
        <is>
          <t>Cultura Autorizada na Bula</t>
        </is>
      </c>
      <c r="H1478" s="13" t="inlineStr">
        <is>
          <t>100 a 300 L/ha</t>
        </is>
      </c>
      <c r="I1478" s="13" t="inlineStr">
        <is>
          <t>20 a 40 L/ha</t>
        </is>
      </c>
      <c r="J1478" s="13" t="inlineStr">
        <is>
          <t>N/D</t>
        </is>
      </c>
    </row>
    <row r="1479" ht="22" customHeight="1">
      <c r="A1479" s="6" t="inlineStr">
        <is>
          <t>CUL-1475</t>
        </is>
      </c>
      <c r="B1479" s="5" t="n">
        <v>294</v>
      </c>
      <c r="C1479" s="7" t="inlineStr">
        <is>
          <t>Nº 10421</t>
        </is>
      </c>
      <c r="D1479" s="8" t="inlineStr">
        <is>
          <t>LANEX 800 WG</t>
        </is>
      </c>
      <c r="E1479" s="7" t="inlineStr">
        <is>
          <t>Pulverização Agrícola Conforme Bula</t>
        </is>
      </c>
      <c r="F1479" s="7" t="inlineStr">
        <is>
          <t>Feijão</t>
        </is>
      </c>
      <c r="G1479" s="7" t="inlineStr">
        <is>
          <t>Cultura Autorizada na Bula</t>
        </is>
      </c>
      <c r="H1479" s="7" t="inlineStr">
        <is>
          <t>100 a 300 L/ha</t>
        </is>
      </c>
      <c r="I1479" s="7" t="inlineStr">
        <is>
          <t>20 a 40 L/ha</t>
        </is>
      </c>
      <c r="J1479" s="7" t="inlineStr">
        <is>
          <t>N/D</t>
        </is>
      </c>
    </row>
    <row r="1480" ht="22" customHeight="1">
      <c r="A1480" s="12" t="inlineStr">
        <is>
          <t>CUL-1476</t>
        </is>
      </c>
      <c r="B1480" s="11" t="n">
        <v>294</v>
      </c>
      <c r="C1480" s="13" t="inlineStr">
        <is>
          <t>Nº 10421</t>
        </is>
      </c>
      <c r="D1480" s="14" t="inlineStr">
        <is>
          <t>LANEX 800 WG</t>
        </is>
      </c>
      <c r="E1480" s="13" t="inlineStr">
        <is>
          <t>Pulverização Agrícola Conforme Bula</t>
        </is>
      </c>
      <c r="F1480" s="13" t="inlineStr">
        <is>
          <t>Pastagens</t>
        </is>
      </c>
      <c r="G1480" s="13" t="inlineStr">
        <is>
          <t>Cultura Autorizada na Bula</t>
        </is>
      </c>
      <c r="H1480" s="13" t="inlineStr">
        <is>
          <t>100 a 300 L/ha</t>
        </is>
      </c>
      <c r="I1480" s="13" t="inlineStr">
        <is>
          <t>20 a 40 L/ha</t>
        </is>
      </c>
      <c r="J1480" s="13" t="inlineStr">
        <is>
          <t>N/D</t>
        </is>
      </c>
    </row>
    <row r="1481" ht="22" customHeight="1">
      <c r="A1481" s="6" t="inlineStr">
        <is>
          <t>CUL-1477</t>
        </is>
      </c>
      <c r="B1481" s="5" t="n">
        <v>294</v>
      </c>
      <c r="C1481" s="7" t="inlineStr">
        <is>
          <t>Nº 10421</t>
        </is>
      </c>
      <c r="D1481" s="8" t="inlineStr">
        <is>
          <t>LANEX 800 WG</t>
        </is>
      </c>
      <c r="E1481" s="7" t="inlineStr">
        <is>
          <t>Pulverização Agrícola Conforme Bula</t>
        </is>
      </c>
      <c r="F1481" s="7" t="inlineStr">
        <is>
          <t>Trigo</t>
        </is>
      </c>
      <c r="G1481" s="7" t="inlineStr">
        <is>
          <t>Cultura Autorizada na Bula</t>
        </is>
      </c>
      <c r="H1481" s="7" t="inlineStr">
        <is>
          <t>100 a 300 L/ha</t>
        </is>
      </c>
      <c r="I1481" s="7" t="inlineStr">
        <is>
          <t>20 a 40 L/ha</t>
        </is>
      </c>
      <c r="J1481" s="7" t="inlineStr">
        <is>
          <t>N/D</t>
        </is>
      </c>
    </row>
    <row r="1482" ht="22" customHeight="1">
      <c r="A1482" s="12" t="inlineStr">
        <is>
          <t>CUL-1478</t>
        </is>
      </c>
      <c r="B1482" s="11" t="n">
        <v>295</v>
      </c>
      <c r="C1482" s="13" t="inlineStr">
        <is>
          <t>Nº 16223</t>
        </is>
      </c>
      <c r="D1482" s="14" t="inlineStr">
        <is>
          <t>COMPRAY</t>
        </is>
      </c>
      <c r="E1482" s="13" t="inlineStr">
        <is>
          <t>Pulverização Agrícola Conforme Bula</t>
        </is>
      </c>
      <c r="F1482" s="13" t="inlineStr">
        <is>
          <t>Cana-de-açúcar</t>
        </is>
      </c>
      <c r="G1482" s="13" t="inlineStr">
        <is>
          <t>Cultura Autorizada na Bula</t>
        </is>
      </c>
      <c r="H1482" s="13" t="inlineStr">
        <is>
          <t>100 a 300 L/ha</t>
        </is>
      </c>
      <c r="I1482" s="13" t="inlineStr">
        <is>
          <t>20 a 40 L/ha</t>
        </is>
      </c>
      <c r="J1482" s="13" t="inlineStr">
        <is>
          <t>N/D</t>
        </is>
      </c>
    </row>
    <row r="1483" ht="22" customHeight="1">
      <c r="A1483" s="6" t="inlineStr">
        <is>
          <t>CUL-1479</t>
        </is>
      </c>
      <c r="B1483" s="5" t="n">
        <v>295</v>
      </c>
      <c r="C1483" s="7" t="inlineStr">
        <is>
          <t>Nº 16223</t>
        </is>
      </c>
      <c r="D1483" s="8" t="inlineStr">
        <is>
          <t>COMPRAY</t>
        </is>
      </c>
      <c r="E1483" s="7" t="inlineStr">
        <is>
          <t>Pulverização Agrícola Conforme Bula</t>
        </is>
      </c>
      <c r="F1483" s="7" t="inlineStr">
        <is>
          <t>Arroz</t>
        </is>
      </c>
      <c r="G1483" s="7" t="inlineStr">
        <is>
          <t>Cultura Autorizada na Bula</t>
        </is>
      </c>
      <c r="H1483" s="7" t="inlineStr">
        <is>
          <t>100 a 300 L/ha</t>
        </is>
      </c>
      <c r="I1483" s="7" t="inlineStr">
        <is>
          <t>20 a 40 L/ha</t>
        </is>
      </c>
      <c r="J1483" s="7" t="inlineStr">
        <is>
          <t>90 dias</t>
        </is>
      </c>
    </row>
    <row r="1484" ht="22" customHeight="1">
      <c r="A1484" s="12" t="inlineStr">
        <is>
          <t>CUL-1480</t>
        </is>
      </c>
      <c r="B1484" s="11" t="n">
        <v>295</v>
      </c>
      <c r="C1484" s="13" t="inlineStr">
        <is>
          <t>Nº 16223</t>
        </is>
      </c>
      <c r="D1484" s="14" t="inlineStr">
        <is>
          <t>COMPRAY</t>
        </is>
      </c>
      <c r="E1484" s="13" t="inlineStr">
        <is>
          <t>Pulverização Agrícola Conforme Bula</t>
        </is>
      </c>
      <c r="F1484" s="13" t="inlineStr">
        <is>
          <t>Soja</t>
        </is>
      </c>
      <c r="G1484" s="13" t="inlineStr">
        <is>
          <t>Cultura Autorizada na Bula</t>
        </is>
      </c>
      <c r="H1484" s="13" t="inlineStr">
        <is>
          <t>100 a 300 L/ha</t>
        </is>
      </c>
      <c r="I1484" s="13" t="inlineStr">
        <is>
          <t>20 a 40 L/ha</t>
        </is>
      </c>
      <c r="J1484" s="13" t="inlineStr">
        <is>
          <t>N/D</t>
        </is>
      </c>
    </row>
    <row r="1485" ht="22" customHeight="1">
      <c r="A1485" s="6" t="inlineStr">
        <is>
          <t>CUL-1481</t>
        </is>
      </c>
      <c r="B1485" s="5" t="n">
        <v>295</v>
      </c>
      <c r="C1485" s="7" t="inlineStr">
        <is>
          <t>Nº 16223</t>
        </is>
      </c>
      <c r="D1485" s="8" t="inlineStr">
        <is>
          <t>COMPRAY</t>
        </is>
      </c>
      <c r="E1485" s="7" t="inlineStr">
        <is>
          <t>Pulverização Agrícola Conforme Bula</t>
        </is>
      </c>
      <c r="F1485" s="7" t="inlineStr">
        <is>
          <t>Algodão</t>
        </is>
      </c>
      <c r="G1485" s="7" t="inlineStr">
        <is>
          <t>Cultura Autorizada na Bula</t>
        </is>
      </c>
      <c r="H1485" s="7" t="inlineStr">
        <is>
          <t>100 a 300 L/ha</t>
        </is>
      </c>
      <c r="I1485" s="7" t="inlineStr">
        <is>
          <t>20 a 40 L/ha</t>
        </is>
      </c>
      <c r="J1485" s="7" t="inlineStr">
        <is>
          <t>100 dias</t>
        </is>
      </c>
    </row>
    <row r="1486" ht="22" customHeight="1">
      <c r="A1486" s="12" t="inlineStr">
        <is>
          <t>CUL-1482</t>
        </is>
      </c>
      <c r="B1486" s="11" t="n">
        <v>295</v>
      </c>
      <c r="C1486" s="13" t="inlineStr">
        <is>
          <t>Nº 16223</t>
        </is>
      </c>
      <c r="D1486" s="14" t="inlineStr">
        <is>
          <t>COMPRAY</t>
        </is>
      </c>
      <c r="E1486" s="13" t="inlineStr">
        <is>
          <t>Pulverização Agrícola Conforme Bula</t>
        </is>
      </c>
      <c r="F1486" s="13" t="inlineStr">
        <is>
          <t>Mandioca</t>
        </is>
      </c>
      <c r="G1486" s="13" t="inlineStr">
        <is>
          <t>Cultura Autorizada na Bula</t>
        </is>
      </c>
      <c r="H1486" s="13" t="inlineStr">
        <is>
          <t>100 a 300 L/ha</t>
        </is>
      </c>
      <c r="I1486" s="13" t="inlineStr">
        <is>
          <t>20 a 40 L/ha</t>
        </is>
      </c>
      <c r="J1486" s="13" t="inlineStr">
        <is>
          <t>N/D</t>
        </is>
      </c>
    </row>
    <row r="1487" ht="22" customHeight="1">
      <c r="A1487" s="6" t="inlineStr">
        <is>
          <t>CUL-1483</t>
        </is>
      </c>
      <c r="B1487" s="5" t="n">
        <v>295</v>
      </c>
      <c r="C1487" s="7" t="inlineStr">
        <is>
          <t>Nº 16223</t>
        </is>
      </c>
      <c r="D1487" s="8" t="inlineStr">
        <is>
          <t>COMPRAY</t>
        </is>
      </c>
      <c r="E1487" s="7" t="inlineStr">
        <is>
          <t>Pulverização Agrícola Conforme Bula</t>
        </is>
      </c>
      <c r="F1487" s="7" t="inlineStr">
        <is>
          <t>Tabaco</t>
        </is>
      </c>
      <c r="G1487" s="7" t="inlineStr">
        <is>
          <t>Cultura Autorizada na Bula</t>
        </is>
      </c>
      <c r="H1487" s="7" t="inlineStr">
        <is>
          <t>100 a 300 L/ha</t>
        </is>
      </c>
      <c r="I1487" s="7" t="inlineStr">
        <is>
          <t>20 a 40 L/ha</t>
        </is>
      </c>
      <c r="J1487" s="7" t="inlineStr">
        <is>
          <t>N/D</t>
        </is>
      </c>
    </row>
    <row r="1488" ht="22" customHeight="1">
      <c r="A1488" s="12" t="inlineStr">
        <is>
          <t>CUL-1484</t>
        </is>
      </c>
      <c r="B1488" s="11" t="n">
        <v>296</v>
      </c>
      <c r="C1488" s="13" t="inlineStr">
        <is>
          <t>Nº 31222</t>
        </is>
      </c>
      <c r="D1488" s="14" t="inlineStr">
        <is>
          <t>GLINT FULL</t>
        </is>
      </c>
      <c r="E1488" s="13" t="inlineStr">
        <is>
          <t>Pulverização Agrícola Conforme Bula</t>
        </is>
      </c>
      <c r="F1488" s="13" t="inlineStr">
        <is>
          <t>Soja</t>
        </is>
      </c>
      <c r="G1488" s="13" t="inlineStr">
        <is>
          <t>Cultura Autorizada na Bula</t>
        </is>
      </c>
      <c r="H1488" s="13" t="inlineStr">
        <is>
          <t>100 a 300 L/ha</t>
        </is>
      </c>
      <c r="I1488" s="13" t="inlineStr">
        <is>
          <t>20 a 40 L/ha</t>
        </is>
      </c>
      <c r="J1488" s="13" t="inlineStr">
        <is>
          <t>60 dias</t>
        </is>
      </c>
    </row>
    <row r="1489" ht="22" customHeight="1">
      <c r="A1489" s="6" t="inlineStr">
        <is>
          <t>CUL-1485</t>
        </is>
      </c>
      <c r="B1489" s="5" t="n">
        <v>296</v>
      </c>
      <c r="C1489" s="7" t="inlineStr">
        <is>
          <t>Nº 31222</t>
        </is>
      </c>
      <c r="D1489" s="8" t="inlineStr">
        <is>
          <t>GLINT FULL</t>
        </is>
      </c>
      <c r="E1489" s="7" t="inlineStr">
        <is>
          <t>Pulverização Agrícola Conforme Bula</t>
        </is>
      </c>
      <c r="F1489" s="7" t="inlineStr">
        <is>
          <t>Milho</t>
        </is>
      </c>
      <c r="G1489" s="7" t="inlineStr">
        <is>
          <t>Cultura Autorizada na Bula</t>
        </is>
      </c>
      <c r="H1489" s="7" t="inlineStr">
        <is>
          <t>100 a 300 L/ha</t>
        </is>
      </c>
      <c r="I1489" s="7" t="inlineStr">
        <is>
          <t>20 a 40 L/ha</t>
        </is>
      </c>
      <c r="J1489" s="7" t="inlineStr">
        <is>
          <t>45 dias</t>
        </is>
      </c>
    </row>
    <row r="1490" ht="22" customHeight="1">
      <c r="A1490" s="12" t="inlineStr">
        <is>
          <t>CUL-1486</t>
        </is>
      </c>
      <c r="B1490" s="11" t="n">
        <v>296</v>
      </c>
      <c r="C1490" s="13" t="inlineStr">
        <is>
          <t>Nº 31222</t>
        </is>
      </c>
      <c r="D1490" s="14" t="inlineStr">
        <is>
          <t>GLINT FULL</t>
        </is>
      </c>
      <c r="E1490" s="13" t="inlineStr">
        <is>
          <t>Pulverização Agrícola Conforme Bula</t>
        </is>
      </c>
      <c r="F1490" s="13" t="inlineStr">
        <is>
          <t>Algodão</t>
        </is>
      </c>
      <c r="G1490" s="13" t="inlineStr">
        <is>
          <t>Cultura Autorizada na Bula</t>
        </is>
      </c>
      <c r="H1490" s="13" t="inlineStr">
        <is>
          <t>100 a 300 L/ha</t>
        </is>
      </c>
      <c r="I1490" s="13" t="inlineStr">
        <is>
          <t>20 a 40 L/ha</t>
        </is>
      </c>
      <c r="J1490" s="13" t="inlineStr">
        <is>
          <t>60 dias</t>
        </is>
      </c>
    </row>
    <row r="1491" ht="22" customHeight="1">
      <c r="A1491" s="6" t="inlineStr">
        <is>
          <t>CUL-1487</t>
        </is>
      </c>
      <c r="B1491" s="5" t="n">
        <v>296</v>
      </c>
      <c r="C1491" s="7" t="inlineStr">
        <is>
          <t>Nº 31222</t>
        </is>
      </c>
      <c r="D1491" s="8" t="inlineStr">
        <is>
          <t>GLINT FULL</t>
        </is>
      </c>
      <c r="E1491" s="7" t="inlineStr">
        <is>
          <t>Pulverização Agrícola Conforme Bula</t>
        </is>
      </c>
      <c r="F1491" s="7" t="inlineStr">
        <is>
          <t>Cana-de-açúcar</t>
        </is>
      </c>
      <c r="G1491" s="7" t="inlineStr">
        <is>
          <t>Cultura Autorizada na Bula</t>
        </is>
      </c>
      <c r="H1491" s="7" t="inlineStr">
        <is>
          <t>100 a 300 L/ha</t>
        </is>
      </c>
      <c r="I1491" s="7" t="inlineStr">
        <is>
          <t>20 a 40 L/ha</t>
        </is>
      </c>
      <c r="J1491" s="7" t="inlineStr">
        <is>
          <t>90 dias</t>
        </is>
      </c>
    </row>
    <row r="1492" ht="22" customHeight="1">
      <c r="A1492" s="12" t="inlineStr">
        <is>
          <t>CUL-1488</t>
        </is>
      </c>
      <c r="B1492" s="11" t="n">
        <v>297</v>
      </c>
      <c r="C1492" s="13" t="inlineStr">
        <is>
          <t>SIPEAGRO (UF-XXXXX)</t>
        </is>
      </c>
      <c r="D1492" s="14" t="inlineStr">
        <is>
          <t>AGCN FULL</t>
        </is>
      </c>
      <c r="E1492" s="13" t="inlineStr">
        <is>
          <t>Adubação de Solo / Foliar</t>
        </is>
      </c>
      <c r="F1492" s="13" t="inlineStr">
        <is>
          <t>Soja</t>
        </is>
      </c>
      <c r="G1492" s="13" t="inlineStr">
        <is>
          <t>Cultura Autorizada na Bula</t>
        </is>
      </c>
      <c r="H1492" s="13" t="inlineStr">
        <is>
          <t>100 a 300 L/ha</t>
        </is>
      </c>
      <c r="I1492" s="13" t="inlineStr">
        <is>
          <t>20 a 40 L/ha</t>
        </is>
      </c>
      <c r="J1492" s="13" t="inlineStr">
        <is>
          <t>Isento</t>
        </is>
      </c>
    </row>
    <row r="1493" ht="22" customHeight="1">
      <c r="A1493" s="6" t="inlineStr">
        <is>
          <t>CUL-1489</t>
        </is>
      </c>
      <c r="B1493" s="5" t="n">
        <v>297</v>
      </c>
      <c r="C1493" s="7" t="inlineStr">
        <is>
          <t>SIPEAGRO (UF-XXXXX)</t>
        </is>
      </c>
      <c r="D1493" s="8" t="inlineStr">
        <is>
          <t>AGCN FULL</t>
        </is>
      </c>
      <c r="E1493" s="7" t="inlineStr">
        <is>
          <t>Adubação de Solo / Foliar</t>
        </is>
      </c>
      <c r="F1493" s="7" t="inlineStr">
        <is>
          <t>Milho</t>
        </is>
      </c>
      <c r="G1493" s="7" t="inlineStr">
        <is>
          <t>Cultura Autorizada na Bula</t>
        </is>
      </c>
      <c r="H1493" s="7" t="inlineStr">
        <is>
          <t>100 a 300 L/ha</t>
        </is>
      </c>
      <c r="I1493" s="7" t="inlineStr">
        <is>
          <t>20 a 40 L/ha</t>
        </is>
      </c>
      <c r="J1493" s="7" t="inlineStr">
        <is>
          <t>Isento</t>
        </is>
      </c>
    </row>
    <row r="1494" ht="22" customHeight="1">
      <c r="A1494" s="12" t="inlineStr">
        <is>
          <t>CUL-1490</t>
        </is>
      </c>
      <c r="B1494" s="11" t="n">
        <v>297</v>
      </c>
      <c r="C1494" s="13" t="inlineStr">
        <is>
          <t>SIPEAGRO (UF-XXXXX)</t>
        </is>
      </c>
      <c r="D1494" s="14" t="inlineStr">
        <is>
          <t>AGCN FULL</t>
        </is>
      </c>
      <c r="E1494" s="13" t="inlineStr">
        <is>
          <t>Adubação de Solo / Foliar</t>
        </is>
      </c>
      <c r="F1494" s="13" t="inlineStr">
        <is>
          <t>Algodão</t>
        </is>
      </c>
      <c r="G1494" s="13" t="inlineStr">
        <is>
          <t>Cultura Autorizada na Bula</t>
        </is>
      </c>
      <c r="H1494" s="13" t="inlineStr">
        <is>
          <t>100 a 300 L/ha</t>
        </is>
      </c>
      <c r="I1494" s="13" t="inlineStr">
        <is>
          <t>20 a 40 L/ha</t>
        </is>
      </c>
      <c r="J1494" s="13" t="inlineStr">
        <is>
          <t>Isento</t>
        </is>
      </c>
    </row>
    <row r="1495" ht="22" customHeight="1">
      <c r="A1495" s="6" t="inlineStr">
        <is>
          <t>CUL-1491</t>
        </is>
      </c>
      <c r="B1495" s="5" t="n">
        <v>297</v>
      </c>
      <c r="C1495" s="7" t="inlineStr">
        <is>
          <t>SIPEAGRO (UF-XXXXX)</t>
        </is>
      </c>
      <c r="D1495" s="8" t="inlineStr">
        <is>
          <t>AGCN FULL</t>
        </is>
      </c>
      <c r="E1495" s="7" t="inlineStr">
        <is>
          <t>Adubação de Solo / Foliar</t>
        </is>
      </c>
      <c r="F1495" s="7" t="inlineStr">
        <is>
          <t>Cana-de-açúcar</t>
        </is>
      </c>
      <c r="G1495" s="7" t="inlineStr">
        <is>
          <t>Cultura Autorizada na Bula</t>
        </is>
      </c>
      <c r="H1495" s="7" t="inlineStr">
        <is>
          <t>100 a 300 L/ha</t>
        </is>
      </c>
      <c r="I1495" s="7" t="inlineStr">
        <is>
          <t>20 a 40 L/ha</t>
        </is>
      </c>
      <c r="J1495" s="7" t="inlineStr">
        <is>
          <t>Isento</t>
        </is>
      </c>
    </row>
    <row r="1496" ht="22" customHeight="1">
      <c r="A1496" s="12" t="inlineStr">
        <is>
          <t>CUL-1492</t>
        </is>
      </c>
      <c r="B1496" s="11" t="n">
        <v>297</v>
      </c>
      <c r="C1496" s="13" t="inlineStr">
        <is>
          <t>SIPEAGRO (UF-XXXXX)</t>
        </is>
      </c>
      <c r="D1496" s="14" t="inlineStr">
        <is>
          <t>AGCN FULL</t>
        </is>
      </c>
      <c r="E1496" s="13" t="inlineStr">
        <is>
          <t>Adubação de Solo / Foliar</t>
        </is>
      </c>
      <c r="F1496" s="13" t="inlineStr">
        <is>
          <t>Café</t>
        </is>
      </c>
      <c r="G1496" s="13" t="inlineStr">
        <is>
          <t>Cultura Autorizada na Bula</t>
        </is>
      </c>
      <c r="H1496" s="13" t="inlineStr">
        <is>
          <t>100 a 300 L/ha</t>
        </is>
      </c>
      <c r="I1496" s="13" t="inlineStr">
        <is>
          <t>20 a 40 L/ha</t>
        </is>
      </c>
      <c r="J1496" s="13" t="inlineStr">
        <is>
          <t>Isento</t>
        </is>
      </c>
    </row>
    <row r="1497" ht="22" customHeight="1">
      <c r="A1497" s="6" t="inlineStr">
        <is>
          <t>CUL-1493</t>
        </is>
      </c>
      <c r="B1497" s="5" t="n">
        <v>298</v>
      </c>
      <c r="C1497" s="7" t="inlineStr">
        <is>
          <t>ISENTO (ATO 104/2017)</t>
        </is>
      </c>
      <c r="D1497" s="8" t="inlineStr">
        <is>
          <t>AGCN SAFE AIR</t>
        </is>
      </c>
      <c r="E1497" s="7" t="inlineStr">
        <is>
          <t>Pulverização Agrícola Conforme Bula</t>
        </is>
      </c>
      <c r="F1497" s="7" t="inlineStr">
        <is>
          <t>Soja, Milho, Algodão, Café, Citros, Cana-de-açúcar (Adição à calda)</t>
        </is>
      </c>
      <c r="G1497" s="7" t="inlineStr">
        <is>
          <t>Cultura Autorizada na Bula</t>
        </is>
      </c>
      <c r="H1497" s="7" t="inlineStr">
        <is>
          <t>100 a 300 L/ha</t>
        </is>
      </c>
      <c r="I1497" s="7" t="inlineStr">
        <is>
          <t>20 a 40 L/ha</t>
        </is>
      </c>
      <c r="J1497" s="7" t="inlineStr">
        <is>
          <t>Conforme defensivo principal</t>
        </is>
      </c>
    </row>
    <row r="1498" ht="22" customHeight="1">
      <c r="A1498" s="12" t="inlineStr">
        <is>
          <t>CUL-1494</t>
        </is>
      </c>
      <c r="B1498" s="11" t="n">
        <v>299</v>
      </c>
      <c r="C1498" s="13" t="inlineStr">
        <is>
          <t>ISENTO (ATO 104/2017)</t>
        </is>
      </c>
      <c r="D1498" s="14" t="inlineStr">
        <is>
          <t>AGCN SAFE SPRAY</t>
        </is>
      </c>
      <c r="E1498" s="13" t="inlineStr">
        <is>
          <t>Pulverização Agrícola Conforme Bula</t>
        </is>
      </c>
      <c r="F1498" s="13" t="inlineStr">
        <is>
          <t>Soja, Milho, Algodão, Café, Citros, Cana-de-açúcar (Adição à calda)</t>
        </is>
      </c>
      <c r="G1498" s="13" t="inlineStr">
        <is>
          <t>Cultura Autorizada na Bula</t>
        </is>
      </c>
      <c r="H1498" s="13" t="inlineStr">
        <is>
          <t>100 a 300 L/ha</t>
        </is>
      </c>
      <c r="I1498" s="13" t="inlineStr">
        <is>
          <t>20 a 40 L/ha</t>
        </is>
      </c>
      <c r="J1498" s="13" t="inlineStr">
        <is>
          <t>Conforme defensivo principal</t>
        </is>
      </c>
    </row>
    <row r="1499" ht="22" customHeight="1">
      <c r="A1499" s="6" t="inlineStr">
        <is>
          <t>CUL-1495</t>
        </is>
      </c>
      <c r="B1499" s="5" t="n">
        <v>300</v>
      </c>
      <c r="C1499" s="7" t="inlineStr">
        <is>
          <t>SIPEAGRO (UF-XXXXX)</t>
        </is>
      </c>
      <c r="D1499" s="8" t="inlineStr">
        <is>
          <t>AGCN CAB</t>
        </is>
      </c>
      <c r="E1499" s="7" t="inlineStr">
        <is>
          <t>Adubação de Solo / Foliar</t>
        </is>
      </c>
      <c r="F1499" s="7" t="inlineStr">
        <is>
          <t>Soja</t>
        </is>
      </c>
      <c r="G1499" s="7" t="inlineStr">
        <is>
          <t>Cultura Autorizada na Bula</t>
        </is>
      </c>
      <c r="H1499" s="7" t="inlineStr">
        <is>
          <t>100 a 300 L/ha</t>
        </is>
      </c>
      <c r="I1499" s="7" t="inlineStr">
        <is>
          <t>20 a 40 L/ha</t>
        </is>
      </c>
      <c r="J1499" s="7" t="inlineStr">
        <is>
          <t>Isento</t>
        </is>
      </c>
    </row>
    <row r="1500" ht="22" customHeight="1">
      <c r="A1500" s="12" t="inlineStr">
        <is>
          <t>CUL-1496</t>
        </is>
      </c>
      <c r="B1500" s="11" t="n">
        <v>300</v>
      </c>
      <c r="C1500" s="13" t="inlineStr">
        <is>
          <t>SIPEAGRO (UF-XXXXX)</t>
        </is>
      </c>
      <c r="D1500" s="14" t="inlineStr">
        <is>
          <t>AGCN CAB</t>
        </is>
      </c>
      <c r="E1500" s="13" t="inlineStr">
        <is>
          <t>Adubação de Solo / Foliar</t>
        </is>
      </c>
      <c r="F1500" s="13" t="inlineStr">
        <is>
          <t>Milho</t>
        </is>
      </c>
      <c r="G1500" s="13" t="inlineStr">
        <is>
          <t>Cultura Autorizada na Bula</t>
        </is>
      </c>
      <c r="H1500" s="13" t="inlineStr">
        <is>
          <t>100 a 300 L/ha</t>
        </is>
      </c>
      <c r="I1500" s="13" t="inlineStr">
        <is>
          <t>20 a 40 L/ha</t>
        </is>
      </c>
      <c r="J1500" s="13" t="inlineStr">
        <is>
          <t>Isento</t>
        </is>
      </c>
    </row>
    <row r="1501" ht="22" customHeight="1">
      <c r="A1501" s="6" t="inlineStr">
        <is>
          <t>CUL-1497</t>
        </is>
      </c>
      <c r="B1501" s="5" t="n">
        <v>300</v>
      </c>
      <c r="C1501" s="7" t="inlineStr">
        <is>
          <t>SIPEAGRO (UF-XXXXX)</t>
        </is>
      </c>
      <c r="D1501" s="8" t="inlineStr">
        <is>
          <t>AGCN CAB</t>
        </is>
      </c>
      <c r="E1501" s="7" t="inlineStr">
        <is>
          <t>Adubação de Solo / Foliar</t>
        </is>
      </c>
      <c r="F1501" s="7" t="inlineStr">
        <is>
          <t>Algodão</t>
        </is>
      </c>
      <c r="G1501" s="7" t="inlineStr">
        <is>
          <t>Cultura Autorizada na Bula</t>
        </is>
      </c>
      <c r="H1501" s="7" t="inlineStr">
        <is>
          <t>100 a 300 L/ha</t>
        </is>
      </c>
      <c r="I1501" s="7" t="inlineStr">
        <is>
          <t>20 a 40 L/ha</t>
        </is>
      </c>
      <c r="J1501" s="7" t="inlineStr">
        <is>
          <t>Isento</t>
        </is>
      </c>
    </row>
    <row r="1502" ht="22" customHeight="1">
      <c r="A1502" s="12" t="inlineStr">
        <is>
          <t>CUL-1498</t>
        </is>
      </c>
      <c r="B1502" s="11" t="n">
        <v>300</v>
      </c>
      <c r="C1502" s="13" t="inlineStr">
        <is>
          <t>SIPEAGRO (UF-XXXXX)</t>
        </is>
      </c>
      <c r="D1502" s="14" t="inlineStr">
        <is>
          <t>AGCN CAB</t>
        </is>
      </c>
      <c r="E1502" s="13" t="inlineStr">
        <is>
          <t>Adubação de Solo / Foliar</t>
        </is>
      </c>
      <c r="F1502" s="13" t="inlineStr">
        <is>
          <t>Cana-de-açúcar</t>
        </is>
      </c>
      <c r="G1502" s="13" t="inlineStr">
        <is>
          <t>Cultura Autorizada na Bula</t>
        </is>
      </c>
      <c r="H1502" s="13" t="inlineStr">
        <is>
          <t>100 a 300 L/ha</t>
        </is>
      </c>
      <c r="I1502" s="13" t="inlineStr">
        <is>
          <t>20 a 40 L/ha</t>
        </is>
      </c>
      <c r="J1502" s="13" t="inlineStr">
        <is>
          <t>Isento</t>
        </is>
      </c>
    </row>
    <row r="1503" ht="22" customHeight="1">
      <c r="A1503" s="6" t="inlineStr">
        <is>
          <t>CUL-1499</t>
        </is>
      </c>
      <c r="B1503" s="5" t="n">
        <v>300</v>
      </c>
      <c r="C1503" s="7" t="inlineStr">
        <is>
          <t>SIPEAGRO (UF-XXXXX)</t>
        </is>
      </c>
      <c r="D1503" s="8" t="inlineStr">
        <is>
          <t>AGCN CAB</t>
        </is>
      </c>
      <c r="E1503" s="7" t="inlineStr">
        <is>
          <t>Adubação de Solo / Foliar</t>
        </is>
      </c>
      <c r="F1503" s="7" t="inlineStr">
        <is>
          <t>Café</t>
        </is>
      </c>
      <c r="G1503" s="7" t="inlineStr">
        <is>
          <t>Cultura Autorizada na Bula</t>
        </is>
      </c>
      <c r="H1503" s="7" t="inlineStr">
        <is>
          <t>100 a 300 L/ha</t>
        </is>
      </c>
      <c r="I1503" s="7" t="inlineStr">
        <is>
          <t>20 a 40 L/ha</t>
        </is>
      </c>
      <c r="J1503" s="7" t="inlineStr">
        <is>
          <t>Isento</t>
        </is>
      </c>
    </row>
    <row r="1504" ht="22" customHeight="1">
      <c r="A1504" s="12" t="inlineStr">
        <is>
          <t>CUL-1500</t>
        </is>
      </c>
      <c r="B1504" s="11" t="n">
        <v>301</v>
      </c>
      <c r="C1504" s="13" t="inlineStr">
        <is>
          <t>Nº 16223</t>
        </is>
      </c>
      <c r="D1504" s="14" t="inlineStr">
        <is>
          <t>GUNTER PRO 360</t>
        </is>
      </c>
      <c r="E1504" s="13" t="inlineStr">
        <is>
          <t>Pulverização Agrícola Conforme Bula</t>
        </is>
      </c>
      <c r="F1504" s="13" t="inlineStr">
        <is>
          <t>Cana-de-açúcar</t>
        </is>
      </c>
      <c r="G1504" s="13" t="inlineStr">
        <is>
          <t>Cultura Autorizada na Bula</t>
        </is>
      </c>
      <c r="H1504" s="13" t="inlineStr">
        <is>
          <t>100 a 300 L/ha</t>
        </is>
      </c>
      <c r="I1504" s="13" t="inlineStr">
        <is>
          <t>20 a 40 L/ha</t>
        </is>
      </c>
      <c r="J1504" s="13" t="inlineStr">
        <is>
          <t>N/D</t>
        </is>
      </c>
    </row>
    <row r="1505" ht="22" customHeight="1">
      <c r="A1505" s="6" t="inlineStr">
        <is>
          <t>CUL-1501</t>
        </is>
      </c>
      <c r="B1505" s="5" t="n">
        <v>301</v>
      </c>
      <c r="C1505" s="7" t="inlineStr">
        <is>
          <t>Nº 16223</t>
        </is>
      </c>
      <c r="D1505" s="8" t="inlineStr">
        <is>
          <t>GUNTER PRO 360</t>
        </is>
      </c>
      <c r="E1505" s="7" t="inlineStr">
        <is>
          <t>Pulverização Agrícola Conforme Bula</t>
        </is>
      </c>
      <c r="F1505" s="7" t="inlineStr">
        <is>
          <t>Arroz</t>
        </is>
      </c>
      <c r="G1505" s="7" t="inlineStr">
        <is>
          <t>Cultura Autorizada na Bula</t>
        </is>
      </c>
      <c r="H1505" s="7" t="inlineStr">
        <is>
          <t>100 a 300 L/ha</t>
        </is>
      </c>
      <c r="I1505" s="7" t="inlineStr">
        <is>
          <t>20 a 40 L/ha</t>
        </is>
      </c>
      <c r="J1505" s="7" t="inlineStr">
        <is>
          <t>90 dias</t>
        </is>
      </c>
    </row>
    <row r="1506" ht="22" customHeight="1">
      <c r="A1506" s="12" t="inlineStr">
        <is>
          <t>CUL-1502</t>
        </is>
      </c>
      <c r="B1506" s="11" t="n">
        <v>301</v>
      </c>
      <c r="C1506" s="13" t="inlineStr">
        <is>
          <t>Nº 16223</t>
        </is>
      </c>
      <c r="D1506" s="14" t="inlineStr">
        <is>
          <t>GUNTER PRO 360</t>
        </is>
      </c>
      <c r="E1506" s="13" t="inlineStr">
        <is>
          <t>Pulverização Agrícola Conforme Bula</t>
        </is>
      </c>
      <c r="F1506" s="13" t="inlineStr">
        <is>
          <t>Soja</t>
        </is>
      </c>
      <c r="G1506" s="13" t="inlineStr">
        <is>
          <t>Cultura Autorizada na Bula</t>
        </is>
      </c>
      <c r="H1506" s="13" t="inlineStr">
        <is>
          <t>100 a 300 L/ha</t>
        </is>
      </c>
      <c r="I1506" s="13" t="inlineStr">
        <is>
          <t>20 a 40 L/ha</t>
        </is>
      </c>
      <c r="J1506" s="13" t="inlineStr">
        <is>
          <t>N/D</t>
        </is>
      </c>
    </row>
    <row r="1507" ht="22" customHeight="1">
      <c r="A1507" s="6" t="inlineStr">
        <is>
          <t>CUL-1503</t>
        </is>
      </c>
      <c r="B1507" s="5" t="n">
        <v>301</v>
      </c>
      <c r="C1507" s="7" t="inlineStr">
        <is>
          <t>Nº 16223</t>
        </is>
      </c>
      <c r="D1507" s="8" t="inlineStr">
        <is>
          <t>GUNTER PRO 360</t>
        </is>
      </c>
      <c r="E1507" s="7" t="inlineStr">
        <is>
          <t>Pulverização Agrícola Conforme Bula</t>
        </is>
      </c>
      <c r="F1507" s="7" t="inlineStr">
        <is>
          <t>Algodão</t>
        </is>
      </c>
      <c r="G1507" s="7" t="inlineStr">
        <is>
          <t>Cultura Autorizada na Bula</t>
        </is>
      </c>
      <c r="H1507" s="7" t="inlineStr">
        <is>
          <t>100 a 300 L/ha</t>
        </is>
      </c>
      <c r="I1507" s="7" t="inlineStr">
        <is>
          <t>20 a 40 L/ha</t>
        </is>
      </c>
      <c r="J1507" s="7" t="inlineStr">
        <is>
          <t>100 dias</t>
        </is>
      </c>
    </row>
    <row r="1508" ht="22" customHeight="1">
      <c r="A1508" s="12" t="inlineStr">
        <is>
          <t>CUL-1504</t>
        </is>
      </c>
      <c r="B1508" s="11" t="n">
        <v>301</v>
      </c>
      <c r="C1508" s="13" t="inlineStr">
        <is>
          <t>Nº 16223</t>
        </is>
      </c>
      <c r="D1508" s="14" t="inlineStr">
        <is>
          <t>GUNTER PRO 360</t>
        </is>
      </c>
      <c r="E1508" s="13" t="inlineStr">
        <is>
          <t>Pulverização Agrícola Conforme Bula</t>
        </is>
      </c>
      <c r="F1508" s="13" t="inlineStr">
        <is>
          <t>Mandioca</t>
        </is>
      </c>
      <c r="G1508" s="13" t="inlineStr">
        <is>
          <t>Cultura Autorizada na Bula</t>
        </is>
      </c>
      <c r="H1508" s="13" t="inlineStr">
        <is>
          <t>100 a 300 L/ha</t>
        </is>
      </c>
      <c r="I1508" s="13" t="inlineStr">
        <is>
          <t>20 a 40 L/ha</t>
        </is>
      </c>
      <c r="J1508" s="13" t="inlineStr">
        <is>
          <t>N/D</t>
        </is>
      </c>
    </row>
    <row r="1509" ht="22" customHeight="1">
      <c r="A1509" s="6" t="inlineStr">
        <is>
          <t>CUL-1505</t>
        </is>
      </c>
      <c r="B1509" s="5" t="n">
        <v>301</v>
      </c>
      <c r="C1509" s="7" t="inlineStr">
        <is>
          <t>Nº 16223</t>
        </is>
      </c>
      <c r="D1509" s="8" t="inlineStr">
        <is>
          <t>GUNTER PRO 360</t>
        </is>
      </c>
      <c r="E1509" s="7" t="inlineStr">
        <is>
          <t>Pulverização Agrícola Conforme Bula</t>
        </is>
      </c>
      <c r="F1509" s="7" t="inlineStr">
        <is>
          <t>Tabaco</t>
        </is>
      </c>
      <c r="G1509" s="7" t="inlineStr">
        <is>
          <t>Cultura Autorizada na Bula</t>
        </is>
      </c>
      <c r="H1509" s="7" t="inlineStr">
        <is>
          <t>100 a 300 L/ha</t>
        </is>
      </c>
      <c r="I1509" s="7" t="inlineStr">
        <is>
          <t>20 a 40 L/ha</t>
        </is>
      </c>
      <c r="J1509" s="7" t="inlineStr">
        <is>
          <t>N/D</t>
        </is>
      </c>
    </row>
    <row r="1510" ht="22" customHeight="1">
      <c r="A1510" s="12" t="inlineStr">
        <is>
          <t>CUL-1506</t>
        </is>
      </c>
      <c r="B1510" s="11" t="n">
        <v>302</v>
      </c>
      <c r="C1510" s="13" t="inlineStr">
        <is>
          <t>SIPEAGRO (UF-XXXXX)</t>
        </is>
      </c>
      <c r="D1510" s="14" t="inlineStr">
        <is>
          <t>AGCN MN+</t>
        </is>
      </c>
      <c r="E1510" s="13" t="inlineStr">
        <is>
          <t>Adubação de Solo / Foliar</t>
        </is>
      </c>
      <c r="F1510" s="13" t="inlineStr">
        <is>
          <t>Soja</t>
        </is>
      </c>
      <c r="G1510" s="13" t="inlineStr">
        <is>
          <t>Cultura Autorizada na Bula</t>
        </is>
      </c>
      <c r="H1510" s="13" t="inlineStr">
        <is>
          <t>100 a 300 L/ha</t>
        </is>
      </c>
      <c r="I1510" s="13" t="inlineStr">
        <is>
          <t>20 a 40 L/ha</t>
        </is>
      </c>
      <c r="J1510" s="13" t="inlineStr">
        <is>
          <t>Isento</t>
        </is>
      </c>
    </row>
    <row r="1511" ht="22" customHeight="1">
      <c r="A1511" s="6" t="inlineStr">
        <is>
          <t>CUL-1507</t>
        </is>
      </c>
      <c r="B1511" s="5" t="n">
        <v>302</v>
      </c>
      <c r="C1511" s="7" t="inlineStr">
        <is>
          <t>SIPEAGRO (UF-XXXXX)</t>
        </is>
      </c>
      <c r="D1511" s="8" t="inlineStr">
        <is>
          <t>AGCN MN+</t>
        </is>
      </c>
      <c r="E1511" s="7" t="inlineStr">
        <is>
          <t>Adubação de Solo / Foliar</t>
        </is>
      </c>
      <c r="F1511" s="7" t="inlineStr">
        <is>
          <t>Milho</t>
        </is>
      </c>
      <c r="G1511" s="7" t="inlineStr">
        <is>
          <t>Cultura Autorizada na Bula</t>
        </is>
      </c>
      <c r="H1511" s="7" t="inlineStr">
        <is>
          <t>100 a 300 L/ha</t>
        </is>
      </c>
      <c r="I1511" s="7" t="inlineStr">
        <is>
          <t>20 a 40 L/ha</t>
        </is>
      </c>
      <c r="J1511" s="7" t="inlineStr">
        <is>
          <t>Isento</t>
        </is>
      </c>
    </row>
    <row r="1512" ht="22" customHeight="1">
      <c r="A1512" s="12" t="inlineStr">
        <is>
          <t>CUL-1508</t>
        </is>
      </c>
      <c r="B1512" s="11" t="n">
        <v>302</v>
      </c>
      <c r="C1512" s="13" t="inlineStr">
        <is>
          <t>SIPEAGRO (UF-XXXXX)</t>
        </is>
      </c>
      <c r="D1512" s="14" t="inlineStr">
        <is>
          <t>AGCN MN+</t>
        </is>
      </c>
      <c r="E1512" s="13" t="inlineStr">
        <is>
          <t>Adubação de Solo / Foliar</t>
        </is>
      </c>
      <c r="F1512" s="13" t="inlineStr">
        <is>
          <t>Algodão</t>
        </is>
      </c>
      <c r="G1512" s="13" t="inlineStr">
        <is>
          <t>Cultura Autorizada na Bula</t>
        </is>
      </c>
      <c r="H1512" s="13" t="inlineStr">
        <is>
          <t>100 a 300 L/ha</t>
        </is>
      </c>
      <c r="I1512" s="13" t="inlineStr">
        <is>
          <t>20 a 40 L/ha</t>
        </is>
      </c>
      <c r="J1512" s="13" t="inlineStr">
        <is>
          <t>Isento</t>
        </is>
      </c>
    </row>
    <row r="1513" ht="22" customHeight="1">
      <c r="A1513" s="6" t="inlineStr">
        <is>
          <t>CUL-1509</t>
        </is>
      </c>
      <c r="B1513" s="5" t="n">
        <v>302</v>
      </c>
      <c r="C1513" s="7" t="inlineStr">
        <is>
          <t>SIPEAGRO (UF-XXXXX)</t>
        </is>
      </c>
      <c r="D1513" s="8" t="inlineStr">
        <is>
          <t>AGCN MN+</t>
        </is>
      </c>
      <c r="E1513" s="7" t="inlineStr">
        <is>
          <t>Adubação de Solo / Foliar</t>
        </is>
      </c>
      <c r="F1513" s="7" t="inlineStr">
        <is>
          <t>Cana-de-açúcar</t>
        </is>
      </c>
      <c r="G1513" s="7" t="inlineStr">
        <is>
          <t>Cultura Autorizada na Bula</t>
        </is>
      </c>
      <c r="H1513" s="7" t="inlineStr">
        <is>
          <t>100 a 300 L/ha</t>
        </is>
      </c>
      <c r="I1513" s="7" t="inlineStr">
        <is>
          <t>20 a 40 L/ha</t>
        </is>
      </c>
      <c r="J1513" s="7" t="inlineStr">
        <is>
          <t>Isento</t>
        </is>
      </c>
    </row>
    <row r="1514" ht="22" customHeight="1">
      <c r="A1514" s="12" t="inlineStr">
        <is>
          <t>CUL-1510</t>
        </is>
      </c>
      <c r="B1514" s="11" t="n">
        <v>302</v>
      </c>
      <c r="C1514" s="13" t="inlineStr">
        <is>
          <t>SIPEAGRO (UF-XXXXX)</t>
        </is>
      </c>
      <c r="D1514" s="14" t="inlineStr">
        <is>
          <t>AGCN MN+</t>
        </is>
      </c>
      <c r="E1514" s="13" t="inlineStr">
        <is>
          <t>Adubação de Solo / Foliar</t>
        </is>
      </c>
      <c r="F1514" s="13" t="inlineStr">
        <is>
          <t>Café</t>
        </is>
      </c>
      <c r="G1514" s="13" t="inlineStr">
        <is>
          <t>Cultura Autorizada na Bula</t>
        </is>
      </c>
      <c r="H1514" s="13" t="inlineStr">
        <is>
          <t>100 a 300 L/ha</t>
        </is>
      </c>
      <c r="I1514" s="13" t="inlineStr">
        <is>
          <t>20 a 40 L/ha</t>
        </is>
      </c>
      <c r="J1514" s="13" t="inlineStr">
        <is>
          <t>Isento</t>
        </is>
      </c>
    </row>
    <row r="1515" ht="22" customHeight="1">
      <c r="A1515" s="6" t="inlineStr">
        <is>
          <t>CUL-1511</t>
        </is>
      </c>
      <c r="B1515" s="5" t="n">
        <v>303</v>
      </c>
      <c r="C1515" s="7" t="inlineStr">
        <is>
          <t>SIPEAGRO (UF-XXXXX)</t>
        </is>
      </c>
      <c r="D1515" s="8" t="inlineStr">
        <is>
          <t>QUALY OCTOBORATO DE SODIO-E</t>
        </is>
      </c>
      <c r="E1515" s="7" t="inlineStr">
        <is>
          <t>Adubação de Solo / Foliar</t>
        </is>
      </c>
      <c r="F1515" s="7" t="inlineStr">
        <is>
          <t>Soja</t>
        </is>
      </c>
      <c r="G1515" s="7" t="inlineStr">
        <is>
          <t>Cultura Autorizada na Bula</t>
        </is>
      </c>
      <c r="H1515" s="7" t="inlineStr">
        <is>
          <t>100 a 300 L/ha</t>
        </is>
      </c>
      <c r="I1515" s="7" t="inlineStr">
        <is>
          <t>20 a 40 L/ha</t>
        </is>
      </c>
      <c r="J1515" s="7" t="inlineStr">
        <is>
          <t>Isento</t>
        </is>
      </c>
    </row>
    <row r="1516" ht="22" customHeight="1">
      <c r="A1516" s="12" t="inlineStr">
        <is>
          <t>CUL-1512</t>
        </is>
      </c>
      <c r="B1516" s="11" t="n">
        <v>303</v>
      </c>
      <c r="C1516" s="13" t="inlineStr">
        <is>
          <t>SIPEAGRO (UF-XXXXX)</t>
        </is>
      </c>
      <c r="D1516" s="14" t="inlineStr">
        <is>
          <t>QUALY OCTOBORATO DE SODIO-E</t>
        </is>
      </c>
      <c r="E1516" s="13" t="inlineStr">
        <is>
          <t>Adubação de Solo / Foliar</t>
        </is>
      </c>
      <c r="F1516" s="13" t="inlineStr">
        <is>
          <t>Milho</t>
        </is>
      </c>
      <c r="G1516" s="13" t="inlineStr">
        <is>
          <t>Cultura Autorizada na Bula</t>
        </is>
      </c>
      <c r="H1516" s="13" t="inlineStr">
        <is>
          <t>100 a 300 L/ha</t>
        </is>
      </c>
      <c r="I1516" s="13" t="inlineStr">
        <is>
          <t>20 a 40 L/ha</t>
        </is>
      </c>
      <c r="J1516" s="13" t="inlineStr">
        <is>
          <t>Isento</t>
        </is>
      </c>
    </row>
    <row r="1517" ht="22" customHeight="1">
      <c r="A1517" s="6" t="inlineStr">
        <is>
          <t>CUL-1513</t>
        </is>
      </c>
      <c r="B1517" s="5" t="n">
        <v>303</v>
      </c>
      <c r="C1517" s="7" t="inlineStr">
        <is>
          <t>SIPEAGRO (UF-XXXXX)</t>
        </is>
      </c>
      <c r="D1517" s="8" t="inlineStr">
        <is>
          <t>QUALY OCTOBORATO DE SODIO-E</t>
        </is>
      </c>
      <c r="E1517" s="7" t="inlineStr">
        <is>
          <t>Adubação de Solo / Foliar</t>
        </is>
      </c>
      <c r="F1517" s="7" t="inlineStr">
        <is>
          <t>Algodão</t>
        </is>
      </c>
      <c r="G1517" s="7" t="inlineStr">
        <is>
          <t>Cultura Autorizada na Bula</t>
        </is>
      </c>
      <c r="H1517" s="7" t="inlineStr">
        <is>
          <t>100 a 300 L/ha</t>
        </is>
      </c>
      <c r="I1517" s="7" t="inlineStr">
        <is>
          <t>20 a 40 L/ha</t>
        </is>
      </c>
      <c r="J1517" s="7" t="inlineStr">
        <is>
          <t>Isento</t>
        </is>
      </c>
    </row>
    <row r="1518" ht="22" customHeight="1">
      <c r="A1518" s="12" t="inlineStr">
        <is>
          <t>CUL-1514</t>
        </is>
      </c>
      <c r="B1518" s="11" t="n">
        <v>303</v>
      </c>
      <c r="C1518" s="13" t="inlineStr">
        <is>
          <t>SIPEAGRO (UF-XXXXX)</t>
        </is>
      </c>
      <c r="D1518" s="14" t="inlineStr">
        <is>
          <t>QUALY OCTOBORATO DE SODIO-E</t>
        </is>
      </c>
      <c r="E1518" s="13" t="inlineStr">
        <is>
          <t>Adubação de Solo / Foliar</t>
        </is>
      </c>
      <c r="F1518" s="13" t="inlineStr">
        <is>
          <t>Cana-de-açúcar</t>
        </is>
      </c>
      <c r="G1518" s="13" t="inlineStr">
        <is>
          <t>Cultura Autorizada na Bula</t>
        </is>
      </c>
      <c r="H1518" s="13" t="inlineStr">
        <is>
          <t>100 a 300 L/ha</t>
        </is>
      </c>
      <c r="I1518" s="13" t="inlineStr">
        <is>
          <t>20 a 40 L/ha</t>
        </is>
      </c>
      <c r="J1518" s="13" t="inlineStr">
        <is>
          <t>Isento</t>
        </is>
      </c>
    </row>
    <row r="1519" ht="22" customHeight="1">
      <c r="A1519" s="6" t="inlineStr">
        <is>
          <t>CUL-1515</t>
        </is>
      </c>
      <c r="B1519" s="5" t="n">
        <v>303</v>
      </c>
      <c r="C1519" s="7" t="inlineStr">
        <is>
          <t>SIPEAGRO (UF-XXXXX)</t>
        </is>
      </c>
      <c r="D1519" s="8" t="inlineStr">
        <is>
          <t>QUALY OCTOBORATO DE SODIO-E</t>
        </is>
      </c>
      <c r="E1519" s="7" t="inlineStr">
        <is>
          <t>Adubação de Solo / Foliar</t>
        </is>
      </c>
      <c r="F1519" s="7" t="inlineStr">
        <is>
          <t>Café</t>
        </is>
      </c>
      <c r="G1519" s="7" t="inlineStr">
        <is>
          <t>Cultura Autorizada na Bula</t>
        </is>
      </c>
      <c r="H1519" s="7" t="inlineStr">
        <is>
          <t>100 a 300 L/ha</t>
        </is>
      </c>
      <c r="I1519" s="7" t="inlineStr">
        <is>
          <t>20 a 40 L/ha</t>
        </is>
      </c>
      <c r="J1519" s="7" t="inlineStr">
        <is>
          <t>Isento</t>
        </is>
      </c>
    </row>
    <row r="1520" ht="22" customHeight="1">
      <c r="A1520" s="12" t="inlineStr">
        <is>
          <t>CUL-1516</t>
        </is>
      </c>
      <c r="B1520" s="11" t="n">
        <v>304</v>
      </c>
      <c r="C1520" s="13" t="inlineStr">
        <is>
          <t>ISENTO (ATO 104/2017)</t>
        </is>
      </c>
      <c r="D1520" s="14" t="inlineStr">
        <is>
          <t>FORMIATO DE POTASSIO 75%</t>
        </is>
      </c>
      <c r="E1520" s="13" t="inlineStr">
        <is>
          <t>Pulverização Agrícola Conforme Bula</t>
        </is>
      </c>
      <c r="F1520" s="13" t="inlineStr">
        <is>
          <t>Soja</t>
        </is>
      </c>
      <c r="G1520" s="13" t="inlineStr">
        <is>
          <t>Cultura Autorizada na Bula</t>
        </is>
      </c>
      <c r="H1520" s="13" t="inlineStr">
        <is>
          <t>100 a 300 L/ha</t>
        </is>
      </c>
      <c r="I1520" s="13" t="inlineStr">
        <is>
          <t>20 a 40 L/ha</t>
        </is>
      </c>
      <c r="J1520" s="13" t="inlineStr">
        <is>
          <t>21 dias</t>
        </is>
      </c>
    </row>
    <row r="1521" ht="22" customHeight="1">
      <c r="A1521" s="6" t="inlineStr">
        <is>
          <t>CUL-1517</t>
        </is>
      </c>
      <c r="B1521" s="5" t="n">
        <v>304</v>
      </c>
      <c r="C1521" s="7" t="inlineStr">
        <is>
          <t>ISENTO (ATO 104/2017)</t>
        </is>
      </c>
      <c r="D1521" s="8" t="inlineStr">
        <is>
          <t>FORMIATO DE POTASSIO 75%</t>
        </is>
      </c>
      <c r="E1521" s="7" t="inlineStr">
        <is>
          <t>Pulverização Agrícola Conforme Bula</t>
        </is>
      </c>
      <c r="F1521" s="7" t="inlineStr">
        <is>
          <t>Milho</t>
        </is>
      </c>
      <c r="G1521" s="7" t="inlineStr">
        <is>
          <t>Cultura Autorizada na Bula</t>
        </is>
      </c>
      <c r="H1521" s="7" t="inlineStr">
        <is>
          <t>100 a 300 L/ha</t>
        </is>
      </c>
      <c r="I1521" s="7" t="inlineStr">
        <is>
          <t>20 a 40 L/ha</t>
        </is>
      </c>
      <c r="J1521" s="7" t="inlineStr">
        <is>
          <t>21 dias</t>
        </is>
      </c>
    </row>
    <row r="1522" ht="22" customHeight="1">
      <c r="A1522" s="12" t="inlineStr">
        <is>
          <t>CUL-1518</t>
        </is>
      </c>
      <c r="B1522" s="11" t="n">
        <v>304</v>
      </c>
      <c r="C1522" s="13" t="inlineStr">
        <is>
          <t>ISENTO (ATO 104/2017)</t>
        </is>
      </c>
      <c r="D1522" s="14" t="inlineStr">
        <is>
          <t>FORMIATO DE POTASSIO 75%</t>
        </is>
      </c>
      <c r="E1522" s="13" t="inlineStr">
        <is>
          <t>Pulverização Agrícola Conforme Bula</t>
        </is>
      </c>
      <c r="F1522" s="13" t="inlineStr">
        <is>
          <t>Algodão</t>
        </is>
      </c>
      <c r="G1522" s="13" t="inlineStr">
        <is>
          <t>Cultura Autorizada na Bula</t>
        </is>
      </c>
      <c r="H1522" s="13" t="inlineStr">
        <is>
          <t>100 a 300 L/ha</t>
        </is>
      </c>
      <c r="I1522" s="13" t="inlineStr">
        <is>
          <t>20 a 40 L/ha</t>
        </is>
      </c>
      <c r="J1522" s="13" t="inlineStr">
        <is>
          <t>21 dias</t>
        </is>
      </c>
    </row>
    <row r="1523" ht="22" customHeight="1">
      <c r="A1523" s="6" t="inlineStr">
        <is>
          <t>CUL-1519</t>
        </is>
      </c>
      <c r="B1523" s="5" t="n">
        <v>304</v>
      </c>
      <c r="C1523" s="7" t="inlineStr">
        <is>
          <t>ISENTO (ATO 104/2017)</t>
        </is>
      </c>
      <c r="D1523" s="8" t="inlineStr">
        <is>
          <t>FORMIATO DE POTASSIO 75%</t>
        </is>
      </c>
      <c r="E1523" s="7" t="inlineStr">
        <is>
          <t>Pulverização Agrícola Conforme Bula</t>
        </is>
      </c>
      <c r="F1523" s="7" t="inlineStr">
        <is>
          <t>Feijão</t>
        </is>
      </c>
      <c r="G1523" s="7" t="inlineStr">
        <is>
          <t>Cultura Autorizada na Bula</t>
        </is>
      </c>
      <c r="H1523" s="7" t="inlineStr">
        <is>
          <t>100 a 300 L/ha</t>
        </is>
      </c>
      <c r="I1523" s="7" t="inlineStr">
        <is>
          <t>20 a 40 L/ha</t>
        </is>
      </c>
      <c r="J1523" s="7" t="inlineStr">
        <is>
          <t>14 dias</t>
        </is>
      </c>
    </row>
    <row r="1524" ht="22" customHeight="1">
      <c r="A1524" s="12" t="inlineStr">
        <is>
          <t>CUL-1520</t>
        </is>
      </c>
      <c r="B1524" s="11" t="n">
        <v>305</v>
      </c>
      <c r="C1524" s="13" t="inlineStr">
        <is>
          <t>ISENTO (ATO 104/2017)</t>
        </is>
      </c>
      <c r="D1524" s="14" t="inlineStr">
        <is>
          <t>FORMIATO DE CALCIO</t>
        </is>
      </c>
      <c r="E1524" s="13" t="inlineStr">
        <is>
          <t>Pulverização Agrícola Conforme Bula</t>
        </is>
      </c>
      <c r="F1524" s="13" t="inlineStr">
        <is>
          <t>Soja</t>
        </is>
      </c>
      <c r="G1524" s="13" t="inlineStr">
        <is>
          <t>Cultura Autorizada na Bula</t>
        </is>
      </c>
      <c r="H1524" s="13" t="inlineStr">
        <is>
          <t>100 a 300 L/ha</t>
        </is>
      </c>
      <c r="I1524" s="13" t="inlineStr">
        <is>
          <t>20 a 40 L/ha</t>
        </is>
      </c>
      <c r="J1524" s="13" t="inlineStr">
        <is>
          <t>21 dias</t>
        </is>
      </c>
    </row>
    <row r="1525" ht="22" customHeight="1">
      <c r="A1525" s="6" t="inlineStr">
        <is>
          <t>CUL-1521</t>
        </is>
      </c>
      <c r="B1525" s="5" t="n">
        <v>305</v>
      </c>
      <c r="C1525" s="7" t="inlineStr">
        <is>
          <t>ISENTO (ATO 104/2017)</t>
        </is>
      </c>
      <c r="D1525" s="8" t="inlineStr">
        <is>
          <t>FORMIATO DE CALCIO</t>
        </is>
      </c>
      <c r="E1525" s="7" t="inlineStr">
        <is>
          <t>Pulverização Agrícola Conforme Bula</t>
        </is>
      </c>
      <c r="F1525" s="7" t="inlineStr">
        <is>
          <t>Milho</t>
        </is>
      </c>
      <c r="G1525" s="7" t="inlineStr">
        <is>
          <t>Cultura Autorizada na Bula</t>
        </is>
      </c>
      <c r="H1525" s="7" t="inlineStr">
        <is>
          <t>100 a 300 L/ha</t>
        </is>
      </c>
      <c r="I1525" s="7" t="inlineStr">
        <is>
          <t>20 a 40 L/ha</t>
        </is>
      </c>
      <c r="J1525" s="7" t="inlineStr">
        <is>
          <t>21 dias</t>
        </is>
      </c>
    </row>
    <row r="1526" ht="22" customHeight="1">
      <c r="A1526" s="12" t="inlineStr">
        <is>
          <t>CUL-1522</t>
        </is>
      </c>
      <c r="B1526" s="11" t="n">
        <v>305</v>
      </c>
      <c r="C1526" s="13" t="inlineStr">
        <is>
          <t>ISENTO (ATO 104/2017)</t>
        </is>
      </c>
      <c r="D1526" s="14" t="inlineStr">
        <is>
          <t>FORMIATO DE CALCIO</t>
        </is>
      </c>
      <c r="E1526" s="13" t="inlineStr">
        <is>
          <t>Pulverização Agrícola Conforme Bula</t>
        </is>
      </c>
      <c r="F1526" s="13" t="inlineStr">
        <is>
          <t>Algodão</t>
        </is>
      </c>
      <c r="G1526" s="13" t="inlineStr">
        <is>
          <t>Cultura Autorizada na Bula</t>
        </is>
      </c>
      <c r="H1526" s="13" t="inlineStr">
        <is>
          <t>100 a 300 L/ha</t>
        </is>
      </c>
      <c r="I1526" s="13" t="inlineStr">
        <is>
          <t>20 a 40 L/ha</t>
        </is>
      </c>
      <c r="J1526" s="13" t="inlineStr">
        <is>
          <t>21 dias</t>
        </is>
      </c>
    </row>
    <row r="1527" ht="22" customHeight="1">
      <c r="A1527" s="6" t="inlineStr">
        <is>
          <t>CUL-1523</t>
        </is>
      </c>
      <c r="B1527" s="5" t="n">
        <v>305</v>
      </c>
      <c r="C1527" s="7" t="inlineStr">
        <is>
          <t>ISENTO (ATO 104/2017)</t>
        </is>
      </c>
      <c r="D1527" s="8" t="inlineStr">
        <is>
          <t>FORMIATO DE CALCIO</t>
        </is>
      </c>
      <c r="E1527" s="7" t="inlineStr">
        <is>
          <t>Pulverização Agrícola Conforme Bula</t>
        </is>
      </c>
      <c r="F1527" s="7" t="inlineStr">
        <is>
          <t>Feijão</t>
        </is>
      </c>
      <c r="G1527" s="7" t="inlineStr">
        <is>
          <t>Cultura Autorizada na Bula</t>
        </is>
      </c>
      <c r="H1527" s="7" t="inlineStr">
        <is>
          <t>100 a 300 L/ha</t>
        </is>
      </c>
      <c r="I1527" s="7" t="inlineStr">
        <is>
          <t>20 a 40 L/ha</t>
        </is>
      </c>
      <c r="J1527" s="7" t="inlineStr">
        <is>
          <t>14 dias</t>
        </is>
      </c>
    </row>
    <row r="1528" ht="22" customHeight="1">
      <c r="A1528" s="12" t="inlineStr">
        <is>
          <t>CUL-1524</t>
        </is>
      </c>
      <c r="B1528" s="11" t="n">
        <v>306</v>
      </c>
      <c r="C1528" s="13" t="inlineStr">
        <is>
          <t>SIPEAGRO (UF-XXXXX)</t>
        </is>
      </c>
      <c r="D1528" s="14" t="inlineStr">
        <is>
          <t>PREBIOTIC GL</t>
        </is>
      </c>
      <c r="E1528" s="13" t="inlineStr">
        <is>
          <t>Adubação de Solo / Foliar</t>
        </is>
      </c>
      <c r="F1528" s="13" t="inlineStr">
        <is>
          <t>Soja</t>
        </is>
      </c>
      <c r="G1528" s="13" t="inlineStr">
        <is>
          <t>Cultura Autorizada na Bula</t>
        </is>
      </c>
      <c r="H1528" s="13" t="inlineStr">
        <is>
          <t>100 a 300 L/ha</t>
        </is>
      </c>
      <c r="I1528" s="13" t="inlineStr">
        <is>
          <t>20 a 40 L/ha</t>
        </is>
      </c>
      <c r="J1528" s="13" t="inlineStr">
        <is>
          <t>Isento</t>
        </is>
      </c>
    </row>
    <row r="1529" ht="22" customHeight="1">
      <c r="A1529" s="6" t="inlineStr">
        <is>
          <t>CUL-1525</t>
        </is>
      </c>
      <c r="B1529" s="5" t="n">
        <v>306</v>
      </c>
      <c r="C1529" s="7" t="inlineStr">
        <is>
          <t>SIPEAGRO (UF-XXXXX)</t>
        </is>
      </c>
      <c r="D1529" s="8" t="inlineStr">
        <is>
          <t>PREBIOTIC GL</t>
        </is>
      </c>
      <c r="E1529" s="7" t="inlineStr">
        <is>
          <t>Adubação de Solo / Foliar</t>
        </is>
      </c>
      <c r="F1529" s="7" t="inlineStr">
        <is>
          <t>Milho</t>
        </is>
      </c>
      <c r="G1529" s="7" t="inlineStr">
        <is>
          <t>Cultura Autorizada na Bula</t>
        </is>
      </c>
      <c r="H1529" s="7" t="inlineStr">
        <is>
          <t>100 a 300 L/ha</t>
        </is>
      </c>
      <c r="I1529" s="7" t="inlineStr">
        <is>
          <t>20 a 40 L/ha</t>
        </is>
      </c>
      <c r="J1529" s="7" t="inlineStr">
        <is>
          <t>Isento</t>
        </is>
      </c>
    </row>
    <row r="1530" ht="22" customHeight="1">
      <c r="A1530" s="12" t="inlineStr">
        <is>
          <t>CUL-1526</t>
        </is>
      </c>
      <c r="B1530" s="11" t="n">
        <v>306</v>
      </c>
      <c r="C1530" s="13" t="inlineStr">
        <is>
          <t>SIPEAGRO (UF-XXXXX)</t>
        </is>
      </c>
      <c r="D1530" s="14" t="inlineStr">
        <is>
          <t>PREBIOTIC GL</t>
        </is>
      </c>
      <c r="E1530" s="13" t="inlineStr">
        <is>
          <t>Adubação de Solo / Foliar</t>
        </is>
      </c>
      <c r="F1530" s="13" t="inlineStr">
        <is>
          <t>Algodão</t>
        </is>
      </c>
      <c r="G1530" s="13" t="inlineStr">
        <is>
          <t>Cultura Autorizada na Bula</t>
        </is>
      </c>
      <c r="H1530" s="13" t="inlineStr">
        <is>
          <t>100 a 300 L/ha</t>
        </is>
      </c>
      <c r="I1530" s="13" t="inlineStr">
        <is>
          <t>20 a 40 L/ha</t>
        </is>
      </c>
      <c r="J1530" s="13" t="inlineStr">
        <is>
          <t>Isento</t>
        </is>
      </c>
    </row>
    <row r="1531" ht="22" customHeight="1">
      <c r="A1531" s="6" t="inlineStr">
        <is>
          <t>CUL-1527</t>
        </is>
      </c>
      <c r="B1531" s="5" t="n">
        <v>306</v>
      </c>
      <c r="C1531" s="7" t="inlineStr">
        <is>
          <t>SIPEAGRO (UF-XXXXX)</t>
        </is>
      </c>
      <c r="D1531" s="8" t="inlineStr">
        <is>
          <t>PREBIOTIC GL</t>
        </is>
      </c>
      <c r="E1531" s="7" t="inlineStr">
        <is>
          <t>Adubação de Solo / Foliar</t>
        </is>
      </c>
      <c r="F1531" s="7" t="inlineStr">
        <is>
          <t>Cana-de-açúcar</t>
        </is>
      </c>
      <c r="G1531" s="7" t="inlineStr">
        <is>
          <t>Cultura Autorizada na Bula</t>
        </is>
      </c>
      <c r="H1531" s="7" t="inlineStr">
        <is>
          <t>100 a 300 L/ha</t>
        </is>
      </c>
      <c r="I1531" s="7" t="inlineStr">
        <is>
          <t>20 a 40 L/ha</t>
        </is>
      </c>
      <c r="J1531" s="7" t="inlineStr">
        <is>
          <t>Isento</t>
        </is>
      </c>
    </row>
    <row r="1532" ht="22" customHeight="1">
      <c r="A1532" s="12" t="inlineStr">
        <is>
          <t>CUL-1528</t>
        </is>
      </c>
      <c r="B1532" s="11" t="n">
        <v>306</v>
      </c>
      <c r="C1532" s="13" t="inlineStr">
        <is>
          <t>SIPEAGRO (UF-XXXXX)</t>
        </is>
      </c>
      <c r="D1532" s="14" t="inlineStr">
        <is>
          <t>PREBIOTIC GL</t>
        </is>
      </c>
      <c r="E1532" s="13" t="inlineStr">
        <is>
          <t>Adubação de Solo / Foliar</t>
        </is>
      </c>
      <c r="F1532" s="13" t="inlineStr">
        <is>
          <t>Café</t>
        </is>
      </c>
      <c r="G1532" s="13" t="inlineStr">
        <is>
          <t>Cultura Autorizada na Bula</t>
        </is>
      </c>
      <c r="H1532" s="13" t="inlineStr">
        <is>
          <t>100 a 300 L/ha</t>
        </is>
      </c>
      <c r="I1532" s="13" t="inlineStr">
        <is>
          <t>20 a 40 L/ha</t>
        </is>
      </c>
      <c r="J1532" s="13" t="inlineStr">
        <is>
          <t>Isento</t>
        </is>
      </c>
    </row>
    <row r="1533" ht="22" customHeight="1">
      <c r="A1533" s="6" t="inlineStr">
        <is>
          <t>CUL-1529</t>
        </is>
      </c>
      <c r="B1533" s="5" t="n">
        <v>307</v>
      </c>
      <c r="C1533" s="7" t="inlineStr">
        <is>
          <t>SIPEAGRO (UF-XXXXX)</t>
        </is>
      </c>
      <c r="D1533" s="8" t="inlineStr">
        <is>
          <t>SMARTSOIL WP</t>
        </is>
      </c>
      <c r="E1533" s="7" t="inlineStr">
        <is>
          <t>Adubação de Solo / Foliar</t>
        </is>
      </c>
      <c r="F1533" s="7" t="inlineStr">
        <is>
          <t>Soja</t>
        </is>
      </c>
      <c r="G1533" s="7" t="inlineStr">
        <is>
          <t>Cultura Autorizada na Bula</t>
        </is>
      </c>
      <c r="H1533" s="7" t="inlineStr">
        <is>
          <t>100 a 300 L/ha</t>
        </is>
      </c>
      <c r="I1533" s="7" t="inlineStr">
        <is>
          <t>20 a 40 L/ha</t>
        </is>
      </c>
      <c r="J1533" s="7" t="inlineStr">
        <is>
          <t>Isento</t>
        </is>
      </c>
    </row>
    <row r="1534" ht="22" customHeight="1">
      <c r="A1534" s="12" t="inlineStr">
        <is>
          <t>CUL-1530</t>
        </is>
      </c>
      <c r="B1534" s="11" t="n">
        <v>307</v>
      </c>
      <c r="C1534" s="13" t="inlineStr">
        <is>
          <t>SIPEAGRO (UF-XXXXX)</t>
        </is>
      </c>
      <c r="D1534" s="14" t="inlineStr">
        <is>
          <t>SMARTSOIL WP</t>
        </is>
      </c>
      <c r="E1534" s="13" t="inlineStr">
        <is>
          <t>Adubação de Solo / Foliar</t>
        </is>
      </c>
      <c r="F1534" s="13" t="inlineStr">
        <is>
          <t>Milho</t>
        </is>
      </c>
      <c r="G1534" s="13" t="inlineStr">
        <is>
          <t>Cultura Autorizada na Bula</t>
        </is>
      </c>
      <c r="H1534" s="13" t="inlineStr">
        <is>
          <t>100 a 300 L/ha</t>
        </is>
      </c>
      <c r="I1534" s="13" t="inlineStr">
        <is>
          <t>20 a 40 L/ha</t>
        </is>
      </c>
      <c r="J1534" s="13" t="inlineStr">
        <is>
          <t>Isento</t>
        </is>
      </c>
    </row>
    <row r="1535" ht="22" customHeight="1">
      <c r="A1535" s="6" t="inlineStr">
        <is>
          <t>CUL-1531</t>
        </is>
      </c>
      <c r="B1535" s="5" t="n">
        <v>307</v>
      </c>
      <c r="C1535" s="7" t="inlineStr">
        <is>
          <t>SIPEAGRO (UF-XXXXX)</t>
        </is>
      </c>
      <c r="D1535" s="8" t="inlineStr">
        <is>
          <t>SMARTSOIL WP</t>
        </is>
      </c>
      <c r="E1535" s="7" t="inlineStr">
        <is>
          <t>Adubação de Solo / Foliar</t>
        </is>
      </c>
      <c r="F1535" s="7" t="inlineStr">
        <is>
          <t>Algodão</t>
        </is>
      </c>
      <c r="G1535" s="7" t="inlineStr">
        <is>
          <t>Cultura Autorizada na Bula</t>
        </is>
      </c>
      <c r="H1535" s="7" t="inlineStr">
        <is>
          <t>100 a 300 L/ha</t>
        </is>
      </c>
      <c r="I1535" s="7" t="inlineStr">
        <is>
          <t>20 a 40 L/ha</t>
        </is>
      </c>
      <c r="J1535" s="7" t="inlineStr">
        <is>
          <t>Isento</t>
        </is>
      </c>
    </row>
    <row r="1536" ht="22" customHeight="1">
      <c r="A1536" s="12" t="inlineStr">
        <is>
          <t>CUL-1532</t>
        </is>
      </c>
      <c r="B1536" s="11" t="n">
        <v>307</v>
      </c>
      <c r="C1536" s="13" t="inlineStr">
        <is>
          <t>SIPEAGRO (UF-XXXXX)</t>
        </is>
      </c>
      <c r="D1536" s="14" t="inlineStr">
        <is>
          <t>SMARTSOIL WP</t>
        </is>
      </c>
      <c r="E1536" s="13" t="inlineStr">
        <is>
          <t>Adubação de Solo / Foliar</t>
        </is>
      </c>
      <c r="F1536" s="13" t="inlineStr">
        <is>
          <t>Cana-de-açúcar</t>
        </is>
      </c>
      <c r="G1536" s="13" t="inlineStr">
        <is>
          <t>Cultura Autorizada na Bula</t>
        </is>
      </c>
      <c r="H1536" s="13" t="inlineStr">
        <is>
          <t>100 a 300 L/ha</t>
        </is>
      </c>
      <c r="I1536" s="13" t="inlineStr">
        <is>
          <t>20 a 40 L/ha</t>
        </is>
      </c>
      <c r="J1536" s="13" t="inlineStr">
        <is>
          <t>Isento</t>
        </is>
      </c>
    </row>
    <row r="1537" ht="22" customHeight="1">
      <c r="A1537" s="6" t="inlineStr">
        <is>
          <t>CUL-1533</t>
        </is>
      </c>
      <c r="B1537" s="5" t="n">
        <v>307</v>
      </c>
      <c r="C1537" s="7" t="inlineStr">
        <is>
          <t>SIPEAGRO (UF-XXXXX)</t>
        </is>
      </c>
      <c r="D1537" s="8" t="inlineStr">
        <is>
          <t>SMARTSOIL WP</t>
        </is>
      </c>
      <c r="E1537" s="7" t="inlineStr">
        <is>
          <t>Adubação de Solo / Foliar</t>
        </is>
      </c>
      <c r="F1537" s="7" t="inlineStr">
        <is>
          <t>Café</t>
        </is>
      </c>
      <c r="G1537" s="7" t="inlineStr">
        <is>
          <t>Cultura Autorizada na Bula</t>
        </is>
      </c>
      <c r="H1537" s="7" t="inlineStr">
        <is>
          <t>100 a 300 L/ha</t>
        </is>
      </c>
      <c r="I1537" s="7" t="inlineStr">
        <is>
          <t>20 a 40 L/ha</t>
        </is>
      </c>
      <c r="J1537" s="7" t="inlineStr">
        <is>
          <t>Isento</t>
        </is>
      </c>
    </row>
    <row r="1538" ht="22" customHeight="1">
      <c r="A1538" s="12" t="inlineStr">
        <is>
          <t>CUL-1534</t>
        </is>
      </c>
      <c r="B1538" s="11" t="n">
        <v>308</v>
      </c>
      <c r="C1538" s="13" t="inlineStr">
        <is>
          <t>SIPEAGRO (UF-XXXXX)</t>
        </is>
      </c>
      <c r="D1538" s="14" t="inlineStr">
        <is>
          <t>AGCN MANGANES</t>
        </is>
      </c>
      <c r="E1538" s="13" t="inlineStr">
        <is>
          <t>Adubação de Solo / Foliar</t>
        </is>
      </c>
      <c r="F1538" s="13" t="inlineStr">
        <is>
          <t>Soja</t>
        </is>
      </c>
      <c r="G1538" s="13" t="inlineStr">
        <is>
          <t>Cultura Autorizada na Bula</t>
        </is>
      </c>
      <c r="H1538" s="13" t="inlineStr">
        <is>
          <t>100 a 300 L/ha</t>
        </is>
      </c>
      <c r="I1538" s="13" t="inlineStr">
        <is>
          <t>20 a 40 L/ha</t>
        </is>
      </c>
      <c r="J1538" s="13" t="inlineStr">
        <is>
          <t>Isento</t>
        </is>
      </c>
    </row>
    <row r="1539" ht="22" customHeight="1">
      <c r="A1539" s="6" t="inlineStr">
        <is>
          <t>CUL-1535</t>
        </is>
      </c>
      <c r="B1539" s="5" t="n">
        <v>308</v>
      </c>
      <c r="C1539" s="7" t="inlineStr">
        <is>
          <t>SIPEAGRO (UF-XXXXX)</t>
        </is>
      </c>
      <c r="D1539" s="8" t="inlineStr">
        <is>
          <t>AGCN MANGANES</t>
        </is>
      </c>
      <c r="E1539" s="7" t="inlineStr">
        <is>
          <t>Adubação de Solo / Foliar</t>
        </is>
      </c>
      <c r="F1539" s="7" t="inlineStr">
        <is>
          <t>Milho</t>
        </is>
      </c>
      <c r="G1539" s="7" t="inlineStr">
        <is>
          <t>Cultura Autorizada na Bula</t>
        </is>
      </c>
      <c r="H1539" s="7" t="inlineStr">
        <is>
          <t>100 a 300 L/ha</t>
        </is>
      </c>
      <c r="I1539" s="7" t="inlineStr">
        <is>
          <t>20 a 40 L/ha</t>
        </is>
      </c>
      <c r="J1539" s="7" t="inlineStr">
        <is>
          <t>Isento</t>
        </is>
      </c>
    </row>
    <row r="1540" ht="22" customHeight="1">
      <c r="A1540" s="12" t="inlineStr">
        <is>
          <t>CUL-1536</t>
        </is>
      </c>
      <c r="B1540" s="11" t="n">
        <v>308</v>
      </c>
      <c r="C1540" s="13" t="inlineStr">
        <is>
          <t>SIPEAGRO (UF-XXXXX)</t>
        </is>
      </c>
      <c r="D1540" s="14" t="inlineStr">
        <is>
          <t>AGCN MANGANES</t>
        </is>
      </c>
      <c r="E1540" s="13" t="inlineStr">
        <is>
          <t>Adubação de Solo / Foliar</t>
        </is>
      </c>
      <c r="F1540" s="13" t="inlineStr">
        <is>
          <t>Algodão</t>
        </is>
      </c>
      <c r="G1540" s="13" t="inlineStr">
        <is>
          <t>Cultura Autorizada na Bula</t>
        </is>
      </c>
      <c r="H1540" s="13" t="inlineStr">
        <is>
          <t>100 a 300 L/ha</t>
        </is>
      </c>
      <c r="I1540" s="13" t="inlineStr">
        <is>
          <t>20 a 40 L/ha</t>
        </is>
      </c>
      <c r="J1540" s="13" t="inlineStr">
        <is>
          <t>Isento</t>
        </is>
      </c>
    </row>
    <row r="1541" ht="22" customHeight="1">
      <c r="A1541" s="6" t="inlineStr">
        <is>
          <t>CUL-1537</t>
        </is>
      </c>
      <c r="B1541" s="5" t="n">
        <v>308</v>
      </c>
      <c r="C1541" s="7" t="inlineStr">
        <is>
          <t>SIPEAGRO (UF-XXXXX)</t>
        </is>
      </c>
      <c r="D1541" s="8" t="inlineStr">
        <is>
          <t>AGCN MANGANES</t>
        </is>
      </c>
      <c r="E1541" s="7" t="inlineStr">
        <is>
          <t>Adubação de Solo / Foliar</t>
        </is>
      </c>
      <c r="F1541" s="7" t="inlineStr">
        <is>
          <t>Cana-de-açúcar</t>
        </is>
      </c>
      <c r="G1541" s="7" t="inlineStr">
        <is>
          <t>Cultura Autorizada na Bula</t>
        </is>
      </c>
      <c r="H1541" s="7" t="inlineStr">
        <is>
          <t>100 a 300 L/ha</t>
        </is>
      </c>
      <c r="I1541" s="7" t="inlineStr">
        <is>
          <t>20 a 40 L/ha</t>
        </is>
      </c>
      <c r="J1541" s="7" t="inlineStr">
        <is>
          <t>Isento</t>
        </is>
      </c>
    </row>
    <row r="1542" ht="22" customHeight="1">
      <c r="A1542" s="12" t="inlineStr">
        <is>
          <t>CUL-1538</t>
        </is>
      </c>
      <c r="B1542" s="11" t="n">
        <v>308</v>
      </c>
      <c r="C1542" s="13" t="inlineStr">
        <is>
          <t>SIPEAGRO (UF-XXXXX)</t>
        </is>
      </c>
      <c r="D1542" s="14" t="inlineStr">
        <is>
          <t>AGCN MANGANES</t>
        </is>
      </c>
      <c r="E1542" s="13" t="inlineStr">
        <is>
          <t>Adubação de Solo / Foliar</t>
        </is>
      </c>
      <c r="F1542" s="13" t="inlineStr">
        <is>
          <t>Café</t>
        </is>
      </c>
      <c r="G1542" s="13" t="inlineStr">
        <is>
          <t>Cultura Autorizada na Bula</t>
        </is>
      </c>
      <c r="H1542" s="13" t="inlineStr">
        <is>
          <t>100 a 300 L/ha</t>
        </is>
      </c>
      <c r="I1542" s="13" t="inlineStr">
        <is>
          <t>20 a 40 L/ha</t>
        </is>
      </c>
      <c r="J1542" s="13" t="inlineStr">
        <is>
          <t>Isento</t>
        </is>
      </c>
    </row>
    <row r="1543" ht="22" customHeight="1">
      <c r="A1543" s="6" t="inlineStr">
        <is>
          <t>CUL-1539</t>
        </is>
      </c>
      <c r="B1543" s="5" t="n">
        <v>309</v>
      </c>
      <c r="C1543" s="7" t="inlineStr">
        <is>
          <t>Nº 11819</t>
        </is>
      </c>
      <c r="D1543" s="8" t="inlineStr">
        <is>
          <t>MANCOZEB 800 WP AGCN</t>
        </is>
      </c>
      <c r="E1543" s="7" t="inlineStr">
        <is>
          <t>Pulverização Agrícola Conforme Bula</t>
        </is>
      </c>
      <c r="F1543" s="7" t="inlineStr">
        <is>
          <t>Soja</t>
        </is>
      </c>
      <c r="G1543" s="7" t="inlineStr">
        <is>
          <t>Cultura Autorizada na Bula</t>
        </is>
      </c>
      <c r="H1543" s="7" t="inlineStr">
        <is>
          <t>100 a 300 L/ha</t>
        </is>
      </c>
      <c r="I1543" s="7" t="inlineStr">
        <is>
          <t>20 a 40 L/ha</t>
        </is>
      </c>
      <c r="J1543" s="7" t="inlineStr">
        <is>
          <t>21 dias</t>
        </is>
      </c>
    </row>
    <row r="1544" ht="22" customHeight="1">
      <c r="A1544" s="12" t="inlineStr">
        <is>
          <t>CUL-1540</t>
        </is>
      </c>
      <c r="B1544" s="11" t="n">
        <v>309</v>
      </c>
      <c r="C1544" s="13" t="inlineStr">
        <is>
          <t>Nº 11819</t>
        </is>
      </c>
      <c r="D1544" s="14" t="inlineStr">
        <is>
          <t>MANCOZEB 800 WP AGCN</t>
        </is>
      </c>
      <c r="E1544" s="13" t="inlineStr">
        <is>
          <t>Pulverização Agrícola Conforme Bula</t>
        </is>
      </c>
      <c r="F1544" s="13" t="inlineStr">
        <is>
          <t>Algodão</t>
        </is>
      </c>
      <c r="G1544" s="13" t="inlineStr">
        <is>
          <t>Cultura Autorizada na Bula</t>
        </is>
      </c>
      <c r="H1544" s="13" t="inlineStr">
        <is>
          <t>100 a 300 L/ha</t>
        </is>
      </c>
      <c r="I1544" s="13" t="inlineStr">
        <is>
          <t>20 a 40 L/ha</t>
        </is>
      </c>
      <c r="J1544" s="13" t="inlineStr">
        <is>
          <t>21 dias</t>
        </is>
      </c>
    </row>
    <row r="1545" ht="22" customHeight="1">
      <c r="A1545" s="6" t="inlineStr">
        <is>
          <t>CUL-1541</t>
        </is>
      </c>
      <c r="B1545" s="5" t="n">
        <v>309</v>
      </c>
      <c r="C1545" s="7" t="inlineStr">
        <is>
          <t>Nº 11819</t>
        </is>
      </c>
      <c r="D1545" s="8" t="inlineStr">
        <is>
          <t>MANCOZEB 800 WP AGCN</t>
        </is>
      </c>
      <c r="E1545" s="7" t="inlineStr">
        <is>
          <t>Pulverização Agrícola Conforme Bula</t>
        </is>
      </c>
      <c r="F1545" s="7" t="inlineStr">
        <is>
          <t>Café</t>
        </is>
      </c>
      <c r="G1545" s="7" t="inlineStr">
        <is>
          <t>Cultura Autorizada na Bula</t>
        </is>
      </c>
      <c r="H1545" s="7" t="inlineStr">
        <is>
          <t>100 a 300 L/ha</t>
        </is>
      </c>
      <c r="I1545" s="7" t="inlineStr">
        <is>
          <t>20 a 40 L/ha</t>
        </is>
      </c>
      <c r="J1545" s="7" t="inlineStr">
        <is>
          <t>21 dias</t>
        </is>
      </c>
    </row>
    <row r="1546" ht="22" customHeight="1">
      <c r="A1546" s="12" t="inlineStr">
        <is>
          <t>CUL-1542</t>
        </is>
      </c>
      <c r="B1546" s="11" t="n">
        <v>309</v>
      </c>
      <c r="C1546" s="13" t="inlineStr">
        <is>
          <t>Nº 11819</t>
        </is>
      </c>
      <c r="D1546" s="14" t="inlineStr">
        <is>
          <t>MANCOZEB 800 WP AGCN</t>
        </is>
      </c>
      <c r="E1546" s="13" t="inlineStr">
        <is>
          <t>Pulverização Agrícola Conforme Bula</t>
        </is>
      </c>
      <c r="F1546" s="13" t="inlineStr">
        <is>
          <t>Feijão</t>
        </is>
      </c>
      <c r="G1546" s="13" t="inlineStr">
        <is>
          <t>Cultura Autorizada na Bula</t>
        </is>
      </c>
      <c r="H1546" s="13" t="inlineStr">
        <is>
          <t>100 a 300 L/ha</t>
        </is>
      </c>
      <c r="I1546" s="13" t="inlineStr">
        <is>
          <t>20 a 40 L/ha</t>
        </is>
      </c>
      <c r="J1546" s="13" t="inlineStr">
        <is>
          <t>14 dias</t>
        </is>
      </c>
    </row>
    <row r="1547" ht="22" customHeight="1">
      <c r="A1547" s="6" t="inlineStr">
        <is>
          <t>CUL-1543</t>
        </is>
      </c>
      <c r="B1547" s="5" t="n">
        <v>309</v>
      </c>
      <c r="C1547" s="7" t="inlineStr">
        <is>
          <t>Nº 11819</t>
        </is>
      </c>
      <c r="D1547" s="8" t="inlineStr">
        <is>
          <t>MANCOZEB 800 WP AGCN</t>
        </is>
      </c>
      <c r="E1547" s="7" t="inlineStr">
        <is>
          <t>Pulverização Agrícola Conforme Bula</t>
        </is>
      </c>
      <c r="F1547" s="7" t="inlineStr">
        <is>
          <t>Milho</t>
        </is>
      </c>
      <c r="G1547" s="7" t="inlineStr">
        <is>
          <t>Cultura Autorizada na Bula</t>
        </is>
      </c>
      <c r="H1547" s="7" t="inlineStr">
        <is>
          <t>100 a 300 L/ha</t>
        </is>
      </c>
      <c r="I1547" s="7" t="inlineStr">
        <is>
          <t>20 a 40 L/ha</t>
        </is>
      </c>
      <c r="J1547" s="7" t="inlineStr">
        <is>
          <t>21 dias</t>
        </is>
      </c>
    </row>
    <row r="1548" ht="22" customHeight="1">
      <c r="A1548" s="12" t="inlineStr">
        <is>
          <t>CUL-1544</t>
        </is>
      </c>
      <c r="B1548" s="11" t="n">
        <v>309</v>
      </c>
      <c r="C1548" s="13" t="inlineStr">
        <is>
          <t>Nº 11819</t>
        </is>
      </c>
      <c r="D1548" s="14" t="inlineStr">
        <is>
          <t>MANCOZEB 800 WP AGCN</t>
        </is>
      </c>
      <c r="E1548" s="13" t="inlineStr">
        <is>
          <t>Pulverização Agrícola Conforme Bula</t>
        </is>
      </c>
      <c r="F1548" s="13" t="inlineStr">
        <is>
          <t>Batata</t>
        </is>
      </c>
      <c r="G1548" s="13" t="inlineStr">
        <is>
          <t>Cultura Autorizada na Bula</t>
        </is>
      </c>
      <c r="H1548" s="13" t="inlineStr">
        <is>
          <t>100 a 300 L/ha</t>
        </is>
      </c>
      <c r="I1548" s="13" t="inlineStr">
        <is>
          <t>20 a 40 L/ha</t>
        </is>
      </c>
      <c r="J1548" s="13" t="inlineStr">
        <is>
          <t>7 dias</t>
        </is>
      </c>
    </row>
    <row r="1549" ht="22" customHeight="1">
      <c r="A1549" s="6" t="inlineStr">
        <is>
          <t>CUL-1545</t>
        </is>
      </c>
      <c r="B1549" s="5" t="n">
        <v>309</v>
      </c>
      <c r="C1549" s="7" t="inlineStr">
        <is>
          <t>Nº 11819</t>
        </is>
      </c>
      <c r="D1549" s="8" t="inlineStr">
        <is>
          <t>MANCOZEB 800 WP AGCN</t>
        </is>
      </c>
      <c r="E1549" s="7" t="inlineStr">
        <is>
          <t>Pulverização Agrícola Conforme Bula</t>
        </is>
      </c>
      <c r="F1549" s="7" t="inlineStr">
        <is>
          <t>Tomate</t>
        </is>
      </c>
      <c r="G1549" s="7" t="inlineStr">
        <is>
          <t>Cultura Autorizada na Bula</t>
        </is>
      </c>
      <c r="H1549" s="7" t="inlineStr">
        <is>
          <t>100 a 300 L/ha</t>
        </is>
      </c>
      <c r="I1549" s="7" t="inlineStr">
        <is>
          <t>20 a 40 L/ha</t>
        </is>
      </c>
      <c r="J1549" s="7" t="inlineStr">
        <is>
          <t>7 dias</t>
        </is>
      </c>
    </row>
    <row r="1550" ht="22" customHeight="1">
      <c r="A1550" s="12" t="inlineStr">
        <is>
          <t>CUL-1546</t>
        </is>
      </c>
      <c r="B1550" s="11" t="n">
        <v>309</v>
      </c>
      <c r="C1550" s="13" t="inlineStr">
        <is>
          <t>Nº 11819</t>
        </is>
      </c>
      <c r="D1550" s="14" t="inlineStr">
        <is>
          <t>MANCOZEB 800 WP AGCN</t>
        </is>
      </c>
      <c r="E1550" s="13" t="inlineStr">
        <is>
          <t>Pulverização Agrícola Conforme Bula</t>
        </is>
      </c>
      <c r="F1550" s="13" t="inlineStr">
        <is>
          <t>Trigo</t>
        </is>
      </c>
      <c r="G1550" s="13" t="inlineStr">
        <is>
          <t>Cultura Autorizada na Bula</t>
        </is>
      </c>
      <c r="H1550" s="13" t="inlineStr">
        <is>
          <t>100 a 300 L/ha</t>
        </is>
      </c>
      <c r="I1550" s="13" t="inlineStr">
        <is>
          <t>20 a 40 L/ha</t>
        </is>
      </c>
      <c r="J1550" s="13" t="inlineStr">
        <is>
          <t>21 dias</t>
        </is>
      </c>
    </row>
    <row r="1551" ht="22" customHeight="1">
      <c r="A1551" s="6" t="inlineStr">
        <is>
          <t>CUL-1547</t>
        </is>
      </c>
      <c r="B1551" s="5" t="n">
        <v>310</v>
      </c>
      <c r="C1551" s="7" t="inlineStr">
        <is>
          <t>Nº 11819</t>
        </is>
      </c>
      <c r="D1551" s="8" t="inlineStr">
        <is>
          <t>MANCOZEB 800 WP AGCN</t>
        </is>
      </c>
      <c r="E1551" s="7" t="inlineStr">
        <is>
          <t>Pulverização Agrícola Conforme Bula</t>
        </is>
      </c>
      <c r="F1551" s="7" t="inlineStr">
        <is>
          <t>Soja</t>
        </is>
      </c>
      <c r="G1551" s="7" t="inlineStr">
        <is>
          <t>Cultura Autorizada na Bula</t>
        </is>
      </c>
      <c r="H1551" s="7" t="inlineStr">
        <is>
          <t>100 a 300 L/ha</t>
        </is>
      </c>
      <c r="I1551" s="7" t="inlineStr">
        <is>
          <t>20 a 40 L/ha</t>
        </is>
      </c>
      <c r="J1551" s="7" t="inlineStr">
        <is>
          <t>21 dias</t>
        </is>
      </c>
    </row>
    <row r="1552" ht="22" customHeight="1">
      <c r="A1552" s="12" t="inlineStr">
        <is>
          <t>CUL-1548</t>
        </is>
      </c>
      <c r="B1552" s="11" t="n">
        <v>310</v>
      </c>
      <c r="C1552" s="13" t="inlineStr">
        <is>
          <t>Nº 11819</t>
        </is>
      </c>
      <c r="D1552" s="14" t="inlineStr">
        <is>
          <t>MANCOZEB 800 WP AGCN</t>
        </is>
      </c>
      <c r="E1552" s="13" t="inlineStr">
        <is>
          <t>Pulverização Agrícola Conforme Bula</t>
        </is>
      </c>
      <c r="F1552" s="13" t="inlineStr">
        <is>
          <t>Algodão</t>
        </is>
      </c>
      <c r="G1552" s="13" t="inlineStr">
        <is>
          <t>Cultura Autorizada na Bula</t>
        </is>
      </c>
      <c r="H1552" s="13" t="inlineStr">
        <is>
          <t>100 a 300 L/ha</t>
        </is>
      </c>
      <c r="I1552" s="13" t="inlineStr">
        <is>
          <t>20 a 40 L/ha</t>
        </is>
      </c>
      <c r="J1552" s="13" t="inlineStr">
        <is>
          <t>21 dias</t>
        </is>
      </c>
    </row>
    <row r="1553" ht="22" customHeight="1">
      <c r="A1553" s="6" t="inlineStr">
        <is>
          <t>CUL-1549</t>
        </is>
      </c>
      <c r="B1553" s="5" t="n">
        <v>310</v>
      </c>
      <c r="C1553" s="7" t="inlineStr">
        <is>
          <t>Nº 11819</t>
        </is>
      </c>
      <c r="D1553" s="8" t="inlineStr">
        <is>
          <t>MANCOZEB 800 WP AGCN</t>
        </is>
      </c>
      <c r="E1553" s="7" t="inlineStr">
        <is>
          <t>Pulverização Agrícola Conforme Bula</t>
        </is>
      </c>
      <c r="F1553" s="7" t="inlineStr">
        <is>
          <t>Café</t>
        </is>
      </c>
      <c r="G1553" s="7" t="inlineStr">
        <is>
          <t>Cultura Autorizada na Bula</t>
        </is>
      </c>
      <c r="H1553" s="7" t="inlineStr">
        <is>
          <t>100 a 300 L/ha</t>
        </is>
      </c>
      <c r="I1553" s="7" t="inlineStr">
        <is>
          <t>20 a 40 L/ha</t>
        </is>
      </c>
      <c r="J1553" s="7" t="inlineStr">
        <is>
          <t>21 dias</t>
        </is>
      </c>
    </row>
    <row r="1554" ht="22" customHeight="1">
      <c r="A1554" s="12" t="inlineStr">
        <is>
          <t>CUL-1550</t>
        </is>
      </c>
      <c r="B1554" s="11" t="n">
        <v>310</v>
      </c>
      <c r="C1554" s="13" t="inlineStr">
        <is>
          <t>Nº 11819</t>
        </is>
      </c>
      <c r="D1554" s="14" t="inlineStr">
        <is>
          <t>MANCOZEB 800 WP AGCN</t>
        </is>
      </c>
      <c r="E1554" s="13" t="inlineStr">
        <is>
          <t>Pulverização Agrícola Conforme Bula</t>
        </is>
      </c>
      <c r="F1554" s="13" t="inlineStr">
        <is>
          <t>Feijão</t>
        </is>
      </c>
      <c r="G1554" s="13" t="inlineStr">
        <is>
          <t>Cultura Autorizada na Bula</t>
        </is>
      </c>
      <c r="H1554" s="13" t="inlineStr">
        <is>
          <t>100 a 300 L/ha</t>
        </is>
      </c>
      <c r="I1554" s="13" t="inlineStr">
        <is>
          <t>20 a 40 L/ha</t>
        </is>
      </c>
      <c r="J1554" s="13" t="inlineStr">
        <is>
          <t>14 dias</t>
        </is>
      </c>
    </row>
    <row r="1555" ht="22" customHeight="1">
      <c r="A1555" s="6" t="inlineStr">
        <is>
          <t>CUL-1551</t>
        </is>
      </c>
      <c r="B1555" s="5" t="n">
        <v>310</v>
      </c>
      <c r="C1555" s="7" t="inlineStr">
        <is>
          <t>Nº 11819</t>
        </is>
      </c>
      <c r="D1555" s="8" t="inlineStr">
        <is>
          <t>MANCOZEB 800 WP AGCN</t>
        </is>
      </c>
      <c r="E1555" s="7" t="inlineStr">
        <is>
          <t>Pulverização Agrícola Conforme Bula</t>
        </is>
      </c>
      <c r="F1555" s="7" t="inlineStr">
        <is>
          <t>Milho</t>
        </is>
      </c>
      <c r="G1555" s="7" t="inlineStr">
        <is>
          <t>Cultura Autorizada na Bula</t>
        </is>
      </c>
      <c r="H1555" s="7" t="inlineStr">
        <is>
          <t>100 a 300 L/ha</t>
        </is>
      </c>
      <c r="I1555" s="7" t="inlineStr">
        <is>
          <t>20 a 40 L/ha</t>
        </is>
      </c>
      <c r="J1555" s="7" t="inlineStr">
        <is>
          <t>21 dias</t>
        </is>
      </c>
    </row>
    <row r="1556" ht="22" customHeight="1">
      <c r="A1556" s="12" t="inlineStr">
        <is>
          <t>CUL-1552</t>
        </is>
      </c>
      <c r="B1556" s="11" t="n">
        <v>310</v>
      </c>
      <c r="C1556" s="13" t="inlineStr">
        <is>
          <t>Nº 11819</t>
        </is>
      </c>
      <c r="D1556" s="14" t="inlineStr">
        <is>
          <t>MANCOZEB 800 WP AGCN</t>
        </is>
      </c>
      <c r="E1556" s="13" t="inlineStr">
        <is>
          <t>Pulverização Agrícola Conforme Bula</t>
        </is>
      </c>
      <c r="F1556" s="13" t="inlineStr">
        <is>
          <t>Batata</t>
        </is>
      </c>
      <c r="G1556" s="13" t="inlineStr">
        <is>
          <t>Cultura Autorizada na Bula</t>
        </is>
      </c>
      <c r="H1556" s="13" t="inlineStr">
        <is>
          <t>100 a 300 L/ha</t>
        </is>
      </c>
      <c r="I1556" s="13" t="inlineStr">
        <is>
          <t>20 a 40 L/ha</t>
        </is>
      </c>
      <c r="J1556" s="13" t="inlineStr">
        <is>
          <t>7 dias</t>
        </is>
      </c>
    </row>
    <row r="1557" ht="22" customHeight="1">
      <c r="A1557" s="6" t="inlineStr">
        <is>
          <t>CUL-1553</t>
        </is>
      </c>
      <c r="B1557" s="5" t="n">
        <v>310</v>
      </c>
      <c r="C1557" s="7" t="inlineStr">
        <is>
          <t>Nº 11819</t>
        </is>
      </c>
      <c r="D1557" s="8" t="inlineStr">
        <is>
          <t>MANCOZEB 800 WP AGCN</t>
        </is>
      </c>
      <c r="E1557" s="7" t="inlineStr">
        <is>
          <t>Pulverização Agrícola Conforme Bula</t>
        </is>
      </c>
      <c r="F1557" s="7" t="inlineStr">
        <is>
          <t>Tomate</t>
        </is>
      </c>
      <c r="G1557" s="7" t="inlineStr">
        <is>
          <t>Cultura Autorizada na Bula</t>
        </is>
      </c>
      <c r="H1557" s="7" t="inlineStr">
        <is>
          <t>100 a 300 L/ha</t>
        </is>
      </c>
      <c r="I1557" s="7" t="inlineStr">
        <is>
          <t>20 a 40 L/ha</t>
        </is>
      </c>
      <c r="J1557" s="7" t="inlineStr">
        <is>
          <t>7 dias</t>
        </is>
      </c>
    </row>
    <row r="1558" ht="22" customHeight="1">
      <c r="A1558" s="12" t="inlineStr">
        <is>
          <t>CUL-1554</t>
        </is>
      </c>
      <c r="B1558" s="11" t="n">
        <v>310</v>
      </c>
      <c r="C1558" s="13" t="inlineStr">
        <is>
          <t>Nº 11819</t>
        </is>
      </c>
      <c r="D1558" s="14" t="inlineStr">
        <is>
          <t>MANCOZEB 800 WP AGCN</t>
        </is>
      </c>
      <c r="E1558" s="13" t="inlineStr">
        <is>
          <t>Pulverização Agrícola Conforme Bula</t>
        </is>
      </c>
      <c r="F1558" s="13" t="inlineStr">
        <is>
          <t>Trigo</t>
        </is>
      </c>
      <c r="G1558" s="13" t="inlineStr">
        <is>
          <t>Cultura Autorizada na Bula</t>
        </is>
      </c>
      <c r="H1558" s="13" t="inlineStr">
        <is>
          <t>100 a 300 L/ha</t>
        </is>
      </c>
      <c r="I1558" s="13" t="inlineStr">
        <is>
          <t>20 a 40 L/ha</t>
        </is>
      </c>
      <c r="J1558" s="13" t="inlineStr">
        <is>
          <t>21 dias</t>
        </is>
      </c>
    </row>
    <row r="1559" ht="22" customHeight="1">
      <c r="A1559" s="6" t="inlineStr">
        <is>
          <t>CUL-1555</t>
        </is>
      </c>
      <c r="B1559" s="5" t="n">
        <v>311</v>
      </c>
      <c r="C1559" s="7" t="inlineStr">
        <is>
          <t>ISENTO (ATO 104/2017)</t>
        </is>
      </c>
      <c r="D1559" s="8" t="inlineStr">
        <is>
          <t>AGRICOIL MINERAL YPF 100</t>
        </is>
      </c>
      <c r="E1559" s="7" t="inlineStr">
        <is>
          <t>Pulverização Agrícola Conforme Bula</t>
        </is>
      </c>
      <c r="F1559" s="7" t="inlineStr">
        <is>
          <t>Soja, Milho, Algodão, Café, Citros, Cana-de-açúcar (Adição à calda)</t>
        </is>
      </c>
      <c r="G1559" s="7" t="inlineStr">
        <is>
          <t>Cultura Autorizada na Bula</t>
        </is>
      </c>
      <c r="H1559" s="7" t="inlineStr">
        <is>
          <t>100 a 300 L/ha</t>
        </is>
      </c>
      <c r="I1559" s="7" t="inlineStr">
        <is>
          <t>20 a 40 L/ha</t>
        </is>
      </c>
      <c r="J1559" s="7" t="inlineStr">
        <is>
          <t>Conforme defensivo principal</t>
        </is>
      </c>
    </row>
    <row r="1560" ht="22" customHeight="1">
      <c r="A1560" s="12" t="inlineStr">
        <is>
          <t>CUL-1556</t>
        </is>
      </c>
      <c r="B1560" s="11" t="n">
        <v>312</v>
      </c>
      <c r="C1560" s="13" t="inlineStr">
        <is>
          <t>SIPEAGRO (UF-XXXXX)</t>
        </is>
      </c>
      <c r="D1560" s="14" t="inlineStr">
        <is>
          <t>AGCN K20-10,0% MG-2,0% S-11, 5% NI-0,4% (AMOSTRA)</t>
        </is>
      </c>
      <c r="E1560" s="13" t="inlineStr">
        <is>
          <t>Adubação de Solo / Foliar</t>
        </is>
      </c>
      <c r="F1560" s="13" t="inlineStr">
        <is>
          <t>Soja</t>
        </is>
      </c>
      <c r="G1560" s="13" t="inlineStr">
        <is>
          <t>Cultura Autorizada na Bula</t>
        </is>
      </c>
      <c r="H1560" s="13" t="inlineStr">
        <is>
          <t>100 a 300 L/ha</t>
        </is>
      </c>
      <c r="I1560" s="13" t="inlineStr">
        <is>
          <t>20 a 40 L/ha</t>
        </is>
      </c>
      <c r="J1560" s="13" t="inlineStr">
        <is>
          <t>Isento</t>
        </is>
      </c>
    </row>
    <row r="1561" ht="22" customHeight="1">
      <c r="A1561" s="6" t="inlineStr">
        <is>
          <t>CUL-1557</t>
        </is>
      </c>
      <c r="B1561" s="5" t="n">
        <v>312</v>
      </c>
      <c r="C1561" s="7" t="inlineStr">
        <is>
          <t>SIPEAGRO (UF-XXXXX)</t>
        </is>
      </c>
      <c r="D1561" s="8" t="inlineStr">
        <is>
          <t>AGCN K20-10,0% MG-2,0% S-11, 5% NI-0,4% (AMOSTRA)</t>
        </is>
      </c>
      <c r="E1561" s="7" t="inlineStr">
        <is>
          <t>Adubação de Solo / Foliar</t>
        </is>
      </c>
      <c r="F1561" s="7" t="inlineStr">
        <is>
          <t>Milho</t>
        </is>
      </c>
      <c r="G1561" s="7" t="inlineStr">
        <is>
          <t>Cultura Autorizada na Bula</t>
        </is>
      </c>
      <c r="H1561" s="7" t="inlineStr">
        <is>
          <t>100 a 300 L/ha</t>
        </is>
      </c>
      <c r="I1561" s="7" t="inlineStr">
        <is>
          <t>20 a 40 L/ha</t>
        </is>
      </c>
      <c r="J1561" s="7" t="inlineStr">
        <is>
          <t>Isento</t>
        </is>
      </c>
    </row>
    <row r="1562" ht="22" customHeight="1">
      <c r="A1562" s="12" t="inlineStr">
        <is>
          <t>CUL-1558</t>
        </is>
      </c>
      <c r="B1562" s="11" t="n">
        <v>312</v>
      </c>
      <c r="C1562" s="13" t="inlineStr">
        <is>
          <t>SIPEAGRO (UF-XXXXX)</t>
        </is>
      </c>
      <c r="D1562" s="14" t="inlineStr">
        <is>
          <t>AGCN K20-10,0% MG-2,0% S-11, 5% NI-0,4% (AMOSTRA)</t>
        </is>
      </c>
      <c r="E1562" s="13" t="inlineStr">
        <is>
          <t>Adubação de Solo / Foliar</t>
        </is>
      </c>
      <c r="F1562" s="13" t="inlineStr">
        <is>
          <t>Algodão</t>
        </is>
      </c>
      <c r="G1562" s="13" t="inlineStr">
        <is>
          <t>Cultura Autorizada na Bula</t>
        </is>
      </c>
      <c r="H1562" s="13" t="inlineStr">
        <is>
          <t>100 a 300 L/ha</t>
        </is>
      </c>
      <c r="I1562" s="13" t="inlineStr">
        <is>
          <t>20 a 40 L/ha</t>
        </is>
      </c>
      <c r="J1562" s="13" t="inlineStr">
        <is>
          <t>Isento</t>
        </is>
      </c>
    </row>
    <row r="1563" ht="22" customHeight="1">
      <c r="A1563" s="6" t="inlineStr">
        <is>
          <t>CUL-1559</t>
        </is>
      </c>
      <c r="B1563" s="5" t="n">
        <v>312</v>
      </c>
      <c r="C1563" s="7" t="inlineStr">
        <is>
          <t>SIPEAGRO (UF-XXXXX)</t>
        </is>
      </c>
      <c r="D1563" s="8" t="inlineStr">
        <is>
          <t>AGCN K20-10,0% MG-2,0% S-11, 5% NI-0,4% (AMOSTRA)</t>
        </is>
      </c>
      <c r="E1563" s="7" t="inlineStr">
        <is>
          <t>Adubação de Solo / Foliar</t>
        </is>
      </c>
      <c r="F1563" s="7" t="inlineStr">
        <is>
          <t>Cana-de-açúcar</t>
        </is>
      </c>
      <c r="G1563" s="7" t="inlineStr">
        <is>
          <t>Cultura Autorizada na Bula</t>
        </is>
      </c>
      <c r="H1563" s="7" t="inlineStr">
        <is>
          <t>100 a 300 L/ha</t>
        </is>
      </c>
      <c r="I1563" s="7" t="inlineStr">
        <is>
          <t>20 a 40 L/ha</t>
        </is>
      </c>
      <c r="J1563" s="7" t="inlineStr">
        <is>
          <t>Isento</t>
        </is>
      </c>
    </row>
    <row r="1564" ht="22" customHeight="1">
      <c r="A1564" s="12" t="inlineStr">
        <is>
          <t>CUL-1560</t>
        </is>
      </c>
      <c r="B1564" s="11" t="n">
        <v>312</v>
      </c>
      <c r="C1564" s="13" t="inlineStr">
        <is>
          <t>SIPEAGRO (UF-XXXXX)</t>
        </is>
      </c>
      <c r="D1564" s="14" t="inlineStr">
        <is>
          <t>AGCN K20-10,0% MG-2,0% S-11, 5% NI-0,4% (AMOSTRA)</t>
        </is>
      </c>
      <c r="E1564" s="13" t="inlineStr">
        <is>
          <t>Adubação de Solo / Foliar</t>
        </is>
      </c>
      <c r="F1564" s="13" t="inlineStr">
        <is>
          <t>Café</t>
        </is>
      </c>
      <c r="G1564" s="13" t="inlineStr">
        <is>
          <t>Cultura Autorizada na Bula</t>
        </is>
      </c>
      <c r="H1564" s="13" t="inlineStr">
        <is>
          <t>100 a 300 L/ha</t>
        </is>
      </c>
      <c r="I1564" s="13" t="inlineStr">
        <is>
          <t>20 a 40 L/ha</t>
        </is>
      </c>
      <c r="J1564" s="13" t="inlineStr">
        <is>
          <t>Isento</t>
        </is>
      </c>
    </row>
    <row r="1565" ht="22" customHeight="1">
      <c r="A1565" s="6" t="inlineStr">
        <is>
          <t>CUL-1561</t>
        </is>
      </c>
      <c r="B1565" s="5" t="n">
        <v>313</v>
      </c>
      <c r="C1565" s="7" t="inlineStr">
        <is>
          <t>Nº 18220</t>
        </is>
      </c>
      <c r="D1565" s="8" t="inlineStr">
        <is>
          <t>TORA</t>
        </is>
      </c>
      <c r="E1565" s="7" t="inlineStr">
        <is>
          <t>Pulverização Agrícola Conforme Bula</t>
        </is>
      </c>
      <c r="F1565" s="7" t="inlineStr">
        <is>
          <t>Soja</t>
        </is>
      </c>
      <c r="G1565" s="7" t="inlineStr">
        <is>
          <t>Cultura Autorizada na Bula</t>
        </is>
      </c>
      <c r="H1565" s="7" t="inlineStr">
        <is>
          <t>100 a 300 L/ha</t>
        </is>
      </c>
      <c r="I1565" s="7" t="inlineStr">
        <is>
          <t>20 a 40 L/ha</t>
        </is>
      </c>
      <c r="J1565" s="7" t="inlineStr">
        <is>
          <t>21 dias</t>
        </is>
      </c>
    </row>
    <row r="1566" ht="22" customHeight="1">
      <c r="A1566" s="12" t="inlineStr">
        <is>
          <t>CUL-1562</t>
        </is>
      </c>
      <c r="B1566" s="11" t="n">
        <v>313</v>
      </c>
      <c r="C1566" s="13" t="inlineStr">
        <is>
          <t>Nº 18220</t>
        </is>
      </c>
      <c r="D1566" s="14" t="inlineStr">
        <is>
          <t>TORA</t>
        </is>
      </c>
      <c r="E1566" s="13" t="inlineStr">
        <is>
          <t>Pulverização Agrícola Conforme Bula</t>
        </is>
      </c>
      <c r="F1566" s="13" t="inlineStr">
        <is>
          <t>Milho</t>
        </is>
      </c>
      <c r="G1566" s="13" t="inlineStr">
        <is>
          <t>Cultura Autorizada na Bula</t>
        </is>
      </c>
      <c r="H1566" s="13" t="inlineStr">
        <is>
          <t>100 a 300 L/ha</t>
        </is>
      </c>
      <c r="I1566" s="13" t="inlineStr">
        <is>
          <t>20 a 40 L/ha</t>
        </is>
      </c>
      <c r="J1566" s="13" t="inlineStr">
        <is>
          <t>21 dias</t>
        </is>
      </c>
    </row>
    <row r="1567" ht="22" customHeight="1">
      <c r="A1567" s="6" t="inlineStr">
        <is>
          <t>CUL-1563</t>
        </is>
      </c>
      <c r="B1567" s="5" t="n">
        <v>313</v>
      </c>
      <c r="C1567" s="7" t="inlineStr">
        <is>
          <t>Nº 18220</t>
        </is>
      </c>
      <c r="D1567" s="8" t="inlineStr">
        <is>
          <t>TORA</t>
        </is>
      </c>
      <c r="E1567" s="7" t="inlineStr">
        <is>
          <t>Pulverização Agrícola Conforme Bula</t>
        </is>
      </c>
      <c r="F1567" s="7" t="inlineStr">
        <is>
          <t>Algodão</t>
        </is>
      </c>
      <c r="G1567" s="7" t="inlineStr">
        <is>
          <t>Cultura Autorizada na Bula</t>
        </is>
      </c>
      <c r="H1567" s="7" t="inlineStr">
        <is>
          <t>100 a 300 L/ha</t>
        </is>
      </c>
      <c r="I1567" s="7" t="inlineStr">
        <is>
          <t>20 a 40 L/ha</t>
        </is>
      </c>
      <c r="J1567" s="7" t="inlineStr">
        <is>
          <t>21 dias</t>
        </is>
      </c>
    </row>
    <row r="1568" ht="22" customHeight="1">
      <c r="A1568" s="12" t="inlineStr">
        <is>
          <t>CUL-1564</t>
        </is>
      </c>
      <c r="B1568" s="11" t="n">
        <v>313</v>
      </c>
      <c r="C1568" s="13" t="inlineStr">
        <is>
          <t>Nº 18220</t>
        </is>
      </c>
      <c r="D1568" s="14" t="inlineStr">
        <is>
          <t>TORA</t>
        </is>
      </c>
      <c r="E1568" s="13" t="inlineStr">
        <is>
          <t>Pulverização Agrícola Conforme Bula</t>
        </is>
      </c>
      <c r="F1568" s="13" t="inlineStr">
        <is>
          <t>Feijão</t>
        </is>
      </c>
      <c r="G1568" s="13" t="inlineStr">
        <is>
          <t>Cultura Autorizada na Bula</t>
        </is>
      </c>
      <c r="H1568" s="13" t="inlineStr">
        <is>
          <t>100 a 300 L/ha</t>
        </is>
      </c>
      <c r="I1568" s="13" t="inlineStr">
        <is>
          <t>20 a 40 L/ha</t>
        </is>
      </c>
      <c r="J1568" s="13" t="inlineStr">
        <is>
          <t>14 dias</t>
        </is>
      </c>
    </row>
    <row r="1569" ht="22" customHeight="1">
      <c r="A1569" s="6" t="inlineStr">
        <is>
          <t>CUL-1565</t>
        </is>
      </c>
      <c r="B1569" s="5" t="n">
        <v>314</v>
      </c>
      <c r="C1569" s="7" t="inlineStr">
        <is>
          <t>Nº 1924</t>
        </is>
      </c>
      <c r="D1569" s="8" t="inlineStr">
        <is>
          <t>FORCEPS</t>
        </is>
      </c>
      <c r="E1569" s="7" t="inlineStr">
        <is>
          <t>Pulverização Agrícola Conforme Bula</t>
        </is>
      </c>
      <c r="F1569" s="7" t="inlineStr">
        <is>
          <t>Algodão</t>
        </is>
      </c>
      <c r="G1569" s="7" t="inlineStr">
        <is>
          <t>Cultura Autorizada na Bula</t>
        </is>
      </c>
      <c r="H1569" s="7" t="inlineStr">
        <is>
          <t>100 a 300 L/ha</t>
        </is>
      </c>
      <c r="I1569" s="7" t="inlineStr">
        <is>
          <t>20 a 40 L/ha</t>
        </is>
      </c>
      <c r="J1569" s="7" t="inlineStr">
        <is>
          <t>15 dias</t>
        </is>
      </c>
    </row>
    <row r="1570" ht="22" customHeight="1">
      <c r="A1570" s="12" t="inlineStr">
        <is>
          <t>CUL-1566</t>
        </is>
      </c>
      <c r="B1570" s="11" t="n">
        <v>314</v>
      </c>
      <c r="C1570" s="13" t="inlineStr">
        <is>
          <t>Nº 1924</t>
        </is>
      </c>
      <c r="D1570" s="14" t="inlineStr">
        <is>
          <t>FORCEPS</t>
        </is>
      </c>
      <c r="E1570" s="13" t="inlineStr">
        <is>
          <t>Pulverização Agrícola Conforme Bula</t>
        </is>
      </c>
      <c r="F1570" s="13" t="inlineStr">
        <is>
          <t>Soja</t>
        </is>
      </c>
      <c r="G1570" s="13" t="inlineStr">
        <is>
          <t>Cultura Autorizada na Bula</t>
        </is>
      </c>
      <c r="H1570" s="13" t="inlineStr">
        <is>
          <t>100 a 300 L/ha</t>
        </is>
      </c>
      <c r="I1570" s="13" t="inlineStr">
        <is>
          <t>20 a 40 L/ha</t>
        </is>
      </c>
      <c r="J1570" s="13" t="inlineStr">
        <is>
          <t>30 dias</t>
        </is>
      </c>
    </row>
    <row r="1571" ht="22" customHeight="1">
      <c r="A1571" s="6" t="inlineStr">
        <is>
          <t>CUL-1567</t>
        </is>
      </c>
      <c r="B1571" s="5" t="n">
        <v>314</v>
      </c>
      <c r="C1571" s="7" t="inlineStr">
        <is>
          <t>Nº 1924</t>
        </is>
      </c>
      <c r="D1571" s="8" t="inlineStr">
        <is>
          <t>FORCEPS</t>
        </is>
      </c>
      <c r="E1571" s="7" t="inlineStr">
        <is>
          <t>Pulverização Agrícola Conforme Bula</t>
        </is>
      </c>
      <c r="F1571" s="7" t="inlineStr">
        <is>
          <t>Milho</t>
        </is>
      </c>
      <c r="G1571" s="7" t="inlineStr">
        <is>
          <t>Cultura Autorizada na Bula</t>
        </is>
      </c>
      <c r="H1571" s="7" t="inlineStr">
        <is>
          <t>100 a 300 L/ha</t>
        </is>
      </c>
      <c r="I1571" s="7" t="inlineStr">
        <is>
          <t>20 a 40 L/ha</t>
        </is>
      </c>
      <c r="J1571" s="7" t="inlineStr">
        <is>
          <t>30 dias</t>
        </is>
      </c>
    </row>
    <row r="1572" ht="22" customHeight="1">
      <c r="A1572" s="12" t="inlineStr">
        <is>
          <t>CUL-1568</t>
        </is>
      </c>
      <c r="B1572" s="11" t="n">
        <v>314</v>
      </c>
      <c r="C1572" s="13" t="inlineStr">
        <is>
          <t>Nº 1924</t>
        </is>
      </c>
      <c r="D1572" s="14" t="inlineStr">
        <is>
          <t>FORCEPS</t>
        </is>
      </c>
      <c r="E1572" s="13" t="inlineStr">
        <is>
          <t>Pulverização Agrícola Conforme Bula</t>
        </is>
      </c>
      <c r="F1572" s="13" t="inlineStr">
        <is>
          <t>Cana-de-açúcar</t>
        </is>
      </c>
      <c r="G1572" s="13" t="inlineStr">
        <is>
          <t>Cultura Autorizada na Bula</t>
        </is>
      </c>
      <c r="H1572" s="13" t="inlineStr">
        <is>
          <t>100 a 300 L/ha</t>
        </is>
      </c>
      <c r="I1572" s="13" t="inlineStr">
        <is>
          <t>20 a 40 L/ha</t>
        </is>
      </c>
      <c r="J1572" s="13" t="inlineStr">
        <is>
          <t>30 dias</t>
        </is>
      </c>
    </row>
    <row r="1573" ht="22" customHeight="1">
      <c r="A1573" s="6" t="inlineStr">
        <is>
          <t>CUL-1569</t>
        </is>
      </c>
      <c r="B1573" s="5" t="n">
        <v>314</v>
      </c>
      <c r="C1573" s="7" t="inlineStr">
        <is>
          <t>Nº 1924</t>
        </is>
      </c>
      <c r="D1573" s="8" t="inlineStr">
        <is>
          <t>FORCEPS</t>
        </is>
      </c>
      <c r="E1573" s="7" t="inlineStr">
        <is>
          <t>Pulverização Agrícola Conforme Bula</t>
        </is>
      </c>
      <c r="F1573" s="7" t="inlineStr">
        <is>
          <t>Café</t>
        </is>
      </c>
      <c r="G1573" s="7" t="inlineStr">
        <is>
          <t>Cultura Autorizada na Bula</t>
        </is>
      </c>
      <c r="H1573" s="7" t="inlineStr">
        <is>
          <t>100 a 300 L/ha</t>
        </is>
      </c>
      <c r="I1573" s="7" t="inlineStr">
        <is>
          <t>20 a 40 L/ha</t>
        </is>
      </c>
      <c r="J1573" s="7" t="inlineStr">
        <is>
          <t>30 dias</t>
        </is>
      </c>
    </row>
    <row r="1574" ht="22" customHeight="1">
      <c r="A1574" s="12" t="inlineStr">
        <is>
          <t>CUL-1570</t>
        </is>
      </c>
      <c r="B1574" s="11" t="n">
        <v>314</v>
      </c>
      <c r="C1574" s="13" t="inlineStr">
        <is>
          <t>Nº 1924</t>
        </is>
      </c>
      <c r="D1574" s="14" t="inlineStr">
        <is>
          <t>FORCEPS</t>
        </is>
      </c>
      <c r="E1574" s="13" t="inlineStr">
        <is>
          <t>Pulverização Agrícola Conforme Bula</t>
        </is>
      </c>
      <c r="F1574" s="13" t="inlineStr">
        <is>
          <t>Citros</t>
        </is>
      </c>
      <c r="G1574" s="13" t="inlineStr">
        <is>
          <t>Cultura Autorizada na Bula</t>
        </is>
      </c>
      <c r="H1574" s="13" t="inlineStr">
        <is>
          <t>100 a 300 L/ha</t>
        </is>
      </c>
      <c r="I1574" s="13" t="inlineStr">
        <is>
          <t>20 a 40 L/ha</t>
        </is>
      </c>
      <c r="J1574" s="13" t="inlineStr">
        <is>
          <t>7 dias</t>
        </is>
      </c>
    </row>
    <row r="1575" ht="22" customHeight="1">
      <c r="A1575" s="6" t="inlineStr">
        <is>
          <t>CUL-1571</t>
        </is>
      </c>
      <c r="B1575" s="5" t="n">
        <v>314</v>
      </c>
      <c r="C1575" s="7" t="inlineStr">
        <is>
          <t>Nº 1924</t>
        </is>
      </c>
      <c r="D1575" s="8" t="inlineStr">
        <is>
          <t>FORCEPS</t>
        </is>
      </c>
      <c r="E1575" s="7" t="inlineStr">
        <is>
          <t>Pulverização Agrícola Conforme Bula</t>
        </is>
      </c>
      <c r="F1575" s="7" t="inlineStr">
        <is>
          <t>Feijão</t>
        </is>
      </c>
      <c r="G1575" s="7" t="inlineStr">
        <is>
          <t>Cultura Autorizada na Bula</t>
        </is>
      </c>
      <c r="H1575" s="7" t="inlineStr">
        <is>
          <t>100 a 300 L/ha</t>
        </is>
      </c>
      <c r="I1575" s="7" t="inlineStr">
        <is>
          <t>20 a 40 L/ha</t>
        </is>
      </c>
      <c r="J1575" s="7" t="inlineStr">
        <is>
          <t>20 dias</t>
        </is>
      </c>
    </row>
    <row r="1576" ht="22" customHeight="1">
      <c r="A1576" s="12" t="inlineStr">
        <is>
          <t>CUL-1572</t>
        </is>
      </c>
      <c r="B1576" s="11" t="n">
        <v>314</v>
      </c>
      <c r="C1576" s="13" t="inlineStr">
        <is>
          <t>Nº 1924</t>
        </is>
      </c>
      <c r="D1576" s="14" t="inlineStr">
        <is>
          <t>FORCEPS</t>
        </is>
      </c>
      <c r="E1576" s="13" t="inlineStr">
        <is>
          <t>Pulverização Agrícola Conforme Bula</t>
        </is>
      </c>
      <c r="F1576" s="13" t="inlineStr">
        <is>
          <t>Trigo</t>
        </is>
      </c>
      <c r="G1576" s="13" t="inlineStr">
        <is>
          <t>Cultura Autorizada na Bula</t>
        </is>
      </c>
      <c r="H1576" s="13" t="inlineStr">
        <is>
          <t>100 a 300 L/ha</t>
        </is>
      </c>
      <c r="I1576" s="13" t="inlineStr">
        <is>
          <t>20 a 40 L/ha</t>
        </is>
      </c>
      <c r="J1576" s="13" t="inlineStr">
        <is>
          <t>30 dias</t>
        </is>
      </c>
    </row>
    <row r="1577" ht="22" customHeight="1">
      <c r="A1577" s="6" t="inlineStr">
        <is>
          <t>CUL-1573</t>
        </is>
      </c>
      <c r="B1577" s="5" t="n">
        <v>315</v>
      </c>
      <c r="C1577" s="7" t="inlineStr">
        <is>
          <t>Nº 2721</t>
        </is>
      </c>
      <c r="D1577" s="8" t="inlineStr">
        <is>
          <t>CLETODIM 240 EC PROVENTIS</t>
        </is>
      </c>
      <c r="E1577" s="7" t="inlineStr">
        <is>
          <t>Pulverização Agrícola Conforme Bula</t>
        </is>
      </c>
      <c r="F1577" s="7" t="inlineStr">
        <is>
          <t>Soja</t>
        </is>
      </c>
      <c r="G1577" s="7" t="inlineStr">
        <is>
          <t>Cultura Autorizada na Bula</t>
        </is>
      </c>
      <c r="H1577" s="7" t="inlineStr">
        <is>
          <t>100 a 300 L/ha</t>
        </is>
      </c>
      <c r="I1577" s="7" t="inlineStr">
        <is>
          <t>20 a 40 L/ha</t>
        </is>
      </c>
      <c r="J1577" s="7" t="inlineStr">
        <is>
          <t>60 dias</t>
        </is>
      </c>
    </row>
    <row r="1578" ht="22" customHeight="1">
      <c r="A1578" s="12" t="inlineStr">
        <is>
          <t>CUL-1574</t>
        </is>
      </c>
      <c r="B1578" s="11" t="n">
        <v>315</v>
      </c>
      <c r="C1578" s="13" t="inlineStr">
        <is>
          <t>Nº 2721</t>
        </is>
      </c>
      <c r="D1578" s="14" t="inlineStr">
        <is>
          <t>CLETODIM 240 EC PROVENTIS</t>
        </is>
      </c>
      <c r="E1578" s="13" t="inlineStr">
        <is>
          <t>Pulverização Agrícola Conforme Bula</t>
        </is>
      </c>
      <c r="F1578" s="13" t="inlineStr">
        <is>
          <t>Algodão</t>
        </is>
      </c>
      <c r="G1578" s="13" t="inlineStr">
        <is>
          <t>Cultura Autorizada na Bula</t>
        </is>
      </c>
      <c r="H1578" s="13" t="inlineStr">
        <is>
          <t>100 a 300 L/ha</t>
        </is>
      </c>
      <c r="I1578" s="13" t="inlineStr">
        <is>
          <t>20 a 40 L/ha</t>
        </is>
      </c>
      <c r="J1578" s="13" t="inlineStr">
        <is>
          <t>58 dias</t>
        </is>
      </c>
    </row>
    <row r="1579" ht="22" customHeight="1">
      <c r="A1579" s="6" t="inlineStr">
        <is>
          <t>CUL-1575</t>
        </is>
      </c>
      <c r="B1579" s="5" t="n">
        <v>315</v>
      </c>
      <c r="C1579" s="7" t="inlineStr">
        <is>
          <t>Nº 2721</t>
        </is>
      </c>
      <c r="D1579" s="8" t="inlineStr">
        <is>
          <t>CLETODIM 240 EC PROVENTIS</t>
        </is>
      </c>
      <c r="E1579" s="7" t="inlineStr">
        <is>
          <t>Pulverização Agrícola Conforme Bula</t>
        </is>
      </c>
      <c r="F1579" s="7" t="inlineStr">
        <is>
          <t>Feijão</t>
        </is>
      </c>
      <c r="G1579" s="7" t="inlineStr">
        <is>
          <t>Cultura Autorizada na Bula</t>
        </is>
      </c>
      <c r="H1579" s="7" t="inlineStr">
        <is>
          <t>100 a 300 L/ha</t>
        </is>
      </c>
      <c r="I1579" s="7" t="inlineStr">
        <is>
          <t>20 a 40 L/ha</t>
        </is>
      </c>
      <c r="J1579" s="7" t="inlineStr">
        <is>
          <t>40 dias</t>
        </is>
      </c>
    </row>
    <row r="1580" ht="22" customHeight="1">
      <c r="A1580" s="12" t="inlineStr">
        <is>
          <t>CUL-1576</t>
        </is>
      </c>
      <c r="B1580" s="11" t="n">
        <v>315</v>
      </c>
      <c r="C1580" s="13" t="inlineStr">
        <is>
          <t>Nº 2721</t>
        </is>
      </c>
      <c r="D1580" s="14" t="inlineStr">
        <is>
          <t>CLETODIM 240 EC PROVENTIS</t>
        </is>
      </c>
      <c r="E1580" s="13" t="inlineStr">
        <is>
          <t>Pulverização Agrícola Conforme Bula</t>
        </is>
      </c>
      <c r="F1580" s="13" t="inlineStr">
        <is>
          <t>Café</t>
        </is>
      </c>
      <c r="G1580" s="13" t="inlineStr">
        <is>
          <t>Cultura Autorizada na Bula</t>
        </is>
      </c>
      <c r="H1580" s="13" t="inlineStr">
        <is>
          <t>100 a 300 L/ha</t>
        </is>
      </c>
      <c r="I1580" s="13" t="inlineStr">
        <is>
          <t>20 a 40 L/ha</t>
        </is>
      </c>
      <c r="J1580" s="13" t="inlineStr">
        <is>
          <t>14 dias</t>
        </is>
      </c>
    </row>
    <row r="1581" ht="22" customHeight="1">
      <c r="A1581" s="6" t="inlineStr">
        <is>
          <t>CUL-1577</t>
        </is>
      </c>
      <c r="B1581" s="5" t="n">
        <v>315</v>
      </c>
      <c r="C1581" s="7" t="inlineStr">
        <is>
          <t>Nº 2721</t>
        </is>
      </c>
      <c r="D1581" s="8" t="inlineStr">
        <is>
          <t>CLETODIM 240 EC PROVENTIS</t>
        </is>
      </c>
      <c r="E1581" s="7" t="inlineStr">
        <is>
          <t>Pulverização Agrícola Conforme Bula</t>
        </is>
      </c>
      <c r="F1581" s="7" t="inlineStr">
        <is>
          <t>Batata</t>
        </is>
      </c>
      <c r="G1581" s="7" t="inlineStr">
        <is>
          <t>Cultura Autorizada na Bula</t>
        </is>
      </c>
      <c r="H1581" s="7" t="inlineStr">
        <is>
          <t>100 a 300 L/ha</t>
        </is>
      </c>
      <c r="I1581" s="7" t="inlineStr">
        <is>
          <t>20 a 40 L/ha</t>
        </is>
      </c>
      <c r="J1581" s="7" t="inlineStr">
        <is>
          <t>20 dias</t>
        </is>
      </c>
    </row>
    <row r="1582" ht="22" customHeight="1">
      <c r="A1582" s="12" t="inlineStr">
        <is>
          <t>CUL-1578</t>
        </is>
      </c>
      <c r="B1582" s="11" t="n">
        <v>315</v>
      </c>
      <c r="C1582" s="13" t="inlineStr">
        <is>
          <t>Nº 2721</t>
        </is>
      </c>
      <c r="D1582" s="14" t="inlineStr">
        <is>
          <t>CLETODIM 240 EC PROVENTIS</t>
        </is>
      </c>
      <c r="E1582" s="13" t="inlineStr">
        <is>
          <t>Pulverização Agrícola Conforme Bula</t>
        </is>
      </c>
      <c r="F1582" s="13" t="inlineStr">
        <is>
          <t>Mandioca</t>
        </is>
      </c>
      <c r="G1582" s="13" t="inlineStr">
        <is>
          <t>Cultura Autorizada na Bula</t>
        </is>
      </c>
      <c r="H1582" s="13" t="inlineStr">
        <is>
          <t>100 a 300 L/ha</t>
        </is>
      </c>
      <c r="I1582" s="13" t="inlineStr">
        <is>
          <t>20 a 40 L/ha</t>
        </is>
      </c>
      <c r="J1582" s="13" t="inlineStr">
        <is>
          <t>90 dias</t>
        </is>
      </c>
    </row>
    <row r="1583" ht="22" customHeight="1">
      <c r="A1583" s="6" t="inlineStr">
        <is>
          <t>CUL-1579</t>
        </is>
      </c>
      <c r="B1583" s="5" t="n">
        <v>315</v>
      </c>
      <c r="C1583" s="7" t="inlineStr">
        <is>
          <t>Nº 2721</t>
        </is>
      </c>
      <c r="D1583" s="8" t="inlineStr">
        <is>
          <t>CLETODIM 240 EC PROVENTIS</t>
        </is>
      </c>
      <c r="E1583" s="7" t="inlineStr">
        <is>
          <t>Pulverização Agrícola Conforme Bula</t>
        </is>
      </c>
      <c r="F1583" s="7" t="inlineStr">
        <is>
          <t>Tomate</t>
        </is>
      </c>
      <c r="G1583" s="7" t="inlineStr">
        <is>
          <t>Cultura Autorizada na Bula</t>
        </is>
      </c>
      <c r="H1583" s="7" t="inlineStr">
        <is>
          <t>100 a 300 L/ha</t>
        </is>
      </c>
      <c r="I1583" s="7" t="inlineStr">
        <is>
          <t>20 a 40 L/ha</t>
        </is>
      </c>
      <c r="J1583" s="7" t="inlineStr">
        <is>
          <t>20 dias</t>
        </is>
      </c>
    </row>
    <row r="1584" ht="22" customHeight="1">
      <c r="A1584" s="12" t="inlineStr">
        <is>
          <t>CUL-1580</t>
        </is>
      </c>
      <c r="B1584" s="11" t="n">
        <v>316</v>
      </c>
      <c r="C1584" s="13" t="inlineStr">
        <is>
          <t>ISENTO (ATO 104/2017)</t>
        </is>
      </c>
      <c r="D1584" s="14" t="inlineStr">
        <is>
          <t>AGRICOIL VEGETAL MV</t>
        </is>
      </c>
      <c r="E1584" s="13" t="inlineStr">
        <is>
          <t>Pulverização Agrícola Conforme Bula</t>
        </is>
      </c>
      <c r="F1584" s="13" t="inlineStr">
        <is>
          <t>Soja, Milho, Algodão, Café, Citros, Cana-de-açúcar (Adição à calda)</t>
        </is>
      </c>
      <c r="G1584" s="13" t="inlineStr">
        <is>
          <t>Cultura Autorizada na Bula</t>
        </is>
      </c>
      <c r="H1584" s="13" t="inlineStr">
        <is>
          <t>100 a 300 L/ha</t>
        </is>
      </c>
      <c r="I1584" s="13" t="inlineStr">
        <is>
          <t>20 a 40 L/ha</t>
        </is>
      </c>
      <c r="J1584" s="13" t="inlineStr">
        <is>
          <t>Conforme defensivo principal</t>
        </is>
      </c>
    </row>
    <row r="1585" ht="22" customHeight="1">
      <c r="A1585" s="6" t="inlineStr">
        <is>
          <t>CUL-1581</t>
        </is>
      </c>
      <c r="B1585" s="5" t="n">
        <v>317</v>
      </c>
      <c r="C1585" s="7" t="inlineStr">
        <is>
          <t>Nº 27717</t>
        </is>
      </c>
      <c r="D1585" s="8" t="inlineStr">
        <is>
          <t>FIPRONIL 800 WG AGCN</t>
        </is>
      </c>
      <c r="E1585" s="7" t="inlineStr">
        <is>
          <t>Pulverização Agrícola Conforme Bula</t>
        </is>
      </c>
      <c r="F1585" s="7" t="inlineStr">
        <is>
          <t>Soja (Trat. Sementes / Sulco)</t>
        </is>
      </c>
      <c r="G1585" s="7" t="inlineStr">
        <is>
          <t>Cultura Autorizada na Bula</t>
        </is>
      </c>
      <c r="H1585" s="7" t="inlineStr">
        <is>
          <t>100 a 300 L/ha</t>
        </is>
      </c>
      <c r="I1585" s="7" t="inlineStr">
        <is>
          <t>20 a 40 L/ha</t>
        </is>
      </c>
      <c r="J1585" s="7" t="inlineStr">
        <is>
          <t>N/D</t>
        </is>
      </c>
    </row>
    <row r="1586" ht="22" customHeight="1">
      <c r="A1586" s="12" t="inlineStr">
        <is>
          <t>CUL-1582</t>
        </is>
      </c>
      <c r="B1586" s="11" t="n">
        <v>317</v>
      </c>
      <c r="C1586" s="13" t="inlineStr">
        <is>
          <t>Nº 27717</t>
        </is>
      </c>
      <c r="D1586" s="14" t="inlineStr">
        <is>
          <t>FIPRONIL 800 WG AGCN</t>
        </is>
      </c>
      <c r="E1586" s="13" t="inlineStr">
        <is>
          <t>Pulverização Agrícola Conforme Bula</t>
        </is>
      </c>
      <c r="F1586" s="13" t="inlineStr">
        <is>
          <t>Milho (Trat. Sementes)</t>
        </is>
      </c>
      <c r="G1586" s="13" t="inlineStr">
        <is>
          <t>Cultura Autorizada na Bula</t>
        </is>
      </c>
      <c r="H1586" s="13" t="inlineStr">
        <is>
          <t>100 a 300 L/ha</t>
        </is>
      </c>
      <c r="I1586" s="13" t="inlineStr">
        <is>
          <t>20 a 40 L/ha</t>
        </is>
      </c>
      <c r="J1586" s="13" t="inlineStr">
        <is>
          <t>N/D</t>
        </is>
      </c>
    </row>
    <row r="1587" ht="22" customHeight="1">
      <c r="A1587" s="6" t="inlineStr">
        <is>
          <t>CUL-1583</t>
        </is>
      </c>
      <c r="B1587" s="5" t="n">
        <v>317</v>
      </c>
      <c r="C1587" s="7" t="inlineStr">
        <is>
          <t>Nº 27717</t>
        </is>
      </c>
      <c r="D1587" s="8" t="inlineStr">
        <is>
          <t>FIPRONIL 800 WG AGCN</t>
        </is>
      </c>
      <c r="E1587" s="7" t="inlineStr">
        <is>
          <t>Pulverização Agrícola Conforme Bula</t>
        </is>
      </c>
      <c r="F1587" s="7" t="inlineStr">
        <is>
          <t>Algodão</t>
        </is>
      </c>
      <c r="G1587" s="7" t="inlineStr">
        <is>
          <t>Cultura Autorizada na Bula</t>
        </is>
      </c>
      <c r="H1587" s="7" t="inlineStr">
        <is>
          <t>100 a 300 L/ha</t>
        </is>
      </c>
      <c r="I1587" s="7" t="inlineStr">
        <is>
          <t>20 a 40 L/ha</t>
        </is>
      </c>
      <c r="J1587" s="7" t="inlineStr">
        <is>
          <t>N/D</t>
        </is>
      </c>
    </row>
    <row r="1588" ht="22" customHeight="1">
      <c r="A1588" s="12" t="inlineStr">
        <is>
          <t>CUL-1584</t>
        </is>
      </c>
      <c r="B1588" s="11" t="n">
        <v>317</v>
      </c>
      <c r="C1588" s="13" t="inlineStr">
        <is>
          <t>Nº 27717</t>
        </is>
      </c>
      <c r="D1588" s="14" t="inlineStr">
        <is>
          <t>FIPRONIL 800 WG AGCN</t>
        </is>
      </c>
      <c r="E1588" s="13" t="inlineStr">
        <is>
          <t>Pulverização Agrícola Conforme Bula</t>
        </is>
      </c>
      <c r="F1588" s="13" t="inlineStr">
        <is>
          <t>Cana-de-açúcar (Sulco)</t>
        </is>
      </c>
      <c r="G1588" s="13" t="inlineStr">
        <is>
          <t>Cultura Autorizada na Bula</t>
        </is>
      </c>
      <c r="H1588" s="13" t="inlineStr">
        <is>
          <t>100 a 300 L/ha</t>
        </is>
      </c>
      <c r="I1588" s="13" t="inlineStr">
        <is>
          <t>20 a 40 L/ha</t>
        </is>
      </c>
      <c r="J1588" s="13" t="inlineStr">
        <is>
          <t>N/D</t>
        </is>
      </c>
    </row>
    <row r="1589" ht="22" customHeight="1">
      <c r="A1589" s="6" t="inlineStr">
        <is>
          <t>CUL-1585</t>
        </is>
      </c>
      <c r="B1589" s="5" t="n">
        <v>317</v>
      </c>
      <c r="C1589" s="7" t="inlineStr">
        <is>
          <t>Nº 27717</t>
        </is>
      </c>
      <c r="D1589" s="8" t="inlineStr">
        <is>
          <t>FIPRONIL 800 WG AGCN</t>
        </is>
      </c>
      <c r="E1589" s="7" t="inlineStr">
        <is>
          <t>Pulverização Agrícola Conforme Bula</t>
        </is>
      </c>
      <c r="F1589" s="7" t="inlineStr">
        <is>
          <t>Arroz</t>
        </is>
      </c>
      <c r="G1589" s="7" t="inlineStr">
        <is>
          <t>Cultura Autorizada na Bula</t>
        </is>
      </c>
      <c r="H1589" s="7" t="inlineStr">
        <is>
          <t>100 a 300 L/ha</t>
        </is>
      </c>
      <c r="I1589" s="7" t="inlineStr">
        <is>
          <t>20 a 40 L/ha</t>
        </is>
      </c>
      <c r="J1589" s="7" t="inlineStr">
        <is>
          <t>N/D</t>
        </is>
      </c>
    </row>
    <row r="1590" ht="22" customHeight="1">
      <c r="A1590" s="12" t="inlineStr">
        <is>
          <t>CUL-1586</t>
        </is>
      </c>
      <c r="B1590" s="11" t="n">
        <v>317</v>
      </c>
      <c r="C1590" s="13" t="inlineStr">
        <is>
          <t>Nº 27717</t>
        </is>
      </c>
      <c r="D1590" s="14" t="inlineStr">
        <is>
          <t>FIPRONIL 800 WG AGCN</t>
        </is>
      </c>
      <c r="E1590" s="13" t="inlineStr">
        <is>
          <t>Pulverização Agrícola Conforme Bula</t>
        </is>
      </c>
      <c r="F1590" s="13" t="inlineStr">
        <is>
          <t>Feijão</t>
        </is>
      </c>
      <c r="G1590" s="13" t="inlineStr">
        <is>
          <t>Cultura Autorizada na Bula</t>
        </is>
      </c>
      <c r="H1590" s="13" t="inlineStr">
        <is>
          <t>100 a 300 L/ha</t>
        </is>
      </c>
      <c r="I1590" s="13" t="inlineStr">
        <is>
          <t>20 a 40 L/ha</t>
        </is>
      </c>
      <c r="J1590" s="13" t="inlineStr">
        <is>
          <t>N/D</t>
        </is>
      </c>
    </row>
    <row r="1591" ht="22" customHeight="1">
      <c r="A1591" s="6" t="inlineStr">
        <is>
          <t>CUL-1587</t>
        </is>
      </c>
      <c r="B1591" s="5" t="n">
        <v>317</v>
      </c>
      <c r="C1591" s="7" t="inlineStr">
        <is>
          <t>Nº 27717</t>
        </is>
      </c>
      <c r="D1591" s="8" t="inlineStr">
        <is>
          <t>FIPRONIL 800 WG AGCN</t>
        </is>
      </c>
      <c r="E1591" s="7" t="inlineStr">
        <is>
          <t>Pulverização Agrícola Conforme Bula</t>
        </is>
      </c>
      <c r="F1591" s="7" t="inlineStr">
        <is>
          <t>Pastagens</t>
        </is>
      </c>
      <c r="G1591" s="7" t="inlineStr">
        <is>
          <t>Cultura Autorizada na Bula</t>
        </is>
      </c>
      <c r="H1591" s="7" t="inlineStr">
        <is>
          <t>100 a 300 L/ha</t>
        </is>
      </c>
      <c r="I1591" s="7" t="inlineStr">
        <is>
          <t>20 a 40 L/ha</t>
        </is>
      </c>
      <c r="J1591" s="7" t="inlineStr">
        <is>
          <t>N/D</t>
        </is>
      </c>
    </row>
    <row r="1592" ht="22" customHeight="1">
      <c r="A1592" s="12" t="inlineStr">
        <is>
          <t>CUL-1588</t>
        </is>
      </c>
      <c r="B1592" s="11" t="n">
        <v>317</v>
      </c>
      <c r="C1592" s="13" t="inlineStr">
        <is>
          <t>Nº 27717</t>
        </is>
      </c>
      <c r="D1592" s="14" t="inlineStr">
        <is>
          <t>FIPRONIL 800 WG AGCN</t>
        </is>
      </c>
      <c r="E1592" s="13" t="inlineStr">
        <is>
          <t>Pulverização Agrícola Conforme Bula</t>
        </is>
      </c>
      <c r="F1592" s="13" t="inlineStr">
        <is>
          <t>Trigo</t>
        </is>
      </c>
      <c r="G1592" s="13" t="inlineStr">
        <is>
          <t>Cultura Autorizada na Bula</t>
        </is>
      </c>
      <c r="H1592" s="13" t="inlineStr">
        <is>
          <t>100 a 300 L/ha</t>
        </is>
      </c>
      <c r="I1592" s="13" t="inlineStr">
        <is>
          <t>20 a 40 L/ha</t>
        </is>
      </c>
      <c r="J1592" s="13" t="inlineStr">
        <is>
          <t>N/D</t>
        </is>
      </c>
    </row>
    <row r="1593" ht="22" customHeight="1">
      <c r="A1593" s="6" t="inlineStr">
        <is>
          <t>CUL-1589</t>
        </is>
      </c>
      <c r="B1593" s="5" t="n">
        <v>318</v>
      </c>
      <c r="C1593" s="7" t="inlineStr">
        <is>
          <t>SIPEAGRO (UF-XXXXX)</t>
        </is>
      </c>
      <c r="D1593" s="8" t="inlineStr">
        <is>
          <t>QUALY SULFATO MAGNESIO 16 - E</t>
        </is>
      </c>
      <c r="E1593" s="7" t="inlineStr">
        <is>
          <t>Adubação de Solo / Foliar</t>
        </is>
      </c>
      <c r="F1593" s="7" t="inlineStr">
        <is>
          <t>Soja</t>
        </is>
      </c>
      <c r="G1593" s="7" t="inlineStr">
        <is>
          <t>Cultura Autorizada na Bula</t>
        </is>
      </c>
      <c r="H1593" s="7" t="inlineStr">
        <is>
          <t>100 a 300 L/ha</t>
        </is>
      </c>
      <c r="I1593" s="7" t="inlineStr">
        <is>
          <t>20 a 40 L/ha</t>
        </is>
      </c>
      <c r="J1593" s="7" t="inlineStr">
        <is>
          <t>Isento</t>
        </is>
      </c>
    </row>
    <row r="1594" ht="22" customHeight="1">
      <c r="A1594" s="12" t="inlineStr">
        <is>
          <t>CUL-1590</t>
        </is>
      </c>
      <c r="B1594" s="11" t="n">
        <v>318</v>
      </c>
      <c r="C1594" s="13" t="inlineStr">
        <is>
          <t>SIPEAGRO (UF-XXXXX)</t>
        </is>
      </c>
      <c r="D1594" s="14" t="inlineStr">
        <is>
          <t>QUALY SULFATO MAGNESIO 16 - E</t>
        </is>
      </c>
      <c r="E1594" s="13" t="inlineStr">
        <is>
          <t>Adubação de Solo / Foliar</t>
        </is>
      </c>
      <c r="F1594" s="13" t="inlineStr">
        <is>
          <t>Milho</t>
        </is>
      </c>
      <c r="G1594" s="13" t="inlineStr">
        <is>
          <t>Cultura Autorizada na Bula</t>
        </is>
      </c>
      <c r="H1594" s="13" t="inlineStr">
        <is>
          <t>100 a 300 L/ha</t>
        </is>
      </c>
      <c r="I1594" s="13" t="inlineStr">
        <is>
          <t>20 a 40 L/ha</t>
        </is>
      </c>
      <c r="J1594" s="13" t="inlineStr">
        <is>
          <t>Isento</t>
        </is>
      </c>
    </row>
    <row r="1595" ht="22" customHeight="1">
      <c r="A1595" s="6" t="inlineStr">
        <is>
          <t>CUL-1591</t>
        </is>
      </c>
      <c r="B1595" s="5" t="n">
        <v>318</v>
      </c>
      <c r="C1595" s="7" t="inlineStr">
        <is>
          <t>SIPEAGRO (UF-XXXXX)</t>
        </is>
      </c>
      <c r="D1595" s="8" t="inlineStr">
        <is>
          <t>QUALY SULFATO MAGNESIO 16 - E</t>
        </is>
      </c>
      <c r="E1595" s="7" t="inlineStr">
        <is>
          <t>Adubação de Solo / Foliar</t>
        </is>
      </c>
      <c r="F1595" s="7" t="inlineStr">
        <is>
          <t>Algodão</t>
        </is>
      </c>
      <c r="G1595" s="7" t="inlineStr">
        <is>
          <t>Cultura Autorizada na Bula</t>
        </is>
      </c>
      <c r="H1595" s="7" t="inlineStr">
        <is>
          <t>100 a 300 L/ha</t>
        </is>
      </c>
      <c r="I1595" s="7" t="inlineStr">
        <is>
          <t>20 a 40 L/ha</t>
        </is>
      </c>
      <c r="J1595" s="7" t="inlineStr">
        <is>
          <t>Isento</t>
        </is>
      </c>
    </row>
    <row r="1596" ht="22" customHeight="1">
      <c r="A1596" s="12" t="inlineStr">
        <is>
          <t>CUL-1592</t>
        </is>
      </c>
      <c r="B1596" s="11" t="n">
        <v>318</v>
      </c>
      <c r="C1596" s="13" t="inlineStr">
        <is>
          <t>SIPEAGRO (UF-XXXXX)</t>
        </is>
      </c>
      <c r="D1596" s="14" t="inlineStr">
        <is>
          <t>QUALY SULFATO MAGNESIO 16 - E</t>
        </is>
      </c>
      <c r="E1596" s="13" t="inlineStr">
        <is>
          <t>Adubação de Solo / Foliar</t>
        </is>
      </c>
      <c r="F1596" s="13" t="inlineStr">
        <is>
          <t>Cana-de-açúcar</t>
        </is>
      </c>
      <c r="G1596" s="13" t="inlineStr">
        <is>
          <t>Cultura Autorizada na Bula</t>
        </is>
      </c>
      <c r="H1596" s="13" t="inlineStr">
        <is>
          <t>100 a 300 L/ha</t>
        </is>
      </c>
      <c r="I1596" s="13" t="inlineStr">
        <is>
          <t>20 a 40 L/ha</t>
        </is>
      </c>
      <c r="J1596" s="13" t="inlineStr">
        <is>
          <t>Isento</t>
        </is>
      </c>
    </row>
    <row r="1597" ht="22" customHeight="1">
      <c r="A1597" s="6" t="inlineStr">
        <is>
          <t>CUL-1593</t>
        </is>
      </c>
      <c r="B1597" s="5" t="n">
        <v>318</v>
      </c>
      <c r="C1597" s="7" t="inlineStr">
        <is>
          <t>SIPEAGRO (UF-XXXXX)</t>
        </is>
      </c>
      <c r="D1597" s="8" t="inlineStr">
        <is>
          <t>QUALY SULFATO MAGNESIO 16 - E</t>
        </is>
      </c>
      <c r="E1597" s="7" t="inlineStr">
        <is>
          <t>Adubação de Solo / Foliar</t>
        </is>
      </c>
      <c r="F1597" s="7" t="inlineStr">
        <is>
          <t>Café</t>
        </is>
      </c>
      <c r="G1597" s="7" t="inlineStr">
        <is>
          <t>Cultura Autorizada na Bula</t>
        </is>
      </c>
      <c r="H1597" s="7" t="inlineStr">
        <is>
          <t>100 a 300 L/ha</t>
        </is>
      </c>
      <c r="I1597" s="7" t="inlineStr">
        <is>
          <t>20 a 40 L/ha</t>
        </is>
      </c>
      <c r="J1597" s="7" t="inlineStr">
        <is>
          <t>Isento</t>
        </is>
      </c>
    </row>
    <row r="1598" ht="22" customHeight="1">
      <c r="A1598" s="12" t="inlineStr">
        <is>
          <t>CUL-1594</t>
        </is>
      </c>
      <c r="B1598" s="11" t="n">
        <v>319</v>
      </c>
      <c r="C1598" s="13" t="inlineStr">
        <is>
          <t>Nº 12621</t>
        </is>
      </c>
      <c r="D1598" s="14" t="inlineStr">
        <is>
          <t>NADRAN 250</t>
        </is>
      </c>
      <c r="E1598" s="13" t="inlineStr">
        <is>
          <t>Pulverização Agrícola Conforme Bula</t>
        </is>
      </c>
      <c r="F1598" s="13" t="inlineStr">
        <is>
          <t>Soja</t>
        </is>
      </c>
      <c r="G1598" s="13" t="inlineStr">
        <is>
          <t>Cultura Autorizada na Bula</t>
        </is>
      </c>
      <c r="H1598" s="13" t="inlineStr">
        <is>
          <t>100 a 300 L/ha</t>
        </is>
      </c>
      <c r="I1598" s="13" t="inlineStr">
        <is>
          <t>20 a 40 L/ha</t>
        </is>
      </c>
      <c r="J1598" s="13" t="inlineStr">
        <is>
          <t>21 dias</t>
        </is>
      </c>
    </row>
    <row r="1599" ht="22" customHeight="1">
      <c r="A1599" s="6" t="inlineStr">
        <is>
          <t>CUL-1595</t>
        </is>
      </c>
      <c r="B1599" s="5" t="n">
        <v>319</v>
      </c>
      <c r="C1599" s="7" t="inlineStr">
        <is>
          <t>Nº 12621</t>
        </is>
      </c>
      <c r="D1599" s="8" t="inlineStr">
        <is>
          <t>NADRAN 250</t>
        </is>
      </c>
      <c r="E1599" s="7" t="inlineStr">
        <is>
          <t>Pulverização Agrícola Conforme Bula</t>
        </is>
      </c>
      <c r="F1599" s="7" t="inlineStr">
        <is>
          <t>Milho</t>
        </is>
      </c>
      <c r="G1599" s="7" t="inlineStr">
        <is>
          <t>Cultura Autorizada na Bula</t>
        </is>
      </c>
      <c r="H1599" s="7" t="inlineStr">
        <is>
          <t>100 a 300 L/ha</t>
        </is>
      </c>
      <c r="I1599" s="7" t="inlineStr">
        <is>
          <t>20 a 40 L/ha</t>
        </is>
      </c>
      <c r="J1599" s="7" t="inlineStr">
        <is>
          <t>21 dias</t>
        </is>
      </c>
    </row>
    <row r="1600" ht="22" customHeight="1">
      <c r="A1600" s="12" t="inlineStr">
        <is>
          <t>CUL-1596</t>
        </is>
      </c>
      <c r="B1600" s="11" t="n">
        <v>319</v>
      </c>
      <c r="C1600" s="13" t="inlineStr">
        <is>
          <t>Nº 12621</t>
        </is>
      </c>
      <c r="D1600" s="14" t="inlineStr">
        <is>
          <t>NADRAN 250</t>
        </is>
      </c>
      <c r="E1600" s="13" t="inlineStr">
        <is>
          <t>Pulverização Agrícola Conforme Bula</t>
        </is>
      </c>
      <c r="F1600" s="13" t="inlineStr">
        <is>
          <t>Algodão</t>
        </is>
      </c>
      <c r="G1600" s="13" t="inlineStr">
        <is>
          <t>Cultura Autorizada na Bula</t>
        </is>
      </c>
      <c r="H1600" s="13" t="inlineStr">
        <is>
          <t>100 a 300 L/ha</t>
        </is>
      </c>
      <c r="I1600" s="13" t="inlineStr">
        <is>
          <t>20 a 40 L/ha</t>
        </is>
      </c>
      <c r="J1600" s="13" t="inlineStr">
        <is>
          <t>21 dias</t>
        </is>
      </c>
    </row>
    <row r="1601" ht="22" customHeight="1">
      <c r="A1601" s="6" t="inlineStr">
        <is>
          <t>CUL-1597</t>
        </is>
      </c>
      <c r="B1601" s="5" t="n">
        <v>319</v>
      </c>
      <c r="C1601" s="7" t="inlineStr">
        <is>
          <t>Nº 12621</t>
        </is>
      </c>
      <c r="D1601" s="8" t="inlineStr">
        <is>
          <t>NADRAN 250</t>
        </is>
      </c>
      <c r="E1601" s="7" t="inlineStr">
        <is>
          <t>Pulverização Agrícola Conforme Bula</t>
        </is>
      </c>
      <c r="F1601" s="7" t="inlineStr">
        <is>
          <t>Feijão</t>
        </is>
      </c>
      <c r="G1601" s="7" t="inlineStr">
        <is>
          <t>Cultura Autorizada na Bula</t>
        </is>
      </c>
      <c r="H1601" s="7" t="inlineStr">
        <is>
          <t>100 a 300 L/ha</t>
        </is>
      </c>
      <c r="I1601" s="7" t="inlineStr">
        <is>
          <t>20 a 40 L/ha</t>
        </is>
      </c>
      <c r="J1601" s="7" t="inlineStr">
        <is>
          <t>14 dias</t>
        </is>
      </c>
    </row>
    <row r="1602" ht="22" customHeight="1">
      <c r="A1602" s="12" t="inlineStr">
        <is>
          <t>CUL-1598</t>
        </is>
      </c>
      <c r="B1602" s="11" t="n">
        <v>320</v>
      </c>
      <c r="C1602" s="13" t="inlineStr">
        <is>
          <t>Nº 7723</t>
        </is>
      </c>
      <c r="D1602" s="14" t="inlineStr">
        <is>
          <t>ALVOFIX</t>
        </is>
      </c>
      <c r="E1602" s="13" t="inlineStr">
        <is>
          <t>Pulverização Agrícola Conforme Bula</t>
        </is>
      </c>
      <c r="F1602" s="13" t="inlineStr">
        <is>
          <t>Algodão</t>
        </is>
      </c>
      <c r="G1602" s="13" t="inlineStr">
        <is>
          <t>Cultura Autorizada na Bula</t>
        </is>
      </c>
      <c r="H1602" s="13" t="inlineStr">
        <is>
          <t>100 a 300 L/ha</t>
        </is>
      </c>
      <c r="I1602" s="13" t="inlineStr">
        <is>
          <t>20 a 40 L/ha</t>
        </is>
      </c>
      <c r="J1602" s="13" t="inlineStr">
        <is>
          <t>15 dias</t>
        </is>
      </c>
    </row>
    <row r="1603" ht="22" customHeight="1">
      <c r="A1603" s="6" t="inlineStr">
        <is>
          <t>CUL-1599</t>
        </is>
      </c>
      <c r="B1603" s="5" t="n">
        <v>320</v>
      </c>
      <c r="C1603" s="7" t="inlineStr">
        <is>
          <t>Nº 7723</t>
        </is>
      </c>
      <c r="D1603" s="8" t="inlineStr">
        <is>
          <t>ALVOFIX</t>
        </is>
      </c>
      <c r="E1603" s="7" t="inlineStr">
        <is>
          <t>Pulverização Agrícola Conforme Bula</t>
        </is>
      </c>
      <c r="F1603" s="7" t="inlineStr">
        <is>
          <t>Soja</t>
        </is>
      </c>
      <c r="G1603" s="7" t="inlineStr">
        <is>
          <t>Cultura Autorizada na Bula</t>
        </is>
      </c>
      <c r="H1603" s="7" t="inlineStr">
        <is>
          <t>100 a 300 L/ha</t>
        </is>
      </c>
      <c r="I1603" s="7" t="inlineStr">
        <is>
          <t>20 a 40 L/ha</t>
        </is>
      </c>
      <c r="J1603" s="7" t="inlineStr">
        <is>
          <t>30 dias</t>
        </is>
      </c>
    </row>
    <row r="1604" ht="22" customHeight="1">
      <c r="A1604" s="12" t="inlineStr">
        <is>
          <t>CUL-1600</t>
        </is>
      </c>
      <c r="B1604" s="11" t="n">
        <v>320</v>
      </c>
      <c r="C1604" s="13" t="inlineStr">
        <is>
          <t>Nº 7723</t>
        </is>
      </c>
      <c r="D1604" s="14" t="inlineStr">
        <is>
          <t>ALVOFIX</t>
        </is>
      </c>
      <c r="E1604" s="13" t="inlineStr">
        <is>
          <t>Pulverização Agrícola Conforme Bula</t>
        </is>
      </c>
      <c r="F1604" s="13" t="inlineStr">
        <is>
          <t>Milho</t>
        </is>
      </c>
      <c r="G1604" s="13" t="inlineStr">
        <is>
          <t>Cultura Autorizada na Bula</t>
        </is>
      </c>
      <c r="H1604" s="13" t="inlineStr">
        <is>
          <t>100 a 300 L/ha</t>
        </is>
      </c>
      <c r="I1604" s="13" t="inlineStr">
        <is>
          <t>20 a 40 L/ha</t>
        </is>
      </c>
      <c r="J1604" s="13" t="inlineStr">
        <is>
          <t>30 dias</t>
        </is>
      </c>
    </row>
    <row r="1605" ht="22" customHeight="1">
      <c r="A1605" s="6" t="inlineStr">
        <is>
          <t>CUL-1601</t>
        </is>
      </c>
      <c r="B1605" s="5" t="n">
        <v>320</v>
      </c>
      <c r="C1605" s="7" t="inlineStr">
        <is>
          <t>Nº 7723</t>
        </is>
      </c>
      <c r="D1605" s="8" t="inlineStr">
        <is>
          <t>ALVOFIX</t>
        </is>
      </c>
      <c r="E1605" s="7" t="inlineStr">
        <is>
          <t>Pulverização Agrícola Conforme Bula</t>
        </is>
      </c>
      <c r="F1605" s="7" t="inlineStr">
        <is>
          <t>Cana-de-açúcar</t>
        </is>
      </c>
      <c r="G1605" s="7" t="inlineStr">
        <is>
          <t>Cultura Autorizada na Bula</t>
        </is>
      </c>
      <c r="H1605" s="7" t="inlineStr">
        <is>
          <t>100 a 300 L/ha</t>
        </is>
      </c>
      <c r="I1605" s="7" t="inlineStr">
        <is>
          <t>20 a 40 L/ha</t>
        </is>
      </c>
      <c r="J1605" s="7" t="inlineStr">
        <is>
          <t>30 dias</t>
        </is>
      </c>
    </row>
    <row r="1606" ht="22" customHeight="1">
      <c r="A1606" s="12" t="inlineStr">
        <is>
          <t>CUL-1602</t>
        </is>
      </c>
      <c r="B1606" s="11" t="n">
        <v>320</v>
      </c>
      <c r="C1606" s="13" t="inlineStr">
        <is>
          <t>Nº 7723</t>
        </is>
      </c>
      <c r="D1606" s="14" t="inlineStr">
        <is>
          <t>ALVOFIX</t>
        </is>
      </c>
      <c r="E1606" s="13" t="inlineStr">
        <is>
          <t>Pulverização Agrícola Conforme Bula</t>
        </is>
      </c>
      <c r="F1606" s="13" t="inlineStr">
        <is>
          <t>Café</t>
        </is>
      </c>
      <c r="G1606" s="13" t="inlineStr">
        <is>
          <t>Cultura Autorizada na Bula</t>
        </is>
      </c>
      <c r="H1606" s="13" t="inlineStr">
        <is>
          <t>100 a 300 L/ha</t>
        </is>
      </c>
      <c r="I1606" s="13" t="inlineStr">
        <is>
          <t>20 a 40 L/ha</t>
        </is>
      </c>
      <c r="J1606" s="13" t="inlineStr">
        <is>
          <t>30 dias</t>
        </is>
      </c>
    </row>
    <row r="1607" ht="22" customHeight="1">
      <c r="A1607" s="6" t="inlineStr">
        <is>
          <t>CUL-1603</t>
        </is>
      </c>
      <c r="B1607" s="5" t="n">
        <v>320</v>
      </c>
      <c r="C1607" s="7" t="inlineStr">
        <is>
          <t>Nº 7723</t>
        </is>
      </c>
      <c r="D1607" s="8" t="inlineStr">
        <is>
          <t>ALVOFIX</t>
        </is>
      </c>
      <c r="E1607" s="7" t="inlineStr">
        <is>
          <t>Pulverização Agrícola Conforme Bula</t>
        </is>
      </c>
      <c r="F1607" s="7" t="inlineStr">
        <is>
          <t>Citros</t>
        </is>
      </c>
      <c r="G1607" s="7" t="inlineStr">
        <is>
          <t>Cultura Autorizada na Bula</t>
        </is>
      </c>
      <c r="H1607" s="7" t="inlineStr">
        <is>
          <t>100 a 300 L/ha</t>
        </is>
      </c>
      <c r="I1607" s="7" t="inlineStr">
        <is>
          <t>20 a 40 L/ha</t>
        </is>
      </c>
      <c r="J1607" s="7" t="inlineStr">
        <is>
          <t>7 dias</t>
        </is>
      </c>
    </row>
    <row r="1608" ht="22" customHeight="1">
      <c r="A1608" s="12" t="inlineStr">
        <is>
          <t>CUL-1604</t>
        </is>
      </c>
      <c r="B1608" s="11" t="n">
        <v>320</v>
      </c>
      <c r="C1608" s="13" t="inlineStr">
        <is>
          <t>Nº 7723</t>
        </is>
      </c>
      <c r="D1608" s="14" t="inlineStr">
        <is>
          <t>ALVOFIX</t>
        </is>
      </c>
      <c r="E1608" s="13" t="inlineStr">
        <is>
          <t>Pulverização Agrícola Conforme Bula</t>
        </is>
      </c>
      <c r="F1608" s="13" t="inlineStr">
        <is>
          <t>Feijão</t>
        </is>
      </c>
      <c r="G1608" s="13" t="inlineStr">
        <is>
          <t>Cultura Autorizada na Bula</t>
        </is>
      </c>
      <c r="H1608" s="13" t="inlineStr">
        <is>
          <t>100 a 300 L/ha</t>
        </is>
      </c>
      <c r="I1608" s="13" t="inlineStr">
        <is>
          <t>20 a 40 L/ha</t>
        </is>
      </c>
      <c r="J1608" s="13" t="inlineStr">
        <is>
          <t>20 dias</t>
        </is>
      </c>
    </row>
    <row r="1609" ht="22" customHeight="1">
      <c r="A1609" s="6" t="inlineStr">
        <is>
          <t>CUL-1605</t>
        </is>
      </c>
      <c r="B1609" s="5" t="n">
        <v>320</v>
      </c>
      <c r="C1609" s="7" t="inlineStr">
        <is>
          <t>Nº 7723</t>
        </is>
      </c>
      <c r="D1609" s="8" t="inlineStr">
        <is>
          <t>ALVOFIX</t>
        </is>
      </c>
      <c r="E1609" s="7" t="inlineStr">
        <is>
          <t>Pulverização Agrícola Conforme Bula</t>
        </is>
      </c>
      <c r="F1609" s="7" t="inlineStr">
        <is>
          <t>Trigo</t>
        </is>
      </c>
      <c r="G1609" s="7" t="inlineStr">
        <is>
          <t>Cultura Autorizada na Bula</t>
        </is>
      </c>
      <c r="H1609" s="7" t="inlineStr">
        <is>
          <t>100 a 300 L/ha</t>
        </is>
      </c>
      <c r="I1609" s="7" t="inlineStr">
        <is>
          <t>20 a 40 L/ha</t>
        </is>
      </c>
      <c r="J1609" s="7" t="inlineStr">
        <is>
          <t>30 dias</t>
        </is>
      </c>
    </row>
    <row r="1610" ht="22" customHeight="1">
      <c r="A1610" s="12" t="inlineStr">
        <is>
          <t>CUL-1606</t>
        </is>
      </c>
      <c r="B1610" s="11" t="n">
        <v>321</v>
      </c>
      <c r="C1610" s="13" t="inlineStr">
        <is>
          <t>SIPEAGRO (UF-XXXXX)</t>
        </is>
      </c>
      <c r="D1610" s="14" t="inlineStr">
        <is>
          <t>BIOLOGIC NEMA</t>
        </is>
      </c>
      <c r="E1610" s="13" t="inlineStr">
        <is>
          <t>Pulverização Agrícola Conforme Bula</t>
        </is>
      </c>
      <c r="F1610" s="13" t="inlineStr">
        <is>
          <t>Soja (Sulco / TS / Foliar)</t>
        </is>
      </c>
      <c r="G1610" s="13" t="inlineStr">
        <is>
          <t>Cultura Autorizada na Bula</t>
        </is>
      </c>
      <c r="H1610" s="13" t="inlineStr">
        <is>
          <t>100 a 300 L/ha</t>
        </is>
      </c>
      <c r="I1610" s="13" t="inlineStr">
        <is>
          <t>20 a 40 L/ha</t>
        </is>
      </c>
      <c r="J1610" s="13" t="inlineStr">
        <is>
          <t>0 (Isento)</t>
        </is>
      </c>
    </row>
    <row r="1611" ht="22" customHeight="1">
      <c r="A1611" s="6" t="inlineStr">
        <is>
          <t>CUL-1607</t>
        </is>
      </c>
      <c r="B1611" s="5" t="n">
        <v>321</v>
      </c>
      <c r="C1611" s="7" t="inlineStr">
        <is>
          <t>SIPEAGRO (UF-XXXXX)</t>
        </is>
      </c>
      <c r="D1611" s="8" t="inlineStr">
        <is>
          <t>BIOLOGIC NEMA</t>
        </is>
      </c>
      <c r="E1611" s="7" t="inlineStr">
        <is>
          <t>Pulverização Agrícola Conforme Bula</t>
        </is>
      </c>
      <c r="F1611" s="7" t="inlineStr">
        <is>
          <t>Milho</t>
        </is>
      </c>
      <c r="G1611" s="7" t="inlineStr">
        <is>
          <t>Cultura Autorizada na Bula</t>
        </is>
      </c>
      <c r="H1611" s="7" t="inlineStr">
        <is>
          <t>100 a 300 L/ha</t>
        </is>
      </c>
      <c r="I1611" s="7" t="inlineStr">
        <is>
          <t>20 a 40 L/ha</t>
        </is>
      </c>
      <c r="J1611" s="7" t="inlineStr">
        <is>
          <t>0 (Isento)</t>
        </is>
      </c>
    </row>
    <row r="1612" ht="22" customHeight="1">
      <c r="A1612" s="12" t="inlineStr">
        <is>
          <t>CUL-1608</t>
        </is>
      </c>
      <c r="B1612" s="11" t="n">
        <v>321</v>
      </c>
      <c r="C1612" s="13" t="inlineStr">
        <is>
          <t>SIPEAGRO (UF-XXXXX)</t>
        </is>
      </c>
      <c r="D1612" s="14" t="inlineStr">
        <is>
          <t>BIOLOGIC NEMA</t>
        </is>
      </c>
      <c r="E1612" s="13" t="inlineStr">
        <is>
          <t>Pulverização Agrícola Conforme Bula</t>
        </is>
      </c>
      <c r="F1612" s="13" t="inlineStr">
        <is>
          <t>Algodão</t>
        </is>
      </c>
      <c r="G1612" s="13" t="inlineStr">
        <is>
          <t>Cultura Autorizada na Bula</t>
        </is>
      </c>
      <c r="H1612" s="13" t="inlineStr">
        <is>
          <t>100 a 300 L/ha</t>
        </is>
      </c>
      <c r="I1612" s="13" t="inlineStr">
        <is>
          <t>20 a 40 L/ha</t>
        </is>
      </c>
      <c r="J1612" s="13" t="inlineStr">
        <is>
          <t>0 (Isento)</t>
        </is>
      </c>
    </row>
    <row r="1613" ht="22" customHeight="1">
      <c r="A1613" s="6" t="inlineStr">
        <is>
          <t>CUL-1609</t>
        </is>
      </c>
      <c r="B1613" s="5" t="n">
        <v>321</v>
      </c>
      <c r="C1613" s="7" t="inlineStr">
        <is>
          <t>SIPEAGRO (UF-XXXXX)</t>
        </is>
      </c>
      <c r="D1613" s="8" t="inlineStr">
        <is>
          <t>BIOLOGIC NEMA</t>
        </is>
      </c>
      <c r="E1613" s="7" t="inlineStr">
        <is>
          <t>Pulverização Agrícola Conforme Bula</t>
        </is>
      </c>
      <c r="F1613" s="7" t="inlineStr">
        <is>
          <t>Feijão</t>
        </is>
      </c>
      <c r="G1613" s="7" t="inlineStr">
        <is>
          <t>Cultura Autorizada na Bula</t>
        </is>
      </c>
      <c r="H1613" s="7" t="inlineStr">
        <is>
          <t>100 a 300 L/ha</t>
        </is>
      </c>
      <c r="I1613" s="7" t="inlineStr">
        <is>
          <t>20 a 40 L/ha</t>
        </is>
      </c>
      <c r="J1613" s="7" t="inlineStr">
        <is>
          <t>0 (Isento)</t>
        </is>
      </c>
    </row>
    <row r="1614" ht="22" customHeight="1">
      <c r="A1614" s="12" t="inlineStr">
        <is>
          <t>CUL-1610</t>
        </is>
      </c>
      <c r="B1614" s="11" t="n">
        <v>322</v>
      </c>
      <c r="C1614" s="13" t="inlineStr">
        <is>
          <t>Nº 109009</t>
        </is>
      </c>
      <c r="D1614" s="14" t="inlineStr">
        <is>
          <t>MANZATE WG</t>
        </is>
      </c>
      <c r="E1614" s="13" t="inlineStr">
        <is>
          <t>Pulverização Agrícola Conforme Bula</t>
        </is>
      </c>
      <c r="F1614" s="13" t="inlineStr">
        <is>
          <t>Soja</t>
        </is>
      </c>
      <c r="G1614" s="13" t="inlineStr">
        <is>
          <t>Cultura Autorizada na Bula</t>
        </is>
      </c>
      <c r="H1614" s="13" t="inlineStr">
        <is>
          <t>100 a 300 L/ha</t>
        </is>
      </c>
      <c r="I1614" s="13" t="inlineStr">
        <is>
          <t>20 a 40 L/ha</t>
        </is>
      </c>
      <c r="J1614" s="13" t="inlineStr">
        <is>
          <t>21 dias</t>
        </is>
      </c>
    </row>
    <row r="1615" ht="22" customHeight="1">
      <c r="A1615" s="6" t="inlineStr">
        <is>
          <t>CUL-1611</t>
        </is>
      </c>
      <c r="B1615" s="5" t="n">
        <v>322</v>
      </c>
      <c r="C1615" s="7" t="inlineStr">
        <is>
          <t>Nº 109009</t>
        </is>
      </c>
      <c r="D1615" s="8" t="inlineStr">
        <is>
          <t>MANZATE WG</t>
        </is>
      </c>
      <c r="E1615" s="7" t="inlineStr">
        <is>
          <t>Pulverização Agrícola Conforme Bula</t>
        </is>
      </c>
      <c r="F1615" s="7" t="inlineStr">
        <is>
          <t>Algodão</t>
        </is>
      </c>
      <c r="G1615" s="7" t="inlineStr">
        <is>
          <t>Cultura Autorizada na Bula</t>
        </is>
      </c>
      <c r="H1615" s="7" t="inlineStr">
        <is>
          <t>100 a 300 L/ha</t>
        </is>
      </c>
      <c r="I1615" s="7" t="inlineStr">
        <is>
          <t>20 a 40 L/ha</t>
        </is>
      </c>
      <c r="J1615" s="7" t="inlineStr">
        <is>
          <t>21 dias</t>
        </is>
      </c>
    </row>
    <row r="1616" ht="22" customHeight="1">
      <c r="A1616" s="12" t="inlineStr">
        <is>
          <t>CUL-1612</t>
        </is>
      </c>
      <c r="B1616" s="11" t="n">
        <v>322</v>
      </c>
      <c r="C1616" s="13" t="inlineStr">
        <is>
          <t>Nº 109009</t>
        </is>
      </c>
      <c r="D1616" s="14" t="inlineStr">
        <is>
          <t>MANZATE WG</t>
        </is>
      </c>
      <c r="E1616" s="13" t="inlineStr">
        <is>
          <t>Pulverização Agrícola Conforme Bula</t>
        </is>
      </c>
      <c r="F1616" s="13" t="inlineStr">
        <is>
          <t>Café</t>
        </is>
      </c>
      <c r="G1616" s="13" t="inlineStr">
        <is>
          <t>Cultura Autorizada na Bula</t>
        </is>
      </c>
      <c r="H1616" s="13" t="inlineStr">
        <is>
          <t>100 a 300 L/ha</t>
        </is>
      </c>
      <c r="I1616" s="13" t="inlineStr">
        <is>
          <t>20 a 40 L/ha</t>
        </is>
      </c>
      <c r="J1616" s="13" t="inlineStr">
        <is>
          <t>21 dias</t>
        </is>
      </c>
    </row>
    <row r="1617" ht="22" customHeight="1">
      <c r="A1617" s="6" t="inlineStr">
        <is>
          <t>CUL-1613</t>
        </is>
      </c>
      <c r="B1617" s="5" t="n">
        <v>322</v>
      </c>
      <c r="C1617" s="7" t="inlineStr">
        <is>
          <t>Nº 109009</t>
        </is>
      </c>
      <c r="D1617" s="8" t="inlineStr">
        <is>
          <t>MANZATE WG</t>
        </is>
      </c>
      <c r="E1617" s="7" t="inlineStr">
        <is>
          <t>Pulverização Agrícola Conforme Bula</t>
        </is>
      </c>
      <c r="F1617" s="7" t="inlineStr">
        <is>
          <t>Feijão</t>
        </is>
      </c>
      <c r="G1617" s="7" t="inlineStr">
        <is>
          <t>Cultura Autorizada na Bula</t>
        </is>
      </c>
      <c r="H1617" s="7" t="inlineStr">
        <is>
          <t>100 a 300 L/ha</t>
        </is>
      </c>
      <c r="I1617" s="7" t="inlineStr">
        <is>
          <t>20 a 40 L/ha</t>
        </is>
      </c>
      <c r="J1617" s="7" t="inlineStr">
        <is>
          <t>14 dias</t>
        </is>
      </c>
    </row>
    <row r="1618" ht="22" customHeight="1">
      <c r="A1618" s="12" t="inlineStr">
        <is>
          <t>CUL-1614</t>
        </is>
      </c>
      <c r="B1618" s="11" t="n">
        <v>322</v>
      </c>
      <c r="C1618" s="13" t="inlineStr">
        <is>
          <t>Nº 109009</t>
        </is>
      </c>
      <c r="D1618" s="14" t="inlineStr">
        <is>
          <t>MANZATE WG</t>
        </is>
      </c>
      <c r="E1618" s="13" t="inlineStr">
        <is>
          <t>Pulverização Agrícola Conforme Bula</t>
        </is>
      </c>
      <c r="F1618" s="13" t="inlineStr">
        <is>
          <t>Milho</t>
        </is>
      </c>
      <c r="G1618" s="13" t="inlineStr">
        <is>
          <t>Cultura Autorizada na Bula</t>
        </is>
      </c>
      <c r="H1618" s="13" t="inlineStr">
        <is>
          <t>100 a 300 L/ha</t>
        </is>
      </c>
      <c r="I1618" s="13" t="inlineStr">
        <is>
          <t>20 a 40 L/ha</t>
        </is>
      </c>
      <c r="J1618" s="13" t="inlineStr">
        <is>
          <t>21 dias</t>
        </is>
      </c>
    </row>
    <row r="1619" ht="22" customHeight="1">
      <c r="A1619" s="6" t="inlineStr">
        <is>
          <t>CUL-1615</t>
        </is>
      </c>
      <c r="B1619" s="5" t="n">
        <v>322</v>
      </c>
      <c r="C1619" s="7" t="inlineStr">
        <is>
          <t>Nº 109009</t>
        </is>
      </c>
      <c r="D1619" s="8" t="inlineStr">
        <is>
          <t>MANZATE WG</t>
        </is>
      </c>
      <c r="E1619" s="7" t="inlineStr">
        <is>
          <t>Pulverização Agrícola Conforme Bula</t>
        </is>
      </c>
      <c r="F1619" s="7" t="inlineStr">
        <is>
          <t>Batata</t>
        </is>
      </c>
      <c r="G1619" s="7" t="inlineStr">
        <is>
          <t>Cultura Autorizada na Bula</t>
        </is>
      </c>
      <c r="H1619" s="7" t="inlineStr">
        <is>
          <t>100 a 300 L/ha</t>
        </is>
      </c>
      <c r="I1619" s="7" t="inlineStr">
        <is>
          <t>20 a 40 L/ha</t>
        </is>
      </c>
      <c r="J1619" s="7" t="inlineStr">
        <is>
          <t>7 dias</t>
        </is>
      </c>
    </row>
    <row r="1620" ht="22" customHeight="1">
      <c r="A1620" s="12" t="inlineStr">
        <is>
          <t>CUL-1616</t>
        </is>
      </c>
      <c r="B1620" s="11" t="n">
        <v>322</v>
      </c>
      <c r="C1620" s="13" t="inlineStr">
        <is>
          <t>Nº 109009</t>
        </is>
      </c>
      <c r="D1620" s="14" t="inlineStr">
        <is>
          <t>MANZATE WG</t>
        </is>
      </c>
      <c r="E1620" s="13" t="inlineStr">
        <is>
          <t>Pulverização Agrícola Conforme Bula</t>
        </is>
      </c>
      <c r="F1620" s="13" t="inlineStr">
        <is>
          <t>Tomate</t>
        </is>
      </c>
      <c r="G1620" s="13" t="inlineStr">
        <is>
          <t>Cultura Autorizada na Bula</t>
        </is>
      </c>
      <c r="H1620" s="13" t="inlineStr">
        <is>
          <t>100 a 300 L/ha</t>
        </is>
      </c>
      <c r="I1620" s="13" t="inlineStr">
        <is>
          <t>20 a 40 L/ha</t>
        </is>
      </c>
      <c r="J1620" s="13" t="inlineStr">
        <is>
          <t>7 dias</t>
        </is>
      </c>
    </row>
    <row r="1621" ht="22" customHeight="1">
      <c r="A1621" s="6" t="inlineStr">
        <is>
          <t>CUL-1617</t>
        </is>
      </c>
      <c r="B1621" s="5" t="n">
        <v>322</v>
      </c>
      <c r="C1621" s="7" t="inlineStr">
        <is>
          <t>Nº 109009</t>
        </is>
      </c>
      <c r="D1621" s="8" t="inlineStr">
        <is>
          <t>MANZATE WG</t>
        </is>
      </c>
      <c r="E1621" s="7" t="inlineStr">
        <is>
          <t>Pulverização Agrícola Conforme Bula</t>
        </is>
      </c>
      <c r="F1621" s="7" t="inlineStr">
        <is>
          <t>Trigo</t>
        </is>
      </c>
      <c r="G1621" s="7" t="inlineStr">
        <is>
          <t>Cultura Autorizada na Bula</t>
        </is>
      </c>
      <c r="H1621" s="7" t="inlineStr">
        <is>
          <t>100 a 300 L/ha</t>
        </is>
      </c>
      <c r="I1621" s="7" t="inlineStr">
        <is>
          <t>20 a 40 L/ha</t>
        </is>
      </c>
      <c r="J1621" s="7" t="inlineStr">
        <is>
          <t>21 dias</t>
        </is>
      </c>
    </row>
    <row r="1622" ht="22" customHeight="1">
      <c r="A1622" s="12" t="inlineStr">
        <is>
          <t>CUL-1618</t>
        </is>
      </c>
      <c r="B1622" s="11" t="n">
        <v>323</v>
      </c>
      <c r="C1622" s="13" t="inlineStr">
        <is>
          <t>SIPEAGRO (UF-XXXXX)</t>
        </is>
      </c>
      <c r="D1622" s="14" t="inlineStr">
        <is>
          <t>RIZOKOP</t>
        </is>
      </c>
      <c r="E1622" s="13" t="inlineStr">
        <is>
          <t>Pulverização Agrícola Conforme Bula</t>
        </is>
      </c>
      <c r="F1622" s="13" t="inlineStr">
        <is>
          <t>Milho</t>
        </is>
      </c>
      <c r="G1622" s="13" t="inlineStr">
        <is>
          <t>Cultura Autorizada na Bula</t>
        </is>
      </c>
      <c r="H1622" s="13" t="inlineStr">
        <is>
          <t>100 a 300 L/ha</t>
        </is>
      </c>
      <c r="I1622" s="13" t="inlineStr">
        <is>
          <t>20 a 40 L/ha</t>
        </is>
      </c>
      <c r="J1622" s="13" t="inlineStr">
        <is>
          <t>0 (Isento)</t>
        </is>
      </c>
    </row>
    <row r="1623" ht="22" customHeight="1">
      <c r="A1623" s="6" t="inlineStr">
        <is>
          <t>CUL-1619</t>
        </is>
      </c>
      <c r="B1623" s="5" t="n">
        <v>323</v>
      </c>
      <c r="C1623" s="7" t="inlineStr">
        <is>
          <t>SIPEAGRO (UF-XXXXX)</t>
        </is>
      </c>
      <c r="D1623" s="8" t="inlineStr">
        <is>
          <t>RIZOKOP</t>
        </is>
      </c>
      <c r="E1623" s="7" t="inlineStr">
        <is>
          <t>Pulverização Agrícola Conforme Bula</t>
        </is>
      </c>
      <c r="F1623" s="7" t="inlineStr">
        <is>
          <t>Soja (Coinoculação)</t>
        </is>
      </c>
      <c r="G1623" s="7" t="inlineStr">
        <is>
          <t>Cultura Autorizada na Bula</t>
        </is>
      </c>
      <c r="H1623" s="7" t="inlineStr">
        <is>
          <t>100 a 300 L/ha</t>
        </is>
      </c>
      <c r="I1623" s="7" t="inlineStr">
        <is>
          <t>20 a 40 L/ha</t>
        </is>
      </c>
      <c r="J1623" s="7" t="inlineStr">
        <is>
          <t>0 (Isento)</t>
        </is>
      </c>
    </row>
    <row r="1624" ht="22" customHeight="1">
      <c r="A1624" s="12" t="inlineStr">
        <is>
          <t>CUL-1620</t>
        </is>
      </c>
      <c r="B1624" s="11" t="n">
        <v>323</v>
      </c>
      <c r="C1624" s="13" t="inlineStr">
        <is>
          <t>SIPEAGRO (UF-XXXXX)</t>
        </is>
      </c>
      <c r="D1624" s="14" t="inlineStr">
        <is>
          <t>RIZOKOP</t>
        </is>
      </c>
      <c r="E1624" s="13" t="inlineStr">
        <is>
          <t>Pulverização Agrícola Conforme Bula</t>
        </is>
      </c>
      <c r="F1624" s="13" t="inlineStr">
        <is>
          <t>Trigo</t>
        </is>
      </c>
      <c r="G1624" s="13" t="inlineStr">
        <is>
          <t>Cultura Autorizada na Bula</t>
        </is>
      </c>
      <c r="H1624" s="13" t="inlineStr">
        <is>
          <t>100 a 300 L/ha</t>
        </is>
      </c>
      <c r="I1624" s="13" t="inlineStr">
        <is>
          <t>20 a 40 L/ha</t>
        </is>
      </c>
      <c r="J1624" s="13" t="inlineStr">
        <is>
          <t>0 (Isento)</t>
        </is>
      </c>
    </row>
    <row r="1625" ht="22" customHeight="1">
      <c r="A1625" s="6" t="inlineStr">
        <is>
          <t>CUL-1621</t>
        </is>
      </c>
      <c r="B1625" s="5" t="n">
        <v>323</v>
      </c>
      <c r="C1625" s="7" t="inlineStr">
        <is>
          <t>SIPEAGRO (UF-XXXXX)</t>
        </is>
      </c>
      <c r="D1625" s="8" t="inlineStr">
        <is>
          <t>RIZOKOP</t>
        </is>
      </c>
      <c r="E1625" s="7" t="inlineStr">
        <is>
          <t>Pulverização Agrícola Conforme Bula</t>
        </is>
      </c>
      <c r="F1625" s="7" t="inlineStr">
        <is>
          <t>Pastagens (Brachiaria)</t>
        </is>
      </c>
      <c r="G1625" s="7" t="inlineStr">
        <is>
          <t>Cultura Autorizada na Bula</t>
        </is>
      </c>
      <c r="H1625" s="7" t="inlineStr">
        <is>
          <t>100 a 300 L/ha</t>
        </is>
      </c>
      <c r="I1625" s="7" t="inlineStr">
        <is>
          <t>20 a 40 L/ha</t>
        </is>
      </c>
      <c r="J1625" s="7" t="inlineStr">
        <is>
          <t>0 (Isento)</t>
        </is>
      </c>
    </row>
    <row r="1626" ht="22" customHeight="1">
      <c r="A1626" s="12" t="inlineStr">
        <is>
          <t>CUL-1622</t>
        </is>
      </c>
      <c r="B1626" s="11" t="n">
        <v>324</v>
      </c>
      <c r="C1626" s="13" t="inlineStr">
        <is>
          <t>Nº 9622</t>
        </is>
      </c>
      <c r="D1626" s="14" t="inlineStr">
        <is>
          <t>CLOROTALONIL C</t>
        </is>
      </c>
      <c r="E1626" s="13" t="inlineStr">
        <is>
          <t>Pulverização Agrícola Conforme Bula</t>
        </is>
      </c>
      <c r="F1626" s="13" t="inlineStr">
        <is>
          <t>Soja</t>
        </is>
      </c>
      <c r="G1626" s="13" t="inlineStr">
        <is>
          <t>Cultura Autorizada na Bula</t>
        </is>
      </c>
      <c r="H1626" s="13" t="inlineStr">
        <is>
          <t>100 a 300 L/ha</t>
        </is>
      </c>
      <c r="I1626" s="13" t="inlineStr">
        <is>
          <t>20 a 40 L/ha</t>
        </is>
      </c>
      <c r="J1626" s="13" t="inlineStr">
        <is>
          <t>14 dias</t>
        </is>
      </c>
    </row>
    <row r="1627" ht="22" customHeight="1">
      <c r="A1627" s="6" t="inlineStr">
        <is>
          <t>CUL-1623</t>
        </is>
      </c>
      <c r="B1627" s="5" t="n">
        <v>324</v>
      </c>
      <c r="C1627" s="7" t="inlineStr">
        <is>
          <t>Nº 9622</t>
        </is>
      </c>
      <c r="D1627" s="8" t="inlineStr">
        <is>
          <t>CLOROTALONIL C</t>
        </is>
      </c>
      <c r="E1627" s="7" t="inlineStr">
        <is>
          <t>Pulverização Agrícola Conforme Bula</t>
        </is>
      </c>
      <c r="F1627" s="7" t="inlineStr">
        <is>
          <t>Algodão</t>
        </is>
      </c>
      <c r="G1627" s="7" t="inlineStr">
        <is>
          <t>Cultura Autorizada na Bula</t>
        </is>
      </c>
      <c r="H1627" s="7" t="inlineStr">
        <is>
          <t>100 a 300 L/ha</t>
        </is>
      </c>
      <c r="I1627" s="7" t="inlineStr">
        <is>
          <t>20 a 40 L/ha</t>
        </is>
      </c>
      <c r="J1627" s="7" t="inlineStr">
        <is>
          <t>14 dias</t>
        </is>
      </c>
    </row>
    <row r="1628" ht="22" customHeight="1">
      <c r="A1628" s="12" t="inlineStr">
        <is>
          <t>CUL-1624</t>
        </is>
      </c>
      <c r="B1628" s="11" t="n">
        <v>324</v>
      </c>
      <c r="C1628" s="13" t="inlineStr">
        <is>
          <t>Nº 9622</t>
        </is>
      </c>
      <c r="D1628" s="14" t="inlineStr">
        <is>
          <t>CLOROTALONIL C</t>
        </is>
      </c>
      <c r="E1628" s="13" t="inlineStr">
        <is>
          <t>Pulverização Agrícola Conforme Bula</t>
        </is>
      </c>
      <c r="F1628" s="13" t="inlineStr">
        <is>
          <t>Feijão</t>
        </is>
      </c>
      <c r="G1628" s="13" t="inlineStr">
        <is>
          <t>Cultura Autorizada na Bula</t>
        </is>
      </c>
      <c r="H1628" s="13" t="inlineStr">
        <is>
          <t>100 a 300 L/ha</t>
        </is>
      </c>
      <c r="I1628" s="13" t="inlineStr">
        <is>
          <t>20 a 40 L/ha</t>
        </is>
      </c>
      <c r="J1628" s="13" t="inlineStr">
        <is>
          <t>14 dias</t>
        </is>
      </c>
    </row>
    <row r="1629" ht="22" customHeight="1">
      <c r="A1629" s="6" t="inlineStr">
        <is>
          <t>CUL-1625</t>
        </is>
      </c>
      <c r="B1629" s="5" t="n">
        <v>324</v>
      </c>
      <c r="C1629" s="7" t="inlineStr">
        <is>
          <t>Nº 9622</t>
        </is>
      </c>
      <c r="D1629" s="8" t="inlineStr">
        <is>
          <t>CLOROTALONIL C</t>
        </is>
      </c>
      <c r="E1629" s="7" t="inlineStr">
        <is>
          <t>Pulverização Agrícola Conforme Bula</t>
        </is>
      </c>
      <c r="F1629" s="7" t="inlineStr">
        <is>
          <t>Milho</t>
        </is>
      </c>
      <c r="G1629" s="7" t="inlineStr">
        <is>
          <t>Cultura Autorizada na Bula</t>
        </is>
      </c>
      <c r="H1629" s="7" t="inlineStr">
        <is>
          <t>100 a 300 L/ha</t>
        </is>
      </c>
      <c r="I1629" s="7" t="inlineStr">
        <is>
          <t>20 a 40 L/ha</t>
        </is>
      </c>
      <c r="J1629" s="7" t="inlineStr">
        <is>
          <t>14 dias</t>
        </is>
      </c>
    </row>
    <row r="1630" ht="22" customHeight="1">
      <c r="A1630" s="12" t="inlineStr">
        <is>
          <t>CUL-1626</t>
        </is>
      </c>
      <c r="B1630" s="11" t="n">
        <v>324</v>
      </c>
      <c r="C1630" s="13" t="inlineStr">
        <is>
          <t>Nº 9622</t>
        </is>
      </c>
      <c r="D1630" s="14" t="inlineStr">
        <is>
          <t>CLOROTALONIL C</t>
        </is>
      </c>
      <c r="E1630" s="13" t="inlineStr">
        <is>
          <t>Pulverização Agrícola Conforme Bula</t>
        </is>
      </c>
      <c r="F1630" s="13" t="inlineStr">
        <is>
          <t>Trigo</t>
        </is>
      </c>
      <c r="G1630" s="13" t="inlineStr">
        <is>
          <t>Cultura Autorizada na Bula</t>
        </is>
      </c>
      <c r="H1630" s="13" t="inlineStr">
        <is>
          <t>100 a 300 L/ha</t>
        </is>
      </c>
      <c r="I1630" s="13" t="inlineStr">
        <is>
          <t>20 a 40 L/ha</t>
        </is>
      </c>
      <c r="J1630" s="13" t="inlineStr">
        <is>
          <t>30 dias</t>
        </is>
      </c>
    </row>
    <row r="1631" ht="22" customHeight="1">
      <c r="A1631" s="6" t="inlineStr">
        <is>
          <t>CUL-1627</t>
        </is>
      </c>
      <c r="B1631" s="5" t="n">
        <v>324</v>
      </c>
      <c r="C1631" s="7" t="inlineStr">
        <is>
          <t>Nº 9622</t>
        </is>
      </c>
      <c r="D1631" s="8" t="inlineStr">
        <is>
          <t>CLOROTALONIL C</t>
        </is>
      </c>
      <c r="E1631" s="7" t="inlineStr">
        <is>
          <t>Pulverização Agrícola Conforme Bula</t>
        </is>
      </c>
      <c r="F1631" s="7" t="inlineStr">
        <is>
          <t>Batata</t>
        </is>
      </c>
      <c r="G1631" s="7" t="inlineStr">
        <is>
          <t>Cultura Autorizada na Bula</t>
        </is>
      </c>
      <c r="H1631" s="7" t="inlineStr">
        <is>
          <t>100 a 300 L/ha</t>
        </is>
      </c>
      <c r="I1631" s="7" t="inlineStr">
        <is>
          <t>20 a 40 L/ha</t>
        </is>
      </c>
      <c r="J1631" s="7" t="inlineStr">
        <is>
          <t>7 dias</t>
        </is>
      </c>
    </row>
    <row r="1632" ht="22" customHeight="1">
      <c r="A1632" s="12" t="inlineStr">
        <is>
          <t>CUL-1628</t>
        </is>
      </c>
      <c r="B1632" s="11" t="n">
        <v>324</v>
      </c>
      <c r="C1632" s="13" t="inlineStr">
        <is>
          <t>Nº 9622</t>
        </is>
      </c>
      <c r="D1632" s="14" t="inlineStr">
        <is>
          <t>CLOROTALONIL C</t>
        </is>
      </c>
      <c r="E1632" s="13" t="inlineStr">
        <is>
          <t>Pulverização Agrícola Conforme Bula</t>
        </is>
      </c>
      <c r="F1632" s="13" t="inlineStr">
        <is>
          <t>Café</t>
        </is>
      </c>
      <c r="G1632" s="13" t="inlineStr">
        <is>
          <t>Cultura Autorizada na Bula</t>
        </is>
      </c>
      <c r="H1632" s="13" t="inlineStr">
        <is>
          <t>100 a 300 L/ha</t>
        </is>
      </c>
      <c r="I1632" s="13" t="inlineStr">
        <is>
          <t>20 a 40 L/ha</t>
        </is>
      </c>
      <c r="J1632" s="13" t="inlineStr">
        <is>
          <t>30 dias</t>
        </is>
      </c>
    </row>
    <row r="1633" ht="22" customHeight="1">
      <c r="A1633" s="6" t="inlineStr">
        <is>
          <t>CUL-1629</t>
        </is>
      </c>
      <c r="B1633" s="5" t="n">
        <v>324</v>
      </c>
      <c r="C1633" s="7" t="inlineStr">
        <is>
          <t>Nº 9622</t>
        </is>
      </c>
      <c r="D1633" s="8" t="inlineStr">
        <is>
          <t>CLOROTALONIL C</t>
        </is>
      </c>
      <c r="E1633" s="7" t="inlineStr">
        <is>
          <t>Pulverização Agrícola Conforme Bula</t>
        </is>
      </c>
      <c r="F1633" s="7" t="inlineStr">
        <is>
          <t>Tomate</t>
        </is>
      </c>
      <c r="G1633" s="7" t="inlineStr">
        <is>
          <t>Cultura Autorizada na Bula</t>
        </is>
      </c>
      <c r="H1633" s="7" t="inlineStr">
        <is>
          <t>100 a 300 L/ha</t>
        </is>
      </c>
      <c r="I1633" s="7" t="inlineStr">
        <is>
          <t>20 a 40 L/ha</t>
        </is>
      </c>
      <c r="J1633" s="7" t="inlineStr">
        <is>
          <t>7 dias</t>
        </is>
      </c>
    </row>
    <row r="1634" ht="22" customHeight="1">
      <c r="A1634" s="12" t="inlineStr">
        <is>
          <t>CUL-1630</t>
        </is>
      </c>
      <c r="B1634" s="11" t="n">
        <v>325</v>
      </c>
      <c r="C1634" s="13" t="inlineStr">
        <is>
          <t>Nº 17119</t>
        </is>
      </c>
      <c r="D1634" s="14" t="inlineStr">
        <is>
          <t>DIFO 250 EC</t>
        </is>
      </c>
      <c r="E1634" s="13" t="inlineStr">
        <is>
          <t>Pulverização Agrícola Conforme Bula</t>
        </is>
      </c>
      <c r="F1634" s="13" t="inlineStr">
        <is>
          <t>Soja</t>
        </is>
      </c>
      <c r="G1634" s="13" t="inlineStr">
        <is>
          <t>Cultura Autorizada na Bula</t>
        </is>
      </c>
      <c r="H1634" s="13" t="inlineStr">
        <is>
          <t>100 a 300 L/ha</t>
        </is>
      </c>
      <c r="I1634" s="13" t="inlineStr">
        <is>
          <t>20 a 40 L/ha</t>
        </is>
      </c>
      <c r="J1634" s="13" t="inlineStr">
        <is>
          <t>30 dias</t>
        </is>
      </c>
    </row>
    <row r="1635" ht="22" customHeight="1">
      <c r="A1635" s="6" t="inlineStr">
        <is>
          <t>CUL-1631</t>
        </is>
      </c>
      <c r="B1635" s="5" t="n">
        <v>325</v>
      </c>
      <c r="C1635" s="7" t="inlineStr">
        <is>
          <t>Nº 17119</t>
        </is>
      </c>
      <c r="D1635" s="8" t="inlineStr">
        <is>
          <t>DIFO 250 EC</t>
        </is>
      </c>
      <c r="E1635" s="7" t="inlineStr">
        <is>
          <t>Pulverização Agrícola Conforme Bula</t>
        </is>
      </c>
      <c r="F1635" s="7" t="inlineStr">
        <is>
          <t>Algodão</t>
        </is>
      </c>
      <c r="G1635" s="7" t="inlineStr">
        <is>
          <t>Cultura Autorizada na Bula</t>
        </is>
      </c>
      <c r="H1635" s="7" t="inlineStr">
        <is>
          <t>100 a 300 L/ha</t>
        </is>
      </c>
      <c r="I1635" s="7" t="inlineStr">
        <is>
          <t>20 a 40 L/ha</t>
        </is>
      </c>
      <c r="J1635" s="7" t="inlineStr">
        <is>
          <t>30 dias</t>
        </is>
      </c>
    </row>
    <row r="1636" ht="22" customHeight="1">
      <c r="A1636" s="12" t="inlineStr">
        <is>
          <t>CUL-1632</t>
        </is>
      </c>
      <c r="B1636" s="11" t="n">
        <v>325</v>
      </c>
      <c r="C1636" s="13" t="inlineStr">
        <is>
          <t>Nº 17119</t>
        </is>
      </c>
      <c r="D1636" s="14" t="inlineStr">
        <is>
          <t>DIFO 250 EC</t>
        </is>
      </c>
      <c r="E1636" s="13" t="inlineStr">
        <is>
          <t>Pulverização Agrícola Conforme Bula</t>
        </is>
      </c>
      <c r="F1636" s="13" t="inlineStr">
        <is>
          <t>Feijão</t>
        </is>
      </c>
      <c r="G1636" s="13" t="inlineStr">
        <is>
          <t>Cultura Autorizada na Bula</t>
        </is>
      </c>
      <c r="H1636" s="13" t="inlineStr">
        <is>
          <t>100 a 300 L/ha</t>
        </is>
      </c>
      <c r="I1636" s="13" t="inlineStr">
        <is>
          <t>20 a 40 L/ha</t>
        </is>
      </c>
      <c r="J1636" s="13" t="inlineStr">
        <is>
          <t>14 dias</t>
        </is>
      </c>
    </row>
    <row r="1637" ht="22" customHeight="1">
      <c r="A1637" s="6" t="inlineStr">
        <is>
          <t>CUL-1633</t>
        </is>
      </c>
      <c r="B1637" s="5" t="n">
        <v>325</v>
      </c>
      <c r="C1637" s="7" t="inlineStr">
        <is>
          <t>Nº 17119</t>
        </is>
      </c>
      <c r="D1637" s="8" t="inlineStr">
        <is>
          <t>DIFO 250 EC</t>
        </is>
      </c>
      <c r="E1637" s="7" t="inlineStr">
        <is>
          <t>Pulverização Agrícola Conforme Bula</t>
        </is>
      </c>
      <c r="F1637" s="7" t="inlineStr">
        <is>
          <t>Arroz</t>
        </is>
      </c>
      <c r="G1637" s="7" t="inlineStr">
        <is>
          <t>Cultura Autorizada na Bula</t>
        </is>
      </c>
      <c r="H1637" s="7" t="inlineStr">
        <is>
          <t>100 a 300 L/ha</t>
        </is>
      </c>
      <c r="I1637" s="7" t="inlineStr">
        <is>
          <t>20 a 40 L/ha</t>
        </is>
      </c>
      <c r="J1637" s="7" t="inlineStr">
        <is>
          <t>40 dias</t>
        </is>
      </c>
    </row>
    <row r="1638" ht="22" customHeight="1">
      <c r="A1638" s="12" t="inlineStr">
        <is>
          <t>CUL-1634</t>
        </is>
      </c>
      <c r="B1638" s="11" t="n">
        <v>325</v>
      </c>
      <c r="C1638" s="13" t="inlineStr">
        <is>
          <t>Nº 17119</t>
        </is>
      </c>
      <c r="D1638" s="14" t="inlineStr">
        <is>
          <t>DIFO 250 EC</t>
        </is>
      </c>
      <c r="E1638" s="13" t="inlineStr">
        <is>
          <t>Pulverização Agrícola Conforme Bula</t>
        </is>
      </c>
      <c r="F1638" s="13" t="inlineStr">
        <is>
          <t>Café</t>
        </is>
      </c>
      <c r="G1638" s="13" t="inlineStr">
        <is>
          <t>Cultura Autorizada na Bula</t>
        </is>
      </c>
      <c r="H1638" s="13" t="inlineStr">
        <is>
          <t>100 a 300 L/ha</t>
        </is>
      </c>
      <c r="I1638" s="13" t="inlineStr">
        <is>
          <t>20 a 40 L/ha</t>
        </is>
      </c>
      <c r="J1638" s="13" t="inlineStr">
        <is>
          <t>30 dias</t>
        </is>
      </c>
    </row>
    <row r="1639" ht="22" customHeight="1">
      <c r="A1639" s="6" t="inlineStr">
        <is>
          <t>CUL-1635</t>
        </is>
      </c>
      <c r="B1639" s="5" t="n">
        <v>325</v>
      </c>
      <c r="C1639" s="7" t="inlineStr">
        <is>
          <t>Nº 17119</t>
        </is>
      </c>
      <c r="D1639" s="8" t="inlineStr">
        <is>
          <t>DIFO 250 EC</t>
        </is>
      </c>
      <c r="E1639" s="7" t="inlineStr">
        <is>
          <t>Pulverização Agrícola Conforme Bula</t>
        </is>
      </c>
      <c r="F1639" s="7" t="inlineStr">
        <is>
          <t>Trigo</t>
        </is>
      </c>
      <c r="G1639" s="7" t="inlineStr">
        <is>
          <t>Cultura Autorizada na Bula</t>
        </is>
      </c>
      <c r="H1639" s="7" t="inlineStr">
        <is>
          <t>100 a 300 L/ha</t>
        </is>
      </c>
      <c r="I1639" s="7" t="inlineStr">
        <is>
          <t>20 a 40 L/ha</t>
        </is>
      </c>
      <c r="J1639" s="7" t="inlineStr">
        <is>
          <t>35 dias</t>
        </is>
      </c>
    </row>
    <row r="1640" ht="22" customHeight="1">
      <c r="A1640" s="12" t="inlineStr">
        <is>
          <t>CUL-1636</t>
        </is>
      </c>
      <c r="B1640" s="11" t="n">
        <v>325</v>
      </c>
      <c r="C1640" s="13" t="inlineStr">
        <is>
          <t>Nº 17119</t>
        </is>
      </c>
      <c r="D1640" s="14" t="inlineStr">
        <is>
          <t>DIFO 250 EC</t>
        </is>
      </c>
      <c r="E1640" s="13" t="inlineStr">
        <is>
          <t>Pulverização Agrícola Conforme Bula</t>
        </is>
      </c>
      <c r="F1640" s="13" t="inlineStr">
        <is>
          <t>Tomate</t>
        </is>
      </c>
      <c r="G1640" s="13" t="inlineStr">
        <is>
          <t>Cultura Autorizada na Bula</t>
        </is>
      </c>
      <c r="H1640" s="13" t="inlineStr">
        <is>
          <t>100 a 300 L/ha</t>
        </is>
      </c>
      <c r="I1640" s="13" t="inlineStr">
        <is>
          <t>20 a 40 L/ha</t>
        </is>
      </c>
      <c r="J1640" s="13" t="inlineStr">
        <is>
          <t>7 dias</t>
        </is>
      </c>
    </row>
    <row r="1641" ht="22" customHeight="1">
      <c r="A1641" s="6" t="inlineStr">
        <is>
          <t>CUL-1637</t>
        </is>
      </c>
      <c r="B1641" s="5" t="n">
        <v>326</v>
      </c>
      <c r="C1641" s="7" t="inlineStr">
        <is>
          <t>Nº 10023</t>
        </is>
      </c>
      <c r="D1641" s="8" t="inlineStr">
        <is>
          <t>XEQUE MATE SG</t>
        </is>
      </c>
      <c r="E1641" s="7" t="inlineStr">
        <is>
          <t>Pulverização Agrícola Conforme Bula</t>
        </is>
      </c>
      <c r="F1641" s="7" t="inlineStr">
        <is>
          <t>Soja (Pré-Plantio / OGM)</t>
        </is>
      </c>
      <c r="G1641" s="7" t="inlineStr">
        <is>
          <t>Cultura Autorizada na Bula</t>
        </is>
      </c>
      <c r="H1641" s="7" t="inlineStr">
        <is>
          <t>100 a 300 L/ha</t>
        </is>
      </c>
      <c r="I1641" s="7" t="inlineStr">
        <is>
          <t>20 a 40 L/ha</t>
        </is>
      </c>
      <c r="J1641" s="7" t="inlineStr">
        <is>
          <t>56 dias</t>
        </is>
      </c>
    </row>
    <row r="1642" ht="22" customHeight="1">
      <c r="A1642" s="12" t="inlineStr">
        <is>
          <t>CUL-1638</t>
        </is>
      </c>
      <c r="B1642" s="11" t="n">
        <v>326</v>
      </c>
      <c r="C1642" s="13" t="inlineStr">
        <is>
          <t>Nº 10023</t>
        </is>
      </c>
      <c r="D1642" s="14" t="inlineStr">
        <is>
          <t>XEQUE MATE SG</t>
        </is>
      </c>
      <c r="E1642" s="13" t="inlineStr">
        <is>
          <t>Pulverização Agrícola Conforme Bula</t>
        </is>
      </c>
      <c r="F1642" s="13" t="inlineStr">
        <is>
          <t>Milho (Pré-Plantio / OGM)</t>
        </is>
      </c>
      <c r="G1642" s="13" t="inlineStr">
        <is>
          <t>Cultura Autorizada na Bula</t>
        </is>
      </c>
      <c r="H1642" s="13" t="inlineStr">
        <is>
          <t>100 a 300 L/ha</t>
        </is>
      </c>
      <c r="I1642" s="13" t="inlineStr">
        <is>
          <t>20 a 40 L/ha</t>
        </is>
      </c>
      <c r="J1642" s="13" t="inlineStr">
        <is>
          <t>90 dias</t>
        </is>
      </c>
    </row>
    <row r="1643" ht="22" customHeight="1">
      <c r="A1643" s="6" t="inlineStr">
        <is>
          <t>CUL-1639</t>
        </is>
      </c>
      <c r="B1643" s="5" t="n">
        <v>326</v>
      </c>
      <c r="C1643" s="7" t="inlineStr">
        <is>
          <t>Nº 10023</t>
        </is>
      </c>
      <c r="D1643" s="8" t="inlineStr">
        <is>
          <t>XEQUE MATE SG</t>
        </is>
      </c>
      <c r="E1643" s="7" t="inlineStr">
        <is>
          <t>Pulverização Agrícola Conforme Bula</t>
        </is>
      </c>
      <c r="F1643" s="7" t="inlineStr">
        <is>
          <t>Algodão (Pré-Plantio / OGM)</t>
        </is>
      </c>
      <c r="G1643" s="7" t="inlineStr">
        <is>
          <t>Cultura Autorizada na Bula</t>
        </is>
      </c>
      <c r="H1643" s="7" t="inlineStr">
        <is>
          <t>100 a 300 L/ha</t>
        </is>
      </c>
      <c r="I1643" s="7" t="inlineStr">
        <is>
          <t>20 a 40 L/ha</t>
        </is>
      </c>
      <c r="J1643" s="7" t="inlineStr">
        <is>
          <t>130 dias</t>
        </is>
      </c>
    </row>
    <row r="1644" ht="22" customHeight="1">
      <c r="A1644" s="12" t="inlineStr">
        <is>
          <t>CUL-1640</t>
        </is>
      </c>
      <c r="B1644" s="11" t="n">
        <v>326</v>
      </c>
      <c r="C1644" s="13" t="inlineStr">
        <is>
          <t>Nº 10023</t>
        </is>
      </c>
      <c r="D1644" s="14" t="inlineStr">
        <is>
          <t>XEQUE MATE SG</t>
        </is>
      </c>
      <c r="E1644" s="13" t="inlineStr">
        <is>
          <t>Pulverização Agrícola Conforme Bula</t>
        </is>
      </c>
      <c r="F1644" s="13" t="inlineStr">
        <is>
          <t>Cana-de-açúcar</t>
        </is>
      </c>
      <c r="G1644" s="13" t="inlineStr">
        <is>
          <t>Cultura Autorizada na Bula</t>
        </is>
      </c>
      <c r="H1644" s="13" t="inlineStr">
        <is>
          <t>100 a 300 L/ha</t>
        </is>
      </c>
      <c r="I1644" s="13" t="inlineStr">
        <is>
          <t>20 a 40 L/ha</t>
        </is>
      </c>
      <c r="J1644" s="13" t="inlineStr">
        <is>
          <t>N/D</t>
        </is>
      </c>
    </row>
    <row r="1645" ht="22" customHeight="1">
      <c r="A1645" s="6" t="inlineStr">
        <is>
          <t>CUL-1641</t>
        </is>
      </c>
      <c r="B1645" s="5" t="n">
        <v>326</v>
      </c>
      <c r="C1645" s="7" t="inlineStr">
        <is>
          <t>Nº 10023</t>
        </is>
      </c>
      <c r="D1645" s="8" t="inlineStr">
        <is>
          <t>XEQUE MATE SG</t>
        </is>
      </c>
      <c r="E1645" s="7" t="inlineStr">
        <is>
          <t>Pulverização Agrícola Conforme Bula</t>
        </is>
      </c>
      <c r="F1645" s="7" t="inlineStr">
        <is>
          <t>Café (Jato Dirigido)</t>
        </is>
      </c>
      <c r="G1645" s="7" t="inlineStr">
        <is>
          <t>Cultura Autorizada na Bula</t>
        </is>
      </c>
      <c r="H1645" s="7" t="inlineStr">
        <is>
          <t>100 a 300 L/ha</t>
        </is>
      </c>
      <c r="I1645" s="7" t="inlineStr">
        <is>
          <t>20 a 40 L/ha</t>
        </is>
      </c>
      <c r="J1645" s="7" t="inlineStr">
        <is>
          <t>15 dias</t>
        </is>
      </c>
    </row>
    <row r="1646" ht="22" customHeight="1">
      <c r="A1646" s="12" t="inlineStr">
        <is>
          <t>CUL-1642</t>
        </is>
      </c>
      <c r="B1646" s="11" t="n">
        <v>326</v>
      </c>
      <c r="C1646" s="13" t="inlineStr">
        <is>
          <t>Nº 10023</t>
        </is>
      </c>
      <c r="D1646" s="14" t="inlineStr">
        <is>
          <t>XEQUE MATE SG</t>
        </is>
      </c>
      <c r="E1646" s="13" t="inlineStr">
        <is>
          <t>Pulverização Agrícola Conforme Bula</t>
        </is>
      </c>
      <c r="F1646" s="13" t="inlineStr">
        <is>
          <t>Citros (Jato Dirigido)</t>
        </is>
      </c>
      <c r="G1646" s="13" t="inlineStr">
        <is>
          <t>Cultura Autorizada na Bula</t>
        </is>
      </c>
      <c r="H1646" s="13" t="inlineStr">
        <is>
          <t>100 a 300 L/ha</t>
        </is>
      </c>
      <c r="I1646" s="13" t="inlineStr">
        <is>
          <t>20 a 40 L/ha</t>
        </is>
      </c>
      <c r="J1646" s="13" t="inlineStr">
        <is>
          <t>30 dias</t>
        </is>
      </c>
    </row>
    <row r="1647" ht="22" customHeight="1">
      <c r="A1647" s="6" t="inlineStr">
        <is>
          <t>CUL-1643</t>
        </is>
      </c>
      <c r="B1647" s="5" t="n">
        <v>326</v>
      </c>
      <c r="C1647" s="7" t="inlineStr">
        <is>
          <t>Nº 10023</t>
        </is>
      </c>
      <c r="D1647" s="8" t="inlineStr">
        <is>
          <t>XEQUE MATE SG</t>
        </is>
      </c>
      <c r="E1647" s="7" t="inlineStr">
        <is>
          <t>Pulverização Agrícola Conforme Bula</t>
        </is>
      </c>
      <c r="F1647" s="7" t="inlineStr">
        <is>
          <t>Trigo (Pré-Plantio)</t>
        </is>
      </c>
      <c r="G1647" s="7" t="inlineStr">
        <is>
          <t>Cultura Autorizada na Bula</t>
        </is>
      </c>
      <c r="H1647" s="7" t="inlineStr">
        <is>
          <t>100 a 300 L/ha</t>
        </is>
      </c>
      <c r="I1647" s="7" t="inlineStr">
        <is>
          <t>20 a 40 L/ha</t>
        </is>
      </c>
      <c r="J1647" s="7" t="inlineStr">
        <is>
          <t>N/D</t>
        </is>
      </c>
    </row>
    <row r="1648" ht="22" customHeight="1">
      <c r="A1648" s="12" t="inlineStr">
        <is>
          <t>CUL-1644</t>
        </is>
      </c>
      <c r="B1648" s="11" t="n">
        <v>326</v>
      </c>
      <c r="C1648" s="13" t="inlineStr">
        <is>
          <t>Nº 10023</t>
        </is>
      </c>
      <c r="D1648" s="14" t="inlineStr">
        <is>
          <t>XEQUE MATE SG</t>
        </is>
      </c>
      <c r="E1648" s="13" t="inlineStr">
        <is>
          <t>Pulverização Agrícola Conforme Bula</t>
        </is>
      </c>
      <c r="F1648" s="13" t="inlineStr">
        <is>
          <t>Pastagens</t>
        </is>
      </c>
      <c r="G1648" s="13" t="inlineStr">
        <is>
          <t>Cultura Autorizada na Bula</t>
        </is>
      </c>
      <c r="H1648" s="13" t="inlineStr">
        <is>
          <t>100 a 300 L/ha</t>
        </is>
      </c>
      <c r="I1648" s="13" t="inlineStr">
        <is>
          <t>20 a 40 L/ha</t>
        </is>
      </c>
      <c r="J1648" s="13" t="inlineStr">
        <is>
          <t>N/D</t>
        </is>
      </c>
    </row>
    <row r="1649" ht="22" customHeight="1">
      <c r="A1649" s="6" t="inlineStr">
        <is>
          <t>CUL-1645</t>
        </is>
      </c>
      <c r="B1649" s="5" t="n">
        <v>327</v>
      </c>
      <c r="C1649" s="7" t="inlineStr">
        <is>
          <t>Nº 10623</t>
        </is>
      </c>
      <c r="D1649" s="8" t="inlineStr">
        <is>
          <t>PREVENT GOLD</t>
        </is>
      </c>
      <c r="E1649" s="7" t="inlineStr">
        <is>
          <t>Pulverização Agrícola Conforme Bula</t>
        </is>
      </c>
      <c r="F1649" s="7" t="inlineStr">
        <is>
          <t>Soja</t>
        </is>
      </c>
      <c r="G1649" s="7" t="inlineStr">
        <is>
          <t>Cultura Autorizada na Bula</t>
        </is>
      </c>
      <c r="H1649" s="7" t="inlineStr">
        <is>
          <t>100 a 300 L/ha</t>
        </is>
      </c>
      <c r="I1649" s="7" t="inlineStr">
        <is>
          <t>20 a 40 L/ha</t>
        </is>
      </c>
      <c r="J1649" s="7" t="inlineStr">
        <is>
          <t>N/D</t>
        </is>
      </c>
    </row>
    <row r="1650" ht="22" customHeight="1">
      <c r="A1650" s="12" t="inlineStr">
        <is>
          <t>CUL-1646</t>
        </is>
      </c>
      <c r="B1650" s="11" t="n">
        <v>327</v>
      </c>
      <c r="C1650" s="13" t="inlineStr">
        <is>
          <t>Nº 10623</t>
        </is>
      </c>
      <c r="D1650" s="14" t="inlineStr">
        <is>
          <t>PREVENT GOLD</t>
        </is>
      </c>
      <c r="E1650" s="13" t="inlineStr">
        <is>
          <t>Pulverização Agrícola Conforme Bula</t>
        </is>
      </c>
      <c r="F1650" s="13" t="inlineStr">
        <is>
          <t>Milho</t>
        </is>
      </c>
      <c r="G1650" s="13" t="inlineStr">
        <is>
          <t>Cultura Autorizada na Bula</t>
        </is>
      </c>
      <c r="H1650" s="13" t="inlineStr">
        <is>
          <t>100 a 300 L/ha</t>
        </is>
      </c>
      <c r="I1650" s="13" t="inlineStr">
        <is>
          <t>20 a 40 L/ha</t>
        </is>
      </c>
      <c r="J1650" s="13" t="inlineStr">
        <is>
          <t>N/D</t>
        </is>
      </c>
    </row>
    <row r="1651" ht="22" customHeight="1">
      <c r="A1651" s="6" t="inlineStr">
        <is>
          <t>CUL-1647</t>
        </is>
      </c>
      <c r="B1651" s="5" t="n">
        <v>327</v>
      </c>
      <c r="C1651" s="7" t="inlineStr">
        <is>
          <t>Nº 10623</t>
        </is>
      </c>
      <c r="D1651" s="8" t="inlineStr">
        <is>
          <t>PREVENT GOLD</t>
        </is>
      </c>
      <c r="E1651" s="7" t="inlineStr">
        <is>
          <t>Pulverização Agrícola Conforme Bula</t>
        </is>
      </c>
      <c r="F1651" s="7" t="inlineStr">
        <is>
          <t>Algodão</t>
        </is>
      </c>
      <c r="G1651" s="7" t="inlineStr">
        <is>
          <t>Cultura Autorizada na Bula</t>
        </is>
      </c>
      <c r="H1651" s="7" t="inlineStr">
        <is>
          <t>100 a 300 L/ha</t>
        </is>
      </c>
      <c r="I1651" s="7" t="inlineStr">
        <is>
          <t>20 a 40 L/ha</t>
        </is>
      </c>
      <c r="J1651" s="7" t="inlineStr">
        <is>
          <t>N/D</t>
        </is>
      </c>
    </row>
    <row r="1652" ht="22" customHeight="1">
      <c r="A1652" s="12" t="inlineStr">
        <is>
          <t>CUL-1648</t>
        </is>
      </c>
      <c r="B1652" s="11" t="n">
        <v>327</v>
      </c>
      <c r="C1652" s="13" t="inlineStr">
        <is>
          <t>Nº 10623</t>
        </is>
      </c>
      <c r="D1652" s="14" t="inlineStr">
        <is>
          <t>PREVENT GOLD</t>
        </is>
      </c>
      <c r="E1652" s="13" t="inlineStr">
        <is>
          <t>Pulverização Agrícola Conforme Bula</t>
        </is>
      </c>
      <c r="F1652" s="13" t="inlineStr">
        <is>
          <t>Cana-de-açúcar</t>
        </is>
      </c>
      <c r="G1652" s="13" t="inlineStr">
        <is>
          <t>Cultura Autorizada na Bula</t>
        </is>
      </c>
      <c r="H1652" s="13" t="inlineStr">
        <is>
          <t>100 a 300 L/ha</t>
        </is>
      </c>
      <c r="I1652" s="13" t="inlineStr">
        <is>
          <t>20 a 40 L/ha</t>
        </is>
      </c>
      <c r="J1652" s="13" t="inlineStr">
        <is>
          <t>N/D</t>
        </is>
      </c>
    </row>
    <row r="1653" ht="22" customHeight="1">
      <c r="A1653" s="6" t="inlineStr">
        <is>
          <t>CUL-1649</t>
        </is>
      </c>
      <c r="B1653" s="5" t="n">
        <v>327</v>
      </c>
      <c r="C1653" s="7" t="inlineStr">
        <is>
          <t>Nº 10623</t>
        </is>
      </c>
      <c r="D1653" s="8" t="inlineStr">
        <is>
          <t>PREVENT GOLD</t>
        </is>
      </c>
      <c r="E1653" s="7" t="inlineStr">
        <is>
          <t>Pulverização Agrícola Conforme Bula</t>
        </is>
      </c>
      <c r="F1653" s="7" t="inlineStr">
        <is>
          <t>Feijão</t>
        </is>
      </c>
      <c r="G1653" s="7" t="inlineStr">
        <is>
          <t>Cultura Autorizada na Bula</t>
        </is>
      </c>
      <c r="H1653" s="7" t="inlineStr">
        <is>
          <t>100 a 300 L/ha</t>
        </is>
      </c>
      <c r="I1653" s="7" t="inlineStr">
        <is>
          <t>20 a 40 L/ha</t>
        </is>
      </c>
      <c r="J1653" s="7" t="inlineStr">
        <is>
          <t>N/D</t>
        </is>
      </c>
    </row>
    <row r="1654" ht="22" customHeight="1">
      <c r="A1654" s="12" t="inlineStr">
        <is>
          <t>CUL-1650</t>
        </is>
      </c>
      <c r="B1654" s="11" t="n">
        <v>328</v>
      </c>
      <c r="C1654" s="13" t="inlineStr">
        <is>
          <t>Nº 3518</t>
        </is>
      </c>
      <c r="D1654" s="14" t="inlineStr">
        <is>
          <t>VERDICT(TM)</t>
        </is>
      </c>
      <c r="E1654" s="13" t="inlineStr">
        <is>
          <t>Pulverização Agrícola Conforme Bula</t>
        </is>
      </c>
      <c r="F1654" s="13" t="inlineStr">
        <is>
          <t>Soja</t>
        </is>
      </c>
      <c r="G1654" s="13" t="inlineStr">
        <is>
          <t>Cultura Autorizada na Bula</t>
        </is>
      </c>
      <c r="H1654" s="13" t="inlineStr">
        <is>
          <t>100 a 300 L/ha</t>
        </is>
      </c>
      <c r="I1654" s="13" t="inlineStr">
        <is>
          <t>20 a 40 L/ha</t>
        </is>
      </c>
      <c r="J1654" s="13" t="inlineStr">
        <is>
          <t>60 dias</t>
        </is>
      </c>
    </row>
    <row r="1655" ht="22" customHeight="1">
      <c r="A1655" s="6" t="inlineStr">
        <is>
          <t>CUL-1651</t>
        </is>
      </c>
      <c r="B1655" s="5" t="n">
        <v>328</v>
      </c>
      <c r="C1655" s="7" t="inlineStr">
        <is>
          <t>Nº 3518</t>
        </is>
      </c>
      <c r="D1655" s="8" t="inlineStr">
        <is>
          <t>VERDICT(TM)</t>
        </is>
      </c>
      <c r="E1655" s="7" t="inlineStr">
        <is>
          <t>Pulverização Agrícola Conforme Bula</t>
        </is>
      </c>
      <c r="F1655" s="7" t="inlineStr">
        <is>
          <t>Milho</t>
        </is>
      </c>
      <c r="G1655" s="7" t="inlineStr">
        <is>
          <t>Cultura Autorizada na Bula</t>
        </is>
      </c>
      <c r="H1655" s="7" t="inlineStr">
        <is>
          <t>100 a 300 L/ha</t>
        </is>
      </c>
      <c r="I1655" s="7" t="inlineStr">
        <is>
          <t>20 a 40 L/ha</t>
        </is>
      </c>
      <c r="J1655" s="7" t="inlineStr">
        <is>
          <t>45 dias</t>
        </is>
      </c>
    </row>
    <row r="1656" ht="22" customHeight="1">
      <c r="A1656" s="12" t="inlineStr">
        <is>
          <t>CUL-1652</t>
        </is>
      </c>
      <c r="B1656" s="11" t="n">
        <v>328</v>
      </c>
      <c r="C1656" s="13" t="inlineStr">
        <is>
          <t>Nº 3518</t>
        </is>
      </c>
      <c r="D1656" s="14" t="inlineStr">
        <is>
          <t>VERDICT(TM)</t>
        </is>
      </c>
      <c r="E1656" s="13" t="inlineStr">
        <is>
          <t>Pulverização Agrícola Conforme Bula</t>
        </is>
      </c>
      <c r="F1656" s="13" t="inlineStr">
        <is>
          <t>Algodão</t>
        </is>
      </c>
      <c r="G1656" s="13" t="inlineStr">
        <is>
          <t>Cultura Autorizada na Bula</t>
        </is>
      </c>
      <c r="H1656" s="13" t="inlineStr">
        <is>
          <t>100 a 300 L/ha</t>
        </is>
      </c>
      <c r="I1656" s="13" t="inlineStr">
        <is>
          <t>20 a 40 L/ha</t>
        </is>
      </c>
      <c r="J1656" s="13" t="inlineStr">
        <is>
          <t>60 dias</t>
        </is>
      </c>
    </row>
    <row r="1657" ht="22" customHeight="1">
      <c r="A1657" s="6" t="inlineStr">
        <is>
          <t>CUL-1653</t>
        </is>
      </c>
      <c r="B1657" s="5" t="n">
        <v>328</v>
      </c>
      <c r="C1657" s="7" t="inlineStr">
        <is>
          <t>Nº 3518</t>
        </is>
      </c>
      <c r="D1657" s="8" t="inlineStr">
        <is>
          <t>VERDICT(TM)</t>
        </is>
      </c>
      <c r="E1657" s="7" t="inlineStr">
        <is>
          <t>Pulverização Agrícola Conforme Bula</t>
        </is>
      </c>
      <c r="F1657" s="7" t="inlineStr">
        <is>
          <t>Cana-de-açúcar</t>
        </is>
      </c>
      <c r="G1657" s="7" t="inlineStr">
        <is>
          <t>Cultura Autorizada na Bula</t>
        </is>
      </c>
      <c r="H1657" s="7" t="inlineStr">
        <is>
          <t>100 a 300 L/ha</t>
        </is>
      </c>
      <c r="I1657" s="7" t="inlineStr">
        <is>
          <t>20 a 40 L/ha</t>
        </is>
      </c>
      <c r="J1657" s="7" t="inlineStr">
        <is>
          <t>90 dias</t>
        </is>
      </c>
    </row>
    <row r="1658" ht="22" customHeight="1">
      <c r="A1658" s="12" t="inlineStr">
        <is>
          <t>CUL-1654</t>
        </is>
      </c>
      <c r="B1658" s="11" t="n">
        <v>329</v>
      </c>
      <c r="C1658" s="13" t="inlineStr">
        <is>
          <t>ISENTO (ATO 104/2017)</t>
        </is>
      </c>
      <c r="D1658" s="14" t="inlineStr">
        <is>
          <t>AGCN EASY OIL</t>
        </is>
      </c>
      <c r="E1658" s="13" t="inlineStr">
        <is>
          <t>Pulverização Agrícola Conforme Bula</t>
        </is>
      </c>
      <c r="F1658" s="13" t="inlineStr">
        <is>
          <t>Soja, Milho, Algodão, Café, Citros, Cana-de-açúcar (Adição à calda)</t>
        </is>
      </c>
      <c r="G1658" s="13" t="inlineStr">
        <is>
          <t>Cultura Autorizada na Bula</t>
        </is>
      </c>
      <c r="H1658" s="13" t="inlineStr">
        <is>
          <t>100 a 300 L/ha</t>
        </is>
      </c>
      <c r="I1658" s="13" t="inlineStr">
        <is>
          <t>20 a 40 L/ha</t>
        </is>
      </c>
      <c r="J1658" s="13" t="inlineStr">
        <is>
          <t>Conforme defensivo principal</t>
        </is>
      </c>
    </row>
    <row r="1659" ht="22" customHeight="1">
      <c r="A1659" s="6" t="inlineStr">
        <is>
          <t>CUL-1655</t>
        </is>
      </c>
      <c r="B1659" s="5" t="n">
        <v>330</v>
      </c>
      <c r="C1659" s="7" t="inlineStr">
        <is>
          <t>ISENTO (ATO 104/2017)</t>
        </is>
      </c>
      <c r="D1659" s="8" t="inlineStr">
        <is>
          <t>AGRICOIL PREMIUM PURO</t>
        </is>
      </c>
      <c r="E1659" s="7" t="inlineStr">
        <is>
          <t>Pulverização Agrícola Conforme Bula</t>
        </is>
      </c>
      <c r="F1659" s="7" t="inlineStr">
        <is>
          <t>Soja, Milho, Algodão, Café, Citros, Cana-de-açúcar (Adição à calda)</t>
        </is>
      </c>
      <c r="G1659" s="7" t="inlineStr">
        <is>
          <t>Cultura Autorizada na Bula</t>
        </is>
      </c>
      <c r="H1659" s="7" t="inlineStr">
        <is>
          <t>100 a 300 L/ha</t>
        </is>
      </c>
      <c r="I1659" s="7" t="inlineStr">
        <is>
          <t>20 a 40 L/ha</t>
        </is>
      </c>
      <c r="J1659" s="7" t="inlineStr">
        <is>
          <t>Conforme defensivo principal</t>
        </is>
      </c>
    </row>
    <row r="1660" ht="22" customHeight="1">
      <c r="A1660" s="12" t="inlineStr">
        <is>
          <t>CUL-1656</t>
        </is>
      </c>
      <c r="B1660" s="11" t="n">
        <v>331</v>
      </c>
      <c r="C1660" s="13" t="inlineStr">
        <is>
          <t>Nº 9621</t>
        </is>
      </c>
      <c r="D1660" s="14" t="inlineStr">
        <is>
          <t>GLIFOSATO 540 (PRINCIPIO ATIVO)</t>
        </is>
      </c>
      <c r="E1660" s="13" t="inlineStr">
        <is>
          <t>Uso Exclusivamente Industrial (Formulação)</t>
        </is>
      </c>
      <c r="F1660" s="13" t="inlineStr">
        <is>
          <t>Não Aplicável (Proibido uso direto na lavoura)</t>
        </is>
      </c>
      <c r="G1660" s="13" t="inlineStr">
        <is>
          <t>Insumo Industrial</t>
        </is>
      </c>
      <c r="H1660" s="13" t="inlineStr">
        <is>
          <t>N/A</t>
        </is>
      </c>
      <c r="I1660" s="13" t="inlineStr">
        <is>
          <t>N/A</t>
        </is>
      </c>
      <c r="J1660" s="13" t="inlineStr">
        <is>
          <t>N/A (Insumo Industrial)</t>
        </is>
      </c>
    </row>
    <row r="1661" ht="22" customHeight="1">
      <c r="A1661" s="6" t="inlineStr">
        <is>
          <t>CUL-1657</t>
        </is>
      </c>
      <c r="B1661" s="5" t="n">
        <v>332</v>
      </c>
      <c r="C1661" s="7" t="inlineStr">
        <is>
          <t>Nº 12319</t>
        </is>
      </c>
      <c r="D1661" s="8" t="inlineStr">
        <is>
          <t>MANCOZEB 800 SINO-AGRI</t>
        </is>
      </c>
      <c r="E1661" s="7" t="inlineStr">
        <is>
          <t>Pulverização Agrícola Conforme Bula</t>
        </is>
      </c>
      <c r="F1661" s="7" t="inlineStr">
        <is>
          <t>Soja</t>
        </is>
      </c>
      <c r="G1661" s="7" t="inlineStr">
        <is>
          <t>Cultura Autorizada na Bula</t>
        </is>
      </c>
      <c r="H1661" s="7" t="inlineStr">
        <is>
          <t>100 a 300 L/ha</t>
        </is>
      </c>
      <c r="I1661" s="7" t="inlineStr">
        <is>
          <t>20 a 40 L/ha</t>
        </is>
      </c>
      <c r="J1661" s="7" t="inlineStr">
        <is>
          <t>21 dias</t>
        </is>
      </c>
    </row>
    <row r="1662" ht="22" customHeight="1">
      <c r="A1662" s="12" t="inlineStr">
        <is>
          <t>CUL-1658</t>
        </is>
      </c>
      <c r="B1662" s="11" t="n">
        <v>332</v>
      </c>
      <c r="C1662" s="13" t="inlineStr">
        <is>
          <t>Nº 12319</t>
        </is>
      </c>
      <c r="D1662" s="14" t="inlineStr">
        <is>
          <t>MANCOZEB 800 SINO-AGRI</t>
        </is>
      </c>
      <c r="E1662" s="13" t="inlineStr">
        <is>
          <t>Pulverização Agrícola Conforme Bula</t>
        </is>
      </c>
      <c r="F1662" s="13" t="inlineStr">
        <is>
          <t>Algodão</t>
        </is>
      </c>
      <c r="G1662" s="13" t="inlineStr">
        <is>
          <t>Cultura Autorizada na Bula</t>
        </is>
      </c>
      <c r="H1662" s="13" t="inlineStr">
        <is>
          <t>100 a 300 L/ha</t>
        </is>
      </c>
      <c r="I1662" s="13" t="inlineStr">
        <is>
          <t>20 a 40 L/ha</t>
        </is>
      </c>
      <c r="J1662" s="13" t="inlineStr">
        <is>
          <t>21 dias</t>
        </is>
      </c>
    </row>
    <row r="1663" ht="22" customHeight="1">
      <c r="A1663" s="6" t="inlineStr">
        <is>
          <t>CUL-1659</t>
        </is>
      </c>
      <c r="B1663" s="5" t="n">
        <v>332</v>
      </c>
      <c r="C1663" s="7" t="inlineStr">
        <is>
          <t>Nº 12319</t>
        </is>
      </c>
      <c r="D1663" s="8" t="inlineStr">
        <is>
          <t>MANCOZEB 800 SINO-AGRI</t>
        </is>
      </c>
      <c r="E1663" s="7" t="inlineStr">
        <is>
          <t>Pulverização Agrícola Conforme Bula</t>
        </is>
      </c>
      <c r="F1663" s="7" t="inlineStr">
        <is>
          <t>Café</t>
        </is>
      </c>
      <c r="G1663" s="7" t="inlineStr">
        <is>
          <t>Cultura Autorizada na Bula</t>
        </is>
      </c>
      <c r="H1663" s="7" t="inlineStr">
        <is>
          <t>100 a 300 L/ha</t>
        </is>
      </c>
      <c r="I1663" s="7" t="inlineStr">
        <is>
          <t>20 a 40 L/ha</t>
        </is>
      </c>
      <c r="J1663" s="7" t="inlineStr">
        <is>
          <t>21 dias</t>
        </is>
      </c>
    </row>
    <row r="1664" ht="22" customHeight="1">
      <c r="A1664" s="12" t="inlineStr">
        <is>
          <t>CUL-1660</t>
        </is>
      </c>
      <c r="B1664" s="11" t="n">
        <v>332</v>
      </c>
      <c r="C1664" s="13" t="inlineStr">
        <is>
          <t>Nº 12319</t>
        </is>
      </c>
      <c r="D1664" s="14" t="inlineStr">
        <is>
          <t>MANCOZEB 800 SINO-AGRI</t>
        </is>
      </c>
      <c r="E1664" s="13" t="inlineStr">
        <is>
          <t>Pulverização Agrícola Conforme Bula</t>
        </is>
      </c>
      <c r="F1664" s="13" t="inlineStr">
        <is>
          <t>Feijão</t>
        </is>
      </c>
      <c r="G1664" s="13" t="inlineStr">
        <is>
          <t>Cultura Autorizada na Bula</t>
        </is>
      </c>
      <c r="H1664" s="13" t="inlineStr">
        <is>
          <t>100 a 300 L/ha</t>
        </is>
      </c>
      <c r="I1664" s="13" t="inlineStr">
        <is>
          <t>20 a 40 L/ha</t>
        </is>
      </c>
      <c r="J1664" s="13" t="inlineStr">
        <is>
          <t>14 dias</t>
        </is>
      </c>
    </row>
    <row r="1665" ht="22" customHeight="1">
      <c r="A1665" s="6" t="inlineStr">
        <is>
          <t>CUL-1661</t>
        </is>
      </c>
      <c r="B1665" s="5" t="n">
        <v>332</v>
      </c>
      <c r="C1665" s="7" t="inlineStr">
        <is>
          <t>Nº 12319</t>
        </is>
      </c>
      <c r="D1665" s="8" t="inlineStr">
        <is>
          <t>MANCOZEB 800 SINO-AGRI</t>
        </is>
      </c>
      <c r="E1665" s="7" t="inlineStr">
        <is>
          <t>Pulverização Agrícola Conforme Bula</t>
        </is>
      </c>
      <c r="F1665" s="7" t="inlineStr">
        <is>
          <t>Milho</t>
        </is>
      </c>
      <c r="G1665" s="7" t="inlineStr">
        <is>
          <t>Cultura Autorizada na Bula</t>
        </is>
      </c>
      <c r="H1665" s="7" t="inlineStr">
        <is>
          <t>100 a 300 L/ha</t>
        </is>
      </c>
      <c r="I1665" s="7" t="inlineStr">
        <is>
          <t>20 a 40 L/ha</t>
        </is>
      </c>
      <c r="J1665" s="7" t="inlineStr">
        <is>
          <t>21 dias</t>
        </is>
      </c>
    </row>
    <row r="1666" ht="22" customHeight="1">
      <c r="A1666" s="12" t="inlineStr">
        <is>
          <t>CUL-1662</t>
        </is>
      </c>
      <c r="B1666" s="11" t="n">
        <v>332</v>
      </c>
      <c r="C1666" s="13" t="inlineStr">
        <is>
          <t>Nº 12319</t>
        </is>
      </c>
      <c r="D1666" s="14" t="inlineStr">
        <is>
          <t>MANCOZEB 800 SINO-AGRI</t>
        </is>
      </c>
      <c r="E1666" s="13" t="inlineStr">
        <is>
          <t>Pulverização Agrícola Conforme Bula</t>
        </is>
      </c>
      <c r="F1666" s="13" t="inlineStr">
        <is>
          <t>Batata</t>
        </is>
      </c>
      <c r="G1666" s="13" t="inlineStr">
        <is>
          <t>Cultura Autorizada na Bula</t>
        </is>
      </c>
      <c r="H1666" s="13" t="inlineStr">
        <is>
          <t>100 a 300 L/ha</t>
        </is>
      </c>
      <c r="I1666" s="13" t="inlineStr">
        <is>
          <t>20 a 40 L/ha</t>
        </is>
      </c>
      <c r="J1666" s="13" t="inlineStr">
        <is>
          <t>7 dias</t>
        </is>
      </c>
    </row>
    <row r="1667" ht="22" customHeight="1">
      <c r="A1667" s="6" t="inlineStr">
        <is>
          <t>CUL-1663</t>
        </is>
      </c>
      <c r="B1667" s="5" t="n">
        <v>332</v>
      </c>
      <c r="C1667" s="7" t="inlineStr">
        <is>
          <t>Nº 12319</t>
        </is>
      </c>
      <c r="D1667" s="8" t="inlineStr">
        <is>
          <t>MANCOZEB 800 SINO-AGRI</t>
        </is>
      </c>
      <c r="E1667" s="7" t="inlineStr">
        <is>
          <t>Pulverização Agrícola Conforme Bula</t>
        </is>
      </c>
      <c r="F1667" s="7" t="inlineStr">
        <is>
          <t>Tomate</t>
        </is>
      </c>
      <c r="G1667" s="7" t="inlineStr">
        <is>
          <t>Cultura Autorizada na Bula</t>
        </is>
      </c>
      <c r="H1667" s="7" t="inlineStr">
        <is>
          <t>100 a 300 L/ha</t>
        </is>
      </c>
      <c r="I1667" s="7" t="inlineStr">
        <is>
          <t>20 a 40 L/ha</t>
        </is>
      </c>
      <c r="J1667" s="7" t="inlineStr">
        <is>
          <t>7 dias</t>
        </is>
      </c>
    </row>
    <row r="1668" ht="22" customHeight="1">
      <c r="A1668" s="12" t="inlineStr">
        <is>
          <t>CUL-1664</t>
        </is>
      </c>
      <c r="B1668" s="11" t="n">
        <v>332</v>
      </c>
      <c r="C1668" s="13" t="inlineStr">
        <is>
          <t>Nº 12319</t>
        </is>
      </c>
      <c r="D1668" s="14" t="inlineStr">
        <is>
          <t>MANCOZEB 800 SINO-AGRI</t>
        </is>
      </c>
      <c r="E1668" s="13" t="inlineStr">
        <is>
          <t>Pulverização Agrícola Conforme Bula</t>
        </is>
      </c>
      <c r="F1668" s="13" t="inlineStr">
        <is>
          <t>Trigo</t>
        </is>
      </c>
      <c r="G1668" s="13" t="inlineStr">
        <is>
          <t>Cultura Autorizada na Bula</t>
        </is>
      </c>
      <c r="H1668" s="13" t="inlineStr">
        <is>
          <t>100 a 300 L/ha</t>
        </is>
      </c>
      <c r="I1668" s="13" t="inlineStr">
        <is>
          <t>20 a 40 L/ha</t>
        </is>
      </c>
      <c r="J1668" s="13" t="inlineStr">
        <is>
          <t>21 dias</t>
        </is>
      </c>
    </row>
    <row r="1669" ht="22" customHeight="1">
      <c r="A1669" s="6" t="inlineStr">
        <is>
          <t>CUL-1665</t>
        </is>
      </c>
      <c r="B1669" s="5" t="n">
        <v>333</v>
      </c>
      <c r="C1669" s="7" t="inlineStr">
        <is>
          <t>SIPEAGRO (UF-XXXXX)</t>
        </is>
      </c>
      <c r="D1669" s="8" t="inlineStr">
        <is>
          <t>SULFATO DE AMONIO 21N AMONIACAL 24S GRANULADO</t>
        </is>
      </c>
      <c r="E1669" s="7" t="inlineStr">
        <is>
          <t>Adubação de Solo / Foliar</t>
        </is>
      </c>
      <c r="F1669" s="7" t="inlineStr">
        <is>
          <t>Soja</t>
        </is>
      </c>
      <c r="G1669" s="7" t="inlineStr">
        <is>
          <t>Cultura Autorizada na Bula</t>
        </is>
      </c>
      <c r="H1669" s="7" t="inlineStr">
        <is>
          <t>100 a 300 L/ha</t>
        </is>
      </c>
      <c r="I1669" s="7" t="inlineStr">
        <is>
          <t>20 a 40 L/ha</t>
        </is>
      </c>
      <c r="J1669" s="7" t="inlineStr">
        <is>
          <t>Isento</t>
        </is>
      </c>
    </row>
    <row r="1670" ht="22" customHeight="1">
      <c r="A1670" s="12" t="inlineStr">
        <is>
          <t>CUL-1666</t>
        </is>
      </c>
      <c r="B1670" s="11" t="n">
        <v>333</v>
      </c>
      <c r="C1670" s="13" t="inlineStr">
        <is>
          <t>SIPEAGRO (UF-XXXXX)</t>
        </is>
      </c>
      <c r="D1670" s="14" t="inlineStr">
        <is>
          <t>SULFATO DE AMONIO 21N AMONIACAL 24S GRANULADO</t>
        </is>
      </c>
      <c r="E1670" s="13" t="inlineStr">
        <is>
          <t>Adubação de Solo / Foliar</t>
        </is>
      </c>
      <c r="F1670" s="13" t="inlineStr">
        <is>
          <t>Milho</t>
        </is>
      </c>
      <c r="G1670" s="13" t="inlineStr">
        <is>
          <t>Cultura Autorizada na Bula</t>
        </is>
      </c>
      <c r="H1670" s="13" t="inlineStr">
        <is>
          <t>100 a 300 L/ha</t>
        </is>
      </c>
      <c r="I1670" s="13" t="inlineStr">
        <is>
          <t>20 a 40 L/ha</t>
        </is>
      </c>
      <c r="J1670" s="13" t="inlineStr">
        <is>
          <t>Isento</t>
        </is>
      </c>
    </row>
    <row r="1671" ht="22" customHeight="1">
      <c r="A1671" s="6" t="inlineStr">
        <is>
          <t>CUL-1667</t>
        </is>
      </c>
      <c r="B1671" s="5" t="n">
        <v>333</v>
      </c>
      <c r="C1671" s="7" t="inlineStr">
        <is>
          <t>SIPEAGRO (UF-XXXXX)</t>
        </is>
      </c>
      <c r="D1671" s="8" t="inlineStr">
        <is>
          <t>SULFATO DE AMONIO 21N AMONIACAL 24S GRANULADO</t>
        </is>
      </c>
      <c r="E1671" s="7" t="inlineStr">
        <is>
          <t>Adubação de Solo / Foliar</t>
        </is>
      </c>
      <c r="F1671" s="7" t="inlineStr">
        <is>
          <t>Algodão</t>
        </is>
      </c>
      <c r="G1671" s="7" t="inlineStr">
        <is>
          <t>Cultura Autorizada na Bula</t>
        </is>
      </c>
      <c r="H1671" s="7" t="inlineStr">
        <is>
          <t>100 a 300 L/ha</t>
        </is>
      </c>
      <c r="I1671" s="7" t="inlineStr">
        <is>
          <t>20 a 40 L/ha</t>
        </is>
      </c>
      <c r="J1671" s="7" t="inlineStr">
        <is>
          <t>Isento</t>
        </is>
      </c>
    </row>
    <row r="1672" ht="22" customHeight="1">
      <c r="A1672" s="12" t="inlineStr">
        <is>
          <t>CUL-1668</t>
        </is>
      </c>
      <c r="B1672" s="11" t="n">
        <v>333</v>
      </c>
      <c r="C1672" s="13" t="inlineStr">
        <is>
          <t>SIPEAGRO (UF-XXXXX)</t>
        </is>
      </c>
      <c r="D1672" s="14" t="inlineStr">
        <is>
          <t>SULFATO DE AMONIO 21N AMONIACAL 24S GRANULADO</t>
        </is>
      </c>
      <c r="E1672" s="13" t="inlineStr">
        <is>
          <t>Adubação de Solo / Foliar</t>
        </is>
      </c>
      <c r="F1672" s="13" t="inlineStr">
        <is>
          <t>Cana-de-açúcar</t>
        </is>
      </c>
      <c r="G1672" s="13" t="inlineStr">
        <is>
          <t>Cultura Autorizada na Bula</t>
        </is>
      </c>
      <c r="H1672" s="13" t="inlineStr">
        <is>
          <t>100 a 300 L/ha</t>
        </is>
      </c>
      <c r="I1672" s="13" t="inlineStr">
        <is>
          <t>20 a 40 L/ha</t>
        </is>
      </c>
      <c r="J1672" s="13" t="inlineStr">
        <is>
          <t>Isento</t>
        </is>
      </c>
    </row>
    <row r="1673" ht="22" customHeight="1">
      <c r="A1673" s="6" t="inlineStr">
        <is>
          <t>CUL-1669</t>
        </is>
      </c>
      <c r="B1673" s="5" t="n">
        <v>333</v>
      </c>
      <c r="C1673" s="7" t="inlineStr">
        <is>
          <t>SIPEAGRO (UF-XXXXX)</t>
        </is>
      </c>
      <c r="D1673" s="8" t="inlineStr">
        <is>
          <t>SULFATO DE AMONIO 21N AMONIACAL 24S GRANULADO</t>
        </is>
      </c>
      <c r="E1673" s="7" t="inlineStr">
        <is>
          <t>Adubação de Solo / Foliar</t>
        </is>
      </c>
      <c r="F1673" s="7" t="inlineStr">
        <is>
          <t>Café</t>
        </is>
      </c>
      <c r="G1673" s="7" t="inlineStr">
        <is>
          <t>Cultura Autorizada na Bula</t>
        </is>
      </c>
      <c r="H1673" s="7" t="inlineStr">
        <is>
          <t>100 a 300 L/ha</t>
        </is>
      </c>
      <c r="I1673" s="7" t="inlineStr">
        <is>
          <t>20 a 40 L/ha</t>
        </is>
      </c>
      <c r="J1673" s="7" t="inlineStr">
        <is>
          <t>Isento</t>
        </is>
      </c>
    </row>
    <row r="1674" ht="22" customHeight="1">
      <c r="A1674" s="12" t="inlineStr">
        <is>
          <t>CUL-1670</t>
        </is>
      </c>
      <c r="B1674" s="11" t="n">
        <v>334</v>
      </c>
      <c r="C1674" s="13" t="inlineStr">
        <is>
          <t>Nº 34118</t>
        </is>
      </c>
      <c r="D1674" s="14" t="inlineStr">
        <is>
          <t>TEMPLO</t>
        </is>
      </c>
      <c r="E1674" s="13" t="inlineStr">
        <is>
          <t>Pulverização Agrícola Conforme Bula</t>
        </is>
      </c>
      <c r="F1674" s="13" t="inlineStr">
        <is>
          <t>Soja (Pré-Plantio / OGM)</t>
        </is>
      </c>
      <c r="G1674" s="13" t="inlineStr">
        <is>
          <t>Cultura Autorizada na Bula</t>
        </is>
      </c>
      <c r="H1674" s="13" t="inlineStr">
        <is>
          <t>100 a 300 L/ha</t>
        </is>
      </c>
      <c r="I1674" s="13" t="inlineStr">
        <is>
          <t>20 a 40 L/ha</t>
        </is>
      </c>
      <c r="J1674" s="13" t="inlineStr">
        <is>
          <t>56 dias</t>
        </is>
      </c>
    </row>
    <row r="1675" ht="22" customHeight="1">
      <c r="A1675" s="6" t="inlineStr">
        <is>
          <t>CUL-1671</t>
        </is>
      </c>
      <c r="B1675" s="5" t="n">
        <v>334</v>
      </c>
      <c r="C1675" s="7" t="inlineStr">
        <is>
          <t>Nº 34118</t>
        </is>
      </c>
      <c r="D1675" s="8" t="inlineStr">
        <is>
          <t>TEMPLO</t>
        </is>
      </c>
      <c r="E1675" s="7" t="inlineStr">
        <is>
          <t>Pulverização Agrícola Conforme Bula</t>
        </is>
      </c>
      <c r="F1675" s="7" t="inlineStr">
        <is>
          <t>Milho (Pré-Plantio / OGM)</t>
        </is>
      </c>
      <c r="G1675" s="7" t="inlineStr">
        <is>
          <t>Cultura Autorizada na Bula</t>
        </is>
      </c>
      <c r="H1675" s="7" t="inlineStr">
        <is>
          <t>100 a 300 L/ha</t>
        </is>
      </c>
      <c r="I1675" s="7" t="inlineStr">
        <is>
          <t>20 a 40 L/ha</t>
        </is>
      </c>
      <c r="J1675" s="7" t="inlineStr">
        <is>
          <t>90 dias</t>
        </is>
      </c>
    </row>
    <row r="1676" ht="22" customHeight="1">
      <c r="A1676" s="12" t="inlineStr">
        <is>
          <t>CUL-1672</t>
        </is>
      </c>
      <c r="B1676" s="11" t="n">
        <v>334</v>
      </c>
      <c r="C1676" s="13" t="inlineStr">
        <is>
          <t>Nº 34118</t>
        </is>
      </c>
      <c r="D1676" s="14" t="inlineStr">
        <is>
          <t>TEMPLO</t>
        </is>
      </c>
      <c r="E1676" s="13" t="inlineStr">
        <is>
          <t>Pulverização Agrícola Conforme Bula</t>
        </is>
      </c>
      <c r="F1676" s="13" t="inlineStr">
        <is>
          <t>Algodão (Pré-Plantio / OGM)</t>
        </is>
      </c>
      <c r="G1676" s="13" t="inlineStr">
        <is>
          <t>Cultura Autorizada na Bula</t>
        </is>
      </c>
      <c r="H1676" s="13" t="inlineStr">
        <is>
          <t>100 a 300 L/ha</t>
        </is>
      </c>
      <c r="I1676" s="13" t="inlineStr">
        <is>
          <t>20 a 40 L/ha</t>
        </is>
      </c>
      <c r="J1676" s="13" t="inlineStr">
        <is>
          <t>130 dias</t>
        </is>
      </c>
    </row>
    <row r="1677" ht="22" customHeight="1">
      <c r="A1677" s="6" t="inlineStr">
        <is>
          <t>CUL-1673</t>
        </is>
      </c>
      <c r="B1677" s="5" t="n">
        <v>334</v>
      </c>
      <c r="C1677" s="7" t="inlineStr">
        <is>
          <t>Nº 34118</t>
        </is>
      </c>
      <c r="D1677" s="8" t="inlineStr">
        <is>
          <t>TEMPLO</t>
        </is>
      </c>
      <c r="E1677" s="7" t="inlineStr">
        <is>
          <t>Pulverização Agrícola Conforme Bula</t>
        </is>
      </c>
      <c r="F1677" s="7" t="inlineStr">
        <is>
          <t>Cana-de-açúcar</t>
        </is>
      </c>
      <c r="G1677" s="7" t="inlineStr">
        <is>
          <t>Cultura Autorizada na Bula</t>
        </is>
      </c>
      <c r="H1677" s="7" t="inlineStr">
        <is>
          <t>100 a 300 L/ha</t>
        </is>
      </c>
      <c r="I1677" s="7" t="inlineStr">
        <is>
          <t>20 a 40 L/ha</t>
        </is>
      </c>
      <c r="J1677" s="7" t="inlineStr">
        <is>
          <t>N/D</t>
        </is>
      </c>
    </row>
    <row r="1678" ht="22" customHeight="1">
      <c r="A1678" s="12" t="inlineStr">
        <is>
          <t>CUL-1674</t>
        </is>
      </c>
      <c r="B1678" s="11" t="n">
        <v>334</v>
      </c>
      <c r="C1678" s="13" t="inlineStr">
        <is>
          <t>Nº 34118</t>
        </is>
      </c>
      <c r="D1678" s="14" t="inlineStr">
        <is>
          <t>TEMPLO</t>
        </is>
      </c>
      <c r="E1678" s="13" t="inlineStr">
        <is>
          <t>Pulverização Agrícola Conforme Bula</t>
        </is>
      </c>
      <c r="F1678" s="13" t="inlineStr">
        <is>
          <t>Café (Jato Dirigido)</t>
        </is>
      </c>
      <c r="G1678" s="13" t="inlineStr">
        <is>
          <t>Cultura Autorizada na Bula</t>
        </is>
      </c>
      <c r="H1678" s="13" t="inlineStr">
        <is>
          <t>100 a 300 L/ha</t>
        </is>
      </c>
      <c r="I1678" s="13" t="inlineStr">
        <is>
          <t>20 a 40 L/ha</t>
        </is>
      </c>
      <c r="J1678" s="13" t="inlineStr">
        <is>
          <t>15 dias</t>
        </is>
      </c>
    </row>
    <row r="1679" ht="22" customHeight="1">
      <c r="A1679" s="6" t="inlineStr">
        <is>
          <t>CUL-1675</t>
        </is>
      </c>
      <c r="B1679" s="5" t="n">
        <v>334</v>
      </c>
      <c r="C1679" s="7" t="inlineStr">
        <is>
          <t>Nº 34118</t>
        </is>
      </c>
      <c r="D1679" s="8" t="inlineStr">
        <is>
          <t>TEMPLO</t>
        </is>
      </c>
      <c r="E1679" s="7" t="inlineStr">
        <is>
          <t>Pulverização Agrícola Conforme Bula</t>
        </is>
      </c>
      <c r="F1679" s="7" t="inlineStr">
        <is>
          <t>Citros (Jato Dirigido)</t>
        </is>
      </c>
      <c r="G1679" s="7" t="inlineStr">
        <is>
          <t>Cultura Autorizada na Bula</t>
        </is>
      </c>
      <c r="H1679" s="7" t="inlineStr">
        <is>
          <t>100 a 300 L/ha</t>
        </is>
      </c>
      <c r="I1679" s="7" t="inlineStr">
        <is>
          <t>20 a 40 L/ha</t>
        </is>
      </c>
      <c r="J1679" s="7" t="inlineStr">
        <is>
          <t>30 dias</t>
        </is>
      </c>
    </row>
    <row r="1680" ht="22" customHeight="1">
      <c r="A1680" s="12" t="inlineStr">
        <is>
          <t>CUL-1676</t>
        </is>
      </c>
      <c r="B1680" s="11" t="n">
        <v>334</v>
      </c>
      <c r="C1680" s="13" t="inlineStr">
        <is>
          <t>Nº 34118</t>
        </is>
      </c>
      <c r="D1680" s="14" t="inlineStr">
        <is>
          <t>TEMPLO</t>
        </is>
      </c>
      <c r="E1680" s="13" t="inlineStr">
        <is>
          <t>Pulverização Agrícola Conforme Bula</t>
        </is>
      </c>
      <c r="F1680" s="13" t="inlineStr">
        <is>
          <t>Trigo (Pré-Plantio)</t>
        </is>
      </c>
      <c r="G1680" s="13" t="inlineStr">
        <is>
          <t>Cultura Autorizada na Bula</t>
        </is>
      </c>
      <c r="H1680" s="13" t="inlineStr">
        <is>
          <t>100 a 300 L/ha</t>
        </is>
      </c>
      <c r="I1680" s="13" t="inlineStr">
        <is>
          <t>20 a 40 L/ha</t>
        </is>
      </c>
      <c r="J1680" s="13" t="inlineStr">
        <is>
          <t>N/D</t>
        </is>
      </c>
    </row>
    <row r="1681" ht="22" customHeight="1">
      <c r="A1681" s="6" t="inlineStr">
        <is>
          <t>CUL-1677</t>
        </is>
      </c>
      <c r="B1681" s="5" t="n">
        <v>334</v>
      </c>
      <c r="C1681" s="7" t="inlineStr">
        <is>
          <t>Nº 34118</t>
        </is>
      </c>
      <c r="D1681" s="8" t="inlineStr">
        <is>
          <t>TEMPLO</t>
        </is>
      </c>
      <c r="E1681" s="7" t="inlineStr">
        <is>
          <t>Pulverização Agrícola Conforme Bula</t>
        </is>
      </c>
      <c r="F1681" s="7" t="inlineStr">
        <is>
          <t>Pastagens</t>
        </is>
      </c>
      <c r="G1681" s="7" t="inlineStr">
        <is>
          <t>Cultura Autorizada na Bula</t>
        </is>
      </c>
      <c r="H1681" s="7" t="inlineStr">
        <is>
          <t>100 a 300 L/ha</t>
        </is>
      </c>
      <c r="I1681" s="7" t="inlineStr">
        <is>
          <t>20 a 40 L/ha</t>
        </is>
      </c>
      <c r="J1681" s="7" t="inlineStr">
        <is>
          <t>N/D</t>
        </is>
      </c>
    </row>
    <row r="1682" ht="22" customHeight="1">
      <c r="A1682" s="12" t="inlineStr">
        <is>
          <t>CUL-1678</t>
        </is>
      </c>
      <c r="B1682" s="11" t="n">
        <v>335</v>
      </c>
      <c r="C1682" s="13" t="inlineStr">
        <is>
          <t>Nº 13614</t>
        </is>
      </c>
      <c r="D1682" s="14" t="inlineStr">
        <is>
          <t>SOLDIER</t>
        </is>
      </c>
      <c r="E1682" s="13" t="inlineStr">
        <is>
          <t>Pulverização Agrícola Conforme Bula</t>
        </is>
      </c>
      <c r="F1682" s="13" t="inlineStr">
        <is>
          <t>Soja (Pré-Plantio / OGM)</t>
        </is>
      </c>
      <c r="G1682" s="13" t="inlineStr">
        <is>
          <t>Cultura Autorizada na Bula</t>
        </is>
      </c>
      <c r="H1682" s="13" t="inlineStr">
        <is>
          <t>100 a 300 L/ha</t>
        </is>
      </c>
      <c r="I1682" s="13" t="inlineStr">
        <is>
          <t>20 a 40 L/ha</t>
        </is>
      </c>
      <c r="J1682" s="13" t="inlineStr">
        <is>
          <t>56 dias</t>
        </is>
      </c>
    </row>
    <row r="1683" ht="22" customHeight="1">
      <c r="A1683" s="6" t="inlineStr">
        <is>
          <t>CUL-1679</t>
        </is>
      </c>
      <c r="B1683" s="5" t="n">
        <v>335</v>
      </c>
      <c r="C1683" s="7" t="inlineStr">
        <is>
          <t>Nº 13614</t>
        </is>
      </c>
      <c r="D1683" s="8" t="inlineStr">
        <is>
          <t>SOLDIER</t>
        </is>
      </c>
      <c r="E1683" s="7" t="inlineStr">
        <is>
          <t>Pulverização Agrícola Conforme Bula</t>
        </is>
      </c>
      <c r="F1683" s="7" t="inlineStr">
        <is>
          <t>Milho (Pré-Plantio / OGM)</t>
        </is>
      </c>
      <c r="G1683" s="7" t="inlineStr">
        <is>
          <t>Cultura Autorizada na Bula</t>
        </is>
      </c>
      <c r="H1683" s="7" t="inlineStr">
        <is>
          <t>100 a 300 L/ha</t>
        </is>
      </c>
      <c r="I1683" s="7" t="inlineStr">
        <is>
          <t>20 a 40 L/ha</t>
        </is>
      </c>
      <c r="J1683" s="7" t="inlineStr">
        <is>
          <t>90 dias</t>
        </is>
      </c>
    </row>
    <row r="1684" ht="22" customHeight="1">
      <c r="A1684" s="12" t="inlineStr">
        <is>
          <t>CUL-1680</t>
        </is>
      </c>
      <c r="B1684" s="11" t="n">
        <v>335</v>
      </c>
      <c r="C1684" s="13" t="inlineStr">
        <is>
          <t>Nº 13614</t>
        </is>
      </c>
      <c r="D1684" s="14" t="inlineStr">
        <is>
          <t>SOLDIER</t>
        </is>
      </c>
      <c r="E1684" s="13" t="inlineStr">
        <is>
          <t>Pulverização Agrícola Conforme Bula</t>
        </is>
      </c>
      <c r="F1684" s="13" t="inlineStr">
        <is>
          <t>Algodão (Pré-Plantio / OGM)</t>
        </is>
      </c>
      <c r="G1684" s="13" t="inlineStr">
        <is>
          <t>Cultura Autorizada na Bula</t>
        </is>
      </c>
      <c r="H1684" s="13" t="inlineStr">
        <is>
          <t>100 a 300 L/ha</t>
        </is>
      </c>
      <c r="I1684" s="13" t="inlineStr">
        <is>
          <t>20 a 40 L/ha</t>
        </is>
      </c>
      <c r="J1684" s="13" t="inlineStr">
        <is>
          <t>130 dias</t>
        </is>
      </c>
    </row>
    <row r="1685" ht="22" customHeight="1">
      <c r="A1685" s="6" t="inlineStr">
        <is>
          <t>CUL-1681</t>
        </is>
      </c>
      <c r="B1685" s="5" t="n">
        <v>335</v>
      </c>
      <c r="C1685" s="7" t="inlineStr">
        <is>
          <t>Nº 13614</t>
        </is>
      </c>
      <c r="D1685" s="8" t="inlineStr">
        <is>
          <t>SOLDIER</t>
        </is>
      </c>
      <c r="E1685" s="7" t="inlineStr">
        <is>
          <t>Pulverização Agrícola Conforme Bula</t>
        </is>
      </c>
      <c r="F1685" s="7" t="inlineStr">
        <is>
          <t>Cana-de-açúcar</t>
        </is>
      </c>
      <c r="G1685" s="7" t="inlineStr">
        <is>
          <t>Cultura Autorizada na Bula</t>
        </is>
      </c>
      <c r="H1685" s="7" t="inlineStr">
        <is>
          <t>100 a 300 L/ha</t>
        </is>
      </c>
      <c r="I1685" s="7" t="inlineStr">
        <is>
          <t>20 a 40 L/ha</t>
        </is>
      </c>
      <c r="J1685" s="7" t="inlineStr">
        <is>
          <t>N/D</t>
        </is>
      </c>
    </row>
    <row r="1686" ht="22" customHeight="1">
      <c r="A1686" s="12" t="inlineStr">
        <is>
          <t>CUL-1682</t>
        </is>
      </c>
      <c r="B1686" s="11" t="n">
        <v>335</v>
      </c>
      <c r="C1686" s="13" t="inlineStr">
        <is>
          <t>Nº 13614</t>
        </is>
      </c>
      <c r="D1686" s="14" t="inlineStr">
        <is>
          <t>SOLDIER</t>
        </is>
      </c>
      <c r="E1686" s="13" t="inlineStr">
        <is>
          <t>Pulverização Agrícola Conforme Bula</t>
        </is>
      </c>
      <c r="F1686" s="13" t="inlineStr">
        <is>
          <t>Café (Jato Dirigido)</t>
        </is>
      </c>
      <c r="G1686" s="13" t="inlineStr">
        <is>
          <t>Cultura Autorizada na Bula</t>
        </is>
      </c>
      <c r="H1686" s="13" t="inlineStr">
        <is>
          <t>100 a 300 L/ha</t>
        </is>
      </c>
      <c r="I1686" s="13" t="inlineStr">
        <is>
          <t>20 a 40 L/ha</t>
        </is>
      </c>
      <c r="J1686" s="13" t="inlineStr">
        <is>
          <t>15 dias</t>
        </is>
      </c>
    </row>
    <row r="1687" ht="22" customHeight="1">
      <c r="A1687" s="6" t="inlineStr">
        <is>
          <t>CUL-1683</t>
        </is>
      </c>
      <c r="B1687" s="5" t="n">
        <v>335</v>
      </c>
      <c r="C1687" s="7" t="inlineStr">
        <is>
          <t>Nº 13614</t>
        </is>
      </c>
      <c r="D1687" s="8" t="inlineStr">
        <is>
          <t>SOLDIER</t>
        </is>
      </c>
      <c r="E1687" s="7" t="inlineStr">
        <is>
          <t>Pulverização Agrícola Conforme Bula</t>
        </is>
      </c>
      <c r="F1687" s="7" t="inlineStr">
        <is>
          <t>Citros (Jato Dirigido)</t>
        </is>
      </c>
      <c r="G1687" s="7" t="inlineStr">
        <is>
          <t>Cultura Autorizada na Bula</t>
        </is>
      </c>
      <c r="H1687" s="7" t="inlineStr">
        <is>
          <t>100 a 300 L/ha</t>
        </is>
      </c>
      <c r="I1687" s="7" t="inlineStr">
        <is>
          <t>20 a 40 L/ha</t>
        </is>
      </c>
      <c r="J1687" s="7" t="inlineStr">
        <is>
          <t>30 dias</t>
        </is>
      </c>
    </row>
    <row r="1688" ht="22" customHeight="1">
      <c r="A1688" s="12" t="inlineStr">
        <is>
          <t>CUL-1684</t>
        </is>
      </c>
      <c r="B1688" s="11" t="n">
        <v>335</v>
      </c>
      <c r="C1688" s="13" t="inlineStr">
        <is>
          <t>Nº 13614</t>
        </is>
      </c>
      <c r="D1688" s="14" t="inlineStr">
        <is>
          <t>SOLDIER</t>
        </is>
      </c>
      <c r="E1688" s="13" t="inlineStr">
        <is>
          <t>Pulverização Agrícola Conforme Bula</t>
        </is>
      </c>
      <c r="F1688" s="13" t="inlineStr">
        <is>
          <t>Trigo (Pré-Plantio)</t>
        </is>
      </c>
      <c r="G1688" s="13" t="inlineStr">
        <is>
          <t>Cultura Autorizada na Bula</t>
        </is>
      </c>
      <c r="H1688" s="13" t="inlineStr">
        <is>
          <t>100 a 300 L/ha</t>
        </is>
      </c>
      <c r="I1688" s="13" t="inlineStr">
        <is>
          <t>20 a 40 L/ha</t>
        </is>
      </c>
      <c r="J1688" s="13" t="inlineStr">
        <is>
          <t>N/D</t>
        </is>
      </c>
    </row>
    <row r="1689" ht="22" customHeight="1">
      <c r="A1689" s="6" t="inlineStr">
        <is>
          <t>CUL-1685</t>
        </is>
      </c>
      <c r="B1689" s="5" t="n">
        <v>335</v>
      </c>
      <c r="C1689" s="7" t="inlineStr">
        <is>
          <t>Nº 13614</t>
        </is>
      </c>
      <c r="D1689" s="8" t="inlineStr">
        <is>
          <t>SOLDIER</t>
        </is>
      </c>
      <c r="E1689" s="7" t="inlineStr">
        <is>
          <t>Pulverização Agrícola Conforme Bula</t>
        </is>
      </c>
      <c r="F1689" s="7" t="inlineStr">
        <is>
          <t>Pastagens</t>
        </is>
      </c>
      <c r="G1689" s="7" t="inlineStr">
        <is>
          <t>Cultura Autorizada na Bula</t>
        </is>
      </c>
      <c r="H1689" s="7" t="inlineStr">
        <is>
          <t>100 a 300 L/ha</t>
        </is>
      </c>
      <c r="I1689" s="7" t="inlineStr">
        <is>
          <t>20 a 40 L/ha</t>
        </is>
      </c>
      <c r="J1689" s="7" t="inlineStr">
        <is>
          <t>N/D</t>
        </is>
      </c>
    </row>
    <row r="1690" ht="22" customHeight="1">
      <c r="A1690" s="12" t="inlineStr">
        <is>
          <t>CUL-1686</t>
        </is>
      </c>
      <c r="B1690" s="11" t="n">
        <v>336</v>
      </c>
      <c r="C1690" s="13" t="inlineStr">
        <is>
          <t>Nº 26222</t>
        </is>
      </c>
      <c r="D1690" s="14" t="inlineStr">
        <is>
          <t>DIQUAT VANON 200 SL</t>
        </is>
      </c>
      <c r="E1690" s="13" t="inlineStr">
        <is>
          <t>Pulverização Agrícola Conforme Bula</t>
        </is>
      </c>
      <c r="F1690" s="13" t="inlineStr">
        <is>
          <t>Soja (Dessecação Pré-Colheita e Pré-Plantio)</t>
        </is>
      </c>
      <c r="G1690" s="13" t="inlineStr">
        <is>
          <t>Cultura Autorizada na Bula</t>
        </is>
      </c>
      <c r="H1690" s="13" t="inlineStr">
        <is>
          <t>100 a 300 L/ha</t>
        </is>
      </c>
      <c r="I1690" s="13" t="inlineStr">
        <is>
          <t>20 a 40 L/ha</t>
        </is>
      </c>
      <c r="J1690" s="13" t="inlineStr">
        <is>
          <t>7 dias</t>
        </is>
      </c>
    </row>
    <row r="1691" ht="22" customHeight="1">
      <c r="A1691" s="6" t="inlineStr">
        <is>
          <t>CUL-1687</t>
        </is>
      </c>
      <c r="B1691" s="5" t="n">
        <v>336</v>
      </c>
      <c r="C1691" s="7" t="inlineStr">
        <is>
          <t>Nº 26222</t>
        </is>
      </c>
      <c r="D1691" s="8" t="inlineStr">
        <is>
          <t>DIQUAT VANON 200 SL</t>
        </is>
      </c>
      <c r="E1691" s="7" t="inlineStr">
        <is>
          <t>Pulverização Agrícola Conforme Bula</t>
        </is>
      </c>
      <c r="F1691" s="7" t="inlineStr">
        <is>
          <t>Feijão (Dessecação Pré-Colheita)</t>
        </is>
      </c>
      <c r="G1691" s="7" t="inlineStr">
        <is>
          <t>Cultura Autorizada na Bula</t>
        </is>
      </c>
      <c r="H1691" s="7" t="inlineStr">
        <is>
          <t>100 a 300 L/ha</t>
        </is>
      </c>
      <c r="I1691" s="7" t="inlineStr">
        <is>
          <t>20 a 40 L/ha</t>
        </is>
      </c>
      <c r="J1691" s="7" t="inlineStr">
        <is>
          <t>7 dias</t>
        </is>
      </c>
    </row>
    <row r="1692" ht="22" customHeight="1">
      <c r="A1692" s="12" t="inlineStr">
        <is>
          <t>CUL-1688</t>
        </is>
      </c>
      <c r="B1692" s="11" t="n">
        <v>336</v>
      </c>
      <c r="C1692" s="13" t="inlineStr">
        <is>
          <t>Nº 26222</t>
        </is>
      </c>
      <c r="D1692" s="14" t="inlineStr">
        <is>
          <t>DIQUAT VANON 200 SL</t>
        </is>
      </c>
      <c r="E1692" s="13" t="inlineStr">
        <is>
          <t>Pulverização Agrícola Conforme Bula</t>
        </is>
      </c>
      <c r="F1692" s="13" t="inlineStr">
        <is>
          <t>Algodão</t>
        </is>
      </c>
      <c r="G1692" s="13" t="inlineStr">
        <is>
          <t>Cultura Autorizada na Bula</t>
        </is>
      </c>
      <c r="H1692" s="13" t="inlineStr">
        <is>
          <t>100 a 300 L/ha</t>
        </is>
      </c>
      <c r="I1692" s="13" t="inlineStr">
        <is>
          <t>20 a 40 L/ha</t>
        </is>
      </c>
      <c r="J1692" s="13" t="inlineStr">
        <is>
          <t>7 dias</t>
        </is>
      </c>
    </row>
    <row r="1693" ht="22" customHeight="1">
      <c r="A1693" s="6" t="inlineStr">
        <is>
          <t>CUL-1689</t>
        </is>
      </c>
      <c r="B1693" s="5" t="n">
        <v>336</v>
      </c>
      <c r="C1693" s="7" t="inlineStr">
        <is>
          <t>Nº 26222</t>
        </is>
      </c>
      <c r="D1693" s="8" t="inlineStr">
        <is>
          <t>DIQUAT VANON 200 SL</t>
        </is>
      </c>
      <c r="E1693" s="7" t="inlineStr">
        <is>
          <t>Pulverização Agrícola Conforme Bula</t>
        </is>
      </c>
      <c r="F1693" s="7" t="inlineStr">
        <is>
          <t>Batata</t>
        </is>
      </c>
      <c r="G1693" s="7" t="inlineStr">
        <is>
          <t>Cultura Autorizada na Bula</t>
        </is>
      </c>
      <c r="H1693" s="7" t="inlineStr">
        <is>
          <t>100 a 300 L/ha</t>
        </is>
      </c>
      <c r="I1693" s="7" t="inlineStr">
        <is>
          <t>20 a 40 L/ha</t>
        </is>
      </c>
      <c r="J1693" s="7" t="inlineStr">
        <is>
          <t>7 dias</t>
        </is>
      </c>
    </row>
    <row r="1694" ht="22" customHeight="1">
      <c r="A1694" s="12" t="inlineStr">
        <is>
          <t>CUL-1690</t>
        </is>
      </c>
      <c r="B1694" s="11" t="n">
        <v>336</v>
      </c>
      <c r="C1694" s="13" t="inlineStr">
        <is>
          <t>Nº 26222</t>
        </is>
      </c>
      <c r="D1694" s="14" t="inlineStr">
        <is>
          <t>DIQUAT VANON 200 SL</t>
        </is>
      </c>
      <c r="E1694" s="13" t="inlineStr">
        <is>
          <t>Pulverização Agrícola Conforme Bula</t>
        </is>
      </c>
      <c r="F1694" s="13" t="inlineStr">
        <is>
          <t>Milho (Pré-Plantio)</t>
        </is>
      </c>
      <c r="G1694" s="13" t="inlineStr">
        <is>
          <t>Cultura Autorizada na Bula</t>
        </is>
      </c>
      <c r="H1694" s="13" t="inlineStr">
        <is>
          <t>100 a 300 L/ha</t>
        </is>
      </c>
      <c r="I1694" s="13" t="inlineStr">
        <is>
          <t>20 a 40 L/ha</t>
        </is>
      </c>
      <c r="J1694" s="13" t="inlineStr">
        <is>
          <t>N/D</t>
        </is>
      </c>
    </row>
    <row r="1695" ht="22" customHeight="1">
      <c r="A1695" s="6" t="inlineStr">
        <is>
          <t>CUL-1691</t>
        </is>
      </c>
      <c r="B1695" s="5" t="n">
        <v>337</v>
      </c>
      <c r="C1695" s="7" t="inlineStr">
        <is>
          <t>Nº 0921</t>
        </is>
      </c>
      <c r="D1695" s="8" t="inlineStr">
        <is>
          <t>ELIMINATE</t>
        </is>
      </c>
      <c r="E1695" s="7" t="inlineStr">
        <is>
          <t>Pulverização Agrícola Conforme Bula</t>
        </is>
      </c>
      <c r="F1695" s="7" t="inlineStr">
        <is>
          <t>Soja (Pré-Plantio / OGM)</t>
        </is>
      </c>
      <c r="G1695" s="7" t="inlineStr">
        <is>
          <t>Cultura Autorizada na Bula</t>
        </is>
      </c>
      <c r="H1695" s="7" t="inlineStr">
        <is>
          <t>100 a 300 L/ha</t>
        </is>
      </c>
      <c r="I1695" s="7" t="inlineStr">
        <is>
          <t>20 a 40 L/ha</t>
        </is>
      </c>
      <c r="J1695" s="7" t="inlineStr">
        <is>
          <t>60 dias</t>
        </is>
      </c>
    </row>
    <row r="1696" ht="22" customHeight="1">
      <c r="A1696" s="12" t="inlineStr">
        <is>
          <t>CUL-1692</t>
        </is>
      </c>
      <c r="B1696" s="11" t="n">
        <v>337</v>
      </c>
      <c r="C1696" s="13" t="inlineStr">
        <is>
          <t>Nº 0921</t>
        </is>
      </c>
      <c r="D1696" s="14" t="inlineStr">
        <is>
          <t>ELIMINATE</t>
        </is>
      </c>
      <c r="E1696" s="13" t="inlineStr">
        <is>
          <t>Pulverização Agrícola Conforme Bula</t>
        </is>
      </c>
      <c r="F1696" s="13" t="inlineStr">
        <is>
          <t>Milho (Pré-Plantio / OGM)</t>
        </is>
      </c>
      <c r="G1696" s="13" t="inlineStr">
        <is>
          <t>Cultura Autorizada na Bula</t>
        </is>
      </c>
      <c r="H1696" s="13" t="inlineStr">
        <is>
          <t>100 a 300 L/ha</t>
        </is>
      </c>
      <c r="I1696" s="13" t="inlineStr">
        <is>
          <t>20 a 40 L/ha</t>
        </is>
      </c>
      <c r="J1696" s="13" t="inlineStr">
        <is>
          <t>40 dias</t>
        </is>
      </c>
    </row>
    <row r="1697" ht="22" customHeight="1">
      <c r="A1697" s="6" t="inlineStr">
        <is>
          <t>CUL-1693</t>
        </is>
      </c>
      <c r="B1697" s="5" t="n">
        <v>337</v>
      </c>
      <c r="C1697" s="7" t="inlineStr">
        <is>
          <t>Nº 0921</t>
        </is>
      </c>
      <c r="D1697" s="8" t="inlineStr">
        <is>
          <t>ELIMINATE</t>
        </is>
      </c>
      <c r="E1697" s="7" t="inlineStr">
        <is>
          <t>Pulverização Agrícola Conforme Bula</t>
        </is>
      </c>
      <c r="F1697" s="7" t="inlineStr">
        <is>
          <t>Algodão (Pré-Plantio / OGM / Desfolha)</t>
        </is>
      </c>
      <c r="G1697" s="7" t="inlineStr">
        <is>
          <t>Cultura Autorizada na Bula</t>
        </is>
      </c>
      <c r="H1697" s="7" t="inlineStr">
        <is>
          <t>100 a 300 L/ha</t>
        </is>
      </c>
      <c r="I1697" s="7" t="inlineStr">
        <is>
          <t>20 a 40 L/ha</t>
        </is>
      </c>
      <c r="J1697" s="7" t="inlineStr">
        <is>
          <t>15 dias</t>
        </is>
      </c>
    </row>
    <row r="1698" ht="22" customHeight="1">
      <c r="A1698" s="12" t="inlineStr">
        <is>
          <t>CUL-1694</t>
        </is>
      </c>
      <c r="B1698" s="11" t="n">
        <v>337</v>
      </c>
      <c r="C1698" s="13" t="inlineStr">
        <is>
          <t>Nº 0921</t>
        </is>
      </c>
      <c r="D1698" s="14" t="inlineStr">
        <is>
          <t>ELIMINATE</t>
        </is>
      </c>
      <c r="E1698" s="13" t="inlineStr">
        <is>
          <t>Pulverização Agrícola Conforme Bula</t>
        </is>
      </c>
      <c r="F1698" s="13" t="inlineStr">
        <is>
          <t>Café (Jato Dirigido)</t>
        </is>
      </c>
      <c r="G1698" s="13" t="inlineStr">
        <is>
          <t>Cultura Autorizada na Bula</t>
        </is>
      </c>
      <c r="H1698" s="13" t="inlineStr">
        <is>
          <t>100 a 300 L/ha</t>
        </is>
      </c>
      <c r="I1698" s="13" t="inlineStr">
        <is>
          <t>20 a 40 L/ha</t>
        </is>
      </c>
      <c r="J1698" s="13" t="inlineStr">
        <is>
          <t>20 dias</t>
        </is>
      </c>
    </row>
    <row r="1699" ht="22" customHeight="1">
      <c r="A1699" s="6" t="inlineStr">
        <is>
          <t>CUL-1695</t>
        </is>
      </c>
      <c r="B1699" s="5" t="n">
        <v>337</v>
      </c>
      <c r="C1699" s="7" t="inlineStr">
        <is>
          <t>Nº 0921</t>
        </is>
      </c>
      <c r="D1699" s="8" t="inlineStr">
        <is>
          <t>ELIMINATE</t>
        </is>
      </c>
      <c r="E1699" s="7" t="inlineStr">
        <is>
          <t>Pulverização Agrícola Conforme Bula</t>
        </is>
      </c>
      <c r="F1699" s="7" t="inlineStr">
        <is>
          <t>Citros (Jato Dirigido)</t>
        </is>
      </c>
      <c r="G1699" s="7" t="inlineStr">
        <is>
          <t>Cultura Autorizada na Bula</t>
        </is>
      </c>
      <c r="H1699" s="7" t="inlineStr">
        <is>
          <t>100 a 300 L/ha</t>
        </is>
      </c>
      <c r="I1699" s="7" t="inlineStr">
        <is>
          <t>20 a 40 L/ha</t>
        </is>
      </c>
      <c r="J1699" s="7" t="inlineStr">
        <is>
          <t>40 dias</t>
        </is>
      </c>
    </row>
    <row r="1700" ht="22" customHeight="1">
      <c r="A1700" s="12" t="inlineStr">
        <is>
          <t>CUL-1696</t>
        </is>
      </c>
      <c r="B1700" s="11" t="n">
        <v>337</v>
      </c>
      <c r="C1700" s="13" t="inlineStr">
        <is>
          <t>Nº 0921</t>
        </is>
      </c>
      <c r="D1700" s="14" t="inlineStr">
        <is>
          <t>ELIMINATE</t>
        </is>
      </c>
      <c r="E1700" s="13" t="inlineStr">
        <is>
          <t>Pulverização Agrícola Conforme Bula</t>
        </is>
      </c>
      <c r="F1700" s="13" t="inlineStr">
        <is>
          <t>Trigo</t>
        </is>
      </c>
      <c r="G1700" s="13" t="inlineStr">
        <is>
          <t>Cultura Autorizada na Bula</t>
        </is>
      </c>
      <c r="H1700" s="13" t="inlineStr">
        <is>
          <t>100 a 300 L/ha</t>
        </is>
      </c>
      <c r="I1700" s="13" t="inlineStr">
        <is>
          <t>20 a 40 L/ha</t>
        </is>
      </c>
      <c r="J1700" s="13" t="inlineStr">
        <is>
          <t>N/D</t>
        </is>
      </c>
    </row>
    <row r="1701" ht="22" customHeight="1">
      <c r="A1701" s="6" t="inlineStr">
        <is>
          <t>CUL-1697</t>
        </is>
      </c>
      <c r="B1701" s="5" t="n">
        <v>338</v>
      </c>
      <c r="C1701" s="7" t="inlineStr">
        <is>
          <t>Nº 6217</t>
        </is>
      </c>
      <c r="D1701" s="8" t="inlineStr">
        <is>
          <t>COMBOIO 800 WG</t>
        </is>
      </c>
      <c r="E1701" s="7" t="inlineStr">
        <is>
          <t>Pulverização Agrícola Conforme Bula</t>
        </is>
      </c>
      <c r="F1701" s="7" t="inlineStr">
        <is>
          <t>Soja (Trat. Sementes / Sulco)</t>
        </is>
      </c>
      <c r="G1701" s="7" t="inlineStr">
        <is>
          <t>Cultura Autorizada na Bula</t>
        </is>
      </c>
      <c r="H1701" s="7" t="inlineStr">
        <is>
          <t>100 a 300 L/ha</t>
        </is>
      </c>
      <c r="I1701" s="7" t="inlineStr">
        <is>
          <t>20 a 40 L/ha</t>
        </is>
      </c>
      <c r="J1701" s="7" t="inlineStr">
        <is>
          <t>N/D</t>
        </is>
      </c>
    </row>
    <row r="1702" ht="22" customHeight="1">
      <c r="A1702" s="12" t="inlineStr">
        <is>
          <t>CUL-1698</t>
        </is>
      </c>
      <c r="B1702" s="11" t="n">
        <v>338</v>
      </c>
      <c r="C1702" s="13" t="inlineStr">
        <is>
          <t>Nº 6217</t>
        </is>
      </c>
      <c r="D1702" s="14" t="inlineStr">
        <is>
          <t>COMBOIO 800 WG</t>
        </is>
      </c>
      <c r="E1702" s="13" t="inlineStr">
        <is>
          <t>Pulverização Agrícola Conforme Bula</t>
        </is>
      </c>
      <c r="F1702" s="13" t="inlineStr">
        <is>
          <t>Milho (Trat. Sementes)</t>
        </is>
      </c>
      <c r="G1702" s="13" t="inlineStr">
        <is>
          <t>Cultura Autorizada na Bula</t>
        </is>
      </c>
      <c r="H1702" s="13" t="inlineStr">
        <is>
          <t>100 a 300 L/ha</t>
        </is>
      </c>
      <c r="I1702" s="13" t="inlineStr">
        <is>
          <t>20 a 40 L/ha</t>
        </is>
      </c>
      <c r="J1702" s="13" t="inlineStr">
        <is>
          <t>N/D</t>
        </is>
      </c>
    </row>
    <row r="1703" ht="22" customHeight="1">
      <c r="A1703" s="6" t="inlineStr">
        <is>
          <t>CUL-1699</t>
        </is>
      </c>
      <c r="B1703" s="5" t="n">
        <v>338</v>
      </c>
      <c r="C1703" s="7" t="inlineStr">
        <is>
          <t>Nº 6217</t>
        </is>
      </c>
      <c r="D1703" s="8" t="inlineStr">
        <is>
          <t>COMBOIO 800 WG</t>
        </is>
      </c>
      <c r="E1703" s="7" t="inlineStr">
        <is>
          <t>Pulverização Agrícola Conforme Bula</t>
        </is>
      </c>
      <c r="F1703" s="7" t="inlineStr">
        <is>
          <t>Algodão</t>
        </is>
      </c>
      <c r="G1703" s="7" t="inlineStr">
        <is>
          <t>Cultura Autorizada na Bula</t>
        </is>
      </c>
      <c r="H1703" s="7" t="inlineStr">
        <is>
          <t>100 a 300 L/ha</t>
        </is>
      </c>
      <c r="I1703" s="7" t="inlineStr">
        <is>
          <t>20 a 40 L/ha</t>
        </is>
      </c>
      <c r="J1703" s="7" t="inlineStr">
        <is>
          <t>N/D</t>
        </is>
      </c>
    </row>
    <row r="1704" ht="22" customHeight="1">
      <c r="A1704" s="12" t="inlineStr">
        <is>
          <t>CUL-1700</t>
        </is>
      </c>
      <c r="B1704" s="11" t="n">
        <v>338</v>
      </c>
      <c r="C1704" s="13" t="inlineStr">
        <is>
          <t>Nº 6217</t>
        </is>
      </c>
      <c r="D1704" s="14" t="inlineStr">
        <is>
          <t>COMBOIO 800 WG</t>
        </is>
      </c>
      <c r="E1704" s="13" t="inlineStr">
        <is>
          <t>Pulverização Agrícola Conforme Bula</t>
        </is>
      </c>
      <c r="F1704" s="13" t="inlineStr">
        <is>
          <t>Cana-de-açúcar (Sulco)</t>
        </is>
      </c>
      <c r="G1704" s="13" t="inlineStr">
        <is>
          <t>Cultura Autorizada na Bula</t>
        </is>
      </c>
      <c r="H1704" s="13" t="inlineStr">
        <is>
          <t>100 a 300 L/ha</t>
        </is>
      </c>
      <c r="I1704" s="13" t="inlineStr">
        <is>
          <t>20 a 40 L/ha</t>
        </is>
      </c>
      <c r="J1704" s="13" t="inlineStr">
        <is>
          <t>N/D</t>
        </is>
      </c>
    </row>
    <row r="1705" ht="22" customHeight="1">
      <c r="A1705" s="6" t="inlineStr">
        <is>
          <t>CUL-1701</t>
        </is>
      </c>
      <c r="B1705" s="5" t="n">
        <v>338</v>
      </c>
      <c r="C1705" s="7" t="inlineStr">
        <is>
          <t>Nº 6217</t>
        </is>
      </c>
      <c r="D1705" s="8" t="inlineStr">
        <is>
          <t>COMBOIO 800 WG</t>
        </is>
      </c>
      <c r="E1705" s="7" t="inlineStr">
        <is>
          <t>Pulverização Agrícola Conforme Bula</t>
        </is>
      </c>
      <c r="F1705" s="7" t="inlineStr">
        <is>
          <t>Arroz</t>
        </is>
      </c>
      <c r="G1705" s="7" t="inlineStr">
        <is>
          <t>Cultura Autorizada na Bula</t>
        </is>
      </c>
      <c r="H1705" s="7" t="inlineStr">
        <is>
          <t>100 a 300 L/ha</t>
        </is>
      </c>
      <c r="I1705" s="7" t="inlineStr">
        <is>
          <t>20 a 40 L/ha</t>
        </is>
      </c>
      <c r="J1705" s="7" t="inlineStr">
        <is>
          <t>N/D</t>
        </is>
      </c>
    </row>
    <row r="1706" ht="22" customHeight="1">
      <c r="A1706" s="12" t="inlineStr">
        <is>
          <t>CUL-1702</t>
        </is>
      </c>
      <c r="B1706" s="11" t="n">
        <v>338</v>
      </c>
      <c r="C1706" s="13" t="inlineStr">
        <is>
          <t>Nº 6217</t>
        </is>
      </c>
      <c r="D1706" s="14" t="inlineStr">
        <is>
          <t>COMBOIO 800 WG</t>
        </is>
      </c>
      <c r="E1706" s="13" t="inlineStr">
        <is>
          <t>Pulverização Agrícola Conforme Bula</t>
        </is>
      </c>
      <c r="F1706" s="13" t="inlineStr">
        <is>
          <t>Feijão</t>
        </is>
      </c>
      <c r="G1706" s="13" t="inlineStr">
        <is>
          <t>Cultura Autorizada na Bula</t>
        </is>
      </c>
      <c r="H1706" s="13" t="inlineStr">
        <is>
          <t>100 a 300 L/ha</t>
        </is>
      </c>
      <c r="I1706" s="13" t="inlineStr">
        <is>
          <t>20 a 40 L/ha</t>
        </is>
      </c>
      <c r="J1706" s="13" t="inlineStr">
        <is>
          <t>N/D</t>
        </is>
      </c>
    </row>
    <row r="1707" ht="22" customHeight="1">
      <c r="A1707" s="6" t="inlineStr">
        <is>
          <t>CUL-1703</t>
        </is>
      </c>
      <c r="B1707" s="5" t="n">
        <v>338</v>
      </c>
      <c r="C1707" s="7" t="inlineStr">
        <is>
          <t>Nº 6217</t>
        </is>
      </c>
      <c r="D1707" s="8" t="inlineStr">
        <is>
          <t>COMBOIO 800 WG</t>
        </is>
      </c>
      <c r="E1707" s="7" t="inlineStr">
        <is>
          <t>Pulverização Agrícola Conforme Bula</t>
        </is>
      </c>
      <c r="F1707" s="7" t="inlineStr">
        <is>
          <t>Pastagens</t>
        </is>
      </c>
      <c r="G1707" s="7" t="inlineStr">
        <is>
          <t>Cultura Autorizada na Bula</t>
        </is>
      </c>
      <c r="H1707" s="7" t="inlineStr">
        <is>
          <t>100 a 300 L/ha</t>
        </is>
      </c>
      <c r="I1707" s="7" t="inlineStr">
        <is>
          <t>20 a 40 L/ha</t>
        </is>
      </c>
      <c r="J1707" s="7" t="inlineStr">
        <is>
          <t>N/D</t>
        </is>
      </c>
    </row>
    <row r="1708" ht="22" customHeight="1">
      <c r="A1708" s="12" t="inlineStr">
        <is>
          <t>CUL-1704</t>
        </is>
      </c>
      <c r="B1708" s="11" t="n">
        <v>338</v>
      </c>
      <c r="C1708" s="13" t="inlineStr">
        <is>
          <t>Nº 6217</t>
        </is>
      </c>
      <c r="D1708" s="14" t="inlineStr">
        <is>
          <t>COMBOIO 800 WG</t>
        </is>
      </c>
      <c r="E1708" s="13" t="inlineStr">
        <is>
          <t>Pulverização Agrícola Conforme Bula</t>
        </is>
      </c>
      <c r="F1708" s="13" t="inlineStr">
        <is>
          <t>Trigo</t>
        </is>
      </c>
      <c r="G1708" s="13" t="inlineStr">
        <is>
          <t>Cultura Autorizada na Bula</t>
        </is>
      </c>
      <c r="H1708" s="13" t="inlineStr">
        <is>
          <t>100 a 300 L/ha</t>
        </is>
      </c>
      <c r="I1708" s="13" t="inlineStr">
        <is>
          <t>20 a 40 L/ha</t>
        </is>
      </c>
      <c r="J1708" s="13" t="inlineStr">
        <is>
          <t>N/D</t>
        </is>
      </c>
    </row>
    <row r="1709" ht="22" customHeight="1">
      <c r="A1709" s="6" t="inlineStr">
        <is>
          <t>CUL-1705</t>
        </is>
      </c>
      <c r="B1709" s="5" t="n">
        <v>339</v>
      </c>
      <c r="C1709" s="7" t="inlineStr">
        <is>
          <t>Nº 28421</t>
        </is>
      </c>
      <c r="D1709" s="8" t="inlineStr">
        <is>
          <t>CLORFENAPIR 240 (PRINCIPIO ATIVO)</t>
        </is>
      </c>
      <c r="E1709" s="7" t="inlineStr">
        <is>
          <t>Uso Exclusivamente Industrial (Formulação)</t>
        </is>
      </c>
      <c r="F1709" s="7" t="inlineStr">
        <is>
          <t>Não Aplicável (Proibido uso direto na lavoura)</t>
        </is>
      </c>
      <c r="G1709" s="7" t="inlineStr">
        <is>
          <t>Insumo Industrial</t>
        </is>
      </c>
      <c r="H1709" s="7" t="inlineStr">
        <is>
          <t>N/A</t>
        </is>
      </c>
      <c r="I1709" s="7" t="inlineStr">
        <is>
          <t>N/A</t>
        </is>
      </c>
      <c r="J1709" s="7" t="inlineStr">
        <is>
          <t>N/A (Insumo Industrial)</t>
        </is>
      </c>
    </row>
    <row r="1710" ht="22" customHeight="1">
      <c r="A1710" s="12" t="inlineStr">
        <is>
          <t>CUL-1706</t>
        </is>
      </c>
      <c r="B1710" s="11" t="n">
        <v>340</v>
      </c>
      <c r="C1710" s="13" t="inlineStr">
        <is>
          <t>Nº 5321</t>
        </is>
      </c>
      <c r="D1710" s="14" t="inlineStr">
        <is>
          <t>ELUNEY</t>
        </is>
      </c>
      <c r="E1710" s="13" t="inlineStr">
        <is>
          <t>Pulverização Agrícola Conforme Bula</t>
        </is>
      </c>
      <c r="F1710" s="13" t="inlineStr">
        <is>
          <t>Soja</t>
        </is>
      </c>
      <c r="G1710" s="13" t="inlineStr">
        <is>
          <t>Cultura Autorizada na Bula</t>
        </is>
      </c>
      <c r="H1710" s="13" t="inlineStr">
        <is>
          <t>100 a 300 L/ha</t>
        </is>
      </c>
      <c r="I1710" s="13" t="inlineStr">
        <is>
          <t>20 a 40 L/ha</t>
        </is>
      </c>
      <c r="J1710" s="13" t="inlineStr">
        <is>
          <t>28 dias</t>
        </is>
      </c>
    </row>
    <row r="1711" ht="22" customHeight="1">
      <c r="A1711" s="6" t="inlineStr">
        <is>
          <t>CUL-1707</t>
        </is>
      </c>
      <c r="B1711" s="5" t="n">
        <v>340</v>
      </c>
      <c r="C1711" s="7" t="inlineStr">
        <is>
          <t>Nº 5321</t>
        </is>
      </c>
      <c r="D1711" s="8" t="inlineStr">
        <is>
          <t>ELUNEY</t>
        </is>
      </c>
      <c r="E1711" s="7" t="inlineStr">
        <is>
          <t>Pulverização Agrícola Conforme Bula</t>
        </is>
      </c>
      <c r="F1711" s="7" t="inlineStr">
        <is>
          <t>Feijão</t>
        </is>
      </c>
      <c r="G1711" s="7" t="inlineStr">
        <is>
          <t>Cultura Autorizada na Bula</t>
        </is>
      </c>
      <c r="H1711" s="7" t="inlineStr">
        <is>
          <t>100 a 300 L/ha</t>
        </is>
      </c>
      <c r="I1711" s="7" t="inlineStr">
        <is>
          <t>20 a 40 L/ha</t>
        </is>
      </c>
      <c r="J1711" s="7" t="inlineStr">
        <is>
          <t>20 dias</t>
        </is>
      </c>
    </row>
    <row r="1712" ht="22" customHeight="1">
      <c r="A1712" s="12" t="inlineStr">
        <is>
          <t>CUL-1708</t>
        </is>
      </c>
      <c r="B1712" s="11" t="n">
        <v>340</v>
      </c>
      <c r="C1712" s="13" t="inlineStr">
        <is>
          <t>Nº 5321</t>
        </is>
      </c>
      <c r="D1712" s="14" t="inlineStr">
        <is>
          <t>ELUNEY</t>
        </is>
      </c>
      <c r="E1712" s="13" t="inlineStr">
        <is>
          <t>Pulverização Agrícola Conforme Bula</t>
        </is>
      </c>
      <c r="F1712" s="13" t="inlineStr">
        <is>
          <t>Batata</t>
        </is>
      </c>
      <c r="G1712" s="13" t="inlineStr">
        <is>
          <t>Cultura Autorizada na Bula</t>
        </is>
      </c>
      <c r="H1712" s="13" t="inlineStr">
        <is>
          <t>100 a 300 L/ha</t>
        </is>
      </c>
      <c r="I1712" s="13" t="inlineStr">
        <is>
          <t>20 a 40 L/ha</t>
        </is>
      </c>
      <c r="J1712" s="13" t="inlineStr">
        <is>
          <t>7 dias</t>
        </is>
      </c>
    </row>
    <row r="1713" ht="22" customHeight="1">
      <c r="A1713" s="6" t="inlineStr">
        <is>
          <t>CUL-1709</t>
        </is>
      </c>
      <c r="B1713" s="5" t="n">
        <v>340</v>
      </c>
      <c r="C1713" s="7" t="inlineStr">
        <is>
          <t>Nº 5321</t>
        </is>
      </c>
      <c r="D1713" s="8" t="inlineStr">
        <is>
          <t>ELUNEY</t>
        </is>
      </c>
      <c r="E1713" s="7" t="inlineStr">
        <is>
          <t>Pulverização Agrícola Conforme Bula</t>
        </is>
      </c>
      <c r="F1713" s="7" t="inlineStr">
        <is>
          <t>Algodão</t>
        </is>
      </c>
      <c r="G1713" s="7" t="inlineStr">
        <is>
          <t>Cultura Autorizada na Bula</t>
        </is>
      </c>
      <c r="H1713" s="7" t="inlineStr">
        <is>
          <t>100 a 300 L/ha</t>
        </is>
      </c>
      <c r="I1713" s="7" t="inlineStr">
        <is>
          <t>20 a 40 L/ha</t>
        </is>
      </c>
      <c r="J1713" s="7" t="inlineStr">
        <is>
          <t>30 dias</t>
        </is>
      </c>
    </row>
    <row r="1714" ht="22" customHeight="1">
      <c r="A1714" s="12" t="inlineStr">
        <is>
          <t>CUL-1710</t>
        </is>
      </c>
      <c r="B1714" s="11" t="n">
        <v>340</v>
      </c>
      <c r="C1714" s="13" t="inlineStr">
        <is>
          <t>Nº 5321</t>
        </is>
      </c>
      <c r="D1714" s="14" t="inlineStr">
        <is>
          <t>ELUNEY</t>
        </is>
      </c>
      <c r="E1714" s="13" t="inlineStr">
        <is>
          <t>Pulverização Agrícola Conforme Bula</t>
        </is>
      </c>
      <c r="F1714" s="13" t="inlineStr">
        <is>
          <t>Tomate</t>
        </is>
      </c>
      <c r="G1714" s="13" t="inlineStr">
        <is>
          <t>Cultura Autorizada na Bula</t>
        </is>
      </c>
      <c r="H1714" s="13" t="inlineStr">
        <is>
          <t>100 a 300 L/ha</t>
        </is>
      </c>
      <c r="I1714" s="13" t="inlineStr">
        <is>
          <t>20 a 40 L/ha</t>
        </is>
      </c>
      <c r="J1714" s="13" t="inlineStr">
        <is>
          <t>7 dias</t>
        </is>
      </c>
    </row>
    <row r="1715" ht="22" customHeight="1">
      <c r="A1715" s="6" t="inlineStr">
        <is>
          <t>CUL-1711</t>
        </is>
      </c>
      <c r="B1715" s="5" t="n">
        <v>341</v>
      </c>
      <c r="C1715" s="7" t="inlineStr">
        <is>
          <t>Nº 44024</t>
        </is>
      </c>
      <c r="D1715" s="8" t="inlineStr">
        <is>
          <t>BIOLOGIC BRAVIA</t>
        </is>
      </c>
      <c r="E1715" s="7" t="inlineStr">
        <is>
          <t>Pulverização Agrícola Conforme Bula</t>
        </is>
      </c>
      <c r="F1715" s="7" t="inlineStr">
        <is>
          <t>Todas as Culturas (Alvo Biológico Autorizado MAPA)</t>
        </is>
      </c>
      <c r="G1715" s="7" t="inlineStr">
        <is>
          <t>Cultura Autorizada na Bula</t>
        </is>
      </c>
      <c r="H1715" s="7" t="inlineStr">
        <is>
          <t>100 a 300 L/ha</t>
        </is>
      </c>
      <c r="I1715" s="7" t="inlineStr">
        <is>
          <t>20 a 40 L/ha</t>
        </is>
      </c>
      <c r="J1715" s="7" t="inlineStr">
        <is>
          <t>0 (Isento de Carência)</t>
        </is>
      </c>
    </row>
    <row r="1716" ht="22" customHeight="1">
      <c r="A1716" s="12" t="inlineStr">
        <is>
          <t>CUL-1712</t>
        </is>
      </c>
      <c r="B1716" s="11" t="n">
        <v>342</v>
      </c>
      <c r="C1716" s="13" t="inlineStr">
        <is>
          <t>VINCULAR MARCA</t>
        </is>
      </c>
      <c r="D1716" s="14" t="inlineStr">
        <is>
          <t>CARFENTRAZONE 400 EC (PRINCIPIO ATIVO)</t>
        </is>
      </c>
      <c r="E1716" s="13" t="inlineStr">
        <is>
          <t>Uso Exclusivamente Industrial (Formulação)</t>
        </is>
      </c>
      <c r="F1716" s="13" t="inlineStr">
        <is>
          <t>Não Aplicável (Proibido uso direto na lavoura)</t>
        </is>
      </c>
      <c r="G1716" s="13" t="inlineStr">
        <is>
          <t>Insumo Industrial</t>
        </is>
      </c>
      <c r="H1716" s="13" t="inlineStr">
        <is>
          <t>N/A</t>
        </is>
      </c>
      <c r="I1716" s="13" t="inlineStr">
        <is>
          <t>N/A</t>
        </is>
      </c>
      <c r="J1716" s="13" t="inlineStr">
        <is>
          <t>N/A (Insumo Industrial)</t>
        </is>
      </c>
    </row>
    <row r="1717" ht="22" customHeight="1">
      <c r="A1717" s="6" t="inlineStr">
        <is>
          <t>CUL-1713</t>
        </is>
      </c>
      <c r="B1717" s="5" t="n">
        <v>343</v>
      </c>
      <c r="C1717" s="7" t="inlineStr">
        <is>
          <t>Nº 14521</t>
        </is>
      </c>
      <c r="D1717" s="8" t="inlineStr">
        <is>
          <t>SAURUS WG</t>
        </is>
      </c>
      <c r="E1717" s="7" t="inlineStr">
        <is>
          <t>Pulverização Agrícola Conforme Bula</t>
        </is>
      </c>
      <c r="F1717" s="7" t="inlineStr">
        <is>
          <t>Algodão</t>
        </is>
      </c>
      <c r="G1717" s="7" t="inlineStr">
        <is>
          <t>Cultura Autorizada na Bula</t>
        </is>
      </c>
      <c r="H1717" s="7" t="inlineStr">
        <is>
          <t>100 a 300 L/ha</t>
        </is>
      </c>
      <c r="I1717" s="7" t="inlineStr">
        <is>
          <t>20 a 40 L/ha</t>
        </is>
      </c>
      <c r="J1717" s="7" t="inlineStr">
        <is>
          <t>28 dias</t>
        </is>
      </c>
    </row>
    <row r="1718" ht="22" customHeight="1">
      <c r="A1718" s="12" t="inlineStr">
        <is>
          <t>CUL-1714</t>
        </is>
      </c>
      <c r="B1718" s="11" t="n">
        <v>343</v>
      </c>
      <c r="C1718" s="13" t="inlineStr">
        <is>
          <t>Nº 14521</t>
        </is>
      </c>
      <c r="D1718" s="14" t="inlineStr">
        <is>
          <t>SAURUS WG</t>
        </is>
      </c>
      <c r="E1718" s="13" t="inlineStr">
        <is>
          <t>Pulverização Agrícola Conforme Bula</t>
        </is>
      </c>
      <c r="F1718" s="13" t="inlineStr">
        <is>
          <t>Soja</t>
        </is>
      </c>
      <c r="G1718" s="13" t="inlineStr">
        <is>
          <t>Cultura Autorizada na Bula</t>
        </is>
      </c>
      <c r="H1718" s="13" t="inlineStr">
        <is>
          <t>100 a 300 L/ha</t>
        </is>
      </c>
      <c r="I1718" s="13" t="inlineStr">
        <is>
          <t>20 a 40 L/ha</t>
        </is>
      </c>
      <c r="J1718" s="13" t="inlineStr">
        <is>
          <t>21 dias</t>
        </is>
      </c>
    </row>
    <row r="1719" ht="22" customHeight="1">
      <c r="A1719" s="6" t="inlineStr">
        <is>
          <t>CUL-1715</t>
        </is>
      </c>
      <c r="B1719" s="5" t="n">
        <v>343</v>
      </c>
      <c r="C1719" s="7" t="inlineStr">
        <is>
          <t>Nº 14521</t>
        </is>
      </c>
      <c r="D1719" s="8" t="inlineStr">
        <is>
          <t>SAURUS WG</t>
        </is>
      </c>
      <c r="E1719" s="7" t="inlineStr">
        <is>
          <t>Pulverização Agrícola Conforme Bula</t>
        </is>
      </c>
      <c r="F1719" s="7" t="inlineStr">
        <is>
          <t>Milho</t>
        </is>
      </c>
      <c r="G1719" s="7" t="inlineStr">
        <is>
          <t>Cultura Autorizada na Bula</t>
        </is>
      </c>
      <c r="H1719" s="7" t="inlineStr">
        <is>
          <t>100 a 300 L/ha</t>
        </is>
      </c>
      <c r="I1719" s="7" t="inlineStr">
        <is>
          <t>20 a 40 L/ha</t>
        </is>
      </c>
      <c r="J1719" s="7" t="inlineStr">
        <is>
          <t>30 dias</t>
        </is>
      </c>
    </row>
    <row r="1720" ht="22" customHeight="1">
      <c r="A1720" s="12" t="inlineStr">
        <is>
          <t>CUL-1716</t>
        </is>
      </c>
      <c r="B1720" s="11" t="n">
        <v>343</v>
      </c>
      <c r="C1720" s="13" t="inlineStr">
        <is>
          <t>Nº 14521</t>
        </is>
      </c>
      <c r="D1720" s="14" t="inlineStr">
        <is>
          <t>SAURUS WG</t>
        </is>
      </c>
      <c r="E1720" s="13" t="inlineStr">
        <is>
          <t>Pulverização Agrícola Conforme Bula</t>
        </is>
      </c>
      <c r="F1720" s="13" t="inlineStr">
        <is>
          <t>Feijão</t>
        </is>
      </c>
      <c r="G1720" s="13" t="inlineStr">
        <is>
          <t>Cultura Autorizada na Bula</t>
        </is>
      </c>
      <c r="H1720" s="13" t="inlineStr">
        <is>
          <t>100 a 300 L/ha</t>
        </is>
      </c>
      <c r="I1720" s="13" t="inlineStr">
        <is>
          <t>20 a 40 L/ha</t>
        </is>
      </c>
      <c r="J1720" s="13" t="inlineStr">
        <is>
          <t>14 dias</t>
        </is>
      </c>
    </row>
    <row r="1721" ht="22" customHeight="1">
      <c r="A1721" s="6" t="inlineStr">
        <is>
          <t>CUL-1717</t>
        </is>
      </c>
      <c r="B1721" s="5" t="n">
        <v>343</v>
      </c>
      <c r="C1721" s="7" t="inlineStr">
        <is>
          <t>Nº 14521</t>
        </is>
      </c>
      <c r="D1721" s="8" t="inlineStr">
        <is>
          <t>SAURUS WG</t>
        </is>
      </c>
      <c r="E1721" s="7" t="inlineStr">
        <is>
          <t>Pulverização Agrícola Conforme Bula</t>
        </is>
      </c>
      <c r="F1721" s="7" t="inlineStr">
        <is>
          <t>Café</t>
        </is>
      </c>
      <c r="G1721" s="7" t="inlineStr">
        <is>
          <t>Cultura Autorizada na Bula</t>
        </is>
      </c>
      <c r="H1721" s="7" t="inlineStr">
        <is>
          <t>100 a 300 L/ha</t>
        </is>
      </c>
      <c r="I1721" s="7" t="inlineStr">
        <is>
          <t>20 a 40 L/ha</t>
        </is>
      </c>
      <c r="J1721" s="7" t="inlineStr">
        <is>
          <t>28 dias</t>
        </is>
      </c>
    </row>
    <row r="1722" ht="22" customHeight="1">
      <c r="A1722" s="12" t="inlineStr">
        <is>
          <t>CUL-1718</t>
        </is>
      </c>
      <c r="B1722" s="11" t="n">
        <v>343</v>
      </c>
      <c r="C1722" s="13" t="inlineStr">
        <is>
          <t>Nº 14521</t>
        </is>
      </c>
      <c r="D1722" s="14" t="inlineStr">
        <is>
          <t>SAURUS WG</t>
        </is>
      </c>
      <c r="E1722" s="13" t="inlineStr">
        <is>
          <t>Pulverização Agrícola Conforme Bula</t>
        </is>
      </c>
      <c r="F1722" s="13" t="inlineStr">
        <is>
          <t>Citros</t>
        </is>
      </c>
      <c r="G1722" s="13" t="inlineStr">
        <is>
          <t>Cultura Autorizada na Bula</t>
        </is>
      </c>
      <c r="H1722" s="13" t="inlineStr">
        <is>
          <t>100 a 300 L/ha</t>
        </is>
      </c>
      <c r="I1722" s="13" t="inlineStr">
        <is>
          <t>20 a 40 L/ha</t>
        </is>
      </c>
      <c r="J1722" s="13" t="inlineStr">
        <is>
          <t>7 dias</t>
        </is>
      </c>
    </row>
    <row r="1723" ht="22" customHeight="1">
      <c r="A1723" s="6" t="inlineStr">
        <is>
          <t>CUL-1719</t>
        </is>
      </c>
      <c r="B1723" s="5" t="n">
        <v>343</v>
      </c>
      <c r="C1723" s="7" t="inlineStr">
        <is>
          <t>Nº 14521</t>
        </is>
      </c>
      <c r="D1723" s="8" t="inlineStr">
        <is>
          <t>SAURUS WG</t>
        </is>
      </c>
      <c r="E1723" s="7" t="inlineStr">
        <is>
          <t>Pulverização Agrícola Conforme Bula</t>
        </is>
      </c>
      <c r="F1723" s="7" t="inlineStr">
        <is>
          <t>Tomate</t>
        </is>
      </c>
      <c r="G1723" s="7" t="inlineStr">
        <is>
          <t>Cultura Autorizada na Bula</t>
        </is>
      </c>
      <c r="H1723" s="7" t="inlineStr">
        <is>
          <t>100 a 300 L/ha</t>
        </is>
      </c>
      <c r="I1723" s="7" t="inlineStr">
        <is>
          <t>20 a 40 L/ha</t>
        </is>
      </c>
      <c r="J1723" s="7" t="inlineStr">
        <is>
          <t>3 dias</t>
        </is>
      </c>
    </row>
    <row r="1724" ht="22" customHeight="1">
      <c r="A1724" s="12" t="inlineStr">
        <is>
          <t>CUL-1720</t>
        </is>
      </c>
      <c r="B1724" s="11" t="n">
        <v>344</v>
      </c>
      <c r="C1724" s="13" t="inlineStr">
        <is>
          <t>Nº 0122</t>
        </is>
      </c>
      <c r="D1724" s="14" t="inlineStr">
        <is>
          <t>EXCALIA MAX</t>
        </is>
      </c>
      <c r="E1724" s="13" t="inlineStr">
        <is>
          <t>Pulverização Agrícola Conforme Bula</t>
        </is>
      </c>
      <c r="F1724" s="13" t="inlineStr">
        <is>
          <t>Soja</t>
        </is>
      </c>
      <c r="G1724" s="13" t="inlineStr">
        <is>
          <t>Cultura Autorizada na Bula</t>
        </is>
      </c>
      <c r="H1724" s="13" t="inlineStr">
        <is>
          <t>100 a 300 L/ha</t>
        </is>
      </c>
      <c r="I1724" s="13" t="inlineStr">
        <is>
          <t>20 a 40 L/ha</t>
        </is>
      </c>
      <c r="J1724" s="13" t="inlineStr">
        <is>
          <t>30 dias</t>
        </is>
      </c>
    </row>
    <row r="1725" ht="22" customHeight="1">
      <c r="A1725" s="6" t="inlineStr">
        <is>
          <t>CUL-1721</t>
        </is>
      </c>
      <c r="B1725" s="5" t="n">
        <v>344</v>
      </c>
      <c r="C1725" s="7" t="inlineStr">
        <is>
          <t>Nº 0122</t>
        </is>
      </c>
      <c r="D1725" s="8" t="inlineStr">
        <is>
          <t>EXCALIA MAX</t>
        </is>
      </c>
      <c r="E1725" s="7" t="inlineStr">
        <is>
          <t>Pulverização Agrícola Conforme Bula</t>
        </is>
      </c>
      <c r="F1725" s="7" t="inlineStr">
        <is>
          <t>Milho</t>
        </is>
      </c>
      <c r="G1725" s="7" t="inlineStr">
        <is>
          <t>Cultura Autorizada na Bula</t>
        </is>
      </c>
      <c r="H1725" s="7" t="inlineStr">
        <is>
          <t>100 a 300 L/ha</t>
        </is>
      </c>
      <c r="I1725" s="7" t="inlineStr">
        <is>
          <t>20 a 40 L/ha</t>
        </is>
      </c>
      <c r="J1725" s="7" t="inlineStr">
        <is>
          <t>15 dias</t>
        </is>
      </c>
    </row>
    <row r="1726" ht="22" customHeight="1">
      <c r="A1726" s="12" t="inlineStr">
        <is>
          <t>CUL-1722</t>
        </is>
      </c>
      <c r="B1726" s="11" t="n">
        <v>344</v>
      </c>
      <c r="C1726" s="13" t="inlineStr">
        <is>
          <t>Nº 0122</t>
        </is>
      </c>
      <c r="D1726" s="14" t="inlineStr">
        <is>
          <t>EXCALIA MAX</t>
        </is>
      </c>
      <c r="E1726" s="13" t="inlineStr">
        <is>
          <t>Pulverização Agrícola Conforme Bula</t>
        </is>
      </c>
      <c r="F1726" s="13" t="inlineStr">
        <is>
          <t>Algodão</t>
        </is>
      </c>
      <c r="G1726" s="13" t="inlineStr">
        <is>
          <t>Cultura Autorizada na Bula</t>
        </is>
      </c>
      <c r="H1726" s="13" t="inlineStr">
        <is>
          <t>100 a 300 L/ha</t>
        </is>
      </c>
      <c r="I1726" s="13" t="inlineStr">
        <is>
          <t>20 a 40 L/ha</t>
        </is>
      </c>
      <c r="J1726" s="13" t="inlineStr">
        <is>
          <t>30 dias</t>
        </is>
      </c>
    </row>
    <row r="1727" ht="22" customHeight="1">
      <c r="A1727" s="6" t="inlineStr">
        <is>
          <t>CUL-1723</t>
        </is>
      </c>
      <c r="B1727" s="5" t="n">
        <v>344</v>
      </c>
      <c r="C1727" s="7" t="inlineStr">
        <is>
          <t>Nº 0122</t>
        </is>
      </c>
      <c r="D1727" s="8" t="inlineStr">
        <is>
          <t>EXCALIA MAX</t>
        </is>
      </c>
      <c r="E1727" s="7" t="inlineStr">
        <is>
          <t>Pulverização Agrícola Conforme Bula</t>
        </is>
      </c>
      <c r="F1727" s="7" t="inlineStr">
        <is>
          <t>Trigo</t>
        </is>
      </c>
      <c r="G1727" s="7" t="inlineStr">
        <is>
          <t>Cultura Autorizada na Bula</t>
        </is>
      </c>
      <c r="H1727" s="7" t="inlineStr">
        <is>
          <t>100 a 300 L/ha</t>
        </is>
      </c>
      <c r="I1727" s="7" t="inlineStr">
        <is>
          <t>20 a 40 L/ha</t>
        </is>
      </c>
      <c r="J1727" s="7" t="inlineStr">
        <is>
          <t>35 dias</t>
        </is>
      </c>
    </row>
    <row r="1728" ht="22" customHeight="1">
      <c r="A1728" s="12" t="inlineStr">
        <is>
          <t>CUL-1724</t>
        </is>
      </c>
      <c r="B1728" s="11" t="n">
        <v>344</v>
      </c>
      <c r="C1728" s="13" t="inlineStr">
        <is>
          <t>Nº 0122</t>
        </is>
      </c>
      <c r="D1728" s="14" t="inlineStr">
        <is>
          <t>EXCALIA MAX</t>
        </is>
      </c>
      <c r="E1728" s="13" t="inlineStr">
        <is>
          <t>Pulverização Agrícola Conforme Bula</t>
        </is>
      </c>
      <c r="F1728" s="13" t="inlineStr">
        <is>
          <t>Café</t>
        </is>
      </c>
      <c r="G1728" s="13" t="inlineStr">
        <is>
          <t>Cultura Autorizada na Bula</t>
        </is>
      </c>
      <c r="H1728" s="13" t="inlineStr">
        <is>
          <t>100 a 300 L/ha</t>
        </is>
      </c>
      <c r="I1728" s="13" t="inlineStr">
        <is>
          <t>20 a 40 L/ha</t>
        </is>
      </c>
      <c r="J1728" s="13" t="inlineStr">
        <is>
          <t>30 dias</t>
        </is>
      </c>
    </row>
    <row r="1729" ht="22" customHeight="1">
      <c r="A1729" s="6" t="inlineStr">
        <is>
          <t>CUL-1725</t>
        </is>
      </c>
      <c r="B1729" s="5" t="n">
        <v>344</v>
      </c>
      <c r="C1729" s="7" t="inlineStr">
        <is>
          <t>Nº 0122</t>
        </is>
      </c>
      <c r="D1729" s="8" t="inlineStr">
        <is>
          <t>EXCALIA MAX</t>
        </is>
      </c>
      <c r="E1729" s="7" t="inlineStr">
        <is>
          <t>Pulverização Agrícola Conforme Bula</t>
        </is>
      </c>
      <c r="F1729" s="7" t="inlineStr">
        <is>
          <t>Feijão</t>
        </is>
      </c>
      <c r="G1729" s="7" t="inlineStr">
        <is>
          <t>Cultura Autorizada na Bula</t>
        </is>
      </c>
      <c r="H1729" s="7" t="inlineStr">
        <is>
          <t>100 a 300 L/ha</t>
        </is>
      </c>
      <c r="I1729" s="7" t="inlineStr">
        <is>
          <t>20 a 40 L/ha</t>
        </is>
      </c>
      <c r="J1729" s="7" t="inlineStr">
        <is>
          <t>14 dias</t>
        </is>
      </c>
    </row>
    <row r="1730" ht="22" customHeight="1">
      <c r="A1730" s="12" t="inlineStr">
        <is>
          <t>CUL-1726</t>
        </is>
      </c>
      <c r="B1730" s="11" t="n">
        <v>345</v>
      </c>
      <c r="C1730" s="13" t="inlineStr">
        <is>
          <t>Nº 3922</t>
        </is>
      </c>
      <c r="D1730" s="14" t="inlineStr">
        <is>
          <t>BELYAN</t>
        </is>
      </c>
      <c r="E1730" s="13" t="inlineStr">
        <is>
          <t>Pulverização Agrícola Conforme Bula</t>
        </is>
      </c>
      <c r="F1730" s="13" t="inlineStr">
        <is>
          <t>Soja</t>
        </is>
      </c>
      <c r="G1730" s="13" t="inlineStr">
        <is>
          <t>Cultura Autorizada na Bula</t>
        </is>
      </c>
      <c r="H1730" s="13" t="inlineStr">
        <is>
          <t>100 a 300 L/ha</t>
        </is>
      </c>
      <c r="I1730" s="13" t="inlineStr">
        <is>
          <t>20 a 40 L/ha</t>
        </is>
      </c>
      <c r="J1730" s="13" t="inlineStr">
        <is>
          <t>30 dias</t>
        </is>
      </c>
    </row>
    <row r="1731" ht="22" customHeight="1">
      <c r="A1731" s="6" t="inlineStr">
        <is>
          <t>CUL-1727</t>
        </is>
      </c>
      <c r="B1731" s="5" t="n">
        <v>345</v>
      </c>
      <c r="C1731" s="7" t="inlineStr">
        <is>
          <t>Nº 3922</t>
        </is>
      </c>
      <c r="D1731" s="8" t="inlineStr">
        <is>
          <t>BELYAN</t>
        </is>
      </c>
      <c r="E1731" s="7" t="inlineStr">
        <is>
          <t>Pulverização Agrícola Conforme Bula</t>
        </is>
      </c>
      <c r="F1731" s="7" t="inlineStr">
        <is>
          <t>Milho</t>
        </is>
      </c>
      <c r="G1731" s="7" t="inlineStr">
        <is>
          <t>Cultura Autorizada na Bula</t>
        </is>
      </c>
      <c r="H1731" s="7" t="inlineStr">
        <is>
          <t>100 a 300 L/ha</t>
        </is>
      </c>
      <c r="I1731" s="7" t="inlineStr">
        <is>
          <t>20 a 40 L/ha</t>
        </is>
      </c>
      <c r="J1731" s="7" t="inlineStr">
        <is>
          <t>30 dias</t>
        </is>
      </c>
    </row>
    <row r="1732" ht="22" customHeight="1">
      <c r="A1732" s="12" t="inlineStr">
        <is>
          <t>CUL-1728</t>
        </is>
      </c>
      <c r="B1732" s="11" t="n">
        <v>345</v>
      </c>
      <c r="C1732" s="13" t="inlineStr">
        <is>
          <t>Nº 3922</t>
        </is>
      </c>
      <c r="D1732" s="14" t="inlineStr">
        <is>
          <t>BELYAN</t>
        </is>
      </c>
      <c r="E1732" s="13" t="inlineStr">
        <is>
          <t>Pulverização Agrícola Conforme Bula</t>
        </is>
      </c>
      <c r="F1732" s="13" t="inlineStr">
        <is>
          <t>Algodão</t>
        </is>
      </c>
      <c r="G1732" s="13" t="inlineStr">
        <is>
          <t>Cultura Autorizada na Bula</t>
        </is>
      </c>
      <c r="H1732" s="13" t="inlineStr">
        <is>
          <t>100 a 300 L/ha</t>
        </is>
      </c>
      <c r="I1732" s="13" t="inlineStr">
        <is>
          <t>20 a 40 L/ha</t>
        </is>
      </c>
      <c r="J1732" s="13" t="inlineStr">
        <is>
          <t>30 dias</t>
        </is>
      </c>
    </row>
    <row r="1733" ht="22" customHeight="1">
      <c r="A1733" s="6" t="inlineStr">
        <is>
          <t>CUL-1729</t>
        </is>
      </c>
      <c r="B1733" s="5" t="n">
        <v>345</v>
      </c>
      <c r="C1733" s="7" t="inlineStr">
        <is>
          <t>Nº 3922</t>
        </is>
      </c>
      <c r="D1733" s="8" t="inlineStr">
        <is>
          <t>BELYAN</t>
        </is>
      </c>
      <c r="E1733" s="7" t="inlineStr">
        <is>
          <t>Pulverização Agrícola Conforme Bula</t>
        </is>
      </c>
      <c r="F1733" s="7" t="inlineStr">
        <is>
          <t>Trigo</t>
        </is>
      </c>
      <c r="G1733" s="7" t="inlineStr">
        <is>
          <t>Cultura Autorizada na Bula</t>
        </is>
      </c>
      <c r="H1733" s="7" t="inlineStr">
        <is>
          <t>100 a 300 L/ha</t>
        </is>
      </c>
      <c r="I1733" s="7" t="inlineStr">
        <is>
          <t>20 a 40 L/ha</t>
        </is>
      </c>
      <c r="J1733" s="7" t="inlineStr">
        <is>
          <t>30 dias</t>
        </is>
      </c>
    </row>
    <row r="1734" ht="22" customHeight="1">
      <c r="A1734" s="12" t="inlineStr">
        <is>
          <t>CUL-1730</t>
        </is>
      </c>
      <c r="B1734" s="11" t="n">
        <v>345</v>
      </c>
      <c r="C1734" s="13" t="inlineStr">
        <is>
          <t>Nº 3922</t>
        </is>
      </c>
      <c r="D1734" s="14" t="inlineStr">
        <is>
          <t>BELYAN</t>
        </is>
      </c>
      <c r="E1734" s="13" t="inlineStr">
        <is>
          <t>Pulverização Agrícola Conforme Bula</t>
        </is>
      </c>
      <c r="F1734" s="13" t="inlineStr">
        <is>
          <t>Feijão</t>
        </is>
      </c>
      <c r="G1734" s="13" t="inlineStr">
        <is>
          <t>Cultura Autorizada na Bula</t>
        </is>
      </c>
      <c r="H1734" s="13" t="inlineStr">
        <is>
          <t>100 a 300 L/ha</t>
        </is>
      </c>
      <c r="I1734" s="13" t="inlineStr">
        <is>
          <t>20 a 40 L/ha</t>
        </is>
      </c>
      <c r="J1734" s="13" t="inlineStr">
        <is>
          <t>14 dias</t>
        </is>
      </c>
    </row>
    <row r="1735" ht="22" customHeight="1">
      <c r="A1735" s="6" t="inlineStr">
        <is>
          <t>CUL-1731</t>
        </is>
      </c>
      <c r="B1735" s="5" t="n">
        <v>346</v>
      </c>
      <c r="C1735" s="7" t="inlineStr">
        <is>
          <t>Nº 9517</t>
        </is>
      </c>
      <c r="D1735" s="8" t="inlineStr">
        <is>
          <t>FUSAO EC</t>
        </is>
      </c>
      <c r="E1735" s="7" t="inlineStr">
        <is>
          <t>Pulverização Agrícola Conforme Bula</t>
        </is>
      </c>
      <c r="F1735" s="7" t="inlineStr">
        <is>
          <t>Soja</t>
        </is>
      </c>
      <c r="G1735" s="7" t="inlineStr">
        <is>
          <t>Cultura Autorizada na Bula</t>
        </is>
      </c>
      <c r="H1735" s="7" t="inlineStr">
        <is>
          <t>100 a 300 L/ha</t>
        </is>
      </c>
      <c r="I1735" s="7" t="inlineStr">
        <is>
          <t>20 a 40 L/ha</t>
        </is>
      </c>
      <c r="J1735" s="7" t="inlineStr">
        <is>
          <t>30 dias</t>
        </is>
      </c>
    </row>
    <row r="1736" ht="22" customHeight="1">
      <c r="A1736" s="12" t="inlineStr">
        <is>
          <t>CUL-1732</t>
        </is>
      </c>
      <c r="B1736" s="11" t="n">
        <v>346</v>
      </c>
      <c r="C1736" s="13" t="inlineStr">
        <is>
          <t>Nº 9517</t>
        </is>
      </c>
      <c r="D1736" s="14" t="inlineStr">
        <is>
          <t>FUSAO EC</t>
        </is>
      </c>
      <c r="E1736" s="13" t="inlineStr">
        <is>
          <t>Pulverização Agrícola Conforme Bula</t>
        </is>
      </c>
      <c r="F1736" s="13" t="inlineStr">
        <is>
          <t>Milho</t>
        </is>
      </c>
      <c r="G1736" s="13" t="inlineStr">
        <is>
          <t>Cultura Autorizada na Bula</t>
        </is>
      </c>
      <c r="H1736" s="13" t="inlineStr">
        <is>
          <t>100 a 300 L/ha</t>
        </is>
      </c>
      <c r="I1736" s="13" t="inlineStr">
        <is>
          <t>20 a 40 L/ha</t>
        </is>
      </c>
      <c r="J1736" s="13" t="inlineStr">
        <is>
          <t>15 dias</t>
        </is>
      </c>
    </row>
    <row r="1737" ht="22" customHeight="1">
      <c r="A1737" s="6" t="inlineStr">
        <is>
          <t>CUL-1733</t>
        </is>
      </c>
      <c r="B1737" s="5" t="n">
        <v>346</v>
      </c>
      <c r="C1737" s="7" t="inlineStr">
        <is>
          <t>Nº 9517</t>
        </is>
      </c>
      <c r="D1737" s="8" t="inlineStr">
        <is>
          <t>FUSAO EC</t>
        </is>
      </c>
      <c r="E1737" s="7" t="inlineStr">
        <is>
          <t>Pulverização Agrícola Conforme Bula</t>
        </is>
      </c>
      <c r="F1737" s="7" t="inlineStr">
        <is>
          <t>Algodão</t>
        </is>
      </c>
      <c r="G1737" s="7" t="inlineStr">
        <is>
          <t>Cultura Autorizada na Bula</t>
        </is>
      </c>
      <c r="H1737" s="7" t="inlineStr">
        <is>
          <t>100 a 300 L/ha</t>
        </is>
      </c>
      <c r="I1737" s="7" t="inlineStr">
        <is>
          <t>20 a 40 L/ha</t>
        </is>
      </c>
      <c r="J1737" s="7" t="inlineStr">
        <is>
          <t>30 dias</t>
        </is>
      </c>
    </row>
    <row r="1738" ht="22" customHeight="1">
      <c r="A1738" s="12" t="inlineStr">
        <is>
          <t>CUL-1734</t>
        </is>
      </c>
      <c r="B1738" s="11" t="n">
        <v>346</v>
      </c>
      <c r="C1738" s="13" t="inlineStr">
        <is>
          <t>Nº 9517</t>
        </is>
      </c>
      <c r="D1738" s="14" t="inlineStr">
        <is>
          <t>FUSAO EC</t>
        </is>
      </c>
      <c r="E1738" s="13" t="inlineStr">
        <is>
          <t>Pulverização Agrícola Conforme Bula</t>
        </is>
      </c>
      <c r="F1738" s="13" t="inlineStr">
        <is>
          <t>Trigo</t>
        </is>
      </c>
      <c r="G1738" s="13" t="inlineStr">
        <is>
          <t>Cultura Autorizada na Bula</t>
        </is>
      </c>
      <c r="H1738" s="13" t="inlineStr">
        <is>
          <t>100 a 300 L/ha</t>
        </is>
      </c>
      <c r="I1738" s="13" t="inlineStr">
        <is>
          <t>20 a 40 L/ha</t>
        </is>
      </c>
      <c r="J1738" s="13" t="inlineStr">
        <is>
          <t>35 dias</t>
        </is>
      </c>
    </row>
    <row r="1739" ht="22" customHeight="1">
      <c r="A1739" s="6" t="inlineStr">
        <is>
          <t>CUL-1735</t>
        </is>
      </c>
      <c r="B1739" s="5" t="n">
        <v>346</v>
      </c>
      <c r="C1739" s="7" t="inlineStr">
        <is>
          <t>Nº 9517</t>
        </is>
      </c>
      <c r="D1739" s="8" t="inlineStr">
        <is>
          <t>FUSAO EC</t>
        </is>
      </c>
      <c r="E1739" s="7" t="inlineStr">
        <is>
          <t>Pulverização Agrícola Conforme Bula</t>
        </is>
      </c>
      <c r="F1739" s="7" t="inlineStr">
        <is>
          <t>Café</t>
        </is>
      </c>
      <c r="G1739" s="7" t="inlineStr">
        <is>
          <t>Cultura Autorizada na Bula</t>
        </is>
      </c>
      <c r="H1739" s="7" t="inlineStr">
        <is>
          <t>100 a 300 L/ha</t>
        </is>
      </c>
      <c r="I1739" s="7" t="inlineStr">
        <is>
          <t>20 a 40 L/ha</t>
        </is>
      </c>
      <c r="J1739" s="7" t="inlineStr">
        <is>
          <t>30 dias</t>
        </is>
      </c>
    </row>
    <row r="1740" ht="22" customHeight="1">
      <c r="A1740" s="12" t="inlineStr">
        <is>
          <t>CUL-1736</t>
        </is>
      </c>
      <c r="B1740" s="11" t="n">
        <v>346</v>
      </c>
      <c r="C1740" s="13" t="inlineStr">
        <is>
          <t>Nº 9517</t>
        </is>
      </c>
      <c r="D1740" s="14" t="inlineStr">
        <is>
          <t>FUSAO EC</t>
        </is>
      </c>
      <c r="E1740" s="13" t="inlineStr">
        <is>
          <t>Pulverização Agrícola Conforme Bula</t>
        </is>
      </c>
      <c r="F1740" s="13" t="inlineStr">
        <is>
          <t>Feijão</t>
        </is>
      </c>
      <c r="G1740" s="13" t="inlineStr">
        <is>
          <t>Cultura Autorizada na Bula</t>
        </is>
      </c>
      <c r="H1740" s="13" t="inlineStr">
        <is>
          <t>100 a 300 L/ha</t>
        </is>
      </c>
      <c r="I1740" s="13" t="inlineStr">
        <is>
          <t>20 a 40 L/ha</t>
        </is>
      </c>
      <c r="J1740" s="13" t="inlineStr">
        <is>
          <t>14 dias</t>
        </is>
      </c>
    </row>
    <row r="1741" ht="22" customHeight="1">
      <c r="A1741" s="6" t="inlineStr">
        <is>
          <t>CUL-1737</t>
        </is>
      </c>
      <c r="B1741" s="5" t="n">
        <v>347</v>
      </c>
      <c r="C1741" s="7" t="inlineStr">
        <is>
          <t>Nº 8912</t>
        </is>
      </c>
      <c r="D1741" s="8" t="inlineStr">
        <is>
          <t>GLIFOSATO 698 CRUCIAL SL</t>
        </is>
      </c>
      <c r="E1741" s="7" t="inlineStr">
        <is>
          <t>Pulverização Agrícola Conforme Bula</t>
        </is>
      </c>
      <c r="F1741" s="7" t="inlineStr">
        <is>
          <t>Soja (Pré-Plantio / OGM)</t>
        </is>
      </c>
      <c r="G1741" s="7" t="inlineStr">
        <is>
          <t>Cultura Autorizada na Bula</t>
        </is>
      </c>
      <c r="H1741" s="7" t="inlineStr">
        <is>
          <t>100 a 300 L/ha</t>
        </is>
      </c>
      <c r="I1741" s="7" t="inlineStr">
        <is>
          <t>20 a 40 L/ha</t>
        </is>
      </c>
      <c r="J1741" s="7" t="inlineStr">
        <is>
          <t>56 dias</t>
        </is>
      </c>
    </row>
    <row r="1742" ht="22" customHeight="1">
      <c r="A1742" s="12" t="inlineStr">
        <is>
          <t>CUL-1738</t>
        </is>
      </c>
      <c r="B1742" s="11" t="n">
        <v>347</v>
      </c>
      <c r="C1742" s="13" t="inlineStr">
        <is>
          <t>Nº 8912</t>
        </is>
      </c>
      <c r="D1742" s="14" t="inlineStr">
        <is>
          <t>GLIFOSATO 698 CRUCIAL SL</t>
        </is>
      </c>
      <c r="E1742" s="13" t="inlineStr">
        <is>
          <t>Pulverização Agrícola Conforme Bula</t>
        </is>
      </c>
      <c r="F1742" s="13" t="inlineStr">
        <is>
          <t>Milho (Pré-Plantio / OGM)</t>
        </is>
      </c>
      <c r="G1742" s="13" t="inlineStr">
        <is>
          <t>Cultura Autorizada na Bula</t>
        </is>
      </c>
      <c r="H1742" s="13" t="inlineStr">
        <is>
          <t>100 a 300 L/ha</t>
        </is>
      </c>
      <c r="I1742" s="13" t="inlineStr">
        <is>
          <t>20 a 40 L/ha</t>
        </is>
      </c>
      <c r="J1742" s="13" t="inlineStr">
        <is>
          <t>90 dias</t>
        </is>
      </c>
    </row>
    <row r="1743" ht="22" customHeight="1">
      <c r="A1743" s="6" t="inlineStr">
        <is>
          <t>CUL-1739</t>
        </is>
      </c>
      <c r="B1743" s="5" t="n">
        <v>347</v>
      </c>
      <c r="C1743" s="7" t="inlineStr">
        <is>
          <t>Nº 8912</t>
        </is>
      </c>
      <c r="D1743" s="8" t="inlineStr">
        <is>
          <t>GLIFOSATO 698 CRUCIAL SL</t>
        </is>
      </c>
      <c r="E1743" s="7" t="inlineStr">
        <is>
          <t>Pulverização Agrícola Conforme Bula</t>
        </is>
      </c>
      <c r="F1743" s="7" t="inlineStr">
        <is>
          <t>Algodão (Pré-Plantio / OGM)</t>
        </is>
      </c>
      <c r="G1743" s="7" t="inlineStr">
        <is>
          <t>Cultura Autorizada na Bula</t>
        </is>
      </c>
      <c r="H1743" s="7" t="inlineStr">
        <is>
          <t>100 a 300 L/ha</t>
        </is>
      </c>
      <c r="I1743" s="7" t="inlineStr">
        <is>
          <t>20 a 40 L/ha</t>
        </is>
      </c>
      <c r="J1743" s="7" t="inlineStr">
        <is>
          <t>130 dias</t>
        </is>
      </c>
    </row>
    <row r="1744" ht="22" customHeight="1">
      <c r="A1744" s="12" t="inlineStr">
        <is>
          <t>CUL-1740</t>
        </is>
      </c>
      <c r="B1744" s="11" t="n">
        <v>347</v>
      </c>
      <c r="C1744" s="13" t="inlineStr">
        <is>
          <t>Nº 8912</t>
        </is>
      </c>
      <c r="D1744" s="14" t="inlineStr">
        <is>
          <t>GLIFOSATO 698 CRUCIAL SL</t>
        </is>
      </c>
      <c r="E1744" s="13" t="inlineStr">
        <is>
          <t>Pulverização Agrícola Conforme Bula</t>
        </is>
      </c>
      <c r="F1744" s="13" t="inlineStr">
        <is>
          <t>Cana-de-açúcar</t>
        </is>
      </c>
      <c r="G1744" s="13" t="inlineStr">
        <is>
          <t>Cultura Autorizada na Bula</t>
        </is>
      </c>
      <c r="H1744" s="13" t="inlineStr">
        <is>
          <t>100 a 300 L/ha</t>
        </is>
      </c>
      <c r="I1744" s="13" t="inlineStr">
        <is>
          <t>20 a 40 L/ha</t>
        </is>
      </c>
      <c r="J1744" s="13" t="inlineStr">
        <is>
          <t>N/D</t>
        </is>
      </c>
    </row>
    <row r="1745" ht="22" customHeight="1">
      <c r="A1745" s="6" t="inlineStr">
        <is>
          <t>CUL-1741</t>
        </is>
      </c>
      <c r="B1745" s="5" t="n">
        <v>347</v>
      </c>
      <c r="C1745" s="7" t="inlineStr">
        <is>
          <t>Nº 8912</t>
        </is>
      </c>
      <c r="D1745" s="8" t="inlineStr">
        <is>
          <t>GLIFOSATO 698 CRUCIAL SL</t>
        </is>
      </c>
      <c r="E1745" s="7" t="inlineStr">
        <is>
          <t>Pulverização Agrícola Conforme Bula</t>
        </is>
      </c>
      <c r="F1745" s="7" t="inlineStr">
        <is>
          <t>Café (Jato Dirigido)</t>
        </is>
      </c>
      <c r="G1745" s="7" t="inlineStr">
        <is>
          <t>Cultura Autorizada na Bula</t>
        </is>
      </c>
      <c r="H1745" s="7" t="inlineStr">
        <is>
          <t>100 a 300 L/ha</t>
        </is>
      </c>
      <c r="I1745" s="7" t="inlineStr">
        <is>
          <t>20 a 40 L/ha</t>
        </is>
      </c>
      <c r="J1745" s="7" t="inlineStr">
        <is>
          <t>15 dias</t>
        </is>
      </c>
    </row>
    <row r="1746" ht="22" customHeight="1">
      <c r="A1746" s="12" t="inlineStr">
        <is>
          <t>CUL-1742</t>
        </is>
      </c>
      <c r="B1746" s="11" t="n">
        <v>347</v>
      </c>
      <c r="C1746" s="13" t="inlineStr">
        <is>
          <t>Nº 8912</t>
        </is>
      </c>
      <c r="D1746" s="14" t="inlineStr">
        <is>
          <t>GLIFOSATO 698 CRUCIAL SL</t>
        </is>
      </c>
      <c r="E1746" s="13" t="inlineStr">
        <is>
          <t>Pulverização Agrícola Conforme Bula</t>
        </is>
      </c>
      <c r="F1746" s="13" t="inlineStr">
        <is>
          <t>Citros (Jato Dirigido)</t>
        </is>
      </c>
      <c r="G1746" s="13" t="inlineStr">
        <is>
          <t>Cultura Autorizada na Bula</t>
        </is>
      </c>
      <c r="H1746" s="13" t="inlineStr">
        <is>
          <t>100 a 300 L/ha</t>
        </is>
      </c>
      <c r="I1746" s="13" t="inlineStr">
        <is>
          <t>20 a 40 L/ha</t>
        </is>
      </c>
      <c r="J1746" s="13" t="inlineStr">
        <is>
          <t>30 dias</t>
        </is>
      </c>
    </row>
    <row r="1747" ht="22" customHeight="1">
      <c r="A1747" s="6" t="inlineStr">
        <is>
          <t>CUL-1743</t>
        </is>
      </c>
      <c r="B1747" s="5" t="n">
        <v>347</v>
      </c>
      <c r="C1747" s="7" t="inlineStr">
        <is>
          <t>Nº 8912</t>
        </is>
      </c>
      <c r="D1747" s="8" t="inlineStr">
        <is>
          <t>GLIFOSATO 698 CRUCIAL SL</t>
        </is>
      </c>
      <c r="E1747" s="7" t="inlineStr">
        <is>
          <t>Pulverização Agrícola Conforme Bula</t>
        </is>
      </c>
      <c r="F1747" s="7" t="inlineStr">
        <is>
          <t>Trigo (Pré-Plantio)</t>
        </is>
      </c>
      <c r="G1747" s="7" t="inlineStr">
        <is>
          <t>Cultura Autorizada na Bula</t>
        </is>
      </c>
      <c r="H1747" s="7" t="inlineStr">
        <is>
          <t>100 a 300 L/ha</t>
        </is>
      </c>
      <c r="I1747" s="7" t="inlineStr">
        <is>
          <t>20 a 40 L/ha</t>
        </is>
      </c>
      <c r="J1747" s="7" t="inlineStr">
        <is>
          <t>N/D</t>
        </is>
      </c>
    </row>
    <row r="1748" ht="22" customHeight="1">
      <c r="A1748" s="12" t="inlineStr">
        <is>
          <t>CUL-1744</t>
        </is>
      </c>
      <c r="B1748" s="11" t="n">
        <v>347</v>
      </c>
      <c r="C1748" s="13" t="inlineStr">
        <is>
          <t>Nº 8912</t>
        </is>
      </c>
      <c r="D1748" s="14" t="inlineStr">
        <is>
          <t>GLIFOSATO 698 CRUCIAL SL</t>
        </is>
      </c>
      <c r="E1748" s="13" t="inlineStr">
        <is>
          <t>Pulverização Agrícola Conforme Bula</t>
        </is>
      </c>
      <c r="F1748" s="13" t="inlineStr">
        <is>
          <t>Pastagens</t>
        </is>
      </c>
      <c r="G1748" s="13" t="inlineStr">
        <is>
          <t>Cultura Autorizada na Bula</t>
        </is>
      </c>
      <c r="H1748" s="13" t="inlineStr">
        <is>
          <t>100 a 300 L/ha</t>
        </is>
      </c>
      <c r="I1748" s="13" t="inlineStr">
        <is>
          <t>20 a 40 L/ha</t>
        </is>
      </c>
      <c r="J1748" s="13" t="inlineStr">
        <is>
          <t>N/D</t>
        </is>
      </c>
    </row>
    <row r="1749" ht="22" customHeight="1">
      <c r="A1749" s="6" t="inlineStr">
        <is>
          <t>CUL-1745</t>
        </is>
      </c>
      <c r="B1749" s="5" t="n">
        <v>348</v>
      </c>
      <c r="C1749" s="7" t="inlineStr">
        <is>
          <t>Nº 36822</t>
        </is>
      </c>
      <c r="D1749" s="8" t="inlineStr">
        <is>
          <t>CLORPIRIFOS 48 EC LUBA</t>
        </is>
      </c>
      <c r="E1749" s="7" t="inlineStr">
        <is>
          <t>Pulverização Agrícola Conforme Bula</t>
        </is>
      </c>
      <c r="F1749" s="7" t="inlineStr">
        <is>
          <t>Soja</t>
        </is>
      </c>
      <c r="G1749" s="7" t="inlineStr">
        <is>
          <t>Cultura Autorizada na Bula</t>
        </is>
      </c>
      <c r="H1749" s="7" t="inlineStr">
        <is>
          <t>100 a 300 L/ha</t>
        </is>
      </c>
      <c r="I1749" s="7" t="inlineStr">
        <is>
          <t>20 a 40 L/ha</t>
        </is>
      </c>
      <c r="J1749" s="7" t="inlineStr">
        <is>
          <t>21 dias</t>
        </is>
      </c>
    </row>
    <row r="1750" ht="22" customHeight="1">
      <c r="A1750" s="12" t="inlineStr">
        <is>
          <t>CUL-1746</t>
        </is>
      </c>
      <c r="B1750" s="11" t="n">
        <v>348</v>
      </c>
      <c r="C1750" s="13" t="inlineStr">
        <is>
          <t>Nº 36822</t>
        </is>
      </c>
      <c r="D1750" s="14" t="inlineStr">
        <is>
          <t>CLORPIRIFOS 48 EC LUBA</t>
        </is>
      </c>
      <c r="E1750" s="13" t="inlineStr">
        <is>
          <t>Pulverização Agrícola Conforme Bula</t>
        </is>
      </c>
      <c r="F1750" s="13" t="inlineStr">
        <is>
          <t>Milho</t>
        </is>
      </c>
      <c r="G1750" s="13" t="inlineStr">
        <is>
          <t>Cultura Autorizada na Bula</t>
        </is>
      </c>
      <c r="H1750" s="13" t="inlineStr">
        <is>
          <t>100 a 300 L/ha</t>
        </is>
      </c>
      <c r="I1750" s="13" t="inlineStr">
        <is>
          <t>20 a 40 L/ha</t>
        </is>
      </c>
      <c r="J1750" s="13" t="inlineStr">
        <is>
          <t>21 dias</t>
        </is>
      </c>
    </row>
    <row r="1751" ht="22" customHeight="1">
      <c r="A1751" s="6" t="inlineStr">
        <is>
          <t>CUL-1747</t>
        </is>
      </c>
      <c r="B1751" s="5" t="n">
        <v>348</v>
      </c>
      <c r="C1751" s="7" t="inlineStr">
        <is>
          <t>Nº 36822</t>
        </is>
      </c>
      <c r="D1751" s="8" t="inlineStr">
        <is>
          <t>CLORPIRIFOS 48 EC LUBA</t>
        </is>
      </c>
      <c r="E1751" s="7" t="inlineStr">
        <is>
          <t>Pulverização Agrícola Conforme Bula</t>
        </is>
      </c>
      <c r="F1751" s="7" t="inlineStr">
        <is>
          <t>Algodão</t>
        </is>
      </c>
      <c r="G1751" s="7" t="inlineStr">
        <is>
          <t>Cultura Autorizada na Bula</t>
        </is>
      </c>
      <c r="H1751" s="7" t="inlineStr">
        <is>
          <t>100 a 300 L/ha</t>
        </is>
      </c>
      <c r="I1751" s="7" t="inlineStr">
        <is>
          <t>20 a 40 L/ha</t>
        </is>
      </c>
      <c r="J1751" s="7" t="inlineStr">
        <is>
          <t>21 dias</t>
        </is>
      </c>
    </row>
    <row r="1752" ht="22" customHeight="1">
      <c r="A1752" s="12" t="inlineStr">
        <is>
          <t>CUL-1748</t>
        </is>
      </c>
      <c r="B1752" s="11" t="n">
        <v>348</v>
      </c>
      <c r="C1752" s="13" t="inlineStr">
        <is>
          <t>Nº 36822</t>
        </is>
      </c>
      <c r="D1752" s="14" t="inlineStr">
        <is>
          <t>CLORPIRIFOS 48 EC LUBA</t>
        </is>
      </c>
      <c r="E1752" s="13" t="inlineStr">
        <is>
          <t>Pulverização Agrícola Conforme Bula</t>
        </is>
      </c>
      <c r="F1752" s="13" t="inlineStr">
        <is>
          <t>Café</t>
        </is>
      </c>
      <c r="G1752" s="13" t="inlineStr">
        <is>
          <t>Cultura Autorizada na Bula</t>
        </is>
      </c>
      <c r="H1752" s="13" t="inlineStr">
        <is>
          <t>100 a 300 L/ha</t>
        </is>
      </c>
      <c r="I1752" s="13" t="inlineStr">
        <is>
          <t>20 a 40 L/ha</t>
        </is>
      </c>
      <c r="J1752" s="13" t="inlineStr">
        <is>
          <t>21 dias</t>
        </is>
      </c>
    </row>
    <row r="1753" ht="22" customHeight="1">
      <c r="A1753" s="6" t="inlineStr">
        <is>
          <t>CUL-1749</t>
        </is>
      </c>
      <c r="B1753" s="5" t="n">
        <v>348</v>
      </c>
      <c r="C1753" s="7" t="inlineStr">
        <is>
          <t>Nº 36822</t>
        </is>
      </c>
      <c r="D1753" s="8" t="inlineStr">
        <is>
          <t>CLORPIRIFOS 48 EC LUBA</t>
        </is>
      </c>
      <c r="E1753" s="7" t="inlineStr">
        <is>
          <t>Pulverização Agrícola Conforme Bula</t>
        </is>
      </c>
      <c r="F1753" s="7" t="inlineStr">
        <is>
          <t>Citros</t>
        </is>
      </c>
      <c r="G1753" s="7" t="inlineStr">
        <is>
          <t>Cultura Autorizada na Bula</t>
        </is>
      </c>
      <c r="H1753" s="7" t="inlineStr">
        <is>
          <t>100 a 300 L/ha</t>
        </is>
      </c>
      <c r="I1753" s="7" t="inlineStr">
        <is>
          <t>20 a 40 L/ha</t>
        </is>
      </c>
      <c r="J1753" s="7" t="inlineStr">
        <is>
          <t>21 dias</t>
        </is>
      </c>
    </row>
    <row r="1754" ht="22" customHeight="1">
      <c r="A1754" s="12" t="inlineStr">
        <is>
          <t>CUL-1750</t>
        </is>
      </c>
      <c r="B1754" s="11" t="n">
        <v>348</v>
      </c>
      <c r="C1754" s="13" t="inlineStr">
        <is>
          <t>Nº 36822</t>
        </is>
      </c>
      <c r="D1754" s="14" t="inlineStr">
        <is>
          <t>CLORPIRIFOS 48 EC LUBA</t>
        </is>
      </c>
      <c r="E1754" s="13" t="inlineStr">
        <is>
          <t>Pulverização Agrícola Conforme Bula</t>
        </is>
      </c>
      <c r="F1754" s="13" t="inlineStr">
        <is>
          <t>Feijão</t>
        </is>
      </c>
      <c r="G1754" s="13" t="inlineStr">
        <is>
          <t>Cultura Autorizada na Bula</t>
        </is>
      </c>
      <c r="H1754" s="13" t="inlineStr">
        <is>
          <t>100 a 300 L/ha</t>
        </is>
      </c>
      <c r="I1754" s="13" t="inlineStr">
        <is>
          <t>20 a 40 L/ha</t>
        </is>
      </c>
      <c r="J1754" s="13" t="inlineStr">
        <is>
          <t>25 dias</t>
        </is>
      </c>
    </row>
    <row r="1755" ht="22" customHeight="1">
      <c r="A1755" s="6" t="inlineStr">
        <is>
          <t>CUL-1751</t>
        </is>
      </c>
      <c r="B1755" s="5" t="n">
        <v>348</v>
      </c>
      <c r="C1755" s="7" t="inlineStr">
        <is>
          <t>Nº 36822</t>
        </is>
      </c>
      <c r="D1755" s="8" t="inlineStr">
        <is>
          <t>CLORPIRIFOS 48 EC LUBA</t>
        </is>
      </c>
      <c r="E1755" s="7" t="inlineStr">
        <is>
          <t>Pulverização Agrícola Conforme Bula</t>
        </is>
      </c>
      <c r="F1755" s="7" t="inlineStr">
        <is>
          <t>Batata</t>
        </is>
      </c>
      <c r="G1755" s="7" t="inlineStr">
        <is>
          <t>Cultura Autorizada na Bula</t>
        </is>
      </c>
      <c r="H1755" s="7" t="inlineStr">
        <is>
          <t>100 a 300 L/ha</t>
        </is>
      </c>
      <c r="I1755" s="7" t="inlineStr">
        <is>
          <t>20 a 40 L/ha</t>
        </is>
      </c>
      <c r="J1755" s="7" t="inlineStr">
        <is>
          <t>21 dias</t>
        </is>
      </c>
    </row>
    <row r="1756" ht="22" customHeight="1">
      <c r="A1756" s="12" t="inlineStr">
        <is>
          <t>CUL-1752</t>
        </is>
      </c>
      <c r="B1756" s="11" t="n">
        <v>348</v>
      </c>
      <c r="C1756" s="13" t="inlineStr">
        <is>
          <t>Nº 36822</t>
        </is>
      </c>
      <c r="D1756" s="14" t="inlineStr">
        <is>
          <t>CLORPIRIFOS 48 EC LUBA</t>
        </is>
      </c>
      <c r="E1756" s="13" t="inlineStr">
        <is>
          <t>Pulverização Agrícola Conforme Bula</t>
        </is>
      </c>
      <c r="F1756" s="13" t="inlineStr">
        <is>
          <t>Tomate</t>
        </is>
      </c>
      <c r="G1756" s="13" t="inlineStr">
        <is>
          <t>Cultura Autorizada na Bula</t>
        </is>
      </c>
      <c r="H1756" s="13" t="inlineStr">
        <is>
          <t>100 a 300 L/ha</t>
        </is>
      </c>
      <c r="I1756" s="13" t="inlineStr">
        <is>
          <t>20 a 40 L/ha</t>
        </is>
      </c>
      <c r="J1756" s="13" t="inlineStr">
        <is>
          <t>21 dias</t>
        </is>
      </c>
    </row>
    <row r="1757" ht="22" customHeight="1">
      <c r="A1757" s="6" t="inlineStr">
        <is>
          <t>CUL-1753</t>
        </is>
      </c>
      <c r="B1757" s="5" t="n">
        <v>348</v>
      </c>
      <c r="C1757" s="7" t="inlineStr">
        <is>
          <t>Nº 36822</t>
        </is>
      </c>
      <c r="D1757" s="8" t="inlineStr">
        <is>
          <t>CLORPIRIFOS 48 EC LUBA</t>
        </is>
      </c>
      <c r="E1757" s="7" t="inlineStr">
        <is>
          <t>Pulverização Agrícola Conforme Bula</t>
        </is>
      </c>
      <c r="F1757" s="7" t="inlineStr">
        <is>
          <t>Trigo</t>
        </is>
      </c>
      <c r="G1757" s="7" t="inlineStr">
        <is>
          <t>Cultura Autorizada na Bula</t>
        </is>
      </c>
      <c r="H1757" s="7" t="inlineStr">
        <is>
          <t>100 a 300 L/ha</t>
        </is>
      </c>
      <c r="I1757" s="7" t="inlineStr">
        <is>
          <t>20 a 40 L/ha</t>
        </is>
      </c>
      <c r="J1757" s="7" t="inlineStr">
        <is>
          <t>21 dias</t>
        </is>
      </c>
    </row>
    <row r="1758" ht="22" customHeight="1">
      <c r="A1758" s="12" t="inlineStr">
        <is>
          <t>CUL-1754</t>
        </is>
      </c>
      <c r="B1758" s="11" t="n">
        <v>349</v>
      </c>
      <c r="C1758" s="13" t="inlineStr">
        <is>
          <t>Nº 34621</t>
        </is>
      </c>
      <c r="D1758" s="14" t="inlineStr">
        <is>
          <t>RATEIO 200 SL</t>
        </is>
      </c>
      <c r="E1758" s="13" t="inlineStr">
        <is>
          <t>Pulverização Agrícola Conforme Bula</t>
        </is>
      </c>
      <c r="F1758" s="13" t="inlineStr">
        <is>
          <t>Soja (Dessecação Pré-Colheita e Pré-Plantio)</t>
        </is>
      </c>
      <c r="G1758" s="13" t="inlineStr">
        <is>
          <t>Cultura Autorizada na Bula</t>
        </is>
      </c>
      <c r="H1758" s="13" t="inlineStr">
        <is>
          <t>100 a 300 L/ha</t>
        </is>
      </c>
      <c r="I1758" s="13" t="inlineStr">
        <is>
          <t>20 a 40 L/ha</t>
        </is>
      </c>
      <c r="J1758" s="13" t="inlineStr">
        <is>
          <t>7 dias</t>
        </is>
      </c>
    </row>
    <row r="1759" ht="22" customHeight="1">
      <c r="A1759" s="6" t="inlineStr">
        <is>
          <t>CUL-1755</t>
        </is>
      </c>
      <c r="B1759" s="5" t="n">
        <v>349</v>
      </c>
      <c r="C1759" s="7" t="inlineStr">
        <is>
          <t>Nº 34621</t>
        </is>
      </c>
      <c r="D1759" s="8" t="inlineStr">
        <is>
          <t>RATEIO 200 SL</t>
        </is>
      </c>
      <c r="E1759" s="7" t="inlineStr">
        <is>
          <t>Pulverização Agrícola Conforme Bula</t>
        </is>
      </c>
      <c r="F1759" s="7" t="inlineStr">
        <is>
          <t>Feijão (Dessecação Pré-Colheita)</t>
        </is>
      </c>
      <c r="G1759" s="7" t="inlineStr">
        <is>
          <t>Cultura Autorizada na Bula</t>
        </is>
      </c>
      <c r="H1759" s="7" t="inlineStr">
        <is>
          <t>100 a 300 L/ha</t>
        </is>
      </c>
      <c r="I1759" s="7" t="inlineStr">
        <is>
          <t>20 a 40 L/ha</t>
        </is>
      </c>
      <c r="J1759" s="7" t="inlineStr">
        <is>
          <t>7 dias</t>
        </is>
      </c>
    </row>
    <row r="1760" ht="22" customHeight="1">
      <c r="A1760" s="12" t="inlineStr">
        <is>
          <t>CUL-1756</t>
        </is>
      </c>
      <c r="B1760" s="11" t="n">
        <v>349</v>
      </c>
      <c r="C1760" s="13" t="inlineStr">
        <is>
          <t>Nº 34621</t>
        </is>
      </c>
      <c r="D1760" s="14" t="inlineStr">
        <is>
          <t>RATEIO 200 SL</t>
        </is>
      </c>
      <c r="E1760" s="13" t="inlineStr">
        <is>
          <t>Pulverização Agrícola Conforme Bula</t>
        </is>
      </c>
      <c r="F1760" s="13" t="inlineStr">
        <is>
          <t>Algodão</t>
        </is>
      </c>
      <c r="G1760" s="13" t="inlineStr">
        <is>
          <t>Cultura Autorizada na Bula</t>
        </is>
      </c>
      <c r="H1760" s="13" t="inlineStr">
        <is>
          <t>100 a 300 L/ha</t>
        </is>
      </c>
      <c r="I1760" s="13" t="inlineStr">
        <is>
          <t>20 a 40 L/ha</t>
        </is>
      </c>
      <c r="J1760" s="13" t="inlineStr">
        <is>
          <t>7 dias</t>
        </is>
      </c>
    </row>
    <row r="1761" ht="22" customHeight="1">
      <c r="A1761" s="6" t="inlineStr">
        <is>
          <t>CUL-1757</t>
        </is>
      </c>
      <c r="B1761" s="5" t="n">
        <v>349</v>
      </c>
      <c r="C1761" s="7" t="inlineStr">
        <is>
          <t>Nº 34621</t>
        </is>
      </c>
      <c r="D1761" s="8" t="inlineStr">
        <is>
          <t>RATEIO 200 SL</t>
        </is>
      </c>
      <c r="E1761" s="7" t="inlineStr">
        <is>
          <t>Pulverização Agrícola Conforme Bula</t>
        </is>
      </c>
      <c r="F1761" s="7" t="inlineStr">
        <is>
          <t>Batata</t>
        </is>
      </c>
      <c r="G1761" s="7" t="inlineStr">
        <is>
          <t>Cultura Autorizada na Bula</t>
        </is>
      </c>
      <c r="H1761" s="7" t="inlineStr">
        <is>
          <t>100 a 300 L/ha</t>
        </is>
      </c>
      <c r="I1761" s="7" t="inlineStr">
        <is>
          <t>20 a 40 L/ha</t>
        </is>
      </c>
      <c r="J1761" s="7" t="inlineStr">
        <is>
          <t>7 dias</t>
        </is>
      </c>
    </row>
    <row r="1762" ht="22" customHeight="1">
      <c r="A1762" s="12" t="inlineStr">
        <is>
          <t>CUL-1758</t>
        </is>
      </c>
      <c r="B1762" s="11" t="n">
        <v>349</v>
      </c>
      <c r="C1762" s="13" t="inlineStr">
        <is>
          <t>Nº 34621</t>
        </is>
      </c>
      <c r="D1762" s="14" t="inlineStr">
        <is>
          <t>RATEIO 200 SL</t>
        </is>
      </c>
      <c r="E1762" s="13" t="inlineStr">
        <is>
          <t>Pulverização Agrícola Conforme Bula</t>
        </is>
      </c>
      <c r="F1762" s="13" t="inlineStr">
        <is>
          <t>Milho (Pré-Plantio)</t>
        </is>
      </c>
      <c r="G1762" s="13" t="inlineStr">
        <is>
          <t>Cultura Autorizada na Bula</t>
        </is>
      </c>
      <c r="H1762" s="13" t="inlineStr">
        <is>
          <t>100 a 300 L/ha</t>
        </is>
      </c>
      <c r="I1762" s="13" t="inlineStr">
        <is>
          <t>20 a 40 L/ha</t>
        </is>
      </c>
      <c r="J1762" s="13" t="inlineStr">
        <is>
          <t>N/D</t>
        </is>
      </c>
    </row>
    <row r="1763" ht="22" customHeight="1">
      <c r="A1763" s="6" t="inlineStr">
        <is>
          <t>CUL-1759</t>
        </is>
      </c>
      <c r="B1763" s="5" t="n">
        <v>350</v>
      </c>
      <c r="C1763" s="7" t="inlineStr">
        <is>
          <t>Nº 34621</t>
        </is>
      </c>
      <c r="D1763" s="8" t="inlineStr">
        <is>
          <t>RATEIO 200 SL</t>
        </is>
      </c>
      <c r="E1763" s="7" t="inlineStr">
        <is>
          <t>Pulverização Agrícola Conforme Bula</t>
        </is>
      </c>
      <c r="F1763" s="7" t="inlineStr">
        <is>
          <t>Soja (Dessecação Pré-Colheita e Pré-Plantio)</t>
        </is>
      </c>
      <c r="G1763" s="7" t="inlineStr">
        <is>
          <t>Cultura Autorizada na Bula</t>
        </is>
      </c>
      <c r="H1763" s="7" t="inlineStr">
        <is>
          <t>100 a 300 L/ha</t>
        </is>
      </c>
      <c r="I1763" s="7" t="inlineStr">
        <is>
          <t>20 a 40 L/ha</t>
        </is>
      </c>
      <c r="J1763" s="7" t="inlineStr">
        <is>
          <t>7 dias</t>
        </is>
      </c>
    </row>
    <row r="1764" ht="22" customHeight="1">
      <c r="A1764" s="12" t="inlineStr">
        <is>
          <t>CUL-1760</t>
        </is>
      </c>
      <c r="B1764" s="11" t="n">
        <v>350</v>
      </c>
      <c r="C1764" s="13" t="inlineStr">
        <is>
          <t>Nº 34621</t>
        </is>
      </c>
      <c r="D1764" s="14" t="inlineStr">
        <is>
          <t>RATEIO 200 SL</t>
        </is>
      </c>
      <c r="E1764" s="13" t="inlineStr">
        <is>
          <t>Pulverização Agrícola Conforme Bula</t>
        </is>
      </c>
      <c r="F1764" s="13" t="inlineStr">
        <is>
          <t>Feijão (Dessecação Pré-Colheita)</t>
        </is>
      </c>
      <c r="G1764" s="13" t="inlineStr">
        <is>
          <t>Cultura Autorizada na Bula</t>
        </is>
      </c>
      <c r="H1764" s="13" t="inlineStr">
        <is>
          <t>100 a 300 L/ha</t>
        </is>
      </c>
      <c r="I1764" s="13" t="inlineStr">
        <is>
          <t>20 a 40 L/ha</t>
        </is>
      </c>
      <c r="J1764" s="13" t="inlineStr">
        <is>
          <t>7 dias</t>
        </is>
      </c>
    </row>
    <row r="1765" ht="22" customHeight="1">
      <c r="A1765" s="6" t="inlineStr">
        <is>
          <t>CUL-1761</t>
        </is>
      </c>
      <c r="B1765" s="5" t="n">
        <v>350</v>
      </c>
      <c r="C1765" s="7" t="inlineStr">
        <is>
          <t>Nº 34621</t>
        </is>
      </c>
      <c r="D1765" s="8" t="inlineStr">
        <is>
          <t>RATEIO 200 SL</t>
        </is>
      </c>
      <c r="E1765" s="7" t="inlineStr">
        <is>
          <t>Pulverização Agrícola Conforme Bula</t>
        </is>
      </c>
      <c r="F1765" s="7" t="inlineStr">
        <is>
          <t>Algodão</t>
        </is>
      </c>
      <c r="G1765" s="7" t="inlineStr">
        <is>
          <t>Cultura Autorizada na Bula</t>
        </is>
      </c>
      <c r="H1765" s="7" t="inlineStr">
        <is>
          <t>100 a 300 L/ha</t>
        </is>
      </c>
      <c r="I1765" s="7" t="inlineStr">
        <is>
          <t>20 a 40 L/ha</t>
        </is>
      </c>
      <c r="J1765" s="7" t="inlineStr">
        <is>
          <t>7 dias</t>
        </is>
      </c>
    </row>
    <row r="1766" ht="22" customHeight="1">
      <c r="A1766" s="12" t="inlineStr">
        <is>
          <t>CUL-1762</t>
        </is>
      </c>
      <c r="B1766" s="11" t="n">
        <v>350</v>
      </c>
      <c r="C1766" s="13" t="inlineStr">
        <is>
          <t>Nº 34621</t>
        </is>
      </c>
      <c r="D1766" s="14" t="inlineStr">
        <is>
          <t>RATEIO 200 SL</t>
        </is>
      </c>
      <c r="E1766" s="13" t="inlineStr">
        <is>
          <t>Pulverização Agrícola Conforme Bula</t>
        </is>
      </c>
      <c r="F1766" s="13" t="inlineStr">
        <is>
          <t>Batata</t>
        </is>
      </c>
      <c r="G1766" s="13" t="inlineStr">
        <is>
          <t>Cultura Autorizada na Bula</t>
        </is>
      </c>
      <c r="H1766" s="13" t="inlineStr">
        <is>
          <t>100 a 300 L/ha</t>
        </is>
      </c>
      <c r="I1766" s="13" t="inlineStr">
        <is>
          <t>20 a 40 L/ha</t>
        </is>
      </c>
      <c r="J1766" s="13" t="inlineStr">
        <is>
          <t>7 dias</t>
        </is>
      </c>
    </row>
    <row r="1767" ht="22" customHeight="1">
      <c r="A1767" s="6" t="inlineStr">
        <is>
          <t>CUL-1763</t>
        </is>
      </c>
      <c r="B1767" s="5" t="n">
        <v>350</v>
      </c>
      <c r="C1767" s="7" t="inlineStr">
        <is>
          <t>Nº 34621</t>
        </is>
      </c>
      <c r="D1767" s="8" t="inlineStr">
        <is>
          <t>RATEIO 200 SL</t>
        </is>
      </c>
      <c r="E1767" s="7" t="inlineStr">
        <is>
          <t>Pulverização Agrícola Conforme Bula</t>
        </is>
      </c>
      <c r="F1767" s="7" t="inlineStr">
        <is>
          <t>Milho (Pré-Plantio)</t>
        </is>
      </c>
      <c r="G1767" s="7" t="inlineStr">
        <is>
          <t>Cultura Autorizada na Bula</t>
        </is>
      </c>
      <c r="H1767" s="7" t="inlineStr">
        <is>
          <t>100 a 300 L/ha</t>
        </is>
      </c>
      <c r="I1767" s="7" t="inlineStr">
        <is>
          <t>20 a 40 L/ha</t>
        </is>
      </c>
      <c r="J1767" s="7" t="inlineStr">
        <is>
          <t>N/D</t>
        </is>
      </c>
    </row>
    <row r="1768" ht="22" customHeight="1">
      <c r="A1768" s="12" t="inlineStr">
        <is>
          <t>CUL-1764</t>
        </is>
      </c>
      <c r="B1768" s="11" t="n">
        <v>351</v>
      </c>
      <c r="C1768" s="13" t="inlineStr">
        <is>
          <t>Nº 23917</t>
        </is>
      </c>
      <c r="D1768" s="14" t="inlineStr">
        <is>
          <t>MESOTRIONA CCAB</t>
        </is>
      </c>
      <c r="E1768" s="13" t="inlineStr">
        <is>
          <t>Pulverização Agrícola Conforme Bula</t>
        </is>
      </c>
      <c r="F1768" s="13" t="inlineStr">
        <is>
          <t>Milho</t>
        </is>
      </c>
      <c r="G1768" s="13" t="inlineStr">
        <is>
          <t>Cultura Autorizada na Bula</t>
        </is>
      </c>
      <c r="H1768" s="13" t="inlineStr">
        <is>
          <t>100 a 300 L/ha</t>
        </is>
      </c>
      <c r="I1768" s="13" t="inlineStr">
        <is>
          <t>20 a 40 L/ha</t>
        </is>
      </c>
      <c r="J1768" s="13" t="inlineStr">
        <is>
          <t>63 dias</t>
        </is>
      </c>
    </row>
    <row r="1769" ht="22" customHeight="1">
      <c r="A1769" s="6" t="inlineStr">
        <is>
          <t>CUL-1765</t>
        </is>
      </c>
      <c r="B1769" s="5" t="n">
        <v>351</v>
      </c>
      <c r="C1769" s="7" t="inlineStr">
        <is>
          <t>Nº 23917</t>
        </is>
      </c>
      <c r="D1769" s="8" t="inlineStr">
        <is>
          <t>MESOTRIONA CCAB</t>
        </is>
      </c>
      <c r="E1769" s="7" t="inlineStr">
        <is>
          <t>Pulverização Agrícola Conforme Bula</t>
        </is>
      </c>
      <c r="F1769" s="7" t="inlineStr">
        <is>
          <t>Cana-de-açúcar</t>
        </is>
      </c>
      <c r="G1769" s="7" t="inlineStr">
        <is>
          <t>Cultura Autorizada na Bula</t>
        </is>
      </c>
      <c r="H1769" s="7" t="inlineStr">
        <is>
          <t>100 a 300 L/ha</t>
        </is>
      </c>
      <c r="I1769" s="7" t="inlineStr">
        <is>
          <t>20 a 40 L/ha</t>
        </is>
      </c>
      <c r="J1769" s="7" t="inlineStr">
        <is>
          <t>150 dias</t>
        </is>
      </c>
    </row>
    <row r="1770" ht="22" customHeight="1">
      <c r="A1770" s="12" t="inlineStr">
        <is>
          <t>CUL-1766</t>
        </is>
      </c>
      <c r="B1770" s="11" t="n">
        <v>351</v>
      </c>
      <c r="C1770" s="13" t="inlineStr">
        <is>
          <t>Nº 23917</t>
        </is>
      </c>
      <c r="D1770" s="14" t="inlineStr">
        <is>
          <t>MESOTRIONA CCAB</t>
        </is>
      </c>
      <c r="E1770" s="13" t="inlineStr">
        <is>
          <t>Pulverização Agrícola Conforme Bula</t>
        </is>
      </c>
      <c r="F1770" s="13" t="inlineStr">
        <is>
          <t>Milheto</t>
        </is>
      </c>
      <c r="G1770" s="13" t="inlineStr">
        <is>
          <t>Cultura Autorizada na Bula</t>
        </is>
      </c>
      <c r="H1770" s="13" t="inlineStr">
        <is>
          <t>100 a 300 L/ha</t>
        </is>
      </c>
      <c r="I1770" s="13" t="inlineStr">
        <is>
          <t>20 a 40 L/ha</t>
        </is>
      </c>
      <c r="J1770" s="13" t="inlineStr">
        <is>
          <t>60 dias</t>
        </is>
      </c>
    </row>
    <row r="1771" ht="22" customHeight="1">
      <c r="A1771" s="6" t="inlineStr">
        <is>
          <t>CUL-1767</t>
        </is>
      </c>
      <c r="B1771" s="5" t="n">
        <v>351</v>
      </c>
      <c r="C1771" s="7" t="inlineStr">
        <is>
          <t>Nº 23917</t>
        </is>
      </c>
      <c r="D1771" s="8" t="inlineStr">
        <is>
          <t>MESOTRIONA CCAB</t>
        </is>
      </c>
      <c r="E1771" s="7" t="inlineStr">
        <is>
          <t>Pulverização Agrícola Conforme Bula</t>
        </is>
      </c>
      <c r="F1771" s="7" t="inlineStr">
        <is>
          <t>Sorgo</t>
        </is>
      </c>
      <c r="G1771" s="7" t="inlineStr">
        <is>
          <t>Cultura Autorizada na Bula</t>
        </is>
      </c>
      <c r="H1771" s="7" t="inlineStr">
        <is>
          <t>100 a 300 L/ha</t>
        </is>
      </c>
      <c r="I1771" s="7" t="inlineStr">
        <is>
          <t>20 a 40 L/ha</t>
        </is>
      </c>
      <c r="J1771" s="7" t="inlineStr">
        <is>
          <t>60 dias</t>
        </is>
      </c>
    </row>
    <row r="1772" ht="22" customHeight="1">
      <c r="A1772" s="12" t="inlineStr">
        <is>
          <t>CUL-1768</t>
        </is>
      </c>
      <c r="B1772" s="11" t="n">
        <v>352</v>
      </c>
      <c r="C1772" s="13" t="inlineStr">
        <is>
          <t>Nº 23917</t>
        </is>
      </c>
      <c r="D1772" s="14" t="inlineStr">
        <is>
          <t>MESOTRIONA CCAB</t>
        </is>
      </c>
      <c r="E1772" s="13" t="inlineStr">
        <is>
          <t>Pulverização Agrícola Conforme Bula</t>
        </is>
      </c>
      <c r="F1772" s="13" t="inlineStr">
        <is>
          <t>Milho</t>
        </is>
      </c>
      <c r="G1772" s="13" t="inlineStr">
        <is>
          <t>Cultura Autorizada na Bula</t>
        </is>
      </c>
      <c r="H1772" s="13" t="inlineStr">
        <is>
          <t>100 a 300 L/ha</t>
        </is>
      </c>
      <c r="I1772" s="13" t="inlineStr">
        <is>
          <t>20 a 40 L/ha</t>
        </is>
      </c>
      <c r="J1772" s="13" t="inlineStr">
        <is>
          <t>63 dias</t>
        </is>
      </c>
    </row>
    <row r="1773" ht="22" customHeight="1">
      <c r="A1773" s="6" t="inlineStr">
        <is>
          <t>CUL-1769</t>
        </is>
      </c>
      <c r="B1773" s="5" t="n">
        <v>352</v>
      </c>
      <c r="C1773" s="7" t="inlineStr">
        <is>
          <t>Nº 23917</t>
        </is>
      </c>
      <c r="D1773" s="8" t="inlineStr">
        <is>
          <t>MESOTRIONA CCAB</t>
        </is>
      </c>
      <c r="E1773" s="7" t="inlineStr">
        <is>
          <t>Pulverização Agrícola Conforme Bula</t>
        </is>
      </c>
      <c r="F1773" s="7" t="inlineStr">
        <is>
          <t>Cana-de-açúcar</t>
        </is>
      </c>
      <c r="G1773" s="7" t="inlineStr">
        <is>
          <t>Cultura Autorizada na Bula</t>
        </is>
      </c>
      <c r="H1773" s="7" t="inlineStr">
        <is>
          <t>100 a 300 L/ha</t>
        </is>
      </c>
      <c r="I1773" s="7" t="inlineStr">
        <is>
          <t>20 a 40 L/ha</t>
        </is>
      </c>
      <c r="J1773" s="7" t="inlineStr">
        <is>
          <t>150 dias</t>
        </is>
      </c>
    </row>
    <row r="1774" ht="22" customHeight="1">
      <c r="A1774" s="12" t="inlineStr">
        <is>
          <t>CUL-1770</t>
        </is>
      </c>
      <c r="B1774" s="11" t="n">
        <v>352</v>
      </c>
      <c r="C1774" s="13" t="inlineStr">
        <is>
          <t>Nº 23917</t>
        </is>
      </c>
      <c r="D1774" s="14" t="inlineStr">
        <is>
          <t>MESOTRIONA CCAB</t>
        </is>
      </c>
      <c r="E1774" s="13" t="inlineStr">
        <is>
          <t>Pulverização Agrícola Conforme Bula</t>
        </is>
      </c>
      <c r="F1774" s="13" t="inlineStr">
        <is>
          <t>Milheto</t>
        </is>
      </c>
      <c r="G1774" s="13" t="inlineStr">
        <is>
          <t>Cultura Autorizada na Bula</t>
        </is>
      </c>
      <c r="H1774" s="13" t="inlineStr">
        <is>
          <t>100 a 300 L/ha</t>
        </is>
      </c>
      <c r="I1774" s="13" t="inlineStr">
        <is>
          <t>20 a 40 L/ha</t>
        </is>
      </c>
      <c r="J1774" s="13" t="inlineStr">
        <is>
          <t>60 dias</t>
        </is>
      </c>
    </row>
    <row r="1775" ht="22" customHeight="1">
      <c r="A1775" s="6" t="inlineStr">
        <is>
          <t>CUL-1771</t>
        </is>
      </c>
      <c r="B1775" s="5" t="n">
        <v>352</v>
      </c>
      <c r="C1775" s="7" t="inlineStr">
        <is>
          <t>Nº 23917</t>
        </is>
      </c>
      <c r="D1775" s="8" t="inlineStr">
        <is>
          <t>MESOTRIONA CCAB</t>
        </is>
      </c>
      <c r="E1775" s="7" t="inlineStr">
        <is>
          <t>Pulverização Agrícola Conforme Bula</t>
        </is>
      </c>
      <c r="F1775" s="7" t="inlineStr">
        <is>
          <t>Sorgo</t>
        </is>
      </c>
      <c r="G1775" s="7" t="inlineStr">
        <is>
          <t>Cultura Autorizada na Bula</t>
        </is>
      </c>
      <c r="H1775" s="7" t="inlineStr">
        <is>
          <t>100 a 300 L/ha</t>
        </is>
      </c>
      <c r="I1775" s="7" t="inlineStr">
        <is>
          <t>20 a 40 L/ha</t>
        </is>
      </c>
      <c r="J1775" s="7" t="inlineStr">
        <is>
          <t>60 dias</t>
        </is>
      </c>
    </row>
    <row r="1776" ht="22" customHeight="1">
      <c r="A1776" s="12" t="inlineStr">
        <is>
          <t>CUL-1772</t>
        </is>
      </c>
      <c r="B1776" s="11" t="n">
        <v>353</v>
      </c>
      <c r="C1776" s="13" t="inlineStr">
        <is>
          <t>SIPEAGRO (UF-XXXXX)</t>
        </is>
      </c>
      <c r="D1776" s="14" t="inlineStr">
        <is>
          <t>BEEOGARDEN (ADUBO FOLIAR)</t>
        </is>
      </c>
      <c r="E1776" s="13" t="inlineStr">
        <is>
          <t>Adubação de Solo / Foliar</t>
        </is>
      </c>
      <c r="F1776" s="13" t="inlineStr">
        <is>
          <t>Soja</t>
        </is>
      </c>
      <c r="G1776" s="13" t="inlineStr">
        <is>
          <t>Cultura Autorizada na Bula</t>
        </is>
      </c>
      <c r="H1776" s="13" t="inlineStr">
        <is>
          <t>100 a 300 L/ha</t>
        </is>
      </c>
      <c r="I1776" s="13" t="inlineStr">
        <is>
          <t>20 a 40 L/ha</t>
        </is>
      </c>
      <c r="J1776" s="13" t="inlineStr">
        <is>
          <t>Isento</t>
        </is>
      </c>
    </row>
    <row r="1777" ht="22" customHeight="1">
      <c r="A1777" s="6" t="inlineStr">
        <is>
          <t>CUL-1773</t>
        </is>
      </c>
      <c r="B1777" s="5" t="n">
        <v>353</v>
      </c>
      <c r="C1777" s="7" t="inlineStr">
        <is>
          <t>SIPEAGRO (UF-XXXXX)</t>
        </is>
      </c>
      <c r="D1777" s="8" t="inlineStr">
        <is>
          <t>BEEOGARDEN (ADUBO FOLIAR)</t>
        </is>
      </c>
      <c r="E1777" s="7" t="inlineStr">
        <is>
          <t>Adubação de Solo / Foliar</t>
        </is>
      </c>
      <c r="F1777" s="7" t="inlineStr">
        <is>
          <t>Milho</t>
        </is>
      </c>
      <c r="G1777" s="7" t="inlineStr">
        <is>
          <t>Cultura Autorizada na Bula</t>
        </is>
      </c>
      <c r="H1777" s="7" t="inlineStr">
        <is>
          <t>100 a 300 L/ha</t>
        </is>
      </c>
      <c r="I1777" s="7" t="inlineStr">
        <is>
          <t>20 a 40 L/ha</t>
        </is>
      </c>
      <c r="J1777" s="7" t="inlineStr">
        <is>
          <t>Isento</t>
        </is>
      </c>
    </row>
    <row r="1778" ht="22" customHeight="1">
      <c r="A1778" s="12" t="inlineStr">
        <is>
          <t>CUL-1774</t>
        </is>
      </c>
      <c r="B1778" s="11" t="n">
        <v>353</v>
      </c>
      <c r="C1778" s="13" t="inlineStr">
        <is>
          <t>SIPEAGRO (UF-XXXXX)</t>
        </is>
      </c>
      <c r="D1778" s="14" t="inlineStr">
        <is>
          <t>BEEOGARDEN (ADUBO FOLIAR)</t>
        </is>
      </c>
      <c r="E1778" s="13" t="inlineStr">
        <is>
          <t>Adubação de Solo / Foliar</t>
        </is>
      </c>
      <c r="F1778" s="13" t="inlineStr">
        <is>
          <t>Algodão</t>
        </is>
      </c>
      <c r="G1778" s="13" t="inlineStr">
        <is>
          <t>Cultura Autorizada na Bula</t>
        </is>
      </c>
      <c r="H1778" s="13" t="inlineStr">
        <is>
          <t>100 a 300 L/ha</t>
        </is>
      </c>
      <c r="I1778" s="13" t="inlineStr">
        <is>
          <t>20 a 40 L/ha</t>
        </is>
      </c>
      <c r="J1778" s="13" t="inlineStr">
        <is>
          <t>Isento</t>
        </is>
      </c>
    </row>
    <row r="1779" ht="22" customHeight="1">
      <c r="A1779" s="6" t="inlineStr">
        <is>
          <t>CUL-1775</t>
        </is>
      </c>
      <c r="B1779" s="5" t="n">
        <v>353</v>
      </c>
      <c r="C1779" s="7" t="inlineStr">
        <is>
          <t>SIPEAGRO (UF-XXXXX)</t>
        </is>
      </c>
      <c r="D1779" s="8" t="inlineStr">
        <is>
          <t>BEEOGARDEN (ADUBO FOLIAR)</t>
        </is>
      </c>
      <c r="E1779" s="7" t="inlineStr">
        <is>
          <t>Adubação de Solo / Foliar</t>
        </is>
      </c>
      <c r="F1779" s="7" t="inlineStr">
        <is>
          <t>Cana-de-açúcar</t>
        </is>
      </c>
      <c r="G1779" s="7" t="inlineStr">
        <is>
          <t>Cultura Autorizada na Bula</t>
        </is>
      </c>
      <c r="H1779" s="7" t="inlineStr">
        <is>
          <t>100 a 300 L/ha</t>
        </is>
      </c>
      <c r="I1779" s="7" t="inlineStr">
        <is>
          <t>20 a 40 L/ha</t>
        </is>
      </c>
      <c r="J1779" s="7" t="inlineStr">
        <is>
          <t>Isento</t>
        </is>
      </c>
    </row>
    <row r="1780" ht="22" customHeight="1">
      <c r="A1780" s="12" t="inlineStr">
        <is>
          <t>CUL-1776</t>
        </is>
      </c>
      <c r="B1780" s="11" t="n">
        <v>353</v>
      </c>
      <c r="C1780" s="13" t="inlineStr">
        <is>
          <t>SIPEAGRO (UF-XXXXX)</t>
        </is>
      </c>
      <c r="D1780" s="14" t="inlineStr">
        <is>
          <t>BEEOGARDEN (ADUBO FOLIAR)</t>
        </is>
      </c>
      <c r="E1780" s="13" t="inlineStr">
        <is>
          <t>Adubação de Solo / Foliar</t>
        </is>
      </c>
      <c r="F1780" s="13" t="inlineStr">
        <is>
          <t>Café</t>
        </is>
      </c>
      <c r="G1780" s="13" t="inlineStr">
        <is>
          <t>Cultura Autorizada na Bula</t>
        </is>
      </c>
      <c r="H1780" s="13" t="inlineStr">
        <is>
          <t>100 a 300 L/ha</t>
        </is>
      </c>
      <c r="I1780" s="13" t="inlineStr">
        <is>
          <t>20 a 40 L/ha</t>
        </is>
      </c>
      <c r="J1780" s="13" t="inlineStr">
        <is>
          <t>Isento</t>
        </is>
      </c>
    </row>
    <row r="1781" ht="22" customHeight="1">
      <c r="A1781" s="6" t="inlineStr">
        <is>
          <t>CUL-1777</t>
        </is>
      </c>
      <c r="B1781" s="5" t="n">
        <v>354</v>
      </c>
      <c r="C1781" s="7" t="inlineStr">
        <is>
          <t>SIPEAGRO (UF-XXXXX)</t>
        </is>
      </c>
      <c r="D1781" s="8" t="inlineStr">
        <is>
          <t>TECH. GROW IV 460000 (IMP)</t>
        </is>
      </c>
      <c r="E1781" s="7" t="inlineStr">
        <is>
          <t>Adubação de Solo / Foliar</t>
        </is>
      </c>
      <c r="F1781" s="7" t="inlineStr">
        <is>
          <t>Soja</t>
        </is>
      </c>
      <c r="G1781" s="7" t="inlineStr">
        <is>
          <t>Cultura Autorizada na Bula</t>
        </is>
      </c>
      <c r="H1781" s="7" t="inlineStr">
        <is>
          <t>100 a 300 L/ha</t>
        </is>
      </c>
      <c r="I1781" s="7" t="inlineStr">
        <is>
          <t>20 a 40 L/ha</t>
        </is>
      </c>
      <c r="J1781" s="7" t="inlineStr">
        <is>
          <t>Isento</t>
        </is>
      </c>
    </row>
    <row r="1782" ht="22" customHeight="1">
      <c r="A1782" s="12" t="inlineStr">
        <is>
          <t>CUL-1778</t>
        </is>
      </c>
      <c r="B1782" s="11" t="n">
        <v>354</v>
      </c>
      <c r="C1782" s="13" t="inlineStr">
        <is>
          <t>SIPEAGRO (UF-XXXXX)</t>
        </is>
      </c>
      <c r="D1782" s="14" t="inlineStr">
        <is>
          <t>TECH. GROW IV 460000 (IMP)</t>
        </is>
      </c>
      <c r="E1782" s="13" t="inlineStr">
        <is>
          <t>Adubação de Solo / Foliar</t>
        </is>
      </c>
      <c r="F1782" s="13" t="inlineStr">
        <is>
          <t>Milho</t>
        </is>
      </c>
      <c r="G1782" s="13" t="inlineStr">
        <is>
          <t>Cultura Autorizada na Bula</t>
        </is>
      </c>
      <c r="H1782" s="13" t="inlineStr">
        <is>
          <t>100 a 300 L/ha</t>
        </is>
      </c>
      <c r="I1782" s="13" t="inlineStr">
        <is>
          <t>20 a 40 L/ha</t>
        </is>
      </c>
      <c r="J1782" s="13" t="inlineStr">
        <is>
          <t>Isento</t>
        </is>
      </c>
    </row>
    <row r="1783" ht="22" customHeight="1">
      <c r="A1783" s="6" t="inlineStr">
        <is>
          <t>CUL-1779</t>
        </is>
      </c>
      <c r="B1783" s="5" t="n">
        <v>354</v>
      </c>
      <c r="C1783" s="7" t="inlineStr">
        <is>
          <t>SIPEAGRO (UF-XXXXX)</t>
        </is>
      </c>
      <c r="D1783" s="8" t="inlineStr">
        <is>
          <t>TECH. GROW IV 460000 (IMP)</t>
        </is>
      </c>
      <c r="E1783" s="7" t="inlineStr">
        <is>
          <t>Adubação de Solo / Foliar</t>
        </is>
      </c>
      <c r="F1783" s="7" t="inlineStr">
        <is>
          <t>Algodão</t>
        </is>
      </c>
      <c r="G1783" s="7" t="inlineStr">
        <is>
          <t>Cultura Autorizada na Bula</t>
        </is>
      </c>
      <c r="H1783" s="7" t="inlineStr">
        <is>
          <t>100 a 300 L/ha</t>
        </is>
      </c>
      <c r="I1783" s="7" t="inlineStr">
        <is>
          <t>20 a 40 L/ha</t>
        </is>
      </c>
      <c r="J1783" s="7" t="inlineStr">
        <is>
          <t>Isento</t>
        </is>
      </c>
    </row>
    <row r="1784" ht="22" customHeight="1">
      <c r="A1784" s="12" t="inlineStr">
        <is>
          <t>CUL-1780</t>
        </is>
      </c>
      <c r="B1784" s="11" t="n">
        <v>354</v>
      </c>
      <c r="C1784" s="13" t="inlineStr">
        <is>
          <t>SIPEAGRO (UF-XXXXX)</t>
        </is>
      </c>
      <c r="D1784" s="14" t="inlineStr">
        <is>
          <t>TECH. GROW IV 460000 (IMP)</t>
        </is>
      </c>
      <c r="E1784" s="13" t="inlineStr">
        <is>
          <t>Adubação de Solo / Foliar</t>
        </is>
      </c>
      <c r="F1784" s="13" t="inlineStr">
        <is>
          <t>Cana-de-açúcar</t>
        </is>
      </c>
      <c r="G1784" s="13" t="inlineStr">
        <is>
          <t>Cultura Autorizada na Bula</t>
        </is>
      </c>
      <c r="H1784" s="13" t="inlineStr">
        <is>
          <t>100 a 300 L/ha</t>
        </is>
      </c>
      <c r="I1784" s="13" t="inlineStr">
        <is>
          <t>20 a 40 L/ha</t>
        </is>
      </c>
      <c r="J1784" s="13" t="inlineStr">
        <is>
          <t>Isento</t>
        </is>
      </c>
    </row>
    <row r="1785" ht="22" customHeight="1">
      <c r="A1785" s="6" t="inlineStr">
        <is>
          <t>CUL-1781</t>
        </is>
      </c>
      <c r="B1785" s="5" t="n">
        <v>354</v>
      </c>
      <c r="C1785" s="7" t="inlineStr">
        <is>
          <t>SIPEAGRO (UF-XXXXX)</t>
        </is>
      </c>
      <c r="D1785" s="8" t="inlineStr">
        <is>
          <t>TECH. GROW IV 460000 (IMP)</t>
        </is>
      </c>
      <c r="E1785" s="7" t="inlineStr">
        <is>
          <t>Adubação de Solo / Foliar</t>
        </is>
      </c>
      <c r="F1785" s="7" t="inlineStr">
        <is>
          <t>Café</t>
        </is>
      </c>
      <c r="G1785" s="7" t="inlineStr">
        <is>
          <t>Cultura Autorizada na Bula</t>
        </is>
      </c>
      <c r="H1785" s="7" t="inlineStr">
        <is>
          <t>100 a 300 L/ha</t>
        </is>
      </c>
      <c r="I1785" s="7" t="inlineStr">
        <is>
          <t>20 a 40 L/ha</t>
        </is>
      </c>
      <c r="J1785" s="7" t="inlineStr">
        <is>
          <t>Isento</t>
        </is>
      </c>
    </row>
    <row r="1786" ht="22" customHeight="1">
      <c r="A1786" s="12" t="inlineStr">
        <is>
          <t>CUL-1782</t>
        </is>
      </c>
      <c r="B1786" s="11" t="n">
        <v>355</v>
      </c>
      <c r="C1786" s="13" t="inlineStr">
        <is>
          <t>SIPEAGRO (UF-XXXXX)</t>
        </is>
      </c>
      <c r="D1786" s="14" t="inlineStr">
        <is>
          <t>NPK NK200020 20-00-20 - 1.000KG (IMP)</t>
        </is>
      </c>
      <c r="E1786" s="13" t="inlineStr">
        <is>
          <t>Adubação de Solo / Foliar</t>
        </is>
      </c>
      <c r="F1786" s="13" t="inlineStr">
        <is>
          <t>Soja</t>
        </is>
      </c>
      <c r="G1786" s="13" t="inlineStr">
        <is>
          <t>Cultura Autorizada na Bula</t>
        </is>
      </c>
      <c r="H1786" s="13" t="inlineStr">
        <is>
          <t>100 a 300 L/ha</t>
        </is>
      </c>
      <c r="I1786" s="13" t="inlineStr">
        <is>
          <t>20 a 40 L/ha</t>
        </is>
      </c>
      <c r="J1786" s="13" t="inlineStr">
        <is>
          <t>Isento</t>
        </is>
      </c>
    </row>
    <row r="1787" ht="22" customHeight="1">
      <c r="A1787" s="6" t="inlineStr">
        <is>
          <t>CUL-1783</t>
        </is>
      </c>
      <c r="B1787" s="5" t="n">
        <v>355</v>
      </c>
      <c r="C1787" s="7" t="inlineStr">
        <is>
          <t>SIPEAGRO (UF-XXXXX)</t>
        </is>
      </c>
      <c r="D1787" s="8" t="inlineStr">
        <is>
          <t>NPK NK200020 20-00-20 - 1.000KG (IMP)</t>
        </is>
      </c>
      <c r="E1787" s="7" t="inlineStr">
        <is>
          <t>Adubação de Solo / Foliar</t>
        </is>
      </c>
      <c r="F1787" s="7" t="inlineStr">
        <is>
          <t>Milho</t>
        </is>
      </c>
      <c r="G1787" s="7" t="inlineStr">
        <is>
          <t>Cultura Autorizada na Bula</t>
        </is>
      </c>
      <c r="H1787" s="7" t="inlineStr">
        <is>
          <t>100 a 300 L/ha</t>
        </is>
      </c>
      <c r="I1787" s="7" t="inlineStr">
        <is>
          <t>20 a 40 L/ha</t>
        </is>
      </c>
      <c r="J1787" s="7" t="inlineStr">
        <is>
          <t>Isento</t>
        </is>
      </c>
    </row>
    <row r="1788" ht="22" customHeight="1">
      <c r="A1788" s="12" t="inlineStr">
        <is>
          <t>CUL-1784</t>
        </is>
      </c>
      <c r="B1788" s="11" t="n">
        <v>355</v>
      </c>
      <c r="C1788" s="13" t="inlineStr">
        <is>
          <t>SIPEAGRO (UF-XXXXX)</t>
        </is>
      </c>
      <c r="D1788" s="14" t="inlineStr">
        <is>
          <t>NPK NK200020 20-00-20 - 1.000KG (IMP)</t>
        </is>
      </c>
      <c r="E1788" s="13" t="inlineStr">
        <is>
          <t>Adubação de Solo / Foliar</t>
        </is>
      </c>
      <c r="F1788" s="13" t="inlineStr">
        <is>
          <t>Algodão</t>
        </is>
      </c>
      <c r="G1788" s="13" t="inlineStr">
        <is>
          <t>Cultura Autorizada na Bula</t>
        </is>
      </c>
      <c r="H1788" s="13" t="inlineStr">
        <is>
          <t>100 a 300 L/ha</t>
        </is>
      </c>
      <c r="I1788" s="13" t="inlineStr">
        <is>
          <t>20 a 40 L/ha</t>
        </is>
      </c>
      <c r="J1788" s="13" t="inlineStr">
        <is>
          <t>Isento</t>
        </is>
      </c>
    </row>
    <row r="1789" ht="22" customHeight="1">
      <c r="A1789" s="6" t="inlineStr">
        <is>
          <t>CUL-1785</t>
        </is>
      </c>
      <c r="B1789" s="5" t="n">
        <v>355</v>
      </c>
      <c r="C1789" s="7" t="inlineStr">
        <is>
          <t>SIPEAGRO (UF-XXXXX)</t>
        </is>
      </c>
      <c r="D1789" s="8" t="inlineStr">
        <is>
          <t>NPK NK200020 20-00-20 - 1.000KG (IMP)</t>
        </is>
      </c>
      <c r="E1789" s="7" t="inlineStr">
        <is>
          <t>Adubação de Solo / Foliar</t>
        </is>
      </c>
      <c r="F1789" s="7" t="inlineStr">
        <is>
          <t>Cana-de-açúcar</t>
        </is>
      </c>
      <c r="G1789" s="7" t="inlineStr">
        <is>
          <t>Cultura Autorizada na Bula</t>
        </is>
      </c>
      <c r="H1789" s="7" t="inlineStr">
        <is>
          <t>100 a 300 L/ha</t>
        </is>
      </c>
      <c r="I1789" s="7" t="inlineStr">
        <is>
          <t>20 a 40 L/ha</t>
        </is>
      </c>
      <c r="J1789" s="7" t="inlineStr">
        <is>
          <t>Isento</t>
        </is>
      </c>
    </row>
    <row r="1790" ht="22" customHeight="1">
      <c r="A1790" s="12" t="inlineStr">
        <is>
          <t>CUL-1786</t>
        </is>
      </c>
      <c r="B1790" s="11" t="n">
        <v>355</v>
      </c>
      <c r="C1790" s="13" t="inlineStr">
        <is>
          <t>SIPEAGRO (UF-XXXXX)</t>
        </is>
      </c>
      <c r="D1790" s="14" t="inlineStr">
        <is>
          <t>NPK NK200020 20-00-20 - 1.000KG (IMP)</t>
        </is>
      </c>
      <c r="E1790" s="13" t="inlineStr">
        <is>
          <t>Adubação de Solo / Foliar</t>
        </is>
      </c>
      <c r="F1790" s="13" t="inlineStr">
        <is>
          <t>Café</t>
        </is>
      </c>
      <c r="G1790" s="13" t="inlineStr">
        <is>
          <t>Cultura Autorizada na Bula</t>
        </is>
      </c>
      <c r="H1790" s="13" t="inlineStr">
        <is>
          <t>100 a 300 L/ha</t>
        </is>
      </c>
      <c r="I1790" s="13" t="inlineStr">
        <is>
          <t>20 a 40 L/ha</t>
        </is>
      </c>
      <c r="J1790" s="13" t="inlineStr">
        <is>
          <t>Isento</t>
        </is>
      </c>
    </row>
    <row r="1791" ht="22" customHeight="1">
      <c r="A1791" s="6" t="inlineStr">
        <is>
          <t>CUL-1787</t>
        </is>
      </c>
      <c r="B1791" s="5" t="n">
        <v>356</v>
      </c>
      <c r="C1791" s="7" t="inlineStr">
        <is>
          <t>Nº 27922</t>
        </is>
      </c>
      <c r="D1791" s="8" t="inlineStr">
        <is>
          <t>S-METOLACHLOR PROVENTIS 960 EC</t>
        </is>
      </c>
      <c r="E1791" s="7" t="inlineStr">
        <is>
          <t>Pulverização Agrícola Conforme Bula</t>
        </is>
      </c>
      <c r="F1791" s="7" t="inlineStr">
        <is>
          <t>Soja</t>
        </is>
      </c>
      <c r="G1791" s="7" t="inlineStr">
        <is>
          <t>Cultura Autorizada na Bula</t>
        </is>
      </c>
      <c r="H1791" s="7" t="inlineStr">
        <is>
          <t>100 a 300 L/ha</t>
        </is>
      </c>
      <c r="I1791" s="7" t="inlineStr">
        <is>
          <t>20 a 40 L/ha</t>
        </is>
      </c>
      <c r="J1791" s="7" t="inlineStr">
        <is>
          <t>N/D</t>
        </is>
      </c>
    </row>
    <row r="1792" ht="22" customHeight="1">
      <c r="A1792" s="12" t="inlineStr">
        <is>
          <t>CUL-1788</t>
        </is>
      </c>
      <c r="B1792" s="11" t="n">
        <v>356</v>
      </c>
      <c r="C1792" s="13" t="inlineStr">
        <is>
          <t>Nº 27922</t>
        </is>
      </c>
      <c r="D1792" s="14" t="inlineStr">
        <is>
          <t>S-METOLACHLOR PROVENTIS 960 EC</t>
        </is>
      </c>
      <c r="E1792" s="13" t="inlineStr">
        <is>
          <t>Pulverização Agrícola Conforme Bula</t>
        </is>
      </c>
      <c r="F1792" s="13" t="inlineStr">
        <is>
          <t>Milho</t>
        </is>
      </c>
      <c r="G1792" s="13" t="inlineStr">
        <is>
          <t>Cultura Autorizada na Bula</t>
        </is>
      </c>
      <c r="H1792" s="13" t="inlineStr">
        <is>
          <t>100 a 300 L/ha</t>
        </is>
      </c>
      <c r="I1792" s="13" t="inlineStr">
        <is>
          <t>20 a 40 L/ha</t>
        </is>
      </c>
      <c r="J1792" s="13" t="inlineStr">
        <is>
          <t>N/D</t>
        </is>
      </c>
    </row>
    <row r="1793" ht="22" customHeight="1">
      <c r="A1793" s="6" t="inlineStr">
        <is>
          <t>CUL-1789</t>
        </is>
      </c>
      <c r="B1793" s="5" t="n">
        <v>356</v>
      </c>
      <c r="C1793" s="7" t="inlineStr">
        <is>
          <t>Nº 27922</t>
        </is>
      </c>
      <c r="D1793" s="8" t="inlineStr">
        <is>
          <t>S-METOLACHLOR PROVENTIS 960 EC</t>
        </is>
      </c>
      <c r="E1793" s="7" t="inlineStr">
        <is>
          <t>Pulverização Agrícola Conforme Bula</t>
        </is>
      </c>
      <c r="F1793" s="7" t="inlineStr">
        <is>
          <t>Algodão</t>
        </is>
      </c>
      <c r="G1793" s="7" t="inlineStr">
        <is>
          <t>Cultura Autorizada na Bula</t>
        </is>
      </c>
      <c r="H1793" s="7" t="inlineStr">
        <is>
          <t>100 a 300 L/ha</t>
        </is>
      </c>
      <c r="I1793" s="7" t="inlineStr">
        <is>
          <t>20 a 40 L/ha</t>
        </is>
      </c>
      <c r="J1793" s="7" t="inlineStr">
        <is>
          <t>N/D</t>
        </is>
      </c>
    </row>
    <row r="1794" ht="22" customHeight="1">
      <c r="A1794" s="12" t="inlineStr">
        <is>
          <t>CUL-1790</t>
        </is>
      </c>
      <c r="B1794" s="11" t="n">
        <v>356</v>
      </c>
      <c r="C1794" s="13" t="inlineStr">
        <is>
          <t>Nº 27922</t>
        </is>
      </c>
      <c r="D1794" s="14" t="inlineStr">
        <is>
          <t>S-METOLACHLOR PROVENTIS 960 EC</t>
        </is>
      </c>
      <c r="E1794" s="13" t="inlineStr">
        <is>
          <t>Pulverização Agrícola Conforme Bula</t>
        </is>
      </c>
      <c r="F1794" s="13" t="inlineStr">
        <is>
          <t>Cana-de-açúcar</t>
        </is>
      </c>
      <c r="G1794" s="13" t="inlineStr">
        <is>
          <t>Cultura Autorizada na Bula</t>
        </is>
      </c>
      <c r="H1794" s="13" t="inlineStr">
        <is>
          <t>100 a 300 L/ha</t>
        </is>
      </c>
      <c r="I1794" s="13" t="inlineStr">
        <is>
          <t>20 a 40 L/ha</t>
        </is>
      </c>
      <c r="J1794" s="13" t="inlineStr">
        <is>
          <t>N/D</t>
        </is>
      </c>
    </row>
    <row r="1795" ht="22" customHeight="1">
      <c r="A1795" s="6" t="inlineStr">
        <is>
          <t>CUL-1791</t>
        </is>
      </c>
      <c r="B1795" s="5" t="n">
        <v>356</v>
      </c>
      <c r="C1795" s="7" t="inlineStr">
        <is>
          <t>Nº 27922</t>
        </is>
      </c>
      <c r="D1795" s="8" t="inlineStr">
        <is>
          <t>S-METOLACHLOR PROVENTIS 960 EC</t>
        </is>
      </c>
      <c r="E1795" s="7" t="inlineStr">
        <is>
          <t>Pulverização Agrícola Conforme Bula</t>
        </is>
      </c>
      <c r="F1795" s="7" t="inlineStr">
        <is>
          <t>Feijão</t>
        </is>
      </c>
      <c r="G1795" s="7" t="inlineStr">
        <is>
          <t>Cultura Autorizada na Bula</t>
        </is>
      </c>
      <c r="H1795" s="7" t="inlineStr">
        <is>
          <t>100 a 300 L/ha</t>
        </is>
      </c>
      <c r="I1795" s="7" t="inlineStr">
        <is>
          <t>20 a 40 L/ha</t>
        </is>
      </c>
      <c r="J1795" s="7" t="inlineStr">
        <is>
          <t>N/D</t>
        </is>
      </c>
    </row>
    <row r="1796" ht="22" customHeight="1">
      <c r="A1796" s="12" t="inlineStr">
        <is>
          <t>CUL-1792</t>
        </is>
      </c>
      <c r="B1796" s="11" t="n">
        <v>357</v>
      </c>
      <c r="C1796" s="13" t="inlineStr">
        <is>
          <t>SIPEAGRO (UF-XXXXX)</t>
        </is>
      </c>
      <c r="D1796" s="14" t="inlineStr">
        <is>
          <t>AGCN FULL (D)</t>
        </is>
      </c>
      <c r="E1796" s="13" t="inlineStr">
        <is>
          <t>Adubação de Solo / Foliar</t>
        </is>
      </c>
      <c r="F1796" s="13" t="inlineStr">
        <is>
          <t>Soja</t>
        </is>
      </c>
      <c r="G1796" s="13" t="inlineStr">
        <is>
          <t>Cultura Autorizada na Bula</t>
        </is>
      </c>
      <c r="H1796" s="13" t="inlineStr">
        <is>
          <t>100 a 300 L/ha</t>
        </is>
      </c>
      <c r="I1796" s="13" t="inlineStr">
        <is>
          <t>20 a 40 L/ha</t>
        </is>
      </c>
      <c r="J1796" s="13" t="inlineStr">
        <is>
          <t>Isento</t>
        </is>
      </c>
    </row>
    <row r="1797" ht="22" customHeight="1">
      <c r="A1797" s="6" t="inlineStr">
        <is>
          <t>CUL-1793</t>
        </is>
      </c>
      <c r="B1797" s="5" t="n">
        <v>357</v>
      </c>
      <c r="C1797" s="7" t="inlineStr">
        <is>
          <t>SIPEAGRO (UF-XXXXX)</t>
        </is>
      </c>
      <c r="D1797" s="8" t="inlineStr">
        <is>
          <t>AGCN FULL (D)</t>
        </is>
      </c>
      <c r="E1797" s="7" t="inlineStr">
        <is>
          <t>Adubação de Solo / Foliar</t>
        </is>
      </c>
      <c r="F1797" s="7" t="inlineStr">
        <is>
          <t>Milho</t>
        </is>
      </c>
      <c r="G1797" s="7" t="inlineStr">
        <is>
          <t>Cultura Autorizada na Bula</t>
        </is>
      </c>
      <c r="H1797" s="7" t="inlineStr">
        <is>
          <t>100 a 300 L/ha</t>
        </is>
      </c>
      <c r="I1797" s="7" t="inlineStr">
        <is>
          <t>20 a 40 L/ha</t>
        </is>
      </c>
      <c r="J1797" s="7" t="inlineStr">
        <is>
          <t>Isento</t>
        </is>
      </c>
    </row>
    <row r="1798" ht="22" customHeight="1">
      <c r="A1798" s="12" t="inlineStr">
        <is>
          <t>CUL-1794</t>
        </is>
      </c>
      <c r="B1798" s="11" t="n">
        <v>357</v>
      </c>
      <c r="C1798" s="13" t="inlineStr">
        <is>
          <t>SIPEAGRO (UF-XXXXX)</t>
        </is>
      </c>
      <c r="D1798" s="14" t="inlineStr">
        <is>
          <t>AGCN FULL (D)</t>
        </is>
      </c>
      <c r="E1798" s="13" t="inlineStr">
        <is>
          <t>Adubação de Solo / Foliar</t>
        </is>
      </c>
      <c r="F1798" s="13" t="inlineStr">
        <is>
          <t>Algodão</t>
        </is>
      </c>
      <c r="G1798" s="13" t="inlineStr">
        <is>
          <t>Cultura Autorizada na Bula</t>
        </is>
      </c>
      <c r="H1798" s="13" t="inlineStr">
        <is>
          <t>100 a 300 L/ha</t>
        </is>
      </c>
      <c r="I1798" s="13" t="inlineStr">
        <is>
          <t>20 a 40 L/ha</t>
        </is>
      </c>
      <c r="J1798" s="13" t="inlineStr">
        <is>
          <t>Isento</t>
        </is>
      </c>
    </row>
    <row r="1799" ht="22" customHeight="1">
      <c r="A1799" s="6" t="inlineStr">
        <is>
          <t>CUL-1795</t>
        </is>
      </c>
      <c r="B1799" s="5" t="n">
        <v>357</v>
      </c>
      <c r="C1799" s="7" t="inlineStr">
        <is>
          <t>SIPEAGRO (UF-XXXXX)</t>
        </is>
      </c>
      <c r="D1799" s="8" t="inlineStr">
        <is>
          <t>AGCN FULL (D)</t>
        </is>
      </c>
      <c r="E1799" s="7" t="inlineStr">
        <is>
          <t>Adubação de Solo / Foliar</t>
        </is>
      </c>
      <c r="F1799" s="7" t="inlineStr">
        <is>
          <t>Cana-de-açúcar</t>
        </is>
      </c>
      <c r="G1799" s="7" t="inlineStr">
        <is>
          <t>Cultura Autorizada na Bula</t>
        </is>
      </c>
      <c r="H1799" s="7" t="inlineStr">
        <is>
          <t>100 a 300 L/ha</t>
        </is>
      </c>
      <c r="I1799" s="7" t="inlineStr">
        <is>
          <t>20 a 40 L/ha</t>
        </is>
      </c>
      <c r="J1799" s="7" t="inlineStr">
        <is>
          <t>Isento</t>
        </is>
      </c>
    </row>
    <row r="1800" ht="22" customHeight="1">
      <c r="A1800" s="12" t="inlineStr">
        <is>
          <t>CUL-1796</t>
        </is>
      </c>
      <c r="B1800" s="11" t="n">
        <v>357</v>
      </c>
      <c r="C1800" s="13" t="inlineStr">
        <is>
          <t>SIPEAGRO (UF-XXXXX)</t>
        </is>
      </c>
      <c r="D1800" s="14" t="inlineStr">
        <is>
          <t>AGCN FULL (D)</t>
        </is>
      </c>
      <c r="E1800" s="13" t="inlineStr">
        <is>
          <t>Adubação de Solo / Foliar</t>
        </is>
      </c>
      <c r="F1800" s="13" t="inlineStr">
        <is>
          <t>Café</t>
        </is>
      </c>
      <c r="G1800" s="13" t="inlineStr">
        <is>
          <t>Cultura Autorizada na Bula</t>
        </is>
      </c>
      <c r="H1800" s="13" t="inlineStr">
        <is>
          <t>100 a 300 L/ha</t>
        </is>
      </c>
      <c r="I1800" s="13" t="inlineStr">
        <is>
          <t>20 a 40 L/ha</t>
        </is>
      </c>
      <c r="J1800" s="13" t="inlineStr">
        <is>
          <t>Isento</t>
        </is>
      </c>
    </row>
    <row r="1801" ht="22" customHeight="1">
      <c r="A1801" s="6" t="inlineStr">
        <is>
          <t>CUL-1797</t>
        </is>
      </c>
      <c r="B1801" s="5" t="n">
        <v>358</v>
      </c>
      <c r="C1801" s="7" t="inlineStr">
        <is>
          <t>SIPEAGRO (UF-XXXXX)</t>
        </is>
      </c>
      <c r="D1801" s="8" t="inlineStr">
        <is>
          <t>AGCN FULL ULTRA (D)</t>
        </is>
      </c>
      <c r="E1801" s="7" t="inlineStr">
        <is>
          <t>Adubação de Solo / Foliar</t>
        </is>
      </c>
      <c r="F1801" s="7" t="inlineStr">
        <is>
          <t>Soja</t>
        </is>
      </c>
      <c r="G1801" s="7" t="inlineStr">
        <is>
          <t>Cultura Autorizada na Bula</t>
        </is>
      </c>
      <c r="H1801" s="7" t="inlineStr">
        <is>
          <t>100 a 300 L/ha</t>
        </is>
      </c>
      <c r="I1801" s="7" t="inlineStr">
        <is>
          <t>20 a 40 L/ha</t>
        </is>
      </c>
      <c r="J1801" s="7" t="inlineStr">
        <is>
          <t>Isento</t>
        </is>
      </c>
    </row>
    <row r="1802" ht="22" customHeight="1">
      <c r="A1802" s="12" t="inlineStr">
        <is>
          <t>CUL-1798</t>
        </is>
      </c>
      <c r="B1802" s="11" t="n">
        <v>358</v>
      </c>
      <c r="C1802" s="13" t="inlineStr">
        <is>
          <t>SIPEAGRO (UF-XXXXX)</t>
        </is>
      </c>
      <c r="D1802" s="14" t="inlineStr">
        <is>
          <t>AGCN FULL ULTRA (D)</t>
        </is>
      </c>
      <c r="E1802" s="13" t="inlineStr">
        <is>
          <t>Adubação de Solo / Foliar</t>
        </is>
      </c>
      <c r="F1802" s="13" t="inlineStr">
        <is>
          <t>Milho</t>
        </is>
      </c>
      <c r="G1802" s="13" t="inlineStr">
        <is>
          <t>Cultura Autorizada na Bula</t>
        </is>
      </c>
      <c r="H1802" s="13" t="inlineStr">
        <is>
          <t>100 a 300 L/ha</t>
        </is>
      </c>
      <c r="I1802" s="13" t="inlineStr">
        <is>
          <t>20 a 40 L/ha</t>
        </is>
      </c>
      <c r="J1802" s="13" t="inlineStr">
        <is>
          <t>Isento</t>
        </is>
      </c>
    </row>
    <row r="1803" ht="22" customHeight="1">
      <c r="A1803" s="6" t="inlineStr">
        <is>
          <t>CUL-1799</t>
        </is>
      </c>
      <c r="B1803" s="5" t="n">
        <v>358</v>
      </c>
      <c r="C1803" s="7" t="inlineStr">
        <is>
          <t>SIPEAGRO (UF-XXXXX)</t>
        </is>
      </c>
      <c r="D1803" s="8" t="inlineStr">
        <is>
          <t>AGCN FULL ULTRA (D)</t>
        </is>
      </c>
      <c r="E1803" s="7" t="inlineStr">
        <is>
          <t>Adubação de Solo / Foliar</t>
        </is>
      </c>
      <c r="F1803" s="7" t="inlineStr">
        <is>
          <t>Algodão</t>
        </is>
      </c>
      <c r="G1803" s="7" t="inlineStr">
        <is>
          <t>Cultura Autorizada na Bula</t>
        </is>
      </c>
      <c r="H1803" s="7" t="inlineStr">
        <is>
          <t>100 a 300 L/ha</t>
        </is>
      </c>
      <c r="I1803" s="7" t="inlineStr">
        <is>
          <t>20 a 40 L/ha</t>
        </is>
      </c>
      <c r="J1803" s="7" t="inlineStr">
        <is>
          <t>Isento</t>
        </is>
      </c>
    </row>
    <row r="1804" ht="22" customHeight="1">
      <c r="A1804" s="12" t="inlineStr">
        <is>
          <t>CUL-1800</t>
        </is>
      </c>
      <c r="B1804" s="11" t="n">
        <v>358</v>
      </c>
      <c r="C1804" s="13" t="inlineStr">
        <is>
          <t>SIPEAGRO (UF-XXXXX)</t>
        </is>
      </c>
      <c r="D1804" s="14" t="inlineStr">
        <is>
          <t>AGCN FULL ULTRA (D)</t>
        </is>
      </c>
      <c r="E1804" s="13" t="inlineStr">
        <is>
          <t>Adubação de Solo / Foliar</t>
        </is>
      </c>
      <c r="F1804" s="13" t="inlineStr">
        <is>
          <t>Cana-de-açúcar</t>
        </is>
      </c>
      <c r="G1804" s="13" t="inlineStr">
        <is>
          <t>Cultura Autorizada na Bula</t>
        </is>
      </c>
      <c r="H1804" s="13" t="inlineStr">
        <is>
          <t>100 a 300 L/ha</t>
        </is>
      </c>
      <c r="I1804" s="13" t="inlineStr">
        <is>
          <t>20 a 40 L/ha</t>
        </is>
      </c>
      <c r="J1804" s="13" t="inlineStr">
        <is>
          <t>Isento</t>
        </is>
      </c>
    </row>
    <row r="1805" ht="22" customHeight="1">
      <c r="A1805" s="6" t="inlineStr">
        <is>
          <t>CUL-1801</t>
        </is>
      </c>
      <c r="B1805" s="5" t="n">
        <v>358</v>
      </c>
      <c r="C1805" s="7" t="inlineStr">
        <is>
          <t>SIPEAGRO (UF-XXXXX)</t>
        </is>
      </c>
      <c r="D1805" s="8" t="inlineStr">
        <is>
          <t>AGCN FULL ULTRA (D)</t>
        </is>
      </c>
      <c r="E1805" s="7" t="inlineStr">
        <is>
          <t>Adubação de Solo / Foliar</t>
        </is>
      </c>
      <c r="F1805" s="7" t="inlineStr">
        <is>
          <t>Café</t>
        </is>
      </c>
      <c r="G1805" s="7" t="inlineStr">
        <is>
          <t>Cultura Autorizada na Bula</t>
        </is>
      </c>
      <c r="H1805" s="7" t="inlineStr">
        <is>
          <t>100 a 300 L/ha</t>
        </is>
      </c>
      <c r="I1805" s="7" t="inlineStr">
        <is>
          <t>20 a 40 L/ha</t>
        </is>
      </c>
      <c r="J1805" s="7" t="inlineStr">
        <is>
          <t>Isento</t>
        </is>
      </c>
    </row>
    <row r="1806" ht="22" customHeight="1">
      <c r="A1806" s="12" t="inlineStr">
        <is>
          <t>CUL-1802</t>
        </is>
      </c>
      <c r="B1806" s="11" t="n">
        <v>359</v>
      </c>
      <c r="C1806" s="13" t="inlineStr">
        <is>
          <t>Nº 23922</t>
        </is>
      </c>
      <c r="D1806" s="14" t="inlineStr">
        <is>
          <t>CLETODIM 360 (PRINCIPIO ATIVO)</t>
        </is>
      </c>
      <c r="E1806" s="13" t="inlineStr">
        <is>
          <t>Uso Exclusivamente Industrial (Formulação)</t>
        </is>
      </c>
      <c r="F1806" s="13" t="inlineStr">
        <is>
          <t>Não Aplicável (Proibido uso direto na lavoura)</t>
        </is>
      </c>
      <c r="G1806" s="13" t="inlineStr">
        <is>
          <t>Insumo Industrial</t>
        </is>
      </c>
      <c r="H1806" s="13" t="inlineStr">
        <is>
          <t>N/A</t>
        </is>
      </c>
      <c r="I1806" s="13" t="inlineStr">
        <is>
          <t>N/A</t>
        </is>
      </c>
      <c r="J1806" s="13" t="inlineStr">
        <is>
          <t>N/A (Insumo Industrial)</t>
        </is>
      </c>
    </row>
    <row r="1807" ht="22" customHeight="1">
      <c r="A1807" s="6" t="inlineStr">
        <is>
          <t>CUL-1803</t>
        </is>
      </c>
      <c r="B1807" s="5" t="n">
        <v>360</v>
      </c>
      <c r="C1807" s="7" t="inlineStr">
        <is>
          <t>Nº 27717</t>
        </is>
      </c>
      <c r="D1807" s="8" t="inlineStr">
        <is>
          <t>FIPRONIL 800 WG AGCN</t>
        </is>
      </c>
      <c r="E1807" s="7" t="inlineStr">
        <is>
          <t>Pulverização Agrícola Conforme Bula</t>
        </is>
      </c>
      <c r="F1807" s="7" t="inlineStr">
        <is>
          <t>Soja (Trat. Sementes / Sulco)</t>
        </is>
      </c>
      <c r="G1807" s="7" t="inlineStr">
        <is>
          <t>Cultura Autorizada na Bula</t>
        </is>
      </c>
      <c r="H1807" s="7" t="inlineStr">
        <is>
          <t>100 a 300 L/ha</t>
        </is>
      </c>
      <c r="I1807" s="7" t="inlineStr">
        <is>
          <t>20 a 40 L/ha</t>
        </is>
      </c>
      <c r="J1807" s="7" t="inlineStr">
        <is>
          <t>N/D</t>
        </is>
      </c>
    </row>
    <row r="1808" ht="22" customHeight="1">
      <c r="A1808" s="12" t="inlineStr">
        <is>
          <t>CUL-1804</t>
        </is>
      </c>
      <c r="B1808" s="11" t="n">
        <v>360</v>
      </c>
      <c r="C1808" s="13" t="inlineStr">
        <is>
          <t>Nº 27717</t>
        </is>
      </c>
      <c r="D1808" s="14" t="inlineStr">
        <is>
          <t>FIPRONIL 800 WG AGCN</t>
        </is>
      </c>
      <c r="E1808" s="13" t="inlineStr">
        <is>
          <t>Pulverização Agrícola Conforme Bula</t>
        </is>
      </c>
      <c r="F1808" s="13" t="inlineStr">
        <is>
          <t>Milho (Trat. Sementes)</t>
        </is>
      </c>
      <c r="G1808" s="13" t="inlineStr">
        <is>
          <t>Cultura Autorizada na Bula</t>
        </is>
      </c>
      <c r="H1808" s="13" t="inlineStr">
        <is>
          <t>100 a 300 L/ha</t>
        </is>
      </c>
      <c r="I1808" s="13" t="inlineStr">
        <is>
          <t>20 a 40 L/ha</t>
        </is>
      </c>
      <c r="J1808" s="13" t="inlineStr">
        <is>
          <t>N/D</t>
        </is>
      </c>
    </row>
    <row r="1809" ht="22" customHeight="1">
      <c r="A1809" s="6" t="inlineStr">
        <is>
          <t>CUL-1805</t>
        </is>
      </c>
      <c r="B1809" s="5" t="n">
        <v>360</v>
      </c>
      <c r="C1809" s="7" t="inlineStr">
        <is>
          <t>Nº 27717</t>
        </is>
      </c>
      <c r="D1809" s="8" t="inlineStr">
        <is>
          <t>FIPRONIL 800 WG AGCN</t>
        </is>
      </c>
      <c r="E1809" s="7" t="inlineStr">
        <is>
          <t>Pulverização Agrícola Conforme Bula</t>
        </is>
      </c>
      <c r="F1809" s="7" t="inlineStr">
        <is>
          <t>Algodão</t>
        </is>
      </c>
      <c r="G1809" s="7" t="inlineStr">
        <is>
          <t>Cultura Autorizada na Bula</t>
        </is>
      </c>
      <c r="H1809" s="7" t="inlineStr">
        <is>
          <t>100 a 300 L/ha</t>
        </is>
      </c>
      <c r="I1809" s="7" t="inlineStr">
        <is>
          <t>20 a 40 L/ha</t>
        </is>
      </c>
      <c r="J1809" s="7" t="inlineStr">
        <is>
          <t>N/D</t>
        </is>
      </c>
    </row>
    <row r="1810" ht="22" customHeight="1">
      <c r="A1810" s="12" t="inlineStr">
        <is>
          <t>CUL-1806</t>
        </is>
      </c>
      <c r="B1810" s="11" t="n">
        <v>360</v>
      </c>
      <c r="C1810" s="13" t="inlineStr">
        <is>
          <t>Nº 27717</t>
        </is>
      </c>
      <c r="D1810" s="14" t="inlineStr">
        <is>
          <t>FIPRONIL 800 WG AGCN</t>
        </is>
      </c>
      <c r="E1810" s="13" t="inlineStr">
        <is>
          <t>Pulverização Agrícola Conforme Bula</t>
        </is>
      </c>
      <c r="F1810" s="13" t="inlineStr">
        <is>
          <t>Cana-de-açúcar (Sulco)</t>
        </is>
      </c>
      <c r="G1810" s="13" t="inlineStr">
        <is>
          <t>Cultura Autorizada na Bula</t>
        </is>
      </c>
      <c r="H1810" s="13" t="inlineStr">
        <is>
          <t>100 a 300 L/ha</t>
        </is>
      </c>
      <c r="I1810" s="13" t="inlineStr">
        <is>
          <t>20 a 40 L/ha</t>
        </is>
      </c>
      <c r="J1810" s="13" t="inlineStr">
        <is>
          <t>N/D</t>
        </is>
      </c>
    </row>
    <row r="1811" ht="22" customHeight="1">
      <c r="A1811" s="6" t="inlineStr">
        <is>
          <t>CUL-1807</t>
        </is>
      </c>
      <c r="B1811" s="5" t="n">
        <v>360</v>
      </c>
      <c r="C1811" s="7" t="inlineStr">
        <is>
          <t>Nº 27717</t>
        </is>
      </c>
      <c r="D1811" s="8" t="inlineStr">
        <is>
          <t>FIPRONIL 800 WG AGCN</t>
        </is>
      </c>
      <c r="E1811" s="7" t="inlineStr">
        <is>
          <t>Pulverização Agrícola Conforme Bula</t>
        </is>
      </c>
      <c r="F1811" s="7" t="inlineStr">
        <is>
          <t>Arroz</t>
        </is>
      </c>
      <c r="G1811" s="7" t="inlineStr">
        <is>
          <t>Cultura Autorizada na Bula</t>
        </is>
      </c>
      <c r="H1811" s="7" t="inlineStr">
        <is>
          <t>100 a 300 L/ha</t>
        </is>
      </c>
      <c r="I1811" s="7" t="inlineStr">
        <is>
          <t>20 a 40 L/ha</t>
        </is>
      </c>
      <c r="J1811" s="7" t="inlineStr">
        <is>
          <t>N/D</t>
        </is>
      </c>
    </row>
    <row r="1812" ht="22" customHeight="1">
      <c r="A1812" s="12" t="inlineStr">
        <is>
          <t>CUL-1808</t>
        </is>
      </c>
      <c r="B1812" s="11" t="n">
        <v>360</v>
      </c>
      <c r="C1812" s="13" t="inlineStr">
        <is>
          <t>Nº 27717</t>
        </is>
      </c>
      <c r="D1812" s="14" t="inlineStr">
        <is>
          <t>FIPRONIL 800 WG AGCN</t>
        </is>
      </c>
      <c r="E1812" s="13" t="inlineStr">
        <is>
          <t>Pulverização Agrícola Conforme Bula</t>
        </is>
      </c>
      <c r="F1812" s="13" t="inlineStr">
        <is>
          <t>Feijão</t>
        </is>
      </c>
      <c r="G1812" s="13" t="inlineStr">
        <is>
          <t>Cultura Autorizada na Bula</t>
        </is>
      </c>
      <c r="H1812" s="13" t="inlineStr">
        <is>
          <t>100 a 300 L/ha</t>
        </is>
      </c>
      <c r="I1812" s="13" t="inlineStr">
        <is>
          <t>20 a 40 L/ha</t>
        </is>
      </c>
      <c r="J1812" s="13" t="inlineStr">
        <is>
          <t>N/D</t>
        </is>
      </c>
    </row>
    <row r="1813" ht="22" customHeight="1">
      <c r="A1813" s="6" t="inlineStr">
        <is>
          <t>CUL-1809</t>
        </is>
      </c>
      <c r="B1813" s="5" t="n">
        <v>360</v>
      </c>
      <c r="C1813" s="7" t="inlineStr">
        <is>
          <t>Nº 27717</t>
        </is>
      </c>
      <c r="D1813" s="8" t="inlineStr">
        <is>
          <t>FIPRONIL 800 WG AGCN</t>
        </is>
      </c>
      <c r="E1813" s="7" t="inlineStr">
        <is>
          <t>Pulverização Agrícola Conforme Bula</t>
        </is>
      </c>
      <c r="F1813" s="7" t="inlineStr">
        <is>
          <t>Pastagens</t>
        </is>
      </c>
      <c r="G1813" s="7" t="inlineStr">
        <is>
          <t>Cultura Autorizada na Bula</t>
        </is>
      </c>
      <c r="H1813" s="7" t="inlineStr">
        <is>
          <t>100 a 300 L/ha</t>
        </is>
      </c>
      <c r="I1813" s="7" t="inlineStr">
        <is>
          <t>20 a 40 L/ha</t>
        </is>
      </c>
      <c r="J1813" s="7" t="inlineStr">
        <is>
          <t>N/D</t>
        </is>
      </c>
    </row>
    <row r="1814" ht="22" customHeight="1">
      <c r="A1814" s="12" t="inlineStr">
        <is>
          <t>CUL-1810</t>
        </is>
      </c>
      <c r="B1814" s="11" t="n">
        <v>360</v>
      </c>
      <c r="C1814" s="13" t="inlineStr">
        <is>
          <t>Nº 27717</t>
        </is>
      </c>
      <c r="D1814" s="14" t="inlineStr">
        <is>
          <t>FIPRONIL 800 WG AGCN</t>
        </is>
      </c>
      <c r="E1814" s="13" t="inlineStr">
        <is>
          <t>Pulverização Agrícola Conforme Bula</t>
        </is>
      </c>
      <c r="F1814" s="13" t="inlineStr">
        <is>
          <t>Trigo</t>
        </is>
      </c>
      <c r="G1814" s="13" t="inlineStr">
        <is>
          <t>Cultura Autorizada na Bula</t>
        </is>
      </c>
      <c r="H1814" s="13" t="inlineStr">
        <is>
          <t>100 a 300 L/ha</t>
        </is>
      </c>
      <c r="I1814" s="13" t="inlineStr">
        <is>
          <t>20 a 40 L/ha</t>
        </is>
      </c>
      <c r="J1814" s="13" t="inlineStr">
        <is>
          <t>N/D</t>
        </is>
      </c>
    </row>
    <row r="1815" ht="22" customHeight="1">
      <c r="A1815" s="6" t="inlineStr">
        <is>
          <t>CUL-1811</t>
        </is>
      </c>
      <c r="B1815" s="5" t="n">
        <v>361</v>
      </c>
      <c r="C1815" s="7" t="inlineStr">
        <is>
          <t>Nº 27717</t>
        </is>
      </c>
      <c r="D1815" s="8" t="inlineStr">
        <is>
          <t>FIPRONIL 800 WG AGCN</t>
        </is>
      </c>
      <c r="E1815" s="7" t="inlineStr">
        <is>
          <t>Pulverização Agrícola Conforme Bula</t>
        </is>
      </c>
      <c r="F1815" s="7" t="inlineStr">
        <is>
          <t>Soja (Trat. Sementes / Sulco)</t>
        </is>
      </c>
      <c r="G1815" s="7" t="inlineStr">
        <is>
          <t>Cultura Autorizada na Bula</t>
        </is>
      </c>
      <c r="H1815" s="7" t="inlineStr">
        <is>
          <t>100 a 300 L/ha</t>
        </is>
      </c>
      <c r="I1815" s="7" t="inlineStr">
        <is>
          <t>20 a 40 L/ha</t>
        </is>
      </c>
      <c r="J1815" s="7" t="inlineStr">
        <is>
          <t>N/D</t>
        </is>
      </c>
    </row>
    <row r="1816" ht="22" customHeight="1">
      <c r="A1816" s="12" t="inlineStr">
        <is>
          <t>CUL-1812</t>
        </is>
      </c>
      <c r="B1816" s="11" t="n">
        <v>361</v>
      </c>
      <c r="C1816" s="13" t="inlineStr">
        <is>
          <t>Nº 27717</t>
        </is>
      </c>
      <c r="D1816" s="14" t="inlineStr">
        <is>
          <t>FIPRONIL 800 WG AGCN</t>
        </is>
      </c>
      <c r="E1816" s="13" t="inlineStr">
        <is>
          <t>Pulverização Agrícola Conforme Bula</t>
        </is>
      </c>
      <c r="F1816" s="13" t="inlineStr">
        <is>
          <t>Milho (Trat. Sementes)</t>
        </is>
      </c>
      <c r="G1816" s="13" t="inlineStr">
        <is>
          <t>Cultura Autorizada na Bula</t>
        </is>
      </c>
      <c r="H1816" s="13" t="inlineStr">
        <is>
          <t>100 a 300 L/ha</t>
        </is>
      </c>
      <c r="I1816" s="13" t="inlineStr">
        <is>
          <t>20 a 40 L/ha</t>
        </is>
      </c>
      <c r="J1816" s="13" t="inlineStr">
        <is>
          <t>N/D</t>
        </is>
      </c>
    </row>
    <row r="1817" ht="22" customHeight="1">
      <c r="A1817" s="6" t="inlineStr">
        <is>
          <t>CUL-1813</t>
        </is>
      </c>
      <c r="B1817" s="5" t="n">
        <v>361</v>
      </c>
      <c r="C1817" s="7" t="inlineStr">
        <is>
          <t>Nº 27717</t>
        </is>
      </c>
      <c r="D1817" s="8" t="inlineStr">
        <is>
          <t>FIPRONIL 800 WG AGCN</t>
        </is>
      </c>
      <c r="E1817" s="7" t="inlineStr">
        <is>
          <t>Pulverização Agrícola Conforme Bula</t>
        </is>
      </c>
      <c r="F1817" s="7" t="inlineStr">
        <is>
          <t>Algodão</t>
        </is>
      </c>
      <c r="G1817" s="7" t="inlineStr">
        <is>
          <t>Cultura Autorizada na Bula</t>
        </is>
      </c>
      <c r="H1817" s="7" t="inlineStr">
        <is>
          <t>100 a 300 L/ha</t>
        </is>
      </c>
      <c r="I1817" s="7" t="inlineStr">
        <is>
          <t>20 a 40 L/ha</t>
        </is>
      </c>
      <c r="J1817" s="7" t="inlineStr">
        <is>
          <t>N/D</t>
        </is>
      </c>
    </row>
    <row r="1818" ht="22" customHeight="1">
      <c r="A1818" s="12" t="inlineStr">
        <is>
          <t>CUL-1814</t>
        </is>
      </c>
      <c r="B1818" s="11" t="n">
        <v>361</v>
      </c>
      <c r="C1818" s="13" t="inlineStr">
        <is>
          <t>Nº 27717</t>
        </is>
      </c>
      <c r="D1818" s="14" t="inlineStr">
        <is>
          <t>FIPRONIL 800 WG AGCN</t>
        </is>
      </c>
      <c r="E1818" s="13" t="inlineStr">
        <is>
          <t>Pulverização Agrícola Conforme Bula</t>
        </is>
      </c>
      <c r="F1818" s="13" t="inlineStr">
        <is>
          <t>Cana-de-açúcar (Sulco)</t>
        </is>
      </c>
      <c r="G1818" s="13" t="inlineStr">
        <is>
          <t>Cultura Autorizada na Bula</t>
        </is>
      </c>
      <c r="H1818" s="13" t="inlineStr">
        <is>
          <t>100 a 300 L/ha</t>
        </is>
      </c>
      <c r="I1818" s="13" t="inlineStr">
        <is>
          <t>20 a 40 L/ha</t>
        </is>
      </c>
      <c r="J1818" s="13" t="inlineStr">
        <is>
          <t>N/D</t>
        </is>
      </c>
    </row>
    <row r="1819" ht="22" customHeight="1">
      <c r="A1819" s="6" t="inlineStr">
        <is>
          <t>CUL-1815</t>
        </is>
      </c>
      <c r="B1819" s="5" t="n">
        <v>361</v>
      </c>
      <c r="C1819" s="7" t="inlineStr">
        <is>
          <t>Nº 27717</t>
        </is>
      </c>
      <c r="D1819" s="8" t="inlineStr">
        <is>
          <t>FIPRONIL 800 WG AGCN</t>
        </is>
      </c>
      <c r="E1819" s="7" t="inlineStr">
        <is>
          <t>Pulverização Agrícola Conforme Bula</t>
        </is>
      </c>
      <c r="F1819" s="7" t="inlineStr">
        <is>
          <t>Arroz</t>
        </is>
      </c>
      <c r="G1819" s="7" t="inlineStr">
        <is>
          <t>Cultura Autorizada na Bula</t>
        </is>
      </c>
      <c r="H1819" s="7" t="inlineStr">
        <is>
          <t>100 a 300 L/ha</t>
        </is>
      </c>
      <c r="I1819" s="7" t="inlineStr">
        <is>
          <t>20 a 40 L/ha</t>
        </is>
      </c>
      <c r="J1819" s="7" t="inlineStr">
        <is>
          <t>N/D</t>
        </is>
      </c>
    </row>
    <row r="1820" ht="22" customHeight="1">
      <c r="A1820" s="12" t="inlineStr">
        <is>
          <t>CUL-1816</t>
        </is>
      </c>
      <c r="B1820" s="11" t="n">
        <v>361</v>
      </c>
      <c r="C1820" s="13" t="inlineStr">
        <is>
          <t>Nº 27717</t>
        </is>
      </c>
      <c r="D1820" s="14" t="inlineStr">
        <is>
          <t>FIPRONIL 800 WG AGCN</t>
        </is>
      </c>
      <c r="E1820" s="13" t="inlineStr">
        <is>
          <t>Pulverização Agrícola Conforme Bula</t>
        </is>
      </c>
      <c r="F1820" s="13" t="inlineStr">
        <is>
          <t>Feijão</t>
        </is>
      </c>
      <c r="G1820" s="13" t="inlineStr">
        <is>
          <t>Cultura Autorizada na Bula</t>
        </is>
      </c>
      <c r="H1820" s="13" t="inlineStr">
        <is>
          <t>100 a 300 L/ha</t>
        </is>
      </c>
      <c r="I1820" s="13" t="inlineStr">
        <is>
          <t>20 a 40 L/ha</t>
        </is>
      </c>
      <c r="J1820" s="13" t="inlineStr">
        <is>
          <t>N/D</t>
        </is>
      </c>
    </row>
    <row r="1821" ht="22" customHeight="1">
      <c r="A1821" s="6" t="inlineStr">
        <is>
          <t>CUL-1817</t>
        </is>
      </c>
      <c r="B1821" s="5" t="n">
        <v>361</v>
      </c>
      <c r="C1821" s="7" t="inlineStr">
        <is>
          <t>Nº 27717</t>
        </is>
      </c>
      <c r="D1821" s="8" t="inlineStr">
        <is>
          <t>FIPRONIL 800 WG AGCN</t>
        </is>
      </c>
      <c r="E1821" s="7" t="inlineStr">
        <is>
          <t>Pulverização Agrícola Conforme Bula</t>
        </is>
      </c>
      <c r="F1821" s="7" t="inlineStr">
        <is>
          <t>Pastagens</t>
        </is>
      </c>
      <c r="G1821" s="7" t="inlineStr">
        <is>
          <t>Cultura Autorizada na Bula</t>
        </is>
      </c>
      <c r="H1821" s="7" t="inlineStr">
        <is>
          <t>100 a 300 L/ha</t>
        </is>
      </c>
      <c r="I1821" s="7" t="inlineStr">
        <is>
          <t>20 a 40 L/ha</t>
        </is>
      </c>
      <c r="J1821" s="7" t="inlineStr">
        <is>
          <t>N/D</t>
        </is>
      </c>
    </row>
    <row r="1822" ht="22" customHeight="1">
      <c r="A1822" s="12" t="inlineStr">
        <is>
          <t>CUL-1818</t>
        </is>
      </c>
      <c r="B1822" s="11" t="n">
        <v>361</v>
      </c>
      <c r="C1822" s="13" t="inlineStr">
        <is>
          <t>Nº 27717</t>
        </is>
      </c>
      <c r="D1822" s="14" t="inlineStr">
        <is>
          <t>FIPRONIL 800 WG AGCN</t>
        </is>
      </c>
      <c r="E1822" s="13" t="inlineStr">
        <is>
          <t>Pulverização Agrícola Conforme Bula</t>
        </is>
      </c>
      <c r="F1822" s="13" t="inlineStr">
        <is>
          <t>Trigo</t>
        </is>
      </c>
      <c r="G1822" s="13" t="inlineStr">
        <is>
          <t>Cultura Autorizada na Bula</t>
        </is>
      </c>
      <c r="H1822" s="13" t="inlineStr">
        <is>
          <t>100 a 300 L/ha</t>
        </is>
      </c>
      <c r="I1822" s="13" t="inlineStr">
        <is>
          <t>20 a 40 L/ha</t>
        </is>
      </c>
      <c r="J1822" s="13" t="inlineStr">
        <is>
          <t>N/D</t>
        </is>
      </c>
    </row>
    <row r="1823" ht="22" customHeight="1">
      <c r="A1823" s="6" t="inlineStr">
        <is>
          <t>CUL-1819</t>
        </is>
      </c>
      <c r="B1823" s="5" t="n">
        <v>362</v>
      </c>
      <c r="C1823" s="7" t="inlineStr">
        <is>
          <t>Nº 22023</t>
        </is>
      </c>
      <c r="D1823" s="8" t="inlineStr">
        <is>
          <t>TEBUCONAZOLE 430 SINO-AGRI</t>
        </is>
      </c>
      <c r="E1823" s="7" t="inlineStr">
        <is>
          <t>Pulverização Agrícola Conforme Bula</t>
        </is>
      </c>
      <c r="F1823" s="7" t="inlineStr">
        <is>
          <t>Soja</t>
        </is>
      </c>
      <c r="G1823" s="7" t="inlineStr">
        <is>
          <t>Cultura Autorizada na Bula</t>
        </is>
      </c>
      <c r="H1823" s="7" t="inlineStr">
        <is>
          <t>100 a 300 L/ha</t>
        </is>
      </c>
      <c r="I1823" s="7" t="inlineStr">
        <is>
          <t>20 a 40 L/ha</t>
        </is>
      </c>
      <c r="J1823" s="7" t="inlineStr">
        <is>
          <t>30 dias</t>
        </is>
      </c>
    </row>
    <row r="1824" ht="22" customHeight="1">
      <c r="A1824" s="12" t="inlineStr">
        <is>
          <t>CUL-1820</t>
        </is>
      </c>
      <c r="B1824" s="11" t="n">
        <v>362</v>
      </c>
      <c r="C1824" s="13" t="inlineStr">
        <is>
          <t>Nº 22023</t>
        </is>
      </c>
      <c r="D1824" s="14" t="inlineStr">
        <is>
          <t>TEBUCONAZOLE 430 SINO-AGRI</t>
        </is>
      </c>
      <c r="E1824" s="13" t="inlineStr">
        <is>
          <t>Pulverização Agrícola Conforme Bula</t>
        </is>
      </c>
      <c r="F1824" s="13" t="inlineStr">
        <is>
          <t>Milho</t>
        </is>
      </c>
      <c r="G1824" s="13" t="inlineStr">
        <is>
          <t>Cultura Autorizada na Bula</t>
        </is>
      </c>
      <c r="H1824" s="13" t="inlineStr">
        <is>
          <t>100 a 300 L/ha</t>
        </is>
      </c>
      <c r="I1824" s="13" t="inlineStr">
        <is>
          <t>20 a 40 L/ha</t>
        </is>
      </c>
      <c r="J1824" s="13" t="inlineStr">
        <is>
          <t>15 dias</t>
        </is>
      </c>
    </row>
    <row r="1825" ht="22" customHeight="1">
      <c r="A1825" s="6" t="inlineStr">
        <is>
          <t>CUL-1821</t>
        </is>
      </c>
      <c r="B1825" s="5" t="n">
        <v>362</v>
      </c>
      <c r="C1825" s="7" t="inlineStr">
        <is>
          <t>Nº 22023</t>
        </is>
      </c>
      <c r="D1825" s="8" t="inlineStr">
        <is>
          <t>TEBUCONAZOLE 430 SINO-AGRI</t>
        </is>
      </c>
      <c r="E1825" s="7" t="inlineStr">
        <is>
          <t>Pulverização Agrícola Conforme Bula</t>
        </is>
      </c>
      <c r="F1825" s="7" t="inlineStr">
        <is>
          <t>Algodão</t>
        </is>
      </c>
      <c r="G1825" s="7" t="inlineStr">
        <is>
          <t>Cultura Autorizada na Bula</t>
        </is>
      </c>
      <c r="H1825" s="7" t="inlineStr">
        <is>
          <t>100 a 300 L/ha</t>
        </is>
      </c>
      <c r="I1825" s="7" t="inlineStr">
        <is>
          <t>20 a 40 L/ha</t>
        </is>
      </c>
      <c r="J1825" s="7" t="inlineStr">
        <is>
          <t>30 dias</t>
        </is>
      </c>
    </row>
    <row r="1826" ht="22" customHeight="1">
      <c r="A1826" s="12" t="inlineStr">
        <is>
          <t>CUL-1822</t>
        </is>
      </c>
      <c r="B1826" s="11" t="n">
        <v>362</v>
      </c>
      <c r="C1826" s="13" t="inlineStr">
        <is>
          <t>Nº 22023</t>
        </is>
      </c>
      <c r="D1826" s="14" t="inlineStr">
        <is>
          <t>TEBUCONAZOLE 430 SINO-AGRI</t>
        </is>
      </c>
      <c r="E1826" s="13" t="inlineStr">
        <is>
          <t>Pulverização Agrícola Conforme Bula</t>
        </is>
      </c>
      <c r="F1826" s="13" t="inlineStr">
        <is>
          <t>Trigo</t>
        </is>
      </c>
      <c r="G1826" s="13" t="inlineStr">
        <is>
          <t>Cultura Autorizada na Bula</t>
        </is>
      </c>
      <c r="H1826" s="13" t="inlineStr">
        <is>
          <t>100 a 300 L/ha</t>
        </is>
      </c>
      <c r="I1826" s="13" t="inlineStr">
        <is>
          <t>20 a 40 L/ha</t>
        </is>
      </c>
      <c r="J1826" s="13" t="inlineStr">
        <is>
          <t>35 dias</t>
        </is>
      </c>
    </row>
    <row r="1827" ht="22" customHeight="1">
      <c r="A1827" s="6" t="inlineStr">
        <is>
          <t>CUL-1823</t>
        </is>
      </c>
      <c r="B1827" s="5" t="n">
        <v>362</v>
      </c>
      <c r="C1827" s="7" t="inlineStr">
        <is>
          <t>Nº 22023</t>
        </is>
      </c>
      <c r="D1827" s="8" t="inlineStr">
        <is>
          <t>TEBUCONAZOLE 430 SINO-AGRI</t>
        </is>
      </c>
      <c r="E1827" s="7" t="inlineStr">
        <is>
          <t>Pulverização Agrícola Conforme Bula</t>
        </is>
      </c>
      <c r="F1827" s="7" t="inlineStr">
        <is>
          <t>Café</t>
        </is>
      </c>
      <c r="G1827" s="7" t="inlineStr">
        <is>
          <t>Cultura Autorizada na Bula</t>
        </is>
      </c>
      <c r="H1827" s="7" t="inlineStr">
        <is>
          <t>100 a 300 L/ha</t>
        </is>
      </c>
      <c r="I1827" s="7" t="inlineStr">
        <is>
          <t>20 a 40 L/ha</t>
        </is>
      </c>
      <c r="J1827" s="7" t="inlineStr">
        <is>
          <t>30 dias</t>
        </is>
      </c>
    </row>
    <row r="1828" ht="22" customHeight="1">
      <c r="A1828" s="12" t="inlineStr">
        <is>
          <t>CUL-1824</t>
        </is>
      </c>
      <c r="B1828" s="11" t="n">
        <v>362</v>
      </c>
      <c r="C1828" s="13" t="inlineStr">
        <is>
          <t>Nº 22023</t>
        </is>
      </c>
      <c r="D1828" s="14" t="inlineStr">
        <is>
          <t>TEBUCONAZOLE 430 SINO-AGRI</t>
        </is>
      </c>
      <c r="E1828" s="13" t="inlineStr">
        <is>
          <t>Pulverização Agrícola Conforme Bula</t>
        </is>
      </c>
      <c r="F1828" s="13" t="inlineStr">
        <is>
          <t>Feijão</t>
        </is>
      </c>
      <c r="G1828" s="13" t="inlineStr">
        <is>
          <t>Cultura Autorizada na Bula</t>
        </is>
      </c>
      <c r="H1828" s="13" t="inlineStr">
        <is>
          <t>100 a 300 L/ha</t>
        </is>
      </c>
      <c r="I1828" s="13" t="inlineStr">
        <is>
          <t>20 a 40 L/ha</t>
        </is>
      </c>
      <c r="J1828" s="13" t="inlineStr">
        <is>
          <t>14 dias</t>
        </is>
      </c>
    </row>
    <row r="1829" ht="22" customHeight="1">
      <c r="A1829" s="6" t="inlineStr">
        <is>
          <t>CUL-1825</t>
        </is>
      </c>
      <c r="B1829" s="5" t="n">
        <v>363</v>
      </c>
      <c r="C1829" s="7" t="inlineStr">
        <is>
          <t>Nº 22023</t>
        </is>
      </c>
      <c r="D1829" s="8" t="inlineStr">
        <is>
          <t>TEBUCONAZOLE 430 SINO-AGRI</t>
        </is>
      </c>
      <c r="E1829" s="7" t="inlineStr">
        <is>
          <t>Pulverização Agrícola Conforme Bula</t>
        </is>
      </c>
      <c r="F1829" s="7" t="inlineStr">
        <is>
          <t>Soja</t>
        </is>
      </c>
      <c r="G1829" s="7" t="inlineStr">
        <is>
          <t>Cultura Autorizada na Bula</t>
        </is>
      </c>
      <c r="H1829" s="7" t="inlineStr">
        <is>
          <t>100 a 300 L/ha</t>
        </is>
      </c>
      <c r="I1829" s="7" t="inlineStr">
        <is>
          <t>20 a 40 L/ha</t>
        </is>
      </c>
      <c r="J1829" s="7" t="inlineStr">
        <is>
          <t>30 dias</t>
        </is>
      </c>
    </row>
    <row r="1830" ht="22" customHeight="1">
      <c r="A1830" s="12" t="inlineStr">
        <is>
          <t>CUL-1826</t>
        </is>
      </c>
      <c r="B1830" s="11" t="n">
        <v>363</v>
      </c>
      <c r="C1830" s="13" t="inlineStr">
        <is>
          <t>Nº 22023</t>
        </is>
      </c>
      <c r="D1830" s="14" t="inlineStr">
        <is>
          <t>TEBUCONAZOLE 430 SINO-AGRI</t>
        </is>
      </c>
      <c r="E1830" s="13" t="inlineStr">
        <is>
          <t>Pulverização Agrícola Conforme Bula</t>
        </is>
      </c>
      <c r="F1830" s="13" t="inlineStr">
        <is>
          <t>Milho</t>
        </is>
      </c>
      <c r="G1830" s="13" t="inlineStr">
        <is>
          <t>Cultura Autorizada na Bula</t>
        </is>
      </c>
      <c r="H1830" s="13" t="inlineStr">
        <is>
          <t>100 a 300 L/ha</t>
        </is>
      </c>
      <c r="I1830" s="13" t="inlineStr">
        <is>
          <t>20 a 40 L/ha</t>
        </is>
      </c>
      <c r="J1830" s="13" t="inlineStr">
        <is>
          <t>15 dias</t>
        </is>
      </c>
    </row>
    <row r="1831" ht="22" customHeight="1">
      <c r="A1831" s="6" t="inlineStr">
        <is>
          <t>CUL-1827</t>
        </is>
      </c>
      <c r="B1831" s="5" t="n">
        <v>363</v>
      </c>
      <c r="C1831" s="7" t="inlineStr">
        <is>
          <t>Nº 22023</t>
        </is>
      </c>
      <c r="D1831" s="8" t="inlineStr">
        <is>
          <t>TEBUCONAZOLE 430 SINO-AGRI</t>
        </is>
      </c>
      <c r="E1831" s="7" t="inlineStr">
        <is>
          <t>Pulverização Agrícola Conforme Bula</t>
        </is>
      </c>
      <c r="F1831" s="7" t="inlineStr">
        <is>
          <t>Algodão</t>
        </is>
      </c>
      <c r="G1831" s="7" t="inlineStr">
        <is>
          <t>Cultura Autorizada na Bula</t>
        </is>
      </c>
      <c r="H1831" s="7" t="inlineStr">
        <is>
          <t>100 a 300 L/ha</t>
        </is>
      </c>
      <c r="I1831" s="7" t="inlineStr">
        <is>
          <t>20 a 40 L/ha</t>
        </is>
      </c>
      <c r="J1831" s="7" t="inlineStr">
        <is>
          <t>30 dias</t>
        </is>
      </c>
    </row>
    <row r="1832" ht="22" customHeight="1">
      <c r="A1832" s="12" t="inlineStr">
        <is>
          <t>CUL-1828</t>
        </is>
      </c>
      <c r="B1832" s="11" t="n">
        <v>363</v>
      </c>
      <c r="C1832" s="13" t="inlineStr">
        <is>
          <t>Nº 22023</t>
        </is>
      </c>
      <c r="D1832" s="14" t="inlineStr">
        <is>
          <t>TEBUCONAZOLE 430 SINO-AGRI</t>
        </is>
      </c>
      <c r="E1832" s="13" t="inlineStr">
        <is>
          <t>Pulverização Agrícola Conforme Bula</t>
        </is>
      </c>
      <c r="F1832" s="13" t="inlineStr">
        <is>
          <t>Trigo</t>
        </is>
      </c>
      <c r="G1832" s="13" t="inlineStr">
        <is>
          <t>Cultura Autorizada na Bula</t>
        </is>
      </c>
      <c r="H1832" s="13" t="inlineStr">
        <is>
          <t>100 a 300 L/ha</t>
        </is>
      </c>
      <c r="I1832" s="13" t="inlineStr">
        <is>
          <t>20 a 40 L/ha</t>
        </is>
      </c>
      <c r="J1832" s="13" t="inlineStr">
        <is>
          <t>35 dias</t>
        </is>
      </c>
    </row>
    <row r="1833" ht="22" customHeight="1">
      <c r="A1833" s="6" t="inlineStr">
        <is>
          <t>CUL-1829</t>
        </is>
      </c>
      <c r="B1833" s="5" t="n">
        <v>363</v>
      </c>
      <c r="C1833" s="7" t="inlineStr">
        <is>
          <t>Nº 22023</t>
        </is>
      </c>
      <c r="D1833" s="8" t="inlineStr">
        <is>
          <t>TEBUCONAZOLE 430 SINO-AGRI</t>
        </is>
      </c>
      <c r="E1833" s="7" t="inlineStr">
        <is>
          <t>Pulverização Agrícola Conforme Bula</t>
        </is>
      </c>
      <c r="F1833" s="7" t="inlineStr">
        <is>
          <t>Café</t>
        </is>
      </c>
      <c r="G1833" s="7" t="inlineStr">
        <is>
          <t>Cultura Autorizada na Bula</t>
        </is>
      </c>
      <c r="H1833" s="7" t="inlineStr">
        <is>
          <t>100 a 300 L/ha</t>
        </is>
      </c>
      <c r="I1833" s="7" t="inlineStr">
        <is>
          <t>20 a 40 L/ha</t>
        </is>
      </c>
      <c r="J1833" s="7" t="inlineStr">
        <is>
          <t>30 dias</t>
        </is>
      </c>
    </row>
    <row r="1834" ht="22" customHeight="1">
      <c r="A1834" s="12" t="inlineStr">
        <is>
          <t>CUL-1830</t>
        </is>
      </c>
      <c r="B1834" s="11" t="n">
        <v>363</v>
      </c>
      <c r="C1834" s="13" t="inlineStr">
        <is>
          <t>Nº 22023</t>
        </is>
      </c>
      <c r="D1834" s="14" t="inlineStr">
        <is>
          <t>TEBUCONAZOLE 430 SINO-AGRI</t>
        </is>
      </c>
      <c r="E1834" s="13" t="inlineStr">
        <is>
          <t>Pulverização Agrícola Conforme Bula</t>
        </is>
      </c>
      <c r="F1834" s="13" t="inlineStr">
        <is>
          <t>Feijão</t>
        </is>
      </c>
      <c r="G1834" s="13" t="inlineStr">
        <is>
          <t>Cultura Autorizada na Bula</t>
        </is>
      </c>
      <c r="H1834" s="13" t="inlineStr">
        <is>
          <t>100 a 300 L/ha</t>
        </is>
      </c>
      <c r="I1834" s="13" t="inlineStr">
        <is>
          <t>20 a 40 L/ha</t>
        </is>
      </c>
      <c r="J1834" s="13" t="inlineStr">
        <is>
          <t>14 dias</t>
        </is>
      </c>
    </row>
    <row r="1835" ht="22" customHeight="1">
      <c r="A1835" s="6" t="inlineStr">
        <is>
          <t>CUL-1831</t>
        </is>
      </c>
      <c r="B1835" s="5" t="n">
        <v>364</v>
      </c>
      <c r="C1835" s="7" t="inlineStr">
        <is>
          <t>Nº 0315</t>
        </is>
      </c>
      <c r="D1835" s="8" t="inlineStr">
        <is>
          <t>2-4 D AGCN</t>
        </is>
      </c>
      <c r="E1835" s="7" t="inlineStr">
        <is>
          <t>Pulverização Agrícola Conforme Bula</t>
        </is>
      </c>
      <c r="F1835" s="7" t="inlineStr">
        <is>
          <t>Soja (Dessecação Pré-Plantio)</t>
        </is>
      </c>
      <c r="G1835" s="7" t="inlineStr">
        <is>
          <t>Cultura Autorizada na Bula</t>
        </is>
      </c>
      <c r="H1835" s="7" t="inlineStr">
        <is>
          <t>100 a 300 L/ha</t>
        </is>
      </c>
      <c r="I1835" s="7" t="inlineStr">
        <is>
          <t>20 a 40 L/ha</t>
        </is>
      </c>
      <c r="J1835" s="7" t="inlineStr">
        <is>
          <t>N/D</t>
        </is>
      </c>
    </row>
    <row r="1836" ht="22" customHeight="1">
      <c r="A1836" s="12" t="inlineStr">
        <is>
          <t>CUL-1832</t>
        </is>
      </c>
      <c r="B1836" s="11" t="n">
        <v>364</v>
      </c>
      <c r="C1836" s="13" t="inlineStr">
        <is>
          <t>Nº 0315</t>
        </is>
      </c>
      <c r="D1836" s="14" t="inlineStr">
        <is>
          <t>2-4 D AGCN</t>
        </is>
      </c>
      <c r="E1836" s="13" t="inlineStr">
        <is>
          <t>Pulverização Agrícola Conforme Bula</t>
        </is>
      </c>
      <c r="F1836" s="13" t="inlineStr">
        <is>
          <t>Milho</t>
        </is>
      </c>
      <c r="G1836" s="13" t="inlineStr">
        <is>
          <t>Cultura Autorizada na Bula</t>
        </is>
      </c>
      <c r="H1836" s="13" t="inlineStr">
        <is>
          <t>100 a 300 L/ha</t>
        </is>
      </c>
      <c r="I1836" s="13" t="inlineStr">
        <is>
          <t>20 a 40 L/ha</t>
        </is>
      </c>
      <c r="J1836" s="13" t="inlineStr">
        <is>
          <t>40 dias</t>
        </is>
      </c>
    </row>
    <row r="1837" ht="22" customHeight="1">
      <c r="A1837" s="6" t="inlineStr">
        <is>
          <t>CUL-1833</t>
        </is>
      </c>
      <c r="B1837" s="5" t="n">
        <v>364</v>
      </c>
      <c r="C1837" s="7" t="inlineStr">
        <is>
          <t>Nº 0315</t>
        </is>
      </c>
      <c r="D1837" s="8" t="inlineStr">
        <is>
          <t>2-4 D AGCN</t>
        </is>
      </c>
      <c r="E1837" s="7" t="inlineStr">
        <is>
          <t>Pulverização Agrícola Conforme Bula</t>
        </is>
      </c>
      <c r="F1837" s="7" t="inlineStr">
        <is>
          <t>Cana-de-açúcar</t>
        </is>
      </c>
      <c r="G1837" s="7" t="inlineStr">
        <is>
          <t>Cultura Autorizada na Bula</t>
        </is>
      </c>
      <c r="H1837" s="7" t="inlineStr">
        <is>
          <t>100 a 300 L/ha</t>
        </is>
      </c>
      <c r="I1837" s="7" t="inlineStr">
        <is>
          <t>20 a 40 L/ha</t>
        </is>
      </c>
      <c r="J1837" s="7" t="inlineStr">
        <is>
          <t>N/D</t>
        </is>
      </c>
    </row>
    <row r="1838" ht="22" customHeight="1">
      <c r="A1838" s="12" t="inlineStr">
        <is>
          <t>CUL-1834</t>
        </is>
      </c>
      <c r="B1838" s="11" t="n">
        <v>364</v>
      </c>
      <c r="C1838" s="13" t="inlineStr">
        <is>
          <t>Nº 0315</t>
        </is>
      </c>
      <c r="D1838" s="14" t="inlineStr">
        <is>
          <t>2-4 D AGCN</t>
        </is>
      </c>
      <c r="E1838" s="13" t="inlineStr">
        <is>
          <t>Pulverização Agrícola Conforme Bula</t>
        </is>
      </c>
      <c r="F1838" s="13" t="inlineStr">
        <is>
          <t>Trigo</t>
        </is>
      </c>
      <c r="G1838" s="13" t="inlineStr">
        <is>
          <t>Cultura Autorizada na Bula</t>
        </is>
      </c>
      <c r="H1838" s="13" t="inlineStr">
        <is>
          <t>100 a 300 L/ha</t>
        </is>
      </c>
      <c r="I1838" s="13" t="inlineStr">
        <is>
          <t>20 a 40 L/ha</t>
        </is>
      </c>
      <c r="J1838" s="13" t="inlineStr">
        <is>
          <t>45 dias</t>
        </is>
      </c>
    </row>
    <row r="1839" ht="22" customHeight="1">
      <c r="A1839" s="6" t="inlineStr">
        <is>
          <t>CUL-1835</t>
        </is>
      </c>
      <c r="B1839" s="5" t="n">
        <v>364</v>
      </c>
      <c r="C1839" s="7" t="inlineStr">
        <is>
          <t>Nº 0315</t>
        </is>
      </c>
      <c r="D1839" s="8" t="inlineStr">
        <is>
          <t>2-4 D AGCN</t>
        </is>
      </c>
      <c r="E1839" s="7" t="inlineStr">
        <is>
          <t>Pulverização Agrícola Conforme Bula</t>
        </is>
      </c>
      <c r="F1839" s="7" t="inlineStr">
        <is>
          <t>Pastagens</t>
        </is>
      </c>
      <c r="G1839" s="7" t="inlineStr">
        <is>
          <t>Cultura Autorizada na Bula</t>
        </is>
      </c>
      <c r="H1839" s="7" t="inlineStr">
        <is>
          <t>100 a 300 L/ha</t>
        </is>
      </c>
      <c r="I1839" s="7" t="inlineStr">
        <is>
          <t>20 a 40 L/ha</t>
        </is>
      </c>
      <c r="J1839" s="7" t="inlineStr">
        <is>
          <t>N/D</t>
        </is>
      </c>
    </row>
    <row r="1840" ht="22" customHeight="1">
      <c r="A1840" s="12" t="inlineStr">
        <is>
          <t>CUL-1836</t>
        </is>
      </c>
      <c r="B1840" s="11" t="n">
        <v>365</v>
      </c>
      <c r="C1840" s="13" t="inlineStr">
        <is>
          <t>Nº 7124</t>
        </is>
      </c>
      <c r="D1840" s="14" t="inlineStr">
        <is>
          <t>OPTIBEX</t>
        </is>
      </c>
      <c r="E1840" s="13" t="inlineStr">
        <is>
          <t>Pulverização Agrícola Conforme Bula</t>
        </is>
      </c>
      <c r="F1840" s="13" t="inlineStr">
        <is>
          <t>Soja (Pré-Plantio / OGM)</t>
        </is>
      </c>
      <c r="G1840" s="13" t="inlineStr">
        <is>
          <t>Cultura Autorizada na Bula</t>
        </is>
      </c>
      <c r="H1840" s="13" t="inlineStr">
        <is>
          <t>100 a 300 L/ha</t>
        </is>
      </c>
      <c r="I1840" s="13" t="inlineStr">
        <is>
          <t>20 a 40 L/ha</t>
        </is>
      </c>
      <c r="J1840" s="13" t="inlineStr">
        <is>
          <t>60 dias</t>
        </is>
      </c>
    </row>
    <row r="1841" ht="22" customHeight="1">
      <c r="A1841" s="6" t="inlineStr">
        <is>
          <t>CUL-1837</t>
        </is>
      </c>
      <c r="B1841" s="5" t="n">
        <v>365</v>
      </c>
      <c r="C1841" s="7" t="inlineStr">
        <is>
          <t>Nº 7124</t>
        </is>
      </c>
      <c r="D1841" s="8" t="inlineStr">
        <is>
          <t>OPTIBEX</t>
        </is>
      </c>
      <c r="E1841" s="7" t="inlineStr">
        <is>
          <t>Pulverização Agrícola Conforme Bula</t>
        </is>
      </c>
      <c r="F1841" s="7" t="inlineStr">
        <is>
          <t>Milho (Pré-Plantio / OGM)</t>
        </is>
      </c>
      <c r="G1841" s="7" t="inlineStr">
        <is>
          <t>Cultura Autorizada na Bula</t>
        </is>
      </c>
      <c r="H1841" s="7" t="inlineStr">
        <is>
          <t>100 a 300 L/ha</t>
        </is>
      </c>
      <c r="I1841" s="7" t="inlineStr">
        <is>
          <t>20 a 40 L/ha</t>
        </is>
      </c>
      <c r="J1841" s="7" t="inlineStr">
        <is>
          <t>40 dias</t>
        </is>
      </c>
    </row>
    <row r="1842" ht="22" customHeight="1">
      <c r="A1842" s="12" t="inlineStr">
        <is>
          <t>CUL-1838</t>
        </is>
      </c>
      <c r="B1842" s="11" t="n">
        <v>365</v>
      </c>
      <c r="C1842" s="13" t="inlineStr">
        <is>
          <t>Nº 7124</t>
        </is>
      </c>
      <c r="D1842" s="14" t="inlineStr">
        <is>
          <t>OPTIBEX</t>
        </is>
      </c>
      <c r="E1842" s="13" t="inlineStr">
        <is>
          <t>Pulverização Agrícola Conforme Bula</t>
        </is>
      </c>
      <c r="F1842" s="13" t="inlineStr">
        <is>
          <t>Algodão (Pré-Plantio / OGM / Desfolha)</t>
        </is>
      </c>
      <c r="G1842" s="13" t="inlineStr">
        <is>
          <t>Cultura Autorizada na Bula</t>
        </is>
      </c>
      <c r="H1842" s="13" t="inlineStr">
        <is>
          <t>100 a 300 L/ha</t>
        </is>
      </c>
      <c r="I1842" s="13" t="inlineStr">
        <is>
          <t>20 a 40 L/ha</t>
        </is>
      </c>
      <c r="J1842" s="13" t="inlineStr">
        <is>
          <t>15 dias</t>
        </is>
      </c>
    </row>
    <row r="1843" ht="22" customHeight="1">
      <c r="A1843" s="6" t="inlineStr">
        <is>
          <t>CUL-1839</t>
        </is>
      </c>
      <c r="B1843" s="5" t="n">
        <v>365</v>
      </c>
      <c r="C1843" s="7" t="inlineStr">
        <is>
          <t>Nº 7124</t>
        </is>
      </c>
      <c r="D1843" s="8" t="inlineStr">
        <is>
          <t>OPTIBEX</t>
        </is>
      </c>
      <c r="E1843" s="7" t="inlineStr">
        <is>
          <t>Pulverização Agrícola Conforme Bula</t>
        </is>
      </c>
      <c r="F1843" s="7" t="inlineStr">
        <is>
          <t>Café (Jato Dirigido)</t>
        </is>
      </c>
      <c r="G1843" s="7" t="inlineStr">
        <is>
          <t>Cultura Autorizada na Bula</t>
        </is>
      </c>
      <c r="H1843" s="7" t="inlineStr">
        <is>
          <t>100 a 300 L/ha</t>
        </is>
      </c>
      <c r="I1843" s="7" t="inlineStr">
        <is>
          <t>20 a 40 L/ha</t>
        </is>
      </c>
      <c r="J1843" s="7" t="inlineStr">
        <is>
          <t>20 dias</t>
        </is>
      </c>
    </row>
    <row r="1844" ht="22" customHeight="1">
      <c r="A1844" s="12" t="inlineStr">
        <is>
          <t>CUL-1840</t>
        </is>
      </c>
      <c r="B1844" s="11" t="n">
        <v>365</v>
      </c>
      <c r="C1844" s="13" t="inlineStr">
        <is>
          <t>Nº 7124</t>
        </is>
      </c>
      <c r="D1844" s="14" t="inlineStr">
        <is>
          <t>OPTIBEX</t>
        </is>
      </c>
      <c r="E1844" s="13" t="inlineStr">
        <is>
          <t>Pulverização Agrícola Conforme Bula</t>
        </is>
      </c>
      <c r="F1844" s="13" t="inlineStr">
        <is>
          <t>Citros (Jato Dirigido)</t>
        </is>
      </c>
      <c r="G1844" s="13" t="inlineStr">
        <is>
          <t>Cultura Autorizada na Bula</t>
        </is>
      </c>
      <c r="H1844" s="13" t="inlineStr">
        <is>
          <t>100 a 300 L/ha</t>
        </is>
      </c>
      <c r="I1844" s="13" t="inlineStr">
        <is>
          <t>20 a 40 L/ha</t>
        </is>
      </c>
      <c r="J1844" s="13" t="inlineStr">
        <is>
          <t>40 dias</t>
        </is>
      </c>
    </row>
    <row r="1845" ht="22" customHeight="1">
      <c r="A1845" s="6" t="inlineStr">
        <is>
          <t>CUL-1841</t>
        </is>
      </c>
      <c r="B1845" s="5" t="n">
        <v>365</v>
      </c>
      <c r="C1845" s="7" t="inlineStr">
        <is>
          <t>Nº 7124</t>
        </is>
      </c>
      <c r="D1845" s="8" t="inlineStr">
        <is>
          <t>OPTIBEX</t>
        </is>
      </c>
      <c r="E1845" s="7" t="inlineStr">
        <is>
          <t>Pulverização Agrícola Conforme Bula</t>
        </is>
      </c>
      <c r="F1845" s="7" t="inlineStr">
        <is>
          <t>Trigo</t>
        </is>
      </c>
      <c r="G1845" s="7" t="inlineStr">
        <is>
          <t>Cultura Autorizada na Bula</t>
        </is>
      </c>
      <c r="H1845" s="7" t="inlineStr">
        <is>
          <t>100 a 300 L/ha</t>
        </is>
      </c>
      <c r="I1845" s="7" t="inlineStr">
        <is>
          <t>20 a 40 L/ha</t>
        </is>
      </c>
      <c r="J1845" s="7" t="inlineStr">
        <is>
          <t>N/D</t>
        </is>
      </c>
    </row>
    <row r="1846" ht="22" customHeight="1">
      <c r="A1846" s="12" t="inlineStr">
        <is>
          <t>CUL-1842</t>
        </is>
      </c>
      <c r="B1846" s="11" t="n">
        <v>366</v>
      </c>
      <c r="C1846" s="13" t="inlineStr">
        <is>
          <t>Nº 34621</t>
        </is>
      </c>
      <c r="D1846" s="14" t="inlineStr">
        <is>
          <t>RATEIO 200 SL</t>
        </is>
      </c>
      <c r="E1846" s="13" t="inlineStr">
        <is>
          <t>Pulverização Agrícola Conforme Bula</t>
        </is>
      </c>
      <c r="F1846" s="13" t="inlineStr">
        <is>
          <t>Soja (Dessecação Pré-Colheita e Pré-Plantio)</t>
        </is>
      </c>
      <c r="G1846" s="13" t="inlineStr">
        <is>
          <t>Cultura Autorizada na Bula</t>
        </is>
      </c>
      <c r="H1846" s="13" t="inlineStr">
        <is>
          <t>100 a 300 L/ha</t>
        </is>
      </c>
      <c r="I1846" s="13" t="inlineStr">
        <is>
          <t>20 a 40 L/ha</t>
        </is>
      </c>
      <c r="J1846" s="13" t="inlineStr">
        <is>
          <t>7 dias</t>
        </is>
      </c>
    </row>
    <row r="1847" ht="22" customHeight="1">
      <c r="A1847" s="6" t="inlineStr">
        <is>
          <t>CUL-1843</t>
        </is>
      </c>
      <c r="B1847" s="5" t="n">
        <v>366</v>
      </c>
      <c r="C1847" s="7" t="inlineStr">
        <is>
          <t>Nº 34621</t>
        </is>
      </c>
      <c r="D1847" s="8" t="inlineStr">
        <is>
          <t>RATEIO 200 SL</t>
        </is>
      </c>
      <c r="E1847" s="7" t="inlineStr">
        <is>
          <t>Pulverização Agrícola Conforme Bula</t>
        </is>
      </c>
      <c r="F1847" s="7" t="inlineStr">
        <is>
          <t>Feijão (Dessecação Pré-Colheita)</t>
        </is>
      </c>
      <c r="G1847" s="7" t="inlineStr">
        <is>
          <t>Cultura Autorizada na Bula</t>
        </is>
      </c>
      <c r="H1847" s="7" t="inlineStr">
        <is>
          <t>100 a 300 L/ha</t>
        </is>
      </c>
      <c r="I1847" s="7" t="inlineStr">
        <is>
          <t>20 a 40 L/ha</t>
        </is>
      </c>
      <c r="J1847" s="7" t="inlineStr">
        <is>
          <t>7 dias</t>
        </is>
      </c>
    </row>
    <row r="1848" ht="22" customHeight="1">
      <c r="A1848" s="12" t="inlineStr">
        <is>
          <t>CUL-1844</t>
        </is>
      </c>
      <c r="B1848" s="11" t="n">
        <v>366</v>
      </c>
      <c r="C1848" s="13" t="inlineStr">
        <is>
          <t>Nº 34621</t>
        </is>
      </c>
      <c r="D1848" s="14" t="inlineStr">
        <is>
          <t>RATEIO 200 SL</t>
        </is>
      </c>
      <c r="E1848" s="13" t="inlineStr">
        <is>
          <t>Pulverização Agrícola Conforme Bula</t>
        </is>
      </c>
      <c r="F1848" s="13" t="inlineStr">
        <is>
          <t>Algodão</t>
        </is>
      </c>
      <c r="G1848" s="13" t="inlineStr">
        <is>
          <t>Cultura Autorizada na Bula</t>
        </is>
      </c>
      <c r="H1848" s="13" t="inlineStr">
        <is>
          <t>100 a 300 L/ha</t>
        </is>
      </c>
      <c r="I1848" s="13" t="inlineStr">
        <is>
          <t>20 a 40 L/ha</t>
        </is>
      </c>
      <c r="J1848" s="13" t="inlineStr">
        <is>
          <t>7 dias</t>
        </is>
      </c>
    </row>
    <row r="1849" ht="22" customHeight="1">
      <c r="A1849" s="6" t="inlineStr">
        <is>
          <t>CUL-1845</t>
        </is>
      </c>
      <c r="B1849" s="5" t="n">
        <v>366</v>
      </c>
      <c r="C1849" s="7" t="inlineStr">
        <is>
          <t>Nº 34621</t>
        </is>
      </c>
      <c r="D1849" s="8" t="inlineStr">
        <is>
          <t>RATEIO 200 SL</t>
        </is>
      </c>
      <c r="E1849" s="7" t="inlineStr">
        <is>
          <t>Pulverização Agrícola Conforme Bula</t>
        </is>
      </c>
      <c r="F1849" s="7" t="inlineStr">
        <is>
          <t>Batata</t>
        </is>
      </c>
      <c r="G1849" s="7" t="inlineStr">
        <is>
          <t>Cultura Autorizada na Bula</t>
        </is>
      </c>
      <c r="H1849" s="7" t="inlineStr">
        <is>
          <t>100 a 300 L/ha</t>
        </is>
      </c>
      <c r="I1849" s="7" t="inlineStr">
        <is>
          <t>20 a 40 L/ha</t>
        </is>
      </c>
      <c r="J1849" s="7" t="inlineStr">
        <is>
          <t>7 dias</t>
        </is>
      </c>
    </row>
    <row r="1850" ht="22" customHeight="1">
      <c r="A1850" s="12" t="inlineStr">
        <is>
          <t>CUL-1846</t>
        </is>
      </c>
      <c r="B1850" s="11" t="n">
        <v>366</v>
      </c>
      <c r="C1850" s="13" t="inlineStr">
        <is>
          <t>Nº 34621</t>
        </is>
      </c>
      <c r="D1850" s="14" t="inlineStr">
        <is>
          <t>RATEIO 200 SL</t>
        </is>
      </c>
      <c r="E1850" s="13" t="inlineStr">
        <is>
          <t>Pulverização Agrícola Conforme Bula</t>
        </is>
      </c>
      <c r="F1850" s="13" t="inlineStr">
        <is>
          <t>Milho (Pré-Plantio)</t>
        </is>
      </c>
      <c r="G1850" s="13" t="inlineStr">
        <is>
          <t>Cultura Autorizada na Bula</t>
        </is>
      </c>
      <c r="H1850" s="13" t="inlineStr">
        <is>
          <t>100 a 300 L/ha</t>
        </is>
      </c>
      <c r="I1850" s="13" t="inlineStr">
        <is>
          <t>20 a 40 L/ha</t>
        </is>
      </c>
      <c r="J1850" s="13" t="inlineStr">
        <is>
          <t>N/D</t>
        </is>
      </c>
    </row>
    <row r="1851" ht="22" customHeight="1">
      <c r="A1851" s="6" t="inlineStr">
        <is>
          <t>CUL-1847</t>
        </is>
      </c>
      <c r="B1851" s="5" t="n">
        <v>367</v>
      </c>
      <c r="C1851" s="7" t="inlineStr">
        <is>
          <t>SIPEAGRO (UF-XXXXX)</t>
        </is>
      </c>
      <c r="D1851" s="8" t="inlineStr">
        <is>
          <t>CLORETO DE POTASSIO 000060 1.000KG</t>
        </is>
      </c>
      <c r="E1851" s="7" t="inlineStr">
        <is>
          <t>Adubação de Solo / Foliar</t>
        </is>
      </c>
      <c r="F1851" s="7" t="inlineStr">
        <is>
          <t>Soja</t>
        </is>
      </c>
      <c r="G1851" s="7" t="inlineStr">
        <is>
          <t>Cultura Autorizada na Bula</t>
        </is>
      </c>
      <c r="H1851" s="7" t="inlineStr">
        <is>
          <t>100 a 300 L/ha</t>
        </is>
      </c>
      <c r="I1851" s="7" t="inlineStr">
        <is>
          <t>20 a 40 L/ha</t>
        </is>
      </c>
      <c r="J1851" s="7" t="inlineStr">
        <is>
          <t>Isento</t>
        </is>
      </c>
    </row>
    <row r="1852" ht="22" customHeight="1">
      <c r="A1852" s="12" t="inlineStr">
        <is>
          <t>CUL-1848</t>
        </is>
      </c>
      <c r="B1852" s="11" t="n">
        <v>367</v>
      </c>
      <c r="C1852" s="13" t="inlineStr">
        <is>
          <t>SIPEAGRO (UF-XXXXX)</t>
        </is>
      </c>
      <c r="D1852" s="14" t="inlineStr">
        <is>
          <t>CLORETO DE POTASSIO 000060 1.000KG</t>
        </is>
      </c>
      <c r="E1852" s="13" t="inlineStr">
        <is>
          <t>Adubação de Solo / Foliar</t>
        </is>
      </c>
      <c r="F1852" s="13" t="inlineStr">
        <is>
          <t>Milho</t>
        </is>
      </c>
      <c r="G1852" s="13" t="inlineStr">
        <is>
          <t>Cultura Autorizada na Bula</t>
        </is>
      </c>
      <c r="H1852" s="13" t="inlineStr">
        <is>
          <t>100 a 300 L/ha</t>
        </is>
      </c>
      <c r="I1852" s="13" t="inlineStr">
        <is>
          <t>20 a 40 L/ha</t>
        </is>
      </c>
      <c r="J1852" s="13" t="inlineStr">
        <is>
          <t>Isento</t>
        </is>
      </c>
    </row>
    <row r="1853" ht="22" customHeight="1">
      <c r="A1853" s="6" t="inlineStr">
        <is>
          <t>CUL-1849</t>
        </is>
      </c>
      <c r="B1853" s="5" t="n">
        <v>367</v>
      </c>
      <c r="C1853" s="7" t="inlineStr">
        <is>
          <t>SIPEAGRO (UF-XXXXX)</t>
        </is>
      </c>
      <c r="D1853" s="8" t="inlineStr">
        <is>
          <t>CLORETO DE POTASSIO 000060 1.000KG</t>
        </is>
      </c>
      <c r="E1853" s="7" t="inlineStr">
        <is>
          <t>Adubação de Solo / Foliar</t>
        </is>
      </c>
      <c r="F1853" s="7" t="inlineStr">
        <is>
          <t>Algodão</t>
        </is>
      </c>
      <c r="G1853" s="7" t="inlineStr">
        <is>
          <t>Cultura Autorizada na Bula</t>
        </is>
      </c>
      <c r="H1853" s="7" t="inlineStr">
        <is>
          <t>100 a 300 L/ha</t>
        </is>
      </c>
      <c r="I1853" s="7" t="inlineStr">
        <is>
          <t>20 a 40 L/ha</t>
        </is>
      </c>
      <c r="J1853" s="7" t="inlineStr">
        <is>
          <t>Isento</t>
        </is>
      </c>
    </row>
    <row r="1854" ht="22" customHeight="1">
      <c r="A1854" s="12" t="inlineStr">
        <is>
          <t>CUL-1850</t>
        </is>
      </c>
      <c r="B1854" s="11" t="n">
        <v>367</v>
      </c>
      <c r="C1854" s="13" t="inlineStr">
        <is>
          <t>SIPEAGRO (UF-XXXXX)</t>
        </is>
      </c>
      <c r="D1854" s="14" t="inlineStr">
        <is>
          <t>CLORETO DE POTASSIO 000060 1.000KG</t>
        </is>
      </c>
      <c r="E1854" s="13" t="inlineStr">
        <is>
          <t>Adubação de Solo / Foliar</t>
        </is>
      </c>
      <c r="F1854" s="13" t="inlineStr">
        <is>
          <t>Cana-de-açúcar</t>
        </is>
      </c>
      <c r="G1854" s="13" t="inlineStr">
        <is>
          <t>Cultura Autorizada na Bula</t>
        </is>
      </c>
      <c r="H1854" s="13" t="inlineStr">
        <is>
          <t>100 a 300 L/ha</t>
        </is>
      </c>
      <c r="I1854" s="13" t="inlineStr">
        <is>
          <t>20 a 40 L/ha</t>
        </is>
      </c>
      <c r="J1854" s="13" t="inlineStr">
        <is>
          <t>Isento</t>
        </is>
      </c>
    </row>
    <row r="1855" ht="22" customHeight="1">
      <c r="A1855" s="6" t="inlineStr">
        <is>
          <t>CUL-1851</t>
        </is>
      </c>
      <c r="B1855" s="5" t="n">
        <v>367</v>
      </c>
      <c r="C1855" s="7" t="inlineStr">
        <is>
          <t>SIPEAGRO (UF-XXXXX)</t>
        </is>
      </c>
      <c r="D1855" s="8" t="inlineStr">
        <is>
          <t>CLORETO DE POTASSIO 000060 1.000KG</t>
        </is>
      </c>
      <c r="E1855" s="7" t="inlineStr">
        <is>
          <t>Adubação de Solo / Foliar</t>
        </is>
      </c>
      <c r="F1855" s="7" t="inlineStr">
        <is>
          <t>Café</t>
        </is>
      </c>
      <c r="G1855" s="7" t="inlineStr">
        <is>
          <t>Cultura Autorizada na Bula</t>
        </is>
      </c>
      <c r="H1855" s="7" t="inlineStr">
        <is>
          <t>100 a 300 L/ha</t>
        </is>
      </c>
      <c r="I1855" s="7" t="inlineStr">
        <is>
          <t>20 a 40 L/ha</t>
        </is>
      </c>
      <c r="J1855" s="7" t="inlineStr">
        <is>
          <t>Isento</t>
        </is>
      </c>
    </row>
    <row r="1856" ht="22" customHeight="1">
      <c r="A1856" s="12" t="inlineStr">
        <is>
          <t>CUL-1852</t>
        </is>
      </c>
      <c r="B1856" s="11" t="n">
        <v>368</v>
      </c>
      <c r="C1856" s="13" t="inlineStr">
        <is>
          <t>VINCULAR MARCA</t>
        </is>
      </c>
      <c r="D1856" s="14" t="inlineStr">
        <is>
          <t>ABAMECTINA 600 (PRINCIPIO ATIVO)</t>
        </is>
      </c>
      <c r="E1856" s="13" t="inlineStr">
        <is>
          <t>Uso Exclusivamente Industrial (Formulação)</t>
        </is>
      </c>
      <c r="F1856" s="13" t="inlineStr">
        <is>
          <t>Não Aplicável (Proibido uso direto na lavoura)</t>
        </is>
      </c>
      <c r="G1856" s="13" t="inlineStr">
        <is>
          <t>Insumo Industrial</t>
        </is>
      </c>
      <c r="H1856" s="13" t="inlineStr">
        <is>
          <t>N/A</t>
        </is>
      </c>
      <c r="I1856" s="13" t="inlineStr">
        <is>
          <t>N/A</t>
        </is>
      </c>
      <c r="J1856" s="13" t="inlineStr">
        <is>
          <t>N/A (Insumo Industrial)</t>
        </is>
      </c>
    </row>
    <row r="1857" ht="22" customHeight="1">
      <c r="A1857" s="6" t="inlineStr">
        <is>
          <t>CUL-1853</t>
        </is>
      </c>
      <c r="B1857" s="5" t="n">
        <v>369</v>
      </c>
      <c r="C1857" s="7" t="inlineStr">
        <is>
          <t>Nº 0120</t>
        </is>
      </c>
      <c r="D1857" s="8" t="inlineStr">
        <is>
          <t>GLUFOSINATO 200 (PRINCIPIO ATIVO)</t>
        </is>
      </c>
      <c r="E1857" s="7" t="inlineStr">
        <is>
          <t>Uso Exclusivamente Industrial (Formulação)</t>
        </is>
      </c>
      <c r="F1857" s="7" t="inlineStr">
        <is>
          <t>Não Aplicável (Proibido uso direto na lavoura)</t>
        </is>
      </c>
      <c r="G1857" s="7" t="inlineStr">
        <is>
          <t>Insumo Industrial</t>
        </is>
      </c>
      <c r="H1857" s="7" t="inlineStr">
        <is>
          <t>N/A</t>
        </is>
      </c>
      <c r="I1857" s="7" t="inlineStr">
        <is>
          <t>N/A</t>
        </is>
      </c>
      <c r="J1857" s="7" t="inlineStr">
        <is>
          <t>N/A (Insumo Industrial)</t>
        </is>
      </c>
    </row>
    <row r="1858" ht="22" customHeight="1">
      <c r="A1858" s="12" t="inlineStr">
        <is>
          <t>CUL-1854</t>
        </is>
      </c>
      <c r="B1858" s="11" t="n">
        <v>370</v>
      </c>
      <c r="C1858" s="13" t="inlineStr">
        <is>
          <t>Nº 36419</t>
        </is>
      </c>
      <c r="D1858" s="14" t="inlineStr">
        <is>
          <t>PIRIPROXIFEM 100 (PRINCIPIO ATIVO)</t>
        </is>
      </c>
      <c r="E1858" s="13" t="inlineStr">
        <is>
          <t>Uso Exclusivamente Industrial (Formulação)</t>
        </is>
      </c>
      <c r="F1858" s="13" t="inlineStr">
        <is>
          <t>Não Aplicável (Proibido uso direto na lavoura)</t>
        </is>
      </c>
      <c r="G1858" s="13" t="inlineStr">
        <is>
          <t>Insumo Industrial</t>
        </is>
      </c>
      <c r="H1858" s="13" t="inlineStr">
        <is>
          <t>N/A</t>
        </is>
      </c>
      <c r="I1858" s="13" t="inlineStr">
        <is>
          <t>N/A</t>
        </is>
      </c>
      <c r="J1858" s="13" t="inlineStr">
        <is>
          <t>N/A (Insumo Industrial)</t>
        </is>
      </c>
    </row>
    <row r="1859" ht="22" customHeight="1">
      <c r="A1859" s="6" t="inlineStr">
        <is>
          <t>CUL-1855</t>
        </is>
      </c>
      <c r="B1859" s="5" t="n">
        <v>371</v>
      </c>
      <c r="C1859" s="7" t="inlineStr">
        <is>
          <t>Nº 26322</t>
        </is>
      </c>
      <c r="D1859" s="8" t="inlineStr">
        <is>
          <t>FIPRONIL 800 WG YONON</t>
        </is>
      </c>
      <c r="E1859" s="7" t="inlineStr">
        <is>
          <t>Pulverização Agrícola Conforme Bula</t>
        </is>
      </c>
      <c r="F1859" s="7" t="inlineStr">
        <is>
          <t>Soja (Trat. Sementes / Sulco)</t>
        </is>
      </c>
      <c r="G1859" s="7" t="inlineStr">
        <is>
          <t>Cultura Autorizada na Bula</t>
        </is>
      </c>
      <c r="H1859" s="7" t="inlineStr">
        <is>
          <t>100 a 300 L/ha</t>
        </is>
      </c>
      <c r="I1859" s="7" t="inlineStr">
        <is>
          <t>20 a 40 L/ha</t>
        </is>
      </c>
      <c r="J1859" s="7" t="inlineStr">
        <is>
          <t>N/D</t>
        </is>
      </c>
    </row>
    <row r="1860" ht="22" customHeight="1">
      <c r="A1860" s="12" t="inlineStr">
        <is>
          <t>CUL-1856</t>
        </is>
      </c>
      <c r="B1860" s="11" t="n">
        <v>371</v>
      </c>
      <c r="C1860" s="13" t="inlineStr">
        <is>
          <t>Nº 26322</t>
        </is>
      </c>
      <c r="D1860" s="14" t="inlineStr">
        <is>
          <t>FIPRONIL 800 WG YONON</t>
        </is>
      </c>
      <c r="E1860" s="13" t="inlineStr">
        <is>
          <t>Pulverização Agrícola Conforme Bula</t>
        </is>
      </c>
      <c r="F1860" s="13" t="inlineStr">
        <is>
          <t>Milho (Trat. Sementes)</t>
        </is>
      </c>
      <c r="G1860" s="13" t="inlineStr">
        <is>
          <t>Cultura Autorizada na Bula</t>
        </is>
      </c>
      <c r="H1860" s="13" t="inlineStr">
        <is>
          <t>100 a 300 L/ha</t>
        </is>
      </c>
      <c r="I1860" s="13" t="inlineStr">
        <is>
          <t>20 a 40 L/ha</t>
        </is>
      </c>
      <c r="J1860" s="13" t="inlineStr">
        <is>
          <t>N/D</t>
        </is>
      </c>
    </row>
    <row r="1861" ht="22" customHeight="1">
      <c r="A1861" s="6" t="inlineStr">
        <is>
          <t>CUL-1857</t>
        </is>
      </c>
      <c r="B1861" s="5" t="n">
        <v>371</v>
      </c>
      <c r="C1861" s="7" t="inlineStr">
        <is>
          <t>Nº 26322</t>
        </is>
      </c>
      <c r="D1861" s="8" t="inlineStr">
        <is>
          <t>FIPRONIL 800 WG YONON</t>
        </is>
      </c>
      <c r="E1861" s="7" t="inlineStr">
        <is>
          <t>Pulverização Agrícola Conforme Bula</t>
        </is>
      </c>
      <c r="F1861" s="7" t="inlineStr">
        <is>
          <t>Algodão</t>
        </is>
      </c>
      <c r="G1861" s="7" t="inlineStr">
        <is>
          <t>Cultura Autorizada na Bula</t>
        </is>
      </c>
      <c r="H1861" s="7" t="inlineStr">
        <is>
          <t>100 a 300 L/ha</t>
        </is>
      </c>
      <c r="I1861" s="7" t="inlineStr">
        <is>
          <t>20 a 40 L/ha</t>
        </is>
      </c>
      <c r="J1861" s="7" t="inlineStr">
        <is>
          <t>N/D</t>
        </is>
      </c>
    </row>
    <row r="1862" ht="22" customHeight="1">
      <c r="A1862" s="12" t="inlineStr">
        <is>
          <t>CUL-1858</t>
        </is>
      </c>
      <c r="B1862" s="11" t="n">
        <v>371</v>
      </c>
      <c r="C1862" s="13" t="inlineStr">
        <is>
          <t>Nº 26322</t>
        </is>
      </c>
      <c r="D1862" s="14" t="inlineStr">
        <is>
          <t>FIPRONIL 800 WG YONON</t>
        </is>
      </c>
      <c r="E1862" s="13" t="inlineStr">
        <is>
          <t>Pulverização Agrícola Conforme Bula</t>
        </is>
      </c>
      <c r="F1862" s="13" t="inlineStr">
        <is>
          <t>Cana-de-açúcar (Sulco)</t>
        </is>
      </c>
      <c r="G1862" s="13" t="inlineStr">
        <is>
          <t>Cultura Autorizada na Bula</t>
        </is>
      </c>
      <c r="H1862" s="13" t="inlineStr">
        <is>
          <t>100 a 300 L/ha</t>
        </is>
      </c>
      <c r="I1862" s="13" t="inlineStr">
        <is>
          <t>20 a 40 L/ha</t>
        </is>
      </c>
      <c r="J1862" s="13" t="inlineStr">
        <is>
          <t>N/D</t>
        </is>
      </c>
    </row>
    <row r="1863" ht="22" customHeight="1">
      <c r="A1863" s="6" t="inlineStr">
        <is>
          <t>CUL-1859</t>
        </is>
      </c>
      <c r="B1863" s="5" t="n">
        <v>371</v>
      </c>
      <c r="C1863" s="7" t="inlineStr">
        <is>
          <t>Nº 26322</t>
        </is>
      </c>
      <c r="D1863" s="8" t="inlineStr">
        <is>
          <t>FIPRONIL 800 WG YONON</t>
        </is>
      </c>
      <c r="E1863" s="7" t="inlineStr">
        <is>
          <t>Pulverização Agrícola Conforme Bula</t>
        </is>
      </c>
      <c r="F1863" s="7" t="inlineStr">
        <is>
          <t>Arroz</t>
        </is>
      </c>
      <c r="G1863" s="7" t="inlineStr">
        <is>
          <t>Cultura Autorizada na Bula</t>
        </is>
      </c>
      <c r="H1863" s="7" t="inlineStr">
        <is>
          <t>100 a 300 L/ha</t>
        </is>
      </c>
      <c r="I1863" s="7" t="inlineStr">
        <is>
          <t>20 a 40 L/ha</t>
        </is>
      </c>
      <c r="J1863" s="7" t="inlineStr">
        <is>
          <t>N/D</t>
        </is>
      </c>
    </row>
    <row r="1864" ht="22" customHeight="1">
      <c r="A1864" s="12" t="inlineStr">
        <is>
          <t>CUL-1860</t>
        </is>
      </c>
      <c r="B1864" s="11" t="n">
        <v>371</v>
      </c>
      <c r="C1864" s="13" t="inlineStr">
        <is>
          <t>Nº 26322</t>
        </is>
      </c>
      <c r="D1864" s="14" t="inlineStr">
        <is>
          <t>FIPRONIL 800 WG YONON</t>
        </is>
      </c>
      <c r="E1864" s="13" t="inlineStr">
        <is>
          <t>Pulverização Agrícola Conforme Bula</t>
        </is>
      </c>
      <c r="F1864" s="13" t="inlineStr">
        <is>
          <t>Feijão</t>
        </is>
      </c>
      <c r="G1864" s="13" t="inlineStr">
        <is>
          <t>Cultura Autorizada na Bula</t>
        </is>
      </c>
      <c r="H1864" s="13" t="inlineStr">
        <is>
          <t>100 a 300 L/ha</t>
        </is>
      </c>
      <c r="I1864" s="13" t="inlineStr">
        <is>
          <t>20 a 40 L/ha</t>
        </is>
      </c>
      <c r="J1864" s="13" t="inlineStr">
        <is>
          <t>N/D</t>
        </is>
      </c>
    </row>
    <row r="1865" ht="22" customHeight="1">
      <c r="A1865" s="6" t="inlineStr">
        <is>
          <t>CUL-1861</t>
        </is>
      </c>
      <c r="B1865" s="5" t="n">
        <v>371</v>
      </c>
      <c r="C1865" s="7" t="inlineStr">
        <is>
          <t>Nº 26322</t>
        </is>
      </c>
      <c r="D1865" s="8" t="inlineStr">
        <is>
          <t>FIPRONIL 800 WG YONON</t>
        </is>
      </c>
      <c r="E1865" s="7" t="inlineStr">
        <is>
          <t>Pulverização Agrícola Conforme Bula</t>
        </is>
      </c>
      <c r="F1865" s="7" t="inlineStr">
        <is>
          <t>Pastagens</t>
        </is>
      </c>
      <c r="G1865" s="7" t="inlineStr">
        <is>
          <t>Cultura Autorizada na Bula</t>
        </is>
      </c>
      <c r="H1865" s="7" t="inlineStr">
        <is>
          <t>100 a 300 L/ha</t>
        </is>
      </c>
      <c r="I1865" s="7" t="inlineStr">
        <is>
          <t>20 a 40 L/ha</t>
        </is>
      </c>
      <c r="J1865" s="7" t="inlineStr">
        <is>
          <t>N/D</t>
        </is>
      </c>
    </row>
    <row r="1866" ht="22" customHeight="1">
      <c r="A1866" s="12" t="inlineStr">
        <is>
          <t>CUL-1862</t>
        </is>
      </c>
      <c r="B1866" s="11" t="n">
        <v>371</v>
      </c>
      <c r="C1866" s="13" t="inlineStr">
        <is>
          <t>Nº 26322</t>
        </is>
      </c>
      <c r="D1866" s="14" t="inlineStr">
        <is>
          <t>FIPRONIL 800 WG YONON</t>
        </is>
      </c>
      <c r="E1866" s="13" t="inlineStr">
        <is>
          <t>Pulverização Agrícola Conforme Bula</t>
        </is>
      </c>
      <c r="F1866" s="13" t="inlineStr">
        <is>
          <t>Trigo</t>
        </is>
      </c>
      <c r="G1866" s="13" t="inlineStr">
        <is>
          <t>Cultura Autorizada na Bula</t>
        </is>
      </c>
      <c r="H1866" s="13" t="inlineStr">
        <is>
          <t>100 a 300 L/ha</t>
        </is>
      </c>
      <c r="I1866" s="13" t="inlineStr">
        <is>
          <t>20 a 40 L/ha</t>
        </is>
      </c>
      <c r="J1866" s="13" t="inlineStr">
        <is>
          <t>N/D</t>
        </is>
      </c>
    </row>
    <row r="1867" ht="22" customHeight="1">
      <c r="A1867" s="6" t="inlineStr">
        <is>
          <t>CUL-1863</t>
        </is>
      </c>
      <c r="B1867" s="5" t="n">
        <v>372</v>
      </c>
      <c r="C1867" s="7" t="inlineStr">
        <is>
          <t>Nº 1522</t>
        </is>
      </c>
      <c r="D1867" s="8" t="inlineStr">
        <is>
          <t>ADVER</t>
        </is>
      </c>
      <c r="E1867" s="7" t="inlineStr">
        <is>
          <t>Pulverização Agrícola Conforme Bula</t>
        </is>
      </c>
      <c r="F1867" s="7" t="inlineStr">
        <is>
          <t>Soja</t>
        </is>
      </c>
      <c r="G1867" s="7" t="inlineStr">
        <is>
          <t>Cultura Autorizada na Bula</t>
        </is>
      </c>
      <c r="H1867" s="7" t="inlineStr">
        <is>
          <t>100 a 300 L/ha</t>
        </is>
      </c>
      <c r="I1867" s="7" t="inlineStr">
        <is>
          <t>20 a 40 L/ha</t>
        </is>
      </c>
      <c r="J1867" s="7" t="inlineStr">
        <is>
          <t>14 dias</t>
        </is>
      </c>
    </row>
    <row r="1868" ht="22" customHeight="1">
      <c r="A1868" s="12" t="inlineStr">
        <is>
          <t>CUL-1864</t>
        </is>
      </c>
      <c r="B1868" s="11" t="n">
        <v>372</v>
      </c>
      <c r="C1868" s="13" t="inlineStr">
        <is>
          <t>Nº 1522</t>
        </is>
      </c>
      <c r="D1868" s="14" t="inlineStr">
        <is>
          <t>ADVER</t>
        </is>
      </c>
      <c r="E1868" s="13" t="inlineStr">
        <is>
          <t>Pulverização Agrícola Conforme Bula</t>
        </is>
      </c>
      <c r="F1868" s="13" t="inlineStr">
        <is>
          <t>Milho</t>
        </is>
      </c>
      <c r="G1868" s="13" t="inlineStr">
        <is>
          <t>Cultura Autorizada na Bula</t>
        </is>
      </c>
      <c r="H1868" s="13" t="inlineStr">
        <is>
          <t>100 a 300 L/ha</t>
        </is>
      </c>
      <c r="I1868" s="13" t="inlineStr">
        <is>
          <t>20 a 40 L/ha</t>
        </is>
      </c>
      <c r="J1868" s="13" t="inlineStr">
        <is>
          <t>14 dias</t>
        </is>
      </c>
    </row>
    <row r="1869" ht="22" customHeight="1">
      <c r="A1869" s="6" t="inlineStr">
        <is>
          <t>CUL-1865</t>
        </is>
      </c>
      <c r="B1869" s="5" t="n">
        <v>372</v>
      </c>
      <c r="C1869" s="7" t="inlineStr">
        <is>
          <t>Nº 1522</t>
        </is>
      </c>
      <c r="D1869" s="8" t="inlineStr">
        <is>
          <t>ADVER</t>
        </is>
      </c>
      <c r="E1869" s="7" t="inlineStr">
        <is>
          <t>Pulverização Agrícola Conforme Bula</t>
        </is>
      </c>
      <c r="F1869" s="7" t="inlineStr">
        <is>
          <t>Algodão</t>
        </is>
      </c>
      <c r="G1869" s="7" t="inlineStr">
        <is>
          <t>Cultura Autorizada na Bula</t>
        </is>
      </c>
      <c r="H1869" s="7" t="inlineStr">
        <is>
          <t>100 a 300 L/ha</t>
        </is>
      </c>
      <c r="I1869" s="7" t="inlineStr">
        <is>
          <t>20 a 40 L/ha</t>
        </is>
      </c>
      <c r="J1869" s="7" t="inlineStr">
        <is>
          <t>21 dias</t>
        </is>
      </c>
    </row>
    <row r="1870" ht="22" customHeight="1">
      <c r="A1870" s="12" t="inlineStr">
        <is>
          <t>CUL-1866</t>
        </is>
      </c>
      <c r="B1870" s="11" t="n">
        <v>372</v>
      </c>
      <c r="C1870" s="13" t="inlineStr">
        <is>
          <t>Nº 1522</t>
        </is>
      </c>
      <c r="D1870" s="14" t="inlineStr">
        <is>
          <t>ADVER</t>
        </is>
      </c>
      <c r="E1870" s="13" t="inlineStr">
        <is>
          <t>Pulverização Agrícola Conforme Bula</t>
        </is>
      </c>
      <c r="F1870" s="13" t="inlineStr">
        <is>
          <t>Feijão</t>
        </is>
      </c>
      <c r="G1870" s="13" t="inlineStr">
        <is>
          <t>Cultura Autorizada na Bula</t>
        </is>
      </c>
      <c r="H1870" s="13" t="inlineStr">
        <is>
          <t>100 a 300 L/ha</t>
        </is>
      </c>
      <c r="I1870" s="13" t="inlineStr">
        <is>
          <t>20 a 40 L/ha</t>
        </is>
      </c>
      <c r="J1870" s="13" t="inlineStr">
        <is>
          <t>14 dias</t>
        </is>
      </c>
    </row>
    <row r="1871" ht="22" customHeight="1">
      <c r="A1871" s="6" t="inlineStr">
        <is>
          <t>CUL-1867</t>
        </is>
      </c>
      <c r="B1871" s="5" t="n">
        <v>372</v>
      </c>
      <c r="C1871" s="7" t="inlineStr">
        <is>
          <t>Nº 1522</t>
        </is>
      </c>
      <c r="D1871" s="8" t="inlineStr">
        <is>
          <t>ADVER</t>
        </is>
      </c>
      <c r="E1871" s="7" t="inlineStr">
        <is>
          <t>Pulverização Agrícola Conforme Bula</t>
        </is>
      </c>
      <c r="F1871" s="7" t="inlineStr">
        <is>
          <t>Batata</t>
        </is>
      </c>
      <c r="G1871" s="7" t="inlineStr">
        <is>
          <t>Cultura Autorizada na Bula</t>
        </is>
      </c>
      <c r="H1871" s="7" t="inlineStr">
        <is>
          <t>100 a 300 L/ha</t>
        </is>
      </c>
      <c r="I1871" s="7" t="inlineStr">
        <is>
          <t>20 a 40 L/ha</t>
        </is>
      </c>
      <c r="J1871" s="7" t="inlineStr">
        <is>
          <t>7 dias</t>
        </is>
      </c>
    </row>
    <row r="1872" ht="22" customHeight="1">
      <c r="A1872" s="12" t="inlineStr">
        <is>
          <t>CUL-1868</t>
        </is>
      </c>
      <c r="B1872" s="11" t="n">
        <v>372</v>
      </c>
      <c r="C1872" s="13" t="inlineStr">
        <is>
          <t>Nº 1522</t>
        </is>
      </c>
      <c r="D1872" s="14" t="inlineStr">
        <is>
          <t>ADVER</t>
        </is>
      </c>
      <c r="E1872" s="13" t="inlineStr">
        <is>
          <t>Pulverização Agrícola Conforme Bula</t>
        </is>
      </c>
      <c r="F1872" s="13" t="inlineStr">
        <is>
          <t>Citros</t>
        </is>
      </c>
      <c r="G1872" s="13" t="inlineStr">
        <is>
          <t>Cultura Autorizada na Bula</t>
        </is>
      </c>
      <c r="H1872" s="13" t="inlineStr">
        <is>
          <t>100 a 300 L/ha</t>
        </is>
      </c>
      <c r="I1872" s="13" t="inlineStr">
        <is>
          <t>20 a 40 L/ha</t>
        </is>
      </c>
      <c r="J1872" s="13" t="inlineStr">
        <is>
          <t>14 dias</t>
        </is>
      </c>
    </row>
    <row r="1873" ht="22" customHeight="1">
      <c r="A1873" s="6" t="inlineStr">
        <is>
          <t>CUL-1869</t>
        </is>
      </c>
      <c r="B1873" s="5" t="n">
        <v>372</v>
      </c>
      <c r="C1873" s="7" t="inlineStr">
        <is>
          <t>Nº 1522</t>
        </is>
      </c>
      <c r="D1873" s="8" t="inlineStr">
        <is>
          <t>ADVER</t>
        </is>
      </c>
      <c r="E1873" s="7" t="inlineStr">
        <is>
          <t>Pulverização Agrícola Conforme Bula</t>
        </is>
      </c>
      <c r="F1873" s="7" t="inlineStr">
        <is>
          <t>Tomate</t>
        </is>
      </c>
      <c r="G1873" s="7" t="inlineStr">
        <is>
          <t>Cultura Autorizada na Bula</t>
        </is>
      </c>
      <c r="H1873" s="7" t="inlineStr">
        <is>
          <t>100 a 300 L/ha</t>
        </is>
      </c>
      <c r="I1873" s="7" t="inlineStr">
        <is>
          <t>20 a 40 L/ha</t>
        </is>
      </c>
      <c r="J1873" s="7" t="inlineStr">
        <is>
          <t>7 dias</t>
        </is>
      </c>
    </row>
    <row r="1874" ht="22" customHeight="1">
      <c r="A1874" s="12" t="inlineStr">
        <is>
          <t>CUL-1870</t>
        </is>
      </c>
      <c r="B1874" s="11" t="n">
        <v>373</v>
      </c>
      <c r="C1874" s="13" t="inlineStr">
        <is>
          <t>Nº 36419</t>
        </is>
      </c>
      <c r="D1874" s="14" t="inlineStr">
        <is>
          <t>PIRIPROXIFEM CCAB 100 EC</t>
        </is>
      </c>
      <c r="E1874" s="13" t="inlineStr">
        <is>
          <t>Pulverização Agrícola Conforme Bula</t>
        </is>
      </c>
      <c r="F1874" s="13" t="inlineStr">
        <is>
          <t>Soja</t>
        </is>
      </c>
      <c r="G1874" s="13" t="inlineStr">
        <is>
          <t>Cultura Autorizada na Bula</t>
        </is>
      </c>
      <c r="H1874" s="13" t="inlineStr">
        <is>
          <t>100 a 300 L/ha</t>
        </is>
      </c>
      <c r="I1874" s="13" t="inlineStr">
        <is>
          <t>20 a 40 L/ha</t>
        </is>
      </c>
      <c r="J1874" s="13" t="inlineStr">
        <is>
          <t>30 dias</t>
        </is>
      </c>
    </row>
    <row r="1875" ht="22" customHeight="1">
      <c r="A1875" s="6" t="inlineStr">
        <is>
          <t>CUL-1871</t>
        </is>
      </c>
      <c r="B1875" s="5" t="n">
        <v>373</v>
      </c>
      <c r="C1875" s="7" t="inlineStr">
        <is>
          <t>Nº 36419</t>
        </is>
      </c>
      <c r="D1875" s="8" t="inlineStr">
        <is>
          <t>PIRIPROXIFEM CCAB 100 EC</t>
        </is>
      </c>
      <c r="E1875" s="7" t="inlineStr">
        <is>
          <t>Pulverização Agrícola Conforme Bula</t>
        </is>
      </c>
      <c r="F1875" s="7" t="inlineStr">
        <is>
          <t>Algodão</t>
        </is>
      </c>
      <c r="G1875" s="7" t="inlineStr">
        <is>
          <t>Cultura Autorizada na Bula</t>
        </is>
      </c>
      <c r="H1875" s="7" t="inlineStr">
        <is>
          <t>100 a 300 L/ha</t>
        </is>
      </c>
      <c r="I1875" s="7" t="inlineStr">
        <is>
          <t>20 a 40 L/ha</t>
        </is>
      </c>
      <c r="J1875" s="7" t="inlineStr">
        <is>
          <t>14 dias</t>
        </is>
      </c>
    </row>
    <row r="1876" ht="22" customHeight="1">
      <c r="A1876" s="12" t="inlineStr">
        <is>
          <t>CUL-1872</t>
        </is>
      </c>
      <c r="B1876" s="11" t="n">
        <v>373</v>
      </c>
      <c r="C1876" s="13" t="inlineStr">
        <is>
          <t>Nº 36419</t>
        </is>
      </c>
      <c r="D1876" s="14" t="inlineStr">
        <is>
          <t>PIRIPROXIFEM CCAB 100 EC</t>
        </is>
      </c>
      <c r="E1876" s="13" t="inlineStr">
        <is>
          <t>Pulverização Agrícola Conforme Bula</t>
        </is>
      </c>
      <c r="F1876" s="13" t="inlineStr">
        <is>
          <t>Feijão</t>
        </is>
      </c>
      <c r="G1876" s="13" t="inlineStr">
        <is>
          <t>Cultura Autorizada na Bula</t>
        </is>
      </c>
      <c r="H1876" s="13" t="inlineStr">
        <is>
          <t>100 a 300 L/ha</t>
        </is>
      </c>
      <c r="I1876" s="13" t="inlineStr">
        <is>
          <t>20 a 40 L/ha</t>
        </is>
      </c>
      <c r="J1876" s="13" t="inlineStr">
        <is>
          <t>14 dias</t>
        </is>
      </c>
    </row>
    <row r="1877" ht="22" customHeight="1">
      <c r="A1877" s="6" t="inlineStr">
        <is>
          <t>CUL-1873</t>
        </is>
      </c>
      <c r="B1877" s="5" t="n">
        <v>373</v>
      </c>
      <c r="C1877" s="7" t="inlineStr">
        <is>
          <t>Nº 36419</t>
        </is>
      </c>
      <c r="D1877" s="8" t="inlineStr">
        <is>
          <t>PIRIPROXIFEM CCAB 100 EC</t>
        </is>
      </c>
      <c r="E1877" s="7" t="inlineStr">
        <is>
          <t>Pulverização Agrícola Conforme Bula</t>
        </is>
      </c>
      <c r="F1877" s="7" t="inlineStr">
        <is>
          <t>Citros</t>
        </is>
      </c>
      <c r="G1877" s="7" t="inlineStr">
        <is>
          <t>Cultura Autorizada na Bula</t>
        </is>
      </c>
      <c r="H1877" s="7" t="inlineStr">
        <is>
          <t>100 a 300 L/ha</t>
        </is>
      </c>
      <c r="I1877" s="7" t="inlineStr">
        <is>
          <t>20 a 40 L/ha</t>
        </is>
      </c>
      <c r="J1877" s="7" t="inlineStr">
        <is>
          <t>14 dias</t>
        </is>
      </c>
    </row>
    <row r="1878" ht="22" customHeight="1">
      <c r="A1878" s="12" t="inlineStr">
        <is>
          <t>CUL-1874</t>
        </is>
      </c>
      <c r="B1878" s="11" t="n">
        <v>373</v>
      </c>
      <c r="C1878" s="13" t="inlineStr">
        <is>
          <t>Nº 36419</t>
        </is>
      </c>
      <c r="D1878" s="14" t="inlineStr">
        <is>
          <t>PIRIPROXIFEM CCAB 100 EC</t>
        </is>
      </c>
      <c r="E1878" s="13" t="inlineStr">
        <is>
          <t>Pulverização Agrícola Conforme Bula</t>
        </is>
      </c>
      <c r="F1878" s="13" t="inlineStr">
        <is>
          <t>Melão</t>
        </is>
      </c>
      <c r="G1878" s="13" t="inlineStr">
        <is>
          <t>Cultura Autorizada na Bula</t>
        </is>
      </c>
      <c r="H1878" s="13" t="inlineStr">
        <is>
          <t>100 a 300 L/ha</t>
        </is>
      </c>
      <c r="I1878" s="13" t="inlineStr">
        <is>
          <t>20 a 40 L/ha</t>
        </is>
      </c>
      <c r="J1878" s="13" t="inlineStr">
        <is>
          <t>7 dias</t>
        </is>
      </c>
    </row>
    <row r="1879" ht="22" customHeight="1">
      <c r="A1879" s="6" t="inlineStr">
        <is>
          <t>CUL-1875</t>
        </is>
      </c>
      <c r="B1879" s="5" t="n">
        <v>373</v>
      </c>
      <c r="C1879" s="7" t="inlineStr">
        <is>
          <t>Nº 36419</t>
        </is>
      </c>
      <c r="D1879" s="8" t="inlineStr">
        <is>
          <t>PIRIPROXIFEM CCAB 100 EC</t>
        </is>
      </c>
      <c r="E1879" s="7" t="inlineStr">
        <is>
          <t>Pulverização Agrícola Conforme Bula</t>
        </is>
      </c>
      <c r="F1879" s="7" t="inlineStr">
        <is>
          <t>Tomate</t>
        </is>
      </c>
      <c r="G1879" s="7" t="inlineStr">
        <is>
          <t>Cultura Autorizada na Bula</t>
        </is>
      </c>
      <c r="H1879" s="7" t="inlineStr">
        <is>
          <t>100 a 300 L/ha</t>
        </is>
      </c>
      <c r="I1879" s="7" t="inlineStr">
        <is>
          <t>20 a 40 L/ha</t>
        </is>
      </c>
      <c r="J1879" s="7" t="inlineStr">
        <is>
          <t>7 dias</t>
        </is>
      </c>
    </row>
    <row r="1880" ht="22" customHeight="1">
      <c r="A1880" s="12" t="inlineStr">
        <is>
          <t>CUL-1876</t>
        </is>
      </c>
      <c r="B1880" s="11" t="n">
        <v>374</v>
      </c>
      <c r="C1880" s="13" t="inlineStr">
        <is>
          <t>Nº 6922</t>
        </is>
      </c>
      <c r="D1880" s="14" t="inlineStr">
        <is>
          <t>COFENRIN</t>
        </is>
      </c>
      <c r="E1880" s="13" t="inlineStr">
        <is>
          <t>Pulverização Agrícola Conforme Bula</t>
        </is>
      </c>
      <c r="F1880" s="13" t="inlineStr">
        <is>
          <t>Algodão</t>
        </is>
      </c>
      <c r="G1880" s="13" t="inlineStr">
        <is>
          <t>Cultura Autorizada na Bula</t>
        </is>
      </c>
      <c r="H1880" s="13" t="inlineStr">
        <is>
          <t>100 a 300 L/ha</t>
        </is>
      </c>
      <c r="I1880" s="13" t="inlineStr">
        <is>
          <t>20 a 40 L/ha</t>
        </is>
      </c>
      <c r="J1880" s="13" t="inlineStr">
        <is>
          <t>15 dias</t>
        </is>
      </c>
    </row>
    <row r="1881" ht="22" customHeight="1">
      <c r="A1881" s="6" t="inlineStr">
        <is>
          <t>CUL-1877</t>
        </is>
      </c>
      <c r="B1881" s="5" t="n">
        <v>374</v>
      </c>
      <c r="C1881" s="7" t="inlineStr">
        <is>
          <t>Nº 6922</t>
        </is>
      </c>
      <c r="D1881" s="8" t="inlineStr">
        <is>
          <t>COFENRIN</t>
        </is>
      </c>
      <c r="E1881" s="7" t="inlineStr">
        <is>
          <t>Pulverização Agrícola Conforme Bula</t>
        </is>
      </c>
      <c r="F1881" s="7" t="inlineStr">
        <is>
          <t>Soja</t>
        </is>
      </c>
      <c r="G1881" s="7" t="inlineStr">
        <is>
          <t>Cultura Autorizada na Bula</t>
        </is>
      </c>
      <c r="H1881" s="7" t="inlineStr">
        <is>
          <t>100 a 300 L/ha</t>
        </is>
      </c>
      <c r="I1881" s="7" t="inlineStr">
        <is>
          <t>20 a 40 L/ha</t>
        </is>
      </c>
      <c r="J1881" s="7" t="inlineStr">
        <is>
          <t>30 dias</t>
        </is>
      </c>
    </row>
    <row r="1882" ht="22" customHeight="1">
      <c r="A1882" s="12" t="inlineStr">
        <is>
          <t>CUL-1878</t>
        </is>
      </c>
      <c r="B1882" s="11" t="n">
        <v>374</v>
      </c>
      <c r="C1882" s="13" t="inlineStr">
        <is>
          <t>Nº 6922</t>
        </is>
      </c>
      <c r="D1882" s="14" t="inlineStr">
        <is>
          <t>COFENRIN</t>
        </is>
      </c>
      <c r="E1882" s="13" t="inlineStr">
        <is>
          <t>Pulverização Agrícola Conforme Bula</t>
        </is>
      </c>
      <c r="F1882" s="13" t="inlineStr">
        <is>
          <t>Milho</t>
        </is>
      </c>
      <c r="G1882" s="13" t="inlineStr">
        <is>
          <t>Cultura Autorizada na Bula</t>
        </is>
      </c>
      <c r="H1882" s="13" t="inlineStr">
        <is>
          <t>100 a 300 L/ha</t>
        </is>
      </c>
      <c r="I1882" s="13" t="inlineStr">
        <is>
          <t>20 a 40 L/ha</t>
        </is>
      </c>
      <c r="J1882" s="13" t="inlineStr">
        <is>
          <t>30 dias</t>
        </is>
      </c>
    </row>
    <row r="1883" ht="22" customHeight="1">
      <c r="A1883" s="6" t="inlineStr">
        <is>
          <t>CUL-1879</t>
        </is>
      </c>
      <c r="B1883" s="5" t="n">
        <v>374</v>
      </c>
      <c r="C1883" s="7" t="inlineStr">
        <is>
          <t>Nº 6922</t>
        </is>
      </c>
      <c r="D1883" s="8" t="inlineStr">
        <is>
          <t>COFENRIN</t>
        </is>
      </c>
      <c r="E1883" s="7" t="inlineStr">
        <is>
          <t>Pulverização Agrícola Conforme Bula</t>
        </is>
      </c>
      <c r="F1883" s="7" t="inlineStr">
        <is>
          <t>Cana-de-açúcar</t>
        </is>
      </c>
      <c r="G1883" s="7" t="inlineStr">
        <is>
          <t>Cultura Autorizada na Bula</t>
        </is>
      </c>
      <c r="H1883" s="7" t="inlineStr">
        <is>
          <t>100 a 300 L/ha</t>
        </is>
      </c>
      <c r="I1883" s="7" t="inlineStr">
        <is>
          <t>20 a 40 L/ha</t>
        </is>
      </c>
      <c r="J1883" s="7" t="inlineStr">
        <is>
          <t>30 dias</t>
        </is>
      </c>
    </row>
    <row r="1884" ht="22" customHeight="1">
      <c r="A1884" s="12" t="inlineStr">
        <is>
          <t>CUL-1880</t>
        </is>
      </c>
      <c r="B1884" s="11" t="n">
        <v>374</v>
      </c>
      <c r="C1884" s="13" t="inlineStr">
        <is>
          <t>Nº 6922</t>
        </is>
      </c>
      <c r="D1884" s="14" t="inlineStr">
        <is>
          <t>COFENRIN</t>
        </is>
      </c>
      <c r="E1884" s="13" t="inlineStr">
        <is>
          <t>Pulverização Agrícola Conforme Bula</t>
        </is>
      </c>
      <c r="F1884" s="13" t="inlineStr">
        <is>
          <t>Café</t>
        </is>
      </c>
      <c r="G1884" s="13" t="inlineStr">
        <is>
          <t>Cultura Autorizada na Bula</t>
        </is>
      </c>
      <c r="H1884" s="13" t="inlineStr">
        <is>
          <t>100 a 300 L/ha</t>
        </is>
      </c>
      <c r="I1884" s="13" t="inlineStr">
        <is>
          <t>20 a 40 L/ha</t>
        </is>
      </c>
      <c r="J1884" s="13" t="inlineStr">
        <is>
          <t>30 dias</t>
        </is>
      </c>
    </row>
    <row r="1885" ht="22" customHeight="1">
      <c r="A1885" s="6" t="inlineStr">
        <is>
          <t>CUL-1881</t>
        </is>
      </c>
      <c r="B1885" s="5" t="n">
        <v>374</v>
      </c>
      <c r="C1885" s="7" t="inlineStr">
        <is>
          <t>Nº 6922</t>
        </is>
      </c>
      <c r="D1885" s="8" t="inlineStr">
        <is>
          <t>COFENRIN</t>
        </is>
      </c>
      <c r="E1885" s="7" t="inlineStr">
        <is>
          <t>Pulverização Agrícola Conforme Bula</t>
        </is>
      </c>
      <c r="F1885" s="7" t="inlineStr">
        <is>
          <t>Citros</t>
        </is>
      </c>
      <c r="G1885" s="7" t="inlineStr">
        <is>
          <t>Cultura Autorizada na Bula</t>
        </is>
      </c>
      <c r="H1885" s="7" t="inlineStr">
        <is>
          <t>100 a 300 L/ha</t>
        </is>
      </c>
      <c r="I1885" s="7" t="inlineStr">
        <is>
          <t>20 a 40 L/ha</t>
        </is>
      </c>
      <c r="J1885" s="7" t="inlineStr">
        <is>
          <t>7 dias</t>
        </is>
      </c>
    </row>
    <row r="1886" ht="22" customHeight="1">
      <c r="A1886" s="12" t="inlineStr">
        <is>
          <t>CUL-1882</t>
        </is>
      </c>
      <c r="B1886" s="11" t="n">
        <v>374</v>
      </c>
      <c r="C1886" s="13" t="inlineStr">
        <is>
          <t>Nº 6922</t>
        </is>
      </c>
      <c r="D1886" s="14" t="inlineStr">
        <is>
          <t>COFENRIN</t>
        </is>
      </c>
      <c r="E1886" s="13" t="inlineStr">
        <is>
          <t>Pulverização Agrícola Conforme Bula</t>
        </is>
      </c>
      <c r="F1886" s="13" t="inlineStr">
        <is>
          <t>Feijão</t>
        </is>
      </c>
      <c r="G1886" s="13" t="inlineStr">
        <is>
          <t>Cultura Autorizada na Bula</t>
        </is>
      </c>
      <c r="H1886" s="13" t="inlineStr">
        <is>
          <t>100 a 300 L/ha</t>
        </is>
      </c>
      <c r="I1886" s="13" t="inlineStr">
        <is>
          <t>20 a 40 L/ha</t>
        </is>
      </c>
      <c r="J1886" s="13" t="inlineStr">
        <is>
          <t>20 dias</t>
        </is>
      </c>
    </row>
    <row r="1887" ht="22" customHeight="1">
      <c r="A1887" s="6" t="inlineStr">
        <is>
          <t>CUL-1883</t>
        </is>
      </c>
      <c r="B1887" s="5" t="n">
        <v>374</v>
      </c>
      <c r="C1887" s="7" t="inlineStr">
        <is>
          <t>Nº 6922</t>
        </is>
      </c>
      <c r="D1887" s="8" t="inlineStr">
        <is>
          <t>COFENRIN</t>
        </is>
      </c>
      <c r="E1887" s="7" t="inlineStr">
        <is>
          <t>Pulverização Agrícola Conforme Bula</t>
        </is>
      </c>
      <c r="F1887" s="7" t="inlineStr">
        <is>
          <t>Trigo</t>
        </is>
      </c>
      <c r="G1887" s="7" t="inlineStr">
        <is>
          <t>Cultura Autorizada na Bula</t>
        </is>
      </c>
      <c r="H1887" s="7" t="inlineStr">
        <is>
          <t>100 a 300 L/ha</t>
        </is>
      </c>
      <c r="I1887" s="7" t="inlineStr">
        <is>
          <t>20 a 40 L/ha</t>
        </is>
      </c>
      <c r="J1887" s="7" t="inlineStr">
        <is>
          <t>30 dias</t>
        </is>
      </c>
    </row>
    <row r="1888" ht="22" customHeight="1">
      <c r="A1888" s="12" t="inlineStr">
        <is>
          <t>CUL-1884</t>
        </is>
      </c>
      <c r="B1888" s="11" t="n">
        <v>375</v>
      </c>
      <c r="C1888" s="13" t="inlineStr">
        <is>
          <t>Nº 3623</t>
        </is>
      </c>
      <c r="D1888" s="14" t="inlineStr">
        <is>
          <t>FLUMIOXAZINA 250 + IMAZETAPIR 530 (PRINC. ATIVO)</t>
        </is>
      </c>
      <c r="E1888" s="13" t="inlineStr">
        <is>
          <t>Uso Exclusivamente Industrial (Formulação)</t>
        </is>
      </c>
      <c r="F1888" s="13" t="inlineStr">
        <is>
          <t>Não Aplicável (Proibido uso direto na lavoura)</t>
        </is>
      </c>
      <c r="G1888" s="13" t="inlineStr">
        <is>
          <t>Insumo Industrial</t>
        </is>
      </c>
      <c r="H1888" s="13" t="inlineStr">
        <is>
          <t>N/A</t>
        </is>
      </c>
      <c r="I1888" s="13" t="inlineStr">
        <is>
          <t>N/A</t>
        </is>
      </c>
      <c r="J1888" s="13" t="inlineStr">
        <is>
          <t>N/A (Insumo Industrial)</t>
        </is>
      </c>
    </row>
    <row r="1889" ht="22" customHeight="1">
      <c r="A1889" s="6" t="inlineStr">
        <is>
          <t>CUL-1885</t>
        </is>
      </c>
      <c r="B1889" s="5" t="n">
        <v>376</v>
      </c>
      <c r="C1889" s="7" t="inlineStr">
        <is>
          <t>Nº 28120</t>
        </is>
      </c>
      <c r="D1889" s="8" t="inlineStr">
        <is>
          <t>FLUROXIPIR 200 (PRINCIPIO ATIVO)</t>
        </is>
      </c>
      <c r="E1889" s="7" t="inlineStr">
        <is>
          <t>Uso Exclusivamente Industrial (Formulação)</t>
        </is>
      </c>
      <c r="F1889" s="7" t="inlineStr">
        <is>
          <t>Não Aplicável (Proibido uso direto na lavoura)</t>
        </is>
      </c>
      <c r="G1889" s="7" t="inlineStr">
        <is>
          <t>Insumo Industrial</t>
        </is>
      </c>
      <c r="H1889" s="7" t="inlineStr">
        <is>
          <t>N/A</t>
        </is>
      </c>
      <c r="I1889" s="7" t="inlineStr">
        <is>
          <t>N/A</t>
        </is>
      </c>
      <c r="J1889" s="7" t="inlineStr">
        <is>
          <t>N/A (Insumo Industrial)</t>
        </is>
      </c>
    </row>
    <row r="1890" ht="22" customHeight="1">
      <c r="A1890" s="12" t="inlineStr">
        <is>
          <t>CUL-1886</t>
        </is>
      </c>
      <c r="B1890" s="11" t="n">
        <v>377</v>
      </c>
      <c r="C1890" s="13" t="inlineStr">
        <is>
          <t>Nº 31422</t>
        </is>
      </c>
      <c r="D1890" s="14" t="inlineStr">
        <is>
          <t>ZARPAL</t>
        </is>
      </c>
      <c r="E1890" s="13" t="inlineStr">
        <is>
          <t>Pulverização Agrícola Conforme Bula</t>
        </is>
      </c>
      <c r="F1890" s="13" t="inlineStr">
        <is>
          <t>Algodão</t>
        </is>
      </c>
      <c r="G1890" s="13" t="inlineStr">
        <is>
          <t>Cultura Autorizada na Bula</t>
        </is>
      </c>
      <c r="H1890" s="13" t="inlineStr">
        <is>
          <t>100 a 300 L/ha</t>
        </is>
      </c>
      <c r="I1890" s="13" t="inlineStr">
        <is>
          <t>20 a 40 L/ha</t>
        </is>
      </c>
      <c r="J1890" s="13" t="inlineStr">
        <is>
          <t>15 dias</t>
        </is>
      </c>
    </row>
    <row r="1891" ht="22" customHeight="1">
      <c r="A1891" s="6" t="inlineStr">
        <is>
          <t>CUL-1887</t>
        </is>
      </c>
      <c r="B1891" s="5" t="n">
        <v>377</v>
      </c>
      <c r="C1891" s="7" t="inlineStr">
        <is>
          <t>Nº 31422</t>
        </is>
      </c>
      <c r="D1891" s="8" t="inlineStr">
        <is>
          <t>ZARPAL</t>
        </is>
      </c>
      <c r="E1891" s="7" t="inlineStr">
        <is>
          <t>Pulverização Agrícola Conforme Bula</t>
        </is>
      </c>
      <c r="F1891" s="7" t="inlineStr">
        <is>
          <t>Soja</t>
        </is>
      </c>
      <c r="G1891" s="7" t="inlineStr">
        <is>
          <t>Cultura Autorizada na Bula</t>
        </is>
      </c>
      <c r="H1891" s="7" t="inlineStr">
        <is>
          <t>100 a 300 L/ha</t>
        </is>
      </c>
      <c r="I1891" s="7" t="inlineStr">
        <is>
          <t>20 a 40 L/ha</t>
        </is>
      </c>
      <c r="J1891" s="7" t="inlineStr">
        <is>
          <t>30 dias</t>
        </is>
      </c>
    </row>
    <row r="1892" ht="22" customHeight="1">
      <c r="A1892" s="12" t="inlineStr">
        <is>
          <t>CUL-1888</t>
        </is>
      </c>
      <c r="B1892" s="11" t="n">
        <v>377</v>
      </c>
      <c r="C1892" s="13" t="inlineStr">
        <is>
          <t>Nº 31422</t>
        </is>
      </c>
      <c r="D1892" s="14" t="inlineStr">
        <is>
          <t>ZARPAL</t>
        </is>
      </c>
      <c r="E1892" s="13" t="inlineStr">
        <is>
          <t>Pulverização Agrícola Conforme Bula</t>
        </is>
      </c>
      <c r="F1892" s="13" t="inlineStr">
        <is>
          <t>Milho</t>
        </is>
      </c>
      <c r="G1892" s="13" t="inlineStr">
        <is>
          <t>Cultura Autorizada na Bula</t>
        </is>
      </c>
      <c r="H1892" s="13" t="inlineStr">
        <is>
          <t>100 a 300 L/ha</t>
        </is>
      </c>
      <c r="I1892" s="13" t="inlineStr">
        <is>
          <t>20 a 40 L/ha</t>
        </is>
      </c>
      <c r="J1892" s="13" t="inlineStr">
        <is>
          <t>30 dias</t>
        </is>
      </c>
    </row>
    <row r="1893" ht="22" customHeight="1">
      <c r="A1893" s="6" t="inlineStr">
        <is>
          <t>CUL-1889</t>
        </is>
      </c>
      <c r="B1893" s="5" t="n">
        <v>377</v>
      </c>
      <c r="C1893" s="7" t="inlineStr">
        <is>
          <t>Nº 31422</t>
        </is>
      </c>
      <c r="D1893" s="8" t="inlineStr">
        <is>
          <t>ZARPAL</t>
        </is>
      </c>
      <c r="E1893" s="7" t="inlineStr">
        <is>
          <t>Pulverização Agrícola Conforme Bula</t>
        </is>
      </c>
      <c r="F1893" s="7" t="inlineStr">
        <is>
          <t>Cana-de-açúcar</t>
        </is>
      </c>
      <c r="G1893" s="7" t="inlineStr">
        <is>
          <t>Cultura Autorizada na Bula</t>
        </is>
      </c>
      <c r="H1893" s="7" t="inlineStr">
        <is>
          <t>100 a 300 L/ha</t>
        </is>
      </c>
      <c r="I1893" s="7" t="inlineStr">
        <is>
          <t>20 a 40 L/ha</t>
        </is>
      </c>
      <c r="J1893" s="7" t="inlineStr">
        <is>
          <t>30 dias</t>
        </is>
      </c>
    </row>
    <row r="1894" ht="22" customHeight="1">
      <c r="A1894" s="12" t="inlineStr">
        <is>
          <t>CUL-1890</t>
        </is>
      </c>
      <c r="B1894" s="11" t="n">
        <v>377</v>
      </c>
      <c r="C1894" s="13" t="inlineStr">
        <is>
          <t>Nº 31422</t>
        </is>
      </c>
      <c r="D1894" s="14" t="inlineStr">
        <is>
          <t>ZARPAL</t>
        </is>
      </c>
      <c r="E1894" s="13" t="inlineStr">
        <is>
          <t>Pulverização Agrícola Conforme Bula</t>
        </is>
      </c>
      <c r="F1894" s="13" t="inlineStr">
        <is>
          <t>Café</t>
        </is>
      </c>
      <c r="G1894" s="13" t="inlineStr">
        <is>
          <t>Cultura Autorizada na Bula</t>
        </is>
      </c>
      <c r="H1894" s="13" t="inlineStr">
        <is>
          <t>100 a 300 L/ha</t>
        </is>
      </c>
      <c r="I1894" s="13" t="inlineStr">
        <is>
          <t>20 a 40 L/ha</t>
        </is>
      </c>
      <c r="J1894" s="13" t="inlineStr">
        <is>
          <t>30 dias</t>
        </is>
      </c>
    </row>
    <row r="1895" ht="22" customHeight="1">
      <c r="A1895" s="6" t="inlineStr">
        <is>
          <t>CUL-1891</t>
        </is>
      </c>
      <c r="B1895" s="5" t="n">
        <v>377</v>
      </c>
      <c r="C1895" s="7" t="inlineStr">
        <is>
          <t>Nº 31422</t>
        </is>
      </c>
      <c r="D1895" s="8" t="inlineStr">
        <is>
          <t>ZARPAL</t>
        </is>
      </c>
      <c r="E1895" s="7" t="inlineStr">
        <is>
          <t>Pulverização Agrícola Conforme Bula</t>
        </is>
      </c>
      <c r="F1895" s="7" t="inlineStr">
        <is>
          <t>Citros</t>
        </is>
      </c>
      <c r="G1895" s="7" t="inlineStr">
        <is>
          <t>Cultura Autorizada na Bula</t>
        </is>
      </c>
      <c r="H1895" s="7" t="inlineStr">
        <is>
          <t>100 a 300 L/ha</t>
        </is>
      </c>
      <c r="I1895" s="7" t="inlineStr">
        <is>
          <t>20 a 40 L/ha</t>
        </is>
      </c>
      <c r="J1895" s="7" t="inlineStr">
        <is>
          <t>7 dias</t>
        </is>
      </c>
    </row>
    <row r="1896" ht="22" customHeight="1">
      <c r="A1896" s="12" t="inlineStr">
        <is>
          <t>CUL-1892</t>
        </is>
      </c>
      <c r="B1896" s="11" t="n">
        <v>377</v>
      </c>
      <c r="C1896" s="13" t="inlineStr">
        <is>
          <t>Nº 31422</t>
        </is>
      </c>
      <c r="D1896" s="14" t="inlineStr">
        <is>
          <t>ZARPAL</t>
        </is>
      </c>
      <c r="E1896" s="13" t="inlineStr">
        <is>
          <t>Pulverização Agrícola Conforme Bula</t>
        </is>
      </c>
      <c r="F1896" s="13" t="inlineStr">
        <is>
          <t>Feijão</t>
        </is>
      </c>
      <c r="G1896" s="13" t="inlineStr">
        <is>
          <t>Cultura Autorizada na Bula</t>
        </is>
      </c>
      <c r="H1896" s="13" t="inlineStr">
        <is>
          <t>100 a 300 L/ha</t>
        </is>
      </c>
      <c r="I1896" s="13" t="inlineStr">
        <is>
          <t>20 a 40 L/ha</t>
        </is>
      </c>
      <c r="J1896" s="13" t="inlineStr">
        <is>
          <t>20 dias</t>
        </is>
      </c>
    </row>
    <row r="1897" ht="22" customHeight="1">
      <c r="A1897" s="6" t="inlineStr">
        <is>
          <t>CUL-1893</t>
        </is>
      </c>
      <c r="B1897" s="5" t="n">
        <v>377</v>
      </c>
      <c r="C1897" s="7" t="inlineStr">
        <is>
          <t>Nº 31422</t>
        </is>
      </c>
      <c r="D1897" s="8" t="inlineStr">
        <is>
          <t>ZARPAL</t>
        </is>
      </c>
      <c r="E1897" s="7" t="inlineStr">
        <is>
          <t>Pulverização Agrícola Conforme Bula</t>
        </is>
      </c>
      <c r="F1897" s="7" t="inlineStr">
        <is>
          <t>Trigo</t>
        </is>
      </c>
      <c r="G1897" s="7" t="inlineStr">
        <is>
          <t>Cultura Autorizada na Bula</t>
        </is>
      </c>
      <c r="H1897" s="7" t="inlineStr">
        <is>
          <t>100 a 300 L/ha</t>
        </is>
      </c>
      <c r="I1897" s="7" t="inlineStr">
        <is>
          <t>20 a 40 L/ha</t>
        </is>
      </c>
      <c r="J1897" s="7" t="inlineStr">
        <is>
          <t>30 dias</t>
        </is>
      </c>
    </row>
    <row r="1898" ht="22" customHeight="1">
      <c r="A1898" s="12" t="inlineStr">
        <is>
          <t>CUL-1894</t>
        </is>
      </c>
      <c r="B1898" s="11" t="n">
        <v>378</v>
      </c>
      <c r="C1898" s="13" t="inlineStr">
        <is>
          <t>SIPEAGRO (UF-XXXXX)</t>
        </is>
      </c>
      <c r="D1898" s="14" t="inlineStr">
        <is>
          <t>AGCN PRODUZ +</t>
        </is>
      </c>
      <c r="E1898" s="13" t="inlineStr">
        <is>
          <t>Adubação de Solo / Foliar</t>
        </is>
      </c>
      <c r="F1898" s="13" t="inlineStr">
        <is>
          <t>Soja</t>
        </is>
      </c>
      <c r="G1898" s="13" t="inlineStr">
        <is>
          <t>Cultura Autorizada na Bula</t>
        </is>
      </c>
      <c r="H1898" s="13" t="inlineStr">
        <is>
          <t>100 a 300 L/ha</t>
        </is>
      </c>
      <c r="I1898" s="13" t="inlineStr">
        <is>
          <t>20 a 40 L/ha</t>
        </is>
      </c>
      <c r="J1898" s="13" t="inlineStr">
        <is>
          <t>Isento</t>
        </is>
      </c>
    </row>
    <row r="1899" ht="22" customHeight="1">
      <c r="A1899" s="6" t="inlineStr">
        <is>
          <t>CUL-1895</t>
        </is>
      </c>
      <c r="B1899" s="5" t="n">
        <v>378</v>
      </c>
      <c r="C1899" s="7" t="inlineStr">
        <is>
          <t>SIPEAGRO (UF-XXXXX)</t>
        </is>
      </c>
      <c r="D1899" s="8" t="inlineStr">
        <is>
          <t>AGCN PRODUZ +</t>
        </is>
      </c>
      <c r="E1899" s="7" t="inlineStr">
        <is>
          <t>Adubação de Solo / Foliar</t>
        </is>
      </c>
      <c r="F1899" s="7" t="inlineStr">
        <is>
          <t>Milho</t>
        </is>
      </c>
      <c r="G1899" s="7" t="inlineStr">
        <is>
          <t>Cultura Autorizada na Bula</t>
        </is>
      </c>
      <c r="H1899" s="7" t="inlineStr">
        <is>
          <t>100 a 300 L/ha</t>
        </is>
      </c>
      <c r="I1899" s="7" t="inlineStr">
        <is>
          <t>20 a 40 L/ha</t>
        </is>
      </c>
      <c r="J1899" s="7" t="inlineStr">
        <is>
          <t>Isento</t>
        </is>
      </c>
    </row>
    <row r="1900" ht="22" customHeight="1">
      <c r="A1900" s="12" t="inlineStr">
        <is>
          <t>CUL-1896</t>
        </is>
      </c>
      <c r="B1900" s="11" t="n">
        <v>378</v>
      </c>
      <c r="C1900" s="13" t="inlineStr">
        <is>
          <t>SIPEAGRO (UF-XXXXX)</t>
        </is>
      </c>
      <c r="D1900" s="14" t="inlineStr">
        <is>
          <t>AGCN PRODUZ +</t>
        </is>
      </c>
      <c r="E1900" s="13" t="inlineStr">
        <is>
          <t>Adubação de Solo / Foliar</t>
        </is>
      </c>
      <c r="F1900" s="13" t="inlineStr">
        <is>
          <t>Algodão</t>
        </is>
      </c>
      <c r="G1900" s="13" t="inlineStr">
        <is>
          <t>Cultura Autorizada na Bula</t>
        </is>
      </c>
      <c r="H1900" s="13" t="inlineStr">
        <is>
          <t>100 a 300 L/ha</t>
        </is>
      </c>
      <c r="I1900" s="13" t="inlineStr">
        <is>
          <t>20 a 40 L/ha</t>
        </is>
      </c>
      <c r="J1900" s="13" t="inlineStr">
        <is>
          <t>Isento</t>
        </is>
      </c>
    </row>
    <row r="1901" ht="22" customHeight="1">
      <c r="A1901" s="6" t="inlineStr">
        <is>
          <t>CUL-1897</t>
        </is>
      </c>
      <c r="B1901" s="5" t="n">
        <v>378</v>
      </c>
      <c r="C1901" s="7" t="inlineStr">
        <is>
          <t>SIPEAGRO (UF-XXXXX)</t>
        </is>
      </c>
      <c r="D1901" s="8" t="inlineStr">
        <is>
          <t>AGCN PRODUZ +</t>
        </is>
      </c>
      <c r="E1901" s="7" t="inlineStr">
        <is>
          <t>Adubação de Solo / Foliar</t>
        </is>
      </c>
      <c r="F1901" s="7" t="inlineStr">
        <is>
          <t>Cana-de-açúcar</t>
        </is>
      </c>
      <c r="G1901" s="7" t="inlineStr">
        <is>
          <t>Cultura Autorizada na Bula</t>
        </is>
      </c>
      <c r="H1901" s="7" t="inlineStr">
        <is>
          <t>100 a 300 L/ha</t>
        </is>
      </c>
      <c r="I1901" s="7" t="inlineStr">
        <is>
          <t>20 a 40 L/ha</t>
        </is>
      </c>
      <c r="J1901" s="7" t="inlineStr">
        <is>
          <t>Isento</t>
        </is>
      </c>
    </row>
    <row r="1902" ht="22" customHeight="1">
      <c r="A1902" s="12" t="inlineStr">
        <is>
          <t>CUL-1898</t>
        </is>
      </c>
      <c r="B1902" s="11" t="n">
        <v>378</v>
      </c>
      <c r="C1902" s="13" t="inlineStr">
        <is>
          <t>SIPEAGRO (UF-XXXXX)</t>
        </is>
      </c>
      <c r="D1902" s="14" t="inlineStr">
        <is>
          <t>AGCN PRODUZ +</t>
        </is>
      </c>
      <c r="E1902" s="13" t="inlineStr">
        <is>
          <t>Adubação de Solo / Foliar</t>
        </is>
      </c>
      <c r="F1902" s="13" t="inlineStr">
        <is>
          <t>Café</t>
        </is>
      </c>
      <c r="G1902" s="13" t="inlineStr">
        <is>
          <t>Cultura Autorizada na Bula</t>
        </is>
      </c>
      <c r="H1902" s="13" t="inlineStr">
        <is>
          <t>100 a 300 L/ha</t>
        </is>
      </c>
      <c r="I1902" s="13" t="inlineStr">
        <is>
          <t>20 a 40 L/ha</t>
        </is>
      </c>
      <c r="J1902" s="13" t="inlineStr">
        <is>
          <t>Isento</t>
        </is>
      </c>
    </row>
    <row r="1903" ht="22" customHeight="1">
      <c r="A1903" s="6" t="inlineStr">
        <is>
          <t>CUL-1899</t>
        </is>
      </c>
      <c r="B1903" s="5" t="n">
        <v>379</v>
      </c>
      <c r="C1903" s="7" t="inlineStr">
        <is>
          <t>SIPEAGRO (UF-XXXXX)</t>
        </is>
      </c>
      <c r="D1903" s="8" t="inlineStr">
        <is>
          <t>AGCN PLUM</t>
        </is>
      </c>
      <c r="E1903" s="7" t="inlineStr">
        <is>
          <t>Adubação de Solo / Foliar</t>
        </is>
      </c>
      <c r="F1903" s="7" t="inlineStr">
        <is>
          <t>Soja</t>
        </is>
      </c>
      <c r="G1903" s="7" t="inlineStr">
        <is>
          <t>Cultura Autorizada na Bula</t>
        </is>
      </c>
      <c r="H1903" s="7" t="inlineStr">
        <is>
          <t>100 a 300 L/ha</t>
        </is>
      </c>
      <c r="I1903" s="7" t="inlineStr">
        <is>
          <t>20 a 40 L/ha</t>
        </is>
      </c>
      <c r="J1903" s="7" t="inlineStr">
        <is>
          <t>Isento</t>
        </is>
      </c>
    </row>
    <row r="1904" ht="22" customHeight="1">
      <c r="A1904" s="12" t="inlineStr">
        <is>
          <t>CUL-1900</t>
        </is>
      </c>
      <c r="B1904" s="11" t="n">
        <v>379</v>
      </c>
      <c r="C1904" s="13" t="inlineStr">
        <is>
          <t>SIPEAGRO (UF-XXXXX)</t>
        </is>
      </c>
      <c r="D1904" s="14" t="inlineStr">
        <is>
          <t>AGCN PLUM</t>
        </is>
      </c>
      <c r="E1904" s="13" t="inlineStr">
        <is>
          <t>Adubação de Solo / Foliar</t>
        </is>
      </c>
      <c r="F1904" s="13" t="inlineStr">
        <is>
          <t>Milho</t>
        </is>
      </c>
      <c r="G1904" s="13" t="inlineStr">
        <is>
          <t>Cultura Autorizada na Bula</t>
        </is>
      </c>
      <c r="H1904" s="13" t="inlineStr">
        <is>
          <t>100 a 300 L/ha</t>
        </is>
      </c>
      <c r="I1904" s="13" t="inlineStr">
        <is>
          <t>20 a 40 L/ha</t>
        </is>
      </c>
      <c r="J1904" s="13" t="inlineStr">
        <is>
          <t>Isento</t>
        </is>
      </c>
    </row>
    <row r="1905" ht="22" customHeight="1">
      <c r="A1905" s="6" t="inlineStr">
        <is>
          <t>CUL-1901</t>
        </is>
      </c>
      <c r="B1905" s="5" t="n">
        <v>379</v>
      </c>
      <c r="C1905" s="7" t="inlineStr">
        <is>
          <t>SIPEAGRO (UF-XXXXX)</t>
        </is>
      </c>
      <c r="D1905" s="8" t="inlineStr">
        <is>
          <t>AGCN PLUM</t>
        </is>
      </c>
      <c r="E1905" s="7" t="inlineStr">
        <is>
          <t>Adubação de Solo / Foliar</t>
        </is>
      </c>
      <c r="F1905" s="7" t="inlineStr">
        <is>
          <t>Algodão</t>
        </is>
      </c>
      <c r="G1905" s="7" t="inlineStr">
        <is>
          <t>Cultura Autorizada na Bula</t>
        </is>
      </c>
      <c r="H1905" s="7" t="inlineStr">
        <is>
          <t>100 a 300 L/ha</t>
        </is>
      </c>
      <c r="I1905" s="7" t="inlineStr">
        <is>
          <t>20 a 40 L/ha</t>
        </is>
      </c>
      <c r="J1905" s="7" t="inlineStr">
        <is>
          <t>Isento</t>
        </is>
      </c>
    </row>
    <row r="1906" ht="22" customHeight="1">
      <c r="A1906" s="12" t="inlineStr">
        <is>
          <t>CUL-1902</t>
        </is>
      </c>
      <c r="B1906" s="11" t="n">
        <v>379</v>
      </c>
      <c r="C1906" s="13" t="inlineStr">
        <is>
          <t>SIPEAGRO (UF-XXXXX)</t>
        </is>
      </c>
      <c r="D1906" s="14" t="inlineStr">
        <is>
          <t>AGCN PLUM</t>
        </is>
      </c>
      <c r="E1906" s="13" t="inlineStr">
        <is>
          <t>Adubação de Solo / Foliar</t>
        </is>
      </c>
      <c r="F1906" s="13" t="inlineStr">
        <is>
          <t>Cana-de-açúcar</t>
        </is>
      </c>
      <c r="G1906" s="13" t="inlineStr">
        <is>
          <t>Cultura Autorizada na Bula</t>
        </is>
      </c>
      <c r="H1906" s="13" t="inlineStr">
        <is>
          <t>100 a 300 L/ha</t>
        </is>
      </c>
      <c r="I1906" s="13" t="inlineStr">
        <is>
          <t>20 a 40 L/ha</t>
        </is>
      </c>
      <c r="J1906" s="13" t="inlineStr">
        <is>
          <t>Isento</t>
        </is>
      </c>
    </row>
    <row r="1907" ht="22" customHeight="1">
      <c r="A1907" s="6" t="inlineStr">
        <is>
          <t>CUL-1903</t>
        </is>
      </c>
      <c r="B1907" s="5" t="n">
        <v>379</v>
      </c>
      <c r="C1907" s="7" t="inlineStr">
        <is>
          <t>SIPEAGRO (UF-XXXXX)</t>
        </is>
      </c>
      <c r="D1907" s="8" t="inlineStr">
        <is>
          <t>AGCN PLUM</t>
        </is>
      </c>
      <c r="E1907" s="7" t="inlineStr">
        <is>
          <t>Adubação de Solo / Foliar</t>
        </is>
      </c>
      <c r="F1907" s="7" t="inlineStr">
        <is>
          <t>Café</t>
        </is>
      </c>
      <c r="G1907" s="7" t="inlineStr">
        <is>
          <t>Cultura Autorizada na Bula</t>
        </is>
      </c>
      <c r="H1907" s="7" t="inlineStr">
        <is>
          <t>100 a 300 L/ha</t>
        </is>
      </c>
      <c r="I1907" s="7" t="inlineStr">
        <is>
          <t>20 a 40 L/ha</t>
        </is>
      </c>
      <c r="J1907" s="7" t="inlineStr">
        <is>
          <t>Isento</t>
        </is>
      </c>
    </row>
    <row r="1908" ht="22" customHeight="1">
      <c r="A1908" s="12" t="inlineStr">
        <is>
          <t>CUL-1904</t>
        </is>
      </c>
      <c r="B1908" s="11" t="n">
        <v>380</v>
      </c>
      <c r="C1908" s="13" t="inlineStr">
        <is>
          <t>SIPEAGRO (UF-XXXXX)</t>
        </is>
      </c>
      <c r="D1908" s="14" t="inlineStr">
        <is>
          <t>AGCN PRO+</t>
        </is>
      </c>
      <c r="E1908" s="13" t="inlineStr">
        <is>
          <t>Adubação de Solo / Foliar</t>
        </is>
      </c>
      <c r="F1908" s="13" t="inlineStr">
        <is>
          <t>Soja</t>
        </is>
      </c>
      <c r="G1908" s="13" t="inlineStr">
        <is>
          <t>Cultura Autorizada na Bula</t>
        </is>
      </c>
      <c r="H1908" s="13" t="inlineStr">
        <is>
          <t>100 a 300 L/ha</t>
        </is>
      </c>
      <c r="I1908" s="13" t="inlineStr">
        <is>
          <t>20 a 40 L/ha</t>
        </is>
      </c>
      <c r="J1908" s="13" t="inlineStr">
        <is>
          <t>Isento</t>
        </is>
      </c>
    </row>
    <row r="1909" ht="22" customHeight="1">
      <c r="A1909" s="6" t="inlineStr">
        <is>
          <t>CUL-1905</t>
        </is>
      </c>
      <c r="B1909" s="5" t="n">
        <v>380</v>
      </c>
      <c r="C1909" s="7" t="inlineStr">
        <is>
          <t>SIPEAGRO (UF-XXXXX)</t>
        </is>
      </c>
      <c r="D1909" s="8" t="inlineStr">
        <is>
          <t>AGCN PRO+</t>
        </is>
      </c>
      <c r="E1909" s="7" t="inlineStr">
        <is>
          <t>Adubação de Solo / Foliar</t>
        </is>
      </c>
      <c r="F1909" s="7" t="inlineStr">
        <is>
          <t>Milho</t>
        </is>
      </c>
      <c r="G1909" s="7" t="inlineStr">
        <is>
          <t>Cultura Autorizada na Bula</t>
        </is>
      </c>
      <c r="H1909" s="7" t="inlineStr">
        <is>
          <t>100 a 300 L/ha</t>
        </is>
      </c>
      <c r="I1909" s="7" t="inlineStr">
        <is>
          <t>20 a 40 L/ha</t>
        </is>
      </c>
      <c r="J1909" s="7" t="inlineStr">
        <is>
          <t>Isento</t>
        </is>
      </c>
    </row>
    <row r="1910" ht="22" customHeight="1">
      <c r="A1910" s="12" t="inlineStr">
        <is>
          <t>CUL-1906</t>
        </is>
      </c>
      <c r="B1910" s="11" t="n">
        <v>380</v>
      </c>
      <c r="C1910" s="13" t="inlineStr">
        <is>
          <t>SIPEAGRO (UF-XXXXX)</t>
        </is>
      </c>
      <c r="D1910" s="14" t="inlineStr">
        <is>
          <t>AGCN PRO+</t>
        </is>
      </c>
      <c r="E1910" s="13" t="inlineStr">
        <is>
          <t>Adubação de Solo / Foliar</t>
        </is>
      </c>
      <c r="F1910" s="13" t="inlineStr">
        <is>
          <t>Algodão</t>
        </is>
      </c>
      <c r="G1910" s="13" t="inlineStr">
        <is>
          <t>Cultura Autorizada na Bula</t>
        </is>
      </c>
      <c r="H1910" s="13" t="inlineStr">
        <is>
          <t>100 a 300 L/ha</t>
        </is>
      </c>
      <c r="I1910" s="13" t="inlineStr">
        <is>
          <t>20 a 40 L/ha</t>
        </is>
      </c>
      <c r="J1910" s="13" t="inlineStr">
        <is>
          <t>Isento</t>
        </is>
      </c>
    </row>
    <row r="1911" ht="22" customHeight="1">
      <c r="A1911" s="6" t="inlineStr">
        <is>
          <t>CUL-1907</t>
        </is>
      </c>
      <c r="B1911" s="5" t="n">
        <v>380</v>
      </c>
      <c r="C1911" s="7" t="inlineStr">
        <is>
          <t>SIPEAGRO (UF-XXXXX)</t>
        </is>
      </c>
      <c r="D1911" s="8" t="inlineStr">
        <is>
          <t>AGCN PRO+</t>
        </is>
      </c>
      <c r="E1911" s="7" t="inlineStr">
        <is>
          <t>Adubação de Solo / Foliar</t>
        </is>
      </c>
      <c r="F1911" s="7" t="inlineStr">
        <is>
          <t>Cana-de-açúcar</t>
        </is>
      </c>
      <c r="G1911" s="7" t="inlineStr">
        <is>
          <t>Cultura Autorizada na Bula</t>
        </is>
      </c>
      <c r="H1911" s="7" t="inlineStr">
        <is>
          <t>100 a 300 L/ha</t>
        </is>
      </c>
      <c r="I1911" s="7" t="inlineStr">
        <is>
          <t>20 a 40 L/ha</t>
        </is>
      </c>
      <c r="J1911" s="7" t="inlineStr">
        <is>
          <t>Isento</t>
        </is>
      </c>
    </row>
    <row r="1912" ht="22" customHeight="1">
      <c r="A1912" s="12" t="inlineStr">
        <is>
          <t>CUL-1908</t>
        </is>
      </c>
      <c r="B1912" s="11" t="n">
        <v>380</v>
      </c>
      <c r="C1912" s="13" t="inlineStr">
        <is>
          <t>SIPEAGRO (UF-XXXXX)</t>
        </is>
      </c>
      <c r="D1912" s="14" t="inlineStr">
        <is>
          <t>AGCN PRO+</t>
        </is>
      </c>
      <c r="E1912" s="13" t="inlineStr">
        <is>
          <t>Adubação de Solo / Foliar</t>
        </is>
      </c>
      <c r="F1912" s="13" t="inlineStr">
        <is>
          <t>Café</t>
        </is>
      </c>
      <c r="G1912" s="13" t="inlineStr">
        <is>
          <t>Cultura Autorizada na Bula</t>
        </is>
      </c>
      <c r="H1912" s="13" t="inlineStr">
        <is>
          <t>100 a 300 L/ha</t>
        </is>
      </c>
      <c r="I1912" s="13" t="inlineStr">
        <is>
          <t>20 a 40 L/ha</t>
        </is>
      </c>
      <c r="J1912" s="13" t="inlineStr">
        <is>
          <t>Isento</t>
        </is>
      </c>
    </row>
    <row r="1913" ht="22" customHeight="1">
      <c r="A1913" s="6" t="inlineStr">
        <is>
          <t>CUL-1909</t>
        </is>
      </c>
      <c r="B1913" s="5" t="n">
        <v>381</v>
      </c>
      <c r="C1913" s="7" t="inlineStr">
        <is>
          <t>Nº 34018</t>
        </is>
      </c>
      <c r="D1913" s="8" t="inlineStr">
        <is>
          <t>BIOLOGIC GUARD</t>
        </is>
      </c>
      <c r="E1913" s="7" t="inlineStr">
        <is>
          <t>Pulverização Agrícola Conforme Bula</t>
        </is>
      </c>
      <c r="F1913" s="7" t="inlineStr">
        <is>
          <t>Soja</t>
        </is>
      </c>
      <c r="G1913" s="7" t="inlineStr">
        <is>
          <t>Cultura Autorizada na Bula</t>
        </is>
      </c>
      <c r="H1913" s="7" t="inlineStr">
        <is>
          <t>100 a 300 L/ha</t>
        </is>
      </c>
      <c r="I1913" s="7" t="inlineStr">
        <is>
          <t>20 a 40 L/ha</t>
        </is>
      </c>
      <c r="J1913" s="7" t="inlineStr">
        <is>
          <t>0 (Isento)</t>
        </is>
      </c>
    </row>
    <row r="1914" ht="22" customHeight="1">
      <c r="A1914" s="12" t="inlineStr">
        <is>
          <t>CUL-1910</t>
        </is>
      </c>
      <c r="B1914" s="11" t="n">
        <v>381</v>
      </c>
      <c r="C1914" s="13" t="inlineStr">
        <is>
          <t>Nº 34018</t>
        </is>
      </c>
      <c r="D1914" s="14" t="inlineStr">
        <is>
          <t>BIOLOGIC GUARD</t>
        </is>
      </c>
      <c r="E1914" s="13" t="inlineStr">
        <is>
          <t>Pulverização Agrícola Conforme Bula</t>
        </is>
      </c>
      <c r="F1914" s="13" t="inlineStr">
        <is>
          <t>Milho</t>
        </is>
      </c>
      <c r="G1914" s="13" t="inlineStr">
        <is>
          <t>Cultura Autorizada na Bula</t>
        </is>
      </c>
      <c r="H1914" s="13" t="inlineStr">
        <is>
          <t>100 a 300 L/ha</t>
        </is>
      </c>
      <c r="I1914" s="13" t="inlineStr">
        <is>
          <t>20 a 40 L/ha</t>
        </is>
      </c>
      <c r="J1914" s="13" t="inlineStr">
        <is>
          <t>0 (Isento)</t>
        </is>
      </c>
    </row>
    <row r="1915" ht="22" customHeight="1">
      <c r="A1915" s="6" t="inlineStr">
        <is>
          <t>CUL-1911</t>
        </is>
      </c>
      <c r="B1915" s="5" t="n">
        <v>381</v>
      </c>
      <c r="C1915" s="7" t="inlineStr">
        <is>
          <t>Nº 34018</t>
        </is>
      </c>
      <c r="D1915" s="8" t="inlineStr">
        <is>
          <t>BIOLOGIC GUARD</t>
        </is>
      </c>
      <c r="E1915" s="7" t="inlineStr">
        <is>
          <t>Pulverização Agrícola Conforme Bula</t>
        </is>
      </c>
      <c r="F1915" s="7" t="inlineStr">
        <is>
          <t>Feijão</t>
        </is>
      </c>
      <c r="G1915" s="7" t="inlineStr">
        <is>
          <t>Cultura Autorizada na Bula</t>
        </is>
      </c>
      <c r="H1915" s="7" t="inlineStr">
        <is>
          <t>100 a 300 L/ha</t>
        </is>
      </c>
      <c r="I1915" s="7" t="inlineStr">
        <is>
          <t>20 a 40 L/ha</t>
        </is>
      </c>
      <c r="J1915" s="7" t="inlineStr">
        <is>
          <t>0 (Isento)</t>
        </is>
      </c>
    </row>
    <row r="1916" ht="22" customHeight="1">
      <c r="A1916" s="12" t="inlineStr">
        <is>
          <t>CUL-1912</t>
        </is>
      </c>
      <c r="B1916" s="11" t="n">
        <v>381</v>
      </c>
      <c r="C1916" s="13" t="inlineStr">
        <is>
          <t>Nº 34018</t>
        </is>
      </c>
      <c r="D1916" s="14" t="inlineStr">
        <is>
          <t>BIOLOGIC GUARD</t>
        </is>
      </c>
      <c r="E1916" s="13" t="inlineStr">
        <is>
          <t>Pulverização Agrícola Conforme Bula</t>
        </is>
      </c>
      <c r="F1916" s="13" t="inlineStr">
        <is>
          <t>Algodão</t>
        </is>
      </c>
      <c r="G1916" s="13" t="inlineStr">
        <is>
          <t>Cultura Autorizada na Bula</t>
        </is>
      </c>
      <c r="H1916" s="13" t="inlineStr">
        <is>
          <t>100 a 300 L/ha</t>
        </is>
      </c>
      <c r="I1916" s="13" t="inlineStr">
        <is>
          <t>20 a 40 L/ha</t>
        </is>
      </c>
      <c r="J1916" s="13" t="inlineStr">
        <is>
          <t>0 (Isento)</t>
        </is>
      </c>
    </row>
    <row r="1917" ht="22" customHeight="1">
      <c r="A1917" s="6" t="inlineStr">
        <is>
          <t>CUL-1913</t>
        </is>
      </c>
      <c r="B1917" s="5" t="n">
        <v>382</v>
      </c>
      <c r="C1917" s="7" t="inlineStr">
        <is>
          <t>Nº 18022</t>
        </is>
      </c>
      <c r="D1917" s="8" t="inlineStr">
        <is>
          <t>TARBOX</t>
        </is>
      </c>
      <c r="E1917" s="7" t="inlineStr">
        <is>
          <t>Pulverização Agrícola Conforme Bula</t>
        </is>
      </c>
      <c r="F1917" s="7" t="inlineStr">
        <is>
          <t>Soja (Pré-Plantio / OGM)</t>
        </is>
      </c>
      <c r="G1917" s="7" t="inlineStr">
        <is>
          <t>Cultura Autorizada na Bula</t>
        </is>
      </c>
      <c r="H1917" s="7" t="inlineStr">
        <is>
          <t>100 a 300 L/ha</t>
        </is>
      </c>
      <c r="I1917" s="7" t="inlineStr">
        <is>
          <t>20 a 40 L/ha</t>
        </is>
      </c>
      <c r="J1917" s="7" t="inlineStr">
        <is>
          <t>60 dias</t>
        </is>
      </c>
    </row>
    <row r="1918" ht="22" customHeight="1">
      <c r="A1918" s="12" t="inlineStr">
        <is>
          <t>CUL-1914</t>
        </is>
      </c>
      <c r="B1918" s="11" t="n">
        <v>382</v>
      </c>
      <c r="C1918" s="13" t="inlineStr">
        <is>
          <t>Nº 18022</t>
        </is>
      </c>
      <c r="D1918" s="14" t="inlineStr">
        <is>
          <t>TARBOX</t>
        </is>
      </c>
      <c r="E1918" s="13" t="inlineStr">
        <is>
          <t>Pulverização Agrícola Conforme Bula</t>
        </is>
      </c>
      <c r="F1918" s="13" t="inlineStr">
        <is>
          <t>Milho (Pré-Plantio / OGM)</t>
        </is>
      </c>
      <c r="G1918" s="13" t="inlineStr">
        <is>
          <t>Cultura Autorizada na Bula</t>
        </is>
      </c>
      <c r="H1918" s="13" t="inlineStr">
        <is>
          <t>100 a 300 L/ha</t>
        </is>
      </c>
      <c r="I1918" s="13" t="inlineStr">
        <is>
          <t>20 a 40 L/ha</t>
        </is>
      </c>
      <c r="J1918" s="13" t="inlineStr">
        <is>
          <t>40 dias</t>
        </is>
      </c>
    </row>
    <row r="1919" ht="22" customHeight="1">
      <c r="A1919" s="6" t="inlineStr">
        <is>
          <t>CUL-1915</t>
        </is>
      </c>
      <c r="B1919" s="5" t="n">
        <v>382</v>
      </c>
      <c r="C1919" s="7" t="inlineStr">
        <is>
          <t>Nº 18022</t>
        </is>
      </c>
      <c r="D1919" s="8" t="inlineStr">
        <is>
          <t>TARBOX</t>
        </is>
      </c>
      <c r="E1919" s="7" t="inlineStr">
        <is>
          <t>Pulverização Agrícola Conforme Bula</t>
        </is>
      </c>
      <c r="F1919" s="7" t="inlineStr">
        <is>
          <t>Algodão (Pré-Plantio / OGM / Desfolha)</t>
        </is>
      </c>
      <c r="G1919" s="7" t="inlineStr">
        <is>
          <t>Cultura Autorizada na Bula</t>
        </is>
      </c>
      <c r="H1919" s="7" t="inlineStr">
        <is>
          <t>100 a 300 L/ha</t>
        </is>
      </c>
      <c r="I1919" s="7" t="inlineStr">
        <is>
          <t>20 a 40 L/ha</t>
        </is>
      </c>
      <c r="J1919" s="7" t="inlineStr">
        <is>
          <t>15 dias</t>
        </is>
      </c>
    </row>
    <row r="1920" ht="22" customHeight="1">
      <c r="A1920" s="12" t="inlineStr">
        <is>
          <t>CUL-1916</t>
        </is>
      </c>
      <c r="B1920" s="11" t="n">
        <v>382</v>
      </c>
      <c r="C1920" s="13" t="inlineStr">
        <is>
          <t>Nº 18022</t>
        </is>
      </c>
      <c r="D1920" s="14" t="inlineStr">
        <is>
          <t>TARBOX</t>
        </is>
      </c>
      <c r="E1920" s="13" t="inlineStr">
        <is>
          <t>Pulverização Agrícola Conforme Bula</t>
        </is>
      </c>
      <c r="F1920" s="13" t="inlineStr">
        <is>
          <t>Café (Jato Dirigido)</t>
        </is>
      </c>
      <c r="G1920" s="13" t="inlineStr">
        <is>
          <t>Cultura Autorizada na Bula</t>
        </is>
      </c>
      <c r="H1920" s="13" t="inlineStr">
        <is>
          <t>100 a 300 L/ha</t>
        </is>
      </c>
      <c r="I1920" s="13" t="inlineStr">
        <is>
          <t>20 a 40 L/ha</t>
        </is>
      </c>
      <c r="J1920" s="13" t="inlineStr">
        <is>
          <t>20 dias</t>
        </is>
      </c>
    </row>
    <row r="1921" ht="22" customHeight="1">
      <c r="A1921" s="6" t="inlineStr">
        <is>
          <t>CUL-1917</t>
        </is>
      </c>
      <c r="B1921" s="5" t="n">
        <v>382</v>
      </c>
      <c r="C1921" s="7" t="inlineStr">
        <is>
          <t>Nº 18022</t>
        </is>
      </c>
      <c r="D1921" s="8" t="inlineStr">
        <is>
          <t>TARBOX</t>
        </is>
      </c>
      <c r="E1921" s="7" t="inlineStr">
        <is>
          <t>Pulverização Agrícola Conforme Bula</t>
        </is>
      </c>
      <c r="F1921" s="7" t="inlineStr">
        <is>
          <t>Citros (Jato Dirigido)</t>
        </is>
      </c>
      <c r="G1921" s="7" t="inlineStr">
        <is>
          <t>Cultura Autorizada na Bula</t>
        </is>
      </c>
      <c r="H1921" s="7" t="inlineStr">
        <is>
          <t>100 a 300 L/ha</t>
        </is>
      </c>
      <c r="I1921" s="7" t="inlineStr">
        <is>
          <t>20 a 40 L/ha</t>
        </is>
      </c>
      <c r="J1921" s="7" t="inlineStr">
        <is>
          <t>40 dias</t>
        </is>
      </c>
    </row>
    <row r="1922" ht="22" customHeight="1">
      <c r="A1922" s="12" t="inlineStr">
        <is>
          <t>CUL-1918</t>
        </is>
      </c>
      <c r="B1922" s="11" t="n">
        <v>382</v>
      </c>
      <c r="C1922" s="13" t="inlineStr">
        <is>
          <t>Nº 18022</t>
        </is>
      </c>
      <c r="D1922" s="14" t="inlineStr">
        <is>
          <t>TARBOX</t>
        </is>
      </c>
      <c r="E1922" s="13" t="inlineStr">
        <is>
          <t>Pulverização Agrícola Conforme Bula</t>
        </is>
      </c>
      <c r="F1922" s="13" t="inlineStr">
        <is>
          <t>Trigo</t>
        </is>
      </c>
      <c r="G1922" s="13" t="inlineStr">
        <is>
          <t>Cultura Autorizada na Bula</t>
        </is>
      </c>
      <c r="H1922" s="13" t="inlineStr">
        <is>
          <t>100 a 300 L/ha</t>
        </is>
      </c>
      <c r="I1922" s="13" t="inlineStr">
        <is>
          <t>20 a 40 L/ha</t>
        </is>
      </c>
      <c r="J1922" s="13" t="inlineStr">
        <is>
          <t>N/D</t>
        </is>
      </c>
    </row>
    <row r="1923" ht="22" customHeight="1">
      <c r="A1923" s="6" t="inlineStr">
        <is>
          <t>CUL-1919</t>
        </is>
      </c>
      <c r="B1923" s="5" t="n">
        <v>383</v>
      </c>
      <c r="C1923" s="7" t="inlineStr">
        <is>
          <t>Nº 6922</t>
        </is>
      </c>
      <c r="D1923" s="8" t="inlineStr">
        <is>
          <t>COFENRIN</t>
        </is>
      </c>
      <c r="E1923" s="7" t="inlineStr">
        <is>
          <t>Pulverização Agrícola Conforme Bula</t>
        </is>
      </c>
      <c r="F1923" s="7" t="inlineStr">
        <is>
          <t>Algodão</t>
        </is>
      </c>
      <c r="G1923" s="7" t="inlineStr">
        <is>
          <t>Cultura Autorizada na Bula</t>
        </is>
      </c>
      <c r="H1923" s="7" t="inlineStr">
        <is>
          <t>100 a 300 L/ha</t>
        </is>
      </c>
      <c r="I1923" s="7" t="inlineStr">
        <is>
          <t>20 a 40 L/ha</t>
        </is>
      </c>
      <c r="J1923" s="7" t="inlineStr">
        <is>
          <t>15 dias</t>
        </is>
      </c>
    </row>
    <row r="1924" ht="22" customHeight="1">
      <c r="A1924" s="12" t="inlineStr">
        <is>
          <t>CUL-1920</t>
        </is>
      </c>
      <c r="B1924" s="11" t="n">
        <v>383</v>
      </c>
      <c r="C1924" s="13" t="inlineStr">
        <is>
          <t>Nº 6922</t>
        </is>
      </c>
      <c r="D1924" s="14" t="inlineStr">
        <is>
          <t>COFENRIN</t>
        </is>
      </c>
      <c r="E1924" s="13" t="inlineStr">
        <is>
          <t>Pulverização Agrícola Conforme Bula</t>
        </is>
      </c>
      <c r="F1924" s="13" t="inlineStr">
        <is>
          <t>Soja</t>
        </is>
      </c>
      <c r="G1924" s="13" t="inlineStr">
        <is>
          <t>Cultura Autorizada na Bula</t>
        </is>
      </c>
      <c r="H1924" s="13" t="inlineStr">
        <is>
          <t>100 a 300 L/ha</t>
        </is>
      </c>
      <c r="I1924" s="13" t="inlineStr">
        <is>
          <t>20 a 40 L/ha</t>
        </is>
      </c>
      <c r="J1924" s="13" t="inlineStr">
        <is>
          <t>30 dias</t>
        </is>
      </c>
    </row>
    <row r="1925" ht="22" customHeight="1">
      <c r="A1925" s="6" t="inlineStr">
        <is>
          <t>CUL-1921</t>
        </is>
      </c>
      <c r="B1925" s="5" t="n">
        <v>383</v>
      </c>
      <c r="C1925" s="7" t="inlineStr">
        <is>
          <t>Nº 6922</t>
        </is>
      </c>
      <c r="D1925" s="8" t="inlineStr">
        <is>
          <t>COFENRIN</t>
        </is>
      </c>
      <c r="E1925" s="7" t="inlineStr">
        <is>
          <t>Pulverização Agrícola Conforme Bula</t>
        </is>
      </c>
      <c r="F1925" s="7" t="inlineStr">
        <is>
          <t>Milho</t>
        </is>
      </c>
      <c r="G1925" s="7" t="inlineStr">
        <is>
          <t>Cultura Autorizada na Bula</t>
        </is>
      </c>
      <c r="H1925" s="7" t="inlineStr">
        <is>
          <t>100 a 300 L/ha</t>
        </is>
      </c>
      <c r="I1925" s="7" t="inlineStr">
        <is>
          <t>20 a 40 L/ha</t>
        </is>
      </c>
      <c r="J1925" s="7" t="inlineStr">
        <is>
          <t>30 dias</t>
        </is>
      </c>
    </row>
    <row r="1926" ht="22" customHeight="1">
      <c r="A1926" s="12" t="inlineStr">
        <is>
          <t>CUL-1922</t>
        </is>
      </c>
      <c r="B1926" s="11" t="n">
        <v>383</v>
      </c>
      <c r="C1926" s="13" t="inlineStr">
        <is>
          <t>Nº 6922</t>
        </is>
      </c>
      <c r="D1926" s="14" t="inlineStr">
        <is>
          <t>COFENRIN</t>
        </is>
      </c>
      <c r="E1926" s="13" t="inlineStr">
        <is>
          <t>Pulverização Agrícola Conforme Bula</t>
        </is>
      </c>
      <c r="F1926" s="13" t="inlineStr">
        <is>
          <t>Cana-de-açúcar</t>
        </is>
      </c>
      <c r="G1926" s="13" t="inlineStr">
        <is>
          <t>Cultura Autorizada na Bula</t>
        </is>
      </c>
      <c r="H1926" s="13" t="inlineStr">
        <is>
          <t>100 a 300 L/ha</t>
        </is>
      </c>
      <c r="I1926" s="13" t="inlineStr">
        <is>
          <t>20 a 40 L/ha</t>
        </is>
      </c>
      <c r="J1926" s="13" t="inlineStr">
        <is>
          <t>30 dias</t>
        </is>
      </c>
    </row>
    <row r="1927" ht="22" customHeight="1">
      <c r="A1927" s="6" t="inlineStr">
        <is>
          <t>CUL-1923</t>
        </is>
      </c>
      <c r="B1927" s="5" t="n">
        <v>383</v>
      </c>
      <c r="C1927" s="7" t="inlineStr">
        <is>
          <t>Nº 6922</t>
        </is>
      </c>
      <c r="D1927" s="8" t="inlineStr">
        <is>
          <t>COFENRIN</t>
        </is>
      </c>
      <c r="E1927" s="7" t="inlineStr">
        <is>
          <t>Pulverização Agrícola Conforme Bula</t>
        </is>
      </c>
      <c r="F1927" s="7" t="inlineStr">
        <is>
          <t>Café</t>
        </is>
      </c>
      <c r="G1927" s="7" t="inlineStr">
        <is>
          <t>Cultura Autorizada na Bula</t>
        </is>
      </c>
      <c r="H1927" s="7" t="inlineStr">
        <is>
          <t>100 a 300 L/ha</t>
        </is>
      </c>
      <c r="I1927" s="7" t="inlineStr">
        <is>
          <t>20 a 40 L/ha</t>
        </is>
      </c>
      <c r="J1927" s="7" t="inlineStr">
        <is>
          <t>30 dias</t>
        </is>
      </c>
    </row>
    <row r="1928" ht="22" customHeight="1">
      <c r="A1928" s="12" t="inlineStr">
        <is>
          <t>CUL-1924</t>
        </is>
      </c>
      <c r="B1928" s="11" t="n">
        <v>383</v>
      </c>
      <c r="C1928" s="13" t="inlineStr">
        <is>
          <t>Nº 6922</t>
        </is>
      </c>
      <c r="D1928" s="14" t="inlineStr">
        <is>
          <t>COFENRIN</t>
        </is>
      </c>
      <c r="E1928" s="13" t="inlineStr">
        <is>
          <t>Pulverização Agrícola Conforme Bula</t>
        </is>
      </c>
      <c r="F1928" s="13" t="inlineStr">
        <is>
          <t>Citros</t>
        </is>
      </c>
      <c r="G1928" s="13" t="inlineStr">
        <is>
          <t>Cultura Autorizada na Bula</t>
        </is>
      </c>
      <c r="H1928" s="13" t="inlineStr">
        <is>
          <t>100 a 300 L/ha</t>
        </is>
      </c>
      <c r="I1928" s="13" t="inlineStr">
        <is>
          <t>20 a 40 L/ha</t>
        </is>
      </c>
      <c r="J1928" s="13" t="inlineStr">
        <is>
          <t>7 dias</t>
        </is>
      </c>
    </row>
    <row r="1929" ht="22" customHeight="1">
      <c r="A1929" s="6" t="inlineStr">
        <is>
          <t>CUL-1925</t>
        </is>
      </c>
      <c r="B1929" s="5" t="n">
        <v>383</v>
      </c>
      <c r="C1929" s="7" t="inlineStr">
        <is>
          <t>Nº 6922</t>
        </is>
      </c>
      <c r="D1929" s="8" t="inlineStr">
        <is>
          <t>COFENRIN</t>
        </is>
      </c>
      <c r="E1929" s="7" t="inlineStr">
        <is>
          <t>Pulverização Agrícola Conforme Bula</t>
        </is>
      </c>
      <c r="F1929" s="7" t="inlineStr">
        <is>
          <t>Feijão</t>
        </is>
      </c>
      <c r="G1929" s="7" t="inlineStr">
        <is>
          <t>Cultura Autorizada na Bula</t>
        </is>
      </c>
      <c r="H1929" s="7" t="inlineStr">
        <is>
          <t>100 a 300 L/ha</t>
        </is>
      </c>
      <c r="I1929" s="7" t="inlineStr">
        <is>
          <t>20 a 40 L/ha</t>
        </is>
      </c>
      <c r="J1929" s="7" t="inlineStr">
        <is>
          <t>20 dias</t>
        </is>
      </c>
    </row>
    <row r="1930" ht="22" customHeight="1">
      <c r="A1930" s="12" t="inlineStr">
        <is>
          <t>CUL-1926</t>
        </is>
      </c>
      <c r="B1930" s="11" t="n">
        <v>383</v>
      </c>
      <c r="C1930" s="13" t="inlineStr">
        <is>
          <t>Nº 6922</t>
        </is>
      </c>
      <c r="D1930" s="14" t="inlineStr">
        <is>
          <t>COFENRIN</t>
        </is>
      </c>
      <c r="E1930" s="13" t="inlineStr">
        <is>
          <t>Pulverização Agrícola Conforme Bula</t>
        </is>
      </c>
      <c r="F1930" s="13" t="inlineStr">
        <is>
          <t>Trigo</t>
        </is>
      </c>
      <c r="G1930" s="13" t="inlineStr">
        <is>
          <t>Cultura Autorizada na Bula</t>
        </is>
      </c>
      <c r="H1930" s="13" t="inlineStr">
        <is>
          <t>100 a 300 L/ha</t>
        </is>
      </c>
      <c r="I1930" s="13" t="inlineStr">
        <is>
          <t>20 a 40 L/ha</t>
        </is>
      </c>
      <c r="J1930" s="13" t="inlineStr">
        <is>
          <t>30 dias</t>
        </is>
      </c>
    </row>
    <row r="1931" ht="22" customHeight="1">
      <c r="A1931" s="6" t="inlineStr">
        <is>
          <t>CUL-1927</t>
        </is>
      </c>
      <c r="B1931" s="5" t="n">
        <v>384</v>
      </c>
      <c r="C1931" s="7" t="inlineStr">
        <is>
          <t>SIPEAGRO (UF-XXXXX)</t>
        </is>
      </c>
      <c r="D1931" s="8" t="inlineStr">
        <is>
          <t>SSP FERTLIZANTE SIMPLES (VALIDAR FISCAL)</t>
        </is>
      </c>
      <c r="E1931" s="7" t="inlineStr">
        <is>
          <t>Adubação de Solo / Foliar</t>
        </is>
      </c>
      <c r="F1931" s="7" t="inlineStr">
        <is>
          <t>Soja</t>
        </is>
      </c>
      <c r="G1931" s="7" t="inlineStr">
        <is>
          <t>Cultura Autorizada na Bula</t>
        </is>
      </c>
      <c r="H1931" s="7" t="inlineStr">
        <is>
          <t>100 a 300 L/ha</t>
        </is>
      </c>
      <c r="I1931" s="7" t="inlineStr">
        <is>
          <t>20 a 40 L/ha</t>
        </is>
      </c>
      <c r="J1931" s="7" t="inlineStr">
        <is>
          <t>Isento</t>
        </is>
      </c>
    </row>
    <row r="1932" ht="22" customHeight="1">
      <c r="A1932" s="12" t="inlineStr">
        <is>
          <t>CUL-1928</t>
        </is>
      </c>
      <c r="B1932" s="11" t="n">
        <v>384</v>
      </c>
      <c r="C1932" s="13" t="inlineStr">
        <is>
          <t>SIPEAGRO (UF-XXXXX)</t>
        </is>
      </c>
      <c r="D1932" s="14" t="inlineStr">
        <is>
          <t>SSP FERTLIZANTE SIMPLES (VALIDAR FISCAL)</t>
        </is>
      </c>
      <c r="E1932" s="13" t="inlineStr">
        <is>
          <t>Adubação de Solo / Foliar</t>
        </is>
      </c>
      <c r="F1932" s="13" t="inlineStr">
        <is>
          <t>Milho</t>
        </is>
      </c>
      <c r="G1932" s="13" t="inlineStr">
        <is>
          <t>Cultura Autorizada na Bula</t>
        </is>
      </c>
      <c r="H1932" s="13" t="inlineStr">
        <is>
          <t>100 a 300 L/ha</t>
        </is>
      </c>
      <c r="I1932" s="13" t="inlineStr">
        <is>
          <t>20 a 40 L/ha</t>
        </is>
      </c>
      <c r="J1932" s="13" t="inlineStr">
        <is>
          <t>Isento</t>
        </is>
      </c>
    </row>
    <row r="1933" ht="22" customHeight="1">
      <c r="A1933" s="6" t="inlineStr">
        <is>
          <t>CUL-1929</t>
        </is>
      </c>
      <c r="B1933" s="5" t="n">
        <v>384</v>
      </c>
      <c r="C1933" s="7" t="inlineStr">
        <is>
          <t>SIPEAGRO (UF-XXXXX)</t>
        </is>
      </c>
      <c r="D1933" s="8" t="inlineStr">
        <is>
          <t>SSP FERTLIZANTE SIMPLES (VALIDAR FISCAL)</t>
        </is>
      </c>
      <c r="E1933" s="7" t="inlineStr">
        <is>
          <t>Adubação de Solo / Foliar</t>
        </is>
      </c>
      <c r="F1933" s="7" t="inlineStr">
        <is>
          <t>Algodão</t>
        </is>
      </c>
      <c r="G1933" s="7" t="inlineStr">
        <is>
          <t>Cultura Autorizada na Bula</t>
        </is>
      </c>
      <c r="H1933" s="7" t="inlineStr">
        <is>
          <t>100 a 300 L/ha</t>
        </is>
      </c>
      <c r="I1933" s="7" t="inlineStr">
        <is>
          <t>20 a 40 L/ha</t>
        </is>
      </c>
      <c r="J1933" s="7" t="inlineStr">
        <is>
          <t>Isento</t>
        </is>
      </c>
    </row>
    <row r="1934" ht="22" customHeight="1">
      <c r="A1934" s="12" t="inlineStr">
        <is>
          <t>CUL-1930</t>
        </is>
      </c>
      <c r="B1934" s="11" t="n">
        <v>384</v>
      </c>
      <c r="C1934" s="13" t="inlineStr">
        <is>
          <t>SIPEAGRO (UF-XXXXX)</t>
        </is>
      </c>
      <c r="D1934" s="14" t="inlineStr">
        <is>
          <t>SSP FERTLIZANTE SIMPLES (VALIDAR FISCAL)</t>
        </is>
      </c>
      <c r="E1934" s="13" t="inlineStr">
        <is>
          <t>Adubação de Solo / Foliar</t>
        </is>
      </c>
      <c r="F1934" s="13" t="inlineStr">
        <is>
          <t>Cana-de-açúcar</t>
        </is>
      </c>
      <c r="G1934" s="13" t="inlineStr">
        <is>
          <t>Cultura Autorizada na Bula</t>
        </is>
      </c>
      <c r="H1934" s="13" t="inlineStr">
        <is>
          <t>100 a 300 L/ha</t>
        </is>
      </c>
      <c r="I1934" s="13" t="inlineStr">
        <is>
          <t>20 a 40 L/ha</t>
        </is>
      </c>
      <c r="J1934" s="13" t="inlineStr">
        <is>
          <t>Isento</t>
        </is>
      </c>
    </row>
    <row r="1935" ht="22" customHeight="1">
      <c r="A1935" s="6" t="inlineStr">
        <is>
          <t>CUL-1931</t>
        </is>
      </c>
      <c r="B1935" s="5" t="n">
        <v>384</v>
      </c>
      <c r="C1935" s="7" t="inlineStr">
        <is>
          <t>SIPEAGRO (UF-XXXXX)</t>
        </is>
      </c>
      <c r="D1935" s="8" t="inlineStr">
        <is>
          <t>SSP FERTLIZANTE SIMPLES (VALIDAR FISCAL)</t>
        </is>
      </c>
      <c r="E1935" s="7" t="inlineStr">
        <is>
          <t>Adubação de Solo / Foliar</t>
        </is>
      </c>
      <c r="F1935" s="7" t="inlineStr">
        <is>
          <t>Café</t>
        </is>
      </c>
      <c r="G1935" s="7" t="inlineStr">
        <is>
          <t>Cultura Autorizada na Bula</t>
        </is>
      </c>
      <c r="H1935" s="7" t="inlineStr">
        <is>
          <t>100 a 300 L/ha</t>
        </is>
      </c>
      <c r="I1935" s="7" t="inlineStr">
        <is>
          <t>20 a 40 L/ha</t>
        </is>
      </c>
      <c r="J1935" s="7" t="inlineStr">
        <is>
          <t>Isento</t>
        </is>
      </c>
    </row>
    <row r="1936" ht="22" customHeight="1">
      <c r="A1936" s="12" t="inlineStr">
        <is>
          <t>CUL-1932</t>
        </is>
      </c>
      <c r="B1936" s="11" t="n">
        <v>385</v>
      </c>
      <c r="C1936" s="13" t="inlineStr">
        <is>
          <t>SIPEAGRO (UF-XXXXX)</t>
        </is>
      </c>
      <c r="D1936" s="14" t="inlineStr">
        <is>
          <t>MAP FERTLIZANTES SIMPLES</t>
        </is>
      </c>
      <c r="E1936" s="13" t="inlineStr">
        <is>
          <t>Adubação de Solo / Foliar</t>
        </is>
      </c>
      <c r="F1936" s="13" t="inlineStr">
        <is>
          <t>Soja</t>
        </is>
      </c>
      <c r="G1936" s="13" t="inlineStr">
        <is>
          <t>Cultura Autorizada na Bula</t>
        </is>
      </c>
      <c r="H1936" s="13" t="inlineStr">
        <is>
          <t>100 a 300 L/ha</t>
        </is>
      </c>
      <c r="I1936" s="13" t="inlineStr">
        <is>
          <t>20 a 40 L/ha</t>
        </is>
      </c>
      <c r="J1936" s="13" t="inlineStr">
        <is>
          <t>Isento</t>
        </is>
      </c>
    </row>
    <row r="1937" ht="22" customHeight="1">
      <c r="A1937" s="6" t="inlineStr">
        <is>
          <t>CUL-1933</t>
        </is>
      </c>
      <c r="B1937" s="5" t="n">
        <v>385</v>
      </c>
      <c r="C1937" s="7" t="inlineStr">
        <is>
          <t>SIPEAGRO (UF-XXXXX)</t>
        </is>
      </c>
      <c r="D1937" s="8" t="inlineStr">
        <is>
          <t>MAP FERTLIZANTES SIMPLES</t>
        </is>
      </c>
      <c r="E1937" s="7" t="inlineStr">
        <is>
          <t>Adubação de Solo / Foliar</t>
        </is>
      </c>
      <c r="F1937" s="7" t="inlineStr">
        <is>
          <t>Milho</t>
        </is>
      </c>
      <c r="G1937" s="7" t="inlineStr">
        <is>
          <t>Cultura Autorizada na Bula</t>
        </is>
      </c>
      <c r="H1937" s="7" t="inlineStr">
        <is>
          <t>100 a 300 L/ha</t>
        </is>
      </c>
      <c r="I1937" s="7" t="inlineStr">
        <is>
          <t>20 a 40 L/ha</t>
        </is>
      </c>
      <c r="J1937" s="7" t="inlineStr">
        <is>
          <t>Isento</t>
        </is>
      </c>
    </row>
    <row r="1938" ht="22" customHeight="1">
      <c r="A1938" s="12" t="inlineStr">
        <is>
          <t>CUL-1934</t>
        </is>
      </c>
      <c r="B1938" s="11" t="n">
        <v>385</v>
      </c>
      <c r="C1938" s="13" t="inlineStr">
        <is>
          <t>SIPEAGRO (UF-XXXXX)</t>
        </is>
      </c>
      <c r="D1938" s="14" t="inlineStr">
        <is>
          <t>MAP FERTLIZANTES SIMPLES</t>
        </is>
      </c>
      <c r="E1938" s="13" t="inlineStr">
        <is>
          <t>Adubação de Solo / Foliar</t>
        </is>
      </c>
      <c r="F1938" s="13" t="inlineStr">
        <is>
          <t>Algodão</t>
        </is>
      </c>
      <c r="G1938" s="13" t="inlineStr">
        <is>
          <t>Cultura Autorizada na Bula</t>
        </is>
      </c>
      <c r="H1938" s="13" t="inlineStr">
        <is>
          <t>100 a 300 L/ha</t>
        </is>
      </c>
      <c r="I1938" s="13" t="inlineStr">
        <is>
          <t>20 a 40 L/ha</t>
        </is>
      </c>
      <c r="J1938" s="13" t="inlineStr">
        <is>
          <t>Isento</t>
        </is>
      </c>
    </row>
    <row r="1939" ht="22" customHeight="1">
      <c r="A1939" s="6" t="inlineStr">
        <is>
          <t>CUL-1935</t>
        </is>
      </c>
      <c r="B1939" s="5" t="n">
        <v>385</v>
      </c>
      <c r="C1939" s="7" t="inlineStr">
        <is>
          <t>SIPEAGRO (UF-XXXXX)</t>
        </is>
      </c>
      <c r="D1939" s="8" t="inlineStr">
        <is>
          <t>MAP FERTLIZANTES SIMPLES</t>
        </is>
      </c>
      <c r="E1939" s="7" t="inlineStr">
        <is>
          <t>Adubação de Solo / Foliar</t>
        </is>
      </c>
      <c r="F1939" s="7" t="inlineStr">
        <is>
          <t>Cana-de-açúcar</t>
        </is>
      </c>
      <c r="G1939" s="7" t="inlineStr">
        <is>
          <t>Cultura Autorizada na Bula</t>
        </is>
      </c>
      <c r="H1939" s="7" t="inlineStr">
        <is>
          <t>100 a 300 L/ha</t>
        </is>
      </c>
      <c r="I1939" s="7" t="inlineStr">
        <is>
          <t>20 a 40 L/ha</t>
        </is>
      </c>
      <c r="J1939" s="7" t="inlineStr">
        <is>
          <t>Isento</t>
        </is>
      </c>
    </row>
    <row r="1940" ht="22" customHeight="1">
      <c r="A1940" s="12" t="inlineStr">
        <is>
          <t>CUL-1936</t>
        </is>
      </c>
      <c r="B1940" s="11" t="n">
        <v>385</v>
      </c>
      <c r="C1940" s="13" t="inlineStr">
        <is>
          <t>SIPEAGRO (UF-XXXXX)</t>
        </is>
      </c>
      <c r="D1940" s="14" t="inlineStr">
        <is>
          <t>MAP FERTLIZANTES SIMPLES</t>
        </is>
      </c>
      <c r="E1940" s="13" t="inlineStr">
        <is>
          <t>Adubação de Solo / Foliar</t>
        </is>
      </c>
      <c r="F1940" s="13" t="inlineStr">
        <is>
          <t>Café</t>
        </is>
      </c>
      <c r="G1940" s="13" t="inlineStr">
        <is>
          <t>Cultura Autorizada na Bula</t>
        </is>
      </c>
      <c r="H1940" s="13" t="inlineStr">
        <is>
          <t>100 a 300 L/ha</t>
        </is>
      </c>
      <c r="I1940" s="13" t="inlineStr">
        <is>
          <t>20 a 40 L/ha</t>
        </is>
      </c>
      <c r="J1940" s="13" t="inlineStr">
        <is>
          <t>Isento</t>
        </is>
      </c>
    </row>
    <row r="1941" ht="22" customHeight="1">
      <c r="A1941" s="6" t="inlineStr">
        <is>
          <t>CUL-1937</t>
        </is>
      </c>
      <c r="B1941" s="5" t="n">
        <v>386</v>
      </c>
      <c r="C1941" s="7" t="inlineStr">
        <is>
          <t>SIPEAGRO (UF-XXXXX)</t>
        </is>
      </c>
      <c r="D1941" s="8" t="inlineStr">
        <is>
          <t>VITA ACCION</t>
        </is>
      </c>
      <c r="E1941" s="7" t="inlineStr">
        <is>
          <t>Adubação de Solo / Foliar</t>
        </is>
      </c>
      <c r="F1941" s="7" t="inlineStr">
        <is>
          <t>Soja</t>
        </is>
      </c>
      <c r="G1941" s="7" t="inlineStr">
        <is>
          <t>Cultura Autorizada na Bula</t>
        </is>
      </c>
      <c r="H1941" s="7" t="inlineStr">
        <is>
          <t>100 a 300 L/ha</t>
        </is>
      </c>
      <c r="I1941" s="7" t="inlineStr">
        <is>
          <t>20 a 40 L/ha</t>
        </is>
      </c>
      <c r="J1941" s="7" t="inlineStr">
        <is>
          <t>Isento</t>
        </is>
      </c>
    </row>
    <row r="1942" ht="22" customHeight="1">
      <c r="A1942" s="12" t="inlineStr">
        <is>
          <t>CUL-1938</t>
        </is>
      </c>
      <c r="B1942" s="11" t="n">
        <v>386</v>
      </c>
      <c r="C1942" s="13" t="inlineStr">
        <is>
          <t>SIPEAGRO (UF-XXXXX)</t>
        </is>
      </c>
      <c r="D1942" s="14" t="inlineStr">
        <is>
          <t>VITA ACCION</t>
        </is>
      </c>
      <c r="E1942" s="13" t="inlineStr">
        <is>
          <t>Adubação de Solo / Foliar</t>
        </is>
      </c>
      <c r="F1942" s="13" t="inlineStr">
        <is>
          <t>Milho</t>
        </is>
      </c>
      <c r="G1942" s="13" t="inlineStr">
        <is>
          <t>Cultura Autorizada na Bula</t>
        </is>
      </c>
      <c r="H1942" s="13" t="inlineStr">
        <is>
          <t>100 a 300 L/ha</t>
        </is>
      </c>
      <c r="I1942" s="13" t="inlineStr">
        <is>
          <t>20 a 40 L/ha</t>
        </is>
      </c>
      <c r="J1942" s="13" t="inlineStr">
        <is>
          <t>Isento</t>
        </is>
      </c>
    </row>
    <row r="1943" ht="22" customHeight="1">
      <c r="A1943" s="6" t="inlineStr">
        <is>
          <t>CUL-1939</t>
        </is>
      </c>
      <c r="B1943" s="5" t="n">
        <v>386</v>
      </c>
      <c r="C1943" s="7" t="inlineStr">
        <is>
          <t>SIPEAGRO (UF-XXXXX)</t>
        </is>
      </c>
      <c r="D1943" s="8" t="inlineStr">
        <is>
          <t>VITA ACCION</t>
        </is>
      </c>
      <c r="E1943" s="7" t="inlineStr">
        <is>
          <t>Adubação de Solo / Foliar</t>
        </is>
      </c>
      <c r="F1943" s="7" t="inlineStr">
        <is>
          <t>Algodão</t>
        </is>
      </c>
      <c r="G1943" s="7" t="inlineStr">
        <is>
          <t>Cultura Autorizada na Bula</t>
        </is>
      </c>
      <c r="H1943" s="7" t="inlineStr">
        <is>
          <t>100 a 300 L/ha</t>
        </is>
      </c>
      <c r="I1943" s="7" t="inlineStr">
        <is>
          <t>20 a 40 L/ha</t>
        </is>
      </c>
      <c r="J1943" s="7" t="inlineStr">
        <is>
          <t>Isento</t>
        </is>
      </c>
    </row>
    <row r="1944" ht="22" customHeight="1">
      <c r="A1944" s="12" t="inlineStr">
        <is>
          <t>CUL-1940</t>
        </is>
      </c>
      <c r="B1944" s="11" t="n">
        <v>386</v>
      </c>
      <c r="C1944" s="13" t="inlineStr">
        <is>
          <t>SIPEAGRO (UF-XXXXX)</t>
        </is>
      </c>
      <c r="D1944" s="14" t="inlineStr">
        <is>
          <t>VITA ACCION</t>
        </is>
      </c>
      <c r="E1944" s="13" t="inlineStr">
        <is>
          <t>Adubação de Solo / Foliar</t>
        </is>
      </c>
      <c r="F1944" s="13" t="inlineStr">
        <is>
          <t>Cana-de-açúcar</t>
        </is>
      </c>
      <c r="G1944" s="13" t="inlineStr">
        <is>
          <t>Cultura Autorizada na Bula</t>
        </is>
      </c>
      <c r="H1944" s="13" t="inlineStr">
        <is>
          <t>100 a 300 L/ha</t>
        </is>
      </c>
      <c r="I1944" s="13" t="inlineStr">
        <is>
          <t>20 a 40 L/ha</t>
        </is>
      </c>
      <c r="J1944" s="13" t="inlineStr">
        <is>
          <t>Isento</t>
        </is>
      </c>
    </row>
    <row r="1945" ht="22" customHeight="1">
      <c r="A1945" s="6" t="inlineStr">
        <is>
          <t>CUL-1941</t>
        </is>
      </c>
      <c r="B1945" s="5" t="n">
        <v>386</v>
      </c>
      <c r="C1945" s="7" t="inlineStr">
        <is>
          <t>SIPEAGRO (UF-XXXXX)</t>
        </is>
      </c>
      <c r="D1945" s="8" t="inlineStr">
        <is>
          <t>VITA ACCION</t>
        </is>
      </c>
      <c r="E1945" s="7" t="inlineStr">
        <is>
          <t>Adubação de Solo / Foliar</t>
        </is>
      </c>
      <c r="F1945" s="7" t="inlineStr">
        <is>
          <t>Café</t>
        </is>
      </c>
      <c r="G1945" s="7" t="inlineStr">
        <is>
          <t>Cultura Autorizada na Bula</t>
        </is>
      </c>
      <c r="H1945" s="7" t="inlineStr">
        <is>
          <t>100 a 300 L/ha</t>
        </is>
      </c>
      <c r="I1945" s="7" t="inlineStr">
        <is>
          <t>20 a 40 L/ha</t>
        </is>
      </c>
      <c r="J1945" s="7" t="inlineStr">
        <is>
          <t>Isento</t>
        </is>
      </c>
    </row>
    <row r="1946" ht="22" customHeight="1">
      <c r="A1946" s="12" t="inlineStr">
        <is>
          <t>CUL-1942</t>
        </is>
      </c>
      <c r="B1946" s="11" t="n">
        <v>387</v>
      </c>
      <c r="C1946" s="13" t="inlineStr">
        <is>
          <t>SIPEAGRO (UF-XXXXX)</t>
        </is>
      </c>
      <c r="D1946" s="14" t="inlineStr">
        <is>
          <t>EFISOIL SUPERBIA</t>
        </is>
      </c>
      <c r="E1946" s="13" t="inlineStr">
        <is>
          <t>Adubação de Solo / Foliar</t>
        </is>
      </c>
      <c r="F1946" s="13" t="inlineStr">
        <is>
          <t>Soja</t>
        </is>
      </c>
      <c r="G1946" s="13" t="inlineStr">
        <is>
          <t>Cultura Autorizada na Bula</t>
        </is>
      </c>
      <c r="H1946" s="13" t="inlineStr">
        <is>
          <t>100 a 300 L/ha</t>
        </is>
      </c>
      <c r="I1946" s="13" t="inlineStr">
        <is>
          <t>20 a 40 L/ha</t>
        </is>
      </c>
      <c r="J1946" s="13" t="inlineStr">
        <is>
          <t>Isento</t>
        </is>
      </c>
    </row>
    <row r="1947" ht="22" customHeight="1">
      <c r="A1947" s="6" t="inlineStr">
        <is>
          <t>CUL-1943</t>
        </is>
      </c>
      <c r="B1947" s="5" t="n">
        <v>387</v>
      </c>
      <c r="C1947" s="7" t="inlineStr">
        <is>
          <t>SIPEAGRO (UF-XXXXX)</t>
        </is>
      </c>
      <c r="D1947" s="8" t="inlineStr">
        <is>
          <t>EFISOIL SUPERBIA</t>
        </is>
      </c>
      <c r="E1947" s="7" t="inlineStr">
        <is>
          <t>Adubação de Solo / Foliar</t>
        </is>
      </c>
      <c r="F1947" s="7" t="inlineStr">
        <is>
          <t>Milho</t>
        </is>
      </c>
      <c r="G1947" s="7" t="inlineStr">
        <is>
          <t>Cultura Autorizada na Bula</t>
        </is>
      </c>
      <c r="H1947" s="7" t="inlineStr">
        <is>
          <t>100 a 300 L/ha</t>
        </is>
      </c>
      <c r="I1947" s="7" t="inlineStr">
        <is>
          <t>20 a 40 L/ha</t>
        </is>
      </c>
      <c r="J1947" s="7" t="inlineStr">
        <is>
          <t>Isento</t>
        </is>
      </c>
    </row>
    <row r="1948" ht="22" customHeight="1">
      <c r="A1948" s="12" t="inlineStr">
        <is>
          <t>CUL-1944</t>
        </is>
      </c>
      <c r="B1948" s="11" t="n">
        <v>387</v>
      </c>
      <c r="C1948" s="13" t="inlineStr">
        <is>
          <t>SIPEAGRO (UF-XXXXX)</t>
        </is>
      </c>
      <c r="D1948" s="14" t="inlineStr">
        <is>
          <t>EFISOIL SUPERBIA</t>
        </is>
      </c>
      <c r="E1948" s="13" t="inlineStr">
        <is>
          <t>Adubação de Solo / Foliar</t>
        </is>
      </c>
      <c r="F1948" s="13" t="inlineStr">
        <is>
          <t>Algodão</t>
        </is>
      </c>
      <c r="G1948" s="13" t="inlineStr">
        <is>
          <t>Cultura Autorizada na Bula</t>
        </is>
      </c>
      <c r="H1948" s="13" t="inlineStr">
        <is>
          <t>100 a 300 L/ha</t>
        </is>
      </c>
      <c r="I1948" s="13" t="inlineStr">
        <is>
          <t>20 a 40 L/ha</t>
        </is>
      </c>
      <c r="J1948" s="13" t="inlineStr">
        <is>
          <t>Isento</t>
        </is>
      </c>
    </row>
    <row r="1949" ht="22" customHeight="1">
      <c r="A1949" s="6" t="inlineStr">
        <is>
          <t>CUL-1945</t>
        </is>
      </c>
      <c r="B1949" s="5" t="n">
        <v>387</v>
      </c>
      <c r="C1949" s="7" t="inlineStr">
        <is>
          <t>SIPEAGRO (UF-XXXXX)</t>
        </is>
      </c>
      <c r="D1949" s="8" t="inlineStr">
        <is>
          <t>EFISOIL SUPERBIA</t>
        </is>
      </c>
      <c r="E1949" s="7" t="inlineStr">
        <is>
          <t>Adubação de Solo / Foliar</t>
        </is>
      </c>
      <c r="F1949" s="7" t="inlineStr">
        <is>
          <t>Cana-de-açúcar</t>
        </is>
      </c>
      <c r="G1949" s="7" t="inlineStr">
        <is>
          <t>Cultura Autorizada na Bula</t>
        </is>
      </c>
      <c r="H1949" s="7" t="inlineStr">
        <is>
          <t>100 a 300 L/ha</t>
        </is>
      </c>
      <c r="I1949" s="7" t="inlineStr">
        <is>
          <t>20 a 40 L/ha</t>
        </is>
      </c>
      <c r="J1949" s="7" t="inlineStr">
        <is>
          <t>Isento</t>
        </is>
      </c>
    </row>
    <row r="1950" ht="22" customHeight="1">
      <c r="A1950" s="12" t="inlineStr">
        <is>
          <t>CUL-1946</t>
        </is>
      </c>
      <c r="B1950" s="11" t="n">
        <v>387</v>
      </c>
      <c r="C1950" s="13" t="inlineStr">
        <is>
          <t>SIPEAGRO (UF-XXXXX)</t>
        </is>
      </c>
      <c r="D1950" s="14" t="inlineStr">
        <is>
          <t>EFISOIL SUPERBIA</t>
        </is>
      </c>
      <c r="E1950" s="13" t="inlineStr">
        <is>
          <t>Adubação de Solo / Foliar</t>
        </is>
      </c>
      <c r="F1950" s="13" t="inlineStr">
        <is>
          <t>Café</t>
        </is>
      </c>
      <c r="G1950" s="13" t="inlineStr">
        <is>
          <t>Cultura Autorizada na Bula</t>
        </is>
      </c>
      <c r="H1950" s="13" t="inlineStr">
        <is>
          <t>100 a 300 L/ha</t>
        </is>
      </c>
      <c r="I1950" s="13" t="inlineStr">
        <is>
          <t>20 a 40 L/ha</t>
        </is>
      </c>
      <c r="J1950" s="13" t="inlineStr">
        <is>
          <t>Isento</t>
        </is>
      </c>
    </row>
    <row r="1951" ht="22" customHeight="1">
      <c r="A1951" s="6" t="inlineStr">
        <is>
          <t>CUL-1947</t>
        </is>
      </c>
      <c r="B1951" s="5" t="n">
        <v>388</v>
      </c>
      <c r="C1951" s="7" t="inlineStr">
        <is>
          <t>SIPEAGRO (UF-XXXXX)</t>
        </is>
      </c>
      <c r="D1951" s="8" t="inlineStr">
        <is>
          <t>EFISOIL SUPERBIA AZON</t>
        </is>
      </c>
      <c r="E1951" s="7" t="inlineStr">
        <is>
          <t>Adubação de Solo / Foliar</t>
        </is>
      </c>
      <c r="F1951" s="7" t="inlineStr">
        <is>
          <t>Soja</t>
        </is>
      </c>
      <c r="G1951" s="7" t="inlineStr">
        <is>
          <t>Cultura Autorizada na Bula</t>
        </is>
      </c>
      <c r="H1951" s="7" t="inlineStr">
        <is>
          <t>100 a 300 L/ha</t>
        </is>
      </c>
      <c r="I1951" s="7" t="inlineStr">
        <is>
          <t>20 a 40 L/ha</t>
        </is>
      </c>
      <c r="J1951" s="7" t="inlineStr">
        <is>
          <t>Isento</t>
        </is>
      </c>
    </row>
    <row r="1952" ht="22" customHeight="1">
      <c r="A1952" s="12" t="inlineStr">
        <is>
          <t>CUL-1948</t>
        </is>
      </c>
      <c r="B1952" s="11" t="n">
        <v>388</v>
      </c>
      <c r="C1952" s="13" t="inlineStr">
        <is>
          <t>SIPEAGRO (UF-XXXXX)</t>
        </is>
      </c>
      <c r="D1952" s="14" t="inlineStr">
        <is>
          <t>EFISOIL SUPERBIA AZON</t>
        </is>
      </c>
      <c r="E1952" s="13" t="inlineStr">
        <is>
          <t>Adubação de Solo / Foliar</t>
        </is>
      </c>
      <c r="F1952" s="13" t="inlineStr">
        <is>
          <t>Milho</t>
        </is>
      </c>
      <c r="G1952" s="13" t="inlineStr">
        <is>
          <t>Cultura Autorizada na Bula</t>
        </is>
      </c>
      <c r="H1952" s="13" t="inlineStr">
        <is>
          <t>100 a 300 L/ha</t>
        </is>
      </c>
      <c r="I1952" s="13" t="inlineStr">
        <is>
          <t>20 a 40 L/ha</t>
        </is>
      </c>
      <c r="J1952" s="13" t="inlineStr">
        <is>
          <t>Isento</t>
        </is>
      </c>
    </row>
    <row r="1953" ht="22" customHeight="1">
      <c r="A1953" s="6" t="inlineStr">
        <is>
          <t>CUL-1949</t>
        </is>
      </c>
      <c r="B1953" s="5" t="n">
        <v>388</v>
      </c>
      <c r="C1953" s="7" t="inlineStr">
        <is>
          <t>SIPEAGRO (UF-XXXXX)</t>
        </is>
      </c>
      <c r="D1953" s="8" t="inlineStr">
        <is>
          <t>EFISOIL SUPERBIA AZON</t>
        </is>
      </c>
      <c r="E1953" s="7" t="inlineStr">
        <is>
          <t>Adubação de Solo / Foliar</t>
        </is>
      </c>
      <c r="F1953" s="7" t="inlineStr">
        <is>
          <t>Algodão</t>
        </is>
      </c>
      <c r="G1953" s="7" t="inlineStr">
        <is>
          <t>Cultura Autorizada na Bula</t>
        </is>
      </c>
      <c r="H1953" s="7" t="inlineStr">
        <is>
          <t>100 a 300 L/ha</t>
        </is>
      </c>
      <c r="I1953" s="7" t="inlineStr">
        <is>
          <t>20 a 40 L/ha</t>
        </is>
      </c>
      <c r="J1953" s="7" t="inlineStr">
        <is>
          <t>Isento</t>
        </is>
      </c>
    </row>
    <row r="1954" ht="22" customHeight="1">
      <c r="A1954" s="12" t="inlineStr">
        <is>
          <t>CUL-1950</t>
        </is>
      </c>
      <c r="B1954" s="11" t="n">
        <v>388</v>
      </c>
      <c r="C1954" s="13" t="inlineStr">
        <is>
          <t>SIPEAGRO (UF-XXXXX)</t>
        </is>
      </c>
      <c r="D1954" s="14" t="inlineStr">
        <is>
          <t>EFISOIL SUPERBIA AZON</t>
        </is>
      </c>
      <c r="E1954" s="13" t="inlineStr">
        <is>
          <t>Adubação de Solo / Foliar</t>
        </is>
      </c>
      <c r="F1954" s="13" t="inlineStr">
        <is>
          <t>Cana-de-açúcar</t>
        </is>
      </c>
      <c r="G1954" s="13" t="inlineStr">
        <is>
          <t>Cultura Autorizada na Bula</t>
        </is>
      </c>
      <c r="H1954" s="13" t="inlineStr">
        <is>
          <t>100 a 300 L/ha</t>
        </is>
      </c>
      <c r="I1954" s="13" t="inlineStr">
        <is>
          <t>20 a 40 L/ha</t>
        </is>
      </c>
      <c r="J1954" s="13" t="inlineStr">
        <is>
          <t>Isento</t>
        </is>
      </c>
    </row>
    <row r="1955" ht="22" customHeight="1">
      <c r="A1955" s="6" t="inlineStr">
        <is>
          <t>CUL-1951</t>
        </is>
      </c>
      <c r="B1955" s="5" t="n">
        <v>388</v>
      </c>
      <c r="C1955" s="7" t="inlineStr">
        <is>
          <t>SIPEAGRO (UF-XXXXX)</t>
        </is>
      </c>
      <c r="D1955" s="8" t="inlineStr">
        <is>
          <t>EFISOIL SUPERBIA AZON</t>
        </is>
      </c>
      <c r="E1955" s="7" t="inlineStr">
        <is>
          <t>Adubação de Solo / Foliar</t>
        </is>
      </c>
      <c r="F1955" s="7" t="inlineStr">
        <is>
          <t>Café</t>
        </is>
      </c>
      <c r="G1955" s="7" t="inlineStr">
        <is>
          <t>Cultura Autorizada na Bula</t>
        </is>
      </c>
      <c r="H1955" s="7" t="inlineStr">
        <is>
          <t>100 a 300 L/ha</t>
        </is>
      </c>
      <c r="I1955" s="7" t="inlineStr">
        <is>
          <t>20 a 40 L/ha</t>
        </is>
      </c>
      <c r="J1955" s="7" t="inlineStr">
        <is>
          <t>Isento</t>
        </is>
      </c>
    </row>
    <row r="1956" ht="22" customHeight="1">
      <c r="A1956" s="12" t="inlineStr">
        <is>
          <t>CUL-1952</t>
        </is>
      </c>
      <c r="B1956" s="11" t="n">
        <v>389</v>
      </c>
      <c r="C1956" s="13" t="inlineStr">
        <is>
          <t>SIPEAGRO (UF-XXXXX)</t>
        </is>
      </c>
      <c r="D1956" s="14" t="inlineStr">
        <is>
          <t>FOSFORITA 25 FARELADO BAG</t>
        </is>
      </c>
      <c r="E1956" s="13" t="inlineStr">
        <is>
          <t>Adubação de Solo / Foliar</t>
        </is>
      </c>
      <c r="F1956" s="13" t="inlineStr">
        <is>
          <t>Soja</t>
        </is>
      </c>
      <c r="G1956" s="13" t="inlineStr">
        <is>
          <t>Cultura Autorizada na Bula</t>
        </is>
      </c>
      <c r="H1956" s="13" t="inlineStr">
        <is>
          <t>100 a 300 L/ha</t>
        </is>
      </c>
      <c r="I1956" s="13" t="inlineStr">
        <is>
          <t>20 a 40 L/ha</t>
        </is>
      </c>
      <c r="J1956" s="13" t="inlineStr">
        <is>
          <t>Isento</t>
        </is>
      </c>
    </row>
    <row r="1957" ht="22" customHeight="1">
      <c r="A1957" s="6" t="inlineStr">
        <is>
          <t>CUL-1953</t>
        </is>
      </c>
      <c r="B1957" s="5" t="n">
        <v>389</v>
      </c>
      <c r="C1957" s="7" t="inlineStr">
        <is>
          <t>SIPEAGRO (UF-XXXXX)</t>
        </is>
      </c>
      <c r="D1957" s="8" t="inlineStr">
        <is>
          <t>FOSFORITA 25 FARELADO BAG</t>
        </is>
      </c>
      <c r="E1957" s="7" t="inlineStr">
        <is>
          <t>Adubação de Solo / Foliar</t>
        </is>
      </c>
      <c r="F1957" s="7" t="inlineStr">
        <is>
          <t>Milho</t>
        </is>
      </c>
      <c r="G1957" s="7" t="inlineStr">
        <is>
          <t>Cultura Autorizada na Bula</t>
        </is>
      </c>
      <c r="H1957" s="7" t="inlineStr">
        <is>
          <t>100 a 300 L/ha</t>
        </is>
      </c>
      <c r="I1957" s="7" t="inlineStr">
        <is>
          <t>20 a 40 L/ha</t>
        </is>
      </c>
      <c r="J1957" s="7" t="inlineStr">
        <is>
          <t>Isento</t>
        </is>
      </c>
    </row>
    <row r="1958" ht="22" customHeight="1">
      <c r="A1958" s="12" t="inlineStr">
        <is>
          <t>CUL-1954</t>
        </is>
      </c>
      <c r="B1958" s="11" t="n">
        <v>389</v>
      </c>
      <c r="C1958" s="13" t="inlineStr">
        <is>
          <t>SIPEAGRO (UF-XXXXX)</t>
        </is>
      </c>
      <c r="D1958" s="14" t="inlineStr">
        <is>
          <t>FOSFORITA 25 FARELADO BAG</t>
        </is>
      </c>
      <c r="E1958" s="13" t="inlineStr">
        <is>
          <t>Adubação de Solo / Foliar</t>
        </is>
      </c>
      <c r="F1958" s="13" t="inlineStr">
        <is>
          <t>Algodão</t>
        </is>
      </c>
      <c r="G1958" s="13" t="inlineStr">
        <is>
          <t>Cultura Autorizada na Bula</t>
        </is>
      </c>
      <c r="H1958" s="13" t="inlineStr">
        <is>
          <t>100 a 300 L/ha</t>
        </is>
      </c>
      <c r="I1958" s="13" t="inlineStr">
        <is>
          <t>20 a 40 L/ha</t>
        </is>
      </c>
      <c r="J1958" s="13" t="inlineStr">
        <is>
          <t>Isento</t>
        </is>
      </c>
    </row>
    <row r="1959" ht="22" customHeight="1">
      <c r="A1959" s="6" t="inlineStr">
        <is>
          <t>CUL-1955</t>
        </is>
      </c>
      <c r="B1959" s="5" t="n">
        <v>389</v>
      </c>
      <c r="C1959" s="7" t="inlineStr">
        <is>
          <t>SIPEAGRO (UF-XXXXX)</t>
        </is>
      </c>
      <c r="D1959" s="8" t="inlineStr">
        <is>
          <t>FOSFORITA 25 FARELADO BAG</t>
        </is>
      </c>
      <c r="E1959" s="7" t="inlineStr">
        <is>
          <t>Adubação de Solo / Foliar</t>
        </is>
      </c>
      <c r="F1959" s="7" t="inlineStr">
        <is>
          <t>Cana-de-açúcar</t>
        </is>
      </c>
      <c r="G1959" s="7" t="inlineStr">
        <is>
          <t>Cultura Autorizada na Bula</t>
        </is>
      </c>
      <c r="H1959" s="7" t="inlineStr">
        <is>
          <t>100 a 300 L/ha</t>
        </is>
      </c>
      <c r="I1959" s="7" t="inlineStr">
        <is>
          <t>20 a 40 L/ha</t>
        </is>
      </c>
      <c r="J1959" s="7" t="inlineStr">
        <is>
          <t>Isento</t>
        </is>
      </c>
    </row>
    <row r="1960" ht="22" customHeight="1">
      <c r="A1960" s="12" t="inlineStr">
        <is>
          <t>CUL-1956</t>
        </is>
      </c>
      <c r="B1960" s="11" t="n">
        <v>389</v>
      </c>
      <c r="C1960" s="13" t="inlineStr">
        <is>
          <t>SIPEAGRO (UF-XXXXX)</t>
        </is>
      </c>
      <c r="D1960" s="14" t="inlineStr">
        <is>
          <t>FOSFORITA 25 FARELADO BAG</t>
        </is>
      </c>
      <c r="E1960" s="13" t="inlineStr">
        <is>
          <t>Adubação de Solo / Foliar</t>
        </is>
      </c>
      <c r="F1960" s="13" t="inlineStr">
        <is>
          <t>Café</t>
        </is>
      </c>
      <c r="G1960" s="13" t="inlineStr">
        <is>
          <t>Cultura Autorizada na Bula</t>
        </is>
      </c>
      <c r="H1960" s="13" t="inlineStr">
        <is>
          <t>100 a 300 L/ha</t>
        </is>
      </c>
      <c r="I1960" s="13" t="inlineStr">
        <is>
          <t>20 a 40 L/ha</t>
        </is>
      </c>
      <c r="J1960" s="13" t="inlineStr">
        <is>
          <t>Isento</t>
        </is>
      </c>
    </row>
    <row r="1961" ht="22" customHeight="1">
      <c r="A1961" s="6" t="inlineStr">
        <is>
          <t>CUL-1957</t>
        </is>
      </c>
      <c r="B1961" s="5" t="n">
        <v>390</v>
      </c>
      <c r="C1961" s="7" t="inlineStr">
        <is>
          <t>SIPEAGRO (UF-XXXXX)</t>
        </is>
      </c>
      <c r="D1961" s="8" t="inlineStr">
        <is>
          <t>HIPHOS 25 GR 00-25-00 BAG</t>
        </is>
      </c>
      <c r="E1961" s="7" t="inlineStr">
        <is>
          <t>Adubação de Solo / Foliar</t>
        </is>
      </c>
      <c r="F1961" s="7" t="inlineStr">
        <is>
          <t>Soja</t>
        </is>
      </c>
      <c r="G1961" s="7" t="inlineStr">
        <is>
          <t>Cultura Autorizada na Bula</t>
        </is>
      </c>
      <c r="H1961" s="7" t="inlineStr">
        <is>
          <t>100 a 300 L/ha</t>
        </is>
      </c>
      <c r="I1961" s="7" t="inlineStr">
        <is>
          <t>20 a 40 L/ha</t>
        </is>
      </c>
      <c r="J1961" s="7" t="inlineStr">
        <is>
          <t>Isento</t>
        </is>
      </c>
    </row>
    <row r="1962" ht="22" customHeight="1">
      <c r="A1962" s="12" t="inlineStr">
        <is>
          <t>CUL-1958</t>
        </is>
      </c>
      <c r="B1962" s="11" t="n">
        <v>390</v>
      </c>
      <c r="C1962" s="13" t="inlineStr">
        <is>
          <t>SIPEAGRO (UF-XXXXX)</t>
        </is>
      </c>
      <c r="D1962" s="14" t="inlineStr">
        <is>
          <t>HIPHOS 25 GR 00-25-00 BAG</t>
        </is>
      </c>
      <c r="E1962" s="13" t="inlineStr">
        <is>
          <t>Adubação de Solo / Foliar</t>
        </is>
      </c>
      <c r="F1962" s="13" t="inlineStr">
        <is>
          <t>Milho</t>
        </is>
      </c>
      <c r="G1962" s="13" t="inlineStr">
        <is>
          <t>Cultura Autorizada na Bula</t>
        </is>
      </c>
      <c r="H1962" s="13" t="inlineStr">
        <is>
          <t>100 a 300 L/ha</t>
        </is>
      </c>
      <c r="I1962" s="13" t="inlineStr">
        <is>
          <t>20 a 40 L/ha</t>
        </is>
      </c>
      <c r="J1962" s="13" t="inlineStr">
        <is>
          <t>Isento</t>
        </is>
      </c>
    </row>
    <row r="1963" ht="22" customHeight="1">
      <c r="A1963" s="6" t="inlineStr">
        <is>
          <t>CUL-1959</t>
        </is>
      </c>
      <c r="B1963" s="5" t="n">
        <v>390</v>
      </c>
      <c r="C1963" s="7" t="inlineStr">
        <is>
          <t>SIPEAGRO (UF-XXXXX)</t>
        </is>
      </c>
      <c r="D1963" s="8" t="inlineStr">
        <is>
          <t>HIPHOS 25 GR 00-25-00 BAG</t>
        </is>
      </c>
      <c r="E1963" s="7" t="inlineStr">
        <is>
          <t>Adubação de Solo / Foliar</t>
        </is>
      </c>
      <c r="F1963" s="7" t="inlineStr">
        <is>
          <t>Algodão</t>
        </is>
      </c>
      <c r="G1963" s="7" t="inlineStr">
        <is>
          <t>Cultura Autorizada na Bula</t>
        </is>
      </c>
      <c r="H1963" s="7" t="inlineStr">
        <is>
          <t>100 a 300 L/ha</t>
        </is>
      </c>
      <c r="I1963" s="7" t="inlineStr">
        <is>
          <t>20 a 40 L/ha</t>
        </is>
      </c>
      <c r="J1963" s="7" t="inlineStr">
        <is>
          <t>Isento</t>
        </is>
      </c>
    </row>
    <row r="1964" ht="22" customHeight="1">
      <c r="A1964" s="12" t="inlineStr">
        <is>
          <t>CUL-1960</t>
        </is>
      </c>
      <c r="B1964" s="11" t="n">
        <v>390</v>
      </c>
      <c r="C1964" s="13" t="inlineStr">
        <is>
          <t>SIPEAGRO (UF-XXXXX)</t>
        </is>
      </c>
      <c r="D1964" s="14" t="inlineStr">
        <is>
          <t>HIPHOS 25 GR 00-25-00 BAG</t>
        </is>
      </c>
      <c r="E1964" s="13" t="inlineStr">
        <is>
          <t>Adubação de Solo / Foliar</t>
        </is>
      </c>
      <c r="F1964" s="13" t="inlineStr">
        <is>
          <t>Cana-de-açúcar</t>
        </is>
      </c>
      <c r="G1964" s="13" t="inlineStr">
        <is>
          <t>Cultura Autorizada na Bula</t>
        </is>
      </c>
      <c r="H1964" s="13" t="inlineStr">
        <is>
          <t>100 a 300 L/ha</t>
        </is>
      </c>
      <c r="I1964" s="13" t="inlineStr">
        <is>
          <t>20 a 40 L/ha</t>
        </is>
      </c>
      <c r="J1964" s="13" t="inlineStr">
        <is>
          <t>Isento</t>
        </is>
      </c>
    </row>
    <row r="1965" ht="22" customHeight="1">
      <c r="A1965" s="6" t="inlineStr">
        <is>
          <t>CUL-1961</t>
        </is>
      </c>
      <c r="B1965" s="5" t="n">
        <v>390</v>
      </c>
      <c r="C1965" s="7" t="inlineStr">
        <is>
          <t>SIPEAGRO (UF-XXXXX)</t>
        </is>
      </c>
      <c r="D1965" s="8" t="inlineStr">
        <is>
          <t>HIPHOS 25 GR 00-25-00 BAG</t>
        </is>
      </c>
      <c r="E1965" s="7" t="inlineStr">
        <is>
          <t>Adubação de Solo / Foliar</t>
        </is>
      </c>
      <c r="F1965" s="7" t="inlineStr">
        <is>
          <t>Café</t>
        </is>
      </c>
      <c r="G1965" s="7" t="inlineStr">
        <is>
          <t>Cultura Autorizada na Bula</t>
        </is>
      </c>
      <c r="H1965" s="7" t="inlineStr">
        <is>
          <t>100 a 300 L/ha</t>
        </is>
      </c>
      <c r="I1965" s="7" t="inlineStr">
        <is>
          <t>20 a 40 L/ha</t>
        </is>
      </c>
      <c r="J1965" s="7" t="inlineStr">
        <is>
          <t>Isento</t>
        </is>
      </c>
    </row>
    <row r="1966" ht="22" customHeight="1">
      <c r="A1966" s="12" t="inlineStr">
        <is>
          <t>CUL-1962</t>
        </is>
      </c>
      <c r="B1966" s="11" t="n">
        <v>391</v>
      </c>
      <c r="C1966" s="13" t="inlineStr">
        <is>
          <t>SIPEAGRO (UF-XXXXX)</t>
        </is>
      </c>
      <c r="D1966" s="14" t="inlineStr">
        <is>
          <t>HIPHOS 28 GR 00-28-00 BAG</t>
        </is>
      </c>
      <c r="E1966" s="13" t="inlineStr">
        <is>
          <t>Adubação de Solo / Foliar</t>
        </is>
      </c>
      <c r="F1966" s="13" t="inlineStr">
        <is>
          <t>Soja</t>
        </is>
      </c>
      <c r="G1966" s="13" t="inlineStr">
        <is>
          <t>Cultura Autorizada na Bula</t>
        </is>
      </c>
      <c r="H1966" s="13" t="inlineStr">
        <is>
          <t>100 a 300 L/ha</t>
        </is>
      </c>
      <c r="I1966" s="13" t="inlineStr">
        <is>
          <t>20 a 40 L/ha</t>
        </is>
      </c>
      <c r="J1966" s="13" t="inlineStr">
        <is>
          <t>Isento</t>
        </is>
      </c>
    </row>
    <row r="1967" ht="22" customHeight="1">
      <c r="A1967" s="6" t="inlineStr">
        <is>
          <t>CUL-1963</t>
        </is>
      </c>
      <c r="B1967" s="5" t="n">
        <v>391</v>
      </c>
      <c r="C1967" s="7" t="inlineStr">
        <is>
          <t>SIPEAGRO (UF-XXXXX)</t>
        </is>
      </c>
      <c r="D1967" s="8" t="inlineStr">
        <is>
          <t>HIPHOS 28 GR 00-28-00 BAG</t>
        </is>
      </c>
      <c r="E1967" s="7" t="inlineStr">
        <is>
          <t>Adubação de Solo / Foliar</t>
        </is>
      </c>
      <c r="F1967" s="7" t="inlineStr">
        <is>
          <t>Milho</t>
        </is>
      </c>
      <c r="G1967" s="7" t="inlineStr">
        <is>
          <t>Cultura Autorizada na Bula</t>
        </is>
      </c>
      <c r="H1967" s="7" t="inlineStr">
        <is>
          <t>100 a 300 L/ha</t>
        </is>
      </c>
      <c r="I1967" s="7" t="inlineStr">
        <is>
          <t>20 a 40 L/ha</t>
        </is>
      </c>
      <c r="J1967" s="7" t="inlineStr">
        <is>
          <t>Isento</t>
        </is>
      </c>
    </row>
    <row r="1968" ht="22" customHeight="1">
      <c r="A1968" s="12" t="inlineStr">
        <is>
          <t>CUL-1964</t>
        </is>
      </c>
      <c r="B1968" s="11" t="n">
        <v>391</v>
      </c>
      <c r="C1968" s="13" t="inlineStr">
        <is>
          <t>SIPEAGRO (UF-XXXXX)</t>
        </is>
      </c>
      <c r="D1968" s="14" t="inlineStr">
        <is>
          <t>HIPHOS 28 GR 00-28-00 BAG</t>
        </is>
      </c>
      <c r="E1968" s="13" t="inlineStr">
        <is>
          <t>Adubação de Solo / Foliar</t>
        </is>
      </c>
      <c r="F1968" s="13" t="inlineStr">
        <is>
          <t>Algodão</t>
        </is>
      </c>
      <c r="G1968" s="13" t="inlineStr">
        <is>
          <t>Cultura Autorizada na Bula</t>
        </is>
      </c>
      <c r="H1968" s="13" t="inlineStr">
        <is>
          <t>100 a 300 L/ha</t>
        </is>
      </c>
      <c r="I1968" s="13" t="inlineStr">
        <is>
          <t>20 a 40 L/ha</t>
        </is>
      </c>
      <c r="J1968" s="13" t="inlineStr">
        <is>
          <t>Isento</t>
        </is>
      </c>
    </row>
    <row r="1969" ht="22" customHeight="1">
      <c r="A1969" s="6" t="inlineStr">
        <is>
          <t>CUL-1965</t>
        </is>
      </c>
      <c r="B1969" s="5" t="n">
        <v>391</v>
      </c>
      <c r="C1969" s="7" t="inlineStr">
        <is>
          <t>SIPEAGRO (UF-XXXXX)</t>
        </is>
      </c>
      <c r="D1969" s="8" t="inlineStr">
        <is>
          <t>HIPHOS 28 GR 00-28-00 BAG</t>
        </is>
      </c>
      <c r="E1969" s="7" t="inlineStr">
        <is>
          <t>Adubação de Solo / Foliar</t>
        </is>
      </c>
      <c r="F1969" s="7" t="inlineStr">
        <is>
          <t>Cana-de-açúcar</t>
        </is>
      </c>
      <c r="G1969" s="7" t="inlineStr">
        <is>
          <t>Cultura Autorizada na Bula</t>
        </is>
      </c>
      <c r="H1969" s="7" t="inlineStr">
        <is>
          <t>100 a 300 L/ha</t>
        </is>
      </c>
      <c r="I1969" s="7" t="inlineStr">
        <is>
          <t>20 a 40 L/ha</t>
        </is>
      </c>
      <c r="J1969" s="7" t="inlineStr">
        <is>
          <t>Isento</t>
        </is>
      </c>
    </row>
    <row r="1970" ht="22" customHeight="1">
      <c r="A1970" s="12" t="inlineStr">
        <is>
          <t>CUL-1966</t>
        </is>
      </c>
      <c r="B1970" s="11" t="n">
        <v>391</v>
      </c>
      <c r="C1970" s="13" t="inlineStr">
        <is>
          <t>SIPEAGRO (UF-XXXXX)</t>
        </is>
      </c>
      <c r="D1970" s="14" t="inlineStr">
        <is>
          <t>HIPHOS 28 GR 00-28-00 BAG</t>
        </is>
      </c>
      <c r="E1970" s="13" t="inlineStr">
        <is>
          <t>Adubação de Solo / Foliar</t>
        </is>
      </c>
      <c r="F1970" s="13" t="inlineStr">
        <is>
          <t>Café</t>
        </is>
      </c>
      <c r="G1970" s="13" t="inlineStr">
        <is>
          <t>Cultura Autorizada na Bula</t>
        </is>
      </c>
      <c r="H1970" s="13" t="inlineStr">
        <is>
          <t>100 a 300 L/ha</t>
        </is>
      </c>
      <c r="I1970" s="13" t="inlineStr">
        <is>
          <t>20 a 40 L/ha</t>
        </is>
      </c>
      <c r="J1970" s="13" t="inlineStr">
        <is>
          <t>Isento</t>
        </is>
      </c>
    </row>
    <row r="1971" ht="22" customHeight="1">
      <c r="A1971" s="6" t="inlineStr">
        <is>
          <t>CUL-1967</t>
        </is>
      </c>
      <c r="B1971" s="5" t="n">
        <v>392</v>
      </c>
      <c r="C1971" s="7" t="inlineStr">
        <is>
          <t>SIPEAGRO (UF-XXXXX)</t>
        </is>
      </c>
      <c r="D1971" s="8" t="inlineStr">
        <is>
          <t>HIPHOS 28 GR 00-28-00 BAG</t>
        </is>
      </c>
      <c r="E1971" s="7" t="inlineStr">
        <is>
          <t>Adubação de Solo / Foliar</t>
        </is>
      </c>
      <c r="F1971" s="7" t="inlineStr">
        <is>
          <t>Soja</t>
        </is>
      </c>
      <c r="G1971" s="7" t="inlineStr">
        <is>
          <t>Cultura Autorizada na Bula</t>
        </is>
      </c>
      <c r="H1971" s="7" t="inlineStr">
        <is>
          <t>100 a 300 L/ha</t>
        </is>
      </c>
      <c r="I1971" s="7" t="inlineStr">
        <is>
          <t>20 a 40 L/ha</t>
        </is>
      </c>
      <c r="J1971" s="7" t="inlineStr">
        <is>
          <t>Isento</t>
        </is>
      </c>
    </row>
    <row r="1972" ht="22" customHeight="1">
      <c r="A1972" s="12" t="inlineStr">
        <is>
          <t>CUL-1968</t>
        </is>
      </c>
      <c r="B1972" s="11" t="n">
        <v>392</v>
      </c>
      <c r="C1972" s="13" t="inlineStr">
        <is>
          <t>SIPEAGRO (UF-XXXXX)</t>
        </is>
      </c>
      <c r="D1972" s="14" t="inlineStr">
        <is>
          <t>HIPHOS 28 GR 00-28-00 BAG</t>
        </is>
      </c>
      <c r="E1972" s="13" t="inlineStr">
        <is>
          <t>Adubação de Solo / Foliar</t>
        </is>
      </c>
      <c r="F1972" s="13" t="inlineStr">
        <is>
          <t>Milho</t>
        </is>
      </c>
      <c r="G1972" s="13" t="inlineStr">
        <is>
          <t>Cultura Autorizada na Bula</t>
        </is>
      </c>
      <c r="H1972" s="13" t="inlineStr">
        <is>
          <t>100 a 300 L/ha</t>
        </is>
      </c>
      <c r="I1972" s="13" t="inlineStr">
        <is>
          <t>20 a 40 L/ha</t>
        </is>
      </c>
      <c r="J1972" s="13" t="inlineStr">
        <is>
          <t>Isento</t>
        </is>
      </c>
    </row>
    <row r="1973" ht="22" customHeight="1">
      <c r="A1973" s="6" t="inlineStr">
        <is>
          <t>CUL-1969</t>
        </is>
      </c>
      <c r="B1973" s="5" t="n">
        <v>392</v>
      </c>
      <c r="C1973" s="7" t="inlineStr">
        <is>
          <t>SIPEAGRO (UF-XXXXX)</t>
        </is>
      </c>
      <c r="D1973" s="8" t="inlineStr">
        <is>
          <t>HIPHOS 28 GR 00-28-00 BAG</t>
        </is>
      </c>
      <c r="E1973" s="7" t="inlineStr">
        <is>
          <t>Adubação de Solo / Foliar</t>
        </is>
      </c>
      <c r="F1973" s="7" t="inlineStr">
        <is>
          <t>Algodão</t>
        </is>
      </c>
      <c r="G1973" s="7" t="inlineStr">
        <is>
          <t>Cultura Autorizada na Bula</t>
        </is>
      </c>
      <c r="H1973" s="7" t="inlineStr">
        <is>
          <t>100 a 300 L/ha</t>
        </is>
      </c>
      <c r="I1973" s="7" t="inlineStr">
        <is>
          <t>20 a 40 L/ha</t>
        </is>
      </c>
      <c r="J1973" s="7" t="inlineStr">
        <is>
          <t>Isento</t>
        </is>
      </c>
    </row>
    <row r="1974" ht="22" customHeight="1">
      <c r="A1974" s="12" t="inlineStr">
        <is>
          <t>CUL-1970</t>
        </is>
      </c>
      <c r="B1974" s="11" t="n">
        <v>392</v>
      </c>
      <c r="C1974" s="13" t="inlineStr">
        <is>
          <t>SIPEAGRO (UF-XXXXX)</t>
        </is>
      </c>
      <c r="D1974" s="14" t="inlineStr">
        <is>
          <t>HIPHOS 28 GR 00-28-00 BAG</t>
        </is>
      </c>
      <c r="E1974" s="13" t="inlineStr">
        <is>
          <t>Adubação de Solo / Foliar</t>
        </is>
      </c>
      <c r="F1974" s="13" t="inlineStr">
        <is>
          <t>Cana-de-açúcar</t>
        </is>
      </c>
      <c r="G1974" s="13" t="inlineStr">
        <is>
          <t>Cultura Autorizada na Bula</t>
        </is>
      </c>
      <c r="H1974" s="13" t="inlineStr">
        <is>
          <t>100 a 300 L/ha</t>
        </is>
      </c>
      <c r="I1974" s="13" t="inlineStr">
        <is>
          <t>20 a 40 L/ha</t>
        </is>
      </c>
      <c r="J1974" s="13" t="inlineStr">
        <is>
          <t>Isento</t>
        </is>
      </c>
    </row>
    <row r="1975" ht="22" customHeight="1">
      <c r="A1975" s="6" t="inlineStr">
        <is>
          <t>CUL-1971</t>
        </is>
      </c>
      <c r="B1975" s="5" t="n">
        <v>392</v>
      </c>
      <c r="C1975" s="7" t="inlineStr">
        <is>
          <t>SIPEAGRO (UF-XXXXX)</t>
        </is>
      </c>
      <c r="D1975" s="8" t="inlineStr">
        <is>
          <t>HIPHOS 28 GR 00-28-00 BAG</t>
        </is>
      </c>
      <c r="E1975" s="7" t="inlineStr">
        <is>
          <t>Adubação de Solo / Foliar</t>
        </is>
      </c>
      <c r="F1975" s="7" t="inlineStr">
        <is>
          <t>Café</t>
        </is>
      </c>
      <c r="G1975" s="7" t="inlineStr">
        <is>
          <t>Cultura Autorizada na Bula</t>
        </is>
      </c>
      <c r="H1975" s="7" t="inlineStr">
        <is>
          <t>100 a 300 L/ha</t>
        </is>
      </c>
      <c r="I1975" s="7" t="inlineStr">
        <is>
          <t>20 a 40 L/ha</t>
        </is>
      </c>
      <c r="J1975" s="7" t="inlineStr">
        <is>
          <t>Isento</t>
        </is>
      </c>
    </row>
    <row r="1976" ht="22" customHeight="1">
      <c r="A1976" s="12" t="inlineStr">
        <is>
          <t>CUL-1972</t>
        </is>
      </c>
      <c r="B1976" s="11" t="n">
        <v>393</v>
      </c>
      <c r="C1976" s="13" t="inlineStr">
        <is>
          <t>SIPEAGRO (UF-XXXXX)</t>
        </is>
      </c>
      <c r="D1976" s="14" t="inlineStr">
        <is>
          <t>FNR BIOPHOS 25 GRANEL (VALIDAR)</t>
        </is>
      </c>
      <c r="E1976" s="13" t="inlineStr">
        <is>
          <t>Pulverização Agrícola Conforme Bula</t>
        </is>
      </c>
      <c r="F1976" s="13" t="inlineStr">
        <is>
          <t>Grandes Culturas, Perenes e Pastagens</t>
        </is>
      </c>
      <c r="G1976" s="13" t="inlineStr">
        <is>
          <t>Cultura Autorizada na Bula</t>
        </is>
      </c>
      <c r="H1976" s="13" t="inlineStr">
        <is>
          <t>100 a 300 L/ha</t>
        </is>
      </c>
      <c r="I1976" s="13" t="inlineStr">
        <is>
          <t>20 a 40 L/ha</t>
        </is>
      </c>
      <c r="J1976" s="13" t="inlineStr">
        <is>
          <t>Isento</t>
        </is>
      </c>
    </row>
    <row r="1977" ht="22" customHeight="1">
      <c r="A1977" s="6" t="inlineStr">
        <is>
          <t>CUL-1973</t>
        </is>
      </c>
      <c r="B1977" s="5" t="n">
        <v>394</v>
      </c>
      <c r="C1977" s="7" t="inlineStr">
        <is>
          <t>SIPEAGRO (UF-XXXXX)</t>
        </is>
      </c>
      <c r="D1977" s="8" t="inlineStr">
        <is>
          <t>UREIA 46-00-00  BAG 1.000 KG</t>
        </is>
      </c>
      <c r="E1977" s="7" t="inlineStr">
        <is>
          <t>Adubação de Solo / Foliar</t>
        </is>
      </c>
      <c r="F1977" s="7" t="inlineStr">
        <is>
          <t>Soja</t>
        </is>
      </c>
      <c r="G1977" s="7" t="inlineStr">
        <is>
          <t>Cultura Autorizada na Bula</t>
        </is>
      </c>
      <c r="H1977" s="7" t="inlineStr">
        <is>
          <t>100 a 300 L/ha</t>
        </is>
      </c>
      <c r="I1977" s="7" t="inlineStr">
        <is>
          <t>20 a 40 L/ha</t>
        </is>
      </c>
      <c r="J1977" s="7" t="inlineStr">
        <is>
          <t>Isento</t>
        </is>
      </c>
    </row>
    <row r="1978" ht="22" customHeight="1">
      <c r="A1978" s="12" t="inlineStr">
        <is>
          <t>CUL-1974</t>
        </is>
      </c>
      <c r="B1978" s="11" t="n">
        <v>394</v>
      </c>
      <c r="C1978" s="13" t="inlineStr">
        <is>
          <t>SIPEAGRO (UF-XXXXX)</t>
        </is>
      </c>
      <c r="D1978" s="14" t="inlineStr">
        <is>
          <t>UREIA 46-00-00  BAG 1.000 KG</t>
        </is>
      </c>
      <c r="E1978" s="13" t="inlineStr">
        <is>
          <t>Adubação de Solo / Foliar</t>
        </is>
      </c>
      <c r="F1978" s="13" t="inlineStr">
        <is>
          <t>Milho</t>
        </is>
      </c>
      <c r="G1978" s="13" t="inlineStr">
        <is>
          <t>Cultura Autorizada na Bula</t>
        </is>
      </c>
      <c r="H1978" s="13" t="inlineStr">
        <is>
          <t>100 a 300 L/ha</t>
        </is>
      </c>
      <c r="I1978" s="13" t="inlineStr">
        <is>
          <t>20 a 40 L/ha</t>
        </is>
      </c>
      <c r="J1978" s="13" t="inlineStr">
        <is>
          <t>Isento</t>
        </is>
      </c>
    </row>
    <row r="1979" ht="22" customHeight="1">
      <c r="A1979" s="6" t="inlineStr">
        <is>
          <t>CUL-1975</t>
        </is>
      </c>
      <c r="B1979" s="5" t="n">
        <v>394</v>
      </c>
      <c r="C1979" s="7" t="inlineStr">
        <is>
          <t>SIPEAGRO (UF-XXXXX)</t>
        </is>
      </c>
      <c r="D1979" s="8" t="inlineStr">
        <is>
          <t>UREIA 46-00-00  BAG 1.000 KG</t>
        </is>
      </c>
      <c r="E1979" s="7" t="inlineStr">
        <is>
          <t>Adubação de Solo / Foliar</t>
        </is>
      </c>
      <c r="F1979" s="7" t="inlineStr">
        <is>
          <t>Algodão</t>
        </is>
      </c>
      <c r="G1979" s="7" t="inlineStr">
        <is>
          <t>Cultura Autorizada na Bula</t>
        </is>
      </c>
      <c r="H1979" s="7" t="inlineStr">
        <is>
          <t>100 a 300 L/ha</t>
        </is>
      </c>
      <c r="I1979" s="7" t="inlineStr">
        <is>
          <t>20 a 40 L/ha</t>
        </is>
      </c>
      <c r="J1979" s="7" t="inlineStr">
        <is>
          <t>Isento</t>
        </is>
      </c>
    </row>
    <row r="1980" ht="22" customHeight="1">
      <c r="A1980" s="12" t="inlineStr">
        <is>
          <t>CUL-1976</t>
        </is>
      </c>
      <c r="B1980" s="11" t="n">
        <v>394</v>
      </c>
      <c r="C1980" s="13" t="inlineStr">
        <is>
          <t>SIPEAGRO (UF-XXXXX)</t>
        </is>
      </c>
      <c r="D1980" s="14" t="inlineStr">
        <is>
          <t>UREIA 46-00-00  BAG 1.000 KG</t>
        </is>
      </c>
      <c r="E1980" s="13" t="inlineStr">
        <is>
          <t>Adubação de Solo / Foliar</t>
        </is>
      </c>
      <c r="F1980" s="13" t="inlineStr">
        <is>
          <t>Cana-de-açúcar</t>
        </is>
      </c>
      <c r="G1980" s="13" t="inlineStr">
        <is>
          <t>Cultura Autorizada na Bula</t>
        </is>
      </c>
      <c r="H1980" s="13" t="inlineStr">
        <is>
          <t>100 a 300 L/ha</t>
        </is>
      </c>
      <c r="I1980" s="13" t="inlineStr">
        <is>
          <t>20 a 40 L/ha</t>
        </is>
      </c>
      <c r="J1980" s="13" t="inlineStr">
        <is>
          <t>Isento</t>
        </is>
      </c>
    </row>
    <row r="1981" ht="22" customHeight="1">
      <c r="A1981" s="6" t="inlineStr">
        <is>
          <t>CUL-1977</t>
        </is>
      </c>
      <c r="B1981" s="5" t="n">
        <v>394</v>
      </c>
      <c r="C1981" s="7" t="inlineStr">
        <is>
          <t>SIPEAGRO (UF-XXXXX)</t>
        </is>
      </c>
      <c r="D1981" s="8" t="inlineStr">
        <is>
          <t>UREIA 46-00-00  BAG 1.000 KG</t>
        </is>
      </c>
      <c r="E1981" s="7" t="inlineStr">
        <is>
          <t>Adubação de Solo / Foliar</t>
        </is>
      </c>
      <c r="F1981" s="7" t="inlineStr">
        <is>
          <t>Café</t>
        </is>
      </c>
      <c r="G1981" s="7" t="inlineStr">
        <is>
          <t>Cultura Autorizada na Bula</t>
        </is>
      </c>
      <c r="H1981" s="7" t="inlineStr">
        <is>
          <t>100 a 300 L/ha</t>
        </is>
      </c>
      <c r="I1981" s="7" t="inlineStr">
        <is>
          <t>20 a 40 L/ha</t>
        </is>
      </c>
      <c r="J1981" s="7" t="inlineStr">
        <is>
          <t>Isento</t>
        </is>
      </c>
    </row>
    <row r="1982" ht="22" customHeight="1">
      <c r="A1982" s="12" t="inlineStr">
        <is>
          <t>CUL-1978</t>
        </is>
      </c>
      <c r="B1982" s="11" t="n">
        <v>395</v>
      </c>
      <c r="C1982" s="13" t="inlineStr">
        <is>
          <t>SIPEAGRO (UF-XXXXX)</t>
        </is>
      </c>
      <c r="D1982" s="14" t="inlineStr">
        <is>
          <t>SULFATO DE AMONIO GR (IMP) (VALIDAR)</t>
        </is>
      </c>
      <c r="E1982" s="13" t="inlineStr">
        <is>
          <t>Adubação de Solo / Foliar</t>
        </is>
      </c>
      <c r="F1982" s="13" t="inlineStr">
        <is>
          <t>Soja</t>
        </is>
      </c>
      <c r="G1982" s="13" t="inlineStr">
        <is>
          <t>Cultura Autorizada na Bula</t>
        </is>
      </c>
      <c r="H1982" s="13" t="inlineStr">
        <is>
          <t>100 a 300 L/ha</t>
        </is>
      </c>
      <c r="I1982" s="13" t="inlineStr">
        <is>
          <t>20 a 40 L/ha</t>
        </is>
      </c>
      <c r="J1982" s="13" t="inlineStr">
        <is>
          <t>Isento</t>
        </is>
      </c>
    </row>
    <row r="1983" ht="22" customHeight="1">
      <c r="A1983" s="6" t="inlineStr">
        <is>
          <t>CUL-1979</t>
        </is>
      </c>
      <c r="B1983" s="5" t="n">
        <v>395</v>
      </c>
      <c r="C1983" s="7" t="inlineStr">
        <is>
          <t>SIPEAGRO (UF-XXXXX)</t>
        </is>
      </c>
      <c r="D1983" s="8" t="inlineStr">
        <is>
          <t>SULFATO DE AMONIO GR (IMP) (VALIDAR)</t>
        </is>
      </c>
      <c r="E1983" s="7" t="inlineStr">
        <is>
          <t>Adubação de Solo / Foliar</t>
        </is>
      </c>
      <c r="F1983" s="7" t="inlineStr">
        <is>
          <t>Milho</t>
        </is>
      </c>
      <c r="G1983" s="7" t="inlineStr">
        <is>
          <t>Cultura Autorizada na Bula</t>
        </is>
      </c>
      <c r="H1983" s="7" t="inlineStr">
        <is>
          <t>100 a 300 L/ha</t>
        </is>
      </c>
      <c r="I1983" s="7" t="inlineStr">
        <is>
          <t>20 a 40 L/ha</t>
        </is>
      </c>
      <c r="J1983" s="7" t="inlineStr">
        <is>
          <t>Isento</t>
        </is>
      </c>
    </row>
    <row r="1984" ht="22" customHeight="1">
      <c r="A1984" s="12" t="inlineStr">
        <is>
          <t>CUL-1980</t>
        </is>
      </c>
      <c r="B1984" s="11" t="n">
        <v>395</v>
      </c>
      <c r="C1984" s="13" t="inlineStr">
        <is>
          <t>SIPEAGRO (UF-XXXXX)</t>
        </is>
      </c>
      <c r="D1984" s="14" t="inlineStr">
        <is>
          <t>SULFATO DE AMONIO GR (IMP) (VALIDAR)</t>
        </is>
      </c>
      <c r="E1984" s="13" t="inlineStr">
        <is>
          <t>Adubação de Solo / Foliar</t>
        </is>
      </c>
      <c r="F1984" s="13" t="inlineStr">
        <is>
          <t>Algodão</t>
        </is>
      </c>
      <c r="G1984" s="13" t="inlineStr">
        <is>
          <t>Cultura Autorizada na Bula</t>
        </is>
      </c>
      <c r="H1984" s="13" t="inlineStr">
        <is>
          <t>100 a 300 L/ha</t>
        </is>
      </c>
      <c r="I1984" s="13" t="inlineStr">
        <is>
          <t>20 a 40 L/ha</t>
        </is>
      </c>
      <c r="J1984" s="13" t="inlineStr">
        <is>
          <t>Isento</t>
        </is>
      </c>
    </row>
    <row r="1985" ht="22" customHeight="1">
      <c r="A1985" s="6" t="inlineStr">
        <is>
          <t>CUL-1981</t>
        </is>
      </c>
      <c r="B1985" s="5" t="n">
        <v>395</v>
      </c>
      <c r="C1985" s="7" t="inlineStr">
        <is>
          <t>SIPEAGRO (UF-XXXXX)</t>
        </is>
      </c>
      <c r="D1985" s="8" t="inlineStr">
        <is>
          <t>SULFATO DE AMONIO GR (IMP) (VALIDAR)</t>
        </is>
      </c>
      <c r="E1985" s="7" t="inlineStr">
        <is>
          <t>Adubação de Solo / Foliar</t>
        </is>
      </c>
      <c r="F1985" s="7" t="inlineStr">
        <is>
          <t>Cana-de-açúcar</t>
        </is>
      </c>
      <c r="G1985" s="7" t="inlineStr">
        <is>
          <t>Cultura Autorizada na Bula</t>
        </is>
      </c>
      <c r="H1985" s="7" t="inlineStr">
        <is>
          <t>100 a 300 L/ha</t>
        </is>
      </c>
      <c r="I1985" s="7" t="inlineStr">
        <is>
          <t>20 a 40 L/ha</t>
        </is>
      </c>
      <c r="J1985" s="7" t="inlineStr">
        <is>
          <t>Isento</t>
        </is>
      </c>
    </row>
    <row r="1986" ht="22" customHeight="1">
      <c r="A1986" s="12" t="inlineStr">
        <is>
          <t>CUL-1982</t>
        </is>
      </c>
      <c r="B1986" s="11" t="n">
        <v>395</v>
      </c>
      <c r="C1986" s="13" t="inlineStr">
        <is>
          <t>SIPEAGRO (UF-XXXXX)</t>
        </is>
      </c>
      <c r="D1986" s="14" t="inlineStr">
        <is>
          <t>SULFATO DE AMONIO GR (IMP) (VALIDAR)</t>
        </is>
      </c>
      <c r="E1986" s="13" t="inlineStr">
        <is>
          <t>Adubação de Solo / Foliar</t>
        </is>
      </c>
      <c r="F1986" s="13" t="inlineStr">
        <is>
          <t>Café</t>
        </is>
      </c>
      <c r="G1986" s="13" t="inlineStr">
        <is>
          <t>Cultura Autorizada na Bula</t>
        </is>
      </c>
      <c r="H1986" s="13" t="inlineStr">
        <is>
          <t>100 a 300 L/ha</t>
        </is>
      </c>
      <c r="I1986" s="13" t="inlineStr">
        <is>
          <t>20 a 40 L/ha</t>
        </is>
      </c>
      <c r="J1986" s="13" t="inlineStr">
        <is>
          <t>Isento</t>
        </is>
      </c>
    </row>
    <row r="1987" ht="22" customHeight="1">
      <c r="A1987" s="6" t="inlineStr">
        <is>
          <t>CUL-1983</t>
        </is>
      </c>
      <c r="B1987" s="5" t="n">
        <v>396</v>
      </c>
      <c r="C1987" s="7" t="inlineStr">
        <is>
          <t>SIPEAGRO (UF-XXXXX)</t>
        </is>
      </c>
      <c r="D1987" s="8" t="inlineStr">
        <is>
          <t>SULFATO DE AMONIO STD GRANEL (VALIDAR)</t>
        </is>
      </c>
      <c r="E1987" s="7" t="inlineStr">
        <is>
          <t>Adubação de Solo / Foliar</t>
        </is>
      </c>
      <c r="F1987" s="7" t="inlineStr">
        <is>
          <t>Soja</t>
        </is>
      </c>
      <c r="G1987" s="7" t="inlineStr">
        <is>
          <t>Cultura Autorizada na Bula</t>
        </is>
      </c>
      <c r="H1987" s="7" t="inlineStr">
        <is>
          <t>100 a 300 L/ha</t>
        </is>
      </c>
      <c r="I1987" s="7" t="inlineStr">
        <is>
          <t>20 a 40 L/ha</t>
        </is>
      </c>
      <c r="J1987" s="7" t="inlineStr">
        <is>
          <t>Isento</t>
        </is>
      </c>
    </row>
    <row r="1988" ht="22" customHeight="1">
      <c r="A1988" s="12" t="inlineStr">
        <is>
          <t>CUL-1984</t>
        </is>
      </c>
      <c r="B1988" s="11" t="n">
        <v>396</v>
      </c>
      <c r="C1988" s="13" t="inlineStr">
        <is>
          <t>SIPEAGRO (UF-XXXXX)</t>
        </is>
      </c>
      <c r="D1988" s="14" t="inlineStr">
        <is>
          <t>SULFATO DE AMONIO STD GRANEL (VALIDAR)</t>
        </is>
      </c>
      <c r="E1988" s="13" t="inlineStr">
        <is>
          <t>Adubação de Solo / Foliar</t>
        </is>
      </c>
      <c r="F1988" s="13" t="inlineStr">
        <is>
          <t>Milho</t>
        </is>
      </c>
      <c r="G1988" s="13" t="inlineStr">
        <is>
          <t>Cultura Autorizada na Bula</t>
        </is>
      </c>
      <c r="H1988" s="13" t="inlineStr">
        <is>
          <t>100 a 300 L/ha</t>
        </is>
      </c>
      <c r="I1988" s="13" t="inlineStr">
        <is>
          <t>20 a 40 L/ha</t>
        </is>
      </c>
      <c r="J1988" s="13" t="inlineStr">
        <is>
          <t>Isento</t>
        </is>
      </c>
    </row>
    <row r="1989" ht="22" customHeight="1">
      <c r="A1989" s="6" t="inlineStr">
        <is>
          <t>CUL-1985</t>
        </is>
      </c>
      <c r="B1989" s="5" t="n">
        <v>396</v>
      </c>
      <c r="C1989" s="7" t="inlineStr">
        <is>
          <t>SIPEAGRO (UF-XXXXX)</t>
        </is>
      </c>
      <c r="D1989" s="8" t="inlineStr">
        <is>
          <t>SULFATO DE AMONIO STD GRANEL (VALIDAR)</t>
        </is>
      </c>
      <c r="E1989" s="7" t="inlineStr">
        <is>
          <t>Adubação de Solo / Foliar</t>
        </is>
      </c>
      <c r="F1989" s="7" t="inlineStr">
        <is>
          <t>Algodão</t>
        </is>
      </c>
      <c r="G1989" s="7" t="inlineStr">
        <is>
          <t>Cultura Autorizada na Bula</t>
        </is>
      </c>
      <c r="H1989" s="7" t="inlineStr">
        <is>
          <t>100 a 300 L/ha</t>
        </is>
      </c>
      <c r="I1989" s="7" t="inlineStr">
        <is>
          <t>20 a 40 L/ha</t>
        </is>
      </c>
      <c r="J1989" s="7" t="inlineStr">
        <is>
          <t>Isento</t>
        </is>
      </c>
    </row>
    <row r="1990" ht="22" customHeight="1">
      <c r="A1990" s="12" t="inlineStr">
        <is>
          <t>CUL-1986</t>
        </is>
      </c>
      <c r="B1990" s="11" t="n">
        <v>396</v>
      </c>
      <c r="C1990" s="13" t="inlineStr">
        <is>
          <t>SIPEAGRO (UF-XXXXX)</t>
        </is>
      </c>
      <c r="D1990" s="14" t="inlineStr">
        <is>
          <t>SULFATO DE AMONIO STD GRANEL (VALIDAR)</t>
        </is>
      </c>
      <c r="E1990" s="13" t="inlineStr">
        <is>
          <t>Adubação de Solo / Foliar</t>
        </is>
      </c>
      <c r="F1990" s="13" t="inlineStr">
        <is>
          <t>Cana-de-açúcar</t>
        </is>
      </c>
      <c r="G1990" s="13" t="inlineStr">
        <is>
          <t>Cultura Autorizada na Bula</t>
        </is>
      </c>
      <c r="H1990" s="13" t="inlineStr">
        <is>
          <t>100 a 300 L/ha</t>
        </is>
      </c>
      <c r="I1990" s="13" t="inlineStr">
        <is>
          <t>20 a 40 L/ha</t>
        </is>
      </c>
      <c r="J1990" s="13" t="inlineStr">
        <is>
          <t>Isento</t>
        </is>
      </c>
    </row>
    <row r="1991" ht="22" customHeight="1">
      <c r="A1991" s="6" t="inlineStr">
        <is>
          <t>CUL-1987</t>
        </is>
      </c>
      <c r="B1991" s="5" t="n">
        <v>396</v>
      </c>
      <c r="C1991" s="7" t="inlineStr">
        <is>
          <t>SIPEAGRO (UF-XXXXX)</t>
        </is>
      </c>
      <c r="D1991" s="8" t="inlineStr">
        <is>
          <t>SULFATO DE AMONIO STD GRANEL (VALIDAR)</t>
        </is>
      </c>
      <c r="E1991" s="7" t="inlineStr">
        <is>
          <t>Adubação de Solo / Foliar</t>
        </is>
      </c>
      <c r="F1991" s="7" t="inlineStr">
        <is>
          <t>Café</t>
        </is>
      </c>
      <c r="G1991" s="7" t="inlineStr">
        <is>
          <t>Cultura Autorizada na Bula</t>
        </is>
      </c>
      <c r="H1991" s="7" t="inlineStr">
        <is>
          <t>100 a 300 L/ha</t>
        </is>
      </c>
      <c r="I1991" s="7" t="inlineStr">
        <is>
          <t>20 a 40 L/ha</t>
        </is>
      </c>
      <c r="J1991" s="7" t="inlineStr">
        <is>
          <t>Isento</t>
        </is>
      </c>
    </row>
    <row r="1992" ht="22" customHeight="1">
      <c r="A1992" s="12" t="inlineStr">
        <is>
          <t>CUL-1988</t>
        </is>
      </c>
      <c r="B1992" s="11" t="n">
        <v>397</v>
      </c>
      <c r="C1992" s="13" t="inlineStr">
        <is>
          <t>SIPEAGRO (UF-XXXXX)</t>
        </is>
      </c>
      <c r="D1992" s="14" t="inlineStr">
        <is>
          <t>HIPHOS 19 FARELADO BAG</t>
        </is>
      </c>
      <c r="E1992" s="13" t="inlineStr">
        <is>
          <t>Adubação de Solo / Foliar</t>
        </is>
      </c>
      <c r="F1992" s="13" t="inlineStr">
        <is>
          <t>Soja</t>
        </is>
      </c>
      <c r="G1992" s="13" t="inlineStr">
        <is>
          <t>Cultura Autorizada na Bula</t>
        </is>
      </c>
      <c r="H1992" s="13" t="inlineStr">
        <is>
          <t>100 a 300 L/ha</t>
        </is>
      </c>
      <c r="I1992" s="13" t="inlineStr">
        <is>
          <t>20 a 40 L/ha</t>
        </is>
      </c>
      <c r="J1992" s="13" t="inlineStr">
        <is>
          <t>Isento</t>
        </is>
      </c>
    </row>
    <row r="1993" ht="22" customHeight="1">
      <c r="A1993" s="6" t="inlineStr">
        <is>
          <t>CUL-1989</t>
        </is>
      </c>
      <c r="B1993" s="5" t="n">
        <v>397</v>
      </c>
      <c r="C1993" s="7" t="inlineStr">
        <is>
          <t>SIPEAGRO (UF-XXXXX)</t>
        </is>
      </c>
      <c r="D1993" s="8" t="inlineStr">
        <is>
          <t>HIPHOS 19 FARELADO BAG</t>
        </is>
      </c>
      <c r="E1993" s="7" t="inlineStr">
        <is>
          <t>Adubação de Solo / Foliar</t>
        </is>
      </c>
      <c r="F1993" s="7" t="inlineStr">
        <is>
          <t>Milho</t>
        </is>
      </c>
      <c r="G1993" s="7" t="inlineStr">
        <is>
          <t>Cultura Autorizada na Bula</t>
        </is>
      </c>
      <c r="H1993" s="7" t="inlineStr">
        <is>
          <t>100 a 300 L/ha</t>
        </is>
      </c>
      <c r="I1993" s="7" t="inlineStr">
        <is>
          <t>20 a 40 L/ha</t>
        </is>
      </c>
      <c r="J1993" s="7" t="inlineStr">
        <is>
          <t>Isento</t>
        </is>
      </c>
    </row>
    <row r="1994" ht="22" customHeight="1">
      <c r="A1994" s="12" t="inlineStr">
        <is>
          <t>CUL-1990</t>
        </is>
      </c>
      <c r="B1994" s="11" t="n">
        <v>397</v>
      </c>
      <c r="C1994" s="13" t="inlineStr">
        <is>
          <t>SIPEAGRO (UF-XXXXX)</t>
        </is>
      </c>
      <c r="D1994" s="14" t="inlineStr">
        <is>
          <t>HIPHOS 19 FARELADO BAG</t>
        </is>
      </c>
      <c r="E1994" s="13" t="inlineStr">
        <is>
          <t>Adubação de Solo / Foliar</t>
        </is>
      </c>
      <c r="F1994" s="13" t="inlineStr">
        <is>
          <t>Algodão</t>
        </is>
      </c>
      <c r="G1994" s="13" t="inlineStr">
        <is>
          <t>Cultura Autorizada na Bula</t>
        </is>
      </c>
      <c r="H1994" s="13" t="inlineStr">
        <is>
          <t>100 a 300 L/ha</t>
        </is>
      </c>
      <c r="I1994" s="13" t="inlineStr">
        <is>
          <t>20 a 40 L/ha</t>
        </is>
      </c>
      <c r="J1994" s="13" t="inlineStr">
        <is>
          <t>Isento</t>
        </is>
      </c>
    </row>
    <row r="1995" ht="22" customHeight="1">
      <c r="A1995" s="6" t="inlineStr">
        <is>
          <t>CUL-1991</t>
        </is>
      </c>
      <c r="B1995" s="5" t="n">
        <v>397</v>
      </c>
      <c r="C1995" s="7" t="inlineStr">
        <is>
          <t>SIPEAGRO (UF-XXXXX)</t>
        </is>
      </c>
      <c r="D1995" s="8" t="inlineStr">
        <is>
          <t>HIPHOS 19 FARELADO BAG</t>
        </is>
      </c>
      <c r="E1995" s="7" t="inlineStr">
        <is>
          <t>Adubação de Solo / Foliar</t>
        </is>
      </c>
      <c r="F1995" s="7" t="inlineStr">
        <is>
          <t>Cana-de-açúcar</t>
        </is>
      </c>
      <c r="G1995" s="7" t="inlineStr">
        <is>
          <t>Cultura Autorizada na Bula</t>
        </is>
      </c>
      <c r="H1995" s="7" t="inlineStr">
        <is>
          <t>100 a 300 L/ha</t>
        </is>
      </c>
      <c r="I1995" s="7" t="inlineStr">
        <is>
          <t>20 a 40 L/ha</t>
        </is>
      </c>
      <c r="J1995" s="7" t="inlineStr">
        <is>
          <t>Isento</t>
        </is>
      </c>
    </row>
    <row r="1996" ht="22" customHeight="1">
      <c r="A1996" s="12" t="inlineStr">
        <is>
          <t>CUL-1992</t>
        </is>
      </c>
      <c r="B1996" s="11" t="n">
        <v>397</v>
      </c>
      <c r="C1996" s="13" t="inlineStr">
        <is>
          <t>SIPEAGRO (UF-XXXXX)</t>
        </is>
      </c>
      <c r="D1996" s="14" t="inlineStr">
        <is>
          <t>HIPHOS 19 FARELADO BAG</t>
        </is>
      </c>
      <c r="E1996" s="13" t="inlineStr">
        <is>
          <t>Adubação de Solo / Foliar</t>
        </is>
      </c>
      <c r="F1996" s="13" t="inlineStr">
        <is>
          <t>Café</t>
        </is>
      </c>
      <c r="G1996" s="13" t="inlineStr">
        <is>
          <t>Cultura Autorizada na Bula</t>
        </is>
      </c>
      <c r="H1996" s="13" t="inlineStr">
        <is>
          <t>100 a 300 L/ha</t>
        </is>
      </c>
      <c r="I1996" s="13" t="inlineStr">
        <is>
          <t>20 a 40 L/ha</t>
        </is>
      </c>
      <c r="J1996" s="13" t="inlineStr">
        <is>
          <t>Isento</t>
        </is>
      </c>
    </row>
    <row r="1997" ht="22" customHeight="1">
      <c r="A1997" s="6" t="inlineStr">
        <is>
          <t>CUL-1993</t>
        </is>
      </c>
      <c r="B1997" s="5" t="n">
        <v>398</v>
      </c>
      <c r="C1997" s="7" t="inlineStr">
        <is>
          <t>SIPEAGRO (UF-XXXXX)</t>
        </is>
      </c>
      <c r="D1997" s="8" t="inlineStr">
        <is>
          <t>HIPHOS 02-20-00 17%CA 1,5%MG 6%S</t>
        </is>
      </c>
      <c r="E1997" s="7" t="inlineStr">
        <is>
          <t>Adubação de Solo / Foliar</t>
        </is>
      </c>
      <c r="F1997" s="7" t="inlineStr">
        <is>
          <t>Soja</t>
        </is>
      </c>
      <c r="G1997" s="7" t="inlineStr">
        <is>
          <t>Cultura Autorizada na Bula</t>
        </is>
      </c>
      <c r="H1997" s="7" t="inlineStr">
        <is>
          <t>100 a 300 L/ha</t>
        </is>
      </c>
      <c r="I1997" s="7" t="inlineStr">
        <is>
          <t>20 a 40 L/ha</t>
        </is>
      </c>
      <c r="J1997" s="7" t="inlineStr">
        <is>
          <t>Isento</t>
        </is>
      </c>
    </row>
    <row r="1998" ht="22" customHeight="1">
      <c r="A1998" s="12" t="inlineStr">
        <is>
          <t>CUL-1994</t>
        </is>
      </c>
      <c r="B1998" s="11" t="n">
        <v>398</v>
      </c>
      <c r="C1998" s="13" t="inlineStr">
        <is>
          <t>SIPEAGRO (UF-XXXXX)</t>
        </is>
      </c>
      <c r="D1998" s="14" t="inlineStr">
        <is>
          <t>HIPHOS 02-20-00 17%CA 1,5%MG 6%S</t>
        </is>
      </c>
      <c r="E1998" s="13" t="inlineStr">
        <is>
          <t>Adubação de Solo / Foliar</t>
        </is>
      </c>
      <c r="F1998" s="13" t="inlineStr">
        <is>
          <t>Milho</t>
        </is>
      </c>
      <c r="G1998" s="13" t="inlineStr">
        <is>
          <t>Cultura Autorizada na Bula</t>
        </is>
      </c>
      <c r="H1998" s="13" t="inlineStr">
        <is>
          <t>100 a 300 L/ha</t>
        </is>
      </c>
      <c r="I1998" s="13" t="inlineStr">
        <is>
          <t>20 a 40 L/ha</t>
        </is>
      </c>
      <c r="J1998" s="13" t="inlineStr">
        <is>
          <t>Isento</t>
        </is>
      </c>
    </row>
    <row r="1999" ht="22" customHeight="1">
      <c r="A1999" s="6" t="inlineStr">
        <is>
          <t>CUL-1995</t>
        </is>
      </c>
      <c r="B1999" s="5" t="n">
        <v>398</v>
      </c>
      <c r="C1999" s="7" t="inlineStr">
        <is>
          <t>SIPEAGRO (UF-XXXXX)</t>
        </is>
      </c>
      <c r="D1999" s="8" t="inlineStr">
        <is>
          <t>HIPHOS 02-20-00 17%CA 1,5%MG 6%S</t>
        </is>
      </c>
      <c r="E1999" s="7" t="inlineStr">
        <is>
          <t>Adubação de Solo / Foliar</t>
        </is>
      </c>
      <c r="F1999" s="7" t="inlineStr">
        <is>
          <t>Algodão</t>
        </is>
      </c>
      <c r="G1999" s="7" t="inlineStr">
        <is>
          <t>Cultura Autorizada na Bula</t>
        </is>
      </c>
      <c r="H1999" s="7" t="inlineStr">
        <is>
          <t>100 a 300 L/ha</t>
        </is>
      </c>
      <c r="I1999" s="7" t="inlineStr">
        <is>
          <t>20 a 40 L/ha</t>
        </is>
      </c>
      <c r="J1999" s="7" t="inlineStr">
        <is>
          <t>Isento</t>
        </is>
      </c>
    </row>
    <row r="2000" ht="22" customHeight="1">
      <c r="A2000" s="12" t="inlineStr">
        <is>
          <t>CUL-1996</t>
        </is>
      </c>
      <c r="B2000" s="11" t="n">
        <v>398</v>
      </c>
      <c r="C2000" s="13" t="inlineStr">
        <is>
          <t>SIPEAGRO (UF-XXXXX)</t>
        </is>
      </c>
      <c r="D2000" s="14" t="inlineStr">
        <is>
          <t>HIPHOS 02-20-00 17%CA 1,5%MG 6%S</t>
        </is>
      </c>
      <c r="E2000" s="13" t="inlineStr">
        <is>
          <t>Adubação de Solo / Foliar</t>
        </is>
      </c>
      <c r="F2000" s="13" t="inlineStr">
        <is>
          <t>Cana-de-açúcar</t>
        </is>
      </c>
      <c r="G2000" s="13" t="inlineStr">
        <is>
          <t>Cultura Autorizada na Bula</t>
        </is>
      </c>
      <c r="H2000" s="13" t="inlineStr">
        <is>
          <t>100 a 300 L/ha</t>
        </is>
      </c>
      <c r="I2000" s="13" t="inlineStr">
        <is>
          <t>20 a 40 L/ha</t>
        </is>
      </c>
      <c r="J2000" s="13" t="inlineStr">
        <is>
          <t>Isento</t>
        </is>
      </c>
    </row>
    <row r="2001" ht="22" customHeight="1">
      <c r="A2001" s="6" t="inlineStr">
        <is>
          <t>CUL-1997</t>
        </is>
      </c>
      <c r="B2001" s="5" t="n">
        <v>398</v>
      </c>
      <c r="C2001" s="7" t="inlineStr">
        <is>
          <t>SIPEAGRO (UF-XXXXX)</t>
        </is>
      </c>
      <c r="D2001" s="8" t="inlineStr">
        <is>
          <t>HIPHOS 02-20-00 17%CA 1,5%MG 6%S</t>
        </is>
      </c>
      <c r="E2001" s="7" t="inlineStr">
        <is>
          <t>Adubação de Solo / Foliar</t>
        </is>
      </c>
      <c r="F2001" s="7" t="inlineStr">
        <is>
          <t>Café</t>
        </is>
      </c>
      <c r="G2001" s="7" t="inlineStr">
        <is>
          <t>Cultura Autorizada na Bula</t>
        </is>
      </c>
      <c r="H2001" s="7" t="inlineStr">
        <is>
          <t>100 a 300 L/ha</t>
        </is>
      </c>
      <c r="I2001" s="7" t="inlineStr">
        <is>
          <t>20 a 40 L/ha</t>
        </is>
      </c>
      <c r="J2001" s="7" t="inlineStr">
        <is>
          <t>Isento</t>
        </is>
      </c>
    </row>
    <row r="2002" ht="22" customHeight="1">
      <c r="A2002" s="12" t="inlineStr">
        <is>
          <t>CUL-1998</t>
        </is>
      </c>
      <c r="B2002" s="11" t="n">
        <v>399</v>
      </c>
      <c r="C2002" s="13" t="inlineStr">
        <is>
          <t>SIPEAGRO (UF-XXXXX)</t>
        </is>
      </c>
      <c r="D2002" s="14" t="inlineStr">
        <is>
          <t>HIPHOS NPK 02-19-19 10%CA 0,50%MG</t>
        </is>
      </c>
      <c r="E2002" s="13" t="inlineStr">
        <is>
          <t>Adubação de Solo / Foliar</t>
        </is>
      </c>
      <c r="F2002" s="13" t="inlineStr">
        <is>
          <t>Soja</t>
        </is>
      </c>
      <c r="G2002" s="13" t="inlineStr">
        <is>
          <t>Cultura Autorizada na Bula</t>
        </is>
      </c>
      <c r="H2002" s="13" t="inlineStr">
        <is>
          <t>100 a 300 L/ha</t>
        </is>
      </c>
      <c r="I2002" s="13" t="inlineStr">
        <is>
          <t>20 a 40 L/ha</t>
        </is>
      </c>
      <c r="J2002" s="13" t="inlineStr">
        <is>
          <t>Isento</t>
        </is>
      </c>
    </row>
    <row r="2003" ht="22" customHeight="1">
      <c r="A2003" s="6" t="inlineStr">
        <is>
          <t>CUL-1999</t>
        </is>
      </c>
      <c r="B2003" s="5" t="n">
        <v>399</v>
      </c>
      <c r="C2003" s="7" t="inlineStr">
        <is>
          <t>SIPEAGRO (UF-XXXXX)</t>
        </is>
      </c>
      <c r="D2003" s="8" t="inlineStr">
        <is>
          <t>HIPHOS NPK 02-19-19 10%CA 0,50%MG</t>
        </is>
      </c>
      <c r="E2003" s="7" t="inlineStr">
        <is>
          <t>Adubação de Solo / Foliar</t>
        </is>
      </c>
      <c r="F2003" s="7" t="inlineStr">
        <is>
          <t>Milho</t>
        </is>
      </c>
      <c r="G2003" s="7" t="inlineStr">
        <is>
          <t>Cultura Autorizada na Bula</t>
        </is>
      </c>
      <c r="H2003" s="7" t="inlineStr">
        <is>
          <t>100 a 300 L/ha</t>
        </is>
      </c>
      <c r="I2003" s="7" t="inlineStr">
        <is>
          <t>20 a 40 L/ha</t>
        </is>
      </c>
      <c r="J2003" s="7" t="inlineStr">
        <is>
          <t>Isento</t>
        </is>
      </c>
    </row>
    <row r="2004" ht="22" customHeight="1">
      <c r="A2004" s="12" t="inlineStr">
        <is>
          <t>CUL-2000</t>
        </is>
      </c>
      <c r="B2004" s="11" t="n">
        <v>399</v>
      </c>
      <c r="C2004" s="13" t="inlineStr">
        <is>
          <t>SIPEAGRO (UF-XXXXX)</t>
        </is>
      </c>
      <c r="D2004" s="14" t="inlineStr">
        <is>
          <t>HIPHOS NPK 02-19-19 10%CA 0,50%MG</t>
        </is>
      </c>
      <c r="E2004" s="13" t="inlineStr">
        <is>
          <t>Adubação de Solo / Foliar</t>
        </is>
      </c>
      <c r="F2004" s="13" t="inlineStr">
        <is>
          <t>Algodão</t>
        </is>
      </c>
      <c r="G2004" s="13" t="inlineStr">
        <is>
          <t>Cultura Autorizada na Bula</t>
        </is>
      </c>
      <c r="H2004" s="13" t="inlineStr">
        <is>
          <t>100 a 300 L/ha</t>
        </is>
      </c>
      <c r="I2004" s="13" t="inlineStr">
        <is>
          <t>20 a 40 L/ha</t>
        </is>
      </c>
      <c r="J2004" s="13" t="inlineStr">
        <is>
          <t>Isento</t>
        </is>
      </c>
    </row>
    <row r="2005" ht="22" customHeight="1">
      <c r="A2005" s="6" t="inlineStr">
        <is>
          <t>CUL-2001</t>
        </is>
      </c>
      <c r="B2005" s="5" t="n">
        <v>399</v>
      </c>
      <c r="C2005" s="7" t="inlineStr">
        <is>
          <t>SIPEAGRO (UF-XXXXX)</t>
        </is>
      </c>
      <c r="D2005" s="8" t="inlineStr">
        <is>
          <t>HIPHOS NPK 02-19-19 10%CA 0,50%MG</t>
        </is>
      </c>
      <c r="E2005" s="7" t="inlineStr">
        <is>
          <t>Adubação de Solo / Foliar</t>
        </is>
      </c>
      <c r="F2005" s="7" t="inlineStr">
        <is>
          <t>Cana-de-açúcar</t>
        </is>
      </c>
      <c r="G2005" s="7" t="inlineStr">
        <is>
          <t>Cultura Autorizada na Bula</t>
        </is>
      </c>
      <c r="H2005" s="7" t="inlineStr">
        <is>
          <t>100 a 300 L/ha</t>
        </is>
      </c>
      <c r="I2005" s="7" t="inlineStr">
        <is>
          <t>20 a 40 L/ha</t>
        </is>
      </c>
      <c r="J2005" s="7" t="inlineStr">
        <is>
          <t>Isento</t>
        </is>
      </c>
    </row>
    <row r="2006" ht="22" customHeight="1">
      <c r="A2006" s="12" t="inlineStr">
        <is>
          <t>CUL-2002</t>
        </is>
      </c>
      <c r="B2006" s="11" t="n">
        <v>399</v>
      </c>
      <c r="C2006" s="13" t="inlineStr">
        <is>
          <t>SIPEAGRO (UF-XXXXX)</t>
        </is>
      </c>
      <c r="D2006" s="14" t="inlineStr">
        <is>
          <t>HIPHOS NPK 02-19-19 10%CA 0,50%MG</t>
        </is>
      </c>
      <c r="E2006" s="13" t="inlineStr">
        <is>
          <t>Adubação de Solo / Foliar</t>
        </is>
      </c>
      <c r="F2006" s="13" t="inlineStr">
        <is>
          <t>Café</t>
        </is>
      </c>
      <c r="G2006" s="13" t="inlineStr">
        <is>
          <t>Cultura Autorizada na Bula</t>
        </is>
      </c>
      <c r="H2006" s="13" t="inlineStr">
        <is>
          <t>100 a 300 L/ha</t>
        </is>
      </c>
      <c r="I2006" s="13" t="inlineStr">
        <is>
          <t>20 a 40 L/ha</t>
        </is>
      </c>
      <c r="J2006" s="13" t="inlineStr">
        <is>
          <t>Isento</t>
        </is>
      </c>
    </row>
    <row r="2007" ht="22" customHeight="1">
      <c r="A2007" s="6" t="inlineStr">
        <is>
          <t>CUL-2003</t>
        </is>
      </c>
      <c r="B2007" s="5" t="n">
        <v>400</v>
      </c>
      <c r="C2007" s="7" t="inlineStr">
        <is>
          <t>SIPEAGRO (UF-XXXXX)</t>
        </is>
      </c>
      <c r="D2007" s="8" t="inlineStr">
        <is>
          <t>HIPHOS NPK 02-21-05 15%CA 0,8%MG</t>
        </is>
      </c>
      <c r="E2007" s="7" t="inlineStr">
        <is>
          <t>Adubação de Solo / Foliar</t>
        </is>
      </c>
      <c r="F2007" s="7" t="inlineStr">
        <is>
          <t>Soja</t>
        </is>
      </c>
      <c r="G2007" s="7" t="inlineStr">
        <is>
          <t>Cultura Autorizada na Bula</t>
        </is>
      </c>
      <c r="H2007" s="7" t="inlineStr">
        <is>
          <t>100 a 300 L/ha</t>
        </is>
      </c>
      <c r="I2007" s="7" t="inlineStr">
        <is>
          <t>20 a 40 L/ha</t>
        </is>
      </c>
      <c r="J2007" s="7" t="inlineStr">
        <is>
          <t>Isento</t>
        </is>
      </c>
    </row>
    <row r="2008" ht="22" customHeight="1">
      <c r="A2008" s="12" t="inlineStr">
        <is>
          <t>CUL-2004</t>
        </is>
      </c>
      <c r="B2008" s="11" t="n">
        <v>400</v>
      </c>
      <c r="C2008" s="13" t="inlineStr">
        <is>
          <t>SIPEAGRO (UF-XXXXX)</t>
        </is>
      </c>
      <c r="D2008" s="14" t="inlineStr">
        <is>
          <t>HIPHOS NPK 02-21-05 15%CA 0,8%MG</t>
        </is>
      </c>
      <c r="E2008" s="13" t="inlineStr">
        <is>
          <t>Adubação de Solo / Foliar</t>
        </is>
      </c>
      <c r="F2008" s="13" t="inlineStr">
        <is>
          <t>Milho</t>
        </is>
      </c>
      <c r="G2008" s="13" t="inlineStr">
        <is>
          <t>Cultura Autorizada na Bula</t>
        </is>
      </c>
      <c r="H2008" s="13" t="inlineStr">
        <is>
          <t>100 a 300 L/ha</t>
        </is>
      </c>
      <c r="I2008" s="13" t="inlineStr">
        <is>
          <t>20 a 40 L/ha</t>
        </is>
      </c>
      <c r="J2008" s="13" t="inlineStr">
        <is>
          <t>Isento</t>
        </is>
      </c>
    </row>
    <row r="2009" ht="22" customHeight="1">
      <c r="A2009" s="6" t="inlineStr">
        <is>
          <t>CUL-2005</t>
        </is>
      </c>
      <c r="B2009" s="5" t="n">
        <v>400</v>
      </c>
      <c r="C2009" s="7" t="inlineStr">
        <is>
          <t>SIPEAGRO (UF-XXXXX)</t>
        </is>
      </c>
      <c r="D2009" s="8" t="inlineStr">
        <is>
          <t>HIPHOS NPK 02-21-05 15%CA 0,8%MG</t>
        </is>
      </c>
      <c r="E2009" s="7" t="inlineStr">
        <is>
          <t>Adubação de Solo / Foliar</t>
        </is>
      </c>
      <c r="F2009" s="7" t="inlineStr">
        <is>
          <t>Algodão</t>
        </is>
      </c>
      <c r="G2009" s="7" t="inlineStr">
        <is>
          <t>Cultura Autorizada na Bula</t>
        </is>
      </c>
      <c r="H2009" s="7" t="inlineStr">
        <is>
          <t>100 a 300 L/ha</t>
        </is>
      </c>
      <c r="I2009" s="7" t="inlineStr">
        <is>
          <t>20 a 40 L/ha</t>
        </is>
      </c>
      <c r="J2009" s="7" t="inlineStr">
        <is>
          <t>Isento</t>
        </is>
      </c>
    </row>
    <row r="2010" ht="22" customHeight="1">
      <c r="A2010" s="12" t="inlineStr">
        <is>
          <t>CUL-2006</t>
        </is>
      </c>
      <c r="B2010" s="11" t="n">
        <v>400</v>
      </c>
      <c r="C2010" s="13" t="inlineStr">
        <is>
          <t>SIPEAGRO (UF-XXXXX)</t>
        </is>
      </c>
      <c r="D2010" s="14" t="inlineStr">
        <is>
          <t>HIPHOS NPK 02-21-05 15%CA 0,8%MG</t>
        </is>
      </c>
      <c r="E2010" s="13" t="inlineStr">
        <is>
          <t>Adubação de Solo / Foliar</t>
        </is>
      </c>
      <c r="F2010" s="13" t="inlineStr">
        <is>
          <t>Cana-de-açúcar</t>
        </is>
      </c>
      <c r="G2010" s="13" t="inlineStr">
        <is>
          <t>Cultura Autorizada na Bula</t>
        </is>
      </c>
      <c r="H2010" s="13" t="inlineStr">
        <is>
          <t>100 a 300 L/ha</t>
        </is>
      </c>
      <c r="I2010" s="13" t="inlineStr">
        <is>
          <t>20 a 40 L/ha</t>
        </is>
      </c>
      <c r="J2010" s="13" t="inlineStr">
        <is>
          <t>Isento</t>
        </is>
      </c>
    </row>
    <row r="2011" ht="22" customHeight="1">
      <c r="A2011" s="6" t="inlineStr">
        <is>
          <t>CUL-2007</t>
        </is>
      </c>
      <c r="B2011" s="5" t="n">
        <v>400</v>
      </c>
      <c r="C2011" s="7" t="inlineStr">
        <is>
          <t>SIPEAGRO (UF-XXXXX)</t>
        </is>
      </c>
      <c r="D2011" s="8" t="inlineStr">
        <is>
          <t>HIPHOS NPK 02-21-05 15%CA 0,8%MG</t>
        </is>
      </c>
      <c r="E2011" s="7" t="inlineStr">
        <is>
          <t>Adubação de Solo / Foliar</t>
        </is>
      </c>
      <c r="F2011" s="7" t="inlineStr">
        <is>
          <t>Café</t>
        </is>
      </c>
      <c r="G2011" s="7" t="inlineStr">
        <is>
          <t>Cultura Autorizada na Bula</t>
        </is>
      </c>
      <c r="H2011" s="7" t="inlineStr">
        <is>
          <t>100 a 300 L/ha</t>
        </is>
      </c>
      <c r="I2011" s="7" t="inlineStr">
        <is>
          <t>20 a 40 L/ha</t>
        </is>
      </c>
      <c r="J2011" s="7" t="inlineStr">
        <is>
          <t>Isento</t>
        </is>
      </c>
    </row>
    <row r="2012" ht="22" customHeight="1">
      <c r="A2012" s="12" t="inlineStr">
        <is>
          <t>CUL-2008</t>
        </is>
      </c>
      <c r="B2012" s="11" t="n">
        <v>401</v>
      </c>
      <c r="C2012" s="13" t="inlineStr">
        <is>
          <t>SIPEAGRO (UF-XXXXX)</t>
        </is>
      </c>
      <c r="D2012" s="14" t="inlineStr">
        <is>
          <t>HIPHOS NPK 04-31-06 10%CA 0,30%MG</t>
        </is>
      </c>
      <c r="E2012" s="13" t="inlineStr">
        <is>
          <t>Adubação de Solo / Foliar</t>
        </is>
      </c>
      <c r="F2012" s="13" t="inlineStr">
        <is>
          <t>Soja</t>
        </is>
      </c>
      <c r="G2012" s="13" t="inlineStr">
        <is>
          <t>Cultura Autorizada na Bula</t>
        </is>
      </c>
      <c r="H2012" s="13" t="inlineStr">
        <is>
          <t>100 a 300 L/ha</t>
        </is>
      </c>
      <c r="I2012" s="13" t="inlineStr">
        <is>
          <t>20 a 40 L/ha</t>
        </is>
      </c>
      <c r="J2012" s="13" t="inlineStr">
        <is>
          <t>Isento</t>
        </is>
      </c>
    </row>
    <row r="2013" ht="22" customHeight="1">
      <c r="A2013" s="6" t="inlineStr">
        <is>
          <t>CUL-2009</t>
        </is>
      </c>
      <c r="B2013" s="5" t="n">
        <v>401</v>
      </c>
      <c r="C2013" s="7" t="inlineStr">
        <is>
          <t>SIPEAGRO (UF-XXXXX)</t>
        </is>
      </c>
      <c r="D2013" s="8" t="inlineStr">
        <is>
          <t>HIPHOS NPK 04-31-06 10%CA 0,30%MG</t>
        </is>
      </c>
      <c r="E2013" s="7" t="inlineStr">
        <is>
          <t>Adubação de Solo / Foliar</t>
        </is>
      </c>
      <c r="F2013" s="7" t="inlineStr">
        <is>
          <t>Milho</t>
        </is>
      </c>
      <c r="G2013" s="7" t="inlineStr">
        <is>
          <t>Cultura Autorizada na Bula</t>
        </is>
      </c>
      <c r="H2013" s="7" t="inlineStr">
        <is>
          <t>100 a 300 L/ha</t>
        </is>
      </c>
      <c r="I2013" s="7" t="inlineStr">
        <is>
          <t>20 a 40 L/ha</t>
        </is>
      </c>
      <c r="J2013" s="7" t="inlineStr">
        <is>
          <t>Isento</t>
        </is>
      </c>
    </row>
    <row r="2014" ht="22" customHeight="1">
      <c r="A2014" s="12" t="inlineStr">
        <is>
          <t>CUL-2010</t>
        </is>
      </c>
      <c r="B2014" s="11" t="n">
        <v>401</v>
      </c>
      <c r="C2014" s="13" t="inlineStr">
        <is>
          <t>SIPEAGRO (UF-XXXXX)</t>
        </is>
      </c>
      <c r="D2014" s="14" t="inlineStr">
        <is>
          <t>HIPHOS NPK 04-31-06 10%CA 0,30%MG</t>
        </is>
      </c>
      <c r="E2014" s="13" t="inlineStr">
        <is>
          <t>Adubação de Solo / Foliar</t>
        </is>
      </c>
      <c r="F2014" s="13" t="inlineStr">
        <is>
          <t>Algodão</t>
        </is>
      </c>
      <c r="G2014" s="13" t="inlineStr">
        <is>
          <t>Cultura Autorizada na Bula</t>
        </is>
      </c>
      <c r="H2014" s="13" t="inlineStr">
        <is>
          <t>100 a 300 L/ha</t>
        </is>
      </c>
      <c r="I2014" s="13" t="inlineStr">
        <is>
          <t>20 a 40 L/ha</t>
        </is>
      </c>
      <c r="J2014" s="13" t="inlineStr">
        <is>
          <t>Isento</t>
        </is>
      </c>
    </row>
    <row r="2015" ht="22" customHeight="1">
      <c r="A2015" s="6" t="inlineStr">
        <is>
          <t>CUL-2011</t>
        </is>
      </c>
      <c r="B2015" s="5" t="n">
        <v>401</v>
      </c>
      <c r="C2015" s="7" t="inlineStr">
        <is>
          <t>SIPEAGRO (UF-XXXXX)</t>
        </is>
      </c>
      <c r="D2015" s="8" t="inlineStr">
        <is>
          <t>HIPHOS NPK 04-31-06 10%CA 0,30%MG</t>
        </is>
      </c>
      <c r="E2015" s="7" t="inlineStr">
        <is>
          <t>Adubação de Solo / Foliar</t>
        </is>
      </c>
      <c r="F2015" s="7" t="inlineStr">
        <is>
          <t>Cana-de-açúcar</t>
        </is>
      </c>
      <c r="G2015" s="7" t="inlineStr">
        <is>
          <t>Cultura Autorizada na Bula</t>
        </is>
      </c>
      <c r="H2015" s="7" t="inlineStr">
        <is>
          <t>100 a 300 L/ha</t>
        </is>
      </c>
      <c r="I2015" s="7" t="inlineStr">
        <is>
          <t>20 a 40 L/ha</t>
        </is>
      </c>
      <c r="J2015" s="7" t="inlineStr">
        <is>
          <t>Isento</t>
        </is>
      </c>
    </row>
    <row r="2016" ht="22" customHeight="1">
      <c r="A2016" s="12" t="inlineStr">
        <is>
          <t>CUL-2012</t>
        </is>
      </c>
      <c r="B2016" s="11" t="n">
        <v>401</v>
      </c>
      <c r="C2016" s="13" t="inlineStr">
        <is>
          <t>SIPEAGRO (UF-XXXXX)</t>
        </is>
      </c>
      <c r="D2016" s="14" t="inlineStr">
        <is>
          <t>HIPHOS NPK 04-31-06 10%CA 0,30%MG</t>
        </is>
      </c>
      <c r="E2016" s="13" t="inlineStr">
        <is>
          <t>Adubação de Solo / Foliar</t>
        </is>
      </c>
      <c r="F2016" s="13" t="inlineStr">
        <is>
          <t>Café</t>
        </is>
      </c>
      <c r="G2016" s="13" t="inlineStr">
        <is>
          <t>Cultura Autorizada na Bula</t>
        </is>
      </c>
      <c r="H2016" s="13" t="inlineStr">
        <is>
          <t>100 a 300 L/ha</t>
        </is>
      </c>
      <c r="I2016" s="13" t="inlineStr">
        <is>
          <t>20 a 40 L/ha</t>
        </is>
      </c>
      <c r="J2016" s="13" t="inlineStr">
        <is>
          <t>Isento</t>
        </is>
      </c>
    </row>
    <row r="2017" ht="22" customHeight="1">
      <c r="A2017" s="6" t="inlineStr">
        <is>
          <t>CUL-2013</t>
        </is>
      </c>
      <c r="B2017" s="5" t="n">
        <v>402</v>
      </c>
      <c r="C2017" s="7" t="inlineStr">
        <is>
          <t>SIPEAGRO (UF-XXXXX)</t>
        </is>
      </c>
      <c r="D2017" s="8" t="inlineStr">
        <is>
          <t>HIPHOS NPK 05-28-08 7%CA 0,25%MG</t>
        </is>
      </c>
      <c r="E2017" s="7" t="inlineStr">
        <is>
          <t>Adubação de Solo / Foliar</t>
        </is>
      </c>
      <c r="F2017" s="7" t="inlineStr">
        <is>
          <t>Soja</t>
        </is>
      </c>
      <c r="G2017" s="7" t="inlineStr">
        <is>
          <t>Cultura Autorizada na Bula</t>
        </is>
      </c>
      <c r="H2017" s="7" t="inlineStr">
        <is>
          <t>100 a 300 L/ha</t>
        </is>
      </c>
      <c r="I2017" s="7" t="inlineStr">
        <is>
          <t>20 a 40 L/ha</t>
        </is>
      </c>
      <c r="J2017" s="7" t="inlineStr">
        <is>
          <t>Isento</t>
        </is>
      </c>
    </row>
    <row r="2018" ht="22" customHeight="1">
      <c r="A2018" s="12" t="inlineStr">
        <is>
          <t>CUL-2014</t>
        </is>
      </c>
      <c r="B2018" s="11" t="n">
        <v>402</v>
      </c>
      <c r="C2018" s="13" t="inlineStr">
        <is>
          <t>SIPEAGRO (UF-XXXXX)</t>
        </is>
      </c>
      <c r="D2018" s="14" t="inlineStr">
        <is>
          <t>HIPHOS NPK 05-28-08 7%CA 0,25%MG</t>
        </is>
      </c>
      <c r="E2018" s="13" t="inlineStr">
        <is>
          <t>Adubação de Solo / Foliar</t>
        </is>
      </c>
      <c r="F2018" s="13" t="inlineStr">
        <is>
          <t>Milho</t>
        </is>
      </c>
      <c r="G2018" s="13" t="inlineStr">
        <is>
          <t>Cultura Autorizada na Bula</t>
        </is>
      </c>
      <c r="H2018" s="13" t="inlineStr">
        <is>
          <t>100 a 300 L/ha</t>
        </is>
      </c>
      <c r="I2018" s="13" t="inlineStr">
        <is>
          <t>20 a 40 L/ha</t>
        </is>
      </c>
      <c r="J2018" s="13" t="inlineStr">
        <is>
          <t>Isento</t>
        </is>
      </c>
    </row>
    <row r="2019" ht="22" customHeight="1">
      <c r="A2019" s="6" t="inlineStr">
        <is>
          <t>CUL-2015</t>
        </is>
      </c>
      <c r="B2019" s="5" t="n">
        <v>402</v>
      </c>
      <c r="C2019" s="7" t="inlineStr">
        <is>
          <t>SIPEAGRO (UF-XXXXX)</t>
        </is>
      </c>
      <c r="D2019" s="8" t="inlineStr">
        <is>
          <t>HIPHOS NPK 05-28-08 7%CA 0,25%MG</t>
        </is>
      </c>
      <c r="E2019" s="7" t="inlineStr">
        <is>
          <t>Adubação de Solo / Foliar</t>
        </is>
      </c>
      <c r="F2019" s="7" t="inlineStr">
        <is>
          <t>Algodão</t>
        </is>
      </c>
      <c r="G2019" s="7" t="inlineStr">
        <is>
          <t>Cultura Autorizada na Bula</t>
        </is>
      </c>
      <c r="H2019" s="7" t="inlineStr">
        <is>
          <t>100 a 300 L/ha</t>
        </is>
      </c>
      <c r="I2019" s="7" t="inlineStr">
        <is>
          <t>20 a 40 L/ha</t>
        </is>
      </c>
      <c r="J2019" s="7" t="inlineStr">
        <is>
          <t>Isento</t>
        </is>
      </c>
    </row>
    <row r="2020" ht="22" customHeight="1">
      <c r="A2020" s="12" t="inlineStr">
        <is>
          <t>CUL-2016</t>
        </is>
      </c>
      <c r="B2020" s="11" t="n">
        <v>402</v>
      </c>
      <c r="C2020" s="13" t="inlineStr">
        <is>
          <t>SIPEAGRO (UF-XXXXX)</t>
        </is>
      </c>
      <c r="D2020" s="14" t="inlineStr">
        <is>
          <t>HIPHOS NPK 05-28-08 7%CA 0,25%MG</t>
        </is>
      </c>
      <c r="E2020" s="13" t="inlineStr">
        <is>
          <t>Adubação de Solo / Foliar</t>
        </is>
      </c>
      <c r="F2020" s="13" t="inlineStr">
        <is>
          <t>Cana-de-açúcar</t>
        </is>
      </c>
      <c r="G2020" s="13" t="inlineStr">
        <is>
          <t>Cultura Autorizada na Bula</t>
        </is>
      </c>
      <c r="H2020" s="13" t="inlineStr">
        <is>
          <t>100 a 300 L/ha</t>
        </is>
      </c>
      <c r="I2020" s="13" t="inlineStr">
        <is>
          <t>20 a 40 L/ha</t>
        </is>
      </c>
      <c r="J2020" s="13" t="inlineStr">
        <is>
          <t>Isento</t>
        </is>
      </c>
    </row>
    <row r="2021" ht="22" customHeight="1">
      <c r="A2021" s="6" t="inlineStr">
        <is>
          <t>CUL-2017</t>
        </is>
      </c>
      <c r="B2021" s="5" t="n">
        <v>402</v>
      </c>
      <c r="C2021" s="7" t="inlineStr">
        <is>
          <t>SIPEAGRO (UF-XXXXX)</t>
        </is>
      </c>
      <c r="D2021" s="8" t="inlineStr">
        <is>
          <t>HIPHOS NPK 05-28-08 7%CA 0,25%MG</t>
        </is>
      </c>
      <c r="E2021" s="7" t="inlineStr">
        <is>
          <t>Adubação de Solo / Foliar</t>
        </is>
      </c>
      <c r="F2021" s="7" t="inlineStr">
        <is>
          <t>Café</t>
        </is>
      </c>
      <c r="G2021" s="7" t="inlineStr">
        <is>
          <t>Cultura Autorizada na Bula</t>
        </is>
      </c>
      <c r="H2021" s="7" t="inlineStr">
        <is>
          <t>100 a 300 L/ha</t>
        </is>
      </c>
      <c r="I2021" s="7" t="inlineStr">
        <is>
          <t>20 a 40 L/ha</t>
        </is>
      </c>
      <c r="J2021" s="7" t="inlineStr">
        <is>
          <t>Isento</t>
        </is>
      </c>
    </row>
    <row r="2022" ht="22" customHeight="1">
      <c r="A2022" s="12" t="inlineStr">
        <is>
          <t>CUL-2018</t>
        </is>
      </c>
      <c r="B2022" s="11" t="n">
        <v>403</v>
      </c>
      <c r="C2022" s="13" t="inlineStr">
        <is>
          <t>SIPEAGRO (UF-XXXXX)</t>
        </is>
      </c>
      <c r="D2022" s="14" t="inlineStr">
        <is>
          <t>HIPHOS NPK 07-15-15 8%CA 0,5%MG BG1000 KG (VALIDAR</t>
        </is>
      </c>
      <c r="E2022" s="13" t="inlineStr">
        <is>
          <t>Adubação de Solo / Foliar</t>
        </is>
      </c>
      <c r="F2022" s="13" t="inlineStr">
        <is>
          <t>Soja</t>
        </is>
      </c>
      <c r="G2022" s="13" t="inlineStr">
        <is>
          <t>Cultura Autorizada na Bula</t>
        </is>
      </c>
      <c r="H2022" s="13" t="inlineStr">
        <is>
          <t>100 a 300 L/ha</t>
        </is>
      </c>
      <c r="I2022" s="13" t="inlineStr">
        <is>
          <t>20 a 40 L/ha</t>
        </is>
      </c>
      <c r="J2022" s="13" t="inlineStr">
        <is>
          <t>Isento</t>
        </is>
      </c>
    </row>
    <row r="2023" ht="22" customHeight="1">
      <c r="A2023" s="6" t="inlineStr">
        <is>
          <t>CUL-2019</t>
        </is>
      </c>
      <c r="B2023" s="5" t="n">
        <v>403</v>
      </c>
      <c r="C2023" s="7" t="inlineStr">
        <is>
          <t>SIPEAGRO (UF-XXXXX)</t>
        </is>
      </c>
      <c r="D2023" s="8" t="inlineStr">
        <is>
          <t>HIPHOS NPK 07-15-15 8%CA 0,5%MG BG1000 KG (VALIDAR</t>
        </is>
      </c>
      <c r="E2023" s="7" t="inlineStr">
        <is>
          <t>Adubação de Solo / Foliar</t>
        </is>
      </c>
      <c r="F2023" s="7" t="inlineStr">
        <is>
          <t>Milho</t>
        </is>
      </c>
      <c r="G2023" s="7" t="inlineStr">
        <is>
          <t>Cultura Autorizada na Bula</t>
        </is>
      </c>
      <c r="H2023" s="7" t="inlineStr">
        <is>
          <t>100 a 300 L/ha</t>
        </is>
      </c>
      <c r="I2023" s="7" t="inlineStr">
        <is>
          <t>20 a 40 L/ha</t>
        </is>
      </c>
      <c r="J2023" s="7" t="inlineStr">
        <is>
          <t>Isento</t>
        </is>
      </c>
    </row>
    <row r="2024" ht="22" customHeight="1">
      <c r="A2024" s="12" t="inlineStr">
        <is>
          <t>CUL-2020</t>
        </is>
      </c>
      <c r="B2024" s="11" t="n">
        <v>403</v>
      </c>
      <c r="C2024" s="13" t="inlineStr">
        <is>
          <t>SIPEAGRO (UF-XXXXX)</t>
        </is>
      </c>
      <c r="D2024" s="14" t="inlineStr">
        <is>
          <t>HIPHOS NPK 07-15-15 8%CA 0,5%MG BG1000 KG (VALIDAR</t>
        </is>
      </c>
      <c r="E2024" s="13" t="inlineStr">
        <is>
          <t>Adubação de Solo / Foliar</t>
        </is>
      </c>
      <c r="F2024" s="13" t="inlineStr">
        <is>
          <t>Algodão</t>
        </is>
      </c>
      <c r="G2024" s="13" t="inlineStr">
        <is>
          <t>Cultura Autorizada na Bula</t>
        </is>
      </c>
      <c r="H2024" s="13" t="inlineStr">
        <is>
          <t>100 a 300 L/ha</t>
        </is>
      </c>
      <c r="I2024" s="13" t="inlineStr">
        <is>
          <t>20 a 40 L/ha</t>
        </is>
      </c>
      <c r="J2024" s="13" t="inlineStr">
        <is>
          <t>Isento</t>
        </is>
      </c>
    </row>
    <row r="2025" ht="22" customHeight="1">
      <c r="A2025" s="6" t="inlineStr">
        <is>
          <t>CUL-2021</t>
        </is>
      </c>
      <c r="B2025" s="5" t="n">
        <v>403</v>
      </c>
      <c r="C2025" s="7" t="inlineStr">
        <is>
          <t>SIPEAGRO (UF-XXXXX)</t>
        </is>
      </c>
      <c r="D2025" s="8" t="inlineStr">
        <is>
          <t>HIPHOS NPK 07-15-15 8%CA 0,5%MG BG1000 KG (VALIDAR</t>
        </is>
      </c>
      <c r="E2025" s="7" t="inlineStr">
        <is>
          <t>Adubação de Solo / Foliar</t>
        </is>
      </c>
      <c r="F2025" s="7" t="inlineStr">
        <is>
          <t>Cana-de-açúcar</t>
        </is>
      </c>
      <c r="G2025" s="7" t="inlineStr">
        <is>
          <t>Cultura Autorizada na Bula</t>
        </is>
      </c>
      <c r="H2025" s="7" t="inlineStr">
        <is>
          <t>100 a 300 L/ha</t>
        </is>
      </c>
      <c r="I2025" s="7" t="inlineStr">
        <is>
          <t>20 a 40 L/ha</t>
        </is>
      </c>
      <c r="J2025" s="7" t="inlineStr">
        <is>
          <t>Isento</t>
        </is>
      </c>
    </row>
    <row r="2026" ht="22" customHeight="1">
      <c r="A2026" s="12" t="inlineStr">
        <is>
          <t>CUL-2022</t>
        </is>
      </c>
      <c r="B2026" s="11" t="n">
        <v>403</v>
      </c>
      <c r="C2026" s="13" t="inlineStr">
        <is>
          <t>SIPEAGRO (UF-XXXXX)</t>
        </is>
      </c>
      <c r="D2026" s="14" t="inlineStr">
        <is>
          <t>HIPHOS NPK 07-15-15 8%CA 0,5%MG BG1000 KG (VALIDAR</t>
        </is>
      </c>
      <c r="E2026" s="13" t="inlineStr">
        <is>
          <t>Adubação de Solo / Foliar</t>
        </is>
      </c>
      <c r="F2026" s="13" t="inlineStr">
        <is>
          <t>Café</t>
        </is>
      </c>
      <c r="G2026" s="13" t="inlineStr">
        <is>
          <t>Cultura Autorizada na Bula</t>
        </is>
      </c>
      <c r="H2026" s="13" t="inlineStr">
        <is>
          <t>100 a 300 L/ha</t>
        </is>
      </c>
      <c r="I2026" s="13" t="inlineStr">
        <is>
          <t>20 a 40 L/ha</t>
        </is>
      </c>
      <c r="J2026" s="13" t="inlineStr">
        <is>
          <t>Isento</t>
        </is>
      </c>
    </row>
    <row r="2027" ht="22" customHeight="1">
      <c r="A2027" s="6" t="inlineStr">
        <is>
          <t>CUL-2023</t>
        </is>
      </c>
      <c r="B2027" s="5" t="n">
        <v>404</v>
      </c>
      <c r="C2027" s="7" t="inlineStr">
        <is>
          <t>SIPEAGRO (UF-XXXXX)</t>
        </is>
      </c>
      <c r="D2027" s="8" t="inlineStr">
        <is>
          <t>HIPHOS NPK 09-14-14 5%CA 7%S BG1000 KG (VALIDAR</t>
        </is>
      </c>
      <c r="E2027" s="7" t="inlineStr">
        <is>
          <t>Adubação de Solo / Foliar</t>
        </is>
      </c>
      <c r="F2027" s="7" t="inlineStr">
        <is>
          <t>Soja</t>
        </is>
      </c>
      <c r="G2027" s="7" t="inlineStr">
        <is>
          <t>Cultura Autorizada na Bula</t>
        </is>
      </c>
      <c r="H2027" s="7" t="inlineStr">
        <is>
          <t>100 a 300 L/ha</t>
        </is>
      </c>
      <c r="I2027" s="7" t="inlineStr">
        <is>
          <t>20 a 40 L/ha</t>
        </is>
      </c>
      <c r="J2027" s="7" t="inlineStr">
        <is>
          <t>Isento</t>
        </is>
      </c>
    </row>
    <row r="2028" ht="22" customHeight="1">
      <c r="A2028" s="12" t="inlineStr">
        <is>
          <t>CUL-2024</t>
        </is>
      </c>
      <c r="B2028" s="11" t="n">
        <v>404</v>
      </c>
      <c r="C2028" s="13" t="inlineStr">
        <is>
          <t>SIPEAGRO (UF-XXXXX)</t>
        </is>
      </c>
      <c r="D2028" s="14" t="inlineStr">
        <is>
          <t>HIPHOS NPK 09-14-14 5%CA 7%S BG1000 KG (VALIDAR</t>
        </is>
      </c>
      <c r="E2028" s="13" t="inlineStr">
        <is>
          <t>Adubação de Solo / Foliar</t>
        </is>
      </c>
      <c r="F2028" s="13" t="inlineStr">
        <is>
          <t>Milho</t>
        </is>
      </c>
      <c r="G2028" s="13" t="inlineStr">
        <is>
          <t>Cultura Autorizada na Bula</t>
        </is>
      </c>
      <c r="H2028" s="13" t="inlineStr">
        <is>
          <t>100 a 300 L/ha</t>
        </is>
      </c>
      <c r="I2028" s="13" t="inlineStr">
        <is>
          <t>20 a 40 L/ha</t>
        </is>
      </c>
      <c r="J2028" s="13" t="inlineStr">
        <is>
          <t>Isento</t>
        </is>
      </c>
    </row>
    <row r="2029" ht="22" customHeight="1">
      <c r="A2029" s="6" t="inlineStr">
        <is>
          <t>CUL-2025</t>
        </is>
      </c>
      <c r="B2029" s="5" t="n">
        <v>404</v>
      </c>
      <c r="C2029" s="7" t="inlineStr">
        <is>
          <t>SIPEAGRO (UF-XXXXX)</t>
        </is>
      </c>
      <c r="D2029" s="8" t="inlineStr">
        <is>
          <t>HIPHOS NPK 09-14-14 5%CA 7%S BG1000 KG (VALIDAR</t>
        </is>
      </c>
      <c r="E2029" s="7" t="inlineStr">
        <is>
          <t>Adubação de Solo / Foliar</t>
        </is>
      </c>
      <c r="F2029" s="7" t="inlineStr">
        <is>
          <t>Algodão</t>
        </is>
      </c>
      <c r="G2029" s="7" t="inlineStr">
        <is>
          <t>Cultura Autorizada na Bula</t>
        </is>
      </c>
      <c r="H2029" s="7" t="inlineStr">
        <is>
          <t>100 a 300 L/ha</t>
        </is>
      </c>
      <c r="I2029" s="7" t="inlineStr">
        <is>
          <t>20 a 40 L/ha</t>
        </is>
      </c>
      <c r="J2029" s="7" t="inlineStr">
        <is>
          <t>Isento</t>
        </is>
      </c>
    </row>
    <row r="2030" ht="22" customHeight="1">
      <c r="A2030" s="12" t="inlineStr">
        <is>
          <t>CUL-2026</t>
        </is>
      </c>
      <c r="B2030" s="11" t="n">
        <v>404</v>
      </c>
      <c r="C2030" s="13" t="inlineStr">
        <is>
          <t>SIPEAGRO (UF-XXXXX)</t>
        </is>
      </c>
      <c r="D2030" s="14" t="inlineStr">
        <is>
          <t>HIPHOS NPK 09-14-14 5%CA 7%S BG1000 KG (VALIDAR</t>
        </is>
      </c>
      <c r="E2030" s="13" t="inlineStr">
        <is>
          <t>Adubação de Solo / Foliar</t>
        </is>
      </c>
      <c r="F2030" s="13" t="inlineStr">
        <is>
          <t>Cana-de-açúcar</t>
        </is>
      </c>
      <c r="G2030" s="13" t="inlineStr">
        <is>
          <t>Cultura Autorizada na Bula</t>
        </is>
      </c>
      <c r="H2030" s="13" t="inlineStr">
        <is>
          <t>100 a 300 L/ha</t>
        </is>
      </c>
      <c r="I2030" s="13" t="inlineStr">
        <is>
          <t>20 a 40 L/ha</t>
        </is>
      </c>
      <c r="J2030" s="13" t="inlineStr">
        <is>
          <t>Isento</t>
        </is>
      </c>
    </row>
    <row r="2031" ht="22" customHeight="1">
      <c r="A2031" s="6" t="inlineStr">
        <is>
          <t>CUL-2027</t>
        </is>
      </c>
      <c r="B2031" s="5" t="n">
        <v>404</v>
      </c>
      <c r="C2031" s="7" t="inlineStr">
        <is>
          <t>SIPEAGRO (UF-XXXXX)</t>
        </is>
      </c>
      <c r="D2031" s="8" t="inlineStr">
        <is>
          <t>HIPHOS NPK 09-14-14 5%CA 7%S BG1000 KG (VALIDAR</t>
        </is>
      </c>
      <c r="E2031" s="7" t="inlineStr">
        <is>
          <t>Adubação de Solo / Foliar</t>
        </is>
      </c>
      <c r="F2031" s="7" t="inlineStr">
        <is>
          <t>Café</t>
        </is>
      </c>
      <c r="G2031" s="7" t="inlineStr">
        <is>
          <t>Cultura Autorizada na Bula</t>
        </is>
      </c>
      <c r="H2031" s="7" t="inlineStr">
        <is>
          <t>100 a 300 L/ha</t>
        </is>
      </c>
      <c r="I2031" s="7" t="inlineStr">
        <is>
          <t>20 a 40 L/ha</t>
        </is>
      </c>
      <c r="J2031" s="7" t="inlineStr">
        <is>
          <t>Isento</t>
        </is>
      </c>
    </row>
    <row r="2032" ht="22" customHeight="1">
      <c r="A2032" s="12" t="inlineStr">
        <is>
          <t>CUL-2028</t>
        </is>
      </c>
      <c r="B2032" s="11" t="n">
        <v>405</v>
      </c>
      <c r="C2032" s="13" t="inlineStr">
        <is>
          <t>SIPEAGRO (UF-XXXXX)</t>
        </is>
      </c>
      <c r="D2032" s="14" t="inlineStr">
        <is>
          <t>CLORETO POTÁSSIO 60% GR (IMP) KG (VALIDAR)</t>
        </is>
      </c>
      <c r="E2032" s="13" t="inlineStr">
        <is>
          <t>Adubação de Solo / Foliar</t>
        </is>
      </c>
      <c r="F2032" s="13" t="inlineStr">
        <is>
          <t>Soja</t>
        </is>
      </c>
      <c r="G2032" s="13" t="inlineStr">
        <is>
          <t>Cultura Autorizada na Bula</t>
        </is>
      </c>
      <c r="H2032" s="13" t="inlineStr">
        <is>
          <t>100 a 300 L/ha</t>
        </is>
      </c>
      <c r="I2032" s="13" t="inlineStr">
        <is>
          <t>20 a 40 L/ha</t>
        </is>
      </c>
      <c r="J2032" s="13" t="inlineStr">
        <is>
          <t>Isento</t>
        </is>
      </c>
    </row>
    <row r="2033" ht="22" customHeight="1">
      <c r="A2033" s="6" t="inlineStr">
        <is>
          <t>CUL-2029</t>
        </is>
      </c>
      <c r="B2033" s="5" t="n">
        <v>405</v>
      </c>
      <c r="C2033" s="7" t="inlineStr">
        <is>
          <t>SIPEAGRO (UF-XXXXX)</t>
        </is>
      </c>
      <c r="D2033" s="8" t="inlineStr">
        <is>
          <t>CLORETO POTÁSSIO 60% GR (IMP) KG (VALIDAR)</t>
        </is>
      </c>
      <c r="E2033" s="7" t="inlineStr">
        <is>
          <t>Adubação de Solo / Foliar</t>
        </is>
      </c>
      <c r="F2033" s="7" t="inlineStr">
        <is>
          <t>Milho</t>
        </is>
      </c>
      <c r="G2033" s="7" t="inlineStr">
        <is>
          <t>Cultura Autorizada na Bula</t>
        </is>
      </c>
      <c r="H2033" s="7" t="inlineStr">
        <is>
          <t>100 a 300 L/ha</t>
        </is>
      </c>
      <c r="I2033" s="7" t="inlineStr">
        <is>
          <t>20 a 40 L/ha</t>
        </is>
      </c>
      <c r="J2033" s="7" t="inlineStr">
        <is>
          <t>Isento</t>
        </is>
      </c>
    </row>
    <row r="2034" ht="22" customHeight="1">
      <c r="A2034" s="12" t="inlineStr">
        <is>
          <t>CUL-2030</t>
        </is>
      </c>
      <c r="B2034" s="11" t="n">
        <v>405</v>
      </c>
      <c r="C2034" s="13" t="inlineStr">
        <is>
          <t>SIPEAGRO (UF-XXXXX)</t>
        </is>
      </c>
      <c r="D2034" s="14" t="inlineStr">
        <is>
          <t>CLORETO POTÁSSIO 60% GR (IMP) KG (VALIDAR)</t>
        </is>
      </c>
      <c r="E2034" s="13" t="inlineStr">
        <is>
          <t>Adubação de Solo / Foliar</t>
        </is>
      </c>
      <c r="F2034" s="13" t="inlineStr">
        <is>
          <t>Algodão</t>
        </is>
      </c>
      <c r="G2034" s="13" t="inlineStr">
        <is>
          <t>Cultura Autorizada na Bula</t>
        </is>
      </c>
      <c r="H2034" s="13" t="inlineStr">
        <is>
          <t>100 a 300 L/ha</t>
        </is>
      </c>
      <c r="I2034" s="13" t="inlineStr">
        <is>
          <t>20 a 40 L/ha</t>
        </is>
      </c>
      <c r="J2034" s="13" t="inlineStr">
        <is>
          <t>Isento</t>
        </is>
      </c>
    </row>
    <row r="2035" ht="22" customHeight="1">
      <c r="A2035" s="6" t="inlineStr">
        <is>
          <t>CUL-2031</t>
        </is>
      </c>
      <c r="B2035" s="5" t="n">
        <v>405</v>
      </c>
      <c r="C2035" s="7" t="inlineStr">
        <is>
          <t>SIPEAGRO (UF-XXXXX)</t>
        </is>
      </c>
      <c r="D2035" s="8" t="inlineStr">
        <is>
          <t>CLORETO POTÁSSIO 60% GR (IMP) KG (VALIDAR)</t>
        </is>
      </c>
      <c r="E2035" s="7" t="inlineStr">
        <is>
          <t>Adubação de Solo / Foliar</t>
        </is>
      </c>
      <c r="F2035" s="7" t="inlineStr">
        <is>
          <t>Cana-de-açúcar</t>
        </is>
      </c>
      <c r="G2035" s="7" t="inlineStr">
        <is>
          <t>Cultura Autorizada na Bula</t>
        </is>
      </c>
      <c r="H2035" s="7" t="inlineStr">
        <is>
          <t>100 a 300 L/ha</t>
        </is>
      </c>
      <c r="I2035" s="7" t="inlineStr">
        <is>
          <t>20 a 40 L/ha</t>
        </is>
      </c>
      <c r="J2035" s="7" t="inlineStr">
        <is>
          <t>Isento</t>
        </is>
      </c>
    </row>
    <row r="2036" ht="22" customHeight="1">
      <c r="A2036" s="12" t="inlineStr">
        <is>
          <t>CUL-2032</t>
        </is>
      </c>
      <c r="B2036" s="11" t="n">
        <v>405</v>
      </c>
      <c r="C2036" s="13" t="inlineStr">
        <is>
          <t>SIPEAGRO (UF-XXXXX)</t>
        </is>
      </c>
      <c r="D2036" s="14" t="inlineStr">
        <is>
          <t>CLORETO POTÁSSIO 60% GR (IMP) KG (VALIDAR)</t>
        </is>
      </c>
      <c r="E2036" s="13" t="inlineStr">
        <is>
          <t>Adubação de Solo / Foliar</t>
        </is>
      </c>
      <c r="F2036" s="13" t="inlineStr">
        <is>
          <t>Café</t>
        </is>
      </c>
      <c r="G2036" s="13" t="inlineStr">
        <is>
          <t>Cultura Autorizada na Bula</t>
        </is>
      </c>
      <c r="H2036" s="13" t="inlineStr">
        <is>
          <t>100 a 300 L/ha</t>
        </is>
      </c>
      <c r="I2036" s="13" t="inlineStr">
        <is>
          <t>20 a 40 L/ha</t>
        </is>
      </c>
      <c r="J2036" s="13" t="inlineStr">
        <is>
          <t>Isento</t>
        </is>
      </c>
    </row>
    <row r="2037" ht="22" customHeight="1">
      <c r="A2037" s="6" t="inlineStr">
        <is>
          <t>CUL-2033</t>
        </is>
      </c>
      <c r="B2037" s="5" t="n">
        <v>406</v>
      </c>
      <c r="C2037" s="7" t="inlineStr">
        <is>
          <t>SIPEAGRO (UF-XXXXX)</t>
        </is>
      </c>
      <c r="D2037" s="8" t="inlineStr">
        <is>
          <t>CLORETO DE POTÁSSIO STD 62% GRANEL KG (VALIDAR)</t>
        </is>
      </c>
      <c r="E2037" s="7" t="inlineStr">
        <is>
          <t>Adubação de Solo / Foliar</t>
        </is>
      </c>
      <c r="F2037" s="7" t="inlineStr">
        <is>
          <t>Soja</t>
        </is>
      </c>
      <c r="G2037" s="7" t="inlineStr">
        <is>
          <t>Cultura Autorizada na Bula</t>
        </is>
      </c>
      <c r="H2037" s="7" t="inlineStr">
        <is>
          <t>100 a 300 L/ha</t>
        </is>
      </c>
      <c r="I2037" s="7" t="inlineStr">
        <is>
          <t>20 a 40 L/ha</t>
        </is>
      </c>
      <c r="J2037" s="7" t="inlineStr">
        <is>
          <t>Isento</t>
        </is>
      </c>
    </row>
    <row r="2038" ht="22" customHeight="1">
      <c r="A2038" s="12" t="inlineStr">
        <is>
          <t>CUL-2034</t>
        </is>
      </c>
      <c r="B2038" s="11" t="n">
        <v>406</v>
      </c>
      <c r="C2038" s="13" t="inlineStr">
        <is>
          <t>SIPEAGRO (UF-XXXXX)</t>
        </is>
      </c>
      <c r="D2038" s="14" t="inlineStr">
        <is>
          <t>CLORETO DE POTÁSSIO STD 62% GRANEL KG (VALIDAR)</t>
        </is>
      </c>
      <c r="E2038" s="13" t="inlineStr">
        <is>
          <t>Adubação de Solo / Foliar</t>
        </is>
      </c>
      <c r="F2038" s="13" t="inlineStr">
        <is>
          <t>Milho</t>
        </is>
      </c>
      <c r="G2038" s="13" t="inlineStr">
        <is>
          <t>Cultura Autorizada na Bula</t>
        </is>
      </c>
      <c r="H2038" s="13" t="inlineStr">
        <is>
          <t>100 a 300 L/ha</t>
        </is>
      </c>
      <c r="I2038" s="13" t="inlineStr">
        <is>
          <t>20 a 40 L/ha</t>
        </is>
      </c>
      <c r="J2038" s="13" t="inlineStr">
        <is>
          <t>Isento</t>
        </is>
      </c>
    </row>
    <row r="2039" ht="22" customHeight="1">
      <c r="A2039" s="6" t="inlineStr">
        <is>
          <t>CUL-2035</t>
        </is>
      </c>
      <c r="B2039" s="5" t="n">
        <v>406</v>
      </c>
      <c r="C2039" s="7" t="inlineStr">
        <is>
          <t>SIPEAGRO (UF-XXXXX)</t>
        </is>
      </c>
      <c r="D2039" s="8" t="inlineStr">
        <is>
          <t>CLORETO DE POTÁSSIO STD 62% GRANEL KG (VALIDAR)</t>
        </is>
      </c>
      <c r="E2039" s="7" t="inlineStr">
        <is>
          <t>Adubação de Solo / Foliar</t>
        </is>
      </c>
      <c r="F2039" s="7" t="inlineStr">
        <is>
          <t>Algodão</t>
        </is>
      </c>
      <c r="G2039" s="7" t="inlineStr">
        <is>
          <t>Cultura Autorizada na Bula</t>
        </is>
      </c>
      <c r="H2039" s="7" t="inlineStr">
        <is>
          <t>100 a 300 L/ha</t>
        </is>
      </c>
      <c r="I2039" s="7" t="inlineStr">
        <is>
          <t>20 a 40 L/ha</t>
        </is>
      </c>
      <c r="J2039" s="7" t="inlineStr">
        <is>
          <t>Isento</t>
        </is>
      </c>
    </row>
    <row r="2040" ht="22" customHeight="1">
      <c r="A2040" s="12" t="inlineStr">
        <is>
          <t>CUL-2036</t>
        </is>
      </c>
      <c r="B2040" s="11" t="n">
        <v>406</v>
      </c>
      <c r="C2040" s="13" t="inlineStr">
        <is>
          <t>SIPEAGRO (UF-XXXXX)</t>
        </is>
      </c>
      <c r="D2040" s="14" t="inlineStr">
        <is>
          <t>CLORETO DE POTÁSSIO STD 62% GRANEL KG (VALIDAR)</t>
        </is>
      </c>
      <c r="E2040" s="13" t="inlineStr">
        <is>
          <t>Adubação de Solo / Foliar</t>
        </is>
      </c>
      <c r="F2040" s="13" t="inlineStr">
        <is>
          <t>Cana-de-açúcar</t>
        </is>
      </c>
      <c r="G2040" s="13" t="inlineStr">
        <is>
          <t>Cultura Autorizada na Bula</t>
        </is>
      </c>
      <c r="H2040" s="13" t="inlineStr">
        <is>
          <t>100 a 300 L/ha</t>
        </is>
      </c>
      <c r="I2040" s="13" t="inlineStr">
        <is>
          <t>20 a 40 L/ha</t>
        </is>
      </c>
      <c r="J2040" s="13" t="inlineStr">
        <is>
          <t>Isento</t>
        </is>
      </c>
    </row>
    <row r="2041" ht="22" customHeight="1">
      <c r="A2041" s="6" t="inlineStr">
        <is>
          <t>CUL-2037</t>
        </is>
      </c>
      <c r="B2041" s="5" t="n">
        <v>406</v>
      </c>
      <c r="C2041" s="7" t="inlineStr">
        <is>
          <t>SIPEAGRO (UF-XXXXX)</t>
        </is>
      </c>
      <c r="D2041" s="8" t="inlineStr">
        <is>
          <t>CLORETO DE POTÁSSIO STD 62% GRANEL KG (VALIDAR)</t>
        </is>
      </c>
      <c r="E2041" s="7" t="inlineStr">
        <is>
          <t>Adubação de Solo / Foliar</t>
        </is>
      </c>
      <c r="F2041" s="7" t="inlineStr">
        <is>
          <t>Café</t>
        </is>
      </c>
      <c r="G2041" s="7" t="inlineStr">
        <is>
          <t>Cultura Autorizada na Bula</t>
        </is>
      </c>
      <c r="H2041" s="7" t="inlineStr">
        <is>
          <t>100 a 300 L/ha</t>
        </is>
      </c>
      <c r="I2041" s="7" t="inlineStr">
        <is>
          <t>20 a 40 L/ha</t>
        </is>
      </c>
      <c r="J2041" s="7" t="inlineStr">
        <is>
          <t>Isento</t>
        </is>
      </c>
    </row>
    <row r="2042" ht="22" customHeight="1">
      <c r="A2042" s="12" t="inlineStr">
        <is>
          <t>CUL-2038</t>
        </is>
      </c>
      <c r="B2042" s="11" t="n">
        <v>407</v>
      </c>
      <c r="C2042" s="13" t="inlineStr">
        <is>
          <t>SIPEAGRO (UF-XXXXX)</t>
        </is>
      </c>
      <c r="D2042" s="14" t="inlineStr">
        <is>
          <t>KCL-60%K2O-GRANULADO-FERT.MINERAL SIMPLES - AUTEM</t>
        </is>
      </c>
      <c r="E2042" s="13" t="inlineStr">
        <is>
          <t>Adubação de Solo / Foliar</t>
        </is>
      </c>
      <c r="F2042" s="13" t="inlineStr">
        <is>
          <t>Soja</t>
        </is>
      </c>
      <c r="G2042" s="13" t="inlineStr">
        <is>
          <t>Cultura Autorizada na Bula</t>
        </is>
      </c>
      <c r="H2042" s="13" t="inlineStr">
        <is>
          <t>100 a 300 L/ha</t>
        </is>
      </c>
      <c r="I2042" s="13" t="inlineStr">
        <is>
          <t>20 a 40 L/ha</t>
        </is>
      </c>
      <c r="J2042" s="13" t="inlineStr">
        <is>
          <t>Isento</t>
        </is>
      </c>
    </row>
    <row r="2043" ht="22" customHeight="1">
      <c r="A2043" s="6" t="inlineStr">
        <is>
          <t>CUL-2039</t>
        </is>
      </c>
      <c r="B2043" s="5" t="n">
        <v>407</v>
      </c>
      <c r="C2043" s="7" t="inlineStr">
        <is>
          <t>SIPEAGRO (UF-XXXXX)</t>
        </is>
      </c>
      <c r="D2043" s="8" t="inlineStr">
        <is>
          <t>KCL-60%K2O-GRANULADO-FERT.MINERAL SIMPLES - AUTEM</t>
        </is>
      </c>
      <c r="E2043" s="7" t="inlineStr">
        <is>
          <t>Adubação de Solo / Foliar</t>
        </is>
      </c>
      <c r="F2043" s="7" t="inlineStr">
        <is>
          <t>Milho</t>
        </is>
      </c>
      <c r="G2043" s="7" t="inlineStr">
        <is>
          <t>Cultura Autorizada na Bula</t>
        </is>
      </c>
      <c r="H2043" s="7" t="inlineStr">
        <is>
          <t>100 a 300 L/ha</t>
        </is>
      </c>
      <c r="I2043" s="7" t="inlineStr">
        <is>
          <t>20 a 40 L/ha</t>
        </is>
      </c>
      <c r="J2043" s="7" t="inlineStr">
        <is>
          <t>Isento</t>
        </is>
      </c>
    </row>
    <row r="2044" ht="22" customHeight="1">
      <c r="A2044" s="12" t="inlineStr">
        <is>
          <t>CUL-2040</t>
        </is>
      </c>
      <c r="B2044" s="11" t="n">
        <v>407</v>
      </c>
      <c r="C2044" s="13" t="inlineStr">
        <is>
          <t>SIPEAGRO (UF-XXXXX)</t>
        </is>
      </c>
      <c r="D2044" s="14" t="inlineStr">
        <is>
          <t>KCL-60%K2O-GRANULADO-FERT.MINERAL SIMPLES - AUTEM</t>
        </is>
      </c>
      <c r="E2044" s="13" t="inlineStr">
        <is>
          <t>Adubação de Solo / Foliar</t>
        </is>
      </c>
      <c r="F2044" s="13" t="inlineStr">
        <is>
          <t>Algodão</t>
        </is>
      </c>
      <c r="G2044" s="13" t="inlineStr">
        <is>
          <t>Cultura Autorizada na Bula</t>
        </is>
      </c>
      <c r="H2044" s="13" t="inlineStr">
        <is>
          <t>100 a 300 L/ha</t>
        </is>
      </c>
      <c r="I2044" s="13" t="inlineStr">
        <is>
          <t>20 a 40 L/ha</t>
        </is>
      </c>
      <c r="J2044" s="13" t="inlineStr">
        <is>
          <t>Isento</t>
        </is>
      </c>
    </row>
    <row r="2045" ht="22" customHeight="1">
      <c r="A2045" s="6" t="inlineStr">
        <is>
          <t>CUL-2041</t>
        </is>
      </c>
      <c r="B2045" s="5" t="n">
        <v>407</v>
      </c>
      <c r="C2045" s="7" t="inlineStr">
        <is>
          <t>SIPEAGRO (UF-XXXXX)</t>
        </is>
      </c>
      <c r="D2045" s="8" t="inlineStr">
        <is>
          <t>KCL-60%K2O-GRANULADO-FERT.MINERAL SIMPLES - AUTEM</t>
        </is>
      </c>
      <c r="E2045" s="7" t="inlineStr">
        <is>
          <t>Adubação de Solo / Foliar</t>
        </is>
      </c>
      <c r="F2045" s="7" t="inlineStr">
        <is>
          <t>Cana-de-açúcar</t>
        </is>
      </c>
      <c r="G2045" s="7" t="inlineStr">
        <is>
          <t>Cultura Autorizada na Bula</t>
        </is>
      </c>
      <c r="H2045" s="7" t="inlineStr">
        <is>
          <t>100 a 300 L/ha</t>
        </is>
      </c>
      <c r="I2045" s="7" t="inlineStr">
        <is>
          <t>20 a 40 L/ha</t>
        </is>
      </c>
      <c r="J2045" s="7" t="inlineStr">
        <is>
          <t>Isento</t>
        </is>
      </c>
    </row>
    <row r="2046" ht="22" customHeight="1">
      <c r="A2046" s="12" t="inlineStr">
        <is>
          <t>CUL-2042</t>
        </is>
      </c>
      <c r="B2046" s="11" t="n">
        <v>407</v>
      </c>
      <c r="C2046" s="13" t="inlineStr">
        <is>
          <t>SIPEAGRO (UF-XXXXX)</t>
        </is>
      </c>
      <c r="D2046" s="14" t="inlineStr">
        <is>
          <t>KCL-60%K2O-GRANULADO-FERT.MINERAL SIMPLES - AUTEM</t>
        </is>
      </c>
      <c r="E2046" s="13" t="inlineStr">
        <is>
          <t>Adubação de Solo / Foliar</t>
        </is>
      </c>
      <c r="F2046" s="13" t="inlineStr">
        <is>
          <t>Café</t>
        </is>
      </c>
      <c r="G2046" s="13" t="inlineStr">
        <is>
          <t>Cultura Autorizada na Bula</t>
        </is>
      </c>
      <c r="H2046" s="13" t="inlineStr">
        <is>
          <t>100 a 300 L/ha</t>
        </is>
      </c>
      <c r="I2046" s="13" t="inlineStr">
        <is>
          <t>20 a 40 L/ha</t>
        </is>
      </c>
      <c r="J2046" s="13" t="inlineStr">
        <is>
          <t>Isento</t>
        </is>
      </c>
    </row>
    <row r="2047" ht="22" customHeight="1">
      <c r="A2047" s="6" t="inlineStr">
        <is>
          <t>CUL-2043</t>
        </is>
      </c>
      <c r="B2047" s="5" t="n">
        <v>408</v>
      </c>
      <c r="C2047" s="7" t="inlineStr">
        <is>
          <t>SIPEAGRO (UF-XXXXX)</t>
        </is>
      </c>
      <c r="D2047" s="8" t="inlineStr">
        <is>
          <t>MAP 12-52-00 GR GRANEL KG (VALIDAR)</t>
        </is>
      </c>
      <c r="E2047" s="7" t="inlineStr">
        <is>
          <t>Adubação de Solo / Foliar</t>
        </is>
      </c>
      <c r="F2047" s="7" t="inlineStr">
        <is>
          <t>Soja</t>
        </is>
      </c>
      <c r="G2047" s="7" t="inlineStr">
        <is>
          <t>Cultura Autorizada na Bula</t>
        </is>
      </c>
      <c r="H2047" s="7" t="inlineStr">
        <is>
          <t>100 a 300 L/ha</t>
        </is>
      </c>
      <c r="I2047" s="7" t="inlineStr">
        <is>
          <t>20 a 40 L/ha</t>
        </is>
      </c>
      <c r="J2047" s="7" t="inlineStr">
        <is>
          <t>Isento</t>
        </is>
      </c>
    </row>
    <row r="2048" ht="22" customHeight="1">
      <c r="A2048" s="12" t="inlineStr">
        <is>
          <t>CUL-2044</t>
        </is>
      </c>
      <c r="B2048" s="11" t="n">
        <v>408</v>
      </c>
      <c r="C2048" s="13" t="inlineStr">
        <is>
          <t>SIPEAGRO (UF-XXXXX)</t>
        </is>
      </c>
      <c r="D2048" s="14" t="inlineStr">
        <is>
          <t>MAP 12-52-00 GR GRANEL KG (VALIDAR)</t>
        </is>
      </c>
      <c r="E2048" s="13" t="inlineStr">
        <is>
          <t>Adubação de Solo / Foliar</t>
        </is>
      </c>
      <c r="F2048" s="13" t="inlineStr">
        <is>
          <t>Milho</t>
        </is>
      </c>
      <c r="G2048" s="13" t="inlineStr">
        <is>
          <t>Cultura Autorizada na Bula</t>
        </is>
      </c>
      <c r="H2048" s="13" t="inlineStr">
        <is>
          <t>100 a 300 L/ha</t>
        </is>
      </c>
      <c r="I2048" s="13" t="inlineStr">
        <is>
          <t>20 a 40 L/ha</t>
        </is>
      </c>
      <c r="J2048" s="13" t="inlineStr">
        <is>
          <t>Isento</t>
        </is>
      </c>
    </row>
    <row r="2049" ht="22" customHeight="1">
      <c r="A2049" s="6" t="inlineStr">
        <is>
          <t>CUL-2045</t>
        </is>
      </c>
      <c r="B2049" s="5" t="n">
        <v>408</v>
      </c>
      <c r="C2049" s="7" t="inlineStr">
        <is>
          <t>SIPEAGRO (UF-XXXXX)</t>
        </is>
      </c>
      <c r="D2049" s="8" t="inlineStr">
        <is>
          <t>MAP 12-52-00 GR GRANEL KG (VALIDAR)</t>
        </is>
      </c>
      <c r="E2049" s="7" t="inlineStr">
        <is>
          <t>Adubação de Solo / Foliar</t>
        </is>
      </c>
      <c r="F2049" s="7" t="inlineStr">
        <is>
          <t>Algodão</t>
        </is>
      </c>
      <c r="G2049" s="7" t="inlineStr">
        <is>
          <t>Cultura Autorizada na Bula</t>
        </is>
      </c>
      <c r="H2049" s="7" t="inlineStr">
        <is>
          <t>100 a 300 L/ha</t>
        </is>
      </c>
      <c r="I2049" s="7" t="inlineStr">
        <is>
          <t>20 a 40 L/ha</t>
        </is>
      </c>
      <c r="J2049" s="7" t="inlineStr">
        <is>
          <t>Isento</t>
        </is>
      </c>
    </row>
    <row r="2050" ht="22" customHeight="1">
      <c r="A2050" s="12" t="inlineStr">
        <is>
          <t>CUL-2046</t>
        </is>
      </c>
      <c r="B2050" s="11" t="n">
        <v>408</v>
      </c>
      <c r="C2050" s="13" t="inlineStr">
        <is>
          <t>SIPEAGRO (UF-XXXXX)</t>
        </is>
      </c>
      <c r="D2050" s="14" t="inlineStr">
        <is>
          <t>MAP 12-52-00 GR GRANEL KG (VALIDAR)</t>
        </is>
      </c>
      <c r="E2050" s="13" t="inlineStr">
        <is>
          <t>Adubação de Solo / Foliar</t>
        </is>
      </c>
      <c r="F2050" s="13" t="inlineStr">
        <is>
          <t>Cana-de-açúcar</t>
        </is>
      </c>
      <c r="G2050" s="13" t="inlineStr">
        <is>
          <t>Cultura Autorizada na Bula</t>
        </is>
      </c>
      <c r="H2050" s="13" t="inlineStr">
        <is>
          <t>100 a 300 L/ha</t>
        </is>
      </c>
      <c r="I2050" s="13" t="inlineStr">
        <is>
          <t>20 a 40 L/ha</t>
        </is>
      </c>
      <c r="J2050" s="13" t="inlineStr">
        <is>
          <t>Isento</t>
        </is>
      </c>
    </row>
    <row r="2051" ht="22" customHeight="1">
      <c r="A2051" s="6" t="inlineStr">
        <is>
          <t>CUL-2047</t>
        </is>
      </c>
      <c r="B2051" s="5" t="n">
        <v>408</v>
      </c>
      <c r="C2051" s="7" t="inlineStr">
        <is>
          <t>SIPEAGRO (UF-XXXXX)</t>
        </is>
      </c>
      <c r="D2051" s="8" t="inlineStr">
        <is>
          <t>MAP 12-52-00 GR GRANEL KG (VALIDAR)</t>
        </is>
      </c>
      <c r="E2051" s="7" t="inlineStr">
        <is>
          <t>Adubação de Solo / Foliar</t>
        </is>
      </c>
      <c r="F2051" s="7" t="inlineStr">
        <is>
          <t>Café</t>
        </is>
      </c>
      <c r="G2051" s="7" t="inlineStr">
        <is>
          <t>Cultura Autorizada na Bula</t>
        </is>
      </c>
      <c r="H2051" s="7" t="inlineStr">
        <is>
          <t>100 a 300 L/ha</t>
        </is>
      </c>
      <c r="I2051" s="7" t="inlineStr">
        <is>
          <t>20 a 40 L/ha</t>
        </is>
      </c>
      <c r="J2051" s="7" t="inlineStr">
        <is>
          <t>Isento</t>
        </is>
      </c>
    </row>
    <row r="2052" ht="22" customHeight="1">
      <c r="A2052" s="12" t="inlineStr">
        <is>
          <t>CUL-2048</t>
        </is>
      </c>
      <c r="B2052" s="11" t="n">
        <v>409</v>
      </c>
      <c r="C2052" s="13" t="inlineStr">
        <is>
          <t>SIPEAGRO (UF-XXXXX)</t>
        </is>
      </c>
      <c r="D2052" s="14" t="inlineStr">
        <is>
          <t>FERTLIZANTE FOSFATADO 10.45.00 GRANULADO KG</t>
        </is>
      </c>
      <c r="E2052" s="13" t="inlineStr">
        <is>
          <t>Adubação de Solo / Foliar</t>
        </is>
      </c>
      <c r="F2052" s="13" t="inlineStr">
        <is>
          <t>Soja</t>
        </is>
      </c>
      <c r="G2052" s="13" t="inlineStr">
        <is>
          <t>Cultura Autorizada na Bula</t>
        </is>
      </c>
      <c r="H2052" s="13" t="inlineStr">
        <is>
          <t>100 a 300 L/ha</t>
        </is>
      </c>
      <c r="I2052" s="13" t="inlineStr">
        <is>
          <t>20 a 40 L/ha</t>
        </is>
      </c>
      <c r="J2052" s="13" t="inlineStr">
        <is>
          <t>Isento</t>
        </is>
      </c>
    </row>
    <row r="2053" ht="22" customHeight="1">
      <c r="A2053" s="6" t="inlineStr">
        <is>
          <t>CUL-2049</t>
        </is>
      </c>
      <c r="B2053" s="5" t="n">
        <v>409</v>
      </c>
      <c r="C2053" s="7" t="inlineStr">
        <is>
          <t>SIPEAGRO (UF-XXXXX)</t>
        </is>
      </c>
      <c r="D2053" s="8" t="inlineStr">
        <is>
          <t>FERTLIZANTE FOSFATADO 10.45.00 GRANULADO KG</t>
        </is>
      </c>
      <c r="E2053" s="7" t="inlineStr">
        <is>
          <t>Adubação de Solo / Foliar</t>
        </is>
      </c>
      <c r="F2053" s="7" t="inlineStr">
        <is>
          <t>Milho</t>
        </is>
      </c>
      <c r="G2053" s="7" t="inlineStr">
        <is>
          <t>Cultura Autorizada na Bula</t>
        </is>
      </c>
      <c r="H2053" s="7" t="inlineStr">
        <is>
          <t>100 a 300 L/ha</t>
        </is>
      </c>
      <c r="I2053" s="7" t="inlineStr">
        <is>
          <t>20 a 40 L/ha</t>
        </is>
      </c>
      <c r="J2053" s="7" t="inlineStr">
        <is>
          <t>Isento</t>
        </is>
      </c>
    </row>
    <row r="2054" ht="22" customHeight="1">
      <c r="A2054" s="12" t="inlineStr">
        <is>
          <t>CUL-2050</t>
        </is>
      </c>
      <c r="B2054" s="11" t="n">
        <v>409</v>
      </c>
      <c r="C2054" s="13" t="inlineStr">
        <is>
          <t>SIPEAGRO (UF-XXXXX)</t>
        </is>
      </c>
      <c r="D2054" s="14" t="inlineStr">
        <is>
          <t>FERTLIZANTE FOSFATADO 10.45.00 GRANULADO KG</t>
        </is>
      </c>
      <c r="E2054" s="13" t="inlineStr">
        <is>
          <t>Adubação de Solo / Foliar</t>
        </is>
      </c>
      <c r="F2054" s="13" t="inlineStr">
        <is>
          <t>Algodão</t>
        </is>
      </c>
      <c r="G2054" s="13" t="inlineStr">
        <is>
          <t>Cultura Autorizada na Bula</t>
        </is>
      </c>
      <c r="H2054" s="13" t="inlineStr">
        <is>
          <t>100 a 300 L/ha</t>
        </is>
      </c>
      <c r="I2054" s="13" t="inlineStr">
        <is>
          <t>20 a 40 L/ha</t>
        </is>
      </c>
      <c r="J2054" s="13" t="inlineStr">
        <is>
          <t>Isento</t>
        </is>
      </c>
    </row>
    <row r="2055" ht="22" customHeight="1">
      <c r="A2055" s="6" t="inlineStr">
        <is>
          <t>CUL-2051</t>
        </is>
      </c>
      <c r="B2055" s="5" t="n">
        <v>409</v>
      </c>
      <c r="C2055" s="7" t="inlineStr">
        <is>
          <t>SIPEAGRO (UF-XXXXX)</t>
        </is>
      </c>
      <c r="D2055" s="8" t="inlineStr">
        <is>
          <t>FERTLIZANTE FOSFATADO 10.45.00 GRANULADO KG</t>
        </is>
      </c>
      <c r="E2055" s="7" t="inlineStr">
        <is>
          <t>Adubação de Solo / Foliar</t>
        </is>
      </c>
      <c r="F2055" s="7" t="inlineStr">
        <is>
          <t>Cana-de-açúcar</t>
        </is>
      </c>
      <c r="G2055" s="7" t="inlineStr">
        <is>
          <t>Cultura Autorizada na Bula</t>
        </is>
      </c>
      <c r="H2055" s="7" t="inlineStr">
        <is>
          <t>100 a 300 L/ha</t>
        </is>
      </c>
      <c r="I2055" s="7" t="inlineStr">
        <is>
          <t>20 a 40 L/ha</t>
        </is>
      </c>
      <c r="J2055" s="7" t="inlineStr">
        <is>
          <t>Isento</t>
        </is>
      </c>
    </row>
    <row r="2056" ht="22" customHeight="1">
      <c r="A2056" s="12" t="inlineStr">
        <is>
          <t>CUL-2052</t>
        </is>
      </c>
      <c r="B2056" s="11" t="n">
        <v>409</v>
      </c>
      <c r="C2056" s="13" t="inlineStr">
        <is>
          <t>SIPEAGRO (UF-XXXXX)</t>
        </is>
      </c>
      <c r="D2056" s="14" t="inlineStr">
        <is>
          <t>FERTLIZANTE FOSFATADO 10.45.00 GRANULADO KG</t>
        </is>
      </c>
      <c r="E2056" s="13" t="inlineStr">
        <is>
          <t>Adubação de Solo / Foliar</t>
        </is>
      </c>
      <c r="F2056" s="13" t="inlineStr">
        <is>
          <t>Café</t>
        </is>
      </c>
      <c r="G2056" s="13" t="inlineStr">
        <is>
          <t>Cultura Autorizada na Bula</t>
        </is>
      </c>
      <c r="H2056" s="13" t="inlineStr">
        <is>
          <t>100 a 300 L/ha</t>
        </is>
      </c>
      <c r="I2056" s="13" t="inlineStr">
        <is>
          <t>20 a 40 L/ha</t>
        </is>
      </c>
      <c r="J2056" s="13" t="inlineStr">
        <is>
          <t>Isento</t>
        </is>
      </c>
    </row>
    <row r="2057" ht="22" customHeight="1">
      <c r="A2057" s="6" t="inlineStr">
        <is>
          <t>CUL-2053</t>
        </is>
      </c>
      <c r="B2057" s="5" t="n">
        <v>410</v>
      </c>
      <c r="C2057" s="7" t="inlineStr">
        <is>
          <t>SIPEAGRO (UF-XXXXX)</t>
        </is>
      </c>
      <c r="D2057" s="8" t="inlineStr">
        <is>
          <t>RANKING MANGANES</t>
        </is>
      </c>
      <c r="E2057" s="7" t="inlineStr">
        <is>
          <t>Adubação de Solo / Foliar</t>
        </is>
      </c>
      <c r="F2057" s="7" t="inlineStr">
        <is>
          <t>Soja</t>
        </is>
      </c>
      <c r="G2057" s="7" t="inlineStr">
        <is>
          <t>Cultura Autorizada na Bula</t>
        </is>
      </c>
      <c r="H2057" s="7" t="inlineStr">
        <is>
          <t>100 a 300 L/ha</t>
        </is>
      </c>
      <c r="I2057" s="7" t="inlineStr">
        <is>
          <t>20 a 40 L/ha</t>
        </is>
      </c>
      <c r="J2057" s="7" t="inlineStr">
        <is>
          <t>Isento</t>
        </is>
      </c>
    </row>
    <row r="2058" ht="22" customHeight="1">
      <c r="A2058" s="12" t="inlineStr">
        <is>
          <t>CUL-2054</t>
        </is>
      </c>
      <c r="B2058" s="11" t="n">
        <v>410</v>
      </c>
      <c r="C2058" s="13" t="inlineStr">
        <is>
          <t>SIPEAGRO (UF-XXXXX)</t>
        </is>
      </c>
      <c r="D2058" s="14" t="inlineStr">
        <is>
          <t>RANKING MANGANES</t>
        </is>
      </c>
      <c r="E2058" s="13" t="inlineStr">
        <is>
          <t>Adubação de Solo / Foliar</t>
        </is>
      </c>
      <c r="F2058" s="13" t="inlineStr">
        <is>
          <t>Milho</t>
        </is>
      </c>
      <c r="G2058" s="13" t="inlineStr">
        <is>
          <t>Cultura Autorizada na Bula</t>
        </is>
      </c>
      <c r="H2058" s="13" t="inlineStr">
        <is>
          <t>100 a 300 L/ha</t>
        </is>
      </c>
      <c r="I2058" s="13" t="inlineStr">
        <is>
          <t>20 a 40 L/ha</t>
        </is>
      </c>
      <c r="J2058" s="13" t="inlineStr">
        <is>
          <t>Isento</t>
        </is>
      </c>
    </row>
    <row r="2059" ht="22" customHeight="1">
      <c r="A2059" s="6" t="inlineStr">
        <is>
          <t>CUL-2055</t>
        </is>
      </c>
      <c r="B2059" s="5" t="n">
        <v>410</v>
      </c>
      <c r="C2059" s="7" t="inlineStr">
        <is>
          <t>SIPEAGRO (UF-XXXXX)</t>
        </is>
      </c>
      <c r="D2059" s="8" t="inlineStr">
        <is>
          <t>RANKING MANGANES</t>
        </is>
      </c>
      <c r="E2059" s="7" t="inlineStr">
        <is>
          <t>Adubação de Solo / Foliar</t>
        </is>
      </c>
      <c r="F2059" s="7" t="inlineStr">
        <is>
          <t>Algodão</t>
        </is>
      </c>
      <c r="G2059" s="7" t="inlineStr">
        <is>
          <t>Cultura Autorizada na Bula</t>
        </is>
      </c>
      <c r="H2059" s="7" t="inlineStr">
        <is>
          <t>100 a 300 L/ha</t>
        </is>
      </c>
      <c r="I2059" s="7" t="inlineStr">
        <is>
          <t>20 a 40 L/ha</t>
        </is>
      </c>
      <c r="J2059" s="7" t="inlineStr">
        <is>
          <t>Isento</t>
        </is>
      </c>
    </row>
    <row r="2060" ht="22" customHeight="1">
      <c r="A2060" s="12" t="inlineStr">
        <is>
          <t>CUL-2056</t>
        </is>
      </c>
      <c r="B2060" s="11" t="n">
        <v>410</v>
      </c>
      <c r="C2060" s="13" t="inlineStr">
        <is>
          <t>SIPEAGRO (UF-XXXXX)</t>
        </is>
      </c>
      <c r="D2060" s="14" t="inlineStr">
        <is>
          <t>RANKING MANGANES</t>
        </is>
      </c>
      <c r="E2060" s="13" t="inlineStr">
        <is>
          <t>Adubação de Solo / Foliar</t>
        </is>
      </c>
      <c r="F2060" s="13" t="inlineStr">
        <is>
          <t>Cana-de-açúcar</t>
        </is>
      </c>
      <c r="G2060" s="13" t="inlineStr">
        <is>
          <t>Cultura Autorizada na Bula</t>
        </is>
      </c>
      <c r="H2060" s="13" t="inlineStr">
        <is>
          <t>100 a 300 L/ha</t>
        </is>
      </c>
      <c r="I2060" s="13" t="inlineStr">
        <is>
          <t>20 a 40 L/ha</t>
        </is>
      </c>
      <c r="J2060" s="13" t="inlineStr">
        <is>
          <t>Isento</t>
        </is>
      </c>
    </row>
    <row r="2061" ht="22" customHeight="1">
      <c r="A2061" s="6" t="inlineStr">
        <is>
          <t>CUL-2057</t>
        </is>
      </c>
      <c r="B2061" s="5" t="n">
        <v>410</v>
      </c>
      <c r="C2061" s="7" t="inlineStr">
        <is>
          <t>SIPEAGRO (UF-XXXXX)</t>
        </is>
      </c>
      <c r="D2061" s="8" t="inlineStr">
        <is>
          <t>RANKING MANGANES</t>
        </is>
      </c>
      <c r="E2061" s="7" t="inlineStr">
        <is>
          <t>Adubação de Solo / Foliar</t>
        </is>
      </c>
      <c r="F2061" s="7" t="inlineStr">
        <is>
          <t>Café</t>
        </is>
      </c>
      <c r="G2061" s="7" t="inlineStr">
        <is>
          <t>Cultura Autorizada na Bula</t>
        </is>
      </c>
      <c r="H2061" s="7" t="inlineStr">
        <is>
          <t>100 a 300 L/ha</t>
        </is>
      </c>
      <c r="I2061" s="7" t="inlineStr">
        <is>
          <t>20 a 40 L/ha</t>
        </is>
      </c>
      <c r="J2061" s="7" t="inlineStr">
        <is>
          <t>Isento</t>
        </is>
      </c>
    </row>
    <row r="2062" ht="22" customHeight="1">
      <c r="A2062" s="12" t="inlineStr">
        <is>
          <t>CUL-2058</t>
        </is>
      </c>
      <c r="B2062" s="11" t="n">
        <v>411</v>
      </c>
      <c r="C2062" s="13" t="inlineStr">
        <is>
          <t>VINCULAR MARCA</t>
        </is>
      </c>
      <c r="D2062" s="14" t="inlineStr">
        <is>
          <t>CLORPIRIFOS 480 (PRINCIPIO ATIVO)</t>
        </is>
      </c>
      <c r="E2062" s="13" t="inlineStr">
        <is>
          <t>Uso Exclusivamente Industrial (Formulação)</t>
        </is>
      </c>
      <c r="F2062" s="13" t="inlineStr">
        <is>
          <t>Não Aplicável (Proibido uso direto na lavoura)</t>
        </is>
      </c>
      <c r="G2062" s="13" t="inlineStr">
        <is>
          <t>Insumo Industrial</t>
        </is>
      </c>
      <c r="H2062" s="13" t="inlineStr">
        <is>
          <t>N/A</t>
        </is>
      </c>
      <c r="I2062" s="13" t="inlineStr">
        <is>
          <t>N/A</t>
        </is>
      </c>
      <c r="J2062" s="13" t="inlineStr">
        <is>
          <t>N/A (Insumo Industrial)</t>
        </is>
      </c>
    </row>
    <row r="2063" ht="22" customHeight="1">
      <c r="A2063" s="6" t="inlineStr">
        <is>
          <t>CUL-2059</t>
        </is>
      </c>
      <c r="B2063" s="5" t="n">
        <v>412</v>
      </c>
      <c r="C2063" s="7" t="inlineStr">
        <is>
          <t>VINCULAR MARCA</t>
        </is>
      </c>
      <c r="D2063" s="8" t="inlineStr">
        <is>
          <t>CLOROTAL. 580 + CIPRO 12,8 + TRIFLOXIS. 30 (P. A.)</t>
        </is>
      </c>
      <c r="E2063" s="7" t="inlineStr">
        <is>
          <t>Uso Exclusivamente Industrial (Formulação)</t>
        </is>
      </c>
      <c r="F2063" s="7" t="inlineStr">
        <is>
          <t>Não Aplicável (Proibido uso direto na lavoura)</t>
        </is>
      </c>
      <c r="G2063" s="7" t="inlineStr">
        <is>
          <t>Insumo Industrial</t>
        </is>
      </c>
      <c r="H2063" s="7" t="inlineStr">
        <is>
          <t>N/A</t>
        </is>
      </c>
      <c r="I2063" s="7" t="inlineStr">
        <is>
          <t>N/A</t>
        </is>
      </c>
      <c r="J2063" s="7" t="inlineStr">
        <is>
          <t>N/A (Insumo Industrial)</t>
        </is>
      </c>
    </row>
    <row r="2064" ht="22" customHeight="1">
      <c r="A2064" s="12" t="inlineStr">
        <is>
          <t>CUL-2060</t>
        </is>
      </c>
      <c r="B2064" s="11" t="n">
        <v>413</v>
      </c>
      <c r="C2064" s="13" t="inlineStr">
        <is>
          <t>Nº 9621</t>
        </is>
      </c>
      <c r="D2064" s="14" t="inlineStr">
        <is>
          <t>GLIFOSATO 506 (PRINCIPIO ATIVO)</t>
        </is>
      </c>
      <c r="E2064" s="13" t="inlineStr">
        <is>
          <t>Uso Exclusivamente Industrial (Formulação)</t>
        </is>
      </c>
      <c r="F2064" s="13" t="inlineStr">
        <is>
          <t>Não Aplicável (Proibido uso direto na lavoura)</t>
        </is>
      </c>
      <c r="G2064" s="13" t="inlineStr">
        <is>
          <t>Insumo Industrial</t>
        </is>
      </c>
      <c r="H2064" s="13" t="inlineStr">
        <is>
          <t>N/A</t>
        </is>
      </c>
      <c r="I2064" s="13" t="inlineStr">
        <is>
          <t>N/A</t>
        </is>
      </c>
      <c r="J2064" s="13" t="inlineStr">
        <is>
          <t>N/A (Insumo Industrial)</t>
        </is>
      </c>
    </row>
    <row r="2065" ht="22" customHeight="1">
      <c r="A2065" s="6" t="inlineStr">
        <is>
          <t>CUL-2061</t>
        </is>
      </c>
      <c r="B2065" s="5" t="n">
        <v>414</v>
      </c>
      <c r="C2065" s="7" t="inlineStr">
        <is>
          <t>SIPEAGRO (UF-XXXXX)</t>
        </is>
      </c>
      <c r="D2065" s="8" t="inlineStr">
        <is>
          <t>FERTILIZANTE 00-25-00 2S (VALIDAR)</t>
        </is>
      </c>
      <c r="E2065" s="7" t="inlineStr">
        <is>
          <t>Adubação de Solo / Foliar</t>
        </is>
      </c>
      <c r="F2065" s="7" t="inlineStr">
        <is>
          <t>Soja</t>
        </is>
      </c>
      <c r="G2065" s="7" t="inlineStr">
        <is>
          <t>Cultura Autorizada na Bula</t>
        </is>
      </c>
      <c r="H2065" s="7" t="inlineStr">
        <is>
          <t>100 a 300 L/ha</t>
        </is>
      </c>
      <c r="I2065" s="7" t="inlineStr">
        <is>
          <t>20 a 40 L/ha</t>
        </is>
      </c>
      <c r="J2065" s="7" t="inlineStr">
        <is>
          <t>Isento</t>
        </is>
      </c>
    </row>
    <row r="2066" ht="22" customHeight="1">
      <c r="A2066" s="12" t="inlineStr">
        <is>
          <t>CUL-2062</t>
        </is>
      </c>
      <c r="B2066" s="11" t="n">
        <v>414</v>
      </c>
      <c r="C2066" s="13" t="inlineStr">
        <is>
          <t>SIPEAGRO (UF-XXXXX)</t>
        </is>
      </c>
      <c r="D2066" s="14" t="inlineStr">
        <is>
          <t>FERTILIZANTE 00-25-00 2S (VALIDAR)</t>
        </is>
      </c>
      <c r="E2066" s="13" t="inlineStr">
        <is>
          <t>Adubação de Solo / Foliar</t>
        </is>
      </c>
      <c r="F2066" s="13" t="inlineStr">
        <is>
          <t>Milho</t>
        </is>
      </c>
      <c r="G2066" s="13" t="inlineStr">
        <is>
          <t>Cultura Autorizada na Bula</t>
        </is>
      </c>
      <c r="H2066" s="13" t="inlineStr">
        <is>
          <t>100 a 300 L/ha</t>
        </is>
      </c>
      <c r="I2066" s="13" t="inlineStr">
        <is>
          <t>20 a 40 L/ha</t>
        </is>
      </c>
      <c r="J2066" s="13" t="inlineStr">
        <is>
          <t>Isento</t>
        </is>
      </c>
    </row>
    <row r="2067" ht="22" customHeight="1">
      <c r="A2067" s="6" t="inlineStr">
        <is>
          <t>CUL-2063</t>
        </is>
      </c>
      <c r="B2067" s="5" t="n">
        <v>414</v>
      </c>
      <c r="C2067" s="7" t="inlineStr">
        <is>
          <t>SIPEAGRO (UF-XXXXX)</t>
        </is>
      </c>
      <c r="D2067" s="8" t="inlineStr">
        <is>
          <t>FERTILIZANTE 00-25-00 2S (VALIDAR)</t>
        </is>
      </c>
      <c r="E2067" s="7" t="inlineStr">
        <is>
          <t>Adubação de Solo / Foliar</t>
        </is>
      </c>
      <c r="F2067" s="7" t="inlineStr">
        <is>
          <t>Algodão</t>
        </is>
      </c>
      <c r="G2067" s="7" t="inlineStr">
        <is>
          <t>Cultura Autorizada na Bula</t>
        </is>
      </c>
      <c r="H2067" s="7" t="inlineStr">
        <is>
          <t>100 a 300 L/ha</t>
        </is>
      </c>
      <c r="I2067" s="7" t="inlineStr">
        <is>
          <t>20 a 40 L/ha</t>
        </is>
      </c>
      <c r="J2067" s="7" t="inlineStr">
        <is>
          <t>Isento</t>
        </is>
      </c>
    </row>
    <row r="2068" ht="22" customHeight="1">
      <c r="A2068" s="12" t="inlineStr">
        <is>
          <t>CUL-2064</t>
        </is>
      </c>
      <c r="B2068" s="11" t="n">
        <v>414</v>
      </c>
      <c r="C2068" s="13" t="inlineStr">
        <is>
          <t>SIPEAGRO (UF-XXXXX)</t>
        </is>
      </c>
      <c r="D2068" s="14" t="inlineStr">
        <is>
          <t>FERTILIZANTE 00-25-00 2S (VALIDAR)</t>
        </is>
      </c>
      <c r="E2068" s="13" t="inlineStr">
        <is>
          <t>Adubação de Solo / Foliar</t>
        </is>
      </c>
      <c r="F2068" s="13" t="inlineStr">
        <is>
          <t>Cana-de-açúcar</t>
        </is>
      </c>
      <c r="G2068" s="13" t="inlineStr">
        <is>
          <t>Cultura Autorizada na Bula</t>
        </is>
      </c>
      <c r="H2068" s="13" t="inlineStr">
        <is>
          <t>100 a 300 L/ha</t>
        </is>
      </c>
      <c r="I2068" s="13" t="inlineStr">
        <is>
          <t>20 a 40 L/ha</t>
        </is>
      </c>
      <c r="J2068" s="13" t="inlineStr">
        <is>
          <t>Isento</t>
        </is>
      </c>
    </row>
    <row r="2069" ht="22" customHeight="1">
      <c r="A2069" s="6" t="inlineStr">
        <is>
          <t>CUL-2065</t>
        </is>
      </c>
      <c r="B2069" s="5" t="n">
        <v>414</v>
      </c>
      <c r="C2069" s="7" t="inlineStr">
        <is>
          <t>SIPEAGRO (UF-XXXXX)</t>
        </is>
      </c>
      <c r="D2069" s="8" t="inlineStr">
        <is>
          <t>FERTILIZANTE 00-25-00 2S (VALIDAR)</t>
        </is>
      </c>
      <c r="E2069" s="7" t="inlineStr">
        <is>
          <t>Adubação de Solo / Foliar</t>
        </is>
      </c>
      <c r="F2069" s="7" t="inlineStr">
        <is>
          <t>Café</t>
        </is>
      </c>
      <c r="G2069" s="7" t="inlineStr">
        <is>
          <t>Cultura Autorizada na Bula</t>
        </is>
      </c>
      <c r="H2069" s="7" t="inlineStr">
        <is>
          <t>100 a 300 L/ha</t>
        </is>
      </c>
      <c r="I2069" s="7" t="inlineStr">
        <is>
          <t>20 a 40 L/ha</t>
        </is>
      </c>
      <c r="J2069" s="7" t="inlineStr">
        <is>
          <t>Isento</t>
        </is>
      </c>
    </row>
    <row r="2070" ht="22" customHeight="1">
      <c r="A2070" s="12" t="inlineStr">
        <is>
          <t>CUL-2066</t>
        </is>
      </c>
      <c r="B2070" s="11" t="n">
        <v>415</v>
      </c>
      <c r="C2070" s="13" t="inlineStr">
        <is>
          <t>ISENTO (ATO 104/2017)</t>
        </is>
      </c>
      <c r="D2070" s="14" t="inlineStr">
        <is>
          <t>AGRICOIL MINERAL</t>
        </is>
      </c>
      <c r="E2070" s="13" t="inlineStr">
        <is>
          <t>Pulverização Agrícola Conforme Bula</t>
        </is>
      </c>
      <c r="F2070" s="13" t="inlineStr">
        <is>
          <t>Soja, Milho, Algodão, Café, Citros, Cana-de-açúcar (Adição à calda)</t>
        </is>
      </c>
      <c r="G2070" s="13" t="inlineStr">
        <is>
          <t>Cultura Autorizada na Bula</t>
        </is>
      </c>
      <c r="H2070" s="13" t="inlineStr">
        <is>
          <t>100 a 300 L/ha</t>
        </is>
      </c>
      <c r="I2070" s="13" t="inlineStr">
        <is>
          <t>20 a 40 L/ha</t>
        </is>
      </c>
      <c r="J2070" s="13" t="inlineStr">
        <is>
          <t>Conforme defensivo principal</t>
        </is>
      </c>
    </row>
    <row r="2071" ht="22" customHeight="1">
      <c r="A2071" s="6" t="inlineStr">
        <is>
          <t>CUL-2067</t>
        </is>
      </c>
      <c r="B2071" s="5" t="n">
        <v>416</v>
      </c>
      <c r="C2071" s="7" t="inlineStr">
        <is>
          <t>Nº 23922</t>
        </is>
      </c>
      <c r="D2071" s="8" t="inlineStr">
        <is>
          <t>GRASIDIM FULL</t>
        </is>
      </c>
      <c r="E2071" s="7" t="inlineStr">
        <is>
          <t>Pulverização Agrícola Conforme Bula</t>
        </is>
      </c>
      <c r="F2071" s="7" t="inlineStr">
        <is>
          <t>Soja</t>
        </is>
      </c>
      <c r="G2071" s="7" t="inlineStr">
        <is>
          <t>Cultura Autorizada na Bula</t>
        </is>
      </c>
      <c r="H2071" s="7" t="inlineStr">
        <is>
          <t>100 a 300 L/ha</t>
        </is>
      </c>
      <c r="I2071" s="7" t="inlineStr">
        <is>
          <t>20 a 40 L/ha</t>
        </is>
      </c>
      <c r="J2071" s="7" t="inlineStr">
        <is>
          <t>60 dias</t>
        </is>
      </c>
    </row>
    <row r="2072" ht="22" customHeight="1">
      <c r="A2072" s="12" t="inlineStr">
        <is>
          <t>CUL-2068</t>
        </is>
      </c>
      <c r="B2072" s="11" t="n">
        <v>416</v>
      </c>
      <c r="C2072" s="13" t="inlineStr">
        <is>
          <t>Nº 23922</t>
        </is>
      </c>
      <c r="D2072" s="14" t="inlineStr">
        <is>
          <t>GRASIDIM FULL</t>
        </is>
      </c>
      <c r="E2072" s="13" t="inlineStr">
        <is>
          <t>Pulverização Agrícola Conforme Bula</t>
        </is>
      </c>
      <c r="F2072" s="13" t="inlineStr">
        <is>
          <t>Algodão</t>
        </is>
      </c>
      <c r="G2072" s="13" t="inlineStr">
        <is>
          <t>Cultura Autorizada na Bula</t>
        </is>
      </c>
      <c r="H2072" s="13" t="inlineStr">
        <is>
          <t>100 a 300 L/ha</t>
        </is>
      </c>
      <c r="I2072" s="13" t="inlineStr">
        <is>
          <t>20 a 40 L/ha</t>
        </is>
      </c>
      <c r="J2072" s="13" t="inlineStr">
        <is>
          <t>58 dias</t>
        </is>
      </c>
    </row>
    <row r="2073" ht="22" customHeight="1">
      <c r="A2073" s="6" t="inlineStr">
        <is>
          <t>CUL-2069</t>
        </is>
      </c>
      <c r="B2073" s="5" t="n">
        <v>416</v>
      </c>
      <c r="C2073" s="7" t="inlineStr">
        <is>
          <t>Nº 23922</t>
        </is>
      </c>
      <c r="D2073" s="8" t="inlineStr">
        <is>
          <t>GRASIDIM FULL</t>
        </is>
      </c>
      <c r="E2073" s="7" t="inlineStr">
        <is>
          <t>Pulverização Agrícola Conforme Bula</t>
        </is>
      </c>
      <c r="F2073" s="7" t="inlineStr">
        <is>
          <t>Feijão</t>
        </is>
      </c>
      <c r="G2073" s="7" t="inlineStr">
        <is>
          <t>Cultura Autorizada na Bula</t>
        </is>
      </c>
      <c r="H2073" s="7" t="inlineStr">
        <is>
          <t>100 a 300 L/ha</t>
        </is>
      </c>
      <c r="I2073" s="7" t="inlineStr">
        <is>
          <t>20 a 40 L/ha</t>
        </is>
      </c>
      <c r="J2073" s="7" t="inlineStr">
        <is>
          <t>40 dias</t>
        </is>
      </c>
    </row>
    <row r="2074" ht="22" customHeight="1">
      <c r="A2074" s="12" t="inlineStr">
        <is>
          <t>CUL-2070</t>
        </is>
      </c>
      <c r="B2074" s="11" t="n">
        <v>416</v>
      </c>
      <c r="C2074" s="13" t="inlineStr">
        <is>
          <t>Nº 23922</t>
        </is>
      </c>
      <c r="D2074" s="14" t="inlineStr">
        <is>
          <t>GRASIDIM FULL</t>
        </is>
      </c>
      <c r="E2074" s="13" t="inlineStr">
        <is>
          <t>Pulverização Agrícola Conforme Bula</t>
        </is>
      </c>
      <c r="F2074" s="13" t="inlineStr">
        <is>
          <t>Café</t>
        </is>
      </c>
      <c r="G2074" s="13" t="inlineStr">
        <is>
          <t>Cultura Autorizada na Bula</t>
        </is>
      </c>
      <c r="H2074" s="13" t="inlineStr">
        <is>
          <t>100 a 300 L/ha</t>
        </is>
      </c>
      <c r="I2074" s="13" t="inlineStr">
        <is>
          <t>20 a 40 L/ha</t>
        </is>
      </c>
      <c r="J2074" s="13" t="inlineStr">
        <is>
          <t>14 dias</t>
        </is>
      </c>
    </row>
    <row r="2075" ht="22" customHeight="1">
      <c r="A2075" s="6" t="inlineStr">
        <is>
          <t>CUL-2071</t>
        </is>
      </c>
      <c r="B2075" s="5" t="n">
        <v>416</v>
      </c>
      <c r="C2075" s="7" t="inlineStr">
        <is>
          <t>Nº 23922</t>
        </is>
      </c>
      <c r="D2075" s="8" t="inlineStr">
        <is>
          <t>GRASIDIM FULL</t>
        </is>
      </c>
      <c r="E2075" s="7" t="inlineStr">
        <is>
          <t>Pulverização Agrícola Conforme Bula</t>
        </is>
      </c>
      <c r="F2075" s="7" t="inlineStr">
        <is>
          <t>Batata</t>
        </is>
      </c>
      <c r="G2075" s="7" t="inlineStr">
        <is>
          <t>Cultura Autorizada na Bula</t>
        </is>
      </c>
      <c r="H2075" s="7" t="inlineStr">
        <is>
          <t>100 a 300 L/ha</t>
        </is>
      </c>
      <c r="I2075" s="7" t="inlineStr">
        <is>
          <t>20 a 40 L/ha</t>
        </is>
      </c>
      <c r="J2075" s="7" t="inlineStr">
        <is>
          <t>20 dias</t>
        </is>
      </c>
    </row>
    <row r="2076" ht="22" customHeight="1">
      <c r="A2076" s="12" t="inlineStr">
        <is>
          <t>CUL-2072</t>
        </is>
      </c>
      <c r="B2076" s="11" t="n">
        <v>416</v>
      </c>
      <c r="C2076" s="13" t="inlineStr">
        <is>
          <t>Nº 23922</t>
        </is>
      </c>
      <c r="D2076" s="14" t="inlineStr">
        <is>
          <t>GRASIDIM FULL</t>
        </is>
      </c>
      <c r="E2076" s="13" t="inlineStr">
        <is>
          <t>Pulverização Agrícola Conforme Bula</t>
        </is>
      </c>
      <c r="F2076" s="13" t="inlineStr">
        <is>
          <t>Mandioca</t>
        </is>
      </c>
      <c r="G2076" s="13" t="inlineStr">
        <is>
          <t>Cultura Autorizada na Bula</t>
        </is>
      </c>
      <c r="H2076" s="13" t="inlineStr">
        <is>
          <t>100 a 300 L/ha</t>
        </is>
      </c>
      <c r="I2076" s="13" t="inlineStr">
        <is>
          <t>20 a 40 L/ha</t>
        </is>
      </c>
      <c r="J2076" s="13" t="inlineStr">
        <is>
          <t>90 dias</t>
        </is>
      </c>
    </row>
    <row r="2077" ht="22" customHeight="1">
      <c r="A2077" s="6" t="inlineStr">
        <is>
          <t>CUL-2073</t>
        </is>
      </c>
      <c r="B2077" s="5" t="n">
        <v>416</v>
      </c>
      <c r="C2077" s="7" t="inlineStr">
        <is>
          <t>Nº 23922</t>
        </is>
      </c>
      <c r="D2077" s="8" t="inlineStr">
        <is>
          <t>GRASIDIM FULL</t>
        </is>
      </c>
      <c r="E2077" s="7" t="inlineStr">
        <is>
          <t>Pulverização Agrícola Conforme Bula</t>
        </is>
      </c>
      <c r="F2077" s="7" t="inlineStr">
        <is>
          <t>Tomate</t>
        </is>
      </c>
      <c r="G2077" s="7" t="inlineStr">
        <is>
          <t>Cultura Autorizada na Bula</t>
        </is>
      </c>
      <c r="H2077" s="7" t="inlineStr">
        <is>
          <t>100 a 300 L/ha</t>
        </is>
      </c>
      <c r="I2077" s="7" t="inlineStr">
        <is>
          <t>20 a 40 L/ha</t>
        </is>
      </c>
      <c r="J2077" s="7" t="inlineStr">
        <is>
          <t>20 dias</t>
        </is>
      </c>
    </row>
    <row r="2078" ht="22" customHeight="1">
      <c r="A2078" s="12" t="inlineStr">
        <is>
          <t>CUL-2074</t>
        </is>
      </c>
      <c r="B2078" s="11" t="n">
        <v>417</v>
      </c>
      <c r="C2078" s="13" t="inlineStr">
        <is>
          <t>Nº 4623</t>
        </is>
      </c>
      <c r="D2078" s="14" t="inlineStr">
        <is>
          <t>WERIFE - ACEFATO 970 - (PRINCIPIO ATIVO)</t>
        </is>
      </c>
      <c r="E2078" s="13" t="inlineStr">
        <is>
          <t>Uso Exclusivamente Industrial (Formulação)</t>
        </is>
      </c>
      <c r="F2078" s="13" t="inlineStr">
        <is>
          <t>Não Aplicável (Proibido uso direto na lavoura)</t>
        </is>
      </c>
      <c r="G2078" s="13" t="inlineStr">
        <is>
          <t>Insumo Industrial</t>
        </is>
      </c>
      <c r="H2078" s="13" t="inlineStr">
        <is>
          <t>N/A</t>
        </is>
      </c>
      <c r="I2078" s="13" t="inlineStr">
        <is>
          <t>N/A</t>
        </is>
      </c>
      <c r="J2078" s="13" t="inlineStr">
        <is>
          <t>N/A (Insumo Industrial)</t>
        </is>
      </c>
    </row>
    <row r="2079" ht="22" customHeight="1">
      <c r="A2079" s="6" t="inlineStr">
        <is>
          <t>CUL-2075</t>
        </is>
      </c>
      <c r="B2079" s="5" t="n">
        <v>418</v>
      </c>
      <c r="C2079" s="7" t="inlineStr">
        <is>
          <t>Nº 28120</t>
        </is>
      </c>
      <c r="D2079" s="8" t="inlineStr">
        <is>
          <t>WILD CLEAR - FLUROXIPIR 200 EC - (PRINCIPIO ATIVO)</t>
        </is>
      </c>
      <c r="E2079" s="7" t="inlineStr">
        <is>
          <t>Uso Exclusivamente Industrial (Formulação)</t>
        </is>
      </c>
      <c r="F2079" s="7" t="inlineStr">
        <is>
          <t>Não Aplicável (Proibido uso direto na lavoura)</t>
        </is>
      </c>
      <c r="G2079" s="7" t="inlineStr">
        <is>
          <t>Insumo Industrial</t>
        </is>
      </c>
      <c r="H2079" s="7" t="inlineStr">
        <is>
          <t>N/A</t>
        </is>
      </c>
      <c r="I2079" s="7" t="inlineStr">
        <is>
          <t>N/A</t>
        </is>
      </c>
      <c r="J2079" s="7" t="inlineStr">
        <is>
          <t>N/A (Insumo Industrial)</t>
        </is>
      </c>
    </row>
    <row r="2080" ht="22" customHeight="1">
      <c r="A2080" s="12" t="inlineStr">
        <is>
          <t>CUL-2076</t>
        </is>
      </c>
      <c r="B2080" s="11" t="n">
        <v>419</v>
      </c>
      <c r="C2080" s="13" t="inlineStr">
        <is>
          <t>Nº 36822</t>
        </is>
      </c>
      <c r="D2080" s="14" t="inlineStr">
        <is>
          <t>CLORPIRIFOS 48 EC AGCN</t>
        </is>
      </c>
      <c r="E2080" s="13" t="inlineStr">
        <is>
          <t>Pulverização Agrícola Conforme Bula</t>
        </is>
      </c>
      <c r="F2080" s="13" t="inlineStr">
        <is>
          <t>Soja</t>
        </is>
      </c>
      <c r="G2080" s="13" t="inlineStr">
        <is>
          <t>Cultura Autorizada na Bula</t>
        </is>
      </c>
      <c r="H2080" s="13" t="inlineStr">
        <is>
          <t>100 a 300 L/ha</t>
        </is>
      </c>
      <c r="I2080" s="13" t="inlineStr">
        <is>
          <t>20 a 40 L/ha</t>
        </is>
      </c>
      <c r="J2080" s="13" t="inlineStr">
        <is>
          <t>21 dias</t>
        </is>
      </c>
    </row>
    <row r="2081" ht="22" customHeight="1">
      <c r="A2081" s="6" t="inlineStr">
        <is>
          <t>CUL-2077</t>
        </is>
      </c>
      <c r="B2081" s="5" t="n">
        <v>419</v>
      </c>
      <c r="C2081" s="7" t="inlineStr">
        <is>
          <t>Nº 36822</t>
        </is>
      </c>
      <c r="D2081" s="8" t="inlineStr">
        <is>
          <t>CLORPIRIFOS 48 EC AGCN</t>
        </is>
      </c>
      <c r="E2081" s="7" t="inlineStr">
        <is>
          <t>Pulverização Agrícola Conforme Bula</t>
        </is>
      </c>
      <c r="F2081" s="7" t="inlineStr">
        <is>
          <t>Milho</t>
        </is>
      </c>
      <c r="G2081" s="7" t="inlineStr">
        <is>
          <t>Cultura Autorizada na Bula</t>
        </is>
      </c>
      <c r="H2081" s="7" t="inlineStr">
        <is>
          <t>100 a 300 L/ha</t>
        </is>
      </c>
      <c r="I2081" s="7" t="inlineStr">
        <is>
          <t>20 a 40 L/ha</t>
        </is>
      </c>
      <c r="J2081" s="7" t="inlineStr">
        <is>
          <t>21 dias</t>
        </is>
      </c>
    </row>
    <row r="2082" ht="22" customHeight="1">
      <c r="A2082" s="12" t="inlineStr">
        <is>
          <t>CUL-2078</t>
        </is>
      </c>
      <c r="B2082" s="11" t="n">
        <v>419</v>
      </c>
      <c r="C2082" s="13" t="inlineStr">
        <is>
          <t>Nº 36822</t>
        </is>
      </c>
      <c r="D2082" s="14" t="inlineStr">
        <is>
          <t>CLORPIRIFOS 48 EC AGCN</t>
        </is>
      </c>
      <c r="E2082" s="13" t="inlineStr">
        <is>
          <t>Pulverização Agrícola Conforme Bula</t>
        </is>
      </c>
      <c r="F2082" s="13" t="inlineStr">
        <is>
          <t>Algodão</t>
        </is>
      </c>
      <c r="G2082" s="13" t="inlineStr">
        <is>
          <t>Cultura Autorizada na Bula</t>
        </is>
      </c>
      <c r="H2082" s="13" t="inlineStr">
        <is>
          <t>100 a 300 L/ha</t>
        </is>
      </c>
      <c r="I2082" s="13" t="inlineStr">
        <is>
          <t>20 a 40 L/ha</t>
        </is>
      </c>
      <c r="J2082" s="13" t="inlineStr">
        <is>
          <t>21 dias</t>
        </is>
      </c>
    </row>
    <row r="2083" ht="22" customHeight="1">
      <c r="A2083" s="6" t="inlineStr">
        <is>
          <t>CUL-2079</t>
        </is>
      </c>
      <c r="B2083" s="5" t="n">
        <v>419</v>
      </c>
      <c r="C2083" s="7" t="inlineStr">
        <is>
          <t>Nº 36822</t>
        </is>
      </c>
      <c r="D2083" s="8" t="inlineStr">
        <is>
          <t>CLORPIRIFOS 48 EC AGCN</t>
        </is>
      </c>
      <c r="E2083" s="7" t="inlineStr">
        <is>
          <t>Pulverização Agrícola Conforme Bula</t>
        </is>
      </c>
      <c r="F2083" s="7" t="inlineStr">
        <is>
          <t>Café</t>
        </is>
      </c>
      <c r="G2083" s="7" t="inlineStr">
        <is>
          <t>Cultura Autorizada na Bula</t>
        </is>
      </c>
      <c r="H2083" s="7" t="inlineStr">
        <is>
          <t>100 a 300 L/ha</t>
        </is>
      </c>
      <c r="I2083" s="7" t="inlineStr">
        <is>
          <t>20 a 40 L/ha</t>
        </is>
      </c>
      <c r="J2083" s="7" t="inlineStr">
        <is>
          <t>21 dias</t>
        </is>
      </c>
    </row>
    <row r="2084" ht="22" customHeight="1">
      <c r="A2084" s="12" t="inlineStr">
        <is>
          <t>CUL-2080</t>
        </is>
      </c>
      <c r="B2084" s="11" t="n">
        <v>419</v>
      </c>
      <c r="C2084" s="13" t="inlineStr">
        <is>
          <t>Nº 36822</t>
        </is>
      </c>
      <c r="D2084" s="14" t="inlineStr">
        <is>
          <t>CLORPIRIFOS 48 EC AGCN</t>
        </is>
      </c>
      <c r="E2084" s="13" t="inlineStr">
        <is>
          <t>Pulverização Agrícola Conforme Bula</t>
        </is>
      </c>
      <c r="F2084" s="13" t="inlineStr">
        <is>
          <t>Citros</t>
        </is>
      </c>
      <c r="G2084" s="13" t="inlineStr">
        <is>
          <t>Cultura Autorizada na Bula</t>
        </is>
      </c>
      <c r="H2084" s="13" t="inlineStr">
        <is>
          <t>100 a 300 L/ha</t>
        </is>
      </c>
      <c r="I2084" s="13" t="inlineStr">
        <is>
          <t>20 a 40 L/ha</t>
        </is>
      </c>
      <c r="J2084" s="13" t="inlineStr">
        <is>
          <t>21 dias</t>
        </is>
      </c>
    </row>
    <row r="2085" ht="22" customHeight="1">
      <c r="A2085" s="6" t="inlineStr">
        <is>
          <t>CUL-2081</t>
        </is>
      </c>
      <c r="B2085" s="5" t="n">
        <v>419</v>
      </c>
      <c r="C2085" s="7" t="inlineStr">
        <is>
          <t>Nº 36822</t>
        </is>
      </c>
      <c r="D2085" s="8" t="inlineStr">
        <is>
          <t>CLORPIRIFOS 48 EC AGCN</t>
        </is>
      </c>
      <c r="E2085" s="7" t="inlineStr">
        <is>
          <t>Pulverização Agrícola Conforme Bula</t>
        </is>
      </c>
      <c r="F2085" s="7" t="inlineStr">
        <is>
          <t>Feijão</t>
        </is>
      </c>
      <c r="G2085" s="7" t="inlineStr">
        <is>
          <t>Cultura Autorizada na Bula</t>
        </is>
      </c>
      <c r="H2085" s="7" t="inlineStr">
        <is>
          <t>100 a 300 L/ha</t>
        </is>
      </c>
      <c r="I2085" s="7" t="inlineStr">
        <is>
          <t>20 a 40 L/ha</t>
        </is>
      </c>
      <c r="J2085" s="7" t="inlineStr">
        <is>
          <t>25 dias</t>
        </is>
      </c>
    </row>
    <row r="2086" ht="22" customHeight="1">
      <c r="A2086" s="12" t="inlineStr">
        <is>
          <t>CUL-2082</t>
        </is>
      </c>
      <c r="B2086" s="11" t="n">
        <v>419</v>
      </c>
      <c r="C2086" s="13" t="inlineStr">
        <is>
          <t>Nº 36822</t>
        </is>
      </c>
      <c r="D2086" s="14" t="inlineStr">
        <is>
          <t>CLORPIRIFOS 48 EC AGCN</t>
        </is>
      </c>
      <c r="E2086" s="13" t="inlineStr">
        <is>
          <t>Pulverização Agrícola Conforme Bula</t>
        </is>
      </c>
      <c r="F2086" s="13" t="inlineStr">
        <is>
          <t>Batata</t>
        </is>
      </c>
      <c r="G2086" s="13" t="inlineStr">
        <is>
          <t>Cultura Autorizada na Bula</t>
        </is>
      </c>
      <c r="H2086" s="13" t="inlineStr">
        <is>
          <t>100 a 300 L/ha</t>
        </is>
      </c>
      <c r="I2086" s="13" t="inlineStr">
        <is>
          <t>20 a 40 L/ha</t>
        </is>
      </c>
      <c r="J2086" s="13" t="inlineStr">
        <is>
          <t>21 dias</t>
        </is>
      </c>
    </row>
    <row r="2087" ht="22" customHeight="1">
      <c r="A2087" s="6" t="inlineStr">
        <is>
          <t>CUL-2083</t>
        </is>
      </c>
      <c r="B2087" s="5" t="n">
        <v>419</v>
      </c>
      <c r="C2087" s="7" t="inlineStr">
        <is>
          <t>Nº 36822</t>
        </is>
      </c>
      <c r="D2087" s="8" t="inlineStr">
        <is>
          <t>CLORPIRIFOS 48 EC AGCN</t>
        </is>
      </c>
      <c r="E2087" s="7" t="inlineStr">
        <is>
          <t>Pulverização Agrícola Conforme Bula</t>
        </is>
      </c>
      <c r="F2087" s="7" t="inlineStr">
        <is>
          <t>Tomate</t>
        </is>
      </c>
      <c r="G2087" s="7" t="inlineStr">
        <is>
          <t>Cultura Autorizada na Bula</t>
        </is>
      </c>
      <c r="H2087" s="7" t="inlineStr">
        <is>
          <t>100 a 300 L/ha</t>
        </is>
      </c>
      <c r="I2087" s="7" t="inlineStr">
        <is>
          <t>20 a 40 L/ha</t>
        </is>
      </c>
      <c r="J2087" s="7" t="inlineStr">
        <is>
          <t>21 dias</t>
        </is>
      </c>
    </row>
    <row r="2088" ht="22" customHeight="1">
      <c r="A2088" s="12" t="inlineStr">
        <is>
          <t>CUL-2084</t>
        </is>
      </c>
      <c r="B2088" s="11" t="n">
        <v>419</v>
      </c>
      <c r="C2088" s="13" t="inlineStr">
        <is>
          <t>Nº 36822</t>
        </is>
      </c>
      <c r="D2088" s="14" t="inlineStr">
        <is>
          <t>CLORPIRIFOS 48 EC AGCN</t>
        </is>
      </c>
      <c r="E2088" s="13" t="inlineStr">
        <is>
          <t>Pulverização Agrícola Conforme Bula</t>
        </is>
      </c>
      <c r="F2088" s="13" t="inlineStr">
        <is>
          <t>Trigo</t>
        </is>
      </c>
      <c r="G2088" s="13" t="inlineStr">
        <is>
          <t>Cultura Autorizada na Bula</t>
        </is>
      </c>
      <c r="H2088" s="13" t="inlineStr">
        <is>
          <t>100 a 300 L/ha</t>
        </is>
      </c>
      <c r="I2088" s="13" t="inlineStr">
        <is>
          <t>20 a 40 L/ha</t>
        </is>
      </c>
      <c r="J2088" s="13" t="inlineStr">
        <is>
          <t>21 dias</t>
        </is>
      </c>
    </row>
    <row r="2089" ht="22" customHeight="1">
      <c r="A2089" s="6" t="inlineStr">
        <is>
          <t>CUL-2085</t>
        </is>
      </c>
      <c r="B2089" s="5" t="n">
        <v>420</v>
      </c>
      <c r="C2089" s="7" t="inlineStr">
        <is>
          <t>Nº 11819</t>
        </is>
      </c>
      <c r="D2089" s="8" t="inlineStr">
        <is>
          <t>MANCOZEB 800 WP AGCN</t>
        </is>
      </c>
      <c r="E2089" s="7" t="inlineStr">
        <is>
          <t>Pulverização Agrícola Conforme Bula</t>
        </is>
      </c>
      <c r="F2089" s="7" t="inlineStr">
        <is>
          <t>Soja</t>
        </is>
      </c>
      <c r="G2089" s="7" t="inlineStr">
        <is>
          <t>Cultura Autorizada na Bula</t>
        </is>
      </c>
      <c r="H2089" s="7" t="inlineStr">
        <is>
          <t>100 a 300 L/ha</t>
        </is>
      </c>
      <c r="I2089" s="7" t="inlineStr">
        <is>
          <t>20 a 40 L/ha</t>
        </is>
      </c>
      <c r="J2089" s="7" t="inlineStr">
        <is>
          <t>21 dias</t>
        </is>
      </c>
    </row>
    <row r="2090" ht="22" customHeight="1">
      <c r="A2090" s="12" t="inlineStr">
        <is>
          <t>CUL-2086</t>
        </is>
      </c>
      <c r="B2090" s="11" t="n">
        <v>420</v>
      </c>
      <c r="C2090" s="13" t="inlineStr">
        <is>
          <t>Nº 11819</t>
        </is>
      </c>
      <c r="D2090" s="14" t="inlineStr">
        <is>
          <t>MANCOZEB 800 WP AGCN</t>
        </is>
      </c>
      <c r="E2090" s="13" t="inlineStr">
        <is>
          <t>Pulverização Agrícola Conforme Bula</t>
        </is>
      </c>
      <c r="F2090" s="13" t="inlineStr">
        <is>
          <t>Algodão</t>
        </is>
      </c>
      <c r="G2090" s="13" t="inlineStr">
        <is>
          <t>Cultura Autorizada na Bula</t>
        </is>
      </c>
      <c r="H2090" s="13" t="inlineStr">
        <is>
          <t>100 a 300 L/ha</t>
        </is>
      </c>
      <c r="I2090" s="13" t="inlineStr">
        <is>
          <t>20 a 40 L/ha</t>
        </is>
      </c>
      <c r="J2090" s="13" t="inlineStr">
        <is>
          <t>21 dias</t>
        </is>
      </c>
    </row>
    <row r="2091" ht="22" customHeight="1">
      <c r="A2091" s="6" t="inlineStr">
        <is>
          <t>CUL-2087</t>
        </is>
      </c>
      <c r="B2091" s="5" t="n">
        <v>420</v>
      </c>
      <c r="C2091" s="7" t="inlineStr">
        <is>
          <t>Nº 11819</t>
        </is>
      </c>
      <c r="D2091" s="8" t="inlineStr">
        <is>
          <t>MANCOZEB 800 WP AGCN</t>
        </is>
      </c>
      <c r="E2091" s="7" t="inlineStr">
        <is>
          <t>Pulverização Agrícola Conforme Bula</t>
        </is>
      </c>
      <c r="F2091" s="7" t="inlineStr">
        <is>
          <t>Café</t>
        </is>
      </c>
      <c r="G2091" s="7" t="inlineStr">
        <is>
          <t>Cultura Autorizada na Bula</t>
        </is>
      </c>
      <c r="H2091" s="7" t="inlineStr">
        <is>
          <t>100 a 300 L/ha</t>
        </is>
      </c>
      <c r="I2091" s="7" t="inlineStr">
        <is>
          <t>20 a 40 L/ha</t>
        </is>
      </c>
      <c r="J2091" s="7" t="inlineStr">
        <is>
          <t>21 dias</t>
        </is>
      </c>
    </row>
    <row r="2092" ht="22" customHeight="1">
      <c r="A2092" s="12" t="inlineStr">
        <is>
          <t>CUL-2088</t>
        </is>
      </c>
      <c r="B2092" s="11" t="n">
        <v>420</v>
      </c>
      <c r="C2092" s="13" t="inlineStr">
        <is>
          <t>Nº 11819</t>
        </is>
      </c>
      <c r="D2092" s="14" t="inlineStr">
        <is>
          <t>MANCOZEB 800 WP AGCN</t>
        </is>
      </c>
      <c r="E2092" s="13" t="inlineStr">
        <is>
          <t>Pulverização Agrícola Conforme Bula</t>
        </is>
      </c>
      <c r="F2092" s="13" t="inlineStr">
        <is>
          <t>Feijão</t>
        </is>
      </c>
      <c r="G2092" s="13" t="inlineStr">
        <is>
          <t>Cultura Autorizada na Bula</t>
        </is>
      </c>
      <c r="H2092" s="13" t="inlineStr">
        <is>
          <t>100 a 300 L/ha</t>
        </is>
      </c>
      <c r="I2092" s="13" t="inlineStr">
        <is>
          <t>20 a 40 L/ha</t>
        </is>
      </c>
      <c r="J2092" s="13" t="inlineStr">
        <is>
          <t>14 dias</t>
        </is>
      </c>
    </row>
    <row r="2093" ht="22" customHeight="1">
      <c r="A2093" s="6" t="inlineStr">
        <is>
          <t>CUL-2089</t>
        </is>
      </c>
      <c r="B2093" s="5" t="n">
        <v>420</v>
      </c>
      <c r="C2093" s="7" t="inlineStr">
        <is>
          <t>Nº 11819</t>
        </is>
      </c>
      <c r="D2093" s="8" t="inlineStr">
        <is>
          <t>MANCOZEB 800 WP AGCN</t>
        </is>
      </c>
      <c r="E2093" s="7" t="inlineStr">
        <is>
          <t>Pulverização Agrícola Conforme Bula</t>
        </is>
      </c>
      <c r="F2093" s="7" t="inlineStr">
        <is>
          <t>Milho</t>
        </is>
      </c>
      <c r="G2093" s="7" t="inlineStr">
        <is>
          <t>Cultura Autorizada na Bula</t>
        </is>
      </c>
      <c r="H2093" s="7" t="inlineStr">
        <is>
          <t>100 a 300 L/ha</t>
        </is>
      </c>
      <c r="I2093" s="7" t="inlineStr">
        <is>
          <t>20 a 40 L/ha</t>
        </is>
      </c>
      <c r="J2093" s="7" t="inlineStr">
        <is>
          <t>21 dias</t>
        </is>
      </c>
    </row>
    <row r="2094" ht="22" customHeight="1">
      <c r="A2094" s="12" t="inlineStr">
        <is>
          <t>CUL-2090</t>
        </is>
      </c>
      <c r="B2094" s="11" t="n">
        <v>420</v>
      </c>
      <c r="C2094" s="13" t="inlineStr">
        <is>
          <t>Nº 11819</t>
        </is>
      </c>
      <c r="D2094" s="14" t="inlineStr">
        <is>
          <t>MANCOZEB 800 WP AGCN</t>
        </is>
      </c>
      <c r="E2094" s="13" t="inlineStr">
        <is>
          <t>Pulverização Agrícola Conforme Bula</t>
        </is>
      </c>
      <c r="F2094" s="13" t="inlineStr">
        <is>
          <t>Batata</t>
        </is>
      </c>
      <c r="G2094" s="13" t="inlineStr">
        <is>
          <t>Cultura Autorizada na Bula</t>
        </is>
      </c>
      <c r="H2094" s="13" t="inlineStr">
        <is>
          <t>100 a 300 L/ha</t>
        </is>
      </c>
      <c r="I2094" s="13" t="inlineStr">
        <is>
          <t>20 a 40 L/ha</t>
        </is>
      </c>
      <c r="J2094" s="13" t="inlineStr">
        <is>
          <t>7 dias</t>
        </is>
      </c>
    </row>
    <row r="2095" ht="22" customHeight="1">
      <c r="A2095" s="6" t="inlineStr">
        <is>
          <t>CUL-2091</t>
        </is>
      </c>
      <c r="B2095" s="5" t="n">
        <v>420</v>
      </c>
      <c r="C2095" s="7" t="inlineStr">
        <is>
          <t>Nº 11819</t>
        </is>
      </c>
      <c r="D2095" s="8" t="inlineStr">
        <is>
          <t>MANCOZEB 800 WP AGCN</t>
        </is>
      </c>
      <c r="E2095" s="7" t="inlineStr">
        <is>
          <t>Pulverização Agrícola Conforme Bula</t>
        </is>
      </c>
      <c r="F2095" s="7" t="inlineStr">
        <is>
          <t>Tomate</t>
        </is>
      </c>
      <c r="G2095" s="7" t="inlineStr">
        <is>
          <t>Cultura Autorizada na Bula</t>
        </is>
      </c>
      <c r="H2095" s="7" t="inlineStr">
        <is>
          <t>100 a 300 L/ha</t>
        </is>
      </c>
      <c r="I2095" s="7" t="inlineStr">
        <is>
          <t>20 a 40 L/ha</t>
        </is>
      </c>
      <c r="J2095" s="7" t="inlineStr">
        <is>
          <t>7 dias</t>
        </is>
      </c>
    </row>
    <row r="2096" ht="22" customHeight="1">
      <c r="A2096" s="12" t="inlineStr">
        <is>
          <t>CUL-2092</t>
        </is>
      </c>
      <c r="B2096" s="11" t="n">
        <v>420</v>
      </c>
      <c r="C2096" s="13" t="inlineStr">
        <is>
          <t>Nº 11819</t>
        </is>
      </c>
      <c r="D2096" s="14" t="inlineStr">
        <is>
          <t>MANCOZEB 800 WP AGCN</t>
        </is>
      </c>
      <c r="E2096" s="13" t="inlineStr">
        <is>
          <t>Pulverização Agrícola Conforme Bula</t>
        </is>
      </c>
      <c r="F2096" s="13" t="inlineStr">
        <is>
          <t>Trigo</t>
        </is>
      </c>
      <c r="G2096" s="13" t="inlineStr">
        <is>
          <t>Cultura Autorizada na Bula</t>
        </is>
      </c>
      <c r="H2096" s="13" t="inlineStr">
        <is>
          <t>100 a 300 L/ha</t>
        </is>
      </c>
      <c r="I2096" s="13" t="inlineStr">
        <is>
          <t>20 a 40 L/ha</t>
        </is>
      </c>
      <c r="J2096" s="13" t="inlineStr">
        <is>
          <t>21 dias</t>
        </is>
      </c>
    </row>
    <row r="2097" ht="22" customHeight="1">
      <c r="A2097" s="6" t="inlineStr">
        <is>
          <t>CUL-2093</t>
        </is>
      </c>
      <c r="B2097" s="5" t="n">
        <v>421</v>
      </c>
      <c r="C2097" s="7" t="inlineStr">
        <is>
          <t>Nº 10210</t>
        </is>
      </c>
      <c r="D2097" s="8" t="inlineStr">
        <is>
          <t>LAMBDA CIALOTRINA 250 EC</t>
        </is>
      </c>
      <c r="E2097" s="7" t="inlineStr">
        <is>
          <t>Pulverização Agrícola Conforme Bula</t>
        </is>
      </c>
      <c r="F2097" s="7" t="inlineStr">
        <is>
          <t>Soja</t>
        </is>
      </c>
      <c r="G2097" s="7" t="inlineStr">
        <is>
          <t>Cultura Autorizada na Bula</t>
        </is>
      </c>
      <c r="H2097" s="7" t="inlineStr">
        <is>
          <t>100 a 300 L/ha</t>
        </is>
      </c>
      <c r="I2097" s="7" t="inlineStr">
        <is>
          <t>20 a 40 L/ha</t>
        </is>
      </c>
      <c r="J2097" s="7" t="inlineStr">
        <is>
          <t>14 dias</t>
        </is>
      </c>
    </row>
    <row r="2098" ht="22" customHeight="1">
      <c r="A2098" s="12" t="inlineStr">
        <is>
          <t>CUL-2094</t>
        </is>
      </c>
      <c r="B2098" s="11" t="n">
        <v>421</v>
      </c>
      <c r="C2098" s="13" t="inlineStr">
        <is>
          <t>Nº 10210</t>
        </is>
      </c>
      <c r="D2098" s="14" t="inlineStr">
        <is>
          <t>LAMBDA CIALOTRINA 250 EC</t>
        </is>
      </c>
      <c r="E2098" s="13" t="inlineStr">
        <is>
          <t>Pulverização Agrícola Conforme Bula</t>
        </is>
      </c>
      <c r="F2098" s="13" t="inlineStr">
        <is>
          <t>Milho</t>
        </is>
      </c>
      <c r="G2098" s="13" t="inlineStr">
        <is>
          <t>Cultura Autorizada na Bula</t>
        </is>
      </c>
      <c r="H2098" s="13" t="inlineStr">
        <is>
          <t>100 a 300 L/ha</t>
        </is>
      </c>
      <c r="I2098" s="13" t="inlineStr">
        <is>
          <t>20 a 40 L/ha</t>
        </is>
      </c>
      <c r="J2098" s="13" t="inlineStr">
        <is>
          <t>15 dias</t>
        </is>
      </c>
    </row>
    <row r="2099" ht="22" customHeight="1">
      <c r="A2099" s="6" t="inlineStr">
        <is>
          <t>CUL-2095</t>
        </is>
      </c>
      <c r="B2099" s="5" t="n">
        <v>421</v>
      </c>
      <c r="C2099" s="7" t="inlineStr">
        <is>
          <t>Nº 10210</t>
        </is>
      </c>
      <c r="D2099" s="8" t="inlineStr">
        <is>
          <t>LAMBDA CIALOTRINA 250 EC</t>
        </is>
      </c>
      <c r="E2099" s="7" t="inlineStr">
        <is>
          <t>Pulverização Agrícola Conforme Bula</t>
        </is>
      </c>
      <c r="F2099" s="7" t="inlineStr">
        <is>
          <t>Algodão</t>
        </is>
      </c>
      <c r="G2099" s="7" t="inlineStr">
        <is>
          <t>Cultura Autorizada na Bula</t>
        </is>
      </c>
      <c r="H2099" s="7" t="inlineStr">
        <is>
          <t>100 a 300 L/ha</t>
        </is>
      </c>
      <c r="I2099" s="7" t="inlineStr">
        <is>
          <t>20 a 40 L/ha</t>
        </is>
      </c>
      <c r="J2099" s="7" t="inlineStr">
        <is>
          <t>7 dias</t>
        </is>
      </c>
    </row>
    <row r="2100" ht="22" customHeight="1">
      <c r="A2100" s="12" t="inlineStr">
        <is>
          <t>CUL-2096</t>
        </is>
      </c>
      <c r="B2100" s="11" t="n">
        <v>421</v>
      </c>
      <c r="C2100" s="13" t="inlineStr">
        <is>
          <t>Nº 10210</t>
        </is>
      </c>
      <c r="D2100" s="14" t="inlineStr">
        <is>
          <t>LAMBDA CIALOTRINA 250 EC</t>
        </is>
      </c>
      <c r="E2100" s="13" t="inlineStr">
        <is>
          <t>Pulverização Agrícola Conforme Bula</t>
        </is>
      </c>
      <c r="F2100" s="13" t="inlineStr">
        <is>
          <t>Café</t>
        </is>
      </c>
      <c r="G2100" s="13" t="inlineStr">
        <is>
          <t>Cultura Autorizada na Bula</t>
        </is>
      </c>
      <c r="H2100" s="13" t="inlineStr">
        <is>
          <t>100 a 300 L/ha</t>
        </is>
      </c>
      <c r="I2100" s="13" t="inlineStr">
        <is>
          <t>20 a 40 L/ha</t>
        </is>
      </c>
      <c r="J2100" s="13" t="inlineStr">
        <is>
          <t>1 dias</t>
        </is>
      </c>
    </row>
    <row r="2101" ht="22" customHeight="1">
      <c r="A2101" s="6" t="inlineStr">
        <is>
          <t>CUL-2097</t>
        </is>
      </c>
      <c r="B2101" s="5" t="n">
        <v>421</v>
      </c>
      <c r="C2101" s="7" t="inlineStr">
        <is>
          <t>Nº 10210</t>
        </is>
      </c>
      <c r="D2101" s="8" t="inlineStr">
        <is>
          <t>LAMBDA CIALOTRINA 250 EC</t>
        </is>
      </c>
      <c r="E2101" s="7" t="inlineStr">
        <is>
          <t>Pulverização Agrícola Conforme Bula</t>
        </is>
      </c>
      <c r="F2101" s="7" t="inlineStr">
        <is>
          <t>Feijão</t>
        </is>
      </c>
      <c r="G2101" s="7" t="inlineStr">
        <is>
          <t>Cultura Autorizada na Bula</t>
        </is>
      </c>
      <c r="H2101" s="7" t="inlineStr">
        <is>
          <t>100 a 300 L/ha</t>
        </is>
      </c>
      <c r="I2101" s="7" t="inlineStr">
        <is>
          <t>20 a 40 L/ha</t>
        </is>
      </c>
      <c r="J2101" s="7" t="inlineStr">
        <is>
          <t>15 dias</t>
        </is>
      </c>
    </row>
    <row r="2102" ht="22" customHeight="1">
      <c r="A2102" s="12" t="inlineStr">
        <is>
          <t>CUL-2098</t>
        </is>
      </c>
      <c r="B2102" s="11" t="n">
        <v>421</v>
      </c>
      <c r="C2102" s="13" t="inlineStr">
        <is>
          <t>Nº 10210</t>
        </is>
      </c>
      <c r="D2102" s="14" t="inlineStr">
        <is>
          <t>LAMBDA CIALOTRINA 250 EC</t>
        </is>
      </c>
      <c r="E2102" s="13" t="inlineStr">
        <is>
          <t>Pulverização Agrícola Conforme Bula</t>
        </is>
      </c>
      <c r="F2102" s="13" t="inlineStr">
        <is>
          <t>Trigo</t>
        </is>
      </c>
      <c r="G2102" s="13" t="inlineStr">
        <is>
          <t>Cultura Autorizada na Bula</t>
        </is>
      </c>
      <c r="H2102" s="13" t="inlineStr">
        <is>
          <t>100 a 300 L/ha</t>
        </is>
      </c>
      <c r="I2102" s="13" t="inlineStr">
        <is>
          <t>20 a 40 L/ha</t>
        </is>
      </c>
      <c r="J2102" s="13" t="inlineStr">
        <is>
          <t>21 dias</t>
        </is>
      </c>
    </row>
    <row r="2103" ht="22" customHeight="1">
      <c r="A2103" s="6" t="inlineStr">
        <is>
          <t>CUL-2099</t>
        </is>
      </c>
      <c r="B2103" s="5" t="n">
        <v>421</v>
      </c>
      <c r="C2103" s="7" t="inlineStr">
        <is>
          <t>Nº 10210</t>
        </is>
      </c>
      <c r="D2103" s="8" t="inlineStr">
        <is>
          <t>LAMBDA CIALOTRINA 250 EC</t>
        </is>
      </c>
      <c r="E2103" s="7" t="inlineStr">
        <is>
          <t>Pulverização Agrícola Conforme Bula</t>
        </is>
      </c>
      <c r="F2103" s="7" t="inlineStr">
        <is>
          <t>Cana-de-açúcar</t>
        </is>
      </c>
      <c r="G2103" s="7" t="inlineStr">
        <is>
          <t>Cultura Autorizada na Bula</t>
        </is>
      </c>
      <c r="H2103" s="7" t="inlineStr">
        <is>
          <t>100 a 300 L/ha</t>
        </is>
      </c>
      <c r="I2103" s="7" t="inlineStr">
        <is>
          <t>20 a 40 L/ha</t>
        </is>
      </c>
      <c r="J2103" s="7" t="inlineStr">
        <is>
          <t>21 dias</t>
        </is>
      </c>
    </row>
    <row r="2104" ht="22" customHeight="1">
      <c r="A2104" s="12" t="inlineStr">
        <is>
          <t>CUL-2100</t>
        </is>
      </c>
      <c r="B2104" s="11" t="n">
        <v>422</v>
      </c>
      <c r="C2104" s="13" t="inlineStr">
        <is>
          <t>Nº 1923</t>
        </is>
      </c>
      <c r="D2104" s="14" t="inlineStr">
        <is>
          <t>PUPENO-CLOROTAL 580+CIPRO 12,8+TRIFLOXI 30 (P.A)</t>
        </is>
      </c>
      <c r="E2104" s="13" t="inlineStr">
        <is>
          <t>Uso Exclusivamente Industrial (Formulação)</t>
        </is>
      </c>
      <c r="F2104" s="13" t="inlineStr">
        <is>
          <t>Não Aplicável (Proibido uso direto na lavoura)</t>
        </is>
      </c>
      <c r="G2104" s="13" t="inlineStr">
        <is>
          <t>Insumo Industrial</t>
        </is>
      </c>
      <c r="H2104" s="13" t="inlineStr">
        <is>
          <t>N/A</t>
        </is>
      </c>
      <c r="I2104" s="13" t="inlineStr">
        <is>
          <t>N/A</t>
        </is>
      </c>
      <c r="J2104" s="13" t="inlineStr">
        <is>
          <t>N/A (Insumo Industrial)</t>
        </is>
      </c>
    </row>
    <row r="2105" ht="22" customHeight="1">
      <c r="A2105" s="6" t="inlineStr">
        <is>
          <t>CUL-2101</t>
        </is>
      </c>
      <c r="B2105" s="5" t="n">
        <v>423</v>
      </c>
      <c r="C2105" s="7" t="inlineStr">
        <is>
          <t>Nº 1923</t>
        </is>
      </c>
      <c r="D2105" s="8" t="inlineStr">
        <is>
          <t>PARACHUTE-CLOROTAL 580+DIFENO 30+TRIFLOXI 24 (P.A)</t>
        </is>
      </c>
      <c r="E2105" s="7" t="inlineStr">
        <is>
          <t>Uso Exclusivamente Industrial (Formulação)</t>
        </is>
      </c>
      <c r="F2105" s="7" t="inlineStr">
        <is>
          <t>Não Aplicável (Proibido uso direto na lavoura)</t>
        </is>
      </c>
      <c r="G2105" s="7" t="inlineStr">
        <is>
          <t>Insumo Industrial</t>
        </is>
      </c>
      <c r="H2105" s="7" t="inlineStr">
        <is>
          <t>N/A</t>
        </is>
      </c>
      <c r="I2105" s="7" t="inlineStr">
        <is>
          <t>N/A</t>
        </is>
      </c>
      <c r="J2105" s="7" t="inlineStr">
        <is>
          <t>N/A (Insumo Industrial)</t>
        </is>
      </c>
    </row>
    <row r="2106" ht="22" customHeight="1">
      <c r="A2106" s="12" t="inlineStr">
        <is>
          <t>CUL-2102</t>
        </is>
      </c>
      <c r="B2106" s="11" t="n">
        <v>424</v>
      </c>
      <c r="C2106" s="13" t="inlineStr">
        <is>
          <t>Nº 31422</t>
        </is>
      </c>
      <c r="D2106" s="14" t="inlineStr">
        <is>
          <t>ZARPAL</t>
        </is>
      </c>
      <c r="E2106" s="13" t="inlineStr">
        <is>
          <t>Pulverização Agrícola Conforme Bula</t>
        </is>
      </c>
      <c r="F2106" s="13" t="inlineStr">
        <is>
          <t>Algodão</t>
        </is>
      </c>
      <c r="G2106" s="13" t="inlineStr">
        <is>
          <t>Cultura Autorizada na Bula</t>
        </is>
      </c>
      <c r="H2106" s="13" t="inlineStr">
        <is>
          <t>100 a 300 L/ha</t>
        </is>
      </c>
      <c r="I2106" s="13" t="inlineStr">
        <is>
          <t>20 a 40 L/ha</t>
        </is>
      </c>
      <c r="J2106" s="13" t="inlineStr">
        <is>
          <t>15 dias</t>
        </is>
      </c>
    </row>
    <row r="2107" ht="22" customHeight="1">
      <c r="A2107" s="6" t="inlineStr">
        <is>
          <t>CUL-2103</t>
        </is>
      </c>
      <c r="B2107" s="5" t="n">
        <v>424</v>
      </c>
      <c r="C2107" s="7" t="inlineStr">
        <is>
          <t>Nº 31422</t>
        </is>
      </c>
      <c r="D2107" s="8" t="inlineStr">
        <is>
          <t>ZARPAL</t>
        </is>
      </c>
      <c r="E2107" s="7" t="inlineStr">
        <is>
          <t>Pulverização Agrícola Conforme Bula</t>
        </is>
      </c>
      <c r="F2107" s="7" t="inlineStr">
        <is>
          <t>Soja</t>
        </is>
      </c>
      <c r="G2107" s="7" t="inlineStr">
        <is>
          <t>Cultura Autorizada na Bula</t>
        </is>
      </c>
      <c r="H2107" s="7" t="inlineStr">
        <is>
          <t>100 a 300 L/ha</t>
        </is>
      </c>
      <c r="I2107" s="7" t="inlineStr">
        <is>
          <t>20 a 40 L/ha</t>
        </is>
      </c>
      <c r="J2107" s="7" t="inlineStr">
        <is>
          <t>30 dias</t>
        </is>
      </c>
    </row>
    <row r="2108" ht="22" customHeight="1">
      <c r="A2108" s="12" t="inlineStr">
        <is>
          <t>CUL-2104</t>
        </is>
      </c>
      <c r="B2108" s="11" t="n">
        <v>424</v>
      </c>
      <c r="C2108" s="13" t="inlineStr">
        <is>
          <t>Nº 31422</t>
        </is>
      </c>
      <c r="D2108" s="14" t="inlineStr">
        <is>
          <t>ZARPAL</t>
        </is>
      </c>
      <c r="E2108" s="13" t="inlineStr">
        <is>
          <t>Pulverização Agrícola Conforme Bula</t>
        </is>
      </c>
      <c r="F2108" s="13" t="inlineStr">
        <is>
          <t>Milho</t>
        </is>
      </c>
      <c r="G2108" s="13" t="inlineStr">
        <is>
          <t>Cultura Autorizada na Bula</t>
        </is>
      </c>
      <c r="H2108" s="13" t="inlineStr">
        <is>
          <t>100 a 300 L/ha</t>
        </is>
      </c>
      <c r="I2108" s="13" t="inlineStr">
        <is>
          <t>20 a 40 L/ha</t>
        </is>
      </c>
      <c r="J2108" s="13" t="inlineStr">
        <is>
          <t>30 dias</t>
        </is>
      </c>
    </row>
    <row r="2109" ht="22" customHeight="1">
      <c r="A2109" s="6" t="inlineStr">
        <is>
          <t>CUL-2105</t>
        </is>
      </c>
      <c r="B2109" s="5" t="n">
        <v>424</v>
      </c>
      <c r="C2109" s="7" t="inlineStr">
        <is>
          <t>Nº 31422</t>
        </is>
      </c>
      <c r="D2109" s="8" t="inlineStr">
        <is>
          <t>ZARPAL</t>
        </is>
      </c>
      <c r="E2109" s="7" t="inlineStr">
        <is>
          <t>Pulverização Agrícola Conforme Bula</t>
        </is>
      </c>
      <c r="F2109" s="7" t="inlineStr">
        <is>
          <t>Cana-de-açúcar</t>
        </is>
      </c>
      <c r="G2109" s="7" t="inlineStr">
        <is>
          <t>Cultura Autorizada na Bula</t>
        </is>
      </c>
      <c r="H2109" s="7" t="inlineStr">
        <is>
          <t>100 a 300 L/ha</t>
        </is>
      </c>
      <c r="I2109" s="7" t="inlineStr">
        <is>
          <t>20 a 40 L/ha</t>
        </is>
      </c>
      <c r="J2109" s="7" t="inlineStr">
        <is>
          <t>30 dias</t>
        </is>
      </c>
    </row>
    <row r="2110" ht="22" customHeight="1">
      <c r="A2110" s="12" t="inlineStr">
        <is>
          <t>CUL-2106</t>
        </is>
      </c>
      <c r="B2110" s="11" t="n">
        <v>424</v>
      </c>
      <c r="C2110" s="13" t="inlineStr">
        <is>
          <t>Nº 31422</t>
        </is>
      </c>
      <c r="D2110" s="14" t="inlineStr">
        <is>
          <t>ZARPAL</t>
        </is>
      </c>
      <c r="E2110" s="13" t="inlineStr">
        <is>
          <t>Pulverização Agrícola Conforme Bula</t>
        </is>
      </c>
      <c r="F2110" s="13" t="inlineStr">
        <is>
          <t>Café</t>
        </is>
      </c>
      <c r="G2110" s="13" t="inlineStr">
        <is>
          <t>Cultura Autorizada na Bula</t>
        </is>
      </c>
      <c r="H2110" s="13" t="inlineStr">
        <is>
          <t>100 a 300 L/ha</t>
        </is>
      </c>
      <c r="I2110" s="13" t="inlineStr">
        <is>
          <t>20 a 40 L/ha</t>
        </is>
      </c>
      <c r="J2110" s="13" t="inlineStr">
        <is>
          <t>30 dias</t>
        </is>
      </c>
    </row>
    <row r="2111" ht="22" customHeight="1">
      <c r="A2111" s="6" t="inlineStr">
        <is>
          <t>CUL-2107</t>
        </is>
      </c>
      <c r="B2111" s="5" t="n">
        <v>424</v>
      </c>
      <c r="C2111" s="7" t="inlineStr">
        <is>
          <t>Nº 31422</t>
        </is>
      </c>
      <c r="D2111" s="8" t="inlineStr">
        <is>
          <t>ZARPAL</t>
        </is>
      </c>
      <c r="E2111" s="7" t="inlineStr">
        <is>
          <t>Pulverização Agrícola Conforme Bula</t>
        </is>
      </c>
      <c r="F2111" s="7" t="inlineStr">
        <is>
          <t>Citros</t>
        </is>
      </c>
      <c r="G2111" s="7" t="inlineStr">
        <is>
          <t>Cultura Autorizada na Bula</t>
        </is>
      </c>
      <c r="H2111" s="7" t="inlineStr">
        <is>
          <t>100 a 300 L/ha</t>
        </is>
      </c>
      <c r="I2111" s="7" t="inlineStr">
        <is>
          <t>20 a 40 L/ha</t>
        </is>
      </c>
      <c r="J2111" s="7" t="inlineStr">
        <is>
          <t>7 dias</t>
        </is>
      </c>
    </row>
    <row r="2112" ht="22" customHeight="1">
      <c r="A2112" s="12" t="inlineStr">
        <is>
          <t>CUL-2108</t>
        </is>
      </c>
      <c r="B2112" s="11" t="n">
        <v>424</v>
      </c>
      <c r="C2112" s="13" t="inlineStr">
        <is>
          <t>Nº 31422</t>
        </is>
      </c>
      <c r="D2112" s="14" t="inlineStr">
        <is>
          <t>ZARPAL</t>
        </is>
      </c>
      <c r="E2112" s="13" t="inlineStr">
        <is>
          <t>Pulverização Agrícola Conforme Bula</t>
        </is>
      </c>
      <c r="F2112" s="13" t="inlineStr">
        <is>
          <t>Feijão</t>
        </is>
      </c>
      <c r="G2112" s="13" t="inlineStr">
        <is>
          <t>Cultura Autorizada na Bula</t>
        </is>
      </c>
      <c r="H2112" s="13" t="inlineStr">
        <is>
          <t>100 a 300 L/ha</t>
        </is>
      </c>
      <c r="I2112" s="13" t="inlineStr">
        <is>
          <t>20 a 40 L/ha</t>
        </is>
      </c>
      <c r="J2112" s="13" t="inlineStr">
        <is>
          <t>20 dias</t>
        </is>
      </c>
    </row>
    <row r="2113" ht="22" customHeight="1">
      <c r="A2113" s="6" t="inlineStr">
        <is>
          <t>CUL-2109</t>
        </is>
      </c>
      <c r="B2113" s="5" t="n">
        <v>424</v>
      </c>
      <c r="C2113" s="7" t="inlineStr">
        <is>
          <t>Nº 31422</t>
        </is>
      </c>
      <c r="D2113" s="8" t="inlineStr">
        <is>
          <t>ZARPAL</t>
        </is>
      </c>
      <c r="E2113" s="7" t="inlineStr">
        <is>
          <t>Pulverização Agrícola Conforme Bula</t>
        </is>
      </c>
      <c r="F2113" s="7" t="inlineStr">
        <is>
          <t>Trigo</t>
        </is>
      </c>
      <c r="G2113" s="7" t="inlineStr">
        <is>
          <t>Cultura Autorizada na Bula</t>
        </is>
      </c>
      <c r="H2113" s="7" t="inlineStr">
        <is>
          <t>100 a 300 L/ha</t>
        </is>
      </c>
      <c r="I2113" s="7" t="inlineStr">
        <is>
          <t>20 a 40 L/ha</t>
        </is>
      </c>
      <c r="J2113" s="7" t="inlineStr">
        <is>
          <t>30 dias</t>
        </is>
      </c>
    </row>
    <row r="2114" ht="22" customHeight="1">
      <c r="A2114" s="12" t="inlineStr">
        <is>
          <t>CUL-2110</t>
        </is>
      </c>
      <c r="B2114" s="11" t="n">
        <v>425</v>
      </c>
      <c r="C2114" s="13" t="inlineStr">
        <is>
          <t>Nº 3307</t>
        </is>
      </c>
      <c r="D2114" s="14" t="inlineStr">
        <is>
          <t>BIFENTRINA 400 EC</t>
        </is>
      </c>
      <c r="E2114" s="13" t="inlineStr">
        <is>
          <t>Pulverização Agrícola Conforme Bula</t>
        </is>
      </c>
      <c r="F2114" s="13" t="inlineStr">
        <is>
          <t>Algodão</t>
        </is>
      </c>
      <c r="G2114" s="13" t="inlineStr">
        <is>
          <t>Cultura Autorizada na Bula</t>
        </is>
      </c>
      <c r="H2114" s="13" t="inlineStr">
        <is>
          <t>100 a 300 L/ha</t>
        </is>
      </c>
      <c r="I2114" s="13" t="inlineStr">
        <is>
          <t>20 a 40 L/ha</t>
        </is>
      </c>
      <c r="J2114" s="13" t="inlineStr">
        <is>
          <t>15 dias</t>
        </is>
      </c>
    </row>
    <row r="2115" ht="22" customHeight="1">
      <c r="A2115" s="6" t="inlineStr">
        <is>
          <t>CUL-2111</t>
        </is>
      </c>
      <c r="B2115" s="5" t="n">
        <v>425</v>
      </c>
      <c r="C2115" s="7" t="inlineStr">
        <is>
          <t>Nº 3307</t>
        </is>
      </c>
      <c r="D2115" s="8" t="inlineStr">
        <is>
          <t>BIFENTRINA 400 EC</t>
        </is>
      </c>
      <c r="E2115" s="7" t="inlineStr">
        <is>
          <t>Pulverização Agrícola Conforme Bula</t>
        </is>
      </c>
      <c r="F2115" s="7" t="inlineStr">
        <is>
          <t>Soja</t>
        </is>
      </c>
      <c r="G2115" s="7" t="inlineStr">
        <is>
          <t>Cultura Autorizada na Bula</t>
        </is>
      </c>
      <c r="H2115" s="7" t="inlineStr">
        <is>
          <t>100 a 300 L/ha</t>
        </is>
      </c>
      <c r="I2115" s="7" t="inlineStr">
        <is>
          <t>20 a 40 L/ha</t>
        </is>
      </c>
      <c r="J2115" s="7" t="inlineStr">
        <is>
          <t>30 dias</t>
        </is>
      </c>
    </row>
    <row r="2116" ht="22" customHeight="1">
      <c r="A2116" s="12" t="inlineStr">
        <is>
          <t>CUL-2112</t>
        </is>
      </c>
      <c r="B2116" s="11" t="n">
        <v>425</v>
      </c>
      <c r="C2116" s="13" t="inlineStr">
        <is>
          <t>Nº 3307</t>
        </is>
      </c>
      <c r="D2116" s="14" t="inlineStr">
        <is>
          <t>BIFENTRINA 400 EC</t>
        </is>
      </c>
      <c r="E2116" s="13" t="inlineStr">
        <is>
          <t>Pulverização Agrícola Conforme Bula</t>
        </is>
      </c>
      <c r="F2116" s="13" t="inlineStr">
        <is>
          <t>Milho</t>
        </is>
      </c>
      <c r="G2116" s="13" t="inlineStr">
        <is>
          <t>Cultura Autorizada na Bula</t>
        </is>
      </c>
      <c r="H2116" s="13" t="inlineStr">
        <is>
          <t>100 a 300 L/ha</t>
        </is>
      </c>
      <c r="I2116" s="13" t="inlineStr">
        <is>
          <t>20 a 40 L/ha</t>
        </is>
      </c>
      <c r="J2116" s="13" t="inlineStr">
        <is>
          <t>30 dias</t>
        </is>
      </c>
    </row>
    <row r="2117" ht="22" customHeight="1">
      <c r="A2117" s="6" t="inlineStr">
        <is>
          <t>CUL-2113</t>
        </is>
      </c>
      <c r="B2117" s="5" t="n">
        <v>425</v>
      </c>
      <c r="C2117" s="7" t="inlineStr">
        <is>
          <t>Nº 3307</t>
        </is>
      </c>
      <c r="D2117" s="8" t="inlineStr">
        <is>
          <t>BIFENTRINA 400 EC</t>
        </is>
      </c>
      <c r="E2117" s="7" t="inlineStr">
        <is>
          <t>Pulverização Agrícola Conforme Bula</t>
        </is>
      </c>
      <c r="F2117" s="7" t="inlineStr">
        <is>
          <t>Cana-de-açúcar</t>
        </is>
      </c>
      <c r="G2117" s="7" t="inlineStr">
        <is>
          <t>Cultura Autorizada na Bula</t>
        </is>
      </c>
      <c r="H2117" s="7" t="inlineStr">
        <is>
          <t>100 a 300 L/ha</t>
        </is>
      </c>
      <c r="I2117" s="7" t="inlineStr">
        <is>
          <t>20 a 40 L/ha</t>
        </is>
      </c>
      <c r="J2117" s="7" t="inlineStr">
        <is>
          <t>30 dias</t>
        </is>
      </c>
    </row>
    <row r="2118" ht="22" customHeight="1">
      <c r="A2118" s="12" t="inlineStr">
        <is>
          <t>CUL-2114</t>
        </is>
      </c>
      <c r="B2118" s="11" t="n">
        <v>425</v>
      </c>
      <c r="C2118" s="13" t="inlineStr">
        <is>
          <t>Nº 3307</t>
        </is>
      </c>
      <c r="D2118" s="14" t="inlineStr">
        <is>
          <t>BIFENTRINA 400 EC</t>
        </is>
      </c>
      <c r="E2118" s="13" t="inlineStr">
        <is>
          <t>Pulverização Agrícola Conforme Bula</t>
        </is>
      </c>
      <c r="F2118" s="13" t="inlineStr">
        <is>
          <t>Café</t>
        </is>
      </c>
      <c r="G2118" s="13" t="inlineStr">
        <is>
          <t>Cultura Autorizada na Bula</t>
        </is>
      </c>
      <c r="H2118" s="13" t="inlineStr">
        <is>
          <t>100 a 300 L/ha</t>
        </is>
      </c>
      <c r="I2118" s="13" t="inlineStr">
        <is>
          <t>20 a 40 L/ha</t>
        </is>
      </c>
      <c r="J2118" s="13" t="inlineStr">
        <is>
          <t>30 dias</t>
        </is>
      </c>
    </row>
    <row r="2119" ht="22" customHeight="1">
      <c r="A2119" s="6" t="inlineStr">
        <is>
          <t>CUL-2115</t>
        </is>
      </c>
      <c r="B2119" s="5" t="n">
        <v>425</v>
      </c>
      <c r="C2119" s="7" t="inlineStr">
        <is>
          <t>Nº 3307</t>
        </is>
      </c>
      <c r="D2119" s="8" t="inlineStr">
        <is>
          <t>BIFENTRINA 400 EC</t>
        </is>
      </c>
      <c r="E2119" s="7" t="inlineStr">
        <is>
          <t>Pulverização Agrícola Conforme Bula</t>
        </is>
      </c>
      <c r="F2119" s="7" t="inlineStr">
        <is>
          <t>Citros</t>
        </is>
      </c>
      <c r="G2119" s="7" t="inlineStr">
        <is>
          <t>Cultura Autorizada na Bula</t>
        </is>
      </c>
      <c r="H2119" s="7" t="inlineStr">
        <is>
          <t>100 a 300 L/ha</t>
        </is>
      </c>
      <c r="I2119" s="7" t="inlineStr">
        <is>
          <t>20 a 40 L/ha</t>
        </is>
      </c>
      <c r="J2119" s="7" t="inlineStr">
        <is>
          <t>7 dias</t>
        </is>
      </c>
    </row>
    <row r="2120" ht="22" customHeight="1">
      <c r="A2120" s="12" t="inlineStr">
        <is>
          <t>CUL-2116</t>
        </is>
      </c>
      <c r="B2120" s="11" t="n">
        <v>425</v>
      </c>
      <c r="C2120" s="13" t="inlineStr">
        <is>
          <t>Nº 3307</t>
        </is>
      </c>
      <c r="D2120" s="14" t="inlineStr">
        <is>
          <t>BIFENTRINA 400 EC</t>
        </is>
      </c>
      <c r="E2120" s="13" t="inlineStr">
        <is>
          <t>Pulverização Agrícola Conforme Bula</t>
        </is>
      </c>
      <c r="F2120" s="13" t="inlineStr">
        <is>
          <t>Feijão</t>
        </is>
      </c>
      <c r="G2120" s="13" t="inlineStr">
        <is>
          <t>Cultura Autorizada na Bula</t>
        </is>
      </c>
      <c r="H2120" s="13" t="inlineStr">
        <is>
          <t>100 a 300 L/ha</t>
        </is>
      </c>
      <c r="I2120" s="13" t="inlineStr">
        <is>
          <t>20 a 40 L/ha</t>
        </is>
      </c>
      <c r="J2120" s="13" t="inlineStr">
        <is>
          <t>20 dias</t>
        </is>
      </c>
    </row>
    <row r="2121" ht="22" customHeight="1">
      <c r="A2121" s="6" t="inlineStr">
        <is>
          <t>CUL-2117</t>
        </is>
      </c>
      <c r="B2121" s="5" t="n">
        <v>425</v>
      </c>
      <c r="C2121" s="7" t="inlineStr">
        <is>
          <t>Nº 3307</t>
        </is>
      </c>
      <c r="D2121" s="8" t="inlineStr">
        <is>
          <t>BIFENTRINA 400 EC</t>
        </is>
      </c>
      <c r="E2121" s="7" t="inlineStr">
        <is>
          <t>Pulverização Agrícola Conforme Bula</t>
        </is>
      </c>
      <c r="F2121" s="7" t="inlineStr">
        <is>
          <t>Trigo</t>
        </is>
      </c>
      <c r="G2121" s="7" t="inlineStr">
        <is>
          <t>Cultura Autorizada na Bula</t>
        </is>
      </c>
      <c r="H2121" s="7" t="inlineStr">
        <is>
          <t>100 a 300 L/ha</t>
        </is>
      </c>
      <c r="I2121" s="7" t="inlineStr">
        <is>
          <t>20 a 40 L/ha</t>
        </is>
      </c>
      <c r="J2121" s="7" t="inlineStr">
        <is>
          <t>30 dias</t>
        </is>
      </c>
    </row>
    <row r="2122" ht="22" customHeight="1">
      <c r="A2122" s="12" t="inlineStr">
        <is>
          <t>CUL-2118</t>
        </is>
      </c>
      <c r="B2122" s="11" t="n">
        <v>426</v>
      </c>
      <c r="C2122" s="13" t="inlineStr">
        <is>
          <t>Nº 36822</t>
        </is>
      </c>
      <c r="D2122" s="14" t="inlineStr">
        <is>
          <t>CLORPIRIFOS 48 EC AGCN</t>
        </is>
      </c>
      <c r="E2122" s="13" t="inlineStr">
        <is>
          <t>Pulverização Agrícola Conforme Bula</t>
        </is>
      </c>
      <c r="F2122" s="13" t="inlineStr">
        <is>
          <t>Soja</t>
        </is>
      </c>
      <c r="G2122" s="13" t="inlineStr">
        <is>
          <t>Cultura Autorizada na Bula</t>
        </is>
      </c>
      <c r="H2122" s="13" t="inlineStr">
        <is>
          <t>100 a 300 L/ha</t>
        </is>
      </c>
      <c r="I2122" s="13" t="inlineStr">
        <is>
          <t>20 a 40 L/ha</t>
        </is>
      </c>
      <c r="J2122" s="13" t="inlineStr">
        <is>
          <t>21 dias</t>
        </is>
      </c>
    </row>
    <row r="2123" ht="22" customHeight="1">
      <c r="A2123" s="6" t="inlineStr">
        <is>
          <t>CUL-2119</t>
        </is>
      </c>
      <c r="B2123" s="5" t="n">
        <v>426</v>
      </c>
      <c r="C2123" s="7" t="inlineStr">
        <is>
          <t>Nº 36822</t>
        </is>
      </c>
      <c r="D2123" s="8" t="inlineStr">
        <is>
          <t>CLORPIRIFOS 48 EC AGCN</t>
        </is>
      </c>
      <c r="E2123" s="7" t="inlineStr">
        <is>
          <t>Pulverização Agrícola Conforme Bula</t>
        </is>
      </c>
      <c r="F2123" s="7" t="inlineStr">
        <is>
          <t>Milho</t>
        </is>
      </c>
      <c r="G2123" s="7" t="inlineStr">
        <is>
          <t>Cultura Autorizada na Bula</t>
        </is>
      </c>
      <c r="H2123" s="7" t="inlineStr">
        <is>
          <t>100 a 300 L/ha</t>
        </is>
      </c>
      <c r="I2123" s="7" t="inlineStr">
        <is>
          <t>20 a 40 L/ha</t>
        </is>
      </c>
      <c r="J2123" s="7" t="inlineStr">
        <is>
          <t>21 dias</t>
        </is>
      </c>
    </row>
    <row r="2124" ht="22" customHeight="1">
      <c r="A2124" s="12" t="inlineStr">
        <is>
          <t>CUL-2120</t>
        </is>
      </c>
      <c r="B2124" s="11" t="n">
        <v>426</v>
      </c>
      <c r="C2124" s="13" t="inlineStr">
        <is>
          <t>Nº 36822</t>
        </is>
      </c>
      <c r="D2124" s="14" t="inlineStr">
        <is>
          <t>CLORPIRIFOS 48 EC AGCN</t>
        </is>
      </c>
      <c r="E2124" s="13" t="inlineStr">
        <is>
          <t>Pulverização Agrícola Conforme Bula</t>
        </is>
      </c>
      <c r="F2124" s="13" t="inlineStr">
        <is>
          <t>Algodão</t>
        </is>
      </c>
      <c r="G2124" s="13" t="inlineStr">
        <is>
          <t>Cultura Autorizada na Bula</t>
        </is>
      </c>
      <c r="H2124" s="13" t="inlineStr">
        <is>
          <t>100 a 300 L/ha</t>
        </is>
      </c>
      <c r="I2124" s="13" t="inlineStr">
        <is>
          <t>20 a 40 L/ha</t>
        </is>
      </c>
      <c r="J2124" s="13" t="inlineStr">
        <is>
          <t>21 dias</t>
        </is>
      </c>
    </row>
    <row r="2125" ht="22" customHeight="1">
      <c r="A2125" s="6" t="inlineStr">
        <is>
          <t>CUL-2121</t>
        </is>
      </c>
      <c r="B2125" s="5" t="n">
        <v>426</v>
      </c>
      <c r="C2125" s="7" t="inlineStr">
        <is>
          <t>Nº 36822</t>
        </is>
      </c>
      <c r="D2125" s="8" t="inlineStr">
        <is>
          <t>CLORPIRIFOS 48 EC AGCN</t>
        </is>
      </c>
      <c r="E2125" s="7" t="inlineStr">
        <is>
          <t>Pulverização Agrícola Conforme Bula</t>
        </is>
      </c>
      <c r="F2125" s="7" t="inlineStr">
        <is>
          <t>Café</t>
        </is>
      </c>
      <c r="G2125" s="7" t="inlineStr">
        <is>
          <t>Cultura Autorizada na Bula</t>
        </is>
      </c>
      <c r="H2125" s="7" t="inlineStr">
        <is>
          <t>100 a 300 L/ha</t>
        </is>
      </c>
      <c r="I2125" s="7" t="inlineStr">
        <is>
          <t>20 a 40 L/ha</t>
        </is>
      </c>
      <c r="J2125" s="7" t="inlineStr">
        <is>
          <t>21 dias</t>
        </is>
      </c>
    </row>
    <row r="2126" ht="22" customHeight="1">
      <c r="A2126" s="12" t="inlineStr">
        <is>
          <t>CUL-2122</t>
        </is>
      </c>
      <c r="B2126" s="11" t="n">
        <v>426</v>
      </c>
      <c r="C2126" s="13" t="inlineStr">
        <is>
          <t>Nº 36822</t>
        </is>
      </c>
      <c r="D2126" s="14" t="inlineStr">
        <is>
          <t>CLORPIRIFOS 48 EC AGCN</t>
        </is>
      </c>
      <c r="E2126" s="13" t="inlineStr">
        <is>
          <t>Pulverização Agrícola Conforme Bula</t>
        </is>
      </c>
      <c r="F2126" s="13" t="inlineStr">
        <is>
          <t>Citros</t>
        </is>
      </c>
      <c r="G2126" s="13" t="inlineStr">
        <is>
          <t>Cultura Autorizada na Bula</t>
        </is>
      </c>
      <c r="H2126" s="13" t="inlineStr">
        <is>
          <t>100 a 300 L/ha</t>
        </is>
      </c>
      <c r="I2126" s="13" t="inlineStr">
        <is>
          <t>20 a 40 L/ha</t>
        </is>
      </c>
      <c r="J2126" s="13" t="inlineStr">
        <is>
          <t>21 dias</t>
        </is>
      </c>
    </row>
    <row r="2127" ht="22" customHeight="1">
      <c r="A2127" s="6" t="inlineStr">
        <is>
          <t>CUL-2123</t>
        </is>
      </c>
      <c r="B2127" s="5" t="n">
        <v>426</v>
      </c>
      <c r="C2127" s="7" t="inlineStr">
        <is>
          <t>Nº 36822</t>
        </is>
      </c>
      <c r="D2127" s="8" t="inlineStr">
        <is>
          <t>CLORPIRIFOS 48 EC AGCN</t>
        </is>
      </c>
      <c r="E2127" s="7" t="inlineStr">
        <is>
          <t>Pulverização Agrícola Conforme Bula</t>
        </is>
      </c>
      <c r="F2127" s="7" t="inlineStr">
        <is>
          <t>Feijão</t>
        </is>
      </c>
      <c r="G2127" s="7" t="inlineStr">
        <is>
          <t>Cultura Autorizada na Bula</t>
        </is>
      </c>
      <c r="H2127" s="7" t="inlineStr">
        <is>
          <t>100 a 300 L/ha</t>
        </is>
      </c>
      <c r="I2127" s="7" t="inlineStr">
        <is>
          <t>20 a 40 L/ha</t>
        </is>
      </c>
      <c r="J2127" s="7" t="inlineStr">
        <is>
          <t>25 dias</t>
        </is>
      </c>
    </row>
    <row r="2128" ht="22" customHeight="1">
      <c r="A2128" s="12" t="inlineStr">
        <is>
          <t>CUL-2124</t>
        </is>
      </c>
      <c r="B2128" s="11" t="n">
        <v>426</v>
      </c>
      <c r="C2128" s="13" t="inlineStr">
        <is>
          <t>Nº 36822</t>
        </is>
      </c>
      <c r="D2128" s="14" t="inlineStr">
        <is>
          <t>CLORPIRIFOS 48 EC AGCN</t>
        </is>
      </c>
      <c r="E2128" s="13" t="inlineStr">
        <is>
          <t>Pulverização Agrícola Conforme Bula</t>
        </is>
      </c>
      <c r="F2128" s="13" t="inlineStr">
        <is>
          <t>Batata</t>
        </is>
      </c>
      <c r="G2128" s="13" t="inlineStr">
        <is>
          <t>Cultura Autorizada na Bula</t>
        </is>
      </c>
      <c r="H2128" s="13" t="inlineStr">
        <is>
          <t>100 a 300 L/ha</t>
        </is>
      </c>
      <c r="I2128" s="13" t="inlineStr">
        <is>
          <t>20 a 40 L/ha</t>
        </is>
      </c>
      <c r="J2128" s="13" t="inlineStr">
        <is>
          <t>21 dias</t>
        </is>
      </c>
    </row>
    <row r="2129" ht="22" customHeight="1">
      <c r="A2129" s="6" t="inlineStr">
        <is>
          <t>CUL-2125</t>
        </is>
      </c>
      <c r="B2129" s="5" t="n">
        <v>426</v>
      </c>
      <c r="C2129" s="7" t="inlineStr">
        <is>
          <t>Nº 36822</t>
        </is>
      </c>
      <c r="D2129" s="8" t="inlineStr">
        <is>
          <t>CLORPIRIFOS 48 EC AGCN</t>
        </is>
      </c>
      <c r="E2129" s="7" t="inlineStr">
        <is>
          <t>Pulverização Agrícola Conforme Bula</t>
        </is>
      </c>
      <c r="F2129" s="7" t="inlineStr">
        <is>
          <t>Tomate</t>
        </is>
      </c>
      <c r="G2129" s="7" t="inlineStr">
        <is>
          <t>Cultura Autorizada na Bula</t>
        </is>
      </c>
      <c r="H2129" s="7" t="inlineStr">
        <is>
          <t>100 a 300 L/ha</t>
        </is>
      </c>
      <c r="I2129" s="7" t="inlineStr">
        <is>
          <t>20 a 40 L/ha</t>
        </is>
      </c>
      <c r="J2129" s="7" t="inlineStr">
        <is>
          <t>21 dias</t>
        </is>
      </c>
    </row>
    <row r="2130" ht="22" customHeight="1">
      <c r="A2130" s="12" t="inlineStr">
        <is>
          <t>CUL-2126</t>
        </is>
      </c>
      <c r="B2130" s="11" t="n">
        <v>426</v>
      </c>
      <c r="C2130" s="13" t="inlineStr">
        <is>
          <t>Nº 36822</t>
        </is>
      </c>
      <c r="D2130" s="14" t="inlineStr">
        <is>
          <t>CLORPIRIFOS 48 EC AGCN</t>
        </is>
      </c>
      <c r="E2130" s="13" t="inlineStr">
        <is>
          <t>Pulverização Agrícola Conforme Bula</t>
        </is>
      </c>
      <c r="F2130" s="13" t="inlineStr">
        <is>
          <t>Trigo</t>
        </is>
      </c>
      <c r="G2130" s="13" t="inlineStr">
        <is>
          <t>Cultura Autorizada na Bula</t>
        </is>
      </c>
      <c r="H2130" s="13" t="inlineStr">
        <is>
          <t>100 a 300 L/ha</t>
        </is>
      </c>
      <c r="I2130" s="13" t="inlineStr">
        <is>
          <t>20 a 40 L/ha</t>
        </is>
      </c>
      <c r="J2130" s="13" t="inlineStr">
        <is>
          <t>21 dias</t>
        </is>
      </c>
    </row>
    <row r="2131" ht="22" customHeight="1">
      <c r="A2131" s="6" t="inlineStr">
        <is>
          <t>CUL-2127</t>
        </is>
      </c>
      <c r="B2131" s="5" t="n">
        <v>427</v>
      </c>
      <c r="C2131" s="7" t="inlineStr">
        <is>
          <t>Nº 27717</t>
        </is>
      </c>
      <c r="D2131" s="8" t="inlineStr">
        <is>
          <t>FIPRONIL 800 WG AGCN</t>
        </is>
      </c>
      <c r="E2131" s="7" t="inlineStr">
        <is>
          <t>Pulverização Agrícola Conforme Bula</t>
        </is>
      </c>
      <c r="F2131" s="7" t="inlineStr">
        <is>
          <t>Soja (Trat. Sementes / Sulco)</t>
        </is>
      </c>
      <c r="G2131" s="7" t="inlineStr">
        <is>
          <t>Cultura Autorizada na Bula</t>
        </is>
      </c>
      <c r="H2131" s="7" t="inlineStr">
        <is>
          <t>100 a 300 L/ha</t>
        </is>
      </c>
      <c r="I2131" s="7" t="inlineStr">
        <is>
          <t>20 a 40 L/ha</t>
        </is>
      </c>
      <c r="J2131" s="7" t="inlineStr">
        <is>
          <t>N/D</t>
        </is>
      </c>
    </row>
    <row r="2132" ht="22" customHeight="1">
      <c r="A2132" s="12" t="inlineStr">
        <is>
          <t>CUL-2128</t>
        </is>
      </c>
      <c r="B2132" s="11" t="n">
        <v>427</v>
      </c>
      <c r="C2132" s="13" t="inlineStr">
        <is>
          <t>Nº 27717</t>
        </is>
      </c>
      <c r="D2132" s="14" t="inlineStr">
        <is>
          <t>FIPRONIL 800 WG AGCN</t>
        </is>
      </c>
      <c r="E2132" s="13" t="inlineStr">
        <is>
          <t>Pulverização Agrícola Conforme Bula</t>
        </is>
      </c>
      <c r="F2132" s="13" t="inlineStr">
        <is>
          <t>Milho (Trat. Sementes)</t>
        </is>
      </c>
      <c r="G2132" s="13" t="inlineStr">
        <is>
          <t>Cultura Autorizada na Bula</t>
        </is>
      </c>
      <c r="H2132" s="13" t="inlineStr">
        <is>
          <t>100 a 300 L/ha</t>
        </is>
      </c>
      <c r="I2132" s="13" t="inlineStr">
        <is>
          <t>20 a 40 L/ha</t>
        </is>
      </c>
      <c r="J2132" s="13" t="inlineStr">
        <is>
          <t>N/D</t>
        </is>
      </c>
    </row>
    <row r="2133" ht="22" customHeight="1">
      <c r="A2133" s="6" t="inlineStr">
        <is>
          <t>CUL-2129</t>
        </is>
      </c>
      <c r="B2133" s="5" t="n">
        <v>427</v>
      </c>
      <c r="C2133" s="7" t="inlineStr">
        <is>
          <t>Nº 27717</t>
        </is>
      </c>
      <c r="D2133" s="8" t="inlineStr">
        <is>
          <t>FIPRONIL 800 WG AGCN</t>
        </is>
      </c>
      <c r="E2133" s="7" t="inlineStr">
        <is>
          <t>Pulverização Agrícola Conforme Bula</t>
        </is>
      </c>
      <c r="F2133" s="7" t="inlineStr">
        <is>
          <t>Algodão</t>
        </is>
      </c>
      <c r="G2133" s="7" t="inlineStr">
        <is>
          <t>Cultura Autorizada na Bula</t>
        </is>
      </c>
      <c r="H2133" s="7" t="inlineStr">
        <is>
          <t>100 a 300 L/ha</t>
        </is>
      </c>
      <c r="I2133" s="7" t="inlineStr">
        <is>
          <t>20 a 40 L/ha</t>
        </is>
      </c>
      <c r="J2133" s="7" t="inlineStr">
        <is>
          <t>N/D</t>
        </is>
      </c>
    </row>
    <row r="2134" ht="22" customHeight="1">
      <c r="A2134" s="12" t="inlineStr">
        <is>
          <t>CUL-2130</t>
        </is>
      </c>
      <c r="B2134" s="11" t="n">
        <v>427</v>
      </c>
      <c r="C2134" s="13" t="inlineStr">
        <is>
          <t>Nº 27717</t>
        </is>
      </c>
      <c r="D2134" s="14" t="inlineStr">
        <is>
          <t>FIPRONIL 800 WG AGCN</t>
        </is>
      </c>
      <c r="E2134" s="13" t="inlineStr">
        <is>
          <t>Pulverização Agrícola Conforme Bula</t>
        </is>
      </c>
      <c r="F2134" s="13" t="inlineStr">
        <is>
          <t>Cana-de-açúcar (Sulco)</t>
        </is>
      </c>
      <c r="G2134" s="13" t="inlineStr">
        <is>
          <t>Cultura Autorizada na Bula</t>
        </is>
      </c>
      <c r="H2134" s="13" t="inlineStr">
        <is>
          <t>100 a 300 L/ha</t>
        </is>
      </c>
      <c r="I2134" s="13" t="inlineStr">
        <is>
          <t>20 a 40 L/ha</t>
        </is>
      </c>
      <c r="J2134" s="13" t="inlineStr">
        <is>
          <t>N/D</t>
        </is>
      </c>
    </row>
    <row r="2135" ht="22" customHeight="1">
      <c r="A2135" s="6" t="inlineStr">
        <is>
          <t>CUL-2131</t>
        </is>
      </c>
      <c r="B2135" s="5" t="n">
        <v>427</v>
      </c>
      <c r="C2135" s="7" t="inlineStr">
        <is>
          <t>Nº 27717</t>
        </is>
      </c>
      <c r="D2135" s="8" t="inlineStr">
        <is>
          <t>FIPRONIL 800 WG AGCN</t>
        </is>
      </c>
      <c r="E2135" s="7" t="inlineStr">
        <is>
          <t>Pulverização Agrícola Conforme Bula</t>
        </is>
      </c>
      <c r="F2135" s="7" t="inlineStr">
        <is>
          <t>Arroz</t>
        </is>
      </c>
      <c r="G2135" s="7" t="inlineStr">
        <is>
          <t>Cultura Autorizada na Bula</t>
        </is>
      </c>
      <c r="H2135" s="7" t="inlineStr">
        <is>
          <t>100 a 300 L/ha</t>
        </is>
      </c>
      <c r="I2135" s="7" t="inlineStr">
        <is>
          <t>20 a 40 L/ha</t>
        </is>
      </c>
      <c r="J2135" s="7" t="inlineStr">
        <is>
          <t>N/D</t>
        </is>
      </c>
    </row>
    <row r="2136" ht="22" customHeight="1">
      <c r="A2136" s="12" t="inlineStr">
        <is>
          <t>CUL-2132</t>
        </is>
      </c>
      <c r="B2136" s="11" t="n">
        <v>427</v>
      </c>
      <c r="C2136" s="13" t="inlineStr">
        <is>
          <t>Nº 27717</t>
        </is>
      </c>
      <c r="D2136" s="14" t="inlineStr">
        <is>
          <t>FIPRONIL 800 WG AGCN</t>
        </is>
      </c>
      <c r="E2136" s="13" t="inlineStr">
        <is>
          <t>Pulverização Agrícola Conforme Bula</t>
        </is>
      </c>
      <c r="F2136" s="13" t="inlineStr">
        <is>
          <t>Feijão</t>
        </is>
      </c>
      <c r="G2136" s="13" t="inlineStr">
        <is>
          <t>Cultura Autorizada na Bula</t>
        </is>
      </c>
      <c r="H2136" s="13" t="inlineStr">
        <is>
          <t>100 a 300 L/ha</t>
        </is>
      </c>
      <c r="I2136" s="13" t="inlineStr">
        <is>
          <t>20 a 40 L/ha</t>
        </is>
      </c>
      <c r="J2136" s="13" t="inlineStr">
        <is>
          <t>N/D</t>
        </is>
      </c>
    </row>
    <row r="2137" ht="22" customHeight="1">
      <c r="A2137" s="6" t="inlineStr">
        <is>
          <t>CUL-2133</t>
        </is>
      </c>
      <c r="B2137" s="5" t="n">
        <v>427</v>
      </c>
      <c r="C2137" s="7" t="inlineStr">
        <is>
          <t>Nº 27717</t>
        </is>
      </c>
      <c r="D2137" s="8" t="inlineStr">
        <is>
          <t>FIPRONIL 800 WG AGCN</t>
        </is>
      </c>
      <c r="E2137" s="7" t="inlineStr">
        <is>
          <t>Pulverização Agrícola Conforme Bula</t>
        </is>
      </c>
      <c r="F2137" s="7" t="inlineStr">
        <is>
          <t>Pastagens</t>
        </is>
      </c>
      <c r="G2137" s="7" t="inlineStr">
        <is>
          <t>Cultura Autorizada na Bula</t>
        </is>
      </c>
      <c r="H2137" s="7" t="inlineStr">
        <is>
          <t>100 a 300 L/ha</t>
        </is>
      </c>
      <c r="I2137" s="7" t="inlineStr">
        <is>
          <t>20 a 40 L/ha</t>
        </is>
      </c>
      <c r="J2137" s="7" t="inlineStr">
        <is>
          <t>N/D</t>
        </is>
      </c>
    </row>
    <row r="2138" ht="22" customHeight="1">
      <c r="A2138" s="12" t="inlineStr">
        <is>
          <t>CUL-2134</t>
        </is>
      </c>
      <c r="B2138" s="11" t="n">
        <v>427</v>
      </c>
      <c r="C2138" s="13" t="inlineStr">
        <is>
          <t>Nº 27717</t>
        </is>
      </c>
      <c r="D2138" s="14" t="inlineStr">
        <is>
          <t>FIPRONIL 800 WG AGCN</t>
        </is>
      </c>
      <c r="E2138" s="13" t="inlineStr">
        <is>
          <t>Pulverização Agrícola Conforme Bula</t>
        </is>
      </c>
      <c r="F2138" s="13" t="inlineStr">
        <is>
          <t>Trigo</t>
        </is>
      </c>
      <c r="G2138" s="13" t="inlineStr">
        <is>
          <t>Cultura Autorizada na Bula</t>
        </is>
      </c>
      <c r="H2138" s="13" t="inlineStr">
        <is>
          <t>100 a 300 L/ha</t>
        </is>
      </c>
      <c r="I2138" s="13" t="inlineStr">
        <is>
          <t>20 a 40 L/ha</t>
        </is>
      </c>
      <c r="J2138" s="13" t="inlineStr">
        <is>
          <t>N/D</t>
        </is>
      </c>
    </row>
    <row r="2139" ht="22" customHeight="1">
      <c r="A2139" s="6" t="inlineStr">
        <is>
          <t>CUL-2135</t>
        </is>
      </c>
      <c r="B2139" s="5" t="n">
        <v>428</v>
      </c>
      <c r="C2139" s="7" t="inlineStr">
        <is>
          <t>Nº 24824</t>
        </is>
      </c>
      <c r="D2139" s="8" t="inlineStr">
        <is>
          <t>CARFENTRAZONE 400 EC</t>
        </is>
      </c>
      <c r="E2139" s="7" t="inlineStr">
        <is>
          <t>Pulverização Agrícola Conforme Bula</t>
        </is>
      </c>
      <c r="F2139" s="7" t="inlineStr">
        <is>
          <t>Soja (Dessecação)</t>
        </is>
      </c>
      <c r="G2139" s="7" t="inlineStr">
        <is>
          <t>Cultura Autorizada na Bula</t>
        </is>
      </c>
      <c r="H2139" s="7" t="inlineStr">
        <is>
          <t>100 a 300 L/ha</t>
        </is>
      </c>
      <c r="I2139" s="7" t="inlineStr">
        <is>
          <t>20 a 40 L/ha</t>
        </is>
      </c>
      <c r="J2139" s="7" t="inlineStr">
        <is>
          <t>N/D</t>
        </is>
      </c>
    </row>
    <row r="2140" ht="22" customHeight="1">
      <c r="A2140" s="12" t="inlineStr">
        <is>
          <t>CUL-2136</t>
        </is>
      </c>
      <c r="B2140" s="11" t="n">
        <v>428</v>
      </c>
      <c r="C2140" s="13" t="inlineStr">
        <is>
          <t>Nº 24824</t>
        </is>
      </c>
      <c r="D2140" s="14" t="inlineStr">
        <is>
          <t>CARFENTRAZONE 400 EC</t>
        </is>
      </c>
      <c r="E2140" s="13" t="inlineStr">
        <is>
          <t>Pulverização Agrícola Conforme Bula</t>
        </is>
      </c>
      <c r="F2140" s="13" t="inlineStr">
        <is>
          <t>Milho</t>
        </is>
      </c>
      <c r="G2140" s="13" t="inlineStr">
        <is>
          <t>Cultura Autorizada na Bula</t>
        </is>
      </c>
      <c r="H2140" s="13" t="inlineStr">
        <is>
          <t>100 a 300 L/ha</t>
        </is>
      </c>
      <c r="I2140" s="13" t="inlineStr">
        <is>
          <t>20 a 40 L/ha</t>
        </is>
      </c>
      <c r="J2140" s="13" t="inlineStr">
        <is>
          <t>45 dias</t>
        </is>
      </c>
    </row>
    <row r="2141" ht="22" customHeight="1">
      <c r="A2141" s="6" t="inlineStr">
        <is>
          <t>CUL-2137</t>
        </is>
      </c>
      <c r="B2141" s="5" t="n">
        <v>428</v>
      </c>
      <c r="C2141" s="7" t="inlineStr">
        <is>
          <t>Nº 24824</t>
        </is>
      </c>
      <c r="D2141" s="8" t="inlineStr">
        <is>
          <t>CARFENTRAZONE 400 EC</t>
        </is>
      </c>
      <c r="E2141" s="7" t="inlineStr">
        <is>
          <t>Pulverização Agrícola Conforme Bula</t>
        </is>
      </c>
      <c r="F2141" s="7" t="inlineStr">
        <is>
          <t>Algodão (Desfolha / Jato Dirigido)</t>
        </is>
      </c>
      <c r="G2141" s="7" t="inlineStr">
        <is>
          <t>Cultura Autorizada na Bula</t>
        </is>
      </c>
      <c r="H2141" s="7" t="inlineStr">
        <is>
          <t>100 a 300 L/ha</t>
        </is>
      </c>
      <c r="I2141" s="7" t="inlineStr">
        <is>
          <t>20 a 40 L/ha</t>
        </is>
      </c>
      <c r="J2141" s="7" t="inlineStr">
        <is>
          <t>15 dias</t>
        </is>
      </c>
    </row>
    <row r="2142" ht="22" customHeight="1">
      <c r="A2142" s="12" t="inlineStr">
        <is>
          <t>CUL-2138</t>
        </is>
      </c>
      <c r="B2142" s="11" t="n">
        <v>428</v>
      </c>
      <c r="C2142" s="13" t="inlineStr">
        <is>
          <t>Nº 24824</t>
        </is>
      </c>
      <c r="D2142" s="14" t="inlineStr">
        <is>
          <t>CARFENTRAZONE 400 EC</t>
        </is>
      </c>
      <c r="E2142" s="13" t="inlineStr">
        <is>
          <t>Pulverização Agrícola Conforme Bula</t>
        </is>
      </c>
      <c r="F2142" s="13" t="inlineStr">
        <is>
          <t>Cana-de-açúcar</t>
        </is>
      </c>
      <c r="G2142" s="13" t="inlineStr">
        <is>
          <t>Cultura Autorizada na Bula</t>
        </is>
      </c>
      <c r="H2142" s="13" t="inlineStr">
        <is>
          <t>100 a 300 L/ha</t>
        </is>
      </c>
      <c r="I2142" s="13" t="inlineStr">
        <is>
          <t>20 a 40 L/ha</t>
        </is>
      </c>
      <c r="J2142" s="13" t="inlineStr">
        <is>
          <t>105 dias</t>
        </is>
      </c>
    </row>
    <row r="2143" ht="22" customHeight="1">
      <c r="A2143" s="6" t="inlineStr">
        <is>
          <t>CUL-2139</t>
        </is>
      </c>
      <c r="B2143" s="5" t="n">
        <v>428</v>
      </c>
      <c r="C2143" s="7" t="inlineStr">
        <is>
          <t>Nº 24824</t>
        </is>
      </c>
      <c r="D2143" s="8" t="inlineStr">
        <is>
          <t>CARFENTRAZONE 400 EC</t>
        </is>
      </c>
      <c r="E2143" s="7" t="inlineStr">
        <is>
          <t>Pulverização Agrícola Conforme Bula</t>
        </is>
      </c>
      <c r="F2143" s="7" t="inlineStr">
        <is>
          <t>Café</t>
        </is>
      </c>
      <c r="G2143" s="7" t="inlineStr">
        <is>
          <t>Cultura Autorizada na Bula</t>
        </is>
      </c>
      <c r="H2143" s="7" t="inlineStr">
        <is>
          <t>100 a 300 L/ha</t>
        </is>
      </c>
      <c r="I2143" s="7" t="inlineStr">
        <is>
          <t>20 a 40 L/ha</t>
        </is>
      </c>
      <c r="J2143" s="7" t="inlineStr">
        <is>
          <t>15 dias</t>
        </is>
      </c>
    </row>
    <row r="2144" ht="22" customHeight="1">
      <c r="A2144" s="12" t="inlineStr">
        <is>
          <t>CUL-2140</t>
        </is>
      </c>
      <c r="B2144" s="11" t="n">
        <v>428</v>
      </c>
      <c r="C2144" s="13" t="inlineStr">
        <is>
          <t>Nº 24824</t>
        </is>
      </c>
      <c r="D2144" s="14" t="inlineStr">
        <is>
          <t>CARFENTRAZONE 400 EC</t>
        </is>
      </c>
      <c r="E2144" s="13" t="inlineStr">
        <is>
          <t>Pulverização Agrícola Conforme Bula</t>
        </is>
      </c>
      <c r="F2144" s="13" t="inlineStr">
        <is>
          <t>Citros</t>
        </is>
      </c>
      <c r="G2144" s="13" t="inlineStr">
        <is>
          <t>Cultura Autorizada na Bula</t>
        </is>
      </c>
      <c r="H2144" s="13" t="inlineStr">
        <is>
          <t>100 a 300 L/ha</t>
        </is>
      </c>
      <c r="I2144" s="13" t="inlineStr">
        <is>
          <t>20 a 40 L/ha</t>
        </is>
      </c>
      <c r="J2144" s="13" t="inlineStr">
        <is>
          <t>15 dias</t>
        </is>
      </c>
    </row>
    <row r="2145" ht="22" customHeight="1">
      <c r="A2145" s="6" t="inlineStr">
        <is>
          <t>CUL-2141</t>
        </is>
      </c>
      <c r="B2145" s="5" t="n">
        <v>429</v>
      </c>
      <c r="C2145" s="7" t="inlineStr">
        <is>
          <t>Nº 24824</t>
        </is>
      </c>
      <c r="D2145" s="8" t="inlineStr">
        <is>
          <t>CARFENTRAZONE 400 EC1X20L (VALIDAR)</t>
        </is>
      </c>
      <c r="E2145" s="7" t="inlineStr">
        <is>
          <t>Pulverização Agrícola Conforme Bula</t>
        </is>
      </c>
      <c r="F2145" s="7" t="inlineStr">
        <is>
          <t>Soja (Dessecação)</t>
        </is>
      </c>
      <c r="G2145" s="7" t="inlineStr">
        <is>
          <t>Cultura Autorizada na Bula</t>
        </is>
      </c>
      <c r="H2145" s="7" t="inlineStr">
        <is>
          <t>100 a 300 L/ha</t>
        </is>
      </c>
      <c r="I2145" s="7" t="inlineStr">
        <is>
          <t>20 a 40 L/ha</t>
        </is>
      </c>
      <c r="J2145" s="7" t="inlineStr">
        <is>
          <t>N/D</t>
        </is>
      </c>
    </row>
    <row r="2146" ht="22" customHeight="1">
      <c r="A2146" s="12" t="inlineStr">
        <is>
          <t>CUL-2142</t>
        </is>
      </c>
      <c r="B2146" s="11" t="n">
        <v>429</v>
      </c>
      <c r="C2146" s="13" t="inlineStr">
        <is>
          <t>Nº 24824</t>
        </is>
      </c>
      <c r="D2146" s="14" t="inlineStr">
        <is>
          <t>CARFENTRAZONE 400 EC1X20L (VALIDAR)</t>
        </is>
      </c>
      <c r="E2146" s="13" t="inlineStr">
        <is>
          <t>Pulverização Agrícola Conforme Bula</t>
        </is>
      </c>
      <c r="F2146" s="13" t="inlineStr">
        <is>
          <t>Milho</t>
        </is>
      </c>
      <c r="G2146" s="13" t="inlineStr">
        <is>
          <t>Cultura Autorizada na Bula</t>
        </is>
      </c>
      <c r="H2146" s="13" t="inlineStr">
        <is>
          <t>100 a 300 L/ha</t>
        </is>
      </c>
      <c r="I2146" s="13" t="inlineStr">
        <is>
          <t>20 a 40 L/ha</t>
        </is>
      </c>
      <c r="J2146" s="13" t="inlineStr">
        <is>
          <t>45 dias</t>
        </is>
      </c>
    </row>
    <row r="2147" ht="22" customHeight="1">
      <c r="A2147" s="6" t="inlineStr">
        <is>
          <t>CUL-2143</t>
        </is>
      </c>
      <c r="B2147" s="5" t="n">
        <v>429</v>
      </c>
      <c r="C2147" s="7" t="inlineStr">
        <is>
          <t>Nº 24824</t>
        </is>
      </c>
      <c r="D2147" s="8" t="inlineStr">
        <is>
          <t>CARFENTRAZONE 400 EC1X20L (VALIDAR)</t>
        </is>
      </c>
      <c r="E2147" s="7" t="inlineStr">
        <is>
          <t>Pulverização Agrícola Conforme Bula</t>
        </is>
      </c>
      <c r="F2147" s="7" t="inlineStr">
        <is>
          <t>Algodão (Desfolha / Jato Dirigido)</t>
        </is>
      </c>
      <c r="G2147" s="7" t="inlineStr">
        <is>
          <t>Cultura Autorizada na Bula</t>
        </is>
      </c>
      <c r="H2147" s="7" t="inlineStr">
        <is>
          <t>100 a 300 L/ha</t>
        </is>
      </c>
      <c r="I2147" s="7" t="inlineStr">
        <is>
          <t>20 a 40 L/ha</t>
        </is>
      </c>
      <c r="J2147" s="7" t="inlineStr">
        <is>
          <t>15 dias</t>
        </is>
      </c>
    </row>
    <row r="2148" ht="22" customHeight="1">
      <c r="A2148" s="12" t="inlineStr">
        <is>
          <t>CUL-2144</t>
        </is>
      </c>
      <c r="B2148" s="11" t="n">
        <v>429</v>
      </c>
      <c r="C2148" s="13" t="inlineStr">
        <is>
          <t>Nº 24824</t>
        </is>
      </c>
      <c r="D2148" s="14" t="inlineStr">
        <is>
          <t>CARFENTRAZONE 400 EC1X20L (VALIDAR)</t>
        </is>
      </c>
      <c r="E2148" s="13" t="inlineStr">
        <is>
          <t>Pulverização Agrícola Conforme Bula</t>
        </is>
      </c>
      <c r="F2148" s="13" t="inlineStr">
        <is>
          <t>Cana-de-açúcar</t>
        </is>
      </c>
      <c r="G2148" s="13" t="inlineStr">
        <is>
          <t>Cultura Autorizada na Bula</t>
        </is>
      </c>
      <c r="H2148" s="13" t="inlineStr">
        <is>
          <t>100 a 300 L/ha</t>
        </is>
      </c>
      <c r="I2148" s="13" t="inlineStr">
        <is>
          <t>20 a 40 L/ha</t>
        </is>
      </c>
      <c r="J2148" s="13" t="inlineStr">
        <is>
          <t>105 dias</t>
        </is>
      </c>
    </row>
    <row r="2149" ht="22" customHeight="1">
      <c r="A2149" s="6" t="inlineStr">
        <is>
          <t>CUL-2145</t>
        </is>
      </c>
      <c r="B2149" s="5" t="n">
        <v>429</v>
      </c>
      <c r="C2149" s="7" t="inlineStr">
        <is>
          <t>Nº 24824</t>
        </is>
      </c>
      <c r="D2149" s="8" t="inlineStr">
        <is>
          <t>CARFENTRAZONE 400 EC1X20L (VALIDAR)</t>
        </is>
      </c>
      <c r="E2149" s="7" t="inlineStr">
        <is>
          <t>Pulverização Agrícola Conforme Bula</t>
        </is>
      </c>
      <c r="F2149" s="7" t="inlineStr">
        <is>
          <t>Café</t>
        </is>
      </c>
      <c r="G2149" s="7" t="inlineStr">
        <is>
          <t>Cultura Autorizada na Bula</t>
        </is>
      </c>
      <c r="H2149" s="7" t="inlineStr">
        <is>
          <t>100 a 300 L/ha</t>
        </is>
      </c>
      <c r="I2149" s="7" t="inlineStr">
        <is>
          <t>20 a 40 L/ha</t>
        </is>
      </c>
      <c r="J2149" s="7" t="inlineStr">
        <is>
          <t>15 dias</t>
        </is>
      </c>
    </row>
    <row r="2150" ht="22" customHeight="1">
      <c r="A2150" s="12" t="inlineStr">
        <is>
          <t>CUL-2146</t>
        </is>
      </c>
      <c r="B2150" s="11" t="n">
        <v>429</v>
      </c>
      <c r="C2150" s="13" t="inlineStr">
        <is>
          <t>Nº 24824</t>
        </is>
      </c>
      <c r="D2150" s="14" t="inlineStr">
        <is>
          <t>CARFENTRAZONE 400 EC1X20L (VALIDAR)</t>
        </is>
      </c>
      <c r="E2150" s="13" t="inlineStr">
        <is>
          <t>Pulverização Agrícola Conforme Bula</t>
        </is>
      </c>
      <c r="F2150" s="13" t="inlineStr">
        <is>
          <t>Citros</t>
        </is>
      </c>
      <c r="G2150" s="13" t="inlineStr">
        <is>
          <t>Cultura Autorizada na Bula</t>
        </is>
      </c>
      <c r="H2150" s="13" t="inlineStr">
        <is>
          <t>100 a 300 L/ha</t>
        </is>
      </c>
      <c r="I2150" s="13" t="inlineStr">
        <is>
          <t>20 a 40 L/ha</t>
        </is>
      </c>
      <c r="J2150" s="13" t="inlineStr">
        <is>
          <t>15 dias</t>
        </is>
      </c>
    </row>
    <row r="2151" ht="22" customHeight="1">
      <c r="A2151" s="6" t="inlineStr">
        <is>
          <t>CUL-2147</t>
        </is>
      </c>
      <c r="B2151" s="5" t="n">
        <v>430</v>
      </c>
      <c r="C2151" s="7" t="inlineStr">
        <is>
          <t>Nº 16607</t>
        </is>
      </c>
      <c r="D2151" s="8" t="inlineStr">
        <is>
          <t>CAMPEON</t>
        </is>
      </c>
      <c r="E2151" s="7" t="inlineStr">
        <is>
          <t>Pulverização Agrícola Conforme Bula</t>
        </is>
      </c>
      <c r="F2151" s="7" t="inlineStr">
        <is>
          <t>Soja (Dessecação Pré-Plantio)</t>
        </is>
      </c>
      <c r="G2151" s="7" t="inlineStr">
        <is>
          <t>Cultura Autorizada na Bula</t>
        </is>
      </c>
      <c r="H2151" s="7" t="inlineStr">
        <is>
          <t>100 a 300 L/ha</t>
        </is>
      </c>
      <c r="I2151" s="7" t="inlineStr">
        <is>
          <t>20 a 40 L/ha</t>
        </is>
      </c>
      <c r="J2151" s="7" t="inlineStr">
        <is>
          <t>N/D</t>
        </is>
      </c>
    </row>
    <row r="2152" ht="22" customHeight="1">
      <c r="A2152" s="12" t="inlineStr">
        <is>
          <t>CUL-2148</t>
        </is>
      </c>
      <c r="B2152" s="11" t="n">
        <v>430</v>
      </c>
      <c r="C2152" s="13" t="inlineStr">
        <is>
          <t>Nº 16607</t>
        </is>
      </c>
      <c r="D2152" s="14" t="inlineStr">
        <is>
          <t>CAMPEON</t>
        </is>
      </c>
      <c r="E2152" s="13" t="inlineStr">
        <is>
          <t>Pulverização Agrícola Conforme Bula</t>
        </is>
      </c>
      <c r="F2152" s="13" t="inlineStr">
        <is>
          <t>Milho</t>
        </is>
      </c>
      <c r="G2152" s="13" t="inlineStr">
        <is>
          <t>Cultura Autorizada na Bula</t>
        </is>
      </c>
      <c r="H2152" s="13" t="inlineStr">
        <is>
          <t>100 a 300 L/ha</t>
        </is>
      </c>
      <c r="I2152" s="13" t="inlineStr">
        <is>
          <t>20 a 40 L/ha</t>
        </is>
      </c>
      <c r="J2152" s="13" t="inlineStr">
        <is>
          <t>40 dias</t>
        </is>
      </c>
    </row>
    <row r="2153" ht="22" customHeight="1">
      <c r="A2153" s="6" t="inlineStr">
        <is>
          <t>CUL-2149</t>
        </is>
      </c>
      <c r="B2153" s="5" t="n">
        <v>430</v>
      </c>
      <c r="C2153" s="7" t="inlineStr">
        <is>
          <t>Nº 16607</t>
        </is>
      </c>
      <c r="D2153" s="8" t="inlineStr">
        <is>
          <t>CAMPEON</t>
        </is>
      </c>
      <c r="E2153" s="7" t="inlineStr">
        <is>
          <t>Pulverização Agrícola Conforme Bula</t>
        </is>
      </c>
      <c r="F2153" s="7" t="inlineStr">
        <is>
          <t>Cana-de-açúcar</t>
        </is>
      </c>
      <c r="G2153" s="7" t="inlineStr">
        <is>
          <t>Cultura Autorizada na Bula</t>
        </is>
      </c>
      <c r="H2153" s="7" t="inlineStr">
        <is>
          <t>100 a 300 L/ha</t>
        </is>
      </c>
      <c r="I2153" s="7" t="inlineStr">
        <is>
          <t>20 a 40 L/ha</t>
        </is>
      </c>
      <c r="J2153" s="7" t="inlineStr">
        <is>
          <t>N/D</t>
        </is>
      </c>
    </row>
    <row r="2154" ht="22" customHeight="1">
      <c r="A2154" s="12" t="inlineStr">
        <is>
          <t>CUL-2150</t>
        </is>
      </c>
      <c r="B2154" s="11" t="n">
        <v>430</v>
      </c>
      <c r="C2154" s="13" t="inlineStr">
        <is>
          <t>Nº 16607</t>
        </is>
      </c>
      <c r="D2154" s="14" t="inlineStr">
        <is>
          <t>CAMPEON</t>
        </is>
      </c>
      <c r="E2154" s="13" t="inlineStr">
        <is>
          <t>Pulverização Agrícola Conforme Bula</t>
        </is>
      </c>
      <c r="F2154" s="13" t="inlineStr">
        <is>
          <t>Trigo</t>
        </is>
      </c>
      <c r="G2154" s="13" t="inlineStr">
        <is>
          <t>Cultura Autorizada na Bula</t>
        </is>
      </c>
      <c r="H2154" s="13" t="inlineStr">
        <is>
          <t>100 a 300 L/ha</t>
        </is>
      </c>
      <c r="I2154" s="13" t="inlineStr">
        <is>
          <t>20 a 40 L/ha</t>
        </is>
      </c>
      <c r="J2154" s="13" t="inlineStr">
        <is>
          <t>45 dias</t>
        </is>
      </c>
    </row>
    <row r="2155" ht="22" customHeight="1">
      <c r="A2155" s="6" t="inlineStr">
        <is>
          <t>CUL-2151</t>
        </is>
      </c>
      <c r="B2155" s="5" t="n">
        <v>430</v>
      </c>
      <c r="C2155" s="7" t="inlineStr">
        <is>
          <t>Nº 16607</t>
        </is>
      </c>
      <c r="D2155" s="8" t="inlineStr">
        <is>
          <t>CAMPEON</t>
        </is>
      </c>
      <c r="E2155" s="7" t="inlineStr">
        <is>
          <t>Pulverização Agrícola Conforme Bula</t>
        </is>
      </c>
      <c r="F2155" s="7" t="inlineStr">
        <is>
          <t>Pastagens</t>
        </is>
      </c>
      <c r="G2155" s="7" t="inlineStr">
        <is>
          <t>Cultura Autorizada na Bula</t>
        </is>
      </c>
      <c r="H2155" s="7" t="inlineStr">
        <is>
          <t>100 a 300 L/ha</t>
        </is>
      </c>
      <c r="I2155" s="7" t="inlineStr">
        <is>
          <t>20 a 40 L/ha</t>
        </is>
      </c>
      <c r="J2155" s="7" t="inlineStr">
        <is>
          <t>N/D</t>
        </is>
      </c>
    </row>
    <row r="2156" ht="22" customHeight="1">
      <c r="A2156" s="12" t="inlineStr">
        <is>
          <t>CUL-2152</t>
        </is>
      </c>
      <c r="B2156" s="11" t="n">
        <v>431</v>
      </c>
      <c r="C2156" s="13" t="inlineStr">
        <is>
          <t>Nº 1923</t>
        </is>
      </c>
      <c r="D2156" s="14" t="inlineStr">
        <is>
          <t>PARACHUTE</t>
        </is>
      </c>
      <c r="E2156" s="13" t="inlineStr">
        <is>
          <t>Pulverização Agrícola Conforme Bula</t>
        </is>
      </c>
      <c r="F2156" s="13" t="inlineStr">
        <is>
          <t>Soja</t>
        </is>
      </c>
      <c r="G2156" s="13" t="inlineStr">
        <is>
          <t>Cultura Autorizada na Bula</t>
        </is>
      </c>
      <c r="H2156" s="13" t="inlineStr">
        <is>
          <t>100 a 300 L/ha</t>
        </is>
      </c>
      <c r="I2156" s="13" t="inlineStr">
        <is>
          <t>20 a 40 L/ha</t>
        </is>
      </c>
      <c r="J2156" s="13" t="inlineStr">
        <is>
          <t>30 dias</t>
        </is>
      </c>
    </row>
    <row r="2157" ht="22" customHeight="1">
      <c r="A2157" s="6" t="inlineStr">
        <is>
          <t>CUL-2153</t>
        </is>
      </c>
      <c r="B2157" s="5" t="n">
        <v>431</v>
      </c>
      <c r="C2157" s="7" t="inlineStr">
        <is>
          <t>Nº 1923</t>
        </is>
      </c>
      <c r="D2157" s="8" t="inlineStr">
        <is>
          <t>PARACHUTE</t>
        </is>
      </c>
      <c r="E2157" s="7" t="inlineStr">
        <is>
          <t>Pulverização Agrícola Conforme Bula</t>
        </is>
      </c>
      <c r="F2157" s="7" t="inlineStr">
        <is>
          <t>Algodão</t>
        </is>
      </c>
      <c r="G2157" s="7" t="inlineStr">
        <is>
          <t>Cultura Autorizada na Bula</t>
        </is>
      </c>
      <c r="H2157" s="7" t="inlineStr">
        <is>
          <t>100 a 300 L/ha</t>
        </is>
      </c>
      <c r="I2157" s="7" t="inlineStr">
        <is>
          <t>20 a 40 L/ha</t>
        </is>
      </c>
      <c r="J2157" s="7" t="inlineStr">
        <is>
          <t>30 dias</t>
        </is>
      </c>
    </row>
    <row r="2158" ht="22" customHeight="1">
      <c r="A2158" s="12" t="inlineStr">
        <is>
          <t>CUL-2154</t>
        </is>
      </c>
      <c r="B2158" s="11" t="n">
        <v>431</v>
      </c>
      <c r="C2158" s="13" t="inlineStr">
        <is>
          <t>Nº 1923</t>
        </is>
      </c>
      <c r="D2158" s="14" t="inlineStr">
        <is>
          <t>PARACHUTE</t>
        </is>
      </c>
      <c r="E2158" s="13" t="inlineStr">
        <is>
          <t>Pulverização Agrícola Conforme Bula</t>
        </is>
      </c>
      <c r="F2158" s="13" t="inlineStr">
        <is>
          <t>Feijão</t>
        </is>
      </c>
      <c r="G2158" s="13" t="inlineStr">
        <is>
          <t>Cultura Autorizada na Bula</t>
        </is>
      </c>
      <c r="H2158" s="13" t="inlineStr">
        <is>
          <t>100 a 300 L/ha</t>
        </is>
      </c>
      <c r="I2158" s="13" t="inlineStr">
        <is>
          <t>20 a 40 L/ha</t>
        </is>
      </c>
      <c r="J2158" s="13" t="inlineStr">
        <is>
          <t>14 dias</t>
        </is>
      </c>
    </row>
    <row r="2159" ht="22" customHeight="1">
      <c r="A2159" s="6" t="inlineStr">
        <is>
          <t>CUL-2155</t>
        </is>
      </c>
      <c r="B2159" s="5" t="n">
        <v>431</v>
      </c>
      <c r="C2159" s="7" t="inlineStr">
        <is>
          <t>Nº 1923</t>
        </is>
      </c>
      <c r="D2159" s="8" t="inlineStr">
        <is>
          <t>PARACHUTE</t>
        </is>
      </c>
      <c r="E2159" s="7" t="inlineStr">
        <is>
          <t>Pulverização Agrícola Conforme Bula</t>
        </is>
      </c>
      <c r="F2159" s="7" t="inlineStr">
        <is>
          <t>Arroz</t>
        </is>
      </c>
      <c r="G2159" s="7" t="inlineStr">
        <is>
          <t>Cultura Autorizada na Bula</t>
        </is>
      </c>
      <c r="H2159" s="7" t="inlineStr">
        <is>
          <t>100 a 300 L/ha</t>
        </is>
      </c>
      <c r="I2159" s="7" t="inlineStr">
        <is>
          <t>20 a 40 L/ha</t>
        </is>
      </c>
      <c r="J2159" s="7" t="inlineStr">
        <is>
          <t>40 dias</t>
        </is>
      </c>
    </row>
    <row r="2160" ht="22" customHeight="1">
      <c r="A2160" s="12" t="inlineStr">
        <is>
          <t>CUL-2156</t>
        </is>
      </c>
      <c r="B2160" s="11" t="n">
        <v>431</v>
      </c>
      <c r="C2160" s="13" t="inlineStr">
        <is>
          <t>Nº 1923</t>
        </is>
      </c>
      <c r="D2160" s="14" t="inlineStr">
        <is>
          <t>PARACHUTE</t>
        </is>
      </c>
      <c r="E2160" s="13" t="inlineStr">
        <is>
          <t>Pulverização Agrícola Conforme Bula</t>
        </is>
      </c>
      <c r="F2160" s="13" t="inlineStr">
        <is>
          <t>Café</t>
        </is>
      </c>
      <c r="G2160" s="13" t="inlineStr">
        <is>
          <t>Cultura Autorizada na Bula</t>
        </is>
      </c>
      <c r="H2160" s="13" t="inlineStr">
        <is>
          <t>100 a 300 L/ha</t>
        </is>
      </c>
      <c r="I2160" s="13" t="inlineStr">
        <is>
          <t>20 a 40 L/ha</t>
        </is>
      </c>
      <c r="J2160" s="13" t="inlineStr">
        <is>
          <t>30 dias</t>
        </is>
      </c>
    </row>
    <row r="2161" ht="22" customHeight="1">
      <c r="A2161" s="6" t="inlineStr">
        <is>
          <t>CUL-2157</t>
        </is>
      </c>
      <c r="B2161" s="5" t="n">
        <v>431</v>
      </c>
      <c r="C2161" s="7" t="inlineStr">
        <is>
          <t>Nº 1923</t>
        </is>
      </c>
      <c r="D2161" s="8" t="inlineStr">
        <is>
          <t>PARACHUTE</t>
        </is>
      </c>
      <c r="E2161" s="7" t="inlineStr">
        <is>
          <t>Pulverização Agrícola Conforme Bula</t>
        </is>
      </c>
      <c r="F2161" s="7" t="inlineStr">
        <is>
          <t>Trigo</t>
        </is>
      </c>
      <c r="G2161" s="7" t="inlineStr">
        <is>
          <t>Cultura Autorizada na Bula</t>
        </is>
      </c>
      <c r="H2161" s="7" t="inlineStr">
        <is>
          <t>100 a 300 L/ha</t>
        </is>
      </c>
      <c r="I2161" s="7" t="inlineStr">
        <is>
          <t>20 a 40 L/ha</t>
        </is>
      </c>
      <c r="J2161" s="7" t="inlineStr">
        <is>
          <t>35 dias</t>
        </is>
      </c>
    </row>
    <row r="2162" ht="22" customHeight="1">
      <c r="A2162" s="12" t="inlineStr">
        <is>
          <t>CUL-2158</t>
        </is>
      </c>
      <c r="B2162" s="11" t="n">
        <v>431</v>
      </c>
      <c r="C2162" s="13" t="inlineStr">
        <is>
          <t>Nº 1923</t>
        </is>
      </c>
      <c r="D2162" s="14" t="inlineStr">
        <is>
          <t>PARACHUTE</t>
        </is>
      </c>
      <c r="E2162" s="13" t="inlineStr">
        <is>
          <t>Pulverização Agrícola Conforme Bula</t>
        </is>
      </c>
      <c r="F2162" s="13" t="inlineStr">
        <is>
          <t>Tomate</t>
        </is>
      </c>
      <c r="G2162" s="13" t="inlineStr">
        <is>
          <t>Cultura Autorizada na Bula</t>
        </is>
      </c>
      <c r="H2162" s="13" t="inlineStr">
        <is>
          <t>100 a 300 L/ha</t>
        </is>
      </c>
      <c r="I2162" s="13" t="inlineStr">
        <is>
          <t>20 a 40 L/ha</t>
        </is>
      </c>
      <c r="J2162" s="13" t="inlineStr">
        <is>
          <t>7 dias</t>
        </is>
      </c>
    </row>
    <row r="2163" ht="22" customHeight="1">
      <c r="A2163" s="6" t="inlineStr">
        <is>
          <t>CUL-2159</t>
        </is>
      </c>
      <c r="B2163" s="5" t="n">
        <v>432</v>
      </c>
      <c r="C2163" s="7" t="inlineStr">
        <is>
          <t>Nº 1923</t>
        </is>
      </c>
      <c r="D2163" s="8" t="inlineStr">
        <is>
          <t>PARACHUTE</t>
        </is>
      </c>
      <c r="E2163" s="7" t="inlineStr">
        <is>
          <t>Pulverização Agrícola Conforme Bula</t>
        </is>
      </c>
      <c r="F2163" s="7" t="inlineStr">
        <is>
          <t>Soja</t>
        </is>
      </c>
      <c r="G2163" s="7" t="inlineStr">
        <is>
          <t>Cultura Autorizada na Bula</t>
        </is>
      </c>
      <c r="H2163" s="7" t="inlineStr">
        <is>
          <t>100 a 300 L/ha</t>
        </is>
      </c>
      <c r="I2163" s="7" t="inlineStr">
        <is>
          <t>20 a 40 L/ha</t>
        </is>
      </c>
      <c r="J2163" s="7" t="inlineStr">
        <is>
          <t>30 dias</t>
        </is>
      </c>
    </row>
    <row r="2164" ht="22" customHeight="1">
      <c r="A2164" s="12" t="inlineStr">
        <is>
          <t>CUL-2160</t>
        </is>
      </c>
      <c r="B2164" s="11" t="n">
        <v>432</v>
      </c>
      <c r="C2164" s="13" t="inlineStr">
        <is>
          <t>Nº 1923</t>
        </is>
      </c>
      <c r="D2164" s="14" t="inlineStr">
        <is>
          <t>PARACHUTE</t>
        </is>
      </c>
      <c r="E2164" s="13" t="inlineStr">
        <is>
          <t>Pulverização Agrícola Conforme Bula</t>
        </is>
      </c>
      <c r="F2164" s="13" t="inlineStr">
        <is>
          <t>Algodão</t>
        </is>
      </c>
      <c r="G2164" s="13" t="inlineStr">
        <is>
          <t>Cultura Autorizada na Bula</t>
        </is>
      </c>
      <c r="H2164" s="13" t="inlineStr">
        <is>
          <t>100 a 300 L/ha</t>
        </is>
      </c>
      <c r="I2164" s="13" t="inlineStr">
        <is>
          <t>20 a 40 L/ha</t>
        </is>
      </c>
      <c r="J2164" s="13" t="inlineStr">
        <is>
          <t>30 dias</t>
        </is>
      </c>
    </row>
    <row r="2165" ht="22" customHeight="1">
      <c r="A2165" s="6" t="inlineStr">
        <is>
          <t>CUL-2161</t>
        </is>
      </c>
      <c r="B2165" s="5" t="n">
        <v>432</v>
      </c>
      <c r="C2165" s="7" t="inlineStr">
        <is>
          <t>Nº 1923</t>
        </is>
      </c>
      <c r="D2165" s="8" t="inlineStr">
        <is>
          <t>PARACHUTE</t>
        </is>
      </c>
      <c r="E2165" s="7" t="inlineStr">
        <is>
          <t>Pulverização Agrícola Conforme Bula</t>
        </is>
      </c>
      <c r="F2165" s="7" t="inlineStr">
        <is>
          <t>Feijão</t>
        </is>
      </c>
      <c r="G2165" s="7" t="inlineStr">
        <is>
          <t>Cultura Autorizada na Bula</t>
        </is>
      </c>
      <c r="H2165" s="7" t="inlineStr">
        <is>
          <t>100 a 300 L/ha</t>
        </is>
      </c>
      <c r="I2165" s="7" t="inlineStr">
        <is>
          <t>20 a 40 L/ha</t>
        </is>
      </c>
      <c r="J2165" s="7" t="inlineStr">
        <is>
          <t>14 dias</t>
        </is>
      </c>
    </row>
    <row r="2166" ht="22" customHeight="1">
      <c r="A2166" s="12" t="inlineStr">
        <is>
          <t>CUL-2162</t>
        </is>
      </c>
      <c r="B2166" s="11" t="n">
        <v>432</v>
      </c>
      <c r="C2166" s="13" t="inlineStr">
        <is>
          <t>Nº 1923</t>
        </is>
      </c>
      <c r="D2166" s="14" t="inlineStr">
        <is>
          <t>PARACHUTE</t>
        </is>
      </c>
      <c r="E2166" s="13" t="inlineStr">
        <is>
          <t>Pulverização Agrícola Conforme Bula</t>
        </is>
      </c>
      <c r="F2166" s="13" t="inlineStr">
        <is>
          <t>Arroz</t>
        </is>
      </c>
      <c r="G2166" s="13" t="inlineStr">
        <is>
          <t>Cultura Autorizada na Bula</t>
        </is>
      </c>
      <c r="H2166" s="13" t="inlineStr">
        <is>
          <t>100 a 300 L/ha</t>
        </is>
      </c>
      <c r="I2166" s="13" t="inlineStr">
        <is>
          <t>20 a 40 L/ha</t>
        </is>
      </c>
      <c r="J2166" s="13" t="inlineStr">
        <is>
          <t>40 dias</t>
        </is>
      </c>
    </row>
    <row r="2167" ht="22" customHeight="1">
      <c r="A2167" s="6" t="inlineStr">
        <is>
          <t>CUL-2163</t>
        </is>
      </c>
      <c r="B2167" s="5" t="n">
        <v>432</v>
      </c>
      <c r="C2167" s="7" t="inlineStr">
        <is>
          <t>Nº 1923</t>
        </is>
      </c>
      <c r="D2167" s="8" t="inlineStr">
        <is>
          <t>PARACHUTE</t>
        </is>
      </c>
      <c r="E2167" s="7" t="inlineStr">
        <is>
          <t>Pulverização Agrícola Conforme Bula</t>
        </is>
      </c>
      <c r="F2167" s="7" t="inlineStr">
        <is>
          <t>Café</t>
        </is>
      </c>
      <c r="G2167" s="7" t="inlineStr">
        <is>
          <t>Cultura Autorizada na Bula</t>
        </is>
      </c>
      <c r="H2167" s="7" t="inlineStr">
        <is>
          <t>100 a 300 L/ha</t>
        </is>
      </c>
      <c r="I2167" s="7" t="inlineStr">
        <is>
          <t>20 a 40 L/ha</t>
        </is>
      </c>
      <c r="J2167" s="7" t="inlineStr">
        <is>
          <t>30 dias</t>
        </is>
      </c>
    </row>
    <row r="2168" ht="22" customHeight="1">
      <c r="A2168" s="12" t="inlineStr">
        <is>
          <t>CUL-2164</t>
        </is>
      </c>
      <c r="B2168" s="11" t="n">
        <v>432</v>
      </c>
      <c r="C2168" s="13" t="inlineStr">
        <is>
          <t>Nº 1923</t>
        </is>
      </c>
      <c r="D2168" s="14" t="inlineStr">
        <is>
          <t>PARACHUTE</t>
        </is>
      </c>
      <c r="E2168" s="13" t="inlineStr">
        <is>
          <t>Pulverização Agrícola Conforme Bula</t>
        </is>
      </c>
      <c r="F2168" s="13" t="inlineStr">
        <is>
          <t>Trigo</t>
        </is>
      </c>
      <c r="G2168" s="13" t="inlineStr">
        <is>
          <t>Cultura Autorizada na Bula</t>
        </is>
      </c>
      <c r="H2168" s="13" t="inlineStr">
        <is>
          <t>100 a 300 L/ha</t>
        </is>
      </c>
      <c r="I2168" s="13" t="inlineStr">
        <is>
          <t>20 a 40 L/ha</t>
        </is>
      </c>
      <c r="J2168" s="13" t="inlineStr">
        <is>
          <t>35 dias</t>
        </is>
      </c>
    </row>
    <row r="2169" ht="22" customHeight="1">
      <c r="A2169" s="6" t="inlineStr">
        <is>
          <t>CUL-2165</t>
        </is>
      </c>
      <c r="B2169" s="5" t="n">
        <v>432</v>
      </c>
      <c r="C2169" s="7" t="inlineStr">
        <is>
          <t>Nº 1923</t>
        </is>
      </c>
      <c r="D2169" s="8" t="inlineStr">
        <is>
          <t>PARACHUTE</t>
        </is>
      </c>
      <c r="E2169" s="7" t="inlineStr">
        <is>
          <t>Pulverização Agrícola Conforme Bula</t>
        </is>
      </c>
      <c r="F2169" s="7" t="inlineStr">
        <is>
          <t>Tomate</t>
        </is>
      </c>
      <c r="G2169" s="7" t="inlineStr">
        <is>
          <t>Cultura Autorizada na Bula</t>
        </is>
      </c>
      <c r="H2169" s="7" t="inlineStr">
        <is>
          <t>100 a 300 L/ha</t>
        </is>
      </c>
      <c r="I2169" s="7" t="inlineStr">
        <is>
          <t>20 a 40 L/ha</t>
        </is>
      </c>
      <c r="J2169" s="7" t="inlineStr">
        <is>
          <t>7 dias</t>
        </is>
      </c>
    </row>
    <row r="2170" ht="22" customHeight="1">
      <c r="A2170" s="12" t="inlineStr">
        <is>
          <t>CUL-2166</t>
        </is>
      </c>
      <c r="B2170" s="11" t="n">
        <v>433</v>
      </c>
      <c r="C2170" s="13" t="inlineStr">
        <is>
          <t>Nº 15716</t>
        </is>
      </c>
      <c r="D2170" s="14" t="inlineStr">
        <is>
          <t>DIFCOR 250 EC BR</t>
        </is>
      </c>
      <c r="E2170" s="13" t="inlineStr">
        <is>
          <t>Pulverização Agrícola Conforme Bula</t>
        </is>
      </c>
      <c r="F2170" s="13" t="inlineStr">
        <is>
          <t>Soja</t>
        </is>
      </c>
      <c r="G2170" s="13" t="inlineStr">
        <is>
          <t>Cultura Autorizada na Bula</t>
        </is>
      </c>
      <c r="H2170" s="13" t="inlineStr">
        <is>
          <t>100 a 300 L/ha</t>
        </is>
      </c>
      <c r="I2170" s="13" t="inlineStr">
        <is>
          <t>20 a 40 L/ha</t>
        </is>
      </c>
      <c r="J2170" s="13" t="inlineStr">
        <is>
          <t>30 dias</t>
        </is>
      </c>
    </row>
    <row r="2171" ht="22" customHeight="1">
      <c r="A2171" s="6" t="inlineStr">
        <is>
          <t>CUL-2167</t>
        </is>
      </c>
      <c r="B2171" s="5" t="n">
        <v>433</v>
      </c>
      <c r="C2171" s="7" t="inlineStr">
        <is>
          <t>Nº 15716</t>
        </is>
      </c>
      <c r="D2171" s="8" t="inlineStr">
        <is>
          <t>DIFCOR 250 EC BR</t>
        </is>
      </c>
      <c r="E2171" s="7" t="inlineStr">
        <is>
          <t>Pulverização Agrícola Conforme Bula</t>
        </is>
      </c>
      <c r="F2171" s="7" t="inlineStr">
        <is>
          <t>Algodão</t>
        </is>
      </c>
      <c r="G2171" s="7" t="inlineStr">
        <is>
          <t>Cultura Autorizada na Bula</t>
        </is>
      </c>
      <c r="H2171" s="7" t="inlineStr">
        <is>
          <t>100 a 300 L/ha</t>
        </is>
      </c>
      <c r="I2171" s="7" t="inlineStr">
        <is>
          <t>20 a 40 L/ha</t>
        </is>
      </c>
      <c r="J2171" s="7" t="inlineStr">
        <is>
          <t>30 dias</t>
        </is>
      </c>
    </row>
    <row r="2172" ht="22" customHeight="1">
      <c r="A2172" s="12" t="inlineStr">
        <is>
          <t>CUL-2168</t>
        </is>
      </c>
      <c r="B2172" s="11" t="n">
        <v>433</v>
      </c>
      <c r="C2172" s="13" t="inlineStr">
        <is>
          <t>Nº 15716</t>
        </is>
      </c>
      <c r="D2172" s="14" t="inlineStr">
        <is>
          <t>DIFCOR 250 EC BR</t>
        </is>
      </c>
      <c r="E2172" s="13" t="inlineStr">
        <is>
          <t>Pulverização Agrícola Conforme Bula</t>
        </is>
      </c>
      <c r="F2172" s="13" t="inlineStr">
        <is>
          <t>Feijão</t>
        </is>
      </c>
      <c r="G2172" s="13" t="inlineStr">
        <is>
          <t>Cultura Autorizada na Bula</t>
        </is>
      </c>
      <c r="H2172" s="13" t="inlineStr">
        <is>
          <t>100 a 300 L/ha</t>
        </is>
      </c>
      <c r="I2172" s="13" t="inlineStr">
        <is>
          <t>20 a 40 L/ha</t>
        </is>
      </c>
      <c r="J2172" s="13" t="inlineStr">
        <is>
          <t>14 dias</t>
        </is>
      </c>
    </row>
    <row r="2173" ht="22" customHeight="1">
      <c r="A2173" s="6" t="inlineStr">
        <is>
          <t>CUL-2169</t>
        </is>
      </c>
      <c r="B2173" s="5" t="n">
        <v>433</v>
      </c>
      <c r="C2173" s="7" t="inlineStr">
        <is>
          <t>Nº 15716</t>
        </is>
      </c>
      <c r="D2173" s="8" t="inlineStr">
        <is>
          <t>DIFCOR 250 EC BR</t>
        </is>
      </c>
      <c r="E2173" s="7" t="inlineStr">
        <is>
          <t>Pulverização Agrícola Conforme Bula</t>
        </is>
      </c>
      <c r="F2173" s="7" t="inlineStr">
        <is>
          <t>Arroz</t>
        </is>
      </c>
      <c r="G2173" s="7" t="inlineStr">
        <is>
          <t>Cultura Autorizada na Bula</t>
        </is>
      </c>
      <c r="H2173" s="7" t="inlineStr">
        <is>
          <t>100 a 300 L/ha</t>
        </is>
      </c>
      <c r="I2173" s="7" t="inlineStr">
        <is>
          <t>20 a 40 L/ha</t>
        </is>
      </c>
      <c r="J2173" s="7" t="inlineStr">
        <is>
          <t>40 dias</t>
        </is>
      </c>
    </row>
    <row r="2174" ht="22" customHeight="1">
      <c r="A2174" s="12" t="inlineStr">
        <is>
          <t>CUL-2170</t>
        </is>
      </c>
      <c r="B2174" s="11" t="n">
        <v>433</v>
      </c>
      <c r="C2174" s="13" t="inlineStr">
        <is>
          <t>Nº 15716</t>
        </is>
      </c>
      <c r="D2174" s="14" t="inlineStr">
        <is>
          <t>DIFCOR 250 EC BR</t>
        </is>
      </c>
      <c r="E2174" s="13" t="inlineStr">
        <is>
          <t>Pulverização Agrícola Conforme Bula</t>
        </is>
      </c>
      <c r="F2174" s="13" t="inlineStr">
        <is>
          <t>Café</t>
        </is>
      </c>
      <c r="G2174" s="13" t="inlineStr">
        <is>
          <t>Cultura Autorizada na Bula</t>
        </is>
      </c>
      <c r="H2174" s="13" t="inlineStr">
        <is>
          <t>100 a 300 L/ha</t>
        </is>
      </c>
      <c r="I2174" s="13" t="inlineStr">
        <is>
          <t>20 a 40 L/ha</t>
        </is>
      </c>
      <c r="J2174" s="13" t="inlineStr">
        <is>
          <t>30 dias</t>
        </is>
      </c>
    </row>
    <row r="2175" ht="22" customHeight="1">
      <c r="A2175" s="6" t="inlineStr">
        <is>
          <t>CUL-2171</t>
        </is>
      </c>
      <c r="B2175" s="5" t="n">
        <v>433</v>
      </c>
      <c r="C2175" s="7" t="inlineStr">
        <is>
          <t>Nº 15716</t>
        </is>
      </c>
      <c r="D2175" s="8" t="inlineStr">
        <is>
          <t>DIFCOR 250 EC BR</t>
        </is>
      </c>
      <c r="E2175" s="7" t="inlineStr">
        <is>
          <t>Pulverização Agrícola Conforme Bula</t>
        </is>
      </c>
      <c r="F2175" s="7" t="inlineStr">
        <is>
          <t>Trigo</t>
        </is>
      </c>
      <c r="G2175" s="7" t="inlineStr">
        <is>
          <t>Cultura Autorizada na Bula</t>
        </is>
      </c>
      <c r="H2175" s="7" t="inlineStr">
        <is>
          <t>100 a 300 L/ha</t>
        </is>
      </c>
      <c r="I2175" s="7" t="inlineStr">
        <is>
          <t>20 a 40 L/ha</t>
        </is>
      </c>
      <c r="J2175" s="7" t="inlineStr">
        <is>
          <t>35 dias</t>
        </is>
      </c>
    </row>
    <row r="2176" ht="22" customHeight="1">
      <c r="A2176" s="12" t="inlineStr">
        <is>
          <t>CUL-2172</t>
        </is>
      </c>
      <c r="B2176" s="11" t="n">
        <v>433</v>
      </c>
      <c r="C2176" s="13" t="inlineStr">
        <is>
          <t>Nº 15716</t>
        </is>
      </c>
      <c r="D2176" s="14" t="inlineStr">
        <is>
          <t>DIFCOR 250 EC BR</t>
        </is>
      </c>
      <c r="E2176" s="13" t="inlineStr">
        <is>
          <t>Pulverização Agrícola Conforme Bula</t>
        </is>
      </c>
      <c r="F2176" s="13" t="inlineStr">
        <is>
          <t>Tomate</t>
        </is>
      </c>
      <c r="G2176" s="13" t="inlineStr">
        <is>
          <t>Cultura Autorizada na Bula</t>
        </is>
      </c>
      <c r="H2176" s="13" t="inlineStr">
        <is>
          <t>100 a 300 L/ha</t>
        </is>
      </c>
      <c r="I2176" s="13" t="inlineStr">
        <is>
          <t>20 a 40 L/ha</t>
        </is>
      </c>
      <c r="J2176" s="13" t="inlineStr">
        <is>
          <t>7 dias</t>
        </is>
      </c>
    </row>
    <row r="2177" ht="22" customHeight="1">
      <c r="A2177" s="6" t="inlineStr">
        <is>
          <t>CUL-2173</t>
        </is>
      </c>
      <c r="B2177" s="5" t="n">
        <v>434</v>
      </c>
      <c r="C2177" s="7" t="inlineStr">
        <is>
          <t>Nº 40624</t>
        </is>
      </c>
      <c r="D2177" s="8" t="inlineStr">
        <is>
          <t>CHLORPYRIFOS 480 EC AGCN</t>
        </is>
      </c>
      <c r="E2177" s="7" t="inlineStr">
        <is>
          <t>Pulverização Agrícola Conforme Bula</t>
        </is>
      </c>
      <c r="F2177" s="7" t="inlineStr">
        <is>
          <t>Soja</t>
        </is>
      </c>
      <c r="G2177" s="7" t="inlineStr">
        <is>
          <t>Cultura Autorizada na Bula</t>
        </is>
      </c>
      <c r="H2177" s="7" t="inlineStr">
        <is>
          <t>100 a 300 L/ha</t>
        </is>
      </c>
      <c r="I2177" s="7" t="inlineStr">
        <is>
          <t>20 a 40 L/ha</t>
        </is>
      </c>
      <c r="J2177" s="7" t="inlineStr">
        <is>
          <t>21 dias</t>
        </is>
      </c>
    </row>
    <row r="2178" ht="22" customHeight="1">
      <c r="A2178" s="12" t="inlineStr">
        <is>
          <t>CUL-2174</t>
        </is>
      </c>
      <c r="B2178" s="11" t="n">
        <v>434</v>
      </c>
      <c r="C2178" s="13" t="inlineStr">
        <is>
          <t>Nº 40624</t>
        </is>
      </c>
      <c r="D2178" s="14" t="inlineStr">
        <is>
          <t>CHLORPYRIFOS 480 EC AGCN</t>
        </is>
      </c>
      <c r="E2178" s="13" t="inlineStr">
        <is>
          <t>Pulverização Agrícola Conforme Bula</t>
        </is>
      </c>
      <c r="F2178" s="13" t="inlineStr">
        <is>
          <t>Milho</t>
        </is>
      </c>
      <c r="G2178" s="13" t="inlineStr">
        <is>
          <t>Cultura Autorizada na Bula</t>
        </is>
      </c>
      <c r="H2178" s="13" t="inlineStr">
        <is>
          <t>100 a 300 L/ha</t>
        </is>
      </c>
      <c r="I2178" s="13" t="inlineStr">
        <is>
          <t>20 a 40 L/ha</t>
        </is>
      </c>
      <c r="J2178" s="13" t="inlineStr">
        <is>
          <t>21 dias</t>
        </is>
      </c>
    </row>
    <row r="2179" ht="22" customHeight="1">
      <c r="A2179" s="6" t="inlineStr">
        <is>
          <t>CUL-2175</t>
        </is>
      </c>
      <c r="B2179" s="5" t="n">
        <v>434</v>
      </c>
      <c r="C2179" s="7" t="inlineStr">
        <is>
          <t>Nº 40624</t>
        </is>
      </c>
      <c r="D2179" s="8" t="inlineStr">
        <is>
          <t>CHLORPYRIFOS 480 EC AGCN</t>
        </is>
      </c>
      <c r="E2179" s="7" t="inlineStr">
        <is>
          <t>Pulverização Agrícola Conforme Bula</t>
        </is>
      </c>
      <c r="F2179" s="7" t="inlineStr">
        <is>
          <t>Algodão</t>
        </is>
      </c>
      <c r="G2179" s="7" t="inlineStr">
        <is>
          <t>Cultura Autorizada na Bula</t>
        </is>
      </c>
      <c r="H2179" s="7" t="inlineStr">
        <is>
          <t>100 a 300 L/ha</t>
        </is>
      </c>
      <c r="I2179" s="7" t="inlineStr">
        <is>
          <t>20 a 40 L/ha</t>
        </is>
      </c>
      <c r="J2179" s="7" t="inlineStr">
        <is>
          <t>21 dias</t>
        </is>
      </c>
    </row>
    <row r="2180" ht="22" customHeight="1">
      <c r="A2180" s="12" t="inlineStr">
        <is>
          <t>CUL-2176</t>
        </is>
      </c>
      <c r="B2180" s="11" t="n">
        <v>434</v>
      </c>
      <c r="C2180" s="13" t="inlineStr">
        <is>
          <t>Nº 40624</t>
        </is>
      </c>
      <c r="D2180" s="14" t="inlineStr">
        <is>
          <t>CHLORPYRIFOS 480 EC AGCN</t>
        </is>
      </c>
      <c r="E2180" s="13" t="inlineStr">
        <is>
          <t>Pulverização Agrícola Conforme Bula</t>
        </is>
      </c>
      <c r="F2180" s="13" t="inlineStr">
        <is>
          <t>Café</t>
        </is>
      </c>
      <c r="G2180" s="13" t="inlineStr">
        <is>
          <t>Cultura Autorizada na Bula</t>
        </is>
      </c>
      <c r="H2180" s="13" t="inlineStr">
        <is>
          <t>100 a 300 L/ha</t>
        </is>
      </c>
      <c r="I2180" s="13" t="inlineStr">
        <is>
          <t>20 a 40 L/ha</t>
        </is>
      </c>
      <c r="J2180" s="13" t="inlineStr">
        <is>
          <t>21 dias</t>
        </is>
      </c>
    </row>
    <row r="2181" ht="22" customHeight="1">
      <c r="A2181" s="6" t="inlineStr">
        <is>
          <t>CUL-2177</t>
        </is>
      </c>
      <c r="B2181" s="5" t="n">
        <v>434</v>
      </c>
      <c r="C2181" s="7" t="inlineStr">
        <is>
          <t>Nº 40624</t>
        </is>
      </c>
      <c r="D2181" s="8" t="inlineStr">
        <is>
          <t>CHLORPYRIFOS 480 EC AGCN</t>
        </is>
      </c>
      <c r="E2181" s="7" t="inlineStr">
        <is>
          <t>Pulverização Agrícola Conforme Bula</t>
        </is>
      </c>
      <c r="F2181" s="7" t="inlineStr">
        <is>
          <t>Citros</t>
        </is>
      </c>
      <c r="G2181" s="7" t="inlineStr">
        <is>
          <t>Cultura Autorizada na Bula</t>
        </is>
      </c>
      <c r="H2181" s="7" t="inlineStr">
        <is>
          <t>100 a 300 L/ha</t>
        </is>
      </c>
      <c r="I2181" s="7" t="inlineStr">
        <is>
          <t>20 a 40 L/ha</t>
        </is>
      </c>
      <c r="J2181" s="7" t="inlineStr">
        <is>
          <t>21 dias</t>
        </is>
      </c>
    </row>
    <row r="2182" ht="22" customHeight="1">
      <c r="A2182" s="12" t="inlineStr">
        <is>
          <t>CUL-2178</t>
        </is>
      </c>
      <c r="B2182" s="11" t="n">
        <v>434</v>
      </c>
      <c r="C2182" s="13" t="inlineStr">
        <is>
          <t>Nº 40624</t>
        </is>
      </c>
      <c r="D2182" s="14" t="inlineStr">
        <is>
          <t>CHLORPYRIFOS 480 EC AGCN</t>
        </is>
      </c>
      <c r="E2182" s="13" t="inlineStr">
        <is>
          <t>Pulverização Agrícola Conforme Bula</t>
        </is>
      </c>
      <c r="F2182" s="13" t="inlineStr">
        <is>
          <t>Feijão</t>
        </is>
      </c>
      <c r="G2182" s="13" t="inlineStr">
        <is>
          <t>Cultura Autorizada na Bula</t>
        </is>
      </c>
      <c r="H2182" s="13" t="inlineStr">
        <is>
          <t>100 a 300 L/ha</t>
        </is>
      </c>
      <c r="I2182" s="13" t="inlineStr">
        <is>
          <t>20 a 40 L/ha</t>
        </is>
      </c>
      <c r="J2182" s="13" t="inlineStr">
        <is>
          <t>25 dias</t>
        </is>
      </c>
    </row>
    <row r="2183" ht="22" customHeight="1">
      <c r="A2183" s="6" t="inlineStr">
        <is>
          <t>CUL-2179</t>
        </is>
      </c>
      <c r="B2183" s="5" t="n">
        <v>434</v>
      </c>
      <c r="C2183" s="7" t="inlineStr">
        <is>
          <t>Nº 40624</t>
        </is>
      </c>
      <c r="D2183" s="8" t="inlineStr">
        <is>
          <t>CHLORPYRIFOS 480 EC AGCN</t>
        </is>
      </c>
      <c r="E2183" s="7" t="inlineStr">
        <is>
          <t>Pulverização Agrícola Conforme Bula</t>
        </is>
      </c>
      <c r="F2183" s="7" t="inlineStr">
        <is>
          <t>Batata</t>
        </is>
      </c>
      <c r="G2183" s="7" t="inlineStr">
        <is>
          <t>Cultura Autorizada na Bula</t>
        </is>
      </c>
      <c r="H2183" s="7" t="inlineStr">
        <is>
          <t>100 a 300 L/ha</t>
        </is>
      </c>
      <c r="I2183" s="7" t="inlineStr">
        <is>
          <t>20 a 40 L/ha</t>
        </is>
      </c>
      <c r="J2183" s="7" t="inlineStr">
        <is>
          <t>21 dias</t>
        </is>
      </c>
    </row>
    <row r="2184" ht="22" customHeight="1">
      <c r="A2184" s="12" t="inlineStr">
        <is>
          <t>CUL-2180</t>
        </is>
      </c>
      <c r="B2184" s="11" t="n">
        <v>434</v>
      </c>
      <c r="C2184" s="13" t="inlineStr">
        <is>
          <t>Nº 40624</t>
        </is>
      </c>
      <c r="D2184" s="14" t="inlineStr">
        <is>
          <t>CHLORPYRIFOS 480 EC AGCN</t>
        </is>
      </c>
      <c r="E2184" s="13" t="inlineStr">
        <is>
          <t>Pulverização Agrícola Conforme Bula</t>
        </is>
      </c>
      <c r="F2184" s="13" t="inlineStr">
        <is>
          <t>Tomate</t>
        </is>
      </c>
      <c r="G2184" s="13" t="inlineStr">
        <is>
          <t>Cultura Autorizada na Bula</t>
        </is>
      </c>
      <c r="H2184" s="13" t="inlineStr">
        <is>
          <t>100 a 300 L/ha</t>
        </is>
      </c>
      <c r="I2184" s="13" t="inlineStr">
        <is>
          <t>20 a 40 L/ha</t>
        </is>
      </c>
      <c r="J2184" s="13" t="inlineStr">
        <is>
          <t>21 dias</t>
        </is>
      </c>
    </row>
    <row r="2185" ht="22" customHeight="1">
      <c r="A2185" s="6" t="inlineStr">
        <is>
          <t>CUL-2181</t>
        </is>
      </c>
      <c r="B2185" s="5" t="n">
        <v>434</v>
      </c>
      <c r="C2185" s="7" t="inlineStr">
        <is>
          <t>Nº 40624</t>
        </is>
      </c>
      <c r="D2185" s="8" t="inlineStr">
        <is>
          <t>CHLORPYRIFOS 480 EC AGCN</t>
        </is>
      </c>
      <c r="E2185" s="7" t="inlineStr">
        <is>
          <t>Pulverização Agrícola Conforme Bula</t>
        </is>
      </c>
      <c r="F2185" s="7" t="inlineStr">
        <is>
          <t>Trigo</t>
        </is>
      </c>
      <c r="G2185" s="7" t="inlineStr">
        <is>
          <t>Cultura Autorizada na Bula</t>
        </is>
      </c>
      <c r="H2185" s="7" t="inlineStr">
        <is>
          <t>100 a 300 L/ha</t>
        </is>
      </c>
      <c r="I2185" s="7" t="inlineStr">
        <is>
          <t>20 a 40 L/ha</t>
        </is>
      </c>
      <c r="J2185" s="7" t="inlineStr">
        <is>
          <t>21 dias</t>
        </is>
      </c>
    </row>
    <row r="2186" ht="22" customHeight="1">
      <c r="A2186" s="12" t="inlineStr">
        <is>
          <t>CUL-2182</t>
        </is>
      </c>
      <c r="B2186" s="11" t="n">
        <v>435</v>
      </c>
      <c r="C2186" s="13" t="inlineStr">
        <is>
          <t>Nº 31422</t>
        </is>
      </c>
      <c r="D2186" s="14" t="inlineStr">
        <is>
          <t>ZARPAL</t>
        </is>
      </c>
      <c r="E2186" s="13" t="inlineStr">
        <is>
          <t>Pulverização Agrícola Conforme Bula</t>
        </is>
      </c>
      <c r="F2186" s="13" t="inlineStr">
        <is>
          <t>Algodão</t>
        </is>
      </c>
      <c r="G2186" s="13" t="inlineStr">
        <is>
          <t>Cultura Autorizada na Bula</t>
        </is>
      </c>
      <c r="H2186" s="13" t="inlineStr">
        <is>
          <t>100 a 300 L/ha</t>
        </is>
      </c>
      <c r="I2186" s="13" t="inlineStr">
        <is>
          <t>20 a 40 L/ha</t>
        </is>
      </c>
      <c r="J2186" s="13" t="inlineStr">
        <is>
          <t>15 dias</t>
        </is>
      </c>
    </row>
    <row r="2187" ht="22" customHeight="1">
      <c r="A2187" s="6" t="inlineStr">
        <is>
          <t>CUL-2183</t>
        </is>
      </c>
      <c r="B2187" s="5" t="n">
        <v>435</v>
      </c>
      <c r="C2187" s="7" t="inlineStr">
        <is>
          <t>Nº 31422</t>
        </is>
      </c>
      <c r="D2187" s="8" t="inlineStr">
        <is>
          <t>ZARPAL</t>
        </is>
      </c>
      <c r="E2187" s="7" t="inlineStr">
        <is>
          <t>Pulverização Agrícola Conforme Bula</t>
        </is>
      </c>
      <c r="F2187" s="7" t="inlineStr">
        <is>
          <t>Soja</t>
        </is>
      </c>
      <c r="G2187" s="7" t="inlineStr">
        <is>
          <t>Cultura Autorizada na Bula</t>
        </is>
      </c>
      <c r="H2187" s="7" t="inlineStr">
        <is>
          <t>100 a 300 L/ha</t>
        </is>
      </c>
      <c r="I2187" s="7" t="inlineStr">
        <is>
          <t>20 a 40 L/ha</t>
        </is>
      </c>
      <c r="J2187" s="7" t="inlineStr">
        <is>
          <t>30 dias</t>
        </is>
      </c>
    </row>
    <row r="2188" ht="22" customHeight="1">
      <c r="A2188" s="12" t="inlineStr">
        <is>
          <t>CUL-2184</t>
        </is>
      </c>
      <c r="B2188" s="11" t="n">
        <v>435</v>
      </c>
      <c r="C2188" s="13" t="inlineStr">
        <is>
          <t>Nº 31422</t>
        </is>
      </c>
      <c r="D2188" s="14" t="inlineStr">
        <is>
          <t>ZARPAL</t>
        </is>
      </c>
      <c r="E2188" s="13" t="inlineStr">
        <is>
          <t>Pulverização Agrícola Conforme Bula</t>
        </is>
      </c>
      <c r="F2188" s="13" t="inlineStr">
        <is>
          <t>Milho</t>
        </is>
      </c>
      <c r="G2188" s="13" t="inlineStr">
        <is>
          <t>Cultura Autorizada na Bula</t>
        </is>
      </c>
      <c r="H2188" s="13" t="inlineStr">
        <is>
          <t>100 a 300 L/ha</t>
        </is>
      </c>
      <c r="I2188" s="13" t="inlineStr">
        <is>
          <t>20 a 40 L/ha</t>
        </is>
      </c>
      <c r="J2188" s="13" t="inlineStr">
        <is>
          <t>30 dias</t>
        </is>
      </c>
    </row>
    <row r="2189" ht="22" customHeight="1">
      <c r="A2189" s="6" t="inlineStr">
        <is>
          <t>CUL-2185</t>
        </is>
      </c>
      <c r="B2189" s="5" t="n">
        <v>435</v>
      </c>
      <c r="C2189" s="7" t="inlineStr">
        <is>
          <t>Nº 31422</t>
        </is>
      </c>
      <c r="D2189" s="8" t="inlineStr">
        <is>
          <t>ZARPAL</t>
        </is>
      </c>
      <c r="E2189" s="7" t="inlineStr">
        <is>
          <t>Pulverização Agrícola Conforme Bula</t>
        </is>
      </c>
      <c r="F2189" s="7" t="inlineStr">
        <is>
          <t>Cana-de-açúcar</t>
        </is>
      </c>
      <c r="G2189" s="7" t="inlineStr">
        <is>
          <t>Cultura Autorizada na Bula</t>
        </is>
      </c>
      <c r="H2189" s="7" t="inlineStr">
        <is>
          <t>100 a 300 L/ha</t>
        </is>
      </c>
      <c r="I2189" s="7" t="inlineStr">
        <is>
          <t>20 a 40 L/ha</t>
        </is>
      </c>
      <c r="J2189" s="7" t="inlineStr">
        <is>
          <t>30 dias</t>
        </is>
      </c>
    </row>
    <row r="2190" ht="22" customHeight="1">
      <c r="A2190" s="12" t="inlineStr">
        <is>
          <t>CUL-2186</t>
        </is>
      </c>
      <c r="B2190" s="11" t="n">
        <v>435</v>
      </c>
      <c r="C2190" s="13" t="inlineStr">
        <is>
          <t>Nº 31422</t>
        </is>
      </c>
      <c r="D2190" s="14" t="inlineStr">
        <is>
          <t>ZARPAL</t>
        </is>
      </c>
      <c r="E2190" s="13" t="inlineStr">
        <is>
          <t>Pulverização Agrícola Conforme Bula</t>
        </is>
      </c>
      <c r="F2190" s="13" t="inlineStr">
        <is>
          <t>Café</t>
        </is>
      </c>
      <c r="G2190" s="13" t="inlineStr">
        <is>
          <t>Cultura Autorizada na Bula</t>
        </is>
      </c>
      <c r="H2190" s="13" t="inlineStr">
        <is>
          <t>100 a 300 L/ha</t>
        </is>
      </c>
      <c r="I2190" s="13" t="inlineStr">
        <is>
          <t>20 a 40 L/ha</t>
        </is>
      </c>
      <c r="J2190" s="13" t="inlineStr">
        <is>
          <t>30 dias</t>
        </is>
      </c>
    </row>
    <row r="2191" ht="22" customHeight="1">
      <c r="A2191" s="6" t="inlineStr">
        <is>
          <t>CUL-2187</t>
        </is>
      </c>
      <c r="B2191" s="5" t="n">
        <v>435</v>
      </c>
      <c r="C2191" s="7" t="inlineStr">
        <is>
          <t>Nº 31422</t>
        </is>
      </c>
      <c r="D2191" s="8" t="inlineStr">
        <is>
          <t>ZARPAL</t>
        </is>
      </c>
      <c r="E2191" s="7" t="inlineStr">
        <is>
          <t>Pulverização Agrícola Conforme Bula</t>
        </is>
      </c>
      <c r="F2191" s="7" t="inlineStr">
        <is>
          <t>Citros</t>
        </is>
      </c>
      <c r="G2191" s="7" t="inlineStr">
        <is>
          <t>Cultura Autorizada na Bula</t>
        </is>
      </c>
      <c r="H2191" s="7" t="inlineStr">
        <is>
          <t>100 a 300 L/ha</t>
        </is>
      </c>
      <c r="I2191" s="7" t="inlineStr">
        <is>
          <t>20 a 40 L/ha</t>
        </is>
      </c>
      <c r="J2191" s="7" t="inlineStr">
        <is>
          <t>7 dias</t>
        </is>
      </c>
    </row>
    <row r="2192" ht="22" customHeight="1">
      <c r="A2192" s="12" t="inlineStr">
        <is>
          <t>CUL-2188</t>
        </is>
      </c>
      <c r="B2192" s="11" t="n">
        <v>435</v>
      </c>
      <c r="C2192" s="13" t="inlineStr">
        <is>
          <t>Nº 31422</t>
        </is>
      </c>
      <c r="D2192" s="14" t="inlineStr">
        <is>
          <t>ZARPAL</t>
        </is>
      </c>
      <c r="E2192" s="13" t="inlineStr">
        <is>
          <t>Pulverização Agrícola Conforme Bula</t>
        </is>
      </c>
      <c r="F2192" s="13" t="inlineStr">
        <is>
          <t>Feijão</t>
        </is>
      </c>
      <c r="G2192" s="13" t="inlineStr">
        <is>
          <t>Cultura Autorizada na Bula</t>
        </is>
      </c>
      <c r="H2192" s="13" t="inlineStr">
        <is>
          <t>100 a 300 L/ha</t>
        </is>
      </c>
      <c r="I2192" s="13" t="inlineStr">
        <is>
          <t>20 a 40 L/ha</t>
        </is>
      </c>
      <c r="J2192" s="13" t="inlineStr">
        <is>
          <t>20 dias</t>
        </is>
      </c>
    </row>
    <row r="2193" ht="22" customHeight="1">
      <c r="A2193" s="6" t="inlineStr">
        <is>
          <t>CUL-2189</t>
        </is>
      </c>
      <c r="B2193" s="5" t="n">
        <v>435</v>
      </c>
      <c r="C2193" s="7" t="inlineStr">
        <is>
          <t>Nº 31422</t>
        </is>
      </c>
      <c r="D2193" s="8" t="inlineStr">
        <is>
          <t>ZARPAL</t>
        </is>
      </c>
      <c r="E2193" s="7" t="inlineStr">
        <is>
          <t>Pulverização Agrícola Conforme Bula</t>
        </is>
      </c>
      <c r="F2193" s="7" t="inlineStr">
        <is>
          <t>Trigo</t>
        </is>
      </c>
      <c r="G2193" s="7" t="inlineStr">
        <is>
          <t>Cultura Autorizada na Bula</t>
        </is>
      </c>
      <c r="H2193" s="7" t="inlineStr">
        <is>
          <t>100 a 300 L/ha</t>
        </is>
      </c>
      <c r="I2193" s="7" t="inlineStr">
        <is>
          <t>20 a 40 L/ha</t>
        </is>
      </c>
      <c r="J2193" s="7" t="inlineStr">
        <is>
          <t>30 dias</t>
        </is>
      </c>
    </row>
    <row r="2194" ht="22" customHeight="1">
      <c r="A2194" s="12" t="inlineStr">
        <is>
          <t>CUL-2190</t>
        </is>
      </c>
      <c r="B2194" s="11" t="n">
        <v>436</v>
      </c>
      <c r="C2194" s="13" t="inlineStr">
        <is>
          <t>Nº 39617</t>
        </is>
      </c>
      <c r="D2194" s="14" t="inlineStr">
        <is>
          <t>SHYPER 250 EC</t>
        </is>
      </c>
      <c r="E2194" s="13" t="inlineStr">
        <is>
          <t>Pulverização Agrícola Conforme Bula</t>
        </is>
      </c>
      <c r="F2194" s="13" t="inlineStr">
        <is>
          <t>Soja</t>
        </is>
      </c>
      <c r="G2194" s="13" t="inlineStr">
        <is>
          <t>Cultura Autorizada na Bula</t>
        </is>
      </c>
      <c r="H2194" s="13" t="inlineStr">
        <is>
          <t>100 a 300 L/ha</t>
        </is>
      </c>
      <c r="I2194" s="13" t="inlineStr">
        <is>
          <t>20 a 40 L/ha</t>
        </is>
      </c>
      <c r="J2194" s="13" t="inlineStr">
        <is>
          <t>21 dias</t>
        </is>
      </c>
    </row>
    <row r="2195" ht="22" customHeight="1">
      <c r="A2195" s="6" t="inlineStr">
        <is>
          <t>CUL-2191</t>
        </is>
      </c>
      <c r="B2195" s="5" t="n">
        <v>436</v>
      </c>
      <c r="C2195" s="7" t="inlineStr">
        <is>
          <t>Nº 39617</t>
        </is>
      </c>
      <c r="D2195" s="8" t="inlineStr">
        <is>
          <t>SHYPER 250 EC</t>
        </is>
      </c>
      <c r="E2195" s="7" t="inlineStr">
        <is>
          <t>Pulverização Agrícola Conforme Bula</t>
        </is>
      </c>
      <c r="F2195" s="7" t="inlineStr">
        <is>
          <t>Milho</t>
        </is>
      </c>
      <c r="G2195" s="7" t="inlineStr">
        <is>
          <t>Cultura Autorizada na Bula</t>
        </is>
      </c>
      <c r="H2195" s="7" t="inlineStr">
        <is>
          <t>100 a 300 L/ha</t>
        </is>
      </c>
      <c r="I2195" s="7" t="inlineStr">
        <is>
          <t>20 a 40 L/ha</t>
        </is>
      </c>
      <c r="J2195" s="7" t="inlineStr">
        <is>
          <t>21 dias</t>
        </is>
      </c>
    </row>
    <row r="2196" ht="22" customHeight="1">
      <c r="A2196" s="12" t="inlineStr">
        <is>
          <t>CUL-2192</t>
        </is>
      </c>
      <c r="B2196" s="11" t="n">
        <v>436</v>
      </c>
      <c r="C2196" s="13" t="inlineStr">
        <is>
          <t>Nº 39617</t>
        </is>
      </c>
      <c r="D2196" s="14" t="inlineStr">
        <is>
          <t>SHYPER 250 EC</t>
        </is>
      </c>
      <c r="E2196" s="13" t="inlineStr">
        <is>
          <t>Pulverização Agrícola Conforme Bula</t>
        </is>
      </c>
      <c r="F2196" s="13" t="inlineStr">
        <is>
          <t>Algodão</t>
        </is>
      </c>
      <c r="G2196" s="13" t="inlineStr">
        <is>
          <t>Cultura Autorizada na Bula</t>
        </is>
      </c>
      <c r="H2196" s="13" t="inlineStr">
        <is>
          <t>100 a 300 L/ha</t>
        </is>
      </c>
      <c r="I2196" s="13" t="inlineStr">
        <is>
          <t>20 a 40 L/ha</t>
        </is>
      </c>
      <c r="J2196" s="13" t="inlineStr">
        <is>
          <t>21 dias</t>
        </is>
      </c>
    </row>
    <row r="2197" ht="22" customHeight="1">
      <c r="A2197" s="6" t="inlineStr">
        <is>
          <t>CUL-2193</t>
        </is>
      </c>
      <c r="B2197" s="5" t="n">
        <v>436</v>
      </c>
      <c r="C2197" s="7" t="inlineStr">
        <is>
          <t>Nº 39617</t>
        </is>
      </c>
      <c r="D2197" s="8" t="inlineStr">
        <is>
          <t>SHYPER 250 EC</t>
        </is>
      </c>
      <c r="E2197" s="7" t="inlineStr">
        <is>
          <t>Pulverização Agrícola Conforme Bula</t>
        </is>
      </c>
      <c r="F2197" s="7" t="inlineStr">
        <is>
          <t>Feijão</t>
        </is>
      </c>
      <c r="G2197" s="7" t="inlineStr">
        <is>
          <t>Cultura Autorizada na Bula</t>
        </is>
      </c>
      <c r="H2197" s="7" t="inlineStr">
        <is>
          <t>100 a 300 L/ha</t>
        </is>
      </c>
      <c r="I2197" s="7" t="inlineStr">
        <is>
          <t>20 a 40 L/ha</t>
        </is>
      </c>
      <c r="J2197" s="7" t="inlineStr">
        <is>
          <t>14 dias</t>
        </is>
      </c>
    </row>
    <row r="2198" ht="22" customHeight="1">
      <c r="A2198" s="12" t="inlineStr">
        <is>
          <t>CUL-2194</t>
        </is>
      </c>
      <c r="B2198" s="11" t="n">
        <v>437</v>
      </c>
      <c r="C2198" s="13" t="inlineStr">
        <is>
          <t>Nº 32821</t>
        </is>
      </c>
      <c r="D2198" s="14" t="inlineStr">
        <is>
          <t>SIRTAKI 360 CS</t>
        </is>
      </c>
      <c r="E2198" s="13" t="inlineStr">
        <is>
          <t>Pulverização Agrícola Conforme Bula</t>
        </is>
      </c>
      <c r="F2198" s="13" t="inlineStr">
        <is>
          <t>Cana-de-açúcar</t>
        </is>
      </c>
      <c r="G2198" s="13" t="inlineStr">
        <is>
          <t>Cultura Autorizada na Bula</t>
        </is>
      </c>
      <c r="H2198" s="13" t="inlineStr">
        <is>
          <t>100 a 300 L/ha</t>
        </is>
      </c>
      <c r="I2198" s="13" t="inlineStr">
        <is>
          <t>20 a 40 L/ha</t>
        </is>
      </c>
      <c r="J2198" s="13" t="inlineStr">
        <is>
          <t>N/D</t>
        </is>
      </c>
    </row>
    <row r="2199" ht="22" customHeight="1">
      <c r="A2199" s="6" t="inlineStr">
        <is>
          <t>CUL-2195</t>
        </is>
      </c>
      <c r="B2199" s="5" t="n">
        <v>437</v>
      </c>
      <c r="C2199" s="7" t="inlineStr">
        <is>
          <t>Nº 32821</t>
        </is>
      </c>
      <c r="D2199" s="8" t="inlineStr">
        <is>
          <t>SIRTAKI 360 CS</t>
        </is>
      </c>
      <c r="E2199" s="7" t="inlineStr">
        <is>
          <t>Pulverização Agrícola Conforme Bula</t>
        </is>
      </c>
      <c r="F2199" s="7" t="inlineStr">
        <is>
          <t>Arroz</t>
        </is>
      </c>
      <c r="G2199" s="7" t="inlineStr">
        <is>
          <t>Cultura Autorizada na Bula</t>
        </is>
      </c>
      <c r="H2199" s="7" t="inlineStr">
        <is>
          <t>100 a 300 L/ha</t>
        </is>
      </c>
      <c r="I2199" s="7" t="inlineStr">
        <is>
          <t>20 a 40 L/ha</t>
        </is>
      </c>
      <c r="J2199" s="7" t="inlineStr">
        <is>
          <t>90 dias</t>
        </is>
      </c>
    </row>
    <row r="2200" ht="22" customHeight="1">
      <c r="A2200" s="12" t="inlineStr">
        <is>
          <t>CUL-2196</t>
        </is>
      </c>
      <c r="B2200" s="11" t="n">
        <v>437</v>
      </c>
      <c r="C2200" s="13" t="inlineStr">
        <is>
          <t>Nº 32821</t>
        </is>
      </c>
      <c r="D2200" s="14" t="inlineStr">
        <is>
          <t>SIRTAKI 360 CS</t>
        </is>
      </c>
      <c r="E2200" s="13" t="inlineStr">
        <is>
          <t>Pulverização Agrícola Conforme Bula</t>
        </is>
      </c>
      <c r="F2200" s="13" t="inlineStr">
        <is>
          <t>Soja</t>
        </is>
      </c>
      <c r="G2200" s="13" t="inlineStr">
        <is>
          <t>Cultura Autorizada na Bula</t>
        </is>
      </c>
      <c r="H2200" s="13" t="inlineStr">
        <is>
          <t>100 a 300 L/ha</t>
        </is>
      </c>
      <c r="I2200" s="13" t="inlineStr">
        <is>
          <t>20 a 40 L/ha</t>
        </is>
      </c>
      <c r="J2200" s="13" t="inlineStr">
        <is>
          <t>N/D</t>
        </is>
      </c>
    </row>
    <row r="2201" ht="22" customHeight="1">
      <c r="A2201" s="6" t="inlineStr">
        <is>
          <t>CUL-2197</t>
        </is>
      </c>
      <c r="B2201" s="5" t="n">
        <v>437</v>
      </c>
      <c r="C2201" s="7" t="inlineStr">
        <is>
          <t>Nº 32821</t>
        </is>
      </c>
      <c r="D2201" s="8" t="inlineStr">
        <is>
          <t>SIRTAKI 360 CS</t>
        </is>
      </c>
      <c r="E2201" s="7" t="inlineStr">
        <is>
          <t>Pulverização Agrícola Conforme Bula</t>
        </is>
      </c>
      <c r="F2201" s="7" t="inlineStr">
        <is>
          <t>Algodão</t>
        </is>
      </c>
      <c r="G2201" s="7" t="inlineStr">
        <is>
          <t>Cultura Autorizada na Bula</t>
        </is>
      </c>
      <c r="H2201" s="7" t="inlineStr">
        <is>
          <t>100 a 300 L/ha</t>
        </is>
      </c>
      <c r="I2201" s="7" t="inlineStr">
        <is>
          <t>20 a 40 L/ha</t>
        </is>
      </c>
      <c r="J2201" s="7" t="inlineStr">
        <is>
          <t>100 dias</t>
        </is>
      </c>
    </row>
    <row r="2202" ht="22" customHeight="1">
      <c r="A2202" s="12" t="inlineStr">
        <is>
          <t>CUL-2198</t>
        </is>
      </c>
      <c r="B2202" s="11" t="n">
        <v>437</v>
      </c>
      <c r="C2202" s="13" t="inlineStr">
        <is>
          <t>Nº 32821</t>
        </is>
      </c>
      <c r="D2202" s="14" t="inlineStr">
        <is>
          <t>SIRTAKI 360 CS</t>
        </is>
      </c>
      <c r="E2202" s="13" t="inlineStr">
        <is>
          <t>Pulverização Agrícola Conforme Bula</t>
        </is>
      </c>
      <c r="F2202" s="13" t="inlineStr">
        <is>
          <t>Mandioca</t>
        </is>
      </c>
      <c r="G2202" s="13" t="inlineStr">
        <is>
          <t>Cultura Autorizada na Bula</t>
        </is>
      </c>
      <c r="H2202" s="13" t="inlineStr">
        <is>
          <t>100 a 300 L/ha</t>
        </is>
      </c>
      <c r="I2202" s="13" t="inlineStr">
        <is>
          <t>20 a 40 L/ha</t>
        </is>
      </c>
      <c r="J2202" s="13" t="inlineStr">
        <is>
          <t>N/D</t>
        </is>
      </c>
    </row>
    <row r="2203" ht="22" customHeight="1">
      <c r="A2203" s="6" t="inlineStr">
        <is>
          <t>CUL-2199</t>
        </is>
      </c>
      <c r="B2203" s="5" t="n">
        <v>437</v>
      </c>
      <c r="C2203" s="7" t="inlineStr">
        <is>
          <t>Nº 32821</t>
        </is>
      </c>
      <c r="D2203" s="8" t="inlineStr">
        <is>
          <t>SIRTAKI 360 CS</t>
        </is>
      </c>
      <c r="E2203" s="7" t="inlineStr">
        <is>
          <t>Pulverização Agrícola Conforme Bula</t>
        </is>
      </c>
      <c r="F2203" s="7" t="inlineStr">
        <is>
          <t>Tabaco</t>
        </is>
      </c>
      <c r="G2203" s="7" t="inlineStr">
        <is>
          <t>Cultura Autorizada na Bula</t>
        </is>
      </c>
      <c r="H2203" s="7" t="inlineStr">
        <is>
          <t>100 a 300 L/ha</t>
        </is>
      </c>
      <c r="I2203" s="7" t="inlineStr">
        <is>
          <t>20 a 40 L/ha</t>
        </is>
      </c>
      <c r="J2203" s="7" t="inlineStr">
        <is>
          <t>N/D</t>
        </is>
      </c>
    </row>
    <row r="2204" ht="22" customHeight="1">
      <c r="A2204" s="12" t="inlineStr">
        <is>
          <t>CUL-2200</t>
        </is>
      </c>
      <c r="B2204" s="11" t="n">
        <v>438</v>
      </c>
      <c r="C2204" s="13" t="inlineStr">
        <is>
          <t>Nº 24218</t>
        </is>
      </c>
      <c r="D2204" s="14" t="inlineStr">
        <is>
          <t>2,4-D 806 SL (PRINCIPIO ATIVO)</t>
        </is>
      </c>
      <c r="E2204" s="13" t="inlineStr">
        <is>
          <t>Uso Exclusivamente Industrial (Formulação)</t>
        </is>
      </c>
      <c r="F2204" s="13" t="inlineStr">
        <is>
          <t>Não Aplicável (Proibido uso direto na lavoura)</t>
        </is>
      </c>
      <c r="G2204" s="13" t="inlineStr">
        <is>
          <t>Insumo Industrial</t>
        </is>
      </c>
      <c r="H2204" s="13" t="inlineStr">
        <is>
          <t>N/A</t>
        </is>
      </c>
      <c r="I2204" s="13" t="inlineStr">
        <is>
          <t>N/A</t>
        </is>
      </c>
      <c r="J2204" s="13" t="inlineStr">
        <is>
          <t>N/A (Insumo Industrial)</t>
        </is>
      </c>
    </row>
    <row r="2205" ht="22" customHeight="1">
      <c r="A2205" s="6" t="inlineStr">
        <is>
          <t>CUL-2201</t>
        </is>
      </c>
      <c r="B2205" s="5" t="n">
        <v>439</v>
      </c>
      <c r="C2205" s="7" t="inlineStr">
        <is>
          <t>Nº 12225</t>
        </is>
      </c>
      <c r="D2205" s="8" t="inlineStr">
        <is>
          <t>IMPACTUS CS (PRINCIPIO ATIVO)</t>
        </is>
      </c>
      <c r="E2205" s="7" t="inlineStr">
        <is>
          <t>Uso Exclusivamente Industrial (Formulação)</t>
        </is>
      </c>
      <c r="F2205" s="7" t="inlineStr">
        <is>
          <t>Não Aplicável (Proibido uso direto na lavoura)</t>
        </is>
      </c>
      <c r="G2205" s="7" t="inlineStr">
        <is>
          <t>Insumo Industrial</t>
        </is>
      </c>
      <c r="H2205" s="7" t="inlineStr">
        <is>
          <t>N/A</t>
        </is>
      </c>
      <c r="I2205" s="7" t="inlineStr">
        <is>
          <t>N/A</t>
        </is>
      </c>
      <c r="J2205" s="7" t="inlineStr">
        <is>
          <t>N/A (Insumo Industrial)</t>
        </is>
      </c>
    </row>
    <row r="2206" ht="22" customHeight="1">
      <c r="A2206" s="12" t="inlineStr">
        <is>
          <t>CUL-2202</t>
        </is>
      </c>
      <c r="B2206" s="11" t="n">
        <v>440</v>
      </c>
      <c r="C2206" s="13" t="inlineStr">
        <is>
          <t>Nº 28421</t>
        </is>
      </c>
      <c r="D2206" s="14" t="inlineStr">
        <is>
          <t>CLORFENAPIR CCAB</t>
        </is>
      </c>
      <c r="E2206" s="13" t="inlineStr">
        <is>
          <t>Uso Exclusivamente Industrial (Formulação)</t>
        </is>
      </c>
      <c r="F2206" s="13" t="inlineStr">
        <is>
          <t>Não Aplicável (Proibido uso direto na lavoura)</t>
        </is>
      </c>
      <c r="G2206" s="13" t="inlineStr">
        <is>
          <t>Insumo Industrial</t>
        </is>
      </c>
      <c r="H2206" s="13" t="inlineStr">
        <is>
          <t>N/A</t>
        </is>
      </c>
      <c r="I2206" s="13" t="inlineStr">
        <is>
          <t>N/A</t>
        </is>
      </c>
      <c r="J2206" s="13" t="inlineStr">
        <is>
          <t>N/A (Insumo Industrial)</t>
        </is>
      </c>
    </row>
    <row r="2207" ht="22" customHeight="1">
      <c r="A2207" s="6" t="inlineStr">
        <is>
          <t>CUL-2203</t>
        </is>
      </c>
      <c r="B2207" s="5" t="n">
        <v>441</v>
      </c>
      <c r="C2207" s="7" t="inlineStr">
        <is>
          <t>Nº 26017</t>
        </is>
      </c>
      <c r="D2207" s="8" t="inlineStr">
        <is>
          <t>MESOTRIONA PROVENTIS (PRINCIPIO ATIVO)</t>
        </is>
      </c>
      <c r="E2207" s="7" t="inlineStr">
        <is>
          <t>Uso Exclusivamente Industrial (Formulação)</t>
        </is>
      </c>
      <c r="F2207" s="7" t="inlineStr">
        <is>
          <t>Não Aplicável (Proibido uso direto na lavoura)</t>
        </is>
      </c>
      <c r="G2207" s="7" t="inlineStr">
        <is>
          <t>Insumo Industrial</t>
        </is>
      </c>
      <c r="H2207" s="7" t="inlineStr">
        <is>
          <t>N/A</t>
        </is>
      </c>
      <c r="I2207" s="7" t="inlineStr">
        <is>
          <t>N/A</t>
        </is>
      </c>
      <c r="J2207" s="7" t="inlineStr">
        <is>
          <t>N/A (Insumo Industrial)</t>
        </is>
      </c>
    </row>
    <row r="2208" ht="22" customHeight="1">
      <c r="A2208" s="12" t="inlineStr">
        <is>
          <t>CUL-2204</t>
        </is>
      </c>
      <c r="B2208" s="11" t="n">
        <v>442</v>
      </c>
      <c r="C2208" s="13" t="inlineStr">
        <is>
          <t>Nº 1218</t>
        </is>
      </c>
      <c r="D2208" s="14" t="inlineStr">
        <is>
          <t>ACETAMIPRID 200 (PRINCIPIO ATVO)</t>
        </is>
      </c>
      <c r="E2208" s="13" t="inlineStr">
        <is>
          <t>Uso Exclusivamente Industrial (Formulação)</t>
        </is>
      </c>
      <c r="F2208" s="13" t="inlineStr">
        <is>
          <t>Não Aplicável (Proibido uso direto na lavoura)</t>
        </is>
      </c>
      <c r="G2208" s="13" t="inlineStr">
        <is>
          <t>Insumo Industrial</t>
        </is>
      </c>
      <c r="H2208" s="13" t="inlineStr">
        <is>
          <t>N/A</t>
        </is>
      </c>
      <c r="I2208" s="13" t="inlineStr">
        <is>
          <t>N/A</t>
        </is>
      </c>
      <c r="J2208" s="13" t="inlineStr">
        <is>
          <t>N/A (Insumo Industrial)</t>
        </is>
      </c>
    </row>
    <row r="2209" ht="22" customHeight="1">
      <c r="A2209" s="6" t="inlineStr">
        <is>
          <t>CUL-2205</t>
        </is>
      </c>
      <c r="B2209" s="5" t="n">
        <v>443</v>
      </c>
      <c r="C2209" s="7" t="inlineStr">
        <is>
          <t>Nº 39617</t>
        </is>
      </c>
      <c r="D2209" s="8" t="inlineStr">
        <is>
          <t>SHYPER 250 EC</t>
        </is>
      </c>
      <c r="E2209" s="7" t="inlineStr">
        <is>
          <t>Pulverização Agrícola Conforme Bula</t>
        </is>
      </c>
      <c r="F2209" s="7" t="inlineStr">
        <is>
          <t>Soja</t>
        </is>
      </c>
      <c r="G2209" s="7" t="inlineStr">
        <is>
          <t>Cultura Autorizada na Bula</t>
        </is>
      </c>
      <c r="H2209" s="7" t="inlineStr">
        <is>
          <t>100 a 300 L/ha</t>
        </is>
      </c>
      <c r="I2209" s="7" t="inlineStr">
        <is>
          <t>20 a 40 L/ha</t>
        </is>
      </c>
      <c r="J2209" s="7" t="inlineStr">
        <is>
          <t>21 dias</t>
        </is>
      </c>
    </row>
    <row r="2210" ht="22" customHeight="1">
      <c r="A2210" s="12" t="inlineStr">
        <is>
          <t>CUL-2206</t>
        </is>
      </c>
      <c r="B2210" s="11" t="n">
        <v>443</v>
      </c>
      <c r="C2210" s="13" t="inlineStr">
        <is>
          <t>Nº 39617</t>
        </is>
      </c>
      <c r="D2210" s="14" t="inlineStr">
        <is>
          <t>SHYPER 250 EC</t>
        </is>
      </c>
      <c r="E2210" s="13" t="inlineStr">
        <is>
          <t>Pulverização Agrícola Conforme Bula</t>
        </is>
      </c>
      <c r="F2210" s="13" t="inlineStr">
        <is>
          <t>Milho</t>
        </is>
      </c>
      <c r="G2210" s="13" t="inlineStr">
        <is>
          <t>Cultura Autorizada na Bula</t>
        </is>
      </c>
      <c r="H2210" s="13" t="inlineStr">
        <is>
          <t>100 a 300 L/ha</t>
        </is>
      </c>
      <c r="I2210" s="13" t="inlineStr">
        <is>
          <t>20 a 40 L/ha</t>
        </is>
      </c>
      <c r="J2210" s="13" t="inlineStr">
        <is>
          <t>21 dias</t>
        </is>
      </c>
    </row>
    <row r="2211" ht="22" customHeight="1">
      <c r="A2211" s="6" t="inlineStr">
        <is>
          <t>CUL-2207</t>
        </is>
      </c>
      <c r="B2211" s="5" t="n">
        <v>443</v>
      </c>
      <c r="C2211" s="7" t="inlineStr">
        <is>
          <t>Nº 39617</t>
        </is>
      </c>
      <c r="D2211" s="8" t="inlineStr">
        <is>
          <t>SHYPER 250 EC</t>
        </is>
      </c>
      <c r="E2211" s="7" t="inlineStr">
        <is>
          <t>Pulverização Agrícola Conforme Bula</t>
        </is>
      </c>
      <c r="F2211" s="7" t="inlineStr">
        <is>
          <t>Algodão</t>
        </is>
      </c>
      <c r="G2211" s="7" t="inlineStr">
        <is>
          <t>Cultura Autorizada na Bula</t>
        </is>
      </c>
      <c r="H2211" s="7" t="inlineStr">
        <is>
          <t>100 a 300 L/ha</t>
        </is>
      </c>
      <c r="I2211" s="7" t="inlineStr">
        <is>
          <t>20 a 40 L/ha</t>
        </is>
      </c>
      <c r="J2211" s="7" t="inlineStr">
        <is>
          <t>21 dias</t>
        </is>
      </c>
    </row>
    <row r="2212" ht="22" customHeight="1">
      <c r="A2212" s="12" t="inlineStr">
        <is>
          <t>CUL-2208</t>
        </is>
      </c>
      <c r="B2212" s="11" t="n">
        <v>443</v>
      </c>
      <c r="C2212" s="13" t="inlineStr">
        <is>
          <t>Nº 39617</t>
        </is>
      </c>
      <c r="D2212" s="14" t="inlineStr">
        <is>
          <t>SHYPER 250 EC</t>
        </is>
      </c>
      <c r="E2212" s="13" t="inlineStr">
        <is>
          <t>Pulverização Agrícola Conforme Bula</t>
        </is>
      </c>
      <c r="F2212" s="13" t="inlineStr">
        <is>
          <t>Feijão</t>
        </is>
      </c>
      <c r="G2212" s="13" t="inlineStr">
        <is>
          <t>Cultura Autorizada na Bula</t>
        </is>
      </c>
      <c r="H2212" s="13" t="inlineStr">
        <is>
          <t>100 a 300 L/ha</t>
        </is>
      </c>
      <c r="I2212" s="13" t="inlineStr">
        <is>
          <t>20 a 40 L/ha</t>
        </is>
      </c>
      <c r="J2212" s="13" t="inlineStr">
        <is>
          <t>14 dias</t>
        </is>
      </c>
    </row>
    <row r="2213" ht="22" customHeight="1">
      <c r="A2213" s="6" t="inlineStr">
        <is>
          <t>CUL-2209</t>
        </is>
      </c>
      <c r="B2213" s="5" t="n">
        <v>444</v>
      </c>
      <c r="C2213" s="7" t="inlineStr">
        <is>
          <t>Nº 1223</t>
        </is>
      </c>
      <c r="D2213" s="8" t="inlineStr">
        <is>
          <t>FULLGUARD</t>
        </is>
      </c>
      <c r="E2213" s="7" t="inlineStr">
        <is>
          <t>Pulverização Agrícola Conforme Bula</t>
        </is>
      </c>
      <c r="F2213" s="7" t="inlineStr">
        <is>
          <t>Soja (Dessecação)</t>
        </is>
      </c>
      <c r="G2213" s="7" t="inlineStr">
        <is>
          <t>Cultura Autorizada na Bula</t>
        </is>
      </c>
      <c r="H2213" s="7" t="inlineStr">
        <is>
          <t>100 a 300 L/ha</t>
        </is>
      </c>
      <c r="I2213" s="7" t="inlineStr">
        <is>
          <t>20 a 40 L/ha</t>
        </is>
      </c>
      <c r="J2213" s="7" t="inlineStr">
        <is>
          <t>N/D</t>
        </is>
      </c>
    </row>
    <row r="2214" ht="22" customHeight="1">
      <c r="A2214" s="12" t="inlineStr">
        <is>
          <t>CUL-2210</t>
        </is>
      </c>
      <c r="B2214" s="11" t="n">
        <v>444</v>
      </c>
      <c r="C2214" s="13" t="inlineStr">
        <is>
          <t>Nº 1223</t>
        </is>
      </c>
      <c r="D2214" s="14" t="inlineStr">
        <is>
          <t>FULLGUARD</t>
        </is>
      </c>
      <c r="E2214" s="13" t="inlineStr">
        <is>
          <t>Pulverização Agrícola Conforme Bula</t>
        </is>
      </c>
      <c r="F2214" s="13" t="inlineStr">
        <is>
          <t>Milho</t>
        </is>
      </c>
      <c r="G2214" s="13" t="inlineStr">
        <is>
          <t>Cultura Autorizada na Bula</t>
        </is>
      </c>
      <c r="H2214" s="13" t="inlineStr">
        <is>
          <t>100 a 300 L/ha</t>
        </is>
      </c>
      <c r="I2214" s="13" t="inlineStr">
        <is>
          <t>20 a 40 L/ha</t>
        </is>
      </c>
      <c r="J2214" s="13" t="inlineStr">
        <is>
          <t>45 dias</t>
        </is>
      </c>
    </row>
    <row r="2215" ht="22" customHeight="1">
      <c r="A2215" s="6" t="inlineStr">
        <is>
          <t>CUL-2211</t>
        </is>
      </c>
      <c r="B2215" s="5" t="n">
        <v>444</v>
      </c>
      <c r="C2215" s="7" t="inlineStr">
        <is>
          <t>Nº 1223</t>
        </is>
      </c>
      <c r="D2215" s="8" t="inlineStr">
        <is>
          <t>FULLGUARD</t>
        </is>
      </c>
      <c r="E2215" s="7" t="inlineStr">
        <is>
          <t>Pulverização Agrícola Conforme Bula</t>
        </is>
      </c>
      <c r="F2215" s="7" t="inlineStr">
        <is>
          <t>Algodão (Desfolha / Jato Dirigido)</t>
        </is>
      </c>
      <c r="G2215" s="7" t="inlineStr">
        <is>
          <t>Cultura Autorizada na Bula</t>
        </is>
      </c>
      <c r="H2215" s="7" t="inlineStr">
        <is>
          <t>100 a 300 L/ha</t>
        </is>
      </c>
      <c r="I2215" s="7" t="inlineStr">
        <is>
          <t>20 a 40 L/ha</t>
        </is>
      </c>
      <c r="J2215" s="7" t="inlineStr">
        <is>
          <t>15 dias</t>
        </is>
      </c>
    </row>
    <row r="2216" ht="22" customHeight="1">
      <c r="A2216" s="12" t="inlineStr">
        <is>
          <t>CUL-2212</t>
        </is>
      </c>
      <c r="B2216" s="11" t="n">
        <v>444</v>
      </c>
      <c r="C2216" s="13" t="inlineStr">
        <is>
          <t>Nº 1223</t>
        </is>
      </c>
      <c r="D2216" s="14" t="inlineStr">
        <is>
          <t>FULLGUARD</t>
        </is>
      </c>
      <c r="E2216" s="13" t="inlineStr">
        <is>
          <t>Pulverização Agrícola Conforme Bula</t>
        </is>
      </c>
      <c r="F2216" s="13" t="inlineStr">
        <is>
          <t>Cana-de-açúcar</t>
        </is>
      </c>
      <c r="G2216" s="13" t="inlineStr">
        <is>
          <t>Cultura Autorizada na Bula</t>
        </is>
      </c>
      <c r="H2216" s="13" t="inlineStr">
        <is>
          <t>100 a 300 L/ha</t>
        </is>
      </c>
      <c r="I2216" s="13" t="inlineStr">
        <is>
          <t>20 a 40 L/ha</t>
        </is>
      </c>
      <c r="J2216" s="13" t="inlineStr">
        <is>
          <t>105 dias</t>
        </is>
      </c>
    </row>
    <row r="2217" ht="22" customHeight="1">
      <c r="A2217" s="6" t="inlineStr">
        <is>
          <t>CUL-2213</t>
        </is>
      </c>
      <c r="B2217" s="5" t="n">
        <v>444</v>
      </c>
      <c r="C2217" s="7" t="inlineStr">
        <is>
          <t>Nº 1223</t>
        </is>
      </c>
      <c r="D2217" s="8" t="inlineStr">
        <is>
          <t>FULLGUARD</t>
        </is>
      </c>
      <c r="E2217" s="7" t="inlineStr">
        <is>
          <t>Pulverização Agrícola Conforme Bula</t>
        </is>
      </c>
      <c r="F2217" s="7" t="inlineStr">
        <is>
          <t>Café</t>
        </is>
      </c>
      <c r="G2217" s="7" t="inlineStr">
        <is>
          <t>Cultura Autorizada na Bula</t>
        </is>
      </c>
      <c r="H2217" s="7" t="inlineStr">
        <is>
          <t>100 a 300 L/ha</t>
        </is>
      </c>
      <c r="I2217" s="7" t="inlineStr">
        <is>
          <t>20 a 40 L/ha</t>
        </is>
      </c>
      <c r="J2217" s="7" t="inlineStr">
        <is>
          <t>15 dias</t>
        </is>
      </c>
    </row>
    <row r="2218" ht="22" customHeight="1">
      <c r="A2218" s="12" t="inlineStr">
        <is>
          <t>CUL-2214</t>
        </is>
      </c>
      <c r="B2218" s="11" t="n">
        <v>444</v>
      </c>
      <c r="C2218" s="13" t="inlineStr">
        <is>
          <t>Nº 1223</t>
        </is>
      </c>
      <c r="D2218" s="14" t="inlineStr">
        <is>
          <t>FULLGUARD</t>
        </is>
      </c>
      <c r="E2218" s="13" t="inlineStr">
        <is>
          <t>Pulverização Agrícola Conforme Bula</t>
        </is>
      </c>
      <c r="F2218" s="13" t="inlineStr">
        <is>
          <t>Citros</t>
        </is>
      </c>
      <c r="G2218" s="13" t="inlineStr">
        <is>
          <t>Cultura Autorizada na Bula</t>
        </is>
      </c>
      <c r="H2218" s="13" t="inlineStr">
        <is>
          <t>100 a 300 L/ha</t>
        </is>
      </c>
      <c r="I2218" s="13" t="inlineStr">
        <is>
          <t>20 a 40 L/ha</t>
        </is>
      </c>
      <c r="J2218" s="13" t="inlineStr">
        <is>
          <t>15 dias</t>
        </is>
      </c>
    </row>
    <row r="2219" ht="22" customHeight="1">
      <c r="A2219" s="6" t="inlineStr">
        <is>
          <t>CUL-2215</t>
        </is>
      </c>
      <c r="B2219" s="5" t="n">
        <v>445</v>
      </c>
      <c r="C2219" s="7" t="inlineStr">
        <is>
          <t>Nº 1223</t>
        </is>
      </c>
      <c r="D2219" s="8" t="inlineStr">
        <is>
          <t>FULLGUARD</t>
        </is>
      </c>
      <c r="E2219" s="7" t="inlineStr">
        <is>
          <t>Pulverização Agrícola Conforme Bula</t>
        </is>
      </c>
      <c r="F2219" s="7" t="inlineStr">
        <is>
          <t>Soja (Dessecação)</t>
        </is>
      </c>
      <c r="G2219" s="7" t="inlineStr">
        <is>
          <t>Cultura Autorizada na Bula</t>
        </is>
      </c>
      <c r="H2219" s="7" t="inlineStr">
        <is>
          <t>100 a 300 L/ha</t>
        </is>
      </c>
      <c r="I2219" s="7" t="inlineStr">
        <is>
          <t>20 a 40 L/ha</t>
        </is>
      </c>
      <c r="J2219" s="7" t="inlineStr">
        <is>
          <t>N/D</t>
        </is>
      </c>
    </row>
    <row r="2220" ht="22" customHeight="1">
      <c r="A2220" s="12" t="inlineStr">
        <is>
          <t>CUL-2216</t>
        </is>
      </c>
      <c r="B2220" s="11" t="n">
        <v>445</v>
      </c>
      <c r="C2220" s="13" t="inlineStr">
        <is>
          <t>Nº 1223</t>
        </is>
      </c>
      <c r="D2220" s="14" t="inlineStr">
        <is>
          <t>FULLGUARD</t>
        </is>
      </c>
      <c r="E2220" s="13" t="inlineStr">
        <is>
          <t>Pulverização Agrícola Conforme Bula</t>
        </is>
      </c>
      <c r="F2220" s="13" t="inlineStr">
        <is>
          <t>Milho</t>
        </is>
      </c>
      <c r="G2220" s="13" t="inlineStr">
        <is>
          <t>Cultura Autorizada na Bula</t>
        </is>
      </c>
      <c r="H2220" s="13" t="inlineStr">
        <is>
          <t>100 a 300 L/ha</t>
        </is>
      </c>
      <c r="I2220" s="13" t="inlineStr">
        <is>
          <t>20 a 40 L/ha</t>
        </is>
      </c>
      <c r="J2220" s="13" t="inlineStr">
        <is>
          <t>45 dias</t>
        </is>
      </c>
    </row>
    <row r="2221" ht="22" customHeight="1">
      <c r="A2221" s="6" t="inlineStr">
        <is>
          <t>CUL-2217</t>
        </is>
      </c>
      <c r="B2221" s="5" t="n">
        <v>445</v>
      </c>
      <c r="C2221" s="7" t="inlineStr">
        <is>
          <t>Nº 1223</t>
        </is>
      </c>
      <c r="D2221" s="8" t="inlineStr">
        <is>
          <t>FULLGUARD</t>
        </is>
      </c>
      <c r="E2221" s="7" t="inlineStr">
        <is>
          <t>Pulverização Agrícola Conforme Bula</t>
        </is>
      </c>
      <c r="F2221" s="7" t="inlineStr">
        <is>
          <t>Algodão (Desfolha / Jato Dirigido)</t>
        </is>
      </c>
      <c r="G2221" s="7" t="inlineStr">
        <is>
          <t>Cultura Autorizada na Bula</t>
        </is>
      </c>
      <c r="H2221" s="7" t="inlineStr">
        <is>
          <t>100 a 300 L/ha</t>
        </is>
      </c>
      <c r="I2221" s="7" t="inlineStr">
        <is>
          <t>20 a 40 L/ha</t>
        </is>
      </c>
      <c r="J2221" s="7" t="inlineStr">
        <is>
          <t>15 dias</t>
        </is>
      </c>
    </row>
    <row r="2222" ht="22" customHeight="1">
      <c r="A2222" s="12" t="inlineStr">
        <is>
          <t>CUL-2218</t>
        </is>
      </c>
      <c r="B2222" s="11" t="n">
        <v>445</v>
      </c>
      <c r="C2222" s="13" t="inlineStr">
        <is>
          <t>Nº 1223</t>
        </is>
      </c>
      <c r="D2222" s="14" t="inlineStr">
        <is>
          <t>FULLGUARD</t>
        </is>
      </c>
      <c r="E2222" s="13" t="inlineStr">
        <is>
          <t>Pulverização Agrícola Conforme Bula</t>
        </is>
      </c>
      <c r="F2222" s="13" t="inlineStr">
        <is>
          <t>Cana-de-açúcar</t>
        </is>
      </c>
      <c r="G2222" s="13" t="inlineStr">
        <is>
          <t>Cultura Autorizada na Bula</t>
        </is>
      </c>
      <c r="H2222" s="13" t="inlineStr">
        <is>
          <t>100 a 300 L/ha</t>
        </is>
      </c>
      <c r="I2222" s="13" t="inlineStr">
        <is>
          <t>20 a 40 L/ha</t>
        </is>
      </c>
      <c r="J2222" s="13" t="inlineStr">
        <is>
          <t>105 dias</t>
        </is>
      </c>
    </row>
    <row r="2223" ht="22" customHeight="1">
      <c r="A2223" s="6" t="inlineStr">
        <is>
          <t>CUL-2219</t>
        </is>
      </c>
      <c r="B2223" s="5" t="n">
        <v>445</v>
      </c>
      <c r="C2223" s="7" t="inlineStr">
        <is>
          <t>Nº 1223</t>
        </is>
      </c>
      <c r="D2223" s="8" t="inlineStr">
        <is>
          <t>FULLGUARD</t>
        </is>
      </c>
      <c r="E2223" s="7" t="inlineStr">
        <is>
          <t>Pulverização Agrícola Conforme Bula</t>
        </is>
      </c>
      <c r="F2223" s="7" t="inlineStr">
        <is>
          <t>Café</t>
        </is>
      </c>
      <c r="G2223" s="7" t="inlineStr">
        <is>
          <t>Cultura Autorizada na Bula</t>
        </is>
      </c>
      <c r="H2223" s="7" t="inlineStr">
        <is>
          <t>100 a 300 L/ha</t>
        </is>
      </c>
      <c r="I2223" s="7" t="inlineStr">
        <is>
          <t>20 a 40 L/ha</t>
        </is>
      </c>
      <c r="J2223" s="7" t="inlineStr">
        <is>
          <t>15 dias</t>
        </is>
      </c>
    </row>
    <row r="2224" ht="22" customHeight="1">
      <c r="A2224" s="12" t="inlineStr">
        <is>
          <t>CUL-2220</t>
        </is>
      </c>
      <c r="B2224" s="11" t="n">
        <v>445</v>
      </c>
      <c r="C2224" s="13" t="inlineStr">
        <is>
          <t>Nº 1223</t>
        </is>
      </c>
      <c r="D2224" s="14" t="inlineStr">
        <is>
          <t>FULLGUARD</t>
        </is>
      </c>
      <c r="E2224" s="13" t="inlineStr">
        <is>
          <t>Pulverização Agrícola Conforme Bula</t>
        </is>
      </c>
      <c r="F2224" s="13" t="inlineStr">
        <is>
          <t>Citros</t>
        </is>
      </c>
      <c r="G2224" s="13" t="inlineStr">
        <is>
          <t>Cultura Autorizada na Bula</t>
        </is>
      </c>
      <c r="H2224" s="13" t="inlineStr">
        <is>
          <t>100 a 300 L/ha</t>
        </is>
      </c>
      <c r="I2224" s="13" t="inlineStr">
        <is>
          <t>20 a 40 L/ha</t>
        </is>
      </c>
      <c r="J2224" s="13" t="inlineStr">
        <is>
          <t>15 dias</t>
        </is>
      </c>
    </row>
    <row r="2225" ht="22" customHeight="1">
      <c r="A2225" s="6" t="inlineStr">
        <is>
          <t>CUL-2221</t>
        </is>
      </c>
      <c r="B2225" s="5" t="n">
        <v>446</v>
      </c>
      <c r="C2225" s="7" t="inlineStr">
        <is>
          <t>Nº 5217</t>
        </is>
      </c>
      <c r="D2225" s="8" t="inlineStr">
        <is>
          <t>HERBIZINA PLUS</t>
        </is>
      </c>
      <c r="E2225" s="7" t="inlineStr">
        <is>
          <t>Pulverização Agrícola Conforme Bula</t>
        </is>
      </c>
      <c r="F2225" s="7" t="inlineStr">
        <is>
          <t>Milho</t>
        </is>
      </c>
      <c r="G2225" s="7" t="inlineStr">
        <is>
          <t>Cultura Autorizada na Bula</t>
        </is>
      </c>
      <c r="H2225" s="7" t="inlineStr">
        <is>
          <t>100 a 300 L/ha</t>
        </is>
      </c>
      <c r="I2225" s="7" t="inlineStr">
        <is>
          <t>20 a 40 L/ha</t>
        </is>
      </c>
      <c r="J2225" s="7" t="inlineStr">
        <is>
          <t>60 dias</t>
        </is>
      </c>
    </row>
    <row r="2226" ht="22" customHeight="1">
      <c r="A2226" s="12" t="inlineStr">
        <is>
          <t>CUL-2222</t>
        </is>
      </c>
      <c r="B2226" s="11" t="n">
        <v>446</v>
      </c>
      <c r="C2226" s="13" t="inlineStr">
        <is>
          <t>Nº 5217</t>
        </is>
      </c>
      <c r="D2226" s="14" t="inlineStr">
        <is>
          <t>HERBIZINA PLUS</t>
        </is>
      </c>
      <c r="E2226" s="13" t="inlineStr">
        <is>
          <t>Pulverização Agrícola Conforme Bula</t>
        </is>
      </c>
      <c r="F2226" s="13" t="inlineStr">
        <is>
          <t>Cana-de-açúcar</t>
        </is>
      </c>
      <c r="G2226" s="13" t="inlineStr">
        <is>
          <t>Cultura Autorizada na Bula</t>
        </is>
      </c>
      <c r="H2226" s="13" t="inlineStr">
        <is>
          <t>100 a 300 L/ha</t>
        </is>
      </c>
      <c r="I2226" s="13" t="inlineStr">
        <is>
          <t>20 a 40 L/ha</t>
        </is>
      </c>
      <c r="J2226" s="13" t="inlineStr">
        <is>
          <t>N/D</t>
        </is>
      </c>
    </row>
    <row r="2227" ht="22" customHeight="1">
      <c r="A2227" s="6" t="inlineStr">
        <is>
          <t>CUL-2223</t>
        </is>
      </c>
      <c r="B2227" s="5" t="n">
        <v>446</v>
      </c>
      <c r="C2227" s="7" t="inlineStr">
        <is>
          <t>Nº 5217</t>
        </is>
      </c>
      <c r="D2227" s="8" t="inlineStr">
        <is>
          <t>HERBIZINA PLUS</t>
        </is>
      </c>
      <c r="E2227" s="7" t="inlineStr">
        <is>
          <t>Pulverização Agrícola Conforme Bula</t>
        </is>
      </c>
      <c r="F2227" s="7" t="inlineStr">
        <is>
          <t>Sorgo</t>
        </is>
      </c>
      <c r="G2227" s="7" t="inlineStr">
        <is>
          <t>Cultura Autorizada na Bula</t>
        </is>
      </c>
      <c r="H2227" s="7" t="inlineStr">
        <is>
          <t>100 a 300 L/ha</t>
        </is>
      </c>
      <c r="I2227" s="7" t="inlineStr">
        <is>
          <t>20 a 40 L/ha</t>
        </is>
      </c>
      <c r="J2227" s="7" t="inlineStr">
        <is>
          <t>60 dias</t>
        </is>
      </c>
    </row>
    <row r="2228" ht="22" customHeight="1">
      <c r="A2228" s="12" t="inlineStr">
        <is>
          <t>CUL-2224</t>
        </is>
      </c>
      <c r="B2228" s="11" t="n">
        <v>446</v>
      </c>
      <c r="C2228" s="13" t="inlineStr">
        <is>
          <t>Nº 5217</t>
        </is>
      </c>
      <c r="D2228" s="14" t="inlineStr">
        <is>
          <t>HERBIZINA PLUS</t>
        </is>
      </c>
      <c r="E2228" s="13" t="inlineStr">
        <is>
          <t>Pulverização Agrícola Conforme Bula</t>
        </is>
      </c>
      <c r="F2228" s="13" t="inlineStr">
        <is>
          <t>Pinus / Eucalipto</t>
        </is>
      </c>
      <c r="G2228" s="13" t="inlineStr">
        <is>
          <t>Cultura Autorizada na Bula</t>
        </is>
      </c>
      <c r="H2228" s="13" t="inlineStr">
        <is>
          <t>100 a 300 L/ha</t>
        </is>
      </c>
      <c r="I2228" s="13" t="inlineStr">
        <is>
          <t>20 a 40 L/ha</t>
        </is>
      </c>
      <c r="J2228" s="13" t="inlineStr">
        <is>
          <t>U.N.A.</t>
        </is>
      </c>
    </row>
    <row r="2229" ht="22" customHeight="1">
      <c r="A2229" s="6" t="inlineStr">
        <is>
          <t>CUL-2225</t>
        </is>
      </c>
      <c r="B2229" s="5" t="n">
        <v>447</v>
      </c>
      <c r="C2229" s="7" t="inlineStr">
        <is>
          <t>Nº 22225</t>
        </is>
      </c>
      <c r="D2229" s="8" t="inlineStr">
        <is>
          <t>KILLIGAN</t>
        </is>
      </c>
      <c r="E2229" s="7" t="inlineStr">
        <is>
          <t>Pulverização Agrícola Conforme Bula</t>
        </is>
      </c>
      <c r="F2229" s="7" t="inlineStr">
        <is>
          <t>Soja</t>
        </is>
      </c>
      <c r="G2229" s="7" t="inlineStr">
        <is>
          <t>Cultura Autorizada na Bula</t>
        </is>
      </c>
      <c r="H2229" s="7" t="inlineStr">
        <is>
          <t>100 a 300 L/ha</t>
        </is>
      </c>
      <c r="I2229" s="7" t="inlineStr">
        <is>
          <t>20 a 40 L/ha</t>
        </is>
      </c>
      <c r="J2229" s="7" t="inlineStr">
        <is>
          <t>14 dias</t>
        </is>
      </c>
    </row>
    <row r="2230" ht="22" customHeight="1">
      <c r="A2230" s="12" t="inlineStr">
        <is>
          <t>CUL-2226</t>
        </is>
      </c>
      <c r="B2230" s="11" t="n">
        <v>447</v>
      </c>
      <c r="C2230" s="13" t="inlineStr">
        <is>
          <t>Nº 22225</t>
        </is>
      </c>
      <c r="D2230" s="14" t="inlineStr">
        <is>
          <t>KILLIGAN</t>
        </is>
      </c>
      <c r="E2230" s="13" t="inlineStr">
        <is>
          <t>Pulverização Agrícola Conforme Bula</t>
        </is>
      </c>
      <c r="F2230" s="13" t="inlineStr">
        <is>
          <t>Milho</t>
        </is>
      </c>
      <c r="G2230" s="13" t="inlineStr">
        <is>
          <t>Cultura Autorizada na Bula</t>
        </is>
      </c>
      <c r="H2230" s="13" t="inlineStr">
        <is>
          <t>100 a 300 L/ha</t>
        </is>
      </c>
      <c r="I2230" s="13" t="inlineStr">
        <is>
          <t>20 a 40 L/ha</t>
        </is>
      </c>
      <c r="J2230" s="13" t="inlineStr">
        <is>
          <t>14 dias</t>
        </is>
      </c>
    </row>
    <row r="2231" ht="22" customHeight="1">
      <c r="A2231" s="6" t="inlineStr">
        <is>
          <t>CUL-2227</t>
        </is>
      </c>
      <c r="B2231" s="5" t="n">
        <v>447</v>
      </c>
      <c r="C2231" s="7" t="inlineStr">
        <is>
          <t>Nº 22225</t>
        </is>
      </c>
      <c r="D2231" s="8" t="inlineStr">
        <is>
          <t>KILLIGAN</t>
        </is>
      </c>
      <c r="E2231" s="7" t="inlineStr">
        <is>
          <t>Pulverização Agrícola Conforme Bula</t>
        </is>
      </c>
      <c r="F2231" s="7" t="inlineStr">
        <is>
          <t>Algodão</t>
        </is>
      </c>
      <c r="G2231" s="7" t="inlineStr">
        <is>
          <t>Cultura Autorizada na Bula</t>
        </is>
      </c>
      <c r="H2231" s="7" t="inlineStr">
        <is>
          <t>100 a 300 L/ha</t>
        </is>
      </c>
      <c r="I2231" s="7" t="inlineStr">
        <is>
          <t>20 a 40 L/ha</t>
        </is>
      </c>
      <c r="J2231" s="7" t="inlineStr">
        <is>
          <t>21 dias</t>
        </is>
      </c>
    </row>
    <row r="2232" ht="22" customHeight="1">
      <c r="A2232" s="12" t="inlineStr">
        <is>
          <t>CUL-2228</t>
        </is>
      </c>
      <c r="B2232" s="11" t="n">
        <v>447</v>
      </c>
      <c r="C2232" s="13" t="inlineStr">
        <is>
          <t>Nº 22225</t>
        </is>
      </c>
      <c r="D2232" s="14" t="inlineStr">
        <is>
          <t>KILLIGAN</t>
        </is>
      </c>
      <c r="E2232" s="13" t="inlineStr">
        <is>
          <t>Pulverização Agrícola Conforme Bula</t>
        </is>
      </c>
      <c r="F2232" s="13" t="inlineStr">
        <is>
          <t>Feijão</t>
        </is>
      </c>
      <c r="G2232" s="13" t="inlineStr">
        <is>
          <t>Cultura Autorizada na Bula</t>
        </is>
      </c>
      <c r="H2232" s="13" t="inlineStr">
        <is>
          <t>100 a 300 L/ha</t>
        </is>
      </c>
      <c r="I2232" s="13" t="inlineStr">
        <is>
          <t>20 a 40 L/ha</t>
        </is>
      </c>
      <c r="J2232" s="13" t="inlineStr">
        <is>
          <t>14 dias</t>
        </is>
      </c>
    </row>
    <row r="2233" ht="22" customHeight="1">
      <c r="A2233" s="6" t="inlineStr">
        <is>
          <t>CUL-2229</t>
        </is>
      </c>
      <c r="B2233" s="5" t="n">
        <v>447</v>
      </c>
      <c r="C2233" s="7" t="inlineStr">
        <is>
          <t>Nº 22225</t>
        </is>
      </c>
      <c r="D2233" s="8" t="inlineStr">
        <is>
          <t>KILLIGAN</t>
        </is>
      </c>
      <c r="E2233" s="7" t="inlineStr">
        <is>
          <t>Pulverização Agrícola Conforme Bula</t>
        </is>
      </c>
      <c r="F2233" s="7" t="inlineStr">
        <is>
          <t>Batata</t>
        </is>
      </c>
      <c r="G2233" s="7" t="inlineStr">
        <is>
          <t>Cultura Autorizada na Bula</t>
        </is>
      </c>
      <c r="H2233" s="7" t="inlineStr">
        <is>
          <t>100 a 300 L/ha</t>
        </is>
      </c>
      <c r="I2233" s="7" t="inlineStr">
        <is>
          <t>20 a 40 L/ha</t>
        </is>
      </c>
      <c r="J2233" s="7" t="inlineStr">
        <is>
          <t>7 dias</t>
        </is>
      </c>
    </row>
    <row r="2234" ht="22" customHeight="1">
      <c r="A2234" s="12" t="inlineStr">
        <is>
          <t>CUL-2230</t>
        </is>
      </c>
      <c r="B2234" s="11" t="n">
        <v>447</v>
      </c>
      <c r="C2234" s="13" t="inlineStr">
        <is>
          <t>Nº 22225</t>
        </is>
      </c>
      <c r="D2234" s="14" t="inlineStr">
        <is>
          <t>KILLIGAN</t>
        </is>
      </c>
      <c r="E2234" s="13" t="inlineStr">
        <is>
          <t>Pulverização Agrícola Conforme Bula</t>
        </is>
      </c>
      <c r="F2234" s="13" t="inlineStr">
        <is>
          <t>Citros</t>
        </is>
      </c>
      <c r="G2234" s="13" t="inlineStr">
        <is>
          <t>Cultura Autorizada na Bula</t>
        </is>
      </c>
      <c r="H2234" s="13" t="inlineStr">
        <is>
          <t>100 a 300 L/ha</t>
        </is>
      </c>
      <c r="I2234" s="13" t="inlineStr">
        <is>
          <t>20 a 40 L/ha</t>
        </is>
      </c>
      <c r="J2234" s="13" t="inlineStr">
        <is>
          <t>14 dias</t>
        </is>
      </c>
    </row>
    <row r="2235" ht="22" customHeight="1">
      <c r="A2235" s="6" t="inlineStr">
        <is>
          <t>CUL-2231</t>
        </is>
      </c>
      <c r="B2235" s="5" t="n">
        <v>447</v>
      </c>
      <c r="C2235" s="7" t="inlineStr">
        <is>
          <t>Nº 22225</t>
        </is>
      </c>
      <c r="D2235" s="8" t="inlineStr">
        <is>
          <t>KILLIGAN</t>
        </is>
      </c>
      <c r="E2235" s="7" t="inlineStr">
        <is>
          <t>Pulverização Agrícola Conforme Bula</t>
        </is>
      </c>
      <c r="F2235" s="7" t="inlineStr">
        <is>
          <t>Tomate</t>
        </is>
      </c>
      <c r="G2235" s="7" t="inlineStr">
        <is>
          <t>Cultura Autorizada na Bula</t>
        </is>
      </c>
      <c r="H2235" s="7" t="inlineStr">
        <is>
          <t>100 a 300 L/ha</t>
        </is>
      </c>
      <c r="I2235" s="7" t="inlineStr">
        <is>
          <t>20 a 40 L/ha</t>
        </is>
      </c>
      <c r="J2235" s="7" t="inlineStr">
        <is>
          <t>7 dias</t>
        </is>
      </c>
    </row>
    <row r="2236" ht="22" customHeight="1">
      <c r="A2236" s="12" t="inlineStr">
        <is>
          <t>CUL-2232</t>
        </is>
      </c>
      <c r="B2236" s="11" t="n">
        <v>448</v>
      </c>
      <c r="C2236" s="13" t="inlineStr">
        <is>
          <t>Nº 26924</t>
        </is>
      </c>
      <c r="D2236" s="14" t="inlineStr">
        <is>
          <t>CHLOROCIL</t>
        </is>
      </c>
      <c r="E2236" s="13" t="inlineStr">
        <is>
          <t>Pulverização Agrícola Conforme Bula</t>
        </is>
      </c>
      <c r="F2236" s="13" t="inlineStr">
        <is>
          <t>Soja</t>
        </is>
      </c>
      <c r="G2236" s="13" t="inlineStr">
        <is>
          <t>Cultura Autorizada na Bula</t>
        </is>
      </c>
      <c r="H2236" s="13" t="inlineStr">
        <is>
          <t>100 a 300 L/ha</t>
        </is>
      </c>
      <c r="I2236" s="13" t="inlineStr">
        <is>
          <t>20 a 40 L/ha</t>
        </is>
      </c>
      <c r="J2236" s="13" t="inlineStr">
        <is>
          <t>21 dias</t>
        </is>
      </c>
    </row>
    <row r="2237" ht="22" customHeight="1">
      <c r="A2237" s="6" t="inlineStr">
        <is>
          <t>CUL-2233</t>
        </is>
      </c>
      <c r="B2237" s="5" t="n">
        <v>448</v>
      </c>
      <c r="C2237" s="7" t="inlineStr">
        <is>
          <t>Nº 26924</t>
        </is>
      </c>
      <c r="D2237" s="8" t="inlineStr">
        <is>
          <t>CHLOROCIL</t>
        </is>
      </c>
      <c r="E2237" s="7" t="inlineStr">
        <is>
          <t>Pulverização Agrícola Conforme Bula</t>
        </is>
      </c>
      <c r="F2237" s="7" t="inlineStr">
        <is>
          <t>Milho</t>
        </is>
      </c>
      <c r="G2237" s="7" t="inlineStr">
        <is>
          <t>Cultura Autorizada na Bula</t>
        </is>
      </c>
      <c r="H2237" s="7" t="inlineStr">
        <is>
          <t>100 a 300 L/ha</t>
        </is>
      </c>
      <c r="I2237" s="7" t="inlineStr">
        <is>
          <t>20 a 40 L/ha</t>
        </is>
      </c>
      <c r="J2237" s="7" t="inlineStr">
        <is>
          <t>21 dias</t>
        </is>
      </c>
    </row>
    <row r="2238" ht="22" customHeight="1">
      <c r="A2238" s="12" t="inlineStr">
        <is>
          <t>CUL-2234</t>
        </is>
      </c>
      <c r="B2238" s="11" t="n">
        <v>448</v>
      </c>
      <c r="C2238" s="13" t="inlineStr">
        <is>
          <t>Nº 26924</t>
        </is>
      </c>
      <c r="D2238" s="14" t="inlineStr">
        <is>
          <t>CHLOROCIL</t>
        </is>
      </c>
      <c r="E2238" s="13" t="inlineStr">
        <is>
          <t>Pulverização Agrícola Conforme Bula</t>
        </is>
      </c>
      <c r="F2238" s="13" t="inlineStr">
        <is>
          <t>Algodão</t>
        </is>
      </c>
      <c r="G2238" s="13" t="inlineStr">
        <is>
          <t>Cultura Autorizada na Bula</t>
        </is>
      </c>
      <c r="H2238" s="13" t="inlineStr">
        <is>
          <t>100 a 300 L/ha</t>
        </is>
      </c>
      <c r="I2238" s="13" t="inlineStr">
        <is>
          <t>20 a 40 L/ha</t>
        </is>
      </c>
      <c r="J2238" s="13" t="inlineStr">
        <is>
          <t>21 dias</t>
        </is>
      </c>
    </row>
    <row r="2239" ht="22" customHeight="1">
      <c r="A2239" s="6" t="inlineStr">
        <is>
          <t>CUL-2235</t>
        </is>
      </c>
      <c r="B2239" s="5" t="n">
        <v>448</v>
      </c>
      <c r="C2239" s="7" t="inlineStr">
        <is>
          <t>Nº 26924</t>
        </is>
      </c>
      <c r="D2239" s="8" t="inlineStr">
        <is>
          <t>CHLOROCIL</t>
        </is>
      </c>
      <c r="E2239" s="7" t="inlineStr">
        <is>
          <t>Pulverização Agrícola Conforme Bula</t>
        </is>
      </c>
      <c r="F2239" s="7" t="inlineStr">
        <is>
          <t>Café</t>
        </is>
      </c>
      <c r="G2239" s="7" t="inlineStr">
        <is>
          <t>Cultura Autorizada na Bula</t>
        </is>
      </c>
      <c r="H2239" s="7" t="inlineStr">
        <is>
          <t>100 a 300 L/ha</t>
        </is>
      </c>
      <c r="I2239" s="7" t="inlineStr">
        <is>
          <t>20 a 40 L/ha</t>
        </is>
      </c>
      <c r="J2239" s="7" t="inlineStr">
        <is>
          <t>21 dias</t>
        </is>
      </c>
    </row>
    <row r="2240" ht="22" customHeight="1">
      <c r="A2240" s="12" t="inlineStr">
        <is>
          <t>CUL-2236</t>
        </is>
      </c>
      <c r="B2240" s="11" t="n">
        <v>448</v>
      </c>
      <c r="C2240" s="13" t="inlineStr">
        <is>
          <t>Nº 26924</t>
        </is>
      </c>
      <c r="D2240" s="14" t="inlineStr">
        <is>
          <t>CHLOROCIL</t>
        </is>
      </c>
      <c r="E2240" s="13" t="inlineStr">
        <is>
          <t>Pulverização Agrícola Conforme Bula</t>
        </is>
      </c>
      <c r="F2240" s="13" t="inlineStr">
        <is>
          <t>Citros</t>
        </is>
      </c>
      <c r="G2240" s="13" t="inlineStr">
        <is>
          <t>Cultura Autorizada na Bula</t>
        </is>
      </c>
      <c r="H2240" s="13" t="inlineStr">
        <is>
          <t>100 a 300 L/ha</t>
        </is>
      </c>
      <c r="I2240" s="13" t="inlineStr">
        <is>
          <t>20 a 40 L/ha</t>
        </is>
      </c>
      <c r="J2240" s="13" t="inlineStr">
        <is>
          <t>21 dias</t>
        </is>
      </c>
    </row>
    <row r="2241" ht="22" customHeight="1">
      <c r="A2241" s="6" t="inlineStr">
        <is>
          <t>CUL-2237</t>
        </is>
      </c>
      <c r="B2241" s="5" t="n">
        <v>448</v>
      </c>
      <c r="C2241" s="7" t="inlineStr">
        <is>
          <t>Nº 26924</t>
        </is>
      </c>
      <c r="D2241" s="8" t="inlineStr">
        <is>
          <t>CHLOROCIL</t>
        </is>
      </c>
      <c r="E2241" s="7" t="inlineStr">
        <is>
          <t>Pulverização Agrícola Conforme Bula</t>
        </is>
      </c>
      <c r="F2241" s="7" t="inlineStr">
        <is>
          <t>Feijão</t>
        </is>
      </c>
      <c r="G2241" s="7" t="inlineStr">
        <is>
          <t>Cultura Autorizada na Bula</t>
        </is>
      </c>
      <c r="H2241" s="7" t="inlineStr">
        <is>
          <t>100 a 300 L/ha</t>
        </is>
      </c>
      <c r="I2241" s="7" t="inlineStr">
        <is>
          <t>20 a 40 L/ha</t>
        </is>
      </c>
      <c r="J2241" s="7" t="inlineStr">
        <is>
          <t>25 dias</t>
        </is>
      </c>
    </row>
    <row r="2242" ht="22" customHeight="1">
      <c r="A2242" s="12" t="inlineStr">
        <is>
          <t>CUL-2238</t>
        </is>
      </c>
      <c r="B2242" s="11" t="n">
        <v>448</v>
      </c>
      <c r="C2242" s="13" t="inlineStr">
        <is>
          <t>Nº 26924</t>
        </is>
      </c>
      <c r="D2242" s="14" t="inlineStr">
        <is>
          <t>CHLOROCIL</t>
        </is>
      </c>
      <c r="E2242" s="13" t="inlineStr">
        <is>
          <t>Pulverização Agrícola Conforme Bula</t>
        </is>
      </c>
      <c r="F2242" s="13" t="inlineStr">
        <is>
          <t>Batata</t>
        </is>
      </c>
      <c r="G2242" s="13" t="inlineStr">
        <is>
          <t>Cultura Autorizada na Bula</t>
        </is>
      </c>
      <c r="H2242" s="13" t="inlineStr">
        <is>
          <t>100 a 300 L/ha</t>
        </is>
      </c>
      <c r="I2242" s="13" t="inlineStr">
        <is>
          <t>20 a 40 L/ha</t>
        </is>
      </c>
      <c r="J2242" s="13" t="inlineStr">
        <is>
          <t>21 dias</t>
        </is>
      </c>
    </row>
    <row r="2243" ht="22" customHeight="1">
      <c r="A2243" s="6" t="inlineStr">
        <is>
          <t>CUL-2239</t>
        </is>
      </c>
      <c r="B2243" s="5" t="n">
        <v>448</v>
      </c>
      <c r="C2243" s="7" t="inlineStr">
        <is>
          <t>Nº 26924</t>
        </is>
      </c>
      <c r="D2243" s="8" t="inlineStr">
        <is>
          <t>CHLOROCIL</t>
        </is>
      </c>
      <c r="E2243" s="7" t="inlineStr">
        <is>
          <t>Pulverização Agrícola Conforme Bula</t>
        </is>
      </c>
      <c r="F2243" s="7" t="inlineStr">
        <is>
          <t>Tomate</t>
        </is>
      </c>
      <c r="G2243" s="7" t="inlineStr">
        <is>
          <t>Cultura Autorizada na Bula</t>
        </is>
      </c>
      <c r="H2243" s="7" t="inlineStr">
        <is>
          <t>100 a 300 L/ha</t>
        </is>
      </c>
      <c r="I2243" s="7" t="inlineStr">
        <is>
          <t>20 a 40 L/ha</t>
        </is>
      </c>
      <c r="J2243" s="7" t="inlineStr">
        <is>
          <t>21 dias</t>
        </is>
      </c>
    </row>
    <row r="2244" ht="22" customHeight="1">
      <c r="A2244" s="12" t="inlineStr">
        <is>
          <t>CUL-2240</t>
        </is>
      </c>
      <c r="B2244" s="11" t="n">
        <v>448</v>
      </c>
      <c r="C2244" s="13" t="inlineStr">
        <is>
          <t>Nº 26924</t>
        </is>
      </c>
      <c r="D2244" s="14" t="inlineStr">
        <is>
          <t>CHLOROCIL</t>
        </is>
      </c>
      <c r="E2244" s="13" t="inlineStr">
        <is>
          <t>Pulverização Agrícola Conforme Bula</t>
        </is>
      </c>
      <c r="F2244" s="13" t="inlineStr">
        <is>
          <t>Trigo</t>
        </is>
      </c>
      <c r="G2244" s="13" t="inlineStr">
        <is>
          <t>Cultura Autorizada na Bula</t>
        </is>
      </c>
      <c r="H2244" s="13" t="inlineStr">
        <is>
          <t>100 a 300 L/ha</t>
        </is>
      </c>
      <c r="I2244" s="13" t="inlineStr">
        <is>
          <t>20 a 40 L/ha</t>
        </is>
      </c>
      <c r="J2244" s="13" t="inlineStr">
        <is>
          <t>21 dias</t>
        </is>
      </c>
    </row>
    <row r="2245" ht="22" customHeight="1">
      <c r="A2245" s="6" t="inlineStr">
        <is>
          <t>CUL-2241</t>
        </is>
      </c>
      <c r="B2245" s="5" t="n">
        <v>449</v>
      </c>
      <c r="C2245" s="7" t="inlineStr">
        <is>
          <t>SIPEAGRO (UF-XXXXX)</t>
        </is>
      </c>
      <c r="D2245" s="8" t="inlineStr">
        <is>
          <t>MAP 1261 FARELADO</t>
        </is>
      </c>
      <c r="E2245" s="7" t="inlineStr">
        <is>
          <t>Adubação de Solo / Foliar</t>
        </is>
      </c>
      <c r="F2245" s="7" t="inlineStr">
        <is>
          <t>Soja</t>
        </is>
      </c>
      <c r="G2245" s="7" t="inlineStr">
        <is>
          <t>Cultura Autorizada na Bula</t>
        </is>
      </c>
      <c r="H2245" s="7" t="inlineStr">
        <is>
          <t>100 a 300 L/ha</t>
        </is>
      </c>
      <c r="I2245" s="7" t="inlineStr">
        <is>
          <t>20 a 40 L/ha</t>
        </is>
      </c>
      <c r="J2245" s="7" t="inlineStr">
        <is>
          <t>Isento</t>
        </is>
      </c>
    </row>
    <row r="2246" ht="22" customHeight="1">
      <c r="A2246" s="12" t="inlineStr">
        <is>
          <t>CUL-2242</t>
        </is>
      </c>
      <c r="B2246" s="11" t="n">
        <v>449</v>
      </c>
      <c r="C2246" s="13" t="inlineStr">
        <is>
          <t>SIPEAGRO (UF-XXXXX)</t>
        </is>
      </c>
      <c r="D2246" s="14" t="inlineStr">
        <is>
          <t>MAP 1261 FARELADO</t>
        </is>
      </c>
      <c r="E2246" s="13" t="inlineStr">
        <is>
          <t>Adubação de Solo / Foliar</t>
        </is>
      </c>
      <c r="F2246" s="13" t="inlineStr">
        <is>
          <t>Milho</t>
        </is>
      </c>
      <c r="G2246" s="13" t="inlineStr">
        <is>
          <t>Cultura Autorizada na Bula</t>
        </is>
      </c>
      <c r="H2246" s="13" t="inlineStr">
        <is>
          <t>100 a 300 L/ha</t>
        </is>
      </c>
      <c r="I2246" s="13" t="inlineStr">
        <is>
          <t>20 a 40 L/ha</t>
        </is>
      </c>
      <c r="J2246" s="13" t="inlineStr">
        <is>
          <t>Isento</t>
        </is>
      </c>
    </row>
    <row r="2247" ht="22" customHeight="1">
      <c r="A2247" s="6" t="inlineStr">
        <is>
          <t>CUL-2243</t>
        </is>
      </c>
      <c r="B2247" s="5" t="n">
        <v>449</v>
      </c>
      <c r="C2247" s="7" t="inlineStr">
        <is>
          <t>SIPEAGRO (UF-XXXXX)</t>
        </is>
      </c>
      <c r="D2247" s="8" t="inlineStr">
        <is>
          <t>MAP 1261 FARELADO</t>
        </is>
      </c>
      <c r="E2247" s="7" t="inlineStr">
        <is>
          <t>Adubação de Solo / Foliar</t>
        </is>
      </c>
      <c r="F2247" s="7" t="inlineStr">
        <is>
          <t>Algodão</t>
        </is>
      </c>
      <c r="G2247" s="7" t="inlineStr">
        <is>
          <t>Cultura Autorizada na Bula</t>
        </is>
      </c>
      <c r="H2247" s="7" t="inlineStr">
        <is>
          <t>100 a 300 L/ha</t>
        </is>
      </c>
      <c r="I2247" s="7" t="inlineStr">
        <is>
          <t>20 a 40 L/ha</t>
        </is>
      </c>
      <c r="J2247" s="7" t="inlineStr">
        <is>
          <t>Isento</t>
        </is>
      </c>
    </row>
    <row r="2248" ht="22" customHeight="1">
      <c r="A2248" s="12" t="inlineStr">
        <is>
          <t>CUL-2244</t>
        </is>
      </c>
      <c r="B2248" s="11" t="n">
        <v>449</v>
      </c>
      <c r="C2248" s="13" t="inlineStr">
        <is>
          <t>SIPEAGRO (UF-XXXXX)</t>
        </is>
      </c>
      <c r="D2248" s="14" t="inlineStr">
        <is>
          <t>MAP 1261 FARELADO</t>
        </is>
      </c>
      <c r="E2248" s="13" t="inlineStr">
        <is>
          <t>Adubação de Solo / Foliar</t>
        </is>
      </c>
      <c r="F2248" s="13" t="inlineStr">
        <is>
          <t>Cana-de-açúcar</t>
        </is>
      </c>
      <c r="G2248" s="13" t="inlineStr">
        <is>
          <t>Cultura Autorizada na Bula</t>
        </is>
      </c>
      <c r="H2248" s="13" t="inlineStr">
        <is>
          <t>100 a 300 L/ha</t>
        </is>
      </c>
      <c r="I2248" s="13" t="inlineStr">
        <is>
          <t>20 a 40 L/ha</t>
        </is>
      </c>
      <c r="J2248" s="13" t="inlineStr">
        <is>
          <t>Isento</t>
        </is>
      </c>
    </row>
    <row r="2249" ht="22" customHeight="1">
      <c r="A2249" s="6" t="inlineStr">
        <is>
          <t>CUL-2245</t>
        </is>
      </c>
      <c r="B2249" s="5" t="n">
        <v>449</v>
      </c>
      <c r="C2249" s="7" t="inlineStr">
        <is>
          <t>SIPEAGRO (UF-XXXXX)</t>
        </is>
      </c>
      <c r="D2249" s="8" t="inlineStr">
        <is>
          <t>MAP 1261 FARELADO</t>
        </is>
      </c>
      <c r="E2249" s="7" t="inlineStr">
        <is>
          <t>Adubação de Solo / Foliar</t>
        </is>
      </c>
      <c r="F2249" s="7" t="inlineStr">
        <is>
          <t>Café</t>
        </is>
      </c>
      <c r="G2249" s="7" t="inlineStr">
        <is>
          <t>Cultura Autorizada na Bula</t>
        </is>
      </c>
      <c r="H2249" s="7" t="inlineStr">
        <is>
          <t>100 a 300 L/ha</t>
        </is>
      </c>
      <c r="I2249" s="7" t="inlineStr">
        <is>
          <t>20 a 40 L/ha</t>
        </is>
      </c>
      <c r="J2249" s="7" t="inlineStr">
        <is>
          <t>Isento</t>
        </is>
      </c>
    </row>
    <row r="2250" ht="22" customHeight="1">
      <c r="A2250" s="12" t="inlineStr">
        <is>
          <t>CUL-2246</t>
        </is>
      </c>
      <c r="B2250" s="11" t="n">
        <v>450</v>
      </c>
      <c r="C2250" s="13" t="inlineStr">
        <is>
          <t>Nº 40624</t>
        </is>
      </c>
      <c r="D2250" s="14" t="inlineStr">
        <is>
          <t>CHLORPYRIFOS 480 EC AGCN</t>
        </is>
      </c>
      <c r="E2250" s="13" t="inlineStr">
        <is>
          <t>Pulverização Agrícola Conforme Bula</t>
        </is>
      </c>
      <c r="F2250" s="13" t="inlineStr">
        <is>
          <t>Soja</t>
        </is>
      </c>
      <c r="G2250" s="13" t="inlineStr">
        <is>
          <t>Cultura Autorizada na Bula</t>
        </is>
      </c>
      <c r="H2250" s="13" t="inlineStr">
        <is>
          <t>100 a 300 L/ha</t>
        </is>
      </c>
      <c r="I2250" s="13" t="inlineStr">
        <is>
          <t>20 a 40 L/ha</t>
        </is>
      </c>
      <c r="J2250" s="13" t="inlineStr">
        <is>
          <t>21 dias</t>
        </is>
      </c>
    </row>
    <row r="2251" ht="22" customHeight="1">
      <c r="A2251" s="6" t="inlineStr">
        <is>
          <t>CUL-2247</t>
        </is>
      </c>
      <c r="B2251" s="5" t="n">
        <v>450</v>
      </c>
      <c r="C2251" s="7" t="inlineStr">
        <is>
          <t>Nº 40624</t>
        </is>
      </c>
      <c r="D2251" s="8" t="inlineStr">
        <is>
          <t>CHLORPYRIFOS 480 EC AGCN</t>
        </is>
      </c>
      <c r="E2251" s="7" t="inlineStr">
        <is>
          <t>Pulverização Agrícola Conforme Bula</t>
        </is>
      </c>
      <c r="F2251" s="7" t="inlineStr">
        <is>
          <t>Milho</t>
        </is>
      </c>
      <c r="G2251" s="7" t="inlineStr">
        <is>
          <t>Cultura Autorizada na Bula</t>
        </is>
      </c>
      <c r="H2251" s="7" t="inlineStr">
        <is>
          <t>100 a 300 L/ha</t>
        </is>
      </c>
      <c r="I2251" s="7" t="inlineStr">
        <is>
          <t>20 a 40 L/ha</t>
        </is>
      </c>
      <c r="J2251" s="7" t="inlineStr">
        <is>
          <t>21 dias</t>
        </is>
      </c>
    </row>
    <row r="2252" ht="22" customHeight="1">
      <c r="A2252" s="12" t="inlineStr">
        <is>
          <t>CUL-2248</t>
        </is>
      </c>
      <c r="B2252" s="11" t="n">
        <v>450</v>
      </c>
      <c r="C2252" s="13" t="inlineStr">
        <is>
          <t>Nº 40624</t>
        </is>
      </c>
      <c r="D2252" s="14" t="inlineStr">
        <is>
          <t>CHLORPYRIFOS 480 EC AGCN</t>
        </is>
      </c>
      <c r="E2252" s="13" t="inlineStr">
        <is>
          <t>Pulverização Agrícola Conforme Bula</t>
        </is>
      </c>
      <c r="F2252" s="13" t="inlineStr">
        <is>
          <t>Algodão</t>
        </is>
      </c>
      <c r="G2252" s="13" t="inlineStr">
        <is>
          <t>Cultura Autorizada na Bula</t>
        </is>
      </c>
      <c r="H2252" s="13" t="inlineStr">
        <is>
          <t>100 a 300 L/ha</t>
        </is>
      </c>
      <c r="I2252" s="13" t="inlineStr">
        <is>
          <t>20 a 40 L/ha</t>
        </is>
      </c>
      <c r="J2252" s="13" t="inlineStr">
        <is>
          <t>21 dias</t>
        </is>
      </c>
    </row>
    <row r="2253" ht="22" customHeight="1">
      <c r="A2253" s="6" t="inlineStr">
        <is>
          <t>CUL-2249</t>
        </is>
      </c>
      <c r="B2253" s="5" t="n">
        <v>450</v>
      </c>
      <c r="C2253" s="7" t="inlineStr">
        <is>
          <t>Nº 40624</t>
        </is>
      </c>
      <c r="D2253" s="8" t="inlineStr">
        <is>
          <t>CHLORPYRIFOS 480 EC AGCN</t>
        </is>
      </c>
      <c r="E2253" s="7" t="inlineStr">
        <is>
          <t>Pulverização Agrícola Conforme Bula</t>
        </is>
      </c>
      <c r="F2253" s="7" t="inlineStr">
        <is>
          <t>Café</t>
        </is>
      </c>
      <c r="G2253" s="7" t="inlineStr">
        <is>
          <t>Cultura Autorizada na Bula</t>
        </is>
      </c>
      <c r="H2253" s="7" t="inlineStr">
        <is>
          <t>100 a 300 L/ha</t>
        </is>
      </c>
      <c r="I2253" s="7" t="inlineStr">
        <is>
          <t>20 a 40 L/ha</t>
        </is>
      </c>
      <c r="J2253" s="7" t="inlineStr">
        <is>
          <t>21 dias</t>
        </is>
      </c>
    </row>
    <row r="2254" ht="22" customHeight="1">
      <c r="A2254" s="12" t="inlineStr">
        <is>
          <t>CUL-2250</t>
        </is>
      </c>
      <c r="B2254" s="11" t="n">
        <v>450</v>
      </c>
      <c r="C2254" s="13" t="inlineStr">
        <is>
          <t>Nº 40624</t>
        </is>
      </c>
      <c r="D2254" s="14" t="inlineStr">
        <is>
          <t>CHLORPYRIFOS 480 EC AGCN</t>
        </is>
      </c>
      <c r="E2254" s="13" t="inlineStr">
        <is>
          <t>Pulverização Agrícola Conforme Bula</t>
        </is>
      </c>
      <c r="F2254" s="13" t="inlineStr">
        <is>
          <t>Citros</t>
        </is>
      </c>
      <c r="G2254" s="13" t="inlineStr">
        <is>
          <t>Cultura Autorizada na Bula</t>
        </is>
      </c>
      <c r="H2254" s="13" t="inlineStr">
        <is>
          <t>100 a 300 L/ha</t>
        </is>
      </c>
      <c r="I2254" s="13" t="inlineStr">
        <is>
          <t>20 a 40 L/ha</t>
        </is>
      </c>
      <c r="J2254" s="13" t="inlineStr">
        <is>
          <t>21 dias</t>
        </is>
      </c>
    </row>
    <row r="2255" ht="22" customHeight="1">
      <c r="A2255" s="6" t="inlineStr">
        <is>
          <t>CUL-2251</t>
        </is>
      </c>
      <c r="B2255" s="5" t="n">
        <v>450</v>
      </c>
      <c r="C2255" s="7" t="inlineStr">
        <is>
          <t>Nº 40624</t>
        </is>
      </c>
      <c r="D2255" s="8" t="inlineStr">
        <is>
          <t>CHLORPYRIFOS 480 EC AGCN</t>
        </is>
      </c>
      <c r="E2255" s="7" t="inlineStr">
        <is>
          <t>Pulverização Agrícola Conforme Bula</t>
        </is>
      </c>
      <c r="F2255" s="7" t="inlineStr">
        <is>
          <t>Feijão</t>
        </is>
      </c>
      <c r="G2255" s="7" t="inlineStr">
        <is>
          <t>Cultura Autorizada na Bula</t>
        </is>
      </c>
      <c r="H2255" s="7" t="inlineStr">
        <is>
          <t>100 a 300 L/ha</t>
        </is>
      </c>
      <c r="I2255" s="7" t="inlineStr">
        <is>
          <t>20 a 40 L/ha</t>
        </is>
      </c>
      <c r="J2255" s="7" t="inlineStr">
        <is>
          <t>25 dias</t>
        </is>
      </c>
    </row>
    <row r="2256" ht="22" customHeight="1">
      <c r="A2256" s="12" t="inlineStr">
        <is>
          <t>CUL-2252</t>
        </is>
      </c>
      <c r="B2256" s="11" t="n">
        <v>450</v>
      </c>
      <c r="C2256" s="13" t="inlineStr">
        <is>
          <t>Nº 40624</t>
        </is>
      </c>
      <c r="D2256" s="14" t="inlineStr">
        <is>
          <t>CHLORPYRIFOS 480 EC AGCN</t>
        </is>
      </c>
      <c r="E2256" s="13" t="inlineStr">
        <is>
          <t>Pulverização Agrícola Conforme Bula</t>
        </is>
      </c>
      <c r="F2256" s="13" t="inlineStr">
        <is>
          <t>Batata</t>
        </is>
      </c>
      <c r="G2256" s="13" t="inlineStr">
        <is>
          <t>Cultura Autorizada na Bula</t>
        </is>
      </c>
      <c r="H2256" s="13" t="inlineStr">
        <is>
          <t>100 a 300 L/ha</t>
        </is>
      </c>
      <c r="I2256" s="13" t="inlineStr">
        <is>
          <t>20 a 40 L/ha</t>
        </is>
      </c>
      <c r="J2256" s="13" t="inlineStr">
        <is>
          <t>21 dias</t>
        </is>
      </c>
    </row>
    <row r="2257" ht="22" customHeight="1">
      <c r="A2257" s="6" t="inlineStr">
        <is>
          <t>CUL-2253</t>
        </is>
      </c>
      <c r="B2257" s="5" t="n">
        <v>450</v>
      </c>
      <c r="C2257" s="7" t="inlineStr">
        <is>
          <t>Nº 40624</t>
        </is>
      </c>
      <c r="D2257" s="8" t="inlineStr">
        <is>
          <t>CHLORPYRIFOS 480 EC AGCN</t>
        </is>
      </c>
      <c r="E2257" s="7" t="inlineStr">
        <is>
          <t>Pulverização Agrícola Conforme Bula</t>
        </is>
      </c>
      <c r="F2257" s="7" t="inlineStr">
        <is>
          <t>Tomate</t>
        </is>
      </c>
      <c r="G2257" s="7" t="inlineStr">
        <is>
          <t>Cultura Autorizada na Bula</t>
        </is>
      </c>
      <c r="H2257" s="7" t="inlineStr">
        <is>
          <t>100 a 300 L/ha</t>
        </is>
      </c>
      <c r="I2257" s="7" t="inlineStr">
        <is>
          <t>20 a 40 L/ha</t>
        </is>
      </c>
      <c r="J2257" s="7" t="inlineStr">
        <is>
          <t>21 dias</t>
        </is>
      </c>
    </row>
    <row r="2258" ht="22" customHeight="1">
      <c r="A2258" s="12" t="inlineStr">
        <is>
          <t>CUL-2254</t>
        </is>
      </c>
      <c r="B2258" s="11" t="n">
        <v>450</v>
      </c>
      <c r="C2258" s="13" t="inlineStr">
        <is>
          <t>Nº 40624</t>
        </is>
      </c>
      <c r="D2258" s="14" t="inlineStr">
        <is>
          <t>CHLORPYRIFOS 480 EC AGCN</t>
        </is>
      </c>
      <c r="E2258" s="13" t="inlineStr">
        <is>
          <t>Pulverização Agrícola Conforme Bula</t>
        </is>
      </c>
      <c r="F2258" s="13" t="inlineStr">
        <is>
          <t>Trigo</t>
        </is>
      </c>
      <c r="G2258" s="13" t="inlineStr">
        <is>
          <t>Cultura Autorizada na Bula</t>
        </is>
      </c>
      <c r="H2258" s="13" t="inlineStr">
        <is>
          <t>100 a 300 L/ha</t>
        </is>
      </c>
      <c r="I2258" s="13" t="inlineStr">
        <is>
          <t>20 a 40 L/ha</t>
        </is>
      </c>
      <c r="J2258" s="13" t="inlineStr">
        <is>
          <t>21 dias</t>
        </is>
      </c>
    </row>
    <row r="2259" ht="22" customHeight="1">
      <c r="A2259" s="6" t="inlineStr">
        <is>
          <t>CUL-2255</t>
        </is>
      </c>
      <c r="B2259" s="5" t="n">
        <v>451</v>
      </c>
      <c r="C2259" s="7" t="inlineStr">
        <is>
          <t>Nº 6223</t>
        </is>
      </c>
      <c r="D2259" s="8" t="inlineStr">
        <is>
          <t>RIDOWN FULL</t>
        </is>
      </c>
      <c r="E2259" s="7" t="inlineStr">
        <is>
          <t>Pulverização Agrícola Conforme Bula</t>
        </is>
      </c>
      <c r="F2259" s="7" t="inlineStr">
        <is>
          <t>Soja (Pré-Plantio / OGM)</t>
        </is>
      </c>
      <c r="G2259" s="7" t="inlineStr">
        <is>
          <t>Cultura Autorizada na Bula</t>
        </is>
      </c>
      <c r="H2259" s="7" t="inlineStr">
        <is>
          <t>100 a 300 L/ha</t>
        </is>
      </c>
      <c r="I2259" s="7" t="inlineStr">
        <is>
          <t>20 a 40 L/ha</t>
        </is>
      </c>
      <c r="J2259" s="7" t="inlineStr">
        <is>
          <t>56 dias</t>
        </is>
      </c>
    </row>
    <row r="2260" ht="22" customHeight="1">
      <c r="A2260" s="12" t="inlineStr">
        <is>
          <t>CUL-2256</t>
        </is>
      </c>
      <c r="B2260" s="11" t="n">
        <v>451</v>
      </c>
      <c r="C2260" s="13" t="inlineStr">
        <is>
          <t>Nº 6223</t>
        </is>
      </c>
      <c r="D2260" s="14" t="inlineStr">
        <is>
          <t>RIDOWN FULL</t>
        </is>
      </c>
      <c r="E2260" s="13" t="inlineStr">
        <is>
          <t>Pulverização Agrícola Conforme Bula</t>
        </is>
      </c>
      <c r="F2260" s="13" t="inlineStr">
        <is>
          <t>Milho (Pré-Plantio / OGM)</t>
        </is>
      </c>
      <c r="G2260" s="13" t="inlineStr">
        <is>
          <t>Cultura Autorizada na Bula</t>
        </is>
      </c>
      <c r="H2260" s="13" t="inlineStr">
        <is>
          <t>100 a 300 L/ha</t>
        </is>
      </c>
      <c r="I2260" s="13" t="inlineStr">
        <is>
          <t>20 a 40 L/ha</t>
        </is>
      </c>
      <c r="J2260" s="13" t="inlineStr">
        <is>
          <t>90 dias</t>
        </is>
      </c>
    </row>
    <row r="2261" ht="22" customHeight="1">
      <c r="A2261" s="6" t="inlineStr">
        <is>
          <t>CUL-2257</t>
        </is>
      </c>
      <c r="B2261" s="5" t="n">
        <v>451</v>
      </c>
      <c r="C2261" s="7" t="inlineStr">
        <is>
          <t>Nº 6223</t>
        </is>
      </c>
      <c r="D2261" s="8" t="inlineStr">
        <is>
          <t>RIDOWN FULL</t>
        </is>
      </c>
      <c r="E2261" s="7" t="inlineStr">
        <is>
          <t>Pulverização Agrícola Conforme Bula</t>
        </is>
      </c>
      <c r="F2261" s="7" t="inlineStr">
        <is>
          <t>Algodão (Pré-Plantio / OGM)</t>
        </is>
      </c>
      <c r="G2261" s="7" t="inlineStr">
        <is>
          <t>Cultura Autorizada na Bula</t>
        </is>
      </c>
      <c r="H2261" s="7" t="inlineStr">
        <is>
          <t>100 a 300 L/ha</t>
        </is>
      </c>
      <c r="I2261" s="7" t="inlineStr">
        <is>
          <t>20 a 40 L/ha</t>
        </is>
      </c>
      <c r="J2261" s="7" t="inlineStr">
        <is>
          <t>130 dias</t>
        </is>
      </c>
    </row>
    <row r="2262" ht="22" customHeight="1">
      <c r="A2262" s="12" t="inlineStr">
        <is>
          <t>CUL-2258</t>
        </is>
      </c>
      <c r="B2262" s="11" t="n">
        <v>451</v>
      </c>
      <c r="C2262" s="13" t="inlineStr">
        <is>
          <t>Nº 6223</t>
        </is>
      </c>
      <c r="D2262" s="14" t="inlineStr">
        <is>
          <t>RIDOWN FULL</t>
        </is>
      </c>
      <c r="E2262" s="13" t="inlineStr">
        <is>
          <t>Pulverização Agrícola Conforme Bula</t>
        </is>
      </c>
      <c r="F2262" s="13" t="inlineStr">
        <is>
          <t>Cana-de-açúcar</t>
        </is>
      </c>
      <c r="G2262" s="13" t="inlineStr">
        <is>
          <t>Cultura Autorizada na Bula</t>
        </is>
      </c>
      <c r="H2262" s="13" t="inlineStr">
        <is>
          <t>100 a 300 L/ha</t>
        </is>
      </c>
      <c r="I2262" s="13" t="inlineStr">
        <is>
          <t>20 a 40 L/ha</t>
        </is>
      </c>
      <c r="J2262" s="13" t="inlineStr">
        <is>
          <t>N/D</t>
        </is>
      </c>
    </row>
    <row r="2263" ht="22" customHeight="1">
      <c r="A2263" s="6" t="inlineStr">
        <is>
          <t>CUL-2259</t>
        </is>
      </c>
      <c r="B2263" s="5" t="n">
        <v>451</v>
      </c>
      <c r="C2263" s="7" t="inlineStr">
        <is>
          <t>Nº 6223</t>
        </is>
      </c>
      <c r="D2263" s="8" t="inlineStr">
        <is>
          <t>RIDOWN FULL</t>
        </is>
      </c>
      <c r="E2263" s="7" t="inlineStr">
        <is>
          <t>Pulverização Agrícola Conforme Bula</t>
        </is>
      </c>
      <c r="F2263" s="7" t="inlineStr">
        <is>
          <t>Café (Jato Dirigido)</t>
        </is>
      </c>
      <c r="G2263" s="7" t="inlineStr">
        <is>
          <t>Cultura Autorizada na Bula</t>
        </is>
      </c>
      <c r="H2263" s="7" t="inlineStr">
        <is>
          <t>100 a 300 L/ha</t>
        </is>
      </c>
      <c r="I2263" s="7" t="inlineStr">
        <is>
          <t>20 a 40 L/ha</t>
        </is>
      </c>
      <c r="J2263" s="7" t="inlineStr">
        <is>
          <t>15 dias</t>
        </is>
      </c>
    </row>
    <row r="2264" ht="22" customHeight="1">
      <c r="A2264" s="12" t="inlineStr">
        <is>
          <t>CUL-2260</t>
        </is>
      </c>
      <c r="B2264" s="11" t="n">
        <v>451</v>
      </c>
      <c r="C2264" s="13" t="inlineStr">
        <is>
          <t>Nº 6223</t>
        </is>
      </c>
      <c r="D2264" s="14" t="inlineStr">
        <is>
          <t>RIDOWN FULL</t>
        </is>
      </c>
      <c r="E2264" s="13" t="inlineStr">
        <is>
          <t>Pulverização Agrícola Conforme Bula</t>
        </is>
      </c>
      <c r="F2264" s="13" t="inlineStr">
        <is>
          <t>Citros (Jato Dirigido)</t>
        </is>
      </c>
      <c r="G2264" s="13" t="inlineStr">
        <is>
          <t>Cultura Autorizada na Bula</t>
        </is>
      </c>
      <c r="H2264" s="13" t="inlineStr">
        <is>
          <t>100 a 300 L/ha</t>
        </is>
      </c>
      <c r="I2264" s="13" t="inlineStr">
        <is>
          <t>20 a 40 L/ha</t>
        </is>
      </c>
      <c r="J2264" s="13" t="inlineStr">
        <is>
          <t>30 dias</t>
        </is>
      </c>
    </row>
    <row r="2265" ht="22" customHeight="1">
      <c r="A2265" s="6" t="inlineStr">
        <is>
          <t>CUL-2261</t>
        </is>
      </c>
      <c r="B2265" s="5" t="n">
        <v>451</v>
      </c>
      <c r="C2265" s="7" t="inlineStr">
        <is>
          <t>Nº 6223</t>
        </is>
      </c>
      <c r="D2265" s="8" t="inlineStr">
        <is>
          <t>RIDOWN FULL</t>
        </is>
      </c>
      <c r="E2265" s="7" t="inlineStr">
        <is>
          <t>Pulverização Agrícola Conforme Bula</t>
        </is>
      </c>
      <c r="F2265" s="7" t="inlineStr">
        <is>
          <t>Trigo (Pré-Plantio)</t>
        </is>
      </c>
      <c r="G2265" s="7" t="inlineStr">
        <is>
          <t>Cultura Autorizada na Bula</t>
        </is>
      </c>
      <c r="H2265" s="7" t="inlineStr">
        <is>
          <t>100 a 300 L/ha</t>
        </is>
      </c>
      <c r="I2265" s="7" t="inlineStr">
        <is>
          <t>20 a 40 L/ha</t>
        </is>
      </c>
      <c r="J2265" s="7" t="inlineStr">
        <is>
          <t>N/D</t>
        </is>
      </c>
    </row>
    <row r="2266" ht="22" customHeight="1">
      <c r="A2266" s="12" t="inlineStr">
        <is>
          <t>CUL-2262</t>
        </is>
      </c>
      <c r="B2266" s="11" t="n">
        <v>451</v>
      </c>
      <c r="C2266" s="13" t="inlineStr">
        <is>
          <t>Nº 6223</t>
        </is>
      </c>
      <c r="D2266" s="14" t="inlineStr">
        <is>
          <t>RIDOWN FULL</t>
        </is>
      </c>
      <c r="E2266" s="13" t="inlineStr">
        <is>
          <t>Pulverização Agrícola Conforme Bula</t>
        </is>
      </c>
      <c r="F2266" s="13" t="inlineStr">
        <is>
          <t>Pastagens</t>
        </is>
      </c>
      <c r="G2266" s="13" t="inlineStr">
        <is>
          <t>Cultura Autorizada na Bula</t>
        </is>
      </c>
      <c r="H2266" s="13" t="inlineStr">
        <is>
          <t>100 a 300 L/ha</t>
        </is>
      </c>
      <c r="I2266" s="13" t="inlineStr">
        <is>
          <t>20 a 40 L/ha</t>
        </is>
      </c>
      <c r="J2266" s="13" t="inlineStr">
        <is>
          <t>N/D</t>
        </is>
      </c>
    </row>
    <row r="2267" ht="22" customHeight="1">
      <c r="A2267" s="6" t="inlineStr">
        <is>
          <t>CUL-2263</t>
        </is>
      </c>
      <c r="B2267" s="5" t="n">
        <v>452</v>
      </c>
      <c r="C2267" s="7" t="inlineStr">
        <is>
          <t>Nº 12225</t>
        </is>
      </c>
      <c r="D2267" s="8" t="inlineStr">
        <is>
          <t>IMPACTUS CS</t>
        </is>
      </c>
      <c r="E2267" s="7" t="inlineStr">
        <is>
          <t>Pulverização Agrícola Conforme Bula</t>
        </is>
      </c>
      <c r="F2267" s="7" t="inlineStr">
        <is>
          <t>Soja</t>
        </is>
      </c>
      <c r="G2267" s="7" t="inlineStr">
        <is>
          <t>Cultura Autorizada na Bula</t>
        </is>
      </c>
      <c r="H2267" s="7" t="inlineStr">
        <is>
          <t>100 a 300 L/ha</t>
        </is>
      </c>
      <c r="I2267" s="7" t="inlineStr">
        <is>
          <t>20 a 40 L/ha</t>
        </is>
      </c>
      <c r="J2267" s="7" t="inlineStr">
        <is>
          <t>14 dias</t>
        </is>
      </c>
    </row>
    <row r="2268" ht="22" customHeight="1">
      <c r="A2268" s="12" t="inlineStr">
        <is>
          <t>CUL-2264</t>
        </is>
      </c>
      <c r="B2268" s="11" t="n">
        <v>452</v>
      </c>
      <c r="C2268" s="13" t="inlineStr">
        <is>
          <t>Nº 12225</t>
        </is>
      </c>
      <c r="D2268" s="14" t="inlineStr">
        <is>
          <t>IMPACTUS CS</t>
        </is>
      </c>
      <c r="E2268" s="13" t="inlineStr">
        <is>
          <t>Pulverização Agrícola Conforme Bula</t>
        </is>
      </c>
      <c r="F2268" s="13" t="inlineStr">
        <is>
          <t>Milho</t>
        </is>
      </c>
      <c r="G2268" s="13" t="inlineStr">
        <is>
          <t>Cultura Autorizada na Bula</t>
        </is>
      </c>
      <c r="H2268" s="13" t="inlineStr">
        <is>
          <t>100 a 300 L/ha</t>
        </is>
      </c>
      <c r="I2268" s="13" t="inlineStr">
        <is>
          <t>20 a 40 L/ha</t>
        </is>
      </c>
      <c r="J2268" s="13" t="inlineStr">
        <is>
          <t>15 dias</t>
        </is>
      </c>
    </row>
    <row r="2269" ht="22" customHeight="1">
      <c r="A2269" s="6" t="inlineStr">
        <is>
          <t>CUL-2265</t>
        </is>
      </c>
      <c r="B2269" s="5" t="n">
        <v>452</v>
      </c>
      <c r="C2269" s="7" t="inlineStr">
        <is>
          <t>Nº 12225</t>
        </is>
      </c>
      <c r="D2269" s="8" t="inlineStr">
        <is>
          <t>IMPACTUS CS</t>
        </is>
      </c>
      <c r="E2269" s="7" t="inlineStr">
        <is>
          <t>Pulverização Agrícola Conforme Bula</t>
        </is>
      </c>
      <c r="F2269" s="7" t="inlineStr">
        <is>
          <t>Algodão</t>
        </is>
      </c>
      <c r="G2269" s="7" t="inlineStr">
        <is>
          <t>Cultura Autorizada na Bula</t>
        </is>
      </c>
      <c r="H2269" s="7" t="inlineStr">
        <is>
          <t>100 a 300 L/ha</t>
        </is>
      </c>
      <c r="I2269" s="7" t="inlineStr">
        <is>
          <t>20 a 40 L/ha</t>
        </is>
      </c>
      <c r="J2269" s="7" t="inlineStr">
        <is>
          <t>7 dias</t>
        </is>
      </c>
    </row>
    <row r="2270" ht="22" customHeight="1">
      <c r="A2270" s="12" t="inlineStr">
        <is>
          <t>CUL-2266</t>
        </is>
      </c>
      <c r="B2270" s="11" t="n">
        <v>452</v>
      </c>
      <c r="C2270" s="13" t="inlineStr">
        <is>
          <t>Nº 12225</t>
        </is>
      </c>
      <c r="D2270" s="14" t="inlineStr">
        <is>
          <t>IMPACTUS CS</t>
        </is>
      </c>
      <c r="E2270" s="13" t="inlineStr">
        <is>
          <t>Pulverização Agrícola Conforme Bula</t>
        </is>
      </c>
      <c r="F2270" s="13" t="inlineStr">
        <is>
          <t>Café</t>
        </is>
      </c>
      <c r="G2270" s="13" t="inlineStr">
        <is>
          <t>Cultura Autorizada na Bula</t>
        </is>
      </c>
      <c r="H2270" s="13" t="inlineStr">
        <is>
          <t>100 a 300 L/ha</t>
        </is>
      </c>
      <c r="I2270" s="13" t="inlineStr">
        <is>
          <t>20 a 40 L/ha</t>
        </is>
      </c>
      <c r="J2270" s="13" t="inlineStr">
        <is>
          <t>1 dias</t>
        </is>
      </c>
    </row>
    <row r="2271" ht="22" customHeight="1">
      <c r="A2271" s="6" t="inlineStr">
        <is>
          <t>CUL-2267</t>
        </is>
      </c>
      <c r="B2271" s="5" t="n">
        <v>452</v>
      </c>
      <c r="C2271" s="7" t="inlineStr">
        <is>
          <t>Nº 12225</t>
        </is>
      </c>
      <c r="D2271" s="8" t="inlineStr">
        <is>
          <t>IMPACTUS CS</t>
        </is>
      </c>
      <c r="E2271" s="7" t="inlineStr">
        <is>
          <t>Pulverização Agrícola Conforme Bula</t>
        </is>
      </c>
      <c r="F2271" s="7" t="inlineStr">
        <is>
          <t>Feijão</t>
        </is>
      </c>
      <c r="G2271" s="7" t="inlineStr">
        <is>
          <t>Cultura Autorizada na Bula</t>
        </is>
      </c>
      <c r="H2271" s="7" t="inlineStr">
        <is>
          <t>100 a 300 L/ha</t>
        </is>
      </c>
      <c r="I2271" s="7" t="inlineStr">
        <is>
          <t>20 a 40 L/ha</t>
        </is>
      </c>
      <c r="J2271" s="7" t="inlineStr">
        <is>
          <t>15 dias</t>
        </is>
      </c>
    </row>
    <row r="2272" ht="22" customHeight="1">
      <c r="A2272" s="12" t="inlineStr">
        <is>
          <t>CUL-2268</t>
        </is>
      </c>
      <c r="B2272" s="11" t="n">
        <v>452</v>
      </c>
      <c r="C2272" s="13" t="inlineStr">
        <is>
          <t>Nº 12225</t>
        </is>
      </c>
      <c r="D2272" s="14" t="inlineStr">
        <is>
          <t>IMPACTUS CS</t>
        </is>
      </c>
      <c r="E2272" s="13" t="inlineStr">
        <is>
          <t>Pulverização Agrícola Conforme Bula</t>
        </is>
      </c>
      <c r="F2272" s="13" t="inlineStr">
        <is>
          <t>Trigo</t>
        </is>
      </c>
      <c r="G2272" s="13" t="inlineStr">
        <is>
          <t>Cultura Autorizada na Bula</t>
        </is>
      </c>
      <c r="H2272" s="13" t="inlineStr">
        <is>
          <t>100 a 300 L/ha</t>
        </is>
      </c>
      <c r="I2272" s="13" t="inlineStr">
        <is>
          <t>20 a 40 L/ha</t>
        </is>
      </c>
      <c r="J2272" s="13" t="inlineStr">
        <is>
          <t>21 dias</t>
        </is>
      </c>
    </row>
    <row r="2273" ht="22" customHeight="1">
      <c r="A2273" s="6" t="inlineStr">
        <is>
          <t>CUL-2269</t>
        </is>
      </c>
      <c r="B2273" s="5" t="n">
        <v>452</v>
      </c>
      <c r="C2273" s="7" t="inlineStr">
        <is>
          <t>Nº 12225</t>
        </is>
      </c>
      <c r="D2273" s="8" t="inlineStr">
        <is>
          <t>IMPACTUS CS</t>
        </is>
      </c>
      <c r="E2273" s="7" t="inlineStr">
        <is>
          <t>Pulverização Agrícola Conforme Bula</t>
        </is>
      </c>
      <c r="F2273" s="7" t="inlineStr">
        <is>
          <t>Cana-de-açúcar</t>
        </is>
      </c>
      <c r="G2273" s="7" t="inlineStr">
        <is>
          <t>Cultura Autorizada na Bula</t>
        </is>
      </c>
      <c r="H2273" s="7" t="inlineStr">
        <is>
          <t>100 a 300 L/ha</t>
        </is>
      </c>
      <c r="I2273" s="7" t="inlineStr">
        <is>
          <t>20 a 40 L/ha</t>
        </is>
      </c>
      <c r="J2273" s="7" t="inlineStr">
        <is>
          <t>21 dias</t>
        </is>
      </c>
    </row>
    <row r="2274" ht="22" customHeight="1">
      <c r="A2274" s="12" t="inlineStr">
        <is>
          <t>CUL-2270</t>
        </is>
      </c>
      <c r="B2274" s="11" t="n">
        <v>453</v>
      </c>
      <c r="C2274" s="13" t="inlineStr">
        <is>
          <t>Nº 6922</t>
        </is>
      </c>
      <c r="D2274" s="14" t="inlineStr">
        <is>
          <t>INSECTRIN</t>
        </is>
      </c>
      <c r="E2274" s="13" t="inlineStr">
        <is>
          <t>Pulverização Agrícola Conforme Bula</t>
        </is>
      </c>
      <c r="F2274" s="13" t="inlineStr">
        <is>
          <t>Algodão</t>
        </is>
      </c>
      <c r="G2274" s="13" t="inlineStr">
        <is>
          <t>Cultura Autorizada na Bula</t>
        </is>
      </c>
      <c r="H2274" s="13" t="inlineStr">
        <is>
          <t>100 a 300 L/ha</t>
        </is>
      </c>
      <c r="I2274" s="13" t="inlineStr">
        <is>
          <t>20 a 40 L/ha</t>
        </is>
      </c>
      <c r="J2274" s="13" t="inlineStr">
        <is>
          <t>15 dias</t>
        </is>
      </c>
    </row>
    <row r="2275" ht="22" customHeight="1">
      <c r="A2275" s="6" t="inlineStr">
        <is>
          <t>CUL-2271</t>
        </is>
      </c>
      <c r="B2275" s="5" t="n">
        <v>453</v>
      </c>
      <c r="C2275" s="7" t="inlineStr">
        <is>
          <t>Nº 6922</t>
        </is>
      </c>
      <c r="D2275" s="8" t="inlineStr">
        <is>
          <t>INSECTRIN</t>
        </is>
      </c>
      <c r="E2275" s="7" t="inlineStr">
        <is>
          <t>Pulverização Agrícola Conforme Bula</t>
        </is>
      </c>
      <c r="F2275" s="7" t="inlineStr">
        <is>
          <t>Soja</t>
        </is>
      </c>
      <c r="G2275" s="7" t="inlineStr">
        <is>
          <t>Cultura Autorizada na Bula</t>
        </is>
      </c>
      <c r="H2275" s="7" t="inlineStr">
        <is>
          <t>100 a 300 L/ha</t>
        </is>
      </c>
      <c r="I2275" s="7" t="inlineStr">
        <is>
          <t>20 a 40 L/ha</t>
        </is>
      </c>
      <c r="J2275" s="7" t="inlineStr">
        <is>
          <t>30 dias</t>
        </is>
      </c>
    </row>
    <row r="2276" ht="22" customHeight="1">
      <c r="A2276" s="12" t="inlineStr">
        <is>
          <t>CUL-2272</t>
        </is>
      </c>
      <c r="B2276" s="11" t="n">
        <v>453</v>
      </c>
      <c r="C2276" s="13" t="inlineStr">
        <is>
          <t>Nº 6922</t>
        </is>
      </c>
      <c r="D2276" s="14" t="inlineStr">
        <is>
          <t>INSECTRIN</t>
        </is>
      </c>
      <c r="E2276" s="13" t="inlineStr">
        <is>
          <t>Pulverização Agrícola Conforme Bula</t>
        </is>
      </c>
      <c r="F2276" s="13" t="inlineStr">
        <is>
          <t>Milho</t>
        </is>
      </c>
      <c r="G2276" s="13" t="inlineStr">
        <is>
          <t>Cultura Autorizada na Bula</t>
        </is>
      </c>
      <c r="H2276" s="13" t="inlineStr">
        <is>
          <t>100 a 300 L/ha</t>
        </is>
      </c>
      <c r="I2276" s="13" t="inlineStr">
        <is>
          <t>20 a 40 L/ha</t>
        </is>
      </c>
      <c r="J2276" s="13" t="inlineStr">
        <is>
          <t>30 dias</t>
        </is>
      </c>
    </row>
    <row r="2277" ht="22" customHeight="1">
      <c r="A2277" s="6" t="inlineStr">
        <is>
          <t>CUL-2273</t>
        </is>
      </c>
      <c r="B2277" s="5" t="n">
        <v>453</v>
      </c>
      <c r="C2277" s="7" t="inlineStr">
        <is>
          <t>Nº 6922</t>
        </is>
      </c>
      <c r="D2277" s="8" t="inlineStr">
        <is>
          <t>INSECTRIN</t>
        </is>
      </c>
      <c r="E2277" s="7" t="inlineStr">
        <is>
          <t>Pulverização Agrícola Conforme Bula</t>
        </is>
      </c>
      <c r="F2277" s="7" t="inlineStr">
        <is>
          <t>Cana-de-açúcar</t>
        </is>
      </c>
      <c r="G2277" s="7" t="inlineStr">
        <is>
          <t>Cultura Autorizada na Bula</t>
        </is>
      </c>
      <c r="H2277" s="7" t="inlineStr">
        <is>
          <t>100 a 300 L/ha</t>
        </is>
      </c>
      <c r="I2277" s="7" t="inlineStr">
        <is>
          <t>20 a 40 L/ha</t>
        </is>
      </c>
      <c r="J2277" s="7" t="inlineStr">
        <is>
          <t>30 dias</t>
        </is>
      </c>
    </row>
    <row r="2278" ht="22" customHeight="1">
      <c r="A2278" s="12" t="inlineStr">
        <is>
          <t>CUL-2274</t>
        </is>
      </c>
      <c r="B2278" s="11" t="n">
        <v>453</v>
      </c>
      <c r="C2278" s="13" t="inlineStr">
        <is>
          <t>Nº 6922</t>
        </is>
      </c>
      <c r="D2278" s="14" t="inlineStr">
        <is>
          <t>INSECTRIN</t>
        </is>
      </c>
      <c r="E2278" s="13" t="inlineStr">
        <is>
          <t>Pulverização Agrícola Conforme Bula</t>
        </is>
      </c>
      <c r="F2278" s="13" t="inlineStr">
        <is>
          <t>Café</t>
        </is>
      </c>
      <c r="G2278" s="13" t="inlineStr">
        <is>
          <t>Cultura Autorizada na Bula</t>
        </is>
      </c>
      <c r="H2278" s="13" t="inlineStr">
        <is>
          <t>100 a 300 L/ha</t>
        </is>
      </c>
      <c r="I2278" s="13" t="inlineStr">
        <is>
          <t>20 a 40 L/ha</t>
        </is>
      </c>
      <c r="J2278" s="13" t="inlineStr">
        <is>
          <t>30 dias</t>
        </is>
      </c>
    </row>
    <row r="2279" ht="22" customHeight="1">
      <c r="A2279" s="6" t="inlineStr">
        <is>
          <t>CUL-2275</t>
        </is>
      </c>
      <c r="B2279" s="5" t="n">
        <v>453</v>
      </c>
      <c r="C2279" s="7" t="inlineStr">
        <is>
          <t>Nº 6922</t>
        </is>
      </c>
      <c r="D2279" s="8" t="inlineStr">
        <is>
          <t>INSECTRIN</t>
        </is>
      </c>
      <c r="E2279" s="7" t="inlineStr">
        <is>
          <t>Pulverização Agrícola Conforme Bula</t>
        </is>
      </c>
      <c r="F2279" s="7" t="inlineStr">
        <is>
          <t>Citros</t>
        </is>
      </c>
      <c r="G2279" s="7" t="inlineStr">
        <is>
          <t>Cultura Autorizada na Bula</t>
        </is>
      </c>
      <c r="H2279" s="7" t="inlineStr">
        <is>
          <t>100 a 300 L/ha</t>
        </is>
      </c>
      <c r="I2279" s="7" t="inlineStr">
        <is>
          <t>20 a 40 L/ha</t>
        </is>
      </c>
      <c r="J2279" s="7" t="inlineStr">
        <is>
          <t>7 dias</t>
        </is>
      </c>
    </row>
    <row r="2280" ht="22" customHeight="1">
      <c r="A2280" s="12" t="inlineStr">
        <is>
          <t>CUL-2276</t>
        </is>
      </c>
      <c r="B2280" s="11" t="n">
        <v>453</v>
      </c>
      <c r="C2280" s="13" t="inlineStr">
        <is>
          <t>Nº 6922</t>
        </is>
      </c>
      <c r="D2280" s="14" t="inlineStr">
        <is>
          <t>INSECTRIN</t>
        </is>
      </c>
      <c r="E2280" s="13" t="inlineStr">
        <is>
          <t>Pulverização Agrícola Conforme Bula</t>
        </is>
      </c>
      <c r="F2280" s="13" t="inlineStr">
        <is>
          <t>Feijão</t>
        </is>
      </c>
      <c r="G2280" s="13" t="inlineStr">
        <is>
          <t>Cultura Autorizada na Bula</t>
        </is>
      </c>
      <c r="H2280" s="13" t="inlineStr">
        <is>
          <t>100 a 300 L/ha</t>
        </is>
      </c>
      <c r="I2280" s="13" t="inlineStr">
        <is>
          <t>20 a 40 L/ha</t>
        </is>
      </c>
      <c r="J2280" s="13" t="inlineStr">
        <is>
          <t>20 dias</t>
        </is>
      </c>
    </row>
    <row r="2281" ht="22" customHeight="1">
      <c r="A2281" s="6" t="inlineStr">
        <is>
          <t>CUL-2277</t>
        </is>
      </c>
      <c r="B2281" s="5" t="n">
        <v>453</v>
      </c>
      <c r="C2281" s="7" t="inlineStr">
        <is>
          <t>Nº 6922</t>
        </is>
      </c>
      <c r="D2281" s="8" t="inlineStr">
        <is>
          <t>INSECTRIN</t>
        </is>
      </c>
      <c r="E2281" s="7" t="inlineStr">
        <is>
          <t>Pulverização Agrícola Conforme Bula</t>
        </is>
      </c>
      <c r="F2281" s="7" t="inlineStr">
        <is>
          <t>Trigo</t>
        </is>
      </c>
      <c r="G2281" s="7" t="inlineStr">
        <is>
          <t>Cultura Autorizada na Bula</t>
        </is>
      </c>
      <c r="H2281" s="7" t="inlineStr">
        <is>
          <t>100 a 300 L/ha</t>
        </is>
      </c>
      <c r="I2281" s="7" t="inlineStr">
        <is>
          <t>20 a 40 L/ha</t>
        </is>
      </c>
      <c r="J2281" s="7" t="inlineStr">
        <is>
          <t>30 dias</t>
        </is>
      </c>
    </row>
    <row r="2282" ht="22" customHeight="1">
      <c r="A2282" s="12" t="inlineStr">
        <is>
          <t>CUL-2278</t>
        </is>
      </c>
      <c r="B2282" s="11" t="n">
        <v>454</v>
      </c>
      <c r="C2282" s="13" t="inlineStr">
        <is>
          <t>Nº 6922</t>
        </is>
      </c>
      <c r="D2282" s="14" t="inlineStr">
        <is>
          <t>INSECTRIN</t>
        </is>
      </c>
      <c r="E2282" s="13" t="inlineStr">
        <is>
          <t>Pulverização Agrícola Conforme Bula</t>
        </is>
      </c>
      <c r="F2282" s="13" t="inlineStr">
        <is>
          <t>Algodão</t>
        </is>
      </c>
      <c r="G2282" s="13" t="inlineStr">
        <is>
          <t>Cultura Autorizada na Bula</t>
        </is>
      </c>
      <c r="H2282" s="13" t="inlineStr">
        <is>
          <t>100 a 300 L/ha</t>
        </is>
      </c>
      <c r="I2282" s="13" t="inlineStr">
        <is>
          <t>20 a 40 L/ha</t>
        </is>
      </c>
      <c r="J2282" s="13" t="inlineStr">
        <is>
          <t>15 dias</t>
        </is>
      </c>
    </row>
    <row r="2283" ht="22" customHeight="1">
      <c r="A2283" s="6" t="inlineStr">
        <is>
          <t>CUL-2279</t>
        </is>
      </c>
      <c r="B2283" s="5" t="n">
        <v>454</v>
      </c>
      <c r="C2283" s="7" t="inlineStr">
        <is>
          <t>Nº 6922</t>
        </is>
      </c>
      <c r="D2283" s="8" t="inlineStr">
        <is>
          <t>INSECTRIN</t>
        </is>
      </c>
      <c r="E2283" s="7" t="inlineStr">
        <is>
          <t>Pulverização Agrícola Conforme Bula</t>
        </is>
      </c>
      <c r="F2283" s="7" t="inlineStr">
        <is>
          <t>Soja</t>
        </is>
      </c>
      <c r="G2283" s="7" t="inlineStr">
        <is>
          <t>Cultura Autorizada na Bula</t>
        </is>
      </c>
      <c r="H2283" s="7" t="inlineStr">
        <is>
          <t>100 a 300 L/ha</t>
        </is>
      </c>
      <c r="I2283" s="7" t="inlineStr">
        <is>
          <t>20 a 40 L/ha</t>
        </is>
      </c>
      <c r="J2283" s="7" t="inlineStr">
        <is>
          <t>30 dias</t>
        </is>
      </c>
    </row>
    <row r="2284" ht="22" customHeight="1">
      <c r="A2284" s="12" t="inlineStr">
        <is>
          <t>CUL-2280</t>
        </is>
      </c>
      <c r="B2284" s="11" t="n">
        <v>454</v>
      </c>
      <c r="C2284" s="13" t="inlineStr">
        <is>
          <t>Nº 6922</t>
        </is>
      </c>
      <c r="D2284" s="14" t="inlineStr">
        <is>
          <t>INSECTRIN</t>
        </is>
      </c>
      <c r="E2284" s="13" t="inlineStr">
        <is>
          <t>Pulverização Agrícola Conforme Bula</t>
        </is>
      </c>
      <c r="F2284" s="13" t="inlineStr">
        <is>
          <t>Milho</t>
        </is>
      </c>
      <c r="G2284" s="13" t="inlineStr">
        <is>
          <t>Cultura Autorizada na Bula</t>
        </is>
      </c>
      <c r="H2284" s="13" t="inlineStr">
        <is>
          <t>100 a 300 L/ha</t>
        </is>
      </c>
      <c r="I2284" s="13" t="inlineStr">
        <is>
          <t>20 a 40 L/ha</t>
        </is>
      </c>
      <c r="J2284" s="13" t="inlineStr">
        <is>
          <t>30 dias</t>
        </is>
      </c>
    </row>
    <row r="2285" ht="22" customHeight="1">
      <c r="A2285" s="6" t="inlineStr">
        <is>
          <t>CUL-2281</t>
        </is>
      </c>
      <c r="B2285" s="5" t="n">
        <v>454</v>
      </c>
      <c r="C2285" s="7" t="inlineStr">
        <is>
          <t>Nº 6922</t>
        </is>
      </c>
      <c r="D2285" s="8" t="inlineStr">
        <is>
          <t>INSECTRIN</t>
        </is>
      </c>
      <c r="E2285" s="7" t="inlineStr">
        <is>
          <t>Pulverização Agrícola Conforme Bula</t>
        </is>
      </c>
      <c r="F2285" s="7" t="inlineStr">
        <is>
          <t>Cana-de-açúcar</t>
        </is>
      </c>
      <c r="G2285" s="7" t="inlineStr">
        <is>
          <t>Cultura Autorizada na Bula</t>
        </is>
      </c>
      <c r="H2285" s="7" t="inlineStr">
        <is>
          <t>100 a 300 L/ha</t>
        </is>
      </c>
      <c r="I2285" s="7" t="inlineStr">
        <is>
          <t>20 a 40 L/ha</t>
        </is>
      </c>
      <c r="J2285" s="7" t="inlineStr">
        <is>
          <t>30 dias</t>
        </is>
      </c>
    </row>
    <row r="2286" ht="22" customHeight="1">
      <c r="A2286" s="12" t="inlineStr">
        <is>
          <t>CUL-2282</t>
        </is>
      </c>
      <c r="B2286" s="11" t="n">
        <v>454</v>
      </c>
      <c r="C2286" s="13" t="inlineStr">
        <is>
          <t>Nº 6922</t>
        </is>
      </c>
      <c r="D2286" s="14" t="inlineStr">
        <is>
          <t>INSECTRIN</t>
        </is>
      </c>
      <c r="E2286" s="13" t="inlineStr">
        <is>
          <t>Pulverização Agrícola Conforme Bula</t>
        </is>
      </c>
      <c r="F2286" s="13" t="inlineStr">
        <is>
          <t>Café</t>
        </is>
      </c>
      <c r="G2286" s="13" t="inlineStr">
        <is>
          <t>Cultura Autorizada na Bula</t>
        </is>
      </c>
      <c r="H2286" s="13" t="inlineStr">
        <is>
          <t>100 a 300 L/ha</t>
        </is>
      </c>
      <c r="I2286" s="13" t="inlineStr">
        <is>
          <t>20 a 40 L/ha</t>
        </is>
      </c>
      <c r="J2286" s="13" t="inlineStr">
        <is>
          <t>30 dias</t>
        </is>
      </c>
    </row>
    <row r="2287" ht="22" customHeight="1">
      <c r="A2287" s="6" t="inlineStr">
        <is>
          <t>CUL-2283</t>
        </is>
      </c>
      <c r="B2287" s="5" t="n">
        <v>454</v>
      </c>
      <c r="C2287" s="7" t="inlineStr">
        <is>
          <t>Nº 6922</t>
        </is>
      </c>
      <c r="D2287" s="8" t="inlineStr">
        <is>
          <t>INSECTRIN</t>
        </is>
      </c>
      <c r="E2287" s="7" t="inlineStr">
        <is>
          <t>Pulverização Agrícola Conforme Bula</t>
        </is>
      </c>
      <c r="F2287" s="7" t="inlineStr">
        <is>
          <t>Citros</t>
        </is>
      </c>
      <c r="G2287" s="7" t="inlineStr">
        <is>
          <t>Cultura Autorizada na Bula</t>
        </is>
      </c>
      <c r="H2287" s="7" t="inlineStr">
        <is>
          <t>100 a 300 L/ha</t>
        </is>
      </c>
      <c r="I2287" s="7" t="inlineStr">
        <is>
          <t>20 a 40 L/ha</t>
        </is>
      </c>
      <c r="J2287" s="7" t="inlineStr">
        <is>
          <t>7 dias</t>
        </is>
      </c>
    </row>
    <row r="2288" ht="22" customHeight="1">
      <c r="A2288" s="12" t="inlineStr">
        <is>
          <t>CUL-2284</t>
        </is>
      </c>
      <c r="B2288" s="11" t="n">
        <v>454</v>
      </c>
      <c r="C2288" s="13" t="inlineStr">
        <is>
          <t>Nº 6922</t>
        </is>
      </c>
      <c r="D2288" s="14" t="inlineStr">
        <is>
          <t>INSECTRIN</t>
        </is>
      </c>
      <c r="E2288" s="13" t="inlineStr">
        <is>
          <t>Pulverização Agrícola Conforme Bula</t>
        </is>
      </c>
      <c r="F2288" s="13" t="inlineStr">
        <is>
          <t>Feijão</t>
        </is>
      </c>
      <c r="G2288" s="13" t="inlineStr">
        <is>
          <t>Cultura Autorizada na Bula</t>
        </is>
      </c>
      <c r="H2288" s="13" t="inlineStr">
        <is>
          <t>100 a 300 L/ha</t>
        </is>
      </c>
      <c r="I2288" s="13" t="inlineStr">
        <is>
          <t>20 a 40 L/ha</t>
        </is>
      </c>
      <c r="J2288" s="13" t="inlineStr">
        <is>
          <t>20 dias</t>
        </is>
      </c>
    </row>
    <row r="2289" ht="22" customHeight="1">
      <c r="A2289" s="6" t="inlineStr">
        <is>
          <t>CUL-2285</t>
        </is>
      </c>
      <c r="B2289" s="5" t="n">
        <v>454</v>
      </c>
      <c r="C2289" s="7" t="inlineStr">
        <is>
          <t>Nº 6922</t>
        </is>
      </c>
      <c r="D2289" s="8" t="inlineStr">
        <is>
          <t>INSECTRIN</t>
        </is>
      </c>
      <c r="E2289" s="7" t="inlineStr">
        <is>
          <t>Pulverização Agrícola Conforme Bula</t>
        </is>
      </c>
      <c r="F2289" s="7" t="inlineStr">
        <is>
          <t>Trigo</t>
        </is>
      </c>
      <c r="G2289" s="7" t="inlineStr">
        <is>
          <t>Cultura Autorizada na Bula</t>
        </is>
      </c>
      <c r="H2289" s="7" t="inlineStr">
        <is>
          <t>100 a 300 L/ha</t>
        </is>
      </c>
      <c r="I2289" s="7" t="inlineStr">
        <is>
          <t>20 a 40 L/ha</t>
        </is>
      </c>
      <c r="J2289" s="7" t="inlineStr">
        <is>
          <t>30 dias</t>
        </is>
      </c>
    </row>
    <row r="2290" ht="22" customHeight="1">
      <c r="A2290" s="12" t="inlineStr">
        <is>
          <t>CUL-2286</t>
        </is>
      </c>
      <c r="B2290" s="11" t="n">
        <v>455</v>
      </c>
      <c r="C2290" s="13" t="inlineStr">
        <is>
          <t>Nº 6223</t>
        </is>
      </c>
      <c r="D2290" s="14" t="inlineStr">
        <is>
          <t>RIDOWN FULL</t>
        </is>
      </c>
      <c r="E2290" s="13" t="inlineStr">
        <is>
          <t>Pulverização Agrícola Conforme Bula</t>
        </is>
      </c>
      <c r="F2290" s="13" t="inlineStr">
        <is>
          <t>Soja (Pré-Plantio / OGM)</t>
        </is>
      </c>
      <c r="G2290" s="13" t="inlineStr">
        <is>
          <t>Cultura Autorizada na Bula</t>
        </is>
      </c>
      <c r="H2290" s="13" t="inlineStr">
        <is>
          <t>100 a 300 L/ha</t>
        </is>
      </c>
      <c r="I2290" s="13" t="inlineStr">
        <is>
          <t>20 a 40 L/ha</t>
        </is>
      </c>
      <c r="J2290" s="13" t="inlineStr">
        <is>
          <t>56 dias</t>
        </is>
      </c>
    </row>
    <row r="2291" ht="22" customHeight="1">
      <c r="A2291" s="6" t="inlineStr">
        <is>
          <t>CUL-2287</t>
        </is>
      </c>
      <c r="B2291" s="5" t="n">
        <v>455</v>
      </c>
      <c r="C2291" s="7" t="inlineStr">
        <is>
          <t>Nº 6223</t>
        </is>
      </c>
      <c r="D2291" s="8" t="inlineStr">
        <is>
          <t>RIDOWN FULL</t>
        </is>
      </c>
      <c r="E2291" s="7" t="inlineStr">
        <is>
          <t>Pulverização Agrícola Conforme Bula</t>
        </is>
      </c>
      <c r="F2291" s="7" t="inlineStr">
        <is>
          <t>Milho (Pré-Plantio / OGM)</t>
        </is>
      </c>
      <c r="G2291" s="7" t="inlineStr">
        <is>
          <t>Cultura Autorizada na Bula</t>
        </is>
      </c>
      <c r="H2291" s="7" t="inlineStr">
        <is>
          <t>100 a 300 L/ha</t>
        </is>
      </c>
      <c r="I2291" s="7" t="inlineStr">
        <is>
          <t>20 a 40 L/ha</t>
        </is>
      </c>
      <c r="J2291" s="7" t="inlineStr">
        <is>
          <t>90 dias</t>
        </is>
      </c>
    </row>
    <row r="2292" ht="22" customHeight="1">
      <c r="A2292" s="12" t="inlineStr">
        <is>
          <t>CUL-2288</t>
        </is>
      </c>
      <c r="B2292" s="11" t="n">
        <v>455</v>
      </c>
      <c r="C2292" s="13" t="inlineStr">
        <is>
          <t>Nº 6223</t>
        </is>
      </c>
      <c r="D2292" s="14" t="inlineStr">
        <is>
          <t>RIDOWN FULL</t>
        </is>
      </c>
      <c r="E2292" s="13" t="inlineStr">
        <is>
          <t>Pulverização Agrícola Conforme Bula</t>
        </is>
      </c>
      <c r="F2292" s="13" t="inlineStr">
        <is>
          <t>Algodão (Pré-Plantio / OGM)</t>
        </is>
      </c>
      <c r="G2292" s="13" t="inlineStr">
        <is>
          <t>Cultura Autorizada na Bula</t>
        </is>
      </c>
      <c r="H2292" s="13" t="inlineStr">
        <is>
          <t>100 a 300 L/ha</t>
        </is>
      </c>
      <c r="I2292" s="13" t="inlineStr">
        <is>
          <t>20 a 40 L/ha</t>
        </is>
      </c>
      <c r="J2292" s="13" t="inlineStr">
        <is>
          <t>130 dias</t>
        </is>
      </c>
    </row>
    <row r="2293" ht="22" customHeight="1">
      <c r="A2293" s="6" t="inlineStr">
        <is>
          <t>CUL-2289</t>
        </is>
      </c>
      <c r="B2293" s="5" t="n">
        <v>455</v>
      </c>
      <c r="C2293" s="7" t="inlineStr">
        <is>
          <t>Nº 6223</t>
        </is>
      </c>
      <c r="D2293" s="8" t="inlineStr">
        <is>
          <t>RIDOWN FULL</t>
        </is>
      </c>
      <c r="E2293" s="7" t="inlineStr">
        <is>
          <t>Pulverização Agrícola Conforme Bula</t>
        </is>
      </c>
      <c r="F2293" s="7" t="inlineStr">
        <is>
          <t>Cana-de-açúcar</t>
        </is>
      </c>
      <c r="G2293" s="7" t="inlineStr">
        <is>
          <t>Cultura Autorizada na Bula</t>
        </is>
      </c>
      <c r="H2293" s="7" t="inlineStr">
        <is>
          <t>100 a 300 L/ha</t>
        </is>
      </c>
      <c r="I2293" s="7" t="inlineStr">
        <is>
          <t>20 a 40 L/ha</t>
        </is>
      </c>
      <c r="J2293" s="7" t="inlineStr">
        <is>
          <t>N/D</t>
        </is>
      </c>
    </row>
    <row r="2294" ht="22" customHeight="1">
      <c r="A2294" s="12" t="inlineStr">
        <is>
          <t>CUL-2290</t>
        </is>
      </c>
      <c r="B2294" s="11" t="n">
        <v>455</v>
      </c>
      <c r="C2294" s="13" t="inlineStr">
        <is>
          <t>Nº 6223</t>
        </is>
      </c>
      <c r="D2294" s="14" t="inlineStr">
        <is>
          <t>RIDOWN FULL</t>
        </is>
      </c>
      <c r="E2294" s="13" t="inlineStr">
        <is>
          <t>Pulverização Agrícola Conforme Bula</t>
        </is>
      </c>
      <c r="F2294" s="13" t="inlineStr">
        <is>
          <t>Café (Jato Dirigido)</t>
        </is>
      </c>
      <c r="G2294" s="13" t="inlineStr">
        <is>
          <t>Cultura Autorizada na Bula</t>
        </is>
      </c>
      <c r="H2294" s="13" t="inlineStr">
        <is>
          <t>100 a 300 L/ha</t>
        </is>
      </c>
      <c r="I2294" s="13" t="inlineStr">
        <is>
          <t>20 a 40 L/ha</t>
        </is>
      </c>
      <c r="J2294" s="13" t="inlineStr">
        <is>
          <t>15 dias</t>
        </is>
      </c>
    </row>
    <row r="2295" ht="22" customHeight="1">
      <c r="A2295" s="6" t="inlineStr">
        <is>
          <t>CUL-2291</t>
        </is>
      </c>
      <c r="B2295" s="5" t="n">
        <v>455</v>
      </c>
      <c r="C2295" s="7" t="inlineStr">
        <is>
          <t>Nº 6223</t>
        </is>
      </c>
      <c r="D2295" s="8" t="inlineStr">
        <is>
          <t>RIDOWN FULL</t>
        </is>
      </c>
      <c r="E2295" s="7" t="inlineStr">
        <is>
          <t>Pulverização Agrícola Conforme Bula</t>
        </is>
      </c>
      <c r="F2295" s="7" t="inlineStr">
        <is>
          <t>Citros (Jato Dirigido)</t>
        </is>
      </c>
      <c r="G2295" s="7" t="inlineStr">
        <is>
          <t>Cultura Autorizada na Bula</t>
        </is>
      </c>
      <c r="H2295" s="7" t="inlineStr">
        <is>
          <t>100 a 300 L/ha</t>
        </is>
      </c>
      <c r="I2295" s="7" t="inlineStr">
        <is>
          <t>20 a 40 L/ha</t>
        </is>
      </c>
      <c r="J2295" s="7" t="inlineStr">
        <is>
          <t>30 dias</t>
        </is>
      </c>
    </row>
    <row r="2296" ht="22" customHeight="1">
      <c r="A2296" s="12" t="inlineStr">
        <is>
          <t>CUL-2292</t>
        </is>
      </c>
      <c r="B2296" s="11" t="n">
        <v>455</v>
      </c>
      <c r="C2296" s="13" t="inlineStr">
        <is>
          <t>Nº 6223</t>
        </is>
      </c>
      <c r="D2296" s="14" t="inlineStr">
        <is>
          <t>RIDOWN FULL</t>
        </is>
      </c>
      <c r="E2296" s="13" t="inlineStr">
        <is>
          <t>Pulverização Agrícola Conforme Bula</t>
        </is>
      </c>
      <c r="F2296" s="13" t="inlineStr">
        <is>
          <t>Trigo (Pré-Plantio)</t>
        </is>
      </c>
      <c r="G2296" s="13" t="inlineStr">
        <is>
          <t>Cultura Autorizada na Bula</t>
        </is>
      </c>
      <c r="H2296" s="13" t="inlineStr">
        <is>
          <t>100 a 300 L/ha</t>
        </is>
      </c>
      <c r="I2296" s="13" t="inlineStr">
        <is>
          <t>20 a 40 L/ha</t>
        </is>
      </c>
      <c r="J2296" s="13" t="inlineStr">
        <is>
          <t>N/D</t>
        </is>
      </c>
    </row>
    <row r="2297" ht="22" customHeight="1">
      <c r="A2297" s="6" t="inlineStr">
        <is>
          <t>CUL-2293</t>
        </is>
      </c>
      <c r="B2297" s="5" t="n">
        <v>455</v>
      </c>
      <c r="C2297" s="7" t="inlineStr">
        <is>
          <t>Nº 6223</t>
        </is>
      </c>
      <c r="D2297" s="8" t="inlineStr">
        <is>
          <t>RIDOWN FULL</t>
        </is>
      </c>
      <c r="E2297" s="7" t="inlineStr">
        <is>
          <t>Pulverização Agrícola Conforme Bula</t>
        </is>
      </c>
      <c r="F2297" s="7" t="inlineStr">
        <is>
          <t>Pastagens</t>
        </is>
      </c>
      <c r="G2297" s="7" t="inlineStr">
        <is>
          <t>Cultura Autorizada na Bula</t>
        </is>
      </c>
      <c r="H2297" s="7" t="inlineStr">
        <is>
          <t>100 a 300 L/ha</t>
        </is>
      </c>
      <c r="I2297" s="7" t="inlineStr">
        <is>
          <t>20 a 40 L/ha</t>
        </is>
      </c>
      <c r="J2297" s="7" t="inlineStr">
        <is>
          <t>N/D</t>
        </is>
      </c>
    </row>
    <row r="2298" ht="22" customHeight="1">
      <c r="A2298" s="12" t="inlineStr">
        <is>
          <t>CUL-2294</t>
        </is>
      </c>
      <c r="B2298" s="11" t="n">
        <v>456</v>
      </c>
      <c r="C2298" s="13" t="inlineStr">
        <is>
          <t>Nº 28120</t>
        </is>
      </c>
      <c r="D2298" s="14" t="inlineStr">
        <is>
          <t>WIDCLEAR</t>
        </is>
      </c>
      <c r="E2298" s="13" t="inlineStr">
        <is>
          <t>Pulverização Agrícola Conforme Bula</t>
        </is>
      </c>
      <c r="F2298" s="13" t="inlineStr">
        <is>
          <t>Soja</t>
        </is>
      </c>
      <c r="G2298" s="13" t="inlineStr">
        <is>
          <t>Cultura Autorizada na Bula</t>
        </is>
      </c>
      <c r="H2298" s="13" t="inlineStr">
        <is>
          <t>100 a 300 L/ha</t>
        </is>
      </c>
      <c r="I2298" s="13" t="inlineStr">
        <is>
          <t>20 a 40 L/ha</t>
        </is>
      </c>
      <c r="J2298" s="13" t="inlineStr">
        <is>
          <t>60 dias</t>
        </is>
      </c>
    </row>
    <row r="2299" ht="22" customHeight="1">
      <c r="A2299" s="6" t="inlineStr">
        <is>
          <t>CUL-2295</t>
        </is>
      </c>
      <c r="B2299" s="5" t="n">
        <v>456</v>
      </c>
      <c r="C2299" s="7" t="inlineStr">
        <is>
          <t>Nº 28120</t>
        </is>
      </c>
      <c r="D2299" s="8" t="inlineStr">
        <is>
          <t>WIDCLEAR</t>
        </is>
      </c>
      <c r="E2299" s="7" t="inlineStr">
        <is>
          <t>Pulverização Agrícola Conforme Bula</t>
        </is>
      </c>
      <c r="F2299" s="7" t="inlineStr">
        <is>
          <t>Milho</t>
        </is>
      </c>
      <c r="G2299" s="7" t="inlineStr">
        <is>
          <t>Cultura Autorizada na Bula</t>
        </is>
      </c>
      <c r="H2299" s="7" t="inlineStr">
        <is>
          <t>100 a 300 L/ha</t>
        </is>
      </c>
      <c r="I2299" s="7" t="inlineStr">
        <is>
          <t>20 a 40 L/ha</t>
        </is>
      </c>
      <c r="J2299" s="7" t="inlineStr">
        <is>
          <t>45 dias</t>
        </is>
      </c>
    </row>
    <row r="2300" ht="22" customHeight="1">
      <c r="A2300" s="12" t="inlineStr">
        <is>
          <t>CUL-2296</t>
        </is>
      </c>
      <c r="B2300" s="11" t="n">
        <v>456</v>
      </c>
      <c r="C2300" s="13" t="inlineStr">
        <is>
          <t>Nº 28120</t>
        </is>
      </c>
      <c r="D2300" s="14" t="inlineStr">
        <is>
          <t>WIDCLEAR</t>
        </is>
      </c>
      <c r="E2300" s="13" t="inlineStr">
        <is>
          <t>Pulverização Agrícola Conforme Bula</t>
        </is>
      </c>
      <c r="F2300" s="13" t="inlineStr">
        <is>
          <t>Algodão</t>
        </is>
      </c>
      <c r="G2300" s="13" t="inlineStr">
        <is>
          <t>Cultura Autorizada na Bula</t>
        </is>
      </c>
      <c r="H2300" s="13" t="inlineStr">
        <is>
          <t>100 a 300 L/ha</t>
        </is>
      </c>
      <c r="I2300" s="13" t="inlineStr">
        <is>
          <t>20 a 40 L/ha</t>
        </is>
      </c>
      <c r="J2300" s="13" t="inlineStr">
        <is>
          <t>60 dias</t>
        </is>
      </c>
    </row>
    <row r="2301" ht="22" customHeight="1">
      <c r="A2301" s="6" t="inlineStr">
        <is>
          <t>CUL-2297</t>
        </is>
      </c>
      <c r="B2301" s="5" t="n">
        <v>456</v>
      </c>
      <c r="C2301" s="7" t="inlineStr">
        <is>
          <t>Nº 28120</t>
        </is>
      </c>
      <c r="D2301" s="8" t="inlineStr">
        <is>
          <t>WIDCLEAR</t>
        </is>
      </c>
      <c r="E2301" s="7" t="inlineStr">
        <is>
          <t>Pulverização Agrícola Conforme Bula</t>
        </is>
      </c>
      <c r="F2301" s="7" t="inlineStr">
        <is>
          <t>Cana-de-açúcar</t>
        </is>
      </c>
      <c r="G2301" s="7" t="inlineStr">
        <is>
          <t>Cultura Autorizada na Bula</t>
        </is>
      </c>
      <c r="H2301" s="7" t="inlineStr">
        <is>
          <t>100 a 300 L/ha</t>
        </is>
      </c>
      <c r="I2301" s="7" t="inlineStr">
        <is>
          <t>20 a 40 L/ha</t>
        </is>
      </c>
      <c r="J2301" s="7" t="inlineStr">
        <is>
          <t>90 dias</t>
        </is>
      </c>
    </row>
    <row r="2302" ht="22" customHeight="1">
      <c r="A2302" s="12" t="inlineStr">
        <is>
          <t>CUL-2298</t>
        </is>
      </c>
      <c r="B2302" s="11" t="n">
        <v>457</v>
      </c>
      <c r="C2302" s="13" t="inlineStr">
        <is>
          <t>Nº 34122</t>
        </is>
      </c>
      <c r="D2302" s="14" t="inlineStr">
        <is>
          <t>DURAX</t>
        </is>
      </c>
      <c r="E2302" s="13" t="inlineStr">
        <is>
          <t>Pulverização Agrícola Conforme Bula</t>
        </is>
      </c>
      <c r="F2302" s="13" t="inlineStr">
        <is>
          <t>Soja</t>
        </is>
      </c>
      <c r="G2302" s="13" t="inlineStr">
        <is>
          <t>Cultura Autorizada na Bula</t>
        </is>
      </c>
      <c r="H2302" s="13" t="inlineStr">
        <is>
          <t>100 a 300 L/ha</t>
        </is>
      </c>
      <c r="I2302" s="13" t="inlineStr">
        <is>
          <t>20 a 40 L/ha</t>
        </is>
      </c>
      <c r="J2302" s="13" t="inlineStr">
        <is>
          <t>N/D</t>
        </is>
      </c>
    </row>
    <row r="2303" ht="22" customHeight="1">
      <c r="A2303" s="6" t="inlineStr">
        <is>
          <t>CUL-2299</t>
        </is>
      </c>
      <c r="B2303" s="5" t="n">
        <v>457</v>
      </c>
      <c r="C2303" s="7" t="inlineStr">
        <is>
          <t>Nº 34122</t>
        </is>
      </c>
      <c r="D2303" s="8" t="inlineStr">
        <is>
          <t>DURAX</t>
        </is>
      </c>
      <c r="E2303" s="7" t="inlineStr">
        <is>
          <t>Pulverização Agrícola Conforme Bula</t>
        </is>
      </c>
      <c r="F2303" s="7" t="inlineStr">
        <is>
          <t>Milho</t>
        </is>
      </c>
      <c r="G2303" s="7" t="inlineStr">
        <is>
          <t>Cultura Autorizada na Bula</t>
        </is>
      </c>
      <c r="H2303" s="7" t="inlineStr">
        <is>
          <t>100 a 300 L/ha</t>
        </is>
      </c>
      <c r="I2303" s="7" t="inlineStr">
        <is>
          <t>20 a 40 L/ha</t>
        </is>
      </c>
      <c r="J2303" s="7" t="inlineStr">
        <is>
          <t>N/D</t>
        </is>
      </c>
    </row>
    <row r="2304" ht="22" customHeight="1">
      <c r="A2304" s="12" t="inlineStr">
        <is>
          <t>CUL-2300</t>
        </is>
      </c>
      <c r="B2304" s="11" t="n">
        <v>457</v>
      </c>
      <c r="C2304" s="13" t="inlineStr">
        <is>
          <t>Nº 34122</t>
        </is>
      </c>
      <c r="D2304" s="14" t="inlineStr">
        <is>
          <t>DURAX</t>
        </is>
      </c>
      <c r="E2304" s="13" t="inlineStr">
        <is>
          <t>Pulverização Agrícola Conforme Bula</t>
        </is>
      </c>
      <c r="F2304" s="13" t="inlineStr">
        <is>
          <t>Algodão</t>
        </is>
      </c>
      <c r="G2304" s="13" t="inlineStr">
        <is>
          <t>Cultura Autorizada na Bula</t>
        </is>
      </c>
      <c r="H2304" s="13" t="inlineStr">
        <is>
          <t>100 a 300 L/ha</t>
        </is>
      </c>
      <c r="I2304" s="13" t="inlineStr">
        <is>
          <t>20 a 40 L/ha</t>
        </is>
      </c>
      <c r="J2304" s="13" t="inlineStr">
        <is>
          <t>N/D</t>
        </is>
      </c>
    </row>
    <row r="2305" ht="22" customHeight="1">
      <c r="A2305" s="6" t="inlineStr">
        <is>
          <t>CUL-2301</t>
        </is>
      </c>
      <c r="B2305" s="5" t="n">
        <v>457</v>
      </c>
      <c r="C2305" s="7" t="inlineStr">
        <is>
          <t>Nº 34122</t>
        </is>
      </c>
      <c r="D2305" s="8" t="inlineStr">
        <is>
          <t>DURAX</t>
        </is>
      </c>
      <c r="E2305" s="7" t="inlineStr">
        <is>
          <t>Pulverização Agrícola Conforme Bula</t>
        </is>
      </c>
      <c r="F2305" s="7" t="inlineStr">
        <is>
          <t>Cana-de-açúcar</t>
        </is>
      </c>
      <c r="G2305" s="7" t="inlineStr">
        <is>
          <t>Cultura Autorizada na Bula</t>
        </is>
      </c>
      <c r="H2305" s="7" t="inlineStr">
        <is>
          <t>100 a 300 L/ha</t>
        </is>
      </c>
      <c r="I2305" s="7" t="inlineStr">
        <is>
          <t>20 a 40 L/ha</t>
        </is>
      </c>
      <c r="J2305" s="7" t="inlineStr">
        <is>
          <t>N/D</t>
        </is>
      </c>
    </row>
    <row r="2306" ht="22" customHeight="1">
      <c r="A2306" s="12" t="inlineStr">
        <is>
          <t>CUL-2302</t>
        </is>
      </c>
      <c r="B2306" s="11" t="n">
        <v>457</v>
      </c>
      <c r="C2306" s="13" t="inlineStr">
        <is>
          <t>Nº 34122</t>
        </is>
      </c>
      <c r="D2306" s="14" t="inlineStr">
        <is>
          <t>DURAX</t>
        </is>
      </c>
      <c r="E2306" s="13" t="inlineStr">
        <is>
          <t>Pulverização Agrícola Conforme Bula</t>
        </is>
      </c>
      <c r="F2306" s="13" t="inlineStr">
        <is>
          <t>Feijão</t>
        </is>
      </c>
      <c r="G2306" s="13" t="inlineStr">
        <is>
          <t>Cultura Autorizada na Bula</t>
        </is>
      </c>
      <c r="H2306" s="13" t="inlineStr">
        <is>
          <t>100 a 300 L/ha</t>
        </is>
      </c>
      <c r="I2306" s="13" t="inlineStr">
        <is>
          <t>20 a 40 L/ha</t>
        </is>
      </c>
      <c r="J2306" s="13" t="inlineStr">
        <is>
          <t>N/D</t>
        </is>
      </c>
    </row>
    <row r="2307" ht="22" customHeight="1">
      <c r="A2307" s="6" t="inlineStr">
        <is>
          <t>CUL-2303</t>
        </is>
      </c>
      <c r="B2307" s="5" t="n">
        <v>458</v>
      </c>
      <c r="C2307" s="7" t="inlineStr">
        <is>
          <t>Nº 6922</t>
        </is>
      </c>
      <c r="D2307" s="8" t="inlineStr">
        <is>
          <t>COFENRIN</t>
        </is>
      </c>
      <c r="E2307" s="7" t="inlineStr">
        <is>
          <t>Pulverização Agrícola Conforme Bula</t>
        </is>
      </c>
      <c r="F2307" s="7" t="inlineStr">
        <is>
          <t>Algodão</t>
        </is>
      </c>
      <c r="G2307" s="7" t="inlineStr">
        <is>
          <t>Cultura Autorizada na Bula</t>
        </is>
      </c>
      <c r="H2307" s="7" t="inlineStr">
        <is>
          <t>100 a 300 L/ha</t>
        </is>
      </c>
      <c r="I2307" s="7" t="inlineStr">
        <is>
          <t>20 a 40 L/ha</t>
        </is>
      </c>
      <c r="J2307" s="7" t="inlineStr">
        <is>
          <t>15 dias</t>
        </is>
      </c>
    </row>
    <row r="2308" ht="22" customHeight="1">
      <c r="A2308" s="12" t="inlineStr">
        <is>
          <t>CUL-2304</t>
        </is>
      </c>
      <c r="B2308" s="11" t="n">
        <v>458</v>
      </c>
      <c r="C2308" s="13" t="inlineStr">
        <is>
          <t>Nº 6922</t>
        </is>
      </c>
      <c r="D2308" s="14" t="inlineStr">
        <is>
          <t>COFENRIN</t>
        </is>
      </c>
      <c r="E2308" s="13" t="inlineStr">
        <is>
          <t>Pulverização Agrícola Conforme Bula</t>
        </is>
      </c>
      <c r="F2308" s="13" t="inlineStr">
        <is>
          <t>Soja</t>
        </is>
      </c>
      <c r="G2308" s="13" t="inlineStr">
        <is>
          <t>Cultura Autorizada na Bula</t>
        </is>
      </c>
      <c r="H2308" s="13" t="inlineStr">
        <is>
          <t>100 a 300 L/ha</t>
        </is>
      </c>
      <c r="I2308" s="13" t="inlineStr">
        <is>
          <t>20 a 40 L/ha</t>
        </is>
      </c>
      <c r="J2308" s="13" t="inlineStr">
        <is>
          <t>30 dias</t>
        </is>
      </c>
    </row>
    <row r="2309" ht="22" customHeight="1">
      <c r="A2309" s="6" t="inlineStr">
        <is>
          <t>CUL-2305</t>
        </is>
      </c>
      <c r="B2309" s="5" t="n">
        <v>458</v>
      </c>
      <c r="C2309" s="7" t="inlineStr">
        <is>
          <t>Nº 6922</t>
        </is>
      </c>
      <c r="D2309" s="8" t="inlineStr">
        <is>
          <t>COFENRIN</t>
        </is>
      </c>
      <c r="E2309" s="7" t="inlineStr">
        <is>
          <t>Pulverização Agrícola Conforme Bula</t>
        </is>
      </c>
      <c r="F2309" s="7" t="inlineStr">
        <is>
          <t>Milho</t>
        </is>
      </c>
      <c r="G2309" s="7" t="inlineStr">
        <is>
          <t>Cultura Autorizada na Bula</t>
        </is>
      </c>
      <c r="H2309" s="7" t="inlineStr">
        <is>
          <t>100 a 300 L/ha</t>
        </is>
      </c>
      <c r="I2309" s="7" t="inlineStr">
        <is>
          <t>20 a 40 L/ha</t>
        </is>
      </c>
      <c r="J2309" s="7" t="inlineStr">
        <is>
          <t>30 dias</t>
        </is>
      </c>
    </row>
    <row r="2310" ht="22" customHeight="1">
      <c r="A2310" s="12" t="inlineStr">
        <is>
          <t>CUL-2306</t>
        </is>
      </c>
      <c r="B2310" s="11" t="n">
        <v>458</v>
      </c>
      <c r="C2310" s="13" t="inlineStr">
        <is>
          <t>Nº 6922</t>
        </is>
      </c>
      <c r="D2310" s="14" t="inlineStr">
        <is>
          <t>COFENRIN</t>
        </is>
      </c>
      <c r="E2310" s="13" t="inlineStr">
        <is>
          <t>Pulverização Agrícola Conforme Bula</t>
        </is>
      </c>
      <c r="F2310" s="13" t="inlineStr">
        <is>
          <t>Cana-de-açúcar</t>
        </is>
      </c>
      <c r="G2310" s="13" t="inlineStr">
        <is>
          <t>Cultura Autorizada na Bula</t>
        </is>
      </c>
      <c r="H2310" s="13" t="inlineStr">
        <is>
          <t>100 a 300 L/ha</t>
        </is>
      </c>
      <c r="I2310" s="13" t="inlineStr">
        <is>
          <t>20 a 40 L/ha</t>
        </is>
      </c>
      <c r="J2310" s="13" t="inlineStr">
        <is>
          <t>30 dias</t>
        </is>
      </c>
    </row>
    <row r="2311" ht="22" customHeight="1">
      <c r="A2311" s="6" t="inlineStr">
        <is>
          <t>CUL-2307</t>
        </is>
      </c>
      <c r="B2311" s="5" t="n">
        <v>458</v>
      </c>
      <c r="C2311" s="7" t="inlineStr">
        <is>
          <t>Nº 6922</t>
        </is>
      </c>
      <c r="D2311" s="8" t="inlineStr">
        <is>
          <t>COFENRIN</t>
        </is>
      </c>
      <c r="E2311" s="7" t="inlineStr">
        <is>
          <t>Pulverização Agrícola Conforme Bula</t>
        </is>
      </c>
      <c r="F2311" s="7" t="inlineStr">
        <is>
          <t>Café</t>
        </is>
      </c>
      <c r="G2311" s="7" t="inlineStr">
        <is>
          <t>Cultura Autorizada na Bula</t>
        </is>
      </c>
      <c r="H2311" s="7" t="inlineStr">
        <is>
          <t>100 a 300 L/ha</t>
        </is>
      </c>
      <c r="I2311" s="7" t="inlineStr">
        <is>
          <t>20 a 40 L/ha</t>
        </is>
      </c>
      <c r="J2311" s="7" t="inlineStr">
        <is>
          <t>30 dias</t>
        </is>
      </c>
    </row>
    <row r="2312" ht="22" customHeight="1">
      <c r="A2312" s="12" t="inlineStr">
        <is>
          <t>CUL-2308</t>
        </is>
      </c>
      <c r="B2312" s="11" t="n">
        <v>458</v>
      </c>
      <c r="C2312" s="13" t="inlineStr">
        <is>
          <t>Nº 6922</t>
        </is>
      </c>
      <c r="D2312" s="14" t="inlineStr">
        <is>
          <t>COFENRIN</t>
        </is>
      </c>
      <c r="E2312" s="13" t="inlineStr">
        <is>
          <t>Pulverização Agrícola Conforme Bula</t>
        </is>
      </c>
      <c r="F2312" s="13" t="inlineStr">
        <is>
          <t>Citros</t>
        </is>
      </c>
      <c r="G2312" s="13" t="inlineStr">
        <is>
          <t>Cultura Autorizada na Bula</t>
        </is>
      </c>
      <c r="H2312" s="13" t="inlineStr">
        <is>
          <t>100 a 300 L/ha</t>
        </is>
      </c>
      <c r="I2312" s="13" t="inlineStr">
        <is>
          <t>20 a 40 L/ha</t>
        </is>
      </c>
      <c r="J2312" s="13" t="inlineStr">
        <is>
          <t>7 dias</t>
        </is>
      </c>
    </row>
    <row r="2313" ht="22" customHeight="1">
      <c r="A2313" s="6" t="inlineStr">
        <is>
          <t>CUL-2309</t>
        </is>
      </c>
      <c r="B2313" s="5" t="n">
        <v>458</v>
      </c>
      <c r="C2313" s="7" t="inlineStr">
        <is>
          <t>Nº 6922</t>
        </is>
      </c>
      <c r="D2313" s="8" t="inlineStr">
        <is>
          <t>COFENRIN</t>
        </is>
      </c>
      <c r="E2313" s="7" t="inlineStr">
        <is>
          <t>Pulverização Agrícola Conforme Bula</t>
        </is>
      </c>
      <c r="F2313" s="7" t="inlineStr">
        <is>
          <t>Feijão</t>
        </is>
      </c>
      <c r="G2313" s="7" t="inlineStr">
        <is>
          <t>Cultura Autorizada na Bula</t>
        </is>
      </c>
      <c r="H2313" s="7" t="inlineStr">
        <is>
          <t>100 a 300 L/ha</t>
        </is>
      </c>
      <c r="I2313" s="7" t="inlineStr">
        <is>
          <t>20 a 40 L/ha</t>
        </is>
      </c>
      <c r="J2313" s="7" t="inlineStr">
        <is>
          <t>20 dias</t>
        </is>
      </c>
    </row>
    <row r="2314" ht="22" customHeight="1">
      <c r="A2314" s="12" t="inlineStr">
        <is>
          <t>CUL-2310</t>
        </is>
      </c>
      <c r="B2314" s="11" t="n">
        <v>458</v>
      </c>
      <c r="C2314" s="13" t="inlineStr">
        <is>
          <t>Nº 6922</t>
        </is>
      </c>
      <c r="D2314" s="14" t="inlineStr">
        <is>
          <t>COFENRIN</t>
        </is>
      </c>
      <c r="E2314" s="13" t="inlineStr">
        <is>
          <t>Pulverização Agrícola Conforme Bula</t>
        </is>
      </c>
      <c r="F2314" s="13" t="inlineStr">
        <is>
          <t>Trigo</t>
        </is>
      </c>
      <c r="G2314" s="13" t="inlineStr">
        <is>
          <t>Cultura Autorizada na Bula</t>
        </is>
      </c>
      <c r="H2314" s="13" t="inlineStr">
        <is>
          <t>100 a 300 L/ha</t>
        </is>
      </c>
      <c r="I2314" s="13" t="inlineStr">
        <is>
          <t>20 a 40 L/ha</t>
        </is>
      </c>
      <c r="J2314" s="13" t="inlineStr">
        <is>
          <t>30 dias</t>
        </is>
      </c>
    </row>
    <row r="2315" ht="22" customHeight="1">
      <c r="A2315" s="6" t="inlineStr">
        <is>
          <t>CUL-2311</t>
        </is>
      </c>
      <c r="B2315" s="5" t="n">
        <v>459</v>
      </c>
      <c r="C2315" s="7" t="inlineStr">
        <is>
          <t>Nº 27323</t>
        </is>
      </c>
      <c r="D2315" s="8" t="inlineStr">
        <is>
          <t>ACEGOL</t>
        </is>
      </c>
      <c r="E2315" s="7" t="inlineStr">
        <is>
          <t>Pulverização Agrícola Conforme Bula</t>
        </is>
      </c>
      <c r="F2315" s="7" t="inlineStr">
        <is>
          <t>Algodão</t>
        </is>
      </c>
      <c r="G2315" s="7" t="inlineStr">
        <is>
          <t>Cultura Autorizada na Bula</t>
        </is>
      </c>
      <c r="H2315" s="7" t="inlineStr">
        <is>
          <t>100 a 300 L/ha</t>
        </is>
      </c>
      <c r="I2315" s="7" t="inlineStr">
        <is>
          <t>20 a 40 L/ha</t>
        </is>
      </c>
      <c r="J2315" s="7" t="inlineStr">
        <is>
          <t>28 dias</t>
        </is>
      </c>
    </row>
    <row r="2316" ht="22" customHeight="1">
      <c r="A2316" s="12" t="inlineStr">
        <is>
          <t>CUL-2312</t>
        </is>
      </c>
      <c r="B2316" s="11" t="n">
        <v>459</v>
      </c>
      <c r="C2316" s="13" t="inlineStr">
        <is>
          <t>Nº 27323</t>
        </is>
      </c>
      <c r="D2316" s="14" t="inlineStr">
        <is>
          <t>ACEGOL</t>
        </is>
      </c>
      <c r="E2316" s="13" t="inlineStr">
        <is>
          <t>Pulverização Agrícola Conforme Bula</t>
        </is>
      </c>
      <c r="F2316" s="13" t="inlineStr">
        <is>
          <t>Soja</t>
        </is>
      </c>
      <c r="G2316" s="13" t="inlineStr">
        <is>
          <t>Cultura Autorizada na Bula</t>
        </is>
      </c>
      <c r="H2316" s="13" t="inlineStr">
        <is>
          <t>100 a 300 L/ha</t>
        </is>
      </c>
      <c r="I2316" s="13" t="inlineStr">
        <is>
          <t>20 a 40 L/ha</t>
        </is>
      </c>
      <c r="J2316" s="13" t="inlineStr">
        <is>
          <t>21 dias</t>
        </is>
      </c>
    </row>
    <row r="2317" ht="22" customHeight="1">
      <c r="A2317" s="6" t="inlineStr">
        <is>
          <t>CUL-2313</t>
        </is>
      </c>
      <c r="B2317" s="5" t="n">
        <v>459</v>
      </c>
      <c r="C2317" s="7" t="inlineStr">
        <is>
          <t>Nº 27323</t>
        </is>
      </c>
      <c r="D2317" s="8" t="inlineStr">
        <is>
          <t>ACEGOL</t>
        </is>
      </c>
      <c r="E2317" s="7" t="inlineStr">
        <is>
          <t>Pulverização Agrícola Conforme Bula</t>
        </is>
      </c>
      <c r="F2317" s="7" t="inlineStr">
        <is>
          <t>Milho</t>
        </is>
      </c>
      <c r="G2317" s="7" t="inlineStr">
        <is>
          <t>Cultura Autorizada na Bula</t>
        </is>
      </c>
      <c r="H2317" s="7" t="inlineStr">
        <is>
          <t>100 a 300 L/ha</t>
        </is>
      </c>
      <c r="I2317" s="7" t="inlineStr">
        <is>
          <t>20 a 40 L/ha</t>
        </is>
      </c>
      <c r="J2317" s="7" t="inlineStr">
        <is>
          <t>30 dias</t>
        </is>
      </c>
    </row>
    <row r="2318" ht="22" customHeight="1">
      <c r="A2318" s="12" t="inlineStr">
        <is>
          <t>CUL-2314</t>
        </is>
      </c>
      <c r="B2318" s="11" t="n">
        <v>459</v>
      </c>
      <c r="C2318" s="13" t="inlineStr">
        <is>
          <t>Nº 27323</t>
        </is>
      </c>
      <c r="D2318" s="14" t="inlineStr">
        <is>
          <t>ACEGOL</t>
        </is>
      </c>
      <c r="E2318" s="13" t="inlineStr">
        <is>
          <t>Pulverização Agrícola Conforme Bula</t>
        </is>
      </c>
      <c r="F2318" s="13" t="inlineStr">
        <is>
          <t>Feijão</t>
        </is>
      </c>
      <c r="G2318" s="13" t="inlineStr">
        <is>
          <t>Cultura Autorizada na Bula</t>
        </is>
      </c>
      <c r="H2318" s="13" t="inlineStr">
        <is>
          <t>100 a 300 L/ha</t>
        </is>
      </c>
      <c r="I2318" s="13" t="inlineStr">
        <is>
          <t>20 a 40 L/ha</t>
        </is>
      </c>
      <c r="J2318" s="13" t="inlineStr">
        <is>
          <t>14 dias</t>
        </is>
      </c>
    </row>
    <row r="2319" ht="22" customHeight="1">
      <c r="A2319" s="6" t="inlineStr">
        <is>
          <t>CUL-2315</t>
        </is>
      </c>
      <c r="B2319" s="5" t="n">
        <v>459</v>
      </c>
      <c r="C2319" s="7" t="inlineStr">
        <is>
          <t>Nº 27323</t>
        </is>
      </c>
      <c r="D2319" s="8" t="inlineStr">
        <is>
          <t>ACEGOL</t>
        </is>
      </c>
      <c r="E2319" s="7" t="inlineStr">
        <is>
          <t>Pulverização Agrícola Conforme Bula</t>
        </is>
      </c>
      <c r="F2319" s="7" t="inlineStr">
        <is>
          <t>Café</t>
        </is>
      </c>
      <c r="G2319" s="7" t="inlineStr">
        <is>
          <t>Cultura Autorizada na Bula</t>
        </is>
      </c>
      <c r="H2319" s="7" t="inlineStr">
        <is>
          <t>100 a 300 L/ha</t>
        </is>
      </c>
      <c r="I2319" s="7" t="inlineStr">
        <is>
          <t>20 a 40 L/ha</t>
        </is>
      </c>
      <c r="J2319" s="7" t="inlineStr">
        <is>
          <t>28 dias</t>
        </is>
      </c>
    </row>
    <row r="2320" ht="22" customHeight="1">
      <c r="A2320" s="12" t="inlineStr">
        <is>
          <t>CUL-2316</t>
        </is>
      </c>
      <c r="B2320" s="11" t="n">
        <v>459</v>
      </c>
      <c r="C2320" s="13" t="inlineStr">
        <is>
          <t>Nº 27323</t>
        </is>
      </c>
      <c r="D2320" s="14" t="inlineStr">
        <is>
          <t>ACEGOL</t>
        </is>
      </c>
      <c r="E2320" s="13" t="inlineStr">
        <is>
          <t>Pulverização Agrícola Conforme Bula</t>
        </is>
      </c>
      <c r="F2320" s="13" t="inlineStr">
        <is>
          <t>Citros</t>
        </is>
      </c>
      <c r="G2320" s="13" t="inlineStr">
        <is>
          <t>Cultura Autorizada na Bula</t>
        </is>
      </c>
      <c r="H2320" s="13" t="inlineStr">
        <is>
          <t>100 a 300 L/ha</t>
        </is>
      </c>
      <c r="I2320" s="13" t="inlineStr">
        <is>
          <t>20 a 40 L/ha</t>
        </is>
      </c>
      <c r="J2320" s="13" t="inlineStr">
        <is>
          <t>7 dias</t>
        </is>
      </c>
    </row>
    <row r="2321" ht="22" customHeight="1">
      <c r="A2321" s="6" t="inlineStr">
        <is>
          <t>CUL-2317</t>
        </is>
      </c>
      <c r="B2321" s="5" t="n">
        <v>459</v>
      </c>
      <c r="C2321" s="7" t="inlineStr">
        <is>
          <t>Nº 27323</t>
        </is>
      </c>
      <c r="D2321" s="8" t="inlineStr">
        <is>
          <t>ACEGOL</t>
        </is>
      </c>
      <c r="E2321" s="7" t="inlineStr">
        <is>
          <t>Pulverização Agrícola Conforme Bula</t>
        </is>
      </c>
      <c r="F2321" s="7" t="inlineStr">
        <is>
          <t>Tomate</t>
        </is>
      </c>
      <c r="G2321" s="7" t="inlineStr">
        <is>
          <t>Cultura Autorizada na Bula</t>
        </is>
      </c>
      <c r="H2321" s="7" t="inlineStr">
        <is>
          <t>100 a 300 L/ha</t>
        </is>
      </c>
      <c r="I2321" s="7" t="inlineStr">
        <is>
          <t>20 a 40 L/ha</t>
        </is>
      </c>
      <c r="J2321" s="7" t="inlineStr">
        <is>
          <t>3 dias</t>
        </is>
      </c>
    </row>
    <row r="2322" ht="22" customHeight="1">
      <c r="A2322" s="12" t="inlineStr">
        <is>
          <t>CUL-2318</t>
        </is>
      </c>
      <c r="B2322" s="11" t="n">
        <v>460</v>
      </c>
      <c r="C2322" s="13" t="inlineStr">
        <is>
          <t>Nº 45419</t>
        </is>
      </c>
      <c r="D2322" s="14" t="inlineStr">
        <is>
          <t>CLORPIRI 480 EC</t>
        </is>
      </c>
      <c r="E2322" s="13" t="inlineStr">
        <is>
          <t>Pulverização Agrícola Conforme Bula</t>
        </is>
      </c>
      <c r="F2322" s="13" t="inlineStr">
        <is>
          <t>Soja</t>
        </is>
      </c>
      <c r="G2322" s="13" t="inlineStr">
        <is>
          <t>Cultura Autorizada na Bula</t>
        </is>
      </c>
      <c r="H2322" s="13" t="inlineStr">
        <is>
          <t>100 a 300 L/ha</t>
        </is>
      </c>
      <c r="I2322" s="13" t="inlineStr">
        <is>
          <t>20 a 40 L/ha</t>
        </is>
      </c>
      <c r="J2322" s="13" t="inlineStr">
        <is>
          <t>21 dias</t>
        </is>
      </c>
    </row>
    <row r="2323" ht="22" customHeight="1">
      <c r="A2323" s="6" t="inlineStr">
        <is>
          <t>CUL-2319</t>
        </is>
      </c>
      <c r="B2323" s="5" t="n">
        <v>460</v>
      </c>
      <c r="C2323" s="7" t="inlineStr">
        <is>
          <t>Nº 45419</t>
        </is>
      </c>
      <c r="D2323" s="8" t="inlineStr">
        <is>
          <t>CLORPIRI 480 EC</t>
        </is>
      </c>
      <c r="E2323" s="7" t="inlineStr">
        <is>
          <t>Pulverização Agrícola Conforme Bula</t>
        </is>
      </c>
      <c r="F2323" s="7" t="inlineStr">
        <is>
          <t>Milho</t>
        </is>
      </c>
      <c r="G2323" s="7" t="inlineStr">
        <is>
          <t>Cultura Autorizada na Bula</t>
        </is>
      </c>
      <c r="H2323" s="7" t="inlineStr">
        <is>
          <t>100 a 300 L/ha</t>
        </is>
      </c>
      <c r="I2323" s="7" t="inlineStr">
        <is>
          <t>20 a 40 L/ha</t>
        </is>
      </c>
      <c r="J2323" s="7" t="inlineStr">
        <is>
          <t>21 dias</t>
        </is>
      </c>
    </row>
    <row r="2324" ht="22" customHeight="1">
      <c r="A2324" s="12" t="inlineStr">
        <is>
          <t>CUL-2320</t>
        </is>
      </c>
      <c r="B2324" s="11" t="n">
        <v>460</v>
      </c>
      <c r="C2324" s="13" t="inlineStr">
        <is>
          <t>Nº 45419</t>
        </is>
      </c>
      <c r="D2324" s="14" t="inlineStr">
        <is>
          <t>CLORPIRI 480 EC</t>
        </is>
      </c>
      <c r="E2324" s="13" t="inlineStr">
        <is>
          <t>Pulverização Agrícola Conforme Bula</t>
        </is>
      </c>
      <c r="F2324" s="13" t="inlineStr">
        <is>
          <t>Algodão</t>
        </is>
      </c>
      <c r="G2324" s="13" t="inlineStr">
        <is>
          <t>Cultura Autorizada na Bula</t>
        </is>
      </c>
      <c r="H2324" s="13" t="inlineStr">
        <is>
          <t>100 a 300 L/ha</t>
        </is>
      </c>
      <c r="I2324" s="13" t="inlineStr">
        <is>
          <t>20 a 40 L/ha</t>
        </is>
      </c>
      <c r="J2324" s="13" t="inlineStr">
        <is>
          <t>21 dias</t>
        </is>
      </c>
    </row>
    <row r="2325" ht="22" customHeight="1">
      <c r="A2325" s="6" t="inlineStr">
        <is>
          <t>CUL-2321</t>
        </is>
      </c>
      <c r="B2325" s="5" t="n">
        <v>460</v>
      </c>
      <c r="C2325" s="7" t="inlineStr">
        <is>
          <t>Nº 45419</t>
        </is>
      </c>
      <c r="D2325" s="8" t="inlineStr">
        <is>
          <t>CLORPIRI 480 EC</t>
        </is>
      </c>
      <c r="E2325" s="7" t="inlineStr">
        <is>
          <t>Pulverização Agrícola Conforme Bula</t>
        </is>
      </c>
      <c r="F2325" s="7" t="inlineStr">
        <is>
          <t>Café</t>
        </is>
      </c>
      <c r="G2325" s="7" t="inlineStr">
        <is>
          <t>Cultura Autorizada na Bula</t>
        </is>
      </c>
      <c r="H2325" s="7" t="inlineStr">
        <is>
          <t>100 a 300 L/ha</t>
        </is>
      </c>
      <c r="I2325" s="7" t="inlineStr">
        <is>
          <t>20 a 40 L/ha</t>
        </is>
      </c>
      <c r="J2325" s="7" t="inlineStr">
        <is>
          <t>21 dias</t>
        </is>
      </c>
    </row>
    <row r="2326" ht="22" customHeight="1">
      <c r="A2326" s="12" t="inlineStr">
        <is>
          <t>CUL-2322</t>
        </is>
      </c>
      <c r="B2326" s="11" t="n">
        <v>460</v>
      </c>
      <c r="C2326" s="13" t="inlineStr">
        <is>
          <t>Nº 45419</t>
        </is>
      </c>
      <c r="D2326" s="14" t="inlineStr">
        <is>
          <t>CLORPIRI 480 EC</t>
        </is>
      </c>
      <c r="E2326" s="13" t="inlineStr">
        <is>
          <t>Pulverização Agrícola Conforme Bula</t>
        </is>
      </c>
      <c r="F2326" s="13" t="inlineStr">
        <is>
          <t>Citros</t>
        </is>
      </c>
      <c r="G2326" s="13" t="inlineStr">
        <is>
          <t>Cultura Autorizada na Bula</t>
        </is>
      </c>
      <c r="H2326" s="13" t="inlineStr">
        <is>
          <t>100 a 300 L/ha</t>
        </is>
      </c>
      <c r="I2326" s="13" t="inlineStr">
        <is>
          <t>20 a 40 L/ha</t>
        </is>
      </c>
      <c r="J2326" s="13" t="inlineStr">
        <is>
          <t>21 dias</t>
        </is>
      </c>
    </row>
    <row r="2327" ht="22" customHeight="1">
      <c r="A2327" s="6" t="inlineStr">
        <is>
          <t>CUL-2323</t>
        </is>
      </c>
      <c r="B2327" s="5" t="n">
        <v>460</v>
      </c>
      <c r="C2327" s="7" t="inlineStr">
        <is>
          <t>Nº 45419</t>
        </is>
      </c>
      <c r="D2327" s="8" t="inlineStr">
        <is>
          <t>CLORPIRI 480 EC</t>
        </is>
      </c>
      <c r="E2327" s="7" t="inlineStr">
        <is>
          <t>Pulverização Agrícola Conforme Bula</t>
        </is>
      </c>
      <c r="F2327" s="7" t="inlineStr">
        <is>
          <t>Feijão</t>
        </is>
      </c>
      <c r="G2327" s="7" t="inlineStr">
        <is>
          <t>Cultura Autorizada na Bula</t>
        </is>
      </c>
      <c r="H2327" s="7" t="inlineStr">
        <is>
          <t>100 a 300 L/ha</t>
        </is>
      </c>
      <c r="I2327" s="7" t="inlineStr">
        <is>
          <t>20 a 40 L/ha</t>
        </is>
      </c>
      <c r="J2327" s="7" t="inlineStr">
        <is>
          <t>25 dias</t>
        </is>
      </c>
    </row>
    <row r="2328" ht="22" customHeight="1">
      <c r="A2328" s="12" t="inlineStr">
        <is>
          <t>CUL-2324</t>
        </is>
      </c>
      <c r="B2328" s="11" t="n">
        <v>460</v>
      </c>
      <c r="C2328" s="13" t="inlineStr">
        <is>
          <t>Nº 45419</t>
        </is>
      </c>
      <c r="D2328" s="14" t="inlineStr">
        <is>
          <t>CLORPIRI 480 EC</t>
        </is>
      </c>
      <c r="E2328" s="13" t="inlineStr">
        <is>
          <t>Pulverização Agrícola Conforme Bula</t>
        </is>
      </c>
      <c r="F2328" s="13" t="inlineStr">
        <is>
          <t>Batata</t>
        </is>
      </c>
      <c r="G2328" s="13" t="inlineStr">
        <is>
          <t>Cultura Autorizada na Bula</t>
        </is>
      </c>
      <c r="H2328" s="13" t="inlineStr">
        <is>
          <t>100 a 300 L/ha</t>
        </is>
      </c>
      <c r="I2328" s="13" t="inlineStr">
        <is>
          <t>20 a 40 L/ha</t>
        </is>
      </c>
      <c r="J2328" s="13" t="inlineStr">
        <is>
          <t>21 dias</t>
        </is>
      </c>
    </row>
    <row r="2329" ht="22" customHeight="1">
      <c r="A2329" s="6" t="inlineStr">
        <is>
          <t>CUL-2325</t>
        </is>
      </c>
      <c r="B2329" s="5" t="n">
        <v>460</v>
      </c>
      <c r="C2329" s="7" t="inlineStr">
        <is>
          <t>Nº 45419</t>
        </is>
      </c>
      <c r="D2329" s="8" t="inlineStr">
        <is>
          <t>CLORPIRI 480 EC</t>
        </is>
      </c>
      <c r="E2329" s="7" t="inlineStr">
        <is>
          <t>Pulverização Agrícola Conforme Bula</t>
        </is>
      </c>
      <c r="F2329" s="7" t="inlineStr">
        <is>
          <t>Tomate</t>
        </is>
      </c>
      <c r="G2329" s="7" t="inlineStr">
        <is>
          <t>Cultura Autorizada na Bula</t>
        </is>
      </c>
      <c r="H2329" s="7" t="inlineStr">
        <is>
          <t>100 a 300 L/ha</t>
        </is>
      </c>
      <c r="I2329" s="7" t="inlineStr">
        <is>
          <t>20 a 40 L/ha</t>
        </is>
      </c>
      <c r="J2329" s="7" t="inlineStr">
        <is>
          <t>21 dias</t>
        </is>
      </c>
    </row>
    <row r="2330" ht="22" customHeight="1">
      <c r="A2330" s="12" t="inlineStr">
        <is>
          <t>CUL-2326</t>
        </is>
      </c>
      <c r="B2330" s="11" t="n">
        <v>460</v>
      </c>
      <c r="C2330" s="13" t="inlineStr">
        <is>
          <t>Nº 45419</t>
        </is>
      </c>
      <c r="D2330" s="14" t="inlineStr">
        <is>
          <t>CLORPIRI 480 EC</t>
        </is>
      </c>
      <c r="E2330" s="13" t="inlineStr">
        <is>
          <t>Pulverização Agrícola Conforme Bula</t>
        </is>
      </c>
      <c r="F2330" s="13" t="inlineStr">
        <is>
          <t>Trigo</t>
        </is>
      </c>
      <c r="G2330" s="13" t="inlineStr">
        <is>
          <t>Cultura Autorizada na Bula</t>
        </is>
      </c>
      <c r="H2330" s="13" t="inlineStr">
        <is>
          <t>100 a 300 L/ha</t>
        </is>
      </c>
      <c r="I2330" s="13" t="inlineStr">
        <is>
          <t>20 a 40 L/ha</t>
        </is>
      </c>
      <c r="J2330" s="13" t="inlineStr">
        <is>
          <t>21 dias</t>
        </is>
      </c>
    </row>
    <row r="2331" ht="22" customHeight="1">
      <c r="A2331" s="6" t="inlineStr">
        <is>
          <t>CUL-2327</t>
        </is>
      </c>
      <c r="B2331" s="5" t="n">
        <v>461</v>
      </c>
      <c r="C2331" s="7" t="inlineStr">
        <is>
          <t>Nº 33424</t>
        </is>
      </c>
      <c r="D2331" s="8" t="inlineStr">
        <is>
          <t>SANKARI</t>
        </is>
      </c>
      <c r="E2331" s="7" t="inlineStr">
        <is>
          <t>Pulverização Agrícola Conforme Bula</t>
        </is>
      </c>
      <c r="F2331" s="7" t="inlineStr">
        <is>
          <t>Soja</t>
        </is>
      </c>
      <c r="G2331" s="7" t="inlineStr">
        <is>
          <t>Cultura Autorizada na Bula</t>
        </is>
      </c>
      <c r="H2331" s="7" t="inlineStr">
        <is>
          <t>100 a 300 L/ha</t>
        </is>
      </c>
      <c r="I2331" s="7" t="inlineStr">
        <is>
          <t>20 a 40 L/ha</t>
        </is>
      </c>
      <c r="J2331" s="7" t="inlineStr">
        <is>
          <t>21 dias</t>
        </is>
      </c>
    </row>
    <row r="2332" ht="22" customHeight="1">
      <c r="A2332" s="12" t="inlineStr">
        <is>
          <t>CUL-2328</t>
        </is>
      </c>
      <c r="B2332" s="11" t="n">
        <v>461</v>
      </c>
      <c r="C2332" s="13" t="inlineStr">
        <is>
          <t>Nº 33424</t>
        </is>
      </c>
      <c r="D2332" s="14" t="inlineStr">
        <is>
          <t>SANKARI</t>
        </is>
      </c>
      <c r="E2332" s="13" t="inlineStr">
        <is>
          <t>Pulverização Agrícola Conforme Bula</t>
        </is>
      </c>
      <c r="F2332" s="13" t="inlineStr">
        <is>
          <t>Milho</t>
        </is>
      </c>
      <c r="G2332" s="13" t="inlineStr">
        <is>
          <t>Cultura Autorizada na Bula</t>
        </is>
      </c>
      <c r="H2332" s="13" t="inlineStr">
        <is>
          <t>100 a 300 L/ha</t>
        </is>
      </c>
      <c r="I2332" s="13" t="inlineStr">
        <is>
          <t>20 a 40 L/ha</t>
        </is>
      </c>
      <c r="J2332" s="13" t="inlineStr">
        <is>
          <t>21 dias</t>
        </is>
      </c>
    </row>
    <row r="2333" ht="22" customHeight="1">
      <c r="A2333" s="6" t="inlineStr">
        <is>
          <t>CUL-2329</t>
        </is>
      </c>
      <c r="B2333" s="5" t="n">
        <v>461</v>
      </c>
      <c r="C2333" s="7" t="inlineStr">
        <is>
          <t>Nº 33424</t>
        </is>
      </c>
      <c r="D2333" s="8" t="inlineStr">
        <is>
          <t>SANKARI</t>
        </is>
      </c>
      <c r="E2333" s="7" t="inlineStr">
        <is>
          <t>Pulverização Agrícola Conforme Bula</t>
        </is>
      </c>
      <c r="F2333" s="7" t="inlineStr">
        <is>
          <t>Algodão</t>
        </is>
      </c>
      <c r="G2333" s="7" t="inlineStr">
        <is>
          <t>Cultura Autorizada na Bula</t>
        </is>
      </c>
      <c r="H2333" s="7" t="inlineStr">
        <is>
          <t>100 a 300 L/ha</t>
        </is>
      </c>
      <c r="I2333" s="7" t="inlineStr">
        <is>
          <t>20 a 40 L/ha</t>
        </is>
      </c>
      <c r="J2333" s="7" t="inlineStr">
        <is>
          <t>21 dias</t>
        </is>
      </c>
    </row>
    <row r="2334" ht="22" customHeight="1">
      <c r="A2334" s="12" t="inlineStr">
        <is>
          <t>CUL-2330</t>
        </is>
      </c>
      <c r="B2334" s="11" t="n">
        <v>461</v>
      </c>
      <c r="C2334" s="13" t="inlineStr">
        <is>
          <t>Nº 33424</t>
        </is>
      </c>
      <c r="D2334" s="14" t="inlineStr">
        <is>
          <t>SANKARI</t>
        </is>
      </c>
      <c r="E2334" s="13" t="inlineStr">
        <is>
          <t>Pulverização Agrícola Conforme Bula</t>
        </is>
      </c>
      <c r="F2334" s="13" t="inlineStr">
        <is>
          <t>Feijão</t>
        </is>
      </c>
      <c r="G2334" s="13" t="inlineStr">
        <is>
          <t>Cultura Autorizada na Bula</t>
        </is>
      </c>
      <c r="H2334" s="13" t="inlineStr">
        <is>
          <t>100 a 300 L/ha</t>
        </is>
      </c>
      <c r="I2334" s="13" t="inlineStr">
        <is>
          <t>20 a 40 L/ha</t>
        </is>
      </c>
      <c r="J2334" s="13" t="inlineStr">
        <is>
          <t>14 dias</t>
        </is>
      </c>
    </row>
    <row r="2335" ht="22" customHeight="1">
      <c r="A2335" s="6" t="inlineStr">
        <is>
          <t>CUL-2331</t>
        </is>
      </c>
      <c r="B2335" s="5" t="n">
        <v>462</v>
      </c>
      <c r="C2335" s="7" t="inlineStr">
        <is>
          <t>Nº 37624</t>
        </is>
      </c>
      <c r="D2335" s="8" t="inlineStr">
        <is>
          <t>SIGOLI</t>
        </is>
      </c>
      <c r="E2335" s="7" t="inlineStr">
        <is>
          <t>Pulverização Agrícola Conforme Bula</t>
        </is>
      </c>
      <c r="F2335" s="7" t="inlineStr">
        <is>
          <t>Soja</t>
        </is>
      </c>
      <c r="G2335" s="7" t="inlineStr">
        <is>
          <t>Cultura Autorizada na Bula</t>
        </is>
      </c>
      <c r="H2335" s="7" t="inlineStr">
        <is>
          <t>100 a 300 L/ha</t>
        </is>
      </c>
      <c r="I2335" s="7" t="inlineStr">
        <is>
          <t>20 a 40 L/ha</t>
        </is>
      </c>
      <c r="J2335" s="7" t="inlineStr">
        <is>
          <t>21 dias</t>
        </is>
      </c>
    </row>
    <row r="2336" ht="22" customHeight="1">
      <c r="A2336" s="12" t="inlineStr">
        <is>
          <t>CUL-2332</t>
        </is>
      </c>
      <c r="B2336" s="11" t="n">
        <v>462</v>
      </c>
      <c r="C2336" s="13" t="inlineStr">
        <is>
          <t>Nº 37624</t>
        </is>
      </c>
      <c r="D2336" s="14" t="inlineStr">
        <is>
          <t>SIGOLI</t>
        </is>
      </c>
      <c r="E2336" s="13" t="inlineStr">
        <is>
          <t>Pulverização Agrícola Conforme Bula</t>
        </is>
      </c>
      <c r="F2336" s="13" t="inlineStr">
        <is>
          <t>Milho</t>
        </is>
      </c>
      <c r="G2336" s="13" t="inlineStr">
        <is>
          <t>Cultura Autorizada na Bula</t>
        </is>
      </c>
      <c r="H2336" s="13" t="inlineStr">
        <is>
          <t>100 a 300 L/ha</t>
        </is>
      </c>
      <c r="I2336" s="13" t="inlineStr">
        <is>
          <t>20 a 40 L/ha</t>
        </is>
      </c>
      <c r="J2336" s="13" t="inlineStr">
        <is>
          <t>21 dias</t>
        </is>
      </c>
    </row>
    <row r="2337" ht="22" customHeight="1">
      <c r="A2337" s="6" t="inlineStr">
        <is>
          <t>CUL-2333</t>
        </is>
      </c>
      <c r="B2337" s="5" t="n">
        <v>462</v>
      </c>
      <c r="C2337" s="7" t="inlineStr">
        <is>
          <t>Nº 37624</t>
        </is>
      </c>
      <c r="D2337" s="8" t="inlineStr">
        <is>
          <t>SIGOLI</t>
        </is>
      </c>
      <c r="E2337" s="7" t="inlineStr">
        <is>
          <t>Pulverização Agrícola Conforme Bula</t>
        </is>
      </c>
      <c r="F2337" s="7" t="inlineStr">
        <is>
          <t>Algodão</t>
        </is>
      </c>
      <c r="G2337" s="7" t="inlineStr">
        <is>
          <t>Cultura Autorizada na Bula</t>
        </is>
      </c>
      <c r="H2337" s="7" t="inlineStr">
        <is>
          <t>100 a 300 L/ha</t>
        </is>
      </c>
      <c r="I2337" s="7" t="inlineStr">
        <is>
          <t>20 a 40 L/ha</t>
        </is>
      </c>
      <c r="J2337" s="7" t="inlineStr">
        <is>
          <t>21 dias</t>
        </is>
      </c>
    </row>
    <row r="2338" ht="22" customHeight="1">
      <c r="A2338" s="12" t="inlineStr">
        <is>
          <t>CUL-2334</t>
        </is>
      </c>
      <c r="B2338" s="11" t="n">
        <v>462</v>
      </c>
      <c r="C2338" s="13" t="inlineStr">
        <is>
          <t>Nº 37624</t>
        </is>
      </c>
      <c r="D2338" s="14" t="inlineStr">
        <is>
          <t>SIGOLI</t>
        </is>
      </c>
      <c r="E2338" s="13" t="inlineStr">
        <is>
          <t>Pulverização Agrícola Conforme Bula</t>
        </is>
      </c>
      <c r="F2338" s="13" t="inlineStr">
        <is>
          <t>Feijão</t>
        </is>
      </c>
      <c r="G2338" s="13" t="inlineStr">
        <is>
          <t>Cultura Autorizada na Bula</t>
        </is>
      </c>
      <c r="H2338" s="13" t="inlineStr">
        <is>
          <t>100 a 300 L/ha</t>
        </is>
      </c>
      <c r="I2338" s="13" t="inlineStr">
        <is>
          <t>20 a 40 L/ha</t>
        </is>
      </c>
      <c r="J2338" s="13" t="inlineStr">
        <is>
          <t>14 dias</t>
        </is>
      </c>
    </row>
    <row r="2339" ht="22" customHeight="1">
      <c r="A2339" s="6" t="inlineStr">
        <is>
          <t>CUL-2335</t>
        </is>
      </c>
      <c r="B2339" s="5" t="n">
        <v>463</v>
      </c>
      <c r="C2339" s="7" t="inlineStr">
        <is>
          <t>Nº 34122</t>
        </is>
      </c>
      <c r="D2339" s="8" t="inlineStr">
        <is>
          <t>DURAX</t>
        </is>
      </c>
      <c r="E2339" s="7" t="inlineStr">
        <is>
          <t>Pulverização Agrícola Conforme Bula</t>
        </is>
      </c>
      <c r="F2339" s="7" t="inlineStr">
        <is>
          <t>Soja</t>
        </is>
      </c>
      <c r="G2339" s="7" t="inlineStr">
        <is>
          <t>Cultura Autorizada na Bula</t>
        </is>
      </c>
      <c r="H2339" s="7" t="inlineStr">
        <is>
          <t>100 a 300 L/ha</t>
        </is>
      </c>
      <c r="I2339" s="7" t="inlineStr">
        <is>
          <t>20 a 40 L/ha</t>
        </is>
      </c>
      <c r="J2339" s="7" t="inlineStr">
        <is>
          <t>N/D</t>
        </is>
      </c>
    </row>
    <row r="2340" ht="22" customHeight="1">
      <c r="A2340" s="12" t="inlineStr">
        <is>
          <t>CUL-2336</t>
        </is>
      </c>
      <c r="B2340" s="11" t="n">
        <v>463</v>
      </c>
      <c r="C2340" s="13" t="inlineStr">
        <is>
          <t>Nº 34122</t>
        </is>
      </c>
      <c r="D2340" s="14" t="inlineStr">
        <is>
          <t>DURAX</t>
        </is>
      </c>
      <c r="E2340" s="13" t="inlineStr">
        <is>
          <t>Pulverização Agrícola Conforme Bula</t>
        </is>
      </c>
      <c r="F2340" s="13" t="inlineStr">
        <is>
          <t>Milho</t>
        </is>
      </c>
      <c r="G2340" s="13" t="inlineStr">
        <is>
          <t>Cultura Autorizada na Bula</t>
        </is>
      </c>
      <c r="H2340" s="13" t="inlineStr">
        <is>
          <t>100 a 300 L/ha</t>
        </is>
      </c>
      <c r="I2340" s="13" t="inlineStr">
        <is>
          <t>20 a 40 L/ha</t>
        </is>
      </c>
      <c r="J2340" s="13" t="inlineStr">
        <is>
          <t>N/D</t>
        </is>
      </c>
    </row>
    <row r="2341" ht="22" customHeight="1">
      <c r="A2341" s="6" t="inlineStr">
        <is>
          <t>CUL-2337</t>
        </is>
      </c>
      <c r="B2341" s="5" t="n">
        <v>463</v>
      </c>
      <c r="C2341" s="7" t="inlineStr">
        <is>
          <t>Nº 34122</t>
        </is>
      </c>
      <c r="D2341" s="8" t="inlineStr">
        <is>
          <t>DURAX</t>
        </is>
      </c>
      <c r="E2341" s="7" t="inlineStr">
        <is>
          <t>Pulverização Agrícola Conforme Bula</t>
        </is>
      </c>
      <c r="F2341" s="7" t="inlineStr">
        <is>
          <t>Algodão</t>
        </is>
      </c>
      <c r="G2341" s="7" t="inlineStr">
        <is>
          <t>Cultura Autorizada na Bula</t>
        </is>
      </c>
      <c r="H2341" s="7" t="inlineStr">
        <is>
          <t>100 a 300 L/ha</t>
        </is>
      </c>
      <c r="I2341" s="7" t="inlineStr">
        <is>
          <t>20 a 40 L/ha</t>
        </is>
      </c>
      <c r="J2341" s="7" t="inlineStr">
        <is>
          <t>N/D</t>
        </is>
      </c>
    </row>
    <row r="2342" ht="22" customHeight="1">
      <c r="A2342" s="12" t="inlineStr">
        <is>
          <t>CUL-2338</t>
        </is>
      </c>
      <c r="B2342" s="11" t="n">
        <v>463</v>
      </c>
      <c r="C2342" s="13" t="inlineStr">
        <is>
          <t>Nº 34122</t>
        </is>
      </c>
      <c r="D2342" s="14" t="inlineStr">
        <is>
          <t>DURAX</t>
        </is>
      </c>
      <c r="E2342" s="13" t="inlineStr">
        <is>
          <t>Pulverização Agrícola Conforme Bula</t>
        </is>
      </c>
      <c r="F2342" s="13" t="inlineStr">
        <is>
          <t>Cana-de-açúcar</t>
        </is>
      </c>
      <c r="G2342" s="13" t="inlineStr">
        <is>
          <t>Cultura Autorizada na Bula</t>
        </is>
      </c>
      <c r="H2342" s="13" t="inlineStr">
        <is>
          <t>100 a 300 L/ha</t>
        </is>
      </c>
      <c r="I2342" s="13" t="inlineStr">
        <is>
          <t>20 a 40 L/ha</t>
        </is>
      </c>
      <c r="J2342" s="13" t="inlineStr">
        <is>
          <t>N/D</t>
        </is>
      </c>
    </row>
    <row r="2343" ht="22" customHeight="1">
      <c r="A2343" s="6" t="inlineStr">
        <is>
          <t>CUL-2339</t>
        </is>
      </c>
      <c r="B2343" s="5" t="n">
        <v>463</v>
      </c>
      <c r="C2343" s="7" t="inlineStr">
        <is>
          <t>Nº 34122</t>
        </is>
      </c>
      <c r="D2343" s="8" t="inlineStr">
        <is>
          <t>DURAX</t>
        </is>
      </c>
      <c r="E2343" s="7" t="inlineStr">
        <is>
          <t>Pulverização Agrícola Conforme Bula</t>
        </is>
      </c>
      <c r="F2343" s="7" t="inlineStr">
        <is>
          <t>Feijão</t>
        </is>
      </c>
      <c r="G2343" s="7" t="inlineStr">
        <is>
          <t>Cultura Autorizada na Bula</t>
        </is>
      </c>
      <c r="H2343" s="7" t="inlineStr">
        <is>
          <t>100 a 300 L/ha</t>
        </is>
      </c>
      <c r="I2343" s="7" t="inlineStr">
        <is>
          <t>20 a 40 L/ha</t>
        </is>
      </c>
      <c r="J2343" s="7" t="inlineStr">
        <is>
          <t>N/D</t>
        </is>
      </c>
    </row>
    <row r="2344" ht="22" customHeight="1">
      <c r="A2344" s="12" t="inlineStr">
        <is>
          <t>CUL-2340</t>
        </is>
      </c>
      <c r="B2344" s="11" t="n">
        <v>464</v>
      </c>
      <c r="C2344" s="13" t="inlineStr">
        <is>
          <t>Nº 1223</t>
        </is>
      </c>
      <c r="D2344" s="14" t="inlineStr">
        <is>
          <t>FULLGUARD</t>
        </is>
      </c>
      <c r="E2344" s="13" t="inlineStr">
        <is>
          <t>Pulverização Agrícola Conforme Bula</t>
        </is>
      </c>
      <c r="F2344" s="13" t="inlineStr">
        <is>
          <t>Soja (Dessecação)</t>
        </is>
      </c>
      <c r="G2344" s="13" t="inlineStr">
        <is>
          <t>Cultura Autorizada na Bula</t>
        </is>
      </c>
      <c r="H2344" s="13" t="inlineStr">
        <is>
          <t>100 a 300 L/ha</t>
        </is>
      </c>
      <c r="I2344" s="13" t="inlineStr">
        <is>
          <t>20 a 40 L/ha</t>
        </is>
      </c>
      <c r="J2344" s="13" t="inlineStr">
        <is>
          <t>N/D</t>
        </is>
      </c>
    </row>
    <row r="2345" ht="22" customHeight="1">
      <c r="A2345" s="6" t="inlineStr">
        <is>
          <t>CUL-2341</t>
        </is>
      </c>
      <c r="B2345" s="5" t="n">
        <v>464</v>
      </c>
      <c r="C2345" s="7" t="inlineStr">
        <is>
          <t>Nº 1223</t>
        </is>
      </c>
      <c r="D2345" s="8" t="inlineStr">
        <is>
          <t>FULLGUARD</t>
        </is>
      </c>
      <c r="E2345" s="7" t="inlineStr">
        <is>
          <t>Pulverização Agrícola Conforme Bula</t>
        </is>
      </c>
      <c r="F2345" s="7" t="inlineStr">
        <is>
          <t>Milho</t>
        </is>
      </c>
      <c r="G2345" s="7" t="inlineStr">
        <is>
          <t>Cultura Autorizada na Bula</t>
        </is>
      </c>
      <c r="H2345" s="7" t="inlineStr">
        <is>
          <t>100 a 300 L/ha</t>
        </is>
      </c>
      <c r="I2345" s="7" t="inlineStr">
        <is>
          <t>20 a 40 L/ha</t>
        </is>
      </c>
      <c r="J2345" s="7" t="inlineStr">
        <is>
          <t>45 dias</t>
        </is>
      </c>
    </row>
    <row r="2346" ht="22" customHeight="1">
      <c r="A2346" s="12" t="inlineStr">
        <is>
          <t>CUL-2342</t>
        </is>
      </c>
      <c r="B2346" s="11" t="n">
        <v>464</v>
      </c>
      <c r="C2346" s="13" t="inlineStr">
        <is>
          <t>Nº 1223</t>
        </is>
      </c>
      <c r="D2346" s="14" t="inlineStr">
        <is>
          <t>FULLGUARD</t>
        </is>
      </c>
      <c r="E2346" s="13" t="inlineStr">
        <is>
          <t>Pulverização Agrícola Conforme Bula</t>
        </is>
      </c>
      <c r="F2346" s="13" t="inlineStr">
        <is>
          <t>Algodão (Desfolha / Jato Dirigido)</t>
        </is>
      </c>
      <c r="G2346" s="13" t="inlineStr">
        <is>
          <t>Cultura Autorizada na Bula</t>
        </is>
      </c>
      <c r="H2346" s="13" t="inlineStr">
        <is>
          <t>100 a 300 L/ha</t>
        </is>
      </c>
      <c r="I2346" s="13" t="inlineStr">
        <is>
          <t>20 a 40 L/ha</t>
        </is>
      </c>
      <c r="J2346" s="13" t="inlineStr">
        <is>
          <t>15 dias</t>
        </is>
      </c>
    </row>
    <row r="2347" ht="22" customHeight="1">
      <c r="A2347" s="6" t="inlineStr">
        <is>
          <t>CUL-2343</t>
        </is>
      </c>
      <c r="B2347" s="5" t="n">
        <v>464</v>
      </c>
      <c r="C2347" s="7" t="inlineStr">
        <is>
          <t>Nº 1223</t>
        </is>
      </c>
      <c r="D2347" s="8" t="inlineStr">
        <is>
          <t>FULLGUARD</t>
        </is>
      </c>
      <c r="E2347" s="7" t="inlineStr">
        <is>
          <t>Pulverização Agrícola Conforme Bula</t>
        </is>
      </c>
      <c r="F2347" s="7" t="inlineStr">
        <is>
          <t>Cana-de-açúcar</t>
        </is>
      </c>
      <c r="G2347" s="7" t="inlineStr">
        <is>
          <t>Cultura Autorizada na Bula</t>
        </is>
      </c>
      <c r="H2347" s="7" t="inlineStr">
        <is>
          <t>100 a 300 L/ha</t>
        </is>
      </c>
      <c r="I2347" s="7" t="inlineStr">
        <is>
          <t>20 a 40 L/ha</t>
        </is>
      </c>
      <c r="J2347" s="7" t="inlineStr">
        <is>
          <t>105 dias</t>
        </is>
      </c>
    </row>
    <row r="2348" ht="22" customHeight="1">
      <c r="A2348" s="12" t="inlineStr">
        <is>
          <t>CUL-2344</t>
        </is>
      </c>
      <c r="B2348" s="11" t="n">
        <v>464</v>
      </c>
      <c r="C2348" s="13" t="inlineStr">
        <is>
          <t>Nº 1223</t>
        </is>
      </c>
      <c r="D2348" s="14" t="inlineStr">
        <is>
          <t>FULLGUARD</t>
        </is>
      </c>
      <c r="E2348" s="13" t="inlineStr">
        <is>
          <t>Pulverização Agrícola Conforme Bula</t>
        </is>
      </c>
      <c r="F2348" s="13" t="inlineStr">
        <is>
          <t>Café</t>
        </is>
      </c>
      <c r="G2348" s="13" t="inlineStr">
        <is>
          <t>Cultura Autorizada na Bula</t>
        </is>
      </c>
      <c r="H2348" s="13" t="inlineStr">
        <is>
          <t>100 a 300 L/ha</t>
        </is>
      </c>
      <c r="I2348" s="13" t="inlineStr">
        <is>
          <t>20 a 40 L/ha</t>
        </is>
      </c>
      <c r="J2348" s="13" t="inlineStr">
        <is>
          <t>15 dias</t>
        </is>
      </c>
    </row>
    <row r="2349" ht="22" customHeight="1">
      <c r="A2349" s="6" t="inlineStr">
        <is>
          <t>CUL-2345</t>
        </is>
      </c>
      <c r="B2349" s="5" t="n">
        <v>464</v>
      </c>
      <c r="C2349" s="7" t="inlineStr">
        <is>
          <t>Nº 1223</t>
        </is>
      </c>
      <c r="D2349" s="8" t="inlineStr">
        <is>
          <t>FULLGUARD</t>
        </is>
      </c>
      <c r="E2349" s="7" t="inlineStr">
        <is>
          <t>Pulverização Agrícola Conforme Bula</t>
        </is>
      </c>
      <c r="F2349" s="7" t="inlineStr">
        <is>
          <t>Citros</t>
        </is>
      </c>
      <c r="G2349" s="7" t="inlineStr">
        <is>
          <t>Cultura Autorizada na Bula</t>
        </is>
      </c>
      <c r="H2349" s="7" t="inlineStr">
        <is>
          <t>100 a 300 L/ha</t>
        </is>
      </c>
      <c r="I2349" s="7" t="inlineStr">
        <is>
          <t>20 a 40 L/ha</t>
        </is>
      </c>
      <c r="J2349" s="7" t="inlineStr">
        <is>
          <t>15 dias</t>
        </is>
      </c>
    </row>
    <row r="2350" ht="22" customHeight="1">
      <c r="A2350" s="12" t="inlineStr">
        <is>
          <t>CUL-2346</t>
        </is>
      </c>
      <c r="B2350" s="11" t="n">
        <v>465</v>
      </c>
      <c r="C2350" s="13" t="inlineStr">
        <is>
          <t>Nº 13714</t>
        </is>
      </c>
      <c r="D2350" s="14" t="inlineStr">
        <is>
          <t>WIPE OUT</t>
        </is>
      </c>
      <c r="E2350" s="13" t="inlineStr">
        <is>
          <t>Pulverização Agrícola Conforme Bula</t>
        </is>
      </c>
      <c r="F2350" s="13" t="inlineStr">
        <is>
          <t>Soja (Pré-Plantio / OGM)</t>
        </is>
      </c>
      <c r="G2350" s="13" t="inlineStr">
        <is>
          <t>Cultura Autorizada na Bula</t>
        </is>
      </c>
      <c r="H2350" s="13" t="inlineStr">
        <is>
          <t>100 a 300 L/ha</t>
        </is>
      </c>
      <c r="I2350" s="13" t="inlineStr">
        <is>
          <t>20 a 40 L/ha</t>
        </is>
      </c>
      <c r="J2350" s="13" t="inlineStr">
        <is>
          <t>56 dias</t>
        </is>
      </c>
    </row>
    <row r="2351" ht="22" customHeight="1">
      <c r="A2351" s="6" t="inlineStr">
        <is>
          <t>CUL-2347</t>
        </is>
      </c>
      <c r="B2351" s="5" t="n">
        <v>465</v>
      </c>
      <c r="C2351" s="7" t="inlineStr">
        <is>
          <t>Nº 13714</t>
        </is>
      </c>
      <c r="D2351" s="8" t="inlineStr">
        <is>
          <t>WIPE OUT</t>
        </is>
      </c>
      <c r="E2351" s="7" t="inlineStr">
        <is>
          <t>Pulverização Agrícola Conforme Bula</t>
        </is>
      </c>
      <c r="F2351" s="7" t="inlineStr">
        <is>
          <t>Milho (Pré-Plantio / OGM)</t>
        </is>
      </c>
      <c r="G2351" s="7" t="inlineStr">
        <is>
          <t>Cultura Autorizada na Bula</t>
        </is>
      </c>
      <c r="H2351" s="7" t="inlineStr">
        <is>
          <t>100 a 300 L/ha</t>
        </is>
      </c>
      <c r="I2351" s="7" t="inlineStr">
        <is>
          <t>20 a 40 L/ha</t>
        </is>
      </c>
      <c r="J2351" s="7" t="inlineStr">
        <is>
          <t>90 dias</t>
        </is>
      </c>
    </row>
    <row r="2352" ht="22" customHeight="1">
      <c r="A2352" s="12" t="inlineStr">
        <is>
          <t>CUL-2348</t>
        </is>
      </c>
      <c r="B2352" s="11" t="n">
        <v>465</v>
      </c>
      <c r="C2352" s="13" t="inlineStr">
        <is>
          <t>Nº 13714</t>
        </is>
      </c>
      <c r="D2352" s="14" t="inlineStr">
        <is>
          <t>WIPE OUT</t>
        </is>
      </c>
      <c r="E2352" s="13" t="inlineStr">
        <is>
          <t>Pulverização Agrícola Conforme Bula</t>
        </is>
      </c>
      <c r="F2352" s="13" t="inlineStr">
        <is>
          <t>Algodão (Pré-Plantio / OGM)</t>
        </is>
      </c>
      <c r="G2352" s="13" t="inlineStr">
        <is>
          <t>Cultura Autorizada na Bula</t>
        </is>
      </c>
      <c r="H2352" s="13" t="inlineStr">
        <is>
          <t>100 a 300 L/ha</t>
        </is>
      </c>
      <c r="I2352" s="13" t="inlineStr">
        <is>
          <t>20 a 40 L/ha</t>
        </is>
      </c>
      <c r="J2352" s="13" t="inlineStr">
        <is>
          <t>130 dias</t>
        </is>
      </c>
    </row>
    <row r="2353" ht="22" customHeight="1">
      <c r="A2353" s="6" t="inlineStr">
        <is>
          <t>CUL-2349</t>
        </is>
      </c>
      <c r="B2353" s="5" t="n">
        <v>465</v>
      </c>
      <c r="C2353" s="7" t="inlineStr">
        <is>
          <t>Nº 13714</t>
        </is>
      </c>
      <c r="D2353" s="8" t="inlineStr">
        <is>
          <t>WIPE OUT</t>
        </is>
      </c>
      <c r="E2353" s="7" t="inlineStr">
        <is>
          <t>Pulverização Agrícola Conforme Bula</t>
        </is>
      </c>
      <c r="F2353" s="7" t="inlineStr">
        <is>
          <t>Cana-de-açúcar</t>
        </is>
      </c>
      <c r="G2353" s="7" t="inlineStr">
        <is>
          <t>Cultura Autorizada na Bula</t>
        </is>
      </c>
      <c r="H2353" s="7" t="inlineStr">
        <is>
          <t>100 a 300 L/ha</t>
        </is>
      </c>
      <c r="I2353" s="7" t="inlineStr">
        <is>
          <t>20 a 40 L/ha</t>
        </is>
      </c>
      <c r="J2353" s="7" t="inlineStr">
        <is>
          <t>N/D</t>
        </is>
      </c>
    </row>
    <row r="2354" ht="22" customHeight="1">
      <c r="A2354" s="12" t="inlineStr">
        <is>
          <t>CUL-2350</t>
        </is>
      </c>
      <c r="B2354" s="11" t="n">
        <v>465</v>
      </c>
      <c r="C2354" s="13" t="inlineStr">
        <is>
          <t>Nº 13714</t>
        </is>
      </c>
      <c r="D2354" s="14" t="inlineStr">
        <is>
          <t>WIPE OUT</t>
        </is>
      </c>
      <c r="E2354" s="13" t="inlineStr">
        <is>
          <t>Pulverização Agrícola Conforme Bula</t>
        </is>
      </c>
      <c r="F2354" s="13" t="inlineStr">
        <is>
          <t>Café (Jato Dirigido)</t>
        </is>
      </c>
      <c r="G2354" s="13" t="inlineStr">
        <is>
          <t>Cultura Autorizada na Bula</t>
        </is>
      </c>
      <c r="H2354" s="13" t="inlineStr">
        <is>
          <t>100 a 300 L/ha</t>
        </is>
      </c>
      <c r="I2354" s="13" t="inlineStr">
        <is>
          <t>20 a 40 L/ha</t>
        </is>
      </c>
      <c r="J2354" s="13" t="inlineStr">
        <is>
          <t>15 dias</t>
        </is>
      </c>
    </row>
    <row r="2355" ht="22" customHeight="1">
      <c r="A2355" s="6" t="inlineStr">
        <is>
          <t>CUL-2351</t>
        </is>
      </c>
      <c r="B2355" s="5" t="n">
        <v>465</v>
      </c>
      <c r="C2355" s="7" t="inlineStr">
        <is>
          <t>Nº 13714</t>
        </is>
      </c>
      <c r="D2355" s="8" t="inlineStr">
        <is>
          <t>WIPE OUT</t>
        </is>
      </c>
      <c r="E2355" s="7" t="inlineStr">
        <is>
          <t>Pulverização Agrícola Conforme Bula</t>
        </is>
      </c>
      <c r="F2355" s="7" t="inlineStr">
        <is>
          <t>Citros (Jato Dirigido)</t>
        </is>
      </c>
      <c r="G2355" s="7" t="inlineStr">
        <is>
          <t>Cultura Autorizada na Bula</t>
        </is>
      </c>
      <c r="H2355" s="7" t="inlineStr">
        <is>
          <t>100 a 300 L/ha</t>
        </is>
      </c>
      <c r="I2355" s="7" t="inlineStr">
        <is>
          <t>20 a 40 L/ha</t>
        </is>
      </c>
      <c r="J2355" s="7" t="inlineStr">
        <is>
          <t>30 dias</t>
        </is>
      </c>
    </row>
    <row r="2356" ht="22" customHeight="1">
      <c r="A2356" s="12" t="inlineStr">
        <is>
          <t>CUL-2352</t>
        </is>
      </c>
      <c r="B2356" s="11" t="n">
        <v>465</v>
      </c>
      <c r="C2356" s="13" t="inlineStr">
        <is>
          <t>Nº 13714</t>
        </is>
      </c>
      <c r="D2356" s="14" t="inlineStr">
        <is>
          <t>WIPE OUT</t>
        </is>
      </c>
      <c r="E2356" s="13" t="inlineStr">
        <is>
          <t>Pulverização Agrícola Conforme Bula</t>
        </is>
      </c>
      <c r="F2356" s="13" t="inlineStr">
        <is>
          <t>Trigo (Pré-Plantio)</t>
        </is>
      </c>
      <c r="G2356" s="13" t="inlineStr">
        <is>
          <t>Cultura Autorizada na Bula</t>
        </is>
      </c>
      <c r="H2356" s="13" t="inlineStr">
        <is>
          <t>100 a 300 L/ha</t>
        </is>
      </c>
      <c r="I2356" s="13" t="inlineStr">
        <is>
          <t>20 a 40 L/ha</t>
        </is>
      </c>
      <c r="J2356" s="13" t="inlineStr">
        <is>
          <t>N/D</t>
        </is>
      </c>
    </row>
    <row r="2357" ht="22" customHeight="1">
      <c r="A2357" s="6" t="inlineStr">
        <is>
          <t>CUL-2353</t>
        </is>
      </c>
      <c r="B2357" s="5" t="n">
        <v>465</v>
      </c>
      <c r="C2357" s="7" t="inlineStr">
        <is>
          <t>Nº 13714</t>
        </is>
      </c>
      <c r="D2357" s="8" t="inlineStr">
        <is>
          <t>WIPE OUT</t>
        </is>
      </c>
      <c r="E2357" s="7" t="inlineStr">
        <is>
          <t>Pulverização Agrícola Conforme Bula</t>
        </is>
      </c>
      <c r="F2357" s="7" t="inlineStr">
        <is>
          <t>Pastagens</t>
        </is>
      </c>
      <c r="G2357" s="7" t="inlineStr">
        <is>
          <t>Cultura Autorizada na Bula</t>
        </is>
      </c>
      <c r="H2357" s="7" t="inlineStr">
        <is>
          <t>100 a 300 L/ha</t>
        </is>
      </c>
      <c r="I2357" s="7" t="inlineStr">
        <is>
          <t>20 a 40 L/ha</t>
        </is>
      </c>
      <c r="J2357" s="7" t="inlineStr">
        <is>
          <t>N/D</t>
        </is>
      </c>
    </row>
    <row r="2358" ht="22" customHeight="1">
      <c r="A2358" s="12" t="inlineStr">
        <is>
          <t>CUL-2354</t>
        </is>
      </c>
      <c r="B2358" s="11" t="n">
        <v>466</v>
      </c>
      <c r="C2358" s="13" t="inlineStr">
        <is>
          <t>Nº 32224</t>
        </is>
      </c>
      <c r="D2358" s="14" t="inlineStr">
        <is>
          <t>PYRIPROXYFEN 100 SINO-AGRI</t>
        </is>
      </c>
      <c r="E2358" s="13" t="inlineStr">
        <is>
          <t>Pulverização Agrícola Conforme Bula</t>
        </is>
      </c>
      <c r="F2358" s="13" t="inlineStr">
        <is>
          <t>Soja</t>
        </is>
      </c>
      <c r="G2358" s="13" t="inlineStr">
        <is>
          <t>Cultura Autorizada na Bula</t>
        </is>
      </c>
      <c r="H2358" s="13" t="inlineStr">
        <is>
          <t>100 a 300 L/ha</t>
        </is>
      </c>
      <c r="I2358" s="13" t="inlineStr">
        <is>
          <t>20 a 40 L/ha</t>
        </is>
      </c>
      <c r="J2358" s="13" t="inlineStr">
        <is>
          <t>30 dias</t>
        </is>
      </c>
    </row>
    <row r="2359" ht="22" customHeight="1">
      <c r="A2359" s="6" t="inlineStr">
        <is>
          <t>CUL-2355</t>
        </is>
      </c>
      <c r="B2359" s="5" t="n">
        <v>466</v>
      </c>
      <c r="C2359" s="7" t="inlineStr">
        <is>
          <t>Nº 32224</t>
        </is>
      </c>
      <c r="D2359" s="8" t="inlineStr">
        <is>
          <t>PYRIPROXYFEN 100 SINO-AGRI</t>
        </is>
      </c>
      <c r="E2359" s="7" t="inlineStr">
        <is>
          <t>Pulverização Agrícola Conforme Bula</t>
        </is>
      </c>
      <c r="F2359" s="7" t="inlineStr">
        <is>
          <t>Algodão</t>
        </is>
      </c>
      <c r="G2359" s="7" t="inlineStr">
        <is>
          <t>Cultura Autorizada na Bula</t>
        </is>
      </c>
      <c r="H2359" s="7" t="inlineStr">
        <is>
          <t>100 a 300 L/ha</t>
        </is>
      </c>
      <c r="I2359" s="7" t="inlineStr">
        <is>
          <t>20 a 40 L/ha</t>
        </is>
      </c>
      <c r="J2359" s="7" t="inlineStr">
        <is>
          <t>14 dias</t>
        </is>
      </c>
    </row>
    <row r="2360" ht="22" customHeight="1">
      <c r="A2360" s="12" t="inlineStr">
        <is>
          <t>CUL-2356</t>
        </is>
      </c>
      <c r="B2360" s="11" t="n">
        <v>466</v>
      </c>
      <c r="C2360" s="13" t="inlineStr">
        <is>
          <t>Nº 32224</t>
        </is>
      </c>
      <c r="D2360" s="14" t="inlineStr">
        <is>
          <t>PYRIPROXYFEN 100 SINO-AGRI</t>
        </is>
      </c>
      <c r="E2360" s="13" t="inlineStr">
        <is>
          <t>Pulverização Agrícola Conforme Bula</t>
        </is>
      </c>
      <c r="F2360" s="13" t="inlineStr">
        <is>
          <t>Feijão</t>
        </is>
      </c>
      <c r="G2360" s="13" t="inlineStr">
        <is>
          <t>Cultura Autorizada na Bula</t>
        </is>
      </c>
      <c r="H2360" s="13" t="inlineStr">
        <is>
          <t>100 a 300 L/ha</t>
        </is>
      </c>
      <c r="I2360" s="13" t="inlineStr">
        <is>
          <t>20 a 40 L/ha</t>
        </is>
      </c>
      <c r="J2360" s="13" t="inlineStr">
        <is>
          <t>14 dias</t>
        </is>
      </c>
    </row>
    <row r="2361" ht="22" customHeight="1">
      <c r="A2361" s="6" t="inlineStr">
        <is>
          <t>CUL-2357</t>
        </is>
      </c>
      <c r="B2361" s="5" t="n">
        <v>466</v>
      </c>
      <c r="C2361" s="7" t="inlineStr">
        <is>
          <t>Nº 32224</t>
        </is>
      </c>
      <c r="D2361" s="8" t="inlineStr">
        <is>
          <t>PYRIPROXYFEN 100 SINO-AGRI</t>
        </is>
      </c>
      <c r="E2361" s="7" t="inlineStr">
        <is>
          <t>Pulverização Agrícola Conforme Bula</t>
        </is>
      </c>
      <c r="F2361" s="7" t="inlineStr">
        <is>
          <t>Citros</t>
        </is>
      </c>
      <c r="G2361" s="7" t="inlineStr">
        <is>
          <t>Cultura Autorizada na Bula</t>
        </is>
      </c>
      <c r="H2361" s="7" t="inlineStr">
        <is>
          <t>100 a 300 L/ha</t>
        </is>
      </c>
      <c r="I2361" s="7" t="inlineStr">
        <is>
          <t>20 a 40 L/ha</t>
        </is>
      </c>
      <c r="J2361" s="7" t="inlineStr">
        <is>
          <t>14 dias</t>
        </is>
      </c>
    </row>
    <row r="2362" ht="22" customHeight="1">
      <c r="A2362" s="12" t="inlineStr">
        <is>
          <t>CUL-2358</t>
        </is>
      </c>
      <c r="B2362" s="11" t="n">
        <v>466</v>
      </c>
      <c r="C2362" s="13" t="inlineStr">
        <is>
          <t>Nº 32224</t>
        </is>
      </c>
      <c r="D2362" s="14" t="inlineStr">
        <is>
          <t>PYRIPROXYFEN 100 SINO-AGRI</t>
        </is>
      </c>
      <c r="E2362" s="13" t="inlineStr">
        <is>
          <t>Pulverização Agrícola Conforme Bula</t>
        </is>
      </c>
      <c r="F2362" s="13" t="inlineStr">
        <is>
          <t>Melão</t>
        </is>
      </c>
      <c r="G2362" s="13" t="inlineStr">
        <is>
          <t>Cultura Autorizada na Bula</t>
        </is>
      </c>
      <c r="H2362" s="13" t="inlineStr">
        <is>
          <t>100 a 300 L/ha</t>
        </is>
      </c>
      <c r="I2362" s="13" t="inlineStr">
        <is>
          <t>20 a 40 L/ha</t>
        </is>
      </c>
      <c r="J2362" s="13" t="inlineStr">
        <is>
          <t>7 dias</t>
        </is>
      </c>
    </row>
    <row r="2363" ht="22" customHeight="1">
      <c r="A2363" s="6" t="inlineStr">
        <is>
          <t>CUL-2359</t>
        </is>
      </c>
      <c r="B2363" s="5" t="n">
        <v>466</v>
      </c>
      <c r="C2363" s="7" t="inlineStr">
        <is>
          <t>Nº 32224</t>
        </is>
      </c>
      <c r="D2363" s="8" t="inlineStr">
        <is>
          <t>PYRIPROXYFEN 100 SINO-AGRI</t>
        </is>
      </c>
      <c r="E2363" s="7" t="inlineStr">
        <is>
          <t>Pulverização Agrícola Conforme Bula</t>
        </is>
      </c>
      <c r="F2363" s="7" t="inlineStr">
        <is>
          <t>Tomate</t>
        </is>
      </c>
      <c r="G2363" s="7" t="inlineStr">
        <is>
          <t>Cultura Autorizada na Bula</t>
        </is>
      </c>
      <c r="H2363" s="7" t="inlineStr">
        <is>
          <t>100 a 300 L/ha</t>
        </is>
      </c>
      <c r="I2363" s="7" t="inlineStr">
        <is>
          <t>20 a 40 L/ha</t>
        </is>
      </c>
      <c r="J2363" s="7" t="inlineStr">
        <is>
          <t>7 dias</t>
        </is>
      </c>
    </row>
    <row r="2364" ht="22" customHeight="1">
      <c r="A2364" s="12" t="inlineStr">
        <is>
          <t>CUL-2360</t>
        </is>
      </c>
      <c r="B2364" s="11" t="n">
        <v>467</v>
      </c>
      <c r="C2364" s="13" t="inlineStr">
        <is>
          <t>Nº 15925</t>
        </is>
      </c>
      <c r="D2364" s="14" t="inlineStr">
        <is>
          <t>CHETTAK GOLD</t>
        </is>
      </c>
      <c r="E2364" s="13" t="inlineStr">
        <is>
          <t>Pulverização Agrícola Conforme Bula</t>
        </is>
      </c>
      <c r="F2364" s="13" t="inlineStr">
        <is>
          <t>Soja</t>
        </is>
      </c>
      <c r="G2364" s="13" t="inlineStr">
        <is>
          <t>Cultura Autorizada na Bula</t>
        </is>
      </c>
      <c r="H2364" s="13" t="inlineStr">
        <is>
          <t>100 a 300 L/ha</t>
        </is>
      </c>
      <c r="I2364" s="13" t="inlineStr">
        <is>
          <t>20 a 40 L/ha</t>
        </is>
      </c>
      <c r="J2364" s="13" t="inlineStr">
        <is>
          <t>21 dias</t>
        </is>
      </c>
    </row>
    <row r="2365" ht="22" customHeight="1">
      <c r="A2365" s="6" t="inlineStr">
        <is>
          <t>CUL-2361</t>
        </is>
      </c>
      <c r="B2365" s="5" t="n">
        <v>467</v>
      </c>
      <c r="C2365" s="7" t="inlineStr">
        <is>
          <t>Nº 15925</t>
        </is>
      </c>
      <c r="D2365" s="8" t="inlineStr">
        <is>
          <t>CHETTAK GOLD</t>
        </is>
      </c>
      <c r="E2365" s="7" t="inlineStr">
        <is>
          <t>Pulverização Agrícola Conforme Bula</t>
        </is>
      </c>
      <c r="F2365" s="7" t="inlineStr">
        <is>
          <t>Algodão</t>
        </is>
      </c>
      <c r="G2365" s="7" t="inlineStr">
        <is>
          <t>Cultura Autorizada na Bula</t>
        </is>
      </c>
      <c r="H2365" s="7" t="inlineStr">
        <is>
          <t>100 a 300 L/ha</t>
        </is>
      </c>
      <c r="I2365" s="7" t="inlineStr">
        <is>
          <t>20 a 40 L/ha</t>
        </is>
      </c>
      <c r="J2365" s="7" t="inlineStr">
        <is>
          <t>21 dias</t>
        </is>
      </c>
    </row>
    <row r="2366" ht="22" customHeight="1">
      <c r="A2366" s="12" t="inlineStr">
        <is>
          <t>CUL-2362</t>
        </is>
      </c>
      <c r="B2366" s="11" t="n">
        <v>467</v>
      </c>
      <c r="C2366" s="13" t="inlineStr">
        <is>
          <t>Nº 15925</t>
        </is>
      </c>
      <c r="D2366" s="14" t="inlineStr">
        <is>
          <t>CHETTAK GOLD</t>
        </is>
      </c>
      <c r="E2366" s="13" t="inlineStr">
        <is>
          <t>Pulverização Agrícola Conforme Bula</t>
        </is>
      </c>
      <c r="F2366" s="13" t="inlineStr">
        <is>
          <t>Feijão</t>
        </is>
      </c>
      <c r="G2366" s="13" t="inlineStr">
        <is>
          <t>Cultura Autorizada na Bula</t>
        </is>
      </c>
      <c r="H2366" s="13" t="inlineStr">
        <is>
          <t>100 a 300 L/ha</t>
        </is>
      </c>
      <c r="I2366" s="13" t="inlineStr">
        <is>
          <t>20 a 40 L/ha</t>
        </is>
      </c>
      <c r="J2366" s="13" t="inlineStr">
        <is>
          <t>14 dias</t>
        </is>
      </c>
    </row>
    <row r="2367" ht="22" customHeight="1">
      <c r="A2367" s="6" t="inlineStr">
        <is>
          <t>CUL-2363</t>
        </is>
      </c>
      <c r="B2367" s="5" t="n">
        <v>467</v>
      </c>
      <c r="C2367" s="7" t="inlineStr">
        <is>
          <t>Nº 15925</t>
        </is>
      </c>
      <c r="D2367" s="8" t="inlineStr">
        <is>
          <t>CHETTAK GOLD</t>
        </is>
      </c>
      <c r="E2367" s="7" t="inlineStr">
        <is>
          <t>Pulverização Agrícola Conforme Bula</t>
        </is>
      </c>
      <c r="F2367" s="7" t="inlineStr">
        <is>
          <t>Milho</t>
        </is>
      </c>
      <c r="G2367" s="7" t="inlineStr">
        <is>
          <t>Cultura Autorizada na Bula</t>
        </is>
      </c>
      <c r="H2367" s="7" t="inlineStr">
        <is>
          <t>100 a 300 L/ha</t>
        </is>
      </c>
      <c r="I2367" s="7" t="inlineStr">
        <is>
          <t>20 a 40 L/ha</t>
        </is>
      </c>
      <c r="J2367" s="7" t="inlineStr">
        <is>
          <t>21 dias</t>
        </is>
      </c>
    </row>
    <row r="2368" ht="22" customHeight="1">
      <c r="A2368" s="12" t="inlineStr">
        <is>
          <t>CUL-2364</t>
        </is>
      </c>
      <c r="B2368" s="11" t="n">
        <v>468</v>
      </c>
      <c r="C2368" s="13" t="inlineStr">
        <is>
          <t>SIPEAGRO (UF-XXXXX)</t>
        </is>
      </c>
      <c r="D2368" s="14" t="inlineStr">
        <is>
          <t>NPK 05-30-10 BB MCF (TON) (AGENCIADA)</t>
        </is>
      </c>
      <c r="E2368" s="13" t="inlineStr">
        <is>
          <t>Adubação de Solo / Foliar</t>
        </is>
      </c>
      <c r="F2368" s="13" t="inlineStr">
        <is>
          <t>Soja</t>
        </is>
      </c>
      <c r="G2368" s="13" t="inlineStr">
        <is>
          <t>Cultura Autorizada na Bula</t>
        </is>
      </c>
      <c r="H2368" s="13" t="inlineStr">
        <is>
          <t>100 a 300 L/ha</t>
        </is>
      </c>
      <c r="I2368" s="13" t="inlineStr">
        <is>
          <t>20 a 40 L/ha</t>
        </is>
      </c>
      <c r="J2368" s="13" t="inlineStr">
        <is>
          <t>Isento</t>
        </is>
      </c>
    </row>
    <row r="2369" ht="22" customHeight="1">
      <c r="A2369" s="6" t="inlineStr">
        <is>
          <t>CUL-2365</t>
        </is>
      </c>
      <c r="B2369" s="5" t="n">
        <v>468</v>
      </c>
      <c r="C2369" s="7" t="inlineStr">
        <is>
          <t>SIPEAGRO (UF-XXXXX)</t>
        </is>
      </c>
      <c r="D2369" s="8" t="inlineStr">
        <is>
          <t>NPK 05-30-10 BB MCF (TON) (AGENCIADA)</t>
        </is>
      </c>
      <c r="E2369" s="7" t="inlineStr">
        <is>
          <t>Adubação de Solo / Foliar</t>
        </is>
      </c>
      <c r="F2369" s="7" t="inlineStr">
        <is>
          <t>Milho</t>
        </is>
      </c>
      <c r="G2369" s="7" t="inlineStr">
        <is>
          <t>Cultura Autorizada na Bula</t>
        </is>
      </c>
      <c r="H2369" s="7" t="inlineStr">
        <is>
          <t>100 a 300 L/ha</t>
        </is>
      </c>
      <c r="I2369" s="7" t="inlineStr">
        <is>
          <t>20 a 40 L/ha</t>
        </is>
      </c>
      <c r="J2369" s="7" t="inlineStr">
        <is>
          <t>Isento</t>
        </is>
      </c>
    </row>
    <row r="2370" ht="22" customHeight="1">
      <c r="A2370" s="12" t="inlineStr">
        <is>
          <t>CUL-2366</t>
        </is>
      </c>
      <c r="B2370" s="11" t="n">
        <v>468</v>
      </c>
      <c r="C2370" s="13" t="inlineStr">
        <is>
          <t>SIPEAGRO (UF-XXXXX)</t>
        </is>
      </c>
      <c r="D2370" s="14" t="inlineStr">
        <is>
          <t>NPK 05-30-10 BB MCF (TON) (AGENCIADA)</t>
        </is>
      </c>
      <c r="E2370" s="13" t="inlineStr">
        <is>
          <t>Adubação de Solo / Foliar</t>
        </is>
      </c>
      <c r="F2370" s="13" t="inlineStr">
        <is>
          <t>Algodão</t>
        </is>
      </c>
      <c r="G2370" s="13" t="inlineStr">
        <is>
          <t>Cultura Autorizada na Bula</t>
        </is>
      </c>
      <c r="H2370" s="13" t="inlineStr">
        <is>
          <t>100 a 300 L/ha</t>
        </is>
      </c>
      <c r="I2370" s="13" t="inlineStr">
        <is>
          <t>20 a 40 L/ha</t>
        </is>
      </c>
      <c r="J2370" s="13" t="inlineStr">
        <is>
          <t>Isento</t>
        </is>
      </c>
    </row>
    <row r="2371" ht="22" customHeight="1">
      <c r="A2371" s="6" t="inlineStr">
        <is>
          <t>CUL-2367</t>
        </is>
      </c>
      <c r="B2371" s="5" t="n">
        <v>468</v>
      </c>
      <c r="C2371" s="7" t="inlineStr">
        <is>
          <t>SIPEAGRO (UF-XXXXX)</t>
        </is>
      </c>
      <c r="D2371" s="8" t="inlineStr">
        <is>
          <t>NPK 05-30-10 BB MCF (TON) (AGENCIADA)</t>
        </is>
      </c>
      <c r="E2371" s="7" t="inlineStr">
        <is>
          <t>Adubação de Solo / Foliar</t>
        </is>
      </c>
      <c r="F2371" s="7" t="inlineStr">
        <is>
          <t>Cana-de-açúcar</t>
        </is>
      </c>
      <c r="G2371" s="7" t="inlineStr">
        <is>
          <t>Cultura Autorizada na Bula</t>
        </is>
      </c>
      <c r="H2371" s="7" t="inlineStr">
        <is>
          <t>100 a 300 L/ha</t>
        </is>
      </c>
      <c r="I2371" s="7" t="inlineStr">
        <is>
          <t>20 a 40 L/ha</t>
        </is>
      </c>
      <c r="J2371" s="7" t="inlineStr">
        <is>
          <t>Isento</t>
        </is>
      </c>
    </row>
    <row r="2372" ht="22" customHeight="1">
      <c r="A2372" s="12" t="inlineStr">
        <is>
          <t>CUL-2368</t>
        </is>
      </c>
      <c r="B2372" s="11" t="n">
        <v>468</v>
      </c>
      <c r="C2372" s="13" t="inlineStr">
        <is>
          <t>SIPEAGRO (UF-XXXXX)</t>
        </is>
      </c>
      <c r="D2372" s="14" t="inlineStr">
        <is>
          <t>NPK 05-30-10 BB MCF (TON) (AGENCIADA)</t>
        </is>
      </c>
      <c r="E2372" s="13" t="inlineStr">
        <is>
          <t>Adubação de Solo / Foliar</t>
        </is>
      </c>
      <c r="F2372" s="13" t="inlineStr">
        <is>
          <t>Café</t>
        </is>
      </c>
      <c r="G2372" s="13" t="inlineStr">
        <is>
          <t>Cultura Autorizada na Bula</t>
        </is>
      </c>
      <c r="H2372" s="13" t="inlineStr">
        <is>
          <t>100 a 300 L/ha</t>
        </is>
      </c>
      <c r="I2372" s="13" t="inlineStr">
        <is>
          <t>20 a 40 L/ha</t>
        </is>
      </c>
      <c r="J2372" s="13" t="inlineStr">
        <is>
          <t>Isento</t>
        </is>
      </c>
    </row>
    <row r="2373" ht="22" customHeight="1">
      <c r="A2373" s="6" t="inlineStr">
        <is>
          <t>CUL-2369</t>
        </is>
      </c>
      <c r="B2373" s="5" t="n">
        <v>469</v>
      </c>
      <c r="C2373" s="7" t="inlineStr">
        <is>
          <t>SIPEAGRO (UF-XXXXX)</t>
        </is>
      </c>
      <c r="D2373" s="8" t="inlineStr">
        <is>
          <t>NPK 20-00-20 (TON) (AGENCIADA)</t>
        </is>
      </c>
      <c r="E2373" s="7" t="inlineStr">
        <is>
          <t>Adubação de Solo / Foliar</t>
        </is>
      </c>
      <c r="F2373" s="7" t="inlineStr">
        <is>
          <t>Soja</t>
        </is>
      </c>
      <c r="G2373" s="7" t="inlineStr">
        <is>
          <t>Cultura Autorizada na Bula</t>
        </is>
      </c>
      <c r="H2373" s="7" t="inlineStr">
        <is>
          <t>100 a 300 L/ha</t>
        </is>
      </c>
      <c r="I2373" s="7" t="inlineStr">
        <is>
          <t>20 a 40 L/ha</t>
        </is>
      </c>
      <c r="J2373" s="7" t="inlineStr">
        <is>
          <t>Isento</t>
        </is>
      </c>
    </row>
    <row r="2374" ht="22" customHeight="1">
      <c r="A2374" s="12" t="inlineStr">
        <is>
          <t>CUL-2370</t>
        </is>
      </c>
      <c r="B2374" s="11" t="n">
        <v>469</v>
      </c>
      <c r="C2374" s="13" t="inlineStr">
        <is>
          <t>SIPEAGRO (UF-XXXXX)</t>
        </is>
      </c>
      <c r="D2374" s="14" t="inlineStr">
        <is>
          <t>NPK 20-00-20 (TON) (AGENCIADA)</t>
        </is>
      </c>
      <c r="E2374" s="13" t="inlineStr">
        <is>
          <t>Adubação de Solo / Foliar</t>
        </is>
      </c>
      <c r="F2374" s="13" t="inlineStr">
        <is>
          <t>Milho</t>
        </is>
      </c>
      <c r="G2374" s="13" t="inlineStr">
        <is>
          <t>Cultura Autorizada na Bula</t>
        </is>
      </c>
      <c r="H2374" s="13" t="inlineStr">
        <is>
          <t>100 a 300 L/ha</t>
        </is>
      </c>
      <c r="I2374" s="13" t="inlineStr">
        <is>
          <t>20 a 40 L/ha</t>
        </is>
      </c>
      <c r="J2374" s="13" t="inlineStr">
        <is>
          <t>Isento</t>
        </is>
      </c>
    </row>
    <row r="2375" ht="22" customHeight="1">
      <c r="A2375" s="6" t="inlineStr">
        <is>
          <t>CUL-2371</t>
        </is>
      </c>
      <c r="B2375" s="5" t="n">
        <v>469</v>
      </c>
      <c r="C2375" s="7" t="inlineStr">
        <is>
          <t>SIPEAGRO (UF-XXXXX)</t>
        </is>
      </c>
      <c r="D2375" s="8" t="inlineStr">
        <is>
          <t>NPK 20-00-20 (TON) (AGENCIADA)</t>
        </is>
      </c>
      <c r="E2375" s="7" t="inlineStr">
        <is>
          <t>Adubação de Solo / Foliar</t>
        </is>
      </c>
      <c r="F2375" s="7" t="inlineStr">
        <is>
          <t>Algodão</t>
        </is>
      </c>
      <c r="G2375" s="7" t="inlineStr">
        <is>
          <t>Cultura Autorizada na Bula</t>
        </is>
      </c>
      <c r="H2375" s="7" t="inlineStr">
        <is>
          <t>100 a 300 L/ha</t>
        </is>
      </c>
      <c r="I2375" s="7" t="inlineStr">
        <is>
          <t>20 a 40 L/ha</t>
        </is>
      </c>
      <c r="J2375" s="7" t="inlineStr">
        <is>
          <t>Isento</t>
        </is>
      </c>
    </row>
    <row r="2376" ht="22" customHeight="1">
      <c r="A2376" s="12" t="inlineStr">
        <is>
          <t>CUL-2372</t>
        </is>
      </c>
      <c r="B2376" s="11" t="n">
        <v>469</v>
      </c>
      <c r="C2376" s="13" t="inlineStr">
        <is>
          <t>SIPEAGRO (UF-XXXXX)</t>
        </is>
      </c>
      <c r="D2376" s="14" t="inlineStr">
        <is>
          <t>NPK 20-00-20 (TON) (AGENCIADA)</t>
        </is>
      </c>
      <c r="E2376" s="13" t="inlineStr">
        <is>
          <t>Adubação de Solo / Foliar</t>
        </is>
      </c>
      <c r="F2376" s="13" t="inlineStr">
        <is>
          <t>Cana-de-açúcar</t>
        </is>
      </c>
      <c r="G2376" s="13" t="inlineStr">
        <is>
          <t>Cultura Autorizada na Bula</t>
        </is>
      </c>
      <c r="H2376" s="13" t="inlineStr">
        <is>
          <t>100 a 300 L/ha</t>
        </is>
      </c>
      <c r="I2376" s="13" t="inlineStr">
        <is>
          <t>20 a 40 L/ha</t>
        </is>
      </c>
      <c r="J2376" s="13" t="inlineStr">
        <is>
          <t>Isento</t>
        </is>
      </c>
    </row>
    <row r="2377" ht="22" customHeight="1">
      <c r="A2377" s="6" t="inlineStr">
        <is>
          <t>CUL-2373</t>
        </is>
      </c>
      <c r="B2377" s="5" t="n">
        <v>469</v>
      </c>
      <c r="C2377" s="7" t="inlineStr">
        <is>
          <t>SIPEAGRO (UF-XXXXX)</t>
        </is>
      </c>
      <c r="D2377" s="8" t="inlineStr">
        <is>
          <t>NPK 20-00-20 (TON) (AGENCIADA)</t>
        </is>
      </c>
      <c r="E2377" s="7" t="inlineStr">
        <is>
          <t>Adubação de Solo / Foliar</t>
        </is>
      </c>
      <c r="F2377" s="7" t="inlineStr">
        <is>
          <t>Café</t>
        </is>
      </c>
      <c r="G2377" s="7" t="inlineStr">
        <is>
          <t>Cultura Autorizada na Bula</t>
        </is>
      </c>
      <c r="H2377" s="7" t="inlineStr">
        <is>
          <t>100 a 300 L/ha</t>
        </is>
      </c>
      <c r="I2377" s="7" t="inlineStr">
        <is>
          <t>20 a 40 L/ha</t>
        </is>
      </c>
      <c r="J2377" s="7" t="inlineStr">
        <is>
          <t>Isento</t>
        </is>
      </c>
    </row>
    <row r="2378" ht="22" customHeight="1">
      <c r="A2378" s="12" t="inlineStr">
        <is>
          <t>CUL-2374</t>
        </is>
      </c>
      <c r="B2378" s="11" t="n">
        <v>470</v>
      </c>
      <c r="C2378" s="13" t="inlineStr">
        <is>
          <t>Nº 23922</t>
        </is>
      </c>
      <c r="D2378" s="14" t="inlineStr">
        <is>
          <t>GRASIDIM FULL</t>
        </is>
      </c>
      <c r="E2378" s="13" t="inlineStr">
        <is>
          <t>Pulverização Agrícola Conforme Bula</t>
        </is>
      </c>
      <c r="F2378" s="13" t="inlineStr">
        <is>
          <t>Soja</t>
        </is>
      </c>
      <c r="G2378" s="13" t="inlineStr">
        <is>
          <t>Cultura Autorizada na Bula</t>
        </is>
      </c>
      <c r="H2378" s="13" t="inlineStr">
        <is>
          <t>100 a 300 L/ha</t>
        </is>
      </c>
      <c r="I2378" s="13" t="inlineStr">
        <is>
          <t>20 a 40 L/ha</t>
        </is>
      </c>
      <c r="J2378" s="13" t="inlineStr">
        <is>
          <t>60 dias</t>
        </is>
      </c>
    </row>
    <row r="2379" ht="22" customHeight="1">
      <c r="A2379" s="6" t="inlineStr">
        <is>
          <t>CUL-2375</t>
        </is>
      </c>
      <c r="B2379" s="5" t="n">
        <v>470</v>
      </c>
      <c r="C2379" s="7" t="inlineStr">
        <is>
          <t>Nº 23922</t>
        </is>
      </c>
      <c r="D2379" s="8" t="inlineStr">
        <is>
          <t>GRASIDIM FULL</t>
        </is>
      </c>
      <c r="E2379" s="7" t="inlineStr">
        <is>
          <t>Pulverização Agrícola Conforme Bula</t>
        </is>
      </c>
      <c r="F2379" s="7" t="inlineStr">
        <is>
          <t>Algodão</t>
        </is>
      </c>
      <c r="G2379" s="7" t="inlineStr">
        <is>
          <t>Cultura Autorizada na Bula</t>
        </is>
      </c>
      <c r="H2379" s="7" t="inlineStr">
        <is>
          <t>100 a 300 L/ha</t>
        </is>
      </c>
      <c r="I2379" s="7" t="inlineStr">
        <is>
          <t>20 a 40 L/ha</t>
        </is>
      </c>
      <c r="J2379" s="7" t="inlineStr">
        <is>
          <t>58 dias</t>
        </is>
      </c>
    </row>
    <row r="2380" ht="22" customHeight="1">
      <c r="A2380" s="12" t="inlineStr">
        <is>
          <t>CUL-2376</t>
        </is>
      </c>
      <c r="B2380" s="11" t="n">
        <v>470</v>
      </c>
      <c r="C2380" s="13" t="inlineStr">
        <is>
          <t>Nº 23922</t>
        </is>
      </c>
      <c r="D2380" s="14" t="inlineStr">
        <is>
          <t>GRASIDIM FULL</t>
        </is>
      </c>
      <c r="E2380" s="13" t="inlineStr">
        <is>
          <t>Pulverização Agrícola Conforme Bula</t>
        </is>
      </c>
      <c r="F2380" s="13" t="inlineStr">
        <is>
          <t>Feijão</t>
        </is>
      </c>
      <c r="G2380" s="13" t="inlineStr">
        <is>
          <t>Cultura Autorizada na Bula</t>
        </is>
      </c>
      <c r="H2380" s="13" t="inlineStr">
        <is>
          <t>100 a 300 L/ha</t>
        </is>
      </c>
      <c r="I2380" s="13" t="inlineStr">
        <is>
          <t>20 a 40 L/ha</t>
        </is>
      </c>
      <c r="J2380" s="13" t="inlineStr">
        <is>
          <t>40 dias</t>
        </is>
      </c>
    </row>
    <row r="2381" ht="22" customHeight="1">
      <c r="A2381" s="6" t="inlineStr">
        <is>
          <t>CUL-2377</t>
        </is>
      </c>
      <c r="B2381" s="5" t="n">
        <v>470</v>
      </c>
      <c r="C2381" s="7" t="inlineStr">
        <is>
          <t>Nº 23922</t>
        </is>
      </c>
      <c r="D2381" s="8" t="inlineStr">
        <is>
          <t>GRASIDIM FULL</t>
        </is>
      </c>
      <c r="E2381" s="7" t="inlineStr">
        <is>
          <t>Pulverização Agrícola Conforme Bula</t>
        </is>
      </c>
      <c r="F2381" s="7" t="inlineStr">
        <is>
          <t>Café</t>
        </is>
      </c>
      <c r="G2381" s="7" t="inlineStr">
        <is>
          <t>Cultura Autorizada na Bula</t>
        </is>
      </c>
      <c r="H2381" s="7" t="inlineStr">
        <is>
          <t>100 a 300 L/ha</t>
        </is>
      </c>
      <c r="I2381" s="7" t="inlineStr">
        <is>
          <t>20 a 40 L/ha</t>
        </is>
      </c>
      <c r="J2381" s="7" t="inlineStr">
        <is>
          <t>14 dias</t>
        </is>
      </c>
    </row>
    <row r="2382" ht="22" customHeight="1">
      <c r="A2382" s="12" t="inlineStr">
        <is>
          <t>CUL-2378</t>
        </is>
      </c>
      <c r="B2382" s="11" t="n">
        <v>470</v>
      </c>
      <c r="C2382" s="13" t="inlineStr">
        <is>
          <t>Nº 23922</t>
        </is>
      </c>
      <c r="D2382" s="14" t="inlineStr">
        <is>
          <t>GRASIDIM FULL</t>
        </is>
      </c>
      <c r="E2382" s="13" t="inlineStr">
        <is>
          <t>Pulverização Agrícola Conforme Bula</t>
        </is>
      </c>
      <c r="F2382" s="13" t="inlineStr">
        <is>
          <t>Batata</t>
        </is>
      </c>
      <c r="G2382" s="13" t="inlineStr">
        <is>
          <t>Cultura Autorizada na Bula</t>
        </is>
      </c>
      <c r="H2382" s="13" t="inlineStr">
        <is>
          <t>100 a 300 L/ha</t>
        </is>
      </c>
      <c r="I2382" s="13" t="inlineStr">
        <is>
          <t>20 a 40 L/ha</t>
        </is>
      </c>
      <c r="J2382" s="13" t="inlineStr">
        <is>
          <t>20 dias</t>
        </is>
      </c>
    </row>
    <row r="2383" ht="22" customHeight="1">
      <c r="A2383" s="6" t="inlineStr">
        <is>
          <t>CUL-2379</t>
        </is>
      </c>
      <c r="B2383" s="5" t="n">
        <v>470</v>
      </c>
      <c r="C2383" s="7" t="inlineStr">
        <is>
          <t>Nº 23922</t>
        </is>
      </c>
      <c r="D2383" s="8" t="inlineStr">
        <is>
          <t>GRASIDIM FULL</t>
        </is>
      </c>
      <c r="E2383" s="7" t="inlineStr">
        <is>
          <t>Pulverização Agrícola Conforme Bula</t>
        </is>
      </c>
      <c r="F2383" s="7" t="inlineStr">
        <is>
          <t>Mandioca</t>
        </is>
      </c>
      <c r="G2383" s="7" t="inlineStr">
        <is>
          <t>Cultura Autorizada na Bula</t>
        </is>
      </c>
      <c r="H2383" s="7" t="inlineStr">
        <is>
          <t>100 a 300 L/ha</t>
        </is>
      </c>
      <c r="I2383" s="7" t="inlineStr">
        <is>
          <t>20 a 40 L/ha</t>
        </is>
      </c>
      <c r="J2383" s="7" t="inlineStr">
        <is>
          <t>90 dias</t>
        </is>
      </c>
    </row>
    <row r="2384" ht="22" customHeight="1">
      <c r="A2384" s="12" t="inlineStr">
        <is>
          <t>CUL-2380</t>
        </is>
      </c>
      <c r="B2384" s="11" t="n">
        <v>470</v>
      </c>
      <c r="C2384" s="13" t="inlineStr">
        <is>
          <t>Nº 23922</t>
        </is>
      </c>
      <c r="D2384" s="14" t="inlineStr">
        <is>
          <t>GRASIDIM FULL</t>
        </is>
      </c>
      <c r="E2384" s="13" t="inlineStr">
        <is>
          <t>Pulverização Agrícola Conforme Bula</t>
        </is>
      </c>
      <c r="F2384" s="13" t="inlineStr">
        <is>
          <t>Tomate</t>
        </is>
      </c>
      <c r="G2384" s="13" t="inlineStr">
        <is>
          <t>Cultura Autorizada na Bula</t>
        </is>
      </c>
      <c r="H2384" s="13" t="inlineStr">
        <is>
          <t>100 a 300 L/ha</t>
        </is>
      </c>
      <c r="I2384" s="13" t="inlineStr">
        <is>
          <t>20 a 40 L/ha</t>
        </is>
      </c>
      <c r="J2384" s="13" t="inlineStr">
        <is>
          <t>20 dias</t>
        </is>
      </c>
    </row>
    <row r="2385" ht="22" customHeight="1">
      <c r="A2385" s="6" t="inlineStr">
        <is>
          <t>CUL-2381</t>
        </is>
      </c>
      <c r="B2385" s="5" t="n">
        <v>471</v>
      </c>
      <c r="C2385" s="7" t="inlineStr">
        <is>
          <t>Nº 31522</t>
        </is>
      </c>
      <c r="D2385" s="8" t="inlineStr">
        <is>
          <t>METOMY 900</t>
        </is>
      </c>
      <c r="E2385" s="7" t="inlineStr">
        <is>
          <t>Pulverização Agrícola Conforme Bula</t>
        </is>
      </c>
      <c r="F2385" s="7" t="inlineStr">
        <is>
          <t>Soja</t>
        </is>
      </c>
      <c r="G2385" s="7" t="inlineStr">
        <is>
          <t>Cultura Autorizada na Bula</t>
        </is>
      </c>
      <c r="H2385" s="7" t="inlineStr">
        <is>
          <t>100 a 300 L/ha</t>
        </is>
      </c>
      <c r="I2385" s="7" t="inlineStr">
        <is>
          <t>20 a 40 L/ha</t>
        </is>
      </c>
      <c r="J2385" s="7" t="inlineStr">
        <is>
          <t>14 dias</t>
        </is>
      </c>
    </row>
    <row r="2386" ht="22" customHeight="1">
      <c r="A2386" s="12" t="inlineStr">
        <is>
          <t>CUL-2382</t>
        </is>
      </c>
      <c r="B2386" s="11" t="n">
        <v>471</v>
      </c>
      <c r="C2386" s="13" t="inlineStr">
        <is>
          <t>Nº 31522</t>
        </is>
      </c>
      <c r="D2386" s="14" t="inlineStr">
        <is>
          <t>METOMY 900</t>
        </is>
      </c>
      <c r="E2386" s="13" t="inlineStr">
        <is>
          <t>Pulverização Agrícola Conforme Bula</t>
        </is>
      </c>
      <c r="F2386" s="13" t="inlineStr">
        <is>
          <t>Milho</t>
        </is>
      </c>
      <c r="G2386" s="13" t="inlineStr">
        <is>
          <t>Cultura Autorizada na Bula</t>
        </is>
      </c>
      <c r="H2386" s="13" t="inlineStr">
        <is>
          <t>100 a 300 L/ha</t>
        </is>
      </c>
      <c r="I2386" s="13" t="inlineStr">
        <is>
          <t>20 a 40 L/ha</t>
        </is>
      </c>
      <c r="J2386" s="13" t="inlineStr">
        <is>
          <t>14 dias</t>
        </is>
      </c>
    </row>
    <row r="2387" ht="22" customHeight="1">
      <c r="A2387" s="6" t="inlineStr">
        <is>
          <t>CUL-2383</t>
        </is>
      </c>
      <c r="B2387" s="5" t="n">
        <v>471</v>
      </c>
      <c r="C2387" s="7" t="inlineStr">
        <is>
          <t>Nº 31522</t>
        </is>
      </c>
      <c r="D2387" s="8" t="inlineStr">
        <is>
          <t>METOMY 900</t>
        </is>
      </c>
      <c r="E2387" s="7" t="inlineStr">
        <is>
          <t>Pulverização Agrícola Conforme Bula</t>
        </is>
      </c>
      <c r="F2387" s="7" t="inlineStr">
        <is>
          <t>Algodão</t>
        </is>
      </c>
      <c r="G2387" s="7" t="inlineStr">
        <is>
          <t>Cultura Autorizada na Bula</t>
        </is>
      </c>
      <c r="H2387" s="7" t="inlineStr">
        <is>
          <t>100 a 300 L/ha</t>
        </is>
      </c>
      <c r="I2387" s="7" t="inlineStr">
        <is>
          <t>20 a 40 L/ha</t>
        </is>
      </c>
      <c r="J2387" s="7" t="inlineStr">
        <is>
          <t>14 dias</t>
        </is>
      </c>
    </row>
    <row r="2388" ht="22" customHeight="1">
      <c r="A2388" s="12" t="inlineStr">
        <is>
          <t>CUL-2384</t>
        </is>
      </c>
      <c r="B2388" s="11" t="n">
        <v>471</v>
      </c>
      <c r="C2388" s="13" t="inlineStr">
        <is>
          <t>Nº 31522</t>
        </is>
      </c>
      <c r="D2388" s="14" t="inlineStr">
        <is>
          <t>METOMY 900</t>
        </is>
      </c>
      <c r="E2388" s="13" t="inlineStr">
        <is>
          <t>Pulverização Agrícola Conforme Bula</t>
        </is>
      </c>
      <c r="F2388" s="13" t="inlineStr">
        <is>
          <t>Trigo</t>
        </is>
      </c>
      <c r="G2388" s="13" t="inlineStr">
        <is>
          <t>Cultura Autorizada na Bula</t>
        </is>
      </c>
      <c r="H2388" s="13" t="inlineStr">
        <is>
          <t>100 a 300 L/ha</t>
        </is>
      </c>
      <c r="I2388" s="13" t="inlineStr">
        <is>
          <t>20 a 40 L/ha</t>
        </is>
      </c>
      <c r="J2388" s="13" t="inlineStr">
        <is>
          <t>14 dias</t>
        </is>
      </c>
    </row>
    <row r="2389" ht="22" customHeight="1">
      <c r="A2389" s="6" t="inlineStr">
        <is>
          <t>CUL-2385</t>
        </is>
      </c>
      <c r="B2389" s="5" t="n">
        <v>471</v>
      </c>
      <c r="C2389" s="7" t="inlineStr">
        <is>
          <t>Nº 31522</t>
        </is>
      </c>
      <c r="D2389" s="8" t="inlineStr">
        <is>
          <t>METOMY 900</t>
        </is>
      </c>
      <c r="E2389" s="7" t="inlineStr">
        <is>
          <t>Pulverização Agrícola Conforme Bula</t>
        </is>
      </c>
      <c r="F2389" s="7" t="inlineStr">
        <is>
          <t>Batata</t>
        </is>
      </c>
      <c r="G2389" s="7" t="inlineStr">
        <is>
          <t>Cultura Autorizada na Bula</t>
        </is>
      </c>
      <c r="H2389" s="7" t="inlineStr">
        <is>
          <t>100 a 300 L/ha</t>
        </is>
      </c>
      <c r="I2389" s="7" t="inlineStr">
        <is>
          <t>20 a 40 L/ha</t>
        </is>
      </c>
      <c r="J2389" s="7" t="inlineStr">
        <is>
          <t>14 dias</t>
        </is>
      </c>
    </row>
    <row r="2390" ht="22" customHeight="1">
      <c r="A2390" s="12" t="inlineStr">
        <is>
          <t>CUL-2386</t>
        </is>
      </c>
      <c r="B2390" s="11" t="n">
        <v>471</v>
      </c>
      <c r="C2390" s="13" t="inlineStr">
        <is>
          <t>Nº 31522</t>
        </is>
      </c>
      <c r="D2390" s="14" t="inlineStr">
        <is>
          <t>METOMY 900</t>
        </is>
      </c>
      <c r="E2390" s="13" t="inlineStr">
        <is>
          <t>Pulverização Agrícola Conforme Bula</t>
        </is>
      </c>
      <c r="F2390" s="13" t="inlineStr">
        <is>
          <t>Tomate</t>
        </is>
      </c>
      <c r="G2390" s="13" t="inlineStr">
        <is>
          <t>Cultura Autorizada na Bula</t>
        </is>
      </c>
      <c r="H2390" s="13" t="inlineStr">
        <is>
          <t>100 a 300 L/ha</t>
        </is>
      </c>
      <c r="I2390" s="13" t="inlineStr">
        <is>
          <t>20 a 40 L/ha</t>
        </is>
      </c>
      <c r="J2390" s="13" t="inlineStr">
        <is>
          <t>3 dias</t>
        </is>
      </c>
    </row>
    <row r="2391" ht="22" customHeight="1">
      <c r="A2391" s="6" t="inlineStr">
        <is>
          <t>CUL-2387</t>
        </is>
      </c>
      <c r="B2391" s="5" t="n">
        <v>472</v>
      </c>
      <c r="C2391" s="7" t="inlineStr">
        <is>
          <t>SIPEAGRO (UF-XXXXX)</t>
        </is>
      </c>
      <c r="D2391" s="8" t="inlineStr">
        <is>
          <t>BORO ULEXITA (TON) (AGENCIADA)</t>
        </is>
      </c>
      <c r="E2391" s="7" t="inlineStr">
        <is>
          <t>Pulverização Agrícola Conforme Bula</t>
        </is>
      </c>
      <c r="F2391" s="7" t="inlineStr">
        <is>
          <t>Grandes Culturas, Perenes e Pastagens</t>
        </is>
      </c>
      <c r="G2391" s="7" t="inlineStr">
        <is>
          <t>Cultura Autorizada na Bula</t>
        </is>
      </c>
      <c r="H2391" s="7" t="inlineStr">
        <is>
          <t>100 a 300 L/ha</t>
        </is>
      </c>
      <c r="I2391" s="7" t="inlineStr">
        <is>
          <t>20 a 40 L/ha</t>
        </is>
      </c>
      <c r="J2391" s="7" t="inlineStr">
        <is>
          <t>Isento</t>
        </is>
      </c>
    </row>
    <row r="2392" ht="22" customHeight="1">
      <c r="A2392" s="12" t="inlineStr">
        <is>
          <t>CUL-2388</t>
        </is>
      </c>
      <c r="B2392" s="11" t="n">
        <v>473</v>
      </c>
      <c r="C2392" s="13" t="inlineStr">
        <is>
          <t>SIPEAGRO (UF-XXXXX)</t>
        </is>
      </c>
      <c r="D2392" s="14" t="inlineStr">
        <is>
          <t>BORO ULEXITA (TON) (IMP)</t>
        </is>
      </c>
      <c r="E2392" s="13" t="inlineStr">
        <is>
          <t>Pulverização Agrícola Conforme Bula</t>
        </is>
      </c>
      <c r="F2392" s="13" t="inlineStr">
        <is>
          <t>Grandes Culturas, Perenes e Pastagens</t>
        </is>
      </c>
      <c r="G2392" s="13" t="inlineStr">
        <is>
          <t>Cultura Autorizada na Bula</t>
        </is>
      </c>
      <c r="H2392" s="13" t="inlineStr">
        <is>
          <t>100 a 300 L/ha</t>
        </is>
      </c>
      <c r="I2392" s="13" t="inlineStr">
        <is>
          <t>20 a 40 L/ha</t>
        </is>
      </c>
      <c r="J2392" s="13" t="inlineStr">
        <is>
          <t>Isento</t>
        </is>
      </c>
    </row>
    <row r="2393" ht="22" customHeight="1">
      <c r="A2393" s="6" t="inlineStr">
        <is>
          <t>CUL-2389</t>
        </is>
      </c>
      <c r="B2393" s="5" t="n">
        <v>474</v>
      </c>
      <c r="C2393" s="7" t="inlineStr">
        <is>
          <t>Nº 20920</t>
        </is>
      </c>
      <c r="D2393" s="8" t="inlineStr">
        <is>
          <t>TERBUTILAZINA 500 (PRINCIPIO ATIVO)</t>
        </is>
      </c>
      <c r="E2393" s="7" t="inlineStr">
        <is>
          <t>Uso Exclusivamente Industrial (Formulação)</t>
        </is>
      </c>
      <c r="F2393" s="7" t="inlineStr">
        <is>
          <t>Não Aplicável (Proibido uso direto na lavoura)</t>
        </is>
      </c>
      <c r="G2393" s="7" t="inlineStr">
        <is>
          <t>Insumo Industrial</t>
        </is>
      </c>
      <c r="H2393" s="7" t="inlineStr">
        <is>
          <t>N/A</t>
        </is>
      </c>
      <c r="I2393" s="7" t="inlineStr">
        <is>
          <t>N/A</t>
        </is>
      </c>
      <c r="J2393" s="7" t="inlineStr">
        <is>
          <t>N/A (Insumo Industrial)</t>
        </is>
      </c>
    </row>
    <row r="2394" ht="22" customHeight="1">
      <c r="A2394" s="12" t="inlineStr">
        <is>
          <t>CUL-2390</t>
        </is>
      </c>
      <c r="B2394" s="11" t="n">
        <v>475</v>
      </c>
      <c r="C2394" s="13" t="inlineStr">
        <is>
          <t>Nº 3623</t>
        </is>
      </c>
      <c r="D2394" s="14" t="inlineStr">
        <is>
          <t>SUNGAIN PLUS 4X5(IMP)</t>
        </is>
      </c>
      <c r="E2394" s="13" t="inlineStr">
        <is>
          <t>Pulverização Agrícola Conforme Bula</t>
        </is>
      </c>
      <c r="F2394" s="13" t="inlineStr">
        <is>
          <t>Soja (Pré-Plantio)</t>
        </is>
      </c>
      <c r="G2394" s="13" t="inlineStr">
        <is>
          <t>Cultura Autorizada na Bula</t>
        </is>
      </c>
      <c r="H2394" s="13" t="inlineStr">
        <is>
          <t>100 a 300 L/ha</t>
        </is>
      </c>
      <c r="I2394" s="13" t="inlineStr">
        <is>
          <t>20 a 40 L/ha</t>
        </is>
      </c>
      <c r="J2394" s="13" t="inlineStr">
        <is>
          <t>N/D</t>
        </is>
      </c>
    </row>
    <row r="2395" ht="22" customHeight="1">
      <c r="A2395" s="6" t="inlineStr">
        <is>
          <t>CUL-2391</t>
        </is>
      </c>
      <c r="B2395" s="5" t="n">
        <v>475</v>
      </c>
      <c r="C2395" s="7" t="inlineStr">
        <is>
          <t>Nº 3623</t>
        </is>
      </c>
      <c r="D2395" s="8" t="inlineStr">
        <is>
          <t>SUNGAIN PLUS 4X5(IMP)</t>
        </is>
      </c>
      <c r="E2395" s="7" t="inlineStr">
        <is>
          <t>Pulverização Agrícola Conforme Bula</t>
        </is>
      </c>
      <c r="F2395" s="7" t="inlineStr">
        <is>
          <t>Algodão</t>
        </is>
      </c>
      <c r="G2395" s="7" t="inlineStr">
        <is>
          <t>Cultura Autorizada na Bula</t>
        </is>
      </c>
      <c r="H2395" s="7" t="inlineStr">
        <is>
          <t>100 a 300 L/ha</t>
        </is>
      </c>
      <c r="I2395" s="7" t="inlineStr">
        <is>
          <t>20 a 40 L/ha</t>
        </is>
      </c>
      <c r="J2395" s="7" t="inlineStr">
        <is>
          <t>90 dias</t>
        </is>
      </c>
    </row>
    <row r="2396" ht="22" customHeight="1">
      <c r="A2396" s="12" t="inlineStr">
        <is>
          <t>CUL-2392</t>
        </is>
      </c>
      <c r="B2396" s="11" t="n">
        <v>475</v>
      </c>
      <c r="C2396" s="13" t="inlineStr">
        <is>
          <t>Nº 3623</t>
        </is>
      </c>
      <c r="D2396" s="14" t="inlineStr">
        <is>
          <t>SUNGAIN PLUS 4X5(IMP)</t>
        </is>
      </c>
      <c r="E2396" s="13" t="inlineStr">
        <is>
          <t>Pulverização Agrícola Conforme Bula</t>
        </is>
      </c>
      <c r="F2396" s="13" t="inlineStr">
        <is>
          <t>Cana-de-açúcar</t>
        </is>
      </c>
      <c r="G2396" s="13" t="inlineStr">
        <is>
          <t>Cultura Autorizada na Bula</t>
        </is>
      </c>
      <c r="H2396" s="13" t="inlineStr">
        <is>
          <t>100 a 300 L/ha</t>
        </is>
      </c>
      <c r="I2396" s="13" t="inlineStr">
        <is>
          <t>20 a 40 L/ha</t>
        </is>
      </c>
      <c r="J2396" s="13" t="inlineStr">
        <is>
          <t>85 dias</t>
        </is>
      </c>
    </row>
    <row r="2397" ht="22" customHeight="1">
      <c r="A2397" s="6" t="inlineStr">
        <is>
          <t>CUL-2393</t>
        </is>
      </c>
      <c r="B2397" s="5" t="n">
        <v>475</v>
      </c>
      <c r="C2397" s="7" t="inlineStr">
        <is>
          <t>Nº 3623</t>
        </is>
      </c>
      <c r="D2397" s="8" t="inlineStr">
        <is>
          <t>SUNGAIN PLUS 4X5(IMP)</t>
        </is>
      </c>
      <c r="E2397" s="7" t="inlineStr">
        <is>
          <t>Pulverização Agrícola Conforme Bula</t>
        </is>
      </c>
      <c r="F2397" s="7" t="inlineStr">
        <is>
          <t>Café</t>
        </is>
      </c>
      <c r="G2397" s="7" t="inlineStr">
        <is>
          <t>Cultura Autorizada na Bula</t>
        </is>
      </c>
      <c r="H2397" s="7" t="inlineStr">
        <is>
          <t>100 a 300 L/ha</t>
        </is>
      </c>
      <c r="I2397" s="7" t="inlineStr">
        <is>
          <t>20 a 40 L/ha</t>
        </is>
      </c>
      <c r="J2397" s="7" t="inlineStr">
        <is>
          <t>15 dias</t>
        </is>
      </c>
    </row>
    <row r="2398" ht="22" customHeight="1">
      <c r="A2398" s="12" t="inlineStr">
        <is>
          <t>CUL-2394</t>
        </is>
      </c>
      <c r="B2398" s="11" t="n">
        <v>475</v>
      </c>
      <c r="C2398" s="13" t="inlineStr">
        <is>
          <t>Nº 3623</t>
        </is>
      </c>
      <c r="D2398" s="14" t="inlineStr">
        <is>
          <t>SUNGAIN PLUS 4X5(IMP)</t>
        </is>
      </c>
      <c r="E2398" s="13" t="inlineStr">
        <is>
          <t>Pulverização Agrícola Conforme Bula</t>
        </is>
      </c>
      <c r="F2398" s="13" t="inlineStr">
        <is>
          <t>Citros</t>
        </is>
      </c>
      <c r="G2398" s="13" t="inlineStr">
        <is>
          <t>Cultura Autorizada na Bula</t>
        </is>
      </c>
      <c r="H2398" s="13" t="inlineStr">
        <is>
          <t>100 a 300 L/ha</t>
        </is>
      </c>
      <c r="I2398" s="13" t="inlineStr">
        <is>
          <t>20 a 40 L/ha</t>
        </is>
      </c>
      <c r="J2398" s="13" t="inlineStr">
        <is>
          <t>N/D</t>
        </is>
      </c>
    </row>
    <row r="2399" ht="22" customHeight="1">
      <c r="A2399" s="6" t="inlineStr">
        <is>
          <t>CUL-2395</t>
        </is>
      </c>
      <c r="B2399" s="5" t="n">
        <v>475</v>
      </c>
      <c r="C2399" s="7" t="inlineStr">
        <is>
          <t>Nº 3623</t>
        </is>
      </c>
      <c r="D2399" s="8" t="inlineStr">
        <is>
          <t>SUNGAIN PLUS 4X5(IMP)</t>
        </is>
      </c>
      <c r="E2399" s="7" t="inlineStr">
        <is>
          <t>Pulverização Agrícola Conforme Bula</t>
        </is>
      </c>
      <c r="F2399" s="7" t="inlineStr">
        <is>
          <t>Feijão</t>
        </is>
      </c>
      <c r="G2399" s="7" t="inlineStr">
        <is>
          <t>Cultura Autorizada na Bula</t>
        </is>
      </c>
      <c r="H2399" s="7" t="inlineStr">
        <is>
          <t>100 a 300 L/ha</t>
        </is>
      </c>
      <c r="I2399" s="7" t="inlineStr">
        <is>
          <t>20 a 40 L/ha</t>
        </is>
      </c>
      <c r="J2399" s="7" t="inlineStr">
        <is>
          <t>N/D</t>
        </is>
      </c>
    </row>
    <row r="2400" ht="22" customHeight="1">
      <c r="A2400" s="12" t="inlineStr">
        <is>
          <t>CUL-2396</t>
        </is>
      </c>
      <c r="B2400" s="11" t="n">
        <v>476</v>
      </c>
      <c r="C2400" s="13" t="inlineStr">
        <is>
          <t>Nº 32224</t>
        </is>
      </c>
      <c r="D2400" s="14" t="inlineStr">
        <is>
          <t>PYRIPROXYFEN 100 SINO-AGRI</t>
        </is>
      </c>
      <c r="E2400" s="13" t="inlineStr">
        <is>
          <t>Pulverização Agrícola Conforme Bula</t>
        </is>
      </c>
      <c r="F2400" s="13" t="inlineStr">
        <is>
          <t>Soja</t>
        </is>
      </c>
      <c r="G2400" s="13" t="inlineStr">
        <is>
          <t>Cultura Autorizada na Bula</t>
        </is>
      </c>
      <c r="H2400" s="13" t="inlineStr">
        <is>
          <t>100 a 300 L/ha</t>
        </is>
      </c>
      <c r="I2400" s="13" t="inlineStr">
        <is>
          <t>20 a 40 L/ha</t>
        </is>
      </c>
      <c r="J2400" s="13" t="inlineStr">
        <is>
          <t>30 dias</t>
        </is>
      </c>
    </row>
    <row r="2401" ht="22" customHeight="1">
      <c r="A2401" s="6" t="inlineStr">
        <is>
          <t>CUL-2397</t>
        </is>
      </c>
      <c r="B2401" s="5" t="n">
        <v>476</v>
      </c>
      <c r="C2401" s="7" t="inlineStr">
        <is>
          <t>Nº 32224</t>
        </is>
      </c>
      <c r="D2401" s="8" t="inlineStr">
        <is>
          <t>PYRIPROXYFEN 100 SINO-AGRI</t>
        </is>
      </c>
      <c r="E2401" s="7" t="inlineStr">
        <is>
          <t>Pulverização Agrícola Conforme Bula</t>
        </is>
      </c>
      <c r="F2401" s="7" t="inlineStr">
        <is>
          <t>Algodão</t>
        </is>
      </c>
      <c r="G2401" s="7" t="inlineStr">
        <is>
          <t>Cultura Autorizada na Bula</t>
        </is>
      </c>
      <c r="H2401" s="7" t="inlineStr">
        <is>
          <t>100 a 300 L/ha</t>
        </is>
      </c>
      <c r="I2401" s="7" t="inlineStr">
        <is>
          <t>20 a 40 L/ha</t>
        </is>
      </c>
      <c r="J2401" s="7" t="inlineStr">
        <is>
          <t>14 dias</t>
        </is>
      </c>
    </row>
    <row r="2402" ht="22" customHeight="1">
      <c r="A2402" s="12" t="inlineStr">
        <is>
          <t>CUL-2398</t>
        </is>
      </c>
      <c r="B2402" s="11" t="n">
        <v>476</v>
      </c>
      <c r="C2402" s="13" t="inlineStr">
        <is>
          <t>Nº 32224</t>
        </is>
      </c>
      <c r="D2402" s="14" t="inlineStr">
        <is>
          <t>PYRIPROXYFEN 100 SINO-AGRI</t>
        </is>
      </c>
      <c r="E2402" s="13" t="inlineStr">
        <is>
          <t>Pulverização Agrícola Conforme Bula</t>
        </is>
      </c>
      <c r="F2402" s="13" t="inlineStr">
        <is>
          <t>Feijão</t>
        </is>
      </c>
      <c r="G2402" s="13" t="inlineStr">
        <is>
          <t>Cultura Autorizada na Bula</t>
        </is>
      </c>
      <c r="H2402" s="13" t="inlineStr">
        <is>
          <t>100 a 300 L/ha</t>
        </is>
      </c>
      <c r="I2402" s="13" t="inlineStr">
        <is>
          <t>20 a 40 L/ha</t>
        </is>
      </c>
      <c r="J2402" s="13" t="inlineStr">
        <is>
          <t>14 dias</t>
        </is>
      </c>
    </row>
    <row r="2403" ht="22" customHeight="1">
      <c r="A2403" s="6" t="inlineStr">
        <is>
          <t>CUL-2399</t>
        </is>
      </c>
      <c r="B2403" s="5" t="n">
        <v>476</v>
      </c>
      <c r="C2403" s="7" t="inlineStr">
        <is>
          <t>Nº 32224</t>
        </is>
      </c>
      <c r="D2403" s="8" t="inlineStr">
        <is>
          <t>PYRIPROXYFEN 100 SINO-AGRI</t>
        </is>
      </c>
      <c r="E2403" s="7" t="inlineStr">
        <is>
          <t>Pulverização Agrícola Conforme Bula</t>
        </is>
      </c>
      <c r="F2403" s="7" t="inlineStr">
        <is>
          <t>Citros</t>
        </is>
      </c>
      <c r="G2403" s="7" t="inlineStr">
        <is>
          <t>Cultura Autorizada na Bula</t>
        </is>
      </c>
      <c r="H2403" s="7" t="inlineStr">
        <is>
          <t>100 a 300 L/ha</t>
        </is>
      </c>
      <c r="I2403" s="7" t="inlineStr">
        <is>
          <t>20 a 40 L/ha</t>
        </is>
      </c>
      <c r="J2403" s="7" t="inlineStr">
        <is>
          <t>14 dias</t>
        </is>
      </c>
    </row>
    <row r="2404" ht="22" customHeight="1">
      <c r="A2404" s="12" t="inlineStr">
        <is>
          <t>CUL-2400</t>
        </is>
      </c>
      <c r="B2404" s="11" t="n">
        <v>476</v>
      </c>
      <c r="C2404" s="13" t="inlineStr">
        <is>
          <t>Nº 32224</t>
        </is>
      </c>
      <c r="D2404" s="14" t="inlineStr">
        <is>
          <t>PYRIPROXYFEN 100 SINO-AGRI</t>
        </is>
      </c>
      <c r="E2404" s="13" t="inlineStr">
        <is>
          <t>Pulverização Agrícola Conforme Bula</t>
        </is>
      </c>
      <c r="F2404" s="13" t="inlineStr">
        <is>
          <t>Melão</t>
        </is>
      </c>
      <c r="G2404" s="13" t="inlineStr">
        <is>
          <t>Cultura Autorizada na Bula</t>
        </is>
      </c>
      <c r="H2404" s="13" t="inlineStr">
        <is>
          <t>100 a 300 L/ha</t>
        </is>
      </c>
      <c r="I2404" s="13" t="inlineStr">
        <is>
          <t>20 a 40 L/ha</t>
        </is>
      </c>
      <c r="J2404" s="13" t="inlineStr">
        <is>
          <t>7 dias</t>
        </is>
      </c>
    </row>
    <row r="2405" ht="22" customHeight="1">
      <c r="A2405" s="6" t="inlineStr">
        <is>
          <t>CUL-2401</t>
        </is>
      </c>
      <c r="B2405" s="5" t="n">
        <v>476</v>
      </c>
      <c r="C2405" s="7" t="inlineStr">
        <is>
          <t>Nº 32224</t>
        </is>
      </c>
      <c r="D2405" s="8" t="inlineStr">
        <is>
          <t>PYRIPROXYFEN 100 SINO-AGRI</t>
        </is>
      </c>
      <c r="E2405" s="7" t="inlineStr">
        <is>
          <t>Pulverização Agrícola Conforme Bula</t>
        </is>
      </c>
      <c r="F2405" s="7" t="inlineStr">
        <is>
          <t>Tomate</t>
        </is>
      </c>
      <c r="G2405" s="7" t="inlineStr">
        <is>
          <t>Cultura Autorizada na Bula</t>
        </is>
      </c>
      <c r="H2405" s="7" t="inlineStr">
        <is>
          <t>100 a 300 L/ha</t>
        </is>
      </c>
      <c r="I2405" s="7" t="inlineStr">
        <is>
          <t>20 a 40 L/ha</t>
        </is>
      </c>
      <c r="J2405" s="7" t="inlineStr">
        <is>
          <t>7 dias</t>
        </is>
      </c>
    </row>
    <row r="2406" ht="22" customHeight="1">
      <c r="A2406" s="12" t="inlineStr">
        <is>
          <t>CUL-2402</t>
        </is>
      </c>
      <c r="B2406" s="11" t="n">
        <v>477</v>
      </c>
      <c r="C2406" s="13" t="inlineStr">
        <is>
          <t>Nº 1924</t>
        </is>
      </c>
      <c r="D2406" s="14" t="inlineStr">
        <is>
          <t>FORCEPS</t>
        </is>
      </c>
      <c r="E2406" s="13" t="inlineStr">
        <is>
          <t>Pulverização Agrícola Conforme Bula</t>
        </is>
      </c>
      <c r="F2406" s="13" t="inlineStr">
        <is>
          <t>Algodão</t>
        </is>
      </c>
      <c r="G2406" s="13" t="inlineStr">
        <is>
          <t>Cultura Autorizada na Bula</t>
        </is>
      </c>
      <c r="H2406" s="13" t="inlineStr">
        <is>
          <t>100 a 300 L/ha</t>
        </is>
      </c>
      <c r="I2406" s="13" t="inlineStr">
        <is>
          <t>20 a 40 L/ha</t>
        </is>
      </c>
      <c r="J2406" s="13" t="inlineStr">
        <is>
          <t>15 dias</t>
        </is>
      </c>
    </row>
    <row r="2407" ht="22" customHeight="1">
      <c r="A2407" s="6" t="inlineStr">
        <is>
          <t>CUL-2403</t>
        </is>
      </c>
      <c r="B2407" s="5" t="n">
        <v>477</v>
      </c>
      <c r="C2407" s="7" t="inlineStr">
        <is>
          <t>Nº 1924</t>
        </is>
      </c>
      <c r="D2407" s="8" t="inlineStr">
        <is>
          <t>FORCEPS</t>
        </is>
      </c>
      <c r="E2407" s="7" t="inlineStr">
        <is>
          <t>Pulverização Agrícola Conforme Bula</t>
        </is>
      </c>
      <c r="F2407" s="7" t="inlineStr">
        <is>
          <t>Soja</t>
        </is>
      </c>
      <c r="G2407" s="7" t="inlineStr">
        <is>
          <t>Cultura Autorizada na Bula</t>
        </is>
      </c>
      <c r="H2407" s="7" t="inlineStr">
        <is>
          <t>100 a 300 L/ha</t>
        </is>
      </c>
      <c r="I2407" s="7" t="inlineStr">
        <is>
          <t>20 a 40 L/ha</t>
        </is>
      </c>
      <c r="J2407" s="7" t="inlineStr">
        <is>
          <t>30 dias</t>
        </is>
      </c>
    </row>
    <row r="2408" ht="22" customHeight="1">
      <c r="A2408" s="12" t="inlineStr">
        <is>
          <t>CUL-2404</t>
        </is>
      </c>
      <c r="B2408" s="11" t="n">
        <v>477</v>
      </c>
      <c r="C2408" s="13" t="inlineStr">
        <is>
          <t>Nº 1924</t>
        </is>
      </c>
      <c r="D2408" s="14" t="inlineStr">
        <is>
          <t>FORCEPS</t>
        </is>
      </c>
      <c r="E2408" s="13" t="inlineStr">
        <is>
          <t>Pulverização Agrícola Conforme Bula</t>
        </is>
      </c>
      <c r="F2408" s="13" t="inlineStr">
        <is>
          <t>Milho</t>
        </is>
      </c>
      <c r="G2408" s="13" t="inlineStr">
        <is>
          <t>Cultura Autorizada na Bula</t>
        </is>
      </c>
      <c r="H2408" s="13" t="inlineStr">
        <is>
          <t>100 a 300 L/ha</t>
        </is>
      </c>
      <c r="I2408" s="13" t="inlineStr">
        <is>
          <t>20 a 40 L/ha</t>
        </is>
      </c>
      <c r="J2408" s="13" t="inlineStr">
        <is>
          <t>30 dias</t>
        </is>
      </c>
    </row>
    <row r="2409" ht="22" customHeight="1">
      <c r="A2409" s="6" t="inlineStr">
        <is>
          <t>CUL-2405</t>
        </is>
      </c>
      <c r="B2409" s="5" t="n">
        <v>477</v>
      </c>
      <c r="C2409" s="7" t="inlineStr">
        <is>
          <t>Nº 1924</t>
        </is>
      </c>
      <c r="D2409" s="8" t="inlineStr">
        <is>
          <t>FORCEPS</t>
        </is>
      </c>
      <c r="E2409" s="7" t="inlineStr">
        <is>
          <t>Pulverização Agrícola Conforme Bula</t>
        </is>
      </c>
      <c r="F2409" s="7" t="inlineStr">
        <is>
          <t>Cana-de-açúcar</t>
        </is>
      </c>
      <c r="G2409" s="7" t="inlineStr">
        <is>
          <t>Cultura Autorizada na Bula</t>
        </is>
      </c>
      <c r="H2409" s="7" t="inlineStr">
        <is>
          <t>100 a 300 L/ha</t>
        </is>
      </c>
      <c r="I2409" s="7" t="inlineStr">
        <is>
          <t>20 a 40 L/ha</t>
        </is>
      </c>
      <c r="J2409" s="7" t="inlineStr">
        <is>
          <t>30 dias</t>
        </is>
      </c>
    </row>
    <row r="2410" ht="22" customHeight="1">
      <c r="A2410" s="12" t="inlineStr">
        <is>
          <t>CUL-2406</t>
        </is>
      </c>
      <c r="B2410" s="11" t="n">
        <v>477</v>
      </c>
      <c r="C2410" s="13" t="inlineStr">
        <is>
          <t>Nº 1924</t>
        </is>
      </c>
      <c r="D2410" s="14" t="inlineStr">
        <is>
          <t>FORCEPS</t>
        </is>
      </c>
      <c r="E2410" s="13" t="inlineStr">
        <is>
          <t>Pulverização Agrícola Conforme Bula</t>
        </is>
      </c>
      <c r="F2410" s="13" t="inlineStr">
        <is>
          <t>Café</t>
        </is>
      </c>
      <c r="G2410" s="13" t="inlineStr">
        <is>
          <t>Cultura Autorizada na Bula</t>
        </is>
      </c>
      <c r="H2410" s="13" t="inlineStr">
        <is>
          <t>100 a 300 L/ha</t>
        </is>
      </c>
      <c r="I2410" s="13" t="inlineStr">
        <is>
          <t>20 a 40 L/ha</t>
        </is>
      </c>
      <c r="J2410" s="13" t="inlineStr">
        <is>
          <t>30 dias</t>
        </is>
      </c>
    </row>
    <row r="2411" ht="22" customHeight="1">
      <c r="A2411" s="6" t="inlineStr">
        <is>
          <t>CUL-2407</t>
        </is>
      </c>
      <c r="B2411" s="5" t="n">
        <v>477</v>
      </c>
      <c r="C2411" s="7" t="inlineStr">
        <is>
          <t>Nº 1924</t>
        </is>
      </c>
      <c r="D2411" s="8" t="inlineStr">
        <is>
          <t>FORCEPS</t>
        </is>
      </c>
      <c r="E2411" s="7" t="inlineStr">
        <is>
          <t>Pulverização Agrícola Conforme Bula</t>
        </is>
      </c>
      <c r="F2411" s="7" t="inlineStr">
        <is>
          <t>Citros</t>
        </is>
      </c>
      <c r="G2411" s="7" t="inlineStr">
        <is>
          <t>Cultura Autorizada na Bula</t>
        </is>
      </c>
      <c r="H2411" s="7" t="inlineStr">
        <is>
          <t>100 a 300 L/ha</t>
        </is>
      </c>
      <c r="I2411" s="7" t="inlineStr">
        <is>
          <t>20 a 40 L/ha</t>
        </is>
      </c>
      <c r="J2411" s="7" t="inlineStr">
        <is>
          <t>7 dias</t>
        </is>
      </c>
    </row>
    <row r="2412" ht="22" customHeight="1">
      <c r="A2412" s="12" t="inlineStr">
        <is>
          <t>CUL-2408</t>
        </is>
      </c>
      <c r="B2412" s="11" t="n">
        <v>477</v>
      </c>
      <c r="C2412" s="13" t="inlineStr">
        <is>
          <t>Nº 1924</t>
        </is>
      </c>
      <c r="D2412" s="14" t="inlineStr">
        <is>
          <t>FORCEPS</t>
        </is>
      </c>
      <c r="E2412" s="13" t="inlineStr">
        <is>
          <t>Pulverização Agrícola Conforme Bula</t>
        </is>
      </c>
      <c r="F2412" s="13" t="inlineStr">
        <is>
          <t>Feijão</t>
        </is>
      </c>
      <c r="G2412" s="13" t="inlineStr">
        <is>
          <t>Cultura Autorizada na Bula</t>
        </is>
      </c>
      <c r="H2412" s="13" t="inlineStr">
        <is>
          <t>100 a 300 L/ha</t>
        </is>
      </c>
      <c r="I2412" s="13" t="inlineStr">
        <is>
          <t>20 a 40 L/ha</t>
        </is>
      </c>
      <c r="J2412" s="13" t="inlineStr">
        <is>
          <t>20 dias</t>
        </is>
      </c>
    </row>
    <row r="2413" ht="22" customHeight="1">
      <c r="A2413" s="6" t="inlineStr">
        <is>
          <t>CUL-2409</t>
        </is>
      </c>
      <c r="B2413" s="5" t="n">
        <v>477</v>
      </c>
      <c r="C2413" s="7" t="inlineStr">
        <is>
          <t>Nº 1924</t>
        </is>
      </c>
      <c r="D2413" s="8" t="inlineStr">
        <is>
          <t>FORCEPS</t>
        </is>
      </c>
      <c r="E2413" s="7" t="inlineStr">
        <is>
          <t>Pulverização Agrícola Conforme Bula</t>
        </is>
      </c>
      <c r="F2413" s="7" t="inlineStr">
        <is>
          <t>Trigo</t>
        </is>
      </c>
      <c r="G2413" s="7" t="inlineStr">
        <is>
          <t>Cultura Autorizada na Bula</t>
        </is>
      </c>
      <c r="H2413" s="7" t="inlineStr">
        <is>
          <t>100 a 300 L/ha</t>
        </is>
      </c>
      <c r="I2413" s="7" t="inlineStr">
        <is>
          <t>20 a 40 L/ha</t>
        </is>
      </c>
      <c r="J2413" s="7" t="inlineStr">
        <is>
          <t>30 dias</t>
        </is>
      </c>
    </row>
    <row r="2414" ht="22" customHeight="1">
      <c r="A2414" s="12" t="inlineStr">
        <is>
          <t>CUL-2410</t>
        </is>
      </c>
      <c r="B2414" s="11" t="n">
        <v>478</v>
      </c>
      <c r="C2414" s="13" t="inlineStr">
        <is>
          <t>VINCULAR MARCA</t>
        </is>
      </c>
      <c r="D2414" s="14" t="inlineStr">
        <is>
          <t>PROCIMIDONA 500 (PRINCIPIO ATIVO)</t>
        </is>
      </c>
      <c r="E2414" s="13" t="inlineStr">
        <is>
          <t>Uso Exclusivamente Industrial (Formulação)</t>
        </is>
      </c>
      <c r="F2414" s="13" t="inlineStr">
        <is>
          <t>Não Aplicável (Proibido uso direto na lavoura)</t>
        </is>
      </c>
      <c r="G2414" s="13" t="inlineStr">
        <is>
          <t>Insumo Industrial</t>
        </is>
      </c>
      <c r="H2414" s="13" t="inlineStr">
        <is>
          <t>N/A</t>
        </is>
      </c>
      <c r="I2414" s="13" t="inlineStr">
        <is>
          <t>N/A</t>
        </is>
      </c>
      <c r="J2414" s="13" t="inlineStr">
        <is>
          <t>N/A (Insumo Industrial)</t>
        </is>
      </c>
    </row>
    <row r="2415" ht="22" customHeight="1">
      <c r="A2415" s="6" t="inlineStr">
        <is>
          <t>CUL-2411</t>
        </is>
      </c>
      <c r="B2415" s="5" t="n">
        <v>479</v>
      </c>
      <c r="C2415" s="7" t="inlineStr">
        <is>
          <t>Nº 19018</t>
        </is>
      </c>
      <c r="D2415" s="8" t="inlineStr">
        <is>
          <t>CARTAGO</t>
        </is>
      </c>
      <c r="E2415" s="7" t="inlineStr">
        <is>
          <t>Pulverização Agrícola Conforme Bula</t>
        </is>
      </c>
      <c r="F2415" s="7" t="inlineStr">
        <is>
          <t>Soja</t>
        </is>
      </c>
      <c r="G2415" s="7" t="inlineStr">
        <is>
          <t>Cultura Autorizada na Bula</t>
        </is>
      </c>
      <c r="H2415" s="7" t="inlineStr">
        <is>
          <t>100 a 300 L/ha</t>
        </is>
      </c>
      <c r="I2415" s="7" t="inlineStr">
        <is>
          <t>20 a 40 L/ha</t>
        </is>
      </c>
      <c r="J2415" s="7" t="inlineStr">
        <is>
          <t>60 dias</t>
        </is>
      </c>
    </row>
    <row r="2416" ht="22" customHeight="1">
      <c r="A2416" s="12" t="inlineStr">
        <is>
          <t>CUL-2412</t>
        </is>
      </c>
      <c r="B2416" s="11" t="n">
        <v>479</v>
      </c>
      <c r="C2416" s="13" t="inlineStr">
        <is>
          <t>Nº 19018</t>
        </is>
      </c>
      <c r="D2416" s="14" t="inlineStr">
        <is>
          <t>CARTAGO</t>
        </is>
      </c>
      <c r="E2416" s="13" t="inlineStr">
        <is>
          <t>Pulverização Agrícola Conforme Bula</t>
        </is>
      </c>
      <c r="F2416" s="13" t="inlineStr">
        <is>
          <t>Algodão</t>
        </is>
      </c>
      <c r="G2416" s="13" t="inlineStr">
        <is>
          <t>Cultura Autorizada na Bula</t>
        </is>
      </c>
      <c r="H2416" s="13" t="inlineStr">
        <is>
          <t>100 a 300 L/ha</t>
        </is>
      </c>
      <c r="I2416" s="13" t="inlineStr">
        <is>
          <t>20 a 40 L/ha</t>
        </is>
      </c>
      <c r="J2416" s="13" t="inlineStr">
        <is>
          <t>58 dias</t>
        </is>
      </c>
    </row>
    <row r="2417" ht="22" customHeight="1">
      <c r="A2417" s="6" t="inlineStr">
        <is>
          <t>CUL-2413</t>
        </is>
      </c>
      <c r="B2417" s="5" t="n">
        <v>479</v>
      </c>
      <c r="C2417" s="7" t="inlineStr">
        <is>
          <t>Nº 19018</t>
        </is>
      </c>
      <c r="D2417" s="8" t="inlineStr">
        <is>
          <t>CARTAGO</t>
        </is>
      </c>
      <c r="E2417" s="7" t="inlineStr">
        <is>
          <t>Pulverização Agrícola Conforme Bula</t>
        </is>
      </c>
      <c r="F2417" s="7" t="inlineStr">
        <is>
          <t>Feijão</t>
        </is>
      </c>
      <c r="G2417" s="7" t="inlineStr">
        <is>
          <t>Cultura Autorizada na Bula</t>
        </is>
      </c>
      <c r="H2417" s="7" t="inlineStr">
        <is>
          <t>100 a 300 L/ha</t>
        </is>
      </c>
      <c r="I2417" s="7" t="inlineStr">
        <is>
          <t>20 a 40 L/ha</t>
        </is>
      </c>
      <c r="J2417" s="7" t="inlineStr">
        <is>
          <t>40 dias</t>
        </is>
      </c>
    </row>
    <row r="2418" ht="22" customHeight="1">
      <c r="A2418" s="12" t="inlineStr">
        <is>
          <t>CUL-2414</t>
        </is>
      </c>
      <c r="B2418" s="11" t="n">
        <v>479</v>
      </c>
      <c r="C2418" s="13" t="inlineStr">
        <is>
          <t>Nº 19018</t>
        </is>
      </c>
      <c r="D2418" s="14" t="inlineStr">
        <is>
          <t>CARTAGO</t>
        </is>
      </c>
      <c r="E2418" s="13" t="inlineStr">
        <is>
          <t>Pulverização Agrícola Conforme Bula</t>
        </is>
      </c>
      <c r="F2418" s="13" t="inlineStr">
        <is>
          <t>Café</t>
        </is>
      </c>
      <c r="G2418" s="13" t="inlineStr">
        <is>
          <t>Cultura Autorizada na Bula</t>
        </is>
      </c>
      <c r="H2418" s="13" t="inlineStr">
        <is>
          <t>100 a 300 L/ha</t>
        </is>
      </c>
      <c r="I2418" s="13" t="inlineStr">
        <is>
          <t>20 a 40 L/ha</t>
        </is>
      </c>
      <c r="J2418" s="13" t="inlineStr">
        <is>
          <t>14 dias</t>
        </is>
      </c>
    </row>
    <row r="2419" ht="22" customHeight="1">
      <c r="A2419" s="6" t="inlineStr">
        <is>
          <t>CUL-2415</t>
        </is>
      </c>
      <c r="B2419" s="5" t="n">
        <v>479</v>
      </c>
      <c r="C2419" s="7" t="inlineStr">
        <is>
          <t>Nº 19018</t>
        </is>
      </c>
      <c r="D2419" s="8" t="inlineStr">
        <is>
          <t>CARTAGO</t>
        </is>
      </c>
      <c r="E2419" s="7" t="inlineStr">
        <is>
          <t>Pulverização Agrícola Conforme Bula</t>
        </is>
      </c>
      <c r="F2419" s="7" t="inlineStr">
        <is>
          <t>Batata</t>
        </is>
      </c>
      <c r="G2419" s="7" t="inlineStr">
        <is>
          <t>Cultura Autorizada na Bula</t>
        </is>
      </c>
      <c r="H2419" s="7" t="inlineStr">
        <is>
          <t>100 a 300 L/ha</t>
        </is>
      </c>
      <c r="I2419" s="7" t="inlineStr">
        <is>
          <t>20 a 40 L/ha</t>
        </is>
      </c>
      <c r="J2419" s="7" t="inlineStr">
        <is>
          <t>20 dias</t>
        </is>
      </c>
    </row>
    <row r="2420" ht="22" customHeight="1">
      <c r="A2420" s="12" t="inlineStr">
        <is>
          <t>CUL-2416</t>
        </is>
      </c>
      <c r="B2420" s="11" t="n">
        <v>479</v>
      </c>
      <c r="C2420" s="13" t="inlineStr">
        <is>
          <t>Nº 19018</t>
        </is>
      </c>
      <c r="D2420" s="14" t="inlineStr">
        <is>
          <t>CARTAGO</t>
        </is>
      </c>
      <c r="E2420" s="13" t="inlineStr">
        <is>
          <t>Pulverização Agrícola Conforme Bula</t>
        </is>
      </c>
      <c r="F2420" s="13" t="inlineStr">
        <is>
          <t>Mandioca</t>
        </is>
      </c>
      <c r="G2420" s="13" t="inlineStr">
        <is>
          <t>Cultura Autorizada na Bula</t>
        </is>
      </c>
      <c r="H2420" s="13" t="inlineStr">
        <is>
          <t>100 a 300 L/ha</t>
        </is>
      </c>
      <c r="I2420" s="13" t="inlineStr">
        <is>
          <t>20 a 40 L/ha</t>
        </is>
      </c>
      <c r="J2420" s="13" t="inlineStr">
        <is>
          <t>90 dias</t>
        </is>
      </c>
    </row>
    <row r="2421" ht="22" customHeight="1">
      <c r="A2421" s="6" t="inlineStr">
        <is>
          <t>CUL-2417</t>
        </is>
      </c>
      <c r="B2421" s="5" t="n">
        <v>479</v>
      </c>
      <c r="C2421" s="7" t="inlineStr">
        <is>
          <t>Nº 19018</t>
        </is>
      </c>
      <c r="D2421" s="8" t="inlineStr">
        <is>
          <t>CARTAGO</t>
        </is>
      </c>
      <c r="E2421" s="7" t="inlineStr">
        <is>
          <t>Pulverização Agrícola Conforme Bula</t>
        </is>
      </c>
      <c r="F2421" s="7" t="inlineStr">
        <is>
          <t>Tomate</t>
        </is>
      </c>
      <c r="G2421" s="7" t="inlineStr">
        <is>
          <t>Cultura Autorizada na Bula</t>
        </is>
      </c>
      <c r="H2421" s="7" t="inlineStr">
        <is>
          <t>100 a 300 L/ha</t>
        </is>
      </c>
      <c r="I2421" s="7" t="inlineStr">
        <is>
          <t>20 a 40 L/ha</t>
        </is>
      </c>
      <c r="J2421" s="7" t="inlineStr">
        <is>
          <t>20 dias</t>
        </is>
      </c>
    </row>
    <row r="2422" ht="22" customHeight="1">
      <c r="A2422" s="12" t="inlineStr">
        <is>
          <t>CUL-2418</t>
        </is>
      </c>
      <c r="B2422" s="11" t="n">
        <v>480</v>
      </c>
      <c r="C2422" s="13" t="inlineStr">
        <is>
          <t>ISENTO (ATO 104/2017)</t>
        </is>
      </c>
      <c r="D2422" s="14" t="inlineStr">
        <is>
          <t>AGRICOIL PREMIUM</t>
        </is>
      </c>
      <c r="E2422" s="13" t="inlineStr">
        <is>
          <t>Pulverização Agrícola Conforme Bula</t>
        </is>
      </c>
      <c r="F2422" s="13" t="inlineStr">
        <is>
          <t>Soja, Milho, Algodão, Café, Citros, Cana-de-açúcar (Adição à calda)</t>
        </is>
      </c>
      <c r="G2422" s="13" t="inlineStr">
        <is>
          <t>Cultura Autorizada na Bula</t>
        </is>
      </c>
      <c r="H2422" s="13" t="inlineStr">
        <is>
          <t>100 a 300 L/ha</t>
        </is>
      </c>
      <c r="I2422" s="13" t="inlineStr">
        <is>
          <t>20 a 40 L/ha</t>
        </is>
      </c>
      <c r="J2422" s="13" t="inlineStr">
        <is>
          <t>Conforme defensivo principal</t>
        </is>
      </c>
    </row>
    <row r="2423" ht="22" customHeight="1">
      <c r="A2423" s="6" t="inlineStr">
        <is>
          <t>CUL-2419</t>
        </is>
      </c>
      <c r="B2423" s="5" t="n">
        <v>481</v>
      </c>
      <c r="C2423" s="7" t="inlineStr">
        <is>
          <t>Nº 10122</t>
        </is>
      </c>
      <c r="D2423" s="8" t="inlineStr">
        <is>
          <t>SONDA HT</t>
        </is>
      </c>
      <c r="E2423" s="7" t="inlineStr">
        <is>
          <t>Pulverização Agrícola Conforme Bula</t>
        </is>
      </c>
      <c r="F2423" s="7" t="inlineStr">
        <is>
          <t>Soja</t>
        </is>
      </c>
      <c r="G2423" s="7" t="inlineStr">
        <is>
          <t>Cultura Autorizada na Bula</t>
        </is>
      </c>
      <c r="H2423" s="7" t="inlineStr">
        <is>
          <t>100 a 300 L/ha</t>
        </is>
      </c>
      <c r="I2423" s="7" t="inlineStr">
        <is>
          <t>20 a 40 L/ha</t>
        </is>
      </c>
      <c r="J2423" s="7" t="inlineStr">
        <is>
          <t>60 dias</t>
        </is>
      </c>
    </row>
    <row r="2424" ht="22" customHeight="1">
      <c r="A2424" s="12" t="inlineStr">
        <is>
          <t>CUL-2420</t>
        </is>
      </c>
      <c r="B2424" s="11" t="n">
        <v>481</v>
      </c>
      <c r="C2424" s="13" t="inlineStr">
        <is>
          <t>Nº 10122</t>
        </is>
      </c>
      <c r="D2424" s="14" t="inlineStr">
        <is>
          <t>SONDA HT</t>
        </is>
      </c>
      <c r="E2424" s="13" t="inlineStr">
        <is>
          <t>Pulverização Agrícola Conforme Bula</t>
        </is>
      </c>
      <c r="F2424" s="13" t="inlineStr">
        <is>
          <t>Milho</t>
        </is>
      </c>
      <c r="G2424" s="13" t="inlineStr">
        <is>
          <t>Cultura Autorizada na Bula</t>
        </is>
      </c>
      <c r="H2424" s="13" t="inlineStr">
        <is>
          <t>100 a 300 L/ha</t>
        </is>
      </c>
      <c r="I2424" s="13" t="inlineStr">
        <is>
          <t>20 a 40 L/ha</t>
        </is>
      </c>
      <c r="J2424" s="13" t="inlineStr">
        <is>
          <t>45 dias</t>
        </is>
      </c>
    </row>
    <row r="2425" ht="22" customHeight="1">
      <c r="A2425" s="6" t="inlineStr">
        <is>
          <t>CUL-2421</t>
        </is>
      </c>
      <c r="B2425" s="5" t="n">
        <v>481</v>
      </c>
      <c r="C2425" s="7" t="inlineStr">
        <is>
          <t>Nº 10122</t>
        </is>
      </c>
      <c r="D2425" s="8" t="inlineStr">
        <is>
          <t>SONDA HT</t>
        </is>
      </c>
      <c r="E2425" s="7" t="inlineStr">
        <is>
          <t>Pulverização Agrícola Conforme Bula</t>
        </is>
      </c>
      <c r="F2425" s="7" t="inlineStr">
        <is>
          <t>Algodão</t>
        </is>
      </c>
      <c r="G2425" s="7" t="inlineStr">
        <is>
          <t>Cultura Autorizada na Bula</t>
        </is>
      </c>
      <c r="H2425" s="7" t="inlineStr">
        <is>
          <t>100 a 300 L/ha</t>
        </is>
      </c>
      <c r="I2425" s="7" t="inlineStr">
        <is>
          <t>20 a 40 L/ha</t>
        </is>
      </c>
      <c r="J2425" s="7" t="inlineStr">
        <is>
          <t>60 dias</t>
        </is>
      </c>
    </row>
    <row r="2426" ht="22" customHeight="1">
      <c r="A2426" s="12" t="inlineStr">
        <is>
          <t>CUL-2422</t>
        </is>
      </c>
      <c r="B2426" s="11" t="n">
        <v>481</v>
      </c>
      <c r="C2426" s="13" t="inlineStr">
        <is>
          <t>Nº 10122</t>
        </is>
      </c>
      <c r="D2426" s="14" t="inlineStr">
        <is>
          <t>SONDA HT</t>
        </is>
      </c>
      <c r="E2426" s="13" t="inlineStr">
        <is>
          <t>Pulverização Agrícola Conforme Bula</t>
        </is>
      </c>
      <c r="F2426" s="13" t="inlineStr">
        <is>
          <t>Cana-de-açúcar</t>
        </is>
      </c>
      <c r="G2426" s="13" t="inlineStr">
        <is>
          <t>Cultura Autorizada na Bula</t>
        </is>
      </c>
      <c r="H2426" s="13" t="inlineStr">
        <is>
          <t>100 a 300 L/ha</t>
        </is>
      </c>
      <c r="I2426" s="13" t="inlineStr">
        <is>
          <t>20 a 40 L/ha</t>
        </is>
      </c>
      <c r="J2426" s="13" t="inlineStr">
        <is>
          <t>90 dias</t>
        </is>
      </c>
    </row>
    <row r="2427" ht="22" customHeight="1">
      <c r="A2427" s="6" t="inlineStr">
        <is>
          <t>CUL-2423</t>
        </is>
      </c>
      <c r="B2427" s="5" t="n">
        <v>482</v>
      </c>
      <c r="C2427" s="7" t="inlineStr">
        <is>
          <t>VINCULAR MARCA</t>
        </is>
      </c>
      <c r="D2427" s="8" t="inlineStr">
        <is>
          <t>BOSCALIDA 500 (PRINCIPIO ATIVO)</t>
        </is>
      </c>
      <c r="E2427" s="7" t="inlineStr">
        <is>
          <t>Uso Exclusivamente Industrial (Formulação)</t>
        </is>
      </c>
      <c r="F2427" s="7" t="inlineStr">
        <is>
          <t>Não Aplicável (Proibido uso direto na lavoura)</t>
        </is>
      </c>
      <c r="G2427" s="7" t="inlineStr">
        <is>
          <t>Insumo Industrial</t>
        </is>
      </c>
      <c r="H2427" s="7" t="inlineStr">
        <is>
          <t>N/A</t>
        </is>
      </c>
      <c r="I2427" s="7" t="inlineStr">
        <is>
          <t>N/A</t>
        </is>
      </c>
      <c r="J2427" s="7" t="inlineStr">
        <is>
          <t>N/A (Insumo Industrial)</t>
        </is>
      </c>
    </row>
    <row r="2428" ht="22" customHeight="1">
      <c r="A2428" s="12" t="inlineStr">
        <is>
          <t>CUL-2424</t>
        </is>
      </c>
      <c r="B2428" s="11" t="n">
        <v>483</v>
      </c>
      <c r="C2428" s="13" t="inlineStr">
        <is>
          <t>Nº 40818</t>
        </is>
      </c>
      <c r="D2428" s="14" t="inlineStr">
        <is>
          <t>GLUFOSINATE-AMMONIUN 200 SL YONON 0,200L AMOSTRA</t>
        </is>
      </c>
      <c r="E2428" s="13" t="inlineStr">
        <is>
          <t>Pulverização Agrícola Conforme Bula</t>
        </is>
      </c>
      <c r="F2428" s="13" t="inlineStr">
        <is>
          <t>Soja (Pré-Plantio / OGM)</t>
        </is>
      </c>
      <c r="G2428" s="13" t="inlineStr">
        <is>
          <t>Cultura Autorizada na Bula</t>
        </is>
      </c>
      <c r="H2428" s="13" t="inlineStr">
        <is>
          <t>100 a 300 L/ha</t>
        </is>
      </c>
      <c r="I2428" s="13" t="inlineStr">
        <is>
          <t>20 a 40 L/ha</t>
        </is>
      </c>
      <c r="J2428" s="13" t="inlineStr">
        <is>
          <t>60 dias</t>
        </is>
      </c>
    </row>
    <row r="2429" ht="22" customHeight="1">
      <c r="A2429" s="6" t="inlineStr">
        <is>
          <t>CUL-2425</t>
        </is>
      </c>
      <c r="B2429" s="5" t="n">
        <v>483</v>
      </c>
      <c r="C2429" s="7" t="inlineStr">
        <is>
          <t>Nº 40818</t>
        </is>
      </c>
      <c r="D2429" s="8" t="inlineStr">
        <is>
          <t>GLUFOSINATE-AMMONIUN 200 SL YONON 0,200L AMOSTRA</t>
        </is>
      </c>
      <c r="E2429" s="7" t="inlineStr">
        <is>
          <t>Pulverização Agrícola Conforme Bula</t>
        </is>
      </c>
      <c r="F2429" s="7" t="inlineStr">
        <is>
          <t>Milho (Pré-Plantio / OGM)</t>
        </is>
      </c>
      <c r="G2429" s="7" t="inlineStr">
        <is>
          <t>Cultura Autorizada na Bula</t>
        </is>
      </c>
      <c r="H2429" s="7" t="inlineStr">
        <is>
          <t>100 a 300 L/ha</t>
        </is>
      </c>
      <c r="I2429" s="7" t="inlineStr">
        <is>
          <t>20 a 40 L/ha</t>
        </is>
      </c>
      <c r="J2429" s="7" t="inlineStr">
        <is>
          <t>40 dias</t>
        </is>
      </c>
    </row>
    <row r="2430" ht="22" customHeight="1">
      <c r="A2430" s="12" t="inlineStr">
        <is>
          <t>CUL-2426</t>
        </is>
      </c>
      <c r="B2430" s="11" t="n">
        <v>483</v>
      </c>
      <c r="C2430" s="13" t="inlineStr">
        <is>
          <t>Nº 40818</t>
        </is>
      </c>
      <c r="D2430" s="14" t="inlineStr">
        <is>
          <t>GLUFOSINATE-AMMONIUN 200 SL YONON 0,200L AMOSTRA</t>
        </is>
      </c>
      <c r="E2430" s="13" t="inlineStr">
        <is>
          <t>Pulverização Agrícola Conforme Bula</t>
        </is>
      </c>
      <c r="F2430" s="13" t="inlineStr">
        <is>
          <t>Algodão (Pré-Plantio / OGM / Desfolha)</t>
        </is>
      </c>
      <c r="G2430" s="13" t="inlineStr">
        <is>
          <t>Cultura Autorizada na Bula</t>
        </is>
      </c>
      <c r="H2430" s="13" t="inlineStr">
        <is>
          <t>100 a 300 L/ha</t>
        </is>
      </c>
      <c r="I2430" s="13" t="inlineStr">
        <is>
          <t>20 a 40 L/ha</t>
        </is>
      </c>
      <c r="J2430" s="13" t="inlineStr">
        <is>
          <t>15 dias</t>
        </is>
      </c>
    </row>
    <row r="2431" ht="22" customHeight="1">
      <c r="A2431" s="6" t="inlineStr">
        <is>
          <t>CUL-2427</t>
        </is>
      </c>
      <c r="B2431" s="5" t="n">
        <v>483</v>
      </c>
      <c r="C2431" s="7" t="inlineStr">
        <is>
          <t>Nº 40818</t>
        </is>
      </c>
      <c r="D2431" s="8" t="inlineStr">
        <is>
          <t>GLUFOSINATE-AMMONIUN 200 SL YONON 0,200L AMOSTRA</t>
        </is>
      </c>
      <c r="E2431" s="7" t="inlineStr">
        <is>
          <t>Pulverização Agrícola Conforme Bula</t>
        </is>
      </c>
      <c r="F2431" s="7" t="inlineStr">
        <is>
          <t>Café (Jato Dirigido)</t>
        </is>
      </c>
      <c r="G2431" s="7" t="inlineStr">
        <is>
          <t>Cultura Autorizada na Bula</t>
        </is>
      </c>
      <c r="H2431" s="7" t="inlineStr">
        <is>
          <t>100 a 300 L/ha</t>
        </is>
      </c>
      <c r="I2431" s="7" t="inlineStr">
        <is>
          <t>20 a 40 L/ha</t>
        </is>
      </c>
      <c r="J2431" s="7" t="inlineStr">
        <is>
          <t>20 dias</t>
        </is>
      </c>
    </row>
    <row r="2432" ht="22" customHeight="1">
      <c r="A2432" s="12" t="inlineStr">
        <is>
          <t>CUL-2428</t>
        </is>
      </c>
      <c r="B2432" s="11" t="n">
        <v>483</v>
      </c>
      <c r="C2432" s="13" t="inlineStr">
        <is>
          <t>Nº 40818</t>
        </is>
      </c>
      <c r="D2432" s="14" t="inlineStr">
        <is>
          <t>GLUFOSINATE-AMMONIUN 200 SL YONON 0,200L AMOSTRA</t>
        </is>
      </c>
      <c r="E2432" s="13" t="inlineStr">
        <is>
          <t>Pulverização Agrícola Conforme Bula</t>
        </is>
      </c>
      <c r="F2432" s="13" t="inlineStr">
        <is>
          <t>Citros (Jato Dirigido)</t>
        </is>
      </c>
      <c r="G2432" s="13" t="inlineStr">
        <is>
          <t>Cultura Autorizada na Bula</t>
        </is>
      </c>
      <c r="H2432" s="13" t="inlineStr">
        <is>
          <t>100 a 300 L/ha</t>
        </is>
      </c>
      <c r="I2432" s="13" t="inlineStr">
        <is>
          <t>20 a 40 L/ha</t>
        </is>
      </c>
      <c r="J2432" s="13" t="inlineStr">
        <is>
          <t>40 dias</t>
        </is>
      </c>
    </row>
    <row r="2433" ht="22" customHeight="1">
      <c r="A2433" s="6" t="inlineStr">
        <is>
          <t>CUL-2429</t>
        </is>
      </c>
      <c r="B2433" s="5" t="n">
        <v>483</v>
      </c>
      <c r="C2433" s="7" t="inlineStr">
        <is>
          <t>Nº 40818</t>
        </is>
      </c>
      <c r="D2433" s="8" t="inlineStr">
        <is>
          <t>GLUFOSINATE-AMMONIUN 200 SL YONON 0,200L AMOSTRA</t>
        </is>
      </c>
      <c r="E2433" s="7" t="inlineStr">
        <is>
          <t>Pulverização Agrícola Conforme Bula</t>
        </is>
      </c>
      <c r="F2433" s="7" t="inlineStr">
        <is>
          <t>Trigo</t>
        </is>
      </c>
      <c r="G2433" s="7" t="inlineStr">
        <is>
          <t>Cultura Autorizada na Bula</t>
        </is>
      </c>
      <c r="H2433" s="7" t="inlineStr">
        <is>
          <t>100 a 300 L/ha</t>
        </is>
      </c>
      <c r="I2433" s="7" t="inlineStr">
        <is>
          <t>20 a 40 L/ha</t>
        </is>
      </c>
      <c r="J2433" s="7" t="inlineStr">
        <is>
          <t>N/D</t>
        </is>
      </c>
    </row>
    <row r="2434" ht="22" customHeight="1">
      <c r="A2434" s="12" t="inlineStr">
        <is>
          <t>CUL-2430</t>
        </is>
      </c>
      <c r="B2434" s="11" t="n">
        <v>484</v>
      </c>
      <c r="C2434" s="13" t="inlineStr">
        <is>
          <t>Nº 3224</t>
        </is>
      </c>
      <c r="D2434" s="14" t="inlineStr">
        <is>
          <t>CHLOROTHALONIL</t>
        </is>
      </c>
      <c r="E2434" s="13" t="inlineStr">
        <is>
          <t>Pulverização Agrícola Conforme Bula</t>
        </is>
      </c>
      <c r="F2434" s="13" t="inlineStr">
        <is>
          <t>Soja</t>
        </is>
      </c>
      <c r="G2434" s="13" t="inlineStr">
        <is>
          <t>Cultura Autorizada na Bula</t>
        </is>
      </c>
      <c r="H2434" s="13" t="inlineStr">
        <is>
          <t>100 a 300 L/ha</t>
        </is>
      </c>
      <c r="I2434" s="13" t="inlineStr">
        <is>
          <t>20 a 40 L/ha</t>
        </is>
      </c>
      <c r="J2434" s="13" t="inlineStr">
        <is>
          <t>14 dias</t>
        </is>
      </c>
    </row>
    <row r="2435" ht="22" customHeight="1">
      <c r="A2435" s="6" t="inlineStr">
        <is>
          <t>CUL-2431</t>
        </is>
      </c>
      <c r="B2435" s="5" t="n">
        <v>484</v>
      </c>
      <c r="C2435" s="7" t="inlineStr">
        <is>
          <t>Nº 3224</t>
        </is>
      </c>
      <c r="D2435" s="8" t="inlineStr">
        <is>
          <t>CHLOROTHALONIL</t>
        </is>
      </c>
      <c r="E2435" s="7" t="inlineStr">
        <is>
          <t>Pulverização Agrícola Conforme Bula</t>
        </is>
      </c>
      <c r="F2435" s="7" t="inlineStr">
        <is>
          <t>Algodão</t>
        </is>
      </c>
      <c r="G2435" s="7" t="inlineStr">
        <is>
          <t>Cultura Autorizada na Bula</t>
        </is>
      </c>
      <c r="H2435" s="7" t="inlineStr">
        <is>
          <t>100 a 300 L/ha</t>
        </is>
      </c>
      <c r="I2435" s="7" t="inlineStr">
        <is>
          <t>20 a 40 L/ha</t>
        </is>
      </c>
      <c r="J2435" s="7" t="inlineStr">
        <is>
          <t>14 dias</t>
        </is>
      </c>
    </row>
    <row r="2436" ht="22" customHeight="1">
      <c r="A2436" s="12" t="inlineStr">
        <is>
          <t>CUL-2432</t>
        </is>
      </c>
      <c r="B2436" s="11" t="n">
        <v>484</v>
      </c>
      <c r="C2436" s="13" t="inlineStr">
        <is>
          <t>Nº 3224</t>
        </is>
      </c>
      <c r="D2436" s="14" t="inlineStr">
        <is>
          <t>CHLOROTHALONIL</t>
        </is>
      </c>
      <c r="E2436" s="13" t="inlineStr">
        <is>
          <t>Pulverização Agrícola Conforme Bula</t>
        </is>
      </c>
      <c r="F2436" s="13" t="inlineStr">
        <is>
          <t>Feijão</t>
        </is>
      </c>
      <c r="G2436" s="13" t="inlineStr">
        <is>
          <t>Cultura Autorizada na Bula</t>
        </is>
      </c>
      <c r="H2436" s="13" t="inlineStr">
        <is>
          <t>100 a 300 L/ha</t>
        </is>
      </c>
      <c r="I2436" s="13" t="inlineStr">
        <is>
          <t>20 a 40 L/ha</t>
        </is>
      </c>
      <c r="J2436" s="13" t="inlineStr">
        <is>
          <t>14 dias</t>
        </is>
      </c>
    </row>
    <row r="2437" ht="22" customHeight="1">
      <c r="A2437" s="6" t="inlineStr">
        <is>
          <t>CUL-2433</t>
        </is>
      </c>
      <c r="B2437" s="5" t="n">
        <v>484</v>
      </c>
      <c r="C2437" s="7" t="inlineStr">
        <is>
          <t>Nº 3224</t>
        </is>
      </c>
      <c r="D2437" s="8" t="inlineStr">
        <is>
          <t>CHLOROTHALONIL</t>
        </is>
      </c>
      <c r="E2437" s="7" t="inlineStr">
        <is>
          <t>Pulverização Agrícola Conforme Bula</t>
        </is>
      </c>
      <c r="F2437" s="7" t="inlineStr">
        <is>
          <t>Milho</t>
        </is>
      </c>
      <c r="G2437" s="7" t="inlineStr">
        <is>
          <t>Cultura Autorizada na Bula</t>
        </is>
      </c>
      <c r="H2437" s="7" t="inlineStr">
        <is>
          <t>100 a 300 L/ha</t>
        </is>
      </c>
      <c r="I2437" s="7" t="inlineStr">
        <is>
          <t>20 a 40 L/ha</t>
        </is>
      </c>
      <c r="J2437" s="7" t="inlineStr">
        <is>
          <t>14 dias</t>
        </is>
      </c>
    </row>
    <row r="2438" ht="22" customHeight="1">
      <c r="A2438" s="12" t="inlineStr">
        <is>
          <t>CUL-2434</t>
        </is>
      </c>
      <c r="B2438" s="11" t="n">
        <v>484</v>
      </c>
      <c r="C2438" s="13" t="inlineStr">
        <is>
          <t>Nº 3224</t>
        </is>
      </c>
      <c r="D2438" s="14" t="inlineStr">
        <is>
          <t>CHLOROTHALONIL</t>
        </is>
      </c>
      <c r="E2438" s="13" t="inlineStr">
        <is>
          <t>Pulverização Agrícola Conforme Bula</t>
        </is>
      </c>
      <c r="F2438" s="13" t="inlineStr">
        <is>
          <t>Trigo</t>
        </is>
      </c>
      <c r="G2438" s="13" t="inlineStr">
        <is>
          <t>Cultura Autorizada na Bula</t>
        </is>
      </c>
      <c r="H2438" s="13" t="inlineStr">
        <is>
          <t>100 a 300 L/ha</t>
        </is>
      </c>
      <c r="I2438" s="13" t="inlineStr">
        <is>
          <t>20 a 40 L/ha</t>
        </is>
      </c>
      <c r="J2438" s="13" t="inlineStr">
        <is>
          <t>30 dias</t>
        </is>
      </c>
    </row>
    <row r="2439" ht="22" customHeight="1">
      <c r="A2439" s="6" t="inlineStr">
        <is>
          <t>CUL-2435</t>
        </is>
      </c>
      <c r="B2439" s="5" t="n">
        <v>484</v>
      </c>
      <c r="C2439" s="7" t="inlineStr">
        <is>
          <t>Nº 3224</t>
        </is>
      </c>
      <c r="D2439" s="8" t="inlineStr">
        <is>
          <t>CHLOROTHALONIL</t>
        </is>
      </c>
      <c r="E2439" s="7" t="inlineStr">
        <is>
          <t>Pulverização Agrícola Conforme Bula</t>
        </is>
      </c>
      <c r="F2439" s="7" t="inlineStr">
        <is>
          <t>Batata</t>
        </is>
      </c>
      <c r="G2439" s="7" t="inlineStr">
        <is>
          <t>Cultura Autorizada na Bula</t>
        </is>
      </c>
      <c r="H2439" s="7" t="inlineStr">
        <is>
          <t>100 a 300 L/ha</t>
        </is>
      </c>
      <c r="I2439" s="7" t="inlineStr">
        <is>
          <t>20 a 40 L/ha</t>
        </is>
      </c>
      <c r="J2439" s="7" t="inlineStr">
        <is>
          <t>7 dias</t>
        </is>
      </c>
    </row>
    <row r="2440" ht="22" customHeight="1">
      <c r="A2440" s="12" t="inlineStr">
        <is>
          <t>CUL-2436</t>
        </is>
      </c>
      <c r="B2440" s="11" t="n">
        <v>484</v>
      </c>
      <c r="C2440" s="13" t="inlineStr">
        <is>
          <t>Nº 3224</t>
        </is>
      </c>
      <c r="D2440" s="14" t="inlineStr">
        <is>
          <t>CHLOROTHALONIL</t>
        </is>
      </c>
      <c r="E2440" s="13" t="inlineStr">
        <is>
          <t>Pulverização Agrícola Conforme Bula</t>
        </is>
      </c>
      <c r="F2440" s="13" t="inlineStr">
        <is>
          <t>Café</t>
        </is>
      </c>
      <c r="G2440" s="13" t="inlineStr">
        <is>
          <t>Cultura Autorizada na Bula</t>
        </is>
      </c>
      <c r="H2440" s="13" t="inlineStr">
        <is>
          <t>100 a 300 L/ha</t>
        </is>
      </c>
      <c r="I2440" s="13" t="inlineStr">
        <is>
          <t>20 a 40 L/ha</t>
        </is>
      </c>
      <c r="J2440" s="13" t="inlineStr">
        <is>
          <t>30 dias</t>
        </is>
      </c>
    </row>
    <row r="2441" ht="22" customHeight="1">
      <c r="A2441" s="6" t="inlineStr">
        <is>
          <t>CUL-2437</t>
        </is>
      </c>
      <c r="B2441" s="5" t="n">
        <v>484</v>
      </c>
      <c r="C2441" s="7" t="inlineStr">
        <is>
          <t>Nº 3224</t>
        </is>
      </c>
      <c r="D2441" s="8" t="inlineStr">
        <is>
          <t>CHLOROTHALONIL</t>
        </is>
      </c>
      <c r="E2441" s="7" t="inlineStr">
        <is>
          <t>Pulverização Agrícola Conforme Bula</t>
        </is>
      </c>
      <c r="F2441" s="7" t="inlineStr">
        <is>
          <t>Tomate</t>
        </is>
      </c>
      <c r="G2441" s="7" t="inlineStr">
        <is>
          <t>Cultura Autorizada na Bula</t>
        </is>
      </c>
      <c r="H2441" s="7" t="inlineStr">
        <is>
          <t>100 a 300 L/ha</t>
        </is>
      </c>
      <c r="I2441" s="7" t="inlineStr">
        <is>
          <t>20 a 40 L/ha</t>
        </is>
      </c>
      <c r="J2441" s="7" t="inlineStr">
        <is>
          <t>7 dias</t>
        </is>
      </c>
    </row>
    <row r="2442" ht="22" customHeight="1">
      <c r="A2442" s="12" t="inlineStr">
        <is>
          <t>CUL-2438</t>
        </is>
      </c>
      <c r="B2442" s="11" t="n">
        <v>485</v>
      </c>
      <c r="C2442" s="13" t="inlineStr">
        <is>
          <t>Nº 16724</t>
        </is>
      </c>
      <c r="D2442" s="14" t="inlineStr">
        <is>
          <t>FLUAZINAM</t>
        </is>
      </c>
      <c r="E2442" s="13" t="inlineStr">
        <is>
          <t>Pulverização Agrícola Conforme Bula</t>
        </is>
      </c>
      <c r="F2442" s="13" t="inlineStr">
        <is>
          <t>Soja</t>
        </is>
      </c>
      <c r="G2442" s="13" t="inlineStr">
        <is>
          <t>Cultura Autorizada na Bula</t>
        </is>
      </c>
      <c r="H2442" s="13" t="inlineStr">
        <is>
          <t>100 a 300 L/ha</t>
        </is>
      </c>
      <c r="I2442" s="13" t="inlineStr">
        <is>
          <t>20 a 40 L/ha</t>
        </is>
      </c>
      <c r="J2442" s="13" t="inlineStr">
        <is>
          <t>28 dias</t>
        </is>
      </c>
    </row>
    <row r="2443" ht="22" customHeight="1">
      <c r="A2443" s="6" t="inlineStr">
        <is>
          <t>CUL-2439</t>
        </is>
      </c>
      <c r="B2443" s="5" t="n">
        <v>485</v>
      </c>
      <c r="C2443" s="7" t="inlineStr">
        <is>
          <t>Nº 16724</t>
        </is>
      </c>
      <c r="D2443" s="8" t="inlineStr">
        <is>
          <t>FLUAZINAM</t>
        </is>
      </c>
      <c r="E2443" s="7" t="inlineStr">
        <is>
          <t>Pulverização Agrícola Conforme Bula</t>
        </is>
      </c>
      <c r="F2443" s="7" t="inlineStr">
        <is>
          <t>Feijão</t>
        </is>
      </c>
      <c r="G2443" s="7" t="inlineStr">
        <is>
          <t>Cultura Autorizada na Bula</t>
        </is>
      </c>
      <c r="H2443" s="7" t="inlineStr">
        <is>
          <t>100 a 300 L/ha</t>
        </is>
      </c>
      <c r="I2443" s="7" t="inlineStr">
        <is>
          <t>20 a 40 L/ha</t>
        </is>
      </c>
      <c r="J2443" s="7" t="inlineStr">
        <is>
          <t>20 dias</t>
        </is>
      </c>
    </row>
    <row r="2444" ht="22" customHeight="1">
      <c r="A2444" s="12" t="inlineStr">
        <is>
          <t>CUL-2440</t>
        </is>
      </c>
      <c r="B2444" s="11" t="n">
        <v>485</v>
      </c>
      <c r="C2444" s="13" t="inlineStr">
        <is>
          <t>Nº 16724</t>
        </is>
      </c>
      <c r="D2444" s="14" t="inlineStr">
        <is>
          <t>FLUAZINAM</t>
        </is>
      </c>
      <c r="E2444" s="13" t="inlineStr">
        <is>
          <t>Pulverização Agrícola Conforme Bula</t>
        </is>
      </c>
      <c r="F2444" s="13" t="inlineStr">
        <is>
          <t>Batata</t>
        </is>
      </c>
      <c r="G2444" s="13" t="inlineStr">
        <is>
          <t>Cultura Autorizada na Bula</t>
        </is>
      </c>
      <c r="H2444" s="13" t="inlineStr">
        <is>
          <t>100 a 300 L/ha</t>
        </is>
      </c>
      <c r="I2444" s="13" t="inlineStr">
        <is>
          <t>20 a 40 L/ha</t>
        </is>
      </c>
      <c r="J2444" s="13" t="inlineStr">
        <is>
          <t>7 dias</t>
        </is>
      </c>
    </row>
    <row r="2445" ht="22" customHeight="1">
      <c r="A2445" s="6" t="inlineStr">
        <is>
          <t>CUL-2441</t>
        </is>
      </c>
      <c r="B2445" s="5" t="n">
        <v>485</v>
      </c>
      <c r="C2445" s="7" t="inlineStr">
        <is>
          <t>Nº 16724</t>
        </is>
      </c>
      <c r="D2445" s="8" t="inlineStr">
        <is>
          <t>FLUAZINAM</t>
        </is>
      </c>
      <c r="E2445" s="7" t="inlineStr">
        <is>
          <t>Pulverização Agrícola Conforme Bula</t>
        </is>
      </c>
      <c r="F2445" s="7" t="inlineStr">
        <is>
          <t>Algodão</t>
        </is>
      </c>
      <c r="G2445" s="7" t="inlineStr">
        <is>
          <t>Cultura Autorizada na Bula</t>
        </is>
      </c>
      <c r="H2445" s="7" t="inlineStr">
        <is>
          <t>100 a 300 L/ha</t>
        </is>
      </c>
      <c r="I2445" s="7" t="inlineStr">
        <is>
          <t>20 a 40 L/ha</t>
        </is>
      </c>
      <c r="J2445" s="7" t="inlineStr">
        <is>
          <t>30 dias</t>
        </is>
      </c>
    </row>
    <row r="2446" ht="22" customHeight="1">
      <c r="A2446" s="12" t="inlineStr">
        <is>
          <t>CUL-2442</t>
        </is>
      </c>
      <c r="B2446" s="11" t="n">
        <v>485</v>
      </c>
      <c r="C2446" s="13" t="inlineStr">
        <is>
          <t>Nº 16724</t>
        </is>
      </c>
      <c r="D2446" s="14" t="inlineStr">
        <is>
          <t>FLUAZINAM</t>
        </is>
      </c>
      <c r="E2446" s="13" t="inlineStr">
        <is>
          <t>Pulverização Agrícola Conforme Bula</t>
        </is>
      </c>
      <c r="F2446" s="13" t="inlineStr">
        <is>
          <t>Tomate</t>
        </is>
      </c>
      <c r="G2446" s="13" t="inlineStr">
        <is>
          <t>Cultura Autorizada na Bula</t>
        </is>
      </c>
      <c r="H2446" s="13" t="inlineStr">
        <is>
          <t>100 a 300 L/ha</t>
        </is>
      </c>
      <c r="I2446" s="13" t="inlineStr">
        <is>
          <t>20 a 40 L/ha</t>
        </is>
      </c>
      <c r="J2446" s="13" t="inlineStr">
        <is>
          <t>7 dias</t>
        </is>
      </c>
    </row>
    <row r="2447" ht="22" customHeight="1">
      <c r="A2447" s="6" t="inlineStr">
        <is>
          <t>CUL-2443</t>
        </is>
      </c>
      <c r="B2447" s="5" t="n">
        <v>486</v>
      </c>
      <c r="C2447" s="7" t="inlineStr">
        <is>
          <t>Nº 7925</t>
        </is>
      </c>
      <c r="D2447" s="8" t="inlineStr">
        <is>
          <t>BONAFIDE 500 WG 20X0,5KG (IMP) SJ</t>
        </is>
      </c>
      <c r="E2447" s="7" t="inlineStr">
        <is>
          <t>Pulverização Agrícola Conforme Bula</t>
        </is>
      </c>
      <c r="F2447" s="7" t="inlineStr">
        <is>
          <t>Soja</t>
        </is>
      </c>
      <c r="G2447" s="7" t="inlineStr">
        <is>
          <t>Cultura Autorizada na Bula</t>
        </is>
      </c>
      <c r="H2447" s="7" t="inlineStr">
        <is>
          <t>100 a 300 L/ha</t>
        </is>
      </c>
      <c r="I2447" s="7" t="inlineStr">
        <is>
          <t>20 a 40 L/ha</t>
        </is>
      </c>
      <c r="J2447" s="7" t="inlineStr">
        <is>
          <t>30 dias</t>
        </is>
      </c>
    </row>
    <row r="2448" ht="22" customHeight="1">
      <c r="A2448" s="12" t="inlineStr">
        <is>
          <t>CUL-2444</t>
        </is>
      </c>
      <c r="B2448" s="11" t="n">
        <v>486</v>
      </c>
      <c r="C2448" s="13" t="inlineStr">
        <is>
          <t>Nº 7925</t>
        </is>
      </c>
      <c r="D2448" s="14" t="inlineStr">
        <is>
          <t>BONAFIDE 500 WG 20X0,5KG (IMP) SJ</t>
        </is>
      </c>
      <c r="E2448" s="13" t="inlineStr">
        <is>
          <t>Pulverização Agrícola Conforme Bula</t>
        </is>
      </c>
      <c r="F2448" s="13" t="inlineStr">
        <is>
          <t>Milho</t>
        </is>
      </c>
      <c r="G2448" s="13" t="inlineStr">
        <is>
          <t>Cultura Autorizada na Bula</t>
        </is>
      </c>
      <c r="H2448" s="13" t="inlineStr">
        <is>
          <t>100 a 300 L/ha</t>
        </is>
      </c>
      <c r="I2448" s="13" t="inlineStr">
        <is>
          <t>20 a 40 L/ha</t>
        </is>
      </c>
      <c r="J2448" s="13" t="inlineStr">
        <is>
          <t>30 dias</t>
        </is>
      </c>
    </row>
    <row r="2449" ht="22" customHeight="1">
      <c r="A2449" s="6" t="inlineStr">
        <is>
          <t>CUL-2445</t>
        </is>
      </c>
      <c r="B2449" s="5" t="n">
        <v>486</v>
      </c>
      <c r="C2449" s="7" t="inlineStr">
        <is>
          <t>Nº 7925</t>
        </is>
      </c>
      <c r="D2449" s="8" t="inlineStr">
        <is>
          <t>BONAFIDE 500 WG 20X0,5KG (IMP) SJ</t>
        </is>
      </c>
      <c r="E2449" s="7" t="inlineStr">
        <is>
          <t>Pulverização Agrícola Conforme Bula</t>
        </is>
      </c>
      <c r="F2449" s="7" t="inlineStr">
        <is>
          <t>Algodão</t>
        </is>
      </c>
      <c r="G2449" s="7" t="inlineStr">
        <is>
          <t>Cultura Autorizada na Bula</t>
        </is>
      </c>
      <c r="H2449" s="7" t="inlineStr">
        <is>
          <t>100 a 300 L/ha</t>
        </is>
      </c>
      <c r="I2449" s="7" t="inlineStr">
        <is>
          <t>20 a 40 L/ha</t>
        </is>
      </c>
      <c r="J2449" s="7" t="inlineStr">
        <is>
          <t>30 dias</t>
        </is>
      </c>
    </row>
    <row r="2450" ht="22" customHeight="1">
      <c r="A2450" s="12" t="inlineStr">
        <is>
          <t>CUL-2446</t>
        </is>
      </c>
      <c r="B2450" s="11" t="n">
        <v>486</v>
      </c>
      <c r="C2450" s="13" t="inlineStr">
        <is>
          <t>Nº 7925</t>
        </is>
      </c>
      <c r="D2450" s="14" t="inlineStr">
        <is>
          <t>BONAFIDE 500 WG 20X0,5KG (IMP) SJ</t>
        </is>
      </c>
      <c r="E2450" s="13" t="inlineStr">
        <is>
          <t>Pulverização Agrícola Conforme Bula</t>
        </is>
      </c>
      <c r="F2450" s="13" t="inlineStr">
        <is>
          <t>Trigo</t>
        </is>
      </c>
      <c r="G2450" s="13" t="inlineStr">
        <is>
          <t>Cultura Autorizada na Bula</t>
        </is>
      </c>
      <c r="H2450" s="13" t="inlineStr">
        <is>
          <t>100 a 300 L/ha</t>
        </is>
      </c>
      <c r="I2450" s="13" t="inlineStr">
        <is>
          <t>20 a 40 L/ha</t>
        </is>
      </c>
      <c r="J2450" s="13" t="inlineStr">
        <is>
          <t>30 dias</t>
        </is>
      </c>
    </row>
    <row r="2451" ht="22" customHeight="1">
      <c r="A2451" s="6" t="inlineStr">
        <is>
          <t>CUL-2447</t>
        </is>
      </c>
      <c r="B2451" s="5" t="n">
        <v>486</v>
      </c>
      <c r="C2451" s="7" t="inlineStr">
        <is>
          <t>Nº 7925</t>
        </is>
      </c>
      <c r="D2451" s="8" t="inlineStr">
        <is>
          <t>BONAFIDE 500 WG 20X0,5KG (IMP) SJ</t>
        </is>
      </c>
      <c r="E2451" s="7" t="inlineStr">
        <is>
          <t>Pulverização Agrícola Conforme Bula</t>
        </is>
      </c>
      <c r="F2451" s="7" t="inlineStr">
        <is>
          <t>Feijão</t>
        </is>
      </c>
      <c r="G2451" s="7" t="inlineStr">
        <is>
          <t>Cultura Autorizada na Bula</t>
        </is>
      </c>
      <c r="H2451" s="7" t="inlineStr">
        <is>
          <t>100 a 300 L/ha</t>
        </is>
      </c>
      <c r="I2451" s="7" t="inlineStr">
        <is>
          <t>20 a 40 L/ha</t>
        </is>
      </c>
      <c r="J2451" s="7" t="inlineStr">
        <is>
          <t>14 dias</t>
        </is>
      </c>
    </row>
    <row r="2452" ht="22" customHeight="1">
      <c r="A2452" s="12" t="inlineStr">
        <is>
          <t>CUL-2448</t>
        </is>
      </c>
      <c r="B2452" s="11" t="n">
        <v>487</v>
      </c>
      <c r="C2452" s="13" t="inlineStr">
        <is>
          <t>Nº 24324</t>
        </is>
      </c>
      <c r="D2452" s="14" t="inlineStr">
        <is>
          <t>PROCYMIDONE</t>
        </is>
      </c>
      <c r="E2452" s="13" t="inlineStr">
        <is>
          <t>Pulverização Agrícola Conforme Bula</t>
        </is>
      </c>
      <c r="F2452" s="13" t="inlineStr">
        <is>
          <t>Soja</t>
        </is>
      </c>
      <c r="G2452" s="13" t="inlineStr">
        <is>
          <t>Cultura Autorizada na Bula</t>
        </is>
      </c>
      <c r="H2452" s="13" t="inlineStr">
        <is>
          <t>100 a 300 L/ha</t>
        </is>
      </c>
      <c r="I2452" s="13" t="inlineStr">
        <is>
          <t>20 a 40 L/ha</t>
        </is>
      </c>
      <c r="J2452" s="13" t="inlineStr">
        <is>
          <t>30 dias</t>
        </is>
      </c>
    </row>
    <row r="2453" ht="22" customHeight="1">
      <c r="A2453" s="6" t="inlineStr">
        <is>
          <t>CUL-2449</t>
        </is>
      </c>
      <c r="B2453" s="5" t="n">
        <v>487</v>
      </c>
      <c r="C2453" s="7" t="inlineStr">
        <is>
          <t>Nº 24324</t>
        </is>
      </c>
      <c r="D2453" s="8" t="inlineStr">
        <is>
          <t>PROCYMIDONE</t>
        </is>
      </c>
      <c r="E2453" s="7" t="inlineStr">
        <is>
          <t>Pulverização Agrícola Conforme Bula</t>
        </is>
      </c>
      <c r="F2453" s="7" t="inlineStr">
        <is>
          <t>Milho</t>
        </is>
      </c>
      <c r="G2453" s="7" t="inlineStr">
        <is>
          <t>Cultura Autorizada na Bula</t>
        </is>
      </c>
      <c r="H2453" s="7" t="inlineStr">
        <is>
          <t>100 a 300 L/ha</t>
        </is>
      </c>
      <c r="I2453" s="7" t="inlineStr">
        <is>
          <t>20 a 40 L/ha</t>
        </is>
      </c>
      <c r="J2453" s="7" t="inlineStr">
        <is>
          <t>30 dias</t>
        </is>
      </c>
    </row>
    <row r="2454" ht="22" customHeight="1">
      <c r="A2454" s="12" t="inlineStr">
        <is>
          <t>CUL-2450</t>
        </is>
      </c>
      <c r="B2454" s="11" t="n">
        <v>487</v>
      </c>
      <c r="C2454" s="13" t="inlineStr">
        <is>
          <t>Nº 24324</t>
        </is>
      </c>
      <c r="D2454" s="14" t="inlineStr">
        <is>
          <t>PROCYMIDONE</t>
        </is>
      </c>
      <c r="E2454" s="13" t="inlineStr">
        <is>
          <t>Pulverização Agrícola Conforme Bula</t>
        </is>
      </c>
      <c r="F2454" s="13" t="inlineStr">
        <is>
          <t>Algodão</t>
        </is>
      </c>
      <c r="G2454" s="13" t="inlineStr">
        <is>
          <t>Cultura Autorizada na Bula</t>
        </is>
      </c>
      <c r="H2454" s="13" t="inlineStr">
        <is>
          <t>100 a 300 L/ha</t>
        </is>
      </c>
      <c r="I2454" s="13" t="inlineStr">
        <is>
          <t>20 a 40 L/ha</t>
        </is>
      </c>
      <c r="J2454" s="13" t="inlineStr">
        <is>
          <t>30 dias</t>
        </is>
      </c>
    </row>
    <row r="2455" ht="22" customHeight="1">
      <c r="A2455" s="6" t="inlineStr">
        <is>
          <t>CUL-2451</t>
        </is>
      </c>
      <c r="B2455" s="5" t="n">
        <v>487</v>
      </c>
      <c r="C2455" s="7" t="inlineStr">
        <is>
          <t>Nº 24324</t>
        </is>
      </c>
      <c r="D2455" s="8" t="inlineStr">
        <is>
          <t>PROCYMIDONE</t>
        </is>
      </c>
      <c r="E2455" s="7" t="inlineStr">
        <is>
          <t>Pulverização Agrícola Conforme Bula</t>
        </is>
      </c>
      <c r="F2455" s="7" t="inlineStr">
        <is>
          <t>Trigo</t>
        </is>
      </c>
      <c r="G2455" s="7" t="inlineStr">
        <is>
          <t>Cultura Autorizada na Bula</t>
        </is>
      </c>
      <c r="H2455" s="7" t="inlineStr">
        <is>
          <t>100 a 300 L/ha</t>
        </is>
      </c>
      <c r="I2455" s="7" t="inlineStr">
        <is>
          <t>20 a 40 L/ha</t>
        </is>
      </c>
      <c r="J2455" s="7" t="inlineStr">
        <is>
          <t>30 dias</t>
        </is>
      </c>
    </row>
    <row r="2456" ht="22" customHeight="1">
      <c r="A2456" s="12" t="inlineStr">
        <is>
          <t>CUL-2452</t>
        </is>
      </c>
      <c r="B2456" s="11" t="n">
        <v>487</v>
      </c>
      <c r="C2456" s="13" t="inlineStr">
        <is>
          <t>Nº 24324</t>
        </is>
      </c>
      <c r="D2456" s="14" t="inlineStr">
        <is>
          <t>PROCYMIDONE</t>
        </is>
      </c>
      <c r="E2456" s="13" t="inlineStr">
        <is>
          <t>Pulverização Agrícola Conforme Bula</t>
        </is>
      </c>
      <c r="F2456" s="13" t="inlineStr">
        <is>
          <t>Feijão</t>
        </is>
      </c>
      <c r="G2456" s="13" t="inlineStr">
        <is>
          <t>Cultura Autorizada na Bula</t>
        </is>
      </c>
      <c r="H2456" s="13" t="inlineStr">
        <is>
          <t>100 a 300 L/ha</t>
        </is>
      </c>
      <c r="I2456" s="13" t="inlineStr">
        <is>
          <t>20 a 40 L/ha</t>
        </is>
      </c>
      <c r="J2456" s="13" t="inlineStr">
        <is>
          <t>14 dias</t>
        </is>
      </c>
    </row>
    <row r="2457" ht="22" customHeight="1">
      <c r="A2457" s="6" t="inlineStr">
        <is>
          <t>CUL-2453</t>
        </is>
      </c>
      <c r="B2457" s="5" t="n">
        <v>488</v>
      </c>
      <c r="C2457" s="7" t="inlineStr">
        <is>
          <t>Nº 26023</t>
        </is>
      </c>
      <c r="D2457" s="8" t="inlineStr">
        <is>
          <t>MAJESTUOSO</t>
        </is>
      </c>
      <c r="E2457" s="7" t="inlineStr">
        <is>
          <t>Pulverização Agrícola Conforme Bula</t>
        </is>
      </c>
      <c r="F2457" s="7" t="inlineStr">
        <is>
          <t>Soja</t>
        </is>
      </c>
      <c r="G2457" s="7" t="inlineStr">
        <is>
          <t>Cultura Autorizada na Bula</t>
        </is>
      </c>
      <c r="H2457" s="7" t="inlineStr">
        <is>
          <t>100 a 300 L/ha</t>
        </is>
      </c>
      <c r="I2457" s="7" t="inlineStr">
        <is>
          <t>20 a 40 L/ha</t>
        </is>
      </c>
      <c r="J2457" s="7" t="inlineStr">
        <is>
          <t>21 dias</t>
        </is>
      </c>
    </row>
    <row r="2458" ht="22" customHeight="1">
      <c r="A2458" s="12" t="inlineStr">
        <is>
          <t>CUL-2454</t>
        </is>
      </c>
      <c r="B2458" s="11" t="n">
        <v>488</v>
      </c>
      <c r="C2458" s="13" t="inlineStr">
        <is>
          <t>Nº 26023</t>
        </is>
      </c>
      <c r="D2458" s="14" t="inlineStr">
        <is>
          <t>MAJESTUOSO</t>
        </is>
      </c>
      <c r="E2458" s="13" t="inlineStr">
        <is>
          <t>Pulverização Agrícola Conforme Bula</t>
        </is>
      </c>
      <c r="F2458" s="13" t="inlineStr">
        <is>
          <t>Milho</t>
        </is>
      </c>
      <c r="G2458" s="13" t="inlineStr">
        <is>
          <t>Cultura Autorizada na Bula</t>
        </is>
      </c>
      <c r="H2458" s="13" t="inlineStr">
        <is>
          <t>100 a 300 L/ha</t>
        </is>
      </c>
      <c r="I2458" s="13" t="inlineStr">
        <is>
          <t>20 a 40 L/ha</t>
        </is>
      </c>
      <c r="J2458" s="13" t="inlineStr">
        <is>
          <t>21 dias</t>
        </is>
      </c>
    </row>
    <row r="2459" ht="22" customHeight="1">
      <c r="A2459" s="6" t="inlineStr">
        <is>
          <t>CUL-2455</t>
        </is>
      </c>
      <c r="B2459" s="5" t="n">
        <v>488</v>
      </c>
      <c r="C2459" s="7" t="inlineStr">
        <is>
          <t>Nº 26023</t>
        </is>
      </c>
      <c r="D2459" s="8" t="inlineStr">
        <is>
          <t>MAJESTUOSO</t>
        </is>
      </c>
      <c r="E2459" s="7" t="inlineStr">
        <is>
          <t>Pulverização Agrícola Conforme Bula</t>
        </is>
      </c>
      <c r="F2459" s="7" t="inlineStr">
        <is>
          <t>Algodão</t>
        </is>
      </c>
      <c r="G2459" s="7" t="inlineStr">
        <is>
          <t>Cultura Autorizada na Bula</t>
        </is>
      </c>
      <c r="H2459" s="7" t="inlineStr">
        <is>
          <t>100 a 300 L/ha</t>
        </is>
      </c>
      <c r="I2459" s="7" t="inlineStr">
        <is>
          <t>20 a 40 L/ha</t>
        </is>
      </c>
      <c r="J2459" s="7" t="inlineStr">
        <is>
          <t>21 dias</t>
        </is>
      </c>
    </row>
    <row r="2460" ht="22" customHeight="1">
      <c r="A2460" s="12" t="inlineStr">
        <is>
          <t>CUL-2456</t>
        </is>
      </c>
      <c r="B2460" s="11" t="n">
        <v>488</v>
      </c>
      <c r="C2460" s="13" t="inlineStr">
        <is>
          <t>Nº 26023</t>
        </is>
      </c>
      <c r="D2460" s="14" t="inlineStr">
        <is>
          <t>MAJESTUOSO</t>
        </is>
      </c>
      <c r="E2460" s="13" t="inlineStr">
        <is>
          <t>Pulverização Agrícola Conforme Bula</t>
        </is>
      </c>
      <c r="F2460" s="13" t="inlineStr">
        <is>
          <t>Feijão</t>
        </is>
      </c>
      <c r="G2460" s="13" t="inlineStr">
        <is>
          <t>Cultura Autorizada na Bula</t>
        </is>
      </c>
      <c r="H2460" s="13" t="inlineStr">
        <is>
          <t>100 a 300 L/ha</t>
        </is>
      </c>
      <c r="I2460" s="13" t="inlineStr">
        <is>
          <t>20 a 40 L/ha</t>
        </is>
      </c>
      <c r="J2460" s="13" t="inlineStr">
        <is>
          <t>14 dias</t>
        </is>
      </c>
    </row>
    <row r="2461" ht="22" customHeight="1">
      <c r="A2461" s="6" t="inlineStr">
        <is>
          <t>CUL-2457</t>
        </is>
      </c>
      <c r="B2461" s="5" t="n">
        <v>489</v>
      </c>
      <c r="C2461" s="7" t="inlineStr">
        <is>
          <t>SIPEAGRO (UF-XXXXX)</t>
        </is>
      </c>
      <c r="D2461" s="8" t="inlineStr">
        <is>
          <t>NPK 19-04-19 (TON) (AGENCIADA)</t>
        </is>
      </c>
      <c r="E2461" s="7" t="inlineStr">
        <is>
          <t>Adubação de Solo / Foliar</t>
        </is>
      </c>
      <c r="F2461" s="7" t="inlineStr">
        <is>
          <t>Soja</t>
        </is>
      </c>
      <c r="G2461" s="7" t="inlineStr">
        <is>
          <t>Cultura Autorizada na Bula</t>
        </is>
      </c>
      <c r="H2461" s="7" t="inlineStr">
        <is>
          <t>100 a 300 L/ha</t>
        </is>
      </c>
      <c r="I2461" s="7" t="inlineStr">
        <is>
          <t>20 a 40 L/ha</t>
        </is>
      </c>
      <c r="J2461" s="7" t="inlineStr">
        <is>
          <t>Isento</t>
        </is>
      </c>
    </row>
    <row r="2462" ht="22" customHeight="1">
      <c r="A2462" s="12" t="inlineStr">
        <is>
          <t>CUL-2458</t>
        </is>
      </c>
      <c r="B2462" s="11" t="n">
        <v>489</v>
      </c>
      <c r="C2462" s="13" t="inlineStr">
        <is>
          <t>SIPEAGRO (UF-XXXXX)</t>
        </is>
      </c>
      <c r="D2462" s="14" t="inlineStr">
        <is>
          <t>NPK 19-04-19 (TON) (AGENCIADA)</t>
        </is>
      </c>
      <c r="E2462" s="13" t="inlineStr">
        <is>
          <t>Adubação de Solo / Foliar</t>
        </is>
      </c>
      <c r="F2462" s="13" t="inlineStr">
        <is>
          <t>Milho</t>
        </is>
      </c>
      <c r="G2462" s="13" t="inlineStr">
        <is>
          <t>Cultura Autorizada na Bula</t>
        </is>
      </c>
      <c r="H2462" s="13" t="inlineStr">
        <is>
          <t>100 a 300 L/ha</t>
        </is>
      </c>
      <c r="I2462" s="13" t="inlineStr">
        <is>
          <t>20 a 40 L/ha</t>
        </is>
      </c>
      <c r="J2462" s="13" t="inlineStr">
        <is>
          <t>Isento</t>
        </is>
      </c>
    </row>
    <row r="2463" ht="22" customHeight="1">
      <c r="A2463" s="6" t="inlineStr">
        <is>
          <t>CUL-2459</t>
        </is>
      </c>
      <c r="B2463" s="5" t="n">
        <v>489</v>
      </c>
      <c r="C2463" s="7" t="inlineStr">
        <is>
          <t>SIPEAGRO (UF-XXXXX)</t>
        </is>
      </c>
      <c r="D2463" s="8" t="inlineStr">
        <is>
          <t>NPK 19-04-19 (TON) (AGENCIADA)</t>
        </is>
      </c>
      <c r="E2463" s="7" t="inlineStr">
        <is>
          <t>Adubação de Solo / Foliar</t>
        </is>
      </c>
      <c r="F2463" s="7" t="inlineStr">
        <is>
          <t>Algodão</t>
        </is>
      </c>
      <c r="G2463" s="7" t="inlineStr">
        <is>
          <t>Cultura Autorizada na Bula</t>
        </is>
      </c>
      <c r="H2463" s="7" t="inlineStr">
        <is>
          <t>100 a 300 L/ha</t>
        </is>
      </c>
      <c r="I2463" s="7" t="inlineStr">
        <is>
          <t>20 a 40 L/ha</t>
        </is>
      </c>
      <c r="J2463" s="7" t="inlineStr">
        <is>
          <t>Isento</t>
        </is>
      </c>
    </row>
    <row r="2464" ht="22" customHeight="1">
      <c r="A2464" s="12" t="inlineStr">
        <is>
          <t>CUL-2460</t>
        </is>
      </c>
      <c r="B2464" s="11" t="n">
        <v>489</v>
      </c>
      <c r="C2464" s="13" t="inlineStr">
        <is>
          <t>SIPEAGRO (UF-XXXXX)</t>
        </is>
      </c>
      <c r="D2464" s="14" t="inlineStr">
        <is>
          <t>NPK 19-04-19 (TON) (AGENCIADA)</t>
        </is>
      </c>
      <c r="E2464" s="13" t="inlineStr">
        <is>
          <t>Adubação de Solo / Foliar</t>
        </is>
      </c>
      <c r="F2464" s="13" t="inlineStr">
        <is>
          <t>Cana-de-açúcar</t>
        </is>
      </c>
      <c r="G2464" s="13" t="inlineStr">
        <is>
          <t>Cultura Autorizada na Bula</t>
        </is>
      </c>
      <c r="H2464" s="13" t="inlineStr">
        <is>
          <t>100 a 300 L/ha</t>
        </is>
      </c>
      <c r="I2464" s="13" t="inlineStr">
        <is>
          <t>20 a 40 L/ha</t>
        </is>
      </c>
      <c r="J2464" s="13" t="inlineStr">
        <is>
          <t>Isento</t>
        </is>
      </c>
    </row>
    <row r="2465" ht="22" customHeight="1">
      <c r="A2465" s="6" t="inlineStr">
        <is>
          <t>CUL-2461</t>
        </is>
      </c>
      <c r="B2465" s="5" t="n">
        <v>489</v>
      </c>
      <c r="C2465" s="7" t="inlineStr">
        <is>
          <t>SIPEAGRO (UF-XXXXX)</t>
        </is>
      </c>
      <c r="D2465" s="8" t="inlineStr">
        <is>
          <t>NPK 19-04-19 (TON) (AGENCIADA)</t>
        </is>
      </c>
      <c r="E2465" s="7" t="inlineStr">
        <is>
          <t>Adubação de Solo / Foliar</t>
        </is>
      </c>
      <c r="F2465" s="7" t="inlineStr">
        <is>
          <t>Café</t>
        </is>
      </c>
      <c r="G2465" s="7" t="inlineStr">
        <is>
          <t>Cultura Autorizada na Bula</t>
        </is>
      </c>
      <c r="H2465" s="7" t="inlineStr">
        <is>
          <t>100 a 300 L/ha</t>
        </is>
      </c>
      <c r="I2465" s="7" t="inlineStr">
        <is>
          <t>20 a 40 L/ha</t>
        </is>
      </c>
      <c r="J2465" s="7" t="inlineStr">
        <is>
          <t>Isento</t>
        </is>
      </c>
    </row>
    <row r="2466" ht="22" customHeight="1">
      <c r="A2466" s="12" t="inlineStr">
        <is>
          <t>CUL-2462</t>
        </is>
      </c>
      <c r="B2466" s="11" t="n">
        <v>490</v>
      </c>
      <c r="C2466" s="13" t="inlineStr">
        <is>
          <t>Nº 27323</t>
        </is>
      </c>
      <c r="D2466" s="14" t="inlineStr">
        <is>
          <t>ACEGOL</t>
        </is>
      </c>
      <c r="E2466" s="13" t="inlineStr">
        <is>
          <t>Pulverização Agrícola Conforme Bula</t>
        </is>
      </c>
      <c r="F2466" s="13" t="inlineStr">
        <is>
          <t>Algodão</t>
        </is>
      </c>
      <c r="G2466" s="13" t="inlineStr">
        <is>
          <t>Cultura Autorizada na Bula</t>
        </is>
      </c>
      <c r="H2466" s="13" t="inlineStr">
        <is>
          <t>100 a 300 L/ha</t>
        </is>
      </c>
      <c r="I2466" s="13" t="inlineStr">
        <is>
          <t>20 a 40 L/ha</t>
        </is>
      </c>
      <c r="J2466" s="13" t="inlineStr">
        <is>
          <t>28 dias</t>
        </is>
      </c>
    </row>
    <row r="2467" ht="22" customHeight="1">
      <c r="A2467" s="6" t="inlineStr">
        <is>
          <t>CUL-2463</t>
        </is>
      </c>
      <c r="B2467" s="5" t="n">
        <v>490</v>
      </c>
      <c r="C2467" s="7" t="inlineStr">
        <is>
          <t>Nº 27323</t>
        </is>
      </c>
      <c r="D2467" s="8" t="inlineStr">
        <is>
          <t>ACEGOL</t>
        </is>
      </c>
      <c r="E2467" s="7" t="inlineStr">
        <is>
          <t>Pulverização Agrícola Conforme Bula</t>
        </is>
      </c>
      <c r="F2467" s="7" t="inlineStr">
        <is>
          <t>Soja</t>
        </is>
      </c>
      <c r="G2467" s="7" t="inlineStr">
        <is>
          <t>Cultura Autorizada na Bula</t>
        </is>
      </c>
      <c r="H2467" s="7" t="inlineStr">
        <is>
          <t>100 a 300 L/ha</t>
        </is>
      </c>
      <c r="I2467" s="7" t="inlineStr">
        <is>
          <t>20 a 40 L/ha</t>
        </is>
      </c>
      <c r="J2467" s="7" t="inlineStr">
        <is>
          <t>21 dias</t>
        </is>
      </c>
    </row>
    <row r="2468" ht="22" customHeight="1">
      <c r="A2468" s="12" t="inlineStr">
        <is>
          <t>CUL-2464</t>
        </is>
      </c>
      <c r="B2468" s="11" t="n">
        <v>490</v>
      </c>
      <c r="C2468" s="13" t="inlineStr">
        <is>
          <t>Nº 27323</t>
        </is>
      </c>
      <c r="D2468" s="14" t="inlineStr">
        <is>
          <t>ACEGOL</t>
        </is>
      </c>
      <c r="E2468" s="13" t="inlineStr">
        <is>
          <t>Pulverização Agrícola Conforme Bula</t>
        </is>
      </c>
      <c r="F2468" s="13" t="inlineStr">
        <is>
          <t>Milho</t>
        </is>
      </c>
      <c r="G2468" s="13" t="inlineStr">
        <is>
          <t>Cultura Autorizada na Bula</t>
        </is>
      </c>
      <c r="H2468" s="13" t="inlineStr">
        <is>
          <t>100 a 300 L/ha</t>
        </is>
      </c>
      <c r="I2468" s="13" t="inlineStr">
        <is>
          <t>20 a 40 L/ha</t>
        </is>
      </c>
      <c r="J2468" s="13" t="inlineStr">
        <is>
          <t>30 dias</t>
        </is>
      </c>
    </row>
    <row r="2469" ht="22" customHeight="1">
      <c r="A2469" s="6" t="inlineStr">
        <is>
          <t>CUL-2465</t>
        </is>
      </c>
      <c r="B2469" s="5" t="n">
        <v>490</v>
      </c>
      <c r="C2469" s="7" t="inlineStr">
        <is>
          <t>Nº 27323</t>
        </is>
      </c>
      <c r="D2469" s="8" t="inlineStr">
        <is>
          <t>ACEGOL</t>
        </is>
      </c>
      <c r="E2469" s="7" t="inlineStr">
        <is>
          <t>Pulverização Agrícola Conforme Bula</t>
        </is>
      </c>
      <c r="F2469" s="7" t="inlineStr">
        <is>
          <t>Feijão</t>
        </is>
      </c>
      <c r="G2469" s="7" t="inlineStr">
        <is>
          <t>Cultura Autorizada na Bula</t>
        </is>
      </c>
      <c r="H2469" s="7" t="inlineStr">
        <is>
          <t>100 a 300 L/ha</t>
        </is>
      </c>
      <c r="I2469" s="7" t="inlineStr">
        <is>
          <t>20 a 40 L/ha</t>
        </is>
      </c>
      <c r="J2469" s="7" t="inlineStr">
        <is>
          <t>14 dias</t>
        </is>
      </c>
    </row>
    <row r="2470" ht="22" customHeight="1">
      <c r="A2470" s="12" t="inlineStr">
        <is>
          <t>CUL-2466</t>
        </is>
      </c>
      <c r="B2470" s="11" t="n">
        <v>490</v>
      </c>
      <c r="C2470" s="13" t="inlineStr">
        <is>
          <t>Nº 27323</t>
        </is>
      </c>
      <c r="D2470" s="14" t="inlineStr">
        <is>
          <t>ACEGOL</t>
        </is>
      </c>
      <c r="E2470" s="13" t="inlineStr">
        <is>
          <t>Pulverização Agrícola Conforme Bula</t>
        </is>
      </c>
      <c r="F2470" s="13" t="inlineStr">
        <is>
          <t>Café</t>
        </is>
      </c>
      <c r="G2470" s="13" t="inlineStr">
        <is>
          <t>Cultura Autorizada na Bula</t>
        </is>
      </c>
      <c r="H2470" s="13" t="inlineStr">
        <is>
          <t>100 a 300 L/ha</t>
        </is>
      </c>
      <c r="I2470" s="13" t="inlineStr">
        <is>
          <t>20 a 40 L/ha</t>
        </is>
      </c>
      <c r="J2470" s="13" t="inlineStr">
        <is>
          <t>28 dias</t>
        </is>
      </c>
    </row>
    <row r="2471" ht="22" customHeight="1">
      <c r="A2471" s="6" t="inlineStr">
        <is>
          <t>CUL-2467</t>
        </is>
      </c>
      <c r="B2471" s="5" t="n">
        <v>490</v>
      </c>
      <c r="C2471" s="7" t="inlineStr">
        <is>
          <t>Nº 27323</t>
        </is>
      </c>
      <c r="D2471" s="8" t="inlineStr">
        <is>
          <t>ACEGOL</t>
        </is>
      </c>
      <c r="E2471" s="7" t="inlineStr">
        <is>
          <t>Pulverização Agrícola Conforme Bula</t>
        </is>
      </c>
      <c r="F2471" s="7" t="inlineStr">
        <is>
          <t>Citros</t>
        </is>
      </c>
      <c r="G2471" s="7" t="inlineStr">
        <is>
          <t>Cultura Autorizada na Bula</t>
        </is>
      </c>
      <c r="H2471" s="7" t="inlineStr">
        <is>
          <t>100 a 300 L/ha</t>
        </is>
      </c>
      <c r="I2471" s="7" t="inlineStr">
        <is>
          <t>20 a 40 L/ha</t>
        </is>
      </c>
      <c r="J2471" s="7" t="inlineStr">
        <is>
          <t>7 dias</t>
        </is>
      </c>
    </row>
    <row r="2472" ht="22" customHeight="1">
      <c r="A2472" s="12" t="inlineStr">
        <is>
          <t>CUL-2468</t>
        </is>
      </c>
      <c r="B2472" s="11" t="n">
        <v>490</v>
      </c>
      <c r="C2472" s="13" t="inlineStr">
        <is>
          <t>Nº 27323</t>
        </is>
      </c>
      <c r="D2472" s="14" t="inlineStr">
        <is>
          <t>ACEGOL</t>
        </is>
      </c>
      <c r="E2472" s="13" t="inlineStr">
        <is>
          <t>Pulverização Agrícola Conforme Bula</t>
        </is>
      </c>
      <c r="F2472" s="13" t="inlineStr">
        <is>
          <t>Tomate</t>
        </is>
      </c>
      <c r="G2472" s="13" t="inlineStr">
        <is>
          <t>Cultura Autorizada na Bula</t>
        </is>
      </c>
      <c r="H2472" s="13" t="inlineStr">
        <is>
          <t>100 a 300 L/ha</t>
        </is>
      </c>
      <c r="I2472" s="13" t="inlineStr">
        <is>
          <t>20 a 40 L/ha</t>
        </is>
      </c>
      <c r="J2472" s="13" t="inlineStr">
        <is>
          <t>3 dias</t>
        </is>
      </c>
    </row>
    <row r="2473" ht="22" customHeight="1">
      <c r="A2473" s="6" t="inlineStr">
        <is>
          <t>CUL-2469</t>
        </is>
      </c>
      <c r="B2473" s="5" t="n">
        <v>491</v>
      </c>
      <c r="C2473" s="7" t="inlineStr">
        <is>
          <t>Nº 31522</t>
        </is>
      </c>
      <c r="D2473" s="8" t="inlineStr">
        <is>
          <t>METOMY</t>
        </is>
      </c>
      <c r="E2473" s="7" t="inlineStr">
        <is>
          <t>Pulverização Agrícola Conforme Bula</t>
        </is>
      </c>
      <c r="F2473" s="7" t="inlineStr">
        <is>
          <t>Soja</t>
        </is>
      </c>
      <c r="G2473" s="7" t="inlineStr">
        <is>
          <t>Cultura Autorizada na Bula</t>
        </is>
      </c>
      <c r="H2473" s="7" t="inlineStr">
        <is>
          <t>100 a 300 L/ha</t>
        </is>
      </c>
      <c r="I2473" s="7" t="inlineStr">
        <is>
          <t>20 a 40 L/ha</t>
        </is>
      </c>
      <c r="J2473" s="7" t="inlineStr">
        <is>
          <t>14 dias</t>
        </is>
      </c>
    </row>
    <row r="2474" ht="22" customHeight="1">
      <c r="A2474" s="12" t="inlineStr">
        <is>
          <t>CUL-2470</t>
        </is>
      </c>
      <c r="B2474" s="11" t="n">
        <v>491</v>
      </c>
      <c r="C2474" s="13" t="inlineStr">
        <is>
          <t>Nº 31522</t>
        </is>
      </c>
      <c r="D2474" s="14" t="inlineStr">
        <is>
          <t>METOMY</t>
        </is>
      </c>
      <c r="E2474" s="13" t="inlineStr">
        <is>
          <t>Pulverização Agrícola Conforme Bula</t>
        </is>
      </c>
      <c r="F2474" s="13" t="inlineStr">
        <is>
          <t>Milho</t>
        </is>
      </c>
      <c r="G2474" s="13" t="inlineStr">
        <is>
          <t>Cultura Autorizada na Bula</t>
        </is>
      </c>
      <c r="H2474" s="13" t="inlineStr">
        <is>
          <t>100 a 300 L/ha</t>
        </is>
      </c>
      <c r="I2474" s="13" t="inlineStr">
        <is>
          <t>20 a 40 L/ha</t>
        </is>
      </c>
      <c r="J2474" s="13" t="inlineStr">
        <is>
          <t>14 dias</t>
        </is>
      </c>
    </row>
    <row r="2475" ht="22" customHeight="1">
      <c r="A2475" s="6" t="inlineStr">
        <is>
          <t>CUL-2471</t>
        </is>
      </c>
      <c r="B2475" s="5" t="n">
        <v>491</v>
      </c>
      <c r="C2475" s="7" t="inlineStr">
        <is>
          <t>Nº 31522</t>
        </is>
      </c>
      <c r="D2475" s="8" t="inlineStr">
        <is>
          <t>METOMY</t>
        </is>
      </c>
      <c r="E2475" s="7" t="inlineStr">
        <is>
          <t>Pulverização Agrícola Conforme Bula</t>
        </is>
      </c>
      <c r="F2475" s="7" t="inlineStr">
        <is>
          <t>Algodão</t>
        </is>
      </c>
      <c r="G2475" s="7" t="inlineStr">
        <is>
          <t>Cultura Autorizada na Bula</t>
        </is>
      </c>
      <c r="H2475" s="7" t="inlineStr">
        <is>
          <t>100 a 300 L/ha</t>
        </is>
      </c>
      <c r="I2475" s="7" t="inlineStr">
        <is>
          <t>20 a 40 L/ha</t>
        </is>
      </c>
      <c r="J2475" s="7" t="inlineStr">
        <is>
          <t>14 dias</t>
        </is>
      </c>
    </row>
    <row r="2476" ht="22" customHeight="1">
      <c r="A2476" s="12" t="inlineStr">
        <is>
          <t>CUL-2472</t>
        </is>
      </c>
      <c r="B2476" s="11" t="n">
        <v>491</v>
      </c>
      <c r="C2476" s="13" t="inlineStr">
        <is>
          <t>Nº 31522</t>
        </is>
      </c>
      <c r="D2476" s="14" t="inlineStr">
        <is>
          <t>METOMY</t>
        </is>
      </c>
      <c r="E2476" s="13" t="inlineStr">
        <is>
          <t>Pulverização Agrícola Conforme Bula</t>
        </is>
      </c>
      <c r="F2476" s="13" t="inlineStr">
        <is>
          <t>Trigo</t>
        </is>
      </c>
      <c r="G2476" s="13" t="inlineStr">
        <is>
          <t>Cultura Autorizada na Bula</t>
        </is>
      </c>
      <c r="H2476" s="13" t="inlineStr">
        <is>
          <t>100 a 300 L/ha</t>
        </is>
      </c>
      <c r="I2476" s="13" t="inlineStr">
        <is>
          <t>20 a 40 L/ha</t>
        </is>
      </c>
      <c r="J2476" s="13" t="inlineStr">
        <is>
          <t>14 dias</t>
        </is>
      </c>
    </row>
    <row r="2477" ht="22" customHeight="1">
      <c r="A2477" s="6" t="inlineStr">
        <is>
          <t>CUL-2473</t>
        </is>
      </c>
      <c r="B2477" s="5" t="n">
        <v>491</v>
      </c>
      <c r="C2477" s="7" t="inlineStr">
        <is>
          <t>Nº 31522</t>
        </is>
      </c>
      <c r="D2477" s="8" t="inlineStr">
        <is>
          <t>METOMY</t>
        </is>
      </c>
      <c r="E2477" s="7" t="inlineStr">
        <is>
          <t>Pulverização Agrícola Conforme Bula</t>
        </is>
      </c>
      <c r="F2477" s="7" t="inlineStr">
        <is>
          <t>Batata</t>
        </is>
      </c>
      <c r="G2477" s="7" t="inlineStr">
        <is>
          <t>Cultura Autorizada na Bula</t>
        </is>
      </c>
      <c r="H2477" s="7" t="inlineStr">
        <is>
          <t>100 a 300 L/ha</t>
        </is>
      </c>
      <c r="I2477" s="7" t="inlineStr">
        <is>
          <t>20 a 40 L/ha</t>
        </is>
      </c>
      <c r="J2477" s="7" t="inlineStr">
        <is>
          <t>14 dias</t>
        </is>
      </c>
    </row>
    <row r="2478" ht="22" customHeight="1">
      <c r="A2478" s="12" t="inlineStr">
        <is>
          <t>CUL-2474</t>
        </is>
      </c>
      <c r="B2478" s="11" t="n">
        <v>491</v>
      </c>
      <c r="C2478" s="13" t="inlineStr">
        <is>
          <t>Nº 31522</t>
        </is>
      </c>
      <c r="D2478" s="14" t="inlineStr">
        <is>
          <t>METOMY</t>
        </is>
      </c>
      <c r="E2478" s="13" t="inlineStr">
        <is>
          <t>Pulverização Agrícola Conforme Bula</t>
        </is>
      </c>
      <c r="F2478" s="13" t="inlineStr">
        <is>
          <t>Tomate</t>
        </is>
      </c>
      <c r="G2478" s="13" t="inlineStr">
        <is>
          <t>Cultura Autorizada na Bula</t>
        </is>
      </c>
      <c r="H2478" s="13" t="inlineStr">
        <is>
          <t>100 a 300 L/ha</t>
        </is>
      </c>
      <c r="I2478" s="13" t="inlineStr">
        <is>
          <t>20 a 40 L/ha</t>
        </is>
      </c>
      <c r="J2478" s="13" t="inlineStr">
        <is>
          <t>3 dias</t>
        </is>
      </c>
    </row>
    <row r="2479" ht="22" customHeight="1">
      <c r="A2479" s="6" t="inlineStr">
        <is>
          <t>CUL-2475</t>
        </is>
      </c>
      <c r="B2479" s="5" t="n">
        <v>492</v>
      </c>
      <c r="C2479" s="7" t="inlineStr">
        <is>
          <t>SIPEAGRO (UF-XXXXX)</t>
        </is>
      </c>
      <c r="D2479" s="8" t="inlineStr">
        <is>
          <t>HIPHOS 25 GR 00-25-00 BAG</t>
        </is>
      </c>
      <c r="E2479" s="7" t="inlineStr">
        <is>
          <t>Adubação de Solo / Foliar</t>
        </is>
      </c>
      <c r="F2479" s="7" t="inlineStr">
        <is>
          <t>Soja</t>
        </is>
      </c>
      <c r="G2479" s="7" t="inlineStr">
        <is>
          <t>Cultura Autorizada na Bula</t>
        </is>
      </c>
      <c r="H2479" s="7" t="inlineStr">
        <is>
          <t>100 a 300 L/ha</t>
        </is>
      </c>
      <c r="I2479" s="7" t="inlineStr">
        <is>
          <t>20 a 40 L/ha</t>
        </is>
      </c>
      <c r="J2479" s="7" t="inlineStr">
        <is>
          <t>Isento</t>
        </is>
      </c>
    </row>
    <row r="2480" ht="22" customHeight="1">
      <c r="A2480" s="12" t="inlineStr">
        <is>
          <t>CUL-2476</t>
        </is>
      </c>
      <c r="B2480" s="11" t="n">
        <v>492</v>
      </c>
      <c r="C2480" s="13" t="inlineStr">
        <is>
          <t>SIPEAGRO (UF-XXXXX)</t>
        </is>
      </c>
      <c r="D2480" s="14" t="inlineStr">
        <is>
          <t>HIPHOS 25 GR 00-25-00 BAG</t>
        </is>
      </c>
      <c r="E2480" s="13" t="inlineStr">
        <is>
          <t>Adubação de Solo / Foliar</t>
        </is>
      </c>
      <c r="F2480" s="13" t="inlineStr">
        <is>
          <t>Milho</t>
        </is>
      </c>
      <c r="G2480" s="13" t="inlineStr">
        <is>
          <t>Cultura Autorizada na Bula</t>
        </is>
      </c>
      <c r="H2480" s="13" t="inlineStr">
        <is>
          <t>100 a 300 L/ha</t>
        </is>
      </c>
      <c r="I2480" s="13" t="inlineStr">
        <is>
          <t>20 a 40 L/ha</t>
        </is>
      </c>
      <c r="J2480" s="13" t="inlineStr">
        <is>
          <t>Isento</t>
        </is>
      </c>
    </row>
    <row r="2481" ht="22" customHeight="1">
      <c r="A2481" s="6" t="inlineStr">
        <is>
          <t>CUL-2477</t>
        </is>
      </c>
      <c r="B2481" s="5" t="n">
        <v>492</v>
      </c>
      <c r="C2481" s="7" t="inlineStr">
        <is>
          <t>SIPEAGRO (UF-XXXXX)</t>
        </is>
      </c>
      <c r="D2481" s="8" t="inlineStr">
        <is>
          <t>HIPHOS 25 GR 00-25-00 BAG</t>
        </is>
      </c>
      <c r="E2481" s="7" t="inlineStr">
        <is>
          <t>Adubação de Solo / Foliar</t>
        </is>
      </c>
      <c r="F2481" s="7" t="inlineStr">
        <is>
          <t>Algodão</t>
        </is>
      </c>
      <c r="G2481" s="7" t="inlineStr">
        <is>
          <t>Cultura Autorizada na Bula</t>
        </is>
      </c>
      <c r="H2481" s="7" t="inlineStr">
        <is>
          <t>100 a 300 L/ha</t>
        </is>
      </c>
      <c r="I2481" s="7" t="inlineStr">
        <is>
          <t>20 a 40 L/ha</t>
        </is>
      </c>
      <c r="J2481" s="7" t="inlineStr">
        <is>
          <t>Isento</t>
        </is>
      </c>
    </row>
    <row r="2482" ht="22" customHeight="1">
      <c r="A2482" s="12" t="inlineStr">
        <is>
          <t>CUL-2478</t>
        </is>
      </c>
      <c r="B2482" s="11" t="n">
        <v>492</v>
      </c>
      <c r="C2482" s="13" t="inlineStr">
        <is>
          <t>SIPEAGRO (UF-XXXXX)</t>
        </is>
      </c>
      <c r="D2482" s="14" t="inlineStr">
        <is>
          <t>HIPHOS 25 GR 00-25-00 BAG</t>
        </is>
      </c>
      <c r="E2482" s="13" t="inlineStr">
        <is>
          <t>Adubação de Solo / Foliar</t>
        </is>
      </c>
      <c r="F2482" s="13" t="inlineStr">
        <is>
          <t>Cana-de-açúcar</t>
        </is>
      </c>
      <c r="G2482" s="13" t="inlineStr">
        <is>
          <t>Cultura Autorizada na Bula</t>
        </is>
      </c>
      <c r="H2482" s="13" t="inlineStr">
        <is>
          <t>100 a 300 L/ha</t>
        </is>
      </c>
      <c r="I2482" s="13" t="inlineStr">
        <is>
          <t>20 a 40 L/ha</t>
        </is>
      </c>
      <c r="J2482" s="13" t="inlineStr">
        <is>
          <t>Isento</t>
        </is>
      </c>
    </row>
    <row r="2483" ht="22" customHeight="1">
      <c r="A2483" s="6" t="inlineStr">
        <is>
          <t>CUL-2479</t>
        </is>
      </c>
      <c r="B2483" s="5" t="n">
        <v>492</v>
      </c>
      <c r="C2483" s="7" t="inlineStr">
        <is>
          <t>SIPEAGRO (UF-XXXXX)</t>
        </is>
      </c>
      <c r="D2483" s="8" t="inlineStr">
        <is>
          <t>HIPHOS 25 GR 00-25-00 BAG</t>
        </is>
      </c>
      <c r="E2483" s="7" t="inlineStr">
        <is>
          <t>Adubação de Solo / Foliar</t>
        </is>
      </c>
      <c r="F2483" s="7" t="inlineStr">
        <is>
          <t>Café</t>
        </is>
      </c>
      <c r="G2483" s="7" t="inlineStr">
        <is>
          <t>Cultura Autorizada na Bula</t>
        </is>
      </c>
      <c r="H2483" s="7" t="inlineStr">
        <is>
          <t>100 a 300 L/ha</t>
        </is>
      </c>
      <c r="I2483" s="7" t="inlineStr">
        <is>
          <t>20 a 40 L/ha</t>
        </is>
      </c>
      <c r="J2483" s="7" t="inlineStr">
        <is>
          <t>Isento</t>
        </is>
      </c>
    </row>
    <row r="2484" ht="22" customHeight="1">
      <c r="A2484" s="12" t="inlineStr">
        <is>
          <t>CUL-2480</t>
        </is>
      </c>
      <c r="B2484" s="11" t="n">
        <v>493</v>
      </c>
      <c r="C2484" s="13" t="inlineStr">
        <is>
          <t>Nº 4900</t>
        </is>
      </c>
      <c r="D2484" s="14" t="inlineStr">
        <is>
          <t>CONVERGE 400 EC</t>
        </is>
      </c>
      <c r="E2484" s="13" t="inlineStr">
        <is>
          <t>Pulverização Agrícola Conforme Bula</t>
        </is>
      </c>
      <c r="F2484" s="13" t="inlineStr">
        <is>
          <t>Soja (Dessecação)</t>
        </is>
      </c>
      <c r="G2484" s="13" t="inlineStr">
        <is>
          <t>Cultura Autorizada na Bula</t>
        </is>
      </c>
      <c r="H2484" s="13" t="inlineStr">
        <is>
          <t>100 a 300 L/ha</t>
        </is>
      </c>
      <c r="I2484" s="13" t="inlineStr">
        <is>
          <t>20 a 40 L/ha</t>
        </is>
      </c>
      <c r="J2484" s="13" t="inlineStr">
        <is>
          <t>N/D</t>
        </is>
      </c>
    </row>
    <row r="2485" ht="22" customHeight="1">
      <c r="A2485" s="6" t="inlineStr">
        <is>
          <t>CUL-2481</t>
        </is>
      </c>
      <c r="B2485" s="5" t="n">
        <v>493</v>
      </c>
      <c r="C2485" s="7" t="inlineStr">
        <is>
          <t>Nº 4900</t>
        </is>
      </c>
      <c r="D2485" s="8" t="inlineStr">
        <is>
          <t>CONVERGE 400 EC</t>
        </is>
      </c>
      <c r="E2485" s="7" t="inlineStr">
        <is>
          <t>Pulverização Agrícola Conforme Bula</t>
        </is>
      </c>
      <c r="F2485" s="7" t="inlineStr">
        <is>
          <t>Milho</t>
        </is>
      </c>
      <c r="G2485" s="7" t="inlineStr">
        <is>
          <t>Cultura Autorizada na Bula</t>
        </is>
      </c>
      <c r="H2485" s="7" t="inlineStr">
        <is>
          <t>100 a 300 L/ha</t>
        </is>
      </c>
      <c r="I2485" s="7" t="inlineStr">
        <is>
          <t>20 a 40 L/ha</t>
        </is>
      </c>
      <c r="J2485" s="7" t="inlineStr">
        <is>
          <t>45 dias</t>
        </is>
      </c>
    </row>
    <row r="2486" ht="22" customHeight="1">
      <c r="A2486" s="12" t="inlineStr">
        <is>
          <t>CUL-2482</t>
        </is>
      </c>
      <c r="B2486" s="11" t="n">
        <v>493</v>
      </c>
      <c r="C2486" s="13" t="inlineStr">
        <is>
          <t>Nº 4900</t>
        </is>
      </c>
      <c r="D2486" s="14" t="inlineStr">
        <is>
          <t>CONVERGE 400 EC</t>
        </is>
      </c>
      <c r="E2486" s="13" t="inlineStr">
        <is>
          <t>Pulverização Agrícola Conforme Bula</t>
        </is>
      </c>
      <c r="F2486" s="13" t="inlineStr">
        <is>
          <t>Algodão (Desfolha / Jato Dirigido)</t>
        </is>
      </c>
      <c r="G2486" s="13" t="inlineStr">
        <is>
          <t>Cultura Autorizada na Bula</t>
        </is>
      </c>
      <c r="H2486" s="13" t="inlineStr">
        <is>
          <t>100 a 300 L/ha</t>
        </is>
      </c>
      <c r="I2486" s="13" t="inlineStr">
        <is>
          <t>20 a 40 L/ha</t>
        </is>
      </c>
      <c r="J2486" s="13" t="inlineStr">
        <is>
          <t>15 dias</t>
        </is>
      </c>
    </row>
    <row r="2487" ht="22" customHeight="1">
      <c r="A2487" s="6" t="inlineStr">
        <is>
          <t>CUL-2483</t>
        </is>
      </c>
      <c r="B2487" s="5" t="n">
        <v>493</v>
      </c>
      <c r="C2487" s="7" t="inlineStr">
        <is>
          <t>Nº 4900</t>
        </is>
      </c>
      <c r="D2487" s="8" t="inlineStr">
        <is>
          <t>CONVERGE 400 EC</t>
        </is>
      </c>
      <c r="E2487" s="7" t="inlineStr">
        <is>
          <t>Pulverização Agrícola Conforme Bula</t>
        </is>
      </c>
      <c r="F2487" s="7" t="inlineStr">
        <is>
          <t>Cana-de-açúcar</t>
        </is>
      </c>
      <c r="G2487" s="7" t="inlineStr">
        <is>
          <t>Cultura Autorizada na Bula</t>
        </is>
      </c>
      <c r="H2487" s="7" t="inlineStr">
        <is>
          <t>100 a 300 L/ha</t>
        </is>
      </c>
      <c r="I2487" s="7" t="inlineStr">
        <is>
          <t>20 a 40 L/ha</t>
        </is>
      </c>
      <c r="J2487" s="7" t="inlineStr">
        <is>
          <t>105 dias</t>
        </is>
      </c>
    </row>
    <row r="2488" ht="22" customHeight="1">
      <c r="A2488" s="12" t="inlineStr">
        <is>
          <t>CUL-2484</t>
        </is>
      </c>
      <c r="B2488" s="11" t="n">
        <v>493</v>
      </c>
      <c r="C2488" s="13" t="inlineStr">
        <is>
          <t>Nº 4900</t>
        </is>
      </c>
      <c r="D2488" s="14" t="inlineStr">
        <is>
          <t>CONVERGE 400 EC</t>
        </is>
      </c>
      <c r="E2488" s="13" t="inlineStr">
        <is>
          <t>Pulverização Agrícola Conforme Bula</t>
        </is>
      </c>
      <c r="F2488" s="13" t="inlineStr">
        <is>
          <t>Café</t>
        </is>
      </c>
      <c r="G2488" s="13" t="inlineStr">
        <is>
          <t>Cultura Autorizada na Bula</t>
        </is>
      </c>
      <c r="H2488" s="13" t="inlineStr">
        <is>
          <t>100 a 300 L/ha</t>
        </is>
      </c>
      <c r="I2488" s="13" t="inlineStr">
        <is>
          <t>20 a 40 L/ha</t>
        </is>
      </c>
      <c r="J2488" s="13" t="inlineStr">
        <is>
          <t>15 dias</t>
        </is>
      </c>
    </row>
    <row r="2489" ht="22" customHeight="1">
      <c r="A2489" s="6" t="inlineStr">
        <is>
          <t>CUL-2485</t>
        </is>
      </c>
      <c r="B2489" s="5" t="n">
        <v>493</v>
      </c>
      <c r="C2489" s="7" t="inlineStr">
        <is>
          <t>Nº 4900</t>
        </is>
      </c>
      <c r="D2489" s="8" t="inlineStr">
        <is>
          <t>CONVERGE 400 EC</t>
        </is>
      </c>
      <c r="E2489" s="7" t="inlineStr">
        <is>
          <t>Pulverização Agrícola Conforme Bula</t>
        </is>
      </c>
      <c r="F2489" s="7" t="inlineStr">
        <is>
          <t>Citros</t>
        </is>
      </c>
      <c r="G2489" s="7" t="inlineStr">
        <is>
          <t>Cultura Autorizada na Bula</t>
        </is>
      </c>
      <c r="H2489" s="7" t="inlineStr">
        <is>
          <t>100 a 300 L/ha</t>
        </is>
      </c>
      <c r="I2489" s="7" t="inlineStr">
        <is>
          <t>20 a 40 L/ha</t>
        </is>
      </c>
      <c r="J2489" s="7" t="inlineStr">
        <is>
          <t>15 dias</t>
        </is>
      </c>
    </row>
    <row r="2490" ht="22" customHeight="1">
      <c r="A2490" s="12" t="inlineStr">
        <is>
          <t>CUL-2486</t>
        </is>
      </c>
      <c r="B2490" s="11" t="n">
        <v>494</v>
      </c>
      <c r="C2490" s="13" t="inlineStr">
        <is>
          <t>Nº 1109</t>
        </is>
      </c>
      <c r="D2490" s="14" t="inlineStr">
        <is>
          <t>TROVATI 360 CS</t>
        </is>
      </c>
      <c r="E2490" s="13" t="inlineStr">
        <is>
          <t>Pulverização Agrícola Conforme Bula</t>
        </is>
      </c>
      <c r="F2490" s="13" t="inlineStr">
        <is>
          <t>Cana-de-açúcar</t>
        </is>
      </c>
      <c r="G2490" s="13" t="inlineStr">
        <is>
          <t>Cultura Autorizada na Bula</t>
        </is>
      </c>
      <c r="H2490" s="13" t="inlineStr">
        <is>
          <t>100 a 300 L/ha</t>
        </is>
      </c>
      <c r="I2490" s="13" t="inlineStr">
        <is>
          <t>20 a 40 L/ha</t>
        </is>
      </c>
      <c r="J2490" s="13" t="inlineStr">
        <is>
          <t>N/D</t>
        </is>
      </c>
    </row>
    <row r="2491" ht="22" customHeight="1">
      <c r="A2491" s="6" t="inlineStr">
        <is>
          <t>CUL-2487</t>
        </is>
      </c>
      <c r="B2491" s="5" t="n">
        <v>494</v>
      </c>
      <c r="C2491" s="7" t="inlineStr">
        <is>
          <t>Nº 1109</t>
        </is>
      </c>
      <c r="D2491" s="8" t="inlineStr">
        <is>
          <t>TROVATI 360 CS</t>
        </is>
      </c>
      <c r="E2491" s="7" t="inlineStr">
        <is>
          <t>Pulverização Agrícola Conforme Bula</t>
        </is>
      </c>
      <c r="F2491" s="7" t="inlineStr">
        <is>
          <t>Arroz</t>
        </is>
      </c>
      <c r="G2491" s="7" t="inlineStr">
        <is>
          <t>Cultura Autorizada na Bula</t>
        </is>
      </c>
      <c r="H2491" s="7" t="inlineStr">
        <is>
          <t>100 a 300 L/ha</t>
        </is>
      </c>
      <c r="I2491" s="7" t="inlineStr">
        <is>
          <t>20 a 40 L/ha</t>
        </is>
      </c>
      <c r="J2491" s="7" t="inlineStr">
        <is>
          <t>90 dias</t>
        </is>
      </c>
    </row>
    <row r="2492" ht="22" customHeight="1">
      <c r="A2492" s="12" t="inlineStr">
        <is>
          <t>CUL-2488</t>
        </is>
      </c>
      <c r="B2492" s="11" t="n">
        <v>494</v>
      </c>
      <c r="C2492" s="13" t="inlineStr">
        <is>
          <t>Nº 1109</t>
        </is>
      </c>
      <c r="D2492" s="14" t="inlineStr">
        <is>
          <t>TROVATI 360 CS</t>
        </is>
      </c>
      <c r="E2492" s="13" t="inlineStr">
        <is>
          <t>Pulverização Agrícola Conforme Bula</t>
        </is>
      </c>
      <c r="F2492" s="13" t="inlineStr">
        <is>
          <t>Soja</t>
        </is>
      </c>
      <c r="G2492" s="13" t="inlineStr">
        <is>
          <t>Cultura Autorizada na Bula</t>
        </is>
      </c>
      <c r="H2492" s="13" t="inlineStr">
        <is>
          <t>100 a 300 L/ha</t>
        </is>
      </c>
      <c r="I2492" s="13" t="inlineStr">
        <is>
          <t>20 a 40 L/ha</t>
        </is>
      </c>
      <c r="J2492" s="13" t="inlineStr">
        <is>
          <t>N/D</t>
        </is>
      </c>
    </row>
    <row r="2493" ht="22" customHeight="1">
      <c r="A2493" s="6" t="inlineStr">
        <is>
          <t>CUL-2489</t>
        </is>
      </c>
      <c r="B2493" s="5" t="n">
        <v>494</v>
      </c>
      <c r="C2493" s="7" t="inlineStr">
        <is>
          <t>Nº 1109</t>
        </is>
      </c>
      <c r="D2493" s="8" t="inlineStr">
        <is>
          <t>TROVATI 360 CS</t>
        </is>
      </c>
      <c r="E2493" s="7" t="inlineStr">
        <is>
          <t>Pulverização Agrícola Conforme Bula</t>
        </is>
      </c>
      <c r="F2493" s="7" t="inlineStr">
        <is>
          <t>Algodão</t>
        </is>
      </c>
      <c r="G2493" s="7" t="inlineStr">
        <is>
          <t>Cultura Autorizada na Bula</t>
        </is>
      </c>
      <c r="H2493" s="7" t="inlineStr">
        <is>
          <t>100 a 300 L/ha</t>
        </is>
      </c>
      <c r="I2493" s="7" t="inlineStr">
        <is>
          <t>20 a 40 L/ha</t>
        </is>
      </c>
      <c r="J2493" s="7" t="inlineStr">
        <is>
          <t>100 dias</t>
        </is>
      </c>
    </row>
    <row r="2494" ht="22" customHeight="1">
      <c r="A2494" s="12" t="inlineStr">
        <is>
          <t>CUL-2490</t>
        </is>
      </c>
      <c r="B2494" s="11" t="n">
        <v>494</v>
      </c>
      <c r="C2494" s="13" t="inlineStr">
        <is>
          <t>Nº 1109</t>
        </is>
      </c>
      <c r="D2494" s="14" t="inlineStr">
        <is>
          <t>TROVATI 360 CS</t>
        </is>
      </c>
      <c r="E2494" s="13" t="inlineStr">
        <is>
          <t>Pulverização Agrícola Conforme Bula</t>
        </is>
      </c>
      <c r="F2494" s="13" t="inlineStr">
        <is>
          <t>Mandioca</t>
        </is>
      </c>
      <c r="G2494" s="13" t="inlineStr">
        <is>
          <t>Cultura Autorizada na Bula</t>
        </is>
      </c>
      <c r="H2494" s="13" t="inlineStr">
        <is>
          <t>100 a 300 L/ha</t>
        </is>
      </c>
      <c r="I2494" s="13" t="inlineStr">
        <is>
          <t>20 a 40 L/ha</t>
        </is>
      </c>
      <c r="J2494" s="13" t="inlineStr">
        <is>
          <t>N/D</t>
        </is>
      </c>
    </row>
    <row r="2495" ht="22" customHeight="1">
      <c r="A2495" s="6" t="inlineStr">
        <is>
          <t>CUL-2491</t>
        </is>
      </c>
      <c r="B2495" s="5" t="n">
        <v>494</v>
      </c>
      <c r="C2495" s="7" t="inlineStr">
        <is>
          <t>Nº 1109</t>
        </is>
      </c>
      <c r="D2495" s="8" t="inlineStr">
        <is>
          <t>TROVATI 360 CS</t>
        </is>
      </c>
      <c r="E2495" s="7" t="inlineStr">
        <is>
          <t>Pulverização Agrícola Conforme Bula</t>
        </is>
      </c>
      <c r="F2495" s="7" t="inlineStr">
        <is>
          <t>Tabaco</t>
        </is>
      </c>
      <c r="G2495" s="7" t="inlineStr">
        <is>
          <t>Cultura Autorizada na Bula</t>
        </is>
      </c>
      <c r="H2495" s="7" t="inlineStr">
        <is>
          <t>100 a 300 L/ha</t>
        </is>
      </c>
      <c r="I2495" s="7" t="inlineStr">
        <is>
          <t>20 a 40 L/ha</t>
        </is>
      </c>
      <c r="J2495" s="7" t="inlineStr">
        <is>
          <t>N/D</t>
        </is>
      </c>
    </row>
    <row r="2496" ht="22" customHeight="1">
      <c r="A2496" s="12" t="inlineStr">
        <is>
          <t>CUL-2492</t>
        </is>
      </c>
      <c r="B2496" s="11" t="n">
        <v>495</v>
      </c>
      <c r="C2496" s="13" t="inlineStr">
        <is>
          <t>SIPEAGRO (UF-XXXXX)</t>
        </is>
      </c>
      <c r="D2496" s="14" t="inlineStr">
        <is>
          <t>BENTONITA 90%S - GRANULADO - 1.200 KG</t>
        </is>
      </c>
      <c r="E2496" s="13" t="inlineStr">
        <is>
          <t>Pulverização Agrícola Conforme Bula</t>
        </is>
      </c>
      <c r="F2496" s="13" t="inlineStr">
        <is>
          <t>Grandes Culturas, Perenes e Pastagens</t>
        </is>
      </c>
      <c r="G2496" s="13" t="inlineStr">
        <is>
          <t>Cultura Autorizada na Bula</t>
        </is>
      </c>
      <c r="H2496" s="13" t="inlineStr">
        <is>
          <t>100 a 300 L/ha</t>
        </is>
      </c>
      <c r="I2496" s="13" t="inlineStr">
        <is>
          <t>20 a 40 L/ha</t>
        </is>
      </c>
      <c r="J2496" s="13" t="inlineStr">
        <is>
          <t>Isento</t>
        </is>
      </c>
    </row>
    <row r="2497" ht="22" customHeight="1">
      <c r="A2497" s="6" t="inlineStr">
        <is>
          <t>CUL-2493</t>
        </is>
      </c>
      <c r="B2497" s="5" t="n">
        <v>496</v>
      </c>
      <c r="C2497" s="7" t="inlineStr">
        <is>
          <t>Nº 40624</t>
        </is>
      </c>
      <c r="D2497" s="8" t="inlineStr">
        <is>
          <t>CLORPIRIFOS 480 EC AGCN (IMP) AMOSTRA</t>
        </is>
      </c>
      <c r="E2497" s="7" t="inlineStr">
        <is>
          <t>Pulverização Agrícola Conforme Bula</t>
        </is>
      </c>
      <c r="F2497" s="7" t="inlineStr">
        <is>
          <t>Soja</t>
        </is>
      </c>
      <c r="G2497" s="7" t="inlineStr">
        <is>
          <t>Cultura Autorizada na Bula</t>
        </is>
      </c>
      <c r="H2497" s="7" t="inlineStr">
        <is>
          <t>100 a 300 L/ha</t>
        </is>
      </c>
      <c r="I2497" s="7" t="inlineStr">
        <is>
          <t>20 a 40 L/ha</t>
        </is>
      </c>
      <c r="J2497" s="7" t="inlineStr">
        <is>
          <t>21 dias</t>
        </is>
      </c>
    </row>
    <row r="2498" ht="22" customHeight="1">
      <c r="A2498" s="12" t="inlineStr">
        <is>
          <t>CUL-2494</t>
        </is>
      </c>
      <c r="B2498" s="11" t="n">
        <v>496</v>
      </c>
      <c r="C2498" s="13" t="inlineStr">
        <is>
          <t>Nº 40624</t>
        </is>
      </c>
      <c r="D2498" s="14" t="inlineStr">
        <is>
          <t>CLORPIRIFOS 480 EC AGCN (IMP) AMOSTRA</t>
        </is>
      </c>
      <c r="E2498" s="13" t="inlineStr">
        <is>
          <t>Pulverização Agrícola Conforme Bula</t>
        </is>
      </c>
      <c r="F2498" s="13" t="inlineStr">
        <is>
          <t>Milho</t>
        </is>
      </c>
      <c r="G2498" s="13" t="inlineStr">
        <is>
          <t>Cultura Autorizada na Bula</t>
        </is>
      </c>
      <c r="H2498" s="13" t="inlineStr">
        <is>
          <t>100 a 300 L/ha</t>
        </is>
      </c>
      <c r="I2498" s="13" t="inlineStr">
        <is>
          <t>20 a 40 L/ha</t>
        </is>
      </c>
      <c r="J2498" s="13" t="inlineStr">
        <is>
          <t>21 dias</t>
        </is>
      </c>
    </row>
    <row r="2499" ht="22" customHeight="1">
      <c r="A2499" s="6" t="inlineStr">
        <is>
          <t>CUL-2495</t>
        </is>
      </c>
      <c r="B2499" s="5" t="n">
        <v>496</v>
      </c>
      <c r="C2499" s="7" t="inlineStr">
        <is>
          <t>Nº 40624</t>
        </is>
      </c>
      <c r="D2499" s="8" t="inlineStr">
        <is>
          <t>CLORPIRIFOS 480 EC AGCN (IMP) AMOSTRA</t>
        </is>
      </c>
      <c r="E2499" s="7" t="inlineStr">
        <is>
          <t>Pulverização Agrícola Conforme Bula</t>
        </is>
      </c>
      <c r="F2499" s="7" t="inlineStr">
        <is>
          <t>Algodão</t>
        </is>
      </c>
      <c r="G2499" s="7" t="inlineStr">
        <is>
          <t>Cultura Autorizada na Bula</t>
        </is>
      </c>
      <c r="H2499" s="7" t="inlineStr">
        <is>
          <t>100 a 300 L/ha</t>
        </is>
      </c>
      <c r="I2499" s="7" t="inlineStr">
        <is>
          <t>20 a 40 L/ha</t>
        </is>
      </c>
      <c r="J2499" s="7" t="inlineStr">
        <is>
          <t>21 dias</t>
        </is>
      </c>
    </row>
    <row r="2500" ht="22" customHeight="1">
      <c r="A2500" s="12" t="inlineStr">
        <is>
          <t>CUL-2496</t>
        </is>
      </c>
      <c r="B2500" s="11" t="n">
        <v>496</v>
      </c>
      <c r="C2500" s="13" t="inlineStr">
        <is>
          <t>Nº 40624</t>
        </is>
      </c>
      <c r="D2500" s="14" t="inlineStr">
        <is>
          <t>CLORPIRIFOS 480 EC AGCN (IMP) AMOSTRA</t>
        </is>
      </c>
      <c r="E2500" s="13" t="inlineStr">
        <is>
          <t>Pulverização Agrícola Conforme Bula</t>
        </is>
      </c>
      <c r="F2500" s="13" t="inlineStr">
        <is>
          <t>Café</t>
        </is>
      </c>
      <c r="G2500" s="13" t="inlineStr">
        <is>
          <t>Cultura Autorizada na Bula</t>
        </is>
      </c>
      <c r="H2500" s="13" t="inlineStr">
        <is>
          <t>100 a 300 L/ha</t>
        </is>
      </c>
      <c r="I2500" s="13" t="inlineStr">
        <is>
          <t>20 a 40 L/ha</t>
        </is>
      </c>
      <c r="J2500" s="13" t="inlineStr">
        <is>
          <t>21 dias</t>
        </is>
      </c>
    </row>
    <row r="2501" ht="22" customHeight="1">
      <c r="A2501" s="6" t="inlineStr">
        <is>
          <t>CUL-2497</t>
        </is>
      </c>
      <c r="B2501" s="5" t="n">
        <v>496</v>
      </c>
      <c r="C2501" s="7" t="inlineStr">
        <is>
          <t>Nº 40624</t>
        </is>
      </c>
      <c r="D2501" s="8" t="inlineStr">
        <is>
          <t>CLORPIRIFOS 480 EC AGCN (IMP) AMOSTRA</t>
        </is>
      </c>
      <c r="E2501" s="7" t="inlineStr">
        <is>
          <t>Pulverização Agrícola Conforme Bula</t>
        </is>
      </c>
      <c r="F2501" s="7" t="inlineStr">
        <is>
          <t>Citros</t>
        </is>
      </c>
      <c r="G2501" s="7" t="inlineStr">
        <is>
          <t>Cultura Autorizada na Bula</t>
        </is>
      </c>
      <c r="H2501" s="7" t="inlineStr">
        <is>
          <t>100 a 300 L/ha</t>
        </is>
      </c>
      <c r="I2501" s="7" t="inlineStr">
        <is>
          <t>20 a 40 L/ha</t>
        </is>
      </c>
      <c r="J2501" s="7" t="inlineStr">
        <is>
          <t>21 dias</t>
        </is>
      </c>
    </row>
    <row r="2502" ht="22" customHeight="1">
      <c r="A2502" s="12" t="inlineStr">
        <is>
          <t>CUL-2498</t>
        </is>
      </c>
      <c r="B2502" s="11" t="n">
        <v>496</v>
      </c>
      <c r="C2502" s="13" t="inlineStr">
        <is>
          <t>Nº 40624</t>
        </is>
      </c>
      <c r="D2502" s="14" t="inlineStr">
        <is>
          <t>CLORPIRIFOS 480 EC AGCN (IMP) AMOSTRA</t>
        </is>
      </c>
      <c r="E2502" s="13" t="inlineStr">
        <is>
          <t>Pulverização Agrícola Conforme Bula</t>
        </is>
      </c>
      <c r="F2502" s="13" t="inlineStr">
        <is>
          <t>Feijão</t>
        </is>
      </c>
      <c r="G2502" s="13" t="inlineStr">
        <is>
          <t>Cultura Autorizada na Bula</t>
        </is>
      </c>
      <c r="H2502" s="13" t="inlineStr">
        <is>
          <t>100 a 300 L/ha</t>
        </is>
      </c>
      <c r="I2502" s="13" t="inlineStr">
        <is>
          <t>20 a 40 L/ha</t>
        </is>
      </c>
      <c r="J2502" s="13" t="inlineStr">
        <is>
          <t>25 dias</t>
        </is>
      </c>
    </row>
    <row r="2503" ht="22" customHeight="1">
      <c r="A2503" s="6" t="inlineStr">
        <is>
          <t>CUL-2499</t>
        </is>
      </c>
      <c r="B2503" s="5" t="n">
        <v>496</v>
      </c>
      <c r="C2503" s="7" t="inlineStr">
        <is>
          <t>Nº 40624</t>
        </is>
      </c>
      <c r="D2503" s="8" t="inlineStr">
        <is>
          <t>CLORPIRIFOS 480 EC AGCN (IMP) AMOSTRA</t>
        </is>
      </c>
      <c r="E2503" s="7" t="inlineStr">
        <is>
          <t>Pulverização Agrícola Conforme Bula</t>
        </is>
      </c>
      <c r="F2503" s="7" t="inlineStr">
        <is>
          <t>Batata</t>
        </is>
      </c>
      <c r="G2503" s="7" t="inlineStr">
        <is>
          <t>Cultura Autorizada na Bula</t>
        </is>
      </c>
      <c r="H2503" s="7" t="inlineStr">
        <is>
          <t>100 a 300 L/ha</t>
        </is>
      </c>
      <c r="I2503" s="7" t="inlineStr">
        <is>
          <t>20 a 40 L/ha</t>
        </is>
      </c>
      <c r="J2503" s="7" t="inlineStr">
        <is>
          <t>21 dias</t>
        </is>
      </c>
    </row>
    <row r="2504" ht="22" customHeight="1">
      <c r="A2504" s="12" t="inlineStr">
        <is>
          <t>CUL-2500</t>
        </is>
      </c>
      <c r="B2504" s="11" t="n">
        <v>496</v>
      </c>
      <c r="C2504" s="13" t="inlineStr">
        <is>
          <t>Nº 40624</t>
        </is>
      </c>
      <c r="D2504" s="14" t="inlineStr">
        <is>
          <t>CLORPIRIFOS 480 EC AGCN (IMP) AMOSTRA</t>
        </is>
      </c>
      <c r="E2504" s="13" t="inlineStr">
        <is>
          <t>Pulverização Agrícola Conforme Bula</t>
        </is>
      </c>
      <c r="F2504" s="13" t="inlineStr">
        <is>
          <t>Tomate</t>
        </is>
      </c>
      <c r="G2504" s="13" t="inlineStr">
        <is>
          <t>Cultura Autorizada na Bula</t>
        </is>
      </c>
      <c r="H2504" s="13" t="inlineStr">
        <is>
          <t>100 a 300 L/ha</t>
        </is>
      </c>
      <c r="I2504" s="13" t="inlineStr">
        <is>
          <t>20 a 40 L/ha</t>
        </is>
      </c>
      <c r="J2504" s="13" t="inlineStr">
        <is>
          <t>21 dias</t>
        </is>
      </c>
    </row>
    <row r="2505" ht="22" customHeight="1">
      <c r="A2505" s="6" t="inlineStr">
        <is>
          <t>CUL-2501</t>
        </is>
      </c>
      <c r="B2505" s="5" t="n">
        <v>496</v>
      </c>
      <c r="C2505" s="7" t="inlineStr">
        <is>
          <t>Nº 40624</t>
        </is>
      </c>
      <c r="D2505" s="8" t="inlineStr">
        <is>
          <t>CLORPIRIFOS 480 EC AGCN (IMP) AMOSTRA</t>
        </is>
      </c>
      <c r="E2505" s="7" t="inlineStr">
        <is>
          <t>Pulverização Agrícola Conforme Bula</t>
        </is>
      </c>
      <c r="F2505" s="7" t="inlineStr">
        <is>
          <t>Trigo</t>
        </is>
      </c>
      <c r="G2505" s="7" t="inlineStr">
        <is>
          <t>Cultura Autorizada na Bula</t>
        </is>
      </c>
      <c r="H2505" s="7" t="inlineStr">
        <is>
          <t>100 a 300 L/ha</t>
        </is>
      </c>
      <c r="I2505" s="7" t="inlineStr">
        <is>
          <t>20 a 40 L/ha</t>
        </is>
      </c>
      <c r="J2505" s="7" t="inlineStr">
        <is>
          <t>21 dias</t>
        </is>
      </c>
    </row>
    <row r="2506" ht="22" customHeight="1">
      <c r="A2506" s="12" t="inlineStr">
        <is>
          <t>CUL-2502</t>
        </is>
      </c>
      <c r="B2506" s="11" t="n">
        <v>497</v>
      </c>
      <c r="C2506" s="13" t="inlineStr">
        <is>
          <t>Nº 27717</t>
        </is>
      </c>
      <c r="D2506" s="14" t="inlineStr">
        <is>
          <t>FIPRONIL 800 WG AGCN AMOSTRA 0,200KG FF IMP</t>
        </is>
      </c>
      <c r="E2506" s="13" t="inlineStr">
        <is>
          <t>Pulverização Agrícola Conforme Bula</t>
        </is>
      </c>
      <c r="F2506" s="13" t="inlineStr">
        <is>
          <t>Soja (Trat. Sementes / Sulco)</t>
        </is>
      </c>
      <c r="G2506" s="13" t="inlineStr">
        <is>
          <t>Cultura Autorizada na Bula</t>
        </is>
      </c>
      <c r="H2506" s="13" t="inlineStr">
        <is>
          <t>100 a 300 L/ha</t>
        </is>
      </c>
      <c r="I2506" s="13" t="inlineStr">
        <is>
          <t>20 a 40 L/ha</t>
        </is>
      </c>
      <c r="J2506" s="13" t="inlineStr">
        <is>
          <t>N/D</t>
        </is>
      </c>
    </row>
    <row r="2507" ht="22" customHeight="1">
      <c r="A2507" s="6" t="inlineStr">
        <is>
          <t>CUL-2503</t>
        </is>
      </c>
      <c r="B2507" s="5" t="n">
        <v>497</v>
      </c>
      <c r="C2507" s="7" t="inlineStr">
        <is>
          <t>Nº 27717</t>
        </is>
      </c>
      <c r="D2507" s="8" t="inlineStr">
        <is>
          <t>FIPRONIL 800 WG AGCN AMOSTRA 0,200KG FF IMP</t>
        </is>
      </c>
      <c r="E2507" s="7" t="inlineStr">
        <is>
          <t>Pulverização Agrícola Conforme Bula</t>
        </is>
      </c>
      <c r="F2507" s="7" t="inlineStr">
        <is>
          <t>Milho (Trat. Sementes)</t>
        </is>
      </c>
      <c r="G2507" s="7" t="inlineStr">
        <is>
          <t>Cultura Autorizada na Bula</t>
        </is>
      </c>
      <c r="H2507" s="7" t="inlineStr">
        <is>
          <t>100 a 300 L/ha</t>
        </is>
      </c>
      <c r="I2507" s="7" t="inlineStr">
        <is>
          <t>20 a 40 L/ha</t>
        </is>
      </c>
      <c r="J2507" s="7" t="inlineStr">
        <is>
          <t>N/D</t>
        </is>
      </c>
    </row>
    <row r="2508" ht="22" customHeight="1">
      <c r="A2508" s="12" t="inlineStr">
        <is>
          <t>CUL-2504</t>
        </is>
      </c>
      <c r="B2508" s="11" t="n">
        <v>497</v>
      </c>
      <c r="C2508" s="13" t="inlineStr">
        <is>
          <t>Nº 27717</t>
        </is>
      </c>
      <c r="D2508" s="14" t="inlineStr">
        <is>
          <t>FIPRONIL 800 WG AGCN AMOSTRA 0,200KG FF IMP</t>
        </is>
      </c>
      <c r="E2508" s="13" t="inlineStr">
        <is>
          <t>Pulverização Agrícola Conforme Bula</t>
        </is>
      </c>
      <c r="F2508" s="13" t="inlineStr">
        <is>
          <t>Algodão</t>
        </is>
      </c>
      <c r="G2508" s="13" t="inlineStr">
        <is>
          <t>Cultura Autorizada na Bula</t>
        </is>
      </c>
      <c r="H2508" s="13" t="inlineStr">
        <is>
          <t>100 a 300 L/ha</t>
        </is>
      </c>
      <c r="I2508" s="13" t="inlineStr">
        <is>
          <t>20 a 40 L/ha</t>
        </is>
      </c>
      <c r="J2508" s="13" t="inlineStr">
        <is>
          <t>N/D</t>
        </is>
      </c>
    </row>
    <row r="2509" ht="22" customHeight="1">
      <c r="A2509" s="6" t="inlineStr">
        <is>
          <t>CUL-2505</t>
        </is>
      </c>
      <c r="B2509" s="5" t="n">
        <v>497</v>
      </c>
      <c r="C2509" s="7" t="inlineStr">
        <is>
          <t>Nº 27717</t>
        </is>
      </c>
      <c r="D2509" s="8" t="inlineStr">
        <is>
          <t>FIPRONIL 800 WG AGCN AMOSTRA 0,200KG FF IMP</t>
        </is>
      </c>
      <c r="E2509" s="7" t="inlineStr">
        <is>
          <t>Pulverização Agrícola Conforme Bula</t>
        </is>
      </c>
      <c r="F2509" s="7" t="inlineStr">
        <is>
          <t>Cana-de-açúcar (Sulco)</t>
        </is>
      </c>
      <c r="G2509" s="7" t="inlineStr">
        <is>
          <t>Cultura Autorizada na Bula</t>
        </is>
      </c>
      <c r="H2509" s="7" t="inlineStr">
        <is>
          <t>100 a 300 L/ha</t>
        </is>
      </c>
      <c r="I2509" s="7" t="inlineStr">
        <is>
          <t>20 a 40 L/ha</t>
        </is>
      </c>
      <c r="J2509" s="7" t="inlineStr">
        <is>
          <t>N/D</t>
        </is>
      </c>
    </row>
    <row r="2510" ht="22" customHeight="1">
      <c r="A2510" s="12" t="inlineStr">
        <is>
          <t>CUL-2506</t>
        </is>
      </c>
      <c r="B2510" s="11" t="n">
        <v>497</v>
      </c>
      <c r="C2510" s="13" t="inlineStr">
        <is>
          <t>Nº 27717</t>
        </is>
      </c>
      <c r="D2510" s="14" t="inlineStr">
        <is>
          <t>FIPRONIL 800 WG AGCN AMOSTRA 0,200KG FF IMP</t>
        </is>
      </c>
      <c r="E2510" s="13" t="inlineStr">
        <is>
          <t>Pulverização Agrícola Conforme Bula</t>
        </is>
      </c>
      <c r="F2510" s="13" t="inlineStr">
        <is>
          <t>Arroz</t>
        </is>
      </c>
      <c r="G2510" s="13" t="inlineStr">
        <is>
          <t>Cultura Autorizada na Bula</t>
        </is>
      </c>
      <c r="H2510" s="13" t="inlineStr">
        <is>
          <t>100 a 300 L/ha</t>
        </is>
      </c>
      <c r="I2510" s="13" t="inlineStr">
        <is>
          <t>20 a 40 L/ha</t>
        </is>
      </c>
      <c r="J2510" s="13" t="inlineStr">
        <is>
          <t>N/D</t>
        </is>
      </c>
    </row>
    <row r="2511" ht="22" customHeight="1">
      <c r="A2511" s="6" t="inlineStr">
        <is>
          <t>CUL-2507</t>
        </is>
      </c>
      <c r="B2511" s="5" t="n">
        <v>497</v>
      </c>
      <c r="C2511" s="7" t="inlineStr">
        <is>
          <t>Nº 27717</t>
        </is>
      </c>
      <c r="D2511" s="8" t="inlineStr">
        <is>
          <t>FIPRONIL 800 WG AGCN AMOSTRA 0,200KG FF IMP</t>
        </is>
      </c>
      <c r="E2511" s="7" t="inlineStr">
        <is>
          <t>Pulverização Agrícola Conforme Bula</t>
        </is>
      </c>
      <c r="F2511" s="7" t="inlineStr">
        <is>
          <t>Feijão</t>
        </is>
      </c>
      <c r="G2511" s="7" t="inlineStr">
        <is>
          <t>Cultura Autorizada na Bula</t>
        </is>
      </c>
      <c r="H2511" s="7" t="inlineStr">
        <is>
          <t>100 a 300 L/ha</t>
        </is>
      </c>
      <c r="I2511" s="7" t="inlineStr">
        <is>
          <t>20 a 40 L/ha</t>
        </is>
      </c>
      <c r="J2511" s="7" t="inlineStr">
        <is>
          <t>N/D</t>
        </is>
      </c>
    </row>
    <row r="2512" ht="22" customHeight="1">
      <c r="A2512" s="12" t="inlineStr">
        <is>
          <t>CUL-2508</t>
        </is>
      </c>
      <c r="B2512" s="11" t="n">
        <v>497</v>
      </c>
      <c r="C2512" s="13" t="inlineStr">
        <is>
          <t>Nº 27717</t>
        </is>
      </c>
      <c r="D2512" s="14" t="inlineStr">
        <is>
          <t>FIPRONIL 800 WG AGCN AMOSTRA 0,200KG FF IMP</t>
        </is>
      </c>
      <c r="E2512" s="13" t="inlineStr">
        <is>
          <t>Pulverização Agrícola Conforme Bula</t>
        </is>
      </c>
      <c r="F2512" s="13" t="inlineStr">
        <is>
          <t>Pastagens</t>
        </is>
      </c>
      <c r="G2512" s="13" t="inlineStr">
        <is>
          <t>Cultura Autorizada na Bula</t>
        </is>
      </c>
      <c r="H2512" s="13" t="inlineStr">
        <is>
          <t>100 a 300 L/ha</t>
        </is>
      </c>
      <c r="I2512" s="13" t="inlineStr">
        <is>
          <t>20 a 40 L/ha</t>
        </is>
      </c>
      <c r="J2512" s="13" t="inlineStr">
        <is>
          <t>N/D</t>
        </is>
      </c>
    </row>
    <row r="2513" ht="22" customHeight="1">
      <c r="A2513" s="6" t="inlineStr">
        <is>
          <t>CUL-2509</t>
        </is>
      </c>
      <c r="B2513" s="5" t="n">
        <v>497</v>
      </c>
      <c r="C2513" s="7" t="inlineStr">
        <is>
          <t>Nº 27717</t>
        </is>
      </c>
      <c r="D2513" s="8" t="inlineStr">
        <is>
          <t>FIPRONIL 800 WG AGCN AMOSTRA 0,200KG FF IMP</t>
        </is>
      </c>
      <c r="E2513" s="7" t="inlineStr">
        <is>
          <t>Pulverização Agrícola Conforme Bula</t>
        </is>
      </c>
      <c r="F2513" s="7" t="inlineStr">
        <is>
          <t>Trigo</t>
        </is>
      </c>
      <c r="G2513" s="7" t="inlineStr">
        <is>
          <t>Cultura Autorizada na Bula</t>
        </is>
      </c>
      <c r="H2513" s="7" t="inlineStr">
        <is>
          <t>100 a 300 L/ha</t>
        </is>
      </c>
      <c r="I2513" s="7" t="inlineStr">
        <is>
          <t>20 a 40 L/ha</t>
        </is>
      </c>
      <c r="J2513" s="7" t="inlineStr">
        <is>
          <t>N/D</t>
        </is>
      </c>
    </row>
    <row r="2514" ht="22" customHeight="1">
      <c r="A2514" s="12" t="inlineStr">
        <is>
          <t>CUL-2510</t>
        </is>
      </c>
      <c r="B2514" s="11" t="n">
        <v>498</v>
      </c>
      <c r="C2514" s="13" t="inlineStr">
        <is>
          <t>Nº 14421</t>
        </is>
      </c>
      <c r="D2514" s="14" t="inlineStr">
        <is>
          <t>FIPRONIL 250 FS AGCN IMP FF 0,200KG AMOSTRA</t>
        </is>
      </c>
      <c r="E2514" s="13" t="inlineStr">
        <is>
          <t>Tratamento de Sementes / Sulco</t>
        </is>
      </c>
      <c r="F2514" s="13" t="inlineStr">
        <is>
          <t>Soja (Trat. Sementes / Sulco)</t>
        </is>
      </c>
      <c r="G2514" s="13" t="inlineStr">
        <is>
          <t>Cultura Autorizada na Bula</t>
        </is>
      </c>
      <c r="H2514" s="13" t="inlineStr">
        <is>
          <t>Calda TS (0,2 a 0,6 L/100kg sem.)</t>
        </is>
      </c>
      <c r="I2514" s="13" t="inlineStr">
        <is>
          <t>Não Autorizada (TS)</t>
        </is>
      </c>
      <c r="J2514" s="13" t="inlineStr">
        <is>
          <t>N/D</t>
        </is>
      </c>
    </row>
    <row r="2515" ht="22" customHeight="1">
      <c r="A2515" s="6" t="inlineStr">
        <is>
          <t>CUL-2511</t>
        </is>
      </c>
      <c r="B2515" s="5" t="n">
        <v>498</v>
      </c>
      <c r="C2515" s="7" t="inlineStr">
        <is>
          <t>Nº 14421</t>
        </is>
      </c>
      <c r="D2515" s="8" t="inlineStr">
        <is>
          <t>FIPRONIL 250 FS AGCN IMP FF 0,200KG AMOSTRA</t>
        </is>
      </c>
      <c r="E2515" s="7" t="inlineStr">
        <is>
          <t>Tratamento de Sementes / Sulco</t>
        </is>
      </c>
      <c r="F2515" s="7" t="inlineStr">
        <is>
          <t>Milho (Trat. Sementes)</t>
        </is>
      </c>
      <c r="G2515" s="7" t="inlineStr">
        <is>
          <t>Cultura Autorizada na Bula</t>
        </is>
      </c>
      <c r="H2515" s="7" t="inlineStr">
        <is>
          <t>Calda TS (0,2 a 0,6 L/100kg sem.)</t>
        </is>
      </c>
      <c r="I2515" s="7" t="inlineStr">
        <is>
          <t>Não Autorizada (TS)</t>
        </is>
      </c>
      <c r="J2515" s="7" t="inlineStr">
        <is>
          <t>N/D</t>
        </is>
      </c>
    </row>
    <row r="2516" ht="22" customHeight="1">
      <c r="A2516" s="12" t="inlineStr">
        <is>
          <t>CUL-2512</t>
        </is>
      </c>
      <c r="B2516" s="11" t="n">
        <v>498</v>
      </c>
      <c r="C2516" s="13" t="inlineStr">
        <is>
          <t>Nº 14421</t>
        </is>
      </c>
      <c r="D2516" s="14" t="inlineStr">
        <is>
          <t>FIPRONIL 250 FS AGCN IMP FF 0,200KG AMOSTRA</t>
        </is>
      </c>
      <c r="E2516" s="13" t="inlineStr">
        <is>
          <t>Tratamento de Sementes / Sulco</t>
        </is>
      </c>
      <c r="F2516" s="13" t="inlineStr">
        <is>
          <t>Algodão</t>
        </is>
      </c>
      <c r="G2516" s="13" t="inlineStr">
        <is>
          <t>Cultura Autorizada na Bula</t>
        </is>
      </c>
      <c r="H2516" s="13" t="inlineStr">
        <is>
          <t>Calda TS (0,2 a 0,6 L/100kg sem.)</t>
        </is>
      </c>
      <c r="I2516" s="13" t="inlineStr">
        <is>
          <t>Não Autorizada (TS)</t>
        </is>
      </c>
      <c r="J2516" s="13" t="inlineStr">
        <is>
          <t>N/D</t>
        </is>
      </c>
    </row>
    <row r="2517" ht="22" customHeight="1">
      <c r="A2517" s="6" t="inlineStr">
        <is>
          <t>CUL-2513</t>
        </is>
      </c>
      <c r="B2517" s="5" t="n">
        <v>498</v>
      </c>
      <c r="C2517" s="7" t="inlineStr">
        <is>
          <t>Nº 14421</t>
        </is>
      </c>
      <c r="D2517" s="8" t="inlineStr">
        <is>
          <t>FIPRONIL 250 FS AGCN IMP FF 0,200KG AMOSTRA</t>
        </is>
      </c>
      <c r="E2517" s="7" t="inlineStr">
        <is>
          <t>Tratamento de Sementes / Sulco</t>
        </is>
      </c>
      <c r="F2517" s="7" t="inlineStr">
        <is>
          <t>Cana-de-açúcar (Sulco)</t>
        </is>
      </c>
      <c r="G2517" s="7" t="inlineStr">
        <is>
          <t>Cultura Autorizada na Bula</t>
        </is>
      </c>
      <c r="H2517" s="7" t="inlineStr">
        <is>
          <t>Calda TS (0,2 a 0,6 L/100kg sem.)</t>
        </is>
      </c>
      <c r="I2517" s="7" t="inlineStr">
        <is>
          <t>Não Autorizada (TS)</t>
        </is>
      </c>
      <c r="J2517" s="7" t="inlineStr">
        <is>
          <t>N/D</t>
        </is>
      </c>
    </row>
    <row r="2518" ht="22" customHeight="1">
      <c r="A2518" s="12" t="inlineStr">
        <is>
          <t>CUL-2514</t>
        </is>
      </c>
      <c r="B2518" s="11" t="n">
        <v>498</v>
      </c>
      <c r="C2518" s="13" t="inlineStr">
        <is>
          <t>Nº 14421</t>
        </is>
      </c>
      <c r="D2518" s="14" t="inlineStr">
        <is>
          <t>FIPRONIL 250 FS AGCN IMP FF 0,200KG AMOSTRA</t>
        </is>
      </c>
      <c r="E2518" s="13" t="inlineStr">
        <is>
          <t>Tratamento de Sementes / Sulco</t>
        </is>
      </c>
      <c r="F2518" s="13" t="inlineStr">
        <is>
          <t>Arroz</t>
        </is>
      </c>
      <c r="G2518" s="13" t="inlineStr">
        <is>
          <t>Cultura Autorizada na Bula</t>
        </is>
      </c>
      <c r="H2518" s="13" t="inlineStr">
        <is>
          <t>Calda TS (0,2 a 0,6 L/100kg sem.)</t>
        </is>
      </c>
      <c r="I2518" s="13" t="inlineStr">
        <is>
          <t>Não Autorizada (TS)</t>
        </is>
      </c>
      <c r="J2518" s="13" t="inlineStr">
        <is>
          <t>N/D</t>
        </is>
      </c>
    </row>
    <row r="2519" ht="22" customHeight="1">
      <c r="A2519" s="6" t="inlineStr">
        <is>
          <t>CUL-2515</t>
        </is>
      </c>
      <c r="B2519" s="5" t="n">
        <v>498</v>
      </c>
      <c r="C2519" s="7" t="inlineStr">
        <is>
          <t>Nº 14421</t>
        </is>
      </c>
      <c r="D2519" s="8" t="inlineStr">
        <is>
          <t>FIPRONIL 250 FS AGCN IMP FF 0,200KG AMOSTRA</t>
        </is>
      </c>
      <c r="E2519" s="7" t="inlineStr">
        <is>
          <t>Tratamento de Sementes / Sulco</t>
        </is>
      </c>
      <c r="F2519" s="7" t="inlineStr">
        <is>
          <t>Feijão</t>
        </is>
      </c>
      <c r="G2519" s="7" t="inlineStr">
        <is>
          <t>Cultura Autorizada na Bula</t>
        </is>
      </c>
      <c r="H2519" s="7" t="inlineStr">
        <is>
          <t>Calda TS (0,2 a 0,6 L/100kg sem.)</t>
        </is>
      </c>
      <c r="I2519" s="7" t="inlineStr">
        <is>
          <t>Não Autorizada (TS)</t>
        </is>
      </c>
      <c r="J2519" s="7" t="inlineStr">
        <is>
          <t>N/D</t>
        </is>
      </c>
    </row>
    <row r="2520" ht="22" customHeight="1">
      <c r="A2520" s="12" t="inlineStr">
        <is>
          <t>CUL-2516</t>
        </is>
      </c>
      <c r="B2520" s="11" t="n">
        <v>498</v>
      </c>
      <c r="C2520" s="13" t="inlineStr">
        <is>
          <t>Nº 14421</t>
        </is>
      </c>
      <c r="D2520" s="14" t="inlineStr">
        <is>
          <t>FIPRONIL 250 FS AGCN IMP FF 0,200KG AMOSTRA</t>
        </is>
      </c>
      <c r="E2520" s="13" t="inlineStr">
        <is>
          <t>Tratamento de Sementes / Sulco</t>
        </is>
      </c>
      <c r="F2520" s="13" t="inlineStr">
        <is>
          <t>Pastagens</t>
        </is>
      </c>
      <c r="G2520" s="13" t="inlineStr">
        <is>
          <t>Cultura Autorizada na Bula</t>
        </is>
      </c>
      <c r="H2520" s="13" t="inlineStr">
        <is>
          <t>Calda TS (0,2 a 0,6 L/100kg sem.)</t>
        </is>
      </c>
      <c r="I2520" s="13" t="inlineStr">
        <is>
          <t>Não Autorizada (TS)</t>
        </is>
      </c>
      <c r="J2520" s="13" t="inlineStr">
        <is>
          <t>N/D</t>
        </is>
      </c>
    </row>
    <row r="2521" ht="22" customHeight="1">
      <c r="A2521" s="6" t="inlineStr">
        <is>
          <t>CUL-2517</t>
        </is>
      </c>
      <c r="B2521" s="5" t="n">
        <v>498</v>
      </c>
      <c r="C2521" s="7" t="inlineStr">
        <is>
          <t>Nº 14421</t>
        </is>
      </c>
      <c r="D2521" s="8" t="inlineStr">
        <is>
          <t>FIPRONIL 250 FS AGCN IMP FF 0,200KG AMOSTRA</t>
        </is>
      </c>
      <c r="E2521" s="7" t="inlineStr">
        <is>
          <t>Tratamento de Sementes / Sulco</t>
        </is>
      </c>
      <c r="F2521" s="7" t="inlineStr">
        <is>
          <t>Trigo</t>
        </is>
      </c>
      <c r="G2521" s="7" t="inlineStr">
        <is>
          <t>Cultura Autorizada na Bula</t>
        </is>
      </c>
      <c r="H2521" s="7" t="inlineStr">
        <is>
          <t>Calda TS (0,2 a 0,6 L/100kg sem.)</t>
        </is>
      </c>
      <c r="I2521" s="7" t="inlineStr">
        <is>
          <t>Não Autorizada (TS)</t>
        </is>
      </c>
      <c r="J2521" s="7" t="inlineStr">
        <is>
          <t>N/D</t>
        </is>
      </c>
    </row>
    <row r="2522" ht="22" customHeight="1">
      <c r="A2522" s="12" t="inlineStr">
        <is>
          <t>CUL-2518</t>
        </is>
      </c>
      <c r="B2522" s="11" t="n">
        <v>499</v>
      </c>
      <c r="C2522" s="13" t="inlineStr">
        <is>
          <t>Nº 34621</t>
        </is>
      </c>
      <c r="D2522" s="14" t="inlineStr">
        <is>
          <t>RATEIO 200SL AMOSTRA 0,200L</t>
        </is>
      </c>
      <c r="E2522" s="13" t="inlineStr">
        <is>
          <t>Pulverização Agrícola Conforme Bula</t>
        </is>
      </c>
      <c r="F2522" s="13" t="inlineStr">
        <is>
          <t>Soja (Dessecação Pré-Colheita e Pré-Plantio)</t>
        </is>
      </c>
      <c r="G2522" s="13" t="inlineStr">
        <is>
          <t>Cultura Autorizada na Bula</t>
        </is>
      </c>
      <c r="H2522" s="13" t="inlineStr">
        <is>
          <t>100 a 300 L/ha</t>
        </is>
      </c>
      <c r="I2522" s="13" t="inlineStr">
        <is>
          <t>20 a 40 L/ha</t>
        </is>
      </c>
      <c r="J2522" s="13" t="inlineStr">
        <is>
          <t>7 dias</t>
        </is>
      </c>
    </row>
    <row r="2523" ht="22" customHeight="1">
      <c r="A2523" s="6" t="inlineStr">
        <is>
          <t>CUL-2519</t>
        </is>
      </c>
      <c r="B2523" s="5" t="n">
        <v>499</v>
      </c>
      <c r="C2523" s="7" t="inlineStr">
        <is>
          <t>Nº 34621</t>
        </is>
      </c>
      <c r="D2523" s="8" t="inlineStr">
        <is>
          <t>RATEIO 200SL AMOSTRA 0,200L</t>
        </is>
      </c>
      <c r="E2523" s="7" t="inlineStr">
        <is>
          <t>Pulverização Agrícola Conforme Bula</t>
        </is>
      </c>
      <c r="F2523" s="7" t="inlineStr">
        <is>
          <t>Feijão (Dessecação Pré-Colheita)</t>
        </is>
      </c>
      <c r="G2523" s="7" t="inlineStr">
        <is>
          <t>Cultura Autorizada na Bula</t>
        </is>
      </c>
      <c r="H2523" s="7" t="inlineStr">
        <is>
          <t>100 a 300 L/ha</t>
        </is>
      </c>
      <c r="I2523" s="7" t="inlineStr">
        <is>
          <t>20 a 40 L/ha</t>
        </is>
      </c>
      <c r="J2523" s="7" t="inlineStr">
        <is>
          <t>7 dias</t>
        </is>
      </c>
    </row>
    <row r="2524" ht="22" customHeight="1">
      <c r="A2524" s="12" t="inlineStr">
        <is>
          <t>CUL-2520</t>
        </is>
      </c>
      <c r="B2524" s="11" t="n">
        <v>499</v>
      </c>
      <c r="C2524" s="13" t="inlineStr">
        <is>
          <t>Nº 34621</t>
        </is>
      </c>
      <c r="D2524" s="14" t="inlineStr">
        <is>
          <t>RATEIO 200SL AMOSTRA 0,200L</t>
        </is>
      </c>
      <c r="E2524" s="13" t="inlineStr">
        <is>
          <t>Pulverização Agrícola Conforme Bula</t>
        </is>
      </c>
      <c r="F2524" s="13" t="inlineStr">
        <is>
          <t>Algodão</t>
        </is>
      </c>
      <c r="G2524" s="13" t="inlineStr">
        <is>
          <t>Cultura Autorizada na Bula</t>
        </is>
      </c>
      <c r="H2524" s="13" t="inlineStr">
        <is>
          <t>100 a 300 L/ha</t>
        </is>
      </c>
      <c r="I2524" s="13" t="inlineStr">
        <is>
          <t>20 a 40 L/ha</t>
        </is>
      </c>
      <c r="J2524" s="13" t="inlineStr">
        <is>
          <t>7 dias</t>
        </is>
      </c>
    </row>
    <row r="2525" ht="22" customHeight="1">
      <c r="A2525" s="6" t="inlineStr">
        <is>
          <t>CUL-2521</t>
        </is>
      </c>
      <c r="B2525" s="5" t="n">
        <v>499</v>
      </c>
      <c r="C2525" s="7" t="inlineStr">
        <is>
          <t>Nº 34621</t>
        </is>
      </c>
      <c r="D2525" s="8" t="inlineStr">
        <is>
          <t>RATEIO 200SL AMOSTRA 0,200L</t>
        </is>
      </c>
      <c r="E2525" s="7" t="inlineStr">
        <is>
          <t>Pulverização Agrícola Conforme Bula</t>
        </is>
      </c>
      <c r="F2525" s="7" t="inlineStr">
        <is>
          <t>Batata</t>
        </is>
      </c>
      <c r="G2525" s="7" t="inlineStr">
        <is>
          <t>Cultura Autorizada na Bula</t>
        </is>
      </c>
      <c r="H2525" s="7" t="inlineStr">
        <is>
          <t>100 a 300 L/ha</t>
        </is>
      </c>
      <c r="I2525" s="7" t="inlineStr">
        <is>
          <t>20 a 40 L/ha</t>
        </is>
      </c>
      <c r="J2525" s="7" t="inlineStr">
        <is>
          <t>7 dias</t>
        </is>
      </c>
    </row>
    <row r="2526" ht="22" customHeight="1">
      <c r="A2526" s="12" t="inlineStr">
        <is>
          <t>CUL-2522</t>
        </is>
      </c>
      <c r="B2526" s="11" t="n">
        <v>499</v>
      </c>
      <c r="C2526" s="13" t="inlineStr">
        <is>
          <t>Nº 34621</t>
        </is>
      </c>
      <c r="D2526" s="14" t="inlineStr">
        <is>
          <t>RATEIO 200SL AMOSTRA 0,200L</t>
        </is>
      </c>
      <c r="E2526" s="13" t="inlineStr">
        <is>
          <t>Pulverização Agrícola Conforme Bula</t>
        </is>
      </c>
      <c r="F2526" s="13" t="inlineStr">
        <is>
          <t>Milho (Pré-Plantio)</t>
        </is>
      </c>
      <c r="G2526" s="13" t="inlineStr">
        <is>
          <t>Cultura Autorizada na Bula</t>
        </is>
      </c>
      <c r="H2526" s="13" t="inlineStr">
        <is>
          <t>100 a 300 L/ha</t>
        </is>
      </c>
      <c r="I2526" s="13" t="inlineStr">
        <is>
          <t>20 a 40 L/ha</t>
        </is>
      </c>
      <c r="J2526" s="13" t="inlineStr">
        <is>
          <t>N/D</t>
        </is>
      </c>
    </row>
    <row r="2527" ht="22" customHeight="1">
      <c r="A2527" s="6" t="inlineStr">
        <is>
          <t>CUL-2523</t>
        </is>
      </c>
      <c r="B2527" s="5" t="n">
        <v>500</v>
      </c>
      <c r="C2527" s="7" t="inlineStr">
        <is>
          <t>Nº 14024</t>
        </is>
      </c>
      <c r="D2527" s="8" t="inlineStr">
        <is>
          <t>ETHIPROLE</t>
        </is>
      </c>
      <c r="E2527" s="7" t="inlineStr">
        <is>
          <t>Pulverização Agrícola Conforme Bula</t>
        </is>
      </c>
      <c r="F2527" s="7" t="inlineStr">
        <is>
          <t>Soja</t>
        </is>
      </c>
      <c r="G2527" s="7" t="inlineStr">
        <is>
          <t>Cultura Autorizada na Bula</t>
        </is>
      </c>
      <c r="H2527" s="7" t="inlineStr">
        <is>
          <t>100 a 300 L/ha</t>
        </is>
      </c>
      <c r="I2527" s="7" t="inlineStr">
        <is>
          <t>20 a 40 L/ha</t>
        </is>
      </c>
      <c r="J2527" s="7" t="inlineStr">
        <is>
          <t>21 dias</t>
        </is>
      </c>
    </row>
    <row r="2528" ht="22" customHeight="1">
      <c r="A2528" s="12" t="inlineStr">
        <is>
          <t>CUL-2524</t>
        </is>
      </c>
      <c r="B2528" s="11" t="n">
        <v>500</v>
      </c>
      <c r="C2528" s="13" t="inlineStr">
        <is>
          <t>Nº 14024</t>
        </is>
      </c>
      <c r="D2528" s="14" t="inlineStr">
        <is>
          <t>ETHIPROLE</t>
        </is>
      </c>
      <c r="E2528" s="13" t="inlineStr">
        <is>
          <t>Pulverização Agrícola Conforme Bula</t>
        </is>
      </c>
      <c r="F2528" s="13" t="inlineStr">
        <is>
          <t>Milho</t>
        </is>
      </c>
      <c r="G2528" s="13" t="inlineStr">
        <is>
          <t>Cultura Autorizada na Bula</t>
        </is>
      </c>
      <c r="H2528" s="13" t="inlineStr">
        <is>
          <t>100 a 300 L/ha</t>
        </is>
      </c>
      <c r="I2528" s="13" t="inlineStr">
        <is>
          <t>20 a 40 L/ha</t>
        </is>
      </c>
      <c r="J2528" s="13" t="inlineStr">
        <is>
          <t>21 dias</t>
        </is>
      </c>
    </row>
    <row r="2529" ht="22" customHeight="1">
      <c r="A2529" s="6" t="inlineStr">
        <is>
          <t>CUL-2525</t>
        </is>
      </c>
      <c r="B2529" s="5" t="n">
        <v>500</v>
      </c>
      <c r="C2529" s="7" t="inlineStr">
        <is>
          <t>Nº 14024</t>
        </is>
      </c>
      <c r="D2529" s="8" t="inlineStr">
        <is>
          <t>ETHIPROLE</t>
        </is>
      </c>
      <c r="E2529" s="7" t="inlineStr">
        <is>
          <t>Pulverização Agrícola Conforme Bula</t>
        </is>
      </c>
      <c r="F2529" s="7" t="inlineStr">
        <is>
          <t>Algodão</t>
        </is>
      </c>
      <c r="G2529" s="7" t="inlineStr">
        <is>
          <t>Cultura Autorizada na Bula</t>
        </is>
      </c>
      <c r="H2529" s="7" t="inlineStr">
        <is>
          <t>100 a 300 L/ha</t>
        </is>
      </c>
      <c r="I2529" s="7" t="inlineStr">
        <is>
          <t>20 a 40 L/ha</t>
        </is>
      </c>
      <c r="J2529" s="7" t="inlineStr">
        <is>
          <t>21 dias</t>
        </is>
      </c>
    </row>
    <row r="2530" ht="22" customHeight="1">
      <c r="A2530" s="12" t="inlineStr">
        <is>
          <t>CUL-2526</t>
        </is>
      </c>
      <c r="B2530" s="11" t="n">
        <v>500</v>
      </c>
      <c r="C2530" s="13" t="inlineStr">
        <is>
          <t>Nº 14024</t>
        </is>
      </c>
      <c r="D2530" s="14" t="inlineStr">
        <is>
          <t>ETHIPROLE</t>
        </is>
      </c>
      <c r="E2530" s="13" t="inlineStr">
        <is>
          <t>Pulverização Agrícola Conforme Bula</t>
        </is>
      </c>
      <c r="F2530" s="13" t="inlineStr">
        <is>
          <t>Feijão</t>
        </is>
      </c>
      <c r="G2530" s="13" t="inlineStr">
        <is>
          <t>Cultura Autorizada na Bula</t>
        </is>
      </c>
      <c r="H2530" s="13" t="inlineStr">
        <is>
          <t>100 a 300 L/ha</t>
        </is>
      </c>
      <c r="I2530" s="13" t="inlineStr">
        <is>
          <t>20 a 40 L/ha</t>
        </is>
      </c>
      <c r="J2530" s="13" t="inlineStr">
        <is>
          <t>14 dias</t>
        </is>
      </c>
    </row>
    <row r="2531" ht="22" customHeight="1">
      <c r="A2531" s="6" t="inlineStr">
        <is>
          <t>CUL-2527</t>
        </is>
      </c>
      <c r="B2531" s="5" t="n">
        <v>501</v>
      </c>
      <c r="C2531" s="7" t="inlineStr">
        <is>
          <t>SIPEAGRO (UF-XXXXX)</t>
        </is>
      </c>
      <c r="D2531" s="8" t="inlineStr">
        <is>
          <t>FERT 08.40.00 + 5 S (VALIDAR)</t>
        </is>
      </c>
      <c r="E2531" s="7" t="inlineStr">
        <is>
          <t>Adubação de Solo / Foliar</t>
        </is>
      </c>
      <c r="F2531" s="7" t="inlineStr">
        <is>
          <t>Soja</t>
        </is>
      </c>
      <c r="G2531" s="7" t="inlineStr">
        <is>
          <t>Cultura Autorizada na Bula</t>
        </is>
      </c>
      <c r="H2531" s="7" t="inlineStr">
        <is>
          <t>100 a 300 L/ha</t>
        </is>
      </c>
      <c r="I2531" s="7" t="inlineStr">
        <is>
          <t>20 a 40 L/ha</t>
        </is>
      </c>
      <c r="J2531" s="7" t="inlineStr">
        <is>
          <t>Isento</t>
        </is>
      </c>
    </row>
    <row r="2532" ht="22" customHeight="1">
      <c r="A2532" s="12" t="inlineStr">
        <is>
          <t>CUL-2528</t>
        </is>
      </c>
      <c r="B2532" s="11" t="n">
        <v>501</v>
      </c>
      <c r="C2532" s="13" t="inlineStr">
        <is>
          <t>SIPEAGRO (UF-XXXXX)</t>
        </is>
      </c>
      <c r="D2532" s="14" t="inlineStr">
        <is>
          <t>FERT 08.40.00 + 5 S (VALIDAR)</t>
        </is>
      </c>
      <c r="E2532" s="13" t="inlineStr">
        <is>
          <t>Adubação de Solo / Foliar</t>
        </is>
      </c>
      <c r="F2532" s="13" t="inlineStr">
        <is>
          <t>Milho</t>
        </is>
      </c>
      <c r="G2532" s="13" t="inlineStr">
        <is>
          <t>Cultura Autorizada na Bula</t>
        </is>
      </c>
      <c r="H2532" s="13" t="inlineStr">
        <is>
          <t>100 a 300 L/ha</t>
        </is>
      </c>
      <c r="I2532" s="13" t="inlineStr">
        <is>
          <t>20 a 40 L/ha</t>
        </is>
      </c>
      <c r="J2532" s="13" t="inlineStr">
        <is>
          <t>Isento</t>
        </is>
      </c>
    </row>
    <row r="2533" ht="22" customHeight="1">
      <c r="A2533" s="6" t="inlineStr">
        <is>
          <t>CUL-2529</t>
        </is>
      </c>
      <c r="B2533" s="5" t="n">
        <v>501</v>
      </c>
      <c r="C2533" s="7" t="inlineStr">
        <is>
          <t>SIPEAGRO (UF-XXXXX)</t>
        </is>
      </c>
      <c r="D2533" s="8" t="inlineStr">
        <is>
          <t>FERT 08.40.00 + 5 S (VALIDAR)</t>
        </is>
      </c>
      <c r="E2533" s="7" t="inlineStr">
        <is>
          <t>Adubação de Solo / Foliar</t>
        </is>
      </c>
      <c r="F2533" s="7" t="inlineStr">
        <is>
          <t>Algodão</t>
        </is>
      </c>
      <c r="G2533" s="7" t="inlineStr">
        <is>
          <t>Cultura Autorizada na Bula</t>
        </is>
      </c>
      <c r="H2533" s="7" t="inlineStr">
        <is>
          <t>100 a 300 L/ha</t>
        </is>
      </c>
      <c r="I2533" s="7" t="inlineStr">
        <is>
          <t>20 a 40 L/ha</t>
        </is>
      </c>
      <c r="J2533" s="7" t="inlineStr">
        <is>
          <t>Isento</t>
        </is>
      </c>
    </row>
    <row r="2534" ht="22" customHeight="1">
      <c r="A2534" s="12" t="inlineStr">
        <is>
          <t>CUL-2530</t>
        </is>
      </c>
      <c r="B2534" s="11" t="n">
        <v>501</v>
      </c>
      <c r="C2534" s="13" t="inlineStr">
        <is>
          <t>SIPEAGRO (UF-XXXXX)</t>
        </is>
      </c>
      <c r="D2534" s="14" t="inlineStr">
        <is>
          <t>FERT 08.40.00 + 5 S (VALIDAR)</t>
        </is>
      </c>
      <c r="E2534" s="13" t="inlineStr">
        <is>
          <t>Adubação de Solo / Foliar</t>
        </is>
      </c>
      <c r="F2534" s="13" t="inlineStr">
        <is>
          <t>Cana-de-açúcar</t>
        </is>
      </c>
      <c r="G2534" s="13" t="inlineStr">
        <is>
          <t>Cultura Autorizada na Bula</t>
        </is>
      </c>
      <c r="H2534" s="13" t="inlineStr">
        <is>
          <t>100 a 300 L/ha</t>
        </is>
      </c>
      <c r="I2534" s="13" t="inlineStr">
        <is>
          <t>20 a 40 L/ha</t>
        </is>
      </c>
      <c r="J2534" s="13" t="inlineStr">
        <is>
          <t>Isento</t>
        </is>
      </c>
    </row>
    <row r="2535" ht="22" customHeight="1">
      <c r="A2535" s="6" t="inlineStr">
        <is>
          <t>CUL-2531</t>
        </is>
      </c>
      <c r="B2535" s="5" t="n">
        <v>501</v>
      </c>
      <c r="C2535" s="7" t="inlineStr">
        <is>
          <t>SIPEAGRO (UF-XXXXX)</t>
        </is>
      </c>
      <c r="D2535" s="8" t="inlineStr">
        <is>
          <t>FERT 08.40.00 + 5 S (VALIDAR)</t>
        </is>
      </c>
      <c r="E2535" s="7" t="inlineStr">
        <is>
          <t>Adubação de Solo / Foliar</t>
        </is>
      </c>
      <c r="F2535" s="7" t="inlineStr">
        <is>
          <t>Café</t>
        </is>
      </c>
      <c r="G2535" s="7" t="inlineStr">
        <is>
          <t>Cultura Autorizada na Bula</t>
        </is>
      </c>
      <c r="H2535" s="7" t="inlineStr">
        <is>
          <t>100 a 300 L/ha</t>
        </is>
      </c>
      <c r="I2535" s="7" t="inlineStr">
        <is>
          <t>20 a 40 L/ha</t>
        </is>
      </c>
      <c r="J2535" s="7" t="inlineStr">
        <is>
          <t>Isento</t>
        </is>
      </c>
    </row>
    <row r="2536" ht="22" customHeight="1">
      <c r="A2536" s="12" t="inlineStr">
        <is>
          <t>CUL-2532</t>
        </is>
      </c>
      <c r="B2536" s="11" t="n">
        <v>502</v>
      </c>
      <c r="C2536" s="13" t="inlineStr">
        <is>
          <t>Nº 28520</t>
        </is>
      </c>
      <c r="D2536" s="14" t="inlineStr">
        <is>
          <t>SENHA WG AMOSTRA 0,200KG GG IMP</t>
        </is>
      </c>
      <c r="E2536" s="13" t="inlineStr">
        <is>
          <t>Pulverização Agrícola Conforme Bula</t>
        </is>
      </c>
      <c r="F2536" s="13" t="inlineStr">
        <is>
          <t>Soja (Pré-Plantio / OGM)</t>
        </is>
      </c>
      <c r="G2536" s="13" t="inlineStr">
        <is>
          <t>Cultura Autorizada na Bula</t>
        </is>
      </c>
      <c r="H2536" s="13" t="inlineStr">
        <is>
          <t>100 a 300 L/ha</t>
        </is>
      </c>
      <c r="I2536" s="13" t="inlineStr">
        <is>
          <t>20 a 40 L/ha</t>
        </is>
      </c>
      <c r="J2536" s="13" t="inlineStr">
        <is>
          <t>56 dias</t>
        </is>
      </c>
    </row>
    <row r="2537" ht="22" customHeight="1">
      <c r="A2537" s="6" t="inlineStr">
        <is>
          <t>CUL-2533</t>
        </is>
      </c>
      <c r="B2537" s="5" t="n">
        <v>502</v>
      </c>
      <c r="C2537" s="7" t="inlineStr">
        <is>
          <t>Nº 28520</t>
        </is>
      </c>
      <c r="D2537" s="8" t="inlineStr">
        <is>
          <t>SENHA WG AMOSTRA 0,200KG GG IMP</t>
        </is>
      </c>
      <c r="E2537" s="7" t="inlineStr">
        <is>
          <t>Pulverização Agrícola Conforme Bula</t>
        </is>
      </c>
      <c r="F2537" s="7" t="inlineStr">
        <is>
          <t>Milho (Pré-Plantio / OGM)</t>
        </is>
      </c>
      <c r="G2537" s="7" t="inlineStr">
        <is>
          <t>Cultura Autorizada na Bula</t>
        </is>
      </c>
      <c r="H2537" s="7" t="inlineStr">
        <is>
          <t>100 a 300 L/ha</t>
        </is>
      </c>
      <c r="I2537" s="7" t="inlineStr">
        <is>
          <t>20 a 40 L/ha</t>
        </is>
      </c>
      <c r="J2537" s="7" t="inlineStr">
        <is>
          <t>90 dias</t>
        </is>
      </c>
    </row>
    <row r="2538" ht="22" customHeight="1">
      <c r="A2538" s="12" t="inlineStr">
        <is>
          <t>CUL-2534</t>
        </is>
      </c>
      <c r="B2538" s="11" t="n">
        <v>502</v>
      </c>
      <c r="C2538" s="13" t="inlineStr">
        <is>
          <t>Nº 28520</t>
        </is>
      </c>
      <c r="D2538" s="14" t="inlineStr">
        <is>
          <t>SENHA WG AMOSTRA 0,200KG GG IMP</t>
        </is>
      </c>
      <c r="E2538" s="13" t="inlineStr">
        <is>
          <t>Pulverização Agrícola Conforme Bula</t>
        </is>
      </c>
      <c r="F2538" s="13" t="inlineStr">
        <is>
          <t>Algodão (Pré-Plantio / OGM)</t>
        </is>
      </c>
      <c r="G2538" s="13" t="inlineStr">
        <is>
          <t>Cultura Autorizada na Bula</t>
        </is>
      </c>
      <c r="H2538" s="13" t="inlineStr">
        <is>
          <t>100 a 300 L/ha</t>
        </is>
      </c>
      <c r="I2538" s="13" t="inlineStr">
        <is>
          <t>20 a 40 L/ha</t>
        </is>
      </c>
      <c r="J2538" s="13" t="inlineStr">
        <is>
          <t>130 dias</t>
        </is>
      </c>
    </row>
    <row r="2539" ht="22" customHeight="1">
      <c r="A2539" s="6" t="inlineStr">
        <is>
          <t>CUL-2535</t>
        </is>
      </c>
      <c r="B2539" s="5" t="n">
        <v>502</v>
      </c>
      <c r="C2539" s="7" t="inlineStr">
        <is>
          <t>Nº 28520</t>
        </is>
      </c>
      <c r="D2539" s="8" t="inlineStr">
        <is>
          <t>SENHA WG AMOSTRA 0,200KG GG IMP</t>
        </is>
      </c>
      <c r="E2539" s="7" t="inlineStr">
        <is>
          <t>Pulverização Agrícola Conforme Bula</t>
        </is>
      </c>
      <c r="F2539" s="7" t="inlineStr">
        <is>
          <t>Cana-de-açúcar</t>
        </is>
      </c>
      <c r="G2539" s="7" t="inlineStr">
        <is>
          <t>Cultura Autorizada na Bula</t>
        </is>
      </c>
      <c r="H2539" s="7" t="inlineStr">
        <is>
          <t>100 a 300 L/ha</t>
        </is>
      </c>
      <c r="I2539" s="7" t="inlineStr">
        <is>
          <t>20 a 40 L/ha</t>
        </is>
      </c>
      <c r="J2539" s="7" t="inlineStr">
        <is>
          <t>N/D</t>
        </is>
      </c>
    </row>
    <row r="2540" ht="22" customHeight="1">
      <c r="A2540" s="12" t="inlineStr">
        <is>
          <t>CUL-2536</t>
        </is>
      </c>
      <c r="B2540" s="11" t="n">
        <v>502</v>
      </c>
      <c r="C2540" s="13" t="inlineStr">
        <is>
          <t>Nº 28520</t>
        </is>
      </c>
      <c r="D2540" s="14" t="inlineStr">
        <is>
          <t>SENHA WG AMOSTRA 0,200KG GG IMP</t>
        </is>
      </c>
      <c r="E2540" s="13" t="inlineStr">
        <is>
          <t>Pulverização Agrícola Conforme Bula</t>
        </is>
      </c>
      <c r="F2540" s="13" t="inlineStr">
        <is>
          <t>Café (Jato Dirigido)</t>
        </is>
      </c>
      <c r="G2540" s="13" t="inlineStr">
        <is>
          <t>Cultura Autorizada na Bula</t>
        </is>
      </c>
      <c r="H2540" s="13" t="inlineStr">
        <is>
          <t>100 a 300 L/ha</t>
        </is>
      </c>
      <c r="I2540" s="13" t="inlineStr">
        <is>
          <t>20 a 40 L/ha</t>
        </is>
      </c>
      <c r="J2540" s="13" t="inlineStr">
        <is>
          <t>15 dias</t>
        </is>
      </c>
    </row>
    <row r="2541" ht="22" customHeight="1">
      <c r="A2541" s="6" t="inlineStr">
        <is>
          <t>CUL-2537</t>
        </is>
      </c>
      <c r="B2541" s="5" t="n">
        <v>502</v>
      </c>
      <c r="C2541" s="7" t="inlineStr">
        <is>
          <t>Nº 28520</t>
        </is>
      </c>
      <c r="D2541" s="8" t="inlineStr">
        <is>
          <t>SENHA WG AMOSTRA 0,200KG GG IMP</t>
        </is>
      </c>
      <c r="E2541" s="7" t="inlineStr">
        <is>
          <t>Pulverização Agrícola Conforme Bula</t>
        </is>
      </c>
      <c r="F2541" s="7" t="inlineStr">
        <is>
          <t>Citros (Jato Dirigido)</t>
        </is>
      </c>
      <c r="G2541" s="7" t="inlineStr">
        <is>
          <t>Cultura Autorizada na Bula</t>
        </is>
      </c>
      <c r="H2541" s="7" t="inlineStr">
        <is>
          <t>100 a 300 L/ha</t>
        </is>
      </c>
      <c r="I2541" s="7" t="inlineStr">
        <is>
          <t>20 a 40 L/ha</t>
        </is>
      </c>
      <c r="J2541" s="7" t="inlineStr">
        <is>
          <t>30 dias</t>
        </is>
      </c>
    </row>
    <row r="2542" ht="22" customHeight="1">
      <c r="A2542" s="12" t="inlineStr">
        <is>
          <t>CUL-2538</t>
        </is>
      </c>
      <c r="B2542" s="11" t="n">
        <v>502</v>
      </c>
      <c r="C2542" s="13" t="inlineStr">
        <is>
          <t>Nº 28520</t>
        </is>
      </c>
      <c r="D2542" s="14" t="inlineStr">
        <is>
          <t>SENHA WG AMOSTRA 0,200KG GG IMP</t>
        </is>
      </c>
      <c r="E2542" s="13" t="inlineStr">
        <is>
          <t>Pulverização Agrícola Conforme Bula</t>
        </is>
      </c>
      <c r="F2542" s="13" t="inlineStr">
        <is>
          <t>Trigo (Pré-Plantio)</t>
        </is>
      </c>
      <c r="G2542" s="13" t="inlineStr">
        <is>
          <t>Cultura Autorizada na Bula</t>
        </is>
      </c>
      <c r="H2542" s="13" t="inlineStr">
        <is>
          <t>100 a 300 L/ha</t>
        </is>
      </c>
      <c r="I2542" s="13" t="inlineStr">
        <is>
          <t>20 a 40 L/ha</t>
        </is>
      </c>
      <c r="J2542" s="13" t="inlineStr">
        <is>
          <t>N/D</t>
        </is>
      </c>
    </row>
    <row r="2543" ht="22" customHeight="1">
      <c r="A2543" s="6" t="inlineStr">
        <is>
          <t>CUL-2539</t>
        </is>
      </c>
      <c r="B2543" s="5" t="n">
        <v>502</v>
      </c>
      <c r="C2543" s="7" t="inlineStr">
        <is>
          <t>Nº 28520</t>
        </is>
      </c>
      <c r="D2543" s="8" t="inlineStr">
        <is>
          <t>SENHA WG AMOSTRA 0,200KG GG IMP</t>
        </is>
      </c>
      <c r="E2543" s="7" t="inlineStr">
        <is>
          <t>Pulverização Agrícola Conforme Bula</t>
        </is>
      </c>
      <c r="F2543" s="7" t="inlineStr">
        <is>
          <t>Pastagens</t>
        </is>
      </c>
      <c r="G2543" s="7" t="inlineStr">
        <is>
          <t>Cultura Autorizada na Bula</t>
        </is>
      </c>
      <c r="H2543" s="7" t="inlineStr">
        <is>
          <t>100 a 300 L/ha</t>
        </is>
      </c>
      <c r="I2543" s="7" t="inlineStr">
        <is>
          <t>20 a 40 L/ha</t>
        </is>
      </c>
      <c r="J2543" s="7" t="inlineStr">
        <is>
          <t>N/D</t>
        </is>
      </c>
    </row>
    <row r="2544" ht="22" customHeight="1">
      <c r="A2544" s="12" t="inlineStr">
        <is>
          <t>CUL-2540</t>
        </is>
      </c>
      <c r="B2544" s="11" t="n">
        <v>503</v>
      </c>
      <c r="C2544" s="13" t="inlineStr">
        <is>
          <t>Nº 26718</t>
        </is>
      </c>
      <c r="D2544" s="14" t="inlineStr">
        <is>
          <t>DINKY</t>
        </is>
      </c>
      <c r="E2544" s="13" t="inlineStr">
        <is>
          <t>Pulverização Agrícola Conforme Bula</t>
        </is>
      </c>
      <c r="F2544" s="13" t="inlineStr">
        <is>
          <t>Algodão</t>
        </is>
      </c>
      <c r="G2544" s="13" t="inlineStr">
        <is>
          <t>Cultura Autorizada na Bula</t>
        </is>
      </c>
      <c r="H2544" s="13" t="inlineStr">
        <is>
          <t>100 a 300 L/ha</t>
        </is>
      </c>
      <c r="I2544" s="13" t="inlineStr">
        <is>
          <t>20 a 40 L/ha</t>
        </is>
      </c>
      <c r="J2544" s="13" t="inlineStr">
        <is>
          <t>28 dias</t>
        </is>
      </c>
    </row>
    <row r="2545" ht="22" customHeight="1">
      <c r="A2545" s="6" t="inlineStr">
        <is>
          <t>CUL-2541</t>
        </is>
      </c>
      <c r="B2545" s="5" t="n">
        <v>503</v>
      </c>
      <c r="C2545" s="7" t="inlineStr">
        <is>
          <t>Nº 26718</t>
        </is>
      </c>
      <c r="D2545" s="8" t="inlineStr">
        <is>
          <t>DINKY</t>
        </is>
      </c>
      <c r="E2545" s="7" t="inlineStr">
        <is>
          <t>Pulverização Agrícola Conforme Bula</t>
        </is>
      </c>
      <c r="F2545" s="7" t="inlineStr">
        <is>
          <t>Soja</t>
        </is>
      </c>
      <c r="G2545" s="7" t="inlineStr">
        <is>
          <t>Cultura Autorizada na Bula</t>
        </is>
      </c>
      <c r="H2545" s="7" t="inlineStr">
        <is>
          <t>100 a 300 L/ha</t>
        </is>
      </c>
      <c r="I2545" s="7" t="inlineStr">
        <is>
          <t>20 a 40 L/ha</t>
        </is>
      </c>
      <c r="J2545" s="7" t="inlineStr">
        <is>
          <t>21 dias</t>
        </is>
      </c>
    </row>
    <row r="2546" ht="22" customHeight="1">
      <c r="A2546" s="12" t="inlineStr">
        <is>
          <t>CUL-2542</t>
        </is>
      </c>
      <c r="B2546" s="11" t="n">
        <v>503</v>
      </c>
      <c r="C2546" s="13" t="inlineStr">
        <is>
          <t>Nº 26718</t>
        </is>
      </c>
      <c r="D2546" s="14" t="inlineStr">
        <is>
          <t>DINKY</t>
        </is>
      </c>
      <c r="E2546" s="13" t="inlineStr">
        <is>
          <t>Pulverização Agrícola Conforme Bula</t>
        </is>
      </c>
      <c r="F2546" s="13" t="inlineStr">
        <is>
          <t>Milho</t>
        </is>
      </c>
      <c r="G2546" s="13" t="inlineStr">
        <is>
          <t>Cultura Autorizada na Bula</t>
        </is>
      </c>
      <c r="H2546" s="13" t="inlineStr">
        <is>
          <t>100 a 300 L/ha</t>
        </is>
      </c>
      <c r="I2546" s="13" t="inlineStr">
        <is>
          <t>20 a 40 L/ha</t>
        </is>
      </c>
      <c r="J2546" s="13" t="inlineStr">
        <is>
          <t>30 dias</t>
        </is>
      </c>
    </row>
    <row r="2547" ht="22" customHeight="1">
      <c r="A2547" s="6" t="inlineStr">
        <is>
          <t>CUL-2543</t>
        </is>
      </c>
      <c r="B2547" s="5" t="n">
        <v>503</v>
      </c>
      <c r="C2547" s="7" t="inlineStr">
        <is>
          <t>Nº 26718</t>
        </is>
      </c>
      <c r="D2547" s="8" t="inlineStr">
        <is>
          <t>DINKY</t>
        </is>
      </c>
      <c r="E2547" s="7" t="inlineStr">
        <is>
          <t>Pulverização Agrícola Conforme Bula</t>
        </is>
      </c>
      <c r="F2547" s="7" t="inlineStr">
        <is>
          <t>Feijão</t>
        </is>
      </c>
      <c r="G2547" s="7" t="inlineStr">
        <is>
          <t>Cultura Autorizada na Bula</t>
        </is>
      </c>
      <c r="H2547" s="7" t="inlineStr">
        <is>
          <t>100 a 300 L/ha</t>
        </is>
      </c>
      <c r="I2547" s="7" t="inlineStr">
        <is>
          <t>20 a 40 L/ha</t>
        </is>
      </c>
      <c r="J2547" s="7" t="inlineStr">
        <is>
          <t>14 dias</t>
        </is>
      </c>
    </row>
    <row r="2548" ht="22" customHeight="1">
      <c r="A2548" s="12" t="inlineStr">
        <is>
          <t>CUL-2544</t>
        </is>
      </c>
      <c r="B2548" s="11" t="n">
        <v>503</v>
      </c>
      <c r="C2548" s="13" t="inlineStr">
        <is>
          <t>Nº 26718</t>
        </is>
      </c>
      <c r="D2548" s="14" t="inlineStr">
        <is>
          <t>DINKY</t>
        </is>
      </c>
      <c r="E2548" s="13" t="inlineStr">
        <is>
          <t>Pulverização Agrícola Conforme Bula</t>
        </is>
      </c>
      <c r="F2548" s="13" t="inlineStr">
        <is>
          <t>Café</t>
        </is>
      </c>
      <c r="G2548" s="13" t="inlineStr">
        <is>
          <t>Cultura Autorizada na Bula</t>
        </is>
      </c>
      <c r="H2548" s="13" t="inlineStr">
        <is>
          <t>100 a 300 L/ha</t>
        </is>
      </c>
      <c r="I2548" s="13" t="inlineStr">
        <is>
          <t>20 a 40 L/ha</t>
        </is>
      </c>
      <c r="J2548" s="13" t="inlineStr">
        <is>
          <t>28 dias</t>
        </is>
      </c>
    </row>
    <row r="2549" ht="22" customHeight="1">
      <c r="A2549" s="6" t="inlineStr">
        <is>
          <t>CUL-2545</t>
        </is>
      </c>
      <c r="B2549" s="5" t="n">
        <v>503</v>
      </c>
      <c r="C2549" s="7" t="inlineStr">
        <is>
          <t>Nº 26718</t>
        </is>
      </c>
      <c r="D2549" s="8" t="inlineStr">
        <is>
          <t>DINKY</t>
        </is>
      </c>
      <c r="E2549" s="7" t="inlineStr">
        <is>
          <t>Pulverização Agrícola Conforme Bula</t>
        </is>
      </c>
      <c r="F2549" s="7" t="inlineStr">
        <is>
          <t>Citros</t>
        </is>
      </c>
      <c r="G2549" s="7" t="inlineStr">
        <is>
          <t>Cultura Autorizada na Bula</t>
        </is>
      </c>
      <c r="H2549" s="7" t="inlineStr">
        <is>
          <t>100 a 300 L/ha</t>
        </is>
      </c>
      <c r="I2549" s="7" t="inlineStr">
        <is>
          <t>20 a 40 L/ha</t>
        </is>
      </c>
      <c r="J2549" s="7" t="inlineStr">
        <is>
          <t>7 dias</t>
        </is>
      </c>
    </row>
    <row r="2550" ht="22" customHeight="1">
      <c r="A2550" s="12" t="inlineStr">
        <is>
          <t>CUL-2546</t>
        </is>
      </c>
      <c r="B2550" s="11" t="n">
        <v>503</v>
      </c>
      <c r="C2550" s="13" t="inlineStr">
        <is>
          <t>Nº 26718</t>
        </is>
      </c>
      <c r="D2550" s="14" t="inlineStr">
        <is>
          <t>DINKY</t>
        </is>
      </c>
      <c r="E2550" s="13" t="inlineStr">
        <is>
          <t>Pulverização Agrícola Conforme Bula</t>
        </is>
      </c>
      <c r="F2550" s="13" t="inlineStr">
        <is>
          <t>Tomate</t>
        </is>
      </c>
      <c r="G2550" s="13" t="inlineStr">
        <is>
          <t>Cultura Autorizada na Bula</t>
        </is>
      </c>
      <c r="H2550" s="13" t="inlineStr">
        <is>
          <t>100 a 300 L/ha</t>
        </is>
      </c>
      <c r="I2550" s="13" t="inlineStr">
        <is>
          <t>20 a 40 L/ha</t>
        </is>
      </c>
      <c r="J2550" s="13" t="inlineStr">
        <is>
          <t>3 dias</t>
        </is>
      </c>
    </row>
    <row r="2551" ht="22" customHeight="1">
      <c r="A2551" s="6" t="inlineStr">
        <is>
          <t>CUL-2547</t>
        </is>
      </c>
      <c r="B2551" s="5" t="n">
        <v>504</v>
      </c>
      <c r="C2551" s="7" t="inlineStr">
        <is>
          <t>Nº 5924</t>
        </is>
      </c>
      <c r="D2551" s="8" t="inlineStr">
        <is>
          <t>FLAME WG</t>
        </is>
      </c>
      <c r="E2551" s="7" t="inlineStr">
        <is>
          <t>Pulverização Agrícola Conforme Bula</t>
        </is>
      </c>
      <c r="F2551" s="7" t="inlineStr">
        <is>
          <t>Algodão</t>
        </is>
      </c>
      <c r="G2551" s="7" t="inlineStr">
        <is>
          <t>Cultura Autorizada na Bula</t>
        </is>
      </c>
      <c r="H2551" s="7" t="inlineStr">
        <is>
          <t>100 a 300 L/ha</t>
        </is>
      </c>
      <c r="I2551" s="7" t="inlineStr">
        <is>
          <t>20 a 40 L/ha</t>
        </is>
      </c>
      <c r="J2551" s="7" t="inlineStr">
        <is>
          <t>15 dias</t>
        </is>
      </c>
    </row>
    <row r="2552" ht="22" customHeight="1">
      <c r="A2552" s="12" t="inlineStr">
        <is>
          <t>CUL-2548</t>
        </is>
      </c>
      <c r="B2552" s="11" t="n">
        <v>504</v>
      </c>
      <c r="C2552" s="13" t="inlineStr">
        <is>
          <t>Nº 5924</t>
        </is>
      </c>
      <c r="D2552" s="14" t="inlineStr">
        <is>
          <t>FLAME WG</t>
        </is>
      </c>
      <c r="E2552" s="13" t="inlineStr">
        <is>
          <t>Pulverização Agrícola Conforme Bula</t>
        </is>
      </c>
      <c r="F2552" s="13" t="inlineStr">
        <is>
          <t>Soja</t>
        </is>
      </c>
      <c r="G2552" s="13" t="inlineStr">
        <is>
          <t>Cultura Autorizada na Bula</t>
        </is>
      </c>
      <c r="H2552" s="13" t="inlineStr">
        <is>
          <t>100 a 300 L/ha</t>
        </is>
      </c>
      <c r="I2552" s="13" t="inlineStr">
        <is>
          <t>20 a 40 L/ha</t>
        </is>
      </c>
      <c r="J2552" s="13" t="inlineStr">
        <is>
          <t>30 dias</t>
        </is>
      </c>
    </row>
    <row r="2553" ht="22" customHeight="1">
      <c r="A2553" s="6" t="inlineStr">
        <is>
          <t>CUL-2549</t>
        </is>
      </c>
      <c r="B2553" s="5" t="n">
        <v>504</v>
      </c>
      <c r="C2553" s="7" t="inlineStr">
        <is>
          <t>Nº 5924</t>
        </is>
      </c>
      <c r="D2553" s="8" t="inlineStr">
        <is>
          <t>FLAME WG</t>
        </is>
      </c>
      <c r="E2553" s="7" t="inlineStr">
        <is>
          <t>Pulverização Agrícola Conforme Bula</t>
        </is>
      </c>
      <c r="F2553" s="7" t="inlineStr">
        <is>
          <t>Milho</t>
        </is>
      </c>
      <c r="G2553" s="7" t="inlineStr">
        <is>
          <t>Cultura Autorizada na Bula</t>
        </is>
      </c>
      <c r="H2553" s="7" t="inlineStr">
        <is>
          <t>100 a 300 L/ha</t>
        </is>
      </c>
      <c r="I2553" s="7" t="inlineStr">
        <is>
          <t>20 a 40 L/ha</t>
        </is>
      </c>
      <c r="J2553" s="7" t="inlineStr">
        <is>
          <t>30 dias</t>
        </is>
      </c>
    </row>
    <row r="2554" ht="22" customHeight="1">
      <c r="A2554" s="12" t="inlineStr">
        <is>
          <t>CUL-2550</t>
        </is>
      </c>
      <c r="B2554" s="11" t="n">
        <v>504</v>
      </c>
      <c r="C2554" s="13" t="inlineStr">
        <is>
          <t>Nº 5924</t>
        </is>
      </c>
      <c r="D2554" s="14" t="inlineStr">
        <is>
          <t>FLAME WG</t>
        </is>
      </c>
      <c r="E2554" s="13" t="inlineStr">
        <is>
          <t>Pulverização Agrícola Conforme Bula</t>
        </is>
      </c>
      <c r="F2554" s="13" t="inlineStr">
        <is>
          <t>Cana-de-açúcar</t>
        </is>
      </c>
      <c r="G2554" s="13" t="inlineStr">
        <is>
          <t>Cultura Autorizada na Bula</t>
        </is>
      </c>
      <c r="H2554" s="13" t="inlineStr">
        <is>
          <t>100 a 300 L/ha</t>
        </is>
      </c>
      <c r="I2554" s="13" t="inlineStr">
        <is>
          <t>20 a 40 L/ha</t>
        </is>
      </c>
      <c r="J2554" s="13" t="inlineStr">
        <is>
          <t>30 dias</t>
        </is>
      </c>
    </row>
    <row r="2555" ht="22" customHeight="1">
      <c r="A2555" s="6" t="inlineStr">
        <is>
          <t>CUL-2551</t>
        </is>
      </c>
      <c r="B2555" s="5" t="n">
        <v>504</v>
      </c>
      <c r="C2555" s="7" t="inlineStr">
        <is>
          <t>Nº 5924</t>
        </is>
      </c>
      <c r="D2555" s="8" t="inlineStr">
        <is>
          <t>FLAME WG</t>
        </is>
      </c>
      <c r="E2555" s="7" t="inlineStr">
        <is>
          <t>Pulverização Agrícola Conforme Bula</t>
        </is>
      </c>
      <c r="F2555" s="7" t="inlineStr">
        <is>
          <t>Café</t>
        </is>
      </c>
      <c r="G2555" s="7" t="inlineStr">
        <is>
          <t>Cultura Autorizada na Bula</t>
        </is>
      </c>
      <c r="H2555" s="7" t="inlineStr">
        <is>
          <t>100 a 300 L/ha</t>
        </is>
      </c>
      <c r="I2555" s="7" t="inlineStr">
        <is>
          <t>20 a 40 L/ha</t>
        </is>
      </c>
      <c r="J2555" s="7" t="inlineStr">
        <is>
          <t>30 dias</t>
        </is>
      </c>
    </row>
    <row r="2556" ht="22" customHeight="1">
      <c r="A2556" s="12" t="inlineStr">
        <is>
          <t>CUL-2552</t>
        </is>
      </c>
      <c r="B2556" s="11" t="n">
        <v>504</v>
      </c>
      <c r="C2556" s="13" t="inlineStr">
        <is>
          <t>Nº 5924</t>
        </is>
      </c>
      <c r="D2556" s="14" t="inlineStr">
        <is>
          <t>FLAME WG</t>
        </is>
      </c>
      <c r="E2556" s="13" t="inlineStr">
        <is>
          <t>Pulverização Agrícola Conforme Bula</t>
        </is>
      </c>
      <c r="F2556" s="13" t="inlineStr">
        <is>
          <t>Citros</t>
        </is>
      </c>
      <c r="G2556" s="13" t="inlineStr">
        <is>
          <t>Cultura Autorizada na Bula</t>
        </is>
      </c>
      <c r="H2556" s="13" t="inlineStr">
        <is>
          <t>100 a 300 L/ha</t>
        </is>
      </c>
      <c r="I2556" s="13" t="inlineStr">
        <is>
          <t>20 a 40 L/ha</t>
        </is>
      </c>
      <c r="J2556" s="13" t="inlineStr">
        <is>
          <t>7 dias</t>
        </is>
      </c>
    </row>
    <row r="2557" ht="22" customHeight="1">
      <c r="A2557" s="6" t="inlineStr">
        <is>
          <t>CUL-2553</t>
        </is>
      </c>
      <c r="B2557" s="5" t="n">
        <v>504</v>
      </c>
      <c r="C2557" s="7" t="inlineStr">
        <is>
          <t>Nº 5924</t>
        </is>
      </c>
      <c r="D2557" s="8" t="inlineStr">
        <is>
          <t>FLAME WG</t>
        </is>
      </c>
      <c r="E2557" s="7" t="inlineStr">
        <is>
          <t>Pulverização Agrícola Conforme Bula</t>
        </is>
      </c>
      <c r="F2557" s="7" t="inlineStr">
        <is>
          <t>Feijão</t>
        </is>
      </c>
      <c r="G2557" s="7" t="inlineStr">
        <is>
          <t>Cultura Autorizada na Bula</t>
        </is>
      </c>
      <c r="H2557" s="7" t="inlineStr">
        <is>
          <t>100 a 300 L/ha</t>
        </is>
      </c>
      <c r="I2557" s="7" t="inlineStr">
        <is>
          <t>20 a 40 L/ha</t>
        </is>
      </c>
      <c r="J2557" s="7" t="inlineStr">
        <is>
          <t>20 dias</t>
        </is>
      </c>
    </row>
    <row r="2558" ht="22" customHeight="1">
      <c r="A2558" s="12" t="inlineStr">
        <is>
          <t>CUL-2554</t>
        </is>
      </c>
      <c r="B2558" s="11" t="n">
        <v>504</v>
      </c>
      <c r="C2558" s="13" t="inlineStr">
        <is>
          <t>Nº 5924</t>
        </is>
      </c>
      <c r="D2558" s="14" t="inlineStr">
        <is>
          <t>FLAME WG</t>
        </is>
      </c>
      <c r="E2558" s="13" t="inlineStr">
        <is>
          <t>Pulverização Agrícola Conforme Bula</t>
        </is>
      </c>
      <c r="F2558" s="13" t="inlineStr">
        <is>
          <t>Trigo</t>
        </is>
      </c>
      <c r="G2558" s="13" t="inlineStr">
        <is>
          <t>Cultura Autorizada na Bula</t>
        </is>
      </c>
      <c r="H2558" s="13" t="inlineStr">
        <is>
          <t>100 a 300 L/ha</t>
        </is>
      </c>
      <c r="I2558" s="13" t="inlineStr">
        <is>
          <t>20 a 40 L/ha</t>
        </is>
      </c>
      <c r="J2558" s="13" t="inlineStr">
        <is>
          <t>30 dias</t>
        </is>
      </c>
    </row>
    <row r="2559" ht="22" customHeight="1">
      <c r="A2559" s="6" t="inlineStr">
        <is>
          <t>CUL-2555</t>
        </is>
      </c>
      <c r="B2559" s="5" t="n">
        <v>505</v>
      </c>
      <c r="C2559" s="7" t="inlineStr">
        <is>
          <t>Nº 6313</t>
        </is>
      </c>
      <c r="D2559" s="8" t="inlineStr">
        <is>
          <t>MANFIL 800 WP</t>
        </is>
      </c>
      <c r="E2559" s="7" t="inlineStr">
        <is>
          <t>Pulverização Agrícola Conforme Bula</t>
        </is>
      </c>
      <c r="F2559" s="7" t="inlineStr">
        <is>
          <t>Soja</t>
        </is>
      </c>
      <c r="G2559" s="7" t="inlineStr">
        <is>
          <t>Cultura Autorizada na Bula</t>
        </is>
      </c>
      <c r="H2559" s="7" t="inlineStr">
        <is>
          <t>100 a 300 L/ha</t>
        </is>
      </c>
      <c r="I2559" s="7" t="inlineStr">
        <is>
          <t>20 a 40 L/ha</t>
        </is>
      </c>
      <c r="J2559" s="7" t="inlineStr">
        <is>
          <t>21 dias</t>
        </is>
      </c>
    </row>
    <row r="2560" ht="22" customHeight="1">
      <c r="A2560" s="12" t="inlineStr">
        <is>
          <t>CUL-2556</t>
        </is>
      </c>
      <c r="B2560" s="11" t="n">
        <v>505</v>
      </c>
      <c r="C2560" s="13" t="inlineStr">
        <is>
          <t>Nº 6313</t>
        </is>
      </c>
      <c r="D2560" s="14" t="inlineStr">
        <is>
          <t>MANFIL 800 WP</t>
        </is>
      </c>
      <c r="E2560" s="13" t="inlineStr">
        <is>
          <t>Pulverização Agrícola Conforme Bula</t>
        </is>
      </c>
      <c r="F2560" s="13" t="inlineStr">
        <is>
          <t>Algodão</t>
        </is>
      </c>
      <c r="G2560" s="13" t="inlineStr">
        <is>
          <t>Cultura Autorizada na Bula</t>
        </is>
      </c>
      <c r="H2560" s="13" t="inlineStr">
        <is>
          <t>100 a 300 L/ha</t>
        </is>
      </c>
      <c r="I2560" s="13" t="inlineStr">
        <is>
          <t>20 a 40 L/ha</t>
        </is>
      </c>
      <c r="J2560" s="13" t="inlineStr">
        <is>
          <t>21 dias</t>
        </is>
      </c>
    </row>
    <row r="2561" ht="22" customHeight="1">
      <c r="A2561" s="6" t="inlineStr">
        <is>
          <t>CUL-2557</t>
        </is>
      </c>
      <c r="B2561" s="5" t="n">
        <v>505</v>
      </c>
      <c r="C2561" s="7" t="inlineStr">
        <is>
          <t>Nº 6313</t>
        </is>
      </c>
      <c r="D2561" s="8" t="inlineStr">
        <is>
          <t>MANFIL 800 WP</t>
        </is>
      </c>
      <c r="E2561" s="7" t="inlineStr">
        <is>
          <t>Pulverização Agrícola Conforme Bula</t>
        </is>
      </c>
      <c r="F2561" s="7" t="inlineStr">
        <is>
          <t>Café</t>
        </is>
      </c>
      <c r="G2561" s="7" t="inlineStr">
        <is>
          <t>Cultura Autorizada na Bula</t>
        </is>
      </c>
      <c r="H2561" s="7" t="inlineStr">
        <is>
          <t>100 a 300 L/ha</t>
        </is>
      </c>
      <c r="I2561" s="7" t="inlineStr">
        <is>
          <t>20 a 40 L/ha</t>
        </is>
      </c>
      <c r="J2561" s="7" t="inlineStr">
        <is>
          <t>21 dias</t>
        </is>
      </c>
    </row>
    <row r="2562" ht="22" customHeight="1">
      <c r="A2562" s="12" t="inlineStr">
        <is>
          <t>CUL-2558</t>
        </is>
      </c>
      <c r="B2562" s="11" t="n">
        <v>505</v>
      </c>
      <c r="C2562" s="13" t="inlineStr">
        <is>
          <t>Nº 6313</t>
        </is>
      </c>
      <c r="D2562" s="14" t="inlineStr">
        <is>
          <t>MANFIL 800 WP</t>
        </is>
      </c>
      <c r="E2562" s="13" t="inlineStr">
        <is>
          <t>Pulverização Agrícola Conforme Bula</t>
        </is>
      </c>
      <c r="F2562" s="13" t="inlineStr">
        <is>
          <t>Feijão</t>
        </is>
      </c>
      <c r="G2562" s="13" t="inlineStr">
        <is>
          <t>Cultura Autorizada na Bula</t>
        </is>
      </c>
      <c r="H2562" s="13" t="inlineStr">
        <is>
          <t>100 a 300 L/ha</t>
        </is>
      </c>
      <c r="I2562" s="13" t="inlineStr">
        <is>
          <t>20 a 40 L/ha</t>
        </is>
      </c>
      <c r="J2562" s="13" t="inlineStr">
        <is>
          <t>14 dias</t>
        </is>
      </c>
    </row>
    <row r="2563" ht="22" customHeight="1">
      <c r="A2563" s="6" t="inlineStr">
        <is>
          <t>CUL-2559</t>
        </is>
      </c>
      <c r="B2563" s="5" t="n">
        <v>505</v>
      </c>
      <c r="C2563" s="7" t="inlineStr">
        <is>
          <t>Nº 6313</t>
        </is>
      </c>
      <c r="D2563" s="8" t="inlineStr">
        <is>
          <t>MANFIL 800 WP</t>
        </is>
      </c>
      <c r="E2563" s="7" t="inlineStr">
        <is>
          <t>Pulverização Agrícola Conforme Bula</t>
        </is>
      </c>
      <c r="F2563" s="7" t="inlineStr">
        <is>
          <t>Milho</t>
        </is>
      </c>
      <c r="G2563" s="7" t="inlineStr">
        <is>
          <t>Cultura Autorizada na Bula</t>
        </is>
      </c>
      <c r="H2563" s="7" t="inlineStr">
        <is>
          <t>100 a 300 L/ha</t>
        </is>
      </c>
      <c r="I2563" s="7" t="inlineStr">
        <is>
          <t>20 a 40 L/ha</t>
        </is>
      </c>
      <c r="J2563" s="7" t="inlineStr">
        <is>
          <t>21 dias</t>
        </is>
      </c>
    </row>
    <row r="2564" ht="22" customHeight="1">
      <c r="A2564" s="12" t="inlineStr">
        <is>
          <t>CUL-2560</t>
        </is>
      </c>
      <c r="B2564" s="11" t="n">
        <v>505</v>
      </c>
      <c r="C2564" s="13" t="inlineStr">
        <is>
          <t>Nº 6313</t>
        </is>
      </c>
      <c r="D2564" s="14" t="inlineStr">
        <is>
          <t>MANFIL 800 WP</t>
        </is>
      </c>
      <c r="E2564" s="13" t="inlineStr">
        <is>
          <t>Pulverização Agrícola Conforme Bula</t>
        </is>
      </c>
      <c r="F2564" s="13" t="inlineStr">
        <is>
          <t>Batata</t>
        </is>
      </c>
      <c r="G2564" s="13" t="inlineStr">
        <is>
          <t>Cultura Autorizada na Bula</t>
        </is>
      </c>
      <c r="H2564" s="13" t="inlineStr">
        <is>
          <t>100 a 300 L/ha</t>
        </is>
      </c>
      <c r="I2564" s="13" t="inlineStr">
        <is>
          <t>20 a 40 L/ha</t>
        </is>
      </c>
      <c r="J2564" s="13" t="inlineStr">
        <is>
          <t>7 dias</t>
        </is>
      </c>
    </row>
    <row r="2565" ht="22" customHeight="1">
      <c r="A2565" s="6" t="inlineStr">
        <is>
          <t>CUL-2561</t>
        </is>
      </c>
      <c r="B2565" s="5" t="n">
        <v>505</v>
      </c>
      <c r="C2565" s="7" t="inlineStr">
        <is>
          <t>Nº 6313</t>
        </is>
      </c>
      <c r="D2565" s="8" t="inlineStr">
        <is>
          <t>MANFIL 800 WP</t>
        </is>
      </c>
      <c r="E2565" s="7" t="inlineStr">
        <is>
          <t>Pulverização Agrícola Conforme Bula</t>
        </is>
      </c>
      <c r="F2565" s="7" t="inlineStr">
        <is>
          <t>Tomate</t>
        </is>
      </c>
      <c r="G2565" s="7" t="inlineStr">
        <is>
          <t>Cultura Autorizada na Bula</t>
        </is>
      </c>
      <c r="H2565" s="7" t="inlineStr">
        <is>
          <t>100 a 300 L/ha</t>
        </is>
      </c>
      <c r="I2565" s="7" t="inlineStr">
        <is>
          <t>20 a 40 L/ha</t>
        </is>
      </c>
      <c r="J2565" s="7" t="inlineStr">
        <is>
          <t>7 dias</t>
        </is>
      </c>
    </row>
    <row r="2566" ht="22" customHeight="1">
      <c r="A2566" s="12" t="inlineStr">
        <is>
          <t>CUL-2562</t>
        </is>
      </c>
      <c r="B2566" s="11" t="n">
        <v>505</v>
      </c>
      <c r="C2566" s="13" t="inlineStr">
        <is>
          <t>Nº 6313</t>
        </is>
      </c>
      <c r="D2566" s="14" t="inlineStr">
        <is>
          <t>MANFIL 800 WP</t>
        </is>
      </c>
      <c r="E2566" s="13" t="inlineStr">
        <is>
          <t>Pulverização Agrícola Conforme Bula</t>
        </is>
      </c>
      <c r="F2566" s="13" t="inlineStr">
        <is>
          <t>Trigo</t>
        </is>
      </c>
      <c r="G2566" s="13" t="inlineStr">
        <is>
          <t>Cultura Autorizada na Bula</t>
        </is>
      </c>
      <c r="H2566" s="13" t="inlineStr">
        <is>
          <t>100 a 300 L/ha</t>
        </is>
      </c>
      <c r="I2566" s="13" t="inlineStr">
        <is>
          <t>20 a 40 L/ha</t>
        </is>
      </c>
      <c r="J2566" s="13" t="inlineStr">
        <is>
          <t>21 dias</t>
        </is>
      </c>
    </row>
    <row r="2567" ht="22" customHeight="1">
      <c r="A2567" s="6" t="inlineStr">
        <is>
          <t>CUL-2563</t>
        </is>
      </c>
      <c r="B2567" s="5" t="n">
        <v>506</v>
      </c>
      <c r="C2567" s="7" t="inlineStr">
        <is>
          <t>Nº 4900</t>
        </is>
      </c>
      <c r="D2567" s="8" t="inlineStr">
        <is>
          <t>CONVERGE 400 EC</t>
        </is>
      </c>
      <c r="E2567" s="7" t="inlineStr">
        <is>
          <t>Pulverização Agrícola Conforme Bula</t>
        </is>
      </c>
      <c r="F2567" s="7" t="inlineStr">
        <is>
          <t>Soja (Dessecação)</t>
        </is>
      </c>
      <c r="G2567" s="7" t="inlineStr">
        <is>
          <t>Cultura Autorizada na Bula</t>
        </is>
      </c>
      <c r="H2567" s="7" t="inlineStr">
        <is>
          <t>100 a 300 L/ha</t>
        </is>
      </c>
      <c r="I2567" s="7" t="inlineStr">
        <is>
          <t>20 a 40 L/ha</t>
        </is>
      </c>
      <c r="J2567" s="7" t="inlineStr">
        <is>
          <t>N/D</t>
        </is>
      </c>
    </row>
    <row r="2568" ht="22" customHeight="1">
      <c r="A2568" s="12" t="inlineStr">
        <is>
          <t>CUL-2564</t>
        </is>
      </c>
      <c r="B2568" s="11" t="n">
        <v>506</v>
      </c>
      <c r="C2568" s="13" t="inlineStr">
        <is>
          <t>Nº 4900</t>
        </is>
      </c>
      <c r="D2568" s="14" t="inlineStr">
        <is>
          <t>CONVERGE 400 EC</t>
        </is>
      </c>
      <c r="E2568" s="13" t="inlineStr">
        <is>
          <t>Pulverização Agrícola Conforme Bula</t>
        </is>
      </c>
      <c r="F2568" s="13" t="inlineStr">
        <is>
          <t>Milho</t>
        </is>
      </c>
      <c r="G2568" s="13" t="inlineStr">
        <is>
          <t>Cultura Autorizada na Bula</t>
        </is>
      </c>
      <c r="H2568" s="13" t="inlineStr">
        <is>
          <t>100 a 300 L/ha</t>
        </is>
      </c>
      <c r="I2568" s="13" t="inlineStr">
        <is>
          <t>20 a 40 L/ha</t>
        </is>
      </c>
      <c r="J2568" s="13" t="inlineStr">
        <is>
          <t>45 dias</t>
        </is>
      </c>
    </row>
    <row r="2569" ht="22" customHeight="1">
      <c r="A2569" s="6" t="inlineStr">
        <is>
          <t>CUL-2565</t>
        </is>
      </c>
      <c r="B2569" s="5" t="n">
        <v>506</v>
      </c>
      <c r="C2569" s="7" t="inlineStr">
        <is>
          <t>Nº 4900</t>
        </is>
      </c>
      <c r="D2569" s="8" t="inlineStr">
        <is>
          <t>CONVERGE 400 EC</t>
        </is>
      </c>
      <c r="E2569" s="7" t="inlineStr">
        <is>
          <t>Pulverização Agrícola Conforme Bula</t>
        </is>
      </c>
      <c r="F2569" s="7" t="inlineStr">
        <is>
          <t>Algodão (Desfolha / Jato Dirigido)</t>
        </is>
      </c>
      <c r="G2569" s="7" t="inlineStr">
        <is>
          <t>Cultura Autorizada na Bula</t>
        </is>
      </c>
      <c r="H2569" s="7" t="inlineStr">
        <is>
          <t>100 a 300 L/ha</t>
        </is>
      </c>
      <c r="I2569" s="7" t="inlineStr">
        <is>
          <t>20 a 40 L/ha</t>
        </is>
      </c>
      <c r="J2569" s="7" t="inlineStr">
        <is>
          <t>15 dias</t>
        </is>
      </c>
    </row>
    <row r="2570" ht="22" customHeight="1">
      <c r="A2570" s="12" t="inlineStr">
        <is>
          <t>CUL-2566</t>
        </is>
      </c>
      <c r="B2570" s="11" t="n">
        <v>506</v>
      </c>
      <c r="C2570" s="13" t="inlineStr">
        <is>
          <t>Nº 4900</t>
        </is>
      </c>
      <c r="D2570" s="14" t="inlineStr">
        <is>
          <t>CONVERGE 400 EC</t>
        </is>
      </c>
      <c r="E2570" s="13" t="inlineStr">
        <is>
          <t>Pulverização Agrícola Conforme Bula</t>
        </is>
      </c>
      <c r="F2570" s="13" t="inlineStr">
        <is>
          <t>Cana-de-açúcar</t>
        </is>
      </c>
      <c r="G2570" s="13" t="inlineStr">
        <is>
          <t>Cultura Autorizada na Bula</t>
        </is>
      </c>
      <c r="H2570" s="13" t="inlineStr">
        <is>
          <t>100 a 300 L/ha</t>
        </is>
      </c>
      <c r="I2570" s="13" t="inlineStr">
        <is>
          <t>20 a 40 L/ha</t>
        </is>
      </c>
      <c r="J2570" s="13" t="inlineStr">
        <is>
          <t>105 dias</t>
        </is>
      </c>
    </row>
    <row r="2571" ht="22" customHeight="1">
      <c r="A2571" s="6" t="inlineStr">
        <is>
          <t>CUL-2567</t>
        </is>
      </c>
      <c r="B2571" s="5" t="n">
        <v>506</v>
      </c>
      <c r="C2571" s="7" t="inlineStr">
        <is>
          <t>Nº 4900</t>
        </is>
      </c>
      <c r="D2571" s="8" t="inlineStr">
        <is>
          <t>CONVERGE 400 EC</t>
        </is>
      </c>
      <c r="E2571" s="7" t="inlineStr">
        <is>
          <t>Pulverização Agrícola Conforme Bula</t>
        </is>
      </c>
      <c r="F2571" s="7" t="inlineStr">
        <is>
          <t>Café</t>
        </is>
      </c>
      <c r="G2571" s="7" t="inlineStr">
        <is>
          <t>Cultura Autorizada na Bula</t>
        </is>
      </c>
      <c r="H2571" s="7" t="inlineStr">
        <is>
          <t>100 a 300 L/ha</t>
        </is>
      </c>
      <c r="I2571" s="7" t="inlineStr">
        <is>
          <t>20 a 40 L/ha</t>
        </is>
      </c>
      <c r="J2571" s="7" t="inlineStr">
        <is>
          <t>15 dias</t>
        </is>
      </c>
    </row>
    <row r="2572" ht="22" customHeight="1">
      <c r="A2572" s="12" t="inlineStr">
        <is>
          <t>CUL-2568</t>
        </is>
      </c>
      <c r="B2572" s="11" t="n">
        <v>506</v>
      </c>
      <c r="C2572" s="13" t="inlineStr">
        <is>
          <t>Nº 4900</t>
        </is>
      </c>
      <c r="D2572" s="14" t="inlineStr">
        <is>
          <t>CONVERGE 400 EC</t>
        </is>
      </c>
      <c r="E2572" s="13" t="inlineStr">
        <is>
          <t>Pulverização Agrícola Conforme Bula</t>
        </is>
      </c>
      <c r="F2572" s="13" t="inlineStr">
        <is>
          <t>Citros</t>
        </is>
      </c>
      <c r="G2572" s="13" t="inlineStr">
        <is>
          <t>Cultura Autorizada na Bula</t>
        </is>
      </c>
      <c r="H2572" s="13" t="inlineStr">
        <is>
          <t>100 a 300 L/ha</t>
        </is>
      </c>
      <c r="I2572" s="13" t="inlineStr">
        <is>
          <t>20 a 40 L/ha</t>
        </is>
      </c>
      <c r="J2572" s="13" t="inlineStr">
        <is>
          <t>15 dias</t>
        </is>
      </c>
    </row>
    <row r="2573" ht="22" customHeight="1">
      <c r="A2573" s="6" t="inlineStr">
        <is>
          <t>CUL-2569</t>
        </is>
      </c>
      <c r="B2573" s="5" t="n">
        <v>507</v>
      </c>
      <c r="C2573" s="7" t="inlineStr">
        <is>
          <t>Nº 1109</t>
        </is>
      </c>
      <c r="D2573" s="8" t="inlineStr">
        <is>
          <t>TROVATI 360 CS</t>
        </is>
      </c>
      <c r="E2573" s="7" t="inlineStr">
        <is>
          <t>Pulverização Agrícola Conforme Bula</t>
        </is>
      </c>
      <c r="F2573" s="7" t="inlineStr">
        <is>
          <t>Cana-de-açúcar</t>
        </is>
      </c>
      <c r="G2573" s="7" t="inlineStr">
        <is>
          <t>Cultura Autorizada na Bula</t>
        </is>
      </c>
      <c r="H2573" s="7" t="inlineStr">
        <is>
          <t>100 a 300 L/ha</t>
        </is>
      </c>
      <c r="I2573" s="7" t="inlineStr">
        <is>
          <t>20 a 40 L/ha</t>
        </is>
      </c>
      <c r="J2573" s="7" t="inlineStr">
        <is>
          <t>N/D</t>
        </is>
      </c>
    </row>
    <row r="2574" ht="22" customHeight="1">
      <c r="A2574" s="12" t="inlineStr">
        <is>
          <t>CUL-2570</t>
        </is>
      </c>
      <c r="B2574" s="11" t="n">
        <v>507</v>
      </c>
      <c r="C2574" s="13" t="inlineStr">
        <is>
          <t>Nº 1109</t>
        </is>
      </c>
      <c r="D2574" s="14" t="inlineStr">
        <is>
          <t>TROVATI 360 CS</t>
        </is>
      </c>
      <c r="E2574" s="13" t="inlineStr">
        <is>
          <t>Pulverização Agrícola Conforme Bula</t>
        </is>
      </c>
      <c r="F2574" s="13" t="inlineStr">
        <is>
          <t>Arroz</t>
        </is>
      </c>
      <c r="G2574" s="13" t="inlineStr">
        <is>
          <t>Cultura Autorizada na Bula</t>
        </is>
      </c>
      <c r="H2574" s="13" t="inlineStr">
        <is>
          <t>100 a 300 L/ha</t>
        </is>
      </c>
      <c r="I2574" s="13" t="inlineStr">
        <is>
          <t>20 a 40 L/ha</t>
        </is>
      </c>
      <c r="J2574" s="13" t="inlineStr">
        <is>
          <t>90 dias</t>
        </is>
      </c>
    </row>
    <row r="2575" ht="22" customHeight="1">
      <c r="A2575" s="6" t="inlineStr">
        <is>
          <t>CUL-2571</t>
        </is>
      </c>
      <c r="B2575" s="5" t="n">
        <v>507</v>
      </c>
      <c r="C2575" s="7" t="inlineStr">
        <is>
          <t>Nº 1109</t>
        </is>
      </c>
      <c r="D2575" s="8" t="inlineStr">
        <is>
          <t>TROVATI 360 CS</t>
        </is>
      </c>
      <c r="E2575" s="7" t="inlineStr">
        <is>
          <t>Pulverização Agrícola Conforme Bula</t>
        </is>
      </c>
      <c r="F2575" s="7" t="inlineStr">
        <is>
          <t>Soja</t>
        </is>
      </c>
      <c r="G2575" s="7" t="inlineStr">
        <is>
          <t>Cultura Autorizada na Bula</t>
        </is>
      </c>
      <c r="H2575" s="7" t="inlineStr">
        <is>
          <t>100 a 300 L/ha</t>
        </is>
      </c>
      <c r="I2575" s="7" t="inlineStr">
        <is>
          <t>20 a 40 L/ha</t>
        </is>
      </c>
      <c r="J2575" s="7" t="inlineStr">
        <is>
          <t>N/D</t>
        </is>
      </c>
    </row>
    <row r="2576" ht="22" customHeight="1">
      <c r="A2576" s="12" t="inlineStr">
        <is>
          <t>CUL-2572</t>
        </is>
      </c>
      <c r="B2576" s="11" t="n">
        <v>507</v>
      </c>
      <c r="C2576" s="13" t="inlineStr">
        <is>
          <t>Nº 1109</t>
        </is>
      </c>
      <c r="D2576" s="14" t="inlineStr">
        <is>
          <t>TROVATI 360 CS</t>
        </is>
      </c>
      <c r="E2576" s="13" t="inlineStr">
        <is>
          <t>Pulverização Agrícola Conforme Bula</t>
        </is>
      </c>
      <c r="F2576" s="13" t="inlineStr">
        <is>
          <t>Algodão</t>
        </is>
      </c>
      <c r="G2576" s="13" t="inlineStr">
        <is>
          <t>Cultura Autorizada na Bula</t>
        </is>
      </c>
      <c r="H2576" s="13" t="inlineStr">
        <is>
          <t>100 a 300 L/ha</t>
        </is>
      </c>
      <c r="I2576" s="13" t="inlineStr">
        <is>
          <t>20 a 40 L/ha</t>
        </is>
      </c>
      <c r="J2576" s="13" t="inlineStr">
        <is>
          <t>100 dias</t>
        </is>
      </c>
    </row>
    <row r="2577" ht="22" customHeight="1">
      <c r="A2577" s="6" t="inlineStr">
        <is>
          <t>CUL-2573</t>
        </is>
      </c>
      <c r="B2577" s="5" t="n">
        <v>507</v>
      </c>
      <c r="C2577" s="7" t="inlineStr">
        <is>
          <t>Nº 1109</t>
        </is>
      </c>
      <c r="D2577" s="8" t="inlineStr">
        <is>
          <t>TROVATI 360 CS</t>
        </is>
      </c>
      <c r="E2577" s="7" t="inlineStr">
        <is>
          <t>Pulverização Agrícola Conforme Bula</t>
        </is>
      </c>
      <c r="F2577" s="7" t="inlineStr">
        <is>
          <t>Mandioca</t>
        </is>
      </c>
      <c r="G2577" s="7" t="inlineStr">
        <is>
          <t>Cultura Autorizada na Bula</t>
        </is>
      </c>
      <c r="H2577" s="7" t="inlineStr">
        <is>
          <t>100 a 300 L/ha</t>
        </is>
      </c>
      <c r="I2577" s="7" t="inlineStr">
        <is>
          <t>20 a 40 L/ha</t>
        </is>
      </c>
      <c r="J2577" s="7" t="inlineStr">
        <is>
          <t>N/D</t>
        </is>
      </c>
    </row>
    <row r="2578" ht="22" customHeight="1">
      <c r="A2578" s="12" t="inlineStr">
        <is>
          <t>CUL-2574</t>
        </is>
      </c>
      <c r="B2578" s="11" t="n">
        <v>507</v>
      </c>
      <c r="C2578" s="13" t="inlineStr">
        <is>
          <t>Nº 1109</t>
        </is>
      </c>
      <c r="D2578" s="14" t="inlineStr">
        <is>
          <t>TROVATI 360 CS</t>
        </is>
      </c>
      <c r="E2578" s="13" t="inlineStr">
        <is>
          <t>Pulverização Agrícola Conforme Bula</t>
        </is>
      </c>
      <c r="F2578" s="13" t="inlineStr">
        <is>
          <t>Tabaco</t>
        </is>
      </c>
      <c r="G2578" s="13" t="inlineStr">
        <is>
          <t>Cultura Autorizada na Bula</t>
        </is>
      </c>
      <c r="H2578" s="13" t="inlineStr">
        <is>
          <t>100 a 300 L/ha</t>
        </is>
      </c>
      <c r="I2578" s="13" t="inlineStr">
        <is>
          <t>20 a 40 L/ha</t>
        </is>
      </c>
      <c r="J2578" s="13" t="inlineStr">
        <is>
          <t>N/D</t>
        </is>
      </c>
    </row>
    <row r="2579" ht="22" customHeight="1">
      <c r="A2579" s="6" t="inlineStr">
        <is>
          <t>CUL-2575</t>
        </is>
      </c>
      <c r="B2579" s="5" t="n">
        <v>508</v>
      </c>
      <c r="C2579" s="7" t="inlineStr">
        <is>
          <t>Nº 19018</t>
        </is>
      </c>
      <c r="D2579" s="8" t="inlineStr">
        <is>
          <t>CLETODIM CARTAGO BLD I</t>
        </is>
      </c>
      <c r="E2579" s="7" t="inlineStr">
        <is>
          <t>Pulverização Agrícola Conforme Bula</t>
        </is>
      </c>
      <c r="F2579" s="7" t="inlineStr">
        <is>
          <t>Soja</t>
        </is>
      </c>
      <c r="G2579" s="7" t="inlineStr">
        <is>
          <t>Cultura Autorizada na Bula</t>
        </is>
      </c>
      <c r="H2579" s="7" t="inlineStr">
        <is>
          <t>100 a 300 L/ha</t>
        </is>
      </c>
      <c r="I2579" s="7" t="inlineStr">
        <is>
          <t>20 a 40 L/ha</t>
        </is>
      </c>
      <c r="J2579" s="7" t="inlineStr">
        <is>
          <t>60 dias</t>
        </is>
      </c>
    </row>
    <row r="2580" ht="22" customHeight="1">
      <c r="A2580" s="12" t="inlineStr">
        <is>
          <t>CUL-2576</t>
        </is>
      </c>
      <c r="B2580" s="11" t="n">
        <v>508</v>
      </c>
      <c r="C2580" s="13" t="inlineStr">
        <is>
          <t>Nº 19018</t>
        </is>
      </c>
      <c r="D2580" s="14" t="inlineStr">
        <is>
          <t>CLETODIM CARTAGO BLD I</t>
        </is>
      </c>
      <c r="E2580" s="13" t="inlineStr">
        <is>
          <t>Pulverização Agrícola Conforme Bula</t>
        </is>
      </c>
      <c r="F2580" s="13" t="inlineStr">
        <is>
          <t>Algodão</t>
        </is>
      </c>
      <c r="G2580" s="13" t="inlineStr">
        <is>
          <t>Cultura Autorizada na Bula</t>
        </is>
      </c>
      <c r="H2580" s="13" t="inlineStr">
        <is>
          <t>100 a 300 L/ha</t>
        </is>
      </c>
      <c r="I2580" s="13" t="inlineStr">
        <is>
          <t>20 a 40 L/ha</t>
        </is>
      </c>
      <c r="J2580" s="13" t="inlineStr">
        <is>
          <t>58 dias</t>
        </is>
      </c>
    </row>
    <row r="2581" ht="22" customHeight="1">
      <c r="A2581" s="6" t="inlineStr">
        <is>
          <t>CUL-2577</t>
        </is>
      </c>
      <c r="B2581" s="5" t="n">
        <v>508</v>
      </c>
      <c r="C2581" s="7" t="inlineStr">
        <is>
          <t>Nº 19018</t>
        </is>
      </c>
      <c r="D2581" s="8" t="inlineStr">
        <is>
          <t>CLETODIM CARTAGO BLD I</t>
        </is>
      </c>
      <c r="E2581" s="7" t="inlineStr">
        <is>
          <t>Pulverização Agrícola Conforme Bula</t>
        </is>
      </c>
      <c r="F2581" s="7" t="inlineStr">
        <is>
          <t>Feijão</t>
        </is>
      </c>
      <c r="G2581" s="7" t="inlineStr">
        <is>
          <t>Cultura Autorizada na Bula</t>
        </is>
      </c>
      <c r="H2581" s="7" t="inlineStr">
        <is>
          <t>100 a 300 L/ha</t>
        </is>
      </c>
      <c r="I2581" s="7" t="inlineStr">
        <is>
          <t>20 a 40 L/ha</t>
        </is>
      </c>
      <c r="J2581" s="7" t="inlineStr">
        <is>
          <t>40 dias</t>
        </is>
      </c>
    </row>
    <row r="2582" ht="22" customHeight="1">
      <c r="A2582" s="12" t="inlineStr">
        <is>
          <t>CUL-2578</t>
        </is>
      </c>
      <c r="B2582" s="11" t="n">
        <v>508</v>
      </c>
      <c r="C2582" s="13" t="inlineStr">
        <is>
          <t>Nº 19018</t>
        </is>
      </c>
      <c r="D2582" s="14" t="inlineStr">
        <is>
          <t>CLETODIM CARTAGO BLD I</t>
        </is>
      </c>
      <c r="E2582" s="13" t="inlineStr">
        <is>
          <t>Pulverização Agrícola Conforme Bula</t>
        </is>
      </c>
      <c r="F2582" s="13" t="inlineStr">
        <is>
          <t>Café</t>
        </is>
      </c>
      <c r="G2582" s="13" t="inlineStr">
        <is>
          <t>Cultura Autorizada na Bula</t>
        </is>
      </c>
      <c r="H2582" s="13" t="inlineStr">
        <is>
          <t>100 a 300 L/ha</t>
        </is>
      </c>
      <c r="I2582" s="13" t="inlineStr">
        <is>
          <t>20 a 40 L/ha</t>
        </is>
      </c>
      <c r="J2582" s="13" t="inlineStr">
        <is>
          <t>14 dias</t>
        </is>
      </c>
    </row>
    <row r="2583" ht="22" customHeight="1">
      <c r="A2583" s="6" t="inlineStr">
        <is>
          <t>CUL-2579</t>
        </is>
      </c>
      <c r="B2583" s="5" t="n">
        <v>508</v>
      </c>
      <c r="C2583" s="7" t="inlineStr">
        <is>
          <t>Nº 19018</t>
        </is>
      </c>
      <c r="D2583" s="8" t="inlineStr">
        <is>
          <t>CLETODIM CARTAGO BLD I</t>
        </is>
      </c>
      <c r="E2583" s="7" t="inlineStr">
        <is>
          <t>Pulverização Agrícola Conforme Bula</t>
        </is>
      </c>
      <c r="F2583" s="7" t="inlineStr">
        <is>
          <t>Batata</t>
        </is>
      </c>
      <c r="G2583" s="7" t="inlineStr">
        <is>
          <t>Cultura Autorizada na Bula</t>
        </is>
      </c>
      <c r="H2583" s="7" t="inlineStr">
        <is>
          <t>100 a 300 L/ha</t>
        </is>
      </c>
      <c r="I2583" s="7" t="inlineStr">
        <is>
          <t>20 a 40 L/ha</t>
        </is>
      </c>
      <c r="J2583" s="7" t="inlineStr">
        <is>
          <t>20 dias</t>
        </is>
      </c>
    </row>
    <row r="2584" ht="22" customHeight="1">
      <c r="A2584" s="12" t="inlineStr">
        <is>
          <t>CUL-2580</t>
        </is>
      </c>
      <c r="B2584" s="11" t="n">
        <v>508</v>
      </c>
      <c r="C2584" s="13" t="inlineStr">
        <is>
          <t>Nº 19018</t>
        </is>
      </c>
      <c r="D2584" s="14" t="inlineStr">
        <is>
          <t>CLETODIM CARTAGO BLD I</t>
        </is>
      </c>
      <c r="E2584" s="13" t="inlineStr">
        <is>
          <t>Pulverização Agrícola Conforme Bula</t>
        </is>
      </c>
      <c r="F2584" s="13" t="inlineStr">
        <is>
          <t>Mandioca</t>
        </is>
      </c>
      <c r="G2584" s="13" t="inlineStr">
        <is>
          <t>Cultura Autorizada na Bula</t>
        </is>
      </c>
      <c r="H2584" s="13" t="inlineStr">
        <is>
          <t>100 a 300 L/ha</t>
        </is>
      </c>
      <c r="I2584" s="13" t="inlineStr">
        <is>
          <t>20 a 40 L/ha</t>
        </is>
      </c>
      <c r="J2584" s="13" t="inlineStr">
        <is>
          <t>90 dias</t>
        </is>
      </c>
    </row>
    <row r="2585" ht="22" customHeight="1">
      <c r="A2585" s="6" t="inlineStr">
        <is>
          <t>CUL-2581</t>
        </is>
      </c>
      <c r="B2585" s="5" t="n">
        <v>508</v>
      </c>
      <c r="C2585" s="7" t="inlineStr">
        <is>
          <t>Nº 19018</t>
        </is>
      </c>
      <c r="D2585" s="8" t="inlineStr">
        <is>
          <t>CLETODIM CARTAGO BLD I</t>
        </is>
      </c>
      <c r="E2585" s="7" t="inlineStr">
        <is>
          <t>Pulverização Agrícola Conforme Bula</t>
        </is>
      </c>
      <c r="F2585" s="7" t="inlineStr">
        <is>
          <t>Tomate</t>
        </is>
      </c>
      <c r="G2585" s="7" t="inlineStr">
        <is>
          <t>Cultura Autorizada na Bula</t>
        </is>
      </c>
      <c r="H2585" s="7" t="inlineStr">
        <is>
          <t>100 a 300 L/ha</t>
        </is>
      </c>
      <c r="I2585" s="7" t="inlineStr">
        <is>
          <t>20 a 40 L/ha</t>
        </is>
      </c>
      <c r="J2585" s="7" t="inlineStr">
        <is>
          <t>20 dias</t>
        </is>
      </c>
    </row>
    <row r="2586" ht="22" customHeight="1">
      <c r="A2586" s="12" t="inlineStr">
        <is>
          <t>CUL-2582</t>
        </is>
      </c>
      <c r="B2586" s="11" t="n">
        <v>509</v>
      </c>
      <c r="C2586" s="13" t="inlineStr">
        <is>
          <t>Nº 36419</t>
        </is>
      </c>
      <c r="D2586" s="14" t="inlineStr">
        <is>
          <t>PIRIPROXIFEM 100 SINO-AGRI IMP 0,200L AMOSTRA</t>
        </is>
      </c>
      <c r="E2586" s="13" t="inlineStr">
        <is>
          <t>Pulverização Agrícola Conforme Bula</t>
        </is>
      </c>
      <c r="F2586" s="13" t="inlineStr">
        <is>
          <t>Soja</t>
        </is>
      </c>
      <c r="G2586" s="13" t="inlineStr">
        <is>
          <t>Cultura Autorizada na Bula</t>
        </is>
      </c>
      <c r="H2586" s="13" t="inlineStr">
        <is>
          <t>100 a 300 L/ha</t>
        </is>
      </c>
      <c r="I2586" s="13" t="inlineStr">
        <is>
          <t>20 a 40 L/ha</t>
        </is>
      </c>
      <c r="J2586" s="13" t="inlineStr">
        <is>
          <t>30 dias</t>
        </is>
      </c>
    </row>
    <row r="2587" ht="22" customHeight="1">
      <c r="A2587" s="6" t="inlineStr">
        <is>
          <t>CUL-2583</t>
        </is>
      </c>
      <c r="B2587" s="5" t="n">
        <v>509</v>
      </c>
      <c r="C2587" s="7" t="inlineStr">
        <is>
          <t>Nº 36419</t>
        </is>
      </c>
      <c r="D2587" s="8" t="inlineStr">
        <is>
          <t>PIRIPROXIFEM 100 SINO-AGRI IMP 0,200L AMOSTRA</t>
        </is>
      </c>
      <c r="E2587" s="7" t="inlineStr">
        <is>
          <t>Pulverização Agrícola Conforme Bula</t>
        </is>
      </c>
      <c r="F2587" s="7" t="inlineStr">
        <is>
          <t>Algodão</t>
        </is>
      </c>
      <c r="G2587" s="7" t="inlineStr">
        <is>
          <t>Cultura Autorizada na Bula</t>
        </is>
      </c>
      <c r="H2587" s="7" t="inlineStr">
        <is>
          <t>100 a 300 L/ha</t>
        </is>
      </c>
      <c r="I2587" s="7" t="inlineStr">
        <is>
          <t>20 a 40 L/ha</t>
        </is>
      </c>
      <c r="J2587" s="7" t="inlineStr">
        <is>
          <t>14 dias</t>
        </is>
      </c>
    </row>
    <row r="2588" ht="22" customHeight="1">
      <c r="A2588" s="12" t="inlineStr">
        <is>
          <t>CUL-2584</t>
        </is>
      </c>
      <c r="B2588" s="11" t="n">
        <v>509</v>
      </c>
      <c r="C2588" s="13" t="inlineStr">
        <is>
          <t>Nº 36419</t>
        </is>
      </c>
      <c r="D2588" s="14" t="inlineStr">
        <is>
          <t>PIRIPROXIFEM 100 SINO-AGRI IMP 0,200L AMOSTRA</t>
        </is>
      </c>
      <c r="E2588" s="13" t="inlineStr">
        <is>
          <t>Pulverização Agrícola Conforme Bula</t>
        </is>
      </c>
      <c r="F2588" s="13" t="inlineStr">
        <is>
          <t>Feijão</t>
        </is>
      </c>
      <c r="G2588" s="13" t="inlineStr">
        <is>
          <t>Cultura Autorizada na Bula</t>
        </is>
      </c>
      <c r="H2588" s="13" t="inlineStr">
        <is>
          <t>100 a 300 L/ha</t>
        </is>
      </c>
      <c r="I2588" s="13" t="inlineStr">
        <is>
          <t>20 a 40 L/ha</t>
        </is>
      </c>
      <c r="J2588" s="13" t="inlineStr">
        <is>
          <t>14 dias</t>
        </is>
      </c>
    </row>
    <row r="2589" ht="22" customHeight="1">
      <c r="A2589" s="6" t="inlineStr">
        <is>
          <t>CUL-2585</t>
        </is>
      </c>
      <c r="B2589" s="5" t="n">
        <v>509</v>
      </c>
      <c r="C2589" s="7" t="inlineStr">
        <is>
          <t>Nº 36419</t>
        </is>
      </c>
      <c r="D2589" s="8" t="inlineStr">
        <is>
          <t>PIRIPROXIFEM 100 SINO-AGRI IMP 0,200L AMOSTRA</t>
        </is>
      </c>
      <c r="E2589" s="7" t="inlineStr">
        <is>
          <t>Pulverização Agrícola Conforme Bula</t>
        </is>
      </c>
      <c r="F2589" s="7" t="inlineStr">
        <is>
          <t>Citros</t>
        </is>
      </c>
      <c r="G2589" s="7" t="inlineStr">
        <is>
          <t>Cultura Autorizada na Bula</t>
        </is>
      </c>
      <c r="H2589" s="7" t="inlineStr">
        <is>
          <t>100 a 300 L/ha</t>
        </is>
      </c>
      <c r="I2589" s="7" t="inlineStr">
        <is>
          <t>20 a 40 L/ha</t>
        </is>
      </c>
      <c r="J2589" s="7" t="inlineStr">
        <is>
          <t>14 dias</t>
        </is>
      </c>
    </row>
    <row r="2590" ht="22" customHeight="1">
      <c r="A2590" s="12" t="inlineStr">
        <is>
          <t>CUL-2586</t>
        </is>
      </c>
      <c r="B2590" s="11" t="n">
        <v>509</v>
      </c>
      <c r="C2590" s="13" t="inlineStr">
        <is>
          <t>Nº 36419</t>
        </is>
      </c>
      <c r="D2590" s="14" t="inlineStr">
        <is>
          <t>PIRIPROXIFEM 100 SINO-AGRI IMP 0,200L AMOSTRA</t>
        </is>
      </c>
      <c r="E2590" s="13" t="inlineStr">
        <is>
          <t>Pulverização Agrícola Conforme Bula</t>
        </is>
      </c>
      <c r="F2590" s="13" t="inlineStr">
        <is>
          <t>Melão</t>
        </is>
      </c>
      <c r="G2590" s="13" t="inlineStr">
        <is>
          <t>Cultura Autorizada na Bula</t>
        </is>
      </c>
      <c r="H2590" s="13" t="inlineStr">
        <is>
          <t>100 a 300 L/ha</t>
        </is>
      </c>
      <c r="I2590" s="13" t="inlineStr">
        <is>
          <t>20 a 40 L/ha</t>
        </is>
      </c>
      <c r="J2590" s="13" t="inlineStr">
        <is>
          <t>7 dias</t>
        </is>
      </c>
    </row>
    <row r="2591" ht="22" customHeight="1">
      <c r="A2591" s="6" t="inlineStr">
        <is>
          <t>CUL-2587</t>
        </is>
      </c>
      <c r="B2591" s="5" t="n">
        <v>509</v>
      </c>
      <c r="C2591" s="7" t="inlineStr">
        <is>
          <t>Nº 36419</t>
        </is>
      </c>
      <c r="D2591" s="8" t="inlineStr">
        <is>
          <t>PIRIPROXIFEM 100 SINO-AGRI IMP 0,200L AMOSTRA</t>
        </is>
      </c>
      <c r="E2591" s="7" t="inlineStr">
        <is>
          <t>Pulverização Agrícola Conforme Bula</t>
        </is>
      </c>
      <c r="F2591" s="7" t="inlineStr">
        <is>
          <t>Tomate</t>
        </is>
      </c>
      <c r="G2591" s="7" t="inlineStr">
        <is>
          <t>Cultura Autorizada na Bula</t>
        </is>
      </c>
      <c r="H2591" s="7" t="inlineStr">
        <is>
          <t>100 a 300 L/ha</t>
        </is>
      </c>
      <c r="I2591" s="7" t="inlineStr">
        <is>
          <t>20 a 40 L/ha</t>
        </is>
      </c>
      <c r="J2591" s="7" t="inlineStr">
        <is>
          <t>7 dias</t>
        </is>
      </c>
    </row>
    <row r="2592" ht="22" customHeight="1">
      <c r="A2592" s="12" t="inlineStr">
        <is>
          <t>CUL-2588</t>
        </is>
      </c>
      <c r="B2592" s="11" t="n">
        <v>510</v>
      </c>
      <c r="C2592" s="13" t="inlineStr">
        <is>
          <t>Nº 2520</t>
        </is>
      </c>
      <c r="D2592" s="14" t="inlineStr">
        <is>
          <t>SURVEY 250 FS</t>
        </is>
      </c>
      <c r="E2592" s="13" t="inlineStr">
        <is>
          <t>Tratamento de Sementes / Sulco</t>
        </is>
      </c>
      <c r="F2592" s="13" t="inlineStr">
        <is>
          <t>Soja (Trat. Sementes / Sulco)</t>
        </is>
      </c>
      <c r="G2592" s="13" t="inlineStr">
        <is>
          <t>Cultura Autorizada na Bula</t>
        </is>
      </c>
      <c r="H2592" s="13" t="inlineStr">
        <is>
          <t>Calda TS (0,2 a 0,6 L/100kg sem.)</t>
        </is>
      </c>
      <c r="I2592" s="13" t="inlineStr">
        <is>
          <t>Não Autorizada (TS)</t>
        </is>
      </c>
      <c r="J2592" s="13" t="inlineStr">
        <is>
          <t>N/D</t>
        </is>
      </c>
    </row>
    <row r="2593" ht="22" customHeight="1">
      <c r="A2593" s="6" t="inlineStr">
        <is>
          <t>CUL-2589</t>
        </is>
      </c>
      <c r="B2593" s="5" t="n">
        <v>510</v>
      </c>
      <c r="C2593" s="7" t="inlineStr">
        <is>
          <t>Nº 2520</t>
        </is>
      </c>
      <c r="D2593" s="8" t="inlineStr">
        <is>
          <t>SURVEY 250 FS</t>
        </is>
      </c>
      <c r="E2593" s="7" t="inlineStr">
        <is>
          <t>Tratamento de Sementes / Sulco</t>
        </is>
      </c>
      <c r="F2593" s="7" t="inlineStr">
        <is>
          <t>Milho (Trat. Sementes)</t>
        </is>
      </c>
      <c r="G2593" s="7" t="inlineStr">
        <is>
          <t>Cultura Autorizada na Bula</t>
        </is>
      </c>
      <c r="H2593" s="7" t="inlineStr">
        <is>
          <t>Calda TS (0,2 a 0,6 L/100kg sem.)</t>
        </is>
      </c>
      <c r="I2593" s="7" t="inlineStr">
        <is>
          <t>Não Autorizada (TS)</t>
        </is>
      </c>
      <c r="J2593" s="7" t="inlineStr">
        <is>
          <t>N/D</t>
        </is>
      </c>
    </row>
    <row r="2594" ht="22" customHeight="1">
      <c r="A2594" s="12" t="inlineStr">
        <is>
          <t>CUL-2590</t>
        </is>
      </c>
      <c r="B2594" s="11" t="n">
        <v>510</v>
      </c>
      <c r="C2594" s="13" t="inlineStr">
        <is>
          <t>Nº 2520</t>
        </is>
      </c>
      <c r="D2594" s="14" t="inlineStr">
        <is>
          <t>SURVEY 250 FS</t>
        </is>
      </c>
      <c r="E2594" s="13" t="inlineStr">
        <is>
          <t>Tratamento de Sementes / Sulco</t>
        </is>
      </c>
      <c r="F2594" s="13" t="inlineStr">
        <is>
          <t>Algodão</t>
        </is>
      </c>
      <c r="G2594" s="13" t="inlineStr">
        <is>
          <t>Cultura Autorizada na Bula</t>
        </is>
      </c>
      <c r="H2594" s="13" t="inlineStr">
        <is>
          <t>Calda TS (0,2 a 0,6 L/100kg sem.)</t>
        </is>
      </c>
      <c r="I2594" s="13" t="inlineStr">
        <is>
          <t>Não Autorizada (TS)</t>
        </is>
      </c>
      <c r="J2594" s="13" t="inlineStr">
        <is>
          <t>N/D</t>
        </is>
      </c>
    </row>
    <row r="2595" ht="22" customHeight="1">
      <c r="A2595" s="6" t="inlineStr">
        <is>
          <t>CUL-2591</t>
        </is>
      </c>
      <c r="B2595" s="5" t="n">
        <v>510</v>
      </c>
      <c r="C2595" s="7" t="inlineStr">
        <is>
          <t>Nº 2520</t>
        </is>
      </c>
      <c r="D2595" s="8" t="inlineStr">
        <is>
          <t>SURVEY 250 FS</t>
        </is>
      </c>
      <c r="E2595" s="7" t="inlineStr">
        <is>
          <t>Tratamento de Sementes / Sulco</t>
        </is>
      </c>
      <c r="F2595" s="7" t="inlineStr">
        <is>
          <t>Cana-de-açúcar (Sulco)</t>
        </is>
      </c>
      <c r="G2595" s="7" t="inlineStr">
        <is>
          <t>Cultura Autorizada na Bula</t>
        </is>
      </c>
      <c r="H2595" s="7" t="inlineStr">
        <is>
          <t>Calda TS (0,2 a 0,6 L/100kg sem.)</t>
        </is>
      </c>
      <c r="I2595" s="7" t="inlineStr">
        <is>
          <t>Não Autorizada (TS)</t>
        </is>
      </c>
      <c r="J2595" s="7" t="inlineStr">
        <is>
          <t>N/D</t>
        </is>
      </c>
    </row>
    <row r="2596" ht="22" customHeight="1">
      <c r="A2596" s="12" t="inlineStr">
        <is>
          <t>CUL-2592</t>
        </is>
      </c>
      <c r="B2596" s="11" t="n">
        <v>510</v>
      </c>
      <c r="C2596" s="13" t="inlineStr">
        <is>
          <t>Nº 2520</t>
        </is>
      </c>
      <c r="D2596" s="14" t="inlineStr">
        <is>
          <t>SURVEY 250 FS</t>
        </is>
      </c>
      <c r="E2596" s="13" t="inlineStr">
        <is>
          <t>Tratamento de Sementes / Sulco</t>
        </is>
      </c>
      <c r="F2596" s="13" t="inlineStr">
        <is>
          <t>Arroz</t>
        </is>
      </c>
      <c r="G2596" s="13" t="inlineStr">
        <is>
          <t>Cultura Autorizada na Bula</t>
        </is>
      </c>
      <c r="H2596" s="13" t="inlineStr">
        <is>
          <t>Calda TS (0,2 a 0,6 L/100kg sem.)</t>
        </is>
      </c>
      <c r="I2596" s="13" t="inlineStr">
        <is>
          <t>Não Autorizada (TS)</t>
        </is>
      </c>
      <c r="J2596" s="13" t="inlineStr">
        <is>
          <t>N/D</t>
        </is>
      </c>
    </row>
    <row r="2597" ht="22" customHeight="1">
      <c r="A2597" s="6" t="inlineStr">
        <is>
          <t>CUL-2593</t>
        </is>
      </c>
      <c r="B2597" s="5" t="n">
        <v>510</v>
      </c>
      <c r="C2597" s="7" t="inlineStr">
        <is>
          <t>Nº 2520</t>
        </is>
      </c>
      <c r="D2597" s="8" t="inlineStr">
        <is>
          <t>SURVEY 250 FS</t>
        </is>
      </c>
      <c r="E2597" s="7" t="inlineStr">
        <is>
          <t>Tratamento de Sementes / Sulco</t>
        </is>
      </c>
      <c r="F2597" s="7" t="inlineStr">
        <is>
          <t>Feijão</t>
        </is>
      </c>
      <c r="G2597" s="7" t="inlineStr">
        <is>
          <t>Cultura Autorizada na Bula</t>
        </is>
      </c>
      <c r="H2597" s="7" t="inlineStr">
        <is>
          <t>Calda TS (0,2 a 0,6 L/100kg sem.)</t>
        </is>
      </c>
      <c r="I2597" s="7" t="inlineStr">
        <is>
          <t>Não Autorizada (TS)</t>
        </is>
      </c>
      <c r="J2597" s="7" t="inlineStr">
        <is>
          <t>N/D</t>
        </is>
      </c>
    </row>
    <row r="2598" ht="22" customHeight="1">
      <c r="A2598" s="12" t="inlineStr">
        <is>
          <t>CUL-2594</t>
        </is>
      </c>
      <c r="B2598" s="11" t="n">
        <v>510</v>
      </c>
      <c r="C2598" s="13" t="inlineStr">
        <is>
          <t>Nº 2520</t>
        </is>
      </c>
      <c r="D2598" s="14" t="inlineStr">
        <is>
          <t>SURVEY 250 FS</t>
        </is>
      </c>
      <c r="E2598" s="13" t="inlineStr">
        <is>
          <t>Tratamento de Sementes / Sulco</t>
        </is>
      </c>
      <c r="F2598" s="13" t="inlineStr">
        <is>
          <t>Pastagens</t>
        </is>
      </c>
      <c r="G2598" s="13" t="inlineStr">
        <is>
          <t>Cultura Autorizada na Bula</t>
        </is>
      </c>
      <c r="H2598" s="13" t="inlineStr">
        <is>
          <t>Calda TS (0,2 a 0,6 L/100kg sem.)</t>
        </is>
      </c>
      <c r="I2598" s="13" t="inlineStr">
        <is>
          <t>Não Autorizada (TS)</t>
        </is>
      </c>
      <c r="J2598" s="13" t="inlineStr">
        <is>
          <t>N/D</t>
        </is>
      </c>
    </row>
    <row r="2599" ht="22" customHeight="1">
      <c r="A2599" s="6" t="inlineStr">
        <is>
          <t>CUL-2595</t>
        </is>
      </c>
      <c r="B2599" s="5" t="n">
        <v>510</v>
      </c>
      <c r="C2599" s="7" t="inlineStr">
        <is>
          <t>Nº 2520</t>
        </is>
      </c>
      <c r="D2599" s="8" t="inlineStr">
        <is>
          <t>SURVEY 250 FS</t>
        </is>
      </c>
      <c r="E2599" s="7" t="inlineStr">
        <is>
          <t>Tratamento de Sementes / Sulco</t>
        </is>
      </c>
      <c r="F2599" s="7" t="inlineStr">
        <is>
          <t>Trigo</t>
        </is>
      </c>
      <c r="G2599" s="7" t="inlineStr">
        <is>
          <t>Cultura Autorizada na Bula</t>
        </is>
      </c>
      <c r="H2599" s="7" t="inlineStr">
        <is>
          <t>Calda TS (0,2 a 0,6 L/100kg sem.)</t>
        </is>
      </c>
      <c r="I2599" s="7" t="inlineStr">
        <is>
          <t>Não Autorizada (TS)</t>
        </is>
      </c>
      <c r="J2599" s="7" t="inlineStr">
        <is>
          <t>N/D</t>
        </is>
      </c>
    </row>
    <row r="2600" ht="22" customHeight="1">
      <c r="A2600" s="12" t="inlineStr">
        <is>
          <t>CUL-2596</t>
        </is>
      </c>
      <c r="B2600" s="11" t="n">
        <v>511</v>
      </c>
      <c r="C2600" s="13" t="inlineStr">
        <is>
          <t>Nº 34621</t>
        </is>
      </c>
      <c r="D2600" s="14" t="inlineStr">
        <is>
          <t>RATEIO 200 SL</t>
        </is>
      </c>
      <c r="E2600" s="13" t="inlineStr">
        <is>
          <t>Pulverização Agrícola Conforme Bula</t>
        </is>
      </c>
      <c r="F2600" s="13" t="inlineStr">
        <is>
          <t>Soja (Dessecação Pré-Colheita e Pré-Plantio)</t>
        </is>
      </c>
      <c r="G2600" s="13" t="inlineStr">
        <is>
          <t>Cultura Autorizada na Bula</t>
        </is>
      </c>
      <c r="H2600" s="13" t="inlineStr">
        <is>
          <t>100 a 300 L/ha</t>
        </is>
      </c>
      <c r="I2600" s="13" t="inlineStr">
        <is>
          <t>20 a 40 L/ha</t>
        </is>
      </c>
      <c r="J2600" s="13" t="inlineStr">
        <is>
          <t>7 dias</t>
        </is>
      </c>
    </row>
    <row r="2601" ht="22" customHeight="1">
      <c r="A2601" s="6" t="inlineStr">
        <is>
          <t>CUL-2597</t>
        </is>
      </c>
      <c r="B2601" s="5" t="n">
        <v>511</v>
      </c>
      <c r="C2601" s="7" t="inlineStr">
        <is>
          <t>Nº 34621</t>
        </is>
      </c>
      <c r="D2601" s="8" t="inlineStr">
        <is>
          <t>RATEIO 200 SL</t>
        </is>
      </c>
      <c r="E2601" s="7" t="inlineStr">
        <is>
          <t>Pulverização Agrícola Conforme Bula</t>
        </is>
      </c>
      <c r="F2601" s="7" t="inlineStr">
        <is>
          <t>Feijão (Dessecação Pré-Colheita)</t>
        </is>
      </c>
      <c r="G2601" s="7" t="inlineStr">
        <is>
          <t>Cultura Autorizada na Bula</t>
        </is>
      </c>
      <c r="H2601" s="7" t="inlineStr">
        <is>
          <t>100 a 300 L/ha</t>
        </is>
      </c>
      <c r="I2601" s="7" t="inlineStr">
        <is>
          <t>20 a 40 L/ha</t>
        </is>
      </c>
      <c r="J2601" s="7" t="inlineStr">
        <is>
          <t>7 dias</t>
        </is>
      </c>
    </row>
    <row r="2602" ht="22" customHeight="1">
      <c r="A2602" s="12" t="inlineStr">
        <is>
          <t>CUL-2598</t>
        </is>
      </c>
      <c r="B2602" s="11" t="n">
        <v>511</v>
      </c>
      <c r="C2602" s="13" t="inlineStr">
        <is>
          <t>Nº 34621</t>
        </is>
      </c>
      <c r="D2602" s="14" t="inlineStr">
        <is>
          <t>RATEIO 200 SL</t>
        </is>
      </c>
      <c r="E2602" s="13" t="inlineStr">
        <is>
          <t>Pulverização Agrícola Conforme Bula</t>
        </is>
      </c>
      <c r="F2602" s="13" t="inlineStr">
        <is>
          <t>Algodão</t>
        </is>
      </c>
      <c r="G2602" s="13" t="inlineStr">
        <is>
          <t>Cultura Autorizada na Bula</t>
        </is>
      </c>
      <c r="H2602" s="13" t="inlineStr">
        <is>
          <t>100 a 300 L/ha</t>
        </is>
      </c>
      <c r="I2602" s="13" t="inlineStr">
        <is>
          <t>20 a 40 L/ha</t>
        </is>
      </c>
      <c r="J2602" s="13" t="inlineStr">
        <is>
          <t>7 dias</t>
        </is>
      </c>
    </row>
    <row r="2603" ht="22" customHeight="1">
      <c r="A2603" s="6" t="inlineStr">
        <is>
          <t>CUL-2599</t>
        </is>
      </c>
      <c r="B2603" s="5" t="n">
        <v>511</v>
      </c>
      <c r="C2603" s="7" t="inlineStr">
        <is>
          <t>Nº 34621</t>
        </is>
      </c>
      <c r="D2603" s="8" t="inlineStr">
        <is>
          <t>RATEIO 200 SL</t>
        </is>
      </c>
      <c r="E2603" s="7" t="inlineStr">
        <is>
          <t>Pulverização Agrícola Conforme Bula</t>
        </is>
      </c>
      <c r="F2603" s="7" t="inlineStr">
        <is>
          <t>Batata</t>
        </is>
      </c>
      <c r="G2603" s="7" t="inlineStr">
        <is>
          <t>Cultura Autorizada na Bula</t>
        </is>
      </c>
      <c r="H2603" s="7" t="inlineStr">
        <is>
          <t>100 a 300 L/ha</t>
        </is>
      </c>
      <c r="I2603" s="7" t="inlineStr">
        <is>
          <t>20 a 40 L/ha</t>
        </is>
      </c>
      <c r="J2603" s="7" t="inlineStr">
        <is>
          <t>7 dias</t>
        </is>
      </c>
    </row>
    <row r="2604" ht="22" customHeight="1">
      <c r="A2604" s="12" t="inlineStr">
        <is>
          <t>CUL-2600</t>
        </is>
      </c>
      <c r="B2604" s="11" t="n">
        <v>511</v>
      </c>
      <c r="C2604" s="13" t="inlineStr">
        <is>
          <t>Nº 34621</t>
        </is>
      </c>
      <c r="D2604" s="14" t="inlineStr">
        <is>
          <t>RATEIO 200 SL</t>
        </is>
      </c>
      <c r="E2604" s="13" t="inlineStr">
        <is>
          <t>Pulverização Agrícola Conforme Bula</t>
        </is>
      </c>
      <c r="F2604" s="13" t="inlineStr">
        <is>
          <t>Milho (Pré-Plantio)</t>
        </is>
      </c>
      <c r="G2604" s="13" t="inlineStr">
        <is>
          <t>Cultura Autorizada na Bula</t>
        </is>
      </c>
      <c r="H2604" s="13" t="inlineStr">
        <is>
          <t>100 a 300 L/ha</t>
        </is>
      </c>
      <c r="I2604" s="13" t="inlineStr">
        <is>
          <t>20 a 40 L/ha</t>
        </is>
      </c>
      <c r="J2604" s="13" t="inlineStr">
        <is>
          <t>N/D</t>
        </is>
      </c>
    </row>
    <row r="2605" ht="22" customHeight="1">
      <c r="A2605" s="6" t="inlineStr">
        <is>
          <t>CUL-2601</t>
        </is>
      </c>
      <c r="B2605" s="5" t="n">
        <v>512</v>
      </c>
      <c r="C2605" s="7" t="inlineStr">
        <is>
          <t>Nº 5924</t>
        </is>
      </c>
      <c r="D2605" s="8" t="inlineStr">
        <is>
          <t>FLAME WG</t>
        </is>
      </c>
      <c r="E2605" s="7" t="inlineStr">
        <is>
          <t>Pulverização Agrícola Conforme Bula</t>
        </is>
      </c>
      <c r="F2605" s="7" t="inlineStr">
        <is>
          <t>Algodão</t>
        </is>
      </c>
      <c r="G2605" s="7" t="inlineStr">
        <is>
          <t>Cultura Autorizada na Bula</t>
        </is>
      </c>
      <c r="H2605" s="7" t="inlineStr">
        <is>
          <t>100 a 300 L/ha</t>
        </is>
      </c>
      <c r="I2605" s="7" t="inlineStr">
        <is>
          <t>20 a 40 L/ha</t>
        </is>
      </c>
      <c r="J2605" s="7" t="inlineStr">
        <is>
          <t>15 dias</t>
        </is>
      </c>
    </row>
    <row r="2606" ht="22" customHeight="1">
      <c r="A2606" s="12" t="inlineStr">
        <is>
          <t>CUL-2602</t>
        </is>
      </c>
      <c r="B2606" s="11" t="n">
        <v>512</v>
      </c>
      <c r="C2606" s="13" t="inlineStr">
        <is>
          <t>Nº 5924</t>
        </is>
      </c>
      <c r="D2606" s="14" t="inlineStr">
        <is>
          <t>FLAME WG</t>
        </is>
      </c>
      <c r="E2606" s="13" t="inlineStr">
        <is>
          <t>Pulverização Agrícola Conforme Bula</t>
        </is>
      </c>
      <c r="F2606" s="13" t="inlineStr">
        <is>
          <t>Soja</t>
        </is>
      </c>
      <c r="G2606" s="13" t="inlineStr">
        <is>
          <t>Cultura Autorizada na Bula</t>
        </is>
      </c>
      <c r="H2606" s="13" t="inlineStr">
        <is>
          <t>100 a 300 L/ha</t>
        </is>
      </c>
      <c r="I2606" s="13" t="inlineStr">
        <is>
          <t>20 a 40 L/ha</t>
        </is>
      </c>
      <c r="J2606" s="13" t="inlineStr">
        <is>
          <t>30 dias</t>
        </is>
      </c>
    </row>
    <row r="2607" ht="22" customHeight="1">
      <c r="A2607" s="6" t="inlineStr">
        <is>
          <t>CUL-2603</t>
        </is>
      </c>
      <c r="B2607" s="5" t="n">
        <v>512</v>
      </c>
      <c r="C2607" s="7" t="inlineStr">
        <is>
          <t>Nº 5924</t>
        </is>
      </c>
      <c r="D2607" s="8" t="inlineStr">
        <is>
          <t>FLAME WG</t>
        </is>
      </c>
      <c r="E2607" s="7" t="inlineStr">
        <is>
          <t>Pulverização Agrícola Conforme Bula</t>
        </is>
      </c>
      <c r="F2607" s="7" t="inlineStr">
        <is>
          <t>Milho</t>
        </is>
      </c>
      <c r="G2607" s="7" t="inlineStr">
        <is>
          <t>Cultura Autorizada na Bula</t>
        </is>
      </c>
      <c r="H2607" s="7" t="inlineStr">
        <is>
          <t>100 a 300 L/ha</t>
        </is>
      </c>
      <c r="I2607" s="7" t="inlineStr">
        <is>
          <t>20 a 40 L/ha</t>
        </is>
      </c>
      <c r="J2607" s="7" t="inlineStr">
        <is>
          <t>30 dias</t>
        </is>
      </c>
    </row>
    <row r="2608" ht="22" customHeight="1">
      <c r="A2608" s="12" t="inlineStr">
        <is>
          <t>CUL-2604</t>
        </is>
      </c>
      <c r="B2608" s="11" t="n">
        <v>512</v>
      </c>
      <c r="C2608" s="13" t="inlineStr">
        <is>
          <t>Nº 5924</t>
        </is>
      </c>
      <c r="D2608" s="14" t="inlineStr">
        <is>
          <t>FLAME WG</t>
        </is>
      </c>
      <c r="E2608" s="13" t="inlineStr">
        <is>
          <t>Pulverização Agrícola Conforme Bula</t>
        </is>
      </c>
      <c r="F2608" s="13" t="inlineStr">
        <is>
          <t>Cana-de-açúcar</t>
        </is>
      </c>
      <c r="G2608" s="13" t="inlineStr">
        <is>
          <t>Cultura Autorizada na Bula</t>
        </is>
      </c>
      <c r="H2608" s="13" t="inlineStr">
        <is>
          <t>100 a 300 L/ha</t>
        </is>
      </c>
      <c r="I2608" s="13" t="inlineStr">
        <is>
          <t>20 a 40 L/ha</t>
        </is>
      </c>
      <c r="J2608" s="13" t="inlineStr">
        <is>
          <t>30 dias</t>
        </is>
      </c>
    </row>
    <row r="2609" ht="22" customHeight="1">
      <c r="A2609" s="6" t="inlineStr">
        <is>
          <t>CUL-2605</t>
        </is>
      </c>
      <c r="B2609" s="5" t="n">
        <v>512</v>
      </c>
      <c r="C2609" s="7" t="inlineStr">
        <is>
          <t>Nº 5924</t>
        </is>
      </c>
      <c r="D2609" s="8" t="inlineStr">
        <is>
          <t>FLAME WG</t>
        </is>
      </c>
      <c r="E2609" s="7" t="inlineStr">
        <is>
          <t>Pulverização Agrícola Conforme Bula</t>
        </is>
      </c>
      <c r="F2609" s="7" t="inlineStr">
        <is>
          <t>Café</t>
        </is>
      </c>
      <c r="G2609" s="7" t="inlineStr">
        <is>
          <t>Cultura Autorizada na Bula</t>
        </is>
      </c>
      <c r="H2609" s="7" t="inlineStr">
        <is>
          <t>100 a 300 L/ha</t>
        </is>
      </c>
      <c r="I2609" s="7" t="inlineStr">
        <is>
          <t>20 a 40 L/ha</t>
        </is>
      </c>
      <c r="J2609" s="7" t="inlineStr">
        <is>
          <t>30 dias</t>
        </is>
      </c>
    </row>
    <row r="2610" ht="22" customHeight="1">
      <c r="A2610" s="12" t="inlineStr">
        <is>
          <t>CUL-2606</t>
        </is>
      </c>
      <c r="B2610" s="11" t="n">
        <v>512</v>
      </c>
      <c r="C2610" s="13" t="inlineStr">
        <is>
          <t>Nº 5924</t>
        </is>
      </c>
      <c r="D2610" s="14" t="inlineStr">
        <is>
          <t>FLAME WG</t>
        </is>
      </c>
      <c r="E2610" s="13" t="inlineStr">
        <is>
          <t>Pulverização Agrícola Conforme Bula</t>
        </is>
      </c>
      <c r="F2610" s="13" t="inlineStr">
        <is>
          <t>Citros</t>
        </is>
      </c>
      <c r="G2610" s="13" t="inlineStr">
        <is>
          <t>Cultura Autorizada na Bula</t>
        </is>
      </c>
      <c r="H2610" s="13" t="inlineStr">
        <is>
          <t>100 a 300 L/ha</t>
        </is>
      </c>
      <c r="I2610" s="13" t="inlineStr">
        <is>
          <t>20 a 40 L/ha</t>
        </is>
      </c>
      <c r="J2610" s="13" t="inlineStr">
        <is>
          <t>7 dias</t>
        </is>
      </c>
    </row>
    <row r="2611" ht="22" customHeight="1">
      <c r="A2611" s="6" t="inlineStr">
        <is>
          <t>CUL-2607</t>
        </is>
      </c>
      <c r="B2611" s="5" t="n">
        <v>512</v>
      </c>
      <c r="C2611" s="7" t="inlineStr">
        <is>
          <t>Nº 5924</t>
        </is>
      </c>
      <c r="D2611" s="8" t="inlineStr">
        <is>
          <t>FLAME WG</t>
        </is>
      </c>
      <c r="E2611" s="7" t="inlineStr">
        <is>
          <t>Pulverização Agrícola Conforme Bula</t>
        </is>
      </c>
      <c r="F2611" s="7" t="inlineStr">
        <is>
          <t>Feijão</t>
        </is>
      </c>
      <c r="G2611" s="7" t="inlineStr">
        <is>
          <t>Cultura Autorizada na Bula</t>
        </is>
      </c>
      <c r="H2611" s="7" t="inlineStr">
        <is>
          <t>100 a 300 L/ha</t>
        </is>
      </c>
      <c r="I2611" s="7" t="inlineStr">
        <is>
          <t>20 a 40 L/ha</t>
        </is>
      </c>
      <c r="J2611" s="7" t="inlineStr">
        <is>
          <t>20 dias</t>
        </is>
      </c>
    </row>
    <row r="2612" ht="22" customHeight="1">
      <c r="A2612" s="12" t="inlineStr">
        <is>
          <t>CUL-2608</t>
        </is>
      </c>
      <c r="B2612" s="11" t="n">
        <v>512</v>
      </c>
      <c r="C2612" s="13" t="inlineStr">
        <is>
          <t>Nº 5924</t>
        </is>
      </c>
      <c r="D2612" s="14" t="inlineStr">
        <is>
          <t>FLAME WG</t>
        </is>
      </c>
      <c r="E2612" s="13" t="inlineStr">
        <is>
          <t>Pulverização Agrícola Conforme Bula</t>
        </is>
      </c>
      <c r="F2612" s="13" t="inlineStr">
        <is>
          <t>Trigo</t>
        </is>
      </c>
      <c r="G2612" s="13" t="inlineStr">
        <is>
          <t>Cultura Autorizada na Bula</t>
        </is>
      </c>
      <c r="H2612" s="13" t="inlineStr">
        <is>
          <t>100 a 300 L/ha</t>
        </is>
      </c>
      <c r="I2612" s="13" t="inlineStr">
        <is>
          <t>20 a 40 L/ha</t>
        </is>
      </c>
      <c r="J2612" s="13" t="inlineStr">
        <is>
          <t>30 dias</t>
        </is>
      </c>
    </row>
    <row r="2613" ht="22" customHeight="1">
      <c r="A2613" s="6" t="inlineStr">
        <is>
          <t>CUL-2609</t>
        </is>
      </c>
      <c r="B2613" s="5" t="n">
        <v>513</v>
      </c>
      <c r="C2613" s="7" t="inlineStr">
        <is>
          <t>SIPEAGRO (UF-XXXXX)</t>
        </is>
      </c>
      <c r="D2613" s="8" t="inlineStr">
        <is>
          <t>AGCN PRO +</t>
        </is>
      </c>
      <c r="E2613" s="7" t="inlineStr">
        <is>
          <t>Adubação de Solo / Foliar</t>
        </is>
      </c>
      <c r="F2613" s="7" t="inlineStr">
        <is>
          <t>Soja</t>
        </is>
      </c>
      <c r="G2613" s="7" t="inlineStr">
        <is>
          <t>Cultura Autorizada na Bula</t>
        </is>
      </c>
      <c r="H2613" s="7" t="inlineStr">
        <is>
          <t>100 a 300 L/ha</t>
        </is>
      </c>
      <c r="I2613" s="7" t="inlineStr">
        <is>
          <t>20 a 40 L/ha</t>
        </is>
      </c>
      <c r="J2613" s="7" t="inlineStr">
        <is>
          <t>Isento</t>
        </is>
      </c>
    </row>
    <row r="2614" ht="22" customHeight="1">
      <c r="A2614" s="12" t="inlineStr">
        <is>
          <t>CUL-2610</t>
        </is>
      </c>
      <c r="B2614" s="11" t="n">
        <v>513</v>
      </c>
      <c r="C2614" s="13" t="inlineStr">
        <is>
          <t>SIPEAGRO (UF-XXXXX)</t>
        </is>
      </c>
      <c r="D2614" s="14" t="inlineStr">
        <is>
          <t>AGCN PRO +</t>
        </is>
      </c>
      <c r="E2614" s="13" t="inlineStr">
        <is>
          <t>Adubação de Solo / Foliar</t>
        </is>
      </c>
      <c r="F2614" s="13" t="inlineStr">
        <is>
          <t>Milho</t>
        </is>
      </c>
      <c r="G2614" s="13" t="inlineStr">
        <is>
          <t>Cultura Autorizada na Bula</t>
        </is>
      </c>
      <c r="H2614" s="13" t="inlineStr">
        <is>
          <t>100 a 300 L/ha</t>
        </is>
      </c>
      <c r="I2614" s="13" t="inlineStr">
        <is>
          <t>20 a 40 L/ha</t>
        </is>
      </c>
      <c r="J2614" s="13" t="inlineStr">
        <is>
          <t>Isento</t>
        </is>
      </c>
    </row>
    <row r="2615" ht="22" customHeight="1">
      <c r="A2615" s="6" t="inlineStr">
        <is>
          <t>CUL-2611</t>
        </is>
      </c>
      <c r="B2615" s="5" t="n">
        <v>513</v>
      </c>
      <c r="C2615" s="7" t="inlineStr">
        <is>
          <t>SIPEAGRO (UF-XXXXX)</t>
        </is>
      </c>
      <c r="D2615" s="8" t="inlineStr">
        <is>
          <t>AGCN PRO +</t>
        </is>
      </c>
      <c r="E2615" s="7" t="inlineStr">
        <is>
          <t>Adubação de Solo / Foliar</t>
        </is>
      </c>
      <c r="F2615" s="7" t="inlineStr">
        <is>
          <t>Algodão</t>
        </is>
      </c>
      <c r="G2615" s="7" t="inlineStr">
        <is>
          <t>Cultura Autorizada na Bula</t>
        </is>
      </c>
      <c r="H2615" s="7" t="inlineStr">
        <is>
          <t>100 a 300 L/ha</t>
        </is>
      </c>
      <c r="I2615" s="7" t="inlineStr">
        <is>
          <t>20 a 40 L/ha</t>
        </is>
      </c>
      <c r="J2615" s="7" t="inlineStr">
        <is>
          <t>Isento</t>
        </is>
      </c>
    </row>
    <row r="2616" ht="22" customHeight="1">
      <c r="A2616" s="12" t="inlineStr">
        <is>
          <t>CUL-2612</t>
        </is>
      </c>
      <c r="B2616" s="11" t="n">
        <v>513</v>
      </c>
      <c r="C2616" s="13" t="inlineStr">
        <is>
          <t>SIPEAGRO (UF-XXXXX)</t>
        </is>
      </c>
      <c r="D2616" s="14" t="inlineStr">
        <is>
          <t>AGCN PRO +</t>
        </is>
      </c>
      <c r="E2616" s="13" t="inlineStr">
        <is>
          <t>Adubação de Solo / Foliar</t>
        </is>
      </c>
      <c r="F2616" s="13" t="inlineStr">
        <is>
          <t>Cana-de-açúcar</t>
        </is>
      </c>
      <c r="G2616" s="13" t="inlineStr">
        <is>
          <t>Cultura Autorizada na Bula</t>
        </is>
      </c>
      <c r="H2616" s="13" t="inlineStr">
        <is>
          <t>100 a 300 L/ha</t>
        </is>
      </c>
      <c r="I2616" s="13" t="inlineStr">
        <is>
          <t>20 a 40 L/ha</t>
        </is>
      </c>
      <c r="J2616" s="13" t="inlineStr">
        <is>
          <t>Isento</t>
        </is>
      </c>
    </row>
    <row r="2617" ht="22" customHeight="1">
      <c r="A2617" s="6" t="inlineStr">
        <is>
          <t>CUL-2613</t>
        </is>
      </c>
      <c r="B2617" s="5" t="n">
        <v>513</v>
      </c>
      <c r="C2617" s="7" t="inlineStr">
        <is>
          <t>SIPEAGRO (UF-XXXXX)</t>
        </is>
      </c>
      <c r="D2617" s="8" t="inlineStr">
        <is>
          <t>AGCN PRO +</t>
        </is>
      </c>
      <c r="E2617" s="7" t="inlineStr">
        <is>
          <t>Adubação de Solo / Foliar</t>
        </is>
      </c>
      <c r="F2617" s="7" t="inlineStr">
        <is>
          <t>Café</t>
        </is>
      </c>
      <c r="G2617" s="7" t="inlineStr">
        <is>
          <t>Cultura Autorizada na Bula</t>
        </is>
      </c>
      <c r="H2617" s="7" t="inlineStr">
        <is>
          <t>100 a 300 L/ha</t>
        </is>
      </c>
      <c r="I2617" s="7" t="inlineStr">
        <is>
          <t>20 a 40 L/ha</t>
        </is>
      </c>
      <c r="J2617" s="7" t="inlineStr">
        <is>
          <t>Isento</t>
        </is>
      </c>
    </row>
    <row r="2618" ht="22" customHeight="1">
      <c r="A2618" s="12" t="inlineStr">
        <is>
          <t>CUL-2614</t>
        </is>
      </c>
      <c r="B2618" s="11" t="n">
        <v>514</v>
      </c>
      <c r="C2618" s="13" t="inlineStr">
        <is>
          <t>Nº 31522</t>
        </is>
      </c>
      <c r="D2618" s="14" t="inlineStr">
        <is>
          <t>METOMY 900 IMP 0,200L AMOSTRA</t>
        </is>
      </c>
      <c r="E2618" s="13" t="inlineStr">
        <is>
          <t>Pulverização Agrícola Conforme Bula</t>
        </is>
      </c>
      <c r="F2618" s="13" t="inlineStr">
        <is>
          <t>Soja</t>
        </is>
      </c>
      <c r="G2618" s="13" t="inlineStr">
        <is>
          <t>Cultura Autorizada na Bula</t>
        </is>
      </c>
      <c r="H2618" s="13" t="inlineStr">
        <is>
          <t>100 a 300 L/ha</t>
        </is>
      </c>
      <c r="I2618" s="13" t="inlineStr">
        <is>
          <t>20 a 40 L/ha</t>
        </is>
      </c>
      <c r="J2618" s="13" t="inlineStr">
        <is>
          <t>14 dias</t>
        </is>
      </c>
    </row>
    <row r="2619" ht="22" customHeight="1">
      <c r="A2619" s="6" t="inlineStr">
        <is>
          <t>CUL-2615</t>
        </is>
      </c>
      <c r="B2619" s="5" t="n">
        <v>514</v>
      </c>
      <c r="C2619" s="7" t="inlineStr">
        <is>
          <t>Nº 31522</t>
        </is>
      </c>
      <c r="D2619" s="8" t="inlineStr">
        <is>
          <t>METOMY 900 IMP 0,200L AMOSTRA</t>
        </is>
      </c>
      <c r="E2619" s="7" t="inlineStr">
        <is>
          <t>Pulverização Agrícola Conforme Bula</t>
        </is>
      </c>
      <c r="F2619" s="7" t="inlineStr">
        <is>
          <t>Milho</t>
        </is>
      </c>
      <c r="G2619" s="7" t="inlineStr">
        <is>
          <t>Cultura Autorizada na Bula</t>
        </is>
      </c>
      <c r="H2619" s="7" t="inlineStr">
        <is>
          <t>100 a 300 L/ha</t>
        </is>
      </c>
      <c r="I2619" s="7" t="inlineStr">
        <is>
          <t>20 a 40 L/ha</t>
        </is>
      </c>
      <c r="J2619" s="7" t="inlineStr">
        <is>
          <t>14 dias</t>
        </is>
      </c>
    </row>
    <row r="2620" ht="22" customHeight="1">
      <c r="A2620" s="12" t="inlineStr">
        <is>
          <t>CUL-2616</t>
        </is>
      </c>
      <c r="B2620" s="11" t="n">
        <v>514</v>
      </c>
      <c r="C2620" s="13" t="inlineStr">
        <is>
          <t>Nº 31522</t>
        </is>
      </c>
      <c r="D2620" s="14" t="inlineStr">
        <is>
          <t>METOMY 900 IMP 0,200L AMOSTRA</t>
        </is>
      </c>
      <c r="E2620" s="13" t="inlineStr">
        <is>
          <t>Pulverização Agrícola Conforme Bula</t>
        </is>
      </c>
      <c r="F2620" s="13" t="inlineStr">
        <is>
          <t>Algodão</t>
        </is>
      </c>
      <c r="G2620" s="13" t="inlineStr">
        <is>
          <t>Cultura Autorizada na Bula</t>
        </is>
      </c>
      <c r="H2620" s="13" t="inlineStr">
        <is>
          <t>100 a 300 L/ha</t>
        </is>
      </c>
      <c r="I2620" s="13" t="inlineStr">
        <is>
          <t>20 a 40 L/ha</t>
        </is>
      </c>
      <c r="J2620" s="13" t="inlineStr">
        <is>
          <t>14 dias</t>
        </is>
      </c>
    </row>
    <row r="2621" ht="22" customHeight="1">
      <c r="A2621" s="6" t="inlineStr">
        <is>
          <t>CUL-2617</t>
        </is>
      </c>
      <c r="B2621" s="5" t="n">
        <v>514</v>
      </c>
      <c r="C2621" s="7" t="inlineStr">
        <is>
          <t>Nº 31522</t>
        </is>
      </c>
      <c r="D2621" s="8" t="inlineStr">
        <is>
          <t>METOMY 900 IMP 0,200L AMOSTRA</t>
        </is>
      </c>
      <c r="E2621" s="7" t="inlineStr">
        <is>
          <t>Pulverização Agrícola Conforme Bula</t>
        </is>
      </c>
      <c r="F2621" s="7" t="inlineStr">
        <is>
          <t>Trigo</t>
        </is>
      </c>
      <c r="G2621" s="7" t="inlineStr">
        <is>
          <t>Cultura Autorizada na Bula</t>
        </is>
      </c>
      <c r="H2621" s="7" t="inlineStr">
        <is>
          <t>100 a 300 L/ha</t>
        </is>
      </c>
      <c r="I2621" s="7" t="inlineStr">
        <is>
          <t>20 a 40 L/ha</t>
        </is>
      </c>
      <c r="J2621" s="7" t="inlineStr">
        <is>
          <t>14 dias</t>
        </is>
      </c>
    </row>
    <row r="2622" ht="22" customHeight="1">
      <c r="A2622" s="12" t="inlineStr">
        <is>
          <t>CUL-2618</t>
        </is>
      </c>
      <c r="B2622" s="11" t="n">
        <v>514</v>
      </c>
      <c r="C2622" s="13" t="inlineStr">
        <is>
          <t>Nº 31522</t>
        </is>
      </c>
      <c r="D2622" s="14" t="inlineStr">
        <is>
          <t>METOMY 900 IMP 0,200L AMOSTRA</t>
        </is>
      </c>
      <c r="E2622" s="13" t="inlineStr">
        <is>
          <t>Pulverização Agrícola Conforme Bula</t>
        </is>
      </c>
      <c r="F2622" s="13" t="inlineStr">
        <is>
          <t>Batata</t>
        </is>
      </c>
      <c r="G2622" s="13" t="inlineStr">
        <is>
          <t>Cultura Autorizada na Bula</t>
        </is>
      </c>
      <c r="H2622" s="13" t="inlineStr">
        <is>
          <t>100 a 300 L/ha</t>
        </is>
      </c>
      <c r="I2622" s="13" t="inlineStr">
        <is>
          <t>20 a 40 L/ha</t>
        </is>
      </c>
      <c r="J2622" s="13" t="inlineStr">
        <is>
          <t>14 dias</t>
        </is>
      </c>
    </row>
    <row r="2623" ht="22" customHeight="1">
      <c r="A2623" s="6" t="inlineStr">
        <is>
          <t>CUL-2619</t>
        </is>
      </c>
      <c r="B2623" s="5" t="n">
        <v>514</v>
      </c>
      <c r="C2623" s="7" t="inlineStr">
        <is>
          <t>Nº 31522</t>
        </is>
      </c>
      <c r="D2623" s="8" t="inlineStr">
        <is>
          <t>METOMY 900 IMP 0,200L AMOSTRA</t>
        </is>
      </c>
      <c r="E2623" s="7" t="inlineStr">
        <is>
          <t>Pulverização Agrícola Conforme Bula</t>
        </is>
      </c>
      <c r="F2623" s="7" t="inlineStr">
        <is>
          <t>Tomate</t>
        </is>
      </c>
      <c r="G2623" s="7" t="inlineStr">
        <is>
          <t>Cultura Autorizada na Bula</t>
        </is>
      </c>
      <c r="H2623" s="7" t="inlineStr">
        <is>
          <t>100 a 300 L/ha</t>
        </is>
      </c>
      <c r="I2623" s="7" t="inlineStr">
        <is>
          <t>20 a 40 L/ha</t>
        </is>
      </c>
      <c r="J2623" s="7" t="inlineStr">
        <is>
          <t>3 dias</t>
        </is>
      </c>
    </row>
    <row r="2624" ht="22" customHeight="1">
      <c r="A2624" s="12" t="inlineStr">
        <is>
          <t>CUL-2620</t>
        </is>
      </c>
      <c r="B2624" s="11" t="n">
        <v>515</v>
      </c>
      <c r="C2624" s="13" t="inlineStr">
        <is>
          <t>Nº 22221</t>
        </is>
      </c>
      <c r="D2624" s="14" t="inlineStr">
        <is>
          <t>GRASIDIM IMP 0,200L AMOSTRA</t>
        </is>
      </c>
      <c r="E2624" s="13" t="inlineStr">
        <is>
          <t>Pulverização Agrícola Conforme Bula</t>
        </is>
      </c>
      <c r="F2624" s="13" t="inlineStr">
        <is>
          <t>Soja</t>
        </is>
      </c>
      <c r="G2624" s="13" t="inlineStr">
        <is>
          <t>Cultura Autorizada na Bula</t>
        </is>
      </c>
      <c r="H2624" s="13" t="inlineStr">
        <is>
          <t>100 a 300 L/ha</t>
        </is>
      </c>
      <c r="I2624" s="13" t="inlineStr">
        <is>
          <t>20 a 40 L/ha</t>
        </is>
      </c>
      <c r="J2624" s="13" t="inlineStr">
        <is>
          <t>60 dias</t>
        </is>
      </c>
    </row>
    <row r="2625" ht="22" customHeight="1">
      <c r="A2625" s="6" t="inlineStr">
        <is>
          <t>CUL-2621</t>
        </is>
      </c>
      <c r="B2625" s="5" t="n">
        <v>515</v>
      </c>
      <c r="C2625" s="7" t="inlineStr">
        <is>
          <t>Nº 22221</t>
        </is>
      </c>
      <c r="D2625" s="8" t="inlineStr">
        <is>
          <t>GRASIDIM IMP 0,200L AMOSTRA</t>
        </is>
      </c>
      <c r="E2625" s="7" t="inlineStr">
        <is>
          <t>Pulverização Agrícola Conforme Bula</t>
        </is>
      </c>
      <c r="F2625" s="7" t="inlineStr">
        <is>
          <t>Algodão</t>
        </is>
      </c>
      <c r="G2625" s="7" t="inlineStr">
        <is>
          <t>Cultura Autorizada na Bula</t>
        </is>
      </c>
      <c r="H2625" s="7" t="inlineStr">
        <is>
          <t>100 a 300 L/ha</t>
        </is>
      </c>
      <c r="I2625" s="7" t="inlineStr">
        <is>
          <t>20 a 40 L/ha</t>
        </is>
      </c>
      <c r="J2625" s="7" t="inlineStr">
        <is>
          <t>58 dias</t>
        </is>
      </c>
    </row>
    <row r="2626" ht="22" customHeight="1">
      <c r="A2626" s="12" t="inlineStr">
        <is>
          <t>CUL-2622</t>
        </is>
      </c>
      <c r="B2626" s="11" t="n">
        <v>515</v>
      </c>
      <c r="C2626" s="13" t="inlineStr">
        <is>
          <t>Nº 22221</t>
        </is>
      </c>
      <c r="D2626" s="14" t="inlineStr">
        <is>
          <t>GRASIDIM IMP 0,200L AMOSTRA</t>
        </is>
      </c>
      <c r="E2626" s="13" t="inlineStr">
        <is>
          <t>Pulverização Agrícola Conforme Bula</t>
        </is>
      </c>
      <c r="F2626" s="13" t="inlineStr">
        <is>
          <t>Feijão</t>
        </is>
      </c>
      <c r="G2626" s="13" t="inlineStr">
        <is>
          <t>Cultura Autorizada na Bula</t>
        </is>
      </c>
      <c r="H2626" s="13" t="inlineStr">
        <is>
          <t>100 a 300 L/ha</t>
        </is>
      </c>
      <c r="I2626" s="13" t="inlineStr">
        <is>
          <t>20 a 40 L/ha</t>
        </is>
      </c>
      <c r="J2626" s="13" t="inlineStr">
        <is>
          <t>40 dias</t>
        </is>
      </c>
    </row>
    <row r="2627" ht="22" customHeight="1">
      <c r="A2627" s="6" t="inlineStr">
        <is>
          <t>CUL-2623</t>
        </is>
      </c>
      <c r="B2627" s="5" t="n">
        <v>515</v>
      </c>
      <c r="C2627" s="7" t="inlineStr">
        <is>
          <t>Nº 22221</t>
        </is>
      </c>
      <c r="D2627" s="8" t="inlineStr">
        <is>
          <t>GRASIDIM IMP 0,200L AMOSTRA</t>
        </is>
      </c>
      <c r="E2627" s="7" t="inlineStr">
        <is>
          <t>Pulverização Agrícola Conforme Bula</t>
        </is>
      </c>
      <c r="F2627" s="7" t="inlineStr">
        <is>
          <t>Café</t>
        </is>
      </c>
      <c r="G2627" s="7" t="inlineStr">
        <is>
          <t>Cultura Autorizada na Bula</t>
        </is>
      </c>
      <c r="H2627" s="7" t="inlineStr">
        <is>
          <t>100 a 300 L/ha</t>
        </is>
      </c>
      <c r="I2627" s="7" t="inlineStr">
        <is>
          <t>20 a 40 L/ha</t>
        </is>
      </c>
      <c r="J2627" s="7" t="inlineStr">
        <is>
          <t>14 dias</t>
        </is>
      </c>
    </row>
    <row r="2628" ht="22" customHeight="1">
      <c r="A2628" s="12" t="inlineStr">
        <is>
          <t>CUL-2624</t>
        </is>
      </c>
      <c r="B2628" s="11" t="n">
        <v>515</v>
      </c>
      <c r="C2628" s="13" t="inlineStr">
        <is>
          <t>Nº 22221</t>
        </is>
      </c>
      <c r="D2628" s="14" t="inlineStr">
        <is>
          <t>GRASIDIM IMP 0,200L AMOSTRA</t>
        </is>
      </c>
      <c r="E2628" s="13" t="inlineStr">
        <is>
          <t>Pulverização Agrícola Conforme Bula</t>
        </is>
      </c>
      <c r="F2628" s="13" t="inlineStr">
        <is>
          <t>Batata</t>
        </is>
      </c>
      <c r="G2628" s="13" t="inlineStr">
        <is>
          <t>Cultura Autorizada na Bula</t>
        </is>
      </c>
      <c r="H2628" s="13" t="inlineStr">
        <is>
          <t>100 a 300 L/ha</t>
        </is>
      </c>
      <c r="I2628" s="13" t="inlineStr">
        <is>
          <t>20 a 40 L/ha</t>
        </is>
      </c>
      <c r="J2628" s="13" t="inlineStr">
        <is>
          <t>20 dias</t>
        </is>
      </c>
    </row>
    <row r="2629" ht="22" customHeight="1">
      <c r="A2629" s="6" t="inlineStr">
        <is>
          <t>CUL-2625</t>
        </is>
      </c>
      <c r="B2629" s="5" t="n">
        <v>515</v>
      </c>
      <c r="C2629" s="7" t="inlineStr">
        <is>
          <t>Nº 22221</t>
        </is>
      </c>
      <c r="D2629" s="8" t="inlineStr">
        <is>
          <t>GRASIDIM IMP 0,200L AMOSTRA</t>
        </is>
      </c>
      <c r="E2629" s="7" t="inlineStr">
        <is>
          <t>Pulverização Agrícola Conforme Bula</t>
        </is>
      </c>
      <c r="F2629" s="7" t="inlineStr">
        <is>
          <t>Mandioca</t>
        </is>
      </c>
      <c r="G2629" s="7" t="inlineStr">
        <is>
          <t>Cultura Autorizada na Bula</t>
        </is>
      </c>
      <c r="H2629" s="7" t="inlineStr">
        <is>
          <t>100 a 300 L/ha</t>
        </is>
      </c>
      <c r="I2629" s="7" t="inlineStr">
        <is>
          <t>20 a 40 L/ha</t>
        </is>
      </c>
      <c r="J2629" s="7" t="inlineStr">
        <is>
          <t>90 dias</t>
        </is>
      </c>
    </row>
    <row r="2630" ht="22" customHeight="1">
      <c r="A2630" s="12" t="inlineStr">
        <is>
          <t>CUL-2626</t>
        </is>
      </c>
      <c r="B2630" s="11" t="n">
        <v>515</v>
      </c>
      <c r="C2630" s="13" t="inlineStr">
        <is>
          <t>Nº 22221</t>
        </is>
      </c>
      <c r="D2630" s="14" t="inlineStr">
        <is>
          <t>GRASIDIM IMP 0,200L AMOSTRA</t>
        </is>
      </c>
      <c r="E2630" s="13" t="inlineStr">
        <is>
          <t>Pulverização Agrícola Conforme Bula</t>
        </is>
      </c>
      <c r="F2630" s="13" t="inlineStr">
        <is>
          <t>Tomate</t>
        </is>
      </c>
      <c r="G2630" s="13" t="inlineStr">
        <is>
          <t>Cultura Autorizada na Bula</t>
        </is>
      </c>
      <c r="H2630" s="13" t="inlineStr">
        <is>
          <t>100 a 300 L/ha</t>
        </is>
      </c>
      <c r="I2630" s="13" t="inlineStr">
        <is>
          <t>20 a 40 L/ha</t>
        </is>
      </c>
      <c r="J2630" s="13" t="inlineStr">
        <is>
          <t>20 dias</t>
        </is>
      </c>
    </row>
    <row r="2631" ht="22" customHeight="1">
      <c r="A2631" s="6" t="inlineStr">
        <is>
          <t>CUL-2627</t>
        </is>
      </c>
      <c r="B2631" s="5" t="n">
        <v>516</v>
      </c>
      <c r="C2631" s="7" t="inlineStr">
        <is>
          <t>Nº 12123</t>
        </is>
      </c>
      <c r="D2631" s="8" t="inlineStr">
        <is>
          <t>PYRIPROXYFEN 100 EC AGCN</t>
        </is>
      </c>
      <c r="E2631" s="7" t="inlineStr">
        <is>
          <t>Pulverização Agrícola Conforme Bula</t>
        </is>
      </c>
      <c r="F2631" s="7" t="inlineStr">
        <is>
          <t>Soja</t>
        </is>
      </c>
      <c r="G2631" s="7" t="inlineStr">
        <is>
          <t>Cultura Autorizada na Bula</t>
        </is>
      </c>
      <c r="H2631" s="7" t="inlineStr">
        <is>
          <t>100 a 300 L/ha</t>
        </is>
      </c>
      <c r="I2631" s="7" t="inlineStr">
        <is>
          <t>20 a 40 L/ha</t>
        </is>
      </c>
      <c r="J2631" s="7" t="inlineStr">
        <is>
          <t>30 dias</t>
        </is>
      </c>
    </row>
    <row r="2632" ht="22" customHeight="1">
      <c r="A2632" s="12" t="inlineStr">
        <is>
          <t>CUL-2628</t>
        </is>
      </c>
      <c r="B2632" s="11" t="n">
        <v>516</v>
      </c>
      <c r="C2632" s="13" t="inlineStr">
        <is>
          <t>Nº 12123</t>
        </is>
      </c>
      <c r="D2632" s="14" t="inlineStr">
        <is>
          <t>PYRIPROXYFEN 100 EC AGCN</t>
        </is>
      </c>
      <c r="E2632" s="13" t="inlineStr">
        <is>
          <t>Pulverização Agrícola Conforme Bula</t>
        </is>
      </c>
      <c r="F2632" s="13" t="inlineStr">
        <is>
          <t>Algodão</t>
        </is>
      </c>
      <c r="G2632" s="13" t="inlineStr">
        <is>
          <t>Cultura Autorizada na Bula</t>
        </is>
      </c>
      <c r="H2632" s="13" t="inlineStr">
        <is>
          <t>100 a 300 L/ha</t>
        </is>
      </c>
      <c r="I2632" s="13" t="inlineStr">
        <is>
          <t>20 a 40 L/ha</t>
        </is>
      </c>
      <c r="J2632" s="13" t="inlineStr">
        <is>
          <t>14 dias</t>
        </is>
      </c>
    </row>
    <row r="2633" ht="22" customHeight="1">
      <c r="A2633" s="6" t="inlineStr">
        <is>
          <t>CUL-2629</t>
        </is>
      </c>
      <c r="B2633" s="5" t="n">
        <v>516</v>
      </c>
      <c r="C2633" s="7" t="inlineStr">
        <is>
          <t>Nº 12123</t>
        </is>
      </c>
      <c r="D2633" s="8" t="inlineStr">
        <is>
          <t>PYRIPROXYFEN 100 EC AGCN</t>
        </is>
      </c>
      <c r="E2633" s="7" t="inlineStr">
        <is>
          <t>Pulverização Agrícola Conforme Bula</t>
        </is>
      </c>
      <c r="F2633" s="7" t="inlineStr">
        <is>
          <t>Feijão</t>
        </is>
      </c>
      <c r="G2633" s="7" t="inlineStr">
        <is>
          <t>Cultura Autorizada na Bula</t>
        </is>
      </c>
      <c r="H2633" s="7" t="inlineStr">
        <is>
          <t>100 a 300 L/ha</t>
        </is>
      </c>
      <c r="I2633" s="7" t="inlineStr">
        <is>
          <t>20 a 40 L/ha</t>
        </is>
      </c>
      <c r="J2633" s="7" t="inlineStr">
        <is>
          <t>14 dias</t>
        </is>
      </c>
    </row>
    <row r="2634" ht="22" customHeight="1">
      <c r="A2634" s="12" t="inlineStr">
        <is>
          <t>CUL-2630</t>
        </is>
      </c>
      <c r="B2634" s="11" t="n">
        <v>516</v>
      </c>
      <c r="C2634" s="13" t="inlineStr">
        <is>
          <t>Nº 12123</t>
        </is>
      </c>
      <c r="D2634" s="14" t="inlineStr">
        <is>
          <t>PYRIPROXYFEN 100 EC AGCN</t>
        </is>
      </c>
      <c r="E2634" s="13" t="inlineStr">
        <is>
          <t>Pulverização Agrícola Conforme Bula</t>
        </is>
      </c>
      <c r="F2634" s="13" t="inlineStr">
        <is>
          <t>Citros</t>
        </is>
      </c>
      <c r="G2634" s="13" t="inlineStr">
        <is>
          <t>Cultura Autorizada na Bula</t>
        </is>
      </c>
      <c r="H2634" s="13" t="inlineStr">
        <is>
          <t>100 a 300 L/ha</t>
        </is>
      </c>
      <c r="I2634" s="13" t="inlineStr">
        <is>
          <t>20 a 40 L/ha</t>
        </is>
      </c>
      <c r="J2634" s="13" t="inlineStr">
        <is>
          <t>14 dias</t>
        </is>
      </c>
    </row>
    <row r="2635" ht="22" customHeight="1">
      <c r="A2635" s="6" t="inlineStr">
        <is>
          <t>CUL-2631</t>
        </is>
      </c>
      <c r="B2635" s="5" t="n">
        <v>516</v>
      </c>
      <c r="C2635" s="7" t="inlineStr">
        <is>
          <t>Nº 12123</t>
        </is>
      </c>
      <c r="D2635" s="8" t="inlineStr">
        <is>
          <t>PYRIPROXYFEN 100 EC AGCN</t>
        </is>
      </c>
      <c r="E2635" s="7" t="inlineStr">
        <is>
          <t>Pulverização Agrícola Conforme Bula</t>
        </is>
      </c>
      <c r="F2635" s="7" t="inlineStr">
        <is>
          <t>Melão</t>
        </is>
      </c>
      <c r="G2635" s="7" t="inlineStr">
        <is>
          <t>Cultura Autorizada na Bula</t>
        </is>
      </c>
      <c r="H2635" s="7" t="inlineStr">
        <is>
          <t>100 a 300 L/ha</t>
        </is>
      </c>
      <c r="I2635" s="7" t="inlineStr">
        <is>
          <t>20 a 40 L/ha</t>
        </is>
      </c>
      <c r="J2635" s="7" t="inlineStr">
        <is>
          <t>7 dias</t>
        </is>
      </c>
    </row>
    <row r="2636" ht="22" customHeight="1">
      <c r="A2636" s="12" t="inlineStr">
        <is>
          <t>CUL-2632</t>
        </is>
      </c>
      <c r="B2636" s="11" t="n">
        <v>516</v>
      </c>
      <c r="C2636" s="13" t="inlineStr">
        <is>
          <t>Nº 12123</t>
        </is>
      </c>
      <c r="D2636" s="14" t="inlineStr">
        <is>
          <t>PYRIPROXYFEN 100 EC AGCN</t>
        </is>
      </c>
      <c r="E2636" s="13" t="inlineStr">
        <is>
          <t>Pulverização Agrícola Conforme Bula</t>
        </is>
      </c>
      <c r="F2636" s="13" t="inlineStr">
        <is>
          <t>Tomate</t>
        </is>
      </c>
      <c r="G2636" s="13" t="inlineStr">
        <is>
          <t>Cultura Autorizada na Bula</t>
        </is>
      </c>
      <c r="H2636" s="13" t="inlineStr">
        <is>
          <t>100 a 300 L/ha</t>
        </is>
      </c>
      <c r="I2636" s="13" t="inlineStr">
        <is>
          <t>20 a 40 L/ha</t>
        </is>
      </c>
      <c r="J2636" s="13" t="inlineStr">
        <is>
          <t>7 dias</t>
        </is>
      </c>
    </row>
    <row r="2637" ht="22" customHeight="1">
      <c r="A2637" s="6" t="inlineStr">
        <is>
          <t>CUL-2633</t>
        </is>
      </c>
      <c r="B2637" s="5" t="n">
        <v>517</v>
      </c>
      <c r="C2637" s="7" t="inlineStr">
        <is>
          <t>Nº 28421</t>
        </is>
      </c>
      <c r="D2637" s="8" t="inlineStr">
        <is>
          <t>CLORFENAPIR CCAB</t>
        </is>
      </c>
      <c r="E2637" s="7" t="inlineStr">
        <is>
          <t>Pulverização Agrícola Conforme Bula</t>
        </is>
      </c>
      <c r="F2637" s="7" t="inlineStr">
        <is>
          <t>Soja</t>
        </is>
      </c>
      <c r="G2637" s="7" t="inlineStr">
        <is>
          <t>Cultura Autorizada na Bula</t>
        </is>
      </c>
      <c r="H2637" s="7" t="inlineStr">
        <is>
          <t>100 a 300 L/ha</t>
        </is>
      </c>
      <c r="I2637" s="7" t="inlineStr">
        <is>
          <t>20 a 40 L/ha</t>
        </is>
      </c>
      <c r="J2637" s="7" t="inlineStr">
        <is>
          <t>21 a 30 dias</t>
        </is>
      </c>
    </row>
    <row r="2638" ht="22" customHeight="1">
      <c r="A2638" s="12" t="inlineStr">
        <is>
          <t>CUL-2634</t>
        </is>
      </c>
      <c r="B2638" s="11" t="n">
        <v>517</v>
      </c>
      <c r="C2638" s="13" t="inlineStr">
        <is>
          <t>Nº 28421</t>
        </is>
      </c>
      <c r="D2638" s="14" t="inlineStr">
        <is>
          <t>CLORFENAPIR CCAB</t>
        </is>
      </c>
      <c r="E2638" s="13" t="inlineStr">
        <is>
          <t>Pulverização Agrícola Conforme Bula</t>
        </is>
      </c>
      <c r="F2638" s="13" t="inlineStr">
        <is>
          <t>Milho</t>
        </is>
      </c>
      <c r="G2638" s="13" t="inlineStr">
        <is>
          <t>Cultura Autorizada na Bula</t>
        </is>
      </c>
      <c r="H2638" s="13" t="inlineStr">
        <is>
          <t>100 a 300 L/ha</t>
        </is>
      </c>
      <c r="I2638" s="13" t="inlineStr">
        <is>
          <t>20 a 40 L/ha</t>
        </is>
      </c>
      <c r="J2638" s="13" t="inlineStr">
        <is>
          <t>21 a 30 dias</t>
        </is>
      </c>
    </row>
    <row r="2639" ht="22" customHeight="1">
      <c r="A2639" s="6" t="inlineStr">
        <is>
          <t>CUL-2635</t>
        </is>
      </c>
      <c r="B2639" s="5" t="n">
        <v>517</v>
      </c>
      <c r="C2639" s="7" t="inlineStr">
        <is>
          <t>Nº 28421</t>
        </is>
      </c>
      <c r="D2639" s="8" t="inlineStr">
        <is>
          <t>CLORFENAPIR CCAB</t>
        </is>
      </c>
      <c r="E2639" s="7" t="inlineStr">
        <is>
          <t>Pulverização Agrícola Conforme Bula</t>
        </is>
      </c>
      <c r="F2639" s="7" t="inlineStr">
        <is>
          <t>Algodão</t>
        </is>
      </c>
      <c r="G2639" s="7" t="inlineStr">
        <is>
          <t>Cultura Autorizada na Bula</t>
        </is>
      </c>
      <c r="H2639" s="7" t="inlineStr">
        <is>
          <t>100 a 300 L/ha</t>
        </is>
      </c>
      <c r="I2639" s="7" t="inlineStr">
        <is>
          <t>20 a 40 L/ha</t>
        </is>
      </c>
      <c r="J2639" s="7" t="inlineStr">
        <is>
          <t>21 a 30 dias</t>
        </is>
      </c>
    </row>
    <row r="2640" ht="22" customHeight="1">
      <c r="A2640" s="12" t="inlineStr">
        <is>
          <t>CUL-2636</t>
        </is>
      </c>
      <c r="B2640" s="11" t="n">
        <v>517</v>
      </c>
      <c r="C2640" s="13" t="inlineStr">
        <is>
          <t>Nº 28421</t>
        </is>
      </c>
      <c r="D2640" s="14" t="inlineStr">
        <is>
          <t>CLORFENAPIR CCAB</t>
        </is>
      </c>
      <c r="E2640" s="13" t="inlineStr">
        <is>
          <t>Pulverização Agrícola Conforme Bula</t>
        </is>
      </c>
      <c r="F2640" s="13" t="inlineStr">
        <is>
          <t>Feijão</t>
        </is>
      </c>
      <c r="G2640" s="13" t="inlineStr">
        <is>
          <t>Cultura Autorizada na Bula</t>
        </is>
      </c>
      <c r="H2640" s="13" t="inlineStr">
        <is>
          <t>100 a 300 L/ha</t>
        </is>
      </c>
      <c r="I2640" s="13" t="inlineStr">
        <is>
          <t>20 a 40 L/ha</t>
        </is>
      </c>
      <c r="J2640" s="13" t="inlineStr">
        <is>
          <t>21 a 30 dias</t>
        </is>
      </c>
    </row>
    <row r="2641" ht="22" customHeight="1">
      <c r="A2641" s="6" t="inlineStr">
        <is>
          <t>CUL-2637</t>
        </is>
      </c>
      <c r="B2641" s="5" t="n">
        <v>517</v>
      </c>
      <c r="C2641" s="7" t="inlineStr">
        <is>
          <t>Nº 28421</t>
        </is>
      </c>
      <c r="D2641" s="8" t="inlineStr">
        <is>
          <t>CLORFENAPIR CCAB</t>
        </is>
      </c>
      <c r="E2641" s="7" t="inlineStr">
        <is>
          <t>Pulverização Agrícola Conforme Bula</t>
        </is>
      </c>
      <c r="F2641" s="7" t="inlineStr">
        <is>
          <t>Trigo</t>
        </is>
      </c>
      <c r="G2641" s="7" t="inlineStr">
        <is>
          <t>Cultura Autorizada na Bula</t>
        </is>
      </c>
      <c r="H2641" s="7" t="inlineStr">
        <is>
          <t>100 a 300 L/ha</t>
        </is>
      </c>
      <c r="I2641" s="7" t="inlineStr">
        <is>
          <t>20 a 40 L/ha</t>
        </is>
      </c>
      <c r="J2641" s="7" t="inlineStr">
        <is>
          <t>21 a 30 dias</t>
        </is>
      </c>
    </row>
    <row r="2642" ht="22" customHeight="1">
      <c r="A2642" s="12" t="inlineStr">
        <is>
          <t>CUL-2638</t>
        </is>
      </c>
      <c r="B2642" s="11" t="n">
        <v>518</v>
      </c>
      <c r="C2642" s="13" t="inlineStr">
        <is>
          <t>Nº 2004</t>
        </is>
      </c>
      <c r="D2642" s="14" t="inlineStr">
        <is>
          <t>PENNCOZEB WG</t>
        </is>
      </c>
      <c r="E2642" s="13" t="inlineStr">
        <is>
          <t>Pulverização Agrícola Conforme Bula</t>
        </is>
      </c>
      <c r="F2642" s="13" t="inlineStr">
        <is>
          <t>Soja</t>
        </is>
      </c>
      <c r="G2642" s="13" t="inlineStr">
        <is>
          <t>Cultura Autorizada na Bula</t>
        </is>
      </c>
      <c r="H2642" s="13" t="inlineStr">
        <is>
          <t>100 a 300 L/ha</t>
        </is>
      </c>
      <c r="I2642" s="13" t="inlineStr">
        <is>
          <t>20 a 40 L/ha</t>
        </is>
      </c>
      <c r="J2642" s="13" t="inlineStr">
        <is>
          <t>21 dias</t>
        </is>
      </c>
    </row>
    <row r="2643" ht="22" customHeight="1">
      <c r="A2643" s="6" t="inlineStr">
        <is>
          <t>CUL-2639</t>
        </is>
      </c>
      <c r="B2643" s="5" t="n">
        <v>518</v>
      </c>
      <c r="C2643" s="7" t="inlineStr">
        <is>
          <t>Nº 2004</t>
        </is>
      </c>
      <c r="D2643" s="8" t="inlineStr">
        <is>
          <t>PENNCOZEB WG</t>
        </is>
      </c>
      <c r="E2643" s="7" t="inlineStr">
        <is>
          <t>Pulverização Agrícola Conforme Bula</t>
        </is>
      </c>
      <c r="F2643" s="7" t="inlineStr">
        <is>
          <t>Algodão</t>
        </is>
      </c>
      <c r="G2643" s="7" t="inlineStr">
        <is>
          <t>Cultura Autorizada na Bula</t>
        </is>
      </c>
      <c r="H2643" s="7" t="inlineStr">
        <is>
          <t>100 a 300 L/ha</t>
        </is>
      </c>
      <c r="I2643" s="7" t="inlineStr">
        <is>
          <t>20 a 40 L/ha</t>
        </is>
      </c>
      <c r="J2643" s="7" t="inlineStr">
        <is>
          <t>21 dias</t>
        </is>
      </c>
    </row>
    <row r="2644" ht="22" customHeight="1">
      <c r="A2644" s="12" t="inlineStr">
        <is>
          <t>CUL-2640</t>
        </is>
      </c>
      <c r="B2644" s="11" t="n">
        <v>518</v>
      </c>
      <c r="C2644" s="13" t="inlineStr">
        <is>
          <t>Nº 2004</t>
        </is>
      </c>
      <c r="D2644" s="14" t="inlineStr">
        <is>
          <t>PENNCOZEB WG</t>
        </is>
      </c>
      <c r="E2644" s="13" t="inlineStr">
        <is>
          <t>Pulverização Agrícola Conforme Bula</t>
        </is>
      </c>
      <c r="F2644" s="13" t="inlineStr">
        <is>
          <t>Café</t>
        </is>
      </c>
      <c r="G2644" s="13" t="inlineStr">
        <is>
          <t>Cultura Autorizada na Bula</t>
        </is>
      </c>
      <c r="H2644" s="13" t="inlineStr">
        <is>
          <t>100 a 300 L/ha</t>
        </is>
      </c>
      <c r="I2644" s="13" t="inlineStr">
        <is>
          <t>20 a 40 L/ha</t>
        </is>
      </c>
      <c r="J2644" s="13" t="inlineStr">
        <is>
          <t>21 dias</t>
        </is>
      </c>
    </row>
    <row r="2645" ht="22" customHeight="1">
      <c r="A2645" s="6" t="inlineStr">
        <is>
          <t>CUL-2641</t>
        </is>
      </c>
      <c r="B2645" s="5" t="n">
        <v>518</v>
      </c>
      <c r="C2645" s="7" t="inlineStr">
        <is>
          <t>Nº 2004</t>
        </is>
      </c>
      <c r="D2645" s="8" t="inlineStr">
        <is>
          <t>PENNCOZEB WG</t>
        </is>
      </c>
      <c r="E2645" s="7" t="inlineStr">
        <is>
          <t>Pulverização Agrícola Conforme Bula</t>
        </is>
      </c>
      <c r="F2645" s="7" t="inlineStr">
        <is>
          <t>Feijão</t>
        </is>
      </c>
      <c r="G2645" s="7" t="inlineStr">
        <is>
          <t>Cultura Autorizada na Bula</t>
        </is>
      </c>
      <c r="H2645" s="7" t="inlineStr">
        <is>
          <t>100 a 300 L/ha</t>
        </is>
      </c>
      <c r="I2645" s="7" t="inlineStr">
        <is>
          <t>20 a 40 L/ha</t>
        </is>
      </c>
      <c r="J2645" s="7" t="inlineStr">
        <is>
          <t>14 dias</t>
        </is>
      </c>
    </row>
    <row r="2646" ht="22" customHeight="1">
      <c r="A2646" s="12" t="inlineStr">
        <is>
          <t>CUL-2642</t>
        </is>
      </c>
      <c r="B2646" s="11" t="n">
        <v>518</v>
      </c>
      <c r="C2646" s="13" t="inlineStr">
        <is>
          <t>Nº 2004</t>
        </is>
      </c>
      <c r="D2646" s="14" t="inlineStr">
        <is>
          <t>PENNCOZEB WG</t>
        </is>
      </c>
      <c r="E2646" s="13" t="inlineStr">
        <is>
          <t>Pulverização Agrícola Conforme Bula</t>
        </is>
      </c>
      <c r="F2646" s="13" t="inlineStr">
        <is>
          <t>Milho</t>
        </is>
      </c>
      <c r="G2646" s="13" t="inlineStr">
        <is>
          <t>Cultura Autorizada na Bula</t>
        </is>
      </c>
      <c r="H2646" s="13" t="inlineStr">
        <is>
          <t>100 a 300 L/ha</t>
        </is>
      </c>
      <c r="I2646" s="13" t="inlineStr">
        <is>
          <t>20 a 40 L/ha</t>
        </is>
      </c>
      <c r="J2646" s="13" t="inlineStr">
        <is>
          <t>21 dias</t>
        </is>
      </c>
    </row>
    <row r="2647" ht="22" customHeight="1">
      <c r="A2647" s="6" t="inlineStr">
        <is>
          <t>CUL-2643</t>
        </is>
      </c>
      <c r="B2647" s="5" t="n">
        <v>518</v>
      </c>
      <c r="C2647" s="7" t="inlineStr">
        <is>
          <t>Nº 2004</t>
        </is>
      </c>
      <c r="D2647" s="8" t="inlineStr">
        <is>
          <t>PENNCOZEB WG</t>
        </is>
      </c>
      <c r="E2647" s="7" t="inlineStr">
        <is>
          <t>Pulverização Agrícola Conforme Bula</t>
        </is>
      </c>
      <c r="F2647" s="7" t="inlineStr">
        <is>
          <t>Batata</t>
        </is>
      </c>
      <c r="G2647" s="7" t="inlineStr">
        <is>
          <t>Cultura Autorizada na Bula</t>
        </is>
      </c>
      <c r="H2647" s="7" t="inlineStr">
        <is>
          <t>100 a 300 L/ha</t>
        </is>
      </c>
      <c r="I2647" s="7" t="inlineStr">
        <is>
          <t>20 a 40 L/ha</t>
        </is>
      </c>
      <c r="J2647" s="7" t="inlineStr">
        <is>
          <t>7 dias</t>
        </is>
      </c>
    </row>
    <row r="2648" ht="22" customHeight="1">
      <c r="A2648" s="12" t="inlineStr">
        <is>
          <t>CUL-2644</t>
        </is>
      </c>
      <c r="B2648" s="11" t="n">
        <v>518</v>
      </c>
      <c r="C2648" s="13" t="inlineStr">
        <is>
          <t>Nº 2004</t>
        </is>
      </c>
      <c r="D2648" s="14" t="inlineStr">
        <is>
          <t>PENNCOZEB WG</t>
        </is>
      </c>
      <c r="E2648" s="13" t="inlineStr">
        <is>
          <t>Pulverização Agrícola Conforme Bula</t>
        </is>
      </c>
      <c r="F2648" s="13" t="inlineStr">
        <is>
          <t>Tomate</t>
        </is>
      </c>
      <c r="G2648" s="13" t="inlineStr">
        <is>
          <t>Cultura Autorizada na Bula</t>
        </is>
      </c>
      <c r="H2648" s="13" t="inlineStr">
        <is>
          <t>100 a 300 L/ha</t>
        </is>
      </c>
      <c r="I2648" s="13" t="inlineStr">
        <is>
          <t>20 a 40 L/ha</t>
        </is>
      </c>
      <c r="J2648" s="13" t="inlineStr">
        <is>
          <t>7 dias</t>
        </is>
      </c>
    </row>
    <row r="2649" ht="22" customHeight="1">
      <c r="A2649" s="6" t="inlineStr">
        <is>
          <t>CUL-2645</t>
        </is>
      </c>
      <c r="B2649" s="5" t="n">
        <v>518</v>
      </c>
      <c r="C2649" s="7" t="inlineStr">
        <is>
          <t>Nº 2004</t>
        </is>
      </c>
      <c r="D2649" s="8" t="inlineStr">
        <is>
          <t>PENNCOZEB WG</t>
        </is>
      </c>
      <c r="E2649" s="7" t="inlineStr">
        <is>
          <t>Pulverização Agrícola Conforme Bula</t>
        </is>
      </c>
      <c r="F2649" s="7" t="inlineStr">
        <is>
          <t>Trigo</t>
        </is>
      </c>
      <c r="G2649" s="7" t="inlineStr">
        <is>
          <t>Cultura Autorizada na Bula</t>
        </is>
      </c>
      <c r="H2649" s="7" t="inlineStr">
        <is>
          <t>100 a 300 L/ha</t>
        </is>
      </c>
      <c r="I2649" s="7" t="inlineStr">
        <is>
          <t>20 a 40 L/ha</t>
        </is>
      </c>
      <c r="J2649" s="7" t="inlineStr">
        <is>
          <t>21 dias</t>
        </is>
      </c>
    </row>
    <row r="2650" ht="22" customHeight="1">
      <c r="A2650" s="12" t="inlineStr">
        <is>
          <t>CUL-2646</t>
        </is>
      </c>
      <c r="B2650" s="11" t="n">
        <v>519</v>
      </c>
      <c r="C2650" s="13" t="inlineStr">
        <is>
          <t>Nº 8510</t>
        </is>
      </c>
      <c r="D2650" s="14" t="inlineStr">
        <is>
          <t>POQUER</t>
        </is>
      </c>
      <c r="E2650" s="13" t="inlineStr">
        <is>
          <t>Pulverização Agrícola Conforme Bula</t>
        </is>
      </c>
      <c r="F2650" s="13" t="inlineStr">
        <is>
          <t>Soja</t>
        </is>
      </c>
      <c r="G2650" s="13" t="inlineStr">
        <is>
          <t>Cultura Autorizada na Bula</t>
        </is>
      </c>
      <c r="H2650" s="13" t="inlineStr">
        <is>
          <t>100 a 300 L/ha</t>
        </is>
      </c>
      <c r="I2650" s="13" t="inlineStr">
        <is>
          <t>20 a 40 L/ha</t>
        </is>
      </c>
      <c r="J2650" s="13" t="inlineStr">
        <is>
          <t>60 dias</t>
        </is>
      </c>
    </row>
    <row r="2651" ht="22" customHeight="1">
      <c r="A2651" s="6" t="inlineStr">
        <is>
          <t>CUL-2647</t>
        </is>
      </c>
      <c r="B2651" s="5" t="n">
        <v>519</v>
      </c>
      <c r="C2651" s="7" t="inlineStr">
        <is>
          <t>Nº 8510</t>
        </is>
      </c>
      <c r="D2651" s="8" t="inlineStr">
        <is>
          <t>POQUER</t>
        </is>
      </c>
      <c r="E2651" s="7" t="inlineStr">
        <is>
          <t>Pulverização Agrícola Conforme Bula</t>
        </is>
      </c>
      <c r="F2651" s="7" t="inlineStr">
        <is>
          <t>Algodão</t>
        </is>
      </c>
      <c r="G2651" s="7" t="inlineStr">
        <is>
          <t>Cultura Autorizada na Bula</t>
        </is>
      </c>
      <c r="H2651" s="7" t="inlineStr">
        <is>
          <t>100 a 300 L/ha</t>
        </is>
      </c>
      <c r="I2651" s="7" t="inlineStr">
        <is>
          <t>20 a 40 L/ha</t>
        </is>
      </c>
      <c r="J2651" s="7" t="inlineStr">
        <is>
          <t>58 dias</t>
        </is>
      </c>
    </row>
    <row r="2652" ht="22" customHeight="1">
      <c r="A2652" s="12" t="inlineStr">
        <is>
          <t>CUL-2648</t>
        </is>
      </c>
      <c r="B2652" s="11" t="n">
        <v>519</v>
      </c>
      <c r="C2652" s="13" t="inlineStr">
        <is>
          <t>Nº 8510</t>
        </is>
      </c>
      <c r="D2652" s="14" t="inlineStr">
        <is>
          <t>POQUER</t>
        </is>
      </c>
      <c r="E2652" s="13" t="inlineStr">
        <is>
          <t>Pulverização Agrícola Conforme Bula</t>
        </is>
      </c>
      <c r="F2652" s="13" t="inlineStr">
        <is>
          <t>Feijão</t>
        </is>
      </c>
      <c r="G2652" s="13" t="inlineStr">
        <is>
          <t>Cultura Autorizada na Bula</t>
        </is>
      </c>
      <c r="H2652" s="13" t="inlineStr">
        <is>
          <t>100 a 300 L/ha</t>
        </is>
      </c>
      <c r="I2652" s="13" t="inlineStr">
        <is>
          <t>20 a 40 L/ha</t>
        </is>
      </c>
      <c r="J2652" s="13" t="inlineStr">
        <is>
          <t>40 dias</t>
        </is>
      </c>
    </row>
    <row r="2653" ht="22" customHeight="1">
      <c r="A2653" s="6" t="inlineStr">
        <is>
          <t>CUL-2649</t>
        </is>
      </c>
      <c r="B2653" s="5" t="n">
        <v>519</v>
      </c>
      <c r="C2653" s="7" t="inlineStr">
        <is>
          <t>Nº 8510</t>
        </is>
      </c>
      <c r="D2653" s="8" t="inlineStr">
        <is>
          <t>POQUER</t>
        </is>
      </c>
      <c r="E2653" s="7" t="inlineStr">
        <is>
          <t>Pulverização Agrícola Conforme Bula</t>
        </is>
      </c>
      <c r="F2653" s="7" t="inlineStr">
        <is>
          <t>Café</t>
        </is>
      </c>
      <c r="G2653" s="7" t="inlineStr">
        <is>
          <t>Cultura Autorizada na Bula</t>
        </is>
      </c>
      <c r="H2653" s="7" t="inlineStr">
        <is>
          <t>100 a 300 L/ha</t>
        </is>
      </c>
      <c r="I2653" s="7" t="inlineStr">
        <is>
          <t>20 a 40 L/ha</t>
        </is>
      </c>
      <c r="J2653" s="7" t="inlineStr">
        <is>
          <t>14 dias</t>
        </is>
      </c>
    </row>
    <row r="2654" ht="22" customHeight="1">
      <c r="A2654" s="12" t="inlineStr">
        <is>
          <t>CUL-2650</t>
        </is>
      </c>
      <c r="B2654" s="11" t="n">
        <v>519</v>
      </c>
      <c r="C2654" s="13" t="inlineStr">
        <is>
          <t>Nº 8510</t>
        </is>
      </c>
      <c r="D2654" s="14" t="inlineStr">
        <is>
          <t>POQUER</t>
        </is>
      </c>
      <c r="E2654" s="13" t="inlineStr">
        <is>
          <t>Pulverização Agrícola Conforme Bula</t>
        </is>
      </c>
      <c r="F2654" s="13" t="inlineStr">
        <is>
          <t>Batata</t>
        </is>
      </c>
      <c r="G2654" s="13" t="inlineStr">
        <is>
          <t>Cultura Autorizada na Bula</t>
        </is>
      </c>
      <c r="H2654" s="13" t="inlineStr">
        <is>
          <t>100 a 300 L/ha</t>
        </is>
      </c>
      <c r="I2654" s="13" t="inlineStr">
        <is>
          <t>20 a 40 L/ha</t>
        </is>
      </c>
      <c r="J2654" s="13" t="inlineStr">
        <is>
          <t>20 dias</t>
        </is>
      </c>
    </row>
    <row r="2655" ht="22" customHeight="1">
      <c r="A2655" s="6" t="inlineStr">
        <is>
          <t>CUL-2651</t>
        </is>
      </c>
      <c r="B2655" s="5" t="n">
        <v>519</v>
      </c>
      <c r="C2655" s="7" t="inlineStr">
        <is>
          <t>Nº 8510</t>
        </is>
      </c>
      <c r="D2655" s="8" t="inlineStr">
        <is>
          <t>POQUER</t>
        </is>
      </c>
      <c r="E2655" s="7" t="inlineStr">
        <is>
          <t>Pulverização Agrícola Conforme Bula</t>
        </is>
      </c>
      <c r="F2655" s="7" t="inlineStr">
        <is>
          <t>Mandioca</t>
        </is>
      </c>
      <c r="G2655" s="7" t="inlineStr">
        <is>
          <t>Cultura Autorizada na Bula</t>
        </is>
      </c>
      <c r="H2655" s="7" t="inlineStr">
        <is>
          <t>100 a 300 L/ha</t>
        </is>
      </c>
      <c r="I2655" s="7" t="inlineStr">
        <is>
          <t>20 a 40 L/ha</t>
        </is>
      </c>
      <c r="J2655" s="7" t="inlineStr">
        <is>
          <t>90 dias</t>
        </is>
      </c>
    </row>
    <row r="2656" ht="22" customHeight="1">
      <c r="A2656" s="12" t="inlineStr">
        <is>
          <t>CUL-2652</t>
        </is>
      </c>
      <c r="B2656" s="11" t="n">
        <v>519</v>
      </c>
      <c r="C2656" s="13" t="inlineStr">
        <is>
          <t>Nº 8510</t>
        </is>
      </c>
      <c r="D2656" s="14" t="inlineStr">
        <is>
          <t>POQUER</t>
        </is>
      </c>
      <c r="E2656" s="13" t="inlineStr">
        <is>
          <t>Pulverização Agrícola Conforme Bula</t>
        </is>
      </c>
      <c r="F2656" s="13" t="inlineStr">
        <is>
          <t>Tomate</t>
        </is>
      </c>
      <c r="G2656" s="13" t="inlineStr">
        <is>
          <t>Cultura Autorizada na Bula</t>
        </is>
      </c>
      <c r="H2656" s="13" t="inlineStr">
        <is>
          <t>100 a 300 L/ha</t>
        </is>
      </c>
      <c r="I2656" s="13" t="inlineStr">
        <is>
          <t>20 a 40 L/ha</t>
        </is>
      </c>
      <c r="J2656" s="13" t="inlineStr">
        <is>
          <t>20 dias</t>
        </is>
      </c>
    </row>
    <row r="2657" ht="22" customHeight="1">
      <c r="A2657" s="6" t="inlineStr">
        <is>
          <t>CUL-2653</t>
        </is>
      </c>
      <c r="B2657" s="5" t="n">
        <v>520</v>
      </c>
      <c r="C2657" s="7" t="inlineStr">
        <is>
          <t>Nº 23522</t>
        </is>
      </c>
      <c r="D2657" s="8" t="inlineStr">
        <is>
          <t>VALLEX</t>
        </is>
      </c>
      <c r="E2657" s="7" t="inlineStr">
        <is>
          <t>Pulverização Agrícola Conforme Bula</t>
        </is>
      </c>
      <c r="F2657" s="7" t="inlineStr">
        <is>
          <t>Soja</t>
        </is>
      </c>
      <c r="G2657" s="7" t="inlineStr">
        <is>
          <t>Cultura Autorizada na Bula</t>
        </is>
      </c>
      <c r="H2657" s="7" t="inlineStr">
        <is>
          <t>100 a 300 L/ha</t>
        </is>
      </c>
      <c r="I2657" s="7" t="inlineStr">
        <is>
          <t>20 a 40 L/ha</t>
        </is>
      </c>
      <c r="J2657" s="7" t="inlineStr">
        <is>
          <t>30 dias</t>
        </is>
      </c>
    </row>
    <row r="2658" ht="22" customHeight="1">
      <c r="A2658" s="12" t="inlineStr">
        <is>
          <t>CUL-2654</t>
        </is>
      </c>
      <c r="B2658" s="11" t="n">
        <v>520</v>
      </c>
      <c r="C2658" s="13" t="inlineStr">
        <is>
          <t>Nº 23522</t>
        </is>
      </c>
      <c r="D2658" s="14" t="inlineStr">
        <is>
          <t>VALLEX</t>
        </is>
      </c>
      <c r="E2658" s="13" t="inlineStr">
        <is>
          <t>Pulverização Agrícola Conforme Bula</t>
        </is>
      </c>
      <c r="F2658" s="13" t="inlineStr">
        <is>
          <t>Algodão</t>
        </is>
      </c>
      <c r="G2658" s="13" t="inlineStr">
        <is>
          <t>Cultura Autorizada na Bula</t>
        </is>
      </c>
      <c r="H2658" s="13" t="inlineStr">
        <is>
          <t>100 a 300 L/ha</t>
        </is>
      </c>
      <c r="I2658" s="13" t="inlineStr">
        <is>
          <t>20 a 40 L/ha</t>
        </is>
      </c>
      <c r="J2658" s="13" t="inlineStr">
        <is>
          <t>14 dias</t>
        </is>
      </c>
    </row>
    <row r="2659" ht="22" customHeight="1">
      <c r="A2659" s="6" t="inlineStr">
        <is>
          <t>CUL-2655</t>
        </is>
      </c>
      <c r="B2659" s="5" t="n">
        <v>520</v>
      </c>
      <c r="C2659" s="7" t="inlineStr">
        <is>
          <t>Nº 23522</t>
        </is>
      </c>
      <c r="D2659" s="8" t="inlineStr">
        <is>
          <t>VALLEX</t>
        </is>
      </c>
      <c r="E2659" s="7" t="inlineStr">
        <is>
          <t>Pulverização Agrícola Conforme Bula</t>
        </is>
      </c>
      <c r="F2659" s="7" t="inlineStr">
        <is>
          <t>Feijão</t>
        </is>
      </c>
      <c r="G2659" s="7" t="inlineStr">
        <is>
          <t>Cultura Autorizada na Bula</t>
        </is>
      </c>
      <c r="H2659" s="7" t="inlineStr">
        <is>
          <t>100 a 300 L/ha</t>
        </is>
      </c>
      <c r="I2659" s="7" t="inlineStr">
        <is>
          <t>20 a 40 L/ha</t>
        </is>
      </c>
      <c r="J2659" s="7" t="inlineStr">
        <is>
          <t>14 dias</t>
        </is>
      </c>
    </row>
    <row r="2660" ht="22" customHeight="1">
      <c r="A2660" s="12" t="inlineStr">
        <is>
          <t>CUL-2656</t>
        </is>
      </c>
      <c r="B2660" s="11" t="n">
        <v>520</v>
      </c>
      <c r="C2660" s="13" t="inlineStr">
        <is>
          <t>Nº 23522</t>
        </is>
      </c>
      <c r="D2660" s="14" t="inlineStr">
        <is>
          <t>VALLEX</t>
        </is>
      </c>
      <c r="E2660" s="13" t="inlineStr">
        <is>
          <t>Pulverização Agrícola Conforme Bula</t>
        </is>
      </c>
      <c r="F2660" s="13" t="inlineStr">
        <is>
          <t>Citros</t>
        </is>
      </c>
      <c r="G2660" s="13" t="inlineStr">
        <is>
          <t>Cultura Autorizada na Bula</t>
        </is>
      </c>
      <c r="H2660" s="13" t="inlineStr">
        <is>
          <t>100 a 300 L/ha</t>
        </is>
      </c>
      <c r="I2660" s="13" t="inlineStr">
        <is>
          <t>20 a 40 L/ha</t>
        </is>
      </c>
      <c r="J2660" s="13" t="inlineStr">
        <is>
          <t>14 dias</t>
        </is>
      </c>
    </row>
    <row r="2661" ht="22" customHeight="1">
      <c r="A2661" s="6" t="inlineStr">
        <is>
          <t>CUL-2657</t>
        </is>
      </c>
      <c r="B2661" s="5" t="n">
        <v>520</v>
      </c>
      <c r="C2661" s="7" t="inlineStr">
        <is>
          <t>Nº 23522</t>
        </is>
      </c>
      <c r="D2661" s="8" t="inlineStr">
        <is>
          <t>VALLEX</t>
        </is>
      </c>
      <c r="E2661" s="7" t="inlineStr">
        <is>
          <t>Pulverização Agrícola Conforme Bula</t>
        </is>
      </c>
      <c r="F2661" s="7" t="inlineStr">
        <is>
          <t>Melão</t>
        </is>
      </c>
      <c r="G2661" s="7" t="inlineStr">
        <is>
          <t>Cultura Autorizada na Bula</t>
        </is>
      </c>
      <c r="H2661" s="7" t="inlineStr">
        <is>
          <t>100 a 300 L/ha</t>
        </is>
      </c>
      <c r="I2661" s="7" t="inlineStr">
        <is>
          <t>20 a 40 L/ha</t>
        </is>
      </c>
      <c r="J2661" s="7" t="inlineStr">
        <is>
          <t>7 dias</t>
        </is>
      </c>
    </row>
    <row r="2662" ht="22" customHeight="1">
      <c r="A2662" s="12" t="inlineStr">
        <is>
          <t>CUL-2658</t>
        </is>
      </c>
      <c r="B2662" s="11" t="n">
        <v>520</v>
      </c>
      <c r="C2662" s="13" t="inlineStr">
        <is>
          <t>Nº 23522</t>
        </is>
      </c>
      <c r="D2662" s="14" t="inlineStr">
        <is>
          <t>VALLEX</t>
        </is>
      </c>
      <c r="E2662" s="13" t="inlineStr">
        <is>
          <t>Pulverização Agrícola Conforme Bula</t>
        </is>
      </c>
      <c r="F2662" s="13" t="inlineStr">
        <is>
          <t>Tomate</t>
        </is>
      </c>
      <c r="G2662" s="13" t="inlineStr">
        <is>
          <t>Cultura Autorizada na Bula</t>
        </is>
      </c>
      <c r="H2662" s="13" t="inlineStr">
        <is>
          <t>100 a 300 L/ha</t>
        </is>
      </c>
      <c r="I2662" s="13" t="inlineStr">
        <is>
          <t>20 a 40 L/ha</t>
        </is>
      </c>
      <c r="J2662" s="13" t="inlineStr">
        <is>
          <t>7 dias</t>
        </is>
      </c>
    </row>
    <row r="2663" ht="22" customHeight="1">
      <c r="A2663" s="6" t="inlineStr">
        <is>
          <t>CUL-2659</t>
        </is>
      </c>
      <c r="B2663" s="5" t="n">
        <v>521</v>
      </c>
      <c r="C2663" s="7" t="inlineStr">
        <is>
          <t>Nº 23922</t>
        </is>
      </c>
      <c r="D2663" s="8" t="inlineStr">
        <is>
          <t>GRASIDIM FULL IMP 0,200L AMOSTRA</t>
        </is>
      </c>
      <c r="E2663" s="7" t="inlineStr">
        <is>
          <t>Pulverização Agrícola Conforme Bula</t>
        </is>
      </c>
      <c r="F2663" s="7" t="inlineStr">
        <is>
          <t>Soja</t>
        </is>
      </c>
      <c r="G2663" s="7" t="inlineStr">
        <is>
          <t>Cultura Autorizada na Bula</t>
        </is>
      </c>
      <c r="H2663" s="7" t="inlineStr">
        <is>
          <t>100 a 300 L/ha</t>
        </is>
      </c>
      <c r="I2663" s="7" t="inlineStr">
        <is>
          <t>20 a 40 L/ha</t>
        </is>
      </c>
      <c r="J2663" s="7" t="inlineStr">
        <is>
          <t>60 dias</t>
        </is>
      </c>
    </row>
    <row r="2664" ht="22" customHeight="1">
      <c r="A2664" s="12" t="inlineStr">
        <is>
          <t>CUL-2660</t>
        </is>
      </c>
      <c r="B2664" s="11" t="n">
        <v>521</v>
      </c>
      <c r="C2664" s="13" t="inlineStr">
        <is>
          <t>Nº 23922</t>
        </is>
      </c>
      <c r="D2664" s="14" t="inlineStr">
        <is>
          <t>GRASIDIM FULL IMP 0,200L AMOSTRA</t>
        </is>
      </c>
      <c r="E2664" s="13" t="inlineStr">
        <is>
          <t>Pulverização Agrícola Conforme Bula</t>
        </is>
      </c>
      <c r="F2664" s="13" t="inlineStr">
        <is>
          <t>Algodão</t>
        </is>
      </c>
      <c r="G2664" s="13" t="inlineStr">
        <is>
          <t>Cultura Autorizada na Bula</t>
        </is>
      </c>
      <c r="H2664" s="13" t="inlineStr">
        <is>
          <t>100 a 300 L/ha</t>
        </is>
      </c>
      <c r="I2664" s="13" t="inlineStr">
        <is>
          <t>20 a 40 L/ha</t>
        </is>
      </c>
      <c r="J2664" s="13" t="inlineStr">
        <is>
          <t>58 dias</t>
        </is>
      </c>
    </row>
    <row r="2665" ht="22" customHeight="1">
      <c r="A2665" s="6" t="inlineStr">
        <is>
          <t>CUL-2661</t>
        </is>
      </c>
      <c r="B2665" s="5" t="n">
        <v>521</v>
      </c>
      <c r="C2665" s="7" t="inlineStr">
        <is>
          <t>Nº 23922</t>
        </is>
      </c>
      <c r="D2665" s="8" t="inlineStr">
        <is>
          <t>GRASIDIM FULL IMP 0,200L AMOSTRA</t>
        </is>
      </c>
      <c r="E2665" s="7" t="inlineStr">
        <is>
          <t>Pulverização Agrícola Conforme Bula</t>
        </is>
      </c>
      <c r="F2665" s="7" t="inlineStr">
        <is>
          <t>Feijão</t>
        </is>
      </c>
      <c r="G2665" s="7" t="inlineStr">
        <is>
          <t>Cultura Autorizada na Bula</t>
        </is>
      </c>
      <c r="H2665" s="7" t="inlineStr">
        <is>
          <t>100 a 300 L/ha</t>
        </is>
      </c>
      <c r="I2665" s="7" t="inlineStr">
        <is>
          <t>20 a 40 L/ha</t>
        </is>
      </c>
      <c r="J2665" s="7" t="inlineStr">
        <is>
          <t>40 dias</t>
        </is>
      </c>
    </row>
    <row r="2666" ht="22" customHeight="1">
      <c r="A2666" s="12" t="inlineStr">
        <is>
          <t>CUL-2662</t>
        </is>
      </c>
      <c r="B2666" s="11" t="n">
        <v>521</v>
      </c>
      <c r="C2666" s="13" t="inlineStr">
        <is>
          <t>Nº 23922</t>
        </is>
      </c>
      <c r="D2666" s="14" t="inlineStr">
        <is>
          <t>GRASIDIM FULL IMP 0,200L AMOSTRA</t>
        </is>
      </c>
      <c r="E2666" s="13" t="inlineStr">
        <is>
          <t>Pulverização Agrícola Conforme Bula</t>
        </is>
      </c>
      <c r="F2666" s="13" t="inlineStr">
        <is>
          <t>Café</t>
        </is>
      </c>
      <c r="G2666" s="13" t="inlineStr">
        <is>
          <t>Cultura Autorizada na Bula</t>
        </is>
      </c>
      <c r="H2666" s="13" t="inlineStr">
        <is>
          <t>100 a 300 L/ha</t>
        </is>
      </c>
      <c r="I2666" s="13" t="inlineStr">
        <is>
          <t>20 a 40 L/ha</t>
        </is>
      </c>
      <c r="J2666" s="13" t="inlineStr">
        <is>
          <t>14 dias</t>
        </is>
      </c>
    </row>
    <row r="2667" ht="22" customHeight="1">
      <c r="A2667" s="6" t="inlineStr">
        <is>
          <t>CUL-2663</t>
        </is>
      </c>
      <c r="B2667" s="5" t="n">
        <v>521</v>
      </c>
      <c r="C2667" s="7" t="inlineStr">
        <is>
          <t>Nº 23922</t>
        </is>
      </c>
      <c r="D2667" s="8" t="inlineStr">
        <is>
          <t>GRASIDIM FULL IMP 0,200L AMOSTRA</t>
        </is>
      </c>
      <c r="E2667" s="7" t="inlineStr">
        <is>
          <t>Pulverização Agrícola Conforme Bula</t>
        </is>
      </c>
      <c r="F2667" s="7" t="inlineStr">
        <is>
          <t>Batata</t>
        </is>
      </c>
      <c r="G2667" s="7" t="inlineStr">
        <is>
          <t>Cultura Autorizada na Bula</t>
        </is>
      </c>
      <c r="H2667" s="7" t="inlineStr">
        <is>
          <t>100 a 300 L/ha</t>
        </is>
      </c>
      <c r="I2667" s="7" t="inlineStr">
        <is>
          <t>20 a 40 L/ha</t>
        </is>
      </c>
      <c r="J2667" s="7" t="inlineStr">
        <is>
          <t>20 dias</t>
        </is>
      </c>
    </row>
    <row r="2668" ht="22" customHeight="1">
      <c r="A2668" s="12" t="inlineStr">
        <is>
          <t>CUL-2664</t>
        </is>
      </c>
      <c r="B2668" s="11" t="n">
        <v>521</v>
      </c>
      <c r="C2668" s="13" t="inlineStr">
        <is>
          <t>Nº 23922</t>
        </is>
      </c>
      <c r="D2668" s="14" t="inlineStr">
        <is>
          <t>GRASIDIM FULL IMP 0,200L AMOSTRA</t>
        </is>
      </c>
      <c r="E2668" s="13" t="inlineStr">
        <is>
          <t>Pulverização Agrícola Conforme Bula</t>
        </is>
      </c>
      <c r="F2668" s="13" t="inlineStr">
        <is>
          <t>Mandioca</t>
        </is>
      </c>
      <c r="G2668" s="13" t="inlineStr">
        <is>
          <t>Cultura Autorizada na Bula</t>
        </is>
      </c>
      <c r="H2668" s="13" t="inlineStr">
        <is>
          <t>100 a 300 L/ha</t>
        </is>
      </c>
      <c r="I2668" s="13" t="inlineStr">
        <is>
          <t>20 a 40 L/ha</t>
        </is>
      </c>
      <c r="J2668" s="13" t="inlineStr">
        <is>
          <t>90 dias</t>
        </is>
      </c>
    </row>
    <row r="2669" ht="22" customHeight="1">
      <c r="A2669" s="6" t="inlineStr">
        <is>
          <t>CUL-2665</t>
        </is>
      </c>
      <c r="B2669" s="5" t="n">
        <v>521</v>
      </c>
      <c r="C2669" s="7" t="inlineStr">
        <is>
          <t>Nº 23922</t>
        </is>
      </c>
      <c r="D2669" s="8" t="inlineStr">
        <is>
          <t>GRASIDIM FULL IMP 0,200L AMOSTRA</t>
        </is>
      </c>
      <c r="E2669" s="7" t="inlineStr">
        <is>
          <t>Pulverização Agrícola Conforme Bula</t>
        </is>
      </c>
      <c r="F2669" s="7" t="inlineStr">
        <is>
          <t>Tomate</t>
        </is>
      </c>
      <c r="G2669" s="7" t="inlineStr">
        <is>
          <t>Cultura Autorizada na Bula</t>
        </is>
      </c>
      <c r="H2669" s="7" t="inlineStr">
        <is>
          <t>100 a 300 L/ha</t>
        </is>
      </c>
      <c r="I2669" s="7" t="inlineStr">
        <is>
          <t>20 a 40 L/ha</t>
        </is>
      </c>
      <c r="J2669" s="7" t="inlineStr">
        <is>
          <t>20 dias</t>
        </is>
      </c>
    </row>
    <row r="2670" ht="22" customHeight="1">
      <c r="A2670" s="12" t="inlineStr">
        <is>
          <t>CUL-2666</t>
        </is>
      </c>
      <c r="B2670" s="11" t="n">
        <v>522</v>
      </c>
      <c r="C2670" s="13" t="inlineStr">
        <is>
          <t>Nº 26017</t>
        </is>
      </c>
      <c r="D2670" s="14" t="inlineStr">
        <is>
          <t>MESOTRIONE</t>
        </is>
      </c>
      <c r="E2670" s="13" t="inlineStr">
        <is>
          <t>Pulverização Agrícola Conforme Bula</t>
        </is>
      </c>
      <c r="F2670" s="13" t="inlineStr">
        <is>
          <t>Milho</t>
        </is>
      </c>
      <c r="G2670" s="13" t="inlineStr">
        <is>
          <t>Cultura Autorizada na Bula</t>
        </is>
      </c>
      <c r="H2670" s="13" t="inlineStr">
        <is>
          <t>100 a 300 L/ha</t>
        </is>
      </c>
      <c r="I2670" s="13" t="inlineStr">
        <is>
          <t>20 a 40 L/ha</t>
        </is>
      </c>
      <c r="J2670" s="13" t="inlineStr">
        <is>
          <t>63 dias</t>
        </is>
      </c>
    </row>
    <row r="2671" ht="22" customHeight="1">
      <c r="A2671" s="6" t="inlineStr">
        <is>
          <t>CUL-2667</t>
        </is>
      </c>
      <c r="B2671" s="5" t="n">
        <v>522</v>
      </c>
      <c r="C2671" s="7" t="inlineStr">
        <is>
          <t>Nº 26017</t>
        </is>
      </c>
      <c r="D2671" s="8" t="inlineStr">
        <is>
          <t>MESOTRIONE</t>
        </is>
      </c>
      <c r="E2671" s="7" t="inlineStr">
        <is>
          <t>Pulverização Agrícola Conforme Bula</t>
        </is>
      </c>
      <c r="F2671" s="7" t="inlineStr">
        <is>
          <t>Cana-de-açúcar</t>
        </is>
      </c>
      <c r="G2671" s="7" t="inlineStr">
        <is>
          <t>Cultura Autorizada na Bula</t>
        </is>
      </c>
      <c r="H2671" s="7" t="inlineStr">
        <is>
          <t>100 a 300 L/ha</t>
        </is>
      </c>
      <c r="I2671" s="7" t="inlineStr">
        <is>
          <t>20 a 40 L/ha</t>
        </is>
      </c>
      <c r="J2671" s="7" t="inlineStr">
        <is>
          <t>150 dias</t>
        </is>
      </c>
    </row>
    <row r="2672" ht="22" customHeight="1">
      <c r="A2672" s="12" t="inlineStr">
        <is>
          <t>CUL-2668</t>
        </is>
      </c>
      <c r="B2672" s="11" t="n">
        <v>522</v>
      </c>
      <c r="C2672" s="13" t="inlineStr">
        <is>
          <t>Nº 26017</t>
        </is>
      </c>
      <c r="D2672" s="14" t="inlineStr">
        <is>
          <t>MESOTRIONE</t>
        </is>
      </c>
      <c r="E2672" s="13" t="inlineStr">
        <is>
          <t>Pulverização Agrícola Conforme Bula</t>
        </is>
      </c>
      <c r="F2672" s="13" t="inlineStr">
        <is>
          <t>Milheto</t>
        </is>
      </c>
      <c r="G2672" s="13" t="inlineStr">
        <is>
          <t>Cultura Autorizada na Bula</t>
        </is>
      </c>
      <c r="H2672" s="13" t="inlineStr">
        <is>
          <t>100 a 300 L/ha</t>
        </is>
      </c>
      <c r="I2672" s="13" t="inlineStr">
        <is>
          <t>20 a 40 L/ha</t>
        </is>
      </c>
      <c r="J2672" s="13" t="inlineStr">
        <is>
          <t>60 dias</t>
        </is>
      </c>
    </row>
    <row r="2673" ht="22" customHeight="1">
      <c r="A2673" s="6" t="inlineStr">
        <is>
          <t>CUL-2669</t>
        </is>
      </c>
      <c r="B2673" s="5" t="n">
        <v>522</v>
      </c>
      <c r="C2673" s="7" t="inlineStr">
        <is>
          <t>Nº 26017</t>
        </is>
      </c>
      <c r="D2673" s="8" t="inlineStr">
        <is>
          <t>MESOTRIONE</t>
        </is>
      </c>
      <c r="E2673" s="7" t="inlineStr">
        <is>
          <t>Pulverização Agrícola Conforme Bula</t>
        </is>
      </c>
      <c r="F2673" s="7" t="inlineStr">
        <is>
          <t>Sorgo</t>
        </is>
      </c>
      <c r="G2673" s="7" t="inlineStr">
        <is>
          <t>Cultura Autorizada na Bula</t>
        </is>
      </c>
      <c r="H2673" s="7" t="inlineStr">
        <is>
          <t>100 a 300 L/ha</t>
        </is>
      </c>
      <c r="I2673" s="7" t="inlineStr">
        <is>
          <t>20 a 40 L/ha</t>
        </is>
      </c>
      <c r="J2673" s="7" t="inlineStr">
        <is>
          <t>60 dias</t>
        </is>
      </c>
    </row>
    <row r="2674" ht="22" customHeight="1">
      <c r="A2674" s="12" t="inlineStr">
        <is>
          <t>CUL-2670</t>
        </is>
      </c>
      <c r="B2674" s="11" t="n">
        <v>523</v>
      </c>
      <c r="C2674" s="13" t="inlineStr">
        <is>
          <t>Nº 8813</t>
        </is>
      </c>
      <c r="D2674" s="14" t="inlineStr">
        <is>
          <t>ORKESTRA SC</t>
        </is>
      </c>
      <c r="E2674" s="13" t="inlineStr">
        <is>
          <t>Pulverização Agrícola Conforme Bula</t>
        </is>
      </c>
      <c r="F2674" s="13" t="inlineStr">
        <is>
          <t>Soja</t>
        </is>
      </c>
      <c r="G2674" s="13" t="inlineStr">
        <is>
          <t>Cultura Autorizada na Bula</t>
        </is>
      </c>
      <c r="H2674" s="13" t="inlineStr">
        <is>
          <t>100 a 300 L/ha</t>
        </is>
      </c>
      <c r="I2674" s="13" t="inlineStr">
        <is>
          <t>20 a 40 L/ha</t>
        </is>
      </c>
      <c r="J2674" s="13" t="inlineStr">
        <is>
          <t>30 dias</t>
        </is>
      </c>
    </row>
    <row r="2675" ht="22" customHeight="1">
      <c r="A2675" s="6" t="inlineStr">
        <is>
          <t>CUL-2671</t>
        </is>
      </c>
      <c r="B2675" s="5" t="n">
        <v>523</v>
      </c>
      <c r="C2675" s="7" t="inlineStr">
        <is>
          <t>Nº 8813</t>
        </is>
      </c>
      <c r="D2675" s="8" t="inlineStr">
        <is>
          <t>ORKESTRA SC</t>
        </is>
      </c>
      <c r="E2675" s="7" t="inlineStr">
        <is>
          <t>Pulverização Agrícola Conforme Bula</t>
        </is>
      </c>
      <c r="F2675" s="7" t="inlineStr">
        <is>
          <t>Milho</t>
        </is>
      </c>
      <c r="G2675" s="7" t="inlineStr">
        <is>
          <t>Cultura Autorizada na Bula</t>
        </is>
      </c>
      <c r="H2675" s="7" t="inlineStr">
        <is>
          <t>100 a 300 L/ha</t>
        </is>
      </c>
      <c r="I2675" s="7" t="inlineStr">
        <is>
          <t>20 a 40 L/ha</t>
        </is>
      </c>
      <c r="J2675" s="7" t="inlineStr">
        <is>
          <t>30 dias</t>
        </is>
      </c>
    </row>
    <row r="2676" ht="22" customHeight="1">
      <c r="A2676" s="12" t="inlineStr">
        <is>
          <t>CUL-2672</t>
        </is>
      </c>
      <c r="B2676" s="11" t="n">
        <v>523</v>
      </c>
      <c r="C2676" s="13" t="inlineStr">
        <is>
          <t>Nº 8813</t>
        </is>
      </c>
      <c r="D2676" s="14" t="inlineStr">
        <is>
          <t>ORKESTRA SC</t>
        </is>
      </c>
      <c r="E2676" s="13" t="inlineStr">
        <is>
          <t>Pulverização Agrícola Conforme Bula</t>
        </is>
      </c>
      <c r="F2676" s="13" t="inlineStr">
        <is>
          <t>Algodão</t>
        </is>
      </c>
      <c r="G2676" s="13" t="inlineStr">
        <is>
          <t>Cultura Autorizada na Bula</t>
        </is>
      </c>
      <c r="H2676" s="13" t="inlineStr">
        <is>
          <t>100 a 300 L/ha</t>
        </is>
      </c>
      <c r="I2676" s="13" t="inlineStr">
        <is>
          <t>20 a 40 L/ha</t>
        </is>
      </c>
      <c r="J2676" s="13" t="inlineStr">
        <is>
          <t>30 dias</t>
        </is>
      </c>
    </row>
    <row r="2677" ht="22" customHeight="1">
      <c r="A2677" s="6" t="inlineStr">
        <is>
          <t>CUL-2673</t>
        </is>
      </c>
      <c r="B2677" s="5" t="n">
        <v>523</v>
      </c>
      <c r="C2677" s="7" t="inlineStr">
        <is>
          <t>Nº 8813</t>
        </is>
      </c>
      <c r="D2677" s="8" t="inlineStr">
        <is>
          <t>ORKESTRA SC</t>
        </is>
      </c>
      <c r="E2677" s="7" t="inlineStr">
        <is>
          <t>Pulverização Agrícola Conforme Bula</t>
        </is>
      </c>
      <c r="F2677" s="7" t="inlineStr">
        <is>
          <t>Trigo</t>
        </is>
      </c>
      <c r="G2677" s="7" t="inlineStr">
        <is>
          <t>Cultura Autorizada na Bula</t>
        </is>
      </c>
      <c r="H2677" s="7" t="inlineStr">
        <is>
          <t>100 a 300 L/ha</t>
        </is>
      </c>
      <c r="I2677" s="7" t="inlineStr">
        <is>
          <t>20 a 40 L/ha</t>
        </is>
      </c>
      <c r="J2677" s="7" t="inlineStr">
        <is>
          <t>30 dias</t>
        </is>
      </c>
    </row>
    <row r="2678" ht="22" customHeight="1">
      <c r="A2678" s="12" t="inlineStr">
        <is>
          <t>CUL-2674</t>
        </is>
      </c>
      <c r="B2678" s="11" t="n">
        <v>523</v>
      </c>
      <c r="C2678" s="13" t="inlineStr">
        <is>
          <t>Nº 8813</t>
        </is>
      </c>
      <c r="D2678" s="14" t="inlineStr">
        <is>
          <t>ORKESTRA SC</t>
        </is>
      </c>
      <c r="E2678" s="13" t="inlineStr">
        <is>
          <t>Pulverização Agrícola Conforme Bula</t>
        </is>
      </c>
      <c r="F2678" s="13" t="inlineStr">
        <is>
          <t>Feijão</t>
        </is>
      </c>
      <c r="G2678" s="13" t="inlineStr">
        <is>
          <t>Cultura Autorizada na Bula</t>
        </is>
      </c>
      <c r="H2678" s="13" t="inlineStr">
        <is>
          <t>100 a 300 L/ha</t>
        </is>
      </c>
      <c r="I2678" s="13" t="inlineStr">
        <is>
          <t>20 a 40 L/ha</t>
        </is>
      </c>
      <c r="J2678" s="13" t="inlineStr">
        <is>
          <t>14 dias</t>
        </is>
      </c>
    </row>
    <row r="2679" ht="22" customHeight="1">
      <c r="A2679" s="6" t="inlineStr">
        <is>
          <t>CUL-2675</t>
        </is>
      </c>
      <c r="B2679" s="5" t="n">
        <v>524</v>
      </c>
      <c r="C2679" s="7" t="inlineStr">
        <is>
          <t>SIPEAGRO (UF-XXXXX)</t>
        </is>
      </c>
      <c r="D2679" s="8" t="inlineStr">
        <is>
          <t>AGCN MAG ULTRA</t>
        </is>
      </c>
      <c r="E2679" s="7" t="inlineStr">
        <is>
          <t>Adubação de Solo / Foliar</t>
        </is>
      </c>
      <c r="F2679" s="7" t="inlineStr">
        <is>
          <t>Soja</t>
        </is>
      </c>
      <c r="G2679" s="7" t="inlineStr">
        <is>
          <t>Cultura Autorizada na Bula</t>
        </is>
      </c>
      <c r="H2679" s="7" t="inlineStr">
        <is>
          <t>100 a 300 L/ha</t>
        </is>
      </c>
      <c r="I2679" s="7" t="inlineStr">
        <is>
          <t>20 a 40 L/ha</t>
        </is>
      </c>
      <c r="J2679" s="7" t="inlineStr">
        <is>
          <t>Isento</t>
        </is>
      </c>
    </row>
    <row r="2680" ht="22" customHeight="1">
      <c r="A2680" s="12" t="inlineStr">
        <is>
          <t>CUL-2676</t>
        </is>
      </c>
      <c r="B2680" s="11" t="n">
        <v>524</v>
      </c>
      <c r="C2680" s="13" t="inlineStr">
        <is>
          <t>SIPEAGRO (UF-XXXXX)</t>
        </is>
      </c>
      <c r="D2680" s="14" t="inlineStr">
        <is>
          <t>AGCN MAG ULTRA</t>
        </is>
      </c>
      <c r="E2680" s="13" t="inlineStr">
        <is>
          <t>Adubação de Solo / Foliar</t>
        </is>
      </c>
      <c r="F2680" s="13" t="inlineStr">
        <is>
          <t>Milho</t>
        </is>
      </c>
      <c r="G2680" s="13" t="inlineStr">
        <is>
          <t>Cultura Autorizada na Bula</t>
        </is>
      </c>
      <c r="H2680" s="13" t="inlineStr">
        <is>
          <t>100 a 300 L/ha</t>
        </is>
      </c>
      <c r="I2680" s="13" t="inlineStr">
        <is>
          <t>20 a 40 L/ha</t>
        </is>
      </c>
      <c r="J2680" s="13" t="inlineStr">
        <is>
          <t>Isento</t>
        </is>
      </c>
    </row>
    <row r="2681" ht="22" customHeight="1">
      <c r="A2681" s="6" t="inlineStr">
        <is>
          <t>CUL-2677</t>
        </is>
      </c>
      <c r="B2681" s="5" t="n">
        <v>524</v>
      </c>
      <c r="C2681" s="7" t="inlineStr">
        <is>
          <t>SIPEAGRO (UF-XXXXX)</t>
        </is>
      </c>
      <c r="D2681" s="8" t="inlineStr">
        <is>
          <t>AGCN MAG ULTRA</t>
        </is>
      </c>
      <c r="E2681" s="7" t="inlineStr">
        <is>
          <t>Adubação de Solo / Foliar</t>
        </is>
      </c>
      <c r="F2681" s="7" t="inlineStr">
        <is>
          <t>Algodão</t>
        </is>
      </c>
      <c r="G2681" s="7" t="inlineStr">
        <is>
          <t>Cultura Autorizada na Bula</t>
        </is>
      </c>
      <c r="H2681" s="7" t="inlineStr">
        <is>
          <t>100 a 300 L/ha</t>
        </is>
      </c>
      <c r="I2681" s="7" t="inlineStr">
        <is>
          <t>20 a 40 L/ha</t>
        </is>
      </c>
      <c r="J2681" s="7" t="inlineStr">
        <is>
          <t>Isento</t>
        </is>
      </c>
    </row>
    <row r="2682" ht="22" customHeight="1">
      <c r="A2682" s="12" t="inlineStr">
        <is>
          <t>CUL-2678</t>
        </is>
      </c>
      <c r="B2682" s="11" t="n">
        <v>524</v>
      </c>
      <c r="C2682" s="13" t="inlineStr">
        <is>
          <t>SIPEAGRO (UF-XXXXX)</t>
        </is>
      </c>
      <c r="D2682" s="14" t="inlineStr">
        <is>
          <t>AGCN MAG ULTRA</t>
        </is>
      </c>
      <c r="E2682" s="13" t="inlineStr">
        <is>
          <t>Adubação de Solo / Foliar</t>
        </is>
      </c>
      <c r="F2682" s="13" t="inlineStr">
        <is>
          <t>Cana-de-açúcar</t>
        </is>
      </c>
      <c r="G2682" s="13" t="inlineStr">
        <is>
          <t>Cultura Autorizada na Bula</t>
        </is>
      </c>
      <c r="H2682" s="13" t="inlineStr">
        <is>
          <t>100 a 300 L/ha</t>
        </is>
      </c>
      <c r="I2682" s="13" t="inlineStr">
        <is>
          <t>20 a 40 L/ha</t>
        </is>
      </c>
      <c r="J2682" s="13" t="inlineStr">
        <is>
          <t>Isento</t>
        </is>
      </c>
    </row>
    <row r="2683" ht="22" customHeight="1">
      <c r="A2683" s="6" t="inlineStr">
        <is>
          <t>CUL-2679</t>
        </is>
      </c>
      <c r="B2683" s="5" t="n">
        <v>524</v>
      </c>
      <c r="C2683" s="7" t="inlineStr">
        <is>
          <t>SIPEAGRO (UF-XXXXX)</t>
        </is>
      </c>
      <c r="D2683" s="8" t="inlineStr">
        <is>
          <t>AGCN MAG ULTRA</t>
        </is>
      </c>
      <c r="E2683" s="7" t="inlineStr">
        <is>
          <t>Adubação de Solo / Foliar</t>
        </is>
      </c>
      <c r="F2683" s="7" t="inlineStr">
        <is>
          <t>Café</t>
        </is>
      </c>
      <c r="G2683" s="7" t="inlineStr">
        <is>
          <t>Cultura Autorizada na Bula</t>
        </is>
      </c>
      <c r="H2683" s="7" t="inlineStr">
        <is>
          <t>100 a 300 L/ha</t>
        </is>
      </c>
      <c r="I2683" s="7" t="inlineStr">
        <is>
          <t>20 a 40 L/ha</t>
        </is>
      </c>
      <c r="J2683" s="7" t="inlineStr">
        <is>
          <t>Isento</t>
        </is>
      </c>
    </row>
    <row r="2684" ht="22" customHeight="1">
      <c r="A2684" s="12" t="inlineStr">
        <is>
          <t>CUL-2680</t>
        </is>
      </c>
      <c r="B2684" s="11" t="n">
        <v>525</v>
      </c>
      <c r="C2684" s="13" t="inlineStr">
        <is>
          <t>Nº 45419</t>
        </is>
      </c>
      <c r="D2684" s="14" t="inlineStr">
        <is>
          <t>CLORPIRI 480 EC 0,200L (IMP) AMOSTRA</t>
        </is>
      </c>
      <c r="E2684" s="13" t="inlineStr">
        <is>
          <t>Pulverização Agrícola Conforme Bula</t>
        </is>
      </c>
      <c r="F2684" s="13" t="inlineStr">
        <is>
          <t>Soja</t>
        </is>
      </c>
      <c r="G2684" s="13" t="inlineStr">
        <is>
          <t>Cultura Autorizada na Bula</t>
        </is>
      </c>
      <c r="H2684" s="13" t="inlineStr">
        <is>
          <t>100 a 300 L/ha</t>
        </is>
      </c>
      <c r="I2684" s="13" t="inlineStr">
        <is>
          <t>20 a 40 L/ha</t>
        </is>
      </c>
      <c r="J2684" s="13" t="inlineStr">
        <is>
          <t>21 dias</t>
        </is>
      </c>
    </row>
    <row r="2685" ht="22" customHeight="1">
      <c r="A2685" s="6" t="inlineStr">
        <is>
          <t>CUL-2681</t>
        </is>
      </c>
      <c r="B2685" s="5" t="n">
        <v>525</v>
      </c>
      <c r="C2685" s="7" t="inlineStr">
        <is>
          <t>Nº 45419</t>
        </is>
      </c>
      <c r="D2685" s="8" t="inlineStr">
        <is>
          <t>CLORPIRI 480 EC 0,200L (IMP) AMOSTRA</t>
        </is>
      </c>
      <c r="E2685" s="7" t="inlineStr">
        <is>
          <t>Pulverização Agrícola Conforme Bula</t>
        </is>
      </c>
      <c r="F2685" s="7" t="inlineStr">
        <is>
          <t>Milho</t>
        </is>
      </c>
      <c r="G2685" s="7" t="inlineStr">
        <is>
          <t>Cultura Autorizada na Bula</t>
        </is>
      </c>
      <c r="H2685" s="7" t="inlineStr">
        <is>
          <t>100 a 300 L/ha</t>
        </is>
      </c>
      <c r="I2685" s="7" t="inlineStr">
        <is>
          <t>20 a 40 L/ha</t>
        </is>
      </c>
      <c r="J2685" s="7" t="inlineStr">
        <is>
          <t>21 dias</t>
        </is>
      </c>
    </row>
    <row r="2686" ht="22" customHeight="1">
      <c r="A2686" s="12" t="inlineStr">
        <is>
          <t>CUL-2682</t>
        </is>
      </c>
      <c r="B2686" s="11" t="n">
        <v>525</v>
      </c>
      <c r="C2686" s="13" t="inlineStr">
        <is>
          <t>Nº 45419</t>
        </is>
      </c>
      <c r="D2686" s="14" t="inlineStr">
        <is>
          <t>CLORPIRI 480 EC 0,200L (IMP) AMOSTRA</t>
        </is>
      </c>
      <c r="E2686" s="13" t="inlineStr">
        <is>
          <t>Pulverização Agrícola Conforme Bula</t>
        </is>
      </c>
      <c r="F2686" s="13" t="inlineStr">
        <is>
          <t>Algodão</t>
        </is>
      </c>
      <c r="G2686" s="13" t="inlineStr">
        <is>
          <t>Cultura Autorizada na Bula</t>
        </is>
      </c>
      <c r="H2686" s="13" t="inlineStr">
        <is>
          <t>100 a 300 L/ha</t>
        </is>
      </c>
      <c r="I2686" s="13" t="inlineStr">
        <is>
          <t>20 a 40 L/ha</t>
        </is>
      </c>
      <c r="J2686" s="13" t="inlineStr">
        <is>
          <t>21 dias</t>
        </is>
      </c>
    </row>
    <row r="2687" ht="22" customHeight="1">
      <c r="A2687" s="6" t="inlineStr">
        <is>
          <t>CUL-2683</t>
        </is>
      </c>
      <c r="B2687" s="5" t="n">
        <v>525</v>
      </c>
      <c r="C2687" s="7" t="inlineStr">
        <is>
          <t>Nº 45419</t>
        </is>
      </c>
      <c r="D2687" s="8" t="inlineStr">
        <is>
          <t>CLORPIRI 480 EC 0,200L (IMP) AMOSTRA</t>
        </is>
      </c>
      <c r="E2687" s="7" t="inlineStr">
        <is>
          <t>Pulverização Agrícola Conforme Bula</t>
        </is>
      </c>
      <c r="F2687" s="7" t="inlineStr">
        <is>
          <t>Café</t>
        </is>
      </c>
      <c r="G2687" s="7" t="inlineStr">
        <is>
          <t>Cultura Autorizada na Bula</t>
        </is>
      </c>
      <c r="H2687" s="7" t="inlineStr">
        <is>
          <t>100 a 300 L/ha</t>
        </is>
      </c>
      <c r="I2687" s="7" t="inlineStr">
        <is>
          <t>20 a 40 L/ha</t>
        </is>
      </c>
      <c r="J2687" s="7" t="inlineStr">
        <is>
          <t>21 dias</t>
        </is>
      </c>
    </row>
    <row r="2688" ht="22" customHeight="1">
      <c r="A2688" s="12" t="inlineStr">
        <is>
          <t>CUL-2684</t>
        </is>
      </c>
      <c r="B2688" s="11" t="n">
        <v>525</v>
      </c>
      <c r="C2688" s="13" t="inlineStr">
        <is>
          <t>Nº 45419</t>
        </is>
      </c>
      <c r="D2688" s="14" t="inlineStr">
        <is>
          <t>CLORPIRI 480 EC 0,200L (IMP) AMOSTRA</t>
        </is>
      </c>
      <c r="E2688" s="13" t="inlineStr">
        <is>
          <t>Pulverização Agrícola Conforme Bula</t>
        </is>
      </c>
      <c r="F2688" s="13" t="inlineStr">
        <is>
          <t>Citros</t>
        </is>
      </c>
      <c r="G2688" s="13" t="inlineStr">
        <is>
          <t>Cultura Autorizada na Bula</t>
        </is>
      </c>
      <c r="H2688" s="13" t="inlineStr">
        <is>
          <t>100 a 300 L/ha</t>
        </is>
      </c>
      <c r="I2688" s="13" t="inlineStr">
        <is>
          <t>20 a 40 L/ha</t>
        </is>
      </c>
      <c r="J2688" s="13" t="inlineStr">
        <is>
          <t>21 dias</t>
        </is>
      </c>
    </row>
    <row r="2689" ht="22" customHeight="1">
      <c r="A2689" s="6" t="inlineStr">
        <is>
          <t>CUL-2685</t>
        </is>
      </c>
      <c r="B2689" s="5" t="n">
        <v>525</v>
      </c>
      <c r="C2689" s="7" t="inlineStr">
        <is>
          <t>Nº 45419</t>
        </is>
      </c>
      <c r="D2689" s="8" t="inlineStr">
        <is>
          <t>CLORPIRI 480 EC 0,200L (IMP) AMOSTRA</t>
        </is>
      </c>
      <c r="E2689" s="7" t="inlineStr">
        <is>
          <t>Pulverização Agrícola Conforme Bula</t>
        </is>
      </c>
      <c r="F2689" s="7" t="inlineStr">
        <is>
          <t>Feijão</t>
        </is>
      </c>
      <c r="G2689" s="7" t="inlineStr">
        <is>
          <t>Cultura Autorizada na Bula</t>
        </is>
      </c>
      <c r="H2689" s="7" t="inlineStr">
        <is>
          <t>100 a 300 L/ha</t>
        </is>
      </c>
      <c r="I2689" s="7" t="inlineStr">
        <is>
          <t>20 a 40 L/ha</t>
        </is>
      </c>
      <c r="J2689" s="7" t="inlineStr">
        <is>
          <t>25 dias</t>
        </is>
      </c>
    </row>
    <row r="2690" ht="22" customHeight="1">
      <c r="A2690" s="12" t="inlineStr">
        <is>
          <t>CUL-2686</t>
        </is>
      </c>
      <c r="B2690" s="11" t="n">
        <v>525</v>
      </c>
      <c r="C2690" s="13" t="inlineStr">
        <is>
          <t>Nº 45419</t>
        </is>
      </c>
      <c r="D2690" s="14" t="inlineStr">
        <is>
          <t>CLORPIRI 480 EC 0,200L (IMP) AMOSTRA</t>
        </is>
      </c>
      <c r="E2690" s="13" t="inlineStr">
        <is>
          <t>Pulverização Agrícola Conforme Bula</t>
        </is>
      </c>
      <c r="F2690" s="13" t="inlineStr">
        <is>
          <t>Batata</t>
        </is>
      </c>
      <c r="G2690" s="13" t="inlineStr">
        <is>
          <t>Cultura Autorizada na Bula</t>
        </is>
      </c>
      <c r="H2690" s="13" t="inlineStr">
        <is>
          <t>100 a 300 L/ha</t>
        </is>
      </c>
      <c r="I2690" s="13" t="inlineStr">
        <is>
          <t>20 a 40 L/ha</t>
        </is>
      </c>
      <c r="J2690" s="13" t="inlineStr">
        <is>
          <t>21 dias</t>
        </is>
      </c>
    </row>
    <row r="2691" ht="22" customHeight="1">
      <c r="A2691" s="6" t="inlineStr">
        <is>
          <t>CUL-2687</t>
        </is>
      </c>
      <c r="B2691" s="5" t="n">
        <v>525</v>
      </c>
      <c r="C2691" s="7" t="inlineStr">
        <is>
          <t>Nº 45419</t>
        </is>
      </c>
      <c r="D2691" s="8" t="inlineStr">
        <is>
          <t>CLORPIRI 480 EC 0,200L (IMP) AMOSTRA</t>
        </is>
      </c>
      <c r="E2691" s="7" t="inlineStr">
        <is>
          <t>Pulverização Agrícola Conforme Bula</t>
        </is>
      </c>
      <c r="F2691" s="7" t="inlineStr">
        <is>
          <t>Tomate</t>
        </is>
      </c>
      <c r="G2691" s="7" t="inlineStr">
        <is>
          <t>Cultura Autorizada na Bula</t>
        </is>
      </c>
      <c r="H2691" s="7" t="inlineStr">
        <is>
          <t>100 a 300 L/ha</t>
        </is>
      </c>
      <c r="I2691" s="7" t="inlineStr">
        <is>
          <t>20 a 40 L/ha</t>
        </is>
      </c>
      <c r="J2691" s="7" t="inlineStr">
        <is>
          <t>21 dias</t>
        </is>
      </c>
    </row>
    <row r="2692" ht="22" customHeight="1">
      <c r="A2692" s="12" t="inlineStr">
        <is>
          <t>CUL-2688</t>
        </is>
      </c>
      <c r="B2692" s="11" t="n">
        <v>525</v>
      </c>
      <c r="C2692" s="13" t="inlineStr">
        <is>
          <t>Nº 45419</t>
        </is>
      </c>
      <c r="D2692" s="14" t="inlineStr">
        <is>
          <t>CLORPIRI 480 EC 0,200L (IMP) AMOSTRA</t>
        </is>
      </c>
      <c r="E2692" s="13" t="inlineStr">
        <is>
          <t>Pulverização Agrícola Conforme Bula</t>
        </is>
      </c>
      <c r="F2692" s="13" t="inlineStr">
        <is>
          <t>Trigo</t>
        </is>
      </c>
      <c r="G2692" s="13" t="inlineStr">
        <is>
          <t>Cultura Autorizada na Bula</t>
        </is>
      </c>
      <c r="H2692" s="13" t="inlineStr">
        <is>
          <t>100 a 300 L/ha</t>
        </is>
      </c>
      <c r="I2692" s="13" t="inlineStr">
        <is>
          <t>20 a 40 L/ha</t>
        </is>
      </c>
      <c r="J2692" s="13" t="inlineStr">
        <is>
          <t>21 dias</t>
        </is>
      </c>
    </row>
    <row r="2693" ht="22" customHeight="1">
      <c r="A2693" s="6" t="inlineStr">
        <is>
          <t>CUL-2689</t>
        </is>
      </c>
      <c r="B2693" s="5" t="n">
        <v>526</v>
      </c>
      <c r="C2693" s="7" t="inlineStr">
        <is>
          <t>Nº 12225</t>
        </is>
      </c>
      <c r="D2693" s="8" t="inlineStr">
        <is>
          <t>IMPACTUS CS 0,200L (IMP) AMOSTRA</t>
        </is>
      </c>
      <c r="E2693" s="7" t="inlineStr">
        <is>
          <t>Pulverização Agrícola Conforme Bula</t>
        </is>
      </c>
      <c r="F2693" s="7" t="inlineStr">
        <is>
          <t>Soja</t>
        </is>
      </c>
      <c r="G2693" s="7" t="inlineStr">
        <is>
          <t>Cultura Autorizada na Bula</t>
        </is>
      </c>
      <c r="H2693" s="7" t="inlineStr">
        <is>
          <t>100 a 300 L/ha</t>
        </is>
      </c>
      <c r="I2693" s="7" t="inlineStr">
        <is>
          <t>20 a 40 L/ha</t>
        </is>
      </c>
      <c r="J2693" s="7" t="inlineStr">
        <is>
          <t>14 dias</t>
        </is>
      </c>
    </row>
    <row r="2694" ht="22" customHeight="1">
      <c r="A2694" s="12" t="inlineStr">
        <is>
          <t>CUL-2690</t>
        </is>
      </c>
      <c r="B2694" s="11" t="n">
        <v>526</v>
      </c>
      <c r="C2694" s="13" t="inlineStr">
        <is>
          <t>Nº 12225</t>
        </is>
      </c>
      <c r="D2694" s="14" t="inlineStr">
        <is>
          <t>IMPACTUS CS 0,200L (IMP) AMOSTRA</t>
        </is>
      </c>
      <c r="E2694" s="13" t="inlineStr">
        <is>
          <t>Pulverização Agrícola Conforme Bula</t>
        </is>
      </c>
      <c r="F2694" s="13" t="inlineStr">
        <is>
          <t>Milho</t>
        </is>
      </c>
      <c r="G2694" s="13" t="inlineStr">
        <is>
          <t>Cultura Autorizada na Bula</t>
        </is>
      </c>
      <c r="H2694" s="13" t="inlineStr">
        <is>
          <t>100 a 300 L/ha</t>
        </is>
      </c>
      <c r="I2694" s="13" t="inlineStr">
        <is>
          <t>20 a 40 L/ha</t>
        </is>
      </c>
      <c r="J2694" s="13" t="inlineStr">
        <is>
          <t>15 dias</t>
        </is>
      </c>
    </row>
    <row r="2695" ht="22" customHeight="1">
      <c r="A2695" s="6" t="inlineStr">
        <is>
          <t>CUL-2691</t>
        </is>
      </c>
      <c r="B2695" s="5" t="n">
        <v>526</v>
      </c>
      <c r="C2695" s="7" t="inlineStr">
        <is>
          <t>Nº 12225</t>
        </is>
      </c>
      <c r="D2695" s="8" t="inlineStr">
        <is>
          <t>IMPACTUS CS 0,200L (IMP) AMOSTRA</t>
        </is>
      </c>
      <c r="E2695" s="7" t="inlineStr">
        <is>
          <t>Pulverização Agrícola Conforme Bula</t>
        </is>
      </c>
      <c r="F2695" s="7" t="inlineStr">
        <is>
          <t>Algodão</t>
        </is>
      </c>
      <c r="G2695" s="7" t="inlineStr">
        <is>
          <t>Cultura Autorizada na Bula</t>
        </is>
      </c>
      <c r="H2695" s="7" t="inlineStr">
        <is>
          <t>100 a 300 L/ha</t>
        </is>
      </c>
      <c r="I2695" s="7" t="inlineStr">
        <is>
          <t>20 a 40 L/ha</t>
        </is>
      </c>
      <c r="J2695" s="7" t="inlineStr">
        <is>
          <t>7 dias</t>
        </is>
      </c>
    </row>
    <row r="2696" ht="22" customHeight="1">
      <c r="A2696" s="12" t="inlineStr">
        <is>
          <t>CUL-2692</t>
        </is>
      </c>
      <c r="B2696" s="11" t="n">
        <v>526</v>
      </c>
      <c r="C2696" s="13" t="inlineStr">
        <is>
          <t>Nº 12225</t>
        </is>
      </c>
      <c r="D2696" s="14" t="inlineStr">
        <is>
          <t>IMPACTUS CS 0,200L (IMP) AMOSTRA</t>
        </is>
      </c>
      <c r="E2696" s="13" t="inlineStr">
        <is>
          <t>Pulverização Agrícola Conforme Bula</t>
        </is>
      </c>
      <c r="F2696" s="13" t="inlineStr">
        <is>
          <t>Café</t>
        </is>
      </c>
      <c r="G2696" s="13" t="inlineStr">
        <is>
          <t>Cultura Autorizada na Bula</t>
        </is>
      </c>
      <c r="H2696" s="13" t="inlineStr">
        <is>
          <t>100 a 300 L/ha</t>
        </is>
      </c>
      <c r="I2696" s="13" t="inlineStr">
        <is>
          <t>20 a 40 L/ha</t>
        </is>
      </c>
      <c r="J2696" s="13" t="inlineStr">
        <is>
          <t>1 dias</t>
        </is>
      </c>
    </row>
    <row r="2697" ht="22" customHeight="1">
      <c r="A2697" s="6" t="inlineStr">
        <is>
          <t>CUL-2693</t>
        </is>
      </c>
      <c r="B2697" s="5" t="n">
        <v>526</v>
      </c>
      <c r="C2697" s="7" t="inlineStr">
        <is>
          <t>Nº 12225</t>
        </is>
      </c>
      <c r="D2697" s="8" t="inlineStr">
        <is>
          <t>IMPACTUS CS 0,200L (IMP) AMOSTRA</t>
        </is>
      </c>
      <c r="E2697" s="7" t="inlineStr">
        <is>
          <t>Pulverização Agrícola Conforme Bula</t>
        </is>
      </c>
      <c r="F2697" s="7" t="inlineStr">
        <is>
          <t>Feijão</t>
        </is>
      </c>
      <c r="G2697" s="7" t="inlineStr">
        <is>
          <t>Cultura Autorizada na Bula</t>
        </is>
      </c>
      <c r="H2697" s="7" t="inlineStr">
        <is>
          <t>100 a 300 L/ha</t>
        </is>
      </c>
      <c r="I2697" s="7" t="inlineStr">
        <is>
          <t>20 a 40 L/ha</t>
        </is>
      </c>
      <c r="J2697" s="7" t="inlineStr">
        <is>
          <t>15 dias</t>
        </is>
      </c>
    </row>
    <row r="2698" ht="22" customHeight="1">
      <c r="A2698" s="12" t="inlineStr">
        <is>
          <t>CUL-2694</t>
        </is>
      </c>
      <c r="B2698" s="11" t="n">
        <v>526</v>
      </c>
      <c r="C2698" s="13" t="inlineStr">
        <is>
          <t>Nº 12225</t>
        </is>
      </c>
      <c r="D2698" s="14" t="inlineStr">
        <is>
          <t>IMPACTUS CS 0,200L (IMP) AMOSTRA</t>
        </is>
      </c>
      <c r="E2698" s="13" t="inlineStr">
        <is>
          <t>Pulverização Agrícola Conforme Bula</t>
        </is>
      </c>
      <c r="F2698" s="13" t="inlineStr">
        <is>
          <t>Trigo</t>
        </is>
      </c>
      <c r="G2698" s="13" t="inlineStr">
        <is>
          <t>Cultura Autorizada na Bula</t>
        </is>
      </c>
      <c r="H2698" s="13" t="inlineStr">
        <is>
          <t>100 a 300 L/ha</t>
        </is>
      </c>
      <c r="I2698" s="13" t="inlineStr">
        <is>
          <t>20 a 40 L/ha</t>
        </is>
      </c>
      <c r="J2698" s="13" t="inlineStr">
        <is>
          <t>21 dias</t>
        </is>
      </c>
    </row>
    <row r="2699" ht="22" customHeight="1">
      <c r="A2699" s="6" t="inlineStr">
        <is>
          <t>CUL-2695</t>
        </is>
      </c>
      <c r="B2699" s="5" t="n">
        <v>526</v>
      </c>
      <c r="C2699" s="7" t="inlineStr">
        <is>
          <t>Nº 12225</t>
        </is>
      </c>
      <c r="D2699" s="8" t="inlineStr">
        <is>
          <t>IMPACTUS CS 0,200L (IMP) AMOSTRA</t>
        </is>
      </c>
      <c r="E2699" s="7" t="inlineStr">
        <is>
          <t>Pulverização Agrícola Conforme Bula</t>
        </is>
      </c>
      <c r="F2699" s="7" t="inlineStr">
        <is>
          <t>Cana-de-açúcar</t>
        </is>
      </c>
      <c r="G2699" s="7" t="inlineStr">
        <is>
          <t>Cultura Autorizada na Bula</t>
        </is>
      </c>
      <c r="H2699" s="7" t="inlineStr">
        <is>
          <t>100 a 300 L/ha</t>
        </is>
      </c>
      <c r="I2699" s="7" t="inlineStr">
        <is>
          <t>20 a 40 L/ha</t>
        </is>
      </c>
      <c r="J2699" s="7" t="inlineStr">
        <is>
          <t>21 dias</t>
        </is>
      </c>
    </row>
    <row r="2700" ht="22" customHeight="1">
      <c r="A2700" s="12" t="inlineStr">
        <is>
          <t>CUL-2696</t>
        </is>
      </c>
      <c r="B2700" s="11" t="n">
        <v>527</v>
      </c>
      <c r="C2700" s="13" t="inlineStr">
        <is>
          <t>Nº 26924</t>
        </is>
      </c>
      <c r="D2700" s="14" t="inlineStr">
        <is>
          <t>CHLOROCIL 0,200L (IMP) GG AMOSTRA</t>
        </is>
      </c>
      <c r="E2700" s="13" t="inlineStr">
        <is>
          <t>Pulverização Agrícola Conforme Bula</t>
        </is>
      </c>
      <c r="F2700" s="13" t="inlineStr">
        <is>
          <t>Soja</t>
        </is>
      </c>
      <c r="G2700" s="13" t="inlineStr">
        <is>
          <t>Cultura Autorizada na Bula</t>
        </is>
      </c>
      <c r="H2700" s="13" t="inlineStr">
        <is>
          <t>100 a 300 L/ha</t>
        </is>
      </c>
      <c r="I2700" s="13" t="inlineStr">
        <is>
          <t>20 a 40 L/ha</t>
        </is>
      </c>
      <c r="J2700" s="13" t="inlineStr">
        <is>
          <t>21 dias</t>
        </is>
      </c>
    </row>
    <row r="2701" ht="22" customHeight="1">
      <c r="A2701" s="6" t="inlineStr">
        <is>
          <t>CUL-2697</t>
        </is>
      </c>
      <c r="B2701" s="5" t="n">
        <v>527</v>
      </c>
      <c r="C2701" s="7" t="inlineStr">
        <is>
          <t>Nº 26924</t>
        </is>
      </c>
      <c r="D2701" s="8" t="inlineStr">
        <is>
          <t>CHLOROCIL 0,200L (IMP) GG AMOSTRA</t>
        </is>
      </c>
      <c r="E2701" s="7" t="inlineStr">
        <is>
          <t>Pulverização Agrícola Conforme Bula</t>
        </is>
      </c>
      <c r="F2701" s="7" t="inlineStr">
        <is>
          <t>Milho</t>
        </is>
      </c>
      <c r="G2701" s="7" t="inlineStr">
        <is>
          <t>Cultura Autorizada na Bula</t>
        </is>
      </c>
      <c r="H2701" s="7" t="inlineStr">
        <is>
          <t>100 a 300 L/ha</t>
        </is>
      </c>
      <c r="I2701" s="7" t="inlineStr">
        <is>
          <t>20 a 40 L/ha</t>
        </is>
      </c>
      <c r="J2701" s="7" t="inlineStr">
        <is>
          <t>21 dias</t>
        </is>
      </c>
    </row>
    <row r="2702" ht="22" customHeight="1">
      <c r="A2702" s="12" t="inlineStr">
        <is>
          <t>CUL-2698</t>
        </is>
      </c>
      <c r="B2702" s="11" t="n">
        <v>527</v>
      </c>
      <c r="C2702" s="13" t="inlineStr">
        <is>
          <t>Nº 26924</t>
        </is>
      </c>
      <c r="D2702" s="14" t="inlineStr">
        <is>
          <t>CHLOROCIL 0,200L (IMP) GG AMOSTRA</t>
        </is>
      </c>
      <c r="E2702" s="13" t="inlineStr">
        <is>
          <t>Pulverização Agrícola Conforme Bula</t>
        </is>
      </c>
      <c r="F2702" s="13" t="inlineStr">
        <is>
          <t>Algodão</t>
        </is>
      </c>
      <c r="G2702" s="13" t="inlineStr">
        <is>
          <t>Cultura Autorizada na Bula</t>
        </is>
      </c>
      <c r="H2702" s="13" t="inlineStr">
        <is>
          <t>100 a 300 L/ha</t>
        </is>
      </c>
      <c r="I2702" s="13" t="inlineStr">
        <is>
          <t>20 a 40 L/ha</t>
        </is>
      </c>
      <c r="J2702" s="13" t="inlineStr">
        <is>
          <t>21 dias</t>
        </is>
      </c>
    </row>
    <row r="2703" ht="22" customHeight="1">
      <c r="A2703" s="6" t="inlineStr">
        <is>
          <t>CUL-2699</t>
        </is>
      </c>
      <c r="B2703" s="5" t="n">
        <v>527</v>
      </c>
      <c r="C2703" s="7" t="inlineStr">
        <is>
          <t>Nº 26924</t>
        </is>
      </c>
      <c r="D2703" s="8" t="inlineStr">
        <is>
          <t>CHLOROCIL 0,200L (IMP) GG AMOSTRA</t>
        </is>
      </c>
      <c r="E2703" s="7" t="inlineStr">
        <is>
          <t>Pulverização Agrícola Conforme Bula</t>
        </is>
      </c>
      <c r="F2703" s="7" t="inlineStr">
        <is>
          <t>Café</t>
        </is>
      </c>
      <c r="G2703" s="7" t="inlineStr">
        <is>
          <t>Cultura Autorizada na Bula</t>
        </is>
      </c>
      <c r="H2703" s="7" t="inlineStr">
        <is>
          <t>100 a 300 L/ha</t>
        </is>
      </c>
      <c r="I2703" s="7" t="inlineStr">
        <is>
          <t>20 a 40 L/ha</t>
        </is>
      </c>
      <c r="J2703" s="7" t="inlineStr">
        <is>
          <t>21 dias</t>
        </is>
      </c>
    </row>
    <row r="2704" ht="22" customHeight="1">
      <c r="A2704" s="12" t="inlineStr">
        <is>
          <t>CUL-2700</t>
        </is>
      </c>
      <c r="B2704" s="11" t="n">
        <v>527</v>
      </c>
      <c r="C2704" s="13" t="inlineStr">
        <is>
          <t>Nº 26924</t>
        </is>
      </c>
      <c r="D2704" s="14" t="inlineStr">
        <is>
          <t>CHLOROCIL 0,200L (IMP) GG AMOSTRA</t>
        </is>
      </c>
      <c r="E2704" s="13" t="inlineStr">
        <is>
          <t>Pulverização Agrícola Conforme Bula</t>
        </is>
      </c>
      <c r="F2704" s="13" t="inlineStr">
        <is>
          <t>Citros</t>
        </is>
      </c>
      <c r="G2704" s="13" t="inlineStr">
        <is>
          <t>Cultura Autorizada na Bula</t>
        </is>
      </c>
      <c r="H2704" s="13" t="inlineStr">
        <is>
          <t>100 a 300 L/ha</t>
        </is>
      </c>
      <c r="I2704" s="13" t="inlineStr">
        <is>
          <t>20 a 40 L/ha</t>
        </is>
      </c>
      <c r="J2704" s="13" t="inlineStr">
        <is>
          <t>21 dias</t>
        </is>
      </c>
    </row>
    <row r="2705" ht="22" customHeight="1">
      <c r="A2705" s="6" t="inlineStr">
        <is>
          <t>CUL-2701</t>
        </is>
      </c>
      <c r="B2705" s="5" t="n">
        <v>527</v>
      </c>
      <c r="C2705" s="7" t="inlineStr">
        <is>
          <t>Nº 26924</t>
        </is>
      </c>
      <c r="D2705" s="8" t="inlineStr">
        <is>
          <t>CHLOROCIL 0,200L (IMP) GG AMOSTRA</t>
        </is>
      </c>
      <c r="E2705" s="7" t="inlineStr">
        <is>
          <t>Pulverização Agrícola Conforme Bula</t>
        </is>
      </c>
      <c r="F2705" s="7" t="inlineStr">
        <is>
          <t>Feijão</t>
        </is>
      </c>
      <c r="G2705" s="7" t="inlineStr">
        <is>
          <t>Cultura Autorizada na Bula</t>
        </is>
      </c>
      <c r="H2705" s="7" t="inlineStr">
        <is>
          <t>100 a 300 L/ha</t>
        </is>
      </c>
      <c r="I2705" s="7" t="inlineStr">
        <is>
          <t>20 a 40 L/ha</t>
        </is>
      </c>
      <c r="J2705" s="7" t="inlineStr">
        <is>
          <t>25 dias</t>
        </is>
      </c>
    </row>
    <row r="2706" ht="22" customHeight="1">
      <c r="A2706" s="12" t="inlineStr">
        <is>
          <t>CUL-2702</t>
        </is>
      </c>
      <c r="B2706" s="11" t="n">
        <v>527</v>
      </c>
      <c r="C2706" s="13" t="inlineStr">
        <is>
          <t>Nº 26924</t>
        </is>
      </c>
      <c r="D2706" s="14" t="inlineStr">
        <is>
          <t>CHLOROCIL 0,200L (IMP) GG AMOSTRA</t>
        </is>
      </c>
      <c r="E2706" s="13" t="inlineStr">
        <is>
          <t>Pulverização Agrícola Conforme Bula</t>
        </is>
      </c>
      <c r="F2706" s="13" t="inlineStr">
        <is>
          <t>Batata</t>
        </is>
      </c>
      <c r="G2706" s="13" t="inlineStr">
        <is>
          <t>Cultura Autorizada na Bula</t>
        </is>
      </c>
      <c r="H2706" s="13" t="inlineStr">
        <is>
          <t>100 a 300 L/ha</t>
        </is>
      </c>
      <c r="I2706" s="13" t="inlineStr">
        <is>
          <t>20 a 40 L/ha</t>
        </is>
      </c>
      <c r="J2706" s="13" t="inlineStr">
        <is>
          <t>21 dias</t>
        </is>
      </c>
    </row>
    <row r="2707" ht="22" customHeight="1">
      <c r="A2707" s="6" t="inlineStr">
        <is>
          <t>CUL-2703</t>
        </is>
      </c>
      <c r="B2707" s="5" t="n">
        <v>527</v>
      </c>
      <c r="C2707" s="7" t="inlineStr">
        <is>
          <t>Nº 26924</t>
        </is>
      </c>
      <c r="D2707" s="8" t="inlineStr">
        <is>
          <t>CHLOROCIL 0,200L (IMP) GG AMOSTRA</t>
        </is>
      </c>
      <c r="E2707" s="7" t="inlineStr">
        <is>
          <t>Pulverização Agrícola Conforme Bula</t>
        </is>
      </c>
      <c r="F2707" s="7" t="inlineStr">
        <is>
          <t>Tomate</t>
        </is>
      </c>
      <c r="G2707" s="7" t="inlineStr">
        <is>
          <t>Cultura Autorizada na Bula</t>
        </is>
      </c>
      <c r="H2707" s="7" t="inlineStr">
        <is>
          <t>100 a 300 L/ha</t>
        </is>
      </c>
      <c r="I2707" s="7" t="inlineStr">
        <is>
          <t>20 a 40 L/ha</t>
        </is>
      </c>
      <c r="J2707" s="7" t="inlineStr">
        <is>
          <t>21 dias</t>
        </is>
      </c>
    </row>
    <row r="2708" ht="22" customHeight="1">
      <c r="A2708" s="12" t="inlineStr">
        <is>
          <t>CUL-2704</t>
        </is>
      </c>
      <c r="B2708" s="11" t="n">
        <v>527</v>
      </c>
      <c r="C2708" s="13" t="inlineStr">
        <is>
          <t>Nº 26924</t>
        </is>
      </c>
      <c r="D2708" s="14" t="inlineStr">
        <is>
          <t>CHLOROCIL 0,200L (IMP) GG AMOSTRA</t>
        </is>
      </c>
      <c r="E2708" s="13" t="inlineStr">
        <is>
          <t>Pulverização Agrícola Conforme Bula</t>
        </is>
      </c>
      <c r="F2708" s="13" t="inlineStr">
        <is>
          <t>Trigo</t>
        </is>
      </c>
      <c r="G2708" s="13" t="inlineStr">
        <is>
          <t>Cultura Autorizada na Bula</t>
        </is>
      </c>
      <c r="H2708" s="13" t="inlineStr">
        <is>
          <t>100 a 300 L/ha</t>
        </is>
      </c>
      <c r="I2708" s="13" t="inlineStr">
        <is>
          <t>20 a 40 L/ha</t>
        </is>
      </c>
      <c r="J2708" s="13" t="inlineStr">
        <is>
          <t>21 dias</t>
        </is>
      </c>
    </row>
    <row r="2709" ht="22" customHeight="1">
      <c r="A2709" s="6" t="inlineStr">
        <is>
          <t>CUL-2705</t>
        </is>
      </c>
      <c r="B2709" s="5" t="n">
        <v>528</v>
      </c>
      <c r="C2709" s="7" t="inlineStr">
        <is>
          <t>Nº 31422</t>
        </is>
      </c>
      <c r="D2709" s="8" t="inlineStr">
        <is>
          <t>ZARPAL 0,200L (IMP) AMOSTRA</t>
        </is>
      </c>
      <c r="E2709" s="7" t="inlineStr">
        <is>
          <t>Pulverização Agrícola Conforme Bula</t>
        </is>
      </c>
      <c r="F2709" s="7" t="inlineStr">
        <is>
          <t>Algodão</t>
        </is>
      </c>
      <c r="G2709" s="7" t="inlineStr">
        <is>
          <t>Cultura Autorizada na Bula</t>
        </is>
      </c>
      <c r="H2709" s="7" t="inlineStr">
        <is>
          <t>100 a 300 L/ha</t>
        </is>
      </c>
      <c r="I2709" s="7" t="inlineStr">
        <is>
          <t>20 a 40 L/ha</t>
        </is>
      </c>
      <c r="J2709" s="7" t="inlineStr">
        <is>
          <t>15 dias</t>
        </is>
      </c>
    </row>
    <row r="2710" ht="22" customHeight="1">
      <c r="A2710" s="12" t="inlineStr">
        <is>
          <t>CUL-2706</t>
        </is>
      </c>
      <c r="B2710" s="11" t="n">
        <v>528</v>
      </c>
      <c r="C2710" s="13" t="inlineStr">
        <is>
          <t>Nº 31422</t>
        </is>
      </c>
      <c r="D2710" s="14" t="inlineStr">
        <is>
          <t>ZARPAL 0,200L (IMP) AMOSTRA</t>
        </is>
      </c>
      <c r="E2710" s="13" t="inlineStr">
        <is>
          <t>Pulverização Agrícola Conforme Bula</t>
        </is>
      </c>
      <c r="F2710" s="13" t="inlineStr">
        <is>
          <t>Soja</t>
        </is>
      </c>
      <c r="G2710" s="13" t="inlineStr">
        <is>
          <t>Cultura Autorizada na Bula</t>
        </is>
      </c>
      <c r="H2710" s="13" t="inlineStr">
        <is>
          <t>100 a 300 L/ha</t>
        </is>
      </c>
      <c r="I2710" s="13" t="inlineStr">
        <is>
          <t>20 a 40 L/ha</t>
        </is>
      </c>
      <c r="J2710" s="13" t="inlineStr">
        <is>
          <t>30 dias</t>
        </is>
      </c>
    </row>
    <row r="2711" ht="22" customHeight="1">
      <c r="A2711" s="6" t="inlineStr">
        <is>
          <t>CUL-2707</t>
        </is>
      </c>
      <c r="B2711" s="5" t="n">
        <v>528</v>
      </c>
      <c r="C2711" s="7" t="inlineStr">
        <is>
          <t>Nº 31422</t>
        </is>
      </c>
      <c r="D2711" s="8" t="inlineStr">
        <is>
          <t>ZARPAL 0,200L (IMP) AMOSTRA</t>
        </is>
      </c>
      <c r="E2711" s="7" t="inlineStr">
        <is>
          <t>Pulverização Agrícola Conforme Bula</t>
        </is>
      </c>
      <c r="F2711" s="7" t="inlineStr">
        <is>
          <t>Milho</t>
        </is>
      </c>
      <c r="G2711" s="7" t="inlineStr">
        <is>
          <t>Cultura Autorizada na Bula</t>
        </is>
      </c>
      <c r="H2711" s="7" t="inlineStr">
        <is>
          <t>100 a 300 L/ha</t>
        </is>
      </c>
      <c r="I2711" s="7" t="inlineStr">
        <is>
          <t>20 a 40 L/ha</t>
        </is>
      </c>
      <c r="J2711" s="7" t="inlineStr">
        <is>
          <t>30 dias</t>
        </is>
      </c>
    </row>
    <row r="2712" ht="22" customHeight="1">
      <c r="A2712" s="12" t="inlineStr">
        <is>
          <t>CUL-2708</t>
        </is>
      </c>
      <c r="B2712" s="11" t="n">
        <v>528</v>
      </c>
      <c r="C2712" s="13" t="inlineStr">
        <is>
          <t>Nº 31422</t>
        </is>
      </c>
      <c r="D2712" s="14" t="inlineStr">
        <is>
          <t>ZARPAL 0,200L (IMP) AMOSTRA</t>
        </is>
      </c>
      <c r="E2712" s="13" t="inlineStr">
        <is>
          <t>Pulverização Agrícola Conforme Bula</t>
        </is>
      </c>
      <c r="F2712" s="13" t="inlineStr">
        <is>
          <t>Cana-de-açúcar</t>
        </is>
      </c>
      <c r="G2712" s="13" t="inlineStr">
        <is>
          <t>Cultura Autorizada na Bula</t>
        </is>
      </c>
      <c r="H2712" s="13" t="inlineStr">
        <is>
          <t>100 a 300 L/ha</t>
        </is>
      </c>
      <c r="I2712" s="13" t="inlineStr">
        <is>
          <t>20 a 40 L/ha</t>
        </is>
      </c>
      <c r="J2712" s="13" t="inlineStr">
        <is>
          <t>30 dias</t>
        </is>
      </c>
    </row>
    <row r="2713" ht="22" customHeight="1">
      <c r="A2713" s="6" t="inlineStr">
        <is>
          <t>CUL-2709</t>
        </is>
      </c>
      <c r="B2713" s="5" t="n">
        <v>528</v>
      </c>
      <c r="C2713" s="7" t="inlineStr">
        <is>
          <t>Nº 31422</t>
        </is>
      </c>
      <c r="D2713" s="8" t="inlineStr">
        <is>
          <t>ZARPAL 0,200L (IMP) AMOSTRA</t>
        </is>
      </c>
      <c r="E2713" s="7" t="inlineStr">
        <is>
          <t>Pulverização Agrícola Conforme Bula</t>
        </is>
      </c>
      <c r="F2713" s="7" t="inlineStr">
        <is>
          <t>Café</t>
        </is>
      </c>
      <c r="G2713" s="7" t="inlineStr">
        <is>
          <t>Cultura Autorizada na Bula</t>
        </is>
      </c>
      <c r="H2713" s="7" t="inlineStr">
        <is>
          <t>100 a 300 L/ha</t>
        </is>
      </c>
      <c r="I2713" s="7" t="inlineStr">
        <is>
          <t>20 a 40 L/ha</t>
        </is>
      </c>
      <c r="J2713" s="7" t="inlineStr">
        <is>
          <t>30 dias</t>
        </is>
      </c>
    </row>
    <row r="2714" ht="22" customHeight="1">
      <c r="A2714" s="12" t="inlineStr">
        <is>
          <t>CUL-2710</t>
        </is>
      </c>
      <c r="B2714" s="11" t="n">
        <v>528</v>
      </c>
      <c r="C2714" s="13" t="inlineStr">
        <is>
          <t>Nº 31422</t>
        </is>
      </c>
      <c r="D2714" s="14" t="inlineStr">
        <is>
          <t>ZARPAL 0,200L (IMP) AMOSTRA</t>
        </is>
      </c>
      <c r="E2714" s="13" t="inlineStr">
        <is>
          <t>Pulverização Agrícola Conforme Bula</t>
        </is>
      </c>
      <c r="F2714" s="13" t="inlineStr">
        <is>
          <t>Citros</t>
        </is>
      </c>
      <c r="G2714" s="13" t="inlineStr">
        <is>
          <t>Cultura Autorizada na Bula</t>
        </is>
      </c>
      <c r="H2714" s="13" t="inlineStr">
        <is>
          <t>100 a 300 L/ha</t>
        </is>
      </c>
      <c r="I2714" s="13" t="inlineStr">
        <is>
          <t>20 a 40 L/ha</t>
        </is>
      </c>
      <c r="J2714" s="13" t="inlineStr">
        <is>
          <t>7 dias</t>
        </is>
      </c>
    </row>
    <row r="2715" ht="22" customHeight="1">
      <c r="A2715" s="6" t="inlineStr">
        <is>
          <t>CUL-2711</t>
        </is>
      </c>
      <c r="B2715" s="5" t="n">
        <v>528</v>
      </c>
      <c r="C2715" s="7" t="inlineStr">
        <is>
          <t>Nº 31422</t>
        </is>
      </c>
      <c r="D2715" s="8" t="inlineStr">
        <is>
          <t>ZARPAL 0,200L (IMP) AMOSTRA</t>
        </is>
      </c>
      <c r="E2715" s="7" t="inlineStr">
        <is>
          <t>Pulverização Agrícola Conforme Bula</t>
        </is>
      </c>
      <c r="F2715" s="7" t="inlineStr">
        <is>
          <t>Feijão</t>
        </is>
      </c>
      <c r="G2715" s="7" t="inlineStr">
        <is>
          <t>Cultura Autorizada na Bula</t>
        </is>
      </c>
      <c r="H2715" s="7" t="inlineStr">
        <is>
          <t>100 a 300 L/ha</t>
        </is>
      </c>
      <c r="I2715" s="7" t="inlineStr">
        <is>
          <t>20 a 40 L/ha</t>
        </is>
      </c>
      <c r="J2715" s="7" t="inlineStr">
        <is>
          <t>20 dias</t>
        </is>
      </c>
    </row>
    <row r="2716" ht="22" customHeight="1">
      <c r="A2716" s="12" t="inlineStr">
        <is>
          <t>CUL-2712</t>
        </is>
      </c>
      <c r="B2716" s="11" t="n">
        <v>528</v>
      </c>
      <c r="C2716" s="13" t="inlineStr">
        <is>
          <t>Nº 31422</t>
        </is>
      </c>
      <c r="D2716" s="14" t="inlineStr">
        <is>
          <t>ZARPAL 0,200L (IMP) AMOSTRA</t>
        </is>
      </c>
      <c r="E2716" s="13" t="inlineStr">
        <is>
          <t>Pulverização Agrícola Conforme Bula</t>
        </is>
      </c>
      <c r="F2716" s="13" t="inlineStr">
        <is>
          <t>Trigo</t>
        </is>
      </c>
      <c r="G2716" s="13" t="inlineStr">
        <is>
          <t>Cultura Autorizada na Bula</t>
        </is>
      </c>
      <c r="H2716" s="13" t="inlineStr">
        <is>
          <t>100 a 300 L/ha</t>
        </is>
      </c>
      <c r="I2716" s="13" t="inlineStr">
        <is>
          <t>20 a 40 L/ha</t>
        </is>
      </c>
      <c r="J2716" s="13" t="inlineStr">
        <is>
          <t>30 dias</t>
        </is>
      </c>
    </row>
    <row r="2717" ht="22" customHeight="1">
      <c r="A2717" s="6" t="inlineStr">
        <is>
          <t>CUL-2713</t>
        </is>
      </c>
      <c r="B2717" s="5" t="n">
        <v>529</v>
      </c>
      <c r="C2717" s="7" t="inlineStr">
        <is>
          <t>Nº 15716</t>
        </is>
      </c>
      <c r="D2717" s="8" t="inlineStr">
        <is>
          <t>DIFCOR 250 EC 0,200L IMP AMOSTRA</t>
        </is>
      </c>
      <c r="E2717" s="7" t="inlineStr">
        <is>
          <t>Pulverização Agrícola Conforme Bula</t>
        </is>
      </c>
      <c r="F2717" s="7" t="inlineStr">
        <is>
          <t>Soja</t>
        </is>
      </c>
      <c r="G2717" s="7" t="inlineStr">
        <is>
          <t>Cultura Autorizada na Bula</t>
        </is>
      </c>
      <c r="H2717" s="7" t="inlineStr">
        <is>
          <t>100 a 300 L/ha</t>
        </is>
      </c>
      <c r="I2717" s="7" t="inlineStr">
        <is>
          <t>20 a 40 L/ha</t>
        </is>
      </c>
      <c r="J2717" s="7" t="inlineStr">
        <is>
          <t>30 dias</t>
        </is>
      </c>
    </row>
    <row r="2718" ht="22" customHeight="1">
      <c r="A2718" s="12" t="inlineStr">
        <is>
          <t>CUL-2714</t>
        </is>
      </c>
      <c r="B2718" s="11" t="n">
        <v>529</v>
      </c>
      <c r="C2718" s="13" t="inlineStr">
        <is>
          <t>Nº 15716</t>
        </is>
      </c>
      <c r="D2718" s="14" t="inlineStr">
        <is>
          <t>DIFCOR 250 EC 0,200L IMP AMOSTRA</t>
        </is>
      </c>
      <c r="E2718" s="13" t="inlineStr">
        <is>
          <t>Pulverização Agrícola Conforme Bula</t>
        </is>
      </c>
      <c r="F2718" s="13" t="inlineStr">
        <is>
          <t>Algodão</t>
        </is>
      </c>
      <c r="G2718" s="13" t="inlineStr">
        <is>
          <t>Cultura Autorizada na Bula</t>
        </is>
      </c>
      <c r="H2718" s="13" t="inlineStr">
        <is>
          <t>100 a 300 L/ha</t>
        </is>
      </c>
      <c r="I2718" s="13" t="inlineStr">
        <is>
          <t>20 a 40 L/ha</t>
        </is>
      </c>
      <c r="J2718" s="13" t="inlineStr">
        <is>
          <t>30 dias</t>
        </is>
      </c>
    </row>
    <row r="2719" ht="22" customHeight="1">
      <c r="A2719" s="6" t="inlineStr">
        <is>
          <t>CUL-2715</t>
        </is>
      </c>
      <c r="B2719" s="5" t="n">
        <v>529</v>
      </c>
      <c r="C2719" s="7" t="inlineStr">
        <is>
          <t>Nº 15716</t>
        </is>
      </c>
      <c r="D2719" s="8" t="inlineStr">
        <is>
          <t>DIFCOR 250 EC 0,200L IMP AMOSTRA</t>
        </is>
      </c>
      <c r="E2719" s="7" t="inlineStr">
        <is>
          <t>Pulverização Agrícola Conforme Bula</t>
        </is>
      </c>
      <c r="F2719" s="7" t="inlineStr">
        <is>
          <t>Feijão</t>
        </is>
      </c>
      <c r="G2719" s="7" t="inlineStr">
        <is>
          <t>Cultura Autorizada na Bula</t>
        </is>
      </c>
      <c r="H2719" s="7" t="inlineStr">
        <is>
          <t>100 a 300 L/ha</t>
        </is>
      </c>
      <c r="I2719" s="7" t="inlineStr">
        <is>
          <t>20 a 40 L/ha</t>
        </is>
      </c>
      <c r="J2719" s="7" t="inlineStr">
        <is>
          <t>14 dias</t>
        </is>
      </c>
    </row>
    <row r="2720" ht="22" customHeight="1">
      <c r="A2720" s="12" t="inlineStr">
        <is>
          <t>CUL-2716</t>
        </is>
      </c>
      <c r="B2720" s="11" t="n">
        <v>529</v>
      </c>
      <c r="C2720" s="13" t="inlineStr">
        <is>
          <t>Nº 15716</t>
        </is>
      </c>
      <c r="D2720" s="14" t="inlineStr">
        <is>
          <t>DIFCOR 250 EC 0,200L IMP AMOSTRA</t>
        </is>
      </c>
      <c r="E2720" s="13" t="inlineStr">
        <is>
          <t>Pulverização Agrícola Conforme Bula</t>
        </is>
      </c>
      <c r="F2720" s="13" t="inlineStr">
        <is>
          <t>Arroz</t>
        </is>
      </c>
      <c r="G2720" s="13" t="inlineStr">
        <is>
          <t>Cultura Autorizada na Bula</t>
        </is>
      </c>
      <c r="H2720" s="13" t="inlineStr">
        <is>
          <t>100 a 300 L/ha</t>
        </is>
      </c>
      <c r="I2720" s="13" t="inlineStr">
        <is>
          <t>20 a 40 L/ha</t>
        </is>
      </c>
      <c r="J2720" s="13" t="inlineStr">
        <is>
          <t>40 dias</t>
        </is>
      </c>
    </row>
    <row r="2721" ht="22" customHeight="1">
      <c r="A2721" s="6" t="inlineStr">
        <is>
          <t>CUL-2717</t>
        </is>
      </c>
      <c r="B2721" s="5" t="n">
        <v>529</v>
      </c>
      <c r="C2721" s="7" t="inlineStr">
        <is>
          <t>Nº 15716</t>
        </is>
      </c>
      <c r="D2721" s="8" t="inlineStr">
        <is>
          <t>DIFCOR 250 EC 0,200L IMP AMOSTRA</t>
        </is>
      </c>
      <c r="E2721" s="7" t="inlineStr">
        <is>
          <t>Pulverização Agrícola Conforme Bula</t>
        </is>
      </c>
      <c r="F2721" s="7" t="inlineStr">
        <is>
          <t>Café</t>
        </is>
      </c>
      <c r="G2721" s="7" t="inlineStr">
        <is>
          <t>Cultura Autorizada na Bula</t>
        </is>
      </c>
      <c r="H2721" s="7" t="inlineStr">
        <is>
          <t>100 a 300 L/ha</t>
        </is>
      </c>
      <c r="I2721" s="7" t="inlineStr">
        <is>
          <t>20 a 40 L/ha</t>
        </is>
      </c>
      <c r="J2721" s="7" t="inlineStr">
        <is>
          <t>30 dias</t>
        </is>
      </c>
    </row>
    <row r="2722" ht="22" customHeight="1">
      <c r="A2722" s="12" t="inlineStr">
        <is>
          <t>CUL-2718</t>
        </is>
      </c>
      <c r="B2722" s="11" t="n">
        <v>529</v>
      </c>
      <c r="C2722" s="13" t="inlineStr">
        <is>
          <t>Nº 15716</t>
        </is>
      </c>
      <c r="D2722" s="14" t="inlineStr">
        <is>
          <t>DIFCOR 250 EC 0,200L IMP AMOSTRA</t>
        </is>
      </c>
      <c r="E2722" s="13" t="inlineStr">
        <is>
          <t>Pulverização Agrícola Conforme Bula</t>
        </is>
      </c>
      <c r="F2722" s="13" t="inlineStr">
        <is>
          <t>Trigo</t>
        </is>
      </c>
      <c r="G2722" s="13" t="inlineStr">
        <is>
          <t>Cultura Autorizada na Bula</t>
        </is>
      </c>
      <c r="H2722" s="13" t="inlineStr">
        <is>
          <t>100 a 300 L/ha</t>
        </is>
      </c>
      <c r="I2722" s="13" t="inlineStr">
        <is>
          <t>20 a 40 L/ha</t>
        </is>
      </c>
      <c r="J2722" s="13" t="inlineStr">
        <is>
          <t>35 dias</t>
        </is>
      </c>
    </row>
    <row r="2723" ht="22" customHeight="1">
      <c r="A2723" s="6" t="inlineStr">
        <is>
          <t>CUL-2719</t>
        </is>
      </c>
      <c r="B2723" s="5" t="n">
        <v>529</v>
      </c>
      <c r="C2723" s="7" t="inlineStr">
        <is>
          <t>Nº 15716</t>
        </is>
      </c>
      <c r="D2723" s="8" t="inlineStr">
        <is>
          <t>DIFCOR 250 EC 0,200L IMP AMOSTRA</t>
        </is>
      </c>
      <c r="E2723" s="7" t="inlineStr">
        <is>
          <t>Pulverização Agrícola Conforme Bula</t>
        </is>
      </c>
      <c r="F2723" s="7" t="inlineStr">
        <is>
          <t>Tomate</t>
        </is>
      </c>
      <c r="G2723" s="7" t="inlineStr">
        <is>
          <t>Cultura Autorizada na Bula</t>
        </is>
      </c>
      <c r="H2723" s="7" t="inlineStr">
        <is>
          <t>100 a 300 L/ha</t>
        </is>
      </c>
      <c r="I2723" s="7" t="inlineStr">
        <is>
          <t>20 a 40 L/ha</t>
        </is>
      </c>
      <c r="J2723" s="7" t="inlineStr">
        <is>
          <t>7 dias</t>
        </is>
      </c>
    </row>
    <row r="2724" ht="22" customHeight="1">
      <c r="A2724" s="12" t="inlineStr">
        <is>
          <t>CUL-2720</t>
        </is>
      </c>
      <c r="B2724" s="11" t="n">
        <v>530</v>
      </c>
      <c r="C2724" s="13" t="inlineStr">
        <is>
          <t>Nº 26017</t>
        </is>
      </c>
      <c r="D2724" s="14" t="inlineStr">
        <is>
          <t>MESOTRIONE</t>
        </is>
      </c>
      <c r="E2724" s="13" t="inlineStr">
        <is>
          <t>Pulverização Agrícola Conforme Bula</t>
        </is>
      </c>
      <c r="F2724" s="13" t="inlineStr">
        <is>
          <t>Milho</t>
        </is>
      </c>
      <c r="G2724" s="13" t="inlineStr">
        <is>
          <t>Cultura Autorizada na Bula</t>
        </is>
      </c>
      <c r="H2724" s="13" t="inlineStr">
        <is>
          <t>100 a 300 L/ha</t>
        </is>
      </c>
      <c r="I2724" s="13" t="inlineStr">
        <is>
          <t>20 a 40 L/ha</t>
        </is>
      </c>
      <c r="J2724" s="13" t="inlineStr">
        <is>
          <t>63 dias</t>
        </is>
      </c>
    </row>
    <row r="2725" ht="22" customHeight="1">
      <c r="A2725" s="6" t="inlineStr">
        <is>
          <t>CUL-2721</t>
        </is>
      </c>
      <c r="B2725" s="5" t="n">
        <v>530</v>
      </c>
      <c r="C2725" s="7" t="inlineStr">
        <is>
          <t>Nº 26017</t>
        </is>
      </c>
      <c r="D2725" s="8" t="inlineStr">
        <is>
          <t>MESOTRIONE</t>
        </is>
      </c>
      <c r="E2725" s="7" t="inlineStr">
        <is>
          <t>Pulverização Agrícola Conforme Bula</t>
        </is>
      </c>
      <c r="F2725" s="7" t="inlineStr">
        <is>
          <t>Cana-de-açúcar</t>
        </is>
      </c>
      <c r="G2725" s="7" t="inlineStr">
        <is>
          <t>Cultura Autorizada na Bula</t>
        </is>
      </c>
      <c r="H2725" s="7" t="inlineStr">
        <is>
          <t>100 a 300 L/ha</t>
        </is>
      </c>
      <c r="I2725" s="7" t="inlineStr">
        <is>
          <t>20 a 40 L/ha</t>
        </is>
      </c>
      <c r="J2725" s="7" t="inlineStr">
        <is>
          <t>150 dias</t>
        </is>
      </c>
    </row>
    <row r="2726" ht="22" customHeight="1">
      <c r="A2726" s="12" t="inlineStr">
        <is>
          <t>CUL-2722</t>
        </is>
      </c>
      <c r="B2726" s="11" t="n">
        <v>530</v>
      </c>
      <c r="C2726" s="13" t="inlineStr">
        <is>
          <t>Nº 26017</t>
        </is>
      </c>
      <c r="D2726" s="14" t="inlineStr">
        <is>
          <t>MESOTRIONE</t>
        </is>
      </c>
      <c r="E2726" s="13" t="inlineStr">
        <is>
          <t>Pulverização Agrícola Conforme Bula</t>
        </is>
      </c>
      <c r="F2726" s="13" t="inlineStr">
        <is>
          <t>Milheto</t>
        </is>
      </c>
      <c r="G2726" s="13" t="inlineStr">
        <is>
          <t>Cultura Autorizada na Bula</t>
        </is>
      </c>
      <c r="H2726" s="13" t="inlineStr">
        <is>
          <t>100 a 300 L/ha</t>
        </is>
      </c>
      <c r="I2726" s="13" t="inlineStr">
        <is>
          <t>20 a 40 L/ha</t>
        </is>
      </c>
      <c r="J2726" s="13" t="inlineStr">
        <is>
          <t>60 dias</t>
        </is>
      </c>
    </row>
    <row r="2727" ht="22" customHeight="1">
      <c r="A2727" s="6" t="inlineStr">
        <is>
          <t>CUL-2723</t>
        </is>
      </c>
      <c r="B2727" s="5" t="n">
        <v>530</v>
      </c>
      <c r="C2727" s="7" t="inlineStr">
        <is>
          <t>Nº 26017</t>
        </is>
      </c>
      <c r="D2727" s="8" t="inlineStr">
        <is>
          <t>MESOTRIONE</t>
        </is>
      </c>
      <c r="E2727" s="7" t="inlineStr">
        <is>
          <t>Pulverização Agrícola Conforme Bula</t>
        </is>
      </c>
      <c r="F2727" s="7" t="inlineStr">
        <is>
          <t>Sorgo</t>
        </is>
      </c>
      <c r="G2727" s="7" t="inlineStr">
        <is>
          <t>Cultura Autorizada na Bula</t>
        </is>
      </c>
      <c r="H2727" s="7" t="inlineStr">
        <is>
          <t>100 a 300 L/ha</t>
        </is>
      </c>
      <c r="I2727" s="7" t="inlineStr">
        <is>
          <t>20 a 40 L/ha</t>
        </is>
      </c>
      <c r="J2727" s="7" t="inlineStr">
        <is>
          <t>60 dias</t>
        </is>
      </c>
    </row>
    <row r="2728" ht="22" customHeight="1">
      <c r="A2728" s="12" t="inlineStr">
        <is>
          <t>CUL-2724</t>
        </is>
      </c>
      <c r="B2728" s="11" t="n">
        <v>531</v>
      </c>
      <c r="C2728" s="13" t="inlineStr">
        <is>
          <t>Nº 22221</t>
        </is>
      </c>
      <c r="D2728" s="14" t="inlineStr">
        <is>
          <t>GRASIDIM</t>
        </is>
      </c>
      <c r="E2728" s="13" t="inlineStr">
        <is>
          <t>Pulverização Agrícola Conforme Bula</t>
        </is>
      </c>
      <c r="F2728" s="13" t="inlineStr">
        <is>
          <t>Soja</t>
        </is>
      </c>
      <c r="G2728" s="13" t="inlineStr">
        <is>
          <t>Cultura Autorizada na Bula</t>
        </is>
      </c>
      <c r="H2728" s="13" t="inlineStr">
        <is>
          <t>100 a 300 L/ha</t>
        </is>
      </c>
      <c r="I2728" s="13" t="inlineStr">
        <is>
          <t>20 a 40 L/ha</t>
        </is>
      </c>
      <c r="J2728" s="13" t="inlineStr">
        <is>
          <t>60 dias</t>
        </is>
      </c>
    </row>
    <row r="2729" ht="22" customHeight="1">
      <c r="A2729" s="6" t="inlineStr">
        <is>
          <t>CUL-2725</t>
        </is>
      </c>
      <c r="B2729" s="5" t="n">
        <v>531</v>
      </c>
      <c r="C2729" s="7" t="inlineStr">
        <is>
          <t>Nº 22221</t>
        </is>
      </c>
      <c r="D2729" s="8" t="inlineStr">
        <is>
          <t>GRASIDIM</t>
        </is>
      </c>
      <c r="E2729" s="7" t="inlineStr">
        <is>
          <t>Pulverização Agrícola Conforme Bula</t>
        </is>
      </c>
      <c r="F2729" s="7" t="inlineStr">
        <is>
          <t>Algodão</t>
        </is>
      </c>
      <c r="G2729" s="7" t="inlineStr">
        <is>
          <t>Cultura Autorizada na Bula</t>
        </is>
      </c>
      <c r="H2729" s="7" t="inlineStr">
        <is>
          <t>100 a 300 L/ha</t>
        </is>
      </c>
      <c r="I2729" s="7" t="inlineStr">
        <is>
          <t>20 a 40 L/ha</t>
        </is>
      </c>
      <c r="J2729" s="7" t="inlineStr">
        <is>
          <t>58 dias</t>
        </is>
      </c>
    </row>
    <row r="2730" ht="22" customHeight="1">
      <c r="A2730" s="12" t="inlineStr">
        <is>
          <t>CUL-2726</t>
        </is>
      </c>
      <c r="B2730" s="11" t="n">
        <v>531</v>
      </c>
      <c r="C2730" s="13" t="inlineStr">
        <is>
          <t>Nº 22221</t>
        </is>
      </c>
      <c r="D2730" s="14" t="inlineStr">
        <is>
          <t>GRASIDIM</t>
        </is>
      </c>
      <c r="E2730" s="13" t="inlineStr">
        <is>
          <t>Pulverização Agrícola Conforme Bula</t>
        </is>
      </c>
      <c r="F2730" s="13" t="inlineStr">
        <is>
          <t>Feijão</t>
        </is>
      </c>
      <c r="G2730" s="13" t="inlineStr">
        <is>
          <t>Cultura Autorizada na Bula</t>
        </is>
      </c>
      <c r="H2730" s="13" t="inlineStr">
        <is>
          <t>100 a 300 L/ha</t>
        </is>
      </c>
      <c r="I2730" s="13" t="inlineStr">
        <is>
          <t>20 a 40 L/ha</t>
        </is>
      </c>
      <c r="J2730" s="13" t="inlineStr">
        <is>
          <t>40 dias</t>
        </is>
      </c>
    </row>
    <row r="2731" ht="22" customHeight="1">
      <c r="A2731" s="6" t="inlineStr">
        <is>
          <t>CUL-2727</t>
        </is>
      </c>
      <c r="B2731" s="5" t="n">
        <v>531</v>
      </c>
      <c r="C2731" s="7" t="inlineStr">
        <is>
          <t>Nº 22221</t>
        </is>
      </c>
      <c r="D2731" s="8" t="inlineStr">
        <is>
          <t>GRASIDIM</t>
        </is>
      </c>
      <c r="E2731" s="7" t="inlineStr">
        <is>
          <t>Pulverização Agrícola Conforme Bula</t>
        </is>
      </c>
      <c r="F2731" s="7" t="inlineStr">
        <is>
          <t>Café</t>
        </is>
      </c>
      <c r="G2731" s="7" t="inlineStr">
        <is>
          <t>Cultura Autorizada na Bula</t>
        </is>
      </c>
      <c r="H2731" s="7" t="inlineStr">
        <is>
          <t>100 a 300 L/ha</t>
        </is>
      </c>
      <c r="I2731" s="7" t="inlineStr">
        <is>
          <t>20 a 40 L/ha</t>
        </is>
      </c>
      <c r="J2731" s="7" t="inlineStr">
        <is>
          <t>14 dias</t>
        </is>
      </c>
    </row>
    <row r="2732" ht="22" customHeight="1">
      <c r="A2732" s="12" t="inlineStr">
        <is>
          <t>CUL-2728</t>
        </is>
      </c>
      <c r="B2732" s="11" t="n">
        <v>531</v>
      </c>
      <c r="C2732" s="13" t="inlineStr">
        <is>
          <t>Nº 22221</t>
        </is>
      </c>
      <c r="D2732" s="14" t="inlineStr">
        <is>
          <t>GRASIDIM</t>
        </is>
      </c>
      <c r="E2732" s="13" t="inlineStr">
        <is>
          <t>Pulverização Agrícola Conforme Bula</t>
        </is>
      </c>
      <c r="F2732" s="13" t="inlineStr">
        <is>
          <t>Batata</t>
        </is>
      </c>
      <c r="G2732" s="13" t="inlineStr">
        <is>
          <t>Cultura Autorizada na Bula</t>
        </is>
      </c>
      <c r="H2732" s="13" t="inlineStr">
        <is>
          <t>100 a 300 L/ha</t>
        </is>
      </c>
      <c r="I2732" s="13" t="inlineStr">
        <is>
          <t>20 a 40 L/ha</t>
        </is>
      </c>
      <c r="J2732" s="13" t="inlineStr">
        <is>
          <t>20 dias</t>
        </is>
      </c>
    </row>
    <row r="2733" ht="22" customHeight="1">
      <c r="A2733" s="6" t="inlineStr">
        <is>
          <t>CUL-2729</t>
        </is>
      </c>
      <c r="B2733" s="5" t="n">
        <v>531</v>
      </c>
      <c r="C2733" s="7" t="inlineStr">
        <is>
          <t>Nº 22221</t>
        </is>
      </c>
      <c r="D2733" s="8" t="inlineStr">
        <is>
          <t>GRASIDIM</t>
        </is>
      </c>
      <c r="E2733" s="7" t="inlineStr">
        <is>
          <t>Pulverização Agrícola Conforme Bula</t>
        </is>
      </c>
      <c r="F2733" s="7" t="inlineStr">
        <is>
          <t>Mandioca</t>
        </is>
      </c>
      <c r="G2733" s="7" t="inlineStr">
        <is>
          <t>Cultura Autorizada na Bula</t>
        </is>
      </c>
      <c r="H2733" s="7" t="inlineStr">
        <is>
          <t>100 a 300 L/ha</t>
        </is>
      </c>
      <c r="I2733" s="7" t="inlineStr">
        <is>
          <t>20 a 40 L/ha</t>
        </is>
      </c>
      <c r="J2733" s="7" t="inlineStr">
        <is>
          <t>90 dias</t>
        </is>
      </c>
    </row>
    <row r="2734" ht="22" customHeight="1">
      <c r="A2734" s="12" t="inlineStr">
        <is>
          <t>CUL-2730</t>
        </is>
      </c>
      <c r="B2734" s="11" t="n">
        <v>531</v>
      </c>
      <c r="C2734" s="13" t="inlineStr">
        <is>
          <t>Nº 22221</t>
        </is>
      </c>
      <c r="D2734" s="14" t="inlineStr">
        <is>
          <t>GRASIDIM</t>
        </is>
      </c>
      <c r="E2734" s="13" t="inlineStr">
        <is>
          <t>Pulverização Agrícola Conforme Bula</t>
        </is>
      </c>
      <c r="F2734" s="13" t="inlineStr">
        <is>
          <t>Tomate</t>
        </is>
      </c>
      <c r="G2734" s="13" t="inlineStr">
        <is>
          <t>Cultura Autorizada na Bula</t>
        </is>
      </c>
      <c r="H2734" s="13" t="inlineStr">
        <is>
          <t>100 a 300 L/ha</t>
        </is>
      </c>
      <c r="I2734" s="13" t="inlineStr">
        <is>
          <t>20 a 40 L/ha</t>
        </is>
      </c>
      <c r="J2734" s="13" t="inlineStr">
        <is>
          <t>20 dias</t>
        </is>
      </c>
    </row>
    <row r="2735" ht="22" customHeight="1">
      <c r="A2735" s="6" t="inlineStr">
        <is>
          <t>CUL-2731</t>
        </is>
      </c>
      <c r="B2735" s="5" t="n">
        <v>532</v>
      </c>
      <c r="C2735" s="7" t="inlineStr">
        <is>
          <t>Nº 28520</t>
        </is>
      </c>
      <c r="D2735" s="8" t="inlineStr">
        <is>
          <t>SENHA 720 WG</t>
        </is>
      </c>
      <c r="E2735" s="7" t="inlineStr">
        <is>
          <t>Pulverização Agrícola Conforme Bula</t>
        </is>
      </c>
      <c r="F2735" s="7" t="inlineStr">
        <is>
          <t>Soja (Pré-Plantio / OGM)</t>
        </is>
      </c>
      <c r="G2735" s="7" t="inlineStr">
        <is>
          <t>Cultura Autorizada na Bula</t>
        </is>
      </c>
      <c r="H2735" s="7" t="inlineStr">
        <is>
          <t>100 a 300 L/ha</t>
        </is>
      </c>
      <c r="I2735" s="7" t="inlineStr">
        <is>
          <t>20 a 40 L/ha</t>
        </is>
      </c>
      <c r="J2735" s="7" t="inlineStr">
        <is>
          <t>56 dias</t>
        </is>
      </c>
    </row>
    <row r="2736" ht="22" customHeight="1">
      <c r="A2736" s="12" t="inlineStr">
        <is>
          <t>CUL-2732</t>
        </is>
      </c>
      <c r="B2736" s="11" t="n">
        <v>532</v>
      </c>
      <c r="C2736" s="13" t="inlineStr">
        <is>
          <t>Nº 28520</t>
        </is>
      </c>
      <c r="D2736" s="14" t="inlineStr">
        <is>
          <t>SENHA 720 WG</t>
        </is>
      </c>
      <c r="E2736" s="13" t="inlineStr">
        <is>
          <t>Pulverização Agrícola Conforme Bula</t>
        </is>
      </c>
      <c r="F2736" s="13" t="inlineStr">
        <is>
          <t>Milho (Pré-Plantio / OGM)</t>
        </is>
      </c>
      <c r="G2736" s="13" t="inlineStr">
        <is>
          <t>Cultura Autorizada na Bula</t>
        </is>
      </c>
      <c r="H2736" s="13" t="inlineStr">
        <is>
          <t>100 a 300 L/ha</t>
        </is>
      </c>
      <c r="I2736" s="13" t="inlineStr">
        <is>
          <t>20 a 40 L/ha</t>
        </is>
      </c>
      <c r="J2736" s="13" t="inlineStr">
        <is>
          <t>90 dias</t>
        </is>
      </c>
    </row>
    <row r="2737" ht="22" customHeight="1">
      <c r="A2737" s="6" t="inlineStr">
        <is>
          <t>CUL-2733</t>
        </is>
      </c>
      <c r="B2737" s="5" t="n">
        <v>532</v>
      </c>
      <c r="C2737" s="7" t="inlineStr">
        <is>
          <t>Nº 28520</t>
        </is>
      </c>
      <c r="D2737" s="8" t="inlineStr">
        <is>
          <t>SENHA 720 WG</t>
        </is>
      </c>
      <c r="E2737" s="7" t="inlineStr">
        <is>
          <t>Pulverização Agrícola Conforme Bula</t>
        </is>
      </c>
      <c r="F2737" s="7" t="inlineStr">
        <is>
          <t>Algodão (Pré-Plantio / OGM)</t>
        </is>
      </c>
      <c r="G2737" s="7" t="inlineStr">
        <is>
          <t>Cultura Autorizada na Bula</t>
        </is>
      </c>
      <c r="H2737" s="7" t="inlineStr">
        <is>
          <t>100 a 300 L/ha</t>
        </is>
      </c>
      <c r="I2737" s="7" t="inlineStr">
        <is>
          <t>20 a 40 L/ha</t>
        </is>
      </c>
      <c r="J2737" s="7" t="inlineStr">
        <is>
          <t>130 dias</t>
        </is>
      </c>
    </row>
    <row r="2738" ht="22" customHeight="1">
      <c r="A2738" s="12" t="inlineStr">
        <is>
          <t>CUL-2734</t>
        </is>
      </c>
      <c r="B2738" s="11" t="n">
        <v>532</v>
      </c>
      <c r="C2738" s="13" t="inlineStr">
        <is>
          <t>Nº 28520</t>
        </is>
      </c>
      <c r="D2738" s="14" t="inlineStr">
        <is>
          <t>SENHA 720 WG</t>
        </is>
      </c>
      <c r="E2738" s="13" t="inlineStr">
        <is>
          <t>Pulverização Agrícola Conforme Bula</t>
        </is>
      </c>
      <c r="F2738" s="13" t="inlineStr">
        <is>
          <t>Cana-de-açúcar</t>
        </is>
      </c>
      <c r="G2738" s="13" t="inlineStr">
        <is>
          <t>Cultura Autorizada na Bula</t>
        </is>
      </c>
      <c r="H2738" s="13" t="inlineStr">
        <is>
          <t>100 a 300 L/ha</t>
        </is>
      </c>
      <c r="I2738" s="13" t="inlineStr">
        <is>
          <t>20 a 40 L/ha</t>
        </is>
      </c>
      <c r="J2738" s="13" t="inlineStr">
        <is>
          <t>N/D</t>
        </is>
      </c>
    </row>
    <row r="2739" ht="22" customHeight="1">
      <c r="A2739" s="6" t="inlineStr">
        <is>
          <t>CUL-2735</t>
        </is>
      </c>
      <c r="B2739" s="5" t="n">
        <v>532</v>
      </c>
      <c r="C2739" s="7" t="inlineStr">
        <is>
          <t>Nº 28520</t>
        </is>
      </c>
      <c r="D2739" s="8" t="inlineStr">
        <is>
          <t>SENHA 720 WG</t>
        </is>
      </c>
      <c r="E2739" s="7" t="inlineStr">
        <is>
          <t>Pulverização Agrícola Conforme Bula</t>
        </is>
      </c>
      <c r="F2739" s="7" t="inlineStr">
        <is>
          <t>Café (Jato Dirigido)</t>
        </is>
      </c>
      <c r="G2739" s="7" t="inlineStr">
        <is>
          <t>Cultura Autorizada na Bula</t>
        </is>
      </c>
      <c r="H2739" s="7" t="inlineStr">
        <is>
          <t>100 a 300 L/ha</t>
        </is>
      </c>
      <c r="I2739" s="7" t="inlineStr">
        <is>
          <t>20 a 40 L/ha</t>
        </is>
      </c>
      <c r="J2739" s="7" t="inlineStr">
        <is>
          <t>15 dias</t>
        </is>
      </c>
    </row>
    <row r="2740" ht="22" customHeight="1">
      <c r="A2740" s="12" t="inlineStr">
        <is>
          <t>CUL-2736</t>
        </is>
      </c>
      <c r="B2740" s="11" t="n">
        <v>532</v>
      </c>
      <c r="C2740" s="13" t="inlineStr">
        <is>
          <t>Nº 28520</t>
        </is>
      </c>
      <c r="D2740" s="14" t="inlineStr">
        <is>
          <t>SENHA 720 WG</t>
        </is>
      </c>
      <c r="E2740" s="13" t="inlineStr">
        <is>
          <t>Pulverização Agrícola Conforme Bula</t>
        </is>
      </c>
      <c r="F2740" s="13" t="inlineStr">
        <is>
          <t>Citros (Jato Dirigido)</t>
        </is>
      </c>
      <c r="G2740" s="13" t="inlineStr">
        <is>
          <t>Cultura Autorizada na Bula</t>
        </is>
      </c>
      <c r="H2740" s="13" t="inlineStr">
        <is>
          <t>100 a 300 L/ha</t>
        </is>
      </c>
      <c r="I2740" s="13" t="inlineStr">
        <is>
          <t>20 a 40 L/ha</t>
        </is>
      </c>
      <c r="J2740" s="13" t="inlineStr">
        <is>
          <t>30 dias</t>
        </is>
      </c>
    </row>
    <row r="2741" ht="22" customHeight="1">
      <c r="A2741" s="6" t="inlineStr">
        <is>
          <t>CUL-2737</t>
        </is>
      </c>
      <c r="B2741" s="5" t="n">
        <v>532</v>
      </c>
      <c r="C2741" s="7" t="inlineStr">
        <is>
          <t>Nº 28520</t>
        </is>
      </c>
      <c r="D2741" s="8" t="inlineStr">
        <is>
          <t>SENHA 720 WG</t>
        </is>
      </c>
      <c r="E2741" s="7" t="inlineStr">
        <is>
          <t>Pulverização Agrícola Conforme Bula</t>
        </is>
      </c>
      <c r="F2741" s="7" t="inlineStr">
        <is>
          <t>Trigo (Pré-Plantio)</t>
        </is>
      </c>
      <c r="G2741" s="7" t="inlineStr">
        <is>
          <t>Cultura Autorizada na Bula</t>
        </is>
      </c>
      <c r="H2741" s="7" t="inlineStr">
        <is>
          <t>100 a 300 L/ha</t>
        </is>
      </c>
      <c r="I2741" s="7" t="inlineStr">
        <is>
          <t>20 a 40 L/ha</t>
        </is>
      </c>
      <c r="J2741" s="7" t="inlineStr">
        <is>
          <t>N/D</t>
        </is>
      </c>
    </row>
    <row r="2742" ht="22" customHeight="1">
      <c r="A2742" s="12" t="inlineStr">
        <is>
          <t>CUL-2738</t>
        </is>
      </c>
      <c r="B2742" s="11" t="n">
        <v>532</v>
      </c>
      <c r="C2742" s="13" t="inlineStr">
        <is>
          <t>Nº 28520</t>
        </is>
      </c>
      <c r="D2742" s="14" t="inlineStr">
        <is>
          <t>SENHA 720 WG</t>
        </is>
      </c>
      <c r="E2742" s="13" t="inlineStr">
        <is>
          <t>Pulverização Agrícola Conforme Bula</t>
        </is>
      </c>
      <c r="F2742" s="13" t="inlineStr">
        <is>
          <t>Pastagens</t>
        </is>
      </c>
      <c r="G2742" s="13" t="inlineStr">
        <is>
          <t>Cultura Autorizada na Bula</t>
        </is>
      </c>
      <c r="H2742" s="13" t="inlineStr">
        <is>
          <t>100 a 300 L/ha</t>
        </is>
      </c>
      <c r="I2742" s="13" t="inlineStr">
        <is>
          <t>20 a 40 L/ha</t>
        </is>
      </c>
      <c r="J2742" s="13" t="inlineStr">
        <is>
          <t>N/D</t>
        </is>
      </c>
    </row>
    <row r="2743" ht="22" customHeight="1">
      <c r="A2743" s="6" t="inlineStr">
        <is>
          <t>CUL-2739</t>
        </is>
      </c>
      <c r="B2743" s="5" t="n">
        <v>533</v>
      </c>
      <c r="C2743" s="7" t="inlineStr">
        <is>
          <t>ISENTO (ATO 104/2017)</t>
        </is>
      </c>
      <c r="D2743" s="8" t="inlineStr">
        <is>
          <t>AGRICOIL CITRUS</t>
        </is>
      </c>
      <c r="E2743" s="7" t="inlineStr">
        <is>
          <t>Pulverização Agrícola Conforme Bula</t>
        </is>
      </c>
      <c r="F2743" s="7" t="inlineStr">
        <is>
          <t>Soja, Milho, Algodão, Café, Citros, Cana-de-açúcar (Adição à calda)</t>
        </is>
      </c>
      <c r="G2743" s="7" t="inlineStr">
        <is>
          <t>Cultura Autorizada na Bula</t>
        </is>
      </c>
      <c r="H2743" s="7" t="inlineStr">
        <is>
          <t>100 a 300 L/ha</t>
        </is>
      </c>
      <c r="I2743" s="7" t="inlineStr">
        <is>
          <t>20 a 40 L/ha</t>
        </is>
      </c>
      <c r="J2743" s="7" t="inlineStr">
        <is>
          <t>Conforme defensivo principal</t>
        </is>
      </c>
    </row>
    <row r="2744" ht="22" customHeight="1">
      <c r="A2744" s="12" t="inlineStr">
        <is>
          <t>CUL-2740</t>
        </is>
      </c>
      <c r="B2744" s="11" t="n">
        <v>534</v>
      </c>
      <c r="C2744" s="13" t="inlineStr">
        <is>
          <t>Nº 26718</t>
        </is>
      </c>
      <c r="D2744" s="14" t="inlineStr">
        <is>
          <t>DINKY 200 SP 0,200KG (IMP) (AMOSTRA)</t>
        </is>
      </c>
      <c r="E2744" s="13" t="inlineStr">
        <is>
          <t>Pulverização Agrícola Conforme Bula</t>
        </is>
      </c>
      <c r="F2744" s="13" t="inlineStr">
        <is>
          <t>Algodão</t>
        </is>
      </c>
      <c r="G2744" s="13" t="inlineStr">
        <is>
          <t>Cultura Autorizada na Bula</t>
        </is>
      </c>
      <c r="H2744" s="13" t="inlineStr">
        <is>
          <t>100 a 300 L/ha</t>
        </is>
      </c>
      <c r="I2744" s="13" t="inlineStr">
        <is>
          <t>20 a 40 L/ha</t>
        </is>
      </c>
      <c r="J2744" s="13" t="inlineStr">
        <is>
          <t>28 dias</t>
        </is>
      </c>
    </row>
    <row r="2745" ht="22" customHeight="1">
      <c r="A2745" s="6" t="inlineStr">
        <is>
          <t>CUL-2741</t>
        </is>
      </c>
      <c r="B2745" s="5" t="n">
        <v>534</v>
      </c>
      <c r="C2745" s="7" t="inlineStr">
        <is>
          <t>Nº 26718</t>
        </is>
      </c>
      <c r="D2745" s="8" t="inlineStr">
        <is>
          <t>DINKY 200 SP 0,200KG (IMP) (AMOSTRA)</t>
        </is>
      </c>
      <c r="E2745" s="7" t="inlineStr">
        <is>
          <t>Pulverização Agrícola Conforme Bula</t>
        </is>
      </c>
      <c r="F2745" s="7" t="inlineStr">
        <is>
          <t>Soja</t>
        </is>
      </c>
      <c r="G2745" s="7" t="inlineStr">
        <is>
          <t>Cultura Autorizada na Bula</t>
        </is>
      </c>
      <c r="H2745" s="7" t="inlineStr">
        <is>
          <t>100 a 300 L/ha</t>
        </is>
      </c>
      <c r="I2745" s="7" t="inlineStr">
        <is>
          <t>20 a 40 L/ha</t>
        </is>
      </c>
      <c r="J2745" s="7" t="inlineStr">
        <is>
          <t>21 dias</t>
        </is>
      </c>
    </row>
    <row r="2746" ht="22" customHeight="1">
      <c r="A2746" s="12" t="inlineStr">
        <is>
          <t>CUL-2742</t>
        </is>
      </c>
      <c r="B2746" s="11" t="n">
        <v>534</v>
      </c>
      <c r="C2746" s="13" t="inlineStr">
        <is>
          <t>Nº 26718</t>
        </is>
      </c>
      <c r="D2746" s="14" t="inlineStr">
        <is>
          <t>DINKY 200 SP 0,200KG (IMP) (AMOSTRA)</t>
        </is>
      </c>
      <c r="E2746" s="13" t="inlineStr">
        <is>
          <t>Pulverização Agrícola Conforme Bula</t>
        </is>
      </c>
      <c r="F2746" s="13" t="inlineStr">
        <is>
          <t>Milho</t>
        </is>
      </c>
      <c r="G2746" s="13" t="inlineStr">
        <is>
          <t>Cultura Autorizada na Bula</t>
        </is>
      </c>
      <c r="H2746" s="13" t="inlineStr">
        <is>
          <t>100 a 300 L/ha</t>
        </is>
      </c>
      <c r="I2746" s="13" t="inlineStr">
        <is>
          <t>20 a 40 L/ha</t>
        </is>
      </c>
      <c r="J2746" s="13" t="inlineStr">
        <is>
          <t>30 dias</t>
        </is>
      </c>
    </row>
    <row r="2747" ht="22" customHeight="1">
      <c r="A2747" s="6" t="inlineStr">
        <is>
          <t>CUL-2743</t>
        </is>
      </c>
      <c r="B2747" s="5" t="n">
        <v>534</v>
      </c>
      <c r="C2747" s="7" t="inlineStr">
        <is>
          <t>Nº 26718</t>
        </is>
      </c>
      <c r="D2747" s="8" t="inlineStr">
        <is>
          <t>DINKY 200 SP 0,200KG (IMP) (AMOSTRA)</t>
        </is>
      </c>
      <c r="E2747" s="7" t="inlineStr">
        <is>
          <t>Pulverização Agrícola Conforme Bula</t>
        </is>
      </c>
      <c r="F2747" s="7" t="inlineStr">
        <is>
          <t>Feijão</t>
        </is>
      </c>
      <c r="G2747" s="7" t="inlineStr">
        <is>
          <t>Cultura Autorizada na Bula</t>
        </is>
      </c>
      <c r="H2747" s="7" t="inlineStr">
        <is>
          <t>100 a 300 L/ha</t>
        </is>
      </c>
      <c r="I2747" s="7" t="inlineStr">
        <is>
          <t>20 a 40 L/ha</t>
        </is>
      </c>
      <c r="J2747" s="7" t="inlineStr">
        <is>
          <t>14 dias</t>
        </is>
      </c>
    </row>
    <row r="2748" ht="22" customHeight="1">
      <c r="A2748" s="12" t="inlineStr">
        <is>
          <t>CUL-2744</t>
        </is>
      </c>
      <c r="B2748" s="11" t="n">
        <v>534</v>
      </c>
      <c r="C2748" s="13" t="inlineStr">
        <is>
          <t>Nº 26718</t>
        </is>
      </c>
      <c r="D2748" s="14" t="inlineStr">
        <is>
          <t>DINKY 200 SP 0,200KG (IMP) (AMOSTRA)</t>
        </is>
      </c>
      <c r="E2748" s="13" t="inlineStr">
        <is>
          <t>Pulverização Agrícola Conforme Bula</t>
        </is>
      </c>
      <c r="F2748" s="13" t="inlineStr">
        <is>
          <t>Café</t>
        </is>
      </c>
      <c r="G2748" s="13" t="inlineStr">
        <is>
          <t>Cultura Autorizada na Bula</t>
        </is>
      </c>
      <c r="H2748" s="13" t="inlineStr">
        <is>
          <t>100 a 300 L/ha</t>
        </is>
      </c>
      <c r="I2748" s="13" t="inlineStr">
        <is>
          <t>20 a 40 L/ha</t>
        </is>
      </c>
      <c r="J2748" s="13" t="inlineStr">
        <is>
          <t>28 dias</t>
        </is>
      </c>
    </row>
    <row r="2749" ht="22" customHeight="1">
      <c r="A2749" s="6" t="inlineStr">
        <is>
          <t>CUL-2745</t>
        </is>
      </c>
      <c r="B2749" s="5" t="n">
        <v>534</v>
      </c>
      <c r="C2749" s="7" t="inlineStr">
        <is>
          <t>Nº 26718</t>
        </is>
      </c>
      <c r="D2749" s="8" t="inlineStr">
        <is>
          <t>DINKY 200 SP 0,200KG (IMP) (AMOSTRA)</t>
        </is>
      </c>
      <c r="E2749" s="7" t="inlineStr">
        <is>
          <t>Pulverização Agrícola Conforme Bula</t>
        </is>
      </c>
      <c r="F2749" s="7" t="inlineStr">
        <is>
          <t>Citros</t>
        </is>
      </c>
      <c r="G2749" s="7" t="inlineStr">
        <is>
          <t>Cultura Autorizada na Bula</t>
        </is>
      </c>
      <c r="H2749" s="7" t="inlineStr">
        <is>
          <t>100 a 300 L/ha</t>
        </is>
      </c>
      <c r="I2749" s="7" t="inlineStr">
        <is>
          <t>20 a 40 L/ha</t>
        </is>
      </c>
      <c r="J2749" s="7" t="inlineStr">
        <is>
          <t>7 dias</t>
        </is>
      </c>
    </row>
    <row r="2750" ht="22" customHeight="1">
      <c r="A2750" s="12" t="inlineStr">
        <is>
          <t>CUL-2746</t>
        </is>
      </c>
      <c r="B2750" s="11" t="n">
        <v>534</v>
      </c>
      <c r="C2750" s="13" t="inlineStr">
        <is>
          <t>Nº 26718</t>
        </is>
      </c>
      <c r="D2750" s="14" t="inlineStr">
        <is>
          <t>DINKY 200 SP 0,200KG (IMP) (AMOSTRA)</t>
        </is>
      </c>
      <c r="E2750" s="13" t="inlineStr">
        <is>
          <t>Pulverização Agrícola Conforme Bula</t>
        </is>
      </c>
      <c r="F2750" s="13" t="inlineStr">
        <is>
          <t>Tomate</t>
        </is>
      </c>
      <c r="G2750" s="13" t="inlineStr">
        <is>
          <t>Cultura Autorizada na Bula</t>
        </is>
      </c>
      <c r="H2750" s="13" t="inlineStr">
        <is>
          <t>100 a 300 L/ha</t>
        </is>
      </c>
      <c r="I2750" s="13" t="inlineStr">
        <is>
          <t>20 a 40 L/ha</t>
        </is>
      </c>
      <c r="J2750" s="13" t="inlineStr">
        <is>
          <t>3 dias</t>
        </is>
      </c>
    </row>
    <row r="2751" ht="22" customHeight="1">
      <c r="A2751" s="6" t="inlineStr">
        <is>
          <t>CUL-2747</t>
        </is>
      </c>
      <c r="B2751" s="5" t="n">
        <v>535</v>
      </c>
      <c r="C2751" s="7" t="inlineStr">
        <is>
          <t>Nº 6922</t>
        </is>
      </c>
      <c r="D2751" s="8" t="inlineStr">
        <is>
          <t>INSECTRIN 0,200L (IMP) AMOSTRA</t>
        </is>
      </c>
      <c r="E2751" s="7" t="inlineStr">
        <is>
          <t>Pulverização Agrícola Conforme Bula</t>
        </is>
      </c>
      <c r="F2751" s="7" t="inlineStr">
        <is>
          <t>Algodão</t>
        </is>
      </c>
      <c r="G2751" s="7" t="inlineStr">
        <is>
          <t>Cultura Autorizada na Bula</t>
        </is>
      </c>
      <c r="H2751" s="7" t="inlineStr">
        <is>
          <t>100 a 300 L/ha</t>
        </is>
      </c>
      <c r="I2751" s="7" t="inlineStr">
        <is>
          <t>20 a 40 L/ha</t>
        </is>
      </c>
      <c r="J2751" s="7" t="inlineStr">
        <is>
          <t>15 dias</t>
        </is>
      </c>
    </row>
    <row r="2752" ht="22" customHeight="1">
      <c r="A2752" s="12" t="inlineStr">
        <is>
          <t>CUL-2748</t>
        </is>
      </c>
      <c r="B2752" s="11" t="n">
        <v>535</v>
      </c>
      <c r="C2752" s="13" t="inlineStr">
        <is>
          <t>Nº 6922</t>
        </is>
      </c>
      <c r="D2752" s="14" t="inlineStr">
        <is>
          <t>INSECTRIN 0,200L (IMP) AMOSTRA</t>
        </is>
      </c>
      <c r="E2752" s="13" t="inlineStr">
        <is>
          <t>Pulverização Agrícola Conforme Bula</t>
        </is>
      </c>
      <c r="F2752" s="13" t="inlineStr">
        <is>
          <t>Soja</t>
        </is>
      </c>
      <c r="G2752" s="13" t="inlineStr">
        <is>
          <t>Cultura Autorizada na Bula</t>
        </is>
      </c>
      <c r="H2752" s="13" t="inlineStr">
        <is>
          <t>100 a 300 L/ha</t>
        </is>
      </c>
      <c r="I2752" s="13" t="inlineStr">
        <is>
          <t>20 a 40 L/ha</t>
        </is>
      </c>
      <c r="J2752" s="13" t="inlineStr">
        <is>
          <t>30 dias</t>
        </is>
      </c>
    </row>
    <row r="2753" ht="22" customHeight="1">
      <c r="A2753" s="6" t="inlineStr">
        <is>
          <t>CUL-2749</t>
        </is>
      </c>
      <c r="B2753" s="5" t="n">
        <v>535</v>
      </c>
      <c r="C2753" s="7" t="inlineStr">
        <is>
          <t>Nº 6922</t>
        </is>
      </c>
      <c r="D2753" s="8" t="inlineStr">
        <is>
          <t>INSECTRIN 0,200L (IMP) AMOSTRA</t>
        </is>
      </c>
      <c r="E2753" s="7" t="inlineStr">
        <is>
          <t>Pulverização Agrícola Conforme Bula</t>
        </is>
      </c>
      <c r="F2753" s="7" t="inlineStr">
        <is>
          <t>Milho</t>
        </is>
      </c>
      <c r="G2753" s="7" t="inlineStr">
        <is>
          <t>Cultura Autorizada na Bula</t>
        </is>
      </c>
      <c r="H2753" s="7" t="inlineStr">
        <is>
          <t>100 a 300 L/ha</t>
        </is>
      </c>
      <c r="I2753" s="7" t="inlineStr">
        <is>
          <t>20 a 40 L/ha</t>
        </is>
      </c>
      <c r="J2753" s="7" t="inlineStr">
        <is>
          <t>30 dias</t>
        </is>
      </c>
    </row>
    <row r="2754" ht="22" customHeight="1">
      <c r="A2754" s="12" t="inlineStr">
        <is>
          <t>CUL-2750</t>
        </is>
      </c>
      <c r="B2754" s="11" t="n">
        <v>535</v>
      </c>
      <c r="C2754" s="13" t="inlineStr">
        <is>
          <t>Nº 6922</t>
        </is>
      </c>
      <c r="D2754" s="14" t="inlineStr">
        <is>
          <t>INSECTRIN 0,200L (IMP) AMOSTRA</t>
        </is>
      </c>
      <c r="E2754" s="13" t="inlineStr">
        <is>
          <t>Pulverização Agrícola Conforme Bula</t>
        </is>
      </c>
      <c r="F2754" s="13" t="inlineStr">
        <is>
          <t>Cana-de-açúcar</t>
        </is>
      </c>
      <c r="G2754" s="13" t="inlineStr">
        <is>
          <t>Cultura Autorizada na Bula</t>
        </is>
      </c>
      <c r="H2754" s="13" t="inlineStr">
        <is>
          <t>100 a 300 L/ha</t>
        </is>
      </c>
      <c r="I2754" s="13" t="inlineStr">
        <is>
          <t>20 a 40 L/ha</t>
        </is>
      </c>
      <c r="J2754" s="13" t="inlineStr">
        <is>
          <t>30 dias</t>
        </is>
      </c>
    </row>
    <row r="2755" ht="22" customHeight="1">
      <c r="A2755" s="6" t="inlineStr">
        <is>
          <t>CUL-2751</t>
        </is>
      </c>
      <c r="B2755" s="5" t="n">
        <v>535</v>
      </c>
      <c r="C2755" s="7" t="inlineStr">
        <is>
          <t>Nº 6922</t>
        </is>
      </c>
      <c r="D2755" s="8" t="inlineStr">
        <is>
          <t>INSECTRIN 0,200L (IMP) AMOSTRA</t>
        </is>
      </c>
      <c r="E2755" s="7" t="inlineStr">
        <is>
          <t>Pulverização Agrícola Conforme Bula</t>
        </is>
      </c>
      <c r="F2755" s="7" t="inlineStr">
        <is>
          <t>Café</t>
        </is>
      </c>
      <c r="G2755" s="7" t="inlineStr">
        <is>
          <t>Cultura Autorizada na Bula</t>
        </is>
      </c>
      <c r="H2755" s="7" t="inlineStr">
        <is>
          <t>100 a 300 L/ha</t>
        </is>
      </c>
      <c r="I2755" s="7" t="inlineStr">
        <is>
          <t>20 a 40 L/ha</t>
        </is>
      </c>
      <c r="J2755" s="7" t="inlineStr">
        <is>
          <t>30 dias</t>
        </is>
      </c>
    </row>
    <row r="2756" ht="22" customHeight="1">
      <c r="A2756" s="12" t="inlineStr">
        <is>
          <t>CUL-2752</t>
        </is>
      </c>
      <c r="B2756" s="11" t="n">
        <v>535</v>
      </c>
      <c r="C2756" s="13" t="inlineStr">
        <is>
          <t>Nº 6922</t>
        </is>
      </c>
      <c r="D2756" s="14" t="inlineStr">
        <is>
          <t>INSECTRIN 0,200L (IMP) AMOSTRA</t>
        </is>
      </c>
      <c r="E2756" s="13" t="inlineStr">
        <is>
          <t>Pulverização Agrícola Conforme Bula</t>
        </is>
      </c>
      <c r="F2756" s="13" t="inlineStr">
        <is>
          <t>Citros</t>
        </is>
      </c>
      <c r="G2756" s="13" t="inlineStr">
        <is>
          <t>Cultura Autorizada na Bula</t>
        </is>
      </c>
      <c r="H2756" s="13" t="inlineStr">
        <is>
          <t>100 a 300 L/ha</t>
        </is>
      </c>
      <c r="I2756" s="13" t="inlineStr">
        <is>
          <t>20 a 40 L/ha</t>
        </is>
      </c>
      <c r="J2756" s="13" t="inlineStr">
        <is>
          <t>7 dias</t>
        </is>
      </c>
    </row>
    <row r="2757" ht="22" customHeight="1">
      <c r="A2757" s="6" t="inlineStr">
        <is>
          <t>CUL-2753</t>
        </is>
      </c>
      <c r="B2757" s="5" t="n">
        <v>535</v>
      </c>
      <c r="C2757" s="7" t="inlineStr">
        <is>
          <t>Nº 6922</t>
        </is>
      </c>
      <c r="D2757" s="8" t="inlineStr">
        <is>
          <t>INSECTRIN 0,200L (IMP) AMOSTRA</t>
        </is>
      </c>
      <c r="E2757" s="7" t="inlineStr">
        <is>
          <t>Pulverização Agrícola Conforme Bula</t>
        </is>
      </c>
      <c r="F2757" s="7" t="inlineStr">
        <is>
          <t>Feijão</t>
        </is>
      </c>
      <c r="G2757" s="7" t="inlineStr">
        <is>
          <t>Cultura Autorizada na Bula</t>
        </is>
      </c>
      <c r="H2757" s="7" t="inlineStr">
        <is>
          <t>100 a 300 L/ha</t>
        </is>
      </c>
      <c r="I2757" s="7" t="inlineStr">
        <is>
          <t>20 a 40 L/ha</t>
        </is>
      </c>
      <c r="J2757" s="7" t="inlineStr">
        <is>
          <t>20 dias</t>
        </is>
      </c>
    </row>
    <row r="2758" ht="22" customHeight="1">
      <c r="A2758" s="12" t="inlineStr">
        <is>
          <t>CUL-2754</t>
        </is>
      </c>
      <c r="B2758" s="11" t="n">
        <v>535</v>
      </c>
      <c r="C2758" s="13" t="inlineStr">
        <is>
          <t>Nº 6922</t>
        </is>
      </c>
      <c r="D2758" s="14" t="inlineStr">
        <is>
          <t>INSECTRIN 0,200L (IMP) AMOSTRA</t>
        </is>
      </c>
      <c r="E2758" s="13" t="inlineStr">
        <is>
          <t>Pulverização Agrícola Conforme Bula</t>
        </is>
      </c>
      <c r="F2758" s="13" t="inlineStr">
        <is>
          <t>Trigo</t>
        </is>
      </c>
      <c r="G2758" s="13" t="inlineStr">
        <is>
          <t>Cultura Autorizada na Bula</t>
        </is>
      </c>
      <c r="H2758" s="13" t="inlineStr">
        <is>
          <t>100 a 300 L/ha</t>
        </is>
      </c>
      <c r="I2758" s="13" t="inlineStr">
        <is>
          <t>20 a 40 L/ha</t>
        </is>
      </c>
      <c r="J2758" s="13" t="inlineStr">
        <is>
          <t>30 dias</t>
        </is>
      </c>
    </row>
    <row r="2759" ht="22" customHeight="1">
      <c r="A2759" s="6" t="inlineStr">
        <is>
          <t>CUL-2755</t>
        </is>
      </c>
      <c r="B2759" s="5" t="n">
        <v>536</v>
      </c>
      <c r="C2759" s="7" t="inlineStr">
        <is>
          <t>Nº 3224</t>
        </is>
      </c>
      <c r="D2759" s="8" t="inlineStr">
        <is>
          <t>CHLOROTHALONIL</t>
        </is>
      </c>
      <c r="E2759" s="7" t="inlineStr">
        <is>
          <t>Pulverização Agrícola Conforme Bula</t>
        </is>
      </c>
      <c r="F2759" s="7" t="inlineStr">
        <is>
          <t>Soja</t>
        </is>
      </c>
      <c r="G2759" s="7" t="inlineStr">
        <is>
          <t>Cultura Autorizada na Bula</t>
        </is>
      </c>
      <c r="H2759" s="7" t="inlineStr">
        <is>
          <t>100 a 300 L/ha</t>
        </is>
      </c>
      <c r="I2759" s="7" t="inlineStr">
        <is>
          <t>20 a 40 L/ha</t>
        </is>
      </c>
      <c r="J2759" s="7" t="inlineStr">
        <is>
          <t>14 dias</t>
        </is>
      </c>
    </row>
    <row r="2760" ht="22" customHeight="1">
      <c r="A2760" s="12" t="inlineStr">
        <is>
          <t>CUL-2756</t>
        </is>
      </c>
      <c r="B2760" s="11" t="n">
        <v>536</v>
      </c>
      <c r="C2760" s="13" t="inlineStr">
        <is>
          <t>Nº 3224</t>
        </is>
      </c>
      <c r="D2760" s="14" t="inlineStr">
        <is>
          <t>CHLOROTHALONIL</t>
        </is>
      </c>
      <c r="E2760" s="13" t="inlineStr">
        <is>
          <t>Pulverização Agrícola Conforme Bula</t>
        </is>
      </c>
      <c r="F2760" s="13" t="inlineStr">
        <is>
          <t>Algodão</t>
        </is>
      </c>
      <c r="G2760" s="13" t="inlineStr">
        <is>
          <t>Cultura Autorizada na Bula</t>
        </is>
      </c>
      <c r="H2760" s="13" t="inlineStr">
        <is>
          <t>100 a 300 L/ha</t>
        </is>
      </c>
      <c r="I2760" s="13" t="inlineStr">
        <is>
          <t>20 a 40 L/ha</t>
        </is>
      </c>
      <c r="J2760" s="13" t="inlineStr">
        <is>
          <t>14 dias</t>
        </is>
      </c>
    </row>
    <row r="2761" ht="22" customHeight="1">
      <c r="A2761" s="6" t="inlineStr">
        <is>
          <t>CUL-2757</t>
        </is>
      </c>
      <c r="B2761" s="5" t="n">
        <v>536</v>
      </c>
      <c r="C2761" s="7" t="inlineStr">
        <is>
          <t>Nº 3224</t>
        </is>
      </c>
      <c r="D2761" s="8" t="inlineStr">
        <is>
          <t>CHLOROTHALONIL</t>
        </is>
      </c>
      <c r="E2761" s="7" t="inlineStr">
        <is>
          <t>Pulverização Agrícola Conforme Bula</t>
        </is>
      </c>
      <c r="F2761" s="7" t="inlineStr">
        <is>
          <t>Feijão</t>
        </is>
      </c>
      <c r="G2761" s="7" t="inlineStr">
        <is>
          <t>Cultura Autorizada na Bula</t>
        </is>
      </c>
      <c r="H2761" s="7" t="inlineStr">
        <is>
          <t>100 a 300 L/ha</t>
        </is>
      </c>
      <c r="I2761" s="7" t="inlineStr">
        <is>
          <t>20 a 40 L/ha</t>
        </is>
      </c>
      <c r="J2761" s="7" t="inlineStr">
        <is>
          <t>14 dias</t>
        </is>
      </c>
    </row>
    <row r="2762" ht="22" customHeight="1">
      <c r="A2762" s="12" t="inlineStr">
        <is>
          <t>CUL-2758</t>
        </is>
      </c>
      <c r="B2762" s="11" t="n">
        <v>536</v>
      </c>
      <c r="C2762" s="13" t="inlineStr">
        <is>
          <t>Nº 3224</t>
        </is>
      </c>
      <c r="D2762" s="14" t="inlineStr">
        <is>
          <t>CHLOROTHALONIL</t>
        </is>
      </c>
      <c r="E2762" s="13" t="inlineStr">
        <is>
          <t>Pulverização Agrícola Conforme Bula</t>
        </is>
      </c>
      <c r="F2762" s="13" t="inlineStr">
        <is>
          <t>Milho</t>
        </is>
      </c>
      <c r="G2762" s="13" t="inlineStr">
        <is>
          <t>Cultura Autorizada na Bula</t>
        </is>
      </c>
      <c r="H2762" s="13" t="inlineStr">
        <is>
          <t>100 a 300 L/ha</t>
        </is>
      </c>
      <c r="I2762" s="13" t="inlineStr">
        <is>
          <t>20 a 40 L/ha</t>
        </is>
      </c>
      <c r="J2762" s="13" t="inlineStr">
        <is>
          <t>14 dias</t>
        </is>
      </c>
    </row>
    <row r="2763" ht="22" customHeight="1">
      <c r="A2763" s="6" t="inlineStr">
        <is>
          <t>CUL-2759</t>
        </is>
      </c>
      <c r="B2763" s="5" t="n">
        <v>536</v>
      </c>
      <c r="C2763" s="7" t="inlineStr">
        <is>
          <t>Nº 3224</t>
        </is>
      </c>
      <c r="D2763" s="8" t="inlineStr">
        <is>
          <t>CHLOROTHALONIL</t>
        </is>
      </c>
      <c r="E2763" s="7" t="inlineStr">
        <is>
          <t>Pulverização Agrícola Conforme Bula</t>
        </is>
      </c>
      <c r="F2763" s="7" t="inlineStr">
        <is>
          <t>Trigo</t>
        </is>
      </c>
      <c r="G2763" s="7" t="inlineStr">
        <is>
          <t>Cultura Autorizada na Bula</t>
        </is>
      </c>
      <c r="H2763" s="7" t="inlineStr">
        <is>
          <t>100 a 300 L/ha</t>
        </is>
      </c>
      <c r="I2763" s="7" t="inlineStr">
        <is>
          <t>20 a 40 L/ha</t>
        </is>
      </c>
      <c r="J2763" s="7" t="inlineStr">
        <is>
          <t>30 dias</t>
        </is>
      </c>
    </row>
    <row r="2764" ht="22" customHeight="1">
      <c r="A2764" s="12" t="inlineStr">
        <is>
          <t>CUL-2760</t>
        </is>
      </c>
      <c r="B2764" s="11" t="n">
        <v>536</v>
      </c>
      <c r="C2764" s="13" t="inlineStr">
        <is>
          <t>Nº 3224</t>
        </is>
      </c>
      <c r="D2764" s="14" t="inlineStr">
        <is>
          <t>CHLOROTHALONIL</t>
        </is>
      </c>
      <c r="E2764" s="13" t="inlineStr">
        <is>
          <t>Pulverização Agrícola Conforme Bula</t>
        </is>
      </c>
      <c r="F2764" s="13" t="inlineStr">
        <is>
          <t>Batata</t>
        </is>
      </c>
      <c r="G2764" s="13" t="inlineStr">
        <is>
          <t>Cultura Autorizada na Bula</t>
        </is>
      </c>
      <c r="H2764" s="13" t="inlineStr">
        <is>
          <t>100 a 300 L/ha</t>
        </is>
      </c>
      <c r="I2764" s="13" t="inlineStr">
        <is>
          <t>20 a 40 L/ha</t>
        </is>
      </c>
      <c r="J2764" s="13" t="inlineStr">
        <is>
          <t>7 dias</t>
        </is>
      </c>
    </row>
    <row r="2765" ht="22" customHeight="1">
      <c r="A2765" s="6" t="inlineStr">
        <is>
          <t>CUL-2761</t>
        </is>
      </c>
      <c r="B2765" s="5" t="n">
        <v>536</v>
      </c>
      <c r="C2765" s="7" t="inlineStr">
        <is>
          <t>Nº 3224</t>
        </is>
      </c>
      <c r="D2765" s="8" t="inlineStr">
        <is>
          <t>CHLOROTHALONIL</t>
        </is>
      </c>
      <c r="E2765" s="7" t="inlineStr">
        <is>
          <t>Pulverização Agrícola Conforme Bula</t>
        </is>
      </c>
      <c r="F2765" s="7" t="inlineStr">
        <is>
          <t>Café</t>
        </is>
      </c>
      <c r="G2765" s="7" t="inlineStr">
        <is>
          <t>Cultura Autorizada na Bula</t>
        </is>
      </c>
      <c r="H2765" s="7" t="inlineStr">
        <is>
          <t>100 a 300 L/ha</t>
        </is>
      </c>
      <c r="I2765" s="7" t="inlineStr">
        <is>
          <t>20 a 40 L/ha</t>
        </is>
      </c>
      <c r="J2765" s="7" t="inlineStr">
        <is>
          <t>30 dias</t>
        </is>
      </c>
    </row>
    <row r="2766" ht="22" customHeight="1">
      <c r="A2766" s="12" t="inlineStr">
        <is>
          <t>CUL-2762</t>
        </is>
      </c>
      <c r="B2766" s="11" t="n">
        <v>536</v>
      </c>
      <c r="C2766" s="13" t="inlineStr">
        <is>
          <t>Nº 3224</t>
        </is>
      </c>
      <c r="D2766" s="14" t="inlineStr">
        <is>
          <t>CHLOROTHALONIL</t>
        </is>
      </c>
      <c r="E2766" s="13" t="inlineStr">
        <is>
          <t>Pulverização Agrícola Conforme Bula</t>
        </is>
      </c>
      <c r="F2766" s="13" t="inlineStr">
        <is>
          <t>Tomate</t>
        </is>
      </c>
      <c r="G2766" s="13" t="inlineStr">
        <is>
          <t>Cultura Autorizada na Bula</t>
        </is>
      </c>
      <c r="H2766" s="13" t="inlineStr">
        <is>
          <t>100 a 300 L/ha</t>
        </is>
      </c>
      <c r="I2766" s="13" t="inlineStr">
        <is>
          <t>20 a 40 L/ha</t>
        </is>
      </c>
      <c r="J2766" s="13" t="inlineStr">
        <is>
          <t>7 dias</t>
        </is>
      </c>
    </row>
    <row r="2767" ht="22" customHeight="1">
      <c r="A2767" s="6" t="inlineStr">
        <is>
          <t>CUL-2763</t>
        </is>
      </c>
      <c r="B2767" s="5" t="n">
        <v>537</v>
      </c>
      <c r="C2767" s="7" t="inlineStr">
        <is>
          <t>Nº 40624</t>
        </is>
      </c>
      <c r="D2767" s="8" t="inlineStr">
        <is>
          <t>CHLORPYRIFOS 480 EC AGCN 0,200 (IMP) AMOSTRA LL</t>
        </is>
      </c>
      <c r="E2767" s="7" t="inlineStr">
        <is>
          <t>Pulverização Agrícola Conforme Bula</t>
        </is>
      </c>
      <c r="F2767" s="7" t="inlineStr">
        <is>
          <t>Soja</t>
        </is>
      </c>
      <c r="G2767" s="7" t="inlineStr">
        <is>
          <t>Cultura Autorizada na Bula</t>
        </is>
      </c>
      <c r="H2767" s="7" t="inlineStr">
        <is>
          <t>100 a 300 L/ha</t>
        </is>
      </c>
      <c r="I2767" s="7" t="inlineStr">
        <is>
          <t>20 a 40 L/ha</t>
        </is>
      </c>
      <c r="J2767" s="7" t="inlineStr">
        <is>
          <t>21 dias</t>
        </is>
      </c>
    </row>
    <row r="2768" ht="22" customHeight="1">
      <c r="A2768" s="12" t="inlineStr">
        <is>
          <t>CUL-2764</t>
        </is>
      </c>
      <c r="B2768" s="11" t="n">
        <v>537</v>
      </c>
      <c r="C2768" s="13" t="inlineStr">
        <is>
          <t>Nº 40624</t>
        </is>
      </c>
      <c r="D2768" s="14" t="inlineStr">
        <is>
          <t>CHLORPYRIFOS 480 EC AGCN 0,200 (IMP) AMOSTRA LL</t>
        </is>
      </c>
      <c r="E2768" s="13" t="inlineStr">
        <is>
          <t>Pulverização Agrícola Conforme Bula</t>
        </is>
      </c>
      <c r="F2768" s="13" t="inlineStr">
        <is>
          <t>Milho</t>
        </is>
      </c>
      <c r="G2768" s="13" t="inlineStr">
        <is>
          <t>Cultura Autorizada na Bula</t>
        </is>
      </c>
      <c r="H2768" s="13" t="inlineStr">
        <is>
          <t>100 a 300 L/ha</t>
        </is>
      </c>
      <c r="I2768" s="13" t="inlineStr">
        <is>
          <t>20 a 40 L/ha</t>
        </is>
      </c>
      <c r="J2768" s="13" t="inlineStr">
        <is>
          <t>21 dias</t>
        </is>
      </c>
    </row>
    <row r="2769" ht="22" customHeight="1">
      <c r="A2769" s="6" t="inlineStr">
        <is>
          <t>CUL-2765</t>
        </is>
      </c>
      <c r="B2769" s="5" t="n">
        <v>537</v>
      </c>
      <c r="C2769" s="7" t="inlineStr">
        <is>
          <t>Nº 40624</t>
        </is>
      </c>
      <c r="D2769" s="8" t="inlineStr">
        <is>
          <t>CHLORPYRIFOS 480 EC AGCN 0,200 (IMP) AMOSTRA LL</t>
        </is>
      </c>
      <c r="E2769" s="7" t="inlineStr">
        <is>
          <t>Pulverização Agrícola Conforme Bula</t>
        </is>
      </c>
      <c r="F2769" s="7" t="inlineStr">
        <is>
          <t>Algodão</t>
        </is>
      </c>
      <c r="G2769" s="7" t="inlineStr">
        <is>
          <t>Cultura Autorizada na Bula</t>
        </is>
      </c>
      <c r="H2769" s="7" t="inlineStr">
        <is>
          <t>100 a 300 L/ha</t>
        </is>
      </c>
      <c r="I2769" s="7" t="inlineStr">
        <is>
          <t>20 a 40 L/ha</t>
        </is>
      </c>
      <c r="J2769" s="7" t="inlineStr">
        <is>
          <t>21 dias</t>
        </is>
      </c>
    </row>
    <row r="2770" ht="22" customHeight="1">
      <c r="A2770" s="12" t="inlineStr">
        <is>
          <t>CUL-2766</t>
        </is>
      </c>
      <c r="B2770" s="11" t="n">
        <v>537</v>
      </c>
      <c r="C2770" s="13" t="inlineStr">
        <is>
          <t>Nº 40624</t>
        </is>
      </c>
      <c r="D2770" s="14" t="inlineStr">
        <is>
          <t>CHLORPYRIFOS 480 EC AGCN 0,200 (IMP) AMOSTRA LL</t>
        </is>
      </c>
      <c r="E2770" s="13" t="inlineStr">
        <is>
          <t>Pulverização Agrícola Conforme Bula</t>
        </is>
      </c>
      <c r="F2770" s="13" t="inlineStr">
        <is>
          <t>Café</t>
        </is>
      </c>
      <c r="G2770" s="13" t="inlineStr">
        <is>
          <t>Cultura Autorizada na Bula</t>
        </is>
      </c>
      <c r="H2770" s="13" t="inlineStr">
        <is>
          <t>100 a 300 L/ha</t>
        </is>
      </c>
      <c r="I2770" s="13" t="inlineStr">
        <is>
          <t>20 a 40 L/ha</t>
        </is>
      </c>
      <c r="J2770" s="13" t="inlineStr">
        <is>
          <t>21 dias</t>
        </is>
      </c>
    </row>
    <row r="2771" ht="22" customHeight="1">
      <c r="A2771" s="6" t="inlineStr">
        <is>
          <t>CUL-2767</t>
        </is>
      </c>
      <c r="B2771" s="5" t="n">
        <v>537</v>
      </c>
      <c r="C2771" s="7" t="inlineStr">
        <is>
          <t>Nº 40624</t>
        </is>
      </c>
      <c r="D2771" s="8" t="inlineStr">
        <is>
          <t>CHLORPYRIFOS 480 EC AGCN 0,200 (IMP) AMOSTRA LL</t>
        </is>
      </c>
      <c r="E2771" s="7" t="inlineStr">
        <is>
          <t>Pulverização Agrícola Conforme Bula</t>
        </is>
      </c>
      <c r="F2771" s="7" t="inlineStr">
        <is>
          <t>Citros</t>
        </is>
      </c>
      <c r="G2771" s="7" t="inlineStr">
        <is>
          <t>Cultura Autorizada na Bula</t>
        </is>
      </c>
      <c r="H2771" s="7" t="inlineStr">
        <is>
          <t>100 a 300 L/ha</t>
        </is>
      </c>
      <c r="I2771" s="7" t="inlineStr">
        <is>
          <t>20 a 40 L/ha</t>
        </is>
      </c>
      <c r="J2771" s="7" t="inlineStr">
        <is>
          <t>21 dias</t>
        </is>
      </c>
    </row>
    <row r="2772" ht="22" customHeight="1">
      <c r="A2772" s="12" t="inlineStr">
        <is>
          <t>CUL-2768</t>
        </is>
      </c>
      <c r="B2772" s="11" t="n">
        <v>537</v>
      </c>
      <c r="C2772" s="13" t="inlineStr">
        <is>
          <t>Nº 40624</t>
        </is>
      </c>
      <c r="D2772" s="14" t="inlineStr">
        <is>
          <t>CHLORPYRIFOS 480 EC AGCN 0,200 (IMP) AMOSTRA LL</t>
        </is>
      </c>
      <c r="E2772" s="13" t="inlineStr">
        <is>
          <t>Pulverização Agrícola Conforme Bula</t>
        </is>
      </c>
      <c r="F2772" s="13" t="inlineStr">
        <is>
          <t>Feijão</t>
        </is>
      </c>
      <c r="G2772" s="13" t="inlineStr">
        <is>
          <t>Cultura Autorizada na Bula</t>
        </is>
      </c>
      <c r="H2772" s="13" t="inlineStr">
        <is>
          <t>100 a 300 L/ha</t>
        </is>
      </c>
      <c r="I2772" s="13" t="inlineStr">
        <is>
          <t>20 a 40 L/ha</t>
        </is>
      </c>
      <c r="J2772" s="13" t="inlineStr">
        <is>
          <t>25 dias</t>
        </is>
      </c>
    </row>
    <row r="2773" ht="22" customHeight="1">
      <c r="A2773" s="6" t="inlineStr">
        <is>
          <t>CUL-2769</t>
        </is>
      </c>
      <c r="B2773" s="5" t="n">
        <v>537</v>
      </c>
      <c r="C2773" s="7" t="inlineStr">
        <is>
          <t>Nº 40624</t>
        </is>
      </c>
      <c r="D2773" s="8" t="inlineStr">
        <is>
          <t>CHLORPYRIFOS 480 EC AGCN 0,200 (IMP) AMOSTRA LL</t>
        </is>
      </c>
      <c r="E2773" s="7" t="inlineStr">
        <is>
          <t>Pulverização Agrícola Conforme Bula</t>
        </is>
      </c>
      <c r="F2773" s="7" t="inlineStr">
        <is>
          <t>Batata</t>
        </is>
      </c>
      <c r="G2773" s="7" t="inlineStr">
        <is>
          <t>Cultura Autorizada na Bula</t>
        </is>
      </c>
      <c r="H2773" s="7" t="inlineStr">
        <is>
          <t>100 a 300 L/ha</t>
        </is>
      </c>
      <c r="I2773" s="7" t="inlineStr">
        <is>
          <t>20 a 40 L/ha</t>
        </is>
      </c>
      <c r="J2773" s="7" t="inlineStr">
        <is>
          <t>21 dias</t>
        </is>
      </c>
    </row>
    <row r="2774" ht="22" customHeight="1">
      <c r="A2774" s="12" t="inlineStr">
        <is>
          <t>CUL-2770</t>
        </is>
      </c>
      <c r="B2774" s="11" t="n">
        <v>537</v>
      </c>
      <c r="C2774" s="13" t="inlineStr">
        <is>
          <t>Nº 40624</t>
        </is>
      </c>
      <c r="D2774" s="14" t="inlineStr">
        <is>
          <t>CHLORPYRIFOS 480 EC AGCN 0,200 (IMP) AMOSTRA LL</t>
        </is>
      </c>
      <c r="E2774" s="13" t="inlineStr">
        <is>
          <t>Pulverização Agrícola Conforme Bula</t>
        </is>
      </c>
      <c r="F2774" s="13" t="inlineStr">
        <is>
          <t>Tomate</t>
        </is>
      </c>
      <c r="G2774" s="13" t="inlineStr">
        <is>
          <t>Cultura Autorizada na Bula</t>
        </is>
      </c>
      <c r="H2774" s="13" t="inlineStr">
        <is>
          <t>100 a 300 L/ha</t>
        </is>
      </c>
      <c r="I2774" s="13" t="inlineStr">
        <is>
          <t>20 a 40 L/ha</t>
        </is>
      </c>
      <c r="J2774" s="13" t="inlineStr">
        <is>
          <t>21 dias</t>
        </is>
      </c>
    </row>
    <row r="2775" ht="22" customHeight="1">
      <c r="A2775" s="6" t="inlineStr">
        <is>
          <t>CUL-2771</t>
        </is>
      </c>
      <c r="B2775" s="5" t="n">
        <v>537</v>
      </c>
      <c r="C2775" s="7" t="inlineStr">
        <is>
          <t>Nº 40624</t>
        </is>
      </c>
      <c r="D2775" s="8" t="inlineStr">
        <is>
          <t>CHLORPYRIFOS 480 EC AGCN 0,200 (IMP) AMOSTRA LL</t>
        </is>
      </c>
      <c r="E2775" s="7" t="inlineStr">
        <is>
          <t>Pulverização Agrícola Conforme Bula</t>
        </is>
      </c>
      <c r="F2775" s="7" t="inlineStr">
        <is>
          <t>Trigo</t>
        </is>
      </c>
      <c r="G2775" s="7" t="inlineStr">
        <is>
          <t>Cultura Autorizada na Bula</t>
        </is>
      </c>
      <c r="H2775" s="7" t="inlineStr">
        <is>
          <t>100 a 300 L/ha</t>
        </is>
      </c>
      <c r="I2775" s="7" t="inlineStr">
        <is>
          <t>20 a 40 L/ha</t>
        </is>
      </c>
      <c r="J2775" s="7" t="inlineStr">
        <is>
          <t>21 dias</t>
        </is>
      </c>
    </row>
    <row r="2776" ht="22" customHeight="1">
      <c r="A2776" s="12" t="inlineStr">
        <is>
          <t>CUL-2772</t>
        </is>
      </c>
      <c r="B2776" s="11" t="n">
        <v>538</v>
      </c>
      <c r="C2776" s="13" t="inlineStr">
        <is>
          <t>Nº 18022</t>
        </is>
      </c>
      <c r="D2776" s="14" t="inlineStr">
        <is>
          <t>TARBOX BR 0,200KG (IMP) AMOSTRA</t>
        </is>
      </c>
      <c r="E2776" s="13" t="inlineStr">
        <is>
          <t>Pulverização Agrícola Conforme Bula</t>
        </is>
      </c>
      <c r="F2776" s="13" t="inlineStr">
        <is>
          <t>Soja (Pré-Plantio / OGM)</t>
        </is>
      </c>
      <c r="G2776" s="13" t="inlineStr">
        <is>
          <t>Cultura Autorizada na Bula</t>
        </is>
      </c>
      <c r="H2776" s="13" t="inlineStr">
        <is>
          <t>100 a 300 L/ha</t>
        </is>
      </c>
      <c r="I2776" s="13" t="inlineStr">
        <is>
          <t>20 a 40 L/ha</t>
        </is>
      </c>
      <c r="J2776" s="13" t="inlineStr">
        <is>
          <t>60 dias</t>
        </is>
      </c>
    </row>
    <row r="2777" ht="22" customHeight="1">
      <c r="A2777" s="6" t="inlineStr">
        <is>
          <t>CUL-2773</t>
        </is>
      </c>
      <c r="B2777" s="5" t="n">
        <v>538</v>
      </c>
      <c r="C2777" s="7" t="inlineStr">
        <is>
          <t>Nº 18022</t>
        </is>
      </c>
      <c r="D2777" s="8" t="inlineStr">
        <is>
          <t>TARBOX BR 0,200KG (IMP) AMOSTRA</t>
        </is>
      </c>
      <c r="E2777" s="7" t="inlineStr">
        <is>
          <t>Pulverização Agrícola Conforme Bula</t>
        </is>
      </c>
      <c r="F2777" s="7" t="inlineStr">
        <is>
          <t>Milho (Pré-Plantio / OGM)</t>
        </is>
      </c>
      <c r="G2777" s="7" t="inlineStr">
        <is>
          <t>Cultura Autorizada na Bula</t>
        </is>
      </c>
      <c r="H2777" s="7" t="inlineStr">
        <is>
          <t>100 a 300 L/ha</t>
        </is>
      </c>
      <c r="I2777" s="7" t="inlineStr">
        <is>
          <t>20 a 40 L/ha</t>
        </is>
      </c>
      <c r="J2777" s="7" t="inlineStr">
        <is>
          <t>40 dias</t>
        </is>
      </c>
    </row>
    <row r="2778" ht="22" customHeight="1">
      <c r="A2778" s="12" t="inlineStr">
        <is>
          <t>CUL-2774</t>
        </is>
      </c>
      <c r="B2778" s="11" t="n">
        <v>538</v>
      </c>
      <c r="C2778" s="13" t="inlineStr">
        <is>
          <t>Nº 18022</t>
        </is>
      </c>
      <c r="D2778" s="14" t="inlineStr">
        <is>
          <t>TARBOX BR 0,200KG (IMP) AMOSTRA</t>
        </is>
      </c>
      <c r="E2778" s="13" t="inlineStr">
        <is>
          <t>Pulverização Agrícola Conforme Bula</t>
        </is>
      </c>
      <c r="F2778" s="13" t="inlineStr">
        <is>
          <t>Algodão (Pré-Plantio / OGM / Desfolha)</t>
        </is>
      </c>
      <c r="G2778" s="13" t="inlineStr">
        <is>
          <t>Cultura Autorizada na Bula</t>
        </is>
      </c>
      <c r="H2778" s="13" t="inlineStr">
        <is>
          <t>100 a 300 L/ha</t>
        </is>
      </c>
      <c r="I2778" s="13" t="inlineStr">
        <is>
          <t>20 a 40 L/ha</t>
        </is>
      </c>
      <c r="J2778" s="13" t="inlineStr">
        <is>
          <t>15 dias</t>
        </is>
      </c>
    </row>
    <row r="2779" ht="22" customHeight="1">
      <c r="A2779" s="6" t="inlineStr">
        <is>
          <t>CUL-2775</t>
        </is>
      </c>
      <c r="B2779" s="5" t="n">
        <v>538</v>
      </c>
      <c r="C2779" s="7" t="inlineStr">
        <is>
          <t>Nº 18022</t>
        </is>
      </c>
      <c r="D2779" s="8" t="inlineStr">
        <is>
          <t>TARBOX BR 0,200KG (IMP) AMOSTRA</t>
        </is>
      </c>
      <c r="E2779" s="7" t="inlineStr">
        <is>
          <t>Pulverização Agrícola Conforme Bula</t>
        </is>
      </c>
      <c r="F2779" s="7" t="inlineStr">
        <is>
          <t>Café (Jato Dirigido)</t>
        </is>
      </c>
      <c r="G2779" s="7" t="inlineStr">
        <is>
          <t>Cultura Autorizada na Bula</t>
        </is>
      </c>
      <c r="H2779" s="7" t="inlineStr">
        <is>
          <t>100 a 300 L/ha</t>
        </is>
      </c>
      <c r="I2779" s="7" t="inlineStr">
        <is>
          <t>20 a 40 L/ha</t>
        </is>
      </c>
      <c r="J2779" s="7" t="inlineStr">
        <is>
          <t>20 dias</t>
        </is>
      </c>
    </row>
    <row r="2780" ht="22" customHeight="1">
      <c r="A2780" s="12" t="inlineStr">
        <is>
          <t>CUL-2776</t>
        </is>
      </c>
      <c r="B2780" s="11" t="n">
        <v>538</v>
      </c>
      <c r="C2780" s="13" t="inlineStr">
        <is>
          <t>Nº 18022</t>
        </is>
      </c>
      <c r="D2780" s="14" t="inlineStr">
        <is>
          <t>TARBOX BR 0,200KG (IMP) AMOSTRA</t>
        </is>
      </c>
      <c r="E2780" s="13" t="inlineStr">
        <is>
          <t>Pulverização Agrícola Conforme Bula</t>
        </is>
      </c>
      <c r="F2780" s="13" t="inlineStr">
        <is>
          <t>Citros (Jato Dirigido)</t>
        </is>
      </c>
      <c r="G2780" s="13" t="inlineStr">
        <is>
          <t>Cultura Autorizada na Bula</t>
        </is>
      </c>
      <c r="H2780" s="13" t="inlineStr">
        <is>
          <t>100 a 300 L/ha</t>
        </is>
      </c>
      <c r="I2780" s="13" t="inlineStr">
        <is>
          <t>20 a 40 L/ha</t>
        </is>
      </c>
      <c r="J2780" s="13" t="inlineStr">
        <is>
          <t>40 dias</t>
        </is>
      </c>
    </row>
    <row r="2781" ht="22" customHeight="1">
      <c r="A2781" s="6" t="inlineStr">
        <is>
          <t>CUL-2777</t>
        </is>
      </c>
      <c r="B2781" s="5" t="n">
        <v>538</v>
      </c>
      <c r="C2781" s="7" t="inlineStr">
        <is>
          <t>Nº 18022</t>
        </is>
      </c>
      <c r="D2781" s="8" t="inlineStr">
        <is>
          <t>TARBOX BR 0,200KG (IMP) AMOSTRA</t>
        </is>
      </c>
      <c r="E2781" s="7" t="inlineStr">
        <is>
          <t>Pulverização Agrícola Conforme Bula</t>
        </is>
      </c>
      <c r="F2781" s="7" t="inlineStr">
        <is>
          <t>Trigo</t>
        </is>
      </c>
      <c r="G2781" s="7" t="inlineStr">
        <is>
          <t>Cultura Autorizada na Bula</t>
        </is>
      </c>
      <c r="H2781" s="7" t="inlineStr">
        <is>
          <t>100 a 300 L/ha</t>
        </is>
      </c>
      <c r="I2781" s="7" t="inlineStr">
        <is>
          <t>20 a 40 L/ha</t>
        </is>
      </c>
      <c r="J2781" s="7" t="inlineStr">
        <is>
          <t>N/D</t>
        </is>
      </c>
    </row>
    <row r="2782" ht="22" customHeight="1">
      <c r="A2782" s="12" t="inlineStr">
        <is>
          <t>CUL-2778</t>
        </is>
      </c>
      <c r="B2782" s="11" t="n">
        <v>539</v>
      </c>
      <c r="C2782" s="13" t="inlineStr">
        <is>
          <t>Nº 22225</t>
        </is>
      </c>
      <c r="D2782" s="14" t="inlineStr">
        <is>
          <t>KILLIGAN 0,200L (IMP) RW AMOSTRA</t>
        </is>
      </c>
      <c r="E2782" s="13" t="inlineStr">
        <is>
          <t>Pulverização Agrícola Conforme Bula</t>
        </is>
      </c>
      <c r="F2782" s="13" t="inlineStr">
        <is>
          <t>Soja</t>
        </is>
      </c>
      <c r="G2782" s="13" t="inlineStr">
        <is>
          <t>Cultura Autorizada na Bula</t>
        </is>
      </c>
      <c r="H2782" s="13" t="inlineStr">
        <is>
          <t>100 a 300 L/ha</t>
        </is>
      </c>
      <c r="I2782" s="13" t="inlineStr">
        <is>
          <t>20 a 40 L/ha</t>
        </is>
      </c>
      <c r="J2782" s="13" t="inlineStr">
        <is>
          <t>14 dias</t>
        </is>
      </c>
    </row>
    <row r="2783" ht="22" customHeight="1">
      <c r="A2783" s="6" t="inlineStr">
        <is>
          <t>CUL-2779</t>
        </is>
      </c>
      <c r="B2783" s="5" t="n">
        <v>539</v>
      </c>
      <c r="C2783" s="7" t="inlineStr">
        <is>
          <t>Nº 22225</t>
        </is>
      </c>
      <c r="D2783" s="8" t="inlineStr">
        <is>
          <t>KILLIGAN 0,200L (IMP) RW AMOSTRA</t>
        </is>
      </c>
      <c r="E2783" s="7" t="inlineStr">
        <is>
          <t>Pulverização Agrícola Conforme Bula</t>
        </is>
      </c>
      <c r="F2783" s="7" t="inlineStr">
        <is>
          <t>Milho</t>
        </is>
      </c>
      <c r="G2783" s="7" t="inlineStr">
        <is>
          <t>Cultura Autorizada na Bula</t>
        </is>
      </c>
      <c r="H2783" s="7" t="inlineStr">
        <is>
          <t>100 a 300 L/ha</t>
        </is>
      </c>
      <c r="I2783" s="7" t="inlineStr">
        <is>
          <t>20 a 40 L/ha</t>
        </is>
      </c>
      <c r="J2783" s="7" t="inlineStr">
        <is>
          <t>14 dias</t>
        </is>
      </c>
    </row>
    <row r="2784" ht="22" customHeight="1">
      <c r="A2784" s="12" t="inlineStr">
        <is>
          <t>CUL-2780</t>
        </is>
      </c>
      <c r="B2784" s="11" t="n">
        <v>539</v>
      </c>
      <c r="C2784" s="13" t="inlineStr">
        <is>
          <t>Nº 22225</t>
        </is>
      </c>
      <c r="D2784" s="14" t="inlineStr">
        <is>
          <t>KILLIGAN 0,200L (IMP) RW AMOSTRA</t>
        </is>
      </c>
      <c r="E2784" s="13" t="inlineStr">
        <is>
          <t>Pulverização Agrícola Conforme Bula</t>
        </is>
      </c>
      <c r="F2784" s="13" t="inlineStr">
        <is>
          <t>Algodão</t>
        </is>
      </c>
      <c r="G2784" s="13" t="inlineStr">
        <is>
          <t>Cultura Autorizada na Bula</t>
        </is>
      </c>
      <c r="H2784" s="13" t="inlineStr">
        <is>
          <t>100 a 300 L/ha</t>
        </is>
      </c>
      <c r="I2784" s="13" t="inlineStr">
        <is>
          <t>20 a 40 L/ha</t>
        </is>
      </c>
      <c r="J2784" s="13" t="inlineStr">
        <is>
          <t>21 dias</t>
        </is>
      </c>
    </row>
    <row r="2785" ht="22" customHeight="1">
      <c r="A2785" s="6" t="inlineStr">
        <is>
          <t>CUL-2781</t>
        </is>
      </c>
      <c r="B2785" s="5" t="n">
        <v>539</v>
      </c>
      <c r="C2785" s="7" t="inlineStr">
        <is>
          <t>Nº 22225</t>
        </is>
      </c>
      <c r="D2785" s="8" t="inlineStr">
        <is>
          <t>KILLIGAN 0,200L (IMP) RW AMOSTRA</t>
        </is>
      </c>
      <c r="E2785" s="7" t="inlineStr">
        <is>
          <t>Pulverização Agrícola Conforme Bula</t>
        </is>
      </c>
      <c r="F2785" s="7" t="inlineStr">
        <is>
          <t>Feijão</t>
        </is>
      </c>
      <c r="G2785" s="7" t="inlineStr">
        <is>
          <t>Cultura Autorizada na Bula</t>
        </is>
      </c>
      <c r="H2785" s="7" t="inlineStr">
        <is>
          <t>100 a 300 L/ha</t>
        </is>
      </c>
      <c r="I2785" s="7" t="inlineStr">
        <is>
          <t>20 a 40 L/ha</t>
        </is>
      </c>
      <c r="J2785" s="7" t="inlineStr">
        <is>
          <t>14 dias</t>
        </is>
      </c>
    </row>
    <row r="2786" ht="22" customHeight="1">
      <c r="A2786" s="12" t="inlineStr">
        <is>
          <t>CUL-2782</t>
        </is>
      </c>
      <c r="B2786" s="11" t="n">
        <v>539</v>
      </c>
      <c r="C2786" s="13" t="inlineStr">
        <is>
          <t>Nº 22225</t>
        </is>
      </c>
      <c r="D2786" s="14" t="inlineStr">
        <is>
          <t>KILLIGAN 0,200L (IMP) RW AMOSTRA</t>
        </is>
      </c>
      <c r="E2786" s="13" t="inlineStr">
        <is>
          <t>Pulverização Agrícola Conforme Bula</t>
        </is>
      </c>
      <c r="F2786" s="13" t="inlineStr">
        <is>
          <t>Batata</t>
        </is>
      </c>
      <c r="G2786" s="13" t="inlineStr">
        <is>
          <t>Cultura Autorizada na Bula</t>
        </is>
      </c>
      <c r="H2786" s="13" t="inlineStr">
        <is>
          <t>100 a 300 L/ha</t>
        </is>
      </c>
      <c r="I2786" s="13" t="inlineStr">
        <is>
          <t>20 a 40 L/ha</t>
        </is>
      </c>
      <c r="J2786" s="13" t="inlineStr">
        <is>
          <t>7 dias</t>
        </is>
      </c>
    </row>
    <row r="2787" ht="22" customHeight="1">
      <c r="A2787" s="6" t="inlineStr">
        <is>
          <t>CUL-2783</t>
        </is>
      </c>
      <c r="B2787" s="5" t="n">
        <v>539</v>
      </c>
      <c r="C2787" s="7" t="inlineStr">
        <is>
          <t>Nº 22225</t>
        </is>
      </c>
      <c r="D2787" s="8" t="inlineStr">
        <is>
          <t>KILLIGAN 0,200L (IMP) RW AMOSTRA</t>
        </is>
      </c>
      <c r="E2787" s="7" t="inlineStr">
        <is>
          <t>Pulverização Agrícola Conforme Bula</t>
        </is>
      </c>
      <c r="F2787" s="7" t="inlineStr">
        <is>
          <t>Citros</t>
        </is>
      </c>
      <c r="G2787" s="7" t="inlineStr">
        <is>
          <t>Cultura Autorizada na Bula</t>
        </is>
      </c>
      <c r="H2787" s="7" t="inlineStr">
        <is>
          <t>100 a 300 L/ha</t>
        </is>
      </c>
      <c r="I2787" s="7" t="inlineStr">
        <is>
          <t>20 a 40 L/ha</t>
        </is>
      </c>
      <c r="J2787" s="7" t="inlineStr">
        <is>
          <t>14 dias</t>
        </is>
      </c>
    </row>
    <row r="2788" ht="22" customHeight="1">
      <c r="A2788" s="12" t="inlineStr">
        <is>
          <t>CUL-2784</t>
        </is>
      </c>
      <c r="B2788" s="11" t="n">
        <v>539</v>
      </c>
      <c r="C2788" s="13" t="inlineStr">
        <is>
          <t>Nº 22225</t>
        </is>
      </c>
      <c r="D2788" s="14" t="inlineStr">
        <is>
          <t>KILLIGAN 0,200L (IMP) RW AMOSTRA</t>
        </is>
      </c>
      <c r="E2788" s="13" t="inlineStr">
        <is>
          <t>Pulverização Agrícola Conforme Bula</t>
        </is>
      </c>
      <c r="F2788" s="13" t="inlineStr">
        <is>
          <t>Tomate</t>
        </is>
      </c>
      <c r="G2788" s="13" t="inlineStr">
        <is>
          <t>Cultura Autorizada na Bula</t>
        </is>
      </c>
      <c r="H2788" s="13" t="inlineStr">
        <is>
          <t>100 a 300 L/ha</t>
        </is>
      </c>
      <c r="I2788" s="13" t="inlineStr">
        <is>
          <t>20 a 40 L/ha</t>
        </is>
      </c>
      <c r="J2788" s="13" t="inlineStr">
        <is>
          <t>7 dias</t>
        </is>
      </c>
    </row>
    <row r="2789" ht="22" customHeight="1">
      <c r="A2789" s="6" t="inlineStr">
        <is>
          <t>CUL-2785</t>
        </is>
      </c>
      <c r="B2789" s="5" t="n">
        <v>540</v>
      </c>
      <c r="C2789" s="7" t="inlineStr">
        <is>
          <t>SIPEAGRO (UF-XXXXX)</t>
        </is>
      </c>
      <c r="D2789" s="8" t="inlineStr">
        <is>
          <t>FOSFATO MONOAMONICO GRANULADO - MAP</t>
        </is>
      </c>
      <c r="E2789" s="7" t="inlineStr">
        <is>
          <t>Adubação de Solo / Foliar</t>
        </is>
      </c>
      <c r="F2789" s="7" t="inlineStr">
        <is>
          <t>Soja</t>
        </is>
      </c>
      <c r="G2789" s="7" t="inlineStr">
        <is>
          <t>Cultura Autorizada na Bula</t>
        </is>
      </c>
      <c r="H2789" s="7" t="inlineStr">
        <is>
          <t>100 a 300 L/ha</t>
        </is>
      </c>
      <c r="I2789" s="7" t="inlineStr">
        <is>
          <t>20 a 40 L/ha</t>
        </is>
      </c>
      <c r="J2789" s="7" t="inlineStr">
        <is>
          <t>Isento</t>
        </is>
      </c>
    </row>
    <row r="2790" ht="22" customHeight="1">
      <c r="A2790" s="12" t="inlineStr">
        <is>
          <t>CUL-2786</t>
        </is>
      </c>
      <c r="B2790" s="11" t="n">
        <v>540</v>
      </c>
      <c r="C2790" s="13" t="inlineStr">
        <is>
          <t>SIPEAGRO (UF-XXXXX)</t>
        </is>
      </c>
      <c r="D2790" s="14" t="inlineStr">
        <is>
          <t>FOSFATO MONOAMONICO GRANULADO - MAP</t>
        </is>
      </c>
      <c r="E2790" s="13" t="inlineStr">
        <is>
          <t>Adubação de Solo / Foliar</t>
        </is>
      </c>
      <c r="F2790" s="13" t="inlineStr">
        <is>
          <t>Milho</t>
        </is>
      </c>
      <c r="G2790" s="13" t="inlineStr">
        <is>
          <t>Cultura Autorizada na Bula</t>
        </is>
      </c>
      <c r="H2790" s="13" t="inlineStr">
        <is>
          <t>100 a 300 L/ha</t>
        </is>
      </c>
      <c r="I2790" s="13" t="inlineStr">
        <is>
          <t>20 a 40 L/ha</t>
        </is>
      </c>
      <c r="J2790" s="13" t="inlineStr">
        <is>
          <t>Isento</t>
        </is>
      </c>
    </row>
    <row r="2791" ht="22" customHeight="1">
      <c r="A2791" s="6" t="inlineStr">
        <is>
          <t>CUL-2787</t>
        </is>
      </c>
      <c r="B2791" s="5" t="n">
        <v>540</v>
      </c>
      <c r="C2791" s="7" t="inlineStr">
        <is>
          <t>SIPEAGRO (UF-XXXXX)</t>
        </is>
      </c>
      <c r="D2791" s="8" t="inlineStr">
        <is>
          <t>FOSFATO MONOAMONICO GRANULADO - MAP</t>
        </is>
      </c>
      <c r="E2791" s="7" t="inlineStr">
        <is>
          <t>Adubação de Solo / Foliar</t>
        </is>
      </c>
      <c r="F2791" s="7" t="inlineStr">
        <is>
          <t>Algodão</t>
        </is>
      </c>
      <c r="G2791" s="7" t="inlineStr">
        <is>
          <t>Cultura Autorizada na Bula</t>
        </is>
      </c>
      <c r="H2791" s="7" t="inlineStr">
        <is>
          <t>100 a 300 L/ha</t>
        </is>
      </c>
      <c r="I2791" s="7" t="inlineStr">
        <is>
          <t>20 a 40 L/ha</t>
        </is>
      </c>
      <c r="J2791" s="7" t="inlineStr">
        <is>
          <t>Isento</t>
        </is>
      </c>
    </row>
    <row r="2792" ht="22" customHeight="1">
      <c r="A2792" s="12" t="inlineStr">
        <is>
          <t>CUL-2788</t>
        </is>
      </c>
      <c r="B2792" s="11" t="n">
        <v>540</v>
      </c>
      <c r="C2792" s="13" t="inlineStr">
        <is>
          <t>SIPEAGRO (UF-XXXXX)</t>
        </is>
      </c>
      <c r="D2792" s="14" t="inlineStr">
        <is>
          <t>FOSFATO MONOAMONICO GRANULADO - MAP</t>
        </is>
      </c>
      <c r="E2792" s="13" t="inlineStr">
        <is>
          <t>Adubação de Solo / Foliar</t>
        </is>
      </c>
      <c r="F2792" s="13" t="inlineStr">
        <is>
          <t>Cana-de-açúcar</t>
        </is>
      </c>
      <c r="G2792" s="13" t="inlineStr">
        <is>
          <t>Cultura Autorizada na Bula</t>
        </is>
      </c>
      <c r="H2792" s="13" t="inlineStr">
        <is>
          <t>100 a 300 L/ha</t>
        </is>
      </c>
      <c r="I2792" s="13" t="inlineStr">
        <is>
          <t>20 a 40 L/ha</t>
        </is>
      </c>
      <c r="J2792" s="13" t="inlineStr">
        <is>
          <t>Isento</t>
        </is>
      </c>
    </row>
    <row r="2793" ht="22" customHeight="1">
      <c r="A2793" s="6" t="inlineStr">
        <is>
          <t>CUL-2789</t>
        </is>
      </c>
      <c r="B2793" s="5" t="n">
        <v>540</v>
      </c>
      <c r="C2793" s="7" t="inlineStr">
        <is>
          <t>SIPEAGRO (UF-XXXXX)</t>
        </is>
      </c>
      <c r="D2793" s="8" t="inlineStr">
        <is>
          <t>FOSFATO MONOAMONICO GRANULADO - MAP</t>
        </is>
      </c>
      <c r="E2793" s="7" t="inlineStr">
        <is>
          <t>Adubação de Solo / Foliar</t>
        </is>
      </c>
      <c r="F2793" s="7" t="inlineStr">
        <is>
          <t>Café</t>
        </is>
      </c>
      <c r="G2793" s="7" t="inlineStr">
        <is>
          <t>Cultura Autorizada na Bula</t>
        </is>
      </c>
      <c r="H2793" s="7" t="inlineStr">
        <is>
          <t>100 a 300 L/ha</t>
        </is>
      </c>
      <c r="I2793" s="7" t="inlineStr">
        <is>
          <t>20 a 40 L/ha</t>
        </is>
      </c>
      <c r="J2793" s="7" t="inlineStr">
        <is>
          <t>Isento</t>
        </is>
      </c>
    </row>
    <row r="2794" ht="22" customHeight="1">
      <c r="A2794" s="12" t="inlineStr">
        <is>
          <t>CUL-2790</t>
        </is>
      </c>
      <c r="B2794" s="11" t="n">
        <v>541</v>
      </c>
      <c r="C2794" s="13" t="inlineStr">
        <is>
          <t>Nº 24922</t>
        </is>
      </c>
      <c r="D2794" s="14" t="inlineStr">
        <is>
          <t>CEFANOL GOLD</t>
        </is>
      </c>
      <c r="E2794" s="13" t="inlineStr">
        <is>
          <t>Pulverização Agrícola Conforme Bula</t>
        </is>
      </c>
      <c r="F2794" s="13" t="inlineStr">
        <is>
          <t>Soja</t>
        </is>
      </c>
      <c r="G2794" s="13" t="inlineStr">
        <is>
          <t>Cultura Autorizada na Bula</t>
        </is>
      </c>
      <c r="H2794" s="13" t="inlineStr">
        <is>
          <t>100 a 300 L/ha</t>
        </is>
      </c>
      <c r="I2794" s="13" t="inlineStr">
        <is>
          <t>20 a 40 L/ha</t>
        </is>
      </c>
      <c r="J2794" s="13" t="inlineStr">
        <is>
          <t>21 dias</t>
        </is>
      </c>
    </row>
    <row r="2795" ht="22" customHeight="1">
      <c r="A2795" s="6" t="inlineStr">
        <is>
          <t>CUL-2791</t>
        </is>
      </c>
      <c r="B2795" s="5" t="n">
        <v>541</v>
      </c>
      <c r="C2795" s="7" t="inlineStr">
        <is>
          <t>Nº 24922</t>
        </is>
      </c>
      <c r="D2795" s="8" t="inlineStr">
        <is>
          <t>CEFANOL GOLD</t>
        </is>
      </c>
      <c r="E2795" s="7" t="inlineStr">
        <is>
          <t>Pulverização Agrícola Conforme Bula</t>
        </is>
      </c>
      <c r="F2795" s="7" t="inlineStr">
        <is>
          <t>Algodão</t>
        </is>
      </c>
      <c r="G2795" s="7" t="inlineStr">
        <is>
          <t>Cultura Autorizada na Bula</t>
        </is>
      </c>
      <c r="H2795" s="7" t="inlineStr">
        <is>
          <t>100 a 300 L/ha</t>
        </is>
      </c>
      <c r="I2795" s="7" t="inlineStr">
        <is>
          <t>20 a 40 L/ha</t>
        </is>
      </c>
      <c r="J2795" s="7" t="inlineStr">
        <is>
          <t>21 dias</t>
        </is>
      </c>
    </row>
    <row r="2796" ht="22" customHeight="1">
      <c r="A2796" s="12" t="inlineStr">
        <is>
          <t>CUL-2792</t>
        </is>
      </c>
      <c r="B2796" s="11" t="n">
        <v>541</v>
      </c>
      <c r="C2796" s="13" t="inlineStr">
        <is>
          <t>Nº 24922</t>
        </is>
      </c>
      <c r="D2796" s="14" t="inlineStr">
        <is>
          <t>CEFANOL GOLD</t>
        </is>
      </c>
      <c r="E2796" s="13" t="inlineStr">
        <is>
          <t>Pulverização Agrícola Conforme Bula</t>
        </is>
      </c>
      <c r="F2796" s="13" t="inlineStr">
        <is>
          <t>Feijão</t>
        </is>
      </c>
      <c r="G2796" s="13" t="inlineStr">
        <is>
          <t>Cultura Autorizada na Bula</t>
        </is>
      </c>
      <c r="H2796" s="13" t="inlineStr">
        <is>
          <t>100 a 300 L/ha</t>
        </is>
      </c>
      <c r="I2796" s="13" t="inlineStr">
        <is>
          <t>20 a 40 L/ha</t>
        </is>
      </c>
      <c r="J2796" s="13" t="inlineStr">
        <is>
          <t>14 dias</t>
        </is>
      </c>
    </row>
    <row r="2797" ht="22" customHeight="1">
      <c r="A2797" s="6" t="inlineStr">
        <is>
          <t>CUL-2793</t>
        </is>
      </c>
      <c r="B2797" s="5" t="n">
        <v>541</v>
      </c>
      <c r="C2797" s="7" t="inlineStr">
        <is>
          <t>Nº 24922</t>
        </is>
      </c>
      <c r="D2797" s="8" t="inlineStr">
        <is>
          <t>CEFANOL GOLD</t>
        </is>
      </c>
      <c r="E2797" s="7" t="inlineStr">
        <is>
          <t>Pulverização Agrícola Conforme Bula</t>
        </is>
      </c>
      <c r="F2797" s="7" t="inlineStr">
        <is>
          <t>Milho</t>
        </is>
      </c>
      <c r="G2797" s="7" t="inlineStr">
        <is>
          <t>Cultura Autorizada na Bula</t>
        </is>
      </c>
      <c r="H2797" s="7" t="inlineStr">
        <is>
          <t>100 a 300 L/ha</t>
        </is>
      </c>
      <c r="I2797" s="7" t="inlineStr">
        <is>
          <t>20 a 40 L/ha</t>
        </is>
      </c>
      <c r="J2797" s="7" t="inlineStr">
        <is>
          <t>21 dias</t>
        </is>
      </c>
    </row>
    <row r="2798" ht="22" customHeight="1">
      <c r="A2798" s="12" t="inlineStr">
        <is>
          <t>CUL-2794</t>
        </is>
      </c>
      <c r="B2798" s="11" t="n">
        <v>542</v>
      </c>
      <c r="C2798" s="13" t="inlineStr">
        <is>
          <t>Nº 22225</t>
        </is>
      </c>
      <c r="D2798" s="14" t="inlineStr">
        <is>
          <t>KILLIGAN</t>
        </is>
      </c>
      <c r="E2798" s="13" t="inlineStr">
        <is>
          <t>Pulverização Agrícola Conforme Bula</t>
        </is>
      </c>
      <c r="F2798" s="13" t="inlineStr">
        <is>
          <t>Soja</t>
        </is>
      </c>
      <c r="G2798" s="13" t="inlineStr">
        <is>
          <t>Cultura Autorizada na Bula</t>
        </is>
      </c>
      <c r="H2798" s="13" t="inlineStr">
        <is>
          <t>100 a 300 L/ha</t>
        </is>
      </c>
      <c r="I2798" s="13" t="inlineStr">
        <is>
          <t>20 a 40 L/ha</t>
        </is>
      </c>
      <c r="J2798" s="13" t="inlineStr">
        <is>
          <t>14 dias</t>
        </is>
      </c>
    </row>
    <row r="2799" ht="22" customHeight="1">
      <c r="A2799" s="6" t="inlineStr">
        <is>
          <t>CUL-2795</t>
        </is>
      </c>
      <c r="B2799" s="5" t="n">
        <v>542</v>
      </c>
      <c r="C2799" s="7" t="inlineStr">
        <is>
          <t>Nº 22225</t>
        </is>
      </c>
      <c r="D2799" s="8" t="inlineStr">
        <is>
          <t>KILLIGAN</t>
        </is>
      </c>
      <c r="E2799" s="7" t="inlineStr">
        <is>
          <t>Pulverização Agrícola Conforme Bula</t>
        </is>
      </c>
      <c r="F2799" s="7" t="inlineStr">
        <is>
          <t>Milho</t>
        </is>
      </c>
      <c r="G2799" s="7" t="inlineStr">
        <is>
          <t>Cultura Autorizada na Bula</t>
        </is>
      </c>
      <c r="H2799" s="7" t="inlineStr">
        <is>
          <t>100 a 300 L/ha</t>
        </is>
      </c>
      <c r="I2799" s="7" t="inlineStr">
        <is>
          <t>20 a 40 L/ha</t>
        </is>
      </c>
      <c r="J2799" s="7" t="inlineStr">
        <is>
          <t>14 dias</t>
        </is>
      </c>
    </row>
    <row r="2800" ht="22" customHeight="1">
      <c r="A2800" s="12" t="inlineStr">
        <is>
          <t>CUL-2796</t>
        </is>
      </c>
      <c r="B2800" s="11" t="n">
        <v>542</v>
      </c>
      <c r="C2800" s="13" t="inlineStr">
        <is>
          <t>Nº 22225</t>
        </is>
      </c>
      <c r="D2800" s="14" t="inlineStr">
        <is>
          <t>KILLIGAN</t>
        </is>
      </c>
      <c r="E2800" s="13" t="inlineStr">
        <is>
          <t>Pulverização Agrícola Conforme Bula</t>
        </is>
      </c>
      <c r="F2800" s="13" t="inlineStr">
        <is>
          <t>Algodão</t>
        </is>
      </c>
      <c r="G2800" s="13" t="inlineStr">
        <is>
          <t>Cultura Autorizada na Bula</t>
        </is>
      </c>
      <c r="H2800" s="13" t="inlineStr">
        <is>
          <t>100 a 300 L/ha</t>
        </is>
      </c>
      <c r="I2800" s="13" t="inlineStr">
        <is>
          <t>20 a 40 L/ha</t>
        </is>
      </c>
      <c r="J2800" s="13" t="inlineStr">
        <is>
          <t>21 dias</t>
        </is>
      </c>
    </row>
    <row r="2801" ht="22" customHeight="1">
      <c r="A2801" s="6" t="inlineStr">
        <is>
          <t>CUL-2797</t>
        </is>
      </c>
      <c r="B2801" s="5" t="n">
        <v>542</v>
      </c>
      <c r="C2801" s="7" t="inlineStr">
        <is>
          <t>Nº 22225</t>
        </is>
      </c>
      <c r="D2801" s="8" t="inlineStr">
        <is>
          <t>KILLIGAN</t>
        </is>
      </c>
      <c r="E2801" s="7" t="inlineStr">
        <is>
          <t>Pulverização Agrícola Conforme Bula</t>
        </is>
      </c>
      <c r="F2801" s="7" t="inlineStr">
        <is>
          <t>Feijão</t>
        </is>
      </c>
      <c r="G2801" s="7" t="inlineStr">
        <is>
          <t>Cultura Autorizada na Bula</t>
        </is>
      </c>
      <c r="H2801" s="7" t="inlineStr">
        <is>
          <t>100 a 300 L/ha</t>
        </is>
      </c>
      <c r="I2801" s="7" t="inlineStr">
        <is>
          <t>20 a 40 L/ha</t>
        </is>
      </c>
      <c r="J2801" s="7" t="inlineStr">
        <is>
          <t>14 dias</t>
        </is>
      </c>
    </row>
    <row r="2802" ht="22" customHeight="1">
      <c r="A2802" s="12" t="inlineStr">
        <is>
          <t>CUL-2798</t>
        </is>
      </c>
      <c r="B2802" s="11" t="n">
        <v>542</v>
      </c>
      <c r="C2802" s="13" t="inlineStr">
        <is>
          <t>Nº 22225</t>
        </is>
      </c>
      <c r="D2802" s="14" t="inlineStr">
        <is>
          <t>KILLIGAN</t>
        </is>
      </c>
      <c r="E2802" s="13" t="inlineStr">
        <is>
          <t>Pulverização Agrícola Conforme Bula</t>
        </is>
      </c>
      <c r="F2802" s="13" t="inlineStr">
        <is>
          <t>Batata</t>
        </is>
      </c>
      <c r="G2802" s="13" t="inlineStr">
        <is>
          <t>Cultura Autorizada na Bula</t>
        </is>
      </c>
      <c r="H2802" s="13" t="inlineStr">
        <is>
          <t>100 a 300 L/ha</t>
        </is>
      </c>
      <c r="I2802" s="13" t="inlineStr">
        <is>
          <t>20 a 40 L/ha</t>
        </is>
      </c>
      <c r="J2802" s="13" t="inlineStr">
        <is>
          <t>7 dias</t>
        </is>
      </c>
    </row>
    <row r="2803" ht="22" customHeight="1">
      <c r="A2803" s="6" t="inlineStr">
        <is>
          <t>CUL-2799</t>
        </is>
      </c>
      <c r="B2803" s="5" t="n">
        <v>542</v>
      </c>
      <c r="C2803" s="7" t="inlineStr">
        <is>
          <t>Nº 22225</t>
        </is>
      </c>
      <c r="D2803" s="8" t="inlineStr">
        <is>
          <t>KILLIGAN</t>
        </is>
      </c>
      <c r="E2803" s="7" t="inlineStr">
        <is>
          <t>Pulverização Agrícola Conforme Bula</t>
        </is>
      </c>
      <c r="F2803" s="7" t="inlineStr">
        <is>
          <t>Citros</t>
        </is>
      </c>
      <c r="G2803" s="7" t="inlineStr">
        <is>
          <t>Cultura Autorizada na Bula</t>
        </is>
      </c>
      <c r="H2803" s="7" t="inlineStr">
        <is>
          <t>100 a 300 L/ha</t>
        </is>
      </c>
      <c r="I2803" s="7" t="inlineStr">
        <is>
          <t>20 a 40 L/ha</t>
        </is>
      </c>
      <c r="J2803" s="7" t="inlineStr">
        <is>
          <t>14 dias</t>
        </is>
      </c>
    </row>
    <row r="2804" ht="22" customHeight="1">
      <c r="A2804" s="12" t="inlineStr">
        <is>
          <t>CUL-2800</t>
        </is>
      </c>
      <c r="B2804" s="11" t="n">
        <v>542</v>
      </c>
      <c r="C2804" s="13" t="inlineStr">
        <is>
          <t>Nº 22225</t>
        </is>
      </c>
      <c r="D2804" s="14" t="inlineStr">
        <is>
          <t>KILLIGAN</t>
        </is>
      </c>
      <c r="E2804" s="13" t="inlineStr">
        <is>
          <t>Pulverização Agrícola Conforme Bula</t>
        </is>
      </c>
      <c r="F2804" s="13" t="inlineStr">
        <is>
          <t>Tomate</t>
        </is>
      </c>
      <c r="G2804" s="13" t="inlineStr">
        <is>
          <t>Cultura Autorizada na Bula</t>
        </is>
      </c>
      <c r="H2804" s="13" t="inlineStr">
        <is>
          <t>100 a 300 L/ha</t>
        </is>
      </c>
      <c r="I2804" s="13" t="inlineStr">
        <is>
          <t>20 a 40 L/ha</t>
        </is>
      </c>
      <c r="J2804" s="13" t="inlineStr">
        <is>
          <t>7 dias</t>
        </is>
      </c>
    </row>
    <row r="2805" ht="22" customHeight="1">
      <c r="A2805" s="6" t="inlineStr">
        <is>
          <t>CUL-2801</t>
        </is>
      </c>
      <c r="B2805" s="5" t="n">
        <v>543</v>
      </c>
      <c r="C2805" s="7" t="inlineStr">
        <is>
          <t>Nº 17921</t>
        </is>
      </c>
      <c r="D2805" s="8" t="inlineStr">
        <is>
          <t>TIOFANATO</t>
        </is>
      </c>
      <c r="E2805" s="7" t="inlineStr">
        <is>
          <t>Pulverização Agrícola Conforme Bula</t>
        </is>
      </c>
      <c r="F2805" s="7" t="inlineStr">
        <is>
          <t>Soja</t>
        </is>
      </c>
      <c r="G2805" s="7" t="inlineStr">
        <is>
          <t>Cultura Autorizada na Bula</t>
        </is>
      </c>
      <c r="H2805" s="7" t="inlineStr">
        <is>
          <t>100 a 300 L/ha</t>
        </is>
      </c>
      <c r="I2805" s="7" t="inlineStr">
        <is>
          <t>20 a 40 L/ha</t>
        </is>
      </c>
      <c r="J2805" s="7" t="inlineStr">
        <is>
          <t>28 dias</t>
        </is>
      </c>
    </row>
    <row r="2806" ht="22" customHeight="1">
      <c r="A2806" s="12" t="inlineStr">
        <is>
          <t>CUL-2802</t>
        </is>
      </c>
      <c r="B2806" s="11" t="n">
        <v>543</v>
      </c>
      <c r="C2806" s="13" t="inlineStr">
        <is>
          <t>Nº 17921</t>
        </is>
      </c>
      <c r="D2806" s="14" t="inlineStr">
        <is>
          <t>TIOFANATO</t>
        </is>
      </c>
      <c r="E2806" s="13" t="inlineStr">
        <is>
          <t>Pulverização Agrícola Conforme Bula</t>
        </is>
      </c>
      <c r="F2806" s="13" t="inlineStr">
        <is>
          <t>Feijão</t>
        </is>
      </c>
      <c r="G2806" s="13" t="inlineStr">
        <is>
          <t>Cultura Autorizada na Bula</t>
        </is>
      </c>
      <c r="H2806" s="13" t="inlineStr">
        <is>
          <t>100 a 300 L/ha</t>
        </is>
      </c>
      <c r="I2806" s="13" t="inlineStr">
        <is>
          <t>20 a 40 L/ha</t>
        </is>
      </c>
      <c r="J2806" s="13" t="inlineStr">
        <is>
          <t>14 dias</t>
        </is>
      </c>
    </row>
    <row r="2807" ht="22" customHeight="1">
      <c r="A2807" s="6" t="inlineStr">
        <is>
          <t>CUL-2803</t>
        </is>
      </c>
      <c r="B2807" s="5" t="n">
        <v>543</v>
      </c>
      <c r="C2807" s="7" t="inlineStr">
        <is>
          <t>Nº 17921</t>
        </is>
      </c>
      <c r="D2807" s="8" t="inlineStr">
        <is>
          <t>TIOFANATO</t>
        </is>
      </c>
      <c r="E2807" s="7" t="inlineStr">
        <is>
          <t>Pulverização Agrícola Conforme Bula</t>
        </is>
      </c>
      <c r="F2807" s="7" t="inlineStr">
        <is>
          <t>Algodão</t>
        </is>
      </c>
      <c r="G2807" s="7" t="inlineStr">
        <is>
          <t>Cultura Autorizada na Bula</t>
        </is>
      </c>
      <c r="H2807" s="7" t="inlineStr">
        <is>
          <t>100 a 300 L/ha</t>
        </is>
      </c>
      <c r="I2807" s="7" t="inlineStr">
        <is>
          <t>20 a 40 L/ha</t>
        </is>
      </c>
      <c r="J2807" s="7" t="inlineStr">
        <is>
          <t>28 dias</t>
        </is>
      </c>
    </row>
    <row r="2808" ht="22" customHeight="1">
      <c r="A2808" s="12" t="inlineStr">
        <is>
          <t>CUL-2804</t>
        </is>
      </c>
      <c r="B2808" s="11" t="n">
        <v>543</v>
      </c>
      <c r="C2808" s="13" t="inlineStr">
        <is>
          <t>Nº 17921</t>
        </is>
      </c>
      <c r="D2808" s="14" t="inlineStr">
        <is>
          <t>TIOFANATO</t>
        </is>
      </c>
      <c r="E2808" s="13" t="inlineStr">
        <is>
          <t>Pulverização Agrícola Conforme Bula</t>
        </is>
      </c>
      <c r="F2808" s="13" t="inlineStr">
        <is>
          <t>Citros</t>
        </is>
      </c>
      <c r="G2808" s="13" t="inlineStr">
        <is>
          <t>Cultura Autorizada na Bula</t>
        </is>
      </c>
      <c r="H2808" s="13" t="inlineStr">
        <is>
          <t>100 a 300 L/ha</t>
        </is>
      </c>
      <c r="I2808" s="13" t="inlineStr">
        <is>
          <t>20 a 40 L/ha</t>
        </is>
      </c>
      <c r="J2808" s="13" t="inlineStr">
        <is>
          <t>14 dias</t>
        </is>
      </c>
    </row>
    <row r="2809" ht="22" customHeight="1">
      <c r="A2809" s="6" t="inlineStr">
        <is>
          <t>CUL-2805</t>
        </is>
      </c>
      <c r="B2809" s="5" t="n">
        <v>543</v>
      </c>
      <c r="C2809" s="7" t="inlineStr">
        <is>
          <t>Nº 17921</t>
        </is>
      </c>
      <c r="D2809" s="8" t="inlineStr">
        <is>
          <t>TIOFANATO</t>
        </is>
      </c>
      <c r="E2809" s="7" t="inlineStr">
        <is>
          <t>Pulverização Agrícola Conforme Bula</t>
        </is>
      </c>
      <c r="F2809" s="7" t="inlineStr">
        <is>
          <t>Café</t>
        </is>
      </c>
      <c r="G2809" s="7" t="inlineStr">
        <is>
          <t>Cultura Autorizada na Bula</t>
        </is>
      </c>
      <c r="H2809" s="7" t="inlineStr">
        <is>
          <t>100 a 300 L/ha</t>
        </is>
      </c>
      <c r="I2809" s="7" t="inlineStr">
        <is>
          <t>20 a 40 L/ha</t>
        </is>
      </c>
      <c r="J2809" s="7" t="inlineStr">
        <is>
          <t>21 dias</t>
        </is>
      </c>
    </row>
    <row r="2810" ht="22" customHeight="1">
      <c r="A2810" s="12" t="inlineStr">
        <is>
          <t>CUL-2806</t>
        </is>
      </c>
      <c r="B2810" s="11" t="n">
        <v>543</v>
      </c>
      <c r="C2810" s="13" t="inlineStr">
        <is>
          <t>Nº 17921</t>
        </is>
      </c>
      <c r="D2810" s="14" t="inlineStr">
        <is>
          <t>TIOFANATO</t>
        </is>
      </c>
      <c r="E2810" s="13" t="inlineStr">
        <is>
          <t>Pulverização Agrícola Conforme Bula</t>
        </is>
      </c>
      <c r="F2810" s="13" t="inlineStr">
        <is>
          <t>Trigo</t>
        </is>
      </c>
      <c r="G2810" s="13" t="inlineStr">
        <is>
          <t>Cultura Autorizada na Bula</t>
        </is>
      </c>
      <c r="H2810" s="13" t="inlineStr">
        <is>
          <t>100 a 300 L/ha</t>
        </is>
      </c>
      <c r="I2810" s="13" t="inlineStr">
        <is>
          <t>20 a 40 L/ha</t>
        </is>
      </c>
      <c r="J2810" s="13" t="inlineStr">
        <is>
          <t>35 dias</t>
        </is>
      </c>
    </row>
    <row r="2811" ht="22" customHeight="1">
      <c r="A2811" s="6" t="inlineStr">
        <is>
          <t>CUL-2807</t>
        </is>
      </c>
      <c r="B2811" s="5" t="n">
        <v>544</v>
      </c>
      <c r="C2811" s="7" t="inlineStr">
        <is>
          <t>Nº 17921</t>
        </is>
      </c>
      <c r="D2811" s="8" t="inlineStr">
        <is>
          <t>TIOFANATO</t>
        </is>
      </c>
      <c r="E2811" s="7" t="inlineStr">
        <is>
          <t>Pulverização Agrícola Conforme Bula</t>
        </is>
      </c>
      <c r="F2811" s="7" t="inlineStr">
        <is>
          <t>Soja</t>
        </is>
      </c>
      <c r="G2811" s="7" t="inlineStr">
        <is>
          <t>Cultura Autorizada na Bula</t>
        </is>
      </c>
      <c r="H2811" s="7" t="inlineStr">
        <is>
          <t>100 a 300 L/ha</t>
        </is>
      </c>
      <c r="I2811" s="7" t="inlineStr">
        <is>
          <t>20 a 40 L/ha</t>
        </is>
      </c>
      <c r="J2811" s="7" t="inlineStr">
        <is>
          <t>28 dias</t>
        </is>
      </c>
    </row>
    <row r="2812" ht="22" customHeight="1">
      <c r="A2812" s="12" t="inlineStr">
        <is>
          <t>CUL-2808</t>
        </is>
      </c>
      <c r="B2812" s="11" t="n">
        <v>544</v>
      </c>
      <c r="C2812" s="13" t="inlineStr">
        <is>
          <t>Nº 17921</t>
        </is>
      </c>
      <c r="D2812" s="14" t="inlineStr">
        <is>
          <t>TIOFANATO</t>
        </is>
      </c>
      <c r="E2812" s="13" t="inlineStr">
        <is>
          <t>Pulverização Agrícola Conforme Bula</t>
        </is>
      </c>
      <c r="F2812" s="13" t="inlineStr">
        <is>
          <t>Feijão</t>
        </is>
      </c>
      <c r="G2812" s="13" t="inlineStr">
        <is>
          <t>Cultura Autorizada na Bula</t>
        </is>
      </c>
      <c r="H2812" s="13" t="inlineStr">
        <is>
          <t>100 a 300 L/ha</t>
        </is>
      </c>
      <c r="I2812" s="13" t="inlineStr">
        <is>
          <t>20 a 40 L/ha</t>
        </is>
      </c>
      <c r="J2812" s="13" t="inlineStr">
        <is>
          <t>14 dias</t>
        </is>
      </c>
    </row>
    <row r="2813" ht="22" customHeight="1">
      <c r="A2813" s="6" t="inlineStr">
        <is>
          <t>CUL-2809</t>
        </is>
      </c>
      <c r="B2813" s="5" t="n">
        <v>544</v>
      </c>
      <c r="C2813" s="7" t="inlineStr">
        <is>
          <t>Nº 17921</t>
        </is>
      </c>
      <c r="D2813" s="8" t="inlineStr">
        <is>
          <t>TIOFANATO</t>
        </is>
      </c>
      <c r="E2813" s="7" t="inlineStr">
        <is>
          <t>Pulverização Agrícola Conforme Bula</t>
        </is>
      </c>
      <c r="F2813" s="7" t="inlineStr">
        <is>
          <t>Algodão</t>
        </is>
      </c>
      <c r="G2813" s="7" t="inlineStr">
        <is>
          <t>Cultura Autorizada na Bula</t>
        </is>
      </c>
      <c r="H2813" s="7" t="inlineStr">
        <is>
          <t>100 a 300 L/ha</t>
        </is>
      </c>
      <c r="I2813" s="7" t="inlineStr">
        <is>
          <t>20 a 40 L/ha</t>
        </is>
      </c>
      <c r="J2813" s="7" t="inlineStr">
        <is>
          <t>28 dias</t>
        </is>
      </c>
    </row>
    <row r="2814" ht="22" customHeight="1">
      <c r="A2814" s="12" t="inlineStr">
        <is>
          <t>CUL-2810</t>
        </is>
      </c>
      <c r="B2814" s="11" t="n">
        <v>544</v>
      </c>
      <c r="C2814" s="13" t="inlineStr">
        <is>
          <t>Nº 17921</t>
        </is>
      </c>
      <c r="D2814" s="14" t="inlineStr">
        <is>
          <t>TIOFANATO</t>
        </is>
      </c>
      <c r="E2814" s="13" t="inlineStr">
        <is>
          <t>Pulverização Agrícola Conforme Bula</t>
        </is>
      </c>
      <c r="F2814" s="13" t="inlineStr">
        <is>
          <t>Citros</t>
        </is>
      </c>
      <c r="G2814" s="13" t="inlineStr">
        <is>
          <t>Cultura Autorizada na Bula</t>
        </is>
      </c>
      <c r="H2814" s="13" t="inlineStr">
        <is>
          <t>100 a 300 L/ha</t>
        </is>
      </c>
      <c r="I2814" s="13" t="inlineStr">
        <is>
          <t>20 a 40 L/ha</t>
        </is>
      </c>
      <c r="J2814" s="13" t="inlineStr">
        <is>
          <t>14 dias</t>
        </is>
      </c>
    </row>
    <row r="2815" ht="22" customHeight="1">
      <c r="A2815" s="6" t="inlineStr">
        <is>
          <t>CUL-2811</t>
        </is>
      </c>
      <c r="B2815" s="5" t="n">
        <v>544</v>
      </c>
      <c r="C2815" s="7" t="inlineStr">
        <is>
          <t>Nº 17921</t>
        </is>
      </c>
      <c r="D2815" s="8" t="inlineStr">
        <is>
          <t>TIOFANATO</t>
        </is>
      </c>
      <c r="E2815" s="7" t="inlineStr">
        <is>
          <t>Pulverização Agrícola Conforme Bula</t>
        </is>
      </c>
      <c r="F2815" s="7" t="inlineStr">
        <is>
          <t>Café</t>
        </is>
      </c>
      <c r="G2815" s="7" t="inlineStr">
        <is>
          <t>Cultura Autorizada na Bula</t>
        </is>
      </c>
      <c r="H2815" s="7" t="inlineStr">
        <is>
          <t>100 a 300 L/ha</t>
        </is>
      </c>
      <c r="I2815" s="7" t="inlineStr">
        <is>
          <t>20 a 40 L/ha</t>
        </is>
      </c>
      <c r="J2815" s="7" t="inlineStr">
        <is>
          <t>21 dias</t>
        </is>
      </c>
    </row>
    <row r="2816" ht="22" customHeight="1">
      <c r="A2816" s="12" t="inlineStr">
        <is>
          <t>CUL-2812</t>
        </is>
      </c>
      <c r="B2816" s="11" t="n">
        <v>544</v>
      </c>
      <c r="C2816" s="13" t="inlineStr">
        <is>
          <t>Nº 17921</t>
        </is>
      </c>
      <c r="D2816" s="14" t="inlineStr">
        <is>
          <t>TIOFANATO</t>
        </is>
      </c>
      <c r="E2816" s="13" t="inlineStr">
        <is>
          <t>Pulverização Agrícola Conforme Bula</t>
        </is>
      </c>
      <c r="F2816" s="13" t="inlineStr">
        <is>
          <t>Trigo</t>
        </is>
      </c>
      <c r="G2816" s="13" t="inlineStr">
        <is>
          <t>Cultura Autorizada na Bula</t>
        </is>
      </c>
      <c r="H2816" s="13" t="inlineStr">
        <is>
          <t>100 a 300 L/ha</t>
        </is>
      </c>
      <c r="I2816" s="13" t="inlineStr">
        <is>
          <t>20 a 40 L/ha</t>
        </is>
      </c>
      <c r="J2816" s="13" t="inlineStr">
        <is>
          <t>35 dias</t>
        </is>
      </c>
    </row>
    <row r="2817" ht="22" customHeight="1">
      <c r="A2817" s="6" t="inlineStr">
        <is>
          <t>CUL-2813</t>
        </is>
      </c>
      <c r="B2817" s="5" t="n">
        <v>545</v>
      </c>
      <c r="C2817" s="7" t="inlineStr">
        <is>
          <t>Nº 17219</t>
        </is>
      </c>
      <c r="D2817" s="8" t="inlineStr">
        <is>
          <t>FLUAZINAM</t>
        </is>
      </c>
      <c r="E2817" s="7" t="inlineStr">
        <is>
          <t>Pulverização Agrícola Conforme Bula</t>
        </is>
      </c>
      <c r="F2817" s="7" t="inlineStr">
        <is>
          <t>Soja</t>
        </is>
      </c>
      <c r="G2817" s="7" t="inlineStr">
        <is>
          <t>Cultura Autorizada na Bula</t>
        </is>
      </c>
      <c r="H2817" s="7" t="inlineStr">
        <is>
          <t>100 a 300 L/ha</t>
        </is>
      </c>
      <c r="I2817" s="7" t="inlineStr">
        <is>
          <t>20 a 40 L/ha</t>
        </is>
      </c>
      <c r="J2817" s="7" t="inlineStr">
        <is>
          <t>28 dias</t>
        </is>
      </c>
    </row>
    <row r="2818" ht="22" customHeight="1">
      <c r="A2818" s="12" t="inlineStr">
        <is>
          <t>CUL-2814</t>
        </is>
      </c>
      <c r="B2818" s="11" t="n">
        <v>545</v>
      </c>
      <c r="C2818" s="13" t="inlineStr">
        <is>
          <t>Nº 17219</t>
        </is>
      </c>
      <c r="D2818" s="14" t="inlineStr">
        <is>
          <t>FLUAZINAM</t>
        </is>
      </c>
      <c r="E2818" s="13" t="inlineStr">
        <is>
          <t>Pulverização Agrícola Conforme Bula</t>
        </is>
      </c>
      <c r="F2818" s="13" t="inlineStr">
        <is>
          <t>Feijão</t>
        </is>
      </c>
      <c r="G2818" s="13" t="inlineStr">
        <is>
          <t>Cultura Autorizada na Bula</t>
        </is>
      </c>
      <c r="H2818" s="13" t="inlineStr">
        <is>
          <t>100 a 300 L/ha</t>
        </is>
      </c>
      <c r="I2818" s="13" t="inlineStr">
        <is>
          <t>20 a 40 L/ha</t>
        </is>
      </c>
      <c r="J2818" s="13" t="inlineStr">
        <is>
          <t>20 dias</t>
        </is>
      </c>
    </row>
    <row r="2819" ht="22" customHeight="1">
      <c r="A2819" s="6" t="inlineStr">
        <is>
          <t>CUL-2815</t>
        </is>
      </c>
      <c r="B2819" s="5" t="n">
        <v>545</v>
      </c>
      <c r="C2819" s="7" t="inlineStr">
        <is>
          <t>Nº 17219</t>
        </is>
      </c>
      <c r="D2819" s="8" t="inlineStr">
        <is>
          <t>FLUAZINAM</t>
        </is>
      </c>
      <c r="E2819" s="7" t="inlineStr">
        <is>
          <t>Pulverização Agrícola Conforme Bula</t>
        </is>
      </c>
      <c r="F2819" s="7" t="inlineStr">
        <is>
          <t>Batata</t>
        </is>
      </c>
      <c r="G2819" s="7" t="inlineStr">
        <is>
          <t>Cultura Autorizada na Bula</t>
        </is>
      </c>
      <c r="H2819" s="7" t="inlineStr">
        <is>
          <t>100 a 300 L/ha</t>
        </is>
      </c>
      <c r="I2819" s="7" t="inlineStr">
        <is>
          <t>20 a 40 L/ha</t>
        </is>
      </c>
      <c r="J2819" s="7" t="inlineStr">
        <is>
          <t>7 dias</t>
        </is>
      </c>
    </row>
    <row r="2820" ht="22" customHeight="1">
      <c r="A2820" s="12" t="inlineStr">
        <is>
          <t>CUL-2816</t>
        </is>
      </c>
      <c r="B2820" s="11" t="n">
        <v>545</v>
      </c>
      <c r="C2820" s="13" t="inlineStr">
        <is>
          <t>Nº 17219</t>
        </is>
      </c>
      <c r="D2820" s="14" t="inlineStr">
        <is>
          <t>FLUAZINAM</t>
        </is>
      </c>
      <c r="E2820" s="13" t="inlineStr">
        <is>
          <t>Pulverização Agrícola Conforme Bula</t>
        </is>
      </c>
      <c r="F2820" s="13" t="inlineStr">
        <is>
          <t>Algodão</t>
        </is>
      </c>
      <c r="G2820" s="13" t="inlineStr">
        <is>
          <t>Cultura Autorizada na Bula</t>
        </is>
      </c>
      <c r="H2820" s="13" t="inlineStr">
        <is>
          <t>100 a 300 L/ha</t>
        </is>
      </c>
      <c r="I2820" s="13" t="inlineStr">
        <is>
          <t>20 a 40 L/ha</t>
        </is>
      </c>
      <c r="J2820" s="13" t="inlineStr">
        <is>
          <t>30 dias</t>
        </is>
      </c>
    </row>
    <row r="2821" ht="22" customHeight="1">
      <c r="A2821" s="6" t="inlineStr">
        <is>
          <t>CUL-2817</t>
        </is>
      </c>
      <c r="B2821" s="5" t="n">
        <v>545</v>
      </c>
      <c r="C2821" s="7" t="inlineStr">
        <is>
          <t>Nº 17219</t>
        </is>
      </c>
      <c r="D2821" s="8" t="inlineStr">
        <is>
          <t>FLUAZINAM</t>
        </is>
      </c>
      <c r="E2821" s="7" t="inlineStr">
        <is>
          <t>Pulverização Agrícola Conforme Bula</t>
        </is>
      </c>
      <c r="F2821" s="7" t="inlineStr">
        <is>
          <t>Tomate</t>
        </is>
      </c>
      <c r="G2821" s="7" t="inlineStr">
        <is>
          <t>Cultura Autorizada na Bula</t>
        </is>
      </c>
      <c r="H2821" s="7" t="inlineStr">
        <is>
          <t>100 a 300 L/ha</t>
        </is>
      </c>
      <c r="I2821" s="7" t="inlineStr">
        <is>
          <t>20 a 40 L/ha</t>
        </is>
      </c>
      <c r="J2821" s="7" t="inlineStr">
        <is>
          <t>7 dias</t>
        </is>
      </c>
    </row>
    <row r="2822" ht="22" customHeight="1">
      <c r="A2822" s="12" t="inlineStr">
        <is>
          <t>CUL-2818</t>
        </is>
      </c>
      <c r="B2822" s="11" t="n">
        <v>546</v>
      </c>
      <c r="C2822" s="13" t="inlineStr">
        <is>
          <t>Nº 24324</t>
        </is>
      </c>
      <c r="D2822" s="14" t="inlineStr">
        <is>
          <t>PROCYMIDONE</t>
        </is>
      </c>
      <c r="E2822" s="13" t="inlineStr">
        <is>
          <t>Pulverização Agrícola Conforme Bula</t>
        </is>
      </c>
      <c r="F2822" s="13" t="inlineStr">
        <is>
          <t>Soja</t>
        </is>
      </c>
      <c r="G2822" s="13" t="inlineStr">
        <is>
          <t>Cultura Autorizada na Bula</t>
        </is>
      </c>
      <c r="H2822" s="13" t="inlineStr">
        <is>
          <t>100 a 300 L/ha</t>
        </is>
      </c>
      <c r="I2822" s="13" t="inlineStr">
        <is>
          <t>20 a 40 L/ha</t>
        </is>
      </c>
      <c r="J2822" s="13" t="inlineStr">
        <is>
          <t>30 dias</t>
        </is>
      </c>
    </row>
    <row r="2823" ht="22" customHeight="1">
      <c r="A2823" s="6" t="inlineStr">
        <is>
          <t>CUL-2819</t>
        </is>
      </c>
      <c r="B2823" s="5" t="n">
        <v>546</v>
      </c>
      <c r="C2823" s="7" t="inlineStr">
        <is>
          <t>Nº 24324</t>
        </is>
      </c>
      <c r="D2823" s="8" t="inlineStr">
        <is>
          <t>PROCYMIDONE</t>
        </is>
      </c>
      <c r="E2823" s="7" t="inlineStr">
        <is>
          <t>Pulverização Agrícola Conforme Bula</t>
        </is>
      </c>
      <c r="F2823" s="7" t="inlineStr">
        <is>
          <t>Milho</t>
        </is>
      </c>
      <c r="G2823" s="7" t="inlineStr">
        <is>
          <t>Cultura Autorizada na Bula</t>
        </is>
      </c>
      <c r="H2823" s="7" t="inlineStr">
        <is>
          <t>100 a 300 L/ha</t>
        </is>
      </c>
      <c r="I2823" s="7" t="inlineStr">
        <is>
          <t>20 a 40 L/ha</t>
        </is>
      </c>
      <c r="J2823" s="7" t="inlineStr">
        <is>
          <t>30 dias</t>
        </is>
      </c>
    </row>
    <row r="2824" ht="22" customHeight="1">
      <c r="A2824" s="12" t="inlineStr">
        <is>
          <t>CUL-2820</t>
        </is>
      </c>
      <c r="B2824" s="11" t="n">
        <v>546</v>
      </c>
      <c r="C2824" s="13" t="inlineStr">
        <is>
          <t>Nº 24324</t>
        </is>
      </c>
      <c r="D2824" s="14" t="inlineStr">
        <is>
          <t>PROCYMIDONE</t>
        </is>
      </c>
      <c r="E2824" s="13" t="inlineStr">
        <is>
          <t>Pulverização Agrícola Conforme Bula</t>
        </is>
      </c>
      <c r="F2824" s="13" t="inlineStr">
        <is>
          <t>Algodão</t>
        </is>
      </c>
      <c r="G2824" s="13" t="inlineStr">
        <is>
          <t>Cultura Autorizada na Bula</t>
        </is>
      </c>
      <c r="H2824" s="13" t="inlineStr">
        <is>
          <t>100 a 300 L/ha</t>
        </is>
      </c>
      <c r="I2824" s="13" t="inlineStr">
        <is>
          <t>20 a 40 L/ha</t>
        </is>
      </c>
      <c r="J2824" s="13" t="inlineStr">
        <is>
          <t>30 dias</t>
        </is>
      </c>
    </row>
    <row r="2825" ht="22" customHeight="1">
      <c r="A2825" s="6" t="inlineStr">
        <is>
          <t>CUL-2821</t>
        </is>
      </c>
      <c r="B2825" s="5" t="n">
        <v>546</v>
      </c>
      <c r="C2825" s="7" t="inlineStr">
        <is>
          <t>Nº 24324</t>
        </is>
      </c>
      <c r="D2825" s="8" t="inlineStr">
        <is>
          <t>PROCYMIDONE</t>
        </is>
      </c>
      <c r="E2825" s="7" t="inlineStr">
        <is>
          <t>Pulverização Agrícola Conforme Bula</t>
        </is>
      </c>
      <c r="F2825" s="7" t="inlineStr">
        <is>
          <t>Trigo</t>
        </is>
      </c>
      <c r="G2825" s="7" t="inlineStr">
        <is>
          <t>Cultura Autorizada na Bula</t>
        </is>
      </c>
      <c r="H2825" s="7" t="inlineStr">
        <is>
          <t>100 a 300 L/ha</t>
        </is>
      </c>
      <c r="I2825" s="7" t="inlineStr">
        <is>
          <t>20 a 40 L/ha</t>
        </is>
      </c>
      <c r="J2825" s="7" t="inlineStr">
        <is>
          <t>30 dias</t>
        </is>
      </c>
    </row>
    <row r="2826" ht="22" customHeight="1">
      <c r="A2826" s="12" t="inlineStr">
        <is>
          <t>CUL-2822</t>
        </is>
      </c>
      <c r="B2826" s="11" t="n">
        <v>546</v>
      </c>
      <c r="C2826" s="13" t="inlineStr">
        <is>
          <t>Nº 24324</t>
        </is>
      </c>
      <c r="D2826" s="14" t="inlineStr">
        <is>
          <t>PROCYMIDONE</t>
        </is>
      </c>
      <c r="E2826" s="13" t="inlineStr">
        <is>
          <t>Pulverização Agrícola Conforme Bula</t>
        </is>
      </c>
      <c r="F2826" s="13" t="inlineStr">
        <is>
          <t>Feijão</t>
        </is>
      </c>
      <c r="G2826" s="13" t="inlineStr">
        <is>
          <t>Cultura Autorizada na Bula</t>
        </is>
      </c>
      <c r="H2826" s="13" t="inlineStr">
        <is>
          <t>100 a 300 L/ha</t>
        </is>
      </c>
      <c r="I2826" s="13" t="inlineStr">
        <is>
          <t>20 a 40 L/ha</t>
        </is>
      </c>
      <c r="J2826" s="13" t="inlineStr">
        <is>
          <t>14 dias</t>
        </is>
      </c>
    </row>
    <row r="2827" ht="22" customHeight="1">
      <c r="A2827" s="6" t="inlineStr">
        <is>
          <t>CUL-2823</t>
        </is>
      </c>
      <c r="B2827" s="5" t="n">
        <v>547</v>
      </c>
      <c r="C2827" s="7" t="inlineStr">
        <is>
          <t>Nº 9019</t>
        </is>
      </c>
      <c r="D2827" s="8" t="inlineStr">
        <is>
          <t>LIMUZINA WG</t>
        </is>
      </c>
      <c r="E2827" s="7" t="inlineStr">
        <is>
          <t>Pulverização Agrícola Conforme Bula</t>
        </is>
      </c>
      <c r="F2827" s="7" t="inlineStr">
        <is>
          <t>Milho</t>
        </is>
      </c>
      <c r="G2827" s="7" t="inlineStr">
        <is>
          <t>Cultura Autorizada na Bula</t>
        </is>
      </c>
      <c r="H2827" s="7" t="inlineStr">
        <is>
          <t>100 a 300 L/ha</t>
        </is>
      </c>
      <c r="I2827" s="7" t="inlineStr">
        <is>
          <t>20 a 40 L/ha</t>
        </is>
      </c>
      <c r="J2827" s="7" t="inlineStr">
        <is>
          <t>60 dias</t>
        </is>
      </c>
    </row>
    <row r="2828" ht="22" customHeight="1">
      <c r="A2828" s="12" t="inlineStr">
        <is>
          <t>CUL-2824</t>
        </is>
      </c>
      <c r="B2828" s="11" t="n">
        <v>547</v>
      </c>
      <c r="C2828" s="13" t="inlineStr">
        <is>
          <t>Nº 9019</t>
        </is>
      </c>
      <c r="D2828" s="14" t="inlineStr">
        <is>
          <t>LIMUZINA WG</t>
        </is>
      </c>
      <c r="E2828" s="13" t="inlineStr">
        <is>
          <t>Pulverização Agrícola Conforme Bula</t>
        </is>
      </c>
      <c r="F2828" s="13" t="inlineStr">
        <is>
          <t>Cana-de-açúcar</t>
        </is>
      </c>
      <c r="G2828" s="13" t="inlineStr">
        <is>
          <t>Cultura Autorizada na Bula</t>
        </is>
      </c>
      <c r="H2828" s="13" t="inlineStr">
        <is>
          <t>100 a 300 L/ha</t>
        </is>
      </c>
      <c r="I2828" s="13" t="inlineStr">
        <is>
          <t>20 a 40 L/ha</t>
        </is>
      </c>
      <c r="J2828" s="13" t="inlineStr">
        <is>
          <t>N/D</t>
        </is>
      </c>
    </row>
    <row r="2829" ht="22" customHeight="1">
      <c r="A2829" s="6" t="inlineStr">
        <is>
          <t>CUL-2825</t>
        </is>
      </c>
      <c r="B2829" s="5" t="n">
        <v>547</v>
      </c>
      <c r="C2829" s="7" t="inlineStr">
        <is>
          <t>Nº 9019</t>
        </is>
      </c>
      <c r="D2829" s="8" t="inlineStr">
        <is>
          <t>LIMUZINA WG</t>
        </is>
      </c>
      <c r="E2829" s="7" t="inlineStr">
        <is>
          <t>Pulverização Agrícola Conforme Bula</t>
        </is>
      </c>
      <c r="F2829" s="7" t="inlineStr">
        <is>
          <t>Sorgo</t>
        </is>
      </c>
      <c r="G2829" s="7" t="inlineStr">
        <is>
          <t>Cultura Autorizada na Bula</t>
        </is>
      </c>
      <c r="H2829" s="7" t="inlineStr">
        <is>
          <t>100 a 300 L/ha</t>
        </is>
      </c>
      <c r="I2829" s="7" t="inlineStr">
        <is>
          <t>20 a 40 L/ha</t>
        </is>
      </c>
      <c r="J2829" s="7" t="inlineStr">
        <is>
          <t>60 dias</t>
        </is>
      </c>
    </row>
    <row r="2830" ht="22" customHeight="1">
      <c r="A2830" s="12" t="inlineStr">
        <is>
          <t>CUL-2826</t>
        </is>
      </c>
      <c r="B2830" s="11" t="n">
        <v>547</v>
      </c>
      <c r="C2830" s="13" t="inlineStr">
        <is>
          <t>Nº 9019</t>
        </is>
      </c>
      <c r="D2830" s="14" t="inlineStr">
        <is>
          <t>LIMUZINA WG</t>
        </is>
      </c>
      <c r="E2830" s="13" t="inlineStr">
        <is>
          <t>Pulverização Agrícola Conforme Bula</t>
        </is>
      </c>
      <c r="F2830" s="13" t="inlineStr">
        <is>
          <t>Pinus / Eucalipto</t>
        </is>
      </c>
      <c r="G2830" s="13" t="inlineStr">
        <is>
          <t>Cultura Autorizada na Bula</t>
        </is>
      </c>
      <c r="H2830" s="13" t="inlineStr">
        <is>
          <t>100 a 300 L/ha</t>
        </is>
      </c>
      <c r="I2830" s="13" t="inlineStr">
        <is>
          <t>20 a 40 L/ha</t>
        </is>
      </c>
      <c r="J2830" s="13" t="inlineStr">
        <is>
          <t>U.N.A.</t>
        </is>
      </c>
    </row>
    <row r="2831" ht="22" customHeight="1">
      <c r="A2831" s="6" t="inlineStr">
        <is>
          <t>CUL-2827</t>
        </is>
      </c>
      <c r="B2831" s="5" t="n">
        <v>548</v>
      </c>
      <c r="C2831" s="7" t="inlineStr">
        <is>
          <t>Nº 11819</t>
        </is>
      </c>
      <c r="D2831" s="8" t="inlineStr">
        <is>
          <t>MANCOZEB 800 WP AGCN 0,200KG AMOSTRA IMP LS</t>
        </is>
      </c>
      <c r="E2831" s="7" t="inlineStr">
        <is>
          <t>Pulverização Agrícola Conforme Bula</t>
        </is>
      </c>
      <c r="F2831" s="7" t="inlineStr">
        <is>
          <t>Soja</t>
        </is>
      </c>
      <c r="G2831" s="7" t="inlineStr">
        <is>
          <t>Cultura Autorizada na Bula</t>
        </is>
      </c>
      <c r="H2831" s="7" t="inlineStr">
        <is>
          <t>100 a 300 L/ha</t>
        </is>
      </c>
      <c r="I2831" s="7" t="inlineStr">
        <is>
          <t>20 a 40 L/ha</t>
        </is>
      </c>
      <c r="J2831" s="7" t="inlineStr">
        <is>
          <t>21 dias</t>
        </is>
      </c>
    </row>
    <row r="2832" ht="22" customHeight="1">
      <c r="A2832" s="12" t="inlineStr">
        <is>
          <t>CUL-2828</t>
        </is>
      </c>
      <c r="B2832" s="11" t="n">
        <v>548</v>
      </c>
      <c r="C2832" s="13" t="inlineStr">
        <is>
          <t>Nº 11819</t>
        </is>
      </c>
      <c r="D2832" s="14" t="inlineStr">
        <is>
          <t>MANCOZEB 800 WP AGCN 0,200KG AMOSTRA IMP LS</t>
        </is>
      </c>
      <c r="E2832" s="13" t="inlineStr">
        <is>
          <t>Pulverização Agrícola Conforme Bula</t>
        </is>
      </c>
      <c r="F2832" s="13" t="inlineStr">
        <is>
          <t>Algodão</t>
        </is>
      </c>
      <c r="G2832" s="13" t="inlineStr">
        <is>
          <t>Cultura Autorizada na Bula</t>
        </is>
      </c>
      <c r="H2832" s="13" t="inlineStr">
        <is>
          <t>100 a 300 L/ha</t>
        </is>
      </c>
      <c r="I2832" s="13" t="inlineStr">
        <is>
          <t>20 a 40 L/ha</t>
        </is>
      </c>
      <c r="J2832" s="13" t="inlineStr">
        <is>
          <t>21 dias</t>
        </is>
      </c>
    </row>
    <row r="2833" ht="22" customHeight="1">
      <c r="A2833" s="6" t="inlineStr">
        <is>
          <t>CUL-2829</t>
        </is>
      </c>
      <c r="B2833" s="5" t="n">
        <v>548</v>
      </c>
      <c r="C2833" s="7" t="inlineStr">
        <is>
          <t>Nº 11819</t>
        </is>
      </c>
      <c r="D2833" s="8" t="inlineStr">
        <is>
          <t>MANCOZEB 800 WP AGCN 0,200KG AMOSTRA IMP LS</t>
        </is>
      </c>
      <c r="E2833" s="7" t="inlineStr">
        <is>
          <t>Pulverização Agrícola Conforme Bula</t>
        </is>
      </c>
      <c r="F2833" s="7" t="inlineStr">
        <is>
          <t>Café</t>
        </is>
      </c>
      <c r="G2833" s="7" t="inlineStr">
        <is>
          <t>Cultura Autorizada na Bula</t>
        </is>
      </c>
      <c r="H2833" s="7" t="inlineStr">
        <is>
          <t>100 a 300 L/ha</t>
        </is>
      </c>
      <c r="I2833" s="7" t="inlineStr">
        <is>
          <t>20 a 40 L/ha</t>
        </is>
      </c>
      <c r="J2833" s="7" t="inlineStr">
        <is>
          <t>21 dias</t>
        </is>
      </c>
    </row>
    <row r="2834" ht="22" customHeight="1">
      <c r="A2834" s="12" t="inlineStr">
        <is>
          <t>CUL-2830</t>
        </is>
      </c>
      <c r="B2834" s="11" t="n">
        <v>548</v>
      </c>
      <c r="C2834" s="13" t="inlineStr">
        <is>
          <t>Nº 11819</t>
        </is>
      </c>
      <c r="D2834" s="14" t="inlineStr">
        <is>
          <t>MANCOZEB 800 WP AGCN 0,200KG AMOSTRA IMP LS</t>
        </is>
      </c>
      <c r="E2834" s="13" t="inlineStr">
        <is>
          <t>Pulverização Agrícola Conforme Bula</t>
        </is>
      </c>
      <c r="F2834" s="13" t="inlineStr">
        <is>
          <t>Feijão</t>
        </is>
      </c>
      <c r="G2834" s="13" t="inlineStr">
        <is>
          <t>Cultura Autorizada na Bula</t>
        </is>
      </c>
      <c r="H2834" s="13" t="inlineStr">
        <is>
          <t>100 a 300 L/ha</t>
        </is>
      </c>
      <c r="I2834" s="13" t="inlineStr">
        <is>
          <t>20 a 40 L/ha</t>
        </is>
      </c>
      <c r="J2834" s="13" t="inlineStr">
        <is>
          <t>14 dias</t>
        </is>
      </c>
    </row>
    <row r="2835" ht="22" customHeight="1">
      <c r="A2835" s="6" t="inlineStr">
        <is>
          <t>CUL-2831</t>
        </is>
      </c>
      <c r="B2835" s="5" t="n">
        <v>548</v>
      </c>
      <c r="C2835" s="7" t="inlineStr">
        <is>
          <t>Nº 11819</t>
        </is>
      </c>
      <c r="D2835" s="8" t="inlineStr">
        <is>
          <t>MANCOZEB 800 WP AGCN 0,200KG AMOSTRA IMP LS</t>
        </is>
      </c>
      <c r="E2835" s="7" t="inlineStr">
        <is>
          <t>Pulverização Agrícola Conforme Bula</t>
        </is>
      </c>
      <c r="F2835" s="7" t="inlineStr">
        <is>
          <t>Milho</t>
        </is>
      </c>
      <c r="G2835" s="7" t="inlineStr">
        <is>
          <t>Cultura Autorizada na Bula</t>
        </is>
      </c>
      <c r="H2835" s="7" t="inlineStr">
        <is>
          <t>100 a 300 L/ha</t>
        </is>
      </c>
      <c r="I2835" s="7" t="inlineStr">
        <is>
          <t>20 a 40 L/ha</t>
        </is>
      </c>
      <c r="J2835" s="7" t="inlineStr">
        <is>
          <t>21 dias</t>
        </is>
      </c>
    </row>
    <row r="2836" ht="22" customHeight="1">
      <c r="A2836" s="12" t="inlineStr">
        <is>
          <t>CUL-2832</t>
        </is>
      </c>
      <c r="B2836" s="11" t="n">
        <v>548</v>
      </c>
      <c r="C2836" s="13" t="inlineStr">
        <is>
          <t>Nº 11819</t>
        </is>
      </c>
      <c r="D2836" s="14" t="inlineStr">
        <is>
          <t>MANCOZEB 800 WP AGCN 0,200KG AMOSTRA IMP LS</t>
        </is>
      </c>
      <c r="E2836" s="13" t="inlineStr">
        <is>
          <t>Pulverização Agrícola Conforme Bula</t>
        </is>
      </c>
      <c r="F2836" s="13" t="inlineStr">
        <is>
          <t>Batata</t>
        </is>
      </c>
      <c r="G2836" s="13" t="inlineStr">
        <is>
          <t>Cultura Autorizada na Bula</t>
        </is>
      </c>
      <c r="H2836" s="13" t="inlineStr">
        <is>
          <t>100 a 300 L/ha</t>
        </is>
      </c>
      <c r="I2836" s="13" t="inlineStr">
        <is>
          <t>20 a 40 L/ha</t>
        </is>
      </c>
      <c r="J2836" s="13" t="inlineStr">
        <is>
          <t>7 dias</t>
        </is>
      </c>
    </row>
    <row r="2837" ht="22" customHeight="1">
      <c r="A2837" s="6" t="inlineStr">
        <is>
          <t>CUL-2833</t>
        </is>
      </c>
      <c r="B2837" s="5" t="n">
        <v>548</v>
      </c>
      <c r="C2837" s="7" t="inlineStr">
        <is>
          <t>Nº 11819</t>
        </is>
      </c>
      <c r="D2837" s="8" t="inlineStr">
        <is>
          <t>MANCOZEB 800 WP AGCN 0,200KG AMOSTRA IMP LS</t>
        </is>
      </c>
      <c r="E2837" s="7" t="inlineStr">
        <is>
          <t>Pulverização Agrícola Conforme Bula</t>
        </is>
      </c>
      <c r="F2837" s="7" t="inlineStr">
        <is>
          <t>Tomate</t>
        </is>
      </c>
      <c r="G2837" s="7" t="inlineStr">
        <is>
          <t>Cultura Autorizada na Bula</t>
        </is>
      </c>
      <c r="H2837" s="7" t="inlineStr">
        <is>
          <t>100 a 300 L/ha</t>
        </is>
      </c>
      <c r="I2837" s="7" t="inlineStr">
        <is>
          <t>20 a 40 L/ha</t>
        </is>
      </c>
      <c r="J2837" s="7" t="inlineStr">
        <is>
          <t>7 dias</t>
        </is>
      </c>
    </row>
    <row r="2838" ht="22" customHeight="1">
      <c r="A2838" s="12" t="inlineStr">
        <is>
          <t>CUL-2834</t>
        </is>
      </c>
      <c r="B2838" s="11" t="n">
        <v>548</v>
      </c>
      <c r="C2838" s="13" t="inlineStr">
        <is>
          <t>Nº 11819</t>
        </is>
      </c>
      <c r="D2838" s="14" t="inlineStr">
        <is>
          <t>MANCOZEB 800 WP AGCN 0,200KG AMOSTRA IMP LS</t>
        </is>
      </c>
      <c r="E2838" s="13" t="inlineStr">
        <is>
          <t>Pulverização Agrícola Conforme Bula</t>
        </is>
      </c>
      <c r="F2838" s="13" t="inlineStr">
        <is>
          <t>Trigo</t>
        </is>
      </c>
      <c r="G2838" s="13" t="inlineStr">
        <is>
          <t>Cultura Autorizada na Bula</t>
        </is>
      </c>
      <c r="H2838" s="13" t="inlineStr">
        <is>
          <t>100 a 300 L/ha</t>
        </is>
      </c>
      <c r="I2838" s="13" t="inlineStr">
        <is>
          <t>20 a 40 L/ha</t>
        </is>
      </c>
      <c r="J2838" s="13" t="inlineStr">
        <is>
          <t>21 dias</t>
        </is>
      </c>
    </row>
    <row r="2839" ht="22" customHeight="1">
      <c r="A2839" s="6" t="inlineStr">
        <is>
          <t>CUL-2835</t>
        </is>
      </c>
      <c r="B2839" s="5" t="n">
        <v>549</v>
      </c>
      <c r="C2839" s="7" t="inlineStr">
        <is>
          <t>Nº 16724</t>
        </is>
      </c>
      <c r="D2839" s="8" t="inlineStr">
        <is>
          <t>FLUAZINAM</t>
        </is>
      </c>
      <c r="E2839" s="7" t="inlineStr">
        <is>
          <t>Pulverização Agrícola Conforme Bula</t>
        </is>
      </c>
      <c r="F2839" s="7" t="inlineStr">
        <is>
          <t>Soja</t>
        </is>
      </c>
      <c r="G2839" s="7" t="inlineStr">
        <is>
          <t>Cultura Autorizada na Bula</t>
        </is>
      </c>
      <c r="H2839" s="7" t="inlineStr">
        <is>
          <t>100 a 300 L/ha</t>
        </is>
      </c>
      <c r="I2839" s="7" t="inlineStr">
        <is>
          <t>20 a 40 L/ha</t>
        </is>
      </c>
      <c r="J2839" s="7" t="inlineStr">
        <is>
          <t>28 dias</t>
        </is>
      </c>
    </row>
    <row r="2840" ht="22" customHeight="1">
      <c r="A2840" s="12" t="inlineStr">
        <is>
          <t>CUL-2836</t>
        </is>
      </c>
      <c r="B2840" s="11" t="n">
        <v>549</v>
      </c>
      <c r="C2840" s="13" t="inlineStr">
        <is>
          <t>Nº 16724</t>
        </is>
      </c>
      <c r="D2840" s="14" t="inlineStr">
        <is>
          <t>FLUAZINAM</t>
        </is>
      </c>
      <c r="E2840" s="13" t="inlineStr">
        <is>
          <t>Pulverização Agrícola Conforme Bula</t>
        </is>
      </c>
      <c r="F2840" s="13" t="inlineStr">
        <is>
          <t>Feijão</t>
        </is>
      </c>
      <c r="G2840" s="13" t="inlineStr">
        <is>
          <t>Cultura Autorizada na Bula</t>
        </is>
      </c>
      <c r="H2840" s="13" t="inlineStr">
        <is>
          <t>100 a 300 L/ha</t>
        </is>
      </c>
      <c r="I2840" s="13" t="inlineStr">
        <is>
          <t>20 a 40 L/ha</t>
        </is>
      </c>
      <c r="J2840" s="13" t="inlineStr">
        <is>
          <t>20 dias</t>
        </is>
      </c>
    </row>
    <row r="2841" ht="22" customHeight="1">
      <c r="A2841" s="6" t="inlineStr">
        <is>
          <t>CUL-2837</t>
        </is>
      </c>
      <c r="B2841" s="5" t="n">
        <v>549</v>
      </c>
      <c r="C2841" s="7" t="inlineStr">
        <is>
          <t>Nº 16724</t>
        </is>
      </c>
      <c r="D2841" s="8" t="inlineStr">
        <is>
          <t>FLUAZINAM</t>
        </is>
      </c>
      <c r="E2841" s="7" t="inlineStr">
        <is>
          <t>Pulverização Agrícola Conforme Bula</t>
        </is>
      </c>
      <c r="F2841" s="7" t="inlineStr">
        <is>
          <t>Batata</t>
        </is>
      </c>
      <c r="G2841" s="7" t="inlineStr">
        <is>
          <t>Cultura Autorizada na Bula</t>
        </is>
      </c>
      <c r="H2841" s="7" t="inlineStr">
        <is>
          <t>100 a 300 L/ha</t>
        </is>
      </c>
      <c r="I2841" s="7" t="inlineStr">
        <is>
          <t>20 a 40 L/ha</t>
        </is>
      </c>
      <c r="J2841" s="7" t="inlineStr">
        <is>
          <t>7 dias</t>
        </is>
      </c>
    </row>
    <row r="2842" ht="22" customHeight="1">
      <c r="A2842" s="12" t="inlineStr">
        <is>
          <t>CUL-2838</t>
        </is>
      </c>
      <c r="B2842" s="11" t="n">
        <v>549</v>
      </c>
      <c r="C2842" s="13" t="inlineStr">
        <is>
          <t>Nº 16724</t>
        </is>
      </c>
      <c r="D2842" s="14" t="inlineStr">
        <is>
          <t>FLUAZINAM</t>
        </is>
      </c>
      <c r="E2842" s="13" t="inlineStr">
        <is>
          <t>Pulverização Agrícola Conforme Bula</t>
        </is>
      </c>
      <c r="F2842" s="13" t="inlineStr">
        <is>
          <t>Algodão</t>
        </is>
      </c>
      <c r="G2842" s="13" t="inlineStr">
        <is>
          <t>Cultura Autorizada na Bula</t>
        </is>
      </c>
      <c r="H2842" s="13" t="inlineStr">
        <is>
          <t>100 a 300 L/ha</t>
        </is>
      </c>
      <c r="I2842" s="13" t="inlineStr">
        <is>
          <t>20 a 40 L/ha</t>
        </is>
      </c>
      <c r="J2842" s="13" t="inlineStr">
        <is>
          <t>30 dias</t>
        </is>
      </c>
    </row>
    <row r="2843" ht="22" customHeight="1">
      <c r="A2843" s="6" t="inlineStr">
        <is>
          <t>CUL-2839</t>
        </is>
      </c>
      <c r="B2843" s="5" t="n">
        <v>549</v>
      </c>
      <c r="C2843" s="7" t="inlineStr">
        <is>
          <t>Nº 16724</t>
        </is>
      </c>
      <c r="D2843" s="8" t="inlineStr">
        <is>
          <t>FLUAZINAM</t>
        </is>
      </c>
      <c r="E2843" s="7" t="inlineStr">
        <is>
          <t>Pulverização Agrícola Conforme Bula</t>
        </is>
      </c>
      <c r="F2843" s="7" t="inlineStr">
        <is>
          <t>Tomate</t>
        </is>
      </c>
      <c r="G2843" s="7" t="inlineStr">
        <is>
          <t>Cultura Autorizada na Bula</t>
        </is>
      </c>
      <c r="H2843" s="7" t="inlineStr">
        <is>
          <t>100 a 300 L/ha</t>
        </is>
      </c>
      <c r="I2843" s="7" t="inlineStr">
        <is>
          <t>20 a 40 L/ha</t>
        </is>
      </c>
      <c r="J2843" s="7" t="inlineStr">
        <is>
          <t>7 dias</t>
        </is>
      </c>
    </row>
    <row r="2844" ht="22" customHeight="1">
      <c r="A2844" s="12" t="inlineStr">
        <is>
          <t>CUL-2840</t>
        </is>
      </c>
      <c r="B2844" s="11" t="n">
        <v>550</v>
      </c>
      <c r="C2844" s="13" t="inlineStr">
        <is>
          <t>Nº 24922</t>
        </is>
      </c>
      <c r="D2844" s="14" t="inlineStr">
        <is>
          <t>CEFANOL GOLD</t>
        </is>
      </c>
      <c r="E2844" s="13" t="inlineStr">
        <is>
          <t>Pulverização Agrícola Conforme Bula</t>
        </is>
      </c>
      <c r="F2844" s="13" t="inlineStr">
        <is>
          <t>Soja</t>
        </is>
      </c>
      <c r="G2844" s="13" t="inlineStr">
        <is>
          <t>Cultura Autorizada na Bula</t>
        </is>
      </c>
      <c r="H2844" s="13" t="inlineStr">
        <is>
          <t>100 a 300 L/ha</t>
        </is>
      </c>
      <c r="I2844" s="13" t="inlineStr">
        <is>
          <t>20 a 40 L/ha</t>
        </is>
      </c>
      <c r="J2844" s="13" t="inlineStr">
        <is>
          <t>21 dias</t>
        </is>
      </c>
    </row>
    <row r="2845" ht="22" customHeight="1">
      <c r="A2845" s="6" t="inlineStr">
        <is>
          <t>CUL-2841</t>
        </is>
      </c>
      <c r="B2845" s="5" t="n">
        <v>550</v>
      </c>
      <c r="C2845" s="7" t="inlineStr">
        <is>
          <t>Nº 24922</t>
        </is>
      </c>
      <c r="D2845" s="8" t="inlineStr">
        <is>
          <t>CEFANOL GOLD</t>
        </is>
      </c>
      <c r="E2845" s="7" t="inlineStr">
        <is>
          <t>Pulverização Agrícola Conforme Bula</t>
        </is>
      </c>
      <c r="F2845" s="7" t="inlineStr">
        <is>
          <t>Algodão</t>
        </is>
      </c>
      <c r="G2845" s="7" t="inlineStr">
        <is>
          <t>Cultura Autorizada na Bula</t>
        </is>
      </c>
      <c r="H2845" s="7" t="inlineStr">
        <is>
          <t>100 a 300 L/ha</t>
        </is>
      </c>
      <c r="I2845" s="7" t="inlineStr">
        <is>
          <t>20 a 40 L/ha</t>
        </is>
      </c>
      <c r="J2845" s="7" t="inlineStr">
        <is>
          <t>21 dias</t>
        </is>
      </c>
    </row>
    <row r="2846" ht="22" customHeight="1">
      <c r="A2846" s="12" t="inlineStr">
        <is>
          <t>CUL-2842</t>
        </is>
      </c>
      <c r="B2846" s="11" t="n">
        <v>550</v>
      </c>
      <c r="C2846" s="13" t="inlineStr">
        <is>
          <t>Nº 24922</t>
        </is>
      </c>
      <c r="D2846" s="14" t="inlineStr">
        <is>
          <t>CEFANOL GOLD</t>
        </is>
      </c>
      <c r="E2846" s="13" t="inlineStr">
        <is>
          <t>Pulverização Agrícola Conforme Bula</t>
        </is>
      </c>
      <c r="F2846" s="13" t="inlineStr">
        <is>
          <t>Feijão</t>
        </is>
      </c>
      <c r="G2846" s="13" t="inlineStr">
        <is>
          <t>Cultura Autorizada na Bula</t>
        </is>
      </c>
      <c r="H2846" s="13" t="inlineStr">
        <is>
          <t>100 a 300 L/ha</t>
        </is>
      </c>
      <c r="I2846" s="13" t="inlineStr">
        <is>
          <t>20 a 40 L/ha</t>
        </is>
      </c>
      <c r="J2846" s="13" t="inlineStr">
        <is>
          <t>14 dias</t>
        </is>
      </c>
    </row>
    <row r="2847" ht="22" customHeight="1">
      <c r="A2847" s="6" t="inlineStr">
        <is>
          <t>CUL-2843</t>
        </is>
      </c>
      <c r="B2847" s="5" t="n">
        <v>550</v>
      </c>
      <c r="C2847" s="7" t="inlineStr">
        <is>
          <t>Nº 24922</t>
        </is>
      </c>
      <c r="D2847" s="8" t="inlineStr">
        <is>
          <t>CEFANOL GOLD</t>
        </is>
      </c>
      <c r="E2847" s="7" t="inlineStr">
        <is>
          <t>Pulverização Agrícola Conforme Bula</t>
        </is>
      </c>
      <c r="F2847" s="7" t="inlineStr">
        <is>
          <t>Milho</t>
        </is>
      </c>
      <c r="G2847" s="7" t="inlineStr">
        <is>
          <t>Cultura Autorizada na Bula</t>
        </is>
      </c>
      <c r="H2847" s="7" t="inlineStr">
        <is>
          <t>100 a 300 L/ha</t>
        </is>
      </c>
      <c r="I2847" s="7" t="inlineStr">
        <is>
          <t>20 a 40 L/ha</t>
        </is>
      </c>
      <c r="J2847" s="7" t="inlineStr">
        <is>
          <t>21 dias</t>
        </is>
      </c>
    </row>
    <row r="2848" ht="22" customHeight="1">
      <c r="A2848" s="12" t="inlineStr">
        <is>
          <t>CUL-2844</t>
        </is>
      </c>
      <c r="B2848" s="11" t="n">
        <v>551</v>
      </c>
      <c r="C2848" s="13" t="inlineStr">
        <is>
          <t>SIPEAGRO (UF-XXXXX)</t>
        </is>
      </c>
      <c r="D2848" s="14" t="inlineStr">
        <is>
          <t>FERTILIZANTE MINERAL MISTO 20-00-20</t>
        </is>
      </c>
      <c r="E2848" s="13" t="inlineStr">
        <is>
          <t>Adubação de Solo / Foliar</t>
        </is>
      </c>
      <c r="F2848" s="13" t="inlineStr">
        <is>
          <t>Soja</t>
        </is>
      </c>
      <c r="G2848" s="13" t="inlineStr">
        <is>
          <t>Cultura Autorizada na Bula</t>
        </is>
      </c>
      <c r="H2848" s="13" t="inlineStr">
        <is>
          <t>100 a 300 L/ha</t>
        </is>
      </c>
      <c r="I2848" s="13" t="inlineStr">
        <is>
          <t>20 a 40 L/ha</t>
        </is>
      </c>
      <c r="J2848" s="13" t="inlineStr">
        <is>
          <t>Isento</t>
        </is>
      </c>
    </row>
    <row r="2849" ht="22" customHeight="1">
      <c r="A2849" s="6" t="inlineStr">
        <is>
          <t>CUL-2845</t>
        </is>
      </c>
      <c r="B2849" s="5" t="n">
        <v>551</v>
      </c>
      <c r="C2849" s="7" t="inlineStr">
        <is>
          <t>SIPEAGRO (UF-XXXXX)</t>
        </is>
      </c>
      <c r="D2849" s="8" t="inlineStr">
        <is>
          <t>FERTILIZANTE MINERAL MISTO 20-00-20</t>
        </is>
      </c>
      <c r="E2849" s="7" t="inlineStr">
        <is>
          <t>Adubação de Solo / Foliar</t>
        </is>
      </c>
      <c r="F2849" s="7" t="inlineStr">
        <is>
          <t>Milho</t>
        </is>
      </c>
      <c r="G2849" s="7" t="inlineStr">
        <is>
          <t>Cultura Autorizada na Bula</t>
        </is>
      </c>
      <c r="H2849" s="7" t="inlineStr">
        <is>
          <t>100 a 300 L/ha</t>
        </is>
      </c>
      <c r="I2849" s="7" t="inlineStr">
        <is>
          <t>20 a 40 L/ha</t>
        </is>
      </c>
      <c r="J2849" s="7" t="inlineStr">
        <is>
          <t>Isento</t>
        </is>
      </c>
    </row>
    <row r="2850" ht="22" customHeight="1">
      <c r="A2850" s="12" t="inlineStr">
        <is>
          <t>CUL-2846</t>
        </is>
      </c>
      <c r="B2850" s="11" t="n">
        <v>551</v>
      </c>
      <c r="C2850" s="13" t="inlineStr">
        <is>
          <t>SIPEAGRO (UF-XXXXX)</t>
        </is>
      </c>
      <c r="D2850" s="14" t="inlineStr">
        <is>
          <t>FERTILIZANTE MINERAL MISTO 20-00-20</t>
        </is>
      </c>
      <c r="E2850" s="13" t="inlineStr">
        <is>
          <t>Adubação de Solo / Foliar</t>
        </is>
      </c>
      <c r="F2850" s="13" t="inlineStr">
        <is>
          <t>Algodão</t>
        </is>
      </c>
      <c r="G2850" s="13" t="inlineStr">
        <is>
          <t>Cultura Autorizada na Bula</t>
        </is>
      </c>
      <c r="H2850" s="13" t="inlineStr">
        <is>
          <t>100 a 300 L/ha</t>
        </is>
      </c>
      <c r="I2850" s="13" t="inlineStr">
        <is>
          <t>20 a 40 L/ha</t>
        </is>
      </c>
      <c r="J2850" s="13" t="inlineStr">
        <is>
          <t>Isento</t>
        </is>
      </c>
    </row>
    <row r="2851" ht="22" customHeight="1">
      <c r="A2851" s="6" t="inlineStr">
        <is>
          <t>CUL-2847</t>
        </is>
      </c>
      <c r="B2851" s="5" t="n">
        <v>551</v>
      </c>
      <c r="C2851" s="7" t="inlineStr">
        <is>
          <t>SIPEAGRO (UF-XXXXX)</t>
        </is>
      </c>
      <c r="D2851" s="8" t="inlineStr">
        <is>
          <t>FERTILIZANTE MINERAL MISTO 20-00-20</t>
        </is>
      </c>
      <c r="E2851" s="7" t="inlineStr">
        <is>
          <t>Adubação de Solo / Foliar</t>
        </is>
      </c>
      <c r="F2851" s="7" t="inlineStr">
        <is>
          <t>Cana-de-açúcar</t>
        </is>
      </c>
      <c r="G2851" s="7" t="inlineStr">
        <is>
          <t>Cultura Autorizada na Bula</t>
        </is>
      </c>
      <c r="H2851" s="7" t="inlineStr">
        <is>
          <t>100 a 300 L/ha</t>
        </is>
      </c>
      <c r="I2851" s="7" t="inlineStr">
        <is>
          <t>20 a 40 L/ha</t>
        </is>
      </c>
      <c r="J2851" s="7" t="inlineStr">
        <is>
          <t>Isento</t>
        </is>
      </c>
    </row>
    <row r="2852" ht="22" customHeight="1">
      <c r="A2852" s="12" t="inlineStr">
        <is>
          <t>CUL-2848</t>
        </is>
      </c>
      <c r="B2852" s="11" t="n">
        <v>551</v>
      </c>
      <c r="C2852" s="13" t="inlineStr">
        <is>
          <t>SIPEAGRO (UF-XXXXX)</t>
        </is>
      </c>
      <c r="D2852" s="14" t="inlineStr">
        <is>
          <t>FERTILIZANTE MINERAL MISTO 20-00-20</t>
        </is>
      </c>
      <c r="E2852" s="13" t="inlineStr">
        <is>
          <t>Adubação de Solo / Foliar</t>
        </is>
      </c>
      <c r="F2852" s="13" t="inlineStr">
        <is>
          <t>Café</t>
        </is>
      </c>
      <c r="G2852" s="13" t="inlineStr">
        <is>
          <t>Cultura Autorizada na Bula</t>
        </is>
      </c>
      <c r="H2852" s="13" t="inlineStr">
        <is>
          <t>100 a 300 L/ha</t>
        </is>
      </c>
      <c r="I2852" s="13" t="inlineStr">
        <is>
          <t>20 a 40 L/ha</t>
        </is>
      </c>
      <c r="J2852" s="13" t="inlineStr">
        <is>
          <t>Isento</t>
        </is>
      </c>
    </row>
    <row r="2853" ht="22" customHeight="1">
      <c r="A2853" s="6" t="inlineStr">
        <is>
          <t>CUL-2849</t>
        </is>
      </c>
      <c r="B2853" s="5" t="n">
        <v>552</v>
      </c>
      <c r="C2853" s="7" t="inlineStr">
        <is>
          <t>Nº 15925</t>
        </is>
      </c>
      <c r="D2853" s="8" t="inlineStr">
        <is>
          <t>CHETTAK GOLD 0,200KG (IMP) AMOSTRA</t>
        </is>
      </c>
      <c r="E2853" s="7" t="inlineStr">
        <is>
          <t>Pulverização Agrícola Conforme Bula</t>
        </is>
      </c>
      <c r="F2853" s="7" t="inlineStr">
        <is>
          <t>Soja</t>
        </is>
      </c>
      <c r="G2853" s="7" t="inlineStr">
        <is>
          <t>Cultura Autorizada na Bula</t>
        </is>
      </c>
      <c r="H2853" s="7" t="inlineStr">
        <is>
          <t>100 a 300 L/ha</t>
        </is>
      </c>
      <c r="I2853" s="7" t="inlineStr">
        <is>
          <t>20 a 40 L/ha</t>
        </is>
      </c>
      <c r="J2853" s="7" t="inlineStr">
        <is>
          <t>21 dias</t>
        </is>
      </c>
    </row>
    <row r="2854" ht="22" customHeight="1">
      <c r="A2854" s="12" t="inlineStr">
        <is>
          <t>CUL-2850</t>
        </is>
      </c>
      <c r="B2854" s="11" t="n">
        <v>552</v>
      </c>
      <c r="C2854" s="13" t="inlineStr">
        <is>
          <t>Nº 15925</t>
        </is>
      </c>
      <c r="D2854" s="14" t="inlineStr">
        <is>
          <t>CHETTAK GOLD 0,200KG (IMP) AMOSTRA</t>
        </is>
      </c>
      <c r="E2854" s="13" t="inlineStr">
        <is>
          <t>Pulverização Agrícola Conforme Bula</t>
        </is>
      </c>
      <c r="F2854" s="13" t="inlineStr">
        <is>
          <t>Algodão</t>
        </is>
      </c>
      <c r="G2854" s="13" t="inlineStr">
        <is>
          <t>Cultura Autorizada na Bula</t>
        </is>
      </c>
      <c r="H2854" s="13" t="inlineStr">
        <is>
          <t>100 a 300 L/ha</t>
        </is>
      </c>
      <c r="I2854" s="13" t="inlineStr">
        <is>
          <t>20 a 40 L/ha</t>
        </is>
      </c>
      <c r="J2854" s="13" t="inlineStr">
        <is>
          <t>21 dias</t>
        </is>
      </c>
    </row>
    <row r="2855" ht="22" customHeight="1">
      <c r="A2855" s="6" t="inlineStr">
        <is>
          <t>CUL-2851</t>
        </is>
      </c>
      <c r="B2855" s="5" t="n">
        <v>552</v>
      </c>
      <c r="C2855" s="7" t="inlineStr">
        <is>
          <t>Nº 15925</t>
        </is>
      </c>
      <c r="D2855" s="8" t="inlineStr">
        <is>
          <t>CHETTAK GOLD 0,200KG (IMP) AMOSTRA</t>
        </is>
      </c>
      <c r="E2855" s="7" t="inlineStr">
        <is>
          <t>Pulverização Agrícola Conforme Bula</t>
        </is>
      </c>
      <c r="F2855" s="7" t="inlineStr">
        <is>
          <t>Feijão</t>
        </is>
      </c>
      <c r="G2855" s="7" t="inlineStr">
        <is>
          <t>Cultura Autorizada na Bula</t>
        </is>
      </c>
      <c r="H2855" s="7" t="inlineStr">
        <is>
          <t>100 a 300 L/ha</t>
        </is>
      </c>
      <c r="I2855" s="7" t="inlineStr">
        <is>
          <t>20 a 40 L/ha</t>
        </is>
      </c>
      <c r="J2855" s="7" t="inlineStr">
        <is>
          <t>14 dias</t>
        </is>
      </c>
    </row>
    <row r="2856" ht="22" customHeight="1">
      <c r="A2856" s="12" t="inlineStr">
        <is>
          <t>CUL-2852</t>
        </is>
      </c>
      <c r="B2856" s="11" t="n">
        <v>552</v>
      </c>
      <c r="C2856" s="13" t="inlineStr">
        <is>
          <t>Nº 15925</t>
        </is>
      </c>
      <c r="D2856" s="14" t="inlineStr">
        <is>
          <t>CHETTAK GOLD 0,200KG (IMP) AMOSTRA</t>
        </is>
      </c>
      <c r="E2856" s="13" t="inlineStr">
        <is>
          <t>Pulverização Agrícola Conforme Bula</t>
        </is>
      </c>
      <c r="F2856" s="13" t="inlineStr">
        <is>
          <t>Milho</t>
        </is>
      </c>
      <c r="G2856" s="13" t="inlineStr">
        <is>
          <t>Cultura Autorizada na Bula</t>
        </is>
      </c>
      <c r="H2856" s="13" t="inlineStr">
        <is>
          <t>100 a 300 L/ha</t>
        </is>
      </c>
      <c r="I2856" s="13" t="inlineStr">
        <is>
          <t>20 a 40 L/ha</t>
        </is>
      </c>
      <c r="J2856" s="13" t="inlineStr">
        <is>
          <t>21 dias</t>
        </is>
      </c>
    </row>
    <row r="2857" ht="22" customHeight="1">
      <c r="A2857" s="6" t="inlineStr">
        <is>
          <t>CUL-2853</t>
        </is>
      </c>
      <c r="B2857" s="5" t="n">
        <v>553</v>
      </c>
      <c r="C2857" s="7" t="inlineStr">
        <is>
          <t>Nº 31618</t>
        </is>
      </c>
      <c r="D2857" s="8" t="inlineStr">
        <is>
          <t>ASSARIS</t>
        </is>
      </c>
      <c r="E2857" s="7" t="inlineStr">
        <is>
          <t>Pulverização Agrícola Conforme Bula</t>
        </is>
      </c>
      <c r="F2857" s="7" t="inlineStr">
        <is>
          <t>Soja</t>
        </is>
      </c>
      <c r="G2857" s="7" t="inlineStr">
        <is>
          <t>Cultura Autorizada na Bula</t>
        </is>
      </c>
      <c r="H2857" s="7" t="inlineStr">
        <is>
          <t>100 a 300 L/ha</t>
        </is>
      </c>
      <c r="I2857" s="7" t="inlineStr">
        <is>
          <t>20 a 40 L/ha</t>
        </is>
      </c>
      <c r="J2857" s="7" t="inlineStr">
        <is>
          <t>14 dias</t>
        </is>
      </c>
    </row>
    <row r="2858" ht="22" customHeight="1">
      <c r="A2858" s="12" t="inlineStr">
        <is>
          <t>CUL-2854</t>
        </is>
      </c>
      <c r="B2858" s="11" t="n">
        <v>553</v>
      </c>
      <c r="C2858" s="13" t="inlineStr">
        <is>
          <t>Nº 31618</t>
        </is>
      </c>
      <c r="D2858" s="14" t="inlineStr">
        <is>
          <t>ASSARIS</t>
        </is>
      </c>
      <c r="E2858" s="13" t="inlineStr">
        <is>
          <t>Pulverização Agrícola Conforme Bula</t>
        </is>
      </c>
      <c r="F2858" s="13" t="inlineStr">
        <is>
          <t>Milho</t>
        </is>
      </c>
      <c r="G2858" s="13" t="inlineStr">
        <is>
          <t>Cultura Autorizada na Bula</t>
        </is>
      </c>
      <c r="H2858" s="13" t="inlineStr">
        <is>
          <t>100 a 300 L/ha</t>
        </is>
      </c>
      <c r="I2858" s="13" t="inlineStr">
        <is>
          <t>20 a 40 L/ha</t>
        </is>
      </c>
      <c r="J2858" s="13" t="inlineStr">
        <is>
          <t>14 dias</t>
        </is>
      </c>
    </row>
    <row r="2859" ht="22" customHeight="1">
      <c r="A2859" s="6" t="inlineStr">
        <is>
          <t>CUL-2855</t>
        </is>
      </c>
      <c r="B2859" s="5" t="n">
        <v>553</v>
      </c>
      <c r="C2859" s="7" t="inlineStr">
        <is>
          <t>Nº 31618</t>
        </is>
      </c>
      <c r="D2859" s="8" t="inlineStr">
        <is>
          <t>ASSARIS</t>
        </is>
      </c>
      <c r="E2859" s="7" t="inlineStr">
        <is>
          <t>Pulverização Agrícola Conforme Bula</t>
        </is>
      </c>
      <c r="F2859" s="7" t="inlineStr">
        <is>
          <t>Algodão</t>
        </is>
      </c>
      <c r="G2859" s="7" t="inlineStr">
        <is>
          <t>Cultura Autorizada na Bula</t>
        </is>
      </c>
      <c r="H2859" s="7" t="inlineStr">
        <is>
          <t>100 a 300 L/ha</t>
        </is>
      </c>
      <c r="I2859" s="7" t="inlineStr">
        <is>
          <t>20 a 40 L/ha</t>
        </is>
      </c>
      <c r="J2859" s="7" t="inlineStr">
        <is>
          <t>14 dias</t>
        </is>
      </c>
    </row>
    <row r="2860" ht="22" customHeight="1">
      <c r="A2860" s="12" t="inlineStr">
        <is>
          <t>CUL-2856</t>
        </is>
      </c>
      <c r="B2860" s="11" t="n">
        <v>553</v>
      </c>
      <c r="C2860" s="13" t="inlineStr">
        <is>
          <t>Nº 31618</t>
        </is>
      </c>
      <c r="D2860" s="14" t="inlineStr">
        <is>
          <t>ASSARIS</t>
        </is>
      </c>
      <c r="E2860" s="13" t="inlineStr">
        <is>
          <t>Pulverização Agrícola Conforme Bula</t>
        </is>
      </c>
      <c r="F2860" s="13" t="inlineStr">
        <is>
          <t>Trigo</t>
        </is>
      </c>
      <c r="G2860" s="13" t="inlineStr">
        <is>
          <t>Cultura Autorizada na Bula</t>
        </is>
      </c>
      <c r="H2860" s="13" t="inlineStr">
        <is>
          <t>100 a 300 L/ha</t>
        </is>
      </c>
      <c r="I2860" s="13" t="inlineStr">
        <is>
          <t>20 a 40 L/ha</t>
        </is>
      </c>
      <c r="J2860" s="13" t="inlineStr">
        <is>
          <t>14 dias</t>
        </is>
      </c>
    </row>
    <row r="2861" ht="22" customHeight="1">
      <c r="A2861" s="6" t="inlineStr">
        <is>
          <t>CUL-2857</t>
        </is>
      </c>
      <c r="B2861" s="5" t="n">
        <v>553</v>
      </c>
      <c r="C2861" s="7" t="inlineStr">
        <is>
          <t>Nº 31618</t>
        </is>
      </c>
      <c r="D2861" s="8" t="inlineStr">
        <is>
          <t>ASSARIS</t>
        </is>
      </c>
      <c r="E2861" s="7" t="inlineStr">
        <is>
          <t>Pulverização Agrícola Conforme Bula</t>
        </is>
      </c>
      <c r="F2861" s="7" t="inlineStr">
        <is>
          <t>Batata</t>
        </is>
      </c>
      <c r="G2861" s="7" t="inlineStr">
        <is>
          <t>Cultura Autorizada na Bula</t>
        </is>
      </c>
      <c r="H2861" s="7" t="inlineStr">
        <is>
          <t>100 a 300 L/ha</t>
        </is>
      </c>
      <c r="I2861" s="7" t="inlineStr">
        <is>
          <t>20 a 40 L/ha</t>
        </is>
      </c>
      <c r="J2861" s="7" t="inlineStr">
        <is>
          <t>14 dias</t>
        </is>
      </c>
    </row>
    <row r="2862" ht="22" customHeight="1">
      <c r="A2862" s="12" t="inlineStr">
        <is>
          <t>CUL-2858</t>
        </is>
      </c>
      <c r="B2862" s="11" t="n">
        <v>553</v>
      </c>
      <c r="C2862" s="13" t="inlineStr">
        <is>
          <t>Nº 31618</t>
        </is>
      </c>
      <c r="D2862" s="14" t="inlineStr">
        <is>
          <t>ASSARIS</t>
        </is>
      </c>
      <c r="E2862" s="13" t="inlineStr">
        <is>
          <t>Pulverização Agrícola Conforme Bula</t>
        </is>
      </c>
      <c r="F2862" s="13" t="inlineStr">
        <is>
          <t>Tomate</t>
        </is>
      </c>
      <c r="G2862" s="13" t="inlineStr">
        <is>
          <t>Cultura Autorizada na Bula</t>
        </is>
      </c>
      <c r="H2862" s="13" t="inlineStr">
        <is>
          <t>100 a 300 L/ha</t>
        </is>
      </c>
      <c r="I2862" s="13" t="inlineStr">
        <is>
          <t>20 a 40 L/ha</t>
        </is>
      </c>
      <c r="J2862" s="13" t="inlineStr">
        <is>
          <t>3 dias</t>
        </is>
      </c>
    </row>
    <row r="2863" ht="22" customHeight="1">
      <c r="A2863" s="6" t="inlineStr">
        <is>
          <t>CUL-2859</t>
        </is>
      </c>
      <c r="B2863" s="5" t="n">
        <v>554</v>
      </c>
      <c r="C2863" s="7" t="inlineStr">
        <is>
          <t>SIPEAGRO (UF-XXXXX)</t>
        </is>
      </c>
      <c r="D2863" s="8" t="inlineStr">
        <is>
          <t>AGCN POTASSIO</t>
        </is>
      </c>
      <c r="E2863" s="7" t="inlineStr">
        <is>
          <t>Adubação de Solo / Foliar</t>
        </is>
      </c>
      <c r="F2863" s="7" t="inlineStr">
        <is>
          <t>Soja</t>
        </is>
      </c>
      <c r="G2863" s="7" t="inlineStr">
        <is>
          <t>Cultura Autorizada na Bula</t>
        </is>
      </c>
      <c r="H2863" s="7" t="inlineStr">
        <is>
          <t>100 a 300 L/ha</t>
        </is>
      </c>
      <c r="I2863" s="7" t="inlineStr">
        <is>
          <t>20 a 40 L/ha</t>
        </is>
      </c>
      <c r="J2863" s="7" t="inlineStr">
        <is>
          <t>Isento</t>
        </is>
      </c>
    </row>
    <row r="2864" ht="22" customHeight="1">
      <c r="A2864" s="12" t="inlineStr">
        <is>
          <t>CUL-2860</t>
        </is>
      </c>
      <c r="B2864" s="11" t="n">
        <v>554</v>
      </c>
      <c r="C2864" s="13" t="inlineStr">
        <is>
          <t>SIPEAGRO (UF-XXXXX)</t>
        </is>
      </c>
      <c r="D2864" s="14" t="inlineStr">
        <is>
          <t>AGCN POTASSIO</t>
        </is>
      </c>
      <c r="E2864" s="13" t="inlineStr">
        <is>
          <t>Adubação de Solo / Foliar</t>
        </is>
      </c>
      <c r="F2864" s="13" t="inlineStr">
        <is>
          <t>Milho</t>
        </is>
      </c>
      <c r="G2864" s="13" t="inlineStr">
        <is>
          <t>Cultura Autorizada na Bula</t>
        </is>
      </c>
      <c r="H2864" s="13" t="inlineStr">
        <is>
          <t>100 a 300 L/ha</t>
        </is>
      </c>
      <c r="I2864" s="13" t="inlineStr">
        <is>
          <t>20 a 40 L/ha</t>
        </is>
      </c>
      <c r="J2864" s="13" t="inlineStr">
        <is>
          <t>Isento</t>
        </is>
      </c>
    </row>
    <row r="2865" ht="22" customHeight="1">
      <c r="A2865" s="6" t="inlineStr">
        <is>
          <t>CUL-2861</t>
        </is>
      </c>
      <c r="B2865" s="5" t="n">
        <v>554</v>
      </c>
      <c r="C2865" s="7" t="inlineStr">
        <is>
          <t>SIPEAGRO (UF-XXXXX)</t>
        </is>
      </c>
      <c r="D2865" s="8" t="inlineStr">
        <is>
          <t>AGCN POTASSIO</t>
        </is>
      </c>
      <c r="E2865" s="7" t="inlineStr">
        <is>
          <t>Adubação de Solo / Foliar</t>
        </is>
      </c>
      <c r="F2865" s="7" t="inlineStr">
        <is>
          <t>Algodão</t>
        </is>
      </c>
      <c r="G2865" s="7" t="inlineStr">
        <is>
          <t>Cultura Autorizada na Bula</t>
        </is>
      </c>
      <c r="H2865" s="7" t="inlineStr">
        <is>
          <t>100 a 300 L/ha</t>
        </is>
      </c>
      <c r="I2865" s="7" t="inlineStr">
        <is>
          <t>20 a 40 L/ha</t>
        </is>
      </c>
      <c r="J2865" s="7" t="inlineStr">
        <is>
          <t>Isento</t>
        </is>
      </c>
    </row>
    <row r="2866" ht="22" customHeight="1">
      <c r="A2866" s="12" t="inlineStr">
        <is>
          <t>CUL-2862</t>
        </is>
      </c>
      <c r="B2866" s="11" t="n">
        <v>554</v>
      </c>
      <c r="C2866" s="13" t="inlineStr">
        <is>
          <t>SIPEAGRO (UF-XXXXX)</t>
        </is>
      </c>
      <c r="D2866" s="14" t="inlineStr">
        <is>
          <t>AGCN POTASSIO</t>
        </is>
      </c>
      <c r="E2866" s="13" t="inlineStr">
        <is>
          <t>Adubação de Solo / Foliar</t>
        </is>
      </c>
      <c r="F2866" s="13" t="inlineStr">
        <is>
          <t>Cana-de-açúcar</t>
        </is>
      </c>
      <c r="G2866" s="13" t="inlineStr">
        <is>
          <t>Cultura Autorizada na Bula</t>
        </is>
      </c>
      <c r="H2866" s="13" t="inlineStr">
        <is>
          <t>100 a 300 L/ha</t>
        </is>
      </c>
      <c r="I2866" s="13" t="inlineStr">
        <is>
          <t>20 a 40 L/ha</t>
        </is>
      </c>
      <c r="J2866" s="13" t="inlineStr">
        <is>
          <t>Isento</t>
        </is>
      </c>
    </row>
    <row r="2867" ht="22" customHeight="1">
      <c r="A2867" s="6" t="inlineStr">
        <is>
          <t>CUL-2863</t>
        </is>
      </c>
      <c r="B2867" s="5" t="n">
        <v>554</v>
      </c>
      <c r="C2867" s="7" t="inlineStr">
        <is>
          <t>SIPEAGRO (UF-XXXXX)</t>
        </is>
      </c>
      <c r="D2867" s="8" t="inlineStr">
        <is>
          <t>AGCN POTASSIO</t>
        </is>
      </c>
      <c r="E2867" s="7" t="inlineStr">
        <is>
          <t>Adubação de Solo / Foliar</t>
        </is>
      </c>
      <c r="F2867" s="7" t="inlineStr">
        <is>
          <t>Café</t>
        </is>
      </c>
      <c r="G2867" s="7" t="inlineStr">
        <is>
          <t>Cultura Autorizada na Bula</t>
        </is>
      </c>
      <c r="H2867" s="7" t="inlineStr">
        <is>
          <t>100 a 300 L/ha</t>
        </is>
      </c>
      <c r="I2867" s="7" t="inlineStr">
        <is>
          <t>20 a 40 L/ha</t>
        </is>
      </c>
      <c r="J2867" s="7" t="inlineStr">
        <is>
          <t>Isento</t>
        </is>
      </c>
    </row>
    <row r="2868" ht="22" customHeight="1">
      <c r="A2868" s="12" t="inlineStr">
        <is>
          <t>CUL-2864</t>
        </is>
      </c>
      <c r="B2868" s="11" t="n">
        <v>555</v>
      </c>
      <c r="C2868" s="13" t="inlineStr">
        <is>
          <t>ISENTO (ATO 104/2017)</t>
        </is>
      </c>
      <c r="D2868" s="14" t="inlineStr">
        <is>
          <t>AGCN SAFE SPRAY</t>
        </is>
      </c>
      <c r="E2868" s="13" t="inlineStr">
        <is>
          <t>Pulverização Agrícola Conforme Bula</t>
        </is>
      </c>
      <c r="F2868" s="13" t="inlineStr">
        <is>
          <t>Soja, Milho, Algodão, Café, Citros, Cana-de-açúcar (Adição à calda)</t>
        </is>
      </c>
      <c r="G2868" s="13" t="inlineStr">
        <is>
          <t>Cultura Autorizada na Bula</t>
        </is>
      </c>
      <c r="H2868" s="13" t="inlineStr">
        <is>
          <t>100 a 300 L/ha</t>
        </is>
      </c>
      <c r="I2868" s="13" t="inlineStr">
        <is>
          <t>20 a 40 L/ha</t>
        </is>
      </c>
      <c r="J2868" s="13" t="inlineStr">
        <is>
          <t>Conforme defensivo principal</t>
        </is>
      </c>
    </row>
    <row r="2869" ht="22" customHeight="1">
      <c r="A2869" s="6" t="inlineStr">
        <is>
          <t>CUL-2865</t>
        </is>
      </c>
      <c r="B2869" s="5" t="n">
        <v>556</v>
      </c>
      <c r="C2869" s="7" t="inlineStr">
        <is>
          <t>Nº 10018</t>
        </is>
      </c>
      <c r="D2869" s="8" t="inlineStr">
        <is>
          <t>ATRAZINA</t>
        </is>
      </c>
      <c r="E2869" s="7" t="inlineStr">
        <is>
          <t>Pulverização Agrícola Conforme Bula</t>
        </is>
      </c>
      <c r="F2869" s="7" t="inlineStr">
        <is>
          <t>Milho</t>
        </is>
      </c>
      <c r="G2869" s="7" t="inlineStr">
        <is>
          <t>Cultura Autorizada na Bula</t>
        </is>
      </c>
      <c r="H2869" s="7" t="inlineStr">
        <is>
          <t>100 a 300 L/ha</t>
        </is>
      </c>
      <c r="I2869" s="7" t="inlineStr">
        <is>
          <t>20 a 40 L/ha</t>
        </is>
      </c>
      <c r="J2869" s="7" t="inlineStr">
        <is>
          <t>60 dias</t>
        </is>
      </c>
    </row>
    <row r="2870" ht="22" customHeight="1">
      <c r="A2870" s="12" t="inlineStr">
        <is>
          <t>CUL-2866</t>
        </is>
      </c>
      <c r="B2870" s="11" t="n">
        <v>556</v>
      </c>
      <c r="C2870" s="13" t="inlineStr">
        <is>
          <t>Nº 10018</t>
        </is>
      </c>
      <c r="D2870" s="14" t="inlineStr">
        <is>
          <t>ATRAZINA</t>
        </is>
      </c>
      <c r="E2870" s="13" t="inlineStr">
        <is>
          <t>Pulverização Agrícola Conforme Bula</t>
        </is>
      </c>
      <c r="F2870" s="13" t="inlineStr">
        <is>
          <t>Cana-de-açúcar</t>
        </is>
      </c>
      <c r="G2870" s="13" t="inlineStr">
        <is>
          <t>Cultura Autorizada na Bula</t>
        </is>
      </c>
      <c r="H2870" s="13" t="inlineStr">
        <is>
          <t>100 a 300 L/ha</t>
        </is>
      </c>
      <c r="I2870" s="13" t="inlineStr">
        <is>
          <t>20 a 40 L/ha</t>
        </is>
      </c>
      <c r="J2870" s="13" t="inlineStr">
        <is>
          <t>N/D</t>
        </is>
      </c>
    </row>
    <row r="2871" ht="22" customHeight="1">
      <c r="A2871" s="6" t="inlineStr">
        <is>
          <t>CUL-2867</t>
        </is>
      </c>
      <c r="B2871" s="5" t="n">
        <v>556</v>
      </c>
      <c r="C2871" s="7" t="inlineStr">
        <is>
          <t>Nº 10018</t>
        </is>
      </c>
      <c r="D2871" s="8" t="inlineStr">
        <is>
          <t>ATRAZINA</t>
        </is>
      </c>
      <c r="E2871" s="7" t="inlineStr">
        <is>
          <t>Pulverização Agrícola Conforme Bula</t>
        </is>
      </c>
      <c r="F2871" s="7" t="inlineStr">
        <is>
          <t>Sorgo</t>
        </is>
      </c>
      <c r="G2871" s="7" t="inlineStr">
        <is>
          <t>Cultura Autorizada na Bula</t>
        </is>
      </c>
      <c r="H2871" s="7" t="inlineStr">
        <is>
          <t>100 a 300 L/ha</t>
        </is>
      </c>
      <c r="I2871" s="7" t="inlineStr">
        <is>
          <t>20 a 40 L/ha</t>
        </is>
      </c>
      <c r="J2871" s="7" t="inlineStr">
        <is>
          <t>60 dias</t>
        </is>
      </c>
    </row>
    <row r="2872" ht="22" customHeight="1">
      <c r="A2872" s="12" t="inlineStr">
        <is>
          <t>CUL-2868</t>
        </is>
      </c>
      <c r="B2872" s="11" t="n">
        <v>556</v>
      </c>
      <c r="C2872" s="13" t="inlineStr">
        <is>
          <t>Nº 10018</t>
        </is>
      </c>
      <c r="D2872" s="14" t="inlineStr">
        <is>
          <t>ATRAZINA</t>
        </is>
      </c>
      <c r="E2872" s="13" t="inlineStr">
        <is>
          <t>Pulverização Agrícola Conforme Bula</t>
        </is>
      </c>
      <c r="F2872" s="13" t="inlineStr">
        <is>
          <t>Pinus / Eucalipto</t>
        </is>
      </c>
      <c r="G2872" s="13" t="inlineStr">
        <is>
          <t>Cultura Autorizada na Bula</t>
        </is>
      </c>
      <c r="H2872" s="13" t="inlineStr">
        <is>
          <t>100 a 300 L/ha</t>
        </is>
      </c>
      <c r="I2872" s="13" t="inlineStr">
        <is>
          <t>20 a 40 L/ha</t>
        </is>
      </c>
      <c r="J2872" s="13" t="inlineStr">
        <is>
          <t>U.N.A.</t>
        </is>
      </c>
    </row>
    <row r="2873" ht="22" customHeight="1">
      <c r="A2873" s="6" t="inlineStr">
        <is>
          <t>CUL-2869</t>
        </is>
      </c>
      <c r="B2873" s="5" t="n">
        <v>557</v>
      </c>
      <c r="C2873" s="7" t="inlineStr">
        <is>
          <t>Nº 10018</t>
        </is>
      </c>
      <c r="D2873" s="8" t="inlineStr">
        <is>
          <t>ATRAZINA</t>
        </is>
      </c>
      <c r="E2873" s="7" t="inlineStr">
        <is>
          <t>Pulverização Agrícola Conforme Bula</t>
        </is>
      </c>
      <c r="F2873" s="7" t="inlineStr">
        <is>
          <t>Milho</t>
        </is>
      </c>
      <c r="G2873" s="7" t="inlineStr">
        <is>
          <t>Cultura Autorizada na Bula</t>
        </is>
      </c>
      <c r="H2873" s="7" t="inlineStr">
        <is>
          <t>100 a 300 L/ha</t>
        </is>
      </c>
      <c r="I2873" s="7" t="inlineStr">
        <is>
          <t>20 a 40 L/ha</t>
        </is>
      </c>
      <c r="J2873" s="7" t="inlineStr">
        <is>
          <t>60 dias</t>
        </is>
      </c>
    </row>
    <row r="2874" ht="22" customHeight="1">
      <c r="A2874" s="12" t="inlineStr">
        <is>
          <t>CUL-2870</t>
        </is>
      </c>
      <c r="B2874" s="11" t="n">
        <v>557</v>
      </c>
      <c r="C2874" s="13" t="inlineStr">
        <is>
          <t>Nº 10018</t>
        </is>
      </c>
      <c r="D2874" s="14" t="inlineStr">
        <is>
          <t>ATRAZINA</t>
        </is>
      </c>
      <c r="E2874" s="13" t="inlineStr">
        <is>
          <t>Pulverização Agrícola Conforme Bula</t>
        </is>
      </c>
      <c r="F2874" s="13" t="inlineStr">
        <is>
          <t>Cana-de-açúcar</t>
        </is>
      </c>
      <c r="G2874" s="13" t="inlineStr">
        <is>
          <t>Cultura Autorizada na Bula</t>
        </is>
      </c>
      <c r="H2874" s="13" t="inlineStr">
        <is>
          <t>100 a 300 L/ha</t>
        </is>
      </c>
      <c r="I2874" s="13" t="inlineStr">
        <is>
          <t>20 a 40 L/ha</t>
        </is>
      </c>
      <c r="J2874" s="13" t="inlineStr">
        <is>
          <t>N/D</t>
        </is>
      </c>
    </row>
    <row r="2875" ht="22" customHeight="1">
      <c r="A2875" s="6" t="inlineStr">
        <is>
          <t>CUL-2871</t>
        </is>
      </c>
      <c r="B2875" s="5" t="n">
        <v>557</v>
      </c>
      <c r="C2875" s="7" t="inlineStr">
        <is>
          <t>Nº 10018</t>
        </is>
      </c>
      <c r="D2875" s="8" t="inlineStr">
        <is>
          <t>ATRAZINA</t>
        </is>
      </c>
      <c r="E2875" s="7" t="inlineStr">
        <is>
          <t>Pulverização Agrícola Conforme Bula</t>
        </is>
      </c>
      <c r="F2875" s="7" t="inlineStr">
        <is>
          <t>Sorgo</t>
        </is>
      </c>
      <c r="G2875" s="7" t="inlineStr">
        <is>
          <t>Cultura Autorizada na Bula</t>
        </is>
      </c>
      <c r="H2875" s="7" t="inlineStr">
        <is>
          <t>100 a 300 L/ha</t>
        </is>
      </c>
      <c r="I2875" s="7" t="inlineStr">
        <is>
          <t>20 a 40 L/ha</t>
        </is>
      </c>
      <c r="J2875" s="7" t="inlineStr">
        <is>
          <t>60 dias</t>
        </is>
      </c>
    </row>
    <row r="2876" ht="22" customHeight="1">
      <c r="A2876" s="12" t="inlineStr">
        <is>
          <t>CUL-2872</t>
        </is>
      </c>
      <c r="B2876" s="11" t="n">
        <v>557</v>
      </c>
      <c r="C2876" s="13" t="inlineStr">
        <is>
          <t>Nº 10018</t>
        </is>
      </c>
      <c r="D2876" s="14" t="inlineStr">
        <is>
          <t>ATRAZINA</t>
        </is>
      </c>
      <c r="E2876" s="13" t="inlineStr">
        <is>
          <t>Pulverização Agrícola Conforme Bula</t>
        </is>
      </c>
      <c r="F2876" s="13" t="inlineStr">
        <is>
          <t>Pinus / Eucalipto</t>
        </is>
      </c>
      <c r="G2876" s="13" t="inlineStr">
        <is>
          <t>Cultura Autorizada na Bula</t>
        </is>
      </c>
      <c r="H2876" s="13" t="inlineStr">
        <is>
          <t>100 a 300 L/ha</t>
        </is>
      </c>
      <c r="I2876" s="13" t="inlineStr">
        <is>
          <t>20 a 40 L/ha</t>
        </is>
      </c>
      <c r="J2876" s="13" t="inlineStr">
        <is>
          <t>U.N.A.</t>
        </is>
      </c>
    </row>
    <row r="2877" ht="22" customHeight="1">
      <c r="A2877" s="6" t="inlineStr">
        <is>
          <t>CUL-2873</t>
        </is>
      </c>
      <c r="B2877" s="5" t="n">
        <v>558</v>
      </c>
      <c r="C2877" s="7" t="inlineStr">
        <is>
          <t>Nº 5217</t>
        </is>
      </c>
      <c r="D2877" s="8" t="inlineStr">
        <is>
          <t>HERBIZINA PLUS</t>
        </is>
      </c>
      <c r="E2877" s="7" t="inlineStr">
        <is>
          <t>Pulverização Agrícola Conforme Bula</t>
        </is>
      </c>
      <c r="F2877" s="7" t="inlineStr">
        <is>
          <t>Milho</t>
        </is>
      </c>
      <c r="G2877" s="7" t="inlineStr">
        <is>
          <t>Cultura Autorizada na Bula</t>
        </is>
      </c>
      <c r="H2877" s="7" t="inlineStr">
        <is>
          <t>100 a 300 L/ha</t>
        </is>
      </c>
      <c r="I2877" s="7" t="inlineStr">
        <is>
          <t>20 a 40 L/ha</t>
        </is>
      </c>
      <c r="J2877" s="7" t="inlineStr">
        <is>
          <t>60 dias</t>
        </is>
      </c>
    </row>
    <row r="2878" ht="22" customHeight="1">
      <c r="A2878" s="12" t="inlineStr">
        <is>
          <t>CUL-2874</t>
        </is>
      </c>
      <c r="B2878" s="11" t="n">
        <v>558</v>
      </c>
      <c r="C2878" s="13" t="inlineStr">
        <is>
          <t>Nº 5217</t>
        </is>
      </c>
      <c r="D2878" s="14" t="inlineStr">
        <is>
          <t>HERBIZINA PLUS</t>
        </is>
      </c>
      <c r="E2878" s="13" t="inlineStr">
        <is>
          <t>Pulverização Agrícola Conforme Bula</t>
        </is>
      </c>
      <c r="F2878" s="13" t="inlineStr">
        <is>
          <t>Cana-de-açúcar</t>
        </is>
      </c>
      <c r="G2878" s="13" t="inlineStr">
        <is>
          <t>Cultura Autorizada na Bula</t>
        </is>
      </c>
      <c r="H2878" s="13" t="inlineStr">
        <is>
          <t>100 a 300 L/ha</t>
        </is>
      </c>
      <c r="I2878" s="13" t="inlineStr">
        <is>
          <t>20 a 40 L/ha</t>
        </is>
      </c>
      <c r="J2878" s="13" t="inlineStr">
        <is>
          <t>N/D</t>
        </is>
      </c>
    </row>
    <row r="2879" ht="22" customHeight="1">
      <c r="A2879" s="6" t="inlineStr">
        <is>
          <t>CUL-2875</t>
        </is>
      </c>
      <c r="B2879" s="5" t="n">
        <v>558</v>
      </c>
      <c r="C2879" s="7" t="inlineStr">
        <is>
          <t>Nº 5217</t>
        </is>
      </c>
      <c r="D2879" s="8" t="inlineStr">
        <is>
          <t>HERBIZINA PLUS</t>
        </is>
      </c>
      <c r="E2879" s="7" t="inlineStr">
        <is>
          <t>Pulverização Agrícola Conforme Bula</t>
        </is>
      </c>
      <c r="F2879" s="7" t="inlineStr">
        <is>
          <t>Sorgo</t>
        </is>
      </c>
      <c r="G2879" s="7" t="inlineStr">
        <is>
          <t>Cultura Autorizada na Bula</t>
        </is>
      </c>
      <c r="H2879" s="7" t="inlineStr">
        <is>
          <t>100 a 300 L/ha</t>
        </is>
      </c>
      <c r="I2879" s="7" t="inlineStr">
        <is>
          <t>20 a 40 L/ha</t>
        </is>
      </c>
      <c r="J2879" s="7" t="inlineStr">
        <is>
          <t>60 dias</t>
        </is>
      </c>
    </row>
    <row r="2880" ht="22" customHeight="1">
      <c r="A2880" s="12" t="inlineStr">
        <is>
          <t>CUL-2876</t>
        </is>
      </c>
      <c r="B2880" s="11" t="n">
        <v>558</v>
      </c>
      <c r="C2880" s="13" t="inlineStr">
        <is>
          <t>Nº 5217</t>
        </is>
      </c>
      <c r="D2880" s="14" t="inlineStr">
        <is>
          <t>HERBIZINA PLUS</t>
        </is>
      </c>
      <c r="E2880" s="13" t="inlineStr">
        <is>
          <t>Pulverização Agrícola Conforme Bula</t>
        </is>
      </c>
      <c r="F2880" s="13" t="inlineStr">
        <is>
          <t>Pinus / Eucalipto</t>
        </is>
      </c>
      <c r="G2880" s="13" t="inlineStr">
        <is>
          <t>Cultura Autorizada na Bula</t>
        </is>
      </c>
      <c r="H2880" s="13" t="inlineStr">
        <is>
          <t>100 a 300 L/ha</t>
        </is>
      </c>
      <c r="I2880" s="13" t="inlineStr">
        <is>
          <t>20 a 40 L/ha</t>
        </is>
      </c>
      <c r="J2880" s="13" t="inlineStr">
        <is>
          <t>U.N.A.</t>
        </is>
      </c>
    </row>
    <row r="2881" ht="22" customHeight="1">
      <c r="A2881" s="6" t="inlineStr">
        <is>
          <t>CUL-2877</t>
        </is>
      </c>
      <c r="B2881" s="5" t="n">
        <v>559</v>
      </c>
      <c r="C2881" s="7" t="inlineStr">
        <is>
          <t>SIPEAGRO (UF-XXXXX)</t>
        </is>
      </c>
      <c r="D2881" s="8" t="inlineStr">
        <is>
          <t>BENTONITA 90%S - GRANULADO - 1.250 KG</t>
        </is>
      </c>
      <c r="E2881" s="7" t="inlineStr">
        <is>
          <t>Pulverização Agrícola Conforme Bula</t>
        </is>
      </c>
      <c r="F2881" s="7" t="inlineStr">
        <is>
          <t>Grandes Culturas, Perenes e Pastagens</t>
        </is>
      </c>
      <c r="G2881" s="7" t="inlineStr">
        <is>
          <t>Cultura Autorizada na Bula</t>
        </is>
      </c>
      <c r="H2881" s="7" t="inlineStr">
        <is>
          <t>100 a 300 L/ha</t>
        </is>
      </c>
      <c r="I2881" s="7" t="inlineStr">
        <is>
          <t>20 a 40 L/ha</t>
        </is>
      </c>
      <c r="J2881" s="7" t="inlineStr">
        <is>
          <t>Isento</t>
        </is>
      </c>
    </row>
    <row r="2882" ht="22" customHeight="1">
      <c r="A2882" s="12" t="inlineStr">
        <is>
          <t>CUL-2878</t>
        </is>
      </c>
      <c r="B2882" s="11" t="n">
        <v>560</v>
      </c>
      <c r="C2882" s="13" t="inlineStr">
        <is>
          <t>Nº 12123</t>
        </is>
      </c>
      <c r="D2882" s="14" t="inlineStr">
        <is>
          <t>PYRIPROXYFEN 100 EC AGCN 0,200L AMOSTRA</t>
        </is>
      </c>
      <c r="E2882" s="13" t="inlineStr">
        <is>
          <t>Pulverização Agrícola Conforme Bula</t>
        </is>
      </c>
      <c r="F2882" s="13" t="inlineStr">
        <is>
          <t>Soja</t>
        </is>
      </c>
      <c r="G2882" s="13" t="inlineStr">
        <is>
          <t>Cultura Autorizada na Bula</t>
        </is>
      </c>
      <c r="H2882" s="13" t="inlineStr">
        <is>
          <t>100 a 300 L/ha</t>
        </is>
      </c>
      <c r="I2882" s="13" t="inlineStr">
        <is>
          <t>20 a 40 L/ha</t>
        </is>
      </c>
      <c r="J2882" s="13" t="inlineStr">
        <is>
          <t>30 dias</t>
        </is>
      </c>
    </row>
    <row r="2883" ht="22" customHeight="1">
      <c r="A2883" s="6" t="inlineStr">
        <is>
          <t>CUL-2879</t>
        </is>
      </c>
      <c r="B2883" s="5" t="n">
        <v>560</v>
      </c>
      <c r="C2883" s="7" t="inlineStr">
        <is>
          <t>Nº 12123</t>
        </is>
      </c>
      <c r="D2883" s="8" t="inlineStr">
        <is>
          <t>PYRIPROXYFEN 100 EC AGCN 0,200L AMOSTRA</t>
        </is>
      </c>
      <c r="E2883" s="7" t="inlineStr">
        <is>
          <t>Pulverização Agrícola Conforme Bula</t>
        </is>
      </c>
      <c r="F2883" s="7" t="inlineStr">
        <is>
          <t>Algodão</t>
        </is>
      </c>
      <c r="G2883" s="7" t="inlineStr">
        <is>
          <t>Cultura Autorizada na Bula</t>
        </is>
      </c>
      <c r="H2883" s="7" t="inlineStr">
        <is>
          <t>100 a 300 L/ha</t>
        </is>
      </c>
      <c r="I2883" s="7" t="inlineStr">
        <is>
          <t>20 a 40 L/ha</t>
        </is>
      </c>
      <c r="J2883" s="7" t="inlineStr">
        <is>
          <t>14 dias</t>
        </is>
      </c>
    </row>
    <row r="2884" ht="22" customHeight="1">
      <c r="A2884" s="12" t="inlineStr">
        <is>
          <t>CUL-2880</t>
        </is>
      </c>
      <c r="B2884" s="11" t="n">
        <v>560</v>
      </c>
      <c r="C2884" s="13" t="inlineStr">
        <is>
          <t>Nº 12123</t>
        </is>
      </c>
      <c r="D2884" s="14" t="inlineStr">
        <is>
          <t>PYRIPROXYFEN 100 EC AGCN 0,200L AMOSTRA</t>
        </is>
      </c>
      <c r="E2884" s="13" t="inlineStr">
        <is>
          <t>Pulverização Agrícola Conforme Bula</t>
        </is>
      </c>
      <c r="F2884" s="13" t="inlineStr">
        <is>
          <t>Feijão</t>
        </is>
      </c>
      <c r="G2884" s="13" t="inlineStr">
        <is>
          <t>Cultura Autorizada na Bula</t>
        </is>
      </c>
      <c r="H2884" s="13" t="inlineStr">
        <is>
          <t>100 a 300 L/ha</t>
        </is>
      </c>
      <c r="I2884" s="13" t="inlineStr">
        <is>
          <t>20 a 40 L/ha</t>
        </is>
      </c>
      <c r="J2884" s="13" t="inlineStr">
        <is>
          <t>14 dias</t>
        </is>
      </c>
    </row>
    <row r="2885" ht="22" customHeight="1">
      <c r="A2885" s="6" t="inlineStr">
        <is>
          <t>CUL-2881</t>
        </is>
      </c>
      <c r="B2885" s="5" t="n">
        <v>560</v>
      </c>
      <c r="C2885" s="7" t="inlineStr">
        <is>
          <t>Nº 12123</t>
        </is>
      </c>
      <c r="D2885" s="8" t="inlineStr">
        <is>
          <t>PYRIPROXYFEN 100 EC AGCN 0,200L AMOSTRA</t>
        </is>
      </c>
      <c r="E2885" s="7" t="inlineStr">
        <is>
          <t>Pulverização Agrícola Conforme Bula</t>
        </is>
      </c>
      <c r="F2885" s="7" t="inlineStr">
        <is>
          <t>Citros</t>
        </is>
      </c>
      <c r="G2885" s="7" t="inlineStr">
        <is>
          <t>Cultura Autorizada na Bula</t>
        </is>
      </c>
      <c r="H2885" s="7" t="inlineStr">
        <is>
          <t>100 a 300 L/ha</t>
        </is>
      </c>
      <c r="I2885" s="7" t="inlineStr">
        <is>
          <t>20 a 40 L/ha</t>
        </is>
      </c>
      <c r="J2885" s="7" t="inlineStr">
        <is>
          <t>14 dias</t>
        </is>
      </c>
    </row>
    <row r="2886" ht="22" customHeight="1">
      <c r="A2886" s="12" t="inlineStr">
        <is>
          <t>CUL-2882</t>
        </is>
      </c>
      <c r="B2886" s="11" t="n">
        <v>560</v>
      </c>
      <c r="C2886" s="13" t="inlineStr">
        <is>
          <t>Nº 12123</t>
        </is>
      </c>
      <c r="D2886" s="14" t="inlineStr">
        <is>
          <t>PYRIPROXYFEN 100 EC AGCN 0,200L AMOSTRA</t>
        </is>
      </c>
      <c r="E2886" s="13" t="inlineStr">
        <is>
          <t>Pulverização Agrícola Conforme Bula</t>
        </is>
      </c>
      <c r="F2886" s="13" t="inlineStr">
        <is>
          <t>Melão</t>
        </is>
      </c>
      <c r="G2886" s="13" t="inlineStr">
        <is>
          <t>Cultura Autorizada na Bula</t>
        </is>
      </c>
      <c r="H2886" s="13" t="inlineStr">
        <is>
          <t>100 a 300 L/ha</t>
        </is>
      </c>
      <c r="I2886" s="13" t="inlineStr">
        <is>
          <t>20 a 40 L/ha</t>
        </is>
      </c>
      <c r="J2886" s="13" t="inlineStr">
        <is>
          <t>7 dias</t>
        </is>
      </c>
    </row>
    <row r="2887" ht="22" customHeight="1">
      <c r="A2887" s="6" t="inlineStr">
        <is>
          <t>CUL-2883</t>
        </is>
      </c>
      <c r="B2887" s="5" t="n">
        <v>560</v>
      </c>
      <c r="C2887" s="7" t="inlineStr">
        <is>
          <t>Nº 12123</t>
        </is>
      </c>
      <c r="D2887" s="8" t="inlineStr">
        <is>
          <t>PYRIPROXYFEN 100 EC AGCN 0,200L AMOSTRA</t>
        </is>
      </c>
      <c r="E2887" s="7" t="inlineStr">
        <is>
          <t>Pulverização Agrícola Conforme Bula</t>
        </is>
      </c>
      <c r="F2887" s="7" t="inlineStr">
        <is>
          <t>Tomate</t>
        </is>
      </c>
      <c r="G2887" s="7" t="inlineStr">
        <is>
          <t>Cultura Autorizada na Bula</t>
        </is>
      </c>
      <c r="H2887" s="7" t="inlineStr">
        <is>
          <t>100 a 300 L/ha</t>
        </is>
      </c>
      <c r="I2887" s="7" t="inlineStr">
        <is>
          <t>20 a 40 L/ha</t>
        </is>
      </c>
      <c r="J2887" s="7" t="inlineStr">
        <is>
          <t>7 dias</t>
        </is>
      </c>
    </row>
    <row r="2888" ht="22" customHeight="1">
      <c r="A2888" s="12" t="inlineStr">
        <is>
          <t>CUL-2884</t>
        </is>
      </c>
      <c r="B2888" s="11" t="n">
        <v>561</v>
      </c>
      <c r="C2888" s="13" t="inlineStr">
        <is>
          <t>Nº 43818</t>
        </is>
      </c>
      <c r="D2888" s="14" t="inlineStr">
        <is>
          <t>DIAFENTIURON</t>
        </is>
      </c>
      <c r="E2888" s="13" t="inlineStr">
        <is>
          <t>Pulverização Agrícola Conforme Bula</t>
        </is>
      </c>
      <c r="F2888" s="13" t="inlineStr">
        <is>
          <t>Soja</t>
        </is>
      </c>
      <c r="G2888" s="13" t="inlineStr">
        <is>
          <t>Cultura Autorizada na Bula</t>
        </is>
      </c>
      <c r="H2888" s="13" t="inlineStr">
        <is>
          <t>100 a 300 L/ha</t>
        </is>
      </c>
      <c r="I2888" s="13" t="inlineStr">
        <is>
          <t>20 a 40 L/ha</t>
        </is>
      </c>
      <c r="J2888" s="13" t="inlineStr">
        <is>
          <t>21 dias</t>
        </is>
      </c>
    </row>
    <row r="2889" ht="22" customHeight="1">
      <c r="A2889" s="6" t="inlineStr">
        <is>
          <t>CUL-2885</t>
        </is>
      </c>
      <c r="B2889" s="5" t="n">
        <v>561</v>
      </c>
      <c r="C2889" s="7" t="inlineStr">
        <is>
          <t>Nº 43818</t>
        </is>
      </c>
      <c r="D2889" s="8" t="inlineStr">
        <is>
          <t>DIAFENTIURON</t>
        </is>
      </c>
      <c r="E2889" s="7" t="inlineStr">
        <is>
          <t>Pulverização Agrícola Conforme Bula</t>
        </is>
      </c>
      <c r="F2889" s="7" t="inlineStr">
        <is>
          <t>Milho</t>
        </is>
      </c>
      <c r="G2889" s="7" t="inlineStr">
        <is>
          <t>Cultura Autorizada na Bula</t>
        </is>
      </c>
      <c r="H2889" s="7" t="inlineStr">
        <is>
          <t>100 a 300 L/ha</t>
        </is>
      </c>
      <c r="I2889" s="7" t="inlineStr">
        <is>
          <t>20 a 40 L/ha</t>
        </is>
      </c>
      <c r="J2889" s="7" t="inlineStr">
        <is>
          <t>21 dias</t>
        </is>
      </c>
    </row>
    <row r="2890" ht="22" customHeight="1">
      <c r="A2890" s="12" t="inlineStr">
        <is>
          <t>CUL-2886</t>
        </is>
      </c>
      <c r="B2890" s="11" t="n">
        <v>561</v>
      </c>
      <c r="C2890" s="13" t="inlineStr">
        <is>
          <t>Nº 43818</t>
        </is>
      </c>
      <c r="D2890" s="14" t="inlineStr">
        <is>
          <t>DIAFENTIURON</t>
        </is>
      </c>
      <c r="E2890" s="13" t="inlineStr">
        <is>
          <t>Pulverização Agrícola Conforme Bula</t>
        </is>
      </c>
      <c r="F2890" s="13" t="inlineStr">
        <is>
          <t>Algodão</t>
        </is>
      </c>
      <c r="G2890" s="13" t="inlineStr">
        <is>
          <t>Cultura Autorizada na Bula</t>
        </is>
      </c>
      <c r="H2890" s="13" t="inlineStr">
        <is>
          <t>100 a 300 L/ha</t>
        </is>
      </c>
      <c r="I2890" s="13" t="inlineStr">
        <is>
          <t>20 a 40 L/ha</t>
        </is>
      </c>
      <c r="J2890" s="13" t="inlineStr">
        <is>
          <t>21 dias</t>
        </is>
      </c>
    </row>
    <row r="2891" ht="22" customHeight="1">
      <c r="A2891" s="6" t="inlineStr">
        <is>
          <t>CUL-2887</t>
        </is>
      </c>
      <c r="B2891" s="5" t="n">
        <v>561</v>
      </c>
      <c r="C2891" s="7" t="inlineStr">
        <is>
          <t>Nº 43818</t>
        </is>
      </c>
      <c r="D2891" s="8" t="inlineStr">
        <is>
          <t>DIAFENTIURON</t>
        </is>
      </c>
      <c r="E2891" s="7" t="inlineStr">
        <is>
          <t>Pulverização Agrícola Conforme Bula</t>
        </is>
      </c>
      <c r="F2891" s="7" t="inlineStr">
        <is>
          <t>Feijão</t>
        </is>
      </c>
      <c r="G2891" s="7" t="inlineStr">
        <is>
          <t>Cultura Autorizada na Bula</t>
        </is>
      </c>
      <c r="H2891" s="7" t="inlineStr">
        <is>
          <t>100 a 300 L/ha</t>
        </is>
      </c>
      <c r="I2891" s="7" t="inlineStr">
        <is>
          <t>20 a 40 L/ha</t>
        </is>
      </c>
      <c r="J2891" s="7" t="inlineStr">
        <is>
          <t>14 dias</t>
        </is>
      </c>
    </row>
    <row r="2892" ht="22" customHeight="1">
      <c r="A2892" s="12" t="inlineStr">
        <is>
          <t>CUL-2888</t>
        </is>
      </c>
      <c r="B2892" s="11" t="n">
        <v>562</v>
      </c>
      <c r="C2892" s="13" t="inlineStr">
        <is>
          <t>Nº 43818</t>
        </is>
      </c>
      <c r="D2892" s="14" t="inlineStr">
        <is>
          <t>DIAFENTIURON</t>
        </is>
      </c>
      <c r="E2892" s="13" t="inlineStr">
        <is>
          <t>Pulverização Agrícola Conforme Bula</t>
        </is>
      </c>
      <c r="F2892" s="13" t="inlineStr">
        <is>
          <t>Soja</t>
        </is>
      </c>
      <c r="G2892" s="13" t="inlineStr">
        <is>
          <t>Cultura Autorizada na Bula</t>
        </is>
      </c>
      <c r="H2892" s="13" t="inlineStr">
        <is>
          <t>100 a 300 L/ha</t>
        </is>
      </c>
      <c r="I2892" s="13" t="inlineStr">
        <is>
          <t>20 a 40 L/ha</t>
        </is>
      </c>
      <c r="J2892" s="13" t="inlineStr">
        <is>
          <t>21 dias</t>
        </is>
      </c>
    </row>
    <row r="2893" ht="22" customHeight="1">
      <c r="A2893" s="6" t="inlineStr">
        <is>
          <t>CUL-2889</t>
        </is>
      </c>
      <c r="B2893" s="5" t="n">
        <v>562</v>
      </c>
      <c r="C2893" s="7" t="inlineStr">
        <is>
          <t>Nº 43818</t>
        </is>
      </c>
      <c r="D2893" s="8" t="inlineStr">
        <is>
          <t>DIAFENTIURON</t>
        </is>
      </c>
      <c r="E2893" s="7" t="inlineStr">
        <is>
          <t>Pulverização Agrícola Conforme Bula</t>
        </is>
      </c>
      <c r="F2893" s="7" t="inlineStr">
        <is>
          <t>Milho</t>
        </is>
      </c>
      <c r="G2893" s="7" t="inlineStr">
        <is>
          <t>Cultura Autorizada na Bula</t>
        </is>
      </c>
      <c r="H2893" s="7" t="inlineStr">
        <is>
          <t>100 a 300 L/ha</t>
        </is>
      </c>
      <c r="I2893" s="7" t="inlineStr">
        <is>
          <t>20 a 40 L/ha</t>
        </is>
      </c>
      <c r="J2893" s="7" t="inlineStr">
        <is>
          <t>21 dias</t>
        </is>
      </c>
    </row>
    <row r="2894" ht="22" customHeight="1">
      <c r="A2894" s="12" t="inlineStr">
        <is>
          <t>CUL-2890</t>
        </is>
      </c>
      <c r="B2894" s="11" t="n">
        <v>562</v>
      </c>
      <c r="C2894" s="13" t="inlineStr">
        <is>
          <t>Nº 43818</t>
        </is>
      </c>
      <c r="D2894" s="14" t="inlineStr">
        <is>
          <t>DIAFENTIURON</t>
        </is>
      </c>
      <c r="E2894" s="13" t="inlineStr">
        <is>
          <t>Pulverização Agrícola Conforme Bula</t>
        </is>
      </c>
      <c r="F2894" s="13" t="inlineStr">
        <is>
          <t>Algodão</t>
        </is>
      </c>
      <c r="G2894" s="13" t="inlineStr">
        <is>
          <t>Cultura Autorizada na Bula</t>
        </is>
      </c>
      <c r="H2894" s="13" t="inlineStr">
        <is>
          <t>100 a 300 L/ha</t>
        </is>
      </c>
      <c r="I2894" s="13" t="inlineStr">
        <is>
          <t>20 a 40 L/ha</t>
        </is>
      </c>
      <c r="J2894" s="13" t="inlineStr">
        <is>
          <t>21 dias</t>
        </is>
      </c>
    </row>
    <row r="2895" ht="22" customHeight="1">
      <c r="A2895" s="6" t="inlineStr">
        <is>
          <t>CUL-2891</t>
        </is>
      </c>
      <c r="B2895" s="5" t="n">
        <v>562</v>
      </c>
      <c r="C2895" s="7" t="inlineStr">
        <is>
          <t>Nº 43818</t>
        </is>
      </c>
      <c r="D2895" s="8" t="inlineStr">
        <is>
          <t>DIAFENTIURON</t>
        </is>
      </c>
      <c r="E2895" s="7" t="inlineStr">
        <is>
          <t>Pulverização Agrícola Conforme Bula</t>
        </is>
      </c>
      <c r="F2895" s="7" t="inlineStr">
        <is>
          <t>Feijão</t>
        </is>
      </c>
      <c r="G2895" s="7" t="inlineStr">
        <is>
          <t>Cultura Autorizada na Bula</t>
        </is>
      </c>
      <c r="H2895" s="7" t="inlineStr">
        <is>
          <t>100 a 300 L/ha</t>
        </is>
      </c>
      <c r="I2895" s="7" t="inlineStr">
        <is>
          <t>20 a 40 L/ha</t>
        </is>
      </c>
      <c r="J2895" s="7" t="inlineStr">
        <is>
          <t>14 dias</t>
        </is>
      </c>
    </row>
    <row r="2896" ht="22" customHeight="1">
      <c r="A2896" s="12" t="inlineStr">
        <is>
          <t>CUL-2892</t>
        </is>
      </c>
      <c r="B2896" s="11" t="n">
        <v>563</v>
      </c>
      <c r="C2896" s="13" t="inlineStr">
        <is>
          <t>Nº 27922</t>
        </is>
      </c>
      <c r="D2896" s="14" t="inlineStr">
        <is>
          <t>S-METOLACHLOR PROVENTIS 960 EC 0,200L (AMOSTRA)</t>
        </is>
      </c>
      <c r="E2896" s="13" t="inlineStr">
        <is>
          <t>Pulverização Agrícola Conforme Bula</t>
        </is>
      </c>
      <c r="F2896" s="13" t="inlineStr">
        <is>
          <t>Soja</t>
        </is>
      </c>
      <c r="G2896" s="13" t="inlineStr">
        <is>
          <t>Cultura Autorizada na Bula</t>
        </is>
      </c>
      <c r="H2896" s="13" t="inlineStr">
        <is>
          <t>100 a 300 L/ha</t>
        </is>
      </c>
      <c r="I2896" s="13" t="inlineStr">
        <is>
          <t>20 a 40 L/ha</t>
        </is>
      </c>
      <c r="J2896" s="13" t="inlineStr">
        <is>
          <t>N/D</t>
        </is>
      </c>
    </row>
    <row r="2897" ht="22" customHeight="1">
      <c r="A2897" s="6" t="inlineStr">
        <is>
          <t>CUL-2893</t>
        </is>
      </c>
      <c r="B2897" s="5" t="n">
        <v>563</v>
      </c>
      <c r="C2897" s="7" t="inlineStr">
        <is>
          <t>Nº 27922</t>
        </is>
      </c>
      <c r="D2897" s="8" t="inlineStr">
        <is>
          <t>S-METOLACHLOR PROVENTIS 960 EC 0,200L (AMOSTRA)</t>
        </is>
      </c>
      <c r="E2897" s="7" t="inlineStr">
        <is>
          <t>Pulverização Agrícola Conforme Bula</t>
        </is>
      </c>
      <c r="F2897" s="7" t="inlineStr">
        <is>
          <t>Milho</t>
        </is>
      </c>
      <c r="G2897" s="7" t="inlineStr">
        <is>
          <t>Cultura Autorizada na Bula</t>
        </is>
      </c>
      <c r="H2897" s="7" t="inlineStr">
        <is>
          <t>100 a 300 L/ha</t>
        </is>
      </c>
      <c r="I2897" s="7" t="inlineStr">
        <is>
          <t>20 a 40 L/ha</t>
        </is>
      </c>
      <c r="J2897" s="7" t="inlineStr">
        <is>
          <t>N/D</t>
        </is>
      </c>
    </row>
    <row r="2898" ht="22" customHeight="1">
      <c r="A2898" s="12" t="inlineStr">
        <is>
          <t>CUL-2894</t>
        </is>
      </c>
      <c r="B2898" s="11" t="n">
        <v>563</v>
      </c>
      <c r="C2898" s="13" t="inlineStr">
        <is>
          <t>Nº 27922</t>
        </is>
      </c>
      <c r="D2898" s="14" t="inlineStr">
        <is>
          <t>S-METOLACHLOR PROVENTIS 960 EC 0,200L (AMOSTRA)</t>
        </is>
      </c>
      <c r="E2898" s="13" t="inlineStr">
        <is>
          <t>Pulverização Agrícola Conforme Bula</t>
        </is>
      </c>
      <c r="F2898" s="13" t="inlineStr">
        <is>
          <t>Algodão</t>
        </is>
      </c>
      <c r="G2898" s="13" t="inlineStr">
        <is>
          <t>Cultura Autorizada na Bula</t>
        </is>
      </c>
      <c r="H2898" s="13" t="inlineStr">
        <is>
          <t>100 a 300 L/ha</t>
        </is>
      </c>
      <c r="I2898" s="13" t="inlineStr">
        <is>
          <t>20 a 40 L/ha</t>
        </is>
      </c>
      <c r="J2898" s="13" t="inlineStr">
        <is>
          <t>N/D</t>
        </is>
      </c>
    </row>
    <row r="2899" ht="22" customHeight="1">
      <c r="A2899" s="6" t="inlineStr">
        <is>
          <t>CUL-2895</t>
        </is>
      </c>
      <c r="B2899" s="5" t="n">
        <v>563</v>
      </c>
      <c r="C2899" s="7" t="inlineStr">
        <is>
          <t>Nº 27922</t>
        </is>
      </c>
      <c r="D2899" s="8" t="inlineStr">
        <is>
          <t>S-METOLACHLOR PROVENTIS 960 EC 0,200L (AMOSTRA)</t>
        </is>
      </c>
      <c r="E2899" s="7" t="inlineStr">
        <is>
          <t>Pulverização Agrícola Conforme Bula</t>
        </is>
      </c>
      <c r="F2899" s="7" t="inlineStr">
        <is>
          <t>Cana-de-açúcar</t>
        </is>
      </c>
      <c r="G2899" s="7" t="inlineStr">
        <is>
          <t>Cultura Autorizada na Bula</t>
        </is>
      </c>
      <c r="H2899" s="7" t="inlineStr">
        <is>
          <t>100 a 300 L/ha</t>
        </is>
      </c>
      <c r="I2899" s="7" t="inlineStr">
        <is>
          <t>20 a 40 L/ha</t>
        </is>
      </c>
      <c r="J2899" s="7" t="inlineStr">
        <is>
          <t>N/D</t>
        </is>
      </c>
    </row>
    <row r="2900" ht="22" customHeight="1">
      <c r="A2900" s="12" t="inlineStr">
        <is>
          <t>CUL-2896</t>
        </is>
      </c>
      <c r="B2900" s="11" t="n">
        <v>563</v>
      </c>
      <c r="C2900" s="13" t="inlineStr">
        <is>
          <t>Nº 27922</t>
        </is>
      </c>
      <c r="D2900" s="14" t="inlineStr">
        <is>
          <t>S-METOLACHLOR PROVENTIS 960 EC 0,200L (AMOSTRA)</t>
        </is>
      </c>
      <c r="E2900" s="13" t="inlineStr">
        <is>
          <t>Pulverização Agrícola Conforme Bula</t>
        </is>
      </c>
      <c r="F2900" s="13" t="inlineStr">
        <is>
          <t>Feijão</t>
        </is>
      </c>
      <c r="G2900" s="13" t="inlineStr">
        <is>
          <t>Cultura Autorizada na Bula</t>
        </is>
      </c>
      <c r="H2900" s="13" t="inlineStr">
        <is>
          <t>100 a 300 L/ha</t>
        </is>
      </c>
      <c r="I2900" s="13" t="inlineStr">
        <is>
          <t>20 a 40 L/ha</t>
        </is>
      </c>
      <c r="J2900" s="13" t="inlineStr">
        <is>
          <t>N/D</t>
        </is>
      </c>
    </row>
    <row r="2901" ht="22" customHeight="1">
      <c r="A2901" s="6" t="inlineStr">
        <is>
          <t>CUL-2897</t>
        </is>
      </c>
      <c r="B2901" s="5" t="n">
        <v>564</v>
      </c>
      <c r="C2901" s="7" t="inlineStr">
        <is>
          <t>Nº 26023</t>
        </is>
      </c>
      <c r="D2901" s="8" t="inlineStr">
        <is>
          <t>MAJESTUOSO 0,2L (IMP) AMOSTRA</t>
        </is>
      </c>
      <c r="E2901" s="7" t="inlineStr">
        <is>
          <t>Pulverização Agrícola Conforme Bula</t>
        </is>
      </c>
      <c r="F2901" s="7" t="inlineStr">
        <is>
          <t>Soja</t>
        </is>
      </c>
      <c r="G2901" s="7" t="inlineStr">
        <is>
          <t>Cultura Autorizada na Bula</t>
        </is>
      </c>
      <c r="H2901" s="7" t="inlineStr">
        <is>
          <t>100 a 300 L/ha</t>
        </is>
      </c>
      <c r="I2901" s="7" t="inlineStr">
        <is>
          <t>20 a 40 L/ha</t>
        </is>
      </c>
      <c r="J2901" s="7" t="inlineStr">
        <is>
          <t>21 dias</t>
        </is>
      </c>
    </row>
    <row r="2902" ht="22" customHeight="1">
      <c r="A2902" s="12" t="inlineStr">
        <is>
          <t>CUL-2898</t>
        </is>
      </c>
      <c r="B2902" s="11" t="n">
        <v>564</v>
      </c>
      <c r="C2902" s="13" t="inlineStr">
        <is>
          <t>Nº 26023</t>
        </is>
      </c>
      <c r="D2902" s="14" t="inlineStr">
        <is>
          <t>MAJESTUOSO 0,2L (IMP) AMOSTRA</t>
        </is>
      </c>
      <c r="E2902" s="13" t="inlineStr">
        <is>
          <t>Pulverização Agrícola Conforme Bula</t>
        </is>
      </c>
      <c r="F2902" s="13" t="inlineStr">
        <is>
          <t>Milho</t>
        </is>
      </c>
      <c r="G2902" s="13" t="inlineStr">
        <is>
          <t>Cultura Autorizada na Bula</t>
        </is>
      </c>
      <c r="H2902" s="13" t="inlineStr">
        <is>
          <t>100 a 300 L/ha</t>
        </is>
      </c>
      <c r="I2902" s="13" t="inlineStr">
        <is>
          <t>20 a 40 L/ha</t>
        </is>
      </c>
      <c r="J2902" s="13" t="inlineStr">
        <is>
          <t>21 dias</t>
        </is>
      </c>
    </row>
    <row r="2903" ht="22" customHeight="1">
      <c r="A2903" s="6" t="inlineStr">
        <is>
          <t>CUL-2899</t>
        </is>
      </c>
      <c r="B2903" s="5" t="n">
        <v>564</v>
      </c>
      <c r="C2903" s="7" t="inlineStr">
        <is>
          <t>Nº 26023</t>
        </is>
      </c>
      <c r="D2903" s="8" t="inlineStr">
        <is>
          <t>MAJESTUOSO 0,2L (IMP) AMOSTRA</t>
        </is>
      </c>
      <c r="E2903" s="7" t="inlineStr">
        <is>
          <t>Pulverização Agrícola Conforme Bula</t>
        </is>
      </c>
      <c r="F2903" s="7" t="inlineStr">
        <is>
          <t>Algodão</t>
        </is>
      </c>
      <c r="G2903" s="7" t="inlineStr">
        <is>
          <t>Cultura Autorizada na Bula</t>
        </is>
      </c>
      <c r="H2903" s="7" t="inlineStr">
        <is>
          <t>100 a 300 L/ha</t>
        </is>
      </c>
      <c r="I2903" s="7" t="inlineStr">
        <is>
          <t>20 a 40 L/ha</t>
        </is>
      </c>
      <c r="J2903" s="7" t="inlineStr">
        <is>
          <t>21 dias</t>
        </is>
      </c>
    </row>
    <row r="2904" ht="22" customHeight="1">
      <c r="A2904" s="12" t="inlineStr">
        <is>
          <t>CUL-2900</t>
        </is>
      </c>
      <c r="B2904" s="11" t="n">
        <v>564</v>
      </c>
      <c r="C2904" s="13" t="inlineStr">
        <is>
          <t>Nº 26023</t>
        </is>
      </c>
      <c r="D2904" s="14" t="inlineStr">
        <is>
          <t>MAJESTUOSO 0,2L (IMP) AMOSTRA</t>
        </is>
      </c>
      <c r="E2904" s="13" t="inlineStr">
        <is>
          <t>Pulverização Agrícola Conforme Bula</t>
        </is>
      </c>
      <c r="F2904" s="13" t="inlineStr">
        <is>
          <t>Feijão</t>
        </is>
      </c>
      <c r="G2904" s="13" t="inlineStr">
        <is>
          <t>Cultura Autorizada na Bula</t>
        </is>
      </c>
      <c r="H2904" s="13" t="inlineStr">
        <is>
          <t>100 a 300 L/ha</t>
        </is>
      </c>
      <c r="I2904" s="13" t="inlineStr">
        <is>
          <t>20 a 40 L/ha</t>
        </is>
      </c>
      <c r="J2904" s="13" t="inlineStr">
        <is>
          <t>14 dias</t>
        </is>
      </c>
    </row>
    <row r="2905" ht="22" customHeight="1">
      <c r="A2905" s="6" t="inlineStr">
        <is>
          <t>CUL-2901</t>
        </is>
      </c>
      <c r="B2905" s="5" t="n">
        <v>565</v>
      </c>
      <c r="C2905" s="7" t="inlineStr">
        <is>
          <t>Nº 5924</t>
        </is>
      </c>
      <c r="D2905" s="8" t="inlineStr">
        <is>
          <t>FLAME WG</t>
        </is>
      </c>
      <c r="E2905" s="7" t="inlineStr">
        <is>
          <t>Pulverização Agrícola Conforme Bula</t>
        </is>
      </c>
      <c r="F2905" s="7" t="inlineStr">
        <is>
          <t>Algodão</t>
        </is>
      </c>
      <c r="G2905" s="7" t="inlineStr">
        <is>
          <t>Cultura Autorizada na Bula</t>
        </is>
      </c>
      <c r="H2905" s="7" t="inlineStr">
        <is>
          <t>100 a 300 L/ha</t>
        </is>
      </c>
      <c r="I2905" s="7" t="inlineStr">
        <is>
          <t>20 a 40 L/ha</t>
        </is>
      </c>
      <c r="J2905" s="7" t="inlineStr">
        <is>
          <t>15 dias</t>
        </is>
      </c>
    </row>
    <row r="2906" ht="22" customHeight="1">
      <c r="A2906" s="12" t="inlineStr">
        <is>
          <t>CUL-2902</t>
        </is>
      </c>
      <c r="B2906" s="11" t="n">
        <v>565</v>
      </c>
      <c r="C2906" s="13" t="inlineStr">
        <is>
          <t>Nº 5924</t>
        </is>
      </c>
      <c r="D2906" s="14" t="inlineStr">
        <is>
          <t>FLAME WG</t>
        </is>
      </c>
      <c r="E2906" s="13" t="inlineStr">
        <is>
          <t>Pulverização Agrícola Conforme Bula</t>
        </is>
      </c>
      <c r="F2906" s="13" t="inlineStr">
        <is>
          <t>Soja</t>
        </is>
      </c>
      <c r="G2906" s="13" t="inlineStr">
        <is>
          <t>Cultura Autorizada na Bula</t>
        </is>
      </c>
      <c r="H2906" s="13" t="inlineStr">
        <is>
          <t>100 a 300 L/ha</t>
        </is>
      </c>
      <c r="I2906" s="13" t="inlineStr">
        <is>
          <t>20 a 40 L/ha</t>
        </is>
      </c>
      <c r="J2906" s="13" t="inlineStr">
        <is>
          <t>30 dias</t>
        </is>
      </c>
    </row>
    <row r="2907" ht="22" customHeight="1">
      <c r="A2907" s="6" t="inlineStr">
        <is>
          <t>CUL-2903</t>
        </is>
      </c>
      <c r="B2907" s="5" t="n">
        <v>565</v>
      </c>
      <c r="C2907" s="7" t="inlineStr">
        <is>
          <t>Nº 5924</t>
        </is>
      </c>
      <c r="D2907" s="8" t="inlineStr">
        <is>
          <t>FLAME WG</t>
        </is>
      </c>
      <c r="E2907" s="7" t="inlineStr">
        <is>
          <t>Pulverização Agrícola Conforme Bula</t>
        </is>
      </c>
      <c r="F2907" s="7" t="inlineStr">
        <is>
          <t>Milho</t>
        </is>
      </c>
      <c r="G2907" s="7" t="inlineStr">
        <is>
          <t>Cultura Autorizada na Bula</t>
        </is>
      </c>
      <c r="H2907" s="7" t="inlineStr">
        <is>
          <t>100 a 300 L/ha</t>
        </is>
      </c>
      <c r="I2907" s="7" t="inlineStr">
        <is>
          <t>20 a 40 L/ha</t>
        </is>
      </c>
      <c r="J2907" s="7" t="inlineStr">
        <is>
          <t>30 dias</t>
        </is>
      </c>
    </row>
    <row r="2908" ht="22" customHeight="1">
      <c r="A2908" s="12" t="inlineStr">
        <is>
          <t>CUL-2904</t>
        </is>
      </c>
      <c r="B2908" s="11" t="n">
        <v>565</v>
      </c>
      <c r="C2908" s="13" t="inlineStr">
        <is>
          <t>Nº 5924</t>
        </is>
      </c>
      <c r="D2908" s="14" t="inlineStr">
        <is>
          <t>FLAME WG</t>
        </is>
      </c>
      <c r="E2908" s="13" t="inlineStr">
        <is>
          <t>Pulverização Agrícola Conforme Bula</t>
        </is>
      </c>
      <c r="F2908" s="13" t="inlineStr">
        <is>
          <t>Cana-de-açúcar</t>
        </is>
      </c>
      <c r="G2908" s="13" t="inlineStr">
        <is>
          <t>Cultura Autorizada na Bula</t>
        </is>
      </c>
      <c r="H2908" s="13" t="inlineStr">
        <is>
          <t>100 a 300 L/ha</t>
        </is>
      </c>
      <c r="I2908" s="13" t="inlineStr">
        <is>
          <t>20 a 40 L/ha</t>
        </is>
      </c>
      <c r="J2908" s="13" t="inlineStr">
        <is>
          <t>30 dias</t>
        </is>
      </c>
    </row>
    <row r="2909" ht="22" customHeight="1">
      <c r="A2909" s="6" t="inlineStr">
        <is>
          <t>CUL-2905</t>
        </is>
      </c>
      <c r="B2909" s="5" t="n">
        <v>565</v>
      </c>
      <c r="C2909" s="7" t="inlineStr">
        <is>
          <t>Nº 5924</t>
        </is>
      </c>
      <c r="D2909" s="8" t="inlineStr">
        <is>
          <t>FLAME WG</t>
        </is>
      </c>
      <c r="E2909" s="7" t="inlineStr">
        <is>
          <t>Pulverização Agrícola Conforme Bula</t>
        </is>
      </c>
      <c r="F2909" s="7" t="inlineStr">
        <is>
          <t>Café</t>
        </is>
      </c>
      <c r="G2909" s="7" t="inlineStr">
        <is>
          <t>Cultura Autorizada na Bula</t>
        </is>
      </c>
      <c r="H2909" s="7" t="inlineStr">
        <is>
          <t>100 a 300 L/ha</t>
        </is>
      </c>
      <c r="I2909" s="7" t="inlineStr">
        <is>
          <t>20 a 40 L/ha</t>
        </is>
      </c>
      <c r="J2909" s="7" t="inlineStr">
        <is>
          <t>30 dias</t>
        </is>
      </c>
    </row>
    <row r="2910" ht="22" customHeight="1">
      <c r="A2910" s="12" t="inlineStr">
        <is>
          <t>CUL-2906</t>
        </is>
      </c>
      <c r="B2910" s="11" t="n">
        <v>565</v>
      </c>
      <c r="C2910" s="13" t="inlineStr">
        <is>
          <t>Nº 5924</t>
        </is>
      </c>
      <c r="D2910" s="14" t="inlineStr">
        <is>
          <t>FLAME WG</t>
        </is>
      </c>
      <c r="E2910" s="13" t="inlineStr">
        <is>
          <t>Pulverização Agrícola Conforme Bula</t>
        </is>
      </c>
      <c r="F2910" s="13" t="inlineStr">
        <is>
          <t>Citros</t>
        </is>
      </c>
      <c r="G2910" s="13" t="inlineStr">
        <is>
          <t>Cultura Autorizada na Bula</t>
        </is>
      </c>
      <c r="H2910" s="13" t="inlineStr">
        <is>
          <t>100 a 300 L/ha</t>
        </is>
      </c>
      <c r="I2910" s="13" t="inlineStr">
        <is>
          <t>20 a 40 L/ha</t>
        </is>
      </c>
      <c r="J2910" s="13" t="inlineStr">
        <is>
          <t>7 dias</t>
        </is>
      </c>
    </row>
    <row r="2911" ht="22" customHeight="1">
      <c r="A2911" s="6" t="inlineStr">
        <is>
          <t>CUL-2907</t>
        </is>
      </c>
      <c r="B2911" s="5" t="n">
        <v>565</v>
      </c>
      <c r="C2911" s="7" t="inlineStr">
        <is>
          <t>Nº 5924</t>
        </is>
      </c>
      <c r="D2911" s="8" t="inlineStr">
        <is>
          <t>FLAME WG</t>
        </is>
      </c>
      <c r="E2911" s="7" t="inlineStr">
        <is>
          <t>Pulverização Agrícola Conforme Bula</t>
        </is>
      </c>
      <c r="F2911" s="7" t="inlineStr">
        <is>
          <t>Feijão</t>
        </is>
      </c>
      <c r="G2911" s="7" t="inlineStr">
        <is>
          <t>Cultura Autorizada na Bula</t>
        </is>
      </c>
      <c r="H2911" s="7" t="inlineStr">
        <is>
          <t>100 a 300 L/ha</t>
        </is>
      </c>
      <c r="I2911" s="7" t="inlineStr">
        <is>
          <t>20 a 40 L/ha</t>
        </is>
      </c>
      <c r="J2911" s="7" t="inlineStr">
        <is>
          <t>20 dias</t>
        </is>
      </c>
    </row>
    <row r="2912" ht="22" customHeight="1">
      <c r="A2912" s="12" t="inlineStr">
        <is>
          <t>CUL-2908</t>
        </is>
      </c>
      <c r="B2912" s="11" t="n">
        <v>565</v>
      </c>
      <c r="C2912" s="13" t="inlineStr">
        <is>
          <t>Nº 5924</t>
        </is>
      </c>
      <c r="D2912" s="14" t="inlineStr">
        <is>
          <t>FLAME WG</t>
        </is>
      </c>
      <c r="E2912" s="13" t="inlineStr">
        <is>
          <t>Pulverização Agrícola Conforme Bula</t>
        </is>
      </c>
      <c r="F2912" s="13" t="inlineStr">
        <is>
          <t>Trigo</t>
        </is>
      </c>
      <c r="G2912" s="13" t="inlineStr">
        <is>
          <t>Cultura Autorizada na Bula</t>
        </is>
      </c>
      <c r="H2912" s="13" t="inlineStr">
        <is>
          <t>100 a 300 L/ha</t>
        </is>
      </c>
      <c r="I2912" s="13" t="inlineStr">
        <is>
          <t>20 a 40 L/ha</t>
        </is>
      </c>
      <c r="J2912" s="13" t="inlineStr">
        <is>
          <t>30 dias</t>
        </is>
      </c>
    </row>
    <row r="2913" ht="22" customHeight="1">
      <c r="A2913" s="6" t="inlineStr">
        <is>
          <t>CUL-2909</t>
        </is>
      </c>
      <c r="B2913" s="5" t="n">
        <v>566</v>
      </c>
      <c r="C2913" s="7" t="inlineStr">
        <is>
          <t>Nº 15925</t>
        </is>
      </c>
      <c r="D2913" s="8" t="inlineStr">
        <is>
          <t>CHETTAK GOLD</t>
        </is>
      </c>
      <c r="E2913" s="7" t="inlineStr">
        <is>
          <t>Pulverização Agrícola Conforme Bula</t>
        </is>
      </c>
      <c r="F2913" s="7" t="inlineStr">
        <is>
          <t>Soja</t>
        </is>
      </c>
      <c r="G2913" s="7" t="inlineStr">
        <is>
          <t>Cultura Autorizada na Bula</t>
        </is>
      </c>
      <c r="H2913" s="7" t="inlineStr">
        <is>
          <t>100 a 300 L/ha</t>
        </is>
      </c>
      <c r="I2913" s="7" t="inlineStr">
        <is>
          <t>20 a 40 L/ha</t>
        </is>
      </c>
      <c r="J2913" s="7" t="inlineStr">
        <is>
          <t>21 dias</t>
        </is>
      </c>
    </row>
    <row r="2914" ht="22" customHeight="1">
      <c r="A2914" s="12" t="inlineStr">
        <is>
          <t>CUL-2910</t>
        </is>
      </c>
      <c r="B2914" s="11" t="n">
        <v>566</v>
      </c>
      <c r="C2914" s="13" t="inlineStr">
        <is>
          <t>Nº 15925</t>
        </is>
      </c>
      <c r="D2914" s="14" t="inlineStr">
        <is>
          <t>CHETTAK GOLD</t>
        </is>
      </c>
      <c r="E2914" s="13" t="inlineStr">
        <is>
          <t>Pulverização Agrícola Conforme Bula</t>
        </is>
      </c>
      <c r="F2914" s="13" t="inlineStr">
        <is>
          <t>Algodão</t>
        </is>
      </c>
      <c r="G2914" s="13" t="inlineStr">
        <is>
          <t>Cultura Autorizada na Bula</t>
        </is>
      </c>
      <c r="H2914" s="13" t="inlineStr">
        <is>
          <t>100 a 300 L/ha</t>
        </is>
      </c>
      <c r="I2914" s="13" t="inlineStr">
        <is>
          <t>20 a 40 L/ha</t>
        </is>
      </c>
      <c r="J2914" s="13" t="inlineStr">
        <is>
          <t>21 dias</t>
        </is>
      </c>
    </row>
    <row r="2915" ht="22" customHeight="1">
      <c r="A2915" s="6" t="inlineStr">
        <is>
          <t>CUL-2911</t>
        </is>
      </c>
      <c r="B2915" s="5" t="n">
        <v>566</v>
      </c>
      <c r="C2915" s="7" t="inlineStr">
        <is>
          <t>Nº 15925</t>
        </is>
      </c>
      <c r="D2915" s="8" t="inlineStr">
        <is>
          <t>CHETTAK GOLD</t>
        </is>
      </c>
      <c r="E2915" s="7" t="inlineStr">
        <is>
          <t>Pulverização Agrícola Conforme Bula</t>
        </is>
      </c>
      <c r="F2915" s="7" t="inlineStr">
        <is>
          <t>Feijão</t>
        </is>
      </c>
      <c r="G2915" s="7" t="inlineStr">
        <is>
          <t>Cultura Autorizada na Bula</t>
        </is>
      </c>
      <c r="H2915" s="7" t="inlineStr">
        <is>
          <t>100 a 300 L/ha</t>
        </is>
      </c>
      <c r="I2915" s="7" t="inlineStr">
        <is>
          <t>20 a 40 L/ha</t>
        </is>
      </c>
      <c r="J2915" s="7" t="inlineStr">
        <is>
          <t>14 dias</t>
        </is>
      </c>
    </row>
    <row r="2916" ht="22" customHeight="1">
      <c r="A2916" s="12" t="inlineStr">
        <is>
          <t>CUL-2912</t>
        </is>
      </c>
      <c r="B2916" s="11" t="n">
        <v>566</v>
      </c>
      <c r="C2916" s="13" t="inlineStr">
        <is>
          <t>Nº 15925</t>
        </is>
      </c>
      <c r="D2916" s="14" t="inlineStr">
        <is>
          <t>CHETTAK GOLD</t>
        </is>
      </c>
      <c r="E2916" s="13" t="inlineStr">
        <is>
          <t>Pulverização Agrícola Conforme Bula</t>
        </is>
      </c>
      <c r="F2916" s="13" t="inlineStr">
        <is>
          <t>Milho</t>
        </is>
      </c>
      <c r="G2916" s="13" t="inlineStr">
        <is>
          <t>Cultura Autorizada na Bula</t>
        </is>
      </c>
      <c r="H2916" s="13" t="inlineStr">
        <is>
          <t>100 a 300 L/ha</t>
        </is>
      </c>
      <c r="I2916" s="13" t="inlineStr">
        <is>
          <t>20 a 40 L/ha</t>
        </is>
      </c>
      <c r="J2916" s="13" t="inlineStr">
        <is>
          <t>21 dias</t>
        </is>
      </c>
    </row>
    <row r="2917" ht="22" customHeight="1">
      <c r="A2917" s="6" t="inlineStr">
        <is>
          <t>CUL-2913</t>
        </is>
      </c>
      <c r="B2917" s="5" t="n">
        <v>567</v>
      </c>
      <c r="C2917" s="7" t="inlineStr">
        <is>
          <t>Nº 14024</t>
        </is>
      </c>
      <c r="D2917" s="8" t="inlineStr">
        <is>
          <t>ETHIPROLE</t>
        </is>
      </c>
      <c r="E2917" s="7" t="inlineStr">
        <is>
          <t>Pulverização Agrícola Conforme Bula</t>
        </is>
      </c>
      <c r="F2917" s="7" t="inlineStr">
        <is>
          <t>Soja</t>
        </is>
      </c>
      <c r="G2917" s="7" t="inlineStr">
        <is>
          <t>Cultura Autorizada na Bula</t>
        </is>
      </c>
      <c r="H2917" s="7" t="inlineStr">
        <is>
          <t>100 a 300 L/ha</t>
        </is>
      </c>
      <c r="I2917" s="7" t="inlineStr">
        <is>
          <t>20 a 40 L/ha</t>
        </is>
      </c>
      <c r="J2917" s="7" t="inlineStr">
        <is>
          <t>21 dias</t>
        </is>
      </c>
    </row>
    <row r="2918" ht="22" customHeight="1">
      <c r="A2918" s="12" t="inlineStr">
        <is>
          <t>CUL-2914</t>
        </is>
      </c>
      <c r="B2918" s="11" t="n">
        <v>567</v>
      </c>
      <c r="C2918" s="13" t="inlineStr">
        <is>
          <t>Nº 14024</t>
        </is>
      </c>
      <c r="D2918" s="14" t="inlineStr">
        <is>
          <t>ETHIPROLE</t>
        </is>
      </c>
      <c r="E2918" s="13" t="inlineStr">
        <is>
          <t>Pulverização Agrícola Conforme Bula</t>
        </is>
      </c>
      <c r="F2918" s="13" t="inlineStr">
        <is>
          <t>Milho</t>
        </is>
      </c>
      <c r="G2918" s="13" t="inlineStr">
        <is>
          <t>Cultura Autorizada na Bula</t>
        </is>
      </c>
      <c r="H2918" s="13" t="inlineStr">
        <is>
          <t>100 a 300 L/ha</t>
        </is>
      </c>
      <c r="I2918" s="13" t="inlineStr">
        <is>
          <t>20 a 40 L/ha</t>
        </is>
      </c>
      <c r="J2918" s="13" t="inlineStr">
        <is>
          <t>21 dias</t>
        </is>
      </c>
    </row>
    <row r="2919" ht="22" customHeight="1">
      <c r="A2919" s="6" t="inlineStr">
        <is>
          <t>CUL-2915</t>
        </is>
      </c>
      <c r="B2919" s="5" t="n">
        <v>567</v>
      </c>
      <c r="C2919" s="7" t="inlineStr">
        <is>
          <t>Nº 14024</t>
        </is>
      </c>
      <c r="D2919" s="8" t="inlineStr">
        <is>
          <t>ETHIPROLE</t>
        </is>
      </c>
      <c r="E2919" s="7" t="inlineStr">
        <is>
          <t>Pulverização Agrícola Conforme Bula</t>
        </is>
      </c>
      <c r="F2919" s="7" t="inlineStr">
        <is>
          <t>Algodão</t>
        </is>
      </c>
      <c r="G2919" s="7" t="inlineStr">
        <is>
          <t>Cultura Autorizada na Bula</t>
        </is>
      </c>
      <c r="H2919" s="7" t="inlineStr">
        <is>
          <t>100 a 300 L/ha</t>
        </is>
      </c>
      <c r="I2919" s="7" t="inlineStr">
        <is>
          <t>20 a 40 L/ha</t>
        </is>
      </c>
      <c r="J2919" s="7" t="inlineStr">
        <is>
          <t>21 dias</t>
        </is>
      </c>
    </row>
    <row r="2920" ht="22" customHeight="1">
      <c r="A2920" s="12" t="inlineStr">
        <is>
          <t>CUL-2916</t>
        </is>
      </c>
      <c r="B2920" s="11" t="n">
        <v>567</v>
      </c>
      <c r="C2920" s="13" t="inlineStr">
        <is>
          <t>Nº 14024</t>
        </is>
      </c>
      <c r="D2920" s="14" t="inlineStr">
        <is>
          <t>ETHIPROLE</t>
        </is>
      </c>
      <c r="E2920" s="13" t="inlineStr">
        <is>
          <t>Pulverização Agrícola Conforme Bula</t>
        </is>
      </c>
      <c r="F2920" s="13" t="inlineStr">
        <is>
          <t>Feijão</t>
        </is>
      </c>
      <c r="G2920" s="13" t="inlineStr">
        <is>
          <t>Cultura Autorizada na Bula</t>
        </is>
      </c>
      <c r="H2920" s="13" t="inlineStr">
        <is>
          <t>100 a 300 L/ha</t>
        </is>
      </c>
      <c r="I2920" s="13" t="inlineStr">
        <is>
          <t>20 a 40 L/ha</t>
        </is>
      </c>
      <c r="J2920" s="13" t="inlineStr">
        <is>
          <t>14 dias</t>
        </is>
      </c>
    </row>
    <row r="2921" ht="22" customHeight="1">
      <c r="A2921" s="6" t="inlineStr">
        <is>
          <t>CUL-2917</t>
        </is>
      </c>
      <c r="B2921" s="5" t="n">
        <v>568</v>
      </c>
      <c r="C2921" s="7" t="inlineStr">
        <is>
          <t>Nº 14024</t>
        </is>
      </c>
      <c r="D2921" s="8" t="inlineStr">
        <is>
          <t>ETHIPROLE</t>
        </is>
      </c>
      <c r="E2921" s="7" t="inlineStr">
        <is>
          <t>Pulverização Agrícola Conforme Bula</t>
        </is>
      </c>
      <c r="F2921" s="7" t="inlineStr">
        <is>
          <t>Soja</t>
        </is>
      </c>
      <c r="G2921" s="7" t="inlineStr">
        <is>
          <t>Cultura Autorizada na Bula</t>
        </is>
      </c>
      <c r="H2921" s="7" t="inlineStr">
        <is>
          <t>100 a 300 L/ha</t>
        </is>
      </c>
      <c r="I2921" s="7" t="inlineStr">
        <is>
          <t>20 a 40 L/ha</t>
        </is>
      </c>
      <c r="J2921" s="7" t="inlineStr">
        <is>
          <t>21 dias</t>
        </is>
      </c>
    </row>
    <row r="2922" ht="22" customHeight="1">
      <c r="A2922" s="12" t="inlineStr">
        <is>
          <t>CUL-2918</t>
        </is>
      </c>
      <c r="B2922" s="11" t="n">
        <v>568</v>
      </c>
      <c r="C2922" s="13" t="inlineStr">
        <is>
          <t>Nº 14024</t>
        </is>
      </c>
      <c r="D2922" s="14" t="inlineStr">
        <is>
          <t>ETHIPROLE</t>
        </is>
      </c>
      <c r="E2922" s="13" t="inlineStr">
        <is>
          <t>Pulverização Agrícola Conforme Bula</t>
        </is>
      </c>
      <c r="F2922" s="13" t="inlineStr">
        <is>
          <t>Milho</t>
        </is>
      </c>
      <c r="G2922" s="13" t="inlineStr">
        <is>
          <t>Cultura Autorizada na Bula</t>
        </is>
      </c>
      <c r="H2922" s="13" t="inlineStr">
        <is>
          <t>100 a 300 L/ha</t>
        </is>
      </c>
      <c r="I2922" s="13" t="inlineStr">
        <is>
          <t>20 a 40 L/ha</t>
        </is>
      </c>
      <c r="J2922" s="13" t="inlineStr">
        <is>
          <t>21 dias</t>
        </is>
      </c>
    </row>
    <row r="2923" ht="22" customHeight="1">
      <c r="A2923" s="6" t="inlineStr">
        <is>
          <t>CUL-2919</t>
        </is>
      </c>
      <c r="B2923" s="5" t="n">
        <v>568</v>
      </c>
      <c r="C2923" s="7" t="inlineStr">
        <is>
          <t>Nº 14024</t>
        </is>
      </c>
      <c r="D2923" s="8" t="inlineStr">
        <is>
          <t>ETHIPROLE</t>
        </is>
      </c>
      <c r="E2923" s="7" t="inlineStr">
        <is>
          <t>Pulverização Agrícola Conforme Bula</t>
        </is>
      </c>
      <c r="F2923" s="7" t="inlineStr">
        <is>
          <t>Algodão</t>
        </is>
      </c>
      <c r="G2923" s="7" t="inlineStr">
        <is>
          <t>Cultura Autorizada na Bula</t>
        </is>
      </c>
      <c r="H2923" s="7" t="inlineStr">
        <is>
          <t>100 a 300 L/ha</t>
        </is>
      </c>
      <c r="I2923" s="7" t="inlineStr">
        <is>
          <t>20 a 40 L/ha</t>
        </is>
      </c>
      <c r="J2923" s="7" t="inlineStr">
        <is>
          <t>21 dias</t>
        </is>
      </c>
    </row>
    <row r="2924" ht="22" customHeight="1">
      <c r="A2924" s="12" t="inlineStr">
        <is>
          <t>CUL-2920</t>
        </is>
      </c>
      <c r="B2924" s="11" t="n">
        <v>568</v>
      </c>
      <c r="C2924" s="13" t="inlineStr">
        <is>
          <t>Nº 14024</t>
        </is>
      </c>
      <c r="D2924" s="14" t="inlineStr">
        <is>
          <t>ETHIPROLE</t>
        </is>
      </c>
      <c r="E2924" s="13" t="inlineStr">
        <is>
          <t>Pulverização Agrícola Conforme Bula</t>
        </is>
      </c>
      <c r="F2924" s="13" t="inlineStr">
        <is>
          <t>Feijão</t>
        </is>
      </c>
      <c r="G2924" s="13" t="inlineStr">
        <is>
          <t>Cultura Autorizada na Bula</t>
        </is>
      </c>
      <c r="H2924" s="13" t="inlineStr">
        <is>
          <t>100 a 300 L/ha</t>
        </is>
      </c>
      <c r="I2924" s="13" t="inlineStr">
        <is>
          <t>20 a 40 L/ha</t>
        </is>
      </c>
      <c r="J2924" s="13" t="inlineStr">
        <is>
          <t>14 dias</t>
        </is>
      </c>
    </row>
    <row r="2925" ht="22" customHeight="1">
      <c r="A2925" s="6" t="inlineStr">
        <is>
          <t>CUL-2921</t>
        </is>
      </c>
      <c r="B2925" s="5" t="n">
        <v>569</v>
      </c>
      <c r="C2925" s="7" t="inlineStr">
        <is>
          <t>Nº 34723</t>
        </is>
      </c>
      <c r="D2925" s="8" t="inlineStr">
        <is>
          <t>CURATIS</t>
        </is>
      </c>
      <c r="E2925" s="7" t="inlineStr">
        <is>
          <t>Pulverização Agrícola Conforme Bula</t>
        </is>
      </c>
      <c r="F2925" s="7" t="inlineStr">
        <is>
          <t>Soja</t>
        </is>
      </c>
      <c r="G2925" s="7" t="inlineStr">
        <is>
          <t>Cultura Autorizada na Bula</t>
        </is>
      </c>
      <c r="H2925" s="7" t="inlineStr">
        <is>
          <t>100 a 300 L/ha</t>
        </is>
      </c>
      <c r="I2925" s="7" t="inlineStr">
        <is>
          <t>20 a 40 L/ha</t>
        </is>
      </c>
      <c r="J2925" s="7" t="inlineStr">
        <is>
          <t>21 dias</t>
        </is>
      </c>
    </row>
    <row r="2926" ht="22" customHeight="1">
      <c r="A2926" s="12" t="inlineStr">
        <is>
          <t>CUL-2922</t>
        </is>
      </c>
      <c r="B2926" s="11" t="n">
        <v>569</v>
      </c>
      <c r="C2926" s="13" t="inlineStr">
        <is>
          <t>Nº 34723</t>
        </is>
      </c>
      <c r="D2926" s="14" t="inlineStr">
        <is>
          <t>CURATIS</t>
        </is>
      </c>
      <c r="E2926" s="13" t="inlineStr">
        <is>
          <t>Pulverização Agrícola Conforme Bula</t>
        </is>
      </c>
      <c r="F2926" s="13" t="inlineStr">
        <is>
          <t>Algodão</t>
        </is>
      </c>
      <c r="G2926" s="13" t="inlineStr">
        <is>
          <t>Cultura Autorizada na Bula</t>
        </is>
      </c>
      <c r="H2926" s="13" t="inlineStr">
        <is>
          <t>100 a 300 L/ha</t>
        </is>
      </c>
      <c r="I2926" s="13" t="inlineStr">
        <is>
          <t>20 a 40 L/ha</t>
        </is>
      </c>
      <c r="J2926" s="13" t="inlineStr">
        <is>
          <t>21 dias</t>
        </is>
      </c>
    </row>
    <row r="2927" ht="22" customHeight="1">
      <c r="A2927" s="6" t="inlineStr">
        <is>
          <t>CUL-2923</t>
        </is>
      </c>
      <c r="B2927" s="5" t="n">
        <v>569</v>
      </c>
      <c r="C2927" s="7" t="inlineStr">
        <is>
          <t>Nº 34723</t>
        </is>
      </c>
      <c r="D2927" s="8" t="inlineStr">
        <is>
          <t>CURATIS</t>
        </is>
      </c>
      <c r="E2927" s="7" t="inlineStr">
        <is>
          <t>Pulverização Agrícola Conforme Bula</t>
        </is>
      </c>
      <c r="F2927" s="7" t="inlineStr">
        <is>
          <t>Café</t>
        </is>
      </c>
      <c r="G2927" s="7" t="inlineStr">
        <is>
          <t>Cultura Autorizada na Bula</t>
        </is>
      </c>
      <c r="H2927" s="7" t="inlineStr">
        <is>
          <t>100 a 300 L/ha</t>
        </is>
      </c>
      <c r="I2927" s="7" t="inlineStr">
        <is>
          <t>20 a 40 L/ha</t>
        </is>
      </c>
      <c r="J2927" s="7" t="inlineStr">
        <is>
          <t>21 dias</t>
        </is>
      </c>
    </row>
    <row r="2928" ht="22" customHeight="1">
      <c r="A2928" s="12" t="inlineStr">
        <is>
          <t>CUL-2924</t>
        </is>
      </c>
      <c r="B2928" s="11" t="n">
        <v>569</v>
      </c>
      <c r="C2928" s="13" t="inlineStr">
        <is>
          <t>Nº 34723</t>
        </is>
      </c>
      <c r="D2928" s="14" t="inlineStr">
        <is>
          <t>CURATIS</t>
        </is>
      </c>
      <c r="E2928" s="13" t="inlineStr">
        <is>
          <t>Pulverização Agrícola Conforme Bula</t>
        </is>
      </c>
      <c r="F2928" s="13" t="inlineStr">
        <is>
          <t>Feijão</t>
        </is>
      </c>
      <c r="G2928" s="13" t="inlineStr">
        <is>
          <t>Cultura Autorizada na Bula</t>
        </is>
      </c>
      <c r="H2928" s="13" t="inlineStr">
        <is>
          <t>100 a 300 L/ha</t>
        </is>
      </c>
      <c r="I2928" s="13" t="inlineStr">
        <is>
          <t>20 a 40 L/ha</t>
        </is>
      </c>
      <c r="J2928" s="13" t="inlineStr">
        <is>
          <t>14 dias</t>
        </is>
      </c>
    </row>
    <row r="2929" ht="22" customHeight="1">
      <c r="A2929" s="6" t="inlineStr">
        <is>
          <t>CUL-2925</t>
        </is>
      </c>
      <c r="B2929" s="5" t="n">
        <v>569</v>
      </c>
      <c r="C2929" s="7" t="inlineStr">
        <is>
          <t>Nº 34723</t>
        </is>
      </c>
      <c r="D2929" s="8" t="inlineStr">
        <is>
          <t>CURATIS</t>
        </is>
      </c>
      <c r="E2929" s="7" t="inlineStr">
        <is>
          <t>Pulverização Agrícola Conforme Bula</t>
        </is>
      </c>
      <c r="F2929" s="7" t="inlineStr">
        <is>
          <t>Milho</t>
        </is>
      </c>
      <c r="G2929" s="7" t="inlineStr">
        <is>
          <t>Cultura Autorizada na Bula</t>
        </is>
      </c>
      <c r="H2929" s="7" t="inlineStr">
        <is>
          <t>100 a 300 L/ha</t>
        </is>
      </c>
      <c r="I2929" s="7" t="inlineStr">
        <is>
          <t>20 a 40 L/ha</t>
        </is>
      </c>
      <c r="J2929" s="7" t="inlineStr">
        <is>
          <t>21 dias</t>
        </is>
      </c>
    </row>
    <row r="2930" ht="22" customHeight="1">
      <c r="A2930" s="12" t="inlineStr">
        <is>
          <t>CUL-2926</t>
        </is>
      </c>
      <c r="B2930" s="11" t="n">
        <v>569</v>
      </c>
      <c r="C2930" s="13" t="inlineStr">
        <is>
          <t>Nº 34723</t>
        </is>
      </c>
      <c r="D2930" s="14" t="inlineStr">
        <is>
          <t>CURATIS</t>
        </is>
      </c>
      <c r="E2930" s="13" t="inlineStr">
        <is>
          <t>Pulverização Agrícola Conforme Bula</t>
        </is>
      </c>
      <c r="F2930" s="13" t="inlineStr">
        <is>
          <t>Batata</t>
        </is>
      </c>
      <c r="G2930" s="13" t="inlineStr">
        <is>
          <t>Cultura Autorizada na Bula</t>
        </is>
      </c>
      <c r="H2930" s="13" t="inlineStr">
        <is>
          <t>100 a 300 L/ha</t>
        </is>
      </c>
      <c r="I2930" s="13" t="inlineStr">
        <is>
          <t>20 a 40 L/ha</t>
        </is>
      </c>
      <c r="J2930" s="13" t="inlineStr">
        <is>
          <t>7 dias</t>
        </is>
      </c>
    </row>
    <row r="2931" ht="22" customHeight="1">
      <c r="A2931" s="6" t="inlineStr">
        <is>
          <t>CUL-2927</t>
        </is>
      </c>
      <c r="B2931" s="5" t="n">
        <v>569</v>
      </c>
      <c r="C2931" s="7" t="inlineStr">
        <is>
          <t>Nº 34723</t>
        </is>
      </c>
      <c r="D2931" s="8" t="inlineStr">
        <is>
          <t>CURATIS</t>
        </is>
      </c>
      <c r="E2931" s="7" t="inlineStr">
        <is>
          <t>Pulverização Agrícola Conforme Bula</t>
        </is>
      </c>
      <c r="F2931" s="7" t="inlineStr">
        <is>
          <t>Tomate</t>
        </is>
      </c>
      <c r="G2931" s="7" t="inlineStr">
        <is>
          <t>Cultura Autorizada na Bula</t>
        </is>
      </c>
      <c r="H2931" s="7" t="inlineStr">
        <is>
          <t>100 a 300 L/ha</t>
        </is>
      </c>
      <c r="I2931" s="7" t="inlineStr">
        <is>
          <t>20 a 40 L/ha</t>
        </is>
      </c>
      <c r="J2931" s="7" t="inlineStr">
        <is>
          <t>7 dias</t>
        </is>
      </c>
    </row>
    <row r="2932" ht="22" customHeight="1">
      <c r="A2932" s="12" t="inlineStr">
        <is>
          <t>CUL-2928</t>
        </is>
      </c>
      <c r="B2932" s="11" t="n">
        <v>569</v>
      </c>
      <c r="C2932" s="13" t="inlineStr">
        <is>
          <t>Nº 34723</t>
        </is>
      </c>
      <c r="D2932" s="14" t="inlineStr">
        <is>
          <t>CURATIS</t>
        </is>
      </c>
      <c r="E2932" s="13" t="inlineStr">
        <is>
          <t>Pulverização Agrícola Conforme Bula</t>
        </is>
      </c>
      <c r="F2932" s="13" t="inlineStr">
        <is>
          <t>Trigo</t>
        </is>
      </c>
      <c r="G2932" s="13" t="inlineStr">
        <is>
          <t>Cultura Autorizada na Bula</t>
        </is>
      </c>
      <c r="H2932" s="13" t="inlineStr">
        <is>
          <t>100 a 300 L/ha</t>
        </is>
      </c>
      <c r="I2932" s="13" t="inlineStr">
        <is>
          <t>20 a 40 L/ha</t>
        </is>
      </c>
      <c r="J2932" s="13" t="inlineStr">
        <is>
          <t>21 dias</t>
        </is>
      </c>
    </row>
    <row r="2933" ht="22" customHeight="1">
      <c r="A2933" s="6" t="inlineStr">
        <is>
          <t>CUL-2929</t>
        </is>
      </c>
      <c r="B2933" s="5" t="n">
        <v>570</v>
      </c>
      <c r="C2933" s="7" t="inlineStr">
        <is>
          <t>Nº 0315</t>
        </is>
      </c>
      <c r="D2933" s="8" t="inlineStr">
        <is>
          <t>2-4 D (AMOSTRA LABORATORIAL)</t>
        </is>
      </c>
      <c r="E2933" s="7" t="inlineStr">
        <is>
          <t>Pulverização Agrícola Conforme Bula</t>
        </is>
      </c>
      <c r="F2933" s="7" t="inlineStr">
        <is>
          <t>Soja (Dessecação Pré-Plantio)</t>
        </is>
      </c>
      <c r="G2933" s="7" t="inlineStr">
        <is>
          <t>Cultura Autorizada na Bula</t>
        </is>
      </c>
      <c r="H2933" s="7" t="inlineStr">
        <is>
          <t>100 a 300 L/ha</t>
        </is>
      </c>
      <c r="I2933" s="7" t="inlineStr">
        <is>
          <t>20 a 40 L/ha</t>
        </is>
      </c>
      <c r="J2933" s="7" t="inlineStr">
        <is>
          <t>N/D</t>
        </is>
      </c>
    </row>
    <row r="2934" ht="22" customHeight="1">
      <c r="A2934" s="12" t="inlineStr">
        <is>
          <t>CUL-2930</t>
        </is>
      </c>
      <c r="B2934" s="11" t="n">
        <v>570</v>
      </c>
      <c r="C2934" s="13" t="inlineStr">
        <is>
          <t>Nº 0315</t>
        </is>
      </c>
      <c r="D2934" s="14" t="inlineStr">
        <is>
          <t>2-4 D (AMOSTRA LABORATORIAL)</t>
        </is>
      </c>
      <c r="E2934" s="13" t="inlineStr">
        <is>
          <t>Pulverização Agrícola Conforme Bula</t>
        </is>
      </c>
      <c r="F2934" s="13" t="inlineStr">
        <is>
          <t>Milho</t>
        </is>
      </c>
      <c r="G2934" s="13" t="inlineStr">
        <is>
          <t>Cultura Autorizada na Bula</t>
        </is>
      </c>
      <c r="H2934" s="13" t="inlineStr">
        <is>
          <t>100 a 300 L/ha</t>
        </is>
      </c>
      <c r="I2934" s="13" t="inlineStr">
        <is>
          <t>20 a 40 L/ha</t>
        </is>
      </c>
      <c r="J2934" s="13" t="inlineStr">
        <is>
          <t>40 dias</t>
        </is>
      </c>
    </row>
    <row r="2935" ht="22" customHeight="1">
      <c r="A2935" s="6" t="inlineStr">
        <is>
          <t>CUL-2931</t>
        </is>
      </c>
      <c r="B2935" s="5" t="n">
        <v>570</v>
      </c>
      <c r="C2935" s="7" t="inlineStr">
        <is>
          <t>Nº 0315</t>
        </is>
      </c>
      <c r="D2935" s="8" t="inlineStr">
        <is>
          <t>2-4 D (AMOSTRA LABORATORIAL)</t>
        </is>
      </c>
      <c r="E2935" s="7" t="inlineStr">
        <is>
          <t>Pulverização Agrícola Conforme Bula</t>
        </is>
      </c>
      <c r="F2935" s="7" t="inlineStr">
        <is>
          <t>Cana-de-açúcar</t>
        </is>
      </c>
      <c r="G2935" s="7" t="inlineStr">
        <is>
          <t>Cultura Autorizada na Bula</t>
        </is>
      </c>
      <c r="H2935" s="7" t="inlineStr">
        <is>
          <t>100 a 300 L/ha</t>
        </is>
      </c>
      <c r="I2935" s="7" t="inlineStr">
        <is>
          <t>20 a 40 L/ha</t>
        </is>
      </c>
      <c r="J2935" s="7" t="inlineStr">
        <is>
          <t>N/D</t>
        </is>
      </c>
    </row>
    <row r="2936" ht="22" customHeight="1">
      <c r="A2936" s="12" t="inlineStr">
        <is>
          <t>CUL-2932</t>
        </is>
      </c>
      <c r="B2936" s="11" t="n">
        <v>570</v>
      </c>
      <c r="C2936" s="13" t="inlineStr">
        <is>
          <t>Nº 0315</t>
        </is>
      </c>
      <c r="D2936" s="14" t="inlineStr">
        <is>
          <t>2-4 D (AMOSTRA LABORATORIAL)</t>
        </is>
      </c>
      <c r="E2936" s="13" t="inlineStr">
        <is>
          <t>Pulverização Agrícola Conforme Bula</t>
        </is>
      </c>
      <c r="F2936" s="13" t="inlineStr">
        <is>
          <t>Trigo</t>
        </is>
      </c>
      <c r="G2936" s="13" t="inlineStr">
        <is>
          <t>Cultura Autorizada na Bula</t>
        </is>
      </c>
      <c r="H2936" s="13" t="inlineStr">
        <is>
          <t>100 a 300 L/ha</t>
        </is>
      </c>
      <c r="I2936" s="13" t="inlineStr">
        <is>
          <t>20 a 40 L/ha</t>
        </is>
      </c>
      <c r="J2936" s="13" t="inlineStr">
        <is>
          <t>45 dias</t>
        </is>
      </c>
    </row>
    <row r="2937" ht="22" customHeight="1">
      <c r="A2937" s="6" t="inlineStr">
        <is>
          <t>CUL-2933</t>
        </is>
      </c>
      <c r="B2937" s="5" t="n">
        <v>570</v>
      </c>
      <c r="C2937" s="7" t="inlineStr">
        <is>
          <t>Nº 0315</t>
        </is>
      </c>
      <c r="D2937" s="8" t="inlineStr">
        <is>
          <t>2-4 D (AMOSTRA LABORATORIAL)</t>
        </is>
      </c>
      <c r="E2937" s="7" t="inlineStr">
        <is>
          <t>Pulverização Agrícola Conforme Bula</t>
        </is>
      </c>
      <c r="F2937" s="7" t="inlineStr">
        <is>
          <t>Pastagens</t>
        </is>
      </c>
      <c r="G2937" s="7" t="inlineStr">
        <is>
          <t>Cultura Autorizada na Bula</t>
        </is>
      </c>
      <c r="H2937" s="7" t="inlineStr">
        <is>
          <t>100 a 300 L/ha</t>
        </is>
      </c>
      <c r="I2937" s="7" t="inlineStr">
        <is>
          <t>20 a 40 L/ha</t>
        </is>
      </c>
      <c r="J2937" s="7" t="inlineStr">
        <is>
          <t>N/D</t>
        </is>
      </c>
    </row>
    <row r="2938" ht="22" customHeight="1">
      <c r="A2938" s="12" t="inlineStr">
        <is>
          <t>CUL-2934</t>
        </is>
      </c>
      <c r="B2938" s="11" t="n">
        <v>571</v>
      </c>
      <c r="C2938" s="13" t="inlineStr">
        <is>
          <t>Nº 10018</t>
        </is>
      </c>
      <c r="D2938" s="14" t="inlineStr">
        <is>
          <t>ATRAZINA</t>
        </is>
      </c>
      <c r="E2938" s="13" t="inlineStr">
        <is>
          <t>Pulverização Agrícola Conforme Bula</t>
        </is>
      </c>
      <c r="F2938" s="13" t="inlineStr">
        <is>
          <t>Milho</t>
        </is>
      </c>
      <c r="G2938" s="13" t="inlineStr">
        <is>
          <t>Cultura Autorizada na Bula</t>
        </is>
      </c>
      <c r="H2938" s="13" t="inlineStr">
        <is>
          <t>100 a 300 L/ha</t>
        </is>
      </c>
      <c r="I2938" s="13" t="inlineStr">
        <is>
          <t>20 a 40 L/ha</t>
        </is>
      </c>
      <c r="J2938" s="13" t="inlineStr">
        <is>
          <t>60 dias</t>
        </is>
      </c>
    </row>
    <row r="2939" ht="22" customHeight="1">
      <c r="A2939" s="6" t="inlineStr">
        <is>
          <t>CUL-2935</t>
        </is>
      </c>
      <c r="B2939" s="5" t="n">
        <v>571</v>
      </c>
      <c r="C2939" s="7" t="inlineStr">
        <is>
          <t>Nº 10018</t>
        </is>
      </c>
      <c r="D2939" s="8" t="inlineStr">
        <is>
          <t>ATRAZINA</t>
        </is>
      </c>
      <c r="E2939" s="7" t="inlineStr">
        <is>
          <t>Pulverização Agrícola Conforme Bula</t>
        </is>
      </c>
      <c r="F2939" s="7" t="inlineStr">
        <is>
          <t>Cana-de-açúcar</t>
        </is>
      </c>
      <c r="G2939" s="7" t="inlineStr">
        <is>
          <t>Cultura Autorizada na Bula</t>
        </is>
      </c>
      <c r="H2939" s="7" t="inlineStr">
        <is>
          <t>100 a 300 L/ha</t>
        </is>
      </c>
      <c r="I2939" s="7" t="inlineStr">
        <is>
          <t>20 a 40 L/ha</t>
        </is>
      </c>
      <c r="J2939" s="7" t="inlineStr">
        <is>
          <t>N/D</t>
        </is>
      </c>
    </row>
    <row r="2940" ht="22" customHeight="1">
      <c r="A2940" s="12" t="inlineStr">
        <is>
          <t>CUL-2936</t>
        </is>
      </c>
      <c r="B2940" s="11" t="n">
        <v>571</v>
      </c>
      <c r="C2940" s="13" t="inlineStr">
        <is>
          <t>Nº 10018</t>
        </is>
      </c>
      <c r="D2940" s="14" t="inlineStr">
        <is>
          <t>ATRAZINA</t>
        </is>
      </c>
      <c r="E2940" s="13" t="inlineStr">
        <is>
          <t>Pulverização Agrícola Conforme Bula</t>
        </is>
      </c>
      <c r="F2940" s="13" t="inlineStr">
        <is>
          <t>Sorgo</t>
        </is>
      </c>
      <c r="G2940" s="13" t="inlineStr">
        <is>
          <t>Cultura Autorizada na Bula</t>
        </is>
      </c>
      <c r="H2940" s="13" t="inlineStr">
        <is>
          <t>100 a 300 L/ha</t>
        </is>
      </c>
      <c r="I2940" s="13" t="inlineStr">
        <is>
          <t>20 a 40 L/ha</t>
        </is>
      </c>
      <c r="J2940" s="13" t="inlineStr">
        <is>
          <t>60 dias</t>
        </is>
      </c>
    </row>
    <row r="2941" ht="22" customHeight="1">
      <c r="A2941" s="6" t="inlineStr">
        <is>
          <t>CUL-2937</t>
        </is>
      </c>
      <c r="B2941" s="5" t="n">
        <v>571</v>
      </c>
      <c r="C2941" s="7" t="inlineStr">
        <is>
          <t>Nº 10018</t>
        </is>
      </c>
      <c r="D2941" s="8" t="inlineStr">
        <is>
          <t>ATRAZINA</t>
        </is>
      </c>
      <c r="E2941" s="7" t="inlineStr">
        <is>
          <t>Pulverização Agrícola Conforme Bula</t>
        </is>
      </c>
      <c r="F2941" s="7" t="inlineStr">
        <is>
          <t>Pinus / Eucalipto</t>
        </is>
      </c>
      <c r="G2941" s="7" t="inlineStr">
        <is>
          <t>Cultura Autorizada na Bula</t>
        </is>
      </c>
      <c r="H2941" s="7" t="inlineStr">
        <is>
          <t>100 a 300 L/ha</t>
        </is>
      </c>
      <c r="I2941" s="7" t="inlineStr">
        <is>
          <t>20 a 40 L/ha</t>
        </is>
      </c>
      <c r="J2941" s="7" t="inlineStr">
        <is>
          <t>U.N.A.</t>
        </is>
      </c>
    </row>
    <row r="2942" ht="22" customHeight="1">
      <c r="A2942" s="12" t="inlineStr">
        <is>
          <t>CUL-2938</t>
        </is>
      </c>
      <c r="B2942" s="11" t="n">
        <v>572</v>
      </c>
      <c r="C2942" s="13" t="inlineStr">
        <is>
          <t>Nº 34723</t>
        </is>
      </c>
      <c r="D2942" s="14" t="inlineStr">
        <is>
          <t>CURATIS</t>
        </is>
      </c>
      <c r="E2942" s="13" t="inlineStr">
        <is>
          <t>Pulverização Agrícola Conforme Bula</t>
        </is>
      </c>
      <c r="F2942" s="13" t="inlineStr">
        <is>
          <t>Soja</t>
        </is>
      </c>
      <c r="G2942" s="13" t="inlineStr">
        <is>
          <t>Cultura Autorizada na Bula</t>
        </is>
      </c>
      <c r="H2942" s="13" t="inlineStr">
        <is>
          <t>100 a 300 L/ha</t>
        </is>
      </c>
      <c r="I2942" s="13" t="inlineStr">
        <is>
          <t>20 a 40 L/ha</t>
        </is>
      </c>
      <c r="J2942" s="13" t="inlineStr">
        <is>
          <t>21 dias</t>
        </is>
      </c>
    </row>
    <row r="2943" ht="22" customHeight="1">
      <c r="A2943" s="6" t="inlineStr">
        <is>
          <t>CUL-2939</t>
        </is>
      </c>
      <c r="B2943" s="5" t="n">
        <v>572</v>
      </c>
      <c r="C2943" s="7" t="inlineStr">
        <is>
          <t>Nº 34723</t>
        </is>
      </c>
      <c r="D2943" s="8" t="inlineStr">
        <is>
          <t>CURATIS</t>
        </is>
      </c>
      <c r="E2943" s="7" t="inlineStr">
        <is>
          <t>Pulverização Agrícola Conforme Bula</t>
        </is>
      </c>
      <c r="F2943" s="7" t="inlineStr">
        <is>
          <t>Algodão</t>
        </is>
      </c>
      <c r="G2943" s="7" t="inlineStr">
        <is>
          <t>Cultura Autorizada na Bula</t>
        </is>
      </c>
      <c r="H2943" s="7" t="inlineStr">
        <is>
          <t>100 a 300 L/ha</t>
        </is>
      </c>
      <c r="I2943" s="7" t="inlineStr">
        <is>
          <t>20 a 40 L/ha</t>
        </is>
      </c>
      <c r="J2943" s="7" t="inlineStr">
        <is>
          <t>21 dias</t>
        </is>
      </c>
    </row>
    <row r="2944" ht="22" customHeight="1">
      <c r="A2944" s="12" t="inlineStr">
        <is>
          <t>CUL-2940</t>
        </is>
      </c>
      <c r="B2944" s="11" t="n">
        <v>572</v>
      </c>
      <c r="C2944" s="13" t="inlineStr">
        <is>
          <t>Nº 34723</t>
        </is>
      </c>
      <c r="D2944" s="14" t="inlineStr">
        <is>
          <t>CURATIS</t>
        </is>
      </c>
      <c r="E2944" s="13" t="inlineStr">
        <is>
          <t>Pulverização Agrícola Conforme Bula</t>
        </is>
      </c>
      <c r="F2944" s="13" t="inlineStr">
        <is>
          <t>Café</t>
        </is>
      </c>
      <c r="G2944" s="13" t="inlineStr">
        <is>
          <t>Cultura Autorizada na Bula</t>
        </is>
      </c>
      <c r="H2944" s="13" t="inlineStr">
        <is>
          <t>100 a 300 L/ha</t>
        </is>
      </c>
      <c r="I2944" s="13" t="inlineStr">
        <is>
          <t>20 a 40 L/ha</t>
        </is>
      </c>
      <c r="J2944" s="13" t="inlineStr">
        <is>
          <t>21 dias</t>
        </is>
      </c>
    </row>
    <row r="2945" ht="22" customHeight="1">
      <c r="A2945" s="6" t="inlineStr">
        <is>
          <t>CUL-2941</t>
        </is>
      </c>
      <c r="B2945" s="5" t="n">
        <v>572</v>
      </c>
      <c r="C2945" s="7" t="inlineStr">
        <is>
          <t>Nº 34723</t>
        </is>
      </c>
      <c r="D2945" s="8" t="inlineStr">
        <is>
          <t>CURATIS</t>
        </is>
      </c>
      <c r="E2945" s="7" t="inlineStr">
        <is>
          <t>Pulverização Agrícola Conforme Bula</t>
        </is>
      </c>
      <c r="F2945" s="7" t="inlineStr">
        <is>
          <t>Feijão</t>
        </is>
      </c>
      <c r="G2945" s="7" t="inlineStr">
        <is>
          <t>Cultura Autorizada na Bula</t>
        </is>
      </c>
      <c r="H2945" s="7" t="inlineStr">
        <is>
          <t>100 a 300 L/ha</t>
        </is>
      </c>
      <c r="I2945" s="7" t="inlineStr">
        <is>
          <t>20 a 40 L/ha</t>
        </is>
      </c>
      <c r="J2945" s="7" t="inlineStr">
        <is>
          <t>14 dias</t>
        </is>
      </c>
    </row>
    <row r="2946" ht="22" customHeight="1">
      <c r="A2946" s="12" t="inlineStr">
        <is>
          <t>CUL-2942</t>
        </is>
      </c>
      <c r="B2946" s="11" t="n">
        <v>572</v>
      </c>
      <c r="C2946" s="13" t="inlineStr">
        <is>
          <t>Nº 34723</t>
        </is>
      </c>
      <c r="D2946" s="14" t="inlineStr">
        <is>
          <t>CURATIS</t>
        </is>
      </c>
      <c r="E2946" s="13" t="inlineStr">
        <is>
          <t>Pulverização Agrícola Conforme Bula</t>
        </is>
      </c>
      <c r="F2946" s="13" t="inlineStr">
        <is>
          <t>Milho</t>
        </is>
      </c>
      <c r="G2946" s="13" t="inlineStr">
        <is>
          <t>Cultura Autorizada na Bula</t>
        </is>
      </c>
      <c r="H2946" s="13" t="inlineStr">
        <is>
          <t>100 a 300 L/ha</t>
        </is>
      </c>
      <c r="I2946" s="13" t="inlineStr">
        <is>
          <t>20 a 40 L/ha</t>
        </is>
      </c>
      <c r="J2946" s="13" t="inlineStr">
        <is>
          <t>21 dias</t>
        </is>
      </c>
    </row>
    <row r="2947" ht="22" customHeight="1">
      <c r="A2947" s="6" t="inlineStr">
        <is>
          <t>CUL-2943</t>
        </is>
      </c>
      <c r="B2947" s="5" t="n">
        <v>572</v>
      </c>
      <c r="C2947" s="7" t="inlineStr">
        <is>
          <t>Nº 34723</t>
        </is>
      </c>
      <c r="D2947" s="8" t="inlineStr">
        <is>
          <t>CURATIS</t>
        </is>
      </c>
      <c r="E2947" s="7" t="inlineStr">
        <is>
          <t>Pulverização Agrícola Conforme Bula</t>
        </is>
      </c>
      <c r="F2947" s="7" t="inlineStr">
        <is>
          <t>Batata</t>
        </is>
      </c>
      <c r="G2947" s="7" t="inlineStr">
        <is>
          <t>Cultura Autorizada na Bula</t>
        </is>
      </c>
      <c r="H2947" s="7" t="inlineStr">
        <is>
          <t>100 a 300 L/ha</t>
        </is>
      </c>
      <c r="I2947" s="7" t="inlineStr">
        <is>
          <t>20 a 40 L/ha</t>
        </is>
      </c>
      <c r="J2947" s="7" t="inlineStr">
        <is>
          <t>7 dias</t>
        </is>
      </c>
    </row>
    <row r="2948" ht="22" customHeight="1">
      <c r="A2948" s="12" t="inlineStr">
        <is>
          <t>CUL-2944</t>
        </is>
      </c>
      <c r="B2948" s="11" t="n">
        <v>572</v>
      </c>
      <c r="C2948" s="13" t="inlineStr">
        <is>
          <t>Nº 34723</t>
        </is>
      </c>
      <c r="D2948" s="14" t="inlineStr">
        <is>
          <t>CURATIS</t>
        </is>
      </c>
      <c r="E2948" s="13" t="inlineStr">
        <is>
          <t>Pulverização Agrícola Conforme Bula</t>
        </is>
      </c>
      <c r="F2948" s="13" t="inlineStr">
        <is>
          <t>Tomate</t>
        </is>
      </c>
      <c r="G2948" s="13" t="inlineStr">
        <is>
          <t>Cultura Autorizada na Bula</t>
        </is>
      </c>
      <c r="H2948" s="13" t="inlineStr">
        <is>
          <t>100 a 300 L/ha</t>
        </is>
      </c>
      <c r="I2948" s="13" t="inlineStr">
        <is>
          <t>20 a 40 L/ha</t>
        </is>
      </c>
      <c r="J2948" s="13" t="inlineStr">
        <is>
          <t>7 dias</t>
        </is>
      </c>
    </row>
    <row r="2949" ht="22" customHeight="1">
      <c r="A2949" s="6" t="inlineStr">
        <is>
          <t>CUL-2945</t>
        </is>
      </c>
      <c r="B2949" s="5" t="n">
        <v>572</v>
      </c>
      <c r="C2949" s="7" t="inlineStr">
        <is>
          <t>Nº 34723</t>
        </is>
      </c>
      <c r="D2949" s="8" t="inlineStr">
        <is>
          <t>CURATIS</t>
        </is>
      </c>
      <c r="E2949" s="7" t="inlineStr">
        <is>
          <t>Pulverização Agrícola Conforme Bula</t>
        </is>
      </c>
      <c r="F2949" s="7" t="inlineStr">
        <is>
          <t>Trigo</t>
        </is>
      </c>
      <c r="G2949" s="7" t="inlineStr">
        <is>
          <t>Cultura Autorizada na Bula</t>
        </is>
      </c>
      <c r="H2949" s="7" t="inlineStr">
        <is>
          <t>100 a 300 L/ha</t>
        </is>
      </c>
      <c r="I2949" s="7" t="inlineStr">
        <is>
          <t>20 a 40 L/ha</t>
        </is>
      </c>
      <c r="J2949" s="7" t="inlineStr">
        <is>
          <t>21 dias</t>
        </is>
      </c>
    </row>
    <row r="2950" ht="22" customHeight="1">
      <c r="A2950" s="12" t="inlineStr">
        <is>
          <t>CUL-2946</t>
        </is>
      </c>
      <c r="B2950" s="11" t="n">
        <v>573</v>
      </c>
      <c r="C2950" s="13" t="inlineStr">
        <is>
          <t>Nº 13716</t>
        </is>
      </c>
      <c r="D2950" s="14" t="inlineStr">
        <is>
          <t>EFICAX</t>
        </is>
      </c>
      <c r="E2950" s="13" t="inlineStr">
        <is>
          <t>Pulverização Agrícola Conforme Bula</t>
        </is>
      </c>
      <c r="F2950" s="13" t="inlineStr">
        <is>
          <t>Soja</t>
        </is>
      </c>
      <c r="G2950" s="13" t="inlineStr">
        <is>
          <t>Cultura Autorizada na Bula</t>
        </is>
      </c>
      <c r="H2950" s="13" t="inlineStr">
        <is>
          <t>100 a 300 L/ha</t>
        </is>
      </c>
      <c r="I2950" s="13" t="inlineStr">
        <is>
          <t>20 a 40 L/ha</t>
        </is>
      </c>
      <c r="J2950" s="13" t="inlineStr">
        <is>
          <t>14 dias</t>
        </is>
      </c>
    </row>
    <row r="2951" ht="22" customHeight="1">
      <c r="A2951" s="6" t="inlineStr">
        <is>
          <t>CUL-2947</t>
        </is>
      </c>
      <c r="B2951" s="5" t="n">
        <v>573</v>
      </c>
      <c r="C2951" s="7" t="inlineStr">
        <is>
          <t>Nº 13716</t>
        </is>
      </c>
      <c r="D2951" s="8" t="inlineStr">
        <is>
          <t>EFICAX</t>
        </is>
      </c>
      <c r="E2951" s="7" t="inlineStr">
        <is>
          <t>Pulverização Agrícola Conforme Bula</t>
        </is>
      </c>
      <c r="F2951" s="7" t="inlineStr">
        <is>
          <t>Milho</t>
        </is>
      </c>
      <c r="G2951" s="7" t="inlineStr">
        <is>
          <t>Cultura Autorizada na Bula</t>
        </is>
      </c>
      <c r="H2951" s="7" t="inlineStr">
        <is>
          <t>100 a 300 L/ha</t>
        </is>
      </c>
      <c r="I2951" s="7" t="inlineStr">
        <is>
          <t>20 a 40 L/ha</t>
        </is>
      </c>
      <c r="J2951" s="7" t="inlineStr">
        <is>
          <t>14 dias</t>
        </is>
      </c>
    </row>
    <row r="2952" ht="22" customHeight="1">
      <c r="A2952" s="12" t="inlineStr">
        <is>
          <t>CUL-2948</t>
        </is>
      </c>
      <c r="B2952" s="11" t="n">
        <v>573</v>
      </c>
      <c r="C2952" s="13" t="inlineStr">
        <is>
          <t>Nº 13716</t>
        </is>
      </c>
      <c r="D2952" s="14" t="inlineStr">
        <is>
          <t>EFICAX</t>
        </is>
      </c>
      <c r="E2952" s="13" t="inlineStr">
        <is>
          <t>Pulverização Agrícola Conforme Bula</t>
        </is>
      </c>
      <c r="F2952" s="13" t="inlineStr">
        <is>
          <t>Algodão</t>
        </is>
      </c>
      <c r="G2952" s="13" t="inlineStr">
        <is>
          <t>Cultura Autorizada na Bula</t>
        </is>
      </c>
      <c r="H2952" s="13" t="inlineStr">
        <is>
          <t>100 a 300 L/ha</t>
        </is>
      </c>
      <c r="I2952" s="13" t="inlineStr">
        <is>
          <t>20 a 40 L/ha</t>
        </is>
      </c>
      <c r="J2952" s="13" t="inlineStr">
        <is>
          <t>14 dias</t>
        </is>
      </c>
    </row>
    <row r="2953" ht="22" customHeight="1">
      <c r="A2953" s="6" t="inlineStr">
        <is>
          <t>CUL-2949</t>
        </is>
      </c>
      <c r="B2953" s="5" t="n">
        <v>573</v>
      </c>
      <c r="C2953" s="7" t="inlineStr">
        <is>
          <t>Nº 13716</t>
        </is>
      </c>
      <c r="D2953" s="8" t="inlineStr">
        <is>
          <t>EFICAX</t>
        </is>
      </c>
      <c r="E2953" s="7" t="inlineStr">
        <is>
          <t>Pulverização Agrícola Conforme Bula</t>
        </is>
      </c>
      <c r="F2953" s="7" t="inlineStr">
        <is>
          <t>Trigo</t>
        </is>
      </c>
      <c r="G2953" s="7" t="inlineStr">
        <is>
          <t>Cultura Autorizada na Bula</t>
        </is>
      </c>
      <c r="H2953" s="7" t="inlineStr">
        <is>
          <t>100 a 300 L/ha</t>
        </is>
      </c>
      <c r="I2953" s="7" t="inlineStr">
        <is>
          <t>20 a 40 L/ha</t>
        </is>
      </c>
      <c r="J2953" s="7" t="inlineStr">
        <is>
          <t>14 dias</t>
        </is>
      </c>
    </row>
    <row r="2954" ht="22" customHeight="1">
      <c r="A2954" s="12" t="inlineStr">
        <is>
          <t>CUL-2950</t>
        </is>
      </c>
      <c r="B2954" s="11" t="n">
        <v>573</v>
      </c>
      <c r="C2954" s="13" t="inlineStr">
        <is>
          <t>Nº 13716</t>
        </is>
      </c>
      <c r="D2954" s="14" t="inlineStr">
        <is>
          <t>EFICAX</t>
        </is>
      </c>
      <c r="E2954" s="13" t="inlineStr">
        <is>
          <t>Pulverização Agrícola Conforme Bula</t>
        </is>
      </c>
      <c r="F2954" s="13" t="inlineStr">
        <is>
          <t>Batata</t>
        </is>
      </c>
      <c r="G2954" s="13" t="inlineStr">
        <is>
          <t>Cultura Autorizada na Bula</t>
        </is>
      </c>
      <c r="H2954" s="13" t="inlineStr">
        <is>
          <t>100 a 300 L/ha</t>
        </is>
      </c>
      <c r="I2954" s="13" t="inlineStr">
        <is>
          <t>20 a 40 L/ha</t>
        </is>
      </c>
      <c r="J2954" s="13" t="inlineStr">
        <is>
          <t>14 dias</t>
        </is>
      </c>
    </row>
    <row r="2955" ht="22" customHeight="1">
      <c r="A2955" s="6" t="inlineStr">
        <is>
          <t>CUL-2951</t>
        </is>
      </c>
      <c r="B2955" s="5" t="n">
        <v>573</v>
      </c>
      <c r="C2955" s="7" t="inlineStr">
        <is>
          <t>Nº 13716</t>
        </is>
      </c>
      <c r="D2955" s="8" t="inlineStr">
        <is>
          <t>EFICAX</t>
        </is>
      </c>
      <c r="E2955" s="7" t="inlineStr">
        <is>
          <t>Pulverização Agrícola Conforme Bula</t>
        </is>
      </c>
      <c r="F2955" s="7" t="inlineStr">
        <is>
          <t>Tomate</t>
        </is>
      </c>
      <c r="G2955" s="7" t="inlineStr">
        <is>
          <t>Cultura Autorizada na Bula</t>
        </is>
      </c>
      <c r="H2955" s="7" t="inlineStr">
        <is>
          <t>100 a 300 L/ha</t>
        </is>
      </c>
      <c r="I2955" s="7" t="inlineStr">
        <is>
          <t>20 a 40 L/ha</t>
        </is>
      </c>
      <c r="J2955" s="7" t="inlineStr">
        <is>
          <t>3 dias</t>
        </is>
      </c>
    </row>
    <row r="2956" ht="22" customHeight="1">
      <c r="A2956" s="12" t="inlineStr">
        <is>
          <t>CUL-2952</t>
        </is>
      </c>
      <c r="B2956" s="11" t="n">
        <v>574</v>
      </c>
      <c r="C2956" s="13" t="inlineStr">
        <is>
          <t>Nº 17921</t>
        </is>
      </c>
      <c r="D2956" s="14" t="inlineStr">
        <is>
          <t>TIOFANATO</t>
        </is>
      </c>
      <c r="E2956" s="13" t="inlineStr">
        <is>
          <t>Pulverização Agrícola Conforme Bula</t>
        </is>
      </c>
      <c r="F2956" s="13" t="inlineStr">
        <is>
          <t>Soja</t>
        </is>
      </c>
      <c r="G2956" s="13" t="inlineStr">
        <is>
          <t>Cultura Autorizada na Bula</t>
        </is>
      </c>
      <c r="H2956" s="13" t="inlineStr">
        <is>
          <t>100 a 300 L/ha</t>
        </is>
      </c>
      <c r="I2956" s="13" t="inlineStr">
        <is>
          <t>20 a 40 L/ha</t>
        </is>
      </c>
      <c r="J2956" s="13" t="inlineStr">
        <is>
          <t>28 dias</t>
        </is>
      </c>
    </row>
    <row r="2957" ht="22" customHeight="1">
      <c r="A2957" s="6" t="inlineStr">
        <is>
          <t>CUL-2953</t>
        </is>
      </c>
      <c r="B2957" s="5" t="n">
        <v>574</v>
      </c>
      <c r="C2957" s="7" t="inlineStr">
        <is>
          <t>Nº 17921</t>
        </is>
      </c>
      <c r="D2957" s="8" t="inlineStr">
        <is>
          <t>TIOFANATO</t>
        </is>
      </c>
      <c r="E2957" s="7" t="inlineStr">
        <is>
          <t>Pulverização Agrícola Conforme Bula</t>
        </is>
      </c>
      <c r="F2957" s="7" t="inlineStr">
        <is>
          <t>Feijão</t>
        </is>
      </c>
      <c r="G2957" s="7" t="inlineStr">
        <is>
          <t>Cultura Autorizada na Bula</t>
        </is>
      </c>
      <c r="H2957" s="7" t="inlineStr">
        <is>
          <t>100 a 300 L/ha</t>
        </is>
      </c>
      <c r="I2957" s="7" t="inlineStr">
        <is>
          <t>20 a 40 L/ha</t>
        </is>
      </c>
      <c r="J2957" s="7" t="inlineStr">
        <is>
          <t>14 dias</t>
        </is>
      </c>
    </row>
    <row r="2958" ht="22" customHeight="1">
      <c r="A2958" s="12" t="inlineStr">
        <is>
          <t>CUL-2954</t>
        </is>
      </c>
      <c r="B2958" s="11" t="n">
        <v>574</v>
      </c>
      <c r="C2958" s="13" t="inlineStr">
        <is>
          <t>Nº 17921</t>
        </is>
      </c>
      <c r="D2958" s="14" t="inlineStr">
        <is>
          <t>TIOFANATO</t>
        </is>
      </c>
      <c r="E2958" s="13" t="inlineStr">
        <is>
          <t>Pulverização Agrícola Conforme Bula</t>
        </is>
      </c>
      <c r="F2958" s="13" t="inlineStr">
        <is>
          <t>Algodão</t>
        </is>
      </c>
      <c r="G2958" s="13" t="inlineStr">
        <is>
          <t>Cultura Autorizada na Bula</t>
        </is>
      </c>
      <c r="H2958" s="13" t="inlineStr">
        <is>
          <t>100 a 300 L/ha</t>
        </is>
      </c>
      <c r="I2958" s="13" t="inlineStr">
        <is>
          <t>20 a 40 L/ha</t>
        </is>
      </c>
      <c r="J2958" s="13" t="inlineStr">
        <is>
          <t>28 dias</t>
        </is>
      </c>
    </row>
    <row r="2959" ht="22" customHeight="1">
      <c r="A2959" s="6" t="inlineStr">
        <is>
          <t>CUL-2955</t>
        </is>
      </c>
      <c r="B2959" s="5" t="n">
        <v>574</v>
      </c>
      <c r="C2959" s="7" t="inlineStr">
        <is>
          <t>Nº 17921</t>
        </is>
      </c>
      <c r="D2959" s="8" t="inlineStr">
        <is>
          <t>TIOFANATO</t>
        </is>
      </c>
      <c r="E2959" s="7" t="inlineStr">
        <is>
          <t>Pulverização Agrícola Conforme Bula</t>
        </is>
      </c>
      <c r="F2959" s="7" t="inlineStr">
        <is>
          <t>Citros</t>
        </is>
      </c>
      <c r="G2959" s="7" t="inlineStr">
        <is>
          <t>Cultura Autorizada na Bula</t>
        </is>
      </c>
      <c r="H2959" s="7" t="inlineStr">
        <is>
          <t>100 a 300 L/ha</t>
        </is>
      </c>
      <c r="I2959" s="7" t="inlineStr">
        <is>
          <t>20 a 40 L/ha</t>
        </is>
      </c>
      <c r="J2959" s="7" t="inlineStr">
        <is>
          <t>14 dias</t>
        </is>
      </c>
    </row>
    <row r="2960" ht="22" customHeight="1">
      <c r="A2960" s="12" t="inlineStr">
        <is>
          <t>CUL-2956</t>
        </is>
      </c>
      <c r="B2960" s="11" t="n">
        <v>574</v>
      </c>
      <c r="C2960" s="13" t="inlineStr">
        <is>
          <t>Nº 17921</t>
        </is>
      </c>
      <c r="D2960" s="14" t="inlineStr">
        <is>
          <t>TIOFANATO</t>
        </is>
      </c>
      <c r="E2960" s="13" t="inlineStr">
        <is>
          <t>Pulverização Agrícola Conforme Bula</t>
        </is>
      </c>
      <c r="F2960" s="13" t="inlineStr">
        <is>
          <t>Café</t>
        </is>
      </c>
      <c r="G2960" s="13" t="inlineStr">
        <is>
          <t>Cultura Autorizada na Bula</t>
        </is>
      </c>
      <c r="H2960" s="13" t="inlineStr">
        <is>
          <t>100 a 300 L/ha</t>
        </is>
      </c>
      <c r="I2960" s="13" t="inlineStr">
        <is>
          <t>20 a 40 L/ha</t>
        </is>
      </c>
      <c r="J2960" s="13" t="inlineStr">
        <is>
          <t>21 dias</t>
        </is>
      </c>
    </row>
    <row r="2961" ht="22" customHeight="1">
      <c r="A2961" s="6" t="inlineStr">
        <is>
          <t>CUL-2957</t>
        </is>
      </c>
      <c r="B2961" s="5" t="n">
        <v>574</v>
      </c>
      <c r="C2961" s="7" t="inlineStr">
        <is>
          <t>Nº 17921</t>
        </is>
      </c>
      <c r="D2961" s="8" t="inlineStr">
        <is>
          <t>TIOFANATO</t>
        </is>
      </c>
      <c r="E2961" s="7" t="inlineStr">
        <is>
          <t>Pulverização Agrícola Conforme Bula</t>
        </is>
      </c>
      <c r="F2961" s="7" t="inlineStr">
        <is>
          <t>Trigo</t>
        </is>
      </c>
      <c r="G2961" s="7" t="inlineStr">
        <is>
          <t>Cultura Autorizada na Bula</t>
        </is>
      </c>
      <c r="H2961" s="7" t="inlineStr">
        <is>
          <t>100 a 300 L/ha</t>
        </is>
      </c>
      <c r="I2961" s="7" t="inlineStr">
        <is>
          <t>20 a 40 L/ha</t>
        </is>
      </c>
      <c r="J2961" s="7" t="inlineStr">
        <is>
          <t>35 dias</t>
        </is>
      </c>
    </row>
    <row r="2962" ht="22" customHeight="1">
      <c r="A2962" s="12" t="inlineStr">
        <is>
          <t>CUL-2958</t>
        </is>
      </c>
      <c r="B2962" s="11" t="n">
        <v>575</v>
      </c>
      <c r="C2962" s="13" t="inlineStr">
        <is>
          <t>SIPEAGRO (UF-XXXXX)</t>
        </is>
      </c>
      <c r="D2962" s="14" t="inlineStr">
        <is>
          <t>NEU</t>
        </is>
      </c>
      <c r="E2962" s="13" t="inlineStr">
        <is>
          <t>Adubação de Solo / Foliar</t>
        </is>
      </c>
      <c r="F2962" s="13" t="inlineStr">
        <is>
          <t>Soja</t>
        </is>
      </c>
      <c r="G2962" s="13" t="inlineStr">
        <is>
          <t>Cultura Autorizada na Bula</t>
        </is>
      </c>
      <c r="H2962" s="13" t="inlineStr">
        <is>
          <t>100 a 300 L/ha</t>
        </is>
      </c>
      <c r="I2962" s="13" t="inlineStr">
        <is>
          <t>20 a 40 L/ha</t>
        </is>
      </c>
      <c r="J2962" s="13" t="inlineStr">
        <is>
          <t>Isento</t>
        </is>
      </c>
    </row>
    <row r="2963" ht="22" customHeight="1">
      <c r="A2963" s="6" t="inlineStr">
        <is>
          <t>CUL-2959</t>
        </is>
      </c>
      <c r="B2963" s="5" t="n">
        <v>575</v>
      </c>
      <c r="C2963" s="7" t="inlineStr">
        <is>
          <t>SIPEAGRO (UF-XXXXX)</t>
        </is>
      </c>
      <c r="D2963" s="8" t="inlineStr">
        <is>
          <t>NEU</t>
        </is>
      </c>
      <c r="E2963" s="7" t="inlineStr">
        <is>
          <t>Adubação de Solo / Foliar</t>
        </is>
      </c>
      <c r="F2963" s="7" t="inlineStr">
        <is>
          <t>Milho</t>
        </is>
      </c>
      <c r="G2963" s="7" t="inlineStr">
        <is>
          <t>Cultura Autorizada na Bula</t>
        </is>
      </c>
      <c r="H2963" s="7" t="inlineStr">
        <is>
          <t>100 a 300 L/ha</t>
        </is>
      </c>
      <c r="I2963" s="7" t="inlineStr">
        <is>
          <t>20 a 40 L/ha</t>
        </is>
      </c>
      <c r="J2963" s="7" t="inlineStr">
        <is>
          <t>Isento</t>
        </is>
      </c>
    </row>
    <row r="2964" ht="22" customHeight="1">
      <c r="A2964" s="12" t="inlineStr">
        <is>
          <t>CUL-2960</t>
        </is>
      </c>
      <c r="B2964" s="11" t="n">
        <v>575</v>
      </c>
      <c r="C2964" s="13" t="inlineStr">
        <is>
          <t>SIPEAGRO (UF-XXXXX)</t>
        </is>
      </c>
      <c r="D2964" s="14" t="inlineStr">
        <is>
          <t>NEU</t>
        </is>
      </c>
      <c r="E2964" s="13" t="inlineStr">
        <is>
          <t>Adubação de Solo / Foliar</t>
        </is>
      </c>
      <c r="F2964" s="13" t="inlineStr">
        <is>
          <t>Algodão</t>
        </is>
      </c>
      <c r="G2964" s="13" t="inlineStr">
        <is>
          <t>Cultura Autorizada na Bula</t>
        </is>
      </c>
      <c r="H2964" s="13" t="inlineStr">
        <is>
          <t>100 a 300 L/ha</t>
        </is>
      </c>
      <c r="I2964" s="13" t="inlineStr">
        <is>
          <t>20 a 40 L/ha</t>
        </is>
      </c>
      <c r="J2964" s="13" t="inlineStr">
        <is>
          <t>Isento</t>
        </is>
      </c>
    </row>
    <row r="2965" ht="22" customHeight="1">
      <c r="A2965" s="6" t="inlineStr">
        <is>
          <t>CUL-2961</t>
        </is>
      </c>
      <c r="B2965" s="5" t="n">
        <v>575</v>
      </c>
      <c r="C2965" s="7" t="inlineStr">
        <is>
          <t>SIPEAGRO (UF-XXXXX)</t>
        </is>
      </c>
      <c r="D2965" s="8" t="inlineStr">
        <is>
          <t>NEU</t>
        </is>
      </c>
      <c r="E2965" s="7" t="inlineStr">
        <is>
          <t>Adubação de Solo / Foliar</t>
        </is>
      </c>
      <c r="F2965" s="7" t="inlineStr">
        <is>
          <t>Cana-de-açúcar</t>
        </is>
      </c>
      <c r="G2965" s="7" t="inlineStr">
        <is>
          <t>Cultura Autorizada na Bula</t>
        </is>
      </c>
      <c r="H2965" s="7" t="inlineStr">
        <is>
          <t>100 a 300 L/ha</t>
        </is>
      </c>
      <c r="I2965" s="7" t="inlineStr">
        <is>
          <t>20 a 40 L/ha</t>
        </is>
      </c>
      <c r="J2965" s="7" t="inlineStr">
        <is>
          <t>Isento</t>
        </is>
      </c>
    </row>
    <row r="2966" ht="22" customHeight="1">
      <c r="A2966" s="12" t="inlineStr">
        <is>
          <t>CUL-2962</t>
        </is>
      </c>
      <c r="B2966" s="11" t="n">
        <v>575</v>
      </c>
      <c r="C2966" s="13" t="inlineStr">
        <is>
          <t>SIPEAGRO (UF-XXXXX)</t>
        </is>
      </c>
      <c r="D2966" s="14" t="inlineStr">
        <is>
          <t>NEU</t>
        </is>
      </c>
      <c r="E2966" s="13" t="inlineStr">
        <is>
          <t>Adubação de Solo / Foliar</t>
        </is>
      </c>
      <c r="F2966" s="13" t="inlineStr">
        <is>
          <t>Café</t>
        </is>
      </c>
      <c r="G2966" s="13" t="inlineStr">
        <is>
          <t>Cultura Autorizada na Bula</t>
        </is>
      </c>
      <c r="H2966" s="13" t="inlineStr">
        <is>
          <t>100 a 300 L/ha</t>
        </is>
      </c>
      <c r="I2966" s="13" t="inlineStr">
        <is>
          <t>20 a 40 L/ha</t>
        </is>
      </c>
      <c r="J2966" s="13" t="inlineStr">
        <is>
          <t>Isento</t>
        </is>
      </c>
    </row>
    <row r="2967" ht="22" customHeight="1">
      <c r="A2967" s="6" t="inlineStr">
        <is>
          <t>CUL-2963</t>
        </is>
      </c>
      <c r="B2967" s="5" t="n">
        <v>576</v>
      </c>
      <c r="C2967" s="7" t="inlineStr">
        <is>
          <t>Nº 11216</t>
        </is>
      </c>
      <c r="D2967" s="8" t="inlineStr">
        <is>
          <t>ATIVUM (TM) EC</t>
        </is>
      </c>
      <c r="E2967" s="7" t="inlineStr">
        <is>
          <t>Pulverização Agrícola Conforme Bula</t>
        </is>
      </c>
      <c r="F2967" s="7" t="inlineStr">
        <is>
          <t>Soja</t>
        </is>
      </c>
      <c r="G2967" s="7" t="inlineStr">
        <is>
          <t>Cultura Autorizada na Bula</t>
        </is>
      </c>
      <c r="H2967" s="7" t="inlineStr">
        <is>
          <t>100 a 300 L/ha</t>
        </is>
      </c>
      <c r="I2967" s="7" t="inlineStr">
        <is>
          <t>20 a 40 L/ha</t>
        </is>
      </c>
      <c r="J2967" s="7" t="inlineStr">
        <is>
          <t>30 dias</t>
        </is>
      </c>
    </row>
    <row r="2968" ht="22" customHeight="1">
      <c r="A2968" s="12" t="inlineStr">
        <is>
          <t>CUL-2964</t>
        </is>
      </c>
      <c r="B2968" s="11" t="n">
        <v>576</v>
      </c>
      <c r="C2968" s="13" t="inlineStr">
        <is>
          <t>Nº 11216</t>
        </is>
      </c>
      <c r="D2968" s="14" t="inlineStr">
        <is>
          <t>ATIVUM (TM) EC</t>
        </is>
      </c>
      <c r="E2968" s="13" t="inlineStr">
        <is>
          <t>Pulverização Agrícola Conforme Bula</t>
        </is>
      </c>
      <c r="F2968" s="13" t="inlineStr">
        <is>
          <t>Milho</t>
        </is>
      </c>
      <c r="G2968" s="13" t="inlineStr">
        <is>
          <t>Cultura Autorizada na Bula</t>
        </is>
      </c>
      <c r="H2968" s="13" t="inlineStr">
        <is>
          <t>100 a 300 L/ha</t>
        </is>
      </c>
      <c r="I2968" s="13" t="inlineStr">
        <is>
          <t>20 a 40 L/ha</t>
        </is>
      </c>
      <c r="J2968" s="13" t="inlineStr">
        <is>
          <t>30 dias</t>
        </is>
      </c>
    </row>
    <row r="2969" ht="22" customHeight="1">
      <c r="A2969" s="6" t="inlineStr">
        <is>
          <t>CUL-2965</t>
        </is>
      </c>
      <c r="B2969" s="5" t="n">
        <v>576</v>
      </c>
      <c r="C2969" s="7" t="inlineStr">
        <is>
          <t>Nº 11216</t>
        </is>
      </c>
      <c r="D2969" s="8" t="inlineStr">
        <is>
          <t>ATIVUM (TM) EC</t>
        </is>
      </c>
      <c r="E2969" s="7" t="inlineStr">
        <is>
          <t>Pulverização Agrícola Conforme Bula</t>
        </is>
      </c>
      <c r="F2969" s="7" t="inlineStr">
        <is>
          <t>Algodão</t>
        </is>
      </c>
      <c r="G2969" s="7" t="inlineStr">
        <is>
          <t>Cultura Autorizada na Bula</t>
        </is>
      </c>
      <c r="H2969" s="7" t="inlineStr">
        <is>
          <t>100 a 300 L/ha</t>
        </is>
      </c>
      <c r="I2969" s="7" t="inlineStr">
        <is>
          <t>20 a 40 L/ha</t>
        </is>
      </c>
      <c r="J2969" s="7" t="inlineStr">
        <is>
          <t>30 dias</t>
        </is>
      </c>
    </row>
    <row r="2970" ht="22" customHeight="1">
      <c r="A2970" s="12" t="inlineStr">
        <is>
          <t>CUL-2966</t>
        </is>
      </c>
      <c r="B2970" s="11" t="n">
        <v>576</v>
      </c>
      <c r="C2970" s="13" t="inlineStr">
        <is>
          <t>Nº 11216</t>
        </is>
      </c>
      <c r="D2970" s="14" t="inlineStr">
        <is>
          <t>ATIVUM (TM) EC</t>
        </is>
      </c>
      <c r="E2970" s="13" t="inlineStr">
        <is>
          <t>Pulverização Agrícola Conforme Bula</t>
        </is>
      </c>
      <c r="F2970" s="13" t="inlineStr">
        <is>
          <t>Trigo</t>
        </is>
      </c>
      <c r="G2970" s="13" t="inlineStr">
        <is>
          <t>Cultura Autorizada na Bula</t>
        </is>
      </c>
      <c r="H2970" s="13" t="inlineStr">
        <is>
          <t>100 a 300 L/ha</t>
        </is>
      </c>
      <c r="I2970" s="13" t="inlineStr">
        <is>
          <t>20 a 40 L/ha</t>
        </is>
      </c>
      <c r="J2970" s="13" t="inlineStr">
        <is>
          <t>30 dias</t>
        </is>
      </c>
    </row>
    <row r="2971" ht="22" customHeight="1">
      <c r="A2971" s="6" t="inlineStr">
        <is>
          <t>CUL-2967</t>
        </is>
      </c>
      <c r="B2971" s="5" t="n">
        <v>576</v>
      </c>
      <c r="C2971" s="7" t="inlineStr">
        <is>
          <t>Nº 11216</t>
        </is>
      </c>
      <c r="D2971" s="8" t="inlineStr">
        <is>
          <t>ATIVUM (TM) EC</t>
        </is>
      </c>
      <c r="E2971" s="7" t="inlineStr">
        <is>
          <t>Pulverização Agrícola Conforme Bula</t>
        </is>
      </c>
      <c r="F2971" s="7" t="inlineStr">
        <is>
          <t>Feijão</t>
        </is>
      </c>
      <c r="G2971" s="7" t="inlineStr">
        <is>
          <t>Cultura Autorizada na Bula</t>
        </is>
      </c>
      <c r="H2971" s="7" t="inlineStr">
        <is>
          <t>100 a 300 L/ha</t>
        </is>
      </c>
      <c r="I2971" s="7" t="inlineStr">
        <is>
          <t>20 a 40 L/ha</t>
        </is>
      </c>
      <c r="J2971" s="7" t="inlineStr">
        <is>
          <t>14 dias</t>
        </is>
      </c>
    </row>
    <row r="2972" ht="22" customHeight="1">
      <c r="A2972" s="12" t="inlineStr">
        <is>
          <t>CUL-2968</t>
        </is>
      </c>
      <c r="B2972" s="11" t="n">
        <v>577</v>
      </c>
      <c r="C2972" s="13" t="inlineStr">
        <is>
          <t>Nº 8319</t>
        </is>
      </c>
      <c r="D2972" s="14" t="inlineStr">
        <is>
          <t>DIURON</t>
        </is>
      </c>
      <c r="E2972" s="13" t="inlineStr">
        <is>
          <t>Pulverização Agrícola Conforme Bula</t>
        </is>
      </c>
      <c r="F2972" s="13" t="inlineStr">
        <is>
          <t>Soja</t>
        </is>
      </c>
      <c r="G2972" s="13" t="inlineStr">
        <is>
          <t>Cultura Autorizada na Bula</t>
        </is>
      </c>
      <c r="H2972" s="13" t="inlineStr">
        <is>
          <t>100 a 300 L/ha</t>
        </is>
      </c>
      <c r="I2972" s="13" t="inlineStr">
        <is>
          <t>20 a 40 L/ha</t>
        </is>
      </c>
      <c r="J2972" s="13" t="inlineStr">
        <is>
          <t>60 dias</t>
        </is>
      </c>
    </row>
    <row r="2973" ht="22" customHeight="1">
      <c r="A2973" s="6" t="inlineStr">
        <is>
          <t>CUL-2969</t>
        </is>
      </c>
      <c r="B2973" s="5" t="n">
        <v>577</v>
      </c>
      <c r="C2973" s="7" t="inlineStr">
        <is>
          <t>Nº 8319</t>
        </is>
      </c>
      <c r="D2973" s="8" t="inlineStr">
        <is>
          <t>DIURON</t>
        </is>
      </c>
      <c r="E2973" s="7" t="inlineStr">
        <is>
          <t>Pulverização Agrícola Conforme Bula</t>
        </is>
      </c>
      <c r="F2973" s="7" t="inlineStr">
        <is>
          <t>Milho</t>
        </is>
      </c>
      <c r="G2973" s="7" t="inlineStr">
        <is>
          <t>Cultura Autorizada na Bula</t>
        </is>
      </c>
      <c r="H2973" s="7" t="inlineStr">
        <is>
          <t>100 a 300 L/ha</t>
        </is>
      </c>
      <c r="I2973" s="7" t="inlineStr">
        <is>
          <t>20 a 40 L/ha</t>
        </is>
      </c>
      <c r="J2973" s="7" t="inlineStr">
        <is>
          <t>45 dias</t>
        </is>
      </c>
    </row>
    <row r="2974" ht="22" customHeight="1">
      <c r="A2974" s="12" t="inlineStr">
        <is>
          <t>CUL-2970</t>
        </is>
      </c>
      <c r="B2974" s="11" t="n">
        <v>577</v>
      </c>
      <c r="C2974" s="13" t="inlineStr">
        <is>
          <t>Nº 8319</t>
        </is>
      </c>
      <c r="D2974" s="14" t="inlineStr">
        <is>
          <t>DIURON</t>
        </is>
      </c>
      <c r="E2974" s="13" t="inlineStr">
        <is>
          <t>Pulverização Agrícola Conforme Bula</t>
        </is>
      </c>
      <c r="F2974" s="13" t="inlineStr">
        <is>
          <t>Algodão</t>
        </is>
      </c>
      <c r="G2974" s="13" t="inlineStr">
        <is>
          <t>Cultura Autorizada na Bula</t>
        </is>
      </c>
      <c r="H2974" s="13" t="inlineStr">
        <is>
          <t>100 a 300 L/ha</t>
        </is>
      </c>
      <c r="I2974" s="13" t="inlineStr">
        <is>
          <t>20 a 40 L/ha</t>
        </is>
      </c>
      <c r="J2974" s="13" t="inlineStr">
        <is>
          <t>60 dias</t>
        </is>
      </c>
    </row>
    <row r="2975" ht="22" customHeight="1">
      <c r="A2975" s="6" t="inlineStr">
        <is>
          <t>CUL-2971</t>
        </is>
      </c>
      <c r="B2975" s="5" t="n">
        <v>577</v>
      </c>
      <c r="C2975" s="7" t="inlineStr">
        <is>
          <t>Nº 8319</t>
        </is>
      </c>
      <c r="D2975" s="8" t="inlineStr">
        <is>
          <t>DIURON</t>
        </is>
      </c>
      <c r="E2975" s="7" t="inlineStr">
        <is>
          <t>Pulverização Agrícola Conforme Bula</t>
        </is>
      </c>
      <c r="F2975" s="7" t="inlineStr">
        <is>
          <t>Cana-de-açúcar</t>
        </is>
      </c>
      <c r="G2975" s="7" t="inlineStr">
        <is>
          <t>Cultura Autorizada na Bula</t>
        </is>
      </c>
      <c r="H2975" s="7" t="inlineStr">
        <is>
          <t>100 a 300 L/ha</t>
        </is>
      </c>
      <c r="I2975" s="7" t="inlineStr">
        <is>
          <t>20 a 40 L/ha</t>
        </is>
      </c>
      <c r="J2975" s="7" t="inlineStr">
        <is>
          <t>90 dias</t>
        </is>
      </c>
    </row>
    <row r="2976" ht="22" customHeight="1">
      <c r="A2976" s="12" t="inlineStr">
        <is>
          <t>CUL-2972</t>
        </is>
      </c>
      <c r="B2976" s="11" t="n">
        <v>578</v>
      </c>
      <c r="C2976" s="13" t="inlineStr">
        <is>
          <t>SIPEAGRO (UF-XXXXX)</t>
        </is>
      </c>
      <c r="D2976" s="14" t="inlineStr">
        <is>
          <t>SALT BASE MILHO PLUS</t>
        </is>
      </c>
      <c r="E2976" s="13" t="inlineStr">
        <is>
          <t>Adubação de Solo / Foliar</t>
        </is>
      </c>
      <c r="F2976" s="13" t="inlineStr">
        <is>
          <t>Soja</t>
        </is>
      </c>
      <c r="G2976" s="13" t="inlineStr">
        <is>
          <t>Cultura Autorizada na Bula</t>
        </is>
      </c>
      <c r="H2976" s="13" t="inlineStr">
        <is>
          <t>100 a 300 L/ha</t>
        </is>
      </c>
      <c r="I2976" s="13" t="inlineStr">
        <is>
          <t>20 a 40 L/ha</t>
        </is>
      </c>
      <c r="J2976" s="13" t="inlineStr">
        <is>
          <t>Isento</t>
        </is>
      </c>
    </row>
    <row r="2977" ht="22" customHeight="1">
      <c r="A2977" s="6" t="inlineStr">
        <is>
          <t>CUL-2973</t>
        </is>
      </c>
      <c r="B2977" s="5" t="n">
        <v>578</v>
      </c>
      <c r="C2977" s="7" t="inlineStr">
        <is>
          <t>SIPEAGRO (UF-XXXXX)</t>
        </is>
      </c>
      <c r="D2977" s="8" t="inlineStr">
        <is>
          <t>SALT BASE MILHO PLUS</t>
        </is>
      </c>
      <c r="E2977" s="7" t="inlineStr">
        <is>
          <t>Adubação de Solo / Foliar</t>
        </is>
      </c>
      <c r="F2977" s="7" t="inlineStr">
        <is>
          <t>Milho</t>
        </is>
      </c>
      <c r="G2977" s="7" t="inlineStr">
        <is>
          <t>Cultura Autorizada na Bula</t>
        </is>
      </c>
      <c r="H2977" s="7" t="inlineStr">
        <is>
          <t>100 a 300 L/ha</t>
        </is>
      </c>
      <c r="I2977" s="7" t="inlineStr">
        <is>
          <t>20 a 40 L/ha</t>
        </is>
      </c>
      <c r="J2977" s="7" t="inlineStr">
        <is>
          <t>Isento</t>
        </is>
      </c>
    </row>
    <row r="2978" ht="22" customHeight="1">
      <c r="A2978" s="12" t="inlineStr">
        <is>
          <t>CUL-2974</t>
        </is>
      </c>
      <c r="B2978" s="11" t="n">
        <v>578</v>
      </c>
      <c r="C2978" s="13" t="inlineStr">
        <is>
          <t>SIPEAGRO (UF-XXXXX)</t>
        </is>
      </c>
      <c r="D2978" s="14" t="inlineStr">
        <is>
          <t>SALT BASE MILHO PLUS</t>
        </is>
      </c>
      <c r="E2978" s="13" t="inlineStr">
        <is>
          <t>Adubação de Solo / Foliar</t>
        </is>
      </c>
      <c r="F2978" s="13" t="inlineStr">
        <is>
          <t>Algodão</t>
        </is>
      </c>
      <c r="G2978" s="13" t="inlineStr">
        <is>
          <t>Cultura Autorizada na Bula</t>
        </is>
      </c>
      <c r="H2978" s="13" t="inlineStr">
        <is>
          <t>100 a 300 L/ha</t>
        </is>
      </c>
      <c r="I2978" s="13" t="inlineStr">
        <is>
          <t>20 a 40 L/ha</t>
        </is>
      </c>
      <c r="J2978" s="13" t="inlineStr">
        <is>
          <t>Isento</t>
        </is>
      </c>
    </row>
    <row r="2979" ht="22" customHeight="1">
      <c r="A2979" s="6" t="inlineStr">
        <is>
          <t>CUL-2975</t>
        </is>
      </c>
      <c r="B2979" s="5" t="n">
        <v>578</v>
      </c>
      <c r="C2979" s="7" t="inlineStr">
        <is>
          <t>SIPEAGRO (UF-XXXXX)</t>
        </is>
      </c>
      <c r="D2979" s="8" t="inlineStr">
        <is>
          <t>SALT BASE MILHO PLUS</t>
        </is>
      </c>
      <c r="E2979" s="7" t="inlineStr">
        <is>
          <t>Adubação de Solo / Foliar</t>
        </is>
      </c>
      <c r="F2979" s="7" t="inlineStr">
        <is>
          <t>Cana-de-açúcar</t>
        </is>
      </c>
      <c r="G2979" s="7" t="inlineStr">
        <is>
          <t>Cultura Autorizada na Bula</t>
        </is>
      </c>
      <c r="H2979" s="7" t="inlineStr">
        <is>
          <t>100 a 300 L/ha</t>
        </is>
      </c>
      <c r="I2979" s="7" t="inlineStr">
        <is>
          <t>20 a 40 L/ha</t>
        </is>
      </c>
      <c r="J2979" s="7" t="inlineStr">
        <is>
          <t>Isento</t>
        </is>
      </c>
    </row>
    <row r="2980" ht="22" customHeight="1">
      <c r="A2980" s="12" t="inlineStr">
        <is>
          <t>CUL-2976</t>
        </is>
      </c>
      <c r="B2980" s="11" t="n">
        <v>578</v>
      </c>
      <c r="C2980" s="13" t="inlineStr">
        <is>
          <t>SIPEAGRO (UF-XXXXX)</t>
        </is>
      </c>
      <c r="D2980" s="14" t="inlineStr">
        <is>
          <t>SALT BASE MILHO PLUS</t>
        </is>
      </c>
      <c r="E2980" s="13" t="inlineStr">
        <is>
          <t>Adubação de Solo / Foliar</t>
        </is>
      </c>
      <c r="F2980" s="13" t="inlineStr">
        <is>
          <t>Café</t>
        </is>
      </c>
      <c r="G2980" s="13" t="inlineStr">
        <is>
          <t>Cultura Autorizada na Bula</t>
        </is>
      </c>
      <c r="H2980" s="13" t="inlineStr">
        <is>
          <t>100 a 300 L/ha</t>
        </is>
      </c>
      <c r="I2980" s="13" t="inlineStr">
        <is>
          <t>20 a 40 L/ha</t>
        </is>
      </c>
      <c r="J2980" s="13" t="inlineStr">
        <is>
          <t>Isento</t>
        </is>
      </c>
    </row>
    <row r="2981" ht="22" customHeight="1">
      <c r="A2981" s="6" t="inlineStr">
        <is>
          <t>CUL-2977</t>
        </is>
      </c>
      <c r="B2981" s="5" t="n">
        <v>579</v>
      </c>
      <c r="C2981" s="7" t="inlineStr">
        <is>
          <t>SIPEAGRO (UF-XXXXX)</t>
        </is>
      </c>
      <c r="D2981" s="8" t="inlineStr">
        <is>
          <t>ESTIMULUS EVO</t>
        </is>
      </c>
      <c r="E2981" s="7" t="inlineStr">
        <is>
          <t>Adubação de Solo / Foliar</t>
        </is>
      </c>
      <c r="F2981" s="7" t="inlineStr">
        <is>
          <t>Soja</t>
        </is>
      </c>
      <c r="G2981" s="7" t="inlineStr">
        <is>
          <t>Cultura Autorizada na Bula</t>
        </is>
      </c>
      <c r="H2981" s="7" t="inlineStr">
        <is>
          <t>100 a 300 L/ha</t>
        </is>
      </c>
      <c r="I2981" s="7" t="inlineStr">
        <is>
          <t>20 a 40 L/ha</t>
        </is>
      </c>
      <c r="J2981" s="7" t="inlineStr">
        <is>
          <t>Isento</t>
        </is>
      </c>
    </row>
    <row r="2982" ht="22" customHeight="1">
      <c r="A2982" s="12" t="inlineStr">
        <is>
          <t>CUL-2978</t>
        </is>
      </c>
      <c r="B2982" s="11" t="n">
        <v>579</v>
      </c>
      <c r="C2982" s="13" t="inlineStr">
        <is>
          <t>SIPEAGRO (UF-XXXXX)</t>
        </is>
      </c>
      <c r="D2982" s="14" t="inlineStr">
        <is>
          <t>ESTIMULUS EVO</t>
        </is>
      </c>
      <c r="E2982" s="13" t="inlineStr">
        <is>
          <t>Adubação de Solo / Foliar</t>
        </is>
      </c>
      <c r="F2982" s="13" t="inlineStr">
        <is>
          <t>Milho</t>
        </is>
      </c>
      <c r="G2982" s="13" t="inlineStr">
        <is>
          <t>Cultura Autorizada na Bula</t>
        </is>
      </c>
      <c r="H2982" s="13" t="inlineStr">
        <is>
          <t>100 a 300 L/ha</t>
        </is>
      </c>
      <c r="I2982" s="13" t="inlineStr">
        <is>
          <t>20 a 40 L/ha</t>
        </is>
      </c>
      <c r="J2982" s="13" t="inlineStr">
        <is>
          <t>Isento</t>
        </is>
      </c>
    </row>
    <row r="2983" ht="22" customHeight="1">
      <c r="A2983" s="6" t="inlineStr">
        <is>
          <t>CUL-2979</t>
        </is>
      </c>
      <c r="B2983" s="5" t="n">
        <v>579</v>
      </c>
      <c r="C2983" s="7" t="inlineStr">
        <is>
          <t>SIPEAGRO (UF-XXXXX)</t>
        </is>
      </c>
      <c r="D2983" s="8" t="inlineStr">
        <is>
          <t>ESTIMULUS EVO</t>
        </is>
      </c>
      <c r="E2983" s="7" t="inlineStr">
        <is>
          <t>Adubação de Solo / Foliar</t>
        </is>
      </c>
      <c r="F2983" s="7" t="inlineStr">
        <is>
          <t>Algodão</t>
        </is>
      </c>
      <c r="G2983" s="7" t="inlineStr">
        <is>
          <t>Cultura Autorizada na Bula</t>
        </is>
      </c>
      <c r="H2983" s="7" t="inlineStr">
        <is>
          <t>100 a 300 L/ha</t>
        </is>
      </c>
      <c r="I2983" s="7" t="inlineStr">
        <is>
          <t>20 a 40 L/ha</t>
        </is>
      </c>
      <c r="J2983" s="7" t="inlineStr">
        <is>
          <t>Isento</t>
        </is>
      </c>
    </row>
    <row r="2984" ht="22" customHeight="1">
      <c r="A2984" s="12" t="inlineStr">
        <is>
          <t>CUL-2980</t>
        </is>
      </c>
      <c r="B2984" s="11" t="n">
        <v>579</v>
      </c>
      <c r="C2984" s="13" t="inlineStr">
        <is>
          <t>SIPEAGRO (UF-XXXXX)</t>
        </is>
      </c>
      <c r="D2984" s="14" t="inlineStr">
        <is>
          <t>ESTIMULUS EVO</t>
        </is>
      </c>
      <c r="E2984" s="13" t="inlineStr">
        <is>
          <t>Adubação de Solo / Foliar</t>
        </is>
      </c>
      <c r="F2984" s="13" t="inlineStr">
        <is>
          <t>Cana-de-açúcar</t>
        </is>
      </c>
      <c r="G2984" s="13" t="inlineStr">
        <is>
          <t>Cultura Autorizada na Bula</t>
        </is>
      </c>
      <c r="H2984" s="13" t="inlineStr">
        <is>
          <t>100 a 300 L/ha</t>
        </is>
      </c>
      <c r="I2984" s="13" t="inlineStr">
        <is>
          <t>20 a 40 L/ha</t>
        </is>
      </c>
      <c r="J2984" s="13" t="inlineStr">
        <is>
          <t>Isento</t>
        </is>
      </c>
    </row>
    <row r="2985" ht="22" customHeight="1">
      <c r="A2985" s="6" t="inlineStr">
        <is>
          <t>CUL-2981</t>
        </is>
      </c>
      <c r="B2985" s="5" t="n">
        <v>579</v>
      </c>
      <c r="C2985" s="7" t="inlineStr">
        <is>
          <t>SIPEAGRO (UF-XXXXX)</t>
        </is>
      </c>
      <c r="D2985" s="8" t="inlineStr">
        <is>
          <t>ESTIMULUS EVO</t>
        </is>
      </c>
      <c r="E2985" s="7" t="inlineStr">
        <is>
          <t>Adubação de Solo / Foliar</t>
        </is>
      </c>
      <c r="F2985" s="7" t="inlineStr">
        <is>
          <t>Café</t>
        </is>
      </c>
      <c r="G2985" s="7" t="inlineStr">
        <is>
          <t>Cultura Autorizada na Bula</t>
        </is>
      </c>
      <c r="H2985" s="7" t="inlineStr">
        <is>
          <t>100 a 300 L/ha</t>
        </is>
      </c>
      <c r="I2985" s="7" t="inlineStr">
        <is>
          <t>20 a 40 L/ha</t>
        </is>
      </c>
      <c r="J2985" s="7" t="inlineStr">
        <is>
          <t>Isento</t>
        </is>
      </c>
    </row>
    <row r="2986" ht="22" customHeight="1">
      <c r="A2986" s="12" t="inlineStr">
        <is>
          <t>CUL-2982</t>
        </is>
      </c>
      <c r="B2986" s="11" t="n">
        <v>580</v>
      </c>
      <c r="C2986" s="13" t="inlineStr">
        <is>
          <t>Nº 1209</t>
        </is>
      </c>
      <c r="D2986" s="14" t="inlineStr">
        <is>
          <t>STANDAK TOP</t>
        </is>
      </c>
      <c r="E2986" s="13" t="inlineStr">
        <is>
          <t>Tratamento de Sementes / Sulco</t>
        </is>
      </c>
      <c r="F2986" s="13" t="inlineStr">
        <is>
          <t>Soja (Trat. Sementes / Sulco)</t>
        </is>
      </c>
      <c r="G2986" s="13" t="inlineStr">
        <is>
          <t>Cultura Autorizada na Bula</t>
        </is>
      </c>
      <c r="H2986" s="13" t="inlineStr">
        <is>
          <t>Calda TS (0,2 a 0,6 L/100kg sem.)</t>
        </is>
      </c>
      <c r="I2986" s="13" t="inlineStr">
        <is>
          <t>Não Autorizada (TS)</t>
        </is>
      </c>
      <c r="J2986" s="13" t="inlineStr">
        <is>
          <t>N/D</t>
        </is>
      </c>
    </row>
    <row r="2987" ht="22" customHeight="1">
      <c r="A2987" s="6" t="inlineStr">
        <is>
          <t>CUL-2983</t>
        </is>
      </c>
      <c r="B2987" s="5" t="n">
        <v>580</v>
      </c>
      <c r="C2987" s="7" t="inlineStr">
        <is>
          <t>Nº 1209</t>
        </is>
      </c>
      <c r="D2987" s="8" t="inlineStr">
        <is>
          <t>STANDAK TOP</t>
        </is>
      </c>
      <c r="E2987" s="7" t="inlineStr">
        <is>
          <t>Tratamento de Sementes / Sulco</t>
        </is>
      </c>
      <c r="F2987" s="7" t="inlineStr">
        <is>
          <t>Milho (Trat. Sementes)</t>
        </is>
      </c>
      <c r="G2987" s="7" t="inlineStr">
        <is>
          <t>Cultura Autorizada na Bula</t>
        </is>
      </c>
      <c r="H2987" s="7" t="inlineStr">
        <is>
          <t>Calda TS (0,2 a 0,6 L/100kg sem.)</t>
        </is>
      </c>
      <c r="I2987" s="7" t="inlineStr">
        <is>
          <t>Não Autorizada (TS)</t>
        </is>
      </c>
      <c r="J2987" s="7" t="inlineStr">
        <is>
          <t>N/D</t>
        </is>
      </c>
    </row>
    <row r="2988" ht="22" customHeight="1">
      <c r="A2988" s="12" t="inlineStr">
        <is>
          <t>CUL-2984</t>
        </is>
      </c>
      <c r="B2988" s="11" t="n">
        <v>580</v>
      </c>
      <c r="C2988" s="13" t="inlineStr">
        <is>
          <t>Nº 1209</t>
        </is>
      </c>
      <c r="D2988" s="14" t="inlineStr">
        <is>
          <t>STANDAK TOP</t>
        </is>
      </c>
      <c r="E2988" s="13" t="inlineStr">
        <is>
          <t>Tratamento de Sementes / Sulco</t>
        </is>
      </c>
      <c r="F2988" s="13" t="inlineStr">
        <is>
          <t>Algodão</t>
        </is>
      </c>
      <c r="G2988" s="13" t="inlineStr">
        <is>
          <t>Cultura Autorizada na Bula</t>
        </is>
      </c>
      <c r="H2988" s="13" t="inlineStr">
        <is>
          <t>Calda TS (0,2 a 0,6 L/100kg sem.)</t>
        </is>
      </c>
      <c r="I2988" s="13" t="inlineStr">
        <is>
          <t>Não Autorizada (TS)</t>
        </is>
      </c>
      <c r="J2988" s="13" t="inlineStr">
        <is>
          <t>N/D</t>
        </is>
      </c>
    </row>
    <row r="2989" ht="22" customHeight="1">
      <c r="A2989" s="6" t="inlineStr">
        <is>
          <t>CUL-2985</t>
        </is>
      </c>
      <c r="B2989" s="5" t="n">
        <v>580</v>
      </c>
      <c r="C2989" s="7" t="inlineStr">
        <is>
          <t>Nº 1209</t>
        </is>
      </c>
      <c r="D2989" s="8" t="inlineStr">
        <is>
          <t>STANDAK TOP</t>
        </is>
      </c>
      <c r="E2989" s="7" t="inlineStr">
        <is>
          <t>Tratamento de Sementes / Sulco</t>
        </is>
      </c>
      <c r="F2989" s="7" t="inlineStr">
        <is>
          <t>Cana-de-açúcar (Sulco)</t>
        </is>
      </c>
      <c r="G2989" s="7" t="inlineStr">
        <is>
          <t>Cultura Autorizada na Bula</t>
        </is>
      </c>
      <c r="H2989" s="7" t="inlineStr">
        <is>
          <t>Calda TS (0,2 a 0,6 L/100kg sem.)</t>
        </is>
      </c>
      <c r="I2989" s="7" t="inlineStr">
        <is>
          <t>Não Autorizada (TS)</t>
        </is>
      </c>
      <c r="J2989" s="7" t="inlineStr">
        <is>
          <t>N/D</t>
        </is>
      </c>
    </row>
    <row r="2990" ht="22" customHeight="1">
      <c r="A2990" s="12" t="inlineStr">
        <is>
          <t>CUL-2986</t>
        </is>
      </c>
      <c r="B2990" s="11" t="n">
        <v>580</v>
      </c>
      <c r="C2990" s="13" t="inlineStr">
        <is>
          <t>Nº 1209</t>
        </is>
      </c>
      <c r="D2990" s="14" t="inlineStr">
        <is>
          <t>STANDAK TOP</t>
        </is>
      </c>
      <c r="E2990" s="13" t="inlineStr">
        <is>
          <t>Tratamento de Sementes / Sulco</t>
        </is>
      </c>
      <c r="F2990" s="13" t="inlineStr">
        <is>
          <t>Arroz</t>
        </is>
      </c>
      <c r="G2990" s="13" t="inlineStr">
        <is>
          <t>Cultura Autorizada na Bula</t>
        </is>
      </c>
      <c r="H2990" s="13" t="inlineStr">
        <is>
          <t>Calda TS (0,2 a 0,6 L/100kg sem.)</t>
        </is>
      </c>
      <c r="I2990" s="13" t="inlineStr">
        <is>
          <t>Não Autorizada (TS)</t>
        </is>
      </c>
      <c r="J2990" s="13" t="inlineStr">
        <is>
          <t>N/D</t>
        </is>
      </c>
    </row>
    <row r="2991" ht="22" customHeight="1">
      <c r="A2991" s="6" t="inlineStr">
        <is>
          <t>CUL-2987</t>
        </is>
      </c>
      <c r="B2991" s="5" t="n">
        <v>580</v>
      </c>
      <c r="C2991" s="7" t="inlineStr">
        <is>
          <t>Nº 1209</t>
        </is>
      </c>
      <c r="D2991" s="8" t="inlineStr">
        <is>
          <t>STANDAK TOP</t>
        </is>
      </c>
      <c r="E2991" s="7" t="inlineStr">
        <is>
          <t>Tratamento de Sementes / Sulco</t>
        </is>
      </c>
      <c r="F2991" s="7" t="inlineStr">
        <is>
          <t>Feijão</t>
        </is>
      </c>
      <c r="G2991" s="7" t="inlineStr">
        <is>
          <t>Cultura Autorizada na Bula</t>
        </is>
      </c>
      <c r="H2991" s="7" t="inlineStr">
        <is>
          <t>Calda TS (0,2 a 0,6 L/100kg sem.)</t>
        </is>
      </c>
      <c r="I2991" s="7" t="inlineStr">
        <is>
          <t>Não Autorizada (TS)</t>
        </is>
      </c>
      <c r="J2991" s="7" t="inlineStr">
        <is>
          <t>N/D</t>
        </is>
      </c>
    </row>
    <row r="2992" ht="22" customHeight="1">
      <c r="A2992" s="12" t="inlineStr">
        <is>
          <t>CUL-2988</t>
        </is>
      </c>
      <c r="B2992" s="11" t="n">
        <v>580</v>
      </c>
      <c r="C2992" s="13" t="inlineStr">
        <is>
          <t>Nº 1209</t>
        </is>
      </c>
      <c r="D2992" s="14" t="inlineStr">
        <is>
          <t>STANDAK TOP</t>
        </is>
      </c>
      <c r="E2992" s="13" t="inlineStr">
        <is>
          <t>Tratamento de Sementes / Sulco</t>
        </is>
      </c>
      <c r="F2992" s="13" t="inlineStr">
        <is>
          <t>Pastagens</t>
        </is>
      </c>
      <c r="G2992" s="13" t="inlineStr">
        <is>
          <t>Cultura Autorizada na Bula</t>
        </is>
      </c>
      <c r="H2992" s="13" t="inlineStr">
        <is>
          <t>Calda TS (0,2 a 0,6 L/100kg sem.)</t>
        </is>
      </c>
      <c r="I2992" s="13" t="inlineStr">
        <is>
          <t>Não Autorizada (TS)</t>
        </is>
      </c>
      <c r="J2992" s="13" t="inlineStr">
        <is>
          <t>N/D</t>
        </is>
      </c>
    </row>
    <row r="2993" ht="22" customHeight="1">
      <c r="A2993" s="6" t="inlineStr">
        <is>
          <t>CUL-2989</t>
        </is>
      </c>
      <c r="B2993" s="5" t="n">
        <v>580</v>
      </c>
      <c r="C2993" s="7" t="inlineStr">
        <is>
          <t>Nº 1209</t>
        </is>
      </c>
      <c r="D2993" s="8" t="inlineStr">
        <is>
          <t>STANDAK TOP</t>
        </is>
      </c>
      <c r="E2993" s="7" t="inlineStr">
        <is>
          <t>Tratamento de Sementes / Sulco</t>
        </is>
      </c>
      <c r="F2993" s="7" t="inlineStr">
        <is>
          <t>Trigo</t>
        </is>
      </c>
      <c r="G2993" s="7" t="inlineStr">
        <is>
          <t>Cultura Autorizada na Bula</t>
        </is>
      </c>
      <c r="H2993" s="7" t="inlineStr">
        <is>
          <t>Calda TS (0,2 a 0,6 L/100kg sem.)</t>
        </is>
      </c>
      <c r="I2993" s="7" t="inlineStr">
        <is>
          <t>Não Autorizada (TS)</t>
        </is>
      </c>
      <c r="J2993" s="7" t="inlineStr">
        <is>
          <t>N/D</t>
        </is>
      </c>
    </row>
    <row r="2994" ht="22" customHeight="1">
      <c r="A2994" s="12" t="inlineStr">
        <is>
          <t>CUL-2990</t>
        </is>
      </c>
      <c r="B2994" s="11" t="n">
        <v>581</v>
      </c>
      <c r="C2994" s="13" t="inlineStr">
        <is>
          <t>SIPEAGRO (UF-XXXXX)</t>
        </is>
      </c>
      <c r="D2994" s="14" t="inlineStr">
        <is>
          <t>ESTIMULUS GRASS</t>
        </is>
      </c>
      <c r="E2994" s="13" t="inlineStr">
        <is>
          <t>Adubação de Solo / Foliar</t>
        </is>
      </c>
      <c r="F2994" s="13" t="inlineStr">
        <is>
          <t>Soja</t>
        </is>
      </c>
      <c r="G2994" s="13" t="inlineStr">
        <is>
          <t>Cultura Autorizada na Bula</t>
        </is>
      </c>
      <c r="H2994" s="13" t="inlineStr">
        <is>
          <t>100 a 300 L/ha</t>
        </is>
      </c>
      <c r="I2994" s="13" t="inlineStr">
        <is>
          <t>20 a 40 L/ha</t>
        </is>
      </c>
      <c r="J2994" s="13" t="inlineStr">
        <is>
          <t>Isento</t>
        </is>
      </c>
    </row>
    <row r="2995" ht="22" customHeight="1">
      <c r="A2995" s="6" t="inlineStr">
        <is>
          <t>CUL-2991</t>
        </is>
      </c>
      <c r="B2995" s="5" t="n">
        <v>581</v>
      </c>
      <c r="C2995" s="7" t="inlineStr">
        <is>
          <t>SIPEAGRO (UF-XXXXX)</t>
        </is>
      </c>
      <c r="D2995" s="8" t="inlineStr">
        <is>
          <t>ESTIMULUS GRASS</t>
        </is>
      </c>
      <c r="E2995" s="7" t="inlineStr">
        <is>
          <t>Adubação de Solo / Foliar</t>
        </is>
      </c>
      <c r="F2995" s="7" t="inlineStr">
        <is>
          <t>Milho</t>
        </is>
      </c>
      <c r="G2995" s="7" t="inlineStr">
        <is>
          <t>Cultura Autorizada na Bula</t>
        </is>
      </c>
      <c r="H2995" s="7" t="inlineStr">
        <is>
          <t>100 a 300 L/ha</t>
        </is>
      </c>
      <c r="I2995" s="7" t="inlineStr">
        <is>
          <t>20 a 40 L/ha</t>
        </is>
      </c>
      <c r="J2995" s="7" t="inlineStr">
        <is>
          <t>Isento</t>
        </is>
      </c>
    </row>
    <row r="2996" ht="22" customHeight="1">
      <c r="A2996" s="12" t="inlineStr">
        <is>
          <t>CUL-2992</t>
        </is>
      </c>
      <c r="B2996" s="11" t="n">
        <v>581</v>
      </c>
      <c r="C2996" s="13" t="inlineStr">
        <is>
          <t>SIPEAGRO (UF-XXXXX)</t>
        </is>
      </c>
      <c r="D2996" s="14" t="inlineStr">
        <is>
          <t>ESTIMULUS GRASS</t>
        </is>
      </c>
      <c r="E2996" s="13" t="inlineStr">
        <is>
          <t>Adubação de Solo / Foliar</t>
        </is>
      </c>
      <c r="F2996" s="13" t="inlineStr">
        <is>
          <t>Algodão</t>
        </is>
      </c>
      <c r="G2996" s="13" t="inlineStr">
        <is>
          <t>Cultura Autorizada na Bula</t>
        </is>
      </c>
      <c r="H2996" s="13" t="inlineStr">
        <is>
          <t>100 a 300 L/ha</t>
        </is>
      </c>
      <c r="I2996" s="13" t="inlineStr">
        <is>
          <t>20 a 40 L/ha</t>
        </is>
      </c>
      <c r="J2996" s="13" t="inlineStr">
        <is>
          <t>Isento</t>
        </is>
      </c>
    </row>
    <row r="2997" ht="22" customHeight="1">
      <c r="A2997" s="6" t="inlineStr">
        <is>
          <t>CUL-2993</t>
        </is>
      </c>
      <c r="B2997" s="5" t="n">
        <v>581</v>
      </c>
      <c r="C2997" s="7" t="inlineStr">
        <is>
          <t>SIPEAGRO (UF-XXXXX)</t>
        </is>
      </c>
      <c r="D2997" s="8" t="inlineStr">
        <is>
          <t>ESTIMULUS GRASS</t>
        </is>
      </c>
      <c r="E2997" s="7" t="inlineStr">
        <is>
          <t>Adubação de Solo / Foliar</t>
        </is>
      </c>
      <c r="F2997" s="7" t="inlineStr">
        <is>
          <t>Cana-de-açúcar</t>
        </is>
      </c>
      <c r="G2997" s="7" t="inlineStr">
        <is>
          <t>Cultura Autorizada na Bula</t>
        </is>
      </c>
      <c r="H2997" s="7" t="inlineStr">
        <is>
          <t>100 a 300 L/ha</t>
        </is>
      </c>
      <c r="I2997" s="7" t="inlineStr">
        <is>
          <t>20 a 40 L/ha</t>
        </is>
      </c>
      <c r="J2997" s="7" t="inlineStr">
        <is>
          <t>Isento</t>
        </is>
      </c>
    </row>
    <row r="2998" ht="22" customHeight="1">
      <c r="A2998" s="12" t="inlineStr">
        <is>
          <t>CUL-2994</t>
        </is>
      </c>
      <c r="B2998" s="11" t="n">
        <v>581</v>
      </c>
      <c r="C2998" s="13" t="inlineStr">
        <is>
          <t>SIPEAGRO (UF-XXXXX)</t>
        </is>
      </c>
      <c r="D2998" s="14" t="inlineStr">
        <is>
          <t>ESTIMULUS GRASS</t>
        </is>
      </c>
      <c r="E2998" s="13" t="inlineStr">
        <is>
          <t>Adubação de Solo / Foliar</t>
        </is>
      </c>
      <c r="F2998" s="13" t="inlineStr">
        <is>
          <t>Café</t>
        </is>
      </c>
      <c r="G2998" s="13" t="inlineStr">
        <is>
          <t>Cultura Autorizada na Bula</t>
        </is>
      </c>
      <c r="H2998" s="13" t="inlineStr">
        <is>
          <t>100 a 300 L/ha</t>
        </is>
      </c>
      <c r="I2998" s="13" t="inlineStr">
        <is>
          <t>20 a 40 L/ha</t>
        </is>
      </c>
      <c r="J2998" s="13" t="inlineStr">
        <is>
          <t>Isento</t>
        </is>
      </c>
    </row>
    <row r="2999" ht="22" customHeight="1">
      <c r="A2999" s="6" t="inlineStr">
        <is>
          <t>CUL-2995</t>
        </is>
      </c>
      <c r="B2999" s="5" t="n">
        <v>582</v>
      </c>
      <c r="C2999" s="7" t="inlineStr">
        <is>
          <t>Nº 24518</t>
        </is>
      </c>
      <c r="D2999" s="8" t="inlineStr">
        <is>
          <t>KENNOX</t>
        </is>
      </c>
      <c r="E2999" s="7" t="inlineStr">
        <is>
          <t>Pulverização Agrícola Conforme Bula</t>
        </is>
      </c>
      <c r="F2999" s="7" t="inlineStr">
        <is>
          <t>Soja</t>
        </is>
      </c>
      <c r="G2999" s="7" t="inlineStr">
        <is>
          <t>Cultura Autorizada na Bula</t>
        </is>
      </c>
      <c r="H2999" s="7" t="inlineStr">
        <is>
          <t>100 a 300 L/ha</t>
        </is>
      </c>
      <c r="I2999" s="7" t="inlineStr">
        <is>
          <t>20 a 40 L/ha</t>
        </is>
      </c>
      <c r="J2999" s="7" t="inlineStr">
        <is>
          <t>60 dias</t>
        </is>
      </c>
    </row>
    <row r="3000" ht="22" customHeight="1">
      <c r="A3000" s="12" t="inlineStr">
        <is>
          <t>CUL-2996</t>
        </is>
      </c>
      <c r="B3000" s="11" t="n">
        <v>582</v>
      </c>
      <c r="C3000" s="13" t="inlineStr">
        <is>
          <t>Nº 24518</t>
        </is>
      </c>
      <c r="D3000" s="14" t="inlineStr">
        <is>
          <t>KENNOX</t>
        </is>
      </c>
      <c r="E3000" s="13" t="inlineStr">
        <is>
          <t>Pulverização Agrícola Conforme Bula</t>
        </is>
      </c>
      <c r="F3000" s="13" t="inlineStr">
        <is>
          <t>Algodão</t>
        </is>
      </c>
      <c r="G3000" s="13" t="inlineStr">
        <is>
          <t>Cultura Autorizada na Bula</t>
        </is>
      </c>
      <c r="H3000" s="13" t="inlineStr">
        <is>
          <t>100 a 300 L/ha</t>
        </is>
      </c>
      <c r="I3000" s="13" t="inlineStr">
        <is>
          <t>20 a 40 L/ha</t>
        </is>
      </c>
      <c r="J3000" s="13" t="inlineStr">
        <is>
          <t>58 dias</t>
        </is>
      </c>
    </row>
    <row r="3001" ht="22" customHeight="1">
      <c r="A3001" s="6" t="inlineStr">
        <is>
          <t>CUL-2997</t>
        </is>
      </c>
      <c r="B3001" s="5" t="n">
        <v>582</v>
      </c>
      <c r="C3001" s="7" t="inlineStr">
        <is>
          <t>Nº 24518</t>
        </is>
      </c>
      <c r="D3001" s="8" t="inlineStr">
        <is>
          <t>KENNOX</t>
        </is>
      </c>
      <c r="E3001" s="7" t="inlineStr">
        <is>
          <t>Pulverização Agrícola Conforme Bula</t>
        </is>
      </c>
      <c r="F3001" s="7" t="inlineStr">
        <is>
          <t>Feijão</t>
        </is>
      </c>
      <c r="G3001" s="7" t="inlineStr">
        <is>
          <t>Cultura Autorizada na Bula</t>
        </is>
      </c>
      <c r="H3001" s="7" t="inlineStr">
        <is>
          <t>100 a 300 L/ha</t>
        </is>
      </c>
      <c r="I3001" s="7" t="inlineStr">
        <is>
          <t>20 a 40 L/ha</t>
        </is>
      </c>
      <c r="J3001" s="7" t="inlineStr">
        <is>
          <t>40 dias</t>
        </is>
      </c>
    </row>
    <row r="3002" ht="22" customHeight="1">
      <c r="A3002" s="12" t="inlineStr">
        <is>
          <t>CUL-2998</t>
        </is>
      </c>
      <c r="B3002" s="11" t="n">
        <v>582</v>
      </c>
      <c r="C3002" s="13" t="inlineStr">
        <is>
          <t>Nº 24518</t>
        </is>
      </c>
      <c r="D3002" s="14" t="inlineStr">
        <is>
          <t>KENNOX</t>
        </is>
      </c>
      <c r="E3002" s="13" t="inlineStr">
        <is>
          <t>Pulverização Agrícola Conforme Bula</t>
        </is>
      </c>
      <c r="F3002" s="13" t="inlineStr">
        <is>
          <t>Café</t>
        </is>
      </c>
      <c r="G3002" s="13" t="inlineStr">
        <is>
          <t>Cultura Autorizada na Bula</t>
        </is>
      </c>
      <c r="H3002" s="13" t="inlineStr">
        <is>
          <t>100 a 300 L/ha</t>
        </is>
      </c>
      <c r="I3002" s="13" t="inlineStr">
        <is>
          <t>20 a 40 L/ha</t>
        </is>
      </c>
      <c r="J3002" s="13" t="inlineStr">
        <is>
          <t>14 dias</t>
        </is>
      </c>
    </row>
    <row r="3003" ht="22" customHeight="1">
      <c r="A3003" s="6" t="inlineStr">
        <is>
          <t>CUL-2999</t>
        </is>
      </c>
      <c r="B3003" s="5" t="n">
        <v>582</v>
      </c>
      <c r="C3003" s="7" t="inlineStr">
        <is>
          <t>Nº 24518</t>
        </is>
      </c>
      <c r="D3003" s="8" t="inlineStr">
        <is>
          <t>KENNOX</t>
        </is>
      </c>
      <c r="E3003" s="7" t="inlineStr">
        <is>
          <t>Pulverização Agrícola Conforme Bula</t>
        </is>
      </c>
      <c r="F3003" s="7" t="inlineStr">
        <is>
          <t>Batata</t>
        </is>
      </c>
      <c r="G3003" s="7" t="inlineStr">
        <is>
          <t>Cultura Autorizada na Bula</t>
        </is>
      </c>
      <c r="H3003" s="7" t="inlineStr">
        <is>
          <t>100 a 300 L/ha</t>
        </is>
      </c>
      <c r="I3003" s="7" t="inlineStr">
        <is>
          <t>20 a 40 L/ha</t>
        </is>
      </c>
      <c r="J3003" s="7" t="inlineStr">
        <is>
          <t>20 dias</t>
        </is>
      </c>
    </row>
    <row r="3004" ht="22" customHeight="1">
      <c r="A3004" s="12" t="inlineStr">
        <is>
          <t>CUL-3000</t>
        </is>
      </c>
      <c r="B3004" s="11" t="n">
        <v>582</v>
      </c>
      <c r="C3004" s="13" t="inlineStr">
        <is>
          <t>Nº 24518</t>
        </is>
      </c>
      <c r="D3004" s="14" t="inlineStr">
        <is>
          <t>KENNOX</t>
        </is>
      </c>
      <c r="E3004" s="13" t="inlineStr">
        <is>
          <t>Pulverização Agrícola Conforme Bula</t>
        </is>
      </c>
      <c r="F3004" s="13" t="inlineStr">
        <is>
          <t>Mandioca</t>
        </is>
      </c>
      <c r="G3004" s="13" t="inlineStr">
        <is>
          <t>Cultura Autorizada na Bula</t>
        </is>
      </c>
      <c r="H3004" s="13" t="inlineStr">
        <is>
          <t>100 a 300 L/ha</t>
        </is>
      </c>
      <c r="I3004" s="13" t="inlineStr">
        <is>
          <t>20 a 40 L/ha</t>
        </is>
      </c>
      <c r="J3004" s="13" t="inlineStr">
        <is>
          <t>90 dias</t>
        </is>
      </c>
    </row>
    <row r="3005" ht="22" customHeight="1">
      <c r="A3005" s="6" t="inlineStr">
        <is>
          <t>CUL-3001</t>
        </is>
      </c>
      <c r="B3005" s="5" t="n">
        <v>582</v>
      </c>
      <c r="C3005" s="7" t="inlineStr">
        <is>
          <t>Nº 24518</t>
        </is>
      </c>
      <c r="D3005" s="8" t="inlineStr">
        <is>
          <t>KENNOX</t>
        </is>
      </c>
      <c r="E3005" s="7" t="inlineStr">
        <is>
          <t>Pulverização Agrícola Conforme Bula</t>
        </is>
      </c>
      <c r="F3005" s="7" t="inlineStr">
        <is>
          <t>Tomate</t>
        </is>
      </c>
      <c r="G3005" s="7" t="inlineStr">
        <is>
          <t>Cultura Autorizada na Bula</t>
        </is>
      </c>
      <c r="H3005" s="7" t="inlineStr">
        <is>
          <t>100 a 300 L/ha</t>
        </is>
      </c>
      <c r="I3005" s="7" t="inlineStr">
        <is>
          <t>20 a 40 L/ha</t>
        </is>
      </c>
      <c r="J3005" s="7" t="inlineStr">
        <is>
          <t>20 dias</t>
        </is>
      </c>
    </row>
    <row r="3006" ht="22" customHeight="1">
      <c r="A3006" s="12" t="inlineStr">
        <is>
          <t>CUL-3002</t>
        </is>
      </c>
      <c r="B3006" s="11" t="n">
        <v>583</v>
      </c>
      <c r="C3006" s="13" t="inlineStr">
        <is>
          <t>Nº 12320</t>
        </is>
      </c>
      <c r="D3006" s="14" t="inlineStr">
        <is>
          <t>AVEO EZ 0,500L</t>
        </is>
      </c>
      <c r="E3006" s="13" t="inlineStr">
        <is>
          <t>Tratamento de Sementes / Sulco</t>
        </is>
      </c>
      <c r="F3006" s="13" t="inlineStr">
        <is>
          <t>Soja (Sulco / TS / Foliar)</t>
        </is>
      </c>
      <c r="G3006" s="13" t="inlineStr">
        <is>
          <t>Cultura Autorizada na Bula</t>
        </is>
      </c>
      <c r="H3006" s="13" t="inlineStr">
        <is>
          <t>Calda TS (0,2 a 0,6 L/100kg sem.)</t>
        </is>
      </c>
      <c r="I3006" s="13" t="inlineStr">
        <is>
          <t>Não Autorizada (TS)</t>
        </is>
      </c>
      <c r="J3006" s="13" t="inlineStr">
        <is>
          <t>0 (Isento)</t>
        </is>
      </c>
    </row>
    <row r="3007" ht="22" customHeight="1">
      <c r="A3007" s="6" t="inlineStr">
        <is>
          <t>CUL-3003</t>
        </is>
      </c>
      <c r="B3007" s="5" t="n">
        <v>583</v>
      </c>
      <c r="C3007" s="7" t="inlineStr">
        <is>
          <t>Nº 12320</t>
        </is>
      </c>
      <c r="D3007" s="8" t="inlineStr">
        <is>
          <t>AVEO EZ 0,500L</t>
        </is>
      </c>
      <c r="E3007" s="7" t="inlineStr">
        <is>
          <t>Tratamento de Sementes / Sulco</t>
        </is>
      </c>
      <c r="F3007" s="7" t="inlineStr">
        <is>
          <t>Milho</t>
        </is>
      </c>
      <c r="G3007" s="7" t="inlineStr">
        <is>
          <t>Cultura Autorizada na Bula</t>
        </is>
      </c>
      <c r="H3007" s="7" t="inlineStr">
        <is>
          <t>Calda TS (0,2 a 0,6 L/100kg sem.)</t>
        </is>
      </c>
      <c r="I3007" s="7" t="inlineStr">
        <is>
          <t>Não Autorizada (TS)</t>
        </is>
      </c>
      <c r="J3007" s="7" t="inlineStr">
        <is>
          <t>0 (Isento)</t>
        </is>
      </c>
    </row>
    <row r="3008" ht="22" customHeight="1">
      <c r="A3008" s="12" t="inlineStr">
        <is>
          <t>CUL-3004</t>
        </is>
      </c>
      <c r="B3008" s="11" t="n">
        <v>583</v>
      </c>
      <c r="C3008" s="13" t="inlineStr">
        <is>
          <t>Nº 12320</t>
        </is>
      </c>
      <c r="D3008" s="14" t="inlineStr">
        <is>
          <t>AVEO EZ 0,500L</t>
        </is>
      </c>
      <c r="E3008" s="13" t="inlineStr">
        <is>
          <t>Tratamento de Sementes / Sulco</t>
        </is>
      </c>
      <c r="F3008" s="13" t="inlineStr">
        <is>
          <t>Algodão</t>
        </is>
      </c>
      <c r="G3008" s="13" t="inlineStr">
        <is>
          <t>Cultura Autorizada na Bula</t>
        </is>
      </c>
      <c r="H3008" s="13" t="inlineStr">
        <is>
          <t>Calda TS (0,2 a 0,6 L/100kg sem.)</t>
        </is>
      </c>
      <c r="I3008" s="13" t="inlineStr">
        <is>
          <t>Não Autorizada (TS)</t>
        </is>
      </c>
      <c r="J3008" s="13" t="inlineStr">
        <is>
          <t>0 (Isento)</t>
        </is>
      </c>
    </row>
    <row r="3009" ht="22" customHeight="1">
      <c r="A3009" s="6" t="inlineStr">
        <is>
          <t>CUL-3005</t>
        </is>
      </c>
      <c r="B3009" s="5" t="n">
        <v>583</v>
      </c>
      <c r="C3009" s="7" t="inlineStr">
        <is>
          <t>Nº 12320</t>
        </is>
      </c>
      <c r="D3009" s="8" t="inlineStr">
        <is>
          <t>AVEO EZ 0,500L</t>
        </is>
      </c>
      <c r="E3009" s="7" t="inlineStr">
        <is>
          <t>Tratamento de Sementes / Sulco</t>
        </is>
      </c>
      <c r="F3009" s="7" t="inlineStr">
        <is>
          <t>Feijão</t>
        </is>
      </c>
      <c r="G3009" s="7" t="inlineStr">
        <is>
          <t>Cultura Autorizada na Bula</t>
        </is>
      </c>
      <c r="H3009" s="7" t="inlineStr">
        <is>
          <t>Calda TS (0,2 a 0,6 L/100kg sem.)</t>
        </is>
      </c>
      <c r="I3009" s="7" t="inlineStr">
        <is>
          <t>Não Autorizada (TS)</t>
        </is>
      </c>
      <c r="J3009" s="7" t="inlineStr">
        <is>
          <t>0 (Isento)</t>
        </is>
      </c>
    </row>
    <row r="3010" ht="22" customHeight="1">
      <c r="A3010" s="12" t="inlineStr">
        <is>
          <t>CUL-3006</t>
        </is>
      </c>
      <c r="B3010" s="11" t="n">
        <v>584</v>
      </c>
      <c r="C3010" s="13" t="inlineStr">
        <is>
          <t>Nº 10598</t>
        </is>
      </c>
      <c r="D3010" s="14" t="inlineStr">
        <is>
          <t>PIREPHOS EC</t>
        </is>
      </c>
      <c r="E3010" s="13" t="inlineStr">
        <is>
          <t>Pulverização Agrícola Conforme Bula</t>
        </is>
      </c>
      <c r="F3010" s="13" t="inlineStr">
        <is>
          <t>Soja</t>
        </is>
      </c>
      <c r="G3010" s="13" t="inlineStr">
        <is>
          <t>Cultura Autorizada na Bula</t>
        </is>
      </c>
      <c r="H3010" s="13" t="inlineStr">
        <is>
          <t>100 a 300 L/ha</t>
        </is>
      </c>
      <c r="I3010" s="13" t="inlineStr">
        <is>
          <t>20 a 40 L/ha</t>
        </is>
      </c>
      <c r="J3010" s="13" t="inlineStr">
        <is>
          <t>21 dias</t>
        </is>
      </c>
    </row>
    <row r="3011" ht="22" customHeight="1">
      <c r="A3011" s="6" t="inlineStr">
        <is>
          <t>CUL-3007</t>
        </is>
      </c>
      <c r="B3011" s="5" t="n">
        <v>584</v>
      </c>
      <c r="C3011" s="7" t="inlineStr">
        <is>
          <t>Nº 10598</t>
        </is>
      </c>
      <c r="D3011" s="8" t="inlineStr">
        <is>
          <t>PIREPHOS EC</t>
        </is>
      </c>
      <c r="E3011" s="7" t="inlineStr">
        <is>
          <t>Pulverização Agrícola Conforme Bula</t>
        </is>
      </c>
      <c r="F3011" s="7" t="inlineStr">
        <is>
          <t>Milho</t>
        </is>
      </c>
      <c r="G3011" s="7" t="inlineStr">
        <is>
          <t>Cultura Autorizada na Bula</t>
        </is>
      </c>
      <c r="H3011" s="7" t="inlineStr">
        <is>
          <t>100 a 300 L/ha</t>
        </is>
      </c>
      <c r="I3011" s="7" t="inlineStr">
        <is>
          <t>20 a 40 L/ha</t>
        </is>
      </c>
      <c r="J3011" s="7" t="inlineStr">
        <is>
          <t>21 dias</t>
        </is>
      </c>
    </row>
    <row r="3012" ht="22" customHeight="1">
      <c r="A3012" s="12" t="inlineStr">
        <is>
          <t>CUL-3008</t>
        </is>
      </c>
      <c r="B3012" s="11" t="n">
        <v>584</v>
      </c>
      <c r="C3012" s="13" t="inlineStr">
        <is>
          <t>Nº 10598</t>
        </is>
      </c>
      <c r="D3012" s="14" t="inlineStr">
        <is>
          <t>PIREPHOS EC</t>
        </is>
      </c>
      <c r="E3012" s="13" t="inlineStr">
        <is>
          <t>Pulverização Agrícola Conforme Bula</t>
        </is>
      </c>
      <c r="F3012" s="13" t="inlineStr">
        <is>
          <t>Algodão</t>
        </is>
      </c>
      <c r="G3012" s="13" t="inlineStr">
        <is>
          <t>Cultura Autorizada na Bula</t>
        </is>
      </c>
      <c r="H3012" s="13" t="inlineStr">
        <is>
          <t>100 a 300 L/ha</t>
        </is>
      </c>
      <c r="I3012" s="13" t="inlineStr">
        <is>
          <t>20 a 40 L/ha</t>
        </is>
      </c>
      <c r="J3012" s="13" t="inlineStr">
        <is>
          <t>21 dias</t>
        </is>
      </c>
    </row>
    <row r="3013" ht="22" customHeight="1">
      <c r="A3013" s="6" t="inlineStr">
        <is>
          <t>CUL-3009</t>
        </is>
      </c>
      <c r="B3013" s="5" t="n">
        <v>584</v>
      </c>
      <c r="C3013" s="7" t="inlineStr">
        <is>
          <t>Nº 10598</t>
        </is>
      </c>
      <c r="D3013" s="8" t="inlineStr">
        <is>
          <t>PIREPHOS EC</t>
        </is>
      </c>
      <c r="E3013" s="7" t="inlineStr">
        <is>
          <t>Pulverização Agrícola Conforme Bula</t>
        </is>
      </c>
      <c r="F3013" s="7" t="inlineStr">
        <is>
          <t>Feijão</t>
        </is>
      </c>
      <c r="G3013" s="7" t="inlineStr">
        <is>
          <t>Cultura Autorizada na Bula</t>
        </is>
      </c>
      <c r="H3013" s="7" t="inlineStr">
        <is>
          <t>100 a 300 L/ha</t>
        </is>
      </c>
      <c r="I3013" s="7" t="inlineStr">
        <is>
          <t>20 a 40 L/ha</t>
        </is>
      </c>
      <c r="J3013" s="7" t="inlineStr">
        <is>
          <t>14 dias</t>
        </is>
      </c>
    </row>
    <row r="3014" ht="22" customHeight="1">
      <c r="A3014" s="12" t="inlineStr">
        <is>
          <t>CUL-3010</t>
        </is>
      </c>
      <c r="B3014" s="11" t="n">
        <v>585</v>
      </c>
      <c r="C3014" s="13" t="inlineStr">
        <is>
          <t>Nº 11216</t>
        </is>
      </c>
      <c r="D3014" s="14" t="inlineStr">
        <is>
          <t>ATIVUM (TM) EC</t>
        </is>
      </c>
      <c r="E3014" s="13" t="inlineStr">
        <is>
          <t>Pulverização Agrícola Conforme Bula</t>
        </is>
      </c>
      <c r="F3014" s="13" t="inlineStr">
        <is>
          <t>Soja</t>
        </is>
      </c>
      <c r="G3014" s="13" t="inlineStr">
        <is>
          <t>Cultura Autorizada na Bula</t>
        </is>
      </c>
      <c r="H3014" s="13" t="inlineStr">
        <is>
          <t>100 a 300 L/ha</t>
        </is>
      </c>
      <c r="I3014" s="13" t="inlineStr">
        <is>
          <t>20 a 40 L/ha</t>
        </is>
      </c>
      <c r="J3014" s="13" t="inlineStr">
        <is>
          <t>30 dias</t>
        </is>
      </c>
    </row>
    <row r="3015" ht="22" customHeight="1">
      <c r="A3015" s="6" t="inlineStr">
        <is>
          <t>CUL-3011</t>
        </is>
      </c>
      <c r="B3015" s="5" t="n">
        <v>585</v>
      </c>
      <c r="C3015" s="7" t="inlineStr">
        <is>
          <t>Nº 11216</t>
        </is>
      </c>
      <c r="D3015" s="8" t="inlineStr">
        <is>
          <t>ATIVUM (TM) EC</t>
        </is>
      </c>
      <c r="E3015" s="7" t="inlineStr">
        <is>
          <t>Pulverização Agrícola Conforme Bula</t>
        </is>
      </c>
      <c r="F3015" s="7" t="inlineStr">
        <is>
          <t>Milho</t>
        </is>
      </c>
      <c r="G3015" s="7" t="inlineStr">
        <is>
          <t>Cultura Autorizada na Bula</t>
        </is>
      </c>
      <c r="H3015" s="7" t="inlineStr">
        <is>
          <t>100 a 300 L/ha</t>
        </is>
      </c>
      <c r="I3015" s="7" t="inlineStr">
        <is>
          <t>20 a 40 L/ha</t>
        </is>
      </c>
      <c r="J3015" s="7" t="inlineStr">
        <is>
          <t>30 dias</t>
        </is>
      </c>
    </row>
    <row r="3016" ht="22" customHeight="1">
      <c r="A3016" s="12" t="inlineStr">
        <is>
          <t>CUL-3012</t>
        </is>
      </c>
      <c r="B3016" s="11" t="n">
        <v>585</v>
      </c>
      <c r="C3016" s="13" t="inlineStr">
        <is>
          <t>Nº 11216</t>
        </is>
      </c>
      <c r="D3016" s="14" t="inlineStr">
        <is>
          <t>ATIVUM (TM) EC</t>
        </is>
      </c>
      <c r="E3016" s="13" t="inlineStr">
        <is>
          <t>Pulverização Agrícola Conforme Bula</t>
        </is>
      </c>
      <c r="F3016" s="13" t="inlineStr">
        <is>
          <t>Algodão</t>
        </is>
      </c>
      <c r="G3016" s="13" t="inlineStr">
        <is>
          <t>Cultura Autorizada na Bula</t>
        </is>
      </c>
      <c r="H3016" s="13" t="inlineStr">
        <is>
          <t>100 a 300 L/ha</t>
        </is>
      </c>
      <c r="I3016" s="13" t="inlineStr">
        <is>
          <t>20 a 40 L/ha</t>
        </is>
      </c>
      <c r="J3016" s="13" t="inlineStr">
        <is>
          <t>30 dias</t>
        </is>
      </c>
    </row>
    <row r="3017" ht="22" customHeight="1">
      <c r="A3017" s="6" t="inlineStr">
        <is>
          <t>CUL-3013</t>
        </is>
      </c>
      <c r="B3017" s="5" t="n">
        <v>585</v>
      </c>
      <c r="C3017" s="7" t="inlineStr">
        <is>
          <t>Nº 11216</t>
        </is>
      </c>
      <c r="D3017" s="8" t="inlineStr">
        <is>
          <t>ATIVUM (TM) EC</t>
        </is>
      </c>
      <c r="E3017" s="7" t="inlineStr">
        <is>
          <t>Pulverização Agrícola Conforme Bula</t>
        </is>
      </c>
      <c r="F3017" s="7" t="inlineStr">
        <is>
          <t>Trigo</t>
        </is>
      </c>
      <c r="G3017" s="7" t="inlineStr">
        <is>
          <t>Cultura Autorizada na Bula</t>
        </is>
      </c>
      <c r="H3017" s="7" t="inlineStr">
        <is>
          <t>100 a 300 L/ha</t>
        </is>
      </c>
      <c r="I3017" s="7" t="inlineStr">
        <is>
          <t>20 a 40 L/ha</t>
        </is>
      </c>
      <c r="J3017" s="7" t="inlineStr">
        <is>
          <t>30 dias</t>
        </is>
      </c>
    </row>
    <row r="3018" ht="22" customHeight="1">
      <c r="A3018" s="12" t="inlineStr">
        <is>
          <t>CUL-3014</t>
        </is>
      </c>
      <c r="B3018" s="11" t="n">
        <v>585</v>
      </c>
      <c r="C3018" s="13" t="inlineStr">
        <is>
          <t>Nº 11216</t>
        </is>
      </c>
      <c r="D3018" s="14" t="inlineStr">
        <is>
          <t>ATIVUM (TM) EC</t>
        </is>
      </c>
      <c r="E3018" s="13" t="inlineStr">
        <is>
          <t>Pulverização Agrícola Conforme Bula</t>
        </is>
      </c>
      <c r="F3018" s="13" t="inlineStr">
        <is>
          <t>Feijão</t>
        </is>
      </c>
      <c r="G3018" s="13" t="inlineStr">
        <is>
          <t>Cultura Autorizada na Bula</t>
        </is>
      </c>
      <c r="H3018" s="13" t="inlineStr">
        <is>
          <t>100 a 300 L/ha</t>
        </is>
      </c>
      <c r="I3018" s="13" t="inlineStr">
        <is>
          <t>20 a 40 L/ha</t>
        </is>
      </c>
      <c r="J3018" s="13" t="inlineStr">
        <is>
          <t>14 dias</t>
        </is>
      </c>
    </row>
    <row r="3019" ht="22" customHeight="1">
      <c r="A3019" s="6" t="inlineStr">
        <is>
          <t>CUL-3015</t>
        </is>
      </c>
      <c r="B3019" s="5" t="n">
        <v>586</v>
      </c>
      <c r="C3019" s="7" t="inlineStr">
        <is>
          <t>Nº 9519</t>
        </is>
      </c>
      <c r="D3019" s="8" t="inlineStr">
        <is>
          <t>ATRAZINA CCAB</t>
        </is>
      </c>
      <c r="E3019" s="7" t="inlineStr">
        <is>
          <t>Pulverização Agrícola Conforme Bula</t>
        </is>
      </c>
      <c r="F3019" s="7" t="inlineStr">
        <is>
          <t>Milho</t>
        </is>
      </c>
      <c r="G3019" s="7" t="inlineStr">
        <is>
          <t>Cultura Autorizada na Bula</t>
        </is>
      </c>
      <c r="H3019" s="7" t="inlineStr">
        <is>
          <t>100 a 300 L/ha</t>
        </is>
      </c>
      <c r="I3019" s="7" t="inlineStr">
        <is>
          <t>20 a 40 L/ha</t>
        </is>
      </c>
      <c r="J3019" s="7" t="inlineStr">
        <is>
          <t>60 dias</t>
        </is>
      </c>
    </row>
    <row r="3020" ht="22" customHeight="1">
      <c r="A3020" s="12" t="inlineStr">
        <is>
          <t>CUL-3016</t>
        </is>
      </c>
      <c r="B3020" s="11" t="n">
        <v>586</v>
      </c>
      <c r="C3020" s="13" t="inlineStr">
        <is>
          <t>Nº 9519</t>
        </is>
      </c>
      <c r="D3020" s="14" t="inlineStr">
        <is>
          <t>ATRAZINA CCAB</t>
        </is>
      </c>
      <c r="E3020" s="13" t="inlineStr">
        <is>
          <t>Pulverização Agrícola Conforme Bula</t>
        </is>
      </c>
      <c r="F3020" s="13" t="inlineStr">
        <is>
          <t>Cana-de-açúcar</t>
        </is>
      </c>
      <c r="G3020" s="13" t="inlineStr">
        <is>
          <t>Cultura Autorizada na Bula</t>
        </is>
      </c>
      <c r="H3020" s="13" t="inlineStr">
        <is>
          <t>100 a 300 L/ha</t>
        </is>
      </c>
      <c r="I3020" s="13" t="inlineStr">
        <is>
          <t>20 a 40 L/ha</t>
        </is>
      </c>
      <c r="J3020" s="13" t="inlineStr">
        <is>
          <t>N/D</t>
        </is>
      </c>
    </row>
    <row r="3021" ht="22" customHeight="1">
      <c r="A3021" s="6" t="inlineStr">
        <is>
          <t>CUL-3017</t>
        </is>
      </c>
      <c r="B3021" s="5" t="n">
        <v>586</v>
      </c>
      <c r="C3021" s="7" t="inlineStr">
        <is>
          <t>Nº 9519</t>
        </is>
      </c>
      <c r="D3021" s="8" t="inlineStr">
        <is>
          <t>ATRAZINA CCAB</t>
        </is>
      </c>
      <c r="E3021" s="7" t="inlineStr">
        <is>
          <t>Pulverização Agrícola Conforme Bula</t>
        </is>
      </c>
      <c r="F3021" s="7" t="inlineStr">
        <is>
          <t>Sorgo</t>
        </is>
      </c>
      <c r="G3021" s="7" t="inlineStr">
        <is>
          <t>Cultura Autorizada na Bula</t>
        </is>
      </c>
      <c r="H3021" s="7" t="inlineStr">
        <is>
          <t>100 a 300 L/ha</t>
        </is>
      </c>
      <c r="I3021" s="7" t="inlineStr">
        <is>
          <t>20 a 40 L/ha</t>
        </is>
      </c>
      <c r="J3021" s="7" t="inlineStr">
        <is>
          <t>60 dias</t>
        </is>
      </c>
    </row>
    <row r="3022" ht="22" customHeight="1">
      <c r="A3022" s="12" t="inlineStr">
        <is>
          <t>CUL-3018</t>
        </is>
      </c>
      <c r="B3022" s="11" t="n">
        <v>586</v>
      </c>
      <c r="C3022" s="13" t="inlineStr">
        <is>
          <t>Nº 9519</t>
        </is>
      </c>
      <c r="D3022" s="14" t="inlineStr">
        <is>
          <t>ATRAZINA CCAB</t>
        </is>
      </c>
      <c r="E3022" s="13" t="inlineStr">
        <is>
          <t>Pulverização Agrícola Conforme Bula</t>
        </is>
      </c>
      <c r="F3022" s="13" t="inlineStr">
        <is>
          <t>Pinus / Eucalipto</t>
        </is>
      </c>
      <c r="G3022" s="13" t="inlineStr">
        <is>
          <t>Cultura Autorizada na Bula</t>
        </is>
      </c>
      <c r="H3022" s="13" t="inlineStr">
        <is>
          <t>100 a 300 L/ha</t>
        </is>
      </c>
      <c r="I3022" s="13" t="inlineStr">
        <is>
          <t>20 a 40 L/ha</t>
        </is>
      </c>
      <c r="J3022" s="13" t="inlineStr">
        <is>
          <t>U.N.A.</t>
        </is>
      </c>
    </row>
    <row r="3023" ht="22" customHeight="1">
      <c r="A3023" s="6" t="inlineStr">
        <is>
          <t>CUL-3019</t>
        </is>
      </c>
      <c r="B3023" s="5" t="n">
        <v>587</v>
      </c>
      <c r="C3023" s="7" t="inlineStr">
        <is>
          <t>Nº 0816</t>
        </is>
      </c>
      <c r="D3023" s="8" t="inlineStr">
        <is>
          <t>RACIO</t>
        </is>
      </c>
      <c r="E3023" s="7" t="inlineStr">
        <is>
          <t>Pulverização Agrícola Conforme Bula</t>
        </is>
      </c>
      <c r="F3023" s="7" t="inlineStr">
        <is>
          <t>Soja</t>
        </is>
      </c>
      <c r="G3023" s="7" t="inlineStr">
        <is>
          <t>Cultura Autorizada na Bula</t>
        </is>
      </c>
      <c r="H3023" s="7" t="inlineStr">
        <is>
          <t>100 a 300 L/ha</t>
        </is>
      </c>
      <c r="I3023" s="7" t="inlineStr">
        <is>
          <t>20 a 40 L/ha</t>
        </is>
      </c>
      <c r="J3023" s="7" t="inlineStr">
        <is>
          <t>21 dias</t>
        </is>
      </c>
    </row>
    <row r="3024" ht="22" customHeight="1">
      <c r="A3024" s="12" t="inlineStr">
        <is>
          <t>CUL-3020</t>
        </is>
      </c>
      <c r="B3024" s="11" t="n">
        <v>587</v>
      </c>
      <c r="C3024" s="13" t="inlineStr">
        <is>
          <t>Nº 0816</t>
        </is>
      </c>
      <c r="D3024" s="14" t="inlineStr">
        <is>
          <t>RACIO</t>
        </is>
      </c>
      <c r="E3024" s="13" t="inlineStr">
        <is>
          <t>Pulverização Agrícola Conforme Bula</t>
        </is>
      </c>
      <c r="F3024" s="13" t="inlineStr">
        <is>
          <t>Algodão</t>
        </is>
      </c>
      <c r="G3024" s="13" t="inlineStr">
        <is>
          <t>Cultura Autorizada na Bula</t>
        </is>
      </c>
      <c r="H3024" s="13" t="inlineStr">
        <is>
          <t>100 a 300 L/ha</t>
        </is>
      </c>
      <c r="I3024" s="13" t="inlineStr">
        <is>
          <t>20 a 40 L/ha</t>
        </is>
      </c>
      <c r="J3024" s="13" t="inlineStr">
        <is>
          <t>21 dias</t>
        </is>
      </c>
    </row>
    <row r="3025" ht="22" customHeight="1">
      <c r="A3025" s="6" t="inlineStr">
        <is>
          <t>CUL-3021</t>
        </is>
      </c>
      <c r="B3025" s="5" t="n">
        <v>587</v>
      </c>
      <c r="C3025" s="7" t="inlineStr">
        <is>
          <t>Nº 0816</t>
        </is>
      </c>
      <c r="D3025" s="8" t="inlineStr">
        <is>
          <t>RACIO</t>
        </is>
      </c>
      <c r="E3025" s="7" t="inlineStr">
        <is>
          <t>Pulverização Agrícola Conforme Bula</t>
        </is>
      </c>
      <c r="F3025" s="7" t="inlineStr">
        <is>
          <t>Feijão</t>
        </is>
      </c>
      <c r="G3025" s="7" t="inlineStr">
        <is>
          <t>Cultura Autorizada na Bula</t>
        </is>
      </c>
      <c r="H3025" s="7" t="inlineStr">
        <is>
          <t>100 a 300 L/ha</t>
        </is>
      </c>
      <c r="I3025" s="7" t="inlineStr">
        <is>
          <t>20 a 40 L/ha</t>
        </is>
      </c>
      <c r="J3025" s="7" t="inlineStr">
        <is>
          <t>14 dias</t>
        </is>
      </c>
    </row>
    <row r="3026" ht="22" customHeight="1">
      <c r="A3026" s="12" t="inlineStr">
        <is>
          <t>CUL-3022</t>
        </is>
      </c>
      <c r="B3026" s="11" t="n">
        <v>587</v>
      </c>
      <c r="C3026" s="13" t="inlineStr">
        <is>
          <t>Nº 0816</t>
        </is>
      </c>
      <c r="D3026" s="14" t="inlineStr">
        <is>
          <t>RACIO</t>
        </is>
      </c>
      <c r="E3026" s="13" t="inlineStr">
        <is>
          <t>Pulverização Agrícola Conforme Bula</t>
        </is>
      </c>
      <c r="F3026" s="13" t="inlineStr">
        <is>
          <t>Milho</t>
        </is>
      </c>
      <c r="G3026" s="13" t="inlineStr">
        <is>
          <t>Cultura Autorizada na Bula</t>
        </is>
      </c>
      <c r="H3026" s="13" t="inlineStr">
        <is>
          <t>100 a 300 L/ha</t>
        </is>
      </c>
      <c r="I3026" s="13" t="inlineStr">
        <is>
          <t>20 a 40 L/ha</t>
        </is>
      </c>
      <c r="J3026" s="13" t="inlineStr">
        <is>
          <t>21 dias</t>
        </is>
      </c>
    </row>
    <row r="3027" ht="22" customHeight="1">
      <c r="A3027" s="6" t="inlineStr">
        <is>
          <t>CUL-3023</t>
        </is>
      </c>
      <c r="B3027" s="5" t="n">
        <v>588</v>
      </c>
      <c r="C3027" s="7" t="inlineStr">
        <is>
          <t>SIPEAGRO (UF-XXXXX)</t>
        </is>
      </c>
      <c r="D3027" s="8" t="inlineStr">
        <is>
          <t>ESTIMULUS ROOT +</t>
        </is>
      </c>
      <c r="E3027" s="7" t="inlineStr">
        <is>
          <t>Adubação de Solo / Foliar</t>
        </is>
      </c>
      <c r="F3027" s="7" t="inlineStr">
        <is>
          <t>Soja</t>
        </is>
      </c>
      <c r="G3027" s="7" t="inlineStr">
        <is>
          <t>Cultura Autorizada na Bula</t>
        </is>
      </c>
      <c r="H3027" s="7" t="inlineStr">
        <is>
          <t>100 a 300 L/ha</t>
        </is>
      </c>
      <c r="I3027" s="7" t="inlineStr">
        <is>
          <t>20 a 40 L/ha</t>
        </is>
      </c>
      <c r="J3027" s="7" t="inlineStr">
        <is>
          <t>Isento</t>
        </is>
      </c>
    </row>
    <row r="3028" ht="22" customHeight="1">
      <c r="A3028" s="12" t="inlineStr">
        <is>
          <t>CUL-3024</t>
        </is>
      </c>
      <c r="B3028" s="11" t="n">
        <v>588</v>
      </c>
      <c r="C3028" s="13" t="inlineStr">
        <is>
          <t>SIPEAGRO (UF-XXXXX)</t>
        </is>
      </c>
      <c r="D3028" s="14" t="inlineStr">
        <is>
          <t>ESTIMULUS ROOT +</t>
        </is>
      </c>
      <c r="E3028" s="13" t="inlineStr">
        <is>
          <t>Adubação de Solo / Foliar</t>
        </is>
      </c>
      <c r="F3028" s="13" t="inlineStr">
        <is>
          <t>Milho</t>
        </is>
      </c>
      <c r="G3028" s="13" t="inlineStr">
        <is>
          <t>Cultura Autorizada na Bula</t>
        </is>
      </c>
      <c r="H3028" s="13" t="inlineStr">
        <is>
          <t>100 a 300 L/ha</t>
        </is>
      </c>
      <c r="I3028" s="13" t="inlineStr">
        <is>
          <t>20 a 40 L/ha</t>
        </is>
      </c>
      <c r="J3028" s="13" t="inlineStr">
        <is>
          <t>Isento</t>
        </is>
      </c>
    </row>
    <row r="3029" ht="22" customHeight="1">
      <c r="A3029" s="6" t="inlineStr">
        <is>
          <t>CUL-3025</t>
        </is>
      </c>
      <c r="B3029" s="5" t="n">
        <v>588</v>
      </c>
      <c r="C3029" s="7" t="inlineStr">
        <is>
          <t>SIPEAGRO (UF-XXXXX)</t>
        </is>
      </c>
      <c r="D3029" s="8" t="inlineStr">
        <is>
          <t>ESTIMULUS ROOT +</t>
        </is>
      </c>
      <c r="E3029" s="7" t="inlineStr">
        <is>
          <t>Adubação de Solo / Foliar</t>
        </is>
      </c>
      <c r="F3029" s="7" t="inlineStr">
        <is>
          <t>Algodão</t>
        </is>
      </c>
      <c r="G3029" s="7" t="inlineStr">
        <is>
          <t>Cultura Autorizada na Bula</t>
        </is>
      </c>
      <c r="H3029" s="7" t="inlineStr">
        <is>
          <t>100 a 300 L/ha</t>
        </is>
      </c>
      <c r="I3029" s="7" t="inlineStr">
        <is>
          <t>20 a 40 L/ha</t>
        </is>
      </c>
      <c r="J3029" s="7" t="inlineStr">
        <is>
          <t>Isento</t>
        </is>
      </c>
    </row>
    <row r="3030" ht="22" customHeight="1">
      <c r="A3030" s="12" t="inlineStr">
        <is>
          <t>CUL-3026</t>
        </is>
      </c>
      <c r="B3030" s="11" t="n">
        <v>588</v>
      </c>
      <c r="C3030" s="13" t="inlineStr">
        <is>
          <t>SIPEAGRO (UF-XXXXX)</t>
        </is>
      </c>
      <c r="D3030" s="14" t="inlineStr">
        <is>
          <t>ESTIMULUS ROOT +</t>
        </is>
      </c>
      <c r="E3030" s="13" t="inlineStr">
        <is>
          <t>Adubação de Solo / Foliar</t>
        </is>
      </c>
      <c r="F3030" s="13" t="inlineStr">
        <is>
          <t>Cana-de-açúcar</t>
        </is>
      </c>
      <c r="G3030" s="13" t="inlineStr">
        <is>
          <t>Cultura Autorizada na Bula</t>
        </is>
      </c>
      <c r="H3030" s="13" t="inlineStr">
        <is>
          <t>100 a 300 L/ha</t>
        </is>
      </c>
      <c r="I3030" s="13" t="inlineStr">
        <is>
          <t>20 a 40 L/ha</t>
        </is>
      </c>
      <c r="J3030" s="13" t="inlineStr">
        <is>
          <t>Isento</t>
        </is>
      </c>
    </row>
    <row r="3031" ht="22" customHeight="1">
      <c r="A3031" s="6" t="inlineStr">
        <is>
          <t>CUL-3027</t>
        </is>
      </c>
      <c r="B3031" s="5" t="n">
        <v>588</v>
      </c>
      <c r="C3031" s="7" t="inlineStr">
        <is>
          <t>SIPEAGRO (UF-XXXXX)</t>
        </is>
      </c>
      <c r="D3031" s="8" t="inlineStr">
        <is>
          <t>ESTIMULUS ROOT +</t>
        </is>
      </c>
      <c r="E3031" s="7" t="inlineStr">
        <is>
          <t>Adubação de Solo / Foliar</t>
        </is>
      </c>
      <c r="F3031" s="7" t="inlineStr">
        <is>
          <t>Café</t>
        </is>
      </c>
      <c r="G3031" s="7" t="inlineStr">
        <is>
          <t>Cultura Autorizada na Bula</t>
        </is>
      </c>
      <c r="H3031" s="7" t="inlineStr">
        <is>
          <t>100 a 300 L/ha</t>
        </is>
      </c>
      <c r="I3031" s="7" t="inlineStr">
        <is>
          <t>20 a 40 L/ha</t>
        </is>
      </c>
      <c r="J3031" s="7" t="inlineStr">
        <is>
          <t>Isento</t>
        </is>
      </c>
    </row>
    <row r="3032" ht="22" customHeight="1">
      <c r="A3032" s="12" t="inlineStr">
        <is>
          <t>CUL-3028</t>
        </is>
      </c>
      <c r="B3032" s="11" t="n">
        <v>589</v>
      </c>
      <c r="C3032" s="13" t="inlineStr">
        <is>
          <t>Nº 23419</t>
        </is>
      </c>
      <c r="D3032" s="14" t="inlineStr">
        <is>
          <t>SAFENITH</t>
        </is>
      </c>
      <c r="E3032" s="13" t="inlineStr">
        <is>
          <t>Pulverização Agrícola Conforme Bula</t>
        </is>
      </c>
      <c r="F3032" s="13" t="inlineStr">
        <is>
          <t>Soja</t>
        </is>
      </c>
      <c r="G3032" s="13" t="inlineStr">
        <is>
          <t>Cultura Autorizada na Bula</t>
        </is>
      </c>
      <c r="H3032" s="13" t="inlineStr">
        <is>
          <t>100 a 300 L/ha</t>
        </is>
      </c>
      <c r="I3032" s="13" t="inlineStr">
        <is>
          <t>20 a 40 L/ha</t>
        </is>
      </c>
      <c r="J3032" s="13" t="inlineStr">
        <is>
          <t>14 dias</t>
        </is>
      </c>
    </row>
    <row r="3033" ht="22" customHeight="1">
      <c r="A3033" s="6" t="inlineStr">
        <is>
          <t>CUL-3029</t>
        </is>
      </c>
      <c r="B3033" s="5" t="n">
        <v>589</v>
      </c>
      <c r="C3033" s="7" t="inlineStr">
        <is>
          <t>Nº 23419</t>
        </is>
      </c>
      <c r="D3033" s="8" t="inlineStr">
        <is>
          <t>SAFENITH</t>
        </is>
      </c>
      <c r="E3033" s="7" t="inlineStr">
        <is>
          <t>Pulverização Agrícola Conforme Bula</t>
        </is>
      </c>
      <c r="F3033" s="7" t="inlineStr">
        <is>
          <t>Algodão</t>
        </is>
      </c>
      <c r="G3033" s="7" t="inlineStr">
        <is>
          <t>Cultura Autorizada na Bula</t>
        </is>
      </c>
      <c r="H3033" s="7" t="inlineStr">
        <is>
          <t>100 a 300 L/ha</t>
        </is>
      </c>
      <c r="I3033" s="7" t="inlineStr">
        <is>
          <t>20 a 40 L/ha</t>
        </is>
      </c>
      <c r="J3033" s="7" t="inlineStr">
        <is>
          <t>14 dias</t>
        </is>
      </c>
    </row>
    <row r="3034" ht="22" customHeight="1">
      <c r="A3034" s="12" t="inlineStr">
        <is>
          <t>CUL-3030</t>
        </is>
      </c>
      <c r="B3034" s="11" t="n">
        <v>589</v>
      </c>
      <c r="C3034" s="13" t="inlineStr">
        <is>
          <t>Nº 23419</t>
        </is>
      </c>
      <c r="D3034" s="14" t="inlineStr">
        <is>
          <t>SAFENITH</t>
        </is>
      </c>
      <c r="E3034" s="13" t="inlineStr">
        <is>
          <t>Pulverização Agrícola Conforme Bula</t>
        </is>
      </c>
      <c r="F3034" s="13" t="inlineStr">
        <is>
          <t>Feijão</t>
        </is>
      </c>
      <c r="G3034" s="13" t="inlineStr">
        <is>
          <t>Cultura Autorizada na Bula</t>
        </is>
      </c>
      <c r="H3034" s="13" t="inlineStr">
        <is>
          <t>100 a 300 L/ha</t>
        </is>
      </c>
      <c r="I3034" s="13" t="inlineStr">
        <is>
          <t>20 a 40 L/ha</t>
        </is>
      </c>
      <c r="J3034" s="13" t="inlineStr">
        <is>
          <t>14 dias</t>
        </is>
      </c>
    </row>
    <row r="3035" ht="22" customHeight="1">
      <c r="A3035" s="6" t="inlineStr">
        <is>
          <t>CUL-3031</t>
        </is>
      </c>
      <c r="B3035" s="5" t="n">
        <v>589</v>
      </c>
      <c r="C3035" s="7" t="inlineStr">
        <is>
          <t>Nº 23419</t>
        </is>
      </c>
      <c r="D3035" s="8" t="inlineStr">
        <is>
          <t>SAFENITH</t>
        </is>
      </c>
      <c r="E3035" s="7" t="inlineStr">
        <is>
          <t>Pulverização Agrícola Conforme Bula</t>
        </is>
      </c>
      <c r="F3035" s="7" t="inlineStr">
        <is>
          <t>Milho</t>
        </is>
      </c>
      <c r="G3035" s="7" t="inlineStr">
        <is>
          <t>Cultura Autorizada na Bula</t>
        </is>
      </c>
      <c r="H3035" s="7" t="inlineStr">
        <is>
          <t>100 a 300 L/ha</t>
        </is>
      </c>
      <c r="I3035" s="7" t="inlineStr">
        <is>
          <t>20 a 40 L/ha</t>
        </is>
      </c>
      <c r="J3035" s="7" t="inlineStr">
        <is>
          <t>14 dias</t>
        </is>
      </c>
    </row>
    <row r="3036" ht="22" customHeight="1">
      <c r="A3036" s="12" t="inlineStr">
        <is>
          <t>CUL-3032</t>
        </is>
      </c>
      <c r="B3036" s="11" t="n">
        <v>589</v>
      </c>
      <c r="C3036" s="13" t="inlineStr">
        <is>
          <t>Nº 23419</t>
        </is>
      </c>
      <c r="D3036" s="14" t="inlineStr">
        <is>
          <t>SAFENITH</t>
        </is>
      </c>
      <c r="E3036" s="13" t="inlineStr">
        <is>
          <t>Pulverização Agrícola Conforme Bula</t>
        </is>
      </c>
      <c r="F3036" s="13" t="inlineStr">
        <is>
          <t>Trigo</t>
        </is>
      </c>
      <c r="G3036" s="13" t="inlineStr">
        <is>
          <t>Cultura Autorizada na Bula</t>
        </is>
      </c>
      <c r="H3036" s="13" t="inlineStr">
        <is>
          <t>100 a 300 L/ha</t>
        </is>
      </c>
      <c r="I3036" s="13" t="inlineStr">
        <is>
          <t>20 a 40 L/ha</t>
        </is>
      </c>
      <c r="J3036" s="13" t="inlineStr">
        <is>
          <t>30 dias</t>
        </is>
      </c>
    </row>
    <row r="3037" ht="22" customHeight="1">
      <c r="A3037" s="6" t="inlineStr">
        <is>
          <t>CUL-3033</t>
        </is>
      </c>
      <c r="B3037" s="5" t="n">
        <v>589</v>
      </c>
      <c r="C3037" s="7" t="inlineStr">
        <is>
          <t>Nº 23419</t>
        </is>
      </c>
      <c r="D3037" s="8" t="inlineStr">
        <is>
          <t>SAFENITH</t>
        </is>
      </c>
      <c r="E3037" s="7" t="inlineStr">
        <is>
          <t>Pulverização Agrícola Conforme Bula</t>
        </is>
      </c>
      <c r="F3037" s="7" t="inlineStr">
        <is>
          <t>Batata</t>
        </is>
      </c>
      <c r="G3037" s="7" t="inlineStr">
        <is>
          <t>Cultura Autorizada na Bula</t>
        </is>
      </c>
      <c r="H3037" s="7" t="inlineStr">
        <is>
          <t>100 a 300 L/ha</t>
        </is>
      </c>
      <c r="I3037" s="7" t="inlineStr">
        <is>
          <t>20 a 40 L/ha</t>
        </is>
      </c>
      <c r="J3037" s="7" t="inlineStr">
        <is>
          <t>7 dias</t>
        </is>
      </c>
    </row>
    <row r="3038" ht="22" customHeight="1">
      <c r="A3038" s="12" t="inlineStr">
        <is>
          <t>CUL-3034</t>
        </is>
      </c>
      <c r="B3038" s="11" t="n">
        <v>589</v>
      </c>
      <c r="C3038" s="13" t="inlineStr">
        <is>
          <t>Nº 23419</t>
        </is>
      </c>
      <c r="D3038" s="14" t="inlineStr">
        <is>
          <t>SAFENITH</t>
        </is>
      </c>
      <c r="E3038" s="13" t="inlineStr">
        <is>
          <t>Pulverização Agrícola Conforme Bula</t>
        </is>
      </c>
      <c r="F3038" s="13" t="inlineStr">
        <is>
          <t>Café</t>
        </is>
      </c>
      <c r="G3038" s="13" t="inlineStr">
        <is>
          <t>Cultura Autorizada na Bula</t>
        </is>
      </c>
      <c r="H3038" s="13" t="inlineStr">
        <is>
          <t>100 a 300 L/ha</t>
        </is>
      </c>
      <c r="I3038" s="13" t="inlineStr">
        <is>
          <t>20 a 40 L/ha</t>
        </is>
      </c>
      <c r="J3038" s="13" t="inlineStr">
        <is>
          <t>30 dias</t>
        </is>
      </c>
    </row>
    <row r="3039" ht="22" customHeight="1">
      <c r="A3039" s="6" t="inlineStr">
        <is>
          <t>CUL-3035</t>
        </is>
      </c>
      <c r="B3039" s="5" t="n">
        <v>589</v>
      </c>
      <c r="C3039" s="7" t="inlineStr">
        <is>
          <t>Nº 23419</t>
        </is>
      </c>
      <c r="D3039" s="8" t="inlineStr">
        <is>
          <t>SAFENITH</t>
        </is>
      </c>
      <c r="E3039" s="7" t="inlineStr">
        <is>
          <t>Pulverização Agrícola Conforme Bula</t>
        </is>
      </c>
      <c r="F3039" s="7" t="inlineStr">
        <is>
          <t>Tomate</t>
        </is>
      </c>
      <c r="G3039" s="7" t="inlineStr">
        <is>
          <t>Cultura Autorizada na Bula</t>
        </is>
      </c>
      <c r="H3039" s="7" t="inlineStr">
        <is>
          <t>100 a 300 L/ha</t>
        </is>
      </c>
      <c r="I3039" s="7" t="inlineStr">
        <is>
          <t>20 a 40 L/ha</t>
        </is>
      </c>
      <c r="J3039" s="7" t="inlineStr">
        <is>
          <t>7 dias</t>
        </is>
      </c>
    </row>
    <row r="3040" ht="22" customHeight="1">
      <c r="A3040" s="12" t="inlineStr">
        <is>
          <t>CUL-3036</t>
        </is>
      </c>
      <c r="B3040" s="11" t="n">
        <v>590</v>
      </c>
      <c r="C3040" s="13" t="inlineStr">
        <is>
          <t>Nº 5615</t>
        </is>
      </c>
      <c r="D3040" s="14" t="inlineStr">
        <is>
          <t>PREVINIL</t>
        </is>
      </c>
      <c r="E3040" s="13" t="inlineStr">
        <is>
          <t>Pulverização Agrícola Conforme Bula</t>
        </is>
      </c>
      <c r="F3040" s="13" t="inlineStr">
        <is>
          <t>Soja</t>
        </is>
      </c>
      <c r="G3040" s="13" t="inlineStr">
        <is>
          <t>Cultura Autorizada na Bula</t>
        </is>
      </c>
      <c r="H3040" s="13" t="inlineStr">
        <is>
          <t>100 a 300 L/ha</t>
        </is>
      </c>
      <c r="I3040" s="13" t="inlineStr">
        <is>
          <t>20 a 40 L/ha</t>
        </is>
      </c>
      <c r="J3040" s="13" t="inlineStr">
        <is>
          <t>14 dias</t>
        </is>
      </c>
    </row>
    <row r="3041" ht="22" customHeight="1">
      <c r="A3041" s="6" t="inlineStr">
        <is>
          <t>CUL-3037</t>
        </is>
      </c>
      <c r="B3041" s="5" t="n">
        <v>590</v>
      </c>
      <c r="C3041" s="7" t="inlineStr">
        <is>
          <t>Nº 5615</t>
        </is>
      </c>
      <c r="D3041" s="8" t="inlineStr">
        <is>
          <t>PREVINIL</t>
        </is>
      </c>
      <c r="E3041" s="7" t="inlineStr">
        <is>
          <t>Pulverização Agrícola Conforme Bula</t>
        </is>
      </c>
      <c r="F3041" s="7" t="inlineStr">
        <is>
          <t>Algodão</t>
        </is>
      </c>
      <c r="G3041" s="7" t="inlineStr">
        <is>
          <t>Cultura Autorizada na Bula</t>
        </is>
      </c>
      <c r="H3041" s="7" t="inlineStr">
        <is>
          <t>100 a 300 L/ha</t>
        </is>
      </c>
      <c r="I3041" s="7" t="inlineStr">
        <is>
          <t>20 a 40 L/ha</t>
        </is>
      </c>
      <c r="J3041" s="7" t="inlineStr">
        <is>
          <t>14 dias</t>
        </is>
      </c>
    </row>
    <row r="3042" ht="22" customHeight="1">
      <c r="A3042" s="12" t="inlineStr">
        <is>
          <t>CUL-3038</t>
        </is>
      </c>
      <c r="B3042" s="11" t="n">
        <v>590</v>
      </c>
      <c r="C3042" s="13" t="inlineStr">
        <is>
          <t>Nº 5615</t>
        </is>
      </c>
      <c r="D3042" s="14" t="inlineStr">
        <is>
          <t>PREVINIL</t>
        </is>
      </c>
      <c r="E3042" s="13" t="inlineStr">
        <is>
          <t>Pulverização Agrícola Conforme Bula</t>
        </is>
      </c>
      <c r="F3042" s="13" t="inlineStr">
        <is>
          <t>Feijão</t>
        </is>
      </c>
      <c r="G3042" s="13" t="inlineStr">
        <is>
          <t>Cultura Autorizada na Bula</t>
        </is>
      </c>
      <c r="H3042" s="13" t="inlineStr">
        <is>
          <t>100 a 300 L/ha</t>
        </is>
      </c>
      <c r="I3042" s="13" t="inlineStr">
        <is>
          <t>20 a 40 L/ha</t>
        </is>
      </c>
      <c r="J3042" s="13" t="inlineStr">
        <is>
          <t>14 dias</t>
        </is>
      </c>
    </row>
    <row r="3043" ht="22" customHeight="1">
      <c r="A3043" s="6" t="inlineStr">
        <is>
          <t>CUL-3039</t>
        </is>
      </c>
      <c r="B3043" s="5" t="n">
        <v>590</v>
      </c>
      <c r="C3043" s="7" t="inlineStr">
        <is>
          <t>Nº 5615</t>
        </is>
      </c>
      <c r="D3043" s="8" t="inlineStr">
        <is>
          <t>PREVINIL</t>
        </is>
      </c>
      <c r="E3043" s="7" t="inlineStr">
        <is>
          <t>Pulverização Agrícola Conforme Bula</t>
        </is>
      </c>
      <c r="F3043" s="7" t="inlineStr">
        <is>
          <t>Milho</t>
        </is>
      </c>
      <c r="G3043" s="7" t="inlineStr">
        <is>
          <t>Cultura Autorizada na Bula</t>
        </is>
      </c>
      <c r="H3043" s="7" t="inlineStr">
        <is>
          <t>100 a 300 L/ha</t>
        </is>
      </c>
      <c r="I3043" s="7" t="inlineStr">
        <is>
          <t>20 a 40 L/ha</t>
        </is>
      </c>
      <c r="J3043" s="7" t="inlineStr">
        <is>
          <t>14 dias</t>
        </is>
      </c>
    </row>
    <row r="3044" ht="22" customHeight="1">
      <c r="A3044" s="12" t="inlineStr">
        <is>
          <t>CUL-3040</t>
        </is>
      </c>
      <c r="B3044" s="11" t="n">
        <v>590</v>
      </c>
      <c r="C3044" s="13" t="inlineStr">
        <is>
          <t>Nº 5615</t>
        </is>
      </c>
      <c r="D3044" s="14" t="inlineStr">
        <is>
          <t>PREVINIL</t>
        </is>
      </c>
      <c r="E3044" s="13" t="inlineStr">
        <is>
          <t>Pulverização Agrícola Conforme Bula</t>
        </is>
      </c>
      <c r="F3044" s="13" t="inlineStr">
        <is>
          <t>Trigo</t>
        </is>
      </c>
      <c r="G3044" s="13" t="inlineStr">
        <is>
          <t>Cultura Autorizada na Bula</t>
        </is>
      </c>
      <c r="H3044" s="13" t="inlineStr">
        <is>
          <t>100 a 300 L/ha</t>
        </is>
      </c>
      <c r="I3044" s="13" t="inlineStr">
        <is>
          <t>20 a 40 L/ha</t>
        </is>
      </c>
      <c r="J3044" s="13" t="inlineStr">
        <is>
          <t>30 dias</t>
        </is>
      </c>
    </row>
    <row r="3045" ht="22" customHeight="1">
      <c r="A3045" s="6" t="inlineStr">
        <is>
          <t>CUL-3041</t>
        </is>
      </c>
      <c r="B3045" s="5" t="n">
        <v>590</v>
      </c>
      <c r="C3045" s="7" t="inlineStr">
        <is>
          <t>Nº 5615</t>
        </is>
      </c>
      <c r="D3045" s="8" t="inlineStr">
        <is>
          <t>PREVINIL</t>
        </is>
      </c>
      <c r="E3045" s="7" t="inlineStr">
        <is>
          <t>Pulverização Agrícola Conforme Bula</t>
        </is>
      </c>
      <c r="F3045" s="7" t="inlineStr">
        <is>
          <t>Batata</t>
        </is>
      </c>
      <c r="G3045" s="7" t="inlineStr">
        <is>
          <t>Cultura Autorizada na Bula</t>
        </is>
      </c>
      <c r="H3045" s="7" t="inlineStr">
        <is>
          <t>100 a 300 L/ha</t>
        </is>
      </c>
      <c r="I3045" s="7" t="inlineStr">
        <is>
          <t>20 a 40 L/ha</t>
        </is>
      </c>
      <c r="J3045" s="7" t="inlineStr">
        <is>
          <t>7 dias</t>
        </is>
      </c>
    </row>
    <row r="3046" ht="22" customHeight="1">
      <c r="A3046" s="12" t="inlineStr">
        <is>
          <t>CUL-3042</t>
        </is>
      </c>
      <c r="B3046" s="11" t="n">
        <v>590</v>
      </c>
      <c r="C3046" s="13" t="inlineStr">
        <is>
          <t>Nº 5615</t>
        </is>
      </c>
      <c r="D3046" s="14" t="inlineStr">
        <is>
          <t>PREVINIL</t>
        </is>
      </c>
      <c r="E3046" s="13" t="inlineStr">
        <is>
          <t>Pulverização Agrícola Conforme Bula</t>
        </is>
      </c>
      <c r="F3046" s="13" t="inlineStr">
        <is>
          <t>Café</t>
        </is>
      </c>
      <c r="G3046" s="13" t="inlineStr">
        <is>
          <t>Cultura Autorizada na Bula</t>
        </is>
      </c>
      <c r="H3046" s="13" t="inlineStr">
        <is>
          <t>100 a 300 L/ha</t>
        </is>
      </c>
      <c r="I3046" s="13" t="inlineStr">
        <is>
          <t>20 a 40 L/ha</t>
        </is>
      </c>
      <c r="J3046" s="13" t="inlineStr">
        <is>
          <t>30 dias</t>
        </is>
      </c>
    </row>
    <row r="3047" ht="22" customHeight="1">
      <c r="A3047" s="6" t="inlineStr">
        <is>
          <t>CUL-3043</t>
        </is>
      </c>
      <c r="B3047" s="5" t="n">
        <v>590</v>
      </c>
      <c r="C3047" s="7" t="inlineStr">
        <is>
          <t>Nº 5615</t>
        </is>
      </c>
      <c r="D3047" s="8" t="inlineStr">
        <is>
          <t>PREVINIL</t>
        </is>
      </c>
      <c r="E3047" s="7" t="inlineStr">
        <is>
          <t>Pulverização Agrícola Conforme Bula</t>
        </is>
      </c>
      <c r="F3047" s="7" t="inlineStr">
        <is>
          <t>Tomate</t>
        </is>
      </c>
      <c r="G3047" s="7" t="inlineStr">
        <is>
          <t>Cultura Autorizada na Bula</t>
        </is>
      </c>
      <c r="H3047" s="7" t="inlineStr">
        <is>
          <t>100 a 300 L/ha</t>
        </is>
      </c>
      <c r="I3047" s="7" t="inlineStr">
        <is>
          <t>20 a 40 L/ha</t>
        </is>
      </c>
      <c r="J3047" s="7" t="inlineStr">
        <is>
          <t>7 dias</t>
        </is>
      </c>
    </row>
    <row r="3048" ht="22" customHeight="1">
      <c r="A3048" s="12" t="inlineStr">
        <is>
          <t>CUL-3044</t>
        </is>
      </c>
      <c r="B3048" s="11" t="n">
        <v>591</v>
      </c>
      <c r="C3048" s="13" t="inlineStr">
        <is>
          <t>Nº 14617</t>
        </is>
      </c>
      <c r="D3048" s="14" t="inlineStr">
        <is>
          <t>SPERTO - UPL 138 FP BR</t>
        </is>
      </c>
      <c r="E3048" s="13" t="inlineStr">
        <is>
          <t>Pulverização Agrícola Conforme Bula</t>
        </is>
      </c>
      <c r="F3048" s="13" t="inlineStr">
        <is>
          <t>Algodão</t>
        </is>
      </c>
      <c r="G3048" s="13" t="inlineStr">
        <is>
          <t>Cultura Autorizada na Bula</t>
        </is>
      </c>
      <c r="H3048" s="13" t="inlineStr">
        <is>
          <t>100 a 300 L/ha</t>
        </is>
      </c>
      <c r="I3048" s="13" t="inlineStr">
        <is>
          <t>20 a 40 L/ha</t>
        </is>
      </c>
      <c r="J3048" s="13" t="inlineStr">
        <is>
          <t>15 dias</t>
        </is>
      </c>
    </row>
    <row r="3049" ht="22" customHeight="1">
      <c r="A3049" s="6" t="inlineStr">
        <is>
          <t>CUL-3045</t>
        </is>
      </c>
      <c r="B3049" s="5" t="n">
        <v>591</v>
      </c>
      <c r="C3049" s="7" t="inlineStr">
        <is>
          <t>Nº 14617</t>
        </is>
      </c>
      <c r="D3049" s="8" t="inlineStr">
        <is>
          <t>SPERTO - UPL 138 FP BR</t>
        </is>
      </c>
      <c r="E3049" s="7" t="inlineStr">
        <is>
          <t>Pulverização Agrícola Conforme Bula</t>
        </is>
      </c>
      <c r="F3049" s="7" t="inlineStr">
        <is>
          <t>Soja</t>
        </is>
      </c>
      <c r="G3049" s="7" t="inlineStr">
        <is>
          <t>Cultura Autorizada na Bula</t>
        </is>
      </c>
      <c r="H3049" s="7" t="inlineStr">
        <is>
          <t>100 a 300 L/ha</t>
        </is>
      </c>
      <c r="I3049" s="7" t="inlineStr">
        <is>
          <t>20 a 40 L/ha</t>
        </is>
      </c>
      <c r="J3049" s="7" t="inlineStr">
        <is>
          <t>30 dias</t>
        </is>
      </c>
    </row>
    <row r="3050" ht="22" customHeight="1">
      <c r="A3050" s="12" t="inlineStr">
        <is>
          <t>CUL-3046</t>
        </is>
      </c>
      <c r="B3050" s="11" t="n">
        <v>591</v>
      </c>
      <c r="C3050" s="13" t="inlineStr">
        <is>
          <t>Nº 14617</t>
        </is>
      </c>
      <c r="D3050" s="14" t="inlineStr">
        <is>
          <t>SPERTO - UPL 138 FP BR</t>
        </is>
      </c>
      <c r="E3050" s="13" t="inlineStr">
        <is>
          <t>Pulverização Agrícola Conforme Bula</t>
        </is>
      </c>
      <c r="F3050" s="13" t="inlineStr">
        <is>
          <t>Milho</t>
        </is>
      </c>
      <c r="G3050" s="13" t="inlineStr">
        <is>
          <t>Cultura Autorizada na Bula</t>
        </is>
      </c>
      <c r="H3050" s="13" t="inlineStr">
        <is>
          <t>100 a 300 L/ha</t>
        </is>
      </c>
      <c r="I3050" s="13" t="inlineStr">
        <is>
          <t>20 a 40 L/ha</t>
        </is>
      </c>
      <c r="J3050" s="13" t="inlineStr">
        <is>
          <t>30 dias</t>
        </is>
      </c>
    </row>
    <row r="3051" ht="22" customHeight="1">
      <c r="A3051" s="6" t="inlineStr">
        <is>
          <t>CUL-3047</t>
        </is>
      </c>
      <c r="B3051" s="5" t="n">
        <v>591</v>
      </c>
      <c r="C3051" s="7" t="inlineStr">
        <is>
          <t>Nº 14617</t>
        </is>
      </c>
      <c r="D3051" s="8" t="inlineStr">
        <is>
          <t>SPERTO - UPL 138 FP BR</t>
        </is>
      </c>
      <c r="E3051" s="7" t="inlineStr">
        <is>
          <t>Pulverização Agrícola Conforme Bula</t>
        </is>
      </c>
      <c r="F3051" s="7" t="inlineStr">
        <is>
          <t>Cana-de-açúcar</t>
        </is>
      </c>
      <c r="G3051" s="7" t="inlineStr">
        <is>
          <t>Cultura Autorizada na Bula</t>
        </is>
      </c>
      <c r="H3051" s="7" t="inlineStr">
        <is>
          <t>100 a 300 L/ha</t>
        </is>
      </c>
      <c r="I3051" s="7" t="inlineStr">
        <is>
          <t>20 a 40 L/ha</t>
        </is>
      </c>
      <c r="J3051" s="7" t="inlineStr">
        <is>
          <t>30 dias</t>
        </is>
      </c>
    </row>
    <row r="3052" ht="22" customHeight="1">
      <c r="A3052" s="12" t="inlineStr">
        <is>
          <t>CUL-3048</t>
        </is>
      </c>
      <c r="B3052" s="11" t="n">
        <v>591</v>
      </c>
      <c r="C3052" s="13" t="inlineStr">
        <is>
          <t>Nº 14617</t>
        </is>
      </c>
      <c r="D3052" s="14" t="inlineStr">
        <is>
          <t>SPERTO - UPL 138 FP BR</t>
        </is>
      </c>
      <c r="E3052" s="13" t="inlineStr">
        <is>
          <t>Pulverização Agrícola Conforme Bula</t>
        </is>
      </c>
      <c r="F3052" s="13" t="inlineStr">
        <is>
          <t>Café</t>
        </is>
      </c>
      <c r="G3052" s="13" t="inlineStr">
        <is>
          <t>Cultura Autorizada na Bula</t>
        </is>
      </c>
      <c r="H3052" s="13" t="inlineStr">
        <is>
          <t>100 a 300 L/ha</t>
        </is>
      </c>
      <c r="I3052" s="13" t="inlineStr">
        <is>
          <t>20 a 40 L/ha</t>
        </is>
      </c>
      <c r="J3052" s="13" t="inlineStr">
        <is>
          <t>30 dias</t>
        </is>
      </c>
    </row>
    <row r="3053" ht="22" customHeight="1">
      <c r="A3053" s="6" t="inlineStr">
        <is>
          <t>CUL-3049</t>
        </is>
      </c>
      <c r="B3053" s="5" t="n">
        <v>591</v>
      </c>
      <c r="C3053" s="7" t="inlineStr">
        <is>
          <t>Nº 14617</t>
        </is>
      </c>
      <c r="D3053" s="8" t="inlineStr">
        <is>
          <t>SPERTO - UPL 138 FP BR</t>
        </is>
      </c>
      <c r="E3053" s="7" t="inlineStr">
        <is>
          <t>Pulverização Agrícola Conforme Bula</t>
        </is>
      </c>
      <c r="F3053" s="7" t="inlineStr">
        <is>
          <t>Citros</t>
        </is>
      </c>
      <c r="G3053" s="7" t="inlineStr">
        <is>
          <t>Cultura Autorizada na Bula</t>
        </is>
      </c>
      <c r="H3053" s="7" t="inlineStr">
        <is>
          <t>100 a 300 L/ha</t>
        </is>
      </c>
      <c r="I3053" s="7" t="inlineStr">
        <is>
          <t>20 a 40 L/ha</t>
        </is>
      </c>
      <c r="J3053" s="7" t="inlineStr">
        <is>
          <t>7 dias</t>
        </is>
      </c>
    </row>
    <row r="3054" ht="22" customHeight="1">
      <c r="A3054" s="12" t="inlineStr">
        <is>
          <t>CUL-3050</t>
        </is>
      </c>
      <c r="B3054" s="11" t="n">
        <v>591</v>
      </c>
      <c r="C3054" s="13" t="inlineStr">
        <is>
          <t>Nº 14617</t>
        </is>
      </c>
      <c r="D3054" s="14" t="inlineStr">
        <is>
          <t>SPERTO - UPL 138 FP BR</t>
        </is>
      </c>
      <c r="E3054" s="13" t="inlineStr">
        <is>
          <t>Pulverização Agrícola Conforme Bula</t>
        </is>
      </c>
      <c r="F3054" s="13" t="inlineStr">
        <is>
          <t>Feijão</t>
        </is>
      </c>
      <c r="G3054" s="13" t="inlineStr">
        <is>
          <t>Cultura Autorizada na Bula</t>
        </is>
      </c>
      <c r="H3054" s="13" t="inlineStr">
        <is>
          <t>100 a 300 L/ha</t>
        </is>
      </c>
      <c r="I3054" s="13" t="inlineStr">
        <is>
          <t>20 a 40 L/ha</t>
        </is>
      </c>
      <c r="J3054" s="13" t="inlineStr">
        <is>
          <t>20 dias</t>
        </is>
      </c>
    </row>
    <row r="3055" ht="22" customHeight="1">
      <c r="A3055" s="6" t="inlineStr">
        <is>
          <t>CUL-3051</t>
        </is>
      </c>
      <c r="B3055" s="5" t="n">
        <v>591</v>
      </c>
      <c r="C3055" s="7" t="inlineStr">
        <is>
          <t>Nº 14617</t>
        </is>
      </c>
      <c r="D3055" s="8" t="inlineStr">
        <is>
          <t>SPERTO - UPL 138 FP BR</t>
        </is>
      </c>
      <c r="E3055" s="7" t="inlineStr">
        <is>
          <t>Pulverização Agrícola Conforme Bula</t>
        </is>
      </c>
      <c r="F3055" s="7" t="inlineStr">
        <is>
          <t>Trigo</t>
        </is>
      </c>
      <c r="G3055" s="7" t="inlineStr">
        <is>
          <t>Cultura Autorizada na Bula</t>
        </is>
      </c>
      <c r="H3055" s="7" t="inlineStr">
        <is>
          <t>100 a 300 L/ha</t>
        </is>
      </c>
      <c r="I3055" s="7" t="inlineStr">
        <is>
          <t>20 a 40 L/ha</t>
        </is>
      </c>
      <c r="J3055" s="7" t="inlineStr">
        <is>
          <t>30 dias</t>
        </is>
      </c>
    </row>
    <row r="3056" ht="22" customHeight="1">
      <c r="A3056" s="12" t="inlineStr">
        <is>
          <t>CUL-3052</t>
        </is>
      </c>
      <c r="B3056" s="11" t="n">
        <v>592</v>
      </c>
      <c r="C3056" s="13" t="inlineStr">
        <is>
          <t>SIPEAGRO (UF-XXXXX)</t>
        </is>
      </c>
      <c r="D3056" s="14" t="inlineStr">
        <is>
          <t>NITROBASE 30</t>
        </is>
      </c>
      <c r="E3056" s="13" t="inlineStr">
        <is>
          <t>Adubação de Solo / Foliar</t>
        </is>
      </c>
      <c r="F3056" s="13" t="inlineStr">
        <is>
          <t>Soja</t>
        </is>
      </c>
      <c r="G3056" s="13" t="inlineStr">
        <is>
          <t>Cultura Autorizada na Bula</t>
        </is>
      </c>
      <c r="H3056" s="13" t="inlineStr">
        <is>
          <t>100 a 300 L/ha</t>
        </is>
      </c>
      <c r="I3056" s="13" t="inlineStr">
        <is>
          <t>20 a 40 L/ha</t>
        </is>
      </c>
      <c r="J3056" s="13" t="inlineStr">
        <is>
          <t>Isento</t>
        </is>
      </c>
    </row>
    <row r="3057" ht="22" customHeight="1">
      <c r="A3057" s="6" t="inlineStr">
        <is>
          <t>CUL-3053</t>
        </is>
      </c>
      <c r="B3057" s="5" t="n">
        <v>592</v>
      </c>
      <c r="C3057" s="7" t="inlineStr">
        <is>
          <t>SIPEAGRO (UF-XXXXX)</t>
        </is>
      </c>
      <c r="D3057" s="8" t="inlineStr">
        <is>
          <t>NITROBASE 30</t>
        </is>
      </c>
      <c r="E3057" s="7" t="inlineStr">
        <is>
          <t>Adubação de Solo / Foliar</t>
        </is>
      </c>
      <c r="F3057" s="7" t="inlineStr">
        <is>
          <t>Milho</t>
        </is>
      </c>
      <c r="G3057" s="7" t="inlineStr">
        <is>
          <t>Cultura Autorizada na Bula</t>
        </is>
      </c>
      <c r="H3057" s="7" t="inlineStr">
        <is>
          <t>100 a 300 L/ha</t>
        </is>
      </c>
      <c r="I3057" s="7" t="inlineStr">
        <is>
          <t>20 a 40 L/ha</t>
        </is>
      </c>
      <c r="J3057" s="7" t="inlineStr">
        <is>
          <t>Isento</t>
        </is>
      </c>
    </row>
    <row r="3058" ht="22" customHeight="1">
      <c r="A3058" s="12" t="inlineStr">
        <is>
          <t>CUL-3054</t>
        </is>
      </c>
      <c r="B3058" s="11" t="n">
        <v>592</v>
      </c>
      <c r="C3058" s="13" t="inlineStr">
        <is>
          <t>SIPEAGRO (UF-XXXXX)</t>
        </is>
      </c>
      <c r="D3058" s="14" t="inlineStr">
        <is>
          <t>NITROBASE 30</t>
        </is>
      </c>
      <c r="E3058" s="13" t="inlineStr">
        <is>
          <t>Adubação de Solo / Foliar</t>
        </is>
      </c>
      <c r="F3058" s="13" t="inlineStr">
        <is>
          <t>Algodão</t>
        </is>
      </c>
      <c r="G3058" s="13" t="inlineStr">
        <is>
          <t>Cultura Autorizada na Bula</t>
        </is>
      </c>
      <c r="H3058" s="13" t="inlineStr">
        <is>
          <t>100 a 300 L/ha</t>
        </is>
      </c>
      <c r="I3058" s="13" t="inlineStr">
        <is>
          <t>20 a 40 L/ha</t>
        </is>
      </c>
      <c r="J3058" s="13" t="inlineStr">
        <is>
          <t>Isento</t>
        </is>
      </c>
    </row>
    <row r="3059" ht="22" customHeight="1">
      <c r="A3059" s="6" t="inlineStr">
        <is>
          <t>CUL-3055</t>
        </is>
      </c>
      <c r="B3059" s="5" t="n">
        <v>592</v>
      </c>
      <c r="C3059" s="7" t="inlineStr">
        <is>
          <t>SIPEAGRO (UF-XXXXX)</t>
        </is>
      </c>
      <c r="D3059" s="8" t="inlineStr">
        <is>
          <t>NITROBASE 30</t>
        </is>
      </c>
      <c r="E3059" s="7" t="inlineStr">
        <is>
          <t>Adubação de Solo / Foliar</t>
        </is>
      </c>
      <c r="F3059" s="7" t="inlineStr">
        <is>
          <t>Cana-de-açúcar</t>
        </is>
      </c>
      <c r="G3059" s="7" t="inlineStr">
        <is>
          <t>Cultura Autorizada na Bula</t>
        </is>
      </c>
      <c r="H3059" s="7" t="inlineStr">
        <is>
          <t>100 a 300 L/ha</t>
        </is>
      </c>
      <c r="I3059" s="7" t="inlineStr">
        <is>
          <t>20 a 40 L/ha</t>
        </is>
      </c>
      <c r="J3059" s="7" t="inlineStr">
        <is>
          <t>Isento</t>
        </is>
      </c>
    </row>
    <row r="3060" ht="22" customHeight="1">
      <c r="A3060" s="12" t="inlineStr">
        <is>
          <t>CUL-3056</t>
        </is>
      </c>
      <c r="B3060" s="11" t="n">
        <v>592</v>
      </c>
      <c r="C3060" s="13" t="inlineStr">
        <is>
          <t>SIPEAGRO (UF-XXXXX)</t>
        </is>
      </c>
      <c r="D3060" s="14" t="inlineStr">
        <is>
          <t>NITROBASE 30</t>
        </is>
      </c>
      <c r="E3060" s="13" t="inlineStr">
        <is>
          <t>Adubação de Solo / Foliar</t>
        </is>
      </c>
      <c r="F3060" s="13" t="inlineStr">
        <is>
          <t>Café</t>
        </is>
      </c>
      <c r="G3060" s="13" t="inlineStr">
        <is>
          <t>Cultura Autorizada na Bula</t>
        </is>
      </c>
      <c r="H3060" s="13" t="inlineStr">
        <is>
          <t>100 a 300 L/ha</t>
        </is>
      </c>
      <c r="I3060" s="13" t="inlineStr">
        <is>
          <t>20 a 40 L/ha</t>
        </is>
      </c>
      <c r="J3060" s="13" t="inlineStr">
        <is>
          <t>Isento</t>
        </is>
      </c>
    </row>
    <row r="3061" ht="22" customHeight="1">
      <c r="A3061" s="6" t="inlineStr">
        <is>
          <t>CUL-3057</t>
        </is>
      </c>
      <c r="B3061" s="5" t="n">
        <v>593</v>
      </c>
      <c r="C3061" s="7" t="inlineStr">
        <is>
          <t>Nº 18817</t>
        </is>
      </c>
      <c r="D3061" s="8" t="inlineStr">
        <is>
          <t>VERISMO</t>
        </is>
      </c>
      <c r="E3061" s="7" t="inlineStr">
        <is>
          <t>Pulverização Agrícola Conforme Bula</t>
        </is>
      </c>
      <c r="F3061" s="7" t="inlineStr">
        <is>
          <t>Soja</t>
        </is>
      </c>
      <c r="G3061" s="7" t="inlineStr">
        <is>
          <t>Cultura Autorizada na Bula</t>
        </is>
      </c>
      <c r="H3061" s="7" t="inlineStr">
        <is>
          <t>100 a 300 L/ha</t>
        </is>
      </c>
      <c r="I3061" s="7" t="inlineStr">
        <is>
          <t>20 a 40 L/ha</t>
        </is>
      </c>
      <c r="J3061" s="7" t="inlineStr">
        <is>
          <t>21 dias</t>
        </is>
      </c>
    </row>
    <row r="3062" ht="22" customHeight="1">
      <c r="A3062" s="12" t="inlineStr">
        <is>
          <t>CUL-3058</t>
        </is>
      </c>
      <c r="B3062" s="11" t="n">
        <v>593</v>
      </c>
      <c r="C3062" s="13" t="inlineStr">
        <is>
          <t>Nº 18817</t>
        </is>
      </c>
      <c r="D3062" s="14" t="inlineStr">
        <is>
          <t>VERISMO</t>
        </is>
      </c>
      <c r="E3062" s="13" t="inlineStr">
        <is>
          <t>Pulverização Agrícola Conforme Bula</t>
        </is>
      </c>
      <c r="F3062" s="13" t="inlineStr">
        <is>
          <t>Milho</t>
        </is>
      </c>
      <c r="G3062" s="13" t="inlineStr">
        <is>
          <t>Cultura Autorizada na Bula</t>
        </is>
      </c>
      <c r="H3062" s="13" t="inlineStr">
        <is>
          <t>100 a 300 L/ha</t>
        </is>
      </c>
      <c r="I3062" s="13" t="inlineStr">
        <is>
          <t>20 a 40 L/ha</t>
        </is>
      </c>
      <c r="J3062" s="13" t="inlineStr">
        <is>
          <t>21 dias</t>
        </is>
      </c>
    </row>
    <row r="3063" ht="22" customHeight="1">
      <c r="A3063" s="6" t="inlineStr">
        <is>
          <t>CUL-3059</t>
        </is>
      </c>
      <c r="B3063" s="5" t="n">
        <v>593</v>
      </c>
      <c r="C3063" s="7" t="inlineStr">
        <is>
          <t>Nº 18817</t>
        </is>
      </c>
      <c r="D3063" s="8" t="inlineStr">
        <is>
          <t>VERISMO</t>
        </is>
      </c>
      <c r="E3063" s="7" t="inlineStr">
        <is>
          <t>Pulverização Agrícola Conforme Bula</t>
        </is>
      </c>
      <c r="F3063" s="7" t="inlineStr">
        <is>
          <t>Algodão</t>
        </is>
      </c>
      <c r="G3063" s="7" t="inlineStr">
        <is>
          <t>Cultura Autorizada na Bula</t>
        </is>
      </c>
      <c r="H3063" s="7" t="inlineStr">
        <is>
          <t>100 a 300 L/ha</t>
        </is>
      </c>
      <c r="I3063" s="7" t="inlineStr">
        <is>
          <t>20 a 40 L/ha</t>
        </is>
      </c>
      <c r="J3063" s="7" t="inlineStr">
        <is>
          <t>21 dias</t>
        </is>
      </c>
    </row>
    <row r="3064" ht="22" customHeight="1">
      <c r="A3064" s="12" t="inlineStr">
        <is>
          <t>CUL-3060</t>
        </is>
      </c>
      <c r="B3064" s="11" t="n">
        <v>593</v>
      </c>
      <c r="C3064" s="13" t="inlineStr">
        <is>
          <t>Nº 18817</t>
        </is>
      </c>
      <c r="D3064" s="14" t="inlineStr">
        <is>
          <t>VERISMO</t>
        </is>
      </c>
      <c r="E3064" s="13" t="inlineStr">
        <is>
          <t>Pulverização Agrícola Conforme Bula</t>
        </is>
      </c>
      <c r="F3064" s="13" t="inlineStr">
        <is>
          <t>Feijão</t>
        </is>
      </c>
      <c r="G3064" s="13" t="inlineStr">
        <is>
          <t>Cultura Autorizada na Bula</t>
        </is>
      </c>
      <c r="H3064" s="13" t="inlineStr">
        <is>
          <t>100 a 300 L/ha</t>
        </is>
      </c>
      <c r="I3064" s="13" t="inlineStr">
        <is>
          <t>20 a 40 L/ha</t>
        </is>
      </c>
      <c r="J3064" s="13" t="inlineStr">
        <is>
          <t>14 dias</t>
        </is>
      </c>
    </row>
    <row r="3065" ht="22" customHeight="1">
      <c r="A3065" s="6" t="inlineStr">
        <is>
          <t>CUL-3061</t>
        </is>
      </c>
      <c r="B3065" s="5" t="n">
        <v>594</v>
      </c>
      <c r="C3065" s="7" t="inlineStr">
        <is>
          <t>SIPEAGRO (UF-XXXXX)</t>
        </is>
      </c>
      <c r="D3065" s="8" t="inlineStr">
        <is>
          <t>INOCULANTE GRAP NOD AL 1,5L</t>
        </is>
      </c>
      <c r="E3065" s="7" t="inlineStr">
        <is>
          <t>Pulverização Agrícola Conforme Bula</t>
        </is>
      </c>
      <c r="F3065" s="7" t="inlineStr">
        <is>
          <t>Milho</t>
        </is>
      </c>
      <c r="G3065" s="7" t="inlineStr">
        <is>
          <t>Cultura Autorizada na Bula</t>
        </is>
      </c>
      <c r="H3065" s="7" t="inlineStr">
        <is>
          <t>100 a 300 L/ha</t>
        </is>
      </c>
      <c r="I3065" s="7" t="inlineStr">
        <is>
          <t>20 a 40 L/ha</t>
        </is>
      </c>
      <c r="J3065" s="7" t="inlineStr">
        <is>
          <t>0 (Isento)</t>
        </is>
      </c>
    </row>
    <row r="3066" ht="22" customHeight="1">
      <c r="A3066" s="12" t="inlineStr">
        <is>
          <t>CUL-3062</t>
        </is>
      </c>
      <c r="B3066" s="11" t="n">
        <v>594</v>
      </c>
      <c r="C3066" s="13" t="inlineStr">
        <is>
          <t>SIPEAGRO (UF-XXXXX)</t>
        </is>
      </c>
      <c r="D3066" s="14" t="inlineStr">
        <is>
          <t>INOCULANTE GRAP NOD AL 1,5L</t>
        </is>
      </c>
      <c r="E3066" s="13" t="inlineStr">
        <is>
          <t>Pulverização Agrícola Conforme Bula</t>
        </is>
      </c>
      <c r="F3066" s="13" t="inlineStr">
        <is>
          <t>Soja (Coinoculação)</t>
        </is>
      </c>
      <c r="G3066" s="13" t="inlineStr">
        <is>
          <t>Cultura Autorizada na Bula</t>
        </is>
      </c>
      <c r="H3066" s="13" t="inlineStr">
        <is>
          <t>100 a 300 L/ha</t>
        </is>
      </c>
      <c r="I3066" s="13" t="inlineStr">
        <is>
          <t>20 a 40 L/ha</t>
        </is>
      </c>
      <c r="J3066" s="13" t="inlineStr">
        <is>
          <t>0 (Isento)</t>
        </is>
      </c>
    </row>
    <row r="3067" ht="22" customHeight="1">
      <c r="A3067" s="6" t="inlineStr">
        <is>
          <t>CUL-3063</t>
        </is>
      </c>
      <c r="B3067" s="5" t="n">
        <v>594</v>
      </c>
      <c r="C3067" s="7" t="inlineStr">
        <is>
          <t>SIPEAGRO (UF-XXXXX)</t>
        </is>
      </c>
      <c r="D3067" s="8" t="inlineStr">
        <is>
          <t>INOCULANTE GRAP NOD AL 1,5L</t>
        </is>
      </c>
      <c r="E3067" s="7" t="inlineStr">
        <is>
          <t>Pulverização Agrícola Conforme Bula</t>
        </is>
      </c>
      <c r="F3067" s="7" t="inlineStr">
        <is>
          <t>Trigo</t>
        </is>
      </c>
      <c r="G3067" s="7" t="inlineStr">
        <is>
          <t>Cultura Autorizada na Bula</t>
        </is>
      </c>
      <c r="H3067" s="7" t="inlineStr">
        <is>
          <t>100 a 300 L/ha</t>
        </is>
      </c>
      <c r="I3067" s="7" t="inlineStr">
        <is>
          <t>20 a 40 L/ha</t>
        </is>
      </c>
      <c r="J3067" s="7" t="inlineStr">
        <is>
          <t>0 (Isento)</t>
        </is>
      </c>
    </row>
    <row r="3068" ht="22" customHeight="1">
      <c r="A3068" s="12" t="inlineStr">
        <is>
          <t>CUL-3064</t>
        </is>
      </c>
      <c r="B3068" s="11" t="n">
        <v>594</v>
      </c>
      <c r="C3068" s="13" t="inlineStr">
        <is>
          <t>SIPEAGRO (UF-XXXXX)</t>
        </is>
      </c>
      <c r="D3068" s="14" t="inlineStr">
        <is>
          <t>INOCULANTE GRAP NOD AL 1,5L</t>
        </is>
      </c>
      <c r="E3068" s="13" t="inlineStr">
        <is>
          <t>Pulverização Agrícola Conforme Bula</t>
        </is>
      </c>
      <c r="F3068" s="13" t="inlineStr">
        <is>
          <t>Pastagens (Brachiaria)</t>
        </is>
      </c>
      <c r="G3068" s="13" t="inlineStr">
        <is>
          <t>Cultura Autorizada na Bula</t>
        </is>
      </c>
      <c r="H3068" s="13" t="inlineStr">
        <is>
          <t>100 a 300 L/ha</t>
        </is>
      </c>
      <c r="I3068" s="13" t="inlineStr">
        <is>
          <t>20 a 40 L/ha</t>
        </is>
      </c>
      <c r="J3068" s="13" t="inlineStr">
        <is>
          <t>0 (Isento)</t>
        </is>
      </c>
    </row>
    <row r="3069" ht="22" customHeight="1">
      <c r="A3069" s="6" t="inlineStr">
        <is>
          <t>CUL-3065</t>
        </is>
      </c>
      <c r="B3069" s="5" t="n">
        <v>595</v>
      </c>
      <c r="C3069" s="7" t="inlineStr">
        <is>
          <t>Nº 0322</t>
        </is>
      </c>
      <c r="D3069" s="8" t="inlineStr">
        <is>
          <t>DORAI MAX</t>
        </is>
      </c>
      <c r="E3069" s="7" t="inlineStr">
        <is>
          <t>Pulverização Agrícola Conforme Bula</t>
        </is>
      </c>
      <c r="F3069" s="7" t="inlineStr">
        <is>
          <t>Soja (Dessecação Pré-Colheita e Pré-Plantio)</t>
        </is>
      </c>
      <c r="G3069" s="7" t="inlineStr">
        <is>
          <t>Cultura Autorizada na Bula</t>
        </is>
      </c>
      <c r="H3069" s="7" t="inlineStr">
        <is>
          <t>100 a 300 L/ha</t>
        </is>
      </c>
      <c r="I3069" s="7" t="inlineStr">
        <is>
          <t>20 a 40 L/ha</t>
        </is>
      </c>
      <c r="J3069" s="7" t="inlineStr">
        <is>
          <t>7 dias</t>
        </is>
      </c>
    </row>
    <row r="3070" ht="22" customHeight="1">
      <c r="A3070" s="12" t="inlineStr">
        <is>
          <t>CUL-3066</t>
        </is>
      </c>
      <c r="B3070" s="11" t="n">
        <v>595</v>
      </c>
      <c r="C3070" s="13" t="inlineStr">
        <is>
          <t>Nº 0322</t>
        </is>
      </c>
      <c r="D3070" s="14" t="inlineStr">
        <is>
          <t>DORAI MAX</t>
        </is>
      </c>
      <c r="E3070" s="13" t="inlineStr">
        <is>
          <t>Pulverização Agrícola Conforme Bula</t>
        </is>
      </c>
      <c r="F3070" s="13" t="inlineStr">
        <is>
          <t>Feijão (Dessecação Pré-Colheita)</t>
        </is>
      </c>
      <c r="G3070" s="13" t="inlineStr">
        <is>
          <t>Cultura Autorizada na Bula</t>
        </is>
      </c>
      <c r="H3070" s="13" t="inlineStr">
        <is>
          <t>100 a 300 L/ha</t>
        </is>
      </c>
      <c r="I3070" s="13" t="inlineStr">
        <is>
          <t>20 a 40 L/ha</t>
        </is>
      </c>
      <c r="J3070" s="13" t="inlineStr">
        <is>
          <t>7 dias</t>
        </is>
      </c>
    </row>
    <row r="3071" ht="22" customHeight="1">
      <c r="A3071" s="6" t="inlineStr">
        <is>
          <t>CUL-3067</t>
        </is>
      </c>
      <c r="B3071" s="5" t="n">
        <v>595</v>
      </c>
      <c r="C3071" s="7" t="inlineStr">
        <is>
          <t>Nº 0322</t>
        </is>
      </c>
      <c r="D3071" s="8" t="inlineStr">
        <is>
          <t>DORAI MAX</t>
        </is>
      </c>
      <c r="E3071" s="7" t="inlineStr">
        <is>
          <t>Pulverização Agrícola Conforme Bula</t>
        </is>
      </c>
      <c r="F3071" s="7" t="inlineStr">
        <is>
          <t>Algodão</t>
        </is>
      </c>
      <c r="G3071" s="7" t="inlineStr">
        <is>
          <t>Cultura Autorizada na Bula</t>
        </is>
      </c>
      <c r="H3071" s="7" t="inlineStr">
        <is>
          <t>100 a 300 L/ha</t>
        </is>
      </c>
      <c r="I3071" s="7" t="inlineStr">
        <is>
          <t>20 a 40 L/ha</t>
        </is>
      </c>
      <c r="J3071" s="7" t="inlineStr">
        <is>
          <t>7 dias</t>
        </is>
      </c>
    </row>
    <row r="3072" ht="22" customHeight="1">
      <c r="A3072" s="12" t="inlineStr">
        <is>
          <t>CUL-3068</t>
        </is>
      </c>
      <c r="B3072" s="11" t="n">
        <v>595</v>
      </c>
      <c r="C3072" s="13" t="inlineStr">
        <is>
          <t>Nº 0322</t>
        </is>
      </c>
      <c r="D3072" s="14" t="inlineStr">
        <is>
          <t>DORAI MAX</t>
        </is>
      </c>
      <c r="E3072" s="13" t="inlineStr">
        <is>
          <t>Pulverização Agrícola Conforme Bula</t>
        </is>
      </c>
      <c r="F3072" s="13" t="inlineStr">
        <is>
          <t>Batata</t>
        </is>
      </c>
      <c r="G3072" s="13" t="inlineStr">
        <is>
          <t>Cultura Autorizada na Bula</t>
        </is>
      </c>
      <c r="H3072" s="13" t="inlineStr">
        <is>
          <t>100 a 300 L/ha</t>
        </is>
      </c>
      <c r="I3072" s="13" t="inlineStr">
        <is>
          <t>20 a 40 L/ha</t>
        </is>
      </c>
      <c r="J3072" s="13" t="inlineStr">
        <is>
          <t>7 dias</t>
        </is>
      </c>
    </row>
    <row r="3073" ht="22" customHeight="1">
      <c r="A3073" s="6" t="inlineStr">
        <is>
          <t>CUL-3069</t>
        </is>
      </c>
      <c r="B3073" s="5" t="n">
        <v>595</v>
      </c>
      <c r="C3073" s="7" t="inlineStr">
        <is>
          <t>Nº 0322</t>
        </is>
      </c>
      <c r="D3073" s="8" t="inlineStr">
        <is>
          <t>DORAI MAX</t>
        </is>
      </c>
      <c r="E3073" s="7" t="inlineStr">
        <is>
          <t>Pulverização Agrícola Conforme Bula</t>
        </is>
      </c>
      <c r="F3073" s="7" t="inlineStr">
        <is>
          <t>Milho (Pré-Plantio)</t>
        </is>
      </c>
      <c r="G3073" s="7" t="inlineStr">
        <is>
          <t>Cultura Autorizada na Bula</t>
        </is>
      </c>
      <c r="H3073" s="7" t="inlineStr">
        <is>
          <t>100 a 300 L/ha</t>
        </is>
      </c>
      <c r="I3073" s="7" t="inlineStr">
        <is>
          <t>20 a 40 L/ha</t>
        </is>
      </c>
      <c r="J3073" s="7" t="inlineStr">
        <is>
          <t>N/D</t>
        </is>
      </c>
    </row>
    <row r="3074" ht="22" customHeight="1">
      <c r="A3074" s="12" t="inlineStr">
        <is>
          <t>CUL-3070</t>
        </is>
      </c>
      <c r="B3074" s="11" t="n">
        <v>596</v>
      </c>
      <c r="C3074" s="13" t="inlineStr">
        <is>
          <t>Nº 1192</t>
        </is>
      </c>
      <c r="D3074" s="14" t="inlineStr">
        <is>
          <t>BULLDOCK</t>
        </is>
      </c>
      <c r="E3074" s="13" t="inlineStr">
        <is>
          <t>Pulverização Agrícola Conforme Bula</t>
        </is>
      </c>
      <c r="F3074" s="13" t="inlineStr">
        <is>
          <t>Soja</t>
        </is>
      </c>
      <c r="G3074" s="13" t="inlineStr">
        <is>
          <t>Cultura Autorizada na Bula</t>
        </is>
      </c>
      <c r="H3074" s="13" t="inlineStr">
        <is>
          <t>100 a 300 L/ha</t>
        </is>
      </c>
      <c r="I3074" s="13" t="inlineStr">
        <is>
          <t>20 a 40 L/ha</t>
        </is>
      </c>
      <c r="J3074" s="13" t="inlineStr">
        <is>
          <t>21 dias</t>
        </is>
      </c>
    </row>
    <row r="3075" ht="22" customHeight="1">
      <c r="A3075" s="6" t="inlineStr">
        <is>
          <t>CUL-3071</t>
        </is>
      </c>
      <c r="B3075" s="5" t="n">
        <v>596</v>
      </c>
      <c r="C3075" s="7" t="inlineStr">
        <is>
          <t>Nº 1192</t>
        </is>
      </c>
      <c r="D3075" s="8" t="inlineStr">
        <is>
          <t>BULLDOCK</t>
        </is>
      </c>
      <c r="E3075" s="7" t="inlineStr">
        <is>
          <t>Pulverização Agrícola Conforme Bula</t>
        </is>
      </c>
      <c r="F3075" s="7" t="inlineStr">
        <is>
          <t>Milho</t>
        </is>
      </c>
      <c r="G3075" s="7" t="inlineStr">
        <is>
          <t>Cultura Autorizada na Bula</t>
        </is>
      </c>
      <c r="H3075" s="7" t="inlineStr">
        <is>
          <t>100 a 300 L/ha</t>
        </is>
      </c>
      <c r="I3075" s="7" t="inlineStr">
        <is>
          <t>20 a 40 L/ha</t>
        </is>
      </c>
      <c r="J3075" s="7" t="inlineStr">
        <is>
          <t>21 dias</t>
        </is>
      </c>
    </row>
    <row r="3076" ht="22" customHeight="1">
      <c r="A3076" s="12" t="inlineStr">
        <is>
          <t>CUL-3072</t>
        </is>
      </c>
      <c r="B3076" s="11" t="n">
        <v>596</v>
      </c>
      <c r="C3076" s="13" t="inlineStr">
        <is>
          <t>Nº 1192</t>
        </is>
      </c>
      <c r="D3076" s="14" t="inlineStr">
        <is>
          <t>BULLDOCK</t>
        </is>
      </c>
      <c r="E3076" s="13" t="inlineStr">
        <is>
          <t>Pulverização Agrícola Conforme Bula</t>
        </is>
      </c>
      <c r="F3076" s="13" t="inlineStr">
        <is>
          <t>Algodão</t>
        </is>
      </c>
      <c r="G3076" s="13" t="inlineStr">
        <is>
          <t>Cultura Autorizada na Bula</t>
        </is>
      </c>
      <c r="H3076" s="13" t="inlineStr">
        <is>
          <t>100 a 300 L/ha</t>
        </is>
      </c>
      <c r="I3076" s="13" t="inlineStr">
        <is>
          <t>20 a 40 L/ha</t>
        </is>
      </c>
      <c r="J3076" s="13" t="inlineStr">
        <is>
          <t>21 dias</t>
        </is>
      </c>
    </row>
    <row r="3077" ht="22" customHeight="1">
      <c r="A3077" s="6" t="inlineStr">
        <is>
          <t>CUL-3073</t>
        </is>
      </c>
      <c r="B3077" s="5" t="n">
        <v>596</v>
      </c>
      <c r="C3077" s="7" t="inlineStr">
        <is>
          <t>Nº 1192</t>
        </is>
      </c>
      <c r="D3077" s="8" t="inlineStr">
        <is>
          <t>BULLDOCK</t>
        </is>
      </c>
      <c r="E3077" s="7" t="inlineStr">
        <is>
          <t>Pulverização Agrícola Conforme Bula</t>
        </is>
      </c>
      <c r="F3077" s="7" t="inlineStr">
        <is>
          <t>Feijão</t>
        </is>
      </c>
      <c r="G3077" s="7" t="inlineStr">
        <is>
          <t>Cultura Autorizada na Bula</t>
        </is>
      </c>
      <c r="H3077" s="7" t="inlineStr">
        <is>
          <t>100 a 300 L/ha</t>
        </is>
      </c>
      <c r="I3077" s="7" t="inlineStr">
        <is>
          <t>20 a 40 L/ha</t>
        </is>
      </c>
      <c r="J3077" s="7" t="inlineStr">
        <is>
          <t>14 dias</t>
        </is>
      </c>
    </row>
    <row r="3078" ht="22" customHeight="1">
      <c r="A3078" s="12" t="inlineStr">
        <is>
          <t>CUL-3074</t>
        </is>
      </c>
      <c r="B3078" s="11" t="n">
        <v>597</v>
      </c>
      <c r="C3078" s="13" t="inlineStr">
        <is>
          <t>Nº 21720</t>
        </is>
      </c>
      <c r="D3078" s="14" t="inlineStr">
        <is>
          <t>MEGATRAZ</t>
        </is>
      </c>
      <c r="E3078" s="13" t="inlineStr">
        <is>
          <t>Pulverização Agrícola Conforme Bula</t>
        </is>
      </c>
      <c r="F3078" s="13" t="inlineStr">
        <is>
          <t>Milho</t>
        </is>
      </c>
      <c r="G3078" s="13" t="inlineStr">
        <is>
          <t>Cultura Autorizada na Bula</t>
        </is>
      </c>
      <c r="H3078" s="13" t="inlineStr">
        <is>
          <t>100 a 300 L/ha</t>
        </is>
      </c>
      <c r="I3078" s="13" t="inlineStr">
        <is>
          <t>20 a 40 L/ha</t>
        </is>
      </c>
      <c r="J3078" s="13" t="inlineStr">
        <is>
          <t>60 dias</t>
        </is>
      </c>
    </row>
    <row r="3079" ht="22" customHeight="1">
      <c r="A3079" s="6" t="inlineStr">
        <is>
          <t>CUL-3075</t>
        </is>
      </c>
      <c r="B3079" s="5" t="n">
        <v>597</v>
      </c>
      <c r="C3079" s="7" t="inlineStr">
        <is>
          <t>Nº 21720</t>
        </is>
      </c>
      <c r="D3079" s="8" t="inlineStr">
        <is>
          <t>MEGATRAZ</t>
        </is>
      </c>
      <c r="E3079" s="7" t="inlineStr">
        <is>
          <t>Pulverização Agrícola Conforme Bula</t>
        </is>
      </c>
      <c r="F3079" s="7" t="inlineStr">
        <is>
          <t>Cana-de-açúcar</t>
        </is>
      </c>
      <c r="G3079" s="7" t="inlineStr">
        <is>
          <t>Cultura Autorizada na Bula</t>
        </is>
      </c>
      <c r="H3079" s="7" t="inlineStr">
        <is>
          <t>100 a 300 L/ha</t>
        </is>
      </c>
      <c r="I3079" s="7" t="inlineStr">
        <is>
          <t>20 a 40 L/ha</t>
        </is>
      </c>
      <c r="J3079" s="7" t="inlineStr">
        <is>
          <t>N/D</t>
        </is>
      </c>
    </row>
    <row r="3080" ht="22" customHeight="1">
      <c r="A3080" s="12" t="inlineStr">
        <is>
          <t>CUL-3076</t>
        </is>
      </c>
      <c r="B3080" s="11" t="n">
        <v>597</v>
      </c>
      <c r="C3080" s="13" t="inlineStr">
        <is>
          <t>Nº 21720</t>
        </is>
      </c>
      <c r="D3080" s="14" t="inlineStr">
        <is>
          <t>MEGATRAZ</t>
        </is>
      </c>
      <c r="E3080" s="13" t="inlineStr">
        <is>
          <t>Pulverização Agrícola Conforme Bula</t>
        </is>
      </c>
      <c r="F3080" s="13" t="inlineStr">
        <is>
          <t>Sorgo</t>
        </is>
      </c>
      <c r="G3080" s="13" t="inlineStr">
        <is>
          <t>Cultura Autorizada na Bula</t>
        </is>
      </c>
      <c r="H3080" s="13" t="inlineStr">
        <is>
          <t>100 a 300 L/ha</t>
        </is>
      </c>
      <c r="I3080" s="13" t="inlineStr">
        <is>
          <t>20 a 40 L/ha</t>
        </is>
      </c>
      <c r="J3080" s="13" t="inlineStr">
        <is>
          <t>60 dias</t>
        </is>
      </c>
    </row>
    <row r="3081" ht="22" customHeight="1">
      <c r="A3081" s="6" t="inlineStr">
        <is>
          <t>CUL-3077</t>
        </is>
      </c>
      <c r="B3081" s="5" t="n">
        <v>597</v>
      </c>
      <c r="C3081" s="7" t="inlineStr">
        <is>
          <t>Nº 21720</t>
        </is>
      </c>
      <c r="D3081" s="8" t="inlineStr">
        <is>
          <t>MEGATRAZ</t>
        </is>
      </c>
      <c r="E3081" s="7" t="inlineStr">
        <is>
          <t>Pulverização Agrícola Conforme Bula</t>
        </is>
      </c>
      <c r="F3081" s="7" t="inlineStr">
        <is>
          <t>Pinus / Eucalipto</t>
        </is>
      </c>
      <c r="G3081" s="7" t="inlineStr">
        <is>
          <t>Cultura Autorizada na Bula</t>
        </is>
      </c>
      <c r="H3081" s="7" t="inlineStr">
        <is>
          <t>100 a 300 L/ha</t>
        </is>
      </c>
      <c r="I3081" s="7" t="inlineStr">
        <is>
          <t>20 a 40 L/ha</t>
        </is>
      </c>
      <c r="J3081" s="7" t="inlineStr">
        <is>
          <t>U.N.A.</t>
        </is>
      </c>
    </row>
    <row r="3082" ht="22" customHeight="1">
      <c r="A3082" s="12" t="inlineStr">
        <is>
          <t>CUL-3078</t>
        </is>
      </c>
      <c r="B3082" s="11" t="n">
        <v>598</v>
      </c>
      <c r="C3082" s="13" t="inlineStr">
        <is>
          <t>SIPEAGRO (UF-XXXXX)</t>
        </is>
      </c>
      <c r="D3082" s="14" t="inlineStr">
        <is>
          <t>GRUN OBER</t>
        </is>
      </c>
      <c r="E3082" s="13" t="inlineStr">
        <is>
          <t>Adubação de Solo / Foliar</t>
        </is>
      </c>
      <c r="F3082" s="13" t="inlineStr">
        <is>
          <t>Soja</t>
        </is>
      </c>
      <c r="G3082" s="13" t="inlineStr">
        <is>
          <t>Cultura Autorizada na Bula</t>
        </is>
      </c>
      <c r="H3082" s="13" t="inlineStr">
        <is>
          <t>100 a 300 L/ha</t>
        </is>
      </c>
      <c r="I3082" s="13" t="inlineStr">
        <is>
          <t>20 a 40 L/ha</t>
        </is>
      </c>
      <c r="J3082" s="13" t="inlineStr">
        <is>
          <t>Isento</t>
        </is>
      </c>
    </row>
    <row r="3083" ht="22" customHeight="1">
      <c r="A3083" s="6" t="inlineStr">
        <is>
          <t>CUL-3079</t>
        </is>
      </c>
      <c r="B3083" s="5" t="n">
        <v>598</v>
      </c>
      <c r="C3083" s="7" t="inlineStr">
        <is>
          <t>SIPEAGRO (UF-XXXXX)</t>
        </is>
      </c>
      <c r="D3083" s="8" t="inlineStr">
        <is>
          <t>GRUN OBER</t>
        </is>
      </c>
      <c r="E3083" s="7" t="inlineStr">
        <is>
          <t>Adubação de Solo / Foliar</t>
        </is>
      </c>
      <c r="F3083" s="7" t="inlineStr">
        <is>
          <t>Milho</t>
        </is>
      </c>
      <c r="G3083" s="7" t="inlineStr">
        <is>
          <t>Cultura Autorizada na Bula</t>
        </is>
      </c>
      <c r="H3083" s="7" t="inlineStr">
        <is>
          <t>100 a 300 L/ha</t>
        </is>
      </c>
      <c r="I3083" s="7" t="inlineStr">
        <is>
          <t>20 a 40 L/ha</t>
        </is>
      </c>
      <c r="J3083" s="7" t="inlineStr">
        <is>
          <t>Isento</t>
        </is>
      </c>
    </row>
    <row r="3084" ht="22" customHeight="1">
      <c r="A3084" s="12" t="inlineStr">
        <is>
          <t>CUL-3080</t>
        </is>
      </c>
      <c r="B3084" s="11" t="n">
        <v>598</v>
      </c>
      <c r="C3084" s="13" t="inlineStr">
        <is>
          <t>SIPEAGRO (UF-XXXXX)</t>
        </is>
      </c>
      <c r="D3084" s="14" t="inlineStr">
        <is>
          <t>GRUN OBER</t>
        </is>
      </c>
      <c r="E3084" s="13" t="inlineStr">
        <is>
          <t>Adubação de Solo / Foliar</t>
        </is>
      </c>
      <c r="F3084" s="13" t="inlineStr">
        <is>
          <t>Algodão</t>
        </is>
      </c>
      <c r="G3084" s="13" t="inlineStr">
        <is>
          <t>Cultura Autorizada na Bula</t>
        </is>
      </c>
      <c r="H3084" s="13" t="inlineStr">
        <is>
          <t>100 a 300 L/ha</t>
        </is>
      </c>
      <c r="I3084" s="13" t="inlineStr">
        <is>
          <t>20 a 40 L/ha</t>
        </is>
      </c>
      <c r="J3084" s="13" t="inlineStr">
        <is>
          <t>Isento</t>
        </is>
      </c>
    </row>
    <row r="3085" ht="22" customHeight="1">
      <c r="A3085" s="6" t="inlineStr">
        <is>
          <t>CUL-3081</t>
        </is>
      </c>
      <c r="B3085" s="5" t="n">
        <v>598</v>
      </c>
      <c r="C3085" s="7" t="inlineStr">
        <is>
          <t>SIPEAGRO (UF-XXXXX)</t>
        </is>
      </c>
      <c r="D3085" s="8" t="inlineStr">
        <is>
          <t>GRUN OBER</t>
        </is>
      </c>
      <c r="E3085" s="7" t="inlineStr">
        <is>
          <t>Adubação de Solo / Foliar</t>
        </is>
      </c>
      <c r="F3085" s="7" t="inlineStr">
        <is>
          <t>Cana-de-açúcar</t>
        </is>
      </c>
      <c r="G3085" s="7" t="inlineStr">
        <is>
          <t>Cultura Autorizada na Bula</t>
        </is>
      </c>
      <c r="H3085" s="7" t="inlineStr">
        <is>
          <t>100 a 300 L/ha</t>
        </is>
      </c>
      <c r="I3085" s="7" t="inlineStr">
        <is>
          <t>20 a 40 L/ha</t>
        </is>
      </c>
      <c r="J3085" s="7" t="inlineStr">
        <is>
          <t>Isento</t>
        </is>
      </c>
    </row>
    <row r="3086" ht="22" customHeight="1">
      <c r="A3086" s="12" t="inlineStr">
        <is>
          <t>CUL-3082</t>
        </is>
      </c>
      <c r="B3086" s="11" t="n">
        <v>598</v>
      </c>
      <c r="C3086" s="13" t="inlineStr">
        <is>
          <t>SIPEAGRO (UF-XXXXX)</t>
        </is>
      </c>
      <c r="D3086" s="14" t="inlineStr">
        <is>
          <t>GRUN OBER</t>
        </is>
      </c>
      <c r="E3086" s="13" t="inlineStr">
        <is>
          <t>Adubação de Solo / Foliar</t>
        </is>
      </c>
      <c r="F3086" s="13" t="inlineStr">
        <is>
          <t>Café</t>
        </is>
      </c>
      <c r="G3086" s="13" t="inlineStr">
        <is>
          <t>Cultura Autorizada na Bula</t>
        </is>
      </c>
      <c r="H3086" s="13" t="inlineStr">
        <is>
          <t>100 a 300 L/ha</t>
        </is>
      </c>
      <c r="I3086" s="13" t="inlineStr">
        <is>
          <t>20 a 40 L/ha</t>
        </is>
      </c>
      <c r="J3086" s="13" t="inlineStr">
        <is>
          <t>Isento</t>
        </is>
      </c>
    </row>
    <row r="3087" ht="22" customHeight="1">
      <c r="A3087" s="6" t="inlineStr">
        <is>
          <t>CUL-3083</t>
        </is>
      </c>
      <c r="B3087" s="5" t="n">
        <v>599</v>
      </c>
      <c r="C3087" s="7" t="inlineStr">
        <is>
          <t>Nº 8017</t>
        </is>
      </c>
      <c r="D3087" s="8" t="inlineStr">
        <is>
          <t>BOLD</t>
        </is>
      </c>
      <c r="E3087" s="7" t="inlineStr">
        <is>
          <t>Pulverização Agrícola Conforme Bula</t>
        </is>
      </c>
      <c r="F3087" s="7" t="inlineStr">
        <is>
          <t>Algodão</t>
        </is>
      </c>
      <c r="G3087" s="7" t="inlineStr">
        <is>
          <t>Cultura Autorizada na Bula</t>
        </is>
      </c>
      <c r="H3087" s="7" t="inlineStr">
        <is>
          <t>100 a 300 L/ha</t>
        </is>
      </c>
      <c r="I3087" s="7" t="inlineStr">
        <is>
          <t>20 a 40 L/ha</t>
        </is>
      </c>
      <c r="J3087" s="7" t="inlineStr">
        <is>
          <t>28 dias</t>
        </is>
      </c>
    </row>
    <row r="3088" ht="22" customHeight="1">
      <c r="A3088" s="12" t="inlineStr">
        <is>
          <t>CUL-3084</t>
        </is>
      </c>
      <c r="B3088" s="11" t="n">
        <v>599</v>
      </c>
      <c r="C3088" s="13" t="inlineStr">
        <is>
          <t>Nº 8017</t>
        </is>
      </c>
      <c r="D3088" s="14" t="inlineStr">
        <is>
          <t>BOLD</t>
        </is>
      </c>
      <c r="E3088" s="13" t="inlineStr">
        <is>
          <t>Pulverização Agrícola Conforme Bula</t>
        </is>
      </c>
      <c r="F3088" s="13" t="inlineStr">
        <is>
          <t>Soja</t>
        </is>
      </c>
      <c r="G3088" s="13" t="inlineStr">
        <is>
          <t>Cultura Autorizada na Bula</t>
        </is>
      </c>
      <c r="H3088" s="13" t="inlineStr">
        <is>
          <t>100 a 300 L/ha</t>
        </is>
      </c>
      <c r="I3088" s="13" t="inlineStr">
        <is>
          <t>20 a 40 L/ha</t>
        </is>
      </c>
      <c r="J3088" s="13" t="inlineStr">
        <is>
          <t>21 dias</t>
        </is>
      </c>
    </row>
    <row r="3089" ht="22" customHeight="1">
      <c r="A3089" s="6" t="inlineStr">
        <is>
          <t>CUL-3085</t>
        </is>
      </c>
      <c r="B3089" s="5" t="n">
        <v>599</v>
      </c>
      <c r="C3089" s="7" t="inlineStr">
        <is>
          <t>Nº 8017</t>
        </is>
      </c>
      <c r="D3089" s="8" t="inlineStr">
        <is>
          <t>BOLD</t>
        </is>
      </c>
      <c r="E3089" s="7" t="inlineStr">
        <is>
          <t>Pulverização Agrícola Conforme Bula</t>
        </is>
      </c>
      <c r="F3089" s="7" t="inlineStr">
        <is>
          <t>Milho</t>
        </is>
      </c>
      <c r="G3089" s="7" t="inlineStr">
        <is>
          <t>Cultura Autorizada na Bula</t>
        </is>
      </c>
      <c r="H3089" s="7" t="inlineStr">
        <is>
          <t>100 a 300 L/ha</t>
        </is>
      </c>
      <c r="I3089" s="7" t="inlineStr">
        <is>
          <t>20 a 40 L/ha</t>
        </is>
      </c>
      <c r="J3089" s="7" t="inlineStr">
        <is>
          <t>30 dias</t>
        </is>
      </c>
    </row>
    <row r="3090" ht="22" customHeight="1">
      <c r="A3090" s="12" t="inlineStr">
        <is>
          <t>CUL-3086</t>
        </is>
      </c>
      <c r="B3090" s="11" t="n">
        <v>599</v>
      </c>
      <c r="C3090" s="13" t="inlineStr">
        <is>
          <t>Nº 8017</t>
        </is>
      </c>
      <c r="D3090" s="14" t="inlineStr">
        <is>
          <t>BOLD</t>
        </is>
      </c>
      <c r="E3090" s="13" t="inlineStr">
        <is>
          <t>Pulverização Agrícola Conforme Bula</t>
        </is>
      </c>
      <c r="F3090" s="13" t="inlineStr">
        <is>
          <t>Feijão</t>
        </is>
      </c>
      <c r="G3090" s="13" t="inlineStr">
        <is>
          <t>Cultura Autorizada na Bula</t>
        </is>
      </c>
      <c r="H3090" s="13" t="inlineStr">
        <is>
          <t>100 a 300 L/ha</t>
        </is>
      </c>
      <c r="I3090" s="13" t="inlineStr">
        <is>
          <t>20 a 40 L/ha</t>
        </is>
      </c>
      <c r="J3090" s="13" t="inlineStr">
        <is>
          <t>14 dias</t>
        </is>
      </c>
    </row>
    <row r="3091" ht="22" customHeight="1">
      <c r="A3091" s="6" t="inlineStr">
        <is>
          <t>CUL-3087</t>
        </is>
      </c>
      <c r="B3091" s="5" t="n">
        <v>599</v>
      </c>
      <c r="C3091" s="7" t="inlineStr">
        <is>
          <t>Nº 8017</t>
        </is>
      </c>
      <c r="D3091" s="8" t="inlineStr">
        <is>
          <t>BOLD</t>
        </is>
      </c>
      <c r="E3091" s="7" t="inlineStr">
        <is>
          <t>Pulverização Agrícola Conforme Bula</t>
        </is>
      </c>
      <c r="F3091" s="7" t="inlineStr">
        <is>
          <t>Café</t>
        </is>
      </c>
      <c r="G3091" s="7" t="inlineStr">
        <is>
          <t>Cultura Autorizada na Bula</t>
        </is>
      </c>
      <c r="H3091" s="7" t="inlineStr">
        <is>
          <t>100 a 300 L/ha</t>
        </is>
      </c>
      <c r="I3091" s="7" t="inlineStr">
        <is>
          <t>20 a 40 L/ha</t>
        </is>
      </c>
      <c r="J3091" s="7" t="inlineStr">
        <is>
          <t>28 dias</t>
        </is>
      </c>
    </row>
    <row r="3092" ht="22" customHeight="1">
      <c r="A3092" s="12" t="inlineStr">
        <is>
          <t>CUL-3088</t>
        </is>
      </c>
      <c r="B3092" s="11" t="n">
        <v>599</v>
      </c>
      <c r="C3092" s="13" t="inlineStr">
        <is>
          <t>Nº 8017</t>
        </is>
      </c>
      <c r="D3092" s="14" t="inlineStr">
        <is>
          <t>BOLD</t>
        </is>
      </c>
      <c r="E3092" s="13" t="inlineStr">
        <is>
          <t>Pulverização Agrícola Conforme Bula</t>
        </is>
      </c>
      <c r="F3092" s="13" t="inlineStr">
        <is>
          <t>Citros</t>
        </is>
      </c>
      <c r="G3092" s="13" t="inlineStr">
        <is>
          <t>Cultura Autorizada na Bula</t>
        </is>
      </c>
      <c r="H3092" s="13" t="inlineStr">
        <is>
          <t>100 a 300 L/ha</t>
        </is>
      </c>
      <c r="I3092" s="13" t="inlineStr">
        <is>
          <t>20 a 40 L/ha</t>
        </is>
      </c>
      <c r="J3092" s="13" t="inlineStr">
        <is>
          <t>7 dias</t>
        </is>
      </c>
    </row>
    <row r="3093" ht="22" customHeight="1">
      <c r="A3093" s="6" t="inlineStr">
        <is>
          <t>CUL-3089</t>
        </is>
      </c>
      <c r="B3093" s="5" t="n">
        <v>599</v>
      </c>
      <c r="C3093" s="7" t="inlineStr">
        <is>
          <t>Nº 8017</t>
        </is>
      </c>
      <c r="D3093" s="8" t="inlineStr">
        <is>
          <t>BOLD</t>
        </is>
      </c>
      <c r="E3093" s="7" t="inlineStr">
        <is>
          <t>Pulverização Agrícola Conforme Bula</t>
        </is>
      </c>
      <c r="F3093" s="7" t="inlineStr">
        <is>
          <t>Tomate</t>
        </is>
      </c>
      <c r="G3093" s="7" t="inlineStr">
        <is>
          <t>Cultura Autorizada na Bula</t>
        </is>
      </c>
      <c r="H3093" s="7" t="inlineStr">
        <is>
          <t>100 a 300 L/ha</t>
        </is>
      </c>
      <c r="I3093" s="7" t="inlineStr">
        <is>
          <t>20 a 40 L/ha</t>
        </is>
      </c>
      <c r="J3093" s="7" t="inlineStr">
        <is>
          <t>3 dias</t>
        </is>
      </c>
    </row>
    <row r="3094" ht="22" customHeight="1">
      <c r="A3094" s="12" t="inlineStr">
        <is>
          <t>CUL-3090</t>
        </is>
      </c>
      <c r="B3094" s="11" t="n">
        <v>600</v>
      </c>
      <c r="C3094" s="13" t="inlineStr">
        <is>
          <t>SIPEAGRO (UF-XXXXX)</t>
        </is>
      </c>
      <c r="D3094" s="14" t="inlineStr">
        <is>
          <t>KALIUM</t>
        </is>
      </c>
      <c r="E3094" s="13" t="inlineStr">
        <is>
          <t>Adubação de Solo / Foliar</t>
        </is>
      </c>
      <c r="F3094" s="13" t="inlineStr">
        <is>
          <t>Soja</t>
        </is>
      </c>
      <c r="G3094" s="13" t="inlineStr">
        <is>
          <t>Cultura Autorizada na Bula</t>
        </is>
      </c>
      <c r="H3094" s="13" t="inlineStr">
        <is>
          <t>100 a 300 L/ha</t>
        </is>
      </c>
      <c r="I3094" s="13" t="inlineStr">
        <is>
          <t>20 a 40 L/ha</t>
        </is>
      </c>
      <c r="J3094" s="13" t="inlineStr">
        <is>
          <t>Isento</t>
        </is>
      </c>
    </row>
    <row r="3095" ht="22" customHeight="1">
      <c r="A3095" s="6" t="inlineStr">
        <is>
          <t>CUL-3091</t>
        </is>
      </c>
      <c r="B3095" s="5" t="n">
        <v>600</v>
      </c>
      <c r="C3095" s="7" t="inlineStr">
        <is>
          <t>SIPEAGRO (UF-XXXXX)</t>
        </is>
      </c>
      <c r="D3095" s="8" t="inlineStr">
        <is>
          <t>KALIUM</t>
        </is>
      </c>
      <c r="E3095" s="7" t="inlineStr">
        <is>
          <t>Adubação de Solo / Foliar</t>
        </is>
      </c>
      <c r="F3095" s="7" t="inlineStr">
        <is>
          <t>Milho</t>
        </is>
      </c>
      <c r="G3095" s="7" t="inlineStr">
        <is>
          <t>Cultura Autorizada na Bula</t>
        </is>
      </c>
      <c r="H3095" s="7" t="inlineStr">
        <is>
          <t>100 a 300 L/ha</t>
        </is>
      </c>
      <c r="I3095" s="7" t="inlineStr">
        <is>
          <t>20 a 40 L/ha</t>
        </is>
      </c>
      <c r="J3095" s="7" t="inlineStr">
        <is>
          <t>Isento</t>
        </is>
      </c>
    </row>
    <row r="3096" ht="22" customHeight="1">
      <c r="A3096" s="12" t="inlineStr">
        <is>
          <t>CUL-3092</t>
        </is>
      </c>
      <c r="B3096" s="11" t="n">
        <v>600</v>
      </c>
      <c r="C3096" s="13" t="inlineStr">
        <is>
          <t>SIPEAGRO (UF-XXXXX)</t>
        </is>
      </c>
      <c r="D3096" s="14" t="inlineStr">
        <is>
          <t>KALIUM</t>
        </is>
      </c>
      <c r="E3096" s="13" t="inlineStr">
        <is>
          <t>Adubação de Solo / Foliar</t>
        </is>
      </c>
      <c r="F3096" s="13" t="inlineStr">
        <is>
          <t>Algodão</t>
        </is>
      </c>
      <c r="G3096" s="13" t="inlineStr">
        <is>
          <t>Cultura Autorizada na Bula</t>
        </is>
      </c>
      <c r="H3096" s="13" t="inlineStr">
        <is>
          <t>100 a 300 L/ha</t>
        </is>
      </c>
      <c r="I3096" s="13" t="inlineStr">
        <is>
          <t>20 a 40 L/ha</t>
        </is>
      </c>
      <c r="J3096" s="13" t="inlineStr">
        <is>
          <t>Isento</t>
        </is>
      </c>
    </row>
    <row r="3097" ht="22" customHeight="1">
      <c r="A3097" s="6" t="inlineStr">
        <is>
          <t>CUL-3093</t>
        </is>
      </c>
      <c r="B3097" s="5" t="n">
        <v>600</v>
      </c>
      <c r="C3097" s="7" t="inlineStr">
        <is>
          <t>SIPEAGRO (UF-XXXXX)</t>
        </is>
      </c>
      <c r="D3097" s="8" t="inlineStr">
        <is>
          <t>KALIUM</t>
        </is>
      </c>
      <c r="E3097" s="7" t="inlineStr">
        <is>
          <t>Adubação de Solo / Foliar</t>
        </is>
      </c>
      <c r="F3097" s="7" t="inlineStr">
        <is>
          <t>Cana-de-açúcar</t>
        </is>
      </c>
      <c r="G3097" s="7" t="inlineStr">
        <is>
          <t>Cultura Autorizada na Bula</t>
        </is>
      </c>
      <c r="H3097" s="7" t="inlineStr">
        <is>
          <t>100 a 300 L/ha</t>
        </is>
      </c>
      <c r="I3097" s="7" t="inlineStr">
        <is>
          <t>20 a 40 L/ha</t>
        </is>
      </c>
      <c r="J3097" s="7" t="inlineStr">
        <is>
          <t>Isento</t>
        </is>
      </c>
    </row>
    <row r="3098" ht="22" customHeight="1">
      <c r="A3098" s="12" t="inlineStr">
        <is>
          <t>CUL-3094</t>
        </is>
      </c>
      <c r="B3098" s="11" t="n">
        <v>600</v>
      </c>
      <c r="C3098" s="13" t="inlineStr">
        <is>
          <t>SIPEAGRO (UF-XXXXX)</t>
        </is>
      </c>
      <c r="D3098" s="14" t="inlineStr">
        <is>
          <t>KALIUM</t>
        </is>
      </c>
      <c r="E3098" s="13" t="inlineStr">
        <is>
          <t>Adubação de Solo / Foliar</t>
        </is>
      </c>
      <c r="F3098" s="13" t="inlineStr">
        <is>
          <t>Café</t>
        </is>
      </c>
      <c r="G3098" s="13" t="inlineStr">
        <is>
          <t>Cultura Autorizada na Bula</t>
        </is>
      </c>
      <c r="H3098" s="13" t="inlineStr">
        <is>
          <t>100 a 300 L/ha</t>
        </is>
      </c>
      <c r="I3098" s="13" t="inlineStr">
        <is>
          <t>20 a 40 L/ha</t>
        </is>
      </c>
      <c r="J3098" s="13" t="inlineStr">
        <is>
          <t>Isento</t>
        </is>
      </c>
    </row>
    <row r="3099" ht="22" customHeight="1">
      <c r="A3099" s="6" t="inlineStr">
        <is>
          <t>CUL-3095</t>
        </is>
      </c>
      <c r="B3099" s="5" t="n">
        <v>601</v>
      </c>
      <c r="C3099" s="7" t="inlineStr">
        <is>
          <t>Nº 26220</t>
        </is>
      </c>
      <c r="D3099" s="8" t="inlineStr">
        <is>
          <t>VIVANTHA</t>
        </is>
      </c>
      <c r="E3099" s="7" t="inlineStr">
        <is>
          <t>Pulverização Agrícola Conforme Bula</t>
        </is>
      </c>
      <c r="F3099" s="7" t="inlineStr">
        <is>
          <t>Soja</t>
        </is>
      </c>
      <c r="G3099" s="7" t="inlineStr">
        <is>
          <t>Cultura Autorizada na Bula</t>
        </is>
      </c>
      <c r="H3099" s="7" t="inlineStr">
        <is>
          <t>100 a 300 L/ha</t>
        </is>
      </c>
      <c r="I3099" s="7" t="inlineStr">
        <is>
          <t>20 a 40 L/ha</t>
        </is>
      </c>
      <c r="J3099" s="7" t="inlineStr">
        <is>
          <t>21 dias</t>
        </is>
      </c>
    </row>
    <row r="3100" ht="22" customHeight="1">
      <c r="A3100" s="12" t="inlineStr">
        <is>
          <t>CUL-3096</t>
        </is>
      </c>
      <c r="B3100" s="11" t="n">
        <v>601</v>
      </c>
      <c r="C3100" s="13" t="inlineStr">
        <is>
          <t>Nº 26220</t>
        </is>
      </c>
      <c r="D3100" s="14" t="inlineStr">
        <is>
          <t>VIVANTHA</t>
        </is>
      </c>
      <c r="E3100" s="13" t="inlineStr">
        <is>
          <t>Pulverização Agrícola Conforme Bula</t>
        </is>
      </c>
      <c r="F3100" s="13" t="inlineStr">
        <is>
          <t>Milho</t>
        </is>
      </c>
      <c r="G3100" s="13" t="inlineStr">
        <is>
          <t>Cultura Autorizada na Bula</t>
        </is>
      </c>
      <c r="H3100" s="13" t="inlineStr">
        <is>
          <t>100 a 300 L/ha</t>
        </is>
      </c>
      <c r="I3100" s="13" t="inlineStr">
        <is>
          <t>20 a 40 L/ha</t>
        </is>
      </c>
      <c r="J3100" s="13" t="inlineStr">
        <is>
          <t>21 dias</t>
        </is>
      </c>
    </row>
    <row r="3101" ht="22" customHeight="1">
      <c r="A3101" s="6" t="inlineStr">
        <is>
          <t>CUL-3097</t>
        </is>
      </c>
      <c r="B3101" s="5" t="n">
        <v>601</v>
      </c>
      <c r="C3101" s="7" t="inlineStr">
        <is>
          <t>Nº 26220</t>
        </is>
      </c>
      <c r="D3101" s="8" t="inlineStr">
        <is>
          <t>VIVANTHA</t>
        </is>
      </c>
      <c r="E3101" s="7" t="inlineStr">
        <is>
          <t>Pulverização Agrícola Conforme Bula</t>
        </is>
      </c>
      <c r="F3101" s="7" t="inlineStr">
        <is>
          <t>Algodão</t>
        </is>
      </c>
      <c r="G3101" s="7" t="inlineStr">
        <is>
          <t>Cultura Autorizada na Bula</t>
        </is>
      </c>
      <c r="H3101" s="7" t="inlineStr">
        <is>
          <t>100 a 300 L/ha</t>
        </is>
      </c>
      <c r="I3101" s="7" t="inlineStr">
        <is>
          <t>20 a 40 L/ha</t>
        </is>
      </c>
      <c r="J3101" s="7" t="inlineStr">
        <is>
          <t>21 dias</t>
        </is>
      </c>
    </row>
    <row r="3102" ht="22" customHeight="1">
      <c r="A3102" s="12" t="inlineStr">
        <is>
          <t>CUL-3098</t>
        </is>
      </c>
      <c r="B3102" s="11" t="n">
        <v>601</v>
      </c>
      <c r="C3102" s="13" t="inlineStr">
        <is>
          <t>Nº 26220</t>
        </is>
      </c>
      <c r="D3102" s="14" t="inlineStr">
        <is>
          <t>VIVANTHA</t>
        </is>
      </c>
      <c r="E3102" s="13" t="inlineStr">
        <is>
          <t>Pulverização Agrícola Conforme Bula</t>
        </is>
      </c>
      <c r="F3102" s="13" t="inlineStr">
        <is>
          <t>Feijão</t>
        </is>
      </c>
      <c r="G3102" s="13" t="inlineStr">
        <is>
          <t>Cultura Autorizada na Bula</t>
        </is>
      </c>
      <c r="H3102" s="13" t="inlineStr">
        <is>
          <t>100 a 300 L/ha</t>
        </is>
      </c>
      <c r="I3102" s="13" t="inlineStr">
        <is>
          <t>20 a 40 L/ha</t>
        </is>
      </c>
      <c r="J3102" s="13" t="inlineStr">
        <is>
          <t>14 dias</t>
        </is>
      </c>
    </row>
    <row r="3103" ht="22" customHeight="1">
      <c r="A3103" s="6" t="inlineStr">
        <is>
          <t>CUL-3099</t>
        </is>
      </c>
      <c r="B3103" s="5" t="n">
        <v>602</v>
      </c>
      <c r="C3103" s="7" t="inlineStr">
        <is>
          <t>SIPEAGRO (UF-XXXXX)</t>
        </is>
      </c>
      <c r="D3103" s="8" t="inlineStr">
        <is>
          <t>MAP - FOSFATO MONOAMONICO CRISTAL</t>
        </is>
      </c>
      <c r="E3103" s="7" t="inlineStr">
        <is>
          <t>Adubação de Solo / Foliar</t>
        </is>
      </c>
      <c r="F3103" s="7" t="inlineStr">
        <is>
          <t>Soja</t>
        </is>
      </c>
      <c r="G3103" s="7" t="inlineStr">
        <is>
          <t>Cultura Autorizada na Bula</t>
        </is>
      </c>
      <c r="H3103" s="7" t="inlineStr">
        <is>
          <t>100 a 300 L/ha</t>
        </is>
      </c>
      <c r="I3103" s="7" t="inlineStr">
        <is>
          <t>20 a 40 L/ha</t>
        </is>
      </c>
      <c r="J3103" s="7" t="inlineStr">
        <is>
          <t>Isento</t>
        </is>
      </c>
    </row>
    <row r="3104" ht="22" customHeight="1">
      <c r="A3104" s="12" t="inlineStr">
        <is>
          <t>CUL-3100</t>
        </is>
      </c>
      <c r="B3104" s="11" t="n">
        <v>602</v>
      </c>
      <c r="C3104" s="13" t="inlineStr">
        <is>
          <t>SIPEAGRO (UF-XXXXX)</t>
        </is>
      </c>
      <c r="D3104" s="14" t="inlineStr">
        <is>
          <t>MAP - FOSFATO MONOAMONICO CRISTAL</t>
        </is>
      </c>
      <c r="E3104" s="13" t="inlineStr">
        <is>
          <t>Adubação de Solo / Foliar</t>
        </is>
      </c>
      <c r="F3104" s="13" t="inlineStr">
        <is>
          <t>Milho</t>
        </is>
      </c>
      <c r="G3104" s="13" t="inlineStr">
        <is>
          <t>Cultura Autorizada na Bula</t>
        </is>
      </c>
      <c r="H3104" s="13" t="inlineStr">
        <is>
          <t>100 a 300 L/ha</t>
        </is>
      </c>
      <c r="I3104" s="13" t="inlineStr">
        <is>
          <t>20 a 40 L/ha</t>
        </is>
      </c>
      <c r="J3104" s="13" t="inlineStr">
        <is>
          <t>Isento</t>
        </is>
      </c>
    </row>
    <row r="3105" ht="22" customHeight="1">
      <c r="A3105" s="6" t="inlineStr">
        <is>
          <t>CUL-3101</t>
        </is>
      </c>
      <c r="B3105" s="5" t="n">
        <v>602</v>
      </c>
      <c r="C3105" s="7" t="inlineStr">
        <is>
          <t>SIPEAGRO (UF-XXXXX)</t>
        </is>
      </c>
      <c r="D3105" s="8" t="inlineStr">
        <is>
          <t>MAP - FOSFATO MONOAMONICO CRISTAL</t>
        </is>
      </c>
      <c r="E3105" s="7" t="inlineStr">
        <is>
          <t>Adubação de Solo / Foliar</t>
        </is>
      </c>
      <c r="F3105" s="7" t="inlineStr">
        <is>
          <t>Algodão</t>
        </is>
      </c>
      <c r="G3105" s="7" t="inlineStr">
        <is>
          <t>Cultura Autorizada na Bula</t>
        </is>
      </c>
      <c r="H3105" s="7" t="inlineStr">
        <is>
          <t>100 a 300 L/ha</t>
        </is>
      </c>
      <c r="I3105" s="7" t="inlineStr">
        <is>
          <t>20 a 40 L/ha</t>
        </is>
      </c>
      <c r="J3105" s="7" t="inlineStr">
        <is>
          <t>Isento</t>
        </is>
      </c>
    </row>
    <row r="3106" ht="22" customHeight="1">
      <c r="A3106" s="12" t="inlineStr">
        <is>
          <t>CUL-3102</t>
        </is>
      </c>
      <c r="B3106" s="11" t="n">
        <v>602</v>
      </c>
      <c r="C3106" s="13" t="inlineStr">
        <is>
          <t>SIPEAGRO (UF-XXXXX)</t>
        </is>
      </c>
      <c r="D3106" s="14" t="inlineStr">
        <is>
          <t>MAP - FOSFATO MONOAMONICO CRISTAL</t>
        </is>
      </c>
      <c r="E3106" s="13" t="inlineStr">
        <is>
          <t>Adubação de Solo / Foliar</t>
        </is>
      </c>
      <c r="F3106" s="13" t="inlineStr">
        <is>
          <t>Cana-de-açúcar</t>
        </is>
      </c>
      <c r="G3106" s="13" t="inlineStr">
        <is>
          <t>Cultura Autorizada na Bula</t>
        </is>
      </c>
      <c r="H3106" s="13" t="inlineStr">
        <is>
          <t>100 a 300 L/ha</t>
        </is>
      </c>
      <c r="I3106" s="13" t="inlineStr">
        <is>
          <t>20 a 40 L/ha</t>
        </is>
      </c>
      <c r="J3106" s="13" t="inlineStr">
        <is>
          <t>Isento</t>
        </is>
      </c>
    </row>
    <row r="3107" ht="22" customHeight="1">
      <c r="A3107" s="6" t="inlineStr">
        <is>
          <t>CUL-3103</t>
        </is>
      </c>
      <c r="B3107" s="5" t="n">
        <v>602</v>
      </c>
      <c r="C3107" s="7" t="inlineStr">
        <is>
          <t>SIPEAGRO (UF-XXXXX)</t>
        </is>
      </c>
      <c r="D3107" s="8" t="inlineStr">
        <is>
          <t>MAP - FOSFATO MONOAMONICO CRISTAL</t>
        </is>
      </c>
      <c r="E3107" s="7" t="inlineStr">
        <is>
          <t>Adubação de Solo / Foliar</t>
        </is>
      </c>
      <c r="F3107" s="7" t="inlineStr">
        <is>
          <t>Café</t>
        </is>
      </c>
      <c r="G3107" s="7" t="inlineStr">
        <is>
          <t>Cultura Autorizada na Bula</t>
        </is>
      </c>
      <c r="H3107" s="7" t="inlineStr">
        <is>
          <t>100 a 300 L/ha</t>
        </is>
      </c>
      <c r="I3107" s="7" t="inlineStr">
        <is>
          <t>20 a 40 L/ha</t>
        </is>
      </c>
      <c r="J3107" s="7" t="inlineStr">
        <is>
          <t>Isento</t>
        </is>
      </c>
    </row>
    <row r="3108" ht="22" customHeight="1">
      <c r="A3108" s="12" t="inlineStr">
        <is>
          <t>CUL-3104</t>
        </is>
      </c>
      <c r="B3108" s="11" t="n">
        <v>603</v>
      </c>
      <c r="C3108" s="13" t="inlineStr">
        <is>
          <t>Nº 2509</t>
        </is>
      </c>
      <c r="D3108" s="14" t="inlineStr">
        <is>
          <t>BELT</t>
        </is>
      </c>
      <c r="E3108" s="13" t="inlineStr">
        <is>
          <t>Pulverização Agrícola Conforme Bula</t>
        </is>
      </c>
      <c r="F3108" s="13" t="inlineStr">
        <is>
          <t>Soja</t>
        </is>
      </c>
      <c r="G3108" s="13" t="inlineStr">
        <is>
          <t>Cultura Autorizada na Bula</t>
        </is>
      </c>
      <c r="H3108" s="13" t="inlineStr">
        <is>
          <t>100 a 300 L/ha</t>
        </is>
      </c>
      <c r="I3108" s="13" t="inlineStr">
        <is>
          <t>20 a 40 L/ha</t>
        </is>
      </c>
      <c r="J3108" s="13" t="inlineStr">
        <is>
          <t>21 dias</t>
        </is>
      </c>
    </row>
    <row r="3109" ht="22" customHeight="1">
      <c r="A3109" s="6" t="inlineStr">
        <is>
          <t>CUL-3105</t>
        </is>
      </c>
      <c r="B3109" s="5" t="n">
        <v>603</v>
      </c>
      <c r="C3109" s="7" t="inlineStr">
        <is>
          <t>Nº 2509</t>
        </is>
      </c>
      <c r="D3109" s="8" t="inlineStr">
        <is>
          <t>BELT</t>
        </is>
      </c>
      <c r="E3109" s="7" t="inlineStr">
        <is>
          <t>Pulverização Agrícola Conforme Bula</t>
        </is>
      </c>
      <c r="F3109" s="7" t="inlineStr">
        <is>
          <t>Milho</t>
        </is>
      </c>
      <c r="G3109" s="7" t="inlineStr">
        <is>
          <t>Cultura Autorizada na Bula</t>
        </is>
      </c>
      <c r="H3109" s="7" t="inlineStr">
        <is>
          <t>100 a 300 L/ha</t>
        </is>
      </c>
      <c r="I3109" s="7" t="inlineStr">
        <is>
          <t>20 a 40 L/ha</t>
        </is>
      </c>
      <c r="J3109" s="7" t="inlineStr">
        <is>
          <t>21 dias</t>
        </is>
      </c>
    </row>
    <row r="3110" ht="22" customHeight="1">
      <c r="A3110" s="12" t="inlineStr">
        <is>
          <t>CUL-3106</t>
        </is>
      </c>
      <c r="B3110" s="11" t="n">
        <v>603</v>
      </c>
      <c r="C3110" s="13" t="inlineStr">
        <is>
          <t>Nº 2509</t>
        </is>
      </c>
      <c r="D3110" s="14" t="inlineStr">
        <is>
          <t>BELT</t>
        </is>
      </c>
      <c r="E3110" s="13" t="inlineStr">
        <is>
          <t>Pulverização Agrícola Conforme Bula</t>
        </is>
      </c>
      <c r="F3110" s="13" t="inlineStr">
        <is>
          <t>Algodão</t>
        </is>
      </c>
      <c r="G3110" s="13" t="inlineStr">
        <is>
          <t>Cultura Autorizada na Bula</t>
        </is>
      </c>
      <c r="H3110" s="13" t="inlineStr">
        <is>
          <t>100 a 300 L/ha</t>
        </is>
      </c>
      <c r="I3110" s="13" t="inlineStr">
        <is>
          <t>20 a 40 L/ha</t>
        </is>
      </c>
      <c r="J3110" s="13" t="inlineStr">
        <is>
          <t>21 dias</t>
        </is>
      </c>
    </row>
    <row r="3111" ht="22" customHeight="1">
      <c r="A3111" s="6" t="inlineStr">
        <is>
          <t>CUL-3107</t>
        </is>
      </c>
      <c r="B3111" s="5" t="n">
        <v>603</v>
      </c>
      <c r="C3111" s="7" t="inlineStr">
        <is>
          <t>Nº 2509</t>
        </is>
      </c>
      <c r="D3111" s="8" t="inlineStr">
        <is>
          <t>BELT</t>
        </is>
      </c>
      <c r="E3111" s="7" t="inlineStr">
        <is>
          <t>Pulverização Agrícola Conforme Bula</t>
        </is>
      </c>
      <c r="F3111" s="7" t="inlineStr">
        <is>
          <t>Feijão</t>
        </is>
      </c>
      <c r="G3111" s="7" t="inlineStr">
        <is>
          <t>Cultura Autorizada na Bula</t>
        </is>
      </c>
      <c r="H3111" s="7" t="inlineStr">
        <is>
          <t>100 a 300 L/ha</t>
        </is>
      </c>
      <c r="I3111" s="7" t="inlineStr">
        <is>
          <t>20 a 40 L/ha</t>
        </is>
      </c>
      <c r="J3111" s="7" t="inlineStr">
        <is>
          <t>14 dias</t>
        </is>
      </c>
    </row>
    <row r="3112" ht="22" customHeight="1">
      <c r="A3112" s="12" t="inlineStr">
        <is>
          <t>CUL-3108</t>
        </is>
      </c>
      <c r="B3112" s="11" t="n">
        <v>604</v>
      </c>
      <c r="C3112" s="13" t="inlineStr">
        <is>
          <t>SIPEAGRO (UF-XXXXX)</t>
        </is>
      </c>
      <c r="D3112" s="14" t="inlineStr">
        <is>
          <t>BIOAZOS 1,5L</t>
        </is>
      </c>
      <c r="E3112" s="13" t="inlineStr">
        <is>
          <t>Pulverização Agrícola Conforme Bula</t>
        </is>
      </c>
      <c r="F3112" s="13" t="inlineStr">
        <is>
          <t>Milho</t>
        </is>
      </c>
      <c r="G3112" s="13" t="inlineStr">
        <is>
          <t>Cultura Autorizada na Bula</t>
        </is>
      </c>
      <c r="H3112" s="13" t="inlineStr">
        <is>
          <t>100 a 300 L/ha</t>
        </is>
      </c>
      <c r="I3112" s="13" t="inlineStr">
        <is>
          <t>20 a 40 L/ha</t>
        </is>
      </c>
      <c r="J3112" s="13" t="inlineStr">
        <is>
          <t>0 (Isento)</t>
        </is>
      </c>
    </row>
    <row r="3113" ht="22" customHeight="1">
      <c r="A3113" s="6" t="inlineStr">
        <is>
          <t>CUL-3109</t>
        </is>
      </c>
      <c r="B3113" s="5" t="n">
        <v>604</v>
      </c>
      <c r="C3113" s="7" t="inlineStr">
        <is>
          <t>SIPEAGRO (UF-XXXXX)</t>
        </is>
      </c>
      <c r="D3113" s="8" t="inlineStr">
        <is>
          <t>BIOAZOS 1,5L</t>
        </is>
      </c>
      <c r="E3113" s="7" t="inlineStr">
        <is>
          <t>Pulverização Agrícola Conforme Bula</t>
        </is>
      </c>
      <c r="F3113" s="7" t="inlineStr">
        <is>
          <t>Soja (Coinoculação)</t>
        </is>
      </c>
      <c r="G3113" s="7" t="inlineStr">
        <is>
          <t>Cultura Autorizada na Bula</t>
        </is>
      </c>
      <c r="H3113" s="7" t="inlineStr">
        <is>
          <t>100 a 300 L/ha</t>
        </is>
      </c>
      <c r="I3113" s="7" t="inlineStr">
        <is>
          <t>20 a 40 L/ha</t>
        </is>
      </c>
      <c r="J3113" s="7" t="inlineStr">
        <is>
          <t>0 (Isento)</t>
        </is>
      </c>
    </row>
    <row r="3114" ht="22" customHeight="1">
      <c r="A3114" s="12" t="inlineStr">
        <is>
          <t>CUL-3110</t>
        </is>
      </c>
      <c r="B3114" s="11" t="n">
        <v>604</v>
      </c>
      <c r="C3114" s="13" t="inlineStr">
        <is>
          <t>SIPEAGRO (UF-XXXXX)</t>
        </is>
      </c>
      <c r="D3114" s="14" t="inlineStr">
        <is>
          <t>BIOAZOS 1,5L</t>
        </is>
      </c>
      <c r="E3114" s="13" t="inlineStr">
        <is>
          <t>Pulverização Agrícola Conforme Bula</t>
        </is>
      </c>
      <c r="F3114" s="13" t="inlineStr">
        <is>
          <t>Trigo</t>
        </is>
      </c>
      <c r="G3114" s="13" t="inlineStr">
        <is>
          <t>Cultura Autorizada na Bula</t>
        </is>
      </c>
      <c r="H3114" s="13" t="inlineStr">
        <is>
          <t>100 a 300 L/ha</t>
        </is>
      </c>
      <c r="I3114" s="13" t="inlineStr">
        <is>
          <t>20 a 40 L/ha</t>
        </is>
      </c>
      <c r="J3114" s="13" t="inlineStr">
        <is>
          <t>0 (Isento)</t>
        </is>
      </c>
    </row>
    <row r="3115" ht="22" customHeight="1">
      <c r="A3115" s="6" t="inlineStr">
        <is>
          <t>CUL-3111</t>
        </is>
      </c>
      <c r="B3115" s="5" t="n">
        <v>604</v>
      </c>
      <c r="C3115" s="7" t="inlineStr">
        <is>
          <t>SIPEAGRO (UF-XXXXX)</t>
        </is>
      </c>
      <c r="D3115" s="8" t="inlineStr">
        <is>
          <t>BIOAZOS 1,5L</t>
        </is>
      </c>
      <c r="E3115" s="7" t="inlineStr">
        <is>
          <t>Pulverização Agrícola Conforme Bula</t>
        </is>
      </c>
      <c r="F3115" s="7" t="inlineStr">
        <is>
          <t>Pastagens (Brachiaria)</t>
        </is>
      </c>
      <c r="G3115" s="7" t="inlineStr">
        <is>
          <t>Cultura Autorizada na Bula</t>
        </is>
      </c>
      <c r="H3115" s="7" t="inlineStr">
        <is>
          <t>100 a 300 L/ha</t>
        </is>
      </c>
      <c r="I3115" s="7" t="inlineStr">
        <is>
          <t>20 a 40 L/ha</t>
        </is>
      </c>
      <c r="J3115" s="7" t="inlineStr">
        <is>
          <t>0 (Isento)</t>
        </is>
      </c>
    </row>
    <row r="3116" ht="22" customHeight="1">
      <c r="A3116" s="12" t="inlineStr">
        <is>
          <t>CUL-3112</t>
        </is>
      </c>
      <c r="B3116" s="11" t="n">
        <v>605</v>
      </c>
      <c r="C3116" s="13" t="inlineStr">
        <is>
          <t>Nº 4899</t>
        </is>
      </c>
      <c r="D3116" s="14" t="inlineStr">
        <is>
          <t>CERTERO SC</t>
        </is>
      </c>
      <c r="E3116" s="13" t="inlineStr">
        <is>
          <t>Pulverização Agrícola Conforme Bula</t>
        </is>
      </c>
      <c r="F3116" s="13" t="inlineStr">
        <is>
          <t>Soja</t>
        </is>
      </c>
      <c r="G3116" s="13" t="inlineStr">
        <is>
          <t>Cultura Autorizada na Bula</t>
        </is>
      </c>
      <c r="H3116" s="13" t="inlineStr">
        <is>
          <t>100 a 300 L/ha</t>
        </is>
      </c>
      <c r="I3116" s="13" t="inlineStr">
        <is>
          <t>20 a 40 L/ha</t>
        </is>
      </c>
      <c r="J3116" s="13" t="inlineStr">
        <is>
          <t>21 dias</t>
        </is>
      </c>
    </row>
    <row r="3117" ht="22" customHeight="1">
      <c r="A3117" s="6" t="inlineStr">
        <is>
          <t>CUL-3113</t>
        </is>
      </c>
      <c r="B3117" s="5" t="n">
        <v>605</v>
      </c>
      <c r="C3117" s="7" t="inlineStr">
        <is>
          <t>Nº 4899</t>
        </is>
      </c>
      <c r="D3117" s="8" t="inlineStr">
        <is>
          <t>CERTERO SC</t>
        </is>
      </c>
      <c r="E3117" s="7" t="inlineStr">
        <is>
          <t>Pulverização Agrícola Conforme Bula</t>
        </is>
      </c>
      <c r="F3117" s="7" t="inlineStr">
        <is>
          <t>Milho</t>
        </is>
      </c>
      <c r="G3117" s="7" t="inlineStr">
        <is>
          <t>Cultura Autorizada na Bula</t>
        </is>
      </c>
      <c r="H3117" s="7" t="inlineStr">
        <is>
          <t>100 a 300 L/ha</t>
        </is>
      </c>
      <c r="I3117" s="7" t="inlineStr">
        <is>
          <t>20 a 40 L/ha</t>
        </is>
      </c>
      <c r="J3117" s="7" t="inlineStr">
        <is>
          <t>21 dias</t>
        </is>
      </c>
    </row>
    <row r="3118" ht="22" customHeight="1">
      <c r="A3118" s="12" t="inlineStr">
        <is>
          <t>CUL-3114</t>
        </is>
      </c>
      <c r="B3118" s="11" t="n">
        <v>605</v>
      </c>
      <c r="C3118" s="13" t="inlineStr">
        <is>
          <t>Nº 4899</t>
        </is>
      </c>
      <c r="D3118" s="14" t="inlineStr">
        <is>
          <t>CERTERO SC</t>
        </is>
      </c>
      <c r="E3118" s="13" t="inlineStr">
        <is>
          <t>Pulverização Agrícola Conforme Bula</t>
        </is>
      </c>
      <c r="F3118" s="13" t="inlineStr">
        <is>
          <t>Algodão</t>
        </is>
      </c>
      <c r="G3118" s="13" t="inlineStr">
        <is>
          <t>Cultura Autorizada na Bula</t>
        </is>
      </c>
      <c r="H3118" s="13" t="inlineStr">
        <is>
          <t>100 a 300 L/ha</t>
        </is>
      </c>
      <c r="I3118" s="13" t="inlineStr">
        <is>
          <t>20 a 40 L/ha</t>
        </is>
      </c>
      <c r="J3118" s="13" t="inlineStr">
        <is>
          <t>21 dias</t>
        </is>
      </c>
    </row>
    <row r="3119" ht="22" customHeight="1">
      <c r="A3119" s="6" t="inlineStr">
        <is>
          <t>CUL-3115</t>
        </is>
      </c>
      <c r="B3119" s="5" t="n">
        <v>605</v>
      </c>
      <c r="C3119" s="7" t="inlineStr">
        <is>
          <t>Nº 4899</t>
        </is>
      </c>
      <c r="D3119" s="8" t="inlineStr">
        <is>
          <t>CERTERO SC</t>
        </is>
      </c>
      <c r="E3119" s="7" t="inlineStr">
        <is>
          <t>Pulverização Agrícola Conforme Bula</t>
        </is>
      </c>
      <c r="F3119" s="7" t="inlineStr">
        <is>
          <t>Feijão</t>
        </is>
      </c>
      <c r="G3119" s="7" t="inlineStr">
        <is>
          <t>Cultura Autorizada na Bula</t>
        </is>
      </c>
      <c r="H3119" s="7" t="inlineStr">
        <is>
          <t>100 a 300 L/ha</t>
        </is>
      </c>
      <c r="I3119" s="7" t="inlineStr">
        <is>
          <t>20 a 40 L/ha</t>
        </is>
      </c>
      <c r="J3119" s="7" t="inlineStr">
        <is>
          <t>14 dias</t>
        </is>
      </c>
    </row>
    <row r="3120" ht="22" customHeight="1">
      <c r="A3120" s="12" t="inlineStr">
        <is>
          <t>CUL-3116</t>
        </is>
      </c>
      <c r="B3120" s="11" t="n">
        <v>606</v>
      </c>
      <c r="C3120" s="13" t="inlineStr">
        <is>
          <t>Nº 6105</t>
        </is>
      </c>
      <c r="D3120" s="14" t="inlineStr">
        <is>
          <t>ENGEO PLENO S</t>
        </is>
      </c>
      <c r="E3120" s="13" t="inlineStr">
        <is>
          <t>Pulverização Agrícola Conforme Bula</t>
        </is>
      </c>
      <c r="F3120" s="13" t="inlineStr">
        <is>
          <t>Soja</t>
        </is>
      </c>
      <c r="G3120" s="13" t="inlineStr">
        <is>
          <t>Cultura Autorizada na Bula</t>
        </is>
      </c>
      <c r="H3120" s="13" t="inlineStr">
        <is>
          <t>100 a 300 L/ha</t>
        </is>
      </c>
      <c r="I3120" s="13" t="inlineStr">
        <is>
          <t>20 a 40 L/ha</t>
        </is>
      </c>
      <c r="J3120" s="13" t="inlineStr">
        <is>
          <t>21 dias</t>
        </is>
      </c>
    </row>
    <row r="3121" ht="22" customHeight="1">
      <c r="A3121" s="6" t="inlineStr">
        <is>
          <t>CUL-3117</t>
        </is>
      </c>
      <c r="B3121" s="5" t="n">
        <v>606</v>
      </c>
      <c r="C3121" s="7" t="inlineStr">
        <is>
          <t>Nº 6105</t>
        </is>
      </c>
      <c r="D3121" s="8" t="inlineStr">
        <is>
          <t>ENGEO PLENO S</t>
        </is>
      </c>
      <c r="E3121" s="7" t="inlineStr">
        <is>
          <t>Pulverização Agrícola Conforme Bula</t>
        </is>
      </c>
      <c r="F3121" s="7" t="inlineStr">
        <is>
          <t>Milho</t>
        </is>
      </c>
      <c r="G3121" s="7" t="inlineStr">
        <is>
          <t>Cultura Autorizada na Bula</t>
        </is>
      </c>
      <c r="H3121" s="7" t="inlineStr">
        <is>
          <t>100 a 300 L/ha</t>
        </is>
      </c>
      <c r="I3121" s="7" t="inlineStr">
        <is>
          <t>20 a 40 L/ha</t>
        </is>
      </c>
      <c r="J3121" s="7" t="inlineStr">
        <is>
          <t>21 dias</t>
        </is>
      </c>
    </row>
    <row r="3122" ht="22" customHeight="1">
      <c r="A3122" s="12" t="inlineStr">
        <is>
          <t>CUL-3118</t>
        </is>
      </c>
      <c r="B3122" s="11" t="n">
        <v>606</v>
      </c>
      <c r="C3122" s="13" t="inlineStr">
        <is>
          <t>Nº 6105</t>
        </is>
      </c>
      <c r="D3122" s="14" t="inlineStr">
        <is>
          <t>ENGEO PLENO S</t>
        </is>
      </c>
      <c r="E3122" s="13" t="inlineStr">
        <is>
          <t>Pulverização Agrícola Conforme Bula</t>
        </is>
      </c>
      <c r="F3122" s="13" t="inlineStr">
        <is>
          <t>Algodão</t>
        </is>
      </c>
      <c r="G3122" s="13" t="inlineStr">
        <is>
          <t>Cultura Autorizada na Bula</t>
        </is>
      </c>
      <c r="H3122" s="13" t="inlineStr">
        <is>
          <t>100 a 300 L/ha</t>
        </is>
      </c>
      <c r="I3122" s="13" t="inlineStr">
        <is>
          <t>20 a 40 L/ha</t>
        </is>
      </c>
      <c r="J3122" s="13" t="inlineStr">
        <is>
          <t>21 dias</t>
        </is>
      </c>
    </row>
    <row r="3123" ht="22" customHeight="1">
      <c r="A3123" s="6" t="inlineStr">
        <is>
          <t>CUL-3119</t>
        </is>
      </c>
      <c r="B3123" s="5" t="n">
        <v>606</v>
      </c>
      <c r="C3123" s="7" t="inlineStr">
        <is>
          <t>Nº 6105</t>
        </is>
      </c>
      <c r="D3123" s="8" t="inlineStr">
        <is>
          <t>ENGEO PLENO S</t>
        </is>
      </c>
      <c r="E3123" s="7" t="inlineStr">
        <is>
          <t>Pulverização Agrícola Conforme Bula</t>
        </is>
      </c>
      <c r="F3123" s="7" t="inlineStr">
        <is>
          <t>Feijão</t>
        </is>
      </c>
      <c r="G3123" s="7" t="inlineStr">
        <is>
          <t>Cultura Autorizada na Bula</t>
        </is>
      </c>
      <c r="H3123" s="7" t="inlineStr">
        <is>
          <t>100 a 300 L/ha</t>
        </is>
      </c>
      <c r="I3123" s="7" t="inlineStr">
        <is>
          <t>20 a 40 L/ha</t>
        </is>
      </c>
      <c r="J3123" s="7" t="inlineStr">
        <is>
          <t>14 dias</t>
        </is>
      </c>
    </row>
    <row r="3124" ht="22" customHeight="1">
      <c r="A3124" s="12" t="inlineStr">
        <is>
          <t>CUL-3120</t>
        </is>
      </c>
      <c r="B3124" s="11" t="n">
        <v>607</v>
      </c>
      <c r="C3124" s="13" t="inlineStr">
        <is>
          <t>Nº 5108</t>
        </is>
      </c>
      <c r="D3124" s="14" t="inlineStr">
        <is>
          <t>SOBERAN SC</t>
        </is>
      </c>
      <c r="E3124" s="13" t="inlineStr">
        <is>
          <t>Pulverização Agrícola Conforme Bula</t>
        </is>
      </c>
      <c r="F3124" s="13" t="inlineStr">
        <is>
          <t>Soja</t>
        </is>
      </c>
      <c r="G3124" s="13" t="inlineStr">
        <is>
          <t>Cultura Autorizada na Bula</t>
        </is>
      </c>
      <c r="H3124" s="13" t="inlineStr">
        <is>
          <t>100 a 300 L/ha</t>
        </is>
      </c>
      <c r="I3124" s="13" t="inlineStr">
        <is>
          <t>20 a 40 L/ha</t>
        </is>
      </c>
      <c r="J3124" s="13" t="inlineStr">
        <is>
          <t>60 dias</t>
        </is>
      </c>
    </row>
    <row r="3125" ht="22" customHeight="1">
      <c r="A3125" s="6" t="inlineStr">
        <is>
          <t>CUL-3121</t>
        </is>
      </c>
      <c r="B3125" s="5" t="n">
        <v>607</v>
      </c>
      <c r="C3125" s="7" t="inlineStr">
        <is>
          <t>Nº 5108</t>
        </is>
      </c>
      <c r="D3125" s="8" t="inlineStr">
        <is>
          <t>SOBERAN SC</t>
        </is>
      </c>
      <c r="E3125" s="7" t="inlineStr">
        <is>
          <t>Pulverização Agrícola Conforme Bula</t>
        </is>
      </c>
      <c r="F3125" s="7" t="inlineStr">
        <is>
          <t>Milho</t>
        </is>
      </c>
      <c r="G3125" s="7" t="inlineStr">
        <is>
          <t>Cultura Autorizada na Bula</t>
        </is>
      </c>
      <c r="H3125" s="7" t="inlineStr">
        <is>
          <t>100 a 300 L/ha</t>
        </is>
      </c>
      <c r="I3125" s="7" t="inlineStr">
        <is>
          <t>20 a 40 L/ha</t>
        </is>
      </c>
      <c r="J3125" s="7" t="inlineStr">
        <is>
          <t>45 dias</t>
        </is>
      </c>
    </row>
    <row r="3126" ht="22" customHeight="1">
      <c r="A3126" s="12" t="inlineStr">
        <is>
          <t>CUL-3122</t>
        </is>
      </c>
      <c r="B3126" s="11" t="n">
        <v>607</v>
      </c>
      <c r="C3126" s="13" t="inlineStr">
        <is>
          <t>Nº 5108</t>
        </is>
      </c>
      <c r="D3126" s="14" t="inlineStr">
        <is>
          <t>SOBERAN SC</t>
        </is>
      </c>
      <c r="E3126" s="13" t="inlineStr">
        <is>
          <t>Pulverização Agrícola Conforme Bula</t>
        </is>
      </c>
      <c r="F3126" s="13" t="inlineStr">
        <is>
          <t>Algodão</t>
        </is>
      </c>
      <c r="G3126" s="13" t="inlineStr">
        <is>
          <t>Cultura Autorizada na Bula</t>
        </is>
      </c>
      <c r="H3126" s="13" t="inlineStr">
        <is>
          <t>100 a 300 L/ha</t>
        </is>
      </c>
      <c r="I3126" s="13" t="inlineStr">
        <is>
          <t>20 a 40 L/ha</t>
        </is>
      </c>
      <c r="J3126" s="13" t="inlineStr">
        <is>
          <t>60 dias</t>
        </is>
      </c>
    </row>
    <row r="3127" ht="22" customHeight="1">
      <c r="A3127" s="6" t="inlineStr">
        <is>
          <t>CUL-3123</t>
        </is>
      </c>
      <c r="B3127" s="5" t="n">
        <v>607</v>
      </c>
      <c r="C3127" s="7" t="inlineStr">
        <is>
          <t>Nº 5108</t>
        </is>
      </c>
      <c r="D3127" s="8" t="inlineStr">
        <is>
          <t>SOBERAN SC</t>
        </is>
      </c>
      <c r="E3127" s="7" t="inlineStr">
        <is>
          <t>Pulverização Agrícola Conforme Bula</t>
        </is>
      </c>
      <c r="F3127" s="7" t="inlineStr">
        <is>
          <t>Cana-de-açúcar</t>
        </is>
      </c>
      <c r="G3127" s="7" t="inlineStr">
        <is>
          <t>Cultura Autorizada na Bula</t>
        </is>
      </c>
      <c r="H3127" s="7" t="inlineStr">
        <is>
          <t>100 a 300 L/ha</t>
        </is>
      </c>
      <c r="I3127" s="7" t="inlineStr">
        <is>
          <t>20 a 40 L/ha</t>
        </is>
      </c>
      <c r="J3127" s="7" t="inlineStr">
        <is>
          <t>90 dias</t>
        </is>
      </c>
    </row>
    <row r="3128" ht="22" customHeight="1">
      <c r="A3128" s="12" t="inlineStr">
        <is>
          <t>CUL-3124</t>
        </is>
      </c>
      <c r="B3128" s="11" t="n">
        <v>608</v>
      </c>
      <c r="C3128" s="13" t="inlineStr">
        <is>
          <t>Nº 4822</t>
        </is>
      </c>
      <c r="D3128" s="14" t="inlineStr">
        <is>
          <t>FEROCE</t>
        </is>
      </c>
      <c r="E3128" s="13" t="inlineStr">
        <is>
          <t>Pulverização Agrícola Conforme Bula</t>
        </is>
      </c>
      <c r="F3128" s="13" t="inlineStr">
        <is>
          <t>Soja</t>
        </is>
      </c>
      <c r="G3128" s="13" t="inlineStr">
        <is>
          <t>Cultura Autorizada na Bula</t>
        </is>
      </c>
      <c r="H3128" s="13" t="inlineStr">
        <is>
          <t>100 a 300 L/ha</t>
        </is>
      </c>
      <c r="I3128" s="13" t="inlineStr">
        <is>
          <t>20 a 40 L/ha</t>
        </is>
      </c>
      <c r="J3128" s="13" t="inlineStr">
        <is>
          <t>21 dias</t>
        </is>
      </c>
    </row>
    <row r="3129" ht="22" customHeight="1">
      <c r="A3129" s="6" t="inlineStr">
        <is>
          <t>CUL-3125</t>
        </is>
      </c>
      <c r="B3129" s="5" t="n">
        <v>608</v>
      </c>
      <c r="C3129" s="7" t="inlineStr">
        <is>
          <t>Nº 4822</t>
        </is>
      </c>
      <c r="D3129" s="8" t="inlineStr">
        <is>
          <t>FEROCE</t>
        </is>
      </c>
      <c r="E3129" s="7" t="inlineStr">
        <is>
          <t>Pulverização Agrícola Conforme Bula</t>
        </is>
      </c>
      <c r="F3129" s="7" t="inlineStr">
        <is>
          <t>Algodão</t>
        </is>
      </c>
      <c r="G3129" s="7" t="inlineStr">
        <is>
          <t>Cultura Autorizada na Bula</t>
        </is>
      </c>
      <c r="H3129" s="7" t="inlineStr">
        <is>
          <t>100 a 300 L/ha</t>
        </is>
      </c>
      <c r="I3129" s="7" t="inlineStr">
        <is>
          <t>20 a 40 L/ha</t>
        </is>
      </c>
      <c r="J3129" s="7" t="inlineStr">
        <is>
          <t>21 dias</t>
        </is>
      </c>
    </row>
    <row r="3130" ht="22" customHeight="1">
      <c r="A3130" s="12" t="inlineStr">
        <is>
          <t>CUL-3126</t>
        </is>
      </c>
      <c r="B3130" s="11" t="n">
        <v>608</v>
      </c>
      <c r="C3130" s="13" t="inlineStr">
        <is>
          <t>Nº 4822</t>
        </is>
      </c>
      <c r="D3130" s="14" t="inlineStr">
        <is>
          <t>FEROCE</t>
        </is>
      </c>
      <c r="E3130" s="13" t="inlineStr">
        <is>
          <t>Pulverização Agrícola Conforme Bula</t>
        </is>
      </c>
      <c r="F3130" s="13" t="inlineStr">
        <is>
          <t>Feijão</t>
        </is>
      </c>
      <c r="G3130" s="13" t="inlineStr">
        <is>
          <t>Cultura Autorizada na Bula</t>
        </is>
      </c>
      <c r="H3130" s="13" t="inlineStr">
        <is>
          <t>100 a 300 L/ha</t>
        </is>
      </c>
      <c r="I3130" s="13" t="inlineStr">
        <is>
          <t>20 a 40 L/ha</t>
        </is>
      </c>
      <c r="J3130" s="13" t="inlineStr">
        <is>
          <t>14 dias</t>
        </is>
      </c>
    </row>
    <row r="3131" ht="22" customHeight="1">
      <c r="A3131" s="6" t="inlineStr">
        <is>
          <t>CUL-3127</t>
        </is>
      </c>
      <c r="B3131" s="5" t="n">
        <v>608</v>
      </c>
      <c r="C3131" s="7" t="inlineStr">
        <is>
          <t>Nº 4822</t>
        </is>
      </c>
      <c r="D3131" s="8" t="inlineStr">
        <is>
          <t>FEROCE</t>
        </is>
      </c>
      <c r="E3131" s="7" t="inlineStr">
        <is>
          <t>Pulverização Agrícola Conforme Bula</t>
        </is>
      </c>
      <c r="F3131" s="7" t="inlineStr">
        <is>
          <t>Milho</t>
        </is>
      </c>
      <c r="G3131" s="7" t="inlineStr">
        <is>
          <t>Cultura Autorizada na Bula</t>
        </is>
      </c>
      <c r="H3131" s="7" t="inlineStr">
        <is>
          <t>100 a 300 L/ha</t>
        </is>
      </c>
      <c r="I3131" s="7" t="inlineStr">
        <is>
          <t>20 a 40 L/ha</t>
        </is>
      </c>
      <c r="J3131" s="7" t="inlineStr">
        <is>
          <t>21 dias</t>
        </is>
      </c>
    </row>
    <row r="3132" ht="22" customHeight="1">
      <c r="A3132" s="12" t="inlineStr">
        <is>
          <t>CUL-3128</t>
        </is>
      </c>
      <c r="B3132" s="11" t="n">
        <v>609</v>
      </c>
      <c r="C3132" s="13" t="inlineStr">
        <is>
          <t>Nº 8514</t>
        </is>
      </c>
      <c r="D3132" s="14" t="inlineStr">
        <is>
          <t>GLIFORTE</t>
        </is>
      </c>
      <c r="E3132" s="13" t="inlineStr">
        <is>
          <t>Pulverização Agrícola Conforme Bula</t>
        </is>
      </c>
      <c r="F3132" s="13" t="inlineStr">
        <is>
          <t>Soja (Pré-Plantio / OGM)</t>
        </is>
      </c>
      <c r="G3132" s="13" t="inlineStr">
        <is>
          <t>Cultura Autorizada na Bula</t>
        </is>
      </c>
      <c r="H3132" s="13" t="inlineStr">
        <is>
          <t>100 a 300 L/ha</t>
        </is>
      </c>
      <c r="I3132" s="13" t="inlineStr">
        <is>
          <t>20 a 40 L/ha</t>
        </is>
      </c>
      <c r="J3132" s="13" t="inlineStr">
        <is>
          <t>56 dias</t>
        </is>
      </c>
    </row>
    <row r="3133" ht="22" customHeight="1">
      <c r="A3133" s="6" t="inlineStr">
        <is>
          <t>CUL-3129</t>
        </is>
      </c>
      <c r="B3133" s="5" t="n">
        <v>609</v>
      </c>
      <c r="C3133" s="7" t="inlineStr">
        <is>
          <t>Nº 8514</t>
        </is>
      </c>
      <c r="D3133" s="8" t="inlineStr">
        <is>
          <t>GLIFORTE</t>
        </is>
      </c>
      <c r="E3133" s="7" t="inlineStr">
        <is>
          <t>Pulverização Agrícola Conforme Bula</t>
        </is>
      </c>
      <c r="F3133" s="7" t="inlineStr">
        <is>
          <t>Milho (Pré-Plantio / OGM)</t>
        </is>
      </c>
      <c r="G3133" s="7" t="inlineStr">
        <is>
          <t>Cultura Autorizada na Bula</t>
        </is>
      </c>
      <c r="H3133" s="7" t="inlineStr">
        <is>
          <t>100 a 300 L/ha</t>
        </is>
      </c>
      <c r="I3133" s="7" t="inlineStr">
        <is>
          <t>20 a 40 L/ha</t>
        </is>
      </c>
      <c r="J3133" s="7" t="inlineStr">
        <is>
          <t>90 dias</t>
        </is>
      </c>
    </row>
    <row r="3134" ht="22" customHeight="1">
      <c r="A3134" s="12" t="inlineStr">
        <is>
          <t>CUL-3130</t>
        </is>
      </c>
      <c r="B3134" s="11" t="n">
        <v>609</v>
      </c>
      <c r="C3134" s="13" t="inlineStr">
        <is>
          <t>Nº 8514</t>
        </is>
      </c>
      <c r="D3134" s="14" t="inlineStr">
        <is>
          <t>GLIFORTE</t>
        </is>
      </c>
      <c r="E3134" s="13" t="inlineStr">
        <is>
          <t>Pulverização Agrícola Conforme Bula</t>
        </is>
      </c>
      <c r="F3134" s="13" t="inlineStr">
        <is>
          <t>Algodão (Pré-Plantio / OGM)</t>
        </is>
      </c>
      <c r="G3134" s="13" t="inlineStr">
        <is>
          <t>Cultura Autorizada na Bula</t>
        </is>
      </c>
      <c r="H3134" s="13" t="inlineStr">
        <is>
          <t>100 a 300 L/ha</t>
        </is>
      </c>
      <c r="I3134" s="13" t="inlineStr">
        <is>
          <t>20 a 40 L/ha</t>
        </is>
      </c>
      <c r="J3134" s="13" t="inlineStr">
        <is>
          <t>130 dias</t>
        </is>
      </c>
    </row>
    <row r="3135" ht="22" customHeight="1">
      <c r="A3135" s="6" t="inlineStr">
        <is>
          <t>CUL-3131</t>
        </is>
      </c>
      <c r="B3135" s="5" t="n">
        <v>609</v>
      </c>
      <c r="C3135" s="7" t="inlineStr">
        <is>
          <t>Nº 8514</t>
        </is>
      </c>
      <c r="D3135" s="8" t="inlineStr">
        <is>
          <t>GLIFORTE</t>
        </is>
      </c>
      <c r="E3135" s="7" t="inlineStr">
        <is>
          <t>Pulverização Agrícola Conforme Bula</t>
        </is>
      </c>
      <c r="F3135" s="7" t="inlineStr">
        <is>
          <t>Cana-de-açúcar</t>
        </is>
      </c>
      <c r="G3135" s="7" t="inlineStr">
        <is>
          <t>Cultura Autorizada na Bula</t>
        </is>
      </c>
      <c r="H3135" s="7" t="inlineStr">
        <is>
          <t>100 a 300 L/ha</t>
        </is>
      </c>
      <c r="I3135" s="7" t="inlineStr">
        <is>
          <t>20 a 40 L/ha</t>
        </is>
      </c>
      <c r="J3135" s="7" t="inlineStr">
        <is>
          <t>N/D</t>
        </is>
      </c>
    </row>
    <row r="3136" ht="22" customHeight="1">
      <c r="A3136" s="12" t="inlineStr">
        <is>
          <t>CUL-3132</t>
        </is>
      </c>
      <c r="B3136" s="11" t="n">
        <v>609</v>
      </c>
      <c r="C3136" s="13" t="inlineStr">
        <is>
          <t>Nº 8514</t>
        </is>
      </c>
      <c r="D3136" s="14" t="inlineStr">
        <is>
          <t>GLIFORTE</t>
        </is>
      </c>
      <c r="E3136" s="13" t="inlineStr">
        <is>
          <t>Pulverização Agrícola Conforme Bula</t>
        </is>
      </c>
      <c r="F3136" s="13" t="inlineStr">
        <is>
          <t>Café (Jato Dirigido)</t>
        </is>
      </c>
      <c r="G3136" s="13" t="inlineStr">
        <is>
          <t>Cultura Autorizada na Bula</t>
        </is>
      </c>
      <c r="H3136" s="13" t="inlineStr">
        <is>
          <t>100 a 300 L/ha</t>
        </is>
      </c>
      <c r="I3136" s="13" t="inlineStr">
        <is>
          <t>20 a 40 L/ha</t>
        </is>
      </c>
      <c r="J3136" s="13" t="inlineStr">
        <is>
          <t>15 dias</t>
        </is>
      </c>
    </row>
    <row r="3137" ht="22" customHeight="1">
      <c r="A3137" s="6" t="inlineStr">
        <is>
          <t>CUL-3133</t>
        </is>
      </c>
      <c r="B3137" s="5" t="n">
        <v>609</v>
      </c>
      <c r="C3137" s="7" t="inlineStr">
        <is>
          <t>Nº 8514</t>
        </is>
      </c>
      <c r="D3137" s="8" t="inlineStr">
        <is>
          <t>GLIFORTE</t>
        </is>
      </c>
      <c r="E3137" s="7" t="inlineStr">
        <is>
          <t>Pulverização Agrícola Conforme Bula</t>
        </is>
      </c>
      <c r="F3137" s="7" t="inlineStr">
        <is>
          <t>Citros (Jato Dirigido)</t>
        </is>
      </c>
      <c r="G3137" s="7" t="inlineStr">
        <is>
          <t>Cultura Autorizada na Bula</t>
        </is>
      </c>
      <c r="H3137" s="7" t="inlineStr">
        <is>
          <t>100 a 300 L/ha</t>
        </is>
      </c>
      <c r="I3137" s="7" t="inlineStr">
        <is>
          <t>20 a 40 L/ha</t>
        </is>
      </c>
      <c r="J3137" s="7" t="inlineStr">
        <is>
          <t>30 dias</t>
        </is>
      </c>
    </row>
    <row r="3138" ht="22" customHeight="1">
      <c r="A3138" s="12" t="inlineStr">
        <is>
          <t>CUL-3134</t>
        </is>
      </c>
      <c r="B3138" s="11" t="n">
        <v>609</v>
      </c>
      <c r="C3138" s="13" t="inlineStr">
        <is>
          <t>Nº 8514</t>
        </is>
      </c>
      <c r="D3138" s="14" t="inlineStr">
        <is>
          <t>GLIFORTE</t>
        </is>
      </c>
      <c r="E3138" s="13" t="inlineStr">
        <is>
          <t>Pulverização Agrícola Conforme Bula</t>
        </is>
      </c>
      <c r="F3138" s="13" t="inlineStr">
        <is>
          <t>Trigo (Pré-Plantio)</t>
        </is>
      </c>
      <c r="G3138" s="13" t="inlineStr">
        <is>
          <t>Cultura Autorizada na Bula</t>
        </is>
      </c>
      <c r="H3138" s="13" t="inlineStr">
        <is>
          <t>100 a 300 L/ha</t>
        </is>
      </c>
      <c r="I3138" s="13" t="inlineStr">
        <is>
          <t>20 a 40 L/ha</t>
        </is>
      </c>
      <c r="J3138" s="13" t="inlineStr">
        <is>
          <t>N/D</t>
        </is>
      </c>
    </row>
    <row r="3139" ht="22" customHeight="1">
      <c r="A3139" s="6" t="inlineStr">
        <is>
          <t>CUL-3135</t>
        </is>
      </c>
      <c r="B3139" s="5" t="n">
        <v>609</v>
      </c>
      <c r="C3139" s="7" t="inlineStr">
        <is>
          <t>Nº 8514</t>
        </is>
      </c>
      <c r="D3139" s="8" t="inlineStr">
        <is>
          <t>GLIFORTE</t>
        </is>
      </c>
      <c r="E3139" s="7" t="inlineStr">
        <is>
          <t>Pulverização Agrícola Conforme Bula</t>
        </is>
      </c>
      <c r="F3139" s="7" t="inlineStr">
        <is>
          <t>Pastagens</t>
        </is>
      </c>
      <c r="G3139" s="7" t="inlineStr">
        <is>
          <t>Cultura Autorizada na Bula</t>
        </is>
      </c>
      <c r="H3139" s="7" t="inlineStr">
        <is>
          <t>100 a 300 L/ha</t>
        </is>
      </c>
      <c r="I3139" s="7" t="inlineStr">
        <is>
          <t>20 a 40 L/ha</t>
        </is>
      </c>
      <c r="J3139" s="7" t="inlineStr">
        <is>
          <t>N/D</t>
        </is>
      </c>
    </row>
    <row r="3140" ht="22" customHeight="1">
      <c r="A3140" s="12" t="inlineStr">
        <is>
          <t>CUL-3136</t>
        </is>
      </c>
      <c r="B3140" s="11" t="n">
        <v>610</v>
      </c>
      <c r="C3140" s="13" t="inlineStr">
        <is>
          <t>Nº 8806</t>
        </is>
      </c>
      <c r="D3140" s="14" t="inlineStr">
        <is>
          <t>IMUNIT</t>
        </is>
      </c>
      <c r="E3140" s="13" t="inlineStr">
        <is>
          <t>Pulverização Agrícola Conforme Bula</t>
        </is>
      </c>
      <c r="F3140" s="13" t="inlineStr">
        <is>
          <t>Soja</t>
        </is>
      </c>
      <c r="G3140" s="13" t="inlineStr">
        <is>
          <t>Cultura Autorizada na Bula</t>
        </is>
      </c>
      <c r="H3140" s="13" t="inlineStr">
        <is>
          <t>100 a 300 L/ha</t>
        </is>
      </c>
      <c r="I3140" s="13" t="inlineStr">
        <is>
          <t>20 a 40 L/ha</t>
        </is>
      </c>
      <c r="J3140" s="13" t="inlineStr">
        <is>
          <t>21 dias</t>
        </is>
      </c>
    </row>
    <row r="3141" ht="22" customHeight="1">
      <c r="A3141" s="6" t="inlineStr">
        <is>
          <t>CUL-3137</t>
        </is>
      </c>
      <c r="B3141" s="5" t="n">
        <v>610</v>
      </c>
      <c r="C3141" s="7" t="inlineStr">
        <is>
          <t>Nº 8806</t>
        </is>
      </c>
      <c r="D3141" s="8" t="inlineStr">
        <is>
          <t>IMUNIT</t>
        </is>
      </c>
      <c r="E3141" s="7" t="inlineStr">
        <is>
          <t>Pulverização Agrícola Conforme Bula</t>
        </is>
      </c>
      <c r="F3141" s="7" t="inlineStr">
        <is>
          <t>Milho</t>
        </is>
      </c>
      <c r="G3141" s="7" t="inlineStr">
        <is>
          <t>Cultura Autorizada na Bula</t>
        </is>
      </c>
      <c r="H3141" s="7" t="inlineStr">
        <is>
          <t>100 a 300 L/ha</t>
        </is>
      </c>
      <c r="I3141" s="7" t="inlineStr">
        <is>
          <t>20 a 40 L/ha</t>
        </is>
      </c>
      <c r="J3141" s="7" t="inlineStr">
        <is>
          <t>21 dias</t>
        </is>
      </c>
    </row>
    <row r="3142" ht="22" customHeight="1">
      <c r="A3142" s="12" t="inlineStr">
        <is>
          <t>CUL-3138</t>
        </is>
      </c>
      <c r="B3142" s="11" t="n">
        <v>610</v>
      </c>
      <c r="C3142" s="13" t="inlineStr">
        <is>
          <t>Nº 8806</t>
        </is>
      </c>
      <c r="D3142" s="14" t="inlineStr">
        <is>
          <t>IMUNIT</t>
        </is>
      </c>
      <c r="E3142" s="13" t="inlineStr">
        <is>
          <t>Pulverização Agrícola Conforme Bula</t>
        </is>
      </c>
      <c r="F3142" s="13" t="inlineStr">
        <is>
          <t>Algodão</t>
        </is>
      </c>
      <c r="G3142" s="13" t="inlineStr">
        <is>
          <t>Cultura Autorizada na Bula</t>
        </is>
      </c>
      <c r="H3142" s="13" t="inlineStr">
        <is>
          <t>100 a 300 L/ha</t>
        </is>
      </c>
      <c r="I3142" s="13" t="inlineStr">
        <is>
          <t>20 a 40 L/ha</t>
        </is>
      </c>
      <c r="J3142" s="13" t="inlineStr">
        <is>
          <t>21 dias</t>
        </is>
      </c>
    </row>
    <row r="3143" ht="22" customHeight="1">
      <c r="A3143" s="6" t="inlineStr">
        <is>
          <t>CUL-3139</t>
        </is>
      </c>
      <c r="B3143" s="5" t="n">
        <v>610</v>
      </c>
      <c r="C3143" s="7" t="inlineStr">
        <is>
          <t>Nº 8806</t>
        </is>
      </c>
      <c r="D3143" s="8" t="inlineStr">
        <is>
          <t>IMUNIT</t>
        </is>
      </c>
      <c r="E3143" s="7" t="inlineStr">
        <is>
          <t>Pulverização Agrícola Conforme Bula</t>
        </is>
      </c>
      <c r="F3143" s="7" t="inlineStr">
        <is>
          <t>Feijão</t>
        </is>
      </c>
      <c r="G3143" s="7" t="inlineStr">
        <is>
          <t>Cultura Autorizada na Bula</t>
        </is>
      </c>
      <c r="H3143" s="7" t="inlineStr">
        <is>
          <t>100 a 300 L/ha</t>
        </is>
      </c>
      <c r="I3143" s="7" t="inlineStr">
        <is>
          <t>20 a 40 L/ha</t>
        </is>
      </c>
      <c r="J3143" s="7" t="inlineStr">
        <is>
          <t>14 dias</t>
        </is>
      </c>
    </row>
    <row r="3144" ht="22" customHeight="1">
      <c r="A3144" s="12" t="inlineStr">
        <is>
          <t>CUL-3140</t>
        </is>
      </c>
      <c r="B3144" s="11" t="n">
        <v>611</v>
      </c>
      <c r="C3144" s="13" t="inlineStr">
        <is>
          <t>SIPEAGRO (UF-XXXXX)</t>
        </is>
      </c>
      <c r="D3144" s="14" t="inlineStr">
        <is>
          <t>INOCULANTE GRAP NOD+ 1X1,5KG</t>
        </is>
      </c>
      <c r="E3144" s="13" t="inlineStr">
        <is>
          <t>Pulverização Agrícola Conforme Bula</t>
        </is>
      </c>
      <c r="F3144" s="13" t="inlineStr">
        <is>
          <t>Milho</t>
        </is>
      </c>
      <c r="G3144" s="13" t="inlineStr">
        <is>
          <t>Cultura Autorizada na Bula</t>
        </is>
      </c>
      <c r="H3144" s="13" t="inlineStr">
        <is>
          <t>100 a 300 L/ha</t>
        </is>
      </c>
      <c r="I3144" s="13" t="inlineStr">
        <is>
          <t>20 a 40 L/ha</t>
        </is>
      </c>
      <c r="J3144" s="13" t="inlineStr">
        <is>
          <t>0 (Isento)</t>
        </is>
      </c>
    </row>
    <row r="3145" ht="22" customHeight="1">
      <c r="A3145" s="6" t="inlineStr">
        <is>
          <t>CUL-3141</t>
        </is>
      </c>
      <c r="B3145" s="5" t="n">
        <v>611</v>
      </c>
      <c r="C3145" s="7" t="inlineStr">
        <is>
          <t>SIPEAGRO (UF-XXXXX)</t>
        </is>
      </c>
      <c r="D3145" s="8" t="inlineStr">
        <is>
          <t>INOCULANTE GRAP NOD+ 1X1,5KG</t>
        </is>
      </c>
      <c r="E3145" s="7" t="inlineStr">
        <is>
          <t>Pulverização Agrícola Conforme Bula</t>
        </is>
      </c>
      <c r="F3145" s="7" t="inlineStr">
        <is>
          <t>Soja (Coinoculação)</t>
        </is>
      </c>
      <c r="G3145" s="7" t="inlineStr">
        <is>
          <t>Cultura Autorizada na Bula</t>
        </is>
      </c>
      <c r="H3145" s="7" t="inlineStr">
        <is>
          <t>100 a 300 L/ha</t>
        </is>
      </c>
      <c r="I3145" s="7" t="inlineStr">
        <is>
          <t>20 a 40 L/ha</t>
        </is>
      </c>
      <c r="J3145" s="7" t="inlineStr">
        <is>
          <t>0 (Isento)</t>
        </is>
      </c>
    </row>
    <row r="3146" ht="22" customHeight="1">
      <c r="A3146" s="12" t="inlineStr">
        <is>
          <t>CUL-3142</t>
        </is>
      </c>
      <c r="B3146" s="11" t="n">
        <v>611</v>
      </c>
      <c r="C3146" s="13" t="inlineStr">
        <is>
          <t>SIPEAGRO (UF-XXXXX)</t>
        </is>
      </c>
      <c r="D3146" s="14" t="inlineStr">
        <is>
          <t>INOCULANTE GRAP NOD+ 1X1,5KG</t>
        </is>
      </c>
      <c r="E3146" s="13" t="inlineStr">
        <is>
          <t>Pulverização Agrícola Conforme Bula</t>
        </is>
      </c>
      <c r="F3146" s="13" t="inlineStr">
        <is>
          <t>Trigo</t>
        </is>
      </c>
      <c r="G3146" s="13" t="inlineStr">
        <is>
          <t>Cultura Autorizada na Bula</t>
        </is>
      </c>
      <c r="H3146" s="13" t="inlineStr">
        <is>
          <t>100 a 300 L/ha</t>
        </is>
      </c>
      <c r="I3146" s="13" t="inlineStr">
        <is>
          <t>20 a 40 L/ha</t>
        </is>
      </c>
      <c r="J3146" s="13" t="inlineStr">
        <is>
          <t>0 (Isento)</t>
        </is>
      </c>
    </row>
    <row r="3147" ht="22" customHeight="1">
      <c r="A3147" s="6" t="inlineStr">
        <is>
          <t>CUL-3143</t>
        </is>
      </c>
      <c r="B3147" s="5" t="n">
        <v>611</v>
      </c>
      <c r="C3147" s="7" t="inlineStr">
        <is>
          <t>SIPEAGRO (UF-XXXXX)</t>
        </is>
      </c>
      <c r="D3147" s="8" t="inlineStr">
        <is>
          <t>INOCULANTE GRAP NOD+ 1X1,5KG</t>
        </is>
      </c>
      <c r="E3147" s="7" t="inlineStr">
        <is>
          <t>Pulverização Agrícola Conforme Bula</t>
        </is>
      </c>
      <c r="F3147" s="7" t="inlineStr">
        <is>
          <t>Pastagens (Brachiaria)</t>
        </is>
      </c>
      <c r="G3147" s="7" t="inlineStr">
        <is>
          <t>Cultura Autorizada na Bula</t>
        </is>
      </c>
      <c r="H3147" s="7" t="inlineStr">
        <is>
          <t>100 a 300 L/ha</t>
        </is>
      </c>
      <c r="I3147" s="7" t="inlineStr">
        <is>
          <t>20 a 40 L/ha</t>
        </is>
      </c>
      <c r="J3147" s="7" t="inlineStr">
        <is>
          <t>0 (Isento)</t>
        </is>
      </c>
    </row>
    <row r="3148" ht="22" customHeight="1">
      <c r="A3148" s="12" t="inlineStr">
        <is>
          <t>CUL-3144</t>
        </is>
      </c>
      <c r="B3148" s="11" t="n">
        <v>612</v>
      </c>
      <c r="C3148" s="13" t="inlineStr">
        <is>
          <t>SIPEAGRO (UF-XXXXX)</t>
        </is>
      </c>
      <c r="D3148" s="14" t="inlineStr">
        <is>
          <t>NITROBASE Z21</t>
        </is>
      </c>
      <c r="E3148" s="13" t="inlineStr">
        <is>
          <t>Adubação de Solo / Foliar</t>
        </is>
      </c>
      <c r="F3148" s="13" t="inlineStr">
        <is>
          <t>Soja</t>
        </is>
      </c>
      <c r="G3148" s="13" t="inlineStr">
        <is>
          <t>Cultura Autorizada na Bula</t>
        </is>
      </c>
      <c r="H3148" s="13" t="inlineStr">
        <is>
          <t>100 a 300 L/ha</t>
        </is>
      </c>
      <c r="I3148" s="13" t="inlineStr">
        <is>
          <t>20 a 40 L/ha</t>
        </is>
      </c>
      <c r="J3148" s="13" t="inlineStr">
        <is>
          <t>Isento</t>
        </is>
      </c>
    </row>
    <row r="3149" ht="22" customHeight="1">
      <c r="A3149" s="6" t="inlineStr">
        <is>
          <t>CUL-3145</t>
        </is>
      </c>
      <c r="B3149" s="5" t="n">
        <v>612</v>
      </c>
      <c r="C3149" s="7" t="inlineStr">
        <is>
          <t>SIPEAGRO (UF-XXXXX)</t>
        </is>
      </c>
      <c r="D3149" s="8" t="inlineStr">
        <is>
          <t>NITROBASE Z21</t>
        </is>
      </c>
      <c r="E3149" s="7" t="inlineStr">
        <is>
          <t>Adubação de Solo / Foliar</t>
        </is>
      </c>
      <c r="F3149" s="7" t="inlineStr">
        <is>
          <t>Milho</t>
        </is>
      </c>
      <c r="G3149" s="7" t="inlineStr">
        <is>
          <t>Cultura Autorizada na Bula</t>
        </is>
      </c>
      <c r="H3149" s="7" t="inlineStr">
        <is>
          <t>100 a 300 L/ha</t>
        </is>
      </c>
      <c r="I3149" s="7" t="inlineStr">
        <is>
          <t>20 a 40 L/ha</t>
        </is>
      </c>
      <c r="J3149" s="7" t="inlineStr">
        <is>
          <t>Isento</t>
        </is>
      </c>
    </row>
    <row r="3150" ht="22" customHeight="1">
      <c r="A3150" s="12" t="inlineStr">
        <is>
          <t>CUL-3146</t>
        </is>
      </c>
      <c r="B3150" s="11" t="n">
        <v>612</v>
      </c>
      <c r="C3150" s="13" t="inlineStr">
        <is>
          <t>SIPEAGRO (UF-XXXXX)</t>
        </is>
      </c>
      <c r="D3150" s="14" t="inlineStr">
        <is>
          <t>NITROBASE Z21</t>
        </is>
      </c>
      <c r="E3150" s="13" t="inlineStr">
        <is>
          <t>Adubação de Solo / Foliar</t>
        </is>
      </c>
      <c r="F3150" s="13" t="inlineStr">
        <is>
          <t>Algodão</t>
        </is>
      </c>
      <c r="G3150" s="13" t="inlineStr">
        <is>
          <t>Cultura Autorizada na Bula</t>
        </is>
      </c>
      <c r="H3150" s="13" t="inlineStr">
        <is>
          <t>100 a 300 L/ha</t>
        </is>
      </c>
      <c r="I3150" s="13" t="inlineStr">
        <is>
          <t>20 a 40 L/ha</t>
        </is>
      </c>
      <c r="J3150" s="13" t="inlineStr">
        <is>
          <t>Isento</t>
        </is>
      </c>
    </row>
    <row r="3151" ht="22" customHeight="1">
      <c r="A3151" s="6" t="inlineStr">
        <is>
          <t>CUL-3147</t>
        </is>
      </c>
      <c r="B3151" s="5" t="n">
        <v>612</v>
      </c>
      <c r="C3151" s="7" t="inlineStr">
        <is>
          <t>SIPEAGRO (UF-XXXXX)</t>
        </is>
      </c>
      <c r="D3151" s="8" t="inlineStr">
        <is>
          <t>NITROBASE Z21</t>
        </is>
      </c>
      <c r="E3151" s="7" t="inlineStr">
        <is>
          <t>Adubação de Solo / Foliar</t>
        </is>
      </c>
      <c r="F3151" s="7" t="inlineStr">
        <is>
          <t>Cana-de-açúcar</t>
        </is>
      </c>
      <c r="G3151" s="7" t="inlineStr">
        <is>
          <t>Cultura Autorizada na Bula</t>
        </is>
      </c>
      <c r="H3151" s="7" t="inlineStr">
        <is>
          <t>100 a 300 L/ha</t>
        </is>
      </c>
      <c r="I3151" s="7" t="inlineStr">
        <is>
          <t>20 a 40 L/ha</t>
        </is>
      </c>
      <c r="J3151" s="7" t="inlineStr">
        <is>
          <t>Isento</t>
        </is>
      </c>
    </row>
    <row r="3152" ht="22" customHeight="1">
      <c r="A3152" s="12" t="inlineStr">
        <is>
          <t>CUL-3148</t>
        </is>
      </c>
      <c r="B3152" s="11" t="n">
        <v>612</v>
      </c>
      <c r="C3152" s="13" t="inlineStr">
        <is>
          <t>SIPEAGRO (UF-XXXXX)</t>
        </is>
      </c>
      <c r="D3152" s="14" t="inlineStr">
        <is>
          <t>NITROBASE Z21</t>
        </is>
      </c>
      <c r="E3152" s="13" t="inlineStr">
        <is>
          <t>Adubação de Solo / Foliar</t>
        </is>
      </c>
      <c r="F3152" s="13" t="inlineStr">
        <is>
          <t>Café</t>
        </is>
      </c>
      <c r="G3152" s="13" t="inlineStr">
        <is>
          <t>Cultura Autorizada na Bula</t>
        </is>
      </c>
      <c r="H3152" s="13" t="inlineStr">
        <is>
          <t>100 a 300 L/ha</t>
        </is>
      </c>
      <c r="I3152" s="13" t="inlineStr">
        <is>
          <t>20 a 40 L/ha</t>
        </is>
      </c>
      <c r="J3152" s="13" t="inlineStr">
        <is>
          <t>Isento</t>
        </is>
      </c>
    </row>
    <row r="3153" ht="22" customHeight="1">
      <c r="A3153" s="6" t="inlineStr">
        <is>
          <t>CUL-3149</t>
        </is>
      </c>
      <c r="B3153" s="5" t="n">
        <v>613</v>
      </c>
      <c r="C3153" s="7" t="inlineStr">
        <is>
          <t>SIPEAGRO (UF-XXXXX)</t>
        </is>
      </c>
      <c r="D3153" s="8" t="inlineStr">
        <is>
          <t>RESISTANCE DRILLFLY</t>
        </is>
      </c>
      <c r="E3153" s="7" t="inlineStr">
        <is>
          <t>Adubação de Solo / Foliar</t>
        </is>
      </c>
      <c r="F3153" s="7" t="inlineStr">
        <is>
          <t>Soja</t>
        </is>
      </c>
      <c r="G3153" s="7" t="inlineStr">
        <is>
          <t>Cultura Autorizada na Bula</t>
        </is>
      </c>
      <c r="H3153" s="7" t="inlineStr">
        <is>
          <t>100 a 300 L/ha</t>
        </is>
      </c>
      <c r="I3153" s="7" t="inlineStr">
        <is>
          <t>20 a 40 L/ha</t>
        </is>
      </c>
      <c r="J3153" s="7" t="inlineStr">
        <is>
          <t>Isento</t>
        </is>
      </c>
    </row>
    <row r="3154" ht="22" customHeight="1">
      <c r="A3154" s="12" t="inlineStr">
        <is>
          <t>CUL-3150</t>
        </is>
      </c>
      <c r="B3154" s="11" t="n">
        <v>613</v>
      </c>
      <c r="C3154" s="13" t="inlineStr">
        <is>
          <t>SIPEAGRO (UF-XXXXX)</t>
        </is>
      </c>
      <c r="D3154" s="14" t="inlineStr">
        <is>
          <t>RESISTANCE DRILLFLY</t>
        </is>
      </c>
      <c r="E3154" s="13" t="inlineStr">
        <is>
          <t>Adubação de Solo / Foliar</t>
        </is>
      </c>
      <c r="F3154" s="13" t="inlineStr">
        <is>
          <t>Milho</t>
        </is>
      </c>
      <c r="G3154" s="13" t="inlineStr">
        <is>
          <t>Cultura Autorizada na Bula</t>
        </is>
      </c>
      <c r="H3154" s="13" t="inlineStr">
        <is>
          <t>100 a 300 L/ha</t>
        </is>
      </c>
      <c r="I3154" s="13" t="inlineStr">
        <is>
          <t>20 a 40 L/ha</t>
        </is>
      </c>
      <c r="J3154" s="13" t="inlineStr">
        <is>
          <t>Isento</t>
        </is>
      </c>
    </row>
    <row r="3155" ht="22" customHeight="1">
      <c r="A3155" s="6" t="inlineStr">
        <is>
          <t>CUL-3151</t>
        </is>
      </c>
      <c r="B3155" s="5" t="n">
        <v>613</v>
      </c>
      <c r="C3155" s="7" t="inlineStr">
        <is>
          <t>SIPEAGRO (UF-XXXXX)</t>
        </is>
      </c>
      <c r="D3155" s="8" t="inlineStr">
        <is>
          <t>RESISTANCE DRILLFLY</t>
        </is>
      </c>
      <c r="E3155" s="7" t="inlineStr">
        <is>
          <t>Adubação de Solo / Foliar</t>
        </is>
      </c>
      <c r="F3155" s="7" t="inlineStr">
        <is>
          <t>Algodão</t>
        </is>
      </c>
      <c r="G3155" s="7" t="inlineStr">
        <is>
          <t>Cultura Autorizada na Bula</t>
        </is>
      </c>
      <c r="H3155" s="7" t="inlineStr">
        <is>
          <t>100 a 300 L/ha</t>
        </is>
      </c>
      <c r="I3155" s="7" t="inlineStr">
        <is>
          <t>20 a 40 L/ha</t>
        </is>
      </c>
      <c r="J3155" s="7" t="inlineStr">
        <is>
          <t>Isento</t>
        </is>
      </c>
    </row>
    <row r="3156" ht="22" customHeight="1">
      <c r="A3156" s="12" t="inlineStr">
        <is>
          <t>CUL-3152</t>
        </is>
      </c>
      <c r="B3156" s="11" t="n">
        <v>613</v>
      </c>
      <c r="C3156" s="13" t="inlineStr">
        <is>
          <t>SIPEAGRO (UF-XXXXX)</t>
        </is>
      </c>
      <c r="D3156" s="14" t="inlineStr">
        <is>
          <t>RESISTANCE DRILLFLY</t>
        </is>
      </c>
      <c r="E3156" s="13" t="inlineStr">
        <is>
          <t>Adubação de Solo / Foliar</t>
        </is>
      </c>
      <c r="F3156" s="13" t="inlineStr">
        <is>
          <t>Cana-de-açúcar</t>
        </is>
      </c>
      <c r="G3156" s="13" t="inlineStr">
        <is>
          <t>Cultura Autorizada na Bula</t>
        </is>
      </c>
      <c r="H3156" s="13" t="inlineStr">
        <is>
          <t>100 a 300 L/ha</t>
        </is>
      </c>
      <c r="I3156" s="13" t="inlineStr">
        <is>
          <t>20 a 40 L/ha</t>
        </is>
      </c>
      <c r="J3156" s="13" t="inlineStr">
        <is>
          <t>Isento</t>
        </is>
      </c>
    </row>
    <row r="3157" ht="22" customHeight="1">
      <c r="A3157" s="6" t="inlineStr">
        <is>
          <t>CUL-3153</t>
        </is>
      </c>
      <c r="B3157" s="5" t="n">
        <v>613</v>
      </c>
      <c r="C3157" s="7" t="inlineStr">
        <is>
          <t>SIPEAGRO (UF-XXXXX)</t>
        </is>
      </c>
      <c r="D3157" s="8" t="inlineStr">
        <is>
          <t>RESISTANCE DRILLFLY</t>
        </is>
      </c>
      <c r="E3157" s="7" t="inlineStr">
        <is>
          <t>Adubação de Solo / Foliar</t>
        </is>
      </c>
      <c r="F3157" s="7" t="inlineStr">
        <is>
          <t>Café</t>
        </is>
      </c>
      <c r="G3157" s="7" t="inlineStr">
        <is>
          <t>Cultura Autorizada na Bula</t>
        </is>
      </c>
      <c r="H3157" s="7" t="inlineStr">
        <is>
          <t>100 a 300 L/ha</t>
        </is>
      </c>
      <c r="I3157" s="7" t="inlineStr">
        <is>
          <t>20 a 40 L/ha</t>
        </is>
      </c>
      <c r="J3157" s="7" t="inlineStr">
        <is>
          <t>Isento</t>
        </is>
      </c>
    </row>
    <row r="3158" ht="22" customHeight="1">
      <c r="A3158" s="12" t="inlineStr">
        <is>
          <t>CUL-3154</t>
        </is>
      </c>
      <c r="B3158" s="11" t="n">
        <v>614</v>
      </c>
      <c r="C3158" s="13" t="inlineStr">
        <is>
          <t>Nº 13709</t>
        </is>
      </c>
      <c r="D3158" s="14" t="inlineStr">
        <is>
          <t>SEIZER 100 EC</t>
        </is>
      </c>
      <c r="E3158" s="13" t="inlineStr">
        <is>
          <t>Pulverização Agrícola Conforme Bula</t>
        </is>
      </c>
      <c r="F3158" s="13" t="inlineStr">
        <is>
          <t>Algodão</t>
        </is>
      </c>
      <c r="G3158" s="13" t="inlineStr">
        <is>
          <t>Cultura Autorizada na Bula</t>
        </is>
      </c>
      <c r="H3158" s="13" t="inlineStr">
        <is>
          <t>100 a 300 L/ha</t>
        </is>
      </c>
      <c r="I3158" s="13" t="inlineStr">
        <is>
          <t>20 a 40 L/ha</t>
        </is>
      </c>
      <c r="J3158" s="13" t="inlineStr">
        <is>
          <t>15 dias</t>
        </is>
      </c>
    </row>
    <row r="3159" ht="22" customHeight="1">
      <c r="A3159" s="6" t="inlineStr">
        <is>
          <t>CUL-3155</t>
        </is>
      </c>
      <c r="B3159" s="5" t="n">
        <v>614</v>
      </c>
      <c r="C3159" s="7" t="inlineStr">
        <is>
          <t>Nº 13709</t>
        </is>
      </c>
      <c r="D3159" s="8" t="inlineStr">
        <is>
          <t>SEIZER 100 EC</t>
        </is>
      </c>
      <c r="E3159" s="7" t="inlineStr">
        <is>
          <t>Pulverização Agrícola Conforme Bula</t>
        </is>
      </c>
      <c r="F3159" s="7" t="inlineStr">
        <is>
          <t>Soja</t>
        </is>
      </c>
      <c r="G3159" s="7" t="inlineStr">
        <is>
          <t>Cultura Autorizada na Bula</t>
        </is>
      </c>
      <c r="H3159" s="7" t="inlineStr">
        <is>
          <t>100 a 300 L/ha</t>
        </is>
      </c>
      <c r="I3159" s="7" t="inlineStr">
        <is>
          <t>20 a 40 L/ha</t>
        </is>
      </c>
      <c r="J3159" s="7" t="inlineStr">
        <is>
          <t>30 dias</t>
        </is>
      </c>
    </row>
    <row r="3160" ht="22" customHeight="1">
      <c r="A3160" s="12" t="inlineStr">
        <is>
          <t>CUL-3156</t>
        </is>
      </c>
      <c r="B3160" s="11" t="n">
        <v>614</v>
      </c>
      <c r="C3160" s="13" t="inlineStr">
        <is>
          <t>Nº 13709</t>
        </is>
      </c>
      <c r="D3160" s="14" t="inlineStr">
        <is>
          <t>SEIZER 100 EC</t>
        </is>
      </c>
      <c r="E3160" s="13" t="inlineStr">
        <is>
          <t>Pulverização Agrícola Conforme Bula</t>
        </is>
      </c>
      <c r="F3160" s="13" t="inlineStr">
        <is>
          <t>Milho</t>
        </is>
      </c>
      <c r="G3160" s="13" t="inlineStr">
        <is>
          <t>Cultura Autorizada na Bula</t>
        </is>
      </c>
      <c r="H3160" s="13" t="inlineStr">
        <is>
          <t>100 a 300 L/ha</t>
        </is>
      </c>
      <c r="I3160" s="13" t="inlineStr">
        <is>
          <t>20 a 40 L/ha</t>
        </is>
      </c>
      <c r="J3160" s="13" t="inlineStr">
        <is>
          <t>30 dias</t>
        </is>
      </c>
    </row>
    <row r="3161" ht="22" customHeight="1">
      <c r="A3161" s="6" t="inlineStr">
        <is>
          <t>CUL-3157</t>
        </is>
      </c>
      <c r="B3161" s="5" t="n">
        <v>614</v>
      </c>
      <c r="C3161" s="7" t="inlineStr">
        <is>
          <t>Nº 13709</t>
        </is>
      </c>
      <c r="D3161" s="8" t="inlineStr">
        <is>
          <t>SEIZER 100 EC</t>
        </is>
      </c>
      <c r="E3161" s="7" t="inlineStr">
        <is>
          <t>Pulverização Agrícola Conforme Bula</t>
        </is>
      </c>
      <c r="F3161" s="7" t="inlineStr">
        <is>
          <t>Cana-de-açúcar</t>
        </is>
      </c>
      <c r="G3161" s="7" t="inlineStr">
        <is>
          <t>Cultura Autorizada na Bula</t>
        </is>
      </c>
      <c r="H3161" s="7" t="inlineStr">
        <is>
          <t>100 a 300 L/ha</t>
        </is>
      </c>
      <c r="I3161" s="7" t="inlineStr">
        <is>
          <t>20 a 40 L/ha</t>
        </is>
      </c>
      <c r="J3161" s="7" t="inlineStr">
        <is>
          <t>30 dias</t>
        </is>
      </c>
    </row>
    <row r="3162" ht="22" customHeight="1">
      <c r="A3162" s="12" t="inlineStr">
        <is>
          <t>CUL-3158</t>
        </is>
      </c>
      <c r="B3162" s="11" t="n">
        <v>614</v>
      </c>
      <c r="C3162" s="13" t="inlineStr">
        <is>
          <t>Nº 13709</t>
        </is>
      </c>
      <c r="D3162" s="14" t="inlineStr">
        <is>
          <t>SEIZER 100 EC</t>
        </is>
      </c>
      <c r="E3162" s="13" t="inlineStr">
        <is>
          <t>Pulverização Agrícola Conforme Bula</t>
        </is>
      </c>
      <c r="F3162" s="13" t="inlineStr">
        <is>
          <t>Café</t>
        </is>
      </c>
      <c r="G3162" s="13" t="inlineStr">
        <is>
          <t>Cultura Autorizada na Bula</t>
        </is>
      </c>
      <c r="H3162" s="13" t="inlineStr">
        <is>
          <t>100 a 300 L/ha</t>
        </is>
      </c>
      <c r="I3162" s="13" t="inlineStr">
        <is>
          <t>20 a 40 L/ha</t>
        </is>
      </c>
      <c r="J3162" s="13" t="inlineStr">
        <is>
          <t>30 dias</t>
        </is>
      </c>
    </row>
    <row r="3163" ht="22" customHeight="1">
      <c r="A3163" s="6" t="inlineStr">
        <is>
          <t>CUL-3159</t>
        </is>
      </c>
      <c r="B3163" s="5" t="n">
        <v>614</v>
      </c>
      <c r="C3163" s="7" t="inlineStr">
        <is>
          <t>Nº 13709</t>
        </is>
      </c>
      <c r="D3163" s="8" t="inlineStr">
        <is>
          <t>SEIZER 100 EC</t>
        </is>
      </c>
      <c r="E3163" s="7" t="inlineStr">
        <is>
          <t>Pulverização Agrícola Conforme Bula</t>
        </is>
      </c>
      <c r="F3163" s="7" t="inlineStr">
        <is>
          <t>Citros</t>
        </is>
      </c>
      <c r="G3163" s="7" t="inlineStr">
        <is>
          <t>Cultura Autorizada na Bula</t>
        </is>
      </c>
      <c r="H3163" s="7" t="inlineStr">
        <is>
          <t>100 a 300 L/ha</t>
        </is>
      </c>
      <c r="I3163" s="7" t="inlineStr">
        <is>
          <t>20 a 40 L/ha</t>
        </is>
      </c>
      <c r="J3163" s="7" t="inlineStr">
        <is>
          <t>7 dias</t>
        </is>
      </c>
    </row>
    <row r="3164" ht="22" customHeight="1">
      <c r="A3164" s="12" t="inlineStr">
        <is>
          <t>CUL-3160</t>
        </is>
      </c>
      <c r="B3164" s="11" t="n">
        <v>614</v>
      </c>
      <c r="C3164" s="13" t="inlineStr">
        <is>
          <t>Nº 13709</t>
        </is>
      </c>
      <c r="D3164" s="14" t="inlineStr">
        <is>
          <t>SEIZER 100 EC</t>
        </is>
      </c>
      <c r="E3164" s="13" t="inlineStr">
        <is>
          <t>Pulverização Agrícola Conforme Bula</t>
        </is>
      </c>
      <c r="F3164" s="13" t="inlineStr">
        <is>
          <t>Feijão</t>
        </is>
      </c>
      <c r="G3164" s="13" t="inlineStr">
        <is>
          <t>Cultura Autorizada na Bula</t>
        </is>
      </c>
      <c r="H3164" s="13" t="inlineStr">
        <is>
          <t>100 a 300 L/ha</t>
        </is>
      </c>
      <c r="I3164" s="13" t="inlineStr">
        <is>
          <t>20 a 40 L/ha</t>
        </is>
      </c>
      <c r="J3164" s="13" t="inlineStr">
        <is>
          <t>20 dias</t>
        </is>
      </c>
    </row>
    <row r="3165" ht="22" customHeight="1">
      <c r="A3165" s="6" t="inlineStr">
        <is>
          <t>CUL-3161</t>
        </is>
      </c>
      <c r="B3165" s="5" t="n">
        <v>614</v>
      </c>
      <c r="C3165" s="7" t="inlineStr">
        <is>
          <t>Nº 13709</t>
        </is>
      </c>
      <c r="D3165" s="8" t="inlineStr">
        <is>
          <t>SEIZER 100 EC</t>
        </is>
      </c>
      <c r="E3165" s="7" t="inlineStr">
        <is>
          <t>Pulverização Agrícola Conforme Bula</t>
        </is>
      </c>
      <c r="F3165" s="7" t="inlineStr">
        <is>
          <t>Trigo</t>
        </is>
      </c>
      <c r="G3165" s="7" t="inlineStr">
        <is>
          <t>Cultura Autorizada na Bula</t>
        </is>
      </c>
      <c r="H3165" s="7" t="inlineStr">
        <is>
          <t>100 a 300 L/ha</t>
        </is>
      </c>
      <c r="I3165" s="7" t="inlineStr">
        <is>
          <t>20 a 40 L/ha</t>
        </is>
      </c>
      <c r="J3165" s="7" t="inlineStr">
        <is>
          <t>30 dias</t>
        </is>
      </c>
    </row>
    <row r="3166" ht="22" customHeight="1">
      <c r="A3166" s="12" t="inlineStr">
        <is>
          <t>CUL-3162</t>
        </is>
      </c>
      <c r="B3166" s="11" t="n">
        <v>615</v>
      </c>
      <c r="C3166" s="13" t="inlineStr">
        <is>
          <t>Nº 3994</t>
        </is>
      </c>
      <c r="D3166" s="14" t="inlineStr">
        <is>
          <t>SIALEX 500</t>
        </is>
      </c>
      <c r="E3166" s="13" t="inlineStr">
        <is>
          <t>Pulverização Agrícola Conforme Bula</t>
        </is>
      </c>
      <c r="F3166" s="13" t="inlineStr">
        <is>
          <t>Soja</t>
        </is>
      </c>
      <c r="G3166" s="13" t="inlineStr">
        <is>
          <t>Cultura Autorizada na Bula</t>
        </is>
      </c>
      <c r="H3166" s="13" t="inlineStr">
        <is>
          <t>100 a 300 L/ha</t>
        </is>
      </c>
      <c r="I3166" s="13" t="inlineStr">
        <is>
          <t>20 a 40 L/ha</t>
        </is>
      </c>
      <c r="J3166" s="13" t="inlineStr">
        <is>
          <t>28 dias</t>
        </is>
      </c>
    </row>
    <row r="3167" ht="22" customHeight="1">
      <c r="A3167" s="6" t="inlineStr">
        <is>
          <t>CUL-3163</t>
        </is>
      </c>
      <c r="B3167" s="5" t="n">
        <v>615</v>
      </c>
      <c r="C3167" s="7" t="inlineStr">
        <is>
          <t>Nº 3994</t>
        </is>
      </c>
      <c r="D3167" s="8" t="inlineStr">
        <is>
          <t>SIALEX 500</t>
        </is>
      </c>
      <c r="E3167" s="7" t="inlineStr">
        <is>
          <t>Pulverização Agrícola Conforme Bula</t>
        </is>
      </c>
      <c r="F3167" s="7" t="inlineStr">
        <is>
          <t>Feijão</t>
        </is>
      </c>
      <c r="G3167" s="7" t="inlineStr">
        <is>
          <t>Cultura Autorizada na Bula</t>
        </is>
      </c>
      <c r="H3167" s="7" t="inlineStr">
        <is>
          <t>100 a 300 L/ha</t>
        </is>
      </c>
      <c r="I3167" s="7" t="inlineStr">
        <is>
          <t>20 a 40 L/ha</t>
        </is>
      </c>
      <c r="J3167" s="7" t="inlineStr">
        <is>
          <t>14 dias</t>
        </is>
      </c>
    </row>
    <row r="3168" ht="22" customHeight="1">
      <c r="A3168" s="12" t="inlineStr">
        <is>
          <t>CUL-3164</t>
        </is>
      </c>
      <c r="B3168" s="11" t="n">
        <v>615</v>
      </c>
      <c r="C3168" s="13" t="inlineStr">
        <is>
          <t>Nº 3994</t>
        </is>
      </c>
      <c r="D3168" s="14" t="inlineStr">
        <is>
          <t>SIALEX 500</t>
        </is>
      </c>
      <c r="E3168" s="13" t="inlineStr">
        <is>
          <t>Pulverização Agrícola Conforme Bula</t>
        </is>
      </c>
      <c r="F3168" s="13" t="inlineStr">
        <is>
          <t>Algodão</t>
        </is>
      </c>
      <c r="G3168" s="13" t="inlineStr">
        <is>
          <t>Cultura Autorizada na Bula</t>
        </is>
      </c>
      <c r="H3168" s="13" t="inlineStr">
        <is>
          <t>100 a 300 L/ha</t>
        </is>
      </c>
      <c r="I3168" s="13" t="inlineStr">
        <is>
          <t>20 a 40 L/ha</t>
        </is>
      </c>
      <c r="J3168" s="13" t="inlineStr">
        <is>
          <t>28 dias</t>
        </is>
      </c>
    </row>
    <row r="3169" ht="22" customHeight="1">
      <c r="A3169" s="6" t="inlineStr">
        <is>
          <t>CUL-3165</t>
        </is>
      </c>
      <c r="B3169" s="5" t="n">
        <v>615</v>
      </c>
      <c r="C3169" s="7" t="inlineStr">
        <is>
          <t>Nº 3994</t>
        </is>
      </c>
      <c r="D3169" s="8" t="inlineStr">
        <is>
          <t>SIALEX 500</t>
        </is>
      </c>
      <c r="E3169" s="7" t="inlineStr">
        <is>
          <t>Pulverização Agrícola Conforme Bula</t>
        </is>
      </c>
      <c r="F3169" s="7" t="inlineStr">
        <is>
          <t>Citros</t>
        </is>
      </c>
      <c r="G3169" s="7" t="inlineStr">
        <is>
          <t>Cultura Autorizada na Bula</t>
        </is>
      </c>
      <c r="H3169" s="7" t="inlineStr">
        <is>
          <t>100 a 300 L/ha</t>
        </is>
      </c>
      <c r="I3169" s="7" t="inlineStr">
        <is>
          <t>20 a 40 L/ha</t>
        </is>
      </c>
      <c r="J3169" s="7" t="inlineStr">
        <is>
          <t>14 dias</t>
        </is>
      </c>
    </row>
    <row r="3170" ht="22" customHeight="1">
      <c r="A3170" s="12" t="inlineStr">
        <is>
          <t>CUL-3166</t>
        </is>
      </c>
      <c r="B3170" s="11" t="n">
        <v>615</v>
      </c>
      <c r="C3170" s="13" t="inlineStr">
        <is>
          <t>Nº 3994</t>
        </is>
      </c>
      <c r="D3170" s="14" t="inlineStr">
        <is>
          <t>SIALEX 500</t>
        </is>
      </c>
      <c r="E3170" s="13" t="inlineStr">
        <is>
          <t>Pulverização Agrícola Conforme Bula</t>
        </is>
      </c>
      <c r="F3170" s="13" t="inlineStr">
        <is>
          <t>Café</t>
        </is>
      </c>
      <c r="G3170" s="13" t="inlineStr">
        <is>
          <t>Cultura Autorizada na Bula</t>
        </is>
      </c>
      <c r="H3170" s="13" t="inlineStr">
        <is>
          <t>100 a 300 L/ha</t>
        </is>
      </c>
      <c r="I3170" s="13" t="inlineStr">
        <is>
          <t>20 a 40 L/ha</t>
        </is>
      </c>
      <c r="J3170" s="13" t="inlineStr">
        <is>
          <t>21 dias</t>
        </is>
      </c>
    </row>
    <row r="3171" ht="22" customHeight="1">
      <c r="A3171" s="6" t="inlineStr">
        <is>
          <t>CUL-3167</t>
        </is>
      </c>
      <c r="B3171" s="5" t="n">
        <v>615</v>
      </c>
      <c r="C3171" s="7" t="inlineStr">
        <is>
          <t>Nº 3994</t>
        </is>
      </c>
      <c r="D3171" s="8" t="inlineStr">
        <is>
          <t>SIALEX 500</t>
        </is>
      </c>
      <c r="E3171" s="7" t="inlineStr">
        <is>
          <t>Pulverização Agrícola Conforme Bula</t>
        </is>
      </c>
      <c r="F3171" s="7" t="inlineStr">
        <is>
          <t>Trigo</t>
        </is>
      </c>
      <c r="G3171" s="7" t="inlineStr">
        <is>
          <t>Cultura Autorizada na Bula</t>
        </is>
      </c>
      <c r="H3171" s="7" t="inlineStr">
        <is>
          <t>100 a 300 L/ha</t>
        </is>
      </c>
      <c r="I3171" s="7" t="inlineStr">
        <is>
          <t>20 a 40 L/ha</t>
        </is>
      </c>
      <c r="J3171" s="7" t="inlineStr">
        <is>
          <t>35 dias</t>
        </is>
      </c>
    </row>
    <row r="3172" ht="22" customHeight="1">
      <c r="A3172" s="12" t="inlineStr">
        <is>
          <t>CUL-3168</t>
        </is>
      </c>
      <c r="B3172" s="11" t="n">
        <v>616</v>
      </c>
      <c r="C3172" s="13" t="inlineStr">
        <is>
          <t>Nº 28920</t>
        </is>
      </c>
      <c r="D3172" s="14" t="inlineStr">
        <is>
          <t>SONDA</t>
        </is>
      </c>
      <c r="E3172" s="13" t="inlineStr">
        <is>
          <t>Pulverização Agrícola Conforme Bula</t>
        </is>
      </c>
      <c r="F3172" s="13" t="inlineStr">
        <is>
          <t>Soja</t>
        </is>
      </c>
      <c r="G3172" s="13" t="inlineStr">
        <is>
          <t>Cultura Autorizada na Bula</t>
        </is>
      </c>
      <c r="H3172" s="13" t="inlineStr">
        <is>
          <t>100 a 300 L/ha</t>
        </is>
      </c>
      <c r="I3172" s="13" t="inlineStr">
        <is>
          <t>20 a 40 L/ha</t>
        </is>
      </c>
      <c r="J3172" s="13" t="inlineStr">
        <is>
          <t>60 dias</t>
        </is>
      </c>
    </row>
    <row r="3173" ht="22" customHeight="1">
      <c r="A3173" s="6" t="inlineStr">
        <is>
          <t>CUL-3169</t>
        </is>
      </c>
      <c r="B3173" s="5" t="n">
        <v>616</v>
      </c>
      <c r="C3173" s="7" t="inlineStr">
        <is>
          <t>Nº 28920</t>
        </is>
      </c>
      <c r="D3173" s="8" t="inlineStr">
        <is>
          <t>SONDA</t>
        </is>
      </c>
      <c r="E3173" s="7" t="inlineStr">
        <is>
          <t>Pulverização Agrícola Conforme Bula</t>
        </is>
      </c>
      <c r="F3173" s="7" t="inlineStr">
        <is>
          <t>Milho</t>
        </is>
      </c>
      <c r="G3173" s="7" t="inlineStr">
        <is>
          <t>Cultura Autorizada na Bula</t>
        </is>
      </c>
      <c r="H3173" s="7" t="inlineStr">
        <is>
          <t>100 a 300 L/ha</t>
        </is>
      </c>
      <c r="I3173" s="7" t="inlineStr">
        <is>
          <t>20 a 40 L/ha</t>
        </is>
      </c>
      <c r="J3173" s="7" t="inlineStr">
        <is>
          <t>45 dias</t>
        </is>
      </c>
    </row>
    <row r="3174" ht="22" customHeight="1">
      <c r="A3174" s="12" t="inlineStr">
        <is>
          <t>CUL-3170</t>
        </is>
      </c>
      <c r="B3174" s="11" t="n">
        <v>616</v>
      </c>
      <c r="C3174" s="13" t="inlineStr">
        <is>
          <t>Nº 28920</t>
        </is>
      </c>
      <c r="D3174" s="14" t="inlineStr">
        <is>
          <t>SONDA</t>
        </is>
      </c>
      <c r="E3174" s="13" t="inlineStr">
        <is>
          <t>Pulverização Agrícola Conforme Bula</t>
        </is>
      </c>
      <c r="F3174" s="13" t="inlineStr">
        <is>
          <t>Algodão</t>
        </is>
      </c>
      <c r="G3174" s="13" t="inlineStr">
        <is>
          <t>Cultura Autorizada na Bula</t>
        </is>
      </c>
      <c r="H3174" s="13" t="inlineStr">
        <is>
          <t>100 a 300 L/ha</t>
        </is>
      </c>
      <c r="I3174" s="13" t="inlineStr">
        <is>
          <t>20 a 40 L/ha</t>
        </is>
      </c>
      <c r="J3174" s="13" t="inlineStr">
        <is>
          <t>60 dias</t>
        </is>
      </c>
    </row>
    <row r="3175" ht="22" customHeight="1">
      <c r="A3175" s="6" t="inlineStr">
        <is>
          <t>CUL-3171</t>
        </is>
      </c>
      <c r="B3175" s="5" t="n">
        <v>616</v>
      </c>
      <c r="C3175" s="7" t="inlineStr">
        <is>
          <t>Nº 28920</t>
        </is>
      </c>
      <c r="D3175" s="8" t="inlineStr">
        <is>
          <t>SONDA</t>
        </is>
      </c>
      <c r="E3175" s="7" t="inlineStr">
        <is>
          <t>Pulverização Agrícola Conforme Bula</t>
        </is>
      </c>
      <c r="F3175" s="7" t="inlineStr">
        <is>
          <t>Cana-de-açúcar</t>
        </is>
      </c>
      <c r="G3175" s="7" t="inlineStr">
        <is>
          <t>Cultura Autorizada na Bula</t>
        </is>
      </c>
      <c r="H3175" s="7" t="inlineStr">
        <is>
          <t>100 a 300 L/ha</t>
        </is>
      </c>
      <c r="I3175" s="7" t="inlineStr">
        <is>
          <t>20 a 40 L/ha</t>
        </is>
      </c>
      <c r="J3175" s="7" t="inlineStr">
        <is>
          <t>90 dias</t>
        </is>
      </c>
    </row>
    <row r="3176" ht="22" customHeight="1">
      <c r="A3176" s="12" t="inlineStr">
        <is>
          <t>CUL-3172</t>
        </is>
      </c>
      <c r="B3176" s="11" t="n">
        <v>617</v>
      </c>
      <c r="C3176" s="13" t="inlineStr">
        <is>
          <t>Nº 6210</t>
        </is>
      </c>
      <c r="D3176" s="14" t="inlineStr">
        <is>
          <t>STATUS</t>
        </is>
      </c>
      <c r="E3176" s="13" t="inlineStr">
        <is>
          <t>Pulverização Agrícola Conforme Bula</t>
        </is>
      </c>
      <c r="F3176" s="13" t="inlineStr">
        <is>
          <t>Soja</t>
        </is>
      </c>
      <c r="G3176" s="13" t="inlineStr">
        <is>
          <t>Cultura Autorizada na Bula</t>
        </is>
      </c>
      <c r="H3176" s="13" t="inlineStr">
        <is>
          <t>100 a 300 L/ha</t>
        </is>
      </c>
      <c r="I3176" s="13" t="inlineStr">
        <is>
          <t>20 a 40 L/ha</t>
        </is>
      </c>
      <c r="J3176" s="13" t="inlineStr">
        <is>
          <t>14 dias</t>
        </is>
      </c>
    </row>
    <row r="3177" ht="22" customHeight="1">
      <c r="A3177" s="6" t="inlineStr">
        <is>
          <t>CUL-3173</t>
        </is>
      </c>
      <c r="B3177" s="5" t="n">
        <v>617</v>
      </c>
      <c r="C3177" s="7" t="inlineStr">
        <is>
          <t>Nº 6210</t>
        </is>
      </c>
      <c r="D3177" s="8" t="inlineStr">
        <is>
          <t>STATUS</t>
        </is>
      </c>
      <c r="E3177" s="7" t="inlineStr">
        <is>
          <t>Pulverização Agrícola Conforme Bula</t>
        </is>
      </c>
      <c r="F3177" s="7" t="inlineStr">
        <is>
          <t>Algodão</t>
        </is>
      </c>
      <c r="G3177" s="7" t="inlineStr">
        <is>
          <t>Cultura Autorizada na Bula</t>
        </is>
      </c>
      <c r="H3177" s="7" t="inlineStr">
        <is>
          <t>100 a 300 L/ha</t>
        </is>
      </c>
      <c r="I3177" s="7" t="inlineStr">
        <is>
          <t>20 a 40 L/ha</t>
        </is>
      </c>
      <c r="J3177" s="7" t="inlineStr">
        <is>
          <t>14 dias</t>
        </is>
      </c>
    </row>
    <row r="3178" ht="22" customHeight="1">
      <c r="A3178" s="12" t="inlineStr">
        <is>
          <t>CUL-3174</t>
        </is>
      </c>
      <c r="B3178" s="11" t="n">
        <v>617</v>
      </c>
      <c r="C3178" s="13" t="inlineStr">
        <is>
          <t>Nº 6210</t>
        </is>
      </c>
      <c r="D3178" s="14" t="inlineStr">
        <is>
          <t>STATUS</t>
        </is>
      </c>
      <c r="E3178" s="13" t="inlineStr">
        <is>
          <t>Pulverização Agrícola Conforme Bula</t>
        </is>
      </c>
      <c r="F3178" s="13" t="inlineStr">
        <is>
          <t>Feijão</t>
        </is>
      </c>
      <c r="G3178" s="13" t="inlineStr">
        <is>
          <t>Cultura Autorizada na Bula</t>
        </is>
      </c>
      <c r="H3178" s="13" t="inlineStr">
        <is>
          <t>100 a 300 L/ha</t>
        </is>
      </c>
      <c r="I3178" s="13" t="inlineStr">
        <is>
          <t>20 a 40 L/ha</t>
        </is>
      </c>
      <c r="J3178" s="13" t="inlineStr">
        <is>
          <t>14 dias</t>
        </is>
      </c>
    </row>
    <row r="3179" ht="22" customHeight="1">
      <c r="A3179" s="6" t="inlineStr">
        <is>
          <t>CUL-3175</t>
        </is>
      </c>
      <c r="B3179" s="5" t="n">
        <v>617</v>
      </c>
      <c r="C3179" s="7" t="inlineStr">
        <is>
          <t>Nº 6210</t>
        </is>
      </c>
      <c r="D3179" s="8" t="inlineStr">
        <is>
          <t>STATUS</t>
        </is>
      </c>
      <c r="E3179" s="7" t="inlineStr">
        <is>
          <t>Pulverização Agrícola Conforme Bula</t>
        </is>
      </c>
      <c r="F3179" s="7" t="inlineStr">
        <is>
          <t>Milho</t>
        </is>
      </c>
      <c r="G3179" s="7" t="inlineStr">
        <is>
          <t>Cultura Autorizada na Bula</t>
        </is>
      </c>
      <c r="H3179" s="7" t="inlineStr">
        <is>
          <t>100 a 300 L/ha</t>
        </is>
      </c>
      <c r="I3179" s="7" t="inlineStr">
        <is>
          <t>20 a 40 L/ha</t>
        </is>
      </c>
      <c r="J3179" s="7" t="inlineStr">
        <is>
          <t>14 dias</t>
        </is>
      </c>
    </row>
    <row r="3180" ht="22" customHeight="1">
      <c r="A3180" s="12" t="inlineStr">
        <is>
          <t>CUL-3176</t>
        </is>
      </c>
      <c r="B3180" s="11" t="n">
        <v>617</v>
      </c>
      <c r="C3180" s="13" t="inlineStr">
        <is>
          <t>Nº 6210</t>
        </is>
      </c>
      <c r="D3180" s="14" t="inlineStr">
        <is>
          <t>STATUS</t>
        </is>
      </c>
      <c r="E3180" s="13" t="inlineStr">
        <is>
          <t>Pulverização Agrícola Conforme Bula</t>
        </is>
      </c>
      <c r="F3180" s="13" t="inlineStr">
        <is>
          <t>Trigo</t>
        </is>
      </c>
      <c r="G3180" s="13" t="inlineStr">
        <is>
          <t>Cultura Autorizada na Bula</t>
        </is>
      </c>
      <c r="H3180" s="13" t="inlineStr">
        <is>
          <t>100 a 300 L/ha</t>
        </is>
      </c>
      <c r="I3180" s="13" t="inlineStr">
        <is>
          <t>20 a 40 L/ha</t>
        </is>
      </c>
      <c r="J3180" s="13" t="inlineStr">
        <is>
          <t>30 dias</t>
        </is>
      </c>
    </row>
    <row r="3181" ht="22" customHeight="1">
      <c r="A3181" s="6" t="inlineStr">
        <is>
          <t>CUL-3177</t>
        </is>
      </c>
      <c r="B3181" s="5" t="n">
        <v>617</v>
      </c>
      <c r="C3181" s="7" t="inlineStr">
        <is>
          <t>Nº 6210</t>
        </is>
      </c>
      <c r="D3181" s="8" t="inlineStr">
        <is>
          <t>STATUS</t>
        </is>
      </c>
      <c r="E3181" s="7" t="inlineStr">
        <is>
          <t>Pulverização Agrícola Conforme Bula</t>
        </is>
      </c>
      <c r="F3181" s="7" t="inlineStr">
        <is>
          <t>Batata</t>
        </is>
      </c>
      <c r="G3181" s="7" t="inlineStr">
        <is>
          <t>Cultura Autorizada na Bula</t>
        </is>
      </c>
      <c r="H3181" s="7" t="inlineStr">
        <is>
          <t>100 a 300 L/ha</t>
        </is>
      </c>
      <c r="I3181" s="7" t="inlineStr">
        <is>
          <t>20 a 40 L/ha</t>
        </is>
      </c>
      <c r="J3181" s="7" t="inlineStr">
        <is>
          <t>7 dias</t>
        </is>
      </c>
    </row>
    <row r="3182" ht="22" customHeight="1">
      <c r="A3182" s="12" t="inlineStr">
        <is>
          <t>CUL-3178</t>
        </is>
      </c>
      <c r="B3182" s="11" t="n">
        <v>617</v>
      </c>
      <c r="C3182" s="13" t="inlineStr">
        <is>
          <t>Nº 6210</t>
        </is>
      </c>
      <c r="D3182" s="14" t="inlineStr">
        <is>
          <t>STATUS</t>
        </is>
      </c>
      <c r="E3182" s="13" t="inlineStr">
        <is>
          <t>Pulverização Agrícola Conforme Bula</t>
        </is>
      </c>
      <c r="F3182" s="13" t="inlineStr">
        <is>
          <t>Café</t>
        </is>
      </c>
      <c r="G3182" s="13" t="inlineStr">
        <is>
          <t>Cultura Autorizada na Bula</t>
        </is>
      </c>
      <c r="H3182" s="13" t="inlineStr">
        <is>
          <t>100 a 300 L/ha</t>
        </is>
      </c>
      <c r="I3182" s="13" t="inlineStr">
        <is>
          <t>20 a 40 L/ha</t>
        </is>
      </c>
      <c r="J3182" s="13" t="inlineStr">
        <is>
          <t>30 dias</t>
        </is>
      </c>
    </row>
    <row r="3183" ht="22" customHeight="1">
      <c r="A3183" s="6" t="inlineStr">
        <is>
          <t>CUL-3179</t>
        </is>
      </c>
      <c r="B3183" s="5" t="n">
        <v>617</v>
      </c>
      <c r="C3183" s="7" t="inlineStr">
        <is>
          <t>Nº 6210</t>
        </is>
      </c>
      <c r="D3183" s="8" t="inlineStr">
        <is>
          <t>STATUS</t>
        </is>
      </c>
      <c r="E3183" s="7" t="inlineStr">
        <is>
          <t>Pulverização Agrícola Conforme Bula</t>
        </is>
      </c>
      <c r="F3183" s="7" t="inlineStr">
        <is>
          <t>Tomate</t>
        </is>
      </c>
      <c r="G3183" s="7" t="inlineStr">
        <is>
          <t>Cultura Autorizada na Bula</t>
        </is>
      </c>
      <c r="H3183" s="7" t="inlineStr">
        <is>
          <t>100 a 300 L/ha</t>
        </is>
      </c>
      <c r="I3183" s="7" t="inlineStr">
        <is>
          <t>20 a 40 L/ha</t>
        </is>
      </c>
      <c r="J3183" s="7" t="inlineStr">
        <is>
          <t>7 dias</t>
        </is>
      </c>
    </row>
    <row r="3184" ht="22" customHeight="1">
      <c r="A3184" s="12" t="inlineStr">
        <is>
          <t>CUL-3180</t>
        </is>
      </c>
      <c r="B3184" s="11" t="n">
        <v>618</v>
      </c>
      <c r="C3184" s="13" t="inlineStr">
        <is>
          <t>SIPEAGRO (UF-XXXXX)</t>
        </is>
      </c>
      <c r="D3184" s="14" t="inlineStr">
        <is>
          <t>VITAL BORO POLYOL</t>
        </is>
      </c>
      <c r="E3184" s="13" t="inlineStr">
        <is>
          <t>Adubação de Solo / Foliar</t>
        </is>
      </c>
      <c r="F3184" s="13" t="inlineStr">
        <is>
          <t>Soja</t>
        </is>
      </c>
      <c r="G3184" s="13" t="inlineStr">
        <is>
          <t>Cultura Autorizada na Bula</t>
        </is>
      </c>
      <c r="H3184" s="13" t="inlineStr">
        <is>
          <t>100 a 300 L/ha</t>
        </is>
      </c>
      <c r="I3184" s="13" t="inlineStr">
        <is>
          <t>20 a 40 L/ha</t>
        </is>
      </c>
      <c r="J3184" s="13" t="inlineStr">
        <is>
          <t>Isento</t>
        </is>
      </c>
    </row>
    <row r="3185" ht="22" customHeight="1">
      <c r="A3185" s="6" t="inlineStr">
        <is>
          <t>CUL-3181</t>
        </is>
      </c>
      <c r="B3185" s="5" t="n">
        <v>618</v>
      </c>
      <c r="C3185" s="7" t="inlineStr">
        <is>
          <t>SIPEAGRO (UF-XXXXX)</t>
        </is>
      </c>
      <c r="D3185" s="8" t="inlineStr">
        <is>
          <t>VITAL BORO POLYOL</t>
        </is>
      </c>
      <c r="E3185" s="7" t="inlineStr">
        <is>
          <t>Adubação de Solo / Foliar</t>
        </is>
      </c>
      <c r="F3185" s="7" t="inlineStr">
        <is>
          <t>Milho</t>
        </is>
      </c>
      <c r="G3185" s="7" t="inlineStr">
        <is>
          <t>Cultura Autorizada na Bula</t>
        </is>
      </c>
      <c r="H3185" s="7" t="inlineStr">
        <is>
          <t>100 a 300 L/ha</t>
        </is>
      </c>
      <c r="I3185" s="7" t="inlineStr">
        <is>
          <t>20 a 40 L/ha</t>
        </is>
      </c>
      <c r="J3185" s="7" t="inlineStr">
        <is>
          <t>Isento</t>
        </is>
      </c>
    </row>
    <row r="3186" ht="22" customHeight="1">
      <c r="A3186" s="12" t="inlineStr">
        <is>
          <t>CUL-3182</t>
        </is>
      </c>
      <c r="B3186" s="11" t="n">
        <v>618</v>
      </c>
      <c r="C3186" s="13" t="inlineStr">
        <is>
          <t>SIPEAGRO (UF-XXXXX)</t>
        </is>
      </c>
      <c r="D3186" s="14" t="inlineStr">
        <is>
          <t>VITAL BORO POLYOL</t>
        </is>
      </c>
      <c r="E3186" s="13" t="inlineStr">
        <is>
          <t>Adubação de Solo / Foliar</t>
        </is>
      </c>
      <c r="F3186" s="13" t="inlineStr">
        <is>
          <t>Algodão</t>
        </is>
      </c>
      <c r="G3186" s="13" t="inlineStr">
        <is>
          <t>Cultura Autorizada na Bula</t>
        </is>
      </c>
      <c r="H3186" s="13" t="inlineStr">
        <is>
          <t>100 a 300 L/ha</t>
        </is>
      </c>
      <c r="I3186" s="13" t="inlineStr">
        <is>
          <t>20 a 40 L/ha</t>
        </is>
      </c>
      <c r="J3186" s="13" t="inlineStr">
        <is>
          <t>Isento</t>
        </is>
      </c>
    </row>
    <row r="3187" ht="22" customHeight="1">
      <c r="A3187" s="6" t="inlineStr">
        <is>
          <t>CUL-3183</t>
        </is>
      </c>
      <c r="B3187" s="5" t="n">
        <v>618</v>
      </c>
      <c r="C3187" s="7" t="inlineStr">
        <is>
          <t>SIPEAGRO (UF-XXXXX)</t>
        </is>
      </c>
      <c r="D3187" s="8" t="inlineStr">
        <is>
          <t>VITAL BORO POLYOL</t>
        </is>
      </c>
      <c r="E3187" s="7" t="inlineStr">
        <is>
          <t>Adubação de Solo / Foliar</t>
        </is>
      </c>
      <c r="F3187" s="7" t="inlineStr">
        <is>
          <t>Cana-de-açúcar</t>
        </is>
      </c>
      <c r="G3187" s="7" t="inlineStr">
        <is>
          <t>Cultura Autorizada na Bula</t>
        </is>
      </c>
      <c r="H3187" s="7" t="inlineStr">
        <is>
          <t>100 a 300 L/ha</t>
        </is>
      </c>
      <c r="I3187" s="7" t="inlineStr">
        <is>
          <t>20 a 40 L/ha</t>
        </is>
      </c>
      <c r="J3187" s="7" t="inlineStr">
        <is>
          <t>Isento</t>
        </is>
      </c>
    </row>
    <row r="3188" ht="22" customHeight="1">
      <c r="A3188" s="12" t="inlineStr">
        <is>
          <t>CUL-3184</t>
        </is>
      </c>
      <c r="B3188" s="11" t="n">
        <v>618</v>
      </c>
      <c r="C3188" s="13" t="inlineStr">
        <is>
          <t>SIPEAGRO (UF-XXXXX)</t>
        </is>
      </c>
      <c r="D3188" s="14" t="inlineStr">
        <is>
          <t>VITAL BORO POLYOL</t>
        </is>
      </c>
      <c r="E3188" s="13" t="inlineStr">
        <is>
          <t>Adubação de Solo / Foliar</t>
        </is>
      </c>
      <c r="F3188" s="13" t="inlineStr">
        <is>
          <t>Café</t>
        </is>
      </c>
      <c r="G3188" s="13" t="inlineStr">
        <is>
          <t>Cultura Autorizada na Bula</t>
        </is>
      </c>
      <c r="H3188" s="13" t="inlineStr">
        <is>
          <t>100 a 300 L/ha</t>
        </is>
      </c>
      <c r="I3188" s="13" t="inlineStr">
        <is>
          <t>20 a 40 L/ha</t>
        </is>
      </c>
      <c r="J3188" s="13" t="inlineStr">
        <is>
          <t>Isento</t>
        </is>
      </c>
    </row>
    <row r="3189" ht="22" customHeight="1">
      <c r="A3189" s="6" t="inlineStr">
        <is>
          <t>CUL-3185</t>
        </is>
      </c>
      <c r="B3189" s="5" t="n">
        <v>619</v>
      </c>
      <c r="C3189" s="7" t="inlineStr">
        <is>
          <t>Nº 32717</t>
        </is>
      </c>
      <c r="D3189" s="8" t="inlineStr">
        <is>
          <t>VOTIVO PRIME</t>
        </is>
      </c>
      <c r="E3189" s="7" t="inlineStr">
        <is>
          <t>Pulverização Agrícola Conforme Bula</t>
        </is>
      </c>
      <c r="F3189" s="7" t="inlineStr">
        <is>
          <t>Soja (Sulco / TS / Foliar)</t>
        </is>
      </c>
      <c r="G3189" s="7" t="inlineStr">
        <is>
          <t>Cultura Autorizada na Bula</t>
        </is>
      </c>
      <c r="H3189" s="7" t="inlineStr">
        <is>
          <t>100 a 300 L/ha</t>
        </is>
      </c>
      <c r="I3189" s="7" t="inlineStr">
        <is>
          <t>20 a 40 L/ha</t>
        </is>
      </c>
      <c r="J3189" s="7" t="inlineStr">
        <is>
          <t>0 (Isento)</t>
        </is>
      </c>
    </row>
    <row r="3190" ht="22" customHeight="1">
      <c r="A3190" s="12" t="inlineStr">
        <is>
          <t>CUL-3186</t>
        </is>
      </c>
      <c r="B3190" s="11" t="n">
        <v>619</v>
      </c>
      <c r="C3190" s="13" t="inlineStr">
        <is>
          <t>Nº 32717</t>
        </is>
      </c>
      <c r="D3190" s="14" t="inlineStr">
        <is>
          <t>VOTIVO PRIME</t>
        </is>
      </c>
      <c r="E3190" s="13" t="inlineStr">
        <is>
          <t>Pulverização Agrícola Conforme Bula</t>
        </is>
      </c>
      <c r="F3190" s="13" t="inlineStr">
        <is>
          <t>Milho</t>
        </is>
      </c>
      <c r="G3190" s="13" t="inlineStr">
        <is>
          <t>Cultura Autorizada na Bula</t>
        </is>
      </c>
      <c r="H3190" s="13" t="inlineStr">
        <is>
          <t>100 a 300 L/ha</t>
        </is>
      </c>
      <c r="I3190" s="13" t="inlineStr">
        <is>
          <t>20 a 40 L/ha</t>
        </is>
      </c>
      <c r="J3190" s="13" t="inlineStr">
        <is>
          <t>0 (Isento)</t>
        </is>
      </c>
    </row>
    <row r="3191" ht="22" customHeight="1">
      <c r="A3191" s="6" t="inlineStr">
        <is>
          <t>CUL-3187</t>
        </is>
      </c>
      <c r="B3191" s="5" t="n">
        <v>619</v>
      </c>
      <c r="C3191" s="7" t="inlineStr">
        <is>
          <t>Nº 32717</t>
        </is>
      </c>
      <c r="D3191" s="8" t="inlineStr">
        <is>
          <t>VOTIVO PRIME</t>
        </is>
      </c>
      <c r="E3191" s="7" t="inlineStr">
        <is>
          <t>Pulverização Agrícola Conforme Bula</t>
        </is>
      </c>
      <c r="F3191" s="7" t="inlineStr">
        <is>
          <t>Algodão</t>
        </is>
      </c>
      <c r="G3191" s="7" t="inlineStr">
        <is>
          <t>Cultura Autorizada na Bula</t>
        </is>
      </c>
      <c r="H3191" s="7" t="inlineStr">
        <is>
          <t>100 a 300 L/ha</t>
        </is>
      </c>
      <c r="I3191" s="7" t="inlineStr">
        <is>
          <t>20 a 40 L/ha</t>
        </is>
      </c>
      <c r="J3191" s="7" t="inlineStr">
        <is>
          <t>0 (Isento)</t>
        </is>
      </c>
    </row>
    <row r="3192" ht="22" customHeight="1">
      <c r="A3192" s="12" t="inlineStr">
        <is>
          <t>CUL-3188</t>
        </is>
      </c>
      <c r="B3192" s="11" t="n">
        <v>619</v>
      </c>
      <c r="C3192" s="13" t="inlineStr">
        <is>
          <t>Nº 32717</t>
        </is>
      </c>
      <c r="D3192" s="14" t="inlineStr">
        <is>
          <t>VOTIVO PRIME</t>
        </is>
      </c>
      <c r="E3192" s="13" t="inlineStr">
        <is>
          <t>Pulverização Agrícola Conforme Bula</t>
        </is>
      </c>
      <c r="F3192" s="13" t="inlineStr">
        <is>
          <t>Feijão</t>
        </is>
      </c>
      <c r="G3192" s="13" t="inlineStr">
        <is>
          <t>Cultura Autorizada na Bula</t>
        </is>
      </c>
      <c r="H3192" s="13" t="inlineStr">
        <is>
          <t>100 a 300 L/ha</t>
        </is>
      </c>
      <c r="I3192" s="13" t="inlineStr">
        <is>
          <t>20 a 40 L/ha</t>
        </is>
      </c>
      <c r="J3192" s="13" t="inlineStr">
        <is>
          <t>0 (Isento)</t>
        </is>
      </c>
    </row>
    <row r="3193" ht="22" customHeight="1">
      <c r="A3193" s="6" t="inlineStr">
        <is>
          <t>CUL-3189</t>
        </is>
      </c>
      <c r="B3193" s="5" t="n">
        <v>620</v>
      </c>
      <c r="C3193" s="7" t="inlineStr">
        <is>
          <t>Nº 2506</t>
        </is>
      </c>
      <c r="D3193" s="8" t="inlineStr">
        <is>
          <t>CROPSTAR FS 600</t>
        </is>
      </c>
      <c r="E3193" s="7" t="inlineStr">
        <is>
          <t>Tratamento de Sementes / Sulco</t>
        </is>
      </c>
      <c r="F3193" s="7" t="inlineStr">
        <is>
          <t>Soja</t>
        </is>
      </c>
      <c r="G3193" s="7" t="inlineStr">
        <is>
          <t>Cultura Autorizada na Bula</t>
        </is>
      </c>
      <c r="H3193" s="7" t="inlineStr">
        <is>
          <t>Calda TS (0,2 a 0,6 L/100kg sem.)</t>
        </is>
      </c>
      <c r="I3193" s="7" t="inlineStr">
        <is>
          <t>Não Autorizada (TS)</t>
        </is>
      </c>
      <c r="J3193" s="7" t="inlineStr">
        <is>
          <t>21 dias</t>
        </is>
      </c>
    </row>
    <row r="3194" ht="22" customHeight="1">
      <c r="A3194" s="12" t="inlineStr">
        <is>
          <t>CUL-3190</t>
        </is>
      </c>
      <c r="B3194" s="11" t="n">
        <v>620</v>
      </c>
      <c r="C3194" s="13" t="inlineStr">
        <is>
          <t>Nº 2506</t>
        </is>
      </c>
      <c r="D3194" s="14" t="inlineStr">
        <is>
          <t>CROPSTAR FS 600</t>
        </is>
      </c>
      <c r="E3194" s="13" t="inlineStr">
        <is>
          <t>Tratamento de Sementes / Sulco</t>
        </is>
      </c>
      <c r="F3194" s="13" t="inlineStr">
        <is>
          <t>Milho</t>
        </is>
      </c>
      <c r="G3194" s="13" t="inlineStr">
        <is>
          <t>Cultura Autorizada na Bula</t>
        </is>
      </c>
      <c r="H3194" s="13" t="inlineStr">
        <is>
          <t>Calda TS (0,2 a 0,6 L/100kg sem.)</t>
        </is>
      </c>
      <c r="I3194" s="13" t="inlineStr">
        <is>
          <t>Não Autorizada (TS)</t>
        </is>
      </c>
      <c r="J3194" s="13" t="inlineStr">
        <is>
          <t>21 dias</t>
        </is>
      </c>
    </row>
    <row r="3195" ht="22" customHeight="1">
      <c r="A3195" s="6" t="inlineStr">
        <is>
          <t>CUL-3191</t>
        </is>
      </c>
      <c r="B3195" s="5" t="n">
        <v>620</v>
      </c>
      <c r="C3195" s="7" t="inlineStr">
        <is>
          <t>Nº 2506</t>
        </is>
      </c>
      <c r="D3195" s="8" t="inlineStr">
        <is>
          <t>CROPSTAR FS 600</t>
        </is>
      </c>
      <c r="E3195" s="7" t="inlineStr">
        <is>
          <t>Tratamento de Sementes / Sulco</t>
        </is>
      </c>
      <c r="F3195" s="7" t="inlineStr">
        <is>
          <t>Algodão</t>
        </is>
      </c>
      <c r="G3195" s="7" t="inlineStr">
        <is>
          <t>Cultura Autorizada na Bula</t>
        </is>
      </c>
      <c r="H3195" s="7" t="inlineStr">
        <is>
          <t>Calda TS (0,2 a 0,6 L/100kg sem.)</t>
        </is>
      </c>
      <c r="I3195" s="7" t="inlineStr">
        <is>
          <t>Não Autorizada (TS)</t>
        </is>
      </c>
      <c r="J3195" s="7" t="inlineStr">
        <is>
          <t>21 dias</t>
        </is>
      </c>
    </row>
    <row r="3196" ht="22" customHeight="1">
      <c r="A3196" s="12" t="inlineStr">
        <is>
          <t>CUL-3192</t>
        </is>
      </c>
      <c r="B3196" s="11" t="n">
        <v>620</v>
      </c>
      <c r="C3196" s="13" t="inlineStr">
        <is>
          <t>Nº 2506</t>
        </is>
      </c>
      <c r="D3196" s="14" t="inlineStr">
        <is>
          <t>CROPSTAR FS 600</t>
        </is>
      </c>
      <c r="E3196" s="13" t="inlineStr">
        <is>
          <t>Tratamento de Sementes / Sulco</t>
        </is>
      </c>
      <c r="F3196" s="13" t="inlineStr">
        <is>
          <t>Feijão</t>
        </is>
      </c>
      <c r="G3196" s="13" t="inlineStr">
        <is>
          <t>Cultura Autorizada na Bula</t>
        </is>
      </c>
      <c r="H3196" s="13" t="inlineStr">
        <is>
          <t>Calda TS (0,2 a 0,6 L/100kg sem.)</t>
        </is>
      </c>
      <c r="I3196" s="13" t="inlineStr">
        <is>
          <t>Não Autorizada (TS)</t>
        </is>
      </c>
      <c r="J3196" s="13" t="inlineStr">
        <is>
          <t>14 dias</t>
        </is>
      </c>
    </row>
    <row r="3197" ht="22" customHeight="1">
      <c r="A3197" s="6" t="inlineStr">
        <is>
          <t>CUL-3193</t>
        </is>
      </c>
      <c r="B3197" s="5" t="n">
        <v>621</v>
      </c>
      <c r="C3197" s="7" t="inlineStr">
        <is>
          <t>Nº 8912</t>
        </is>
      </c>
      <c r="D3197" s="8" t="inlineStr">
        <is>
          <t>CRUCIAL</t>
        </is>
      </c>
      <c r="E3197" s="7" t="inlineStr">
        <is>
          <t>Pulverização Agrícola Conforme Bula</t>
        </is>
      </c>
      <c r="F3197" s="7" t="inlineStr">
        <is>
          <t>Soja (Pré-Plantio / OGM)</t>
        </is>
      </c>
      <c r="G3197" s="7" t="inlineStr">
        <is>
          <t>Cultura Autorizada na Bula</t>
        </is>
      </c>
      <c r="H3197" s="7" t="inlineStr">
        <is>
          <t>100 a 300 L/ha</t>
        </is>
      </c>
      <c r="I3197" s="7" t="inlineStr">
        <is>
          <t>20 a 40 L/ha</t>
        </is>
      </c>
      <c r="J3197" s="7" t="inlineStr">
        <is>
          <t>56 dias</t>
        </is>
      </c>
    </row>
    <row r="3198" ht="22" customHeight="1">
      <c r="A3198" s="12" t="inlineStr">
        <is>
          <t>CUL-3194</t>
        </is>
      </c>
      <c r="B3198" s="11" t="n">
        <v>621</v>
      </c>
      <c r="C3198" s="13" t="inlineStr">
        <is>
          <t>Nº 8912</t>
        </is>
      </c>
      <c r="D3198" s="14" t="inlineStr">
        <is>
          <t>CRUCIAL</t>
        </is>
      </c>
      <c r="E3198" s="13" t="inlineStr">
        <is>
          <t>Pulverização Agrícola Conforme Bula</t>
        </is>
      </c>
      <c r="F3198" s="13" t="inlineStr">
        <is>
          <t>Milho (Pré-Plantio / OGM)</t>
        </is>
      </c>
      <c r="G3198" s="13" t="inlineStr">
        <is>
          <t>Cultura Autorizada na Bula</t>
        </is>
      </c>
      <c r="H3198" s="13" t="inlineStr">
        <is>
          <t>100 a 300 L/ha</t>
        </is>
      </c>
      <c r="I3198" s="13" t="inlineStr">
        <is>
          <t>20 a 40 L/ha</t>
        </is>
      </c>
      <c r="J3198" s="13" t="inlineStr">
        <is>
          <t>90 dias</t>
        </is>
      </c>
    </row>
    <row r="3199" ht="22" customHeight="1">
      <c r="A3199" s="6" t="inlineStr">
        <is>
          <t>CUL-3195</t>
        </is>
      </c>
      <c r="B3199" s="5" t="n">
        <v>621</v>
      </c>
      <c r="C3199" s="7" t="inlineStr">
        <is>
          <t>Nº 8912</t>
        </is>
      </c>
      <c r="D3199" s="8" t="inlineStr">
        <is>
          <t>CRUCIAL</t>
        </is>
      </c>
      <c r="E3199" s="7" t="inlineStr">
        <is>
          <t>Pulverização Agrícola Conforme Bula</t>
        </is>
      </c>
      <c r="F3199" s="7" t="inlineStr">
        <is>
          <t>Algodão (Pré-Plantio / OGM)</t>
        </is>
      </c>
      <c r="G3199" s="7" t="inlineStr">
        <is>
          <t>Cultura Autorizada na Bula</t>
        </is>
      </c>
      <c r="H3199" s="7" t="inlineStr">
        <is>
          <t>100 a 300 L/ha</t>
        </is>
      </c>
      <c r="I3199" s="7" t="inlineStr">
        <is>
          <t>20 a 40 L/ha</t>
        </is>
      </c>
      <c r="J3199" s="7" t="inlineStr">
        <is>
          <t>130 dias</t>
        </is>
      </c>
    </row>
    <row r="3200" ht="22" customHeight="1">
      <c r="A3200" s="12" t="inlineStr">
        <is>
          <t>CUL-3196</t>
        </is>
      </c>
      <c r="B3200" s="11" t="n">
        <v>621</v>
      </c>
      <c r="C3200" s="13" t="inlineStr">
        <is>
          <t>Nº 8912</t>
        </is>
      </c>
      <c r="D3200" s="14" t="inlineStr">
        <is>
          <t>CRUCIAL</t>
        </is>
      </c>
      <c r="E3200" s="13" t="inlineStr">
        <is>
          <t>Pulverização Agrícola Conforme Bula</t>
        </is>
      </c>
      <c r="F3200" s="13" t="inlineStr">
        <is>
          <t>Cana-de-açúcar</t>
        </is>
      </c>
      <c r="G3200" s="13" t="inlineStr">
        <is>
          <t>Cultura Autorizada na Bula</t>
        </is>
      </c>
      <c r="H3200" s="13" t="inlineStr">
        <is>
          <t>100 a 300 L/ha</t>
        </is>
      </c>
      <c r="I3200" s="13" t="inlineStr">
        <is>
          <t>20 a 40 L/ha</t>
        </is>
      </c>
      <c r="J3200" s="13" t="inlineStr">
        <is>
          <t>N/D</t>
        </is>
      </c>
    </row>
    <row r="3201" ht="22" customHeight="1">
      <c r="A3201" s="6" t="inlineStr">
        <is>
          <t>CUL-3197</t>
        </is>
      </c>
      <c r="B3201" s="5" t="n">
        <v>621</v>
      </c>
      <c r="C3201" s="7" t="inlineStr">
        <is>
          <t>Nº 8912</t>
        </is>
      </c>
      <c r="D3201" s="8" t="inlineStr">
        <is>
          <t>CRUCIAL</t>
        </is>
      </c>
      <c r="E3201" s="7" t="inlineStr">
        <is>
          <t>Pulverização Agrícola Conforme Bula</t>
        </is>
      </c>
      <c r="F3201" s="7" t="inlineStr">
        <is>
          <t>Café (Jato Dirigido)</t>
        </is>
      </c>
      <c r="G3201" s="7" t="inlineStr">
        <is>
          <t>Cultura Autorizada na Bula</t>
        </is>
      </c>
      <c r="H3201" s="7" t="inlineStr">
        <is>
          <t>100 a 300 L/ha</t>
        </is>
      </c>
      <c r="I3201" s="7" t="inlineStr">
        <is>
          <t>20 a 40 L/ha</t>
        </is>
      </c>
      <c r="J3201" s="7" t="inlineStr">
        <is>
          <t>15 dias</t>
        </is>
      </c>
    </row>
    <row r="3202" ht="22" customHeight="1">
      <c r="A3202" s="12" t="inlineStr">
        <is>
          <t>CUL-3198</t>
        </is>
      </c>
      <c r="B3202" s="11" t="n">
        <v>621</v>
      </c>
      <c r="C3202" s="13" t="inlineStr">
        <is>
          <t>Nº 8912</t>
        </is>
      </c>
      <c r="D3202" s="14" t="inlineStr">
        <is>
          <t>CRUCIAL</t>
        </is>
      </c>
      <c r="E3202" s="13" t="inlineStr">
        <is>
          <t>Pulverização Agrícola Conforme Bula</t>
        </is>
      </c>
      <c r="F3202" s="13" t="inlineStr">
        <is>
          <t>Citros (Jato Dirigido)</t>
        </is>
      </c>
      <c r="G3202" s="13" t="inlineStr">
        <is>
          <t>Cultura Autorizada na Bula</t>
        </is>
      </c>
      <c r="H3202" s="13" t="inlineStr">
        <is>
          <t>100 a 300 L/ha</t>
        </is>
      </c>
      <c r="I3202" s="13" t="inlineStr">
        <is>
          <t>20 a 40 L/ha</t>
        </is>
      </c>
      <c r="J3202" s="13" t="inlineStr">
        <is>
          <t>30 dias</t>
        </is>
      </c>
    </row>
    <row r="3203" ht="22" customHeight="1">
      <c r="A3203" s="6" t="inlineStr">
        <is>
          <t>CUL-3199</t>
        </is>
      </c>
      <c r="B3203" s="5" t="n">
        <v>621</v>
      </c>
      <c r="C3203" s="7" t="inlineStr">
        <is>
          <t>Nº 8912</t>
        </is>
      </c>
      <c r="D3203" s="8" t="inlineStr">
        <is>
          <t>CRUCIAL</t>
        </is>
      </c>
      <c r="E3203" s="7" t="inlineStr">
        <is>
          <t>Pulverização Agrícola Conforme Bula</t>
        </is>
      </c>
      <c r="F3203" s="7" t="inlineStr">
        <is>
          <t>Trigo (Pré-Plantio)</t>
        </is>
      </c>
      <c r="G3203" s="7" t="inlineStr">
        <is>
          <t>Cultura Autorizada na Bula</t>
        </is>
      </c>
      <c r="H3203" s="7" t="inlineStr">
        <is>
          <t>100 a 300 L/ha</t>
        </is>
      </c>
      <c r="I3203" s="7" t="inlineStr">
        <is>
          <t>20 a 40 L/ha</t>
        </is>
      </c>
      <c r="J3203" s="7" t="inlineStr">
        <is>
          <t>N/D</t>
        </is>
      </c>
    </row>
    <row r="3204" ht="22" customHeight="1">
      <c r="A3204" s="12" t="inlineStr">
        <is>
          <t>CUL-3200</t>
        </is>
      </c>
      <c r="B3204" s="11" t="n">
        <v>621</v>
      </c>
      <c r="C3204" s="13" t="inlineStr">
        <is>
          <t>Nº 8912</t>
        </is>
      </c>
      <c r="D3204" s="14" t="inlineStr">
        <is>
          <t>CRUCIAL</t>
        </is>
      </c>
      <c r="E3204" s="13" t="inlineStr">
        <is>
          <t>Pulverização Agrícola Conforme Bula</t>
        </is>
      </c>
      <c r="F3204" s="13" t="inlineStr">
        <is>
          <t>Pastagens</t>
        </is>
      </c>
      <c r="G3204" s="13" t="inlineStr">
        <is>
          <t>Cultura Autorizada na Bula</t>
        </is>
      </c>
      <c r="H3204" s="13" t="inlineStr">
        <is>
          <t>100 a 300 L/ha</t>
        </is>
      </c>
      <c r="I3204" s="13" t="inlineStr">
        <is>
          <t>20 a 40 L/ha</t>
        </is>
      </c>
      <c r="J3204" s="13" t="inlineStr">
        <is>
          <t>N/D</t>
        </is>
      </c>
    </row>
    <row r="3205" ht="22" customHeight="1">
      <c r="A3205" s="6" t="inlineStr">
        <is>
          <t>CUL-3201</t>
        </is>
      </c>
      <c r="B3205" s="5" t="n">
        <v>622</v>
      </c>
      <c r="C3205" s="7" t="inlineStr">
        <is>
          <t>Nº 0122</t>
        </is>
      </c>
      <c r="D3205" s="8" t="inlineStr">
        <is>
          <t>EXCALIA MAX</t>
        </is>
      </c>
      <c r="E3205" s="7" t="inlineStr">
        <is>
          <t>Pulverização Agrícola Conforme Bula</t>
        </is>
      </c>
      <c r="F3205" s="7" t="inlineStr">
        <is>
          <t>Soja</t>
        </is>
      </c>
      <c r="G3205" s="7" t="inlineStr">
        <is>
          <t>Cultura Autorizada na Bula</t>
        </is>
      </c>
      <c r="H3205" s="7" t="inlineStr">
        <is>
          <t>100 a 300 L/ha</t>
        </is>
      </c>
      <c r="I3205" s="7" t="inlineStr">
        <is>
          <t>20 a 40 L/ha</t>
        </is>
      </c>
      <c r="J3205" s="7" t="inlineStr">
        <is>
          <t>30 dias</t>
        </is>
      </c>
    </row>
    <row r="3206" ht="22" customHeight="1">
      <c r="A3206" s="12" t="inlineStr">
        <is>
          <t>CUL-3202</t>
        </is>
      </c>
      <c r="B3206" s="11" t="n">
        <v>622</v>
      </c>
      <c r="C3206" s="13" t="inlineStr">
        <is>
          <t>Nº 0122</t>
        </is>
      </c>
      <c r="D3206" s="14" t="inlineStr">
        <is>
          <t>EXCALIA MAX</t>
        </is>
      </c>
      <c r="E3206" s="13" t="inlineStr">
        <is>
          <t>Pulverização Agrícola Conforme Bula</t>
        </is>
      </c>
      <c r="F3206" s="13" t="inlineStr">
        <is>
          <t>Milho</t>
        </is>
      </c>
      <c r="G3206" s="13" t="inlineStr">
        <is>
          <t>Cultura Autorizada na Bula</t>
        </is>
      </c>
      <c r="H3206" s="13" t="inlineStr">
        <is>
          <t>100 a 300 L/ha</t>
        </is>
      </c>
      <c r="I3206" s="13" t="inlineStr">
        <is>
          <t>20 a 40 L/ha</t>
        </is>
      </c>
      <c r="J3206" s="13" t="inlineStr">
        <is>
          <t>15 dias</t>
        </is>
      </c>
    </row>
    <row r="3207" ht="22" customHeight="1">
      <c r="A3207" s="6" t="inlineStr">
        <is>
          <t>CUL-3203</t>
        </is>
      </c>
      <c r="B3207" s="5" t="n">
        <v>622</v>
      </c>
      <c r="C3207" s="7" t="inlineStr">
        <is>
          <t>Nº 0122</t>
        </is>
      </c>
      <c r="D3207" s="8" t="inlineStr">
        <is>
          <t>EXCALIA MAX</t>
        </is>
      </c>
      <c r="E3207" s="7" t="inlineStr">
        <is>
          <t>Pulverização Agrícola Conforme Bula</t>
        </is>
      </c>
      <c r="F3207" s="7" t="inlineStr">
        <is>
          <t>Algodão</t>
        </is>
      </c>
      <c r="G3207" s="7" t="inlineStr">
        <is>
          <t>Cultura Autorizada na Bula</t>
        </is>
      </c>
      <c r="H3207" s="7" t="inlineStr">
        <is>
          <t>100 a 300 L/ha</t>
        </is>
      </c>
      <c r="I3207" s="7" t="inlineStr">
        <is>
          <t>20 a 40 L/ha</t>
        </is>
      </c>
      <c r="J3207" s="7" t="inlineStr">
        <is>
          <t>30 dias</t>
        </is>
      </c>
    </row>
    <row r="3208" ht="22" customHeight="1">
      <c r="A3208" s="12" t="inlineStr">
        <is>
          <t>CUL-3204</t>
        </is>
      </c>
      <c r="B3208" s="11" t="n">
        <v>622</v>
      </c>
      <c r="C3208" s="13" t="inlineStr">
        <is>
          <t>Nº 0122</t>
        </is>
      </c>
      <c r="D3208" s="14" t="inlineStr">
        <is>
          <t>EXCALIA MAX</t>
        </is>
      </c>
      <c r="E3208" s="13" t="inlineStr">
        <is>
          <t>Pulverização Agrícola Conforme Bula</t>
        </is>
      </c>
      <c r="F3208" s="13" t="inlineStr">
        <is>
          <t>Trigo</t>
        </is>
      </c>
      <c r="G3208" s="13" t="inlineStr">
        <is>
          <t>Cultura Autorizada na Bula</t>
        </is>
      </c>
      <c r="H3208" s="13" t="inlineStr">
        <is>
          <t>100 a 300 L/ha</t>
        </is>
      </c>
      <c r="I3208" s="13" t="inlineStr">
        <is>
          <t>20 a 40 L/ha</t>
        </is>
      </c>
      <c r="J3208" s="13" t="inlineStr">
        <is>
          <t>35 dias</t>
        </is>
      </c>
    </row>
    <row r="3209" ht="22" customHeight="1">
      <c r="A3209" s="6" t="inlineStr">
        <is>
          <t>CUL-3205</t>
        </is>
      </c>
      <c r="B3209" s="5" t="n">
        <v>622</v>
      </c>
      <c r="C3209" s="7" t="inlineStr">
        <is>
          <t>Nº 0122</t>
        </is>
      </c>
      <c r="D3209" s="8" t="inlineStr">
        <is>
          <t>EXCALIA MAX</t>
        </is>
      </c>
      <c r="E3209" s="7" t="inlineStr">
        <is>
          <t>Pulverização Agrícola Conforme Bula</t>
        </is>
      </c>
      <c r="F3209" s="7" t="inlineStr">
        <is>
          <t>Café</t>
        </is>
      </c>
      <c r="G3209" s="7" t="inlineStr">
        <is>
          <t>Cultura Autorizada na Bula</t>
        </is>
      </c>
      <c r="H3209" s="7" t="inlineStr">
        <is>
          <t>100 a 300 L/ha</t>
        </is>
      </c>
      <c r="I3209" s="7" t="inlineStr">
        <is>
          <t>20 a 40 L/ha</t>
        </is>
      </c>
      <c r="J3209" s="7" t="inlineStr">
        <is>
          <t>30 dias</t>
        </is>
      </c>
    </row>
    <row r="3210" ht="22" customHeight="1">
      <c r="A3210" s="12" t="inlineStr">
        <is>
          <t>CUL-3206</t>
        </is>
      </c>
      <c r="B3210" s="11" t="n">
        <v>622</v>
      </c>
      <c r="C3210" s="13" t="inlineStr">
        <is>
          <t>Nº 0122</t>
        </is>
      </c>
      <c r="D3210" s="14" t="inlineStr">
        <is>
          <t>EXCALIA MAX</t>
        </is>
      </c>
      <c r="E3210" s="13" t="inlineStr">
        <is>
          <t>Pulverização Agrícola Conforme Bula</t>
        </is>
      </c>
      <c r="F3210" s="13" t="inlineStr">
        <is>
          <t>Feijão</t>
        </is>
      </c>
      <c r="G3210" s="13" t="inlineStr">
        <is>
          <t>Cultura Autorizada na Bula</t>
        </is>
      </c>
      <c r="H3210" s="13" t="inlineStr">
        <is>
          <t>100 a 300 L/ha</t>
        </is>
      </c>
      <c r="I3210" s="13" t="inlineStr">
        <is>
          <t>20 a 40 L/ha</t>
        </is>
      </c>
      <c r="J3210" s="13" t="inlineStr">
        <is>
          <t>14 dias</t>
        </is>
      </c>
    </row>
    <row r="3211" ht="22" customHeight="1">
      <c r="A3211" s="6" t="inlineStr">
        <is>
          <t>CUL-3207</t>
        </is>
      </c>
      <c r="B3211" s="5" t="n">
        <v>623</v>
      </c>
      <c r="C3211" s="7" t="inlineStr">
        <is>
          <t>SIPEAGRO (UF-XXXXX)</t>
        </is>
      </c>
      <c r="D3211" s="8" t="inlineStr">
        <is>
          <t>FERT VITAL MANGANES</t>
        </is>
      </c>
      <c r="E3211" s="7" t="inlineStr">
        <is>
          <t>Adubação de Solo / Foliar</t>
        </is>
      </c>
      <c r="F3211" s="7" t="inlineStr">
        <is>
          <t>Soja</t>
        </is>
      </c>
      <c r="G3211" s="7" t="inlineStr">
        <is>
          <t>Cultura Autorizada na Bula</t>
        </is>
      </c>
      <c r="H3211" s="7" t="inlineStr">
        <is>
          <t>100 a 300 L/ha</t>
        </is>
      </c>
      <c r="I3211" s="7" t="inlineStr">
        <is>
          <t>20 a 40 L/ha</t>
        </is>
      </c>
      <c r="J3211" s="7" t="inlineStr">
        <is>
          <t>Isento</t>
        </is>
      </c>
    </row>
    <row r="3212" ht="22" customHeight="1">
      <c r="A3212" s="12" t="inlineStr">
        <is>
          <t>CUL-3208</t>
        </is>
      </c>
      <c r="B3212" s="11" t="n">
        <v>623</v>
      </c>
      <c r="C3212" s="13" t="inlineStr">
        <is>
          <t>SIPEAGRO (UF-XXXXX)</t>
        </is>
      </c>
      <c r="D3212" s="14" t="inlineStr">
        <is>
          <t>FERT VITAL MANGANES</t>
        </is>
      </c>
      <c r="E3212" s="13" t="inlineStr">
        <is>
          <t>Adubação de Solo / Foliar</t>
        </is>
      </c>
      <c r="F3212" s="13" t="inlineStr">
        <is>
          <t>Milho</t>
        </is>
      </c>
      <c r="G3212" s="13" t="inlineStr">
        <is>
          <t>Cultura Autorizada na Bula</t>
        </is>
      </c>
      <c r="H3212" s="13" t="inlineStr">
        <is>
          <t>100 a 300 L/ha</t>
        </is>
      </c>
      <c r="I3212" s="13" t="inlineStr">
        <is>
          <t>20 a 40 L/ha</t>
        </is>
      </c>
      <c r="J3212" s="13" t="inlineStr">
        <is>
          <t>Isento</t>
        </is>
      </c>
    </row>
    <row r="3213" ht="22" customHeight="1">
      <c r="A3213" s="6" t="inlineStr">
        <is>
          <t>CUL-3209</t>
        </is>
      </c>
      <c r="B3213" s="5" t="n">
        <v>623</v>
      </c>
      <c r="C3213" s="7" t="inlineStr">
        <is>
          <t>SIPEAGRO (UF-XXXXX)</t>
        </is>
      </c>
      <c r="D3213" s="8" t="inlineStr">
        <is>
          <t>FERT VITAL MANGANES</t>
        </is>
      </c>
      <c r="E3213" s="7" t="inlineStr">
        <is>
          <t>Adubação de Solo / Foliar</t>
        </is>
      </c>
      <c r="F3213" s="7" t="inlineStr">
        <is>
          <t>Algodão</t>
        </is>
      </c>
      <c r="G3213" s="7" t="inlineStr">
        <is>
          <t>Cultura Autorizada na Bula</t>
        </is>
      </c>
      <c r="H3213" s="7" t="inlineStr">
        <is>
          <t>100 a 300 L/ha</t>
        </is>
      </c>
      <c r="I3213" s="7" t="inlineStr">
        <is>
          <t>20 a 40 L/ha</t>
        </is>
      </c>
      <c r="J3213" s="7" t="inlineStr">
        <is>
          <t>Isento</t>
        </is>
      </c>
    </row>
    <row r="3214" ht="22" customHeight="1">
      <c r="A3214" s="12" t="inlineStr">
        <is>
          <t>CUL-3210</t>
        </is>
      </c>
      <c r="B3214" s="11" t="n">
        <v>623</v>
      </c>
      <c r="C3214" s="13" t="inlineStr">
        <is>
          <t>SIPEAGRO (UF-XXXXX)</t>
        </is>
      </c>
      <c r="D3214" s="14" t="inlineStr">
        <is>
          <t>FERT VITAL MANGANES</t>
        </is>
      </c>
      <c r="E3214" s="13" t="inlineStr">
        <is>
          <t>Adubação de Solo / Foliar</t>
        </is>
      </c>
      <c r="F3214" s="13" t="inlineStr">
        <is>
          <t>Cana-de-açúcar</t>
        </is>
      </c>
      <c r="G3214" s="13" t="inlineStr">
        <is>
          <t>Cultura Autorizada na Bula</t>
        </is>
      </c>
      <c r="H3214" s="13" t="inlineStr">
        <is>
          <t>100 a 300 L/ha</t>
        </is>
      </c>
      <c r="I3214" s="13" t="inlineStr">
        <is>
          <t>20 a 40 L/ha</t>
        </is>
      </c>
      <c r="J3214" s="13" t="inlineStr">
        <is>
          <t>Isento</t>
        </is>
      </c>
    </row>
    <row r="3215" ht="22" customHeight="1">
      <c r="A3215" s="6" t="inlineStr">
        <is>
          <t>CUL-3211</t>
        </is>
      </c>
      <c r="B3215" s="5" t="n">
        <v>623</v>
      </c>
      <c r="C3215" s="7" t="inlineStr">
        <is>
          <t>SIPEAGRO (UF-XXXXX)</t>
        </is>
      </c>
      <c r="D3215" s="8" t="inlineStr">
        <is>
          <t>FERT VITAL MANGANES</t>
        </is>
      </c>
      <c r="E3215" s="7" t="inlineStr">
        <is>
          <t>Adubação de Solo / Foliar</t>
        </is>
      </c>
      <c r="F3215" s="7" t="inlineStr">
        <is>
          <t>Café</t>
        </is>
      </c>
      <c r="G3215" s="7" t="inlineStr">
        <is>
          <t>Cultura Autorizada na Bula</t>
        </is>
      </c>
      <c r="H3215" s="7" t="inlineStr">
        <is>
          <t>100 a 300 L/ha</t>
        </is>
      </c>
      <c r="I3215" s="7" t="inlineStr">
        <is>
          <t>20 a 40 L/ha</t>
        </is>
      </c>
      <c r="J3215" s="7" t="inlineStr">
        <is>
          <t>Isento</t>
        </is>
      </c>
    </row>
    <row r="3216" ht="22" customHeight="1">
      <c r="A3216" s="12" t="inlineStr">
        <is>
          <t>CUL-3212</t>
        </is>
      </c>
      <c r="B3216" s="11" t="n">
        <v>624</v>
      </c>
      <c r="C3216" s="13" t="inlineStr">
        <is>
          <t>Nº 27617</t>
        </is>
      </c>
      <c r="D3216" s="14" t="inlineStr">
        <is>
          <t>FLAXTON</t>
        </is>
      </c>
      <c r="E3216" s="13" t="inlineStr">
        <is>
          <t>Pulverização Agrícola Conforme Bula</t>
        </is>
      </c>
      <c r="F3216" s="13" t="inlineStr">
        <is>
          <t>Soja</t>
        </is>
      </c>
      <c r="G3216" s="13" t="inlineStr">
        <is>
          <t>Cultura Autorizada na Bula</t>
        </is>
      </c>
      <c r="H3216" s="13" t="inlineStr">
        <is>
          <t>100 a 300 L/ha</t>
        </is>
      </c>
      <c r="I3216" s="13" t="inlineStr">
        <is>
          <t>20 a 40 L/ha</t>
        </is>
      </c>
      <c r="J3216" s="13" t="inlineStr">
        <is>
          <t>21 dias</t>
        </is>
      </c>
    </row>
    <row r="3217" ht="22" customHeight="1">
      <c r="A3217" s="6" t="inlineStr">
        <is>
          <t>CUL-3213</t>
        </is>
      </c>
      <c r="B3217" s="5" t="n">
        <v>624</v>
      </c>
      <c r="C3217" s="7" t="inlineStr">
        <is>
          <t>Nº 27617</t>
        </is>
      </c>
      <c r="D3217" s="8" t="inlineStr">
        <is>
          <t>FLAXTON</t>
        </is>
      </c>
      <c r="E3217" s="7" t="inlineStr">
        <is>
          <t>Pulverização Agrícola Conforme Bula</t>
        </is>
      </c>
      <c r="F3217" s="7" t="inlineStr">
        <is>
          <t>Milho</t>
        </is>
      </c>
      <c r="G3217" s="7" t="inlineStr">
        <is>
          <t>Cultura Autorizada na Bula</t>
        </is>
      </c>
      <c r="H3217" s="7" t="inlineStr">
        <is>
          <t>100 a 300 L/ha</t>
        </is>
      </c>
      <c r="I3217" s="7" t="inlineStr">
        <is>
          <t>20 a 40 L/ha</t>
        </is>
      </c>
      <c r="J3217" s="7" t="inlineStr">
        <is>
          <t>21 dias</t>
        </is>
      </c>
    </row>
    <row r="3218" ht="22" customHeight="1">
      <c r="A3218" s="12" t="inlineStr">
        <is>
          <t>CUL-3214</t>
        </is>
      </c>
      <c r="B3218" s="11" t="n">
        <v>624</v>
      </c>
      <c r="C3218" s="13" t="inlineStr">
        <is>
          <t>Nº 27617</t>
        </is>
      </c>
      <c r="D3218" s="14" t="inlineStr">
        <is>
          <t>FLAXTON</t>
        </is>
      </c>
      <c r="E3218" s="13" t="inlineStr">
        <is>
          <t>Pulverização Agrícola Conforme Bula</t>
        </is>
      </c>
      <c r="F3218" s="13" t="inlineStr">
        <is>
          <t>Algodão</t>
        </is>
      </c>
      <c r="G3218" s="13" t="inlineStr">
        <is>
          <t>Cultura Autorizada na Bula</t>
        </is>
      </c>
      <c r="H3218" s="13" t="inlineStr">
        <is>
          <t>100 a 300 L/ha</t>
        </is>
      </c>
      <c r="I3218" s="13" t="inlineStr">
        <is>
          <t>20 a 40 L/ha</t>
        </is>
      </c>
      <c r="J3218" s="13" t="inlineStr">
        <is>
          <t>21 dias</t>
        </is>
      </c>
    </row>
    <row r="3219" ht="22" customHeight="1">
      <c r="A3219" s="6" t="inlineStr">
        <is>
          <t>CUL-3215</t>
        </is>
      </c>
      <c r="B3219" s="5" t="n">
        <v>624</v>
      </c>
      <c r="C3219" s="7" t="inlineStr">
        <is>
          <t>Nº 27617</t>
        </is>
      </c>
      <c r="D3219" s="8" t="inlineStr">
        <is>
          <t>FLAXTON</t>
        </is>
      </c>
      <c r="E3219" s="7" t="inlineStr">
        <is>
          <t>Pulverização Agrícola Conforme Bula</t>
        </is>
      </c>
      <c r="F3219" s="7" t="inlineStr">
        <is>
          <t>Feijão</t>
        </is>
      </c>
      <c r="G3219" s="7" t="inlineStr">
        <is>
          <t>Cultura Autorizada na Bula</t>
        </is>
      </c>
      <c r="H3219" s="7" t="inlineStr">
        <is>
          <t>100 a 300 L/ha</t>
        </is>
      </c>
      <c r="I3219" s="7" t="inlineStr">
        <is>
          <t>20 a 40 L/ha</t>
        </is>
      </c>
      <c r="J3219" s="7" t="inlineStr">
        <is>
          <t>14 dias</t>
        </is>
      </c>
    </row>
    <row r="3220" ht="22" customHeight="1">
      <c r="A3220" s="12" t="inlineStr">
        <is>
          <t>CUL-3216</t>
        </is>
      </c>
      <c r="B3220" s="11" t="n">
        <v>625</v>
      </c>
      <c r="C3220" s="13" t="inlineStr">
        <is>
          <t>ISENTO (ATO 104/2017)</t>
        </is>
      </c>
      <c r="D3220" s="14" t="inlineStr">
        <is>
          <t>SPREAD COMBO</t>
        </is>
      </c>
      <c r="E3220" s="13" t="inlineStr">
        <is>
          <t>Pulverização Agrícola Conforme Bula</t>
        </is>
      </c>
      <c r="F3220" s="13" t="inlineStr">
        <is>
          <t>Soja, Milho, Algodão, Café, Citros, Cana-de-açúcar (Adição à calda)</t>
        </is>
      </c>
      <c r="G3220" s="13" t="inlineStr">
        <is>
          <t>Cultura Autorizada na Bula</t>
        </is>
      </c>
      <c r="H3220" s="13" t="inlineStr">
        <is>
          <t>100 a 300 L/ha</t>
        </is>
      </c>
      <c r="I3220" s="13" t="inlineStr">
        <is>
          <t>20 a 40 L/ha</t>
        </is>
      </c>
      <c r="J3220" s="13" t="inlineStr">
        <is>
          <t>Conforme defensivo principal</t>
        </is>
      </c>
    </row>
    <row r="3221" ht="22" customHeight="1">
      <c r="A3221" s="6" t="inlineStr">
        <is>
          <t>CUL-3217</t>
        </is>
      </c>
      <c r="B3221" s="5" t="n">
        <v>626</v>
      </c>
      <c r="C3221" s="7" t="inlineStr">
        <is>
          <t>Nº 21221</t>
        </is>
      </c>
      <c r="D3221" s="8" t="inlineStr">
        <is>
          <t>GOEMON</t>
        </is>
      </c>
      <c r="E3221" s="7" t="inlineStr">
        <is>
          <t>Pulverização Agrícola Conforme Bula</t>
        </is>
      </c>
      <c r="F3221" s="7" t="inlineStr">
        <is>
          <t>Soja</t>
        </is>
      </c>
      <c r="G3221" s="7" t="inlineStr">
        <is>
          <t>Cultura Autorizada na Bula</t>
        </is>
      </c>
      <c r="H3221" s="7" t="inlineStr">
        <is>
          <t>100 a 300 L/ha</t>
        </is>
      </c>
      <c r="I3221" s="7" t="inlineStr">
        <is>
          <t>20 a 40 L/ha</t>
        </is>
      </c>
      <c r="J3221" s="7" t="inlineStr">
        <is>
          <t>21 dias</t>
        </is>
      </c>
    </row>
    <row r="3222" ht="22" customHeight="1">
      <c r="A3222" s="12" t="inlineStr">
        <is>
          <t>CUL-3218</t>
        </is>
      </c>
      <c r="B3222" s="11" t="n">
        <v>626</v>
      </c>
      <c r="C3222" s="13" t="inlineStr">
        <is>
          <t>Nº 21221</t>
        </is>
      </c>
      <c r="D3222" s="14" t="inlineStr">
        <is>
          <t>GOEMON</t>
        </is>
      </c>
      <c r="E3222" s="13" t="inlineStr">
        <is>
          <t>Pulverização Agrícola Conforme Bula</t>
        </is>
      </c>
      <c r="F3222" s="13" t="inlineStr">
        <is>
          <t>Milho</t>
        </is>
      </c>
      <c r="G3222" s="13" t="inlineStr">
        <is>
          <t>Cultura Autorizada na Bula</t>
        </is>
      </c>
      <c r="H3222" s="13" t="inlineStr">
        <is>
          <t>100 a 300 L/ha</t>
        </is>
      </c>
      <c r="I3222" s="13" t="inlineStr">
        <is>
          <t>20 a 40 L/ha</t>
        </is>
      </c>
      <c r="J3222" s="13" t="inlineStr">
        <is>
          <t>21 dias</t>
        </is>
      </c>
    </row>
    <row r="3223" ht="22" customHeight="1">
      <c r="A3223" s="6" t="inlineStr">
        <is>
          <t>CUL-3219</t>
        </is>
      </c>
      <c r="B3223" s="5" t="n">
        <v>626</v>
      </c>
      <c r="C3223" s="7" t="inlineStr">
        <is>
          <t>Nº 21221</t>
        </is>
      </c>
      <c r="D3223" s="8" t="inlineStr">
        <is>
          <t>GOEMON</t>
        </is>
      </c>
      <c r="E3223" s="7" t="inlineStr">
        <is>
          <t>Pulverização Agrícola Conforme Bula</t>
        </is>
      </c>
      <c r="F3223" s="7" t="inlineStr">
        <is>
          <t>Algodão</t>
        </is>
      </c>
      <c r="G3223" s="7" t="inlineStr">
        <is>
          <t>Cultura Autorizada na Bula</t>
        </is>
      </c>
      <c r="H3223" s="7" t="inlineStr">
        <is>
          <t>100 a 300 L/ha</t>
        </is>
      </c>
      <c r="I3223" s="7" t="inlineStr">
        <is>
          <t>20 a 40 L/ha</t>
        </is>
      </c>
      <c r="J3223" s="7" t="inlineStr">
        <is>
          <t>21 dias</t>
        </is>
      </c>
    </row>
    <row r="3224" ht="22" customHeight="1">
      <c r="A3224" s="12" t="inlineStr">
        <is>
          <t>CUL-3220</t>
        </is>
      </c>
      <c r="B3224" s="11" t="n">
        <v>626</v>
      </c>
      <c r="C3224" s="13" t="inlineStr">
        <is>
          <t>Nº 21221</t>
        </is>
      </c>
      <c r="D3224" s="14" t="inlineStr">
        <is>
          <t>GOEMON</t>
        </is>
      </c>
      <c r="E3224" s="13" t="inlineStr">
        <is>
          <t>Pulverização Agrícola Conforme Bula</t>
        </is>
      </c>
      <c r="F3224" s="13" t="inlineStr">
        <is>
          <t>Feijão</t>
        </is>
      </c>
      <c r="G3224" s="13" t="inlineStr">
        <is>
          <t>Cultura Autorizada na Bula</t>
        </is>
      </c>
      <c r="H3224" s="13" t="inlineStr">
        <is>
          <t>100 a 300 L/ha</t>
        </is>
      </c>
      <c r="I3224" s="13" t="inlineStr">
        <is>
          <t>20 a 40 L/ha</t>
        </is>
      </c>
      <c r="J3224" s="13" t="inlineStr">
        <is>
          <t>14 dias</t>
        </is>
      </c>
    </row>
    <row r="3225" ht="22" customHeight="1">
      <c r="A3225" s="6" t="inlineStr">
        <is>
          <t>CUL-3221</t>
        </is>
      </c>
      <c r="B3225" s="5" t="n">
        <v>627</v>
      </c>
      <c r="C3225" s="7" t="inlineStr">
        <is>
          <t>Nº 22622</t>
        </is>
      </c>
      <c r="D3225" s="8" t="inlineStr">
        <is>
          <t>SENSUS</t>
        </is>
      </c>
      <c r="E3225" s="7" t="inlineStr">
        <is>
          <t>Pulverização Agrícola Conforme Bula</t>
        </is>
      </c>
      <c r="F3225" s="7" t="inlineStr">
        <is>
          <t>Cana-de-açúcar</t>
        </is>
      </c>
      <c r="G3225" s="7" t="inlineStr">
        <is>
          <t>Cultura Autorizada na Bula</t>
        </is>
      </c>
      <c r="H3225" s="7" t="inlineStr">
        <is>
          <t>100 a 300 L/ha</t>
        </is>
      </c>
      <c r="I3225" s="7" t="inlineStr">
        <is>
          <t>20 a 40 L/ha</t>
        </is>
      </c>
      <c r="J3225" s="7" t="inlineStr">
        <is>
          <t>N/D</t>
        </is>
      </c>
    </row>
    <row r="3226" ht="22" customHeight="1">
      <c r="A3226" s="12" t="inlineStr">
        <is>
          <t>CUL-3222</t>
        </is>
      </c>
      <c r="B3226" s="11" t="n">
        <v>627</v>
      </c>
      <c r="C3226" s="13" t="inlineStr">
        <is>
          <t>Nº 22622</t>
        </is>
      </c>
      <c r="D3226" s="14" t="inlineStr">
        <is>
          <t>SENSUS</t>
        </is>
      </c>
      <c r="E3226" s="13" t="inlineStr">
        <is>
          <t>Pulverização Agrícola Conforme Bula</t>
        </is>
      </c>
      <c r="F3226" s="13" t="inlineStr">
        <is>
          <t>Arroz</t>
        </is>
      </c>
      <c r="G3226" s="13" t="inlineStr">
        <is>
          <t>Cultura Autorizada na Bula</t>
        </is>
      </c>
      <c r="H3226" s="13" t="inlineStr">
        <is>
          <t>100 a 300 L/ha</t>
        </is>
      </c>
      <c r="I3226" s="13" t="inlineStr">
        <is>
          <t>20 a 40 L/ha</t>
        </is>
      </c>
      <c r="J3226" s="13" t="inlineStr">
        <is>
          <t>90 dias</t>
        </is>
      </c>
    </row>
    <row r="3227" ht="22" customHeight="1">
      <c r="A3227" s="6" t="inlineStr">
        <is>
          <t>CUL-3223</t>
        </is>
      </c>
      <c r="B3227" s="5" t="n">
        <v>627</v>
      </c>
      <c r="C3227" s="7" t="inlineStr">
        <is>
          <t>Nº 22622</t>
        </is>
      </c>
      <c r="D3227" s="8" t="inlineStr">
        <is>
          <t>SENSUS</t>
        </is>
      </c>
      <c r="E3227" s="7" t="inlineStr">
        <is>
          <t>Pulverização Agrícola Conforme Bula</t>
        </is>
      </c>
      <c r="F3227" s="7" t="inlineStr">
        <is>
          <t>Soja</t>
        </is>
      </c>
      <c r="G3227" s="7" t="inlineStr">
        <is>
          <t>Cultura Autorizada na Bula</t>
        </is>
      </c>
      <c r="H3227" s="7" t="inlineStr">
        <is>
          <t>100 a 300 L/ha</t>
        </is>
      </c>
      <c r="I3227" s="7" t="inlineStr">
        <is>
          <t>20 a 40 L/ha</t>
        </is>
      </c>
      <c r="J3227" s="7" t="inlineStr">
        <is>
          <t>N/D</t>
        </is>
      </c>
    </row>
    <row r="3228" ht="22" customHeight="1">
      <c r="A3228" s="12" t="inlineStr">
        <is>
          <t>CUL-3224</t>
        </is>
      </c>
      <c r="B3228" s="11" t="n">
        <v>627</v>
      </c>
      <c r="C3228" s="13" t="inlineStr">
        <is>
          <t>Nº 22622</t>
        </is>
      </c>
      <c r="D3228" s="14" t="inlineStr">
        <is>
          <t>SENSUS</t>
        </is>
      </c>
      <c r="E3228" s="13" t="inlineStr">
        <is>
          <t>Pulverização Agrícola Conforme Bula</t>
        </is>
      </c>
      <c r="F3228" s="13" t="inlineStr">
        <is>
          <t>Algodão</t>
        </is>
      </c>
      <c r="G3228" s="13" t="inlineStr">
        <is>
          <t>Cultura Autorizada na Bula</t>
        </is>
      </c>
      <c r="H3228" s="13" t="inlineStr">
        <is>
          <t>100 a 300 L/ha</t>
        </is>
      </c>
      <c r="I3228" s="13" t="inlineStr">
        <is>
          <t>20 a 40 L/ha</t>
        </is>
      </c>
      <c r="J3228" s="13" t="inlineStr">
        <is>
          <t>100 dias</t>
        </is>
      </c>
    </row>
    <row r="3229" ht="22" customHeight="1">
      <c r="A3229" s="6" t="inlineStr">
        <is>
          <t>CUL-3225</t>
        </is>
      </c>
      <c r="B3229" s="5" t="n">
        <v>627</v>
      </c>
      <c r="C3229" s="7" t="inlineStr">
        <is>
          <t>Nº 22622</t>
        </is>
      </c>
      <c r="D3229" s="8" t="inlineStr">
        <is>
          <t>SENSUS</t>
        </is>
      </c>
      <c r="E3229" s="7" t="inlineStr">
        <is>
          <t>Pulverização Agrícola Conforme Bula</t>
        </is>
      </c>
      <c r="F3229" s="7" t="inlineStr">
        <is>
          <t>Mandioca</t>
        </is>
      </c>
      <c r="G3229" s="7" t="inlineStr">
        <is>
          <t>Cultura Autorizada na Bula</t>
        </is>
      </c>
      <c r="H3229" s="7" t="inlineStr">
        <is>
          <t>100 a 300 L/ha</t>
        </is>
      </c>
      <c r="I3229" s="7" t="inlineStr">
        <is>
          <t>20 a 40 L/ha</t>
        </is>
      </c>
      <c r="J3229" s="7" t="inlineStr">
        <is>
          <t>N/D</t>
        </is>
      </c>
    </row>
    <row r="3230" ht="22" customHeight="1">
      <c r="A3230" s="12" t="inlineStr">
        <is>
          <t>CUL-3226</t>
        </is>
      </c>
      <c r="B3230" s="11" t="n">
        <v>627</v>
      </c>
      <c r="C3230" s="13" t="inlineStr">
        <is>
          <t>Nº 22622</t>
        </is>
      </c>
      <c r="D3230" s="14" t="inlineStr">
        <is>
          <t>SENSUS</t>
        </is>
      </c>
      <c r="E3230" s="13" t="inlineStr">
        <is>
          <t>Pulverização Agrícola Conforme Bula</t>
        </is>
      </c>
      <c r="F3230" s="13" t="inlineStr">
        <is>
          <t>Tabaco</t>
        </is>
      </c>
      <c r="G3230" s="13" t="inlineStr">
        <is>
          <t>Cultura Autorizada na Bula</t>
        </is>
      </c>
      <c r="H3230" s="13" t="inlineStr">
        <is>
          <t>100 a 300 L/ha</t>
        </is>
      </c>
      <c r="I3230" s="13" t="inlineStr">
        <is>
          <t>20 a 40 L/ha</t>
        </is>
      </c>
      <c r="J3230" s="13" t="inlineStr">
        <is>
          <t>N/D</t>
        </is>
      </c>
    </row>
    <row r="3231" ht="22" customHeight="1">
      <c r="A3231" s="6" t="inlineStr">
        <is>
          <t>CUL-3227</t>
        </is>
      </c>
      <c r="B3231" s="5" t="n">
        <v>628</v>
      </c>
      <c r="C3231" s="7" t="inlineStr">
        <is>
          <t>Nº 35619</t>
        </is>
      </c>
      <c r="D3231" s="8" t="inlineStr">
        <is>
          <t>MAXSAN</t>
        </is>
      </c>
      <c r="E3231" s="7" t="inlineStr">
        <is>
          <t>Pulverização Agrícola Conforme Bula</t>
        </is>
      </c>
      <c r="F3231" s="7" t="inlineStr">
        <is>
          <t>Soja</t>
        </is>
      </c>
      <c r="G3231" s="7" t="inlineStr">
        <is>
          <t>Cultura Autorizada na Bula</t>
        </is>
      </c>
      <c r="H3231" s="7" t="inlineStr">
        <is>
          <t>100 a 300 L/ha</t>
        </is>
      </c>
      <c r="I3231" s="7" t="inlineStr">
        <is>
          <t>20 a 40 L/ha</t>
        </is>
      </c>
      <c r="J3231" s="7" t="inlineStr">
        <is>
          <t>30 dias</t>
        </is>
      </c>
    </row>
    <row r="3232" ht="22" customHeight="1">
      <c r="A3232" s="12" t="inlineStr">
        <is>
          <t>CUL-3228</t>
        </is>
      </c>
      <c r="B3232" s="11" t="n">
        <v>628</v>
      </c>
      <c r="C3232" s="13" t="inlineStr">
        <is>
          <t>Nº 35619</t>
        </is>
      </c>
      <c r="D3232" s="14" t="inlineStr">
        <is>
          <t>MAXSAN</t>
        </is>
      </c>
      <c r="E3232" s="13" t="inlineStr">
        <is>
          <t>Pulverização Agrícola Conforme Bula</t>
        </is>
      </c>
      <c r="F3232" s="13" t="inlineStr">
        <is>
          <t>Algodão</t>
        </is>
      </c>
      <c r="G3232" s="13" t="inlineStr">
        <is>
          <t>Cultura Autorizada na Bula</t>
        </is>
      </c>
      <c r="H3232" s="13" t="inlineStr">
        <is>
          <t>100 a 300 L/ha</t>
        </is>
      </c>
      <c r="I3232" s="13" t="inlineStr">
        <is>
          <t>20 a 40 L/ha</t>
        </is>
      </c>
      <c r="J3232" s="13" t="inlineStr">
        <is>
          <t>14 dias</t>
        </is>
      </c>
    </row>
    <row r="3233" ht="22" customHeight="1">
      <c r="A3233" s="6" t="inlineStr">
        <is>
          <t>CUL-3229</t>
        </is>
      </c>
      <c r="B3233" s="5" t="n">
        <v>628</v>
      </c>
      <c r="C3233" s="7" t="inlineStr">
        <is>
          <t>Nº 35619</t>
        </is>
      </c>
      <c r="D3233" s="8" t="inlineStr">
        <is>
          <t>MAXSAN</t>
        </is>
      </c>
      <c r="E3233" s="7" t="inlineStr">
        <is>
          <t>Pulverização Agrícola Conforme Bula</t>
        </is>
      </c>
      <c r="F3233" s="7" t="inlineStr">
        <is>
          <t>Feijão</t>
        </is>
      </c>
      <c r="G3233" s="7" t="inlineStr">
        <is>
          <t>Cultura Autorizada na Bula</t>
        </is>
      </c>
      <c r="H3233" s="7" t="inlineStr">
        <is>
          <t>100 a 300 L/ha</t>
        </is>
      </c>
      <c r="I3233" s="7" t="inlineStr">
        <is>
          <t>20 a 40 L/ha</t>
        </is>
      </c>
      <c r="J3233" s="7" t="inlineStr">
        <is>
          <t>14 dias</t>
        </is>
      </c>
    </row>
    <row r="3234" ht="22" customHeight="1">
      <c r="A3234" s="12" t="inlineStr">
        <is>
          <t>CUL-3230</t>
        </is>
      </c>
      <c r="B3234" s="11" t="n">
        <v>628</v>
      </c>
      <c r="C3234" s="13" t="inlineStr">
        <is>
          <t>Nº 35619</t>
        </is>
      </c>
      <c r="D3234" s="14" t="inlineStr">
        <is>
          <t>MAXSAN</t>
        </is>
      </c>
      <c r="E3234" s="13" t="inlineStr">
        <is>
          <t>Pulverização Agrícola Conforme Bula</t>
        </is>
      </c>
      <c r="F3234" s="13" t="inlineStr">
        <is>
          <t>Citros</t>
        </is>
      </c>
      <c r="G3234" s="13" t="inlineStr">
        <is>
          <t>Cultura Autorizada na Bula</t>
        </is>
      </c>
      <c r="H3234" s="13" t="inlineStr">
        <is>
          <t>100 a 300 L/ha</t>
        </is>
      </c>
      <c r="I3234" s="13" t="inlineStr">
        <is>
          <t>20 a 40 L/ha</t>
        </is>
      </c>
      <c r="J3234" s="13" t="inlineStr">
        <is>
          <t>14 dias</t>
        </is>
      </c>
    </row>
    <row r="3235" ht="22" customHeight="1">
      <c r="A3235" s="6" t="inlineStr">
        <is>
          <t>CUL-3231</t>
        </is>
      </c>
      <c r="B3235" s="5" t="n">
        <v>628</v>
      </c>
      <c r="C3235" s="7" t="inlineStr">
        <is>
          <t>Nº 35619</t>
        </is>
      </c>
      <c r="D3235" s="8" t="inlineStr">
        <is>
          <t>MAXSAN</t>
        </is>
      </c>
      <c r="E3235" s="7" t="inlineStr">
        <is>
          <t>Pulverização Agrícola Conforme Bula</t>
        </is>
      </c>
      <c r="F3235" s="7" t="inlineStr">
        <is>
          <t>Melão</t>
        </is>
      </c>
      <c r="G3235" s="7" t="inlineStr">
        <is>
          <t>Cultura Autorizada na Bula</t>
        </is>
      </c>
      <c r="H3235" s="7" t="inlineStr">
        <is>
          <t>100 a 300 L/ha</t>
        </is>
      </c>
      <c r="I3235" s="7" t="inlineStr">
        <is>
          <t>20 a 40 L/ha</t>
        </is>
      </c>
      <c r="J3235" s="7" t="inlineStr">
        <is>
          <t>7 dias</t>
        </is>
      </c>
    </row>
    <row r="3236" ht="22" customHeight="1">
      <c r="A3236" s="12" t="inlineStr">
        <is>
          <t>CUL-3232</t>
        </is>
      </c>
      <c r="B3236" s="11" t="n">
        <v>628</v>
      </c>
      <c r="C3236" s="13" t="inlineStr">
        <is>
          <t>Nº 35619</t>
        </is>
      </c>
      <c r="D3236" s="14" t="inlineStr">
        <is>
          <t>MAXSAN</t>
        </is>
      </c>
      <c r="E3236" s="13" t="inlineStr">
        <is>
          <t>Pulverização Agrícola Conforme Bula</t>
        </is>
      </c>
      <c r="F3236" s="13" t="inlineStr">
        <is>
          <t>Tomate</t>
        </is>
      </c>
      <c r="G3236" s="13" t="inlineStr">
        <is>
          <t>Cultura Autorizada na Bula</t>
        </is>
      </c>
      <c r="H3236" s="13" t="inlineStr">
        <is>
          <t>100 a 300 L/ha</t>
        </is>
      </c>
      <c r="I3236" s="13" t="inlineStr">
        <is>
          <t>20 a 40 L/ha</t>
        </is>
      </c>
      <c r="J3236" s="13" t="inlineStr">
        <is>
          <t>7 dias</t>
        </is>
      </c>
    </row>
    <row r="3237" ht="22" customHeight="1">
      <c r="A3237" s="6" t="inlineStr">
        <is>
          <t>CUL-3233</t>
        </is>
      </c>
      <c r="B3237" s="5" t="n">
        <v>629</v>
      </c>
      <c r="C3237" s="7" t="inlineStr">
        <is>
          <t>SIPEAGRO (UF-XXXXX)</t>
        </is>
      </c>
      <c r="D3237" s="8" t="inlineStr">
        <is>
          <t>SOJA KRAFT 10</t>
        </is>
      </c>
      <c r="E3237" s="7" t="inlineStr">
        <is>
          <t>Adubação de Solo / Foliar</t>
        </is>
      </c>
      <c r="F3237" s="7" t="inlineStr">
        <is>
          <t>Soja</t>
        </is>
      </c>
      <c r="G3237" s="7" t="inlineStr">
        <is>
          <t>Cultura Autorizada na Bula</t>
        </is>
      </c>
      <c r="H3237" s="7" t="inlineStr">
        <is>
          <t>100 a 300 L/ha</t>
        </is>
      </c>
      <c r="I3237" s="7" t="inlineStr">
        <is>
          <t>20 a 40 L/ha</t>
        </is>
      </c>
      <c r="J3237" s="7" t="inlineStr">
        <is>
          <t>Isento</t>
        </is>
      </c>
    </row>
    <row r="3238" ht="22" customHeight="1">
      <c r="A3238" s="12" t="inlineStr">
        <is>
          <t>CUL-3234</t>
        </is>
      </c>
      <c r="B3238" s="11" t="n">
        <v>629</v>
      </c>
      <c r="C3238" s="13" t="inlineStr">
        <is>
          <t>SIPEAGRO (UF-XXXXX)</t>
        </is>
      </c>
      <c r="D3238" s="14" t="inlineStr">
        <is>
          <t>SOJA KRAFT 10</t>
        </is>
      </c>
      <c r="E3238" s="13" t="inlineStr">
        <is>
          <t>Adubação de Solo / Foliar</t>
        </is>
      </c>
      <c r="F3238" s="13" t="inlineStr">
        <is>
          <t>Milho</t>
        </is>
      </c>
      <c r="G3238" s="13" t="inlineStr">
        <is>
          <t>Cultura Autorizada na Bula</t>
        </is>
      </c>
      <c r="H3238" s="13" t="inlineStr">
        <is>
          <t>100 a 300 L/ha</t>
        </is>
      </c>
      <c r="I3238" s="13" t="inlineStr">
        <is>
          <t>20 a 40 L/ha</t>
        </is>
      </c>
      <c r="J3238" s="13" t="inlineStr">
        <is>
          <t>Isento</t>
        </is>
      </c>
    </row>
    <row r="3239" ht="22" customHeight="1">
      <c r="A3239" s="6" t="inlineStr">
        <is>
          <t>CUL-3235</t>
        </is>
      </c>
      <c r="B3239" s="5" t="n">
        <v>629</v>
      </c>
      <c r="C3239" s="7" t="inlineStr">
        <is>
          <t>SIPEAGRO (UF-XXXXX)</t>
        </is>
      </c>
      <c r="D3239" s="8" t="inlineStr">
        <is>
          <t>SOJA KRAFT 10</t>
        </is>
      </c>
      <c r="E3239" s="7" t="inlineStr">
        <is>
          <t>Adubação de Solo / Foliar</t>
        </is>
      </c>
      <c r="F3239" s="7" t="inlineStr">
        <is>
          <t>Algodão</t>
        </is>
      </c>
      <c r="G3239" s="7" t="inlineStr">
        <is>
          <t>Cultura Autorizada na Bula</t>
        </is>
      </c>
      <c r="H3239" s="7" t="inlineStr">
        <is>
          <t>100 a 300 L/ha</t>
        </is>
      </c>
      <c r="I3239" s="7" t="inlineStr">
        <is>
          <t>20 a 40 L/ha</t>
        </is>
      </c>
      <c r="J3239" s="7" t="inlineStr">
        <is>
          <t>Isento</t>
        </is>
      </c>
    </row>
    <row r="3240" ht="22" customHeight="1">
      <c r="A3240" s="12" t="inlineStr">
        <is>
          <t>CUL-3236</t>
        </is>
      </c>
      <c r="B3240" s="11" t="n">
        <v>629</v>
      </c>
      <c r="C3240" s="13" t="inlineStr">
        <is>
          <t>SIPEAGRO (UF-XXXXX)</t>
        </is>
      </c>
      <c r="D3240" s="14" t="inlineStr">
        <is>
          <t>SOJA KRAFT 10</t>
        </is>
      </c>
      <c r="E3240" s="13" t="inlineStr">
        <is>
          <t>Adubação de Solo / Foliar</t>
        </is>
      </c>
      <c r="F3240" s="13" t="inlineStr">
        <is>
          <t>Cana-de-açúcar</t>
        </is>
      </c>
      <c r="G3240" s="13" t="inlineStr">
        <is>
          <t>Cultura Autorizada na Bula</t>
        </is>
      </c>
      <c r="H3240" s="13" t="inlineStr">
        <is>
          <t>100 a 300 L/ha</t>
        </is>
      </c>
      <c r="I3240" s="13" t="inlineStr">
        <is>
          <t>20 a 40 L/ha</t>
        </is>
      </c>
      <c r="J3240" s="13" t="inlineStr">
        <is>
          <t>Isento</t>
        </is>
      </c>
    </row>
    <row r="3241" ht="22" customHeight="1">
      <c r="A3241" s="6" t="inlineStr">
        <is>
          <t>CUL-3237</t>
        </is>
      </c>
      <c r="B3241" s="5" t="n">
        <v>629</v>
      </c>
      <c r="C3241" s="7" t="inlineStr">
        <is>
          <t>SIPEAGRO (UF-XXXXX)</t>
        </is>
      </c>
      <c r="D3241" s="8" t="inlineStr">
        <is>
          <t>SOJA KRAFT 10</t>
        </is>
      </c>
      <c r="E3241" s="7" t="inlineStr">
        <is>
          <t>Adubação de Solo / Foliar</t>
        </is>
      </c>
      <c r="F3241" s="7" t="inlineStr">
        <is>
          <t>Café</t>
        </is>
      </c>
      <c r="G3241" s="7" t="inlineStr">
        <is>
          <t>Cultura Autorizada na Bula</t>
        </is>
      </c>
      <c r="H3241" s="7" t="inlineStr">
        <is>
          <t>100 a 300 L/ha</t>
        </is>
      </c>
      <c r="I3241" s="7" t="inlineStr">
        <is>
          <t>20 a 40 L/ha</t>
        </is>
      </c>
      <c r="J3241" s="7" t="inlineStr">
        <is>
          <t>Isento</t>
        </is>
      </c>
    </row>
    <row r="3242" ht="22" customHeight="1">
      <c r="A3242" s="12" t="inlineStr">
        <is>
          <t>CUL-3238</t>
        </is>
      </c>
      <c r="B3242" s="11" t="n">
        <v>630</v>
      </c>
      <c r="C3242" s="13" t="inlineStr">
        <is>
          <t>Nº 8608</t>
        </is>
      </c>
      <c r="D3242" s="14" t="inlineStr">
        <is>
          <t>SPHERE MAX SC</t>
        </is>
      </c>
      <c r="E3242" s="13" t="inlineStr">
        <is>
          <t>Pulverização Agrícola Conforme Bula</t>
        </is>
      </c>
      <c r="F3242" s="13" t="inlineStr">
        <is>
          <t>Soja</t>
        </is>
      </c>
      <c r="G3242" s="13" t="inlineStr">
        <is>
          <t>Cultura Autorizada na Bula</t>
        </is>
      </c>
      <c r="H3242" s="13" t="inlineStr">
        <is>
          <t>100 a 300 L/ha</t>
        </is>
      </c>
      <c r="I3242" s="13" t="inlineStr">
        <is>
          <t>20 a 40 L/ha</t>
        </is>
      </c>
      <c r="J3242" s="13" t="inlineStr">
        <is>
          <t>30 dias</t>
        </is>
      </c>
    </row>
    <row r="3243" ht="22" customHeight="1">
      <c r="A3243" s="6" t="inlineStr">
        <is>
          <t>CUL-3239</t>
        </is>
      </c>
      <c r="B3243" s="5" t="n">
        <v>630</v>
      </c>
      <c r="C3243" s="7" t="inlineStr">
        <is>
          <t>Nº 8608</t>
        </is>
      </c>
      <c r="D3243" s="8" t="inlineStr">
        <is>
          <t>SPHERE MAX SC</t>
        </is>
      </c>
      <c r="E3243" s="7" t="inlineStr">
        <is>
          <t>Pulverização Agrícola Conforme Bula</t>
        </is>
      </c>
      <c r="F3243" s="7" t="inlineStr">
        <is>
          <t>Milho</t>
        </is>
      </c>
      <c r="G3243" s="7" t="inlineStr">
        <is>
          <t>Cultura Autorizada na Bula</t>
        </is>
      </c>
      <c r="H3243" s="7" t="inlineStr">
        <is>
          <t>100 a 300 L/ha</t>
        </is>
      </c>
      <c r="I3243" s="7" t="inlineStr">
        <is>
          <t>20 a 40 L/ha</t>
        </is>
      </c>
      <c r="J3243" s="7" t="inlineStr">
        <is>
          <t>30 dias</t>
        </is>
      </c>
    </row>
    <row r="3244" ht="22" customHeight="1">
      <c r="A3244" s="12" t="inlineStr">
        <is>
          <t>CUL-3240</t>
        </is>
      </c>
      <c r="B3244" s="11" t="n">
        <v>630</v>
      </c>
      <c r="C3244" s="13" t="inlineStr">
        <is>
          <t>Nº 8608</t>
        </is>
      </c>
      <c r="D3244" s="14" t="inlineStr">
        <is>
          <t>SPHERE MAX SC</t>
        </is>
      </c>
      <c r="E3244" s="13" t="inlineStr">
        <is>
          <t>Pulverização Agrícola Conforme Bula</t>
        </is>
      </c>
      <c r="F3244" s="13" t="inlineStr">
        <is>
          <t>Algodão</t>
        </is>
      </c>
      <c r="G3244" s="13" t="inlineStr">
        <is>
          <t>Cultura Autorizada na Bula</t>
        </is>
      </c>
      <c r="H3244" s="13" t="inlineStr">
        <is>
          <t>100 a 300 L/ha</t>
        </is>
      </c>
      <c r="I3244" s="13" t="inlineStr">
        <is>
          <t>20 a 40 L/ha</t>
        </is>
      </c>
      <c r="J3244" s="13" t="inlineStr">
        <is>
          <t>30 dias</t>
        </is>
      </c>
    </row>
    <row r="3245" ht="22" customHeight="1">
      <c r="A3245" s="6" t="inlineStr">
        <is>
          <t>CUL-3241</t>
        </is>
      </c>
      <c r="B3245" s="5" t="n">
        <v>630</v>
      </c>
      <c r="C3245" s="7" t="inlineStr">
        <is>
          <t>Nº 8608</t>
        </is>
      </c>
      <c r="D3245" s="8" t="inlineStr">
        <is>
          <t>SPHERE MAX SC</t>
        </is>
      </c>
      <c r="E3245" s="7" t="inlineStr">
        <is>
          <t>Pulverização Agrícola Conforme Bula</t>
        </is>
      </c>
      <c r="F3245" s="7" t="inlineStr">
        <is>
          <t>Café</t>
        </is>
      </c>
      <c r="G3245" s="7" t="inlineStr">
        <is>
          <t>Cultura Autorizada na Bula</t>
        </is>
      </c>
      <c r="H3245" s="7" t="inlineStr">
        <is>
          <t>100 a 300 L/ha</t>
        </is>
      </c>
      <c r="I3245" s="7" t="inlineStr">
        <is>
          <t>20 a 40 L/ha</t>
        </is>
      </c>
      <c r="J3245" s="7" t="inlineStr">
        <is>
          <t>30 dias</t>
        </is>
      </c>
    </row>
    <row r="3246" ht="22" customHeight="1">
      <c r="A3246" s="12" t="inlineStr">
        <is>
          <t>CUL-3242</t>
        </is>
      </c>
      <c r="B3246" s="11" t="n">
        <v>630</v>
      </c>
      <c r="C3246" s="13" t="inlineStr">
        <is>
          <t>Nº 8608</t>
        </is>
      </c>
      <c r="D3246" s="14" t="inlineStr">
        <is>
          <t>SPHERE MAX SC</t>
        </is>
      </c>
      <c r="E3246" s="13" t="inlineStr">
        <is>
          <t>Pulverização Agrícola Conforme Bula</t>
        </is>
      </c>
      <c r="F3246" s="13" t="inlineStr">
        <is>
          <t>Trigo</t>
        </is>
      </c>
      <c r="G3246" s="13" t="inlineStr">
        <is>
          <t>Cultura Autorizada na Bula</t>
        </is>
      </c>
      <c r="H3246" s="13" t="inlineStr">
        <is>
          <t>100 a 300 L/ha</t>
        </is>
      </c>
      <c r="I3246" s="13" t="inlineStr">
        <is>
          <t>20 a 40 L/ha</t>
        </is>
      </c>
      <c r="J3246" s="13" t="inlineStr">
        <is>
          <t>30 dias</t>
        </is>
      </c>
    </row>
    <row r="3247" ht="22" customHeight="1">
      <c r="A3247" s="6" t="inlineStr">
        <is>
          <t>CUL-3243</t>
        </is>
      </c>
      <c r="B3247" s="5" t="n">
        <v>631</v>
      </c>
      <c r="C3247" s="7" t="inlineStr">
        <is>
          <t>Nº 37019</t>
        </is>
      </c>
      <c r="D3247" s="8" t="inlineStr">
        <is>
          <t>IMPAR BR</t>
        </is>
      </c>
      <c r="E3247" s="7" t="inlineStr">
        <is>
          <t>Pulverização Agrícola Conforme Bula</t>
        </is>
      </c>
      <c r="F3247" s="7" t="inlineStr">
        <is>
          <t>Soja</t>
        </is>
      </c>
      <c r="G3247" s="7" t="inlineStr">
        <is>
          <t>Cultura Autorizada na Bula</t>
        </is>
      </c>
      <c r="H3247" s="7" t="inlineStr">
        <is>
          <t>100 a 300 L/ha</t>
        </is>
      </c>
      <c r="I3247" s="7" t="inlineStr">
        <is>
          <t>20 a 40 L/ha</t>
        </is>
      </c>
      <c r="J3247" s="7" t="inlineStr">
        <is>
          <t>21 dias</t>
        </is>
      </c>
    </row>
    <row r="3248" ht="22" customHeight="1">
      <c r="A3248" s="12" t="inlineStr">
        <is>
          <t>CUL-3244</t>
        </is>
      </c>
      <c r="B3248" s="11" t="n">
        <v>631</v>
      </c>
      <c r="C3248" s="13" t="inlineStr">
        <is>
          <t>Nº 37019</t>
        </is>
      </c>
      <c r="D3248" s="14" t="inlineStr">
        <is>
          <t>IMPAR BR</t>
        </is>
      </c>
      <c r="E3248" s="13" t="inlineStr">
        <is>
          <t>Pulverização Agrícola Conforme Bula</t>
        </is>
      </c>
      <c r="F3248" s="13" t="inlineStr">
        <is>
          <t>Milho</t>
        </is>
      </c>
      <c r="G3248" s="13" t="inlineStr">
        <is>
          <t>Cultura Autorizada na Bula</t>
        </is>
      </c>
      <c r="H3248" s="13" t="inlineStr">
        <is>
          <t>100 a 300 L/ha</t>
        </is>
      </c>
      <c r="I3248" s="13" t="inlineStr">
        <is>
          <t>20 a 40 L/ha</t>
        </is>
      </c>
      <c r="J3248" s="13" t="inlineStr">
        <is>
          <t>21 dias</t>
        </is>
      </c>
    </row>
    <row r="3249" ht="22" customHeight="1">
      <c r="A3249" s="6" t="inlineStr">
        <is>
          <t>CUL-3245</t>
        </is>
      </c>
      <c r="B3249" s="5" t="n">
        <v>631</v>
      </c>
      <c r="C3249" s="7" t="inlineStr">
        <is>
          <t>Nº 37019</t>
        </is>
      </c>
      <c r="D3249" s="8" t="inlineStr">
        <is>
          <t>IMPAR BR</t>
        </is>
      </c>
      <c r="E3249" s="7" t="inlineStr">
        <is>
          <t>Pulverização Agrícola Conforme Bula</t>
        </is>
      </c>
      <c r="F3249" s="7" t="inlineStr">
        <is>
          <t>Algodão</t>
        </is>
      </c>
      <c r="G3249" s="7" t="inlineStr">
        <is>
          <t>Cultura Autorizada na Bula</t>
        </is>
      </c>
      <c r="H3249" s="7" t="inlineStr">
        <is>
          <t>100 a 300 L/ha</t>
        </is>
      </c>
      <c r="I3249" s="7" t="inlineStr">
        <is>
          <t>20 a 40 L/ha</t>
        </is>
      </c>
      <c r="J3249" s="7" t="inlineStr">
        <is>
          <t>21 dias</t>
        </is>
      </c>
    </row>
    <row r="3250" ht="22" customHeight="1">
      <c r="A3250" s="12" t="inlineStr">
        <is>
          <t>CUL-3246</t>
        </is>
      </c>
      <c r="B3250" s="11" t="n">
        <v>631</v>
      </c>
      <c r="C3250" s="13" t="inlineStr">
        <is>
          <t>Nº 37019</t>
        </is>
      </c>
      <c r="D3250" s="14" t="inlineStr">
        <is>
          <t>IMPAR BR</t>
        </is>
      </c>
      <c r="E3250" s="13" t="inlineStr">
        <is>
          <t>Pulverização Agrícola Conforme Bula</t>
        </is>
      </c>
      <c r="F3250" s="13" t="inlineStr">
        <is>
          <t>Feijão</t>
        </is>
      </c>
      <c r="G3250" s="13" t="inlineStr">
        <is>
          <t>Cultura Autorizada na Bula</t>
        </is>
      </c>
      <c r="H3250" s="13" t="inlineStr">
        <is>
          <t>100 a 300 L/ha</t>
        </is>
      </c>
      <c r="I3250" s="13" t="inlineStr">
        <is>
          <t>20 a 40 L/ha</t>
        </is>
      </c>
      <c r="J3250" s="13" t="inlineStr">
        <is>
          <t>14 dias</t>
        </is>
      </c>
    </row>
    <row r="3251" ht="22" customHeight="1">
      <c r="A3251" s="6" t="inlineStr">
        <is>
          <t>CUL-3247</t>
        </is>
      </c>
      <c r="B3251" s="5" t="n">
        <v>632</v>
      </c>
      <c r="C3251" s="7" t="inlineStr">
        <is>
          <t>Nº 28320</t>
        </is>
      </c>
      <c r="D3251" s="8" t="inlineStr">
        <is>
          <t>ALLUS</t>
        </is>
      </c>
      <c r="E3251" s="7" t="inlineStr">
        <is>
          <t>Pulverização Agrícola Conforme Bula</t>
        </is>
      </c>
      <c r="F3251" s="7" t="inlineStr">
        <is>
          <t>Soja</t>
        </is>
      </c>
      <c r="G3251" s="7" t="inlineStr">
        <is>
          <t>Cultura Autorizada na Bula</t>
        </is>
      </c>
      <c r="H3251" s="7" t="inlineStr">
        <is>
          <t>100 a 300 L/ha</t>
        </is>
      </c>
      <c r="I3251" s="7" t="inlineStr">
        <is>
          <t>20 a 40 L/ha</t>
        </is>
      </c>
      <c r="J3251" s="7" t="inlineStr">
        <is>
          <t>60 dias</t>
        </is>
      </c>
    </row>
    <row r="3252" ht="22" customHeight="1">
      <c r="A3252" s="12" t="inlineStr">
        <is>
          <t>CUL-3248</t>
        </is>
      </c>
      <c r="B3252" s="11" t="n">
        <v>632</v>
      </c>
      <c r="C3252" s="13" t="inlineStr">
        <is>
          <t>Nº 28320</t>
        </is>
      </c>
      <c r="D3252" s="14" t="inlineStr">
        <is>
          <t>ALLUS</t>
        </is>
      </c>
      <c r="E3252" s="13" t="inlineStr">
        <is>
          <t>Pulverização Agrícola Conforme Bula</t>
        </is>
      </c>
      <c r="F3252" s="13" t="inlineStr">
        <is>
          <t>Milho</t>
        </is>
      </c>
      <c r="G3252" s="13" t="inlineStr">
        <is>
          <t>Cultura Autorizada na Bula</t>
        </is>
      </c>
      <c r="H3252" s="13" t="inlineStr">
        <is>
          <t>100 a 300 L/ha</t>
        </is>
      </c>
      <c r="I3252" s="13" t="inlineStr">
        <is>
          <t>20 a 40 L/ha</t>
        </is>
      </c>
      <c r="J3252" s="13" t="inlineStr">
        <is>
          <t>45 dias</t>
        </is>
      </c>
    </row>
    <row r="3253" ht="22" customHeight="1">
      <c r="A3253" s="6" t="inlineStr">
        <is>
          <t>CUL-3249</t>
        </is>
      </c>
      <c r="B3253" s="5" t="n">
        <v>632</v>
      </c>
      <c r="C3253" s="7" t="inlineStr">
        <is>
          <t>Nº 28320</t>
        </is>
      </c>
      <c r="D3253" s="8" t="inlineStr">
        <is>
          <t>ALLUS</t>
        </is>
      </c>
      <c r="E3253" s="7" t="inlineStr">
        <is>
          <t>Pulverização Agrícola Conforme Bula</t>
        </is>
      </c>
      <c r="F3253" s="7" t="inlineStr">
        <is>
          <t>Algodão</t>
        </is>
      </c>
      <c r="G3253" s="7" t="inlineStr">
        <is>
          <t>Cultura Autorizada na Bula</t>
        </is>
      </c>
      <c r="H3253" s="7" t="inlineStr">
        <is>
          <t>100 a 300 L/ha</t>
        </is>
      </c>
      <c r="I3253" s="7" t="inlineStr">
        <is>
          <t>20 a 40 L/ha</t>
        </is>
      </c>
      <c r="J3253" s="7" t="inlineStr">
        <is>
          <t>60 dias</t>
        </is>
      </c>
    </row>
    <row r="3254" ht="22" customHeight="1">
      <c r="A3254" s="12" t="inlineStr">
        <is>
          <t>CUL-3250</t>
        </is>
      </c>
      <c r="B3254" s="11" t="n">
        <v>632</v>
      </c>
      <c r="C3254" s="13" t="inlineStr">
        <is>
          <t>Nº 28320</t>
        </is>
      </c>
      <c r="D3254" s="14" t="inlineStr">
        <is>
          <t>ALLUS</t>
        </is>
      </c>
      <c r="E3254" s="13" t="inlineStr">
        <is>
          <t>Pulverização Agrícola Conforme Bula</t>
        </is>
      </c>
      <c r="F3254" s="13" t="inlineStr">
        <is>
          <t>Cana-de-açúcar</t>
        </is>
      </c>
      <c r="G3254" s="13" t="inlineStr">
        <is>
          <t>Cultura Autorizada na Bula</t>
        </is>
      </c>
      <c r="H3254" s="13" t="inlineStr">
        <is>
          <t>100 a 300 L/ha</t>
        </is>
      </c>
      <c r="I3254" s="13" t="inlineStr">
        <is>
          <t>20 a 40 L/ha</t>
        </is>
      </c>
      <c r="J3254" s="13" t="inlineStr">
        <is>
          <t>90 dias</t>
        </is>
      </c>
    </row>
    <row r="3255" ht="22" customHeight="1">
      <c r="A3255" s="6" t="inlineStr">
        <is>
          <t>CUL-3251</t>
        </is>
      </c>
      <c r="B3255" s="5" t="n">
        <v>633</v>
      </c>
      <c r="C3255" s="7" t="inlineStr">
        <is>
          <t>Nº 4007</t>
        </is>
      </c>
      <c r="D3255" s="8" t="inlineStr">
        <is>
          <t>APRON RFC</t>
        </is>
      </c>
      <c r="E3255" s="7" t="inlineStr">
        <is>
          <t>Tratamento de Sementes / Sulco</t>
        </is>
      </c>
      <c r="F3255" s="7" t="inlineStr">
        <is>
          <t>Soja</t>
        </is>
      </c>
      <c r="G3255" s="7" t="inlineStr">
        <is>
          <t>Cultura Autorizada na Bula</t>
        </is>
      </c>
      <c r="H3255" s="7" t="inlineStr">
        <is>
          <t>Calda TS (0,2 a 0,6 L/100kg sem.)</t>
        </is>
      </c>
      <c r="I3255" s="7" t="inlineStr">
        <is>
          <t>Não Autorizada (TS)</t>
        </is>
      </c>
      <c r="J3255" s="7" t="inlineStr">
        <is>
          <t>30 dias</t>
        </is>
      </c>
    </row>
    <row r="3256" ht="22" customHeight="1">
      <c r="A3256" s="12" t="inlineStr">
        <is>
          <t>CUL-3252</t>
        </is>
      </c>
      <c r="B3256" s="11" t="n">
        <v>633</v>
      </c>
      <c r="C3256" s="13" t="inlineStr">
        <is>
          <t>Nº 4007</t>
        </is>
      </c>
      <c r="D3256" s="14" t="inlineStr">
        <is>
          <t>APRON RFC</t>
        </is>
      </c>
      <c r="E3256" s="13" t="inlineStr">
        <is>
          <t>Tratamento de Sementes / Sulco</t>
        </is>
      </c>
      <c r="F3256" s="13" t="inlineStr">
        <is>
          <t>Milho</t>
        </is>
      </c>
      <c r="G3256" s="13" t="inlineStr">
        <is>
          <t>Cultura Autorizada na Bula</t>
        </is>
      </c>
      <c r="H3256" s="13" t="inlineStr">
        <is>
          <t>Calda TS (0,2 a 0,6 L/100kg sem.)</t>
        </is>
      </c>
      <c r="I3256" s="13" t="inlineStr">
        <is>
          <t>Não Autorizada (TS)</t>
        </is>
      </c>
      <c r="J3256" s="13" t="inlineStr">
        <is>
          <t>30 dias</t>
        </is>
      </c>
    </row>
    <row r="3257" ht="22" customHeight="1">
      <c r="A3257" s="6" t="inlineStr">
        <is>
          <t>CUL-3253</t>
        </is>
      </c>
      <c r="B3257" s="5" t="n">
        <v>633</v>
      </c>
      <c r="C3257" s="7" t="inlineStr">
        <is>
          <t>Nº 4007</t>
        </is>
      </c>
      <c r="D3257" s="8" t="inlineStr">
        <is>
          <t>APRON RFC</t>
        </is>
      </c>
      <c r="E3257" s="7" t="inlineStr">
        <is>
          <t>Tratamento de Sementes / Sulco</t>
        </is>
      </c>
      <c r="F3257" s="7" t="inlineStr">
        <is>
          <t>Algodão</t>
        </is>
      </c>
      <c r="G3257" s="7" t="inlineStr">
        <is>
          <t>Cultura Autorizada na Bula</t>
        </is>
      </c>
      <c r="H3257" s="7" t="inlineStr">
        <is>
          <t>Calda TS (0,2 a 0,6 L/100kg sem.)</t>
        </is>
      </c>
      <c r="I3257" s="7" t="inlineStr">
        <is>
          <t>Não Autorizada (TS)</t>
        </is>
      </c>
      <c r="J3257" s="7" t="inlineStr">
        <is>
          <t>30 dias</t>
        </is>
      </c>
    </row>
    <row r="3258" ht="22" customHeight="1">
      <c r="A3258" s="12" t="inlineStr">
        <is>
          <t>CUL-3254</t>
        </is>
      </c>
      <c r="B3258" s="11" t="n">
        <v>633</v>
      </c>
      <c r="C3258" s="13" t="inlineStr">
        <is>
          <t>Nº 4007</t>
        </is>
      </c>
      <c r="D3258" s="14" t="inlineStr">
        <is>
          <t>APRON RFC</t>
        </is>
      </c>
      <c r="E3258" s="13" t="inlineStr">
        <is>
          <t>Tratamento de Sementes / Sulco</t>
        </is>
      </c>
      <c r="F3258" s="13" t="inlineStr">
        <is>
          <t>Trigo</t>
        </is>
      </c>
      <c r="G3258" s="13" t="inlineStr">
        <is>
          <t>Cultura Autorizada na Bula</t>
        </is>
      </c>
      <c r="H3258" s="13" t="inlineStr">
        <is>
          <t>Calda TS (0,2 a 0,6 L/100kg sem.)</t>
        </is>
      </c>
      <c r="I3258" s="13" t="inlineStr">
        <is>
          <t>Não Autorizada (TS)</t>
        </is>
      </c>
      <c r="J3258" s="13" t="inlineStr">
        <is>
          <t>30 dias</t>
        </is>
      </c>
    </row>
    <row r="3259" ht="22" customHeight="1">
      <c r="A3259" s="6" t="inlineStr">
        <is>
          <t>CUL-3255</t>
        </is>
      </c>
      <c r="B3259" s="5" t="n">
        <v>633</v>
      </c>
      <c r="C3259" s="7" t="inlineStr">
        <is>
          <t>Nº 4007</t>
        </is>
      </c>
      <c r="D3259" s="8" t="inlineStr">
        <is>
          <t>APRON RFC</t>
        </is>
      </c>
      <c r="E3259" s="7" t="inlineStr">
        <is>
          <t>Tratamento de Sementes / Sulco</t>
        </is>
      </c>
      <c r="F3259" s="7" t="inlineStr">
        <is>
          <t>Feijão</t>
        </is>
      </c>
      <c r="G3259" s="7" t="inlineStr">
        <is>
          <t>Cultura Autorizada na Bula</t>
        </is>
      </c>
      <c r="H3259" s="7" t="inlineStr">
        <is>
          <t>Calda TS (0,2 a 0,6 L/100kg sem.)</t>
        </is>
      </c>
      <c r="I3259" s="7" t="inlineStr">
        <is>
          <t>Não Autorizada (TS)</t>
        </is>
      </c>
      <c r="J3259" s="7" t="inlineStr">
        <is>
          <t>14 dias</t>
        </is>
      </c>
    </row>
    <row r="3260" ht="22" customHeight="1">
      <c r="A3260" s="12" t="inlineStr">
        <is>
          <t>CUL-3256</t>
        </is>
      </c>
      <c r="B3260" s="11" t="n">
        <v>634</v>
      </c>
      <c r="C3260" s="13" t="inlineStr">
        <is>
          <t>SIPEAGRO (UF-XXXXX)</t>
        </is>
      </c>
      <c r="D3260" s="14" t="inlineStr">
        <is>
          <t>BASEK S25</t>
        </is>
      </c>
      <c r="E3260" s="13" t="inlineStr">
        <is>
          <t>Adubação de Solo / Foliar</t>
        </is>
      </c>
      <c r="F3260" s="13" t="inlineStr">
        <is>
          <t>Soja</t>
        </is>
      </c>
      <c r="G3260" s="13" t="inlineStr">
        <is>
          <t>Cultura Autorizada na Bula</t>
        </is>
      </c>
      <c r="H3260" s="13" t="inlineStr">
        <is>
          <t>100 a 300 L/ha</t>
        </is>
      </c>
      <c r="I3260" s="13" t="inlineStr">
        <is>
          <t>20 a 40 L/ha</t>
        </is>
      </c>
      <c r="J3260" s="13" t="inlineStr">
        <is>
          <t>Isento</t>
        </is>
      </c>
    </row>
    <row r="3261" ht="22" customHeight="1">
      <c r="A3261" s="6" t="inlineStr">
        <is>
          <t>CUL-3257</t>
        </is>
      </c>
      <c r="B3261" s="5" t="n">
        <v>634</v>
      </c>
      <c r="C3261" s="7" t="inlineStr">
        <is>
          <t>SIPEAGRO (UF-XXXXX)</t>
        </is>
      </c>
      <c r="D3261" s="8" t="inlineStr">
        <is>
          <t>BASEK S25</t>
        </is>
      </c>
      <c r="E3261" s="7" t="inlineStr">
        <is>
          <t>Adubação de Solo / Foliar</t>
        </is>
      </c>
      <c r="F3261" s="7" t="inlineStr">
        <is>
          <t>Milho</t>
        </is>
      </c>
      <c r="G3261" s="7" t="inlineStr">
        <is>
          <t>Cultura Autorizada na Bula</t>
        </is>
      </c>
      <c r="H3261" s="7" t="inlineStr">
        <is>
          <t>100 a 300 L/ha</t>
        </is>
      </c>
      <c r="I3261" s="7" t="inlineStr">
        <is>
          <t>20 a 40 L/ha</t>
        </is>
      </c>
      <c r="J3261" s="7" t="inlineStr">
        <is>
          <t>Isento</t>
        </is>
      </c>
    </row>
    <row r="3262" ht="22" customHeight="1">
      <c r="A3262" s="12" t="inlineStr">
        <is>
          <t>CUL-3258</t>
        </is>
      </c>
      <c r="B3262" s="11" t="n">
        <v>634</v>
      </c>
      <c r="C3262" s="13" t="inlineStr">
        <is>
          <t>SIPEAGRO (UF-XXXXX)</t>
        </is>
      </c>
      <c r="D3262" s="14" t="inlineStr">
        <is>
          <t>BASEK S25</t>
        </is>
      </c>
      <c r="E3262" s="13" t="inlineStr">
        <is>
          <t>Adubação de Solo / Foliar</t>
        </is>
      </c>
      <c r="F3262" s="13" t="inlineStr">
        <is>
          <t>Algodão</t>
        </is>
      </c>
      <c r="G3262" s="13" t="inlineStr">
        <is>
          <t>Cultura Autorizada na Bula</t>
        </is>
      </c>
      <c r="H3262" s="13" t="inlineStr">
        <is>
          <t>100 a 300 L/ha</t>
        </is>
      </c>
      <c r="I3262" s="13" t="inlineStr">
        <is>
          <t>20 a 40 L/ha</t>
        </is>
      </c>
      <c r="J3262" s="13" t="inlineStr">
        <is>
          <t>Isento</t>
        </is>
      </c>
    </row>
    <row r="3263" ht="22" customHeight="1">
      <c r="A3263" s="6" t="inlineStr">
        <is>
          <t>CUL-3259</t>
        </is>
      </c>
      <c r="B3263" s="5" t="n">
        <v>634</v>
      </c>
      <c r="C3263" s="7" t="inlineStr">
        <is>
          <t>SIPEAGRO (UF-XXXXX)</t>
        </is>
      </c>
      <c r="D3263" s="8" t="inlineStr">
        <is>
          <t>BASEK S25</t>
        </is>
      </c>
      <c r="E3263" s="7" t="inlineStr">
        <is>
          <t>Adubação de Solo / Foliar</t>
        </is>
      </c>
      <c r="F3263" s="7" t="inlineStr">
        <is>
          <t>Cana-de-açúcar</t>
        </is>
      </c>
      <c r="G3263" s="7" t="inlineStr">
        <is>
          <t>Cultura Autorizada na Bula</t>
        </is>
      </c>
      <c r="H3263" s="7" t="inlineStr">
        <is>
          <t>100 a 300 L/ha</t>
        </is>
      </c>
      <c r="I3263" s="7" t="inlineStr">
        <is>
          <t>20 a 40 L/ha</t>
        </is>
      </c>
      <c r="J3263" s="7" t="inlineStr">
        <is>
          <t>Isento</t>
        </is>
      </c>
    </row>
    <row r="3264" ht="22" customHeight="1">
      <c r="A3264" s="12" t="inlineStr">
        <is>
          <t>CUL-3260</t>
        </is>
      </c>
      <c r="B3264" s="11" t="n">
        <v>634</v>
      </c>
      <c r="C3264" s="13" t="inlineStr">
        <is>
          <t>SIPEAGRO (UF-XXXXX)</t>
        </is>
      </c>
      <c r="D3264" s="14" t="inlineStr">
        <is>
          <t>BASEK S25</t>
        </is>
      </c>
      <c r="E3264" s="13" t="inlineStr">
        <is>
          <t>Adubação de Solo / Foliar</t>
        </is>
      </c>
      <c r="F3264" s="13" t="inlineStr">
        <is>
          <t>Café</t>
        </is>
      </c>
      <c r="G3264" s="13" t="inlineStr">
        <is>
          <t>Cultura Autorizada na Bula</t>
        </is>
      </c>
      <c r="H3264" s="13" t="inlineStr">
        <is>
          <t>100 a 300 L/ha</t>
        </is>
      </c>
      <c r="I3264" s="13" t="inlineStr">
        <is>
          <t>20 a 40 L/ha</t>
        </is>
      </c>
      <c r="J3264" s="13" t="inlineStr">
        <is>
          <t>Isento</t>
        </is>
      </c>
    </row>
    <row r="3265" ht="22" customHeight="1">
      <c r="A3265" s="6" t="inlineStr">
        <is>
          <t>CUL-3261</t>
        </is>
      </c>
      <c r="B3265" s="5" t="n">
        <v>635</v>
      </c>
      <c r="C3265" s="7" t="inlineStr">
        <is>
          <t>Nº 44024</t>
        </is>
      </c>
      <c r="D3265" s="8" t="inlineStr">
        <is>
          <t>BIOKILLER</t>
        </is>
      </c>
      <c r="E3265" s="7" t="inlineStr">
        <is>
          <t>Pulverização Agrícola Conforme Bula</t>
        </is>
      </c>
      <c r="F3265" s="7" t="inlineStr">
        <is>
          <t>Todas as Culturas (Alvo Biológico Autorizado MAPA)</t>
        </is>
      </c>
      <c r="G3265" s="7" t="inlineStr">
        <is>
          <t>Cultura Autorizada na Bula</t>
        </is>
      </c>
      <c r="H3265" s="7" t="inlineStr">
        <is>
          <t>100 a 300 L/ha</t>
        </is>
      </c>
      <c r="I3265" s="7" t="inlineStr">
        <is>
          <t>20 a 40 L/ha</t>
        </is>
      </c>
      <c r="J3265" s="7" t="inlineStr">
        <is>
          <t>0 (Isento de Carência)</t>
        </is>
      </c>
    </row>
    <row r="3266" ht="22" customHeight="1">
      <c r="A3266" s="12" t="inlineStr">
        <is>
          <t>CUL-3262</t>
        </is>
      </c>
      <c r="B3266" s="11" t="n">
        <v>636</v>
      </c>
      <c r="C3266" s="13" t="inlineStr">
        <is>
          <t>Nº 13019</t>
        </is>
      </c>
      <c r="D3266" s="14" t="inlineStr">
        <is>
          <t>CONVENCE FS</t>
        </is>
      </c>
      <c r="E3266" s="13" t="inlineStr">
        <is>
          <t>Tratamento de Sementes / Sulco</t>
        </is>
      </c>
      <c r="F3266" s="13" t="inlineStr">
        <is>
          <t>Soja (Trat. Sementes / Sulco)</t>
        </is>
      </c>
      <c r="G3266" s="13" t="inlineStr">
        <is>
          <t>Cultura Autorizada na Bula</t>
        </is>
      </c>
      <c r="H3266" s="13" t="inlineStr">
        <is>
          <t>Calda TS (0,2 a 0,6 L/100kg sem.)</t>
        </is>
      </c>
      <c r="I3266" s="13" t="inlineStr">
        <is>
          <t>Não Autorizada (TS)</t>
        </is>
      </c>
      <c r="J3266" s="13" t="inlineStr">
        <is>
          <t>N/D</t>
        </is>
      </c>
    </row>
    <row r="3267" ht="22" customHeight="1">
      <c r="A3267" s="6" t="inlineStr">
        <is>
          <t>CUL-3263</t>
        </is>
      </c>
      <c r="B3267" s="5" t="n">
        <v>636</v>
      </c>
      <c r="C3267" s="7" t="inlineStr">
        <is>
          <t>Nº 13019</t>
        </is>
      </c>
      <c r="D3267" s="8" t="inlineStr">
        <is>
          <t>CONVENCE FS</t>
        </is>
      </c>
      <c r="E3267" s="7" t="inlineStr">
        <is>
          <t>Tratamento de Sementes / Sulco</t>
        </is>
      </c>
      <c r="F3267" s="7" t="inlineStr">
        <is>
          <t>Milho (Trat. Sementes)</t>
        </is>
      </c>
      <c r="G3267" s="7" t="inlineStr">
        <is>
          <t>Cultura Autorizada na Bula</t>
        </is>
      </c>
      <c r="H3267" s="7" t="inlineStr">
        <is>
          <t>Calda TS (0,2 a 0,6 L/100kg sem.)</t>
        </is>
      </c>
      <c r="I3267" s="7" t="inlineStr">
        <is>
          <t>Não Autorizada (TS)</t>
        </is>
      </c>
      <c r="J3267" s="7" t="inlineStr">
        <is>
          <t>N/D</t>
        </is>
      </c>
    </row>
    <row r="3268" ht="22" customHeight="1">
      <c r="A3268" s="12" t="inlineStr">
        <is>
          <t>CUL-3264</t>
        </is>
      </c>
      <c r="B3268" s="11" t="n">
        <v>636</v>
      </c>
      <c r="C3268" s="13" t="inlineStr">
        <is>
          <t>Nº 13019</t>
        </is>
      </c>
      <c r="D3268" s="14" t="inlineStr">
        <is>
          <t>CONVENCE FS</t>
        </is>
      </c>
      <c r="E3268" s="13" t="inlineStr">
        <is>
          <t>Tratamento de Sementes / Sulco</t>
        </is>
      </c>
      <c r="F3268" s="13" t="inlineStr">
        <is>
          <t>Algodão</t>
        </is>
      </c>
      <c r="G3268" s="13" t="inlineStr">
        <is>
          <t>Cultura Autorizada na Bula</t>
        </is>
      </c>
      <c r="H3268" s="13" t="inlineStr">
        <is>
          <t>Calda TS (0,2 a 0,6 L/100kg sem.)</t>
        </is>
      </c>
      <c r="I3268" s="13" t="inlineStr">
        <is>
          <t>Não Autorizada (TS)</t>
        </is>
      </c>
      <c r="J3268" s="13" t="inlineStr">
        <is>
          <t>N/D</t>
        </is>
      </c>
    </row>
    <row r="3269" ht="22" customHeight="1">
      <c r="A3269" s="6" t="inlineStr">
        <is>
          <t>CUL-3265</t>
        </is>
      </c>
      <c r="B3269" s="5" t="n">
        <v>636</v>
      </c>
      <c r="C3269" s="7" t="inlineStr">
        <is>
          <t>Nº 13019</t>
        </is>
      </c>
      <c r="D3269" s="8" t="inlineStr">
        <is>
          <t>CONVENCE FS</t>
        </is>
      </c>
      <c r="E3269" s="7" t="inlineStr">
        <is>
          <t>Tratamento de Sementes / Sulco</t>
        </is>
      </c>
      <c r="F3269" s="7" t="inlineStr">
        <is>
          <t>Cana-de-açúcar (Sulco)</t>
        </is>
      </c>
      <c r="G3269" s="7" t="inlineStr">
        <is>
          <t>Cultura Autorizada na Bula</t>
        </is>
      </c>
      <c r="H3269" s="7" t="inlineStr">
        <is>
          <t>Calda TS (0,2 a 0,6 L/100kg sem.)</t>
        </is>
      </c>
      <c r="I3269" s="7" t="inlineStr">
        <is>
          <t>Não Autorizada (TS)</t>
        </is>
      </c>
      <c r="J3269" s="7" t="inlineStr">
        <is>
          <t>N/D</t>
        </is>
      </c>
    </row>
    <row r="3270" ht="22" customHeight="1">
      <c r="A3270" s="12" t="inlineStr">
        <is>
          <t>CUL-3266</t>
        </is>
      </c>
      <c r="B3270" s="11" t="n">
        <v>636</v>
      </c>
      <c r="C3270" s="13" t="inlineStr">
        <is>
          <t>Nº 13019</t>
        </is>
      </c>
      <c r="D3270" s="14" t="inlineStr">
        <is>
          <t>CONVENCE FS</t>
        </is>
      </c>
      <c r="E3270" s="13" t="inlineStr">
        <is>
          <t>Tratamento de Sementes / Sulco</t>
        </is>
      </c>
      <c r="F3270" s="13" t="inlineStr">
        <is>
          <t>Arroz</t>
        </is>
      </c>
      <c r="G3270" s="13" t="inlineStr">
        <is>
          <t>Cultura Autorizada na Bula</t>
        </is>
      </c>
      <c r="H3270" s="13" t="inlineStr">
        <is>
          <t>Calda TS (0,2 a 0,6 L/100kg sem.)</t>
        </is>
      </c>
      <c r="I3270" s="13" t="inlineStr">
        <is>
          <t>Não Autorizada (TS)</t>
        </is>
      </c>
      <c r="J3270" s="13" t="inlineStr">
        <is>
          <t>N/D</t>
        </is>
      </c>
    </row>
    <row r="3271" ht="22" customHeight="1">
      <c r="A3271" s="6" t="inlineStr">
        <is>
          <t>CUL-3267</t>
        </is>
      </c>
      <c r="B3271" s="5" t="n">
        <v>636</v>
      </c>
      <c r="C3271" s="7" t="inlineStr">
        <is>
          <t>Nº 13019</t>
        </is>
      </c>
      <c r="D3271" s="8" t="inlineStr">
        <is>
          <t>CONVENCE FS</t>
        </is>
      </c>
      <c r="E3271" s="7" t="inlineStr">
        <is>
          <t>Tratamento de Sementes / Sulco</t>
        </is>
      </c>
      <c r="F3271" s="7" t="inlineStr">
        <is>
          <t>Feijão</t>
        </is>
      </c>
      <c r="G3271" s="7" t="inlineStr">
        <is>
          <t>Cultura Autorizada na Bula</t>
        </is>
      </c>
      <c r="H3271" s="7" t="inlineStr">
        <is>
          <t>Calda TS (0,2 a 0,6 L/100kg sem.)</t>
        </is>
      </c>
      <c r="I3271" s="7" t="inlineStr">
        <is>
          <t>Não Autorizada (TS)</t>
        </is>
      </c>
      <c r="J3271" s="7" t="inlineStr">
        <is>
          <t>N/D</t>
        </is>
      </c>
    </row>
    <row r="3272" ht="22" customHeight="1">
      <c r="A3272" s="12" t="inlineStr">
        <is>
          <t>CUL-3268</t>
        </is>
      </c>
      <c r="B3272" s="11" t="n">
        <v>636</v>
      </c>
      <c r="C3272" s="13" t="inlineStr">
        <is>
          <t>Nº 13019</t>
        </is>
      </c>
      <c r="D3272" s="14" t="inlineStr">
        <is>
          <t>CONVENCE FS</t>
        </is>
      </c>
      <c r="E3272" s="13" t="inlineStr">
        <is>
          <t>Tratamento de Sementes / Sulco</t>
        </is>
      </c>
      <c r="F3272" s="13" t="inlineStr">
        <is>
          <t>Pastagens</t>
        </is>
      </c>
      <c r="G3272" s="13" t="inlineStr">
        <is>
          <t>Cultura Autorizada na Bula</t>
        </is>
      </c>
      <c r="H3272" s="13" t="inlineStr">
        <is>
          <t>Calda TS (0,2 a 0,6 L/100kg sem.)</t>
        </is>
      </c>
      <c r="I3272" s="13" t="inlineStr">
        <is>
          <t>Não Autorizada (TS)</t>
        </is>
      </c>
      <c r="J3272" s="13" t="inlineStr">
        <is>
          <t>N/D</t>
        </is>
      </c>
    </row>
    <row r="3273" ht="22" customHeight="1">
      <c r="A3273" s="6" t="inlineStr">
        <is>
          <t>CUL-3269</t>
        </is>
      </c>
      <c r="B3273" s="5" t="n">
        <v>636</v>
      </c>
      <c r="C3273" s="7" t="inlineStr">
        <is>
          <t>Nº 13019</t>
        </is>
      </c>
      <c r="D3273" s="8" t="inlineStr">
        <is>
          <t>CONVENCE FS</t>
        </is>
      </c>
      <c r="E3273" s="7" t="inlineStr">
        <is>
          <t>Tratamento de Sementes / Sulco</t>
        </is>
      </c>
      <c r="F3273" s="7" t="inlineStr">
        <is>
          <t>Trigo</t>
        </is>
      </c>
      <c r="G3273" s="7" t="inlineStr">
        <is>
          <t>Cultura Autorizada na Bula</t>
        </is>
      </c>
      <c r="H3273" s="7" t="inlineStr">
        <is>
          <t>Calda TS (0,2 a 0,6 L/100kg sem.)</t>
        </is>
      </c>
      <c r="I3273" s="7" t="inlineStr">
        <is>
          <t>Não Autorizada (TS)</t>
        </is>
      </c>
      <c r="J3273" s="7" t="inlineStr">
        <is>
          <t>N/D</t>
        </is>
      </c>
    </row>
    <row r="3274" ht="22" customHeight="1">
      <c r="A3274" s="12" t="inlineStr">
        <is>
          <t>CUL-3270</t>
        </is>
      </c>
      <c r="B3274" s="11" t="n">
        <v>637</v>
      </c>
      <c r="C3274" s="13" t="inlineStr">
        <is>
          <t>SIPEAGRO (UF-XXXXX)</t>
        </is>
      </c>
      <c r="D3274" s="14" t="inlineStr">
        <is>
          <t>MANGANES 10%</t>
        </is>
      </c>
      <c r="E3274" s="13" t="inlineStr">
        <is>
          <t>Adubação de Solo / Foliar</t>
        </is>
      </c>
      <c r="F3274" s="13" t="inlineStr">
        <is>
          <t>Soja</t>
        </is>
      </c>
      <c r="G3274" s="13" t="inlineStr">
        <is>
          <t>Cultura Autorizada na Bula</t>
        </is>
      </c>
      <c r="H3274" s="13" t="inlineStr">
        <is>
          <t>100 a 300 L/ha</t>
        </is>
      </c>
      <c r="I3274" s="13" t="inlineStr">
        <is>
          <t>20 a 40 L/ha</t>
        </is>
      </c>
      <c r="J3274" s="13" t="inlineStr">
        <is>
          <t>Isento</t>
        </is>
      </c>
    </row>
    <row r="3275" ht="22" customHeight="1">
      <c r="A3275" s="6" t="inlineStr">
        <is>
          <t>CUL-3271</t>
        </is>
      </c>
      <c r="B3275" s="5" t="n">
        <v>637</v>
      </c>
      <c r="C3275" s="7" t="inlineStr">
        <is>
          <t>SIPEAGRO (UF-XXXXX)</t>
        </is>
      </c>
      <c r="D3275" s="8" t="inlineStr">
        <is>
          <t>MANGANES 10%</t>
        </is>
      </c>
      <c r="E3275" s="7" t="inlineStr">
        <is>
          <t>Adubação de Solo / Foliar</t>
        </is>
      </c>
      <c r="F3275" s="7" t="inlineStr">
        <is>
          <t>Milho</t>
        </is>
      </c>
      <c r="G3275" s="7" t="inlineStr">
        <is>
          <t>Cultura Autorizada na Bula</t>
        </is>
      </c>
      <c r="H3275" s="7" t="inlineStr">
        <is>
          <t>100 a 300 L/ha</t>
        </is>
      </c>
      <c r="I3275" s="7" t="inlineStr">
        <is>
          <t>20 a 40 L/ha</t>
        </is>
      </c>
      <c r="J3275" s="7" t="inlineStr">
        <is>
          <t>Isento</t>
        </is>
      </c>
    </row>
    <row r="3276" ht="22" customHeight="1">
      <c r="A3276" s="12" t="inlineStr">
        <is>
          <t>CUL-3272</t>
        </is>
      </c>
      <c r="B3276" s="11" t="n">
        <v>637</v>
      </c>
      <c r="C3276" s="13" t="inlineStr">
        <is>
          <t>SIPEAGRO (UF-XXXXX)</t>
        </is>
      </c>
      <c r="D3276" s="14" t="inlineStr">
        <is>
          <t>MANGANES 10%</t>
        </is>
      </c>
      <c r="E3276" s="13" t="inlineStr">
        <is>
          <t>Adubação de Solo / Foliar</t>
        </is>
      </c>
      <c r="F3276" s="13" t="inlineStr">
        <is>
          <t>Algodão</t>
        </is>
      </c>
      <c r="G3276" s="13" t="inlineStr">
        <is>
          <t>Cultura Autorizada na Bula</t>
        </is>
      </c>
      <c r="H3276" s="13" t="inlineStr">
        <is>
          <t>100 a 300 L/ha</t>
        </is>
      </c>
      <c r="I3276" s="13" t="inlineStr">
        <is>
          <t>20 a 40 L/ha</t>
        </is>
      </c>
      <c r="J3276" s="13" t="inlineStr">
        <is>
          <t>Isento</t>
        </is>
      </c>
    </row>
    <row r="3277" ht="22" customHeight="1">
      <c r="A3277" s="6" t="inlineStr">
        <is>
          <t>CUL-3273</t>
        </is>
      </c>
      <c r="B3277" s="5" t="n">
        <v>637</v>
      </c>
      <c r="C3277" s="7" t="inlineStr">
        <is>
          <t>SIPEAGRO (UF-XXXXX)</t>
        </is>
      </c>
      <c r="D3277" s="8" t="inlineStr">
        <is>
          <t>MANGANES 10%</t>
        </is>
      </c>
      <c r="E3277" s="7" t="inlineStr">
        <is>
          <t>Adubação de Solo / Foliar</t>
        </is>
      </c>
      <c r="F3277" s="7" t="inlineStr">
        <is>
          <t>Cana-de-açúcar</t>
        </is>
      </c>
      <c r="G3277" s="7" t="inlineStr">
        <is>
          <t>Cultura Autorizada na Bula</t>
        </is>
      </c>
      <c r="H3277" s="7" t="inlineStr">
        <is>
          <t>100 a 300 L/ha</t>
        </is>
      </c>
      <c r="I3277" s="7" t="inlineStr">
        <is>
          <t>20 a 40 L/ha</t>
        </is>
      </c>
      <c r="J3277" s="7" t="inlineStr">
        <is>
          <t>Isento</t>
        </is>
      </c>
    </row>
    <row r="3278" ht="22" customHeight="1">
      <c r="A3278" s="12" t="inlineStr">
        <is>
          <t>CUL-3274</t>
        </is>
      </c>
      <c r="B3278" s="11" t="n">
        <v>637</v>
      </c>
      <c r="C3278" s="13" t="inlineStr">
        <is>
          <t>SIPEAGRO (UF-XXXXX)</t>
        </is>
      </c>
      <c r="D3278" s="14" t="inlineStr">
        <is>
          <t>MANGANES 10%</t>
        </is>
      </c>
      <c r="E3278" s="13" t="inlineStr">
        <is>
          <t>Adubação de Solo / Foliar</t>
        </is>
      </c>
      <c r="F3278" s="13" t="inlineStr">
        <is>
          <t>Café</t>
        </is>
      </c>
      <c r="G3278" s="13" t="inlineStr">
        <is>
          <t>Cultura Autorizada na Bula</t>
        </is>
      </c>
      <c r="H3278" s="13" t="inlineStr">
        <is>
          <t>100 a 300 L/ha</t>
        </is>
      </c>
      <c r="I3278" s="13" t="inlineStr">
        <is>
          <t>20 a 40 L/ha</t>
        </is>
      </c>
      <c r="J3278" s="13" t="inlineStr">
        <is>
          <t>Isento</t>
        </is>
      </c>
    </row>
    <row r="3279" ht="22" customHeight="1">
      <c r="A3279" s="6" t="inlineStr">
        <is>
          <t>CUL-3275</t>
        </is>
      </c>
      <c r="B3279" s="5" t="n">
        <v>638</v>
      </c>
      <c r="C3279" s="7" t="inlineStr">
        <is>
          <t>Nº 1393</t>
        </is>
      </c>
      <c r="D3279" s="8" t="inlineStr">
        <is>
          <t>NOMOLT 150</t>
        </is>
      </c>
      <c r="E3279" s="7" t="inlineStr">
        <is>
          <t>Pulverização Agrícola Conforme Bula</t>
        </is>
      </c>
      <c r="F3279" s="7" t="inlineStr">
        <is>
          <t>Soja</t>
        </is>
      </c>
      <c r="G3279" s="7" t="inlineStr">
        <is>
          <t>Cultura Autorizada na Bula</t>
        </is>
      </c>
      <c r="H3279" s="7" t="inlineStr">
        <is>
          <t>100 a 300 L/ha</t>
        </is>
      </c>
      <c r="I3279" s="7" t="inlineStr">
        <is>
          <t>20 a 40 L/ha</t>
        </is>
      </c>
      <c r="J3279" s="7" t="inlineStr">
        <is>
          <t>21 dias</t>
        </is>
      </c>
    </row>
    <row r="3280" ht="22" customHeight="1">
      <c r="A3280" s="12" t="inlineStr">
        <is>
          <t>CUL-3276</t>
        </is>
      </c>
      <c r="B3280" s="11" t="n">
        <v>638</v>
      </c>
      <c r="C3280" s="13" t="inlineStr">
        <is>
          <t>Nº 1393</t>
        </is>
      </c>
      <c r="D3280" s="14" t="inlineStr">
        <is>
          <t>NOMOLT 150</t>
        </is>
      </c>
      <c r="E3280" s="13" t="inlineStr">
        <is>
          <t>Pulverização Agrícola Conforme Bula</t>
        </is>
      </c>
      <c r="F3280" s="13" t="inlineStr">
        <is>
          <t>Milho</t>
        </is>
      </c>
      <c r="G3280" s="13" t="inlineStr">
        <is>
          <t>Cultura Autorizada na Bula</t>
        </is>
      </c>
      <c r="H3280" s="13" t="inlineStr">
        <is>
          <t>100 a 300 L/ha</t>
        </is>
      </c>
      <c r="I3280" s="13" t="inlineStr">
        <is>
          <t>20 a 40 L/ha</t>
        </is>
      </c>
      <c r="J3280" s="13" t="inlineStr">
        <is>
          <t>21 dias</t>
        </is>
      </c>
    </row>
    <row r="3281" ht="22" customHeight="1">
      <c r="A3281" s="6" t="inlineStr">
        <is>
          <t>CUL-3277</t>
        </is>
      </c>
      <c r="B3281" s="5" t="n">
        <v>638</v>
      </c>
      <c r="C3281" s="7" t="inlineStr">
        <is>
          <t>Nº 1393</t>
        </is>
      </c>
      <c r="D3281" s="8" t="inlineStr">
        <is>
          <t>NOMOLT 150</t>
        </is>
      </c>
      <c r="E3281" s="7" t="inlineStr">
        <is>
          <t>Pulverização Agrícola Conforme Bula</t>
        </is>
      </c>
      <c r="F3281" s="7" t="inlineStr">
        <is>
          <t>Algodão</t>
        </is>
      </c>
      <c r="G3281" s="7" t="inlineStr">
        <is>
          <t>Cultura Autorizada na Bula</t>
        </is>
      </c>
      <c r="H3281" s="7" t="inlineStr">
        <is>
          <t>100 a 300 L/ha</t>
        </is>
      </c>
      <c r="I3281" s="7" t="inlineStr">
        <is>
          <t>20 a 40 L/ha</t>
        </is>
      </c>
      <c r="J3281" s="7" t="inlineStr">
        <is>
          <t>21 dias</t>
        </is>
      </c>
    </row>
    <row r="3282" ht="22" customHeight="1">
      <c r="A3282" s="12" t="inlineStr">
        <is>
          <t>CUL-3278</t>
        </is>
      </c>
      <c r="B3282" s="11" t="n">
        <v>638</v>
      </c>
      <c r="C3282" s="13" t="inlineStr">
        <is>
          <t>Nº 1393</t>
        </is>
      </c>
      <c r="D3282" s="14" t="inlineStr">
        <is>
          <t>NOMOLT 150</t>
        </is>
      </c>
      <c r="E3282" s="13" t="inlineStr">
        <is>
          <t>Pulverização Agrícola Conforme Bula</t>
        </is>
      </c>
      <c r="F3282" s="13" t="inlineStr">
        <is>
          <t>Feijão</t>
        </is>
      </c>
      <c r="G3282" s="13" t="inlineStr">
        <is>
          <t>Cultura Autorizada na Bula</t>
        </is>
      </c>
      <c r="H3282" s="13" t="inlineStr">
        <is>
          <t>100 a 300 L/ha</t>
        </is>
      </c>
      <c r="I3282" s="13" t="inlineStr">
        <is>
          <t>20 a 40 L/ha</t>
        </is>
      </c>
      <c r="J3282" s="13" t="inlineStr">
        <is>
          <t>14 dias</t>
        </is>
      </c>
    </row>
    <row r="3283" ht="22" customHeight="1">
      <c r="A3283" s="6" t="inlineStr">
        <is>
          <t>CUL-3279</t>
        </is>
      </c>
      <c r="B3283" s="5" t="n">
        <v>639</v>
      </c>
      <c r="C3283" s="7" t="inlineStr">
        <is>
          <t>SIPEAGRO (UF-XXXXX)</t>
        </is>
      </c>
      <c r="D3283" s="8" t="inlineStr">
        <is>
          <t>STARKE</t>
        </is>
      </c>
      <c r="E3283" s="7" t="inlineStr">
        <is>
          <t>Adubação de Solo / Foliar</t>
        </is>
      </c>
      <c r="F3283" s="7" t="inlineStr">
        <is>
          <t>Soja</t>
        </is>
      </c>
      <c r="G3283" s="7" t="inlineStr">
        <is>
          <t>Cultura Autorizada na Bula</t>
        </is>
      </c>
      <c r="H3283" s="7" t="inlineStr">
        <is>
          <t>100 a 300 L/ha</t>
        </is>
      </c>
      <c r="I3283" s="7" t="inlineStr">
        <is>
          <t>20 a 40 L/ha</t>
        </is>
      </c>
      <c r="J3283" s="7" t="inlineStr">
        <is>
          <t>Isento</t>
        </is>
      </c>
    </row>
    <row r="3284" ht="22" customHeight="1">
      <c r="A3284" s="12" t="inlineStr">
        <is>
          <t>CUL-3280</t>
        </is>
      </c>
      <c r="B3284" s="11" t="n">
        <v>639</v>
      </c>
      <c r="C3284" s="13" t="inlineStr">
        <is>
          <t>SIPEAGRO (UF-XXXXX)</t>
        </is>
      </c>
      <c r="D3284" s="14" t="inlineStr">
        <is>
          <t>STARKE</t>
        </is>
      </c>
      <c r="E3284" s="13" t="inlineStr">
        <is>
          <t>Adubação de Solo / Foliar</t>
        </is>
      </c>
      <c r="F3284" s="13" t="inlineStr">
        <is>
          <t>Milho</t>
        </is>
      </c>
      <c r="G3284" s="13" t="inlineStr">
        <is>
          <t>Cultura Autorizada na Bula</t>
        </is>
      </c>
      <c r="H3284" s="13" t="inlineStr">
        <is>
          <t>100 a 300 L/ha</t>
        </is>
      </c>
      <c r="I3284" s="13" t="inlineStr">
        <is>
          <t>20 a 40 L/ha</t>
        </is>
      </c>
      <c r="J3284" s="13" t="inlineStr">
        <is>
          <t>Isento</t>
        </is>
      </c>
    </row>
    <row r="3285" ht="22" customHeight="1">
      <c r="A3285" s="6" t="inlineStr">
        <is>
          <t>CUL-3281</t>
        </is>
      </c>
      <c r="B3285" s="5" t="n">
        <v>639</v>
      </c>
      <c r="C3285" s="7" t="inlineStr">
        <is>
          <t>SIPEAGRO (UF-XXXXX)</t>
        </is>
      </c>
      <c r="D3285" s="8" t="inlineStr">
        <is>
          <t>STARKE</t>
        </is>
      </c>
      <c r="E3285" s="7" t="inlineStr">
        <is>
          <t>Adubação de Solo / Foliar</t>
        </is>
      </c>
      <c r="F3285" s="7" t="inlineStr">
        <is>
          <t>Algodão</t>
        </is>
      </c>
      <c r="G3285" s="7" t="inlineStr">
        <is>
          <t>Cultura Autorizada na Bula</t>
        </is>
      </c>
      <c r="H3285" s="7" t="inlineStr">
        <is>
          <t>100 a 300 L/ha</t>
        </is>
      </c>
      <c r="I3285" s="7" t="inlineStr">
        <is>
          <t>20 a 40 L/ha</t>
        </is>
      </c>
      <c r="J3285" s="7" t="inlineStr">
        <is>
          <t>Isento</t>
        </is>
      </c>
    </row>
    <row r="3286" ht="22" customHeight="1">
      <c r="A3286" s="12" t="inlineStr">
        <is>
          <t>CUL-3282</t>
        </is>
      </c>
      <c r="B3286" s="11" t="n">
        <v>639</v>
      </c>
      <c r="C3286" s="13" t="inlineStr">
        <is>
          <t>SIPEAGRO (UF-XXXXX)</t>
        </is>
      </c>
      <c r="D3286" s="14" t="inlineStr">
        <is>
          <t>STARKE</t>
        </is>
      </c>
      <c r="E3286" s="13" t="inlineStr">
        <is>
          <t>Adubação de Solo / Foliar</t>
        </is>
      </c>
      <c r="F3286" s="13" t="inlineStr">
        <is>
          <t>Cana-de-açúcar</t>
        </is>
      </c>
      <c r="G3286" s="13" t="inlineStr">
        <is>
          <t>Cultura Autorizada na Bula</t>
        </is>
      </c>
      <c r="H3286" s="13" t="inlineStr">
        <is>
          <t>100 a 300 L/ha</t>
        </is>
      </c>
      <c r="I3286" s="13" t="inlineStr">
        <is>
          <t>20 a 40 L/ha</t>
        </is>
      </c>
      <c r="J3286" s="13" t="inlineStr">
        <is>
          <t>Isento</t>
        </is>
      </c>
    </row>
    <row r="3287" ht="22" customHeight="1">
      <c r="A3287" s="6" t="inlineStr">
        <is>
          <t>CUL-3283</t>
        </is>
      </c>
      <c r="B3287" s="5" t="n">
        <v>639</v>
      </c>
      <c r="C3287" s="7" t="inlineStr">
        <is>
          <t>SIPEAGRO (UF-XXXXX)</t>
        </is>
      </c>
      <c r="D3287" s="8" t="inlineStr">
        <is>
          <t>STARKE</t>
        </is>
      </c>
      <c r="E3287" s="7" t="inlineStr">
        <is>
          <t>Adubação de Solo / Foliar</t>
        </is>
      </c>
      <c r="F3287" s="7" t="inlineStr">
        <is>
          <t>Café</t>
        </is>
      </c>
      <c r="G3287" s="7" t="inlineStr">
        <is>
          <t>Cultura Autorizada na Bula</t>
        </is>
      </c>
      <c r="H3287" s="7" t="inlineStr">
        <is>
          <t>100 a 300 L/ha</t>
        </is>
      </c>
      <c r="I3287" s="7" t="inlineStr">
        <is>
          <t>20 a 40 L/ha</t>
        </is>
      </c>
      <c r="J3287" s="7" t="inlineStr">
        <is>
          <t>Isento</t>
        </is>
      </c>
    </row>
    <row r="3288" ht="22" customHeight="1">
      <c r="A3288" s="12" t="inlineStr">
        <is>
          <t>CUL-3284</t>
        </is>
      </c>
      <c r="B3288" s="11" t="n">
        <v>640</v>
      </c>
      <c r="C3288" s="13" t="inlineStr">
        <is>
          <t>Nº 18220</t>
        </is>
      </c>
      <c r="D3288" s="14" t="inlineStr">
        <is>
          <t>TORA</t>
        </is>
      </c>
      <c r="E3288" s="13" t="inlineStr">
        <is>
          <t>Pulverização Agrícola Conforme Bula</t>
        </is>
      </c>
      <c r="F3288" s="13" t="inlineStr">
        <is>
          <t>Soja</t>
        </is>
      </c>
      <c r="G3288" s="13" t="inlineStr">
        <is>
          <t>Cultura Autorizada na Bula</t>
        </is>
      </c>
      <c r="H3288" s="13" t="inlineStr">
        <is>
          <t>100 a 300 L/ha</t>
        </is>
      </c>
      <c r="I3288" s="13" t="inlineStr">
        <is>
          <t>20 a 40 L/ha</t>
        </is>
      </c>
      <c r="J3288" s="13" t="inlineStr">
        <is>
          <t>21 dias</t>
        </is>
      </c>
    </row>
    <row r="3289" ht="22" customHeight="1">
      <c r="A3289" s="6" t="inlineStr">
        <is>
          <t>CUL-3285</t>
        </is>
      </c>
      <c r="B3289" s="5" t="n">
        <v>640</v>
      </c>
      <c r="C3289" s="7" t="inlineStr">
        <is>
          <t>Nº 18220</t>
        </is>
      </c>
      <c r="D3289" s="8" t="inlineStr">
        <is>
          <t>TORA</t>
        </is>
      </c>
      <c r="E3289" s="7" t="inlineStr">
        <is>
          <t>Pulverização Agrícola Conforme Bula</t>
        </is>
      </c>
      <c r="F3289" s="7" t="inlineStr">
        <is>
          <t>Milho</t>
        </is>
      </c>
      <c r="G3289" s="7" t="inlineStr">
        <is>
          <t>Cultura Autorizada na Bula</t>
        </is>
      </c>
      <c r="H3289" s="7" t="inlineStr">
        <is>
          <t>100 a 300 L/ha</t>
        </is>
      </c>
      <c r="I3289" s="7" t="inlineStr">
        <is>
          <t>20 a 40 L/ha</t>
        </is>
      </c>
      <c r="J3289" s="7" t="inlineStr">
        <is>
          <t>21 dias</t>
        </is>
      </c>
    </row>
    <row r="3290" ht="22" customHeight="1">
      <c r="A3290" s="12" t="inlineStr">
        <is>
          <t>CUL-3286</t>
        </is>
      </c>
      <c r="B3290" s="11" t="n">
        <v>640</v>
      </c>
      <c r="C3290" s="13" t="inlineStr">
        <is>
          <t>Nº 18220</t>
        </is>
      </c>
      <c r="D3290" s="14" t="inlineStr">
        <is>
          <t>TORA</t>
        </is>
      </c>
      <c r="E3290" s="13" t="inlineStr">
        <is>
          <t>Pulverização Agrícola Conforme Bula</t>
        </is>
      </c>
      <c r="F3290" s="13" t="inlineStr">
        <is>
          <t>Algodão</t>
        </is>
      </c>
      <c r="G3290" s="13" t="inlineStr">
        <is>
          <t>Cultura Autorizada na Bula</t>
        </is>
      </c>
      <c r="H3290" s="13" t="inlineStr">
        <is>
          <t>100 a 300 L/ha</t>
        </is>
      </c>
      <c r="I3290" s="13" t="inlineStr">
        <is>
          <t>20 a 40 L/ha</t>
        </is>
      </c>
      <c r="J3290" s="13" t="inlineStr">
        <is>
          <t>21 dias</t>
        </is>
      </c>
    </row>
    <row r="3291" ht="22" customHeight="1">
      <c r="A3291" s="6" t="inlineStr">
        <is>
          <t>CUL-3287</t>
        </is>
      </c>
      <c r="B3291" s="5" t="n">
        <v>640</v>
      </c>
      <c r="C3291" s="7" t="inlineStr">
        <is>
          <t>Nº 18220</t>
        </is>
      </c>
      <c r="D3291" s="8" t="inlineStr">
        <is>
          <t>TORA</t>
        </is>
      </c>
      <c r="E3291" s="7" t="inlineStr">
        <is>
          <t>Pulverização Agrícola Conforme Bula</t>
        </is>
      </c>
      <c r="F3291" s="7" t="inlineStr">
        <is>
          <t>Feijão</t>
        </is>
      </c>
      <c r="G3291" s="7" t="inlineStr">
        <is>
          <t>Cultura Autorizada na Bula</t>
        </is>
      </c>
      <c r="H3291" s="7" t="inlineStr">
        <is>
          <t>100 a 300 L/ha</t>
        </is>
      </c>
      <c r="I3291" s="7" t="inlineStr">
        <is>
          <t>20 a 40 L/ha</t>
        </is>
      </c>
      <c r="J3291" s="7" t="inlineStr">
        <is>
          <t>14 dias</t>
        </is>
      </c>
    </row>
    <row r="3292" ht="22" customHeight="1">
      <c r="A3292" s="12" t="inlineStr">
        <is>
          <t>CUL-3288</t>
        </is>
      </c>
      <c r="B3292" s="11" t="n">
        <v>641</v>
      </c>
      <c r="C3292" s="13" t="inlineStr">
        <is>
          <t>Nº 27821</t>
        </is>
      </c>
      <c r="D3292" s="14" t="inlineStr">
        <is>
          <t>PONTUAL</t>
        </is>
      </c>
      <c r="E3292" s="13" t="inlineStr">
        <is>
          <t>Pulverização Agrícola Conforme Bula</t>
        </is>
      </c>
      <c r="F3292" s="13" t="inlineStr">
        <is>
          <t>Soja</t>
        </is>
      </c>
      <c r="G3292" s="13" t="inlineStr">
        <is>
          <t>Cultura Autorizada na Bula</t>
        </is>
      </c>
      <c r="H3292" s="13" t="inlineStr">
        <is>
          <t>100 a 300 L/ha</t>
        </is>
      </c>
      <c r="I3292" s="13" t="inlineStr">
        <is>
          <t>20 a 40 L/ha</t>
        </is>
      </c>
      <c r="J3292" s="13" t="inlineStr">
        <is>
          <t>14 dias</t>
        </is>
      </c>
    </row>
    <row r="3293" ht="22" customHeight="1">
      <c r="A3293" s="6" t="inlineStr">
        <is>
          <t>CUL-3289</t>
        </is>
      </c>
      <c r="B3293" s="5" t="n">
        <v>641</v>
      </c>
      <c r="C3293" s="7" t="inlineStr">
        <is>
          <t>Nº 27821</t>
        </is>
      </c>
      <c r="D3293" s="8" t="inlineStr">
        <is>
          <t>PONTUAL</t>
        </is>
      </c>
      <c r="E3293" s="7" t="inlineStr">
        <is>
          <t>Pulverização Agrícola Conforme Bula</t>
        </is>
      </c>
      <c r="F3293" s="7" t="inlineStr">
        <is>
          <t>Algodão</t>
        </is>
      </c>
      <c r="G3293" s="7" t="inlineStr">
        <is>
          <t>Cultura Autorizada na Bula</t>
        </is>
      </c>
      <c r="H3293" s="7" t="inlineStr">
        <is>
          <t>100 a 300 L/ha</t>
        </is>
      </c>
      <c r="I3293" s="7" t="inlineStr">
        <is>
          <t>20 a 40 L/ha</t>
        </is>
      </c>
      <c r="J3293" s="7" t="inlineStr">
        <is>
          <t>14 dias</t>
        </is>
      </c>
    </row>
    <row r="3294" ht="22" customHeight="1">
      <c r="A3294" s="12" t="inlineStr">
        <is>
          <t>CUL-3290</t>
        </is>
      </c>
      <c r="B3294" s="11" t="n">
        <v>641</v>
      </c>
      <c r="C3294" s="13" t="inlineStr">
        <is>
          <t>Nº 27821</t>
        </is>
      </c>
      <c r="D3294" s="14" t="inlineStr">
        <is>
          <t>PONTUAL</t>
        </is>
      </c>
      <c r="E3294" s="13" t="inlineStr">
        <is>
          <t>Pulverização Agrícola Conforme Bula</t>
        </is>
      </c>
      <c r="F3294" s="13" t="inlineStr">
        <is>
          <t>Feijão</t>
        </is>
      </c>
      <c r="G3294" s="13" t="inlineStr">
        <is>
          <t>Cultura Autorizada na Bula</t>
        </is>
      </c>
      <c r="H3294" s="13" t="inlineStr">
        <is>
          <t>100 a 300 L/ha</t>
        </is>
      </c>
      <c r="I3294" s="13" t="inlineStr">
        <is>
          <t>20 a 40 L/ha</t>
        </is>
      </c>
      <c r="J3294" s="13" t="inlineStr">
        <is>
          <t>14 dias</t>
        </is>
      </c>
    </row>
    <row r="3295" ht="22" customHeight="1">
      <c r="A3295" s="6" t="inlineStr">
        <is>
          <t>CUL-3291</t>
        </is>
      </c>
      <c r="B3295" s="5" t="n">
        <v>641</v>
      </c>
      <c r="C3295" s="7" t="inlineStr">
        <is>
          <t>Nº 27821</t>
        </is>
      </c>
      <c r="D3295" s="8" t="inlineStr">
        <is>
          <t>PONTUAL</t>
        </is>
      </c>
      <c r="E3295" s="7" t="inlineStr">
        <is>
          <t>Pulverização Agrícola Conforme Bula</t>
        </is>
      </c>
      <c r="F3295" s="7" t="inlineStr">
        <is>
          <t>Milho</t>
        </is>
      </c>
      <c r="G3295" s="7" t="inlineStr">
        <is>
          <t>Cultura Autorizada na Bula</t>
        </is>
      </c>
      <c r="H3295" s="7" t="inlineStr">
        <is>
          <t>100 a 300 L/ha</t>
        </is>
      </c>
      <c r="I3295" s="7" t="inlineStr">
        <is>
          <t>20 a 40 L/ha</t>
        </is>
      </c>
      <c r="J3295" s="7" t="inlineStr">
        <is>
          <t>14 dias</t>
        </is>
      </c>
    </row>
    <row r="3296" ht="22" customHeight="1">
      <c r="A3296" s="12" t="inlineStr">
        <is>
          <t>CUL-3292</t>
        </is>
      </c>
      <c r="B3296" s="11" t="n">
        <v>641</v>
      </c>
      <c r="C3296" s="13" t="inlineStr">
        <is>
          <t>Nº 27821</t>
        </is>
      </c>
      <c r="D3296" s="14" t="inlineStr">
        <is>
          <t>PONTUAL</t>
        </is>
      </c>
      <c r="E3296" s="13" t="inlineStr">
        <is>
          <t>Pulverização Agrícola Conforme Bula</t>
        </is>
      </c>
      <c r="F3296" s="13" t="inlineStr">
        <is>
          <t>Trigo</t>
        </is>
      </c>
      <c r="G3296" s="13" t="inlineStr">
        <is>
          <t>Cultura Autorizada na Bula</t>
        </is>
      </c>
      <c r="H3296" s="13" t="inlineStr">
        <is>
          <t>100 a 300 L/ha</t>
        </is>
      </c>
      <c r="I3296" s="13" t="inlineStr">
        <is>
          <t>20 a 40 L/ha</t>
        </is>
      </c>
      <c r="J3296" s="13" t="inlineStr">
        <is>
          <t>30 dias</t>
        </is>
      </c>
    </row>
    <row r="3297" ht="22" customHeight="1">
      <c r="A3297" s="6" t="inlineStr">
        <is>
          <t>CUL-3293</t>
        </is>
      </c>
      <c r="B3297" s="5" t="n">
        <v>641</v>
      </c>
      <c r="C3297" s="7" t="inlineStr">
        <is>
          <t>Nº 27821</t>
        </is>
      </c>
      <c r="D3297" s="8" t="inlineStr">
        <is>
          <t>PONTUAL</t>
        </is>
      </c>
      <c r="E3297" s="7" t="inlineStr">
        <is>
          <t>Pulverização Agrícola Conforme Bula</t>
        </is>
      </c>
      <c r="F3297" s="7" t="inlineStr">
        <is>
          <t>Batata</t>
        </is>
      </c>
      <c r="G3297" s="7" t="inlineStr">
        <is>
          <t>Cultura Autorizada na Bula</t>
        </is>
      </c>
      <c r="H3297" s="7" t="inlineStr">
        <is>
          <t>100 a 300 L/ha</t>
        </is>
      </c>
      <c r="I3297" s="7" t="inlineStr">
        <is>
          <t>20 a 40 L/ha</t>
        </is>
      </c>
      <c r="J3297" s="7" t="inlineStr">
        <is>
          <t>7 dias</t>
        </is>
      </c>
    </row>
    <row r="3298" ht="22" customHeight="1">
      <c r="A3298" s="12" t="inlineStr">
        <is>
          <t>CUL-3294</t>
        </is>
      </c>
      <c r="B3298" s="11" t="n">
        <v>641</v>
      </c>
      <c r="C3298" s="13" t="inlineStr">
        <is>
          <t>Nº 27821</t>
        </is>
      </c>
      <c r="D3298" s="14" t="inlineStr">
        <is>
          <t>PONTUAL</t>
        </is>
      </c>
      <c r="E3298" s="13" t="inlineStr">
        <is>
          <t>Pulverização Agrícola Conforme Bula</t>
        </is>
      </c>
      <c r="F3298" s="13" t="inlineStr">
        <is>
          <t>Café</t>
        </is>
      </c>
      <c r="G3298" s="13" t="inlineStr">
        <is>
          <t>Cultura Autorizada na Bula</t>
        </is>
      </c>
      <c r="H3298" s="13" t="inlineStr">
        <is>
          <t>100 a 300 L/ha</t>
        </is>
      </c>
      <c r="I3298" s="13" t="inlineStr">
        <is>
          <t>20 a 40 L/ha</t>
        </is>
      </c>
      <c r="J3298" s="13" t="inlineStr">
        <is>
          <t>30 dias</t>
        </is>
      </c>
    </row>
    <row r="3299" ht="22" customHeight="1">
      <c r="A3299" s="6" t="inlineStr">
        <is>
          <t>CUL-3295</t>
        </is>
      </c>
      <c r="B3299" s="5" t="n">
        <v>641</v>
      </c>
      <c r="C3299" s="7" t="inlineStr">
        <is>
          <t>Nº 27821</t>
        </is>
      </c>
      <c r="D3299" s="8" t="inlineStr">
        <is>
          <t>PONTUAL</t>
        </is>
      </c>
      <c r="E3299" s="7" t="inlineStr">
        <is>
          <t>Pulverização Agrícola Conforme Bula</t>
        </is>
      </c>
      <c r="F3299" s="7" t="inlineStr">
        <is>
          <t>Tomate</t>
        </is>
      </c>
      <c r="G3299" s="7" t="inlineStr">
        <is>
          <t>Cultura Autorizada na Bula</t>
        </is>
      </c>
      <c r="H3299" s="7" t="inlineStr">
        <is>
          <t>100 a 300 L/ha</t>
        </is>
      </c>
      <c r="I3299" s="7" t="inlineStr">
        <is>
          <t>20 a 40 L/ha</t>
        </is>
      </c>
      <c r="J3299" s="7" t="inlineStr">
        <is>
          <t>7 dias</t>
        </is>
      </c>
    </row>
    <row r="3300" ht="22" customHeight="1">
      <c r="A3300" s="12" t="inlineStr">
        <is>
          <t>CUL-3296</t>
        </is>
      </c>
      <c r="B3300" s="11" t="n">
        <v>642</v>
      </c>
      <c r="C3300" s="13" t="inlineStr">
        <is>
          <t>SIPEAGRO (UF-XXXXX)</t>
        </is>
      </c>
      <c r="D3300" s="14" t="inlineStr">
        <is>
          <t>RESISTANCE TM</t>
        </is>
      </c>
      <c r="E3300" s="13" t="inlineStr">
        <is>
          <t>Adubação de Solo / Foliar</t>
        </is>
      </c>
      <c r="F3300" s="13" t="inlineStr">
        <is>
          <t>Soja</t>
        </is>
      </c>
      <c r="G3300" s="13" t="inlineStr">
        <is>
          <t>Cultura Autorizada na Bula</t>
        </is>
      </c>
      <c r="H3300" s="13" t="inlineStr">
        <is>
          <t>100 a 300 L/ha</t>
        </is>
      </c>
      <c r="I3300" s="13" t="inlineStr">
        <is>
          <t>20 a 40 L/ha</t>
        </is>
      </c>
      <c r="J3300" s="13" t="inlineStr">
        <is>
          <t>Isento</t>
        </is>
      </c>
    </row>
    <row r="3301" ht="22" customHeight="1">
      <c r="A3301" s="6" t="inlineStr">
        <is>
          <t>CUL-3297</t>
        </is>
      </c>
      <c r="B3301" s="5" t="n">
        <v>642</v>
      </c>
      <c r="C3301" s="7" t="inlineStr">
        <is>
          <t>SIPEAGRO (UF-XXXXX)</t>
        </is>
      </c>
      <c r="D3301" s="8" t="inlineStr">
        <is>
          <t>RESISTANCE TM</t>
        </is>
      </c>
      <c r="E3301" s="7" t="inlineStr">
        <is>
          <t>Adubação de Solo / Foliar</t>
        </is>
      </c>
      <c r="F3301" s="7" t="inlineStr">
        <is>
          <t>Milho</t>
        </is>
      </c>
      <c r="G3301" s="7" t="inlineStr">
        <is>
          <t>Cultura Autorizada na Bula</t>
        </is>
      </c>
      <c r="H3301" s="7" t="inlineStr">
        <is>
          <t>100 a 300 L/ha</t>
        </is>
      </c>
      <c r="I3301" s="7" t="inlineStr">
        <is>
          <t>20 a 40 L/ha</t>
        </is>
      </c>
      <c r="J3301" s="7" t="inlineStr">
        <is>
          <t>Isento</t>
        </is>
      </c>
    </row>
    <row r="3302" ht="22" customHeight="1">
      <c r="A3302" s="12" t="inlineStr">
        <is>
          <t>CUL-3298</t>
        </is>
      </c>
      <c r="B3302" s="11" t="n">
        <v>642</v>
      </c>
      <c r="C3302" s="13" t="inlineStr">
        <is>
          <t>SIPEAGRO (UF-XXXXX)</t>
        </is>
      </c>
      <c r="D3302" s="14" t="inlineStr">
        <is>
          <t>RESISTANCE TM</t>
        </is>
      </c>
      <c r="E3302" s="13" t="inlineStr">
        <is>
          <t>Adubação de Solo / Foliar</t>
        </is>
      </c>
      <c r="F3302" s="13" t="inlineStr">
        <is>
          <t>Algodão</t>
        </is>
      </c>
      <c r="G3302" s="13" t="inlineStr">
        <is>
          <t>Cultura Autorizada na Bula</t>
        </is>
      </c>
      <c r="H3302" s="13" t="inlineStr">
        <is>
          <t>100 a 300 L/ha</t>
        </is>
      </c>
      <c r="I3302" s="13" t="inlineStr">
        <is>
          <t>20 a 40 L/ha</t>
        </is>
      </c>
      <c r="J3302" s="13" t="inlineStr">
        <is>
          <t>Isento</t>
        </is>
      </c>
    </row>
    <row r="3303" ht="22" customHeight="1">
      <c r="A3303" s="6" t="inlineStr">
        <is>
          <t>CUL-3299</t>
        </is>
      </c>
      <c r="B3303" s="5" t="n">
        <v>642</v>
      </c>
      <c r="C3303" s="7" t="inlineStr">
        <is>
          <t>SIPEAGRO (UF-XXXXX)</t>
        </is>
      </c>
      <c r="D3303" s="8" t="inlineStr">
        <is>
          <t>RESISTANCE TM</t>
        </is>
      </c>
      <c r="E3303" s="7" t="inlineStr">
        <is>
          <t>Adubação de Solo / Foliar</t>
        </is>
      </c>
      <c r="F3303" s="7" t="inlineStr">
        <is>
          <t>Cana-de-açúcar</t>
        </is>
      </c>
      <c r="G3303" s="7" t="inlineStr">
        <is>
          <t>Cultura Autorizada na Bula</t>
        </is>
      </c>
      <c r="H3303" s="7" t="inlineStr">
        <is>
          <t>100 a 300 L/ha</t>
        </is>
      </c>
      <c r="I3303" s="7" t="inlineStr">
        <is>
          <t>20 a 40 L/ha</t>
        </is>
      </c>
      <c r="J3303" s="7" t="inlineStr">
        <is>
          <t>Isento</t>
        </is>
      </c>
    </row>
    <row r="3304" ht="22" customHeight="1">
      <c r="A3304" s="12" t="inlineStr">
        <is>
          <t>CUL-3300</t>
        </is>
      </c>
      <c r="B3304" s="11" t="n">
        <v>642</v>
      </c>
      <c r="C3304" s="13" t="inlineStr">
        <is>
          <t>SIPEAGRO (UF-XXXXX)</t>
        </is>
      </c>
      <c r="D3304" s="14" t="inlineStr">
        <is>
          <t>RESISTANCE TM</t>
        </is>
      </c>
      <c r="E3304" s="13" t="inlineStr">
        <is>
          <t>Adubação de Solo / Foliar</t>
        </is>
      </c>
      <c r="F3304" s="13" t="inlineStr">
        <is>
          <t>Café</t>
        </is>
      </c>
      <c r="G3304" s="13" t="inlineStr">
        <is>
          <t>Cultura Autorizada na Bula</t>
        </is>
      </c>
      <c r="H3304" s="13" t="inlineStr">
        <is>
          <t>100 a 300 L/ha</t>
        </is>
      </c>
      <c r="I3304" s="13" t="inlineStr">
        <is>
          <t>20 a 40 L/ha</t>
        </is>
      </c>
      <c r="J3304" s="13" t="inlineStr">
        <is>
          <t>Isento</t>
        </is>
      </c>
    </row>
    <row r="3305" ht="22" customHeight="1">
      <c r="A3305" s="6" t="inlineStr">
        <is>
          <t>CUL-3301</t>
        </is>
      </c>
      <c r="B3305" s="5" t="n">
        <v>643</v>
      </c>
      <c r="C3305" s="7" t="inlineStr">
        <is>
          <t>Nº 6697</t>
        </is>
      </c>
      <c r="D3305" s="8" t="inlineStr">
        <is>
          <t>VEZIR</t>
        </is>
      </c>
      <c r="E3305" s="7" t="inlineStr">
        <is>
          <t>Pulverização Agrícola Conforme Bula</t>
        </is>
      </c>
      <c r="F3305" s="7" t="inlineStr">
        <is>
          <t>Soja</t>
        </is>
      </c>
      <c r="G3305" s="7" t="inlineStr">
        <is>
          <t>Cultura Autorizada na Bula</t>
        </is>
      </c>
      <c r="H3305" s="7" t="inlineStr">
        <is>
          <t>100 a 300 L/ha</t>
        </is>
      </c>
      <c r="I3305" s="7" t="inlineStr">
        <is>
          <t>20 a 40 L/ha</t>
        </is>
      </c>
      <c r="J3305" s="7" t="inlineStr">
        <is>
          <t>60 dias</t>
        </is>
      </c>
    </row>
    <row r="3306" ht="22" customHeight="1">
      <c r="A3306" s="12" t="inlineStr">
        <is>
          <t>CUL-3302</t>
        </is>
      </c>
      <c r="B3306" s="11" t="n">
        <v>643</v>
      </c>
      <c r="C3306" s="13" t="inlineStr">
        <is>
          <t>Nº 6697</t>
        </is>
      </c>
      <c r="D3306" s="14" t="inlineStr">
        <is>
          <t>VEZIR</t>
        </is>
      </c>
      <c r="E3306" s="13" t="inlineStr">
        <is>
          <t>Pulverização Agrícola Conforme Bula</t>
        </is>
      </c>
      <c r="F3306" s="13" t="inlineStr">
        <is>
          <t>Milho</t>
        </is>
      </c>
      <c r="G3306" s="13" t="inlineStr">
        <is>
          <t>Cultura Autorizada na Bula</t>
        </is>
      </c>
      <c r="H3306" s="13" t="inlineStr">
        <is>
          <t>100 a 300 L/ha</t>
        </is>
      </c>
      <c r="I3306" s="13" t="inlineStr">
        <is>
          <t>20 a 40 L/ha</t>
        </is>
      </c>
      <c r="J3306" s="13" t="inlineStr">
        <is>
          <t>45 dias</t>
        </is>
      </c>
    </row>
    <row r="3307" ht="22" customHeight="1">
      <c r="A3307" s="6" t="inlineStr">
        <is>
          <t>CUL-3303</t>
        </is>
      </c>
      <c r="B3307" s="5" t="n">
        <v>643</v>
      </c>
      <c r="C3307" s="7" t="inlineStr">
        <is>
          <t>Nº 6697</t>
        </is>
      </c>
      <c r="D3307" s="8" t="inlineStr">
        <is>
          <t>VEZIR</t>
        </is>
      </c>
      <c r="E3307" s="7" t="inlineStr">
        <is>
          <t>Pulverização Agrícola Conforme Bula</t>
        </is>
      </c>
      <c r="F3307" s="7" t="inlineStr">
        <is>
          <t>Algodão</t>
        </is>
      </c>
      <c r="G3307" s="7" t="inlineStr">
        <is>
          <t>Cultura Autorizada na Bula</t>
        </is>
      </c>
      <c r="H3307" s="7" t="inlineStr">
        <is>
          <t>100 a 300 L/ha</t>
        </is>
      </c>
      <c r="I3307" s="7" t="inlineStr">
        <is>
          <t>20 a 40 L/ha</t>
        </is>
      </c>
      <c r="J3307" s="7" t="inlineStr">
        <is>
          <t>60 dias</t>
        </is>
      </c>
    </row>
    <row r="3308" ht="22" customHeight="1">
      <c r="A3308" s="12" t="inlineStr">
        <is>
          <t>CUL-3304</t>
        </is>
      </c>
      <c r="B3308" s="11" t="n">
        <v>643</v>
      </c>
      <c r="C3308" s="13" t="inlineStr">
        <is>
          <t>Nº 6697</t>
        </is>
      </c>
      <c r="D3308" s="14" t="inlineStr">
        <is>
          <t>VEZIR</t>
        </is>
      </c>
      <c r="E3308" s="13" t="inlineStr">
        <is>
          <t>Pulverização Agrícola Conforme Bula</t>
        </is>
      </c>
      <c r="F3308" s="13" t="inlineStr">
        <is>
          <t>Cana-de-açúcar</t>
        </is>
      </c>
      <c r="G3308" s="13" t="inlineStr">
        <is>
          <t>Cultura Autorizada na Bula</t>
        </is>
      </c>
      <c r="H3308" s="13" t="inlineStr">
        <is>
          <t>100 a 300 L/ha</t>
        </is>
      </c>
      <c r="I3308" s="13" t="inlineStr">
        <is>
          <t>20 a 40 L/ha</t>
        </is>
      </c>
      <c r="J3308" s="13" t="inlineStr">
        <is>
          <t>90 dias</t>
        </is>
      </c>
    </row>
    <row r="3309" ht="22" customHeight="1">
      <c r="A3309" s="6" t="inlineStr">
        <is>
          <t>CUL-3305</t>
        </is>
      </c>
      <c r="B3309" s="5" t="n">
        <v>644</v>
      </c>
      <c r="C3309" s="7" t="inlineStr">
        <is>
          <t>Nº 8520</t>
        </is>
      </c>
      <c r="D3309" s="8" t="inlineStr">
        <is>
          <t>ROMEO SC</t>
        </is>
      </c>
      <c r="E3309" s="7" t="inlineStr">
        <is>
          <t>Pulverização Agrícola Conforme Bula</t>
        </is>
      </c>
      <c r="F3309" s="7" t="inlineStr">
        <is>
          <t>Soja</t>
        </is>
      </c>
      <c r="G3309" s="7" t="inlineStr">
        <is>
          <t>Cultura Autorizada na Bula</t>
        </is>
      </c>
      <c r="H3309" s="7" t="inlineStr">
        <is>
          <t>100 a 300 L/ha</t>
        </is>
      </c>
      <c r="I3309" s="7" t="inlineStr">
        <is>
          <t>20 a 40 L/ha</t>
        </is>
      </c>
      <c r="J3309" s="7" t="inlineStr">
        <is>
          <t>30 dias</t>
        </is>
      </c>
    </row>
    <row r="3310" ht="22" customHeight="1">
      <c r="A3310" s="12" t="inlineStr">
        <is>
          <t>CUL-3306</t>
        </is>
      </c>
      <c r="B3310" s="11" t="n">
        <v>644</v>
      </c>
      <c r="C3310" s="13" t="inlineStr">
        <is>
          <t>Nº 8520</t>
        </is>
      </c>
      <c r="D3310" s="14" t="inlineStr">
        <is>
          <t>ROMEO SC</t>
        </is>
      </c>
      <c r="E3310" s="13" t="inlineStr">
        <is>
          <t>Pulverização Agrícola Conforme Bula</t>
        </is>
      </c>
      <c r="F3310" s="13" t="inlineStr">
        <is>
          <t>Milho</t>
        </is>
      </c>
      <c r="G3310" s="13" t="inlineStr">
        <is>
          <t>Cultura Autorizada na Bula</t>
        </is>
      </c>
      <c r="H3310" s="13" t="inlineStr">
        <is>
          <t>100 a 300 L/ha</t>
        </is>
      </c>
      <c r="I3310" s="13" t="inlineStr">
        <is>
          <t>20 a 40 L/ha</t>
        </is>
      </c>
      <c r="J3310" s="13" t="inlineStr">
        <is>
          <t>30 dias</t>
        </is>
      </c>
    </row>
    <row r="3311" ht="22" customHeight="1">
      <c r="A3311" s="6" t="inlineStr">
        <is>
          <t>CUL-3307</t>
        </is>
      </c>
      <c r="B3311" s="5" t="n">
        <v>644</v>
      </c>
      <c r="C3311" s="7" t="inlineStr">
        <is>
          <t>Nº 8520</t>
        </is>
      </c>
      <c r="D3311" s="8" t="inlineStr">
        <is>
          <t>ROMEO SC</t>
        </is>
      </c>
      <c r="E3311" s="7" t="inlineStr">
        <is>
          <t>Pulverização Agrícola Conforme Bula</t>
        </is>
      </c>
      <c r="F3311" s="7" t="inlineStr">
        <is>
          <t>Algodão</t>
        </is>
      </c>
      <c r="G3311" s="7" t="inlineStr">
        <is>
          <t>Cultura Autorizada na Bula</t>
        </is>
      </c>
      <c r="H3311" s="7" t="inlineStr">
        <is>
          <t>100 a 300 L/ha</t>
        </is>
      </c>
      <c r="I3311" s="7" t="inlineStr">
        <is>
          <t>20 a 40 L/ha</t>
        </is>
      </c>
      <c r="J3311" s="7" t="inlineStr">
        <is>
          <t>30 dias</t>
        </is>
      </c>
    </row>
    <row r="3312" ht="22" customHeight="1">
      <c r="A3312" s="12" t="inlineStr">
        <is>
          <t>CUL-3308</t>
        </is>
      </c>
      <c r="B3312" s="11" t="n">
        <v>644</v>
      </c>
      <c r="C3312" s="13" t="inlineStr">
        <is>
          <t>Nº 8520</t>
        </is>
      </c>
      <c r="D3312" s="14" t="inlineStr">
        <is>
          <t>ROMEO SC</t>
        </is>
      </c>
      <c r="E3312" s="13" t="inlineStr">
        <is>
          <t>Pulverização Agrícola Conforme Bula</t>
        </is>
      </c>
      <c r="F3312" s="13" t="inlineStr">
        <is>
          <t>Trigo</t>
        </is>
      </c>
      <c r="G3312" s="13" t="inlineStr">
        <is>
          <t>Cultura Autorizada na Bula</t>
        </is>
      </c>
      <c r="H3312" s="13" t="inlineStr">
        <is>
          <t>100 a 300 L/ha</t>
        </is>
      </c>
      <c r="I3312" s="13" t="inlineStr">
        <is>
          <t>20 a 40 L/ha</t>
        </is>
      </c>
      <c r="J3312" s="13" t="inlineStr">
        <is>
          <t>30 dias</t>
        </is>
      </c>
    </row>
    <row r="3313" ht="22" customHeight="1">
      <c r="A3313" s="6" t="inlineStr">
        <is>
          <t>CUL-3309</t>
        </is>
      </c>
      <c r="B3313" s="5" t="n">
        <v>644</v>
      </c>
      <c r="C3313" s="7" t="inlineStr">
        <is>
          <t>Nº 8520</t>
        </is>
      </c>
      <c r="D3313" s="8" t="inlineStr">
        <is>
          <t>ROMEO SC</t>
        </is>
      </c>
      <c r="E3313" s="7" t="inlineStr">
        <is>
          <t>Pulverização Agrícola Conforme Bula</t>
        </is>
      </c>
      <c r="F3313" s="7" t="inlineStr">
        <is>
          <t>Feijão</t>
        </is>
      </c>
      <c r="G3313" s="7" t="inlineStr">
        <is>
          <t>Cultura Autorizada na Bula</t>
        </is>
      </c>
      <c r="H3313" s="7" t="inlineStr">
        <is>
          <t>100 a 300 L/ha</t>
        </is>
      </c>
      <c r="I3313" s="7" t="inlineStr">
        <is>
          <t>20 a 40 L/ha</t>
        </is>
      </c>
      <c r="J3313" s="7" t="inlineStr">
        <is>
          <t>14 dias</t>
        </is>
      </c>
    </row>
    <row r="3314" ht="22" customHeight="1">
      <c r="A3314" s="12" t="inlineStr">
        <is>
          <t>CUL-3310</t>
        </is>
      </c>
      <c r="B3314" s="11" t="n">
        <v>645</v>
      </c>
      <c r="C3314" s="13" t="inlineStr">
        <is>
          <t>ISENTO (ATO 104/2017)</t>
        </is>
      </c>
      <c r="D3314" s="14" t="inlineStr">
        <is>
          <t>ZATO ADJ</t>
        </is>
      </c>
      <c r="E3314" s="13" t="inlineStr">
        <is>
          <t>Pulverização Agrícola Conforme Bula</t>
        </is>
      </c>
      <c r="F3314" s="13" t="inlineStr">
        <is>
          <t>Soja, Milho, Algodão, Café, Citros, Cana-de-açúcar (Adição à calda)</t>
        </is>
      </c>
      <c r="G3314" s="13" t="inlineStr">
        <is>
          <t>Cultura Autorizada na Bula</t>
        </is>
      </c>
      <c r="H3314" s="13" t="inlineStr">
        <is>
          <t>100 a 300 L/ha</t>
        </is>
      </c>
      <c r="I3314" s="13" t="inlineStr">
        <is>
          <t>20 a 40 L/ha</t>
        </is>
      </c>
      <c r="J3314" s="13" t="inlineStr">
        <is>
          <t>Conforme defensivo principal</t>
        </is>
      </c>
    </row>
    <row r="3315" ht="22" customHeight="1">
      <c r="A3315" s="6" t="inlineStr">
        <is>
          <t>CUL-3311</t>
        </is>
      </c>
      <c r="B3315" s="5" t="n">
        <v>646</v>
      </c>
      <c r="C3315" s="7" t="inlineStr">
        <is>
          <t>Nº 5110</t>
        </is>
      </c>
      <c r="D3315" s="8" t="inlineStr">
        <is>
          <t>PLATINUM NEO</t>
        </is>
      </c>
      <c r="E3315" s="7" t="inlineStr">
        <is>
          <t>Pulverização Agrícola Conforme Bula</t>
        </is>
      </c>
      <c r="F3315" s="7" t="inlineStr">
        <is>
          <t>Soja</t>
        </is>
      </c>
      <c r="G3315" s="7" t="inlineStr">
        <is>
          <t>Cultura Autorizada na Bula</t>
        </is>
      </c>
      <c r="H3315" s="7" t="inlineStr">
        <is>
          <t>100 a 300 L/ha</t>
        </is>
      </c>
      <c r="I3315" s="7" t="inlineStr">
        <is>
          <t>20 a 40 L/ha</t>
        </is>
      </c>
      <c r="J3315" s="7" t="inlineStr">
        <is>
          <t>14 dias</t>
        </is>
      </c>
    </row>
    <row r="3316" ht="22" customHeight="1">
      <c r="A3316" s="12" t="inlineStr">
        <is>
          <t>CUL-3312</t>
        </is>
      </c>
      <c r="B3316" s="11" t="n">
        <v>646</v>
      </c>
      <c r="C3316" s="13" t="inlineStr">
        <is>
          <t>Nº 5110</t>
        </is>
      </c>
      <c r="D3316" s="14" t="inlineStr">
        <is>
          <t>PLATINUM NEO</t>
        </is>
      </c>
      <c r="E3316" s="13" t="inlineStr">
        <is>
          <t>Pulverização Agrícola Conforme Bula</t>
        </is>
      </c>
      <c r="F3316" s="13" t="inlineStr">
        <is>
          <t>Milho</t>
        </is>
      </c>
      <c r="G3316" s="13" t="inlineStr">
        <is>
          <t>Cultura Autorizada na Bula</t>
        </is>
      </c>
      <c r="H3316" s="13" t="inlineStr">
        <is>
          <t>100 a 300 L/ha</t>
        </is>
      </c>
      <c r="I3316" s="13" t="inlineStr">
        <is>
          <t>20 a 40 L/ha</t>
        </is>
      </c>
      <c r="J3316" s="13" t="inlineStr">
        <is>
          <t>15 dias</t>
        </is>
      </c>
    </row>
    <row r="3317" ht="22" customHeight="1">
      <c r="A3317" s="6" t="inlineStr">
        <is>
          <t>CUL-3313</t>
        </is>
      </c>
      <c r="B3317" s="5" t="n">
        <v>646</v>
      </c>
      <c r="C3317" s="7" t="inlineStr">
        <is>
          <t>Nº 5110</t>
        </is>
      </c>
      <c r="D3317" s="8" t="inlineStr">
        <is>
          <t>PLATINUM NEO</t>
        </is>
      </c>
      <c r="E3317" s="7" t="inlineStr">
        <is>
          <t>Pulverização Agrícola Conforme Bula</t>
        </is>
      </c>
      <c r="F3317" s="7" t="inlineStr">
        <is>
          <t>Algodão</t>
        </is>
      </c>
      <c r="G3317" s="7" t="inlineStr">
        <is>
          <t>Cultura Autorizada na Bula</t>
        </is>
      </c>
      <c r="H3317" s="7" t="inlineStr">
        <is>
          <t>100 a 300 L/ha</t>
        </is>
      </c>
      <c r="I3317" s="7" t="inlineStr">
        <is>
          <t>20 a 40 L/ha</t>
        </is>
      </c>
      <c r="J3317" s="7" t="inlineStr">
        <is>
          <t>7 dias</t>
        </is>
      </c>
    </row>
    <row r="3318" ht="22" customHeight="1">
      <c r="A3318" s="12" t="inlineStr">
        <is>
          <t>CUL-3314</t>
        </is>
      </c>
      <c r="B3318" s="11" t="n">
        <v>646</v>
      </c>
      <c r="C3318" s="13" t="inlineStr">
        <is>
          <t>Nº 5110</t>
        </is>
      </c>
      <c r="D3318" s="14" t="inlineStr">
        <is>
          <t>PLATINUM NEO</t>
        </is>
      </c>
      <c r="E3318" s="13" t="inlineStr">
        <is>
          <t>Pulverização Agrícola Conforme Bula</t>
        </is>
      </c>
      <c r="F3318" s="13" t="inlineStr">
        <is>
          <t>Café</t>
        </is>
      </c>
      <c r="G3318" s="13" t="inlineStr">
        <is>
          <t>Cultura Autorizada na Bula</t>
        </is>
      </c>
      <c r="H3318" s="13" t="inlineStr">
        <is>
          <t>100 a 300 L/ha</t>
        </is>
      </c>
      <c r="I3318" s="13" t="inlineStr">
        <is>
          <t>20 a 40 L/ha</t>
        </is>
      </c>
      <c r="J3318" s="13" t="inlineStr">
        <is>
          <t>1 dias</t>
        </is>
      </c>
    </row>
    <row r="3319" ht="22" customHeight="1">
      <c r="A3319" s="6" t="inlineStr">
        <is>
          <t>CUL-3315</t>
        </is>
      </c>
      <c r="B3319" s="5" t="n">
        <v>646</v>
      </c>
      <c r="C3319" s="7" t="inlineStr">
        <is>
          <t>Nº 5110</t>
        </is>
      </c>
      <c r="D3319" s="8" t="inlineStr">
        <is>
          <t>PLATINUM NEO</t>
        </is>
      </c>
      <c r="E3319" s="7" t="inlineStr">
        <is>
          <t>Pulverização Agrícola Conforme Bula</t>
        </is>
      </c>
      <c r="F3319" s="7" t="inlineStr">
        <is>
          <t>Feijão</t>
        </is>
      </c>
      <c r="G3319" s="7" t="inlineStr">
        <is>
          <t>Cultura Autorizada na Bula</t>
        </is>
      </c>
      <c r="H3319" s="7" t="inlineStr">
        <is>
          <t>100 a 300 L/ha</t>
        </is>
      </c>
      <c r="I3319" s="7" t="inlineStr">
        <is>
          <t>20 a 40 L/ha</t>
        </is>
      </c>
      <c r="J3319" s="7" t="inlineStr">
        <is>
          <t>15 dias</t>
        </is>
      </c>
    </row>
    <row r="3320" ht="22" customHeight="1">
      <c r="A3320" s="12" t="inlineStr">
        <is>
          <t>CUL-3316</t>
        </is>
      </c>
      <c r="B3320" s="11" t="n">
        <v>646</v>
      </c>
      <c r="C3320" s="13" t="inlineStr">
        <is>
          <t>Nº 5110</t>
        </is>
      </c>
      <c r="D3320" s="14" t="inlineStr">
        <is>
          <t>PLATINUM NEO</t>
        </is>
      </c>
      <c r="E3320" s="13" t="inlineStr">
        <is>
          <t>Pulverização Agrícola Conforme Bula</t>
        </is>
      </c>
      <c r="F3320" s="13" t="inlineStr">
        <is>
          <t>Trigo</t>
        </is>
      </c>
      <c r="G3320" s="13" t="inlineStr">
        <is>
          <t>Cultura Autorizada na Bula</t>
        </is>
      </c>
      <c r="H3320" s="13" t="inlineStr">
        <is>
          <t>100 a 300 L/ha</t>
        </is>
      </c>
      <c r="I3320" s="13" t="inlineStr">
        <is>
          <t>20 a 40 L/ha</t>
        </is>
      </c>
      <c r="J3320" s="13" t="inlineStr">
        <is>
          <t>21 dias</t>
        </is>
      </c>
    </row>
    <row r="3321" ht="22" customHeight="1">
      <c r="A3321" s="6" t="inlineStr">
        <is>
          <t>CUL-3317</t>
        </is>
      </c>
      <c r="B3321" s="5" t="n">
        <v>646</v>
      </c>
      <c r="C3321" s="7" t="inlineStr">
        <is>
          <t>Nº 5110</t>
        </is>
      </c>
      <c r="D3321" s="8" t="inlineStr">
        <is>
          <t>PLATINUM NEO</t>
        </is>
      </c>
      <c r="E3321" s="7" t="inlineStr">
        <is>
          <t>Pulverização Agrícola Conforme Bula</t>
        </is>
      </c>
      <c r="F3321" s="7" t="inlineStr">
        <is>
          <t>Cana-de-açúcar</t>
        </is>
      </c>
      <c r="G3321" s="7" t="inlineStr">
        <is>
          <t>Cultura Autorizada na Bula</t>
        </is>
      </c>
      <c r="H3321" s="7" t="inlineStr">
        <is>
          <t>100 a 300 L/ha</t>
        </is>
      </c>
      <c r="I3321" s="7" t="inlineStr">
        <is>
          <t>20 a 40 L/ha</t>
        </is>
      </c>
      <c r="J3321" s="7" t="inlineStr">
        <is>
          <t>21 dias</t>
        </is>
      </c>
    </row>
    <row r="3322" ht="22" customHeight="1">
      <c r="A3322" s="12" t="inlineStr">
        <is>
          <t>CUL-3318</t>
        </is>
      </c>
      <c r="B3322" s="11" t="n">
        <v>647</v>
      </c>
      <c r="C3322" s="13" t="inlineStr">
        <is>
          <t>SIPEAGRO (UF-XXXXX)</t>
        </is>
      </c>
      <c r="D3322" s="14" t="inlineStr">
        <is>
          <t>BIOBRADY 1,75L</t>
        </is>
      </c>
      <c r="E3322" s="13" t="inlineStr">
        <is>
          <t>Pulverização Agrícola Conforme Bula</t>
        </is>
      </c>
      <c r="F3322" s="13" t="inlineStr">
        <is>
          <t>Soja</t>
        </is>
      </c>
      <c r="G3322" s="13" t="inlineStr">
        <is>
          <t>Cultura Autorizada na Bula</t>
        </is>
      </c>
      <c r="H3322" s="13" t="inlineStr">
        <is>
          <t>100 a 300 L/ha</t>
        </is>
      </c>
      <c r="I3322" s="13" t="inlineStr">
        <is>
          <t>20 a 40 L/ha</t>
        </is>
      </c>
      <c r="J3322" s="13" t="inlineStr">
        <is>
          <t>0 (Isento)</t>
        </is>
      </c>
    </row>
    <row r="3323" ht="22" customHeight="1">
      <c r="A3323" s="6" t="inlineStr">
        <is>
          <t>CUL-3319</t>
        </is>
      </c>
      <c r="B3323" s="5" t="n">
        <v>647</v>
      </c>
      <c r="C3323" s="7" t="inlineStr">
        <is>
          <t>SIPEAGRO (UF-XXXXX)</t>
        </is>
      </c>
      <c r="D3323" s="8" t="inlineStr">
        <is>
          <t>BIOBRADY 1,75L</t>
        </is>
      </c>
      <c r="E3323" s="7" t="inlineStr">
        <is>
          <t>Pulverização Agrícola Conforme Bula</t>
        </is>
      </c>
      <c r="F3323" s="7" t="inlineStr">
        <is>
          <t>Milho</t>
        </is>
      </c>
      <c r="G3323" s="7" t="inlineStr">
        <is>
          <t>Cultura Autorizada na Bula</t>
        </is>
      </c>
      <c r="H3323" s="7" t="inlineStr">
        <is>
          <t>100 a 300 L/ha</t>
        </is>
      </c>
      <c r="I3323" s="7" t="inlineStr">
        <is>
          <t>20 a 40 L/ha</t>
        </is>
      </c>
      <c r="J3323" s="7" t="inlineStr">
        <is>
          <t>0 (Isento)</t>
        </is>
      </c>
    </row>
    <row r="3324" ht="22" customHeight="1">
      <c r="A3324" s="12" t="inlineStr">
        <is>
          <t>CUL-3320</t>
        </is>
      </c>
      <c r="B3324" s="11" t="n">
        <v>647</v>
      </c>
      <c r="C3324" s="13" t="inlineStr">
        <is>
          <t>SIPEAGRO (UF-XXXXX)</t>
        </is>
      </c>
      <c r="D3324" s="14" t="inlineStr">
        <is>
          <t>BIOBRADY 1,75L</t>
        </is>
      </c>
      <c r="E3324" s="13" t="inlineStr">
        <is>
          <t>Pulverização Agrícola Conforme Bula</t>
        </is>
      </c>
      <c r="F3324" s="13" t="inlineStr">
        <is>
          <t>Feijão</t>
        </is>
      </c>
      <c r="G3324" s="13" t="inlineStr">
        <is>
          <t>Cultura Autorizada na Bula</t>
        </is>
      </c>
      <c r="H3324" s="13" t="inlineStr">
        <is>
          <t>100 a 300 L/ha</t>
        </is>
      </c>
      <c r="I3324" s="13" t="inlineStr">
        <is>
          <t>20 a 40 L/ha</t>
        </is>
      </c>
      <c r="J3324" s="13" t="inlineStr">
        <is>
          <t>0 (Isento)</t>
        </is>
      </c>
    </row>
    <row r="3325" ht="22" customHeight="1">
      <c r="A3325" s="6" t="inlineStr">
        <is>
          <t>CUL-3321</t>
        </is>
      </c>
      <c r="B3325" s="5" t="n">
        <v>647</v>
      </c>
      <c r="C3325" s="7" t="inlineStr">
        <is>
          <t>SIPEAGRO (UF-XXXXX)</t>
        </is>
      </c>
      <c r="D3325" s="8" t="inlineStr">
        <is>
          <t>BIOBRADY 1,75L</t>
        </is>
      </c>
      <c r="E3325" s="7" t="inlineStr">
        <is>
          <t>Pulverização Agrícola Conforme Bula</t>
        </is>
      </c>
      <c r="F3325" s="7" t="inlineStr">
        <is>
          <t>Algodão</t>
        </is>
      </c>
      <c r="G3325" s="7" t="inlineStr">
        <is>
          <t>Cultura Autorizada na Bula</t>
        </is>
      </c>
      <c r="H3325" s="7" t="inlineStr">
        <is>
          <t>100 a 300 L/ha</t>
        </is>
      </c>
      <c r="I3325" s="7" t="inlineStr">
        <is>
          <t>20 a 40 L/ha</t>
        </is>
      </c>
      <c r="J3325" s="7" t="inlineStr">
        <is>
          <t>0 (Isento)</t>
        </is>
      </c>
    </row>
    <row r="3326" ht="22" customHeight="1">
      <c r="A3326" s="12" t="inlineStr">
        <is>
          <t>CUL-3322</t>
        </is>
      </c>
      <c r="B3326" s="11" t="n">
        <v>648</v>
      </c>
      <c r="C3326" s="13" t="inlineStr">
        <is>
          <t>SIPEAGRO (UF-XXXXX)</t>
        </is>
      </c>
      <c r="D3326" s="14" t="inlineStr">
        <is>
          <t>INOCULANTE GRAP NOD L+</t>
        </is>
      </c>
      <c r="E3326" s="13" t="inlineStr">
        <is>
          <t>Pulverização Agrícola Conforme Bula</t>
        </is>
      </c>
      <c r="F3326" s="13" t="inlineStr">
        <is>
          <t>Milho</t>
        </is>
      </c>
      <c r="G3326" s="13" t="inlineStr">
        <is>
          <t>Cultura Autorizada na Bula</t>
        </is>
      </c>
      <c r="H3326" s="13" t="inlineStr">
        <is>
          <t>100 a 300 L/ha</t>
        </is>
      </c>
      <c r="I3326" s="13" t="inlineStr">
        <is>
          <t>20 a 40 L/ha</t>
        </is>
      </c>
      <c r="J3326" s="13" t="inlineStr">
        <is>
          <t>0 (Isento)</t>
        </is>
      </c>
    </row>
    <row r="3327" ht="22" customHeight="1">
      <c r="A3327" s="6" t="inlineStr">
        <is>
          <t>CUL-3323</t>
        </is>
      </c>
      <c r="B3327" s="5" t="n">
        <v>648</v>
      </c>
      <c r="C3327" s="7" t="inlineStr">
        <is>
          <t>SIPEAGRO (UF-XXXXX)</t>
        </is>
      </c>
      <c r="D3327" s="8" t="inlineStr">
        <is>
          <t>INOCULANTE GRAP NOD L+</t>
        </is>
      </c>
      <c r="E3327" s="7" t="inlineStr">
        <is>
          <t>Pulverização Agrícola Conforme Bula</t>
        </is>
      </c>
      <c r="F3327" s="7" t="inlineStr">
        <is>
          <t>Soja (Coinoculação)</t>
        </is>
      </c>
      <c r="G3327" s="7" t="inlineStr">
        <is>
          <t>Cultura Autorizada na Bula</t>
        </is>
      </c>
      <c r="H3327" s="7" t="inlineStr">
        <is>
          <t>100 a 300 L/ha</t>
        </is>
      </c>
      <c r="I3327" s="7" t="inlineStr">
        <is>
          <t>20 a 40 L/ha</t>
        </is>
      </c>
      <c r="J3327" s="7" t="inlineStr">
        <is>
          <t>0 (Isento)</t>
        </is>
      </c>
    </row>
    <row r="3328" ht="22" customHeight="1">
      <c r="A3328" s="12" t="inlineStr">
        <is>
          <t>CUL-3324</t>
        </is>
      </c>
      <c r="B3328" s="11" t="n">
        <v>648</v>
      </c>
      <c r="C3328" s="13" t="inlineStr">
        <is>
          <t>SIPEAGRO (UF-XXXXX)</t>
        </is>
      </c>
      <c r="D3328" s="14" t="inlineStr">
        <is>
          <t>INOCULANTE GRAP NOD L+</t>
        </is>
      </c>
      <c r="E3328" s="13" t="inlineStr">
        <is>
          <t>Pulverização Agrícola Conforme Bula</t>
        </is>
      </c>
      <c r="F3328" s="13" t="inlineStr">
        <is>
          <t>Trigo</t>
        </is>
      </c>
      <c r="G3328" s="13" t="inlineStr">
        <is>
          <t>Cultura Autorizada na Bula</t>
        </is>
      </c>
      <c r="H3328" s="13" t="inlineStr">
        <is>
          <t>100 a 300 L/ha</t>
        </is>
      </c>
      <c r="I3328" s="13" t="inlineStr">
        <is>
          <t>20 a 40 L/ha</t>
        </is>
      </c>
      <c r="J3328" s="13" t="inlineStr">
        <is>
          <t>0 (Isento)</t>
        </is>
      </c>
    </row>
    <row r="3329" ht="22" customHeight="1">
      <c r="A3329" s="6" t="inlineStr">
        <is>
          <t>CUL-3325</t>
        </is>
      </c>
      <c r="B3329" s="5" t="n">
        <v>648</v>
      </c>
      <c r="C3329" s="7" t="inlineStr">
        <is>
          <t>SIPEAGRO (UF-XXXXX)</t>
        </is>
      </c>
      <c r="D3329" s="8" t="inlineStr">
        <is>
          <t>INOCULANTE GRAP NOD L+</t>
        </is>
      </c>
      <c r="E3329" s="7" t="inlineStr">
        <is>
          <t>Pulverização Agrícola Conforme Bula</t>
        </is>
      </c>
      <c r="F3329" s="7" t="inlineStr">
        <is>
          <t>Pastagens (Brachiaria)</t>
        </is>
      </c>
      <c r="G3329" s="7" t="inlineStr">
        <is>
          <t>Cultura Autorizada na Bula</t>
        </is>
      </c>
      <c r="H3329" s="7" t="inlineStr">
        <is>
          <t>100 a 300 L/ha</t>
        </is>
      </c>
      <c r="I3329" s="7" t="inlineStr">
        <is>
          <t>20 a 40 L/ha</t>
        </is>
      </c>
      <c r="J3329" s="7" t="inlineStr">
        <is>
          <t>0 (Isento)</t>
        </is>
      </c>
    </row>
    <row r="3330" ht="22" customHeight="1">
      <c r="A3330" s="12" t="inlineStr">
        <is>
          <t>CUL-3326</t>
        </is>
      </c>
      <c r="B3330" s="11" t="n">
        <v>649</v>
      </c>
      <c r="C3330" s="13" t="inlineStr">
        <is>
          <t>Nº 18107</t>
        </is>
      </c>
      <c r="D3330" s="14" t="inlineStr">
        <is>
          <t>TALISMAN</t>
        </is>
      </c>
      <c r="E3330" s="13" t="inlineStr">
        <is>
          <t>Pulverização Agrícola Conforme Bula</t>
        </is>
      </c>
      <c r="F3330" s="13" t="inlineStr">
        <is>
          <t>Algodão</t>
        </is>
      </c>
      <c r="G3330" s="13" t="inlineStr">
        <is>
          <t>Cultura Autorizada na Bula</t>
        </is>
      </c>
      <c r="H3330" s="13" t="inlineStr">
        <is>
          <t>100 a 300 L/ha</t>
        </is>
      </c>
      <c r="I3330" s="13" t="inlineStr">
        <is>
          <t>20 a 40 L/ha</t>
        </is>
      </c>
      <c r="J3330" s="13" t="inlineStr">
        <is>
          <t>15 dias</t>
        </is>
      </c>
    </row>
    <row r="3331" ht="22" customHeight="1">
      <c r="A3331" s="6" t="inlineStr">
        <is>
          <t>CUL-3327</t>
        </is>
      </c>
      <c r="B3331" s="5" t="n">
        <v>649</v>
      </c>
      <c r="C3331" s="7" t="inlineStr">
        <is>
          <t>Nº 18107</t>
        </is>
      </c>
      <c r="D3331" s="8" t="inlineStr">
        <is>
          <t>TALISMAN</t>
        </is>
      </c>
      <c r="E3331" s="7" t="inlineStr">
        <is>
          <t>Pulverização Agrícola Conforme Bula</t>
        </is>
      </c>
      <c r="F3331" s="7" t="inlineStr">
        <is>
          <t>Soja</t>
        </is>
      </c>
      <c r="G3331" s="7" t="inlineStr">
        <is>
          <t>Cultura Autorizada na Bula</t>
        </is>
      </c>
      <c r="H3331" s="7" t="inlineStr">
        <is>
          <t>100 a 300 L/ha</t>
        </is>
      </c>
      <c r="I3331" s="7" t="inlineStr">
        <is>
          <t>20 a 40 L/ha</t>
        </is>
      </c>
      <c r="J3331" s="7" t="inlineStr">
        <is>
          <t>30 dias</t>
        </is>
      </c>
    </row>
    <row r="3332" ht="22" customHeight="1">
      <c r="A3332" s="12" t="inlineStr">
        <is>
          <t>CUL-3328</t>
        </is>
      </c>
      <c r="B3332" s="11" t="n">
        <v>649</v>
      </c>
      <c r="C3332" s="13" t="inlineStr">
        <is>
          <t>Nº 18107</t>
        </is>
      </c>
      <c r="D3332" s="14" t="inlineStr">
        <is>
          <t>TALISMAN</t>
        </is>
      </c>
      <c r="E3332" s="13" t="inlineStr">
        <is>
          <t>Pulverização Agrícola Conforme Bula</t>
        </is>
      </c>
      <c r="F3332" s="13" t="inlineStr">
        <is>
          <t>Milho</t>
        </is>
      </c>
      <c r="G3332" s="13" t="inlineStr">
        <is>
          <t>Cultura Autorizada na Bula</t>
        </is>
      </c>
      <c r="H3332" s="13" t="inlineStr">
        <is>
          <t>100 a 300 L/ha</t>
        </is>
      </c>
      <c r="I3332" s="13" t="inlineStr">
        <is>
          <t>20 a 40 L/ha</t>
        </is>
      </c>
      <c r="J3332" s="13" t="inlineStr">
        <is>
          <t>30 dias</t>
        </is>
      </c>
    </row>
    <row r="3333" ht="22" customHeight="1">
      <c r="A3333" s="6" t="inlineStr">
        <is>
          <t>CUL-3329</t>
        </is>
      </c>
      <c r="B3333" s="5" t="n">
        <v>649</v>
      </c>
      <c r="C3333" s="7" t="inlineStr">
        <is>
          <t>Nº 18107</t>
        </is>
      </c>
      <c r="D3333" s="8" t="inlineStr">
        <is>
          <t>TALISMAN</t>
        </is>
      </c>
      <c r="E3333" s="7" t="inlineStr">
        <is>
          <t>Pulverização Agrícola Conforme Bula</t>
        </is>
      </c>
      <c r="F3333" s="7" t="inlineStr">
        <is>
          <t>Cana-de-açúcar</t>
        </is>
      </c>
      <c r="G3333" s="7" t="inlineStr">
        <is>
          <t>Cultura Autorizada na Bula</t>
        </is>
      </c>
      <c r="H3333" s="7" t="inlineStr">
        <is>
          <t>100 a 300 L/ha</t>
        </is>
      </c>
      <c r="I3333" s="7" t="inlineStr">
        <is>
          <t>20 a 40 L/ha</t>
        </is>
      </c>
      <c r="J3333" s="7" t="inlineStr">
        <is>
          <t>30 dias</t>
        </is>
      </c>
    </row>
    <row r="3334" ht="22" customHeight="1">
      <c r="A3334" s="12" t="inlineStr">
        <is>
          <t>CUL-3330</t>
        </is>
      </c>
      <c r="B3334" s="11" t="n">
        <v>649</v>
      </c>
      <c r="C3334" s="13" t="inlineStr">
        <is>
          <t>Nº 18107</t>
        </is>
      </c>
      <c r="D3334" s="14" t="inlineStr">
        <is>
          <t>TALISMAN</t>
        </is>
      </c>
      <c r="E3334" s="13" t="inlineStr">
        <is>
          <t>Pulverização Agrícola Conforme Bula</t>
        </is>
      </c>
      <c r="F3334" s="13" t="inlineStr">
        <is>
          <t>Café</t>
        </is>
      </c>
      <c r="G3334" s="13" t="inlineStr">
        <is>
          <t>Cultura Autorizada na Bula</t>
        </is>
      </c>
      <c r="H3334" s="13" t="inlineStr">
        <is>
          <t>100 a 300 L/ha</t>
        </is>
      </c>
      <c r="I3334" s="13" t="inlineStr">
        <is>
          <t>20 a 40 L/ha</t>
        </is>
      </c>
      <c r="J3334" s="13" t="inlineStr">
        <is>
          <t>30 dias</t>
        </is>
      </c>
    </row>
    <row r="3335" ht="22" customHeight="1">
      <c r="A3335" s="6" t="inlineStr">
        <is>
          <t>CUL-3331</t>
        </is>
      </c>
      <c r="B3335" s="5" t="n">
        <v>649</v>
      </c>
      <c r="C3335" s="7" t="inlineStr">
        <is>
          <t>Nº 18107</t>
        </is>
      </c>
      <c r="D3335" s="8" t="inlineStr">
        <is>
          <t>TALISMAN</t>
        </is>
      </c>
      <c r="E3335" s="7" t="inlineStr">
        <is>
          <t>Pulverização Agrícola Conforme Bula</t>
        </is>
      </c>
      <c r="F3335" s="7" t="inlineStr">
        <is>
          <t>Citros</t>
        </is>
      </c>
      <c r="G3335" s="7" t="inlineStr">
        <is>
          <t>Cultura Autorizada na Bula</t>
        </is>
      </c>
      <c r="H3335" s="7" t="inlineStr">
        <is>
          <t>100 a 300 L/ha</t>
        </is>
      </c>
      <c r="I3335" s="7" t="inlineStr">
        <is>
          <t>20 a 40 L/ha</t>
        </is>
      </c>
      <c r="J3335" s="7" t="inlineStr">
        <is>
          <t>7 dias</t>
        </is>
      </c>
    </row>
    <row r="3336" ht="22" customHeight="1">
      <c r="A3336" s="12" t="inlineStr">
        <is>
          <t>CUL-3332</t>
        </is>
      </c>
      <c r="B3336" s="11" t="n">
        <v>649</v>
      </c>
      <c r="C3336" s="13" t="inlineStr">
        <is>
          <t>Nº 18107</t>
        </is>
      </c>
      <c r="D3336" s="14" t="inlineStr">
        <is>
          <t>TALISMAN</t>
        </is>
      </c>
      <c r="E3336" s="13" t="inlineStr">
        <is>
          <t>Pulverização Agrícola Conforme Bula</t>
        </is>
      </c>
      <c r="F3336" s="13" t="inlineStr">
        <is>
          <t>Feijão</t>
        </is>
      </c>
      <c r="G3336" s="13" t="inlineStr">
        <is>
          <t>Cultura Autorizada na Bula</t>
        </is>
      </c>
      <c r="H3336" s="13" t="inlineStr">
        <is>
          <t>100 a 300 L/ha</t>
        </is>
      </c>
      <c r="I3336" s="13" t="inlineStr">
        <is>
          <t>20 a 40 L/ha</t>
        </is>
      </c>
      <c r="J3336" s="13" t="inlineStr">
        <is>
          <t>20 dias</t>
        </is>
      </c>
    </row>
    <row r="3337" ht="22" customHeight="1">
      <c r="A3337" s="6" t="inlineStr">
        <is>
          <t>CUL-3333</t>
        </is>
      </c>
      <c r="B3337" s="5" t="n">
        <v>649</v>
      </c>
      <c r="C3337" s="7" t="inlineStr">
        <is>
          <t>Nº 18107</t>
        </is>
      </c>
      <c r="D3337" s="8" t="inlineStr">
        <is>
          <t>TALISMAN</t>
        </is>
      </c>
      <c r="E3337" s="7" t="inlineStr">
        <is>
          <t>Pulverização Agrícola Conforme Bula</t>
        </is>
      </c>
      <c r="F3337" s="7" t="inlineStr">
        <is>
          <t>Trigo</t>
        </is>
      </c>
      <c r="G3337" s="7" t="inlineStr">
        <is>
          <t>Cultura Autorizada na Bula</t>
        </is>
      </c>
      <c r="H3337" s="7" t="inlineStr">
        <is>
          <t>100 a 300 L/ha</t>
        </is>
      </c>
      <c r="I3337" s="7" t="inlineStr">
        <is>
          <t>20 a 40 L/ha</t>
        </is>
      </c>
      <c r="J3337" s="7" t="inlineStr">
        <is>
          <t>30 dias</t>
        </is>
      </c>
    </row>
    <row r="3338" ht="22" customHeight="1">
      <c r="A3338" s="12" t="inlineStr">
        <is>
          <t>CUL-3334</t>
        </is>
      </c>
      <c r="B3338" s="11" t="n">
        <v>650</v>
      </c>
      <c r="C3338" s="13" t="inlineStr">
        <is>
          <t>SIPEAGRO (UF-XXXXX)</t>
        </is>
      </c>
      <c r="D3338" s="14" t="inlineStr">
        <is>
          <t>ENDOFUSE 0,5L</t>
        </is>
      </c>
      <c r="E3338" s="13" t="inlineStr">
        <is>
          <t>Adubação de Solo / Foliar</t>
        </is>
      </c>
      <c r="F3338" s="13" t="inlineStr">
        <is>
          <t>Soja</t>
        </is>
      </c>
      <c r="G3338" s="13" t="inlineStr">
        <is>
          <t>Cultura Autorizada na Bula</t>
        </is>
      </c>
      <c r="H3338" s="13" t="inlineStr">
        <is>
          <t>100 a 300 L/ha</t>
        </is>
      </c>
      <c r="I3338" s="13" t="inlineStr">
        <is>
          <t>20 a 40 L/ha</t>
        </is>
      </c>
      <c r="J3338" s="13" t="inlineStr">
        <is>
          <t>Isento</t>
        </is>
      </c>
    </row>
    <row r="3339" ht="22" customHeight="1">
      <c r="A3339" s="6" t="inlineStr">
        <is>
          <t>CUL-3335</t>
        </is>
      </c>
      <c r="B3339" s="5" t="n">
        <v>650</v>
      </c>
      <c r="C3339" s="7" t="inlineStr">
        <is>
          <t>SIPEAGRO (UF-XXXXX)</t>
        </is>
      </c>
      <c r="D3339" s="8" t="inlineStr">
        <is>
          <t>ENDOFUSE 0,5L</t>
        </is>
      </c>
      <c r="E3339" s="7" t="inlineStr">
        <is>
          <t>Adubação de Solo / Foliar</t>
        </is>
      </c>
      <c r="F3339" s="7" t="inlineStr">
        <is>
          <t>Milho</t>
        </is>
      </c>
      <c r="G3339" s="7" t="inlineStr">
        <is>
          <t>Cultura Autorizada na Bula</t>
        </is>
      </c>
      <c r="H3339" s="7" t="inlineStr">
        <is>
          <t>100 a 300 L/ha</t>
        </is>
      </c>
      <c r="I3339" s="7" t="inlineStr">
        <is>
          <t>20 a 40 L/ha</t>
        </is>
      </c>
      <c r="J3339" s="7" t="inlineStr">
        <is>
          <t>Isento</t>
        </is>
      </c>
    </row>
    <row r="3340" ht="22" customHeight="1">
      <c r="A3340" s="12" t="inlineStr">
        <is>
          <t>CUL-3336</t>
        </is>
      </c>
      <c r="B3340" s="11" t="n">
        <v>650</v>
      </c>
      <c r="C3340" s="13" t="inlineStr">
        <is>
          <t>SIPEAGRO (UF-XXXXX)</t>
        </is>
      </c>
      <c r="D3340" s="14" t="inlineStr">
        <is>
          <t>ENDOFUSE 0,5L</t>
        </is>
      </c>
      <c r="E3340" s="13" t="inlineStr">
        <is>
          <t>Adubação de Solo / Foliar</t>
        </is>
      </c>
      <c r="F3340" s="13" t="inlineStr">
        <is>
          <t>Algodão</t>
        </is>
      </c>
      <c r="G3340" s="13" t="inlineStr">
        <is>
          <t>Cultura Autorizada na Bula</t>
        </is>
      </c>
      <c r="H3340" s="13" t="inlineStr">
        <is>
          <t>100 a 300 L/ha</t>
        </is>
      </c>
      <c r="I3340" s="13" t="inlineStr">
        <is>
          <t>20 a 40 L/ha</t>
        </is>
      </c>
      <c r="J3340" s="13" t="inlineStr">
        <is>
          <t>Isento</t>
        </is>
      </c>
    </row>
    <row r="3341" ht="22" customHeight="1">
      <c r="A3341" s="6" t="inlineStr">
        <is>
          <t>CUL-3337</t>
        </is>
      </c>
      <c r="B3341" s="5" t="n">
        <v>650</v>
      </c>
      <c r="C3341" s="7" t="inlineStr">
        <is>
          <t>SIPEAGRO (UF-XXXXX)</t>
        </is>
      </c>
      <c r="D3341" s="8" t="inlineStr">
        <is>
          <t>ENDOFUSE 0,5L</t>
        </is>
      </c>
      <c r="E3341" s="7" t="inlineStr">
        <is>
          <t>Adubação de Solo / Foliar</t>
        </is>
      </c>
      <c r="F3341" s="7" t="inlineStr">
        <is>
          <t>Cana-de-açúcar</t>
        </is>
      </c>
      <c r="G3341" s="7" t="inlineStr">
        <is>
          <t>Cultura Autorizada na Bula</t>
        </is>
      </c>
      <c r="H3341" s="7" t="inlineStr">
        <is>
          <t>100 a 300 L/ha</t>
        </is>
      </c>
      <c r="I3341" s="7" t="inlineStr">
        <is>
          <t>20 a 40 L/ha</t>
        </is>
      </c>
      <c r="J3341" s="7" t="inlineStr">
        <is>
          <t>Isento</t>
        </is>
      </c>
    </row>
    <row r="3342" ht="22" customHeight="1">
      <c r="A3342" s="12" t="inlineStr">
        <is>
          <t>CUL-3338</t>
        </is>
      </c>
      <c r="B3342" s="11" t="n">
        <v>650</v>
      </c>
      <c r="C3342" s="13" t="inlineStr">
        <is>
          <t>SIPEAGRO (UF-XXXXX)</t>
        </is>
      </c>
      <c r="D3342" s="14" t="inlineStr">
        <is>
          <t>ENDOFUSE 0,5L</t>
        </is>
      </c>
      <c r="E3342" s="13" t="inlineStr">
        <is>
          <t>Adubação de Solo / Foliar</t>
        </is>
      </c>
      <c r="F3342" s="13" t="inlineStr">
        <is>
          <t>Café</t>
        </is>
      </c>
      <c r="G3342" s="13" t="inlineStr">
        <is>
          <t>Cultura Autorizada na Bula</t>
        </is>
      </c>
      <c r="H3342" s="13" t="inlineStr">
        <is>
          <t>100 a 300 L/ha</t>
        </is>
      </c>
      <c r="I3342" s="13" t="inlineStr">
        <is>
          <t>20 a 40 L/ha</t>
        </is>
      </c>
      <c r="J3342" s="13" t="inlineStr">
        <is>
          <t>Isento</t>
        </is>
      </c>
    </row>
    <row r="3343" ht="22" customHeight="1">
      <c r="A3343" s="6" t="inlineStr">
        <is>
          <t>CUL-3339</t>
        </is>
      </c>
      <c r="B3343" s="5" t="n">
        <v>651</v>
      </c>
      <c r="C3343" s="7" t="inlineStr">
        <is>
          <t>Nº 479097</t>
        </is>
      </c>
      <c r="D3343" s="8" t="inlineStr">
        <is>
          <t>SELECT 240 EC</t>
        </is>
      </c>
      <c r="E3343" s="7" t="inlineStr">
        <is>
          <t>Pulverização Agrícola Conforme Bula</t>
        </is>
      </c>
      <c r="F3343" s="7" t="inlineStr">
        <is>
          <t>Soja</t>
        </is>
      </c>
      <c r="G3343" s="7" t="inlineStr">
        <is>
          <t>Cultura Autorizada na Bula</t>
        </is>
      </c>
      <c r="H3343" s="7" t="inlineStr">
        <is>
          <t>100 a 300 L/ha</t>
        </is>
      </c>
      <c r="I3343" s="7" t="inlineStr">
        <is>
          <t>20 a 40 L/ha</t>
        </is>
      </c>
      <c r="J3343" s="7" t="inlineStr">
        <is>
          <t>60 dias</t>
        </is>
      </c>
    </row>
    <row r="3344" ht="22" customHeight="1">
      <c r="A3344" s="12" t="inlineStr">
        <is>
          <t>CUL-3340</t>
        </is>
      </c>
      <c r="B3344" s="11" t="n">
        <v>651</v>
      </c>
      <c r="C3344" s="13" t="inlineStr">
        <is>
          <t>Nº 479097</t>
        </is>
      </c>
      <c r="D3344" s="14" t="inlineStr">
        <is>
          <t>SELECT 240 EC</t>
        </is>
      </c>
      <c r="E3344" s="13" t="inlineStr">
        <is>
          <t>Pulverização Agrícola Conforme Bula</t>
        </is>
      </c>
      <c r="F3344" s="13" t="inlineStr">
        <is>
          <t>Algodão</t>
        </is>
      </c>
      <c r="G3344" s="13" t="inlineStr">
        <is>
          <t>Cultura Autorizada na Bula</t>
        </is>
      </c>
      <c r="H3344" s="13" t="inlineStr">
        <is>
          <t>100 a 300 L/ha</t>
        </is>
      </c>
      <c r="I3344" s="13" t="inlineStr">
        <is>
          <t>20 a 40 L/ha</t>
        </is>
      </c>
      <c r="J3344" s="13" t="inlineStr">
        <is>
          <t>58 dias</t>
        </is>
      </c>
    </row>
    <row r="3345" ht="22" customHeight="1">
      <c r="A3345" s="6" t="inlineStr">
        <is>
          <t>CUL-3341</t>
        </is>
      </c>
      <c r="B3345" s="5" t="n">
        <v>651</v>
      </c>
      <c r="C3345" s="7" t="inlineStr">
        <is>
          <t>Nº 479097</t>
        </is>
      </c>
      <c r="D3345" s="8" t="inlineStr">
        <is>
          <t>SELECT 240 EC</t>
        </is>
      </c>
      <c r="E3345" s="7" t="inlineStr">
        <is>
          <t>Pulverização Agrícola Conforme Bula</t>
        </is>
      </c>
      <c r="F3345" s="7" t="inlineStr">
        <is>
          <t>Feijão</t>
        </is>
      </c>
      <c r="G3345" s="7" t="inlineStr">
        <is>
          <t>Cultura Autorizada na Bula</t>
        </is>
      </c>
      <c r="H3345" s="7" t="inlineStr">
        <is>
          <t>100 a 300 L/ha</t>
        </is>
      </c>
      <c r="I3345" s="7" t="inlineStr">
        <is>
          <t>20 a 40 L/ha</t>
        </is>
      </c>
      <c r="J3345" s="7" t="inlineStr">
        <is>
          <t>40 dias</t>
        </is>
      </c>
    </row>
    <row r="3346" ht="22" customHeight="1">
      <c r="A3346" s="12" t="inlineStr">
        <is>
          <t>CUL-3342</t>
        </is>
      </c>
      <c r="B3346" s="11" t="n">
        <v>651</v>
      </c>
      <c r="C3346" s="13" t="inlineStr">
        <is>
          <t>Nº 479097</t>
        </is>
      </c>
      <c r="D3346" s="14" t="inlineStr">
        <is>
          <t>SELECT 240 EC</t>
        </is>
      </c>
      <c r="E3346" s="13" t="inlineStr">
        <is>
          <t>Pulverização Agrícola Conforme Bula</t>
        </is>
      </c>
      <c r="F3346" s="13" t="inlineStr">
        <is>
          <t>Café</t>
        </is>
      </c>
      <c r="G3346" s="13" t="inlineStr">
        <is>
          <t>Cultura Autorizada na Bula</t>
        </is>
      </c>
      <c r="H3346" s="13" t="inlineStr">
        <is>
          <t>100 a 300 L/ha</t>
        </is>
      </c>
      <c r="I3346" s="13" t="inlineStr">
        <is>
          <t>20 a 40 L/ha</t>
        </is>
      </c>
      <c r="J3346" s="13" t="inlineStr">
        <is>
          <t>14 dias</t>
        </is>
      </c>
    </row>
    <row r="3347" ht="22" customHeight="1">
      <c r="A3347" s="6" t="inlineStr">
        <is>
          <t>CUL-3343</t>
        </is>
      </c>
      <c r="B3347" s="5" t="n">
        <v>651</v>
      </c>
      <c r="C3347" s="7" t="inlineStr">
        <is>
          <t>Nº 479097</t>
        </is>
      </c>
      <c r="D3347" s="8" t="inlineStr">
        <is>
          <t>SELECT 240 EC</t>
        </is>
      </c>
      <c r="E3347" s="7" t="inlineStr">
        <is>
          <t>Pulverização Agrícola Conforme Bula</t>
        </is>
      </c>
      <c r="F3347" s="7" t="inlineStr">
        <is>
          <t>Batata</t>
        </is>
      </c>
      <c r="G3347" s="7" t="inlineStr">
        <is>
          <t>Cultura Autorizada na Bula</t>
        </is>
      </c>
      <c r="H3347" s="7" t="inlineStr">
        <is>
          <t>100 a 300 L/ha</t>
        </is>
      </c>
      <c r="I3347" s="7" t="inlineStr">
        <is>
          <t>20 a 40 L/ha</t>
        </is>
      </c>
      <c r="J3347" s="7" t="inlineStr">
        <is>
          <t>20 dias</t>
        </is>
      </c>
    </row>
    <row r="3348" ht="22" customHeight="1">
      <c r="A3348" s="12" t="inlineStr">
        <is>
          <t>CUL-3344</t>
        </is>
      </c>
      <c r="B3348" s="11" t="n">
        <v>651</v>
      </c>
      <c r="C3348" s="13" t="inlineStr">
        <is>
          <t>Nº 479097</t>
        </is>
      </c>
      <c r="D3348" s="14" t="inlineStr">
        <is>
          <t>SELECT 240 EC</t>
        </is>
      </c>
      <c r="E3348" s="13" t="inlineStr">
        <is>
          <t>Pulverização Agrícola Conforme Bula</t>
        </is>
      </c>
      <c r="F3348" s="13" t="inlineStr">
        <is>
          <t>Mandioca</t>
        </is>
      </c>
      <c r="G3348" s="13" t="inlineStr">
        <is>
          <t>Cultura Autorizada na Bula</t>
        </is>
      </c>
      <c r="H3348" s="13" t="inlineStr">
        <is>
          <t>100 a 300 L/ha</t>
        </is>
      </c>
      <c r="I3348" s="13" t="inlineStr">
        <is>
          <t>20 a 40 L/ha</t>
        </is>
      </c>
      <c r="J3348" s="13" t="inlineStr">
        <is>
          <t>90 dias</t>
        </is>
      </c>
    </row>
    <row r="3349" ht="22" customHeight="1">
      <c r="A3349" s="6" t="inlineStr">
        <is>
          <t>CUL-3345</t>
        </is>
      </c>
      <c r="B3349" s="5" t="n">
        <v>651</v>
      </c>
      <c r="C3349" s="7" t="inlineStr">
        <is>
          <t>Nº 479097</t>
        </is>
      </c>
      <c r="D3349" s="8" t="inlineStr">
        <is>
          <t>SELECT 240 EC</t>
        </is>
      </c>
      <c r="E3349" s="7" t="inlineStr">
        <is>
          <t>Pulverização Agrícola Conforme Bula</t>
        </is>
      </c>
      <c r="F3349" s="7" t="inlineStr">
        <is>
          <t>Tomate</t>
        </is>
      </c>
      <c r="G3349" s="7" t="inlineStr">
        <is>
          <t>Cultura Autorizada na Bula</t>
        </is>
      </c>
      <c r="H3349" s="7" t="inlineStr">
        <is>
          <t>100 a 300 L/ha</t>
        </is>
      </c>
      <c r="I3349" s="7" t="inlineStr">
        <is>
          <t>20 a 40 L/ha</t>
        </is>
      </c>
      <c r="J3349" s="7" t="inlineStr">
        <is>
          <t>20 dias</t>
        </is>
      </c>
    </row>
    <row r="3350" ht="22" customHeight="1">
      <c r="A3350" s="12" t="inlineStr">
        <is>
          <t>CUL-3346</t>
        </is>
      </c>
      <c r="B3350" s="11" t="n">
        <v>652</v>
      </c>
      <c r="C3350" s="13" t="inlineStr">
        <is>
          <t>SIPEAGRO (UF-XXXXX)</t>
        </is>
      </c>
      <c r="D3350" s="14" t="inlineStr">
        <is>
          <t>ESTIMULUS ROOT +</t>
        </is>
      </c>
      <c r="E3350" s="13" t="inlineStr">
        <is>
          <t>Adubação de Solo / Foliar</t>
        </is>
      </c>
      <c r="F3350" s="13" t="inlineStr">
        <is>
          <t>Soja</t>
        </is>
      </c>
      <c r="G3350" s="13" t="inlineStr">
        <is>
          <t>Cultura Autorizada na Bula</t>
        </is>
      </c>
      <c r="H3350" s="13" t="inlineStr">
        <is>
          <t>100 a 300 L/ha</t>
        </is>
      </c>
      <c r="I3350" s="13" t="inlineStr">
        <is>
          <t>20 a 40 L/ha</t>
        </is>
      </c>
      <c r="J3350" s="13" t="inlineStr">
        <is>
          <t>Isento</t>
        </is>
      </c>
    </row>
    <row r="3351" ht="22" customHeight="1">
      <c r="A3351" s="6" t="inlineStr">
        <is>
          <t>CUL-3347</t>
        </is>
      </c>
      <c r="B3351" s="5" t="n">
        <v>652</v>
      </c>
      <c r="C3351" s="7" t="inlineStr">
        <is>
          <t>SIPEAGRO (UF-XXXXX)</t>
        </is>
      </c>
      <c r="D3351" s="8" t="inlineStr">
        <is>
          <t>ESTIMULUS ROOT +</t>
        </is>
      </c>
      <c r="E3351" s="7" t="inlineStr">
        <is>
          <t>Adubação de Solo / Foliar</t>
        </is>
      </c>
      <c r="F3351" s="7" t="inlineStr">
        <is>
          <t>Milho</t>
        </is>
      </c>
      <c r="G3351" s="7" t="inlineStr">
        <is>
          <t>Cultura Autorizada na Bula</t>
        </is>
      </c>
      <c r="H3351" s="7" t="inlineStr">
        <is>
          <t>100 a 300 L/ha</t>
        </is>
      </c>
      <c r="I3351" s="7" t="inlineStr">
        <is>
          <t>20 a 40 L/ha</t>
        </is>
      </c>
      <c r="J3351" s="7" t="inlineStr">
        <is>
          <t>Isento</t>
        </is>
      </c>
    </row>
    <row r="3352" ht="22" customHeight="1">
      <c r="A3352" s="12" t="inlineStr">
        <is>
          <t>CUL-3348</t>
        </is>
      </c>
      <c r="B3352" s="11" t="n">
        <v>652</v>
      </c>
      <c r="C3352" s="13" t="inlineStr">
        <is>
          <t>SIPEAGRO (UF-XXXXX)</t>
        </is>
      </c>
      <c r="D3352" s="14" t="inlineStr">
        <is>
          <t>ESTIMULUS ROOT +</t>
        </is>
      </c>
      <c r="E3352" s="13" t="inlineStr">
        <is>
          <t>Adubação de Solo / Foliar</t>
        </is>
      </c>
      <c r="F3352" s="13" t="inlineStr">
        <is>
          <t>Algodão</t>
        </is>
      </c>
      <c r="G3352" s="13" t="inlineStr">
        <is>
          <t>Cultura Autorizada na Bula</t>
        </is>
      </c>
      <c r="H3352" s="13" t="inlineStr">
        <is>
          <t>100 a 300 L/ha</t>
        </is>
      </c>
      <c r="I3352" s="13" t="inlineStr">
        <is>
          <t>20 a 40 L/ha</t>
        </is>
      </c>
      <c r="J3352" s="13" t="inlineStr">
        <is>
          <t>Isento</t>
        </is>
      </c>
    </row>
    <row r="3353" ht="22" customHeight="1">
      <c r="A3353" s="6" t="inlineStr">
        <is>
          <t>CUL-3349</t>
        </is>
      </c>
      <c r="B3353" s="5" t="n">
        <v>652</v>
      </c>
      <c r="C3353" s="7" t="inlineStr">
        <is>
          <t>SIPEAGRO (UF-XXXXX)</t>
        </is>
      </c>
      <c r="D3353" s="8" t="inlineStr">
        <is>
          <t>ESTIMULUS ROOT +</t>
        </is>
      </c>
      <c r="E3353" s="7" t="inlineStr">
        <is>
          <t>Adubação de Solo / Foliar</t>
        </is>
      </c>
      <c r="F3353" s="7" t="inlineStr">
        <is>
          <t>Cana-de-açúcar</t>
        </is>
      </c>
      <c r="G3353" s="7" t="inlineStr">
        <is>
          <t>Cultura Autorizada na Bula</t>
        </is>
      </c>
      <c r="H3353" s="7" t="inlineStr">
        <is>
          <t>100 a 300 L/ha</t>
        </is>
      </c>
      <c r="I3353" s="7" t="inlineStr">
        <is>
          <t>20 a 40 L/ha</t>
        </is>
      </c>
      <c r="J3353" s="7" t="inlineStr">
        <is>
          <t>Isento</t>
        </is>
      </c>
    </row>
    <row r="3354" ht="22" customHeight="1">
      <c r="A3354" s="12" t="inlineStr">
        <is>
          <t>CUL-3350</t>
        </is>
      </c>
      <c r="B3354" s="11" t="n">
        <v>652</v>
      </c>
      <c r="C3354" s="13" t="inlineStr">
        <is>
          <t>SIPEAGRO (UF-XXXXX)</t>
        </is>
      </c>
      <c r="D3354" s="14" t="inlineStr">
        <is>
          <t>ESTIMULUS ROOT +</t>
        </is>
      </c>
      <c r="E3354" s="13" t="inlineStr">
        <is>
          <t>Adubação de Solo / Foliar</t>
        </is>
      </c>
      <c r="F3354" s="13" t="inlineStr">
        <is>
          <t>Café</t>
        </is>
      </c>
      <c r="G3354" s="13" t="inlineStr">
        <is>
          <t>Cultura Autorizada na Bula</t>
        </is>
      </c>
      <c r="H3354" s="13" t="inlineStr">
        <is>
          <t>100 a 300 L/ha</t>
        </is>
      </c>
      <c r="I3354" s="13" t="inlineStr">
        <is>
          <t>20 a 40 L/ha</t>
        </is>
      </c>
      <c r="J3354" s="13" t="inlineStr">
        <is>
          <t>Isento</t>
        </is>
      </c>
    </row>
    <row r="3355" ht="22" customHeight="1">
      <c r="A3355" s="6" t="inlineStr">
        <is>
          <t>CUL-3351</t>
        </is>
      </c>
      <c r="B3355" s="5" t="n">
        <v>653</v>
      </c>
      <c r="C3355" s="7" t="inlineStr">
        <is>
          <t>ISENTO (ATO 104/2017)</t>
        </is>
      </c>
      <c r="D3355" s="8" t="inlineStr">
        <is>
          <t>SPREAD MPO</t>
        </is>
      </c>
      <c r="E3355" s="7" t="inlineStr">
        <is>
          <t>Pulverização Agrícola Conforme Bula</t>
        </is>
      </c>
      <c r="F3355" s="7" t="inlineStr">
        <is>
          <t>Soja, Milho, Algodão, Café, Citros, Cana-de-açúcar (Adição à calda)</t>
        </is>
      </c>
      <c r="G3355" s="7" t="inlineStr">
        <is>
          <t>Cultura Autorizada na Bula</t>
        </is>
      </c>
      <c r="H3355" s="7" t="inlineStr">
        <is>
          <t>100 a 300 L/ha</t>
        </is>
      </c>
      <c r="I3355" s="7" t="inlineStr">
        <is>
          <t>20 a 40 L/ha</t>
        </is>
      </c>
      <c r="J3355" s="7" t="inlineStr">
        <is>
          <t>Conforme defensivo principal</t>
        </is>
      </c>
    </row>
    <row r="3356" ht="22" customHeight="1">
      <c r="A3356" s="12" t="inlineStr">
        <is>
          <t>CUL-3352</t>
        </is>
      </c>
      <c r="B3356" s="11" t="n">
        <v>654</v>
      </c>
      <c r="C3356" s="13" t="inlineStr">
        <is>
          <t>ISENTO (ATO 104/2017)</t>
        </is>
      </c>
      <c r="D3356" s="14" t="inlineStr">
        <is>
          <t>AGRIS</t>
        </is>
      </c>
      <c r="E3356" s="13" t="inlineStr">
        <is>
          <t>Pulverização Agrícola Conforme Bula</t>
        </is>
      </c>
      <c r="F3356" s="13" t="inlineStr">
        <is>
          <t>Soja, Milho, Algodão, Café, Citros, Cana-de-açúcar (Adição à calda)</t>
        </is>
      </c>
      <c r="G3356" s="13" t="inlineStr">
        <is>
          <t>Cultura Autorizada na Bula</t>
        </is>
      </c>
      <c r="H3356" s="13" t="inlineStr">
        <is>
          <t>100 a 300 L/ha</t>
        </is>
      </c>
      <c r="I3356" s="13" t="inlineStr">
        <is>
          <t>20 a 40 L/ha</t>
        </is>
      </c>
      <c r="J3356" s="13" t="inlineStr">
        <is>
          <t>Conforme defensivo principal</t>
        </is>
      </c>
    </row>
    <row r="3357" ht="22" customHeight="1">
      <c r="A3357" s="6" t="inlineStr">
        <is>
          <t>CUL-3353</t>
        </is>
      </c>
      <c r="B3357" s="5" t="n">
        <v>655</v>
      </c>
      <c r="C3357" s="7" t="inlineStr">
        <is>
          <t>SIPEAGRO (UF-XXXXX)</t>
        </is>
      </c>
      <c r="D3357" s="8" t="inlineStr">
        <is>
          <t>VITAL SOLO BORO</t>
        </is>
      </c>
      <c r="E3357" s="7" t="inlineStr">
        <is>
          <t>Adubação de Solo / Foliar</t>
        </is>
      </c>
      <c r="F3357" s="7" t="inlineStr">
        <is>
          <t>Soja</t>
        </is>
      </c>
      <c r="G3357" s="7" t="inlineStr">
        <is>
          <t>Cultura Autorizada na Bula</t>
        </is>
      </c>
      <c r="H3357" s="7" t="inlineStr">
        <is>
          <t>100 a 300 L/ha</t>
        </is>
      </c>
      <c r="I3357" s="7" t="inlineStr">
        <is>
          <t>20 a 40 L/ha</t>
        </is>
      </c>
      <c r="J3357" s="7" t="inlineStr">
        <is>
          <t>Isento</t>
        </is>
      </c>
    </row>
    <row r="3358" ht="22" customHeight="1">
      <c r="A3358" s="12" t="inlineStr">
        <is>
          <t>CUL-3354</t>
        </is>
      </c>
      <c r="B3358" s="11" t="n">
        <v>655</v>
      </c>
      <c r="C3358" s="13" t="inlineStr">
        <is>
          <t>SIPEAGRO (UF-XXXXX)</t>
        </is>
      </c>
      <c r="D3358" s="14" t="inlineStr">
        <is>
          <t>VITAL SOLO BORO</t>
        </is>
      </c>
      <c r="E3358" s="13" t="inlineStr">
        <is>
          <t>Adubação de Solo / Foliar</t>
        </is>
      </c>
      <c r="F3358" s="13" t="inlineStr">
        <is>
          <t>Milho</t>
        </is>
      </c>
      <c r="G3358" s="13" t="inlineStr">
        <is>
          <t>Cultura Autorizada na Bula</t>
        </is>
      </c>
      <c r="H3358" s="13" t="inlineStr">
        <is>
          <t>100 a 300 L/ha</t>
        </is>
      </c>
      <c r="I3358" s="13" t="inlineStr">
        <is>
          <t>20 a 40 L/ha</t>
        </is>
      </c>
      <c r="J3358" s="13" t="inlineStr">
        <is>
          <t>Isento</t>
        </is>
      </c>
    </row>
    <row r="3359" ht="22" customHeight="1">
      <c r="A3359" s="6" t="inlineStr">
        <is>
          <t>CUL-3355</t>
        </is>
      </c>
      <c r="B3359" s="5" t="n">
        <v>655</v>
      </c>
      <c r="C3359" s="7" t="inlineStr">
        <is>
          <t>SIPEAGRO (UF-XXXXX)</t>
        </is>
      </c>
      <c r="D3359" s="8" t="inlineStr">
        <is>
          <t>VITAL SOLO BORO</t>
        </is>
      </c>
      <c r="E3359" s="7" t="inlineStr">
        <is>
          <t>Adubação de Solo / Foliar</t>
        </is>
      </c>
      <c r="F3359" s="7" t="inlineStr">
        <is>
          <t>Algodão</t>
        </is>
      </c>
      <c r="G3359" s="7" t="inlineStr">
        <is>
          <t>Cultura Autorizada na Bula</t>
        </is>
      </c>
      <c r="H3359" s="7" t="inlineStr">
        <is>
          <t>100 a 300 L/ha</t>
        </is>
      </c>
      <c r="I3359" s="7" t="inlineStr">
        <is>
          <t>20 a 40 L/ha</t>
        </is>
      </c>
      <c r="J3359" s="7" t="inlineStr">
        <is>
          <t>Isento</t>
        </is>
      </c>
    </row>
    <row r="3360" ht="22" customHeight="1">
      <c r="A3360" s="12" t="inlineStr">
        <is>
          <t>CUL-3356</t>
        </is>
      </c>
      <c r="B3360" s="11" t="n">
        <v>655</v>
      </c>
      <c r="C3360" s="13" t="inlineStr">
        <is>
          <t>SIPEAGRO (UF-XXXXX)</t>
        </is>
      </c>
      <c r="D3360" s="14" t="inlineStr">
        <is>
          <t>VITAL SOLO BORO</t>
        </is>
      </c>
      <c r="E3360" s="13" t="inlineStr">
        <is>
          <t>Adubação de Solo / Foliar</t>
        </is>
      </c>
      <c r="F3360" s="13" t="inlineStr">
        <is>
          <t>Cana-de-açúcar</t>
        </is>
      </c>
      <c r="G3360" s="13" t="inlineStr">
        <is>
          <t>Cultura Autorizada na Bula</t>
        </is>
      </c>
      <c r="H3360" s="13" t="inlineStr">
        <is>
          <t>100 a 300 L/ha</t>
        </is>
      </c>
      <c r="I3360" s="13" t="inlineStr">
        <is>
          <t>20 a 40 L/ha</t>
        </is>
      </c>
      <c r="J3360" s="13" t="inlineStr">
        <is>
          <t>Isento</t>
        </is>
      </c>
    </row>
    <row r="3361" ht="22" customHeight="1">
      <c r="A3361" s="6" t="inlineStr">
        <is>
          <t>CUL-3357</t>
        </is>
      </c>
      <c r="B3361" s="5" t="n">
        <v>655</v>
      </c>
      <c r="C3361" s="7" t="inlineStr">
        <is>
          <t>SIPEAGRO (UF-XXXXX)</t>
        </is>
      </c>
      <c r="D3361" s="8" t="inlineStr">
        <is>
          <t>VITAL SOLO BORO</t>
        </is>
      </c>
      <c r="E3361" s="7" t="inlineStr">
        <is>
          <t>Adubação de Solo / Foliar</t>
        </is>
      </c>
      <c r="F3361" s="7" t="inlineStr">
        <is>
          <t>Café</t>
        </is>
      </c>
      <c r="G3361" s="7" t="inlineStr">
        <is>
          <t>Cultura Autorizada na Bula</t>
        </is>
      </c>
      <c r="H3361" s="7" t="inlineStr">
        <is>
          <t>100 a 300 L/ha</t>
        </is>
      </c>
      <c r="I3361" s="7" t="inlineStr">
        <is>
          <t>20 a 40 L/ha</t>
        </is>
      </c>
      <c r="J3361" s="7" t="inlineStr">
        <is>
          <t>Isento</t>
        </is>
      </c>
    </row>
    <row r="3362" ht="22" customHeight="1">
      <c r="A3362" s="12" t="inlineStr">
        <is>
          <t>CUL-3358</t>
        </is>
      </c>
      <c r="B3362" s="11" t="n">
        <v>656</v>
      </c>
      <c r="C3362" s="13" t="inlineStr">
        <is>
          <t>SIPEAGRO (UF-XXXXX)</t>
        </is>
      </c>
      <c r="D3362" s="14" t="inlineStr">
        <is>
          <t>RESISTANCE BAC-F</t>
        </is>
      </c>
      <c r="E3362" s="13" t="inlineStr">
        <is>
          <t>Adubação de Solo / Foliar</t>
        </is>
      </c>
      <c r="F3362" s="13" t="inlineStr">
        <is>
          <t>Soja</t>
        </is>
      </c>
      <c r="G3362" s="13" t="inlineStr">
        <is>
          <t>Cultura Autorizada na Bula</t>
        </is>
      </c>
      <c r="H3362" s="13" t="inlineStr">
        <is>
          <t>100 a 300 L/ha</t>
        </is>
      </c>
      <c r="I3362" s="13" t="inlineStr">
        <is>
          <t>20 a 40 L/ha</t>
        </is>
      </c>
      <c r="J3362" s="13" t="inlineStr">
        <is>
          <t>Isento</t>
        </is>
      </c>
    </row>
    <row r="3363" ht="22" customHeight="1">
      <c r="A3363" s="6" t="inlineStr">
        <is>
          <t>CUL-3359</t>
        </is>
      </c>
      <c r="B3363" s="5" t="n">
        <v>656</v>
      </c>
      <c r="C3363" s="7" t="inlineStr">
        <is>
          <t>SIPEAGRO (UF-XXXXX)</t>
        </is>
      </c>
      <c r="D3363" s="8" t="inlineStr">
        <is>
          <t>RESISTANCE BAC-F</t>
        </is>
      </c>
      <c r="E3363" s="7" t="inlineStr">
        <is>
          <t>Adubação de Solo / Foliar</t>
        </is>
      </c>
      <c r="F3363" s="7" t="inlineStr">
        <is>
          <t>Milho</t>
        </is>
      </c>
      <c r="G3363" s="7" t="inlineStr">
        <is>
          <t>Cultura Autorizada na Bula</t>
        </is>
      </c>
      <c r="H3363" s="7" t="inlineStr">
        <is>
          <t>100 a 300 L/ha</t>
        </is>
      </c>
      <c r="I3363" s="7" t="inlineStr">
        <is>
          <t>20 a 40 L/ha</t>
        </is>
      </c>
      <c r="J3363" s="7" t="inlineStr">
        <is>
          <t>Isento</t>
        </is>
      </c>
    </row>
    <row r="3364" ht="22" customHeight="1">
      <c r="A3364" s="12" t="inlineStr">
        <is>
          <t>CUL-3360</t>
        </is>
      </c>
      <c r="B3364" s="11" t="n">
        <v>656</v>
      </c>
      <c r="C3364" s="13" t="inlineStr">
        <is>
          <t>SIPEAGRO (UF-XXXXX)</t>
        </is>
      </c>
      <c r="D3364" s="14" t="inlineStr">
        <is>
          <t>RESISTANCE BAC-F</t>
        </is>
      </c>
      <c r="E3364" s="13" t="inlineStr">
        <is>
          <t>Adubação de Solo / Foliar</t>
        </is>
      </c>
      <c r="F3364" s="13" t="inlineStr">
        <is>
          <t>Algodão</t>
        </is>
      </c>
      <c r="G3364" s="13" t="inlineStr">
        <is>
          <t>Cultura Autorizada na Bula</t>
        </is>
      </c>
      <c r="H3364" s="13" t="inlineStr">
        <is>
          <t>100 a 300 L/ha</t>
        </is>
      </c>
      <c r="I3364" s="13" t="inlineStr">
        <is>
          <t>20 a 40 L/ha</t>
        </is>
      </c>
      <c r="J3364" s="13" t="inlineStr">
        <is>
          <t>Isento</t>
        </is>
      </c>
    </row>
    <row r="3365" ht="22" customHeight="1">
      <c r="A3365" s="6" t="inlineStr">
        <is>
          <t>CUL-3361</t>
        </is>
      </c>
      <c r="B3365" s="5" t="n">
        <v>656</v>
      </c>
      <c r="C3365" s="7" t="inlineStr">
        <is>
          <t>SIPEAGRO (UF-XXXXX)</t>
        </is>
      </c>
      <c r="D3365" s="8" t="inlineStr">
        <is>
          <t>RESISTANCE BAC-F</t>
        </is>
      </c>
      <c r="E3365" s="7" t="inlineStr">
        <is>
          <t>Adubação de Solo / Foliar</t>
        </is>
      </c>
      <c r="F3365" s="7" t="inlineStr">
        <is>
          <t>Cana-de-açúcar</t>
        </is>
      </c>
      <c r="G3365" s="7" t="inlineStr">
        <is>
          <t>Cultura Autorizada na Bula</t>
        </is>
      </c>
      <c r="H3365" s="7" t="inlineStr">
        <is>
          <t>100 a 300 L/ha</t>
        </is>
      </c>
      <c r="I3365" s="7" t="inlineStr">
        <is>
          <t>20 a 40 L/ha</t>
        </is>
      </c>
      <c r="J3365" s="7" t="inlineStr">
        <is>
          <t>Isento</t>
        </is>
      </c>
    </row>
    <row r="3366" ht="22" customHeight="1">
      <c r="A3366" s="12" t="inlineStr">
        <is>
          <t>CUL-3362</t>
        </is>
      </c>
      <c r="B3366" s="11" t="n">
        <v>656</v>
      </c>
      <c r="C3366" s="13" t="inlineStr">
        <is>
          <t>SIPEAGRO (UF-XXXXX)</t>
        </is>
      </c>
      <c r="D3366" s="14" t="inlineStr">
        <is>
          <t>RESISTANCE BAC-F</t>
        </is>
      </c>
      <c r="E3366" s="13" t="inlineStr">
        <is>
          <t>Adubação de Solo / Foliar</t>
        </is>
      </c>
      <c r="F3366" s="13" t="inlineStr">
        <is>
          <t>Café</t>
        </is>
      </c>
      <c r="G3366" s="13" t="inlineStr">
        <is>
          <t>Cultura Autorizada na Bula</t>
        </is>
      </c>
      <c r="H3366" s="13" t="inlineStr">
        <is>
          <t>100 a 300 L/ha</t>
        </is>
      </c>
      <c r="I3366" s="13" t="inlineStr">
        <is>
          <t>20 a 40 L/ha</t>
        </is>
      </c>
      <c r="J3366" s="13" t="inlineStr">
        <is>
          <t>Isento</t>
        </is>
      </c>
    </row>
    <row r="3367" ht="22" customHeight="1">
      <c r="A3367" s="6" t="inlineStr">
        <is>
          <t>CUL-3363</t>
        </is>
      </c>
      <c r="B3367" s="5" t="n">
        <v>657</v>
      </c>
      <c r="C3367" s="7" t="inlineStr">
        <is>
          <t>SIPEAGRO (UF-XXXXX)</t>
        </is>
      </c>
      <c r="D3367" s="8" t="inlineStr">
        <is>
          <t>RESISTANCE BAC-F</t>
        </is>
      </c>
      <c r="E3367" s="7" t="inlineStr">
        <is>
          <t>Adubação de Solo / Foliar</t>
        </is>
      </c>
      <c r="F3367" s="7" t="inlineStr">
        <is>
          <t>Soja</t>
        </is>
      </c>
      <c r="G3367" s="7" t="inlineStr">
        <is>
          <t>Cultura Autorizada na Bula</t>
        </is>
      </c>
      <c r="H3367" s="7" t="inlineStr">
        <is>
          <t>100 a 300 L/ha</t>
        </is>
      </c>
      <c r="I3367" s="7" t="inlineStr">
        <is>
          <t>20 a 40 L/ha</t>
        </is>
      </c>
      <c r="J3367" s="7" t="inlineStr">
        <is>
          <t>Isento</t>
        </is>
      </c>
    </row>
    <row r="3368" ht="22" customHeight="1">
      <c r="A3368" s="12" t="inlineStr">
        <is>
          <t>CUL-3364</t>
        </is>
      </c>
      <c r="B3368" s="11" t="n">
        <v>657</v>
      </c>
      <c r="C3368" s="13" t="inlineStr">
        <is>
          <t>SIPEAGRO (UF-XXXXX)</t>
        </is>
      </c>
      <c r="D3368" s="14" t="inlineStr">
        <is>
          <t>RESISTANCE BAC-F</t>
        </is>
      </c>
      <c r="E3368" s="13" t="inlineStr">
        <is>
          <t>Adubação de Solo / Foliar</t>
        </is>
      </c>
      <c r="F3368" s="13" t="inlineStr">
        <is>
          <t>Milho</t>
        </is>
      </c>
      <c r="G3368" s="13" t="inlineStr">
        <is>
          <t>Cultura Autorizada na Bula</t>
        </is>
      </c>
      <c r="H3368" s="13" t="inlineStr">
        <is>
          <t>100 a 300 L/ha</t>
        </is>
      </c>
      <c r="I3368" s="13" t="inlineStr">
        <is>
          <t>20 a 40 L/ha</t>
        </is>
      </c>
      <c r="J3368" s="13" t="inlineStr">
        <is>
          <t>Isento</t>
        </is>
      </c>
    </row>
    <row r="3369" ht="22" customHeight="1">
      <c r="A3369" s="6" t="inlineStr">
        <is>
          <t>CUL-3365</t>
        </is>
      </c>
      <c r="B3369" s="5" t="n">
        <v>657</v>
      </c>
      <c r="C3369" s="7" t="inlineStr">
        <is>
          <t>SIPEAGRO (UF-XXXXX)</t>
        </is>
      </c>
      <c r="D3369" s="8" t="inlineStr">
        <is>
          <t>RESISTANCE BAC-F</t>
        </is>
      </c>
      <c r="E3369" s="7" t="inlineStr">
        <is>
          <t>Adubação de Solo / Foliar</t>
        </is>
      </c>
      <c r="F3369" s="7" t="inlineStr">
        <is>
          <t>Algodão</t>
        </is>
      </c>
      <c r="G3369" s="7" t="inlineStr">
        <is>
          <t>Cultura Autorizada na Bula</t>
        </is>
      </c>
      <c r="H3369" s="7" t="inlineStr">
        <is>
          <t>100 a 300 L/ha</t>
        </is>
      </c>
      <c r="I3369" s="7" t="inlineStr">
        <is>
          <t>20 a 40 L/ha</t>
        </is>
      </c>
      <c r="J3369" s="7" t="inlineStr">
        <is>
          <t>Isento</t>
        </is>
      </c>
    </row>
    <row r="3370" ht="22" customHeight="1">
      <c r="A3370" s="12" t="inlineStr">
        <is>
          <t>CUL-3366</t>
        </is>
      </c>
      <c r="B3370" s="11" t="n">
        <v>657</v>
      </c>
      <c r="C3370" s="13" t="inlineStr">
        <is>
          <t>SIPEAGRO (UF-XXXXX)</t>
        </is>
      </c>
      <c r="D3370" s="14" t="inlineStr">
        <is>
          <t>RESISTANCE BAC-F</t>
        </is>
      </c>
      <c r="E3370" s="13" t="inlineStr">
        <is>
          <t>Adubação de Solo / Foliar</t>
        </is>
      </c>
      <c r="F3370" s="13" t="inlineStr">
        <is>
          <t>Cana-de-açúcar</t>
        </is>
      </c>
      <c r="G3370" s="13" t="inlineStr">
        <is>
          <t>Cultura Autorizada na Bula</t>
        </is>
      </c>
      <c r="H3370" s="13" t="inlineStr">
        <is>
          <t>100 a 300 L/ha</t>
        </is>
      </c>
      <c r="I3370" s="13" t="inlineStr">
        <is>
          <t>20 a 40 L/ha</t>
        </is>
      </c>
      <c r="J3370" s="13" t="inlineStr">
        <is>
          <t>Isento</t>
        </is>
      </c>
    </row>
    <row r="3371" ht="22" customHeight="1">
      <c r="A3371" s="6" t="inlineStr">
        <is>
          <t>CUL-3367</t>
        </is>
      </c>
      <c r="B3371" s="5" t="n">
        <v>657</v>
      </c>
      <c r="C3371" s="7" t="inlineStr">
        <is>
          <t>SIPEAGRO (UF-XXXXX)</t>
        </is>
      </c>
      <c r="D3371" s="8" t="inlineStr">
        <is>
          <t>RESISTANCE BAC-F</t>
        </is>
      </c>
      <c r="E3371" s="7" t="inlineStr">
        <is>
          <t>Adubação de Solo / Foliar</t>
        </is>
      </c>
      <c r="F3371" s="7" t="inlineStr">
        <is>
          <t>Café</t>
        </is>
      </c>
      <c r="G3371" s="7" t="inlineStr">
        <is>
          <t>Cultura Autorizada na Bula</t>
        </is>
      </c>
      <c r="H3371" s="7" t="inlineStr">
        <is>
          <t>100 a 300 L/ha</t>
        </is>
      </c>
      <c r="I3371" s="7" t="inlineStr">
        <is>
          <t>20 a 40 L/ha</t>
        </is>
      </c>
      <c r="J3371" s="7" t="inlineStr">
        <is>
          <t>Isento</t>
        </is>
      </c>
    </row>
    <row r="3372" ht="22" customHeight="1">
      <c r="A3372" s="12" t="inlineStr">
        <is>
          <t>CUL-3368</t>
        </is>
      </c>
      <c r="B3372" s="11" t="n">
        <v>658</v>
      </c>
      <c r="C3372" s="13" t="inlineStr">
        <is>
          <t>Nº 3123</t>
        </is>
      </c>
      <c r="D3372" s="14" t="inlineStr">
        <is>
          <t>IMIDACLOPRID NORTOX</t>
        </is>
      </c>
      <c r="E3372" s="13" t="inlineStr">
        <is>
          <t>Pulverização Agrícola Conforme Bula</t>
        </is>
      </c>
      <c r="F3372" s="13" t="inlineStr">
        <is>
          <t>Soja</t>
        </is>
      </c>
      <c r="G3372" s="13" t="inlineStr">
        <is>
          <t>Cultura Autorizada na Bula</t>
        </is>
      </c>
      <c r="H3372" s="13" t="inlineStr">
        <is>
          <t>100 a 300 L/ha</t>
        </is>
      </c>
      <c r="I3372" s="13" t="inlineStr">
        <is>
          <t>20 a 40 L/ha</t>
        </is>
      </c>
      <c r="J3372" s="13" t="inlineStr">
        <is>
          <t>21 dias</t>
        </is>
      </c>
    </row>
    <row r="3373" ht="22" customHeight="1">
      <c r="A3373" s="6" t="inlineStr">
        <is>
          <t>CUL-3369</t>
        </is>
      </c>
      <c r="B3373" s="5" t="n">
        <v>658</v>
      </c>
      <c r="C3373" s="7" t="inlineStr">
        <is>
          <t>Nº 3123</t>
        </is>
      </c>
      <c r="D3373" s="8" t="inlineStr">
        <is>
          <t>IMIDACLOPRID NORTOX</t>
        </is>
      </c>
      <c r="E3373" s="7" t="inlineStr">
        <is>
          <t>Pulverização Agrícola Conforme Bula</t>
        </is>
      </c>
      <c r="F3373" s="7" t="inlineStr">
        <is>
          <t>Milho</t>
        </is>
      </c>
      <c r="G3373" s="7" t="inlineStr">
        <is>
          <t>Cultura Autorizada na Bula</t>
        </is>
      </c>
      <c r="H3373" s="7" t="inlineStr">
        <is>
          <t>100 a 300 L/ha</t>
        </is>
      </c>
      <c r="I3373" s="7" t="inlineStr">
        <is>
          <t>20 a 40 L/ha</t>
        </is>
      </c>
      <c r="J3373" s="7" t="inlineStr">
        <is>
          <t>21 dias</t>
        </is>
      </c>
    </row>
    <row r="3374" ht="22" customHeight="1">
      <c r="A3374" s="12" t="inlineStr">
        <is>
          <t>CUL-3370</t>
        </is>
      </c>
      <c r="B3374" s="11" t="n">
        <v>658</v>
      </c>
      <c r="C3374" s="13" t="inlineStr">
        <is>
          <t>Nº 3123</t>
        </is>
      </c>
      <c r="D3374" s="14" t="inlineStr">
        <is>
          <t>IMIDACLOPRID NORTOX</t>
        </is>
      </c>
      <c r="E3374" s="13" t="inlineStr">
        <is>
          <t>Pulverização Agrícola Conforme Bula</t>
        </is>
      </c>
      <c r="F3374" s="13" t="inlineStr">
        <is>
          <t>Algodão</t>
        </is>
      </c>
      <c r="G3374" s="13" t="inlineStr">
        <is>
          <t>Cultura Autorizada na Bula</t>
        </is>
      </c>
      <c r="H3374" s="13" t="inlineStr">
        <is>
          <t>100 a 300 L/ha</t>
        </is>
      </c>
      <c r="I3374" s="13" t="inlineStr">
        <is>
          <t>20 a 40 L/ha</t>
        </is>
      </c>
      <c r="J3374" s="13" t="inlineStr">
        <is>
          <t>21 dias</t>
        </is>
      </c>
    </row>
    <row r="3375" ht="22" customHeight="1">
      <c r="A3375" s="6" t="inlineStr">
        <is>
          <t>CUL-3371</t>
        </is>
      </c>
      <c r="B3375" s="5" t="n">
        <v>658</v>
      </c>
      <c r="C3375" s="7" t="inlineStr">
        <is>
          <t>Nº 3123</t>
        </is>
      </c>
      <c r="D3375" s="8" t="inlineStr">
        <is>
          <t>IMIDACLOPRID NORTOX</t>
        </is>
      </c>
      <c r="E3375" s="7" t="inlineStr">
        <is>
          <t>Pulverização Agrícola Conforme Bula</t>
        </is>
      </c>
      <c r="F3375" s="7" t="inlineStr">
        <is>
          <t>Feijão</t>
        </is>
      </c>
      <c r="G3375" s="7" t="inlineStr">
        <is>
          <t>Cultura Autorizada na Bula</t>
        </is>
      </c>
      <c r="H3375" s="7" t="inlineStr">
        <is>
          <t>100 a 300 L/ha</t>
        </is>
      </c>
      <c r="I3375" s="7" t="inlineStr">
        <is>
          <t>20 a 40 L/ha</t>
        </is>
      </c>
      <c r="J3375" s="7" t="inlineStr">
        <is>
          <t>14 dias</t>
        </is>
      </c>
    </row>
    <row r="3376" ht="22" customHeight="1">
      <c r="A3376" s="12" t="inlineStr">
        <is>
          <t>CUL-3372</t>
        </is>
      </c>
      <c r="B3376" s="11" t="n">
        <v>659</v>
      </c>
      <c r="C3376" s="13" t="inlineStr">
        <is>
          <t>Nº 15420</t>
        </is>
      </c>
      <c r="D3376" s="14" t="inlineStr">
        <is>
          <t>KYOJIN</t>
        </is>
      </c>
      <c r="E3376" s="13" t="inlineStr">
        <is>
          <t>Pulverização Agrícola Conforme Bula</t>
        </is>
      </c>
      <c r="F3376" s="13" t="inlineStr">
        <is>
          <t>Soja (Pré-Plantio)</t>
        </is>
      </c>
      <c r="G3376" s="13" t="inlineStr">
        <is>
          <t>Cultura Autorizada na Bula</t>
        </is>
      </c>
      <c r="H3376" s="13" t="inlineStr">
        <is>
          <t>100 a 300 L/ha</t>
        </is>
      </c>
      <c r="I3376" s="13" t="inlineStr">
        <is>
          <t>20 a 40 L/ha</t>
        </is>
      </c>
      <c r="J3376" s="13" t="inlineStr">
        <is>
          <t>N/D</t>
        </is>
      </c>
    </row>
    <row r="3377" ht="22" customHeight="1">
      <c r="A3377" s="6" t="inlineStr">
        <is>
          <t>CUL-3373</t>
        </is>
      </c>
      <c r="B3377" s="5" t="n">
        <v>659</v>
      </c>
      <c r="C3377" s="7" t="inlineStr">
        <is>
          <t>Nº 15420</t>
        </is>
      </c>
      <c r="D3377" s="8" t="inlineStr">
        <is>
          <t>KYOJIN</t>
        </is>
      </c>
      <c r="E3377" s="7" t="inlineStr">
        <is>
          <t>Pulverização Agrícola Conforme Bula</t>
        </is>
      </c>
      <c r="F3377" s="7" t="inlineStr">
        <is>
          <t>Algodão</t>
        </is>
      </c>
      <c r="G3377" s="7" t="inlineStr">
        <is>
          <t>Cultura Autorizada na Bula</t>
        </is>
      </c>
      <c r="H3377" s="7" t="inlineStr">
        <is>
          <t>100 a 300 L/ha</t>
        </is>
      </c>
      <c r="I3377" s="7" t="inlineStr">
        <is>
          <t>20 a 40 L/ha</t>
        </is>
      </c>
      <c r="J3377" s="7" t="inlineStr">
        <is>
          <t>90 dias</t>
        </is>
      </c>
    </row>
    <row r="3378" ht="22" customHeight="1">
      <c r="A3378" s="12" t="inlineStr">
        <is>
          <t>CUL-3374</t>
        </is>
      </c>
      <c r="B3378" s="11" t="n">
        <v>659</v>
      </c>
      <c r="C3378" s="13" t="inlineStr">
        <is>
          <t>Nº 15420</t>
        </is>
      </c>
      <c r="D3378" s="14" t="inlineStr">
        <is>
          <t>KYOJIN</t>
        </is>
      </c>
      <c r="E3378" s="13" t="inlineStr">
        <is>
          <t>Pulverização Agrícola Conforme Bula</t>
        </is>
      </c>
      <c r="F3378" s="13" t="inlineStr">
        <is>
          <t>Cana-de-açúcar</t>
        </is>
      </c>
      <c r="G3378" s="13" t="inlineStr">
        <is>
          <t>Cultura Autorizada na Bula</t>
        </is>
      </c>
      <c r="H3378" s="13" t="inlineStr">
        <is>
          <t>100 a 300 L/ha</t>
        </is>
      </c>
      <c r="I3378" s="13" t="inlineStr">
        <is>
          <t>20 a 40 L/ha</t>
        </is>
      </c>
      <c r="J3378" s="13" t="inlineStr">
        <is>
          <t>85 dias</t>
        </is>
      </c>
    </row>
    <row r="3379" ht="22" customHeight="1">
      <c r="A3379" s="6" t="inlineStr">
        <is>
          <t>CUL-3375</t>
        </is>
      </c>
      <c r="B3379" s="5" t="n">
        <v>659</v>
      </c>
      <c r="C3379" s="7" t="inlineStr">
        <is>
          <t>Nº 15420</t>
        </is>
      </c>
      <c r="D3379" s="8" t="inlineStr">
        <is>
          <t>KYOJIN</t>
        </is>
      </c>
      <c r="E3379" s="7" t="inlineStr">
        <is>
          <t>Pulverização Agrícola Conforme Bula</t>
        </is>
      </c>
      <c r="F3379" s="7" t="inlineStr">
        <is>
          <t>Café</t>
        </is>
      </c>
      <c r="G3379" s="7" t="inlineStr">
        <is>
          <t>Cultura Autorizada na Bula</t>
        </is>
      </c>
      <c r="H3379" s="7" t="inlineStr">
        <is>
          <t>100 a 300 L/ha</t>
        </is>
      </c>
      <c r="I3379" s="7" t="inlineStr">
        <is>
          <t>20 a 40 L/ha</t>
        </is>
      </c>
      <c r="J3379" s="7" t="inlineStr">
        <is>
          <t>15 dias</t>
        </is>
      </c>
    </row>
    <row r="3380" ht="22" customHeight="1">
      <c r="A3380" s="12" t="inlineStr">
        <is>
          <t>CUL-3376</t>
        </is>
      </c>
      <c r="B3380" s="11" t="n">
        <v>659</v>
      </c>
      <c r="C3380" s="13" t="inlineStr">
        <is>
          <t>Nº 15420</t>
        </is>
      </c>
      <c r="D3380" s="14" t="inlineStr">
        <is>
          <t>KYOJIN</t>
        </is>
      </c>
      <c r="E3380" s="13" t="inlineStr">
        <is>
          <t>Pulverização Agrícola Conforme Bula</t>
        </is>
      </c>
      <c r="F3380" s="13" t="inlineStr">
        <is>
          <t>Citros</t>
        </is>
      </c>
      <c r="G3380" s="13" t="inlineStr">
        <is>
          <t>Cultura Autorizada na Bula</t>
        </is>
      </c>
      <c r="H3380" s="13" t="inlineStr">
        <is>
          <t>100 a 300 L/ha</t>
        </is>
      </c>
      <c r="I3380" s="13" t="inlineStr">
        <is>
          <t>20 a 40 L/ha</t>
        </is>
      </c>
      <c r="J3380" s="13" t="inlineStr">
        <is>
          <t>N/D</t>
        </is>
      </c>
    </row>
    <row r="3381" ht="22" customHeight="1">
      <c r="A3381" s="6" t="inlineStr">
        <is>
          <t>CUL-3377</t>
        </is>
      </c>
      <c r="B3381" s="5" t="n">
        <v>659</v>
      </c>
      <c r="C3381" s="7" t="inlineStr">
        <is>
          <t>Nº 15420</t>
        </is>
      </c>
      <c r="D3381" s="8" t="inlineStr">
        <is>
          <t>KYOJIN</t>
        </is>
      </c>
      <c r="E3381" s="7" t="inlineStr">
        <is>
          <t>Pulverização Agrícola Conforme Bula</t>
        </is>
      </c>
      <c r="F3381" s="7" t="inlineStr">
        <is>
          <t>Feijão</t>
        </is>
      </c>
      <c r="G3381" s="7" t="inlineStr">
        <is>
          <t>Cultura Autorizada na Bula</t>
        </is>
      </c>
      <c r="H3381" s="7" t="inlineStr">
        <is>
          <t>100 a 300 L/ha</t>
        </is>
      </c>
      <c r="I3381" s="7" t="inlineStr">
        <is>
          <t>20 a 40 L/ha</t>
        </is>
      </c>
      <c r="J3381" s="7" t="inlineStr">
        <is>
          <t>N/D</t>
        </is>
      </c>
    </row>
    <row r="3382" ht="22" customHeight="1">
      <c r="A3382" s="12" t="inlineStr">
        <is>
          <t>CUL-3378</t>
        </is>
      </c>
      <c r="B3382" s="11" t="n">
        <v>660</v>
      </c>
      <c r="C3382" s="13" t="inlineStr">
        <is>
          <t>Nº 9917</t>
        </is>
      </c>
      <c r="D3382" s="14" t="inlineStr">
        <is>
          <t>PRISMA PLUS</t>
        </is>
      </c>
      <c r="E3382" s="13" t="inlineStr">
        <is>
          <t>Pulverização Agrícola Conforme Bula</t>
        </is>
      </c>
      <c r="F3382" s="13" t="inlineStr">
        <is>
          <t>Soja</t>
        </is>
      </c>
      <c r="G3382" s="13" t="inlineStr">
        <is>
          <t>Cultura Autorizada na Bula</t>
        </is>
      </c>
      <c r="H3382" s="13" t="inlineStr">
        <is>
          <t>100 a 300 L/ha</t>
        </is>
      </c>
      <c r="I3382" s="13" t="inlineStr">
        <is>
          <t>20 a 40 L/ha</t>
        </is>
      </c>
      <c r="J3382" s="13" t="inlineStr">
        <is>
          <t>30 dias</t>
        </is>
      </c>
    </row>
    <row r="3383" ht="22" customHeight="1">
      <c r="A3383" s="6" t="inlineStr">
        <is>
          <t>CUL-3379</t>
        </is>
      </c>
      <c r="B3383" s="5" t="n">
        <v>660</v>
      </c>
      <c r="C3383" s="7" t="inlineStr">
        <is>
          <t>Nº 9917</t>
        </is>
      </c>
      <c r="D3383" s="8" t="inlineStr">
        <is>
          <t>PRISMA PLUS</t>
        </is>
      </c>
      <c r="E3383" s="7" t="inlineStr">
        <is>
          <t>Pulverização Agrícola Conforme Bula</t>
        </is>
      </c>
      <c r="F3383" s="7" t="inlineStr">
        <is>
          <t>Algodão</t>
        </is>
      </c>
      <c r="G3383" s="7" t="inlineStr">
        <is>
          <t>Cultura Autorizada na Bula</t>
        </is>
      </c>
      <c r="H3383" s="7" t="inlineStr">
        <is>
          <t>100 a 300 L/ha</t>
        </is>
      </c>
      <c r="I3383" s="7" t="inlineStr">
        <is>
          <t>20 a 40 L/ha</t>
        </is>
      </c>
      <c r="J3383" s="7" t="inlineStr">
        <is>
          <t>30 dias</t>
        </is>
      </c>
    </row>
    <row r="3384" ht="22" customHeight="1">
      <c r="A3384" s="12" t="inlineStr">
        <is>
          <t>CUL-3380</t>
        </is>
      </c>
      <c r="B3384" s="11" t="n">
        <v>660</v>
      </c>
      <c r="C3384" s="13" t="inlineStr">
        <is>
          <t>Nº 9917</t>
        </is>
      </c>
      <c r="D3384" s="14" t="inlineStr">
        <is>
          <t>PRISMA PLUS</t>
        </is>
      </c>
      <c r="E3384" s="13" t="inlineStr">
        <is>
          <t>Pulverização Agrícola Conforme Bula</t>
        </is>
      </c>
      <c r="F3384" s="13" t="inlineStr">
        <is>
          <t>Feijão</t>
        </is>
      </c>
      <c r="G3384" s="13" t="inlineStr">
        <is>
          <t>Cultura Autorizada na Bula</t>
        </is>
      </c>
      <c r="H3384" s="13" t="inlineStr">
        <is>
          <t>100 a 300 L/ha</t>
        </is>
      </c>
      <c r="I3384" s="13" t="inlineStr">
        <is>
          <t>20 a 40 L/ha</t>
        </is>
      </c>
      <c r="J3384" s="13" t="inlineStr">
        <is>
          <t>14 dias</t>
        </is>
      </c>
    </row>
    <row r="3385" ht="22" customHeight="1">
      <c r="A3385" s="6" t="inlineStr">
        <is>
          <t>CUL-3381</t>
        </is>
      </c>
      <c r="B3385" s="5" t="n">
        <v>660</v>
      </c>
      <c r="C3385" s="7" t="inlineStr">
        <is>
          <t>Nº 9917</t>
        </is>
      </c>
      <c r="D3385" s="8" t="inlineStr">
        <is>
          <t>PRISMA PLUS</t>
        </is>
      </c>
      <c r="E3385" s="7" t="inlineStr">
        <is>
          <t>Pulverização Agrícola Conforme Bula</t>
        </is>
      </c>
      <c r="F3385" s="7" t="inlineStr">
        <is>
          <t>Arroz</t>
        </is>
      </c>
      <c r="G3385" s="7" t="inlineStr">
        <is>
          <t>Cultura Autorizada na Bula</t>
        </is>
      </c>
      <c r="H3385" s="7" t="inlineStr">
        <is>
          <t>100 a 300 L/ha</t>
        </is>
      </c>
      <c r="I3385" s="7" t="inlineStr">
        <is>
          <t>20 a 40 L/ha</t>
        </is>
      </c>
      <c r="J3385" s="7" t="inlineStr">
        <is>
          <t>40 dias</t>
        </is>
      </c>
    </row>
    <row r="3386" ht="22" customHeight="1">
      <c r="A3386" s="12" t="inlineStr">
        <is>
          <t>CUL-3382</t>
        </is>
      </c>
      <c r="B3386" s="11" t="n">
        <v>660</v>
      </c>
      <c r="C3386" s="13" t="inlineStr">
        <is>
          <t>Nº 9917</t>
        </is>
      </c>
      <c r="D3386" s="14" t="inlineStr">
        <is>
          <t>PRISMA PLUS</t>
        </is>
      </c>
      <c r="E3386" s="13" t="inlineStr">
        <is>
          <t>Pulverização Agrícola Conforme Bula</t>
        </is>
      </c>
      <c r="F3386" s="13" t="inlineStr">
        <is>
          <t>Café</t>
        </is>
      </c>
      <c r="G3386" s="13" t="inlineStr">
        <is>
          <t>Cultura Autorizada na Bula</t>
        </is>
      </c>
      <c r="H3386" s="13" t="inlineStr">
        <is>
          <t>100 a 300 L/ha</t>
        </is>
      </c>
      <c r="I3386" s="13" t="inlineStr">
        <is>
          <t>20 a 40 L/ha</t>
        </is>
      </c>
      <c r="J3386" s="13" t="inlineStr">
        <is>
          <t>30 dias</t>
        </is>
      </c>
    </row>
    <row r="3387" ht="22" customHeight="1">
      <c r="A3387" s="6" t="inlineStr">
        <is>
          <t>CUL-3383</t>
        </is>
      </c>
      <c r="B3387" s="5" t="n">
        <v>660</v>
      </c>
      <c r="C3387" s="7" t="inlineStr">
        <is>
          <t>Nº 9917</t>
        </is>
      </c>
      <c r="D3387" s="8" t="inlineStr">
        <is>
          <t>PRISMA PLUS</t>
        </is>
      </c>
      <c r="E3387" s="7" t="inlineStr">
        <is>
          <t>Pulverização Agrícola Conforme Bula</t>
        </is>
      </c>
      <c r="F3387" s="7" t="inlineStr">
        <is>
          <t>Trigo</t>
        </is>
      </c>
      <c r="G3387" s="7" t="inlineStr">
        <is>
          <t>Cultura Autorizada na Bula</t>
        </is>
      </c>
      <c r="H3387" s="7" t="inlineStr">
        <is>
          <t>100 a 300 L/ha</t>
        </is>
      </c>
      <c r="I3387" s="7" t="inlineStr">
        <is>
          <t>20 a 40 L/ha</t>
        </is>
      </c>
      <c r="J3387" s="7" t="inlineStr">
        <is>
          <t>35 dias</t>
        </is>
      </c>
    </row>
    <row r="3388" ht="22" customHeight="1">
      <c r="A3388" s="12" t="inlineStr">
        <is>
          <t>CUL-3384</t>
        </is>
      </c>
      <c r="B3388" s="11" t="n">
        <v>660</v>
      </c>
      <c r="C3388" s="13" t="inlineStr">
        <is>
          <t>Nº 9917</t>
        </is>
      </c>
      <c r="D3388" s="14" t="inlineStr">
        <is>
          <t>PRISMA PLUS</t>
        </is>
      </c>
      <c r="E3388" s="13" t="inlineStr">
        <is>
          <t>Pulverização Agrícola Conforme Bula</t>
        </is>
      </c>
      <c r="F3388" s="13" t="inlineStr">
        <is>
          <t>Tomate</t>
        </is>
      </c>
      <c r="G3388" s="13" t="inlineStr">
        <is>
          <t>Cultura Autorizada na Bula</t>
        </is>
      </c>
      <c r="H3388" s="13" t="inlineStr">
        <is>
          <t>100 a 300 L/ha</t>
        </is>
      </c>
      <c r="I3388" s="13" t="inlineStr">
        <is>
          <t>20 a 40 L/ha</t>
        </is>
      </c>
      <c r="J3388" s="13" t="inlineStr">
        <is>
          <t>7 dias</t>
        </is>
      </c>
    </row>
    <row r="3389" ht="22" customHeight="1">
      <c r="A3389" s="6" t="inlineStr">
        <is>
          <t>CUL-3385</t>
        </is>
      </c>
      <c r="B3389" s="5" t="n">
        <v>661</v>
      </c>
      <c r="C3389" s="7" t="inlineStr">
        <is>
          <t>Nº 12407</t>
        </is>
      </c>
      <c r="D3389" s="8" t="inlineStr">
        <is>
          <t>ECHO</t>
        </is>
      </c>
      <c r="E3389" s="7" t="inlineStr">
        <is>
          <t>Pulverização Agrícola Conforme Bula</t>
        </is>
      </c>
      <c r="F3389" s="7" t="inlineStr">
        <is>
          <t>Soja</t>
        </is>
      </c>
      <c r="G3389" s="7" t="inlineStr">
        <is>
          <t>Cultura Autorizada na Bula</t>
        </is>
      </c>
      <c r="H3389" s="7" t="inlineStr">
        <is>
          <t>100 a 300 L/ha</t>
        </is>
      </c>
      <c r="I3389" s="7" t="inlineStr">
        <is>
          <t>20 a 40 L/ha</t>
        </is>
      </c>
      <c r="J3389" s="7" t="inlineStr">
        <is>
          <t>14 dias</t>
        </is>
      </c>
    </row>
    <row r="3390" ht="22" customHeight="1">
      <c r="A3390" s="12" t="inlineStr">
        <is>
          <t>CUL-3386</t>
        </is>
      </c>
      <c r="B3390" s="11" t="n">
        <v>661</v>
      </c>
      <c r="C3390" s="13" t="inlineStr">
        <is>
          <t>Nº 12407</t>
        </is>
      </c>
      <c r="D3390" s="14" t="inlineStr">
        <is>
          <t>ECHO</t>
        </is>
      </c>
      <c r="E3390" s="13" t="inlineStr">
        <is>
          <t>Pulverização Agrícola Conforme Bula</t>
        </is>
      </c>
      <c r="F3390" s="13" t="inlineStr">
        <is>
          <t>Algodão</t>
        </is>
      </c>
      <c r="G3390" s="13" t="inlineStr">
        <is>
          <t>Cultura Autorizada na Bula</t>
        </is>
      </c>
      <c r="H3390" s="13" t="inlineStr">
        <is>
          <t>100 a 300 L/ha</t>
        </is>
      </c>
      <c r="I3390" s="13" t="inlineStr">
        <is>
          <t>20 a 40 L/ha</t>
        </is>
      </c>
      <c r="J3390" s="13" t="inlineStr">
        <is>
          <t>14 dias</t>
        </is>
      </c>
    </row>
    <row r="3391" ht="22" customHeight="1">
      <c r="A3391" s="6" t="inlineStr">
        <is>
          <t>CUL-3387</t>
        </is>
      </c>
      <c r="B3391" s="5" t="n">
        <v>661</v>
      </c>
      <c r="C3391" s="7" t="inlineStr">
        <is>
          <t>Nº 12407</t>
        </is>
      </c>
      <c r="D3391" s="8" t="inlineStr">
        <is>
          <t>ECHO</t>
        </is>
      </c>
      <c r="E3391" s="7" t="inlineStr">
        <is>
          <t>Pulverização Agrícola Conforme Bula</t>
        </is>
      </c>
      <c r="F3391" s="7" t="inlineStr">
        <is>
          <t>Feijão</t>
        </is>
      </c>
      <c r="G3391" s="7" t="inlineStr">
        <is>
          <t>Cultura Autorizada na Bula</t>
        </is>
      </c>
      <c r="H3391" s="7" t="inlineStr">
        <is>
          <t>100 a 300 L/ha</t>
        </is>
      </c>
      <c r="I3391" s="7" t="inlineStr">
        <is>
          <t>20 a 40 L/ha</t>
        </is>
      </c>
      <c r="J3391" s="7" t="inlineStr">
        <is>
          <t>14 dias</t>
        </is>
      </c>
    </row>
    <row r="3392" ht="22" customHeight="1">
      <c r="A3392" s="12" t="inlineStr">
        <is>
          <t>CUL-3388</t>
        </is>
      </c>
      <c r="B3392" s="11" t="n">
        <v>661</v>
      </c>
      <c r="C3392" s="13" t="inlineStr">
        <is>
          <t>Nº 12407</t>
        </is>
      </c>
      <c r="D3392" s="14" t="inlineStr">
        <is>
          <t>ECHO</t>
        </is>
      </c>
      <c r="E3392" s="13" t="inlineStr">
        <is>
          <t>Pulverização Agrícola Conforme Bula</t>
        </is>
      </c>
      <c r="F3392" s="13" t="inlineStr">
        <is>
          <t>Milho</t>
        </is>
      </c>
      <c r="G3392" s="13" t="inlineStr">
        <is>
          <t>Cultura Autorizada na Bula</t>
        </is>
      </c>
      <c r="H3392" s="13" t="inlineStr">
        <is>
          <t>100 a 300 L/ha</t>
        </is>
      </c>
      <c r="I3392" s="13" t="inlineStr">
        <is>
          <t>20 a 40 L/ha</t>
        </is>
      </c>
      <c r="J3392" s="13" t="inlineStr">
        <is>
          <t>14 dias</t>
        </is>
      </c>
    </row>
    <row r="3393" ht="22" customHeight="1">
      <c r="A3393" s="6" t="inlineStr">
        <is>
          <t>CUL-3389</t>
        </is>
      </c>
      <c r="B3393" s="5" t="n">
        <v>661</v>
      </c>
      <c r="C3393" s="7" t="inlineStr">
        <is>
          <t>Nº 12407</t>
        </is>
      </c>
      <c r="D3393" s="8" t="inlineStr">
        <is>
          <t>ECHO</t>
        </is>
      </c>
      <c r="E3393" s="7" t="inlineStr">
        <is>
          <t>Pulverização Agrícola Conforme Bula</t>
        </is>
      </c>
      <c r="F3393" s="7" t="inlineStr">
        <is>
          <t>Trigo</t>
        </is>
      </c>
      <c r="G3393" s="7" t="inlineStr">
        <is>
          <t>Cultura Autorizada na Bula</t>
        </is>
      </c>
      <c r="H3393" s="7" t="inlineStr">
        <is>
          <t>100 a 300 L/ha</t>
        </is>
      </c>
      <c r="I3393" s="7" t="inlineStr">
        <is>
          <t>20 a 40 L/ha</t>
        </is>
      </c>
      <c r="J3393" s="7" t="inlineStr">
        <is>
          <t>30 dias</t>
        </is>
      </c>
    </row>
    <row r="3394" ht="22" customHeight="1">
      <c r="A3394" s="12" t="inlineStr">
        <is>
          <t>CUL-3390</t>
        </is>
      </c>
      <c r="B3394" s="11" t="n">
        <v>661</v>
      </c>
      <c r="C3394" s="13" t="inlineStr">
        <is>
          <t>Nº 12407</t>
        </is>
      </c>
      <c r="D3394" s="14" t="inlineStr">
        <is>
          <t>ECHO</t>
        </is>
      </c>
      <c r="E3394" s="13" t="inlineStr">
        <is>
          <t>Pulverização Agrícola Conforme Bula</t>
        </is>
      </c>
      <c r="F3394" s="13" t="inlineStr">
        <is>
          <t>Batata</t>
        </is>
      </c>
      <c r="G3394" s="13" t="inlineStr">
        <is>
          <t>Cultura Autorizada na Bula</t>
        </is>
      </c>
      <c r="H3394" s="13" t="inlineStr">
        <is>
          <t>100 a 300 L/ha</t>
        </is>
      </c>
      <c r="I3394" s="13" t="inlineStr">
        <is>
          <t>20 a 40 L/ha</t>
        </is>
      </c>
      <c r="J3394" s="13" t="inlineStr">
        <is>
          <t>7 dias</t>
        </is>
      </c>
    </row>
    <row r="3395" ht="22" customHeight="1">
      <c r="A3395" s="6" t="inlineStr">
        <is>
          <t>CUL-3391</t>
        </is>
      </c>
      <c r="B3395" s="5" t="n">
        <v>661</v>
      </c>
      <c r="C3395" s="7" t="inlineStr">
        <is>
          <t>Nº 12407</t>
        </is>
      </c>
      <c r="D3395" s="8" t="inlineStr">
        <is>
          <t>ECHO</t>
        </is>
      </c>
      <c r="E3395" s="7" t="inlineStr">
        <is>
          <t>Pulverização Agrícola Conforme Bula</t>
        </is>
      </c>
      <c r="F3395" s="7" t="inlineStr">
        <is>
          <t>Café</t>
        </is>
      </c>
      <c r="G3395" s="7" t="inlineStr">
        <is>
          <t>Cultura Autorizada na Bula</t>
        </is>
      </c>
      <c r="H3395" s="7" t="inlineStr">
        <is>
          <t>100 a 300 L/ha</t>
        </is>
      </c>
      <c r="I3395" s="7" t="inlineStr">
        <is>
          <t>20 a 40 L/ha</t>
        </is>
      </c>
      <c r="J3395" s="7" t="inlineStr">
        <is>
          <t>30 dias</t>
        </is>
      </c>
    </row>
    <row r="3396" ht="22" customHeight="1">
      <c r="A3396" s="12" t="inlineStr">
        <is>
          <t>CUL-3392</t>
        </is>
      </c>
      <c r="B3396" s="11" t="n">
        <v>661</v>
      </c>
      <c r="C3396" s="13" t="inlineStr">
        <is>
          <t>Nº 12407</t>
        </is>
      </c>
      <c r="D3396" s="14" t="inlineStr">
        <is>
          <t>ECHO</t>
        </is>
      </c>
      <c r="E3396" s="13" t="inlineStr">
        <is>
          <t>Pulverização Agrícola Conforme Bula</t>
        </is>
      </c>
      <c r="F3396" s="13" t="inlineStr">
        <is>
          <t>Tomate</t>
        </is>
      </c>
      <c r="G3396" s="13" t="inlineStr">
        <is>
          <t>Cultura Autorizada na Bula</t>
        </is>
      </c>
      <c r="H3396" s="13" t="inlineStr">
        <is>
          <t>100 a 300 L/ha</t>
        </is>
      </c>
      <c r="I3396" s="13" t="inlineStr">
        <is>
          <t>20 a 40 L/ha</t>
        </is>
      </c>
      <c r="J3396" s="13" t="inlineStr">
        <is>
          <t>7 dias</t>
        </is>
      </c>
    </row>
    <row r="3397" ht="22" customHeight="1">
      <c r="A3397" s="6" t="inlineStr">
        <is>
          <t>CUL-3393</t>
        </is>
      </c>
      <c r="B3397" s="5" t="n">
        <v>662</v>
      </c>
      <c r="C3397" s="7" t="inlineStr">
        <is>
          <t>VINCULAR MARCA</t>
        </is>
      </c>
      <c r="D3397" s="8" t="inlineStr">
        <is>
          <t>ACTTRA NOCTUIDEO</t>
        </is>
      </c>
      <c r="E3397" s="7" t="inlineStr">
        <is>
          <t>Pulverização Agrícola Conforme Bula</t>
        </is>
      </c>
      <c r="F3397" s="7" t="inlineStr">
        <is>
          <t>Soja</t>
        </is>
      </c>
      <c r="G3397" s="7" t="inlineStr">
        <is>
          <t>Cultura Autorizada na Bula</t>
        </is>
      </c>
      <c r="H3397" s="7" t="inlineStr">
        <is>
          <t>100 a 300 L/ha</t>
        </is>
      </c>
      <c r="I3397" s="7" t="inlineStr">
        <is>
          <t>20 a 40 L/ha</t>
        </is>
      </c>
      <c r="J3397" s="7" t="inlineStr">
        <is>
          <t>21 dias</t>
        </is>
      </c>
    </row>
    <row r="3398" ht="22" customHeight="1">
      <c r="A3398" s="12" t="inlineStr">
        <is>
          <t>CUL-3394</t>
        </is>
      </c>
      <c r="B3398" s="11" t="n">
        <v>662</v>
      </c>
      <c r="C3398" s="13" t="inlineStr">
        <is>
          <t>VINCULAR MARCA</t>
        </is>
      </c>
      <c r="D3398" s="14" t="inlineStr">
        <is>
          <t>ACTTRA NOCTUIDEO</t>
        </is>
      </c>
      <c r="E3398" s="13" t="inlineStr">
        <is>
          <t>Pulverização Agrícola Conforme Bula</t>
        </is>
      </c>
      <c r="F3398" s="13" t="inlineStr">
        <is>
          <t>Milho</t>
        </is>
      </c>
      <c r="G3398" s="13" t="inlineStr">
        <is>
          <t>Cultura Autorizada na Bula</t>
        </is>
      </c>
      <c r="H3398" s="13" t="inlineStr">
        <is>
          <t>100 a 300 L/ha</t>
        </is>
      </c>
      <c r="I3398" s="13" t="inlineStr">
        <is>
          <t>20 a 40 L/ha</t>
        </is>
      </c>
      <c r="J3398" s="13" t="inlineStr">
        <is>
          <t>21 dias</t>
        </is>
      </c>
    </row>
    <row r="3399" ht="22" customHeight="1">
      <c r="A3399" s="6" t="inlineStr">
        <is>
          <t>CUL-3395</t>
        </is>
      </c>
      <c r="B3399" s="5" t="n">
        <v>662</v>
      </c>
      <c r="C3399" s="7" t="inlineStr">
        <is>
          <t>VINCULAR MARCA</t>
        </is>
      </c>
      <c r="D3399" s="8" t="inlineStr">
        <is>
          <t>ACTTRA NOCTUIDEO</t>
        </is>
      </c>
      <c r="E3399" s="7" t="inlineStr">
        <is>
          <t>Pulverização Agrícola Conforme Bula</t>
        </is>
      </c>
      <c r="F3399" s="7" t="inlineStr">
        <is>
          <t>Algodão</t>
        </is>
      </c>
      <c r="G3399" s="7" t="inlineStr">
        <is>
          <t>Cultura Autorizada na Bula</t>
        </is>
      </c>
      <c r="H3399" s="7" t="inlineStr">
        <is>
          <t>100 a 300 L/ha</t>
        </is>
      </c>
      <c r="I3399" s="7" t="inlineStr">
        <is>
          <t>20 a 40 L/ha</t>
        </is>
      </c>
      <c r="J3399" s="7" t="inlineStr">
        <is>
          <t>21 dias</t>
        </is>
      </c>
    </row>
    <row r="3400" ht="22" customHeight="1">
      <c r="A3400" s="12" t="inlineStr">
        <is>
          <t>CUL-3396</t>
        </is>
      </c>
      <c r="B3400" s="11" t="n">
        <v>662</v>
      </c>
      <c r="C3400" s="13" t="inlineStr">
        <is>
          <t>VINCULAR MARCA</t>
        </is>
      </c>
      <c r="D3400" s="14" t="inlineStr">
        <is>
          <t>ACTTRA NOCTUIDEO</t>
        </is>
      </c>
      <c r="E3400" s="13" t="inlineStr">
        <is>
          <t>Pulverização Agrícola Conforme Bula</t>
        </is>
      </c>
      <c r="F3400" s="13" t="inlineStr">
        <is>
          <t>Feijão</t>
        </is>
      </c>
      <c r="G3400" s="13" t="inlineStr">
        <is>
          <t>Cultura Autorizada na Bula</t>
        </is>
      </c>
      <c r="H3400" s="13" t="inlineStr">
        <is>
          <t>100 a 300 L/ha</t>
        </is>
      </c>
      <c r="I3400" s="13" t="inlineStr">
        <is>
          <t>20 a 40 L/ha</t>
        </is>
      </c>
      <c r="J3400" s="13" t="inlineStr">
        <is>
          <t>14 dias</t>
        </is>
      </c>
    </row>
    <row r="3401" ht="22" customHeight="1">
      <c r="A3401" s="6" t="inlineStr">
        <is>
          <t>CUL-3397</t>
        </is>
      </c>
      <c r="B3401" s="5" t="n">
        <v>663</v>
      </c>
      <c r="C3401" s="7" t="inlineStr">
        <is>
          <t>Nº 3202</t>
        </is>
      </c>
      <c r="D3401" s="8" t="inlineStr">
        <is>
          <t>IMPULSE</t>
        </is>
      </c>
      <c r="E3401" s="7" t="inlineStr">
        <is>
          <t>Pulverização Agrícola Conforme Bula</t>
        </is>
      </c>
      <c r="F3401" s="7" t="inlineStr">
        <is>
          <t>Soja</t>
        </is>
      </c>
      <c r="G3401" s="7" t="inlineStr">
        <is>
          <t>Cultura Autorizada na Bula</t>
        </is>
      </c>
      <c r="H3401" s="7" t="inlineStr">
        <is>
          <t>100 a 300 L/ha</t>
        </is>
      </c>
      <c r="I3401" s="7" t="inlineStr">
        <is>
          <t>20 a 40 L/ha</t>
        </is>
      </c>
      <c r="J3401" s="7" t="inlineStr">
        <is>
          <t>21 dias</t>
        </is>
      </c>
    </row>
    <row r="3402" ht="22" customHeight="1">
      <c r="A3402" s="12" t="inlineStr">
        <is>
          <t>CUL-3398</t>
        </is>
      </c>
      <c r="B3402" s="11" t="n">
        <v>663</v>
      </c>
      <c r="C3402" s="13" t="inlineStr">
        <is>
          <t>Nº 3202</t>
        </is>
      </c>
      <c r="D3402" s="14" t="inlineStr">
        <is>
          <t>IMPULSE</t>
        </is>
      </c>
      <c r="E3402" s="13" t="inlineStr">
        <is>
          <t>Pulverização Agrícola Conforme Bula</t>
        </is>
      </c>
      <c r="F3402" s="13" t="inlineStr">
        <is>
          <t>Milho</t>
        </is>
      </c>
      <c r="G3402" s="13" t="inlineStr">
        <is>
          <t>Cultura Autorizada na Bula</t>
        </is>
      </c>
      <c r="H3402" s="13" t="inlineStr">
        <is>
          <t>100 a 300 L/ha</t>
        </is>
      </c>
      <c r="I3402" s="13" t="inlineStr">
        <is>
          <t>20 a 40 L/ha</t>
        </is>
      </c>
      <c r="J3402" s="13" t="inlineStr">
        <is>
          <t>21 dias</t>
        </is>
      </c>
    </row>
    <row r="3403" ht="22" customHeight="1">
      <c r="A3403" s="6" t="inlineStr">
        <is>
          <t>CUL-3399</t>
        </is>
      </c>
      <c r="B3403" s="5" t="n">
        <v>663</v>
      </c>
      <c r="C3403" s="7" t="inlineStr">
        <is>
          <t>Nº 3202</t>
        </is>
      </c>
      <c r="D3403" s="8" t="inlineStr">
        <is>
          <t>IMPULSE</t>
        </is>
      </c>
      <c r="E3403" s="7" t="inlineStr">
        <is>
          <t>Pulverização Agrícola Conforme Bula</t>
        </is>
      </c>
      <c r="F3403" s="7" t="inlineStr">
        <is>
          <t>Algodão</t>
        </is>
      </c>
      <c r="G3403" s="7" t="inlineStr">
        <is>
          <t>Cultura Autorizada na Bula</t>
        </is>
      </c>
      <c r="H3403" s="7" t="inlineStr">
        <is>
          <t>100 a 300 L/ha</t>
        </is>
      </c>
      <c r="I3403" s="7" t="inlineStr">
        <is>
          <t>20 a 40 L/ha</t>
        </is>
      </c>
      <c r="J3403" s="7" t="inlineStr">
        <is>
          <t>21 dias</t>
        </is>
      </c>
    </row>
    <row r="3404" ht="22" customHeight="1">
      <c r="A3404" s="12" t="inlineStr">
        <is>
          <t>CUL-3400</t>
        </is>
      </c>
      <c r="B3404" s="11" t="n">
        <v>663</v>
      </c>
      <c r="C3404" s="13" t="inlineStr">
        <is>
          <t>Nº 3202</t>
        </is>
      </c>
      <c r="D3404" s="14" t="inlineStr">
        <is>
          <t>IMPULSE</t>
        </is>
      </c>
      <c r="E3404" s="13" t="inlineStr">
        <is>
          <t>Pulverização Agrícola Conforme Bula</t>
        </is>
      </c>
      <c r="F3404" s="13" t="inlineStr">
        <is>
          <t>Feijão</t>
        </is>
      </c>
      <c r="G3404" s="13" t="inlineStr">
        <is>
          <t>Cultura Autorizada na Bula</t>
        </is>
      </c>
      <c r="H3404" s="13" t="inlineStr">
        <is>
          <t>100 a 300 L/ha</t>
        </is>
      </c>
      <c r="I3404" s="13" t="inlineStr">
        <is>
          <t>20 a 40 L/ha</t>
        </is>
      </c>
      <c r="J3404" s="13" t="inlineStr">
        <is>
          <t>14 dias</t>
        </is>
      </c>
    </row>
    <row r="3405" ht="22" customHeight="1">
      <c r="A3405" s="6" t="inlineStr">
        <is>
          <t>CUL-3401</t>
        </is>
      </c>
      <c r="B3405" s="5" t="n">
        <v>664</v>
      </c>
      <c r="C3405" s="7" t="inlineStr">
        <is>
          <t>Nº 0820</t>
        </is>
      </c>
      <c r="D3405" s="8" t="inlineStr">
        <is>
          <t>MESOPEC</t>
        </is>
      </c>
      <c r="E3405" s="7" t="inlineStr">
        <is>
          <t>Pulverização Agrícola Conforme Bula</t>
        </is>
      </c>
      <c r="F3405" s="7" t="inlineStr">
        <is>
          <t>Milho</t>
        </is>
      </c>
      <c r="G3405" s="7" t="inlineStr">
        <is>
          <t>Cultura Autorizada na Bula</t>
        </is>
      </c>
      <c r="H3405" s="7" t="inlineStr">
        <is>
          <t>100 a 300 L/ha</t>
        </is>
      </c>
      <c r="I3405" s="7" t="inlineStr">
        <is>
          <t>20 a 40 L/ha</t>
        </is>
      </c>
      <c r="J3405" s="7" t="inlineStr">
        <is>
          <t>63 dias</t>
        </is>
      </c>
    </row>
    <row r="3406" ht="22" customHeight="1">
      <c r="A3406" s="12" t="inlineStr">
        <is>
          <t>CUL-3402</t>
        </is>
      </c>
      <c r="B3406" s="11" t="n">
        <v>664</v>
      </c>
      <c r="C3406" s="13" t="inlineStr">
        <is>
          <t>Nº 0820</t>
        </is>
      </c>
      <c r="D3406" s="14" t="inlineStr">
        <is>
          <t>MESOPEC</t>
        </is>
      </c>
      <c r="E3406" s="13" t="inlineStr">
        <is>
          <t>Pulverização Agrícola Conforme Bula</t>
        </is>
      </c>
      <c r="F3406" s="13" t="inlineStr">
        <is>
          <t>Cana-de-açúcar</t>
        </is>
      </c>
      <c r="G3406" s="13" t="inlineStr">
        <is>
          <t>Cultura Autorizada na Bula</t>
        </is>
      </c>
      <c r="H3406" s="13" t="inlineStr">
        <is>
          <t>100 a 300 L/ha</t>
        </is>
      </c>
      <c r="I3406" s="13" t="inlineStr">
        <is>
          <t>20 a 40 L/ha</t>
        </is>
      </c>
      <c r="J3406" s="13" t="inlineStr">
        <is>
          <t>150 dias</t>
        </is>
      </c>
    </row>
    <row r="3407" ht="22" customHeight="1">
      <c r="A3407" s="6" t="inlineStr">
        <is>
          <t>CUL-3403</t>
        </is>
      </c>
      <c r="B3407" s="5" t="n">
        <v>664</v>
      </c>
      <c r="C3407" s="7" t="inlineStr">
        <is>
          <t>Nº 0820</t>
        </is>
      </c>
      <c r="D3407" s="8" t="inlineStr">
        <is>
          <t>MESOPEC</t>
        </is>
      </c>
      <c r="E3407" s="7" t="inlineStr">
        <is>
          <t>Pulverização Agrícola Conforme Bula</t>
        </is>
      </c>
      <c r="F3407" s="7" t="inlineStr">
        <is>
          <t>Milheto</t>
        </is>
      </c>
      <c r="G3407" s="7" t="inlineStr">
        <is>
          <t>Cultura Autorizada na Bula</t>
        </is>
      </c>
      <c r="H3407" s="7" t="inlineStr">
        <is>
          <t>100 a 300 L/ha</t>
        </is>
      </c>
      <c r="I3407" s="7" t="inlineStr">
        <is>
          <t>20 a 40 L/ha</t>
        </is>
      </c>
      <c r="J3407" s="7" t="inlineStr">
        <is>
          <t>60 dias</t>
        </is>
      </c>
    </row>
    <row r="3408" ht="22" customHeight="1">
      <c r="A3408" s="12" t="inlineStr">
        <is>
          <t>CUL-3404</t>
        </is>
      </c>
      <c r="B3408" s="11" t="n">
        <v>664</v>
      </c>
      <c r="C3408" s="13" t="inlineStr">
        <is>
          <t>Nº 0820</t>
        </is>
      </c>
      <c r="D3408" s="14" t="inlineStr">
        <is>
          <t>MESOPEC</t>
        </is>
      </c>
      <c r="E3408" s="13" t="inlineStr">
        <is>
          <t>Pulverização Agrícola Conforme Bula</t>
        </is>
      </c>
      <c r="F3408" s="13" t="inlineStr">
        <is>
          <t>Sorgo</t>
        </is>
      </c>
      <c r="G3408" s="13" t="inlineStr">
        <is>
          <t>Cultura Autorizada na Bula</t>
        </is>
      </c>
      <c r="H3408" s="13" t="inlineStr">
        <is>
          <t>100 a 300 L/ha</t>
        </is>
      </c>
      <c r="I3408" s="13" t="inlineStr">
        <is>
          <t>20 a 40 L/ha</t>
        </is>
      </c>
      <c r="J3408" s="13" t="inlineStr">
        <is>
          <t>60 dias</t>
        </is>
      </c>
    </row>
    <row r="3409" ht="22" customHeight="1">
      <c r="A3409" s="6" t="inlineStr">
        <is>
          <t>CUL-3405</t>
        </is>
      </c>
      <c r="B3409" s="5" t="n">
        <v>665</v>
      </c>
      <c r="C3409" s="7" t="inlineStr">
        <is>
          <t>Nº 16320</t>
        </is>
      </c>
      <c r="D3409" s="8" t="inlineStr">
        <is>
          <t>TAKUMI</t>
        </is>
      </c>
      <c r="E3409" s="7" t="inlineStr">
        <is>
          <t>Pulverização Agrícola Conforme Bula</t>
        </is>
      </c>
      <c r="F3409" s="7" t="inlineStr">
        <is>
          <t>Soja</t>
        </is>
      </c>
      <c r="G3409" s="7" t="inlineStr">
        <is>
          <t>Cultura Autorizada na Bula</t>
        </is>
      </c>
      <c r="H3409" s="7" t="inlineStr">
        <is>
          <t>100 a 300 L/ha</t>
        </is>
      </c>
      <c r="I3409" s="7" t="inlineStr">
        <is>
          <t>20 a 40 L/ha</t>
        </is>
      </c>
      <c r="J3409" s="7" t="inlineStr">
        <is>
          <t>21 dias</t>
        </is>
      </c>
    </row>
    <row r="3410" ht="22" customHeight="1">
      <c r="A3410" s="12" t="inlineStr">
        <is>
          <t>CUL-3406</t>
        </is>
      </c>
      <c r="B3410" s="11" t="n">
        <v>665</v>
      </c>
      <c r="C3410" s="13" t="inlineStr">
        <is>
          <t>Nº 16320</t>
        </is>
      </c>
      <c r="D3410" s="14" t="inlineStr">
        <is>
          <t>TAKUMI</t>
        </is>
      </c>
      <c r="E3410" s="13" t="inlineStr">
        <is>
          <t>Pulverização Agrícola Conforme Bula</t>
        </is>
      </c>
      <c r="F3410" s="13" t="inlineStr">
        <is>
          <t>Milho</t>
        </is>
      </c>
      <c r="G3410" s="13" t="inlineStr">
        <is>
          <t>Cultura Autorizada na Bula</t>
        </is>
      </c>
      <c r="H3410" s="13" t="inlineStr">
        <is>
          <t>100 a 300 L/ha</t>
        </is>
      </c>
      <c r="I3410" s="13" t="inlineStr">
        <is>
          <t>20 a 40 L/ha</t>
        </is>
      </c>
      <c r="J3410" s="13" t="inlineStr">
        <is>
          <t>21 dias</t>
        </is>
      </c>
    </row>
    <row r="3411" ht="22" customHeight="1">
      <c r="A3411" s="6" t="inlineStr">
        <is>
          <t>CUL-3407</t>
        </is>
      </c>
      <c r="B3411" s="5" t="n">
        <v>665</v>
      </c>
      <c r="C3411" s="7" t="inlineStr">
        <is>
          <t>Nº 16320</t>
        </is>
      </c>
      <c r="D3411" s="8" t="inlineStr">
        <is>
          <t>TAKUMI</t>
        </is>
      </c>
      <c r="E3411" s="7" t="inlineStr">
        <is>
          <t>Pulverização Agrícola Conforme Bula</t>
        </is>
      </c>
      <c r="F3411" s="7" t="inlineStr">
        <is>
          <t>Algodão</t>
        </is>
      </c>
      <c r="G3411" s="7" t="inlineStr">
        <is>
          <t>Cultura Autorizada na Bula</t>
        </is>
      </c>
      <c r="H3411" s="7" t="inlineStr">
        <is>
          <t>100 a 300 L/ha</t>
        </is>
      </c>
      <c r="I3411" s="7" t="inlineStr">
        <is>
          <t>20 a 40 L/ha</t>
        </is>
      </c>
      <c r="J3411" s="7" t="inlineStr">
        <is>
          <t>21 dias</t>
        </is>
      </c>
    </row>
    <row r="3412" ht="22" customHeight="1">
      <c r="A3412" s="12" t="inlineStr">
        <is>
          <t>CUL-3408</t>
        </is>
      </c>
      <c r="B3412" s="11" t="n">
        <v>665</v>
      </c>
      <c r="C3412" s="13" t="inlineStr">
        <is>
          <t>Nº 16320</t>
        </is>
      </c>
      <c r="D3412" s="14" t="inlineStr">
        <is>
          <t>TAKUMI</t>
        </is>
      </c>
      <c r="E3412" s="13" t="inlineStr">
        <is>
          <t>Pulverização Agrícola Conforme Bula</t>
        </is>
      </c>
      <c r="F3412" s="13" t="inlineStr">
        <is>
          <t>Feijão</t>
        </is>
      </c>
      <c r="G3412" s="13" t="inlineStr">
        <is>
          <t>Cultura Autorizada na Bula</t>
        </is>
      </c>
      <c r="H3412" s="13" t="inlineStr">
        <is>
          <t>100 a 300 L/ha</t>
        </is>
      </c>
      <c r="I3412" s="13" t="inlineStr">
        <is>
          <t>20 a 40 L/ha</t>
        </is>
      </c>
      <c r="J3412" s="13" t="inlineStr">
        <is>
          <t>14 dias</t>
        </is>
      </c>
    </row>
    <row r="3413" ht="22" customHeight="1">
      <c r="A3413" s="6" t="inlineStr">
        <is>
          <t>CUL-3409</t>
        </is>
      </c>
      <c r="B3413" s="5" t="n">
        <v>666</v>
      </c>
      <c r="C3413" s="7" t="inlineStr">
        <is>
          <t>Nº 3101</t>
        </is>
      </c>
      <c r="D3413" s="8" t="inlineStr">
        <is>
          <t>CIPERMETRINA NORTOX 250 EC</t>
        </is>
      </c>
      <c r="E3413" s="7" t="inlineStr">
        <is>
          <t>Pulverização Agrícola Conforme Bula</t>
        </is>
      </c>
      <c r="F3413" s="7" t="inlineStr">
        <is>
          <t>Soja</t>
        </is>
      </c>
      <c r="G3413" s="7" t="inlineStr">
        <is>
          <t>Cultura Autorizada na Bula</t>
        </is>
      </c>
      <c r="H3413" s="7" t="inlineStr">
        <is>
          <t>100 a 300 L/ha</t>
        </is>
      </c>
      <c r="I3413" s="7" t="inlineStr">
        <is>
          <t>20 a 40 L/ha</t>
        </is>
      </c>
      <c r="J3413" s="7" t="inlineStr">
        <is>
          <t>21 dias</t>
        </is>
      </c>
    </row>
    <row r="3414" ht="22" customHeight="1">
      <c r="A3414" s="12" t="inlineStr">
        <is>
          <t>CUL-3410</t>
        </is>
      </c>
      <c r="B3414" s="11" t="n">
        <v>666</v>
      </c>
      <c r="C3414" s="13" t="inlineStr">
        <is>
          <t>Nº 3101</t>
        </is>
      </c>
      <c r="D3414" s="14" t="inlineStr">
        <is>
          <t>CIPERMETRINA NORTOX 250 EC</t>
        </is>
      </c>
      <c r="E3414" s="13" t="inlineStr">
        <is>
          <t>Pulverização Agrícola Conforme Bula</t>
        </is>
      </c>
      <c r="F3414" s="13" t="inlineStr">
        <is>
          <t>Milho</t>
        </is>
      </c>
      <c r="G3414" s="13" t="inlineStr">
        <is>
          <t>Cultura Autorizada na Bula</t>
        </is>
      </c>
      <c r="H3414" s="13" t="inlineStr">
        <is>
          <t>100 a 300 L/ha</t>
        </is>
      </c>
      <c r="I3414" s="13" t="inlineStr">
        <is>
          <t>20 a 40 L/ha</t>
        </is>
      </c>
      <c r="J3414" s="13" t="inlineStr">
        <is>
          <t>21 dias</t>
        </is>
      </c>
    </row>
    <row r="3415" ht="22" customHeight="1">
      <c r="A3415" s="6" t="inlineStr">
        <is>
          <t>CUL-3411</t>
        </is>
      </c>
      <c r="B3415" s="5" t="n">
        <v>666</v>
      </c>
      <c r="C3415" s="7" t="inlineStr">
        <is>
          <t>Nº 3101</t>
        </is>
      </c>
      <c r="D3415" s="8" t="inlineStr">
        <is>
          <t>CIPERMETRINA NORTOX 250 EC</t>
        </is>
      </c>
      <c r="E3415" s="7" t="inlineStr">
        <is>
          <t>Pulverização Agrícola Conforme Bula</t>
        </is>
      </c>
      <c r="F3415" s="7" t="inlineStr">
        <is>
          <t>Algodão</t>
        </is>
      </c>
      <c r="G3415" s="7" t="inlineStr">
        <is>
          <t>Cultura Autorizada na Bula</t>
        </is>
      </c>
      <c r="H3415" s="7" t="inlineStr">
        <is>
          <t>100 a 300 L/ha</t>
        </is>
      </c>
      <c r="I3415" s="7" t="inlineStr">
        <is>
          <t>20 a 40 L/ha</t>
        </is>
      </c>
      <c r="J3415" s="7" t="inlineStr">
        <is>
          <t>21 dias</t>
        </is>
      </c>
    </row>
    <row r="3416" ht="22" customHeight="1">
      <c r="A3416" s="12" t="inlineStr">
        <is>
          <t>CUL-3412</t>
        </is>
      </c>
      <c r="B3416" s="11" t="n">
        <v>666</v>
      </c>
      <c r="C3416" s="13" t="inlineStr">
        <is>
          <t>Nº 3101</t>
        </is>
      </c>
      <c r="D3416" s="14" t="inlineStr">
        <is>
          <t>CIPERMETRINA NORTOX 250 EC</t>
        </is>
      </c>
      <c r="E3416" s="13" t="inlineStr">
        <is>
          <t>Pulverização Agrícola Conforme Bula</t>
        </is>
      </c>
      <c r="F3416" s="13" t="inlineStr">
        <is>
          <t>Feijão</t>
        </is>
      </c>
      <c r="G3416" s="13" t="inlineStr">
        <is>
          <t>Cultura Autorizada na Bula</t>
        </is>
      </c>
      <c r="H3416" s="13" t="inlineStr">
        <is>
          <t>100 a 300 L/ha</t>
        </is>
      </c>
      <c r="I3416" s="13" t="inlineStr">
        <is>
          <t>20 a 40 L/ha</t>
        </is>
      </c>
      <c r="J3416" s="13" t="inlineStr">
        <is>
          <t>14 dias</t>
        </is>
      </c>
    </row>
    <row r="3417" ht="22" customHeight="1">
      <c r="A3417" s="6" t="inlineStr">
        <is>
          <t>CUL-3413</t>
        </is>
      </c>
      <c r="B3417" s="5" t="n">
        <v>667</v>
      </c>
      <c r="C3417" s="7" t="inlineStr">
        <is>
          <t>SIPEAGRO (UF-XXXXX)</t>
        </is>
      </c>
      <c r="D3417" s="8" t="inlineStr">
        <is>
          <t>INOCULANTE BS GRAMINEAS</t>
        </is>
      </c>
      <c r="E3417" s="7" t="inlineStr">
        <is>
          <t>Pulverização Agrícola Conforme Bula</t>
        </is>
      </c>
      <c r="F3417" s="7" t="inlineStr">
        <is>
          <t>Soja</t>
        </is>
      </c>
      <c r="G3417" s="7" t="inlineStr">
        <is>
          <t>Cultura Autorizada na Bula</t>
        </is>
      </c>
      <c r="H3417" s="7" t="inlineStr">
        <is>
          <t>100 a 300 L/ha</t>
        </is>
      </c>
      <c r="I3417" s="7" t="inlineStr">
        <is>
          <t>20 a 40 L/ha</t>
        </is>
      </c>
      <c r="J3417" s="7" t="inlineStr">
        <is>
          <t>0 (Isento)</t>
        </is>
      </c>
    </row>
    <row r="3418" ht="22" customHeight="1">
      <c r="A3418" s="12" t="inlineStr">
        <is>
          <t>CUL-3414</t>
        </is>
      </c>
      <c r="B3418" s="11" t="n">
        <v>667</v>
      </c>
      <c r="C3418" s="13" t="inlineStr">
        <is>
          <t>SIPEAGRO (UF-XXXXX)</t>
        </is>
      </c>
      <c r="D3418" s="14" t="inlineStr">
        <is>
          <t>INOCULANTE BS GRAMINEAS</t>
        </is>
      </c>
      <c r="E3418" s="13" t="inlineStr">
        <is>
          <t>Pulverização Agrícola Conforme Bula</t>
        </is>
      </c>
      <c r="F3418" s="13" t="inlineStr">
        <is>
          <t>Milho</t>
        </is>
      </c>
      <c r="G3418" s="13" t="inlineStr">
        <is>
          <t>Cultura Autorizada na Bula</t>
        </is>
      </c>
      <c r="H3418" s="13" t="inlineStr">
        <is>
          <t>100 a 300 L/ha</t>
        </is>
      </c>
      <c r="I3418" s="13" t="inlineStr">
        <is>
          <t>20 a 40 L/ha</t>
        </is>
      </c>
      <c r="J3418" s="13" t="inlineStr">
        <is>
          <t>0 (Isento)</t>
        </is>
      </c>
    </row>
    <row r="3419" ht="22" customHeight="1">
      <c r="A3419" s="6" t="inlineStr">
        <is>
          <t>CUL-3415</t>
        </is>
      </c>
      <c r="B3419" s="5" t="n">
        <v>667</v>
      </c>
      <c r="C3419" s="7" t="inlineStr">
        <is>
          <t>SIPEAGRO (UF-XXXXX)</t>
        </is>
      </c>
      <c r="D3419" s="8" t="inlineStr">
        <is>
          <t>INOCULANTE BS GRAMINEAS</t>
        </is>
      </c>
      <c r="E3419" s="7" t="inlineStr">
        <is>
          <t>Pulverização Agrícola Conforme Bula</t>
        </is>
      </c>
      <c r="F3419" s="7" t="inlineStr">
        <is>
          <t>Feijão</t>
        </is>
      </c>
      <c r="G3419" s="7" t="inlineStr">
        <is>
          <t>Cultura Autorizada na Bula</t>
        </is>
      </c>
      <c r="H3419" s="7" t="inlineStr">
        <is>
          <t>100 a 300 L/ha</t>
        </is>
      </c>
      <c r="I3419" s="7" t="inlineStr">
        <is>
          <t>20 a 40 L/ha</t>
        </is>
      </c>
      <c r="J3419" s="7" t="inlineStr">
        <is>
          <t>0 (Isento)</t>
        </is>
      </c>
    </row>
    <row r="3420" ht="22" customHeight="1">
      <c r="A3420" s="12" t="inlineStr">
        <is>
          <t>CUL-3416</t>
        </is>
      </c>
      <c r="B3420" s="11" t="n">
        <v>667</v>
      </c>
      <c r="C3420" s="13" t="inlineStr">
        <is>
          <t>SIPEAGRO (UF-XXXXX)</t>
        </is>
      </c>
      <c r="D3420" s="14" t="inlineStr">
        <is>
          <t>INOCULANTE BS GRAMINEAS</t>
        </is>
      </c>
      <c r="E3420" s="13" t="inlineStr">
        <is>
          <t>Pulverização Agrícola Conforme Bula</t>
        </is>
      </c>
      <c r="F3420" s="13" t="inlineStr">
        <is>
          <t>Algodão</t>
        </is>
      </c>
      <c r="G3420" s="13" t="inlineStr">
        <is>
          <t>Cultura Autorizada na Bula</t>
        </is>
      </c>
      <c r="H3420" s="13" t="inlineStr">
        <is>
          <t>100 a 300 L/ha</t>
        </is>
      </c>
      <c r="I3420" s="13" t="inlineStr">
        <is>
          <t>20 a 40 L/ha</t>
        </is>
      </c>
      <c r="J3420" s="13" t="inlineStr">
        <is>
          <t>0 (Isento)</t>
        </is>
      </c>
    </row>
    <row r="3421" ht="22" customHeight="1">
      <c r="A3421" s="6" t="inlineStr">
        <is>
          <t>CUL-3417</t>
        </is>
      </c>
      <c r="B3421" s="5" t="n">
        <v>668</v>
      </c>
      <c r="C3421" s="7" t="inlineStr">
        <is>
          <t>SIPEAGRO (UF-XXXXX)</t>
        </is>
      </c>
      <c r="D3421" s="8" t="inlineStr">
        <is>
          <t>INOCULANTE GRAP NOD L + 1,75L</t>
        </is>
      </c>
      <c r="E3421" s="7" t="inlineStr">
        <is>
          <t>Pulverização Agrícola Conforme Bula</t>
        </is>
      </c>
      <c r="F3421" s="7" t="inlineStr">
        <is>
          <t>Soja</t>
        </is>
      </c>
      <c r="G3421" s="7" t="inlineStr">
        <is>
          <t>Cultura Autorizada na Bula</t>
        </is>
      </c>
      <c r="H3421" s="7" t="inlineStr">
        <is>
          <t>100 a 300 L/ha</t>
        </is>
      </c>
      <c r="I3421" s="7" t="inlineStr">
        <is>
          <t>20 a 40 L/ha</t>
        </is>
      </c>
      <c r="J3421" s="7" t="inlineStr">
        <is>
          <t>0 (Isento)</t>
        </is>
      </c>
    </row>
    <row r="3422" ht="22" customHeight="1">
      <c r="A3422" s="12" t="inlineStr">
        <is>
          <t>CUL-3418</t>
        </is>
      </c>
      <c r="B3422" s="11" t="n">
        <v>668</v>
      </c>
      <c r="C3422" s="13" t="inlineStr">
        <is>
          <t>SIPEAGRO (UF-XXXXX)</t>
        </is>
      </c>
      <c r="D3422" s="14" t="inlineStr">
        <is>
          <t>INOCULANTE GRAP NOD L + 1,75L</t>
        </is>
      </c>
      <c r="E3422" s="13" t="inlineStr">
        <is>
          <t>Pulverização Agrícola Conforme Bula</t>
        </is>
      </c>
      <c r="F3422" s="13" t="inlineStr">
        <is>
          <t>Milho</t>
        </is>
      </c>
      <c r="G3422" s="13" t="inlineStr">
        <is>
          <t>Cultura Autorizada na Bula</t>
        </is>
      </c>
      <c r="H3422" s="13" t="inlineStr">
        <is>
          <t>100 a 300 L/ha</t>
        </is>
      </c>
      <c r="I3422" s="13" t="inlineStr">
        <is>
          <t>20 a 40 L/ha</t>
        </is>
      </c>
      <c r="J3422" s="13" t="inlineStr">
        <is>
          <t>0 (Isento)</t>
        </is>
      </c>
    </row>
    <row r="3423" ht="22" customHeight="1">
      <c r="A3423" s="6" t="inlineStr">
        <is>
          <t>CUL-3419</t>
        </is>
      </c>
      <c r="B3423" s="5" t="n">
        <v>668</v>
      </c>
      <c r="C3423" s="7" t="inlineStr">
        <is>
          <t>SIPEAGRO (UF-XXXXX)</t>
        </is>
      </c>
      <c r="D3423" s="8" t="inlineStr">
        <is>
          <t>INOCULANTE GRAP NOD L + 1,75L</t>
        </is>
      </c>
      <c r="E3423" s="7" t="inlineStr">
        <is>
          <t>Pulverização Agrícola Conforme Bula</t>
        </is>
      </c>
      <c r="F3423" s="7" t="inlineStr">
        <is>
          <t>Feijão</t>
        </is>
      </c>
      <c r="G3423" s="7" t="inlineStr">
        <is>
          <t>Cultura Autorizada na Bula</t>
        </is>
      </c>
      <c r="H3423" s="7" t="inlineStr">
        <is>
          <t>100 a 300 L/ha</t>
        </is>
      </c>
      <c r="I3423" s="7" t="inlineStr">
        <is>
          <t>20 a 40 L/ha</t>
        </is>
      </c>
      <c r="J3423" s="7" t="inlineStr">
        <is>
          <t>0 (Isento)</t>
        </is>
      </c>
    </row>
    <row r="3424" ht="22" customHeight="1">
      <c r="A3424" s="12" t="inlineStr">
        <is>
          <t>CUL-3420</t>
        </is>
      </c>
      <c r="B3424" s="11" t="n">
        <v>668</v>
      </c>
      <c r="C3424" s="13" t="inlineStr">
        <is>
          <t>SIPEAGRO (UF-XXXXX)</t>
        </is>
      </c>
      <c r="D3424" s="14" t="inlineStr">
        <is>
          <t>INOCULANTE GRAP NOD L + 1,75L</t>
        </is>
      </c>
      <c r="E3424" s="13" t="inlineStr">
        <is>
          <t>Pulverização Agrícola Conforme Bula</t>
        </is>
      </c>
      <c r="F3424" s="13" t="inlineStr">
        <is>
          <t>Algodão</t>
        </is>
      </c>
      <c r="G3424" s="13" t="inlineStr">
        <is>
          <t>Cultura Autorizada na Bula</t>
        </is>
      </c>
      <c r="H3424" s="13" t="inlineStr">
        <is>
          <t>100 a 300 L/ha</t>
        </is>
      </c>
      <c r="I3424" s="13" t="inlineStr">
        <is>
          <t>20 a 40 L/ha</t>
        </is>
      </c>
      <c r="J3424" s="13" t="inlineStr">
        <is>
          <t>0 (Isento)</t>
        </is>
      </c>
    </row>
    <row r="3425" ht="22" customHeight="1">
      <c r="A3425" s="6" t="inlineStr">
        <is>
          <t>CUL-3421</t>
        </is>
      </c>
      <c r="B3425" s="5" t="n">
        <v>669</v>
      </c>
      <c r="C3425" s="7" t="inlineStr">
        <is>
          <t>Nº 18007</t>
        </is>
      </c>
      <c r="D3425" s="8" t="inlineStr">
        <is>
          <t>UNIZEB GOLD BR</t>
        </is>
      </c>
      <c r="E3425" s="7" t="inlineStr">
        <is>
          <t>Pulverização Agrícola Conforme Bula</t>
        </is>
      </c>
      <c r="F3425" s="7" t="inlineStr">
        <is>
          <t>Soja</t>
        </is>
      </c>
      <c r="G3425" s="7" t="inlineStr">
        <is>
          <t>Cultura Autorizada na Bula</t>
        </is>
      </c>
      <c r="H3425" s="7" t="inlineStr">
        <is>
          <t>100 a 300 L/ha</t>
        </is>
      </c>
      <c r="I3425" s="7" t="inlineStr">
        <is>
          <t>20 a 40 L/ha</t>
        </is>
      </c>
      <c r="J3425" s="7" t="inlineStr">
        <is>
          <t>21 dias</t>
        </is>
      </c>
    </row>
    <row r="3426" ht="22" customHeight="1">
      <c r="A3426" s="12" t="inlineStr">
        <is>
          <t>CUL-3422</t>
        </is>
      </c>
      <c r="B3426" s="11" t="n">
        <v>669</v>
      </c>
      <c r="C3426" s="13" t="inlineStr">
        <is>
          <t>Nº 18007</t>
        </is>
      </c>
      <c r="D3426" s="14" t="inlineStr">
        <is>
          <t>UNIZEB GOLD BR</t>
        </is>
      </c>
      <c r="E3426" s="13" t="inlineStr">
        <is>
          <t>Pulverização Agrícola Conforme Bula</t>
        </is>
      </c>
      <c r="F3426" s="13" t="inlineStr">
        <is>
          <t>Algodão</t>
        </is>
      </c>
      <c r="G3426" s="13" t="inlineStr">
        <is>
          <t>Cultura Autorizada na Bula</t>
        </is>
      </c>
      <c r="H3426" s="13" t="inlineStr">
        <is>
          <t>100 a 300 L/ha</t>
        </is>
      </c>
      <c r="I3426" s="13" t="inlineStr">
        <is>
          <t>20 a 40 L/ha</t>
        </is>
      </c>
      <c r="J3426" s="13" t="inlineStr">
        <is>
          <t>21 dias</t>
        </is>
      </c>
    </row>
    <row r="3427" ht="22" customHeight="1">
      <c r="A3427" s="6" t="inlineStr">
        <is>
          <t>CUL-3423</t>
        </is>
      </c>
      <c r="B3427" s="5" t="n">
        <v>669</v>
      </c>
      <c r="C3427" s="7" t="inlineStr">
        <is>
          <t>Nº 18007</t>
        </is>
      </c>
      <c r="D3427" s="8" t="inlineStr">
        <is>
          <t>UNIZEB GOLD BR</t>
        </is>
      </c>
      <c r="E3427" s="7" t="inlineStr">
        <is>
          <t>Pulverização Agrícola Conforme Bula</t>
        </is>
      </c>
      <c r="F3427" s="7" t="inlineStr">
        <is>
          <t>Café</t>
        </is>
      </c>
      <c r="G3427" s="7" t="inlineStr">
        <is>
          <t>Cultura Autorizada na Bula</t>
        </is>
      </c>
      <c r="H3427" s="7" t="inlineStr">
        <is>
          <t>100 a 300 L/ha</t>
        </is>
      </c>
      <c r="I3427" s="7" t="inlineStr">
        <is>
          <t>20 a 40 L/ha</t>
        </is>
      </c>
      <c r="J3427" s="7" t="inlineStr">
        <is>
          <t>21 dias</t>
        </is>
      </c>
    </row>
    <row r="3428" ht="22" customHeight="1">
      <c r="A3428" s="12" t="inlineStr">
        <is>
          <t>CUL-3424</t>
        </is>
      </c>
      <c r="B3428" s="11" t="n">
        <v>669</v>
      </c>
      <c r="C3428" s="13" t="inlineStr">
        <is>
          <t>Nº 18007</t>
        </is>
      </c>
      <c r="D3428" s="14" t="inlineStr">
        <is>
          <t>UNIZEB GOLD BR</t>
        </is>
      </c>
      <c r="E3428" s="13" t="inlineStr">
        <is>
          <t>Pulverização Agrícola Conforme Bula</t>
        </is>
      </c>
      <c r="F3428" s="13" t="inlineStr">
        <is>
          <t>Feijão</t>
        </is>
      </c>
      <c r="G3428" s="13" t="inlineStr">
        <is>
          <t>Cultura Autorizada na Bula</t>
        </is>
      </c>
      <c r="H3428" s="13" t="inlineStr">
        <is>
          <t>100 a 300 L/ha</t>
        </is>
      </c>
      <c r="I3428" s="13" t="inlineStr">
        <is>
          <t>20 a 40 L/ha</t>
        </is>
      </c>
      <c r="J3428" s="13" t="inlineStr">
        <is>
          <t>14 dias</t>
        </is>
      </c>
    </row>
    <row r="3429" ht="22" customHeight="1">
      <c r="A3429" s="6" t="inlineStr">
        <is>
          <t>CUL-3425</t>
        </is>
      </c>
      <c r="B3429" s="5" t="n">
        <v>669</v>
      </c>
      <c r="C3429" s="7" t="inlineStr">
        <is>
          <t>Nº 18007</t>
        </is>
      </c>
      <c r="D3429" s="8" t="inlineStr">
        <is>
          <t>UNIZEB GOLD BR</t>
        </is>
      </c>
      <c r="E3429" s="7" t="inlineStr">
        <is>
          <t>Pulverização Agrícola Conforme Bula</t>
        </is>
      </c>
      <c r="F3429" s="7" t="inlineStr">
        <is>
          <t>Milho</t>
        </is>
      </c>
      <c r="G3429" s="7" t="inlineStr">
        <is>
          <t>Cultura Autorizada na Bula</t>
        </is>
      </c>
      <c r="H3429" s="7" t="inlineStr">
        <is>
          <t>100 a 300 L/ha</t>
        </is>
      </c>
      <c r="I3429" s="7" t="inlineStr">
        <is>
          <t>20 a 40 L/ha</t>
        </is>
      </c>
      <c r="J3429" s="7" t="inlineStr">
        <is>
          <t>21 dias</t>
        </is>
      </c>
    </row>
    <row r="3430" ht="22" customHeight="1">
      <c r="A3430" s="12" t="inlineStr">
        <is>
          <t>CUL-3426</t>
        </is>
      </c>
      <c r="B3430" s="11" t="n">
        <v>669</v>
      </c>
      <c r="C3430" s="13" t="inlineStr">
        <is>
          <t>Nº 18007</t>
        </is>
      </c>
      <c r="D3430" s="14" t="inlineStr">
        <is>
          <t>UNIZEB GOLD BR</t>
        </is>
      </c>
      <c r="E3430" s="13" t="inlineStr">
        <is>
          <t>Pulverização Agrícola Conforme Bula</t>
        </is>
      </c>
      <c r="F3430" s="13" t="inlineStr">
        <is>
          <t>Batata</t>
        </is>
      </c>
      <c r="G3430" s="13" t="inlineStr">
        <is>
          <t>Cultura Autorizada na Bula</t>
        </is>
      </c>
      <c r="H3430" s="13" t="inlineStr">
        <is>
          <t>100 a 300 L/ha</t>
        </is>
      </c>
      <c r="I3430" s="13" t="inlineStr">
        <is>
          <t>20 a 40 L/ha</t>
        </is>
      </c>
      <c r="J3430" s="13" t="inlineStr">
        <is>
          <t>7 dias</t>
        </is>
      </c>
    </row>
    <row r="3431" ht="22" customHeight="1">
      <c r="A3431" s="6" t="inlineStr">
        <is>
          <t>CUL-3427</t>
        </is>
      </c>
      <c r="B3431" s="5" t="n">
        <v>669</v>
      </c>
      <c r="C3431" s="7" t="inlineStr">
        <is>
          <t>Nº 18007</t>
        </is>
      </c>
      <c r="D3431" s="8" t="inlineStr">
        <is>
          <t>UNIZEB GOLD BR</t>
        </is>
      </c>
      <c r="E3431" s="7" t="inlineStr">
        <is>
          <t>Pulverização Agrícola Conforme Bula</t>
        </is>
      </c>
      <c r="F3431" s="7" t="inlineStr">
        <is>
          <t>Tomate</t>
        </is>
      </c>
      <c r="G3431" s="7" t="inlineStr">
        <is>
          <t>Cultura Autorizada na Bula</t>
        </is>
      </c>
      <c r="H3431" s="7" t="inlineStr">
        <is>
          <t>100 a 300 L/ha</t>
        </is>
      </c>
      <c r="I3431" s="7" t="inlineStr">
        <is>
          <t>20 a 40 L/ha</t>
        </is>
      </c>
      <c r="J3431" s="7" t="inlineStr">
        <is>
          <t>7 dias</t>
        </is>
      </c>
    </row>
    <row r="3432" ht="22" customHeight="1">
      <c r="A3432" s="12" t="inlineStr">
        <is>
          <t>CUL-3428</t>
        </is>
      </c>
      <c r="B3432" s="11" t="n">
        <v>669</v>
      </c>
      <c r="C3432" s="13" t="inlineStr">
        <is>
          <t>Nº 18007</t>
        </is>
      </c>
      <c r="D3432" s="14" t="inlineStr">
        <is>
          <t>UNIZEB GOLD BR</t>
        </is>
      </c>
      <c r="E3432" s="13" t="inlineStr">
        <is>
          <t>Pulverização Agrícola Conforme Bula</t>
        </is>
      </c>
      <c r="F3432" s="13" t="inlineStr">
        <is>
          <t>Trigo</t>
        </is>
      </c>
      <c r="G3432" s="13" t="inlineStr">
        <is>
          <t>Cultura Autorizada na Bula</t>
        </is>
      </c>
      <c r="H3432" s="13" t="inlineStr">
        <is>
          <t>100 a 300 L/ha</t>
        </is>
      </c>
      <c r="I3432" s="13" t="inlineStr">
        <is>
          <t>20 a 40 L/ha</t>
        </is>
      </c>
      <c r="J3432" s="13" t="inlineStr">
        <is>
          <t>21 dias</t>
        </is>
      </c>
    </row>
    <row r="3433" ht="22" customHeight="1">
      <c r="A3433" s="6" t="inlineStr">
        <is>
          <t>CUL-3429</t>
        </is>
      </c>
      <c r="B3433" s="5" t="n">
        <v>670</v>
      </c>
      <c r="C3433" s="7" t="inlineStr">
        <is>
          <t>Nº 4810</t>
        </is>
      </c>
      <c r="D3433" s="8" t="inlineStr">
        <is>
          <t>CERTEZA N</t>
        </is>
      </c>
      <c r="E3433" s="7" t="inlineStr">
        <is>
          <t>Pulverização Agrícola Conforme Bula</t>
        </is>
      </c>
      <c r="F3433" s="7" t="inlineStr">
        <is>
          <t>Soja</t>
        </is>
      </c>
      <c r="G3433" s="7" t="inlineStr">
        <is>
          <t>Cultura Autorizada na Bula</t>
        </is>
      </c>
      <c r="H3433" s="7" t="inlineStr">
        <is>
          <t>100 a 300 L/ha</t>
        </is>
      </c>
      <c r="I3433" s="7" t="inlineStr">
        <is>
          <t>20 a 40 L/ha</t>
        </is>
      </c>
      <c r="J3433" s="7" t="inlineStr">
        <is>
          <t>28 dias</t>
        </is>
      </c>
    </row>
    <row r="3434" ht="22" customHeight="1">
      <c r="A3434" s="12" t="inlineStr">
        <is>
          <t>CUL-3430</t>
        </is>
      </c>
      <c r="B3434" s="11" t="n">
        <v>670</v>
      </c>
      <c r="C3434" s="13" t="inlineStr">
        <is>
          <t>Nº 4810</t>
        </is>
      </c>
      <c r="D3434" s="14" t="inlineStr">
        <is>
          <t>CERTEZA N</t>
        </is>
      </c>
      <c r="E3434" s="13" t="inlineStr">
        <is>
          <t>Pulverização Agrícola Conforme Bula</t>
        </is>
      </c>
      <c r="F3434" s="13" t="inlineStr">
        <is>
          <t>Feijão</t>
        </is>
      </c>
      <c r="G3434" s="13" t="inlineStr">
        <is>
          <t>Cultura Autorizada na Bula</t>
        </is>
      </c>
      <c r="H3434" s="13" t="inlineStr">
        <is>
          <t>100 a 300 L/ha</t>
        </is>
      </c>
      <c r="I3434" s="13" t="inlineStr">
        <is>
          <t>20 a 40 L/ha</t>
        </is>
      </c>
      <c r="J3434" s="13" t="inlineStr">
        <is>
          <t>14 dias</t>
        </is>
      </c>
    </row>
    <row r="3435" ht="22" customHeight="1">
      <c r="A3435" s="6" t="inlineStr">
        <is>
          <t>CUL-3431</t>
        </is>
      </c>
      <c r="B3435" s="5" t="n">
        <v>670</v>
      </c>
      <c r="C3435" s="7" t="inlineStr">
        <is>
          <t>Nº 4810</t>
        </is>
      </c>
      <c r="D3435" s="8" t="inlineStr">
        <is>
          <t>CERTEZA N</t>
        </is>
      </c>
      <c r="E3435" s="7" t="inlineStr">
        <is>
          <t>Pulverização Agrícola Conforme Bula</t>
        </is>
      </c>
      <c r="F3435" s="7" t="inlineStr">
        <is>
          <t>Algodão</t>
        </is>
      </c>
      <c r="G3435" s="7" t="inlineStr">
        <is>
          <t>Cultura Autorizada na Bula</t>
        </is>
      </c>
      <c r="H3435" s="7" t="inlineStr">
        <is>
          <t>100 a 300 L/ha</t>
        </is>
      </c>
      <c r="I3435" s="7" t="inlineStr">
        <is>
          <t>20 a 40 L/ha</t>
        </is>
      </c>
      <c r="J3435" s="7" t="inlineStr">
        <is>
          <t>28 dias</t>
        </is>
      </c>
    </row>
    <row r="3436" ht="22" customHeight="1">
      <c r="A3436" s="12" t="inlineStr">
        <is>
          <t>CUL-3432</t>
        </is>
      </c>
      <c r="B3436" s="11" t="n">
        <v>670</v>
      </c>
      <c r="C3436" s="13" t="inlineStr">
        <is>
          <t>Nº 4810</t>
        </is>
      </c>
      <c r="D3436" s="14" t="inlineStr">
        <is>
          <t>CERTEZA N</t>
        </is>
      </c>
      <c r="E3436" s="13" t="inlineStr">
        <is>
          <t>Pulverização Agrícola Conforme Bula</t>
        </is>
      </c>
      <c r="F3436" s="13" t="inlineStr">
        <is>
          <t>Citros</t>
        </is>
      </c>
      <c r="G3436" s="13" t="inlineStr">
        <is>
          <t>Cultura Autorizada na Bula</t>
        </is>
      </c>
      <c r="H3436" s="13" t="inlineStr">
        <is>
          <t>100 a 300 L/ha</t>
        </is>
      </c>
      <c r="I3436" s="13" t="inlineStr">
        <is>
          <t>20 a 40 L/ha</t>
        </is>
      </c>
      <c r="J3436" s="13" t="inlineStr">
        <is>
          <t>14 dias</t>
        </is>
      </c>
    </row>
    <row r="3437" ht="22" customHeight="1">
      <c r="A3437" s="6" t="inlineStr">
        <is>
          <t>CUL-3433</t>
        </is>
      </c>
      <c r="B3437" s="5" t="n">
        <v>670</v>
      </c>
      <c r="C3437" s="7" t="inlineStr">
        <is>
          <t>Nº 4810</t>
        </is>
      </c>
      <c r="D3437" s="8" t="inlineStr">
        <is>
          <t>CERTEZA N</t>
        </is>
      </c>
      <c r="E3437" s="7" t="inlineStr">
        <is>
          <t>Pulverização Agrícola Conforme Bula</t>
        </is>
      </c>
      <c r="F3437" s="7" t="inlineStr">
        <is>
          <t>Café</t>
        </is>
      </c>
      <c r="G3437" s="7" t="inlineStr">
        <is>
          <t>Cultura Autorizada na Bula</t>
        </is>
      </c>
      <c r="H3437" s="7" t="inlineStr">
        <is>
          <t>100 a 300 L/ha</t>
        </is>
      </c>
      <c r="I3437" s="7" t="inlineStr">
        <is>
          <t>20 a 40 L/ha</t>
        </is>
      </c>
      <c r="J3437" s="7" t="inlineStr">
        <is>
          <t>21 dias</t>
        </is>
      </c>
    </row>
    <row r="3438" ht="22" customHeight="1">
      <c r="A3438" s="12" t="inlineStr">
        <is>
          <t>CUL-3434</t>
        </is>
      </c>
      <c r="B3438" s="11" t="n">
        <v>670</v>
      </c>
      <c r="C3438" s="13" t="inlineStr">
        <is>
          <t>Nº 4810</t>
        </is>
      </c>
      <c r="D3438" s="14" t="inlineStr">
        <is>
          <t>CERTEZA N</t>
        </is>
      </c>
      <c r="E3438" s="13" t="inlineStr">
        <is>
          <t>Pulverização Agrícola Conforme Bula</t>
        </is>
      </c>
      <c r="F3438" s="13" t="inlineStr">
        <is>
          <t>Trigo</t>
        </is>
      </c>
      <c r="G3438" s="13" t="inlineStr">
        <is>
          <t>Cultura Autorizada na Bula</t>
        </is>
      </c>
      <c r="H3438" s="13" t="inlineStr">
        <is>
          <t>100 a 300 L/ha</t>
        </is>
      </c>
      <c r="I3438" s="13" t="inlineStr">
        <is>
          <t>20 a 40 L/ha</t>
        </is>
      </c>
      <c r="J3438" s="13" t="inlineStr">
        <is>
          <t>35 dias</t>
        </is>
      </c>
    </row>
    <row r="3439" ht="22" customHeight="1">
      <c r="A3439" s="6" t="inlineStr">
        <is>
          <t>CUL-3435</t>
        </is>
      </c>
      <c r="B3439" s="5" t="n">
        <v>671</v>
      </c>
      <c r="C3439" s="7" t="inlineStr">
        <is>
          <t>Nº 19123</t>
        </is>
      </c>
      <c r="D3439" s="8" t="inlineStr">
        <is>
          <t>BRUCIA</t>
        </is>
      </c>
      <c r="E3439" s="7" t="inlineStr">
        <is>
          <t>Pulverização Agrícola Conforme Bula</t>
        </is>
      </c>
      <c r="F3439" s="7" t="inlineStr">
        <is>
          <t>Soja</t>
        </is>
      </c>
      <c r="G3439" s="7" t="inlineStr">
        <is>
          <t>Cultura Autorizada na Bula</t>
        </is>
      </c>
      <c r="H3439" s="7" t="inlineStr">
        <is>
          <t>100 a 300 L/ha</t>
        </is>
      </c>
      <c r="I3439" s="7" t="inlineStr">
        <is>
          <t>20 a 40 L/ha</t>
        </is>
      </c>
      <c r="J3439" s="7" t="inlineStr">
        <is>
          <t>60 dias</t>
        </is>
      </c>
    </row>
    <row r="3440" ht="22" customHeight="1">
      <c r="A3440" s="12" t="inlineStr">
        <is>
          <t>CUL-3436</t>
        </is>
      </c>
      <c r="B3440" s="11" t="n">
        <v>671</v>
      </c>
      <c r="C3440" s="13" t="inlineStr">
        <is>
          <t>Nº 19123</t>
        </is>
      </c>
      <c r="D3440" s="14" t="inlineStr">
        <is>
          <t>BRUCIA</t>
        </is>
      </c>
      <c r="E3440" s="13" t="inlineStr">
        <is>
          <t>Pulverização Agrícola Conforme Bula</t>
        </is>
      </c>
      <c r="F3440" s="13" t="inlineStr">
        <is>
          <t>Milho</t>
        </is>
      </c>
      <c r="G3440" s="13" t="inlineStr">
        <is>
          <t>Cultura Autorizada na Bula</t>
        </is>
      </c>
      <c r="H3440" s="13" t="inlineStr">
        <is>
          <t>100 a 300 L/ha</t>
        </is>
      </c>
      <c r="I3440" s="13" t="inlineStr">
        <is>
          <t>20 a 40 L/ha</t>
        </is>
      </c>
      <c r="J3440" s="13" t="inlineStr">
        <is>
          <t>45 dias</t>
        </is>
      </c>
    </row>
    <row r="3441" ht="22" customHeight="1">
      <c r="A3441" s="6" t="inlineStr">
        <is>
          <t>CUL-3437</t>
        </is>
      </c>
      <c r="B3441" s="5" t="n">
        <v>671</v>
      </c>
      <c r="C3441" s="7" t="inlineStr">
        <is>
          <t>Nº 19123</t>
        </is>
      </c>
      <c r="D3441" s="8" t="inlineStr">
        <is>
          <t>BRUCIA</t>
        </is>
      </c>
      <c r="E3441" s="7" t="inlineStr">
        <is>
          <t>Pulverização Agrícola Conforme Bula</t>
        </is>
      </c>
      <c r="F3441" s="7" t="inlineStr">
        <is>
          <t>Algodão</t>
        </is>
      </c>
      <c r="G3441" s="7" t="inlineStr">
        <is>
          <t>Cultura Autorizada na Bula</t>
        </is>
      </c>
      <c r="H3441" s="7" t="inlineStr">
        <is>
          <t>100 a 300 L/ha</t>
        </is>
      </c>
      <c r="I3441" s="7" t="inlineStr">
        <is>
          <t>20 a 40 L/ha</t>
        </is>
      </c>
      <c r="J3441" s="7" t="inlineStr">
        <is>
          <t>60 dias</t>
        </is>
      </c>
    </row>
    <row r="3442" ht="22" customHeight="1">
      <c r="A3442" s="12" t="inlineStr">
        <is>
          <t>CUL-3438</t>
        </is>
      </c>
      <c r="B3442" s="11" t="n">
        <v>671</v>
      </c>
      <c r="C3442" s="13" t="inlineStr">
        <is>
          <t>Nº 19123</t>
        </is>
      </c>
      <c r="D3442" s="14" t="inlineStr">
        <is>
          <t>BRUCIA</t>
        </is>
      </c>
      <c r="E3442" s="13" t="inlineStr">
        <is>
          <t>Pulverização Agrícola Conforme Bula</t>
        </is>
      </c>
      <c r="F3442" s="13" t="inlineStr">
        <is>
          <t>Cana-de-açúcar</t>
        </is>
      </c>
      <c r="G3442" s="13" t="inlineStr">
        <is>
          <t>Cultura Autorizada na Bula</t>
        </is>
      </c>
      <c r="H3442" s="13" t="inlineStr">
        <is>
          <t>100 a 300 L/ha</t>
        </is>
      </c>
      <c r="I3442" s="13" t="inlineStr">
        <is>
          <t>20 a 40 L/ha</t>
        </is>
      </c>
      <c r="J3442" s="13" t="inlineStr">
        <is>
          <t>90 dias</t>
        </is>
      </c>
    </row>
    <row r="3443" ht="22" customHeight="1">
      <c r="A3443" s="6" t="inlineStr">
        <is>
          <t>CUL-3439</t>
        </is>
      </c>
      <c r="B3443" s="5" t="n">
        <v>672</v>
      </c>
      <c r="C3443" s="7" t="inlineStr">
        <is>
          <t>SIPEAGRO (UF-XXXXX)</t>
        </is>
      </c>
      <c r="D3443" s="8" t="inlineStr">
        <is>
          <t>CELLERON</t>
        </is>
      </c>
      <c r="E3443" s="7" t="inlineStr">
        <is>
          <t>Adubação de Solo / Foliar</t>
        </is>
      </c>
      <c r="F3443" s="7" t="inlineStr">
        <is>
          <t>Soja</t>
        </is>
      </c>
      <c r="G3443" s="7" t="inlineStr">
        <is>
          <t>Cultura Autorizada na Bula</t>
        </is>
      </c>
      <c r="H3443" s="7" t="inlineStr">
        <is>
          <t>100 a 300 L/ha</t>
        </is>
      </c>
      <c r="I3443" s="7" t="inlineStr">
        <is>
          <t>20 a 40 L/ha</t>
        </is>
      </c>
      <c r="J3443" s="7" t="inlineStr">
        <is>
          <t>Isento</t>
        </is>
      </c>
    </row>
    <row r="3444" ht="22" customHeight="1">
      <c r="A3444" s="12" t="inlineStr">
        <is>
          <t>CUL-3440</t>
        </is>
      </c>
      <c r="B3444" s="11" t="n">
        <v>672</v>
      </c>
      <c r="C3444" s="13" t="inlineStr">
        <is>
          <t>SIPEAGRO (UF-XXXXX)</t>
        </is>
      </c>
      <c r="D3444" s="14" t="inlineStr">
        <is>
          <t>CELLERON</t>
        </is>
      </c>
      <c r="E3444" s="13" t="inlineStr">
        <is>
          <t>Adubação de Solo / Foliar</t>
        </is>
      </c>
      <c r="F3444" s="13" t="inlineStr">
        <is>
          <t>Milho</t>
        </is>
      </c>
      <c r="G3444" s="13" t="inlineStr">
        <is>
          <t>Cultura Autorizada na Bula</t>
        </is>
      </c>
      <c r="H3444" s="13" t="inlineStr">
        <is>
          <t>100 a 300 L/ha</t>
        </is>
      </c>
      <c r="I3444" s="13" t="inlineStr">
        <is>
          <t>20 a 40 L/ha</t>
        </is>
      </c>
      <c r="J3444" s="13" t="inlineStr">
        <is>
          <t>Isento</t>
        </is>
      </c>
    </row>
    <row r="3445" ht="22" customHeight="1">
      <c r="A3445" s="6" t="inlineStr">
        <is>
          <t>CUL-3441</t>
        </is>
      </c>
      <c r="B3445" s="5" t="n">
        <v>672</v>
      </c>
      <c r="C3445" s="7" t="inlineStr">
        <is>
          <t>SIPEAGRO (UF-XXXXX)</t>
        </is>
      </c>
      <c r="D3445" s="8" t="inlineStr">
        <is>
          <t>CELLERON</t>
        </is>
      </c>
      <c r="E3445" s="7" t="inlineStr">
        <is>
          <t>Adubação de Solo / Foliar</t>
        </is>
      </c>
      <c r="F3445" s="7" t="inlineStr">
        <is>
          <t>Algodão</t>
        </is>
      </c>
      <c r="G3445" s="7" t="inlineStr">
        <is>
          <t>Cultura Autorizada na Bula</t>
        </is>
      </c>
      <c r="H3445" s="7" t="inlineStr">
        <is>
          <t>100 a 300 L/ha</t>
        </is>
      </c>
      <c r="I3445" s="7" t="inlineStr">
        <is>
          <t>20 a 40 L/ha</t>
        </is>
      </c>
      <c r="J3445" s="7" t="inlineStr">
        <is>
          <t>Isento</t>
        </is>
      </c>
    </row>
    <row r="3446" ht="22" customHeight="1">
      <c r="A3446" s="12" t="inlineStr">
        <is>
          <t>CUL-3442</t>
        </is>
      </c>
      <c r="B3446" s="11" t="n">
        <v>672</v>
      </c>
      <c r="C3446" s="13" t="inlineStr">
        <is>
          <t>SIPEAGRO (UF-XXXXX)</t>
        </is>
      </c>
      <c r="D3446" s="14" t="inlineStr">
        <is>
          <t>CELLERON</t>
        </is>
      </c>
      <c r="E3446" s="13" t="inlineStr">
        <is>
          <t>Adubação de Solo / Foliar</t>
        </is>
      </c>
      <c r="F3446" s="13" t="inlineStr">
        <is>
          <t>Cana-de-açúcar</t>
        </is>
      </c>
      <c r="G3446" s="13" t="inlineStr">
        <is>
          <t>Cultura Autorizada na Bula</t>
        </is>
      </c>
      <c r="H3446" s="13" t="inlineStr">
        <is>
          <t>100 a 300 L/ha</t>
        </is>
      </c>
      <c r="I3446" s="13" t="inlineStr">
        <is>
          <t>20 a 40 L/ha</t>
        </is>
      </c>
      <c r="J3446" s="13" t="inlineStr">
        <is>
          <t>Isento</t>
        </is>
      </c>
    </row>
    <row r="3447" ht="22" customHeight="1">
      <c r="A3447" s="6" t="inlineStr">
        <is>
          <t>CUL-3443</t>
        </is>
      </c>
      <c r="B3447" s="5" t="n">
        <v>672</v>
      </c>
      <c r="C3447" s="7" t="inlineStr">
        <is>
          <t>SIPEAGRO (UF-XXXXX)</t>
        </is>
      </c>
      <c r="D3447" s="8" t="inlineStr">
        <is>
          <t>CELLERON</t>
        </is>
      </c>
      <c r="E3447" s="7" t="inlineStr">
        <is>
          <t>Adubação de Solo / Foliar</t>
        </is>
      </c>
      <c r="F3447" s="7" t="inlineStr">
        <is>
          <t>Café</t>
        </is>
      </c>
      <c r="G3447" s="7" t="inlineStr">
        <is>
          <t>Cultura Autorizada na Bula</t>
        </is>
      </c>
      <c r="H3447" s="7" t="inlineStr">
        <is>
          <t>100 a 300 L/ha</t>
        </is>
      </c>
      <c r="I3447" s="7" t="inlineStr">
        <is>
          <t>20 a 40 L/ha</t>
        </is>
      </c>
      <c r="J3447" s="7" t="inlineStr">
        <is>
          <t>Isento</t>
        </is>
      </c>
    </row>
    <row r="3448" ht="22" customHeight="1">
      <c r="A3448" s="12" t="inlineStr">
        <is>
          <t>CUL-3444</t>
        </is>
      </c>
      <c r="B3448" s="11" t="n">
        <v>673</v>
      </c>
      <c r="C3448" s="13" t="inlineStr">
        <is>
          <t>SIPEAGRO (UF-XXXXX)</t>
        </is>
      </c>
      <c r="D3448" s="14" t="inlineStr">
        <is>
          <t>AGCN FULL</t>
        </is>
      </c>
      <c r="E3448" s="13" t="inlineStr">
        <is>
          <t>Adubação de Solo / Foliar</t>
        </is>
      </c>
      <c r="F3448" s="13" t="inlineStr">
        <is>
          <t>Soja</t>
        </is>
      </c>
      <c r="G3448" s="13" t="inlineStr">
        <is>
          <t>Cultura Autorizada na Bula</t>
        </is>
      </c>
      <c r="H3448" s="13" t="inlineStr">
        <is>
          <t>100 a 300 L/ha</t>
        </is>
      </c>
      <c r="I3448" s="13" t="inlineStr">
        <is>
          <t>20 a 40 L/ha</t>
        </is>
      </c>
      <c r="J3448" s="13" t="inlineStr">
        <is>
          <t>Isento</t>
        </is>
      </c>
    </row>
    <row r="3449" ht="22" customHeight="1">
      <c r="A3449" s="6" t="inlineStr">
        <is>
          <t>CUL-3445</t>
        </is>
      </c>
      <c r="B3449" s="5" t="n">
        <v>673</v>
      </c>
      <c r="C3449" s="7" t="inlineStr">
        <is>
          <t>SIPEAGRO (UF-XXXXX)</t>
        </is>
      </c>
      <c r="D3449" s="8" t="inlineStr">
        <is>
          <t>AGCN FULL</t>
        </is>
      </c>
      <c r="E3449" s="7" t="inlineStr">
        <is>
          <t>Adubação de Solo / Foliar</t>
        </is>
      </c>
      <c r="F3449" s="7" t="inlineStr">
        <is>
          <t>Milho</t>
        </is>
      </c>
      <c r="G3449" s="7" t="inlineStr">
        <is>
          <t>Cultura Autorizada na Bula</t>
        </is>
      </c>
      <c r="H3449" s="7" t="inlineStr">
        <is>
          <t>100 a 300 L/ha</t>
        </is>
      </c>
      <c r="I3449" s="7" t="inlineStr">
        <is>
          <t>20 a 40 L/ha</t>
        </is>
      </c>
      <c r="J3449" s="7" t="inlineStr">
        <is>
          <t>Isento</t>
        </is>
      </c>
    </row>
    <row r="3450" ht="22" customHeight="1">
      <c r="A3450" s="12" t="inlineStr">
        <is>
          <t>CUL-3446</t>
        </is>
      </c>
      <c r="B3450" s="11" t="n">
        <v>673</v>
      </c>
      <c r="C3450" s="13" t="inlineStr">
        <is>
          <t>SIPEAGRO (UF-XXXXX)</t>
        </is>
      </c>
      <c r="D3450" s="14" t="inlineStr">
        <is>
          <t>AGCN FULL</t>
        </is>
      </c>
      <c r="E3450" s="13" t="inlineStr">
        <is>
          <t>Adubação de Solo / Foliar</t>
        </is>
      </c>
      <c r="F3450" s="13" t="inlineStr">
        <is>
          <t>Algodão</t>
        </is>
      </c>
      <c r="G3450" s="13" t="inlineStr">
        <is>
          <t>Cultura Autorizada na Bula</t>
        </is>
      </c>
      <c r="H3450" s="13" t="inlineStr">
        <is>
          <t>100 a 300 L/ha</t>
        </is>
      </c>
      <c r="I3450" s="13" t="inlineStr">
        <is>
          <t>20 a 40 L/ha</t>
        </is>
      </c>
      <c r="J3450" s="13" t="inlineStr">
        <is>
          <t>Isento</t>
        </is>
      </c>
    </row>
    <row r="3451" ht="22" customHeight="1">
      <c r="A3451" s="6" t="inlineStr">
        <is>
          <t>CUL-3447</t>
        </is>
      </c>
      <c r="B3451" s="5" t="n">
        <v>673</v>
      </c>
      <c r="C3451" s="7" t="inlineStr">
        <is>
          <t>SIPEAGRO (UF-XXXXX)</t>
        </is>
      </c>
      <c r="D3451" s="8" t="inlineStr">
        <is>
          <t>AGCN FULL</t>
        </is>
      </c>
      <c r="E3451" s="7" t="inlineStr">
        <is>
          <t>Adubação de Solo / Foliar</t>
        </is>
      </c>
      <c r="F3451" s="7" t="inlineStr">
        <is>
          <t>Cana-de-açúcar</t>
        </is>
      </c>
      <c r="G3451" s="7" t="inlineStr">
        <is>
          <t>Cultura Autorizada na Bula</t>
        </is>
      </c>
      <c r="H3451" s="7" t="inlineStr">
        <is>
          <t>100 a 300 L/ha</t>
        </is>
      </c>
      <c r="I3451" s="7" t="inlineStr">
        <is>
          <t>20 a 40 L/ha</t>
        </is>
      </c>
      <c r="J3451" s="7" t="inlineStr">
        <is>
          <t>Isento</t>
        </is>
      </c>
    </row>
    <row r="3452" ht="22" customHeight="1">
      <c r="A3452" s="12" t="inlineStr">
        <is>
          <t>CUL-3448</t>
        </is>
      </c>
      <c r="B3452" s="11" t="n">
        <v>673</v>
      </c>
      <c r="C3452" s="13" t="inlineStr">
        <is>
          <t>SIPEAGRO (UF-XXXXX)</t>
        </is>
      </c>
      <c r="D3452" s="14" t="inlineStr">
        <is>
          <t>AGCN FULL</t>
        </is>
      </c>
      <c r="E3452" s="13" t="inlineStr">
        <is>
          <t>Adubação de Solo / Foliar</t>
        </is>
      </c>
      <c r="F3452" s="13" t="inlineStr">
        <is>
          <t>Café</t>
        </is>
      </c>
      <c r="G3452" s="13" t="inlineStr">
        <is>
          <t>Cultura Autorizada na Bula</t>
        </is>
      </c>
      <c r="H3452" s="13" t="inlineStr">
        <is>
          <t>100 a 300 L/ha</t>
        </is>
      </c>
      <c r="I3452" s="13" t="inlineStr">
        <is>
          <t>20 a 40 L/ha</t>
        </is>
      </c>
      <c r="J3452" s="13" t="inlineStr">
        <is>
          <t>Isento</t>
        </is>
      </c>
    </row>
    <row r="3453" ht="22" customHeight="1">
      <c r="A3453" s="6" t="inlineStr">
        <is>
          <t>CUL-3449</t>
        </is>
      </c>
      <c r="B3453" s="5" t="n">
        <v>674</v>
      </c>
      <c r="C3453" s="7" t="inlineStr">
        <is>
          <t>Nº 1802</t>
        </is>
      </c>
      <c r="D3453" s="8" t="inlineStr">
        <is>
          <t>PROMALIN</t>
        </is>
      </c>
      <c r="E3453" s="7" t="inlineStr">
        <is>
          <t>Pulverização Foliar / Florada</t>
        </is>
      </c>
      <c r="F3453" s="7" t="inlineStr">
        <is>
          <t>Maçã (Pomáceas)</t>
        </is>
      </c>
      <c r="G3453" s="7" t="inlineStr">
        <is>
          <t>Cultura Autorizada na Bula</t>
        </is>
      </c>
      <c r="H3453" s="7" t="inlineStr">
        <is>
          <t>800 a 1000 L/ha</t>
        </is>
      </c>
      <c r="I3453" s="7" t="inlineStr">
        <is>
          <t>Não Autorizada</t>
        </is>
      </c>
      <c r="J3453" s="7" t="inlineStr">
        <is>
          <t>U.N.A.</t>
        </is>
      </c>
    </row>
    <row r="3454" ht="22" customHeight="1">
      <c r="A3454" s="12" t="inlineStr">
        <is>
          <t>CUL-3450</t>
        </is>
      </c>
      <c r="B3454" s="11" t="n">
        <v>675</v>
      </c>
      <c r="C3454" s="13" t="inlineStr">
        <is>
          <t>Nº 33217</t>
        </is>
      </c>
      <c r="D3454" s="14" t="inlineStr">
        <is>
          <t>PANGA 900 WG</t>
        </is>
      </c>
      <c r="E3454" s="13" t="inlineStr">
        <is>
          <t>Pulverização Agrícola Conforme Bula</t>
        </is>
      </c>
      <c r="F3454" s="13" t="inlineStr">
        <is>
          <t>Milho</t>
        </is>
      </c>
      <c r="G3454" s="13" t="inlineStr">
        <is>
          <t>Cultura Autorizada na Bula</t>
        </is>
      </c>
      <c r="H3454" s="13" t="inlineStr">
        <is>
          <t>100 a 300 L/ha</t>
        </is>
      </c>
      <c r="I3454" s="13" t="inlineStr">
        <is>
          <t>20 a 40 L/ha</t>
        </is>
      </c>
      <c r="J3454" s="13" t="inlineStr">
        <is>
          <t>60 dias</t>
        </is>
      </c>
    </row>
    <row r="3455" ht="22" customHeight="1">
      <c r="A3455" s="6" t="inlineStr">
        <is>
          <t>CUL-3451</t>
        </is>
      </c>
      <c r="B3455" s="5" t="n">
        <v>675</v>
      </c>
      <c r="C3455" s="7" t="inlineStr">
        <is>
          <t>Nº 33217</t>
        </is>
      </c>
      <c r="D3455" s="8" t="inlineStr">
        <is>
          <t>PANGA 900 WG</t>
        </is>
      </c>
      <c r="E3455" s="7" t="inlineStr">
        <is>
          <t>Pulverização Agrícola Conforme Bula</t>
        </is>
      </c>
      <c r="F3455" s="7" t="inlineStr">
        <is>
          <t>Cana-de-açúcar</t>
        </is>
      </c>
      <c r="G3455" s="7" t="inlineStr">
        <is>
          <t>Cultura Autorizada na Bula</t>
        </is>
      </c>
      <c r="H3455" s="7" t="inlineStr">
        <is>
          <t>100 a 300 L/ha</t>
        </is>
      </c>
      <c r="I3455" s="7" t="inlineStr">
        <is>
          <t>20 a 40 L/ha</t>
        </is>
      </c>
      <c r="J3455" s="7" t="inlineStr">
        <is>
          <t>N/D</t>
        </is>
      </c>
    </row>
    <row r="3456" ht="22" customHeight="1">
      <c r="A3456" s="12" t="inlineStr">
        <is>
          <t>CUL-3452</t>
        </is>
      </c>
      <c r="B3456" s="11" t="n">
        <v>675</v>
      </c>
      <c r="C3456" s="13" t="inlineStr">
        <is>
          <t>Nº 33217</t>
        </is>
      </c>
      <c r="D3456" s="14" t="inlineStr">
        <is>
          <t>PANGA 900 WG</t>
        </is>
      </c>
      <c r="E3456" s="13" t="inlineStr">
        <is>
          <t>Pulverização Agrícola Conforme Bula</t>
        </is>
      </c>
      <c r="F3456" s="13" t="inlineStr">
        <is>
          <t>Sorgo</t>
        </is>
      </c>
      <c r="G3456" s="13" t="inlineStr">
        <is>
          <t>Cultura Autorizada na Bula</t>
        </is>
      </c>
      <c r="H3456" s="13" t="inlineStr">
        <is>
          <t>100 a 300 L/ha</t>
        </is>
      </c>
      <c r="I3456" s="13" t="inlineStr">
        <is>
          <t>20 a 40 L/ha</t>
        </is>
      </c>
      <c r="J3456" s="13" t="inlineStr">
        <is>
          <t>60 dias</t>
        </is>
      </c>
    </row>
    <row r="3457" ht="22" customHeight="1">
      <c r="A3457" s="6" t="inlineStr">
        <is>
          <t>CUL-3453</t>
        </is>
      </c>
      <c r="B3457" s="5" t="n">
        <v>675</v>
      </c>
      <c r="C3457" s="7" t="inlineStr">
        <is>
          <t>Nº 33217</t>
        </is>
      </c>
      <c r="D3457" s="8" t="inlineStr">
        <is>
          <t>PANGA 900 WG</t>
        </is>
      </c>
      <c r="E3457" s="7" t="inlineStr">
        <is>
          <t>Pulverização Agrícola Conforme Bula</t>
        </is>
      </c>
      <c r="F3457" s="7" t="inlineStr">
        <is>
          <t>Pinus / Eucalipto</t>
        </is>
      </c>
      <c r="G3457" s="7" t="inlineStr">
        <is>
          <t>Cultura Autorizada na Bula</t>
        </is>
      </c>
      <c r="H3457" s="7" t="inlineStr">
        <is>
          <t>100 a 300 L/ha</t>
        </is>
      </c>
      <c r="I3457" s="7" t="inlineStr">
        <is>
          <t>20 a 40 L/ha</t>
        </is>
      </c>
      <c r="J3457" s="7" t="inlineStr">
        <is>
          <t>U.N.A.</t>
        </is>
      </c>
    </row>
    <row r="3458" ht="22" customHeight="1">
      <c r="A3458" s="12" t="inlineStr">
        <is>
          <t>CUL-3454</t>
        </is>
      </c>
      <c r="B3458" s="11" t="n">
        <v>676</v>
      </c>
      <c r="C3458" s="13" t="inlineStr">
        <is>
          <t>Nº 31017</t>
        </is>
      </c>
      <c r="D3458" s="14" t="inlineStr">
        <is>
          <t>TRIDIUM</t>
        </is>
      </c>
      <c r="E3458" s="13" t="inlineStr">
        <is>
          <t>Pulverização Agrícola Conforme Bula</t>
        </is>
      </c>
      <c r="F3458" s="13" t="inlineStr">
        <is>
          <t>Soja</t>
        </is>
      </c>
      <c r="G3458" s="13" t="inlineStr">
        <is>
          <t>Cultura Autorizada na Bula</t>
        </is>
      </c>
      <c r="H3458" s="13" t="inlineStr">
        <is>
          <t>100 a 300 L/ha</t>
        </is>
      </c>
      <c r="I3458" s="13" t="inlineStr">
        <is>
          <t>20 a 40 L/ha</t>
        </is>
      </c>
      <c r="J3458" s="13" t="inlineStr">
        <is>
          <t>21 dias</t>
        </is>
      </c>
    </row>
    <row r="3459" ht="22" customHeight="1">
      <c r="A3459" s="6" t="inlineStr">
        <is>
          <t>CUL-3455</t>
        </is>
      </c>
      <c r="B3459" s="5" t="n">
        <v>676</v>
      </c>
      <c r="C3459" s="7" t="inlineStr">
        <is>
          <t>Nº 31017</t>
        </is>
      </c>
      <c r="D3459" s="8" t="inlineStr">
        <is>
          <t>TRIDIUM</t>
        </is>
      </c>
      <c r="E3459" s="7" t="inlineStr">
        <is>
          <t>Pulverização Agrícola Conforme Bula</t>
        </is>
      </c>
      <c r="F3459" s="7" t="inlineStr">
        <is>
          <t>Algodão</t>
        </is>
      </c>
      <c r="G3459" s="7" t="inlineStr">
        <is>
          <t>Cultura Autorizada na Bula</t>
        </is>
      </c>
      <c r="H3459" s="7" t="inlineStr">
        <is>
          <t>100 a 300 L/ha</t>
        </is>
      </c>
      <c r="I3459" s="7" t="inlineStr">
        <is>
          <t>20 a 40 L/ha</t>
        </is>
      </c>
      <c r="J3459" s="7" t="inlineStr">
        <is>
          <t>21 dias</t>
        </is>
      </c>
    </row>
    <row r="3460" ht="22" customHeight="1">
      <c r="A3460" s="12" t="inlineStr">
        <is>
          <t>CUL-3456</t>
        </is>
      </c>
      <c r="B3460" s="11" t="n">
        <v>676</v>
      </c>
      <c r="C3460" s="13" t="inlineStr">
        <is>
          <t>Nº 31017</t>
        </is>
      </c>
      <c r="D3460" s="14" t="inlineStr">
        <is>
          <t>TRIDIUM</t>
        </is>
      </c>
      <c r="E3460" s="13" t="inlineStr">
        <is>
          <t>Pulverização Agrícola Conforme Bula</t>
        </is>
      </c>
      <c r="F3460" s="13" t="inlineStr">
        <is>
          <t>Café</t>
        </is>
      </c>
      <c r="G3460" s="13" t="inlineStr">
        <is>
          <t>Cultura Autorizada na Bula</t>
        </is>
      </c>
      <c r="H3460" s="13" t="inlineStr">
        <is>
          <t>100 a 300 L/ha</t>
        </is>
      </c>
      <c r="I3460" s="13" t="inlineStr">
        <is>
          <t>20 a 40 L/ha</t>
        </is>
      </c>
      <c r="J3460" s="13" t="inlineStr">
        <is>
          <t>21 dias</t>
        </is>
      </c>
    </row>
    <row r="3461" ht="22" customHeight="1">
      <c r="A3461" s="6" t="inlineStr">
        <is>
          <t>CUL-3457</t>
        </is>
      </c>
      <c r="B3461" s="5" t="n">
        <v>676</v>
      </c>
      <c r="C3461" s="7" t="inlineStr">
        <is>
          <t>Nº 31017</t>
        </is>
      </c>
      <c r="D3461" s="8" t="inlineStr">
        <is>
          <t>TRIDIUM</t>
        </is>
      </c>
      <c r="E3461" s="7" t="inlineStr">
        <is>
          <t>Pulverização Agrícola Conforme Bula</t>
        </is>
      </c>
      <c r="F3461" s="7" t="inlineStr">
        <is>
          <t>Feijão</t>
        </is>
      </c>
      <c r="G3461" s="7" t="inlineStr">
        <is>
          <t>Cultura Autorizada na Bula</t>
        </is>
      </c>
      <c r="H3461" s="7" t="inlineStr">
        <is>
          <t>100 a 300 L/ha</t>
        </is>
      </c>
      <c r="I3461" s="7" t="inlineStr">
        <is>
          <t>20 a 40 L/ha</t>
        </is>
      </c>
      <c r="J3461" s="7" t="inlineStr">
        <is>
          <t>14 dias</t>
        </is>
      </c>
    </row>
    <row r="3462" ht="22" customHeight="1">
      <c r="A3462" s="12" t="inlineStr">
        <is>
          <t>CUL-3458</t>
        </is>
      </c>
      <c r="B3462" s="11" t="n">
        <v>676</v>
      </c>
      <c r="C3462" s="13" t="inlineStr">
        <is>
          <t>Nº 31017</t>
        </is>
      </c>
      <c r="D3462" s="14" t="inlineStr">
        <is>
          <t>TRIDIUM</t>
        </is>
      </c>
      <c r="E3462" s="13" t="inlineStr">
        <is>
          <t>Pulverização Agrícola Conforme Bula</t>
        </is>
      </c>
      <c r="F3462" s="13" t="inlineStr">
        <is>
          <t>Milho</t>
        </is>
      </c>
      <c r="G3462" s="13" t="inlineStr">
        <is>
          <t>Cultura Autorizada na Bula</t>
        </is>
      </c>
      <c r="H3462" s="13" t="inlineStr">
        <is>
          <t>100 a 300 L/ha</t>
        </is>
      </c>
      <c r="I3462" s="13" t="inlineStr">
        <is>
          <t>20 a 40 L/ha</t>
        </is>
      </c>
      <c r="J3462" s="13" t="inlineStr">
        <is>
          <t>21 dias</t>
        </is>
      </c>
    </row>
    <row r="3463" ht="22" customHeight="1">
      <c r="A3463" s="6" t="inlineStr">
        <is>
          <t>CUL-3459</t>
        </is>
      </c>
      <c r="B3463" s="5" t="n">
        <v>676</v>
      </c>
      <c r="C3463" s="7" t="inlineStr">
        <is>
          <t>Nº 31017</t>
        </is>
      </c>
      <c r="D3463" s="8" t="inlineStr">
        <is>
          <t>TRIDIUM</t>
        </is>
      </c>
      <c r="E3463" s="7" t="inlineStr">
        <is>
          <t>Pulverização Agrícola Conforme Bula</t>
        </is>
      </c>
      <c r="F3463" s="7" t="inlineStr">
        <is>
          <t>Batata</t>
        </is>
      </c>
      <c r="G3463" s="7" t="inlineStr">
        <is>
          <t>Cultura Autorizada na Bula</t>
        </is>
      </c>
      <c r="H3463" s="7" t="inlineStr">
        <is>
          <t>100 a 300 L/ha</t>
        </is>
      </c>
      <c r="I3463" s="7" t="inlineStr">
        <is>
          <t>20 a 40 L/ha</t>
        </is>
      </c>
      <c r="J3463" s="7" t="inlineStr">
        <is>
          <t>7 dias</t>
        </is>
      </c>
    </row>
    <row r="3464" ht="22" customHeight="1">
      <c r="A3464" s="12" t="inlineStr">
        <is>
          <t>CUL-3460</t>
        </is>
      </c>
      <c r="B3464" s="11" t="n">
        <v>676</v>
      </c>
      <c r="C3464" s="13" t="inlineStr">
        <is>
          <t>Nº 31017</t>
        </is>
      </c>
      <c r="D3464" s="14" t="inlineStr">
        <is>
          <t>TRIDIUM</t>
        </is>
      </c>
      <c r="E3464" s="13" t="inlineStr">
        <is>
          <t>Pulverização Agrícola Conforme Bula</t>
        </is>
      </c>
      <c r="F3464" s="13" t="inlineStr">
        <is>
          <t>Tomate</t>
        </is>
      </c>
      <c r="G3464" s="13" t="inlineStr">
        <is>
          <t>Cultura Autorizada na Bula</t>
        </is>
      </c>
      <c r="H3464" s="13" t="inlineStr">
        <is>
          <t>100 a 300 L/ha</t>
        </is>
      </c>
      <c r="I3464" s="13" t="inlineStr">
        <is>
          <t>20 a 40 L/ha</t>
        </is>
      </c>
      <c r="J3464" s="13" t="inlineStr">
        <is>
          <t>7 dias</t>
        </is>
      </c>
    </row>
    <row r="3465" ht="22" customHeight="1">
      <c r="A3465" s="6" t="inlineStr">
        <is>
          <t>CUL-3461</t>
        </is>
      </c>
      <c r="B3465" s="5" t="n">
        <v>676</v>
      </c>
      <c r="C3465" s="7" t="inlineStr">
        <is>
          <t>Nº 31017</t>
        </is>
      </c>
      <c r="D3465" s="8" t="inlineStr">
        <is>
          <t>TRIDIUM</t>
        </is>
      </c>
      <c r="E3465" s="7" t="inlineStr">
        <is>
          <t>Pulverização Agrícola Conforme Bula</t>
        </is>
      </c>
      <c r="F3465" s="7" t="inlineStr">
        <is>
          <t>Trigo</t>
        </is>
      </c>
      <c r="G3465" s="7" t="inlineStr">
        <is>
          <t>Cultura Autorizada na Bula</t>
        </is>
      </c>
      <c r="H3465" s="7" t="inlineStr">
        <is>
          <t>100 a 300 L/ha</t>
        </is>
      </c>
      <c r="I3465" s="7" t="inlineStr">
        <is>
          <t>20 a 40 L/ha</t>
        </is>
      </c>
      <c r="J3465" s="7" t="inlineStr">
        <is>
          <t>21 dias</t>
        </is>
      </c>
    </row>
    <row r="3466" ht="22" customHeight="1">
      <c r="A3466" s="12" t="inlineStr">
        <is>
          <t>CUL-3462</t>
        </is>
      </c>
      <c r="B3466" s="11" t="n">
        <v>677</v>
      </c>
      <c r="C3466" s="13" t="inlineStr">
        <is>
          <t>Nº 9407</t>
        </is>
      </c>
      <c r="D3466" s="14" t="inlineStr">
        <is>
          <t>ARIETE</t>
        </is>
      </c>
      <c r="E3466" s="13" t="inlineStr">
        <is>
          <t>Pulverização Agrícola Conforme Bula</t>
        </is>
      </c>
      <c r="F3466" s="13" t="inlineStr">
        <is>
          <t>Algodão</t>
        </is>
      </c>
      <c r="G3466" s="13" t="inlineStr">
        <is>
          <t>Cultura Autorizada na Bula</t>
        </is>
      </c>
      <c r="H3466" s="13" t="inlineStr">
        <is>
          <t>100 a 300 L/ha</t>
        </is>
      </c>
      <c r="I3466" s="13" t="inlineStr">
        <is>
          <t>20 a 40 L/ha</t>
        </is>
      </c>
      <c r="J3466" s="13" t="inlineStr">
        <is>
          <t>15 dias</t>
        </is>
      </c>
    </row>
    <row r="3467" ht="22" customHeight="1">
      <c r="A3467" s="6" t="inlineStr">
        <is>
          <t>CUL-3463</t>
        </is>
      </c>
      <c r="B3467" s="5" t="n">
        <v>677</v>
      </c>
      <c r="C3467" s="7" t="inlineStr">
        <is>
          <t>Nº 9407</t>
        </is>
      </c>
      <c r="D3467" s="8" t="inlineStr">
        <is>
          <t>ARIETE</t>
        </is>
      </c>
      <c r="E3467" s="7" t="inlineStr">
        <is>
          <t>Pulverização Agrícola Conforme Bula</t>
        </is>
      </c>
      <c r="F3467" s="7" t="inlineStr">
        <is>
          <t>Soja</t>
        </is>
      </c>
      <c r="G3467" s="7" t="inlineStr">
        <is>
          <t>Cultura Autorizada na Bula</t>
        </is>
      </c>
      <c r="H3467" s="7" t="inlineStr">
        <is>
          <t>100 a 300 L/ha</t>
        </is>
      </c>
      <c r="I3467" s="7" t="inlineStr">
        <is>
          <t>20 a 40 L/ha</t>
        </is>
      </c>
      <c r="J3467" s="7" t="inlineStr">
        <is>
          <t>30 dias</t>
        </is>
      </c>
    </row>
    <row r="3468" ht="22" customHeight="1">
      <c r="A3468" s="12" t="inlineStr">
        <is>
          <t>CUL-3464</t>
        </is>
      </c>
      <c r="B3468" s="11" t="n">
        <v>677</v>
      </c>
      <c r="C3468" s="13" t="inlineStr">
        <is>
          <t>Nº 9407</t>
        </is>
      </c>
      <c r="D3468" s="14" t="inlineStr">
        <is>
          <t>ARIETE</t>
        </is>
      </c>
      <c r="E3468" s="13" t="inlineStr">
        <is>
          <t>Pulverização Agrícola Conforme Bula</t>
        </is>
      </c>
      <c r="F3468" s="13" t="inlineStr">
        <is>
          <t>Milho</t>
        </is>
      </c>
      <c r="G3468" s="13" t="inlineStr">
        <is>
          <t>Cultura Autorizada na Bula</t>
        </is>
      </c>
      <c r="H3468" s="13" t="inlineStr">
        <is>
          <t>100 a 300 L/ha</t>
        </is>
      </c>
      <c r="I3468" s="13" t="inlineStr">
        <is>
          <t>20 a 40 L/ha</t>
        </is>
      </c>
      <c r="J3468" s="13" t="inlineStr">
        <is>
          <t>30 dias</t>
        </is>
      </c>
    </row>
    <row r="3469" ht="22" customHeight="1">
      <c r="A3469" s="6" t="inlineStr">
        <is>
          <t>CUL-3465</t>
        </is>
      </c>
      <c r="B3469" s="5" t="n">
        <v>677</v>
      </c>
      <c r="C3469" s="7" t="inlineStr">
        <is>
          <t>Nº 9407</t>
        </is>
      </c>
      <c r="D3469" s="8" t="inlineStr">
        <is>
          <t>ARIETE</t>
        </is>
      </c>
      <c r="E3469" s="7" t="inlineStr">
        <is>
          <t>Pulverização Agrícola Conforme Bula</t>
        </is>
      </c>
      <c r="F3469" s="7" t="inlineStr">
        <is>
          <t>Cana-de-açúcar</t>
        </is>
      </c>
      <c r="G3469" s="7" t="inlineStr">
        <is>
          <t>Cultura Autorizada na Bula</t>
        </is>
      </c>
      <c r="H3469" s="7" t="inlineStr">
        <is>
          <t>100 a 300 L/ha</t>
        </is>
      </c>
      <c r="I3469" s="7" t="inlineStr">
        <is>
          <t>20 a 40 L/ha</t>
        </is>
      </c>
      <c r="J3469" s="7" t="inlineStr">
        <is>
          <t>30 dias</t>
        </is>
      </c>
    </row>
    <row r="3470" ht="22" customHeight="1">
      <c r="A3470" s="12" t="inlineStr">
        <is>
          <t>CUL-3466</t>
        </is>
      </c>
      <c r="B3470" s="11" t="n">
        <v>677</v>
      </c>
      <c r="C3470" s="13" t="inlineStr">
        <is>
          <t>Nº 9407</t>
        </is>
      </c>
      <c r="D3470" s="14" t="inlineStr">
        <is>
          <t>ARIETE</t>
        </is>
      </c>
      <c r="E3470" s="13" t="inlineStr">
        <is>
          <t>Pulverização Agrícola Conforme Bula</t>
        </is>
      </c>
      <c r="F3470" s="13" t="inlineStr">
        <is>
          <t>Café</t>
        </is>
      </c>
      <c r="G3470" s="13" t="inlineStr">
        <is>
          <t>Cultura Autorizada na Bula</t>
        </is>
      </c>
      <c r="H3470" s="13" t="inlineStr">
        <is>
          <t>100 a 300 L/ha</t>
        </is>
      </c>
      <c r="I3470" s="13" t="inlineStr">
        <is>
          <t>20 a 40 L/ha</t>
        </is>
      </c>
      <c r="J3470" s="13" t="inlineStr">
        <is>
          <t>30 dias</t>
        </is>
      </c>
    </row>
    <row r="3471" ht="22" customHeight="1">
      <c r="A3471" s="6" t="inlineStr">
        <is>
          <t>CUL-3467</t>
        </is>
      </c>
      <c r="B3471" s="5" t="n">
        <v>677</v>
      </c>
      <c r="C3471" s="7" t="inlineStr">
        <is>
          <t>Nº 9407</t>
        </is>
      </c>
      <c r="D3471" s="8" t="inlineStr">
        <is>
          <t>ARIETE</t>
        </is>
      </c>
      <c r="E3471" s="7" t="inlineStr">
        <is>
          <t>Pulverização Agrícola Conforme Bula</t>
        </is>
      </c>
      <c r="F3471" s="7" t="inlineStr">
        <is>
          <t>Citros</t>
        </is>
      </c>
      <c r="G3471" s="7" t="inlineStr">
        <is>
          <t>Cultura Autorizada na Bula</t>
        </is>
      </c>
      <c r="H3471" s="7" t="inlineStr">
        <is>
          <t>100 a 300 L/ha</t>
        </is>
      </c>
      <c r="I3471" s="7" t="inlineStr">
        <is>
          <t>20 a 40 L/ha</t>
        </is>
      </c>
      <c r="J3471" s="7" t="inlineStr">
        <is>
          <t>7 dias</t>
        </is>
      </c>
    </row>
    <row r="3472" ht="22" customHeight="1">
      <c r="A3472" s="12" t="inlineStr">
        <is>
          <t>CUL-3468</t>
        </is>
      </c>
      <c r="B3472" s="11" t="n">
        <v>677</v>
      </c>
      <c r="C3472" s="13" t="inlineStr">
        <is>
          <t>Nº 9407</t>
        </is>
      </c>
      <c r="D3472" s="14" t="inlineStr">
        <is>
          <t>ARIETE</t>
        </is>
      </c>
      <c r="E3472" s="13" t="inlineStr">
        <is>
          <t>Pulverização Agrícola Conforme Bula</t>
        </is>
      </c>
      <c r="F3472" s="13" t="inlineStr">
        <is>
          <t>Feijão</t>
        </is>
      </c>
      <c r="G3472" s="13" t="inlineStr">
        <is>
          <t>Cultura Autorizada na Bula</t>
        </is>
      </c>
      <c r="H3472" s="13" t="inlineStr">
        <is>
          <t>100 a 300 L/ha</t>
        </is>
      </c>
      <c r="I3472" s="13" t="inlineStr">
        <is>
          <t>20 a 40 L/ha</t>
        </is>
      </c>
      <c r="J3472" s="13" t="inlineStr">
        <is>
          <t>20 dias</t>
        </is>
      </c>
    </row>
    <row r="3473" ht="22" customHeight="1">
      <c r="A3473" s="6" t="inlineStr">
        <is>
          <t>CUL-3469</t>
        </is>
      </c>
      <c r="B3473" s="5" t="n">
        <v>677</v>
      </c>
      <c r="C3473" s="7" t="inlineStr">
        <is>
          <t>Nº 9407</t>
        </is>
      </c>
      <c r="D3473" s="8" t="inlineStr">
        <is>
          <t>ARIETE</t>
        </is>
      </c>
      <c r="E3473" s="7" t="inlineStr">
        <is>
          <t>Pulverização Agrícola Conforme Bula</t>
        </is>
      </c>
      <c r="F3473" s="7" t="inlineStr">
        <is>
          <t>Trigo</t>
        </is>
      </c>
      <c r="G3473" s="7" t="inlineStr">
        <is>
          <t>Cultura Autorizada na Bula</t>
        </is>
      </c>
      <c r="H3473" s="7" t="inlineStr">
        <is>
          <t>100 a 300 L/ha</t>
        </is>
      </c>
      <c r="I3473" s="7" t="inlineStr">
        <is>
          <t>20 a 40 L/ha</t>
        </is>
      </c>
      <c r="J3473" s="7" t="inlineStr">
        <is>
          <t>30 dias</t>
        </is>
      </c>
    </row>
    <row r="3474" ht="22" customHeight="1">
      <c r="A3474" s="12" t="inlineStr">
        <is>
          <t>CUL-3470</t>
        </is>
      </c>
      <c r="B3474" s="11" t="n">
        <v>678</v>
      </c>
      <c r="C3474" s="13" t="inlineStr">
        <is>
          <t>SIPEAGRO (UF-XXXXX)</t>
        </is>
      </c>
      <c r="D3474" s="14" t="inlineStr">
        <is>
          <t>BACSTIM 100</t>
        </is>
      </c>
      <c r="E3474" s="13" t="inlineStr">
        <is>
          <t>Pulverização Agrícola Conforme Bula</t>
        </is>
      </c>
      <c r="F3474" s="13" t="inlineStr">
        <is>
          <t>Soja (Sulco / TS / Foliar)</t>
        </is>
      </c>
      <c r="G3474" s="13" t="inlineStr">
        <is>
          <t>Cultura Autorizada na Bula</t>
        </is>
      </c>
      <c r="H3474" s="13" t="inlineStr">
        <is>
          <t>100 a 300 L/ha</t>
        </is>
      </c>
      <c r="I3474" s="13" t="inlineStr">
        <is>
          <t>20 a 40 L/ha</t>
        </is>
      </c>
      <c r="J3474" s="13" t="inlineStr">
        <is>
          <t>0 (Isento)</t>
        </is>
      </c>
    </row>
    <row r="3475" ht="22" customHeight="1">
      <c r="A3475" s="6" t="inlineStr">
        <is>
          <t>CUL-3471</t>
        </is>
      </c>
      <c r="B3475" s="5" t="n">
        <v>678</v>
      </c>
      <c r="C3475" s="7" t="inlineStr">
        <is>
          <t>SIPEAGRO (UF-XXXXX)</t>
        </is>
      </c>
      <c r="D3475" s="8" t="inlineStr">
        <is>
          <t>BACSTIM 100</t>
        </is>
      </c>
      <c r="E3475" s="7" t="inlineStr">
        <is>
          <t>Pulverização Agrícola Conforme Bula</t>
        </is>
      </c>
      <c r="F3475" s="7" t="inlineStr">
        <is>
          <t>Milho</t>
        </is>
      </c>
      <c r="G3475" s="7" t="inlineStr">
        <is>
          <t>Cultura Autorizada na Bula</t>
        </is>
      </c>
      <c r="H3475" s="7" t="inlineStr">
        <is>
          <t>100 a 300 L/ha</t>
        </is>
      </c>
      <c r="I3475" s="7" t="inlineStr">
        <is>
          <t>20 a 40 L/ha</t>
        </is>
      </c>
      <c r="J3475" s="7" t="inlineStr">
        <is>
          <t>0 (Isento)</t>
        </is>
      </c>
    </row>
    <row r="3476" ht="22" customHeight="1">
      <c r="A3476" s="12" t="inlineStr">
        <is>
          <t>CUL-3472</t>
        </is>
      </c>
      <c r="B3476" s="11" t="n">
        <v>678</v>
      </c>
      <c r="C3476" s="13" t="inlineStr">
        <is>
          <t>SIPEAGRO (UF-XXXXX)</t>
        </is>
      </c>
      <c r="D3476" s="14" t="inlineStr">
        <is>
          <t>BACSTIM 100</t>
        </is>
      </c>
      <c r="E3476" s="13" t="inlineStr">
        <is>
          <t>Pulverização Agrícola Conforme Bula</t>
        </is>
      </c>
      <c r="F3476" s="13" t="inlineStr">
        <is>
          <t>Algodão</t>
        </is>
      </c>
      <c r="G3476" s="13" t="inlineStr">
        <is>
          <t>Cultura Autorizada na Bula</t>
        </is>
      </c>
      <c r="H3476" s="13" t="inlineStr">
        <is>
          <t>100 a 300 L/ha</t>
        </is>
      </c>
      <c r="I3476" s="13" t="inlineStr">
        <is>
          <t>20 a 40 L/ha</t>
        </is>
      </c>
      <c r="J3476" s="13" t="inlineStr">
        <is>
          <t>0 (Isento)</t>
        </is>
      </c>
    </row>
    <row r="3477" ht="22" customHeight="1">
      <c r="A3477" s="6" t="inlineStr">
        <is>
          <t>CUL-3473</t>
        </is>
      </c>
      <c r="B3477" s="5" t="n">
        <v>678</v>
      </c>
      <c r="C3477" s="7" t="inlineStr">
        <is>
          <t>SIPEAGRO (UF-XXXXX)</t>
        </is>
      </c>
      <c r="D3477" s="8" t="inlineStr">
        <is>
          <t>BACSTIM 100</t>
        </is>
      </c>
      <c r="E3477" s="7" t="inlineStr">
        <is>
          <t>Pulverização Agrícola Conforme Bula</t>
        </is>
      </c>
      <c r="F3477" s="7" t="inlineStr">
        <is>
          <t>Feijão</t>
        </is>
      </c>
      <c r="G3477" s="7" t="inlineStr">
        <is>
          <t>Cultura Autorizada na Bula</t>
        </is>
      </c>
      <c r="H3477" s="7" t="inlineStr">
        <is>
          <t>100 a 300 L/ha</t>
        </is>
      </c>
      <c r="I3477" s="7" t="inlineStr">
        <is>
          <t>20 a 40 L/ha</t>
        </is>
      </c>
      <c r="J3477" s="7" t="inlineStr">
        <is>
          <t>0 (Isento)</t>
        </is>
      </c>
    </row>
    <row r="3478" ht="22" customHeight="1">
      <c r="A3478" s="12" t="inlineStr">
        <is>
          <t>CUL-3474</t>
        </is>
      </c>
      <c r="B3478" s="11" t="n">
        <v>679</v>
      </c>
      <c r="C3478" s="13" t="inlineStr">
        <is>
          <t>Nº 1188593</t>
        </is>
      </c>
      <c r="D3478" s="14" t="inlineStr">
        <is>
          <t>VERSATILIS</t>
        </is>
      </c>
      <c r="E3478" s="13" t="inlineStr">
        <is>
          <t>Pulverização Agrícola Conforme Bula</t>
        </is>
      </c>
      <c r="F3478" s="13" t="inlineStr">
        <is>
          <t>Soja</t>
        </is>
      </c>
      <c r="G3478" s="13" t="inlineStr">
        <is>
          <t>Cultura Autorizada na Bula</t>
        </is>
      </c>
      <c r="H3478" s="13" t="inlineStr">
        <is>
          <t>100 a 300 L/ha</t>
        </is>
      </c>
      <c r="I3478" s="13" t="inlineStr">
        <is>
          <t>20 a 40 L/ha</t>
        </is>
      </c>
      <c r="J3478" s="13" t="inlineStr">
        <is>
          <t>30 dias</t>
        </is>
      </c>
    </row>
    <row r="3479" ht="22" customHeight="1">
      <c r="A3479" s="6" t="inlineStr">
        <is>
          <t>CUL-3475</t>
        </is>
      </c>
      <c r="B3479" s="5" t="n">
        <v>679</v>
      </c>
      <c r="C3479" s="7" t="inlineStr">
        <is>
          <t>Nº 1188593</t>
        </is>
      </c>
      <c r="D3479" s="8" t="inlineStr">
        <is>
          <t>VERSATILIS</t>
        </is>
      </c>
      <c r="E3479" s="7" t="inlineStr">
        <is>
          <t>Pulverização Agrícola Conforme Bula</t>
        </is>
      </c>
      <c r="F3479" s="7" t="inlineStr">
        <is>
          <t>Milho</t>
        </is>
      </c>
      <c r="G3479" s="7" t="inlineStr">
        <is>
          <t>Cultura Autorizada na Bula</t>
        </is>
      </c>
      <c r="H3479" s="7" t="inlineStr">
        <is>
          <t>100 a 300 L/ha</t>
        </is>
      </c>
      <c r="I3479" s="7" t="inlineStr">
        <is>
          <t>20 a 40 L/ha</t>
        </is>
      </c>
      <c r="J3479" s="7" t="inlineStr">
        <is>
          <t>30 dias</t>
        </is>
      </c>
    </row>
    <row r="3480" ht="22" customHeight="1">
      <c r="A3480" s="12" t="inlineStr">
        <is>
          <t>CUL-3476</t>
        </is>
      </c>
      <c r="B3480" s="11" t="n">
        <v>679</v>
      </c>
      <c r="C3480" s="13" t="inlineStr">
        <is>
          <t>Nº 1188593</t>
        </is>
      </c>
      <c r="D3480" s="14" t="inlineStr">
        <is>
          <t>VERSATILIS</t>
        </is>
      </c>
      <c r="E3480" s="13" t="inlineStr">
        <is>
          <t>Pulverização Agrícola Conforme Bula</t>
        </is>
      </c>
      <c r="F3480" s="13" t="inlineStr">
        <is>
          <t>Algodão</t>
        </is>
      </c>
      <c r="G3480" s="13" t="inlineStr">
        <is>
          <t>Cultura Autorizada na Bula</t>
        </is>
      </c>
      <c r="H3480" s="13" t="inlineStr">
        <is>
          <t>100 a 300 L/ha</t>
        </is>
      </c>
      <c r="I3480" s="13" t="inlineStr">
        <is>
          <t>20 a 40 L/ha</t>
        </is>
      </c>
      <c r="J3480" s="13" t="inlineStr">
        <is>
          <t>30 dias</t>
        </is>
      </c>
    </row>
    <row r="3481" ht="22" customHeight="1">
      <c r="A3481" s="6" t="inlineStr">
        <is>
          <t>CUL-3477</t>
        </is>
      </c>
      <c r="B3481" s="5" t="n">
        <v>679</v>
      </c>
      <c r="C3481" s="7" t="inlineStr">
        <is>
          <t>Nº 1188593</t>
        </is>
      </c>
      <c r="D3481" s="8" t="inlineStr">
        <is>
          <t>VERSATILIS</t>
        </is>
      </c>
      <c r="E3481" s="7" t="inlineStr">
        <is>
          <t>Pulverização Agrícola Conforme Bula</t>
        </is>
      </c>
      <c r="F3481" s="7" t="inlineStr">
        <is>
          <t>Trigo</t>
        </is>
      </c>
      <c r="G3481" s="7" t="inlineStr">
        <is>
          <t>Cultura Autorizada na Bula</t>
        </is>
      </c>
      <c r="H3481" s="7" t="inlineStr">
        <is>
          <t>100 a 300 L/ha</t>
        </is>
      </c>
      <c r="I3481" s="7" t="inlineStr">
        <is>
          <t>20 a 40 L/ha</t>
        </is>
      </c>
      <c r="J3481" s="7" t="inlineStr">
        <is>
          <t>30 dias</t>
        </is>
      </c>
    </row>
    <row r="3482" ht="22" customHeight="1">
      <c r="A3482" s="12" t="inlineStr">
        <is>
          <t>CUL-3478</t>
        </is>
      </c>
      <c r="B3482" s="11" t="n">
        <v>679</v>
      </c>
      <c r="C3482" s="13" t="inlineStr">
        <is>
          <t>Nº 1188593</t>
        </is>
      </c>
      <c r="D3482" s="14" t="inlineStr">
        <is>
          <t>VERSATILIS</t>
        </is>
      </c>
      <c r="E3482" s="13" t="inlineStr">
        <is>
          <t>Pulverização Agrícola Conforme Bula</t>
        </is>
      </c>
      <c r="F3482" s="13" t="inlineStr">
        <is>
          <t>Feijão</t>
        </is>
      </c>
      <c r="G3482" s="13" t="inlineStr">
        <is>
          <t>Cultura Autorizada na Bula</t>
        </is>
      </c>
      <c r="H3482" s="13" t="inlineStr">
        <is>
          <t>100 a 300 L/ha</t>
        </is>
      </c>
      <c r="I3482" s="13" t="inlineStr">
        <is>
          <t>20 a 40 L/ha</t>
        </is>
      </c>
      <c r="J3482" s="13" t="inlineStr">
        <is>
          <t>14 dias</t>
        </is>
      </c>
    </row>
    <row r="3483" ht="22" customHeight="1">
      <c r="A3483" s="6" t="inlineStr">
        <is>
          <t>CUL-3479</t>
        </is>
      </c>
      <c r="B3483" s="5" t="n">
        <v>680</v>
      </c>
      <c r="C3483" s="7" t="inlineStr">
        <is>
          <t>Nº 7823</t>
        </is>
      </c>
      <c r="D3483" s="8" t="inlineStr">
        <is>
          <t>INEDITO</t>
        </is>
      </c>
      <c r="E3483" s="7" t="inlineStr">
        <is>
          <t>Pulverização Agrícola Conforme Bula</t>
        </is>
      </c>
      <c r="F3483" s="7" t="inlineStr">
        <is>
          <t>Soja (Pré-Plantio / OGM)</t>
        </is>
      </c>
      <c r="G3483" s="7" t="inlineStr">
        <is>
          <t>Cultura Autorizada na Bula</t>
        </is>
      </c>
      <c r="H3483" s="7" t="inlineStr">
        <is>
          <t>100 a 300 L/ha</t>
        </is>
      </c>
      <c r="I3483" s="7" t="inlineStr">
        <is>
          <t>20 a 40 L/ha</t>
        </is>
      </c>
      <c r="J3483" s="7" t="inlineStr">
        <is>
          <t>60 dias</t>
        </is>
      </c>
    </row>
    <row r="3484" ht="22" customHeight="1">
      <c r="A3484" s="12" t="inlineStr">
        <is>
          <t>CUL-3480</t>
        </is>
      </c>
      <c r="B3484" s="11" t="n">
        <v>680</v>
      </c>
      <c r="C3484" s="13" t="inlineStr">
        <is>
          <t>Nº 7823</t>
        </is>
      </c>
      <c r="D3484" s="14" t="inlineStr">
        <is>
          <t>INEDITO</t>
        </is>
      </c>
      <c r="E3484" s="13" t="inlineStr">
        <is>
          <t>Pulverização Agrícola Conforme Bula</t>
        </is>
      </c>
      <c r="F3484" s="13" t="inlineStr">
        <is>
          <t>Milho (Pré-Plantio / OGM)</t>
        </is>
      </c>
      <c r="G3484" s="13" t="inlineStr">
        <is>
          <t>Cultura Autorizada na Bula</t>
        </is>
      </c>
      <c r="H3484" s="13" t="inlineStr">
        <is>
          <t>100 a 300 L/ha</t>
        </is>
      </c>
      <c r="I3484" s="13" t="inlineStr">
        <is>
          <t>20 a 40 L/ha</t>
        </is>
      </c>
      <c r="J3484" s="13" t="inlineStr">
        <is>
          <t>40 dias</t>
        </is>
      </c>
    </row>
    <row r="3485" ht="22" customHeight="1">
      <c r="A3485" s="6" t="inlineStr">
        <is>
          <t>CUL-3481</t>
        </is>
      </c>
      <c r="B3485" s="5" t="n">
        <v>680</v>
      </c>
      <c r="C3485" s="7" t="inlineStr">
        <is>
          <t>Nº 7823</t>
        </is>
      </c>
      <c r="D3485" s="8" t="inlineStr">
        <is>
          <t>INEDITO</t>
        </is>
      </c>
      <c r="E3485" s="7" t="inlineStr">
        <is>
          <t>Pulverização Agrícola Conforme Bula</t>
        </is>
      </c>
      <c r="F3485" s="7" t="inlineStr">
        <is>
          <t>Algodão (Pré-Plantio / OGM / Desfolha)</t>
        </is>
      </c>
      <c r="G3485" s="7" t="inlineStr">
        <is>
          <t>Cultura Autorizada na Bula</t>
        </is>
      </c>
      <c r="H3485" s="7" t="inlineStr">
        <is>
          <t>100 a 300 L/ha</t>
        </is>
      </c>
      <c r="I3485" s="7" t="inlineStr">
        <is>
          <t>20 a 40 L/ha</t>
        </is>
      </c>
      <c r="J3485" s="7" t="inlineStr">
        <is>
          <t>15 dias</t>
        </is>
      </c>
    </row>
    <row r="3486" ht="22" customHeight="1">
      <c r="A3486" s="12" t="inlineStr">
        <is>
          <t>CUL-3482</t>
        </is>
      </c>
      <c r="B3486" s="11" t="n">
        <v>680</v>
      </c>
      <c r="C3486" s="13" t="inlineStr">
        <is>
          <t>Nº 7823</t>
        </is>
      </c>
      <c r="D3486" s="14" t="inlineStr">
        <is>
          <t>INEDITO</t>
        </is>
      </c>
      <c r="E3486" s="13" t="inlineStr">
        <is>
          <t>Pulverização Agrícola Conforme Bula</t>
        </is>
      </c>
      <c r="F3486" s="13" t="inlineStr">
        <is>
          <t>Café (Jato Dirigido)</t>
        </is>
      </c>
      <c r="G3486" s="13" t="inlineStr">
        <is>
          <t>Cultura Autorizada na Bula</t>
        </is>
      </c>
      <c r="H3486" s="13" t="inlineStr">
        <is>
          <t>100 a 300 L/ha</t>
        </is>
      </c>
      <c r="I3486" s="13" t="inlineStr">
        <is>
          <t>20 a 40 L/ha</t>
        </is>
      </c>
      <c r="J3486" s="13" t="inlineStr">
        <is>
          <t>20 dias</t>
        </is>
      </c>
    </row>
    <row r="3487" ht="22" customHeight="1">
      <c r="A3487" s="6" t="inlineStr">
        <is>
          <t>CUL-3483</t>
        </is>
      </c>
      <c r="B3487" s="5" t="n">
        <v>680</v>
      </c>
      <c r="C3487" s="7" t="inlineStr">
        <is>
          <t>Nº 7823</t>
        </is>
      </c>
      <c r="D3487" s="8" t="inlineStr">
        <is>
          <t>INEDITO</t>
        </is>
      </c>
      <c r="E3487" s="7" t="inlineStr">
        <is>
          <t>Pulverização Agrícola Conforme Bula</t>
        </is>
      </c>
      <c r="F3487" s="7" t="inlineStr">
        <is>
          <t>Citros (Jato Dirigido)</t>
        </is>
      </c>
      <c r="G3487" s="7" t="inlineStr">
        <is>
          <t>Cultura Autorizada na Bula</t>
        </is>
      </c>
      <c r="H3487" s="7" t="inlineStr">
        <is>
          <t>100 a 300 L/ha</t>
        </is>
      </c>
      <c r="I3487" s="7" t="inlineStr">
        <is>
          <t>20 a 40 L/ha</t>
        </is>
      </c>
      <c r="J3487" s="7" t="inlineStr">
        <is>
          <t>40 dias</t>
        </is>
      </c>
    </row>
    <row r="3488" ht="22" customHeight="1">
      <c r="A3488" s="12" t="inlineStr">
        <is>
          <t>CUL-3484</t>
        </is>
      </c>
      <c r="B3488" s="11" t="n">
        <v>680</v>
      </c>
      <c r="C3488" s="13" t="inlineStr">
        <is>
          <t>Nº 7823</t>
        </is>
      </c>
      <c r="D3488" s="14" t="inlineStr">
        <is>
          <t>INEDITO</t>
        </is>
      </c>
      <c r="E3488" s="13" t="inlineStr">
        <is>
          <t>Pulverização Agrícola Conforme Bula</t>
        </is>
      </c>
      <c r="F3488" s="13" t="inlineStr">
        <is>
          <t>Trigo</t>
        </is>
      </c>
      <c r="G3488" s="13" t="inlineStr">
        <is>
          <t>Cultura Autorizada na Bula</t>
        </is>
      </c>
      <c r="H3488" s="13" t="inlineStr">
        <is>
          <t>100 a 300 L/ha</t>
        </is>
      </c>
      <c r="I3488" s="13" t="inlineStr">
        <is>
          <t>20 a 40 L/ha</t>
        </is>
      </c>
      <c r="J3488" s="13" t="inlineStr">
        <is>
          <t>N/D</t>
        </is>
      </c>
    </row>
    <row r="3489" ht="22" customHeight="1">
      <c r="A3489" s="6" t="inlineStr">
        <is>
          <t>CUL-3485</t>
        </is>
      </c>
      <c r="B3489" s="5" t="n">
        <v>681</v>
      </c>
      <c r="C3489" s="7" t="inlineStr">
        <is>
          <t>Nº 1613</t>
        </is>
      </c>
      <c r="D3489" s="8" t="inlineStr">
        <is>
          <t>GAME</t>
        </is>
      </c>
      <c r="E3489" s="7" t="inlineStr">
        <is>
          <t>Pulverização Agrícola Conforme Bula</t>
        </is>
      </c>
      <c r="F3489" s="7" t="inlineStr">
        <is>
          <t>Soja</t>
        </is>
      </c>
      <c r="G3489" s="7" t="inlineStr">
        <is>
          <t>Cultura Autorizada na Bula</t>
        </is>
      </c>
      <c r="H3489" s="7" t="inlineStr">
        <is>
          <t>100 a 300 L/ha</t>
        </is>
      </c>
      <c r="I3489" s="7" t="inlineStr">
        <is>
          <t>20 a 40 L/ha</t>
        </is>
      </c>
      <c r="J3489" s="7" t="inlineStr">
        <is>
          <t>35 dias</t>
        </is>
      </c>
    </row>
    <row r="3490" ht="22" customHeight="1">
      <c r="A3490" s="12" t="inlineStr">
        <is>
          <t>CUL-3486</t>
        </is>
      </c>
      <c r="B3490" s="11" t="n">
        <v>681</v>
      </c>
      <c r="C3490" s="13" t="inlineStr">
        <is>
          <t>Nº 1613</t>
        </is>
      </c>
      <c r="D3490" s="14" t="inlineStr">
        <is>
          <t>GAME</t>
        </is>
      </c>
      <c r="E3490" s="13" t="inlineStr">
        <is>
          <t>Pulverização Agrícola Conforme Bula</t>
        </is>
      </c>
      <c r="F3490" s="13" t="inlineStr">
        <is>
          <t>Milho</t>
        </is>
      </c>
      <c r="G3490" s="13" t="inlineStr">
        <is>
          <t>Cultura Autorizada na Bula</t>
        </is>
      </c>
      <c r="H3490" s="13" t="inlineStr">
        <is>
          <t>100 a 300 L/ha</t>
        </is>
      </c>
      <c r="I3490" s="13" t="inlineStr">
        <is>
          <t>20 a 40 L/ha</t>
        </is>
      </c>
      <c r="J3490" s="13" t="inlineStr">
        <is>
          <t>35 dias</t>
        </is>
      </c>
    </row>
    <row r="3491" ht="22" customHeight="1">
      <c r="A3491" s="6" t="inlineStr">
        <is>
          <t>CUL-3487</t>
        </is>
      </c>
      <c r="B3491" s="5" t="n">
        <v>681</v>
      </c>
      <c r="C3491" s="7" t="inlineStr">
        <is>
          <t>Nº 1613</t>
        </is>
      </c>
      <c r="D3491" s="8" t="inlineStr">
        <is>
          <t>GAME</t>
        </is>
      </c>
      <c r="E3491" s="7" t="inlineStr">
        <is>
          <t>Pulverização Agrícola Conforme Bula</t>
        </is>
      </c>
      <c r="F3491" s="7" t="inlineStr">
        <is>
          <t>Algodão</t>
        </is>
      </c>
      <c r="G3491" s="7" t="inlineStr">
        <is>
          <t>Cultura Autorizada na Bula</t>
        </is>
      </c>
      <c r="H3491" s="7" t="inlineStr">
        <is>
          <t>100 a 300 L/ha</t>
        </is>
      </c>
      <c r="I3491" s="7" t="inlineStr">
        <is>
          <t>20 a 40 L/ha</t>
        </is>
      </c>
      <c r="J3491" s="7" t="inlineStr">
        <is>
          <t>28 dias</t>
        </is>
      </c>
    </row>
    <row r="3492" ht="22" customHeight="1">
      <c r="A3492" s="12" t="inlineStr">
        <is>
          <t>CUL-3488</t>
        </is>
      </c>
      <c r="B3492" s="11" t="n">
        <v>681</v>
      </c>
      <c r="C3492" s="13" t="inlineStr">
        <is>
          <t>Nº 1613</t>
        </is>
      </c>
      <c r="D3492" s="14" t="inlineStr">
        <is>
          <t>GAME</t>
        </is>
      </c>
      <c r="E3492" s="13" t="inlineStr">
        <is>
          <t>Pulverização Agrícola Conforme Bula</t>
        </is>
      </c>
      <c r="F3492" s="13" t="inlineStr">
        <is>
          <t>Batata</t>
        </is>
      </c>
      <c r="G3492" s="13" t="inlineStr">
        <is>
          <t>Cultura Autorizada na Bula</t>
        </is>
      </c>
      <c r="H3492" s="13" t="inlineStr">
        <is>
          <t>100 a 300 L/ha</t>
        </is>
      </c>
      <c r="I3492" s="13" t="inlineStr">
        <is>
          <t>20 a 40 L/ha</t>
        </is>
      </c>
      <c r="J3492" s="13" t="inlineStr">
        <is>
          <t>14 dias</t>
        </is>
      </c>
    </row>
    <row r="3493" ht="22" customHeight="1">
      <c r="A3493" s="6" t="inlineStr">
        <is>
          <t>CUL-3489</t>
        </is>
      </c>
      <c r="B3493" s="5" t="n">
        <v>681</v>
      </c>
      <c r="C3493" s="7" t="inlineStr">
        <is>
          <t>Nº 1613</t>
        </is>
      </c>
      <c r="D3493" s="8" t="inlineStr">
        <is>
          <t>GAME</t>
        </is>
      </c>
      <c r="E3493" s="7" t="inlineStr">
        <is>
          <t>Pulverização Agrícola Conforme Bula</t>
        </is>
      </c>
      <c r="F3493" s="7" t="inlineStr">
        <is>
          <t>Tomate</t>
        </is>
      </c>
      <c r="G3493" s="7" t="inlineStr">
        <is>
          <t>Cultura Autorizada na Bula</t>
        </is>
      </c>
      <c r="H3493" s="7" t="inlineStr">
        <is>
          <t>100 a 300 L/ha</t>
        </is>
      </c>
      <c r="I3493" s="7" t="inlineStr">
        <is>
          <t>20 a 40 L/ha</t>
        </is>
      </c>
      <c r="J3493" s="7" t="inlineStr">
        <is>
          <t>10 dias</t>
        </is>
      </c>
    </row>
    <row r="3494" ht="22" customHeight="1">
      <c r="A3494" s="12" t="inlineStr">
        <is>
          <t>CUL-3490</t>
        </is>
      </c>
      <c r="B3494" s="11" t="n">
        <v>681</v>
      </c>
      <c r="C3494" s="13" t="inlineStr">
        <is>
          <t>Nº 1613</t>
        </is>
      </c>
      <c r="D3494" s="14" t="inlineStr">
        <is>
          <t>GAME</t>
        </is>
      </c>
      <c r="E3494" s="13" t="inlineStr">
        <is>
          <t>Pulverização Agrícola Conforme Bula</t>
        </is>
      </c>
      <c r="F3494" s="13" t="inlineStr">
        <is>
          <t>Trigo</t>
        </is>
      </c>
      <c r="G3494" s="13" t="inlineStr">
        <is>
          <t>Cultura Autorizada na Bula</t>
        </is>
      </c>
      <c r="H3494" s="13" t="inlineStr">
        <is>
          <t>100 a 300 L/ha</t>
        </is>
      </c>
      <c r="I3494" s="13" t="inlineStr">
        <is>
          <t>20 a 40 L/ha</t>
        </is>
      </c>
      <c r="J3494" s="13" t="inlineStr">
        <is>
          <t>14 dias</t>
        </is>
      </c>
    </row>
    <row r="3495" ht="22" customHeight="1">
      <c r="A3495" s="6" t="inlineStr">
        <is>
          <t>CUL-3491</t>
        </is>
      </c>
      <c r="B3495" s="5" t="n">
        <v>682</v>
      </c>
      <c r="C3495" s="7" t="inlineStr">
        <is>
          <t>Nº 18122</t>
        </is>
      </c>
      <c r="D3495" s="8" t="inlineStr">
        <is>
          <t>TRICLOMAX</t>
        </is>
      </c>
      <c r="E3495" s="7" t="inlineStr">
        <is>
          <t>Pulverização Agrícola Conforme Bula</t>
        </is>
      </c>
      <c r="F3495" s="7" t="inlineStr">
        <is>
          <t>Soja (Dessecação Pré-Plantio)</t>
        </is>
      </c>
      <c r="G3495" s="7" t="inlineStr">
        <is>
          <t>Cultura Autorizada na Bula</t>
        </is>
      </c>
      <c r="H3495" s="7" t="inlineStr">
        <is>
          <t>100 a 300 L/ha</t>
        </is>
      </c>
      <c r="I3495" s="7" t="inlineStr">
        <is>
          <t>20 a 40 L/ha</t>
        </is>
      </c>
      <c r="J3495" s="7" t="inlineStr">
        <is>
          <t>N/D</t>
        </is>
      </c>
    </row>
    <row r="3496" ht="22" customHeight="1">
      <c r="A3496" s="12" t="inlineStr">
        <is>
          <t>CUL-3492</t>
        </is>
      </c>
      <c r="B3496" s="11" t="n">
        <v>682</v>
      </c>
      <c r="C3496" s="13" t="inlineStr">
        <is>
          <t>Nº 18122</t>
        </is>
      </c>
      <c r="D3496" s="14" t="inlineStr">
        <is>
          <t>TRICLOMAX</t>
        </is>
      </c>
      <c r="E3496" s="13" t="inlineStr">
        <is>
          <t>Pulverização Agrícola Conforme Bula</t>
        </is>
      </c>
      <c r="F3496" s="13" t="inlineStr">
        <is>
          <t>Pastagens</t>
        </is>
      </c>
      <c r="G3496" s="13" t="inlineStr">
        <is>
          <t>Cultura Autorizada na Bula</t>
        </is>
      </c>
      <c r="H3496" s="13" t="inlineStr">
        <is>
          <t>100 a 300 L/ha</t>
        </is>
      </c>
      <c r="I3496" s="13" t="inlineStr">
        <is>
          <t>20 a 40 L/ha</t>
        </is>
      </c>
      <c r="J3496" s="13" t="inlineStr">
        <is>
          <t>N/D</t>
        </is>
      </c>
    </row>
    <row r="3497" ht="22" customHeight="1">
      <c r="A3497" s="6" t="inlineStr">
        <is>
          <t>CUL-3493</t>
        </is>
      </c>
      <c r="B3497" s="5" t="n">
        <v>682</v>
      </c>
      <c r="C3497" s="7" t="inlineStr">
        <is>
          <t>Nº 18122</t>
        </is>
      </c>
      <c r="D3497" s="8" t="inlineStr">
        <is>
          <t>TRICLOMAX</t>
        </is>
      </c>
      <c r="E3497" s="7" t="inlineStr">
        <is>
          <t>Pulverização Agrícola Conforme Bula</t>
        </is>
      </c>
      <c r="F3497" s="7" t="inlineStr">
        <is>
          <t>Arroz Irrigado</t>
        </is>
      </c>
      <c r="G3497" s="7" t="inlineStr">
        <is>
          <t>Cultura Autorizada na Bula</t>
        </is>
      </c>
      <c r="H3497" s="7" t="inlineStr">
        <is>
          <t>100 a 300 L/ha</t>
        </is>
      </c>
      <c r="I3497" s="7" t="inlineStr">
        <is>
          <t>20 a 40 L/ha</t>
        </is>
      </c>
      <c r="J3497" s="7" t="inlineStr">
        <is>
          <t>30 dias</t>
        </is>
      </c>
    </row>
    <row r="3498" ht="22" customHeight="1">
      <c r="A3498" s="12" t="inlineStr">
        <is>
          <t>CUL-3494</t>
        </is>
      </c>
      <c r="B3498" s="11" t="n">
        <v>682</v>
      </c>
      <c r="C3498" s="13" t="inlineStr">
        <is>
          <t>Nº 18122</t>
        </is>
      </c>
      <c r="D3498" s="14" t="inlineStr">
        <is>
          <t>TRICLOMAX</t>
        </is>
      </c>
      <c r="E3498" s="13" t="inlineStr">
        <is>
          <t>Pulverização Agrícola Conforme Bula</t>
        </is>
      </c>
      <c r="F3498" s="13" t="inlineStr">
        <is>
          <t>Eucalipto</t>
        </is>
      </c>
      <c r="G3498" s="13" t="inlineStr">
        <is>
          <t>Cultura Autorizada na Bula</t>
        </is>
      </c>
      <c r="H3498" s="13" t="inlineStr">
        <is>
          <t>100 a 300 L/ha</t>
        </is>
      </c>
      <c r="I3498" s="13" t="inlineStr">
        <is>
          <t>20 a 40 L/ha</t>
        </is>
      </c>
      <c r="J3498" s="13" t="inlineStr">
        <is>
          <t>U.N.A.</t>
        </is>
      </c>
    </row>
    <row r="3499" ht="22" customHeight="1">
      <c r="A3499" s="6" t="inlineStr">
        <is>
          <t>CUL-3495</t>
        </is>
      </c>
      <c r="B3499" s="5" t="n">
        <v>683</v>
      </c>
      <c r="C3499" s="7" t="inlineStr">
        <is>
          <t>Nº 18122</t>
        </is>
      </c>
      <c r="D3499" s="8" t="inlineStr">
        <is>
          <t>TRICLOMAX 0,200L AMOSTRA (IMP) RW</t>
        </is>
      </c>
      <c r="E3499" s="7" t="inlineStr">
        <is>
          <t>Pulverização Agrícola Conforme Bula</t>
        </is>
      </c>
      <c r="F3499" s="7" t="inlineStr">
        <is>
          <t>Soja (Dessecação Pré-Plantio)</t>
        </is>
      </c>
      <c r="G3499" s="7" t="inlineStr">
        <is>
          <t>Cultura Autorizada na Bula</t>
        </is>
      </c>
      <c r="H3499" s="7" t="inlineStr">
        <is>
          <t>100 a 300 L/ha</t>
        </is>
      </c>
      <c r="I3499" s="7" t="inlineStr">
        <is>
          <t>20 a 40 L/ha</t>
        </is>
      </c>
      <c r="J3499" s="7" t="inlineStr">
        <is>
          <t>N/D</t>
        </is>
      </c>
    </row>
    <row r="3500" ht="22" customHeight="1">
      <c r="A3500" s="12" t="inlineStr">
        <is>
          <t>CUL-3496</t>
        </is>
      </c>
      <c r="B3500" s="11" t="n">
        <v>683</v>
      </c>
      <c r="C3500" s="13" t="inlineStr">
        <is>
          <t>Nº 18122</t>
        </is>
      </c>
      <c r="D3500" s="14" t="inlineStr">
        <is>
          <t>TRICLOMAX 0,200L AMOSTRA (IMP) RW</t>
        </is>
      </c>
      <c r="E3500" s="13" t="inlineStr">
        <is>
          <t>Pulverização Agrícola Conforme Bula</t>
        </is>
      </c>
      <c r="F3500" s="13" t="inlineStr">
        <is>
          <t>Pastagens</t>
        </is>
      </c>
      <c r="G3500" s="13" t="inlineStr">
        <is>
          <t>Cultura Autorizada na Bula</t>
        </is>
      </c>
      <c r="H3500" s="13" t="inlineStr">
        <is>
          <t>100 a 300 L/ha</t>
        </is>
      </c>
      <c r="I3500" s="13" t="inlineStr">
        <is>
          <t>20 a 40 L/ha</t>
        </is>
      </c>
      <c r="J3500" s="13" t="inlineStr">
        <is>
          <t>N/D</t>
        </is>
      </c>
    </row>
    <row r="3501" ht="22" customHeight="1">
      <c r="A3501" s="6" t="inlineStr">
        <is>
          <t>CUL-3497</t>
        </is>
      </c>
      <c r="B3501" s="5" t="n">
        <v>683</v>
      </c>
      <c r="C3501" s="7" t="inlineStr">
        <is>
          <t>Nº 18122</t>
        </is>
      </c>
      <c r="D3501" s="8" t="inlineStr">
        <is>
          <t>TRICLOMAX 0,200L AMOSTRA (IMP) RW</t>
        </is>
      </c>
      <c r="E3501" s="7" t="inlineStr">
        <is>
          <t>Pulverização Agrícola Conforme Bula</t>
        </is>
      </c>
      <c r="F3501" s="7" t="inlineStr">
        <is>
          <t>Arroz Irrigado</t>
        </is>
      </c>
      <c r="G3501" s="7" t="inlineStr">
        <is>
          <t>Cultura Autorizada na Bula</t>
        </is>
      </c>
      <c r="H3501" s="7" t="inlineStr">
        <is>
          <t>100 a 300 L/ha</t>
        </is>
      </c>
      <c r="I3501" s="7" t="inlineStr">
        <is>
          <t>20 a 40 L/ha</t>
        </is>
      </c>
      <c r="J3501" s="7" t="inlineStr">
        <is>
          <t>30 dias</t>
        </is>
      </c>
    </row>
    <row r="3502" ht="22" customHeight="1">
      <c r="A3502" s="12" t="inlineStr">
        <is>
          <t>CUL-3498</t>
        </is>
      </c>
      <c r="B3502" s="11" t="n">
        <v>683</v>
      </c>
      <c r="C3502" s="13" t="inlineStr">
        <is>
          <t>Nº 18122</t>
        </is>
      </c>
      <c r="D3502" s="14" t="inlineStr">
        <is>
          <t>TRICLOMAX 0,200L AMOSTRA (IMP) RW</t>
        </is>
      </c>
      <c r="E3502" s="13" t="inlineStr">
        <is>
          <t>Pulverização Agrícola Conforme Bula</t>
        </is>
      </c>
      <c r="F3502" s="13" t="inlineStr">
        <is>
          <t>Eucalipto</t>
        </is>
      </c>
      <c r="G3502" s="13" t="inlineStr">
        <is>
          <t>Cultura Autorizada na Bula</t>
        </is>
      </c>
      <c r="H3502" s="13" t="inlineStr">
        <is>
          <t>100 a 300 L/ha</t>
        </is>
      </c>
      <c r="I3502" s="13" t="inlineStr">
        <is>
          <t>20 a 40 L/ha</t>
        </is>
      </c>
      <c r="J3502" s="13" t="inlineStr">
        <is>
          <t>U.N.A.</t>
        </is>
      </c>
    </row>
    <row r="3503" ht="22" customHeight="1">
      <c r="A3503" s="6" t="inlineStr">
        <is>
          <t>CUL-3499</t>
        </is>
      </c>
      <c r="B3503" s="5" t="n">
        <v>684</v>
      </c>
      <c r="C3503" s="7" t="inlineStr">
        <is>
          <t>Nº 25423</t>
        </is>
      </c>
      <c r="D3503" s="8" t="inlineStr">
        <is>
          <t>GLUFE 200 SL</t>
        </is>
      </c>
      <c r="E3503" s="7" t="inlineStr">
        <is>
          <t>Pulverização Agrícola Conforme Bula</t>
        </is>
      </c>
      <c r="F3503" s="7" t="inlineStr">
        <is>
          <t>Soja (Pré-Plantio / OGM)</t>
        </is>
      </c>
      <c r="G3503" s="7" t="inlineStr">
        <is>
          <t>Cultura Autorizada na Bula</t>
        </is>
      </c>
      <c r="H3503" s="7" t="inlineStr">
        <is>
          <t>100 a 300 L/ha</t>
        </is>
      </c>
      <c r="I3503" s="7" t="inlineStr">
        <is>
          <t>20 a 40 L/ha</t>
        </is>
      </c>
      <c r="J3503" s="7" t="inlineStr">
        <is>
          <t>60 dias</t>
        </is>
      </c>
    </row>
    <row r="3504" ht="22" customHeight="1">
      <c r="A3504" s="12" t="inlineStr">
        <is>
          <t>CUL-3500</t>
        </is>
      </c>
      <c r="B3504" s="11" t="n">
        <v>684</v>
      </c>
      <c r="C3504" s="13" t="inlineStr">
        <is>
          <t>Nº 25423</t>
        </is>
      </c>
      <c r="D3504" s="14" t="inlineStr">
        <is>
          <t>GLUFE 200 SL</t>
        </is>
      </c>
      <c r="E3504" s="13" t="inlineStr">
        <is>
          <t>Pulverização Agrícola Conforme Bula</t>
        </is>
      </c>
      <c r="F3504" s="13" t="inlineStr">
        <is>
          <t>Milho (Pré-Plantio / OGM)</t>
        </is>
      </c>
      <c r="G3504" s="13" t="inlineStr">
        <is>
          <t>Cultura Autorizada na Bula</t>
        </is>
      </c>
      <c r="H3504" s="13" t="inlineStr">
        <is>
          <t>100 a 300 L/ha</t>
        </is>
      </c>
      <c r="I3504" s="13" t="inlineStr">
        <is>
          <t>20 a 40 L/ha</t>
        </is>
      </c>
      <c r="J3504" s="13" t="inlineStr">
        <is>
          <t>40 dias</t>
        </is>
      </c>
    </row>
    <row r="3505" ht="22" customHeight="1">
      <c r="A3505" s="6" t="inlineStr">
        <is>
          <t>CUL-3501</t>
        </is>
      </c>
      <c r="B3505" s="5" t="n">
        <v>684</v>
      </c>
      <c r="C3505" s="7" t="inlineStr">
        <is>
          <t>Nº 25423</t>
        </is>
      </c>
      <c r="D3505" s="8" t="inlineStr">
        <is>
          <t>GLUFE 200 SL</t>
        </is>
      </c>
      <c r="E3505" s="7" t="inlineStr">
        <is>
          <t>Pulverização Agrícola Conforme Bula</t>
        </is>
      </c>
      <c r="F3505" s="7" t="inlineStr">
        <is>
          <t>Algodão (Pré-Plantio / OGM / Desfolha)</t>
        </is>
      </c>
      <c r="G3505" s="7" t="inlineStr">
        <is>
          <t>Cultura Autorizada na Bula</t>
        </is>
      </c>
      <c r="H3505" s="7" t="inlineStr">
        <is>
          <t>100 a 300 L/ha</t>
        </is>
      </c>
      <c r="I3505" s="7" t="inlineStr">
        <is>
          <t>20 a 40 L/ha</t>
        </is>
      </c>
      <c r="J3505" s="7" t="inlineStr">
        <is>
          <t>15 dias</t>
        </is>
      </c>
    </row>
    <row r="3506" ht="22" customHeight="1">
      <c r="A3506" s="12" t="inlineStr">
        <is>
          <t>CUL-3502</t>
        </is>
      </c>
      <c r="B3506" s="11" t="n">
        <v>684</v>
      </c>
      <c r="C3506" s="13" t="inlineStr">
        <is>
          <t>Nº 25423</t>
        </is>
      </c>
      <c r="D3506" s="14" t="inlineStr">
        <is>
          <t>GLUFE 200 SL</t>
        </is>
      </c>
      <c r="E3506" s="13" t="inlineStr">
        <is>
          <t>Pulverização Agrícola Conforme Bula</t>
        </is>
      </c>
      <c r="F3506" s="13" t="inlineStr">
        <is>
          <t>Café (Jato Dirigido)</t>
        </is>
      </c>
      <c r="G3506" s="13" t="inlineStr">
        <is>
          <t>Cultura Autorizada na Bula</t>
        </is>
      </c>
      <c r="H3506" s="13" t="inlineStr">
        <is>
          <t>100 a 300 L/ha</t>
        </is>
      </c>
      <c r="I3506" s="13" t="inlineStr">
        <is>
          <t>20 a 40 L/ha</t>
        </is>
      </c>
      <c r="J3506" s="13" t="inlineStr">
        <is>
          <t>20 dias</t>
        </is>
      </c>
    </row>
    <row r="3507" ht="22" customHeight="1">
      <c r="A3507" s="6" t="inlineStr">
        <is>
          <t>CUL-3503</t>
        </is>
      </c>
      <c r="B3507" s="5" t="n">
        <v>684</v>
      </c>
      <c r="C3507" s="7" t="inlineStr">
        <is>
          <t>Nº 25423</t>
        </is>
      </c>
      <c r="D3507" s="8" t="inlineStr">
        <is>
          <t>GLUFE 200 SL</t>
        </is>
      </c>
      <c r="E3507" s="7" t="inlineStr">
        <is>
          <t>Pulverização Agrícola Conforme Bula</t>
        </is>
      </c>
      <c r="F3507" s="7" t="inlineStr">
        <is>
          <t>Citros (Jato Dirigido)</t>
        </is>
      </c>
      <c r="G3507" s="7" t="inlineStr">
        <is>
          <t>Cultura Autorizada na Bula</t>
        </is>
      </c>
      <c r="H3507" s="7" t="inlineStr">
        <is>
          <t>100 a 300 L/ha</t>
        </is>
      </c>
      <c r="I3507" s="7" t="inlineStr">
        <is>
          <t>20 a 40 L/ha</t>
        </is>
      </c>
      <c r="J3507" s="7" t="inlineStr">
        <is>
          <t>40 dias</t>
        </is>
      </c>
    </row>
    <row r="3508" ht="22" customHeight="1">
      <c r="A3508" s="12" t="inlineStr">
        <is>
          <t>CUL-3504</t>
        </is>
      </c>
      <c r="B3508" s="11" t="n">
        <v>684</v>
      </c>
      <c r="C3508" s="13" t="inlineStr">
        <is>
          <t>Nº 25423</t>
        </is>
      </c>
      <c r="D3508" s="14" t="inlineStr">
        <is>
          <t>GLUFE 200 SL</t>
        </is>
      </c>
      <c r="E3508" s="13" t="inlineStr">
        <is>
          <t>Pulverização Agrícola Conforme Bula</t>
        </is>
      </c>
      <c r="F3508" s="13" t="inlineStr">
        <is>
          <t>Trigo</t>
        </is>
      </c>
      <c r="G3508" s="13" t="inlineStr">
        <is>
          <t>Cultura Autorizada na Bula</t>
        </is>
      </c>
      <c r="H3508" s="13" t="inlineStr">
        <is>
          <t>100 a 300 L/ha</t>
        </is>
      </c>
      <c r="I3508" s="13" t="inlineStr">
        <is>
          <t>20 a 40 L/ha</t>
        </is>
      </c>
      <c r="J3508" s="13" t="inlineStr">
        <is>
          <t>N/D</t>
        </is>
      </c>
    </row>
    <row r="3509" ht="22" customHeight="1">
      <c r="A3509" s="6" t="inlineStr">
        <is>
          <t>CUL-3505</t>
        </is>
      </c>
      <c r="B3509" s="5" t="n">
        <v>685</v>
      </c>
      <c r="C3509" s="7" t="inlineStr">
        <is>
          <t>Nº 25423</t>
        </is>
      </c>
      <c r="D3509" s="8" t="inlineStr">
        <is>
          <t>GLUFOSINATE 200 SL LIBEN 0,200L AMOSTRA (IMP) LL</t>
        </is>
      </c>
      <c r="E3509" s="7" t="inlineStr">
        <is>
          <t>Pulverização Agrícola Conforme Bula</t>
        </is>
      </c>
      <c r="F3509" s="7" t="inlineStr">
        <is>
          <t>Soja (Pré-Plantio / OGM)</t>
        </is>
      </c>
      <c r="G3509" s="7" t="inlineStr">
        <is>
          <t>Cultura Autorizada na Bula</t>
        </is>
      </c>
      <c r="H3509" s="7" t="inlineStr">
        <is>
          <t>100 a 300 L/ha</t>
        </is>
      </c>
      <c r="I3509" s="7" t="inlineStr">
        <is>
          <t>20 a 40 L/ha</t>
        </is>
      </c>
      <c r="J3509" s="7" t="inlineStr">
        <is>
          <t>60 dias</t>
        </is>
      </c>
    </row>
    <row r="3510" ht="22" customHeight="1">
      <c r="A3510" s="12" t="inlineStr">
        <is>
          <t>CUL-3506</t>
        </is>
      </c>
      <c r="B3510" s="11" t="n">
        <v>685</v>
      </c>
      <c r="C3510" s="13" t="inlineStr">
        <is>
          <t>Nº 25423</t>
        </is>
      </c>
      <c r="D3510" s="14" t="inlineStr">
        <is>
          <t>GLUFOSINATE 200 SL LIBEN 0,200L AMOSTRA (IMP) LL</t>
        </is>
      </c>
      <c r="E3510" s="13" t="inlineStr">
        <is>
          <t>Pulverização Agrícola Conforme Bula</t>
        </is>
      </c>
      <c r="F3510" s="13" t="inlineStr">
        <is>
          <t>Milho (Pré-Plantio / OGM)</t>
        </is>
      </c>
      <c r="G3510" s="13" t="inlineStr">
        <is>
          <t>Cultura Autorizada na Bula</t>
        </is>
      </c>
      <c r="H3510" s="13" t="inlineStr">
        <is>
          <t>100 a 300 L/ha</t>
        </is>
      </c>
      <c r="I3510" s="13" t="inlineStr">
        <is>
          <t>20 a 40 L/ha</t>
        </is>
      </c>
      <c r="J3510" s="13" t="inlineStr">
        <is>
          <t>40 dias</t>
        </is>
      </c>
    </row>
    <row r="3511" ht="22" customHeight="1">
      <c r="A3511" s="6" t="inlineStr">
        <is>
          <t>CUL-3507</t>
        </is>
      </c>
      <c r="B3511" s="5" t="n">
        <v>685</v>
      </c>
      <c r="C3511" s="7" t="inlineStr">
        <is>
          <t>Nº 25423</t>
        </is>
      </c>
      <c r="D3511" s="8" t="inlineStr">
        <is>
          <t>GLUFOSINATE 200 SL LIBEN 0,200L AMOSTRA (IMP) LL</t>
        </is>
      </c>
      <c r="E3511" s="7" t="inlineStr">
        <is>
          <t>Pulverização Agrícola Conforme Bula</t>
        </is>
      </c>
      <c r="F3511" s="7" t="inlineStr">
        <is>
          <t>Algodão (Pré-Plantio / OGM / Desfolha)</t>
        </is>
      </c>
      <c r="G3511" s="7" t="inlineStr">
        <is>
          <t>Cultura Autorizada na Bula</t>
        </is>
      </c>
      <c r="H3511" s="7" t="inlineStr">
        <is>
          <t>100 a 300 L/ha</t>
        </is>
      </c>
      <c r="I3511" s="7" t="inlineStr">
        <is>
          <t>20 a 40 L/ha</t>
        </is>
      </c>
      <c r="J3511" s="7" t="inlineStr">
        <is>
          <t>15 dias</t>
        </is>
      </c>
    </row>
    <row r="3512" ht="22" customHeight="1">
      <c r="A3512" s="12" t="inlineStr">
        <is>
          <t>CUL-3508</t>
        </is>
      </c>
      <c r="B3512" s="11" t="n">
        <v>685</v>
      </c>
      <c r="C3512" s="13" t="inlineStr">
        <is>
          <t>Nº 25423</t>
        </is>
      </c>
      <c r="D3512" s="14" t="inlineStr">
        <is>
          <t>GLUFOSINATE 200 SL LIBEN 0,200L AMOSTRA (IMP) LL</t>
        </is>
      </c>
      <c r="E3512" s="13" t="inlineStr">
        <is>
          <t>Pulverização Agrícola Conforme Bula</t>
        </is>
      </c>
      <c r="F3512" s="13" t="inlineStr">
        <is>
          <t>Café (Jato Dirigido)</t>
        </is>
      </c>
      <c r="G3512" s="13" t="inlineStr">
        <is>
          <t>Cultura Autorizada na Bula</t>
        </is>
      </c>
      <c r="H3512" s="13" t="inlineStr">
        <is>
          <t>100 a 300 L/ha</t>
        </is>
      </c>
      <c r="I3512" s="13" t="inlineStr">
        <is>
          <t>20 a 40 L/ha</t>
        </is>
      </c>
      <c r="J3512" s="13" t="inlineStr">
        <is>
          <t>20 dias</t>
        </is>
      </c>
    </row>
    <row r="3513" ht="22" customHeight="1">
      <c r="A3513" s="6" t="inlineStr">
        <is>
          <t>CUL-3509</t>
        </is>
      </c>
      <c r="B3513" s="5" t="n">
        <v>685</v>
      </c>
      <c r="C3513" s="7" t="inlineStr">
        <is>
          <t>Nº 25423</t>
        </is>
      </c>
      <c r="D3513" s="8" t="inlineStr">
        <is>
          <t>GLUFOSINATE 200 SL LIBEN 0,200L AMOSTRA (IMP) LL</t>
        </is>
      </c>
      <c r="E3513" s="7" t="inlineStr">
        <is>
          <t>Pulverização Agrícola Conforme Bula</t>
        </is>
      </c>
      <c r="F3513" s="7" t="inlineStr">
        <is>
          <t>Citros (Jato Dirigido)</t>
        </is>
      </c>
      <c r="G3513" s="7" t="inlineStr">
        <is>
          <t>Cultura Autorizada na Bula</t>
        </is>
      </c>
      <c r="H3513" s="7" t="inlineStr">
        <is>
          <t>100 a 300 L/ha</t>
        </is>
      </c>
      <c r="I3513" s="7" t="inlineStr">
        <is>
          <t>20 a 40 L/ha</t>
        </is>
      </c>
      <c r="J3513" s="7" t="inlineStr">
        <is>
          <t>40 dias</t>
        </is>
      </c>
    </row>
    <row r="3514" ht="22" customHeight="1">
      <c r="A3514" s="12" t="inlineStr">
        <is>
          <t>CUL-3510</t>
        </is>
      </c>
      <c r="B3514" s="11" t="n">
        <v>685</v>
      </c>
      <c r="C3514" s="13" t="inlineStr">
        <is>
          <t>Nº 25423</t>
        </is>
      </c>
      <c r="D3514" s="14" t="inlineStr">
        <is>
          <t>GLUFOSINATE 200 SL LIBEN 0,200L AMOSTRA (IMP) LL</t>
        </is>
      </c>
      <c r="E3514" s="13" t="inlineStr">
        <is>
          <t>Pulverização Agrícola Conforme Bula</t>
        </is>
      </c>
      <c r="F3514" s="13" t="inlineStr">
        <is>
          <t>Trigo</t>
        </is>
      </c>
      <c r="G3514" s="13" t="inlineStr">
        <is>
          <t>Cultura Autorizada na Bula</t>
        </is>
      </c>
      <c r="H3514" s="13" t="inlineStr">
        <is>
          <t>100 a 300 L/ha</t>
        </is>
      </c>
      <c r="I3514" s="13" t="inlineStr">
        <is>
          <t>20 a 40 L/ha</t>
        </is>
      </c>
      <c r="J3514" s="13" t="inlineStr">
        <is>
          <t>N/D</t>
        </is>
      </c>
    </row>
    <row r="3515" ht="22" customHeight="1">
      <c r="A3515" s="6" t="inlineStr">
        <is>
          <t>CUL-3511</t>
        </is>
      </c>
      <c r="B3515" s="5" t="n">
        <v>686</v>
      </c>
      <c r="C3515" s="7" t="inlineStr">
        <is>
          <t>Nº 9520</t>
        </is>
      </c>
      <c r="D3515" s="8" t="inlineStr">
        <is>
          <t>DK MAX</t>
        </is>
      </c>
      <c r="E3515" s="7" t="inlineStr">
        <is>
          <t>Pulverização Agrícola Conforme Bula</t>
        </is>
      </c>
      <c r="F3515" s="7" t="inlineStr">
        <is>
          <t>Milho</t>
        </is>
      </c>
      <c r="G3515" s="7" t="inlineStr">
        <is>
          <t>Cultura Autorizada na Bula</t>
        </is>
      </c>
      <c r="H3515" s="7" t="inlineStr">
        <is>
          <t>100 a 300 L/ha</t>
        </is>
      </c>
      <c r="I3515" s="7" t="inlineStr">
        <is>
          <t>20 a 40 L/ha</t>
        </is>
      </c>
      <c r="J3515" s="7" t="inlineStr">
        <is>
          <t>60 dias</t>
        </is>
      </c>
    </row>
    <row r="3516" ht="22" customHeight="1">
      <c r="A3516" s="12" t="inlineStr">
        <is>
          <t>CUL-3512</t>
        </is>
      </c>
      <c r="B3516" s="11" t="n">
        <v>686</v>
      </c>
      <c r="C3516" s="13" t="inlineStr">
        <is>
          <t>Nº 9520</t>
        </is>
      </c>
      <c r="D3516" s="14" t="inlineStr">
        <is>
          <t>DK MAX</t>
        </is>
      </c>
      <c r="E3516" s="13" t="inlineStr">
        <is>
          <t>Pulverização Agrícola Conforme Bula</t>
        </is>
      </c>
      <c r="F3516" s="13" t="inlineStr">
        <is>
          <t>Cana-de-açúcar</t>
        </is>
      </c>
      <c r="G3516" s="13" t="inlineStr">
        <is>
          <t>Cultura Autorizada na Bula</t>
        </is>
      </c>
      <c r="H3516" s="13" t="inlineStr">
        <is>
          <t>100 a 300 L/ha</t>
        </is>
      </c>
      <c r="I3516" s="13" t="inlineStr">
        <is>
          <t>20 a 40 L/ha</t>
        </is>
      </c>
      <c r="J3516" s="13" t="inlineStr">
        <is>
          <t>N/D</t>
        </is>
      </c>
    </row>
    <row r="3517" ht="22" customHeight="1">
      <c r="A3517" s="6" t="inlineStr">
        <is>
          <t>CUL-3513</t>
        </is>
      </c>
      <c r="B3517" s="5" t="n">
        <v>686</v>
      </c>
      <c r="C3517" s="7" t="inlineStr">
        <is>
          <t>Nº 9520</t>
        </is>
      </c>
      <c r="D3517" s="8" t="inlineStr">
        <is>
          <t>DK MAX</t>
        </is>
      </c>
      <c r="E3517" s="7" t="inlineStr">
        <is>
          <t>Pulverização Agrícola Conforme Bula</t>
        </is>
      </c>
      <c r="F3517" s="7" t="inlineStr">
        <is>
          <t>Sorgo</t>
        </is>
      </c>
      <c r="G3517" s="7" t="inlineStr">
        <is>
          <t>Cultura Autorizada na Bula</t>
        </is>
      </c>
      <c r="H3517" s="7" t="inlineStr">
        <is>
          <t>100 a 300 L/ha</t>
        </is>
      </c>
      <c r="I3517" s="7" t="inlineStr">
        <is>
          <t>20 a 40 L/ha</t>
        </is>
      </c>
      <c r="J3517" s="7" t="inlineStr">
        <is>
          <t>60 dias</t>
        </is>
      </c>
    </row>
    <row r="3518" ht="22" customHeight="1">
      <c r="A3518" s="12" t="inlineStr">
        <is>
          <t>CUL-3514</t>
        </is>
      </c>
      <c r="B3518" s="11" t="n">
        <v>686</v>
      </c>
      <c r="C3518" s="13" t="inlineStr">
        <is>
          <t>Nº 9520</t>
        </is>
      </c>
      <c r="D3518" s="14" t="inlineStr">
        <is>
          <t>DK MAX</t>
        </is>
      </c>
      <c r="E3518" s="13" t="inlineStr">
        <is>
          <t>Pulverização Agrícola Conforme Bula</t>
        </is>
      </c>
      <c r="F3518" s="13" t="inlineStr">
        <is>
          <t>Pinus / Eucalipto</t>
        </is>
      </c>
      <c r="G3518" s="13" t="inlineStr">
        <is>
          <t>Cultura Autorizada na Bula</t>
        </is>
      </c>
      <c r="H3518" s="13" t="inlineStr">
        <is>
          <t>100 a 300 L/ha</t>
        </is>
      </c>
      <c r="I3518" s="13" t="inlineStr">
        <is>
          <t>20 a 40 L/ha</t>
        </is>
      </c>
      <c r="J3518" s="13" t="inlineStr">
        <is>
          <t>U.N.A.</t>
        </is>
      </c>
    </row>
    <row r="3519" ht="22" customHeight="1">
      <c r="A3519" s="6" t="inlineStr">
        <is>
          <t>CUL-3515</t>
        </is>
      </c>
      <c r="B3519" s="5" t="n">
        <v>687</v>
      </c>
      <c r="C3519" s="7" t="inlineStr">
        <is>
          <t>Nº 2024</t>
        </is>
      </c>
      <c r="D3519" s="8" t="inlineStr">
        <is>
          <t>THIOPHANATE METHYL</t>
        </is>
      </c>
      <c r="E3519" s="7" t="inlineStr">
        <is>
          <t>Pulverização Agrícola Conforme Bula</t>
        </is>
      </c>
      <c r="F3519" s="7" t="inlineStr">
        <is>
          <t>Soja</t>
        </is>
      </c>
      <c r="G3519" s="7" t="inlineStr">
        <is>
          <t>Cultura Autorizada na Bula</t>
        </is>
      </c>
      <c r="H3519" s="7" t="inlineStr">
        <is>
          <t>100 a 300 L/ha</t>
        </is>
      </c>
      <c r="I3519" s="7" t="inlineStr">
        <is>
          <t>20 a 40 L/ha</t>
        </is>
      </c>
      <c r="J3519" s="7" t="inlineStr">
        <is>
          <t>28 dias</t>
        </is>
      </c>
    </row>
    <row r="3520" ht="22" customHeight="1">
      <c r="A3520" s="12" t="inlineStr">
        <is>
          <t>CUL-3516</t>
        </is>
      </c>
      <c r="B3520" s="11" t="n">
        <v>687</v>
      </c>
      <c r="C3520" s="13" t="inlineStr">
        <is>
          <t>Nº 2024</t>
        </is>
      </c>
      <c r="D3520" s="14" t="inlineStr">
        <is>
          <t>THIOPHANATE METHYL</t>
        </is>
      </c>
      <c r="E3520" s="13" t="inlineStr">
        <is>
          <t>Pulverização Agrícola Conforme Bula</t>
        </is>
      </c>
      <c r="F3520" s="13" t="inlineStr">
        <is>
          <t>Feijão</t>
        </is>
      </c>
      <c r="G3520" s="13" t="inlineStr">
        <is>
          <t>Cultura Autorizada na Bula</t>
        </is>
      </c>
      <c r="H3520" s="13" t="inlineStr">
        <is>
          <t>100 a 300 L/ha</t>
        </is>
      </c>
      <c r="I3520" s="13" t="inlineStr">
        <is>
          <t>20 a 40 L/ha</t>
        </is>
      </c>
      <c r="J3520" s="13" t="inlineStr">
        <is>
          <t>14 dias</t>
        </is>
      </c>
    </row>
    <row r="3521" ht="22" customHeight="1">
      <c r="A3521" s="6" t="inlineStr">
        <is>
          <t>CUL-3517</t>
        </is>
      </c>
      <c r="B3521" s="5" t="n">
        <v>687</v>
      </c>
      <c r="C3521" s="7" t="inlineStr">
        <is>
          <t>Nº 2024</t>
        </is>
      </c>
      <c r="D3521" s="8" t="inlineStr">
        <is>
          <t>THIOPHANATE METHYL</t>
        </is>
      </c>
      <c r="E3521" s="7" t="inlineStr">
        <is>
          <t>Pulverização Agrícola Conforme Bula</t>
        </is>
      </c>
      <c r="F3521" s="7" t="inlineStr">
        <is>
          <t>Algodão</t>
        </is>
      </c>
      <c r="G3521" s="7" t="inlineStr">
        <is>
          <t>Cultura Autorizada na Bula</t>
        </is>
      </c>
      <c r="H3521" s="7" t="inlineStr">
        <is>
          <t>100 a 300 L/ha</t>
        </is>
      </c>
      <c r="I3521" s="7" t="inlineStr">
        <is>
          <t>20 a 40 L/ha</t>
        </is>
      </c>
      <c r="J3521" s="7" t="inlineStr">
        <is>
          <t>28 dias</t>
        </is>
      </c>
    </row>
    <row r="3522" ht="22" customHeight="1">
      <c r="A3522" s="12" t="inlineStr">
        <is>
          <t>CUL-3518</t>
        </is>
      </c>
      <c r="B3522" s="11" t="n">
        <v>687</v>
      </c>
      <c r="C3522" s="13" t="inlineStr">
        <is>
          <t>Nº 2024</t>
        </is>
      </c>
      <c r="D3522" s="14" t="inlineStr">
        <is>
          <t>THIOPHANATE METHYL</t>
        </is>
      </c>
      <c r="E3522" s="13" t="inlineStr">
        <is>
          <t>Pulverização Agrícola Conforme Bula</t>
        </is>
      </c>
      <c r="F3522" s="13" t="inlineStr">
        <is>
          <t>Citros</t>
        </is>
      </c>
      <c r="G3522" s="13" t="inlineStr">
        <is>
          <t>Cultura Autorizada na Bula</t>
        </is>
      </c>
      <c r="H3522" s="13" t="inlineStr">
        <is>
          <t>100 a 300 L/ha</t>
        </is>
      </c>
      <c r="I3522" s="13" t="inlineStr">
        <is>
          <t>20 a 40 L/ha</t>
        </is>
      </c>
      <c r="J3522" s="13" t="inlineStr">
        <is>
          <t>14 dias</t>
        </is>
      </c>
    </row>
    <row r="3523" ht="22" customHeight="1">
      <c r="A3523" s="6" t="inlineStr">
        <is>
          <t>CUL-3519</t>
        </is>
      </c>
      <c r="B3523" s="5" t="n">
        <v>687</v>
      </c>
      <c r="C3523" s="7" t="inlineStr">
        <is>
          <t>Nº 2024</t>
        </is>
      </c>
      <c r="D3523" s="8" t="inlineStr">
        <is>
          <t>THIOPHANATE METHYL</t>
        </is>
      </c>
      <c r="E3523" s="7" t="inlineStr">
        <is>
          <t>Pulverização Agrícola Conforme Bula</t>
        </is>
      </c>
      <c r="F3523" s="7" t="inlineStr">
        <is>
          <t>Café</t>
        </is>
      </c>
      <c r="G3523" s="7" t="inlineStr">
        <is>
          <t>Cultura Autorizada na Bula</t>
        </is>
      </c>
      <c r="H3523" s="7" t="inlineStr">
        <is>
          <t>100 a 300 L/ha</t>
        </is>
      </c>
      <c r="I3523" s="7" t="inlineStr">
        <is>
          <t>20 a 40 L/ha</t>
        </is>
      </c>
      <c r="J3523" s="7" t="inlineStr">
        <is>
          <t>21 dias</t>
        </is>
      </c>
    </row>
    <row r="3524" ht="22" customHeight="1">
      <c r="A3524" s="12" t="inlineStr">
        <is>
          <t>CUL-3520</t>
        </is>
      </c>
      <c r="B3524" s="11" t="n">
        <v>687</v>
      </c>
      <c r="C3524" s="13" t="inlineStr">
        <is>
          <t>Nº 2024</t>
        </is>
      </c>
      <c r="D3524" s="14" t="inlineStr">
        <is>
          <t>THIOPHANATE METHYL</t>
        </is>
      </c>
      <c r="E3524" s="13" t="inlineStr">
        <is>
          <t>Pulverização Agrícola Conforme Bula</t>
        </is>
      </c>
      <c r="F3524" s="13" t="inlineStr">
        <is>
          <t>Trigo</t>
        </is>
      </c>
      <c r="G3524" s="13" t="inlineStr">
        <is>
          <t>Cultura Autorizada na Bula</t>
        </is>
      </c>
      <c r="H3524" s="13" t="inlineStr">
        <is>
          <t>100 a 300 L/ha</t>
        </is>
      </c>
      <c r="I3524" s="13" t="inlineStr">
        <is>
          <t>20 a 40 L/ha</t>
        </is>
      </c>
      <c r="J3524" s="13" t="inlineStr">
        <is>
          <t>35 dias</t>
        </is>
      </c>
    </row>
    <row r="3525" ht="22" customHeight="1">
      <c r="A3525" s="6" t="inlineStr">
        <is>
          <t>CUL-3521</t>
        </is>
      </c>
      <c r="B3525" s="5" t="n">
        <v>688</v>
      </c>
      <c r="C3525" s="7" t="inlineStr">
        <is>
          <t>Nº 17921</t>
        </is>
      </c>
      <c r="D3525" s="8" t="inlineStr">
        <is>
          <t>TIOFANATO</t>
        </is>
      </c>
      <c r="E3525" s="7" t="inlineStr">
        <is>
          <t>Pulverização Agrícola Conforme Bula</t>
        </is>
      </c>
      <c r="F3525" s="7" t="inlineStr">
        <is>
          <t>Soja</t>
        </is>
      </c>
      <c r="G3525" s="7" t="inlineStr">
        <is>
          <t>Cultura Autorizada na Bula</t>
        </is>
      </c>
      <c r="H3525" s="7" t="inlineStr">
        <is>
          <t>100 a 300 L/ha</t>
        </is>
      </c>
      <c r="I3525" s="7" t="inlineStr">
        <is>
          <t>20 a 40 L/ha</t>
        </is>
      </c>
      <c r="J3525" s="7" t="inlineStr">
        <is>
          <t>28 dias</t>
        </is>
      </c>
    </row>
    <row r="3526" ht="22" customHeight="1">
      <c r="A3526" s="12" t="inlineStr">
        <is>
          <t>CUL-3522</t>
        </is>
      </c>
      <c r="B3526" s="11" t="n">
        <v>688</v>
      </c>
      <c r="C3526" s="13" t="inlineStr">
        <is>
          <t>Nº 17921</t>
        </is>
      </c>
      <c r="D3526" s="14" t="inlineStr">
        <is>
          <t>TIOFANATO</t>
        </is>
      </c>
      <c r="E3526" s="13" t="inlineStr">
        <is>
          <t>Pulverização Agrícola Conforme Bula</t>
        </is>
      </c>
      <c r="F3526" s="13" t="inlineStr">
        <is>
          <t>Feijão</t>
        </is>
      </c>
      <c r="G3526" s="13" t="inlineStr">
        <is>
          <t>Cultura Autorizada na Bula</t>
        </is>
      </c>
      <c r="H3526" s="13" t="inlineStr">
        <is>
          <t>100 a 300 L/ha</t>
        </is>
      </c>
      <c r="I3526" s="13" t="inlineStr">
        <is>
          <t>20 a 40 L/ha</t>
        </is>
      </c>
      <c r="J3526" s="13" t="inlineStr">
        <is>
          <t>14 dias</t>
        </is>
      </c>
    </row>
    <row r="3527" ht="22" customHeight="1">
      <c r="A3527" s="6" t="inlineStr">
        <is>
          <t>CUL-3523</t>
        </is>
      </c>
      <c r="B3527" s="5" t="n">
        <v>688</v>
      </c>
      <c r="C3527" s="7" t="inlineStr">
        <is>
          <t>Nº 17921</t>
        </is>
      </c>
      <c r="D3527" s="8" t="inlineStr">
        <is>
          <t>TIOFANATO</t>
        </is>
      </c>
      <c r="E3527" s="7" t="inlineStr">
        <is>
          <t>Pulverização Agrícola Conforme Bula</t>
        </is>
      </c>
      <c r="F3527" s="7" t="inlineStr">
        <is>
          <t>Algodão</t>
        </is>
      </c>
      <c r="G3527" s="7" t="inlineStr">
        <is>
          <t>Cultura Autorizada na Bula</t>
        </is>
      </c>
      <c r="H3527" s="7" t="inlineStr">
        <is>
          <t>100 a 300 L/ha</t>
        </is>
      </c>
      <c r="I3527" s="7" t="inlineStr">
        <is>
          <t>20 a 40 L/ha</t>
        </is>
      </c>
      <c r="J3527" s="7" t="inlineStr">
        <is>
          <t>28 dias</t>
        </is>
      </c>
    </row>
    <row r="3528" ht="22" customHeight="1">
      <c r="A3528" s="12" t="inlineStr">
        <is>
          <t>CUL-3524</t>
        </is>
      </c>
      <c r="B3528" s="11" t="n">
        <v>688</v>
      </c>
      <c r="C3528" s="13" t="inlineStr">
        <is>
          <t>Nº 17921</t>
        </is>
      </c>
      <c r="D3528" s="14" t="inlineStr">
        <is>
          <t>TIOFANATO</t>
        </is>
      </c>
      <c r="E3528" s="13" t="inlineStr">
        <is>
          <t>Pulverização Agrícola Conforme Bula</t>
        </is>
      </c>
      <c r="F3528" s="13" t="inlineStr">
        <is>
          <t>Citros</t>
        </is>
      </c>
      <c r="G3528" s="13" t="inlineStr">
        <is>
          <t>Cultura Autorizada na Bula</t>
        </is>
      </c>
      <c r="H3528" s="13" t="inlineStr">
        <is>
          <t>100 a 300 L/ha</t>
        </is>
      </c>
      <c r="I3528" s="13" t="inlineStr">
        <is>
          <t>20 a 40 L/ha</t>
        </is>
      </c>
      <c r="J3528" s="13" t="inlineStr">
        <is>
          <t>14 dias</t>
        </is>
      </c>
    </row>
    <row r="3529" ht="22" customHeight="1">
      <c r="A3529" s="6" t="inlineStr">
        <is>
          <t>CUL-3525</t>
        </is>
      </c>
      <c r="B3529" s="5" t="n">
        <v>688</v>
      </c>
      <c r="C3529" s="7" t="inlineStr">
        <is>
          <t>Nº 17921</t>
        </is>
      </c>
      <c r="D3529" s="8" t="inlineStr">
        <is>
          <t>TIOFANATO</t>
        </is>
      </c>
      <c r="E3529" s="7" t="inlineStr">
        <is>
          <t>Pulverização Agrícola Conforme Bula</t>
        </is>
      </c>
      <c r="F3529" s="7" t="inlineStr">
        <is>
          <t>Café</t>
        </is>
      </c>
      <c r="G3529" s="7" t="inlineStr">
        <is>
          <t>Cultura Autorizada na Bula</t>
        </is>
      </c>
      <c r="H3529" s="7" t="inlineStr">
        <is>
          <t>100 a 300 L/ha</t>
        </is>
      </c>
      <c r="I3529" s="7" t="inlineStr">
        <is>
          <t>20 a 40 L/ha</t>
        </is>
      </c>
      <c r="J3529" s="7" t="inlineStr">
        <is>
          <t>21 dias</t>
        </is>
      </c>
    </row>
    <row r="3530" ht="22" customHeight="1">
      <c r="A3530" s="12" t="inlineStr">
        <is>
          <t>CUL-3526</t>
        </is>
      </c>
      <c r="B3530" s="11" t="n">
        <v>688</v>
      </c>
      <c r="C3530" s="13" t="inlineStr">
        <is>
          <t>Nº 17921</t>
        </is>
      </c>
      <c r="D3530" s="14" t="inlineStr">
        <is>
          <t>TIOFANATO</t>
        </is>
      </c>
      <c r="E3530" s="13" t="inlineStr">
        <is>
          <t>Pulverização Agrícola Conforme Bula</t>
        </is>
      </c>
      <c r="F3530" s="13" t="inlineStr">
        <is>
          <t>Trigo</t>
        </is>
      </c>
      <c r="G3530" s="13" t="inlineStr">
        <is>
          <t>Cultura Autorizada na Bula</t>
        </is>
      </c>
      <c r="H3530" s="13" t="inlineStr">
        <is>
          <t>100 a 300 L/ha</t>
        </is>
      </c>
      <c r="I3530" s="13" t="inlineStr">
        <is>
          <t>20 a 40 L/ha</t>
        </is>
      </c>
      <c r="J3530" s="13" t="inlineStr">
        <is>
          <t>35 dias</t>
        </is>
      </c>
    </row>
    <row r="3531" ht="22" customHeight="1">
      <c r="A3531" s="6" t="inlineStr">
        <is>
          <t>CUL-3527</t>
        </is>
      </c>
      <c r="B3531" s="5" t="n">
        <v>689</v>
      </c>
      <c r="C3531" s="7" t="inlineStr">
        <is>
          <t>Nº 6715</t>
        </is>
      </c>
      <c r="D3531" s="8" t="inlineStr">
        <is>
          <t>2,4-D 806 SL CROTECT BBA</t>
        </is>
      </c>
      <c r="E3531" s="7" t="inlineStr">
        <is>
          <t>Pulverização Agrícola Conforme Bula</t>
        </is>
      </c>
      <c r="F3531" s="7" t="inlineStr">
        <is>
          <t>Soja (Dessecação Pré-Plantio)</t>
        </is>
      </c>
      <c r="G3531" s="7" t="inlineStr">
        <is>
          <t>Cultura Autorizada na Bula</t>
        </is>
      </c>
      <c r="H3531" s="7" t="inlineStr">
        <is>
          <t>100 a 300 L/ha</t>
        </is>
      </c>
      <c r="I3531" s="7" t="inlineStr">
        <is>
          <t>20 a 40 L/ha</t>
        </is>
      </c>
      <c r="J3531" s="7" t="inlineStr">
        <is>
          <t>N/D</t>
        </is>
      </c>
    </row>
    <row r="3532" ht="22" customHeight="1">
      <c r="A3532" s="12" t="inlineStr">
        <is>
          <t>CUL-3528</t>
        </is>
      </c>
      <c r="B3532" s="11" t="n">
        <v>689</v>
      </c>
      <c r="C3532" s="13" t="inlineStr">
        <is>
          <t>Nº 6715</t>
        </is>
      </c>
      <c r="D3532" s="14" t="inlineStr">
        <is>
          <t>2,4-D 806 SL CROTECT BBA</t>
        </is>
      </c>
      <c r="E3532" s="13" t="inlineStr">
        <is>
          <t>Pulverização Agrícola Conforme Bula</t>
        </is>
      </c>
      <c r="F3532" s="13" t="inlineStr">
        <is>
          <t>Milho</t>
        </is>
      </c>
      <c r="G3532" s="13" t="inlineStr">
        <is>
          <t>Cultura Autorizada na Bula</t>
        </is>
      </c>
      <c r="H3532" s="13" t="inlineStr">
        <is>
          <t>100 a 300 L/ha</t>
        </is>
      </c>
      <c r="I3532" s="13" t="inlineStr">
        <is>
          <t>20 a 40 L/ha</t>
        </is>
      </c>
      <c r="J3532" s="13" t="inlineStr">
        <is>
          <t>40 dias</t>
        </is>
      </c>
    </row>
    <row r="3533" ht="22" customHeight="1">
      <c r="A3533" s="6" t="inlineStr">
        <is>
          <t>CUL-3529</t>
        </is>
      </c>
      <c r="B3533" s="5" t="n">
        <v>689</v>
      </c>
      <c r="C3533" s="7" t="inlineStr">
        <is>
          <t>Nº 6715</t>
        </is>
      </c>
      <c r="D3533" s="8" t="inlineStr">
        <is>
          <t>2,4-D 806 SL CROTECT BBA</t>
        </is>
      </c>
      <c r="E3533" s="7" t="inlineStr">
        <is>
          <t>Pulverização Agrícola Conforme Bula</t>
        </is>
      </c>
      <c r="F3533" s="7" t="inlineStr">
        <is>
          <t>Cana-de-açúcar</t>
        </is>
      </c>
      <c r="G3533" s="7" t="inlineStr">
        <is>
          <t>Cultura Autorizada na Bula</t>
        </is>
      </c>
      <c r="H3533" s="7" t="inlineStr">
        <is>
          <t>100 a 300 L/ha</t>
        </is>
      </c>
      <c r="I3533" s="7" t="inlineStr">
        <is>
          <t>20 a 40 L/ha</t>
        </is>
      </c>
      <c r="J3533" s="7" t="inlineStr">
        <is>
          <t>N/D</t>
        </is>
      </c>
    </row>
    <row r="3534" ht="22" customHeight="1">
      <c r="A3534" s="12" t="inlineStr">
        <is>
          <t>CUL-3530</t>
        </is>
      </c>
      <c r="B3534" s="11" t="n">
        <v>689</v>
      </c>
      <c r="C3534" s="13" t="inlineStr">
        <is>
          <t>Nº 6715</t>
        </is>
      </c>
      <c r="D3534" s="14" t="inlineStr">
        <is>
          <t>2,4-D 806 SL CROTECT BBA</t>
        </is>
      </c>
      <c r="E3534" s="13" t="inlineStr">
        <is>
          <t>Pulverização Agrícola Conforme Bula</t>
        </is>
      </c>
      <c r="F3534" s="13" t="inlineStr">
        <is>
          <t>Trigo</t>
        </is>
      </c>
      <c r="G3534" s="13" t="inlineStr">
        <is>
          <t>Cultura Autorizada na Bula</t>
        </is>
      </c>
      <c r="H3534" s="13" t="inlineStr">
        <is>
          <t>100 a 300 L/ha</t>
        </is>
      </c>
      <c r="I3534" s="13" t="inlineStr">
        <is>
          <t>20 a 40 L/ha</t>
        </is>
      </c>
      <c r="J3534" s="13" t="inlineStr">
        <is>
          <t>45 dias</t>
        </is>
      </c>
    </row>
    <row r="3535" ht="22" customHeight="1">
      <c r="A3535" s="6" t="inlineStr">
        <is>
          <t>CUL-3531</t>
        </is>
      </c>
      <c r="B3535" s="5" t="n">
        <v>689</v>
      </c>
      <c r="C3535" s="7" t="inlineStr">
        <is>
          <t>Nº 6715</t>
        </is>
      </c>
      <c r="D3535" s="8" t="inlineStr">
        <is>
          <t>2,4-D 806 SL CROTECT BBA</t>
        </is>
      </c>
      <c r="E3535" s="7" t="inlineStr">
        <is>
          <t>Pulverização Agrícola Conforme Bula</t>
        </is>
      </c>
      <c r="F3535" s="7" t="inlineStr">
        <is>
          <t>Pastagens</t>
        </is>
      </c>
      <c r="G3535" s="7" t="inlineStr">
        <is>
          <t>Cultura Autorizada na Bula</t>
        </is>
      </c>
      <c r="H3535" s="7" t="inlineStr">
        <is>
          <t>100 a 300 L/ha</t>
        </is>
      </c>
      <c r="I3535" s="7" t="inlineStr">
        <is>
          <t>20 a 40 L/ha</t>
        </is>
      </c>
      <c r="J3535" s="7" t="inlineStr">
        <is>
          <t>N/D</t>
        </is>
      </c>
    </row>
    <row r="3536" ht="22" customHeight="1">
      <c r="A3536" s="12" t="inlineStr">
        <is>
          <t>CUL-3532</t>
        </is>
      </c>
      <c r="B3536" s="11" t="n">
        <v>690</v>
      </c>
      <c r="C3536" s="13" t="inlineStr">
        <is>
          <t>Nº 16922</t>
        </is>
      </c>
      <c r="D3536" s="14" t="inlineStr">
        <is>
          <t>GLUFOS-WYN 200 SL</t>
        </is>
      </c>
      <c r="E3536" s="13" t="inlineStr">
        <is>
          <t>Pulverização Agrícola Conforme Bula</t>
        </is>
      </c>
      <c r="F3536" s="13" t="inlineStr">
        <is>
          <t>Soja (Pré-Plantio / OGM)</t>
        </is>
      </c>
      <c r="G3536" s="13" t="inlineStr">
        <is>
          <t>Cultura Autorizada na Bula</t>
        </is>
      </c>
      <c r="H3536" s="13" t="inlineStr">
        <is>
          <t>100 a 300 L/ha</t>
        </is>
      </c>
      <c r="I3536" s="13" t="inlineStr">
        <is>
          <t>20 a 40 L/ha</t>
        </is>
      </c>
      <c r="J3536" s="13" t="inlineStr">
        <is>
          <t>60 dias</t>
        </is>
      </c>
    </row>
    <row r="3537" ht="22" customHeight="1">
      <c r="A3537" s="6" t="inlineStr">
        <is>
          <t>CUL-3533</t>
        </is>
      </c>
      <c r="B3537" s="5" t="n">
        <v>690</v>
      </c>
      <c r="C3537" s="7" t="inlineStr">
        <is>
          <t>Nº 16922</t>
        </is>
      </c>
      <c r="D3537" s="8" t="inlineStr">
        <is>
          <t>GLUFOS-WYN 200 SL</t>
        </is>
      </c>
      <c r="E3537" s="7" t="inlineStr">
        <is>
          <t>Pulverização Agrícola Conforme Bula</t>
        </is>
      </c>
      <c r="F3537" s="7" t="inlineStr">
        <is>
          <t>Milho (Pré-Plantio / OGM)</t>
        </is>
      </c>
      <c r="G3537" s="7" t="inlineStr">
        <is>
          <t>Cultura Autorizada na Bula</t>
        </is>
      </c>
      <c r="H3537" s="7" t="inlineStr">
        <is>
          <t>100 a 300 L/ha</t>
        </is>
      </c>
      <c r="I3537" s="7" t="inlineStr">
        <is>
          <t>20 a 40 L/ha</t>
        </is>
      </c>
      <c r="J3537" s="7" t="inlineStr">
        <is>
          <t>40 dias</t>
        </is>
      </c>
    </row>
    <row r="3538" ht="22" customHeight="1">
      <c r="A3538" s="12" t="inlineStr">
        <is>
          <t>CUL-3534</t>
        </is>
      </c>
      <c r="B3538" s="11" t="n">
        <v>690</v>
      </c>
      <c r="C3538" s="13" t="inlineStr">
        <is>
          <t>Nº 16922</t>
        </is>
      </c>
      <c r="D3538" s="14" t="inlineStr">
        <is>
          <t>GLUFOS-WYN 200 SL</t>
        </is>
      </c>
      <c r="E3538" s="13" t="inlineStr">
        <is>
          <t>Pulverização Agrícola Conforme Bula</t>
        </is>
      </c>
      <c r="F3538" s="13" t="inlineStr">
        <is>
          <t>Algodão (Pré-Plantio / OGM / Desfolha)</t>
        </is>
      </c>
      <c r="G3538" s="13" t="inlineStr">
        <is>
          <t>Cultura Autorizada na Bula</t>
        </is>
      </c>
      <c r="H3538" s="13" t="inlineStr">
        <is>
          <t>100 a 300 L/ha</t>
        </is>
      </c>
      <c r="I3538" s="13" t="inlineStr">
        <is>
          <t>20 a 40 L/ha</t>
        </is>
      </c>
      <c r="J3538" s="13" t="inlineStr">
        <is>
          <t>15 dias</t>
        </is>
      </c>
    </row>
    <row r="3539" ht="22" customHeight="1">
      <c r="A3539" s="6" t="inlineStr">
        <is>
          <t>CUL-3535</t>
        </is>
      </c>
      <c r="B3539" s="5" t="n">
        <v>690</v>
      </c>
      <c r="C3539" s="7" t="inlineStr">
        <is>
          <t>Nº 16922</t>
        </is>
      </c>
      <c r="D3539" s="8" t="inlineStr">
        <is>
          <t>GLUFOS-WYN 200 SL</t>
        </is>
      </c>
      <c r="E3539" s="7" t="inlineStr">
        <is>
          <t>Pulverização Agrícola Conforme Bula</t>
        </is>
      </c>
      <c r="F3539" s="7" t="inlineStr">
        <is>
          <t>Café (Jato Dirigido)</t>
        </is>
      </c>
      <c r="G3539" s="7" t="inlineStr">
        <is>
          <t>Cultura Autorizada na Bula</t>
        </is>
      </c>
      <c r="H3539" s="7" t="inlineStr">
        <is>
          <t>100 a 300 L/ha</t>
        </is>
      </c>
      <c r="I3539" s="7" t="inlineStr">
        <is>
          <t>20 a 40 L/ha</t>
        </is>
      </c>
      <c r="J3539" s="7" t="inlineStr">
        <is>
          <t>20 dias</t>
        </is>
      </c>
    </row>
    <row r="3540" ht="22" customHeight="1">
      <c r="A3540" s="12" t="inlineStr">
        <is>
          <t>CUL-3536</t>
        </is>
      </c>
      <c r="B3540" s="11" t="n">
        <v>690</v>
      </c>
      <c r="C3540" s="13" t="inlineStr">
        <is>
          <t>Nº 16922</t>
        </is>
      </c>
      <c r="D3540" s="14" t="inlineStr">
        <is>
          <t>GLUFOS-WYN 200 SL</t>
        </is>
      </c>
      <c r="E3540" s="13" t="inlineStr">
        <is>
          <t>Pulverização Agrícola Conforme Bula</t>
        </is>
      </c>
      <c r="F3540" s="13" t="inlineStr">
        <is>
          <t>Citros (Jato Dirigido)</t>
        </is>
      </c>
      <c r="G3540" s="13" t="inlineStr">
        <is>
          <t>Cultura Autorizada na Bula</t>
        </is>
      </c>
      <c r="H3540" s="13" t="inlineStr">
        <is>
          <t>100 a 300 L/ha</t>
        </is>
      </c>
      <c r="I3540" s="13" t="inlineStr">
        <is>
          <t>20 a 40 L/ha</t>
        </is>
      </c>
      <c r="J3540" s="13" t="inlineStr">
        <is>
          <t>40 dias</t>
        </is>
      </c>
    </row>
    <row r="3541" ht="22" customHeight="1">
      <c r="A3541" s="6" t="inlineStr">
        <is>
          <t>CUL-3537</t>
        </is>
      </c>
      <c r="B3541" s="5" t="n">
        <v>690</v>
      </c>
      <c r="C3541" s="7" t="inlineStr">
        <is>
          <t>Nº 16922</t>
        </is>
      </c>
      <c r="D3541" s="8" t="inlineStr">
        <is>
          <t>GLUFOS-WYN 200 SL</t>
        </is>
      </c>
      <c r="E3541" s="7" t="inlineStr">
        <is>
          <t>Pulverização Agrícola Conforme Bula</t>
        </is>
      </c>
      <c r="F3541" s="7" t="inlineStr">
        <is>
          <t>Trigo</t>
        </is>
      </c>
      <c r="G3541" s="7" t="inlineStr">
        <is>
          <t>Cultura Autorizada na Bula</t>
        </is>
      </c>
      <c r="H3541" s="7" t="inlineStr">
        <is>
          <t>100 a 300 L/ha</t>
        </is>
      </c>
      <c r="I3541" s="7" t="inlineStr">
        <is>
          <t>20 a 40 L/ha</t>
        </is>
      </c>
      <c r="J3541" s="7" t="inlineStr">
        <is>
          <t>N/D</t>
        </is>
      </c>
    </row>
    <row r="3542" ht="22" customHeight="1">
      <c r="A3542" s="12" t="inlineStr">
        <is>
          <t>CUL-3538</t>
        </is>
      </c>
      <c r="B3542" s="11" t="n">
        <v>691</v>
      </c>
      <c r="C3542" s="13" t="inlineStr">
        <is>
          <t>Nº 25423</t>
        </is>
      </c>
      <c r="D3542" s="14" t="inlineStr">
        <is>
          <t>GLUFOSINATE 200 SL LIBEN</t>
        </is>
      </c>
      <c r="E3542" s="13" t="inlineStr">
        <is>
          <t>Pulverização Agrícola Conforme Bula</t>
        </is>
      </c>
      <c r="F3542" s="13" t="inlineStr">
        <is>
          <t>Soja (Pré-Plantio / OGM)</t>
        </is>
      </c>
      <c r="G3542" s="13" t="inlineStr">
        <is>
          <t>Cultura Autorizada na Bula</t>
        </is>
      </c>
      <c r="H3542" s="13" t="inlineStr">
        <is>
          <t>100 a 300 L/ha</t>
        </is>
      </c>
      <c r="I3542" s="13" t="inlineStr">
        <is>
          <t>20 a 40 L/ha</t>
        </is>
      </c>
      <c r="J3542" s="13" t="inlineStr">
        <is>
          <t>60 dias</t>
        </is>
      </c>
    </row>
    <row r="3543" ht="22" customHeight="1">
      <c r="A3543" s="6" t="inlineStr">
        <is>
          <t>CUL-3539</t>
        </is>
      </c>
      <c r="B3543" s="5" t="n">
        <v>691</v>
      </c>
      <c r="C3543" s="7" t="inlineStr">
        <is>
          <t>Nº 25423</t>
        </is>
      </c>
      <c r="D3543" s="8" t="inlineStr">
        <is>
          <t>GLUFOSINATE 200 SL LIBEN</t>
        </is>
      </c>
      <c r="E3543" s="7" t="inlineStr">
        <is>
          <t>Pulverização Agrícola Conforme Bula</t>
        </is>
      </c>
      <c r="F3543" s="7" t="inlineStr">
        <is>
          <t>Milho (Pré-Plantio / OGM)</t>
        </is>
      </c>
      <c r="G3543" s="7" t="inlineStr">
        <is>
          <t>Cultura Autorizada na Bula</t>
        </is>
      </c>
      <c r="H3543" s="7" t="inlineStr">
        <is>
          <t>100 a 300 L/ha</t>
        </is>
      </c>
      <c r="I3543" s="7" t="inlineStr">
        <is>
          <t>20 a 40 L/ha</t>
        </is>
      </c>
      <c r="J3543" s="7" t="inlineStr">
        <is>
          <t>40 dias</t>
        </is>
      </c>
    </row>
    <row r="3544" ht="22" customHeight="1">
      <c r="A3544" s="12" t="inlineStr">
        <is>
          <t>CUL-3540</t>
        </is>
      </c>
      <c r="B3544" s="11" t="n">
        <v>691</v>
      </c>
      <c r="C3544" s="13" t="inlineStr">
        <is>
          <t>Nº 25423</t>
        </is>
      </c>
      <c r="D3544" s="14" t="inlineStr">
        <is>
          <t>GLUFOSINATE 200 SL LIBEN</t>
        </is>
      </c>
      <c r="E3544" s="13" t="inlineStr">
        <is>
          <t>Pulverização Agrícola Conforme Bula</t>
        </is>
      </c>
      <c r="F3544" s="13" t="inlineStr">
        <is>
          <t>Algodão (Pré-Plantio / OGM / Desfolha)</t>
        </is>
      </c>
      <c r="G3544" s="13" t="inlineStr">
        <is>
          <t>Cultura Autorizada na Bula</t>
        </is>
      </c>
      <c r="H3544" s="13" t="inlineStr">
        <is>
          <t>100 a 300 L/ha</t>
        </is>
      </c>
      <c r="I3544" s="13" t="inlineStr">
        <is>
          <t>20 a 40 L/ha</t>
        </is>
      </c>
      <c r="J3544" s="13" t="inlineStr">
        <is>
          <t>15 dias</t>
        </is>
      </c>
    </row>
    <row r="3545" ht="22" customHeight="1">
      <c r="A3545" s="6" t="inlineStr">
        <is>
          <t>CUL-3541</t>
        </is>
      </c>
      <c r="B3545" s="5" t="n">
        <v>691</v>
      </c>
      <c r="C3545" s="7" t="inlineStr">
        <is>
          <t>Nº 25423</t>
        </is>
      </c>
      <c r="D3545" s="8" t="inlineStr">
        <is>
          <t>GLUFOSINATE 200 SL LIBEN</t>
        </is>
      </c>
      <c r="E3545" s="7" t="inlineStr">
        <is>
          <t>Pulverização Agrícola Conforme Bula</t>
        </is>
      </c>
      <c r="F3545" s="7" t="inlineStr">
        <is>
          <t>Café (Jato Dirigido)</t>
        </is>
      </c>
      <c r="G3545" s="7" t="inlineStr">
        <is>
          <t>Cultura Autorizada na Bula</t>
        </is>
      </c>
      <c r="H3545" s="7" t="inlineStr">
        <is>
          <t>100 a 300 L/ha</t>
        </is>
      </c>
      <c r="I3545" s="7" t="inlineStr">
        <is>
          <t>20 a 40 L/ha</t>
        </is>
      </c>
      <c r="J3545" s="7" t="inlineStr">
        <is>
          <t>20 dias</t>
        </is>
      </c>
    </row>
    <row r="3546" ht="22" customHeight="1">
      <c r="A3546" s="12" t="inlineStr">
        <is>
          <t>CUL-3542</t>
        </is>
      </c>
      <c r="B3546" s="11" t="n">
        <v>691</v>
      </c>
      <c r="C3546" s="13" t="inlineStr">
        <is>
          <t>Nº 25423</t>
        </is>
      </c>
      <c r="D3546" s="14" t="inlineStr">
        <is>
          <t>GLUFOSINATE 200 SL LIBEN</t>
        </is>
      </c>
      <c r="E3546" s="13" t="inlineStr">
        <is>
          <t>Pulverização Agrícola Conforme Bula</t>
        </is>
      </c>
      <c r="F3546" s="13" t="inlineStr">
        <is>
          <t>Citros (Jato Dirigido)</t>
        </is>
      </c>
      <c r="G3546" s="13" t="inlineStr">
        <is>
          <t>Cultura Autorizada na Bula</t>
        </is>
      </c>
      <c r="H3546" s="13" t="inlineStr">
        <is>
          <t>100 a 300 L/ha</t>
        </is>
      </c>
      <c r="I3546" s="13" t="inlineStr">
        <is>
          <t>20 a 40 L/ha</t>
        </is>
      </c>
      <c r="J3546" s="13" t="inlineStr">
        <is>
          <t>40 dias</t>
        </is>
      </c>
    </row>
    <row r="3547" ht="22" customHeight="1">
      <c r="A3547" s="6" t="inlineStr">
        <is>
          <t>CUL-3543</t>
        </is>
      </c>
      <c r="B3547" s="5" t="n">
        <v>691</v>
      </c>
      <c r="C3547" s="7" t="inlineStr">
        <is>
          <t>Nº 25423</t>
        </is>
      </c>
      <c r="D3547" s="8" t="inlineStr">
        <is>
          <t>GLUFOSINATE 200 SL LIBEN</t>
        </is>
      </c>
      <c r="E3547" s="7" t="inlineStr">
        <is>
          <t>Pulverização Agrícola Conforme Bula</t>
        </is>
      </c>
      <c r="F3547" s="7" t="inlineStr">
        <is>
          <t>Trigo</t>
        </is>
      </c>
      <c r="G3547" s="7" t="inlineStr">
        <is>
          <t>Cultura Autorizada na Bula</t>
        </is>
      </c>
      <c r="H3547" s="7" t="inlineStr">
        <is>
          <t>100 a 300 L/ha</t>
        </is>
      </c>
      <c r="I3547" s="7" t="inlineStr">
        <is>
          <t>20 a 40 L/ha</t>
        </is>
      </c>
      <c r="J3547" s="7" t="inlineStr">
        <is>
          <t>N/D</t>
        </is>
      </c>
    </row>
    <row r="3548" ht="22" customHeight="1">
      <c r="A3548" s="12" t="inlineStr">
        <is>
          <t>CUL-3544</t>
        </is>
      </c>
      <c r="B3548" s="11" t="n">
        <v>692</v>
      </c>
      <c r="C3548" s="13" t="inlineStr">
        <is>
          <t>Nº 34318</t>
        </is>
      </c>
      <c r="D3548" s="14" t="inlineStr">
        <is>
          <t>MAGNUM</t>
        </is>
      </c>
      <c r="E3548" s="13" t="inlineStr">
        <is>
          <t>Pulverização Agrícola Conforme Bula</t>
        </is>
      </c>
      <c r="F3548" s="13" t="inlineStr">
        <is>
          <t>Soja</t>
        </is>
      </c>
      <c r="G3548" s="13" t="inlineStr">
        <is>
          <t>Cultura Autorizada na Bula</t>
        </is>
      </c>
      <c r="H3548" s="13" t="inlineStr">
        <is>
          <t>100 a 300 L/ha</t>
        </is>
      </c>
      <c r="I3548" s="13" t="inlineStr">
        <is>
          <t>20 a 40 L/ha</t>
        </is>
      </c>
      <c r="J3548" s="13" t="inlineStr">
        <is>
          <t>21 dias</t>
        </is>
      </c>
    </row>
    <row r="3549" ht="22" customHeight="1">
      <c r="A3549" s="6" t="inlineStr">
        <is>
          <t>CUL-3545</t>
        </is>
      </c>
      <c r="B3549" s="5" t="n">
        <v>692</v>
      </c>
      <c r="C3549" s="7" t="inlineStr">
        <is>
          <t>Nº 34318</t>
        </is>
      </c>
      <c r="D3549" s="8" t="inlineStr">
        <is>
          <t>MAGNUM</t>
        </is>
      </c>
      <c r="E3549" s="7" t="inlineStr">
        <is>
          <t>Pulverização Agrícola Conforme Bula</t>
        </is>
      </c>
      <c r="F3549" s="7" t="inlineStr">
        <is>
          <t>Algodão</t>
        </is>
      </c>
      <c r="G3549" s="7" t="inlineStr">
        <is>
          <t>Cultura Autorizada na Bula</t>
        </is>
      </c>
      <c r="H3549" s="7" t="inlineStr">
        <is>
          <t>100 a 300 L/ha</t>
        </is>
      </c>
      <c r="I3549" s="7" t="inlineStr">
        <is>
          <t>20 a 40 L/ha</t>
        </is>
      </c>
      <c r="J3549" s="7" t="inlineStr">
        <is>
          <t>21 dias</t>
        </is>
      </c>
    </row>
    <row r="3550" ht="22" customHeight="1">
      <c r="A3550" s="12" t="inlineStr">
        <is>
          <t>CUL-3546</t>
        </is>
      </c>
      <c r="B3550" s="11" t="n">
        <v>692</v>
      </c>
      <c r="C3550" s="13" t="inlineStr">
        <is>
          <t>Nº 34318</t>
        </is>
      </c>
      <c r="D3550" s="14" t="inlineStr">
        <is>
          <t>MAGNUM</t>
        </is>
      </c>
      <c r="E3550" s="13" t="inlineStr">
        <is>
          <t>Pulverização Agrícola Conforme Bula</t>
        </is>
      </c>
      <c r="F3550" s="13" t="inlineStr">
        <is>
          <t>Feijão</t>
        </is>
      </c>
      <c r="G3550" s="13" t="inlineStr">
        <is>
          <t>Cultura Autorizada na Bula</t>
        </is>
      </c>
      <c r="H3550" s="13" t="inlineStr">
        <is>
          <t>100 a 300 L/ha</t>
        </is>
      </c>
      <c r="I3550" s="13" t="inlineStr">
        <is>
          <t>20 a 40 L/ha</t>
        </is>
      </c>
      <c r="J3550" s="13" t="inlineStr">
        <is>
          <t>14 dias</t>
        </is>
      </c>
    </row>
    <row r="3551" ht="22" customHeight="1">
      <c r="A3551" s="6" t="inlineStr">
        <is>
          <t>CUL-3547</t>
        </is>
      </c>
      <c r="B3551" s="5" t="n">
        <v>692</v>
      </c>
      <c r="C3551" s="7" t="inlineStr">
        <is>
          <t>Nº 34318</t>
        </is>
      </c>
      <c r="D3551" s="8" t="inlineStr">
        <is>
          <t>MAGNUM</t>
        </is>
      </c>
      <c r="E3551" s="7" t="inlineStr">
        <is>
          <t>Pulverização Agrícola Conforme Bula</t>
        </is>
      </c>
      <c r="F3551" s="7" t="inlineStr">
        <is>
          <t>Milho</t>
        </is>
      </c>
      <c r="G3551" s="7" t="inlineStr">
        <is>
          <t>Cultura Autorizada na Bula</t>
        </is>
      </c>
      <c r="H3551" s="7" t="inlineStr">
        <is>
          <t>100 a 300 L/ha</t>
        </is>
      </c>
      <c r="I3551" s="7" t="inlineStr">
        <is>
          <t>20 a 40 L/ha</t>
        </is>
      </c>
      <c r="J3551" s="7" t="inlineStr">
        <is>
          <t>21 dias</t>
        </is>
      </c>
    </row>
    <row r="3552" ht="22" customHeight="1">
      <c r="A3552" s="12" t="inlineStr">
        <is>
          <t>CUL-3548</t>
        </is>
      </c>
      <c r="B3552" s="11" t="n">
        <v>693</v>
      </c>
      <c r="C3552" s="13" t="inlineStr">
        <is>
          <t>Nº 9420</t>
        </is>
      </c>
      <c r="D3552" s="14" t="inlineStr">
        <is>
          <t>ENSIS-TURBO 0,200L (IMP) AMOSTRA</t>
        </is>
      </c>
      <c r="E3552" s="13" t="inlineStr">
        <is>
          <t>Pulverização Agrícola Conforme Bula</t>
        </is>
      </c>
      <c r="F3552" s="13" t="inlineStr">
        <is>
          <t>Soja</t>
        </is>
      </c>
      <c r="G3552" s="13" t="inlineStr">
        <is>
          <t>Cultura Autorizada na Bula</t>
        </is>
      </c>
      <c r="H3552" s="13" t="inlineStr">
        <is>
          <t>100 a 300 L/ha</t>
        </is>
      </c>
      <c r="I3552" s="13" t="inlineStr">
        <is>
          <t>20 a 40 L/ha</t>
        </is>
      </c>
      <c r="J3552" s="13" t="inlineStr">
        <is>
          <t>30 dias</t>
        </is>
      </c>
    </row>
    <row r="3553" ht="22" customHeight="1">
      <c r="A3553" s="6" t="inlineStr">
        <is>
          <t>CUL-3549</t>
        </is>
      </c>
      <c r="B3553" s="5" t="n">
        <v>693</v>
      </c>
      <c r="C3553" s="7" t="inlineStr">
        <is>
          <t>Nº 9420</t>
        </is>
      </c>
      <c r="D3553" s="8" t="inlineStr">
        <is>
          <t>ENSIS-TURBO 0,200L (IMP) AMOSTRA</t>
        </is>
      </c>
      <c r="E3553" s="7" t="inlineStr">
        <is>
          <t>Pulverização Agrícola Conforme Bula</t>
        </is>
      </c>
      <c r="F3553" s="7" t="inlineStr">
        <is>
          <t>Milho</t>
        </is>
      </c>
      <c r="G3553" s="7" t="inlineStr">
        <is>
          <t>Cultura Autorizada na Bula</t>
        </is>
      </c>
      <c r="H3553" s="7" t="inlineStr">
        <is>
          <t>100 a 300 L/ha</t>
        </is>
      </c>
      <c r="I3553" s="7" t="inlineStr">
        <is>
          <t>20 a 40 L/ha</t>
        </is>
      </c>
      <c r="J3553" s="7" t="inlineStr">
        <is>
          <t>15 dias</t>
        </is>
      </c>
    </row>
    <row r="3554" ht="22" customHeight="1">
      <c r="A3554" s="12" t="inlineStr">
        <is>
          <t>CUL-3550</t>
        </is>
      </c>
      <c r="B3554" s="11" t="n">
        <v>693</v>
      </c>
      <c r="C3554" s="13" t="inlineStr">
        <is>
          <t>Nº 9420</t>
        </is>
      </c>
      <c r="D3554" s="14" t="inlineStr">
        <is>
          <t>ENSIS-TURBO 0,200L (IMP) AMOSTRA</t>
        </is>
      </c>
      <c r="E3554" s="13" t="inlineStr">
        <is>
          <t>Pulverização Agrícola Conforme Bula</t>
        </is>
      </c>
      <c r="F3554" s="13" t="inlineStr">
        <is>
          <t>Algodão</t>
        </is>
      </c>
      <c r="G3554" s="13" t="inlineStr">
        <is>
          <t>Cultura Autorizada na Bula</t>
        </is>
      </c>
      <c r="H3554" s="13" t="inlineStr">
        <is>
          <t>100 a 300 L/ha</t>
        </is>
      </c>
      <c r="I3554" s="13" t="inlineStr">
        <is>
          <t>20 a 40 L/ha</t>
        </is>
      </c>
      <c r="J3554" s="13" t="inlineStr">
        <is>
          <t>30 dias</t>
        </is>
      </c>
    </row>
    <row r="3555" ht="22" customHeight="1">
      <c r="A3555" s="6" t="inlineStr">
        <is>
          <t>CUL-3551</t>
        </is>
      </c>
      <c r="B3555" s="5" t="n">
        <v>693</v>
      </c>
      <c r="C3555" s="7" t="inlineStr">
        <is>
          <t>Nº 9420</t>
        </is>
      </c>
      <c r="D3555" s="8" t="inlineStr">
        <is>
          <t>ENSIS-TURBO 0,200L (IMP) AMOSTRA</t>
        </is>
      </c>
      <c r="E3555" s="7" t="inlineStr">
        <is>
          <t>Pulverização Agrícola Conforme Bula</t>
        </is>
      </c>
      <c r="F3555" s="7" t="inlineStr">
        <is>
          <t>Trigo</t>
        </is>
      </c>
      <c r="G3555" s="7" t="inlineStr">
        <is>
          <t>Cultura Autorizada na Bula</t>
        </is>
      </c>
      <c r="H3555" s="7" t="inlineStr">
        <is>
          <t>100 a 300 L/ha</t>
        </is>
      </c>
      <c r="I3555" s="7" t="inlineStr">
        <is>
          <t>20 a 40 L/ha</t>
        </is>
      </c>
      <c r="J3555" s="7" t="inlineStr">
        <is>
          <t>35 dias</t>
        </is>
      </c>
    </row>
    <row r="3556" ht="22" customHeight="1">
      <c r="A3556" s="12" t="inlineStr">
        <is>
          <t>CUL-3552</t>
        </is>
      </c>
      <c r="B3556" s="11" t="n">
        <v>693</v>
      </c>
      <c r="C3556" s="13" t="inlineStr">
        <is>
          <t>Nº 9420</t>
        </is>
      </c>
      <c r="D3556" s="14" t="inlineStr">
        <is>
          <t>ENSIS-TURBO 0,200L (IMP) AMOSTRA</t>
        </is>
      </c>
      <c r="E3556" s="13" t="inlineStr">
        <is>
          <t>Pulverização Agrícola Conforme Bula</t>
        </is>
      </c>
      <c r="F3556" s="13" t="inlineStr">
        <is>
          <t>Café</t>
        </is>
      </c>
      <c r="G3556" s="13" t="inlineStr">
        <is>
          <t>Cultura Autorizada na Bula</t>
        </is>
      </c>
      <c r="H3556" s="13" t="inlineStr">
        <is>
          <t>100 a 300 L/ha</t>
        </is>
      </c>
      <c r="I3556" s="13" t="inlineStr">
        <is>
          <t>20 a 40 L/ha</t>
        </is>
      </c>
      <c r="J3556" s="13" t="inlineStr">
        <is>
          <t>30 dias</t>
        </is>
      </c>
    </row>
    <row r="3557" ht="22" customHeight="1">
      <c r="A3557" s="6" t="inlineStr">
        <is>
          <t>CUL-3553</t>
        </is>
      </c>
      <c r="B3557" s="5" t="n">
        <v>693</v>
      </c>
      <c r="C3557" s="7" t="inlineStr">
        <is>
          <t>Nº 9420</t>
        </is>
      </c>
      <c r="D3557" s="8" t="inlineStr">
        <is>
          <t>ENSIS-TURBO 0,200L (IMP) AMOSTRA</t>
        </is>
      </c>
      <c r="E3557" s="7" t="inlineStr">
        <is>
          <t>Pulverização Agrícola Conforme Bula</t>
        </is>
      </c>
      <c r="F3557" s="7" t="inlineStr">
        <is>
          <t>Feijão</t>
        </is>
      </c>
      <c r="G3557" s="7" t="inlineStr">
        <is>
          <t>Cultura Autorizada na Bula</t>
        </is>
      </c>
      <c r="H3557" s="7" t="inlineStr">
        <is>
          <t>100 a 300 L/ha</t>
        </is>
      </c>
      <c r="I3557" s="7" t="inlineStr">
        <is>
          <t>20 a 40 L/ha</t>
        </is>
      </c>
      <c r="J3557" s="7" t="inlineStr">
        <is>
          <t>14 dias</t>
        </is>
      </c>
    </row>
    <row r="3558" ht="22" customHeight="1">
      <c r="A3558" s="12" t="inlineStr">
        <is>
          <t>CUL-3554</t>
        </is>
      </c>
      <c r="B3558" s="11" t="n">
        <v>694</v>
      </c>
      <c r="C3558" s="13" t="inlineStr">
        <is>
          <t>SIPEAGRO (UF-XXXXX)</t>
        </is>
      </c>
      <c r="D3558" s="14" t="inlineStr">
        <is>
          <t>FOSFATO MONOAMONICO 11-52-00 (44% H2O) (VALIDAR)</t>
        </is>
      </c>
      <c r="E3558" s="13" t="inlineStr">
        <is>
          <t>Adubação de Solo / Foliar</t>
        </is>
      </c>
      <c r="F3558" s="13" t="inlineStr">
        <is>
          <t>Soja</t>
        </is>
      </c>
      <c r="G3558" s="13" t="inlineStr">
        <is>
          <t>Cultura Autorizada na Bula</t>
        </is>
      </c>
      <c r="H3558" s="13" t="inlineStr">
        <is>
          <t>100 a 300 L/ha</t>
        </is>
      </c>
      <c r="I3558" s="13" t="inlineStr">
        <is>
          <t>20 a 40 L/ha</t>
        </is>
      </c>
      <c r="J3558" s="13" t="inlineStr">
        <is>
          <t>Isento</t>
        </is>
      </c>
    </row>
    <row r="3559" ht="22" customHeight="1">
      <c r="A3559" s="6" t="inlineStr">
        <is>
          <t>CUL-3555</t>
        </is>
      </c>
      <c r="B3559" s="5" t="n">
        <v>694</v>
      </c>
      <c r="C3559" s="7" t="inlineStr">
        <is>
          <t>SIPEAGRO (UF-XXXXX)</t>
        </is>
      </c>
      <c r="D3559" s="8" t="inlineStr">
        <is>
          <t>FOSFATO MONOAMONICO 11-52-00 (44% H2O) (VALIDAR)</t>
        </is>
      </c>
      <c r="E3559" s="7" t="inlineStr">
        <is>
          <t>Adubação de Solo / Foliar</t>
        </is>
      </c>
      <c r="F3559" s="7" t="inlineStr">
        <is>
          <t>Milho</t>
        </is>
      </c>
      <c r="G3559" s="7" t="inlineStr">
        <is>
          <t>Cultura Autorizada na Bula</t>
        </is>
      </c>
      <c r="H3559" s="7" t="inlineStr">
        <is>
          <t>100 a 300 L/ha</t>
        </is>
      </c>
      <c r="I3559" s="7" t="inlineStr">
        <is>
          <t>20 a 40 L/ha</t>
        </is>
      </c>
      <c r="J3559" s="7" t="inlineStr">
        <is>
          <t>Isento</t>
        </is>
      </c>
    </row>
    <row r="3560" ht="22" customHeight="1">
      <c r="A3560" s="12" t="inlineStr">
        <is>
          <t>CUL-3556</t>
        </is>
      </c>
      <c r="B3560" s="11" t="n">
        <v>694</v>
      </c>
      <c r="C3560" s="13" t="inlineStr">
        <is>
          <t>SIPEAGRO (UF-XXXXX)</t>
        </is>
      </c>
      <c r="D3560" s="14" t="inlineStr">
        <is>
          <t>FOSFATO MONOAMONICO 11-52-00 (44% H2O) (VALIDAR)</t>
        </is>
      </c>
      <c r="E3560" s="13" t="inlineStr">
        <is>
          <t>Adubação de Solo / Foliar</t>
        </is>
      </c>
      <c r="F3560" s="13" t="inlineStr">
        <is>
          <t>Algodão</t>
        </is>
      </c>
      <c r="G3560" s="13" t="inlineStr">
        <is>
          <t>Cultura Autorizada na Bula</t>
        </is>
      </c>
      <c r="H3560" s="13" t="inlineStr">
        <is>
          <t>100 a 300 L/ha</t>
        </is>
      </c>
      <c r="I3560" s="13" t="inlineStr">
        <is>
          <t>20 a 40 L/ha</t>
        </is>
      </c>
      <c r="J3560" s="13" t="inlineStr">
        <is>
          <t>Isento</t>
        </is>
      </c>
    </row>
    <row r="3561" ht="22" customHeight="1">
      <c r="A3561" s="6" t="inlineStr">
        <is>
          <t>CUL-3557</t>
        </is>
      </c>
      <c r="B3561" s="5" t="n">
        <v>694</v>
      </c>
      <c r="C3561" s="7" t="inlineStr">
        <is>
          <t>SIPEAGRO (UF-XXXXX)</t>
        </is>
      </c>
      <c r="D3561" s="8" t="inlineStr">
        <is>
          <t>FOSFATO MONOAMONICO 11-52-00 (44% H2O) (VALIDAR)</t>
        </is>
      </c>
      <c r="E3561" s="7" t="inlineStr">
        <is>
          <t>Adubação de Solo / Foliar</t>
        </is>
      </c>
      <c r="F3561" s="7" t="inlineStr">
        <is>
          <t>Cana-de-açúcar</t>
        </is>
      </c>
      <c r="G3561" s="7" t="inlineStr">
        <is>
          <t>Cultura Autorizada na Bula</t>
        </is>
      </c>
      <c r="H3561" s="7" t="inlineStr">
        <is>
          <t>100 a 300 L/ha</t>
        </is>
      </c>
      <c r="I3561" s="7" t="inlineStr">
        <is>
          <t>20 a 40 L/ha</t>
        </is>
      </c>
      <c r="J3561" s="7" t="inlineStr">
        <is>
          <t>Isento</t>
        </is>
      </c>
    </row>
    <row r="3562" ht="22" customHeight="1">
      <c r="A3562" s="12" t="inlineStr">
        <is>
          <t>CUL-3558</t>
        </is>
      </c>
      <c r="B3562" s="11" t="n">
        <v>694</v>
      </c>
      <c r="C3562" s="13" t="inlineStr">
        <is>
          <t>SIPEAGRO (UF-XXXXX)</t>
        </is>
      </c>
      <c r="D3562" s="14" t="inlineStr">
        <is>
          <t>FOSFATO MONOAMONICO 11-52-00 (44% H2O) (VALIDAR)</t>
        </is>
      </c>
      <c r="E3562" s="13" t="inlineStr">
        <is>
          <t>Adubação de Solo / Foliar</t>
        </is>
      </c>
      <c r="F3562" s="13" t="inlineStr">
        <is>
          <t>Café</t>
        </is>
      </c>
      <c r="G3562" s="13" t="inlineStr">
        <is>
          <t>Cultura Autorizada na Bula</t>
        </is>
      </c>
      <c r="H3562" s="13" t="inlineStr">
        <is>
          <t>100 a 300 L/ha</t>
        </is>
      </c>
      <c r="I3562" s="13" t="inlineStr">
        <is>
          <t>20 a 40 L/ha</t>
        </is>
      </c>
      <c r="J3562" s="13" t="inlineStr">
        <is>
          <t>Isento</t>
        </is>
      </c>
    </row>
    <row r="3563" ht="22" customHeight="1">
      <c r="A3563" s="6" t="inlineStr">
        <is>
          <t>CUL-3559</t>
        </is>
      </c>
      <c r="B3563" s="5" t="n">
        <v>695</v>
      </c>
      <c r="C3563" s="7" t="inlineStr">
        <is>
          <t>Nº 14421</t>
        </is>
      </c>
      <c r="D3563" s="8" t="inlineStr">
        <is>
          <t>FIPRONIL 250 FS ( PRINCIPIO ATIVO)</t>
        </is>
      </c>
      <c r="E3563" s="7" t="inlineStr">
        <is>
          <t>Uso Exclusivamente Industrial (Formulação)</t>
        </is>
      </c>
      <c r="F3563" s="7" t="inlineStr">
        <is>
          <t>Não Aplicável (Proibido uso direto na lavoura)</t>
        </is>
      </c>
      <c r="G3563" s="7" t="inlineStr">
        <is>
          <t>Insumo Industrial</t>
        </is>
      </c>
      <c r="H3563" s="7" t="inlineStr">
        <is>
          <t>N/A</t>
        </is>
      </c>
      <c r="I3563" s="7" t="inlineStr">
        <is>
          <t>N/A</t>
        </is>
      </c>
      <c r="J3563" s="7" t="inlineStr">
        <is>
          <t>N/A (Insumo Industrial)</t>
        </is>
      </c>
    </row>
    <row r="3564" ht="22" customHeight="1">
      <c r="A3564" s="12" t="inlineStr">
        <is>
          <t>CUL-3560</t>
        </is>
      </c>
      <c r="B3564" s="11" t="n">
        <v>696</v>
      </c>
      <c r="C3564" s="13" t="inlineStr">
        <is>
          <t>Nº 14623</t>
        </is>
      </c>
      <c r="D3564" s="14" t="inlineStr">
        <is>
          <t>METSULFUROM - METILICO (PRINCIPIO ATIVO)</t>
        </is>
      </c>
      <c r="E3564" s="13" t="inlineStr">
        <is>
          <t>Uso Exclusivamente Industrial (Formulação)</t>
        </is>
      </c>
      <c r="F3564" s="13" t="inlineStr">
        <is>
          <t>Não Aplicável (Proibido uso direto na lavoura)</t>
        </is>
      </c>
      <c r="G3564" s="13" t="inlineStr">
        <is>
          <t>Insumo Industrial</t>
        </is>
      </c>
      <c r="H3564" s="13" t="inlineStr">
        <is>
          <t>N/A</t>
        </is>
      </c>
      <c r="I3564" s="13" t="inlineStr">
        <is>
          <t>N/A</t>
        </is>
      </c>
      <c r="J3564" s="13" t="inlineStr">
        <is>
          <t>N/A (Insumo Industrial)</t>
        </is>
      </c>
    </row>
    <row r="3565" ht="22" customHeight="1">
      <c r="A3565" s="6" t="inlineStr">
        <is>
          <t>CUL-3561</t>
        </is>
      </c>
      <c r="B3565" s="5" t="n">
        <v>697</v>
      </c>
      <c r="C3565" s="7" t="inlineStr">
        <is>
          <t>Nº 34725</t>
        </is>
      </c>
      <c r="D3565" s="8" t="inlineStr">
        <is>
          <t>PROTIOCONAZOLE175+TRIFLOXYSTROBIN150 (PRINC ATIVO)</t>
        </is>
      </c>
      <c r="E3565" s="7" t="inlineStr">
        <is>
          <t>Uso Exclusivamente Industrial (Formulação)</t>
        </is>
      </c>
      <c r="F3565" s="7" t="inlineStr">
        <is>
          <t>Não Aplicável (Proibido uso direto na lavoura)</t>
        </is>
      </c>
      <c r="G3565" s="7" t="inlineStr">
        <is>
          <t>Insumo Industrial</t>
        </is>
      </c>
      <c r="H3565" s="7" t="inlineStr">
        <is>
          <t>N/A</t>
        </is>
      </c>
      <c r="I3565" s="7" t="inlineStr">
        <is>
          <t>N/A</t>
        </is>
      </c>
      <c r="J3565" s="7" t="inlineStr">
        <is>
          <t>N/A (Insumo Industrial)</t>
        </is>
      </c>
    </row>
    <row r="3566" ht="22" customHeight="1">
      <c r="A3566" s="12" t="inlineStr">
        <is>
          <t>CUL-3562</t>
        </is>
      </c>
      <c r="B3566" s="11" t="n">
        <v>698</v>
      </c>
      <c r="C3566" s="13" t="inlineStr">
        <is>
          <t>Nº 1838604</t>
        </is>
      </c>
      <c r="D3566" s="14" t="inlineStr">
        <is>
          <t>OXIFLUORFEM 240 (PRINCIPIO ATIVO)</t>
        </is>
      </c>
      <c r="E3566" s="13" t="inlineStr">
        <is>
          <t>Uso Exclusivamente Industrial (Formulação)</t>
        </is>
      </c>
      <c r="F3566" s="13" t="inlineStr">
        <is>
          <t>Não Aplicável (Proibido uso direto na lavoura)</t>
        </is>
      </c>
      <c r="G3566" s="13" t="inlineStr">
        <is>
          <t>Insumo Industrial</t>
        </is>
      </c>
      <c r="H3566" s="13" t="inlineStr">
        <is>
          <t>N/A</t>
        </is>
      </c>
      <c r="I3566" s="13" t="inlineStr">
        <is>
          <t>N/A</t>
        </is>
      </c>
      <c r="J3566" s="13" t="inlineStr">
        <is>
          <t>N/A (Insumo Industrial)</t>
        </is>
      </c>
    </row>
    <row r="3567" ht="22" customHeight="1">
      <c r="A3567" s="6" t="inlineStr">
        <is>
          <t>CUL-3563</t>
        </is>
      </c>
      <c r="B3567" s="5" t="n">
        <v>699</v>
      </c>
      <c r="C3567" s="7" t="inlineStr">
        <is>
          <t>Nº 40024</t>
        </is>
      </c>
      <c r="D3567" s="8" t="inlineStr">
        <is>
          <t>CYPROCONAZOLE80+PICOXYSTROBIN200 (PRINCIPIO ATIVO)</t>
        </is>
      </c>
      <c r="E3567" s="7" t="inlineStr">
        <is>
          <t>Uso Exclusivamente Industrial (Formulação)</t>
        </is>
      </c>
      <c r="F3567" s="7" t="inlineStr">
        <is>
          <t>Não Aplicável (Proibido uso direto na lavoura)</t>
        </is>
      </c>
      <c r="G3567" s="7" t="inlineStr">
        <is>
          <t>Insumo Industrial</t>
        </is>
      </c>
      <c r="H3567" s="7" t="inlineStr">
        <is>
          <t>N/A</t>
        </is>
      </c>
      <c r="I3567" s="7" t="inlineStr">
        <is>
          <t>N/A</t>
        </is>
      </c>
      <c r="J3567" s="7" t="inlineStr">
        <is>
          <t>N/A (Insumo Industrial)</t>
        </is>
      </c>
    </row>
    <row r="3568" ht="22" customHeight="1">
      <c r="A3568" s="12" t="inlineStr">
        <is>
          <t>CUL-3564</t>
        </is>
      </c>
      <c r="B3568" s="11" t="n">
        <v>700</v>
      </c>
      <c r="C3568" s="13" t="inlineStr">
        <is>
          <t>Nº 14623</t>
        </is>
      </c>
      <c r="D3568" s="14" t="inlineStr">
        <is>
          <t>METSULFUROM 600 (PRINCIPIO ATIVO)</t>
        </is>
      </c>
      <c r="E3568" s="13" t="inlineStr">
        <is>
          <t>Uso Exclusivamente Industrial (Formulação)</t>
        </is>
      </c>
      <c r="F3568" s="13" t="inlineStr">
        <is>
          <t>Não Aplicável (Proibido uso direto na lavoura)</t>
        </is>
      </c>
      <c r="G3568" s="13" t="inlineStr">
        <is>
          <t>Insumo Industrial</t>
        </is>
      </c>
      <c r="H3568" s="13" t="inlineStr">
        <is>
          <t>N/A</t>
        </is>
      </c>
      <c r="I3568" s="13" t="inlineStr">
        <is>
          <t>N/A</t>
        </is>
      </c>
      <c r="J3568" s="13" t="inlineStr">
        <is>
          <t>N/A (Insumo Industrial)</t>
        </is>
      </c>
    </row>
    <row r="3569" ht="22" customHeight="1">
      <c r="A3569" s="6" t="inlineStr">
        <is>
          <t>CUL-3565</t>
        </is>
      </c>
      <c r="B3569" s="5" t="n">
        <v>701</v>
      </c>
      <c r="C3569" s="7" t="inlineStr">
        <is>
          <t>Nº 24925</t>
        </is>
      </c>
      <c r="D3569" s="8" t="inlineStr">
        <is>
          <t>ATOL TRIO (METOLACHLOR+ATRAZINE+MESOTRIONE) (P. A)</t>
        </is>
      </c>
      <c r="E3569" s="7" t="inlineStr">
        <is>
          <t>Uso Exclusivamente Industrial (Formulação)</t>
        </is>
      </c>
      <c r="F3569" s="7" t="inlineStr">
        <is>
          <t>Não Aplicável (Proibido uso direto na lavoura)</t>
        </is>
      </c>
      <c r="G3569" s="7" t="inlineStr">
        <is>
          <t>Insumo Industrial</t>
        </is>
      </c>
      <c r="H3569" s="7" t="inlineStr">
        <is>
          <t>N/A</t>
        </is>
      </c>
      <c r="I3569" s="7" t="inlineStr">
        <is>
          <t>N/A</t>
        </is>
      </c>
      <c r="J3569" s="7" t="inlineStr">
        <is>
          <t>N/A (Insumo Industrial)</t>
        </is>
      </c>
    </row>
    <row r="3570" ht="22" customHeight="1">
      <c r="A3570" s="12" t="inlineStr">
        <is>
          <t>CUL-3566</t>
        </is>
      </c>
      <c r="B3570" s="11" t="n">
        <v>702</v>
      </c>
      <c r="C3570" s="13" t="inlineStr">
        <is>
          <t>Nº 4810</t>
        </is>
      </c>
      <c r="D3570" s="14" t="inlineStr">
        <is>
          <t>CERTEZA N</t>
        </is>
      </c>
      <c r="E3570" s="13" t="inlineStr">
        <is>
          <t>Pulverização Agrícola Conforme Bula</t>
        </is>
      </c>
      <c r="F3570" s="13" t="inlineStr">
        <is>
          <t>Soja</t>
        </is>
      </c>
      <c r="G3570" s="13" t="inlineStr">
        <is>
          <t>Cultura Autorizada na Bula</t>
        </is>
      </c>
      <c r="H3570" s="13" t="inlineStr">
        <is>
          <t>100 a 300 L/ha</t>
        </is>
      </c>
      <c r="I3570" s="13" t="inlineStr">
        <is>
          <t>20 a 40 L/ha</t>
        </is>
      </c>
      <c r="J3570" s="13" t="inlineStr">
        <is>
          <t>28 dias</t>
        </is>
      </c>
    </row>
    <row r="3571" ht="22" customHeight="1">
      <c r="A3571" s="6" t="inlineStr">
        <is>
          <t>CUL-3567</t>
        </is>
      </c>
      <c r="B3571" s="5" t="n">
        <v>702</v>
      </c>
      <c r="C3571" s="7" t="inlineStr">
        <is>
          <t>Nº 4810</t>
        </is>
      </c>
      <c r="D3571" s="8" t="inlineStr">
        <is>
          <t>CERTEZA N</t>
        </is>
      </c>
      <c r="E3571" s="7" t="inlineStr">
        <is>
          <t>Pulverização Agrícola Conforme Bula</t>
        </is>
      </c>
      <c r="F3571" s="7" t="inlineStr">
        <is>
          <t>Feijão</t>
        </is>
      </c>
      <c r="G3571" s="7" t="inlineStr">
        <is>
          <t>Cultura Autorizada na Bula</t>
        </is>
      </c>
      <c r="H3571" s="7" t="inlineStr">
        <is>
          <t>100 a 300 L/ha</t>
        </is>
      </c>
      <c r="I3571" s="7" t="inlineStr">
        <is>
          <t>20 a 40 L/ha</t>
        </is>
      </c>
      <c r="J3571" s="7" t="inlineStr">
        <is>
          <t>14 dias</t>
        </is>
      </c>
    </row>
    <row r="3572" ht="22" customHeight="1">
      <c r="A3572" s="12" t="inlineStr">
        <is>
          <t>CUL-3568</t>
        </is>
      </c>
      <c r="B3572" s="11" t="n">
        <v>702</v>
      </c>
      <c r="C3572" s="13" t="inlineStr">
        <is>
          <t>Nº 4810</t>
        </is>
      </c>
      <c r="D3572" s="14" t="inlineStr">
        <is>
          <t>CERTEZA N</t>
        </is>
      </c>
      <c r="E3572" s="13" t="inlineStr">
        <is>
          <t>Pulverização Agrícola Conforme Bula</t>
        </is>
      </c>
      <c r="F3572" s="13" t="inlineStr">
        <is>
          <t>Algodão</t>
        </is>
      </c>
      <c r="G3572" s="13" t="inlineStr">
        <is>
          <t>Cultura Autorizada na Bula</t>
        </is>
      </c>
      <c r="H3572" s="13" t="inlineStr">
        <is>
          <t>100 a 300 L/ha</t>
        </is>
      </c>
      <c r="I3572" s="13" t="inlineStr">
        <is>
          <t>20 a 40 L/ha</t>
        </is>
      </c>
      <c r="J3572" s="13" t="inlineStr">
        <is>
          <t>28 dias</t>
        </is>
      </c>
    </row>
    <row r="3573" ht="22" customHeight="1">
      <c r="A3573" s="6" t="inlineStr">
        <is>
          <t>CUL-3569</t>
        </is>
      </c>
      <c r="B3573" s="5" t="n">
        <v>702</v>
      </c>
      <c r="C3573" s="7" t="inlineStr">
        <is>
          <t>Nº 4810</t>
        </is>
      </c>
      <c r="D3573" s="8" t="inlineStr">
        <is>
          <t>CERTEZA N</t>
        </is>
      </c>
      <c r="E3573" s="7" t="inlineStr">
        <is>
          <t>Pulverização Agrícola Conforme Bula</t>
        </is>
      </c>
      <c r="F3573" s="7" t="inlineStr">
        <is>
          <t>Citros</t>
        </is>
      </c>
      <c r="G3573" s="7" t="inlineStr">
        <is>
          <t>Cultura Autorizada na Bula</t>
        </is>
      </c>
      <c r="H3573" s="7" t="inlineStr">
        <is>
          <t>100 a 300 L/ha</t>
        </is>
      </c>
      <c r="I3573" s="7" t="inlineStr">
        <is>
          <t>20 a 40 L/ha</t>
        </is>
      </c>
      <c r="J3573" s="7" t="inlineStr">
        <is>
          <t>14 dias</t>
        </is>
      </c>
    </row>
    <row r="3574" ht="22" customHeight="1">
      <c r="A3574" s="12" t="inlineStr">
        <is>
          <t>CUL-3570</t>
        </is>
      </c>
      <c r="B3574" s="11" t="n">
        <v>702</v>
      </c>
      <c r="C3574" s="13" t="inlineStr">
        <is>
          <t>Nº 4810</t>
        </is>
      </c>
      <c r="D3574" s="14" t="inlineStr">
        <is>
          <t>CERTEZA N</t>
        </is>
      </c>
      <c r="E3574" s="13" t="inlineStr">
        <is>
          <t>Pulverização Agrícola Conforme Bula</t>
        </is>
      </c>
      <c r="F3574" s="13" t="inlineStr">
        <is>
          <t>Café</t>
        </is>
      </c>
      <c r="G3574" s="13" t="inlineStr">
        <is>
          <t>Cultura Autorizada na Bula</t>
        </is>
      </c>
      <c r="H3574" s="13" t="inlineStr">
        <is>
          <t>100 a 300 L/ha</t>
        </is>
      </c>
      <c r="I3574" s="13" t="inlineStr">
        <is>
          <t>20 a 40 L/ha</t>
        </is>
      </c>
      <c r="J3574" s="13" t="inlineStr">
        <is>
          <t>21 dias</t>
        </is>
      </c>
    </row>
    <row r="3575" ht="22" customHeight="1">
      <c r="A3575" s="6" t="inlineStr">
        <is>
          <t>CUL-3571</t>
        </is>
      </c>
      <c r="B3575" s="5" t="n">
        <v>702</v>
      </c>
      <c r="C3575" s="7" t="inlineStr">
        <is>
          <t>Nº 4810</t>
        </is>
      </c>
      <c r="D3575" s="8" t="inlineStr">
        <is>
          <t>CERTEZA N</t>
        </is>
      </c>
      <c r="E3575" s="7" t="inlineStr">
        <is>
          <t>Pulverização Agrícola Conforme Bula</t>
        </is>
      </c>
      <c r="F3575" s="7" t="inlineStr">
        <is>
          <t>Trigo</t>
        </is>
      </c>
      <c r="G3575" s="7" t="inlineStr">
        <is>
          <t>Cultura Autorizada na Bula</t>
        </is>
      </c>
      <c r="H3575" s="7" t="inlineStr">
        <is>
          <t>100 a 300 L/ha</t>
        </is>
      </c>
      <c r="I3575" s="7" t="inlineStr">
        <is>
          <t>20 a 40 L/ha</t>
        </is>
      </c>
      <c r="J3575" s="7" t="inlineStr">
        <is>
          <t>35 dias</t>
        </is>
      </c>
    </row>
    <row r="3576" ht="22" customHeight="1">
      <c r="A3576" s="12" t="inlineStr">
        <is>
          <t>CUL-3572</t>
        </is>
      </c>
      <c r="B3576" s="11" t="n">
        <v>703</v>
      </c>
      <c r="C3576" s="13" t="inlineStr">
        <is>
          <t>Nº 4810</t>
        </is>
      </c>
      <c r="D3576" s="14" t="inlineStr">
        <is>
          <t>CERTEZA N</t>
        </is>
      </c>
      <c r="E3576" s="13" t="inlineStr">
        <is>
          <t>Pulverização Agrícola Conforme Bula</t>
        </is>
      </c>
      <c r="F3576" s="13" t="inlineStr">
        <is>
          <t>Soja</t>
        </is>
      </c>
      <c r="G3576" s="13" t="inlineStr">
        <is>
          <t>Cultura Autorizada na Bula</t>
        </is>
      </c>
      <c r="H3576" s="13" t="inlineStr">
        <is>
          <t>100 a 300 L/ha</t>
        </is>
      </c>
      <c r="I3576" s="13" t="inlineStr">
        <is>
          <t>20 a 40 L/ha</t>
        </is>
      </c>
      <c r="J3576" s="13" t="inlineStr">
        <is>
          <t>28 dias</t>
        </is>
      </c>
    </row>
    <row r="3577" ht="22" customHeight="1">
      <c r="A3577" s="6" t="inlineStr">
        <is>
          <t>CUL-3573</t>
        </is>
      </c>
      <c r="B3577" s="5" t="n">
        <v>703</v>
      </c>
      <c r="C3577" s="7" t="inlineStr">
        <is>
          <t>Nº 4810</t>
        </is>
      </c>
      <c r="D3577" s="8" t="inlineStr">
        <is>
          <t>CERTEZA N</t>
        </is>
      </c>
      <c r="E3577" s="7" t="inlineStr">
        <is>
          <t>Pulverização Agrícola Conforme Bula</t>
        </is>
      </c>
      <c r="F3577" s="7" t="inlineStr">
        <is>
          <t>Feijão</t>
        </is>
      </c>
      <c r="G3577" s="7" t="inlineStr">
        <is>
          <t>Cultura Autorizada na Bula</t>
        </is>
      </c>
      <c r="H3577" s="7" t="inlineStr">
        <is>
          <t>100 a 300 L/ha</t>
        </is>
      </c>
      <c r="I3577" s="7" t="inlineStr">
        <is>
          <t>20 a 40 L/ha</t>
        </is>
      </c>
      <c r="J3577" s="7" t="inlineStr">
        <is>
          <t>14 dias</t>
        </is>
      </c>
    </row>
    <row r="3578" ht="22" customHeight="1">
      <c r="A3578" s="12" t="inlineStr">
        <is>
          <t>CUL-3574</t>
        </is>
      </c>
      <c r="B3578" s="11" t="n">
        <v>703</v>
      </c>
      <c r="C3578" s="13" t="inlineStr">
        <is>
          <t>Nº 4810</t>
        </is>
      </c>
      <c r="D3578" s="14" t="inlineStr">
        <is>
          <t>CERTEZA N</t>
        </is>
      </c>
      <c r="E3578" s="13" t="inlineStr">
        <is>
          <t>Pulverização Agrícola Conforme Bula</t>
        </is>
      </c>
      <c r="F3578" s="13" t="inlineStr">
        <is>
          <t>Algodão</t>
        </is>
      </c>
      <c r="G3578" s="13" t="inlineStr">
        <is>
          <t>Cultura Autorizada na Bula</t>
        </is>
      </c>
      <c r="H3578" s="13" t="inlineStr">
        <is>
          <t>100 a 300 L/ha</t>
        </is>
      </c>
      <c r="I3578" s="13" t="inlineStr">
        <is>
          <t>20 a 40 L/ha</t>
        </is>
      </c>
      <c r="J3578" s="13" t="inlineStr">
        <is>
          <t>28 dias</t>
        </is>
      </c>
    </row>
    <row r="3579" ht="22" customHeight="1">
      <c r="A3579" s="6" t="inlineStr">
        <is>
          <t>CUL-3575</t>
        </is>
      </c>
      <c r="B3579" s="5" t="n">
        <v>703</v>
      </c>
      <c r="C3579" s="7" t="inlineStr">
        <is>
          <t>Nº 4810</t>
        </is>
      </c>
      <c r="D3579" s="8" t="inlineStr">
        <is>
          <t>CERTEZA N</t>
        </is>
      </c>
      <c r="E3579" s="7" t="inlineStr">
        <is>
          <t>Pulverização Agrícola Conforme Bula</t>
        </is>
      </c>
      <c r="F3579" s="7" t="inlineStr">
        <is>
          <t>Citros</t>
        </is>
      </c>
      <c r="G3579" s="7" t="inlineStr">
        <is>
          <t>Cultura Autorizada na Bula</t>
        </is>
      </c>
      <c r="H3579" s="7" t="inlineStr">
        <is>
          <t>100 a 300 L/ha</t>
        </is>
      </c>
      <c r="I3579" s="7" t="inlineStr">
        <is>
          <t>20 a 40 L/ha</t>
        </is>
      </c>
      <c r="J3579" s="7" t="inlineStr">
        <is>
          <t>14 dias</t>
        </is>
      </c>
    </row>
    <row r="3580" ht="22" customHeight="1">
      <c r="A3580" s="12" t="inlineStr">
        <is>
          <t>CUL-3576</t>
        </is>
      </c>
      <c r="B3580" s="11" t="n">
        <v>703</v>
      </c>
      <c r="C3580" s="13" t="inlineStr">
        <is>
          <t>Nº 4810</t>
        </is>
      </c>
      <c r="D3580" s="14" t="inlineStr">
        <is>
          <t>CERTEZA N</t>
        </is>
      </c>
      <c r="E3580" s="13" t="inlineStr">
        <is>
          <t>Pulverização Agrícola Conforme Bula</t>
        </is>
      </c>
      <c r="F3580" s="13" t="inlineStr">
        <is>
          <t>Café</t>
        </is>
      </c>
      <c r="G3580" s="13" t="inlineStr">
        <is>
          <t>Cultura Autorizada na Bula</t>
        </is>
      </c>
      <c r="H3580" s="13" t="inlineStr">
        <is>
          <t>100 a 300 L/ha</t>
        </is>
      </c>
      <c r="I3580" s="13" t="inlineStr">
        <is>
          <t>20 a 40 L/ha</t>
        </is>
      </c>
      <c r="J3580" s="13" t="inlineStr">
        <is>
          <t>21 dias</t>
        </is>
      </c>
    </row>
    <row r="3581" ht="22" customHeight="1">
      <c r="A3581" s="6" t="inlineStr">
        <is>
          <t>CUL-3577</t>
        </is>
      </c>
      <c r="B3581" s="5" t="n">
        <v>703</v>
      </c>
      <c r="C3581" s="7" t="inlineStr">
        <is>
          <t>Nº 4810</t>
        </is>
      </c>
      <c r="D3581" s="8" t="inlineStr">
        <is>
          <t>CERTEZA N</t>
        </is>
      </c>
      <c r="E3581" s="7" t="inlineStr">
        <is>
          <t>Pulverização Agrícola Conforme Bula</t>
        </is>
      </c>
      <c r="F3581" s="7" t="inlineStr">
        <is>
          <t>Trigo</t>
        </is>
      </c>
      <c r="G3581" s="7" t="inlineStr">
        <is>
          <t>Cultura Autorizada na Bula</t>
        </is>
      </c>
      <c r="H3581" s="7" t="inlineStr">
        <is>
          <t>100 a 300 L/ha</t>
        </is>
      </c>
      <c r="I3581" s="7" t="inlineStr">
        <is>
          <t>20 a 40 L/ha</t>
        </is>
      </c>
      <c r="J3581" s="7" t="inlineStr">
        <is>
          <t>35 dias</t>
        </is>
      </c>
    </row>
    <row r="3582" ht="22" customHeight="1">
      <c r="A3582" s="12" t="inlineStr">
        <is>
          <t>CUL-3578</t>
        </is>
      </c>
      <c r="B3582" s="11" t="n">
        <v>704</v>
      </c>
      <c r="C3582" s="13" t="inlineStr">
        <is>
          <t>SIPEAGRO (UF-XXXXX)</t>
        </is>
      </c>
      <c r="D3582" s="14" t="inlineStr">
        <is>
          <t>ENXOFRE BENTONITA - BG 1.097 KG - CAMPO RICO</t>
        </is>
      </c>
      <c r="E3582" s="13" t="inlineStr">
        <is>
          <t>Pulverização Agrícola Conforme Bula</t>
        </is>
      </c>
      <c r="F3582" s="13" t="inlineStr">
        <is>
          <t>Grandes Culturas, Perenes e Pastagens</t>
        </is>
      </c>
      <c r="G3582" s="13" t="inlineStr">
        <is>
          <t>Cultura Autorizada na Bula</t>
        </is>
      </c>
      <c r="H3582" s="13" t="inlineStr">
        <is>
          <t>100 a 300 L/ha</t>
        </is>
      </c>
      <c r="I3582" s="13" t="inlineStr">
        <is>
          <t>20 a 40 L/ha</t>
        </is>
      </c>
      <c r="J3582" s="13" t="inlineStr">
        <is>
          <t>Isento</t>
        </is>
      </c>
    </row>
    <row r="3583" ht="22" customHeight="1">
      <c r="A3583" s="6" t="inlineStr">
        <is>
          <t>CUL-3579</t>
        </is>
      </c>
      <c r="B3583" s="5" t="n">
        <v>705</v>
      </c>
      <c r="C3583" s="7" t="inlineStr">
        <is>
          <t>Nº 27025</t>
        </is>
      </c>
      <c r="D3583" s="8" t="inlineStr">
        <is>
          <t>FLUMIOXAZINA 100 + IMAZETAPIR 200 (PRINC. ATIVO)</t>
        </is>
      </c>
      <c r="E3583" s="7" t="inlineStr">
        <is>
          <t>Uso Exclusivamente Industrial (Formulação)</t>
        </is>
      </c>
      <c r="F3583" s="7" t="inlineStr">
        <is>
          <t>Não Aplicável (Proibido uso direto na lavoura)</t>
        </is>
      </c>
      <c r="G3583" s="7" t="inlineStr">
        <is>
          <t>Insumo Industrial</t>
        </is>
      </c>
      <c r="H3583" s="7" t="inlineStr">
        <is>
          <t>N/A</t>
        </is>
      </c>
      <c r="I3583" s="7" t="inlineStr">
        <is>
          <t>N/A</t>
        </is>
      </c>
      <c r="J3583" s="7" t="inlineStr">
        <is>
          <t>N/A (Insumo Industrial)</t>
        </is>
      </c>
    </row>
    <row r="3584" ht="22" customHeight="1">
      <c r="A3584" s="12" t="inlineStr">
        <is>
          <t>CUL-3580</t>
        </is>
      </c>
      <c r="B3584" s="11" t="n">
        <v>706</v>
      </c>
      <c r="C3584" s="13" t="inlineStr">
        <is>
          <t>VINCULAR MARCA</t>
        </is>
      </c>
      <c r="D3584" s="14" t="inlineStr">
        <is>
          <t>PIRIPROXIFEM 100 + LUFENUROM 30 (PRINC. ATIVO)</t>
        </is>
      </c>
      <c r="E3584" s="13" t="inlineStr">
        <is>
          <t>Uso Exclusivamente Industrial (Formulação)</t>
        </is>
      </c>
      <c r="F3584" s="13" t="inlineStr">
        <is>
          <t>Não Aplicável (Proibido uso direto na lavoura)</t>
        </is>
      </c>
      <c r="G3584" s="13" t="inlineStr">
        <is>
          <t>Insumo Industrial</t>
        </is>
      </c>
      <c r="H3584" s="13" t="inlineStr">
        <is>
          <t>N/A</t>
        </is>
      </c>
      <c r="I3584" s="13" t="inlineStr">
        <is>
          <t>N/A</t>
        </is>
      </c>
      <c r="J3584" s="13" t="inlineStr">
        <is>
          <t>N/A (Insumo Industrial)</t>
        </is>
      </c>
    </row>
    <row r="3585" ht="22" customHeight="1">
      <c r="A3585" s="6" t="inlineStr">
        <is>
          <t>CUL-3581</t>
        </is>
      </c>
      <c r="B3585" s="5" t="n">
        <v>707</v>
      </c>
      <c r="C3585" s="7" t="inlineStr">
        <is>
          <t>Nº 32518</t>
        </is>
      </c>
      <c r="D3585" s="8" t="inlineStr">
        <is>
          <t>ACETAMIPRIDO 186 + PIRIPROXIFEM 124 (PRINC. ATIVO)</t>
        </is>
      </c>
      <c r="E3585" s="7" t="inlineStr">
        <is>
          <t>Uso Exclusivamente Industrial (Formulação)</t>
        </is>
      </c>
      <c r="F3585" s="7" t="inlineStr">
        <is>
          <t>Não Aplicável (Proibido uso direto na lavoura)</t>
        </is>
      </c>
      <c r="G3585" s="7" t="inlineStr">
        <is>
          <t>Insumo Industrial</t>
        </is>
      </c>
      <c r="H3585" s="7" t="inlineStr">
        <is>
          <t>N/A</t>
        </is>
      </c>
      <c r="I3585" s="7" t="inlineStr">
        <is>
          <t>N/A</t>
        </is>
      </c>
      <c r="J3585" s="7" t="inlineStr">
        <is>
          <t>N/A (Insumo Industrial)</t>
        </is>
      </c>
    </row>
    <row r="3586" ht="22" customHeight="1">
      <c r="A3586" s="12" t="inlineStr">
        <is>
          <t>CUL-3582</t>
        </is>
      </c>
      <c r="B3586" s="11" t="n">
        <v>708</v>
      </c>
      <c r="C3586" s="13" t="inlineStr">
        <is>
          <t>VINCULAR MARCA</t>
        </is>
      </c>
      <c r="D3586" s="14" t="inlineStr">
        <is>
          <t>FLUMIOXAZINA 500 + DICLOSULAM 340 (PRINC. ATIVO)</t>
        </is>
      </c>
      <c r="E3586" s="13" t="inlineStr">
        <is>
          <t>Uso Exclusivamente Industrial (Formulação)</t>
        </is>
      </c>
      <c r="F3586" s="13" t="inlineStr">
        <is>
          <t>Não Aplicável (Proibido uso direto na lavoura)</t>
        </is>
      </c>
      <c r="G3586" s="13" t="inlineStr">
        <is>
          <t>Insumo Industrial</t>
        </is>
      </c>
      <c r="H3586" s="13" t="inlineStr">
        <is>
          <t>N/A</t>
        </is>
      </c>
      <c r="I3586" s="13" t="inlineStr">
        <is>
          <t>N/A</t>
        </is>
      </c>
      <c r="J3586" s="13" t="inlineStr">
        <is>
          <t>N/A (Insumo Industrial)</t>
        </is>
      </c>
    </row>
    <row r="3587" ht="22" customHeight="1">
      <c r="A3587" s="6" t="inlineStr">
        <is>
          <t>CUL-3583</t>
        </is>
      </c>
      <c r="B3587" s="5" t="n">
        <v>709</v>
      </c>
      <c r="C3587" s="7" t="inlineStr">
        <is>
          <t>VINCULAR MARCA</t>
        </is>
      </c>
      <c r="D3587" s="8" t="inlineStr">
        <is>
          <t>INDOXAC. 100 + BIFENT. 90 + ACETAM. 137,5 (PR.AT.)</t>
        </is>
      </c>
      <c r="E3587" s="7" t="inlineStr">
        <is>
          <t>Uso Exclusivamente Industrial (Formulação)</t>
        </is>
      </c>
      <c r="F3587" s="7" t="inlineStr">
        <is>
          <t>Não Aplicável (Proibido uso direto na lavoura)</t>
        </is>
      </c>
      <c r="G3587" s="7" t="inlineStr">
        <is>
          <t>Insumo Industrial</t>
        </is>
      </c>
      <c r="H3587" s="7" t="inlineStr">
        <is>
          <t>N/A</t>
        </is>
      </c>
      <c r="I3587" s="7" t="inlineStr">
        <is>
          <t>N/A</t>
        </is>
      </c>
      <c r="J3587" s="7" t="inlineStr">
        <is>
          <t>N/A (Insumo Industrial)</t>
        </is>
      </c>
    </row>
    <row r="3588" ht="22" customHeight="1">
      <c r="A3588" s="12" t="inlineStr">
        <is>
          <t>CUL-3584</t>
        </is>
      </c>
      <c r="B3588" s="11" t="n">
        <v>710</v>
      </c>
      <c r="C3588" s="13" t="inlineStr">
        <is>
          <t>VINCULAR MARCA</t>
        </is>
      </c>
      <c r="D3588" s="14" t="inlineStr">
        <is>
          <t>BIFENTRINA 360 + CLORANTRANILIPRO. 200 (PR. ATIVO)</t>
        </is>
      </c>
      <c r="E3588" s="13" t="inlineStr">
        <is>
          <t>Pulverização Agrícola Conforme Bula</t>
        </is>
      </c>
      <c r="F3588" s="13" t="inlineStr">
        <is>
          <t>Algodão</t>
        </is>
      </c>
      <c r="G3588" s="13" t="inlineStr">
        <is>
          <t>Cultura Autorizada na Bula</t>
        </is>
      </c>
      <c r="H3588" s="13" t="inlineStr">
        <is>
          <t>100 a 300 L/ha</t>
        </is>
      </c>
      <c r="I3588" s="13" t="inlineStr">
        <is>
          <t>20 a 40 L/ha</t>
        </is>
      </c>
      <c r="J3588" s="13" t="inlineStr">
        <is>
          <t>15 dias</t>
        </is>
      </c>
    </row>
    <row r="3589" ht="22" customHeight="1">
      <c r="A3589" s="6" t="inlineStr">
        <is>
          <t>CUL-3585</t>
        </is>
      </c>
      <c r="B3589" s="5" t="n">
        <v>710</v>
      </c>
      <c r="C3589" s="7" t="inlineStr">
        <is>
          <t>VINCULAR MARCA</t>
        </is>
      </c>
      <c r="D3589" s="8" t="inlineStr">
        <is>
          <t>BIFENTRINA 360 + CLORANTRANILIPRO. 200 (PR. ATIVO)</t>
        </is>
      </c>
      <c r="E3589" s="7" t="inlineStr">
        <is>
          <t>Pulverização Agrícola Conforme Bula</t>
        </is>
      </c>
      <c r="F3589" s="7" t="inlineStr">
        <is>
          <t>Soja</t>
        </is>
      </c>
      <c r="G3589" s="7" t="inlineStr">
        <is>
          <t>Cultura Autorizada na Bula</t>
        </is>
      </c>
      <c r="H3589" s="7" t="inlineStr">
        <is>
          <t>100 a 300 L/ha</t>
        </is>
      </c>
      <c r="I3589" s="7" t="inlineStr">
        <is>
          <t>20 a 40 L/ha</t>
        </is>
      </c>
      <c r="J3589" s="7" t="inlineStr">
        <is>
          <t>30 dias</t>
        </is>
      </c>
    </row>
    <row r="3590" ht="22" customHeight="1">
      <c r="A3590" s="12" t="inlineStr">
        <is>
          <t>CUL-3586</t>
        </is>
      </c>
      <c r="B3590" s="11" t="n">
        <v>710</v>
      </c>
      <c r="C3590" s="13" t="inlineStr">
        <is>
          <t>VINCULAR MARCA</t>
        </is>
      </c>
      <c r="D3590" s="14" t="inlineStr">
        <is>
          <t>BIFENTRINA 360 + CLORANTRANILIPRO. 200 (PR. ATIVO)</t>
        </is>
      </c>
      <c r="E3590" s="13" t="inlineStr">
        <is>
          <t>Pulverização Agrícola Conforme Bula</t>
        </is>
      </c>
      <c r="F3590" s="13" t="inlineStr">
        <is>
          <t>Milho</t>
        </is>
      </c>
      <c r="G3590" s="13" t="inlineStr">
        <is>
          <t>Cultura Autorizada na Bula</t>
        </is>
      </c>
      <c r="H3590" s="13" t="inlineStr">
        <is>
          <t>100 a 300 L/ha</t>
        </is>
      </c>
      <c r="I3590" s="13" t="inlineStr">
        <is>
          <t>20 a 40 L/ha</t>
        </is>
      </c>
      <c r="J3590" s="13" t="inlineStr">
        <is>
          <t>30 dias</t>
        </is>
      </c>
    </row>
    <row r="3591" ht="22" customHeight="1">
      <c r="A3591" s="6" t="inlineStr">
        <is>
          <t>CUL-3587</t>
        </is>
      </c>
      <c r="B3591" s="5" t="n">
        <v>710</v>
      </c>
      <c r="C3591" s="7" t="inlineStr">
        <is>
          <t>VINCULAR MARCA</t>
        </is>
      </c>
      <c r="D3591" s="8" t="inlineStr">
        <is>
          <t>BIFENTRINA 360 + CLORANTRANILIPRO. 200 (PR. ATIVO)</t>
        </is>
      </c>
      <c r="E3591" s="7" t="inlineStr">
        <is>
          <t>Pulverização Agrícola Conforme Bula</t>
        </is>
      </c>
      <c r="F3591" s="7" t="inlineStr">
        <is>
          <t>Cana-de-açúcar</t>
        </is>
      </c>
      <c r="G3591" s="7" t="inlineStr">
        <is>
          <t>Cultura Autorizada na Bula</t>
        </is>
      </c>
      <c r="H3591" s="7" t="inlineStr">
        <is>
          <t>100 a 300 L/ha</t>
        </is>
      </c>
      <c r="I3591" s="7" t="inlineStr">
        <is>
          <t>20 a 40 L/ha</t>
        </is>
      </c>
      <c r="J3591" s="7" t="inlineStr">
        <is>
          <t>30 dias</t>
        </is>
      </c>
    </row>
    <row r="3592" ht="22" customHeight="1">
      <c r="A3592" s="12" t="inlineStr">
        <is>
          <t>CUL-3588</t>
        </is>
      </c>
      <c r="B3592" s="11" t="n">
        <v>710</v>
      </c>
      <c r="C3592" s="13" t="inlineStr">
        <is>
          <t>VINCULAR MARCA</t>
        </is>
      </c>
      <c r="D3592" s="14" t="inlineStr">
        <is>
          <t>BIFENTRINA 360 + CLORANTRANILIPRO. 200 (PR. ATIVO)</t>
        </is>
      </c>
      <c r="E3592" s="13" t="inlineStr">
        <is>
          <t>Pulverização Agrícola Conforme Bula</t>
        </is>
      </c>
      <c r="F3592" s="13" t="inlineStr">
        <is>
          <t>Café</t>
        </is>
      </c>
      <c r="G3592" s="13" t="inlineStr">
        <is>
          <t>Cultura Autorizada na Bula</t>
        </is>
      </c>
      <c r="H3592" s="13" t="inlineStr">
        <is>
          <t>100 a 300 L/ha</t>
        </is>
      </c>
      <c r="I3592" s="13" t="inlineStr">
        <is>
          <t>20 a 40 L/ha</t>
        </is>
      </c>
      <c r="J3592" s="13" t="inlineStr">
        <is>
          <t>30 dias</t>
        </is>
      </c>
    </row>
    <row r="3593" ht="22" customHeight="1">
      <c r="A3593" s="6" t="inlineStr">
        <is>
          <t>CUL-3589</t>
        </is>
      </c>
      <c r="B3593" s="5" t="n">
        <v>710</v>
      </c>
      <c r="C3593" s="7" t="inlineStr">
        <is>
          <t>VINCULAR MARCA</t>
        </is>
      </c>
      <c r="D3593" s="8" t="inlineStr">
        <is>
          <t>BIFENTRINA 360 + CLORANTRANILIPRO. 200 (PR. ATIVO)</t>
        </is>
      </c>
      <c r="E3593" s="7" t="inlineStr">
        <is>
          <t>Pulverização Agrícola Conforme Bula</t>
        </is>
      </c>
      <c r="F3593" s="7" t="inlineStr">
        <is>
          <t>Citros</t>
        </is>
      </c>
      <c r="G3593" s="7" t="inlineStr">
        <is>
          <t>Cultura Autorizada na Bula</t>
        </is>
      </c>
      <c r="H3593" s="7" t="inlineStr">
        <is>
          <t>100 a 300 L/ha</t>
        </is>
      </c>
      <c r="I3593" s="7" t="inlineStr">
        <is>
          <t>20 a 40 L/ha</t>
        </is>
      </c>
      <c r="J3593" s="7" t="inlineStr">
        <is>
          <t>7 dias</t>
        </is>
      </c>
    </row>
    <row r="3594" ht="22" customHeight="1">
      <c r="A3594" s="12" t="inlineStr">
        <is>
          <t>CUL-3590</t>
        </is>
      </c>
      <c r="B3594" s="11" t="n">
        <v>710</v>
      </c>
      <c r="C3594" s="13" t="inlineStr">
        <is>
          <t>VINCULAR MARCA</t>
        </is>
      </c>
      <c r="D3594" s="14" t="inlineStr">
        <is>
          <t>BIFENTRINA 360 + CLORANTRANILIPRO. 200 (PR. ATIVO)</t>
        </is>
      </c>
      <c r="E3594" s="13" t="inlineStr">
        <is>
          <t>Pulverização Agrícola Conforme Bula</t>
        </is>
      </c>
      <c r="F3594" s="13" t="inlineStr">
        <is>
          <t>Feijão</t>
        </is>
      </c>
      <c r="G3594" s="13" t="inlineStr">
        <is>
          <t>Cultura Autorizada na Bula</t>
        </is>
      </c>
      <c r="H3594" s="13" t="inlineStr">
        <is>
          <t>100 a 300 L/ha</t>
        </is>
      </c>
      <c r="I3594" s="13" t="inlineStr">
        <is>
          <t>20 a 40 L/ha</t>
        </is>
      </c>
      <c r="J3594" s="13" t="inlineStr">
        <is>
          <t>20 dias</t>
        </is>
      </c>
    </row>
    <row r="3595" ht="22" customHeight="1">
      <c r="A3595" s="6" t="inlineStr">
        <is>
          <t>CUL-3591</t>
        </is>
      </c>
      <c r="B3595" s="5" t="n">
        <v>710</v>
      </c>
      <c r="C3595" s="7" t="inlineStr">
        <is>
          <t>VINCULAR MARCA</t>
        </is>
      </c>
      <c r="D3595" s="8" t="inlineStr">
        <is>
          <t>BIFENTRINA 360 + CLORANTRANILIPRO. 200 (PR. ATIVO)</t>
        </is>
      </c>
      <c r="E3595" s="7" t="inlineStr">
        <is>
          <t>Pulverização Agrícola Conforme Bula</t>
        </is>
      </c>
      <c r="F3595" s="7" t="inlineStr">
        <is>
          <t>Trigo</t>
        </is>
      </c>
      <c r="G3595" s="7" t="inlineStr">
        <is>
          <t>Cultura Autorizada na Bula</t>
        </is>
      </c>
      <c r="H3595" s="7" t="inlineStr">
        <is>
          <t>100 a 300 L/ha</t>
        </is>
      </c>
      <c r="I3595" s="7" t="inlineStr">
        <is>
          <t>20 a 40 L/ha</t>
        </is>
      </c>
      <c r="J3595" s="7" t="inlineStr">
        <is>
          <t>30 dias</t>
        </is>
      </c>
    </row>
    <row r="3596" ht="22" customHeight="1">
      <c r="A3596" s="12" t="inlineStr">
        <is>
          <t>CUL-3592</t>
        </is>
      </c>
      <c r="B3596" s="11" t="n">
        <v>711</v>
      </c>
      <c r="C3596" s="13" t="inlineStr">
        <is>
          <t>VINCULAR MARCA</t>
        </is>
      </c>
      <c r="D3596" s="14" t="inlineStr">
        <is>
          <t>GLUFOSINATO 490 + FLUMIOXAZINA 49 (PRINC. ATIVO)</t>
        </is>
      </c>
      <c r="E3596" s="13" t="inlineStr">
        <is>
          <t>Uso Exclusivamente Industrial (Formulação)</t>
        </is>
      </c>
      <c r="F3596" s="13" t="inlineStr">
        <is>
          <t>Não Aplicável (Proibido uso direto na lavoura)</t>
        </is>
      </c>
      <c r="G3596" s="13" t="inlineStr">
        <is>
          <t>Insumo Industrial</t>
        </is>
      </c>
      <c r="H3596" s="13" t="inlineStr">
        <is>
          <t>N/A</t>
        </is>
      </c>
      <c r="I3596" s="13" t="inlineStr">
        <is>
          <t>N/A</t>
        </is>
      </c>
      <c r="J3596" s="13" t="inlineStr">
        <is>
          <t>N/A (Insumo Industrial)</t>
        </is>
      </c>
    </row>
    <row r="3597" ht="22" customHeight="1">
      <c r="A3597" s="6" t="inlineStr">
        <is>
          <t>CUL-3593</t>
        </is>
      </c>
      <c r="B3597" s="5" t="n">
        <v>712</v>
      </c>
      <c r="C3597" s="7" t="inlineStr">
        <is>
          <t>Nº 24925</t>
        </is>
      </c>
      <c r="D3597" s="8" t="inlineStr">
        <is>
          <t>S-METOLACL. 290 + ATRAZ. 200 + MESOT. 40 (PR. AT.)</t>
        </is>
      </c>
      <c r="E3597" s="7" t="inlineStr">
        <is>
          <t>Uso Exclusivamente Industrial (Formulação)</t>
        </is>
      </c>
      <c r="F3597" s="7" t="inlineStr">
        <is>
          <t>Não Aplicável (Proibido uso direto na lavoura)</t>
        </is>
      </c>
      <c r="G3597" s="7" t="inlineStr">
        <is>
          <t>Insumo Industrial</t>
        </is>
      </c>
      <c r="H3597" s="7" t="inlineStr">
        <is>
          <t>N/A</t>
        </is>
      </c>
      <c r="I3597" s="7" t="inlineStr">
        <is>
          <t>N/A</t>
        </is>
      </c>
      <c r="J3597" s="7" t="inlineStr">
        <is>
          <t>N/A (Insumo Industrial)</t>
        </is>
      </c>
    </row>
    <row r="3598" ht="22" customHeight="1">
      <c r="A3598" s="12" t="inlineStr">
        <is>
          <t>CUL-3594</t>
        </is>
      </c>
      <c r="B3598" s="11" t="n">
        <v>713</v>
      </c>
      <c r="C3598" s="13" t="inlineStr">
        <is>
          <t>VINCULAR MARCA</t>
        </is>
      </c>
      <c r="D3598" s="14" t="inlineStr">
        <is>
          <t>CLOROTALONIL 580 + DIFENOCONAZOL 30 (PRINC. ATIVO)</t>
        </is>
      </c>
      <c r="E3598" s="13" t="inlineStr">
        <is>
          <t>Uso Exclusivamente Industrial (Formulação)</t>
        </is>
      </c>
      <c r="F3598" s="13" t="inlineStr">
        <is>
          <t>Não Aplicável (Proibido uso direto na lavoura)</t>
        </is>
      </c>
      <c r="G3598" s="13" t="inlineStr">
        <is>
          <t>Insumo Industrial</t>
        </is>
      </c>
      <c r="H3598" s="13" t="inlineStr">
        <is>
          <t>N/A</t>
        </is>
      </c>
      <c r="I3598" s="13" t="inlineStr">
        <is>
          <t>N/A</t>
        </is>
      </c>
      <c r="J3598" s="13" t="inlineStr">
        <is>
          <t>N/A (Insumo Industrial)</t>
        </is>
      </c>
    </row>
    <row r="3599" ht="22" customHeight="1">
      <c r="A3599" s="6" t="inlineStr">
        <is>
          <t>CUL-3595</t>
        </is>
      </c>
      <c r="B3599" s="5" t="n">
        <v>714</v>
      </c>
      <c r="C3599" s="7" t="inlineStr">
        <is>
          <t>Nº 4810</t>
        </is>
      </c>
      <c r="D3599" s="8" t="inlineStr">
        <is>
          <t>TIOFANATO-METILICO + FLUAZINAM</t>
        </is>
      </c>
      <c r="E3599" s="7" t="inlineStr">
        <is>
          <t>Pulverização Agrícola Conforme Bula</t>
        </is>
      </c>
      <c r="F3599" s="7" t="inlineStr">
        <is>
          <t>Soja</t>
        </is>
      </c>
      <c r="G3599" s="7" t="inlineStr">
        <is>
          <t>Cultura Autorizada na Bula</t>
        </is>
      </c>
      <c r="H3599" s="7" t="inlineStr">
        <is>
          <t>100 a 300 L/ha</t>
        </is>
      </c>
      <c r="I3599" s="7" t="inlineStr">
        <is>
          <t>20 a 40 L/ha</t>
        </is>
      </c>
      <c r="J3599" s="7" t="inlineStr">
        <is>
          <t>28 dias</t>
        </is>
      </c>
    </row>
    <row r="3600" ht="22" customHeight="1">
      <c r="A3600" s="12" t="inlineStr">
        <is>
          <t>CUL-3596</t>
        </is>
      </c>
      <c r="B3600" s="11" t="n">
        <v>714</v>
      </c>
      <c r="C3600" s="13" t="inlineStr">
        <is>
          <t>Nº 4810</t>
        </is>
      </c>
      <c r="D3600" s="14" t="inlineStr">
        <is>
          <t>TIOFANATO-METILICO + FLUAZINAM</t>
        </is>
      </c>
      <c r="E3600" s="13" t="inlineStr">
        <is>
          <t>Pulverização Agrícola Conforme Bula</t>
        </is>
      </c>
      <c r="F3600" s="13" t="inlineStr">
        <is>
          <t>Feijão</t>
        </is>
      </c>
      <c r="G3600" s="13" t="inlineStr">
        <is>
          <t>Cultura Autorizada na Bula</t>
        </is>
      </c>
      <c r="H3600" s="13" t="inlineStr">
        <is>
          <t>100 a 300 L/ha</t>
        </is>
      </c>
      <c r="I3600" s="13" t="inlineStr">
        <is>
          <t>20 a 40 L/ha</t>
        </is>
      </c>
      <c r="J3600" s="13" t="inlineStr">
        <is>
          <t>14 dias</t>
        </is>
      </c>
    </row>
    <row r="3601" ht="22" customHeight="1">
      <c r="A3601" s="6" t="inlineStr">
        <is>
          <t>CUL-3597</t>
        </is>
      </c>
      <c r="B3601" s="5" t="n">
        <v>714</v>
      </c>
      <c r="C3601" s="7" t="inlineStr">
        <is>
          <t>Nº 4810</t>
        </is>
      </c>
      <c r="D3601" s="8" t="inlineStr">
        <is>
          <t>TIOFANATO-METILICO + FLUAZINAM</t>
        </is>
      </c>
      <c r="E3601" s="7" t="inlineStr">
        <is>
          <t>Pulverização Agrícola Conforme Bula</t>
        </is>
      </c>
      <c r="F3601" s="7" t="inlineStr">
        <is>
          <t>Algodão</t>
        </is>
      </c>
      <c r="G3601" s="7" t="inlineStr">
        <is>
          <t>Cultura Autorizada na Bula</t>
        </is>
      </c>
      <c r="H3601" s="7" t="inlineStr">
        <is>
          <t>100 a 300 L/ha</t>
        </is>
      </c>
      <c r="I3601" s="7" t="inlineStr">
        <is>
          <t>20 a 40 L/ha</t>
        </is>
      </c>
      <c r="J3601" s="7" t="inlineStr">
        <is>
          <t>28 dias</t>
        </is>
      </c>
    </row>
    <row r="3602" ht="22" customHeight="1">
      <c r="A3602" s="12" t="inlineStr">
        <is>
          <t>CUL-3598</t>
        </is>
      </c>
      <c r="B3602" s="11" t="n">
        <v>714</v>
      </c>
      <c r="C3602" s="13" t="inlineStr">
        <is>
          <t>Nº 4810</t>
        </is>
      </c>
      <c r="D3602" s="14" t="inlineStr">
        <is>
          <t>TIOFANATO-METILICO + FLUAZINAM</t>
        </is>
      </c>
      <c r="E3602" s="13" t="inlineStr">
        <is>
          <t>Pulverização Agrícola Conforme Bula</t>
        </is>
      </c>
      <c r="F3602" s="13" t="inlineStr">
        <is>
          <t>Citros</t>
        </is>
      </c>
      <c r="G3602" s="13" t="inlineStr">
        <is>
          <t>Cultura Autorizada na Bula</t>
        </is>
      </c>
      <c r="H3602" s="13" t="inlineStr">
        <is>
          <t>100 a 300 L/ha</t>
        </is>
      </c>
      <c r="I3602" s="13" t="inlineStr">
        <is>
          <t>20 a 40 L/ha</t>
        </is>
      </c>
      <c r="J3602" s="13" t="inlineStr">
        <is>
          <t>14 dias</t>
        </is>
      </c>
    </row>
    <row r="3603" ht="22" customHeight="1">
      <c r="A3603" s="6" t="inlineStr">
        <is>
          <t>CUL-3599</t>
        </is>
      </c>
      <c r="B3603" s="5" t="n">
        <v>714</v>
      </c>
      <c r="C3603" s="7" t="inlineStr">
        <is>
          <t>Nº 4810</t>
        </is>
      </c>
      <c r="D3603" s="8" t="inlineStr">
        <is>
          <t>TIOFANATO-METILICO + FLUAZINAM</t>
        </is>
      </c>
      <c r="E3603" s="7" t="inlineStr">
        <is>
          <t>Pulverização Agrícola Conforme Bula</t>
        </is>
      </c>
      <c r="F3603" s="7" t="inlineStr">
        <is>
          <t>Café</t>
        </is>
      </c>
      <c r="G3603" s="7" t="inlineStr">
        <is>
          <t>Cultura Autorizada na Bula</t>
        </is>
      </c>
      <c r="H3603" s="7" t="inlineStr">
        <is>
          <t>100 a 300 L/ha</t>
        </is>
      </c>
      <c r="I3603" s="7" t="inlineStr">
        <is>
          <t>20 a 40 L/ha</t>
        </is>
      </c>
      <c r="J3603" s="7" t="inlineStr">
        <is>
          <t>21 dias</t>
        </is>
      </c>
    </row>
    <row r="3604" ht="22" customHeight="1">
      <c r="A3604" s="12" t="inlineStr">
        <is>
          <t>CUL-3600</t>
        </is>
      </c>
      <c r="B3604" s="11" t="n">
        <v>714</v>
      </c>
      <c r="C3604" s="13" t="inlineStr">
        <is>
          <t>Nº 4810</t>
        </is>
      </c>
      <c r="D3604" s="14" t="inlineStr">
        <is>
          <t>TIOFANATO-METILICO + FLUAZINAM</t>
        </is>
      </c>
      <c r="E3604" s="13" t="inlineStr">
        <is>
          <t>Pulverização Agrícola Conforme Bula</t>
        </is>
      </c>
      <c r="F3604" s="13" t="inlineStr">
        <is>
          <t>Trigo</t>
        </is>
      </c>
      <c r="G3604" s="13" t="inlineStr">
        <is>
          <t>Cultura Autorizada na Bula</t>
        </is>
      </c>
      <c r="H3604" s="13" t="inlineStr">
        <is>
          <t>100 a 300 L/ha</t>
        </is>
      </c>
      <c r="I3604" s="13" t="inlineStr">
        <is>
          <t>20 a 40 L/ha</t>
        </is>
      </c>
      <c r="J3604" s="13" t="inlineStr">
        <is>
          <t>35 dias</t>
        </is>
      </c>
    </row>
    <row r="3605" ht="22" customHeight="1">
      <c r="A3605" s="6" t="inlineStr">
        <is>
          <t>CUL-3601</t>
        </is>
      </c>
      <c r="B3605" s="5" t="n">
        <v>715</v>
      </c>
      <c r="C3605" s="7" t="inlineStr">
        <is>
          <t>VINCULAR MARCA</t>
        </is>
      </c>
      <c r="D3605" s="8" t="inlineStr">
        <is>
          <t>TEBUCONAZOL 50 + CLOROTALONIL 450  (PRINC. ATIVO)</t>
        </is>
      </c>
      <c r="E3605" s="7" t="inlineStr">
        <is>
          <t>Uso Exclusivamente Industrial (Formulação)</t>
        </is>
      </c>
      <c r="F3605" s="7" t="inlineStr">
        <is>
          <t>Não Aplicável (Proibido uso direto na lavoura)</t>
        </is>
      </c>
      <c r="G3605" s="7" t="inlineStr">
        <is>
          <t>Insumo Industrial</t>
        </is>
      </c>
      <c r="H3605" s="7" t="inlineStr">
        <is>
          <t>N/A</t>
        </is>
      </c>
      <c r="I3605" s="7" t="inlineStr">
        <is>
          <t>N/A</t>
        </is>
      </c>
      <c r="J3605" s="7" t="inlineStr">
        <is>
          <t>N/A (Insumo Industrial)</t>
        </is>
      </c>
    </row>
    <row r="3606" ht="22" customHeight="1">
      <c r="A3606" s="12" t="inlineStr">
        <is>
          <t>CUL-3602</t>
        </is>
      </c>
      <c r="B3606" s="11" t="n">
        <v>716</v>
      </c>
      <c r="C3606" s="13" t="inlineStr">
        <is>
          <t>SIPEAGRO (UF-XXXXX)</t>
        </is>
      </c>
      <c r="D3606" s="14" t="inlineStr">
        <is>
          <t>KCL 00-00-60 (TON) EUROCHEM</t>
        </is>
      </c>
      <c r="E3606" s="13" t="inlineStr">
        <is>
          <t>Adubação de Solo / Foliar</t>
        </is>
      </c>
      <c r="F3606" s="13" t="inlineStr">
        <is>
          <t>Soja</t>
        </is>
      </c>
      <c r="G3606" s="13" t="inlineStr">
        <is>
          <t>Cultura Autorizada na Bula</t>
        </is>
      </c>
      <c r="H3606" s="13" t="inlineStr">
        <is>
          <t>100 a 300 L/ha</t>
        </is>
      </c>
      <c r="I3606" s="13" t="inlineStr">
        <is>
          <t>20 a 40 L/ha</t>
        </is>
      </c>
      <c r="J3606" s="13" t="inlineStr">
        <is>
          <t>Isento</t>
        </is>
      </c>
    </row>
    <row r="3607" ht="22" customHeight="1">
      <c r="A3607" s="6" t="inlineStr">
        <is>
          <t>CUL-3603</t>
        </is>
      </c>
      <c r="B3607" s="5" t="n">
        <v>716</v>
      </c>
      <c r="C3607" s="7" t="inlineStr">
        <is>
          <t>SIPEAGRO (UF-XXXXX)</t>
        </is>
      </c>
      <c r="D3607" s="8" t="inlineStr">
        <is>
          <t>KCL 00-00-60 (TON) EUROCHEM</t>
        </is>
      </c>
      <c r="E3607" s="7" t="inlineStr">
        <is>
          <t>Adubação de Solo / Foliar</t>
        </is>
      </c>
      <c r="F3607" s="7" t="inlineStr">
        <is>
          <t>Milho</t>
        </is>
      </c>
      <c r="G3607" s="7" t="inlineStr">
        <is>
          <t>Cultura Autorizada na Bula</t>
        </is>
      </c>
      <c r="H3607" s="7" t="inlineStr">
        <is>
          <t>100 a 300 L/ha</t>
        </is>
      </c>
      <c r="I3607" s="7" t="inlineStr">
        <is>
          <t>20 a 40 L/ha</t>
        </is>
      </c>
      <c r="J3607" s="7" t="inlineStr">
        <is>
          <t>Isento</t>
        </is>
      </c>
    </row>
    <row r="3608" ht="22" customHeight="1">
      <c r="A3608" s="12" t="inlineStr">
        <is>
          <t>CUL-3604</t>
        </is>
      </c>
      <c r="B3608" s="11" t="n">
        <v>716</v>
      </c>
      <c r="C3608" s="13" t="inlineStr">
        <is>
          <t>SIPEAGRO (UF-XXXXX)</t>
        </is>
      </c>
      <c r="D3608" s="14" t="inlineStr">
        <is>
          <t>KCL 00-00-60 (TON) EUROCHEM</t>
        </is>
      </c>
      <c r="E3608" s="13" t="inlineStr">
        <is>
          <t>Adubação de Solo / Foliar</t>
        </is>
      </c>
      <c r="F3608" s="13" t="inlineStr">
        <is>
          <t>Algodão</t>
        </is>
      </c>
      <c r="G3608" s="13" t="inlineStr">
        <is>
          <t>Cultura Autorizada na Bula</t>
        </is>
      </c>
      <c r="H3608" s="13" t="inlineStr">
        <is>
          <t>100 a 300 L/ha</t>
        </is>
      </c>
      <c r="I3608" s="13" t="inlineStr">
        <is>
          <t>20 a 40 L/ha</t>
        </is>
      </c>
      <c r="J3608" s="13" t="inlineStr">
        <is>
          <t>Isento</t>
        </is>
      </c>
    </row>
    <row r="3609" ht="22" customHeight="1">
      <c r="A3609" s="6" t="inlineStr">
        <is>
          <t>CUL-3605</t>
        </is>
      </c>
      <c r="B3609" s="5" t="n">
        <v>716</v>
      </c>
      <c r="C3609" s="7" t="inlineStr">
        <is>
          <t>SIPEAGRO (UF-XXXXX)</t>
        </is>
      </c>
      <c r="D3609" s="8" t="inlineStr">
        <is>
          <t>KCL 00-00-60 (TON) EUROCHEM</t>
        </is>
      </c>
      <c r="E3609" s="7" t="inlineStr">
        <is>
          <t>Adubação de Solo / Foliar</t>
        </is>
      </c>
      <c r="F3609" s="7" t="inlineStr">
        <is>
          <t>Cana-de-açúcar</t>
        </is>
      </c>
      <c r="G3609" s="7" t="inlineStr">
        <is>
          <t>Cultura Autorizada na Bula</t>
        </is>
      </c>
      <c r="H3609" s="7" t="inlineStr">
        <is>
          <t>100 a 300 L/ha</t>
        </is>
      </c>
      <c r="I3609" s="7" t="inlineStr">
        <is>
          <t>20 a 40 L/ha</t>
        </is>
      </c>
      <c r="J3609" s="7" t="inlineStr">
        <is>
          <t>Isento</t>
        </is>
      </c>
    </row>
    <row r="3610" ht="22" customHeight="1">
      <c r="A3610" s="12" t="inlineStr">
        <is>
          <t>CUL-3606</t>
        </is>
      </c>
      <c r="B3610" s="11" t="n">
        <v>716</v>
      </c>
      <c r="C3610" s="13" t="inlineStr">
        <is>
          <t>SIPEAGRO (UF-XXXXX)</t>
        </is>
      </c>
      <c r="D3610" s="14" t="inlineStr">
        <is>
          <t>KCL 00-00-60 (TON) EUROCHEM</t>
        </is>
      </c>
      <c r="E3610" s="13" t="inlineStr">
        <is>
          <t>Adubação de Solo / Foliar</t>
        </is>
      </c>
      <c r="F3610" s="13" t="inlineStr">
        <is>
          <t>Café</t>
        </is>
      </c>
      <c r="G3610" s="13" t="inlineStr">
        <is>
          <t>Cultura Autorizada na Bula</t>
        </is>
      </c>
      <c r="H3610" s="13" t="inlineStr">
        <is>
          <t>100 a 300 L/ha</t>
        </is>
      </c>
      <c r="I3610" s="13" t="inlineStr">
        <is>
          <t>20 a 40 L/ha</t>
        </is>
      </c>
      <c r="J3610" s="13" t="inlineStr">
        <is>
          <t>Isento</t>
        </is>
      </c>
    </row>
    <row r="3611" ht="22" customHeight="1">
      <c r="A3611" s="6" t="inlineStr">
        <is>
          <t>CUL-3607</t>
        </is>
      </c>
      <c r="B3611" s="5" t="n">
        <v>717</v>
      </c>
      <c r="C3611" s="7" t="inlineStr">
        <is>
          <t>Nº 27717</t>
        </is>
      </c>
      <c r="D3611" s="8" t="inlineStr">
        <is>
          <t>LEALTY WG</t>
        </is>
      </c>
      <c r="E3611" s="7" t="inlineStr">
        <is>
          <t>Pulverização Agrícola Conforme Bula</t>
        </is>
      </c>
      <c r="F3611" s="7" t="inlineStr">
        <is>
          <t>Soja (Trat. Sementes / Sulco)</t>
        </is>
      </c>
      <c r="G3611" s="7" t="inlineStr">
        <is>
          <t>Cultura Autorizada na Bula</t>
        </is>
      </c>
      <c r="H3611" s="7" t="inlineStr">
        <is>
          <t>100 a 300 L/ha</t>
        </is>
      </c>
      <c r="I3611" s="7" t="inlineStr">
        <is>
          <t>20 a 40 L/ha</t>
        </is>
      </c>
      <c r="J3611" s="7" t="inlineStr">
        <is>
          <t>N/D</t>
        </is>
      </c>
    </row>
    <row r="3612" ht="22" customHeight="1">
      <c r="A3612" s="12" t="inlineStr">
        <is>
          <t>CUL-3608</t>
        </is>
      </c>
      <c r="B3612" s="11" t="n">
        <v>717</v>
      </c>
      <c r="C3612" s="13" t="inlineStr">
        <is>
          <t>Nº 27717</t>
        </is>
      </c>
      <c r="D3612" s="14" t="inlineStr">
        <is>
          <t>LEALTY WG</t>
        </is>
      </c>
      <c r="E3612" s="13" t="inlineStr">
        <is>
          <t>Pulverização Agrícola Conforme Bula</t>
        </is>
      </c>
      <c r="F3612" s="13" t="inlineStr">
        <is>
          <t>Milho (Trat. Sementes)</t>
        </is>
      </c>
      <c r="G3612" s="13" t="inlineStr">
        <is>
          <t>Cultura Autorizada na Bula</t>
        </is>
      </c>
      <c r="H3612" s="13" t="inlineStr">
        <is>
          <t>100 a 300 L/ha</t>
        </is>
      </c>
      <c r="I3612" s="13" t="inlineStr">
        <is>
          <t>20 a 40 L/ha</t>
        </is>
      </c>
      <c r="J3612" s="13" t="inlineStr">
        <is>
          <t>N/D</t>
        </is>
      </c>
    </row>
    <row r="3613" ht="22" customHeight="1">
      <c r="A3613" s="6" t="inlineStr">
        <is>
          <t>CUL-3609</t>
        </is>
      </c>
      <c r="B3613" s="5" t="n">
        <v>717</v>
      </c>
      <c r="C3613" s="7" t="inlineStr">
        <is>
          <t>Nº 27717</t>
        </is>
      </c>
      <c r="D3613" s="8" t="inlineStr">
        <is>
          <t>LEALTY WG</t>
        </is>
      </c>
      <c r="E3613" s="7" t="inlineStr">
        <is>
          <t>Pulverização Agrícola Conforme Bula</t>
        </is>
      </c>
      <c r="F3613" s="7" t="inlineStr">
        <is>
          <t>Algodão</t>
        </is>
      </c>
      <c r="G3613" s="7" t="inlineStr">
        <is>
          <t>Cultura Autorizada na Bula</t>
        </is>
      </c>
      <c r="H3613" s="7" t="inlineStr">
        <is>
          <t>100 a 300 L/ha</t>
        </is>
      </c>
      <c r="I3613" s="7" t="inlineStr">
        <is>
          <t>20 a 40 L/ha</t>
        </is>
      </c>
      <c r="J3613" s="7" t="inlineStr">
        <is>
          <t>N/D</t>
        </is>
      </c>
    </row>
    <row r="3614" ht="22" customHeight="1">
      <c r="A3614" s="12" t="inlineStr">
        <is>
          <t>CUL-3610</t>
        </is>
      </c>
      <c r="B3614" s="11" t="n">
        <v>717</v>
      </c>
      <c r="C3614" s="13" t="inlineStr">
        <is>
          <t>Nº 27717</t>
        </is>
      </c>
      <c r="D3614" s="14" t="inlineStr">
        <is>
          <t>LEALTY WG</t>
        </is>
      </c>
      <c r="E3614" s="13" t="inlineStr">
        <is>
          <t>Pulverização Agrícola Conforme Bula</t>
        </is>
      </c>
      <c r="F3614" s="13" t="inlineStr">
        <is>
          <t>Cana-de-açúcar (Sulco)</t>
        </is>
      </c>
      <c r="G3614" s="13" t="inlineStr">
        <is>
          <t>Cultura Autorizada na Bula</t>
        </is>
      </c>
      <c r="H3614" s="13" t="inlineStr">
        <is>
          <t>100 a 300 L/ha</t>
        </is>
      </c>
      <c r="I3614" s="13" t="inlineStr">
        <is>
          <t>20 a 40 L/ha</t>
        </is>
      </c>
      <c r="J3614" s="13" t="inlineStr">
        <is>
          <t>N/D</t>
        </is>
      </c>
    </row>
    <row r="3615" ht="22" customHeight="1">
      <c r="A3615" s="6" t="inlineStr">
        <is>
          <t>CUL-3611</t>
        </is>
      </c>
      <c r="B3615" s="5" t="n">
        <v>717</v>
      </c>
      <c r="C3615" s="7" t="inlineStr">
        <is>
          <t>Nº 27717</t>
        </is>
      </c>
      <c r="D3615" s="8" t="inlineStr">
        <is>
          <t>LEALTY WG</t>
        </is>
      </c>
      <c r="E3615" s="7" t="inlineStr">
        <is>
          <t>Pulverização Agrícola Conforme Bula</t>
        </is>
      </c>
      <c r="F3615" s="7" t="inlineStr">
        <is>
          <t>Arroz</t>
        </is>
      </c>
      <c r="G3615" s="7" t="inlineStr">
        <is>
          <t>Cultura Autorizada na Bula</t>
        </is>
      </c>
      <c r="H3615" s="7" t="inlineStr">
        <is>
          <t>100 a 300 L/ha</t>
        </is>
      </c>
      <c r="I3615" s="7" t="inlineStr">
        <is>
          <t>20 a 40 L/ha</t>
        </is>
      </c>
      <c r="J3615" s="7" t="inlineStr">
        <is>
          <t>N/D</t>
        </is>
      </c>
    </row>
    <row r="3616" ht="22" customHeight="1">
      <c r="A3616" s="12" t="inlineStr">
        <is>
          <t>CUL-3612</t>
        </is>
      </c>
      <c r="B3616" s="11" t="n">
        <v>717</v>
      </c>
      <c r="C3616" s="13" t="inlineStr">
        <is>
          <t>Nº 27717</t>
        </is>
      </c>
      <c r="D3616" s="14" t="inlineStr">
        <is>
          <t>LEALTY WG</t>
        </is>
      </c>
      <c r="E3616" s="13" t="inlineStr">
        <is>
          <t>Pulverização Agrícola Conforme Bula</t>
        </is>
      </c>
      <c r="F3616" s="13" t="inlineStr">
        <is>
          <t>Feijão</t>
        </is>
      </c>
      <c r="G3616" s="13" t="inlineStr">
        <is>
          <t>Cultura Autorizada na Bula</t>
        </is>
      </c>
      <c r="H3616" s="13" t="inlineStr">
        <is>
          <t>100 a 300 L/ha</t>
        </is>
      </c>
      <c r="I3616" s="13" t="inlineStr">
        <is>
          <t>20 a 40 L/ha</t>
        </is>
      </c>
      <c r="J3616" s="13" t="inlineStr">
        <is>
          <t>N/D</t>
        </is>
      </c>
    </row>
    <row r="3617" ht="22" customHeight="1">
      <c r="A3617" s="6" t="inlineStr">
        <is>
          <t>CUL-3613</t>
        </is>
      </c>
      <c r="B3617" s="5" t="n">
        <v>717</v>
      </c>
      <c r="C3617" s="7" t="inlineStr">
        <is>
          <t>Nº 27717</t>
        </is>
      </c>
      <c r="D3617" s="8" t="inlineStr">
        <is>
          <t>LEALTY WG</t>
        </is>
      </c>
      <c r="E3617" s="7" t="inlineStr">
        <is>
          <t>Pulverização Agrícola Conforme Bula</t>
        </is>
      </c>
      <c r="F3617" s="7" t="inlineStr">
        <is>
          <t>Pastagens</t>
        </is>
      </c>
      <c r="G3617" s="7" t="inlineStr">
        <is>
          <t>Cultura Autorizada na Bula</t>
        </is>
      </c>
      <c r="H3617" s="7" t="inlineStr">
        <is>
          <t>100 a 300 L/ha</t>
        </is>
      </c>
      <c r="I3617" s="7" t="inlineStr">
        <is>
          <t>20 a 40 L/ha</t>
        </is>
      </c>
      <c r="J3617" s="7" t="inlineStr">
        <is>
          <t>N/D</t>
        </is>
      </c>
    </row>
    <row r="3618" ht="22" customHeight="1">
      <c r="A3618" s="12" t="inlineStr">
        <is>
          <t>CUL-3614</t>
        </is>
      </c>
      <c r="B3618" s="11" t="n">
        <v>717</v>
      </c>
      <c r="C3618" s="13" t="inlineStr">
        <is>
          <t>Nº 27717</t>
        </is>
      </c>
      <c r="D3618" s="14" t="inlineStr">
        <is>
          <t>LEALTY WG</t>
        </is>
      </c>
      <c r="E3618" s="13" t="inlineStr">
        <is>
          <t>Pulverização Agrícola Conforme Bula</t>
        </is>
      </c>
      <c r="F3618" s="13" t="inlineStr">
        <is>
          <t>Trigo</t>
        </is>
      </c>
      <c r="G3618" s="13" t="inlineStr">
        <is>
          <t>Cultura Autorizada na Bula</t>
        </is>
      </c>
      <c r="H3618" s="13" t="inlineStr">
        <is>
          <t>100 a 300 L/ha</t>
        </is>
      </c>
      <c r="I3618" s="13" t="inlineStr">
        <is>
          <t>20 a 40 L/ha</t>
        </is>
      </c>
      <c r="J3618" s="13" t="inlineStr">
        <is>
          <t>N/D</t>
        </is>
      </c>
    </row>
    <row r="3619" ht="22" customHeight="1">
      <c r="A3619" s="6" t="inlineStr">
        <is>
          <t>CUL-3615</t>
        </is>
      </c>
      <c r="B3619" s="5" t="n">
        <v>718</v>
      </c>
      <c r="C3619" s="7" t="inlineStr">
        <is>
          <t>Nº 27717</t>
        </is>
      </c>
      <c r="D3619" s="8" t="inlineStr">
        <is>
          <t>LEALTY WG</t>
        </is>
      </c>
      <c r="E3619" s="7" t="inlineStr">
        <is>
          <t>Pulverização Agrícola Conforme Bula</t>
        </is>
      </c>
      <c r="F3619" s="7" t="inlineStr">
        <is>
          <t>Soja (Trat. Sementes / Sulco)</t>
        </is>
      </c>
      <c r="G3619" s="7" t="inlineStr">
        <is>
          <t>Cultura Autorizada na Bula</t>
        </is>
      </c>
      <c r="H3619" s="7" t="inlineStr">
        <is>
          <t>100 a 300 L/ha</t>
        </is>
      </c>
      <c r="I3619" s="7" t="inlineStr">
        <is>
          <t>20 a 40 L/ha</t>
        </is>
      </c>
      <c r="J3619" s="7" t="inlineStr">
        <is>
          <t>N/D</t>
        </is>
      </c>
    </row>
    <row r="3620" ht="22" customHeight="1">
      <c r="A3620" s="12" t="inlineStr">
        <is>
          <t>CUL-3616</t>
        </is>
      </c>
      <c r="B3620" s="11" t="n">
        <v>718</v>
      </c>
      <c r="C3620" s="13" t="inlineStr">
        <is>
          <t>Nº 27717</t>
        </is>
      </c>
      <c r="D3620" s="14" t="inlineStr">
        <is>
          <t>LEALTY WG</t>
        </is>
      </c>
      <c r="E3620" s="13" t="inlineStr">
        <is>
          <t>Pulverização Agrícola Conforme Bula</t>
        </is>
      </c>
      <c r="F3620" s="13" t="inlineStr">
        <is>
          <t>Milho (Trat. Sementes)</t>
        </is>
      </c>
      <c r="G3620" s="13" t="inlineStr">
        <is>
          <t>Cultura Autorizada na Bula</t>
        </is>
      </c>
      <c r="H3620" s="13" t="inlineStr">
        <is>
          <t>100 a 300 L/ha</t>
        </is>
      </c>
      <c r="I3620" s="13" t="inlineStr">
        <is>
          <t>20 a 40 L/ha</t>
        </is>
      </c>
      <c r="J3620" s="13" t="inlineStr">
        <is>
          <t>N/D</t>
        </is>
      </c>
    </row>
    <row r="3621" ht="22" customHeight="1">
      <c r="A3621" s="6" t="inlineStr">
        <is>
          <t>CUL-3617</t>
        </is>
      </c>
      <c r="B3621" s="5" t="n">
        <v>718</v>
      </c>
      <c r="C3621" s="7" t="inlineStr">
        <is>
          <t>Nº 27717</t>
        </is>
      </c>
      <c r="D3621" s="8" t="inlineStr">
        <is>
          <t>LEALTY WG</t>
        </is>
      </c>
      <c r="E3621" s="7" t="inlineStr">
        <is>
          <t>Pulverização Agrícola Conforme Bula</t>
        </is>
      </c>
      <c r="F3621" s="7" t="inlineStr">
        <is>
          <t>Algodão</t>
        </is>
      </c>
      <c r="G3621" s="7" t="inlineStr">
        <is>
          <t>Cultura Autorizada na Bula</t>
        </is>
      </c>
      <c r="H3621" s="7" t="inlineStr">
        <is>
          <t>100 a 300 L/ha</t>
        </is>
      </c>
      <c r="I3621" s="7" t="inlineStr">
        <is>
          <t>20 a 40 L/ha</t>
        </is>
      </c>
      <c r="J3621" s="7" t="inlineStr">
        <is>
          <t>N/D</t>
        </is>
      </c>
    </row>
    <row r="3622" ht="22" customHeight="1">
      <c r="A3622" s="12" t="inlineStr">
        <is>
          <t>CUL-3618</t>
        </is>
      </c>
      <c r="B3622" s="11" t="n">
        <v>718</v>
      </c>
      <c r="C3622" s="13" t="inlineStr">
        <is>
          <t>Nº 27717</t>
        </is>
      </c>
      <c r="D3622" s="14" t="inlineStr">
        <is>
          <t>LEALTY WG</t>
        </is>
      </c>
      <c r="E3622" s="13" t="inlineStr">
        <is>
          <t>Pulverização Agrícola Conforme Bula</t>
        </is>
      </c>
      <c r="F3622" s="13" t="inlineStr">
        <is>
          <t>Cana-de-açúcar (Sulco)</t>
        </is>
      </c>
      <c r="G3622" s="13" t="inlineStr">
        <is>
          <t>Cultura Autorizada na Bula</t>
        </is>
      </c>
      <c r="H3622" s="13" t="inlineStr">
        <is>
          <t>100 a 300 L/ha</t>
        </is>
      </c>
      <c r="I3622" s="13" t="inlineStr">
        <is>
          <t>20 a 40 L/ha</t>
        </is>
      </c>
      <c r="J3622" s="13" t="inlineStr">
        <is>
          <t>N/D</t>
        </is>
      </c>
    </row>
    <row r="3623" ht="22" customHeight="1">
      <c r="A3623" s="6" t="inlineStr">
        <is>
          <t>CUL-3619</t>
        </is>
      </c>
      <c r="B3623" s="5" t="n">
        <v>718</v>
      </c>
      <c r="C3623" s="7" t="inlineStr">
        <is>
          <t>Nº 27717</t>
        </is>
      </c>
      <c r="D3623" s="8" t="inlineStr">
        <is>
          <t>LEALTY WG</t>
        </is>
      </c>
      <c r="E3623" s="7" t="inlineStr">
        <is>
          <t>Pulverização Agrícola Conforme Bula</t>
        </is>
      </c>
      <c r="F3623" s="7" t="inlineStr">
        <is>
          <t>Arroz</t>
        </is>
      </c>
      <c r="G3623" s="7" t="inlineStr">
        <is>
          <t>Cultura Autorizada na Bula</t>
        </is>
      </c>
      <c r="H3623" s="7" t="inlineStr">
        <is>
          <t>100 a 300 L/ha</t>
        </is>
      </c>
      <c r="I3623" s="7" t="inlineStr">
        <is>
          <t>20 a 40 L/ha</t>
        </is>
      </c>
      <c r="J3623" s="7" t="inlineStr">
        <is>
          <t>N/D</t>
        </is>
      </c>
    </row>
    <row r="3624" ht="22" customHeight="1">
      <c r="A3624" s="12" t="inlineStr">
        <is>
          <t>CUL-3620</t>
        </is>
      </c>
      <c r="B3624" s="11" t="n">
        <v>718</v>
      </c>
      <c r="C3624" s="13" t="inlineStr">
        <is>
          <t>Nº 27717</t>
        </is>
      </c>
      <c r="D3624" s="14" t="inlineStr">
        <is>
          <t>LEALTY WG</t>
        </is>
      </c>
      <c r="E3624" s="13" t="inlineStr">
        <is>
          <t>Pulverização Agrícola Conforme Bula</t>
        </is>
      </c>
      <c r="F3624" s="13" t="inlineStr">
        <is>
          <t>Feijão</t>
        </is>
      </c>
      <c r="G3624" s="13" t="inlineStr">
        <is>
          <t>Cultura Autorizada na Bula</t>
        </is>
      </c>
      <c r="H3624" s="13" t="inlineStr">
        <is>
          <t>100 a 300 L/ha</t>
        </is>
      </c>
      <c r="I3624" s="13" t="inlineStr">
        <is>
          <t>20 a 40 L/ha</t>
        </is>
      </c>
      <c r="J3624" s="13" t="inlineStr">
        <is>
          <t>N/D</t>
        </is>
      </c>
    </row>
    <row r="3625" ht="22" customHeight="1">
      <c r="A3625" s="6" t="inlineStr">
        <is>
          <t>CUL-3621</t>
        </is>
      </c>
      <c r="B3625" s="5" t="n">
        <v>718</v>
      </c>
      <c r="C3625" s="7" t="inlineStr">
        <is>
          <t>Nº 27717</t>
        </is>
      </c>
      <c r="D3625" s="8" t="inlineStr">
        <is>
          <t>LEALTY WG</t>
        </is>
      </c>
      <c r="E3625" s="7" t="inlineStr">
        <is>
          <t>Pulverização Agrícola Conforme Bula</t>
        </is>
      </c>
      <c r="F3625" s="7" t="inlineStr">
        <is>
          <t>Pastagens</t>
        </is>
      </c>
      <c r="G3625" s="7" t="inlineStr">
        <is>
          <t>Cultura Autorizada na Bula</t>
        </is>
      </c>
      <c r="H3625" s="7" t="inlineStr">
        <is>
          <t>100 a 300 L/ha</t>
        </is>
      </c>
      <c r="I3625" s="7" t="inlineStr">
        <is>
          <t>20 a 40 L/ha</t>
        </is>
      </c>
      <c r="J3625" s="7" t="inlineStr">
        <is>
          <t>N/D</t>
        </is>
      </c>
    </row>
    <row r="3626" ht="22" customHeight="1">
      <c r="A3626" s="12" t="inlineStr">
        <is>
          <t>CUL-3622</t>
        </is>
      </c>
      <c r="B3626" s="11" t="n">
        <v>718</v>
      </c>
      <c r="C3626" s="13" t="inlineStr">
        <is>
          <t>Nº 27717</t>
        </is>
      </c>
      <c r="D3626" s="14" t="inlineStr">
        <is>
          <t>LEALTY WG</t>
        </is>
      </c>
      <c r="E3626" s="13" t="inlineStr">
        <is>
          <t>Pulverização Agrícola Conforme Bula</t>
        </is>
      </c>
      <c r="F3626" s="13" t="inlineStr">
        <is>
          <t>Trigo</t>
        </is>
      </c>
      <c r="G3626" s="13" t="inlineStr">
        <is>
          <t>Cultura Autorizada na Bula</t>
        </is>
      </c>
      <c r="H3626" s="13" t="inlineStr">
        <is>
          <t>100 a 300 L/ha</t>
        </is>
      </c>
      <c r="I3626" s="13" t="inlineStr">
        <is>
          <t>20 a 40 L/ha</t>
        </is>
      </c>
      <c r="J3626" s="13" t="inlineStr">
        <is>
          <t>N/D</t>
        </is>
      </c>
    </row>
    <row r="3627" ht="22" customHeight="1">
      <c r="A3627" s="6" t="inlineStr">
        <is>
          <t>CUL-3623</t>
        </is>
      </c>
      <c r="B3627" s="5" t="n">
        <v>719</v>
      </c>
      <c r="C3627" s="7" t="inlineStr">
        <is>
          <t>SIPEAGRO (UF-XXXXX)</t>
        </is>
      </c>
      <c r="D3627" s="8" t="inlineStr">
        <is>
          <t>1003057 - ES - FOSF  MAP GR 11N 52/44 P2O5- MOSAIC</t>
        </is>
      </c>
      <c r="E3627" s="7" t="inlineStr">
        <is>
          <t>Adubação de Solo / Foliar</t>
        </is>
      </c>
      <c r="F3627" s="7" t="inlineStr">
        <is>
          <t>Soja</t>
        </is>
      </c>
      <c r="G3627" s="7" t="inlineStr">
        <is>
          <t>Cultura Autorizada na Bula</t>
        </is>
      </c>
      <c r="H3627" s="7" t="inlineStr">
        <is>
          <t>100 a 300 L/ha</t>
        </is>
      </c>
      <c r="I3627" s="7" t="inlineStr">
        <is>
          <t>20 a 40 L/ha</t>
        </is>
      </c>
      <c r="J3627" s="7" t="inlineStr">
        <is>
          <t>Isento</t>
        </is>
      </c>
    </row>
    <row r="3628" ht="22" customHeight="1">
      <c r="A3628" s="12" t="inlineStr">
        <is>
          <t>CUL-3624</t>
        </is>
      </c>
      <c r="B3628" s="11" t="n">
        <v>719</v>
      </c>
      <c r="C3628" s="13" t="inlineStr">
        <is>
          <t>SIPEAGRO (UF-XXXXX)</t>
        </is>
      </c>
      <c r="D3628" s="14" t="inlineStr">
        <is>
          <t>1003057 - ES - FOSF  MAP GR 11N 52/44 P2O5- MOSAIC</t>
        </is>
      </c>
      <c r="E3628" s="13" t="inlineStr">
        <is>
          <t>Adubação de Solo / Foliar</t>
        </is>
      </c>
      <c r="F3628" s="13" t="inlineStr">
        <is>
          <t>Milho</t>
        </is>
      </c>
      <c r="G3628" s="13" t="inlineStr">
        <is>
          <t>Cultura Autorizada na Bula</t>
        </is>
      </c>
      <c r="H3628" s="13" t="inlineStr">
        <is>
          <t>100 a 300 L/ha</t>
        </is>
      </c>
      <c r="I3628" s="13" t="inlineStr">
        <is>
          <t>20 a 40 L/ha</t>
        </is>
      </c>
      <c r="J3628" s="13" t="inlineStr">
        <is>
          <t>Isento</t>
        </is>
      </c>
    </row>
    <row r="3629" ht="22" customHeight="1">
      <c r="A3629" s="6" t="inlineStr">
        <is>
          <t>CUL-3625</t>
        </is>
      </c>
      <c r="B3629" s="5" t="n">
        <v>719</v>
      </c>
      <c r="C3629" s="7" t="inlineStr">
        <is>
          <t>SIPEAGRO (UF-XXXXX)</t>
        </is>
      </c>
      <c r="D3629" s="8" t="inlineStr">
        <is>
          <t>1003057 - ES - FOSF  MAP GR 11N 52/44 P2O5- MOSAIC</t>
        </is>
      </c>
      <c r="E3629" s="7" t="inlineStr">
        <is>
          <t>Adubação de Solo / Foliar</t>
        </is>
      </c>
      <c r="F3629" s="7" t="inlineStr">
        <is>
          <t>Algodão</t>
        </is>
      </c>
      <c r="G3629" s="7" t="inlineStr">
        <is>
          <t>Cultura Autorizada na Bula</t>
        </is>
      </c>
      <c r="H3629" s="7" t="inlineStr">
        <is>
          <t>100 a 300 L/ha</t>
        </is>
      </c>
      <c r="I3629" s="7" t="inlineStr">
        <is>
          <t>20 a 40 L/ha</t>
        </is>
      </c>
      <c r="J3629" s="7" t="inlineStr">
        <is>
          <t>Isento</t>
        </is>
      </c>
    </row>
    <row r="3630" ht="22" customHeight="1">
      <c r="A3630" s="12" t="inlineStr">
        <is>
          <t>CUL-3626</t>
        </is>
      </c>
      <c r="B3630" s="11" t="n">
        <v>719</v>
      </c>
      <c r="C3630" s="13" t="inlineStr">
        <is>
          <t>SIPEAGRO (UF-XXXXX)</t>
        </is>
      </c>
      <c r="D3630" s="14" t="inlineStr">
        <is>
          <t>1003057 - ES - FOSF  MAP GR 11N 52/44 P2O5- MOSAIC</t>
        </is>
      </c>
      <c r="E3630" s="13" t="inlineStr">
        <is>
          <t>Adubação de Solo / Foliar</t>
        </is>
      </c>
      <c r="F3630" s="13" t="inlineStr">
        <is>
          <t>Cana-de-açúcar</t>
        </is>
      </c>
      <c r="G3630" s="13" t="inlineStr">
        <is>
          <t>Cultura Autorizada na Bula</t>
        </is>
      </c>
      <c r="H3630" s="13" t="inlineStr">
        <is>
          <t>100 a 300 L/ha</t>
        </is>
      </c>
      <c r="I3630" s="13" t="inlineStr">
        <is>
          <t>20 a 40 L/ha</t>
        </is>
      </c>
      <c r="J3630" s="13" t="inlineStr">
        <is>
          <t>Isento</t>
        </is>
      </c>
    </row>
    <row r="3631" ht="22" customHeight="1">
      <c r="A3631" s="6" t="inlineStr">
        <is>
          <t>CUL-3627</t>
        </is>
      </c>
      <c r="B3631" s="5" t="n">
        <v>719</v>
      </c>
      <c r="C3631" s="7" t="inlineStr">
        <is>
          <t>SIPEAGRO (UF-XXXXX)</t>
        </is>
      </c>
      <c r="D3631" s="8" t="inlineStr">
        <is>
          <t>1003057 - ES - FOSF  MAP GR 11N 52/44 P2O5- MOSAIC</t>
        </is>
      </c>
      <c r="E3631" s="7" t="inlineStr">
        <is>
          <t>Adubação de Solo / Foliar</t>
        </is>
      </c>
      <c r="F3631" s="7" t="inlineStr">
        <is>
          <t>Café</t>
        </is>
      </c>
      <c r="G3631" s="7" t="inlineStr">
        <is>
          <t>Cultura Autorizada na Bula</t>
        </is>
      </c>
      <c r="H3631" s="7" t="inlineStr">
        <is>
          <t>100 a 300 L/ha</t>
        </is>
      </c>
      <c r="I3631" s="7" t="inlineStr">
        <is>
          <t>20 a 40 L/ha</t>
        </is>
      </c>
      <c r="J3631" s="7" t="inlineStr">
        <is>
          <t>Isento</t>
        </is>
      </c>
    </row>
    <row r="3632" ht="22" customHeight="1">
      <c r="A3632" s="12" t="inlineStr">
        <is>
          <t>CUL-3628</t>
        </is>
      </c>
      <c r="B3632" s="11" t="n">
        <v>720</v>
      </c>
      <c r="C3632" s="13" t="inlineStr">
        <is>
          <t>SIPEAGRO (UF-XXXXX)</t>
        </is>
      </c>
      <c r="D3632" s="14" t="inlineStr">
        <is>
          <t>1014099 - ES - MICROESSENTIALS S9 10 46 00-MOSAIC</t>
        </is>
      </c>
      <c r="E3632" s="13" t="inlineStr">
        <is>
          <t>Adubação de Solo / Foliar</t>
        </is>
      </c>
      <c r="F3632" s="13" t="inlineStr">
        <is>
          <t>Soja</t>
        </is>
      </c>
      <c r="G3632" s="13" t="inlineStr">
        <is>
          <t>Cultura Autorizada na Bula</t>
        </is>
      </c>
      <c r="H3632" s="13" t="inlineStr">
        <is>
          <t>100 a 300 L/ha</t>
        </is>
      </c>
      <c r="I3632" s="13" t="inlineStr">
        <is>
          <t>20 a 40 L/ha</t>
        </is>
      </c>
      <c r="J3632" s="13" t="inlineStr">
        <is>
          <t>Isento</t>
        </is>
      </c>
    </row>
    <row r="3633" ht="22" customHeight="1">
      <c r="A3633" s="6" t="inlineStr">
        <is>
          <t>CUL-3629</t>
        </is>
      </c>
      <c r="B3633" s="5" t="n">
        <v>720</v>
      </c>
      <c r="C3633" s="7" t="inlineStr">
        <is>
          <t>SIPEAGRO (UF-XXXXX)</t>
        </is>
      </c>
      <c r="D3633" s="8" t="inlineStr">
        <is>
          <t>1014099 - ES - MICROESSENTIALS S9 10 46 00-MOSAIC</t>
        </is>
      </c>
      <c r="E3633" s="7" t="inlineStr">
        <is>
          <t>Adubação de Solo / Foliar</t>
        </is>
      </c>
      <c r="F3633" s="7" t="inlineStr">
        <is>
          <t>Milho</t>
        </is>
      </c>
      <c r="G3633" s="7" t="inlineStr">
        <is>
          <t>Cultura Autorizada na Bula</t>
        </is>
      </c>
      <c r="H3633" s="7" t="inlineStr">
        <is>
          <t>100 a 300 L/ha</t>
        </is>
      </c>
      <c r="I3633" s="7" t="inlineStr">
        <is>
          <t>20 a 40 L/ha</t>
        </is>
      </c>
      <c r="J3633" s="7" t="inlineStr">
        <is>
          <t>Isento</t>
        </is>
      </c>
    </row>
    <row r="3634" ht="22" customHeight="1">
      <c r="A3634" s="12" t="inlineStr">
        <is>
          <t>CUL-3630</t>
        </is>
      </c>
      <c r="B3634" s="11" t="n">
        <v>720</v>
      </c>
      <c r="C3634" s="13" t="inlineStr">
        <is>
          <t>SIPEAGRO (UF-XXXXX)</t>
        </is>
      </c>
      <c r="D3634" s="14" t="inlineStr">
        <is>
          <t>1014099 - ES - MICROESSENTIALS S9 10 46 00-MOSAIC</t>
        </is>
      </c>
      <c r="E3634" s="13" t="inlineStr">
        <is>
          <t>Adubação de Solo / Foliar</t>
        </is>
      </c>
      <c r="F3634" s="13" t="inlineStr">
        <is>
          <t>Algodão</t>
        </is>
      </c>
      <c r="G3634" s="13" t="inlineStr">
        <is>
          <t>Cultura Autorizada na Bula</t>
        </is>
      </c>
      <c r="H3634" s="13" t="inlineStr">
        <is>
          <t>100 a 300 L/ha</t>
        </is>
      </c>
      <c r="I3634" s="13" t="inlineStr">
        <is>
          <t>20 a 40 L/ha</t>
        </is>
      </c>
      <c r="J3634" s="13" t="inlineStr">
        <is>
          <t>Isento</t>
        </is>
      </c>
    </row>
    <row r="3635" ht="22" customHeight="1">
      <c r="A3635" s="6" t="inlineStr">
        <is>
          <t>CUL-3631</t>
        </is>
      </c>
      <c r="B3635" s="5" t="n">
        <v>720</v>
      </c>
      <c r="C3635" s="7" t="inlineStr">
        <is>
          <t>SIPEAGRO (UF-XXXXX)</t>
        </is>
      </c>
      <c r="D3635" s="8" t="inlineStr">
        <is>
          <t>1014099 - ES - MICROESSENTIALS S9 10 46 00-MOSAIC</t>
        </is>
      </c>
      <c r="E3635" s="7" t="inlineStr">
        <is>
          <t>Adubação de Solo / Foliar</t>
        </is>
      </c>
      <c r="F3635" s="7" t="inlineStr">
        <is>
          <t>Cana-de-açúcar</t>
        </is>
      </c>
      <c r="G3635" s="7" t="inlineStr">
        <is>
          <t>Cultura Autorizada na Bula</t>
        </is>
      </c>
      <c r="H3635" s="7" t="inlineStr">
        <is>
          <t>100 a 300 L/ha</t>
        </is>
      </c>
      <c r="I3635" s="7" t="inlineStr">
        <is>
          <t>20 a 40 L/ha</t>
        </is>
      </c>
      <c r="J3635" s="7" t="inlineStr">
        <is>
          <t>Isento</t>
        </is>
      </c>
    </row>
    <row r="3636" ht="22" customHeight="1">
      <c r="A3636" s="12" t="inlineStr">
        <is>
          <t>CUL-3632</t>
        </is>
      </c>
      <c r="B3636" s="11" t="n">
        <v>720</v>
      </c>
      <c r="C3636" s="13" t="inlineStr">
        <is>
          <t>SIPEAGRO (UF-XXXXX)</t>
        </is>
      </c>
      <c r="D3636" s="14" t="inlineStr">
        <is>
          <t>1014099 - ES - MICROESSENTIALS S9 10 46 00-MOSAIC</t>
        </is>
      </c>
      <c r="E3636" s="13" t="inlineStr">
        <is>
          <t>Adubação de Solo / Foliar</t>
        </is>
      </c>
      <c r="F3636" s="13" t="inlineStr">
        <is>
          <t>Café</t>
        </is>
      </c>
      <c r="G3636" s="13" t="inlineStr">
        <is>
          <t>Cultura Autorizada na Bula</t>
        </is>
      </c>
      <c r="H3636" s="13" t="inlineStr">
        <is>
          <t>100 a 300 L/ha</t>
        </is>
      </c>
      <c r="I3636" s="13" t="inlineStr">
        <is>
          <t>20 a 40 L/ha</t>
        </is>
      </c>
      <c r="J3636" s="13" t="inlineStr">
        <is>
          <t>Isento</t>
        </is>
      </c>
    </row>
    <row r="3637" ht="22" customHeight="1">
      <c r="A3637" s="6" t="inlineStr">
        <is>
          <t>CUL-3633</t>
        </is>
      </c>
      <c r="B3637" s="5" t="n">
        <v>721</v>
      </c>
      <c r="C3637" s="7" t="inlineStr">
        <is>
          <t>SIPEAGRO (UF-XXXXX)</t>
        </is>
      </c>
      <c r="D3637" s="8" t="inlineStr">
        <is>
          <t>1017068 - MP - CLOR  POTASS. 60,5 K2O GRAN</t>
        </is>
      </c>
      <c r="E3637" s="7" t="inlineStr">
        <is>
          <t>Adubação de Solo / Foliar</t>
        </is>
      </c>
      <c r="F3637" s="7" t="inlineStr">
        <is>
          <t>Soja</t>
        </is>
      </c>
      <c r="G3637" s="7" t="inlineStr">
        <is>
          <t>Cultura Autorizada na Bula</t>
        </is>
      </c>
      <c r="H3637" s="7" t="inlineStr">
        <is>
          <t>100 a 300 L/ha</t>
        </is>
      </c>
      <c r="I3637" s="7" t="inlineStr">
        <is>
          <t>20 a 40 L/ha</t>
        </is>
      </c>
      <c r="J3637" s="7" t="inlineStr">
        <is>
          <t>Isento</t>
        </is>
      </c>
    </row>
    <row r="3638" ht="22" customHeight="1">
      <c r="A3638" s="12" t="inlineStr">
        <is>
          <t>CUL-3634</t>
        </is>
      </c>
      <c r="B3638" s="11" t="n">
        <v>721</v>
      </c>
      <c r="C3638" s="13" t="inlineStr">
        <is>
          <t>SIPEAGRO (UF-XXXXX)</t>
        </is>
      </c>
      <c r="D3638" s="14" t="inlineStr">
        <is>
          <t>1017068 - MP - CLOR  POTASS. 60,5 K2O GRAN</t>
        </is>
      </c>
      <c r="E3638" s="13" t="inlineStr">
        <is>
          <t>Adubação de Solo / Foliar</t>
        </is>
      </c>
      <c r="F3638" s="13" t="inlineStr">
        <is>
          <t>Milho</t>
        </is>
      </c>
      <c r="G3638" s="13" t="inlineStr">
        <is>
          <t>Cultura Autorizada na Bula</t>
        </is>
      </c>
      <c r="H3638" s="13" t="inlineStr">
        <is>
          <t>100 a 300 L/ha</t>
        </is>
      </c>
      <c r="I3638" s="13" t="inlineStr">
        <is>
          <t>20 a 40 L/ha</t>
        </is>
      </c>
      <c r="J3638" s="13" t="inlineStr">
        <is>
          <t>Isento</t>
        </is>
      </c>
    </row>
    <row r="3639" ht="22" customHeight="1">
      <c r="A3639" s="6" t="inlineStr">
        <is>
          <t>CUL-3635</t>
        </is>
      </c>
      <c r="B3639" s="5" t="n">
        <v>721</v>
      </c>
      <c r="C3639" s="7" t="inlineStr">
        <is>
          <t>SIPEAGRO (UF-XXXXX)</t>
        </is>
      </c>
      <c r="D3639" s="8" t="inlineStr">
        <is>
          <t>1017068 - MP - CLOR  POTASS. 60,5 K2O GRAN</t>
        </is>
      </c>
      <c r="E3639" s="7" t="inlineStr">
        <is>
          <t>Adubação de Solo / Foliar</t>
        </is>
      </c>
      <c r="F3639" s="7" t="inlineStr">
        <is>
          <t>Algodão</t>
        </is>
      </c>
      <c r="G3639" s="7" t="inlineStr">
        <is>
          <t>Cultura Autorizada na Bula</t>
        </is>
      </c>
      <c r="H3639" s="7" t="inlineStr">
        <is>
          <t>100 a 300 L/ha</t>
        </is>
      </c>
      <c r="I3639" s="7" t="inlineStr">
        <is>
          <t>20 a 40 L/ha</t>
        </is>
      </c>
      <c r="J3639" s="7" t="inlineStr">
        <is>
          <t>Isento</t>
        </is>
      </c>
    </row>
    <row r="3640" ht="22" customHeight="1">
      <c r="A3640" s="12" t="inlineStr">
        <is>
          <t>CUL-3636</t>
        </is>
      </c>
      <c r="B3640" s="11" t="n">
        <v>721</v>
      </c>
      <c r="C3640" s="13" t="inlineStr">
        <is>
          <t>SIPEAGRO (UF-XXXXX)</t>
        </is>
      </c>
      <c r="D3640" s="14" t="inlineStr">
        <is>
          <t>1017068 - MP - CLOR  POTASS. 60,5 K2O GRAN</t>
        </is>
      </c>
      <c r="E3640" s="13" t="inlineStr">
        <is>
          <t>Adubação de Solo / Foliar</t>
        </is>
      </c>
      <c r="F3640" s="13" t="inlineStr">
        <is>
          <t>Cana-de-açúcar</t>
        </is>
      </c>
      <c r="G3640" s="13" t="inlineStr">
        <is>
          <t>Cultura Autorizada na Bula</t>
        </is>
      </c>
      <c r="H3640" s="13" t="inlineStr">
        <is>
          <t>100 a 300 L/ha</t>
        </is>
      </c>
      <c r="I3640" s="13" t="inlineStr">
        <is>
          <t>20 a 40 L/ha</t>
        </is>
      </c>
      <c r="J3640" s="13" t="inlineStr">
        <is>
          <t>Isento</t>
        </is>
      </c>
    </row>
    <row r="3641" ht="22" customHeight="1">
      <c r="A3641" s="6" t="inlineStr">
        <is>
          <t>CUL-3637</t>
        </is>
      </c>
      <c r="B3641" s="5" t="n">
        <v>721</v>
      </c>
      <c r="C3641" s="7" t="inlineStr">
        <is>
          <t>SIPEAGRO (UF-XXXXX)</t>
        </is>
      </c>
      <c r="D3641" s="8" t="inlineStr">
        <is>
          <t>1017068 - MP - CLOR  POTASS. 60,5 K2O GRAN</t>
        </is>
      </c>
      <c r="E3641" s="7" t="inlineStr">
        <is>
          <t>Adubação de Solo / Foliar</t>
        </is>
      </c>
      <c r="F3641" s="7" t="inlineStr">
        <is>
          <t>Café</t>
        </is>
      </c>
      <c r="G3641" s="7" t="inlineStr">
        <is>
          <t>Cultura Autorizada na Bula</t>
        </is>
      </c>
      <c r="H3641" s="7" t="inlineStr">
        <is>
          <t>100 a 300 L/ha</t>
        </is>
      </c>
      <c r="I3641" s="7" t="inlineStr">
        <is>
          <t>20 a 40 L/ha</t>
        </is>
      </c>
      <c r="J3641" s="7" t="inlineStr">
        <is>
          <t>Isento</t>
        </is>
      </c>
    </row>
    <row r="3642" ht="22" customHeight="1">
      <c r="A3642" s="12" t="inlineStr">
        <is>
          <t>CUL-3638</t>
        </is>
      </c>
      <c r="B3642" s="11" t="n">
        <v>722</v>
      </c>
      <c r="C3642" s="13" t="inlineStr">
        <is>
          <t>SIPEAGRO (UF-XXXXX)</t>
        </is>
      </c>
      <c r="D3642" s="14" t="inlineStr">
        <is>
          <t>1003007-SUPERFOS TRIP GR 46/36 P2O5+ 10 CA VALIDAR</t>
        </is>
      </c>
      <c r="E3642" s="13" t="inlineStr">
        <is>
          <t>Adubação de Solo / Foliar</t>
        </is>
      </c>
      <c r="F3642" s="13" t="inlineStr">
        <is>
          <t>Soja</t>
        </is>
      </c>
      <c r="G3642" s="13" t="inlineStr">
        <is>
          <t>Cultura Autorizada na Bula</t>
        </is>
      </c>
      <c r="H3642" s="13" t="inlineStr">
        <is>
          <t>100 a 300 L/ha</t>
        </is>
      </c>
      <c r="I3642" s="13" t="inlineStr">
        <is>
          <t>20 a 40 L/ha</t>
        </is>
      </c>
      <c r="J3642" s="13" t="inlineStr">
        <is>
          <t>Isento</t>
        </is>
      </c>
    </row>
    <row r="3643" ht="22" customHeight="1">
      <c r="A3643" s="6" t="inlineStr">
        <is>
          <t>CUL-3639</t>
        </is>
      </c>
      <c r="B3643" s="5" t="n">
        <v>722</v>
      </c>
      <c r="C3643" s="7" t="inlineStr">
        <is>
          <t>SIPEAGRO (UF-XXXXX)</t>
        </is>
      </c>
      <c r="D3643" s="8" t="inlineStr">
        <is>
          <t>1003007-SUPERFOS TRIP GR 46/36 P2O5+ 10 CA VALIDAR</t>
        </is>
      </c>
      <c r="E3643" s="7" t="inlineStr">
        <is>
          <t>Adubação de Solo / Foliar</t>
        </is>
      </c>
      <c r="F3643" s="7" t="inlineStr">
        <is>
          <t>Milho</t>
        </is>
      </c>
      <c r="G3643" s="7" t="inlineStr">
        <is>
          <t>Cultura Autorizada na Bula</t>
        </is>
      </c>
      <c r="H3643" s="7" t="inlineStr">
        <is>
          <t>100 a 300 L/ha</t>
        </is>
      </c>
      <c r="I3643" s="7" t="inlineStr">
        <is>
          <t>20 a 40 L/ha</t>
        </is>
      </c>
      <c r="J3643" s="7" t="inlineStr">
        <is>
          <t>Isento</t>
        </is>
      </c>
    </row>
    <row r="3644" ht="22" customHeight="1">
      <c r="A3644" s="12" t="inlineStr">
        <is>
          <t>CUL-3640</t>
        </is>
      </c>
      <c r="B3644" s="11" t="n">
        <v>722</v>
      </c>
      <c r="C3644" s="13" t="inlineStr">
        <is>
          <t>SIPEAGRO (UF-XXXXX)</t>
        </is>
      </c>
      <c r="D3644" s="14" t="inlineStr">
        <is>
          <t>1003007-SUPERFOS TRIP GR 46/36 P2O5+ 10 CA VALIDAR</t>
        </is>
      </c>
      <c r="E3644" s="13" t="inlineStr">
        <is>
          <t>Adubação de Solo / Foliar</t>
        </is>
      </c>
      <c r="F3644" s="13" t="inlineStr">
        <is>
          <t>Algodão</t>
        </is>
      </c>
      <c r="G3644" s="13" t="inlineStr">
        <is>
          <t>Cultura Autorizada na Bula</t>
        </is>
      </c>
      <c r="H3644" s="13" t="inlineStr">
        <is>
          <t>100 a 300 L/ha</t>
        </is>
      </c>
      <c r="I3644" s="13" t="inlineStr">
        <is>
          <t>20 a 40 L/ha</t>
        </is>
      </c>
      <c r="J3644" s="13" t="inlineStr">
        <is>
          <t>Isento</t>
        </is>
      </c>
    </row>
    <row r="3645" ht="22" customHeight="1">
      <c r="A3645" s="6" t="inlineStr">
        <is>
          <t>CUL-3641</t>
        </is>
      </c>
      <c r="B3645" s="5" t="n">
        <v>722</v>
      </c>
      <c r="C3645" s="7" t="inlineStr">
        <is>
          <t>SIPEAGRO (UF-XXXXX)</t>
        </is>
      </c>
      <c r="D3645" s="8" t="inlineStr">
        <is>
          <t>1003007-SUPERFOS TRIP GR 46/36 P2O5+ 10 CA VALIDAR</t>
        </is>
      </c>
      <c r="E3645" s="7" t="inlineStr">
        <is>
          <t>Adubação de Solo / Foliar</t>
        </is>
      </c>
      <c r="F3645" s="7" t="inlineStr">
        <is>
          <t>Cana-de-açúcar</t>
        </is>
      </c>
      <c r="G3645" s="7" t="inlineStr">
        <is>
          <t>Cultura Autorizada na Bula</t>
        </is>
      </c>
      <c r="H3645" s="7" t="inlineStr">
        <is>
          <t>100 a 300 L/ha</t>
        </is>
      </c>
      <c r="I3645" s="7" t="inlineStr">
        <is>
          <t>20 a 40 L/ha</t>
        </is>
      </c>
      <c r="J3645" s="7" t="inlineStr">
        <is>
          <t>Isento</t>
        </is>
      </c>
    </row>
    <row r="3646" ht="22" customHeight="1">
      <c r="A3646" s="12" t="inlineStr">
        <is>
          <t>CUL-3642</t>
        </is>
      </c>
      <c r="B3646" s="11" t="n">
        <v>722</v>
      </c>
      <c r="C3646" s="13" t="inlineStr">
        <is>
          <t>SIPEAGRO (UF-XXXXX)</t>
        </is>
      </c>
      <c r="D3646" s="14" t="inlineStr">
        <is>
          <t>1003007-SUPERFOS TRIP GR 46/36 P2O5+ 10 CA VALIDAR</t>
        </is>
      </c>
      <c r="E3646" s="13" t="inlineStr">
        <is>
          <t>Adubação de Solo / Foliar</t>
        </is>
      </c>
      <c r="F3646" s="13" t="inlineStr">
        <is>
          <t>Café</t>
        </is>
      </c>
      <c r="G3646" s="13" t="inlineStr">
        <is>
          <t>Cultura Autorizada na Bula</t>
        </is>
      </c>
      <c r="H3646" s="13" t="inlineStr">
        <is>
          <t>100 a 300 L/ha</t>
        </is>
      </c>
      <c r="I3646" s="13" t="inlineStr">
        <is>
          <t>20 a 40 L/ha</t>
        </is>
      </c>
      <c r="J3646" s="13" t="inlineStr">
        <is>
          <t>Isento</t>
        </is>
      </c>
    </row>
    <row r="3647" ht="22" customHeight="1">
      <c r="A3647" s="6" t="inlineStr">
        <is>
          <t>CUL-3643</t>
        </is>
      </c>
      <c r="B3647" s="5" t="n">
        <v>723</v>
      </c>
      <c r="C3647" s="7" t="inlineStr">
        <is>
          <t>SIPEAGRO (UF-XXXXX)</t>
        </is>
      </c>
      <c r="D3647" s="8" t="inlineStr">
        <is>
          <t>KCL 00-00-60 - GRAN</t>
        </is>
      </c>
      <c r="E3647" s="7" t="inlineStr">
        <is>
          <t>Adubação de Solo / Foliar</t>
        </is>
      </c>
      <c r="F3647" s="7" t="inlineStr">
        <is>
          <t>Soja</t>
        </is>
      </c>
      <c r="G3647" s="7" t="inlineStr">
        <is>
          <t>Cultura Autorizada na Bula</t>
        </is>
      </c>
      <c r="H3647" s="7" t="inlineStr">
        <is>
          <t>100 a 300 L/ha</t>
        </is>
      </c>
      <c r="I3647" s="7" t="inlineStr">
        <is>
          <t>20 a 40 L/ha</t>
        </is>
      </c>
      <c r="J3647" s="7" t="inlineStr">
        <is>
          <t>Isento</t>
        </is>
      </c>
    </row>
    <row r="3648" ht="22" customHeight="1">
      <c r="A3648" s="12" t="inlineStr">
        <is>
          <t>CUL-3644</t>
        </is>
      </c>
      <c r="B3648" s="11" t="n">
        <v>723</v>
      </c>
      <c r="C3648" s="13" t="inlineStr">
        <is>
          <t>SIPEAGRO (UF-XXXXX)</t>
        </is>
      </c>
      <c r="D3648" s="14" t="inlineStr">
        <is>
          <t>KCL 00-00-60 - GRAN</t>
        </is>
      </c>
      <c r="E3648" s="13" t="inlineStr">
        <is>
          <t>Adubação de Solo / Foliar</t>
        </is>
      </c>
      <c r="F3648" s="13" t="inlineStr">
        <is>
          <t>Milho</t>
        </is>
      </c>
      <c r="G3648" s="13" t="inlineStr">
        <is>
          <t>Cultura Autorizada na Bula</t>
        </is>
      </c>
      <c r="H3648" s="13" t="inlineStr">
        <is>
          <t>100 a 300 L/ha</t>
        </is>
      </c>
      <c r="I3648" s="13" t="inlineStr">
        <is>
          <t>20 a 40 L/ha</t>
        </is>
      </c>
      <c r="J3648" s="13" t="inlineStr">
        <is>
          <t>Isento</t>
        </is>
      </c>
    </row>
    <row r="3649" ht="22" customHeight="1">
      <c r="A3649" s="6" t="inlineStr">
        <is>
          <t>CUL-3645</t>
        </is>
      </c>
      <c r="B3649" s="5" t="n">
        <v>723</v>
      </c>
      <c r="C3649" s="7" t="inlineStr">
        <is>
          <t>SIPEAGRO (UF-XXXXX)</t>
        </is>
      </c>
      <c r="D3649" s="8" t="inlineStr">
        <is>
          <t>KCL 00-00-60 - GRAN</t>
        </is>
      </c>
      <c r="E3649" s="7" t="inlineStr">
        <is>
          <t>Adubação de Solo / Foliar</t>
        </is>
      </c>
      <c r="F3649" s="7" t="inlineStr">
        <is>
          <t>Algodão</t>
        </is>
      </c>
      <c r="G3649" s="7" t="inlineStr">
        <is>
          <t>Cultura Autorizada na Bula</t>
        </is>
      </c>
      <c r="H3649" s="7" t="inlineStr">
        <is>
          <t>100 a 300 L/ha</t>
        </is>
      </c>
      <c r="I3649" s="7" t="inlineStr">
        <is>
          <t>20 a 40 L/ha</t>
        </is>
      </c>
      <c r="J3649" s="7" t="inlineStr">
        <is>
          <t>Isento</t>
        </is>
      </c>
    </row>
    <row r="3650" ht="22" customHeight="1">
      <c r="A3650" s="12" t="inlineStr">
        <is>
          <t>CUL-3646</t>
        </is>
      </c>
      <c r="B3650" s="11" t="n">
        <v>723</v>
      </c>
      <c r="C3650" s="13" t="inlineStr">
        <is>
          <t>SIPEAGRO (UF-XXXXX)</t>
        </is>
      </c>
      <c r="D3650" s="14" t="inlineStr">
        <is>
          <t>KCL 00-00-60 - GRAN</t>
        </is>
      </c>
      <c r="E3650" s="13" t="inlineStr">
        <is>
          <t>Adubação de Solo / Foliar</t>
        </is>
      </c>
      <c r="F3650" s="13" t="inlineStr">
        <is>
          <t>Cana-de-açúcar</t>
        </is>
      </c>
      <c r="G3650" s="13" t="inlineStr">
        <is>
          <t>Cultura Autorizada na Bula</t>
        </is>
      </c>
      <c r="H3650" s="13" t="inlineStr">
        <is>
          <t>100 a 300 L/ha</t>
        </is>
      </c>
      <c r="I3650" s="13" t="inlineStr">
        <is>
          <t>20 a 40 L/ha</t>
        </is>
      </c>
      <c r="J3650" s="13" t="inlineStr">
        <is>
          <t>Isento</t>
        </is>
      </c>
    </row>
    <row r="3651" ht="22" customHeight="1">
      <c r="A3651" s="6" t="inlineStr">
        <is>
          <t>CUL-3647</t>
        </is>
      </c>
      <c r="B3651" s="5" t="n">
        <v>723</v>
      </c>
      <c r="C3651" s="7" t="inlineStr">
        <is>
          <t>SIPEAGRO (UF-XXXXX)</t>
        </is>
      </c>
      <c r="D3651" s="8" t="inlineStr">
        <is>
          <t>KCL 00-00-60 - GRAN</t>
        </is>
      </c>
      <c r="E3651" s="7" t="inlineStr">
        <is>
          <t>Adubação de Solo / Foliar</t>
        </is>
      </c>
      <c r="F3651" s="7" t="inlineStr">
        <is>
          <t>Café</t>
        </is>
      </c>
      <c r="G3651" s="7" t="inlineStr">
        <is>
          <t>Cultura Autorizada na Bula</t>
        </is>
      </c>
      <c r="H3651" s="7" t="inlineStr">
        <is>
          <t>100 a 300 L/ha</t>
        </is>
      </c>
      <c r="I3651" s="7" t="inlineStr">
        <is>
          <t>20 a 40 L/ha</t>
        </is>
      </c>
      <c r="J3651" s="7" t="inlineStr">
        <is>
          <t>Isento</t>
        </is>
      </c>
    </row>
    <row r="3652" ht="22" customHeight="1">
      <c r="A3652" s="12" t="inlineStr">
        <is>
          <t>CUL-3648</t>
        </is>
      </c>
      <c r="B3652" s="11" t="n">
        <v>724</v>
      </c>
      <c r="C3652" s="13" t="inlineStr">
        <is>
          <t>Nº 14421</t>
        </is>
      </c>
      <c r="D3652" s="14" t="inlineStr">
        <is>
          <t>LEALTY FS IBC 1.000L (IMP) SS</t>
        </is>
      </c>
      <c r="E3652" s="13" t="inlineStr">
        <is>
          <t>Tratamento de Sementes / Sulco</t>
        </is>
      </c>
      <c r="F3652" s="13" t="inlineStr">
        <is>
          <t>Soja (Trat. Sementes / Sulco)</t>
        </is>
      </c>
      <c r="G3652" s="13" t="inlineStr">
        <is>
          <t>Cultura Autorizada na Bula</t>
        </is>
      </c>
      <c r="H3652" s="13" t="inlineStr">
        <is>
          <t>Calda TS (0,2 a 0,6 L/100kg sem.)</t>
        </is>
      </c>
      <c r="I3652" s="13" t="inlineStr">
        <is>
          <t>Não Autorizada (TS)</t>
        </is>
      </c>
      <c r="J3652" s="13" t="inlineStr">
        <is>
          <t>N/D</t>
        </is>
      </c>
    </row>
    <row r="3653" ht="22" customHeight="1">
      <c r="A3653" s="6" t="inlineStr">
        <is>
          <t>CUL-3649</t>
        </is>
      </c>
      <c r="B3653" s="5" t="n">
        <v>724</v>
      </c>
      <c r="C3653" s="7" t="inlineStr">
        <is>
          <t>Nº 14421</t>
        </is>
      </c>
      <c r="D3653" s="8" t="inlineStr">
        <is>
          <t>LEALTY FS IBC 1.000L (IMP) SS</t>
        </is>
      </c>
      <c r="E3653" s="7" t="inlineStr">
        <is>
          <t>Tratamento de Sementes / Sulco</t>
        </is>
      </c>
      <c r="F3653" s="7" t="inlineStr">
        <is>
          <t>Milho (Trat. Sementes)</t>
        </is>
      </c>
      <c r="G3653" s="7" t="inlineStr">
        <is>
          <t>Cultura Autorizada na Bula</t>
        </is>
      </c>
      <c r="H3653" s="7" t="inlineStr">
        <is>
          <t>Calda TS (0,2 a 0,6 L/100kg sem.)</t>
        </is>
      </c>
      <c r="I3653" s="7" t="inlineStr">
        <is>
          <t>Não Autorizada (TS)</t>
        </is>
      </c>
      <c r="J3653" s="7" t="inlineStr">
        <is>
          <t>N/D</t>
        </is>
      </c>
    </row>
    <row r="3654" ht="22" customHeight="1">
      <c r="A3654" s="12" t="inlineStr">
        <is>
          <t>CUL-3650</t>
        </is>
      </c>
      <c r="B3654" s="11" t="n">
        <v>724</v>
      </c>
      <c r="C3654" s="13" t="inlineStr">
        <is>
          <t>Nº 14421</t>
        </is>
      </c>
      <c r="D3654" s="14" t="inlineStr">
        <is>
          <t>LEALTY FS IBC 1.000L (IMP) SS</t>
        </is>
      </c>
      <c r="E3654" s="13" t="inlineStr">
        <is>
          <t>Tratamento de Sementes / Sulco</t>
        </is>
      </c>
      <c r="F3654" s="13" t="inlineStr">
        <is>
          <t>Algodão</t>
        </is>
      </c>
      <c r="G3654" s="13" t="inlineStr">
        <is>
          <t>Cultura Autorizada na Bula</t>
        </is>
      </c>
      <c r="H3654" s="13" t="inlineStr">
        <is>
          <t>Calda TS (0,2 a 0,6 L/100kg sem.)</t>
        </is>
      </c>
      <c r="I3654" s="13" t="inlineStr">
        <is>
          <t>Não Autorizada (TS)</t>
        </is>
      </c>
      <c r="J3654" s="13" t="inlineStr">
        <is>
          <t>N/D</t>
        </is>
      </c>
    </row>
    <row r="3655" ht="22" customHeight="1">
      <c r="A3655" s="6" t="inlineStr">
        <is>
          <t>CUL-3651</t>
        </is>
      </c>
      <c r="B3655" s="5" t="n">
        <v>724</v>
      </c>
      <c r="C3655" s="7" t="inlineStr">
        <is>
          <t>Nº 14421</t>
        </is>
      </c>
      <c r="D3655" s="8" t="inlineStr">
        <is>
          <t>LEALTY FS IBC 1.000L (IMP) SS</t>
        </is>
      </c>
      <c r="E3655" s="7" t="inlineStr">
        <is>
          <t>Tratamento de Sementes / Sulco</t>
        </is>
      </c>
      <c r="F3655" s="7" t="inlineStr">
        <is>
          <t>Cana-de-açúcar (Sulco)</t>
        </is>
      </c>
      <c r="G3655" s="7" t="inlineStr">
        <is>
          <t>Cultura Autorizada na Bula</t>
        </is>
      </c>
      <c r="H3655" s="7" t="inlineStr">
        <is>
          <t>Calda TS (0,2 a 0,6 L/100kg sem.)</t>
        </is>
      </c>
      <c r="I3655" s="7" t="inlineStr">
        <is>
          <t>Não Autorizada (TS)</t>
        </is>
      </c>
      <c r="J3655" s="7" t="inlineStr">
        <is>
          <t>N/D</t>
        </is>
      </c>
    </row>
    <row r="3656" ht="22" customHeight="1">
      <c r="A3656" s="12" t="inlineStr">
        <is>
          <t>CUL-3652</t>
        </is>
      </c>
      <c r="B3656" s="11" t="n">
        <v>724</v>
      </c>
      <c r="C3656" s="13" t="inlineStr">
        <is>
          <t>Nº 14421</t>
        </is>
      </c>
      <c r="D3656" s="14" t="inlineStr">
        <is>
          <t>LEALTY FS IBC 1.000L (IMP) SS</t>
        </is>
      </c>
      <c r="E3656" s="13" t="inlineStr">
        <is>
          <t>Tratamento de Sementes / Sulco</t>
        </is>
      </c>
      <c r="F3656" s="13" t="inlineStr">
        <is>
          <t>Arroz</t>
        </is>
      </c>
      <c r="G3656" s="13" t="inlineStr">
        <is>
          <t>Cultura Autorizada na Bula</t>
        </is>
      </c>
      <c r="H3656" s="13" t="inlineStr">
        <is>
          <t>Calda TS (0,2 a 0,6 L/100kg sem.)</t>
        </is>
      </c>
      <c r="I3656" s="13" t="inlineStr">
        <is>
          <t>Não Autorizada (TS)</t>
        </is>
      </c>
      <c r="J3656" s="13" t="inlineStr">
        <is>
          <t>N/D</t>
        </is>
      </c>
    </row>
    <row r="3657" ht="22" customHeight="1">
      <c r="A3657" s="6" t="inlineStr">
        <is>
          <t>CUL-3653</t>
        </is>
      </c>
      <c r="B3657" s="5" t="n">
        <v>724</v>
      </c>
      <c r="C3657" s="7" t="inlineStr">
        <is>
          <t>Nº 14421</t>
        </is>
      </c>
      <c r="D3657" s="8" t="inlineStr">
        <is>
          <t>LEALTY FS IBC 1.000L (IMP) SS</t>
        </is>
      </c>
      <c r="E3657" s="7" t="inlineStr">
        <is>
          <t>Tratamento de Sementes / Sulco</t>
        </is>
      </c>
      <c r="F3657" s="7" t="inlineStr">
        <is>
          <t>Feijão</t>
        </is>
      </c>
      <c r="G3657" s="7" t="inlineStr">
        <is>
          <t>Cultura Autorizada na Bula</t>
        </is>
      </c>
      <c r="H3657" s="7" t="inlineStr">
        <is>
          <t>Calda TS (0,2 a 0,6 L/100kg sem.)</t>
        </is>
      </c>
      <c r="I3657" s="7" t="inlineStr">
        <is>
          <t>Não Autorizada (TS)</t>
        </is>
      </c>
      <c r="J3657" s="7" t="inlineStr">
        <is>
          <t>N/D</t>
        </is>
      </c>
    </row>
    <row r="3658" ht="22" customHeight="1">
      <c r="A3658" s="12" t="inlineStr">
        <is>
          <t>CUL-3654</t>
        </is>
      </c>
      <c r="B3658" s="11" t="n">
        <v>724</v>
      </c>
      <c r="C3658" s="13" t="inlineStr">
        <is>
          <t>Nº 14421</t>
        </is>
      </c>
      <c r="D3658" s="14" t="inlineStr">
        <is>
          <t>LEALTY FS IBC 1.000L (IMP) SS</t>
        </is>
      </c>
      <c r="E3658" s="13" t="inlineStr">
        <is>
          <t>Tratamento de Sementes / Sulco</t>
        </is>
      </c>
      <c r="F3658" s="13" t="inlineStr">
        <is>
          <t>Pastagens</t>
        </is>
      </c>
      <c r="G3658" s="13" t="inlineStr">
        <is>
          <t>Cultura Autorizada na Bula</t>
        </is>
      </c>
      <c r="H3658" s="13" t="inlineStr">
        <is>
          <t>Calda TS (0,2 a 0,6 L/100kg sem.)</t>
        </is>
      </c>
      <c r="I3658" s="13" t="inlineStr">
        <is>
          <t>Não Autorizada (TS)</t>
        </is>
      </c>
      <c r="J3658" s="13" t="inlineStr">
        <is>
          <t>N/D</t>
        </is>
      </c>
    </row>
    <row r="3659" ht="22" customHeight="1">
      <c r="A3659" s="6" t="inlineStr">
        <is>
          <t>CUL-3655</t>
        </is>
      </c>
      <c r="B3659" s="5" t="n">
        <v>724</v>
      </c>
      <c r="C3659" s="7" t="inlineStr">
        <is>
          <t>Nº 14421</t>
        </is>
      </c>
      <c r="D3659" s="8" t="inlineStr">
        <is>
          <t>LEALTY FS IBC 1.000L (IMP) SS</t>
        </is>
      </c>
      <c r="E3659" s="7" t="inlineStr">
        <is>
          <t>Tratamento de Sementes / Sulco</t>
        </is>
      </c>
      <c r="F3659" s="7" t="inlineStr">
        <is>
          <t>Trigo</t>
        </is>
      </c>
      <c r="G3659" s="7" t="inlineStr">
        <is>
          <t>Cultura Autorizada na Bula</t>
        </is>
      </c>
      <c r="H3659" s="7" t="inlineStr">
        <is>
          <t>Calda TS (0,2 a 0,6 L/100kg sem.)</t>
        </is>
      </c>
      <c r="I3659" s="7" t="inlineStr">
        <is>
          <t>Não Autorizada (TS)</t>
        </is>
      </c>
      <c r="J3659" s="7" t="inlineStr">
        <is>
          <t>N/D</t>
        </is>
      </c>
    </row>
    <row r="3660" ht="22" customHeight="1">
      <c r="A3660" s="12" t="inlineStr">
        <is>
          <t>CUL-3656</t>
        </is>
      </c>
      <c r="B3660" s="11" t="n">
        <v>725</v>
      </c>
      <c r="C3660" s="13" t="inlineStr">
        <is>
          <t>Nº 11819</t>
        </is>
      </c>
      <c r="D3660" s="14" t="inlineStr">
        <is>
          <t>MANCOZEB 800 (PRINCIPIO ATIVO)</t>
        </is>
      </c>
      <c r="E3660" s="13" t="inlineStr">
        <is>
          <t>Uso Exclusivamente Industrial (Formulação)</t>
        </is>
      </c>
      <c r="F3660" s="13" t="inlineStr">
        <is>
          <t>Não Aplicável (Proibido uso direto na lavoura)</t>
        </is>
      </c>
      <c r="G3660" s="13" t="inlineStr">
        <is>
          <t>Insumo Industrial</t>
        </is>
      </c>
      <c r="H3660" s="13" t="inlineStr">
        <is>
          <t>N/A</t>
        </is>
      </c>
      <c r="I3660" s="13" t="inlineStr">
        <is>
          <t>N/A</t>
        </is>
      </c>
      <c r="J3660" s="13" t="inlineStr">
        <is>
          <t>N/A (Insumo Industrial)</t>
        </is>
      </c>
    </row>
    <row r="3661" ht="22" customHeight="1">
      <c r="A3661" s="6" t="inlineStr">
        <is>
          <t>CUL-3657</t>
        </is>
      </c>
      <c r="B3661" s="5" t="n">
        <v>726</v>
      </c>
      <c r="C3661" s="7" t="inlineStr">
        <is>
          <t>Nº 28925</t>
        </is>
      </c>
      <c r="D3661" s="8" t="inlineStr">
        <is>
          <t>S-METOLACHLOR 960 EC BINNONG</t>
        </is>
      </c>
      <c r="E3661" s="7" t="inlineStr">
        <is>
          <t>Pulverização Agrícola Conforme Bula</t>
        </is>
      </c>
      <c r="F3661" s="7" t="inlineStr">
        <is>
          <t>Soja</t>
        </is>
      </c>
      <c r="G3661" s="7" t="inlineStr">
        <is>
          <t>Cultura Autorizada na Bula</t>
        </is>
      </c>
      <c r="H3661" s="7" t="inlineStr">
        <is>
          <t>100 a 300 L/ha</t>
        </is>
      </c>
      <c r="I3661" s="7" t="inlineStr">
        <is>
          <t>20 a 40 L/ha</t>
        </is>
      </c>
      <c r="J3661" s="7" t="inlineStr">
        <is>
          <t>N/D</t>
        </is>
      </c>
    </row>
    <row r="3662" ht="22" customHeight="1">
      <c r="A3662" s="12" t="inlineStr">
        <is>
          <t>CUL-3658</t>
        </is>
      </c>
      <c r="B3662" s="11" t="n">
        <v>726</v>
      </c>
      <c r="C3662" s="13" t="inlineStr">
        <is>
          <t>Nº 28925</t>
        </is>
      </c>
      <c r="D3662" s="14" t="inlineStr">
        <is>
          <t>S-METOLACHLOR 960 EC BINNONG</t>
        </is>
      </c>
      <c r="E3662" s="13" t="inlineStr">
        <is>
          <t>Pulverização Agrícola Conforme Bula</t>
        </is>
      </c>
      <c r="F3662" s="13" t="inlineStr">
        <is>
          <t>Milho</t>
        </is>
      </c>
      <c r="G3662" s="13" t="inlineStr">
        <is>
          <t>Cultura Autorizada na Bula</t>
        </is>
      </c>
      <c r="H3662" s="13" t="inlineStr">
        <is>
          <t>100 a 300 L/ha</t>
        </is>
      </c>
      <c r="I3662" s="13" t="inlineStr">
        <is>
          <t>20 a 40 L/ha</t>
        </is>
      </c>
      <c r="J3662" s="13" t="inlineStr">
        <is>
          <t>N/D</t>
        </is>
      </c>
    </row>
    <row r="3663" ht="22" customHeight="1">
      <c r="A3663" s="6" t="inlineStr">
        <is>
          <t>CUL-3659</t>
        </is>
      </c>
      <c r="B3663" s="5" t="n">
        <v>726</v>
      </c>
      <c r="C3663" s="7" t="inlineStr">
        <is>
          <t>Nº 28925</t>
        </is>
      </c>
      <c r="D3663" s="8" t="inlineStr">
        <is>
          <t>S-METOLACHLOR 960 EC BINNONG</t>
        </is>
      </c>
      <c r="E3663" s="7" t="inlineStr">
        <is>
          <t>Pulverização Agrícola Conforme Bula</t>
        </is>
      </c>
      <c r="F3663" s="7" t="inlineStr">
        <is>
          <t>Algodão</t>
        </is>
      </c>
      <c r="G3663" s="7" t="inlineStr">
        <is>
          <t>Cultura Autorizada na Bula</t>
        </is>
      </c>
      <c r="H3663" s="7" t="inlineStr">
        <is>
          <t>100 a 300 L/ha</t>
        </is>
      </c>
      <c r="I3663" s="7" t="inlineStr">
        <is>
          <t>20 a 40 L/ha</t>
        </is>
      </c>
      <c r="J3663" s="7" t="inlineStr">
        <is>
          <t>N/D</t>
        </is>
      </c>
    </row>
    <row r="3664" ht="22" customHeight="1">
      <c r="A3664" s="12" t="inlineStr">
        <is>
          <t>CUL-3660</t>
        </is>
      </c>
      <c r="B3664" s="11" t="n">
        <v>726</v>
      </c>
      <c r="C3664" s="13" t="inlineStr">
        <is>
          <t>Nº 28925</t>
        </is>
      </c>
      <c r="D3664" s="14" t="inlineStr">
        <is>
          <t>S-METOLACHLOR 960 EC BINNONG</t>
        </is>
      </c>
      <c r="E3664" s="13" t="inlineStr">
        <is>
          <t>Pulverização Agrícola Conforme Bula</t>
        </is>
      </c>
      <c r="F3664" s="13" t="inlineStr">
        <is>
          <t>Cana-de-açúcar</t>
        </is>
      </c>
      <c r="G3664" s="13" t="inlineStr">
        <is>
          <t>Cultura Autorizada na Bula</t>
        </is>
      </c>
      <c r="H3664" s="13" t="inlineStr">
        <is>
          <t>100 a 300 L/ha</t>
        </is>
      </c>
      <c r="I3664" s="13" t="inlineStr">
        <is>
          <t>20 a 40 L/ha</t>
        </is>
      </c>
      <c r="J3664" s="13" t="inlineStr">
        <is>
          <t>N/D</t>
        </is>
      </c>
    </row>
    <row r="3665" ht="22" customHeight="1">
      <c r="A3665" s="6" t="inlineStr">
        <is>
          <t>CUL-3661</t>
        </is>
      </c>
      <c r="B3665" s="5" t="n">
        <v>726</v>
      </c>
      <c r="C3665" s="7" t="inlineStr">
        <is>
          <t>Nº 28925</t>
        </is>
      </c>
      <c r="D3665" s="8" t="inlineStr">
        <is>
          <t>S-METOLACHLOR 960 EC BINNONG</t>
        </is>
      </c>
      <c r="E3665" s="7" t="inlineStr">
        <is>
          <t>Pulverização Agrícola Conforme Bula</t>
        </is>
      </c>
      <c r="F3665" s="7" t="inlineStr">
        <is>
          <t>Feijão</t>
        </is>
      </c>
      <c r="G3665" s="7" t="inlineStr">
        <is>
          <t>Cultura Autorizada na Bula</t>
        </is>
      </c>
      <c r="H3665" s="7" t="inlineStr">
        <is>
          <t>100 a 300 L/ha</t>
        </is>
      </c>
      <c r="I3665" s="7" t="inlineStr">
        <is>
          <t>20 a 40 L/ha</t>
        </is>
      </c>
      <c r="J3665" s="7" t="inlineStr">
        <is>
          <t>N/D</t>
        </is>
      </c>
    </row>
    <row r="3666" ht="22" customHeight="1">
      <c r="A3666" s="12" t="inlineStr">
        <is>
          <t>CUL-3662</t>
        </is>
      </c>
      <c r="B3666" s="11" t="n">
        <v>727</v>
      </c>
      <c r="C3666" s="13" t="inlineStr">
        <is>
          <t>Nº 2020</t>
        </is>
      </c>
      <c r="D3666" s="14" t="inlineStr">
        <is>
          <t>BUSHI</t>
        </is>
      </c>
      <c r="E3666" s="13" t="inlineStr">
        <is>
          <t>Pulverização Agrícola Conforme Bula</t>
        </is>
      </c>
      <c r="F3666" s="13" t="inlineStr">
        <is>
          <t>Soja</t>
        </is>
      </c>
      <c r="G3666" s="13" t="inlineStr">
        <is>
          <t>Cultura Autorizada na Bula</t>
        </is>
      </c>
      <c r="H3666" s="13" t="inlineStr">
        <is>
          <t>100 a 300 L/ha</t>
        </is>
      </c>
      <c r="I3666" s="13" t="inlineStr">
        <is>
          <t>20 a 40 L/ha</t>
        </is>
      </c>
      <c r="J3666" s="13" t="inlineStr">
        <is>
          <t>14 dias</t>
        </is>
      </c>
    </row>
    <row r="3667" ht="22" customHeight="1">
      <c r="A3667" s="6" t="inlineStr">
        <is>
          <t>CUL-3663</t>
        </is>
      </c>
      <c r="B3667" s="5" t="n">
        <v>727</v>
      </c>
      <c r="C3667" s="7" t="inlineStr">
        <is>
          <t>Nº 2020</t>
        </is>
      </c>
      <c r="D3667" s="8" t="inlineStr">
        <is>
          <t>BUSHI</t>
        </is>
      </c>
      <c r="E3667" s="7" t="inlineStr">
        <is>
          <t>Pulverização Agrícola Conforme Bula</t>
        </is>
      </c>
      <c r="F3667" s="7" t="inlineStr">
        <is>
          <t>Milho</t>
        </is>
      </c>
      <c r="G3667" s="7" t="inlineStr">
        <is>
          <t>Cultura Autorizada na Bula</t>
        </is>
      </c>
      <c r="H3667" s="7" t="inlineStr">
        <is>
          <t>100 a 300 L/ha</t>
        </is>
      </c>
      <c r="I3667" s="7" t="inlineStr">
        <is>
          <t>20 a 40 L/ha</t>
        </is>
      </c>
      <c r="J3667" s="7" t="inlineStr">
        <is>
          <t>15 dias</t>
        </is>
      </c>
    </row>
    <row r="3668" ht="22" customHeight="1">
      <c r="A3668" s="12" t="inlineStr">
        <is>
          <t>CUL-3664</t>
        </is>
      </c>
      <c r="B3668" s="11" t="n">
        <v>727</v>
      </c>
      <c r="C3668" s="13" t="inlineStr">
        <is>
          <t>Nº 2020</t>
        </is>
      </c>
      <c r="D3668" s="14" t="inlineStr">
        <is>
          <t>BUSHI</t>
        </is>
      </c>
      <c r="E3668" s="13" t="inlineStr">
        <is>
          <t>Pulverização Agrícola Conforme Bula</t>
        </is>
      </c>
      <c r="F3668" s="13" t="inlineStr">
        <is>
          <t>Algodão</t>
        </is>
      </c>
      <c r="G3668" s="13" t="inlineStr">
        <is>
          <t>Cultura Autorizada na Bula</t>
        </is>
      </c>
      <c r="H3668" s="13" t="inlineStr">
        <is>
          <t>100 a 300 L/ha</t>
        </is>
      </c>
      <c r="I3668" s="13" t="inlineStr">
        <is>
          <t>20 a 40 L/ha</t>
        </is>
      </c>
      <c r="J3668" s="13" t="inlineStr">
        <is>
          <t>7 dias</t>
        </is>
      </c>
    </row>
    <row r="3669" ht="22" customHeight="1">
      <c r="A3669" s="6" t="inlineStr">
        <is>
          <t>CUL-3665</t>
        </is>
      </c>
      <c r="B3669" s="5" t="n">
        <v>727</v>
      </c>
      <c r="C3669" s="7" t="inlineStr">
        <is>
          <t>Nº 2020</t>
        </is>
      </c>
      <c r="D3669" s="8" t="inlineStr">
        <is>
          <t>BUSHI</t>
        </is>
      </c>
      <c r="E3669" s="7" t="inlineStr">
        <is>
          <t>Pulverização Agrícola Conforme Bula</t>
        </is>
      </c>
      <c r="F3669" s="7" t="inlineStr">
        <is>
          <t>Café</t>
        </is>
      </c>
      <c r="G3669" s="7" t="inlineStr">
        <is>
          <t>Cultura Autorizada na Bula</t>
        </is>
      </c>
      <c r="H3669" s="7" t="inlineStr">
        <is>
          <t>100 a 300 L/ha</t>
        </is>
      </c>
      <c r="I3669" s="7" t="inlineStr">
        <is>
          <t>20 a 40 L/ha</t>
        </is>
      </c>
      <c r="J3669" s="7" t="inlineStr">
        <is>
          <t>1 dias</t>
        </is>
      </c>
    </row>
    <row r="3670" ht="22" customHeight="1">
      <c r="A3670" s="12" t="inlineStr">
        <is>
          <t>CUL-3666</t>
        </is>
      </c>
      <c r="B3670" s="11" t="n">
        <v>727</v>
      </c>
      <c r="C3670" s="13" t="inlineStr">
        <is>
          <t>Nº 2020</t>
        </is>
      </c>
      <c r="D3670" s="14" t="inlineStr">
        <is>
          <t>BUSHI</t>
        </is>
      </c>
      <c r="E3670" s="13" t="inlineStr">
        <is>
          <t>Pulverização Agrícola Conforme Bula</t>
        </is>
      </c>
      <c r="F3670" s="13" t="inlineStr">
        <is>
          <t>Feijão</t>
        </is>
      </c>
      <c r="G3670" s="13" t="inlineStr">
        <is>
          <t>Cultura Autorizada na Bula</t>
        </is>
      </c>
      <c r="H3670" s="13" t="inlineStr">
        <is>
          <t>100 a 300 L/ha</t>
        </is>
      </c>
      <c r="I3670" s="13" t="inlineStr">
        <is>
          <t>20 a 40 L/ha</t>
        </is>
      </c>
      <c r="J3670" s="13" t="inlineStr">
        <is>
          <t>15 dias</t>
        </is>
      </c>
    </row>
    <row r="3671" ht="22" customHeight="1">
      <c r="A3671" s="6" t="inlineStr">
        <is>
          <t>CUL-3667</t>
        </is>
      </c>
      <c r="B3671" s="5" t="n">
        <v>727</v>
      </c>
      <c r="C3671" s="7" t="inlineStr">
        <is>
          <t>Nº 2020</t>
        </is>
      </c>
      <c r="D3671" s="8" t="inlineStr">
        <is>
          <t>BUSHI</t>
        </is>
      </c>
      <c r="E3671" s="7" t="inlineStr">
        <is>
          <t>Pulverização Agrícola Conforme Bula</t>
        </is>
      </c>
      <c r="F3671" s="7" t="inlineStr">
        <is>
          <t>Trigo</t>
        </is>
      </c>
      <c r="G3671" s="7" t="inlineStr">
        <is>
          <t>Cultura Autorizada na Bula</t>
        </is>
      </c>
      <c r="H3671" s="7" t="inlineStr">
        <is>
          <t>100 a 300 L/ha</t>
        </is>
      </c>
      <c r="I3671" s="7" t="inlineStr">
        <is>
          <t>20 a 40 L/ha</t>
        </is>
      </c>
      <c r="J3671" s="7" t="inlineStr">
        <is>
          <t>21 dias</t>
        </is>
      </c>
    </row>
    <row r="3672" ht="22" customHeight="1">
      <c r="A3672" s="12" t="inlineStr">
        <is>
          <t>CUL-3668</t>
        </is>
      </c>
      <c r="B3672" s="11" t="n">
        <v>727</v>
      </c>
      <c r="C3672" s="13" t="inlineStr">
        <is>
          <t>Nº 2020</t>
        </is>
      </c>
      <c r="D3672" s="14" t="inlineStr">
        <is>
          <t>BUSHI</t>
        </is>
      </c>
      <c r="E3672" s="13" t="inlineStr">
        <is>
          <t>Pulverização Agrícola Conforme Bula</t>
        </is>
      </c>
      <c r="F3672" s="13" t="inlineStr">
        <is>
          <t>Cana-de-açúcar</t>
        </is>
      </c>
      <c r="G3672" s="13" t="inlineStr">
        <is>
          <t>Cultura Autorizada na Bula</t>
        </is>
      </c>
      <c r="H3672" s="13" t="inlineStr">
        <is>
          <t>100 a 300 L/ha</t>
        </is>
      </c>
      <c r="I3672" s="13" t="inlineStr">
        <is>
          <t>20 a 40 L/ha</t>
        </is>
      </c>
      <c r="J3672" s="13" t="inlineStr">
        <is>
          <t>21 dias</t>
        </is>
      </c>
    </row>
    <row r="3673" ht="22" customHeight="1">
      <c r="A3673" s="6" t="inlineStr">
        <is>
          <t>CUL-3669</t>
        </is>
      </c>
      <c r="B3673" s="5" t="n">
        <v>728</v>
      </c>
      <c r="C3673" s="7" t="inlineStr">
        <is>
          <t>Nº 2710</t>
        </is>
      </c>
      <c r="D3673" s="8" t="inlineStr">
        <is>
          <t>IMIDACLOPRIDO 700 (PRINCIPIO ATIVO)</t>
        </is>
      </c>
      <c r="E3673" s="7" t="inlineStr">
        <is>
          <t>Uso Exclusivamente Industrial (Formulação)</t>
        </is>
      </c>
      <c r="F3673" s="7" t="inlineStr">
        <is>
          <t>Não Aplicável (Proibido uso direto na lavoura)</t>
        </is>
      </c>
      <c r="G3673" s="7" t="inlineStr">
        <is>
          <t>Insumo Industrial</t>
        </is>
      </c>
      <c r="H3673" s="7" t="inlineStr">
        <is>
          <t>N/A</t>
        </is>
      </c>
      <c r="I3673" s="7" t="inlineStr">
        <is>
          <t>N/A</t>
        </is>
      </c>
      <c r="J3673" s="7" t="inlineStr">
        <is>
          <t>N/A (Insumo Industrial)</t>
        </is>
      </c>
    </row>
    <row r="3674" ht="22" customHeight="1">
      <c r="A3674" s="12" t="inlineStr">
        <is>
          <t>CUL-3670</t>
        </is>
      </c>
      <c r="B3674" s="11" t="n">
        <v>729</v>
      </c>
      <c r="C3674" s="13" t="inlineStr">
        <is>
          <t>Nº 2820</t>
        </is>
      </c>
      <c r="D3674" s="14" t="inlineStr">
        <is>
          <t>LIMPA</t>
        </is>
      </c>
      <c r="E3674" s="13" t="inlineStr">
        <is>
          <t>Pulverização Agrícola Conforme Bula</t>
        </is>
      </c>
      <c r="F3674" s="13" t="inlineStr">
        <is>
          <t>Milho</t>
        </is>
      </c>
      <c r="G3674" s="13" t="inlineStr">
        <is>
          <t>Cultura Autorizada na Bula</t>
        </is>
      </c>
      <c r="H3674" s="13" t="inlineStr">
        <is>
          <t>100 a 300 L/ha</t>
        </is>
      </c>
      <c r="I3674" s="13" t="inlineStr">
        <is>
          <t>20 a 40 L/ha</t>
        </is>
      </c>
      <c r="J3674" s="13" t="inlineStr">
        <is>
          <t>60 dias</t>
        </is>
      </c>
    </row>
    <row r="3675" ht="22" customHeight="1">
      <c r="A3675" s="6" t="inlineStr">
        <is>
          <t>CUL-3671</t>
        </is>
      </c>
      <c r="B3675" s="5" t="n">
        <v>729</v>
      </c>
      <c r="C3675" s="7" t="inlineStr">
        <is>
          <t>Nº 2820</t>
        </is>
      </c>
      <c r="D3675" s="8" t="inlineStr">
        <is>
          <t>LIMPA</t>
        </is>
      </c>
      <c r="E3675" s="7" t="inlineStr">
        <is>
          <t>Pulverização Agrícola Conforme Bula</t>
        </is>
      </c>
      <c r="F3675" s="7" t="inlineStr">
        <is>
          <t>Cana-de-açúcar</t>
        </is>
      </c>
      <c r="G3675" s="7" t="inlineStr">
        <is>
          <t>Cultura Autorizada na Bula</t>
        </is>
      </c>
      <c r="H3675" s="7" t="inlineStr">
        <is>
          <t>100 a 300 L/ha</t>
        </is>
      </c>
      <c r="I3675" s="7" t="inlineStr">
        <is>
          <t>20 a 40 L/ha</t>
        </is>
      </c>
      <c r="J3675" s="7" t="inlineStr">
        <is>
          <t>N/D</t>
        </is>
      </c>
    </row>
    <row r="3676" ht="22" customHeight="1">
      <c r="A3676" s="12" t="inlineStr">
        <is>
          <t>CUL-3672</t>
        </is>
      </c>
      <c r="B3676" s="11" t="n">
        <v>729</v>
      </c>
      <c r="C3676" s="13" t="inlineStr">
        <is>
          <t>Nº 2820</t>
        </is>
      </c>
      <c r="D3676" s="14" t="inlineStr">
        <is>
          <t>LIMPA</t>
        </is>
      </c>
      <c r="E3676" s="13" t="inlineStr">
        <is>
          <t>Pulverização Agrícola Conforme Bula</t>
        </is>
      </c>
      <c r="F3676" s="13" t="inlineStr">
        <is>
          <t>Sorgo</t>
        </is>
      </c>
      <c r="G3676" s="13" t="inlineStr">
        <is>
          <t>Cultura Autorizada na Bula</t>
        </is>
      </c>
      <c r="H3676" s="13" t="inlineStr">
        <is>
          <t>100 a 300 L/ha</t>
        </is>
      </c>
      <c r="I3676" s="13" t="inlineStr">
        <is>
          <t>20 a 40 L/ha</t>
        </is>
      </c>
      <c r="J3676" s="13" t="inlineStr">
        <is>
          <t>60 dias</t>
        </is>
      </c>
    </row>
    <row r="3677" ht="22" customHeight="1">
      <c r="A3677" s="6" t="inlineStr">
        <is>
          <t>CUL-3673</t>
        </is>
      </c>
      <c r="B3677" s="5" t="n">
        <v>729</v>
      </c>
      <c r="C3677" s="7" t="inlineStr">
        <is>
          <t>Nº 2820</t>
        </is>
      </c>
      <c r="D3677" s="8" t="inlineStr">
        <is>
          <t>LIMPA</t>
        </is>
      </c>
      <c r="E3677" s="7" t="inlineStr">
        <is>
          <t>Pulverização Agrícola Conforme Bula</t>
        </is>
      </c>
      <c r="F3677" s="7" t="inlineStr">
        <is>
          <t>Pinus / Eucalipto</t>
        </is>
      </c>
      <c r="G3677" s="7" t="inlineStr">
        <is>
          <t>Cultura Autorizada na Bula</t>
        </is>
      </c>
      <c r="H3677" s="7" t="inlineStr">
        <is>
          <t>100 a 300 L/ha</t>
        </is>
      </c>
      <c r="I3677" s="7" t="inlineStr">
        <is>
          <t>20 a 40 L/ha</t>
        </is>
      </c>
      <c r="J3677" s="7" t="inlineStr">
        <is>
          <t>U.N.A.</t>
        </is>
      </c>
    </row>
    <row r="3678" ht="22" customHeight="1">
      <c r="A3678" s="12" t="inlineStr">
        <is>
          <t>CUL-3674</t>
        </is>
      </c>
      <c r="B3678" s="11" t="n">
        <v>730</v>
      </c>
      <c r="C3678" s="13" t="inlineStr">
        <is>
          <t>Nº 18723</t>
        </is>
      </c>
      <c r="D3678" s="14" t="inlineStr">
        <is>
          <t>S-METOLACLORO (PRINCIPIO ATIVO)</t>
        </is>
      </c>
      <c r="E3678" s="13" t="inlineStr">
        <is>
          <t>Uso Exclusivamente Industrial (Formulação)</t>
        </is>
      </c>
      <c r="F3678" s="13" t="inlineStr">
        <is>
          <t>Não Aplicável (Proibido uso direto na lavoura)</t>
        </is>
      </c>
      <c r="G3678" s="13" t="inlineStr">
        <is>
          <t>Insumo Industrial</t>
        </is>
      </c>
      <c r="H3678" s="13" t="inlineStr">
        <is>
          <t>N/A</t>
        </is>
      </c>
      <c r="I3678" s="13" t="inlineStr">
        <is>
          <t>N/A</t>
        </is>
      </c>
      <c r="J3678" s="13" t="inlineStr">
        <is>
          <t>N/A (Insumo Industrial)</t>
        </is>
      </c>
    </row>
    <row r="3679" ht="22" customHeight="1">
      <c r="A3679" s="6" t="inlineStr">
        <is>
          <t>CUL-3675</t>
        </is>
      </c>
      <c r="B3679" s="5" t="n">
        <v>731</v>
      </c>
      <c r="C3679" s="7" t="inlineStr">
        <is>
          <t>Nº 14518</t>
        </is>
      </c>
      <c r="D3679" s="8" t="inlineStr">
        <is>
          <t>IMAZETAPIR 700 (PRINCIPIO ATIVO)</t>
        </is>
      </c>
      <c r="E3679" s="7" t="inlineStr">
        <is>
          <t>Uso Exclusivamente Industrial (Formulação)</t>
        </is>
      </c>
      <c r="F3679" s="7" t="inlineStr">
        <is>
          <t>Não Aplicável (Proibido uso direto na lavoura)</t>
        </is>
      </c>
      <c r="G3679" s="7" t="inlineStr">
        <is>
          <t>Insumo Industrial</t>
        </is>
      </c>
      <c r="H3679" s="7" t="inlineStr">
        <is>
          <t>N/A</t>
        </is>
      </c>
      <c r="I3679" s="7" t="inlineStr">
        <is>
          <t>N/A</t>
        </is>
      </c>
      <c r="J3679" s="7" t="inlineStr">
        <is>
          <t>N/A (Insumo Industrial)</t>
        </is>
      </c>
    </row>
    <row r="3680" ht="22" customHeight="1">
      <c r="A3680" s="12" t="inlineStr">
        <is>
          <t>CUL-3676</t>
        </is>
      </c>
      <c r="B3680" s="11" t="n">
        <v>732</v>
      </c>
      <c r="C3680" s="13" t="inlineStr">
        <is>
          <t>Nº 9210</t>
        </is>
      </c>
      <c r="D3680" s="14" t="inlineStr">
        <is>
          <t>PIRACLOSTROBINA 133 + EPOXICONAZOL 50 (PR. ATIVO)</t>
        </is>
      </c>
      <c r="E3680" s="13" t="inlineStr">
        <is>
          <t>Pulverização Agrícola Conforme Bula</t>
        </is>
      </c>
      <c r="F3680" s="13" t="inlineStr">
        <is>
          <t>Soja</t>
        </is>
      </c>
      <c r="G3680" s="13" t="inlineStr">
        <is>
          <t>Cultura Autorizada na Bula</t>
        </is>
      </c>
      <c r="H3680" s="13" t="inlineStr">
        <is>
          <t>100 a 300 L/ha</t>
        </is>
      </c>
      <c r="I3680" s="13" t="inlineStr">
        <is>
          <t>20 a 40 L/ha</t>
        </is>
      </c>
      <c r="J3680" s="13" t="inlineStr">
        <is>
          <t>30 dias</t>
        </is>
      </c>
    </row>
    <row r="3681" ht="22" customHeight="1">
      <c r="A3681" s="6" t="inlineStr">
        <is>
          <t>CUL-3677</t>
        </is>
      </c>
      <c r="B3681" s="5" t="n">
        <v>732</v>
      </c>
      <c r="C3681" s="7" t="inlineStr">
        <is>
          <t>Nº 9210</t>
        </is>
      </c>
      <c r="D3681" s="8" t="inlineStr">
        <is>
          <t>PIRACLOSTROBINA 133 + EPOXICONAZOL 50 (PR. ATIVO)</t>
        </is>
      </c>
      <c r="E3681" s="7" t="inlineStr">
        <is>
          <t>Pulverização Agrícola Conforme Bula</t>
        </is>
      </c>
      <c r="F3681" s="7" t="inlineStr">
        <is>
          <t>Milho</t>
        </is>
      </c>
      <c r="G3681" s="7" t="inlineStr">
        <is>
          <t>Cultura Autorizada na Bula</t>
        </is>
      </c>
      <c r="H3681" s="7" t="inlineStr">
        <is>
          <t>100 a 300 L/ha</t>
        </is>
      </c>
      <c r="I3681" s="7" t="inlineStr">
        <is>
          <t>20 a 40 L/ha</t>
        </is>
      </c>
      <c r="J3681" s="7" t="inlineStr">
        <is>
          <t>30 dias</t>
        </is>
      </c>
    </row>
    <row r="3682" ht="22" customHeight="1">
      <c r="A3682" s="12" t="inlineStr">
        <is>
          <t>CUL-3678</t>
        </is>
      </c>
      <c r="B3682" s="11" t="n">
        <v>732</v>
      </c>
      <c r="C3682" s="13" t="inlineStr">
        <is>
          <t>Nº 9210</t>
        </is>
      </c>
      <c r="D3682" s="14" t="inlineStr">
        <is>
          <t>PIRACLOSTROBINA 133 + EPOXICONAZOL 50 (PR. ATIVO)</t>
        </is>
      </c>
      <c r="E3682" s="13" t="inlineStr">
        <is>
          <t>Pulverização Agrícola Conforme Bula</t>
        </is>
      </c>
      <c r="F3682" s="13" t="inlineStr">
        <is>
          <t>Algodão</t>
        </is>
      </c>
      <c r="G3682" s="13" t="inlineStr">
        <is>
          <t>Cultura Autorizada na Bula</t>
        </is>
      </c>
      <c r="H3682" s="13" t="inlineStr">
        <is>
          <t>100 a 300 L/ha</t>
        </is>
      </c>
      <c r="I3682" s="13" t="inlineStr">
        <is>
          <t>20 a 40 L/ha</t>
        </is>
      </c>
      <c r="J3682" s="13" t="inlineStr">
        <is>
          <t>30 dias</t>
        </is>
      </c>
    </row>
    <row r="3683" ht="22" customHeight="1">
      <c r="A3683" s="6" t="inlineStr">
        <is>
          <t>CUL-3679</t>
        </is>
      </c>
      <c r="B3683" s="5" t="n">
        <v>732</v>
      </c>
      <c r="C3683" s="7" t="inlineStr">
        <is>
          <t>Nº 9210</t>
        </is>
      </c>
      <c r="D3683" s="8" t="inlineStr">
        <is>
          <t>PIRACLOSTROBINA 133 + EPOXICONAZOL 50 (PR. ATIVO)</t>
        </is>
      </c>
      <c r="E3683" s="7" t="inlineStr">
        <is>
          <t>Pulverização Agrícola Conforme Bula</t>
        </is>
      </c>
      <c r="F3683" s="7" t="inlineStr">
        <is>
          <t>Trigo</t>
        </is>
      </c>
      <c r="G3683" s="7" t="inlineStr">
        <is>
          <t>Cultura Autorizada na Bula</t>
        </is>
      </c>
      <c r="H3683" s="7" t="inlineStr">
        <is>
          <t>100 a 300 L/ha</t>
        </is>
      </c>
      <c r="I3683" s="7" t="inlineStr">
        <is>
          <t>20 a 40 L/ha</t>
        </is>
      </c>
      <c r="J3683" s="7" t="inlineStr">
        <is>
          <t>30 dias</t>
        </is>
      </c>
    </row>
    <row r="3684" ht="22" customHeight="1">
      <c r="A3684" s="12" t="inlineStr">
        <is>
          <t>CUL-3680</t>
        </is>
      </c>
      <c r="B3684" s="11" t="n">
        <v>732</v>
      </c>
      <c r="C3684" s="13" t="inlineStr">
        <is>
          <t>Nº 9210</t>
        </is>
      </c>
      <c r="D3684" s="14" t="inlineStr">
        <is>
          <t>PIRACLOSTROBINA 133 + EPOXICONAZOL 50 (PR. ATIVO)</t>
        </is>
      </c>
      <c r="E3684" s="13" t="inlineStr">
        <is>
          <t>Pulverização Agrícola Conforme Bula</t>
        </is>
      </c>
      <c r="F3684" s="13" t="inlineStr">
        <is>
          <t>Feijão</t>
        </is>
      </c>
      <c r="G3684" s="13" t="inlineStr">
        <is>
          <t>Cultura Autorizada na Bula</t>
        </is>
      </c>
      <c r="H3684" s="13" t="inlineStr">
        <is>
          <t>100 a 300 L/ha</t>
        </is>
      </c>
      <c r="I3684" s="13" t="inlineStr">
        <is>
          <t>20 a 40 L/ha</t>
        </is>
      </c>
      <c r="J3684" s="13" t="inlineStr">
        <is>
          <t>14 dias</t>
        </is>
      </c>
    </row>
    <row r="3685" ht="22" customHeight="1">
      <c r="A3685" s="6" t="inlineStr">
        <is>
          <t>CUL-3681</t>
        </is>
      </c>
      <c r="B3685" s="5" t="n">
        <v>733</v>
      </c>
      <c r="C3685" s="7" t="inlineStr">
        <is>
          <t>SIPEAGRO (UF-XXXXX)</t>
        </is>
      </c>
      <c r="D3685" s="8" t="inlineStr">
        <is>
          <t>FFALM 00 45 00 + 160 BBD - MOSAIC</t>
        </is>
      </c>
      <c r="E3685" s="7" t="inlineStr">
        <is>
          <t>Adubação de Solo / Foliar</t>
        </is>
      </c>
      <c r="F3685" s="7" t="inlineStr">
        <is>
          <t>Soja</t>
        </is>
      </c>
      <c r="G3685" s="7" t="inlineStr">
        <is>
          <t>Cultura Autorizada na Bula</t>
        </is>
      </c>
      <c r="H3685" s="7" t="inlineStr">
        <is>
          <t>100 a 300 L/ha</t>
        </is>
      </c>
      <c r="I3685" s="7" t="inlineStr">
        <is>
          <t>20 a 40 L/ha</t>
        </is>
      </c>
      <c r="J3685" s="7" t="inlineStr">
        <is>
          <t>Isento</t>
        </is>
      </c>
    </row>
    <row r="3686" ht="22" customHeight="1">
      <c r="A3686" s="12" t="inlineStr">
        <is>
          <t>CUL-3682</t>
        </is>
      </c>
      <c r="B3686" s="11" t="n">
        <v>733</v>
      </c>
      <c r="C3686" s="13" t="inlineStr">
        <is>
          <t>SIPEAGRO (UF-XXXXX)</t>
        </is>
      </c>
      <c r="D3686" s="14" t="inlineStr">
        <is>
          <t>FFALM 00 45 00 + 160 BBD - MOSAIC</t>
        </is>
      </c>
      <c r="E3686" s="13" t="inlineStr">
        <is>
          <t>Adubação de Solo / Foliar</t>
        </is>
      </c>
      <c r="F3686" s="13" t="inlineStr">
        <is>
          <t>Milho</t>
        </is>
      </c>
      <c r="G3686" s="13" t="inlineStr">
        <is>
          <t>Cultura Autorizada na Bula</t>
        </is>
      </c>
      <c r="H3686" s="13" t="inlineStr">
        <is>
          <t>100 a 300 L/ha</t>
        </is>
      </c>
      <c r="I3686" s="13" t="inlineStr">
        <is>
          <t>20 a 40 L/ha</t>
        </is>
      </c>
      <c r="J3686" s="13" t="inlineStr">
        <is>
          <t>Isento</t>
        </is>
      </c>
    </row>
    <row r="3687" ht="22" customHeight="1">
      <c r="A3687" s="6" t="inlineStr">
        <is>
          <t>CUL-3683</t>
        </is>
      </c>
      <c r="B3687" s="5" t="n">
        <v>733</v>
      </c>
      <c r="C3687" s="7" t="inlineStr">
        <is>
          <t>SIPEAGRO (UF-XXXXX)</t>
        </is>
      </c>
      <c r="D3687" s="8" t="inlineStr">
        <is>
          <t>FFALM 00 45 00 + 160 BBD - MOSAIC</t>
        </is>
      </c>
      <c r="E3687" s="7" t="inlineStr">
        <is>
          <t>Adubação de Solo / Foliar</t>
        </is>
      </c>
      <c r="F3687" s="7" t="inlineStr">
        <is>
          <t>Algodão</t>
        </is>
      </c>
      <c r="G3687" s="7" t="inlineStr">
        <is>
          <t>Cultura Autorizada na Bula</t>
        </is>
      </c>
      <c r="H3687" s="7" t="inlineStr">
        <is>
          <t>100 a 300 L/ha</t>
        </is>
      </c>
      <c r="I3687" s="7" t="inlineStr">
        <is>
          <t>20 a 40 L/ha</t>
        </is>
      </c>
      <c r="J3687" s="7" t="inlineStr">
        <is>
          <t>Isento</t>
        </is>
      </c>
    </row>
    <row r="3688" ht="22" customHeight="1">
      <c r="A3688" s="12" t="inlineStr">
        <is>
          <t>CUL-3684</t>
        </is>
      </c>
      <c r="B3688" s="11" t="n">
        <v>733</v>
      </c>
      <c r="C3688" s="13" t="inlineStr">
        <is>
          <t>SIPEAGRO (UF-XXXXX)</t>
        </is>
      </c>
      <c r="D3688" s="14" t="inlineStr">
        <is>
          <t>FFALM 00 45 00 + 160 BBD - MOSAIC</t>
        </is>
      </c>
      <c r="E3688" s="13" t="inlineStr">
        <is>
          <t>Adubação de Solo / Foliar</t>
        </is>
      </c>
      <c r="F3688" s="13" t="inlineStr">
        <is>
          <t>Cana-de-açúcar</t>
        </is>
      </c>
      <c r="G3688" s="13" t="inlineStr">
        <is>
          <t>Cultura Autorizada na Bula</t>
        </is>
      </c>
      <c r="H3688" s="13" t="inlineStr">
        <is>
          <t>100 a 300 L/ha</t>
        </is>
      </c>
      <c r="I3688" s="13" t="inlineStr">
        <is>
          <t>20 a 40 L/ha</t>
        </is>
      </c>
      <c r="J3688" s="13" t="inlineStr">
        <is>
          <t>Isento</t>
        </is>
      </c>
    </row>
    <row r="3689" ht="22" customHeight="1">
      <c r="A3689" s="6" t="inlineStr">
        <is>
          <t>CUL-3685</t>
        </is>
      </c>
      <c r="B3689" s="5" t="n">
        <v>733</v>
      </c>
      <c r="C3689" s="7" t="inlineStr">
        <is>
          <t>SIPEAGRO (UF-XXXXX)</t>
        </is>
      </c>
      <c r="D3689" s="8" t="inlineStr">
        <is>
          <t>FFALM 00 45 00 + 160 BBD - MOSAIC</t>
        </is>
      </c>
      <c r="E3689" s="7" t="inlineStr">
        <is>
          <t>Adubação de Solo / Foliar</t>
        </is>
      </c>
      <c r="F3689" s="7" t="inlineStr">
        <is>
          <t>Café</t>
        </is>
      </c>
      <c r="G3689" s="7" t="inlineStr">
        <is>
          <t>Cultura Autorizada na Bula</t>
        </is>
      </c>
      <c r="H3689" s="7" t="inlineStr">
        <is>
          <t>100 a 300 L/ha</t>
        </is>
      </c>
      <c r="I3689" s="7" t="inlineStr">
        <is>
          <t>20 a 40 L/ha</t>
        </is>
      </c>
      <c r="J3689" s="7" t="inlineStr">
        <is>
          <t>Isento</t>
        </is>
      </c>
    </row>
    <row r="3690" ht="22" customHeight="1">
      <c r="A3690" s="12" t="inlineStr">
        <is>
          <t>CUL-3686</t>
        </is>
      </c>
      <c r="B3690" s="11" t="n">
        <v>734</v>
      </c>
      <c r="C3690" s="13" t="inlineStr">
        <is>
          <t>Nº 34725</t>
        </is>
      </c>
      <c r="D3690" s="14" t="inlineStr">
        <is>
          <t>TRIFLOXISTROBINA 150+PROTIOCONAZOL 175 (P. ATIVO)</t>
        </is>
      </c>
      <c r="E3690" s="13" t="inlineStr">
        <is>
          <t>Pulverização Agrícola Conforme Bula</t>
        </is>
      </c>
      <c r="F3690" s="13" t="inlineStr">
        <is>
          <t>Soja</t>
        </is>
      </c>
      <c r="G3690" s="13" t="inlineStr">
        <is>
          <t>Cultura Autorizada na Bula</t>
        </is>
      </c>
      <c r="H3690" s="13" t="inlineStr">
        <is>
          <t>100 a 300 L/ha</t>
        </is>
      </c>
      <c r="I3690" s="13" t="inlineStr">
        <is>
          <t>20 a 40 L/ha</t>
        </is>
      </c>
      <c r="J3690" s="13" t="inlineStr">
        <is>
          <t>30 dias</t>
        </is>
      </c>
    </row>
    <row r="3691" ht="22" customHeight="1">
      <c r="A3691" s="6" t="inlineStr">
        <is>
          <t>CUL-3687</t>
        </is>
      </c>
      <c r="B3691" s="5" t="n">
        <v>734</v>
      </c>
      <c r="C3691" s="7" t="inlineStr">
        <is>
          <t>Nº 34725</t>
        </is>
      </c>
      <c r="D3691" s="8" t="inlineStr">
        <is>
          <t>TRIFLOXISTROBINA 150+PROTIOCONAZOL 175 (P. ATIVO)</t>
        </is>
      </c>
      <c r="E3691" s="7" t="inlineStr">
        <is>
          <t>Pulverização Agrícola Conforme Bula</t>
        </is>
      </c>
      <c r="F3691" s="7" t="inlineStr">
        <is>
          <t>Algodão</t>
        </is>
      </c>
      <c r="G3691" s="7" t="inlineStr">
        <is>
          <t>Cultura Autorizada na Bula</t>
        </is>
      </c>
      <c r="H3691" s="7" t="inlineStr">
        <is>
          <t>100 a 300 L/ha</t>
        </is>
      </c>
      <c r="I3691" s="7" t="inlineStr">
        <is>
          <t>20 a 40 L/ha</t>
        </is>
      </c>
      <c r="J3691" s="7" t="inlineStr">
        <is>
          <t>30 dias</t>
        </is>
      </c>
    </row>
    <row r="3692" ht="22" customHeight="1">
      <c r="A3692" s="12" t="inlineStr">
        <is>
          <t>CUL-3688</t>
        </is>
      </c>
      <c r="B3692" s="11" t="n">
        <v>734</v>
      </c>
      <c r="C3692" s="13" t="inlineStr">
        <is>
          <t>Nº 34725</t>
        </is>
      </c>
      <c r="D3692" s="14" t="inlineStr">
        <is>
          <t>TRIFLOXISTROBINA 150+PROTIOCONAZOL 175 (P. ATIVO)</t>
        </is>
      </c>
      <c r="E3692" s="13" t="inlineStr">
        <is>
          <t>Pulverização Agrícola Conforme Bula</t>
        </is>
      </c>
      <c r="F3692" s="13" t="inlineStr">
        <is>
          <t>Milho</t>
        </is>
      </c>
      <c r="G3692" s="13" t="inlineStr">
        <is>
          <t>Cultura Autorizada na Bula</t>
        </is>
      </c>
      <c r="H3692" s="13" t="inlineStr">
        <is>
          <t>100 a 300 L/ha</t>
        </is>
      </c>
      <c r="I3692" s="13" t="inlineStr">
        <is>
          <t>20 a 40 L/ha</t>
        </is>
      </c>
      <c r="J3692" s="13" t="inlineStr">
        <is>
          <t>42 dias</t>
        </is>
      </c>
    </row>
    <row r="3693" ht="22" customHeight="1">
      <c r="A3693" s="6" t="inlineStr">
        <is>
          <t>CUL-3689</t>
        </is>
      </c>
      <c r="B3693" s="5" t="n">
        <v>734</v>
      </c>
      <c r="C3693" s="7" t="inlineStr">
        <is>
          <t>Nº 34725</t>
        </is>
      </c>
      <c r="D3693" s="8" t="inlineStr">
        <is>
          <t>TRIFLOXISTROBINA 150+PROTIOCONAZOL 175 (P. ATIVO)</t>
        </is>
      </c>
      <c r="E3693" s="7" t="inlineStr">
        <is>
          <t>Pulverização Agrícola Conforme Bula</t>
        </is>
      </c>
      <c r="F3693" s="7" t="inlineStr">
        <is>
          <t>Feijão</t>
        </is>
      </c>
      <c r="G3693" s="7" t="inlineStr">
        <is>
          <t>Cultura Autorizada na Bula</t>
        </is>
      </c>
      <c r="H3693" s="7" t="inlineStr">
        <is>
          <t>100 a 300 L/ha</t>
        </is>
      </c>
      <c r="I3693" s="7" t="inlineStr">
        <is>
          <t>20 a 40 L/ha</t>
        </is>
      </c>
      <c r="J3693" s="7" t="inlineStr">
        <is>
          <t>15 dias</t>
        </is>
      </c>
    </row>
    <row r="3694" ht="22" customHeight="1">
      <c r="A3694" s="12" t="inlineStr">
        <is>
          <t>CUL-3690</t>
        </is>
      </c>
      <c r="B3694" s="11" t="n">
        <v>734</v>
      </c>
      <c r="C3694" s="13" t="inlineStr">
        <is>
          <t>Nº 34725</t>
        </is>
      </c>
      <c r="D3694" s="14" t="inlineStr">
        <is>
          <t>TRIFLOXISTROBINA 150+PROTIOCONAZOL 175 (P. ATIVO)</t>
        </is>
      </c>
      <c r="E3694" s="13" t="inlineStr">
        <is>
          <t>Pulverização Agrícola Conforme Bula</t>
        </is>
      </c>
      <c r="F3694" s="13" t="inlineStr">
        <is>
          <t>Trigo</t>
        </is>
      </c>
      <c r="G3694" s="13" t="inlineStr">
        <is>
          <t>Cultura Autorizada na Bula</t>
        </is>
      </c>
      <c r="H3694" s="13" t="inlineStr">
        <is>
          <t>100 a 300 L/ha</t>
        </is>
      </c>
      <c r="I3694" s="13" t="inlineStr">
        <is>
          <t>20 a 40 L/ha</t>
        </is>
      </c>
      <c r="J3694" s="13" t="inlineStr">
        <is>
          <t>30 dias</t>
        </is>
      </c>
    </row>
    <row r="3695" ht="22" customHeight="1">
      <c r="A3695" s="6" t="inlineStr">
        <is>
          <t>CUL-3691</t>
        </is>
      </c>
      <c r="B3695" s="5" t="n">
        <v>735</v>
      </c>
      <c r="C3695" s="7" t="inlineStr">
        <is>
          <t>Nº 28520</t>
        </is>
      </c>
      <c r="D3695" s="8" t="inlineStr">
        <is>
          <t>GLIFOSATO 720 (PRINCIPIO ATIVO)</t>
        </is>
      </c>
      <c r="E3695" s="7" t="inlineStr">
        <is>
          <t>Uso Exclusivamente Industrial (Formulação)</t>
        </is>
      </c>
      <c r="F3695" s="7" t="inlineStr">
        <is>
          <t>Não Aplicável (Proibido uso direto na lavoura)</t>
        </is>
      </c>
      <c r="G3695" s="7" t="inlineStr">
        <is>
          <t>Insumo Industrial</t>
        </is>
      </c>
      <c r="H3695" s="7" t="inlineStr">
        <is>
          <t>N/A</t>
        </is>
      </c>
      <c r="I3695" s="7" t="inlineStr">
        <is>
          <t>N/A</t>
        </is>
      </c>
      <c r="J3695" s="7" t="inlineStr">
        <is>
          <t>N/A (Insumo Industrial)</t>
        </is>
      </c>
    </row>
    <row r="3696" ht="22" customHeight="1">
      <c r="A3696" s="12" t="inlineStr">
        <is>
          <t>CUL-3692</t>
        </is>
      </c>
      <c r="B3696" s="11" t="n">
        <v>736</v>
      </c>
      <c r="C3696" s="13" t="inlineStr">
        <is>
          <t>Nº 14421</t>
        </is>
      </c>
      <c r="D3696" s="14" t="inlineStr">
        <is>
          <t>LEALTY FS</t>
        </is>
      </c>
      <c r="E3696" s="13" t="inlineStr">
        <is>
          <t>Tratamento de Sementes / Sulco</t>
        </is>
      </c>
      <c r="F3696" s="13" t="inlineStr">
        <is>
          <t>Soja (Trat. Sementes / Sulco)</t>
        </is>
      </c>
      <c r="G3696" s="13" t="inlineStr">
        <is>
          <t>Cultura Autorizada na Bula</t>
        </is>
      </c>
      <c r="H3696" s="13" t="inlineStr">
        <is>
          <t>Calda TS (0,2 a 0,6 L/100kg sem.)</t>
        </is>
      </c>
      <c r="I3696" s="13" t="inlineStr">
        <is>
          <t>Não Autorizada (TS)</t>
        </is>
      </c>
      <c r="J3696" s="13" t="inlineStr">
        <is>
          <t>N/D</t>
        </is>
      </c>
    </row>
    <row r="3697" ht="22" customHeight="1">
      <c r="A3697" s="6" t="inlineStr">
        <is>
          <t>CUL-3693</t>
        </is>
      </c>
      <c r="B3697" s="5" t="n">
        <v>736</v>
      </c>
      <c r="C3697" s="7" t="inlineStr">
        <is>
          <t>Nº 14421</t>
        </is>
      </c>
      <c r="D3697" s="8" t="inlineStr">
        <is>
          <t>LEALTY FS</t>
        </is>
      </c>
      <c r="E3697" s="7" t="inlineStr">
        <is>
          <t>Tratamento de Sementes / Sulco</t>
        </is>
      </c>
      <c r="F3697" s="7" t="inlineStr">
        <is>
          <t>Milho (Trat. Sementes)</t>
        </is>
      </c>
      <c r="G3697" s="7" t="inlineStr">
        <is>
          <t>Cultura Autorizada na Bula</t>
        </is>
      </c>
      <c r="H3697" s="7" t="inlineStr">
        <is>
          <t>Calda TS (0,2 a 0,6 L/100kg sem.)</t>
        </is>
      </c>
      <c r="I3697" s="7" t="inlineStr">
        <is>
          <t>Não Autorizada (TS)</t>
        </is>
      </c>
      <c r="J3697" s="7" t="inlineStr">
        <is>
          <t>N/D</t>
        </is>
      </c>
    </row>
    <row r="3698" ht="22" customHeight="1">
      <c r="A3698" s="12" t="inlineStr">
        <is>
          <t>CUL-3694</t>
        </is>
      </c>
      <c r="B3698" s="11" t="n">
        <v>736</v>
      </c>
      <c r="C3698" s="13" t="inlineStr">
        <is>
          <t>Nº 14421</t>
        </is>
      </c>
      <c r="D3698" s="14" t="inlineStr">
        <is>
          <t>LEALTY FS</t>
        </is>
      </c>
      <c r="E3698" s="13" t="inlineStr">
        <is>
          <t>Tratamento de Sementes / Sulco</t>
        </is>
      </c>
      <c r="F3698" s="13" t="inlineStr">
        <is>
          <t>Algodão</t>
        </is>
      </c>
      <c r="G3698" s="13" t="inlineStr">
        <is>
          <t>Cultura Autorizada na Bula</t>
        </is>
      </c>
      <c r="H3698" s="13" t="inlineStr">
        <is>
          <t>Calda TS (0,2 a 0,6 L/100kg sem.)</t>
        </is>
      </c>
      <c r="I3698" s="13" t="inlineStr">
        <is>
          <t>Não Autorizada (TS)</t>
        </is>
      </c>
      <c r="J3698" s="13" t="inlineStr">
        <is>
          <t>N/D</t>
        </is>
      </c>
    </row>
    <row r="3699" ht="22" customHeight="1">
      <c r="A3699" s="6" t="inlineStr">
        <is>
          <t>CUL-3695</t>
        </is>
      </c>
      <c r="B3699" s="5" t="n">
        <v>736</v>
      </c>
      <c r="C3699" s="7" t="inlineStr">
        <is>
          <t>Nº 14421</t>
        </is>
      </c>
      <c r="D3699" s="8" t="inlineStr">
        <is>
          <t>LEALTY FS</t>
        </is>
      </c>
      <c r="E3699" s="7" t="inlineStr">
        <is>
          <t>Tratamento de Sementes / Sulco</t>
        </is>
      </c>
      <c r="F3699" s="7" t="inlineStr">
        <is>
          <t>Cana-de-açúcar (Sulco)</t>
        </is>
      </c>
      <c r="G3699" s="7" t="inlineStr">
        <is>
          <t>Cultura Autorizada na Bula</t>
        </is>
      </c>
      <c r="H3699" s="7" t="inlineStr">
        <is>
          <t>Calda TS (0,2 a 0,6 L/100kg sem.)</t>
        </is>
      </c>
      <c r="I3699" s="7" t="inlineStr">
        <is>
          <t>Não Autorizada (TS)</t>
        </is>
      </c>
      <c r="J3699" s="7" t="inlineStr">
        <is>
          <t>N/D</t>
        </is>
      </c>
    </row>
    <row r="3700" ht="22" customHeight="1">
      <c r="A3700" s="12" t="inlineStr">
        <is>
          <t>CUL-3696</t>
        </is>
      </c>
      <c r="B3700" s="11" t="n">
        <v>736</v>
      </c>
      <c r="C3700" s="13" t="inlineStr">
        <is>
          <t>Nº 14421</t>
        </is>
      </c>
      <c r="D3700" s="14" t="inlineStr">
        <is>
          <t>LEALTY FS</t>
        </is>
      </c>
      <c r="E3700" s="13" t="inlineStr">
        <is>
          <t>Tratamento de Sementes / Sulco</t>
        </is>
      </c>
      <c r="F3700" s="13" t="inlineStr">
        <is>
          <t>Arroz</t>
        </is>
      </c>
      <c r="G3700" s="13" t="inlineStr">
        <is>
          <t>Cultura Autorizada na Bula</t>
        </is>
      </c>
      <c r="H3700" s="13" t="inlineStr">
        <is>
          <t>Calda TS (0,2 a 0,6 L/100kg sem.)</t>
        </is>
      </c>
      <c r="I3700" s="13" t="inlineStr">
        <is>
          <t>Não Autorizada (TS)</t>
        </is>
      </c>
      <c r="J3700" s="13" t="inlineStr">
        <is>
          <t>N/D</t>
        </is>
      </c>
    </row>
    <row r="3701" ht="22" customHeight="1">
      <c r="A3701" s="6" t="inlineStr">
        <is>
          <t>CUL-3697</t>
        </is>
      </c>
      <c r="B3701" s="5" t="n">
        <v>736</v>
      </c>
      <c r="C3701" s="7" t="inlineStr">
        <is>
          <t>Nº 14421</t>
        </is>
      </c>
      <c r="D3701" s="8" t="inlineStr">
        <is>
          <t>LEALTY FS</t>
        </is>
      </c>
      <c r="E3701" s="7" t="inlineStr">
        <is>
          <t>Tratamento de Sementes / Sulco</t>
        </is>
      </c>
      <c r="F3701" s="7" t="inlineStr">
        <is>
          <t>Feijão</t>
        </is>
      </c>
      <c r="G3701" s="7" t="inlineStr">
        <is>
          <t>Cultura Autorizada na Bula</t>
        </is>
      </c>
      <c r="H3701" s="7" t="inlineStr">
        <is>
          <t>Calda TS (0,2 a 0,6 L/100kg sem.)</t>
        </is>
      </c>
      <c r="I3701" s="7" t="inlineStr">
        <is>
          <t>Não Autorizada (TS)</t>
        </is>
      </c>
      <c r="J3701" s="7" t="inlineStr">
        <is>
          <t>N/D</t>
        </is>
      </c>
    </row>
    <row r="3702" ht="22" customHeight="1">
      <c r="A3702" s="12" t="inlineStr">
        <is>
          <t>CUL-3698</t>
        </is>
      </c>
      <c r="B3702" s="11" t="n">
        <v>736</v>
      </c>
      <c r="C3702" s="13" t="inlineStr">
        <is>
          <t>Nº 14421</t>
        </is>
      </c>
      <c r="D3702" s="14" t="inlineStr">
        <is>
          <t>LEALTY FS</t>
        </is>
      </c>
      <c r="E3702" s="13" t="inlineStr">
        <is>
          <t>Tratamento de Sementes / Sulco</t>
        </is>
      </c>
      <c r="F3702" s="13" t="inlineStr">
        <is>
          <t>Pastagens</t>
        </is>
      </c>
      <c r="G3702" s="13" t="inlineStr">
        <is>
          <t>Cultura Autorizada na Bula</t>
        </is>
      </c>
      <c r="H3702" s="13" t="inlineStr">
        <is>
          <t>Calda TS (0,2 a 0,6 L/100kg sem.)</t>
        </is>
      </c>
      <c r="I3702" s="13" t="inlineStr">
        <is>
          <t>Não Autorizada (TS)</t>
        </is>
      </c>
      <c r="J3702" s="13" t="inlineStr">
        <is>
          <t>N/D</t>
        </is>
      </c>
    </row>
    <row r="3703" ht="22" customHeight="1">
      <c r="A3703" s="6" t="inlineStr">
        <is>
          <t>CUL-3699</t>
        </is>
      </c>
      <c r="B3703" s="5" t="n">
        <v>736</v>
      </c>
      <c r="C3703" s="7" t="inlineStr">
        <is>
          <t>Nº 14421</t>
        </is>
      </c>
      <c r="D3703" s="8" t="inlineStr">
        <is>
          <t>LEALTY FS</t>
        </is>
      </c>
      <c r="E3703" s="7" t="inlineStr">
        <is>
          <t>Tratamento de Sementes / Sulco</t>
        </is>
      </c>
      <c r="F3703" s="7" t="inlineStr">
        <is>
          <t>Trigo</t>
        </is>
      </c>
      <c r="G3703" s="7" t="inlineStr">
        <is>
          <t>Cultura Autorizada na Bula</t>
        </is>
      </c>
      <c r="H3703" s="7" t="inlineStr">
        <is>
          <t>Calda TS (0,2 a 0,6 L/100kg sem.)</t>
        </is>
      </c>
      <c r="I3703" s="7" t="inlineStr">
        <is>
          <t>Não Autorizada (TS)</t>
        </is>
      </c>
      <c r="J3703" s="7" t="inlineStr">
        <is>
          <t>N/D</t>
        </is>
      </c>
    </row>
    <row r="3704" ht="22" customHeight="1">
      <c r="A3704" s="12" t="inlineStr">
        <is>
          <t>CUL-3700</t>
        </is>
      </c>
      <c r="B3704" s="11" t="n">
        <v>737</v>
      </c>
      <c r="C3704" s="13" t="inlineStr">
        <is>
          <t>Nº 25224</t>
        </is>
      </c>
      <c r="D3704" s="14" t="inlineStr">
        <is>
          <t>CLETODIM 240 EC BRILLIANCE</t>
        </is>
      </c>
      <c r="E3704" s="13" t="inlineStr">
        <is>
          <t>Pulverização Agrícola Conforme Bula</t>
        </is>
      </c>
      <c r="F3704" s="13" t="inlineStr">
        <is>
          <t>Soja</t>
        </is>
      </c>
      <c r="G3704" s="13" t="inlineStr">
        <is>
          <t>Cultura Autorizada na Bula</t>
        </is>
      </c>
      <c r="H3704" s="13" t="inlineStr">
        <is>
          <t>100 a 300 L/ha</t>
        </is>
      </c>
      <c r="I3704" s="13" t="inlineStr">
        <is>
          <t>20 a 40 L/ha</t>
        </is>
      </c>
      <c r="J3704" s="13" t="inlineStr">
        <is>
          <t>60 dias</t>
        </is>
      </c>
    </row>
    <row r="3705" ht="22" customHeight="1">
      <c r="A3705" s="6" t="inlineStr">
        <is>
          <t>CUL-3701</t>
        </is>
      </c>
      <c r="B3705" s="5" t="n">
        <v>737</v>
      </c>
      <c r="C3705" s="7" t="inlineStr">
        <is>
          <t>Nº 25224</t>
        </is>
      </c>
      <c r="D3705" s="8" t="inlineStr">
        <is>
          <t>CLETODIM 240 EC BRILLIANCE</t>
        </is>
      </c>
      <c r="E3705" s="7" t="inlineStr">
        <is>
          <t>Pulverização Agrícola Conforme Bula</t>
        </is>
      </c>
      <c r="F3705" s="7" t="inlineStr">
        <is>
          <t>Algodão</t>
        </is>
      </c>
      <c r="G3705" s="7" t="inlineStr">
        <is>
          <t>Cultura Autorizada na Bula</t>
        </is>
      </c>
      <c r="H3705" s="7" t="inlineStr">
        <is>
          <t>100 a 300 L/ha</t>
        </is>
      </c>
      <c r="I3705" s="7" t="inlineStr">
        <is>
          <t>20 a 40 L/ha</t>
        </is>
      </c>
      <c r="J3705" s="7" t="inlineStr">
        <is>
          <t>58 dias</t>
        </is>
      </c>
    </row>
    <row r="3706" ht="22" customHeight="1">
      <c r="A3706" s="12" t="inlineStr">
        <is>
          <t>CUL-3702</t>
        </is>
      </c>
      <c r="B3706" s="11" t="n">
        <v>737</v>
      </c>
      <c r="C3706" s="13" t="inlineStr">
        <is>
          <t>Nº 25224</t>
        </is>
      </c>
      <c r="D3706" s="14" t="inlineStr">
        <is>
          <t>CLETODIM 240 EC BRILLIANCE</t>
        </is>
      </c>
      <c r="E3706" s="13" t="inlineStr">
        <is>
          <t>Pulverização Agrícola Conforme Bula</t>
        </is>
      </c>
      <c r="F3706" s="13" t="inlineStr">
        <is>
          <t>Feijão</t>
        </is>
      </c>
      <c r="G3706" s="13" t="inlineStr">
        <is>
          <t>Cultura Autorizada na Bula</t>
        </is>
      </c>
      <c r="H3706" s="13" t="inlineStr">
        <is>
          <t>100 a 300 L/ha</t>
        </is>
      </c>
      <c r="I3706" s="13" t="inlineStr">
        <is>
          <t>20 a 40 L/ha</t>
        </is>
      </c>
      <c r="J3706" s="13" t="inlineStr">
        <is>
          <t>40 dias</t>
        </is>
      </c>
    </row>
    <row r="3707" ht="22" customHeight="1">
      <c r="A3707" s="6" t="inlineStr">
        <is>
          <t>CUL-3703</t>
        </is>
      </c>
      <c r="B3707" s="5" t="n">
        <v>737</v>
      </c>
      <c r="C3707" s="7" t="inlineStr">
        <is>
          <t>Nº 25224</t>
        </is>
      </c>
      <c r="D3707" s="8" t="inlineStr">
        <is>
          <t>CLETODIM 240 EC BRILLIANCE</t>
        </is>
      </c>
      <c r="E3707" s="7" t="inlineStr">
        <is>
          <t>Pulverização Agrícola Conforme Bula</t>
        </is>
      </c>
      <c r="F3707" s="7" t="inlineStr">
        <is>
          <t>Café</t>
        </is>
      </c>
      <c r="G3707" s="7" t="inlineStr">
        <is>
          <t>Cultura Autorizada na Bula</t>
        </is>
      </c>
      <c r="H3707" s="7" t="inlineStr">
        <is>
          <t>100 a 300 L/ha</t>
        </is>
      </c>
      <c r="I3707" s="7" t="inlineStr">
        <is>
          <t>20 a 40 L/ha</t>
        </is>
      </c>
      <c r="J3707" s="7" t="inlineStr">
        <is>
          <t>14 dias</t>
        </is>
      </c>
    </row>
    <row r="3708" ht="22" customHeight="1">
      <c r="A3708" s="12" t="inlineStr">
        <is>
          <t>CUL-3704</t>
        </is>
      </c>
      <c r="B3708" s="11" t="n">
        <v>737</v>
      </c>
      <c r="C3708" s="13" t="inlineStr">
        <is>
          <t>Nº 25224</t>
        </is>
      </c>
      <c r="D3708" s="14" t="inlineStr">
        <is>
          <t>CLETODIM 240 EC BRILLIANCE</t>
        </is>
      </c>
      <c r="E3708" s="13" t="inlineStr">
        <is>
          <t>Pulverização Agrícola Conforme Bula</t>
        </is>
      </c>
      <c r="F3708" s="13" t="inlineStr">
        <is>
          <t>Batata</t>
        </is>
      </c>
      <c r="G3708" s="13" t="inlineStr">
        <is>
          <t>Cultura Autorizada na Bula</t>
        </is>
      </c>
      <c r="H3708" s="13" t="inlineStr">
        <is>
          <t>100 a 300 L/ha</t>
        </is>
      </c>
      <c r="I3708" s="13" t="inlineStr">
        <is>
          <t>20 a 40 L/ha</t>
        </is>
      </c>
      <c r="J3708" s="13" t="inlineStr">
        <is>
          <t>20 dias</t>
        </is>
      </c>
    </row>
    <row r="3709" ht="22" customHeight="1">
      <c r="A3709" s="6" t="inlineStr">
        <is>
          <t>CUL-3705</t>
        </is>
      </c>
      <c r="B3709" s="5" t="n">
        <v>737</v>
      </c>
      <c r="C3709" s="7" t="inlineStr">
        <is>
          <t>Nº 25224</t>
        </is>
      </c>
      <c r="D3709" s="8" t="inlineStr">
        <is>
          <t>CLETODIM 240 EC BRILLIANCE</t>
        </is>
      </c>
      <c r="E3709" s="7" t="inlineStr">
        <is>
          <t>Pulverização Agrícola Conforme Bula</t>
        </is>
      </c>
      <c r="F3709" s="7" t="inlineStr">
        <is>
          <t>Mandioca</t>
        </is>
      </c>
      <c r="G3709" s="7" t="inlineStr">
        <is>
          <t>Cultura Autorizada na Bula</t>
        </is>
      </c>
      <c r="H3709" s="7" t="inlineStr">
        <is>
          <t>100 a 300 L/ha</t>
        </is>
      </c>
      <c r="I3709" s="7" t="inlineStr">
        <is>
          <t>20 a 40 L/ha</t>
        </is>
      </c>
      <c r="J3709" s="7" t="inlineStr">
        <is>
          <t>90 dias</t>
        </is>
      </c>
    </row>
    <row r="3710" ht="22" customHeight="1">
      <c r="A3710" s="12" t="inlineStr">
        <is>
          <t>CUL-3706</t>
        </is>
      </c>
      <c r="B3710" s="11" t="n">
        <v>737</v>
      </c>
      <c r="C3710" s="13" t="inlineStr">
        <is>
          <t>Nº 25224</t>
        </is>
      </c>
      <c r="D3710" s="14" t="inlineStr">
        <is>
          <t>CLETODIM 240 EC BRILLIANCE</t>
        </is>
      </c>
      <c r="E3710" s="13" t="inlineStr">
        <is>
          <t>Pulverização Agrícola Conforme Bula</t>
        </is>
      </c>
      <c r="F3710" s="13" t="inlineStr">
        <is>
          <t>Tomate</t>
        </is>
      </c>
      <c r="G3710" s="13" t="inlineStr">
        <is>
          <t>Cultura Autorizada na Bula</t>
        </is>
      </c>
      <c r="H3710" s="13" t="inlineStr">
        <is>
          <t>100 a 300 L/ha</t>
        </is>
      </c>
      <c r="I3710" s="13" t="inlineStr">
        <is>
          <t>20 a 40 L/ha</t>
        </is>
      </c>
      <c r="J3710" s="13" t="inlineStr">
        <is>
          <t>20 dias</t>
        </is>
      </c>
    </row>
    <row r="3711" ht="22" customHeight="1">
      <c r="A3711" s="6" t="inlineStr">
        <is>
          <t>CUL-3707</t>
        </is>
      </c>
      <c r="B3711" s="5" t="n">
        <v>738</v>
      </c>
      <c r="C3711" s="7" t="inlineStr">
        <is>
          <t>Nº 16223</t>
        </is>
      </c>
      <c r="D3711" s="8" t="inlineStr">
        <is>
          <t>COMPRAY</t>
        </is>
      </c>
      <c r="E3711" s="7" t="inlineStr">
        <is>
          <t>Pulverização Agrícola Conforme Bula</t>
        </is>
      </c>
      <c r="F3711" s="7" t="inlineStr">
        <is>
          <t>Cana-de-açúcar</t>
        </is>
      </c>
      <c r="G3711" s="7" t="inlineStr">
        <is>
          <t>Cultura Autorizada na Bula</t>
        </is>
      </c>
      <c r="H3711" s="7" t="inlineStr">
        <is>
          <t>100 a 300 L/ha</t>
        </is>
      </c>
      <c r="I3711" s="7" t="inlineStr">
        <is>
          <t>20 a 40 L/ha</t>
        </is>
      </c>
      <c r="J3711" s="7" t="inlineStr">
        <is>
          <t>N/D</t>
        </is>
      </c>
    </row>
    <row r="3712" ht="22" customHeight="1">
      <c r="A3712" s="12" t="inlineStr">
        <is>
          <t>CUL-3708</t>
        </is>
      </c>
      <c r="B3712" s="11" t="n">
        <v>738</v>
      </c>
      <c r="C3712" s="13" t="inlineStr">
        <is>
          <t>Nº 16223</t>
        </is>
      </c>
      <c r="D3712" s="14" t="inlineStr">
        <is>
          <t>COMPRAY</t>
        </is>
      </c>
      <c r="E3712" s="13" t="inlineStr">
        <is>
          <t>Pulverização Agrícola Conforme Bula</t>
        </is>
      </c>
      <c r="F3712" s="13" t="inlineStr">
        <is>
          <t>Arroz</t>
        </is>
      </c>
      <c r="G3712" s="13" t="inlineStr">
        <is>
          <t>Cultura Autorizada na Bula</t>
        </is>
      </c>
      <c r="H3712" s="13" t="inlineStr">
        <is>
          <t>100 a 300 L/ha</t>
        </is>
      </c>
      <c r="I3712" s="13" t="inlineStr">
        <is>
          <t>20 a 40 L/ha</t>
        </is>
      </c>
      <c r="J3712" s="13" t="inlineStr">
        <is>
          <t>90 dias</t>
        </is>
      </c>
    </row>
    <row r="3713" ht="22" customHeight="1">
      <c r="A3713" s="6" t="inlineStr">
        <is>
          <t>CUL-3709</t>
        </is>
      </c>
      <c r="B3713" s="5" t="n">
        <v>738</v>
      </c>
      <c r="C3713" s="7" t="inlineStr">
        <is>
          <t>Nº 16223</t>
        </is>
      </c>
      <c r="D3713" s="8" t="inlineStr">
        <is>
          <t>COMPRAY</t>
        </is>
      </c>
      <c r="E3713" s="7" t="inlineStr">
        <is>
          <t>Pulverização Agrícola Conforme Bula</t>
        </is>
      </c>
      <c r="F3713" s="7" t="inlineStr">
        <is>
          <t>Soja</t>
        </is>
      </c>
      <c r="G3713" s="7" t="inlineStr">
        <is>
          <t>Cultura Autorizada na Bula</t>
        </is>
      </c>
      <c r="H3713" s="7" t="inlineStr">
        <is>
          <t>100 a 300 L/ha</t>
        </is>
      </c>
      <c r="I3713" s="7" t="inlineStr">
        <is>
          <t>20 a 40 L/ha</t>
        </is>
      </c>
      <c r="J3713" s="7" t="inlineStr">
        <is>
          <t>N/D</t>
        </is>
      </c>
    </row>
    <row r="3714" ht="22" customHeight="1">
      <c r="A3714" s="12" t="inlineStr">
        <is>
          <t>CUL-3710</t>
        </is>
      </c>
      <c r="B3714" s="11" t="n">
        <v>738</v>
      </c>
      <c r="C3714" s="13" t="inlineStr">
        <is>
          <t>Nº 16223</t>
        </is>
      </c>
      <c r="D3714" s="14" t="inlineStr">
        <is>
          <t>COMPRAY</t>
        </is>
      </c>
      <c r="E3714" s="13" t="inlineStr">
        <is>
          <t>Pulverização Agrícola Conforme Bula</t>
        </is>
      </c>
      <c r="F3714" s="13" t="inlineStr">
        <is>
          <t>Algodão</t>
        </is>
      </c>
      <c r="G3714" s="13" t="inlineStr">
        <is>
          <t>Cultura Autorizada na Bula</t>
        </is>
      </c>
      <c r="H3714" s="13" t="inlineStr">
        <is>
          <t>100 a 300 L/ha</t>
        </is>
      </c>
      <c r="I3714" s="13" t="inlineStr">
        <is>
          <t>20 a 40 L/ha</t>
        </is>
      </c>
      <c r="J3714" s="13" t="inlineStr">
        <is>
          <t>100 dias</t>
        </is>
      </c>
    </row>
    <row r="3715" ht="22" customHeight="1">
      <c r="A3715" s="6" t="inlineStr">
        <is>
          <t>CUL-3711</t>
        </is>
      </c>
      <c r="B3715" s="5" t="n">
        <v>738</v>
      </c>
      <c r="C3715" s="7" t="inlineStr">
        <is>
          <t>Nº 16223</t>
        </is>
      </c>
      <c r="D3715" s="8" t="inlineStr">
        <is>
          <t>COMPRAY</t>
        </is>
      </c>
      <c r="E3715" s="7" t="inlineStr">
        <is>
          <t>Pulverização Agrícola Conforme Bula</t>
        </is>
      </c>
      <c r="F3715" s="7" t="inlineStr">
        <is>
          <t>Mandioca</t>
        </is>
      </c>
      <c r="G3715" s="7" t="inlineStr">
        <is>
          <t>Cultura Autorizada na Bula</t>
        </is>
      </c>
      <c r="H3715" s="7" t="inlineStr">
        <is>
          <t>100 a 300 L/ha</t>
        </is>
      </c>
      <c r="I3715" s="7" t="inlineStr">
        <is>
          <t>20 a 40 L/ha</t>
        </is>
      </c>
      <c r="J3715" s="7" t="inlineStr">
        <is>
          <t>N/D</t>
        </is>
      </c>
    </row>
    <row r="3716" ht="22" customHeight="1">
      <c r="A3716" s="12" t="inlineStr">
        <is>
          <t>CUL-3712</t>
        </is>
      </c>
      <c r="B3716" s="11" t="n">
        <v>738</v>
      </c>
      <c r="C3716" s="13" t="inlineStr">
        <is>
          <t>Nº 16223</t>
        </is>
      </c>
      <c r="D3716" s="14" t="inlineStr">
        <is>
          <t>COMPRAY</t>
        </is>
      </c>
      <c r="E3716" s="13" t="inlineStr">
        <is>
          <t>Pulverização Agrícola Conforme Bula</t>
        </is>
      </c>
      <c r="F3716" s="13" t="inlineStr">
        <is>
          <t>Tabaco</t>
        </is>
      </c>
      <c r="G3716" s="13" t="inlineStr">
        <is>
          <t>Cultura Autorizada na Bula</t>
        </is>
      </c>
      <c r="H3716" s="13" t="inlineStr">
        <is>
          <t>100 a 300 L/ha</t>
        </is>
      </c>
      <c r="I3716" s="13" t="inlineStr">
        <is>
          <t>20 a 40 L/ha</t>
        </is>
      </c>
      <c r="J3716" s="13" t="inlineStr">
        <is>
          <t>N/D</t>
        </is>
      </c>
    </row>
    <row r="3717" ht="22" customHeight="1">
      <c r="A3717" s="6" t="inlineStr">
        <is>
          <t>CUL-3713</t>
        </is>
      </c>
      <c r="B3717" s="5" t="n">
        <v>739</v>
      </c>
      <c r="C3717" s="7" t="inlineStr">
        <is>
          <t>Nº 34725</t>
        </is>
      </c>
      <c r="D3717" s="8" t="inlineStr">
        <is>
          <t>SPIREEL</t>
        </is>
      </c>
      <c r="E3717" s="7" t="inlineStr">
        <is>
          <t>Pulverização Agrícola Conforme Bula</t>
        </is>
      </c>
      <c r="F3717" s="7" t="inlineStr">
        <is>
          <t>Soja</t>
        </is>
      </c>
      <c r="G3717" s="7" t="inlineStr">
        <is>
          <t>Cultura Autorizada na Bula</t>
        </is>
      </c>
      <c r="H3717" s="7" t="inlineStr">
        <is>
          <t>100 a 300 L/ha</t>
        </is>
      </c>
      <c r="I3717" s="7" t="inlineStr">
        <is>
          <t>20 a 40 L/ha</t>
        </is>
      </c>
      <c r="J3717" s="7" t="inlineStr">
        <is>
          <t>30 dias</t>
        </is>
      </c>
    </row>
    <row r="3718" ht="22" customHeight="1">
      <c r="A3718" s="12" t="inlineStr">
        <is>
          <t>CUL-3714</t>
        </is>
      </c>
      <c r="B3718" s="11" t="n">
        <v>739</v>
      </c>
      <c r="C3718" s="13" t="inlineStr">
        <is>
          <t>Nº 34725</t>
        </is>
      </c>
      <c r="D3718" s="14" t="inlineStr">
        <is>
          <t>SPIREEL</t>
        </is>
      </c>
      <c r="E3718" s="13" t="inlineStr">
        <is>
          <t>Pulverização Agrícola Conforme Bula</t>
        </is>
      </c>
      <c r="F3718" s="13" t="inlineStr">
        <is>
          <t>Algodão</t>
        </is>
      </c>
      <c r="G3718" s="13" t="inlineStr">
        <is>
          <t>Cultura Autorizada na Bula</t>
        </is>
      </c>
      <c r="H3718" s="13" t="inlineStr">
        <is>
          <t>100 a 300 L/ha</t>
        </is>
      </c>
      <c r="I3718" s="13" t="inlineStr">
        <is>
          <t>20 a 40 L/ha</t>
        </is>
      </c>
      <c r="J3718" s="13" t="inlineStr">
        <is>
          <t>30 dias</t>
        </is>
      </c>
    </row>
    <row r="3719" ht="22" customHeight="1">
      <c r="A3719" s="6" t="inlineStr">
        <is>
          <t>CUL-3715</t>
        </is>
      </c>
      <c r="B3719" s="5" t="n">
        <v>739</v>
      </c>
      <c r="C3719" s="7" t="inlineStr">
        <is>
          <t>Nº 34725</t>
        </is>
      </c>
      <c r="D3719" s="8" t="inlineStr">
        <is>
          <t>SPIREEL</t>
        </is>
      </c>
      <c r="E3719" s="7" t="inlineStr">
        <is>
          <t>Pulverização Agrícola Conforme Bula</t>
        </is>
      </c>
      <c r="F3719" s="7" t="inlineStr">
        <is>
          <t>Milho</t>
        </is>
      </c>
      <c r="G3719" s="7" t="inlineStr">
        <is>
          <t>Cultura Autorizada na Bula</t>
        </is>
      </c>
      <c r="H3719" s="7" t="inlineStr">
        <is>
          <t>100 a 300 L/ha</t>
        </is>
      </c>
      <c r="I3719" s="7" t="inlineStr">
        <is>
          <t>20 a 40 L/ha</t>
        </is>
      </c>
      <c r="J3719" s="7" t="inlineStr">
        <is>
          <t>42 dias</t>
        </is>
      </c>
    </row>
    <row r="3720" ht="22" customHeight="1">
      <c r="A3720" s="12" t="inlineStr">
        <is>
          <t>CUL-3716</t>
        </is>
      </c>
      <c r="B3720" s="11" t="n">
        <v>739</v>
      </c>
      <c r="C3720" s="13" t="inlineStr">
        <is>
          <t>Nº 34725</t>
        </is>
      </c>
      <c r="D3720" s="14" t="inlineStr">
        <is>
          <t>SPIREEL</t>
        </is>
      </c>
      <c r="E3720" s="13" t="inlineStr">
        <is>
          <t>Pulverização Agrícola Conforme Bula</t>
        </is>
      </c>
      <c r="F3720" s="13" t="inlineStr">
        <is>
          <t>Feijão</t>
        </is>
      </c>
      <c r="G3720" s="13" t="inlineStr">
        <is>
          <t>Cultura Autorizada na Bula</t>
        </is>
      </c>
      <c r="H3720" s="13" t="inlineStr">
        <is>
          <t>100 a 300 L/ha</t>
        </is>
      </c>
      <c r="I3720" s="13" t="inlineStr">
        <is>
          <t>20 a 40 L/ha</t>
        </is>
      </c>
      <c r="J3720" s="13" t="inlineStr">
        <is>
          <t>15 dias</t>
        </is>
      </c>
    </row>
    <row r="3721" ht="22" customHeight="1">
      <c r="A3721" s="6" t="inlineStr">
        <is>
          <t>CUL-3717</t>
        </is>
      </c>
      <c r="B3721" s="5" t="n">
        <v>739</v>
      </c>
      <c r="C3721" s="7" t="inlineStr">
        <is>
          <t>Nº 34725</t>
        </is>
      </c>
      <c r="D3721" s="8" t="inlineStr">
        <is>
          <t>SPIREEL</t>
        </is>
      </c>
      <c r="E3721" s="7" t="inlineStr">
        <is>
          <t>Pulverização Agrícola Conforme Bula</t>
        </is>
      </c>
      <c r="F3721" s="7" t="inlineStr">
        <is>
          <t>Trigo</t>
        </is>
      </c>
      <c r="G3721" s="7" t="inlineStr">
        <is>
          <t>Cultura Autorizada na Bula</t>
        </is>
      </c>
      <c r="H3721" s="7" t="inlineStr">
        <is>
          <t>100 a 300 L/ha</t>
        </is>
      </c>
      <c r="I3721" s="7" t="inlineStr">
        <is>
          <t>20 a 40 L/ha</t>
        </is>
      </c>
      <c r="J3721" s="7" t="inlineStr">
        <is>
          <t>30 dias</t>
        </is>
      </c>
    </row>
    <row r="3722" ht="22" customHeight="1">
      <c r="A3722" s="12" t="inlineStr">
        <is>
          <t>CUL-3718</t>
        </is>
      </c>
      <c r="B3722" s="11" t="n">
        <v>740</v>
      </c>
      <c r="C3722" s="13" t="inlineStr">
        <is>
          <t>Nº 14518</t>
        </is>
      </c>
      <c r="D3722" s="14" t="inlineStr">
        <is>
          <t>SOYACLEAN XTRA</t>
        </is>
      </c>
      <c r="E3722" s="13" t="inlineStr">
        <is>
          <t>Pulverização Agrícola Conforme Bula</t>
        </is>
      </c>
      <c r="F3722" s="13" t="inlineStr">
        <is>
          <t>Soja</t>
        </is>
      </c>
      <c r="G3722" s="13" t="inlineStr">
        <is>
          <t>Cultura Autorizada na Bula</t>
        </is>
      </c>
      <c r="H3722" s="13" t="inlineStr">
        <is>
          <t>100 a 300 L/ha</t>
        </is>
      </c>
      <c r="I3722" s="13" t="inlineStr">
        <is>
          <t>20 a 40 L/ha</t>
        </is>
      </c>
      <c r="J3722" s="13" t="inlineStr">
        <is>
          <t>60 dias</t>
        </is>
      </c>
    </row>
    <row r="3723" ht="22" customHeight="1">
      <c r="A3723" s="6" t="inlineStr">
        <is>
          <t>CUL-3719</t>
        </is>
      </c>
      <c r="B3723" s="5" t="n">
        <v>740</v>
      </c>
      <c r="C3723" s="7" t="inlineStr">
        <is>
          <t>Nº 14518</t>
        </is>
      </c>
      <c r="D3723" s="8" t="inlineStr">
        <is>
          <t>SOYACLEAN XTRA</t>
        </is>
      </c>
      <c r="E3723" s="7" t="inlineStr">
        <is>
          <t>Pulverização Agrícola Conforme Bula</t>
        </is>
      </c>
      <c r="F3723" s="7" t="inlineStr">
        <is>
          <t>Milho</t>
        </is>
      </c>
      <c r="G3723" s="7" t="inlineStr">
        <is>
          <t>Cultura Autorizada na Bula</t>
        </is>
      </c>
      <c r="H3723" s="7" t="inlineStr">
        <is>
          <t>100 a 300 L/ha</t>
        </is>
      </c>
      <c r="I3723" s="7" t="inlineStr">
        <is>
          <t>20 a 40 L/ha</t>
        </is>
      </c>
      <c r="J3723" s="7" t="inlineStr">
        <is>
          <t>45 dias</t>
        </is>
      </c>
    </row>
    <row r="3724" ht="22" customHeight="1">
      <c r="A3724" s="12" t="inlineStr">
        <is>
          <t>CUL-3720</t>
        </is>
      </c>
      <c r="B3724" s="11" t="n">
        <v>740</v>
      </c>
      <c r="C3724" s="13" t="inlineStr">
        <is>
          <t>Nº 14518</t>
        </is>
      </c>
      <c r="D3724" s="14" t="inlineStr">
        <is>
          <t>SOYACLEAN XTRA</t>
        </is>
      </c>
      <c r="E3724" s="13" t="inlineStr">
        <is>
          <t>Pulverização Agrícola Conforme Bula</t>
        </is>
      </c>
      <c r="F3724" s="13" t="inlineStr">
        <is>
          <t>Algodão</t>
        </is>
      </c>
      <c r="G3724" s="13" t="inlineStr">
        <is>
          <t>Cultura Autorizada na Bula</t>
        </is>
      </c>
      <c r="H3724" s="13" t="inlineStr">
        <is>
          <t>100 a 300 L/ha</t>
        </is>
      </c>
      <c r="I3724" s="13" t="inlineStr">
        <is>
          <t>20 a 40 L/ha</t>
        </is>
      </c>
      <c r="J3724" s="13" t="inlineStr">
        <is>
          <t>60 dias</t>
        </is>
      </c>
    </row>
    <row r="3725" ht="22" customHeight="1">
      <c r="A3725" s="6" t="inlineStr">
        <is>
          <t>CUL-3721</t>
        </is>
      </c>
      <c r="B3725" s="5" t="n">
        <v>740</v>
      </c>
      <c r="C3725" s="7" t="inlineStr">
        <is>
          <t>Nº 14518</t>
        </is>
      </c>
      <c r="D3725" s="8" t="inlineStr">
        <is>
          <t>SOYACLEAN XTRA</t>
        </is>
      </c>
      <c r="E3725" s="7" t="inlineStr">
        <is>
          <t>Pulverização Agrícola Conforme Bula</t>
        </is>
      </c>
      <c r="F3725" s="7" t="inlineStr">
        <is>
          <t>Cana-de-açúcar</t>
        </is>
      </c>
      <c r="G3725" s="7" t="inlineStr">
        <is>
          <t>Cultura Autorizada na Bula</t>
        </is>
      </c>
      <c r="H3725" s="7" t="inlineStr">
        <is>
          <t>100 a 300 L/ha</t>
        </is>
      </c>
      <c r="I3725" s="7" t="inlineStr">
        <is>
          <t>20 a 40 L/ha</t>
        </is>
      </c>
      <c r="J3725" s="7" t="inlineStr">
        <is>
          <t>90 dias</t>
        </is>
      </c>
    </row>
    <row r="3726" ht="22" customHeight="1">
      <c r="A3726" s="12" t="inlineStr">
        <is>
          <t>CUL-3722</t>
        </is>
      </c>
      <c r="B3726" s="11" t="n">
        <v>741</v>
      </c>
      <c r="C3726" s="13" t="inlineStr">
        <is>
          <t>Nº 31522</t>
        </is>
      </c>
      <c r="D3726" s="14" t="inlineStr">
        <is>
          <t>MITTO 900 (5X1KG)X4 (IMP) RW (VALIDAR)</t>
        </is>
      </c>
      <c r="E3726" s="13" t="inlineStr">
        <is>
          <t>Pulverização Agrícola Conforme Bula</t>
        </is>
      </c>
      <c r="F3726" s="13" t="inlineStr">
        <is>
          <t>Soja</t>
        </is>
      </c>
      <c r="G3726" s="13" t="inlineStr">
        <is>
          <t>Cultura Autorizada na Bula</t>
        </is>
      </c>
      <c r="H3726" s="13" t="inlineStr">
        <is>
          <t>100 a 300 L/ha</t>
        </is>
      </c>
      <c r="I3726" s="13" t="inlineStr">
        <is>
          <t>20 a 40 L/ha</t>
        </is>
      </c>
      <c r="J3726" s="13" t="inlineStr">
        <is>
          <t>14 dias</t>
        </is>
      </c>
    </row>
    <row r="3727" ht="22" customHeight="1">
      <c r="A3727" s="6" t="inlineStr">
        <is>
          <t>CUL-3723</t>
        </is>
      </c>
      <c r="B3727" s="5" t="n">
        <v>741</v>
      </c>
      <c r="C3727" s="7" t="inlineStr">
        <is>
          <t>Nº 31522</t>
        </is>
      </c>
      <c r="D3727" s="8" t="inlineStr">
        <is>
          <t>MITTO 900 (5X1KG)X4 (IMP) RW (VALIDAR)</t>
        </is>
      </c>
      <c r="E3727" s="7" t="inlineStr">
        <is>
          <t>Pulverização Agrícola Conforme Bula</t>
        </is>
      </c>
      <c r="F3727" s="7" t="inlineStr">
        <is>
          <t>Milho</t>
        </is>
      </c>
      <c r="G3727" s="7" t="inlineStr">
        <is>
          <t>Cultura Autorizada na Bula</t>
        </is>
      </c>
      <c r="H3727" s="7" t="inlineStr">
        <is>
          <t>100 a 300 L/ha</t>
        </is>
      </c>
      <c r="I3727" s="7" t="inlineStr">
        <is>
          <t>20 a 40 L/ha</t>
        </is>
      </c>
      <c r="J3727" s="7" t="inlineStr">
        <is>
          <t>14 dias</t>
        </is>
      </c>
    </row>
    <row r="3728" ht="22" customHeight="1">
      <c r="A3728" s="12" t="inlineStr">
        <is>
          <t>CUL-3724</t>
        </is>
      </c>
      <c r="B3728" s="11" t="n">
        <v>741</v>
      </c>
      <c r="C3728" s="13" t="inlineStr">
        <is>
          <t>Nº 31522</t>
        </is>
      </c>
      <c r="D3728" s="14" t="inlineStr">
        <is>
          <t>MITTO 900 (5X1KG)X4 (IMP) RW (VALIDAR)</t>
        </is>
      </c>
      <c r="E3728" s="13" t="inlineStr">
        <is>
          <t>Pulverização Agrícola Conforme Bula</t>
        </is>
      </c>
      <c r="F3728" s="13" t="inlineStr">
        <is>
          <t>Algodão</t>
        </is>
      </c>
      <c r="G3728" s="13" t="inlineStr">
        <is>
          <t>Cultura Autorizada na Bula</t>
        </is>
      </c>
      <c r="H3728" s="13" t="inlineStr">
        <is>
          <t>100 a 300 L/ha</t>
        </is>
      </c>
      <c r="I3728" s="13" t="inlineStr">
        <is>
          <t>20 a 40 L/ha</t>
        </is>
      </c>
      <c r="J3728" s="13" t="inlineStr">
        <is>
          <t>14 dias</t>
        </is>
      </c>
    </row>
    <row r="3729" ht="22" customHeight="1">
      <c r="A3729" s="6" t="inlineStr">
        <is>
          <t>CUL-3725</t>
        </is>
      </c>
      <c r="B3729" s="5" t="n">
        <v>741</v>
      </c>
      <c r="C3729" s="7" t="inlineStr">
        <is>
          <t>Nº 31522</t>
        </is>
      </c>
      <c r="D3729" s="8" t="inlineStr">
        <is>
          <t>MITTO 900 (5X1KG)X4 (IMP) RW (VALIDAR)</t>
        </is>
      </c>
      <c r="E3729" s="7" t="inlineStr">
        <is>
          <t>Pulverização Agrícola Conforme Bula</t>
        </is>
      </c>
      <c r="F3729" s="7" t="inlineStr">
        <is>
          <t>Trigo</t>
        </is>
      </c>
      <c r="G3729" s="7" t="inlineStr">
        <is>
          <t>Cultura Autorizada na Bula</t>
        </is>
      </c>
      <c r="H3729" s="7" t="inlineStr">
        <is>
          <t>100 a 300 L/ha</t>
        </is>
      </c>
      <c r="I3729" s="7" t="inlineStr">
        <is>
          <t>20 a 40 L/ha</t>
        </is>
      </c>
      <c r="J3729" s="7" t="inlineStr">
        <is>
          <t>14 dias</t>
        </is>
      </c>
    </row>
    <row r="3730" ht="22" customHeight="1">
      <c r="A3730" s="12" t="inlineStr">
        <is>
          <t>CUL-3726</t>
        </is>
      </c>
      <c r="B3730" s="11" t="n">
        <v>741</v>
      </c>
      <c r="C3730" s="13" t="inlineStr">
        <is>
          <t>Nº 31522</t>
        </is>
      </c>
      <c r="D3730" s="14" t="inlineStr">
        <is>
          <t>MITTO 900 (5X1KG)X4 (IMP) RW (VALIDAR)</t>
        </is>
      </c>
      <c r="E3730" s="13" t="inlineStr">
        <is>
          <t>Pulverização Agrícola Conforme Bula</t>
        </is>
      </c>
      <c r="F3730" s="13" t="inlineStr">
        <is>
          <t>Batata</t>
        </is>
      </c>
      <c r="G3730" s="13" t="inlineStr">
        <is>
          <t>Cultura Autorizada na Bula</t>
        </is>
      </c>
      <c r="H3730" s="13" t="inlineStr">
        <is>
          <t>100 a 300 L/ha</t>
        </is>
      </c>
      <c r="I3730" s="13" t="inlineStr">
        <is>
          <t>20 a 40 L/ha</t>
        </is>
      </c>
      <c r="J3730" s="13" t="inlineStr">
        <is>
          <t>14 dias</t>
        </is>
      </c>
    </row>
    <row r="3731" ht="22" customHeight="1">
      <c r="A3731" s="6" t="inlineStr">
        <is>
          <t>CUL-3727</t>
        </is>
      </c>
      <c r="B3731" s="5" t="n">
        <v>741</v>
      </c>
      <c r="C3731" s="7" t="inlineStr">
        <is>
          <t>Nº 31522</t>
        </is>
      </c>
      <c r="D3731" s="8" t="inlineStr">
        <is>
          <t>MITTO 900 (5X1KG)X4 (IMP) RW (VALIDAR)</t>
        </is>
      </c>
      <c r="E3731" s="7" t="inlineStr">
        <is>
          <t>Pulverização Agrícola Conforme Bula</t>
        </is>
      </c>
      <c r="F3731" s="7" t="inlineStr">
        <is>
          <t>Tomate</t>
        </is>
      </c>
      <c r="G3731" s="7" t="inlineStr">
        <is>
          <t>Cultura Autorizada na Bula</t>
        </is>
      </c>
      <c r="H3731" s="7" t="inlineStr">
        <is>
          <t>100 a 300 L/ha</t>
        </is>
      </c>
      <c r="I3731" s="7" t="inlineStr">
        <is>
          <t>20 a 40 L/ha</t>
        </is>
      </c>
      <c r="J3731" s="7" t="inlineStr">
        <is>
          <t>3 dias</t>
        </is>
      </c>
    </row>
    <row r="3732" ht="22" customHeight="1">
      <c r="A3732" s="12" t="inlineStr">
        <is>
          <t>CUL-3728</t>
        </is>
      </c>
      <c r="B3732" s="11" t="n">
        <v>742</v>
      </c>
      <c r="C3732" s="13" t="inlineStr">
        <is>
          <t>SIPEAGRO (UF-XXXXX)</t>
        </is>
      </c>
      <c r="D3732" s="14" t="inlineStr">
        <is>
          <t>BORO GRANULADO 14.5%B - DREYMOOR</t>
        </is>
      </c>
      <c r="E3732" s="13" t="inlineStr">
        <is>
          <t>Adubação de Solo / Foliar</t>
        </is>
      </c>
      <c r="F3732" s="13" t="inlineStr">
        <is>
          <t>Soja</t>
        </is>
      </c>
      <c r="G3732" s="13" t="inlineStr">
        <is>
          <t>Cultura Autorizada na Bula</t>
        </is>
      </c>
      <c r="H3732" s="13" t="inlineStr">
        <is>
          <t>100 a 300 L/ha</t>
        </is>
      </c>
      <c r="I3732" s="13" t="inlineStr">
        <is>
          <t>20 a 40 L/ha</t>
        </is>
      </c>
      <c r="J3732" s="13" t="inlineStr">
        <is>
          <t>Isento</t>
        </is>
      </c>
    </row>
    <row r="3733" ht="22" customHeight="1">
      <c r="A3733" s="6" t="inlineStr">
        <is>
          <t>CUL-3729</t>
        </is>
      </c>
      <c r="B3733" s="5" t="n">
        <v>742</v>
      </c>
      <c r="C3733" s="7" t="inlineStr">
        <is>
          <t>SIPEAGRO (UF-XXXXX)</t>
        </is>
      </c>
      <c r="D3733" s="8" t="inlineStr">
        <is>
          <t>BORO GRANULADO 14.5%B - DREYMOOR</t>
        </is>
      </c>
      <c r="E3733" s="7" t="inlineStr">
        <is>
          <t>Adubação de Solo / Foliar</t>
        </is>
      </c>
      <c r="F3733" s="7" t="inlineStr">
        <is>
          <t>Milho</t>
        </is>
      </c>
      <c r="G3733" s="7" t="inlineStr">
        <is>
          <t>Cultura Autorizada na Bula</t>
        </is>
      </c>
      <c r="H3733" s="7" t="inlineStr">
        <is>
          <t>100 a 300 L/ha</t>
        </is>
      </c>
      <c r="I3733" s="7" t="inlineStr">
        <is>
          <t>20 a 40 L/ha</t>
        </is>
      </c>
      <c r="J3733" s="7" t="inlineStr">
        <is>
          <t>Isento</t>
        </is>
      </c>
    </row>
    <row r="3734" ht="22" customHeight="1">
      <c r="A3734" s="12" t="inlineStr">
        <is>
          <t>CUL-3730</t>
        </is>
      </c>
      <c r="B3734" s="11" t="n">
        <v>742</v>
      </c>
      <c r="C3734" s="13" t="inlineStr">
        <is>
          <t>SIPEAGRO (UF-XXXXX)</t>
        </is>
      </c>
      <c r="D3734" s="14" t="inlineStr">
        <is>
          <t>BORO GRANULADO 14.5%B - DREYMOOR</t>
        </is>
      </c>
      <c r="E3734" s="13" t="inlineStr">
        <is>
          <t>Adubação de Solo / Foliar</t>
        </is>
      </c>
      <c r="F3734" s="13" t="inlineStr">
        <is>
          <t>Algodão</t>
        </is>
      </c>
      <c r="G3734" s="13" t="inlineStr">
        <is>
          <t>Cultura Autorizada na Bula</t>
        </is>
      </c>
      <c r="H3734" s="13" t="inlineStr">
        <is>
          <t>100 a 300 L/ha</t>
        </is>
      </c>
      <c r="I3734" s="13" t="inlineStr">
        <is>
          <t>20 a 40 L/ha</t>
        </is>
      </c>
      <c r="J3734" s="13" t="inlineStr">
        <is>
          <t>Isento</t>
        </is>
      </c>
    </row>
    <row r="3735" ht="22" customHeight="1">
      <c r="A3735" s="6" t="inlineStr">
        <is>
          <t>CUL-3731</t>
        </is>
      </c>
      <c r="B3735" s="5" t="n">
        <v>742</v>
      </c>
      <c r="C3735" s="7" t="inlineStr">
        <is>
          <t>SIPEAGRO (UF-XXXXX)</t>
        </is>
      </c>
      <c r="D3735" s="8" t="inlineStr">
        <is>
          <t>BORO GRANULADO 14.5%B - DREYMOOR</t>
        </is>
      </c>
      <c r="E3735" s="7" t="inlineStr">
        <is>
          <t>Adubação de Solo / Foliar</t>
        </is>
      </c>
      <c r="F3735" s="7" t="inlineStr">
        <is>
          <t>Cana-de-açúcar</t>
        </is>
      </c>
      <c r="G3735" s="7" t="inlineStr">
        <is>
          <t>Cultura Autorizada na Bula</t>
        </is>
      </c>
      <c r="H3735" s="7" t="inlineStr">
        <is>
          <t>100 a 300 L/ha</t>
        </is>
      </c>
      <c r="I3735" s="7" t="inlineStr">
        <is>
          <t>20 a 40 L/ha</t>
        </is>
      </c>
      <c r="J3735" s="7" t="inlineStr">
        <is>
          <t>Isento</t>
        </is>
      </c>
    </row>
    <row r="3736" ht="22" customHeight="1">
      <c r="A3736" s="12" t="inlineStr">
        <is>
          <t>CUL-3732</t>
        </is>
      </c>
      <c r="B3736" s="11" t="n">
        <v>742</v>
      </c>
      <c r="C3736" s="13" t="inlineStr">
        <is>
          <t>SIPEAGRO (UF-XXXXX)</t>
        </is>
      </c>
      <c r="D3736" s="14" t="inlineStr">
        <is>
          <t>BORO GRANULADO 14.5%B - DREYMOOR</t>
        </is>
      </c>
      <c r="E3736" s="13" t="inlineStr">
        <is>
          <t>Adubação de Solo / Foliar</t>
        </is>
      </c>
      <c r="F3736" s="13" t="inlineStr">
        <is>
          <t>Café</t>
        </is>
      </c>
      <c r="G3736" s="13" t="inlineStr">
        <is>
          <t>Cultura Autorizada na Bula</t>
        </is>
      </c>
      <c r="H3736" s="13" t="inlineStr">
        <is>
          <t>100 a 300 L/ha</t>
        </is>
      </c>
      <c r="I3736" s="13" t="inlineStr">
        <is>
          <t>20 a 40 L/ha</t>
        </is>
      </c>
      <c r="J3736" s="13" t="inlineStr">
        <is>
          <t>Isento</t>
        </is>
      </c>
    </row>
    <row r="3737" ht="22" customHeight="1">
      <c r="A3737" s="6" t="inlineStr">
        <is>
          <t>CUL-3733</t>
        </is>
      </c>
      <c r="B3737" s="5" t="n">
        <v>743</v>
      </c>
      <c r="C3737" s="7" t="inlineStr">
        <is>
          <t>Nº 27025</t>
        </is>
      </c>
      <c r="D3737" s="8" t="inlineStr">
        <is>
          <t>PYROX</t>
        </is>
      </c>
      <c r="E3737" s="7" t="inlineStr">
        <is>
          <t>Pulverização Agrícola Conforme Bula</t>
        </is>
      </c>
      <c r="F3737" s="7" t="inlineStr">
        <is>
          <t>Soja (Pré-Plantio)</t>
        </is>
      </c>
      <c r="G3737" s="7" t="inlineStr">
        <is>
          <t>Cultura Autorizada na Bula</t>
        </is>
      </c>
      <c r="H3737" s="7" t="inlineStr">
        <is>
          <t>100 a 300 L/ha</t>
        </is>
      </c>
      <c r="I3737" s="7" t="inlineStr">
        <is>
          <t>20 a 40 L/ha</t>
        </is>
      </c>
      <c r="J3737" s="7" t="inlineStr">
        <is>
          <t>N/D</t>
        </is>
      </c>
    </row>
    <row r="3738" ht="22" customHeight="1">
      <c r="A3738" s="12" t="inlineStr">
        <is>
          <t>CUL-3734</t>
        </is>
      </c>
      <c r="B3738" s="11" t="n">
        <v>743</v>
      </c>
      <c r="C3738" s="13" t="inlineStr">
        <is>
          <t>Nº 27025</t>
        </is>
      </c>
      <c r="D3738" s="14" t="inlineStr">
        <is>
          <t>PYROX</t>
        </is>
      </c>
      <c r="E3738" s="13" t="inlineStr">
        <is>
          <t>Pulverização Agrícola Conforme Bula</t>
        </is>
      </c>
      <c r="F3738" s="13" t="inlineStr">
        <is>
          <t>Algodão</t>
        </is>
      </c>
      <c r="G3738" s="13" t="inlineStr">
        <is>
          <t>Cultura Autorizada na Bula</t>
        </is>
      </c>
      <c r="H3738" s="13" t="inlineStr">
        <is>
          <t>100 a 300 L/ha</t>
        </is>
      </c>
      <c r="I3738" s="13" t="inlineStr">
        <is>
          <t>20 a 40 L/ha</t>
        </is>
      </c>
      <c r="J3738" s="13" t="inlineStr">
        <is>
          <t>90 dias</t>
        </is>
      </c>
    </row>
    <row r="3739" ht="22" customHeight="1">
      <c r="A3739" s="6" t="inlineStr">
        <is>
          <t>CUL-3735</t>
        </is>
      </c>
      <c r="B3739" s="5" t="n">
        <v>743</v>
      </c>
      <c r="C3739" s="7" t="inlineStr">
        <is>
          <t>Nº 27025</t>
        </is>
      </c>
      <c r="D3739" s="8" t="inlineStr">
        <is>
          <t>PYROX</t>
        </is>
      </c>
      <c r="E3739" s="7" t="inlineStr">
        <is>
          <t>Pulverização Agrícola Conforme Bula</t>
        </is>
      </c>
      <c r="F3739" s="7" t="inlineStr">
        <is>
          <t>Cana-de-açúcar</t>
        </is>
      </c>
      <c r="G3739" s="7" t="inlineStr">
        <is>
          <t>Cultura Autorizada na Bula</t>
        </is>
      </c>
      <c r="H3739" s="7" t="inlineStr">
        <is>
          <t>100 a 300 L/ha</t>
        </is>
      </c>
      <c r="I3739" s="7" t="inlineStr">
        <is>
          <t>20 a 40 L/ha</t>
        </is>
      </c>
      <c r="J3739" s="7" t="inlineStr">
        <is>
          <t>85 dias</t>
        </is>
      </c>
    </row>
    <row r="3740" ht="22" customHeight="1">
      <c r="A3740" s="12" t="inlineStr">
        <is>
          <t>CUL-3736</t>
        </is>
      </c>
      <c r="B3740" s="11" t="n">
        <v>743</v>
      </c>
      <c r="C3740" s="13" t="inlineStr">
        <is>
          <t>Nº 27025</t>
        </is>
      </c>
      <c r="D3740" s="14" t="inlineStr">
        <is>
          <t>PYROX</t>
        </is>
      </c>
      <c r="E3740" s="13" t="inlineStr">
        <is>
          <t>Pulverização Agrícola Conforme Bula</t>
        </is>
      </c>
      <c r="F3740" s="13" t="inlineStr">
        <is>
          <t>Café</t>
        </is>
      </c>
      <c r="G3740" s="13" t="inlineStr">
        <is>
          <t>Cultura Autorizada na Bula</t>
        </is>
      </c>
      <c r="H3740" s="13" t="inlineStr">
        <is>
          <t>100 a 300 L/ha</t>
        </is>
      </c>
      <c r="I3740" s="13" t="inlineStr">
        <is>
          <t>20 a 40 L/ha</t>
        </is>
      </c>
      <c r="J3740" s="13" t="inlineStr">
        <is>
          <t>15 dias</t>
        </is>
      </c>
    </row>
    <row r="3741" ht="22" customHeight="1">
      <c r="A3741" s="6" t="inlineStr">
        <is>
          <t>CUL-3737</t>
        </is>
      </c>
      <c r="B3741" s="5" t="n">
        <v>743</v>
      </c>
      <c r="C3741" s="7" t="inlineStr">
        <is>
          <t>Nº 27025</t>
        </is>
      </c>
      <c r="D3741" s="8" t="inlineStr">
        <is>
          <t>PYROX</t>
        </is>
      </c>
      <c r="E3741" s="7" t="inlineStr">
        <is>
          <t>Pulverização Agrícola Conforme Bula</t>
        </is>
      </c>
      <c r="F3741" s="7" t="inlineStr">
        <is>
          <t>Citros</t>
        </is>
      </c>
      <c r="G3741" s="7" t="inlineStr">
        <is>
          <t>Cultura Autorizada na Bula</t>
        </is>
      </c>
      <c r="H3741" s="7" t="inlineStr">
        <is>
          <t>100 a 300 L/ha</t>
        </is>
      </c>
      <c r="I3741" s="7" t="inlineStr">
        <is>
          <t>20 a 40 L/ha</t>
        </is>
      </c>
      <c r="J3741" s="7" t="inlineStr">
        <is>
          <t>N/D</t>
        </is>
      </c>
    </row>
    <row r="3742" ht="22" customHeight="1">
      <c r="A3742" s="12" t="inlineStr">
        <is>
          <t>CUL-3738</t>
        </is>
      </c>
      <c r="B3742" s="11" t="n">
        <v>743</v>
      </c>
      <c r="C3742" s="13" t="inlineStr">
        <is>
          <t>Nº 27025</t>
        </is>
      </c>
      <c r="D3742" s="14" t="inlineStr">
        <is>
          <t>PYROX</t>
        </is>
      </c>
      <c r="E3742" s="13" t="inlineStr">
        <is>
          <t>Pulverização Agrícola Conforme Bula</t>
        </is>
      </c>
      <c r="F3742" s="13" t="inlineStr">
        <is>
          <t>Feijão</t>
        </is>
      </c>
      <c r="G3742" s="13" t="inlineStr">
        <is>
          <t>Cultura Autorizada na Bula</t>
        </is>
      </c>
      <c r="H3742" s="13" t="inlineStr">
        <is>
          <t>100 a 300 L/ha</t>
        </is>
      </c>
      <c r="I3742" s="13" t="inlineStr">
        <is>
          <t>20 a 40 L/ha</t>
        </is>
      </c>
      <c r="J3742" s="13" t="inlineStr">
        <is>
          <t>N/D</t>
        </is>
      </c>
    </row>
    <row r="3743" ht="22" customHeight="1">
      <c r="A3743" s="6" t="inlineStr">
        <is>
          <t>CUL-3739</t>
        </is>
      </c>
      <c r="B3743" s="5" t="n">
        <v>744</v>
      </c>
      <c r="C3743" s="7" t="inlineStr">
        <is>
          <t>Nº 28925</t>
        </is>
      </c>
      <c r="D3743" s="8" t="inlineStr">
        <is>
          <t>S-METOLACHLOR 960 EC BINNONG</t>
        </is>
      </c>
      <c r="E3743" s="7" t="inlineStr">
        <is>
          <t>Pulverização Agrícola Conforme Bula</t>
        </is>
      </c>
      <c r="F3743" s="7" t="inlineStr">
        <is>
          <t>Soja</t>
        </is>
      </c>
      <c r="G3743" s="7" t="inlineStr">
        <is>
          <t>Cultura Autorizada na Bula</t>
        </is>
      </c>
      <c r="H3743" s="7" t="inlineStr">
        <is>
          <t>100 a 300 L/ha</t>
        </is>
      </c>
      <c r="I3743" s="7" t="inlineStr">
        <is>
          <t>20 a 40 L/ha</t>
        </is>
      </c>
      <c r="J3743" s="7" t="inlineStr">
        <is>
          <t>N/D</t>
        </is>
      </c>
    </row>
    <row r="3744" ht="22" customHeight="1">
      <c r="A3744" s="12" t="inlineStr">
        <is>
          <t>CUL-3740</t>
        </is>
      </c>
      <c r="B3744" s="11" t="n">
        <v>744</v>
      </c>
      <c r="C3744" s="13" t="inlineStr">
        <is>
          <t>Nº 28925</t>
        </is>
      </c>
      <c r="D3744" s="14" t="inlineStr">
        <is>
          <t>S-METOLACHLOR 960 EC BINNONG</t>
        </is>
      </c>
      <c r="E3744" s="13" t="inlineStr">
        <is>
          <t>Pulverização Agrícola Conforme Bula</t>
        </is>
      </c>
      <c r="F3744" s="13" t="inlineStr">
        <is>
          <t>Milho</t>
        </is>
      </c>
      <c r="G3744" s="13" t="inlineStr">
        <is>
          <t>Cultura Autorizada na Bula</t>
        </is>
      </c>
      <c r="H3744" s="13" t="inlineStr">
        <is>
          <t>100 a 300 L/ha</t>
        </is>
      </c>
      <c r="I3744" s="13" t="inlineStr">
        <is>
          <t>20 a 40 L/ha</t>
        </is>
      </c>
      <c r="J3744" s="13" t="inlineStr">
        <is>
          <t>N/D</t>
        </is>
      </c>
    </row>
    <row r="3745" ht="22" customHeight="1">
      <c r="A3745" s="6" t="inlineStr">
        <is>
          <t>CUL-3741</t>
        </is>
      </c>
      <c r="B3745" s="5" t="n">
        <v>744</v>
      </c>
      <c r="C3745" s="7" t="inlineStr">
        <is>
          <t>Nº 28925</t>
        </is>
      </c>
      <c r="D3745" s="8" t="inlineStr">
        <is>
          <t>S-METOLACHLOR 960 EC BINNONG</t>
        </is>
      </c>
      <c r="E3745" s="7" t="inlineStr">
        <is>
          <t>Pulverização Agrícola Conforme Bula</t>
        </is>
      </c>
      <c r="F3745" s="7" t="inlineStr">
        <is>
          <t>Algodão</t>
        </is>
      </c>
      <c r="G3745" s="7" t="inlineStr">
        <is>
          <t>Cultura Autorizada na Bula</t>
        </is>
      </c>
      <c r="H3745" s="7" t="inlineStr">
        <is>
          <t>100 a 300 L/ha</t>
        </is>
      </c>
      <c r="I3745" s="7" t="inlineStr">
        <is>
          <t>20 a 40 L/ha</t>
        </is>
      </c>
      <c r="J3745" s="7" t="inlineStr">
        <is>
          <t>N/D</t>
        </is>
      </c>
    </row>
    <row r="3746" ht="22" customHeight="1">
      <c r="A3746" s="12" t="inlineStr">
        <is>
          <t>CUL-3742</t>
        </is>
      </c>
      <c r="B3746" s="11" t="n">
        <v>744</v>
      </c>
      <c r="C3746" s="13" t="inlineStr">
        <is>
          <t>Nº 28925</t>
        </is>
      </c>
      <c r="D3746" s="14" t="inlineStr">
        <is>
          <t>S-METOLACHLOR 960 EC BINNONG</t>
        </is>
      </c>
      <c r="E3746" s="13" t="inlineStr">
        <is>
          <t>Pulverização Agrícola Conforme Bula</t>
        </is>
      </c>
      <c r="F3746" s="13" t="inlineStr">
        <is>
          <t>Cana-de-açúcar</t>
        </is>
      </c>
      <c r="G3746" s="13" t="inlineStr">
        <is>
          <t>Cultura Autorizada na Bula</t>
        </is>
      </c>
      <c r="H3746" s="13" t="inlineStr">
        <is>
          <t>100 a 300 L/ha</t>
        </is>
      </c>
      <c r="I3746" s="13" t="inlineStr">
        <is>
          <t>20 a 40 L/ha</t>
        </is>
      </c>
      <c r="J3746" s="13" t="inlineStr">
        <is>
          <t>N/D</t>
        </is>
      </c>
    </row>
    <row r="3747" ht="22" customHeight="1">
      <c r="A3747" s="6" t="inlineStr">
        <is>
          <t>CUL-3743</t>
        </is>
      </c>
      <c r="B3747" s="5" t="n">
        <v>744</v>
      </c>
      <c r="C3747" s="7" t="inlineStr">
        <is>
          <t>Nº 28925</t>
        </is>
      </c>
      <c r="D3747" s="8" t="inlineStr">
        <is>
          <t>S-METOLACHLOR 960 EC BINNONG</t>
        </is>
      </c>
      <c r="E3747" s="7" t="inlineStr">
        <is>
          <t>Pulverização Agrícola Conforme Bula</t>
        </is>
      </c>
      <c r="F3747" s="7" t="inlineStr">
        <is>
          <t>Feijão</t>
        </is>
      </c>
      <c r="G3747" s="7" t="inlineStr">
        <is>
          <t>Cultura Autorizada na Bula</t>
        </is>
      </c>
      <c r="H3747" s="7" t="inlineStr">
        <is>
          <t>100 a 300 L/ha</t>
        </is>
      </c>
      <c r="I3747" s="7" t="inlineStr">
        <is>
          <t>20 a 40 L/ha</t>
        </is>
      </c>
      <c r="J3747" s="7" t="inlineStr">
        <is>
          <t>N/D</t>
        </is>
      </c>
    </row>
    <row r="3748" ht="22" customHeight="1">
      <c r="A3748" s="12" t="inlineStr">
        <is>
          <t>CUL-3744</t>
        </is>
      </c>
      <c r="B3748" s="11" t="n">
        <v>745</v>
      </c>
      <c r="C3748" s="13" t="inlineStr">
        <is>
          <t>Nº 47125</t>
        </is>
      </c>
      <c r="D3748" s="14" t="inlineStr">
        <is>
          <t>CHLORFENAPYR</t>
        </is>
      </c>
      <c r="E3748" s="13" t="inlineStr">
        <is>
          <t>Pulverização Agrícola Conforme Bula</t>
        </is>
      </c>
      <c r="F3748" s="13" t="inlineStr">
        <is>
          <t>Soja</t>
        </is>
      </c>
      <c r="G3748" s="13" t="inlineStr">
        <is>
          <t>Cultura Autorizada na Bula</t>
        </is>
      </c>
      <c r="H3748" s="13" t="inlineStr">
        <is>
          <t>100 a 300 L/ha</t>
        </is>
      </c>
      <c r="I3748" s="13" t="inlineStr">
        <is>
          <t>20 a 40 L/ha</t>
        </is>
      </c>
      <c r="J3748" s="13" t="inlineStr">
        <is>
          <t>14 dias</t>
        </is>
      </c>
    </row>
    <row r="3749" ht="22" customHeight="1">
      <c r="A3749" s="6" t="inlineStr">
        <is>
          <t>CUL-3745</t>
        </is>
      </c>
      <c r="B3749" s="5" t="n">
        <v>745</v>
      </c>
      <c r="C3749" s="7" t="inlineStr">
        <is>
          <t>Nº 47125</t>
        </is>
      </c>
      <c r="D3749" s="8" t="inlineStr">
        <is>
          <t>CHLORFENAPYR</t>
        </is>
      </c>
      <c r="E3749" s="7" t="inlineStr">
        <is>
          <t>Pulverização Agrícola Conforme Bula</t>
        </is>
      </c>
      <c r="F3749" s="7" t="inlineStr">
        <is>
          <t>Milho</t>
        </is>
      </c>
      <c r="G3749" s="7" t="inlineStr">
        <is>
          <t>Cultura Autorizada na Bula</t>
        </is>
      </c>
      <c r="H3749" s="7" t="inlineStr">
        <is>
          <t>100 a 300 L/ha</t>
        </is>
      </c>
      <c r="I3749" s="7" t="inlineStr">
        <is>
          <t>20 a 40 L/ha</t>
        </is>
      </c>
      <c r="J3749" s="7" t="inlineStr">
        <is>
          <t>14 dias</t>
        </is>
      </c>
    </row>
    <row r="3750" ht="22" customHeight="1">
      <c r="A3750" s="12" t="inlineStr">
        <is>
          <t>CUL-3746</t>
        </is>
      </c>
      <c r="B3750" s="11" t="n">
        <v>745</v>
      </c>
      <c r="C3750" s="13" t="inlineStr">
        <is>
          <t>Nº 47125</t>
        </is>
      </c>
      <c r="D3750" s="14" t="inlineStr">
        <is>
          <t>CHLORFENAPYR</t>
        </is>
      </c>
      <c r="E3750" s="13" t="inlineStr">
        <is>
          <t>Pulverização Agrícola Conforme Bula</t>
        </is>
      </c>
      <c r="F3750" s="13" t="inlineStr">
        <is>
          <t>Algodão</t>
        </is>
      </c>
      <c r="G3750" s="13" t="inlineStr">
        <is>
          <t>Cultura Autorizada na Bula</t>
        </is>
      </c>
      <c r="H3750" s="13" t="inlineStr">
        <is>
          <t>100 a 300 L/ha</t>
        </is>
      </c>
      <c r="I3750" s="13" t="inlineStr">
        <is>
          <t>20 a 40 L/ha</t>
        </is>
      </c>
      <c r="J3750" s="13" t="inlineStr">
        <is>
          <t>21 dias</t>
        </is>
      </c>
    </row>
    <row r="3751" ht="22" customHeight="1">
      <c r="A3751" s="6" t="inlineStr">
        <is>
          <t>CUL-3747</t>
        </is>
      </c>
      <c r="B3751" s="5" t="n">
        <v>745</v>
      </c>
      <c r="C3751" s="7" t="inlineStr">
        <is>
          <t>Nº 47125</t>
        </is>
      </c>
      <c r="D3751" s="8" t="inlineStr">
        <is>
          <t>CHLORFENAPYR</t>
        </is>
      </c>
      <c r="E3751" s="7" t="inlineStr">
        <is>
          <t>Pulverização Agrícola Conforme Bula</t>
        </is>
      </c>
      <c r="F3751" s="7" t="inlineStr">
        <is>
          <t>Feijão</t>
        </is>
      </c>
      <c r="G3751" s="7" t="inlineStr">
        <is>
          <t>Cultura Autorizada na Bula</t>
        </is>
      </c>
      <c r="H3751" s="7" t="inlineStr">
        <is>
          <t>100 a 300 L/ha</t>
        </is>
      </c>
      <c r="I3751" s="7" t="inlineStr">
        <is>
          <t>20 a 40 L/ha</t>
        </is>
      </c>
      <c r="J3751" s="7" t="inlineStr">
        <is>
          <t>14 dias</t>
        </is>
      </c>
    </row>
    <row r="3752" ht="22" customHeight="1">
      <c r="A3752" s="12" t="inlineStr">
        <is>
          <t>CUL-3748</t>
        </is>
      </c>
      <c r="B3752" s="11" t="n">
        <v>745</v>
      </c>
      <c r="C3752" s="13" t="inlineStr">
        <is>
          <t>Nº 47125</t>
        </is>
      </c>
      <c r="D3752" s="14" t="inlineStr">
        <is>
          <t>CHLORFENAPYR</t>
        </is>
      </c>
      <c r="E3752" s="13" t="inlineStr">
        <is>
          <t>Pulverização Agrícola Conforme Bula</t>
        </is>
      </c>
      <c r="F3752" s="13" t="inlineStr">
        <is>
          <t>Batata</t>
        </is>
      </c>
      <c r="G3752" s="13" t="inlineStr">
        <is>
          <t>Cultura Autorizada na Bula</t>
        </is>
      </c>
      <c r="H3752" s="13" t="inlineStr">
        <is>
          <t>100 a 300 L/ha</t>
        </is>
      </c>
      <c r="I3752" s="13" t="inlineStr">
        <is>
          <t>20 a 40 L/ha</t>
        </is>
      </c>
      <c r="J3752" s="13" t="inlineStr">
        <is>
          <t>7 dias</t>
        </is>
      </c>
    </row>
    <row r="3753" ht="22" customHeight="1">
      <c r="A3753" s="6" t="inlineStr">
        <is>
          <t>CUL-3749</t>
        </is>
      </c>
      <c r="B3753" s="5" t="n">
        <v>745</v>
      </c>
      <c r="C3753" s="7" t="inlineStr">
        <is>
          <t>Nº 47125</t>
        </is>
      </c>
      <c r="D3753" s="8" t="inlineStr">
        <is>
          <t>CHLORFENAPYR</t>
        </is>
      </c>
      <c r="E3753" s="7" t="inlineStr">
        <is>
          <t>Pulverização Agrícola Conforme Bula</t>
        </is>
      </c>
      <c r="F3753" s="7" t="inlineStr">
        <is>
          <t>Citros</t>
        </is>
      </c>
      <c r="G3753" s="7" t="inlineStr">
        <is>
          <t>Cultura Autorizada na Bula</t>
        </is>
      </c>
      <c r="H3753" s="7" t="inlineStr">
        <is>
          <t>100 a 300 L/ha</t>
        </is>
      </c>
      <c r="I3753" s="7" t="inlineStr">
        <is>
          <t>20 a 40 L/ha</t>
        </is>
      </c>
      <c r="J3753" s="7" t="inlineStr">
        <is>
          <t>14 dias</t>
        </is>
      </c>
    </row>
    <row r="3754" ht="22" customHeight="1">
      <c r="A3754" s="12" t="inlineStr">
        <is>
          <t>CUL-3750</t>
        </is>
      </c>
      <c r="B3754" s="11" t="n">
        <v>745</v>
      </c>
      <c r="C3754" s="13" t="inlineStr">
        <is>
          <t>Nº 47125</t>
        </is>
      </c>
      <c r="D3754" s="14" t="inlineStr">
        <is>
          <t>CHLORFENAPYR</t>
        </is>
      </c>
      <c r="E3754" s="13" t="inlineStr">
        <is>
          <t>Pulverização Agrícola Conforme Bula</t>
        </is>
      </c>
      <c r="F3754" s="13" t="inlineStr">
        <is>
          <t>Tomate</t>
        </is>
      </c>
      <c r="G3754" s="13" t="inlineStr">
        <is>
          <t>Cultura Autorizada na Bula</t>
        </is>
      </c>
      <c r="H3754" s="13" t="inlineStr">
        <is>
          <t>100 a 300 L/ha</t>
        </is>
      </c>
      <c r="I3754" s="13" t="inlineStr">
        <is>
          <t>20 a 40 L/ha</t>
        </is>
      </c>
      <c r="J3754" s="13" t="inlineStr">
        <is>
          <t>7 dias</t>
        </is>
      </c>
    </row>
    <row r="3755" ht="22" customHeight="1">
      <c r="A3755" s="6" t="inlineStr">
        <is>
          <t>CUL-3751</t>
        </is>
      </c>
      <c r="B3755" s="5" t="n">
        <v>746</v>
      </c>
      <c r="C3755" s="7" t="inlineStr">
        <is>
          <t>Nº 23623</t>
        </is>
      </c>
      <c r="D3755" s="8" t="inlineStr">
        <is>
          <t>GLIMOR WG</t>
        </is>
      </c>
      <c r="E3755" s="7" t="inlineStr">
        <is>
          <t>Pulverização Agrícola Conforme Bula</t>
        </is>
      </c>
      <c r="F3755" s="7" t="inlineStr">
        <is>
          <t>Soja (Pré-Plantio / OGM)</t>
        </is>
      </c>
      <c r="G3755" s="7" t="inlineStr">
        <is>
          <t>Cultura Autorizada na Bula</t>
        </is>
      </c>
      <c r="H3755" s="7" t="inlineStr">
        <is>
          <t>100 a 300 L/ha</t>
        </is>
      </c>
      <c r="I3755" s="7" t="inlineStr">
        <is>
          <t>20 a 40 L/ha</t>
        </is>
      </c>
      <c r="J3755" s="7" t="inlineStr">
        <is>
          <t>56 dias</t>
        </is>
      </c>
    </row>
    <row r="3756" ht="22" customHeight="1">
      <c r="A3756" s="12" t="inlineStr">
        <is>
          <t>CUL-3752</t>
        </is>
      </c>
      <c r="B3756" s="11" t="n">
        <v>746</v>
      </c>
      <c r="C3756" s="13" t="inlineStr">
        <is>
          <t>Nº 23623</t>
        </is>
      </c>
      <c r="D3756" s="14" t="inlineStr">
        <is>
          <t>GLIMOR WG</t>
        </is>
      </c>
      <c r="E3756" s="13" t="inlineStr">
        <is>
          <t>Pulverização Agrícola Conforme Bula</t>
        </is>
      </c>
      <c r="F3756" s="13" t="inlineStr">
        <is>
          <t>Milho (Pré-Plantio / OGM)</t>
        </is>
      </c>
      <c r="G3756" s="13" t="inlineStr">
        <is>
          <t>Cultura Autorizada na Bula</t>
        </is>
      </c>
      <c r="H3756" s="13" t="inlineStr">
        <is>
          <t>100 a 300 L/ha</t>
        </is>
      </c>
      <c r="I3756" s="13" t="inlineStr">
        <is>
          <t>20 a 40 L/ha</t>
        </is>
      </c>
      <c r="J3756" s="13" t="inlineStr">
        <is>
          <t>90 dias</t>
        </is>
      </c>
    </row>
    <row r="3757" ht="22" customHeight="1">
      <c r="A3757" s="6" t="inlineStr">
        <is>
          <t>CUL-3753</t>
        </is>
      </c>
      <c r="B3757" s="5" t="n">
        <v>746</v>
      </c>
      <c r="C3757" s="7" t="inlineStr">
        <is>
          <t>Nº 23623</t>
        </is>
      </c>
      <c r="D3757" s="8" t="inlineStr">
        <is>
          <t>GLIMOR WG</t>
        </is>
      </c>
      <c r="E3757" s="7" t="inlineStr">
        <is>
          <t>Pulverização Agrícola Conforme Bula</t>
        </is>
      </c>
      <c r="F3757" s="7" t="inlineStr">
        <is>
          <t>Algodão (Pré-Plantio / OGM)</t>
        </is>
      </c>
      <c r="G3757" s="7" t="inlineStr">
        <is>
          <t>Cultura Autorizada na Bula</t>
        </is>
      </c>
      <c r="H3757" s="7" t="inlineStr">
        <is>
          <t>100 a 300 L/ha</t>
        </is>
      </c>
      <c r="I3757" s="7" t="inlineStr">
        <is>
          <t>20 a 40 L/ha</t>
        </is>
      </c>
      <c r="J3757" s="7" t="inlineStr">
        <is>
          <t>130 dias</t>
        </is>
      </c>
    </row>
    <row r="3758" ht="22" customHeight="1">
      <c r="A3758" s="12" t="inlineStr">
        <is>
          <t>CUL-3754</t>
        </is>
      </c>
      <c r="B3758" s="11" t="n">
        <v>746</v>
      </c>
      <c r="C3758" s="13" t="inlineStr">
        <is>
          <t>Nº 23623</t>
        </is>
      </c>
      <c r="D3758" s="14" t="inlineStr">
        <is>
          <t>GLIMOR WG</t>
        </is>
      </c>
      <c r="E3758" s="13" t="inlineStr">
        <is>
          <t>Pulverização Agrícola Conforme Bula</t>
        </is>
      </c>
      <c r="F3758" s="13" t="inlineStr">
        <is>
          <t>Cana-de-açúcar</t>
        </is>
      </c>
      <c r="G3758" s="13" t="inlineStr">
        <is>
          <t>Cultura Autorizada na Bula</t>
        </is>
      </c>
      <c r="H3758" s="13" t="inlineStr">
        <is>
          <t>100 a 300 L/ha</t>
        </is>
      </c>
      <c r="I3758" s="13" t="inlineStr">
        <is>
          <t>20 a 40 L/ha</t>
        </is>
      </c>
      <c r="J3758" s="13" t="inlineStr">
        <is>
          <t>N/D</t>
        </is>
      </c>
    </row>
    <row r="3759" ht="22" customHeight="1">
      <c r="A3759" s="6" t="inlineStr">
        <is>
          <t>CUL-3755</t>
        </is>
      </c>
      <c r="B3759" s="5" t="n">
        <v>746</v>
      </c>
      <c r="C3759" s="7" t="inlineStr">
        <is>
          <t>Nº 23623</t>
        </is>
      </c>
      <c r="D3759" s="8" t="inlineStr">
        <is>
          <t>GLIMOR WG</t>
        </is>
      </c>
      <c r="E3759" s="7" t="inlineStr">
        <is>
          <t>Pulverização Agrícola Conforme Bula</t>
        </is>
      </c>
      <c r="F3759" s="7" t="inlineStr">
        <is>
          <t>Café (Jato Dirigido)</t>
        </is>
      </c>
      <c r="G3759" s="7" t="inlineStr">
        <is>
          <t>Cultura Autorizada na Bula</t>
        </is>
      </c>
      <c r="H3759" s="7" t="inlineStr">
        <is>
          <t>100 a 300 L/ha</t>
        </is>
      </c>
      <c r="I3759" s="7" t="inlineStr">
        <is>
          <t>20 a 40 L/ha</t>
        </is>
      </c>
      <c r="J3759" s="7" t="inlineStr">
        <is>
          <t>15 dias</t>
        </is>
      </c>
    </row>
    <row r="3760" ht="22" customHeight="1">
      <c r="A3760" s="12" t="inlineStr">
        <is>
          <t>CUL-3756</t>
        </is>
      </c>
      <c r="B3760" s="11" t="n">
        <v>746</v>
      </c>
      <c r="C3760" s="13" t="inlineStr">
        <is>
          <t>Nº 23623</t>
        </is>
      </c>
      <c r="D3760" s="14" t="inlineStr">
        <is>
          <t>GLIMOR WG</t>
        </is>
      </c>
      <c r="E3760" s="13" t="inlineStr">
        <is>
          <t>Pulverização Agrícola Conforme Bula</t>
        </is>
      </c>
      <c r="F3760" s="13" t="inlineStr">
        <is>
          <t>Citros (Jato Dirigido)</t>
        </is>
      </c>
      <c r="G3760" s="13" t="inlineStr">
        <is>
          <t>Cultura Autorizada na Bula</t>
        </is>
      </c>
      <c r="H3760" s="13" t="inlineStr">
        <is>
          <t>100 a 300 L/ha</t>
        </is>
      </c>
      <c r="I3760" s="13" t="inlineStr">
        <is>
          <t>20 a 40 L/ha</t>
        </is>
      </c>
      <c r="J3760" s="13" t="inlineStr">
        <is>
          <t>30 dias</t>
        </is>
      </c>
    </row>
    <row r="3761" ht="22" customHeight="1">
      <c r="A3761" s="6" t="inlineStr">
        <is>
          <t>CUL-3757</t>
        </is>
      </c>
      <c r="B3761" s="5" t="n">
        <v>746</v>
      </c>
      <c r="C3761" s="7" t="inlineStr">
        <is>
          <t>Nº 23623</t>
        </is>
      </c>
      <c r="D3761" s="8" t="inlineStr">
        <is>
          <t>GLIMOR WG</t>
        </is>
      </c>
      <c r="E3761" s="7" t="inlineStr">
        <is>
          <t>Pulverização Agrícola Conforme Bula</t>
        </is>
      </c>
      <c r="F3761" s="7" t="inlineStr">
        <is>
          <t>Trigo (Pré-Plantio)</t>
        </is>
      </c>
      <c r="G3761" s="7" t="inlineStr">
        <is>
          <t>Cultura Autorizada na Bula</t>
        </is>
      </c>
      <c r="H3761" s="7" t="inlineStr">
        <is>
          <t>100 a 300 L/ha</t>
        </is>
      </c>
      <c r="I3761" s="7" t="inlineStr">
        <is>
          <t>20 a 40 L/ha</t>
        </is>
      </c>
      <c r="J3761" s="7" t="inlineStr">
        <is>
          <t>N/D</t>
        </is>
      </c>
    </row>
    <row r="3762" ht="22" customHeight="1">
      <c r="A3762" s="12" t="inlineStr">
        <is>
          <t>CUL-3758</t>
        </is>
      </c>
      <c r="B3762" s="11" t="n">
        <v>746</v>
      </c>
      <c r="C3762" s="13" t="inlineStr">
        <is>
          <t>Nº 23623</t>
        </is>
      </c>
      <c r="D3762" s="14" t="inlineStr">
        <is>
          <t>GLIMOR WG</t>
        </is>
      </c>
      <c r="E3762" s="13" t="inlineStr">
        <is>
          <t>Pulverização Agrícola Conforme Bula</t>
        </is>
      </c>
      <c r="F3762" s="13" t="inlineStr">
        <is>
          <t>Pastagens</t>
        </is>
      </c>
      <c r="G3762" s="13" t="inlineStr">
        <is>
          <t>Cultura Autorizada na Bula</t>
        </is>
      </c>
      <c r="H3762" s="13" t="inlineStr">
        <is>
          <t>100 a 300 L/ha</t>
        </is>
      </c>
      <c r="I3762" s="13" t="inlineStr">
        <is>
          <t>20 a 40 L/ha</t>
        </is>
      </c>
      <c r="J3762" s="13" t="inlineStr">
        <is>
          <t>N/D</t>
        </is>
      </c>
    </row>
    <row r="3763" ht="22" customHeight="1">
      <c r="A3763" s="6" t="inlineStr">
        <is>
          <t>CUL-3759</t>
        </is>
      </c>
      <c r="B3763" s="5" t="n">
        <v>747</v>
      </c>
      <c r="C3763" s="7" t="inlineStr">
        <is>
          <t>Nº 25224</t>
        </is>
      </c>
      <c r="D3763" s="8" t="inlineStr">
        <is>
          <t>CLETODIM 240 EC BRILLIANCE</t>
        </is>
      </c>
      <c r="E3763" s="7" t="inlineStr">
        <is>
          <t>Pulverização Agrícola Conforme Bula</t>
        </is>
      </c>
      <c r="F3763" s="7" t="inlineStr">
        <is>
          <t>Soja</t>
        </is>
      </c>
      <c r="G3763" s="7" t="inlineStr">
        <is>
          <t>Cultura Autorizada na Bula</t>
        </is>
      </c>
      <c r="H3763" s="7" t="inlineStr">
        <is>
          <t>100 a 300 L/ha</t>
        </is>
      </c>
      <c r="I3763" s="7" t="inlineStr">
        <is>
          <t>20 a 40 L/ha</t>
        </is>
      </c>
      <c r="J3763" s="7" t="inlineStr">
        <is>
          <t>60 dias</t>
        </is>
      </c>
    </row>
    <row r="3764" ht="22" customHeight="1">
      <c r="A3764" s="12" t="inlineStr">
        <is>
          <t>CUL-3760</t>
        </is>
      </c>
      <c r="B3764" s="11" t="n">
        <v>747</v>
      </c>
      <c r="C3764" s="13" t="inlineStr">
        <is>
          <t>Nº 25224</t>
        </is>
      </c>
      <c r="D3764" s="14" t="inlineStr">
        <is>
          <t>CLETODIM 240 EC BRILLIANCE</t>
        </is>
      </c>
      <c r="E3764" s="13" t="inlineStr">
        <is>
          <t>Pulverização Agrícola Conforme Bula</t>
        </is>
      </c>
      <c r="F3764" s="13" t="inlineStr">
        <is>
          <t>Algodão</t>
        </is>
      </c>
      <c r="G3764" s="13" t="inlineStr">
        <is>
          <t>Cultura Autorizada na Bula</t>
        </is>
      </c>
      <c r="H3764" s="13" t="inlineStr">
        <is>
          <t>100 a 300 L/ha</t>
        </is>
      </c>
      <c r="I3764" s="13" t="inlineStr">
        <is>
          <t>20 a 40 L/ha</t>
        </is>
      </c>
      <c r="J3764" s="13" t="inlineStr">
        <is>
          <t>58 dias</t>
        </is>
      </c>
    </row>
    <row r="3765" ht="22" customHeight="1">
      <c r="A3765" s="6" t="inlineStr">
        <is>
          <t>CUL-3761</t>
        </is>
      </c>
      <c r="B3765" s="5" t="n">
        <v>747</v>
      </c>
      <c r="C3765" s="7" t="inlineStr">
        <is>
          <t>Nº 25224</t>
        </is>
      </c>
      <c r="D3765" s="8" t="inlineStr">
        <is>
          <t>CLETODIM 240 EC BRILLIANCE</t>
        </is>
      </c>
      <c r="E3765" s="7" t="inlineStr">
        <is>
          <t>Pulverização Agrícola Conforme Bula</t>
        </is>
      </c>
      <c r="F3765" s="7" t="inlineStr">
        <is>
          <t>Feijão</t>
        </is>
      </c>
      <c r="G3765" s="7" t="inlineStr">
        <is>
          <t>Cultura Autorizada na Bula</t>
        </is>
      </c>
      <c r="H3765" s="7" t="inlineStr">
        <is>
          <t>100 a 300 L/ha</t>
        </is>
      </c>
      <c r="I3765" s="7" t="inlineStr">
        <is>
          <t>20 a 40 L/ha</t>
        </is>
      </c>
      <c r="J3765" s="7" t="inlineStr">
        <is>
          <t>40 dias</t>
        </is>
      </c>
    </row>
    <row r="3766" ht="22" customHeight="1">
      <c r="A3766" s="12" t="inlineStr">
        <is>
          <t>CUL-3762</t>
        </is>
      </c>
      <c r="B3766" s="11" t="n">
        <v>747</v>
      </c>
      <c r="C3766" s="13" t="inlineStr">
        <is>
          <t>Nº 25224</t>
        </is>
      </c>
      <c r="D3766" s="14" t="inlineStr">
        <is>
          <t>CLETODIM 240 EC BRILLIANCE</t>
        </is>
      </c>
      <c r="E3766" s="13" t="inlineStr">
        <is>
          <t>Pulverização Agrícola Conforme Bula</t>
        </is>
      </c>
      <c r="F3766" s="13" t="inlineStr">
        <is>
          <t>Café</t>
        </is>
      </c>
      <c r="G3766" s="13" t="inlineStr">
        <is>
          <t>Cultura Autorizada na Bula</t>
        </is>
      </c>
      <c r="H3766" s="13" t="inlineStr">
        <is>
          <t>100 a 300 L/ha</t>
        </is>
      </c>
      <c r="I3766" s="13" t="inlineStr">
        <is>
          <t>20 a 40 L/ha</t>
        </is>
      </c>
      <c r="J3766" s="13" t="inlineStr">
        <is>
          <t>14 dias</t>
        </is>
      </c>
    </row>
    <row r="3767" ht="22" customHeight="1">
      <c r="A3767" s="6" t="inlineStr">
        <is>
          <t>CUL-3763</t>
        </is>
      </c>
      <c r="B3767" s="5" t="n">
        <v>747</v>
      </c>
      <c r="C3767" s="7" t="inlineStr">
        <is>
          <t>Nº 25224</t>
        </is>
      </c>
      <c r="D3767" s="8" t="inlineStr">
        <is>
          <t>CLETODIM 240 EC BRILLIANCE</t>
        </is>
      </c>
      <c r="E3767" s="7" t="inlineStr">
        <is>
          <t>Pulverização Agrícola Conforme Bula</t>
        </is>
      </c>
      <c r="F3767" s="7" t="inlineStr">
        <is>
          <t>Batata</t>
        </is>
      </c>
      <c r="G3767" s="7" t="inlineStr">
        <is>
          <t>Cultura Autorizada na Bula</t>
        </is>
      </c>
      <c r="H3767" s="7" t="inlineStr">
        <is>
          <t>100 a 300 L/ha</t>
        </is>
      </c>
      <c r="I3767" s="7" t="inlineStr">
        <is>
          <t>20 a 40 L/ha</t>
        </is>
      </c>
      <c r="J3767" s="7" t="inlineStr">
        <is>
          <t>20 dias</t>
        </is>
      </c>
    </row>
    <row r="3768" ht="22" customHeight="1">
      <c r="A3768" s="12" t="inlineStr">
        <is>
          <t>CUL-3764</t>
        </is>
      </c>
      <c r="B3768" s="11" t="n">
        <v>747</v>
      </c>
      <c r="C3768" s="13" t="inlineStr">
        <is>
          <t>Nº 25224</t>
        </is>
      </c>
      <c r="D3768" s="14" t="inlineStr">
        <is>
          <t>CLETODIM 240 EC BRILLIANCE</t>
        </is>
      </c>
      <c r="E3768" s="13" t="inlineStr">
        <is>
          <t>Pulverização Agrícola Conforme Bula</t>
        </is>
      </c>
      <c r="F3768" s="13" t="inlineStr">
        <is>
          <t>Mandioca</t>
        </is>
      </c>
      <c r="G3768" s="13" t="inlineStr">
        <is>
          <t>Cultura Autorizada na Bula</t>
        </is>
      </c>
      <c r="H3768" s="13" t="inlineStr">
        <is>
          <t>100 a 300 L/ha</t>
        </is>
      </c>
      <c r="I3768" s="13" t="inlineStr">
        <is>
          <t>20 a 40 L/ha</t>
        </is>
      </c>
      <c r="J3768" s="13" t="inlineStr">
        <is>
          <t>90 dias</t>
        </is>
      </c>
    </row>
    <row r="3769" ht="22" customHeight="1">
      <c r="A3769" s="6" t="inlineStr">
        <is>
          <t>CUL-3765</t>
        </is>
      </c>
      <c r="B3769" s="5" t="n">
        <v>747</v>
      </c>
      <c r="C3769" s="7" t="inlineStr">
        <is>
          <t>Nº 25224</t>
        </is>
      </c>
      <c r="D3769" s="8" t="inlineStr">
        <is>
          <t>CLETODIM 240 EC BRILLIANCE</t>
        </is>
      </c>
      <c r="E3769" s="7" t="inlineStr">
        <is>
          <t>Pulverização Agrícola Conforme Bula</t>
        </is>
      </c>
      <c r="F3769" s="7" t="inlineStr">
        <is>
          <t>Tomate</t>
        </is>
      </c>
      <c r="G3769" s="7" t="inlineStr">
        <is>
          <t>Cultura Autorizada na Bula</t>
        </is>
      </c>
      <c r="H3769" s="7" t="inlineStr">
        <is>
          <t>100 a 300 L/ha</t>
        </is>
      </c>
      <c r="I3769" s="7" t="inlineStr">
        <is>
          <t>20 a 40 L/ha</t>
        </is>
      </c>
      <c r="J3769" s="7" t="inlineStr">
        <is>
          <t>20 dias</t>
        </is>
      </c>
    </row>
    <row r="3770" ht="22" customHeight="1">
      <c r="A3770" s="12" t="inlineStr">
        <is>
          <t>CUL-3766</t>
        </is>
      </c>
      <c r="B3770" s="11" t="n">
        <v>748</v>
      </c>
      <c r="C3770" s="13" t="inlineStr">
        <is>
          <t>Nº 15725</t>
        </is>
      </c>
      <c r="D3770" s="14" t="inlineStr">
        <is>
          <t>CLETODIM 360 EC BRILLIANCE</t>
        </is>
      </c>
      <c r="E3770" s="13" t="inlineStr">
        <is>
          <t>Pulverização Agrícola Conforme Bula</t>
        </is>
      </c>
      <c r="F3770" s="13" t="inlineStr">
        <is>
          <t>Soja</t>
        </is>
      </c>
      <c r="G3770" s="13" t="inlineStr">
        <is>
          <t>Cultura Autorizada na Bula</t>
        </is>
      </c>
      <c r="H3770" s="13" t="inlineStr">
        <is>
          <t>100 a 300 L/ha</t>
        </is>
      </c>
      <c r="I3770" s="13" t="inlineStr">
        <is>
          <t>20 a 40 L/ha</t>
        </is>
      </c>
      <c r="J3770" s="13" t="inlineStr">
        <is>
          <t>60 dias</t>
        </is>
      </c>
    </row>
    <row r="3771" ht="22" customHeight="1">
      <c r="A3771" s="6" t="inlineStr">
        <is>
          <t>CUL-3767</t>
        </is>
      </c>
      <c r="B3771" s="5" t="n">
        <v>748</v>
      </c>
      <c r="C3771" s="7" t="inlineStr">
        <is>
          <t>Nº 15725</t>
        </is>
      </c>
      <c r="D3771" s="8" t="inlineStr">
        <is>
          <t>CLETODIM 360 EC BRILLIANCE</t>
        </is>
      </c>
      <c r="E3771" s="7" t="inlineStr">
        <is>
          <t>Pulverização Agrícola Conforme Bula</t>
        </is>
      </c>
      <c r="F3771" s="7" t="inlineStr">
        <is>
          <t>Algodão</t>
        </is>
      </c>
      <c r="G3771" s="7" t="inlineStr">
        <is>
          <t>Cultura Autorizada na Bula</t>
        </is>
      </c>
      <c r="H3771" s="7" t="inlineStr">
        <is>
          <t>100 a 300 L/ha</t>
        </is>
      </c>
      <c r="I3771" s="7" t="inlineStr">
        <is>
          <t>20 a 40 L/ha</t>
        </is>
      </c>
      <c r="J3771" s="7" t="inlineStr">
        <is>
          <t>58 dias</t>
        </is>
      </c>
    </row>
    <row r="3772" ht="22" customHeight="1">
      <c r="A3772" s="12" t="inlineStr">
        <is>
          <t>CUL-3768</t>
        </is>
      </c>
      <c r="B3772" s="11" t="n">
        <v>748</v>
      </c>
      <c r="C3772" s="13" t="inlineStr">
        <is>
          <t>Nº 15725</t>
        </is>
      </c>
      <c r="D3772" s="14" t="inlineStr">
        <is>
          <t>CLETODIM 360 EC BRILLIANCE</t>
        </is>
      </c>
      <c r="E3772" s="13" t="inlineStr">
        <is>
          <t>Pulverização Agrícola Conforme Bula</t>
        </is>
      </c>
      <c r="F3772" s="13" t="inlineStr">
        <is>
          <t>Feijão</t>
        </is>
      </c>
      <c r="G3772" s="13" t="inlineStr">
        <is>
          <t>Cultura Autorizada na Bula</t>
        </is>
      </c>
      <c r="H3772" s="13" t="inlineStr">
        <is>
          <t>100 a 300 L/ha</t>
        </is>
      </c>
      <c r="I3772" s="13" t="inlineStr">
        <is>
          <t>20 a 40 L/ha</t>
        </is>
      </c>
      <c r="J3772" s="13" t="inlineStr">
        <is>
          <t>40 dias</t>
        </is>
      </c>
    </row>
    <row r="3773" ht="22" customHeight="1">
      <c r="A3773" s="6" t="inlineStr">
        <is>
          <t>CUL-3769</t>
        </is>
      </c>
      <c r="B3773" s="5" t="n">
        <v>748</v>
      </c>
      <c r="C3773" s="7" t="inlineStr">
        <is>
          <t>Nº 15725</t>
        </is>
      </c>
      <c r="D3773" s="8" t="inlineStr">
        <is>
          <t>CLETODIM 360 EC BRILLIANCE</t>
        </is>
      </c>
      <c r="E3773" s="7" t="inlineStr">
        <is>
          <t>Pulverização Agrícola Conforme Bula</t>
        </is>
      </c>
      <c r="F3773" s="7" t="inlineStr">
        <is>
          <t>Café</t>
        </is>
      </c>
      <c r="G3773" s="7" t="inlineStr">
        <is>
          <t>Cultura Autorizada na Bula</t>
        </is>
      </c>
      <c r="H3773" s="7" t="inlineStr">
        <is>
          <t>100 a 300 L/ha</t>
        </is>
      </c>
      <c r="I3773" s="7" t="inlineStr">
        <is>
          <t>20 a 40 L/ha</t>
        </is>
      </c>
      <c r="J3773" s="7" t="inlineStr">
        <is>
          <t>14 dias</t>
        </is>
      </c>
    </row>
    <row r="3774" ht="22" customHeight="1">
      <c r="A3774" s="12" t="inlineStr">
        <is>
          <t>CUL-3770</t>
        </is>
      </c>
      <c r="B3774" s="11" t="n">
        <v>748</v>
      </c>
      <c r="C3774" s="13" t="inlineStr">
        <is>
          <t>Nº 15725</t>
        </is>
      </c>
      <c r="D3774" s="14" t="inlineStr">
        <is>
          <t>CLETODIM 360 EC BRILLIANCE</t>
        </is>
      </c>
      <c r="E3774" s="13" t="inlineStr">
        <is>
          <t>Pulverização Agrícola Conforme Bula</t>
        </is>
      </c>
      <c r="F3774" s="13" t="inlineStr">
        <is>
          <t>Batata</t>
        </is>
      </c>
      <c r="G3774" s="13" t="inlineStr">
        <is>
          <t>Cultura Autorizada na Bula</t>
        </is>
      </c>
      <c r="H3774" s="13" t="inlineStr">
        <is>
          <t>100 a 300 L/ha</t>
        </is>
      </c>
      <c r="I3774" s="13" t="inlineStr">
        <is>
          <t>20 a 40 L/ha</t>
        </is>
      </c>
      <c r="J3774" s="13" t="inlineStr">
        <is>
          <t>20 dias</t>
        </is>
      </c>
    </row>
    <row r="3775" ht="22" customHeight="1">
      <c r="A3775" s="6" t="inlineStr">
        <is>
          <t>CUL-3771</t>
        </is>
      </c>
      <c r="B3775" s="5" t="n">
        <v>748</v>
      </c>
      <c r="C3775" s="7" t="inlineStr">
        <is>
          <t>Nº 15725</t>
        </is>
      </c>
      <c r="D3775" s="8" t="inlineStr">
        <is>
          <t>CLETODIM 360 EC BRILLIANCE</t>
        </is>
      </c>
      <c r="E3775" s="7" t="inlineStr">
        <is>
          <t>Pulverização Agrícola Conforme Bula</t>
        </is>
      </c>
      <c r="F3775" s="7" t="inlineStr">
        <is>
          <t>Mandioca</t>
        </is>
      </c>
      <c r="G3775" s="7" t="inlineStr">
        <is>
          <t>Cultura Autorizada na Bula</t>
        </is>
      </c>
      <c r="H3775" s="7" t="inlineStr">
        <is>
          <t>100 a 300 L/ha</t>
        </is>
      </c>
      <c r="I3775" s="7" t="inlineStr">
        <is>
          <t>20 a 40 L/ha</t>
        </is>
      </c>
      <c r="J3775" s="7" t="inlineStr">
        <is>
          <t>90 dias</t>
        </is>
      </c>
    </row>
    <row r="3776" ht="22" customHeight="1">
      <c r="A3776" s="12" t="inlineStr">
        <is>
          <t>CUL-3772</t>
        </is>
      </c>
      <c r="B3776" s="11" t="n">
        <v>748</v>
      </c>
      <c r="C3776" s="13" t="inlineStr">
        <is>
          <t>Nº 15725</t>
        </is>
      </c>
      <c r="D3776" s="14" t="inlineStr">
        <is>
          <t>CLETODIM 360 EC BRILLIANCE</t>
        </is>
      </c>
      <c r="E3776" s="13" t="inlineStr">
        <is>
          <t>Pulverização Agrícola Conforme Bula</t>
        </is>
      </c>
      <c r="F3776" s="13" t="inlineStr">
        <is>
          <t>Tomate</t>
        </is>
      </c>
      <c r="G3776" s="13" t="inlineStr">
        <is>
          <t>Cultura Autorizada na Bula</t>
        </is>
      </c>
      <c r="H3776" s="13" t="inlineStr">
        <is>
          <t>100 a 300 L/ha</t>
        </is>
      </c>
      <c r="I3776" s="13" t="inlineStr">
        <is>
          <t>20 a 40 L/ha</t>
        </is>
      </c>
      <c r="J3776" s="13" t="inlineStr">
        <is>
          <t>20 dias</t>
        </is>
      </c>
    </row>
    <row r="3777" ht="22" customHeight="1">
      <c r="A3777" s="6" t="inlineStr">
        <is>
          <t>CUL-3773</t>
        </is>
      </c>
      <c r="B3777" s="5" t="n">
        <v>749</v>
      </c>
      <c r="C3777" s="7" t="inlineStr">
        <is>
          <t>Nº 49425</t>
        </is>
      </c>
      <c r="D3777" s="8" t="inlineStr">
        <is>
          <t>GAZINA</t>
        </is>
      </c>
      <c r="E3777" s="7" t="inlineStr">
        <is>
          <t>Pulverização Agrícola Conforme Bula</t>
        </is>
      </c>
      <c r="F3777" s="7" t="inlineStr">
        <is>
          <t>Soja (Pré-Plantio)</t>
        </is>
      </c>
      <c r="G3777" s="7" t="inlineStr">
        <is>
          <t>Cultura Autorizada na Bula</t>
        </is>
      </c>
      <c r="H3777" s="7" t="inlineStr">
        <is>
          <t>100 a 300 L/ha</t>
        </is>
      </c>
      <c r="I3777" s="7" t="inlineStr">
        <is>
          <t>20 a 40 L/ha</t>
        </is>
      </c>
      <c r="J3777" s="7" t="inlineStr">
        <is>
          <t>N/D</t>
        </is>
      </c>
    </row>
    <row r="3778" ht="22" customHeight="1">
      <c r="A3778" s="12" t="inlineStr">
        <is>
          <t>CUL-3774</t>
        </is>
      </c>
      <c r="B3778" s="11" t="n">
        <v>749</v>
      </c>
      <c r="C3778" s="13" t="inlineStr">
        <is>
          <t>Nº 49425</t>
        </is>
      </c>
      <c r="D3778" s="14" t="inlineStr">
        <is>
          <t>GAZINA</t>
        </is>
      </c>
      <c r="E3778" s="13" t="inlineStr">
        <is>
          <t>Pulverização Agrícola Conforme Bula</t>
        </is>
      </c>
      <c r="F3778" s="13" t="inlineStr">
        <is>
          <t>Algodão</t>
        </is>
      </c>
      <c r="G3778" s="13" t="inlineStr">
        <is>
          <t>Cultura Autorizada na Bula</t>
        </is>
      </c>
      <c r="H3778" s="13" t="inlineStr">
        <is>
          <t>100 a 300 L/ha</t>
        </is>
      </c>
      <c r="I3778" s="13" t="inlineStr">
        <is>
          <t>20 a 40 L/ha</t>
        </is>
      </c>
      <c r="J3778" s="13" t="inlineStr">
        <is>
          <t>90 dias</t>
        </is>
      </c>
    </row>
    <row r="3779" ht="22" customHeight="1">
      <c r="A3779" s="6" t="inlineStr">
        <is>
          <t>CUL-3775</t>
        </is>
      </c>
      <c r="B3779" s="5" t="n">
        <v>749</v>
      </c>
      <c r="C3779" s="7" t="inlineStr">
        <is>
          <t>Nº 49425</t>
        </is>
      </c>
      <c r="D3779" s="8" t="inlineStr">
        <is>
          <t>GAZINA</t>
        </is>
      </c>
      <c r="E3779" s="7" t="inlineStr">
        <is>
          <t>Pulverização Agrícola Conforme Bula</t>
        </is>
      </c>
      <c r="F3779" s="7" t="inlineStr">
        <is>
          <t>Cana-de-açúcar</t>
        </is>
      </c>
      <c r="G3779" s="7" t="inlineStr">
        <is>
          <t>Cultura Autorizada na Bula</t>
        </is>
      </c>
      <c r="H3779" s="7" t="inlineStr">
        <is>
          <t>100 a 300 L/ha</t>
        </is>
      </c>
      <c r="I3779" s="7" t="inlineStr">
        <is>
          <t>20 a 40 L/ha</t>
        </is>
      </c>
      <c r="J3779" s="7" t="inlineStr">
        <is>
          <t>85 dias</t>
        </is>
      </c>
    </row>
    <row r="3780" ht="22" customHeight="1">
      <c r="A3780" s="12" t="inlineStr">
        <is>
          <t>CUL-3776</t>
        </is>
      </c>
      <c r="B3780" s="11" t="n">
        <v>749</v>
      </c>
      <c r="C3780" s="13" t="inlineStr">
        <is>
          <t>Nº 49425</t>
        </is>
      </c>
      <c r="D3780" s="14" t="inlineStr">
        <is>
          <t>GAZINA</t>
        </is>
      </c>
      <c r="E3780" s="13" t="inlineStr">
        <is>
          <t>Pulverização Agrícola Conforme Bula</t>
        </is>
      </c>
      <c r="F3780" s="13" t="inlineStr">
        <is>
          <t>Café</t>
        </is>
      </c>
      <c r="G3780" s="13" t="inlineStr">
        <is>
          <t>Cultura Autorizada na Bula</t>
        </is>
      </c>
      <c r="H3780" s="13" t="inlineStr">
        <is>
          <t>100 a 300 L/ha</t>
        </is>
      </c>
      <c r="I3780" s="13" t="inlineStr">
        <is>
          <t>20 a 40 L/ha</t>
        </is>
      </c>
      <c r="J3780" s="13" t="inlineStr">
        <is>
          <t>15 dias</t>
        </is>
      </c>
    </row>
    <row r="3781" ht="22" customHeight="1">
      <c r="A3781" s="6" t="inlineStr">
        <is>
          <t>CUL-3777</t>
        </is>
      </c>
      <c r="B3781" s="5" t="n">
        <v>749</v>
      </c>
      <c r="C3781" s="7" t="inlineStr">
        <is>
          <t>Nº 49425</t>
        </is>
      </c>
      <c r="D3781" s="8" t="inlineStr">
        <is>
          <t>GAZINA</t>
        </is>
      </c>
      <c r="E3781" s="7" t="inlineStr">
        <is>
          <t>Pulverização Agrícola Conforme Bula</t>
        </is>
      </c>
      <c r="F3781" s="7" t="inlineStr">
        <is>
          <t>Citros</t>
        </is>
      </c>
      <c r="G3781" s="7" t="inlineStr">
        <is>
          <t>Cultura Autorizada na Bula</t>
        </is>
      </c>
      <c r="H3781" s="7" t="inlineStr">
        <is>
          <t>100 a 300 L/ha</t>
        </is>
      </c>
      <c r="I3781" s="7" t="inlineStr">
        <is>
          <t>20 a 40 L/ha</t>
        </is>
      </c>
      <c r="J3781" s="7" t="inlineStr">
        <is>
          <t>N/D</t>
        </is>
      </c>
    </row>
    <row r="3782" ht="22" customHeight="1">
      <c r="A3782" s="12" t="inlineStr">
        <is>
          <t>CUL-3778</t>
        </is>
      </c>
      <c r="B3782" s="11" t="n">
        <v>749</v>
      </c>
      <c r="C3782" s="13" t="inlineStr">
        <is>
          <t>Nº 49425</t>
        </is>
      </c>
      <c r="D3782" s="14" t="inlineStr">
        <is>
          <t>GAZINA</t>
        </is>
      </c>
      <c r="E3782" s="13" t="inlineStr">
        <is>
          <t>Pulverização Agrícola Conforme Bula</t>
        </is>
      </c>
      <c r="F3782" s="13" t="inlineStr">
        <is>
          <t>Feijão</t>
        </is>
      </c>
      <c r="G3782" s="13" t="inlineStr">
        <is>
          <t>Cultura Autorizada na Bula</t>
        </is>
      </c>
      <c r="H3782" s="13" t="inlineStr">
        <is>
          <t>100 a 300 L/ha</t>
        </is>
      </c>
      <c r="I3782" s="13" t="inlineStr">
        <is>
          <t>20 a 40 L/ha</t>
        </is>
      </c>
      <c r="J3782" s="13" t="inlineStr">
        <is>
          <t>N/D</t>
        </is>
      </c>
    </row>
    <row r="3783" ht="22" customHeight="1">
      <c r="A3783" s="6" t="inlineStr">
        <is>
          <t>CUL-3779</t>
        </is>
      </c>
      <c r="B3783" s="5" t="n">
        <v>750</v>
      </c>
      <c r="C3783" s="7" t="inlineStr">
        <is>
          <t>Nº 52425</t>
        </is>
      </c>
      <c r="D3783" s="8" t="inlineStr">
        <is>
          <t>GEODO</t>
        </is>
      </c>
      <c r="E3783" s="7" t="inlineStr">
        <is>
          <t>Pulverização Agrícola Conforme Bula</t>
        </is>
      </c>
      <c r="F3783" s="7" t="inlineStr">
        <is>
          <t>Algodão</t>
        </is>
      </c>
      <c r="G3783" s="7" t="inlineStr">
        <is>
          <t>Cultura Autorizada na Bula</t>
        </is>
      </c>
      <c r="H3783" s="7" t="inlineStr">
        <is>
          <t>100 a 300 L/ha</t>
        </is>
      </c>
      <c r="I3783" s="7" t="inlineStr">
        <is>
          <t>20 a 40 L/ha</t>
        </is>
      </c>
      <c r="J3783" s="7" t="inlineStr">
        <is>
          <t>15 dias</t>
        </is>
      </c>
    </row>
    <row r="3784" ht="22" customHeight="1">
      <c r="A3784" s="12" t="inlineStr">
        <is>
          <t>CUL-3780</t>
        </is>
      </c>
      <c r="B3784" s="11" t="n">
        <v>750</v>
      </c>
      <c r="C3784" s="13" t="inlineStr">
        <is>
          <t>Nº 52425</t>
        </is>
      </c>
      <c r="D3784" s="14" t="inlineStr">
        <is>
          <t>GEODO</t>
        </is>
      </c>
      <c r="E3784" s="13" t="inlineStr">
        <is>
          <t>Pulverização Agrícola Conforme Bula</t>
        </is>
      </c>
      <c r="F3784" s="13" t="inlineStr">
        <is>
          <t>Soja</t>
        </is>
      </c>
      <c r="G3784" s="13" t="inlineStr">
        <is>
          <t>Cultura Autorizada na Bula</t>
        </is>
      </c>
      <c r="H3784" s="13" t="inlineStr">
        <is>
          <t>100 a 300 L/ha</t>
        </is>
      </c>
      <c r="I3784" s="13" t="inlineStr">
        <is>
          <t>20 a 40 L/ha</t>
        </is>
      </c>
      <c r="J3784" s="13" t="inlineStr">
        <is>
          <t>30 dias</t>
        </is>
      </c>
    </row>
    <row r="3785" ht="22" customHeight="1">
      <c r="A3785" s="6" t="inlineStr">
        <is>
          <t>CUL-3781</t>
        </is>
      </c>
      <c r="B3785" s="5" t="n">
        <v>750</v>
      </c>
      <c r="C3785" s="7" t="inlineStr">
        <is>
          <t>Nº 52425</t>
        </is>
      </c>
      <c r="D3785" s="8" t="inlineStr">
        <is>
          <t>GEODO</t>
        </is>
      </c>
      <c r="E3785" s="7" t="inlineStr">
        <is>
          <t>Pulverização Agrícola Conforme Bula</t>
        </is>
      </c>
      <c r="F3785" s="7" t="inlineStr">
        <is>
          <t>Milho</t>
        </is>
      </c>
      <c r="G3785" s="7" t="inlineStr">
        <is>
          <t>Cultura Autorizada na Bula</t>
        </is>
      </c>
      <c r="H3785" s="7" t="inlineStr">
        <is>
          <t>100 a 300 L/ha</t>
        </is>
      </c>
      <c r="I3785" s="7" t="inlineStr">
        <is>
          <t>20 a 40 L/ha</t>
        </is>
      </c>
      <c r="J3785" s="7" t="inlineStr">
        <is>
          <t>30 dias</t>
        </is>
      </c>
    </row>
    <row r="3786" ht="22" customHeight="1">
      <c r="A3786" s="12" t="inlineStr">
        <is>
          <t>CUL-3782</t>
        </is>
      </c>
      <c r="B3786" s="11" t="n">
        <v>750</v>
      </c>
      <c r="C3786" s="13" t="inlineStr">
        <is>
          <t>Nº 52425</t>
        </is>
      </c>
      <c r="D3786" s="14" t="inlineStr">
        <is>
          <t>GEODO</t>
        </is>
      </c>
      <c r="E3786" s="13" t="inlineStr">
        <is>
          <t>Pulverização Agrícola Conforme Bula</t>
        </is>
      </c>
      <c r="F3786" s="13" t="inlineStr">
        <is>
          <t>Cana-de-açúcar</t>
        </is>
      </c>
      <c r="G3786" s="13" t="inlineStr">
        <is>
          <t>Cultura Autorizada na Bula</t>
        </is>
      </c>
      <c r="H3786" s="13" t="inlineStr">
        <is>
          <t>100 a 300 L/ha</t>
        </is>
      </c>
      <c r="I3786" s="13" t="inlineStr">
        <is>
          <t>20 a 40 L/ha</t>
        </is>
      </c>
      <c r="J3786" s="13" t="inlineStr">
        <is>
          <t>30 dias</t>
        </is>
      </c>
    </row>
    <row r="3787" ht="22" customHeight="1">
      <c r="A3787" s="6" t="inlineStr">
        <is>
          <t>CUL-3783</t>
        </is>
      </c>
      <c r="B3787" s="5" t="n">
        <v>750</v>
      </c>
      <c r="C3787" s="7" t="inlineStr">
        <is>
          <t>Nº 52425</t>
        </is>
      </c>
      <c r="D3787" s="8" t="inlineStr">
        <is>
          <t>GEODO</t>
        </is>
      </c>
      <c r="E3787" s="7" t="inlineStr">
        <is>
          <t>Pulverização Agrícola Conforme Bula</t>
        </is>
      </c>
      <c r="F3787" s="7" t="inlineStr">
        <is>
          <t>Café</t>
        </is>
      </c>
      <c r="G3787" s="7" t="inlineStr">
        <is>
          <t>Cultura Autorizada na Bula</t>
        </is>
      </c>
      <c r="H3787" s="7" t="inlineStr">
        <is>
          <t>100 a 300 L/ha</t>
        </is>
      </c>
      <c r="I3787" s="7" t="inlineStr">
        <is>
          <t>20 a 40 L/ha</t>
        </is>
      </c>
      <c r="J3787" s="7" t="inlineStr">
        <is>
          <t>30 dias</t>
        </is>
      </c>
    </row>
    <row r="3788" ht="22" customHeight="1">
      <c r="A3788" s="12" t="inlineStr">
        <is>
          <t>CUL-3784</t>
        </is>
      </c>
      <c r="B3788" s="11" t="n">
        <v>750</v>
      </c>
      <c r="C3788" s="13" t="inlineStr">
        <is>
          <t>Nº 52425</t>
        </is>
      </c>
      <c r="D3788" s="14" t="inlineStr">
        <is>
          <t>GEODO</t>
        </is>
      </c>
      <c r="E3788" s="13" t="inlineStr">
        <is>
          <t>Pulverização Agrícola Conforme Bula</t>
        </is>
      </c>
      <c r="F3788" s="13" t="inlineStr">
        <is>
          <t>Citros</t>
        </is>
      </c>
      <c r="G3788" s="13" t="inlineStr">
        <is>
          <t>Cultura Autorizada na Bula</t>
        </is>
      </c>
      <c r="H3788" s="13" t="inlineStr">
        <is>
          <t>100 a 300 L/ha</t>
        </is>
      </c>
      <c r="I3788" s="13" t="inlineStr">
        <is>
          <t>20 a 40 L/ha</t>
        </is>
      </c>
      <c r="J3788" s="13" t="inlineStr">
        <is>
          <t>7 dias</t>
        </is>
      </c>
    </row>
    <row r="3789" ht="22" customHeight="1">
      <c r="A3789" s="6" t="inlineStr">
        <is>
          <t>CUL-3785</t>
        </is>
      </c>
      <c r="B3789" s="5" t="n">
        <v>750</v>
      </c>
      <c r="C3789" s="7" t="inlineStr">
        <is>
          <t>Nº 52425</t>
        </is>
      </c>
      <c r="D3789" s="8" t="inlineStr">
        <is>
          <t>GEODO</t>
        </is>
      </c>
      <c r="E3789" s="7" t="inlineStr">
        <is>
          <t>Pulverização Agrícola Conforme Bula</t>
        </is>
      </c>
      <c r="F3789" s="7" t="inlineStr">
        <is>
          <t>Feijão</t>
        </is>
      </c>
      <c r="G3789" s="7" t="inlineStr">
        <is>
          <t>Cultura Autorizada na Bula</t>
        </is>
      </c>
      <c r="H3789" s="7" t="inlineStr">
        <is>
          <t>100 a 300 L/ha</t>
        </is>
      </c>
      <c r="I3789" s="7" t="inlineStr">
        <is>
          <t>20 a 40 L/ha</t>
        </is>
      </c>
      <c r="J3789" s="7" t="inlineStr">
        <is>
          <t>20 dias</t>
        </is>
      </c>
    </row>
    <row r="3790" ht="22" customHeight="1">
      <c r="A3790" s="12" t="inlineStr">
        <is>
          <t>CUL-3786</t>
        </is>
      </c>
      <c r="B3790" s="11" t="n">
        <v>750</v>
      </c>
      <c r="C3790" s="13" t="inlineStr">
        <is>
          <t>Nº 52425</t>
        </is>
      </c>
      <c r="D3790" s="14" t="inlineStr">
        <is>
          <t>GEODO</t>
        </is>
      </c>
      <c r="E3790" s="13" t="inlineStr">
        <is>
          <t>Pulverização Agrícola Conforme Bula</t>
        </is>
      </c>
      <c r="F3790" s="13" t="inlineStr">
        <is>
          <t>Trigo</t>
        </is>
      </c>
      <c r="G3790" s="13" t="inlineStr">
        <is>
          <t>Cultura Autorizada na Bula</t>
        </is>
      </c>
      <c r="H3790" s="13" t="inlineStr">
        <is>
          <t>100 a 300 L/ha</t>
        </is>
      </c>
      <c r="I3790" s="13" t="inlineStr">
        <is>
          <t>20 a 40 L/ha</t>
        </is>
      </c>
      <c r="J3790" s="13" t="inlineStr">
        <is>
          <t>30 dias</t>
        </is>
      </c>
    </row>
    <row r="3791" ht="22" customHeight="1">
      <c r="A3791" s="6" t="inlineStr">
        <is>
          <t>CUL-3787</t>
        </is>
      </c>
      <c r="B3791" s="5" t="n">
        <v>751</v>
      </c>
      <c r="C3791" s="7" t="inlineStr">
        <is>
          <t>Nº 14421</t>
        </is>
      </c>
      <c r="D3791" s="8" t="inlineStr">
        <is>
          <t>LEALTY FS</t>
        </is>
      </c>
      <c r="E3791" s="7" t="inlineStr">
        <is>
          <t>Tratamento de Sementes / Sulco</t>
        </is>
      </c>
      <c r="F3791" s="7" t="inlineStr">
        <is>
          <t>Soja (Trat. Sementes / Sulco)</t>
        </is>
      </c>
      <c r="G3791" s="7" t="inlineStr">
        <is>
          <t>Cultura Autorizada na Bula</t>
        </is>
      </c>
      <c r="H3791" s="7" t="inlineStr">
        <is>
          <t>Calda TS (0,2 a 0,6 L/100kg sem.)</t>
        </is>
      </c>
      <c r="I3791" s="7" t="inlineStr">
        <is>
          <t>Não Autorizada (TS)</t>
        </is>
      </c>
      <c r="J3791" s="7" t="inlineStr">
        <is>
          <t>N/D</t>
        </is>
      </c>
    </row>
    <row r="3792" ht="22" customHeight="1">
      <c r="A3792" s="12" t="inlineStr">
        <is>
          <t>CUL-3788</t>
        </is>
      </c>
      <c r="B3792" s="11" t="n">
        <v>751</v>
      </c>
      <c r="C3792" s="13" t="inlineStr">
        <is>
          <t>Nº 14421</t>
        </is>
      </c>
      <c r="D3792" s="14" t="inlineStr">
        <is>
          <t>LEALTY FS</t>
        </is>
      </c>
      <c r="E3792" s="13" t="inlineStr">
        <is>
          <t>Tratamento de Sementes / Sulco</t>
        </is>
      </c>
      <c r="F3792" s="13" t="inlineStr">
        <is>
          <t>Milho (Trat. Sementes)</t>
        </is>
      </c>
      <c r="G3792" s="13" t="inlineStr">
        <is>
          <t>Cultura Autorizada na Bula</t>
        </is>
      </c>
      <c r="H3792" s="13" t="inlineStr">
        <is>
          <t>Calda TS (0,2 a 0,6 L/100kg sem.)</t>
        </is>
      </c>
      <c r="I3792" s="13" t="inlineStr">
        <is>
          <t>Não Autorizada (TS)</t>
        </is>
      </c>
      <c r="J3792" s="13" t="inlineStr">
        <is>
          <t>N/D</t>
        </is>
      </c>
    </row>
    <row r="3793" ht="22" customHeight="1">
      <c r="A3793" s="6" t="inlineStr">
        <is>
          <t>CUL-3789</t>
        </is>
      </c>
      <c r="B3793" s="5" t="n">
        <v>751</v>
      </c>
      <c r="C3793" s="7" t="inlineStr">
        <is>
          <t>Nº 14421</t>
        </is>
      </c>
      <c r="D3793" s="8" t="inlineStr">
        <is>
          <t>LEALTY FS</t>
        </is>
      </c>
      <c r="E3793" s="7" t="inlineStr">
        <is>
          <t>Tratamento de Sementes / Sulco</t>
        </is>
      </c>
      <c r="F3793" s="7" t="inlineStr">
        <is>
          <t>Algodão</t>
        </is>
      </c>
      <c r="G3793" s="7" t="inlineStr">
        <is>
          <t>Cultura Autorizada na Bula</t>
        </is>
      </c>
      <c r="H3793" s="7" t="inlineStr">
        <is>
          <t>Calda TS (0,2 a 0,6 L/100kg sem.)</t>
        </is>
      </c>
      <c r="I3793" s="7" t="inlineStr">
        <is>
          <t>Não Autorizada (TS)</t>
        </is>
      </c>
      <c r="J3793" s="7" t="inlineStr">
        <is>
          <t>N/D</t>
        </is>
      </c>
    </row>
    <row r="3794" ht="22" customHeight="1">
      <c r="A3794" s="12" t="inlineStr">
        <is>
          <t>CUL-3790</t>
        </is>
      </c>
      <c r="B3794" s="11" t="n">
        <v>751</v>
      </c>
      <c r="C3794" s="13" t="inlineStr">
        <is>
          <t>Nº 14421</t>
        </is>
      </c>
      <c r="D3794" s="14" t="inlineStr">
        <is>
          <t>LEALTY FS</t>
        </is>
      </c>
      <c r="E3794" s="13" t="inlineStr">
        <is>
          <t>Tratamento de Sementes / Sulco</t>
        </is>
      </c>
      <c r="F3794" s="13" t="inlineStr">
        <is>
          <t>Cana-de-açúcar (Sulco)</t>
        </is>
      </c>
      <c r="G3794" s="13" t="inlineStr">
        <is>
          <t>Cultura Autorizada na Bula</t>
        </is>
      </c>
      <c r="H3794" s="13" t="inlineStr">
        <is>
          <t>Calda TS (0,2 a 0,6 L/100kg sem.)</t>
        </is>
      </c>
      <c r="I3794" s="13" t="inlineStr">
        <is>
          <t>Não Autorizada (TS)</t>
        </is>
      </c>
      <c r="J3794" s="13" t="inlineStr">
        <is>
          <t>N/D</t>
        </is>
      </c>
    </row>
    <row r="3795" ht="22" customHeight="1">
      <c r="A3795" s="6" t="inlineStr">
        <is>
          <t>CUL-3791</t>
        </is>
      </c>
      <c r="B3795" s="5" t="n">
        <v>751</v>
      </c>
      <c r="C3795" s="7" t="inlineStr">
        <is>
          <t>Nº 14421</t>
        </is>
      </c>
      <c r="D3795" s="8" t="inlineStr">
        <is>
          <t>LEALTY FS</t>
        </is>
      </c>
      <c r="E3795" s="7" t="inlineStr">
        <is>
          <t>Tratamento de Sementes / Sulco</t>
        </is>
      </c>
      <c r="F3795" s="7" t="inlineStr">
        <is>
          <t>Arroz</t>
        </is>
      </c>
      <c r="G3795" s="7" t="inlineStr">
        <is>
          <t>Cultura Autorizada na Bula</t>
        </is>
      </c>
      <c r="H3795" s="7" t="inlineStr">
        <is>
          <t>Calda TS (0,2 a 0,6 L/100kg sem.)</t>
        </is>
      </c>
      <c r="I3795" s="7" t="inlineStr">
        <is>
          <t>Não Autorizada (TS)</t>
        </is>
      </c>
      <c r="J3795" s="7" t="inlineStr">
        <is>
          <t>N/D</t>
        </is>
      </c>
    </row>
    <row r="3796" ht="22" customHeight="1">
      <c r="A3796" s="12" t="inlineStr">
        <is>
          <t>CUL-3792</t>
        </is>
      </c>
      <c r="B3796" s="11" t="n">
        <v>751</v>
      </c>
      <c r="C3796" s="13" t="inlineStr">
        <is>
          <t>Nº 14421</t>
        </is>
      </c>
      <c r="D3796" s="14" t="inlineStr">
        <is>
          <t>LEALTY FS</t>
        </is>
      </c>
      <c r="E3796" s="13" t="inlineStr">
        <is>
          <t>Tratamento de Sementes / Sulco</t>
        </is>
      </c>
      <c r="F3796" s="13" t="inlineStr">
        <is>
          <t>Feijão</t>
        </is>
      </c>
      <c r="G3796" s="13" t="inlineStr">
        <is>
          <t>Cultura Autorizada na Bula</t>
        </is>
      </c>
      <c r="H3796" s="13" t="inlineStr">
        <is>
          <t>Calda TS (0,2 a 0,6 L/100kg sem.)</t>
        </is>
      </c>
      <c r="I3796" s="13" t="inlineStr">
        <is>
          <t>Não Autorizada (TS)</t>
        </is>
      </c>
      <c r="J3796" s="13" t="inlineStr">
        <is>
          <t>N/D</t>
        </is>
      </c>
    </row>
    <row r="3797" ht="22" customHeight="1">
      <c r="A3797" s="6" t="inlineStr">
        <is>
          <t>CUL-3793</t>
        </is>
      </c>
      <c r="B3797" s="5" t="n">
        <v>751</v>
      </c>
      <c r="C3797" s="7" t="inlineStr">
        <is>
          <t>Nº 14421</t>
        </is>
      </c>
      <c r="D3797" s="8" t="inlineStr">
        <is>
          <t>LEALTY FS</t>
        </is>
      </c>
      <c r="E3797" s="7" t="inlineStr">
        <is>
          <t>Tratamento de Sementes / Sulco</t>
        </is>
      </c>
      <c r="F3797" s="7" t="inlineStr">
        <is>
          <t>Pastagens</t>
        </is>
      </c>
      <c r="G3797" s="7" t="inlineStr">
        <is>
          <t>Cultura Autorizada na Bula</t>
        </is>
      </c>
      <c r="H3797" s="7" t="inlineStr">
        <is>
          <t>Calda TS (0,2 a 0,6 L/100kg sem.)</t>
        </is>
      </c>
      <c r="I3797" s="7" t="inlineStr">
        <is>
          <t>Não Autorizada (TS)</t>
        </is>
      </c>
      <c r="J3797" s="7" t="inlineStr">
        <is>
          <t>N/D</t>
        </is>
      </c>
    </row>
    <row r="3798" ht="22" customHeight="1">
      <c r="A3798" s="12" t="inlineStr">
        <is>
          <t>CUL-3794</t>
        </is>
      </c>
      <c r="B3798" s="11" t="n">
        <v>751</v>
      </c>
      <c r="C3798" s="13" t="inlineStr">
        <is>
          <t>Nº 14421</t>
        </is>
      </c>
      <c r="D3798" s="14" t="inlineStr">
        <is>
          <t>LEALTY FS</t>
        </is>
      </c>
      <c r="E3798" s="13" t="inlineStr">
        <is>
          <t>Tratamento de Sementes / Sulco</t>
        </is>
      </c>
      <c r="F3798" s="13" t="inlineStr">
        <is>
          <t>Trigo</t>
        </is>
      </c>
      <c r="G3798" s="13" t="inlineStr">
        <is>
          <t>Cultura Autorizada na Bula</t>
        </is>
      </c>
      <c r="H3798" s="13" t="inlineStr">
        <is>
          <t>Calda TS (0,2 a 0,6 L/100kg sem.)</t>
        </is>
      </c>
      <c r="I3798" s="13" t="inlineStr">
        <is>
          <t>Não Autorizada (TS)</t>
        </is>
      </c>
      <c r="J3798" s="13" t="inlineStr">
        <is>
          <t>N/D</t>
        </is>
      </c>
    </row>
    <row r="3799" ht="22" customHeight="1">
      <c r="A3799" s="6" t="inlineStr">
        <is>
          <t>CUL-3795</t>
        </is>
      </c>
      <c r="B3799" s="5" t="n">
        <v>752</v>
      </c>
      <c r="C3799" s="7" t="inlineStr">
        <is>
          <t>Nº 7023</t>
        </is>
      </c>
      <c r="D3799" s="8" t="inlineStr">
        <is>
          <t>TORINO</t>
        </is>
      </c>
      <c r="E3799" s="7" t="inlineStr">
        <is>
          <t>Pulverização Agrícola Conforme Bula</t>
        </is>
      </c>
      <c r="F3799" s="7" t="inlineStr">
        <is>
          <t>Soja</t>
        </is>
      </c>
      <c r="G3799" s="7" t="inlineStr">
        <is>
          <t>Cultura Autorizada na Bula</t>
        </is>
      </c>
      <c r="H3799" s="7" t="inlineStr">
        <is>
          <t>100 a 300 L/ha</t>
        </is>
      </c>
      <c r="I3799" s="7" t="inlineStr">
        <is>
          <t>20 a 40 L/ha</t>
        </is>
      </c>
      <c r="J3799" s="7" t="inlineStr">
        <is>
          <t>28 dias</t>
        </is>
      </c>
    </row>
    <row r="3800" ht="22" customHeight="1">
      <c r="A3800" s="12" t="inlineStr">
        <is>
          <t>CUL-3796</t>
        </is>
      </c>
      <c r="B3800" s="11" t="n">
        <v>752</v>
      </c>
      <c r="C3800" s="13" t="inlineStr">
        <is>
          <t>Nº 7023</t>
        </is>
      </c>
      <c r="D3800" s="14" t="inlineStr">
        <is>
          <t>TORINO</t>
        </is>
      </c>
      <c r="E3800" s="13" t="inlineStr">
        <is>
          <t>Pulverização Agrícola Conforme Bula</t>
        </is>
      </c>
      <c r="F3800" s="13" t="inlineStr">
        <is>
          <t>Feijão</t>
        </is>
      </c>
      <c r="G3800" s="13" t="inlineStr">
        <is>
          <t>Cultura Autorizada na Bula</t>
        </is>
      </c>
      <c r="H3800" s="13" t="inlineStr">
        <is>
          <t>100 a 300 L/ha</t>
        </is>
      </c>
      <c r="I3800" s="13" t="inlineStr">
        <is>
          <t>20 a 40 L/ha</t>
        </is>
      </c>
      <c r="J3800" s="13" t="inlineStr">
        <is>
          <t>14 dias</t>
        </is>
      </c>
    </row>
    <row r="3801" ht="22" customHeight="1">
      <c r="A3801" s="6" t="inlineStr">
        <is>
          <t>CUL-3797</t>
        </is>
      </c>
      <c r="B3801" s="5" t="n">
        <v>752</v>
      </c>
      <c r="C3801" s="7" t="inlineStr">
        <is>
          <t>Nº 7023</t>
        </is>
      </c>
      <c r="D3801" s="8" t="inlineStr">
        <is>
          <t>TORINO</t>
        </is>
      </c>
      <c r="E3801" s="7" t="inlineStr">
        <is>
          <t>Pulverização Agrícola Conforme Bula</t>
        </is>
      </c>
      <c r="F3801" s="7" t="inlineStr">
        <is>
          <t>Algodão</t>
        </is>
      </c>
      <c r="G3801" s="7" t="inlineStr">
        <is>
          <t>Cultura Autorizada na Bula</t>
        </is>
      </c>
      <c r="H3801" s="7" t="inlineStr">
        <is>
          <t>100 a 300 L/ha</t>
        </is>
      </c>
      <c r="I3801" s="7" t="inlineStr">
        <is>
          <t>20 a 40 L/ha</t>
        </is>
      </c>
      <c r="J3801" s="7" t="inlineStr">
        <is>
          <t>28 dias</t>
        </is>
      </c>
    </row>
    <row r="3802" ht="22" customHeight="1">
      <c r="A3802" s="12" t="inlineStr">
        <is>
          <t>CUL-3798</t>
        </is>
      </c>
      <c r="B3802" s="11" t="n">
        <v>752</v>
      </c>
      <c r="C3802" s="13" t="inlineStr">
        <is>
          <t>Nº 7023</t>
        </is>
      </c>
      <c r="D3802" s="14" t="inlineStr">
        <is>
          <t>TORINO</t>
        </is>
      </c>
      <c r="E3802" s="13" t="inlineStr">
        <is>
          <t>Pulverização Agrícola Conforme Bula</t>
        </is>
      </c>
      <c r="F3802" s="13" t="inlineStr">
        <is>
          <t>Citros</t>
        </is>
      </c>
      <c r="G3802" s="13" t="inlineStr">
        <is>
          <t>Cultura Autorizada na Bula</t>
        </is>
      </c>
      <c r="H3802" s="13" t="inlineStr">
        <is>
          <t>100 a 300 L/ha</t>
        </is>
      </c>
      <c r="I3802" s="13" t="inlineStr">
        <is>
          <t>20 a 40 L/ha</t>
        </is>
      </c>
      <c r="J3802" s="13" t="inlineStr">
        <is>
          <t>14 dias</t>
        </is>
      </c>
    </row>
    <row r="3803" ht="22" customHeight="1">
      <c r="A3803" s="6" t="inlineStr">
        <is>
          <t>CUL-3799</t>
        </is>
      </c>
      <c r="B3803" s="5" t="n">
        <v>752</v>
      </c>
      <c r="C3803" s="7" t="inlineStr">
        <is>
          <t>Nº 7023</t>
        </is>
      </c>
      <c r="D3803" s="8" t="inlineStr">
        <is>
          <t>TORINO</t>
        </is>
      </c>
      <c r="E3803" s="7" t="inlineStr">
        <is>
          <t>Pulverização Agrícola Conforme Bula</t>
        </is>
      </c>
      <c r="F3803" s="7" t="inlineStr">
        <is>
          <t>Café</t>
        </is>
      </c>
      <c r="G3803" s="7" t="inlineStr">
        <is>
          <t>Cultura Autorizada na Bula</t>
        </is>
      </c>
      <c r="H3803" s="7" t="inlineStr">
        <is>
          <t>100 a 300 L/ha</t>
        </is>
      </c>
      <c r="I3803" s="7" t="inlineStr">
        <is>
          <t>20 a 40 L/ha</t>
        </is>
      </c>
      <c r="J3803" s="7" t="inlineStr">
        <is>
          <t>21 dias</t>
        </is>
      </c>
    </row>
    <row r="3804" ht="22" customHeight="1">
      <c r="A3804" s="12" t="inlineStr">
        <is>
          <t>CUL-3800</t>
        </is>
      </c>
      <c r="B3804" s="11" t="n">
        <v>752</v>
      </c>
      <c r="C3804" s="13" t="inlineStr">
        <is>
          <t>Nº 7023</t>
        </is>
      </c>
      <c r="D3804" s="14" t="inlineStr">
        <is>
          <t>TORINO</t>
        </is>
      </c>
      <c r="E3804" s="13" t="inlineStr">
        <is>
          <t>Pulverização Agrícola Conforme Bula</t>
        </is>
      </c>
      <c r="F3804" s="13" t="inlineStr">
        <is>
          <t>Trigo</t>
        </is>
      </c>
      <c r="G3804" s="13" t="inlineStr">
        <is>
          <t>Cultura Autorizada na Bula</t>
        </is>
      </c>
      <c r="H3804" s="13" t="inlineStr">
        <is>
          <t>100 a 300 L/ha</t>
        </is>
      </c>
      <c r="I3804" s="13" t="inlineStr">
        <is>
          <t>20 a 40 L/ha</t>
        </is>
      </c>
      <c r="J3804" s="13" t="inlineStr">
        <is>
          <t>35 dias</t>
        </is>
      </c>
    </row>
    <row r="3805" ht="22" customHeight="1">
      <c r="A3805" s="6" t="inlineStr">
        <is>
          <t>CUL-3801</t>
        </is>
      </c>
      <c r="B3805" s="5" t="n">
        <v>753</v>
      </c>
      <c r="C3805" s="7" t="inlineStr">
        <is>
          <t>Nº 2218</t>
        </is>
      </c>
      <c r="D3805" s="8" t="inlineStr">
        <is>
          <t>ACETA 4X5 KG IMP AH</t>
        </is>
      </c>
      <c r="E3805" s="7" t="inlineStr">
        <is>
          <t>Pulverização Agrícola Conforme Bula</t>
        </is>
      </c>
      <c r="F3805" s="7" t="inlineStr">
        <is>
          <t>Algodão</t>
        </is>
      </c>
      <c r="G3805" s="7" t="inlineStr">
        <is>
          <t>Cultura Autorizada na Bula</t>
        </is>
      </c>
      <c r="H3805" s="7" t="inlineStr">
        <is>
          <t>100 a 300 L/ha</t>
        </is>
      </c>
      <c r="I3805" s="7" t="inlineStr">
        <is>
          <t>20 a 40 L/ha</t>
        </is>
      </c>
      <c r="J3805" s="7" t="inlineStr">
        <is>
          <t>28 dias</t>
        </is>
      </c>
    </row>
    <row r="3806" ht="22" customHeight="1">
      <c r="A3806" s="12" t="inlineStr">
        <is>
          <t>CUL-3802</t>
        </is>
      </c>
      <c r="B3806" s="11" t="n">
        <v>753</v>
      </c>
      <c r="C3806" s="13" t="inlineStr">
        <is>
          <t>Nº 2218</t>
        </is>
      </c>
      <c r="D3806" s="14" t="inlineStr">
        <is>
          <t>ACETA 4X5 KG IMP AH</t>
        </is>
      </c>
      <c r="E3806" s="13" t="inlineStr">
        <is>
          <t>Pulverização Agrícola Conforme Bula</t>
        </is>
      </c>
      <c r="F3806" s="13" t="inlineStr">
        <is>
          <t>Soja</t>
        </is>
      </c>
      <c r="G3806" s="13" t="inlineStr">
        <is>
          <t>Cultura Autorizada na Bula</t>
        </is>
      </c>
      <c r="H3806" s="13" t="inlineStr">
        <is>
          <t>100 a 300 L/ha</t>
        </is>
      </c>
      <c r="I3806" s="13" t="inlineStr">
        <is>
          <t>20 a 40 L/ha</t>
        </is>
      </c>
      <c r="J3806" s="13" t="inlineStr">
        <is>
          <t>21 dias</t>
        </is>
      </c>
    </row>
    <row r="3807" ht="22" customHeight="1">
      <c r="A3807" s="6" t="inlineStr">
        <is>
          <t>CUL-3803</t>
        </is>
      </c>
      <c r="B3807" s="5" t="n">
        <v>753</v>
      </c>
      <c r="C3807" s="7" t="inlineStr">
        <is>
          <t>Nº 2218</t>
        </is>
      </c>
      <c r="D3807" s="8" t="inlineStr">
        <is>
          <t>ACETA 4X5 KG IMP AH</t>
        </is>
      </c>
      <c r="E3807" s="7" t="inlineStr">
        <is>
          <t>Pulverização Agrícola Conforme Bula</t>
        </is>
      </c>
      <c r="F3807" s="7" t="inlineStr">
        <is>
          <t>Milho</t>
        </is>
      </c>
      <c r="G3807" s="7" t="inlineStr">
        <is>
          <t>Cultura Autorizada na Bula</t>
        </is>
      </c>
      <c r="H3807" s="7" t="inlineStr">
        <is>
          <t>100 a 300 L/ha</t>
        </is>
      </c>
      <c r="I3807" s="7" t="inlineStr">
        <is>
          <t>20 a 40 L/ha</t>
        </is>
      </c>
      <c r="J3807" s="7" t="inlineStr">
        <is>
          <t>30 dias</t>
        </is>
      </c>
    </row>
    <row r="3808" ht="22" customHeight="1">
      <c r="A3808" s="12" t="inlineStr">
        <is>
          <t>CUL-3804</t>
        </is>
      </c>
      <c r="B3808" s="11" t="n">
        <v>753</v>
      </c>
      <c r="C3808" s="13" t="inlineStr">
        <is>
          <t>Nº 2218</t>
        </is>
      </c>
      <c r="D3808" s="14" t="inlineStr">
        <is>
          <t>ACETA 4X5 KG IMP AH</t>
        </is>
      </c>
      <c r="E3808" s="13" t="inlineStr">
        <is>
          <t>Pulverização Agrícola Conforme Bula</t>
        </is>
      </c>
      <c r="F3808" s="13" t="inlineStr">
        <is>
          <t>Feijão</t>
        </is>
      </c>
      <c r="G3808" s="13" t="inlineStr">
        <is>
          <t>Cultura Autorizada na Bula</t>
        </is>
      </c>
      <c r="H3808" s="13" t="inlineStr">
        <is>
          <t>100 a 300 L/ha</t>
        </is>
      </c>
      <c r="I3808" s="13" t="inlineStr">
        <is>
          <t>20 a 40 L/ha</t>
        </is>
      </c>
      <c r="J3808" s="13" t="inlineStr">
        <is>
          <t>14 dias</t>
        </is>
      </c>
    </row>
    <row r="3809" ht="22" customHeight="1">
      <c r="A3809" s="6" t="inlineStr">
        <is>
          <t>CUL-3805</t>
        </is>
      </c>
      <c r="B3809" s="5" t="n">
        <v>753</v>
      </c>
      <c r="C3809" s="7" t="inlineStr">
        <is>
          <t>Nº 2218</t>
        </is>
      </c>
      <c r="D3809" s="8" t="inlineStr">
        <is>
          <t>ACETA 4X5 KG IMP AH</t>
        </is>
      </c>
      <c r="E3809" s="7" t="inlineStr">
        <is>
          <t>Pulverização Agrícola Conforme Bula</t>
        </is>
      </c>
      <c r="F3809" s="7" t="inlineStr">
        <is>
          <t>Café</t>
        </is>
      </c>
      <c r="G3809" s="7" t="inlineStr">
        <is>
          <t>Cultura Autorizada na Bula</t>
        </is>
      </c>
      <c r="H3809" s="7" t="inlineStr">
        <is>
          <t>100 a 300 L/ha</t>
        </is>
      </c>
      <c r="I3809" s="7" t="inlineStr">
        <is>
          <t>20 a 40 L/ha</t>
        </is>
      </c>
      <c r="J3809" s="7" t="inlineStr">
        <is>
          <t>28 dias</t>
        </is>
      </c>
    </row>
    <row r="3810" ht="22" customHeight="1">
      <c r="A3810" s="12" t="inlineStr">
        <is>
          <t>CUL-3806</t>
        </is>
      </c>
      <c r="B3810" s="11" t="n">
        <v>753</v>
      </c>
      <c r="C3810" s="13" t="inlineStr">
        <is>
          <t>Nº 2218</t>
        </is>
      </c>
      <c r="D3810" s="14" t="inlineStr">
        <is>
          <t>ACETA 4X5 KG IMP AH</t>
        </is>
      </c>
      <c r="E3810" s="13" t="inlineStr">
        <is>
          <t>Pulverização Agrícola Conforme Bula</t>
        </is>
      </c>
      <c r="F3810" s="13" t="inlineStr">
        <is>
          <t>Citros</t>
        </is>
      </c>
      <c r="G3810" s="13" t="inlineStr">
        <is>
          <t>Cultura Autorizada na Bula</t>
        </is>
      </c>
      <c r="H3810" s="13" t="inlineStr">
        <is>
          <t>100 a 300 L/ha</t>
        </is>
      </c>
      <c r="I3810" s="13" t="inlineStr">
        <is>
          <t>20 a 40 L/ha</t>
        </is>
      </c>
      <c r="J3810" s="13" t="inlineStr">
        <is>
          <t>7 dias</t>
        </is>
      </c>
    </row>
    <row r="3811" ht="22" customHeight="1">
      <c r="A3811" s="6" t="inlineStr">
        <is>
          <t>CUL-3807</t>
        </is>
      </c>
      <c r="B3811" s="5" t="n">
        <v>753</v>
      </c>
      <c r="C3811" s="7" t="inlineStr">
        <is>
          <t>Nº 2218</t>
        </is>
      </c>
      <c r="D3811" s="8" t="inlineStr">
        <is>
          <t>ACETA 4X5 KG IMP AH</t>
        </is>
      </c>
      <c r="E3811" s="7" t="inlineStr">
        <is>
          <t>Pulverização Agrícola Conforme Bula</t>
        </is>
      </c>
      <c r="F3811" s="7" t="inlineStr">
        <is>
          <t>Tomate</t>
        </is>
      </c>
      <c r="G3811" s="7" t="inlineStr">
        <is>
          <t>Cultura Autorizada na Bula</t>
        </is>
      </c>
      <c r="H3811" s="7" t="inlineStr">
        <is>
          <t>100 a 300 L/ha</t>
        </is>
      </c>
      <c r="I3811" s="7" t="inlineStr">
        <is>
          <t>20 a 40 L/ha</t>
        </is>
      </c>
      <c r="J3811" s="7" t="inlineStr">
        <is>
          <t>3 dias</t>
        </is>
      </c>
    </row>
    <row r="3812" ht="22" customHeight="1">
      <c r="A3812" s="12" t="inlineStr">
        <is>
          <t>CUL-3808</t>
        </is>
      </c>
      <c r="B3812" s="11" t="n">
        <v>754</v>
      </c>
      <c r="C3812" s="13" t="inlineStr">
        <is>
          <t>Nº 1223</t>
        </is>
      </c>
      <c r="D3812" s="14" t="inlineStr">
        <is>
          <t>FULLGUARD</t>
        </is>
      </c>
      <c r="E3812" s="13" t="inlineStr">
        <is>
          <t>Pulverização Agrícola Conforme Bula</t>
        </is>
      </c>
      <c r="F3812" s="13" t="inlineStr">
        <is>
          <t>Soja (Dessecação)</t>
        </is>
      </c>
      <c r="G3812" s="13" t="inlineStr">
        <is>
          <t>Cultura Autorizada na Bula</t>
        </is>
      </c>
      <c r="H3812" s="13" t="inlineStr">
        <is>
          <t>100 a 300 L/ha</t>
        </is>
      </c>
      <c r="I3812" s="13" t="inlineStr">
        <is>
          <t>20 a 40 L/ha</t>
        </is>
      </c>
      <c r="J3812" s="13" t="inlineStr">
        <is>
          <t>N/D</t>
        </is>
      </c>
    </row>
    <row r="3813" ht="22" customHeight="1">
      <c r="A3813" s="6" t="inlineStr">
        <is>
          <t>CUL-3809</t>
        </is>
      </c>
      <c r="B3813" s="5" t="n">
        <v>754</v>
      </c>
      <c r="C3813" s="7" t="inlineStr">
        <is>
          <t>Nº 1223</t>
        </is>
      </c>
      <c r="D3813" s="8" t="inlineStr">
        <is>
          <t>FULLGUARD</t>
        </is>
      </c>
      <c r="E3813" s="7" t="inlineStr">
        <is>
          <t>Pulverização Agrícola Conforme Bula</t>
        </is>
      </c>
      <c r="F3813" s="7" t="inlineStr">
        <is>
          <t>Milho</t>
        </is>
      </c>
      <c r="G3813" s="7" t="inlineStr">
        <is>
          <t>Cultura Autorizada na Bula</t>
        </is>
      </c>
      <c r="H3813" s="7" t="inlineStr">
        <is>
          <t>100 a 300 L/ha</t>
        </is>
      </c>
      <c r="I3813" s="7" t="inlineStr">
        <is>
          <t>20 a 40 L/ha</t>
        </is>
      </c>
      <c r="J3813" s="7" t="inlineStr">
        <is>
          <t>45 dias</t>
        </is>
      </c>
    </row>
    <row r="3814" ht="22" customHeight="1">
      <c r="A3814" s="12" t="inlineStr">
        <is>
          <t>CUL-3810</t>
        </is>
      </c>
      <c r="B3814" s="11" t="n">
        <v>754</v>
      </c>
      <c r="C3814" s="13" t="inlineStr">
        <is>
          <t>Nº 1223</t>
        </is>
      </c>
      <c r="D3814" s="14" t="inlineStr">
        <is>
          <t>FULLGUARD</t>
        </is>
      </c>
      <c r="E3814" s="13" t="inlineStr">
        <is>
          <t>Pulverização Agrícola Conforme Bula</t>
        </is>
      </c>
      <c r="F3814" s="13" t="inlineStr">
        <is>
          <t>Algodão (Desfolha / Jato Dirigido)</t>
        </is>
      </c>
      <c r="G3814" s="13" t="inlineStr">
        <is>
          <t>Cultura Autorizada na Bula</t>
        </is>
      </c>
      <c r="H3814" s="13" t="inlineStr">
        <is>
          <t>100 a 300 L/ha</t>
        </is>
      </c>
      <c r="I3814" s="13" t="inlineStr">
        <is>
          <t>20 a 40 L/ha</t>
        </is>
      </c>
      <c r="J3814" s="13" t="inlineStr">
        <is>
          <t>15 dias</t>
        </is>
      </c>
    </row>
    <row r="3815" ht="22" customHeight="1">
      <c r="A3815" s="6" t="inlineStr">
        <is>
          <t>CUL-3811</t>
        </is>
      </c>
      <c r="B3815" s="5" t="n">
        <v>754</v>
      </c>
      <c r="C3815" s="7" t="inlineStr">
        <is>
          <t>Nº 1223</t>
        </is>
      </c>
      <c r="D3815" s="8" t="inlineStr">
        <is>
          <t>FULLGUARD</t>
        </is>
      </c>
      <c r="E3815" s="7" t="inlineStr">
        <is>
          <t>Pulverização Agrícola Conforme Bula</t>
        </is>
      </c>
      <c r="F3815" s="7" t="inlineStr">
        <is>
          <t>Cana-de-açúcar</t>
        </is>
      </c>
      <c r="G3815" s="7" t="inlineStr">
        <is>
          <t>Cultura Autorizada na Bula</t>
        </is>
      </c>
      <c r="H3815" s="7" t="inlineStr">
        <is>
          <t>100 a 300 L/ha</t>
        </is>
      </c>
      <c r="I3815" s="7" t="inlineStr">
        <is>
          <t>20 a 40 L/ha</t>
        </is>
      </c>
      <c r="J3815" s="7" t="inlineStr">
        <is>
          <t>105 dias</t>
        </is>
      </c>
    </row>
    <row r="3816" ht="22" customHeight="1">
      <c r="A3816" s="12" t="inlineStr">
        <is>
          <t>CUL-3812</t>
        </is>
      </c>
      <c r="B3816" s="11" t="n">
        <v>754</v>
      </c>
      <c r="C3816" s="13" t="inlineStr">
        <is>
          <t>Nº 1223</t>
        </is>
      </c>
      <c r="D3816" s="14" t="inlineStr">
        <is>
          <t>FULLGUARD</t>
        </is>
      </c>
      <c r="E3816" s="13" t="inlineStr">
        <is>
          <t>Pulverização Agrícola Conforme Bula</t>
        </is>
      </c>
      <c r="F3816" s="13" t="inlineStr">
        <is>
          <t>Café</t>
        </is>
      </c>
      <c r="G3816" s="13" t="inlineStr">
        <is>
          <t>Cultura Autorizada na Bula</t>
        </is>
      </c>
      <c r="H3816" s="13" t="inlineStr">
        <is>
          <t>100 a 300 L/ha</t>
        </is>
      </c>
      <c r="I3816" s="13" t="inlineStr">
        <is>
          <t>20 a 40 L/ha</t>
        </is>
      </c>
      <c r="J3816" s="13" t="inlineStr">
        <is>
          <t>15 dias</t>
        </is>
      </c>
    </row>
    <row r="3817" ht="22" customHeight="1">
      <c r="A3817" s="6" t="inlineStr">
        <is>
          <t>CUL-3813</t>
        </is>
      </c>
      <c r="B3817" s="5" t="n">
        <v>754</v>
      </c>
      <c r="C3817" s="7" t="inlineStr">
        <is>
          <t>Nº 1223</t>
        </is>
      </c>
      <c r="D3817" s="8" t="inlineStr">
        <is>
          <t>FULLGUARD</t>
        </is>
      </c>
      <c r="E3817" s="7" t="inlineStr">
        <is>
          <t>Pulverização Agrícola Conforme Bula</t>
        </is>
      </c>
      <c r="F3817" s="7" t="inlineStr">
        <is>
          <t>Citros</t>
        </is>
      </c>
      <c r="G3817" s="7" t="inlineStr">
        <is>
          <t>Cultura Autorizada na Bula</t>
        </is>
      </c>
      <c r="H3817" s="7" t="inlineStr">
        <is>
          <t>100 a 300 L/ha</t>
        </is>
      </c>
      <c r="I3817" s="7" t="inlineStr">
        <is>
          <t>20 a 40 L/ha</t>
        </is>
      </c>
      <c r="J3817" s="7" t="inlineStr">
        <is>
          <t>15 dias</t>
        </is>
      </c>
    </row>
    <row r="3818" ht="22" customHeight="1">
      <c r="A3818" s="12" t="inlineStr">
        <is>
          <t>CUL-3814</t>
        </is>
      </c>
      <c r="B3818" s="11" t="n">
        <v>755</v>
      </c>
      <c r="C3818" s="13" t="inlineStr">
        <is>
          <t>Nº 19122</t>
        </is>
      </c>
      <c r="D3818" s="14" t="inlineStr">
        <is>
          <t>AVENCA</t>
        </is>
      </c>
      <c r="E3818" s="13" t="inlineStr">
        <is>
          <t>Pulverização Agrícola Conforme Bula</t>
        </is>
      </c>
      <c r="F3818" s="13" t="inlineStr">
        <is>
          <t>Soja</t>
        </is>
      </c>
      <c r="G3818" s="13" t="inlineStr">
        <is>
          <t>Cultura Autorizada na Bula</t>
        </is>
      </c>
      <c r="H3818" s="13" t="inlineStr">
        <is>
          <t>100 a 300 L/ha</t>
        </is>
      </c>
      <c r="I3818" s="13" t="inlineStr">
        <is>
          <t>20 a 40 L/ha</t>
        </is>
      </c>
      <c r="J3818" s="13" t="inlineStr">
        <is>
          <t>14 dias</t>
        </is>
      </c>
    </row>
    <row r="3819" ht="22" customHeight="1">
      <c r="A3819" s="6" t="inlineStr">
        <is>
          <t>CUL-3815</t>
        </is>
      </c>
      <c r="B3819" s="5" t="n">
        <v>755</v>
      </c>
      <c r="C3819" s="7" t="inlineStr">
        <is>
          <t>Nº 19122</t>
        </is>
      </c>
      <c r="D3819" s="8" t="inlineStr">
        <is>
          <t>AVENCA</t>
        </is>
      </c>
      <c r="E3819" s="7" t="inlineStr">
        <is>
          <t>Pulverização Agrícola Conforme Bula</t>
        </is>
      </c>
      <c r="F3819" s="7" t="inlineStr">
        <is>
          <t>Algodão</t>
        </is>
      </c>
      <c r="G3819" s="7" t="inlineStr">
        <is>
          <t>Cultura Autorizada na Bula</t>
        </is>
      </c>
      <c r="H3819" s="7" t="inlineStr">
        <is>
          <t>100 a 300 L/ha</t>
        </is>
      </c>
      <c r="I3819" s="7" t="inlineStr">
        <is>
          <t>20 a 40 L/ha</t>
        </is>
      </c>
      <c r="J3819" s="7" t="inlineStr">
        <is>
          <t>14 dias</t>
        </is>
      </c>
    </row>
    <row r="3820" ht="22" customHeight="1">
      <c r="A3820" s="12" t="inlineStr">
        <is>
          <t>CUL-3816</t>
        </is>
      </c>
      <c r="B3820" s="11" t="n">
        <v>755</v>
      </c>
      <c r="C3820" s="13" t="inlineStr">
        <is>
          <t>Nº 19122</t>
        </is>
      </c>
      <c r="D3820" s="14" t="inlineStr">
        <is>
          <t>AVENCA</t>
        </is>
      </c>
      <c r="E3820" s="13" t="inlineStr">
        <is>
          <t>Pulverização Agrícola Conforme Bula</t>
        </is>
      </c>
      <c r="F3820" s="13" t="inlineStr">
        <is>
          <t>Feijão</t>
        </is>
      </c>
      <c r="G3820" s="13" t="inlineStr">
        <is>
          <t>Cultura Autorizada na Bula</t>
        </is>
      </c>
      <c r="H3820" s="13" t="inlineStr">
        <is>
          <t>100 a 300 L/ha</t>
        </is>
      </c>
      <c r="I3820" s="13" t="inlineStr">
        <is>
          <t>20 a 40 L/ha</t>
        </is>
      </c>
      <c r="J3820" s="13" t="inlineStr">
        <is>
          <t>14 dias</t>
        </is>
      </c>
    </row>
    <row r="3821" ht="22" customHeight="1">
      <c r="A3821" s="6" t="inlineStr">
        <is>
          <t>CUL-3817</t>
        </is>
      </c>
      <c r="B3821" s="5" t="n">
        <v>755</v>
      </c>
      <c r="C3821" s="7" t="inlineStr">
        <is>
          <t>Nº 19122</t>
        </is>
      </c>
      <c r="D3821" s="8" t="inlineStr">
        <is>
          <t>AVENCA</t>
        </is>
      </c>
      <c r="E3821" s="7" t="inlineStr">
        <is>
          <t>Pulverização Agrícola Conforme Bula</t>
        </is>
      </c>
      <c r="F3821" s="7" t="inlineStr">
        <is>
          <t>Milho</t>
        </is>
      </c>
      <c r="G3821" s="7" t="inlineStr">
        <is>
          <t>Cultura Autorizada na Bula</t>
        </is>
      </c>
      <c r="H3821" s="7" t="inlineStr">
        <is>
          <t>100 a 300 L/ha</t>
        </is>
      </c>
      <c r="I3821" s="7" t="inlineStr">
        <is>
          <t>20 a 40 L/ha</t>
        </is>
      </c>
      <c r="J3821" s="7" t="inlineStr">
        <is>
          <t>14 dias</t>
        </is>
      </c>
    </row>
    <row r="3822" ht="22" customHeight="1">
      <c r="A3822" s="12" t="inlineStr">
        <is>
          <t>CUL-3818</t>
        </is>
      </c>
      <c r="B3822" s="11" t="n">
        <v>755</v>
      </c>
      <c r="C3822" s="13" t="inlineStr">
        <is>
          <t>Nº 19122</t>
        </is>
      </c>
      <c r="D3822" s="14" t="inlineStr">
        <is>
          <t>AVENCA</t>
        </is>
      </c>
      <c r="E3822" s="13" t="inlineStr">
        <is>
          <t>Pulverização Agrícola Conforme Bula</t>
        </is>
      </c>
      <c r="F3822" s="13" t="inlineStr">
        <is>
          <t>Trigo</t>
        </is>
      </c>
      <c r="G3822" s="13" t="inlineStr">
        <is>
          <t>Cultura Autorizada na Bula</t>
        </is>
      </c>
      <c r="H3822" s="13" t="inlineStr">
        <is>
          <t>100 a 300 L/ha</t>
        </is>
      </c>
      <c r="I3822" s="13" t="inlineStr">
        <is>
          <t>20 a 40 L/ha</t>
        </is>
      </c>
      <c r="J3822" s="13" t="inlineStr">
        <is>
          <t>30 dias</t>
        </is>
      </c>
    </row>
    <row r="3823" ht="22" customHeight="1">
      <c r="A3823" s="6" t="inlineStr">
        <is>
          <t>CUL-3819</t>
        </is>
      </c>
      <c r="B3823" s="5" t="n">
        <v>755</v>
      </c>
      <c r="C3823" s="7" t="inlineStr">
        <is>
          <t>Nº 19122</t>
        </is>
      </c>
      <c r="D3823" s="8" t="inlineStr">
        <is>
          <t>AVENCA</t>
        </is>
      </c>
      <c r="E3823" s="7" t="inlineStr">
        <is>
          <t>Pulverização Agrícola Conforme Bula</t>
        </is>
      </c>
      <c r="F3823" s="7" t="inlineStr">
        <is>
          <t>Batata</t>
        </is>
      </c>
      <c r="G3823" s="7" t="inlineStr">
        <is>
          <t>Cultura Autorizada na Bula</t>
        </is>
      </c>
      <c r="H3823" s="7" t="inlineStr">
        <is>
          <t>100 a 300 L/ha</t>
        </is>
      </c>
      <c r="I3823" s="7" t="inlineStr">
        <is>
          <t>20 a 40 L/ha</t>
        </is>
      </c>
      <c r="J3823" s="7" t="inlineStr">
        <is>
          <t>7 dias</t>
        </is>
      </c>
    </row>
    <row r="3824" ht="22" customHeight="1">
      <c r="A3824" s="12" t="inlineStr">
        <is>
          <t>CUL-3820</t>
        </is>
      </c>
      <c r="B3824" s="11" t="n">
        <v>755</v>
      </c>
      <c r="C3824" s="13" t="inlineStr">
        <is>
          <t>Nº 19122</t>
        </is>
      </c>
      <c r="D3824" s="14" t="inlineStr">
        <is>
          <t>AVENCA</t>
        </is>
      </c>
      <c r="E3824" s="13" t="inlineStr">
        <is>
          <t>Pulverização Agrícola Conforme Bula</t>
        </is>
      </c>
      <c r="F3824" s="13" t="inlineStr">
        <is>
          <t>Café</t>
        </is>
      </c>
      <c r="G3824" s="13" t="inlineStr">
        <is>
          <t>Cultura Autorizada na Bula</t>
        </is>
      </c>
      <c r="H3824" s="13" t="inlineStr">
        <is>
          <t>100 a 300 L/ha</t>
        </is>
      </c>
      <c r="I3824" s="13" t="inlineStr">
        <is>
          <t>20 a 40 L/ha</t>
        </is>
      </c>
      <c r="J3824" s="13" t="inlineStr">
        <is>
          <t>30 dias</t>
        </is>
      </c>
    </row>
    <row r="3825" ht="22" customHeight="1">
      <c r="A3825" s="6" t="inlineStr">
        <is>
          <t>CUL-3821</t>
        </is>
      </c>
      <c r="B3825" s="5" t="n">
        <v>755</v>
      </c>
      <c r="C3825" s="7" t="inlineStr">
        <is>
          <t>Nº 19122</t>
        </is>
      </c>
      <c r="D3825" s="8" t="inlineStr">
        <is>
          <t>AVENCA</t>
        </is>
      </c>
      <c r="E3825" s="7" t="inlineStr">
        <is>
          <t>Pulverização Agrícola Conforme Bula</t>
        </is>
      </c>
      <c r="F3825" s="7" t="inlineStr">
        <is>
          <t>Tomate</t>
        </is>
      </c>
      <c r="G3825" s="7" t="inlineStr">
        <is>
          <t>Cultura Autorizada na Bula</t>
        </is>
      </c>
      <c r="H3825" s="7" t="inlineStr">
        <is>
          <t>100 a 300 L/ha</t>
        </is>
      </c>
      <c r="I3825" s="7" t="inlineStr">
        <is>
          <t>20 a 40 L/ha</t>
        </is>
      </c>
      <c r="J3825" s="7" t="inlineStr">
        <is>
          <t>7 dias</t>
        </is>
      </c>
    </row>
    <row r="3826" ht="22" customHeight="1">
      <c r="A3826" s="12" t="inlineStr">
        <is>
          <t>CUL-3822</t>
        </is>
      </c>
      <c r="B3826" s="11" t="n">
        <v>756</v>
      </c>
      <c r="C3826" s="13" t="inlineStr">
        <is>
          <t>Nº 3621</t>
        </is>
      </c>
      <c r="D3826" s="14" t="inlineStr">
        <is>
          <t>TECNUP MAX 720 WG</t>
        </is>
      </c>
      <c r="E3826" s="13" t="inlineStr">
        <is>
          <t>Pulverização Agrícola Conforme Bula</t>
        </is>
      </c>
      <c r="F3826" s="13" t="inlineStr">
        <is>
          <t>Soja (Pré-Plantio / OGM)</t>
        </is>
      </c>
      <c r="G3826" s="13" t="inlineStr">
        <is>
          <t>Cultura Autorizada na Bula</t>
        </is>
      </c>
      <c r="H3826" s="13" t="inlineStr">
        <is>
          <t>100 a 300 L/ha</t>
        </is>
      </c>
      <c r="I3826" s="13" t="inlineStr">
        <is>
          <t>20 a 40 L/ha</t>
        </is>
      </c>
      <c r="J3826" s="13" t="inlineStr">
        <is>
          <t>56 dias</t>
        </is>
      </c>
    </row>
    <row r="3827" ht="22" customHeight="1">
      <c r="A3827" s="6" t="inlineStr">
        <is>
          <t>CUL-3823</t>
        </is>
      </c>
      <c r="B3827" s="5" t="n">
        <v>756</v>
      </c>
      <c r="C3827" s="7" t="inlineStr">
        <is>
          <t>Nº 3621</t>
        </is>
      </c>
      <c r="D3827" s="8" t="inlineStr">
        <is>
          <t>TECNUP MAX 720 WG</t>
        </is>
      </c>
      <c r="E3827" s="7" t="inlineStr">
        <is>
          <t>Pulverização Agrícola Conforme Bula</t>
        </is>
      </c>
      <c r="F3827" s="7" t="inlineStr">
        <is>
          <t>Milho (Pré-Plantio / OGM)</t>
        </is>
      </c>
      <c r="G3827" s="7" t="inlineStr">
        <is>
          <t>Cultura Autorizada na Bula</t>
        </is>
      </c>
      <c r="H3827" s="7" t="inlineStr">
        <is>
          <t>100 a 300 L/ha</t>
        </is>
      </c>
      <c r="I3827" s="7" t="inlineStr">
        <is>
          <t>20 a 40 L/ha</t>
        </is>
      </c>
      <c r="J3827" s="7" t="inlineStr">
        <is>
          <t>90 dias</t>
        </is>
      </c>
    </row>
    <row r="3828" ht="22" customHeight="1">
      <c r="A3828" s="12" t="inlineStr">
        <is>
          <t>CUL-3824</t>
        </is>
      </c>
      <c r="B3828" s="11" t="n">
        <v>756</v>
      </c>
      <c r="C3828" s="13" t="inlineStr">
        <is>
          <t>Nº 3621</t>
        </is>
      </c>
      <c r="D3828" s="14" t="inlineStr">
        <is>
          <t>TECNUP MAX 720 WG</t>
        </is>
      </c>
      <c r="E3828" s="13" t="inlineStr">
        <is>
          <t>Pulverização Agrícola Conforme Bula</t>
        </is>
      </c>
      <c r="F3828" s="13" t="inlineStr">
        <is>
          <t>Algodão (Pré-Plantio / OGM)</t>
        </is>
      </c>
      <c r="G3828" s="13" t="inlineStr">
        <is>
          <t>Cultura Autorizada na Bula</t>
        </is>
      </c>
      <c r="H3828" s="13" t="inlineStr">
        <is>
          <t>100 a 300 L/ha</t>
        </is>
      </c>
      <c r="I3828" s="13" t="inlineStr">
        <is>
          <t>20 a 40 L/ha</t>
        </is>
      </c>
      <c r="J3828" s="13" t="inlineStr">
        <is>
          <t>130 dias</t>
        </is>
      </c>
    </row>
    <row r="3829" ht="22" customHeight="1">
      <c r="A3829" s="6" t="inlineStr">
        <is>
          <t>CUL-3825</t>
        </is>
      </c>
      <c r="B3829" s="5" t="n">
        <v>756</v>
      </c>
      <c r="C3829" s="7" t="inlineStr">
        <is>
          <t>Nº 3621</t>
        </is>
      </c>
      <c r="D3829" s="8" t="inlineStr">
        <is>
          <t>TECNUP MAX 720 WG</t>
        </is>
      </c>
      <c r="E3829" s="7" t="inlineStr">
        <is>
          <t>Pulverização Agrícola Conforme Bula</t>
        </is>
      </c>
      <c r="F3829" s="7" t="inlineStr">
        <is>
          <t>Cana-de-açúcar</t>
        </is>
      </c>
      <c r="G3829" s="7" t="inlineStr">
        <is>
          <t>Cultura Autorizada na Bula</t>
        </is>
      </c>
      <c r="H3829" s="7" t="inlineStr">
        <is>
          <t>100 a 300 L/ha</t>
        </is>
      </c>
      <c r="I3829" s="7" t="inlineStr">
        <is>
          <t>20 a 40 L/ha</t>
        </is>
      </c>
      <c r="J3829" s="7" t="inlineStr">
        <is>
          <t>N/D</t>
        </is>
      </c>
    </row>
    <row r="3830" ht="22" customHeight="1">
      <c r="A3830" s="12" t="inlineStr">
        <is>
          <t>CUL-3826</t>
        </is>
      </c>
      <c r="B3830" s="11" t="n">
        <v>756</v>
      </c>
      <c r="C3830" s="13" t="inlineStr">
        <is>
          <t>Nº 3621</t>
        </is>
      </c>
      <c r="D3830" s="14" t="inlineStr">
        <is>
          <t>TECNUP MAX 720 WG</t>
        </is>
      </c>
      <c r="E3830" s="13" t="inlineStr">
        <is>
          <t>Pulverização Agrícola Conforme Bula</t>
        </is>
      </c>
      <c r="F3830" s="13" t="inlineStr">
        <is>
          <t>Café (Jato Dirigido)</t>
        </is>
      </c>
      <c r="G3830" s="13" t="inlineStr">
        <is>
          <t>Cultura Autorizada na Bula</t>
        </is>
      </c>
      <c r="H3830" s="13" t="inlineStr">
        <is>
          <t>100 a 300 L/ha</t>
        </is>
      </c>
      <c r="I3830" s="13" t="inlineStr">
        <is>
          <t>20 a 40 L/ha</t>
        </is>
      </c>
      <c r="J3830" s="13" t="inlineStr">
        <is>
          <t>15 dias</t>
        </is>
      </c>
    </row>
    <row r="3831" ht="22" customHeight="1">
      <c r="A3831" s="6" t="inlineStr">
        <is>
          <t>CUL-3827</t>
        </is>
      </c>
      <c r="B3831" s="5" t="n">
        <v>756</v>
      </c>
      <c r="C3831" s="7" t="inlineStr">
        <is>
          <t>Nº 3621</t>
        </is>
      </c>
      <c r="D3831" s="8" t="inlineStr">
        <is>
          <t>TECNUP MAX 720 WG</t>
        </is>
      </c>
      <c r="E3831" s="7" t="inlineStr">
        <is>
          <t>Pulverização Agrícola Conforme Bula</t>
        </is>
      </c>
      <c r="F3831" s="7" t="inlineStr">
        <is>
          <t>Citros (Jato Dirigido)</t>
        </is>
      </c>
      <c r="G3831" s="7" t="inlineStr">
        <is>
          <t>Cultura Autorizada na Bula</t>
        </is>
      </c>
      <c r="H3831" s="7" t="inlineStr">
        <is>
          <t>100 a 300 L/ha</t>
        </is>
      </c>
      <c r="I3831" s="7" t="inlineStr">
        <is>
          <t>20 a 40 L/ha</t>
        </is>
      </c>
      <c r="J3831" s="7" t="inlineStr">
        <is>
          <t>30 dias</t>
        </is>
      </c>
    </row>
    <row r="3832" ht="22" customHeight="1">
      <c r="A3832" s="12" t="inlineStr">
        <is>
          <t>CUL-3828</t>
        </is>
      </c>
      <c r="B3832" s="11" t="n">
        <v>756</v>
      </c>
      <c r="C3832" s="13" t="inlineStr">
        <is>
          <t>Nº 3621</t>
        </is>
      </c>
      <c r="D3832" s="14" t="inlineStr">
        <is>
          <t>TECNUP MAX 720 WG</t>
        </is>
      </c>
      <c r="E3832" s="13" t="inlineStr">
        <is>
          <t>Pulverização Agrícola Conforme Bula</t>
        </is>
      </c>
      <c r="F3832" s="13" t="inlineStr">
        <is>
          <t>Trigo (Pré-Plantio)</t>
        </is>
      </c>
      <c r="G3832" s="13" t="inlineStr">
        <is>
          <t>Cultura Autorizada na Bula</t>
        </is>
      </c>
      <c r="H3832" s="13" t="inlineStr">
        <is>
          <t>100 a 300 L/ha</t>
        </is>
      </c>
      <c r="I3832" s="13" t="inlineStr">
        <is>
          <t>20 a 40 L/ha</t>
        </is>
      </c>
      <c r="J3832" s="13" t="inlineStr">
        <is>
          <t>N/D</t>
        </is>
      </c>
    </row>
    <row r="3833" ht="22" customHeight="1">
      <c r="A3833" s="6" t="inlineStr">
        <is>
          <t>CUL-3829</t>
        </is>
      </c>
      <c r="B3833" s="5" t="n">
        <v>756</v>
      </c>
      <c r="C3833" s="7" t="inlineStr">
        <is>
          <t>Nº 3621</t>
        </is>
      </c>
      <c r="D3833" s="8" t="inlineStr">
        <is>
          <t>TECNUP MAX 720 WG</t>
        </is>
      </c>
      <c r="E3833" s="7" t="inlineStr">
        <is>
          <t>Pulverização Agrícola Conforme Bula</t>
        </is>
      </c>
      <c r="F3833" s="7" t="inlineStr">
        <is>
          <t>Pastagens</t>
        </is>
      </c>
      <c r="G3833" s="7" t="inlineStr">
        <is>
          <t>Cultura Autorizada na Bula</t>
        </is>
      </c>
      <c r="H3833" s="7" t="inlineStr">
        <is>
          <t>100 a 300 L/ha</t>
        </is>
      </c>
      <c r="I3833" s="7" t="inlineStr">
        <is>
          <t>20 a 40 L/ha</t>
        </is>
      </c>
      <c r="J3833" s="7" t="inlineStr">
        <is>
          <t>N/D</t>
        </is>
      </c>
    </row>
    <row r="3834" ht="22" customHeight="1">
      <c r="A3834" s="12" t="inlineStr">
        <is>
          <t>CUL-3830</t>
        </is>
      </c>
      <c r="B3834" s="11" t="n">
        <v>757</v>
      </c>
      <c r="C3834" s="13" t="inlineStr">
        <is>
          <t>Nº 5622</t>
        </is>
      </c>
      <c r="D3834" s="14" t="inlineStr">
        <is>
          <t>FIERA SC</t>
        </is>
      </c>
      <c r="E3834" s="13" t="inlineStr">
        <is>
          <t>Pulverização Agrícola Conforme Bula</t>
        </is>
      </c>
      <c r="F3834" s="13" t="inlineStr">
        <is>
          <t>Soja</t>
        </is>
      </c>
      <c r="G3834" s="13" t="inlineStr">
        <is>
          <t>Cultura Autorizada na Bula</t>
        </is>
      </c>
      <c r="H3834" s="13" t="inlineStr">
        <is>
          <t>100 a 300 L/ha</t>
        </is>
      </c>
      <c r="I3834" s="13" t="inlineStr">
        <is>
          <t>20 a 40 L/ha</t>
        </is>
      </c>
      <c r="J3834" s="13" t="inlineStr">
        <is>
          <t>21 dias</t>
        </is>
      </c>
    </row>
    <row r="3835" ht="22" customHeight="1">
      <c r="A3835" s="6" t="inlineStr">
        <is>
          <t>CUL-3831</t>
        </is>
      </c>
      <c r="B3835" s="5" t="n">
        <v>757</v>
      </c>
      <c r="C3835" s="7" t="inlineStr">
        <is>
          <t>Nº 5622</t>
        </is>
      </c>
      <c r="D3835" s="8" t="inlineStr">
        <is>
          <t>FIERA SC</t>
        </is>
      </c>
      <c r="E3835" s="7" t="inlineStr">
        <is>
          <t>Pulverização Agrícola Conforme Bula</t>
        </is>
      </c>
      <c r="F3835" s="7" t="inlineStr">
        <is>
          <t>Milho</t>
        </is>
      </c>
      <c r="G3835" s="7" t="inlineStr">
        <is>
          <t>Cultura Autorizada na Bula</t>
        </is>
      </c>
      <c r="H3835" s="7" t="inlineStr">
        <is>
          <t>100 a 300 L/ha</t>
        </is>
      </c>
      <c r="I3835" s="7" t="inlineStr">
        <is>
          <t>20 a 40 L/ha</t>
        </is>
      </c>
      <c r="J3835" s="7" t="inlineStr">
        <is>
          <t>21 dias</t>
        </is>
      </c>
    </row>
    <row r="3836" ht="22" customHeight="1">
      <c r="A3836" s="12" t="inlineStr">
        <is>
          <t>CUL-3832</t>
        </is>
      </c>
      <c r="B3836" s="11" t="n">
        <v>757</v>
      </c>
      <c r="C3836" s="13" t="inlineStr">
        <is>
          <t>Nº 5622</t>
        </is>
      </c>
      <c r="D3836" s="14" t="inlineStr">
        <is>
          <t>FIERA SC</t>
        </is>
      </c>
      <c r="E3836" s="13" t="inlineStr">
        <is>
          <t>Pulverização Agrícola Conforme Bula</t>
        </is>
      </c>
      <c r="F3836" s="13" t="inlineStr">
        <is>
          <t>Algodão</t>
        </is>
      </c>
      <c r="G3836" s="13" t="inlineStr">
        <is>
          <t>Cultura Autorizada na Bula</t>
        </is>
      </c>
      <c r="H3836" s="13" t="inlineStr">
        <is>
          <t>100 a 300 L/ha</t>
        </is>
      </c>
      <c r="I3836" s="13" t="inlineStr">
        <is>
          <t>20 a 40 L/ha</t>
        </is>
      </c>
      <c r="J3836" s="13" t="inlineStr">
        <is>
          <t>21 dias</t>
        </is>
      </c>
    </row>
    <row r="3837" ht="22" customHeight="1">
      <c r="A3837" s="6" t="inlineStr">
        <is>
          <t>CUL-3833</t>
        </is>
      </c>
      <c r="B3837" s="5" t="n">
        <v>757</v>
      </c>
      <c r="C3837" s="7" t="inlineStr">
        <is>
          <t>Nº 5622</t>
        </is>
      </c>
      <c r="D3837" s="8" t="inlineStr">
        <is>
          <t>FIERA SC</t>
        </is>
      </c>
      <c r="E3837" s="7" t="inlineStr">
        <is>
          <t>Pulverização Agrícola Conforme Bula</t>
        </is>
      </c>
      <c r="F3837" s="7" t="inlineStr">
        <is>
          <t>Feijão</t>
        </is>
      </c>
      <c r="G3837" s="7" t="inlineStr">
        <is>
          <t>Cultura Autorizada na Bula</t>
        </is>
      </c>
      <c r="H3837" s="7" t="inlineStr">
        <is>
          <t>100 a 300 L/ha</t>
        </is>
      </c>
      <c r="I3837" s="7" t="inlineStr">
        <is>
          <t>20 a 40 L/ha</t>
        </is>
      </c>
      <c r="J3837" s="7" t="inlineStr">
        <is>
          <t>14 dias</t>
        </is>
      </c>
    </row>
    <row r="3838" ht="22" customHeight="1">
      <c r="A3838" s="12" t="inlineStr">
        <is>
          <t>CUL-3834</t>
        </is>
      </c>
      <c r="B3838" s="11" t="n">
        <v>758</v>
      </c>
      <c r="C3838" s="13" t="inlineStr">
        <is>
          <t>Nº 5725</t>
        </is>
      </c>
      <c r="D3838" s="14" t="inlineStr">
        <is>
          <t>ESIFON FULL</t>
        </is>
      </c>
      <c r="E3838" s="13" t="inlineStr">
        <is>
          <t>Pulverização Agrícola Conforme Bula</t>
        </is>
      </c>
      <c r="F3838" s="13" t="inlineStr">
        <is>
          <t>Soja</t>
        </is>
      </c>
      <c r="G3838" s="13" t="inlineStr">
        <is>
          <t>Cultura Autorizada na Bula</t>
        </is>
      </c>
      <c r="H3838" s="13" t="inlineStr">
        <is>
          <t>100 a 300 L/ha</t>
        </is>
      </c>
      <c r="I3838" s="13" t="inlineStr">
        <is>
          <t>20 a 40 L/ha</t>
        </is>
      </c>
      <c r="J3838" s="13" t="inlineStr">
        <is>
          <t>21 dias</t>
        </is>
      </c>
    </row>
    <row r="3839" ht="22" customHeight="1">
      <c r="A3839" s="6" t="inlineStr">
        <is>
          <t>CUL-3835</t>
        </is>
      </c>
      <c r="B3839" s="5" t="n">
        <v>758</v>
      </c>
      <c r="C3839" s="7" t="inlineStr">
        <is>
          <t>Nº 5725</t>
        </is>
      </c>
      <c r="D3839" s="8" t="inlineStr">
        <is>
          <t>ESIFON FULL</t>
        </is>
      </c>
      <c r="E3839" s="7" t="inlineStr">
        <is>
          <t>Pulverização Agrícola Conforme Bula</t>
        </is>
      </c>
      <c r="F3839" s="7" t="inlineStr">
        <is>
          <t>Milho</t>
        </is>
      </c>
      <c r="G3839" s="7" t="inlineStr">
        <is>
          <t>Cultura Autorizada na Bula</t>
        </is>
      </c>
      <c r="H3839" s="7" t="inlineStr">
        <is>
          <t>100 a 300 L/ha</t>
        </is>
      </c>
      <c r="I3839" s="7" t="inlineStr">
        <is>
          <t>20 a 40 L/ha</t>
        </is>
      </c>
      <c r="J3839" s="7" t="inlineStr">
        <is>
          <t>21 dias</t>
        </is>
      </c>
    </row>
    <row r="3840" ht="22" customHeight="1">
      <c r="A3840" s="12" t="inlineStr">
        <is>
          <t>CUL-3836</t>
        </is>
      </c>
      <c r="B3840" s="11" t="n">
        <v>758</v>
      </c>
      <c r="C3840" s="13" t="inlineStr">
        <is>
          <t>Nº 5725</t>
        </is>
      </c>
      <c r="D3840" s="14" t="inlineStr">
        <is>
          <t>ESIFON FULL</t>
        </is>
      </c>
      <c r="E3840" s="13" t="inlineStr">
        <is>
          <t>Pulverização Agrícola Conforme Bula</t>
        </is>
      </c>
      <c r="F3840" s="13" t="inlineStr">
        <is>
          <t>Algodão</t>
        </is>
      </c>
      <c r="G3840" s="13" t="inlineStr">
        <is>
          <t>Cultura Autorizada na Bula</t>
        </is>
      </c>
      <c r="H3840" s="13" t="inlineStr">
        <is>
          <t>100 a 300 L/ha</t>
        </is>
      </c>
      <c r="I3840" s="13" t="inlineStr">
        <is>
          <t>20 a 40 L/ha</t>
        </is>
      </c>
      <c r="J3840" s="13" t="inlineStr">
        <is>
          <t>21 dias</t>
        </is>
      </c>
    </row>
    <row r="3841" ht="22" customHeight="1">
      <c r="A3841" s="6" t="inlineStr">
        <is>
          <t>CUL-3837</t>
        </is>
      </c>
      <c r="B3841" s="5" t="n">
        <v>758</v>
      </c>
      <c r="C3841" s="7" t="inlineStr">
        <is>
          <t>Nº 5725</t>
        </is>
      </c>
      <c r="D3841" s="8" t="inlineStr">
        <is>
          <t>ESIFON FULL</t>
        </is>
      </c>
      <c r="E3841" s="7" t="inlineStr">
        <is>
          <t>Pulverização Agrícola Conforme Bula</t>
        </is>
      </c>
      <c r="F3841" s="7" t="inlineStr">
        <is>
          <t>Feijão</t>
        </is>
      </c>
      <c r="G3841" s="7" t="inlineStr">
        <is>
          <t>Cultura Autorizada na Bula</t>
        </is>
      </c>
      <c r="H3841" s="7" t="inlineStr">
        <is>
          <t>100 a 300 L/ha</t>
        </is>
      </c>
      <c r="I3841" s="7" t="inlineStr">
        <is>
          <t>20 a 40 L/ha</t>
        </is>
      </c>
      <c r="J3841" s="7" t="inlineStr">
        <is>
          <t>14 dias</t>
        </is>
      </c>
    </row>
    <row r="3842" ht="22" customHeight="1">
      <c r="A3842" s="12" t="inlineStr">
        <is>
          <t>CUL-3838</t>
        </is>
      </c>
      <c r="B3842" s="11" t="n">
        <v>759</v>
      </c>
      <c r="C3842" s="13" t="inlineStr">
        <is>
          <t>Nº 14421</t>
        </is>
      </c>
      <c r="D3842" s="14" t="inlineStr">
        <is>
          <t>LEALTY FS</t>
        </is>
      </c>
      <c r="E3842" s="13" t="inlineStr">
        <is>
          <t>Tratamento de Sementes / Sulco</t>
        </is>
      </c>
      <c r="F3842" s="13" t="inlineStr">
        <is>
          <t>Soja (Trat. Sementes / Sulco)</t>
        </is>
      </c>
      <c r="G3842" s="13" t="inlineStr">
        <is>
          <t>Cultura Autorizada na Bula</t>
        </is>
      </c>
      <c r="H3842" s="13" t="inlineStr">
        <is>
          <t>Calda TS (0,2 a 0,6 L/100kg sem.)</t>
        </is>
      </c>
      <c r="I3842" s="13" t="inlineStr">
        <is>
          <t>Não Autorizada (TS)</t>
        </is>
      </c>
      <c r="J3842" s="13" t="inlineStr">
        <is>
          <t>N/D</t>
        </is>
      </c>
    </row>
    <row r="3843" ht="22" customHeight="1">
      <c r="A3843" s="6" t="inlineStr">
        <is>
          <t>CUL-3839</t>
        </is>
      </c>
      <c r="B3843" s="5" t="n">
        <v>759</v>
      </c>
      <c r="C3843" s="7" t="inlineStr">
        <is>
          <t>Nº 14421</t>
        </is>
      </c>
      <c r="D3843" s="8" t="inlineStr">
        <is>
          <t>LEALTY FS</t>
        </is>
      </c>
      <c r="E3843" s="7" t="inlineStr">
        <is>
          <t>Tratamento de Sementes / Sulco</t>
        </is>
      </c>
      <c r="F3843" s="7" t="inlineStr">
        <is>
          <t>Milho (Trat. Sementes)</t>
        </is>
      </c>
      <c r="G3843" s="7" t="inlineStr">
        <is>
          <t>Cultura Autorizada na Bula</t>
        </is>
      </c>
      <c r="H3843" s="7" t="inlineStr">
        <is>
          <t>Calda TS (0,2 a 0,6 L/100kg sem.)</t>
        </is>
      </c>
      <c r="I3843" s="7" t="inlineStr">
        <is>
          <t>Não Autorizada (TS)</t>
        </is>
      </c>
      <c r="J3843" s="7" t="inlineStr">
        <is>
          <t>N/D</t>
        </is>
      </c>
    </row>
    <row r="3844" ht="22" customHeight="1">
      <c r="A3844" s="12" t="inlineStr">
        <is>
          <t>CUL-3840</t>
        </is>
      </c>
      <c r="B3844" s="11" t="n">
        <v>759</v>
      </c>
      <c r="C3844" s="13" t="inlineStr">
        <is>
          <t>Nº 14421</t>
        </is>
      </c>
      <c r="D3844" s="14" t="inlineStr">
        <is>
          <t>LEALTY FS</t>
        </is>
      </c>
      <c r="E3844" s="13" t="inlineStr">
        <is>
          <t>Tratamento de Sementes / Sulco</t>
        </is>
      </c>
      <c r="F3844" s="13" t="inlineStr">
        <is>
          <t>Algodão</t>
        </is>
      </c>
      <c r="G3844" s="13" t="inlineStr">
        <is>
          <t>Cultura Autorizada na Bula</t>
        </is>
      </c>
      <c r="H3844" s="13" t="inlineStr">
        <is>
          <t>Calda TS (0,2 a 0,6 L/100kg sem.)</t>
        </is>
      </c>
      <c r="I3844" s="13" t="inlineStr">
        <is>
          <t>Não Autorizada (TS)</t>
        </is>
      </c>
      <c r="J3844" s="13" t="inlineStr">
        <is>
          <t>N/D</t>
        </is>
      </c>
    </row>
    <row r="3845" ht="22" customHeight="1">
      <c r="A3845" s="6" t="inlineStr">
        <is>
          <t>CUL-3841</t>
        </is>
      </c>
      <c r="B3845" s="5" t="n">
        <v>759</v>
      </c>
      <c r="C3845" s="7" t="inlineStr">
        <is>
          <t>Nº 14421</t>
        </is>
      </c>
      <c r="D3845" s="8" t="inlineStr">
        <is>
          <t>LEALTY FS</t>
        </is>
      </c>
      <c r="E3845" s="7" t="inlineStr">
        <is>
          <t>Tratamento de Sementes / Sulco</t>
        </is>
      </c>
      <c r="F3845" s="7" t="inlineStr">
        <is>
          <t>Cana-de-açúcar (Sulco)</t>
        </is>
      </c>
      <c r="G3845" s="7" t="inlineStr">
        <is>
          <t>Cultura Autorizada na Bula</t>
        </is>
      </c>
      <c r="H3845" s="7" t="inlineStr">
        <is>
          <t>Calda TS (0,2 a 0,6 L/100kg sem.)</t>
        </is>
      </c>
      <c r="I3845" s="7" t="inlineStr">
        <is>
          <t>Não Autorizada (TS)</t>
        </is>
      </c>
      <c r="J3845" s="7" t="inlineStr">
        <is>
          <t>N/D</t>
        </is>
      </c>
    </row>
    <row r="3846" ht="22" customHeight="1">
      <c r="A3846" s="12" t="inlineStr">
        <is>
          <t>CUL-3842</t>
        </is>
      </c>
      <c r="B3846" s="11" t="n">
        <v>759</v>
      </c>
      <c r="C3846" s="13" t="inlineStr">
        <is>
          <t>Nº 14421</t>
        </is>
      </c>
      <c r="D3846" s="14" t="inlineStr">
        <is>
          <t>LEALTY FS</t>
        </is>
      </c>
      <c r="E3846" s="13" t="inlineStr">
        <is>
          <t>Tratamento de Sementes / Sulco</t>
        </is>
      </c>
      <c r="F3846" s="13" t="inlineStr">
        <is>
          <t>Arroz</t>
        </is>
      </c>
      <c r="G3846" s="13" t="inlineStr">
        <is>
          <t>Cultura Autorizada na Bula</t>
        </is>
      </c>
      <c r="H3846" s="13" t="inlineStr">
        <is>
          <t>Calda TS (0,2 a 0,6 L/100kg sem.)</t>
        </is>
      </c>
      <c r="I3846" s="13" t="inlineStr">
        <is>
          <t>Não Autorizada (TS)</t>
        </is>
      </c>
      <c r="J3846" s="13" t="inlineStr">
        <is>
          <t>N/D</t>
        </is>
      </c>
    </row>
    <row r="3847" ht="22" customHeight="1">
      <c r="A3847" s="6" t="inlineStr">
        <is>
          <t>CUL-3843</t>
        </is>
      </c>
      <c r="B3847" s="5" t="n">
        <v>759</v>
      </c>
      <c r="C3847" s="7" t="inlineStr">
        <is>
          <t>Nº 14421</t>
        </is>
      </c>
      <c r="D3847" s="8" t="inlineStr">
        <is>
          <t>LEALTY FS</t>
        </is>
      </c>
      <c r="E3847" s="7" t="inlineStr">
        <is>
          <t>Tratamento de Sementes / Sulco</t>
        </is>
      </c>
      <c r="F3847" s="7" t="inlineStr">
        <is>
          <t>Feijão</t>
        </is>
      </c>
      <c r="G3847" s="7" t="inlineStr">
        <is>
          <t>Cultura Autorizada na Bula</t>
        </is>
      </c>
      <c r="H3847" s="7" t="inlineStr">
        <is>
          <t>Calda TS (0,2 a 0,6 L/100kg sem.)</t>
        </is>
      </c>
      <c r="I3847" s="7" t="inlineStr">
        <is>
          <t>Não Autorizada (TS)</t>
        </is>
      </c>
      <c r="J3847" s="7" t="inlineStr">
        <is>
          <t>N/D</t>
        </is>
      </c>
    </row>
    <row r="3848" ht="22" customHeight="1">
      <c r="A3848" s="12" t="inlineStr">
        <is>
          <t>CUL-3844</t>
        </is>
      </c>
      <c r="B3848" s="11" t="n">
        <v>759</v>
      </c>
      <c r="C3848" s="13" t="inlineStr">
        <is>
          <t>Nº 14421</t>
        </is>
      </c>
      <c r="D3848" s="14" t="inlineStr">
        <is>
          <t>LEALTY FS</t>
        </is>
      </c>
      <c r="E3848" s="13" t="inlineStr">
        <is>
          <t>Tratamento de Sementes / Sulco</t>
        </is>
      </c>
      <c r="F3848" s="13" t="inlineStr">
        <is>
          <t>Pastagens</t>
        </is>
      </c>
      <c r="G3848" s="13" t="inlineStr">
        <is>
          <t>Cultura Autorizada na Bula</t>
        </is>
      </c>
      <c r="H3848" s="13" t="inlineStr">
        <is>
          <t>Calda TS (0,2 a 0,6 L/100kg sem.)</t>
        </is>
      </c>
      <c r="I3848" s="13" t="inlineStr">
        <is>
          <t>Não Autorizada (TS)</t>
        </is>
      </c>
      <c r="J3848" s="13" t="inlineStr">
        <is>
          <t>N/D</t>
        </is>
      </c>
    </row>
    <row r="3849" ht="22" customHeight="1">
      <c r="A3849" s="6" t="inlineStr">
        <is>
          <t>CUL-3845</t>
        </is>
      </c>
      <c r="B3849" s="5" t="n">
        <v>759</v>
      </c>
      <c r="C3849" s="7" t="inlineStr">
        <is>
          <t>Nº 14421</t>
        </is>
      </c>
      <c r="D3849" s="8" t="inlineStr">
        <is>
          <t>LEALTY FS</t>
        </is>
      </c>
      <c r="E3849" s="7" t="inlineStr">
        <is>
          <t>Tratamento de Sementes / Sulco</t>
        </is>
      </c>
      <c r="F3849" s="7" t="inlineStr">
        <is>
          <t>Trigo</t>
        </is>
      </c>
      <c r="G3849" s="7" t="inlineStr">
        <is>
          <t>Cultura Autorizada na Bula</t>
        </is>
      </c>
      <c r="H3849" s="7" t="inlineStr">
        <is>
          <t>Calda TS (0,2 a 0,6 L/100kg sem.)</t>
        </is>
      </c>
      <c r="I3849" s="7" t="inlineStr">
        <is>
          <t>Não Autorizada (TS)</t>
        </is>
      </c>
      <c r="J3849" s="7" t="inlineStr">
        <is>
          <t>N/D</t>
        </is>
      </c>
    </row>
    <row r="3850" ht="22" customHeight="1">
      <c r="A3850" s="12" t="inlineStr">
        <is>
          <t>CUL-3846</t>
        </is>
      </c>
      <c r="B3850" s="11" t="n">
        <v>760</v>
      </c>
      <c r="C3850" s="13" t="inlineStr">
        <is>
          <t>Nº 5622</t>
        </is>
      </c>
      <c r="D3850" s="14" t="inlineStr">
        <is>
          <t>FIERA SC</t>
        </is>
      </c>
      <c r="E3850" s="13" t="inlineStr">
        <is>
          <t>Pulverização Agrícola Conforme Bula</t>
        </is>
      </c>
      <c r="F3850" s="13" t="inlineStr">
        <is>
          <t>Soja</t>
        </is>
      </c>
      <c r="G3850" s="13" t="inlineStr">
        <is>
          <t>Cultura Autorizada na Bula</t>
        </is>
      </c>
      <c r="H3850" s="13" t="inlineStr">
        <is>
          <t>100 a 300 L/ha</t>
        </is>
      </c>
      <c r="I3850" s="13" t="inlineStr">
        <is>
          <t>20 a 40 L/ha</t>
        </is>
      </c>
      <c r="J3850" s="13" t="inlineStr">
        <is>
          <t>21 dias</t>
        </is>
      </c>
    </row>
    <row r="3851" ht="22" customHeight="1">
      <c r="A3851" s="6" t="inlineStr">
        <is>
          <t>CUL-3847</t>
        </is>
      </c>
      <c r="B3851" s="5" t="n">
        <v>760</v>
      </c>
      <c r="C3851" s="7" t="inlineStr">
        <is>
          <t>Nº 5622</t>
        </is>
      </c>
      <c r="D3851" s="8" t="inlineStr">
        <is>
          <t>FIERA SC</t>
        </is>
      </c>
      <c r="E3851" s="7" t="inlineStr">
        <is>
          <t>Pulverização Agrícola Conforme Bula</t>
        </is>
      </c>
      <c r="F3851" s="7" t="inlineStr">
        <is>
          <t>Milho</t>
        </is>
      </c>
      <c r="G3851" s="7" t="inlineStr">
        <is>
          <t>Cultura Autorizada na Bula</t>
        </is>
      </c>
      <c r="H3851" s="7" t="inlineStr">
        <is>
          <t>100 a 300 L/ha</t>
        </is>
      </c>
      <c r="I3851" s="7" t="inlineStr">
        <is>
          <t>20 a 40 L/ha</t>
        </is>
      </c>
      <c r="J3851" s="7" t="inlineStr">
        <is>
          <t>21 dias</t>
        </is>
      </c>
    </row>
    <row r="3852" ht="22" customHeight="1">
      <c r="A3852" s="12" t="inlineStr">
        <is>
          <t>CUL-3848</t>
        </is>
      </c>
      <c r="B3852" s="11" t="n">
        <v>760</v>
      </c>
      <c r="C3852" s="13" t="inlineStr">
        <is>
          <t>Nº 5622</t>
        </is>
      </c>
      <c r="D3852" s="14" t="inlineStr">
        <is>
          <t>FIERA SC</t>
        </is>
      </c>
      <c r="E3852" s="13" t="inlineStr">
        <is>
          <t>Pulverização Agrícola Conforme Bula</t>
        </is>
      </c>
      <c r="F3852" s="13" t="inlineStr">
        <is>
          <t>Algodão</t>
        </is>
      </c>
      <c r="G3852" s="13" t="inlineStr">
        <is>
          <t>Cultura Autorizada na Bula</t>
        </is>
      </c>
      <c r="H3852" s="13" t="inlineStr">
        <is>
          <t>100 a 300 L/ha</t>
        </is>
      </c>
      <c r="I3852" s="13" t="inlineStr">
        <is>
          <t>20 a 40 L/ha</t>
        </is>
      </c>
      <c r="J3852" s="13" t="inlineStr">
        <is>
          <t>21 dias</t>
        </is>
      </c>
    </row>
    <row r="3853" ht="22" customHeight="1">
      <c r="A3853" s="6" t="inlineStr">
        <is>
          <t>CUL-3849</t>
        </is>
      </c>
      <c r="B3853" s="5" t="n">
        <v>760</v>
      </c>
      <c r="C3853" s="7" t="inlineStr">
        <is>
          <t>Nº 5622</t>
        </is>
      </c>
      <c r="D3853" s="8" t="inlineStr">
        <is>
          <t>FIERA SC</t>
        </is>
      </c>
      <c r="E3853" s="7" t="inlineStr">
        <is>
          <t>Pulverização Agrícola Conforme Bula</t>
        </is>
      </c>
      <c r="F3853" s="7" t="inlineStr">
        <is>
          <t>Feijão</t>
        </is>
      </c>
      <c r="G3853" s="7" t="inlineStr">
        <is>
          <t>Cultura Autorizada na Bula</t>
        </is>
      </c>
      <c r="H3853" s="7" t="inlineStr">
        <is>
          <t>100 a 300 L/ha</t>
        </is>
      </c>
      <c r="I3853" s="7" t="inlineStr">
        <is>
          <t>20 a 40 L/ha</t>
        </is>
      </c>
      <c r="J3853" s="7" t="inlineStr">
        <is>
          <t>14 dias</t>
        </is>
      </c>
    </row>
    <row r="3854" ht="22" customHeight="1">
      <c r="A3854" s="12" t="inlineStr">
        <is>
          <t>CUL-3850</t>
        </is>
      </c>
      <c r="B3854" s="11" t="n">
        <v>761</v>
      </c>
      <c r="C3854" s="13" t="inlineStr">
        <is>
          <t>SIPEAGRO (UF-XXXXX)</t>
        </is>
      </c>
      <c r="D3854" s="14" t="inlineStr">
        <is>
          <t>FERTILIZANTE 00 00 60 KCL - YARA</t>
        </is>
      </c>
      <c r="E3854" s="13" t="inlineStr">
        <is>
          <t>Adubação de Solo / Foliar</t>
        </is>
      </c>
      <c r="F3854" s="13" t="inlineStr">
        <is>
          <t>Soja</t>
        </is>
      </c>
      <c r="G3854" s="13" t="inlineStr">
        <is>
          <t>Cultura Autorizada na Bula</t>
        </is>
      </c>
      <c r="H3854" s="13" t="inlineStr">
        <is>
          <t>100 a 300 L/ha</t>
        </is>
      </c>
      <c r="I3854" s="13" t="inlineStr">
        <is>
          <t>20 a 40 L/ha</t>
        </is>
      </c>
      <c r="J3854" s="13" t="inlineStr">
        <is>
          <t>Isento</t>
        </is>
      </c>
    </row>
    <row r="3855" ht="22" customHeight="1">
      <c r="A3855" s="6" t="inlineStr">
        <is>
          <t>CUL-3851</t>
        </is>
      </c>
      <c r="B3855" s="5" t="n">
        <v>761</v>
      </c>
      <c r="C3855" s="7" t="inlineStr">
        <is>
          <t>SIPEAGRO (UF-XXXXX)</t>
        </is>
      </c>
      <c r="D3855" s="8" t="inlineStr">
        <is>
          <t>FERTILIZANTE 00 00 60 KCL - YARA</t>
        </is>
      </c>
      <c r="E3855" s="7" t="inlineStr">
        <is>
          <t>Adubação de Solo / Foliar</t>
        </is>
      </c>
      <c r="F3855" s="7" t="inlineStr">
        <is>
          <t>Milho</t>
        </is>
      </c>
      <c r="G3855" s="7" t="inlineStr">
        <is>
          <t>Cultura Autorizada na Bula</t>
        </is>
      </c>
      <c r="H3855" s="7" t="inlineStr">
        <is>
          <t>100 a 300 L/ha</t>
        </is>
      </c>
      <c r="I3855" s="7" t="inlineStr">
        <is>
          <t>20 a 40 L/ha</t>
        </is>
      </c>
      <c r="J3855" s="7" t="inlineStr">
        <is>
          <t>Isento</t>
        </is>
      </c>
    </row>
    <row r="3856" ht="22" customHeight="1">
      <c r="A3856" s="12" t="inlineStr">
        <is>
          <t>CUL-3852</t>
        </is>
      </c>
      <c r="B3856" s="11" t="n">
        <v>761</v>
      </c>
      <c r="C3856" s="13" t="inlineStr">
        <is>
          <t>SIPEAGRO (UF-XXXXX)</t>
        </is>
      </c>
      <c r="D3856" s="14" t="inlineStr">
        <is>
          <t>FERTILIZANTE 00 00 60 KCL - YARA</t>
        </is>
      </c>
      <c r="E3856" s="13" t="inlineStr">
        <is>
          <t>Adubação de Solo / Foliar</t>
        </is>
      </c>
      <c r="F3856" s="13" t="inlineStr">
        <is>
          <t>Algodão</t>
        </is>
      </c>
      <c r="G3856" s="13" t="inlineStr">
        <is>
          <t>Cultura Autorizada na Bula</t>
        </is>
      </c>
      <c r="H3856" s="13" t="inlineStr">
        <is>
          <t>100 a 300 L/ha</t>
        </is>
      </c>
      <c r="I3856" s="13" t="inlineStr">
        <is>
          <t>20 a 40 L/ha</t>
        </is>
      </c>
      <c r="J3856" s="13" t="inlineStr">
        <is>
          <t>Isento</t>
        </is>
      </c>
    </row>
    <row r="3857" ht="22" customHeight="1">
      <c r="A3857" s="6" t="inlineStr">
        <is>
          <t>CUL-3853</t>
        </is>
      </c>
      <c r="B3857" s="5" t="n">
        <v>761</v>
      </c>
      <c r="C3857" s="7" t="inlineStr">
        <is>
          <t>SIPEAGRO (UF-XXXXX)</t>
        </is>
      </c>
      <c r="D3857" s="8" t="inlineStr">
        <is>
          <t>FERTILIZANTE 00 00 60 KCL - YARA</t>
        </is>
      </c>
      <c r="E3857" s="7" t="inlineStr">
        <is>
          <t>Adubação de Solo / Foliar</t>
        </is>
      </c>
      <c r="F3857" s="7" t="inlineStr">
        <is>
          <t>Cana-de-açúcar</t>
        </is>
      </c>
      <c r="G3857" s="7" t="inlineStr">
        <is>
          <t>Cultura Autorizada na Bula</t>
        </is>
      </c>
      <c r="H3857" s="7" t="inlineStr">
        <is>
          <t>100 a 300 L/ha</t>
        </is>
      </c>
      <c r="I3857" s="7" t="inlineStr">
        <is>
          <t>20 a 40 L/ha</t>
        </is>
      </c>
      <c r="J3857" s="7" t="inlineStr">
        <is>
          <t>Isento</t>
        </is>
      </c>
    </row>
    <row r="3858" ht="22" customHeight="1">
      <c r="A3858" s="12" t="inlineStr">
        <is>
          <t>CUL-3854</t>
        </is>
      </c>
      <c r="B3858" s="11" t="n">
        <v>761</v>
      </c>
      <c r="C3858" s="13" t="inlineStr">
        <is>
          <t>SIPEAGRO (UF-XXXXX)</t>
        </is>
      </c>
      <c r="D3858" s="14" t="inlineStr">
        <is>
          <t>FERTILIZANTE 00 00 60 KCL - YARA</t>
        </is>
      </c>
      <c r="E3858" s="13" t="inlineStr">
        <is>
          <t>Adubação de Solo / Foliar</t>
        </is>
      </c>
      <c r="F3858" s="13" t="inlineStr">
        <is>
          <t>Café</t>
        </is>
      </c>
      <c r="G3858" s="13" t="inlineStr">
        <is>
          <t>Cultura Autorizada na Bula</t>
        </is>
      </c>
      <c r="H3858" s="13" t="inlineStr">
        <is>
          <t>100 a 300 L/ha</t>
        </is>
      </c>
      <c r="I3858" s="13" t="inlineStr">
        <is>
          <t>20 a 40 L/ha</t>
        </is>
      </c>
      <c r="J3858" s="13" t="inlineStr">
        <is>
          <t>Isento</t>
        </is>
      </c>
    </row>
    <row r="3859" ht="22" customHeight="1">
      <c r="A3859" s="6" t="inlineStr">
        <is>
          <t>CUL-3855</t>
        </is>
      </c>
      <c r="B3859" s="5" t="n">
        <v>762</v>
      </c>
      <c r="C3859" s="7" t="inlineStr">
        <is>
          <t>Nº 40624</t>
        </is>
      </c>
      <c r="D3859" s="8" t="inlineStr">
        <is>
          <t>SHARK - CLORPIRIFOS 480 EC (PRINCIPIO ATIVO)</t>
        </is>
      </c>
      <c r="E3859" s="7" t="inlineStr">
        <is>
          <t>Uso Exclusivamente Industrial (Formulação)</t>
        </is>
      </c>
      <c r="F3859" s="7" t="inlineStr">
        <is>
          <t>Não Aplicável (Proibido uso direto na lavoura)</t>
        </is>
      </c>
      <c r="G3859" s="7" t="inlineStr">
        <is>
          <t>Insumo Industrial</t>
        </is>
      </c>
      <c r="H3859" s="7" t="inlineStr">
        <is>
          <t>N/A</t>
        </is>
      </c>
      <c r="I3859" s="7" t="inlineStr">
        <is>
          <t>N/A</t>
        </is>
      </c>
      <c r="J3859" s="7" t="inlineStr">
        <is>
          <t>N/A (Insumo Industrial)</t>
        </is>
      </c>
    </row>
    <row r="3860" ht="22" customHeight="1">
      <c r="A3860" s="12" t="inlineStr">
        <is>
          <t>CUL-3856</t>
        </is>
      </c>
      <c r="B3860" s="11" t="n">
        <v>763</v>
      </c>
      <c r="C3860" s="13" t="inlineStr">
        <is>
          <t>SIPEAGRO (UF-XXXXX)</t>
        </is>
      </c>
      <c r="D3860" s="14" t="inlineStr">
        <is>
          <t>CLORETO DE POTASSIO GRAN KCL - FERTIPAR</t>
        </is>
      </c>
      <c r="E3860" s="13" t="inlineStr">
        <is>
          <t>Adubação de Solo / Foliar</t>
        </is>
      </c>
      <c r="F3860" s="13" t="inlineStr">
        <is>
          <t>Soja</t>
        </is>
      </c>
      <c r="G3860" s="13" t="inlineStr">
        <is>
          <t>Cultura Autorizada na Bula</t>
        </is>
      </c>
      <c r="H3860" s="13" t="inlineStr">
        <is>
          <t>100 a 300 L/ha</t>
        </is>
      </c>
      <c r="I3860" s="13" t="inlineStr">
        <is>
          <t>20 a 40 L/ha</t>
        </is>
      </c>
      <c r="J3860" s="13" t="inlineStr">
        <is>
          <t>Isento</t>
        </is>
      </c>
    </row>
    <row r="3861" ht="22" customHeight="1">
      <c r="A3861" s="6" t="inlineStr">
        <is>
          <t>CUL-3857</t>
        </is>
      </c>
      <c r="B3861" s="5" t="n">
        <v>763</v>
      </c>
      <c r="C3861" s="7" t="inlineStr">
        <is>
          <t>SIPEAGRO (UF-XXXXX)</t>
        </is>
      </c>
      <c r="D3861" s="8" t="inlineStr">
        <is>
          <t>CLORETO DE POTASSIO GRAN KCL - FERTIPAR</t>
        </is>
      </c>
      <c r="E3861" s="7" t="inlineStr">
        <is>
          <t>Adubação de Solo / Foliar</t>
        </is>
      </c>
      <c r="F3861" s="7" t="inlineStr">
        <is>
          <t>Milho</t>
        </is>
      </c>
      <c r="G3861" s="7" t="inlineStr">
        <is>
          <t>Cultura Autorizada na Bula</t>
        </is>
      </c>
      <c r="H3861" s="7" t="inlineStr">
        <is>
          <t>100 a 300 L/ha</t>
        </is>
      </c>
      <c r="I3861" s="7" t="inlineStr">
        <is>
          <t>20 a 40 L/ha</t>
        </is>
      </c>
      <c r="J3861" s="7" t="inlineStr">
        <is>
          <t>Isento</t>
        </is>
      </c>
    </row>
    <row r="3862" ht="22" customHeight="1">
      <c r="A3862" s="12" t="inlineStr">
        <is>
          <t>CUL-3858</t>
        </is>
      </c>
      <c r="B3862" s="11" t="n">
        <v>763</v>
      </c>
      <c r="C3862" s="13" t="inlineStr">
        <is>
          <t>SIPEAGRO (UF-XXXXX)</t>
        </is>
      </c>
      <c r="D3862" s="14" t="inlineStr">
        <is>
          <t>CLORETO DE POTASSIO GRAN KCL - FERTIPAR</t>
        </is>
      </c>
      <c r="E3862" s="13" t="inlineStr">
        <is>
          <t>Adubação de Solo / Foliar</t>
        </is>
      </c>
      <c r="F3862" s="13" t="inlineStr">
        <is>
          <t>Algodão</t>
        </is>
      </c>
      <c r="G3862" s="13" t="inlineStr">
        <is>
          <t>Cultura Autorizada na Bula</t>
        </is>
      </c>
      <c r="H3862" s="13" t="inlineStr">
        <is>
          <t>100 a 300 L/ha</t>
        </is>
      </c>
      <c r="I3862" s="13" t="inlineStr">
        <is>
          <t>20 a 40 L/ha</t>
        </is>
      </c>
      <c r="J3862" s="13" t="inlineStr">
        <is>
          <t>Isento</t>
        </is>
      </c>
    </row>
    <row r="3863" ht="22" customHeight="1">
      <c r="A3863" s="6" t="inlineStr">
        <is>
          <t>CUL-3859</t>
        </is>
      </c>
      <c r="B3863" s="5" t="n">
        <v>763</v>
      </c>
      <c r="C3863" s="7" t="inlineStr">
        <is>
          <t>SIPEAGRO (UF-XXXXX)</t>
        </is>
      </c>
      <c r="D3863" s="8" t="inlineStr">
        <is>
          <t>CLORETO DE POTASSIO GRAN KCL - FERTIPAR</t>
        </is>
      </c>
      <c r="E3863" s="7" t="inlineStr">
        <is>
          <t>Adubação de Solo / Foliar</t>
        </is>
      </c>
      <c r="F3863" s="7" t="inlineStr">
        <is>
          <t>Cana-de-açúcar</t>
        </is>
      </c>
      <c r="G3863" s="7" t="inlineStr">
        <is>
          <t>Cultura Autorizada na Bula</t>
        </is>
      </c>
      <c r="H3863" s="7" t="inlineStr">
        <is>
          <t>100 a 300 L/ha</t>
        </is>
      </c>
      <c r="I3863" s="7" t="inlineStr">
        <is>
          <t>20 a 40 L/ha</t>
        </is>
      </c>
      <c r="J3863" s="7" t="inlineStr">
        <is>
          <t>Isento</t>
        </is>
      </c>
    </row>
    <row r="3864" ht="22" customHeight="1">
      <c r="A3864" s="12" t="inlineStr">
        <is>
          <t>CUL-3860</t>
        </is>
      </c>
      <c r="B3864" s="11" t="n">
        <v>763</v>
      </c>
      <c r="C3864" s="13" t="inlineStr">
        <is>
          <t>SIPEAGRO (UF-XXXXX)</t>
        </is>
      </c>
      <c r="D3864" s="14" t="inlineStr">
        <is>
          <t>CLORETO DE POTASSIO GRAN KCL - FERTIPAR</t>
        </is>
      </c>
      <c r="E3864" s="13" t="inlineStr">
        <is>
          <t>Adubação de Solo / Foliar</t>
        </is>
      </c>
      <c r="F3864" s="13" t="inlineStr">
        <is>
          <t>Café</t>
        </is>
      </c>
      <c r="G3864" s="13" t="inlineStr">
        <is>
          <t>Cultura Autorizada na Bula</t>
        </is>
      </c>
      <c r="H3864" s="13" t="inlineStr">
        <is>
          <t>100 a 300 L/ha</t>
        </is>
      </c>
      <c r="I3864" s="13" t="inlineStr">
        <is>
          <t>20 a 40 L/ha</t>
        </is>
      </c>
      <c r="J3864" s="13" t="inlineStr">
        <is>
          <t>Isento</t>
        </is>
      </c>
    </row>
    <row r="3865" ht="22" customHeight="1">
      <c r="A3865" s="6" t="inlineStr">
        <is>
          <t>CUL-3861</t>
        </is>
      </c>
      <c r="B3865" s="5" t="n">
        <v>764</v>
      </c>
      <c r="C3865" s="7" t="inlineStr">
        <is>
          <t>Nº 15025</t>
        </is>
      </c>
      <c r="D3865" s="8" t="inlineStr">
        <is>
          <t>PROTHIOCONAZOLE + TRIFLOXYSTROBIN</t>
        </is>
      </c>
      <c r="E3865" s="7" t="inlineStr">
        <is>
          <t>Pulverização Agrícola Conforme Bula</t>
        </is>
      </c>
      <c r="F3865" s="7" t="inlineStr">
        <is>
          <t>Soja</t>
        </is>
      </c>
      <c r="G3865" s="7" t="inlineStr">
        <is>
          <t>Cultura Autorizada na Bula</t>
        </is>
      </c>
      <c r="H3865" s="7" t="inlineStr">
        <is>
          <t>100 a 300 L/ha</t>
        </is>
      </c>
      <c r="I3865" s="7" t="inlineStr">
        <is>
          <t>20 a 40 L/ha</t>
        </is>
      </c>
      <c r="J3865" s="7" t="inlineStr">
        <is>
          <t>30 dias</t>
        </is>
      </c>
    </row>
    <row r="3866" ht="22" customHeight="1">
      <c r="A3866" s="12" t="inlineStr">
        <is>
          <t>CUL-3862</t>
        </is>
      </c>
      <c r="B3866" s="11" t="n">
        <v>764</v>
      </c>
      <c r="C3866" s="13" t="inlineStr">
        <is>
          <t>Nº 15025</t>
        </is>
      </c>
      <c r="D3866" s="14" t="inlineStr">
        <is>
          <t>PROTHIOCONAZOLE + TRIFLOXYSTROBIN</t>
        </is>
      </c>
      <c r="E3866" s="13" t="inlineStr">
        <is>
          <t>Pulverização Agrícola Conforme Bula</t>
        </is>
      </c>
      <c r="F3866" s="13" t="inlineStr">
        <is>
          <t>Algodão</t>
        </is>
      </c>
      <c r="G3866" s="13" t="inlineStr">
        <is>
          <t>Cultura Autorizada na Bula</t>
        </is>
      </c>
      <c r="H3866" s="13" t="inlineStr">
        <is>
          <t>100 a 300 L/ha</t>
        </is>
      </c>
      <c r="I3866" s="13" t="inlineStr">
        <is>
          <t>20 a 40 L/ha</t>
        </is>
      </c>
      <c r="J3866" s="13" t="inlineStr">
        <is>
          <t>30 dias</t>
        </is>
      </c>
    </row>
    <row r="3867" ht="22" customHeight="1">
      <c r="A3867" s="6" t="inlineStr">
        <is>
          <t>CUL-3863</t>
        </is>
      </c>
      <c r="B3867" s="5" t="n">
        <v>764</v>
      </c>
      <c r="C3867" s="7" t="inlineStr">
        <is>
          <t>Nº 15025</t>
        </is>
      </c>
      <c r="D3867" s="8" t="inlineStr">
        <is>
          <t>PROTHIOCONAZOLE + TRIFLOXYSTROBIN</t>
        </is>
      </c>
      <c r="E3867" s="7" t="inlineStr">
        <is>
          <t>Pulverização Agrícola Conforme Bula</t>
        </is>
      </c>
      <c r="F3867" s="7" t="inlineStr">
        <is>
          <t>Milho</t>
        </is>
      </c>
      <c r="G3867" s="7" t="inlineStr">
        <is>
          <t>Cultura Autorizada na Bula</t>
        </is>
      </c>
      <c r="H3867" s="7" t="inlineStr">
        <is>
          <t>100 a 300 L/ha</t>
        </is>
      </c>
      <c r="I3867" s="7" t="inlineStr">
        <is>
          <t>20 a 40 L/ha</t>
        </is>
      </c>
      <c r="J3867" s="7" t="inlineStr">
        <is>
          <t>42 dias</t>
        </is>
      </c>
    </row>
    <row r="3868" ht="22" customHeight="1">
      <c r="A3868" s="12" t="inlineStr">
        <is>
          <t>CUL-3864</t>
        </is>
      </c>
      <c r="B3868" s="11" t="n">
        <v>764</v>
      </c>
      <c r="C3868" s="13" t="inlineStr">
        <is>
          <t>Nº 15025</t>
        </is>
      </c>
      <c r="D3868" s="14" t="inlineStr">
        <is>
          <t>PROTHIOCONAZOLE + TRIFLOXYSTROBIN</t>
        </is>
      </c>
      <c r="E3868" s="13" t="inlineStr">
        <is>
          <t>Pulverização Agrícola Conforme Bula</t>
        </is>
      </c>
      <c r="F3868" s="13" t="inlineStr">
        <is>
          <t>Feijão</t>
        </is>
      </c>
      <c r="G3868" s="13" t="inlineStr">
        <is>
          <t>Cultura Autorizada na Bula</t>
        </is>
      </c>
      <c r="H3868" s="13" t="inlineStr">
        <is>
          <t>100 a 300 L/ha</t>
        </is>
      </c>
      <c r="I3868" s="13" t="inlineStr">
        <is>
          <t>20 a 40 L/ha</t>
        </is>
      </c>
      <c r="J3868" s="13" t="inlineStr">
        <is>
          <t>15 dias</t>
        </is>
      </c>
    </row>
    <row r="3869" ht="22" customHeight="1">
      <c r="A3869" s="6" t="inlineStr">
        <is>
          <t>CUL-3865</t>
        </is>
      </c>
      <c r="B3869" s="5" t="n">
        <v>764</v>
      </c>
      <c r="C3869" s="7" t="inlineStr">
        <is>
          <t>Nº 15025</t>
        </is>
      </c>
      <c r="D3869" s="8" t="inlineStr">
        <is>
          <t>PROTHIOCONAZOLE + TRIFLOXYSTROBIN</t>
        </is>
      </c>
      <c r="E3869" s="7" t="inlineStr">
        <is>
          <t>Pulverização Agrícola Conforme Bula</t>
        </is>
      </c>
      <c r="F3869" s="7" t="inlineStr">
        <is>
          <t>Trigo</t>
        </is>
      </c>
      <c r="G3869" s="7" t="inlineStr">
        <is>
          <t>Cultura Autorizada na Bula</t>
        </is>
      </c>
      <c r="H3869" s="7" t="inlineStr">
        <is>
          <t>100 a 300 L/ha</t>
        </is>
      </c>
      <c r="I3869" s="7" t="inlineStr">
        <is>
          <t>20 a 40 L/ha</t>
        </is>
      </c>
      <c r="J3869" s="7" t="inlineStr">
        <is>
          <t>30 dias</t>
        </is>
      </c>
    </row>
    <row r="3870" ht="22" customHeight="1">
      <c r="A3870" s="12" t="inlineStr">
        <is>
          <t>CUL-3866</t>
        </is>
      </c>
      <c r="B3870" s="11" t="n">
        <v>765</v>
      </c>
      <c r="C3870" s="13" t="inlineStr">
        <is>
          <t>Nº 15025</t>
        </is>
      </c>
      <c r="D3870" s="14" t="inlineStr">
        <is>
          <t>PROTHIOCONAZOLE + TRIFLOXYSTROBIN</t>
        </is>
      </c>
      <c r="E3870" s="13" t="inlineStr">
        <is>
          <t>Pulverização Agrícola Conforme Bula</t>
        </is>
      </c>
      <c r="F3870" s="13" t="inlineStr">
        <is>
          <t>Soja</t>
        </is>
      </c>
      <c r="G3870" s="13" t="inlineStr">
        <is>
          <t>Cultura Autorizada na Bula</t>
        </is>
      </c>
      <c r="H3870" s="13" t="inlineStr">
        <is>
          <t>100 a 300 L/ha</t>
        </is>
      </c>
      <c r="I3870" s="13" t="inlineStr">
        <is>
          <t>20 a 40 L/ha</t>
        </is>
      </c>
      <c r="J3870" s="13" t="inlineStr">
        <is>
          <t>30 dias</t>
        </is>
      </c>
    </row>
    <row r="3871" ht="22" customHeight="1">
      <c r="A3871" s="6" t="inlineStr">
        <is>
          <t>CUL-3867</t>
        </is>
      </c>
      <c r="B3871" s="5" t="n">
        <v>765</v>
      </c>
      <c r="C3871" s="7" t="inlineStr">
        <is>
          <t>Nº 15025</t>
        </is>
      </c>
      <c r="D3871" s="8" t="inlineStr">
        <is>
          <t>PROTHIOCONAZOLE + TRIFLOXYSTROBIN</t>
        </is>
      </c>
      <c r="E3871" s="7" t="inlineStr">
        <is>
          <t>Pulverização Agrícola Conforme Bula</t>
        </is>
      </c>
      <c r="F3871" s="7" t="inlineStr">
        <is>
          <t>Algodão</t>
        </is>
      </c>
      <c r="G3871" s="7" t="inlineStr">
        <is>
          <t>Cultura Autorizada na Bula</t>
        </is>
      </c>
      <c r="H3871" s="7" t="inlineStr">
        <is>
          <t>100 a 300 L/ha</t>
        </is>
      </c>
      <c r="I3871" s="7" t="inlineStr">
        <is>
          <t>20 a 40 L/ha</t>
        </is>
      </c>
      <c r="J3871" s="7" t="inlineStr">
        <is>
          <t>30 dias</t>
        </is>
      </c>
    </row>
    <row r="3872" ht="22" customHeight="1">
      <c r="A3872" s="12" t="inlineStr">
        <is>
          <t>CUL-3868</t>
        </is>
      </c>
      <c r="B3872" s="11" t="n">
        <v>765</v>
      </c>
      <c r="C3872" s="13" t="inlineStr">
        <is>
          <t>Nº 15025</t>
        </is>
      </c>
      <c r="D3872" s="14" t="inlineStr">
        <is>
          <t>PROTHIOCONAZOLE + TRIFLOXYSTROBIN</t>
        </is>
      </c>
      <c r="E3872" s="13" t="inlineStr">
        <is>
          <t>Pulverização Agrícola Conforme Bula</t>
        </is>
      </c>
      <c r="F3872" s="13" t="inlineStr">
        <is>
          <t>Milho</t>
        </is>
      </c>
      <c r="G3872" s="13" t="inlineStr">
        <is>
          <t>Cultura Autorizada na Bula</t>
        </is>
      </c>
      <c r="H3872" s="13" t="inlineStr">
        <is>
          <t>100 a 300 L/ha</t>
        </is>
      </c>
      <c r="I3872" s="13" t="inlineStr">
        <is>
          <t>20 a 40 L/ha</t>
        </is>
      </c>
      <c r="J3872" s="13" t="inlineStr">
        <is>
          <t>42 dias</t>
        </is>
      </c>
    </row>
    <row r="3873" ht="22" customHeight="1">
      <c r="A3873" s="6" t="inlineStr">
        <is>
          <t>CUL-3869</t>
        </is>
      </c>
      <c r="B3873" s="5" t="n">
        <v>765</v>
      </c>
      <c r="C3873" s="7" t="inlineStr">
        <is>
          <t>Nº 15025</t>
        </is>
      </c>
      <c r="D3873" s="8" t="inlineStr">
        <is>
          <t>PROTHIOCONAZOLE + TRIFLOXYSTROBIN</t>
        </is>
      </c>
      <c r="E3873" s="7" t="inlineStr">
        <is>
          <t>Pulverização Agrícola Conforme Bula</t>
        </is>
      </c>
      <c r="F3873" s="7" t="inlineStr">
        <is>
          <t>Feijão</t>
        </is>
      </c>
      <c r="G3873" s="7" t="inlineStr">
        <is>
          <t>Cultura Autorizada na Bula</t>
        </is>
      </c>
      <c r="H3873" s="7" t="inlineStr">
        <is>
          <t>100 a 300 L/ha</t>
        </is>
      </c>
      <c r="I3873" s="7" t="inlineStr">
        <is>
          <t>20 a 40 L/ha</t>
        </is>
      </c>
      <c r="J3873" s="7" t="inlineStr">
        <is>
          <t>15 dias</t>
        </is>
      </c>
    </row>
    <row r="3874" ht="22" customHeight="1">
      <c r="A3874" s="12" t="inlineStr">
        <is>
          <t>CUL-3870</t>
        </is>
      </c>
      <c r="B3874" s="11" t="n">
        <v>765</v>
      </c>
      <c r="C3874" s="13" t="inlineStr">
        <is>
          <t>Nº 15025</t>
        </is>
      </c>
      <c r="D3874" s="14" t="inlineStr">
        <is>
          <t>PROTHIOCONAZOLE + TRIFLOXYSTROBIN</t>
        </is>
      </c>
      <c r="E3874" s="13" t="inlineStr">
        <is>
          <t>Pulverização Agrícola Conforme Bula</t>
        </is>
      </c>
      <c r="F3874" s="13" t="inlineStr">
        <is>
          <t>Trigo</t>
        </is>
      </c>
      <c r="G3874" s="13" t="inlineStr">
        <is>
          <t>Cultura Autorizada na Bula</t>
        </is>
      </c>
      <c r="H3874" s="13" t="inlineStr">
        <is>
          <t>100 a 300 L/ha</t>
        </is>
      </c>
      <c r="I3874" s="13" t="inlineStr">
        <is>
          <t>20 a 40 L/ha</t>
        </is>
      </c>
      <c r="J3874" s="13" t="inlineStr">
        <is>
          <t>30 dias</t>
        </is>
      </c>
    </row>
    <row r="3875" ht="22" customHeight="1">
      <c r="A3875" s="6" t="inlineStr">
        <is>
          <t>CUL-3871</t>
        </is>
      </c>
      <c r="B3875" s="5" t="n">
        <v>766</v>
      </c>
      <c r="C3875" s="7" t="inlineStr">
        <is>
          <t>Nº 15025</t>
        </is>
      </c>
      <c r="D3875" s="8" t="inlineStr">
        <is>
          <t>PROTHIOCONAZOLE + TRIFLOXYSTROBIN</t>
        </is>
      </c>
      <c r="E3875" s="7" t="inlineStr">
        <is>
          <t>Pulverização Agrícola Conforme Bula</t>
        </is>
      </c>
      <c r="F3875" s="7" t="inlineStr">
        <is>
          <t>Soja</t>
        </is>
      </c>
      <c r="G3875" s="7" t="inlineStr">
        <is>
          <t>Cultura Autorizada na Bula</t>
        </is>
      </c>
      <c r="H3875" s="7" t="inlineStr">
        <is>
          <t>100 a 300 L/ha</t>
        </is>
      </c>
      <c r="I3875" s="7" t="inlineStr">
        <is>
          <t>20 a 40 L/ha</t>
        </is>
      </c>
      <c r="J3875" s="7" t="inlineStr">
        <is>
          <t>30 dias</t>
        </is>
      </c>
    </row>
    <row r="3876" ht="22" customHeight="1">
      <c r="A3876" s="12" t="inlineStr">
        <is>
          <t>CUL-3872</t>
        </is>
      </c>
      <c r="B3876" s="11" t="n">
        <v>766</v>
      </c>
      <c r="C3876" s="13" t="inlineStr">
        <is>
          <t>Nº 15025</t>
        </is>
      </c>
      <c r="D3876" s="14" t="inlineStr">
        <is>
          <t>PROTHIOCONAZOLE + TRIFLOXYSTROBIN</t>
        </is>
      </c>
      <c r="E3876" s="13" t="inlineStr">
        <is>
          <t>Pulverização Agrícola Conforme Bula</t>
        </is>
      </c>
      <c r="F3876" s="13" t="inlineStr">
        <is>
          <t>Algodão</t>
        </is>
      </c>
      <c r="G3876" s="13" t="inlineStr">
        <is>
          <t>Cultura Autorizada na Bula</t>
        </is>
      </c>
      <c r="H3876" s="13" t="inlineStr">
        <is>
          <t>100 a 300 L/ha</t>
        </is>
      </c>
      <c r="I3876" s="13" t="inlineStr">
        <is>
          <t>20 a 40 L/ha</t>
        </is>
      </c>
      <c r="J3876" s="13" t="inlineStr">
        <is>
          <t>30 dias</t>
        </is>
      </c>
    </row>
    <row r="3877" ht="22" customHeight="1">
      <c r="A3877" s="6" t="inlineStr">
        <is>
          <t>CUL-3873</t>
        </is>
      </c>
      <c r="B3877" s="5" t="n">
        <v>766</v>
      </c>
      <c r="C3877" s="7" t="inlineStr">
        <is>
          <t>Nº 15025</t>
        </is>
      </c>
      <c r="D3877" s="8" t="inlineStr">
        <is>
          <t>PROTHIOCONAZOLE + TRIFLOXYSTROBIN</t>
        </is>
      </c>
      <c r="E3877" s="7" t="inlineStr">
        <is>
          <t>Pulverização Agrícola Conforme Bula</t>
        </is>
      </c>
      <c r="F3877" s="7" t="inlineStr">
        <is>
          <t>Milho</t>
        </is>
      </c>
      <c r="G3877" s="7" t="inlineStr">
        <is>
          <t>Cultura Autorizada na Bula</t>
        </is>
      </c>
      <c r="H3877" s="7" t="inlineStr">
        <is>
          <t>100 a 300 L/ha</t>
        </is>
      </c>
      <c r="I3877" s="7" t="inlineStr">
        <is>
          <t>20 a 40 L/ha</t>
        </is>
      </c>
      <c r="J3877" s="7" t="inlineStr">
        <is>
          <t>42 dias</t>
        </is>
      </c>
    </row>
    <row r="3878" ht="22" customHeight="1">
      <c r="A3878" s="12" t="inlineStr">
        <is>
          <t>CUL-3874</t>
        </is>
      </c>
      <c r="B3878" s="11" t="n">
        <v>766</v>
      </c>
      <c r="C3878" s="13" t="inlineStr">
        <is>
          <t>Nº 15025</t>
        </is>
      </c>
      <c r="D3878" s="14" t="inlineStr">
        <is>
          <t>PROTHIOCONAZOLE + TRIFLOXYSTROBIN</t>
        </is>
      </c>
      <c r="E3878" s="13" t="inlineStr">
        <is>
          <t>Pulverização Agrícola Conforme Bula</t>
        </is>
      </c>
      <c r="F3878" s="13" t="inlineStr">
        <is>
          <t>Feijão</t>
        </is>
      </c>
      <c r="G3878" s="13" t="inlineStr">
        <is>
          <t>Cultura Autorizada na Bula</t>
        </is>
      </c>
      <c r="H3878" s="13" t="inlineStr">
        <is>
          <t>100 a 300 L/ha</t>
        </is>
      </c>
      <c r="I3878" s="13" t="inlineStr">
        <is>
          <t>20 a 40 L/ha</t>
        </is>
      </c>
      <c r="J3878" s="13" t="inlineStr">
        <is>
          <t>15 dias</t>
        </is>
      </c>
    </row>
    <row r="3879" ht="22" customHeight="1">
      <c r="A3879" s="6" t="inlineStr">
        <is>
          <t>CUL-3875</t>
        </is>
      </c>
      <c r="B3879" s="5" t="n">
        <v>766</v>
      </c>
      <c r="C3879" s="7" t="inlineStr">
        <is>
          <t>Nº 15025</t>
        </is>
      </c>
      <c r="D3879" s="8" t="inlineStr">
        <is>
          <t>PROTHIOCONAZOLE + TRIFLOXYSTROBIN</t>
        </is>
      </c>
      <c r="E3879" s="7" t="inlineStr">
        <is>
          <t>Pulverização Agrícola Conforme Bula</t>
        </is>
      </c>
      <c r="F3879" s="7" t="inlineStr">
        <is>
          <t>Trigo</t>
        </is>
      </c>
      <c r="G3879" s="7" t="inlineStr">
        <is>
          <t>Cultura Autorizada na Bula</t>
        </is>
      </c>
      <c r="H3879" s="7" t="inlineStr">
        <is>
          <t>100 a 300 L/ha</t>
        </is>
      </c>
      <c r="I3879" s="7" t="inlineStr">
        <is>
          <t>20 a 40 L/ha</t>
        </is>
      </c>
      <c r="J3879" s="7" t="inlineStr">
        <is>
          <t>30 dias</t>
        </is>
      </c>
    </row>
    <row r="3880" ht="22" customHeight="1">
      <c r="A3880" s="12" t="inlineStr">
        <is>
          <t>CUL-3876</t>
        </is>
      </c>
      <c r="B3880" s="11" t="n">
        <v>767</v>
      </c>
      <c r="C3880" s="13" t="inlineStr">
        <is>
          <t>Nº 15025</t>
        </is>
      </c>
      <c r="D3880" s="14" t="inlineStr">
        <is>
          <t>PROTHIOCONAZOLE + TRIFLOXYSTROBIN</t>
        </is>
      </c>
      <c r="E3880" s="13" t="inlineStr">
        <is>
          <t>Pulverização Agrícola Conforme Bula</t>
        </is>
      </c>
      <c r="F3880" s="13" t="inlineStr">
        <is>
          <t>Soja</t>
        </is>
      </c>
      <c r="G3880" s="13" t="inlineStr">
        <is>
          <t>Cultura Autorizada na Bula</t>
        </is>
      </c>
      <c r="H3880" s="13" t="inlineStr">
        <is>
          <t>100 a 300 L/ha</t>
        </is>
      </c>
      <c r="I3880" s="13" t="inlineStr">
        <is>
          <t>20 a 40 L/ha</t>
        </is>
      </c>
      <c r="J3880" s="13" t="inlineStr">
        <is>
          <t>30 dias</t>
        </is>
      </c>
    </row>
    <row r="3881" ht="22" customHeight="1">
      <c r="A3881" s="6" t="inlineStr">
        <is>
          <t>CUL-3877</t>
        </is>
      </c>
      <c r="B3881" s="5" t="n">
        <v>767</v>
      </c>
      <c r="C3881" s="7" t="inlineStr">
        <is>
          <t>Nº 15025</t>
        </is>
      </c>
      <c r="D3881" s="8" t="inlineStr">
        <is>
          <t>PROTHIOCONAZOLE + TRIFLOXYSTROBIN</t>
        </is>
      </c>
      <c r="E3881" s="7" t="inlineStr">
        <is>
          <t>Pulverização Agrícola Conforme Bula</t>
        </is>
      </c>
      <c r="F3881" s="7" t="inlineStr">
        <is>
          <t>Algodão</t>
        </is>
      </c>
      <c r="G3881" s="7" t="inlineStr">
        <is>
          <t>Cultura Autorizada na Bula</t>
        </is>
      </c>
      <c r="H3881" s="7" t="inlineStr">
        <is>
          <t>100 a 300 L/ha</t>
        </is>
      </c>
      <c r="I3881" s="7" t="inlineStr">
        <is>
          <t>20 a 40 L/ha</t>
        </is>
      </c>
      <c r="J3881" s="7" t="inlineStr">
        <is>
          <t>30 dias</t>
        </is>
      </c>
    </row>
    <row r="3882" ht="22" customHeight="1">
      <c r="A3882" s="12" t="inlineStr">
        <is>
          <t>CUL-3878</t>
        </is>
      </c>
      <c r="B3882" s="11" t="n">
        <v>767</v>
      </c>
      <c r="C3882" s="13" t="inlineStr">
        <is>
          <t>Nº 15025</t>
        </is>
      </c>
      <c r="D3882" s="14" t="inlineStr">
        <is>
          <t>PROTHIOCONAZOLE + TRIFLOXYSTROBIN</t>
        </is>
      </c>
      <c r="E3882" s="13" t="inlineStr">
        <is>
          <t>Pulverização Agrícola Conforme Bula</t>
        </is>
      </c>
      <c r="F3882" s="13" t="inlineStr">
        <is>
          <t>Milho</t>
        </is>
      </c>
      <c r="G3882" s="13" t="inlineStr">
        <is>
          <t>Cultura Autorizada na Bula</t>
        </is>
      </c>
      <c r="H3882" s="13" t="inlineStr">
        <is>
          <t>100 a 300 L/ha</t>
        </is>
      </c>
      <c r="I3882" s="13" t="inlineStr">
        <is>
          <t>20 a 40 L/ha</t>
        </is>
      </c>
      <c r="J3882" s="13" t="inlineStr">
        <is>
          <t>42 dias</t>
        </is>
      </c>
    </row>
    <row r="3883" ht="22" customHeight="1">
      <c r="A3883" s="6" t="inlineStr">
        <is>
          <t>CUL-3879</t>
        </is>
      </c>
      <c r="B3883" s="5" t="n">
        <v>767</v>
      </c>
      <c r="C3883" s="7" t="inlineStr">
        <is>
          <t>Nº 15025</t>
        </is>
      </c>
      <c r="D3883" s="8" t="inlineStr">
        <is>
          <t>PROTHIOCONAZOLE + TRIFLOXYSTROBIN</t>
        </is>
      </c>
      <c r="E3883" s="7" t="inlineStr">
        <is>
          <t>Pulverização Agrícola Conforme Bula</t>
        </is>
      </c>
      <c r="F3883" s="7" t="inlineStr">
        <is>
          <t>Feijão</t>
        </is>
      </c>
      <c r="G3883" s="7" t="inlineStr">
        <is>
          <t>Cultura Autorizada na Bula</t>
        </is>
      </c>
      <c r="H3883" s="7" t="inlineStr">
        <is>
          <t>100 a 300 L/ha</t>
        </is>
      </c>
      <c r="I3883" s="7" t="inlineStr">
        <is>
          <t>20 a 40 L/ha</t>
        </is>
      </c>
      <c r="J3883" s="7" t="inlineStr">
        <is>
          <t>15 dias</t>
        </is>
      </c>
    </row>
    <row r="3884" ht="22" customHeight="1">
      <c r="A3884" s="12" t="inlineStr">
        <is>
          <t>CUL-3880</t>
        </is>
      </c>
      <c r="B3884" s="11" t="n">
        <v>767</v>
      </c>
      <c r="C3884" s="13" t="inlineStr">
        <is>
          <t>Nº 15025</t>
        </is>
      </c>
      <c r="D3884" s="14" t="inlineStr">
        <is>
          <t>PROTHIOCONAZOLE + TRIFLOXYSTROBIN</t>
        </is>
      </c>
      <c r="E3884" s="13" t="inlineStr">
        <is>
          <t>Pulverização Agrícola Conforme Bula</t>
        </is>
      </c>
      <c r="F3884" s="13" t="inlineStr">
        <is>
          <t>Trigo</t>
        </is>
      </c>
      <c r="G3884" s="13" t="inlineStr">
        <is>
          <t>Cultura Autorizada na Bula</t>
        </is>
      </c>
      <c r="H3884" s="13" t="inlineStr">
        <is>
          <t>100 a 300 L/ha</t>
        </is>
      </c>
      <c r="I3884" s="13" t="inlineStr">
        <is>
          <t>20 a 40 L/ha</t>
        </is>
      </c>
      <c r="J3884" s="13" t="inlineStr">
        <is>
          <t>30 dias</t>
        </is>
      </c>
    </row>
    <row r="3885" ht="22" customHeight="1">
      <c r="A3885" s="6" t="inlineStr">
        <is>
          <t>CUL-3881</t>
        </is>
      </c>
      <c r="B3885" s="5" t="n">
        <v>768</v>
      </c>
      <c r="C3885" s="7" t="inlineStr">
        <is>
          <t>Nº 15623</t>
        </is>
      </c>
      <c r="D3885" s="8" t="inlineStr">
        <is>
          <t>FLUMIOXAZINA 500 (PRINCIPIO ATIVO)</t>
        </is>
      </c>
      <c r="E3885" s="7" t="inlineStr">
        <is>
          <t>Uso Exclusivamente Industrial (Formulação)</t>
        </is>
      </c>
      <c r="F3885" s="7" t="inlineStr">
        <is>
          <t>Não Aplicável (Proibido uso direto na lavoura)</t>
        </is>
      </c>
      <c r="G3885" s="7" t="inlineStr">
        <is>
          <t>Insumo Industrial</t>
        </is>
      </c>
      <c r="H3885" s="7" t="inlineStr">
        <is>
          <t>N/A</t>
        </is>
      </c>
      <c r="I3885" s="7" t="inlineStr">
        <is>
          <t>N/A</t>
        </is>
      </c>
      <c r="J3885" s="7" t="inlineStr">
        <is>
          <t>N/A (Insumo Industrial)</t>
        </is>
      </c>
    </row>
    <row r="3886" ht="22" customHeight="1">
      <c r="A3886" s="12" t="inlineStr">
        <is>
          <t>CUL-3882</t>
        </is>
      </c>
      <c r="B3886" s="11" t="n">
        <v>769</v>
      </c>
      <c r="C3886" s="13" t="inlineStr">
        <is>
          <t>Nº 2520</t>
        </is>
      </c>
      <c r="D3886" s="14" t="inlineStr">
        <is>
          <t>SURVEY 250 FS</t>
        </is>
      </c>
      <c r="E3886" s="13" t="inlineStr">
        <is>
          <t>Tratamento de Sementes / Sulco</t>
        </is>
      </c>
      <c r="F3886" s="13" t="inlineStr">
        <is>
          <t>Soja (Trat. Sementes / Sulco)</t>
        </is>
      </c>
      <c r="G3886" s="13" t="inlineStr">
        <is>
          <t>Cultura Autorizada na Bula</t>
        </is>
      </c>
      <c r="H3886" s="13" t="inlineStr">
        <is>
          <t>Calda TS (0,2 a 0,6 L/100kg sem.)</t>
        </is>
      </c>
      <c r="I3886" s="13" t="inlineStr">
        <is>
          <t>Não Autorizada (TS)</t>
        </is>
      </c>
      <c r="J3886" s="13" t="inlineStr">
        <is>
          <t>N/D</t>
        </is>
      </c>
    </row>
    <row r="3887" ht="22" customHeight="1">
      <c r="A3887" s="6" t="inlineStr">
        <is>
          <t>CUL-3883</t>
        </is>
      </c>
      <c r="B3887" s="5" t="n">
        <v>769</v>
      </c>
      <c r="C3887" s="7" t="inlineStr">
        <is>
          <t>Nº 2520</t>
        </is>
      </c>
      <c r="D3887" s="8" t="inlineStr">
        <is>
          <t>SURVEY 250 FS</t>
        </is>
      </c>
      <c r="E3887" s="7" t="inlineStr">
        <is>
          <t>Tratamento de Sementes / Sulco</t>
        </is>
      </c>
      <c r="F3887" s="7" t="inlineStr">
        <is>
          <t>Milho (Trat. Sementes)</t>
        </is>
      </c>
      <c r="G3887" s="7" t="inlineStr">
        <is>
          <t>Cultura Autorizada na Bula</t>
        </is>
      </c>
      <c r="H3887" s="7" t="inlineStr">
        <is>
          <t>Calda TS (0,2 a 0,6 L/100kg sem.)</t>
        </is>
      </c>
      <c r="I3887" s="7" t="inlineStr">
        <is>
          <t>Não Autorizada (TS)</t>
        </is>
      </c>
      <c r="J3887" s="7" t="inlineStr">
        <is>
          <t>N/D</t>
        </is>
      </c>
    </row>
    <row r="3888" ht="22" customHeight="1">
      <c r="A3888" s="12" t="inlineStr">
        <is>
          <t>CUL-3884</t>
        </is>
      </c>
      <c r="B3888" s="11" t="n">
        <v>769</v>
      </c>
      <c r="C3888" s="13" t="inlineStr">
        <is>
          <t>Nº 2520</t>
        </is>
      </c>
      <c r="D3888" s="14" t="inlineStr">
        <is>
          <t>SURVEY 250 FS</t>
        </is>
      </c>
      <c r="E3888" s="13" t="inlineStr">
        <is>
          <t>Tratamento de Sementes / Sulco</t>
        </is>
      </c>
      <c r="F3888" s="13" t="inlineStr">
        <is>
          <t>Algodão</t>
        </is>
      </c>
      <c r="G3888" s="13" t="inlineStr">
        <is>
          <t>Cultura Autorizada na Bula</t>
        </is>
      </c>
      <c r="H3888" s="13" t="inlineStr">
        <is>
          <t>Calda TS (0,2 a 0,6 L/100kg sem.)</t>
        </is>
      </c>
      <c r="I3888" s="13" t="inlineStr">
        <is>
          <t>Não Autorizada (TS)</t>
        </is>
      </c>
      <c r="J3888" s="13" t="inlineStr">
        <is>
          <t>N/D</t>
        </is>
      </c>
    </row>
    <row r="3889" ht="22" customHeight="1">
      <c r="A3889" s="6" t="inlineStr">
        <is>
          <t>CUL-3885</t>
        </is>
      </c>
      <c r="B3889" s="5" t="n">
        <v>769</v>
      </c>
      <c r="C3889" s="7" t="inlineStr">
        <is>
          <t>Nº 2520</t>
        </is>
      </c>
      <c r="D3889" s="8" t="inlineStr">
        <is>
          <t>SURVEY 250 FS</t>
        </is>
      </c>
      <c r="E3889" s="7" t="inlineStr">
        <is>
          <t>Tratamento de Sementes / Sulco</t>
        </is>
      </c>
      <c r="F3889" s="7" t="inlineStr">
        <is>
          <t>Cana-de-açúcar (Sulco)</t>
        </is>
      </c>
      <c r="G3889" s="7" t="inlineStr">
        <is>
          <t>Cultura Autorizada na Bula</t>
        </is>
      </c>
      <c r="H3889" s="7" t="inlineStr">
        <is>
          <t>Calda TS (0,2 a 0,6 L/100kg sem.)</t>
        </is>
      </c>
      <c r="I3889" s="7" t="inlineStr">
        <is>
          <t>Não Autorizada (TS)</t>
        </is>
      </c>
      <c r="J3889" s="7" t="inlineStr">
        <is>
          <t>N/D</t>
        </is>
      </c>
    </row>
    <row r="3890" ht="22" customHeight="1">
      <c r="A3890" s="12" t="inlineStr">
        <is>
          <t>CUL-3886</t>
        </is>
      </c>
      <c r="B3890" s="11" t="n">
        <v>769</v>
      </c>
      <c r="C3890" s="13" t="inlineStr">
        <is>
          <t>Nº 2520</t>
        </is>
      </c>
      <c r="D3890" s="14" t="inlineStr">
        <is>
          <t>SURVEY 250 FS</t>
        </is>
      </c>
      <c r="E3890" s="13" t="inlineStr">
        <is>
          <t>Tratamento de Sementes / Sulco</t>
        </is>
      </c>
      <c r="F3890" s="13" t="inlineStr">
        <is>
          <t>Arroz</t>
        </is>
      </c>
      <c r="G3890" s="13" t="inlineStr">
        <is>
          <t>Cultura Autorizada na Bula</t>
        </is>
      </c>
      <c r="H3890" s="13" t="inlineStr">
        <is>
          <t>Calda TS (0,2 a 0,6 L/100kg sem.)</t>
        </is>
      </c>
      <c r="I3890" s="13" t="inlineStr">
        <is>
          <t>Não Autorizada (TS)</t>
        </is>
      </c>
      <c r="J3890" s="13" t="inlineStr">
        <is>
          <t>N/D</t>
        </is>
      </c>
    </row>
    <row r="3891" ht="22" customHeight="1">
      <c r="A3891" s="6" t="inlineStr">
        <is>
          <t>CUL-3887</t>
        </is>
      </c>
      <c r="B3891" s="5" t="n">
        <v>769</v>
      </c>
      <c r="C3891" s="7" t="inlineStr">
        <is>
          <t>Nº 2520</t>
        </is>
      </c>
      <c r="D3891" s="8" t="inlineStr">
        <is>
          <t>SURVEY 250 FS</t>
        </is>
      </c>
      <c r="E3891" s="7" t="inlineStr">
        <is>
          <t>Tratamento de Sementes / Sulco</t>
        </is>
      </c>
      <c r="F3891" s="7" t="inlineStr">
        <is>
          <t>Feijão</t>
        </is>
      </c>
      <c r="G3891" s="7" t="inlineStr">
        <is>
          <t>Cultura Autorizada na Bula</t>
        </is>
      </c>
      <c r="H3891" s="7" t="inlineStr">
        <is>
          <t>Calda TS (0,2 a 0,6 L/100kg sem.)</t>
        </is>
      </c>
      <c r="I3891" s="7" t="inlineStr">
        <is>
          <t>Não Autorizada (TS)</t>
        </is>
      </c>
      <c r="J3891" s="7" t="inlineStr">
        <is>
          <t>N/D</t>
        </is>
      </c>
    </row>
    <row r="3892" ht="22" customHeight="1">
      <c r="A3892" s="12" t="inlineStr">
        <is>
          <t>CUL-3888</t>
        </is>
      </c>
      <c r="B3892" s="11" t="n">
        <v>769</v>
      </c>
      <c r="C3892" s="13" t="inlineStr">
        <is>
          <t>Nº 2520</t>
        </is>
      </c>
      <c r="D3892" s="14" t="inlineStr">
        <is>
          <t>SURVEY 250 FS</t>
        </is>
      </c>
      <c r="E3892" s="13" t="inlineStr">
        <is>
          <t>Tratamento de Sementes / Sulco</t>
        </is>
      </c>
      <c r="F3892" s="13" t="inlineStr">
        <is>
          <t>Pastagens</t>
        </is>
      </c>
      <c r="G3892" s="13" t="inlineStr">
        <is>
          <t>Cultura Autorizada na Bula</t>
        </is>
      </c>
      <c r="H3892" s="13" t="inlineStr">
        <is>
          <t>Calda TS (0,2 a 0,6 L/100kg sem.)</t>
        </is>
      </c>
      <c r="I3892" s="13" t="inlineStr">
        <is>
          <t>Não Autorizada (TS)</t>
        </is>
      </c>
      <c r="J3892" s="13" t="inlineStr">
        <is>
          <t>N/D</t>
        </is>
      </c>
    </row>
    <row r="3893" ht="22" customHeight="1">
      <c r="A3893" s="6" t="inlineStr">
        <is>
          <t>CUL-3889</t>
        </is>
      </c>
      <c r="B3893" s="5" t="n">
        <v>769</v>
      </c>
      <c r="C3893" s="7" t="inlineStr">
        <is>
          <t>Nº 2520</t>
        </is>
      </c>
      <c r="D3893" s="8" t="inlineStr">
        <is>
          <t>SURVEY 250 FS</t>
        </is>
      </c>
      <c r="E3893" s="7" t="inlineStr">
        <is>
          <t>Tratamento de Sementes / Sulco</t>
        </is>
      </c>
      <c r="F3893" s="7" t="inlineStr">
        <is>
          <t>Trigo</t>
        </is>
      </c>
      <c r="G3893" s="7" t="inlineStr">
        <is>
          <t>Cultura Autorizada na Bula</t>
        </is>
      </c>
      <c r="H3893" s="7" t="inlineStr">
        <is>
          <t>Calda TS (0,2 a 0,6 L/100kg sem.)</t>
        </is>
      </c>
      <c r="I3893" s="7" t="inlineStr">
        <is>
          <t>Não Autorizada (TS)</t>
        </is>
      </c>
      <c r="J3893" s="7" t="inlineStr">
        <is>
          <t>N/D</t>
        </is>
      </c>
    </row>
    <row r="3894" ht="22" customHeight="1">
      <c r="A3894" s="12" t="inlineStr">
        <is>
          <t>CUL-3890</t>
        </is>
      </c>
      <c r="B3894" s="11" t="n">
        <v>770</v>
      </c>
      <c r="C3894" s="13" t="inlineStr">
        <is>
          <t>SIPEAGRO (UF-XXXXX)</t>
        </is>
      </c>
      <c r="D3894" s="14" t="inlineStr">
        <is>
          <t>ADUBO SUPER TRIPLO 00-46-00 FERT. MIN - IMPACTPVA</t>
        </is>
      </c>
      <c r="E3894" s="13" t="inlineStr">
        <is>
          <t>Adubação de Solo / Foliar</t>
        </is>
      </c>
      <c r="F3894" s="13" t="inlineStr">
        <is>
          <t>Soja</t>
        </is>
      </c>
      <c r="G3894" s="13" t="inlineStr">
        <is>
          <t>Cultura Autorizada na Bula</t>
        </is>
      </c>
      <c r="H3894" s="13" t="inlineStr">
        <is>
          <t>100 a 300 L/ha</t>
        </is>
      </c>
      <c r="I3894" s="13" t="inlineStr">
        <is>
          <t>20 a 40 L/ha</t>
        </is>
      </c>
      <c r="J3894" s="13" t="inlineStr">
        <is>
          <t>Isento</t>
        </is>
      </c>
    </row>
    <row r="3895" ht="22" customHeight="1">
      <c r="A3895" s="6" t="inlineStr">
        <is>
          <t>CUL-3891</t>
        </is>
      </c>
      <c r="B3895" s="5" t="n">
        <v>770</v>
      </c>
      <c r="C3895" s="7" t="inlineStr">
        <is>
          <t>SIPEAGRO (UF-XXXXX)</t>
        </is>
      </c>
      <c r="D3895" s="8" t="inlineStr">
        <is>
          <t>ADUBO SUPER TRIPLO 00-46-00 FERT. MIN - IMPACTPVA</t>
        </is>
      </c>
      <c r="E3895" s="7" t="inlineStr">
        <is>
          <t>Adubação de Solo / Foliar</t>
        </is>
      </c>
      <c r="F3895" s="7" t="inlineStr">
        <is>
          <t>Milho</t>
        </is>
      </c>
      <c r="G3895" s="7" t="inlineStr">
        <is>
          <t>Cultura Autorizada na Bula</t>
        </is>
      </c>
      <c r="H3895" s="7" t="inlineStr">
        <is>
          <t>100 a 300 L/ha</t>
        </is>
      </c>
      <c r="I3895" s="7" t="inlineStr">
        <is>
          <t>20 a 40 L/ha</t>
        </is>
      </c>
      <c r="J3895" s="7" t="inlineStr">
        <is>
          <t>Isento</t>
        </is>
      </c>
    </row>
    <row r="3896" ht="22" customHeight="1">
      <c r="A3896" s="12" t="inlineStr">
        <is>
          <t>CUL-3892</t>
        </is>
      </c>
      <c r="B3896" s="11" t="n">
        <v>770</v>
      </c>
      <c r="C3896" s="13" t="inlineStr">
        <is>
          <t>SIPEAGRO (UF-XXXXX)</t>
        </is>
      </c>
      <c r="D3896" s="14" t="inlineStr">
        <is>
          <t>ADUBO SUPER TRIPLO 00-46-00 FERT. MIN - IMPACTPVA</t>
        </is>
      </c>
      <c r="E3896" s="13" t="inlineStr">
        <is>
          <t>Adubação de Solo / Foliar</t>
        </is>
      </c>
      <c r="F3896" s="13" t="inlineStr">
        <is>
          <t>Algodão</t>
        </is>
      </c>
      <c r="G3896" s="13" t="inlineStr">
        <is>
          <t>Cultura Autorizada na Bula</t>
        </is>
      </c>
      <c r="H3896" s="13" t="inlineStr">
        <is>
          <t>100 a 300 L/ha</t>
        </is>
      </c>
      <c r="I3896" s="13" t="inlineStr">
        <is>
          <t>20 a 40 L/ha</t>
        </is>
      </c>
      <c r="J3896" s="13" t="inlineStr">
        <is>
          <t>Isento</t>
        </is>
      </c>
    </row>
    <row r="3897" ht="22" customHeight="1">
      <c r="A3897" s="6" t="inlineStr">
        <is>
          <t>CUL-3893</t>
        </is>
      </c>
      <c r="B3897" s="5" t="n">
        <v>770</v>
      </c>
      <c r="C3897" s="7" t="inlineStr">
        <is>
          <t>SIPEAGRO (UF-XXXXX)</t>
        </is>
      </c>
      <c r="D3897" s="8" t="inlineStr">
        <is>
          <t>ADUBO SUPER TRIPLO 00-46-00 FERT. MIN - IMPACTPVA</t>
        </is>
      </c>
      <c r="E3897" s="7" t="inlineStr">
        <is>
          <t>Adubação de Solo / Foliar</t>
        </is>
      </c>
      <c r="F3897" s="7" t="inlineStr">
        <is>
          <t>Cana-de-açúcar</t>
        </is>
      </c>
      <c r="G3897" s="7" t="inlineStr">
        <is>
          <t>Cultura Autorizada na Bula</t>
        </is>
      </c>
      <c r="H3897" s="7" t="inlineStr">
        <is>
          <t>100 a 300 L/ha</t>
        </is>
      </c>
      <c r="I3897" s="7" t="inlineStr">
        <is>
          <t>20 a 40 L/ha</t>
        </is>
      </c>
      <c r="J3897" s="7" t="inlineStr">
        <is>
          <t>Isento</t>
        </is>
      </c>
    </row>
    <row r="3898" ht="22" customHeight="1">
      <c r="A3898" s="12" t="inlineStr">
        <is>
          <t>CUL-3894</t>
        </is>
      </c>
      <c r="B3898" s="11" t="n">
        <v>770</v>
      </c>
      <c r="C3898" s="13" t="inlineStr">
        <is>
          <t>SIPEAGRO (UF-XXXXX)</t>
        </is>
      </c>
      <c r="D3898" s="14" t="inlineStr">
        <is>
          <t>ADUBO SUPER TRIPLO 00-46-00 FERT. MIN - IMPACTPVA</t>
        </is>
      </c>
      <c r="E3898" s="13" t="inlineStr">
        <is>
          <t>Adubação de Solo / Foliar</t>
        </is>
      </c>
      <c r="F3898" s="13" t="inlineStr">
        <is>
          <t>Café</t>
        </is>
      </c>
      <c r="G3898" s="13" t="inlineStr">
        <is>
          <t>Cultura Autorizada na Bula</t>
        </is>
      </c>
      <c r="H3898" s="13" t="inlineStr">
        <is>
          <t>100 a 300 L/ha</t>
        </is>
      </c>
      <c r="I3898" s="13" t="inlineStr">
        <is>
          <t>20 a 40 L/ha</t>
        </is>
      </c>
      <c r="J3898" s="13" t="inlineStr">
        <is>
          <t>Isento</t>
        </is>
      </c>
    </row>
    <row r="3899" ht="22" customHeight="1">
      <c r="A3899" s="6" t="inlineStr">
        <is>
          <t>CUL-3895</t>
        </is>
      </c>
      <c r="B3899" s="5" t="n">
        <v>771</v>
      </c>
      <c r="C3899" s="7" t="inlineStr">
        <is>
          <t>Nº 40624</t>
        </is>
      </c>
      <c r="D3899" s="8" t="inlineStr">
        <is>
          <t>SHARK</t>
        </is>
      </c>
      <c r="E3899" s="7" t="inlineStr">
        <is>
          <t>Pulverização Agrícola Conforme Bula</t>
        </is>
      </c>
      <c r="F3899" s="7" t="inlineStr">
        <is>
          <t>Soja</t>
        </is>
      </c>
      <c r="G3899" s="7" t="inlineStr">
        <is>
          <t>Cultura Autorizada na Bula</t>
        </is>
      </c>
      <c r="H3899" s="7" t="inlineStr">
        <is>
          <t>100 a 300 L/ha</t>
        </is>
      </c>
      <c r="I3899" s="7" t="inlineStr">
        <is>
          <t>20 a 40 L/ha</t>
        </is>
      </c>
      <c r="J3899" s="7" t="inlineStr">
        <is>
          <t>21 dias</t>
        </is>
      </c>
    </row>
    <row r="3900" ht="22" customHeight="1">
      <c r="A3900" s="12" t="inlineStr">
        <is>
          <t>CUL-3896</t>
        </is>
      </c>
      <c r="B3900" s="11" t="n">
        <v>771</v>
      </c>
      <c r="C3900" s="13" t="inlineStr">
        <is>
          <t>Nº 40624</t>
        </is>
      </c>
      <c r="D3900" s="14" t="inlineStr">
        <is>
          <t>SHARK</t>
        </is>
      </c>
      <c r="E3900" s="13" t="inlineStr">
        <is>
          <t>Pulverização Agrícola Conforme Bula</t>
        </is>
      </c>
      <c r="F3900" s="13" t="inlineStr">
        <is>
          <t>Milho</t>
        </is>
      </c>
      <c r="G3900" s="13" t="inlineStr">
        <is>
          <t>Cultura Autorizada na Bula</t>
        </is>
      </c>
      <c r="H3900" s="13" t="inlineStr">
        <is>
          <t>100 a 300 L/ha</t>
        </is>
      </c>
      <c r="I3900" s="13" t="inlineStr">
        <is>
          <t>20 a 40 L/ha</t>
        </is>
      </c>
      <c r="J3900" s="13" t="inlineStr">
        <is>
          <t>21 dias</t>
        </is>
      </c>
    </row>
    <row r="3901" ht="22" customHeight="1">
      <c r="A3901" s="6" t="inlineStr">
        <is>
          <t>CUL-3897</t>
        </is>
      </c>
      <c r="B3901" s="5" t="n">
        <v>771</v>
      </c>
      <c r="C3901" s="7" t="inlineStr">
        <is>
          <t>Nº 40624</t>
        </is>
      </c>
      <c r="D3901" s="8" t="inlineStr">
        <is>
          <t>SHARK</t>
        </is>
      </c>
      <c r="E3901" s="7" t="inlineStr">
        <is>
          <t>Pulverização Agrícola Conforme Bula</t>
        </is>
      </c>
      <c r="F3901" s="7" t="inlineStr">
        <is>
          <t>Algodão</t>
        </is>
      </c>
      <c r="G3901" s="7" t="inlineStr">
        <is>
          <t>Cultura Autorizada na Bula</t>
        </is>
      </c>
      <c r="H3901" s="7" t="inlineStr">
        <is>
          <t>100 a 300 L/ha</t>
        </is>
      </c>
      <c r="I3901" s="7" t="inlineStr">
        <is>
          <t>20 a 40 L/ha</t>
        </is>
      </c>
      <c r="J3901" s="7" t="inlineStr">
        <is>
          <t>21 dias</t>
        </is>
      </c>
    </row>
    <row r="3902" ht="22" customHeight="1">
      <c r="A3902" s="12" t="inlineStr">
        <is>
          <t>CUL-3898</t>
        </is>
      </c>
      <c r="B3902" s="11" t="n">
        <v>771</v>
      </c>
      <c r="C3902" s="13" t="inlineStr">
        <is>
          <t>Nº 40624</t>
        </is>
      </c>
      <c r="D3902" s="14" t="inlineStr">
        <is>
          <t>SHARK</t>
        </is>
      </c>
      <c r="E3902" s="13" t="inlineStr">
        <is>
          <t>Pulverização Agrícola Conforme Bula</t>
        </is>
      </c>
      <c r="F3902" s="13" t="inlineStr">
        <is>
          <t>Café</t>
        </is>
      </c>
      <c r="G3902" s="13" t="inlineStr">
        <is>
          <t>Cultura Autorizada na Bula</t>
        </is>
      </c>
      <c r="H3902" s="13" t="inlineStr">
        <is>
          <t>100 a 300 L/ha</t>
        </is>
      </c>
      <c r="I3902" s="13" t="inlineStr">
        <is>
          <t>20 a 40 L/ha</t>
        </is>
      </c>
      <c r="J3902" s="13" t="inlineStr">
        <is>
          <t>21 dias</t>
        </is>
      </c>
    </row>
    <row r="3903" ht="22" customHeight="1">
      <c r="A3903" s="6" t="inlineStr">
        <is>
          <t>CUL-3899</t>
        </is>
      </c>
      <c r="B3903" s="5" t="n">
        <v>771</v>
      </c>
      <c r="C3903" s="7" t="inlineStr">
        <is>
          <t>Nº 40624</t>
        </is>
      </c>
      <c r="D3903" s="8" t="inlineStr">
        <is>
          <t>SHARK</t>
        </is>
      </c>
      <c r="E3903" s="7" t="inlineStr">
        <is>
          <t>Pulverização Agrícola Conforme Bula</t>
        </is>
      </c>
      <c r="F3903" s="7" t="inlineStr">
        <is>
          <t>Citros</t>
        </is>
      </c>
      <c r="G3903" s="7" t="inlineStr">
        <is>
          <t>Cultura Autorizada na Bula</t>
        </is>
      </c>
      <c r="H3903" s="7" t="inlineStr">
        <is>
          <t>100 a 300 L/ha</t>
        </is>
      </c>
      <c r="I3903" s="7" t="inlineStr">
        <is>
          <t>20 a 40 L/ha</t>
        </is>
      </c>
      <c r="J3903" s="7" t="inlineStr">
        <is>
          <t>21 dias</t>
        </is>
      </c>
    </row>
    <row r="3904" ht="22" customHeight="1">
      <c r="A3904" s="12" t="inlineStr">
        <is>
          <t>CUL-3900</t>
        </is>
      </c>
      <c r="B3904" s="11" t="n">
        <v>771</v>
      </c>
      <c r="C3904" s="13" t="inlineStr">
        <is>
          <t>Nº 40624</t>
        </is>
      </c>
      <c r="D3904" s="14" t="inlineStr">
        <is>
          <t>SHARK</t>
        </is>
      </c>
      <c r="E3904" s="13" t="inlineStr">
        <is>
          <t>Pulverização Agrícola Conforme Bula</t>
        </is>
      </c>
      <c r="F3904" s="13" t="inlineStr">
        <is>
          <t>Feijão</t>
        </is>
      </c>
      <c r="G3904" s="13" t="inlineStr">
        <is>
          <t>Cultura Autorizada na Bula</t>
        </is>
      </c>
      <c r="H3904" s="13" t="inlineStr">
        <is>
          <t>100 a 300 L/ha</t>
        </is>
      </c>
      <c r="I3904" s="13" t="inlineStr">
        <is>
          <t>20 a 40 L/ha</t>
        </is>
      </c>
      <c r="J3904" s="13" t="inlineStr">
        <is>
          <t>25 dias</t>
        </is>
      </c>
    </row>
    <row r="3905" ht="22" customHeight="1">
      <c r="A3905" s="6" t="inlineStr">
        <is>
          <t>CUL-3901</t>
        </is>
      </c>
      <c r="B3905" s="5" t="n">
        <v>771</v>
      </c>
      <c r="C3905" s="7" t="inlineStr">
        <is>
          <t>Nº 40624</t>
        </is>
      </c>
      <c r="D3905" s="8" t="inlineStr">
        <is>
          <t>SHARK</t>
        </is>
      </c>
      <c r="E3905" s="7" t="inlineStr">
        <is>
          <t>Pulverização Agrícola Conforme Bula</t>
        </is>
      </c>
      <c r="F3905" s="7" t="inlineStr">
        <is>
          <t>Batata</t>
        </is>
      </c>
      <c r="G3905" s="7" t="inlineStr">
        <is>
          <t>Cultura Autorizada na Bula</t>
        </is>
      </c>
      <c r="H3905" s="7" t="inlineStr">
        <is>
          <t>100 a 300 L/ha</t>
        </is>
      </c>
      <c r="I3905" s="7" t="inlineStr">
        <is>
          <t>20 a 40 L/ha</t>
        </is>
      </c>
      <c r="J3905" s="7" t="inlineStr">
        <is>
          <t>21 dias</t>
        </is>
      </c>
    </row>
    <row r="3906" ht="22" customHeight="1">
      <c r="A3906" s="12" t="inlineStr">
        <is>
          <t>CUL-3902</t>
        </is>
      </c>
      <c r="B3906" s="11" t="n">
        <v>771</v>
      </c>
      <c r="C3906" s="13" t="inlineStr">
        <is>
          <t>Nº 40624</t>
        </is>
      </c>
      <c r="D3906" s="14" t="inlineStr">
        <is>
          <t>SHARK</t>
        </is>
      </c>
      <c r="E3906" s="13" t="inlineStr">
        <is>
          <t>Pulverização Agrícola Conforme Bula</t>
        </is>
      </c>
      <c r="F3906" s="13" t="inlineStr">
        <is>
          <t>Tomate</t>
        </is>
      </c>
      <c r="G3906" s="13" t="inlineStr">
        <is>
          <t>Cultura Autorizada na Bula</t>
        </is>
      </c>
      <c r="H3906" s="13" t="inlineStr">
        <is>
          <t>100 a 300 L/ha</t>
        </is>
      </c>
      <c r="I3906" s="13" t="inlineStr">
        <is>
          <t>20 a 40 L/ha</t>
        </is>
      </c>
      <c r="J3906" s="13" t="inlineStr">
        <is>
          <t>21 dias</t>
        </is>
      </c>
    </row>
    <row r="3907" ht="22" customHeight="1">
      <c r="A3907" s="6" t="inlineStr">
        <is>
          <t>CUL-3903</t>
        </is>
      </c>
      <c r="B3907" s="5" t="n">
        <v>771</v>
      </c>
      <c r="C3907" s="7" t="inlineStr">
        <is>
          <t>Nº 40624</t>
        </is>
      </c>
      <c r="D3907" s="8" t="inlineStr">
        <is>
          <t>SHARK</t>
        </is>
      </c>
      <c r="E3907" s="7" t="inlineStr">
        <is>
          <t>Pulverização Agrícola Conforme Bula</t>
        </is>
      </c>
      <c r="F3907" s="7" t="inlineStr">
        <is>
          <t>Trigo</t>
        </is>
      </c>
      <c r="G3907" s="7" t="inlineStr">
        <is>
          <t>Cultura Autorizada na Bula</t>
        </is>
      </c>
      <c r="H3907" s="7" t="inlineStr">
        <is>
          <t>100 a 300 L/ha</t>
        </is>
      </c>
      <c r="I3907" s="7" t="inlineStr">
        <is>
          <t>20 a 40 L/ha</t>
        </is>
      </c>
      <c r="J3907" s="7" t="inlineStr">
        <is>
          <t>21 dias</t>
        </is>
      </c>
    </row>
    <row r="3908" ht="22" customHeight="1">
      <c r="A3908" s="12" t="inlineStr">
        <is>
          <t>CUL-3904</t>
        </is>
      </c>
      <c r="B3908" s="11" t="n">
        <v>772</v>
      </c>
      <c r="C3908" s="13" t="inlineStr">
        <is>
          <t>Nº 14623</t>
        </is>
      </c>
      <c r="D3908" s="14" t="inlineStr">
        <is>
          <t>METSULFUROM ULTRA 50X0,1KG (IMP) JA (VALIDAR)</t>
        </is>
      </c>
      <c r="E3908" s="13" t="inlineStr">
        <is>
          <t>Pulverização Agrícola Conforme Bula</t>
        </is>
      </c>
      <c r="F3908" s="13" t="inlineStr">
        <is>
          <t>Soja</t>
        </is>
      </c>
      <c r="G3908" s="13" t="inlineStr">
        <is>
          <t>Cultura Autorizada na Bula</t>
        </is>
      </c>
      <c r="H3908" s="13" t="inlineStr">
        <is>
          <t>100 a 300 L/ha</t>
        </is>
      </c>
      <c r="I3908" s="13" t="inlineStr">
        <is>
          <t>20 a 40 L/ha</t>
        </is>
      </c>
      <c r="J3908" s="13" t="inlineStr">
        <is>
          <t>60 dias</t>
        </is>
      </c>
    </row>
    <row r="3909" ht="22" customHeight="1">
      <c r="A3909" s="6" t="inlineStr">
        <is>
          <t>CUL-3905</t>
        </is>
      </c>
      <c r="B3909" s="5" t="n">
        <v>772</v>
      </c>
      <c r="C3909" s="7" t="inlineStr">
        <is>
          <t>Nº 14623</t>
        </is>
      </c>
      <c r="D3909" s="8" t="inlineStr">
        <is>
          <t>METSULFUROM ULTRA 50X0,1KG (IMP) JA (VALIDAR)</t>
        </is>
      </c>
      <c r="E3909" s="7" t="inlineStr">
        <is>
          <t>Pulverização Agrícola Conforme Bula</t>
        </is>
      </c>
      <c r="F3909" s="7" t="inlineStr">
        <is>
          <t>Milho</t>
        </is>
      </c>
      <c r="G3909" s="7" t="inlineStr">
        <is>
          <t>Cultura Autorizada na Bula</t>
        </is>
      </c>
      <c r="H3909" s="7" t="inlineStr">
        <is>
          <t>100 a 300 L/ha</t>
        </is>
      </c>
      <c r="I3909" s="7" t="inlineStr">
        <is>
          <t>20 a 40 L/ha</t>
        </is>
      </c>
      <c r="J3909" s="7" t="inlineStr">
        <is>
          <t>45 dias</t>
        </is>
      </c>
    </row>
    <row r="3910" ht="22" customHeight="1">
      <c r="A3910" s="12" t="inlineStr">
        <is>
          <t>CUL-3906</t>
        </is>
      </c>
      <c r="B3910" s="11" t="n">
        <v>772</v>
      </c>
      <c r="C3910" s="13" t="inlineStr">
        <is>
          <t>Nº 14623</t>
        </is>
      </c>
      <c r="D3910" s="14" t="inlineStr">
        <is>
          <t>METSULFUROM ULTRA 50X0,1KG (IMP) JA (VALIDAR)</t>
        </is>
      </c>
      <c r="E3910" s="13" t="inlineStr">
        <is>
          <t>Pulverização Agrícola Conforme Bula</t>
        </is>
      </c>
      <c r="F3910" s="13" t="inlineStr">
        <is>
          <t>Algodão</t>
        </is>
      </c>
      <c r="G3910" s="13" t="inlineStr">
        <is>
          <t>Cultura Autorizada na Bula</t>
        </is>
      </c>
      <c r="H3910" s="13" t="inlineStr">
        <is>
          <t>100 a 300 L/ha</t>
        </is>
      </c>
      <c r="I3910" s="13" t="inlineStr">
        <is>
          <t>20 a 40 L/ha</t>
        </is>
      </c>
      <c r="J3910" s="13" t="inlineStr">
        <is>
          <t>60 dias</t>
        </is>
      </c>
    </row>
    <row r="3911" ht="22" customHeight="1">
      <c r="A3911" s="6" t="inlineStr">
        <is>
          <t>CUL-3907</t>
        </is>
      </c>
      <c r="B3911" s="5" t="n">
        <v>772</v>
      </c>
      <c r="C3911" s="7" t="inlineStr">
        <is>
          <t>Nº 14623</t>
        </is>
      </c>
      <c r="D3911" s="8" t="inlineStr">
        <is>
          <t>METSULFUROM ULTRA 50X0,1KG (IMP) JA (VALIDAR)</t>
        </is>
      </c>
      <c r="E3911" s="7" t="inlineStr">
        <is>
          <t>Pulverização Agrícola Conforme Bula</t>
        </is>
      </c>
      <c r="F3911" s="7" t="inlineStr">
        <is>
          <t>Cana-de-açúcar</t>
        </is>
      </c>
      <c r="G3911" s="7" t="inlineStr">
        <is>
          <t>Cultura Autorizada na Bula</t>
        </is>
      </c>
      <c r="H3911" s="7" t="inlineStr">
        <is>
          <t>100 a 300 L/ha</t>
        </is>
      </c>
      <c r="I3911" s="7" t="inlineStr">
        <is>
          <t>20 a 40 L/ha</t>
        </is>
      </c>
      <c r="J3911" s="7" t="inlineStr">
        <is>
          <t>90 dias</t>
        </is>
      </c>
    </row>
    <row r="3912" ht="22" customHeight="1">
      <c r="A3912" s="12" t="inlineStr">
        <is>
          <t>CUL-3908</t>
        </is>
      </c>
      <c r="B3912" s="11" t="n">
        <v>773</v>
      </c>
      <c r="C3912" s="13" t="inlineStr">
        <is>
          <t>Nº 1838604</t>
        </is>
      </c>
      <c r="D3912" s="14" t="inlineStr">
        <is>
          <t>OXYFLUORFEN 240 EC PROVENTIS</t>
        </is>
      </c>
      <c r="E3912" s="13" t="inlineStr">
        <is>
          <t>Pulverização Agrícola Conforme Bula</t>
        </is>
      </c>
      <c r="F3912" s="13" t="inlineStr">
        <is>
          <t>Soja</t>
        </is>
      </c>
      <c r="G3912" s="13" t="inlineStr">
        <is>
          <t>Cultura Autorizada na Bula</t>
        </is>
      </c>
      <c r="H3912" s="13" t="inlineStr">
        <is>
          <t>100 a 300 L/ha</t>
        </is>
      </c>
      <c r="I3912" s="13" t="inlineStr">
        <is>
          <t>20 a 40 L/ha</t>
        </is>
      </c>
      <c r="J3912" s="13" t="inlineStr">
        <is>
          <t>60 dias</t>
        </is>
      </c>
    </row>
    <row r="3913" ht="22" customHeight="1">
      <c r="A3913" s="6" t="inlineStr">
        <is>
          <t>CUL-3909</t>
        </is>
      </c>
      <c r="B3913" s="5" t="n">
        <v>773</v>
      </c>
      <c r="C3913" s="7" t="inlineStr">
        <is>
          <t>Nº 1838604</t>
        </is>
      </c>
      <c r="D3913" s="8" t="inlineStr">
        <is>
          <t>OXYFLUORFEN 240 EC PROVENTIS</t>
        </is>
      </c>
      <c r="E3913" s="7" t="inlineStr">
        <is>
          <t>Pulverização Agrícola Conforme Bula</t>
        </is>
      </c>
      <c r="F3913" s="7" t="inlineStr">
        <is>
          <t>Milho</t>
        </is>
      </c>
      <c r="G3913" s="7" t="inlineStr">
        <is>
          <t>Cultura Autorizada na Bula</t>
        </is>
      </c>
      <c r="H3913" s="7" t="inlineStr">
        <is>
          <t>100 a 300 L/ha</t>
        </is>
      </c>
      <c r="I3913" s="7" t="inlineStr">
        <is>
          <t>20 a 40 L/ha</t>
        </is>
      </c>
      <c r="J3913" s="7" t="inlineStr">
        <is>
          <t>45 dias</t>
        </is>
      </c>
    </row>
    <row r="3914" ht="22" customHeight="1">
      <c r="A3914" s="12" t="inlineStr">
        <is>
          <t>CUL-3910</t>
        </is>
      </c>
      <c r="B3914" s="11" t="n">
        <v>773</v>
      </c>
      <c r="C3914" s="13" t="inlineStr">
        <is>
          <t>Nº 1838604</t>
        </is>
      </c>
      <c r="D3914" s="14" t="inlineStr">
        <is>
          <t>OXYFLUORFEN 240 EC PROVENTIS</t>
        </is>
      </c>
      <c r="E3914" s="13" t="inlineStr">
        <is>
          <t>Pulverização Agrícola Conforme Bula</t>
        </is>
      </c>
      <c r="F3914" s="13" t="inlineStr">
        <is>
          <t>Algodão</t>
        </is>
      </c>
      <c r="G3914" s="13" t="inlineStr">
        <is>
          <t>Cultura Autorizada na Bula</t>
        </is>
      </c>
      <c r="H3914" s="13" t="inlineStr">
        <is>
          <t>100 a 300 L/ha</t>
        </is>
      </c>
      <c r="I3914" s="13" t="inlineStr">
        <is>
          <t>20 a 40 L/ha</t>
        </is>
      </c>
      <c r="J3914" s="13" t="inlineStr">
        <is>
          <t>60 dias</t>
        </is>
      </c>
    </row>
    <row r="3915" ht="22" customHeight="1">
      <c r="A3915" s="6" t="inlineStr">
        <is>
          <t>CUL-3911</t>
        </is>
      </c>
      <c r="B3915" s="5" t="n">
        <v>773</v>
      </c>
      <c r="C3915" s="7" t="inlineStr">
        <is>
          <t>Nº 1838604</t>
        </is>
      </c>
      <c r="D3915" s="8" t="inlineStr">
        <is>
          <t>OXYFLUORFEN 240 EC PROVENTIS</t>
        </is>
      </c>
      <c r="E3915" s="7" t="inlineStr">
        <is>
          <t>Pulverização Agrícola Conforme Bula</t>
        </is>
      </c>
      <c r="F3915" s="7" t="inlineStr">
        <is>
          <t>Cana-de-açúcar</t>
        </is>
      </c>
      <c r="G3915" s="7" t="inlineStr">
        <is>
          <t>Cultura Autorizada na Bula</t>
        </is>
      </c>
      <c r="H3915" s="7" t="inlineStr">
        <is>
          <t>100 a 300 L/ha</t>
        </is>
      </c>
      <c r="I3915" s="7" t="inlineStr">
        <is>
          <t>20 a 40 L/ha</t>
        </is>
      </c>
      <c r="J3915" s="7" t="inlineStr">
        <is>
          <t>90 dias</t>
        </is>
      </c>
    </row>
    <row r="3916" ht="22" customHeight="1">
      <c r="A3916" s="12" t="inlineStr">
        <is>
          <t>CUL-3912</t>
        </is>
      </c>
      <c r="B3916" s="11" t="n">
        <v>774</v>
      </c>
      <c r="C3916" s="13" t="inlineStr">
        <is>
          <t>Nº 47125</t>
        </is>
      </c>
      <c r="D3916" s="14" t="inlineStr">
        <is>
          <t>CHLORFENAPYR</t>
        </is>
      </c>
      <c r="E3916" s="13" t="inlineStr">
        <is>
          <t>Pulverização Agrícola Conforme Bula</t>
        </is>
      </c>
      <c r="F3916" s="13" t="inlineStr">
        <is>
          <t>Soja</t>
        </is>
      </c>
      <c r="G3916" s="13" t="inlineStr">
        <is>
          <t>Cultura Autorizada na Bula</t>
        </is>
      </c>
      <c r="H3916" s="13" t="inlineStr">
        <is>
          <t>100 a 300 L/ha</t>
        </is>
      </c>
      <c r="I3916" s="13" t="inlineStr">
        <is>
          <t>20 a 40 L/ha</t>
        </is>
      </c>
      <c r="J3916" s="13" t="inlineStr">
        <is>
          <t>14 dias</t>
        </is>
      </c>
    </row>
    <row r="3917" ht="22" customHeight="1">
      <c r="A3917" s="6" t="inlineStr">
        <is>
          <t>CUL-3913</t>
        </is>
      </c>
      <c r="B3917" s="5" t="n">
        <v>774</v>
      </c>
      <c r="C3917" s="7" t="inlineStr">
        <is>
          <t>Nº 47125</t>
        </is>
      </c>
      <c r="D3917" s="8" t="inlineStr">
        <is>
          <t>CHLORFENAPYR</t>
        </is>
      </c>
      <c r="E3917" s="7" t="inlineStr">
        <is>
          <t>Pulverização Agrícola Conforme Bula</t>
        </is>
      </c>
      <c r="F3917" s="7" t="inlineStr">
        <is>
          <t>Milho</t>
        </is>
      </c>
      <c r="G3917" s="7" t="inlineStr">
        <is>
          <t>Cultura Autorizada na Bula</t>
        </is>
      </c>
      <c r="H3917" s="7" t="inlineStr">
        <is>
          <t>100 a 300 L/ha</t>
        </is>
      </c>
      <c r="I3917" s="7" t="inlineStr">
        <is>
          <t>20 a 40 L/ha</t>
        </is>
      </c>
      <c r="J3917" s="7" t="inlineStr">
        <is>
          <t>14 dias</t>
        </is>
      </c>
    </row>
    <row r="3918" ht="22" customHeight="1">
      <c r="A3918" s="12" t="inlineStr">
        <is>
          <t>CUL-3914</t>
        </is>
      </c>
      <c r="B3918" s="11" t="n">
        <v>774</v>
      </c>
      <c r="C3918" s="13" t="inlineStr">
        <is>
          <t>Nº 47125</t>
        </is>
      </c>
      <c r="D3918" s="14" t="inlineStr">
        <is>
          <t>CHLORFENAPYR</t>
        </is>
      </c>
      <c r="E3918" s="13" t="inlineStr">
        <is>
          <t>Pulverização Agrícola Conforme Bula</t>
        </is>
      </c>
      <c r="F3918" s="13" t="inlineStr">
        <is>
          <t>Algodão</t>
        </is>
      </c>
      <c r="G3918" s="13" t="inlineStr">
        <is>
          <t>Cultura Autorizada na Bula</t>
        </is>
      </c>
      <c r="H3918" s="13" t="inlineStr">
        <is>
          <t>100 a 300 L/ha</t>
        </is>
      </c>
      <c r="I3918" s="13" t="inlineStr">
        <is>
          <t>20 a 40 L/ha</t>
        </is>
      </c>
      <c r="J3918" s="13" t="inlineStr">
        <is>
          <t>21 dias</t>
        </is>
      </c>
    </row>
    <row r="3919" ht="22" customHeight="1">
      <c r="A3919" s="6" t="inlineStr">
        <is>
          <t>CUL-3915</t>
        </is>
      </c>
      <c r="B3919" s="5" t="n">
        <v>774</v>
      </c>
      <c r="C3919" s="7" t="inlineStr">
        <is>
          <t>Nº 47125</t>
        </is>
      </c>
      <c r="D3919" s="8" t="inlineStr">
        <is>
          <t>CHLORFENAPYR</t>
        </is>
      </c>
      <c r="E3919" s="7" t="inlineStr">
        <is>
          <t>Pulverização Agrícola Conforme Bula</t>
        </is>
      </c>
      <c r="F3919" s="7" t="inlineStr">
        <is>
          <t>Feijão</t>
        </is>
      </c>
      <c r="G3919" s="7" t="inlineStr">
        <is>
          <t>Cultura Autorizada na Bula</t>
        </is>
      </c>
      <c r="H3919" s="7" t="inlineStr">
        <is>
          <t>100 a 300 L/ha</t>
        </is>
      </c>
      <c r="I3919" s="7" t="inlineStr">
        <is>
          <t>20 a 40 L/ha</t>
        </is>
      </c>
      <c r="J3919" s="7" t="inlineStr">
        <is>
          <t>14 dias</t>
        </is>
      </c>
    </row>
    <row r="3920" ht="22" customHeight="1">
      <c r="A3920" s="12" t="inlineStr">
        <is>
          <t>CUL-3916</t>
        </is>
      </c>
      <c r="B3920" s="11" t="n">
        <v>774</v>
      </c>
      <c r="C3920" s="13" t="inlineStr">
        <is>
          <t>Nº 47125</t>
        </is>
      </c>
      <c r="D3920" s="14" t="inlineStr">
        <is>
          <t>CHLORFENAPYR</t>
        </is>
      </c>
      <c r="E3920" s="13" t="inlineStr">
        <is>
          <t>Pulverização Agrícola Conforme Bula</t>
        </is>
      </c>
      <c r="F3920" s="13" t="inlineStr">
        <is>
          <t>Batata</t>
        </is>
      </c>
      <c r="G3920" s="13" t="inlineStr">
        <is>
          <t>Cultura Autorizada na Bula</t>
        </is>
      </c>
      <c r="H3920" s="13" t="inlineStr">
        <is>
          <t>100 a 300 L/ha</t>
        </is>
      </c>
      <c r="I3920" s="13" t="inlineStr">
        <is>
          <t>20 a 40 L/ha</t>
        </is>
      </c>
      <c r="J3920" s="13" t="inlineStr">
        <is>
          <t>7 dias</t>
        </is>
      </c>
    </row>
    <row r="3921" ht="22" customHeight="1">
      <c r="A3921" s="6" t="inlineStr">
        <is>
          <t>CUL-3917</t>
        </is>
      </c>
      <c r="B3921" s="5" t="n">
        <v>774</v>
      </c>
      <c r="C3921" s="7" t="inlineStr">
        <is>
          <t>Nº 47125</t>
        </is>
      </c>
      <c r="D3921" s="8" t="inlineStr">
        <is>
          <t>CHLORFENAPYR</t>
        </is>
      </c>
      <c r="E3921" s="7" t="inlineStr">
        <is>
          <t>Pulverização Agrícola Conforme Bula</t>
        </is>
      </c>
      <c r="F3921" s="7" t="inlineStr">
        <is>
          <t>Citros</t>
        </is>
      </c>
      <c r="G3921" s="7" t="inlineStr">
        <is>
          <t>Cultura Autorizada na Bula</t>
        </is>
      </c>
      <c r="H3921" s="7" t="inlineStr">
        <is>
          <t>100 a 300 L/ha</t>
        </is>
      </c>
      <c r="I3921" s="7" t="inlineStr">
        <is>
          <t>20 a 40 L/ha</t>
        </is>
      </c>
      <c r="J3921" s="7" t="inlineStr">
        <is>
          <t>14 dias</t>
        </is>
      </c>
    </row>
    <row r="3922" ht="22" customHeight="1">
      <c r="A3922" s="12" t="inlineStr">
        <is>
          <t>CUL-3918</t>
        </is>
      </c>
      <c r="B3922" s="11" t="n">
        <v>774</v>
      </c>
      <c r="C3922" s="13" t="inlineStr">
        <is>
          <t>Nº 47125</t>
        </is>
      </c>
      <c r="D3922" s="14" t="inlineStr">
        <is>
          <t>CHLORFENAPYR</t>
        </is>
      </c>
      <c r="E3922" s="13" t="inlineStr">
        <is>
          <t>Pulverização Agrícola Conforme Bula</t>
        </is>
      </c>
      <c r="F3922" s="13" t="inlineStr">
        <is>
          <t>Tomate</t>
        </is>
      </c>
      <c r="G3922" s="13" t="inlineStr">
        <is>
          <t>Cultura Autorizada na Bula</t>
        </is>
      </c>
      <c r="H3922" s="13" t="inlineStr">
        <is>
          <t>100 a 300 L/ha</t>
        </is>
      </c>
      <c r="I3922" s="13" t="inlineStr">
        <is>
          <t>20 a 40 L/ha</t>
        </is>
      </c>
      <c r="J3922" s="13" t="inlineStr">
        <is>
          <t>7 dias</t>
        </is>
      </c>
    </row>
    <row r="3923" ht="22" customHeight="1">
      <c r="A3923" s="6" t="inlineStr">
        <is>
          <t>CUL-3919</t>
        </is>
      </c>
      <c r="B3923" s="5" t="n">
        <v>775</v>
      </c>
      <c r="C3923" s="7" t="inlineStr">
        <is>
          <t>Nº 5725</t>
        </is>
      </c>
      <c r="D3923" s="8" t="inlineStr">
        <is>
          <t>ESIFON FULL</t>
        </is>
      </c>
      <c r="E3923" s="7" t="inlineStr">
        <is>
          <t>Pulverização Agrícola Conforme Bula</t>
        </is>
      </c>
      <c r="F3923" s="7" t="inlineStr">
        <is>
          <t>Soja</t>
        </is>
      </c>
      <c r="G3923" s="7" t="inlineStr">
        <is>
          <t>Cultura Autorizada na Bula</t>
        </is>
      </c>
      <c r="H3923" s="7" t="inlineStr">
        <is>
          <t>100 a 300 L/ha</t>
        </is>
      </c>
      <c r="I3923" s="7" t="inlineStr">
        <is>
          <t>20 a 40 L/ha</t>
        </is>
      </c>
      <c r="J3923" s="7" t="inlineStr">
        <is>
          <t>21 dias</t>
        </is>
      </c>
    </row>
    <row r="3924" ht="22" customHeight="1">
      <c r="A3924" s="12" t="inlineStr">
        <is>
          <t>CUL-3920</t>
        </is>
      </c>
      <c r="B3924" s="11" t="n">
        <v>775</v>
      </c>
      <c r="C3924" s="13" t="inlineStr">
        <is>
          <t>Nº 5725</t>
        </is>
      </c>
      <c r="D3924" s="14" t="inlineStr">
        <is>
          <t>ESIFON FULL</t>
        </is>
      </c>
      <c r="E3924" s="13" t="inlineStr">
        <is>
          <t>Pulverização Agrícola Conforme Bula</t>
        </is>
      </c>
      <c r="F3924" s="13" t="inlineStr">
        <is>
          <t>Milho</t>
        </is>
      </c>
      <c r="G3924" s="13" t="inlineStr">
        <is>
          <t>Cultura Autorizada na Bula</t>
        </is>
      </c>
      <c r="H3924" s="13" t="inlineStr">
        <is>
          <t>100 a 300 L/ha</t>
        </is>
      </c>
      <c r="I3924" s="13" t="inlineStr">
        <is>
          <t>20 a 40 L/ha</t>
        </is>
      </c>
      <c r="J3924" s="13" t="inlineStr">
        <is>
          <t>21 dias</t>
        </is>
      </c>
    </row>
    <row r="3925" ht="22" customHeight="1">
      <c r="A3925" s="6" t="inlineStr">
        <is>
          <t>CUL-3921</t>
        </is>
      </c>
      <c r="B3925" s="5" t="n">
        <v>775</v>
      </c>
      <c r="C3925" s="7" t="inlineStr">
        <is>
          <t>Nº 5725</t>
        </is>
      </c>
      <c r="D3925" s="8" t="inlineStr">
        <is>
          <t>ESIFON FULL</t>
        </is>
      </c>
      <c r="E3925" s="7" t="inlineStr">
        <is>
          <t>Pulverização Agrícola Conforme Bula</t>
        </is>
      </c>
      <c r="F3925" s="7" t="inlineStr">
        <is>
          <t>Algodão</t>
        </is>
      </c>
      <c r="G3925" s="7" t="inlineStr">
        <is>
          <t>Cultura Autorizada na Bula</t>
        </is>
      </c>
      <c r="H3925" s="7" t="inlineStr">
        <is>
          <t>100 a 300 L/ha</t>
        </is>
      </c>
      <c r="I3925" s="7" t="inlineStr">
        <is>
          <t>20 a 40 L/ha</t>
        </is>
      </c>
      <c r="J3925" s="7" t="inlineStr">
        <is>
          <t>21 dias</t>
        </is>
      </c>
    </row>
    <row r="3926" ht="22" customHeight="1">
      <c r="A3926" s="12" t="inlineStr">
        <is>
          <t>CUL-3922</t>
        </is>
      </c>
      <c r="B3926" s="11" t="n">
        <v>775</v>
      </c>
      <c r="C3926" s="13" t="inlineStr">
        <is>
          <t>Nº 5725</t>
        </is>
      </c>
      <c r="D3926" s="14" t="inlineStr">
        <is>
          <t>ESIFON FULL</t>
        </is>
      </c>
      <c r="E3926" s="13" t="inlineStr">
        <is>
          <t>Pulverização Agrícola Conforme Bula</t>
        </is>
      </c>
      <c r="F3926" s="13" t="inlineStr">
        <is>
          <t>Feijão</t>
        </is>
      </c>
      <c r="G3926" s="13" t="inlineStr">
        <is>
          <t>Cultura Autorizada na Bula</t>
        </is>
      </c>
      <c r="H3926" s="13" t="inlineStr">
        <is>
          <t>100 a 300 L/ha</t>
        </is>
      </c>
      <c r="I3926" s="13" t="inlineStr">
        <is>
          <t>20 a 40 L/ha</t>
        </is>
      </c>
      <c r="J3926" s="13" t="inlineStr">
        <is>
          <t>14 dias</t>
        </is>
      </c>
    </row>
    <row r="3927" ht="22" customHeight="1">
      <c r="A3927" s="6" t="inlineStr">
        <is>
          <t>CUL-3923</t>
        </is>
      </c>
      <c r="B3927" s="5" t="n">
        <v>776</v>
      </c>
      <c r="C3927" s="7" t="inlineStr">
        <is>
          <t>Nº 14623</t>
        </is>
      </c>
      <c r="D3927" s="8" t="inlineStr">
        <is>
          <t>MILHA</t>
        </is>
      </c>
      <c r="E3927" s="7" t="inlineStr">
        <is>
          <t>Pulverização Agrícola Conforme Bula</t>
        </is>
      </c>
      <c r="F3927" s="7" t="inlineStr">
        <is>
          <t>Soja</t>
        </is>
      </c>
      <c r="G3927" s="7" t="inlineStr">
        <is>
          <t>Cultura Autorizada na Bula</t>
        </is>
      </c>
      <c r="H3927" s="7" t="inlineStr">
        <is>
          <t>100 a 300 L/ha</t>
        </is>
      </c>
      <c r="I3927" s="7" t="inlineStr">
        <is>
          <t>20 a 40 L/ha</t>
        </is>
      </c>
      <c r="J3927" s="7" t="inlineStr">
        <is>
          <t>60 dias</t>
        </is>
      </c>
    </row>
    <row r="3928" ht="22" customHeight="1">
      <c r="A3928" s="12" t="inlineStr">
        <is>
          <t>CUL-3924</t>
        </is>
      </c>
      <c r="B3928" s="11" t="n">
        <v>776</v>
      </c>
      <c r="C3928" s="13" t="inlineStr">
        <is>
          <t>Nº 14623</t>
        </is>
      </c>
      <c r="D3928" s="14" t="inlineStr">
        <is>
          <t>MILHA</t>
        </is>
      </c>
      <c r="E3928" s="13" t="inlineStr">
        <is>
          <t>Pulverização Agrícola Conforme Bula</t>
        </is>
      </c>
      <c r="F3928" s="13" t="inlineStr">
        <is>
          <t>Milho</t>
        </is>
      </c>
      <c r="G3928" s="13" t="inlineStr">
        <is>
          <t>Cultura Autorizada na Bula</t>
        </is>
      </c>
      <c r="H3928" s="13" t="inlineStr">
        <is>
          <t>100 a 300 L/ha</t>
        </is>
      </c>
      <c r="I3928" s="13" t="inlineStr">
        <is>
          <t>20 a 40 L/ha</t>
        </is>
      </c>
      <c r="J3928" s="13" t="inlineStr">
        <is>
          <t>45 dias</t>
        </is>
      </c>
    </row>
    <row r="3929" ht="22" customHeight="1">
      <c r="A3929" s="6" t="inlineStr">
        <is>
          <t>CUL-3925</t>
        </is>
      </c>
      <c r="B3929" s="5" t="n">
        <v>776</v>
      </c>
      <c r="C3929" s="7" t="inlineStr">
        <is>
          <t>Nº 14623</t>
        </is>
      </c>
      <c r="D3929" s="8" t="inlineStr">
        <is>
          <t>MILHA</t>
        </is>
      </c>
      <c r="E3929" s="7" t="inlineStr">
        <is>
          <t>Pulverização Agrícola Conforme Bula</t>
        </is>
      </c>
      <c r="F3929" s="7" t="inlineStr">
        <is>
          <t>Algodão</t>
        </is>
      </c>
      <c r="G3929" s="7" t="inlineStr">
        <is>
          <t>Cultura Autorizada na Bula</t>
        </is>
      </c>
      <c r="H3929" s="7" t="inlineStr">
        <is>
          <t>100 a 300 L/ha</t>
        </is>
      </c>
      <c r="I3929" s="7" t="inlineStr">
        <is>
          <t>20 a 40 L/ha</t>
        </is>
      </c>
      <c r="J3929" s="7" t="inlineStr">
        <is>
          <t>60 dias</t>
        </is>
      </c>
    </row>
    <row r="3930" ht="22" customHeight="1">
      <c r="A3930" s="12" t="inlineStr">
        <is>
          <t>CUL-3926</t>
        </is>
      </c>
      <c r="B3930" s="11" t="n">
        <v>776</v>
      </c>
      <c r="C3930" s="13" t="inlineStr">
        <is>
          <t>Nº 14623</t>
        </is>
      </c>
      <c r="D3930" s="14" t="inlineStr">
        <is>
          <t>MILHA</t>
        </is>
      </c>
      <c r="E3930" s="13" t="inlineStr">
        <is>
          <t>Pulverização Agrícola Conforme Bula</t>
        </is>
      </c>
      <c r="F3930" s="13" t="inlineStr">
        <is>
          <t>Cana-de-açúcar</t>
        </is>
      </c>
      <c r="G3930" s="13" t="inlineStr">
        <is>
          <t>Cultura Autorizada na Bula</t>
        </is>
      </c>
      <c r="H3930" s="13" t="inlineStr">
        <is>
          <t>100 a 300 L/ha</t>
        </is>
      </c>
      <c r="I3930" s="13" t="inlineStr">
        <is>
          <t>20 a 40 L/ha</t>
        </is>
      </c>
      <c r="J3930" s="13" t="inlineStr">
        <is>
          <t>90 dias</t>
        </is>
      </c>
    </row>
    <row r="3931" ht="22" customHeight="1">
      <c r="A3931" s="6" t="inlineStr">
        <is>
          <t>CUL-3927</t>
        </is>
      </c>
      <c r="B3931" s="5" t="n">
        <v>777</v>
      </c>
      <c r="C3931" s="7" t="inlineStr">
        <is>
          <t>VINCULAR MARCA</t>
        </is>
      </c>
      <c r="D3931" s="8" t="inlineStr">
        <is>
          <t>FLUMIOXAZINA 480 (PRINCIPIO ATIVO)</t>
        </is>
      </c>
      <c r="E3931" s="7" t="inlineStr">
        <is>
          <t>Uso Exclusivamente Industrial (Formulação)</t>
        </is>
      </c>
      <c r="F3931" s="7" t="inlineStr">
        <is>
          <t>Não Aplicável (Proibido uso direto na lavoura)</t>
        </is>
      </c>
      <c r="G3931" s="7" t="inlineStr">
        <is>
          <t>Insumo Industrial</t>
        </is>
      </c>
      <c r="H3931" s="7" t="inlineStr">
        <is>
          <t>N/A</t>
        </is>
      </c>
      <c r="I3931" s="7" t="inlineStr">
        <is>
          <t>N/A</t>
        </is>
      </c>
      <c r="J3931" s="7" t="inlineStr">
        <is>
          <t>N/A (Insumo Industrial)</t>
        </is>
      </c>
    </row>
    <row r="3932" ht="22" customHeight="1">
      <c r="A3932" s="12" t="inlineStr">
        <is>
          <t>CUL-3928</t>
        </is>
      </c>
      <c r="B3932" s="11" t="n">
        <v>778</v>
      </c>
      <c r="C3932" s="13" t="inlineStr">
        <is>
          <t>SIPEAGRO (UF-XXXXX)</t>
        </is>
      </c>
      <c r="D3932" s="14" t="inlineStr">
        <is>
          <t>KCL VERMELHO 60% K2O - JBS</t>
        </is>
      </c>
      <c r="E3932" s="13" t="inlineStr">
        <is>
          <t>Adubação de Solo / Foliar</t>
        </is>
      </c>
      <c r="F3932" s="13" t="inlineStr">
        <is>
          <t>Soja</t>
        </is>
      </c>
      <c r="G3932" s="13" t="inlineStr">
        <is>
          <t>Cultura Autorizada na Bula</t>
        </is>
      </c>
      <c r="H3932" s="13" t="inlineStr">
        <is>
          <t>100 a 300 L/ha</t>
        </is>
      </c>
      <c r="I3932" s="13" t="inlineStr">
        <is>
          <t>20 a 40 L/ha</t>
        </is>
      </c>
      <c r="J3932" s="13" t="inlineStr">
        <is>
          <t>Isento</t>
        </is>
      </c>
    </row>
    <row r="3933" ht="22" customHeight="1">
      <c r="A3933" s="6" t="inlineStr">
        <is>
          <t>CUL-3929</t>
        </is>
      </c>
      <c r="B3933" s="5" t="n">
        <v>778</v>
      </c>
      <c r="C3933" s="7" t="inlineStr">
        <is>
          <t>SIPEAGRO (UF-XXXXX)</t>
        </is>
      </c>
      <c r="D3933" s="8" t="inlineStr">
        <is>
          <t>KCL VERMELHO 60% K2O - JBS</t>
        </is>
      </c>
      <c r="E3933" s="7" t="inlineStr">
        <is>
          <t>Adubação de Solo / Foliar</t>
        </is>
      </c>
      <c r="F3933" s="7" t="inlineStr">
        <is>
          <t>Milho</t>
        </is>
      </c>
      <c r="G3933" s="7" t="inlineStr">
        <is>
          <t>Cultura Autorizada na Bula</t>
        </is>
      </c>
      <c r="H3933" s="7" t="inlineStr">
        <is>
          <t>100 a 300 L/ha</t>
        </is>
      </c>
      <c r="I3933" s="7" t="inlineStr">
        <is>
          <t>20 a 40 L/ha</t>
        </is>
      </c>
      <c r="J3933" s="7" t="inlineStr">
        <is>
          <t>Isento</t>
        </is>
      </c>
    </row>
    <row r="3934" ht="22" customHeight="1">
      <c r="A3934" s="12" t="inlineStr">
        <is>
          <t>CUL-3930</t>
        </is>
      </c>
      <c r="B3934" s="11" t="n">
        <v>778</v>
      </c>
      <c r="C3934" s="13" t="inlineStr">
        <is>
          <t>SIPEAGRO (UF-XXXXX)</t>
        </is>
      </c>
      <c r="D3934" s="14" t="inlineStr">
        <is>
          <t>KCL VERMELHO 60% K2O - JBS</t>
        </is>
      </c>
      <c r="E3934" s="13" t="inlineStr">
        <is>
          <t>Adubação de Solo / Foliar</t>
        </is>
      </c>
      <c r="F3934" s="13" t="inlineStr">
        <is>
          <t>Algodão</t>
        </is>
      </c>
      <c r="G3934" s="13" t="inlineStr">
        <is>
          <t>Cultura Autorizada na Bula</t>
        </is>
      </c>
      <c r="H3934" s="13" t="inlineStr">
        <is>
          <t>100 a 300 L/ha</t>
        </is>
      </c>
      <c r="I3934" s="13" t="inlineStr">
        <is>
          <t>20 a 40 L/ha</t>
        </is>
      </c>
      <c r="J3934" s="13" t="inlineStr">
        <is>
          <t>Isento</t>
        </is>
      </c>
    </row>
    <row r="3935" ht="22" customHeight="1">
      <c r="A3935" s="6" t="inlineStr">
        <is>
          <t>CUL-3931</t>
        </is>
      </c>
      <c r="B3935" s="5" t="n">
        <v>778</v>
      </c>
      <c r="C3935" s="7" t="inlineStr">
        <is>
          <t>SIPEAGRO (UF-XXXXX)</t>
        </is>
      </c>
      <c r="D3935" s="8" t="inlineStr">
        <is>
          <t>KCL VERMELHO 60% K2O - JBS</t>
        </is>
      </c>
      <c r="E3935" s="7" t="inlineStr">
        <is>
          <t>Adubação de Solo / Foliar</t>
        </is>
      </c>
      <c r="F3935" s="7" t="inlineStr">
        <is>
          <t>Cana-de-açúcar</t>
        </is>
      </c>
      <c r="G3935" s="7" t="inlineStr">
        <is>
          <t>Cultura Autorizada na Bula</t>
        </is>
      </c>
      <c r="H3935" s="7" t="inlineStr">
        <is>
          <t>100 a 300 L/ha</t>
        </is>
      </c>
      <c r="I3935" s="7" t="inlineStr">
        <is>
          <t>20 a 40 L/ha</t>
        </is>
      </c>
      <c r="J3935" s="7" t="inlineStr">
        <is>
          <t>Isento</t>
        </is>
      </c>
    </row>
    <row r="3936" ht="22" customHeight="1">
      <c r="A3936" s="12" t="inlineStr">
        <is>
          <t>CUL-3932</t>
        </is>
      </c>
      <c r="B3936" s="11" t="n">
        <v>778</v>
      </c>
      <c r="C3936" s="13" t="inlineStr">
        <is>
          <t>SIPEAGRO (UF-XXXXX)</t>
        </is>
      </c>
      <c r="D3936" s="14" t="inlineStr">
        <is>
          <t>KCL VERMELHO 60% K2O - JBS</t>
        </is>
      </c>
      <c r="E3936" s="13" t="inlineStr">
        <is>
          <t>Adubação de Solo / Foliar</t>
        </is>
      </c>
      <c r="F3936" s="13" t="inlineStr">
        <is>
          <t>Café</t>
        </is>
      </c>
      <c r="G3936" s="13" t="inlineStr">
        <is>
          <t>Cultura Autorizada na Bula</t>
        </is>
      </c>
      <c r="H3936" s="13" t="inlineStr">
        <is>
          <t>100 a 300 L/ha</t>
        </is>
      </c>
      <c r="I3936" s="13" t="inlineStr">
        <is>
          <t>20 a 40 L/ha</t>
        </is>
      </c>
      <c r="J3936" s="13" t="inlineStr">
        <is>
          <t>Isento</t>
        </is>
      </c>
    </row>
    <row r="3937" ht="22" customHeight="1">
      <c r="A3937" s="6" t="inlineStr">
        <is>
          <t>CUL-3933</t>
        </is>
      </c>
      <c r="B3937" s="5" t="n">
        <v>779</v>
      </c>
      <c r="C3937" s="7" t="inlineStr">
        <is>
          <t>Nº 25224</t>
        </is>
      </c>
      <c r="D3937" s="8" t="inlineStr">
        <is>
          <t>CLETODIM 240 EC BRILLIANCE 0,2L AMOSTRA (IMP) GB</t>
        </is>
      </c>
      <c r="E3937" s="7" t="inlineStr">
        <is>
          <t>Pulverização Agrícola Conforme Bula</t>
        </is>
      </c>
      <c r="F3937" s="7" t="inlineStr">
        <is>
          <t>Soja</t>
        </is>
      </c>
      <c r="G3937" s="7" t="inlineStr">
        <is>
          <t>Cultura Autorizada na Bula</t>
        </is>
      </c>
      <c r="H3937" s="7" t="inlineStr">
        <is>
          <t>100 a 300 L/ha</t>
        </is>
      </c>
      <c r="I3937" s="7" t="inlineStr">
        <is>
          <t>20 a 40 L/ha</t>
        </is>
      </c>
      <c r="J3937" s="7" t="inlineStr">
        <is>
          <t>60 dias</t>
        </is>
      </c>
    </row>
    <row r="3938" ht="22" customHeight="1">
      <c r="A3938" s="12" t="inlineStr">
        <is>
          <t>CUL-3934</t>
        </is>
      </c>
      <c r="B3938" s="11" t="n">
        <v>779</v>
      </c>
      <c r="C3938" s="13" t="inlineStr">
        <is>
          <t>Nº 25224</t>
        </is>
      </c>
      <c r="D3938" s="14" t="inlineStr">
        <is>
          <t>CLETODIM 240 EC BRILLIANCE 0,2L AMOSTRA (IMP) GB</t>
        </is>
      </c>
      <c r="E3938" s="13" t="inlineStr">
        <is>
          <t>Pulverização Agrícola Conforme Bula</t>
        </is>
      </c>
      <c r="F3938" s="13" t="inlineStr">
        <is>
          <t>Algodão</t>
        </is>
      </c>
      <c r="G3938" s="13" t="inlineStr">
        <is>
          <t>Cultura Autorizada na Bula</t>
        </is>
      </c>
      <c r="H3938" s="13" t="inlineStr">
        <is>
          <t>100 a 300 L/ha</t>
        </is>
      </c>
      <c r="I3938" s="13" t="inlineStr">
        <is>
          <t>20 a 40 L/ha</t>
        </is>
      </c>
      <c r="J3938" s="13" t="inlineStr">
        <is>
          <t>58 dias</t>
        </is>
      </c>
    </row>
    <row r="3939" ht="22" customHeight="1">
      <c r="A3939" s="6" t="inlineStr">
        <is>
          <t>CUL-3935</t>
        </is>
      </c>
      <c r="B3939" s="5" t="n">
        <v>779</v>
      </c>
      <c r="C3939" s="7" t="inlineStr">
        <is>
          <t>Nº 25224</t>
        </is>
      </c>
      <c r="D3939" s="8" t="inlineStr">
        <is>
          <t>CLETODIM 240 EC BRILLIANCE 0,2L AMOSTRA (IMP) GB</t>
        </is>
      </c>
      <c r="E3939" s="7" t="inlineStr">
        <is>
          <t>Pulverização Agrícola Conforme Bula</t>
        </is>
      </c>
      <c r="F3939" s="7" t="inlineStr">
        <is>
          <t>Feijão</t>
        </is>
      </c>
      <c r="G3939" s="7" t="inlineStr">
        <is>
          <t>Cultura Autorizada na Bula</t>
        </is>
      </c>
      <c r="H3939" s="7" t="inlineStr">
        <is>
          <t>100 a 300 L/ha</t>
        </is>
      </c>
      <c r="I3939" s="7" t="inlineStr">
        <is>
          <t>20 a 40 L/ha</t>
        </is>
      </c>
      <c r="J3939" s="7" t="inlineStr">
        <is>
          <t>40 dias</t>
        </is>
      </c>
    </row>
    <row r="3940" ht="22" customHeight="1">
      <c r="A3940" s="12" t="inlineStr">
        <is>
          <t>CUL-3936</t>
        </is>
      </c>
      <c r="B3940" s="11" t="n">
        <v>779</v>
      </c>
      <c r="C3940" s="13" t="inlineStr">
        <is>
          <t>Nº 25224</t>
        </is>
      </c>
      <c r="D3940" s="14" t="inlineStr">
        <is>
          <t>CLETODIM 240 EC BRILLIANCE 0,2L AMOSTRA (IMP) GB</t>
        </is>
      </c>
      <c r="E3940" s="13" t="inlineStr">
        <is>
          <t>Pulverização Agrícola Conforme Bula</t>
        </is>
      </c>
      <c r="F3940" s="13" t="inlineStr">
        <is>
          <t>Café</t>
        </is>
      </c>
      <c r="G3940" s="13" t="inlineStr">
        <is>
          <t>Cultura Autorizada na Bula</t>
        </is>
      </c>
      <c r="H3940" s="13" t="inlineStr">
        <is>
          <t>100 a 300 L/ha</t>
        </is>
      </c>
      <c r="I3940" s="13" t="inlineStr">
        <is>
          <t>20 a 40 L/ha</t>
        </is>
      </c>
      <c r="J3940" s="13" t="inlineStr">
        <is>
          <t>14 dias</t>
        </is>
      </c>
    </row>
    <row r="3941" ht="22" customHeight="1">
      <c r="A3941" s="6" t="inlineStr">
        <is>
          <t>CUL-3937</t>
        </is>
      </c>
      <c r="B3941" s="5" t="n">
        <v>779</v>
      </c>
      <c r="C3941" s="7" t="inlineStr">
        <is>
          <t>Nº 25224</t>
        </is>
      </c>
      <c r="D3941" s="8" t="inlineStr">
        <is>
          <t>CLETODIM 240 EC BRILLIANCE 0,2L AMOSTRA (IMP) GB</t>
        </is>
      </c>
      <c r="E3941" s="7" t="inlineStr">
        <is>
          <t>Pulverização Agrícola Conforme Bula</t>
        </is>
      </c>
      <c r="F3941" s="7" t="inlineStr">
        <is>
          <t>Batata</t>
        </is>
      </c>
      <c r="G3941" s="7" t="inlineStr">
        <is>
          <t>Cultura Autorizada na Bula</t>
        </is>
      </c>
      <c r="H3941" s="7" t="inlineStr">
        <is>
          <t>100 a 300 L/ha</t>
        </is>
      </c>
      <c r="I3941" s="7" t="inlineStr">
        <is>
          <t>20 a 40 L/ha</t>
        </is>
      </c>
      <c r="J3941" s="7" t="inlineStr">
        <is>
          <t>20 dias</t>
        </is>
      </c>
    </row>
    <row r="3942" ht="22" customHeight="1">
      <c r="A3942" s="12" t="inlineStr">
        <is>
          <t>CUL-3938</t>
        </is>
      </c>
      <c r="B3942" s="11" t="n">
        <v>779</v>
      </c>
      <c r="C3942" s="13" t="inlineStr">
        <is>
          <t>Nº 25224</t>
        </is>
      </c>
      <c r="D3942" s="14" t="inlineStr">
        <is>
          <t>CLETODIM 240 EC BRILLIANCE 0,2L AMOSTRA (IMP) GB</t>
        </is>
      </c>
      <c r="E3942" s="13" t="inlineStr">
        <is>
          <t>Pulverização Agrícola Conforme Bula</t>
        </is>
      </c>
      <c r="F3942" s="13" t="inlineStr">
        <is>
          <t>Mandioca</t>
        </is>
      </c>
      <c r="G3942" s="13" t="inlineStr">
        <is>
          <t>Cultura Autorizada na Bula</t>
        </is>
      </c>
      <c r="H3942" s="13" t="inlineStr">
        <is>
          <t>100 a 300 L/ha</t>
        </is>
      </c>
      <c r="I3942" s="13" t="inlineStr">
        <is>
          <t>20 a 40 L/ha</t>
        </is>
      </c>
      <c r="J3942" s="13" t="inlineStr">
        <is>
          <t>90 dias</t>
        </is>
      </c>
    </row>
    <row r="3943" ht="22" customHeight="1">
      <c r="A3943" s="6" t="inlineStr">
        <is>
          <t>CUL-3939</t>
        </is>
      </c>
      <c r="B3943" s="5" t="n">
        <v>779</v>
      </c>
      <c r="C3943" s="7" t="inlineStr">
        <is>
          <t>Nº 25224</t>
        </is>
      </c>
      <c r="D3943" s="8" t="inlineStr">
        <is>
          <t>CLETODIM 240 EC BRILLIANCE 0,2L AMOSTRA (IMP) GB</t>
        </is>
      </c>
      <c r="E3943" s="7" t="inlineStr">
        <is>
          <t>Pulverização Agrícola Conforme Bula</t>
        </is>
      </c>
      <c r="F3943" s="7" t="inlineStr">
        <is>
          <t>Tomate</t>
        </is>
      </c>
      <c r="G3943" s="7" t="inlineStr">
        <is>
          <t>Cultura Autorizada na Bula</t>
        </is>
      </c>
      <c r="H3943" s="7" t="inlineStr">
        <is>
          <t>100 a 300 L/ha</t>
        </is>
      </c>
      <c r="I3943" s="7" t="inlineStr">
        <is>
          <t>20 a 40 L/ha</t>
        </is>
      </c>
      <c r="J3943" s="7" t="inlineStr">
        <is>
          <t>20 dias</t>
        </is>
      </c>
    </row>
    <row r="3944" ht="22" customHeight="1">
      <c r="A3944" s="12" t="inlineStr">
        <is>
          <t>CUL-3940</t>
        </is>
      </c>
      <c r="B3944" s="11" t="n">
        <v>780</v>
      </c>
      <c r="C3944" s="13" t="inlineStr">
        <is>
          <t>Nº 26820</t>
        </is>
      </c>
      <c r="D3944" s="14" t="inlineStr">
        <is>
          <t>CRUZARO 480 EC 0,2L AMOSTRA (IMP) GL</t>
        </is>
      </c>
      <c r="E3944" s="13" t="inlineStr">
        <is>
          <t>Pulverização Agrícola Conforme Bula</t>
        </is>
      </c>
      <c r="F3944" s="13" t="inlineStr">
        <is>
          <t>Soja (Dessecação Pré-Plantio)</t>
        </is>
      </c>
      <c r="G3944" s="13" t="inlineStr">
        <is>
          <t>Cultura Autorizada na Bula</t>
        </is>
      </c>
      <c r="H3944" s="13" t="inlineStr">
        <is>
          <t>100 a 300 L/ha</t>
        </is>
      </c>
      <c r="I3944" s="13" t="inlineStr">
        <is>
          <t>20 a 40 L/ha</t>
        </is>
      </c>
      <c r="J3944" s="13" t="inlineStr">
        <is>
          <t>N/D</t>
        </is>
      </c>
    </row>
    <row r="3945" ht="22" customHeight="1">
      <c r="A3945" s="6" t="inlineStr">
        <is>
          <t>CUL-3941</t>
        </is>
      </c>
      <c r="B3945" s="5" t="n">
        <v>780</v>
      </c>
      <c r="C3945" s="7" t="inlineStr">
        <is>
          <t>Nº 26820</t>
        </is>
      </c>
      <c r="D3945" s="8" t="inlineStr">
        <is>
          <t>CRUZARO 480 EC 0,2L AMOSTRA (IMP) GL</t>
        </is>
      </c>
      <c r="E3945" s="7" t="inlineStr">
        <is>
          <t>Pulverização Agrícola Conforme Bula</t>
        </is>
      </c>
      <c r="F3945" s="7" t="inlineStr">
        <is>
          <t>Pastagens</t>
        </is>
      </c>
      <c r="G3945" s="7" t="inlineStr">
        <is>
          <t>Cultura Autorizada na Bula</t>
        </is>
      </c>
      <c r="H3945" s="7" t="inlineStr">
        <is>
          <t>100 a 300 L/ha</t>
        </is>
      </c>
      <c r="I3945" s="7" t="inlineStr">
        <is>
          <t>20 a 40 L/ha</t>
        </is>
      </c>
      <c r="J3945" s="7" t="inlineStr">
        <is>
          <t>N/D</t>
        </is>
      </c>
    </row>
    <row r="3946" ht="22" customHeight="1">
      <c r="A3946" s="12" t="inlineStr">
        <is>
          <t>CUL-3942</t>
        </is>
      </c>
      <c r="B3946" s="11" t="n">
        <v>780</v>
      </c>
      <c r="C3946" s="13" t="inlineStr">
        <is>
          <t>Nº 26820</t>
        </is>
      </c>
      <c r="D3946" s="14" t="inlineStr">
        <is>
          <t>CRUZARO 480 EC 0,2L AMOSTRA (IMP) GL</t>
        </is>
      </c>
      <c r="E3946" s="13" t="inlineStr">
        <is>
          <t>Pulverização Agrícola Conforme Bula</t>
        </is>
      </c>
      <c r="F3946" s="13" t="inlineStr">
        <is>
          <t>Arroz Irrigado</t>
        </is>
      </c>
      <c r="G3946" s="13" t="inlineStr">
        <is>
          <t>Cultura Autorizada na Bula</t>
        </is>
      </c>
      <c r="H3946" s="13" t="inlineStr">
        <is>
          <t>100 a 300 L/ha</t>
        </is>
      </c>
      <c r="I3946" s="13" t="inlineStr">
        <is>
          <t>20 a 40 L/ha</t>
        </is>
      </c>
      <c r="J3946" s="13" t="inlineStr">
        <is>
          <t>30 dias</t>
        </is>
      </c>
    </row>
    <row r="3947" ht="22" customHeight="1">
      <c r="A3947" s="6" t="inlineStr">
        <is>
          <t>CUL-3943</t>
        </is>
      </c>
      <c r="B3947" s="5" t="n">
        <v>780</v>
      </c>
      <c r="C3947" s="7" t="inlineStr">
        <is>
          <t>Nº 26820</t>
        </is>
      </c>
      <c r="D3947" s="8" t="inlineStr">
        <is>
          <t>CRUZARO 480 EC 0,2L AMOSTRA (IMP) GL</t>
        </is>
      </c>
      <c r="E3947" s="7" t="inlineStr">
        <is>
          <t>Pulverização Agrícola Conforme Bula</t>
        </is>
      </c>
      <c r="F3947" s="7" t="inlineStr">
        <is>
          <t>Eucalipto</t>
        </is>
      </c>
      <c r="G3947" s="7" t="inlineStr">
        <is>
          <t>Cultura Autorizada na Bula</t>
        </is>
      </c>
      <c r="H3947" s="7" t="inlineStr">
        <is>
          <t>100 a 300 L/ha</t>
        </is>
      </c>
      <c r="I3947" s="7" t="inlineStr">
        <is>
          <t>20 a 40 L/ha</t>
        </is>
      </c>
      <c r="J3947" s="7" t="inlineStr">
        <is>
          <t>U.N.A.</t>
        </is>
      </c>
    </row>
    <row r="3948" ht="22" customHeight="1">
      <c r="A3948" s="12" t="inlineStr">
        <is>
          <t>CUL-3944</t>
        </is>
      </c>
      <c r="B3948" s="11" t="n">
        <v>781</v>
      </c>
      <c r="C3948" s="13" t="inlineStr">
        <is>
          <t>Nº 40024</t>
        </is>
      </c>
      <c r="D3948" s="14" t="inlineStr">
        <is>
          <t>FOLICRON</t>
        </is>
      </c>
      <c r="E3948" s="13" t="inlineStr">
        <is>
          <t>Pulverização Agrícola Conforme Bula</t>
        </is>
      </c>
      <c r="F3948" s="13" t="inlineStr">
        <is>
          <t>Soja</t>
        </is>
      </c>
      <c r="G3948" s="13" t="inlineStr">
        <is>
          <t>Cultura Autorizada na Bula</t>
        </is>
      </c>
      <c r="H3948" s="13" t="inlineStr">
        <is>
          <t>100 a 300 L/ha</t>
        </is>
      </c>
      <c r="I3948" s="13" t="inlineStr">
        <is>
          <t>20 a 40 L/ha</t>
        </is>
      </c>
      <c r="J3948" s="13" t="inlineStr">
        <is>
          <t>30 dias</t>
        </is>
      </c>
    </row>
    <row r="3949" ht="22" customHeight="1">
      <c r="A3949" s="6" t="inlineStr">
        <is>
          <t>CUL-3945</t>
        </is>
      </c>
      <c r="B3949" s="5" t="n">
        <v>781</v>
      </c>
      <c r="C3949" s="7" t="inlineStr">
        <is>
          <t>Nº 40024</t>
        </is>
      </c>
      <c r="D3949" s="8" t="inlineStr">
        <is>
          <t>FOLICRON</t>
        </is>
      </c>
      <c r="E3949" s="7" t="inlineStr">
        <is>
          <t>Pulverização Agrícola Conforme Bula</t>
        </is>
      </c>
      <c r="F3949" s="7" t="inlineStr">
        <is>
          <t>Milho</t>
        </is>
      </c>
      <c r="G3949" s="7" t="inlineStr">
        <is>
          <t>Cultura Autorizada na Bula</t>
        </is>
      </c>
      <c r="H3949" s="7" t="inlineStr">
        <is>
          <t>100 a 300 L/ha</t>
        </is>
      </c>
      <c r="I3949" s="7" t="inlineStr">
        <is>
          <t>20 a 40 L/ha</t>
        </is>
      </c>
      <c r="J3949" s="7" t="inlineStr">
        <is>
          <t>30 dias</t>
        </is>
      </c>
    </row>
    <row r="3950" ht="22" customHeight="1">
      <c r="A3950" s="12" t="inlineStr">
        <is>
          <t>CUL-3946</t>
        </is>
      </c>
      <c r="B3950" s="11" t="n">
        <v>781</v>
      </c>
      <c r="C3950" s="13" t="inlineStr">
        <is>
          <t>Nº 40024</t>
        </is>
      </c>
      <c r="D3950" s="14" t="inlineStr">
        <is>
          <t>FOLICRON</t>
        </is>
      </c>
      <c r="E3950" s="13" t="inlineStr">
        <is>
          <t>Pulverização Agrícola Conforme Bula</t>
        </is>
      </c>
      <c r="F3950" s="13" t="inlineStr">
        <is>
          <t>Algodão</t>
        </is>
      </c>
      <c r="G3950" s="13" t="inlineStr">
        <is>
          <t>Cultura Autorizada na Bula</t>
        </is>
      </c>
      <c r="H3950" s="13" t="inlineStr">
        <is>
          <t>100 a 300 L/ha</t>
        </is>
      </c>
      <c r="I3950" s="13" t="inlineStr">
        <is>
          <t>20 a 40 L/ha</t>
        </is>
      </c>
      <c r="J3950" s="13" t="inlineStr">
        <is>
          <t>30 dias</t>
        </is>
      </c>
    </row>
    <row r="3951" ht="22" customHeight="1">
      <c r="A3951" s="6" t="inlineStr">
        <is>
          <t>CUL-3947</t>
        </is>
      </c>
      <c r="B3951" s="5" t="n">
        <v>781</v>
      </c>
      <c r="C3951" s="7" t="inlineStr">
        <is>
          <t>Nº 40024</t>
        </is>
      </c>
      <c r="D3951" s="8" t="inlineStr">
        <is>
          <t>FOLICRON</t>
        </is>
      </c>
      <c r="E3951" s="7" t="inlineStr">
        <is>
          <t>Pulverização Agrícola Conforme Bula</t>
        </is>
      </c>
      <c r="F3951" s="7" t="inlineStr">
        <is>
          <t>Trigo</t>
        </is>
      </c>
      <c r="G3951" s="7" t="inlineStr">
        <is>
          <t>Cultura Autorizada na Bula</t>
        </is>
      </c>
      <c r="H3951" s="7" t="inlineStr">
        <is>
          <t>100 a 300 L/ha</t>
        </is>
      </c>
      <c r="I3951" s="7" t="inlineStr">
        <is>
          <t>20 a 40 L/ha</t>
        </is>
      </c>
      <c r="J3951" s="7" t="inlineStr">
        <is>
          <t>30 dias</t>
        </is>
      </c>
    </row>
    <row r="3952" ht="22" customHeight="1">
      <c r="A3952" s="12" t="inlineStr">
        <is>
          <t>CUL-3948</t>
        </is>
      </c>
      <c r="B3952" s="11" t="n">
        <v>781</v>
      </c>
      <c r="C3952" s="13" t="inlineStr">
        <is>
          <t>Nº 40024</t>
        </is>
      </c>
      <c r="D3952" s="14" t="inlineStr">
        <is>
          <t>FOLICRON</t>
        </is>
      </c>
      <c r="E3952" s="13" t="inlineStr">
        <is>
          <t>Pulverização Agrícola Conforme Bula</t>
        </is>
      </c>
      <c r="F3952" s="13" t="inlineStr">
        <is>
          <t>Feijão</t>
        </is>
      </c>
      <c r="G3952" s="13" t="inlineStr">
        <is>
          <t>Cultura Autorizada na Bula</t>
        </is>
      </c>
      <c r="H3952" s="13" t="inlineStr">
        <is>
          <t>100 a 300 L/ha</t>
        </is>
      </c>
      <c r="I3952" s="13" t="inlineStr">
        <is>
          <t>20 a 40 L/ha</t>
        </is>
      </c>
      <c r="J3952" s="13" t="inlineStr">
        <is>
          <t>14 dias</t>
        </is>
      </c>
    </row>
    <row r="3953" ht="22" customHeight="1">
      <c r="A3953" s="6" t="inlineStr">
        <is>
          <t>CUL-3949</t>
        </is>
      </c>
      <c r="B3953" s="5" t="n">
        <v>782</v>
      </c>
      <c r="C3953" s="7" t="inlineStr">
        <is>
          <t>Nº 11325</t>
        </is>
      </c>
      <c r="D3953" s="8" t="inlineStr">
        <is>
          <t>VISTARA</t>
        </is>
      </c>
      <c r="E3953" s="7" t="inlineStr">
        <is>
          <t>Pulverização Agrícola Conforme Bula</t>
        </is>
      </c>
      <c r="F3953" s="7" t="inlineStr">
        <is>
          <t>Soja</t>
        </is>
      </c>
      <c r="G3953" s="7" t="inlineStr">
        <is>
          <t>Cultura Autorizada na Bula</t>
        </is>
      </c>
      <c r="H3953" s="7" t="inlineStr">
        <is>
          <t>100 a 300 L/ha</t>
        </is>
      </c>
      <c r="I3953" s="7" t="inlineStr">
        <is>
          <t>20 a 40 L/ha</t>
        </is>
      </c>
      <c r="J3953" s="7" t="inlineStr">
        <is>
          <t>30 dias</t>
        </is>
      </c>
    </row>
    <row r="3954" ht="22" customHeight="1">
      <c r="A3954" s="12" t="inlineStr">
        <is>
          <t>CUL-3950</t>
        </is>
      </c>
      <c r="B3954" s="11" t="n">
        <v>782</v>
      </c>
      <c r="C3954" s="13" t="inlineStr">
        <is>
          <t>Nº 11325</t>
        </is>
      </c>
      <c r="D3954" s="14" t="inlineStr">
        <is>
          <t>VISTARA</t>
        </is>
      </c>
      <c r="E3954" s="13" t="inlineStr">
        <is>
          <t>Pulverização Agrícola Conforme Bula</t>
        </is>
      </c>
      <c r="F3954" s="13" t="inlineStr">
        <is>
          <t>Milho</t>
        </is>
      </c>
      <c r="G3954" s="13" t="inlineStr">
        <is>
          <t>Cultura Autorizada na Bula</t>
        </is>
      </c>
      <c r="H3954" s="13" t="inlineStr">
        <is>
          <t>100 a 300 L/ha</t>
        </is>
      </c>
      <c r="I3954" s="13" t="inlineStr">
        <is>
          <t>20 a 40 L/ha</t>
        </is>
      </c>
      <c r="J3954" s="13" t="inlineStr">
        <is>
          <t>30 dias</t>
        </is>
      </c>
    </row>
    <row r="3955" ht="22" customHeight="1">
      <c r="A3955" s="6" t="inlineStr">
        <is>
          <t>CUL-3951</t>
        </is>
      </c>
      <c r="B3955" s="5" t="n">
        <v>782</v>
      </c>
      <c r="C3955" s="7" t="inlineStr">
        <is>
          <t>Nº 11325</t>
        </is>
      </c>
      <c r="D3955" s="8" t="inlineStr">
        <is>
          <t>VISTARA</t>
        </is>
      </c>
      <c r="E3955" s="7" t="inlineStr">
        <is>
          <t>Pulverização Agrícola Conforme Bula</t>
        </is>
      </c>
      <c r="F3955" s="7" t="inlineStr">
        <is>
          <t>Algodão</t>
        </is>
      </c>
      <c r="G3955" s="7" t="inlineStr">
        <is>
          <t>Cultura Autorizada na Bula</t>
        </is>
      </c>
      <c r="H3955" s="7" t="inlineStr">
        <is>
          <t>100 a 300 L/ha</t>
        </is>
      </c>
      <c r="I3955" s="7" t="inlineStr">
        <is>
          <t>20 a 40 L/ha</t>
        </is>
      </c>
      <c r="J3955" s="7" t="inlineStr">
        <is>
          <t>30 dias</t>
        </is>
      </c>
    </row>
    <row r="3956" ht="22" customHeight="1">
      <c r="A3956" s="12" t="inlineStr">
        <is>
          <t>CUL-3952</t>
        </is>
      </c>
      <c r="B3956" s="11" t="n">
        <v>782</v>
      </c>
      <c r="C3956" s="13" t="inlineStr">
        <is>
          <t>Nº 11325</t>
        </is>
      </c>
      <c r="D3956" s="14" t="inlineStr">
        <is>
          <t>VISTARA</t>
        </is>
      </c>
      <c r="E3956" s="13" t="inlineStr">
        <is>
          <t>Pulverização Agrícola Conforme Bula</t>
        </is>
      </c>
      <c r="F3956" s="13" t="inlineStr">
        <is>
          <t>Trigo</t>
        </is>
      </c>
      <c r="G3956" s="13" t="inlineStr">
        <is>
          <t>Cultura Autorizada na Bula</t>
        </is>
      </c>
      <c r="H3956" s="13" t="inlineStr">
        <is>
          <t>100 a 300 L/ha</t>
        </is>
      </c>
      <c r="I3956" s="13" t="inlineStr">
        <is>
          <t>20 a 40 L/ha</t>
        </is>
      </c>
      <c r="J3956" s="13" t="inlineStr">
        <is>
          <t>30 dias</t>
        </is>
      </c>
    </row>
    <row r="3957" ht="22" customHeight="1">
      <c r="A3957" s="6" t="inlineStr">
        <is>
          <t>CUL-3953</t>
        </is>
      </c>
      <c r="B3957" s="5" t="n">
        <v>782</v>
      </c>
      <c r="C3957" s="7" t="inlineStr">
        <is>
          <t>Nº 11325</t>
        </is>
      </c>
      <c r="D3957" s="8" t="inlineStr">
        <is>
          <t>VISTARA</t>
        </is>
      </c>
      <c r="E3957" s="7" t="inlineStr">
        <is>
          <t>Pulverização Agrícola Conforme Bula</t>
        </is>
      </c>
      <c r="F3957" s="7" t="inlineStr">
        <is>
          <t>Feijão</t>
        </is>
      </c>
      <c r="G3957" s="7" t="inlineStr">
        <is>
          <t>Cultura Autorizada na Bula</t>
        </is>
      </c>
      <c r="H3957" s="7" t="inlineStr">
        <is>
          <t>100 a 300 L/ha</t>
        </is>
      </c>
      <c r="I3957" s="7" t="inlineStr">
        <is>
          <t>20 a 40 L/ha</t>
        </is>
      </c>
      <c r="J3957" s="7" t="inlineStr">
        <is>
          <t>14 dias</t>
        </is>
      </c>
    </row>
    <row r="3958" ht="22" customHeight="1">
      <c r="A3958" s="12" t="inlineStr">
        <is>
          <t>CUL-3954</t>
        </is>
      </c>
      <c r="B3958" s="11" t="n">
        <v>783</v>
      </c>
      <c r="C3958" s="13" t="inlineStr">
        <is>
          <t>Nº 27025</t>
        </is>
      </c>
      <c r="D3958" s="14" t="inlineStr">
        <is>
          <t>PYROX</t>
        </is>
      </c>
      <c r="E3958" s="13" t="inlineStr">
        <is>
          <t>Pulverização Agrícola Conforme Bula</t>
        </is>
      </c>
      <c r="F3958" s="13" t="inlineStr">
        <is>
          <t>Soja (Pré-Plantio)</t>
        </is>
      </c>
      <c r="G3958" s="13" t="inlineStr">
        <is>
          <t>Cultura Autorizada na Bula</t>
        </is>
      </c>
      <c r="H3958" s="13" t="inlineStr">
        <is>
          <t>100 a 300 L/ha</t>
        </is>
      </c>
      <c r="I3958" s="13" t="inlineStr">
        <is>
          <t>20 a 40 L/ha</t>
        </is>
      </c>
      <c r="J3958" s="13" t="inlineStr">
        <is>
          <t>N/D</t>
        </is>
      </c>
    </row>
    <row r="3959" ht="22" customHeight="1">
      <c r="A3959" s="6" t="inlineStr">
        <is>
          <t>CUL-3955</t>
        </is>
      </c>
      <c r="B3959" s="5" t="n">
        <v>783</v>
      </c>
      <c r="C3959" s="7" t="inlineStr">
        <is>
          <t>Nº 27025</t>
        </is>
      </c>
      <c r="D3959" s="8" t="inlineStr">
        <is>
          <t>PYROX</t>
        </is>
      </c>
      <c r="E3959" s="7" t="inlineStr">
        <is>
          <t>Pulverização Agrícola Conforme Bula</t>
        </is>
      </c>
      <c r="F3959" s="7" t="inlineStr">
        <is>
          <t>Algodão</t>
        </is>
      </c>
      <c r="G3959" s="7" t="inlineStr">
        <is>
          <t>Cultura Autorizada na Bula</t>
        </is>
      </c>
      <c r="H3959" s="7" t="inlineStr">
        <is>
          <t>100 a 300 L/ha</t>
        </is>
      </c>
      <c r="I3959" s="7" t="inlineStr">
        <is>
          <t>20 a 40 L/ha</t>
        </is>
      </c>
      <c r="J3959" s="7" t="inlineStr">
        <is>
          <t>90 dias</t>
        </is>
      </c>
    </row>
    <row r="3960" ht="22" customHeight="1">
      <c r="A3960" s="12" t="inlineStr">
        <is>
          <t>CUL-3956</t>
        </is>
      </c>
      <c r="B3960" s="11" t="n">
        <v>783</v>
      </c>
      <c r="C3960" s="13" t="inlineStr">
        <is>
          <t>Nº 27025</t>
        </is>
      </c>
      <c r="D3960" s="14" t="inlineStr">
        <is>
          <t>PYROX</t>
        </is>
      </c>
      <c r="E3960" s="13" t="inlineStr">
        <is>
          <t>Pulverização Agrícola Conforme Bula</t>
        </is>
      </c>
      <c r="F3960" s="13" t="inlineStr">
        <is>
          <t>Cana-de-açúcar</t>
        </is>
      </c>
      <c r="G3960" s="13" t="inlineStr">
        <is>
          <t>Cultura Autorizada na Bula</t>
        </is>
      </c>
      <c r="H3960" s="13" t="inlineStr">
        <is>
          <t>100 a 300 L/ha</t>
        </is>
      </c>
      <c r="I3960" s="13" t="inlineStr">
        <is>
          <t>20 a 40 L/ha</t>
        </is>
      </c>
      <c r="J3960" s="13" t="inlineStr">
        <is>
          <t>85 dias</t>
        </is>
      </c>
    </row>
    <row r="3961" ht="22" customHeight="1">
      <c r="A3961" s="6" t="inlineStr">
        <is>
          <t>CUL-3957</t>
        </is>
      </c>
      <c r="B3961" s="5" t="n">
        <v>783</v>
      </c>
      <c r="C3961" s="7" t="inlineStr">
        <is>
          <t>Nº 27025</t>
        </is>
      </c>
      <c r="D3961" s="8" t="inlineStr">
        <is>
          <t>PYROX</t>
        </is>
      </c>
      <c r="E3961" s="7" t="inlineStr">
        <is>
          <t>Pulverização Agrícola Conforme Bula</t>
        </is>
      </c>
      <c r="F3961" s="7" t="inlineStr">
        <is>
          <t>Café</t>
        </is>
      </c>
      <c r="G3961" s="7" t="inlineStr">
        <is>
          <t>Cultura Autorizada na Bula</t>
        </is>
      </c>
      <c r="H3961" s="7" t="inlineStr">
        <is>
          <t>100 a 300 L/ha</t>
        </is>
      </c>
      <c r="I3961" s="7" t="inlineStr">
        <is>
          <t>20 a 40 L/ha</t>
        </is>
      </c>
      <c r="J3961" s="7" t="inlineStr">
        <is>
          <t>15 dias</t>
        </is>
      </c>
    </row>
    <row r="3962" ht="22" customHeight="1">
      <c r="A3962" s="12" t="inlineStr">
        <is>
          <t>CUL-3958</t>
        </is>
      </c>
      <c r="B3962" s="11" t="n">
        <v>783</v>
      </c>
      <c r="C3962" s="13" t="inlineStr">
        <is>
          <t>Nº 27025</t>
        </is>
      </c>
      <c r="D3962" s="14" t="inlineStr">
        <is>
          <t>PYROX</t>
        </is>
      </c>
      <c r="E3962" s="13" t="inlineStr">
        <is>
          <t>Pulverização Agrícola Conforme Bula</t>
        </is>
      </c>
      <c r="F3962" s="13" t="inlineStr">
        <is>
          <t>Citros</t>
        </is>
      </c>
      <c r="G3962" s="13" t="inlineStr">
        <is>
          <t>Cultura Autorizada na Bula</t>
        </is>
      </c>
      <c r="H3962" s="13" t="inlineStr">
        <is>
          <t>100 a 300 L/ha</t>
        </is>
      </c>
      <c r="I3962" s="13" t="inlineStr">
        <is>
          <t>20 a 40 L/ha</t>
        </is>
      </c>
      <c r="J3962" s="13" t="inlineStr">
        <is>
          <t>N/D</t>
        </is>
      </c>
    </row>
    <row r="3963" ht="22" customHeight="1">
      <c r="A3963" s="6" t="inlineStr">
        <is>
          <t>CUL-3959</t>
        </is>
      </c>
      <c r="B3963" s="5" t="n">
        <v>783</v>
      </c>
      <c r="C3963" s="7" t="inlineStr">
        <is>
          <t>Nº 27025</t>
        </is>
      </c>
      <c r="D3963" s="8" t="inlineStr">
        <is>
          <t>PYROX</t>
        </is>
      </c>
      <c r="E3963" s="7" t="inlineStr">
        <is>
          <t>Pulverização Agrícola Conforme Bula</t>
        </is>
      </c>
      <c r="F3963" s="7" t="inlineStr">
        <is>
          <t>Feijão</t>
        </is>
      </c>
      <c r="G3963" s="7" t="inlineStr">
        <is>
          <t>Cultura Autorizada na Bula</t>
        </is>
      </c>
      <c r="H3963" s="7" t="inlineStr">
        <is>
          <t>100 a 300 L/ha</t>
        </is>
      </c>
      <c r="I3963" s="7" t="inlineStr">
        <is>
          <t>20 a 40 L/ha</t>
        </is>
      </c>
      <c r="J3963" s="7" t="inlineStr">
        <is>
          <t>N/D</t>
        </is>
      </c>
    </row>
    <row r="3964" ht="22" customHeight="1">
      <c r="A3964" s="12" t="inlineStr">
        <is>
          <t>CUL-3960</t>
        </is>
      </c>
      <c r="B3964" s="11" t="n">
        <v>784</v>
      </c>
      <c r="C3964" s="13" t="inlineStr">
        <is>
          <t>Nº 13714</t>
        </is>
      </c>
      <c r="D3964" s="14" t="inlineStr">
        <is>
          <t>WIPE OUT</t>
        </is>
      </c>
      <c r="E3964" s="13" t="inlineStr">
        <is>
          <t>Pulverização Agrícola Conforme Bula</t>
        </is>
      </c>
      <c r="F3964" s="13" t="inlineStr">
        <is>
          <t>Soja (Pré-Plantio / OGM)</t>
        </is>
      </c>
      <c r="G3964" s="13" t="inlineStr">
        <is>
          <t>Cultura Autorizada na Bula</t>
        </is>
      </c>
      <c r="H3964" s="13" t="inlineStr">
        <is>
          <t>100 a 300 L/ha</t>
        </is>
      </c>
      <c r="I3964" s="13" t="inlineStr">
        <is>
          <t>20 a 40 L/ha</t>
        </is>
      </c>
      <c r="J3964" s="13" t="inlineStr">
        <is>
          <t>56 dias</t>
        </is>
      </c>
    </row>
    <row r="3965" ht="22" customHeight="1">
      <c r="A3965" s="6" t="inlineStr">
        <is>
          <t>CUL-3961</t>
        </is>
      </c>
      <c r="B3965" s="5" t="n">
        <v>784</v>
      </c>
      <c r="C3965" s="7" t="inlineStr">
        <is>
          <t>Nº 13714</t>
        </is>
      </c>
      <c r="D3965" s="8" t="inlineStr">
        <is>
          <t>WIPE OUT</t>
        </is>
      </c>
      <c r="E3965" s="7" t="inlineStr">
        <is>
          <t>Pulverização Agrícola Conforme Bula</t>
        </is>
      </c>
      <c r="F3965" s="7" t="inlineStr">
        <is>
          <t>Milho (Pré-Plantio / OGM)</t>
        </is>
      </c>
      <c r="G3965" s="7" t="inlineStr">
        <is>
          <t>Cultura Autorizada na Bula</t>
        </is>
      </c>
      <c r="H3965" s="7" t="inlineStr">
        <is>
          <t>100 a 300 L/ha</t>
        </is>
      </c>
      <c r="I3965" s="7" t="inlineStr">
        <is>
          <t>20 a 40 L/ha</t>
        </is>
      </c>
      <c r="J3965" s="7" t="inlineStr">
        <is>
          <t>90 dias</t>
        </is>
      </c>
    </row>
    <row r="3966" ht="22" customHeight="1">
      <c r="A3966" s="12" t="inlineStr">
        <is>
          <t>CUL-3962</t>
        </is>
      </c>
      <c r="B3966" s="11" t="n">
        <v>784</v>
      </c>
      <c r="C3966" s="13" t="inlineStr">
        <is>
          <t>Nº 13714</t>
        </is>
      </c>
      <c r="D3966" s="14" t="inlineStr">
        <is>
          <t>WIPE OUT</t>
        </is>
      </c>
      <c r="E3966" s="13" t="inlineStr">
        <is>
          <t>Pulverização Agrícola Conforme Bula</t>
        </is>
      </c>
      <c r="F3966" s="13" t="inlineStr">
        <is>
          <t>Algodão (Pré-Plantio / OGM)</t>
        </is>
      </c>
      <c r="G3966" s="13" t="inlineStr">
        <is>
          <t>Cultura Autorizada na Bula</t>
        </is>
      </c>
      <c r="H3966" s="13" t="inlineStr">
        <is>
          <t>100 a 300 L/ha</t>
        </is>
      </c>
      <c r="I3966" s="13" t="inlineStr">
        <is>
          <t>20 a 40 L/ha</t>
        </is>
      </c>
      <c r="J3966" s="13" t="inlineStr">
        <is>
          <t>130 dias</t>
        </is>
      </c>
    </row>
    <row r="3967" ht="22" customHeight="1">
      <c r="A3967" s="6" t="inlineStr">
        <is>
          <t>CUL-3963</t>
        </is>
      </c>
      <c r="B3967" s="5" t="n">
        <v>784</v>
      </c>
      <c r="C3967" s="7" t="inlineStr">
        <is>
          <t>Nº 13714</t>
        </is>
      </c>
      <c r="D3967" s="8" t="inlineStr">
        <is>
          <t>WIPE OUT</t>
        </is>
      </c>
      <c r="E3967" s="7" t="inlineStr">
        <is>
          <t>Pulverização Agrícola Conforme Bula</t>
        </is>
      </c>
      <c r="F3967" s="7" t="inlineStr">
        <is>
          <t>Cana-de-açúcar</t>
        </is>
      </c>
      <c r="G3967" s="7" t="inlineStr">
        <is>
          <t>Cultura Autorizada na Bula</t>
        </is>
      </c>
      <c r="H3967" s="7" t="inlineStr">
        <is>
          <t>100 a 300 L/ha</t>
        </is>
      </c>
      <c r="I3967" s="7" t="inlineStr">
        <is>
          <t>20 a 40 L/ha</t>
        </is>
      </c>
      <c r="J3967" s="7" t="inlineStr">
        <is>
          <t>N/D</t>
        </is>
      </c>
    </row>
    <row r="3968" ht="22" customHeight="1">
      <c r="A3968" s="12" t="inlineStr">
        <is>
          <t>CUL-3964</t>
        </is>
      </c>
      <c r="B3968" s="11" t="n">
        <v>784</v>
      </c>
      <c r="C3968" s="13" t="inlineStr">
        <is>
          <t>Nº 13714</t>
        </is>
      </c>
      <c r="D3968" s="14" t="inlineStr">
        <is>
          <t>WIPE OUT</t>
        </is>
      </c>
      <c r="E3968" s="13" t="inlineStr">
        <is>
          <t>Pulverização Agrícola Conforme Bula</t>
        </is>
      </c>
      <c r="F3968" s="13" t="inlineStr">
        <is>
          <t>Café (Jato Dirigido)</t>
        </is>
      </c>
      <c r="G3968" s="13" t="inlineStr">
        <is>
          <t>Cultura Autorizada na Bula</t>
        </is>
      </c>
      <c r="H3968" s="13" t="inlineStr">
        <is>
          <t>100 a 300 L/ha</t>
        </is>
      </c>
      <c r="I3968" s="13" t="inlineStr">
        <is>
          <t>20 a 40 L/ha</t>
        </is>
      </c>
      <c r="J3968" s="13" t="inlineStr">
        <is>
          <t>15 dias</t>
        </is>
      </c>
    </row>
    <row r="3969" ht="22" customHeight="1">
      <c r="A3969" s="6" t="inlineStr">
        <is>
          <t>CUL-3965</t>
        </is>
      </c>
      <c r="B3969" s="5" t="n">
        <v>784</v>
      </c>
      <c r="C3969" s="7" t="inlineStr">
        <is>
          <t>Nº 13714</t>
        </is>
      </c>
      <c r="D3969" s="8" t="inlineStr">
        <is>
          <t>WIPE OUT</t>
        </is>
      </c>
      <c r="E3969" s="7" t="inlineStr">
        <is>
          <t>Pulverização Agrícola Conforme Bula</t>
        </is>
      </c>
      <c r="F3969" s="7" t="inlineStr">
        <is>
          <t>Citros (Jato Dirigido)</t>
        </is>
      </c>
      <c r="G3969" s="7" t="inlineStr">
        <is>
          <t>Cultura Autorizada na Bula</t>
        </is>
      </c>
      <c r="H3969" s="7" t="inlineStr">
        <is>
          <t>100 a 300 L/ha</t>
        </is>
      </c>
      <c r="I3969" s="7" t="inlineStr">
        <is>
          <t>20 a 40 L/ha</t>
        </is>
      </c>
      <c r="J3969" s="7" t="inlineStr">
        <is>
          <t>30 dias</t>
        </is>
      </c>
    </row>
    <row r="3970" ht="22" customHeight="1">
      <c r="A3970" s="12" t="inlineStr">
        <is>
          <t>CUL-3966</t>
        </is>
      </c>
      <c r="B3970" s="11" t="n">
        <v>784</v>
      </c>
      <c r="C3970" s="13" t="inlineStr">
        <is>
          <t>Nº 13714</t>
        </is>
      </c>
      <c r="D3970" s="14" t="inlineStr">
        <is>
          <t>WIPE OUT</t>
        </is>
      </c>
      <c r="E3970" s="13" t="inlineStr">
        <is>
          <t>Pulverização Agrícola Conforme Bula</t>
        </is>
      </c>
      <c r="F3970" s="13" t="inlineStr">
        <is>
          <t>Trigo (Pré-Plantio)</t>
        </is>
      </c>
      <c r="G3970" s="13" t="inlineStr">
        <is>
          <t>Cultura Autorizada na Bula</t>
        </is>
      </c>
      <c r="H3970" s="13" t="inlineStr">
        <is>
          <t>100 a 300 L/ha</t>
        </is>
      </c>
      <c r="I3970" s="13" t="inlineStr">
        <is>
          <t>20 a 40 L/ha</t>
        </is>
      </c>
      <c r="J3970" s="13" t="inlineStr">
        <is>
          <t>N/D</t>
        </is>
      </c>
    </row>
    <row r="3971" ht="22" customHeight="1">
      <c r="A3971" s="6" t="inlineStr">
        <is>
          <t>CUL-3967</t>
        </is>
      </c>
      <c r="B3971" s="5" t="n">
        <v>784</v>
      </c>
      <c r="C3971" s="7" t="inlineStr">
        <is>
          <t>Nº 13714</t>
        </is>
      </c>
      <c r="D3971" s="8" t="inlineStr">
        <is>
          <t>WIPE OUT</t>
        </is>
      </c>
      <c r="E3971" s="7" t="inlineStr">
        <is>
          <t>Pulverização Agrícola Conforme Bula</t>
        </is>
      </c>
      <c r="F3971" s="7" t="inlineStr">
        <is>
          <t>Pastagens</t>
        </is>
      </c>
      <c r="G3971" s="7" t="inlineStr">
        <is>
          <t>Cultura Autorizada na Bula</t>
        </is>
      </c>
      <c r="H3971" s="7" t="inlineStr">
        <is>
          <t>100 a 300 L/ha</t>
        </is>
      </c>
      <c r="I3971" s="7" t="inlineStr">
        <is>
          <t>20 a 40 L/ha</t>
        </is>
      </c>
      <c r="J3971" s="7" t="inlineStr">
        <is>
          <t>N/D</t>
        </is>
      </c>
    </row>
    <row r="3972" ht="22" customHeight="1">
      <c r="A3972" s="12" t="inlineStr">
        <is>
          <t>CUL-3968</t>
        </is>
      </c>
      <c r="B3972" s="11" t="n">
        <v>785</v>
      </c>
      <c r="C3972" s="13" t="inlineStr">
        <is>
          <t>Nº 16223</t>
        </is>
      </c>
      <c r="D3972" s="14" t="inlineStr">
        <is>
          <t>COMPRAY</t>
        </is>
      </c>
      <c r="E3972" s="13" t="inlineStr">
        <is>
          <t>Pulverização Agrícola Conforme Bula</t>
        </is>
      </c>
      <c r="F3972" s="13" t="inlineStr">
        <is>
          <t>Cana-de-açúcar</t>
        </is>
      </c>
      <c r="G3972" s="13" t="inlineStr">
        <is>
          <t>Cultura Autorizada na Bula</t>
        </is>
      </c>
      <c r="H3972" s="13" t="inlineStr">
        <is>
          <t>100 a 300 L/ha</t>
        </is>
      </c>
      <c r="I3972" s="13" t="inlineStr">
        <is>
          <t>20 a 40 L/ha</t>
        </is>
      </c>
      <c r="J3972" s="13" t="inlineStr">
        <is>
          <t>N/D</t>
        </is>
      </c>
    </row>
    <row r="3973" ht="22" customHeight="1">
      <c r="A3973" s="6" t="inlineStr">
        <is>
          <t>CUL-3969</t>
        </is>
      </c>
      <c r="B3973" s="5" t="n">
        <v>785</v>
      </c>
      <c r="C3973" s="7" t="inlineStr">
        <is>
          <t>Nº 16223</t>
        </is>
      </c>
      <c r="D3973" s="8" t="inlineStr">
        <is>
          <t>COMPRAY</t>
        </is>
      </c>
      <c r="E3973" s="7" t="inlineStr">
        <is>
          <t>Pulverização Agrícola Conforme Bula</t>
        </is>
      </c>
      <c r="F3973" s="7" t="inlineStr">
        <is>
          <t>Arroz</t>
        </is>
      </c>
      <c r="G3973" s="7" t="inlineStr">
        <is>
          <t>Cultura Autorizada na Bula</t>
        </is>
      </c>
      <c r="H3973" s="7" t="inlineStr">
        <is>
          <t>100 a 300 L/ha</t>
        </is>
      </c>
      <c r="I3973" s="7" t="inlineStr">
        <is>
          <t>20 a 40 L/ha</t>
        </is>
      </c>
      <c r="J3973" s="7" t="inlineStr">
        <is>
          <t>90 dias</t>
        </is>
      </c>
    </row>
    <row r="3974" ht="22" customHeight="1">
      <c r="A3974" s="12" t="inlineStr">
        <is>
          <t>CUL-3970</t>
        </is>
      </c>
      <c r="B3974" s="11" t="n">
        <v>785</v>
      </c>
      <c r="C3974" s="13" t="inlineStr">
        <is>
          <t>Nº 16223</t>
        </is>
      </c>
      <c r="D3974" s="14" t="inlineStr">
        <is>
          <t>COMPRAY</t>
        </is>
      </c>
      <c r="E3974" s="13" t="inlineStr">
        <is>
          <t>Pulverização Agrícola Conforme Bula</t>
        </is>
      </c>
      <c r="F3974" s="13" t="inlineStr">
        <is>
          <t>Soja</t>
        </is>
      </c>
      <c r="G3974" s="13" t="inlineStr">
        <is>
          <t>Cultura Autorizada na Bula</t>
        </is>
      </c>
      <c r="H3974" s="13" t="inlineStr">
        <is>
          <t>100 a 300 L/ha</t>
        </is>
      </c>
      <c r="I3974" s="13" t="inlineStr">
        <is>
          <t>20 a 40 L/ha</t>
        </is>
      </c>
      <c r="J3974" s="13" t="inlineStr">
        <is>
          <t>N/D</t>
        </is>
      </c>
    </row>
    <row r="3975" ht="22" customHeight="1">
      <c r="A3975" s="6" t="inlineStr">
        <is>
          <t>CUL-3971</t>
        </is>
      </c>
      <c r="B3975" s="5" t="n">
        <v>785</v>
      </c>
      <c r="C3975" s="7" t="inlineStr">
        <is>
          <t>Nº 16223</t>
        </is>
      </c>
      <c r="D3975" s="8" t="inlineStr">
        <is>
          <t>COMPRAY</t>
        </is>
      </c>
      <c r="E3975" s="7" t="inlineStr">
        <is>
          <t>Pulverização Agrícola Conforme Bula</t>
        </is>
      </c>
      <c r="F3975" s="7" t="inlineStr">
        <is>
          <t>Algodão</t>
        </is>
      </c>
      <c r="G3975" s="7" t="inlineStr">
        <is>
          <t>Cultura Autorizada na Bula</t>
        </is>
      </c>
      <c r="H3975" s="7" t="inlineStr">
        <is>
          <t>100 a 300 L/ha</t>
        </is>
      </c>
      <c r="I3975" s="7" t="inlineStr">
        <is>
          <t>20 a 40 L/ha</t>
        </is>
      </c>
      <c r="J3975" s="7" t="inlineStr">
        <is>
          <t>100 dias</t>
        </is>
      </c>
    </row>
    <row r="3976" ht="22" customHeight="1">
      <c r="A3976" s="12" t="inlineStr">
        <is>
          <t>CUL-3972</t>
        </is>
      </c>
      <c r="B3976" s="11" t="n">
        <v>785</v>
      </c>
      <c r="C3976" s="13" t="inlineStr">
        <is>
          <t>Nº 16223</t>
        </is>
      </c>
      <c r="D3976" s="14" t="inlineStr">
        <is>
          <t>COMPRAY</t>
        </is>
      </c>
      <c r="E3976" s="13" t="inlineStr">
        <is>
          <t>Pulverização Agrícola Conforme Bula</t>
        </is>
      </c>
      <c r="F3976" s="13" t="inlineStr">
        <is>
          <t>Mandioca</t>
        </is>
      </c>
      <c r="G3976" s="13" t="inlineStr">
        <is>
          <t>Cultura Autorizada na Bula</t>
        </is>
      </c>
      <c r="H3976" s="13" t="inlineStr">
        <is>
          <t>100 a 300 L/ha</t>
        </is>
      </c>
      <c r="I3976" s="13" t="inlineStr">
        <is>
          <t>20 a 40 L/ha</t>
        </is>
      </c>
      <c r="J3976" s="13" t="inlineStr">
        <is>
          <t>N/D</t>
        </is>
      </c>
    </row>
    <row r="3977" ht="22" customHeight="1">
      <c r="A3977" s="6" t="inlineStr">
        <is>
          <t>CUL-3973</t>
        </is>
      </c>
      <c r="B3977" s="5" t="n">
        <v>785</v>
      </c>
      <c r="C3977" s="7" t="inlineStr">
        <is>
          <t>Nº 16223</t>
        </is>
      </c>
      <c r="D3977" s="8" t="inlineStr">
        <is>
          <t>COMPRAY</t>
        </is>
      </c>
      <c r="E3977" s="7" t="inlineStr">
        <is>
          <t>Pulverização Agrícola Conforme Bula</t>
        </is>
      </c>
      <c r="F3977" s="7" t="inlineStr">
        <is>
          <t>Tabaco</t>
        </is>
      </c>
      <c r="G3977" s="7" t="inlineStr">
        <is>
          <t>Cultura Autorizada na Bula</t>
        </is>
      </c>
      <c r="H3977" s="7" t="inlineStr">
        <is>
          <t>100 a 300 L/ha</t>
        </is>
      </c>
      <c r="I3977" s="7" t="inlineStr">
        <is>
          <t>20 a 40 L/ha</t>
        </is>
      </c>
      <c r="J3977" s="7" t="inlineStr">
        <is>
          <t>N/D</t>
        </is>
      </c>
    </row>
    <row r="3978" ht="22" customHeight="1">
      <c r="A3978" s="12" t="inlineStr">
        <is>
          <t>CUL-3974</t>
        </is>
      </c>
      <c r="B3978" s="11" t="n">
        <v>786</v>
      </c>
      <c r="C3978" s="13" t="inlineStr">
        <is>
          <t>SIPEAGRO (UF-XXXXX)</t>
        </is>
      </c>
      <c r="D3978" s="14" t="inlineStr">
        <is>
          <t>MAP 11-52 - GRANULADO - REVENDA - JBS</t>
        </is>
      </c>
      <c r="E3978" s="13" t="inlineStr">
        <is>
          <t>Adubação de Solo / Foliar</t>
        </is>
      </c>
      <c r="F3978" s="13" t="inlineStr">
        <is>
          <t>Soja</t>
        </is>
      </c>
      <c r="G3978" s="13" t="inlineStr">
        <is>
          <t>Cultura Autorizada na Bula</t>
        </is>
      </c>
      <c r="H3978" s="13" t="inlineStr">
        <is>
          <t>100 a 300 L/ha</t>
        </is>
      </c>
      <c r="I3978" s="13" t="inlineStr">
        <is>
          <t>20 a 40 L/ha</t>
        </is>
      </c>
      <c r="J3978" s="13" t="inlineStr">
        <is>
          <t>Isento</t>
        </is>
      </c>
    </row>
    <row r="3979" ht="22" customHeight="1">
      <c r="A3979" s="6" t="inlineStr">
        <is>
          <t>CUL-3975</t>
        </is>
      </c>
      <c r="B3979" s="5" t="n">
        <v>786</v>
      </c>
      <c r="C3979" s="7" t="inlineStr">
        <is>
          <t>SIPEAGRO (UF-XXXXX)</t>
        </is>
      </c>
      <c r="D3979" s="8" t="inlineStr">
        <is>
          <t>MAP 11-52 - GRANULADO - REVENDA - JBS</t>
        </is>
      </c>
      <c r="E3979" s="7" t="inlineStr">
        <is>
          <t>Adubação de Solo / Foliar</t>
        </is>
      </c>
      <c r="F3979" s="7" t="inlineStr">
        <is>
          <t>Milho</t>
        </is>
      </c>
      <c r="G3979" s="7" t="inlineStr">
        <is>
          <t>Cultura Autorizada na Bula</t>
        </is>
      </c>
      <c r="H3979" s="7" t="inlineStr">
        <is>
          <t>100 a 300 L/ha</t>
        </is>
      </c>
      <c r="I3979" s="7" t="inlineStr">
        <is>
          <t>20 a 40 L/ha</t>
        </is>
      </c>
      <c r="J3979" s="7" t="inlineStr">
        <is>
          <t>Isento</t>
        </is>
      </c>
    </row>
    <row r="3980" ht="22" customHeight="1">
      <c r="A3980" s="12" t="inlineStr">
        <is>
          <t>CUL-3976</t>
        </is>
      </c>
      <c r="B3980" s="11" t="n">
        <v>786</v>
      </c>
      <c r="C3980" s="13" t="inlineStr">
        <is>
          <t>SIPEAGRO (UF-XXXXX)</t>
        </is>
      </c>
      <c r="D3980" s="14" t="inlineStr">
        <is>
          <t>MAP 11-52 - GRANULADO - REVENDA - JBS</t>
        </is>
      </c>
      <c r="E3980" s="13" t="inlineStr">
        <is>
          <t>Adubação de Solo / Foliar</t>
        </is>
      </c>
      <c r="F3980" s="13" t="inlineStr">
        <is>
          <t>Algodão</t>
        </is>
      </c>
      <c r="G3980" s="13" t="inlineStr">
        <is>
          <t>Cultura Autorizada na Bula</t>
        </is>
      </c>
      <c r="H3980" s="13" t="inlineStr">
        <is>
          <t>100 a 300 L/ha</t>
        </is>
      </c>
      <c r="I3980" s="13" t="inlineStr">
        <is>
          <t>20 a 40 L/ha</t>
        </is>
      </c>
      <c r="J3980" s="13" t="inlineStr">
        <is>
          <t>Isento</t>
        </is>
      </c>
    </row>
    <row r="3981" ht="22" customHeight="1">
      <c r="A3981" s="6" t="inlineStr">
        <is>
          <t>CUL-3977</t>
        </is>
      </c>
      <c r="B3981" s="5" t="n">
        <v>786</v>
      </c>
      <c r="C3981" s="7" t="inlineStr">
        <is>
          <t>SIPEAGRO (UF-XXXXX)</t>
        </is>
      </c>
      <c r="D3981" s="8" t="inlineStr">
        <is>
          <t>MAP 11-52 - GRANULADO - REVENDA - JBS</t>
        </is>
      </c>
      <c r="E3981" s="7" t="inlineStr">
        <is>
          <t>Adubação de Solo / Foliar</t>
        </is>
      </c>
      <c r="F3981" s="7" t="inlineStr">
        <is>
          <t>Cana-de-açúcar</t>
        </is>
      </c>
      <c r="G3981" s="7" t="inlineStr">
        <is>
          <t>Cultura Autorizada na Bula</t>
        </is>
      </c>
      <c r="H3981" s="7" t="inlineStr">
        <is>
          <t>100 a 300 L/ha</t>
        </is>
      </c>
      <c r="I3981" s="7" t="inlineStr">
        <is>
          <t>20 a 40 L/ha</t>
        </is>
      </c>
      <c r="J3981" s="7" t="inlineStr">
        <is>
          <t>Isento</t>
        </is>
      </c>
    </row>
    <row r="3982" ht="22" customHeight="1">
      <c r="A3982" s="12" t="inlineStr">
        <is>
          <t>CUL-3978</t>
        </is>
      </c>
      <c r="B3982" s="11" t="n">
        <v>786</v>
      </c>
      <c r="C3982" s="13" t="inlineStr">
        <is>
          <t>SIPEAGRO (UF-XXXXX)</t>
        </is>
      </c>
      <c r="D3982" s="14" t="inlineStr">
        <is>
          <t>MAP 11-52 - GRANULADO - REVENDA - JBS</t>
        </is>
      </c>
      <c r="E3982" s="13" t="inlineStr">
        <is>
          <t>Adubação de Solo / Foliar</t>
        </is>
      </c>
      <c r="F3982" s="13" t="inlineStr">
        <is>
          <t>Café</t>
        </is>
      </c>
      <c r="G3982" s="13" t="inlineStr">
        <is>
          <t>Cultura Autorizada na Bula</t>
        </is>
      </c>
      <c r="H3982" s="13" t="inlineStr">
        <is>
          <t>100 a 300 L/ha</t>
        </is>
      </c>
      <c r="I3982" s="13" t="inlineStr">
        <is>
          <t>20 a 40 L/ha</t>
        </is>
      </c>
      <c r="J3982" s="13" t="inlineStr">
        <is>
          <t>Isento</t>
        </is>
      </c>
    </row>
    <row r="3983" ht="22" customHeight="1">
      <c r="A3983" s="6" t="inlineStr">
        <is>
          <t>CUL-3979</t>
        </is>
      </c>
      <c r="B3983" s="5" t="n">
        <v>787</v>
      </c>
      <c r="C3983" s="7" t="inlineStr">
        <is>
          <t>Nº 3524</t>
        </is>
      </c>
      <c r="D3983" s="8" t="inlineStr">
        <is>
          <t>GLUFOSINATO 200 SL CROTECT</t>
        </is>
      </c>
      <c r="E3983" s="7" t="inlineStr">
        <is>
          <t>Pulverização Agrícola Conforme Bula</t>
        </is>
      </c>
      <c r="F3983" s="7" t="inlineStr">
        <is>
          <t>Soja (Pré-Plantio / OGM)</t>
        </is>
      </c>
      <c r="G3983" s="7" t="inlineStr">
        <is>
          <t>Cultura Autorizada na Bula</t>
        </is>
      </c>
      <c r="H3983" s="7" t="inlineStr">
        <is>
          <t>100 a 300 L/ha</t>
        </is>
      </c>
      <c r="I3983" s="7" t="inlineStr">
        <is>
          <t>20 a 40 L/ha</t>
        </is>
      </c>
      <c r="J3983" s="7" t="inlineStr">
        <is>
          <t>60 dias</t>
        </is>
      </c>
    </row>
    <row r="3984" ht="22" customHeight="1">
      <c r="A3984" s="12" t="inlineStr">
        <is>
          <t>CUL-3980</t>
        </is>
      </c>
      <c r="B3984" s="11" t="n">
        <v>787</v>
      </c>
      <c r="C3984" s="13" t="inlineStr">
        <is>
          <t>Nº 3524</t>
        </is>
      </c>
      <c r="D3984" s="14" t="inlineStr">
        <is>
          <t>GLUFOSINATO 200 SL CROTECT</t>
        </is>
      </c>
      <c r="E3984" s="13" t="inlineStr">
        <is>
          <t>Pulverização Agrícola Conforme Bula</t>
        </is>
      </c>
      <c r="F3984" s="13" t="inlineStr">
        <is>
          <t>Milho (Pré-Plantio / OGM)</t>
        </is>
      </c>
      <c r="G3984" s="13" t="inlineStr">
        <is>
          <t>Cultura Autorizada na Bula</t>
        </is>
      </c>
      <c r="H3984" s="13" t="inlineStr">
        <is>
          <t>100 a 300 L/ha</t>
        </is>
      </c>
      <c r="I3984" s="13" t="inlineStr">
        <is>
          <t>20 a 40 L/ha</t>
        </is>
      </c>
      <c r="J3984" s="13" t="inlineStr">
        <is>
          <t>40 dias</t>
        </is>
      </c>
    </row>
    <row r="3985" ht="22" customHeight="1">
      <c r="A3985" s="6" t="inlineStr">
        <is>
          <t>CUL-3981</t>
        </is>
      </c>
      <c r="B3985" s="5" t="n">
        <v>787</v>
      </c>
      <c r="C3985" s="7" t="inlineStr">
        <is>
          <t>Nº 3524</t>
        </is>
      </c>
      <c r="D3985" s="8" t="inlineStr">
        <is>
          <t>GLUFOSINATO 200 SL CROTECT</t>
        </is>
      </c>
      <c r="E3985" s="7" t="inlineStr">
        <is>
          <t>Pulverização Agrícola Conforme Bula</t>
        </is>
      </c>
      <c r="F3985" s="7" t="inlineStr">
        <is>
          <t>Algodão (Pré-Plantio / OGM / Desfolha)</t>
        </is>
      </c>
      <c r="G3985" s="7" t="inlineStr">
        <is>
          <t>Cultura Autorizada na Bula</t>
        </is>
      </c>
      <c r="H3985" s="7" t="inlineStr">
        <is>
          <t>100 a 300 L/ha</t>
        </is>
      </c>
      <c r="I3985" s="7" t="inlineStr">
        <is>
          <t>20 a 40 L/ha</t>
        </is>
      </c>
      <c r="J3985" s="7" t="inlineStr">
        <is>
          <t>15 dias</t>
        </is>
      </c>
    </row>
    <row r="3986" ht="22" customHeight="1">
      <c r="A3986" s="12" t="inlineStr">
        <is>
          <t>CUL-3982</t>
        </is>
      </c>
      <c r="B3986" s="11" t="n">
        <v>787</v>
      </c>
      <c r="C3986" s="13" t="inlineStr">
        <is>
          <t>Nº 3524</t>
        </is>
      </c>
      <c r="D3986" s="14" t="inlineStr">
        <is>
          <t>GLUFOSINATO 200 SL CROTECT</t>
        </is>
      </c>
      <c r="E3986" s="13" t="inlineStr">
        <is>
          <t>Pulverização Agrícola Conforme Bula</t>
        </is>
      </c>
      <c r="F3986" s="13" t="inlineStr">
        <is>
          <t>Café (Jato Dirigido)</t>
        </is>
      </c>
      <c r="G3986" s="13" t="inlineStr">
        <is>
          <t>Cultura Autorizada na Bula</t>
        </is>
      </c>
      <c r="H3986" s="13" t="inlineStr">
        <is>
          <t>100 a 300 L/ha</t>
        </is>
      </c>
      <c r="I3986" s="13" t="inlineStr">
        <is>
          <t>20 a 40 L/ha</t>
        </is>
      </c>
      <c r="J3986" s="13" t="inlineStr">
        <is>
          <t>20 dias</t>
        </is>
      </c>
    </row>
    <row r="3987" ht="22" customHeight="1">
      <c r="A3987" s="6" t="inlineStr">
        <is>
          <t>CUL-3983</t>
        </is>
      </c>
      <c r="B3987" s="5" t="n">
        <v>787</v>
      </c>
      <c r="C3987" s="7" t="inlineStr">
        <is>
          <t>Nº 3524</t>
        </is>
      </c>
      <c r="D3987" s="8" t="inlineStr">
        <is>
          <t>GLUFOSINATO 200 SL CROTECT</t>
        </is>
      </c>
      <c r="E3987" s="7" t="inlineStr">
        <is>
          <t>Pulverização Agrícola Conforme Bula</t>
        </is>
      </c>
      <c r="F3987" s="7" t="inlineStr">
        <is>
          <t>Citros (Jato Dirigido)</t>
        </is>
      </c>
      <c r="G3987" s="7" t="inlineStr">
        <is>
          <t>Cultura Autorizada na Bula</t>
        </is>
      </c>
      <c r="H3987" s="7" t="inlineStr">
        <is>
          <t>100 a 300 L/ha</t>
        </is>
      </c>
      <c r="I3987" s="7" t="inlineStr">
        <is>
          <t>20 a 40 L/ha</t>
        </is>
      </c>
      <c r="J3987" s="7" t="inlineStr">
        <is>
          <t>40 dias</t>
        </is>
      </c>
    </row>
    <row r="3988" ht="22" customHeight="1">
      <c r="A3988" s="12" t="inlineStr">
        <is>
          <t>CUL-3984</t>
        </is>
      </c>
      <c r="B3988" s="11" t="n">
        <v>787</v>
      </c>
      <c r="C3988" s="13" t="inlineStr">
        <is>
          <t>Nº 3524</t>
        </is>
      </c>
      <c r="D3988" s="14" t="inlineStr">
        <is>
          <t>GLUFOSINATO 200 SL CROTECT</t>
        </is>
      </c>
      <c r="E3988" s="13" t="inlineStr">
        <is>
          <t>Pulverização Agrícola Conforme Bula</t>
        </is>
      </c>
      <c r="F3988" s="13" t="inlineStr">
        <is>
          <t>Trigo</t>
        </is>
      </c>
      <c r="G3988" s="13" t="inlineStr">
        <is>
          <t>Cultura Autorizada na Bula</t>
        </is>
      </c>
      <c r="H3988" s="13" t="inlineStr">
        <is>
          <t>100 a 300 L/ha</t>
        </is>
      </c>
      <c r="I3988" s="13" t="inlineStr">
        <is>
          <t>20 a 40 L/ha</t>
        </is>
      </c>
      <c r="J3988" s="13" t="inlineStr">
        <is>
          <t>N/D</t>
        </is>
      </c>
    </row>
    <row r="3989" ht="22" customHeight="1">
      <c r="A3989" s="6" t="inlineStr">
        <is>
          <t>CUL-3985</t>
        </is>
      </c>
      <c r="B3989" s="5" t="n">
        <v>788</v>
      </c>
      <c r="C3989" s="7" t="inlineStr">
        <is>
          <t>Nº 12123</t>
        </is>
      </c>
      <c r="D3989" s="8" t="inlineStr">
        <is>
          <t>ARCAR</t>
        </is>
      </c>
      <c r="E3989" s="7" t="inlineStr">
        <is>
          <t>Pulverização Agrícola Conforme Bula</t>
        </is>
      </c>
      <c r="F3989" s="7" t="inlineStr">
        <is>
          <t>Soja</t>
        </is>
      </c>
      <c r="G3989" s="7" t="inlineStr">
        <is>
          <t>Cultura Autorizada na Bula</t>
        </is>
      </c>
      <c r="H3989" s="7" t="inlineStr">
        <is>
          <t>100 a 300 L/ha</t>
        </is>
      </c>
      <c r="I3989" s="7" t="inlineStr">
        <is>
          <t>20 a 40 L/ha</t>
        </is>
      </c>
      <c r="J3989" s="7" t="inlineStr">
        <is>
          <t>30 dias</t>
        </is>
      </c>
    </row>
    <row r="3990" ht="22" customHeight="1">
      <c r="A3990" s="12" t="inlineStr">
        <is>
          <t>CUL-3986</t>
        </is>
      </c>
      <c r="B3990" s="11" t="n">
        <v>788</v>
      </c>
      <c r="C3990" s="13" t="inlineStr">
        <is>
          <t>Nº 12123</t>
        </is>
      </c>
      <c r="D3990" s="14" t="inlineStr">
        <is>
          <t>ARCAR</t>
        </is>
      </c>
      <c r="E3990" s="13" t="inlineStr">
        <is>
          <t>Pulverização Agrícola Conforme Bula</t>
        </is>
      </c>
      <c r="F3990" s="13" t="inlineStr">
        <is>
          <t>Algodão</t>
        </is>
      </c>
      <c r="G3990" s="13" t="inlineStr">
        <is>
          <t>Cultura Autorizada na Bula</t>
        </is>
      </c>
      <c r="H3990" s="13" t="inlineStr">
        <is>
          <t>100 a 300 L/ha</t>
        </is>
      </c>
      <c r="I3990" s="13" t="inlineStr">
        <is>
          <t>20 a 40 L/ha</t>
        </is>
      </c>
      <c r="J3990" s="13" t="inlineStr">
        <is>
          <t>14 dias</t>
        </is>
      </c>
    </row>
    <row r="3991" ht="22" customHeight="1">
      <c r="A3991" s="6" t="inlineStr">
        <is>
          <t>CUL-3987</t>
        </is>
      </c>
      <c r="B3991" s="5" t="n">
        <v>788</v>
      </c>
      <c r="C3991" s="7" t="inlineStr">
        <is>
          <t>Nº 12123</t>
        </is>
      </c>
      <c r="D3991" s="8" t="inlineStr">
        <is>
          <t>ARCAR</t>
        </is>
      </c>
      <c r="E3991" s="7" t="inlineStr">
        <is>
          <t>Pulverização Agrícola Conforme Bula</t>
        </is>
      </c>
      <c r="F3991" s="7" t="inlineStr">
        <is>
          <t>Feijão</t>
        </is>
      </c>
      <c r="G3991" s="7" t="inlineStr">
        <is>
          <t>Cultura Autorizada na Bula</t>
        </is>
      </c>
      <c r="H3991" s="7" t="inlineStr">
        <is>
          <t>100 a 300 L/ha</t>
        </is>
      </c>
      <c r="I3991" s="7" t="inlineStr">
        <is>
          <t>20 a 40 L/ha</t>
        </is>
      </c>
      <c r="J3991" s="7" t="inlineStr">
        <is>
          <t>14 dias</t>
        </is>
      </c>
    </row>
    <row r="3992" ht="22" customHeight="1">
      <c r="A3992" s="12" t="inlineStr">
        <is>
          <t>CUL-3988</t>
        </is>
      </c>
      <c r="B3992" s="11" t="n">
        <v>788</v>
      </c>
      <c r="C3992" s="13" t="inlineStr">
        <is>
          <t>Nº 12123</t>
        </is>
      </c>
      <c r="D3992" s="14" t="inlineStr">
        <is>
          <t>ARCAR</t>
        </is>
      </c>
      <c r="E3992" s="13" t="inlineStr">
        <is>
          <t>Pulverização Agrícola Conforme Bula</t>
        </is>
      </c>
      <c r="F3992" s="13" t="inlineStr">
        <is>
          <t>Citros</t>
        </is>
      </c>
      <c r="G3992" s="13" t="inlineStr">
        <is>
          <t>Cultura Autorizada na Bula</t>
        </is>
      </c>
      <c r="H3992" s="13" t="inlineStr">
        <is>
          <t>100 a 300 L/ha</t>
        </is>
      </c>
      <c r="I3992" s="13" t="inlineStr">
        <is>
          <t>20 a 40 L/ha</t>
        </is>
      </c>
      <c r="J3992" s="13" t="inlineStr">
        <is>
          <t>14 dias</t>
        </is>
      </c>
    </row>
    <row r="3993" ht="22" customHeight="1">
      <c r="A3993" s="6" t="inlineStr">
        <is>
          <t>CUL-3989</t>
        </is>
      </c>
      <c r="B3993" s="5" t="n">
        <v>788</v>
      </c>
      <c r="C3993" s="7" t="inlineStr">
        <is>
          <t>Nº 12123</t>
        </is>
      </c>
      <c r="D3993" s="8" t="inlineStr">
        <is>
          <t>ARCAR</t>
        </is>
      </c>
      <c r="E3993" s="7" t="inlineStr">
        <is>
          <t>Pulverização Agrícola Conforme Bula</t>
        </is>
      </c>
      <c r="F3993" s="7" t="inlineStr">
        <is>
          <t>Melão</t>
        </is>
      </c>
      <c r="G3993" s="7" t="inlineStr">
        <is>
          <t>Cultura Autorizada na Bula</t>
        </is>
      </c>
      <c r="H3993" s="7" t="inlineStr">
        <is>
          <t>100 a 300 L/ha</t>
        </is>
      </c>
      <c r="I3993" s="7" t="inlineStr">
        <is>
          <t>20 a 40 L/ha</t>
        </is>
      </c>
      <c r="J3993" s="7" t="inlineStr">
        <is>
          <t>7 dias</t>
        </is>
      </c>
    </row>
    <row r="3994" ht="22" customHeight="1">
      <c r="A3994" s="12" t="inlineStr">
        <is>
          <t>CUL-3990</t>
        </is>
      </c>
      <c r="B3994" s="11" t="n">
        <v>788</v>
      </c>
      <c r="C3994" s="13" t="inlineStr">
        <is>
          <t>Nº 12123</t>
        </is>
      </c>
      <c r="D3994" s="14" t="inlineStr">
        <is>
          <t>ARCAR</t>
        </is>
      </c>
      <c r="E3994" s="13" t="inlineStr">
        <is>
          <t>Pulverização Agrícola Conforme Bula</t>
        </is>
      </c>
      <c r="F3994" s="13" t="inlineStr">
        <is>
          <t>Tomate</t>
        </is>
      </c>
      <c r="G3994" s="13" t="inlineStr">
        <is>
          <t>Cultura Autorizada na Bula</t>
        </is>
      </c>
      <c r="H3994" s="13" t="inlineStr">
        <is>
          <t>100 a 300 L/ha</t>
        </is>
      </c>
      <c r="I3994" s="13" t="inlineStr">
        <is>
          <t>20 a 40 L/ha</t>
        </is>
      </c>
      <c r="J3994" s="13" t="inlineStr">
        <is>
          <t>7 dias</t>
        </is>
      </c>
    </row>
    <row r="3995" ht="22" customHeight="1">
      <c r="A3995" s="6" t="inlineStr">
        <is>
          <t>CUL-3991</t>
        </is>
      </c>
      <c r="B3995" s="5" t="n">
        <v>789</v>
      </c>
      <c r="C3995" s="7" t="inlineStr">
        <is>
          <t>Nº 28925</t>
        </is>
      </c>
      <c r="D3995" s="8" t="inlineStr">
        <is>
          <t>S-METOLACHLOR 960 EC BINNONG 0,200L (AMOSTRA)</t>
        </is>
      </c>
      <c r="E3995" s="7" t="inlineStr">
        <is>
          <t>Pulverização Agrícola Conforme Bula</t>
        </is>
      </c>
      <c r="F3995" s="7" t="inlineStr">
        <is>
          <t>Soja</t>
        </is>
      </c>
      <c r="G3995" s="7" t="inlineStr">
        <is>
          <t>Cultura Autorizada na Bula</t>
        </is>
      </c>
      <c r="H3995" s="7" t="inlineStr">
        <is>
          <t>100 a 300 L/ha</t>
        </is>
      </c>
      <c r="I3995" s="7" t="inlineStr">
        <is>
          <t>20 a 40 L/ha</t>
        </is>
      </c>
      <c r="J3995" s="7" t="inlineStr">
        <is>
          <t>N/D</t>
        </is>
      </c>
    </row>
    <row r="3996" ht="22" customHeight="1">
      <c r="A3996" s="12" t="inlineStr">
        <is>
          <t>CUL-3992</t>
        </is>
      </c>
      <c r="B3996" s="11" t="n">
        <v>789</v>
      </c>
      <c r="C3996" s="13" t="inlineStr">
        <is>
          <t>Nº 28925</t>
        </is>
      </c>
      <c r="D3996" s="14" t="inlineStr">
        <is>
          <t>S-METOLACHLOR 960 EC BINNONG 0,200L (AMOSTRA)</t>
        </is>
      </c>
      <c r="E3996" s="13" t="inlineStr">
        <is>
          <t>Pulverização Agrícola Conforme Bula</t>
        </is>
      </c>
      <c r="F3996" s="13" t="inlineStr">
        <is>
          <t>Milho</t>
        </is>
      </c>
      <c r="G3996" s="13" t="inlineStr">
        <is>
          <t>Cultura Autorizada na Bula</t>
        </is>
      </c>
      <c r="H3996" s="13" t="inlineStr">
        <is>
          <t>100 a 300 L/ha</t>
        </is>
      </c>
      <c r="I3996" s="13" t="inlineStr">
        <is>
          <t>20 a 40 L/ha</t>
        </is>
      </c>
      <c r="J3996" s="13" t="inlineStr">
        <is>
          <t>N/D</t>
        </is>
      </c>
    </row>
    <row r="3997" ht="22" customHeight="1">
      <c r="A3997" s="6" t="inlineStr">
        <is>
          <t>CUL-3993</t>
        </is>
      </c>
      <c r="B3997" s="5" t="n">
        <v>789</v>
      </c>
      <c r="C3997" s="7" t="inlineStr">
        <is>
          <t>Nº 28925</t>
        </is>
      </c>
      <c r="D3997" s="8" t="inlineStr">
        <is>
          <t>S-METOLACHLOR 960 EC BINNONG 0,200L (AMOSTRA)</t>
        </is>
      </c>
      <c r="E3997" s="7" t="inlineStr">
        <is>
          <t>Pulverização Agrícola Conforme Bula</t>
        </is>
      </c>
      <c r="F3997" s="7" t="inlineStr">
        <is>
          <t>Algodão</t>
        </is>
      </c>
      <c r="G3997" s="7" t="inlineStr">
        <is>
          <t>Cultura Autorizada na Bula</t>
        </is>
      </c>
      <c r="H3997" s="7" t="inlineStr">
        <is>
          <t>100 a 300 L/ha</t>
        </is>
      </c>
      <c r="I3997" s="7" t="inlineStr">
        <is>
          <t>20 a 40 L/ha</t>
        </is>
      </c>
      <c r="J3997" s="7" t="inlineStr">
        <is>
          <t>N/D</t>
        </is>
      </c>
    </row>
    <row r="3998" ht="22" customHeight="1">
      <c r="A3998" s="12" t="inlineStr">
        <is>
          <t>CUL-3994</t>
        </is>
      </c>
      <c r="B3998" s="11" t="n">
        <v>789</v>
      </c>
      <c r="C3998" s="13" t="inlineStr">
        <is>
          <t>Nº 28925</t>
        </is>
      </c>
      <c r="D3998" s="14" t="inlineStr">
        <is>
          <t>S-METOLACHLOR 960 EC BINNONG 0,200L (AMOSTRA)</t>
        </is>
      </c>
      <c r="E3998" s="13" t="inlineStr">
        <is>
          <t>Pulverização Agrícola Conforme Bula</t>
        </is>
      </c>
      <c r="F3998" s="13" t="inlineStr">
        <is>
          <t>Cana-de-açúcar</t>
        </is>
      </c>
      <c r="G3998" s="13" t="inlineStr">
        <is>
          <t>Cultura Autorizada na Bula</t>
        </is>
      </c>
      <c r="H3998" s="13" t="inlineStr">
        <is>
          <t>100 a 300 L/ha</t>
        </is>
      </c>
      <c r="I3998" s="13" t="inlineStr">
        <is>
          <t>20 a 40 L/ha</t>
        </is>
      </c>
      <c r="J3998" s="13" t="inlineStr">
        <is>
          <t>N/D</t>
        </is>
      </c>
    </row>
    <row r="3999" ht="22" customHeight="1">
      <c r="A3999" s="6" t="inlineStr">
        <is>
          <t>CUL-3995</t>
        </is>
      </c>
      <c r="B3999" s="5" t="n">
        <v>789</v>
      </c>
      <c r="C3999" s="7" t="inlineStr">
        <is>
          <t>Nº 28925</t>
        </is>
      </c>
      <c r="D3999" s="8" t="inlineStr">
        <is>
          <t>S-METOLACHLOR 960 EC BINNONG 0,200L (AMOSTRA)</t>
        </is>
      </c>
      <c r="E3999" s="7" t="inlineStr">
        <is>
          <t>Pulverização Agrícola Conforme Bula</t>
        </is>
      </c>
      <c r="F3999" s="7" t="inlineStr">
        <is>
          <t>Feijão</t>
        </is>
      </c>
      <c r="G3999" s="7" t="inlineStr">
        <is>
          <t>Cultura Autorizada na Bula</t>
        </is>
      </c>
      <c r="H3999" s="7" t="inlineStr">
        <is>
          <t>100 a 300 L/ha</t>
        </is>
      </c>
      <c r="I3999" s="7" t="inlineStr">
        <is>
          <t>20 a 40 L/ha</t>
        </is>
      </c>
      <c r="J3999" s="7" t="inlineStr">
        <is>
          <t>N/D</t>
        </is>
      </c>
    </row>
    <row r="4000" ht="22" customHeight="1">
      <c r="A4000" s="12" t="inlineStr">
        <is>
          <t>CUL-3996</t>
        </is>
      </c>
      <c r="B4000" s="11" t="n">
        <v>790</v>
      </c>
      <c r="C4000" s="13" t="inlineStr">
        <is>
          <t>Nº 31422</t>
        </is>
      </c>
      <c r="D4000" s="14" t="inlineStr">
        <is>
          <t>ZARPAL</t>
        </is>
      </c>
      <c r="E4000" s="13" t="inlineStr">
        <is>
          <t>Pulverização Agrícola Conforme Bula</t>
        </is>
      </c>
      <c r="F4000" s="13" t="inlineStr">
        <is>
          <t>Algodão</t>
        </is>
      </c>
      <c r="G4000" s="13" t="inlineStr">
        <is>
          <t>Cultura Autorizada na Bula</t>
        </is>
      </c>
      <c r="H4000" s="13" t="inlineStr">
        <is>
          <t>100 a 300 L/ha</t>
        </is>
      </c>
      <c r="I4000" s="13" t="inlineStr">
        <is>
          <t>20 a 40 L/ha</t>
        </is>
      </c>
      <c r="J4000" s="13" t="inlineStr">
        <is>
          <t>15 dias</t>
        </is>
      </c>
    </row>
    <row r="4001" ht="22" customHeight="1">
      <c r="A4001" s="6" t="inlineStr">
        <is>
          <t>CUL-3997</t>
        </is>
      </c>
      <c r="B4001" s="5" t="n">
        <v>790</v>
      </c>
      <c r="C4001" s="7" t="inlineStr">
        <is>
          <t>Nº 31422</t>
        </is>
      </c>
      <c r="D4001" s="8" t="inlineStr">
        <is>
          <t>ZARPAL</t>
        </is>
      </c>
      <c r="E4001" s="7" t="inlineStr">
        <is>
          <t>Pulverização Agrícola Conforme Bula</t>
        </is>
      </c>
      <c r="F4001" s="7" t="inlineStr">
        <is>
          <t>Soja</t>
        </is>
      </c>
      <c r="G4001" s="7" t="inlineStr">
        <is>
          <t>Cultura Autorizada na Bula</t>
        </is>
      </c>
      <c r="H4001" s="7" t="inlineStr">
        <is>
          <t>100 a 300 L/ha</t>
        </is>
      </c>
      <c r="I4001" s="7" t="inlineStr">
        <is>
          <t>20 a 40 L/ha</t>
        </is>
      </c>
      <c r="J4001" s="7" t="inlineStr">
        <is>
          <t>30 dias</t>
        </is>
      </c>
    </row>
    <row r="4002" ht="22" customHeight="1">
      <c r="A4002" s="12" t="inlineStr">
        <is>
          <t>CUL-3998</t>
        </is>
      </c>
      <c r="B4002" s="11" t="n">
        <v>790</v>
      </c>
      <c r="C4002" s="13" t="inlineStr">
        <is>
          <t>Nº 31422</t>
        </is>
      </c>
      <c r="D4002" s="14" t="inlineStr">
        <is>
          <t>ZARPAL</t>
        </is>
      </c>
      <c r="E4002" s="13" t="inlineStr">
        <is>
          <t>Pulverização Agrícola Conforme Bula</t>
        </is>
      </c>
      <c r="F4002" s="13" t="inlineStr">
        <is>
          <t>Milho</t>
        </is>
      </c>
      <c r="G4002" s="13" t="inlineStr">
        <is>
          <t>Cultura Autorizada na Bula</t>
        </is>
      </c>
      <c r="H4002" s="13" t="inlineStr">
        <is>
          <t>100 a 300 L/ha</t>
        </is>
      </c>
      <c r="I4002" s="13" t="inlineStr">
        <is>
          <t>20 a 40 L/ha</t>
        </is>
      </c>
      <c r="J4002" s="13" t="inlineStr">
        <is>
          <t>30 dias</t>
        </is>
      </c>
    </row>
    <row r="4003" ht="22" customHeight="1">
      <c r="A4003" s="6" t="inlineStr">
        <is>
          <t>CUL-3999</t>
        </is>
      </c>
      <c r="B4003" s="5" t="n">
        <v>790</v>
      </c>
      <c r="C4003" s="7" t="inlineStr">
        <is>
          <t>Nº 31422</t>
        </is>
      </c>
      <c r="D4003" s="8" t="inlineStr">
        <is>
          <t>ZARPAL</t>
        </is>
      </c>
      <c r="E4003" s="7" t="inlineStr">
        <is>
          <t>Pulverização Agrícola Conforme Bula</t>
        </is>
      </c>
      <c r="F4003" s="7" t="inlineStr">
        <is>
          <t>Cana-de-açúcar</t>
        </is>
      </c>
      <c r="G4003" s="7" t="inlineStr">
        <is>
          <t>Cultura Autorizada na Bula</t>
        </is>
      </c>
      <c r="H4003" s="7" t="inlineStr">
        <is>
          <t>100 a 300 L/ha</t>
        </is>
      </c>
      <c r="I4003" s="7" t="inlineStr">
        <is>
          <t>20 a 40 L/ha</t>
        </is>
      </c>
      <c r="J4003" s="7" t="inlineStr">
        <is>
          <t>30 dias</t>
        </is>
      </c>
    </row>
    <row r="4004" ht="22" customHeight="1">
      <c r="A4004" s="12" t="inlineStr">
        <is>
          <t>CUL-4000</t>
        </is>
      </c>
      <c r="B4004" s="11" t="n">
        <v>790</v>
      </c>
      <c r="C4004" s="13" t="inlineStr">
        <is>
          <t>Nº 31422</t>
        </is>
      </c>
      <c r="D4004" s="14" t="inlineStr">
        <is>
          <t>ZARPAL</t>
        </is>
      </c>
      <c r="E4004" s="13" t="inlineStr">
        <is>
          <t>Pulverização Agrícola Conforme Bula</t>
        </is>
      </c>
      <c r="F4004" s="13" t="inlineStr">
        <is>
          <t>Café</t>
        </is>
      </c>
      <c r="G4004" s="13" t="inlineStr">
        <is>
          <t>Cultura Autorizada na Bula</t>
        </is>
      </c>
      <c r="H4004" s="13" t="inlineStr">
        <is>
          <t>100 a 300 L/ha</t>
        </is>
      </c>
      <c r="I4004" s="13" t="inlineStr">
        <is>
          <t>20 a 40 L/ha</t>
        </is>
      </c>
      <c r="J4004" s="13" t="inlineStr">
        <is>
          <t>30 dias</t>
        </is>
      </c>
    </row>
    <row r="4005" ht="22" customHeight="1">
      <c r="A4005" s="6" t="inlineStr">
        <is>
          <t>CUL-4001</t>
        </is>
      </c>
      <c r="B4005" s="5" t="n">
        <v>790</v>
      </c>
      <c r="C4005" s="7" t="inlineStr">
        <is>
          <t>Nº 31422</t>
        </is>
      </c>
      <c r="D4005" s="8" t="inlineStr">
        <is>
          <t>ZARPAL</t>
        </is>
      </c>
      <c r="E4005" s="7" t="inlineStr">
        <is>
          <t>Pulverização Agrícola Conforme Bula</t>
        </is>
      </c>
      <c r="F4005" s="7" t="inlineStr">
        <is>
          <t>Citros</t>
        </is>
      </c>
      <c r="G4005" s="7" t="inlineStr">
        <is>
          <t>Cultura Autorizada na Bula</t>
        </is>
      </c>
      <c r="H4005" s="7" t="inlineStr">
        <is>
          <t>100 a 300 L/ha</t>
        </is>
      </c>
      <c r="I4005" s="7" t="inlineStr">
        <is>
          <t>20 a 40 L/ha</t>
        </is>
      </c>
      <c r="J4005" s="7" t="inlineStr">
        <is>
          <t>7 dias</t>
        </is>
      </c>
    </row>
    <row r="4006" ht="22" customHeight="1">
      <c r="A4006" s="12" t="inlineStr">
        <is>
          <t>CUL-4002</t>
        </is>
      </c>
      <c r="B4006" s="11" t="n">
        <v>790</v>
      </c>
      <c r="C4006" s="13" t="inlineStr">
        <is>
          <t>Nº 31422</t>
        </is>
      </c>
      <c r="D4006" s="14" t="inlineStr">
        <is>
          <t>ZARPAL</t>
        </is>
      </c>
      <c r="E4006" s="13" t="inlineStr">
        <is>
          <t>Pulverização Agrícola Conforme Bula</t>
        </is>
      </c>
      <c r="F4006" s="13" t="inlineStr">
        <is>
          <t>Feijão</t>
        </is>
      </c>
      <c r="G4006" s="13" t="inlineStr">
        <is>
          <t>Cultura Autorizada na Bula</t>
        </is>
      </c>
      <c r="H4006" s="13" t="inlineStr">
        <is>
          <t>100 a 300 L/ha</t>
        </is>
      </c>
      <c r="I4006" s="13" t="inlineStr">
        <is>
          <t>20 a 40 L/ha</t>
        </is>
      </c>
      <c r="J4006" s="13" t="inlineStr">
        <is>
          <t>20 dias</t>
        </is>
      </c>
    </row>
    <row r="4007" ht="22" customHeight="1">
      <c r="A4007" s="6" t="inlineStr">
        <is>
          <t>CUL-4003</t>
        </is>
      </c>
      <c r="B4007" s="5" t="n">
        <v>790</v>
      </c>
      <c r="C4007" s="7" t="inlineStr">
        <is>
          <t>Nº 31422</t>
        </is>
      </c>
      <c r="D4007" s="8" t="inlineStr">
        <is>
          <t>ZARPAL</t>
        </is>
      </c>
      <c r="E4007" s="7" t="inlineStr">
        <is>
          <t>Pulverização Agrícola Conforme Bula</t>
        </is>
      </c>
      <c r="F4007" s="7" t="inlineStr">
        <is>
          <t>Trigo</t>
        </is>
      </c>
      <c r="G4007" s="7" t="inlineStr">
        <is>
          <t>Cultura Autorizada na Bula</t>
        </is>
      </c>
      <c r="H4007" s="7" t="inlineStr">
        <is>
          <t>100 a 300 L/ha</t>
        </is>
      </c>
      <c r="I4007" s="7" t="inlineStr">
        <is>
          <t>20 a 40 L/ha</t>
        </is>
      </c>
      <c r="J4007" s="7" t="inlineStr">
        <is>
          <t>30 dias</t>
        </is>
      </c>
    </row>
    <row r="4008" ht="22" customHeight="1">
      <c r="A4008" s="12" t="inlineStr">
        <is>
          <t>CUL-4004</t>
        </is>
      </c>
      <c r="B4008" s="11" t="n">
        <v>791</v>
      </c>
      <c r="C4008" s="13" t="inlineStr">
        <is>
          <t>Nº 40024</t>
        </is>
      </c>
      <c r="D4008" s="14" t="inlineStr">
        <is>
          <t>CIPROCONAZOL 80 + PICOXISTROBINA 200 (PRINCIPIO ATIVO)</t>
        </is>
      </c>
      <c r="E4008" s="13" t="inlineStr">
        <is>
          <t>Uso Exclusivamente Industrial (Formulação)</t>
        </is>
      </c>
      <c r="F4008" s="13" t="inlineStr">
        <is>
          <t>Não Aplicável (Proibido uso direto na lavoura)</t>
        </is>
      </c>
      <c r="G4008" s="13" t="inlineStr">
        <is>
          <t>Insumo Industrial</t>
        </is>
      </c>
      <c r="H4008" s="13" t="inlineStr">
        <is>
          <t>N/A</t>
        </is>
      </c>
      <c r="I4008" s="13" t="inlineStr">
        <is>
          <t>N/A</t>
        </is>
      </c>
      <c r="J4008" s="13" t="inlineStr">
        <is>
          <t>N/A (Insumo Industrial)</t>
        </is>
      </c>
    </row>
    <row r="4009" ht="22" customHeight="1">
      <c r="A4009" s="6" t="inlineStr">
        <is>
          <t>CUL-4005</t>
        </is>
      </c>
      <c r="B4009" s="5" t="n">
        <v>792</v>
      </c>
      <c r="C4009" s="7" t="inlineStr">
        <is>
          <t>VINCULAR MARCA</t>
        </is>
      </c>
      <c r="D4009" s="8" t="inlineStr">
        <is>
          <t>CLORPIRIFOS 480 -</t>
        </is>
      </c>
      <c r="E4009" s="7" t="inlineStr">
        <is>
          <t>Uso Exclusivamente Industrial (Formulação)</t>
        </is>
      </c>
      <c r="F4009" s="7" t="inlineStr">
        <is>
          <t>Não Aplicável (Proibido uso direto na lavoura)</t>
        </is>
      </c>
      <c r="G4009" s="7" t="inlineStr">
        <is>
          <t>Insumo Industrial</t>
        </is>
      </c>
      <c r="H4009" s="7" t="inlineStr">
        <is>
          <t>N/A</t>
        </is>
      </c>
      <c r="I4009" s="7" t="inlineStr">
        <is>
          <t>N/A</t>
        </is>
      </c>
      <c r="J4009" s="7" t="inlineStr">
        <is>
          <t>N/A (Insumo Industrial)</t>
        </is>
      </c>
    </row>
    <row r="4010" ht="22" customHeight="1">
      <c r="A4010" s="12" t="inlineStr">
        <is>
          <t>CUL-4006</t>
        </is>
      </c>
      <c r="B4010" s="11" t="n">
        <v>793</v>
      </c>
      <c r="C4010" s="13" t="inlineStr">
        <is>
          <t>VINCULAR MARCA</t>
        </is>
      </c>
      <c r="D4010" s="14" t="inlineStr">
        <is>
          <t>CLORPIRIFOS 480 -</t>
        </is>
      </c>
      <c r="E4010" s="13" t="inlineStr">
        <is>
          <t>Uso Exclusivamente Industrial (Formulação)</t>
        </is>
      </c>
      <c r="F4010" s="13" t="inlineStr">
        <is>
          <t>Não Aplicável (Proibido uso direto na lavoura)</t>
        </is>
      </c>
      <c r="G4010" s="13" t="inlineStr">
        <is>
          <t>Insumo Industrial</t>
        </is>
      </c>
      <c r="H4010" s="13" t="inlineStr">
        <is>
          <t>N/A</t>
        </is>
      </c>
      <c r="I4010" s="13" t="inlineStr">
        <is>
          <t>N/A</t>
        </is>
      </c>
      <c r="J4010" s="13" t="inlineStr">
        <is>
          <t>N/A (Insumo Industrial)</t>
        </is>
      </c>
    </row>
    <row r="4011" ht="22" customHeight="1">
      <c r="A4011" s="6" t="inlineStr">
        <is>
          <t>CUL-4007</t>
        </is>
      </c>
      <c r="B4011" s="5" t="n">
        <v>794</v>
      </c>
      <c r="C4011" s="7" t="inlineStr">
        <is>
          <t>Nº 27717</t>
        </is>
      </c>
      <c r="D4011" s="8" t="inlineStr">
        <is>
          <t>FIPRONIL 800 (PRINCIPIO ATIVO)</t>
        </is>
      </c>
      <c r="E4011" s="7" t="inlineStr">
        <is>
          <t>Uso Exclusivamente Industrial (Formulação)</t>
        </is>
      </c>
      <c r="F4011" s="7" t="inlineStr">
        <is>
          <t>Não Aplicável (Proibido uso direto na lavoura)</t>
        </is>
      </c>
      <c r="G4011" s="7" t="inlineStr">
        <is>
          <t>Insumo Industrial</t>
        </is>
      </c>
      <c r="H4011" s="7" t="inlineStr">
        <is>
          <t>N/A</t>
        </is>
      </c>
      <c r="I4011" s="7" t="inlineStr">
        <is>
          <t>N/A</t>
        </is>
      </c>
      <c r="J4011" s="7" t="inlineStr">
        <is>
          <t>N/A (Insumo Industrial)</t>
        </is>
      </c>
    </row>
    <row r="4012" ht="22" customHeight="1">
      <c r="A4012" s="12" t="inlineStr">
        <is>
          <t>CUL-4008</t>
        </is>
      </c>
      <c r="B4012" s="11" t="n">
        <v>795</v>
      </c>
      <c r="C4012" s="13" t="inlineStr">
        <is>
          <t>Nº 12920</t>
        </is>
      </c>
      <c r="D4012" s="14" t="inlineStr">
        <is>
          <t>ATRAZINA 900 (PRINCIPIO ATIVO)</t>
        </is>
      </c>
      <c r="E4012" s="13" t="inlineStr">
        <is>
          <t>Uso Exclusivamente Industrial (Formulação)</t>
        </is>
      </c>
      <c r="F4012" s="13" t="inlineStr">
        <is>
          <t>Não Aplicável (Proibido uso direto na lavoura)</t>
        </is>
      </c>
      <c r="G4012" s="13" t="inlineStr">
        <is>
          <t>Insumo Industrial</t>
        </is>
      </c>
      <c r="H4012" s="13" t="inlineStr">
        <is>
          <t>N/A</t>
        </is>
      </c>
      <c r="I4012" s="13" t="inlineStr">
        <is>
          <t>N/A</t>
        </is>
      </c>
      <c r="J4012" s="13" t="inlineStr">
        <is>
          <t>N/A (Insumo Industrial)</t>
        </is>
      </c>
    </row>
    <row r="4013" ht="22" customHeight="1">
      <c r="A4013" s="6" t="inlineStr">
        <is>
          <t>CUL-4009</t>
        </is>
      </c>
      <c r="B4013" s="5" t="n">
        <v>796</v>
      </c>
      <c r="C4013" s="7" t="inlineStr">
        <is>
          <t>Nº 26222</t>
        </is>
      </c>
      <c r="D4013" s="8" t="inlineStr">
        <is>
          <t>DIQUATE (PRINCIPIO ATIVO)</t>
        </is>
      </c>
      <c r="E4013" s="7" t="inlineStr">
        <is>
          <t>Uso Exclusivamente Industrial (Formulação)</t>
        </is>
      </c>
      <c r="F4013" s="7" t="inlineStr">
        <is>
          <t>Não Aplicável (Proibido uso direto na lavoura)</t>
        </is>
      </c>
      <c r="G4013" s="7" t="inlineStr">
        <is>
          <t>Insumo Industrial</t>
        </is>
      </c>
      <c r="H4013" s="7" t="inlineStr">
        <is>
          <t>N/A</t>
        </is>
      </c>
      <c r="I4013" s="7" t="inlineStr">
        <is>
          <t>N/A</t>
        </is>
      </c>
      <c r="J4013" s="7" t="inlineStr">
        <is>
          <t>N/A (Insumo Industrial)</t>
        </is>
      </c>
    </row>
    <row r="4014" ht="22" customHeight="1">
      <c r="A4014" s="12" t="inlineStr">
        <is>
          <t>CUL-4010</t>
        </is>
      </c>
      <c r="B4014" s="11" t="n">
        <v>797</v>
      </c>
      <c r="C4014" s="13" t="inlineStr">
        <is>
          <t>Nº 4026</t>
        </is>
      </c>
      <c r="D4014" s="14" t="inlineStr">
        <is>
          <t>PROTIOCONAZOLE 480 (PRINCIPIO ATIVO)</t>
        </is>
      </c>
      <c r="E4014" s="13" t="inlineStr">
        <is>
          <t>Uso Exclusivamente Industrial (Formulação)</t>
        </is>
      </c>
      <c r="F4014" s="13" t="inlineStr">
        <is>
          <t>Não Aplicável (Proibido uso direto na lavoura)</t>
        </is>
      </c>
      <c r="G4014" s="13" t="inlineStr">
        <is>
          <t>Insumo Industrial</t>
        </is>
      </c>
      <c r="H4014" s="13" t="inlineStr">
        <is>
          <t>N/A</t>
        </is>
      </c>
      <c r="I4014" s="13" t="inlineStr">
        <is>
          <t>N/A</t>
        </is>
      </c>
      <c r="J4014" s="13" t="inlineStr">
        <is>
          <t>N/A (Insumo Industrial)</t>
        </is>
      </c>
    </row>
    <row r="4015" ht="22" customHeight="1">
      <c r="A4015" s="6" t="inlineStr">
        <is>
          <t>CUL-4011</t>
        </is>
      </c>
      <c r="B4015" s="5" t="n">
        <v>798</v>
      </c>
      <c r="C4015" s="7" t="inlineStr">
        <is>
          <t>Nº 43818</t>
        </is>
      </c>
      <c r="D4015" s="8" t="inlineStr">
        <is>
          <t>RUBY</t>
        </is>
      </c>
      <c r="E4015" s="7" t="inlineStr">
        <is>
          <t>Pulverização Agrícola Conforme Bula</t>
        </is>
      </c>
      <c r="F4015" s="7" t="inlineStr">
        <is>
          <t>Soja</t>
        </is>
      </c>
      <c r="G4015" s="7" t="inlineStr">
        <is>
          <t>Cultura Autorizada na Bula</t>
        </is>
      </c>
      <c r="H4015" s="7" t="inlineStr">
        <is>
          <t>100 a 300 L/ha</t>
        </is>
      </c>
      <c r="I4015" s="7" t="inlineStr">
        <is>
          <t>20 a 40 L/ha</t>
        </is>
      </c>
      <c r="J4015" s="7" t="inlineStr">
        <is>
          <t>21 dias</t>
        </is>
      </c>
    </row>
    <row r="4016" ht="22" customHeight="1">
      <c r="A4016" s="12" t="inlineStr">
        <is>
          <t>CUL-4012</t>
        </is>
      </c>
      <c r="B4016" s="11" t="n">
        <v>798</v>
      </c>
      <c r="C4016" s="13" t="inlineStr">
        <is>
          <t>Nº 43818</t>
        </is>
      </c>
      <c r="D4016" s="14" t="inlineStr">
        <is>
          <t>RUBY</t>
        </is>
      </c>
      <c r="E4016" s="13" t="inlineStr">
        <is>
          <t>Pulverização Agrícola Conforme Bula</t>
        </is>
      </c>
      <c r="F4016" s="13" t="inlineStr">
        <is>
          <t>Milho</t>
        </is>
      </c>
      <c r="G4016" s="13" t="inlineStr">
        <is>
          <t>Cultura Autorizada na Bula</t>
        </is>
      </c>
      <c r="H4016" s="13" t="inlineStr">
        <is>
          <t>100 a 300 L/ha</t>
        </is>
      </c>
      <c r="I4016" s="13" t="inlineStr">
        <is>
          <t>20 a 40 L/ha</t>
        </is>
      </c>
      <c r="J4016" s="13" t="inlineStr">
        <is>
          <t>21 dias</t>
        </is>
      </c>
    </row>
    <row r="4017" ht="22" customHeight="1">
      <c r="A4017" s="6" t="inlineStr">
        <is>
          <t>CUL-4013</t>
        </is>
      </c>
      <c r="B4017" s="5" t="n">
        <v>798</v>
      </c>
      <c r="C4017" s="7" t="inlineStr">
        <is>
          <t>Nº 43818</t>
        </is>
      </c>
      <c r="D4017" s="8" t="inlineStr">
        <is>
          <t>RUBY</t>
        </is>
      </c>
      <c r="E4017" s="7" t="inlineStr">
        <is>
          <t>Pulverização Agrícola Conforme Bula</t>
        </is>
      </c>
      <c r="F4017" s="7" t="inlineStr">
        <is>
          <t>Algodão</t>
        </is>
      </c>
      <c r="G4017" s="7" t="inlineStr">
        <is>
          <t>Cultura Autorizada na Bula</t>
        </is>
      </c>
      <c r="H4017" s="7" t="inlineStr">
        <is>
          <t>100 a 300 L/ha</t>
        </is>
      </c>
      <c r="I4017" s="7" t="inlineStr">
        <is>
          <t>20 a 40 L/ha</t>
        </is>
      </c>
      <c r="J4017" s="7" t="inlineStr">
        <is>
          <t>21 dias</t>
        </is>
      </c>
    </row>
    <row r="4018" ht="22" customHeight="1">
      <c r="A4018" s="12" t="inlineStr">
        <is>
          <t>CUL-4014</t>
        </is>
      </c>
      <c r="B4018" s="11" t="n">
        <v>798</v>
      </c>
      <c r="C4018" s="13" t="inlineStr">
        <is>
          <t>Nº 43818</t>
        </is>
      </c>
      <c r="D4018" s="14" t="inlineStr">
        <is>
          <t>RUBY</t>
        </is>
      </c>
      <c r="E4018" s="13" t="inlineStr">
        <is>
          <t>Pulverização Agrícola Conforme Bula</t>
        </is>
      </c>
      <c r="F4018" s="13" t="inlineStr">
        <is>
          <t>Feijão</t>
        </is>
      </c>
      <c r="G4018" s="13" t="inlineStr">
        <is>
          <t>Cultura Autorizada na Bula</t>
        </is>
      </c>
      <c r="H4018" s="13" t="inlineStr">
        <is>
          <t>100 a 300 L/ha</t>
        </is>
      </c>
      <c r="I4018" s="13" t="inlineStr">
        <is>
          <t>20 a 40 L/ha</t>
        </is>
      </c>
      <c r="J4018" s="13" t="inlineStr">
        <is>
          <t>14 dias</t>
        </is>
      </c>
    </row>
    <row r="4019" ht="22" customHeight="1">
      <c r="A4019" s="6" t="inlineStr">
        <is>
          <t>CUL-4015</t>
        </is>
      </c>
      <c r="B4019" s="5" t="n">
        <v>799</v>
      </c>
      <c r="C4019" s="7" t="inlineStr">
        <is>
          <t>Nº 40624</t>
        </is>
      </c>
      <c r="D4019" s="8" t="inlineStr">
        <is>
          <t>SHARK</t>
        </is>
      </c>
      <c r="E4019" s="7" t="inlineStr">
        <is>
          <t>Pulverização Agrícola Conforme Bula</t>
        </is>
      </c>
      <c r="F4019" s="7" t="inlineStr">
        <is>
          <t>Soja</t>
        </is>
      </c>
      <c r="G4019" s="7" t="inlineStr">
        <is>
          <t>Cultura Autorizada na Bula</t>
        </is>
      </c>
      <c r="H4019" s="7" t="inlineStr">
        <is>
          <t>100 a 300 L/ha</t>
        </is>
      </c>
      <c r="I4019" s="7" t="inlineStr">
        <is>
          <t>20 a 40 L/ha</t>
        </is>
      </c>
      <c r="J4019" s="7" t="inlineStr">
        <is>
          <t>21 dias</t>
        </is>
      </c>
    </row>
    <row r="4020" ht="22" customHeight="1">
      <c r="A4020" s="12" t="inlineStr">
        <is>
          <t>CUL-4016</t>
        </is>
      </c>
      <c r="B4020" s="11" t="n">
        <v>799</v>
      </c>
      <c r="C4020" s="13" t="inlineStr">
        <is>
          <t>Nº 40624</t>
        </is>
      </c>
      <c r="D4020" s="14" t="inlineStr">
        <is>
          <t>SHARK</t>
        </is>
      </c>
      <c r="E4020" s="13" t="inlineStr">
        <is>
          <t>Pulverização Agrícola Conforme Bula</t>
        </is>
      </c>
      <c r="F4020" s="13" t="inlineStr">
        <is>
          <t>Milho</t>
        </is>
      </c>
      <c r="G4020" s="13" t="inlineStr">
        <is>
          <t>Cultura Autorizada na Bula</t>
        </is>
      </c>
      <c r="H4020" s="13" t="inlineStr">
        <is>
          <t>100 a 300 L/ha</t>
        </is>
      </c>
      <c r="I4020" s="13" t="inlineStr">
        <is>
          <t>20 a 40 L/ha</t>
        </is>
      </c>
      <c r="J4020" s="13" t="inlineStr">
        <is>
          <t>21 dias</t>
        </is>
      </c>
    </row>
    <row r="4021" ht="22" customHeight="1">
      <c r="A4021" s="6" t="inlineStr">
        <is>
          <t>CUL-4017</t>
        </is>
      </c>
      <c r="B4021" s="5" t="n">
        <v>799</v>
      </c>
      <c r="C4021" s="7" t="inlineStr">
        <is>
          <t>Nº 40624</t>
        </is>
      </c>
      <c r="D4021" s="8" t="inlineStr">
        <is>
          <t>SHARK</t>
        </is>
      </c>
      <c r="E4021" s="7" t="inlineStr">
        <is>
          <t>Pulverização Agrícola Conforme Bula</t>
        </is>
      </c>
      <c r="F4021" s="7" t="inlineStr">
        <is>
          <t>Algodão</t>
        </is>
      </c>
      <c r="G4021" s="7" t="inlineStr">
        <is>
          <t>Cultura Autorizada na Bula</t>
        </is>
      </c>
      <c r="H4021" s="7" t="inlineStr">
        <is>
          <t>100 a 300 L/ha</t>
        </is>
      </c>
      <c r="I4021" s="7" t="inlineStr">
        <is>
          <t>20 a 40 L/ha</t>
        </is>
      </c>
      <c r="J4021" s="7" t="inlineStr">
        <is>
          <t>21 dias</t>
        </is>
      </c>
    </row>
    <row r="4022" ht="22" customHeight="1">
      <c r="A4022" s="12" t="inlineStr">
        <is>
          <t>CUL-4018</t>
        </is>
      </c>
      <c r="B4022" s="11" t="n">
        <v>799</v>
      </c>
      <c r="C4022" s="13" t="inlineStr">
        <is>
          <t>Nº 40624</t>
        </is>
      </c>
      <c r="D4022" s="14" t="inlineStr">
        <is>
          <t>SHARK</t>
        </is>
      </c>
      <c r="E4022" s="13" t="inlineStr">
        <is>
          <t>Pulverização Agrícola Conforme Bula</t>
        </is>
      </c>
      <c r="F4022" s="13" t="inlineStr">
        <is>
          <t>Café</t>
        </is>
      </c>
      <c r="G4022" s="13" t="inlineStr">
        <is>
          <t>Cultura Autorizada na Bula</t>
        </is>
      </c>
      <c r="H4022" s="13" t="inlineStr">
        <is>
          <t>100 a 300 L/ha</t>
        </is>
      </c>
      <c r="I4022" s="13" t="inlineStr">
        <is>
          <t>20 a 40 L/ha</t>
        </is>
      </c>
      <c r="J4022" s="13" t="inlineStr">
        <is>
          <t>21 dias</t>
        </is>
      </c>
    </row>
    <row r="4023" ht="22" customHeight="1">
      <c r="A4023" s="6" t="inlineStr">
        <is>
          <t>CUL-4019</t>
        </is>
      </c>
      <c r="B4023" s="5" t="n">
        <v>799</v>
      </c>
      <c r="C4023" s="7" t="inlineStr">
        <is>
          <t>Nº 40624</t>
        </is>
      </c>
      <c r="D4023" s="8" t="inlineStr">
        <is>
          <t>SHARK</t>
        </is>
      </c>
      <c r="E4023" s="7" t="inlineStr">
        <is>
          <t>Pulverização Agrícola Conforme Bula</t>
        </is>
      </c>
      <c r="F4023" s="7" t="inlineStr">
        <is>
          <t>Citros</t>
        </is>
      </c>
      <c r="G4023" s="7" t="inlineStr">
        <is>
          <t>Cultura Autorizada na Bula</t>
        </is>
      </c>
      <c r="H4023" s="7" t="inlineStr">
        <is>
          <t>100 a 300 L/ha</t>
        </is>
      </c>
      <c r="I4023" s="7" t="inlineStr">
        <is>
          <t>20 a 40 L/ha</t>
        </is>
      </c>
      <c r="J4023" s="7" t="inlineStr">
        <is>
          <t>21 dias</t>
        </is>
      </c>
    </row>
    <row r="4024" ht="22" customHeight="1">
      <c r="A4024" s="12" t="inlineStr">
        <is>
          <t>CUL-4020</t>
        </is>
      </c>
      <c r="B4024" s="11" t="n">
        <v>799</v>
      </c>
      <c r="C4024" s="13" t="inlineStr">
        <is>
          <t>Nº 40624</t>
        </is>
      </c>
      <c r="D4024" s="14" t="inlineStr">
        <is>
          <t>SHARK</t>
        </is>
      </c>
      <c r="E4024" s="13" t="inlineStr">
        <is>
          <t>Pulverização Agrícola Conforme Bula</t>
        </is>
      </c>
      <c r="F4024" s="13" t="inlineStr">
        <is>
          <t>Feijão</t>
        </is>
      </c>
      <c r="G4024" s="13" t="inlineStr">
        <is>
          <t>Cultura Autorizada na Bula</t>
        </is>
      </c>
      <c r="H4024" s="13" t="inlineStr">
        <is>
          <t>100 a 300 L/ha</t>
        </is>
      </c>
      <c r="I4024" s="13" t="inlineStr">
        <is>
          <t>20 a 40 L/ha</t>
        </is>
      </c>
      <c r="J4024" s="13" t="inlineStr">
        <is>
          <t>25 dias</t>
        </is>
      </c>
    </row>
    <row r="4025" ht="22" customHeight="1">
      <c r="A4025" s="6" t="inlineStr">
        <is>
          <t>CUL-4021</t>
        </is>
      </c>
      <c r="B4025" s="5" t="n">
        <v>799</v>
      </c>
      <c r="C4025" s="7" t="inlineStr">
        <is>
          <t>Nº 40624</t>
        </is>
      </c>
      <c r="D4025" s="8" t="inlineStr">
        <is>
          <t>SHARK</t>
        </is>
      </c>
      <c r="E4025" s="7" t="inlineStr">
        <is>
          <t>Pulverização Agrícola Conforme Bula</t>
        </is>
      </c>
      <c r="F4025" s="7" t="inlineStr">
        <is>
          <t>Batata</t>
        </is>
      </c>
      <c r="G4025" s="7" t="inlineStr">
        <is>
          <t>Cultura Autorizada na Bula</t>
        </is>
      </c>
      <c r="H4025" s="7" t="inlineStr">
        <is>
          <t>100 a 300 L/ha</t>
        </is>
      </c>
      <c r="I4025" s="7" t="inlineStr">
        <is>
          <t>20 a 40 L/ha</t>
        </is>
      </c>
      <c r="J4025" s="7" t="inlineStr">
        <is>
          <t>21 dias</t>
        </is>
      </c>
    </row>
    <row r="4026" ht="22" customHeight="1">
      <c r="A4026" s="12" t="inlineStr">
        <is>
          <t>CUL-4022</t>
        </is>
      </c>
      <c r="B4026" s="11" t="n">
        <v>799</v>
      </c>
      <c r="C4026" s="13" t="inlineStr">
        <is>
          <t>Nº 40624</t>
        </is>
      </c>
      <c r="D4026" s="14" t="inlineStr">
        <is>
          <t>SHARK</t>
        </is>
      </c>
      <c r="E4026" s="13" t="inlineStr">
        <is>
          <t>Pulverização Agrícola Conforme Bula</t>
        </is>
      </c>
      <c r="F4026" s="13" t="inlineStr">
        <is>
          <t>Tomate</t>
        </is>
      </c>
      <c r="G4026" s="13" t="inlineStr">
        <is>
          <t>Cultura Autorizada na Bula</t>
        </is>
      </c>
      <c r="H4026" s="13" t="inlineStr">
        <is>
          <t>100 a 300 L/ha</t>
        </is>
      </c>
      <c r="I4026" s="13" t="inlineStr">
        <is>
          <t>20 a 40 L/ha</t>
        </is>
      </c>
      <c r="J4026" s="13" t="inlineStr">
        <is>
          <t>21 dias</t>
        </is>
      </c>
    </row>
    <row r="4027" ht="22" customHeight="1">
      <c r="A4027" s="6" t="inlineStr">
        <is>
          <t>CUL-4023</t>
        </is>
      </c>
      <c r="B4027" s="5" t="n">
        <v>799</v>
      </c>
      <c r="C4027" s="7" t="inlineStr">
        <is>
          <t>Nº 40624</t>
        </is>
      </c>
      <c r="D4027" s="8" t="inlineStr">
        <is>
          <t>SHARK</t>
        </is>
      </c>
      <c r="E4027" s="7" t="inlineStr">
        <is>
          <t>Pulverização Agrícola Conforme Bula</t>
        </is>
      </c>
      <c r="F4027" s="7" t="inlineStr">
        <is>
          <t>Trigo</t>
        </is>
      </c>
      <c r="G4027" s="7" t="inlineStr">
        <is>
          <t>Cultura Autorizada na Bula</t>
        </is>
      </c>
      <c r="H4027" s="7" t="inlineStr">
        <is>
          <t>100 a 300 L/ha</t>
        </is>
      </c>
      <c r="I4027" s="7" t="inlineStr">
        <is>
          <t>20 a 40 L/ha</t>
        </is>
      </c>
      <c r="J4027" s="7" t="inlineStr">
        <is>
          <t>21 dias</t>
        </is>
      </c>
    </row>
    <row r="4028" ht="22" customHeight="1">
      <c r="A4028" s="12" t="inlineStr">
        <is>
          <t>CUL-4024</t>
        </is>
      </c>
      <c r="B4028" s="11" t="n">
        <v>800</v>
      </c>
      <c r="C4028" s="13" t="inlineStr">
        <is>
          <t>Nº 40624</t>
        </is>
      </c>
      <c r="D4028" s="14" t="inlineStr">
        <is>
          <t>SHARK</t>
        </is>
      </c>
      <c r="E4028" s="13" t="inlineStr">
        <is>
          <t>Pulverização Agrícola Conforme Bula</t>
        </is>
      </c>
      <c r="F4028" s="13" t="inlineStr">
        <is>
          <t>Soja</t>
        </is>
      </c>
      <c r="G4028" s="13" t="inlineStr">
        <is>
          <t>Cultura Autorizada na Bula</t>
        </is>
      </c>
      <c r="H4028" s="13" t="inlineStr">
        <is>
          <t>100 a 300 L/ha</t>
        </is>
      </c>
      <c r="I4028" s="13" t="inlineStr">
        <is>
          <t>20 a 40 L/ha</t>
        </is>
      </c>
      <c r="J4028" s="13" t="inlineStr">
        <is>
          <t>21 dias</t>
        </is>
      </c>
    </row>
    <row r="4029" ht="22" customHeight="1">
      <c r="A4029" s="6" t="inlineStr">
        <is>
          <t>CUL-4025</t>
        </is>
      </c>
      <c r="B4029" s="5" t="n">
        <v>800</v>
      </c>
      <c r="C4029" s="7" t="inlineStr">
        <is>
          <t>Nº 40624</t>
        </is>
      </c>
      <c r="D4029" s="8" t="inlineStr">
        <is>
          <t>SHARK</t>
        </is>
      </c>
      <c r="E4029" s="7" t="inlineStr">
        <is>
          <t>Pulverização Agrícola Conforme Bula</t>
        </is>
      </c>
      <c r="F4029" s="7" t="inlineStr">
        <is>
          <t>Milho</t>
        </is>
      </c>
      <c r="G4029" s="7" t="inlineStr">
        <is>
          <t>Cultura Autorizada na Bula</t>
        </is>
      </c>
      <c r="H4029" s="7" t="inlineStr">
        <is>
          <t>100 a 300 L/ha</t>
        </is>
      </c>
      <c r="I4029" s="7" t="inlineStr">
        <is>
          <t>20 a 40 L/ha</t>
        </is>
      </c>
      <c r="J4029" s="7" t="inlineStr">
        <is>
          <t>21 dias</t>
        </is>
      </c>
    </row>
    <row r="4030" ht="22" customHeight="1">
      <c r="A4030" s="12" t="inlineStr">
        <is>
          <t>CUL-4026</t>
        </is>
      </c>
      <c r="B4030" s="11" t="n">
        <v>800</v>
      </c>
      <c r="C4030" s="13" t="inlineStr">
        <is>
          <t>Nº 40624</t>
        </is>
      </c>
      <c r="D4030" s="14" t="inlineStr">
        <is>
          <t>SHARK</t>
        </is>
      </c>
      <c r="E4030" s="13" t="inlineStr">
        <is>
          <t>Pulverização Agrícola Conforme Bula</t>
        </is>
      </c>
      <c r="F4030" s="13" t="inlineStr">
        <is>
          <t>Algodão</t>
        </is>
      </c>
      <c r="G4030" s="13" t="inlineStr">
        <is>
          <t>Cultura Autorizada na Bula</t>
        </is>
      </c>
      <c r="H4030" s="13" t="inlineStr">
        <is>
          <t>100 a 300 L/ha</t>
        </is>
      </c>
      <c r="I4030" s="13" t="inlineStr">
        <is>
          <t>20 a 40 L/ha</t>
        </is>
      </c>
      <c r="J4030" s="13" t="inlineStr">
        <is>
          <t>21 dias</t>
        </is>
      </c>
    </row>
    <row r="4031" ht="22" customHeight="1">
      <c r="A4031" s="6" t="inlineStr">
        <is>
          <t>CUL-4027</t>
        </is>
      </c>
      <c r="B4031" s="5" t="n">
        <v>800</v>
      </c>
      <c r="C4031" s="7" t="inlineStr">
        <is>
          <t>Nº 40624</t>
        </is>
      </c>
      <c r="D4031" s="8" t="inlineStr">
        <is>
          <t>SHARK</t>
        </is>
      </c>
      <c r="E4031" s="7" t="inlineStr">
        <is>
          <t>Pulverização Agrícola Conforme Bula</t>
        </is>
      </c>
      <c r="F4031" s="7" t="inlineStr">
        <is>
          <t>Café</t>
        </is>
      </c>
      <c r="G4031" s="7" t="inlineStr">
        <is>
          <t>Cultura Autorizada na Bula</t>
        </is>
      </c>
      <c r="H4031" s="7" t="inlineStr">
        <is>
          <t>100 a 300 L/ha</t>
        </is>
      </c>
      <c r="I4031" s="7" t="inlineStr">
        <is>
          <t>20 a 40 L/ha</t>
        </is>
      </c>
      <c r="J4031" s="7" t="inlineStr">
        <is>
          <t>21 dias</t>
        </is>
      </c>
    </row>
    <row r="4032" ht="22" customHeight="1">
      <c r="A4032" s="12" t="inlineStr">
        <is>
          <t>CUL-4028</t>
        </is>
      </c>
      <c r="B4032" s="11" t="n">
        <v>800</v>
      </c>
      <c r="C4032" s="13" t="inlineStr">
        <is>
          <t>Nº 40624</t>
        </is>
      </c>
      <c r="D4032" s="14" t="inlineStr">
        <is>
          <t>SHARK</t>
        </is>
      </c>
      <c r="E4032" s="13" t="inlineStr">
        <is>
          <t>Pulverização Agrícola Conforme Bula</t>
        </is>
      </c>
      <c r="F4032" s="13" t="inlineStr">
        <is>
          <t>Citros</t>
        </is>
      </c>
      <c r="G4032" s="13" t="inlineStr">
        <is>
          <t>Cultura Autorizada na Bula</t>
        </is>
      </c>
      <c r="H4032" s="13" t="inlineStr">
        <is>
          <t>100 a 300 L/ha</t>
        </is>
      </c>
      <c r="I4032" s="13" t="inlineStr">
        <is>
          <t>20 a 40 L/ha</t>
        </is>
      </c>
      <c r="J4032" s="13" t="inlineStr">
        <is>
          <t>21 dias</t>
        </is>
      </c>
    </row>
    <row r="4033" ht="22" customHeight="1">
      <c r="A4033" s="6" t="inlineStr">
        <is>
          <t>CUL-4029</t>
        </is>
      </c>
      <c r="B4033" s="5" t="n">
        <v>800</v>
      </c>
      <c r="C4033" s="7" t="inlineStr">
        <is>
          <t>Nº 40624</t>
        </is>
      </c>
      <c r="D4033" s="8" t="inlineStr">
        <is>
          <t>SHARK</t>
        </is>
      </c>
      <c r="E4033" s="7" t="inlineStr">
        <is>
          <t>Pulverização Agrícola Conforme Bula</t>
        </is>
      </c>
      <c r="F4033" s="7" t="inlineStr">
        <is>
          <t>Feijão</t>
        </is>
      </c>
      <c r="G4033" s="7" t="inlineStr">
        <is>
          <t>Cultura Autorizada na Bula</t>
        </is>
      </c>
      <c r="H4033" s="7" t="inlineStr">
        <is>
          <t>100 a 300 L/ha</t>
        </is>
      </c>
      <c r="I4033" s="7" t="inlineStr">
        <is>
          <t>20 a 40 L/ha</t>
        </is>
      </c>
      <c r="J4033" s="7" t="inlineStr">
        <is>
          <t>25 dias</t>
        </is>
      </c>
    </row>
    <row r="4034" ht="22" customHeight="1">
      <c r="A4034" s="12" t="inlineStr">
        <is>
          <t>CUL-4030</t>
        </is>
      </c>
      <c r="B4034" s="11" t="n">
        <v>800</v>
      </c>
      <c r="C4034" s="13" t="inlineStr">
        <is>
          <t>Nº 40624</t>
        </is>
      </c>
      <c r="D4034" s="14" t="inlineStr">
        <is>
          <t>SHARK</t>
        </is>
      </c>
      <c r="E4034" s="13" t="inlineStr">
        <is>
          <t>Pulverização Agrícola Conforme Bula</t>
        </is>
      </c>
      <c r="F4034" s="13" t="inlineStr">
        <is>
          <t>Batata</t>
        </is>
      </c>
      <c r="G4034" s="13" t="inlineStr">
        <is>
          <t>Cultura Autorizada na Bula</t>
        </is>
      </c>
      <c r="H4034" s="13" t="inlineStr">
        <is>
          <t>100 a 300 L/ha</t>
        </is>
      </c>
      <c r="I4034" s="13" t="inlineStr">
        <is>
          <t>20 a 40 L/ha</t>
        </is>
      </c>
      <c r="J4034" s="13" t="inlineStr">
        <is>
          <t>21 dias</t>
        </is>
      </c>
    </row>
    <row r="4035" ht="22" customHeight="1">
      <c r="A4035" s="6" t="inlineStr">
        <is>
          <t>CUL-4031</t>
        </is>
      </c>
      <c r="B4035" s="5" t="n">
        <v>800</v>
      </c>
      <c r="C4035" s="7" t="inlineStr">
        <is>
          <t>Nº 40624</t>
        </is>
      </c>
      <c r="D4035" s="8" t="inlineStr">
        <is>
          <t>SHARK</t>
        </is>
      </c>
      <c r="E4035" s="7" t="inlineStr">
        <is>
          <t>Pulverização Agrícola Conforme Bula</t>
        </is>
      </c>
      <c r="F4035" s="7" t="inlineStr">
        <is>
          <t>Tomate</t>
        </is>
      </c>
      <c r="G4035" s="7" t="inlineStr">
        <is>
          <t>Cultura Autorizada na Bula</t>
        </is>
      </c>
      <c r="H4035" s="7" t="inlineStr">
        <is>
          <t>100 a 300 L/ha</t>
        </is>
      </c>
      <c r="I4035" s="7" t="inlineStr">
        <is>
          <t>20 a 40 L/ha</t>
        </is>
      </c>
      <c r="J4035" s="7" t="inlineStr">
        <is>
          <t>21 dias</t>
        </is>
      </c>
    </row>
    <row r="4036" ht="22" customHeight="1">
      <c r="A4036" s="12" t="inlineStr">
        <is>
          <t>CUL-4032</t>
        </is>
      </c>
      <c r="B4036" s="11" t="n">
        <v>800</v>
      </c>
      <c r="C4036" s="13" t="inlineStr">
        <is>
          <t>Nº 40624</t>
        </is>
      </c>
      <c r="D4036" s="14" t="inlineStr">
        <is>
          <t>SHARK</t>
        </is>
      </c>
      <c r="E4036" s="13" t="inlineStr">
        <is>
          <t>Pulverização Agrícola Conforme Bula</t>
        </is>
      </c>
      <c r="F4036" s="13" t="inlineStr">
        <is>
          <t>Trigo</t>
        </is>
      </c>
      <c r="G4036" s="13" t="inlineStr">
        <is>
          <t>Cultura Autorizada na Bula</t>
        </is>
      </c>
      <c r="H4036" s="13" t="inlineStr">
        <is>
          <t>100 a 300 L/ha</t>
        </is>
      </c>
      <c r="I4036" s="13" t="inlineStr">
        <is>
          <t>20 a 40 L/ha</t>
        </is>
      </c>
      <c r="J4036" s="13" t="inlineStr">
        <is>
          <t>21 dias</t>
        </is>
      </c>
    </row>
    <row r="4037" ht="22" customHeight="1">
      <c r="A4037" s="6" t="inlineStr">
        <is>
          <t>CUL-4033</t>
        </is>
      </c>
      <c r="B4037" s="5" t="n">
        <v>801</v>
      </c>
      <c r="C4037" s="7" t="inlineStr">
        <is>
          <t>Nº 17219</t>
        </is>
      </c>
      <c r="D4037" s="8" t="inlineStr">
        <is>
          <t>PERAK</t>
        </is>
      </c>
      <c r="E4037" s="7" t="inlineStr">
        <is>
          <t>Pulverização Agrícola Conforme Bula</t>
        </is>
      </c>
      <c r="F4037" s="7" t="inlineStr">
        <is>
          <t>Soja</t>
        </is>
      </c>
      <c r="G4037" s="7" t="inlineStr">
        <is>
          <t>Cultura Autorizada na Bula</t>
        </is>
      </c>
      <c r="H4037" s="7" t="inlineStr">
        <is>
          <t>100 a 300 L/ha</t>
        </is>
      </c>
      <c r="I4037" s="7" t="inlineStr">
        <is>
          <t>20 a 40 L/ha</t>
        </is>
      </c>
      <c r="J4037" s="7" t="inlineStr">
        <is>
          <t>28 dias</t>
        </is>
      </c>
    </row>
    <row r="4038" ht="22" customHeight="1">
      <c r="A4038" s="12" t="inlineStr">
        <is>
          <t>CUL-4034</t>
        </is>
      </c>
      <c r="B4038" s="11" t="n">
        <v>801</v>
      </c>
      <c r="C4038" s="13" t="inlineStr">
        <is>
          <t>Nº 17219</t>
        </is>
      </c>
      <c r="D4038" s="14" t="inlineStr">
        <is>
          <t>PERAK</t>
        </is>
      </c>
      <c r="E4038" s="13" t="inlineStr">
        <is>
          <t>Pulverização Agrícola Conforme Bula</t>
        </is>
      </c>
      <c r="F4038" s="13" t="inlineStr">
        <is>
          <t>Feijão</t>
        </is>
      </c>
      <c r="G4038" s="13" t="inlineStr">
        <is>
          <t>Cultura Autorizada na Bula</t>
        </is>
      </c>
      <c r="H4038" s="13" t="inlineStr">
        <is>
          <t>100 a 300 L/ha</t>
        </is>
      </c>
      <c r="I4038" s="13" t="inlineStr">
        <is>
          <t>20 a 40 L/ha</t>
        </is>
      </c>
      <c r="J4038" s="13" t="inlineStr">
        <is>
          <t>20 dias</t>
        </is>
      </c>
    </row>
    <row r="4039" ht="22" customHeight="1">
      <c r="A4039" s="6" t="inlineStr">
        <is>
          <t>CUL-4035</t>
        </is>
      </c>
      <c r="B4039" s="5" t="n">
        <v>801</v>
      </c>
      <c r="C4039" s="7" t="inlineStr">
        <is>
          <t>Nº 17219</t>
        </is>
      </c>
      <c r="D4039" s="8" t="inlineStr">
        <is>
          <t>PERAK</t>
        </is>
      </c>
      <c r="E4039" s="7" t="inlineStr">
        <is>
          <t>Pulverização Agrícola Conforme Bula</t>
        </is>
      </c>
      <c r="F4039" s="7" t="inlineStr">
        <is>
          <t>Batata</t>
        </is>
      </c>
      <c r="G4039" s="7" t="inlineStr">
        <is>
          <t>Cultura Autorizada na Bula</t>
        </is>
      </c>
      <c r="H4039" s="7" t="inlineStr">
        <is>
          <t>100 a 300 L/ha</t>
        </is>
      </c>
      <c r="I4039" s="7" t="inlineStr">
        <is>
          <t>20 a 40 L/ha</t>
        </is>
      </c>
      <c r="J4039" s="7" t="inlineStr">
        <is>
          <t>7 dias</t>
        </is>
      </c>
    </row>
    <row r="4040" ht="22" customHeight="1">
      <c r="A4040" s="12" t="inlineStr">
        <is>
          <t>CUL-4036</t>
        </is>
      </c>
      <c r="B4040" s="11" t="n">
        <v>801</v>
      </c>
      <c r="C4040" s="13" t="inlineStr">
        <is>
          <t>Nº 17219</t>
        </is>
      </c>
      <c r="D4040" s="14" t="inlineStr">
        <is>
          <t>PERAK</t>
        </is>
      </c>
      <c r="E4040" s="13" t="inlineStr">
        <is>
          <t>Pulverização Agrícola Conforme Bula</t>
        </is>
      </c>
      <c r="F4040" s="13" t="inlineStr">
        <is>
          <t>Algodão</t>
        </is>
      </c>
      <c r="G4040" s="13" t="inlineStr">
        <is>
          <t>Cultura Autorizada na Bula</t>
        </is>
      </c>
      <c r="H4040" s="13" t="inlineStr">
        <is>
          <t>100 a 300 L/ha</t>
        </is>
      </c>
      <c r="I4040" s="13" t="inlineStr">
        <is>
          <t>20 a 40 L/ha</t>
        </is>
      </c>
      <c r="J4040" s="13" t="inlineStr">
        <is>
          <t>30 dias</t>
        </is>
      </c>
    </row>
    <row r="4041" ht="22" customHeight="1">
      <c r="A4041" s="6" t="inlineStr">
        <is>
          <t>CUL-4037</t>
        </is>
      </c>
      <c r="B4041" s="5" t="n">
        <v>801</v>
      </c>
      <c r="C4041" s="7" t="inlineStr">
        <is>
          <t>Nº 17219</t>
        </is>
      </c>
      <c r="D4041" s="8" t="inlineStr">
        <is>
          <t>PERAK</t>
        </is>
      </c>
      <c r="E4041" s="7" t="inlineStr">
        <is>
          <t>Pulverização Agrícola Conforme Bula</t>
        </is>
      </c>
      <c r="F4041" s="7" t="inlineStr">
        <is>
          <t>Tomate</t>
        </is>
      </c>
      <c r="G4041" s="7" t="inlineStr">
        <is>
          <t>Cultura Autorizada na Bula</t>
        </is>
      </c>
      <c r="H4041" s="7" t="inlineStr">
        <is>
          <t>100 a 300 L/ha</t>
        </is>
      </c>
      <c r="I4041" s="7" t="inlineStr">
        <is>
          <t>20 a 40 L/ha</t>
        </is>
      </c>
      <c r="J4041" s="7" t="inlineStr">
        <is>
          <t>7 dias</t>
        </is>
      </c>
    </row>
    <row r="4042" ht="22" customHeight="1">
      <c r="A4042" s="12" t="inlineStr">
        <is>
          <t>CUL-4038</t>
        </is>
      </c>
      <c r="B4042" s="11" t="n">
        <v>802</v>
      </c>
      <c r="C4042" s="13" t="inlineStr">
        <is>
          <t>SIPEAGRO (UF-XXXXX)</t>
        </is>
      </c>
      <c r="D4042" s="14" t="inlineStr">
        <is>
          <t>TSP - 46%P2O5 - GRAN - REVENDA - JBS</t>
        </is>
      </c>
      <c r="E4042" s="13" t="inlineStr">
        <is>
          <t>Adubação de Solo / Foliar</t>
        </is>
      </c>
      <c r="F4042" s="13" t="inlineStr">
        <is>
          <t>Soja</t>
        </is>
      </c>
      <c r="G4042" s="13" t="inlineStr">
        <is>
          <t>Cultura Autorizada na Bula</t>
        </is>
      </c>
      <c r="H4042" s="13" t="inlineStr">
        <is>
          <t>100 a 300 L/ha</t>
        </is>
      </c>
      <c r="I4042" s="13" t="inlineStr">
        <is>
          <t>20 a 40 L/ha</t>
        </is>
      </c>
      <c r="J4042" s="13" t="inlineStr">
        <is>
          <t>Isento</t>
        </is>
      </c>
    </row>
    <row r="4043" ht="22" customHeight="1">
      <c r="A4043" s="6" t="inlineStr">
        <is>
          <t>CUL-4039</t>
        </is>
      </c>
      <c r="B4043" s="5" t="n">
        <v>802</v>
      </c>
      <c r="C4043" s="7" t="inlineStr">
        <is>
          <t>SIPEAGRO (UF-XXXXX)</t>
        </is>
      </c>
      <c r="D4043" s="8" t="inlineStr">
        <is>
          <t>TSP - 46%P2O5 - GRAN - REVENDA - JBS</t>
        </is>
      </c>
      <c r="E4043" s="7" t="inlineStr">
        <is>
          <t>Adubação de Solo / Foliar</t>
        </is>
      </c>
      <c r="F4043" s="7" t="inlineStr">
        <is>
          <t>Milho</t>
        </is>
      </c>
      <c r="G4043" s="7" t="inlineStr">
        <is>
          <t>Cultura Autorizada na Bula</t>
        </is>
      </c>
      <c r="H4043" s="7" t="inlineStr">
        <is>
          <t>100 a 300 L/ha</t>
        </is>
      </c>
      <c r="I4043" s="7" t="inlineStr">
        <is>
          <t>20 a 40 L/ha</t>
        </is>
      </c>
      <c r="J4043" s="7" t="inlineStr">
        <is>
          <t>Isento</t>
        </is>
      </c>
    </row>
    <row r="4044" ht="22" customHeight="1">
      <c r="A4044" s="12" t="inlineStr">
        <is>
          <t>CUL-4040</t>
        </is>
      </c>
      <c r="B4044" s="11" t="n">
        <v>802</v>
      </c>
      <c r="C4044" s="13" t="inlineStr">
        <is>
          <t>SIPEAGRO (UF-XXXXX)</t>
        </is>
      </c>
      <c r="D4044" s="14" t="inlineStr">
        <is>
          <t>TSP - 46%P2O5 - GRAN - REVENDA - JBS</t>
        </is>
      </c>
      <c r="E4044" s="13" t="inlineStr">
        <is>
          <t>Adubação de Solo / Foliar</t>
        </is>
      </c>
      <c r="F4044" s="13" t="inlineStr">
        <is>
          <t>Algodão</t>
        </is>
      </c>
      <c r="G4044" s="13" t="inlineStr">
        <is>
          <t>Cultura Autorizada na Bula</t>
        </is>
      </c>
      <c r="H4044" s="13" t="inlineStr">
        <is>
          <t>100 a 300 L/ha</t>
        </is>
      </c>
      <c r="I4044" s="13" t="inlineStr">
        <is>
          <t>20 a 40 L/ha</t>
        </is>
      </c>
      <c r="J4044" s="13" t="inlineStr">
        <is>
          <t>Isento</t>
        </is>
      </c>
    </row>
    <row r="4045" ht="22" customHeight="1">
      <c r="A4045" s="6" t="inlineStr">
        <is>
          <t>CUL-4041</t>
        </is>
      </c>
      <c r="B4045" s="5" t="n">
        <v>802</v>
      </c>
      <c r="C4045" s="7" t="inlineStr">
        <is>
          <t>SIPEAGRO (UF-XXXXX)</t>
        </is>
      </c>
      <c r="D4045" s="8" t="inlineStr">
        <is>
          <t>TSP - 46%P2O5 - GRAN - REVENDA - JBS</t>
        </is>
      </c>
      <c r="E4045" s="7" t="inlineStr">
        <is>
          <t>Adubação de Solo / Foliar</t>
        </is>
      </c>
      <c r="F4045" s="7" t="inlineStr">
        <is>
          <t>Cana-de-açúcar</t>
        </is>
      </c>
      <c r="G4045" s="7" t="inlineStr">
        <is>
          <t>Cultura Autorizada na Bula</t>
        </is>
      </c>
      <c r="H4045" s="7" t="inlineStr">
        <is>
          <t>100 a 300 L/ha</t>
        </is>
      </c>
      <c r="I4045" s="7" t="inlineStr">
        <is>
          <t>20 a 40 L/ha</t>
        </is>
      </c>
      <c r="J4045" s="7" t="inlineStr">
        <is>
          <t>Isento</t>
        </is>
      </c>
    </row>
    <row r="4046" ht="22" customHeight="1">
      <c r="A4046" s="12" t="inlineStr">
        <is>
          <t>CUL-4042</t>
        </is>
      </c>
      <c r="B4046" s="11" t="n">
        <v>802</v>
      </c>
      <c r="C4046" s="13" t="inlineStr">
        <is>
          <t>SIPEAGRO (UF-XXXXX)</t>
        </is>
      </c>
      <c r="D4046" s="14" t="inlineStr">
        <is>
          <t>TSP - 46%P2O5 - GRAN - REVENDA - JBS</t>
        </is>
      </c>
      <c r="E4046" s="13" t="inlineStr">
        <is>
          <t>Adubação de Solo / Foliar</t>
        </is>
      </c>
      <c r="F4046" s="13" t="inlineStr">
        <is>
          <t>Café</t>
        </is>
      </c>
      <c r="G4046" s="13" t="inlineStr">
        <is>
          <t>Cultura Autorizada na Bula</t>
        </is>
      </c>
      <c r="H4046" s="13" t="inlineStr">
        <is>
          <t>100 a 300 L/ha</t>
        </is>
      </c>
      <c r="I4046" s="13" t="inlineStr">
        <is>
          <t>20 a 40 L/ha</t>
        </is>
      </c>
      <c r="J4046" s="13" t="inlineStr">
        <is>
          <t>Isento</t>
        </is>
      </c>
    </row>
    <row r="4047" ht="22" customHeight="1">
      <c r="A4047" s="6" t="inlineStr">
        <is>
          <t>CUL-4043</t>
        </is>
      </c>
      <c r="B4047" s="5" t="n">
        <v>803</v>
      </c>
      <c r="C4047" s="7" t="inlineStr">
        <is>
          <t>Nº 2020</t>
        </is>
      </c>
      <c r="D4047" s="8" t="inlineStr">
        <is>
          <t>BUSHI 0,2L (AMOSTRA) IMP</t>
        </is>
      </c>
      <c r="E4047" s="7" t="inlineStr">
        <is>
          <t>Pulverização Agrícola Conforme Bula</t>
        </is>
      </c>
      <c r="F4047" s="7" t="inlineStr">
        <is>
          <t>Soja</t>
        </is>
      </c>
      <c r="G4047" s="7" t="inlineStr">
        <is>
          <t>Cultura Autorizada na Bula</t>
        </is>
      </c>
      <c r="H4047" s="7" t="inlineStr">
        <is>
          <t>100 a 300 L/ha</t>
        </is>
      </c>
      <c r="I4047" s="7" t="inlineStr">
        <is>
          <t>20 a 40 L/ha</t>
        </is>
      </c>
      <c r="J4047" s="7" t="inlineStr">
        <is>
          <t>14 dias</t>
        </is>
      </c>
    </row>
    <row r="4048" ht="22" customHeight="1">
      <c r="A4048" s="12" t="inlineStr">
        <is>
          <t>CUL-4044</t>
        </is>
      </c>
      <c r="B4048" s="11" t="n">
        <v>803</v>
      </c>
      <c r="C4048" s="13" t="inlineStr">
        <is>
          <t>Nº 2020</t>
        </is>
      </c>
      <c r="D4048" s="14" t="inlineStr">
        <is>
          <t>BUSHI 0,2L (AMOSTRA) IMP</t>
        </is>
      </c>
      <c r="E4048" s="13" t="inlineStr">
        <is>
          <t>Pulverização Agrícola Conforme Bula</t>
        </is>
      </c>
      <c r="F4048" s="13" t="inlineStr">
        <is>
          <t>Milho</t>
        </is>
      </c>
      <c r="G4048" s="13" t="inlineStr">
        <is>
          <t>Cultura Autorizada na Bula</t>
        </is>
      </c>
      <c r="H4048" s="13" t="inlineStr">
        <is>
          <t>100 a 300 L/ha</t>
        </is>
      </c>
      <c r="I4048" s="13" t="inlineStr">
        <is>
          <t>20 a 40 L/ha</t>
        </is>
      </c>
      <c r="J4048" s="13" t="inlineStr">
        <is>
          <t>15 dias</t>
        </is>
      </c>
    </row>
    <row r="4049" ht="22" customHeight="1">
      <c r="A4049" s="6" t="inlineStr">
        <is>
          <t>CUL-4045</t>
        </is>
      </c>
      <c r="B4049" s="5" t="n">
        <v>803</v>
      </c>
      <c r="C4049" s="7" t="inlineStr">
        <is>
          <t>Nº 2020</t>
        </is>
      </c>
      <c r="D4049" s="8" t="inlineStr">
        <is>
          <t>BUSHI 0,2L (AMOSTRA) IMP</t>
        </is>
      </c>
      <c r="E4049" s="7" t="inlineStr">
        <is>
          <t>Pulverização Agrícola Conforme Bula</t>
        </is>
      </c>
      <c r="F4049" s="7" t="inlineStr">
        <is>
          <t>Algodão</t>
        </is>
      </c>
      <c r="G4049" s="7" t="inlineStr">
        <is>
          <t>Cultura Autorizada na Bula</t>
        </is>
      </c>
      <c r="H4049" s="7" t="inlineStr">
        <is>
          <t>100 a 300 L/ha</t>
        </is>
      </c>
      <c r="I4049" s="7" t="inlineStr">
        <is>
          <t>20 a 40 L/ha</t>
        </is>
      </c>
      <c r="J4049" s="7" t="inlineStr">
        <is>
          <t>7 dias</t>
        </is>
      </c>
    </row>
    <row r="4050" ht="22" customHeight="1">
      <c r="A4050" s="12" t="inlineStr">
        <is>
          <t>CUL-4046</t>
        </is>
      </c>
      <c r="B4050" s="11" t="n">
        <v>803</v>
      </c>
      <c r="C4050" s="13" t="inlineStr">
        <is>
          <t>Nº 2020</t>
        </is>
      </c>
      <c r="D4050" s="14" t="inlineStr">
        <is>
          <t>BUSHI 0,2L (AMOSTRA) IMP</t>
        </is>
      </c>
      <c r="E4050" s="13" t="inlineStr">
        <is>
          <t>Pulverização Agrícola Conforme Bula</t>
        </is>
      </c>
      <c r="F4050" s="13" t="inlineStr">
        <is>
          <t>Café</t>
        </is>
      </c>
      <c r="G4050" s="13" t="inlineStr">
        <is>
          <t>Cultura Autorizada na Bula</t>
        </is>
      </c>
      <c r="H4050" s="13" t="inlineStr">
        <is>
          <t>100 a 300 L/ha</t>
        </is>
      </c>
      <c r="I4050" s="13" t="inlineStr">
        <is>
          <t>20 a 40 L/ha</t>
        </is>
      </c>
      <c r="J4050" s="13" t="inlineStr">
        <is>
          <t>1 dias</t>
        </is>
      </c>
    </row>
    <row r="4051" ht="22" customHeight="1">
      <c r="A4051" s="6" t="inlineStr">
        <is>
          <t>CUL-4047</t>
        </is>
      </c>
      <c r="B4051" s="5" t="n">
        <v>803</v>
      </c>
      <c r="C4051" s="7" t="inlineStr">
        <is>
          <t>Nº 2020</t>
        </is>
      </c>
      <c r="D4051" s="8" t="inlineStr">
        <is>
          <t>BUSHI 0,2L (AMOSTRA) IMP</t>
        </is>
      </c>
      <c r="E4051" s="7" t="inlineStr">
        <is>
          <t>Pulverização Agrícola Conforme Bula</t>
        </is>
      </c>
      <c r="F4051" s="7" t="inlineStr">
        <is>
          <t>Feijão</t>
        </is>
      </c>
      <c r="G4051" s="7" t="inlineStr">
        <is>
          <t>Cultura Autorizada na Bula</t>
        </is>
      </c>
      <c r="H4051" s="7" t="inlineStr">
        <is>
          <t>100 a 300 L/ha</t>
        </is>
      </c>
      <c r="I4051" s="7" t="inlineStr">
        <is>
          <t>20 a 40 L/ha</t>
        </is>
      </c>
      <c r="J4051" s="7" t="inlineStr">
        <is>
          <t>15 dias</t>
        </is>
      </c>
    </row>
    <row r="4052" ht="22" customHeight="1">
      <c r="A4052" s="12" t="inlineStr">
        <is>
          <t>CUL-4048</t>
        </is>
      </c>
      <c r="B4052" s="11" t="n">
        <v>803</v>
      </c>
      <c r="C4052" s="13" t="inlineStr">
        <is>
          <t>Nº 2020</t>
        </is>
      </c>
      <c r="D4052" s="14" t="inlineStr">
        <is>
          <t>BUSHI 0,2L (AMOSTRA) IMP</t>
        </is>
      </c>
      <c r="E4052" s="13" t="inlineStr">
        <is>
          <t>Pulverização Agrícola Conforme Bula</t>
        </is>
      </c>
      <c r="F4052" s="13" t="inlineStr">
        <is>
          <t>Trigo</t>
        </is>
      </c>
      <c r="G4052" s="13" t="inlineStr">
        <is>
          <t>Cultura Autorizada na Bula</t>
        </is>
      </c>
      <c r="H4052" s="13" t="inlineStr">
        <is>
          <t>100 a 300 L/ha</t>
        </is>
      </c>
      <c r="I4052" s="13" t="inlineStr">
        <is>
          <t>20 a 40 L/ha</t>
        </is>
      </c>
      <c r="J4052" s="13" t="inlineStr">
        <is>
          <t>21 dias</t>
        </is>
      </c>
    </row>
    <row r="4053" ht="22" customHeight="1">
      <c r="A4053" s="6" t="inlineStr">
        <is>
          <t>CUL-4049</t>
        </is>
      </c>
      <c r="B4053" s="5" t="n">
        <v>803</v>
      </c>
      <c r="C4053" s="7" t="inlineStr">
        <is>
          <t>Nº 2020</t>
        </is>
      </c>
      <c r="D4053" s="8" t="inlineStr">
        <is>
          <t>BUSHI 0,2L (AMOSTRA) IMP</t>
        </is>
      </c>
      <c r="E4053" s="7" t="inlineStr">
        <is>
          <t>Pulverização Agrícola Conforme Bula</t>
        </is>
      </c>
      <c r="F4053" s="7" t="inlineStr">
        <is>
          <t>Cana-de-açúcar</t>
        </is>
      </c>
      <c r="G4053" s="7" t="inlineStr">
        <is>
          <t>Cultura Autorizada na Bula</t>
        </is>
      </c>
      <c r="H4053" s="7" t="inlineStr">
        <is>
          <t>100 a 300 L/ha</t>
        </is>
      </c>
      <c r="I4053" s="7" t="inlineStr">
        <is>
          <t>20 a 40 L/ha</t>
        </is>
      </c>
      <c r="J4053" s="7" t="inlineStr">
        <is>
          <t>21 dias</t>
        </is>
      </c>
    </row>
    <row r="4054" ht="22" customHeight="1">
      <c r="A4054" s="12" t="inlineStr">
        <is>
          <t>CUL-4050</t>
        </is>
      </c>
      <c r="B4054" s="11" t="n">
        <v>804</v>
      </c>
      <c r="C4054" s="13" t="inlineStr">
        <is>
          <t>Nº 34621</t>
        </is>
      </c>
      <c r="D4054" s="14" t="inlineStr">
        <is>
          <t>DIBROMETO DE DIQUATE</t>
        </is>
      </c>
      <c r="E4054" s="13" t="inlineStr">
        <is>
          <t>Pulverização Agrícola Conforme Bula</t>
        </is>
      </c>
      <c r="F4054" s="13" t="inlineStr">
        <is>
          <t>Soja (Dessecação Pré-Colheita e Pré-Plantio)</t>
        </is>
      </c>
      <c r="G4054" s="13" t="inlineStr">
        <is>
          <t>Cultura Autorizada na Bula</t>
        </is>
      </c>
      <c r="H4054" s="13" t="inlineStr">
        <is>
          <t>100 a 300 L/ha</t>
        </is>
      </c>
      <c r="I4054" s="13" t="inlineStr">
        <is>
          <t>20 a 40 L/ha</t>
        </is>
      </c>
      <c r="J4054" s="13" t="inlineStr">
        <is>
          <t>7 dias</t>
        </is>
      </c>
    </row>
    <row r="4055" ht="22" customHeight="1">
      <c r="A4055" s="6" t="inlineStr">
        <is>
          <t>CUL-4051</t>
        </is>
      </c>
      <c r="B4055" s="5" t="n">
        <v>804</v>
      </c>
      <c r="C4055" s="7" t="inlineStr">
        <is>
          <t>Nº 34621</t>
        </is>
      </c>
      <c r="D4055" s="8" t="inlineStr">
        <is>
          <t>DIBROMETO DE DIQUATE</t>
        </is>
      </c>
      <c r="E4055" s="7" t="inlineStr">
        <is>
          <t>Pulverização Agrícola Conforme Bula</t>
        </is>
      </c>
      <c r="F4055" s="7" t="inlineStr">
        <is>
          <t>Feijão (Dessecação Pré-Colheita)</t>
        </is>
      </c>
      <c r="G4055" s="7" t="inlineStr">
        <is>
          <t>Cultura Autorizada na Bula</t>
        </is>
      </c>
      <c r="H4055" s="7" t="inlineStr">
        <is>
          <t>100 a 300 L/ha</t>
        </is>
      </c>
      <c r="I4055" s="7" t="inlineStr">
        <is>
          <t>20 a 40 L/ha</t>
        </is>
      </c>
      <c r="J4055" s="7" t="inlineStr">
        <is>
          <t>7 dias</t>
        </is>
      </c>
    </row>
    <row r="4056" ht="22" customHeight="1">
      <c r="A4056" s="12" t="inlineStr">
        <is>
          <t>CUL-4052</t>
        </is>
      </c>
      <c r="B4056" s="11" t="n">
        <v>804</v>
      </c>
      <c r="C4056" s="13" t="inlineStr">
        <is>
          <t>Nº 34621</t>
        </is>
      </c>
      <c r="D4056" s="14" t="inlineStr">
        <is>
          <t>DIBROMETO DE DIQUATE</t>
        </is>
      </c>
      <c r="E4056" s="13" t="inlineStr">
        <is>
          <t>Pulverização Agrícola Conforme Bula</t>
        </is>
      </c>
      <c r="F4056" s="13" t="inlineStr">
        <is>
          <t>Algodão</t>
        </is>
      </c>
      <c r="G4056" s="13" t="inlineStr">
        <is>
          <t>Cultura Autorizada na Bula</t>
        </is>
      </c>
      <c r="H4056" s="13" t="inlineStr">
        <is>
          <t>100 a 300 L/ha</t>
        </is>
      </c>
      <c r="I4056" s="13" t="inlineStr">
        <is>
          <t>20 a 40 L/ha</t>
        </is>
      </c>
      <c r="J4056" s="13" t="inlineStr">
        <is>
          <t>7 dias</t>
        </is>
      </c>
    </row>
    <row r="4057" ht="22" customHeight="1">
      <c r="A4057" s="6" t="inlineStr">
        <is>
          <t>CUL-4053</t>
        </is>
      </c>
      <c r="B4057" s="5" t="n">
        <v>804</v>
      </c>
      <c r="C4057" s="7" t="inlineStr">
        <is>
          <t>Nº 34621</t>
        </is>
      </c>
      <c r="D4057" s="8" t="inlineStr">
        <is>
          <t>DIBROMETO DE DIQUATE</t>
        </is>
      </c>
      <c r="E4057" s="7" t="inlineStr">
        <is>
          <t>Pulverização Agrícola Conforme Bula</t>
        </is>
      </c>
      <c r="F4057" s="7" t="inlineStr">
        <is>
          <t>Batata</t>
        </is>
      </c>
      <c r="G4057" s="7" t="inlineStr">
        <is>
          <t>Cultura Autorizada na Bula</t>
        </is>
      </c>
      <c r="H4057" s="7" t="inlineStr">
        <is>
          <t>100 a 300 L/ha</t>
        </is>
      </c>
      <c r="I4057" s="7" t="inlineStr">
        <is>
          <t>20 a 40 L/ha</t>
        </is>
      </c>
      <c r="J4057" s="7" t="inlineStr">
        <is>
          <t>7 dias</t>
        </is>
      </c>
    </row>
    <row r="4058" ht="22" customHeight="1">
      <c r="A4058" s="12" t="inlineStr">
        <is>
          <t>CUL-4054</t>
        </is>
      </c>
      <c r="B4058" s="11" t="n">
        <v>804</v>
      </c>
      <c r="C4058" s="13" t="inlineStr">
        <is>
          <t>Nº 34621</t>
        </is>
      </c>
      <c r="D4058" s="14" t="inlineStr">
        <is>
          <t>DIBROMETO DE DIQUATE</t>
        </is>
      </c>
      <c r="E4058" s="13" t="inlineStr">
        <is>
          <t>Pulverização Agrícola Conforme Bula</t>
        </is>
      </c>
      <c r="F4058" s="13" t="inlineStr">
        <is>
          <t>Milho (Pré-Plantio)</t>
        </is>
      </c>
      <c r="G4058" s="13" t="inlineStr">
        <is>
          <t>Cultura Autorizada na Bula</t>
        </is>
      </c>
      <c r="H4058" s="13" t="inlineStr">
        <is>
          <t>100 a 300 L/ha</t>
        </is>
      </c>
      <c r="I4058" s="13" t="inlineStr">
        <is>
          <t>20 a 40 L/ha</t>
        </is>
      </c>
      <c r="J4058" s="13" t="inlineStr">
        <is>
          <t>N/D</t>
        </is>
      </c>
    </row>
    <row r="4059" ht="22" customHeight="1">
      <c r="A4059" s="6" t="inlineStr">
        <is>
          <t>CUL-4055</t>
        </is>
      </c>
      <c r="B4059" s="5" t="n">
        <v>805</v>
      </c>
      <c r="C4059" s="7" t="inlineStr">
        <is>
          <t>Nº 25423</t>
        </is>
      </c>
      <c r="D4059" s="8" t="inlineStr">
        <is>
          <t>GLUFE 200 SL</t>
        </is>
      </c>
      <c r="E4059" s="7" t="inlineStr">
        <is>
          <t>Pulverização Agrícola Conforme Bula</t>
        </is>
      </c>
      <c r="F4059" s="7" t="inlineStr">
        <is>
          <t>Soja (Pré-Plantio / OGM)</t>
        </is>
      </c>
      <c r="G4059" s="7" t="inlineStr">
        <is>
          <t>Cultura Autorizada na Bula</t>
        </is>
      </c>
      <c r="H4059" s="7" t="inlineStr">
        <is>
          <t>100 a 300 L/ha</t>
        </is>
      </c>
      <c r="I4059" s="7" t="inlineStr">
        <is>
          <t>20 a 40 L/ha</t>
        </is>
      </c>
      <c r="J4059" s="7" t="inlineStr">
        <is>
          <t>60 dias</t>
        </is>
      </c>
    </row>
    <row r="4060" ht="22" customHeight="1">
      <c r="A4060" s="12" t="inlineStr">
        <is>
          <t>CUL-4056</t>
        </is>
      </c>
      <c r="B4060" s="11" t="n">
        <v>805</v>
      </c>
      <c r="C4060" s="13" t="inlineStr">
        <is>
          <t>Nº 25423</t>
        </is>
      </c>
      <c r="D4060" s="14" t="inlineStr">
        <is>
          <t>GLUFE 200 SL</t>
        </is>
      </c>
      <c r="E4060" s="13" t="inlineStr">
        <is>
          <t>Pulverização Agrícola Conforme Bula</t>
        </is>
      </c>
      <c r="F4060" s="13" t="inlineStr">
        <is>
          <t>Milho (Pré-Plantio / OGM)</t>
        </is>
      </c>
      <c r="G4060" s="13" t="inlineStr">
        <is>
          <t>Cultura Autorizada na Bula</t>
        </is>
      </c>
      <c r="H4060" s="13" t="inlineStr">
        <is>
          <t>100 a 300 L/ha</t>
        </is>
      </c>
      <c r="I4060" s="13" t="inlineStr">
        <is>
          <t>20 a 40 L/ha</t>
        </is>
      </c>
      <c r="J4060" s="13" t="inlineStr">
        <is>
          <t>40 dias</t>
        </is>
      </c>
    </row>
    <row r="4061" ht="22" customHeight="1">
      <c r="A4061" s="6" t="inlineStr">
        <is>
          <t>CUL-4057</t>
        </is>
      </c>
      <c r="B4061" s="5" t="n">
        <v>805</v>
      </c>
      <c r="C4061" s="7" t="inlineStr">
        <is>
          <t>Nº 25423</t>
        </is>
      </c>
      <c r="D4061" s="8" t="inlineStr">
        <is>
          <t>GLUFE 200 SL</t>
        </is>
      </c>
      <c r="E4061" s="7" t="inlineStr">
        <is>
          <t>Pulverização Agrícola Conforme Bula</t>
        </is>
      </c>
      <c r="F4061" s="7" t="inlineStr">
        <is>
          <t>Algodão (Pré-Plantio / OGM / Desfolha)</t>
        </is>
      </c>
      <c r="G4061" s="7" t="inlineStr">
        <is>
          <t>Cultura Autorizada na Bula</t>
        </is>
      </c>
      <c r="H4061" s="7" t="inlineStr">
        <is>
          <t>100 a 300 L/ha</t>
        </is>
      </c>
      <c r="I4061" s="7" t="inlineStr">
        <is>
          <t>20 a 40 L/ha</t>
        </is>
      </c>
      <c r="J4061" s="7" t="inlineStr">
        <is>
          <t>15 dias</t>
        </is>
      </c>
    </row>
    <row r="4062" ht="22" customHeight="1">
      <c r="A4062" s="12" t="inlineStr">
        <is>
          <t>CUL-4058</t>
        </is>
      </c>
      <c r="B4062" s="11" t="n">
        <v>805</v>
      </c>
      <c r="C4062" s="13" t="inlineStr">
        <is>
          <t>Nº 25423</t>
        </is>
      </c>
      <c r="D4062" s="14" t="inlineStr">
        <is>
          <t>GLUFE 200 SL</t>
        </is>
      </c>
      <c r="E4062" s="13" t="inlineStr">
        <is>
          <t>Pulverização Agrícola Conforme Bula</t>
        </is>
      </c>
      <c r="F4062" s="13" t="inlineStr">
        <is>
          <t>Café (Jato Dirigido)</t>
        </is>
      </c>
      <c r="G4062" s="13" t="inlineStr">
        <is>
          <t>Cultura Autorizada na Bula</t>
        </is>
      </c>
      <c r="H4062" s="13" t="inlineStr">
        <is>
          <t>100 a 300 L/ha</t>
        </is>
      </c>
      <c r="I4062" s="13" t="inlineStr">
        <is>
          <t>20 a 40 L/ha</t>
        </is>
      </c>
      <c r="J4062" s="13" t="inlineStr">
        <is>
          <t>20 dias</t>
        </is>
      </c>
    </row>
    <row r="4063" ht="22" customHeight="1">
      <c r="A4063" s="6" t="inlineStr">
        <is>
          <t>CUL-4059</t>
        </is>
      </c>
      <c r="B4063" s="5" t="n">
        <v>805</v>
      </c>
      <c r="C4063" s="7" t="inlineStr">
        <is>
          <t>Nº 25423</t>
        </is>
      </c>
      <c r="D4063" s="8" t="inlineStr">
        <is>
          <t>GLUFE 200 SL</t>
        </is>
      </c>
      <c r="E4063" s="7" t="inlineStr">
        <is>
          <t>Pulverização Agrícola Conforme Bula</t>
        </is>
      </c>
      <c r="F4063" s="7" t="inlineStr">
        <is>
          <t>Citros (Jato Dirigido)</t>
        </is>
      </c>
      <c r="G4063" s="7" t="inlineStr">
        <is>
          <t>Cultura Autorizada na Bula</t>
        </is>
      </c>
      <c r="H4063" s="7" t="inlineStr">
        <is>
          <t>100 a 300 L/ha</t>
        </is>
      </c>
      <c r="I4063" s="7" t="inlineStr">
        <is>
          <t>20 a 40 L/ha</t>
        </is>
      </c>
      <c r="J4063" s="7" t="inlineStr">
        <is>
          <t>40 dias</t>
        </is>
      </c>
    </row>
    <row r="4064" ht="22" customHeight="1">
      <c r="A4064" s="12" t="inlineStr">
        <is>
          <t>CUL-4060</t>
        </is>
      </c>
      <c r="B4064" s="11" t="n">
        <v>805</v>
      </c>
      <c r="C4064" s="13" t="inlineStr">
        <is>
          <t>Nº 25423</t>
        </is>
      </c>
      <c r="D4064" s="14" t="inlineStr">
        <is>
          <t>GLUFE 200 SL</t>
        </is>
      </c>
      <c r="E4064" s="13" t="inlineStr">
        <is>
          <t>Pulverização Agrícola Conforme Bula</t>
        </is>
      </c>
      <c r="F4064" s="13" t="inlineStr">
        <is>
          <t>Trigo</t>
        </is>
      </c>
      <c r="G4064" s="13" t="inlineStr">
        <is>
          <t>Cultura Autorizada na Bula</t>
        </is>
      </c>
      <c r="H4064" s="13" t="inlineStr">
        <is>
          <t>100 a 300 L/ha</t>
        </is>
      </c>
      <c r="I4064" s="13" t="inlineStr">
        <is>
          <t>20 a 40 L/ha</t>
        </is>
      </c>
      <c r="J4064" s="13" t="inlineStr">
        <is>
          <t>N/D</t>
        </is>
      </c>
    </row>
    <row r="4065" ht="22" customHeight="1">
      <c r="A4065" s="6" t="inlineStr">
        <is>
          <t>CUL-4061</t>
        </is>
      </c>
      <c r="B4065" s="5" t="n">
        <v>806</v>
      </c>
      <c r="C4065" s="7" t="inlineStr">
        <is>
          <t>SIPEAGRO (UF-XXXXX)</t>
        </is>
      </c>
      <c r="D4065" s="8" t="inlineStr">
        <is>
          <t>MS09E 04 24 24 S9 - MOSAIC (VALIDAR)</t>
        </is>
      </c>
      <c r="E4065" s="7" t="inlineStr">
        <is>
          <t>Adubação de Solo / Foliar</t>
        </is>
      </c>
      <c r="F4065" s="7" t="inlineStr">
        <is>
          <t>Soja</t>
        </is>
      </c>
      <c r="G4065" s="7" t="inlineStr">
        <is>
          <t>Cultura Autorizada na Bula</t>
        </is>
      </c>
      <c r="H4065" s="7" t="inlineStr">
        <is>
          <t>100 a 300 L/ha</t>
        </is>
      </c>
      <c r="I4065" s="7" t="inlineStr">
        <is>
          <t>20 a 40 L/ha</t>
        </is>
      </c>
      <c r="J4065" s="7" t="inlineStr">
        <is>
          <t>Isento</t>
        </is>
      </c>
    </row>
    <row r="4066" ht="22" customHeight="1">
      <c r="A4066" s="12" t="inlineStr">
        <is>
          <t>CUL-4062</t>
        </is>
      </c>
      <c r="B4066" s="11" t="n">
        <v>806</v>
      </c>
      <c r="C4066" s="13" t="inlineStr">
        <is>
          <t>SIPEAGRO (UF-XXXXX)</t>
        </is>
      </c>
      <c r="D4066" s="14" t="inlineStr">
        <is>
          <t>MS09E 04 24 24 S9 - MOSAIC (VALIDAR)</t>
        </is>
      </c>
      <c r="E4066" s="13" t="inlineStr">
        <is>
          <t>Adubação de Solo / Foliar</t>
        </is>
      </c>
      <c r="F4066" s="13" t="inlineStr">
        <is>
          <t>Milho</t>
        </is>
      </c>
      <c r="G4066" s="13" t="inlineStr">
        <is>
          <t>Cultura Autorizada na Bula</t>
        </is>
      </c>
      <c r="H4066" s="13" t="inlineStr">
        <is>
          <t>100 a 300 L/ha</t>
        </is>
      </c>
      <c r="I4066" s="13" t="inlineStr">
        <is>
          <t>20 a 40 L/ha</t>
        </is>
      </c>
      <c r="J4066" s="13" t="inlineStr">
        <is>
          <t>Isento</t>
        </is>
      </c>
    </row>
    <row r="4067" ht="22" customHeight="1">
      <c r="A4067" s="6" t="inlineStr">
        <is>
          <t>CUL-4063</t>
        </is>
      </c>
      <c r="B4067" s="5" t="n">
        <v>806</v>
      </c>
      <c r="C4067" s="7" t="inlineStr">
        <is>
          <t>SIPEAGRO (UF-XXXXX)</t>
        </is>
      </c>
      <c r="D4067" s="8" t="inlineStr">
        <is>
          <t>MS09E 04 24 24 S9 - MOSAIC (VALIDAR)</t>
        </is>
      </c>
      <c r="E4067" s="7" t="inlineStr">
        <is>
          <t>Adubação de Solo / Foliar</t>
        </is>
      </c>
      <c r="F4067" s="7" t="inlineStr">
        <is>
          <t>Algodão</t>
        </is>
      </c>
      <c r="G4067" s="7" t="inlineStr">
        <is>
          <t>Cultura Autorizada na Bula</t>
        </is>
      </c>
      <c r="H4067" s="7" t="inlineStr">
        <is>
          <t>100 a 300 L/ha</t>
        </is>
      </c>
      <c r="I4067" s="7" t="inlineStr">
        <is>
          <t>20 a 40 L/ha</t>
        </is>
      </c>
      <c r="J4067" s="7" t="inlineStr">
        <is>
          <t>Isento</t>
        </is>
      </c>
    </row>
    <row r="4068" ht="22" customHeight="1">
      <c r="A4068" s="12" t="inlineStr">
        <is>
          <t>CUL-4064</t>
        </is>
      </c>
      <c r="B4068" s="11" t="n">
        <v>806</v>
      </c>
      <c r="C4068" s="13" t="inlineStr">
        <is>
          <t>SIPEAGRO (UF-XXXXX)</t>
        </is>
      </c>
      <c r="D4068" s="14" t="inlineStr">
        <is>
          <t>MS09E 04 24 24 S9 - MOSAIC (VALIDAR)</t>
        </is>
      </c>
      <c r="E4068" s="13" t="inlineStr">
        <is>
          <t>Adubação de Solo / Foliar</t>
        </is>
      </c>
      <c r="F4068" s="13" t="inlineStr">
        <is>
          <t>Cana-de-açúcar</t>
        </is>
      </c>
      <c r="G4068" s="13" t="inlineStr">
        <is>
          <t>Cultura Autorizada na Bula</t>
        </is>
      </c>
      <c r="H4068" s="13" t="inlineStr">
        <is>
          <t>100 a 300 L/ha</t>
        </is>
      </c>
      <c r="I4068" s="13" t="inlineStr">
        <is>
          <t>20 a 40 L/ha</t>
        </is>
      </c>
      <c r="J4068" s="13" t="inlineStr">
        <is>
          <t>Isento</t>
        </is>
      </c>
    </row>
    <row r="4069" ht="22" customHeight="1">
      <c r="A4069" s="6" t="inlineStr">
        <is>
          <t>CUL-4065</t>
        </is>
      </c>
      <c r="B4069" s="5" t="n">
        <v>806</v>
      </c>
      <c r="C4069" s="7" t="inlineStr">
        <is>
          <t>SIPEAGRO (UF-XXXXX)</t>
        </is>
      </c>
      <c r="D4069" s="8" t="inlineStr">
        <is>
          <t>MS09E 04 24 24 S9 - MOSAIC (VALIDAR)</t>
        </is>
      </c>
      <c r="E4069" s="7" t="inlineStr">
        <is>
          <t>Adubação de Solo / Foliar</t>
        </is>
      </c>
      <c r="F4069" s="7" t="inlineStr">
        <is>
          <t>Café</t>
        </is>
      </c>
      <c r="G4069" s="7" t="inlineStr">
        <is>
          <t>Cultura Autorizada na Bula</t>
        </is>
      </c>
      <c r="H4069" s="7" t="inlineStr">
        <is>
          <t>100 a 300 L/ha</t>
        </is>
      </c>
      <c r="I4069" s="7" t="inlineStr">
        <is>
          <t>20 a 40 L/ha</t>
        </is>
      </c>
      <c r="J4069" s="7" t="inlineStr">
        <is>
          <t>Isento</t>
        </is>
      </c>
    </row>
    <row r="4070" ht="22" customHeight="1">
      <c r="A4070" s="12" t="inlineStr">
        <is>
          <t>CUL-4066</t>
        </is>
      </c>
      <c r="B4070" s="11" t="n">
        <v>807</v>
      </c>
      <c r="C4070" s="13" t="inlineStr">
        <is>
          <t>Nº 15623</t>
        </is>
      </c>
      <c r="D4070" s="14" t="inlineStr">
        <is>
          <t>TUCANO</t>
        </is>
      </c>
      <c r="E4070" s="13" t="inlineStr">
        <is>
          <t>Pulverização Agrícola Conforme Bula</t>
        </is>
      </c>
      <c r="F4070" s="13" t="inlineStr">
        <is>
          <t>Soja (Pré-Plantio)</t>
        </is>
      </c>
      <c r="G4070" s="13" t="inlineStr">
        <is>
          <t>Cultura Autorizada na Bula</t>
        </is>
      </c>
      <c r="H4070" s="13" t="inlineStr">
        <is>
          <t>100 a 300 L/ha</t>
        </is>
      </c>
      <c r="I4070" s="13" t="inlineStr">
        <is>
          <t>20 a 40 L/ha</t>
        </is>
      </c>
      <c r="J4070" s="13" t="inlineStr">
        <is>
          <t>N/D</t>
        </is>
      </c>
    </row>
    <row r="4071" ht="22" customHeight="1">
      <c r="A4071" s="6" t="inlineStr">
        <is>
          <t>CUL-4067</t>
        </is>
      </c>
      <c r="B4071" s="5" t="n">
        <v>807</v>
      </c>
      <c r="C4071" s="7" t="inlineStr">
        <is>
          <t>Nº 15623</t>
        </is>
      </c>
      <c r="D4071" s="8" t="inlineStr">
        <is>
          <t>TUCANO</t>
        </is>
      </c>
      <c r="E4071" s="7" t="inlineStr">
        <is>
          <t>Pulverização Agrícola Conforme Bula</t>
        </is>
      </c>
      <c r="F4071" s="7" t="inlineStr">
        <is>
          <t>Algodão</t>
        </is>
      </c>
      <c r="G4071" s="7" t="inlineStr">
        <is>
          <t>Cultura Autorizada na Bula</t>
        </is>
      </c>
      <c r="H4071" s="7" t="inlineStr">
        <is>
          <t>100 a 300 L/ha</t>
        </is>
      </c>
      <c r="I4071" s="7" t="inlineStr">
        <is>
          <t>20 a 40 L/ha</t>
        </is>
      </c>
      <c r="J4071" s="7" t="inlineStr">
        <is>
          <t>90 dias</t>
        </is>
      </c>
    </row>
    <row r="4072" ht="22" customHeight="1">
      <c r="A4072" s="12" t="inlineStr">
        <is>
          <t>CUL-4068</t>
        </is>
      </c>
      <c r="B4072" s="11" t="n">
        <v>807</v>
      </c>
      <c r="C4072" s="13" t="inlineStr">
        <is>
          <t>Nº 15623</t>
        </is>
      </c>
      <c r="D4072" s="14" t="inlineStr">
        <is>
          <t>TUCANO</t>
        </is>
      </c>
      <c r="E4072" s="13" t="inlineStr">
        <is>
          <t>Pulverização Agrícola Conforme Bula</t>
        </is>
      </c>
      <c r="F4072" s="13" t="inlineStr">
        <is>
          <t>Cana-de-açúcar</t>
        </is>
      </c>
      <c r="G4072" s="13" t="inlineStr">
        <is>
          <t>Cultura Autorizada na Bula</t>
        </is>
      </c>
      <c r="H4072" s="13" t="inlineStr">
        <is>
          <t>100 a 300 L/ha</t>
        </is>
      </c>
      <c r="I4072" s="13" t="inlineStr">
        <is>
          <t>20 a 40 L/ha</t>
        </is>
      </c>
      <c r="J4072" s="13" t="inlineStr">
        <is>
          <t>85 dias</t>
        </is>
      </c>
    </row>
    <row r="4073" ht="22" customHeight="1">
      <c r="A4073" s="6" t="inlineStr">
        <is>
          <t>CUL-4069</t>
        </is>
      </c>
      <c r="B4073" s="5" t="n">
        <v>807</v>
      </c>
      <c r="C4073" s="7" t="inlineStr">
        <is>
          <t>Nº 15623</t>
        </is>
      </c>
      <c r="D4073" s="8" t="inlineStr">
        <is>
          <t>TUCANO</t>
        </is>
      </c>
      <c r="E4073" s="7" t="inlineStr">
        <is>
          <t>Pulverização Agrícola Conforme Bula</t>
        </is>
      </c>
      <c r="F4073" s="7" t="inlineStr">
        <is>
          <t>Café</t>
        </is>
      </c>
      <c r="G4073" s="7" t="inlineStr">
        <is>
          <t>Cultura Autorizada na Bula</t>
        </is>
      </c>
      <c r="H4073" s="7" t="inlineStr">
        <is>
          <t>100 a 300 L/ha</t>
        </is>
      </c>
      <c r="I4073" s="7" t="inlineStr">
        <is>
          <t>20 a 40 L/ha</t>
        </is>
      </c>
      <c r="J4073" s="7" t="inlineStr">
        <is>
          <t>15 dias</t>
        </is>
      </c>
    </row>
    <row r="4074" ht="22" customHeight="1">
      <c r="A4074" s="12" t="inlineStr">
        <is>
          <t>CUL-4070</t>
        </is>
      </c>
      <c r="B4074" s="11" t="n">
        <v>807</v>
      </c>
      <c r="C4074" s="13" t="inlineStr">
        <is>
          <t>Nº 15623</t>
        </is>
      </c>
      <c r="D4074" s="14" t="inlineStr">
        <is>
          <t>TUCANO</t>
        </is>
      </c>
      <c r="E4074" s="13" t="inlineStr">
        <is>
          <t>Pulverização Agrícola Conforme Bula</t>
        </is>
      </c>
      <c r="F4074" s="13" t="inlineStr">
        <is>
          <t>Citros</t>
        </is>
      </c>
      <c r="G4074" s="13" t="inlineStr">
        <is>
          <t>Cultura Autorizada na Bula</t>
        </is>
      </c>
      <c r="H4074" s="13" t="inlineStr">
        <is>
          <t>100 a 300 L/ha</t>
        </is>
      </c>
      <c r="I4074" s="13" t="inlineStr">
        <is>
          <t>20 a 40 L/ha</t>
        </is>
      </c>
      <c r="J4074" s="13" t="inlineStr">
        <is>
          <t>N/D</t>
        </is>
      </c>
    </row>
    <row r="4075" ht="22" customHeight="1">
      <c r="A4075" s="6" t="inlineStr">
        <is>
          <t>CUL-4071</t>
        </is>
      </c>
      <c r="B4075" s="5" t="n">
        <v>807</v>
      </c>
      <c r="C4075" s="7" t="inlineStr">
        <is>
          <t>Nº 15623</t>
        </is>
      </c>
      <c r="D4075" s="8" t="inlineStr">
        <is>
          <t>TUCANO</t>
        </is>
      </c>
      <c r="E4075" s="7" t="inlineStr">
        <is>
          <t>Pulverização Agrícola Conforme Bula</t>
        </is>
      </c>
      <c r="F4075" s="7" t="inlineStr">
        <is>
          <t>Feijão</t>
        </is>
      </c>
      <c r="G4075" s="7" t="inlineStr">
        <is>
          <t>Cultura Autorizada na Bula</t>
        </is>
      </c>
      <c r="H4075" s="7" t="inlineStr">
        <is>
          <t>100 a 300 L/ha</t>
        </is>
      </c>
      <c r="I4075" s="7" t="inlineStr">
        <is>
          <t>20 a 40 L/ha</t>
        </is>
      </c>
      <c r="J4075" s="7" t="inlineStr">
        <is>
          <t>N/D</t>
        </is>
      </c>
    </row>
    <row r="4076" ht="22" customHeight="1">
      <c r="A4076" s="12" t="inlineStr">
        <is>
          <t>CUL-4072</t>
        </is>
      </c>
      <c r="B4076" s="11" t="n">
        <v>808</v>
      </c>
      <c r="C4076" s="13" t="inlineStr">
        <is>
          <t>Nº 11325</t>
        </is>
      </c>
      <c r="D4076" s="14" t="inlineStr">
        <is>
          <t>VISTARA</t>
        </is>
      </c>
      <c r="E4076" s="13" t="inlineStr">
        <is>
          <t>Pulverização Agrícola Conforme Bula</t>
        </is>
      </c>
      <c r="F4076" s="13" t="inlineStr">
        <is>
          <t>Soja</t>
        </is>
      </c>
      <c r="G4076" s="13" t="inlineStr">
        <is>
          <t>Cultura Autorizada na Bula</t>
        </is>
      </c>
      <c r="H4076" s="13" t="inlineStr">
        <is>
          <t>100 a 300 L/ha</t>
        </is>
      </c>
      <c r="I4076" s="13" t="inlineStr">
        <is>
          <t>20 a 40 L/ha</t>
        </is>
      </c>
      <c r="J4076" s="13" t="inlineStr">
        <is>
          <t>30 dias</t>
        </is>
      </c>
    </row>
    <row r="4077" ht="22" customHeight="1">
      <c r="A4077" s="6" t="inlineStr">
        <is>
          <t>CUL-4073</t>
        </is>
      </c>
      <c r="B4077" s="5" t="n">
        <v>808</v>
      </c>
      <c r="C4077" s="7" t="inlineStr">
        <is>
          <t>Nº 11325</t>
        </is>
      </c>
      <c r="D4077" s="8" t="inlineStr">
        <is>
          <t>VISTARA</t>
        </is>
      </c>
      <c r="E4077" s="7" t="inlineStr">
        <is>
          <t>Pulverização Agrícola Conforme Bula</t>
        </is>
      </c>
      <c r="F4077" s="7" t="inlineStr">
        <is>
          <t>Milho</t>
        </is>
      </c>
      <c r="G4077" s="7" t="inlineStr">
        <is>
          <t>Cultura Autorizada na Bula</t>
        </is>
      </c>
      <c r="H4077" s="7" t="inlineStr">
        <is>
          <t>100 a 300 L/ha</t>
        </is>
      </c>
      <c r="I4077" s="7" t="inlineStr">
        <is>
          <t>20 a 40 L/ha</t>
        </is>
      </c>
      <c r="J4077" s="7" t="inlineStr">
        <is>
          <t>30 dias</t>
        </is>
      </c>
    </row>
    <row r="4078" ht="22" customHeight="1">
      <c r="A4078" s="12" t="inlineStr">
        <is>
          <t>CUL-4074</t>
        </is>
      </c>
      <c r="B4078" s="11" t="n">
        <v>808</v>
      </c>
      <c r="C4078" s="13" t="inlineStr">
        <is>
          <t>Nº 11325</t>
        </is>
      </c>
      <c r="D4078" s="14" t="inlineStr">
        <is>
          <t>VISTARA</t>
        </is>
      </c>
      <c r="E4078" s="13" t="inlineStr">
        <is>
          <t>Pulverização Agrícola Conforme Bula</t>
        </is>
      </c>
      <c r="F4078" s="13" t="inlineStr">
        <is>
          <t>Algodão</t>
        </is>
      </c>
      <c r="G4078" s="13" t="inlineStr">
        <is>
          <t>Cultura Autorizada na Bula</t>
        </is>
      </c>
      <c r="H4078" s="13" t="inlineStr">
        <is>
          <t>100 a 300 L/ha</t>
        </is>
      </c>
      <c r="I4078" s="13" t="inlineStr">
        <is>
          <t>20 a 40 L/ha</t>
        </is>
      </c>
      <c r="J4078" s="13" t="inlineStr">
        <is>
          <t>30 dias</t>
        </is>
      </c>
    </row>
    <row r="4079" ht="22" customHeight="1">
      <c r="A4079" s="6" t="inlineStr">
        <is>
          <t>CUL-4075</t>
        </is>
      </c>
      <c r="B4079" s="5" t="n">
        <v>808</v>
      </c>
      <c r="C4079" s="7" t="inlineStr">
        <is>
          <t>Nº 11325</t>
        </is>
      </c>
      <c r="D4079" s="8" t="inlineStr">
        <is>
          <t>VISTARA</t>
        </is>
      </c>
      <c r="E4079" s="7" t="inlineStr">
        <is>
          <t>Pulverização Agrícola Conforme Bula</t>
        </is>
      </c>
      <c r="F4079" s="7" t="inlineStr">
        <is>
          <t>Trigo</t>
        </is>
      </c>
      <c r="G4079" s="7" t="inlineStr">
        <is>
          <t>Cultura Autorizada na Bula</t>
        </is>
      </c>
      <c r="H4079" s="7" t="inlineStr">
        <is>
          <t>100 a 300 L/ha</t>
        </is>
      </c>
      <c r="I4079" s="7" t="inlineStr">
        <is>
          <t>20 a 40 L/ha</t>
        </is>
      </c>
      <c r="J4079" s="7" t="inlineStr">
        <is>
          <t>30 dias</t>
        </is>
      </c>
    </row>
    <row r="4080" ht="22" customHeight="1">
      <c r="A4080" s="12" t="inlineStr">
        <is>
          <t>CUL-4076</t>
        </is>
      </c>
      <c r="B4080" s="11" t="n">
        <v>808</v>
      </c>
      <c r="C4080" s="13" t="inlineStr">
        <is>
          <t>Nº 11325</t>
        </is>
      </c>
      <c r="D4080" s="14" t="inlineStr">
        <is>
          <t>VISTARA</t>
        </is>
      </c>
      <c r="E4080" s="13" t="inlineStr">
        <is>
          <t>Pulverização Agrícola Conforme Bula</t>
        </is>
      </c>
      <c r="F4080" s="13" t="inlineStr">
        <is>
          <t>Feijão</t>
        </is>
      </c>
      <c r="G4080" s="13" t="inlineStr">
        <is>
          <t>Cultura Autorizada na Bula</t>
        </is>
      </c>
      <c r="H4080" s="13" t="inlineStr">
        <is>
          <t>100 a 300 L/ha</t>
        </is>
      </c>
      <c r="I4080" s="13" t="inlineStr">
        <is>
          <t>20 a 40 L/ha</t>
        </is>
      </c>
      <c r="J4080" s="13" t="inlineStr">
        <is>
          <t>14 dias</t>
        </is>
      </c>
    </row>
    <row r="4081" ht="22" customHeight="1">
      <c r="A4081" s="6" t="inlineStr">
        <is>
          <t>CUL-4077</t>
        </is>
      </c>
      <c r="B4081" s="5" t="n">
        <v>809</v>
      </c>
      <c r="C4081" s="7" t="inlineStr">
        <is>
          <t>Nº 12123</t>
        </is>
      </c>
      <c r="D4081" s="8" t="inlineStr">
        <is>
          <t>ARCAR</t>
        </is>
      </c>
      <c r="E4081" s="7" t="inlineStr">
        <is>
          <t>Pulverização Agrícola Conforme Bula</t>
        </is>
      </c>
      <c r="F4081" s="7" t="inlineStr">
        <is>
          <t>Soja</t>
        </is>
      </c>
      <c r="G4081" s="7" t="inlineStr">
        <is>
          <t>Cultura Autorizada na Bula</t>
        </is>
      </c>
      <c r="H4081" s="7" t="inlineStr">
        <is>
          <t>100 a 300 L/ha</t>
        </is>
      </c>
      <c r="I4081" s="7" t="inlineStr">
        <is>
          <t>20 a 40 L/ha</t>
        </is>
      </c>
      <c r="J4081" s="7" t="inlineStr">
        <is>
          <t>30 dias</t>
        </is>
      </c>
    </row>
    <row r="4082" ht="22" customHeight="1">
      <c r="A4082" s="12" t="inlineStr">
        <is>
          <t>CUL-4078</t>
        </is>
      </c>
      <c r="B4082" s="11" t="n">
        <v>809</v>
      </c>
      <c r="C4082" s="13" t="inlineStr">
        <is>
          <t>Nº 12123</t>
        </is>
      </c>
      <c r="D4082" s="14" t="inlineStr">
        <is>
          <t>ARCAR</t>
        </is>
      </c>
      <c r="E4082" s="13" t="inlineStr">
        <is>
          <t>Pulverização Agrícola Conforme Bula</t>
        </is>
      </c>
      <c r="F4082" s="13" t="inlineStr">
        <is>
          <t>Algodão</t>
        </is>
      </c>
      <c r="G4082" s="13" t="inlineStr">
        <is>
          <t>Cultura Autorizada na Bula</t>
        </is>
      </c>
      <c r="H4082" s="13" t="inlineStr">
        <is>
          <t>100 a 300 L/ha</t>
        </is>
      </c>
      <c r="I4082" s="13" t="inlineStr">
        <is>
          <t>20 a 40 L/ha</t>
        </is>
      </c>
      <c r="J4082" s="13" t="inlineStr">
        <is>
          <t>14 dias</t>
        </is>
      </c>
    </row>
    <row r="4083" ht="22" customHeight="1">
      <c r="A4083" s="6" t="inlineStr">
        <is>
          <t>CUL-4079</t>
        </is>
      </c>
      <c r="B4083" s="5" t="n">
        <v>809</v>
      </c>
      <c r="C4083" s="7" t="inlineStr">
        <is>
          <t>Nº 12123</t>
        </is>
      </c>
      <c r="D4083" s="8" t="inlineStr">
        <is>
          <t>ARCAR</t>
        </is>
      </c>
      <c r="E4083" s="7" t="inlineStr">
        <is>
          <t>Pulverização Agrícola Conforme Bula</t>
        </is>
      </c>
      <c r="F4083" s="7" t="inlineStr">
        <is>
          <t>Feijão</t>
        </is>
      </c>
      <c r="G4083" s="7" t="inlineStr">
        <is>
          <t>Cultura Autorizada na Bula</t>
        </is>
      </c>
      <c r="H4083" s="7" t="inlineStr">
        <is>
          <t>100 a 300 L/ha</t>
        </is>
      </c>
      <c r="I4083" s="7" t="inlineStr">
        <is>
          <t>20 a 40 L/ha</t>
        </is>
      </c>
      <c r="J4083" s="7" t="inlineStr">
        <is>
          <t>14 dias</t>
        </is>
      </c>
    </row>
    <row r="4084" ht="22" customHeight="1">
      <c r="A4084" s="12" t="inlineStr">
        <is>
          <t>CUL-4080</t>
        </is>
      </c>
      <c r="B4084" s="11" t="n">
        <v>809</v>
      </c>
      <c r="C4084" s="13" t="inlineStr">
        <is>
          <t>Nº 12123</t>
        </is>
      </c>
      <c r="D4084" s="14" t="inlineStr">
        <is>
          <t>ARCAR</t>
        </is>
      </c>
      <c r="E4084" s="13" t="inlineStr">
        <is>
          <t>Pulverização Agrícola Conforme Bula</t>
        </is>
      </c>
      <c r="F4084" s="13" t="inlineStr">
        <is>
          <t>Citros</t>
        </is>
      </c>
      <c r="G4084" s="13" t="inlineStr">
        <is>
          <t>Cultura Autorizada na Bula</t>
        </is>
      </c>
      <c r="H4084" s="13" t="inlineStr">
        <is>
          <t>100 a 300 L/ha</t>
        </is>
      </c>
      <c r="I4084" s="13" t="inlineStr">
        <is>
          <t>20 a 40 L/ha</t>
        </is>
      </c>
      <c r="J4084" s="13" t="inlineStr">
        <is>
          <t>14 dias</t>
        </is>
      </c>
    </row>
    <row r="4085" ht="22" customHeight="1">
      <c r="A4085" s="6" t="inlineStr">
        <is>
          <t>CUL-4081</t>
        </is>
      </c>
      <c r="B4085" s="5" t="n">
        <v>809</v>
      </c>
      <c r="C4085" s="7" t="inlineStr">
        <is>
          <t>Nº 12123</t>
        </is>
      </c>
      <c r="D4085" s="8" t="inlineStr">
        <is>
          <t>ARCAR</t>
        </is>
      </c>
      <c r="E4085" s="7" t="inlineStr">
        <is>
          <t>Pulverização Agrícola Conforme Bula</t>
        </is>
      </c>
      <c r="F4085" s="7" t="inlineStr">
        <is>
          <t>Melão</t>
        </is>
      </c>
      <c r="G4085" s="7" t="inlineStr">
        <is>
          <t>Cultura Autorizada na Bula</t>
        </is>
      </c>
      <c r="H4085" s="7" t="inlineStr">
        <is>
          <t>100 a 300 L/ha</t>
        </is>
      </c>
      <c r="I4085" s="7" t="inlineStr">
        <is>
          <t>20 a 40 L/ha</t>
        </is>
      </c>
      <c r="J4085" s="7" t="inlineStr">
        <is>
          <t>7 dias</t>
        </is>
      </c>
    </row>
    <row r="4086" ht="22" customHeight="1">
      <c r="A4086" s="12" t="inlineStr">
        <is>
          <t>CUL-4082</t>
        </is>
      </c>
      <c r="B4086" s="11" t="n">
        <v>809</v>
      </c>
      <c r="C4086" s="13" t="inlineStr">
        <is>
          <t>Nº 12123</t>
        </is>
      </c>
      <c r="D4086" s="14" t="inlineStr">
        <is>
          <t>ARCAR</t>
        </is>
      </c>
      <c r="E4086" s="13" t="inlineStr">
        <is>
          <t>Pulverização Agrícola Conforme Bula</t>
        </is>
      </c>
      <c r="F4086" s="13" t="inlineStr">
        <is>
          <t>Tomate</t>
        </is>
      </c>
      <c r="G4086" s="13" t="inlineStr">
        <is>
          <t>Cultura Autorizada na Bula</t>
        </is>
      </c>
      <c r="H4086" s="13" t="inlineStr">
        <is>
          <t>100 a 300 L/ha</t>
        </is>
      </c>
      <c r="I4086" s="13" t="inlineStr">
        <is>
          <t>20 a 40 L/ha</t>
        </is>
      </c>
      <c r="J4086" s="13" t="inlineStr">
        <is>
          <t>7 dias</t>
        </is>
      </c>
    </row>
    <row r="4087" ht="22" customHeight="1">
      <c r="A4087" s="6" t="inlineStr">
        <is>
          <t>CUL-4083</t>
        </is>
      </c>
      <c r="B4087" s="5" t="n">
        <v>810</v>
      </c>
      <c r="C4087" s="7" t="inlineStr">
        <is>
          <t>Nº 12123</t>
        </is>
      </c>
      <c r="D4087" s="8" t="inlineStr">
        <is>
          <t>ARCAR</t>
        </is>
      </c>
      <c r="E4087" s="7" t="inlineStr">
        <is>
          <t>Pulverização Agrícola Conforme Bula</t>
        </is>
      </c>
      <c r="F4087" s="7" t="inlineStr">
        <is>
          <t>Soja</t>
        </is>
      </c>
      <c r="G4087" s="7" t="inlineStr">
        <is>
          <t>Cultura Autorizada na Bula</t>
        </is>
      </c>
      <c r="H4087" s="7" t="inlineStr">
        <is>
          <t>100 a 300 L/ha</t>
        </is>
      </c>
      <c r="I4087" s="7" t="inlineStr">
        <is>
          <t>20 a 40 L/ha</t>
        </is>
      </c>
      <c r="J4087" s="7" t="inlineStr">
        <is>
          <t>30 dias</t>
        </is>
      </c>
    </row>
    <row r="4088" ht="22" customHeight="1">
      <c r="A4088" s="12" t="inlineStr">
        <is>
          <t>CUL-4084</t>
        </is>
      </c>
      <c r="B4088" s="11" t="n">
        <v>810</v>
      </c>
      <c r="C4088" s="13" t="inlineStr">
        <is>
          <t>Nº 12123</t>
        </is>
      </c>
      <c r="D4088" s="14" t="inlineStr">
        <is>
          <t>ARCAR</t>
        </is>
      </c>
      <c r="E4088" s="13" t="inlineStr">
        <is>
          <t>Pulverização Agrícola Conforme Bula</t>
        </is>
      </c>
      <c r="F4088" s="13" t="inlineStr">
        <is>
          <t>Algodão</t>
        </is>
      </c>
      <c r="G4088" s="13" t="inlineStr">
        <is>
          <t>Cultura Autorizada na Bula</t>
        </is>
      </c>
      <c r="H4088" s="13" t="inlineStr">
        <is>
          <t>100 a 300 L/ha</t>
        </is>
      </c>
      <c r="I4088" s="13" t="inlineStr">
        <is>
          <t>20 a 40 L/ha</t>
        </is>
      </c>
      <c r="J4088" s="13" t="inlineStr">
        <is>
          <t>14 dias</t>
        </is>
      </c>
    </row>
    <row r="4089" ht="22" customHeight="1">
      <c r="A4089" s="6" t="inlineStr">
        <is>
          <t>CUL-4085</t>
        </is>
      </c>
      <c r="B4089" s="5" t="n">
        <v>810</v>
      </c>
      <c r="C4089" s="7" t="inlineStr">
        <is>
          <t>Nº 12123</t>
        </is>
      </c>
      <c r="D4089" s="8" t="inlineStr">
        <is>
          <t>ARCAR</t>
        </is>
      </c>
      <c r="E4089" s="7" t="inlineStr">
        <is>
          <t>Pulverização Agrícola Conforme Bula</t>
        </is>
      </c>
      <c r="F4089" s="7" t="inlineStr">
        <is>
          <t>Feijão</t>
        </is>
      </c>
      <c r="G4089" s="7" t="inlineStr">
        <is>
          <t>Cultura Autorizada na Bula</t>
        </is>
      </c>
      <c r="H4089" s="7" t="inlineStr">
        <is>
          <t>100 a 300 L/ha</t>
        </is>
      </c>
      <c r="I4089" s="7" t="inlineStr">
        <is>
          <t>20 a 40 L/ha</t>
        </is>
      </c>
      <c r="J4089" s="7" t="inlineStr">
        <is>
          <t>14 dias</t>
        </is>
      </c>
    </row>
    <row r="4090" ht="22" customHeight="1">
      <c r="A4090" s="12" t="inlineStr">
        <is>
          <t>CUL-4086</t>
        </is>
      </c>
      <c r="B4090" s="11" t="n">
        <v>810</v>
      </c>
      <c r="C4090" s="13" t="inlineStr">
        <is>
          <t>Nº 12123</t>
        </is>
      </c>
      <c r="D4090" s="14" t="inlineStr">
        <is>
          <t>ARCAR</t>
        </is>
      </c>
      <c r="E4090" s="13" t="inlineStr">
        <is>
          <t>Pulverização Agrícola Conforme Bula</t>
        </is>
      </c>
      <c r="F4090" s="13" t="inlineStr">
        <is>
          <t>Citros</t>
        </is>
      </c>
      <c r="G4090" s="13" t="inlineStr">
        <is>
          <t>Cultura Autorizada na Bula</t>
        </is>
      </c>
      <c r="H4090" s="13" t="inlineStr">
        <is>
          <t>100 a 300 L/ha</t>
        </is>
      </c>
      <c r="I4090" s="13" t="inlineStr">
        <is>
          <t>20 a 40 L/ha</t>
        </is>
      </c>
      <c r="J4090" s="13" t="inlineStr">
        <is>
          <t>14 dias</t>
        </is>
      </c>
    </row>
    <row r="4091" ht="22" customHeight="1">
      <c r="A4091" s="6" t="inlineStr">
        <is>
          <t>CUL-4087</t>
        </is>
      </c>
      <c r="B4091" s="5" t="n">
        <v>810</v>
      </c>
      <c r="C4091" s="7" t="inlineStr">
        <is>
          <t>Nº 12123</t>
        </is>
      </c>
      <c r="D4091" s="8" t="inlineStr">
        <is>
          <t>ARCAR</t>
        </is>
      </c>
      <c r="E4091" s="7" t="inlineStr">
        <is>
          <t>Pulverização Agrícola Conforme Bula</t>
        </is>
      </c>
      <c r="F4091" s="7" t="inlineStr">
        <is>
          <t>Melão</t>
        </is>
      </c>
      <c r="G4091" s="7" t="inlineStr">
        <is>
          <t>Cultura Autorizada na Bula</t>
        </is>
      </c>
      <c r="H4091" s="7" t="inlineStr">
        <is>
          <t>100 a 300 L/ha</t>
        </is>
      </c>
      <c r="I4091" s="7" t="inlineStr">
        <is>
          <t>20 a 40 L/ha</t>
        </is>
      </c>
      <c r="J4091" s="7" t="inlineStr">
        <is>
          <t>7 dias</t>
        </is>
      </c>
    </row>
    <row r="4092" ht="22" customHeight="1">
      <c r="A4092" s="12" t="inlineStr">
        <is>
          <t>CUL-4088</t>
        </is>
      </c>
      <c r="B4092" s="11" t="n">
        <v>810</v>
      </c>
      <c r="C4092" s="13" t="inlineStr">
        <is>
          <t>Nº 12123</t>
        </is>
      </c>
      <c r="D4092" s="14" t="inlineStr">
        <is>
          <t>ARCAR</t>
        </is>
      </c>
      <c r="E4092" s="13" t="inlineStr">
        <is>
          <t>Pulverização Agrícola Conforme Bula</t>
        </is>
      </c>
      <c r="F4092" s="13" t="inlineStr">
        <is>
          <t>Tomate</t>
        </is>
      </c>
      <c r="G4092" s="13" t="inlineStr">
        <is>
          <t>Cultura Autorizada na Bula</t>
        </is>
      </c>
      <c r="H4092" s="13" t="inlineStr">
        <is>
          <t>100 a 300 L/ha</t>
        </is>
      </c>
      <c r="I4092" s="13" t="inlineStr">
        <is>
          <t>20 a 40 L/ha</t>
        </is>
      </c>
      <c r="J4092" s="13" t="inlineStr">
        <is>
          <t>7 dias</t>
        </is>
      </c>
    </row>
    <row r="4093" ht="22" customHeight="1">
      <c r="A4093" s="6" t="inlineStr">
        <is>
          <t>CUL-4089</t>
        </is>
      </c>
      <c r="B4093" s="5" t="n">
        <v>811</v>
      </c>
      <c r="C4093" s="7" t="inlineStr">
        <is>
          <t>Nº 23623</t>
        </is>
      </c>
      <c r="D4093" s="8" t="inlineStr">
        <is>
          <t>GLIMOR WG</t>
        </is>
      </c>
      <c r="E4093" s="7" t="inlineStr">
        <is>
          <t>Pulverização Agrícola Conforme Bula</t>
        </is>
      </c>
      <c r="F4093" s="7" t="inlineStr">
        <is>
          <t>Soja (Pré-Plantio / OGM)</t>
        </is>
      </c>
      <c r="G4093" s="7" t="inlineStr">
        <is>
          <t>Cultura Autorizada na Bula</t>
        </is>
      </c>
      <c r="H4093" s="7" t="inlineStr">
        <is>
          <t>100 a 300 L/ha</t>
        </is>
      </c>
      <c r="I4093" s="7" t="inlineStr">
        <is>
          <t>20 a 40 L/ha</t>
        </is>
      </c>
      <c r="J4093" s="7" t="inlineStr">
        <is>
          <t>56 dias</t>
        </is>
      </c>
    </row>
    <row r="4094" ht="22" customHeight="1">
      <c r="A4094" s="12" t="inlineStr">
        <is>
          <t>CUL-4090</t>
        </is>
      </c>
      <c r="B4094" s="11" t="n">
        <v>811</v>
      </c>
      <c r="C4094" s="13" t="inlineStr">
        <is>
          <t>Nº 23623</t>
        </is>
      </c>
      <c r="D4094" s="14" t="inlineStr">
        <is>
          <t>GLIMOR WG</t>
        </is>
      </c>
      <c r="E4094" s="13" t="inlineStr">
        <is>
          <t>Pulverização Agrícola Conforme Bula</t>
        </is>
      </c>
      <c r="F4094" s="13" t="inlineStr">
        <is>
          <t>Milho (Pré-Plantio / OGM)</t>
        </is>
      </c>
      <c r="G4094" s="13" t="inlineStr">
        <is>
          <t>Cultura Autorizada na Bula</t>
        </is>
      </c>
      <c r="H4094" s="13" t="inlineStr">
        <is>
          <t>100 a 300 L/ha</t>
        </is>
      </c>
      <c r="I4094" s="13" t="inlineStr">
        <is>
          <t>20 a 40 L/ha</t>
        </is>
      </c>
      <c r="J4094" s="13" t="inlineStr">
        <is>
          <t>90 dias</t>
        </is>
      </c>
    </row>
    <row r="4095" ht="22" customHeight="1">
      <c r="A4095" s="6" t="inlineStr">
        <is>
          <t>CUL-4091</t>
        </is>
      </c>
      <c r="B4095" s="5" t="n">
        <v>811</v>
      </c>
      <c r="C4095" s="7" t="inlineStr">
        <is>
          <t>Nº 23623</t>
        </is>
      </c>
      <c r="D4095" s="8" t="inlineStr">
        <is>
          <t>GLIMOR WG</t>
        </is>
      </c>
      <c r="E4095" s="7" t="inlineStr">
        <is>
          <t>Pulverização Agrícola Conforme Bula</t>
        </is>
      </c>
      <c r="F4095" s="7" t="inlineStr">
        <is>
          <t>Algodão (Pré-Plantio / OGM)</t>
        </is>
      </c>
      <c r="G4095" s="7" t="inlineStr">
        <is>
          <t>Cultura Autorizada na Bula</t>
        </is>
      </c>
      <c r="H4095" s="7" t="inlineStr">
        <is>
          <t>100 a 300 L/ha</t>
        </is>
      </c>
      <c r="I4095" s="7" t="inlineStr">
        <is>
          <t>20 a 40 L/ha</t>
        </is>
      </c>
      <c r="J4095" s="7" t="inlineStr">
        <is>
          <t>130 dias</t>
        </is>
      </c>
    </row>
    <row r="4096" ht="22" customHeight="1">
      <c r="A4096" s="12" t="inlineStr">
        <is>
          <t>CUL-4092</t>
        </is>
      </c>
      <c r="B4096" s="11" t="n">
        <v>811</v>
      </c>
      <c r="C4096" s="13" t="inlineStr">
        <is>
          <t>Nº 23623</t>
        </is>
      </c>
      <c r="D4096" s="14" t="inlineStr">
        <is>
          <t>GLIMOR WG</t>
        </is>
      </c>
      <c r="E4096" s="13" t="inlineStr">
        <is>
          <t>Pulverização Agrícola Conforme Bula</t>
        </is>
      </c>
      <c r="F4096" s="13" t="inlineStr">
        <is>
          <t>Cana-de-açúcar</t>
        </is>
      </c>
      <c r="G4096" s="13" t="inlineStr">
        <is>
          <t>Cultura Autorizada na Bula</t>
        </is>
      </c>
      <c r="H4096" s="13" t="inlineStr">
        <is>
          <t>100 a 300 L/ha</t>
        </is>
      </c>
      <c r="I4096" s="13" t="inlineStr">
        <is>
          <t>20 a 40 L/ha</t>
        </is>
      </c>
      <c r="J4096" s="13" t="inlineStr">
        <is>
          <t>N/D</t>
        </is>
      </c>
    </row>
    <row r="4097" ht="22" customHeight="1">
      <c r="A4097" s="6" t="inlineStr">
        <is>
          <t>CUL-4093</t>
        </is>
      </c>
      <c r="B4097" s="5" t="n">
        <v>811</v>
      </c>
      <c r="C4097" s="7" t="inlineStr">
        <is>
          <t>Nº 23623</t>
        </is>
      </c>
      <c r="D4097" s="8" t="inlineStr">
        <is>
          <t>GLIMOR WG</t>
        </is>
      </c>
      <c r="E4097" s="7" t="inlineStr">
        <is>
          <t>Pulverização Agrícola Conforme Bula</t>
        </is>
      </c>
      <c r="F4097" s="7" t="inlineStr">
        <is>
          <t>Café (Jato Dirigido)</t>
        </is>
      </c>
      <c r="G4097" s="7" t="inlineStr">
        <is>
          <t>Cultura Autorizada na Bula</t>
        </is>
      </c>
      <c r="H4097" s="7" t="inlineStr">
        <is>
          <t>100 a 300 L/ha</t>
        </is>
      </c>
      <c r="I4097" s="7" t="inlineStr">
        <is>
          <t>20 a 40 L/ha</t>
        </is>
      </c>
      <c r="J4097" s="7" t="inlineStr">
        <is>
          <t>15 dias</t>
        </is>
      </c>
    </row>
    <row r="4098" ht="22" customHeight="1">
      <c r="A4098" s="12" t="inlineStr">
        <is>
          <t>CUL-4094</t>
        </is>
      </c>
      <c r="B4098" s="11" t="n">
        <v>811</v>
      </c>
      <c r="C4098" s="13" t="inlineStr">
        <is>
          <t>Nº 23623</t>
        </is>
      </c>
      <c r="D4098" s="14" t="inlineStr">
        <is>
          <t>GLIMOR WG</t>
        </is>
      </c>
      <c r="E4098" s="13" t="inlineStr">
        <is>
          <t>Pulverização Agrícola Conforme Bula</t>
        </is>
      </c>
      <c r="F4098" s="13" t="inlineStr">
        <is>
          <t>Citros (Jato Dirigido)</t>
        </is>
      </c>
      <c r="G4098" s="13" t="inlineStr">
        <is>
          <t>Cultura Autorizada na Bula</t>
        </is>
      </c>
      <c r="H4098" s="13" t="inlineStr">
        <is>
          <t>100 a 300 L/ha</t>
        </is>
      </c>
      <c r="I4098" s="13" t="inlineStr">
        <is>
          <t>20 a 40 L/ha</t>
        </is>
      </c>
      <c r="J4098" s="13" t="inlineStr">
        <is>
          <t>30 dias</t>
        </is>
      </c>
    </row>
    <row r="4099" ht="22" customHeight="1">
      <c r="A4099" s="6" t="inlineStr">
        <is>
          <t>CUL-4095</t>
        </is>
      </c>
      <c r="B4099" s="5" t="n">
        <v>811</v>
      </c>
      <c r="C4099" s="7" t="inlineStr">
        <is>
          <t>Nº 23623</t>
        </is>
      </c>
      <c r="D4099" s="8" t="inlineStr">
        <is>
          <t>GLIMOR WG</t>
        </is>
      </c>
      <c r="E4099" s="7" t="inlineStr">
        <is>
          <t>Pulverização Agrícola Conforme Bula</t>
        </is>
      </c>
      <c r="F4099" s="7" t="inlineStr">
        <is>
          <t>Trigo (Pré-Plantio)</t>
        </is>
      </c>
      <c r="G4099" s="7" t="inlineStr">
        <is>
          <t>Cultura Autorizada na Bula</t>
        </is>
      </c>
      <c r="H4099" s="7" t="inlineStr">
        <is>
          <t>100 a 300 L/ha</t>
        </is>
      </c>
      <c r="I4099" s="7" t="inlineStr">
        <is>
          <t>20 a 40 L/ha</t>
        </is>
      </c>
      <c r="J4099" s="7" t="inlineStr">
        <is>
          <t>N/D</t>
        </is>
      </c>
    </row>
    <row r="4100" ht="22" customHeight="1">
      <c r="A4100" s="12" t="inlineStr">
        <is>
          <t>CUL-4096</t>
        </is>
      </c>
      <c r="B4100" s="11" t="n">
        <v>811</v>
      </c>
      <c r="C4100" s="13" t="inlineStr">
        <is>
          <t>Nº 23623</t>
        </is>
      </c>
      <c r="D4100" s="14" t="inlineStr">
        <is>
          <t>GLIMOR WG</t>
        </is>
      </c>
      <c r="E4100" s="13" t="inlineStr">
        <is>
          <t>Pulverização Agrícola Conforme Bula</t>
        </is>
      </c>
      <c r="F4100" s="13" t="inlineStr">
        <is>
          <t>Pastagens</t>
        </is>
      </c>
      <c r="G4100" s="13" t="inlineStr">
        <is>
          <t>Cultura Autorizada na Bula</t>
        </is>
      </c>
      <c r="H4100" s="13" t="inlineStr">
        <is>
          <t>100 a 300 L/ha</t>
        </is>
      </c>
      <c r="I4100" s="13" t="inlineStr">
        <is>
          <t>20 a 40 L/ha</t>
        </is>
      </c>
      <c r="J4100" s="13" t="inlineStr">
        <is>
          <t>N/D</t>
        </is>
      </c>
    </row>
    <row r="4101" ht="22" customHeight="1">
      <c r="A4101" s="6" t="inlineStr">
        <is>
          <t>CUL-4097</t>
        </is>
      </c>
      <c r="B4101" s="5" t="n">
        <v>812</v>
      </c>
      <c r="C4101" s="7" t="inlineStr">
        <is>
          <t>Nº 12712</t>
        </is>
      </c>
      <c r="D4101" s="8" t="inlineStr">
        <is>
          <t>FASON</t>
        </is>
      </c>
      <c r="E4101" s="7" t="inlineStr">
        <is>
          <t>Pulverização Agrícola Conforme Bula</t>
        </is>
      </c>
      <c r="F4101" s="7" t="inlineStr">
        <is>
          <t>Soja</t>
        </is>
      </c>
      <c r="G4101" s="7" t="inlineStr">
        <is>
          <t>Cultura Autorizada na Bula</t>
        </is>
      </c>
      <c r="H4101" s="7" t="inlineStr">
        <is>
          <t>100 a 300 L/ha</t>
        </is>
      </c>
      <c r="I4101" s="7" t="inlineStr">
        <is>
          <t>20 a 40 L/ha</t>
        </is>
      </c>
      <c r="J4101" s="7" t="inlineStr">
        <is>
          <t>60 dias</t>
        </is>
      </c>
    </row>
    <row r="4102" ht="22" customHeight="1">
      <c r="A4102" s="12" t="inlineStr">
        <is>
          <t>CUL-4098</t>
        </is>
      </c>
      <c r="B4102" s="11" t="n">
        <v>812</v>
      </c>
      <c r="C4102" s="13" t="inlineStr">
        <is>
          <t>Nº 12712</t>
        </is>
      </c>
      <c r="D4102" s="14" t="inlineStr">
        <is>
          <t>FASON</t>
        </is>
      </c>
      <c r="E4102" s="13" t="inlineStr">
        <is>
          <t>Pulverização Agrícola Conforme Bula</t>
        </is>
      </c>
      <c r="F4102" s="13" t="inlineStr">
        <is>
          <t>Milho</t>
        </is>
      </c>
      <c r="G4102" s="13" t="inlineStr">
        <is>
          <t>Cultura Autorizada na Bula</t>
        </is>
      </c>
      <c r="H4102" s="13" t="inlineStr">
        <is>
          <t>100 a 300 L/ha</t>
        </is>
      </c>
      <c r="I4102" s="13" t="inlineStr">
        <is>
          <t>20 a 40 L/ha</t>
        </is>
      </c>
      <c r="J4102" s="13" t="inlineStr">
        <is>
          <t>45 dias</t>
        </is>
      </c>
    </row>
    <row r="4103" ht="22" customHeight="1">
      <c r="A4103" s="6" t="inlineStr">
        <is>
          <t>CUL-4099</t>
        </is>
      </c>
      <c r="B4103" s="5" t="n">
        <v>812</v>
      </c>
      <c r="C4103" s="7" t="inlineStr">
        <is>
          <t>Nº 12712</t>
        </is>
      </c>
      <c r="D4103" s="8" t="inlineStr">
        <is>
          <t>FASON</t>
        </is>
      </c>
      <c r="E4103" s="7" t="inlineStr">
        <is>
          <t>Pulverização Agrícola Conforme Bula</t>
        </is>
      </c>
      <c r="F4103" s="7" t="inlineStr">
        <is>
          <t>Algodão</t>
        </is>
      </c>
      <c r="G4103" s="7" t="inlineStr">
        <is>
          <t>Cultura Autorizada na Bula</t>
        </is>
      </c>
      <c r="H4103" s="7" t="inlineStr">
        <is>
          <t>100 a 300 L/ha</t>
        </is>
      </c>
      <c r="I4103" s="7" t="inlineStr">
        <is>
          <t>20 a 40 L/ha</t>
        </is>
      </c>
      <c r="J4103" s="7" t="inlineStr">
        <is>
          <t>60 dias</t>
        </is>
      </c>
    </row>
    <row r="4104" ht="22" customHeight="1">
      <c r="A4104" s="12" t="inlineStr">
        <is>
          <t>CUL-4100</t>
        </is>
      </c>
      <c r="B4104" s="11" t="n">
        <v>812</v>
      </c>
      <c r="C4104" s="13" t="inlineStr">
        <is>
          <t>Nº 12712</t>
        </is>
      </c>
      <c r="D4104" s="14" t="inlineStr">
        <is>
          <t>FASON</t>
        </is>
      </c>
      <c r="E4104" s="13" t="inlineStr">
        <is>
          <t>Pulverização Agrícola Conforme Bula</t>
        </is>
      </c>
      <c r="F4104" s="13" t="inlineStr">
        <is>
          <t>Cana-de-açúcar</t>
        </is>
      </c>
      <c r="G4104" s="13" t="inlineStr">
        <is>
          <t>Cultura Autorizada na Bula</t>
        </is>
      </c>
      <c r="H4104" s="13" t="inlineStr">
        <is>
          <t>100 a 300 L/ha</t>
        </is>
      </c>
      <c r="I4104" s="13" t="inlineStr">
        <is>
          <t>20 a 40 L/ha</t>
        </is>
      </c>
      <c r="J4104" s="13" t="inlineStr">
        <is>
          <t>90 dias</t>
        </is>
      </c>
    </row>
    <row r="4105" ht="22" customHeight="1">
      <c r="A4105" s="6" t="inlineStr">
        <is>
          <t>CUL-4101</t>
        </is>
      </c>
      <c r="B4105" s="5" t="n">
        <v>813</v>
      </c>
      <c r="C4105" s="7" t="inlineStr">
        <is>
          <t>Nº 5524</t>
        </is>
      </c>
      <c r="D4105" s="8" t="inlineStr">
        <is>
          <t>EVOLIN</t>
        </is>
      </c>
      <c r="E4105" s="7" t="inlineStr">
        <is>
          <t>Pulverização Agrícola Conforme Bula</t>
        </is>
      </c>
      <c r="F4105" s="7" t="inlineStr">
        <is>
          <t>Soja</t>
        </is>
      </c>
      <c r="G4105" s="7" t="inlineStr">
        <is>
          <t>Cultura Autorizada na Bula</t>
        </is>
      </c>
      <c r="H4105" s="7" t="inlineStr">
        <is>
          <t>100 a 300 L/ha</t>
        </is>
      </c>
      <c r="I4105" s="7" t="inlineStr">
        <is>
          <t>20 a 40 L/ha</t>
        </is>
      </c>
      <c r="J4105" s="7" t="inlineStr">
        <is>
          <t>21 dias</t>
        </is>
      </c>
    </row>
    <row r="4106" ht="22" customHeight="1">
      <c r="A4106" s="12" t="inlineStr">
        <is>
          <t>CUL-4102</t>
        </is>
      </c>
      <c r="B4106" s="11" t="n">
        <v>813</v>
      </c>
      <c r="C4106" s="13" t="inlineStr">
        <is>
          <t>Nº 5524</t>
        </is>
      </c>
      <c r="D4106" s="14" t="inlineStr">
        <is>
          <t>EVOLIN</t>
        </is>
      </c>
      <c r="E4106" s="13" t="inlineStr">
        <is>
          <t>Pulverização Agrícola Conforme Bula</t>
        </is>
      </c>
      <c r="F4106" s="13" t="inlineStr">
        <is>
          <t>Milho</t>
        </is>
      </c>
      <c r="G4106" s="13" t="inlineStr">
        <is>
          <t>Cultura Autorizada na Bula</t>
        </is>
      </c>
      <c r="H4106" s="13" t="inlineStr">
        <is>
          <t>100 a 300 L/ha</t>
        </is>
      </c>
      <c r="I4106" s="13" t="inlineStr">
        <is>
          <t>20 a 40 L/ha</t>
        </is>
      </c>
      <c r="J4106" s="13" t="inlineStr">
        <is>
          <t>21 dias</t>
        </is>
      </c>
    </row>
    <row r="4107" ht="22" customHeight="1">
      <c r="A4107" s="6" t="inlineStr">
        <is>
          <t>CUL-4103</t>
        </is>
      </c>
      <c r="B4107" s="5" t="n">
        <v>813</v>
      </c>
      <c r="C4107" s="7" t="inlineStr">
        <is>
          <t>Nº 5524</t>
        </is>
      </c>
      <c r="D4107" s="8" t="inlineStr">
        <is>
          <t>EVOLIN</t>
        </is>
      </c>
      <c r="E4107" s="7" t="inlineStr">
        <is>
          <t>Pulverização Agrícola Conforme Bula</t>
        </is>
      </c>
      <c r="F4107" s="7" t="inlineStr">
        <is>
          <t>Algodão</t>
        </is>
      </c>
      <c r="G4107" s="7" t="inlineStr">
        <is>
          <t>Cultura Autorizada na Bula</t>
        </is>
      </c>
      <c r="H4107" s="7" t="inlineStr">
        <is>
          <t>100 a 300 L/ha</t>
        </is>
      </c>
      <c r="I4107" s="7" t="inlineStr">
        <is>
          <t>20 a 40 L/ha</t>
        </is>
      </c>
      <c r="J4107" s="7" t="inlineStr">
        <is>
          <t>21 dias</t>
        </is>
      </c>
    </row>
    <row r="4108" ht="22" customHeight="1">
      <c r="A4108" s="12" t="inlineStr">
        <is>
          <t>CUL-4104</t>
        </is>
      </c>
      <c r="B4108" s="11" t="n">
        <v>813</v>
      </c>
      <c r="C4108" s="13" t="inlineStr">
        <is>
          <t>Nº 5524</t>
        </is>
      </c>
      <c r="D4108" s="14" t="inlineStr">
        <is>
          <t>EVOLIN</t>
        </is>
      </c>
      <c r="E4108" s="13" t="inlineStr">
        <is>
          <t>Pulverização Agrícola Conforme Bula</t>
        </is>
      </c>
      <c r="F4108" s="13" t="inlineStr">
        <is>
          <t>Feijão</t>
        </is>
      </c>
      <c r="G4108" s="13" t="inlineStr">
        <is>
          <t>Cultura Autorizada na Bula</t>
        </is>
      </c>
      <c r="H4108" s="13" t="inlineStr">
        <is>
          <t>100 a 300 L/ha</t>
        </is>
      </c>
      <c r="I4108" s="13" t="inlineStr">
        <is>
          <t>20 a 40 L/ha</t>
        </is>
      </c>
      <c r="J4108" s="13" t="inlineStr">
        <is>
          <t>14 dias</t>
        </is>
      </c>
    </row>
    <row r="4109" ht="22" customHeight="1">
      <c r="A4109" s="6" t="inlineStr">
        <is>
          <t>CUL-4105</t>
        </is>
      </c>
      <c r="B4109" s="5" t="n">
        <v>814</v>
      </c>
      <c r="C4109" s="7" t="inlineStr">
        <is>
          <t>Nº 4623</t>
        </is>
      </c>
      <c r="D4109" s="8" t="inlineStr">
        <is>
          <t>WEXITE</t>
        </is>
      </c>
      <c r="E4109" s="7" t="inlineStr">
        <is>
          <t>Pulverização Agrícola Conforme Bula</t>
        </is>
      </c>
      <c r="F4109" s="7" t="inlineStr">
        <is>
          <t>Soja</t>
        </is>
      </c>
      <c r="G4109" s="7" t="inlineStr">
        <is>
          <t>Cultura Autorizada na Bula</t>
        </is>
      </c>
      <c r="H4109" s="7" t="inlineStr">
        <is>
          <t>100 a 300 L/ha</t>
        </is>
      </c>
      <c r="I4109" s="7" t="inlineStr">
        <is>
          <t>20 a 40 L/ha</t>
        </is>
      </c>
      <c r="J4109" s="7" t="inlineStr">
        <is>
          <t>21 dias</t>
        </is>
      </c>
    </row>
    <row r="4110" ht="22" customHeight="1">
      <c r="A4110" s="12" t="inlineStr">
        <is>
          <t>CUL-4106</t>
        </is>
      </c>
      <c r="B4110" s="11" t="n">
        <v>814</v>
      </c>
      <c r="C4110" s="13" t="inlineStr">
        <is>
          <t>Nº 4623</t>
        </is>
      </c>
      <c r="D4110" s="14" t="inlineStr">
        <is>
          <t>WEXITE</t>
        </is>
      </c>
      <c r="E4110" s="13" t="inlineStr">
        <is>
          <t>Pulverização Agrícola Conforme Bula</t>
        </is>
      </c>
      <c r="F4110" s="13" t="inlineStr">
        <is>
          <t>Algodão</t>
        </is>
      </c>
      <c r="G4110" s="13" t="inlineStr">
        <is>
          <t>Cultura Autorizada na Bula</t>
        </is>
      </c>
      <c r="H4110" s="13" t="inlineStr">
        <is>
          <t>100 a 300 L/ha</t>
        </is>
      </c>
      <c r="I4110" s="13" t="inlineStr">
        <is>
          <t>20 a 40 L/ha</t>
        </is>
      </c>
      <c r="J4110" s="13" t="inlineStr">
        <is>
          <t>21 dias</t>
        </is>
      </c>
    </row>
    <row r="4111" ht="22" customHeight="1">
      <c r="A4111" s="6" t="inlineStr">
        <is>
          <t>CUL-4107</t>
        </is>
      </c>
      <c r="B4111" s="5" t="n">
        <v>814</v>
      </c>
      <c r="C4111" s="7" t="inlineStr">
        <is>
          <t>Nº 4623</t>
        </is>
      </c>
      <c r="D4111" s="8" t="inlineStr">
        <is>
          <t>WEXITE</t>
        </is>
      </c>
      <c r="E4111" s="7" t="inlineStr">
        <is>
          <t>Pulverização Agrícola Conforme Bula</t>
        </is>
      </c>
      <c r="F4111" s="7" t="inlineStr">
        <is>
          <t>Feijão</t>
        </is>
      </c>
      <c r="G4111" s="7" t="inlineStr">
        <is>
          <t>Cultura Autorizada na Bula</t>
        </is>
      </c>
      <c r="H4111" s="7" t="inlineStr">
        <is>
          <t>100 a 300 L/ha</t>
        </is>
      </c>
      <c r="I4111" s="7" t="inlineStr">
        <is>
          <t>20 a 40 L/ha</t>
        </is>
      </c>
      <c r="J4111" s="7" t="inlineStr">
        <is>
          <t>14 dias</t>
        </is>
      </c>
    </row>
    <row r="4112" ht="22" customHeight="1">
      <c r="A4112" s="12" t="inlineStr">
        <is>
          <t>CUL-4108</t>
        </is>
      </c>
      <c r="B4112" s="11" t="n">
        <v>814</v>
      </c>
      <c r="C4112" s="13" t="inlineStr">
        <is>
          <t>Nº 4623</t>
        </is>
      </c>
      <c r="D4112" s="14" t="inlineStr">
        <is>
          <t>WEXITE</t>
        </is>
      </c>
      <c r="E4112" s="13" t="inlineStr">
        <is>
          <t>Pulverização Agrícola Conforme Bula</t>
        </is>
      </c>
      <c r="F4112" s="13" t="inlineStr">
        <is>
          <t>Milho</t>
        </is>
      </c>
      <c r="G4112" s="13" t="inlineStr">
        <is>
          <t>Cultura Autorizada na Bula</t>
        </is>
      </c>
      <c r="H4112" s="13" t="inlineStr">
        <is>
          <t>100 a 300 L/ha</t>
        </is>
      </c>
      <c r="I4112" s="13" t="inlineStr">
        <is>
          <t>20 a 40 L/ha</t>
        </is>
      </c>
      <c r="J4112" s="13" t="inlineStr">
        <is>
          <t>21 dias</t>
        </is>
      </c>
    </row>
    <row r="4113" ht="22" customHeight="1">
      <c r="A4113" s="6" t="inlineStr">
        <is>
          <t>CUL-4109</t>
        </is>
      </c>
      <c r="B4113" s="5" t="n">
        <v>815</v>
      </c>
      <c r="C4113" s="7" t="inlineStr">
        <is>
          <t>SIPEAGRO (UF-XXXXX)</t>
        </is>
      </c>
      <c r="D4113" s="8" t="inlineStr">
        <is>
          <t>SSP 19% P2O5 - GRANULADO - REVENDA - JBS</t>
        </is>
      </c>
      <c r="E4113" s="7" t="inlineStr">
        <is>
          <t>Adubação de Solo / Foliar</t>
        </is>
      </c>
      <c r="F4113" s="7" t="inlineStr">
        <is>
          <t>Soja</t>
        </is>
      </c>
      <c r="G4113" s="7" t="inlineStr">
        <is>
          <t>Cultura Autorizada na Bula</t>
        </is>
      </c>
      <c r="H4113" s="7" t="inlineStr">
        <is>
          <t>100 a 300 L/ha</t>
        </is>
      </c>
      <c r="I4113" s="7" t="inlineStr">
        <is>
          <t>20 a 40 L/ha</t>
        </is>
      </c>
      <c r="J4113" s="7" t="inlineStr">
        <is>
          <t>Isento</t>
        </is>
      </c>
    </row>
    <row r="4114" ht="22" customHeight="1">
      <c r="A4114" s="12" t="inlineStr">
        <is>
          <t>CUL-4110</t>
        </is>
      </c>
      <c r="B4114" s="11" t="n">
        <v>815</v>
      </c>
      <c r="C4114" s="13" t="inlineStr">
        <is>
          <t>SIPEAGRO (UF-XXXXX)</t>
        </is>
      </c>
      <c r="D4114" s="14" t="inlineStr">
        <is>
          <t>SSP 19% P2O5 - GRANULADO - REVENDA - JBS</t>
        </is>
      </c>
      <c r="E4114" s="13" t="inlineStr">
        <is>
          <t>Adubação de Solo / Foliar</t>
        </is>
      </c>
      <c r="F4114" s="13" t="inlineStr">
        <is>
          <t>Milho</t>
        </is>
      </c>
      <c r="G4114" s="13" t="inlineStr">
        <is>
          <t>Cultura Autorizada na Bula</t>
        </is>
      </c>
      <c r="H4114" s="13" t="inlineStr">
        <is>
          <t>100 a 300 L/ha</t>
        </is>
      </c>
      <c r="I4114" s="13" t="inlineStr">
        <is>
          <t>20 a 40 L/ha</t>
        </is>
      </c>
      <c r="J4114" s="13" t="inlineStr">
        <is>
          <t>Isento</t>
        </is>
      </c>
    </row>
    <row r="4115" ht="22" customHeight="1">
      <c r="A4115" s="6" t="inlineStr">
        <is>
          <t>CUL-4111</t>
        </is>
      </c>
      <c r="B4115" s="5" t="n">
        <v>815</v>
      </c>
      <c r="C4115" s="7" t="inlineStr">
        <is>
          <t>SIPEAGRO (UF-XXXXX)</t>
        </is>
      </c>
      <c r="D4115" s="8" t="inlineStr">
        <is>
          <t>SSP 19% P2O5 - GRANULADO - REVENDA - JBS</t>
        </is>
      </c>
      <c r="E4115" s="7" t="inlineStr">
        <is>
          <t>Adubação de Solo / Foliar</t>
        </is>
      </c>
      <c r="F4115" s="7" t="inlineStr">
        <is>
          <t>Algodão</t>
        </is>
      </c>
      <c r="G4115" s="7" t="inlineStr">
        <is>
          <t>Cultura Autorizada na Bula</t>
        </is>
      </c>
      <c r="H4115" s="7" t="inlineStr">
        <is>
          <t>100 a 300 L/ha</t>
        </is>
      </c>
      <c r="I4115" s="7" t="inlineStr">
        <is>
          <t>20 a 40 L/ha</t>
        </is>
      </c>
      <c r="J4115" s="7" t="inlineStr">
        <is>
          <t>Isento</t>
        </is>
      </c>
    </row>
    <row r="4116" ht="22" customHeight="1">
      <c r="A4116" s="12" t="inlineStr">
        <is>
          <t>CUL-4112</t>
        </is>
      </c>
      <c r="B4116" s="11" t="n">
        <v>815</v>
      </c>
      <c r="C4116" s="13" t="inlineStr">
        <is>
          <t>SIPEAGRO (UF-XXXXX)</t>
        </is>
      </c>
      <c r="D4116" s="14" t="inlineStr">
        <is>
          <t>SSP 19% P2O5 - GRANULADO - REVENDA - JBS</t>
        </is>
      </c>
      <c r="E4116" s="13" t="inlineStr">
        <is>
          <t>Adubação de Solo / Foliar</t>
        </is>
      </c>
      <c r="F4116" s="13" t="inlineStr">
        <is>
          <t>Cana-de-açúcar</t>
        </is>
      </c>
      <c r="G4116" s="13" t="inlineStr">
        <is>
          <t>Cultura Autorizada na Bula</t>
        </is>
      </c>
      <c r="H4116" s="13" t="inlineStr">
        <is>
          <t>100 a 300 L/ha</t>
        </is>
      </c>
      <c r="I4116" s="13" t="inlineStr">
        <is>
          <t>20 a 40 L/ha</t>
        </is>
      </c>
      <c r="J4116" s="13" t="inlineStr">
        <is>
          <t>Isento</t>
        </is>
      </c>
    </row>
    <row r="4117" ht="22" customHeight="1">
      <c r="A4117" s="6" t="inlineStr">
        <is>
          <t>CUL-4113</t>
        </is>
      </c>
      <c r="B4117" s="5" t="n">
        <v>815</v>
      </c>
      <c r="C4117" s="7" t="inlineStr">
        <is>
          <t>SIPEAGRO (UF-XXXXX)</t>
        </is>
      </c>
      <c r="D4117" s="8" t="inlineStr">
        <is>
          <t>SSP 19% P2O5 - GRANULADO - REVENDA - JBS</t>
        </is>
      </c>
      <c r="E4117" s="7" t="inlineStr">
        <is>
          <t>Adubação de Solo / Foliar</t>
        </is>
      </c>
      <c r="F4117" s="7" t="inlineStr">
        <is>
          <t>Café</t>
        </is>
      </c>
      <c r="G4117" s="7" t="inlineStr">
        <is>
          <t>Cultura Autorizada na Bula</t>
        </is>
      </c>
      <c r="H4117" s="7" t="inlineStr">
        <is>
          <t>100 a 300 L/ha</t>
        </is>
      </c>
      <c r="I4117" s="7" t="inlineStr">
        <is>
          <t>20 a 40 L/ha</t>
        </is>
      </c>
      <c r="J4117" s="7" t="inlineStr">
        <is>
          <t>Isento</t>
        </is>
      </c>
    </row>
    <row r="4118" ht="22" customHeight="1">
      <c r="A4118" s="12" t="inlineStr">
        <is>
          <t>CUL-4114</t>
        </is>
      </c>
      <c r="B4118" s="11" t="n">
        <v>816</v>
      </c>
      <c r="C4118" s="13" t="inlineStr">
        <is>
          <t>SIPEAGRO (UF-XXXXX)</t>
        </is>
      </c>
      <c r="D4118" s="14" t="inlineStr">
        <is>
          <t>SSP 22% P2O5 - GRANULADO - REVENDA - JBS</t>
        </is>
      </c>
      <c r="E4118" s="13" t="inlineStr">
        <is>
          <t>Adubação de Solo / Foliar</t>
        </is>
      </c>
      <c r="F4118" s="13" t="inlineStr">
        <is>
          <t>Soja</t>
        </is>
      </c>
      <c r="G4118" s="13" t="inlineStr">
        <is>
          <t>Cultura Autorizada na Bula</t>
        </is>
      </c>
      <c r="H4118" s="13" t="inlineStr">
        <is>
          <t>100 a 300 L/ha</t>
        </is>
      </c>
      <c r="I4118" s="13" t="inlineStr">
        <is>
          <t>20 a 40 L/ha</t>
        </is>
      </c>
      <c r="J4118" s="13" t="inlineStr">
        <is>
          <t>Isento</t>
        </is>
      </c>
    </row>
    <row r="4119" ht="22" customHeight="1">
      <c r="A4119" s="6" t="inlineStr">
        <is>
          <t>CUL-4115</t>
        </is>
      </c>
      <c r="B4119" s="5" t="n">
        <v>816</v>
      </c>
      <c r="C4119" s="7" t="inlineStr">
        <is>
          <t>SIPEAGRO (UF-XXXXX)</t>
        </is>
      </c>
      <c r="D4119" s="8" t="inlineStr">
        <is>
          <t>SSP 22% P2O5 - GRANULADO - REVENDA - JBS</t>
        </is>
      </c>
      <c r="E4119" s="7" t="inlineStr">
        <is>
          <t>Adubação de Solo / Foliar</t>
        </is>
      </c>
      <c r="F4119" s="7" t="inlineStr">
        <is>
          <t>Milho</t>
        </is>
      </c>
      <c r="G4119" s="7" t="inlineStr">
        <is>
          <t>Cultura Autorizada na Bula</t>
        </is>
      </c>
      <c r="H4119" s="7" t="inlineStr">
        <is>
          <t>100 a 300 L/ha</t>
        </is>
      </c>
      <c r="I4119" s="7" t="inlineStr">
        <is>
          <t>20 a 40 L/ha</t>
        </is>
      </c>
      <c r="J4119" s="7" t="inlineStr">
        <is>
          <t>Isento</t>
        </is>
      </c>
    </row>
    <row r="4120" ht="22" customHeight="1">
      <c r="A4120" s="12" t="inlineStr">
        <is>
          <t>CUL-4116</t>
        </is>
      </c>
      <c r="B4120" s="11" t="n">
        <v>816</v>
      </c>
      <c r="C4120" s="13" t="inlineStr">
        <is>
          <t>SIPEAGRO (UF-XXXXX)</t>
        </is>
      </c>
      <c r="D4120" s="14" t="inlineStr">
        <is>
          <t>SSP 22% P2O5 - GRANULADO - REVENDA - JBS</t>
        </is>
      </c>
      <c r="E4120" s="13" t="inlineStr">
        <is>
          <t>Adubação de Solo / Foliar</t>
        </is>
      </c>
      <c r="F4120" s="13" t="inlineStr">
        <is>
          <t>Algodão</t>
        </is>
      </c>
      <c r="G4120" s="13" t="inlineStr">
        <is>
          <t>Cultura Autorizada na Bula</t>
        </is>
      </c>
      <c r="H4120" s="13" t="inlineStr">
        <is>
          <t>100 a 300 L/ha</t>
        </is>
      </c>
      <c r="I4120" s="13" t="inlineStr">
        <is>
          <t>20 a 40 L/ha</t>
        </is>
      </c>
      <c r="J4120" s="13" t="inlineStr">
        <is>
          <t>Isento</t>
        </is>
      </c>
    </row>
    <row r="4121" ht="22" customHeight="1">
      <c r="A4121" s="6" t="inlineStr">
        <is>
          <t>CUL-4117</t>
        </is>
      </c>
      <c r="B4121" s="5" t="n">
        <v>816</v>
      </c>
      <c r="C4121" s="7" t="inlineStr">
        <is>
          <t>SIPEAGRO (UF-XXXXX)</t>
        </is>
      </c>
      <c r="D4121" s="8" t="inlineStr">
        <is>
          <t>SSP 22% P2O5 - GRANULADO - REVENDA - JBS</t>
        </is>
      </c>
      <c r="E4121" s="7" t="inlineStr">
        <is>
          <t>Adubação de Solo / Foliar</t>
        </is>
      </c>
      <c r="F4121" s="7" t="inlineStr">
        <is>
          <t>Cana-de-açúcar</t>
        </is>
      </c>
      <c r="G4121" s="7" t="inlineStr">
        <is>
          <t>Cultura Autorizada na Bula</t>
        </is>
      </c>
      <c r="H4121" s="7" t="inlineStr">
        <is>
          <t>100 a 300 L/ha</t>
        </is>
      </c>
      <c r="I4121" s="7" t="inlineStr">
        <is>
          <t>20 a 40 L/ha</t>
        </is>
      </c>
      <c r="J4121" s="7" t="inlineStr">
        <is>
          <t>Isento</t>
        </is>
      </c>
    </row>
    <row r="4122" ht="22" customHeight="1">
      <c r="A4122" s="12" t="inlineStr">
        <is>
          <t>CUL-4118</t>
        </is>
      </c>
      <c r="B4122" s="11" t="n">
        <v>816</v>
      </c>
      <c r="C4122" s="13" t="inlineStr">
        <is>
          <t>SIPEAGRO (UF-XXXXX)</t>
        </is>
      </c>
      <c r="D4122" s="14" t="inlineStr">
        <is>
          <t>SSP 22% P2O5 - GRANULADO - REVENDA - JBS</t>
        </is>
      </c>
      <c r="E4122" s="13" t="inlineStr">
        <is>
          <t>Adubação de Solo / Foliar</t>
        </is>
      </c>
      <c r="F4122" s="13" t="inlineStr">
        <is>
          <t>Café</t>
        </is>
      </c>
      <c r="G4122" s="13" t="inlineStr">
        <is>
          <t>Cultura Autorizada na Bula</t>
        </is>
      </c>
      <c r="H4122" s="13" t="inlineStr">
        <is>
          <t>100 a 300 L/ha</t>
        </is>
      </c>
      <c r="I4122" s="13" t="inlineStr">
        <is>
          <t>20 a 40 L/ha</t>
        </is>
      </c>
      <c r="J4122" s="13" t="inlineStr">
        <is>
          <t>Isento</t>
        </is>
      </c>
    </row>
    <row r="4123" ht="22" customHeight="1">
      <c r="A4123" s="6" t="inlineStr">
        <is>
          <t>CUL-4119</t>
        </is>
      </c>
      <c r="B4123" s="5" t="n">
        <v>817</v>
      </c>
      <c r="C4123" s="7" t="inlineStr">
        <is>
          <t>SIPEAGRO (UF-XXXXX)</t>
        </is>
      </c>
      <c r="D4123" s="8" t="inlineStr">
        <is>
          <t>PLUS 05 24 24 + 0,26 B + 50BMI2 - REVENDA - MOSAIC</t>
        </is>
      </c>
      <c r="E4123" s="7" t="inlineStr">
        <is>
          <t>Adubação de Solo / Foliar</t>
        </is>
      </c>
      <c r="F4123" s="7" t="inlineStr">
        <is>
          <t>Soja</t>
        </is>
      </c>
      <c r="G4123" s="7" t="inlineStr">
        <is>
          <t>Cultura Autorizada na Bula</t>
        </is>
      </c>
      <c r="H4123" s="7" t="inlineStr">
        <is>
          <t>100 a 300 L/ha</t>
        </is>
      </c>
      <c r="I4123" s="7" t="inlineStr">
        <is>
          <t>20 a 40 L/ha</t>
        </is>
      </c>
      <c r="J4123" s="7" t="inlineStr">
        <is>
          <t>Isento</t>
        </is>
      </c>
    </row>
    <row r="4124" ht="22" customHeight="1">
      <c r="A4124" s="12" t="inlineStr">
        <is>
          <t>CUL-4120</t>
        </is>
      </c>
      <c r="B4124" s="11" t="n">
        <v>817</v>
      </c>
      <c r="C4124" s="13" t="inlineStr">
        <is>
          <t>SIPEAGRO (UF-XXXXX)</t>
        </is>
      </c>
      <c r="D4124" s="14" t="inlineStr">
        <is>
          <t>PLUS 05 24 24 + 0,26 B + 50BMI2 - REVENDA - MOSAIC</t>
        </is>
      </c>
      <c r="E4124" s="13" t="inlineStr">
        <is>
          <t>Adubação de Solo / Foliar</t>
        </is>
      </c>
      <c r="F4124" s="13" t="inlineStr">
        <is>
          <t>Milho</t>
        </is>
      </c>
      <c r="G4124" s="13" t="inlineStr">
        <is>
          <t>Cultura Autorizada na Bula</t>
        </is>
      </c>
      <c r="H4124" s="13" t="inlineStr">
        <is>
          <t>100 a 300 L/ha</t>
        </is>
      </c>
      <c r="I4124" s="13" t="inlineStr">
        <is>
          <t>20 a 40 L/ha</t>
        </is>
      </c>
      <c r="J4124" s="13" t="inlineStr">
        <is>
          <t>Isento</t>
        </is>
      </c>
    </row>
    <row r="4125" ht="22" customHeight="1">
      <c r="A4125" s="6" t="inlineStr">
        <is>
          <t>CUL-4121</t>
        </is>
      </c>
      <c r="B4125" s="5" t="n">
        <v>817</v>
      </c>
      <c r="C4125" s="7" t="inlineStr">
        <is>
          <t>SIPEAGRO (UF-XXXXX)</t>
        </is>
      </c>
      <c r="D4125" s="8" t="inlineStr">
        <is>
          <t>PLUS 05 24 24 + 0,26 B + 50BMI2 - REVENDA - MOSAIC</t>
        </is>
      </c>
      <c r="E4125" s="7" t="inlineStr">
        <is>
          <t>Adubação de Solo / Foliar</t>
        </is>
      </c>
      <c r="F4125" s="7" t="inlineStr">
        <is>
          <t>Algodão</t>
        </is>
      </c>
      <c r="G4125" s="7" t="inlineStr">
        <is>
          <t>Cultura Autorizada na Bula</t>
        </is>
      </c>
      <c r="H4125" s="7" t="inlineStr">
        <is>
          <t>100 a 300 L/ha</t>
        </is>
      </c>
      <c r="I4125" s="7" t="inlineStr">
        <is>
          <t>20 a 40 L/ha</t>
        </is>
      </c>
      <c r="J4125" s="7" t="inlineStr">
        <is>
          <t>Isento</t>
        </is>
      </c>
    </row>
    <row r="4126" ht="22" customHeight="1">
      <c r="A4126" s="12" t="inlineStr">
        <is>
          <t>CUL-4122</t>
        </is>
      </c>
      <c r="B4126" s="11" t="n">
        <v>817</v>
      </c>
      <c r="C4126" s="13" t="inlineStr">
        <is>
          <t>SIPEAGRO (UF-XXXXX)</t>
        </is>
      </c>
      <c r="D4126" s="14" t="inlineStr">
        <is>
          <t>PLUS 05 24 24 + 0,26 B + 50BMI2 - REVENDA - MOSAIC</t>
        </is>
      </c>
      <c r="E4126" s="13" t="inlineStr">
        <is>
          <t>Adubação de Solo / Foliar</t>
        </is>
      </c>
      <c r="F4126" s="13" t="inlineStr">
        <is>
          <t>Cana-de-açúcar</t>
        </is>
      </c>
      <c r="G4126" s="13" t="inlineStr">
        <is>
          <t>Cultura Autorizada na Bula</t>
        </is>
      </c>
      <c r="H4126" s="13" t="inlineStr">
        <is>
          <t>100 a 300 L/ha</t>
        </is>
      </c>
      <c r="I4126" s="13" t="inlineStr">
        <is>
          <t>20 a 40 L/ha</t>
        </is>
      </c>
      <c r="J4126" s="13" t="inlineStr">
        <is>
          <t>Isento</t>
        </is>
      </c>
    </row>
    <row r="4127" ht="22" customHeight="1">
      <c r="A4127" s="6" t="inlineStr">
        <is>
          <t>CUL-4123</t>
        </is>
      </c>
      <c r="B4127" s="5" t="n">
        <v>817</v>
      </c>
      <c r="C4127" s="7" t="inlineStr">
        <is>
          <t>SIPEAGRO (UF-XXXXX)</t>
        </is>
      </c>
      <c r="D4127" s="8" t="inlineStr">
        <is>
          <t>PLUS 05 24 24 + 0,26 B + 50BMI2 - REVENDA - MOSAIC</t>
        </is>
      </c>
      <c r="E4127" s="7" t="inlineStr">
        <is>
          <t>Adubação de Solo / Foliar</t>
        </is>
      </c>
      <c r="F4127" s="7" t="inlineStr">
        <is>
          <t>Café</t>
        </is>
      </c>
      <c r="G4127" s="7" t="inlineStr">
        <is>
          <t>Cultura Autorizada na Bula</t>
        </is>
      </c>
      <c r="H4127" s="7" t="inlineStr">
        <is>
          <t>100 a 300 L/ha</t>
        </is>
      </c>
      <c r="I4127" s="7" t="inlineStr">
        <is>
          <t>20 a 40 L/ha</t>
        </is>
      </c>
      <c r="J4127" s="7" t="inlineStr">
        <is>
          <t>Isento</t>
        </is>
      </c>
    </row>
    <row r="4128" ht="22" customHeight="1">
      <c r="A4128" s="12" t="inlineStr">
        <is>
          <t>CUL-4124</t>
        </is>
      </c>
      <c r="B4128" s="11" t="n">
        <v>818</v>
      </c>
      <c r="C4128" s="13" t="inlineStr">
        <is>
          <t>SIPEAGRO (UF-XXXXX)</t>
        </is>
      </c>
      <c r="D4128" s="14" t="inlineStr">
        <is>
          <t>MAP SOLUVEL 12-61-00 - OCP</t>
        </is>
      </c>
      <c r="E4128" s="13" t="inlineStr">
        <is>
          <t>Adubação de Solo / Foliar</t>
        </is>
      </c>
      <c r="F4128" s="13" t="inlineStr">
        <is>
          <t>Soja</t>
        </is>
      </c>
      <c r="G4128" s="13" t="inlineStr">
        <is>
          <t>Cultura Autorizada na Bula</t>
        </is>
      </c>
      <c r="H4128" s="13" t="inlineStr">
        <is>
          <t>100 a 300 L/ha</t>
        </is>
      </c>
      <c r="I4128" s="13" t="inlineStr">
        <is>
          <t>20 a 40 L/ha</t>
        </is>
      </c>
      <c r="J4128" s="13" t="inlineStr">
        <is>
          <t>Isento</t>
        </is>
      </c>
    </row>
    <row r="4129" ht="22" customHeight="1">
      <c r="A4129" s="6" t="inlineStr">
        <is>
          <t>CUL-4125</t>
        </is>
      </c>
      <c r="B4129" s="5" t="n">
        <v>818</v>
      </c>
      <c r="C4129" s="7" t="inlineStr">
        <is>
          <t>SIPEAGRO (UF-XXXXX)</t>
        </is>
      </c>
      <c r="D4129" s="8" t="inlineStr">
        <is>
          <t>MAP SOLUVEL 12-61-00 - OCP</t>
        </is>
      </c>
      <c r="E4129" s="7" t="inlineStr">
        <is>
          <t>Adubação de Solo / Foliar</t>
        </is>
      </c>
      <c r="F4129" s="7" t="inlineStr">
        <is>
          <t>Milho</t>
        </is>
      </c>
      <c r="G4129" s="7" t="inlineStr">
        <is>
          <t>Cultura Autorizada na Bula</t>
        </is>
      </c>
      <c r="H4129" s="7" t="inlineStr">
        <is>
          <t>100 a 300 L/ha</t>
        </is>
      </c>
      <c r="I4129" s="7" t="inlineStr">
        <is>
          <t>20 a 40 L/ha</t>
        </is>
      </c>
      <c r="J4129" s="7" t="inlineStr">
        <is>
          <t>Isento</t>
        </is>
      </c>
    </row>
    <row r="4130" ht="22" customHeight="1">
      <c r="A4130" s="12" t="inlineStr">
        <is>
          <t>CUL-4126</t>
        </is>
      </c>
      <c r="B4130" s="11" t="n">
        <v>818</v>
      </c>
      <c r="C4130" s="13" t="inlineStr">
        <is>
          <t>SIPEAGRO (UF-XXXXX)</t>
        </is>
      </c>
      <c r="D4130" s="14" t="inlineStr">
        <is>
          <t>MAP SOLUVEL 12-61-00 - OCP</t>
        </is>
      </c>
      <c r="E4130" s="13" t="inlineStr">
        <is>
          <t>Adubação de Solo / Foliar</t>
        </is>
      </c>
      <c r="F4130" s="13" t="inlineStr">
        <is>
          <t>Algodão</t>
        </is>
      </c>
      <c r="G4130" s="13" t="inlineStr">
        <is>
          <t>Cultura Autorizada na Bula</t>
        </is>
      </c>
      <c r="H4130" s="13" t="inlineStr">
        <is>
          <t>100 a 300 L/ha</t>
        </is>
      </c>
      <c r="I4130" s="13" t="inlineStr">
        <is>
          <t>20 a 40 L/ha</t>
        </is>
      </c>
      <c r="J4130" s="13" t="inlineStr">
        <is>
          <t>Isento</t>
        </is>
      </c>
    </row>
    <row r="4131" ht="22" customHeight="1">
      <c r="A4131" s="6" t="inlineStr">
        <is>
          <t>CUL-4127</t>
        </is>
      </c>
      <c r="B4131" s="5" t="n">
        <v>818</v>
      </c>
      <c r="C4131" s="7" t="inlineStr">
        <is>
          <t>SIPEAGRO (UF-XXXXX)</t>
        </is>
      </c>
      <c r="D4131" s="8" t="inlineStr">
        <is>
          <t>MAP SOLUVEL 12-61-00 - OCP</t>
        </is>
      </c>
      <c r="E4131" s="7" t="inlineStr">
        <is>
          <t>Adubação de Solo / Foliar</t>
        </is>
      </c>
      <c r="F4131" s="7" t="inlineStr">
        <is>
          <t>Cana-de-açúcar</t>
        </is>
      </c>
      <c r="G4131" s="7" t="inlineStr">
        <is>
          <t>Cultura Autorizada na Bula</t>
        </is>
      </c>
      <c r="H4131" s="7" t="inlineStr">
        <is>
          <t>100 a 300 L/ha</t>
        </is>
      </c>
      <c r="I4131" s="7" t="inlineStr">
        <is>
          <t>20 a 40 L/ha</t>
        </is>
      </c>
      <c r="J4131" s="7" t="inlineStr">
        <is>
          <t>Isento</t>
        </is>
      </c>
    </row>
    <row r="4132" ht="22" customHeight="1">
      <c r="A4132" s="12" t="inlineStr">
        <is>
          <t>CUL-4128</t>
        </is>
      </c>
      <c r="B4132" s="11" t="n">
        <v>818</v>
      </c>
      <c r="C4132" s="13" t="inlineStr">
        <is>
          <t>SIPEAGRO (UF-XXXXX)</t>
        </is>
      </c>
      <c r="D4132" s="14" t="inlineStr">
        <is>
          <t>MAP SOLUVEL 12-61-00 - OCP</t>
        </is>
      </c>
      <c r="E4132" s="13" t="inlineStr">
        <is>
          <t>Adubação de Solo / Foliar</t>
        </is>
      </c>
      <c r="F4132" s="13" t="inlineStr">
        <is>
          <t>Café</t>
        </is>
      </c>
      <c r="G4132" s="13" t="inlineStr">
        <is>
          <t>Cultura Autorizada na Bula</t>
        </is>
      </c>
      <c r="H4132" s="13" t="inlineStr">
        <is>
          <t>100 a 300 L/ha</t>
        </is>
      </c>
      <c r="I4132" s="13" t="inlineStr">
        <is>
          <t>20 a 40 L/ha</t>
        </is>
      </c>
      <c r="J4132" s="13" t="inlineStr">
        <is>
          <t>Isento</t>
        </is>
      </c>
    </row>
    <row r="4133" ht="22" customHeight="1">
      <c r="A4133" s="6" t="inlineStr">
        <is>
          <t>CUL-4129</t>
        </is>
      </c>
      <c r="B4133" s="5" t="n">
        <v>819</v>
      </c>
      <c r="C4133" s="7" t="inlineStr">
        <is>
          <t>Nº 2218</t>
        </is>
      </c>
      <c r="D4133" s="8" t="inlineStr">
        <is>
          <t>ACETA</t>
        </is>
      </c>
      <c r="E4133" s="7" t="inlineStr">
        <is>
          <t>Pulverização Agrícola Conforme Bula</t>
        </is>
      </c>
      <c r="F4133" s="7" t="inlineStr">
        <is>
          <t>Algodão</t>
        </is>
      </c>
      <c r="G4133" s="7" t="inlineStr">
        <is>
          <t>Cultura Autorizada na Bula</t>
        </is>
      </c>
      <c r="H4133" s="7" t="inlineStr">
        <is>
          <t>100 a 300 L/ha</t>
        </is>
      </c>
      <c r="I4133" s="7" t="inlineStr">
        <is>
          <t>20 a 40 L/ha</t>
        </is>
      </c>
      <c r="J4133" s="7" t="inlineStr">
        <is>
          <t>28 dias</t>
        </is>
      </c>
    </row>
    <row r="4134" ht="22" customHeight="1">
      <c r="A4134" s="12" t="inlineStr">
        <is>
          <t>CUL-4130</t>
        </is>
      </c>
      <c r="B4134" s="11" t="n">
        <v>819</v>
      </c>
      <c r="C4134" s="13" t="inlineStr">
        <is>
          <t>Nº 2218</t>
        </is>
      </c>
      <c r="D4134" s="14" t="inlineStr">
        <is>
          <t>ACETA</t>
        </is>
      </c>
      <c r="E4134" s="13" t="inlineStr">
        <is>
          <t>Pulverização Agrícola Conforme Bula</t>
        </is>
      </c>
      <c r="F4134" s="13" t="inlineStr">
        <is>
          <t>Soja</t>
        </is>
      </c>
      <c r="G4134" s="13" t="inlineStr">
        <is>
          <t>Cultura Autorizada na Bula</t>
        </is>
      </c>
      <c r="H4134" s="13" t="inlineStr">
        <is>
          <t>100 a 300 L/ha</t>
        </is>
      </c>
      <c r="I4134" s="13" t="inlineStr">
        <is>
          <t>20 a 40 L/ha</t>
        </is>
      </c>
      <c r="J4134" s="13" t="inlineStr">
        <is>
          <t>21 dias</t>
        </is>
      </c>
    </row>
    <row r="4135" ht="22" customHeight="1">
      <c r="A4135" s="6" t="inlineStr">
        <is>
          <t>CUL-4131</t>
        </is>
      </c>
      <c r="B4135" s="5" t="n">
        <v>819</v>
      </c>
      <c r="C4135" s="7" t="inlineStr">
        <is>
          <t>Nº 2218</t>
        </is>
      </c>
      <c r="D4135" s="8" t="inlineStr">
        <is>
          <t>ACETA</t>
        </is>
      </c>
      <c r="E4135" s="7" t="inlineStr">
        <is>
          <t>Pulverização Agrícola Conforme Bula</t>
        </is>
      </c>
      <c r="F4135" s="7" t="inlineStr">
        <is>
          <t>Milho</t>
        </is>
      </c>
      <c r="G4135" s="7" t="inlineStr">
        <is>
          <t>Cultura Autorizada na Bula</t>
        </is>
      </c>
      <c r="H4135" s="7" t="inlineStr">
        <is>
          <t>100 a 300 L/ha</t>
        </is>
      </c>
      <c r="I4135" s="7" t="inlineStr">
        <is>
          <t>20 a 40 L/ha</t>
        </is>
      </c>
      <c r="J4135" s="7" t="inlineStr">
        <is>
          <t>30 dias</t>
        </is>
      </c>
    </row>
    <row r="4136" ht="22" customHeight="1">
      <c r="A4136" s="12" t="inlineStr">
        <is>
          <t>CUL-4132</t>
        </is>
      </c>
      <c r="B4136" s="11" t="n">
        <v>819</v>
      </c>
      <c r="C4136" s="13" t="inlineStr">
        <is>
          <t>Nº 2218</t>
        </is>
      </c>
      <c r="D4136" s="14" t="inlineStr">
        <is>
          <t>ACETA</t>
        </is>
      </c>
      <c r="E4136" s="13" t="inlineStr">
        <is>
          <t>Pulverização Agrícola Conforme Bula</t>
        </is>
      </c>
      <c r="F4136" s="13" t="inlineStr">
        <is>
          <t>Feijão</t>
        </is>
      </c>
      <c r="G4136" s="13" t="inlineStr">
        <is>
          <t>Cultura Autorizada na Bula</t>
        </is>
      </c>
      <c r="H4136" s="13" t="inlineStr">
        <is>
          <t>100 a 300 L/ha</t>
        </is>
      </c>
      <c r="I4136" s="13" t="inlineStr">
        <is>
          <t>20 a 40 L/ha</t>
        </is>
      </c>
      <c r="J4136" s="13" t="inlineStr">
        <is>
          <t>14 dias</t>
        </is>
      </c>
    </row>
    <row r="4137" ht="22" customHeight="1">
      <c r="A4137" s="6" t="inlineStr">
        <is>
          <t>CUL-4133</t>
        </is>
      </c>
      <c r="B4137" s="5" t="n">
        <v>819</v>
      </c>
      <c r="C4137" s="7" t="inlineStr">
        <is>
          <t>Nº 2218</t>
        </is>
      </c>
      <c r="D4137" s="8" t="inlineStr">
        <is>
          <t>ACETA</t>
        </is>
      </c>
      <c r="E4137" s="7" t="inlineStr">
        <is>
          <t>Pulverização Agrícola Conforme Bula</t>
        </is>
      </c>
      <c r="F4137" s="7" t="inlineStr">
        <is>
          <t>Café</t>
        </is>
      </c>
      <c r="G4137" s="7" t="inlineStr">
        <is>
          <t>Cultura Autorizada na Bula</t>
        </is>
      </c>
      <c r="H4137" s="7" t="inlineStr">
        <is>
          <t>100 a 300 L/ha</t>
        </is>
      </c>
      <c r="I4137" s="7" t="inlineStr">
        <is>
          <t>20 a 40 L/ha</t>
        </is>
      </c>
      <c r="J4137" s="7" t="inlineStr">
        <is>
          <t>28 dias</t>
        </is>
      </c>
    </row>
    <row r="4138" ht="22" customHeight="1">
      <c r="A4138" s="12" t="inlineStr">
        <is>
          <t>CUL-4134</t>
        </is>
      </c>
      <c r="B4138" s="11" t="n">
        <v>819</v>
      </c>
      <c r="C4138" s="13" t="inlineStr">
        <is>
          <t>Nº 2218</t>
        </is>
      </c>
      <c r="D4138" s="14" t="inlineStr">
        <is>
          <t>ACETA</t>
        </is>
      </c>
      <c r="E4138" s="13" t="inlineStr">
        <is>
          <t>Pulverização Agrícola Conforme Bula</t>
        </is>
      </c>
      <c r="F4138" s="13" t="inlineStr">
        <is>
          <t>Citros</t>
        </is>
      </c>
      <c r="G4138" s="13" t="inlineStr">
        <is>
          <t>Cultura Autorizada na Bula</t>
        </is>
      </c>
      <c r="H4138" s="13" t="inlineStr">
        <is>
          <t>100 a 300 L/ha</t>
        </is>
      </c>
      <c r="I4138" s="13" t="inlineStr">
        <is>
          <t>20 a 40 L/ha</t>
        </is>
      </c>
      <c r="J4138" s="13" t="inlineStr">
        <is>
          <t>7 dias</t>
        </is>
      </c>
    </row>
    <row r="4139" ht="22" customHeight="1">
      <c r="A4139" s="6" t="inlineStr">
        <is>
          <t>CUL-4135</t>
        </is>
      </c>
      <c r="B4139" s="5" t="n">
        <v>819</v>
      </c>
      <c r="C4139" s="7" t="inlineStr">
        <is>
          <t>Nº 2218</t>
        </is>
      </c>
      <c r="D4139" s="8" t="inlineStr">
        <is>
          <t>ACETA</t>
        </is>
      </c>
      <c r="E4139" s="7" t="inlineStr">
        <is>
          <t>Pulverização Agrícola Conforme Bula</t>
        </is>
      </c>
      <c r="F4139" s="7" t="inlineStr">
        <is>
          <t>Tomate</t>
        </is>
      </c>
      <c r="G4139" s="7" t="inlineStr">
        <is>
          <t>Cultura Autorizada na Bula</t>
        </is>
      </c>
      <c r="H4139" s="7" t="inlineStr">
        <is>
          <t>100 a 300 L/ha</t>
        </is>
      </c>
      <c r="I4139" s="7" t="inlineStr">
        <is>
          <t>20 a 40 L/ha</t>
        </is>
      </c>
      <c r="J4139" s="7" t="inlineStr">
        <is>
          <t>3 dias</t>
        </is>
      </c>
    </row>
    <row r="4140" ht="22" customHeight="1">
      <c r="A4140" s="12" t="inlineStr">
        <is>
          <t>CUL-4136</t>
        </is>
      </c>
      <c r="B4140" s="11" t="n">
        <v>820</v>
      </c>
      <c r="C4140" s="13" t="inlineStr">
        <is>
          <t>Nº 2520</t>
        </is>
      </c>
      <c r="D4140" s="14" t="inlineStr">
        <is>
          <t>SURVEY 250 FS AMOSTRA 0,200L</t>
        </is>
      </c>
      <c r="E4140" s="13" t="inlineStr">
        <is>
          <t>Tratamento de Sementes / Sulco</t>
        </is>
      </c>
      <c r="F4140" s="13" t="inlineStr">
        <is>
          <t>Soja (Trat. Sementes / Sulco)</t>
        </is>
      </c>
      <c r="G4140" s="13" t="inlineStr">
        <is>
          <t>Cultura Autorizada na Bula</t>
        </is>
      </c>
      <c r="H4140" s="13" t="inlineStr">
        <is>
          <t>Calda TS (0,2 a 0,6 L/100kg sem.)</t>
        </is>
      </c>
      <c r="I4140" s="13" t="inlineStr">
        <is>
          <t>Não Autorizada (TS)</t>
        </is>
      </c>
      <c r="J4140" s="13" t="inlineStr">
        <is>
          <t>N/D</t>
        </is>
      </c>
    </row>
    <row r="4141" ht="22" customHeight="1">
      <c r="A4141" s="6" t="inlineStr">
        <is>
          <t>CUL-4137</t>
        </is>
      </c>
      <c r="B4141" s="5" t="n">
        <v>820</v>
      </c>
      <c r="C4141" s="7" t="inlineStr">
        <is>
          <t>Nº 2520</t>
        </is>
      </c>
      <c r="D4141" s="8" t="inlineStr">
        <is>
          <t>SURVEY 250 FS AMOSTRA 0,200L</t>
        </is>
      </c>
      <c r="E4141" s="7" t="inlineStr">
        <is>
          <t>Tratamento de Sementes / Sulco</t>
        </is>
      </c>
      <c r="F4141" s="7" t="inlineStr">
        <is>
          <t>Milho (Trat. Sementes)</t>
        </is>
      </c>
      <c r="G4141" s="7" t="inlineStr">
        <is>
          <t>Cultura Autorizada na Bula</t>
        </is>
      </c>
      <c r="H4141" s="7" t="inlineStr">
        <is>
          <t>Calda TS (0,2 a 0,6 L/100kg sem.)</t>
        </is>
      </c>
      <c r="I4141" s="7" t="inlineStr">
        <is>
          <t>Não Autorizada (TS)</t>
        </is>
      </c>
      <c r="J4141" s="7" t="inlineStr">
        <is>
          <t>N/D</t>
        </is>
      </c>
    </row>
    <row r="4142" ht="22" customHeight="1">
      <c r="A4142" s="12" t="inlineStr">
        <is>
          <t>CUL-4138</t>
        </is>
      </c>
      <c r="B4142" s="11" t="n">
        <v>820</v>
      </c>
      <c r="C4142" s="13" t="inlineStr">
        <is>
          <t>Nº 2520</t>
        </is>
      </c>
      <c r="D4142" s="14" t="inlineStr">
        <is>
          <t>SURVEY 250 FS AMOSTRA 0,200L</t>
        </is>
      </c>
      <c r="E4142" s="13" t="inlineStr">
        <is>
          <t>Tratamento de Sementes / Sulco</t>
        </is>
      </c>
      <c r="F4142" s="13" t="inlineStr">
        <is>
          <t>Algodão</t>
        </is>
      </c>
      <c r="G4142" s="13" t="inlineStr">
        <is>
          <t>Cultura Autorizada na Bula</t>
        </is>
      </c>
      <c r="H4142" s="13" t="inlineStr">
        <is>
          <t>Calda TS (0,2 a 0,6 L/100kg sem.)</t>
        </is>
      </c>
      <c r="I4142" s="13" t="inlineStr">
        <is>
          <t>Não Autorizada (TS)</t>
        </is>
      </c>
      <c r="J4142" s="13" t="inlineStr">
        <is>
          <t>N/D</t>
        </is>
      </c>
    </row>
    <row r="4143" ht="22" customHeight="1">
      <c r="A4143" s="6" t="inlineStr">
        <is>
          <t>CUL-4139</t>
        </is>
      </c>
      <c r="B4143" s="5" t="n">
        <v>820</v>
      </c>
      <c r="C4143" s="7" t="inlineStr">
        <is>
          <t>Nº 2520</t>
        </is>
      </c>
      <c r="D4143" s="8" t="inlineStr">
        <is>
          <t>SURVEY 250 FS AMOSTRA 0,200L</t>
        </is>
      </c>
      <c r="E4143" s="7" t="inlineStr">
        <is>
          <t>Tratamento de Sementes / Sulco</t>
        </is>
      </c>
      <c r="F4143" s="7" t="inlineStr">
        <is>
          <t>Cana-de-açúcar (Sulco)</t>
        </is>
      </c>
      <c r="G4143" s="7" t="inlineStr">
        <is>
          <t>Cultura Autorizada na Bula</t>
        </is>
      </c>
      <c r="H4143" s="7" t="inlineStr">
        <is>
          <t>Calda TS (0,2 a 0,6 L/100kg sem.)</t>
        </is>
      </c>
      <c r="I4143" s="7" t="inlineStr">
        <is>
          <t>Não Autorizada (TS)</t>
        </is>
      </c>
      <c r="J4143" s="7" t="inlineStr">
        <is>
          <t>N/D</t>
        </is>
      </c>
    </row>
    <row r="4144" ht="22" customHeight="1">
      <c r="A4144" s="12" t="inlineStr">
        <is>
          <t>CUL-4140</t>
        </is>
      </c>
      <c r="B4144" s="11" t="n">
        <v>820</v>
      </c>
      <c r="C4144" s="13" t="inlineStr">
        <is>
          <t>Nº 2520</t>
        </is>
      </c>
      <c r="D4144" s="14" t="inlineStr">
        <is>
          <t>SURVEY 250 FS AMOSTRA 0,200L</t>
        </is>
      </c>
      <c r="E4144" s="13" t="inlineStr">
        <is>
          <t>Tratamento de Sementes / Sulco</t>
        </is>
      </c>
      <c r="F4144" s="13" t="inlineStr">
        <is>
          <t>Arroz</t>
        </is>
      </c>
      <c r="G4144" s="13" t="inlineStr">
        <is>
          <t>Cultura Autorizada na Bula</t>
        </is>
      </c>
      <c r="H4144" s="13" t="inlineStr">
        <is>
          <t>Calda TS (0,2 a 0,6 L/100kg sem.)</t>
        </is>
      </c>
      <c r="I4144" s="13" t="inlineStr">
        <is>
          <t>Não Autorizada (TS)</t>
        </is>
      </c>
      <c r="J4144" s="13" t="inlineStr">
        <is>
          <t>N/D</t>
        </is>
      </c>
    </row>
    <row r="4145" ht="22" customHeight="1">
      <c r="A4145" s="6" t="inlineStr">
        <is>
          <t>CUL-4141</t>
        </is>
      </c>
      <c r="B4145" s="5" t="n">
        <v>820</v>
      </c>
      <c r="C4145" s="7" t="inlineStr">
        <is>
          <t>Nº 2520</t>
        </is>
      </c>
      <c r="D4145" s="8" t="inlineStr">
        <is>
          <t>SURVEY 250 FS AMOSTRA 0,200L</t>
        </is>
      </c>
      <c r="E4145" s="7" t="inlineStr">
        <is>
          <t>Tratamento de Sementes / Sulco</t>
        </is>
      </c>
      <c r="F4145" s="7" t="inlineStr">
        <is>
          <t>Feijão</t>
        </is>
      </c>
      <c r="G4145" s="7" t="inlineStr">
        <is>
          <t>Cultura Autorizada na Bula</t>
        </is>
      </c>
      <c r="H4145" s="7" t="inlineStr">
        <is>
          <t>Calda TS (0,2 a 0,6 L/100kg sem.)</t>
        </is>
      </c>
      <c r="I4145" s="7" t="inlineStr">
        <is>
          <t>Não Autorizada (TS)</t>
        </is>
      </c>
      <c r="J4145" s="7" t="inlineStr">
        <is>
          <t>N/D</t>
        </is>
      </c>
    </row>
    <row r="4146" ht="22" customHeight="1">
      <c r="A4146" s="12" t="inlineStr">
        <is>
          <t>CUL-4142</t>
        </is>
      </c>
      <c r="B4146" s="11" t="n">
        <v>820</v>
      </c>
      <c r="C4146" s="13" t="inlineStr">
        <is>
          <t>Nº 2520</t>
        </is>
      </c>
      <c r="D4146" s="14" t="inlineStr">
        <is>
          <t>SURVEY 250 FS AMOSTRA 0,200L</t>
        </is>
      </c>
      <c r="E4146" s="13" t="inlineStr">
        <is>
          <t>Tratamento de Sementes / Sulco</t>
        </is>
      </c>
      <c r="F4146" s="13" t="inlineStr">
        <is>
          <t>Pastagens</t>
        </is>
      </c>
      <c r="G4146" s="13" t="inlineStr">
        <is>
          <t>Cultura Autorizada na Bula</t>
        </is>
      </c>
      <c r="H4146" s="13" t="inlineStr">
        <is>
          <t>Calda TS (0,2 a 0,6 L/100kg sem.)</t>
        </is>
      </c>
      <c r="I4146" s="13" t="inlineStr">
        <is>
          <t>Não Autorizada (TS)</t>
        </is>
      </c>
      <c r="J4146" s="13" t="inlineStr">
        <is>
          <t>N/D</t>
        </is>
      </c>
    </row>
    <row r="4147" ht="22" customHeight="1">
      <c r="A4147" s="6" t="inlineStr">
        <is>
          <t>CUL-4143</t>
        </is>
      </c>
      <c r="B4147" s="5" t="n">
        <v>820</v>
      </c>
      <c r="C4147" s="7" t="inlineStr">
        <is>
          <t>Nº 2520</t>
        </is>
      </c>
      <c r="D4147" s="8" t="inlineStr">
        <is>
          <t>SURVEY 250 FS AMOSTRA 0,200L</t>
        </is>
      </c>
      <c r="E4147" s="7" t="inlineStr">
        <is>
          <t>Tratamento de Sementes / Sulco</t>
        </is>
      </c>
      <c r="F4147" s="7" t="inlineStr">
        <is>
          <t>Trigo</t>
        </is>
      </c>
      <c r="G4147" s="7" t="inlineStr">
        <is>
          <t>Cultura Autorizada na Bula</t>
        </is>
      </c>
      <c r="H4147" s="7" t="inlineStr">
        <is>
          <t>Calda TS (0,2 a 0,6 L/100kg sem.)</t>
        </is>
      </c>
      <c r="I4147" s="7" t="inlineStr">
        <is>
          <t>Não Autorizada (TS)</t>
        </is>
      </c>
      <c r="J4147" s="7" t="inlineStr">
        <is>
          <t>N/D</t>
        </is>
      </c>
    </row>
    <row r="4148" ht="22" customHeight="1">
      <c r="A4148" s="12" t="inlineStr">
        <is>
          <t>CUL-4144</t>
        </is>
      </c>
      <c r="B4148" s="11" t="n">
        <v>821</v>
      </c>
      <c r="C4148" s="13" t="inlineStr">
        <is>
          <t>Nº 34224</t>
        </is>
      </c>
      <c r="D4148" s="14" t="inlineStr">
        <is>
          <t>MESTRONG</t>
        </is>
      </c>
      <c r="E4148" s="13" t="inlineStr">
        <is>
          <t>Pulverização Agrícola Conforme Bula</t>
        </is>
      </c>
      <c r="F4148" s="13" t="inlineStr">
        <is>
          <t>Milho</t>
        </is>
      </c>
      <c r="G4148" s="13" t="inlineStr">
        <is>
          <t>Cultura Autorizada na Bula</t>
        </is>
      </c>
      <c r="H4148" s="13" t="inlineStr">
        <is>
          <t>100 a 300 L/ha</t>
        </is>
      </c>
      <c r="I4148" s="13" t="inlineStr">
        <is>
          <t>20 a 40 L/ha</t>
        </is>
      </c>
      <c r="J4148" s="13" t="inlineStr">
        <is>
          <t>63 dias</t>
        </is>
      </c>
    </row>
    <row r="4149" ht="22" customHeight="1">
      <c r="A4149" s="6" t="inlineStr">
        <is>
          <t>CUL-4145</t>
        </is>
      </c>
      <c r="B4149" s="5" t="n">
        <v>821</v>
      </c>
      <c r="C4149" s="7" t="inlineStr">
        <is>
          <t>Nº 34224</t>
        </is>
      </c>
      <c r="D4149" s="8" t="inlineStr">
        <is>
          <t>MESTRONG</t>
        </is>
      </c>
      <c r="E4149" s="7" t="inlineStr">
        <is>
          <t>Pulverização Agrícola Conforme Bula</t>
        </is>
      </c>
      <c r="F4149" s="7" t="inlineStr">
        <is>
          <t>Cana-de-açúcar</t>
        </is>
      </c>
      <c r="G4149" s="7" t="inlineStr">
        <is>
          <t>Cultura Autorizada na Bula</t>
        </is>
      </c>
      <c r="H4149" s="7" t="inlineStr">
        <is>
          <t>100 a 300 L/ha</t>
        </is>
      </c>
      <c r="I4149" s="7" t="inlineStr">
        <is>
          <t>20 a 40 L/ha</t>
        </is>
      </c>
      <c r="J4149" s="7" t="inlineStr">
        <is>
          <t>150 dias</t>
        </is>
      </c>
    </row>
    <row r="4150" ht="22" customHeight="1">
      <c r="A4150" s="12" t="inlineStr">
        <is>
          <t>CUL-4146</t>
        </is>
      </c>
      <c r="B4150" s="11" t="n">
        <v>821</v>
      </c>
      <c r="C4150" s="13" t="inlineStr">
        <is>
          <t>Nº 34224</t>
        </is>
      </c>
      <c r="D4150" s="14" t="inlineStr">
        <is>
          <t>MESTRONG</t>
        </is>
      </c>
      <c r="E4150" s="13" t="inlineStr">
        <is>
          <t>Pulverização Agrícola Conforme Bula</t>
        </is>
      </c>
      <c r="F4150" s="13" t="inlineStr">
        <is>
          <t>Milheto</t>
        </is>
      </c>
      <c r="G4150" s="13" t="inlineStr">
        <is>
          <t>Cultura Autorizada na Bula</t>
        </is>
      </c>
      <c r="H4150" s="13" t="inlineStr">
        <is>
          <t>100 a 300 L/ha</t>
        </is>
      </c>
      <c r="I4150" s="13" t="inlineStr">
        <is>
          <t>20 a 40 L/ha</t>
        </is>
      </c>
      <c r="J4150" s="13" t="inlineStr">
        <is>
          <t>60 dias</t>
        </is>
      </c>
    </row>
    <row r="4151" ht="22" customHeight="1">
      <c r="A4151" s="6" t="inlineStr">
        <is>
          <t>CUL-4147</t>
        </is>
      </c>
      <c r="B4151" s="5" t="n">
        <v>821</v>
      </c>
      <c r="C4151" s="7" t="inlineStr">
        <is>
          <t>Nº 34224</t>
        </is>
      </c>
      <c r="D4151" s="8" t="inlineStr">
        <is>
          <t>MESTRONG</t>
        </is>
      </c>
      <c r="E4151" s="7" t="inlineStr">
        <is>
          <t>Pulverização Agrícola Conforme Bula</t>
        </is>
      </c>
      <c r="F4151" s="7" t="inlineStr">
        <is>
          <t>Sorgo</t>
        </is>
      </c>
      <c r="G4151" s="7" t="inlineStr">
        <is>
          <t>Cultura Autorizada na Bula</t>
        </is>
      </c>
      <c r="H4151" s="7" t="inlineStr">
        <is>
          <t>100 a 300 L/ha</t>
        </is>
      </c>
      <c r="I4151" s="7" t="inlineStr">
        <is>
          <t>20 a 40 L/ha</t>
        </is>
      </c>
      <c r="J4151" s="7" t="inlineStr">
        <is>
          <t>60 dias</t>
        </is>
      </c>
    </row>
    <row r="4152" ht="22" customHeight="1">
      <c r="A4152" s="12" t="inlineStr">
        <is>
          <t>CUL-4148</t>
        </is>
      </c>
      <c r="B4152" s="11" t="n">
        <v>822</v>
      </c>
      <c r="C4152" s="13" t="inlineStr">
        <is>
          <t>Nº 14421</t>
        </is>
      </c>
      <c r="D4152" s="14" t="inlineStr">
        <is>
          <t>LEALTY FS</t>
        </is>
      </c>
      <c r="E4152" s="13" t="inlineStr">
        <is>
          <t>Tratamento de Sementes / Sulco</t>
        </is>
      </c>
      <c r="F4152" s="13" t="inlineStr">
        <is>
          <t>Soja (Trat. Sementes / Sulco)</t>
        </is>
      </c>
      <c r="G4152" s="13" t="inlineStr">
        <is>
          <t>Cultura Autorizada na Bula</t>
        </is>
      </c>
      <c r="H4152" s="13" t="inlineStr">
        <is>
          <t>Calda TS (0,2 a 0,6 L/100kg sem.)</t>
        </is>
      </c>
      <c r="I4152" s="13" t="inlineStr">
        <is>
          <t>Não Autorizada (TS)</t>
        </is>
      </c>
      <c r="J4152" s="13" t="inlineStr">
        <is>
          <t>N/D</t>
        </is>
      </c>
    </row>
    <row r="4153" ht="22" customHeight="1">
      <c r="A4153" s="6" t="inlineStr">
        <is>
          <t>CUL-4149</t>
        </is>
      </c>
      <c r="B4153" s="5" t="n">
        <v>822</v>
      </c>
      <c r="C4153" s="7" t="inlineStr">
        <is>
          <t>Nº 14421</t>
        </is>
      </c>
      <c r="D4153" s="8" t="inlineStr">
        <is>
          <t>LEALTY FS</t>
        </is>
      </c>
      <c r="E4153" s="7" t="inlineStr">
        <is>
          <t>Tratamento de Sementes / Sulco</t>
        </is>
      </c>
      <c r="F4153" s="7" t="inlineStr">
        <is>
          <t>Milho (Trat. Sementes)</t>
        </is>
      </c>
      <c r="G4153" s="7" t="inlineStr">
        <is>
          <t>Cultura Autorizada na Bula</t>
        </is>
      </c>
      <c r="H4153" s="7" t="inlineStr">
        <is>
          <t>Calda TS (0,2 a 0,6 L/100kg sem.)</t>
        </is>
      </c>
      <c r="I4153" s="7" t="inlineStr">
        <is>
          <t>Não Autorizada (TS)</t>
        </is>
      </c>
      <c r="J4153" s="7" t="inlineStr">
        <is>
          <t>N/D</t>
        </is>
      </c>
    </row>
    <row r="4154" ht="22" customHeight="1">
      <c r="A4154" s="12" t="inlineStr">
        <is>
          <t>CUL-4150</t>
        </is>
      </c>
      <c r="B4154" s="11" t="n">
        <v>822</v>
      </c>
      <c r="C4154" s="13" t="inlineStr">
        <is>
          <t>Nº 14421</t>
        </is>
      </c>
      <c r="D4154" s="14" t="inlineStr">
        <is>
          <t>LEALTY FS</t>
        </is>
      </c>
      <c r="E4154" s="13" t="inlineStr">
        <is>
          <t>Tratamento de Sementes / Sulco</t>
        </is>
      </c>
      <c r="F4154" s="13" t="inlineStr">
        <is>
          <t>Algodão</t>
        </is>
      </c>
      <c r="G4154" s="13" t="inlineStr">
        <is>
          <t>Cultura Autorizada na Bula</t>
        </is>
      </c>
      <c r="H4154" s="13" t="inlineStr">
        <is>
          <t>Calda TS (0,2 a 0,6 L/100kg sem.)</t>
        </is>
      </c>
      <c r="I4154" s="13" t="inlineStr">
        <is>
          <t>Não Autorizada (TS)</t>
        </is>
      </c>
      <c r="J4154" s="13" t="inlineStr">
        <is>
          <t>N/D</t>
        </is>
      </c>
    </row>
    <row r="4155" ht="22" customHeight="1">
      <c r="A4155" s="6" t="inlineStr">
        <is>
          <t>CUL-4151</t>
        </is>
      </c>
      <c r="B4155" s="5" t="n">
        <v>822</v>
      </c>
      <c r="C4155" s="7" t="inlineStr">
        <is>
          <t>Nº 14421</t>
        </is>
      </c>
      <c r="D4155" s="8" t="inlineStr">
        <is>
          <t>LEALTY FS</t>
        </is>
      </c>
      <c r="E4155" s="7" t="inlineStr">
        <is>
          <t>Tratamento de Sementes / Sulco</t>
        </is>
      </c>
      <c r="F4155" s="7" t="inlineStr">
        <is>
          <t>Cana-de-açúcar (Sulco)</t>
        </is>
      </c>
      <c r="G4155" s="7" t="inlineStr">
        <is>
          <t>Cultura Autorizada na Bula</t>
        </is>
      </c>
      <c r="H4155" s="7" t="inlineStr">
        <is>
          <t>Calda TS (0,2 a 0,6 L/100kg sem.)</t>
        </is>
      </c>
      <c r="I4155" s="7" t="inlineStr">
        <is>
          <t>Não Autorizada (TS)</t>
        </is>
      </c>
      <c r="J4155" s="7" t="inlineStr">
        <is>
          <t>N/D</t>
        </is>
      </c>
    </row>
    <row r="4156" ht="22" customHeight="1">
      <c r="A4156" s="12" t="inlineStr">
        <is>
          <t>CUL-4152</t>
        </is>
      </c>
      <c r="B4156" s="11" t="n">
        <v>822</v>
      </c>
      <c r="C4156" s="13" t="inlineStr">
        <is>
          <t>Nº 14421</t>
        </is>
      </c>
      <c r="D4156" s="14" t="inlineStr">
        <is>
          <t>LEALTY FS</t>
        </is>
      </c>
      <c r="E4156" s="13" t="inlineStr">
        <is>
          <t>Tratamento de Sementes / Sulco</t>
        </is>
      </c>
      <c r="F4156" s="13" t="inlineStr">
        <is>
          <t>Arroz</t>
        </is>
      </c>
      <c r="G4156" s="13" t="inlineStr">
        <is>
          <t>Cultura Autorizada na Bula</t>
        </is>
      </c>
      <c r="H4156" s="13" t="inlineStr">
        <is>
          <t>Calda TS (0,2 a 0,6 L/100kg sem.)</t>
        </is>
      </c>
      <c r="I4156" s="13" t="inlineStr">
        <is>
          <t>Não Autorizada (TS)</t>
        </is>
      </c>
      <c r="J4156" s="13" t="inlineStr">
        <is>
          <t>N/D</t>
        </is>
      </c>
    </row>
    <row r="4157" ht="22" customHeight="1">
      <c r="A4157" s="6" t="inlineStr">
        <is>
          <t>CUL-4153</t>
        </is>
      </c>
      <c r="B4157" s="5" t="n">
        <v>822</v>
      </c>
      <c r="C4157" s="7" t="inlineStr">
        <is>
          <t>Nº 14421</t>
        </is>
      </c>
      <c r="D4157" s="8" t="inlineStr">
        <is>
          <t>LEALTY FS</t>
        </is>
      </c>
      <c r="E4157" s="7" t="inlineStr">
        <is>
          <t>Tratamento de Sementes / Sulco</t>
        </is>
      </c>
      <c r="F4157" s="7" t="inlineStr">
        <is>
          <t>Feijão</t>
        </is>
      </c>
      <c r="G4157" s="7" t="inlineStr">
        <is>
          <t>Cultura Autorizada na Bula</t>
        </is>
      </c>
      <c r="H4157" s="7" t="inlineStr">
        <is>
          <t>Calda TS (0,2 a 0,6 L/100kg sem.)</t>
        </is>
      </c>
      <c r="I4157" s="7" t="inlineStr">
        <is>
          <t>Não Autorizada (TS)</t>
        </is>
      </c>
      <c r="J4157" s="7" t="inlineStr">
        <is>
          <t>N/D</t>
        </is>
      </c>
    </row>
    <row r="4158" ht="22" customHeight="1">
      <c r="A4158" s="12" t="inlineStr">
        <is>
          <t>CUL-4154</t>
        </is>
      </c>
      <c r="B4158" s="11" t="n">
        <v>822</v>
      </c>
      <c r="C4158" s="13" t="inlineStr">
        <is>
          <t>Nº 14421</t>
        </is>
      </c>
      <c r="D4158" s="14" t="inlineStr">
        <is>
          <t>LEALTY FS</t>
        </is>
      </c>
      <c r="E4158" s="13" t="inlineStr">
        <is>
          <t>Tratamento de Sementes / Sulco</t>
        </is>
      </c>
      <c r="F4158" s="13" t="inlineStr">
        <is>
          <t>Pastagens</t>
        </is>
      </c>
      <c r="G4158" s="13" t="inlineStr">
        <is>
          <t>Cultura Autorizada na Bula</t>
        </is>
      </c>
      <c r="H4158" s="13" t="inlineStr">
        <is>
          <t>Calda TS (0,2 a 0,6 L/100kg sem.)</t>
        </is>
      </c>
      <c r="I4158" s="13" t="inlineStr">
        <is>
          <t>Não Autorizada (TS)</t>
        </is>
      </c>
      <c r="J4158" s="13" t="inlineStr">
        <is>
          <t>N/D</t>
        </is>
      </c>
    </row>
    <row r="4159" ht="22" customHeight="1">
      <c r="A4159" s="6" t="inlineStr">
        <is>
          <t>CUL-4155</t>
        </is>
      </c>
      <c r="B4159" s="5" t="n">
        <v>822</v>
      </c>
      <c r="C4159" s="7" t="inlineStr">
        <is>
          <t>Nº 14421</t>
        </is>
      </c>
      <c r="D4159" s="8" t="inlineStr">
        <is>
          <t>LEALTY FS</t>
        </is>
      </c>
      <c r="E4159" s="7" t="inlineStr">
        <is>
          <t>Tratamento de Sementes / Sulco</t>
        </is>
      </c>
      <c r="F4159" s="7" t="inlineStr">
        <is>
          <t>Trigo</t>
        </is>
      </c>
      <c r="G4159" s="7" t="inlineStr">
        <is>
          <t>Cultura Autorizada na Bula</t>
        </is>
      </c>
      <c r="H4159" s="7" t="inlineStr">
        <is>
          <t>Calda TS (0,2 a 0,6 L/100kg sem.)</t>
        </is>
      </c>
      <c r="I4159" s="7" t="inlineStr">
        <is>
          <t>Não Autorizada (TS)</t>
        </is>
      </c>
      <c r="J4159" s="7" t="inlineStr">
        <is>
          <t>N/D</t>
        </is>
      </c>
    </row>
    <row r="4160" ht="22" customHeight="1">
      <c r="A4160" s="12" t="inlineStr">
        <is>
          <t>CUL-4156</t>
        </is>
      </c>
      <c r="B4160" s="11" t="n">
        <v>823</v>
      </c>
      <c r="C4160" s="13" t="inlineStr">
        <is>
          <t>Nº 32224</t>
        </is>
      </c>
      <c r="D4160" s="14" t="inlineStr">
        <is>
          <t>PYRIPROXYFEN 100 SINO-AGRI AMOSTRA 0,200L</t>
        </is>
      </c>
      <c r="E4160" s="13" t="inlineStr">
        <is>
          <t>Pulverização Agrícola Conforme Bula</t>
        </is>
      </c>
      <c r="F4160" s="13" t="inlineStr">
        <is>
          <t>Soja</t>
        </is>
      </c>
      <c r="G4160" s="13" t="inlineStr">
        <is>
          <t>Cultura Autorizada na Bula</t>
        </is>
      </c>
      <c r="H4160" s="13" t="inlineStr">
        <is>
          <t>100 a 300 L/ha</t>
        </is>
      </c>
      <c r="I4160" s="13" t="inlineStr">
        <is>
          <t>20 a 40 L/ha</t>
        </is>
      </c>
      <c r="J4160" s="13" t="inlineStr">
        <is>
          <t>30 dias</t>
        </is>
      </c>
    </row>
    <row r="4161" ht="22" customHeight="1">
      <c r="A4161" s="6" t="inlineStr">
        <is>
          <t>CUL-4157</t>
        </is>
      </c>
      <c r="B4161" s="5" t="n">
        <v>823</v>
      </c>
      <c r="C4161" s="7" t="inlineStr">
        <is>
          <t>Nº 32224</t>
        </is>
      </c>
      <c r="D4161" s="8" t="inlineStr">
        <is>
          <t>PYRIPROXYFEN 100 SINO-AGRI AMOSTRA 0,200L</t>
        </is>
      </c>
      <c r="E4161" s="7" t="inlineStr">
        <is>
          <t>Pulverização Agrícola Conforme Bula</t>
        </is>
      </c>
      <c r="F4161" s="7" t="inlineStr">
        <is>
          <t>Algodão</t>
        </is>
      </c>
      <c r="G4161" s="7" t="inlineStr">
        <is>
          <t>Cultura Autorizada na Bula</t>
        </is>
      </c>
      <c r="H4161" s="7" t="inlineStr">
        <is>
          <t>100 a 300 L/ha</t>
        </is>
      </c>
      <c r="I4161" s="7" t="inlineStr">
        <is>
          <t>20 a 40 L/ha</t>
        </is>
      </c>
      <c r="J4161" s="7" t="inlineStr">
        <is>
          <t>14 dias</t>
        </is>
      </c>
    </row>
    <row r="4162" ht="22" customHeight="1">
      <c r="A4162" s="12" t="inlineStr">
        <is>
          <t>CUL-4158</t>
        </is>
      </c>
      <c r="B4162" s="11" t="n">
        <v>823</v>
      </c>
      <c r="C4162" s="13" t="inlineStr">
        <is>
          <t>Nº 32224</t>
        </is>
      </c>
      <c r="D4162" s="14" t="inlineStr">
        <is>
          <t>PYRIPROXYFEN 100 SINO-AGRI AMOSTRA 0,200L</t>
        </is>
      </c>
      <c r="E4162" s="13" t="inlineStr">
        <is>
          <t>Pulverização Agrícola Conforme Bula</t>
        </is>
      </c>
      <c r="F4162" s="13" t="inlineStr">
        <is>
          <t>Feijão</t>
        </is>
      </c>
      <c r="G4162" s="13" t="inlineStr">
        <is>
          <t>Cultura Autorizada na Bula</t>
        </is>
      </c>
      <c r="H4162" s="13" t="inlineStr">
        <is>
          <t>100 a 300 L/ha</t>
        </is>
      </c>
      <c r="I4162" s="13" t="inlineStr">
        <is>
          <t>20 a 40 L/ha</t>
        </is>
      </c>
      <c r="J4162" s="13" t="inlineStr">
        <is>
          <t>14 dias</t>
        </is>
      </c>
    </row>
    <row r="4163" ht="22" customHeight="1">
      <c r="A4163" s="6" t="inlineStr">
        <is>
          <t>CUL-4159</t>
        </is>
      </c>
      <c r="B4163" s="5" t="n">
        <v>823</v>
      </c>
      <c r="C4163" s="7" t="inlineStr">
        <is>
          <t>Nº 32224</t>
        </is>
      </c>
      <c r="D4163" s="8" t="inlineStr">
        <is>
          <t>PYRIPROXYFEN 100 SINO-AGRI AMOSTRA 0,200L</t>
        </is>
      </c>
      <c r="E4163" s="7" t="inlineStr">
        <is>
          <t>Pulverização Agrícola Conforme Bula</t>
        </is>
      </c>
      <c r="F4163" s="7" t="inlineStr">
        <is>
          <t>Citros</t>
        </is>
      </c>
      <c r="G4163" s="7" t="inlineStr">
        <is>
          <t>Cultura Autorizada na Bula</t>
        </is>
      </c>
      <c r="H4163" s="7" t="inlineStr">
        <is>
          <t>100 a 300 L/ha</t>
        </is>
      </c>
      <c r="I4163" s="7" t="inlineStr">
        <is>
          <t>20 a 40 L/ha</t>
        </is>
      </c>
      <c r="J4163" s="7" t="inlineStr">
        <is>
          <t>14 dias</t>
        </is>
      </c>
    </row>
    <row r="4164" ht="22" customHeight="1">
      <c r="A4164" s="12" t="inlineStr">
        <is>
          <t>CUL-4160</t>
        </is>
      </c>
      <c r="B4164" s="11" t="n">
        <v>823</v>
      </c>
      <c r="C4164" s="13" t="inlineStr">
        <is>
          <t>Nº 32224</t>
        </is>
      </c>
      <c r="D4164" s="14" t="inlineStr">
        <is>
          <t>PYRIPROXYFEN 100 SINO-AGRI AMOSTRA 0,200L</t>
        </is>
      </c>
      <c r="E4164" s="13" t="inlineStr">
        <is>
          <t>Pulverização Agrícola Conforme Bula</t>
        </is>
      </c>
      <c r="F4164" s="13" t="inlineStr">
        <is>
          <t>Melão</t>
        </is>
      </c>
      <c r="G4164" s="13" t="inlineStr">
        <is>
          <t>Cultura Autorizada na Bula</t>
        </is>
      </c>
      <c r="H4164" s="13" t="inlineStr">
        <is>
          <t>100 a 300 L/ha</t>
        </is>
      </c>
      <c r="I4164" s="13" t="inlineStr">
        <is>
          <t>20 a 40 L/ha</t>
        </is>
      </c>
      <c r="J4164" s="13" t="inlineStr">
        <is>
          <t>7 dias</t>
        </is>
      </c>
    </row>
    <row r="4165" ht="22" customHeight="1">
      <c r="A4165" s="6" t="inlineStr">
        <is>
          <t>CUL-4161</t>
        </is>
      </c>
      <c r="B4165" s="5" t="n">
        <v>823</v>
      </c>
      <c r="C4165" s="7" t="inlineStr">
        <is>
          <t>Nº 32224</t>
        </is>
      </c>
      <c r="D4165" s="8" t="inlineStr">
        <is>
          <t>PYRIPROXYFEN 100 SINO-AGRI AMOSTRA 0,200L</t>
        </is>
      </c>
      <c r="E4165" s="7" t="inlineStr">
        <is>
          <t>Pulverização Agrícola Conforme Bula</t>
        </is>
      </c>
      <c r="F4165" s="7" t="inlineStr">
        <is>
          <t>Tomate</t>
        </is>
      </c>
      <c r="G4165" s="7" t="inlineStr">
        <is>
          <t>Cultura Autorizada na Bula</t>
        </is>
      </c>
      <c r="H4165" s="7" t="inlineStr">
        <is>
          <t>100 a 300 L/ha</t>
        </is>
      </c>
      <c r="I4165" s="7" t="inlineStr">
        <is>
          <t>20 a 40 L/ha</t>
        </is>
      </c>
      <c r="J4165" s="7" t="inlineStr">
        <is>
          <t>7 dias</t>
        </is>
      </c>
    </row>
    <row r="4166" ht="22" customHeight="1">
      <c r="A4166" s="12" t="inlineStr">
        <is>
          <t>CUL-4162</t>
        </is>
      </c>
      <c r="B4166" s="11" t="n">
        <v>824</v>
      </c>
      <c r="C4166" s="13" t="inlineStr">
        <is>
          <t>SIPEAGRO (UF-XXXXX)</t>
        </is>
      </c>
      <c r="D4166" s="14" t="inlineStr">
        <is>
          <t>ULEXITA 10B GRANULADO (NaCaB5O9.8H2O) - PROBORO</t>
        </is>
      </c>
      <c r="E4166" s="13" t="inlineStr">
        <is>
          <t>Pulverização Agrícola Conforme Bula</t>
        </is>
      </c>
      <c r="F4166" s="13" t="inlineStr">
        <is>
          <t>Grandes Culturas, Perenes e Pastagens</t>
        </is>
      </c>
      <c r="G4166" s="13" t="inlineStr">
        <is>
          <t>Cultura Autorizada na Bula</t>
        </is>
      </c>
      <c r="H4166" s="13" t="inlineStr">
        <is>
          <t>100 a 300 L/ha</t>
        </is>
      </c>
      <c r="I4166" s="13" t="inlineStr">
        <is>
          <t>20 a 40 L/ha</t>
        </is>
      </c>
      <c r="J4166" s="13" t="inlineStr">
        <is>
          <t>Isento</t>
        </is>
      </c>
    </row>
    <row r="4167" ht="22" customHeight="1">
      <c r="A4167" s="6" t="inlineStr">
        <is>
          <t>CUL-4163</t>
        </is>
      </c>
      <c r="B4167" s="5" t="n">
        <v>825</v>
      </c>
      <c r="C4167" s="7" t="inlineStr">
        <is>
          <t>Nº 32322</t>
        </is>
      </c>
      <c r="D4167" s="8" t="inlineStr">
        <is>
          <t>JOYA BB</t>
        </is>
      </c>
      <c r="E4167" s="7" t="inlineStr">
        <is>
          <t>Pulverização Agrícola Conforme Bula</t>
        </is>
      </c>
      <c r="F4167" s="7" t="inlineStr">
        <is>
          <t>Soja (Pré-Plantio)</t>
        </is>
      </c>
      <c r="G4167" s="7" t="inlineStr">
        <is>
          <t>Cultura Autorizada na Bula</t>
        </is>
      </c>
      <c r="H4167" s="7" t="inlineStr">
        <is>
          <t>100 a 300 L/ha</t>
        </is>
      </c>
      <c r="I4167" s="7" t="inlineStr">
        <is>
          <t>20 a 40 L/ha</t>
        </is>
      </c>
      <c r="J4167" s="7" t="inlineStr">
        <is>
          <t>N/D</t>
        </is>
      </c>
    </row>
    <row r="4168" ht="22" customHeight="1">
      <c r="A4168" s="12" t="inlineStr">
        <is>
          <t>CUL-4164</t>
        </is>
      </c>
      <c r="B4168" s="11" t="n">
        <v>825</v>
      </c>
      <c r="C4168" s="13" t="inlineStr">
        <is>
          <t>Nº 32322</t>
        </is>
      </c>
      <c r="D4168" s="14" t="inlineStr">
        <is>
          <t>JOYA BB</t>
        </is>
      </c>
      <c r="E4168" s="13" t="inlineStr">
        <is>
          <t>Pulverização Agrícola Conforme Bula</t>
        </is>
      </c>
      <c r="F4168" s="13" t="inlineStr">
        <is>
          <t>Algodão</t>
        </is>
      </c>
      <c r="G4168" s="13" t="inlineStr">
        <is>
          <t>Cultura Autorizada na Bula</t>
        </is>
      </c>
      <c r="H4168" s="13" t="inlineStr">
        <is>
          <t>100 a 300 L/ha</t>
        </is>
      </c>
      <c r="I4168" s="13" t="inlineStr">
        <is>
          <t>20 a 40 L/ha</t>
        </is>
      </c>
      <c r="J4168" s="13" t="inlineStr">
        <is>
          <t>90 dias</t>
        </is>
      </c>
    </row>
    <row r="4169" ht="22" customHeight="1">
      <c r="A4169" s="6" t="inlineStr">
        <is>
          <t>CUL-4165</t>
        </is>
      </c>
      <c r="B4169" s="5" t="n">
        <v>825</v>
      </c>
      <c r="C4169" s="7" t="inlineStr">
        <is>
          <t>Nº 32322</t>
        </is>
      </c>
      <c r="D4169" s="8" t="inlineStr">
        <is>
          <t>JOYA BB</t>
        </is>
      </c>
      <c r="E4169" s="7" t="inlineStr">
        <is>
          <t>Pulverização Agrícola Conforme Bula</t>
        </is>
      </c>
      <c r="F4169" s="7" t="inlineStr">
        <is>
          <t>Cana-de-açúcar</t>
        </is>
      </c>
      <c r="G4169" s="7" t="inlineStr">
        <is>
          <t>Cultura Autorizada na Bula</t>
        </is>
      </c>
      <c r="H4169" s="7" t="inlineStr">
        <is>
          <t>100 a 300 L/ha</t>
        </is>
      </c>
      <c r="I4169" s="7" t="inlineStr">
        <is>
          <t>20 a 40 L/ha</t>
        </is>
      </c>
      <c r="J4169" s="7" t="inlineStr">
        <is>
          <t>85 dias</t>
        </is>
      </c>
    </row>
    <row r="4170" ht="22" customHeight="1">
      <c r="A4170" s="12" t="inlineStr">
        <is>
          <t>CUL-4166</t>
        </is>
      </c>
      <c r="B4170" s="11" t="n">
        <v>825</v>
      </c>
      <c r="C4170" s="13" t="inlineStr">
        <is>
          <t>Nº 32322</t>
        </is>
      </c>
      <c r="D4170" s="14" t="inlineStr">
        <is>
          <t>JOYA BB</t>
        </is>
      </c>
      <c r="E4170" s="13" t="inlineStr">
        <is>
          <t>Pulverização Agrícola Conforme Bula</t>
        </is>
      </c>
      <c r="F4170" s="13" t="inlineStr">
        <is>
          <t>Café</t>
        </is>
      </c>
      <c r="G4170" s="13" t="inlineStr">
        <is>
          <t>Cultura Autorizada na Bula</t>
        </is>
      </c>
      <c r="H4170" s="13" t="inlineStr">
        <is>
          <t>100 a 300 L/ha</t>
        </is>
      </c>
      <c r="I4170" s="13" t="inlineStr">
        <is>
          <t>20 a 40 L/ha</t>
        </is>
      </c>
      <c r="J4170" s="13" t="inlineStr">
        <is>
          <t>15 dias</t>
        </is>
      </c>
    </row>
    <row r="4171" ht="22" customHeight="1">
      <c r="A4171" s="6" t="inlineStr">
        <is>
          <t>CUL-4167</t>
        </is>
      </c>
      <c r="B4171" s="5" t="n">
        <v>825</v>
      </c>
      <c r="C4171" s="7" t="inlineStr">
        <is>
          <t>Nº 32322</t>
        </is>
      </c>
      <c r="D4171" s="8" t="inlineStr">
        <is>
          <t>JOYA BB</t>
        </is>
      </c>
      <c r="E4171" s="7" t="inlineStr">
        <is>
          <t>Pulverização Agrícola Conforme Bula</t>
        </is>
      </c>
      <c r="F4171" s="7" t="inlineStr">
        <is>
          <t>Citros</t>
        </is>
      </c>
      <c r="G4171" s="7" t="inlineStr">
        <is>
          <t>Cultura Autorizada na Bula</t>
        </is>
      </c>
      <c r="H4171" s="7" t="inlineStr">
        <is>
          <t>100 a 300 L/ha</t>
        </is>
      </c>
      <c r="I4171" s="7" t="inlineStr">
        <is>
          <t>20 a 40 L/ha</t>
        </is>
      </c>
      <c r="J4171" s="7" t="inlineStr">
        <is>
          <t>N/D</t>
        </is>
      </c>
    </row>
    <row r="4172" ht="22" customHeight="1">
      <c r="A4172" s="12" t="inlineStr">
        <is>
          <t>CUL-4168</t>
        </is>
      </c>
      <c r="B4172" s="11" t="n">
        <v>825</v>
      </c>
      <c r="C4172" s="13" t="inlineStr">
        <is>
          <t>Nº 32322</t>
        </is>
      </c>
      <c r="D4172" s="14" t="inlineStr">
        <is>
          <t>JOYA BB</t>
        </is>
      </c>
      <c r="E4172" s="13" t="inlineStr">
        <is>
          <t>Pulverização Agrícola Conforme Bula</t>
        </is>
      </c>
      <c r="F4172" s="13" t="inlineStr">
        <is>
          <t>Feijão</t>
        </is>
      </c>
      <c r="G4172" s="13" t="inlineStr">
        <is>
          <t>Cultura Autorizada na Bula</t>
        </is>
      </c>
      <c r="H4172" s="13" t="inlineStr">
        <is>
          <t>100 a 300 L/ha</t>
        </is>
      </c>
      <c r="I4172" s="13" t="inlineStr">
        <is>
          <t>20 a 40 L/ha</t>
        </is>
      </c>
      <c r="J4172" s="13" t="inlineStr">
        <is>
          <t>N/D</t>
        </is>
      </c>
    </row>
    <row r="4173" ht="22" customHeight="1">
      <c r="A4173" s="6" t="inlineStr">
        <is>
          <t>CUL-4169</t>
        </is>
      </c>
      <c r="B4173" s="5" t="n">
        <v>826</v>
      </c>
      <c r="C4173" s="7" t="inlineStr">
        <is>
          <t>Nº 40024</t>
        </is>
      </c>
      <c r="D4173" s="8" t="inlineStr">
        <is>
          <t>KROMSTAR</t>
        </is>
      </c>
      <c r="E4173" s="7" t="inlineStr">
        <is>
          <t>Pulverização Agrícola Conforme Bula</t>
        </is>
      </c>
      <c r="F4173" s="7" t="inlineStr">
        <is>
          <t>Soja</t>
        </is>
      </c>
      <c r="G4173" s="7" t="inlineStr">
        <is>
          <t>Cultura Autorizada na Bula</t>
        </is>
      </c>
      <c r="H4173" s="7" t="inlineStr">
        <is>
          <t>100 a 300 L/ha</t>
        </is>
      </c>
      <c r="I4173" s="7" t="inlineStr">
        <is>
          <t>20 a 40 L/ha</t>
        </is>
      </c>
      <c r="J4173" s="7" t="inlineStr">
        <is>
          <t>30 dias</t>
        </is>
      </c>
    </row>
    <row r="4174" ht="22" customHeight="1">
      <c r="A4174" s="12" t="inlineStr">
        <is>
          <t>CUL-4170</t>
        </is>
      </c>
      <c r="B4174" s="11" t="n">
        <v>826</v>
      </c>
      <c r="C4174" s="13" t="inlineStr">
        <is>
          <t>Nº 40024</t>
        </is>
      </c>
      <c r="D4174" s="14" t="inlineStr">
        <is>
          <t>KROMSTAR</t>
        </is>
      </c>
      <c r="E4174" s="13" t="inlineStr">
        <is>
          <t>Pulverização Agrícola Conforme Bula</t>
        </is>
      </c>
      <c r="F4174" s="13" t="inlineStr">
        <is>
          <t>Milho</t>
        </is>
      </c>
      <c r="G4174" s="13" t="inlineStr">
        <is>
          <t>Cultura Autorizada na Bula</t>
        </is>
      </c>
      <c r="H4174" s="13" t="inlineStr">
        <is>
          <t>100 a 300 L/ha</t>
        </is>
      </c>
      <c r="I4174" s="13" t="inlineStr">
        <is>
          <t>20 a 40 L/ha</t>
        </is>
      </c>
      <c r="J4174" s="13" t="inlineStr">
        <is>
          <t>30 dias</t>
        </is>
      </c>
    </row>
    <row r="4175" ht="22" customHeight="1">
      <c r="A4175" s="6" t="inlineStr">
        <is>
          <t>CUL-4171</t>
        </is>
      </c>
      <c r="B4175" s="5" t="n">
        <v>826</v>
      </c>
      <c r="C4175" s="7" t="inlineStr">
        <is>
          <t>Nº 40024</t>
        </is>
      </c>
      <c r="D4175" s="8" t="inlineStr">
        <is>
          <t>KROMSTAR</t>
        </is>
      </c>
      <c r="E4175" s="7" t="inlineStr">
        <is>
          <t>Pulverização Agrícola Conforme Bula</t>
        </is>
      </c>
      <c r="F4175" s="7" t="inlineStr">
        <is>
          <t>Algodão</t>
        </is>
      </c>
      <c r="G4175" s="7" t="inlineStr">
        <is>
          <t>Cultura Autorizada na Bula</t>
        </is>
      </c>
      <c r="H4175" s="7" t="inlineStr">
        <is>
          <t>100 a 300 L/ha</t>
        </is>
      </c>
      <c r="I4175" s="7" t="inlineStr">
        <is>
          <t>20 a 40 L/ha</t>
        </is>
      </c>
      <c r="J4175" s="7" t="inlineStr">
        <is>
          <t>30 dias</t>
        </is>
      </c>
    </row>
    <row r="4176" ht="22" customHeight="1">
      <c r="A4176" s="12" t="inlineStr">
        <is>
          <t>CUL-4172</t>
        </is>
      </c>
      <c r="B4176" s="11" t="n">
        <v>826</v>
      </c>
      <c r="C4176" s="13" t="inlineStr">
        <is>
          <t>Nº 40024</t>
        </is>
      </c>
      <c r="D4176" s="14" t="inlineStr">
        <is>
          <t>KROMSTAR</t>
        </is>
      </c>
      <c r="E4176" s="13" t="inlineStr">
        <is>
          <t>Pulverização Agrícola Conforme Bula</t>
        </is>
      </c>
      <c r="F4176" s="13" t="inlineStr">
        <is>
          <t>Trigo</t>
        </is>
      </c>
      <c r="G4176" s="13" t="inlineStr">
        <is>
          <t>Cultura Autorizada na Bula</t>
        </is>
      </c>
      <c r="H4176" s="13" t="inlineStr">
        <is>
          <t>100 a 300 L/ha</t>
        </is>
      </c>
      <c r="I4176" s="13" t="inlineStr">
        <is>
          <t>20 a 40 L/ha</t>
        </is>
      </c>
      <c r="J4176" s="13" t="inlineStr">
        <is>
          <t>30 dias</t>
        </is>
      </c>
    </row>
    <row r="4177" ht="22" customHeight="1">
      <c r="A4177" s="6" t="inlineStr">
        <is>
          <t>CUL-4173</t>
        </is>
      </c>
      <c r="B4177" s="5" t="n">
        <v>826</v>
      </c>
      <c r="C4177" s="7" t="inlineStr">
        <is>
          <t>Nº 40024</t>
        </is>
      </c>
      <c r="D4177" s="8" t="inlineStr">
        <is>
          <t>KROMSTAR</t>
        </is>
      </c>
      <c r="E4177" s="7" t="inlineStr">
        <is>
          <t>Pulverização Agrícola Conforme Bula</t>
        </is>
      </c>
      <c r="F4177" s="7" t="inlineStr">
        <is>
          <t>Feijão</t>
        </is>
      </c>
      <c r="G4177" s="7" t="inlineStr">
        <is>
          <t>Cultura Autorizada na Bula</t>
        </is>
      </c>
      <c r="H4177" s="7" t="inlineStr">
        <is>
          <t>100 a 300 L/ha</t>
        </is>
      </c>
      <c r="I4177" s="7" t="inlineStr">
        <is>
          <t>20 a 40 L/ha</t>
        </is>
      </c>
      <c r="J4177" s="7" t="inlineStr">
        <is>
          <t>14 dias</t>
        </is>
      </c>
    </row>
    <row r="4178" ht="22" customHeight="1">
      <c r="A4178" s="12" t="inlineStr">
        <is>
          <t>CUL-4174</t>
        </is>
      </c>
      <c r="B4178" s="11" t="n">
        <v>827</v>
      </c>
      <c r="C4178" s="13" t="inlineStr">
        <is>
          <t>Nº 22225</t>
        </is>
      </c>
      <c r="D4178" s="14" t="inlineStr">
        <is>
          <t>KILLIGAN</t>
        </is>
      </c>
      <c r="E4178" s="13" t="inlineStr">
        <is>
          <t>Pulverização Agrícola Conforme Bula</t>
        </is>
      </c>
      <c r="F4178" s="13" t="inlineStr">
        <is>
          <t>Soja</t>
        </is>
      </c>
      <c r="G4178" s="13" t="inlineStr">
        <is>
          <t>Cultura Autorizada na Bula</t>
        </is>
      </c>
      <c r="H4178" s="13" t="inlineStr">
        <is>
          <t>100 a 300 L/ha</t>
        </is>
      </c>
      <c r="I4178" s="13" t="inlineStr">
        <is>
          <t>20 a 40 L/ha</t>
        </is>
      </c>
      <c r="J4178" s="13" t="inlineStr">
        <is>
          <t>14 dias</t>
        </is>
      </c>
    </row>
    <row r="4179" ht="22" customHeight="1">
      <c r="A4179" s="6" t="inlineStr">
        <is>
          <t>CUL-4175</t>
        </is>
      </c>
      <c r="B4179" s="5" t="n">
        <v>827</v>
      </c>
      <c r="C4179" s="7" t="inlineStr">
        <is>
          <t>Nº 22225</t>
        </is>
      </c>
      <c r="D4179" s="8" t="inlineStr">
        <is>
          <t>KILLIGAN</t>
        </is>
      </c>
      <c r="E4179" s="7" t="inlineStr">
        <is>
          <t>Pulverização Agrícola Conforme Bula</t>
        </is>
      </c>
      <c r="F4179" s="7" t="inlineStr">
        <is>
          <t>Milho</t>
        </is>
      </c>
      <c r="G4179" s="7" t="inlineStr">
        <is>
          <t>Cultura Autorizada na Bula</t>
        </is>
      </c>
      <c r="H4179" s="7" t="inlineStr">
        <is>
          <t>100 a 300 L/ha</t>
        </is>
      </c>
      <c r="I4179" s="7" t="inlineStr">
        <is>
          <t>20 a 40 L/ha</t>
        </is>
      </c>
      <c r="J4179" s="7" t="inlineStr">
        <is>
          <t>14 dias</t>
        </is>
      </c>
    </row>
    <row r="4180" ht="22" customHeight="1">
      <c r="A4180" s="12" t="inlineStr">
        <is>
          <t>CUL-4176</t>
        </is>
      </c>
      <c r="B4180" s="11" t="n">
        <v>827</v>
      </c>
      <c r="C4180" s="13" t="inlineStr">
        <is>
          <t>Nº 22225</t>
        </is>
      </c>
      <c r="D4180" s="14" t="inlineStr">
        <is>
          <t>KILLIGAN</t>
        </is>
      </c>
      <c r="E4180" s="13" t="inlineStr">
        <is>
          <t>Pulverização Agrícola Conforme Bula</t>
        </is>
      </c>
      <c r="F4180" s="13" t="inlineStr">
        <is>
          <t>Algodão</t>
        </is>
      </c>
      <c r="G4180" s="13" t="inlineStr">
        <is>
          <t>Cultura Autorizada na Bula</t>
        </is>
      </c>
      <c r="H4180" s="13" t="inlineStr">
        <is>
          <t>100 a 300 L/ha</t>
        </is>
      </c>
      <c r="I4180" s="13" t="inlineStr">
        <is>
          <t>20 a 40 L/ha</t>
        </is>
      </c>
      <c r="J4180" s="13" t="inlineStr">
        <is>
          <t>21 dias</t>
        </is>
      </c>
    </row>
    <row r="4181" ht="22" customHeight="1">
      <c r="A4181" s="6" t="inlineStr">
        <is>
          <t>CUL-4177</t>
        </is>
      </c>
      <c r="B4181" s="5" t="n">
        <v>827</v>
      </c>
      <c r="C4181" s="7" t="inlineStr">
        <is>
          <t>Nº 22225</t>
        </is>
      </c>
      <c r="D4181" s="8" t="inlineStr">
        <is>
          <t>KILLIGAN</t>
        </is>
      </c>
      <c r="E4181" s="7" t="inlineStr">
        <is>
          <t>Pulverização Agrícola Conforme Bula</t>
        </is>
      </c>
      <c r="F4181" s="7" t="inlineStr">
        <is>
          <t>Feijão</t>
        </is>
      </c>
      <c r="G4181" s="7" t="inlineStr">
        <is>
          <t>Cultura Autorizada na Bula</t>
        </is>
      </c>
      <c r="H4181" s="7" t="inlineStr">
        <is>
          <t>100 a 300 L/ha</t>
        </is>
      </c>
      <c r="I4181" s="7" t="inlineStr">
        <is>
          <t>20 a 40 L/ha</t>
        </is>
      </c>
      <c r="J4181" s="7" t="inlineStr">
        <is>
          <t>14 dias</t>
        </is>
      </c>
    </row>
    <row r="4182" ht="22" customHeight="1">
      <c r="A4182" s="12" t="inlineStr">
        <is>
          <t>CUL-4178</t>
        </is>
      </c>
      <c r="B4182" s="11" t="n">
        <v>827</v>
      </c>
      <c r="C4182" s="13" t="inlineStr">
        <is>
          <t>Nº 22225</t>
        </is>
      </c>
      <c r="D4182" s="14" t="inlineStr">
        <is>
          <t>KILLIGAN</t>
        </is>
      </c>
      <c r="E4182" s="13" t="inlineStr">
        <is>
          <t>Pulverização Agrícola Conforme Bula</t>
        </is>
      </c>
      <c r="F4182" s="13" t="inlineStr">
        <is>
          <t>Batata</t>
        </is>
      </c>
      <c r="G4182" s="13" t="inlineStr">
        <is>
          <t>Cultura Autorizada na Bula</t>
        </is>
      </c>
      <c r="H4182" s="13" t="inlineStr">
        <is>
          <t>100 a 300 L/ha</t>
        </is>
      </c>
      <c r="I4182" s="13" t="inlineStr">
        <is>
          <t>20 a 40 L/ha</t>
        </is>
      </c>
      <c r="J4182" s="13" t="inlineStr">
        <is>
          <t>7 dias</t>
        </is>
      </c>
    </row>
    <row r="4183" ht="22" customHeight="1">
      <c r="A4183" s="6" t="inlineStr">
        <is>
          <t>CUL-4179</t>
        </is>
      </c>
      <c r="B4183" s="5" t="n">
        <v>827</v>
      </c>
      <c r="C4183" s="7" t="inlineStr">
        <is>
          <t>Nº 22225</t>
        </is>
      </c>
      <c r="D4183" s="8" t="inlineStr">
        <is>
          <t>KILLIGAN</t>
        </is>
      </c>
      <c r="E4183" s="7" t="inlineStr">
        <is>
          <t>Pulverização Agrícola Conforme Bula</t>
        </is>
      </c>
      <c r="F4183" s="7" t="inlineStr">
        <is>
          <t>Citros</t>
        </is>
      </c>
      <c r="G4183" s="7" t="inlineStr">
        <is>
          <t>Cultura Autorizada na Bula</t>
        </is>
      </c>
      <c r="H4183" s="7" t="inlineStr">
        <is>
          <t>100 a 300 L/ha</t>
        </is>
      </c>
      <c r="I4183" s="7" t="inlineStr">
        <is>
          <t>20 a 40 L/ha</t>
        </is>
      </c>
      <c r="J4183" s="7" t="inlineStr">
        <is>
          <t>14 dias</t>
        </is>
      </c>
    </row>
    <row r="4184" ht="22" customHeight="1">
      <c r="A4184" s="12" t="inlineStr">
        <is>
          <t>CUL-4180</t>
        </is>
      </c>
      <c r="B4184" s="11" t="n">
        <v>827</v>
      </c>
      <c r="C4184" s="13" t="inlineStr">
        <is>
          <t>Nº 22225</t>
        </is>
      </c>
      <c r="D4184" s="14" t="inlineStr">
        <is>
          <t>KILLIGAN</t>
        </is>
      </c>
      <c r="E4184" s="13" t="inlineStr">
        <is>
          <t>Pulverização Agrícola Conforme Bula</t>
        </is>
      </c>
      <c r="F4184" s="13" t="inlineStr">
        <is>
          <t>Tomate</t>
        </is>
      </c>
      <c r="G4184" s="13" t="inlineStr">
        <is>
          <t>Cultura Autorizada na Bula</t>
        </is>
      </c>
      <c r="H4184" s="13" t="inlineStr">
        <is>
          <t>100 a 300 L/ha</t>
        </is>
      </c>
      <c r="I4184" s="13" t="inlineStr">
        <is>
          <t>20 a 40 L/ha</t>
        </is>
      </c>
      <c r="J4184" s="13" t="inlineStr">
        <is>
          <t>7 dias</t>
        </is>
      </c>
    </row>
    <row r="4185" ht="22" customHeight="1">
      <c r="A4185" s="6" t="inlineStr">
        <is>
          <t>CUL-4181</t>
        </is>
      </c>
      <c r="B4185" s="5" t="n">
        <v>828</v>
      </c>
      <c r="C4185" s="7" t="inlineStr">
        <is>
          <t>Nº 22824</t>
        </is>
      </c>
      <c r="D4185" s="8" t="inlineStr">
        <is>
          <t>FLAIL</t>
        </is>
      </c>
      <c r="E4185" s="7" t="inlineStr">
        <is>
          <t>Pulverização Agrícola Conforme Bula</t>
        </is>
      </c>
      <c r="F4185" s="7" t="inlineStr">
        <is>
          <t>Soja (Pré-Plantio)</t>
        </is>
      </c>
      <c r="G4185" s="7" t="inlineStr">
        <is>
          <t>Cultura Autorizada na Bula</t>
        </is>
      </c>
      <c r="H4185" s="7" t="inlineStr">
        <is>
          <t>100 a 300 L/ha</t>
        </is>
      </c>
      <c r="I4185" s="7" t="inlineStr">
        <is>
          <t>20 a 40 L/ha</t>
        </is>
      </c>
      <c r="J4185" s="7" t="inlineStr">
        <is>
          <t>N/D</t>
        </is>
      </c>
    </row>
    <row r="4186" ht="22" customHeight="1">
      <c r="A4186" s="12" t="inlineStr">
        <is>
          <t>CUL-4182</t>
        </is>
      </c>
      <c r="B4186" s="11" t="n">
        <v>828</v>
      </c>
      <c r="C4186" s="13" t="inlineStr">
        <is>
          <t>Nº 22824</t>
        </is>
      </c>
      <c r="D4186" s="14" t="inlineStr">
        <is>
          <t>FLAIL</t>
        </is>
      </c>
      <c r="E4186" s="13" t="inlineStr">
        <is>
          <t>Pulverização Agrícola Conforme Bula</t>
        </is>
      </c>
      <c r="F4186" s="13" t="inlineStr">
        <is>
          <t>Algodão</t>
        </is>
      </c>
      <c r="G4186" s="13" t="inlineStr">
        <is>
          <t>Cultura Autorizada na Bula</t>
        </is>
      </c>
      <c r="H4186" s="13" t="inlineStr">
        <is>
          <t>100 a 300 L/ha</t>
        </is>
      </c>
      <c r="I4186" s="13" t="inlineStr">
        <is>
          <t>20 a 40 L/ha</t>
        </is>
      </c>
      <c r="J4186" s="13" t="inlineStr">
        <is>
          <t>90 dias</t>
        </is>
      </c>
    </row>
    <row r="4187" ht="22" customHeight="1">
      <c r="A4187" s="6" t="inlineStr">
        <is>
          <t>CUL-4183</t>
        </is>
      </c>
      <c r="B4187" s="5" t="n">
        <v>828</v>
      </c>
      <c r="C4187" s="7" t="inlineStr">
        <is>
          <t>Nº 22824</t>
        </is>
      </c>
      <c r="D4187" s="8" t="inlineStr">
        <is>
          <t>FLAIL</t>
        </is>
      </c>
      <c r="E4187" s="7" t="inlineStr">
        <is>
          <t>Pulverização Agrícola Conforme Bula</t>
        </is>
      </c>
      <c r="F4187" s="7" t="inlineStr">
        <is>
          <t>Cana-de-açúcar</t>
        </is>
      </c>
      <c r="G4187" s="7" t="inlineStr">
        <is>
          <t>Cultura Autorizada na Bula</t>
        </is>
      </c>
      <c r="H4187" s="7" t="inlineStr">
        <is>
          <t>100 a 300 L/ha</t>
        </is>
      </c>
      <c r="I4187" s="7" t="inlineStr">
        <is>
          <t>20 a 40 L/ha</t>
        </is>
      </c>
      <c r="J4187" s="7" t="inlineStr">
        <is>
          <t>85 dias</t>
        </is>
      </c>
    </row>
    <row r="4188" ht="22" customHeight="1">
      <c r="A4188" s="12" t="inlineStr">
        <is>
          <t>CUL-4184</t>
        </is>
      </c>
      <c r="B4188" s="11" t="n">
        <v>828</v>
      </c>
      <c r="C4188" s="13" t="inlineStr">
        <is>
          <t>Nº 22824</t>
        </is>
      </c>
      <c r="D4188" s="14" t="inlineStr">
        <is>
          <t>FLAIL</t>
        </is>
      </c>
      <c r="E4188" s="13" t="inlineStr">
        <is>
          <t>Pulverização Agrícola Conforme Bula</t>
        </is>
      </c>
      <c r="F4188" s="13" t="inlineStr">
        <is>
          <t>Café</t>
        </is>
      </c>
      <c r="G4188" s="13" t="inlineStr">
        <is>
          <t>Cultura Autorizada na Bula</t>
        </is>
      </c>
      <c r="H4188" s="13" t="inlineStr">
        <is>
          <t>100 a 300 L/ha</t>
        </is>
      </c>
      <c r="I4188" s="13" t="inlineStr">
        <is>
          <t>20 a 40 L/ha</t>
        </is>
      </c>
      <c r="J4188" s="13" t="inlineStr">
        <is>
          <t>15 dias</t>
        </is>
      </c>
    </row>
    <row r="4189" ht="22" customHeight="1">
      <c r="A4189" s="6" t="inlineStr">
        <is>
          <t>CUL-4185</t>
        </is>
      </c>
      <c r="B4189" s="5" t="n">
        <v>828</v>
      </c>
      <c r="C4189" s="7" t="inlineStr">
        <is>
          <t>Nº 22824</t>
        </is>
      </c>
      <c r="D4189" s="8" t="inlineStr">
        <is>
          <t>FLAIL</t>
        </is>
      </c>
      <c r="E4189" s="7" t="inlineStr">
        <is>
          <t>Pulverização Agrícola Conforme Bula</t>
        </is>
      </c>
      <c r="F4189" s="7" t="inlineStr">
        <is>
          <t>Citros</t>
        </is>
      </c>
      <c r="G4189" s="7" t="inlineStr">
        <is>
          <t>Cultura Autorizada na Bula</t>
        </is>
      </c>
      <c r="H4189" s="7" t="inlineStr">
        <is>
          <t>100 a 300 L/ha</t>
        </is>
      </c>
      <c r="I4189" s="7" t="inlineStr">
        <is>
          <t>20 a 40 L/ha</t>
        </is>
      </c>
      <c r="J4189" s="7" t="inlineStr">
        <is>
          <t>N/D</t>
        </is>
      </c>
    </row>
    <row r="4190" ht="22" customHeight="1">
      <c r="A4190" s="12" t="inlineStr">
        <is>
          <t>CUL-4186</t>
        </is>
      </c>
      <c r="B4190" s="11" t="n">
        <v>828</v>
      </c>
      <c r="C4190" s="13" t="inlineStr">
        <is>
          <t>Nº 22824</t>
        </is>
      </c>
      <c r="D4190" s="14" t="inlineStr">
        <is>
          <t>FLAIL</t>
        </is>
      </c>
      <c r="E4190" s="13" t="inlineStr">
        <is>
          <t>Pulverização Agrícola Conforme Bula</t>
        </is>
      </c>
      <c r="F4190" s="13" t="inlineStr">
        <is>
          <t>Feijão</t>
        </is>
      </c>
      <c r="G4190" s="13" t="inlineStr">
        <is>
          <t>Cultura Autorizada na Bula</t>
        </is>
      </c>
      <c r="H4190" s="13" t="inlineStr">
        <is>
          <t>100 a 300 L/ha</t>
        </is>
      </c>
      <c r="I4190" s="13" t="inlineStr">
        <is>
          <t>20 a 40 L/ha</t>
        </is>
      </c>
      <c r="J4190" s="13" t="inlineStr">
        <is>
          <t>N/D</t>
        </is>
      </c>
    </row>
    <row r="4191" ht="22" customHeight="1">
      <c r="A4191" s="6" t="inlineStr">
        <is>
          <t>CUL-4187</t>
        </is>
      </c>
      <c r="B4191" s="5" t="n">
        <v>829</v>
      </c>
      <c r="C4191" s="7" t="inlineStr">
        <is>
          <t>Nº 4623</t>
        </is>
      </c>
      <c r="D4191" s="8" t="inlineStr">
        <is>
          <t>WEXITE</t>
        </is>
      </c>
      <c r="E4191" s="7" t="inlineStr">
        <is>
          <t>Pulverização Agrícola Conforme Bula</t>
        </is>
      </c>
      <c r="F4191" s="7" t="inlineStr">
        <is>
          <t>Soja</t>
        </is>
      </c>
      <c r="G4191" s="7" t="inlineStr">
        <is>
          <t>Cultura Autorizada na Bula</t>
        </is>
      </c>
      <c r="H4191" s="7" t="inlineStr">
        <is>
          <t>100 a 300 L/ha</t>
        </is>
      </c>
      <c r="I4191" s="7" t="inlineStr">
        <is>
          <t>20 a 40 L/ha</t>
        </is>
      </c>
      <c r="J4191" s="7" t="inlineStr">
        <is>
          <t>21 dias</t>
        </is>
      </c>
    </row>
    <row r="4192" ht="22" customHeight="1">
      <c r="A4192" s="12" t="inlineStr">
        <is>
          <t>CUL-4188</t>
        </is>
      </c>
      <c r="B4192" s="11" t="n">
        <v>829</v>
      </c>
      <c r="C4192" s="13" t="inlineStr">
        <is>
          <t>Nº 4623</t>
        </is>
      </c>
      <c r="D4192" s="14" t="inlineStr">
        <is>
          <t>WEXITE</t>
        </is>
      </c>
      <c r="E4192" s="13" t="inlineStr">
        <is>
          <t>Pulverização Agrícola Conforme Bula</t>
        </is>
      </c>
      <c r="F4192" s="13" t="inlineStr">
        <is>
          <t>Algodão</t>
        </is>
      </c>
      <c r="G4192" s="13" t="inlineStr">
        <is>
          <t>Cultura Autorizada na Bula</t>
        </is>
      </c>
      <c r="H4192" s="13" t="inlineStr">
        <is>
          <t>100 a 300 L/ha</t>
        </is>
      </c>
      <c r="I4192" s="13" t="inlineStr">
        <is>
          <t>20 a 40 L/ha</t>
        </is>
      </c>
      <c r="J4192" s="13" t="inlineStr">
        <is>
          <t>21 dias</t>
        </is>
      </c>
    </row>
    <row r="4193" ht="22" customHeight="1">
      <c r="A4193" s="6" t="inlineStr">
        <is>
          <t>CUL-4189</t>
        </is>
      </c>
      <c r="B4193" s="5" t="n">
        <v>829</v>
      </c>
      <c r="C4193" s="7" t="inlineStr">
        <is>
          <t>Nº 4623</t>
        </is>
      </c>
      <c r="D4193" s="8" t="inlineStr">
        <is>
          <t>WEXITE</t>
        </is>
      </c>
      <c r="E4193" s="7" t="inlineStr">
        <is>
          <t>Pulverização Agrícola Conforme Bula</t>
        </is>
      </c>
      <c r="F4193" s="7" t="inlineStr">
        <is>
          <t>Feijão</t>
        </is>
      </c>
      <c r="G4193" s="7" t="inlineStr">
        <is>
          <t>Cultura Autorizada na Bula</t>
        </is>
      </c>
      <c r="H4193" s="7" t="inlineStr">
        <is>
          <t>100 a 300 L/ha</t>
        </is>
      </c>
      <c r="I4193" s="7" t="inlineStr">
        <is>
          <t>20 a 40 L/ha</t>
        </is>
      </c>
      <c r="J4193" s="7" t="inlineStr">
        <is>
          <t>14 dias</t>
        </is>
      </c>
    </row>
    <row r="4194" ht="22" customHeight="1">
      <c r="A4194" s="12" t="inlineStr">
        <is>
          <t>CUL-4190</t>
        </is>
      </c>
      <c r="B4194" s="11" t="n">
        <v>829</v>
      </c>
      <c r="C4194" s="13" t="inlineStr">
        <is>
          <t>Nº 4623</t>
        </is>
      </c>
      <c r="D4194" s="14" t="inlineStr">
        <is>
          <t>WEXITE</t>
        </is>
      </c>
      <c r="E4194" s="13" t="inlineStr">
        <is>
          <t>Pulverização Agrícola Conforme Bula</t>
        </is>
      </c>
      <c r="F4194" s="13" t="inlineStr">
        <is>
          <t>Milho</t>
        </is>
      </c>
      <c r="G4194" s="13" t="inlineStr">
        <is>
          <t>Cultura Autorizada na Bula</t>
        </is>
      </c>
      <c r="H4194" s="13" t="inlineStr">
        <is>
          <t>100 a 300 L/ha</t>
        </is>
      </c>
      <c r="I4194" s="13" t="inlineStr">
        <is>
          <t>20 a 40 L/ha</t>
        </is>
      </c>
      <c r="J4194" s="13" t="inlineStr">
        <is>
          <t>21 dias</t>
        </is>
      </c>
    </row>
    <row r="4195" ht="22" customHeight="1">
      <c r="A4195" s="6" t="inlineStr">
        <is>
          <t>CUL-4191</t>
        </is>
      </c>
      <c r="B4195" s="5" t="n">
        <v>830</v>
      </c>
      <c r="C4195" s="7" t="inlineStr">
        <is>
          <t>SIPEAGRO (UF-XXXXX)</t>
        </is>
      </c>
      <c r="D4195" s="8" t="inlineStr">
        <is>
          <t>ENXOFRE BENTONITA - BG 1.097 KG - IMPACTPVA</t>
        </is>
      </c>
      <c r="E4195" s="7" t="inlineStr">
        <is>
          <t>Pulverização Agrícola Conforme Bula</t>
        </is>
      </c>
      <c r="F4195" s="7" t="inlineStr">
        <is>
          <t>Grandes Culturas, Perenes e Pastagens</t>
        </is>
      </c>
      <c r="G4195" s="7" t="inlineStr">
        <is>
          <t>Cultura Autorizada na Bula</t>
        </is>
      </c>
      <c r="H4195" s="7" t="inlineStr">
        <is>
          <t>100 a 300 L/ha</t>
        </is>
      </c>
      <c r="I4195" s="7" t="inlineStr">
        <is>
          <t>20 a 40 L/ha</t>
        </is>
      </c>
      <c r="J4195" s="7" t="inlineStr">
        <is>
          <t>Isento</t>
        </is>
      </c>
    </row>
    <row r="4196" ht="22" customHeight="1">
      <c r="A4196" s="12" t="inlineStr">
        <is>
          <t>CUL-4192</t>
        </is>
      </c>
      <c r="B4196" s="11" t="n">
        <v>831</v>
      </c>
      <c r="C4196" s="13" t="inlineStr">
        <is>
          <t>Nº 47125</t>
        </is>
      </c>
      <c r="D4196" s="14" t="inlineStr">
        <is>
          <t>CHLORFENAPYR</t>
        </is>
      </c>
      <c r="E4196" s="13" t="inlineStr">
        <is>
          <t>Pulverização Agrícola Conforme Bula</t>
        </is>
      </c>
      <c r="F4196" s="13" t="inlineStr">
        <is>
          <t>Soja</t>
        </is>
      </c>
      <c r="G4196" s="13" t="inlineStr">
        <is>
          <t>Cultura Autorizada na Bula</t>
        </is>
      </c>
      <c r="H4196" s="13" t="inlineStr">
        <is>
          <t>100 a 300 L/ha</t>
        </is>
      </c>
      <c r="I4196" s="13" t="inlineStr">
        <is>
          <t>20 a 40 L/ha</t>
        </is>
      </c>
      <c r="J4196" s="13" t="inlineStr">
        <is>
          <t>14 dias</t>
        </is>
      </c>
    </row>
    <row r="4197" ht="22" customHeight="1">
      <c r="A4197" s="6" t="inlineStr">
        <is>
          <t>CUL-4193</t>
        </is>
      </c>
      <c r="B4197" s="5" t="n">
        <v>831</v>
      </c>
      <c r="C4197" s="7" t="inlineStr">
        <is>
          <t>Nº 47125</t>
        </is>
      </c>
      <c r="D4197" s="8" t="inlineStr">
        <is>
          <t>CHLORFENAPYR</t>
        </is>
      </c>
      <c r="E4197" s="7" t="inlineStr">
        <is>
          <t>Pulverização Agrícola Conforme Bula</t>
        </is>
      </c>
      <c r="F4197" s="7" t="inlineStr">
        <is>
          <t>Milho</t>
        </is>
      </c>
      <c r="G4197" s="7" t="inlineStr">
        <is>
          <t>Cultura Autorizada na Bula</t>
        </is>
      </c>
      <c r="H4197" s="7" t="inlineStr">
        <is>
          <t>100 a 300 L/ha</t>
        </is>
      </c>
      <c r="I4197" s="7" t="inlineStr">
        <is>
          <t>20 a 40 L/ha</t>
        </is>
      </c>
      <c r="J4197" s="7" t="inlineStr">
        <is>
          <t>14 dias</t>
        </is>
      </c>
    </row>
    <row r="4198" ht="22" customHeight="1">
      <c r="A4198" s="12" t="inlineStr">
        <is>
          <t>CUL-4194</t>
        </is>
      </c>
      <c r="B4198" s="11" t="n">
        <v>831</v>
      </c>
      <c r="C4198" s="13" t="inlineStr">
        <is>
          <t>Nº 47125</t>
        </is>
      </c>
      <c r="D4198" s="14" t="inlineStr">
        <is>
          <t>CHLORFENAPYR</t>
        </is>
      </c>
      <c r="E4198" s="13" t="inlineStr">
        <is>
          <t>Pulverização Agrícola Conforme Bula</t>
        </is>
      </c>
      <c r="F4198" s="13" t="inlineStr">
        <is>
          <t>Algodão</t>
        </is>
      </c>
      <c r="G4198" s="13" t="inlineStr">
        <is>
          <t>Cultura Autorizada na Bula</t>
        </is>
      </c>
      <c r="H4198" s="13" t="inlineStr">
        <is>
          <t>100 a 300 L/ha</t>
        </is>
      </c>
      <c r="I4198" s="13" t="inlineStr">
        <is>
          <t>20 a 40 L/ha</t>
        </is>
      </c>
      <c r="J4198" s="13" t="inlineStr">
        <is>
          <t>21 dias</t>
        </is>
      </c>
    </row>
    <row r="4199" ht="22" customHeight="1">
      <c r="A4199" s="6" t="inlineStr">
        <is>
          <t>CUL-4195</t>
        </is>
      </c>
      <c r="B4199" s="5" t="n">
        <v>831</v>
      </c>
      <c r="C4199" s="7" t="inlineStr">
        <is>
          <t>Nº 47125</t>
        </is>
      </c>
      <c r="D4199" s="8" t="inlineStr">
        <is>
          <t>CHLORFENAPYR</t>
        </is>
      </c>
      <c r="E4199" s="7" t="inlineStr">
        <is>
          <t>Pulverização Agrícola Conforme Bula</t>
        </is>
      </c>
      <c r="F4199" s="7" t="inlineStr">
        <is>
          <t>Feijão</t>
        </is>
      </c>
      <c r="G4199" s="7" t="inlineStr">
        <is>
          <t>Cultura Autorizada na Bula</t>
        </is>
      </c>
      <c r="H4199" s="7" t="inlineStr">
        <is>
          <t>100 a 300 L/ha</t>
        </is>
      </c>
      <c r="I4199" s="7" t="inlineStr">
        <is>
          <t>20 a 40 L/ha</t>
        </is>
      </c>
      <c r="J4199" s="7" t="inlineStr">
        <is>
          <t>14 dias</t>
        </is>
      </c>
    </row>
    <row r="4200" ht="22" customHeight="1">
      <c r="A4200" s="12" t="inlineStr">
        <is>
          <t>CUL-4196</t>
        </is>
      </c>
      <c r="B4200" s="11" t="n">
        <v>831</v>
      </c>
      <c r="C4200" s="13" t="inlineStr">
        <is>
          <t>Nº 47125</t>
        </is>
      </c>
      <c r="D4200" s="14" t="inlineStr">
        <is>
          <t>CHLORFENAPYR</t>
        </is>
      </c>
      <c r="E4200" s="13" t="inlineStr">
        <is>
          <t>Pulverização Agrícola Conforme Bula</t>
        </is>
      </c>
      <c r="F4200" s="13" t="inlineStr">
        <is>
          <t>Batata</t>
        </is>
      </c>
      <c r="G4200" s="13" t="inlineStr">
        <is>
          <t>Cultura Autorizada na Bula</t>
        </is>
      </c>
      <c r="H4200" s="13" t="inlineStr">
        <is>
          <t>100 a 300 L/ha</t>
        </is>
      </c>
      <c r="I4200" s="13" t="inlineStr">
        <is>
          <t>20 a 40 L/ha</t>
        </is>
      </c>
      <c r="J4200" s="13" t="inlineStr">
        <is>
          <t>7 dias</t>
        </is>
      </c>
    </row>
    <row r="4201" ht="22" customHeight="1">
      <c r="A4201" s="6" t="inlineStr">
        <is>
          <t>CUL-4197</t>
        </is>
      </c>
      <c r="B4201" s="5" t="n">
        <v>831</v>
      </c>
      <c r="C4201" s="7" t="inlineStr">
        <is>
          <t>Nº 47125</t>
        </is>
      </c>
      <c r="D4201" s="8" t="inlineStr">
        <is>
          <t>CHLORFENAPYR</t>
        </is>
      </c>
      <c r="E4201" s="7" t="inlineStr">
        <is>
          <t>Pulverização Agrícola Conforme Bula</t>
        </is>
      </c>
      <c r="F4201" s="7" t="inlineStr">
        <is>
          <t>Citros</t>
        </is>
      </c>
      <c r="G4201" s="7" t="inlineStr">
        <is>
          <t>Cultura Autorizada na Bula</t>
        </is>
      </c>
      <c r="H4201" s="7" t="inlineStr">
        <is>
          <t>100 a 300 L/ha</t>
        </is>
      </c>
      <c r="I4201" s="7" t="inlineStr">
        <is>
          <t>20 a 40 L/ha</t>
        </is>
      </c>
      <c r="J4201" s="7" t="inlineStr">
        <is>
          <t>14 dias</t>
        </is>
      </c>
    </row>
    <row r="4202" ht="22" customHeight="1">
      <c r="A4202" s="12" t="inlineStr">
        <is>
          <t>CUL-4198</t>
        </is>
      </c>
      <c r="B4202" s="11" t="n">
        <v>831</v>
      </c>
      <c r="C4202" s="13" t="inlineStr">
        <is>
          <t>Nº 47125</t>
        </is>
      </c>
      <c r="D4202" s="14" t="inlineStr">
        <is>
          <t>CHLORFENAPYR</t>
        </is>
      </c>
      <c r="E4202" s="13" t="inlineStr">
        <is>
          <t>Pulverização Agrícola Conforme Bula</t>
        </is>
      </c>
      <c r="F4202" s="13" t="inlineStr">
        <is>
          <t>Tomate</t>
        </is>
      </c>
      <c r="G4202" s="13" t="inlineStr">
        <is>
          <t>Cultura Autorizada na Bula</t>
        </is>
      </c>
      <c r="H4202" s="13" t="inlineStr">
        <is>
          <t>100 a 300 L/ha</t>
        </is>
      </c>
      <c r="I4202" s="13" t="inlineStr">
        <is>
          <t>20 a 40 L/ha</t>
        </is>
      </c>
      <c r="J4202" s="13" t="inlineStr">
        <is>
          <t>7 dias</t>
        </is>
      </c>
    </row>
    <row r="4203" ht="22" customHeight="1">
      <c r="A4203" s="6" t="inlineStr">
        <is>
          <t>CUL-4199</t>
        </is>
      </c>
      <c r="B4203" s="5" t="n">
        <v>832</v>
      </c>
      <c r="C4203" s="7" t="inlineStr">
        <is>
          <t>Nº 2218</t>
        </is>
      </c>
      <c r="D4203" s="8" t="inlineStr">
        <is>
          <t>ACETA</t>
        </is>
      </c>
      <c r="E4203" s="7" t="inlineStr">
        <is>
          <t>Pulverização Agrícola Conforme Bula</t>
        </is>
      </c>
      <c r="F4203" s="7" t="inlineStr">
        <is>
          <t>Algodão</t>
        </is>
      </c>
      <c r="G4203" s="7" t="inlineStr">
        <is>
          <t>Cultura Autorizada na Bula</t>
        </is>
      </c>
      <c r="H4203" s="7" t="inlineStr">
        <is>
          <t>100 a 300 L/ha</t>
        </is>
      </c>
      <c r="I4203" s="7" t="inlineStr">
        <is>
          <t>20 a 40 L/ha</t>
        </is>
      </c>
      <c r="J4203" s="7" t="inlineStr">
        <is>
          <t>28 dias</t>
        </is>
      </c>
    </row>
    <row r="4204" ht="22" customHeight="1">
      <c r="A4204" s="12" t="inlineStr">
        <is>
          <t>CUL-4200</t>
        </is>
      </c>
      <c r="B4204" s="11" t="n">
        <v>832</v>
      </c>
      <c r="C4204" s="13" t="inlineStr">
        <is>
          <t>Nº 2218</t>
        </is>
      </c>
      <c r="D4204" s="14" t="inlineStr">
        <is>
          <t>ACETA</t>
        </is>
      </c>
      <c r="E4204" s="13" t="inlineStr">
        <is>
          <t>Pulverização Agrícola Conforme Bula</t>
        </is>
      </c>
      <c r="F4204" s="13" t="inlineStr">
        <is>
          <t>Soja</t>
        </is>
      </c>
      <c r="G4204" s="13" t="inlineStr">
        <is>
          <t>Cultura Autorizada na Bula</t>
        </is>
      </c>
      <c r="H4204" s="13" t="inlineStr">
        <is>
          <t>100 a 300 L/ha</t>
        </is>
      </c>
      <c r="I4204" s="13" t="inlineStr">
        <is>
          <t>20 a 40 L/ha</t>
        </is>
      </c>
      <c r="J4204" s="13" t="inlineStr">
        <is>
          <t>21 dias</t>
        </is>
      </c>
    </row>
    <row r="4205" ht="22" customHeight="1">
      <c r="A4205" s="6" t="inlineStr">
        <is>
          <t>CUL-4201</t>
        </is>
      </c>
      <c r="B4205" s="5" t="n">
        <v>832</v>
      </c>
      <c r="C4205" s="7" t="inlineStr">
        <is>
          <t>Nº 2218</t>
        </is>
      </c>
      <c r="D4205" s="8" t="inlineStr">
        <is>
          <t>ACETA</t>
        </is>
      </c>
      <c r="E4205" s="7" t="inlineStr">
        <is>
          <t>Pulverização Agrícola Conforme Bula</t>
        </is>
      </c>
      <c r="F4205" s="7" t="inlineStr">
        <is>
          <t>Milho</t>
        </is>
      </c>
      <c r="G4205" s="7" t="inlineStr">
        <is>
          <t>Cultura Autorizada na Bula</t>
        </is>
      </c>
      <c r="H4205" s="7" t="inlineStr">
        <is>
          <t>100 a 300 L/ha</t>
        </is>
      </c>
      <c r="I4205" s="7" t="inlineStr">
        <is>
          <t>20 a 40 L/ha</t>
        </is>
      </c>
      <c r="J4205" s="7" t="inlineStr">
        <is>
          <t>30 dias</t>
        </is>
      </c>
    </row>
    <row r="4206" ht="22" customHeight="1">
      <c r="A4206" s="12" t="inlineStr">
        <is>
          <t>CUL-4202</t>
        </is>
      </c>
      <c r="B4206" s="11" t="n">
        <v>832</v>
      </c>
      <c r="C4206" s="13" t="inlineStr">
        <is>
          <t>Nº 2218</t>
        </is>
      </c>
      <c r="D4206" s="14" t="inlineStr">
        <is>
          <t>ACETA</t>
        </is>
      </c>
      <c r="E4206" s="13" t="inlineStr">
        <is>
          <t>Pulverização Agrícola Conforme Bula</t>
        </is>
      </c>
      <c r="F4206" s="13" t="inlineStr">
        <is>
          <t>Feijão</t>
        </is>
      </c>
      <c r="G4206" s="13" t="inlineStr">
        <is>
          <t>Cultura Autorizada na Bula</t>
        </is>
      </c>
      <c r="H4206" s="13" t="inlineStr">
        <is>
          <t>100 a 300 L/ha</t>
        </is>
      </c>
      <c r="I4206" s="13" t="inlineStr">
        <is>
          <t>20 a 40 L/ha</t>
        </is>
      </c>
      <c r="J4206" s="13" t="inlineStr">
        <is>
          <t>14 dias</t>
        </is>
      </c>
    </row>
    <row r="4207" ht="22" customHeight="1">
      <c r="A4207" s="6" t="inlineStr">
        <is>
          <t>CUL-4203</t>
        </is>
      </c>
      <c r="B4207" s="5" t="n">
        <v>832</v>
      </c>
      <c r="C4207" s="7" t="inlineStr">
        <is>
          <t>Nº 2218</t>
        </is>
      </c>
      <c r="D4207" s="8" t="inlineStr">
        <is>
          <t>ACETA</t>
        </is>
      </c>
      <c r="E4207" s="7" t="inlineStr">
        <is>
          <t>Pulverização Agrícola Conforme Bula</t>
        </is>
      </c>
      <c r="F4207" s="7" t="inlineStr">
        <is>
          <t>Café</t>
        </is>
      </c>
      <c r="G4207" s="7" t="inlineStr">
        <is>
          <t>Cultura Autorizada na Bula</t>
        </is>
      </c>
      <c r="H4207" s="7" t="inlineStr">
        <is>
          <t>100 a 300 L/ha</t>
        </is>
      </c>
      <c r="I4207" s="7" t="inlineStr">
        <is>
          <t>20 a 40 L/ha</t>
        </is>
      </c>
      <c r="J4207" s="7" t="inlineStr">
        <is>
          <t>28 dias</t>
        </is>
      </c>
    </row>
    <row r="4208" ht="22" customHeight="1">
      <c r="A4208" s="12" t="inlineStr">
        <is>
          <t>CUL-4204</t>
        </is>
      </c>
      <c r="B4208" s="11" t="n">
        <v>832</v>
      </c>
      <c r="C4208" s="13" t="inlineStr">
        <is>
          <t>Nº 2218</t>
        </is>
      </c>
      <c r="D4208" s="14" t="inlineStr">
        <is>
          <t>ACETA</t>
        </is>
      </c>
      <c r="E4208" s="13" t="inlineStr">
        <is>
          <t>Pulverização Agrícola Conforme Bula</t>
        </is>
      </c>
      <c r="F4208" s="13" t="inlineStr">
        <is>
          <t>Citros</t>
        </is>
      </c>
      <c r="G4208" s="13" t="inlineStr">
        <is>
          <t>Cultura Autorizada na Bula</t>
        </is>
      </c>
      <c r="H4208" s="13" t="inlineStr">
        <is>
          <t>100 a 300 L/ha</t>
        </is>
      </c>
      <c r="I4208" s="13" t="inlineStr">
        <is>
          <t>20 a 40 L/ha</t>
        </is>
      </c>
      <c r="J4208" s="13" t="inlineStr">
        <is>
          <t>7 dias</t>
        </is>
      </c>
    </row>
    <row r="4209" ht="22" customHeight="1">
      <c r="A4209" s="6" t="inlineStr">
        <is>
          <t>CUL-4205</t>
        </is>
      </c>
      <c r="B4209" s="5" t="n">
        <v>832</v>
      </c>
      <c r="C4209" s="7" t="inlineStr">
        <is>
          <t>Nº 2218</t>
        </is>
      </c>
      <c r="D4209" s="8" t="inlineStr">
        <is>
          <t>ACETA</t>
        </is>
      </c>
      <c r="E4209" s="7" t="inlineStr">
        <is>
          <t>Pulverização Agrícola Conforme Bula</t>
        </is>
      </c>
      <c r="F4209" s="7" t="inlineStr">
        <is>
          <t>Tomate</t>
        </is>
      </c>
      <c r="G4209" s="7" t="inlineStr">
        <is>
          <t>Cultura Autorizada na Bula</t>
        </is>
      </c>
      <c r="H4209" s="7" t="inlineStr">
        <is>
          <t>100 a 300 L/ha</t>
        </is>
      </c>
      <c r="I4209" s="7" t="inlineStr">
        <is>
          <t>20 a 40 L/ha</t>
        </is>
      </c>
      <c r="J4209" s="7" t="inlineStr">
        <is>
          <t>3 dias</t>
        </is>
      </c>
    </row>
    <row r="4210" ht="22" customHeight="1">
      <c r="A4210" s="12" t="inlineStr">
        <is>
          <t>CUL-4206</t>
        </is>
      </c>
      <c r="B4210" s="11" t="n">
        <v>833</v>
      </c>
      <c r="C4210" s="13" t="inlineStr">
        <is>
          <t>Nº 47125</t>
        </is>
      </c>
      <c r="D4210" s="14" t="inlineStr">
        <is>
          <t>CHLORFENAPYR</t>
        </is>
      </c>
      <c r="E4210" s="13" t="inlineStr">
        <is>
          <t>Pulverização Agrícola Conforme Bula</t>
        </is>
      </c>
      <c r="F4210" s="13" t="inlineStr">
        <is>
          <t>Soja</t>
        </is>
      </c>
      <c r="G4210" s="13" t="inlineStr">
        <is>
          <t>Cultura Autorizada na Bula</t>
        </is>
      </c>
      <c r="H4210" s="13" t="inlineStr">
        <is>
          <t>100 a 300 L/ha</t>
        </is>
      </c>
      <c r="I4210" s="13" t="inlineStr">
        <is>
          <t>20 a 40 L/ha</t>
        </is>
      </c>
      <c r="J4210" s="13" t="inlineStr">
        <is>
          <t>14 dias</t>
        </is>
      </c>
    </row>
    <row r="4211" ht="22" customHeight="1">
      <c r="A4211" s="6" t="inlineStr">
        <is>
          <t>CUL-4207</t>
        </is>
      </c>
      <c r="B4211" s="5" t="n">
        <v>833</v>
      </c>
      <c r="C4211" s="7" t="inlineStr">
        <is>
          <t>Nº 47125</t>
        </is>
      </c>
      <c r="D4211" s="8" t="inlineStr">
        <is>
          <t>CHLORFENAPYR</t>
        </is>
      </c>
      <c r="E4211" s="7" t="inlineStr">
        <is>
          <t>Pulverização Agrícola Conforme Bula</t>
        </is>
      </c>
      <c r="F4211" s="7" t="inlineStr">
        <is>
          <t>Milho</t>
        </is>
      </c>
      <c r="G4211" s="7" t="inlineStr">
        <is>
          <t>Cultura Autorizada na Bula</t>
        </is>
      </c>
      <c r="H4211" s="7" t="inlineStr">
        <is>
          <t>100 a 300 L/ha</t>
        </is>
      </c>
      <c r="I4211" s="7" t="inlineStr">
        <is>
          <t>20 a 40 L/ha</t>
        </is>
      </c>
      <c r="J4211" s="7" t="inlineStr">
        <is>
          <t>14 dias</t>
        </is>
      </c>
    </row>
    <row r="4212" ht="22" customHeight="1">
      <c r="A4212" s="12" t="inlineStr">
        <is>
          <t>CUL-4208</t>
        </is>
      </c>
      <c r="B4212" s="11" t="n">
        <v>833</v>
      </c>
      <c r="C4212" s="13" t="inlineStr">
        <is>
          <t>Nº 47125</t>
        </is>
      </c>
      <c r="D4212" s="14" t="inlineStr">
        <is>
          <t>CHLORFENAPYR</t>
        </is>
      </c>
      <c r="E4212" s="13" t="inlineStr">
        <is>
          <t>Pulverização Agrícola Conforme Bula</t>
        </is>
      </c>
      <c r="F4212" s="13" t="inlineStr">
        <is>
          <t>Algodão</t>
        </is>
      </c>
      <c r="G4212" s="13" t="inlineStr">
        <is>
          <t>Cultura Autorizada na Bula</t>
        </is>
      </c>
      <c r="H4212" s="13" t="inlineStr">
        <is>
          <t>100 a 300 L/ha</t>
        </is>
      </c>
      <c r="I4212" s="13" t="inlineStr">
        <is>
          <t>20 a 40 L/ha</t>
        </is>
      </c>
      <c r="J4212" s="13" t="inlineStr">
        <is>
          <t>21 dias</t>
        </is>
      </c>
    </row>
    <row r="4213" ht="22" customHeight="1">
      <c r="A4213" s="6" t="inlineStr">
        <is>
          <t>CUL-4209</t>
        </is>
      </c>
      <c r="B4213" s="5" t="n">
        <v>833</v>
      </c>
      <c r="C4213" s="7" t="inlineStr">
        <is>
          <t>Nº 47125</t>
        </is>
      </c>
      <c r="D4213" s="8" t="inlineStr">
        <is>
          <t>CHLORFENAPYR</t>
        </is>
      </c>
      <c r="E4213" s="7" t="inlineStr">
        <is>
          <t>Pulverização Agrícola Conforme Bula</t>
        </is>
      </c>
      <c r="F4213" s="7" t="inlineStr">
        <is>
          <t>Feijão</t>
        </is>
      </c>
      <c r="G4213" s="7" t="inlineStr">
        <is>
          <t>Cultura Autorizada na Bula</t>
        </is>
      </c>
      <c r="H4213" s="7" t="inlineStr">
        <is>
          <t>100 a 300 L/ha</t>
        </is>
      </c>
      <c r="I4213" s="7" t="inlineStr">
        <is>
          <t>20 a 40 L/ha</t>
        </is>
      </c>
      <c r="J4213" s="7" t="inlineStr">
        <is>
          <t>14 dias</t>
        </is>
      </c>
    </row>
    <row r="4214" ht="22" customHeight="1">
      <c r="A4214" s="12" t="inlineStr">
        <is>
          <t>CUL-4210</t>
        </is>
      </c>
      <c r="B4214" s="11" t="n">
        <v>833</v>
      </c>
      <c r="C4214" s="13" t="inlineStr">
        <is>
          <t>Nº 47125</t>
        </is>
      </c>
      <c r="D4214" s="14" t="inlineStr">
        <is>
          <t>CHLORFENAPYR</t>
        </is>
      </c>
      <c r="E4214" s="13" t="inlineStr">
        <is>
          <t>Pulverização Agrícola Conforme Bula</t>
        </is>
      </c>
      <c r="F4214" s="13" t="inlineStr">
        <is>
          <t>Batata</t>
        </is>
      </c>
      <c r="G4214" s="13" t="inlineStr">
        <is>
          <t>Cultura Autorizada na Bula</t>
        </is>
      </c>
      <c r="H4214" s="13" t="inlineStr">
        <is>
          <t>100 a 300 L/ha</t>
        </is>
      </c>
      <c r="I4214" s="13" t="inlineStr">
        <is>
          <t>20 a 40 L/ha</t>
        </is>
      </c>
      <c r="J4214" s="13" t="inlineStr">
        <is>
          <t>7 dias</t>
        </is>
      </c>
    </row>
    <row r="4215" ht="22" customHeight="1">
      <c r="A4215" s="6" t="inlineStr">
        <is>
          <t>CUL-4211</t>
        </is>
      </c>
      <c r="B4215" s="5" t="n">
        <v>833</v>
      </c>
      <c r="C4215" s="7" t="inlineStr">
        <is>
          <t>Nº 47125</t>
        </is>
      </c>
      <c r="D4215" s="8" t="inlineStr">
        <is>
          <t>CHLORFENAPYR</t>
        </is>
      </c>
      <c r="E4215" s="7" t="inlineStr">
        <is>
          <t>Pulverização Agrícola Conforme Bula</t>
        </is>
      </c>
      <c r="F4215" s="7" t="inlineStr">
        <is>
          <t>Citros</t>
        </is>
      </c>
      <c r="G4215" s="7" t="inlineStr">
        <is>
          <t>Cultura Autorizada na Bula</t>
        </is>
      </c>
      <c r="H4215" s="7" t="inlineStr">
        <is>
          <t>100 a 300 L/ha</t>
        </is>
      </c>
      <c r="I4215" s="7" t="inlineStr">
        <is>
          <t>20 a 40 L/ha</t>
        </is>
      </c>
      <c r="J4215" s="7" t="inlineStr">
        <is>
          <t>14 dias</t>
        </is>
      </c>
    </row>
    <row r="4216" ht="22" customHeight="1">
      <c r="A4216" s="12" t="inlineStr">
        <is>
          <t>CUL-4212</t>
        </is>
      </c>
      <c r="B4216" s="11" t="n">
        <v>833</v>
      </c>
      <c r="C4216" s="13" t="inlineStr">
        <is>
          <t>Nº 47125</t>
        </is>
      </c>
      <c r="D4216" s="14" t="inlineStr">
        <is>
          <t>CHLORFENAPYR</t>
        </is>
      </c>
      <c r="E4216" s="13" t="inlineStr">
        <is>
          <t>Pulverização Agrícola Conforme Bula</t>
        </is>
      </c>
      <c r="F4216" s="13" t="inlineStr">
        <is>
          <t>Tomate</t>
        </is>
      </c>
      <c r="G4216" s="13" t="inlineStr">
        <is>
          <t>Cultura Autorizada na Bula</t>
        </is>
      </c>
      <c r="H4216" s="13" t="inlineStr">
        <is>
          <t>100 a 300 L/ha</t>
        </is>
      </c>
      <c r="I4216" s="13" t="inlineStr">
        <is>
          <t>20 a 40 L/ha</t>
        </is>
      </c>
      <c r="J4216" s="13" t="inlineStr">
        <is>
          <t>7 dias</t>
        </is>
      </c>
    </row>
    <row r="4217" ht="22" customHeight="1">
      <c r="A4217" s="6" t="inlineStr">
        <is>
          <t>CUL-4213</t>
        </is>
      </c>
      <c r="B4217" s="5" t="n">
        <v>834</v>
      </c>
      <c r="C4217" s="7" t="inlineStr">
        <is>
          <t>SIPEAGRO (UF-XXXXX)</t>
        </is>
      </c>
      <c r="D4217" s="8" t="inlineStr">
        <is>
          <t>SUPERFOSFATO TRIPLO 46%  - FERTALVO</t>
        </is>
      </c>
      <c r="E4217" s="7" t="inlineStr">
        <is>
          <t>Adubação de Solo / Foliar</t>
        </is>
      </c>
      <c r="F4217" s="7" t="inlineStr">
        <is>
          <t>Soja</t>
        </is>
      </c>
      <c r="G4217" s="7" t="inlineStr">
        <is>
          <t>Cultura Autorizada na Bula</t>
        </is>
      </c>
      <c r="H4217" s="7" t="inlineStr">
        <is>
          <t>100 a 300 L/ha</t>
        </is>
      </c>
      <c r="I4217" s="7" t="inlineStr">
        <is>
          <t>20 a 40 L/ha</t>
        </is>
      </c>
      <c r="J4217" s="7" t="inlineStr">
        <is>
          <t>Isento</t>
        </is>
      </c>
    </row>
    <row r="4218" ht="22" customHeight="1">
      <c r="A4218" s="12" t="inlineStr">
        <is>
          <t>CUL-4214</t>
        </is>
      </c>
      <c r="B4218" s="11" t="n">
        <v>834</v>
      </c>
      <c r="C4218" s="13" t="inlineStr">
        <is>
          <t>SIPEAGRO (UF-XXXXX)</t>
        </is>
      </c>
      <c r="D4218" s="14" t="inlineStr">
        <is>
          <t>SUPERFOSFATO TRIPLO 46%  - FERTALVO</t>
        </is>
      </c>
      <c r="E4218" s="13" t="inlineStr">
        <is>
          <t>Adubação de Solo / Foliar</t>
        </is>
      </c>
      <c r="F4218" s="13" t="inlineStr">
        <is>
          <t>Milho</t>
        </is>
      </c>
      <c r="G4218" s="13" t="inlineStr">
        <is>
          <t>Cultura Autorizada na Bula</t>
        </is>
      </c>
      <c r="H4218" s="13" t="inlineStr">
        <is>
          <t>100 a 300 L/ha</t>
        </is>
      </c>
      <c r="I4218" s="13" t="inlineStr">
        <is>
          <t>20 a 40 L/ha</t>
        </is>
      </c>
      <c r="J4218" s="13" t="inlineStr">
        <is>
          <t>Isento</t>
        </is>
      </c>
    </row>
    <row r="4219" ht="22" customHeight="1">
      <c r="A4219" s="6" t="inlineStr">
        <is>
          <t>CUL-4215</t>
        </is>
      </c>
      <c r="B4219" s="5" t="n">
        <v>834</v>
      </c>
      <c r="C4219" s="7" t="inlineStr">
        <is>
          <t>SIPEAGRO (UF-XXXXX)</t>
        </is>
      </c>
      <c r="D4219" s="8" t="inlineStr">
        <is>
          <t>SUPERFOSFATO TRIPLO 46%  - FERTALVO</t>
        </is>
      </c>
      <c r="E4219" s="7" t="inlineStr">
        <is>
          <t>Adubação de Solo / Foliar</t>
        </is>
      </c>
      <c r="F4219" s="7" t="inlineStr">
        <is>
          <t>Algodão</t>
        </is>
      </c>
      <c r="G4219" s="7" t="inlineStr">
        <is>
          <t>Cultura Autorizada na Bula</t>
        </is>
      </c>
      <c r="H4219" s="7" t="inlineStr">
        <is>
          <t>100 a 300 L/ha</t>
        </is>
      </c>
      <c r="I4219" s="7" t="inlineStr">
        <is>
          <t>20 a 40 L/ha</t>
        </is>
      </c>
      <c r="J4219" s="7" t="inlineStr">
        <is>
          <t>Isento</t>
        </is>
      </c>
    </row>
    <row r="4220" ht="22" customHeight="1">
      <c r="A4220" s="12" t="inlineStr">
        <is>
          <t>CUL-4216</t>
        </is>
      </c>
      <c r="B4220" s="11" t="n">
        <v>834</v>
      </c>
      <c r="C4220" s="13" t="inlineStr">
        <is>
          <t>SIPEAGRO (UF-XXXXX)</t>
        </is>
      </c>
      <c r="D4220" s="14" t="inlineStr">
        <is>
          <t>SUPERFOSFATO TRIPLO 46%  - FERTALVO</t>
        </is>
      </c>
      <c r="E4220" s="13" t="inlineStr">
        <is>
          <t>Adubação de Solo / Foliar</t>
        </is>
      </c>
      <c r="F4220" s="13" t="inlineStr">
        <is>
          <t>Cana-de-açúcar</t>
        </is>
      </c>
      <c r="G4220" s="13" t="inlineStr">
        <is>
          <t>Cultura Autorizada na Bula</t>
        </is>
      </c>
      <c r="H4220" s="13" t="inlineStr">
        <is>
          <t>100 a 300 L/ha</t>
        </is>
      </c>
      <c r="I4220" s="13" t="inlineStr">
        <is>
          <t>20 a 40 L/ha</t>
        </is>
      </c>
      <c r="J4220" s="13" t="inlineStr">
        <is>
          <t>Isento</t>
        </is>
      </c>
    </row>
    <row r="4221" ht="22" customHeight="1">
      <c r="A4221" s="6" t="inlineStr">
        <is>
          <t>CUL-4217</t>
        </is>
      </c>
      <c r="B4221" s="5" t="n">
        <v>834</v>
      </c>
      <c r="C4221" s="7" t="inlineStr">
        <is>
          <t>SIPEAGRO (UF-XXXXX)</t>
        </is>
      </c>
      <c r="D4221" s="8" t="inlineStr">
        <is>
          <t>SUPERFOSFATO TRIPLO 46%  - FERTALVO</t>
        </is>
      </c>
      <c r="E4221" s="7" t="inlineStr">
        <is>
          <t>Adubação de Solo / Foliar</t>
        </is>
      </c>
      <c r="F4221" s="7" t="inlineStr">
        <is>
          <t>Café</t>
        </is>
      </c>
      <c r="G4221" s="7" t="inlineStr">
        <is>
          <t>Cultura Autorizada na Bula</t>
        </is>
      </c>
      <c r="H4221" s="7" t="inlineStr">
        <is>
          <t>100 a 300 L/ha</t>
        </is>
      </c>
      <c r="I4221" s="7" t="inlineStr">
        <is>
          <t>20 a 40 L/ha</t>
        </is>
      </c>
      <c r="J4221" s="7" t="inlineStr">
        <is>
          <t>Isento</t>
        </is>
      </c>
    </row>
    <row r="4222" ht="22" customHeight="1">
      <c r="A4222" s="12" t="inlineStr">
        <is>
          <t>CUL-4218</t>
        </is>
      </c>
      <c r="B4222" s="11" t="n">
        <v>835</v>
      </c>
      <c r="C4222" s="13" t="inlineStr">
        <is>
          <t>Nº 47125</t>
        </is>
      </c>
      <c r="D4222" s="14" t="inlineStr">
        <is>
          <t>CHLORFENAPYR</t>
        </is>
      </c>
      <c r="E4222" s="13" t="inlineStr">
        <is>
          <t>Pulverização Agrícola Conforme Bula</t>
        </is>
      </c>
      <c r="F4222" s="13" t="inlineStr">
        <is>
          <t>Soja</t>
        </is>
      </c>
      <c r="G4222" s="13" t="inlineStr">
        <is>
          <t>Cultura Autorizada na Bula</t>
        </is>
      </c>
      <c r="H4222" s="13" t="inlineStr">
        <is>
          <t>100 a 300 L/ha</t>
        </is>
      </c>
      <c r="I4222" s="13" t="inlineStr">
        <is>
          <t>20 a 40 L/ha</t>
        </is>
      </c>
      <c r="J4222" s="13" t="inlineStr">
        <is>
          <t>14 dias</t>
        </is>
      </c>
    </row>
    <row r="4223" ht="22" customHeight="1">
      <c r="A4223" s="6" t="inlineStr">
        <is>
          <t>CUL-4219</t>
        </is>
      </c>
      <c r="B4223" s="5" t="n">
        <v>835</v>
      </c>
      <c r="C4223" s="7" t="inlineStr">
        <is>
          <t>Nº 47125</t>
        </is>
      </c>
      <c r="D4223" s="8" t="inlineStr">
        <is>
          <t>CHLORFENAPYR</t>
        </is>
      </c>
      <c r="E4223" s="7" t="inlineStr">
        <is>
          <t>Pulverização Agrícola Conforme Bula</t>
        </is>
      </c>
      <c r="F4223" s="7" t="inlineStr">
        <is>
          <t>Milho</t>
        </is>
      </c>
      <c r="G4223" s="7" t="inlineStr">
        <is>
          <t>Cultura Autorizada na Bula</t>
        </is>
      </c>
      <c r="H4223" s="7" t="inlineStr">
        <is>
          <t>100 a 300 L/ha</t>
        </is>
      </c>
      <c r="I4223" s="7" t="inlineStr">
        <is>
          <t>20 a 40 L/ha</t>
        </is>
      </c>
      <c r="J4223" s="7" t="inlineStr">
        <is>
          <t>14 dias</t>
        </is>
      </c>
    </row>
    <row r="4224" ht="22" customHeight="1">
      <c r="A4224" s="12" t="inlineStr">
        <is>
          <t>CUL-4220</t>
        </is>
      </c>
      <c r="B4224" s="11" t="n">
        <v>835</v>
      </c>
      <c r="C4224" s="13" t="inlineStr">
        <is>
          <t>Nº 47125</t>
        </is>
      </c>
      <c r="D4224" s="14" t="inlineStr">
        <is>
          <t>CHLORFENAPYR</t>
        </is>
      </c>
      <c r="E4224" s="13" t="inlineStr">
        <is>
          <t>Pulverização Agrícola Conforme Bula</t>
        </is>
      </c>
      <c r="F4224" s="13" t="inlineStr">
        <is>
          <t>Algodão</t>
        </is>
      </c>
      <c r="G4224" s="13" t="inlineStr">
        <is>
          <t>Cultura Autorizada na Bula</t>
        </is>
      </c>
      <c r="H4224" s="13" t="inlineStr">
        <is>
          <t>100 a 300 L/ha</t>
        </is>
      </c>
      <c r="I4224" s="13" t="inlineStr">
        <is>
          <t>20 a 40 L/ha</t>
        </is>
      </c>
      <c r="J4224" s="13" t="inlineStr">
        <is>
          <t>21 dias</t>
        </is>
      </c>
    </row>
    <row r="4225" ht="22" customHeight="1">
      <c r="A4225" s="6" t="inlineStr">
        <is>
          <t>CUL-4221</t>
        </is>
      </c>
      <c r="B4225" s="5" t="n">
        <v>835</v>
      </c>
      <c r="C4225" s="7" t="inlineStr">
        <is>
          <t>Nº 47125</t>
        </is>
      </c>
      <c r="D4225" s="8" t="inlineStr">
        <is>
          <t>CHLORFENAPYR</t>
        </is>
      </c>
      <c r="E4225" s="7" t="inlineStr">
        <is>
          <t>Pulverização Agrícola Conforme Bula</t>
        </is>
      </c>
      <c r="F4225" s="7" t="inlineStr">
        <is>
          <t>Feijão</t>
        </is>
      </c>
      <c r="G4225" s="7" t="inlineStr">
        <is>
          <t>Cultura Autorizada na Bula</t>
        </is>
      </c>
      <c r="H4225" s="7" t="inlineStr">
        <is>
          <t>100 a 300 L/ha</t>
        </is>
      </c>
      <c r="I4225" s="7" t="inlineStr">
        <is>
          <t>20 a 40 L/ha</t>
        </is>
      </c>
      <c r="J4225" s="7" t="inlineStr">
        <is>
          <t>14 dias</t>
        </is>
      </c>
    </row>
    <row r="4226" ht="22" customHeight="1">
      <c r="A4226" s="12" t="inlineStr">
        <is>
          <t>CUL-4222</t>
        </is>
      </c>
      <c r="B4226" s="11" t="n">
        <v>835</v>
      </c>
      <c r="C4226" s="13" t="inlineStr">
        <is>
          <t>Nº 47125</t>
        </is>
      </c>
      <c r="D4226" s="14" t="inlineStr">
        <is>
          <t>CHLORFENAPYR</t>
        </is>
      </c>
      <c r="E4226" s="13" t="inlineStr">
        <is>
          <t>Pulverização Agrícola Conforme Bula</t>
        </is>
      </c>
      <c r="F4226" s="13" t="inlineStr">
        <is>
          <t>Batata</t>
        </is>
      </c>
      <c r="G4226" s="13" t="inlineStr">
        <is>
          <t>Cultura Autorizada na Bula</t>
        </is>
      </c>
      <c r="H4226" s="13" t="inlineStr">
        <is>
          <t>100 a 300 L/ha</t>
        </is>
      </c>
      <c r="I4226" s="13" t="inlineStr">
        <is>
          <t>20 a 40 L/ha</t>
        </is>
      </c>
      <c r="J4226" s="13" t="inlineStr">
        <is>
          <t>7 dias</t>
        </is>
      </c>
    </row>
    <row r="4227" ht="22" customHeight="1">
      <c r="A4227" s="6" t="inlineStr">
        <is>
          <t>CUL-4223</t>
        </is>
      </c>
      <c r="B4227" s="5" t="n">
        <v>835</v>
      </c>
      <c r="C4227" s="7" t="inlineStr">
        <is>
          <t>Nº 47125</t>
        </is>
      </c>
      <c r="D4227" s="8" t="inlineStr">
        <is>
          <t>CHLORFENAPYR</t>
        </is>
      </c>
      <c r="E4227" s="7" t="inlineStr">
        <is>
          <t>Pulverização Agrícola Conforme Bula</t>
        </is>
      </c>
      <c r="F4227" s="7" t="inlineStr">
        <is>
          <t>Citros</t>
        </is>
      </c>
      <c r="G4227" s="7" t="inlineStr">
        <is>
          <t>Cultura Autorizada na Bula</t>
        </is>
      </c>
      <c r="H4227" s="7" t="inlineStr">
        <is>
          <t>100 a 300 L/ha</t>
        </is>
      </c>
      <c r="I4227" s="7" t="inlineStr">
        <is>
          <t>20 a 40 L/ha</t>
        </is>
      </c>
      <c r="J4227" s="7" t="inlineStr">
        <is>
          <t>14 dias</t>
        </is>
      </c>
    </row>
    <row r="4228" ht="22" customHeight="1">
      <c r="A4228" s="12" t="inlineStr">
        <is>
          <t>CUL-4224</t>
        </is>
      </c>
      <c r="B4228" s="11" t="n">
        <v>835</v>
      </c>
      <c r="C4228" s="13" t="inlineStr">
        <is>
          <t>Nº 47125</t>
        </is>
      </c>
      <c r="D4228" s="14" t="inlineStr">
        <is>
          <t>CHLORFENAPYR</t>
        </is>
      </c>
      <c r="E4228" s="13" t="inlineStr">
        <is>
          <t>Pulverização Agrícola Conforme Bula</t>
        </is>
      </c>
      <c r="F4228" s="13" t="inlineStr">
        <is>
          <t>Tomate</t>
        </is>
      </c>
      <c r="G4228" s="13" t="inlineStr">
        <is>
          <t>Cultura Autorizada na Bula</t>
        </is>
      </c>
      <c r="H4228" s="13" t="inlineStr">
        <is>
          <t>100 a 300 L/ha</t>
        </is>
      </c>
      <c r="I4228" s="13" t="inlineStr">
        <is>
          <t>20 a 40 L/ha</t>
        </is>
      </c>
      <c r="J4228" s="13" t="inlineStr">
        <is>
          <t>7 dias</t>
        </is>
      </c>
    </row>
    <row r="4229" ht="22" customHeight="1">
      <c r="A4229" s="6" t="inlineStr">
        <is>
          <t>CUL-4225</t>
        </is>
      </c>
      <c r="B4229" s="5" t="n">
        <v>836</v>
      </c>
      <c r="C4229" s="7" t="inlineStr">
        <is>
          <t>Nº 8406</t>
        </is>
      </c>
      <c r="D4229" s="8" t="inlineStr">
        <is>
          <t>CUREFORCE 250 EC IMP</t>
        </is>
      </c>
      <c r="E4229" s="7" t="inlineStr">
        <is>
          <t>Pulverização Agrícola Conforme Bula</t>
        </is>
      </c>
      <c r="F4229" s="7" t="inlineStr">
        <is>
          <t>Soja</t>
        </is>
      </c>
      <c r="G4229" s="7" t="inlineStr">
        <is>
          <t>Cultura Autorizada na Bula</t>
        </is>
      </c>
      <c r="H4229" s="7" t="inlineStr">
        <is>
          <t>100 a 300 L/ha</t>
        </is>
      </c>
      <c r="I4229" s="7" t="inlineStr">
        <is>
          <t>20 a 40 L/ha</t>
        </is>
      </c>
      <c r="J4229" s="7" t="inlineStr">
        <is>
          <t>30 dias</t>
        </is>
      </c>
    </row>
    <row r="4230" ht="22" customHeight="1">
      <c r="A4230" s="12" t="inlineStr">
        <is>
          <t>CUL-4226</t>
        </is>
      </c>
      <c r="B4230" s="11" t="n">
        <v>836</v>
      </c>
      <c r="C4230" s="13" t="inlineStr">
        <is>
          <t>Nº 8406</t>
        </is>
      </c>
      <c r="D4230" s="14" t="inlineStr">
        <is>
          <t>CUREFORCE 250 EC IMP</t>
        </is>
      </c>
      <c r="E4230" s="13" t="inlineStr">
        <is>
          <t>Pulverização Agrícola Conforme Bula</t>
        </is>
      </c>
      <c r="F4230" s="13" t="inlineStr">
        <is>
          <t>Algodão</t>
        </is>
      </c>
      <c r="G4230" s="13" t="inlineStr">
        <is>
          <t>Cultura Autorizada na Bula</t>
        </is>
      </c>
      <c r="H4230" s="13" t="inlineStr">
        <is>
          <t>100 a 300 L/ha</t>
        </is>
      </c>
      <c r="I4230" s="13" t="inlineStr">
        <is>
          <t>20 a 40 L/ha</t>
        </is>
      </c>
      <c r="J4230" s="13" t="inlineStr">
        <is>
          <t>30 dias</t>
        </is>
      </c>
    </row>
    <row r="4231" ht="22" customHeight="1">
      <c r="A4231" s="6" t="inlineStr">
        <is>
          <t>CUL-4227</t>
        </is>
      </c>
      <c r="B4231" s="5" t="n">
        <v>836</v>
      </c>
      <c r="C4231" s="7" t="inlineStr">
        <is>
          <t>Nº 8406</t>
        </is>
      </c>
      <c r="D4231" s="8" t="inlineStr">
        <is>
          <t>CUREFORCE 250 EC IMP</t>
        </is>
      </c>
      <c r="E4231" s="7" t="inlineStr">
        <is>
          <t>Pulverização Agrícola Conforme Bula</t>
        </is>
      </c>
      <c r="F4231" s="7" t="inlineStr">
        <is>
          <t>Feijão</t>
        </is>
      </c>
      <c r="G4231" s="7" t="inlineStr">
        <is>
          <t>Cultura Autorizada na Bula</t>
        </is>
      </c>
      <c r="H4231" s="7" t="inlineStr">
        <is>
          <t>100 a 300 L/ha</t>
        </is>
      </c>
      <c r="I4231" s="7" t="inlineStr">
        <is>
          <t>20 a 40 L/ha</t>
        </is>
      </c>
      <c r="J4231" s="7" t="inlineStr">
        <is>
          <t>14 dias</t>
        </is>
      </c>
    </row>
    <row r="4232" ht="22" customHeight="1">
      <c r="A4232" s="12" t="inlineStr">
        <is>
          <t>CUL-4228</t>
        </is>
      </c>
      <c r="B4232" s="11" t="n">
        <v>836</v>
      </c>
      <c r="C4232" s="13" t="inlineStr">
        <is>
          <t>Nº 8406</t>
        </is>
      </c>
      <c r="D4232" s="14" t="inlineStr">
        <is>
          <t>CUREFORCE 250 EC IMP</t>
        </is>
      </c>
      <c r="E4232" s="13" t="inlineStr">
        <is>
          <t>Pulverização Agrícola Conforme Bula</t>
        </is>
      </c>
      <c r="F4232" s="13" t="inlineStr">
        <is>
          <t>Arroz</t>
        </is>
      </c>
      <c r="G4232" s="13" t="inlineStr">
        <is>
          <t>Cultura Autorizada na Bula</t>
        </is>
      </c>
      <c r="H4232" s="13" t="inlineStr">
        <is>
          <t>100 a 300 L/ha</t>
        </is>
      </c>
      <c r="I4232" s="13" t="inlineStr">
        <is>
          <t>20 a 40 L/ha</t>
        </is>
      </c>
      <c r="J4232" s="13" t="inlineStr">
        <is>
          <t>40 dias</t>
        </is>
      </c>
    </row>
    <row r="4233" ht="22" customHeight="1">
      <c r="A4233" s="6" t="inlineStr">
        <is>
          <t>CUL-4229</t>
        </is>
      </c>
      <c r="B4233" s="5" t="n">
        <v>836</v>
      </c>
      <c r="C4233" s="7" t="inlineStr">
        <is>
          <t>Nº 8406</t>
        </is>
      </c>
      <c r="D4233" s="8" t="inlineStr">
        <is>
          <t>CUREFORCE 250 EC IMP</t>
        </is>
      </c>
      <c r="E4233" s="7" t="inlineStr">
        <is>
          <t>Pulverização Agrícola Conforme Bula</t>
        </is>
      </c>
      <c r="F4233" s="7" t="inlineStr">
        <is>
          <t>Café</t>
        </is>
      </c>
      <c r="G4233" s="7" t="inlineStr">
        <is>
          <t>Cultura Autorizada na Bula</t>
        </is>
      </c>
      <c r="H4233" s="7" t="inlineStr">
        <is>
          <t>100 a 300 L/ha</t>
        </is>
      </c>
      <c r="I4233" s="7" t="inlineStr">
        <is>
          <t>20 a 40 L/ha</t>
        </is>
      </c>
      <c r="J4233" s="7" t="inlineStr">
        <is>
          <t>30 dias</t>
        </is>
      </c>
    </row>
    <row r="4234" ht="22" customHeight="1">
      <c r="A4234" s="12" t="inlineStr">
        <is>
          <t>CUL-4230</t>
        </is>
      </c>
      <c r="B4234" s="11" t="n">
        <v>836</v>
      </c>
      <c r="C4234" s="13" t="inlineStr">
        <is>
          <t>Nº 8406</t>
        </is>
      </c>
      <c r="D4234" s="14" t="inlineStr">
        <is>
          <t>CUREFORCE 250 EC IMP</t>
        </is>
      </c>
      <c r="E4234" s="13" t="inlineStr">
        <is>
          <t>Pulverização Agrícola Conforme Bula</t>
        </is>
      </c>
      <c r="F4234" s="13" t="inlineStr">
        <is>
          <t>Trigo</t>
        </is>
      </c>
      <c r="G4234" s="13" t="inlineStr">
        <is>
          <t>Cultura Autorizada na Bula</t>
        </is>
      </c>
      <c r="H4234" s="13" t="inlineStr">
        <is>
          <t>100 a 300 L/ha</t>
        </is>
      </c>
      <c r="I4234" s="13" t="inlineStr">
        <is>
          <t>20 a 40 L/ha</t>
        </is>
      </c>
      <c r="J4234" s="13" t="inlineStr">
        <is>
          <t>35 dias</t>
        </is>
      </c>
    </row>
    <row r="4235" ht="22" customHeight="1">
      <c r="A4235" s="6" t="inlineStr">
        <is>
          <t>CUL-4231</t>
        </is>
      </c>
      <c r="B4235" s="5" t="n">
        <v>836</v>
      </c>
      <c r="C4235" s="7" t="inlineStr">
        <is>
          <t>Nº 8406</t>
        </is>
      </c>
      <c r="D4235" s="8" t="inlineStr">
        <is>
          <t>CUREFORCE 250 EC IMP</t>
        </is>
      </c>
      <c r="E4235" s="7" t="inlineStr">
        <is>
          <t>Pulverização Agrícola Conforme Bula</t>
        </is>
      </c>
      <c r="F4235" s="7" t="inlineStr">
        <is>
          <t>Tomate</t>
        </is>
      </c>
      <c r="G4235" s="7" t="inlineStr">
        <is>
          <t>Cultura Autorizada na Bula</t>
        </is>
      </c>
      <c r="H4235" s="7" t="inlineStr">
        <is>
          <t>100 a 300 L/ha</t>
        </is>
      </c>
      <c r="I4235" s="7" t="inlineStr">
        <is>
          <t>20 a 40 L/ha</t>
        </is>
      </c>
      <c r="J4235" s="7" t="inlineStr">
        <is>
          <t>7 dias</t>
        </is>
      </c>
    </row>
    <row r="4236" ht="22" customHeight="1">
      <c r="A4236" s="12" t="inlineStr">
        <is>
          <t>CUL-4232</t>
        </is>
      </c>
      <c r="B4236" s="11" t="n">
        <v>837</v>
      </c>
      <c r="C4236" s="13" t="inlineStr">
        <is>
          <t>Nº 28421</t>
        </is>
      </c>
      <c r="D4236" s="14" t="inlineStr">
        <is>
          <t>BALLA IMP (VALIDAR)</t>
        </is>
      </c>
      <c r="E4236" s="13" t="inlineStr">
        <is>
          <t>Pulverização Agrícola Conforme Bula</t>
        </is>
      </c>
      <c r="F4236" s="13" t="inlineStr">
        <is>
          <t>Soja</t>
        </is>
      </c>
      <c r="G4236" s="13" t="inlineStr">
        <is>
          <t>Cultura Autorizada na Bula</t>
        </is>
      </c>
      <c r="H4236" s="13" t="inlineStr">
        <is>
          <t>100 a 300 L/ha</t>
        </is>
      </c>
      <c r="I4236" s="13" t="inlineStr">
        <is>
          <t>20 a 40 L/ha</t>
        </is>
      </c>
      <c r="J4236" s="13" t="inlineStr">
        <is>
          <t>14 dias</t>
        </is>
      </c>
    </row>
    <row r="4237" ht="22" customHeight="1">
      <c r="A4237" s="6" t="inlineStr">
        <is>
          <t>CUL-4233</t>
        </is>
      </c>
      <c r="B4237" s="5" t="n">
        <v>837</v>
      </c>
      <c r="C4237" s="7" t="inlineStr">
        <is>
          <t>Nº 28421</t>
        </is>
      </c>
      <c r="D4237" s="8" t="inlineStr">
        <is>
          <t>BALLA IMP (VALIDAR)</t>
        </is>
      </c>
      <c r="E4237" s="7" t="inlineStr">
        <is>
          <t>Pulverização Agrícola Conforme Bula</t>
        </is>
      </c>
      <c r="F4237" s="7" t="inlineStr">
        <is>
          <t>Milho</t>
        </is>
      </c>
      <c r="G4237" s="7" t="inlineStr">
        <is>
          <t>Cultura Autorizada na Bula</t>
        </is>
      </c>
      <c r="H4237" s="7" t="inlineStr">
        <is>
          <t>100 a 300 L/ha</t>
        </is>
      </c>
      <c r="I4237" s="7" t="inlineStr">
        <is>
          <t>20 a 40 L/ha</t>
        </is>
      </c>
      <c r="J4237" s="7" t="inlineStr">
        <is>
          <t>14 dias</t>
        </is>
      </c>
    </row>
    <row r="4238" ht="22" customHeight="1">
      <c r="A4238" s="12" t="inlineStr">
        <is>
          <t>CUL-4234</t>
        </is>
      </c>
      <c r="B4238" s="11" t="n">
        <v>837</v>
      </c>
      <c r="C4238" s="13" t="inlineStr">
        <is>
          <t>Nº 28421</t>
        </is>
      </c>
      <c r="D4238" s="14" t="inlineStr">
        <is>
          <t>BALLA IMP (VALIDAR)</t>
        </is>
      </c>
      <c r="E4238" s="13" t="inlineStr">
        <is>
          <t>Pulverização Agrícola Conforme Bula</t>
        </is>
      </c>
      <c r="F4238" s="13" t="inlineStr">
        <is>
          <t>Algodão</t>
        </is>
      </c>
      <c r="G4238" s="13" t="inlineStr">
        <is>
          <t>Cultura Autorizada na Bula</t>
        </is>
      </c>
      <c r="H4238" s="13" t="inlineStr">
        <is>
          <t>100 a 300 L/ha</t>
        </is>
      </c>
      <c r="I4238" s="13" t="inlineStr">
        <is>
          <t>20 a 40 L/ha</t>
        </is>
      </c>
      <c r="J4238" s="13" t="inlineStr">
        <is>
          <t>21 dias</t>
        </is>
      </c>
    </row>
    <row r="4239" ht="22" customHeight="1">
      <c r="A4239" s="6" t="inlineStr">
        <is>
          <t>CUL-4235</t>
        </is>
      </c>
      <c r="B4239" s="5" t="n">
        <v>837</v>
      </c>
      <c r="C4239" s="7" t="inlineStr">
        <is>
          <t>Nº 28421</t>
        </is>
      </c>
      <c r="D4239" s="8" t="inlineStr">
        <is>
          <t>BALLA IMP (VALIDAR)</t>
        </is>
      </c>
      <c r="E4239" s="7" t="inlineStr">
        <is>
          <t>Pulverização Agrícola Conforme Bula</t>
        </is>
      </c>
      <c r="F4239" s="7" t="inlineStr">
        <is>
          <t>Feijão</t>
        </is>
      </c>
      <c r="G4239" s="7" t="inlineStr">
        <is>
          <t>Cultura Autorizada na Bula</t>
        </is>
      </c>
      <c r="H4239" s="7" t="inlineStr">
        <is>
          <t>100 a 300 L/ha</t>
        </is>
      </c>
      <c r="I4239" s="7" t="inlineStr">
        <is>
          <t>20 a 40 L/ha</t>
        </is>
      </c>
      <c r="J4239" s="7" t="inlineStr">
        <is>
          <t>14 dias</t>
        </is>
      </c>
    </row>
    <row r="4240" ht="22" customHeight="1">
      <c r="A4240" s="12" t="inlineStr">
        <is>
          <t>CUL-4236</t>
        </is>
      </c>
      <c r="B4240" s="11" t="n">
        <v>837</v>
      </c>
      <c r="C4240" s="13" t="inlineStr">
        <is>
          <t>Nº 28421</t>
        </is>
      </c>
      <c r="D4240" s="14" t="inlineStr">
        <is>
          <t>BALLA IMP (VALIDAR)</t>
        </is>
      </c>
      <c r="E4240" s="13" t="inlineStr">
        <is>
          <t>Pulverização Agrícola Conforme Bula</t>
        </is>
      </c>
      <c r="F4240" s="13" t="inlineStr">
        <is>
          <t>Batata</t>
        </is>
      </c>
      <c r="G4240" s="13" t="inlineStr">
        <is>
          <t>Cultura Autorizada na Bula</t>
        </is>
      </c>
      <c r="H4240" s="13" t="inlineStr">
        <is>
          <t>100 a 300 L/ha</t>
        </is>
      </c>
      <c r="I4240" s="13" t="inlineStr">
        <is>
          <t>20 a 40 L/ha</t>
        </is>
      </c>
      <c r="J4240" s="13" t="inlineStr">
        <is>
          <t>7 dias</t>
        </is>
      </c>
    </row>
    <row r="4241" ht="22" customHeight="1">
      <c r="A4241" s="6" t="inlineStr">
        <is>
          <t>CUL-4237</t>
        </is>
      </c>
      <c r="B4241" s="5" t="n">
        <v>837</v>
      </c>
      <c r="C4241" s="7" t="inlineStr">
        <is>
          <t>Nº 28421</t>
        </is>
      </c>
      <c r="D4241" s="8" t="inlineStr">
        <is>
          <t>BALLA IMP (VALIDAR)</t>
        </is>
      </c>
      <c r="E4241" s="7" t="inlineStr">
        <is>
          <t>Pulverização Agrícola Conforme Bula</t>
        </is>
      </c>
      <c r="F4241" s="7" t="inlineStr">
        <is>
          <t>Citros</t>
        </is>
      </c>
      <c r="G4241" s="7" t="inlineStr">
        <is>
          <t>Cultura Autorizada na Bula</t>
        </is>
      </c>
      <c r="H4241" s="7" t="inlineStr">
        <is>
          <t>100 a 300 L/ha</t>
        </is>
      </c>
      <c r="I4241" s="7" t="inlineStr">
        <is>
          <t>20 a 40 L/ha</t>
        </is>
      </c>
      <c r="J4241" s="7" t="inlineStr">
        <is>
          <t>14 dias</t>
        </is>
      </c>
    </row>
    <row r="4242" ht="22" customHeight="1">
      <c r="A4242" s="12" t="inlineStr">
        <is>
          <t>CUL-4238</t>
        </is>
      </c>
      <c r="B4242" s="11" t="n">
        <v>837</v>
      </c>
      <c r="C4242" s="13" t="inlineStr">
        <is>
          <t>Nº 28421</t>
        </is>
      </c>
      <c r="D4242" s="14" t="inlineStr">
        <is>
          <t>BALLA IMP (VALIDAR)</t>
        </is>
      </c>
      <c r="E4242" s="13" t="inlineStr">
        <is>
          <t>Pulverização Agrícola Conforme Bula</t>
        </is>
      </c>
      <c r="F4242" s="13" t="inlineStr">
        <is>
          <t>Tomate</t>
        </is>
      </c>
      <c r="G4242" s="13" t="inlineStr">
        <is>
          <t>Cultura Autorizada na Bula</t>
        </is>
      </c>
      <c r="H4242" s="13" t="inlineStr">
        <is>
          <t>100 a 300 L/ha</t>
        </is>
      </c>
      <c r="I4242" s="13" t="inlineStr">
        <is>
          <t>20 a 40 L/ha</t>
        </is>
      </c>
      <c r="J4242" s="13" t="inlineStr">
        <is>
          <t>7 dias</t>
        </is>
      </c>
    </row>
    <row r="4243" ht="22" customHeight="1">
      <c r="A4243" s="6" t="inlineStr">
        <is>
          <t>CUL-4239</t>
        </is>
      </c>
      <c r="B4243" s="5" t="n">
        <v>838</v>
      </c>
      <c r="C4243" s="7" t="inlineStr">
        <is>
          <t>Nº 36721</t>
        </is>
      </c>
      <c r="D4243" s="8" t="inlineStr">
        <is>
          <t>MAIZEFORCE IMP</t>
        </is>
      </c>
      <c r="E4243" s="7" t="inlineStr">
        <is>
          <t>Pulverização Agrícola Conforme Bula</t>
        </is>
      </c>
      <c r="F4243" s="7" t="inlineStr">
        <is>
          <t>Milho</t>
        </is>
      </c>
      <c r="G4243" s="7" t="inlineStr">
        <is>
          <t>Cultura Autorizada na Bula</t>
        </is>
      </c>
      <c r="H4243" s="7" t="inlineStr">
        <is>
          <t>100 a 300 L/ha</t>
        </is>
      </c>
      <c r="I4243" s="7" t="inlineStr">
        <is>
          <t>20 a 40 L/ha</t>
        </is>
      </c>
      <c r="J4243" s="7" t="inlineStr">
        <is>
          <t>63 dias</t>
        </is>
      </c>
    </row>
    <row r="4244" ht="22" customHeight="1">
      <c r="A4244" s="12" t="inlineStr">
        <is>
          <t>CUL-4240</t>
        </is>
      </c>
      <c r="B4244" s="11" t="n">
        <v>838</v>
      </c>
      <c r="C4244" s="13" t="inlineStr">
        <is>
          <t>Nº 36721</t>
        </is>
      </c>
      <c r="D4244" s="14" t="inlineStr">
        <is>
          <t>MAIZEFORCE IMP</t>
        </is>
      </c>
      <c r="E4244" s="13" t="inlineStr">
        <is>
          <t>Pulverização Agrícola Conforme Bula</t>
        </is>
      </c>
      <c r="F4244" s="13" t="inlineStr">
        <is>
          <t>Cana-de-açúcar</t>
        </is>
      </c>
      <c r="G4244" s="13" t="inlineStr">
        <is>
          <t>Cultura Autorizada na Bula</t>
        </is>
      </c>
      <c r="H4244" s="13" t="inlineStr">
        <is>
          <t>100 a 300 L/ha</t>
        </is>
      </c>
      <c r="I4244" s="13" t="inlineStr">
        <is>
          <t>20 a 40 L/ha</t>
        </is>
      </c>
      <c r="J4244" s="13" t="inlineStr">
        <is>
          <t>150 dias</t>
        </is>
      </c>
    </row>
    <row r="4245" ht="22" customHeight="1">
      <c r="A4245" s="6" t="inlineStr">
        <is>
          <t>CUL-4241</t>
        </is>
      </c>
      <c r="B4245" s="5" t="n">
        <v>838</v>
      </c>
      <c r="C4245" s="7" t="inlineStr">
        <is>
          <t>Nº 36721</t>
        </is>
      </c>
      <c r="D4245" s="8" t="inlineStr">
        <is>
          <t>MAIZEFORCE IMP</t>
        </is>
      </c>
      <c r="E4245" s="7" t="inlineStr">
        <is>
          <t>Pulverização Agrícola Conforme Bula</t>
        </is>
      </c>
      <c r="F4245" s="7" t="inlineStr">
        <is>
          <t>Milheto</t>
        </is>
      </c>
      <c r="G4245" s="7" t="inlineStr">
        <is>
          <t>Cultura Autorizada na Bula</t>
        </is>
      </c>
      <c r="H4245" s="7" t="inlineStr">
        <is>
          <t>100 a 300 L/ha</t>
        </is>
      </c>
      <c r="I4245" s="7" t="inlineStr">
        <is>
          <t>20 a 40 L/ha</t>
        </is>
      </c>
      <c r="J4245" s="7" t="inlineStr">
        <is>
          <t>60 dias</t>
        </is>
      </c>
    </row>
    <row r="4246" ht="22" customHeight="1">
      <c r="A4246" s="12" t="inlineStr">
        <is>
          <t>CUL-4242</t>
        </is>
      </c>
      <c r="B4246" s="11" t="n">
        <v>838</v>
      </c>
      <c r="C4246" s="13" t="inlineStr">
        <is>
          <t>Nº 36721</t>
        </is>
      </c>
      <c r="D4246" s="14" t="inlineStr">
        <is>
          <t>MAIZEFORCE IMP</t>
        </is>
      </c>
      <c r="E4246" s="13" t="inlineStr">
        <is>
          <t>Pulverização Agrícola Conforme Bula</t>
        </is>
      </c>
      <c r="F4246" s="13" t="inlineStr">
        <is>
          <t>Sorgo</t>
        </is>
      </c>
      <c r="G4246" s="13" t="inlineStr">
        <is>
          <t>Cultura Autorizada na Bula</t>
        </is>
      </c>
      <c r="H4246" s="13" t="inlineStr">
        <is>
          <t>100 a 300 L/ha</t>
        </is>
      </c>
      <c r="I4246" s="13" t="inlineStr">
        <is>
          <t>20 a 40 L/ha</t>
        </is>
      </c>
      <c r="J4246" s="13" t="inlineStr">
        <is>
          <t>60 dias</t>
        </is>
      </c>
    </row>
    <row r="4247" ht="22" customHeight="1">
      <c r="A4247" s="6" t="inlineStr">
        <is>
          <t>CUL-4243</t>
        </is>
      </c>
      <c r="B4247" s="5" t="n">
        <v>839</v>
      </c>
      <c r="C4247" s="7" t="inlineStr">
        <is>
          <t>Nº 19217</t>
        </is>
      </c>
      <c r="D4247" s="8" t="inlineStr">
        <is>
          <t>BLOWOUT</t>
        </is>
      </c>
      <c r="E4247" s="7" t="inlineStr">
        <is>
          <t>Pulverização Agrícola Conforme Bula</t>
        </is>
      </c>
      <c r="F4247" s="7" t="inlineStr">
        <is>
          <t>Soja (Dessecação Pré-Colheita e Pré-Plantio)</t>
        </is>
      </c>
      <c r="G4247" s="7" t="inlineStr">
        <is>
          <t>Cultura Autorizada na Bula</t>
        </is>
      </c>
      <c r="H4247" s="7" t="inlineStr">
        <is>
          <t>100 a 300 L/ha</t>
        </is>
      </c>
      <c r="I4247" s="7" t="inlineStr">
        <is>
          <t>20 a 40 L/ha</t>
        </is>
      </c>
      <c r="J4247" s="7" t="inlineStr">
        <is>
          <t>7 dias</t>
        </is>
      </c>
    </row>
    <row r="4248" ht="22" customHeight="1">
      <c r="A4248" s="12" t="inlineStr">
        <is>
          <t>CUL-4244</t>
        </is>
      </c>
      <c r="B4248" s="11" t="n">
        <v>839</v>
      </c>
      <c r="C4248" s="13" t="inlineStr">
        <is>
          <t>Nº 19217</t>
        </is>
      </c>
      <c r="D4248" s="14" t="inlineStr">
        <is>
          <t>BLOWOUT</t>
        </is>
      </c>
      <c r="E4248" s="13" t="inlineStr">
        <is>
          <t>Pulverização Agrícola Conforme Bula</t>
        </is>
      </c>
      <c r="F4248" s="13" t="inlineStr">
        <is>
          <t>Feijão (Dessecação Pré-Colheita)</t>
        </is>
      </c>
      <c r="G4248" s="13" t="inlineStr">
        <is>
          <t>Cultura Autorizada na Bula</t>
        </is>
      </c>
      <c r="H4248" s="13" t="inlineStr">
        <is>
          <t>100 a 300 L/ha</t>
        </is>
      </c>
      <c r="I4248" s="13" t="inlineStr">
        <is>
          <t>20 a 40 L/ha</t>
        </is>
      </c>
      <c r="J4248" s="13" t="inlineStr">
        <is>
          <t>7 dias</t>
        </is>
      </c>
    </row>
    <row r="4249" ht="22" customHeight="1">
      <c r="A4249" s="6" t="inlineStr">
        <is>
          <t>CUL-4245</t>
        </is>
      </c>
      <c r="B4249" s="5" t="n">
        <v>839</v>
      </c>
      <c r="C4249" s="7" t="inlineStr">
        <is>
          <t>Nº 19217</t>
        </is>
      </c>
      <c r="D4249" s="8" t="inlineStr">
        <is>
          <t>BLOWOUT</t>
        </is>
      </c>
      <c r="E4249" s="7" t="inlineStr">
        <is>
          <t>Pulverização Agrícola Conforme Bula</t>
        </is>
      </c>
      <c r="F4249" s="7" t="inlineStr">
        <is>
          <t>Algodão</t>
        </is>
      </c>
      <c r="G4249" s="7" t="inlineStr">
        <is>
          <t>Cultura Autorizada na Bula</t>
        </is>
      </c>
      <c r="H4249" s="7" t="inlineStr">
        <is>
          <t>100 a 300 L/ha</t>
        </is>
      </c>
      <c r="I4249" s="7" t="inlineStr">
        <is>
          <t>20 a 40 L/ha</t>
        </is>
      </c>
      <c r="J4249" s="7" t="inlineStr">
        <is>
          <t>7 dias</t>
        </is>
      </c>
    </row>
    <row r="4250" ht="22" customHeight="1">
      <c r="A4250" s="12" t="inlineStr">
        <is>
          <t>CUL-4246</t>
        </is>
      </c>
      <c r="B4250" s="11" t="n">
        <v>839</v>
      </c>
      <c r="C4250" s="13" t="inlineStr">
        <is>
          <t>Nº 19217</t>
        </is>
      </c>
      <c r="D4250" s="14" t="inlineStr">
        <is>
          <t>BLOWOUT</t>
        </is>
      </c>
      <c r="E4250" s="13" t="inlineStr">
        <is>
          <t>Pulverização Agrícola Conforme Bula</t>
        </is>
      </c>
      <c r="F4250" s="13" t="inlineStr">
        <is>
          <t>Batata</t>
        </is>
      </c>
      <c r="G4250" s="13" t="inlineStr">
        <is>
          <t>Cultura Autorizada na Bula</t>
        </is>
      </c>
      <c r="H4250" s="13" t="inlineStr">
        <is>
          <t>100 a 300 L/ha</t>
        </is>
      </c>
      <c r="I4250" s="13" t="inlineStr">
        <is>
          <t>20 a 40 L/ha</t>
        </is>
      </c>
      <c r="J4250" s="13" t="inlineStr">
        <is>
          <t>7 dias</t>
        </is>
      </c>
    </row>
    <row r="4251" ht="22" customHeight="1">
      <c r="A4251" s="6" t="inlineStr">
        <is>
          <t>CUL-4247</t>
        </is>
      </c>
      <c r="B4251" s="5" t="n">
        <v>839</v>
      </c>
      <c r="C4251" s="7" t="inlineStr">
        <is>
          <t>Nº 19217</t>
        </is>
      </c>
      <c r="D4251" s="8" t="inlineStr">
        <is>
          <t>BLOWOUT</t>
        </is>
      </c>
      <c r="E4251" s="7" t="inlineStr">
        <is>
          <t>Pulverização Agrícola Conforme Bula</t>
        </is>
      </c>
      <c r="F4251" s="7" t="inlineStr">
        <is>
          <t>Milho (Pré-Plantio)</t>
        </is>
      </c>
      <c r="G4251" s="7" t="inlineStr">
        <is>
          <t>Cultura Autorizada na Bula</t>
        </is>
      </c>
      <c r="H4251" s="7" t="inlineStr">
        <is>
          <t>100 a 300 L/ha</t>
        </is>
      </c>
      <c r="I4251" s="7" t="inlineStr">
        <is>
          <t>20 a 40 L/ha</t>
        </is>
      </c>
      <c r="J4251" s="7" t="inlineStr">
        <is>
          <t>N/D</t>
        </is>
      </c>
    </row>
    <row r="4252" ht="22" customHeight="1">
      <c r="A4252" s="12" t="inlineStr">
        <is>
          <t>CUL-4248</t>
        </is>
      </c>
      <c r="B4252" s="11" t="n">
        <v>840</v>
      </c>
      <c r="C4252" s="13" t="inlineStr">
        <is>
          <t>Nº 4026</t>
        </is>
      </c>
      <c r="D4252" s="14" t="inlineStr">
        <is>
          <t>SYNPROLE</t>
        </is>
      </c>
      <c r="E4252" s="13" t="inlineStr">
        <is>
          <t>Pulverização Agrícola Conforme Bula</t>
        </is>
      </c>
      <c r="F4252" s="13" t="inlineStr">
        <is>
          <t>Soja</t>
        </is>
      </c>
      <c r="G4252" s="13" t="inlineStr">
        <is>
          <t>Cultura Autorizada na Bula</t>
        </is>
      </c>
      <c r="H4252" s="13" t="inlineStr">
        <is>
          <t>100 a 300 L/ha</t>
        </is>
      </c>
      <c r="I4252" s="13" t="inlineStr">
        <is>
          <t>20 a 40 L/ha</t>
        </is>
      </c>
      <c r="J4252" s="13" t="inlineStr">
        <is>
          <t>30 dias</t>
        </is>
      </c>
    </row>
    <row r="4253" ht="22" customHeight="1">
      <c r="A4253" s="6" t="inlineStr">
        <is>
          <t>CUL-4249</t>
        </is>
      </c>
      <c r="B4253" s="5" t="n">
        <v>840</v>
      </c>
      <c r="C4253" s="7" t="inlineStr">
        <is>
          <t>Nº 4026</t>
        </is>
      </c>
      <c r="D4253" s="8" t="inlineStr">
        <is>
          <t>SYNPROLE</t>
        </is>
      </c>
      <c r="E4253" s="7" t="inlineStr">
        <is>
          <t>Pulverização Agrícola Conforme Bula</t>
        </is>
      </c>
      <c r="F4253" s="7" t="inlineStr">
        <is>
          <t>Algodão</t>
        </is>
      </c>
      <c r="G4253" s="7" t="inlineStr">
        <is>
          <t>Cultura Autorizada na Bula</t>
        </is>
      </c>
      <c r="H4253" s="7" t="inlineStr">
        <is>
          <t>100 a 300 L/ha</t>
        </is>
      </c>
      <c r="I4253" s="7" t="inlineStr">
        <is>
          <t>20 a 40 L/ha</t>
        </is>
      </c>
      <c r="J4253" s="7" t="inlineStr">
        <is>
          <t>30 dias</t>
        </is>
      </c>
    </row>
    <row r="4254" ht="22" customHeight="1">
      <c r="A4254" s="12" t="inlineStr">
        <is>
          <t>CUL-4250</t>
        </is>
      </c>
      <c r="B4254" s="11" t="n">
        <v>840</v>
      </c>
      <c r="C4254" s="13" t="inlineStr">
        <is>
          <t>Nº 4026</t>
        </is>
      </c>
      <c r="D4254" s="14" t="inlineStr">
        <is>
          <t>SYNPROLE</t>
        </is>
      </c>
      <c r="E4254" s="13" t="inlineStr">
        <is>
          <t>Pulverização Agrícola Conforme Bula</t>
        </is>
      </c>
      <c r="F4254" s="13" t="inlineStr">
        <is>
          <t>Milho</t>
        </is>
      </c>
      <c r="G4254" s="13" t="inlineStr">
        <is>
          <t>Cultura Autorizada na Bula</t>
        </is>
      </c>
      <c r="H4254" s="13" t="inlineStr">
        <is>
          <t>100 a 300 L/ha</t>
        </is>
      </c>
      <c r="I4254" s="13" t="inlineStr">
        <is>
          <t>20 a 40 L/ha</t>
        </is>
      </c>
      <c r="J4254" s="13" t="inlineStr">
        <is>
          <t>42 dias</t>
        </is>
      </c>
    </row>
    <row r="4255" ht="22" customHeight="1">
      <c r="A4255" s="6" t="inlineStr">
        <is>
          <t>CUL-4251</t>
        </is>
      </c>
      <c r="B4255" s="5" t="n">
        <v>840</v>
      </c>
      <c r="C4255" s="7" t="inlineStr">
        <is>
          <t>Nº 4026</t>
        </is>
      </c>
      <c r="D4255" s="8" t="inlineStr">
        <is>
          <t>SYNPROLE</t>
        </is>
      </c>
      <c r="E4255" s="7" t="inlineStr">
        <is>
          <t>Pulverização Agrícola Conforme Bula</t>
        </is>
      </c>
      <c r="F4255" s="7" t="inlineStr">
        <is>
          <t>Feijão</t>
        </is>
      </c>
      <c r="G4255" s="7" t="inlineStr">
        <is>
          <t>Cultura Autorizada na Bula</t>
        </is>
      </c>
      <c r="H4255" s="7" t="inlineStr">
        <is>
          <t>100 a 300 L/ha</t>
        </is>
      </c>
      <c r="I4255" s="7" t="inlineStr">
        <is>
          <t>20 a 40 L/ha</t>
        </is>
      </c>
      <c r="J4255" s="7" t="inlineStr">
        <is>
          <t>15 dias</t>
        </is>
      </c>
    </row>
    <row r="4256" ht="22" customHeight="1">
      <c r="A4256" s="12" t="inlineStr">
        <is>
          <t>CUL-4252</t>
        </is>
      </c>
      <c r="B4256" s="11" t="n">
        <v>840</v>
      </c>
      <c r="C4256" s="13" t="inlineStr">
        <is>
          <t>Nº 4026</t>
        </is>
      </c>
      <c r="D4256" s="14" t="inlineStr">
        <is>
          <t>SYNPROLE</t>
        </is>
      </c>
      <c r="E4256" s="13" t="inlineStr">
        <is>
          <t>Pulverização Agrícola Conforme Bula</t>
        </is>
      </c>
      <c r="F4256" s="13" t="inlineStr">
        <is>
          <t>Trigo</t>
        </is>
      </c>
      <c r="G4256" s="13" t="inlineStr">
        <is>
          <t>Cultura Autorizada na Bula</t>
        </is>
      </c>
      <c r="H4256" s="13" t="inlineStr">
        <is>
          <t>100 a 300 L/ha</t>
        </is>
      </c>
      <c r="I4256" s="13" t="inlineStr">
        <is>
          <t>20 a 40 L/ha</t>
        </is>
      </c>
      <c r="J4256" s="13" t="inlineStr">
        <is>
          <t>30 dias</t>
        </is>
      </c>
    </row>
    <row r="4257" ht="22" customHeight="1">
      <c r="A4257" s="6" t="inlineStr">
        <is>
          <t>CUL-4253</t>
        </is>
      </c>
      <c r="B4257" s="5" t="n">
        <v>841</v>
      </c>
      <c r="C4257" s="7" t="inlineStr">
        <is>
          <t>VINCULAR MARCA</t>
        </is>
      </c>
      <c r="D4257" s="8" t="inlineStr">
        <is>
          <t>FLUAZINAM TECNICO 98% (AMOSTRA)</t>
        </is>
      </c>
      <c r="E4257" s="7" t="inlineStr">
        <is>
          <t>Uso Exclusivamente Industrial (Formulação)</t>
        </is>
      </c>
      <c r="F4257" s="7" t="inlineStr">
        <is>
          <t>Não Aplicável (Proibido uso direto na lavoura)</t>
        </is>
      </c>
      <c r="G4257" s="7" t="inlineStr">
        <is>
          <t>Insumo Industrial</t>
        </is>
      </c>
      <c r="H4257" s="7" t="inlineStr">
        <is>
          <t>N/A</t>
        </is>
      </c>
      <c r="I4257" s="7" t="inlineStr">
        <is>
          <t>N/A</t>
        </is>
      </c>
      <c r="J4257" s="7" t="inlineStr">
        <is>
          <t>N/A (Insumo Industrial)</t>
        </is>
      </c>
    </row>
    <row r="4258" ht="22" customHeight="1">
      <c r="A4258" s="12" t="inlineStr">
        <is>
          <t>CUL-4254</t>
        </is>
      </c>
      <c r="B4258" s="11" t="n">
        <v>842</v>
      </c>
      <c r="C4258" s="13" t="inlineStr">
        <is>
          <t>Nº 40624</t>
        </is>
      </c>
      <c r="D4258" s="14" t="inlineStr">
        <is>
          <t>SHARK</t>
        </is>
      </c>
      <c r="E4258" s="13" t="inlineStr">
        <is>
          <t>Pulverização Agrícola Conforme Bula</t>
        </is>
      </c>
      <c r="F4258" s="13" t="inlineStr">
        <is>
          <t>Soja</t>
        </is>
      </c>
      <c r="G4258" s="13" t="inlineStr">
        <is>
          <t>Cultura Autorizada na Bula</t>
        </is>
      </c>
      <c r="H4258" s="13" t="inlineStr">
        <is>
          <t>100 a 300 L/ha</t>
        </is>
      </c>
      <c r="I4258" s="13" t="inlineStr">
        <is>
          <t>20 a 40 L/ha</t>
        </is>
      </c>
      <c r="J4258" s="13" t="inlineStr">
        <is>
          <t>21 dias</t>
        </is>
      </c>
    </row>
    <row r="4259" ht="22" customHeight="1">
      <c r="A4259" s="6" t="inlineStr">
        <is>
          <t>CUL-4255</t>
        </is>
      </c>
      <c r="B4259" s="5" t="n">
        <v>842</v>
      </c>
      <c r="C4259" s="7" t="inlineStr">
        <is>
          <t>Nº 40624</t>
        </is>
      </c>
      <c r="D4259" s="8" t="inlineStr">
        <is>
          <t>SHARK</t>
        </is>
      </c>
      <c r="E4259" s="7" t="inlineStr">
        <is>
          <t>Pulverização Agrícola Conforme Bula</t>
        </is>
      </c>
      <c r="F4259" s="7" t="inlineStr">
        <is>
          <t>Milho</t>
        </is>
      </c>
      <c r="G4259" s="7" t="inlineStr">
        <is>
          <t>Cultura Autorizada na Bula</t>
        </is>
      </c>
      <c r="H4259" s="7" t="inlineStr">
        <is>
          <t>100 a 300 L/ha</t>
        </is>
      </c>
      <c r="I4259" s="7" t="inlineStr">
        <is>
          <t>20 a 40 L/ha</t>
        </is>
      </c>
      <c r="J4259" s="7" t="inlineStr">
        <is>
          <t>21 dias</t>
        </is>
      </c>
    </row>
    <row r="4260" ht="22" customHeight="1">
      <c r="A4260" s="12" t="inlineStr">
        <is>
          <t>CUL-4256</t>
        </is>
      </c>
      <c r="B4260" s="11" t="n">
        <v>842</v>
      </c>
      <c r="C4260" s="13" t="inlineStr">
        <is>
          <t>Nº 40624</t>
        </is>
      </c>
      <c r="D4260" s="14" t="inlineStr">
        <is>
          <t>SHARK</t>
        </is>
      </c>
      <c r="E4260" s="13" t="inlineStr">
        <is>
          <t>Pulverização Agrícola Conforme Bula</t>
        </is>
      </c>
      <c r="F4260" s="13" t="inlineStr">
        <is>
          <t>Algodão</t>
        </is>
      </c>
      <c r="G4260" s="13" t="inlineStr">
        <is>
          <t>Cultura Autorizada na Bula</t>
        </is>
      </c>
      <c r="H4260" s="13" t="inlineStr">
        <is>
          <t>100 a 300 L/ha</t>
        </is>
      </c>
      <c r="I4260" s="13" t="inlineStr">
        <is>
          <t>20 a 40 L/ha</t>
        </is>
      </c>
      <c r="J4260" s="13" t="inlineStr">
        <is>
          <t>21 dias</t>
        </is>
      </c>
    </row>
    <row r="4261" ht="22" customHeight="1">
      <c r="A4261" s="6" t="inlineStr">
        <is>
          <t>CUL-4257</t>
        </is>
      </c>
      <c r="B4261" s="5" t="n">
        <v>842</v>
      </c>
      <c r="C4261" s="7" t="inlineStr">
        <is>
          <t>Nº 40624</t>
        </is>
      </c>
      <c r="D4261" s="8" t="inlineStr">
        <is>
          <t>SHARK</t>
        </is>
      </c>
      <c r="E4261" s="7" t="inlineStr">
        <is>
          <t>Pulverização Agrícola Conforme Bula</t>
        </is>
      </c>
      <c r="F4261" s="7" t="inlineStr">
        <is>
          <t>Café</t>
        </is>
      </c>
      <c r="G4261" s="7" t="inlineStr">
        <is>
          <t>Cultura Autorizada na Bula</t>
        </is>
      </c>
      <c r="H4261" s="7" t="inlineStr">
        <is>
          <t>100 a 300 L/ha</t>
        </is>
      </c>
      <c r="I4261" s="7" t="inlineStr">
        <is>
          <t>20 a 40 L/ha</t>
        </is>
      </c>
      <c r="J4261" s="7" t="inlineStr">
        <is>
          <t>21 dias</t>
        </is>
      </c>
    </row>
    <row r="4262" ht="22" customHeight="1">
      <c r="A4262" s="12" t="inlineStr">
        <is>
          <t>CUL-4258</t>
        </is>
      </c>
      <c r="B4262" s="11" t="n">
        <v>842</v>
      </c>
      <c r="C4262" s="13" t="inlineStr">
        <is>
          <t>Nº 40624</t>
        </is>
      </c>
      <c r="D4262" s="14" t="inlineStr">
        <is>
          <t>SHARK</t>
        </is>
      </c>
      <c r="E4262" s="13" t="inlineStr">
        <is>
          <t>Pulverização Agrícola Conforme Bula</t>
        </is>
      </c>
      <c r="F4262" s="13" t="inlineStr">
        <is>
          <t>Citros</t>
        </is>
      </c>
      <c r="G4262" s="13" t="inlineStr">
        <is>
          <t>Cultura Autorizada na Bula</t>
        </is>
      </c>
      <c r="H4262" s="13" t="inlineStr">
        <is>
          <t>100 a 300 L/ha</t>
        </is>
      </c>
      <c r="I4262" s="13" t="inlineStr">
        <is>
          <t>20 a 40 L/ha</t>
        </is>
      </c>
      <c r="J4262" s="13" t="inlineStr">
        <is>
          <t>21 dias</t>
        </is>
      </c>
    </row>
    <row r="4263" ht="22" customHeight="1">
      <c r="A4263" s="6" t="inlineStr">
        <is>
          <t>CUL-4259</t>
        </is>
      </c>
      <c r="B4263" s="5" t="n">
        <v>842</v>
      </c>
      <c r="C4263" s="7" t="inlineStr">
        <is>
          <t>Nº 40624</t>
        </is>
      </c>
      <c r="D4263" s="8" t="inlineStr">
        <is>
          <t>SHARK</t>
        </is>
      </c>
      <c r="E4263" s="7" t="inlineStr">
        <is>
          <t>Pulverização Agrícola Conforme Bula</t>
        </is>
      </c>
      <c r="F4263" s="7" t="inlineStr">
        <is>
          <t>Feijão</t>
        </is>
      </c>
      <c r="G4263" s="7" t="inlineStr">
        <is>
          <t>Cultura Autorizada na Bula</t>
        </is>
      </c>
      <c r="H4263" s="7" t="inlineStr">
        <is>
          <t>100 a 300 L/ha</t>
        </is>
      </c>
      <c r="I4263" s="7" t="inlineStr">
        <is>
          <t>20 a 40 L/ha</t>
        </is>
      </c>
      <c r="J4263" s="7" t="inlineStr">
        <is>
          <t>25 dias</t>
        </is>
      </c>
    </row>
    <row r="4264" ht="22" customHeight="1">
      <c r="A4264" s="12" t="inlineStr">
        <is>
          <t>CUL-4260</t>
        </is>
      </c>
      <c r="B4264" s="11" t="n">
        <v>842</v>
      </c>
      <c r="C4264" s="13" t="inlineStr">
        <is>
          <t>Nº 40624</t>
        </is>
      </c>
      <c r="D4264" s="14" t="inlineStr">
        <is>
          <t>SHARK</t>
        </is>
      </c>
      <c r="E4264" s="13" t="inlineStr">
        <is>
          <t>Pulverização Agrícola Conforme Bula</t>
        </is>
      </c>
      <c r="F4264" s="13" t="inlineStr">
        <is>
          <t>Batata</t>
        </is>
      </c>
      <c r="G4264" s="13" t="inlineStr">
        <is>
          <t>Cultura Autorizada na Bula</t>
        </is>
      </c>
      <c r="H4264" s="13" t="inlineStr">
        <is>
          <t>100 a 300 L/ha</t>
        </is>
      </c>
      <c r="I4264" s="13" t="inlineStr">
        <is>
          <t>20 a 40 L/ha</t>
        </is>
      </c>
      <c r="J4264" s="13" t="inlineStr">
        <is>
          <t>21 dias</t>
        </is>
      </c>
    </row>
    <row r="4265" ht="22" customHeight="1">
      <c r="A4265" s="6" t="inlineStr">
        <is>
          <t>CUL-4261</t>
        </is>
      </c>
      <c r="B4265" s="5" t="n">
        <v>842</v>
      </c>
      <c r="C4265" s="7" t="inlineStr">
        <is>
          <t>Nº 40624</t>
        </is>
      </c>
      <c r="D4265" s="8" t="inlineStr">
        <is>
          <t>SHARK</t>
        </is>
      </c>
      <c r="E4265" s="7" t="inlineStr">
        <is>
          <t>Pulverização Agrícola Conforme Bula</t>
        </is>
      </c>
      <c r="F4265" s="7" t="inlineStr">
        <is>
          <t>Tomate</t>
        </is>
      </c>
      <c r="G4265" s="7" t="inlineStr">
        <is>
          <t>Cultura Autorizada na Bula</t>
        </is>
      </c>
      <c r="H4265" s="7" t="inlineStr">
        <is>
          <t>100 a 300 L/ha</t>
        </is>
      </c>
      <c r="I4265" s="7" t="inlineStr">
        <is>
          <t>20 a 40 L/ha</t>
        </is>
      </c>
      <c r="J4265" s="7" t="inlineStr">
        <is>
          <t>21 dias</t>
        </is>
      </c>
    </row>
    <row r="4266" ht="22" customHeight="1">
      <c r="A4266" s="12" t="inlineStr">
        <is>
          <t>CUL-4262</t>
        </is>
      </c>
      <c r="B4266" s="11" t="n">
        <v>842</v>
      </c>
      <c r="C4266" s="13" t="inlineStr">
        <is>
          <t>Nº 40624</t>
        </is>
      </c>
      <c r="D4266" s="14" t="inlineStr">
        <is>
          <t>SHARK</t>
        </is>
      </c>
      <c r="E4266" s="13" t="inlineStr">
        <is>
          <t>Pulverização Agrícola Conforme Bula</t>
        </is>
      </c>
      <c r="F4266" s="13" t="inlineStr">
        <is>
          <t>Trigo</t>
        </is>
      </c>
      <c r="G4266" s="13" t="inlineStr">
        <is>
          <t>Cultura Autorizada na Bula</t>
        </is>
      </c>
      <c r="H4266" s="13" t="inlineStr">
        <is>
          <t>100 a 300 L/ha</t>
        </is>
      </c>
      <c r="I4266" s="13" t="inlineStr">
        <is>
          <t>20 a 40 L/ha</t>
        </is>
      </c>
      <c r="J4266" s="13" t="inlineStr">
        <is>
          <t>21 dias</t>
        </is>
      </c>
    </row>
    <row r="4267" ht="22" customHeight="1">
      <c r="A4267" s="6" t="inlineStr">
        <is>
          <t>CUL-4263</t>
        </is>
      </c>
      <c r="B4267" s="5" t="n">
        <v>843</v>
      </c>
      <c r="C4267" s="7" t="inlineStr">
        <is>
          <t>Nº 15716</t>
        </is>
      </c>
      <c r="D4267" s="8" t="inlineStr">
        <is>
          <t>DIFCOR 250 EC</t>
        </is>
      </c>
      <c r="E4267" s="7" t="inlineStr">
        <is>
          <t>Pulverização Agrícola Conforme Bula</t>
        </is>
      </c>
      <c r="F4267" s="7" t="inlineStr">
        <is>
          <t>Soja</t>
        </is>
      </c>
      <c r="G4267" s="7" t="inlineStr">
        <is>
          <t>Cultura Autorizada na Bula</t>
        </is>
      </c>
      <c r="H4267" s="7" t="inlineStr">
        <is>
          <t>100 a 300 L/ha</t>
        </is>
      </c>
      <c r="I4267" s="7" t="inlineStr">
        <is>
          <t>20 a 40 L/ha</t>
        </is>
      </c>
      <c r="J4267" s="7" t="inlineStr">
        <is>
          <t>30 dias</t>
        </is>
      </c>
    </row>
    <row r="4268" ht="22" customHeight="1">
      <c r="A4268" s="12" t="inlineStr">
        <is>
          <t>CUL-4264</t>
        </is>
      </c>
      <c r="B4268" s="11" t="n">
        <v>843</v>
      </c>
      <c r="C4268" s="13" t="inlineStr">
        <is>
          <t>Nº 15716</t>
        </is>
      </c>
      <c r="D4268" s="14" t="inlineStr">
        <is>
          <t>DIFCOR 250 EC</t>
        </is>
      </c>
      <c r="E4268" s="13" t="inlineStr">
        <is>
          <t>Pulverização Agrícola Conforme Bula</t>
        </is>
      </c>
      <c r="F4268" s="13" t="inlineStr">
        <is>
          <t>Algodão</t>
        </is>
      </c>
      <c r="G4268" s="13" t="inlineStr">
        <is>
          <t>Cultura Autorizada na Bula</t>
        </is>
      </c>
      <c r="H4268" s="13" t="inlineStr">
        <is>
          <t>100 a 300 L/ha</t>
        </is>
      </c>
      <c r="I4268" s="13" t="inlineStr">
        <is>
          <t>20 a 40 L/ha</t>
        </is>
      </c>
      <c r="J4268" s="13" t="inlineStr">
        <is>
          <t>30 dias</t>
        </is>
      </c>
    </row>
    <row r="4269" ht="22" customHeight="1">
      <c r="A4269" s="6" t="inlineStr">
        <is>
          <t>CUL-4265</t>
        </is>
      </c>
      <c r="B4269" s="5" t="n">
        <v>843</v>
      </c>
      <c r="C4269" s="7" t="inlineStr">
        <is>
          <t>Nº 15716</t>
        </is>
      </c>
      <c r="D4269" s="8" t="inlineStr">
        <is>
          <t>DIFCOR 250 EC</t>
        </is>
      </c>
      <c r="E4269" s="7" t="inlineStr">
        <is>
          <t>Pulverização Agrícola Conforme Bula</t>
        </is>
      </c>
      <c r="F4269" s="7" t="inlineStr">
        <is>
          <t>Feijão</t>
        </is>
      </c>
      <c r="G4269" s="7" t="inlineStr">
        <is>
          <t>Cultura Autorizada na Bula</t>
        </is>
      </c>
      <c r="H4269" s="7" t="inlineStr">
        <is>
          <t>100 a 300 L/ha</t>
        </is>
      </c>
      <c r="I4269" s="7" t="inlineStr">
        <is>
          <t>20 a 40 L/ha</t>
        </is>
      </c>
      <c r="J4269" s="7" t="inlineStr">
        <is>
          <t>14 dias</t>
        </is>
      </c>
    </row>
    <row r="4270" ht="22" customHeight="1">
      <c r="A4270" s="12" t="inlineStr">
        <is>
          <t>CUL-4266</t>
        </is>
      </c>
      <c r="B4270" s="11" t="n">
        <v>843</v>
      </c>
      <c r="C4270" s="13" t="inlineStr">
        <is>
          <t>Nº 15716</t>
        </is>
      </c>
      <c r="D4270" s="14" t="inlineStr">
        <is>
          <t>DIFCOR 250 EC</t>
        </is>
      </c>
      <c r="E4270" s="13" t="inlineStr">
        <is>
          <t>Pulverização Agrícola Conforme Bula</t>
        </is>
      </c>
      <c r="F4270" s="13" t="inlineStr">
        <is>
          <t>Arroz</t>
        </is>
      </c>
      <c r="G4270" s="13" t="inlineStr">
        <is>
          <t>Cultura Autorizada na Bula</t>
        </is>
      </c>
      <c r="H4270" s="13" t="inlineStr">
        <is>
          <t>100 a 300 L/ha</t>
        </is>
      </c>
      <c r="I4270" s="13" t="inlineStr">
        <is>
          <t>20 a 40 L/ha</t>
        </is>
      </c>
      <c r="J4270" s="13" t="inlineStr">
        <is>
          <t>40 dias</t>
        </is>
      </c>
    </row>
    <row r="4271" ht="22" customHeight="1">
      <c r="A4271" s="6" t="inlineStr">
        <is>
          <t>CUL-4267</t>
        </is>
      </c>
      <c r="B4271" s="5" t="n">
        <v>843</v>
      </c>
      <c r="C4271" s="7" t="inlineStr">
        <is>
          <t>Nº 15716</t>
        </is>
      </c>
      <c r="D4271" s="8" t="inlineStr">
        <is>
          <t>DIFCOR 250 EC</t>
        </is>
      </c>
      <c r="E4271" s="7" t="inlineStr">
        <is>
          <t>Pulverização Agrícola Conforme Bula</t>
        </is>
      </c>
      <c r="F4271" s="7" t="inlineStr">
        <is>
          <t>Café</t>
        </is>
      </c>
      <c r="G4271" s="7" t="inlineStr">
        <is>
          <t>Cultura Autorizada na Bula</t>
        </is>
      </c>
      <c r="H4271" s="7" t="inlineStr">
        <is>
          <t>100 a 300 L/ha</t>
        </is>
      </c>
      <c r="I4271" s="7" t="inlineStr">
        <is>
          <t>20 a 40 L/ha</t>
        </is>
      </c>
      <c r="J4271" s="7" t="inlineStr">
        <is>
          <t>30 dias</t>
        </is>
      </c>
    </row>
    <row r="4272" ht="22" customHeight="1">
      <c r="A4272" s="12" t="inlineStr">
        <is>
          <t>CUL-4268</t>
        </is>
      </c>
      <c r="B4272" s="11" t="n">
        <v>843</v>
      </c>
      <c r="C4272" s="13" t="inlineStr">
        <is>
          <t>Nº 15716</t>
        </is>
      </c>
      <c r="D4272" s="14" t="inlineStr">
        <is>
          <t>DIFCOR 250 EC</t>
        </is>
      </c>
      <c r="E4272" s="13" t="inlineStr">
        <is>
          <t>Pulverização Agrícola Conforme Bula</t>
        </is>
      </c>
      <c r="F4272" s="13" t="inlineStr">
        <is>
          <t>Trigo</t>
        </is>
      </c>
      <c r="G4272" s="13" t="inlineStr">
        <is>
          <t>Cultura Autorizada na Bula</t>
        </is>
      </c>
      <c r="H4272" s="13" t="inlineStr">
        <is>
          <t>100 a 300 L/ha</t>
        </is>
      </c>
      <c r="I4272" s="13" t="inlineStr">
        <is>
          <t>20 a 40 L/ha</t>
        </is>
      </c>
      <c r="J4272" s="13" t="inlineStr">
        <is>
          <t>35 dias</t>
        </is>
      </c>
    </row>
    <row r="4273" ht="22" customHeight="1">
      <c r="A4273" s="6" t="inlineStr">
        <is>
          <t>CUL-4269</t>
        </is>
      </c>
      <c r="B4273" s="5" t="n">
        <v>843</v>
      </c>
      <c r="C4273" s="7" t="inlineStr">
        <is>
          <t>Nº 15716</t>
        </is>
      </c>
      <c r="D4273" s="8" t="inlineStr">
        <is>
          <t>DIFCOR 250 EC</t>
        </is>
      </c>
      <c r="E4273" s="7" t="inlineStr">
        <is>
          <t>Pulverização Agrícola Conforme Bula</t>
        </is>
      </c>
      <c r="F4273" s="7" t="inlineStr">
        <is>
          <t>Tomate</t>
        </is>
      </c>
      <c r="G4273" s="7" t="inlineStr">
        <is>
          <t>Cultura Autorizada na Bula</t>
        </is>
      </c>
      <c r="H4273" s="7" t="inlineStr">
        <is>
          <t>100 a 300 L/ha</t>
        </is>
      </c>
      <c r="I4273" s="7" t="inlineStr">
        <is>
          <t>20 a 40 L/ha</t>
        </is>
      </c>
      <c r="J4273" s="7" t="inlineStr">
        <is>
          <t>7 dias</t>
        </is>
      </c>
    </row>
    <row r="4274" ht="22" customHeight="1">
      <c r="A4274" s="12" t="inlineStr">
        <is>
          <t>CUL-4270</t>
        </is>
      </c>
      <c r="B4274" s="11" t="n">
        <v>844</v>
      </c>
      <c r="C4274" s="13" t="inlineStr">
        <is>
          <t>Nº 52425</t>
        </is>
      </c>
      <c r="D4274" s="14" t="inlineStr">
        <is>
          <t>GEODO AMOSTRA 0,100KG IMP</t>
        </is>
      </c>
      <c r="E4274" s="13" t="inlineStr">
        <is>
          <t>Pulverização Agrícola Conforme Bula</t>
        </is>
      </c>
      <c r="F4274" s="13" t="inlineStr">
        <is>
          <t>Algodão</t>
        </is>
      </c>
      <c r="G4274" s="13" t="inlineStr">
        <is>
          <t>Cultura Autorizada na Bula</t>
        </is>
      </c>
      <c r="H4274" s="13" t="inlineStr">
        <is>
          <t>100 a 300 L/ha</t>
        </is>
      </c>
      <c r="I4274" s="13" t="inlineStr">
        <is>
          <t>20 a 40 L/ha</t>
        </is>
      </c>
      <c r="J4274" s="13" t="inlineStr">
        <is>
          <t>15 dias</t>
        </is>
      </c>
    </row>
    <row r="4275" ht="22" customHeight="1">
      <c r="A4275" s="6" t="inlineStr">
        <is>
          <t>CUL-4271</t>
        </is>
      </c>
      <c r="B4275" s="5" t="n">
        <v>844</v>
      </c>
      <c r="C4275" s="7" t="inlineStr">
        <is>
          <t>Nº 52425</t>
        </is>
      </c>
      <c r="D4275" s="8" t="inlineStr">
        <is>
          <t>GEODO AMOSTRA 0,100KG IMP</t>
        </is>
      </c>
      <c r="E4275" s="7" t="inlineStr">
        <is>
          <t>Pulverização Agrícola Conforme Bula</t>
        </is>
      </c>
      <c r="F4275" s="7" t="inlineStr">
        <is>
          <t>Soja</t>
        </is>
      </c>
      <c r="G4275" s="7" t="inlineStr">
        <is>
          <t>Cultura Autorizada na Bula</t>
        </is>
      </c>
      <c r="H4275" s="7" t="inlineStr">
        <is>
          <t>100 a 300 L/ha</t>
        </is>
      </c>
      <c r="I4275" s="7" t="inlineStr">
        <is>
          <t>20 a 40 L/ha</t>
        </is>
      </c>
      <c r="J4275" s="7" t="inlineStr">
        <is>
          <t>30 dias</t>
        </is>
      </c>
    </row>
    <row r="4276" ht="22" customHeight="1">
      <c r="A4276" s="12" t="inlineStr">
        <is>
          <t>CUL-4272</t>
        </is>
      </c>
      <c r="B4276" s="11" t="n">
        <v>844</v>
      </c>
      <c r="C4276" s="13" t="inlineStr">
        <is>
          <t>Nº 52425</t>
        </is>
      </c>
      <c r="D4276" s="14" t="inlineStr">
        <is>
          <t>GEODO AMOSTRA 0,100KG IMP</t>
        </is>
      </c>
      <c r="E4276" s="13" t="inlineStr">
        <is>
          <t>Pulverização Agrícola Conforme Bula</t>
        </is>
      </c>
      <c r="F4276" s="13" t="inlineStr">
        <is>
          <t>Milho</t>
        </is>
      </c>
      <c r="G4276" s="13" t="inlineStr">
        <is>
          <t>Cultura Autorizada na Bula</t>
        </is>
      </c>
      <c r="H4276" s="13" t="inlineStr">
        <is>
          <t>100 a 300 L/ha</t>
        </is>
      </c>
      <c r="I4276" s="13" t="inlineStr">
        <is>
          <t>20 a 40 L/ha</t>
        </is>
      </c>
      <c r="J4276" s="13" t="inlineStr">
        <is>
          <t>30 dias</t>
        </is>
      </c>
    </row>
    <row r="4277" ht="22" customHeight="1">
      <c r="A4277" s="6" t="inlineStr">
        <is>
          <t>CUL-4273</t>
        </is>
      </c>
      <c r="B4277" s="5" t="n">
        <v>844</v>
      </c>
      <c r="C4277" s="7" t="inlineStr">
        <is>
          <t>Nº 52425</t>
        </is>
      </c>
      <c r="D4277" s="8" t="inlineStr">
        <is>
          <t>GEODO AMOSTRA 0,100KG IMP</t>
        </is>
      </c>
      <c r="E4277" s="7" t="inlineStr">
        <is>
          <t>Pulverização Agrícola Conforme Bula</t>
        </is>
      </c>
      <c r="F4277" s="7" t="inlineStr">
        <is>
          <t>Cana-de-açúcar</t>
        </is>
      </c>
      <c r="G4277" s="7" t="inlineStr">
        <is>
          <t>Cultura Autorizada na Bula</t>
        </is>
      </c>
      <c r="H4277" s="7" t="inlineStr">
        <is>
          <t>100 a 300 L/ha</t>
        </is>
      </c>
      <c r="I4277" s="7" t="inlineStr">
        <is>
          <t>20 a 40 L/ha</t>
        </is>
      </c>
      <c r="J4277" s="7" t="inlineStr">
        <is>
          <t>30 dias</t>
        </is>
      </c>
    </row>
    <row r="4278" ht="22" customHeight="1">
      <c r="A4278" s="12" t="inlineStr">
        <is>
          <t>CUL-4274</t>
        </is>
      </c>
      <c r="B4278" s="11" t="n">
        <v>844</v>
      </c>
      <c r="C4278" s="13" t="inlineStr">
        <is>
          <t>Nº 52425</t>
        </is>
      </c>
      <c r="D4278" s="14" t="inlineStr">
        <is>
          <t>GEODO AMOSTRA 0,100KG IMP</t>
        </is>
      </c>
      <c r="E4278" s="13" t="inlineStr">
        <is>
          <t>Pulverização Agrícola Conforme Bula</t>
        </is>
      </c>
      <c r="F4278" s="13" t="inlineStr">
        <is>
          <t>Café</t>
        </is>
      </c>
      <c r="G4278" s="13" t="inlineStr">
        <is>
          <t>Cultura Autorizada na Bula</t>
        </is>
      </c>
      <c r="H4278" s="13" t="inlineStr">
        <is>
          <t>100 a 300 L/ha</t>
        </is>
      </c>
      <c r="I4278" s="13" t="inlineStr">
        <is>
          <t>20 a 40 L/ha</t>
        </is>
      </c>
      <c r="J4278" s="13" t="inlineStr">
        <is>
          <t>30 dias</t>
        </is>
      </c>
    </row>
    <row r="4279" ht="22" customHeight="1">
      <c r="A4279" s="6" t="inlineStr">
        <is>
          <t>CUL-4275</t>
        </is>
      </c>
      <c r="B4279" s="5" t="n">
        <v>844</v>
      </c>
      <c r="C4279" s="7" t="inlineStr">
        <is>
          <t>Nº 52425</t>
        </is>
      </c>
      <c r="D4279" s="8" t="inlineStr">
        <is>
          <t>GEODO AMOSTRA 0,100KG IMP</t>
        </is>
      </c>
      <c r="E4279" s="7" t="inlineStr">
        <is>
          <t>Pulverização Agrícola Conforme Bula</t>
        </is>
      </c>
      <c r="F4279" s="7" t="inlineStr">
        <is>
          <t>Citros</t>
        </is>
      </c>
      <c r="G4279" s="7" t="inlineStr">
        <is>
          <t>Cultura Autorizada na Bula</t>
        </is>
      </c>
      <c r="H4279" s="7" t="inlineStr">
        <is>
          <t>100 a 300 L/ha</t>
        </is>
      </c>
      <c r="I4279" s="7" t="inlineStr">
        <is>
          <t>20 a 40 L/ha</t>
        </is>
      </c>
      <c r="J4279" s="7" t="inlineStr">
        <is>
          <t>7 dias</t>
        </is>
      </c>
    </row>
    <row r="4280" ht="22" customHeight="1">
      <c r="A4280" s="12" t="inlineStr">
        <is>
          <t>CUL-4276</t>
        </is>
      </c>
      <c r="B4280" s="11" t="n">
        <v>844</v>
      </c>
      <c r="C4280" s="13" t="inlineStr">
        <is>
          <t>Nº 52425</t>
        </is>
      </c>
      <c r="D4280" s="14" t="inlineStr">
        <is>
          <t>GEODO AMOSTRA 0,100KG IMP</t>
        </is>
      </c>
      <c r="E4280" s="13" t="inlineStr">
        <is>
          <t>Pulverização Agrícola Conforme Bula</t>
        </is>
      </c>
      <c r="F4280" s="13" t="inlineStr">
        <is>
          <t>Feijão</t>
        </is>
      </c>
      <c r="G4280" s="13" t="inlineStr">
        <is>
          <t>Cultura Autorizada na Bula</t>
        </is>
      </c>
      <c r="H4280" s="13" t="inlineStr">
        <is>
          <t>100 a 300 L/ha</t>
        </is>
      </c>
      <c r="I4280" s="13" t="inlineStr">
        <is>
          <t>20 a 40 L/ha</t>
        </is>
      </c>
      <c r="J4280" s="13" t="inlineStr">
        <is>
          <t>20 dias</t>
        </is>
      </c>
    </row>
    <row r="4281" ht="22" customHeight="1">
      <c r="A4281" s="6" t="inlineStr">
        <is>
          <t>CUL-4277</t>
        </is>
      </c>
      <c r="B4281" s="5" t="n">
        <v>844</v>
      </c>
      <c r="C4281" s="7" t="inlineStr">
        <is>
          <t>Nº 52425</t>
        </is>
      </c>
      <c r="D4281" s="8" t="inlineStr">
        <is>
          <t>GEODO AMOSTRA 0,100KG IMP</t>
        </is>
      </c>
      <c r="E4281" s="7" t="inlineStr">
        <is>
          <t>Pulverização Agrícola Conforme Bula</t>
        </is>
      </c>
      <c r="F4281" s="7" t="inlineStr">
        <is>
          <t>Trigo</t>
        </is>
      </c>
      <c r="G4281" s="7" t="inlineStr">
        <is>
          <t>Cultura Autorizada na Bula</t>
        </is>
      </c>
      <c r="H4281" s="7" t="inlineStr">
        <is>
          <t>100 a 300 L/ha</t>
        </is>
      </c>
      <c r="I4281" s="7" t="inlineStr">
        <is>
          <t>20 a 40 L/ha</t>
        </is>
      </c>
      <c r="J4281" s="7" t="inlineStr">
        <is>
          <t>30 dias</t>
        </is>
      </c>
    </row>
    <row r="4282" ht="22" customHeight="1">
      <c r="A4282" s="12" t="inlineStr">
        <is>
          <t>CUL-4278</t>
        </is>
      </c>
      <c r="B4282" s="11" t="n">
        <v>845</v>
      </c>
      <c r="C4282" s="13" t="inlineStr">
        <is>
          <t>Nº 4516</t>
        </is>
      </c>
      <c r="D4282" s="14" t="inlineStr">
        <is>
          <t>STRONGFORCE</t>
        </is>
      </c>
      <c r="E4282" s="13" t="inlineStr">
        <is>
          <t>Pulverização Agrícola Conforme Bula</t>
        </is>
      </c>
      <c r="F4282" s="13" t="inlineStr">
        <is>
          <t>Soja</t>
        </is>
      </c>
      <c r="G4282" s="13" t="inlineStr">
        <is>
          <t>Cultura Autorizada na Bula</t>
        </is>
      </c>
      <c r="H4282" s="13" t="inlineStr">
        <is>
          <t>100 a 300 L/ha</t>
        </is>
      </c>
      <c r="I4282" s="13" t="inlineStr">
        <is>
          <t>20 a 40 L/ha</t>
        </is>
      </c>
      <c r="J4282" s="13" t="inlineStr">
        <is>
          <t>14 dias</t>
        </is>
      </c>
    </row>
    <row r="4283" ht="22" customHeight="1">
      <c r="A4283" s="6" t="inlineStr">
        <is>
          <t>CUL-4279</t>
        </is>
      </c>
      <c r="B4283" s="5" t="n">
        <v>845</v>
      </c>
      <c r="C4283" s="7" t="inlineStr">
        <is>
          <t>Nº 4516</t>
        </is>
      </c>
      <c r="D4283" s="8" t="inlineStr">
        <is>
          <t>STRONGFORCE</t>
        </is>
      </c>
      <c r="E4283" s="7" t="inlineStr">
        <is>
          <t>Pulverização Agrícola Conforme Bula</t>
        </is>
      </c>
      <c r="F4283" s="7" t="inlineStr">
        <is>
          <t>Milho</t>
        </is>
      </c>
      <c r="G4283" s="7" t="inlineStr">
        <is>
          <t>Cultura Autorizada na Bula</t>
        </is>
      </c>
      <c r="H4283" s="7" t="inlineStr">
        <is>
          <t>100 a 300 L/ha</t>
        </is>
      </c>
      <c r="I4283" s="7" t="inlineStr">
        <is>
          <t>20 a 40 L/ha</t>
        </is>
      </c>
      <c r="J4283" s="7" t="inlineStr">
        <is>
          <t>14 dias</t>
        </is>
      </c>
    </row>
    <row r="4284" ht="22" customHeight="1">
      <c r="A4284" s="12" t="inlineStr">
        <is>
          <t>CUL-4280</t>
        </is>
      </c>
      <c r="B4284" s="11" t="n">
        <v>845</v>
      </c>
      <c r="C4284" s="13" t="inlineStr">
        <is>
          <t>Nº 4516</t>
        </is>
      </c>
      <c r="D4284" s="14" t="inlineStr">
        <is>
          <t>STRONGFORCE</t>
        </is>
      </c>
      <c r="E4284" s="13" t="inlineStr">
        <is>
          <t>Pulverização Agrícola Conforme Bula</t>
        </is>
      </c>
      <c r="F4284" s="13" t="inlineStr">
        <is>
          <t>Algodão</t>
        </is>
      </c>
      <c r="G4284" s="13" t="inlineStr">
        <is>
          <t>Cultura Autorizada na Bula</t>
        </is>
      </c>
      <c r="H4284" s="13" t="inlineStr">
        <is>
          <t>100 a 300 L/ha</t>
        </is>
      </c>
      <c r="I4284" s="13" t="inlineStr">
        <is>
          <t>20 a 40 L/ha</t>
        </is>
      </c>
      <c r="J4284" s="13" t="inlineStr">
        <is>
          <t>14 dias</t>
        </is>
      </c>
    </row>
    <row r="4285" ht="22" customHeight="1">
      <c r="A4285" s="6" t="inlineStr">
        <is>
          <t>CUL-4281</t>
        </is>
      </c>
      <c r="B4285" s="5" t="n">
        <v>845</v>
      </c>
      <c r="C4285" s="7" t="inlineStr">
        <is>
          <t>Nº 4516</t>
        </is>
      </c>
      <c r="D4285" s="8" t="inlineStr">
        <is>
          <t>STRONGFORCE</t>
        </is>
      </c>
      <c r="E4285" s="7" t="inlineStr">
        <is>
          <t>Pulverização Agrícola Conforme Bula</t>
        </is>
      </c>
      <c r="F4285" s="7" t="inlineStr">
        <is>
          <t>Trigo</t>
        </is>
      </c>
      <c r="G4285" s="7" t="inlineStr">
        <is>
          <t>Cultura Autorizada na Bula</t>
        </is>
      </c>
      <c r="H4285" s="7" t="inlineStr">
        <is>
          <t>100 a 300 L/ha</t>
        </is>
      </c>
      <c r="I4285" s="7" t="inlineStr">
        <is>
          <t>20 a 40 L/ha</t>
        </is>
      </c>
      <c r="J4285" s="7" t="inlineStr">
        <is>
          <t>14 dias</t>
        </is>
      </c>
    </row>
    <row r="4286" ht="22" customHeight="1">
      <c r="A4286" s="12" t="inlineStr">
        <is>
          <t>CUL-4282</t>
        </is>
      </c>
      <c r="B4286" s="11" t="n">
        <v>845</v>
      </c>
      <c r="C4286" s="13" t="inlineStr">
        <is>
          <t>Nº 4516</t>
        </is>
      </c>
      <c r="D4286" s="14" t="inlineStr">
        <is>
          <t>STRONGFORCE</t>
        </is>
      </c>
      <c r="E4286" s="13" t="inlineStr">
        <is>
          <t>Pulverização Agrícola Conforme Bula</t>
        </is>
      </c>
      <c r="F4286" s="13" t="inlineStr">
        <is>
          <t>Batata</t>
        </is>
      </c>
      <c r="G4286" s="13" t="inlineStr">
        <is>
          <t>Cultura Autorizada na Bula</t>
        </is>
      </c>
      <c r="H4286" s="13" t="inlineStr">
        <is>
          <t>100 a 300 L/ha</t>
        </is>
      </c>
      <c r="I4286" s="13" t="inlineStr">
        <is>
          <t>20 a 40 L/ha</t>
        </is>
      </c>
      <c r="J4286" s="13" t="inlineStr">
        <is>
          <t>14 dias</t>
        </is>
      </c>
    </row>
    <row r="4287" ht="22" customHeight="1">
      <c r="A4287" s="6" t="inlineStr">
        <is>
          <t>CUL-4283</t>
        </is>
      </c>
      <c r="B4287" s="5" t="n">
        <v>845</v>
      </c>
      <c r="C4287" s="7" t="inlineStr">
        <is>
          <t>Nº 4516</t>
        </is>
      </c>
      <c r="D4287" s="8" t="inlineStr">
        <is>
          <t>STRONGFORCE</t>
        </is>
      </c>
      <c r="E4287" s="7" t="inlineStr">
        <is>
          <t>Pulverização Agrícola Conforme Bula</t>
        </is>
      </c>
      <c r="F4287" s="7" t="inlineStr">
        <is>
          <t>Tomate</t>
        </is>
      </c>
      <c r="G4287" s="7" t="inlineStr">
        <is>
          <t>Cultura Autorizada na Bula</t>
        </is>
      </c>
      <c r="H4287" s="7" t="inlineStr">
        <is>
          <t>100 a 300 L/ha</t>
        </is>
      </c>
      <c r="I4287" s="7" t="inlineStr">
        <is>
          <t>20 a 40 L/ha</t>
        </is>
      </c>
      <c r="J4287" s="7" t="inlineStr">
        <is>
          <t>3 dias</t>
        </is>
      </c>
    </row>
    <row r="4288" ht="22" customHeight="1">
      <c r="A4288" s="12" t="inlineStr">
        <is>
          <t>CUL-4284</t>
        </is>
      </c>
      <c r="B4288" s="11" t="n">
        <v>846</v>
      </c>
      <c r="C4288" s="13" t="inlineStr">
        <is>
          <t>SIPEAGRO (UF-XXXXX)</t>
        </is>
      </c>
      <c r="D4288" s="14" t="inlineStr">
        <is>
          <t>GESSO AGRICOLA MINERAL NATURAL (GIPSITA MOIDA) GRANEL</t>
        </is>
      </c>
      <c r="E4288" s="13" t="inlineStr">
        <is>
          <t>Pulverização Agrícola Conforme Bula</t>
        </is>
      </c>
      <c r="F4288" s="13" t="inlineStr">
        <is>
          <t>Grandes Culturas, Perenes e Pastagens</t>
        </is>
      </c>
      <c r="G4288" s="13" t="inlineStr">
        <is>
          <t>Cultura Autorizada na Bula</t>
        </is>
      </c>
      <c r="H4288" s="13" t="inlineStr">
        <is>
          <t>100 a 300 L/ha</t>
        </is>
      </c>
      <c r="I4288" s="13" t="inlineStr">
        <is>
          <t>20 a 40 L/ha</t>
        </is>
      </c>
      <c r="J4288" s="13" t="inlineStr">
        <is>
          <t>Isento</t>
        </is>
      </c>
    </row>
    <row r="4289" ht="22" customHeight="1">
      <c r="A4289" s="6" t="inlineStr">
        <is>
          <t>CUL-4285</t>
        </is>
      </c>
      <c r="B4289" s="5" t="n">
        <v>847</v>
      </c>
      <c r="C4289" s="7" t="inlineStr">
        <is>
          <t>SIPEAGRO (UF-XXXXX)</t>
        </is>
      </c>
      <c r="D4289" s="8" t="inlineStr">
        <is>
          <t>FOSFOGESSO AGRICOLA (SUBPRODUTO INDUSTRIAL) GRANEL</t>
        </is>
      </c>
      <c r="E4289" s="7" t="inlineStr">
        <is>
          <t>Pulverização Agrícola Conforme Bula</t>
        </is>
      </c>
      <c r="F4289" s="7" t="inlineStr">
        <is>
          <t>Grandes Culturas, Perenes e Pastagens</t>
        </is>
      </c>
      <c r="G4289" s="7" t="inlineStr">
        <is>
          <t>Cultura Autorizada na Bula</t>
        </is>
      </c>
      <c r="H4289" s="7" t="inlineStr">
        <is>
          <t>100 a 300 L/ha</t>
        </is>
      </c>
      <c r="I4289" s="7" t="inlineStr">
        <is>
          <t>20 a 40 L/ha</t>
        </is>
      </c>
      <c r="J4289" s="7" t="inlineStr">
        <is>
          <t>Isento</t>
        </is>
      </c>
    </row>
    <row r="4290" ht="22" customHeight="1">
      <c r="A4290" s="12" t="inlineStr">
        <is>
          <t>CUL-4286</t>
        </is>
      </c>
      <c r="B4290" s="11" t="n">
        <v>848</v>
      </c>
      <c r="C4290" s="13" t="inlineStr">
        <is>
          <t>SIPEAGRO (UF-XXXXX)</t>
        </is>
      </c>
      <c r="D4290" s="14" t="inlineStr">
        <is>
          <t>CALCARIO AGRICOLA DOLOMITICO / CALCITICO GRANEL (TON)</t>
        </is>
      </c>
      <c r="E4290" s="13" t="inlineStr">
        <is>
          <t>Pulverização Agrícola Conforme Bula</t>
        </is>
      </c>
      <c r="F4290" s="13" t="inlineStr">
        <is>
          <t>Grandes Culturas, Perenes e Pastagens</t>
        </is>
      </c>
      <c r="G4290" s="13" t="inlineStr">
        <is>
          <t>Cultura Autorizada na Bula</t>
        </is>
      </c>
      <c r="H4290" s="13" t="inlineStr">
        <is>
          <t>100 a 300 L/ha</t>
        </is>
      </c>
      <c r="I4290" s="13" t="inlineStr">
        <is>
          <t>20 a 40 L/ha</t>
        </is>
      </c>
      <c r="J4290" s="13" t="inlineStr">
        <is>
          <t>Isento</t>
        </is>
      </c>
    </row>
    <row r="4291" ht="22" customHeight="1">
      <c r="A4291" s="6" t="inlineStr">
        <is>
          <t>CUL-4287</t>
        </is>
      </c>
      <c r="B4291" s="5" t="n">
        <v>849</v>
      </c>
      <c r="C4291" s="7" t="inlineStr">
        <is>
          <t>SIPEAGRO (UF-XXXXX)</t>
        </is>
      </c>
      <c r="D4291" s="8" t="inlineStr">
        <is>
          <t>CAL HIDRATADA / VIRGEM AGRICOLA</t>
        </is>
      </c>
      <c r="E4291" s="7" t="inlineStr">
        <is>
          <t>Pulverização Agrícola Conforme Bula</t>
        </is>
      </c>
      <c r="F4291" s="7" t="inlineStr">
        <is>
          <t>Grandes Culturas, Perenes e Pastagens</t>
        </is>
      </c>
      <c r="G4291" s="7" t="inlineStr">
        <is>
          <t>Cultura Autorizada na Bula</t>
        </is>
      </c>
      <c r="H4291" s="7" t="inlineStr">
        <is>
          <t>100 a 300 L/ha</t>
        </is>
      </c>
      <c r="I4291" s="7" t="inlineStr">
        <is>
          <t>20 a 40 L/ha</t>
        </is>
      </c>
      <c r="J4291" s="7" t="inlineStr">
        <is>
          <t>Isento</t>
        </is>
      </c>
    </row>
    <row r="4292" ht="22" customHeight="1">
      <c r="A4292" s="12" t="inlineStr">
        <is>
          <t>CUL-4288</t>
        </is>
      </c>
      <c r="B4292" s="11" t="n">
        <v>850</v>
      </c>
      <c r="C4292" s="13" t="inlineStr">
        <is>
          <t>SIPEAGRO (UF-XXXXX)</t>
        </is>
      </c>
      <c r="D4292" s="14" t="inlineStr">
        <is>
          <t>FOSFATO DIAMONICO (DAP 18-46-00) GRANULADO GRANEL</t>
        </is>
      </c>
      <c r="E4292" s="13" t="inlineStr">
        <is>
          <t>Adubação de Solo / Foliar</t>
        </is>
      </c>
      <c r="F4292" s="13" t="inlineStr">
        <is>
          <t>Soja</t>
        </is>
      </c>
      <c r="G4292" s="13" t="inlineStr">
        <is>
          <t>Cultura Autorizada na Bula</t>
        </is>
      </c>
      <c r="H4292" s="13" t="inlineStr">
        <is>
          <t>100 a 300 L/ha</t>
        </is>
      </c>
      <c r="I4292" s="13" t="inlineStr">
        <is>
          <t>20 a 40 L/ha</t>
        </is>
      </c>
      <c r="J4292" s="13" t="inlineStr">
        <is>
          <t>Isento</t>
        </is>
      </c>
    </row>
    <row r="4293" ht="22" customHeight="1">
      <c r="A4293" s="6" t="inlineStr">
        <is>
          <t>CUL-4289</t>
        </is>
      </c>
      <c r="B4293" s="5" t="n">
        <v>850</v>
      </c>
      <c r="C4293" s="7" t="inlineStr">
        <is>
          <t>SIPEAGRO (UF-XXXXX)</t>
        </is>
      </c>
      <c r="D4293" s="8" t="inlineStr">
        <is>
          <t>FOSFATO DIAMONICO (DAP 18-46-00) GRANULADO GRANEL</t>
        </is>
      </c>
      <c r="E4293" s="7" t="inlineStr">
        <is>
          <t>Adubação de Solo / Foliar</t>
        </is>
      </c>
      <c r="F4293" s="7" t="inlineStr">
        <is>
          <t>Milho</t>
        </is>
      </c>
      <c r="G4293" s="7" t="inlineStr">
        <is>
          <t>Cultura Autorizada na Bula</t>
        </is>
      </c>
      <c r="H4293" s="7" t="inlineStr">
        <is>
          <t>100 a 300 L/ha</t>
        </is>
      </c>
      <c r="I4293" s="7" t="inlineStr">
        <is>
          <t>20 a 40 L/ha</t>
        </is>
      </c>
      <c r="J4293" s="7" t="inlineStr">
        <is>
          <t>Isento</t>
        </is>
      </c>
    </row>
    <row r="4294" ht="22" customHeight="1">
      <c r="A4294" s="12" t="inlineStr">
        <is>
          <t>CUL-4290</t>
        </is>
      </c>
      <c r="B4294" s="11" t="n">
        <v>850</v>
      </c>
      <c r="C4294" s="13" t="inlineStr">
        <is>
          <t>SIPEAGRO (UF-XXXXX)</t>
        </is>
      </c>
      <c r="D4294" s="14" t="inlineStr">
        <is>
          <t>FOSFATO DIAMONICO (DAP 18-46-00) GRANULADO GRANEL</t>
        </is>
      </c>
      <c r="E4294" s="13" t="inlineStr">
        <is>
          <t>Adubação de Solo / Foliar</t>
        </is>
      </c>
      <c r="F4294" s="13" t="inlineStr">
        <is>
          <t>Algodão</t>
        </is>
      </c>
      <c r="G4294" s="13" t="inlineStr">
        <is>
          <t>Cultura Autorizada na Bula</t>
        </is>
      </c>
      <c r="H4294" s="13" t="inlineStr">
        <is>
          <t>100 a 300 L/ha</t>
        </is>
      </c>
      <c r="I4294" s="13" t="inlineStr">
        <is>
          <t>20 a 40 L/ha</t>
        </is>
      </c>
      <c r="J4294" s="13" t="inlineStr">
        <is>
          <t>Isento</t>
        </is>
      </c>
    </row>
    <row r="4295" ht="22" customHeight="1">
      <c r="A4295" s="6" t="inlineStr">
        <is>
          <t>CUL-4291</t>
        </is>
      </c>
      <c r="B4295" s="5" t="n">
        <v>850</v>
      </c>
      <c r="C4295" s="7" t="inlineStr">
        <is>
          <t>SIPEAGRO (UF-XXXXX)</t>
        </is>
      </c>
      <c r="D4295" s="8" t="inlineStr">
        <is>
          <t>FOSFATO DIAMONICO (DAP 18-46-00) GRANULADO GRANEL</t>
        </is>
      </c>
      <c r="E4295" s="7" t="inlineStr">
        <is>
          <t>Adubação de Solo / Foliar</t>
        </is>
      </c>
      <c r="F4295" s="7" t="inlineStr">
        <is>
          <t>Cana-de-açúcar</t>
        </is>
      </c>
      <c r="G4295" s="7" t="inlineStr">
        <is>
          <t>Cultura Autorizada na Bula</t>
        </is>
      </c>
      <c r="H4295" s="7" t="inlineStr">
        <is>
          <t>100 a 300 L/ha</t>
        </is>
      </c>
      <c r="I4295" s="7" t="inlineStr">
        <is>
          <t>20 a 40 L/ha</t>
        </is>
      </c>
      <c r="J4295" s="7" t="inlineStr">
        <is>
          <t>Isento</t>
        </is>
      </c>
    </row>
    <row r="4296" ht="22" customHeight="1">
      <c r="A4296" s="12" t="inlineStr">
        <is>
          <t>CUL-4292</t>
        </is>
      </c>
      <c r="B4296" s="11" t="n">
        <v>850</v>
      </c>
      <c r="C4296" s="13" t="inlineStr">
        <is>
          <t>SIPEAGRO (UF-XXXXX)</t>
        </is>
      </c>
      <c r="D4296" s="14" t="inlineStr">
        <is>
          <t>FOSFATO DIAMONICO (DAP 18-46-00) GRANULADO GRANEL</t>
        </is>
      </c>
      <c r="E4296" s="13" t="inlineStr">
        <is>
          <t>Adubação de Solo / Foliar</t>
        </is>
      </c>
      <c r="F4296" s="13" t="inlineStr">
        <is>
          <t>Café</t>
        </is>
      </c>
      <c r="G4296" s="13" t="inlineStr">
        <is>
          <t>Cultura Autorizada na Bula</t>
        </is>
      </c>
      <c r="H4296" s="13" t="inlineStr">
        <is>
          <t>100 a 300 L/ha</t>
        </is>
      </c>
      <c r="I4296" s="13" t="inlineStr">
        <is>
          <t>20 a 40 L/ha</t>
        </is>
      </c>
      <c r="J4296" s="13" t="inlineStr">
        <is>
          <t>Isento</t>
        </is>
      </c>
    </row>
    <row r="4297" ht="22" customHeight="1">
      <c r="A4297" s="6" t="inlineStr">
        <is>
          <t>CUL-4293</t>
        </is>
      </c>
      <c r="B4297" s="5" t="n">
        <v>851</v>
      </c>
      <c r="C4297" s="7" t="inlineStr">
        <is>
          <t>SIPEAGRO (UF-XXXXX)</t>
        </is>
      </c>
      <c r="D4297" s="8" t="inlineStr">
        <is>
          <t>TERMOFOSFATO MAGNESIANO FUNDIDO (YOORIN)</t>
        </is>
      </c>
      <c r="E4297" s="7" t="inlineStr">
        <is>
          <t>Adubação de Solo / Foliar</t>
        </is>
      </c>
      <c r="F4297" s="7" t="inlineStr">
        <is>
          <t>Soja</t>
        </is>
      </c>
      <c r="G4297" s="7" t="inlineStr">
        <is>
          <t>Cultura Autorizada na Bula</t>
        </is>
      </c>
      <c r="H4297" s="7" t="inlineStr">
        <is>
          <t>100 a 300 L/ha</t>
        </is>
      </c>
      <c r="I4297" s="7" t="inlineStr">
        <is>
          <t>20 a 40 L/ha</t>
        </is>
      </c>
      <c r="J4297" s="7" t="inlineStr">
        <is>
          <t>Isento</t>
        </is>
      </c>
    </row>
    <row r="4298" ht="22" customHeight="1">
      <c r="A4298" s="12" t="inlineStr">
        <is>
          <t>CUL-4294</t>
        </is>
      </c>
      <c r="B4298" s="11" t="n">
        <v>851</v>
      </c>
      <c r="C4298" s="13" t="inlineStr">
        <is>
          <t>SIPEAGRO (UF-XXXXX)</t>
        </is>
      </c>
      <c r="D4298" s="14" t="inlineStr">
        <is>
          <t>TERMOFOSFATO MAGNESIANO FUNDIDO (YOORIN)</t>
        </is>
      </c>
      <c r="E4298" s="13" t="inlineStr">
        <is>
          <t>Adubação de Solo / Foliar</t>
        </is>
      </c>
      <c r="F4298" s="13" t="inlineStr">
        <is>
          <t>Milho</t>
        </is>
      </c>
      <c r="G4298" s="13" t="inlineStr">
        <is>
          <t>Cultura Autorizada na Bula</t>
        </is>
      </c>
      <c r="H4298" s="13" t="inlineStr">
        <is>
          <t>100 a 300 L/ha</t>
        </is>
      </c>
      <c r="I4298" s="13" t="inlineStr">
        <is>
          <t>20 a 40 L/ha</t>
        </is>
      </c>
      <c r="J4298" s="13" t="inlineStr">
        <is>
          <t>Isento</t>
        </is>
      </c>
    </row>
    <row r="4299" ht="22" customHeight="1">
      <c r="A4299" s="6" t="inlineStr">
        <is>
          <t>CUL-4295</t>
        </is>
      </c>
      <c r="B4299" s="5" t="n">
        <v>851</v>
      </c>
      <c r="C4299" s="7" t="inlineStr">
        <is>
          <t>SIPEAGRO (UF-XXXXX)</t>
        </is>
      </c>
      <c r="D4299" s="8" t="inlineStr">
        <is>
          <t>TERMOFOSFATO MAGNESIANO FUNDIDO (YOORIN)</t>
        </is>
      </c>
      <c r="E4299" s="7" t="inlineStr">
        <is>
          <t>Adubação de Solo / Foliar</t>
        </is>
      </c>
      <c r="F4299" s="7" t="inlineStr">
        <is>
          <t>Algodão</t>
        </is>
      </c>
      <c r="G4299" s="7" t="inlineStr">
        <is>
          <t>Cultura Autorizada na Bula</t>
        </is>
      </c>
      <c r="H4299" s="7" t="inlineStr">
        <is>
          <t>100 a 300 L/ha</t>
        </is>
      </c>
      <c r="I4299" s="7" t="inlineStr">
        <is>
          <t>20 a 40 L/ha</t>
        </is>
      </c>
      <c r="J4299" s="7" t="inlineStr">
        <is>
          <t>Isento</t>
        </is>
      </c>
    </row>
    <row r="4300" ht="22" customHeight="1">
      <c r="A4300" s="12" t="inlineStr">
        <is>
          <t>CUL-4296</t>
        </is>
      </c>
      <c r="B4300" s="11" t="n">
        <v>851</v>
      </c>
      <c r="C4300" s="13" t="inlineStr">
        <is>
          <t>SIPEAGRO (UF-XXXXX)</t>
        </is>
      </c>
      <c r="D4300" s="14" t="inlineStr">
        <is>
          <t>TERMOFOSFATO MAGNESIANO FUNDIDO (YOORIN)</t>
        </is>
      </c>
      <c r="E4300" s="13" t="inlineStr">
        <is>
          <t>Adubação de Solo / Foliar</t>
        </is>
      </c>
      <c r="F4300" s="13" t="inlineStr">
        <is>
          <t>Cana-de-açúcar</t>
        </is>
      </c>
      <c r="G4300" s="13" t="inlineStr">
        <is>
          <t>Cultura Autorizada na Bula</t>
        </is>
      </c>
      <c r="H4300" s="13" t="inlineStr">
        <is>
          <t>100 a 300 L/ha</t>
        </is>
      </c>
      <c r="I4300" s="13" t="inlineStr">
        <is>
          <t>20 a 40 L/ha</t>
        </is>
      </c>
      <c r="J4300" s="13" t="inlineStr">
        <is>
          <t>Isento</t>
        </is>
      </c>
    </row>
    <row r="4301" ht="22" customHeight="1">
      <c r="A4301" s="6" t="inlineStr">
        <is>
          <t>CUL-4297</t>
        </is>
      </c>
      <c r="B4301" s="5" t="n">
        <v>851</v>
      </c>
      <c r="C4301" s="7" t="inlineStr">
        <is>
          <t>SIPEAGRO (UF-XXXXX)</t>
        </is>
      </c>
      <c r="D4301" s="8" t="inlineStr">
        <is>
          <t>TERMOFOSFATO MAGNESIANO FUNDIDO (YOORIN)</t>
        </is>
      </c>
      <c r="E4301" s="7" t="inlineStr">
        <is>
          <t>Adubação de Solo / Foliar</t>
        </is>
      </c>
      <c r="F4301" s="7" t="inlineStr">
        <is>
          <t>Café</t>
        </is>
      </c>
      <c r="G4301" s="7" t="inlineStr">
        <is>
          <t>Cultura Autorizada na Bula</t>
        </is>
      </c>
      <c r="H4301" s="7" t="inlineStr">
        <is>
          <t>100 a 300 L/ha</t>
        </is>
      </c>
      <c r="I4301" s="7" t="inlineStr">
        <is>
          <t>20 a 40 L/ha</t>
        </is>
      </c>
      <c r="J4301" s="7" t="inlineStr">
        <is>
          <t>Isento</t>
        </is>
      </c>
    </row>
    <row r="4302" ht="22" customHeight="1">
      <c r="A4302" s="12" t="inlineStr">
        <is>
          <t>CUL-4298</t>
        </is>
      </c>
      <c r="B4302" s="11" t="n">
        <v>852</v>
      </c>
      <c r="C4302" s="13" t="inlineStr">
        <is>
          <t>SIPEAGRO (UF-XXXXX)</t>
        </is>
      </c>
      <c r="D4302" s="14" t="inlineStr">
        <is>
          <t>NITRATO DE AMONIO AGRICOLA (33% A 34% N) BIG BAG</t>
        </is>
      </c>
      <c r="E4302" s="13" t="inlineStr">
        <is>
          <t>Adubação de Solo / Foliar</t>
        </is>
      </c>
      <c r="F4302" s="13" t="inlineStr">
        <is>
          <t>Soja</t>
        </is>
      </c>
      <c r="G4302" s="13" t="inlineStr">
        <is>
          <t>Cultura Autorizada na Bula</t>
        </is>
      </c>
      <c r="H4302" s="13" t="inlineStr">
        <is>
          <t>100 a 300 L/ha</t>
        </is>
      </c>
      <c r="I4302" s="13" t="inlineStr">
        <is>
          <t>20 a 40 L/ha</t>
        </is>
      </c>
      <c r="J4302" s="13" t="inlineStr">
        <is>
          <t>Isento</t>
        </is>
      </c>
    </row>
    <row r="4303" ht="22" customHeight="1">
      <c r="A4303" s="6" t="inlineStr">
        <is>
          <t>CUL-4299</t>
        </is>
      </c>
      <c r="B4303" s="5" t="n">
        <v>852</v>
      </c>
      <c r="C4303" s="7" t="inlineStr">
        <is>
          <t>SIPEAGRO (UF-XXXXX)</t>
        </is>
      </c>
      <c r="D4303" s="8" t="inlineStr">
        <is>
          <t>NITRATO DE AMONIO AGRICOLA (33% A 34% N) BIG BAG</t>
        </is>
      </c>
      <c r="E4303" s="7" t="inlineStr">
        <is>
          <t>Adubação de Solo / Foliar</t>
        </is>
      </c>
      <c r="F4303" s="7" t="inlineStr">
        <is>
          <t>Milho</t>
        </is>
      </c>
      <c r="G4303" s="7" t="inlineStr">
        <is>
          <t>Cultura Autorizada na Bula</t>
        </is>
      </c>
      <c r="H4303" s="7" t="inlineStr">
        <is>
          <t>100 a 300 L/ha</t>
        </is>
      </c>
      <c r="I4303" s="7" t="inlineStr">
        <is>
          <t>20 a 40 L/ha</t>
        </is>
      </c>
      <c r="J4303" s="7" t="inlineStr">
        <is>
          <t>Isento</t>
        </is>
      </c>
    </row>
    <row r="4304" ht="22" customHeight="1">
      <c r="A4304" s="12" t="inlineStr">
        <is>
          <t>CUL-4300</t>
        </is>
      </c>
      <c r="B4304" s="11" t="n">
        <v>852</v>
      </c>
      <c r="C4304" s="13" t="inlineStr">
        <is>
          <t>SIPEAGRO (UF-XXXXX)</t>
        </is>
      </c>
      <c r="D4304" s="14" t="inlineStr">
        <is>
          <t>NITRATO DE AMONIO AGRICOLA (33% A 34% N) BIG BAG</t>
        </is>
      </c>
      <c r="E4304" s="13" t="inlineStr">
        <is>
          <t>Adubação de Solo / Foliar</t>
        </is>
      </c>
      <c r="F4304" s="13" t="inlineStr">
        <is>
          <t>Algodão</t>
        </is>
      </c>
      <c r="G4304" s="13" t="inlineStr">
        <is>
          <t>Cultura Autorizada na Bula</t>
        </is>
      </c>
      <c r="H4304" s="13" t="inlineStr">
        <is>
          <t>100 a 300 L/ha</t>
        </is>
      </c>
      <c r="I4304" s="13" t="inlineStr">
        <is>
          <t>20 a 40 L/ha</t>
        </is>
      </c>
      <c r="J4304" s="13" t="inlineStr">
        <is>
          <t>Isento</t>
        </is>
      </c>
    </row>
    <row r="4305" ht="22" customHeight="1">
      <c r="A4305" s="6" t="inlineStr">
        <is>
          <t>CUL-4301</t>
        </is>
      </c>
      <c r="B4305" s="5" t="n">
        <v>852</v>
      </c>
      <c r="C4305" s="7" t="inlineStr">
        <is>
          <t>SIPEAGRO (UF-XXXXX)</t>
        </is>
      </c>
      <c r="D4305" s="8" t="inlineStr">
        <is>
          <t>NITRATO DE AMONIO AGRICOLA (33% A 34% N) BIG BAG</t>
        </is>
      </c>
      <c r="E4305" s="7" t="inlineStr">
        <is>
          <t>Adubação de Solo / Foliar</t>
        </is>
      </c>
      <c r="F4305" s="7" t="inlineStr">
        <is>
          <t>Cana-de-açúcar</t>
        </is>
      </c>
      <c r="G4305" s="7" t="inlineStr">
        <is>
          <t>Cultura Autorizada na Bula</t>
        </is>
      </c>
      <c r="H4305" s="7" t="inlineStr">
        <is>
          <t>100 a 300 L/ha</t>
        </is>
      </c>
      <c r="I4305" s="7" t="inlineStr">
        <is>
          <t>20 a 40 L/ha</t>
        </is>
      </c>
      <c r="J4305" s="7" t="inlineStr">
        <is>
          <t>Isento</t>
        </is>
      </c>
    </row>
    <row r="4306" ht="22" customHeight="1">
      <c r="A4306" s="12" t="inlineStr">
        <is>
          <t>CUL-4302</t>
        </is>
      </c>
      <c r="B4306" s="11" t="n">
        <v>852</v>
      </c>
      <c r="C4306" s="13" t="inlineStr">
        <is>
          <t>SIPEAGRO (UF-XXXXX)</t>
        </is>
      </c>
      <c r="D4306" s="14" t="inlineStr">
        <is>
          <t>NITRATO DE AMONIO AGRICOLA (33% A 34% N) BIG BAG</t>
        </is>
      </c>
      <c r="E4306" s="13" t="inlineStr">
        <is>
          <t>Adubação de Solo / Foliar</t>
        </is>
      </c>
      <c r="F4306" s="13" t="inlineStr">
        <is>
          <t>Café</t>
        </is>
      </c>
      <c r="G4306" s="13" t="inlineStr">
        <is>
          <t>Cultura Autorizada na Bula</t>
        </is>
      </c>
      <c r="H4306" s="13" t="inlineStr">
        <is>
          <t>100 a 300 L/ha</t>
        </is>
      </c>
      <c r="I4306" s="13" t="inlineStr">
        <is>
          <t>20 a 40 L/ha</t>
        </is>
      </c>
      <c r="J4306" s="13" t="inlineStr">
        <is>
          <t>Isento</t>
        </is>
      </c>
    </row>
    <row r="4307" ht="22" customHeight="1">
      <c r="A4307" s="6" t="inlineStr">
        <is>
          <t>CUL-4303</t>
        </is>
      </c>
      <c r="B4307" s="5" t="n">
        <v>853</v>
      </c>
      <c r="C4307" s="7" t="inlineStr">
        <is>
          <t>SIPEAGRO (UF-XXXXX)</t>
        </is>
      </c>
      <c r="D4307" s="8" t="inlineStr">
        <is>
          <t>ACIDO BORICO TECNICO AGRICOLA (H3BO3 - 17% B)</t>
        </is>
      </c>
      <c r="E4307" s="7" t="inlineStr">
        <is>
          <t>Adubação de Solo / Foliar</t>
        </is>
      </c>
      <c r="F4307" s="7" t="inlineStr">
        <is>
          <t>Soja</t>
        </is>
      </c>
      <c r="G4307" s="7" t="inlineStr">
        <is>
          <t>Cultura Autorizada na Bula</t>
        </is>
      </c>
      <c r="H4307" s="7" t="inlineStr">
        <is>
          <t>100 a 300 L/ha</t>
        </is>
      </c>
      <c r="I4307" s="7" t="inlineStr">
        <is>
          <t>20 a 40 L/ha</t>
        </is>
      </c>
      <c r="J4307" s="7" t="inlineStr">
        <is>
          <t>Isento</t>
        </is>
      </c>
    </row>
    <row r="4308" ht="22" customHeight="1">
      <c r="A4308" s="12" t="inlineStr">
        <is>
          <t>CUL-4304</t>
        </is>
      </c>
      <c r="B4308" s="11" t="n">
        <v>853</v>
      </c>
      <c r="C4308" s="13" t="inlineStr">
        <is>
          <t>SIPEAGRO (UF-XXXXX)</t>
        </is>
      </c>
      <c r="D4308" s="14" t="inlineStr">
        <is>
          <t>ACIDO BORICO TECNICO AGRICOLA (H3BO3 - 17% B)</t>
        </is>
      </c>
      <c r="E4308" s="13" t="inlineStr">
        <is>
          <t>Adubação de Solo / Foliar</t>
        </is>
      </c>
      <c r="F4308" s="13" t="inlineStr">
        <is>
          <t>Milho</t>
        </is>
      </c>
      <c r="G4308" s="13" t="inlineStr">
        <is>
          <t>Cultura Autorizada na Bula</t>
        </is>
      </c>
      <c r="H4308" s="13" t="inlineStr">
        <is>
          <t>100 a 300 L/ha</t>
        </is>
      </c>
      <c r="I4308" s="13" t="inlineStr">
        <is>
          <t>20 a 40 L/ha</t>
        </is>
      </c>
      <c r="J4308" s="13" t="inlineStr">
        <is>
          <t>Isento</t>
        </is>
      </c>
    </row>
    <row r="4309" ht="22" customHeight="1">
      <c r="A4309" s="6" t="inlineStr">
        <is>
          <t>CUL-4305</t>
        </is>
      </c>
      <c r="B4309" s="5" t="n">
        <v>853</v>
      </c>
      <c r="C4309" s="7" t="inlineStr">
        <is>
          <t>SIPEAGRO (UF-XXXXX)</t>
        </is>
      </c>
      <c r="D4309" s="8" t="inlineStr">
        <is>
          <t>ACIDO BORICO TECNICO AGRICOLA (H3BO3 - 17% B)</t>
        </is>
      </c>
      <c r="E4309" s="7" t="inlineStr">
        <is>
          <t>Adubação de Solo / Foliar</t>
        </is>
      </c>
      <c r="F4309" s="7" t="inlineStr">
        <is>
          <t>Algodão</t>
        </is>
      </c>
      <c r="G4309" s="7" t="inlineStr">
        <is>
          <t>Cultura Autorizada na Bula</t>
        </is>
      </c>
      <c r="H4309" s="7" t="inlineStr">
        <is>
          <t>100 a 300 L/ha</t>
        </is>
      </c>
      <c r="I4309" s="7" t="inlineStr">
        <is>
          <t>20 a 40 L/ha</t>
        </is>
      </c>
      <c r="J4309" s="7" t="inlineStr">
        <is>
          <t>Isento</t>
        </is>
      </c>
    </row>
    <row r="4310" ht="22" customHeight="1">
      <c r="A4310" s="12" t="inlineStr">
        <is>
          <t>CUL-4306</t>
        </is>
      </c>
      <c r="B4310" s="11" t="n">
        <v>853</v>
      </c>
      <c r="C4310" s="13" t="inlineStr">
        <is>
          <t>SIPEAGRO (UF-XXXXX)</t>
        </is>
      </c>
      <c r="D4310" s="14" t="inlineStr">
        <is>
          <t>ACIDO BORICO TECNICO AGRICOLA (H3BO3 - 17% B)</t>
        </is>
      </c>
      <c r="E4310" s="13" t="inlineStr">
        <is>
          <t>Adubação de Solo / Foliar</t>
        </is>
      </c>
      <c r="F4310" s="13" t="inlineStr">
        <is>
          <t>Cana-de-açúcar</t>
        </is>
      </c>
      <c r="G4310" s="13" t="inlineStr">
        <is>
          <t>Cultura Autorizada na Bula</t>
        </is>
      </c>
      <c r="H4310" s="13" t="inlineStr">
        <is>
          <t>100 a 300 L/ha</t>
        </is>
      </c>
      <c r="I4310" s="13" t="inlineStr">
        <is>
          <t>20 a 40 L/ha</t>
        </is>
      </c>
      <c r="J4310" s="13" t="inlineStr">
        <is>
          <t>Isento</t>
        </is>
      </c>
    </row>
    <row r="4311" ht="22" customHeight="1">
      <c r="A4311" s="6" t="inlineStr">
        <is>
          <t>CUL-4307</t>
        </is>
      </c>
      <c r="B4311" s="5" t="n">
        <v>853</v>
      </c>
      <c r="C4311" s="7" t="inlineStr">
        <is>
          <t>SIPEAGRO (UF-XXXXX)</t>
        </is>
      </c>
      <c r="D4311" s="8" t="inlineStr">
        <is>
          <t>ACIDO BORICO TECNICO AGRICOLA (H3BO3 - 17% B)</t>
        </is>
      </c>
      <c r="E4311" s="7" t="inlineStr">
        <is>
          <t>Adubação de Solo / Foliar</t>
        </is>
      </c>
      <c r="F4311" s="7" t="inlineStr">
        <is>
          <t>Café</t>
        </is>
      </c>
      <c r="G4311" s="7" t="inlineStr">
        <is>
          <t>Cultura Autorizada na Bula</t>
        </is>
      </c>
      <c r="H4311" s="7" t="inlineStr">
        <is>
          <t>100 a 300 L/ha</t>
        </is>
      </c>
      <c r="I4311" s="7" t="inlineStr">
        <is>
          <t>20 a 40 L/ha</t>
        </is>
      </c>
      <c r="J4311" s="7" t="inlineStr">
        <is>
          <t>Isento</t>
        </is>
      </c>
    </row>
    <row r="4312" ht="22" customHeight="1">
      <c r="A4312" s="12" t="inlineStr">
        <is>
          <t>CUL-4308</t>
        </is>
      </c>
      <c r="B4312" s="11" t="n">
        <v>854</v>
      </c>
      <c r="C4312" s="13" t="inlineStr">
        <is>
          <t>SIPEAGRO (UF-XXXXX)</t>
        </is>
      </c>
      <c r="D4312" s="14" t="inlineStr">
        <is>
          <t>SULFATO DE COBRE PENTAHIDRATADO AGRICOLA (25% CU)</t>
        </is>
      </c>
      <c r="E4312" s="13" t="inlineStr">
        <is>
          <t>Adubação de Solo / Foliar</t>
        </is>
      </c>
      <c r="F4312" s="13" t="inlineStr">
        <is>
          <t>Soja</t>
        </is>
      </c>
      <c r="G4312" s="13" t="inlineStr">
        <is>
          <t>Cultura Autorizada na Bula</t>
        </is>
      </c>
      <c r="H4312" s="13" t="inlineStr">
        <is>
          <t>100 a 300 L/ha</t>
        </is>
      </c>
      <c r="I4312" s="13" t="inlineStr">
        <is>
          <t>20 a 40 L/ha</t>
        </is>
      </c>
      <c r="J4312" s="13" t="inlineStr">
        <is>
          <t>Isento</t>
        </is>
      </c>
    </row>
    <row r="4313" ht="22" customHeight="1">
      <c r="A4313" s="6" t="inlineStr">
        <is>
          <t>CUL-4309</t>
        </is>
      </c>
      <c r="B4313" s="5" t="n">
        <v>854</v>
      </c>
      <c r="C4313" s="7" t="inlineStr">
        <is>
          <t>SIPEAGRO (UF-XXXXX)</t>
        </is>
      </c>
      <c r="D4313" s="8" t="inlineStr">
        <is>
          <t>SULFATO DE COBRE PENTAHIDRATADO AGRICOLA (25% CU)</t>
        </is>
      </c>
      <c r="E4313" s="7" t="inlineStr">
        <is>
          <t>Adubação de Solo / Foliar</t>
        </is>
      </c>
      <c r="F4313" s="7" t="inlineStr">
        <is>
          <t>Milho</t>
        </is>
      </c>
      <c r="G4313" s="7" t="inlineStr">
        <is>
          <t>Cultura Autorizada na Bula</t>
        </is>
      </c>
      <c r="H4313" s="7" t="inlineStr">
        <is>
          <t>100 a 300 L/ha</t>
        </is>
      </c>
      <c r="I4313" s="7" t="inlineStr">
        <is>
          <t>20 a 40 L/ha</t>
        </is>
      </c>
      <c r="J4313" s="7" t="inlineStr">
        <is>
          <t>Isento</t>
        </is>
      </c>
    </row>
    <row r="4314" ht="22" customHeight="1">
      <c r="A4314" s="12" t="inlineStr">
        <is>
          <t>CUL-4310</t>
        </is>
      </c>
      <c r="B4314" s="11" t="n">
        <v>854</v>
      </c>
      <c r="C4314" s="13" t="inlineStr">
        <is>
          <t>SIPEAGRO (UF-XXXXX)</t>
        </is>
      </c>
      <c r="D4314" s="14" t="inlineStr">
        <is>
          <t>SULFATO DE COBRE PENTAHIDRATADO AGRICOLA (25% CU)</t>
        </is>
      </c>
      <c r="E4314" s="13" t="inlineStr">
        <is>
          <t>Adubação de Solo / Foliar</t>
        </is>
      </c>
      <c r="F4314" s="13" t="inlineStr">
        <is>
          <t>Algodão</t>
        </is>
      </c>
      <c r="G4314" s="13" t="inlineStr">
        <is>
          <t>Cultura Autorizada na Bula</t>
        </is>
      </c>
      <c r="H4314" s="13" t="inlineStr">
        <is>
          <t>100 a 300 L/ha</t>
        </is>
      </c>
      <c r="I4314" s="13" t="inlineStr">
        <is>
          <t>20 a 40 L/ha</t>
        </is>
      </c>
      <c r="J4314" s="13" t="inlineStr">
        <is>
          <t>Isento</t>
        </is>
      </c>
    </row>
    <row r="4315" ht="22" customHeight="1">
      <c r="A4315" s="6" t="inlineStr">
        <is>
          <t>CUL-4311</t>
        </is>
      </c>
      <c r="B4315" s="5" t="n">
        <v>854</v>
      </c>
      <c r="C4315" s="7" t="inlineStr">
        <is>
          <t>SIPEAGRO (UF-XXXXX)</t>
        </is>
      </c>
      <c r="D4315" s="8" t="inlineStr">
        <is>
          <t>SULFATO DE COBRE PENTAHIDRATADO AGRICOLA (25% CU)</t>
        </is>
      </c>
      <c r="E4315" s="7" t="inlineStr">
        <is>
          <t>Adubação de Solo / Foliar</t>
        </is>
      </c>
      <c r="F4315" s="7" t="inlineStr">
        <is>
          <t>Cana-de-açúcar</t>
        </is>
      </c>
      <c r="G4315" s="7" t="inlineStr">
        <is>
          <t>Cultura Autorizada na Bula</t>
        </is>
      </c>
      <c r="H4315" s="7" t="inlineStr">
        <is>
          <t>100 a 300 L/ha</t>
        </is>
      </c>
      <c r="I4315" s="7" t="inlineStr">
        <is>
          <t>20 a 40 L/ha</t>
        </is>
      </c>
      <c r="J4315" s="7" t="inlineStr">
        <is>
          <t>Isento</t>
        </is>
      </c>
    </row>
    <row r="4316" ht="22" customHeight="1">
      <c r="A4316" s="12" t="inlineStr">
        <is>
          <t>CUL-4312</t>
        </is>
      </c>
      <c r="B4316" s="11" t="n">
        <v>854</v>
      </c>
      <c r="C4316" s="13" t="inlineStr">
        <is>
          <t>SIPEAGRO (UF-XXXXX)</t>
        </is>
      </c>
      <c r="D4316" s="14" t="inlineStr">
        <is>
          <t>SULFATO DE COBRE PENTAHIDRATADO AGRICOLA (25% CU)</t>
        </is>
      </c>
      <c r="E4316" s="13" t="inlineStr">
        <is>
          <t>Adubação de Solo / Foliar</t>
        </is>
      </c>
      <c r="F4316" s="13" t="inlineStr">
        <is>
          <t>Café</t>
        </is>
      </c>
      <c r="G4316" s="13" t="inlineStr">
        <is>
          <t>Cultura Autorizada na Bula</t>
        </is>
      </c>
      <c r="H4316" s="13" t="inlineStr">
        <is>
          <t>100 a 300 L/ha</t>
        </is>
      </c>
      <c r="I4316" s="13" t="inlineStr">
        <is>
          <t>20 a 40 L/ha</t>
        </is>
      </c>
      <c r="J4316" s="13" t="inlineStr">
        <is>
          <t>Isento</t>
        </is>
      </c>
    </row>
    <row r="4317" ht="22" customHeight="1">
      <c r="A4317" s="6" t="inlineStr">
        <is>
          <t>CUL-4313</t>
        </is>
      </c>
      <c r="B4317" s="5" t="n">
        <v>855</v>
      </c>
      <c r="C4317" s="7" t="inlineStr">
        <is>
          <t>SIPEAGRO (UF-XXXXX)</t>
        </is>
      </c>
      <c r="D4317" s="8" t="inlineStr">
        <is>
          <t>BIOMAPHOS INOCULANTE SOLUBILIZADOR DE FOSFORO</t>
        </is>
      </c>
      <c r="E4317" s="7" t="inlineStr">
        <is>
          <t>Pulverização Agrícola Conforme Bula</t>
        </is>
      </c>
      <c r="F4317" s="7" t="inlineStr">
        <is>
          <t>Soja (Sulco / TS / Foliar)</t>
        </is>
      </c>
      <c r="G4317" s="7" t="inlineStr">
        <is>
          <t>Cultura Autorizada na Bula</t>
        </is>
      </c>
      <c r="H4317" s="7" t="inlineStr">
        <is>
          <t>100 a 300 L/ha</t>
        </is>
      </c>
      <c r="I4317" s="7" t="inlineStr">
        <is>
          <t>20 a 40 L/ha</t>
        </is>
      </c>
      <c r="J4317" s="7" t="inlineStr">
        <is>
          <t>0 (Isento)</t>
        </is>
      </c>
    </row>
    <row r="4318" ht="22" customHeight="1">
      <c r="A4318" s="12" t="inlineStr">
        <is>
          <t>CUL-4314</t>
        </is>
      </c>
      <c r="B4318" s="11" t="n">
        <v>855</v>
      </c>
      <c r="C4318" s="13" t="inlineStr">
        <is>
          <t>SIPEAGRO (UF-XXXXX)</t>
        </is>
      </c>
      <c r="D4318" s="14" t="inlineStr">
        <is>
          <t>BIOMAPHOS INOCULANTE SOLUBILIZADOR DE FOSFORO</t>
        </is>
      </c>
      <c r="E4318" s="13" t="inlineStr">
        <is>
          <t>Pulverização Agrícola Conforme Bula</t>
        </is>
      </c>
      <c r="F4318" s="13" t="inlineStr">
        <is>
          <t>Milho</t>
        </is>
      </c>
      <c r="G4318" s="13" t="inlineStr">
        <is>
          <t>Cultura Autorizada na Bula</t>
        </is>
      </c>
      <c r="H4318" s="13" t="inlineStr">
        <is>
          <t>100 a 300 L/ha</t>
        </is>
      </c>
      <c r="I4318" s="13" t="inlineStr">
        <is>
          <t>20 a 40 L/ha</t>
        </is>
      </c>
      <c r="J4318" s="13" t="inlineStr">
        <is>
          <t>0 (Isento)</t>
        </is>
      </c>
    </row>
    <row r="4319" ht="22" customHeight="1">
      <c r="A4319" s="6" t="inlineStr">
        <is>
          <t>CUL-4315</t>
        </is>
      </c>
      <c r="B4319" s="5" t="n">
        <v>855</v>
      </c>
      <c r="C4319" s="7" t="inlineStr">
        <is>
          <t>SIPEAGRO (UF-XXXXX)</t>
        </is>
      </c>
      <c r="D4319" s="8" t="inlineStr">
        <is>
          <t>BIOMAPHOS INOCULANTE SOLUBILIZADOR DE FOSFORO</t>
        </is>
      </c>
      <c r="E4319" s="7" t="inlineStr">
        <is>
          <t>Pulverização Agrícola Conforme Bula</t>
        </is>
      </c>
      <c r="F4319" s="7" t="inlineStr">
        <is>
          <t>Algodão</t>
        </is>
      </c>
      <c r="G4319" s="7" t="inlineStr">
        <is>
          <t>Cultura Autorizada na Bula</t>
        </is>
      </c>
      <c r="H4319" s="7" t="inlineStr">
        <is>
          <t>100 a 300 L/ha</t>
        </is>
      </c>
      <c r="I4319" s="7" t="inlineStr">
        <is>
          <t>20 a 40 L/ha</t>
        </is>
      </c>
      <c r="J4319" s="7" t="inlineStr">
        <is>
          <t>0 (Isento)</t>
        </is>
      </c>
    </row>
    <row r="4320" ht="22" customHeight="1">
      <c r="A4320" s="12" t="inlineStr">
        <is>
          <t>CUL-4316</t>
        </is>
      </c>
      <c r="B4320" s="11" t="n">
        <v>855</v>
      </c>
      <c r="C4320" s="13" t="inlineStr">
        <is>
          <t>SIPEAGRO (UF-XXXXX)</t>
        </is>
      </c>
      <c r="D4320" s="14" t="inlineStr">
        <is>
          <t>BIOMAPHOS INOCULANTE SOLUBILIZADOR DE FOSFORO</t>
        </is>
      </c>
      <c r="E4320" s="13" t="inlineStr">
        <is>
          <t>Pulverização Agrícola Conforme Bula</t>
        </is>
      </c>
      <c r="F4320" s="13" t="inlineStr">
        <is>
          <t>Feijão</t>
        </is>
      </c>
      <c r="G4320" s="13" t="inlineStr">
        <is>
          <t>Cultura Autorizada na Bula</t>
        </is>
      </c>
      <c r="H4320" s="13" t="inlineStr">
        <is>
          <t>100 a 300 L/ha</t>
        </is>
      </c>
      <c r="I4320" s="13" t="inlineStr">
        <is>
          <t>20 a 40 L/ha</t>
        </is>
      </c>
      <c r="J4320" s="13" t="inlineStr">
        <is>
          <t>0 (Isento)</t>
        </is>
      </c>
    </row>
    <row r="4321" ht="22" customHeight="1">
      <c r="A4321" s="6" t="inlineStr">
        <is>
          <t>CUL-4317</t>
        </is>
      </c>
      <c r="B4321" s="5" t="n">
        <v>856</v>
      </c>
      <c r="C4321" s="7" t="inlineStr">
        <is>
          <t>Nº 16124</t>
        </is>
      </c>
      <c r="D4321" s="8" t="inlineStr">
        <is>
          <t>ALTO</t>
        </is>
      </c>
      <c r="E4321" s="7" t="inlineStr">
        <is>
          <t>Pulverização Agrícola Conforme Bula</t>
        </is>
      </c>
      <c r="F4321" s="7" t="inlineStr">
        <is>
          <t>Soja</t>
        </is>
      </c>
      <c r="G4321" s="7" t="inlineStr">
        <is>
          <t>Cultura Autorizada na Bula</t>
        </is>
      </c>
      <c r="H4321" s="7" t="inlineStr">
        <is>
          <t>100 a 300 L/ha</t>
        </is>
      </c>
      <c r="I4321" s="7" t="inlineStr">
        <is>
          <t>20 a 40 L/ha</t>
        </is>
      </c>
      <c r="J4321" s="7" t="inlineStr">
        <is>
          <t>30 dias</t>
        </is>
      </c>
    </row>
    <row r="4322" ht="22" customHeight="1">
      <c r="A4322" s="12" t="inlineStr">
        <is>
          <t>CUL-4318</t>
        </is>
      </c>
      <c r="B4322" s="11" t="n">
        <v>856</v>
      </c>
      <c r="C4322" s="13" t="inlineStr">
        <is>
          <t>Nº 16124</t>
        </is>
      </c>
      <c r="D4322" s="14" t="inlineStr">
        <is>
          <t>ALTO</t>
        </is>
      </c>
      <c r="E4322" s="13" t="inlineStr">
        <is>
          <t>Pulverização Agrícola Conforme Bula</t>
        </is>
      </c>
      <c r="F4322" s="13" t="inlineStr">
        <is>
          <t>Milho</t>
        </is>
      </c>
      <c r="G4322" s="13" t="inlineStr">
        <is>
          <t>Cultura Autorizada na Bula</t>
        </is>
      </c>
      <c r="H4322" s="13" t="inlineStr">
        <is>
          <t>100 a 300 L/ha</t>
        </is>
      </c>
      <c r="I4322" s="13" t="inlineStr">
        <is>
          <t>20 a 40 L/ha</t>
        </is>
      </c>
      <c r="J4322" s="13" t="inlineStr">
        <is>
          <t>30 dias</t>
        </is>
      </c>
    </row>
    <row r="4323" ht="22" customHeight="1">
      <c r="A4323" s="6" t="inlineStr">
        <is>
          <t>CUL-4319</t>
        </is>
      </c>
      <c r="B4323" s="5" t="n">
        <v>856</v>
      </c>
      <c r="C4323" s="7" t="inlineStr">
        <is>
          <t>Nº 16124</t>
        </is>
      </c>
      <c r="D4323" s="8" t="inlineStr">
        <is>
          <t>ALTO</t>
        </is>
      </c>
      <c r="E4323" s="7" t="inlineStr">
        <is>
          <t>Pulverização Agrícola Conforme Bula</t>
        </is>
      </c>
      <c r="F4323" s="7" t="inlineStr">
        <is>
          <t>Algodão</t>
        </is>
      </c>
      <c r="G4323" s="7" t="inlineStr">
        <is>
          <t>Cultura Autorizada na Bula</t>
        </is>
      </c>
      <c r="H4323" s="7" t="inlineStr">
        <is>
          <t>100 a 300 L/ha</t>
        </is>
      </c>
      <c r="I4323" s="7" t="inlineStr">
        <is>
          <t>20 a 40 L/ha</t>
        </is>
      </c>
      <c r="J4323" s="7" t="inlineStr">
        <is>
          <t>30 dias</t>
        </is>
      </c>
    </row>
    <row r="4324" ht="22" customHeight="1">
      <c r="A4324" s="12" t="inlineStr">
        <is>
          <t>CUL-4320</t>
        </is>
      </c>
      <c r="B4324" s="11" t="n">
        <v>856</v>
      </c>
      <c r="C4324" s="13" t="inlineStr">
        <is>
          <t>Nº 16124</t>
        </is>
      </c>
      <c r="D4324" s="14" t="inlineStr">
        <is>
          <t>ALTO</t>
        </is>
      </c>
      <c r="E4324" s="13" t="inlineStr">
        <is>
          <t>Pulverização Agrícola Conforme Bula</t>
        </is>
      </c>
      <c r="F4324" s="13" t="inlineStr">
        <is>
          <t>Trigo</t>
        </is>
      </c>
      <c r="G4324" s="13" t="inlineStr">
        <is>
          <t>Cultura Autorizada na Bula</t>
        </is>
      </c>
      <c r="H4324" s="13" t="inlineStr">
        <is>
          <t>100 a 300 L/ha</t>
        </is>
      </c>
      <c r="I4324" s="13" t="inlineStr">
        <is>
          <t>20 a 40 L/ha</t>
        </is>
      </c>
      <c r="J4324" s="13" t="inlineStr">
        <is>
          <t>30 dias</t>
        </is>
      </c>
    </row>
    <row r="4325" ht="22" customHeight="1">
      <c r="A4325" s="6" t="inlineStr">
        <is>
          <t>CUL-4321</t>
        </is>
      </c>
      <c r="B4325" s="5" t="n">
        <v>856</v>
      </c>
      <c r="C4325" s="7" t="inlineStr">
        <is>
          <t>Nº 16124</t>
        </is>
      </c>
      <c r="D4325" s="8" t="inlineStr">
        <is>
          <t>ALTO</t>
        </is>
      </c>
      <c r="E4325" s="7" t="inlineStr">
        <is>
          <t>Pulverização Agrícola Conforme Bula</t>
        </is>
      </c>
      <c r="F4325" s="7" t="inlineStr">
        <is>
          <t>Feijão</t>
        </is>
      </c>
      <c r="G4325" s="7" t="inlineStr">
        <is>
          <t>Cultura Autorizada na Bula</t>
        </is>
      </c>
      <c r="H4325" s="7" t="inlineStr">
        <is>
          <t>100 a 300 L/ha</t>
        </is>
      </c>
      <c r="I4325" s="7" t="inlineStr">
        <is>
          <t>20 a 40 L/ha</t>
        </is>
      </c>
      <c r="J4325" s="7" t="inlineStr">
        <is>
          <t>14 dias</t>
        </is>
      </c>
    </row>
    <row r="4326" ht="22" customHeight="1">
      <c r="A4326" s="12" t="inlineStr">
        <is>
          <t>CUL-4322</t>
        </is>
      </c>
      <c r="B4326" s="11" t="n">
        <v>857</v>
      </c>
      <c r="C4326" s="13" t="inlineStr">
        <is>
          <t>VINC-16124</t>
        </is>
      </c>
      <c r="D4326" s="14" t="inlineStr">
        <is>
          <t>Ciproconazol Técnico Syn</t>
        </is>
      </c>
      <c r="E4326" s="13" t="inlineStr">
        <is>
          <t>Uso Exclusivamente Industrial (Formulação)</t>
        </is>
      </c>
      <c r="F4326" s="13" t="inlineStr">
        <is>
          <t>Não Aplicável (Proibido uso direto na lavoura)</t>
        </is>
      </c>
      <c r="G4326" s="13" t="inlineStr">
        <is>
          <t>Insumo Industrial</t>
        </is>
      </c>
      <c r="H4326" s="13" t="inlineStr">
        <is>
          <t>N/A</t>
        </is>
      </c>
      <c r="I4326" s="13" t="inlineStr">
        <is>
          <t>N/A</t>
        </is>
      </c>
      <c r="J4326" s="13" t="inlineStr">
        <is>
          <t>N/A (Insumo Industrial)</t>
        </is>
      </c>
    </row>
    <row r="4327" ht="22" customHeight="1">
      <c r="A4327" s="6" t="inlineStr">
        <is>
          <t>CUL-4323</t>
        </is>
      </c>
      <c r="B4327" s="5" t="n">
        <v>858</v>
      </c>
      <c r="C4327" s="7" t="inlineStr">
        <is>
          <t>VINC-16124</t>
        </is>
      </c>
      <c r="D4327" s="8" t="inlineStr">
        <is>
          <t>Cyproconazole Técnico</t>
        </is>
      </c>
      <c r="E4327" s="7" t="inlineStr">
        <is>
          <t>Uso Exclusivamente Industrial (Formulação)</t>
        </is>
      </c>
      <c r="F4327" s="7" t="inlineStr">
        <is>
          <t>Não Aplicável (Proibido uso direto na lavoura)</t>
        </is>
      </c>
      <c r="G4327" s="7" t="inlineStr">
        <is>
          <t>Insumo Industrial</t>
        </is>
      </c>
      <c r="H4327" s="7" t="inlineStr">
        <is>
          <t>N/A</t>
        </is>
      </c>
      <c r="I4327" s="7" t="inlineStr">
        <is>
          <t>N/A</t>
        </is>
      </c>
      <c r="J4327" s="7" t="inlineStr">
        <is>
          <t>N/A (Insumo Industrial)</t>
        </is>
      </c>
    </row>
    <row r="4328" ht="22" customHeight="1">
      <c r="A4328" s="12" t="inlineStr">
        <is>
          <t>CUL-4324</t>
        </is>
      </c>
      <c r="B4328" s="11" t="n">
        <v>859</v>
      </c>
      <c r="C4328" s="13" t="inlineStr">
        <is>
          <t>Nº 16224</t>
        </is>
      </c>
      <c r="D4328" s="14" t="inlineStr">
        <is>
          <t>PEÃO 200 EC</t>
        </is>
      </c>
      <c r="E4328" s="13" t="inlineStr">
        <is>
          <t>Pulverização Agrícola Conforme Bula</t>
        </is>
      </c>
      <c r="F4328" s="13" t="inlineStr">
        <is>
          <t>Pastagens</t>
        </is>
      </c>
      <c r="G4328" s="13" t="inlineStr">
        <is>
          <t>Cultura Autorizada na Bula</t>
        </is>
      </c>
      <c r="H4328" s="13" t="inlineStr">
        <is>
          <t>100 a 300 L/ha</t>
        </is>
      </c>
      <c r="I4328" s="13" t="inlineStr">
        <is>
          <t>20 a 40 L/ha</t>
        </is>
      </c>
      <c r="J4328" s="13" t="inlineStr">
        <is>
          <t>U.N.A.</t>
        </is>
      </c>
    </row>
    <row r="4329" ht="22" customHeight="1">
      <c r="A4329" s="6" t="inlineStr">
        <is>
          <t>CUL-4325</t>
        </is>
      </c>
      <c r="B4329" s="5" t="n">
        <v>859</v>
      </c>
      <c r="C4329" s="7" t="inlineStr">
        <is>
          <t>Nº 16224</t>
        </is>
      </c>
      <c r="D4329" s="8" t="inlineStr">
        <is>
          <t>PEÃO 200 EC</t>
        </is>
      </c>
      <c r="E4329" s="7" t="inlineStr">
        <is>
          <t>Pulverização Agrícola Conforme Bula</t>
        </is>
      </c>
      <c r="F4329" s="7" t="inlineStr">
        <is>
          <t>Cana-de-açúcar</t>
        </is>
      </c>
      <c r="G4329" s="7" t="inlineStr">
        <is>
          <t>Cultura Autorizada na Bula</t>
        </is>
      </c>
      <c r="H4329" s="7" t="inlineStr">
        <is>
          <t>100 a 300 L/ha</t>
        </is>
      </c>
      <c r="I4329" s="7" t="inlineStr">
        <is>
          <t>20 a 40 L/ha</t>
        </is>
      </c>
      <c r="J4329" s="7" t="inlineStr">
        <is>
          <t>28 dias</t>
        </is>
      </c>
    </row>
    <row r="4330" ht="22" customHeight="1">
      <c r="A4330" s="12" t="inlineStr">
        <is>
          <t>CUL-4326</t>
        </is>
      </c>
      <c r="B4330" s="11" t="n">
        <v>859</v>
      </c>
      <c r="C4330" s="13" t="inlineStr">
        <is>
          <t>Nº 16224</t>
        </is>
      </c>
      <c r="D4330" s="14" t="inlineStr">
        <is>
          <t>PEÃO 200 EC</t>
        </is>
      </c>
      <c r="E4330" s="13" t="inlineStr">
        <is>
          <t>Pulverização Agrícola Conforme Bula</t>
        </is>
      </c>
      <c r="F4330" s="13" t="inlineStr">
        <is>
          <t>Milho</t>
        </is>
      </c>
      <c r="G4330" s="13" t="inlineStr">
        <is>
          <t>Cultura Autorizada na Bula</t>
        </is>
      </c>
      <c r="H4330" s="13" t="inlineStr">
        <is>
          <t>100 a 300 L/ha</t>
        </is>
      </c>
      <c r="I4330" s="13" t="inlineStr">
        <is>
          <t>20 a 40 L/ha</t>
        </is>
      </c>
      <c r="J4330" s="13" t="inlineStr">
        <is>
          <t>45 dias</t>
        </is>
      </c>
    </row>
    <row r="4331" ht="22" customHeight="1">
      <c r="A4331" s="6" t="inlineStr">
        <is>
          <t>CUL-4327</t>
        </is>
      </c>
      <c r="B4331" s="5" t="n">
        <v>859</v>
      </c>
      <c r="C4331" s="7" t="inlineStr">
        <is>
          <t>Nº 16224</t>
        </is>
      </c>
      <c r="D4331" s="8" t="inlineStr">
        <is>
          <t>PEÃO 200 EC</t>
        </is>
      </c>
      <c r="E4331" s="7" t="inlineStr">
        <is>
          <t>Pulverização Agrícola Conforme Bula</t>
        </is>
      </c>
      <c r="F4331" s="7" t="inlineStr">
        <is>
          <t>Arroz</t>
        </is>
      </c>
      <c r="G4331" s="7" t="inlineStr">
        <is>
          <t>Cultura Autorizada na Bula</t>
        </is>
      </c>
      <c r="H4331" s="7" t="inlineStr">
        <is>
          <t>100 a 300 L/ha</t>
        </is>
      </c>
      <c r="I4331" s="7" t="inlineStr">
        <is>
          <t>20 a 40 L/ha</t>
        </is>
      </c>
      <c r="J4331" s="7" t="inlineStr">
        <is>
          <t>60 dias</t>
        </is>
      </c>
    </row>
    <row r="4332" ht="22" customHeight="1">
      <c r="A4332" s="12" t="inlineStr">
        <is>
          <t>CUL-4328</t>
        </is>
      </c>
      <c r="B4332" s="11" t="n">
        <v>859</v>
      </c>
      <c r="C4332" s="13" t="inlineStr">
        <is>
          <t>Nº 16224</t>
        </is>
      </c>
      <c r="D4332" s="14" t="inlineStr">
        <is>
          <t>PEÃO 200 EC</t>
        </is>
      </c>
      <c r="E4332" s="13" t="inlineStr">
        <is>
          <t>Pulverização Agrícola Conforme Bula</t>
        </is>
      </c>
      <c r="F4332" s="13" t="inlineStr">
        <is>
          <t>Trigo</t>
        </is>
      </c>
      <c r="G4332" s="13" t="inlineStr">
        <is>
          <t>Cultura Autorizada na Bula</t>
        </is>
      </c>
      <c r="H4332" s="13" t="inlineStr">
        <is>
          <t>100 a 300 L/ha</t>
        </is>
      </c>
      <c r="I4332" s="13" t="inlineStr">
        <is>
          <t>20 a 40 L/ha</t>
        </is>
      </c>
      <c r="J4332" s="13" t="inlineStr">
        <is>
          <t>45 dias</t>
        </is>
      </c>
    </row>
    <row r="4333" ht="22" customHeight="1">
      <c r="A4333" s="6" t="inlineStr">
        <is>
          <t>CUL-4329</t>
        </is>
      </c>
      <c r="B4333" s="5" t="n">
        <v>860</v>
      </c>
      <c r="C4333" s="7" t="inlineStr">
        <is>
          <t>VINC-16224</t>
        </is>
      </c>
      <c r="D4333" s="8" t="inlineStr">
        <is>
          <t>Fluroxipir Técnico CropChem</t>
        </is>
      </c>
      <c r="E4333" s="7" t="inlineStr">
        <is>
          <t>Uso Exclusivamente Industrial (Formulação)</t>
        </is>
      </c>
      <c r="F4333" s="7" t="inlineStr">
        <is>
          <t>Não Aplicável (Proibido uso direto na lavoura)</t>
        </is>
      </c>
      <c r="G4333" s="7" t="inlineStr">
        <is>
          <t>Insumo Industrial</t>
        </is>
      </c>
      <c r="H4333" s="7" t="inlineStr">
        <is>
          <t>N/A</t>
        </is>
      </c>
      <c r="I4333" s="7" t="inlineStr">
        <is>
          <t>N/A</t>
        </is>
      </c>
      <c r="J4333" s="7" t="inlineStr">
        <is>
          <t>N/A (Insumo Industrial)</t>
        </is>
      </c>
    </row>
    <row r="4334" ht="22" customHeight="1">
      <c r="A4334" s="12" t="inlineStr">
        <is>
          <t>CUL-4330</t>
        </is>
      </c>
      <c r="B4334" s="11" t="n">
        <v>861</v>
      </c>
      <c r="C4334" s="13" t="inlineStr">
        <is>
          <t>Nº 16324</t>
        </is>
      </c>
      <c r="D4334" s="14" t="inlineStr">
        <is>
          <t>METRIBUZIM</t>
        </is>
      </c>
      <c r="E4334" s="13" t="inlineStr">
        <is>
          <t>Pulverização Agrícola Conforme Bula</t>
        </is>
      </c>
      <c r="F4334" s="13" t="inlineStr">
        <is>
          <t>Soja</t>
        </is>
      </c>
      <c r="G4334" s="13" t="inlineStr">
        <is>
          <t>Cultura Autorizada na Bula</t>
        </is>
      </c>
      <c r="H4334" s="13" t="inlineStr">
        <is>
          <t>100 a 300 L/ha</t>
        </is>
      </c>
      <c r="I4334" s="13" t="inlineStr">
        <is>
          <t>20 a 40 L/ha</t>
        </is>
      </c>
      <c r="J4334" s="13" t="inlineStr">
        <is>
          <t>60 dias</t>
        </is>
      </c>
    </row>
    <row r="4335" ht="22" customHeight="1">
      <c r="A4335" s="6" t="inlineStr">
        <is>
          <t>CUL-4331</t>
        </is>
      </c>
      <c r="B4335" s="5" t="n">
        <v>861</v>
      </c>
      <c r="C4335" s="7" t="inlineStr">
        <is>
          <t>Nº 16324</t>
        </is>
      </c>
      <c r="D4335" s="8" t="inlineStr">
        <is>
          <t>METRIBUZIM</t>
        </is>
      </c>
      <c r="E4335" s="7" t="inlineStr">
        <is>
          <t>Pulverização Agrícola Conforme Bula</t>
        </is>
      </c>
      <c r="F4335" s="7" t="inlineStr">
        <is>
          <t>Milho</t>
        </is>
      </c>
      <c r="G4335" s="7" t="inlineStr">
        <is>
          <t>Cultura Autorizada na Bula</t>
        </is>
      </c>
      <c r="H4335" s="7" t="inlineStr">
        <is>
          <t>100 a 300 L/ha</t>
        </is>
      </c>
      <c r="I4335" s="7" t="inlineStr">
        <is>
          <t>20 a 40 L/ha</t>
        </is>
      </c>
      <c r="J4335" s="7" t="inlineStr">
        <is>
          <t>45 dias</t>
        </is>
      </c>
    </row>
    <row r="4336" ht="22" customHeight="1">
      <c r="A4336" s="12" t="inlineStr">
        <is>
          <t>CUL-4332</t>
        </is>
      </c>
      <c r="B4336" s="11" t="n">
        <v>861</v>
      </c>
      <c r="C4336" s="13" t="inlineStr">
        <is>
          <t>Nº 16324</t>
        </is>
      </c>
      <c r="D4336" s="14" t="inlineStr">
        <is>
          <t>METRIBUZIM</t>
        </is>
      </c>
      <c r="E4336" s="13" t="inlineStr">
        <is>
          <t>Pulverização Agrícola Conforme Bula</t>
        </is>
      </c>
      <c r="F4336" s="13" t="inlineStr">
        <is>
          <t>Algodão</t>
        </is>
      </c>
      <c r="G4336" s="13" t="inlineStr">
        <is>
          <t>Cultura Autorizada na Bula</t>
        </is>
      </c>
      <c r="H4336" s="13" t="inlineStr">
        <is>
          <t>100 a 300 L/ha</t>
        </is>
      </c>
      <c r="I4336" s="13" t="inlineStr">
        <is>
          <t>20 a 40 L/ha</t>
        </is>
      </c>
      <c r="J4336" s="13" t="inlineStr">
        <is>
          <t>60 dias</t>
        </is>
      </c>
    </row>
    <row r="4337" ht="22" customHeight="1">
      <c r="A4337" s="6" t="inlineStr">
        <is>
          <t>CUL-4333</t>
        </is>
      </c>
      <c r="B4337" s="5" t="n">
        <v>861</v>
      </c>
      <c r="C4337" s="7" t="inlineStr">
        <is>
          <t>Nº 16324</t>
        </is>
      </c>
      <c r="D4337" s="8" t="inlineStr">
        <is>
          <t>METRIBUZIM</t>
        </is>
      </c>
      <c r="E4337" s="7" t="inlineStr">
        <is>
          <t>Pulverização Agrícola Conforme Bula</t>
        </is>
      </c>
      <c r="F4337" s="7" t="inlineStr">
        <is>
          <t>Cana-de-açúcar</t>
        </is>
      </c>
      <c r="G4337" s="7" t="inlineStr">
        <is>
          <t>Cultura Autorizada na Bula</t>
        </is>
      </c>
      <c r="H4337" s="7" t="inlineStr">
        <is>
          <t>100 a 300 L/ha</t>
        </is>
      </c>
      <c r="I4337" s="7" t="inlineStr">
        <is>
          <t>20 a 40 L/ha</t>
        </is>
      </c>
      <c r="J4337" s="7" t="inlineStr">
        <is>
          <t>90 dias</t>
        </is>
      </c>
    </row>
    <row r="4338" ht="22" customHeight="1">
      <c r="A4338" s="12" t="inlineStr">
        <is>
          <t>CUL-4334</t>
        </is>
      </c>
      <c r="B4338" s="11" t="n">
        <v>862</v>
      </c>
      <c r="C4338" s="13" t="inlineStr">
        <is>
          <t>VINC-16324</t>
        </is>
      </c>
      <c r="D4338" s="14" t="inlineStr">
        <is>
          <t>Metribuzin Técnico Rallis</t>
        </is>
      </c>
      <c r="E4338" s="13" t="inlineStr">
        <is>
          <t>Uso Exclusivamente Industrial (Formulação)</t>
        </is>
      </c>
      <c r="F4338" s="13" t="inlineStr">
        <is>
          <t>Não Aplicável (Proibido uso direto na lavoura)</t>
        </is>
      </c>
      <c r="G4338" s="13" t="inlineStr">
        <is>
          <t>Insumo Industrial</t>
        </is>
      </c>
      <c r="H4338" s="13" t="inlineStr">
        <is>
          <t>N/A</t>
        </is>
      </c>
      <c r="I4338" s="13" t="inlineStr">
        <is>
          <t>N/A</t>
        </is>
      </c>
      <c r="J4338" s="13" t="inlineStr">
        <is>
          <t>N/A (Insumo Industrial)</t>
        </is>
      </c>
    </row>
    <row r="4339" ht="22" customHeight="1">
      <c r="A4339" s="6" t="inlineStr">
        <is>
          <t>CUL-4335</t>
        </is>
      </c>
      <c r="B4339" s="5" t="n">
        <v>863</v>
      </c>
      <c r="C4339" s="7" t="inlineStr">
        <is>
          <t>Nº 16424</t>
        </is>
      </c>
      <c r="D4339" s="8" t="inlineStr">
        <is>
          <t>SOLEADO 50 WG</t>
        </is>
      </c>
      <c r="E4339" s="7" t="inlineStr">
        <is>
          <t>Pulverização Agrícola Conforme Bula</t>
        </is>
      </c>
      <c r="F4339" s="7" t="inlineStr">
        <is>
          <t>Soja</t>
        </is>
      </c>
      <c r="G4339" s="7" t="inlineStr">
        <is>
          <t>Cultura Autorizada na Bula</t>
        </is>
      </c>
      <c r="H4339" s="7" t="inlineStr">
        <is>
          <t>100 a 300 L/ha</t>
        </is>
      </c>
      <c r="I4339" s="7" t="inlineStr">
        <is>
          <t>20 a 40 L/ha</t>
        </is>
      </c>
      <c r="J4339" s="7" t="inlineStr">
        <is>
          <t>21 a 30 dias</t>
        </is>
      </c>
    </row>
    <row r="4340" ht="22" customHeight="1">
      <c r="A4340" s="12" t="inlineStr">
        <is>
          <t>CUL-4336</t>
        </is>
      </c>
      <c r="B4340" s="11" t="n">
        <v>863</v>
      </c>
      <c r="C4340" s="13" t="inlineStr">
        <is>
          <t>Nº 16424</t>
        </is>
      </c>
      <c r="D4340" s="14" t="inlineStr">
        <is>
          <t>SOLEADO 50 WG</t>
        </is>
      </c>
      <c r="E4340" s="13" t="inlineStr">
        <is>
          <t>Pulverização Agrícola Conforme Bula</t>
        </is>
      </c>
      <c r="F4340" s="13" t="inlineStr">
        <is>
          <t>Milho</t>
        </is>
      </c>
      <c r="G4340" s="13" t="inlineStr">
        <is>
          <t>Cultura Autorizada na Bula</t>
        </is>
      </c>
      <c r="H4340" s="13" t="inlineStr">
        <is>
          <t>100 a 300 L/ha</t>
        </is>
      </c>
      <c r="I4340" s="13" t="inlineStr">
        <is>
          <t>20 a 40 L/ha</t>
        </is>
      </c>
      <c r="J4340" s="13" t="inlineStr">
        <is>
          <t>21 a 30 dias</t>
        </is>
      </c>
    </row>
    <row r="4341" ht="22" customHeight="1">
      <c r="A4341" s="6" t="inlineStr">
        <is>
          <t>CUL-4337</t>
        </is>
      </c>
      <c r="B4341" s="5" t="n">
        <v>863</v>
      </c>
      <c r="C4341" s="7" t="inlineStr">
        <is>
          <t>Nº 16424</t>
        </is>
      </c>
      <c r="D4341" s="8" t="inlineStr">
        <is>
          <t>SOLEADO 50 WG</t>
        </is>
      </c>
      <c r="E4341" s="7" t="inlineStr">
        <is>
          <t>Pulverização Agrícola Conforme Bula</t>
        </is>
      </c>
      <c r="F4341" s="7" t="inlineStr">
        <is>
          <t>Algodão</t>
        </is>
      </c>
      <c r="G4341" s="7" t="inlineStr">
        <is>
          <t>Cultura Autorizada na Bula</t>
        </is>
      </c>
      <c r="H4341" s="7" t="inlineStr">
        <is>
          <t>100 a 300 L/ha</t>
        </is>
      </c>
      <c r="I4341" s="7" t="inlineStr">
        <is>
          <t>20 a 40 L/ha</t>
        </is>
      </c>
      <c r="J4341" s="7" t="inlineStr">
        <is>
          <t>21 a 30 dias</t>
        </is>
      </c>
    </row>
    <row r="4342" ht="22" customHeight="1">
      <c r="A4342" s="12" t="inlineStr">
        <is>
          <t>CUL-4338</t>
        </is>
      </c>
      <c r="B4342" s="11" t="n">
        <v>863</v>
      </c>
      <c r="C4342" s="13" t="inlineStr">
        <is>
          <t>Nº 16424</t>
        </is>
      </c>
      <c r="D4342" s="14" t="inlineStr">
        <is>
          <t>SOLEADO 50 WG</t>
        </is>
      </c>
      <c r="E4342" s="13" t="inlineStr">
        <is>
          <t>Pulverização Agrícola Conforme Bula</t>
        </is>
      </c>
      <c r="F4342" s="13" t="inlineStr">
        <is>
          <t>Feijão</t>
        </is>
      </c>
      <c r="G4342" s="13" t="inlineStr">
        <is>
          <t>Cultura Autorizada na Bula</t>
        </is>
      </c>
      <c r="H4342" s="13" t="inlineStr">
        <is>
          <t>100 a 300 L/ha</t>
        </is>
      </c>
      <c r="I4342" s="13" t="inlineStr">
        <is>
          <t>20 a 40 L/ha</t>
        </is>
      </c>
      <c r="J4342" s="13" t="inlineStr">
        <is>
          <t>21 a 30 dias</t>
        </is>
      </c>
    </row>
    <row r="4343" ht="22" customHeight="1">
      <c r="A4343" s="6" t="inlineStr">
        <is>
          <t>CUL-4339</t>
        </is>
      </c>
      <c r="B4343" s="5" t="n">
        <v>863</v>
      </c>
      <c r="C4343" s="7" t="inlineStr">
        <is>
          <t>Nº 16424</t>
        </is>
      </c>
      <c r="D4343" s="8" t="inlineStr">
        <is>
          <t>SOLEADO 50 WG</t>
        </is>
      </c>
      <c r="E4343" s="7" t="inlineStr">
        <is>
          <t>Pulverização Agrícola Conforme Bula</t>
        </is>
      </c>
      <c r="F4343" s="7" t="inlineStr">
        <is>
          <t>Trigo</t>
        </is>
      </c>
      <c r="G4343" s="7" t="inlineStr">
        <is>
          <t>Cultura Autorizada na Bula</t>
        </is>
      </c>
      <c r="H4343" s="7" t="inlineStr">
        <is>
          <t>100 a 300 L/ha</t>
        </is>
      </c>
      <c r="I4343" s="7" t="inlineStr">
        <is>
          <t>20 a 40 L/ha</t>
        </is>
      </c>
      <c r="J4343" s="7" t="inlineStr">
        <is>
          <t>21 a 30 dias</t>
        </is>
      </c>
    </row>
    <row r="4344" ht="22" customHeight="1">
      <c r="A4344" s="12" t="inlineStr">
        <is>
          <t>CUL-4340</t>
        </is>
      </c>
      <c r="B4344" s="11" t="n">
        <v>864</v>
      </c>
      <c r="C4344" s="13" t="inlineStr">
        <is>
          <t>VINC-16424</t>
        </is>
      </c>
      <c r="D4344" s="14" t="inlineStr">
        <is>
          <t>Boscalid Técnico Oxon</t>
        </is>
      </c>
      <c r="E4344" s="13" t="inlineStr">
        <is>
          <t>Uso Exclusivamente Industrial (Formulação)</t>
        </is>
      </c>
      <c r="F4344" s="13" t="inlineStr">
        <is>
          <t>Não Aplicável (Proibido uso direto na lavoura)</t>
        </is>
      </c>
      <c r="G4344" s="13" t="inlineStr">
        <is>
          <t>Insumo Industrial</t>
        </is>
      </c>
      <c r="H4344" s="13" t="inlineStr">
        <is>
          <t>N/A</t>
        </is>
      </c>
      <c r="I4344" s="13" t="inlineStr">
        <is>
          <t>N/A</t>
        </is>
      </c>
      <c r="J4344" s="13" t="inlineStr">
        <is>
          <t>N/A (Insumo Industrial)</t>
        </is>
      </c>
    </row>
    <row r="4345" ht="22" customHeight="1">
      <c r="A4345" s="6" t="inlineStr">
        <is>
          <t>CUL-4341</t>
        </is>
      </c>
      <c r="B4345" s="5" t="n">
        <v>865</v>
      </c>
      <c r="C4345" s="7" t="inlineStr">
        <is>
          <t>Nº 16524</t>
        </is>
      </c>
      <c r="D4345" s="8" t="inlineStr">
        <is>
          <t>ALLURE BR</t>
        </is>
      </c>
      <c r="E4345" s="7" t="inlineStr">
        <is>
          <t>Pulverização Agrícola Conforme Bula</t>
        </is>
      </c>
      <c r="F4345" s="7" t="inlineStr">
        <is>
          <t>Cana-de-açúcar</t>
        </is>
      </c>
      <c r="G4345" s="7" t="inlineStr">
        <is>
          <t>Cultura Autorizada na Bula</t>
        </is>
      </c>
      <c r="H4345" s="7" t="inlineStr">
        <is>
          <t>150 a 300 L/ha</t>
        </is>
      </c>
      <c r="I4345" s="7" t="inlineStr">
        <is>
          <t>30 a 40 L/ha</t>
        </is>
      </c>
      <c r="J4345" s="7" t="inlineStr">
        <is>
          <t>150 dias</t>
        </is>
      </c>
    </row>
    <row r="4346" ht="22" customHeight="1">
      <c r="A4346" s="12" t="inlineStr">
        <is>
          <t>CUL-4342</t>
        </is>
      </c>
      <c r="B4346" s="11" t="n">
        <v>866</v>
      </c>
      <c r="C4346" s="13" t="inlineStr">
        <is>
          <t>VINC-16524</t>
        </is>
      </c>
      <c r="D4346" s="14" t="inlineStr">
        <is>
          <t>Clomazone Técnico Milenia</t>
        </is>
      </c>
      <c r="E4346" s="13" t="inlineStr">
        <is>
          <t>Uso Exclusivamente Industrial (Formulação)</t>
        </is>
      </c>
      <c r="F4346" s="13" t="inlineStr">
        <is>
          <t>Não Aplicável (Proibido uso direto na lavoura)</t>
        </is>
      </c>
      <c r="G4346" s="13" t="inlineStr">
        <is>
          <t>Insumo Industrial</t>
        </is>
      </c>
      <c r="H4346" s="13" t="inlineStr">
        <is>
          <t>N/A</t>
        </is>
      </c>
      <c r="I4346" s="13" t="inlineStr">
        <is>
          <t>N/A</t>
        </is>
      </c>
      <c r="J4346" s="13" t="inlineStr">
        <is>
          <t>N/A (Insumo Industrial)</t>
        </is>
      </c>
    </row>
    <row r="4347" ht="22" customHeight="1">
      <c r="A4347" s="6" t="inlineStr">
        <is>
          <t>CUL-4343</t>
        </is>
      </c>
      <c r="B4347" s="5" t="n">
        <v>867</v>
      </c>
      <c r="C4347" s="7" t="inlineStr">
        <is>
          <t>VINC-16524</t>
        </is>
      </c>
      <c r="D4347" s="8" t="inlineStr">
        <is>
          <t>Diuron Técnico 970 BR</t>
        </is>
      </c>
      <c r="E4347" s="7" t="inlineStr">
        <is>
          <t>Uso Exclusivamente Industrial (Formulação)</t>
        </is>
      </c>
      <c r="F4347" s="7" t="inlineStr">
        <is>
          <t>Não Aplicável (Proibido uso direto na lavoura)</t>
        </is>
      </c>
      <c r="G4347" s="7" t="inlineStr">
        <is>
          <t>Insumo Industrial</t>
        </is>
      </c>
      <c r="H4347" s="7" t="inlineStr">
        <is>
          <t>N/A</t>
        </is>
      </c>
      <c r="I4347" s="7" t="inlineStr">
        <is>
          <t>N/A</t>
        </is>
      </c>
      <c r="J4347" s="7" t="inlineStr">
        <is>
          <t>N/A (Insumo Industrial)</t>
        </is>
      </c>
    </row>
    <row r="4348" ht="22" customHeight="1">
      <c r="A4348" s="12" t="inlineStr">
        <is>
          <t>CUL-4344</t>
        </is>
      </c>
      <c r="B4348" s="11" t="n">
        <v>868</v>
      </c>
      <c r="C4348" s="13" t="inlineStr">
        <is>
          <t>VINC-16524</t>
        </is>
      </c>
      <c r="D4348" s="14" t="inlineStr">
        <is>
          <t>Hexazinona Técnico Milenia</t>
        </is>
      </c>
      <c r="E4348" s="13" t="inlineStr">
        <is>
          <t>Uso Exclusivamente Industrial (Formulação)</t>
        </is>
      </c>
      <c r="F4348" s="13" t="inlineStr">
        <is>
          <t>Não Aplicável (Proibido uso direto na lavoura)</t>
        </is>
      </c>
      <c r="G4348" s="13" t="inlineStr">
        <is>
          <t>Insumo Industrial</t>
        </is>
      </c>
      <c r="H4348" s="13" t="inlineStr">
        <is>
          <t>N/A</t>
        </is>
      </c>
      <c r="I4348" s="13" t="inlineStr">
        <is>
          <t>N/A</t>
        </is>
      </c>
      <c r="J4348" s="13" t="inlineStr">
        <is>
          <t>N/A (Insumo Industrial)</t>
        </is>
      </c>
    </row>
    <row r="4349" ht="22" customHeight="1">
      <c r="A4349" s="6" t="inlineStr">
        <is>
          <t>CUL-4345</t>
        </is>
      </c>
      <c r="B4349" s="5" t="n">
        <v>869</v>
      </c>
      <c r="C4349" s="7" t="inlineStr">
        <is>
          <t>VINC-16524</t>
        </is>
      </c>
      <c r="D4349" s="8" t="inlineStr">
        <is>
          <t>Hexazinona Técnico Milenia BR</t>
        </is>
      </c>
      <c r="E4349" s="7" t="inlineStr">
        <is>
          <t>Uso Exclusivamente Industrial (Formulação)</t>
        </is>
      </c>
      <c r="F4349" s="7" t="inlineStr">
        <is>
          <t>Não Aplicável (Proibido uso direto na lavoura)</t>
        </is>
      </c>
      <c r="G4349" s="7" t="inlineStr">
        <is>
          <t>Insumo Industrial</t>
        </is>
      </c>
      <c r="H4349" s="7" t="inlineStr">
        <is>
          <t>N/A</t>
        </is>
      </c>
      <c r="I4349" s="7" t="inlineStr">
        <is>
          <t>N/A</t>
        </is>
      </c>
      <c r="J4349" s="7" t="inlineStr">
        <is>
          <t>N/A (Insumo Industrial)</t>
        </is>
      </c>
    </row>
    <row r="4350" ht="22" customHeight="1">
      <c r="A4350" s="12" t="inlineStr">
        <is>
          <t>CUL-4346</t>
        </is>
      </c>
      <c r="B4350" s="11" t="n">
        <v>870</v>
      </c>
      <c r="C4350" s="13" t="inlineStr">
        <is>
          <t>VINC-16524</t>
        </is>
      </c>
      <c r="D4350" s="14" t="inlineStr">
        <is>
          <t>Hexazinona Técnico Adama BR</t>
        </is>
      </c>
      <c r="E4350" s="13" t="inlineStr">
        <is>
          <t>Uso Exclusivamente Industrial (Formulação)</t>
        </is>
      </c>
      <c r="F4350" s="13" t="inlineStr">
        <is>
          <t>Não Aplicável (Proibido uso direto na lavoura)</t>
        </is>
      </c>
      <c r="G4350" s="13" t="inlineStr">
        <is>
          <t>Insumo Industrial</t>
        </is>
      </c>
      <c r="H4350" s="13" t="inlineStr">
        <is>
          <t>N/A</t>
        </is>
      </c>
      <c r="I4350" s="13" t="inlineStr">
        <is>
          <t>N/A</t>
        </is>
      </c>
      <c r="J4350" s="13" t="inlineStr">
        <is>
          <t>N/A (Insumo Industrial)</t>
        </is>
      </c>
    </row>
    <row r="4351" ht="22" customHeight="1">
      <c r="A4351" s="6" t="inlineStr">
        <is>
          <t>CUL-4347</t>
        </is>
      </c>
      <c r="B4351" s="5" t="n">
        <v>871</v>
      </c>
      <c r="C4351" s="7" t="inlineStr">
        <is>
          <t>Nº 16624</t>
        </is>
      </c>
      <c r="D4351" s="8" t="inlineStr">
        <is>
          <t>TIOFANIL SNB</t>
        </is>
      </c>
      <c r="E4351" s="7" t="inlineStr">
        <is>
          <t>Pulverização Agrícola Conforme Bula</t>
        </is>
      </c>
      <c r="F4351" s="7" t="inlineStr">
        <is>
          <t>Soja</t>
        </is>
      </c>
      <c r="G4351" s="7" t="inlineStr">
        <is>
          <t>Cultura Autorizada na Bula</t>
        </is>
      </c>
      <c r="H4351" s="7" t="inlineStr">
        <is>
          <t>100 a 300 L/ha</t>
        </is>
      </c>
      <c r="I4351" s="7" t="inlineStr">
        <is>
          <t>20 a 40 L/ha</t>
        </is>
      </c>
      <c r="J4351" s="7" t="inlineStr">
        <is>
          <t>14 dias</t>
        </is>
      </c>
    </row>
    <row r="4352" ht="22" customHeight="1">
      <c r="A4352" s="12" t="inlineStr">
        <is>
          <t>CUL-4348</t>
        </is>
      </c>
      <c r="B4352" s="11" t="n">
        <v>871</v>
      </c>
      <c r="C4352" s="13" t="inlineStr">
        <is>
          <t>Nº 16624</t>
        </is>
      </c>
      <c r="D4352" s="14" t="inlineStr">
        <is>
          <t>TIOFANIL SNB</t>
        </is>
      </c>
      <c r="E4352" s="13" t="inlineStr">
        <is>
          <t>Pulverização Agrícola Conforme Bula</t>
        </is>
      </c>
      <c r="F4352" s="13" t="inlineStr">
        <is>
          <t>Algodão</t>
        </is>
      </c>
      <c r="G4352" s="13" t="inlineStr">
        <is>
          <t>Cultura Autorizada na Bula</t>
        </is>
      </c>
      <c r="H4352" s="13" t="inlineStr">
        <is>
          <t>100 a 300 L/ha</t>
        </is>
      </c>
      <c r="I4352" s="13" t="inlineStr">
        <is>
          <t>20 a 40 L/ha</t>
        </is>
      </c>
      <c r="J4352" s="13" t="inlineStr">
        <is>
          <t>14 dias</t>
        </is>
      </c>
    </row>
    <row r="4353" ht="22" customHeight="1">
      <c r="A4353" s="6" t="inlineStr">
        <is>
          <t>CUL-4349</t>
        </is>
      </c>
      <c r="B4353" s="5" t="n">
        <v>871</v>
      </c>
      <c r="C4353" s="7" t="inlineStr">
        <is>
          <t>Nº 16624</t>
        </is>
      </c>
      <c r="D4353" s="8" t="inlineStr">
        <is>
          <t>TIOFANIL SNB</t>
        </is>
      </c>
      <c r="E4353" s="7" t="inlineStr">
        <is>
          <t>Pulverização Agrícola Conforme Bula</t>
        </is>
      </c>
      <c r="F4353" s="7" t="inlineStr">
        <is>
          <t>Feijão</t>
        </is>
      </c>
      <c r="G4353" s="7" t="inlineStr">
        <is>
          <t>Cultura Autorizada na Bula</t>
        </is>
      </c>
      <c r="H4353" s="7" t="inlineStr">
        <is>
          <t>100 a 300 L/ha</t>
        </is>
      </c>
      <c r="I4353" s="7" t="inlineStr">
        <is>
          <t>20 a 40 L/ha</t>
        </is>
      </c>
      <c r="J4353" s="7" t="inlineStr">
        <is>
          <t>14 dias</t>
        </is>
      </c>
    </row>
    <row r="4354" ht="22" customHeight="1">
      <c r="A4354" s="12" t="inlineStr">
        <is>
          <t>CUL-4350</t>
        </is>
      </c>
      <c r="B4354" s="11" t="n">
        <v>871</v>
      </c>
      <c r="C4354" s="13" t="inlineStr">
        <is>
          <t>Nº 16624</t>
        </is>
      </c>
      <c r="D4354" s="14" t="inlineStr">
        <is>
          <t>TIOFANIL SNB</t>
        </is>
      </c>
      <c r="E4354" s="13" t="inlineStr">
        <is>
          <t>Pulverização Agrícola Conforme Bula</t>
        </is>
      </c>
      <c r="F4354" s="13" t="inlineStr">
        <is>
          <t>Milho</t>
        </is>
      </c>
      <c r="G4354" s="13" t="inlineStr">
        <is>
          <t>Cultura Autorizada na Bula</t>
        </is>
      </c>
      <c r="H4354" s="13" t="inlineStr">
        <is>
          <t>100 a 300 L/ha</t>
        </is>
      </c>
      <c r="I4354" s="13" t="inlineStr">
        <is>
          <t>20 a 40 L/ha</t>
        </is>
      </c>
      <c r="J4354" s="13" t="inlineStr">
        <is>
          <t>14 dias</t>
        </is>
      </c>
    </row>
    <row r="4355" ht="22" customHeight="1">
      <c r="A4355" s="6" t="inlineStr">
        <is>
          <t>CUL-4351</t>
        </is>
      </c>
      <c r="B4355" s="5" t="n">
        <v>871</v>
      </c>
      <c r="C4355" s="7" t="inlineStr">
        <is>
          <t>Nº 16624</t>
        </is>
      </c>
      <c r="D4355" s="8" t="inlineStr">
        <is>
          <t>TIOFANIL SNB</t>
        </is>
      </c>
      <c r="E4355" s="7" t="inlineStr">
        <is>
          <t>Pulverização Agrícola Conforme Bula</t>
        </is>
      </c>
      <c r="F4355" s="7" t="inlineStr">
        <is>
          <t>Trigo</t>
        </is>
      </c>
      <c r="G4355" s="7" t="inlineStr">
        <is>
          <t>Cultura Autorizada na Bula</t>
        </is>
      </c>
      <c r="H4355" s="7" t="inlineStr">
        <is>
          <t>100 a 300 L/ha</t>
        </is>
      </c>
      <c r="I4355" s="7" t="inlineStr">
        <is>
          <t>20 a 40 L/ha</t>
        </is>
      </c>
      <c r="J4355" s="7" t="inlineStr">
        <is>
          <t>30 dias</t>
        </is>
      </c>
    </row>
    <row r="4356" ht="22" customHeight="1">
      <c r="A4356" s="12" t="inlineStr">
        <is>
          <t>CUL-4352</t>
        </is>
      </c>
      <c r="B4356" s="11" t="n">
        <v>871</v>
      </c>
      <c r="C4356" s="13" t="inlineStr">
        <is>
          <t>Nº 16624</t>
        </is>
      </c>
      <c r="D4356" s="14" t="inlineStr">
        <is>
          <t>TIOFANIL SNB</t>
        </is>
      </c>
      <c r="E4356" s="13" t="inlineStr">
        <is>
          <t>Pulverização Agrícola Conforme Bula</t>
        </is>
      </c>
      <c r="F4356" s="13" t="inlineStr">
        <is>
          <t>Batata</t>
        </is>
      </c>
      <c r="G4356" s="13" t="inlineStr">
        <is>
          <t>Cultura Autorizada na Bula</t>
        </is>
      </c>
      <c r="H4356" s="13" t="inlineStr">
        <is>
          <t>100 a 300 L/ha</t>
        </is>
      </c>
      <c r="I4356" s="13" t="inlineStr">
        <is>
          <t>20 a 40 L/ha</t>
        </is>
      </c>
      <c r="J4356" s="13" t="inlineStr">
        <is>
          <t>7 dias</t>
        </is>
      </c>
    </row>
    <row r="4357" ht="22" customHeight="1">
      <c r="A4357" s="6" t="inlineStr">
        <is>
          <t>CUL-4353</t>
        </is>
      </c>
      <c r="B4357" s="5" t="n">
        <v>871</v>
      </c>
      <c r="C4357" s="7" t="inlineStr">
        <is>
          <t>Nº 16624</t>
        </is>
      </c>
      <c r="D4357" s="8" t="inlineStr">
        <is>
          <t>TIOFANIL SNB</t>
        </is>
      </c>
      <c r="E4357" s="7" t="inlineStr">
        <is>
          <t>Pulverização Agrícola Conforme Bula</t>
        </is>
      </c>
      <c r="F4357" s="7" t="inlineStr">
        <is>
          <t>Café</t>
        </is>
      </c>
      <c r="G4357" s="7" t="inlineStr">
        <is>
          <t>Cultura Autorizada na Bula</t>
        </is>
      </c>
      <c r="H4357" s="7" t="inlineStr">
        <is>
          <t>100 a 300 L/ha</t>
        </is>
      </c>
      <c r="I4357" s="7" t="inlineStr">
        <is>
          <t>20 a 40 L/ha</t>
        </is>
      </c>
      <c r="J4357" s="7" t="inlineStr">
        <is>
          <t>30 dias</t>
        </is>
      </c>
    </row>
    <row r="4358" ht="22" customHeight="1">
      <c r="A4358" s="12" t="inlineStr">
        <is>
          <t>CUL-4354</t>
        </is>
      </c>
      <c r="B4358" s="11" t="n">
        <v>871</v>
      </c>
      <c r="C4358" s="13" t="inlineStr">
        <is>
          <t>Nº 16624</t>
        </is>
      </c>
      <c r="D4358" s="14" t="inlineStr">
        <is>
          <t>TIOFANIL SNB</t>
        </is>
      </c>
      <c r="E4358" s="13" t="inlineStr">
        <is>
          <t>Pulverização Agrícola Conforme Bula</t>
        </is>
      </c>
      <c r="F4358" s="13" t="inlineStr">
        <is>
          <t>Tomate</t>
        </is>
      </c>
      <c r="G4358" s="13" t="inlineStr">
        <is>
          <t>Cultura Autorizada na Bula</t>
        </is>
      </c>
      <c r="H4358" s="13" t="inlineStr">
        <is>
          <t>100 a 300 L/ha</t>
        </is>
      </c>
      <c r="I4358" s="13" t="inlineStr">
        <is>
          <t>20 a 40 L/ha</t>
        </is>
      </c>
      <c r="J4358" s="13" t="inlineStr">
        <is>
          <t>7 dias</t>
        </is>
      </c>
    </row>
    <row r="4359" ht="22" customHeight="1">
      <c r="A4359" s="6" t="inlineStr">
        <is>
          <t>CUL-4355</t>
        </is>
      </c>
      <c r="B4359" s="5" t="n">
        <v>872</v>
      </c>
      <c r="C4359" s="7" t="inlineStr">
        <is>
          <t>VINC-16624</t>
        </is>
      </c>
      <c r="D4359" s="8" t="inlineStr">
        <is>
          <t>Clorotalonil Técnico Oxon</t>
        </is>
      </c>
      <c r="E4359" s="7" t="inlineStr">
        <is>
          <t>Uso Exclusivamente Industrial (Formulação)</t>
        </is>
      </c>
      <c r="F4359" s="7" t="inlineStr">
        <is>
          <t>Não Aplicável (Proibido uso direto na lavoura)</t>
        </is>
      </c>
      <c r="G4359" s="7" t="inlineStr">
        <is>
          <t>Insumo Industrial</t>
        </is>
      </c>
      <c r="H4359" s="7" t="inlineStr">
        <is>
          <t>N/A</t>
        </is>
      </c>
      <c r="I4359" s="7" t="inlineStr">
        <is>
          <t>N/A</t>
        </is>
      </c>
      <c r="J4359" s="7" t="inlineStr">
        <is>
          <t>N/A (Insumo Industrial)</t>
        </is>
      </c>
    </row>
    <row r="4360" ht="22" customHeight="1">
      <c r="A4360" s="12" t="inlineStr">
        <is>
          <t>CUL-4356</t>
        </is>
      </c>
      <c r="B4360" s="11" t="n">
        <v>873</v>
      </c>
      <c r="C4360" s="13" t="inlineStr">
        <is>
          <t>Nº 16724</t>
        </is>
      </c>
      <c r="D4360" s="14" t="inlineStr">
        <is>
          <t>FLUAZINAM LOVELAND</t>
        </is>
      </c>
      <c r="E4360" s="13" t="inlineStr">
        <is>
          <t>Pulverização Agrícola Conforme Bula</t>
        </is>
      </c>
      <c r="F4360" s="13" t="inlineStr">
        <is>
          <t>Soja</t>
        </is>
      </c>
      <c r="G4360" s="13" t="inlineStr">
        <is>
          <t>Cultura Autorizada na Bula</t>
        </is>
      </c>
      <c r="H4360" s="13" t="inlineStr">
        <is>
          <t>100 a 300 L/ha</t>
        </is>
      </c>
      <c r="I4360" s="13" t="inlineStr">
        <is>
          <t>20 a 40 L/ha</t>
        </is>
      </c>
      <c r="J4360" s="13" t="inlineStr">
        <is>
          <t>21 a 30 dias</t>
        </is>
      </c>
    </row>
    <row r="4361" ht="22" customHeight="1">
      <c r="A4361" s="6" t="inlineStr">
        <is>
          <t>CUL-4357</t>
        </is>
      </c>
      <c r="B4361" s="5" t="n">
        <v>873</v>
      </c>
      <c r="C4361" s="7" t="inlineStr">
        <is>
          <t>Nº 16724</t>
        </is>
      </c>
      <c r="D4361" s="8" t="inlineStr">
        <is>
          <t>FLUAZINAM LOVELAND</t>
        </is>
      </c>
      <c r="E4361" s="7" t="inlineStr">
        <is>
          <t>Pulverização Agrícola Conforme Bula</t>
        </is>
      </c>
      <c r="F4361" s="7" t="inlineStr">
        <is>
          <t>Milho</t>
        </is>
      </c>
      <c r="G4361" s="7" t="inlineStr">
        <is>
          <t>Cultura Autorizada na Bula</t>
        </is>
      </c>
      <c r="H4361" s="7" t="inlineStr">
        <is>
          <t>100 a 300 L/ha</t>
        </is>
      </c>
      <c r="I4361" s="7" t="inlineStr">
        <is>
          <t>20 a 40 L/ha</t>
        </is>
      </c>
      <c r="J4361" s="7" t="inlineStr">
        <is>
          <t>21 a 30 dias</t>
        </is>
      </c>
    </row>
    <row r="4362" ht="22" customHeight="1">
      <c r="A4362" s="12" t="inlineStr">
        <is>
          <t>CUL-4358</t>
        </is>
      </c>
      <c r="B4362" s="11" t="n">
        <v>873</v>
      </c>
      <c r="C4362" s="13" t="inlineStr">
        <is>
          <t>Nº 16724</t>
        </is>
      </c>
      <c r="D4362" s="14" t="inlineStr">
        <is>
          <t>FLUAZINAM LOVELAND</t>
        </is>
      </c>
      <c r="E4362" s="13" t="inlineStr">
        <is>
          <t>Pulverização Agrícola Conforme Bula</t>
        </is>
      </c>
      <c r="F4362" s="13" t="inlineStr">
        <is>
          <t>Algodão</t>
        </is>
      </c>
      <c r="G4362" s="13" t="inlineStr">
        <is>
          <t>Cultura Autorizada na Bula</t>
        </is>
      </c>
      <c r="H4362" s="13" t="inlineStr">
        <is>
          <t>100 a 300 L/ha</t>
        </is>
      </c>
      <c r="I4362" s="13" t="inlineStr">
        <is>
          <t>20 a 40 L/ha</t>
        </is>
      </c>
      <c r="J4362" s="13" t="inlineStr">
        <is>
          <t>21 a 30 dias</t>
        </is>
      </c>
    </row>
    <row r="4363" ht="22" customHeight="1">
      <c r="A4363" s="6" t="inlineStr">
        <is>
          <t>CUL-4359</t>
        </is>
      </c>
      <c r="B4363" s="5" t="n">
        <v>873</v>
      </c>
      <c r="C4363" s="7" t="inlineStr">
        <is>
          <t>Nº 16724</t>
        </is>
      </c>
      <c r="D4363" s="8" t="inlineStr">
        <is>
          <t>FLUAZINAM LOVELAND</t>
        </is>
      </c>
      <c r="E4363" s="7" t="inlineStr">
        <is>
          <t>Pulverização Agrícola Conforme Bula</t>
        </is>
      </c>
      <c r="F4363" s="7" t="inlineStr">
        <is>
          <t>Feijão</t>
        </is>
      </c>
      <c r="G4363" s="7" t="inlineStr">
        <is>
          <t>Cultura Autorizada na Bula</t>
        </is>
      </c>
      <c r="H4363" s="7" t="inlineStr">
        <is>
          <t>100 a 300 L/ha</t>
        </is>
      </c>
      <c r="I4363" s="7" t="inlineStr">
        <is>
          <t>20 a 40 L/ha</t>
        </is>
      </c>
      <c r="J4363" s="7" t="inlineStr">
        <is>
          <t>21 a 30 dias</t>
        </is>
      </c>
    </row>
    <row r="4364" ht="22" customHeight="1">
      <c r="A4364" s="12" t="inlineStr">
        <is>
          <t>CUL-4360</t>
        </is>
      </c>
      <c r="B4364" s="11" t="n">
        <v>873</v>
      </c>
      <c r="C4364" s="13" t="inlineStr">
        <is>
          <t>Nº 16724</t>
        </is>
      </c>
      <c r="D4364" s="14" t="inlineStr">
        <is>
          <t>FLUAZINAM LOVELAND</t>
        </is>
      </c>
      <c r="E4364" s="13" t="inlineStr">
        <is>
          <t>Pulverização Agrícola Conforme Bula</t>
        </is>
      </c>
      <c r="F4364" s="13" t="inlineStr">
        <is>
          <t>Trigo</t>
        </is>
      </c>
      <c r="G4364" s="13" t="inlineStr">
        <is>
          <t>Cultura Autorizada na Bula</t>
        </is>
      </c>
      <c r="H4364" s="13" t="inlineStr">
        <is>
          <t>100 a 300 L/ha</t>
        </is>
      </c>
      <c r="I4364" s="13" t="inlineStr">
        <is>
          <t>20 a 40 L/ha</t>
        </is>
      </c>
      <c r="J4364" s="13" t="inlineStr">
        <is>
          <t>21 a 30 dias</t>
        </is>
      </c>
    </row>
    <row r="4365" ht="22" customHeight="1">
      <c r="A4365" s="6" t="inlineStr">
        <is>
          <t>CUL-4361</t>
        </is>
      </c>
      <c r="B4365" s="5" t="n">
        <v>874</v>
      </c>
      <c r="C4365" s="7" t="inlineStr">
        <is>
          <t>VINC-16724</t>
        </is>
      </c>
      <c r="D4365" s="8" t="inlineStr">
        <is>
          <t>Fluazinam Técnico Loveland</t>
        </is>
      </c>
      <c r="E4365" s="7" t="inlineStr">
        <is>
          <t>Uso Exclusivamente Industrial (Formulação)</t>
        </is>
      </c>
      <c r="F4365" s="7" t="inlineStr">
        <is>
          <t>Não Aplicável (Proibido uso direto na lavoura)</t>
        </is>
      </c>
      <c r="G4365" s="7" t="inlineStr">
        <is>
          <t>Insumo Industrial</t>
        </is>
      </c>
      <c r="H4365" s="7" t="inlineStr">
        <is>
          <t>N/A</t>
        </is>
      </c>
      <c r="I4365" s="7" t="inlineStr">
        <is>
          <t>N/A</t>
        </is>
      </c>
      <c r="J4365" s="7" t="inlineStr">
        <is>
          <t>N/A (Insumo Industrial)</t>
        </is>
      </c>
    </row>
    <row r="4366" ht="22" customHeight="1">
      <c r="A4366" s="12" t="inlineStr">
        <is>
          <t>CUL-4362</t>
        </is>
      </c>
      <c r="B4366" s="11" t="n">
        <v>875</v>
      </c>
      <c r="C4366" s="13" t="inlineStr">
        <is>
          <t>Nº 16824</t>
        </is>
      </c>
      <c r="D4366" s="14" t="inlineStr">
        <is>
          <t>TROIA 750 WG</t>
        </is>
      </c>
      <c r="E4366" s="13" t="inlineStr">
        <is>
          <t>Pulverização Agrícola Conforme Bula</t>
        </is>
      </c>
      <c r="F4366" s="13" t="inlineStr">
        <is>
          <t>Soja</t>
        </is>
      </c>
      <c r="G4366" s="13" t="inlineStr">
        <is>
          <t>Cultura Autorizada na Bula</t>
        </is>
      </c>
      <c r="H4366" s="13" t="inlineStr">
        <is>
          <t>100 a 300 L/ha</t>
        </is>
      </c>
      <c r="I4366" s="13" t="inlineStr">
        <is>
          <t>20 a 40 L/ha</t>
        </is>
      </c>
      <c r="J4366" s="13" t="inlineStr">
        <is>
          <t>21 dias</t>
        </is>
      </c>
    </row>
    <row r="4367" ht="22" customHeight="1">
      <c r="A4367" s="6" t="inlineStr">
        <is>
          <t>CUL-4363</t>
        </is>
      </c>
      <c r="B4367" s="5" t="n">
        <v>875</v>
      </c>
      <c r="C4367" s="7" t="inlineStr">
        <is>
          <t>Nº 16824</t>
        </is>
      </c>
      <c r="D4367" s="8" t="inlineStr">
        <is>
          <t>TROIA 750 WG</t>
        </is>
      </c>
      <c r="E4367" s="7" t="inlineStr">
        <is>
          <t>Pulverização Agrícola Conforme Bula</t>
        </is>
      </c>
      <c r="F4367" s="7" t="inlineStr">
        <is>
          <t>Algodão</t>
        </is>
      </c>
      <c r="G4367" s="7" t="inlineStr">
        <is>
          <t>Cultura Autorizada na Bula</t>
        </is>
      </c>
      <c r="H4367" s="7" t="inlineStr">
        <is>
          <t>100 a 300 L/ha</t>
        </is>
      </c>
      <c r="I4367" s="7" t="inlineStr">
        <is>
          <t>20 a 40 L/ha</t>
        </is>
      </c>
      <c r="J4367" s="7" t="inlineStr">
        <is>
          <t>21 dias</t>
        </is>
      </c>
    </row>
    <row r="4368" ht="22" customHeight="1">
      <c r="A4368" s="12" t="inlineStr">
        <is>
          <t>CUL-4364</t>
        </is>
      </c>
      <c r="B4368" s="11" t="n">
        <v>875</v>
      </c>
      <c r="C4368" s="13" t="inlineStr">
        <is>
          <t>Nº 16824</t>
        </is>
      </c>
      <c r="D4368" s="14" t="inlineStr">
        <is>
          <t>TROIA 750 WG</t>
        </is>
      </c>
      <c r="E4368" s="13" t="inlineStr">
        <is>
          <t>Pulverização Agrícola Conforme Bula</t>
        </is>
      </c>
      <c r="F4368" s="13" t="inlineStr">
        <is>
          <t>Café</t>
        </is>
      </c>
      <c r="G4368" s="13" t="inlineStr">
        <is>
          <t>Cultura Autorizada na Bula</t>
        </is>
      </c>
      <c r="H4368" s="13" t="inlineStr">
        <is>
          <t>100 a 300 L/ha</t>
        </is>
      </c>
      <c r="I4368" s="13" t="inlineStr">
        <is>
          <t>20 a 40 L/ha</t>
        </is>
      </c>
      <c r="J4368" s="13" t="inlineStr">
        <is>
          <t>21 dias</t>
        </is>
      </c>
    </row>
    <row r="4369" ht="22" customHeight="1">
      <c r="A4369" s="6" t="inlineStr">
        <is>
          <t>CUL-4365</t>
        </is>
      </c>
      <c r="B4369" s="5" t="n">
        <v>875</v>
      </c>
      <c r="C4369" s="7" t="inlineStr">
        <is>
          <t>Nº 16824</t>
        </is>
      </c>
      <c r="D4369" s="8" t="inlineStr">
        <is>
          <t>TROIA 750 WG</t>
        </is>
      </c>
      <c r="E4369" s="7" t="inlineStr">
        <is>
          <t>Pulverização Agrícola Conforme Bula</t>
        </is>
      </c>
      <c r="F4369" s="7" t="inlineStr">
        <is>
          <t>Feijão</t>
        </is>
      </c>
      <c r="G4369" s="7" t="inlineStr">
        <is>
          <t>Cultura Autorizada na Bula</t>
        </is>
      </c>
      <c r="H4369" s="7" t="inlineStr">
        <is>
          <t>100 a 300 L/ha</t>
        </is>
      </c>
      <c r="I4369" s="7" t="inlineStr">
        <is>
          <t>20 a 40 L/ha</t>
        </is>
      </c>
      <c r="J4369" s="7" t="inlineStr">
        <is>
          <t>14 dias</t>
        </is>
      </c>
    </row>
    <row r="4370" ht="22" customHeight="1">
      <c r="A4370" s="12" t="inlineStr">
        <is>
          <t>CUL-4366</t>
        </is>
      </c>
      <c r="B4370" s="11" t="n">
        <v>875</v>
      </c>
      <c r="C4370" s="13" t="inlineStr">
        <is>
          <t>Nº 16824</t>
        </is>
      </c>
      <c r="D4370" s="14" t="inlineStr">
        <is>
          <t>TROIA 750 WG</t>
        </is>
      </c>
      <c r="E4370" s="13" t="inlineStr">
        <is>
          <t>Pulverização Agrícola Conforme Bula</t>
        </is>
      </c>
      <c r="F4370" s="13" t="inlineStr">
        <is>
          <t>Milho</t>
        </is>
      </c>
      <c r="G4370" s="13" t="inlineStr">
        <is>
          <t>Cultura Autorizada na Bula</t>
        </is>
      </c>
      <c r="H4370" s="13" t="inlineStr">
        <is>
          <t>100 a 300 L/ha</t>
        </is>
      </c>
      <c r="I4370" s="13" t="inlineStr">
        <is>
          <t>20 a 40 L/ha</t>
        </is>
      </c>
      <c r="J4370" s="13" t="inlineStr">
        <is>
          <t>21 dias</t>
        </is>
      </c>
    </row>
    <row r="4371" ht="22" customHeight="1">
      <c r="A4371" s="6" t="inlineStr">
        <is>
          <t>CUL-4367</t>
        </is>
      </c>
      <c r="B4371" s="5" t="n">
        <v>875</v>
      </c>
      <c r="C4371" s="7" t="inlineStr">
        <is>
          <t>Nº 16824</t>
        </is>
      </c>
      <c r="D4371" s="8" t="inlineStr">
        <is>
          <t>TROIA 750 WG</t>
        </is>
      </c>
      <c r="E4371" s="7" t="inlineStr">
        <is>
          <t>Pulverização Agrícola Conforme Bula</t>
        </is>
      </c>
      <c r="F4371" s="7" t="inlineStr">
        <is>
          <t>Batata</t>
        </is>
      </c>
      <c r="G4371" s="7" t="inlineStr">
        <is>
          <t>Cultura Autorizada na Bula</t>
        </is>
      </c>
      <c r="H4371" s="7" t="inlineStr">
        <is>
          <t>100 a 300 L/ha</t>
        </is>
      </c>
      <c r="I4371" s="7" t="inlineStr">
        <is>
          <t>20 a 40 L/ha</t>
        </is>
      </c>
      <c r="J4371" s="7" t="inlineStr">
        <is>
          <t>7 dias</t>
        </is>
      </c>
    </row>
    <row r="4372" ht="22" customHeight="1">
      <c r="A4372" s="12" t="inlineStr">
        <is>
          <t>CUL-4368</t>
        </is>
      </c>
      <c r="B4372" s="11" t="n">
        <v>875</v>
      </c>
      <c r="C4372" s="13" t="inlineStr">
        <is>
          <t>Nº 16824</t>
        </is>
      </c>
      <c r="D4372" s="14" t="inlineStr">
        <is>
          <t>TROIA 750 WG</t>
        </is>
      </c>
      <c r="E4372" s="13" t="inlineStr">
        <is>
          <t>Pulverização Agrícola Conforme Bula</t>
        </is>
      </c>
      <c r="F4372" s="13" t="inlineStr">
        <is>
          <t>Tomate</t>
        </is>
      </c>
      <c r="G4372" s="13" t="inlineStr">
        <is>
          <t>Cultura Autorizada na Bula</t>
        </is>
      </c>
      <c r="H4372" s="13" t="inlineStr">
        <is>
          <t>100 a 300 L/ha</t>
        </is>
      </c>
      <c r="I4372" s="13" t="inlineStr">
        <is>
          <t>20 a 40 L/ha</t>
        </is>
      </c>
      <c r="J4372" s="13" t="inlineStr">
        <is>
          <t>7 dias</t>
        </is>
      </c>
    </row>
    <row r="4373" ht="22" customHeight="1">
      <c r="A4373" s="6" t="inlineStr">
        <is>
          <t>CUL-4369</t>
        </is>
      </c>
      <c r="B4373" s="5" t="n">
        <v>875</v>
      </c>
      <c r="C4373" s="7" t="inlineStr">
        <is>
          <t>Nº 16824</t>
        </is>
      </c>
      <c r="D4373" s="8" t="inlineStr">
        <is>
          <t>TROIA 750 WG</t>
        </is>
      </c>
      <c r="E4373" s="7" t="inlineStr">
        <is>
          <t>Pulverização Agrícola Conforme Bula</t>
        </is>
      </c>
      <c r="F4373" s="7" t="inlineStr">
        <is>
          <t>Trigo</t>
        </is>
      </c>
      <c r="G4373" s="7" t="inlineStr">
        <is>
          <t>Cultura Autorizada na Bula</t>
        </is>
      </c>
      <c r="H4373" s="7" t="inlineStr">
        <is>
          <t>100 a 300 L/ha</t>
        </is>
      </c>
      <c r="I4373" s="7" t="inlineStr">
        <is>
          <t>20 a 40 L/ha</t>
        </is>
      </c>
      <c r="J4373" s="7" t="inlineStr">
        <is>
          <t>21 dias</t>
        </is>
      </c>
    </row>
    <row r="4374" ht="22" customHeight="1">
      <c r="A4374" s="12" t="inlineStr">
        <is>
          <t>CUL-4370</t>
        </is>
      </c>
      <c r="B4374" s="11" t="n">
        <v>876</v>
      </c>
      <c r="C4374" s="13" t="inlineStr">
        <is>
          <t>VINC-16824</t>
        </is>
      </c>
      <c r="D4374" s="14" t="inlineStr">
        <is>
          <t>Mancozeb Técnico Sumitomo</t>
        </is>
      </c>
      <c r="E4374" s="13" t="inlineStr">
        <is>
          <t>Uso Exclusivamente Industrial (Formulação)</t>
        </is>
      </c>
      <c r="F4374" s="13" t="inlineStr">
        <is>
          <t>Não Aplicável (Proibido uso direto na lavoura)</t>
        </is>
      </c>
      <c r="G4374" s="13" t="inlineStr">
        <is>
          <t>Insumo Industrial</t>
        </is>
      </c>
      <c r="H4374" s="13" t="inlineStr">
        <is>
          <t>N/A</t>
        </is>
      </c>
      <c r="I4374" s="13" t="inlineStr">
        <is>
          <t>N/A</t>
        </is>
      </c>
      <c r="J4374" s="13" t="inlineStr">
        <is>
          <t>N/A (Insumo Industrial)</t>
        </is>
      </c>
    </row>
    <row r="4375" ht="22" customHeight="1">
      <c r="A4375" s="6" t="inlineStr">
        <is>
          <t>CUL-4371</t>
        </is>
      </c>
      <c r="B4375" s="5" t="n">
        <v>877</v>
      </c>
      <c r="C4375" s="7" t="inlineStr">
        <is>
          <t>Nº 16924</t>
        </is>
      </c>
      <c r="D4375" s="8" t="inlineStr">
        <is>
          <t>PRIMEPLUS</t>
        </is>
      </c>
      <c r="E4375" s="7" t="inlineStr">
        <is>
          <t>Aplicação Tópica / Desbrote (Fumo)</t>
        </is>
      </c>
      <c r="F4375" s="7" t="inlineStr">
        <is>
          <t>Fumo (Tabaco)</t>
        </is>
      </c>
      <c r="G4375" s="7" t="inlineStr">
        <is>
          <t>Cultura Autorizada na Bula</t>
        </is>
      </c>
      <c r="H4375" s="7" t="inlineStr">
        <is>
          <t>300 a 500 L/ha (10-15 mL calda/planta)</t>
        </is>
      </c>
      <c r="I4375" s="7" t="inlineStr">
        <is>
          <t>Não Autorizada</t>
        </is>
      </c>
      <c r="J4375" s="7" t="inlineStr">
        <is>
          <t>U.N.A.</t>
        </is>
      </c>
    </row>
    <row r="4376" ht="22" customHeight="1">
      <c r="A4376" s="12" t="inlineStr">
        <is>
          <t>CUL-4372</t>
        </is>
      </c>
      <c r="B4376" s="11" t="n">
        <v>878</v>
      </c>
      <c r="C4376" s="13" t="inlineStr">
        <is>
          <t>VINC-16924</t>
        </is>
      </c>
      <c r="D4376" s="14" t="inlineStr">
        <is>
          <t>Flumetralin Técnico Syngenta</t>
        </is>
      </c>
      <c r="E4376" s="13" t="inlineStr">
        <is>
          <t>Uso Exclusivamente Industrial (Formulação)</t>
        </is>
      </c>
      <c r="F4376" s="13" t="inlineStr">
        <is>
          <t>Não Aplicável (Proibido uso direto na lavoura)</t>
        </is>
      </c>
      <c r="G4376" s="13" t="inlineStr">
        <is>
          <t>Insumo Industrial</t>
        </is>
      </c>
      <c r="H4376" s="13" t="inlineStr">
        <is>
          <t>N/A</t>
        </is>
      </c>
      <c r="I4376" s="13" t="inlineStr">
        <is>
          <t>N/A</t>
        </is>
      </c>
      <c r="J4376" s="13" t="inlineStr">
        <is>
          <t>N/A (Insumo Industrial)</t>
        </is>
      </c>
    </row>
    <row r="4377" ht="22" customHeight="1">
      <c r="A4377" s="6" t="inlineStr">
        <is>
          <t>CUL-4373</t>
        </is>
      </c>
      <c r="B4377" s="5" t="n">
        <v>879</v>
      </c>
      <c r="C4377" s="7" t="inlineStr">
        <is>
          <t>Nº 17024</t>
        </is>
      </c>
      <c r="D4377" s="8" t="inlineStr">
        <is>
          <t>GLIFOSATO 720 WG PERTERRA</t>
        </is>
      </c>
      <c r="E4377" s="7" t="inlineStr">
        <is>
          <t>Pulverização Agrícola Conforme Bula</t>
        </is>
      </c>
      <c r="F4377" s="7" t="inlineStr">
        <is>
          <t>Soja (Pré-Plantio / OGM)</t>
        </is>
      </c>
      <c r="G4377" s="7" t="inlineStr">
        <is>
          <t>Cultura Autorizada na Bula</t>
        </is>
      </c>
      <c r="H4377" s="7" t="inlineStr">
        <is>
          <t>100 a 300 L/ha</t>
        </is>
      </c>
      <c r="I4377" s="7" t="inlineStr">
        <is>
          <t>20 a 40 L/ha</t>
        </is>
      </c>
      <c r="J4377" s="7" t="inlineStr">
        <is>
          <t>56 dias</t>
        </is>
      </c>
    </row>
    <row r="4378" ht="22" customHeight="1">
      <c r="A4378" s="12" t="inlineStr">
        <is>
          <t>CUL-4374</t>
        </is>
      </c>
      <c r="B4378" s="11" t="n">
        <v>879</v>
      </c>
      <c r="C4378" s="13" t="inlineStr">
        <is>
          <t>Nº 17024</t>
        </is>
      </c>
      <c r="D4378" s="14" t="inlineStr">
        <is>
          <t>GLIFOSATO 720 WG PERTERRA</t>
        </is>
      </c>
      <c r="E4378" s="13" t="inlineStr">
        <is>
          <t>Pulverização Agrícola Conforme Bula</t>
        </is>
      </c>
      <c r="F4378" s="13" t="inlineStr">
        <is>
          <t>Milho (Pré-Plantio / OGM)</t>
        </is>
      </c>
      <c r="G4378" s="13" t="inlineStr">
        <is>
          <t>Cultura Autorizada na Bula</t>
        </is>
      </c>
      <c r="H4378" s="13" t="inlineStr">
        <is>
          <t>100 a 300 L/ha</t>
        </is>
      </c>
      <c r="I4378" s="13" t="inlineStr">
        <is>
          <t>20 a 40 L/ha</t>
        </is>
      </c>
      <c r="J4378" s="13" t="inlineStr">
        <is>
          <t>90 dias</t>
        </is>
      </c>
    </row>
    <row r="4379" ht="22" customHeight="1">
      <c r="A4379" s="6" t="inlineStr">
        <is>
          <t>CUL-4375</t>
        </is>
      </c>
      <c r="B4379" s="5" t="n">
        <v>879</v>
      </c>
      <c r="C4379" s="7" t="inlineStr">
        <is>
          <t>Nº 17024</t>
        </is>
      </c>
      <c r="D4379" s="8" t="inlineStr">
        <is>
          <t>GLIFOSATO 720 WG PERTERRA</t>
        </is>
      </c>
      <c r="E4379" s="7" t="inlineStr">
        <is>
          <t>Pulverização Agrícola Conforme Bula</t>
        </is>
      </c>
      <c r="F4379" s="7" t="inlineStr">
        <is>
          <t>Algodão (Pré-Plantio / OGM)</t>
        </is>
      </c>
      <c r="G4379" s="7" t="inlineStr">
        <is>
          <t>Cultura Autorizada na Bula</t>
        </is>
      </c>
      <c r="H4379" s="7" t="inlineStr">
        <is>
          <t>100 a 300 L/ha</t>
        </is>
      </c>
      <c r="I4379" s="7" t="inlineStr">
        <is>
          <t>20 a 40 L/ha</t>
        </is>
      </c>
      <c r="J4379" s="7" t="inlineStr">
        <is>
          <t>130 dias</t>
        </is>
      </c>
    </row>
    <row r="4380" ht="22" customHeight="1">
      <c r="A4380" s="12" t="inlineStr">
        <is>
          <t>CUL-4376</t>
        </is>
      </c>
      <c r="B4380" s="11" t="n">
        <v>879</v>
      </c>
      <c r="C4380" s="13" t="inlineStr">
        <is>
          <t>Nº 17024</t>
        </is>
      </c>
      <c r="D4380" s="14" t="inlineStr">
        <is>
          <t>GLIFOSATO 720 WG PERTERRA</t>
        </is>
      </c>
      <c r="E4380" s="13" t="inlineStr">
        <is>
          <t>Pulverização Agrícola Conforme Bula</t>
        </is>
      </c>
      <c r="F4380" s="13" t="inlineStr">
        <is>
          <t>Cana-de-açúcar</t>
        </is>
      </c>
      <c r="G4380" s="13" t="inlineStr">
        <is>
          <t>Cultura Autorizada na Bula</t>
        </is>
      </c>
      <c r="H4380" s="13" t="inlineStr">
        <is>
          <t>100 a 300 L/ha</t>
        </is>
      </c>
      <c r="I4380" s="13" t="inlineStr">
        <is>
          <t>20 a 40 L/ha</t>
        </is>
      </c>
      <c r="J4380" s="13" t="inlineStr">
        <is>
          <t>N/D</t>
        </is>
      </c>
    </row>
    <row r="4381" ht="22" customHeight="1">
      <c r="A4381" s="6" t="inlineStr">
        <is>
          <t>CUL-4377</t>
        </is>
      </c>
      <c r="B4381" s="5" t="n">
        <v>879</v>
      </c>
      <c r="C4381" s="7" t="inlineStr">
        <is>
          <t>Nº 17024</t>
        </is>
      </c>
      <c r="D4381" s="8" t="inlineStr">
        <is>
          <t>GLIFOSATO 720 WG PERTERRA</t>
        </is>
      </c>
      <c r="E4381" s="7" t="inlineStr">
        <is>
          <t>Pulverização Agrícola Conforme Bula</t>
        </is>
      </c>
      <c r="F4381" s="7" t="inlineStr">
        <is>
          <t>Café (Jato Dirigido)</t>
        </is>
      </c>
      <c r="G4381" s="7" t="inlineStr">
        <is>
          <t>Cultura Autorizada na Bula</t>
        </is>
      </c>
      <c r="H4381" s="7" t="inlineStr">
        <is>
          <t>100 a 300 L/ha</t>
        </is>
      </c>
      <c r="I4381" s="7" t="inlineStr">
        <is>
          <t>20 a 40 L/ha</t>
        </is>
      </c>
      <c r="J4381" s="7" t="inlineStr">
        <is>
          <t>15 dias</t>
        </is>
      </c>
    </row>
    <row r="4382" ht="22" customHeight="1">
      <c r="A4382" s="12" t="inlineStr">
        <is>
          <t>CUL-4378</t>
        </is>
      </c>
      <c r="B4382" s="11" t="n">
        <v>879</v>
      </c>
      <c r="C4382" s="13" t="inlineStr">
        <is>
          <t>Nº 17024</t>
        </is>
      </c>
      <c r="D4382" s="14" t="inlineStr">
        <is>
          <t>GLIFOSATO 720 WG PERTERRA</t>
        </is>
      </c>
      <c r="E4382" s="13" t="inlineStr">
        <is>
          <t>Pulverização Agrícola Conforme Bula</t>
        </is>
      </c>
      <c r="F4382" s="13" t="inlineStr">
        <is>
          <t>Citros (Jato Dirigido)</t>
        </is>
      </c>
      <c r="G4382" s="13" t="inlineStr">
        <is>
          <t>Cultura Autorizada na Bula</t>
        </is>
      </c>
      <c r="H4382" s="13" t="inlineStr">
        <is>
          <t>100 a 300 L/ha</t>
        </is>
      </c>
      <c r="I4382" s="13" t="inlineStr">
        <is>
          <t>20 a 40 L/ha</t>
        </is>
      </c>
      <c r="J4382" s="13" t="inlineStr">
        <is>
          <t>30 dias</t>
        </is>
      </c>
    </row>
    <row r="4383" ht="22" customHeight="1">
      <c r="A4383" s="6" t="inlineStr">
        <is>
          <t>CUL-4379</t>
        </is>
      </c>
      <c r="B4383" s="5" t="n">
        <v>879</v>
      </c>
      <c r="C4383" s="7" t="inlineStr">
        <is>
          <t>Nº 17024</t>
        </is>
      </c>
      <c r="D4383" s="8" t="inlineStr">
        <is>
          <t>GLIFOSATO 720 WG PERTERRA</t>
        </is>
      </c>
      <c r="E4383" s="7" t="inlineStr">
        <is>
          <t>Pulverização Agrícola Conforme Bula</t>
        </is>
      </c>
      <c r="F4383" s="7" t="inlineStr">
        <is>
          <t>Trigo (Pré-Plantio)</t>
        </is>
      </c>
      <c r="G4383" s="7" t="inlineStr">
        <is>
          <t>Cultura Autorizada na Bula</t>
        </is>
      </c>
      <c r="H4383" s="7" t="inlineStr">
        <is>
          <t>100 a 300 L/ha</t>
        </is>
      </c>
      <c r="I4383" s="7" t="inlineStr">
        <is>
          <t>20 a 40 L/ha</t>
        </is>
      </c>
      <c r="J4383" s="7" t="inlineStr">
        <is>
          <t>N/D</t>
        </is>
      </c>
    </row>
    <row r="4384" ht="22" customHeight="1">
      <c r="A4384" s="12" t="inlineStr">
        <is>
          <t>CUL-4380</t>
        </is>
      </c>
      <c r="B4384" s="11" t="n">
        <v>879</v>
      </c>
      <c r="C4384" s="13" t="inlineStr">
        <is>
          <t>Nº 17024</t>
        </is>
      </c>
      <c r="D4384" s="14" t="inlineStr">
        <is>
          <t>GLIFOSATO 720 WG PERTERRA</t>
        </is>
      </c>
      <c r="E4384" s="13" t="inlineStr">
        <is>
          <t>Pulverização Agrícola Conforme Bula</t>
        </is>
      </c>
      <c r="F4384" s="13" t="inlineStr">
        <is>
          <t>Pastagens</t>
        </is>
      </c>
      <c r="G4384" s="13" t="inlineStr">
        <is>
          <t>Cultura Autorizada na Bula</t>
        </is>
      </c>
      <c r="H4384" s="13" t="inlineStr">
        <is>
          <t>100 a 300 L/ha</t>
        </is>
      </c>
      <c r="I4384" s="13" t="inlineStr">
        <is>
          <t>20 a 40 L/ha</t>
        </is>
      </c>
      <c r="J4384" s="13" t="inlineStr">
        <is>
          <t>N/D</t>
        </is>
      </c>
    </row>
    <row r="4385" ht="22" customHeight="1">
      <c r="A4385" s="6" t="inlineStr">
        <is>
          <t>CUL-4381</t>
        </is>
      </c>
      <c r="B4385" s="5" t="n">
        <v>880</v>
      </c>
      <c r="C4385" s="7" t="inlineStr">
        <is>
          <t>VINC-17024</t>
        </is>
      </c>
      <c r="D4385" s="8" t="inlineStr">
        <is>
          <t>Glifosato G Técnico Rainbow</t>
        </is>
      </c>
      <c r="E4385" s="7" t="inlineStr">
        <is>
          <t>Uso Exclusivamente Industrial (Formulação)</t>
        </is>
      </c>
      <c r="F4385" s="7" t="inlineStr">
        <is>
          <t>Não Aplicável (Proibido uso direto na lavoura)</t>
        </is>
      </c>
      <c r="G4385" s="7" t="inlineStr">
        <is>
          <t>Insumo Industrial</t>
        </is>
      </c>
      <c r="H4385" s="7" t="inlineStr">
        <is>
          <t>N/A</t>
        </is>
      </c>
      <c r="I4385" s="7" t="inlineStr">
        <is>
          <t>N/A</t>
        </is>
      </c>
      <c r="J4385" s="7" t="inlineStr">
        <is>
          <t>N/A (Insumo Industrial)</t>
        </is>
      </c>
    </row>
    <row r="4386" ht="22" customHeight="1">
      <c r="A4386" s="12" t="inlineStr">
        <is>
          <t>CUL-4382</t>
        </is>
      </c>
      <c r="B4386" s="11" t="n">
        <v>881</v>
      </c>
      <c r="C4386" s="13" t="inlineStr">
        <is>
          <t>Nº 17124</t>
        </is>
      </c>
      <c r="D4386" s="14" t="inlineStr">
        <is>
          <t>DANTOTSU</t>
        </is>
      </c>
      <c r="E4386" s="13" t="inlineStr">
        <is>
          <t>Pulverização Agrícola Conforme Bula</t>
        </is>
      </c>
      <c r="F4386" s="13" t="inlineStr">
        <is>
          <t>Soja</t>
        </is>
      </c>
      <c r="G4386" s="13" t="inlineStr">
        <is>
          <t>Cultura Autorizada na Bula</t>
        </is>
      </c>
      <c r="H4386" s="13" t="inlineStr">
        <is>
          <t>100 a 300 L/ha</t>
        </is>
      </c>
      <c r="I4386" s="13" t="inlineStr">
        <is>
          <t>20 a 40 L/ha</t>
        </is>
      </c>
      <c r="J4386" s="13" t="inlineStr">
        <is>
          <t>21 dias</t>
        </is>
      </c>
    </row>
    <row r="4387" ht="22" customHeight="1">
      <c r="A4387" s="6" t="inlineStr">
        <is>
          <t>CUL-4383</t>
        </is>
      </c>
      <c r="B4387" s="5" t="n">
        <v>881</v>
      </c>
      <c r="C4387" s="7" t="inlineStr">
        <is>
          <t>Nº 17124</t>
        </is>
      </c>
      <c r="D4387" s="8" t="inlineStr">
        <is>
          <t>DANTOTSU</t>
        </is>
      </c>
      <c r="E4387" s="7" t="inlineStr">
        <is>
          <t>Pulverização Agrícola Conforme Bula</t>
        </is>
      </c>
      <c r="F4387" s="7" t="inlineStr">
        <is>
          <t>Milho</t>
        </is>
      </c>
      <c r="G4387" s="7" t="inlineStr">
        <is>
          <t>Cultura Autorizada na Bula</t>
        </is>
      </c>
      <c r="H4387" s="7" t="inlineStr">
        <is>
          <t>100 a 300 L/ha</t>
        </is>
      </c>
      <c r="I4387" s="7" t="inlineStr">
        <is>
          <t>20 a 40 L/ha</t>
        </is>
      </c>
      <c r="J4387" s="7" t="inlineStr">
        <is>
          <t>21 dias</t>
        </is>
      </c>
    </row>
    <row r="4388" ht="22" customHeight="1">
      <c r="A4388" s="12" t="inlineStr">
        <is>
          <t>CUL-4384</t>
        </is>
      </c>
      <c r="B4388" s="11" t="n">
        <v>881</v>
      </c>
      <c r="C4388" s="13" t="inlineStr">
        <is>
          <t>Nº 17124</t>
        </is>
      </c>
      <c r="D4388" s="14" t="inlineStr">
        <is>
          <t>DANTOTSU</t>
        </is>
      </c>
      <c r="E4388" s="13" t="inlineStr">
        <is>
          <t>Pulverização Agrícola Conforme Bula</t>
        </is>
      </c>
      <c r="F4388" s="13" t="inlineStr">
        <is>
          <t>Algodão</t>
        </is>
      </c>
      <c r="G4388" s="13" t="inlineStr">
        <is>
          <t>Cultura Autorizada na Bula</t>
        </is>
      </c>
      <c r="H4388" s="13" t="inlineStr">
        <is>
          <t>100 a 300 L/ha</t>
        </is>
      </c>
      <c r="I4388" s="13" t="inlineStr">
        <is>
          <t>20 a 40 L/ha</t>
        </is>
      </c>
      <c r="J4388" s="13" t="inlineStr">
        <is>
          <t>21 dias</t>
        </is>
      </c>
    </row>
    <row r="4389" ht="22" customHeight="1">
      <c r="A4389" s="6" t="inlineStr">
        <is>
          <t>CUL-4385</t>
        </is>
      </c>
      <c r="B4389" s="5" t="n">
        <v>881</v>
      </c>
      <c r="C4389" s="7" t="inlineStr">
        <is>
          <t>Nº 17124</t>
        </is>
      </c>
      <c r="D4389" s="8" t="inlineStr">
        <is>
          <t>DANTOTSU</t>
        </is>
      </c>
      <c r="E4389" s="7" t="inlineStr">
        <is>
          <t>Pulverização Agrícola Conforme Bula</t>
        </is>
      </c>
      <c r="F4389" s="7" t="inlineStr">
        <is>
          <t>Feijão</t>
        </is>
      </c>
      <c r="G4389" s="7" t="inlineStr">
        <is>
          <t>Cultura Autorizada na Bula</t>
        </is>
      </c>
      <c r="H4389" s="7" t="inlineStr">
        <is>
          <t>100 a 300 L/ha</t>
        </is>
      </c>
      <c r="I4389" s="7" t="inlineStr">
        <is>
          <t>20 a 40 L/ha</t>
        </is>
      </c>
      <c r="J4389" s="7" t="inlineStr">
        <is>
          <t>14 dias</t>
        </is>
      </c>
    </row>
    <row r="4390" ht="22" customHeight="1">
      <c r="A4390" s="12" t="inlineStr">
        <is>
          <t>CUL-4386</t>
        </is>
      </c>
      <c r="B4390" s="11" t="n">
        <v>882</v>
      </c>
      <c r="C4390" s="13" t="inlineStr">
        <is>
          <t>VINC-17124</t>
        </is>
      </c>
      <c r="D4390" s="14" t="inlineStr">
        <is>
          <t>Focus Técnico</t>
        </is>
      </c>
      <c r="E4390" s="13" t="inlineStr">
        <is>
          <t>Uso Exclusivamente Industrial (Formulação)</t>
        </is>
      </c>
      <c r="F4390" s="13" t="inlineStr">
        <is>
          <t>Não Aplicável (Proibido uso direto na lavoura)</t>
        </is>
      </c>
      <c r="G4390" s="13" t="inlineStr">
        <is>
          <t>Insumo Industrial</t>
        </is>
      </c>
      <c r="H4390" s="13" t="inlineStr">
        <is>
          <t>N/A</t>
        </is>
      </c>
      <c r="I4390" s="13" t="inlineStr">
        <is>
          <t>N/A</t>
        </is>
      </c>
      <c r="J4390" s="13" t="inlineStr">
        <is>
          <t>N/A (Insumo Industrial)</t>
        </is>
      </c>
    </row>
    <row r="4391" ht="22" customHeight="1">
      <c r="A4391" s="6" t="inlineStr">
        <is>
          <t>CUL-4387</t>
        </is>
      </c>
      <c r="B4391" s="5" t="n">
        <v>883</v>
      </c>
      <c r="C4391" s="7" t="inlineStr">
        <is>
          <t>VINC-17124</t>
        </is>
      </c>
      <c r="D4391" s="8" t="inlineStr">
        <is>
          <t>Clothianidin Técnico SCB</t>
        </is>
      </c>
      <c r="E4391" s="7" t="inlineStr">
        <is>
          <t>Uso Exclusivamente Industrial (Formulação)</t>
        </is>
      </c>
      <c r="F4391" s="7" t="inlineStr">
        <is>
          <t>Não Aplicável (Proibido uso direto na lavoura)</t>
        </is>
      </c>
      <c r="G4391" s="7" t="inlineStr">
        <is>
          <t>Insumo Industrial</t>
        </is>
      </c>
      <c r="H4391" s="7" t="inlineStr">
        <is>
          <t>N/A</t>
        </is>
      </c>
      <c r="I4391" s="7" t="inlineStr">
        <is>
          <t>N/A</t>
        </is>
      </c>
      <c r="J4391" s="7" t="inlineStr">
        <is>
          <t>N/A (Insumo Industrial)</t>
        </is>
      </c>
    </row>
    <row r="4392" ht="22" customHeight="1">
      <c r="A4392" s="12" t="inlineStr">
        <is>
          <t>CUL-4388</t>
        </is>
      </c>
      <c r="B4392" s="11" t="n">
        <v>884</v>
      </c>
      <c r="C4392" s="13" t="inlineStr">
        <is>
          <t>Nº 17224</t>
        </is>
      </c>
      <c r="D4392" s="14" t="inlineStr">
        <is>
          <t>LUMISURE</t>
        </is>
      </c>
      <c r="E4392" s="13" t="inlineStr">
        <is>
          <t>Tratamento de Sementes / Sulco</t>
        </is>
      </c>
      <c r="F4392" s="13" t="inlineStr">
        <is>
          <t>Soja</t>
        </is>
      </c>
      <c r="G4392" s="13" t="inlineStr">
        <is>
          <t>Cultura Autorizada na Bula</t>
        </is>
      </c>
      <c r="H4392" s="13" t="inlineStr">
        <is>
          <t>Calda TS (0,2 a 0,6 L/100kg sem.)</t>
        </is>
      </c>
      <c r="I4392" s="13" t="inlineStr">
        <is>
          <t>Não Autorizada (TS)</t>
        </is>
      </c>
      <c r="J4392" s="13" t="inlineStr">
        <is>
          <t>U.N.A. (Tratamento de Sementes)</t>
        </is>
      </c>
    </row>
    <row r="4393" ht="22" customHeight="1">
      <c r="A4393" s="6" t="inlineStr">
        <is>
          <t>CUL-4389</t>
        </is>
      </c>
      <c r="B4393" s="5" t="n">
        <v>884</v>
      </c>
      <c r="C4393" s="7" t="inlineStr">
        <is>
          <t>Nº 17224</t>
        </is>
      </c>
      <c r="D4393" s="8" t="inlineStr">
        <is>
          <t>LUMISURE</t>
        </is>
      </c>
      <c r="E4393" s="7" t="inlineStr">
        <is>
          <t>Tratamento de Sementes / Sulco</t>
        </is>
      </c>
      <c r="F4393" s="7" t="inlineStr">
        <is>
          <t>Milho</t>
        </is>
      </c>
      <c r="G4393" s="7" t="inlineStr">
        <is>
          <t>Cultura Autorizada na Bula</t>
        </is>
      </c>
      <c r="H4393" s="7" t="inlineStr">
        <is>
          <t>Calda TS (0,2 a 0,6 L/100kg sem.)</t>
        </is>
      </c>
      <c r="I4393" s="7" t="inlineStr">
        <is>
          <t>Não Autorizada (TS)</t>
        </is>
      </c>
      <c r="J4393" s="7" t="inlineStr">
        <is>
          <t>U.N.A. (Tratamento de Sementes)</t>
        </is>
      </c>
    </row>
    <row r="4394" ht="22" customHeight="1">
      <c r="A4394" s="12" t="inlineStr">
        <is>
          <t>CUL-4390</t>
        </is>
      </c>
      <c r="B4394" s="11" t="n">
        <v>884</v>
      </c>
      <c r="C4394" s="13" t="inlineStr">
        <is>
          <t>Nº 17224</t>
        </is>
      </c>
      <c r="D4394" s="14" t="inlineStr">
        <is>
          <t>LUMISURE</t>
        </is>
      </c>
      <c r="E4394" s="13" t="inlineStr">
        <is>
          <t>Tratamento de Sementes / Sulco</t>
        </is>
      </c>
      <c r="F4394" s="13" t="inlineStr">
        <is>
          <t>Algodão</t>
        </is>
      </c>
      <c r="G4394" s="13" t="inlineStr">
        <is>
          <t>Cultura Autorizada na Bula</t>
        </is>
      </c>
      <c r="H4394" s="13" t="inlineStr">
        <is>
          <t>Calda TS (0,2 a 0,6 L/100kg sem.)</t>
        </is>
      </c>
      <c r="I4394" s="13" t="inlineStr">
        <is>
          <t>Não Autorizada (TS)</t>
        </is>
      </c>
      <c r="J4394" s="13" t="inlineStr">
        <is>
          <t>U.N.A. (Tratamento de Sementes)</t>
        </is>
      </c>
    </row>
    <row r="4395" ht="22" customHeight="1">
      <c r="A4395" s="6" t="inlineStr">
        <is>
          <t>CUL-4391</t>
        </is>
      </c>
      <c r="B4395" s="5" t="n">
        <v>884</v>
      </c>
      <c r="C4395" s="7" t="inlineStr">
        <is>
          <t>Nº 17224</t>
        </is>
      </c>
      <c r="D4395" s="8" t="inlineStr">
        <is>
          <t>LUMISURE</t>
        </is>
      </c>
      <c r="E4395" s="7" t="inlineStr">
        <is>
          <t>Tratamento de Sementes / Sulco</t>
        </is>
      </c>
      <c r="F4395" s="7" t="inlineStr">
        <is>
          <t>Feijão</t>
        </is>
      </c>
      <c r="G4395" s="7" t="inlineStr">
        <is>
          <t>Cultura Autorizada na Bula</t>
        </is>
      </c>
      <c r="H4395" s="7" t="inlineStr">
        <is>
          <t>Calda TS (0,2 a 0,6 L/100kg sem.)</t>
        </is>
      </c>
      <c r="I4395" s="7" t="inlineStr">
        <is>
          <t>Não Autorizada (TS)</t>
        </is>
      </c>
      <c r="J4395" s="7" t="inlineStr">
        <is>
          <t>U.N.A. (Tratamento de Sementes)</t>
        </is>
      </c>
    </row>
    <row r="4396" ht="22" customHeight="1">
      <c r="A4396" s="12" t="inlineStr">
        <is>
          <t>CUL-4392</t>
        </is>
      </c>
      <c r="B4396" s="11" t="n">
        <v>884</v>
      </c>
      <c r="C4396" s="13" t="inlineStr">
        <is>
          <t>Nº 17224</t>
        </is>
      </c>
      <c r="D4396" s="14" t="inlineStr">
        <is>
          <t>LUMISURE</t>
        </is>
      </c>
      <c r="E4396" s="13" t="inlineStr">
        <is>
          <t>Tratamento de Sementes / Sulco</t>
        </is>
      </c>
      <c r="F4396" s="13" t="inlineStr">
        <is>
          <t>Trigo</t>
        </is>
      </c>
      <c r="G4396" s="13" t="inlineStr">
        <is>
          <t>Cultura Autorizada na Bula</t>
        </is>
      </c>
      <c r="H4396" s="13" t="inlineStr">
        <is>
          <t>Calda TS (0,2 a 0,6 L/100kg sem.)</t>
        </is>
      </c>
      <c r="I4396" s="13" t="inlineStr">
        <is>
          <t>Não Autorizada (TS)</t>
        </is>
      </c>
      <c r="J4396" s="13" t="inlineStr">
        <is>
          <t>U.N.A. (Tratamento de Sementes)</t>
        </is>
      </c>
    </row>
    <row r="4397" ht="22" customHeight="1">
      <c r="A4397" s="6" t="inlineStr">
        <is>
          <t>CUL-4393</t>
        </is>
      </c>
      <c r="B4397" s="5" t="n">
        <v>885</v>
      </c>
      <c r="C4397" s="7" t="inlineStr">
        <is>
          <t>Nº 17324</t>
        </is>
      </c>
      <c r="D4397" s="8" t="inlineStr">
        <is>
          <t>ELIOS WG</t>
        </is>
      </c>
      <c r="E4397" s="7" t="inlineStr">
        <is>
          <t>Pulverização Agrícola Conforme Bula</t>
        </is>
      </c>
      <c r="F4397" s="7" t="inlineStr">
        <is>
          <t>Soja</t>
        </is>
      </c>
      <c r="G4397" s="7" t="inlineStr">
        <is>
          <t>Cultura Autorizada na Bula</t>
        </is>
      </c>
      <c r="H4397" s="7" t="inlineStr">
        <is>
          <t>100 a 300 L/ha</t>
        </is>
      </c>
      <c r="I4397" s="7" t="inlineStr">
        <is>
          <t>20 a 40 L/ha</t>
        </is>
      </c>
      <c r="J4397" s="7" t="inlineStr">
        <is>
          <t>30 dias</t>
        </is>
      </c>
    </row>
    <row r="4398" ht="22" customHeight="1">
      <c r="A4398" s="12" t="inlineStr">
        <is>
          <t>CUL-4394</t>
        </is>
      </c>
      <c r="B4398" s="11" t="n">
        <v>885</v>
      </c>
      <c r="C4398" s="13" t="inlineStr">
        <is>
          <t>Nº 17324</t>
        </is>
      </c>
      <c r="D4398" s="14" t="inlineStr">
        <is>
          <t>ELIOS WG</t>
        </is>
      </c>
      <c r="E4398" s="13" t="inlineStr">
        <is>
          <t>Pulverização Agrícola Conforme Bula</t>
        </is>
      </c>
      <c r="F4398" s="13" t="inlineStr">
        <is>
          <t>Milho</t>
        </is>
      </c>
      <c r="G4398" s="13" t="inlineStr">
        <is>
          <t>Cultura Autorizada na Bula</t>
        </is>
      </c>
      <c r="H4398" s="13" t="inlineStr">
        <is>
          <t>100 a 300 L/ha</t>
        </is>
      </c>
      <c r="I4398" s="13" t="inlineStr">
        <is>
          <t>20 a 40 L/ha</t>
        </is>
      </c>
      <c r="J4398" s="13" t="inlineStr">
        <is>
          <t>30 dias</t>
        </is>
      </c>
    </row>
    <row r="4399" ht="22" customHeight="1">
      <c r="A4399" s="6" t="inlineStr">
        <is>
          <t>CUL-4395</t>
        </is>
      </c>
      <c r="B4399" s="5" t="n">
        <v>885</v>
      </c>
      <c r="C4399" s="7" t="inlineStr">
        <is>
          <t>Nº 17324</t>
        </is>
      </c>
      <c r="D4399" s="8" t="inlineStr">
        <is>
          <t>ELIOS WG</t>
        </is>
      </c>
      <c r="E4399" s="7" t="inlineStr">
        <is>
          <t>Pulverização Agrícola Conforme Bula</t>
        </is>
      </c>
      <c r="F4399" s="7" t="inlineStr">
        <is>
          <t>Algodão</t>
        </is>
      </c>
      <c r="G4399" s="7" t="inlineStr">
        <is>
          <t>Cultura Autorizada na Bula</t>
        </is>
      </c>
      <c r="H4399" s="7" t="inlineStr">
        <is>
          <t>100 a 300 L/ha</t>
        </is>
      </c>
      <c r="I4399" s="7" t="inlineStr">
        <is>
          <t>20 a 40 L/ha</t>
        </is>
      </c>
      <c r="J4399" s="7" t="inlineStr">
        <is>
          <t>30 dias</t>
        </is>
      </c>
    </row>
    <row r="4400" ht="22" customHeight="1">
      <c r="A4400" s="12" t="inlineStr">
        <is>
          <t>CUL-4396</t>
        </is>
      </c>
      <c r="B4400" s="11" t="n">
        <v>885</v>
      </c>
      <c r="C4400" s="13" t="inlineStr">
        <is>
          <t>Nº 17324</t>
        </is>
      </c>
      <c r="D4400" s="14" t="inlineStr">
        <is>
          <t>ELIOS WG</t>
        </is>
      </c>
      <c r="E4400" s="13" t="inlineStr">
        <is>
          <t>Pulverização Agrícola Conforme Bula</t>
        </is>
      </c>
      <c r="F4400" s="13" t="inlineStr">
        <is>
          <t>Trigo</t>
        </is>
      </c>
      <c r="G4400" s="13" t="inlineStr">
        <is>
          <t>Cultura Autorizada na Bula</t>
        </is>
      </c>
      <c r="H4400" s="13" t="inlineStr">
        <is>
          <t>100 a 300 L/ha</t>
        </is>
      </c>
      <c r="I4400" s="13" t="inlineStr">
        <is>
          <t>20 a 40 L/ha</t>
        </is>
      </c>
      <c r="J4400" s="13" t="inlineStr">
        <is>
          <t>30 dias</t>
        </is>
      </c>
    </row>
    <row r="4401" ht="22" customHeight="1">
      <c r="A4401" s="6" t="inlineStr">
        <is>
          <t>CUL-4397</t>
        </is>
      </c>
      <c r="B4401" s="5" t="n">
        <v>885</v>
      </c>
      <c r="C4401" s="7" t="inlineStr">
        <is>
          <t>Nº 17324</t>
        </is>
      </c>
      <c r="D4401" s="8" t="inlineStr">
        <is>
          <t>ELIOS WG</t>
        </is>
      </c>
      <c r="E4401" s="7" t="inlineStr">
        <is>
          <t>Pulverização Agrícola Conforme Bula</t>
        </is>
      </c>
      <c r="F4401" s="7" t="inlineStr">
        <is>
          <t>Feijão</t>
        </is>
      </c>
      <c r="G4401" s="7" t="inlineStr">
        <is>
          <t>Cultura Autorizada na Bula</t>
        </is>
      </c>
      <c r="H4401" s="7" t="inlineStr">
        <is>
          <t>100 a 300 L/ha</t>
        </is>
      </c>
      <c r="I4401" s="7" t="inlineStr">
        <is>
          <t>20 a 40 L/ha</t>
        </is>
      </c>
      <c r="J4401" s="7" t="inlineStr">
        <is>
          <t>14 dias</t>
        </is>
      </c>
    </row>
    <row r="4402" ht="22" customHeight="1">
      <c r="A4402" s="12" t="inlineStr">
        <is>
          <t>CUL-4398</t>
        </is>
      </c>
      <c r="B4402" s="11" t="n">
        <v>886</v>
      </c>
      <c r="C4402" s="13" t="inlineStr">
        <is>
          <t>VINC-17324</t>
        </is>
      </c>
      <c r="D4402" s="14" t="inlineStr">
        <is>
          <t>Imidacloprid Tecnico Agroqualita SNB</t>
        </is>
      </c>
      <c r="E4402" s="13" t="inlineStr">
        <is>
          <t>Uso Exclusivamente Industrial (Formulação)</t>
        </is>
      </c>
      <c r="F4402" s="13" t="inlineStr">
        <is>
          <t>Não Aplicável (Proibido uso direto na lavoura)</t>
        </is>
      </c>
      <c r="G4402" s="13" t="inlineStr">
        <is>
          <t>Insumo Industrial</t>
        </is>
      </c>
      <c r="H4402" s="13" t="inlineStr">
        <is>
          <t>N/A</t>
        </is>
      </c>
      <c r="I4402" s="13" t="inlineStr">
        <is>
          <t>N/A</t>
        </is>
      </c>
      <c r="J4402" s="13" t="inlineStr">
        <is>
          <t>N/A (Insumo Industrial)</t>
        </is>
      </c>
    </row>
    <row r="4403" ht="22" customHeight="1">
      <c r="A4403" s="6" t="inlineStr">
        <is>
          <t>CUL-4399</t>
        </is>
      </c>
      <c r="B4403" s="5" t="n">
        <v>887</v>
      </c>
      <c r="C4403" s="7" t="inlineStr">
        <is>
          <t>Nº 17424</t>
        </is>
      </c>
      <c r="D4403" s="8" t="inlineStr">
        <is>
          <t>CROPSTAR FLEXX</t>
        </is>
      </c>
      <c r="E4403" s="7" t="inlineStr">
        <is>
          <t>Pulverização Agrícola Conforme Bula</t>
        </is>
      </c>
      <c r="F4403" s="7" t="inlineStr">
        <is>
          <t>Soja</t>
        </is>
      </c>
      <c r="G4403" s="7" t="inlineStr">
        <is>
          <t>Cultura Autorizada na Bula</t>
        </is>
      </c>
      <c r="H4403" s="7" t="inlineStr">
        <is>
          <t>100 a 300 L/ha</t>
        </is>
      </c>
      <c r="I4403" s="7" t="inlineStr">
        <is>
          <t>20 a 40 L/ha</t>
        </is>
      </c>
      <c r="J4403" s="7" t="inlineStr">
        <is>
          <t>21 dias</t>
        </is>
      </c>
    </row>
    <row r="4404" ht="22" customHeight="1">
      <c r="A4404" s="12" t="inlineStr">
        <is>
          <t>CUL-4400</t>
        </is>
      </c>
      <c r="B4404" s="11" t="n">
        <v>887</v>
      </c>
      <c r="C4404" s="13" t="inlineStr">
        <is>
          <t>Nº 17424</t>
        </is>
      </c>
      <c r="D4404" s="14" t="inlineStr">
        <is>
          <t>CROPSTAR FLEXX</t>
        </is>
      </c>
      <c r="E4404" s="13" t="inlineStr">
        <is>
          <t>Pulverização Agrícola Conforme Bula</t>
        </is>
      </c>
      <c r="F4404" s="13" t="inlineStr">
        <is>
          <t>Milho</t>
        </is>
      </c>
      <c r="G4404" s="13" t="inlineStr">
        <is>
          <t>Cultura Autorizada na Bula</t>
        </is>
      </c>
      <c r="H4404" s="13" t="inlineStr">
        <is>
          <t>100 a 300 L/ha</t>
        </is>
      </c>
      <c r="I4404" s="13" t="inlineStr">
        <is>
          <t>20 a 40 L/ha</t>
        </is>
      </c>
      <c r="J4404" s="13" t="inlineStr">
        <is>
          <t>21 dias</t>
        </is>
      </c>
    </row>
    <row r="4405" ht="22" customHeight="1">
      <c r="A4405" s="6" t="inlineStr">
        <is>
          <t>CUL-4401</t>
        </is>
      </c>
      <c r="B4405" s="5" t="n">
        <v>887</v>
      </c>
      <c r="C4405" s="7" t="inlineStr">
        <is>
          <t>Nº 17424</t>
        </is>
      </c>
      <c r="D4405" s="8" t="inlineStr">
        <is>
          <t>CROPSTAR FLEXX</t>
        </is>
      </c>
      <c r="E4405" s="7" t="inlineStr">
        <is>
          <t>Pulverização Agrícola Conforme Bula</t>
        </is>
      </c>
      <c r="F4405" s="7" t="inlineStr">
        <is>
          <t>Algodão</t>
        </is>
      </c>
      <c r="G4405" s="7" t="inlineStr">
        <is>
          <t>Cultura Autorizada na Bula</t>
        </is>
      </c>
      <c r="H4405" s="7" t="inlineStr">
        <is>
          <t>100 a 300 L/ha</t>
        </is>
      </c>
      <c r="I4405" s="7" t="inlineStr">
        <is>
          <t>20 a 40 L/ha</t>
        </is>
      </c>
      <c r="J4405" s="7" t="inlineStr">
        <is>
          <t>21 dias</t>
        </is>
      </c>
    </row>
    <row r="4406" ht="22" customHeight="1">
      <c r="A4406" s="12" t="inlineStr">
        <is>
          <t>CUL-4402</t>
        </is>
      </c>
      <c r="B4406" s="11" t="n">
        <v>887</v>
      </c>
      <c r="C4406" s="13" t="inlineStr">
        <is>
          <t>Nº 17424</t>
        </is>
      </c>
      <c r="D4406" s="14" t="inlineStr">
        <is>
          <t>CROPSTAR FLEXX</t>
        </is>
      </c>
      <c r="E4406" s="13" t="inlineStr">
        <is>
          <t>Pulverização Agrícola Conforme Bula</t>
        </is>
      </c>
      <c r="F4406" s="13" t="inlineStr">
        <is>
          <t>Feijão</t>
        </is>
      </c>
      <c r="G4406" s="13" t="inlineStr">
        <is>
          <t>Cultura Autorizada na Bula</t>
        </is>
      </c>
      <c r="H4406" s="13" t="inlineStr">
        <is>
          <t>100 a 300 L/ha</t>
        </is>
      </c>
      <c r="I4406" s="13" t="inlineStr">
        <is>
          <t>20 a 40 L/ha</t>
        </is>
      </c>
      <c r="J4406" s="13" t="inlineStr">
        <is>
          <t>14 dias</t>
        </is>
      </c>
    </row>
    <row r="4407" ht="22" customHeight="1">
      <c r="A4407" s="6" t="inlineStr">
        <is>
          <t>CUL-4403</t>
        </is>
      </c>
      <c r="B4407" s="5" t="n">
        <v>888</v>
      </c>
      <c r="C4407" s="7" t="inlineStr">
        <is>
          <t>VINC-17424</t>
        </is>
      </c>
      <c r="D4407" s="8" t="inlineStr">
        <is>
          <t>Premier Técnico</t>
        </is>
      </c>
      <c r="E4407" s="7" t="inlineStr">
        <is>
          <t>Uso Exclusivamente Industrial (Formulação)</t>
        </is>
      </c>
      <c r="F4407" s="7" t="inlineStr">
        <is>
          <t>Não Aplicável (Proibido uso direto na lavoura)</t>
        </is>
      </c>
      <c r="G4407" s="7" t="inlineStr">
        <is>
          <t>Insumo Industrial</t>
        </is>
      </c>
      <c r="H4407" s="7" t="inlineStr">
        <is>
          <t>N/A</t>
        </is>
      </c>
      <c r="I4407" s="7" t="inlineStr">
        <is>
          <t>N/A</t>
        </is>
      </c>
      <c r="J4407" s="7" t="inlineStr">
        <is>
          <t>N/A (Insumo Industrial)</t>
        </is>
      </c>
    </row>
    <row r="4408" ht="22" customHeight="1">
      <c r="A4408" s="12" t="inlineStr">
        <is>
          <t>CUL-4404</t>
        </is>
      </c>
      <c r="B4408" s="11" t="n">
        <v>889</v>
      </c>
      <c r="C4408" s="13" t="inlineStr">
        <is>
          <t>Nº 17524</t>
        </is>
      </c>
      <c r="D4408" s="14" t="inlineStr">
        <is>
          <t>SUMIRODY</t>
        </is>
      </c>
      <c r="E4408" s="13" t="inlineStr">
        <is>
          <t>Pulverização Agrícola Conforme Bula</t>
        </is>
      </c>
      <c r="F4408" s="13" t="inlineStr">
        <is>
          <t>Soja</t>
        </is>
      </c>
      <c r="G4408" s="13" t="inlineStr">
        <is>
          <t>Cultura Autorizada na Bula</t>
        </is>
      </c>
      <c r="H4408" s="13" t="inlineStr">
        <is>
          <t>100 a 300 L/ha</t>
        </is>
      </c>
      <c r="I4408" s="13" t="inlineStr">
        <is>
          <t>20 a 40 L/ha</t>
        </is>
      </c>
      <c r="J4408" s="13" t="inlineStr">
        <is>
          <t>21 dias</t>
        </is>
      </c>
    </row>
    <row r="4409" ht="22" customHeight="1">
      <c r="A4409" s="6" t="inlineStr">
        <is>
          <t>CUL-4405</t>
        </is>
      </c>
      <c r="B4409" s="5" t="n">
        <v>889</v>
      </c>
      <c r="C4409" s="7" t="inlineStr">
        <is>
          <t>Nº 17524</t>
        </is>
      </c>
      <c r="D4409" s="8" t="inlineStr">
        <is>
          <t>SUMIRODY</t>
        </is>
      </c>
      <c r="E4409" s="7" t="inlineStr">
        <is>
          <t>Pulverização Agrícola Conforme Bula</t>
        </is>
      </c>
      <c r="F4409" s="7" t="inlineStr">
        <is>
          <t>Milho</t>
        </is>
      </c>
      <c r="G4409" s="7" t="inlineStr">
        <is>
          <t>Cultura Autorizada na Bula</t>
        </is>
      </c>
      <c r="H4409" s="7" t="inlineStr">
        <is>
          <t>100 a 300 L/ha</t>
        </is>
      </c>
      <c r="I4409" s="7" t="inlineStr">
        <is>
          <t>20 a 40 L/ha</t>
        </is>
      </c>
      <c r="J4409" s="7" t="inlineStr">
        <is>
          <t>21 dias</t>
        </is>
      </c>
    </row>
    <row r="4410" ht="22" customHeight="1">
      <c r="A4410" s="12" t="inlineStr">
        <is>
          <t>CUL-4406</t>
        </is>
      </c>
      <c r="B4410" s="11" t="n">
        <v>889</v>
      </c>
      <c r="C4410" s="13" t="inlineStr">
        <is>
          <t>Nº 17524</t>
        </is>
      </c>
      <c r="D4410" s="14" t="inlineStr">
        <is>
          <t>SUMIRODY</t>
        </is>
      </c>
      <c r="E4410" s="13" t="inlineStr">
        <is>
          <t>Pulverização Agrícola Conforme Bula</t>
        </is>
      </c>
      <c r="F4410" s="13" t="inlineStr">
        <is>
          <t>Algodão</t>
        </is>
      </c>
      <c r="G4410" s="13" t="inlineStr">
        <is>
          <t>Cultura Autorizada na Bula</t>
        </is>
      </c>
      <c r="H4410" s="13" t="inlineStr">
        <is>
          <t>100 a 300 L/ha</t>
        </is>
      </c>
      <c r="I4410" s="13" t="inlineStr">
        <is>
          <t>20 a 40 L/ha</t>
        </is>
      </c>
      <c r="J4410" s="13" t="inlineStr">
        <is>
          <t>21 dias</t>
        </is>
      </c>
    </row>
    <row r="4411" ht="22" customHeight="1">
      <c r="A4411" s="6" t="inlineStr">
        <is>
          <t>CUL-4407</t>
        </is>
      </c>
      <c r="B4411" s="5" t="n">
        <v>889</v>
      </c>
      <c r="C4411" s="7" t="inlineStr">
        <is>
          <t>Nº 17524</t>
        </is>
      </c>
      <c r="D4411" s="8" t="inlineStr">
        <is>
          <t>SUMIRODY</t>
        </is>
      </c>
      <c r="E4411" s="7" t="inlineStr">
        <is>
          <t>Pulverização Agrícola Conforme Bula</t>
        </is>
      </c>
      <c r="F4411" s="7" t="inlineStr">
        <is>
          <t>Feijão</t>
        </is>
      </c>
      <c r="G4411" s="7" t="inlineStr">
        <is>
          <t>Cultura Autorizada na Bula</t>
        </is>
      </c>
      <c r="H4411" s="7" t="inlineStr">
        <is>
          <t>100 a 300 L/ha</t>
        </is>
      </c>
      <c r="I4411" s="7" t="inlineStr">
        <is>
          <t>20 a 40 L/ha</t>
        </is>
      </c>
      <c r="J4411" s="7" t="inlineStr">
        <is>
          <t>14 dias</t>
        </is>
      </c>
    </row>
    <row r="4412" ht="22" customHeight="1">
      <c r="A4412" s="12" t="inlineStr">
        <is>
          <t>CUL-4408</t>
        </is>
      </c>
      <c r="B4412" s="11" t="n">
        <v>890</v>
      </c>
      <c r="C4412" s="13" t="inlineStr">
        <is>
          <t>VINC-17524</t>
        </is>
      </c>
      <c r="D4412" s="14" t="inlineStr">
        <is>
          <t>Danimen Técnico 900</t>
        </is>
      </c>
      <c r="E4412" s="13" t="inlineStr">
        <is>
          <t>Uso Exclusivamente Industrial (Formulação)</t>
        </is>
      </c>
      <c r="F4412" s="13" t="inlineStr">
        <is>
          <t>Não Aplicável (Proibido uso direto na lavoura)</t>
        </is>
      </c>
      <c r="G4412" s="13" t="inlineStr">
        <is>
          <t>Insumo Industrial</t>
        </is>
      </c>
      <c r="H4412" s="13" t="inlineStr">
        <is>
          <t>N/A</t>
        </is>
      </c>
      <c r="I4412" s="13" t="inlineStr">
        <is>
          <t>N/A</t>
        </is>
      </c>
      <c r="J4412" s="13" t="inlineStr">
        <is>
          <t>N/A (Insumo Industrial)</t>
        </is>
      </c>
    </row>
    <row r="4413" ht="22" customHeight="1">
      <c r="A4413" s="6" t="inlineStr">
        <is>
          <t>CUL-4409</t>
        </is>
      </c>
      <c r="B4413" s="5" t="n">
        <v>891</v>
      </c>
      <c r="C4413" s="7" t="inlineStr">
        <is>
          <t>Nº 17624</t>
        </is>
      </c>
      <c r="D4413" s="8" t="inlineStr">
        <is>
          <t>SONUTRIR</t>
        </is>
      </c>
      <c r="E4413" s="7" t="inlineStr">
        <is>
          <t>Pulverização Agrícola Conforme Bula</t>
        </is>
      </c>
      <c r="F4413" s="7" t="inlineStr">
        <is>
          <t>Soja</t>
        </is>
      </c>
      <c r="G4413" s="7" t="inlineStr">
        <is>
          <t>Cultura Autorizada na Bula</t>
        </is>
      </c>
      <c r="H4413" s="7" t="inlineStr">
        <is>
          <t>100 a 300 L/ha</t>
        </is>
      </c>
      <c r="I4413" s="7" t="inlineStr">
        <is>
          <t>20 a 40 L/ha</t>
        </is>
      </c>
      <c r="J4413" s="7" t="inlineStr">
        <is>
          <t>21 a 30 dias</t>
        </is>
      </c>
    </row>
    <row r="4414" ht="22" customHeight="1">
      <c r="A4414" s="12" t="inlineStr">
        <is>
          <t>CUL-4410</t>
        </is>
      </c>
      <c r="B4414" s="11" t="n">
        <v>891</v>
      </c>
      <c r="C4414" s="13" t="inlineStr">
        <is>
          <t>Nº 17624</t>
        </is>
      </c>
      <c r="D4414" s="14" t="inlineStr">
        <is>
          <t>SONUTRIR</t>
        </is>
      </c>
      <c r="E4414" s="13" t="inlineStr">
        <is>
          <t>Pulverização Agrícola Conforme Bula</t>
        </is>
      </c>
      <c r="F4414" s="13" t="inlineStr">
        <is>
          <t>Milho</t>
        </is>
      </c>
      <c r="G4414" s="13" t="inlineStr">
        <is>
          <t>Cultura Autorizada na Bula</t>
        </is>
      </c>
      <c r="H4414" s="13" t="inlineStr">
        <is>
          <t>100 a 300 L/ha</t>
        </is>
      </c>
      <c r="I4414" s="13" t="inlineStr">
        <is>
          <t>20 a 40 L/ha</t>
        </is>
      </c>
      <c r="J4414" s="13" t="inlineStr">
        <is>
          <t>21 a 30 dias</t>
        </is>
      </c>
    </row>
    <row r="4415" ht="22" customHeight="1">
      <c r="A4415" s="6" t="inlineStr">
        <is>
          <t>CUL-4411</t>
        </is>
      </c>
      <c r="B4415" s="5" t="n">
        <v>891</v>
      </c>
      <c r="C4415" s="7" t="inlineStr">
        <is>
          <t>Nº 17624</t>
        </is>
      </c>
      <c r="D4415" s="8" t="inlineStr">
        <is>
          <t>SONUTRIR</t>
        </is>
      </c>
      <c r="E4415" s="7" t="inlineStr">
        <is>
          <t>Pulverização Agrícola Conforme Bula</t>
        </is>
      </c>
      <c r="F4415" s="7" t="inlineStr">
        <is>
          <t>Algodão</t>
        </is>
      </c>
      <c r="G4415" s="7" t="inlineStr">
        <is>
          <t>Cultura Autorizada na Bula</t>
        </is>
      </c>
      <c r="H4415" s="7" t="inlineStr">
        <is>
          <t>100 a 300 L/ha</t>
        </is>
      </c>
      <c r="I4415" s="7" t="inlineStr">
        <is>
          <t>20 a 40 L/ha</t>
        </is>
      </c>
      <c r="J4415" s="7" t="inlineStr">
        <is>
          <t>21 a 30 dias</t>
        </is>
      </c>
    </row>
    <row r="4416" ht="22" customHeight="1">
      <c r="A4416" s="12" t="inlineStr">
        <is>
          <t>CUL-4412</t>
        </is>
      </c>
      <c r="B4416" s="11" t="n">
        <v>891</v>
      </c>
      <c r="C4416" s="13" t="inlineStr">
        <is>
          <t>Nº 17624</t>
        </is>
      </c>
      <c r="D4416" s="14" t="inlineStr">
        <is>
          <t>SONUTRIR</t>
        </is>
      </c>
      <c r="E4416" s="13" t="inlineStr">
        <is>
          <t>Pulverização Agrícola Conforme Bula</t>
        </is>
      </c>
      <c r="F4416" s="13" t="inlineStr">
        <is>
          <t>Feijão</t>
        </is>
      </c>
      <c r="G4416" s="13" t="inlineStr">
        <is>
          <t>Cultura Autorizada na Bula</t>
        </is>
      </c>
      <c r="H4416" s="13" t="inlineStr">
        <is>
          <t>100 a 300 L/ha</t>
        </is>
      </c>
      <c r="I4416" s="13" t="inlineStr">
        <is>
          <t>20 a 40 L/ha</t>
        </is>
      </c>
      <c r="J4416" s="13" t="inlineStr">
        <is>
          <t>21 a 30 dias</t>
        </is>
      </c>
    </row>
    <row r="4417" ht="22" customHeight="1">
      <c r="A4417" s="6" t="inlineStr">
        <is>
          <t>CUL-4413</t>
        </is>
      </c>
      <c r="B4417" s="5" t="n">
        <v>891</v>
      </c>
      <c r="C4417" s="7" t="inlineStr">
        <is>
          <t>Nº 17624</t>
        </is>
      </c>
      <c r="D4417" s="8" t="inlineStr">
        <is>
          <t>SONUTRIR</t>
        </is>
      </c>
      <c r="E4417" s="7" t="inlineStr">
        <is>
          <t>Pulverização Agrícola Conforme Bula</t>
        </is>
      </c>
      <c r="F4417" s="7" t="inlineStr">
        <is>
          <t>Trigo</t>
        </is>
      </c>
      <c r="G4417" s="7" t="inlineStr">
        <is>
          <t>Cultura Autorizada na Bula</t>
        </is>
      </c>
      <c r="H4417" s="7" t="inlineStr">
        <is>
          <t>100 a 300 L/ha</t>
        </is>
      </c>
      <c r="I4417" s="7" t="inlineStr">
        <is>
          <t>20 a 40 L/ha</t>
        </is>
      </c>
      <c r="J4417" s="7" t="inlineStr">
        <is>
          <t>21 a 30 dias</t>
        </is>
      </c>
    </row>
    <row r="4418" ht="22" customHeight="1">
      <c r="A4418" s="12" t="inlineStr">
        <is>
          <t>CUL-4414</t>
        </is>
      </c>
      <c r="B4418" s="11" t="n">
        <v>892</v>
      </c>
      <c r="C4418" s="13" t="inlineStr">
        <is>
          <t>VINC-17624</t>
        </is>
      </c>
      <c r="D4418" s="14" t="inlineStr">
        <is>
          <t>S-Metolacloro Técnico Rainbow</t>
        </is>
      </c>
      <c r="E4418" s="13" t="inlineStr">
        <is>
          <t>Uso Exclusivamente Industrial (Formulação)</t>
        </is>
      </c>
      <c r="F4418" s="13" t="inlineStr">
        <is>
          <t>Não Aplicável (Proibido uso direto na lavoura)</t>
        </is>
      </c>
      <c r="G4418" s="13" t="inlineStr">
        <is>
          <t>Insumo Industrial</t>
        </is>
      </c>
      <c r="H4418" s="13" t="inlineStr">
        <is>
          <t>N/A</t>
        </is>
      </c>
      <c r="I4418" s="13" t="inlineStr">
        <is>
          <t>N/A</t>
        </is>
      </c>
      <c r="J4418" s="13" t="inlineStr">
        <is>
          <t>N/A (Insumo Industrial)</t>
        </is>
      </c>
    </row>
    <row r="4419" ht="22" customHeight="1">
      <c r="A4419" s="6" t="inlineStr">
        <is>
          <t>CUL-4415</t>
        </is>
      </c>
      <c r="B4419" s="5" t="n">
        <v>893</v>
      </c>
      <c r="C4419" s="7" t="inlineStr">
        <is>
          <t>Nº 17724</t>
        </is>
      </c>
      <c r="D4419" s="8" t="inlineStr">
        <is>
          <t>TECANOA</t>
        </is>
      </c>
      <c r="E4419" s="7" t="inlineStr">
        <is>
          <t>Pulverização Agrícola Conforme Bula</t>
        </is>
      </c>
      <c r="F4419" s="7" t="inlineStr">
        <is>
          <t>Soja</t>
        </is>
      </c>
      <c r="G4419" s="7" t="inlineStr">
        <is>
          <t>Cultura Autorizada na Bula</t>
        </is>
      </c>
      <c r="H4419" s="7" t="inlineStr">
        <is>
          <t>100 a 300 L/ha</t>
        </is>
      </c>
      <c r="I4419" s="7" t="inlineStr">
        <is>
          <t>20 a 40 L/ha</t>
        </is>
      </c>
      <c r="J4419" s="7" t="inlineStr">
        <is>
          <t>60 dias</t>
        </is>
      </c>
    </row>
    <row r="4420" ht="22" customHeight="1">
      <c r="A4420" s="12" t="inlineStr">
        <is>
          <t>CUL-4416</t>
        </is>
      </c>
      <c r="B4420" s="11" t="n">
        <v>893</v>
      </c>
      <c r="C4420" s="13" t="inlineStr">
        <is>
          <t>Nº 17724</t>
        </is>
      </c>
      <c r="D4420" s="14" t="inlineStr">
        <is>
          <t>TECANOA</t>
        </is>
      </c>
      <c r="E4420" s="13" t="inlineStr">
        <is>
          <t>Pulverização Agrícola Conforme Bula</t>
        </is>
      </c>
      <c r="F4420" s="13" t="inlineStr">
        <is>
          <t>Milho</t>
        </is>
      </c>
      <c r="G4420" s="13" t="inlineStr">
        <is>
          <t>Cultura Autorizada na Bula</t>
        </is>
      </c>
      <c r="H4420" s="13" t="inlineStr">
        <is>
          <t>100 a 300 L/ha</t>
        </is>
      </c>
      <c r="I4420" s="13" t="inlineStr">
        <is>
          <t>20 a 40 L/ha</t>
        </is>
      </c>
      <c r="J4420" s="13" t="inlineStr">
        <is>
          <t>45 dias</t>
        </is>
      </c>
    </row>
    <row r="4421" ht="22" customHeight="1">
      <c r="A4421" s="6" t="inlineStr">
        <is>
          <t>CUL-4417</t>
        </is>
      </c>
      <c r="B4421" s="5" t="n">
        <v>893</v>
      </c>
      <c r="C4421" s="7" t="inlineStr">
        <is>
          <t>Nº 17724</t>
        </is>
      </c>
      <c r="D4421" s="8" t="inlineStr">
        <is>
          <t>TECANOA</t>
        </is>
      </c>
      <c r="E4421" s="7" t="inlineStr">
        <is>
          <t>Pulverização Agrícola Conforme Bula</t>
        </is>
      </c>
      <c r="F4421" s="7" t="inlineStr">
        <is>
          <t>Algodão</t>
        </is>
      </c>
      <c r="G4421" s="7" t="inlineStr">
        <is>
          <t>Cultura Autorizada na Bula</t>
        </is>
      </c>
      <c r="H4421" s="7" t="inlineStr">
        <is>
          <t>100 a 300 L/ha</t>
        </is>
      </c>
      <c r="I4421" s="7" t="inlineStr">
        <is>
          <t>20 a 40 L/ha</t>
        </is>
      </c>
      <c r="J4421" s="7" t="inlineStr">
        <is>
          <t>60 dias</t>
        </is>
      </c>
    </row>
    <row r="4422" ht="22" customHeight="1">
      <c r="A4422" s="12" t="inlineStr">
        <is>
          <t>CUL-4418</t>
        </is>
      </c>
      <c r="B4422" s="11" t="n">
        <v>893</v>
      </c>
      <c r="C4422" s="13" t="inlineStr">
        <is>
          <t>Nº 17724</t>
        </is>
      </c>
      <c r="D4422" s="14" t="inlineStr">
        <is>
          <t>TECANOA</t>
        </is>
      </c>
      <c r="E4422" s="13" t="inlineStr">
        <is>
          <t>Pulverização Agrícola Conforme Bula</t>
        </is>
      </c>
      <c r="F4422" s="13" t="inlineStr">
        <is>
          <t>Cana-de-açúcar</t>
        </is>
      </c>
      <c r="G4422" s="13" t="inlineStr">
        <is>
          <t>Cultura Autorizada na Bula</t>
        </is>
      </c>
      <c r="H4422" s="13" t="inlineStr">
        <is>
          <t>100 a 300 L/ha</t>
        </is>
      </c>
      <c r="I4422" s="13" t="inlineStr">
        <is>
          <t>20 a 40 L/ha</t>
        </is>
      </c>
      <c r="J4422" s="13" t="inlineStr">
        <is>
          <t>90 dias</t>
        </is>
      </c>
    </row>
    <row r="4423" ht="22" customHeight="1">
      <c r="A4423" s="6" t="inlineStr">
        <is>
          <t>CUL-4419</t>
        </is>
      </c>
      <c r="B4423" s="5" t="n">
        <v>894</v>
      </c>
      <c r="C4423" s="7" t="inlineStr">
        <is>
          <t>VINC-17724</t>
        </is>
      </c>
      <c r="D4423" s="8" t="inlineStr">
        <is>
          <t>Tebuthiuron Técnico Rainbow</t>
        </is>
      </c>
      <c r="E4423" s="7" t="inlineStr">
        <is>
          <t>Uso Exclusivamente Industrial (Formulação)</t>
        </is>
      </c>
      <c r="F4423" s="7" t="inlineStr">
        <is>
          <t>Não Aplicável (Proibido uso direto na lavoura)</t>
        </is>
      </c>
      <c r="G4423" s="7" t="inlineStr">
        <is>
          <t>Insumo Industrial</t>
        </is>
      </c>
      <c r="H4423" s="7" t="inlineStr">
        <is>
          <t>N/A</t>
        </is>
      </c>
      <c r="I4423" s="7" t="inlineStr">
        <is>
          <t>N/A</t>
        </is>
      </c>
      <c r="J4423" s="7" t="inlineStr">
        <is>
          <t>N/A (Insumo Industrial)</t>
        </is>
      </c>
    </row>
    <row r="4424" ht="22" customHeight="1">
      <c r="A4424" s="12" t="inlineStr">
        <is>
          <t>CUL-4420</t>
        </is>
      </c>
      <c r="B4424" s="11" t="n">
        <v>895</v>
      </c>
      <c r="C4424" s="13" t="inlineStr">
        <is>
          <t>Nº 17824</t>
        </is>
      </c>
      <c r="D4424" s="14" t="inlineStr">
        <is>
          <t>NUF150F400</t>
        </is>
      </c>
      <c r="E4424" s="13" t="inlineStr">
        <is>
          <t>Pulverização Agrícola Conforme Bula</t>
        </is>
      </c>
      <c r="F4424" s="13" t="inlineStr">
        <is>
          <t>Soja</t>
        </is>
      </c>
      <c r="G4424" s="13" t="inlineStr">
        <is>
          <t>Cultura Autorizada na Bula</t>
        </is>
      </c>
      <c r="H4424" s="13" t="inlineStr">
        <is>
          <t>100 a 300 L/ha</t>
        </is>
      </c>
      <c r="I4424" s="13" t="inlineStr">
        <is>
          <t>20 a 40 L/ha</t>
        </is>
      </c>
      <c r="J4424" s="13" t="inlineStr">
        <is>
          <t>60 dias</t>
        </is>
      </c>
    </row>
    <row r="4425" ht="22" customHeight="1">
      <c r="A4425" s="6" t="inlineStr">
        <is>
          <t>CUL-4421</t>
        </is>
      </c>
      <c r="B4425" s="5" t="n">
        <v>895</v>
      </c>
      <c r="C4425" s="7" t="inlineStr">
        <is>
          <t>Nº 17824</t>
        </is>
      </c>
      <c r="D4425" s="8" t="inlineStr">
        <is>
          <t>NUF150F400</t>
        </is>
      </c>
      <c r="E4425" s="7" t="inlineStr">
        <is>
          <t>Pulverização Agrícola Conforme Bula</t>
        </is>
      </c>
      <c r="F4425" s="7" t="inlineStr">
        <is>
          <t>Milho</t>
        </is>
      </c>
      <c r="G4425" s="7" t="inlineStr">
        <is>
          <t>Cultura Autorizada na Bula</t>
        </is>
      </c>
      <c r="H4425" s="7" t="inlineStr">
        <is>
          <t>100 a 300 L/ha</t>
        </is>
      </c>
      <c r="I4425" s="7" t="inlineStr">
        <is>
          <t>20 a 40 L/ha</t>
        </is>
      </c>
      <c r="J4425" s="7" t="inlineStr">
        <is>
          <t>45 dias</t>
        </is>
      </c>
    </row>
    <row r="4426" ht="22" customHeight="1">
      <c r="A4426" s="12" t="inlineStr">
        <is>
          <t>CUL-4422</t>
        </is>
      </c>
      <c r="B4426" s="11" t="n">
        <v>895</v>
      </c>
      <c r="C4426" s="13" t="inlineStr">
        <is>
          <t>Nº 17824</t>
        </is>
      </c>
      <c r="D4426" s="14" t="inlineStr">
        <is>
          <t>NUF150F400</t>
        </is>
      </c>
      <c r="E4426" s="13" t="inlineStr">
        <is>
          <t>Pulverização Agrícola Conforme Bula</t>
        </is>
      </c>
      <c r="F4426" s="13" t="inlineStr">
        <is>
          <t>Algodão</t>
        </is>
      </c>
      <c r="G4426" s="13" t="inlineStr">
        <is>
          <t>Cultura Autorizada na Bula</t>
        </is>
      </c>
      <c r="H4426" s="13" t="inlineStr">
        <is>
          <t>100 a 300 L/ha</t>
        </is>
      </c>
      <c r="I4426" s="13" t="inlineStr">
        <is>
          <t>20 a 40 L/ha</t>
        </is>
      </c>
      <c r="J4426" s="13" t="inlineStr">
        <is>
          <t>60 dias</t>
        </is>
      </c>
    </row>
    <row r="4427" ht="22" customHeight="1">
      <c r="A4427" s="6" t="inlineStr">
        <is>
          <t>CUL-4423</t>
        </is>
      </c>
      <c r="B4427" s="5" t="n">
        <v>895</v>
      </c>
      <c r="C4427" s="7" t="inlineStr">
        <is>
          <t>Nº 17824</t>
        </is>
      </c>
      <c r="D4427" s="8" t="inlineStr">
        <is>
          <t>NUF150F400</t>
        </is>
      </c>
      <c r="E4427" s="7" t="inlineStr">
        <is>
          <t>Pulverização Agrícola Conforme Bula</t>
        </is>
      </c>
      <c r="F4427" s="7" t="inlineStr">
        <is>
          <t>Cana-de-açúcar</t>
        </is>
      </c>
      <c r="G4427" s="7" t="inlineStr">
        <is>
          <t>Cultura Autorizada na Bula</t>
        </is>
      </c>
      <c r="H4427" s="7" t="inlineStr">
        <is>
          <t>100 a 300 L/ha</t>
        </is>
      </c>
      <c r="I4427" s="7" t="inlineStr">
        <is>
          <t>20 a 40 L/ha</t>
        </is>
      </c>
      <c r="J4427" s="7" t="inlineStr">
        <is>
          <t>90 dias</t>
        </is>
      </c>
    </row>
    <row r="4428" ht="22" customHeight="1">
      <c r="A4428" s="12" t="inlineStr">
        <is>
          <t>CUL-4424</t>
        </is>
      </c>
      <c r="B4428" s="11" t="n">
        <v>896</v>
      </c>
      <c r="C4428" s="13" t="inlineStr">
        <is>
          <t>VINC-17824</t>
        </is>
      </c>
      <c r="D4428" s="14" t="inlineStr">
        <is>
          <t>Triclopir-Butotílico Técnico Sumitomo</t>
        </is>
      </c>
      <c r="E4428" s="13" t="inlineStr">
        <is>
          <t>Uso Exclusivamente Industrial (Formulação)</t>
        </is>
      </c>
      <c r="F4428" s="13" t="inlineStr">
        <is>
          <t>Não Aplicável (Proibido uso direto na lavoura)</t>
        </is>
      </c>
      <c r="G4428" s="13" t="inlineStr">
        <is>
          <t>Insumo Industrial</t>
        </is>
      </c>
      <c r="H4428" s="13" t="inlineStr">
        <is>
          <t>N/A</t>
        </is>
      </c>
      <c r="I4428" s="13" t="inlineStr">
        <is>
          <t>N/A</t>
        </is>
      </c>
      <c r="J4428" s="13" t="inlineStr">
        <is>
          <t>N/A (Insumo Industrial)</t>
        </is>
      </c>
    </row>
    <row r="4429" ht="22" customHeight="1">
      <c r="A4429" s="6" t="inlineStr">
        <is>
          <t>CUL-4425</t>
        </is>
      </c>
      <c r="B4429" s="5" t="n">
        <v>897</v>
      </c>
      <c r="C4429" s="7" t="inlineStr">
        <is>
          <t>Nº 17924</t>
        </is>
      </c>
      <c r="D4429" s="8" t="inlineStr">
        <is>
          <t>CIFRÃO</t>
        </is>
      </c>
      <c r="E4429" s="7" t="inlineStr">
        <is>
          <t>Pulverização Agrícola Conforme Bula</t>
        </is>
      </c>
      <c r="F4429" s="7" t="inlineStr">
        <is>
          <t>Soja</t>
        </is>
      </c>
      <c r="G4429" s="7" t="inlineStr">
        <is>
          <t>Cultura Autorizada na Bula</t>
        </is>
      </c>
      <c r="H4429" s="7" t="inlineStr">
        <is>
          <t>100 a 300 L/ha</t>
        </is>
      </c>
      <c r="I4429" s="7" t="inlineStr">
        <is>
          <t>20 a 40 L/ha</t>
        </is>
      </c>
      <c r="J4429" s="7" t="inlineStr">
        <is>
          <t>21 dias</t>
        </is>
      </c>
    </row>
    <row r="4430" ht="22" customHeight="1">
      <c r="A4430" s="12" t="inlineStr">
        <is>
          <t>CUL-4426</t>
        </is>
      </c>
      <c r="B4430" s="11" t="n">
        <v>897</v>
      </c>
      <c r="C4430" s="13" t="inlineStr">
        <is>
          <t>Nº 17924</t>
        </is>
      </c>
      <c r="D4430" s="14" t="inlineStr">
        <is>
          <t>CIFRÃO</t>
        </is>
      </c>
      <c r="E4430" s="13" t="inlineStr">
        <is>
          <t>Pulverização Agrícola Conforme Bula</t>
        </is>
      </c>
      <c r="F4430" s="13" t="inlineStr">
        <is>
          <t>Milho</t>
        </is>
      </c>
      <c r="G4430" s="13" t="inlineStr">
        <is>
          <t>Cultura Autorizada na Bula</t>
        </is>
      </c>
      <c r="H4430" s="13" t="inlineStr">
        <is>
          <t>100 a 300 L/ha</t>
        </is>
      </c>
      <c r="I4430" s="13" t="inlineStr">
        <is>
          <t>20 a 40 L/ha</t>
        </is>
      </c>
      <c r="J4430" s="13" t="inlineStr">
        <is>
          <t>21 dias</t>
        </is>
      </c>
    </row>
    <row r="4431" ht="22" customHeight="1">
      <c r="A4431" s="6" t="inlineStr">
        <is>
          <t>CUL-4427</t>
        </is>
      </c>
      <c r="B4431" s="5" t="n">
        <v>897</v>
      </c>
      <c r="C4431" s="7" t="inlineStr">
        <is>
          <t>Nº 17924</t>
        </is>
      </c>
      <c r="D4431" s="8" t="inlineStr">
        <is>
          <t>CIFRÃO</t>
        </is>
      </c>
      <c r="E4431" s="7" t="inlineStr">
        <is>
          <t>Pulverização Agrícola Conforme Bula</t>
        </is>
      </c>
      <c r="F4431" s="7" t="inlineStr">
        <is>
          <t>Algodão</t>
        </is>
      </c>
      <c r="G4431" s="7" t="inlineStr">
        <is>
          <t>Cultura Autorizada na Bula</t>
        </is>
      </c>
      <c r="H4431" s="7" t="inlineStr">
        <is>
          <t>100 a 300 L/ha</t>
        </is>
      </c>
      <c r="I4431" s="7" t="inlineStr">
        <is>
          <t>20 a 40 L/ha</t>
        </is>
      </c>
      <c r="J4431" s="7" t="inlineStr">
        <is>
          <t>21 dias</t>
        </is>
      </c>
    </row>
    <row r="4432" ht="22" customHeight="1">
      <c r="A4432" s="12" t="inlineStr">
        <is>
          <t>CUL-4428</t>
        </is>
      </c>
      <c r="B4432" s="11" t="n">
        <v>897</v>
      </c>
      <c r="C4432" s="13" t="inlineStr">
        <is>
          <t>Nº 17924</t>
        </is>
      </c>
      <c r="D4432" s="14" t="inlineStr">
        <is>
          <t>CIFRÃO</t>
        </is>
      </c>
      <c r="E4432" s="13" t="inlineStr">
        <is>
          <t>Pulverização Agrícola Conforme Bula</t>
        </is>
      </c>
      <c r="F4432" s="13" t="inlineStr">
        <is>
          <t>Feijão</t>
        </is>
      </c>
      <c r="G4432" s="13" t="inlineStr">
        <is>
          <t>Cultura Autorizada na Bula</t>
        </is>
      </c>
      <c r="H4432" s="13" t="inlineStr">
        <is>
          <t>100 a 300 L/ha</t>
        </is>
      </c>
      <c r="I4432" s="13" t="inlineStr">
        <is>
          <t>20 a 40 L/ha</t>
        </is>
      </c>
      <c r="J4432" s="13" t="inlineStr">
        <is>
          <t>14 dias</t>
        </is>
      </c>
    </row>
    <row r="4433" ht="22" customHeight="1">
      <c r="A4433" s="6" t="inlineStr">
        <is>
          <t>CUL-4429</t>
        </is>
      </c>
      <c r="B4433" s="5" t="n">
        <v>898</v>
      </c>
      <c r="C4433" s="7" t="inlineStr">
        <is>
          <t>VINC-17924</t>
        </is>
      </c>
      <c r="D4433" s="8" t="inlineStr">
        <is>
          <t>Imidacloprid 97 Técnico Helm</t>
        </is>
      </c>
      <c r="E4433" s="7" t="inlineStr">
        <is>
          <t>Uso Exclusivamente Industrial (Formulação)</t>
        </is>
      </c>
      <c r="F4433" s="7" t="inlineStr">
        <is>
          <t>Não Aplicável (Proibido uso direto na lavoura)</t>
        </is>
      </c>
      <c r="G4433" s="7" t="inlineStr">
        <is>
          <t>Insumo Industrial</t>
        </is>
      </c>
      <c r="H4433" s="7" t="inlineStr">
        <is>
          <t>N/A</t>
        </is>
      </c>
      <c r="I4433" s="7" t="inlineStr">
        <is>
          <t>N/A</t>
        </is>
      </c>
      <c r="J4433" s="7" t="inlineStr">
        <is>
          <t>N/A (Insumo Industrial)</t>
        </is>
      </c>
    </row>
    <row r="4434" ht="22" customHeight="1">
      <c r="A4434" s="12" t="inlineStr">
        <is>
          <t>CUL-4430</t>
        </is>
      </c>
      <c r="B4434" s="11" t="n">
        <v>899</v>
      </c>
      <c r="C4434" s="13" t="inlineStr">
        <is>
          <t>Nº 18024</t>
        </is>
      </c>
      <c r="D4434" s="14" t="inlineStr">
        <is>
          <t>P&amp;D 149 B</t>
        </is>
      </c>
      <c r="E4434" s="13" t="inlineStr">
        <is>
          <t>Pulverização Agrícola Conforme Bula</t>
        </is>
      </c>
      <c r="F4434" s="13" t="inlineStr">
        <is>
          <t>Todas as Culturas (Alvo Biológico Autorizado MAPA)</t>
        </is>
      </c>
      <c r="G4434" s="13" t="inlineStr">
        <is>
          <t>Cultura Autorizada na Bula</t>
        </is>
      </c>
      <c r="H4434" s="13" t="inlineStr">
        <is>
          <t>100 a 300 L/ha</t>
        </is>
      </c>
      <c r="I4434" s="13" t="inlineStr">
        <is>
          <t>20 a 40 L/ha</t>
        </is>
      </c>
      <c r="J4434" s="13" t="inlineStr">
        <is>
          <t>0 (Isento de Carência)</t>
        </is>
      </c>
    </row>
    <row r="4435" ht="22" customHeight="1">
      <c r="A4435" s="6" t="inlineStr">
        <is>
          <t>CUL-4431</t>
        </is>
      </c>
      <c r="B4435" s="5" t="n">
        <v>900</v>
      </c>
      <c r="C4435" s="7" t="inlineStr">
        <is>
          <t>Nº 18124</t>
        </is>
      </c>
      <c r="D4435" s="8" t="inlineStr">
        <is>
          <t>EVOLUT DUO</t>
        </is>
      </c>
      <c r="E4435" s="7" t="inlineStr">
        <is>
          <t>Pulverização Agrícola Conforme Bula</t>
        </is>
      </c>
      <c r="F4435" s="7" t="inlineStr">
        <is>
          <t>Todas as Culturas (Alvo Biológico Autorizado MAPA)</t>
        </is>
      </c>
      <c r="G4435" s="7" t="inlineStr">
        <is>
          <t>Cultura Autorizada na Bula</t>
        </is>
      </c>
      <c r="H4435" s="7" t="inlineStr">
        <is>
          <t>100 a 300 L/ha</t>
        </is>
      </c>
      <c r="I4435" s="7" t="inlineStr">
        <is>
          <t>20 a 40 L/ha</t>
        </is>
      </c>
      <c r="J4435" s="7" t="inlineStr">
        <is>
          <t>0 (Isento de Carência)</t>
        </is>
      </c>
    </row>
    <row r="4436" ht="22" customHeight="1">
      <c r="A4436" s="12" t="inlineStr">
        <is>
          <t>CUL-4432</t>
        </is>
      </c>
      <c r="B4436" s="11" t="n">
        <v>901</v>
      </c>
      <c r="C4436" s="13" t="inlineStr">
        <is>
          <t>Nº 18224</t>
        </is>
      </c>
      <c r="D4436" s="14" t="inlineStr">
        <is>
          <t>FUNGUS HIZIUM</t>
        </is>
      </c>
      <c r="E4436" s="13" t="inlineStr">
        <is>
          <t>Pulverização Agrícola Conforme Bula</t>
        </is>
      </c>
      <c r="F4436" s="13" t="inlineStr">
        <is>
          <t>Soja</t>
        </is>
      </c>
      <c r="G4436" s="13" t="inlineStr">
        <is>
          <t>Cultura Autorizada na Bula</t>
        </is>
      </c>
      <c r="H4436" s="13" t="inlineStr">
        <is>
          <t>100 a 300 L/ha</t>
        </is>
      </c>
      <c r="I4436" s="13" t="inlineStr">
        <is>
          <t>20 a 40 L/ha</t>
        </is>
      </c>
      <c r="J4436" s="13" t="inlineStr">
        <is>
          <t>21 dias</t>
        </is>
      </c>
    </row>
    <row r="4437" ht="22" customHeight="1">
      <c r="A4437" s="6" t="inlineStr">
        <is>
          <t>CUL-4433</t>
        </is>
      </c>
      <c r="B4437" s="5" t="n">
        <v>901</v>
      </c>
      <c r="C4437" s="7" t="inlineStr">
        <is>
          <t>Nº 18224</t>
        </is>
      </c>
      <c r="D4437" s="8" t="inlineStr">
        <is>
          <t>FUNGUS HIZIUM</t>
        </is>
      </c>
      <c r="E4437" s="7" t="inlineStr">
        <is>
          <t>Pulverização Agrícola Conforme Bula</t>
        </is>
      </c>
      <c r="F4437" s="7" t="inlineStr">
        <is>
          <t>Milho</t>
        </is>
      </c>
      <c r="G4437" s="7" t="inlineStr">
        <is>
          <t>Cultura Autorizada na Bula</t>
        </is>
      </c>
      <c r="H4437" s="7" t="inlineStr">
        <is>
          <t>100 a 300 L/ha</t>
        </is>
      </c>
      <c r="I4437" s="7" t="inlineStr">
        <is>
          <t>20 a 40 L/ha</t>
        </is>
      </c>
      <c r="J4437" s="7" t="inlineStr">
        <is>
          <t>21 dias</t>
        </is>
      </c>
    </row>
    <row r="4438" ht="22" customHeight="1">
      <c r="A4438" s="12" t="inlineStr">
        <is>
          <t>CUL-4434</t>
        </is>
      </c>
      <c r="B4438" s="11" t="n">
        <v>901</v>
      </c>
      <c r="C4438" s="13" t="inlineStr">
        <is>
          <t>Nº 18224</t>
        </is>
      </c>
      <c r="D4438" s="14" t="inlineStr">
        <is>
          <t>FUNGUS HIZIUM</t>
        </is>
      </c>
      <c r="E4438" s="13" t="inlineStr">
        <is>
          <t>Pulverização Agrícola Conforme Bula</t>
        </is>
      </c>
      <c r="F4438" s="13" t="inlineStr">
        <is>
          <t>Algodão</t>
        </is>
      </c>
      <c r="G4438" s="13" t="inlineStr">
        <is>
          <t>Cultura Autorizada na Bula</t>
        </is>
      </c>
      <c r="H4438" s="13" t="inlineStr">
        <is>
          <t>100 a 300 L/ha</t>
        </is>
      </c>
      <c r="I4438" s="13" t="inlineStr">
        <is>
          <t>20 a 40 L/ha</t>
        </is>
      </c>
      <c r="J4438" s="13" t="inlineStr">
        <is>
          <t>21 dias</t>
        </is>
      </c>
    </row>
    <row r="4439" ht="22" customHeight="1">
      <c r="A4439" s="6" t="inlineStr">
        <is>
          <t>CUL-4435</t>
        </is>
      </c>
      <c r="B4439" s="5" t="n">
        <v>901</v>
      </c>
      <c r="C4439" s="7" t="inlineStr">
        <is>
          <t>Nº 18224</t>
        </is>
      </c>
      <c r="D4439" s="8" t="inlineStr">
        <is>
          <t>FUNGUS HIZIUM</t>
        </is>
      </c>
      <c r="E4439" s="7" t="inlineStr">
        <is>
          <t>Pulverização Agrícola Conforme Bula</t>
        </is>
      </c>
      <c r="F4439" s="7" t="inlineStr">
        <is>
          <t>Feijão</t>
        </is>
      </c>
      <c r="G4439" s="7" t="inlineStr">
        <is>
          <t>Cultura Autorizada na Bula</t>
        </is>
      </c>
      <c r="H4439" s="7" t="inlineStr">
        <is>
          <t>100 a 300 L/ha</t>
        </is>
      </c>
      <c r="I4439" s="7" t="inlineStr">
        <is>
          <t>20 a 40 L/ha</t>
        </is>
      </c>
      <c r="J4439" s="7" t="inlineStr">
        <is>
          <t>14 dias</t>
        </is>
      </c>
    </row>
    <row r="4440" ht="22" customHeight="1">
      <c r="A4440" s="12" t="inlineStr">
        <is>
          <t>CUL-4436</t>
        </is>
      </c>
      <c r="B4440" s="11" t="n">
        <v>902</v>
      </c>
      <c r="C4440" s="13" t="inlineStr">
        <is>
          <t>Nº 18324</t>
        </is>
      </c>
      <c r="D4440" s="14" t="inlineStr">
        <is>
          <t>GLÁDIOS</t>
        </is>
      </c>
      <c r="E4440" s="13" t="inlineStr">
        <is>
          <t>Pulverização Agrícola Conforme Bula</t>
        </is>
      </c>
      <c r="F4440" s="13" t="inlineStr">
        <is>
          <t>Soja</t>
        </is>
      </c>
      <c r="G4440" s="13" t="inlineStr">
        <is>
          <t>Cultura Autorizada na Bula</t>
        </is>
      </c>
      <c r="H4440" s="13" t="inlineStr">
        <is>
          <t>100 a 300 L/ha</t>
        </is>
      </c>
      <c r="I4440" s="13" t="inlineStr">
        <is>
          <t>20 a 40 L/ha</t>
        </is>
      </c>
      <c r="J4440" s="13" t="inlineStr">
        <is>
          <t>21 dias</t>
        </is>
      </c>
    </row>
    <row r="4441" ht="22" customHeight="1">
      <c r="A4441" s="6" t="inlineStr">
        <is>
          <t>CUL-4437</t>
        </is>
      </c>
      <c r="B4441" s="5" t="n">
        <v>902</v>
      </c>
      <c r="C4441" s="7" t="inlineStr">
        <is>
          <t>Nº 18324</t>
        </is>
      </c>
      <c r="D4441" s="8" t="inlineStr">
        <is>
          <t>GLÁDIOS</t>
        </is>
      </c>
      <c r="E4441" s="7" t="inlineStr">
        <is>
          <t>Pulverização Agrícola Conforme Bula</t>
        </is>
      </c>
      <c r="F4441" s="7" t="inlineStr">
        <is>
          <t>Milho</t>
        </is>
      </c>
      <c r="G4441" s="7" t="inlineStr">
        <is>
          <t>Cultura Autorizada na Bula</t>
        </is>
      </c>
      <c r="H4441" s="7" t="inlineStr">
        <is>
          <t>100 a 300 L/ha</t>
        </is>
      </c>
      <c r="I4441" s="7" t="inlineStr">
        <is>
          <t>20 a 40 L/ha</t>
        </is>
      </c>
      <c r="J4441" s="7" t="inlineStr">
        <is>
          <t>21 dias</t>
        </is>
      </c>
    </row>
    <row r="4442" ht="22" customHeight="1">
      <c r="A4442" s="12" t="inlineStr">
        <is>
          <t>CUL-4438</t>
        </is>
      </c>
      <c r="B4442" s="11" t="n">
        <v>902</v>
      </c>
      <c r="C4442" s="13" t="inlineStr">
        <is>
          <t>Nº 18324</t>
        </is>
      </c>
      <c r="D4442" s="14" t="inlineStr">
        <is>
          <t>GLÁDIOS</t>
        </is>
      </c>
      <c r="E4442" s="13" t="inlineStr">
        <is>
          <t>Pulverização Agrícola Conforme Bula</t>
        </is>
      </c>
      <c r="F4442" s="13" t="inlineStr">
        <is>
          <t>Algodão</t>
        </is>
      </c>
      <c r="G4442" s="13" t="inlineStr">
        <is>
          <t>Cultura Autorizada na Bula</t>
        </is>
      </c>
      <c r="H4442" s="13" t="inlineStr">
        <is>
          <t>100 a 300 L/ha</t>
        </is>
      </c>
      <c r="I4442" s="13" t="inlineStr">
        <is>
          <t>20 a 40 L/ha</t>
        </is>
      </c>
      <c r="J4442" s="13" t="inlineStr">
        <is>
          <t>21 dias</t>
        </is>
      </c>
    </row>
    <row r="4443" ht="22" customHeight="1">
      <c r="A4443" s="6" t="inlineStr">
        <is>
          <t>CUL-4439</t>
        </is>
      </c>
      <c r="B4443" s="5" t="n">
        <v>902</v>
      </c>
      <c r="C4443" s="7" t="inlineStr">
        <is>
          <t>Nº 18324</t>
        </is>
      </c>
      <c r="D4443" s="8" t="inlineStr">
        <is>
          <t>GLÁDIOS</t>
        </is>
      </c>
      <c r="E4443" s="7" t="inlineStr">
        <is>
          <t>Pulverização Agrícola Conforme Bula</t>
        </is>
      </c>
      <c r="F4443" s="7" t="inlineStr">
        <is>
          <t>Feijão</t>
        </is>
      </c>
      <c r="G4443" s="7" t="inlineStr">
        <is>
          <t>Cultura Autorizada na Bula</t>
        </is>
      </c>
      <c r="H4443" s="7" t="inlineStr">
        <is>
          <t>100 a 300 L/ha</t>
        </is>
      </c>
      <c r="I4443" s="7" t="inlineStr">
        <is>
          <t>20 a 40 L/ha</t>
        </is>
      </c>
      <c r="J4443" s="7" t="inlineStr">
        <is>
          <t>14 dias</t>
        </is>
      </c>
    </row>
    <row r="4444" ht="22" customHeight="1">
      <c r="A4444" s="12" t="inlineStr">
        <is>
          <t>CUL-4440</t>
        </is>
      </c>
      <c r="B4444" s="11" t="n">
        <v>903</v>
      </c>
      <c r="C4444" s="13" t="inlineStr">
        <is>
          <t>Nº 18424</t>
        </is>
      </c>
      <c r="D4444" s="14" t="inlineStr">
        <is>
          <t>PHOSAL</t>
        </is>
      </c>
      <c r="E4444" s="13" t="inlineStr">
        <is>
          <t>Expurgo / Fumigação Hermética Pós-Colheita</t>
        </is>
      </c>
      <c r="F4444" s="13" t="inlineStr">
        <is>
          <t>Soja (Grãos Armazenados)</t>
        </is>
      </c>
      <c r="G4444" s="13" t="inlineStr">
        <is>
          <t>Pós-Colheita / Armazenamento</t>
        </is>
      </c>
      <c r="H4444" s="13" t="inlineStr">
        <is>
          <t>N/A (Pastilha Fumigante a Seco)</t>
        </is>
      </c>
      <c r="I4444" s="13" t="inlineStr">
        <is>
          <t>Proibida (Exclusivo Silos/Câmaras)</t>
        </is>
      </c>
      <c r="J4444" s="13" t="inlineStr">
        <is>
          <t>4 a 15 dias (Período de Exposição + Aeração)</t>
        </is>
      </c>
    </row>
    <row r="4445" ht="22" customHeight="1">
      <c r="A4445" s="6" t="inlineStr">
        <is>
          <t>CUL-4441</t>
        </is>
      </c>
      <c r="B4445" s="5" t="n">
        <v>903</v>
      </c>
      <c r="C4445" s="7" t="inlineStr">
        <is>
          <t>Nº 18424</t>
        </is>
      </c>
      <c r="D4445" s="8" t="inlineStr">
        <is>
          <t>PHOSAL</t>
        </is>
      </c>
      <c r="E4445" s="7" t="inlineStr">
        <is>
          <t>Expurgo / Fumigação Hermética Pós-Colheita</t>
        </is>
      </c>
      <c r="F4445" s="7" t="inlineStr">
        <is>
          <t>Milho (Grãos Armazenados)</t>
        </is>
      </c>
      <c r="G4445" s="7" t="inlineStr">
        <is>
          <t>Pós-Colheita / Armazenamento</t>
        </is>
      </c>
      <c r="H4445" s="7" t="inlineStr">
        <is>
          <t>N/A (Pastilha Fumigante a Seco)</t>
        </is>
      </c>
      <c r="I4445" s="7" t="inlineStr">
        <is>
          <t>Proibida (Exclusivo Silos/Câmaras)</t>
        </is>
      </c>
      <c r="J4445" s="7" t="inlineStr">
        <is>
          <t>4 a 15 dias (Período de Exposição + Aeração)</t>
        </is>
      </c>
    </row>
    <row r="4446" ht="22" customHeight="1">
      <c r="A4446" s="12" t="inlineStr">
        <is>
          <t>CUL-4442</t>
        </is>
      </c>
      <c r="B4446" s="11" t="n">
        <v>903</v>
      </c>
      <c r="C4446" s="13" t="inlineStr">
        <is>
          <t>Nº 18424</t>
        </is>
      </c>
      <c r="D4446" s="14" t="inlineStr">
        <is>
          <t>PHOSAL</t>
        </is>
      </c>
      <c r="E4446" s="13" t="inlineStr">
        <is>
          <t>Expurgo / Fumigação Hermética Pós-Colheita</t>
        </is>
      </c>
      <c r="F4446" s="13" t="inlineStr">
        <is>
          <t>Trigo (Grãos Armazenados)</t>
        </is>
      </c>
      <c r="G4446" s="13" t="inlineStr">
        <is>
          <t>Pós-Colheita / Armazenamento</t>
        </is>
      </c>
      <c r="H4446" s="13" t="inlineStr">
        <is>
          <t>N/A (Pastilha Fumigante a Seco)</t>
        </is>
      </c>
      <c r="I4446" s="13" t="inlineStr">
        <is>
          <t>Proibida (Exclusivo Silos/Câmaras)</t>
        </is>
      </c>
      <c r="J4446" s="13" t="inlineStr">
        <is>
          <t>4 a 15 dias (Período de Exposição + Aeração)</t>
        </is>
      </c>
    </row>
    <row r="4447" ht="22" customHeight="1">
      <c r="A4447" s="6" t="inlineStr">
        <is>
          <t>CUL-4443</t>
        </is>
      </c>
      <c r="B4447" s="5" t="n">
        <v>903</v>
      </c>
      <c r="C4447" s="7" t="inlineStr">
        <is>
          <t>Nº 18424</t>
        </is>
      </c>
      <c r="D4447" s="8" t="inlineStr">
        <is>
          <t>PHOSAL</t>
        </is>
      </c>
      <c r="E4447" s="7" t="inlineStr">
        <is>
          <t>Expurgo / Fumigação Hermética Pós-Colheita</t>
        </is>
      </c>
      <c r="F4447" s="7" t="inlineStr">
        <is>
          <t>Arroz (Grãos Armazenados)</t>
        </is>
      </c>
      <c r="G4447" s="7" t="inlineStr">
        <is>
          <t>Pós-Colheita / Armazenamento</t>
        </is>
      </c>
      <c r="H4447" s="7" t="inlineStr">
        <is>
          <t>N/A (Pastilha Fumigante a Seco)</t>
        </is>
      </c>
      <c r="I4447" s="7" t="inlineStr">
        <is>
          <t>Proibida (Exclusivo Silos/Câmaras)</t>
        </is>
      </c>
      <c r="J4447" s="7" t="inlineStr">
        <is>
          <t>4 a 15 dias (Período de Exposição + Aeração)</t>
        </is>
      </c>
    </row>
    <row r="4448" ht="22" customHeight="1">
      <c r="A4448" s="12" t="inlineStr">
        <is>
          <t>CUL-4444</t>
        </is>
      </c>
      <c r="B4448" s="11" t="n">
        <v>903</v>
      </c>
      <c r="C4448" s="13" t="inlineStr">
        <is>
          <t>Nº 18424</t>
        </is>
      </c>
      <c r="D4448" s="14" t="inlineStr">
        <is>
          <t>PHOSAL</t>
        </is>
      </c>
      <c r="E4448" s="13" t="inlineStr">
        <is>
          <t>Expurgo / Fumigação Hermética Pós-Colheita</t>
        </is>
      </c>
      <c r="F4448" s="13" t="inlineStr">
        <is>
          <t>Café (Grãos Armazenados)</t>
        </is>
      </c>
      <c r="G4448" s="13" t="inlineStr">
        <is>
          <t>Pós-Colheita / Armazenamento</t>
        </is>
      </c>
      <c r="H4448" s="13" t="inlineStr">
        <is>
          <t>N/A (Pastilha Fumigante a Seco)</t>
        </is>
      </c>
      <c r="I4448" s="13" t="inlineStr">
        <is>
          <t>Proibida (Exclusivo Silos/Câmaras)</t>
        </is>
      </c>
      <c r="J4448" s="13" t="inlineStr">
        <is>
          <t>4 a 15 dias (Período de Exposição + Aeração)</t>
        </is>
      </c>
    </row>
    <row r="4449" ht="22" customHeight="1">
      <c r="A4449" s="6" t="inlineStr">
        <is>
          <t>CUL-4445</t>
        </is>
      </c>
      <c r="B4449" s="5" t="n">
        <v>903</v>
      </c>
      <c r="C4449" s="7" t="inlineStr">
        <is>
          <t>Nº 18424</t>
        </is>
      </c>
      <c r="D4449" s="8" t="inlineStr">
        <is>
          <t>PHOSAL</t>
        </is>
      </c>
      <c r="E4449" s="7" t="inlineStr">
        <is>
          <t>Expurgo / Fumigação Hermética Pós-Colheita</t>
        </is>
      </c>
      <c r="F4449" s="7" t="inlineStr">
        <is>
          <t>Feijão (Grãos Armazenados)</t>
        </is>
      </c>
      <c r="G4449" s="7" t="inlineStr">
        <is>
          <t>Pós-Colheita / Armazenamento</t>
        </is>
      </c>
      <c r="H4449" s="7" t="inlineStr">
        <is>
          <t>N/A (Pastilha Fumigante a Seco)</t>
        </is>
      </c>
      <c r="I4449" s="7" t="inlineStr">
        <is>
          <t>Proibida (Exclusivo Silos/Câmaras)</t>
        </is>
      </c>
      <c r="J4449" s="7" t="inlineStr">
        <is>
          <t>4 a 15 dias (Período de Exposição + Aeração)</t>
        </is>
      </c>
    </row>
    <row r="4450" ht="22" customHeight="1">
      <c r="A4450" s="12" t="inlineStr">
        <is>
          <t>CUL-4446</t>
        </is>
      </c>
      <c r="B4450" s="11" t="n">
        <v>904</v>
      </c>
      <c r="C4450" s="13" t="inlineStr">
        <is>
          <t>Nº 18524</t>
        </is>
      </c>
      <c r="D4450" s="14" t="inlineStr">
        <is>
          <t>BRADOOCK 72 WG BR</t>
        </is>
      </c>
      <c r="E4450" s="13" t="inlineStr">
        <is>
          <t>Pulverização Agrícola Conforme Bula</t>
        </is>
      </c>
      <c r="F4450" s="13" t="inlineStr">
        <is>
          <t>Soja</t>
        </is>
      </c>
      <c r="G4450" s="13" t="inlineStr">
        <is>
          <t>Cultura Autorizada na Bula</t>
        </is>
      </c>
      <c r="H4450" s="13" t="inlineStr">
        <is>
          <t>100 a 300 L/ha</t>
        </is>
      </c>
      <c r="I4450" s="13" t="inlineStr">
        <is>
          <t>20 a 40 L/ha</t>
        </is>
      </c>
      <c r="J4450" s="13" t="inlineStr">
        <is>
          <t>21 a 30 dias</t>
        </is>
      </c>
    </row>
    <row r="4451" ht="22" customHeight="1">
      <c r="A4451" s="6" t="inlineStr">
        <is>
          <t>CUL-4447</t>
        </is>
      </c>
      <c r="B4451" s="5" t="n">
        <v>904</v>
      </c>
      <c r="C4451" s="7" t="inlineStr">
        <is>
          <t>Nº 18524</t>
        </is>
      </c>
      <c r="D4451" s="8" t="inlineStr">
        <is>
          <t>BRADOOCK 72 WG BR</t>
        </is>
      </c>
      <c r="E4451" s="7" t="inlineStr">
        <is>
          <t>Pulverização Agrícola Conforme Bula</t>
        </is>
      </c>
      <c r="F4451" s="7" t="inlineStr">
        <is>
          <t>Milho</t>
        </is>
      </c>
      <c r="G4451" s="7" t="inlineStr">
        <is>
          <t>Cultura Autorizada na Bula</t>
        </is>
      </c>
      <c r="H4451" s="7" t="inlineStr">
        <is>
          <t>100 a 300 L/ha</t>
        </is>
      </c>
      <c r="I4451" s="7" t="inlineStr">
        <is>
          <t>20 a 40 L/ha</t>
        </is>
      </c>
      <c r="J4451" s="7" t="inlineStr">
        <is>
          <t>21 a 30 dias</t>
        </is>
      </c>
    </row>
    <row r="4452" ht="22" customHeight="1">
      <c r="A4452" s="12" t="inlineStr">
        <is>
          <t>CUL-4448</t>
        </is>
      </c>
      <c r="B4452" s="11" t="n">
        <v>904</v>
      </c>
      <c r="C4452" s="13" t="inlineStr">
        <is>
          <t>Nº 18524</t>
        </is>
      </c>
      <c r="D4452" s="14" t="inlineStr">
        <is>
          <t>BRADOOCK 72 WG BR</t>
        </is>
      </c>
      <c r="E4452" s="13" t="inlineStr">
        <is>
          <t>Pulverização Agrícola Conforme Bula</t>
        </is>
      </c>
      <c r="F4452" s="13" t="inlineStr">
        <is>
          <t>Algodão</t>
        </is>
      </c>
      <c r="G4452" s="13" t="inlineStr">
        <is>
          <t>Cultura Autorizada na Bula</t>
        </is>
      </c>
      <c r="H4452" s="13" t="inlineStr">
        <is>
          <t>100 a 300 L/ha</t>
        </is>
      </c>
      <c r="I4452" s="13" t="inlineStr">
        <is>
          <t>20 a 40 L/ha</t>
        </is>
      </c>
      <c r="J4452" s="13" t="inlineStr">
        <is>
          <t>21 a 30 dias</t>
        </is>
      </c>
    </row>
    <row r="4453" ht="22" customHeight="1">
      <c r="A4453" s="6" t="inlineStr">
        <is>
          <t>CUL-4449</t>
        </is>
      </c>
      <c r="B4453" s="5" t="n">
        <v>904</v>
      </c>
      <c r="C4453" s="7" t="inlineStr">
        <is>
          <t>Nº 18524</t>
        </is>
      </c>
      <c r="D4453" s="8" t="inlineStr">
        <is>
          <t>BRADOOCK 72 WG BR</t>
        </is>
      </c>
      <c r="E4453" s="7" t="inlineStr">
        <is>
          <t>Pulverização Agrícola Conforme Bula</t>
        </is>
      </c>
      <c r="F4453" s="7" t="inlineStr">
        <is>
          <t>Feijão</t>
        </is>
      </c>
      <c r="G4453" s="7" t="inlineStr">
        <is>
          <t>Cultura Autorizada na Bula</t>
        </is>
      </c>
      <c r="H4453" s="7" t="inlineStr">
        <is>
          <t>100 a 300 L/ha</t>
        </is>
      </c>
      <c r="I4453" s="7" t="inlineStr">
        <is>
          <t>20 a 40 L/ha</t>
        </is>
      </c>
      <c r="J4453" s="7" t="inlineStr">
        <is>
          <t>21 a 30 dias</t>
        </is>
      </c>
    </row>
    <row r="4454" ht="22" customHeight="1">
      <c r="A4454" s="12" t="inlineStr">
        <is>
          <t>CUL-4450</t>
        </is>
      </c>
      <c r="B4454" s="11" t="n">
        <v>904</v>
      </c>
      <c r="C4454" s="13" t="inlineStr">
        <is>
          <t>Nº 18524</t>
        </is>
      </c>
      <c r="D4454" s="14" t="inlineStr">
        <is>
          <t>BRADOOCK 72 WG BR</t>
        </is>
      </c>
      <c r="E4454" s="13" t="inlineStr">
        <is>
          <t>Pulverização Agrícola Conforme Bula</t>
        </is>
      </c>
      <c r="F4454" s="13" t="inlineStr">
        <is>
          <t>Trigo</t>
        </is>
      </c>
      <c r="G4454" s="13" t="inlineStr">
        <is>
          <t>Cultura Autorizada na Bula</t>
        </is>
      </c>
      <c r="H4454" s="13" t="inlineStr">
        <is>
          <t>100 a 300 L/ha</t>
        </is>
      </c>
      <c r="I4454" s="13" t="inlineStr">
        <is>
          <t>20 a 40 L/ha</t>
        </is>
      </c>
      <c r="J4454" s="13" t="inlineStr">
        <is>
          <t>21 a 30 dias</t>
        </is>
      </c>
    </row>
    <row r="4455" ht="22" customHeight="1">
      <c r="A4455" s="6" t="inlineStr">
        <is>
          <t>CUL-4451</t>
        </is>
      </c>
      <c r="B4455" s="5" t="n">
        <v>905</v>
      </c>
      <c r="C4455" s="7" t="inlineStr">
        <is>
          <t>VINC-18524</t>
        </is>
      </c>
      <c r="D4455" s="8" t="inlineStr">
        <is>
          <t>Glifosato Técnico Biorisk</t>
        </is>
      </c>
      <c r="E4455" s="7" t="inlineStr">
        <is>
          <t>Uso Exclusivamente Industrial (Formulação)</t>
        </is>
      </c>
      <c r="F4455" s="7" t="inlineStr">
        <is>
          <t>Não Aplicável (Proibido uso direto na lavoura)</t>
        </is>
      </c>
      <c r="G4455" s="7" t="inlineStr">
        <is>
          <t>Insumo Industrial</t>
        </is>
      </c>
      <c r="H4455" s="7" t="inlineStr">
        <is>
          <t>N/A</t>
        </is>
      </c>
      <c r="I4455" s="7" t="inlineStr">
        <is>
          <t>N/A</t>
        </is>
      </c>
      <c r="J4455" s="7" t="inlineStr">
        <is>
          <t>N/A (Insumo Industrial)</t>
        </is>
      </c>
    </row>
    <row r="4456" ht="22" customHeight="1">
      <c r="A4456" s="12" t="inlineStr">
        <is>
          <t>CUL-4452</t>
        </is>
      </c>
      <c r="B4456" s="11" t="n">
        <v>906</v>
      </c>
      <c r="C4456" s="13" t="inlineStr">
        <is>
          <t>Nº 18624</t>
        </is>
      </c>
      <c r="D4456" s="14" t="inlineStr">
        <is>
          <t>ORSA 400 EC</t>
        </is>
      </c>
      <c r="E4456" s="13" t="inlineStr">
        <is>
          <t>Pulverização Agrícola Conforme Bula</t>
        </is>
      </c>
      <c r="F4456" s="13" t="inlineStr">
        <is>
          <t>Algodão</t>
        </is>
      </c>
      <c r="G4456" s="13" t="inlineStr">
        <is>
          <t>Cultura Autorizada na Bula</t>
        </is>
      </c>
      <c r="H4456" s="13" t="inlineStr">
        <is>
          <t>100 a 300 L/ha</t>
        </is>
      </c>
      <c r="I4456" s="13" t="inlineStr">
        <is>
          <t>20 a 40 L/ha</t>
        </is>
      </c>
      <c r="J4456" s="13" t="inlineStr">
        <is>
          <t>15 dias</t>
        </is>
      </c>
    </row>
    <row r="4457" ht="22" customHeight="1">
      <c r="A4457" s="6" t="inlineStr">
        <is>
          <t>CUL-4453</t>
        </is>
      </c>
      <c r="B4457" s="5" t="n">
        <v>906</v>
      </c>
      <c r="C4457" s="7" t="inlineStr">
        <is>
          <t>Nº 18624</t>
        </is>
      </c>
      <c r="D4457" s="8" t="inlineStr">
        <is>
          <t>ORSA 400 EC</t>
        </is>
      </c>
      <c r="E4457" s="7" t="inlineStr">
        <is>
          <t>Pulverização Agrícola Conforme Bula</t>
        </is>
      </c>
      <c r="F4457" s="7" t="inlineStr">
        <is>
          <t>Soja</t>
        </is>
      </c>
      <c r="G4457" s="7" t="inlineStr">
        <is>
          <t>Cultura Autorizada na Bula</t>
        </is>
      </c>
      <c r="H4457" s="7" t="inlineStr">
        <is>
          <t>100 a 300 L/ha</t>
        </is>
      </c>
      <c r="I4457" s="7" t="inlineStr">
        <is>
          <t>20 a 40 L/ha</t>
        </is>
      </c>
      <c r="J4457" s="7" t="inlineStr">
        <is>
          <t>30 dias</t>
        </is>
      </c>
    </row>
    <row r="4458" ht="22" customHeight="1">
      <c r="A4458" s="12" t="inlineStr">
        <is>
          <t>CUL-4454</t>
        </is>
      </c>
      <c r="B4458" s="11" t="n">
        <v>906</v>
      </c>
      <c r="C4458" s="13" t="inlineStr">
        <is>
          <t>Nº 18624</t>
        </is>
      </c>
      <c r="D4458" s="14" t="inlineStr">
        <is>
          <t>ORSA 400 EC</t>
        </is>
      </c>
      <c r="E4458" s="13" t="inlineStr">
        <is>
          <t>Pulverização Agrícola Conforme Bula</t>
        </is>
      </c>
      <c r="F4458" s="13" t="inlineStr">
        <is>
          <t>Milho</t>
        </is>
      </c>
      <c r="G4458" s="13" t="inlineStr">
        <is>
          <t>Cultura Autorizada na Bula</t>
        </is>
      </c>
      <c r="H4458" s="13" t="inlineStr">
        <is>
          <t>100 a 300 L/ha</t>
        </is>
      </c>
      <c r="I4458" s="13" t="inlineStr">
        <is>
          <t>20 a 40 L/ha</t>
        </is>
      </c>
      <c r="J4458" s="13" t="inlineStr">
        <is>
          <t>30 dias</t>
        </is>
      </c>
    </row>
    <row r="4459" ht="22" customHeight="1">
      <c r="A4459" s="6" t="inlineStr">
        <is>
          <t>CUL-4455</t>
        </is>
      </c>
      <c r="B4459" s="5" t="n">
        <v>906</v>
      </c>
      <c r="C4459" s="7" t="inlineStr">
        <is>
          <t>Nº 18624</t>
        </is>
      </c>
      <c r="D4459" s="8" t="inlineStr">
        <is>
          <t>ORSA 400 EC</t>
        </is>
      </c>
      <c r="E4459" s="7" t="inlineStr">
        <is>
          <t>Pulverização Agrícola Conforme Bula</t>
        </is>
      </c>
      <c r="F4459" s="7" t="inlineStr">
        <is>
          <t>Cana-de-açúcar</t>
        </is>
      </c>
      <c r="G4459" s="7" t="inlineStr">
        <is>
          <t>Cultura Autorizada na Bula</t>
        </is>
      </c>
      <c r="H4459" s="7" t="inlineStr">
        <is>
          <t>100 a 300 L/ha</t>
        </is>
      </c>
      <c r="I4459" s="7" t="inlineStr">
        <is>
          <t>20 a 40 L/ha</t>
        </is>
      </c>
      <c r="J4459" s="7" t="inlineStr">
        <is>
          <t>30 dias</t>
        </is>
      </c>
    </row>
    <row r="4460" ht="22" customHeight="1">
      <c r="A4460" s="12" t="inlineStr">
        <is>
          <t>CUL-4456</t>
        </is>
      </c>
      <c r="B4460" s="11" t="n">
        <v>906</v>
      </c>
      <c r="C4460" s="13" t="inlineStr">
        <is>
          <t>Nº 18624</t>
        </is>
      </c>
      <c r="D4460" s="14" t="inlineStr">
        <is>
          <t>ORSA 400 EC</t>
        </is>
      </c>
      <c r="E4460" s="13" t="inlineStr">
        <is>
          <t>Pulverização Agrícola Conforme Bula</t>
        </is>
      </c>
      <c r="F4460" s="13" t="inlineStr">
        <is>
          <t>Café</t>
        </is>
      </c>
      <c r="G4460" s="13" t="inlineStr">
        <is>
          <t>Cultura Autorizada na Bula</t>
        </is>
      </c>
      <c r="H4460" s="13" t="inlineStr">
        <is>
          <t>100 a 300 L/ha</t>
        </is>
      </c>
      <c r="I4460" s="13" t="inlineStr">
        <is>
          <t>20 a 40 L/ha</t>
        </is>
      </c>
      <c r="J4460" s="13" t="inlineStr">
        <is>
          <t>30 dias</t>
        </is>
      </c>
    </row>
    <row r="4461" ht="22" customHeight="1">
      <c r="A4461" s="6" t="inlineStr">
        <is>
          <t>CUL-4457</t>
        </is>
      </c>
      <c r="B4461" s="5" t="n">
        <v>906</v>
      </c>
      <c r="C4461" s="7" t="inlineStr">
        <is>
          <t>Nº 18624</t>
        </is>
      </c>
      <c r="D4461" s="8" t="inlineStr">
        <is>
          <t>ORSA 400 EC</t>
        </is>
      </c>
      <c r="E4461" s="7" t="inlineStr">
        <is>
          <t>Pulverização Agrícola Conforme Bula</t>
        </is>
      </c>
      <c r="F4461" s="7" t="inlineStr">
        <is>
          <t>Citros</t>
        </is>
      </c>
      <c r="G4461" s="7" t="inlineStr">
        <is>
          <t>Cultura Autorizada na Bula</t>
        </is>
      </c>
      <c r="H4461" s="7" t="inlineStr">
        <is>
          <t>100 a 300 L/ha</t>
        </is>
      </c>
      <c r="I4461" s="7" t="inlineStr">
        <is>
          <t>20 a 40 L/ha</t>
        </is>
      </c>
      <c r="J4461" s="7" t="inlineStr">
        <is>
          <t>7 dias</t>
        </is>
      </c>
    </row>
    <row r="4462" ht="22" customHeight="1">
      <c r="A4462" s="12" t="inlineStr">
        <is>
          <t>CUL-4458</t>
        </is>
      </c>
      <c r="B4462" s="11" t="n">
        <v>906</v>
      </c>
      <c r="C4462" s="13" t="inlineStr">
        <is>
          <t>Nº 18624</t>
        </is>
      </c>
      <c r="D4462" s="14" t="inlineStr">
        <is>
          <t>ORSA 400 EC</t>
        </is>
      </c>
      <c r="E4462" s="13" t="inlineStr">
        <is>
          <t>Pulverização Agrícola Conforme Bula</t>
        </is>
      </c>
      <c r="F4462" s="13" t="inlineStr">
        <is>
          <t>Feijão</t>
        </is>
      </c>
      <c r="G4462" s="13" t="inlineStr">
        <is>
          <t>Cultura Autorizada na Bula</t>
        </is>
      </c>
      <c r="H4462" s="13" t="inlineStr">
        <is>
          <t>100 a 300 L/ha</t>
        </is>
      </c>
      <c r="I4462" s="13" t="inlineStr">
        <is>
          <t>20 a 40 L/ha</t>
        </is>
      </c>
      <c r="J4462" s="13" t="inlineStr">
        <is>
          <t>20 dias</t>
        </is>
      </c>
    </row>
    <row r="4463" ht="22" customHeight="1">
      <c r="A4463" s="6" t="inlineStr">
        <is>
          <t>CUL-4459</t>
        </is>
      </c>
      <c r="B4463" s="5" t="n">
        <v>906</v>
      </c>
      <c r="C4463" s="7" t="inlineStr">
        <is>
          <t>Nº 18624</t>
        </is>
      </c>
      <c r="D4463" s="8" t="inlineStr">
        <is>
          <t>ORSA 400 EC</t>
        </is>
      </c>
      <c r="E4463" s="7" t="inlineStr">
        <is>
          <t>Pulverização Agrícola Conforme Bula</t>
        </is>
      </c>
      <c r="F4463" s="7" t="inlineStr">
        <is>
          <t>Trigo</t>
        </is>
      </c>
      <c r="G4463" s="7" t="inlineStr">
        <is>
          <t>Cultura Autorizada na Bula</t>
        </is>
      </c>
      <c r="H4463" s="7" t="inlineStr">
        <is>
          <t>100 a 300 L/ha</t>
        </is>
      </c>
      <c r="I4463" s="7" t="inlineStr">
        <is>
          <t>20 a 40 L/ha</t>
        </is>
      </c>
      <c r="J4463" s="7" t="inlineStr">
        <is>
          <t>30 dias</t>
        </is>
      </c>
    </row>
    <row r="4464" ht="22" customHeight="1">
      <c r="A4464" s="12" t="inlineStr">
        <is>
          <t>CUL-4460</t>
        </is>
      </c>
      <c r="B4464" s="11" t="n">
        <v>907</v>
      </c>
      <c r="C4464" s="13" t="inlineStr">
        <is>
          <t>Nº 18624</t>
        </is>
      </c>
      <c r="D4464" s="14" t="inlineStr">
        <is>
          <t>BIFENTRINA 400 EC TECNOMYL</t>
        </is>
      </c>
      <c r="E4464" s="13" t="inlineStr">
        <is>
          <t>Pulverização Agrícola Conforme Bula</t>
        </is>
      </c>
      <c r="F4464" s="13" t="inlineStr">
        <is>
          <t>Algodão</t>
        </is>
      </c>
      <c r="G4464" s="13" t="inlineStr">
        <is>
          <t>Cultura Autorizada na Bula</t>
        </is>
      </c>
      <c r="H4464" s="13" t="inlineStr">
        <is>
          <t>100 a 300 L/ha</t>
        </is>
      </c>
      <c r="I4464" s="13" t="inlineStr">
        <is>
          <t>20 a 40 L/ha</t>
        </is>
      </c>
      <c r="J4464" s="13" t="inlineStr">
        <is>
          <t>15 dias</t>
        </is>
      </c>
    </row>
    <row r="4465" ht="22" customHeight="1">
      <c r="A4465" s="6" t="inlineStr">
        <is>
          <t>CUL-4461</t>
        </is>
      </c>
      <c r="B4465" s="5" t="n">
        <v>907</v>
      </c>
      <c r="C4465" s="7" t="inlineStr">
        <is>
          <t>Nº 18624</t>
        </is>
      </c>
      <c r="D4465" s="8" t="inlineStr">
        <is>
          <t>BIFENTRINA 400 EC TECNOMYL</t>
        </is>
      </c>
      <c r="E4465" s="7" t="inlineStr">
        <is>
          <t>Pulverização Agrícola Conforme Bula</t>
        </is>
      </c>
      <c r="F4465" s="7" t="inlineStr">
        <is>
          <t>Soja</t>
        </is>
      </c>
      <c r="G4465" s="7" t="inlineStr">
        <is>
          <t>Cultura Autorizada na Bula</t>
        </is>
      </c>
      <c r="H4465" s="7" t="inlineStr">
        <is>
          <t>100 a 300 L/ha</t>
        </is>
      </c>
      <c r="I4465" s="7" t="inlineStr">
        <is>
          <t>20 a 40 L/ha</t>
        </is>
      </c>
      <c r="J4465" s="7" t="inlineStr">
        <is>
          <t>30 dias</t>
        </is>
      </c>
    </row>
    <row r="4466" ht="22" customHeight="1">
      <c r="A4466" s="12" t="inlineStr">
        <is>
          <t>CUL-4462</t>
        </is>
      </c>
      <c r="B4466" s="11" t="n">
        <v>907</v>
      </c>
      <c r="C4466" s="13" t="inlineStr">
        <is>
          <t>Nº 18624</t>
        </is>
      </c>
      <c r="D4466" s="14" t="inlineStr">
        <is>
          <t>BIFENTRINA 400 EC TECNOMYL</t>
        </is>
      </c>
      <c r="E4466" s="13" t="inlineStr">
        <is>
          <t>Pulverização Agrícola Conforme Bula</t>
        </is>
      </c>
      <c r="F4466" s="13" t="inlineStr">
        <is>
          <t>Milho</t>
        </is>
      </c>
      <c r="G4466" s="13" t="inlineStr">
        <is>
          <t>Cultura Autorizada na Bula</t>
        </is>
      </c>
      <c r="H4466" s="13" t="inlineStr">
        <is>
          <t>100 a 300 L/ha</t>
        </is>
      </c>
      <c r="I4466" s="13" t="inlineStr">
        <is>
          <t>20 a 40 L/ha</t>
        </is>
      </c>
      <c r="J4466" s="13" t="inlineStr">
        <is>
          <t>30 dias</t>
        </is>
      </c>
    </row>
    <row r="4467" ht="22" customHeight="1">
      <c r="A4467" s="6" t="inlineStr">
        <is>
          <t>CUL-4463</t>
        </is>
      </c>
      <c r="B4467" s="5" t="n">
        <v>907</v>
      </c>
      <c r="C4467" s="7" t="inlineStr">
        <is>
          <t>Nº 18624</t>
        </is>
      </c>
      <c r="D4467" s="8" t="inlineStr">
        <is>
          <t>BIFENTRINA 400 EC TECNOMYL</t>
        </is>
      </c>
      <c r="E4467" s="7" t="inlineStr">
        <is>
          <t>Pulverização Agrícola Conforme Bula</t>
        </is>
      </c>
      <c r="F4467" s="7" t="inlineStr">
        <is>
          <t>Cana-de-açúcar</t>
        </is>
      </c>
      <c r="G4467" s="7" t="inlineStr">
        <is>
          <t>Cultura Autorizada na Bula</t>
        </is>
      </c>
      <c r="H4467" s="7" t="inlineStr">
        <is>
          <t>100 a 300 L/ha</t>
        </is>
      </c>
      <c r="I4467" s="7" t="inlineStr">
        <is>
          <t>20 a 40 L/ha</t>
        </is>
      </c>
      <c r="J4467" s="7" t="inlineStr">
        <is>
          <t>30 dias</t>
        </is>
      </c>
    </row>
    <row r="4468" ht="22" customHeight="1">
      <c r="A4468" s="12" t="inlineStr">
        <is>
          <t>CUL-4464</t>
        </is>
      </c>
      <c r="B4468" s="11" t="n">
        <v>907</v>
      </c>
      <c r="C4468" s="13" t="inlineStr">
        <is>
          <t>Nº 18624</t>
        </is>
      </c>
      <c r="D4468" s="14" t="inlineStr">
        <is>
          <t>BIFENTRINA 400 EC TECNOMYL</t>
        </is>
      </c>
      <c r="E4468" s="13" t="inlineStr">
        <is>
          <t>Pulverização Agrícola Conforme Bula</t>
        </is>
      </c>
      <c r="F4468" s="13" t="inlineStr">
        <is>
          <t>Café</t>
        </is>
      </c>
      <c r="G4468" s="13" t="inlineStr">
        <is>
          <t>Cultura Autorizada na Bula</t>
        </is>
      </c>
      <c r="H4468" s="13" t="inlineStr">
        <is>
          <t>100 a 300 L/ha</t>
        </is>
      </c>
      <c r="I4468" s="13" t="inlineStr">
        <is>
          <t>20 a 40 L/ha</t>
        </is>
      </c>
      <c r="J4468" s="13" t="inlineStr">
        <is>
          <t>30 dias</t>
        </is>
      </c>
    </row>
    <row r="4469" ht="22" customHeight="1">
      <c r="A4469" s="6" t="inlineStr">
        <is>
          <t>CUL-4465</t>
        </is>
      </c>
      <c r="B4469" s="5" t="n">
        <v>907</v>
      </c>
      <c r="C4469" s="7" t="inlineStr">
        <is>
          <t>Nº 18624</t>
        </is>
      </c>
      <c r="D4469" s="8" t="inlineStr">
        <is>
          <t>BIFENTRINA 400 EC TECNOMYL</t>
        </is>
      </c>
      <c r="E4469" s="7" t="inlineStr">
        <is>
          <t>Pulverização Agrícola Conforme Bula</t>
        </is>
      </c>
      <c r="F4469" s="7" t="inlineStr">
        <is>
          <t>Citros</t>
        </is>
      </c>
      <c r="G4469" s="7" t="inlineStr">
        <is>
          <t>Cultura Autorizada na Bula</t>
        </is>
      </c>
      <c r="H4469" s="7" t="inlineStr">
        <is>
          <t>100 a 300 L/ha</t>
        </is>
      </c>
      <c r="I4469" s="7" t="inlineStr">
        <is>
          <t>20 a 40 L/ha</t>
        </is>
      </c>
      <c r="J4469" s="7" t="inlineStr">
        <is>
          <t>7 dias</t>
        </is>
      </c>
    </row>
    <row r="4470" ht="22" customHeight="1">
      <c r="A4470" s="12" t="inlineStr">
        <is>
          <t>CUL-4466</t>
        </is>
      </c>
      <c r="B4470" s="11" t="n">
        <v>907</v>
      </c>
      <c r="C4470" s="13" t="inlineStr">
        <is>
          <t>Nº 18624</t>
        </is>
      </c>
      <c r="D4470" s="14" t="inlineStr">
        <is>
          <t>BIFENTRINA 400 EC TECNOMYL</t>
        </is>
      </c>
      <c r="E4470" s="13" t="inlineStr">
        <is>
          <t>Pulverização Agrícola Conforme Bula</t>
        </is>
      </c>
      <c r="F4470" s="13" t="inlineStr">
        <is>
          <t>Feijão</t>
        </is>
      </c>
      <c r="G4470" s="13" t="inlineStr">
        <is>
          <t>Cultura Autorizada na Bula</t>
        </is>
      </c>
      <c r="H4470" s="13" t="inlineStr">
        <is>
          <t>100 a 300 L/ha</t>
        </is>
      </c>
      <c r="I4470" s="13" t="inlineStr">
        <is>
          <t>20 a 40 L/ha</t>
        </is>
      </c>
      <c r="J4470" s="13" t="inlineStr">
        <is>
          <t>20 dias</t>
        </is>
      </c>
    </row>
    <row r="4471" ht="22" customHeight="1">
      <c r="A4471" s="6" t="inlineStr">
        <is>
          <t>CUL-4467</t>
        </is>
      </c>
      <c r="B4471" s="5" t="n">
        <v>907</v>
      </c>
      <c r="C4471" s="7" t="inlineStr">
        <is>
          <t>Nº 18624</t>
        </is>
      </c>
      <c r="D4471" s="8" t="inlineStr">
        <is>
          <t>BIFENTRINA 400 EC TECNOMYL</t>
        </is>
      </c>
      <c r="E4471" s="7" t="inlineStr">
        <is>
          <t>Pulverização Agrícola Conforme Bula</t>
        </is>
      </c>
      <c r="F4471" s="7" t="inlineStr">
        <is>
          <t>Trigo</t>
        </is>
      </c>
      <c r="G4471" s="7" t="inlineStr">
        <is>
          <t>Cultura Autorizada na Bula</t>
        </is>
      </c>
      <c r="H4471" s="7" t="inlineStr">
        <is>
          <t>100 a 300 L/ha</t>
        </is>
      </c>
      <c r="I4471" s="7" t="inlineStr">
        <is>
          <t>20 a 40 L/ha</t>
        </is>
      </c>
      <c r="J4471" s="7" t="inlineStr">
        <is>
          <t>30 dias</t>
        </is>
      </c>
    </row>
    <row r="4472" ht="22" customHeight="1">
      <c r="A4472" s="12" t="inlineStr">
        <is>
          <t>CUL-4468</t>
        </is>
      </c>
      <c r="B4472" s="11" t="n">
        <v>908</v>
      </c>
      <c r="C4472" s="13" t="inlineStr">
        <is>
          <t>Nº 18624</t>
        </is>
      </c>
      <c r="D4472" s="14" t="inlineStr">
        <is>
          <t>BIFENTRINA 400 EC TECNOMYL I</t>
        </is>
      </c>
      <c r="E4472" s="13" t="inlineStr">
        <is>
          <t>Pulverização Agrícola Conforme Bula</t>
        </is>
      </c>
      <c r="F4472" s="13" t="inlineStr">
        <is>
          <t>Algodão</t>
        </is>
      </c>
      <c r="G4472" s="13" t="inlineStr">
        <is>
          <t>Cultura Autorizada na Bula</t>
        </is>
      </c>
      <c r="H4472" s="13" t="inlineStr">
        <is>
          <t>100 a 300 L/ha</t>
        </is>
      </c>
      <c r="I4472" s="13" t="inlineStr">
        <is>
          <t>20 a 40 L/ha</t>
        </is>
      </c>
      <c r="J4472" s="13" t="inlineStr">
        <is>
          <t>15 dias</t>
        </is>
      </c>
    </row>
    <row r="4473" ht="22" customHeight="1">
      <c r="A4473" s="6" t="inlineStr">
        <is>
          <t>CUL-4469</t>
        </is>
      </c>
      <c r="B4473" s="5" t="n">
        <v>908</v>
      </c>
      <c r="C4473" s="7" t="inlineStr">
        <is>
          <t>Nº 18624</t>
        </is>
      </c>
      <c r="D4473" s="8" t="inlineStr">
        <is>
          <t>BIFENTRINA 400 EC TECNOMYL I</t>
        </is>
      </c>
      <c r="E4473" s="7" t="inlineStr">
        <is>
          <t>Pulverização Agrícola Conforme Bula</t>
        </is>
      </c>
      <c r="F4473" s="7" t="inlineStr">
        <is>
          <t>Soja</t>
        </is>
      </c>
      <c r="G4473" s="7" t="inlineStr">
        <is>
          <t>Cultura Autorizada na Bula</t>
        </is>
      </c>
      <c r="H4473" s="7" t="inlineStr">
        <is>
          <t>100 a 300 L/ha</t>
        </is>
      </c>
      <c r="I4473" s="7" t="inlineStr">
        <is>
          <t>20 a 40 L/ha</t>
        </is>
      </c>
      <c r="J4473" s="7" t="inlineStr">
        <is>
          <t>30 dias</t>
        </is>
      </c>
    </row>
    <row r="4474" ht="22" customHeight="1">
      <c r="A4474" s="12" t="inlineStr">
        <is>
          <t>CUL-4470</t>
        </is>
      </c>
      <c r="B4474" s="11" t="n">
        <v>908</v>
      </c>
      <c r="C4474" s="13" t="inlineStr">
        <is>
          <t>Nº 18624</t>
        </is>
      </c>
      <c r="D4474" s="14" t="inlineStr">
        <is>
          <t>BIFENTRINA 400 EC TECNOMYL I</t>
        </is>
      </c>
      <c r="E4474" s="13" t="inlineStr">
        <is>
          <t>Pulverização Agrícola Conforme Bula</t>
        </is>
      </c>
      <c r="F4474" s="13" t="inlineStr">
        <is>
          <t>Milho</t>
        </is>
      </c>
      <c r="G4474" s="13" t="inlineStr">
        <is>
          <t>Cultura Autorizada na Bula</t>
        </is>
      </c>
      <c r="H4474" s="13" t="inlineStr">
        <is>
          <t>100 a 300 L/ha</t>
        </is>
      </c>
      <c r="I4474" s="13" t="inlineStr">
        <is>
          <t>20 a 40 L/ha</t>
        </is>
      </c>
      <c r="J4474" s="13" t="inlineStr">
        <is>
          <t>30 dias</t>
        </is>
      </c>
    </row>
    <row r="4475" ht="22" customHeight="1">
      <c r="A4475" s="6" t="inlineStr">
        <is>
          <t>CUL-4471</t>
        </is>
      </c>
      <c r="B4475" s="5" t="n">
        <v>908</v>
      </c>
      <c r="C4475" s="7" t="inlineStr">
        <is>
          <t>Nº 18624</t>
        </is>
      </c>
      <c r="D4475" s="8" t="inlineStr">
        <is>
          <t>BIFENTRINA 400 EC TECNOMYL I</t>
        </is>
      </c>
      <c r="E4475" s="7" t="inlineStr">
        <is>
          <t>Pulverização Agrícola Conforme Bula</t>
        </is>
      </c>
      <c r="F4475" s="7" t="inlineStr">
        <is>
          <t>Cana-de-açúcar</t>
        </is>
      </c>
      <c r="G4475" s="7" t="inlineStr">
        <is>
          <t>Cultura Autorizada na Bula</t>
        </is>
      </c>
      <c r="H4475" s="7" t="inlineStr">
        <is>
          <t>100 a 300 L/ha</t>
        </is>
      </c>
      <c r="I4475" s="7" t="inlineStr">
        <is>
          <t>20 a 40 L/ha</t>
        </is>
      </c>
      <c r="J4475" s="7" t="inlineStr">
        <is>
          <t>30 dias</t>
        </is>
      </c>
    </row>
    <row r="4476" ht="22" customHeight="1">
      <c r="A4476" s="12" t="inlineStr">
        <is>
          <t>CUL-4472</t>
        </is>
      </c>
      <c r="B4476" s="11" t="n">
        <v>908</v>
      </c>
      <c r="C4476" s="13" t="inlineStr">
        <is>
          <t>Nº 18624</t>
        </is>
      </c>
      <c r="D4476" s="14" t="inlineStr">
        <is>
          <t>BIFENTRINA 400 EC TECNOMYL I</t>
        </is>
      </c>
      <c r="E4476" s="13" t="inlineStr">
        <is>
          <t>Pulverização Agrícola Conforme Bula</t>
        </is>
      </c>
      <c r="F4476" s="13" t="inlineStr">
        <is>
          <t>Café</t>
        </is>
      </c>
      <c r="G4476" s="13" t="inlineStr">
        <is>
          <t>Cultura Autorizada na Bula</t>
        </is>
      </c>
      <c r="H4476" s="13" t="inlineStr">
        <is>
          <t>100 a 300 L/ha</t>
        </is>
      </c>
      <c r="I4476" s="13" t="inlineStr">
        <is>
          <t>20 a 40 L/ha</t>
        </is>
      </c>
      <c r="J4476" s="13" t="inlineStr">
        <is>
          <t>30 dias</t>
        </is>
      </c>
    </row>
    <row r="4477" ht="22" customHeight="1">
      <c r="A4477" s="6" t="inlineStr">
        <is>
          <t>CUL-4473</t>
        </is>
      </c>
      <c r="B4477" s="5" t="n">
        <v>908</v>
      </c>
      <c r="C4477" s="7" t="inlineStr">
        <is>
          <t>Nº 18624</t>
        </is>
      </c>
      <c r="D4477" s="8" t="inlineStr">
        <is>
          <t>BIFENTRINA 400 EC TECNOMYL I</t>
        </is>
      </c>
      <c r="E4477" s="7" t="inlineStr">
        <is>
          <t>Pulverização Agrícola Conforme Bula</t>
        </is>
      </c>
      <c r="F4477" s="7" t="inlineStr">
        <is>
          <t>Citros</t>
        </is>
      </c>
      <c r="G4477" s="7" t="inlineStr">
        <is>
          <t>Cultura Autorizada na Bula</t>
        </is>
      </c>
      <c r="H4477" s="7" t="inlineStr">
        <is>
          <t>100 a 300 L/ha</t>
        </is>
      </c>
      <c r="I4477" s="7" t="inlineStr">
        <is>
          <t>20 a 40 L/ha</t>
        </is>
      </c>
      <c r="J4477" s="7" t="inlineStr">
        <is>
          <t>7 dias</t>
        </is>
      </c>
    </row>
    <row r="4478" ht="22" customHeight="1">
      <c r="A4478" s="12" t="inlineStr">
        <is>
          <t>CUL-4474</t>
        </is>
      </c>
      <c r="B4478" s="11" t="n">
        <v>908</v>
      </c>
      <c r="C4478" s="13" t="inlineStr">
        <is>
          <t>Nº 18624</t>
        </is>
      </c>
      <c r="D4478" s="14" t="inlineStr">
        <is>
          <t>BIFENTRINA 400 EC TECNOMYL I</t>
        </is>
      </c>
      <c r="E4478" s="13" t="inlineStr">
        <is>
          <t>Pulverização Agrícola Conforme Bula</t>
        </is>
      </c>
      <c r="F4478" s="13" t="inlineStr">
        <is>
          <t>Feijão</t>
        </is>
      </c>
      <c r="G4478" s="13" t="inlineStr">
        <is>
          <t>Cultura Autorizada na Bula</t>
        </is>
      </c>
      <c r="H4478" s="13" t="inlineStr">
        <is>
          <t>100 a 300 L/ha</t>
        </is>
      </c>
      <c r="I4478" s="13" t="inlineStr">
        <is>
          <t>20 a 40 L/ha</t>
        </is>
      </c>
      <c r="J4478" s="13" t="inlineStr">
        <is>
          <t>20 dias</t>
        </is>
      </c>
    </row>
    <row r="4479" ht="22" customHeight="1">
      <c r="A4479" s="6" t="inlineStr">
        <is>
          <t>CUL-4475</t>
        </is>
      </c>
      <c r="B4479" s="5" t="n">
        <v>908</v>
      </c>
      <c r="C4479" s="7" t="inlineStr">
        <is>
          <t>Nº 18624</t>
        </is>
      </c>
      <c r="D4479" s="8" t="inlineStr">
        <is>
          <t>BIFENTRINA 400 EC TECNOMYL I</t>
        </is>
      </c>
      <c r="E4479" s="7" t="inlineStr">
        <is>
          <t>Pulverização Agrícola Conforme Bula</t>
        </is>
      </c>
      <c r="F4479" s="7" t="inlineStr">
        <is>
          <t>Trigo</t>
        </is>
      </c>
      <c r="G4479" s="7" t="inlineStr">
        <is>
          <t>Cultura Autorizada na Bula</t>
        </is>
      </c>
      <c r="H4479" s="7" t="inlineStr">
        <is>
          <t>100 a 300 L/ha</t>
        </is>
      </c>
      <c r="I4479" s="7" t="inlineStr">
        <is>
          <t>20 a 40 L/ha</t>
        </is>
      </c>
      <c r="J4479" s="7" t="inlineStr">
        <is>
          <t>30 dias</t>
        </is>
      </c>
    </row>
    <row r="4480" ht="22" customHeight="1">
      <c r="A4480" s="12" t="inlineStr">
        <is>
          <t>CUL-4476</t>
        </is>
      </c>
      <c r="B4480" s="11" t="n">
        <v>909</v>
      </c>
      <c r="C4480" s="13" t="inlineStr">
        <is>
          <t>Nº 18624</t>
        </is>
      </c>
      <c r="D4480" s="14" t="inlineStr">
        <is>
          <t>BIFENTRINA 400 EC TECNOMYL II</t>
        </is>
      </c>
      <c r="E4480" s="13" t="inlineStr">
        <is>
          <t>Pulverização Agrícola Conforme Bula</t>
        </is>
      </c>
      <c r="F4480" s="13" t="inlineStr">
        <is>
          <t>Algodão</t>
        </is>
      </c>
      <c r="G4480" s="13" t="inlineStr">
        <is>
          <t>Cultura Autorizada na Bula</t>
        </is>
      </c>
      <c r="H4480" s="13" t="inlineStr">
        <is>
          <t>100 a 300 L/ha</t>
        </is>
      </c>
      <c r="I4480" s="13" t="inlineStr">
        <is>
          <t>20 a 40 L/ha</t>
        </is>
      </c>
      <c r="J4480" s="13" t="inlineStr">
        <is>
          <t>15 dias</t>
        </is>
      </c>
    </row>
    <row r="4481" ht="22" customHeight="1">
      <c r="A4481" s="6" t="inlineStr">
        <is>
          <t>CUL-4477</t>
        </is>
      </c>
      <c r="B4481" s="5" t="n">
        <v>909</v>
      </c>
      <c r="C4481" s="7" t="inlineStr">
        <is>
          <t>Nº 18624</t>
        </is>
      </c>
      <c r="D4481" s="8" t="inlineStr">
        <is>
          <t>BIFENTRINA 400 EC TECNOMYL II</t>
        </is>
      </c>
      <c r="E4481" s="7" t="inlineStr">
        <is>
          <t>Pulverização Agrícola Conforme Bula</t>
        </is>
      </c>
      <c r="F4481" s="7" t="inlineStr">
        <is>
          <t>Soja</t>
        </is>
      </c>
      <c r="G4481" s="7" t="inlineStr">
        <is>
          <t>Cultura Autorizada na Bula</t>
        </is>
      </c>
      <c r="H4481" s="7" t="inlineStr">
        <is>
          <t>100 a 300 L/ha</t>
        </is>
      </c>
      <c r="I4481" s="7" t="inlineStr">
        <is>
          <t>20 a 40 L/ha</t>
        </is>
      </c>
      <c r="J4481" s="7" t="inlineStr">
        <is>
          <t>30 dias</t>
        </is>
      </c>
    </row>
    <row r="4482" ht="22" customHeight="1">
      <c r="A4482" s="12" t="inlineStr">
        <is>
          <t>CUL-4478</t>
        </is>
      </c>
      <c r="B4482" s="11" t="n">
        <v>909</v>
      </c>
      <c r="C4482" s="13" t="inlineStr">
        <is>
          <t>Nº 18624</t>
        </is>
      </c>
      <c r="D4482" s="14" t="inlineStr">
        <is>
          <t>BIFENTRINA 400 EC TECNOMYL II</t>
        </is>
      </c>
      <c r="E4482" s="13" t="inlineStr">
        <is>
          <t>Pulverização Agrícola Conforme Bula</t>
        </is>
      </c>
      <c r="F4482" s="13" t="inlineStr">
        <is>
          <t>Milho</t>
        </is>
      </c>
      <c r="G4482" s="13" t="inlineStr">
        <is>
          <t>Cultura Autorizada na Bula</t>
        </is>
      </c>
      <c r="H4482" s="13" t="inlineStr">
        <is>
          <t>100 a 300 L/ha</t>
        </is>
      </c>
      <c r="I4482" s="13" t="inlineStr">
        <is>
          <t>20 a 40 L/ha</t>
        </is>
      </c>
      <c r="J4482" s="13" t="inlineStr">
        <is>
          <t>30 dias</t>
        </is>
      </c>
    </row>
    <row r="4483" ht="22" customHeight="1">
      <c r="A4483" s="6" t="inlineStr">
        <is>
          <t>CUL-4479</t>
        </is>
      </c>
      <c r="B4483" s="5" t="n">
        <v>909</v>
      </c>
      <c r="C4483" s="7" t="inlineStr">
        <is>
          <t>Nº 18624</t>
        </is>
      </c>
      <c r="D4483" s="8" t="inlineStr">
        <is>
          <t>BIFENTRINA 400 EC TECNOMYL II</t>
        </is>
      </c>
      <c r="E4483" s="7" t="inlineStr">
        <is>
          <t>Pulverização Agrícola Conforme Bula</t>
        </is>
      </c>
      <c r="F4483" s="7" t="inlineStr">
        <is>
          <t>Cana-de-açúcar</t>
        </is>
      </c>
      <c r="G4483" s="7" t="inlineStr">
        <is>
          <t>Cultura Autorizada na Bula</t>
        </is>
      </c>
      <c r="H4483" s="7" t="inlineStr">
        <is>
          <t>100 a 300 L/ha</t>
        </is>
      </c>
      <c r="I4483" s="7" t="inlineStr">
        <is>
          <t>20 a 40 L/ha</t>
        </is>
      </c>
      <c r="J4483" s="7" t="inlineStr">
        <is>
          <t>30 dias</t>
        </is>
      </c>
    </row>
    <row r="4484" ht="22" customHeight="1">
      <c r="A4484" s="12" t="inlineStr">
        <is>
          <t>CUL-4480</t>
        </is>
      </c>
      <c r="B4484" s="11" t="n">
        <v>909</v>
      </c>
      <c r="C4484" s="13" t="inlineStr">
        <is>
          <t>Nº 18624</t>
        </is>
      </c>
      <c r="D4484" s="14" t="inlineStr">
        <is>
          <t>BIFENTRINA 400 EC TECNOMYL II</t>
        </is>
      </c>
      <c r="E4484" s="13" t="inlineStr">
        <is>
          <t>Pulverização Agrícola Conforme Bula</t>
        </is>
      </c>
      <c r="F4484" s="13" t="inlineStr">
        <is>
          <t>Café</t>
        </is>
      </c>
      <c r="G4484" s="13" t="inlineStr">
        <is>
          <t>Cultura Autorizada na Bula</t>
        </is>
      </c>
      <c r="H4484" s="13" t="inlineStr">
        <is>
          <t>100 a 300 L/ha</t>
        </is>
      </c>
      <c r="I4484" s="13" t="inlineStr">
        <is>
          <t>20 a 40 L/ha</t>
        </is>
      </c>
      <c r="J4484" s="13" t="inlineStr">
        <is>
          <t>30 dias</t>
        </is>
      </c>
    </row>
    <row r="4485" ht="22" customHeight="1">
      <c r="A4485" s="6" t="inlineStr">
        <is>
          <t>CUL-4481</t>
        </is>
      </c>
      <c r="B4485" s="5" t="n">
        <v>909</v>
      </c>
      <c r="C4485" s="7" t="inlineStr">
        <is>
          <t>Nº 18624</t>
        </is>
      </c>
      <c r="D4485" s="8" t="inlineStr">
        <is>
          <t>BIFENTRINA 400 EC TECNOMYL II</t>
        </is>
      </c>
      <c r="E4485" s="7" t="inlineStr">
        <is>
          <t>Pulverização Agrícola Conforme Bula</t>
        </is>
      </c>
      <c r="F4485" s="7" t="inlineStr">
        <is>
          <t>Citros</t>
        </is>
      </c>
      <c r="G4485" s="7" t="inlineStr">
        <is>
          <t>Cultura Autorizada na Bula</t>
        </is>
      </c>
      <c r="H4485" s="7" t="inlineStr">
        <is>
          <t>100 a 300 L/ha</t>
        </is>
      </c>
      <c r="I4485" s="7" t="inlineStr">
        <is>
          <t>20 a 40 L/ha</t>
        </is>
      </c>
      <c r="J4485" s="7" t="inlineStr">
        <is>
          <t>7 dias</t>
        </is>
      </c>
    </row>
    <row r="4486" ht="22" customHeight="1">
      <c r="A4486" s="12" t="inlineStr">
        <is>
          <t>CUL-4482</t>
        </is>
      </c>
      <c r="B4486" s="11" t="n">
        <v>909</v>
      </c>
      <c r="C4486" s="13" t="inlineStr">
        <is>
          <t>Nº 18624</t>
        </is>
      </c>
      <c r="D4486" s="14" t="inlineStr">
        <is>
          <t>BIFENTRINA 400 EC TECNOMYL II</t>
        </is>
      </c>
      <c r="E4486" s="13" t="inlineStr">
        <is>
          <t>Pulverização Agrícola Conforme Bula</t>
        </is>
      </c>
      <c r="F4486" s="13" t="inlineStr">
        <is>
          <t>Feijão</t>
        </is>
      </c>
      <c r="G4486" s="13" t="inlineStr">
        <is>
          <t>Cultura Autorizada na Bula</t>
        </is>
      </c>
      <c r="H4486" s="13" t="inlineStr">
        <is>
          <t>100 a 300 L/ha</t>
        </is>
      </c>
      <c r="I4486" s="13" t="inlineStr">
        <is>
          <t>20 a 40 L/ha</t>
        </is>
      </c>
      <c r="J4486" s="13" t="inlineStr">
        <is>
          <t>20 dias</t>
        </is>
      </c>
    </row>
    <row r="4487" ht="22" customHeight="1">
      <c r="A4487" s="6" t="inlineStr">
        <is>
          <t>CUL-4483</t>
        </is>
      </c>
      <c r="B4487" s="5" t="n">
        <v>909</v>
      </c>
      <c r="C4487" s="7" t="inlineStr">
        <is>
          <t>Nº 18624</t>
        </is>
      </c>
      <c r="D4487" s="8" t="inlineStr">
        <is>
          <t>BIFENTRINA 400 EC TECNOMYL II</t>
        </is>
      </c>
      <c r="E4487" s="7" t="inlineStr">
        <is>
          <t>Pulverização Agrícola Conforme Bula</t>
        </is>
      </c>
      <c r="F4487" s="7" t="inlineStr">
        <is>
          <t>Trigo</t>
        </is>
      </c>
      <c r="G4487" s="7" t="inlineStr">
        <is>
          <t>Cultura Autorizada na Bula</t>
        </is>
      </c>
      <c r="H4487" s="7" t="inlineStr">
        <is>
          <t>100 a 300 L/ha</t>
        </is>
      </c>
      <c r="I4487" s="7" t="inlineStr">
        <is>
          <t>20 a 40 L/ha</t>
        </is>
      </c>
      <c r="J4487" s="7" t="inlineStr">
        <is>
          <t>30 dias</t>
        </is>
      </c>
    </row>
    <row r="4488" ht="22" customHeight="1">
      <c r="A4488" s="12" t="inlineStr">
        <is>
          <t>CUL-4484</t>
        </is>
      </c>
      <c r="B4488" s="11" t="n">
        <v>910</v>
      </c>
      <c r="C4488" s="13" t="inlineStr">
        <is>
          <t>Nº 18624</t>
        </is>
      </c>
      <c r="D4488" s="14" t="inlineStr">
        <is>
          <t>BIFENTRINA 400 EC TECNOMYL III</t>
        </is>
      </c>
      <c r="E4488" s="13" t="inlineStr">
        <is>
          <t>Pulverização Agrícola Conforme Bula</t>
        </is>
      </c>
      <c r="F4488" s="13" t="inlineStr">
        <is>
          <t>Algodão</t>
        </is>
      </c>
      <c r="G4488" s="13" t="inlineStr">
        <is>
          <t>Cultura Autorizada na Bula</t>
        </is>
      </c>
      <c r="H4488" s="13" t="inlineStr">
        <is>
          <t>100 a 300 L/ha</t>
        </is>
      </c>
      <c r="I4488" s="13" t="inlineStr">
        <is>
          <t>20 a 40 L/ha</t>
        </is>
      </c>
      <c r="J4488" s="13" t="inlineStr">
        <is>
          <t>15 dias</t>
        </is>
      </c>
    </row>
    <row r="4489" ht="22" customHeight="1">
      <c r="A4489" s="6" t="inlineStr">
        <is>
          <t>CUL-4485</t>
        </is>
      </c>
      <c r="B4489" s="5" t="n">
        <v>910</v>
      </c>
      <c r="C4489" s="7" t="inlineStr">
        <is>
          <t>Nº 18624</t>
        </is>
      </c>
      <c r="D4489" s="8" t="inlineStr">
        <is>
          <t>BIFENTRINA 400 EC TECNOMYL III</t>
        </is>
      </c>
      <c r="E4489" s="7" t="inlineStr">
        <is>
          <t>Pulverização Agrícola Conforme Bula</t>
        </is>
      </c>
      <c r="F4489" s="7" t="inlineStr">
        <is>
          <t>Soja</t>
        </is>
      </c>
      <c r="G4489" s="7" t="inlineStr">
        <is>
          <t>Cultura Autorizada na Bula</t>
        </is>
      </c>
      <c r="H4489" s="7" t="inlineStr">
        <is>
          <t>100 a 300 L/ha</t>
        </is>
      </c>
      <c r="I4489" s="7" t="inlineStr">
        <is>
          <t>20 a 40 L/ha</t>
        </is>
      </c>
      <c r="J4489" s="7" t="inlineStr">
        <is>
          <t>30 dias</t>
        </is>
      </c>
    </row>
    <row r="4490" ht="22" customHeight="1">
      <c r="A4490" s="12" t="inlineStr">
        <is>
          <t>CUL-4486</t>
        </is>
      </c>
      <c r="B4490" s="11" t="n">
        <v>910</v>
      </c>
      <c r="C4490" s="13" t="inlineStr">
        <is>
          <t>Nº 18624</t>
        </is>
      </c>
      <c r="D4490" s="14" t="inlineStr">
        <is>
          <t>BIFENTRINA 400 EC TECNOMYL III</t>
        </is>
      </c>
      <c r="E4490" s="13" t="inlineStr">
        <is>
          <t>Pulverização Agrícola Conforme Bula</t>
        </is>
      </c>
      <c r="F4490" s="13" t="inlineStr">
        <is>
          <t>Milho</t>
        </is>
      </c>
      <c r="G4490" s="13" t="inlineStr">
        <is>
          <t>Cultura Autorizada na Bula</t>
        </is>
      </c>
      <c r="H4490" s="13" t="inlineStr">
        <is>
          <t>100 a 300 L/ha</t>
        </is>
      </c>
      <c r="I4490" s="13" t="inlineStr">
        <is>
          <t>20 a 40 L/ha</t>
        </is>
      </c>
      <c r="J4490" s="13" t="inlineStr">
        <is>
          <t>30 dias</t>
        </is>
      </c>
    </row>
    <row r="4491" ht="22" customHeight="1">
      <c r="A4491" s="6" t="inlineStr">
        <is>
          <t>CUL-4487</t>
        </is>
      </c>
      <c r="B4491" s="5" t="n">
        <v>910</v>
      </c>
      <c r="C4491" s="7" t="inlineStr">
        <is>
          <t>Nº 18624</t>
        </is>
      </c>
      <c r="D4491" s="8" t="inlineStr">
        <is>
          <t>BIFENTRINA 400 EC TECNOMYL III</t>
        </is>
      </c>
      <c r="E4491" s="7" t="inlineStr">
        <is>
          <t>Pulverização Agrícola Conforme Bula</t>
        </is>
      </c>
      <c r="F4491" s="7" t="inlineStr">
        <is>
          <t>Cana-de-açúcar</t>
        </is>
      </c>
      <c r="G4491" s="7" t="inlineStr">
        <is>
          <t>Cultura Autorizada na Bula</t>
        </is>
      </c>
      <c r="H4491" s="7" t="inlineStr">
        <is>
          <t>100 a 300 L/ha</t>
        </is>
      </c>
      <c r="I4491" s="7" t="inlineStr">
        <is>
          <t>20 a 40 L/ha</t>
        </is>
      </c>
      <c r="J4491" s="7" t="inlineStr">
        <is>
          <t>30 dias</t>
        </is>
      </c>
    </row>
    <row r="4492" ht="22" customHeight="1">
      <c r="A4492" s="12" t="inlineStr">
        <is>
          <t>CUL-4488</t>
        </is>
      </c>
      <c r="B4492" s="11" t="n">
        <v>910</v>
      </c>
      <c r="C4492" s="13" t="inlineStr">
        <is>
          <t>Nº 18624</t>
        </is>
      </c>
      <c r="D4492" s="14" t="inlineStr">
        <is>
          <t>BIFENTRINA 400 EC TECNOMYL III</t>
        </is>
      </c>
      <c r="E4492" s="13" t="inlineStr">
        <is>
          <t>Pulverização Agrícola Conforme Bula</t>
        </is>
      </c>
      <c r="F4492" s="13" t="inlineStr">
        <is>
          <t>Café</t>
        </is>
      </c>
      <c r="G4492" s="13" t="inlineStr">
        <is>
          <t>Cultura Autorizada na Bula</t>
        </is>
      </c>
      <c r="H4492" s="13" t="inlineStr">
        <is>
          <t>100 a 300 L/ha</t>
        </is>
      </c>
      <c r="I4492" s="13" t="inlineStr">
        <is>
          <t>20 a 40 L/ha</t>
        </is>
      </c>
      <c r="J4492" s="13" t="inlineStr">
        <is>
          <t>30 dias</t>
        </is>
      </c>
    </row>
    <row r="4493" ht="22" customHeight="1">
      <c r="A4493" s="6" t="inlineStr">
        <is>
          <t>CUL-4489</t>
        </is>
      </c>
      <c r="B4493" s="5" t="n">
        <v>910</v>
      </c>
      <c r="C4493" s="7" t="inlineStr">
        <is>
          <t>Nº 18624</t>
        </is>
      </c>
      <c r="D4493" s="8" t="inlineStr">
        <is>
          <t>BIFENTRINA 400 EC TECNOMYL III</t>
        </is>
      </c>
      <c r="E4493" s="7" t="inlineStr">
        <is>
          <t>Pulverização Agrícola Conforme Bula</t>
        </is>
      </c>
      <c r="F4493" s="7" t="inlineStr">
        <is>
          <t>Citros</t>
        </is>
      </c>
      <c r="G4493" s="7" t="inlineStr">
        <is>
          <t>Cultura Autorizada na Bula</t>
        </is>
      </c>
      <c r="H4493" s="7" t="inlineStr">
        <is>
          <t>100 a 300 L/ha</t>
        </is>
      </c>
      <c r="I4493" s="7" t="inlineStr">
        <is>
          <t>20 a 40 L/ha</t>
        </is>
      </c>
      <c r="J4493" s="7" t="inlineStr">
        <is>
          <t>7 dias</t>
        </is>
      </c>
    </row>
    <row r="4494" ht="22" customHeight="1">
      <c r="A4494" s="12" t="inlineStr">
        <is>
          <t>CUL-4490</t>
        </is>
      </c>
      <c r="B4494" s="11" t="n">
        <v>910</v>
      </c>
      <c r="C4494" s="13" t="inlineStr">
        <is>
          <t>Nº 18624</t>
        </is>
      </c>
      <c r="D4494" s="14" t="inlineStr">
        <is>
          <t>BIFENTRINA 400 EC TECNOMYL III</t>
        </is>
      </c>
      <c r="E4494" s="13" t="inlineStr">
        <is>
          <t>Pulverização Agrícola Conforme Bula</t>
        </is>
      </c>
      <c r="F4494" s="13" t="inlineStr">
        <is>
          <t>Feijão</t>
        </is>
      </c>
      <c r="G4494" s="13" t="inlineStr">
        <is>
          <t>Cultura Autorizada na Bula</t>
        </is>
      </c>
      <c r="H4494" s="13" t="inlineStr">
        <is>
          <t>100 a 300 L/ha</t>
        </is>
      </c>
      <c r="I4494" s="13" t="inlineStr">
        <is>
          <t>20 a 40 L/ha</t>
        </is>
      </c>
      <c r="J4494" s="13" t="inlineStr">
        <is>
          <t>20 dias</t>
        </is>
      </c>
    </row>
    <row r="4495" ht="22" customHeight="1">
      <c r="A4495" s="6" t="inlineStr">
        <is>
          <t>CUL-4491</t>
        </is>
      </c>
      <c r="B4495" s="5" t="n">
        <v>910</v>
      </c>
      <c r="C4495" s="7" t="inlineStr">
        <is>
          <t>Nº 18624</t>
        </is>
      </c>
      <c r="D4495" s="8" t="inlineStr">
        <is>
          <t>BIFENTRINA 400 EC TECNOMYL III</t>
        </is>
      </c>
      <c r="E4495" s="7" t="inlineStr">
        <is>
          <t>Pulverização Agrícola Conforme Bula</t>
        </is>
      </c>
      <c r="F4495" s="7" t="inlineStr">
        <is>
          <t>Trigo</t>
        </is>
      </c>
      <c r="G4495" s="7" t="inlineStr">
        <is>
          <t>Cultura Autorizada na Bula</t>
        </is>
      </c>
      <c r="H4495" s="7" t="inlineStr">
        <is>
          <t>100 a 300 L/ha</t>
        </is>
      </c>
      <c r="I4495" s="7" t="inlineStr">
        <is>
          <t>20 a 40 L/ha</t>
        </is>
      </c>
      <c r="J4495" s="7" t="inlineStr">
        <is>
          <t>30 dias</t>
        </is>
      </c>
    </row>
    <row r="4496" ht="22" customHeight="1">
      <c r="A4496" s="12" t="inlineStr">
        <is>
          <t>CUL-4492</t>
        </is>
      </c>
      <c r="B4496" s="11" t="n">
        <v>911</v>
      </c>
      <c r="C4496" s="13" t="inlineStr">
        <is>
          <t>VINC-18624</t>
        </is>
      </c>
      <c r="D4496" s="14" t="inlineStr">
        <is>
          <t>Bifentrina Técnico Tecnomyl</t>
        </is>
      </c>
      <c r="E4496" s="13" t="inlineStr">
        <is>
          <t>Uso Exclusivamente Industrial (Formulação)</t>
        </is>
      </c>
      <c r="F4496" s="13" t="inlineStr">
        <is>
          <t>Não Aplicável (Proibido uso direto na lavoura)</t>
        </is>
      </c>
      <c r="G4496" s="13" t="inlineStr">
        <is>
          <t>Insumo Industrial</t>
        </is>
      </c>
      <c r="H4496" s="13" t="inlineStr">
        <is>
          <t>N/A</t>
        </is>
      </c>
      <c r="I4496" s="13" t="inlineStr">
        <is>
          <t>N/A</t>
        </is>
      </c>
      <c r="J4496" s="13" t="inlineStr">
        <is>
          <t>N/A (Insumo Industrial)</t>
        </is>
      </c>
    </row>
    <row r="4497" ht="22" customHeight="1">
      <c r="A4497" s="6" t="inlineStr">
        <is>
          <t>CUL-4493</t>
        </is>
      </c>
      <c r="B4497" s="5" t="n">
        <v>912</v>
      </c>
      <c r="C4497" s="7" t="inlineStr">
        <is>
          <t>Nº 18724</t>
        </is>
      </c>
      <c r="D4497" s="8" t="inlineStr">
        <is>
          <t>PYRIPROXYFEN WOOD 100 EC</t>
        </is>
      </c>
      <c r="E4497" s="7" t="inlineStr">
        <is>
          <t>Pulverização Agrícola Conforme Bula</t>
        </is>
      </c>
      <c r="F4497" s="7" t="inlineStr">
        <is>
          <t>Soja</t>
        </is>
      </c>
      <c r="G4497" s="7" t="inlineStr">
        <is>
          <t>Cultura Autorizada na Bula</t>
        </is>
      </c>
      <c r="H4497" s="7" t="inlineStr">
        <is>
          <t>100 a 300 L/ha</t>
        </is>
      </c>
      <c r="I4497" s="7" t="inlineStr">
        <is>
          <t>20 a 40 L/ha</t>
        </is>
      </c>
      <c r="J4497" s="7" t="inlineStr">
        <is>
          <t>21 a 30 dias</t>
        </is>
      </c>
    </row>
    <row r="4498" ht="22" customHeight="1">
      <c r="A4498" s="12" t="inlineStr">
        <is>
          <t>CUL-4494</t>
        </is>
      </c>
      <c r="B4498" s="11" t="n">
        <v>912</v>
      </c>
      <c r="C4498" s="13" t="inlineStr">
        <is>
          <t>Nº 18724</t>
        </is>
      </c>
      <c r="D4498" s="14" t="inlineStr">
        <is>
          <t>PYRIPROXYFEN WOOD 100 EC</t>
        </is>
      </c>
      <c r="E4498" s="13" t="inlineStr">
        <is>
          <t>Pulverização Agrícola Conforme Bula</t>
        </is>
      </c>
      <c r="F4498" s="13" t="inlineStr">
        <is>
          <t>Milho</t>
        </is>
      </c>
      <c r="G4498" s="13" t="inlineStr">
        <is>
          <t>Cultura Autorizada na Bula</t>
        </is>
      </c>
      <c r="H4498" s="13" t="inlineStr">
        <is>
          <t>100 a 300 L/ha</t>
        </is>
      </c>
      <c r="I4498" s="13" t="inlineStr">
        <is>
          <t>20 a 40 L/ha</t>
        </is>
      </c>
      <c r="J4498" s="13" t="inlineStr">
        <is>
          <t>21 a 30 dias</t>
        </is>
      </c>
    </row>
    <row r="4499" ht="22" customHeight="1">
      <c r="A4499" s="6" t="inlineStr">
        <is>
          <t>CUL-4495</t>
        </is>
      </c>
      <c r="B4499" s="5" t="n">
        <v>912</v>
      </c>
      <c r="C4499" s="7" t="inlineStr">
        <is>
          <t>Nº 18724</t>
        </is>
      </c>
      <c r="D4499" s="8" t="inlineStr">
        <is>
          <t>PYRIPROXYFEN WOOD 100 EC</t>
        </is>
      </c>
      <c r="E4499" s="7" t="inlineStr">
        <is>
          <t>Pulverização Agrícola Conforme Bula</t>
        </is>
      </c>
      <c r="F4499" s="7" t="inlineStr">
        <is>
          <t>Algodão</t>
        </is>
      </c>
      <c r="G4499" s="7" t="inlineStr">
        <is>
          <t>Cultura Autorizada na Bula</t>
        </is>
      </c>
      <c r="H4499" s="7" t="inlineStr">
        <is>
          <t>100 a 300 L/ha</t>
        </is>
      </c>
      <c r="I4499" s="7" t="inlineStr">
        <is>
          <t>20 a 40 L/ha</t>
        </is>
      </c>
      <c r="J4499" s="7" t="inlineStr">
        <is>
          <t>21 a 30 dias</t>
        </is>
      </c>
    </row>
    <row r="4500" ht="22" customHeight="1">
      <c r="A4500" s="12" t="inlineStr">
        <is>
          <t>CUL-4496</t>
        </is>
      </c>
      <c r="B4500" s="11" t="n">
        <v>912</v>
      </c>
      <c r="C4500" s="13" t="inlineStr">
        <is>
          <t>Nº 18724</t>
        </is>
      </c>
      <c r="D4500" s="14" t="inlineStr">
        <is>
          <t>PYRIPROXYFEN WOOD 100 EC</t>
        </is>
      </c>
      <c r="E4500" s="13" t="inlineStr">
        <is>
          <t>Pulverização Agrícola Conforme Bula</t>
        </is>
      </c>
      <c r="F4500" s="13" t="inlineStr">
        <is>
          <t>Feijão</t>
        </is>
      </c>
      <c r="G4500" s="13" t="inlineStr">
        <is>
          <t>Cultura Autorizada na Bula</t>
        </is>
      </c>
      <c r="H4500" s="13" t="inlineStr">
        <is>
          <t>100 a 300 L/ha</t>
        </is>
      </c>
      <c r="I4500" s="13" t="inlineStr">
        <is>
          <t>20 a 40 L/ha</t>
        </is>
      </c>
      <c r="J4500" s="13" t="inlineStr">
        <is>
          <t>21 a 30 dias</t>
        </is>
      </c>
    </row>
    <row r="4501" ht="22" customHeight="1">
      <c r="A4501" s="6" t="inlineStr">
        <is>
          <t>CUL-4497</t>
        </is>
      </c>
      <c r="B4501" s="5" t="n">
        <v>912</v>
      </c>
      <c r="C4501" s="7" t="inlineStr">
        <is>
          <t>Nº 18724</t>
        </is>
      </c>
      <c r="D4501" s="8" t="inlineStr">
        <is>
          <t>PYRIPROXYFEN WOOD 100 EC</t>
        </is>
      </c>
      <c r="E4501" s="7" t="inlineStr">
        <is>
          <t>Pulverização Agrícola Conforme Bula</t>
        </is>
      </c>
      <c r="F4501" s="7" t="inlineStr">
        <is>
          <t>Trigo</t>
        </is>
      </c>
      <c r="G4501" s="7" t="inlineStr">
        <is>
          <t>Cultura Autorizada na Bula</t>
        </is>
      </c>
      <c r="H4501" s="7" t="inlineStr">
        <is>
          <t>100 a 300 L/ha</t>
        </is>
      </c>
      <c r="I4501" s="7" t="inlineStr">
        <is>
          <t>20 a 40 L/ha</t>
        </is>
      </c>
      <c r="J4501" s="7" t="inlineStr">
        <is>
          <t>21 a 30 dias</t>
        </is>
      </c>
    </row>
    <row r="4502" ht="22" customHeight="1">
      <c r="A4502" s="12" t="inlineStr">
        <is>
          <t>CUL-4498</t>
        </is>
      </c>
      <c r="B4502" s="11" t="n">
        <v>913</v>
      </c>
      <c r="C4502" s="13" t="inlineStr">
        <is>
          <t>VINC-18724</t>
        </is>
      </c>
      <c r="D4502" s="14" t="inlineStr">
        <is>
          <t>Pyriproxyfen Técnico Sino-Agri</t>
        </is>
      </c>
      <c r="E4502" s="13" t="inlineStr">
        <is>
          <t>Uso Exclusivamente Industrial (Formulação)</t>
        </is>
      </c>
      <c r="F4502" s="13" t="inlineStr">
        <is>
          <t>Não Aplicável (Proibido uso direto na lavoura)</t>
        </is>
      </c>
      <c r="G4502" s="13" t="inlineStr">
        <is>
          <t>Insumo Industrial</t>
        </is>
      </c>
      <c r="H4502" s="13" t="inlineStr">
        <is>
          <t>N/A</t>
        </is>
      </c>
      <c r="I4502" s="13" t="inlineStr">
        <is>
          <t>N/A</t>
        </is>
      </c>
      <c r="J4502" s="13" t="inlineStr">
        <is>
          <t>N/A (Insumo Industrial)</t>
        </is>
      </c>
    </row>
    <row r="4503" ht="22" customHeight="1">
      <c r="A4503" s="6" t="inlineStr">
        <is>
          <t>CUL-4499</t>
        </is>
      </c>
      <c r="B4503" s="5" t="n">
        <v>914</v>
      </c>
      <c r="C4503" s="7" t="inlineStr">
        <is>
          <t>Nº 18824</t>
        </is>
      </c>
      <c r="D4503" s="8" t="inlineStr">
        <is>
          <t>TKI-15 BR</t>
        </is>
      </c>
      <c r="E4503" s="7" t="inlineStr">
        <is>
          <t>Pulverização Agrícola Conforme Bula</t>
        </is>
      </c>
      <c r="F4503" s="7" t="inlineStr">
        <is>
          <t>Grandes Culturas, Perenes e Pastagens</t>
        </is>
      </c>
      <c r="G4503" s="7" t="inlineStr">
        <is>
          <t>Cultura Autorizada na Bula</t>
        </is>
      </c>
      <c r="H4503" s="7" t="inlineStr">
        <is>
          <t>100 a 300 L/ha</t>
        </is>
      </c>
      <c r="I4503" s="7" t="inlineStr">
        <is>
          <t>20 a 40 L/ha</t>
        </is>
      </c>
      <c r="J4503" s="7" t="inlineStr">
        <is>
          <t>Isento</t>
        </is>
      </c>
    </row>
    <row r="4504" ht="22" customHeight="1">
      <c r="A4504" s="12" t="inlineStr">
        <is>
          <t>CUL-4500</t>
        </is>
      </c>
      <c r="B4504" s="11" t="n">
        <v>915</v>
      </c>
      <c r="C4504" s="13" t="inlineStr">
        <is>
          <t>Nº 18924</t>
        </is>
      </c>
      <c r="D4504" s="14" t="inlineStr">
        <is>
          <t>TRINEXAPAC 250 EC MAXUNITECH</t>
        </is>
      </c>
      <c r="E4504" s="13" t="inlineStr">
        <is>
          <t>Pulverização Agrícola Conforme Bula</t>
        </is>
      </c>
      <c r="F4504" s="13" t="inlineStr">
        <is>
          <t>Soja</t>
        </is>
      </c>
      <c r="G4504" s="13" t="inlineStr">
        <is>
          <t>Cultura Autorizada na Bula</t>
        </is>
      </c>
      <c r="H4504" s="13" t="inlineStr">
        <is>
          <t>100 a 300 L/ha</t>
        </is>
      </c>
      <c r="I4504" s="13" t="inlineStr">
        <is>
          <t>20 a 40 L/ha</t>
        </is>
      </c>
      <c r="J4504" s="13" t="inlineStr">
        <is>
          <t>21 dias</t>
        </is>
      </c>
    </row>
    <row r="4505" ht="22" customHeight="1">
      <c r="A4505" s="6" t="inlineStr">
        <is>
          <t>CUL-4501</t>
        </is>
      </c>
      <c r="B4505" s="5" t="n">
        <v>915</v>
      </c>
      <c r="C4505" s="7" t="inlineStr">
        <is>
          <t>Nº 18924</t>
        </is>
      </c>
      <c r="D4505" s="8" t="inlineStr">
        <is>
          <t>TRINEXAPAC 250 EC MAXUNITECH</t>
        </is>
      </c>
      <c r="E4505" s="7" t="inlineStr">
        <is>
          <t>Pulverização Agrícola Conforme Bula</t>
        </is>
      </c>
      <c r="F4505" s="7" t="inlineStr">
        <is>
          <t>Milho</t>
        </is>
      </c>
      <c r="G4505" s="7" t="inlineStr">
        <is>
          <t>Cultura Autorizada na Bula</t>
        </is>
      </c>
      <c r="H4505" s="7" t="inlineStr">
        <is>
          <t>100 a 300 L/ha</t>
        </is>
      </c>
      <c r="I4505" s="7" t="inlineStr">
        <is>
          <t>20 a 40 L/ha</t>
        </is>
      </c>
      <c r="J4505" s="7" t="inlineStr">
        <is>
          <t>21 dias</t>
        </is>
      </c>
    </row>
    <row r="4506" ht="22" customHeight="1">
      <c r="A4506" s="12" t="inlineStr">
        <is>
          <t>CUL-4502</t>
        </is>
      </c>
      <c r="B4506" s="11" t="n">
        <v>915</v>
      </c>
      <c r="C4506" s="13" t="inlineStr">
        <is>
          <t>Nº 18924</t>
        </is>
      </c>
      <c r="D4506" s="14" t="inlineStr">
        <is>
          <t>TRINEXAPAC 250 EC MAXUNITECH</t>
        </is>
      </c>
      <c r="E4506" s="13" t="inlineStr">
        <is>
          <t>Pulverização Agrícola Conforme Bula</t>
        </is>
      </c>
      <c r="F4506" s="13" t="inlineStr">
        <is>
          <t>Algodão</t>
        </is>
      </c>
      <c r="G4506" s="13" t="inlineStr">
        <is>
          <t>Cultura Autorizada na Bula</t>
        </is>
      </c>
      <c r="H4506" s="13" t="inlineStr">
        <is>
          <t>100 a 300 L/ha</t>
        </is>
      </c>
      <c r="I4506" s="13" t="inlineStr">
        <is>
          <t>20 a 40 L/ha</t>
        </is>
      </c>
      <c r="J4506" s="13" t="inlineStr">
        <is>
          <t>21 dias</t>
        </is>
      </c>
    </row>
    <row r="4507" ht="22" customHeight="1">
      <c r="A4507" s="6" t="inlineStr">
        <is>
          <t>CUL-4503</t>
        </is>
      </c>
      <c r="B4507" s="5" t="n">
        <v>915</v>
      </c>
      <c r="C4507" s="7" t="inlineStr">
        <is>
          <t>Nº 18924</t>
        </is>
      </c>
      <c r="D4507" s="8" t="inlineStr">
        <is>
          <t>TRINEXAPAC 250 EC MAXUNITECH</t>
        </is>
      </c>
      <c r="E4507" s="7" t="inlineStr">
        <is>
          <t>Pulverização Agrícola Conforme Bula</t>
        </is>
      </c>
      <c r="F4507" s="7" t="inlineStr">
        <is>
          <t>Feijão</t>
        </is>
      </c>
      <c r="G4507" s="7" t="inlineStr">
        <is>
          <t>Cultura Autorizada na Bula</t>
        </is>
      </c>
      <c r="H4507" s="7" t="inlineStr">
        <is>
          <t>100 a 300 L/ha</t>
        </is>
      </c>
      <c r="I4507" s="7" t="inlineStr">
        <is>
          <t>20 a 40 L/ha</t>
        </is>
      </c>
      <c r="J4507" s="7" t="inlineStr">
        <is>
          <t>14 dias</t>
        </is>
      </c>
    </row>
    <row r="4508" ht="22" customHeight="1">
      <c r="A4508" s="12" t="inlineStr">
        <is>
          <t>CUL-4504</t>
        </is>
      </c>
      <c r="B4508" s="11" t="n">
        <v>916</v>
      </c>
      <c r="C4508" s="13" t="inlineStr">
        <is>
          <t>VINC-18924</t>
        </is>
      </c>
      <c r="D4508" s="14" t="inlineStr">
        <is>
          <t>Trinexapaque-etílico Técnico Max</t>
        </is>
      </c>
      <c r="E4508" s="13" t="inlineStr">
        <is>
          <t>Uso Exclusivamente Industrial (Formulação)</t>
        </is>
      </c>
      <c r="F4508" s="13" t="inlineStr">
        <is>
          <t>Não Aplicável (Proibido uso direto na lavoura)</t>
        </is>
      </c>
      <c r="G4508" s="13" t="inlineStr">
        <is>
          <t>Insumo Industrial</t>
        </is>
      </c>
      <c r="H4508" s="13" t="inlineStr">
        <is>
          <t>N/A</t>
        </is>
      </c>
      <c r="I4508" s="13" t="inlineStr">
        <is>
          <t>N/A</t>
        </is>
      </c>
      <c r="J4508" s="13" t="inlineStr">
        <is>
          <t>N/A (Insumo Industrial)</t>
        </is>
      </c>
    </row>
    <row r="4509" ht="22" customHeight="1">
      <c r="A4509" s="6" t="inlineStr">
        <is>
          <t>CUL-4505</t>
        </is>
      </c>
      <c r="B4509" s="5" t="n">
        <v>917</v>
      </c>
      <c r="C4509" s="7" t="inlineStr">
        <is>
          <t>Nº 19024</t>
        </is>
      </c>
      <c r="D4509" s="8" t="inlineStr">
        <is>
          <t>CALIZI</t>
        </is>
      </c>
      <c r="E4509" s="7" t="inlineStr">
        <is>
          <t>Pulverização Agrícola Conforme Bula</t>
        </is>
      </c>
      <c r="F4509" s="7" t="inlineStr">
        <is>
          <t>Soja</t>
        </is>
      </c>
      <c r="G4509" s="7" t="inlineStr">
        <is>
          <t>Cultura Autorizada na Bula</t>
        </is>
      </c>
      <c r="H4509" s="7" t="inlineStr">
        <is>
          <t>100 a 300 L/ha</t>
        </is>
      </c>
      <c r="I4509" s="7" t="inlineStr">
        <is>
          <t>20 a 40 L/ha</t>
        </is>
      </c>
      <c r="J4509" s="7" t="inlineStr">
        <is>
          <t>30 dias</t>
        </is>
      </c>
    </row>
    <row r="4510" ht="22" customHeight="1">
      <c r="A4510" s="12" t="inlineStr">
        <is>
          <t>CUL-4506</t>
        </is>
      </c>
      <c r="B4510" s="11" t="n">
        <v>917</v>
      </c>
      <c r="C4510" s="13" t="inlineStr">
        <is>
          <t>Nº 19024</t>
        </is>
      </c>
      <c r="D4510" s="14" t="inlineStr">
        <is>
          <t>CALIZI</t>
        </is>
      </c>
      <c r="E4510" s="13" t="inlineStr">
        <is>
          <t>Pulverização Agrícola Conforme Bula</t>
        </is>
      </c>
      <c r="F4510" s="13" t="inlineStr">
        <is>
          <t>Milho</t>
        </is>
      </c>
      <c r="G4510" s="13" t="inlineStr">
        <is>
          <t>Cultura Autorizada na Bula</t>
        </is>
      </c>
      <c r="H4510" s="13" t="inlineStr">
        <is>
          <t>100 a 300 L/ha</t>
        </is>
      </c>
      <c r="I4510" s="13" t="inlineStr">
        <is>
          <t>20 a 40 L/ha</t>
        </is>
      </c>
      <c r="J4510" s="13" t="inlineStr">
        <is>
          <t>15 dias</t>
        </is>
      </c>
    </row>
    <row r="4511" ht="22" customHeight="1">
      <c r="A4511" s="6" t="inlineStr">
        <is>
          <t>CUL-4507</t>
        </is>
      </c>
      <c r="B4511" s="5" t="n">
        <v>917</v>
      </c>
      <c r="C4511" s="7" t="inlineStr">
        <is>
          <t>Nº 19024</t>
        </is>
      </c>
      <c r="D4511" s="8" t="inlineStr">
        <is>
          <t>CALIZI</t>
        </is>
      </c>
      <c r="E4511" s="7" t="inlineStr">
        <is>
          <t>Pulverização Agrícola Conforme Bula</t>
        </is>
      </c>
      <c r="F4511" s="7" t="inlineStr">
        <is>
          <t>Algodão</t>
        </is>
      </c>
      <c r="G4511" s="7" t="inlineStr">
        <is>
          <t>Cultura Autorizada na Bula</t>
        </is>
      </c>
      <c r="H4511" s="7" t="inlineStr">
        <is>
          <t>100 a 300 L/ha</t>
        </is>
      </c>
      <c r="I4511" s="7" t="inlineStr">
        <is>
          <t>20 a 40 L/ha</t>
        </is>
      </c>
      <c r="J4511" s="7" t="inlineStr">
        <is>
          <t>30 dias</t>
        </is>
      </c>
    </row>
    <row r="4512" ht="22" customHeight="1">
      <c r="A4512" s="12" t="inlineStr">
        <is>
          <t>CUL-4508</t>
        </is>
      </c>
      <c r="B4512" s="11" t="n">
        <v>917</v>
      </c>
      <c r="C4512" s="13" t="inlineStr">
        <is>
          <t>Nº 19024</t>
        </is>
      </c>
      <c r="D4512" s="14" t="inlineStr">
        <is>
          <t>CALIZI</t>
        </is>
      </c>
      <c r="E4512" s="13" t="inlineStr">
        <is>
          <t>Pulverização Agrícola Conforme Bula</t>
        </is>
      </c>
      <c r="F4512" s="13" t="inlineStr">
        <is>
          <t>Trigo</t>
        </is>
      </c>
      <c r="G4512" s="13" t="inlineStr">
        <is>
          <t>Cultura Autorizada na Bula</t>
        </is>
      </c>
      <c r="H4512" s="13" t="inlineStr">
        <is>
          <t>100 a 300 L/ha</t>
        </is>
      </c>
      <c r="I4512" s="13" t="inlineStr">
        <is>
          <t>20 a 40 L/ha</t>
        </is>
      </c>
      <c r="J4512" s="13" t="inlineStr">
        <is>
          <t>35 dias</t>
        </is>
      </c>
    </row>
    <row r="4513" ht="22" customHeight="1">
      <c r="A4513" s="6" t="inlineStr">
        <is>
          <t>CUL-4509</t>
        </is>
      </c>
      <c r="B4513" s="5" t="n">
        <v>917</v>
      </c>
      <c r="C4513" s="7" t="inlineStr">
        <is>
          <t>Nº 19024</t>
        </is>
      </c>
      <c r="D4513" s="8" t="inlineStr">
        <is>
          <t>CALIZI</t>
        </is>
      </c>
      <c r="E4513" s="7" t="inlineStr">
        <is>
          <t>Pulverização Agrícola Conforme Bula</t>
        </is>
      </c>
      <c r="F4513" s="7" t="inlineStr">
        <is>
          <t>Café</t>
        </is>
      </c>
      <c r="G4513" s="7" t="inlineStr">
        <is>
          <t>Cultura Autorizada na Bula</t>
        </is>
      </c>
      <c r="H4513" s="7" t="inlineStr">
        <is>
          <t>100 a 300 L/ha</t>
        </is>
      </c>
      <c r="I4513" s="7" t="inlineStr">
        <is>
          <t>20 a 40 L/ha</t>
        </is>
      </c>
      <c r="J4513" s="7" t="inlineStr">
        <is>
          <t>30 dias</t>
        </is>
      </c>
    </row>
    <row r="4514" ht="22" customHeight="1">
      <c r="A4514" s="12" t="inlineStr">
        <is>
          <t>CUL-4510</t>
        </is>
      </c>
      <c r="B4514" s="11" t="n">
        <v>917</v>
      </c>
      <c r="C4514" s="13" t="inlineStr">
        <is>
          <t>Nº 19024</t>
        </is>
      </c>
      <c r="D4514" s="14" t="inlineStr">
        <is>
          <t>CALIZI</t>
        </is>
      </c>
      <c r="E4514" s="13" t="inlineStr">
        <is>
          <t>Pulverização Agrícola Conforme Bula</t>
        </is>
      </c>
      <c r="F4514" s="13" t="inlineStr">
        <is>
          <t>Feijão</t>
        </is>
      </c>
      <c r="G4514" s="13" t="inlineStr">
        <is>
          <t>Cultura Autorizada na Bula</t>
        </is>
      </c>
      <c r="H4514" s="13" t="inlineStr">
        <is>
          <t>100 a 300 L/ha</t>
        </is>
      </c>
      <c r="I4514" s="13" t="inlineStr">
        <is>
          <t>20 a 40 L/ha</t>
        </is>
      </c>
      <c r="J4514" s="13" t="inlineStr">
        <is>
          <t>14 dias</t>
        </is>
      </c>
    </row>
    <row r="4515" ht="22" customHeight="1">
      <c r="A4515" s="6" t="inlineStr">
        <is>
          <t>CUL-4511</t>
        </is>
      </c>
      <c r="B4515" s="5" t="n">
        <v>918</v>
      </c>
      <c r="C4515" s="7" t="inlineStr">
        <is>
          <t>VINC-19024</t>
        </is>
      </c>
      <c r="D4515" s="8" t="inlineStr">
        <is>
          <t>Azoxistrobin Técnico Sinon</t>
        </is>
      </c>
      <c r="E4515" s="7" t="inlineStr">
        <is>
          <t>Uso Exclusivamente Industrial (Formulação)</t>
        </is>
      </c>
      <c r="F4515" s="7" t="inlineStr">
        <is>
          <t>Não Aplicável (Proibido uso direto na lavoura)</t>
        </is>
      </c>
      <c r="G4515" s="7" t="inlineStr">
        <is>
          <t>Insumo Industrial</t>
        </is>
      </c>
      <c r="H4515" s="7" t="inlineStr">
        <is>
          <t>N/A</t>
        </is>
      </c>
      <c r="I4515" s="7" t="inlineStr">
        <is>
          <t>N/A</t>
        </is>
      </c>
      <c r="J4515" s="7" t="inlineStr">
        <is>
          <t>N/A (Insumo Industrial)</t>
        </is>
      </c>
    </row>
    <row r="4516" ht="22" customHeight="1">
      <c r="A4516" s="12" t="inlineStr">
        <is>
          <t>CUL-4512</t>
        </is>
      </c>
      <c r="B4516" s="11" t="n">
        <v>919</v>
      </c>
      <c r="C4516" s="13" t="inlineStr">
        <is>
          <t>Nº 19124</t>
        </is>
      </c>
      <c r="D4516" s="14" t="inlineStr">
        <is>
          <t>FLUTRIAFOL AS</t>
        </is>
      </c>
      <c r="E4516" s="13" t="inlineStr">
        <is>
          <t>Pulverização Agrícola Conforme Bula</t>
        </is>
      </c>
      <c r="F4516" s="13" t="inlineStr">
        <is>
          <t>Soja</t>
        </is>
      </c>
      <c r="G4516" s="13" t="inlineStr">
        <is>
          <t>Cultura Autorizada na Bula</t>
        </is>
      </c>
      <c r="H4516" s="13" t="inlineStr">
        <is>
          <t>100 a 300 L/ha</t>
        </is>
      </c>
      <c r="I4516" s="13" t="inlineStr">
        <is>
          <t>20 a 40 L/ha</t>
        </is>
      </c>
      <c r="J4516" s="13" t="inlineStr">
        <is>
          <t>30 dias</t>
        </is>
      </c>
    </row>
    <row r="4517" ht="22" customHeight="1">
      <c r="A4517" s="6" t="inlineStr">
        <is>
          <t>CUL-4513</t>
        </is>
      </c>
      <c r="B4517" s="5" t="n">
        <v>919</v>
      </c>
      <c r="C4517" s="7" t="inlineStr">
        <is>
          <t>Nº 19124</t>
        </is>
      </c>
      <c r="D4517" s="8" t="inlineStr">
        <is>
          <t>FLUTRIAFOL AS</t>
        </is>
      </c>
      <c r="E4517" s="7" t="inlineStr">
        <is>
          <t>Pulverização Agrícola Conforme Bula</t>
        </is>
      </c>
      <c r="F4517" s="7" t="inlineStr">
        <is>
          <t>Milho</t>
        </is>
      </c>
      <c r="G4517" s="7" t="inlineStr">
        <is>
          <t>Cultura Autorizada na Bula</t>
        </is>
      </c>
      <c r="H4517" s="7" t="inlineStr">
        <is>
          <t>100 a 300 L/ha</t>
        </is>
      </c>
      <c r="I4517" s="7" t="inlineStr">
        <is>
          <t>20 a 40 L/ha</t>
        </is>
      </c>
      <c r="J4517" s="7" t="inlineStr">
        <is>
          <t>30 dias</t>
        </is>
      </c>
    </row>
    <row r="4518" ht="22" customHeight="1">
      <c r="A4518" s="12" t="inlineStr">
        <is>
          <t>CUL-4514</t>
        </is>
      </c>
      <c r="B4518" s="11" t="n">
        <v>919</v>
      </c>
      <c r="C4518" s="13" t="inlineStr">
        <is>
          <t>Nº 19124</t>
        </is>
      </c>
      <c r="D4518" s="14" t="inlineStr">
        <is>
          <t>FLUTRIAFOL AS</t>
        </is>
      </c>
      <c r="E4518" s="13" t="inlineStr">
        <is>
          <t>Pulverização Agrícola Conforme Bula</t>
        </is>
      </c>
      <c r="F4518" s="13" t="inlineStr">
        <is>
          <t>Algodão</t>
        </is>
      </c>
      <c r="G4518" s="13" t="inlineStr">
        <is>
          <t>Cultura Autorizada na Bula</t>
        </is>
      </c>
      <c r="H4518" s="13" t="inlineStr">
        <is>
          <t>100 a 300 L/ha</t>
        </is>
      </c>
      <c r="I4518" s="13" t="inlineStr">
        <is>
          <t>20 a 40 L/ha</t>
        </is>
      </c>
      <c r="J4518" s="13" t="inlineStr">
        <is>
          <t>30 dias</t>
        </is>
      </c>
    </row>
    <row r="4519" ht="22" customHeight="1">
      <c r="A4519" s="6" t="inlineStr">
        <is>
          <t>CUL-4515</t>
        </is>
      </c>
      <c r="B4519" s="5" t="n">
        <v>919</v>
      </c>
      <c r="C4519" s="7" t="inlineStr">
        <is>
          <t>Nº 19124</t>
        </is>
      </c>
      <c r="D4519" s="8" t="inlineStr">
        <is>
          <t>FLUTRIAFOL AS</t>
        </is>
      </c>
      <c r="E4519" s="7" t="inlineStr">
        <is>
          <t>Pulverização Agrícola Conforme Bula</t>
        </is>
      </c>
      <c r="F4519" s="7" t="inlineStr">
        <is>
          <t>Trigo</t>
        </is>
      </c>
      <c r="G4519" s="7" t="inlineStr">
        <is>
          <t>Cultura Autorizada na Bula</t>
        </is>
      </c>
      <c r="H4519" s="7" t="inlineStr">
        <is>
          <t>100 a 300 L/ha</t>
        </is>
      </c>
      <c r="I4519" s="7" t="inlineStr">
        <is>
          <t>20 a 40 L/ha</t>
        </is>
      </c>
      <c r="J4519" s="7" t="inlineStr">
        <is>
          <t>30 dias</t>
        </is>
      </c>
    </row>
    <row r="4520" ht="22" customHeight="1">
      <c r="A4520" s="12" t="inlineStr">
        <is>
          <t>CUL-4516</t>
        </is>
      </c>
      <c r="B4520" s="11" t="n">
        <v>919</v>
      </c>
      <c r="C4520" s="13" t="inlineStr">
        <is>
          <t>Nº 19124</t>
        </is>
      </c>
      <c r="D4520" s="14" t="inlineStr">
        <is>
          <t>FLUTRIAFOL AS</t>
        </is>
      </c>
      <c r="E4520" s="13" t="inlineStr">
        <is>
          <t>Pulverização Agrícola Conforme Bula</t>
        </is>
      </c>
      <c r="F4520" s="13" t="inlineStr">
        <is>
          <t>Feijão</t>
        </is>
      </c>
      <c r="G4520" s="13" t="inlineStr">
        <is>
          <t>Cultura Autorizada na Bula</t>
        </is>
      </c>
      <c r="H4520" s="13" t="inlineStr">
        <is>
          <t>100 a 300 L/ha</t>
        </is>
      </c>
      <c r="I4520" s="13" t="inlineStr">
        <is>
          <t>20 a 40 L/ha</t>
        </is>
      </c>
      <c r="J4520" s="13" t="inlineStr">
        <is>
          <t>14 dias</t>
        </is>
      </c>
    </row>
    <row r="4521" ht="22" customHeight="1">
      <c r="A4521" s="6" t="inlineStr">
        <is>
          <t>CUL-4517</t>
        </is>
      </c>
      <c r="B4521" s="5" t="n">
        <v>920</v>
      </c>
      <c r="C4521" s="7" t="inlineStr">
        <is>
          <t>VINC-19124</t>
        </is>
      </c>
      <c r="D4521" s="8" t="inlineStr">
        <is>
          <t>Flutriafol Tradecorp Técnico</t>
        </is>
      </c>
      <c r="E4521" s="7" t="inlineStr">
        <is>
          <t>Uso Exclusivamente Industrial (Formulação)</t>
        </is>
      </c>
      <c r="F4521" s="7" t="inlineStr">
        <is>
          <t>Não Aplicável (Proibido uso direto na lavoura)</t>
        </is>
      </c>
      <c r="G4521" s="7" t="inlineStr">
        <is>
          <t>Insumo Industrial</t>
        </is>
      </c>
      <c r="H4521" s="7" t="inlineStr">
        <is>
          <t>N/A</t>
        </is>
      </c>
      <c r="I4521" s="7" t="inlineStr">
        <is>
          <t>N/A</t>
        </is>
      </c>
      <c r="J4521" s="7" t="inlineStr">
        <is>
          <t>N/A (Insumo Industrial)</t>
        </is>
      </c>
    </row>
    <row r="4522" ht="22" customHeight="1">
      <c r="A4522" s="12" t="inlineStr">
        <is>
          <t>CUL-4518</t>
        </is>
      </c>
      <c r="B4522" s="11" t="n">
        <v>921</v>
      </c>
      <c r="C4522" s="13" t="inlineStr">
        <is>
          <t>Nº 19224</t>
        </is>
      </c>
      <c r="D4522" s="14" t="inlineStr">
        <is>
          <t>ZOOM TOP</t>
        </is>
      </c>
      <c r="E4522" s="13" t="inlineStr">
        <is>
          <t>Pulverização Agrícola Conforme Bula</t>
        </is>
      </c>
      <c r="F4522" s="13" t="inlineStr">
        <is>
          <t>Soja</t>
        </is>
      </c>
      <c r="G4522" s="13" t="inlineStr">
        <is>
          <t>Cultura Autorizada na Bula</t>
        </is>
      </c>
      <c r="H4522" s="13" t="inlineStr">
        <is>
          <t>100 a 300 L/ha</t>
        </is>
      </c>
      <c r="I4522" s="13" t="inlineStr">
        <is>
          <t>20 a 40 L/ha</t>
        </is>
      </c>
      <c r="J4522" s="13" t="inlineStr">
        <is>
          <t>21 a 30 dias</t>
        </is>
      </c>
    </row>
    <row r="4523" ht="22" customHeight="1">
      <c r="A4523" s="6" t="inlineStr">
        <is>
          <t>CUL-4519</t>
        </is>
      </c>
      <c r="B4523" s="5" t="n">
        <v>921</v>
      </c>
      <c r="C4523" s="7" t="inlineStr">
        <is>
          <t>Nº 19224</t>
        </is>
      </c>
      <c r="D4523" s="8" t="inlineStr">
        <is>
          <t>ZOOM TOP</t>
        </is>
      </c>
      <c r="E4523" s="7" t="inlineStr">
        <is>
          <t>Pulverização Agrícola Conforme Bula</t>
        </is>
      </c>
      <c r="F4523" s="7" t="inlineStr">
        <is>
          <t>Milho</t>
        </is>
      </c>
      <c r="G4523" s="7" t="inlineStr">
        <is>
          <t>Cultura Autorizada na Bula</t>
        </is>
      </c>
      <c r="H4523" s="7" t="inlineStr">
        <is>
          <t>100 a 300 L/ha</t>
        </is>
      </c>
      <c r="I4523" s="7" t="inlineStr">
        <is>
          <t>20 a 40 L/ha</t>
        </is>
      </c>
      <c r="J4523" s="7" t="inlineStr">
        <is>
          <t>21 a 30 dias</t>
        </is>
      </c>
    </row>
    <row r="4524" ht="22" customHeight="1">
      <c r="A4524" s="12" t="inlineStr">
        <is>
          <t>CUL-4520</t>
        </is>
      </c>
      <c r="B4524" s="11" t="n">
        <v>921</v>
      </c>
      <c r="C4524" s="13" t="inlineStr">
        <is>
          <t>Nº 19224</t>
        </is>
      </c>
      <c r="D4524" s="14" t="inlineStr">
        <is>
          <t>ZOOM TOP</t>
        </is>
      </c>
      <c r="E4524" s="13" t="inlineStr">
        <is>
          <t>Pulverização Agrícola Conforme Bula</t>
        </is>
      </c>
      <c r="F4524" s="13" t="inlineStr">
        <is>
          <t>Algodão</t>
        </is>
      </c>
      <c r="G4524" s="13" t="inlineStr">
        <is>
          <t>Cultura Autorizada na Bula</t>
        </is>
      </c>
      <c r="H4524" s="13" t="inlineStr">
        <is>
          <t>100 a 300 L/ha</t>
        </is>
      </c>
      <c r="I4524" s="13" t="inlineStr">
        <is>
          <t>20 a 40 L/ha</t>
        </is>
      </c>
      <c r="J4524" s="13" t="inlineStr">
        <is>
          <t>21 a 30 dias</t>
        </is>
      </c>
    </row>
    <row r="4525" ht="22" customHeight="1">
      <c r="A4525" s="6" t="inlineStr">
        <is>
          <t>CUL-4521</t>
        </is>
      </c>
      <c r="B4525" s="5" t="n">
        <v>921</v>
      </c>
      <c r="C4525" s="7" t="inlineStr">
        <is>
          <t>Nº 19224</t>
        </is>
      </c>
      <c r="D4525" s="8" t="inlineStr">
        <is>
          <t>ZOOM TOP</t>
        </is>
      </c>
      <c r="E4525" s="7" t="inlineStr">
        <is>
          <t>Pulverização Agrícola Conforme Bula</t>
        </is>
      </c>
      <c r="F4525" s="7" t="inlineStr">
        <is>
          <t>Feijão</t>
        </is>
      </c>
      <c r="G4525" s="7" t="inlineStr">
        <is>
          <t>Cultura Autorizada na Bula</t>
        </is>
      </c>
      <c r="H4525" s="7" t="inlineStr">
        <is>
          <t>100 a 300 L/ha</t>
        </is>
      </c>
      <c r="I4525" s="7" t="inlineStr">
        <is>
          <t>20 a 40 L/ha</t>
        </is>
      </c>
      <c r="J4525" s="7" t="inlineStr">
        <is>
          <t>21 a 30 dias</t>
        </is>
      </c>
    </row>
    <row r="4526" ht="22" customHeight="1">
      <c r="A4526" s="12" t="inlineStr">
        <is>
          <t>CUL-4522</t>
        </is>
      </c>
      <c r="B4526" s="11" t="n">
        <v>921</v>
      </c>
      <c r="C4526" s="13" t="inlineStr">
        <is>
          <t>Nº 19224</t>
        </is>
      </c>
      <c r="D4526" s="14" t="inlineStr">
        <is>
          <t>ZOOM TOP</t>
        </is>
      </c>
      <c r="E4526" s="13" t="inlineStr">
        <is>
          <t>Pulverização Agrícola Conforme Bula</t>
        </is>
      </c>
      <c r="F4526" s="13" t="inlineStr">
        <is>
          <t>Trigo</t>
        </is>
      </c>
      <c r="G4526" s="13" t="inlineStr">
        <is>
          <t>Cultura Autorizada na Bula</t>
        </is>
      </c>
      <c r="H4526" s="13" t="inlineStr">
        <is>
          <t>100 a 300 L/ha</t>
        </is>
      </c>
      <c r="I4526" s="13" t="inlineStr">
        <is>
          <t>20 a 40 L/ha</t>
        </is>
      </c>
      <c r="J4526" s="13" t="inlineStr">
        <is>
          <t>21 a 30 dias</t>
        </is>
      </c>
    </row>
    <row r="4527" ht="22" customHeight="1">
      <c r="A4527" s="6" t="inlineStr">
        <is>
          <t>CUL-4523</t>
        </is>
      </c>
      <c r="B4527" s="5" t="n">
        <v>922</v>
      </c>
      <c r="C4527" s="7" t="inlineStr">
        <is>
          <t>VINC-19224</t>
        </is>
      </c>
      <c r="D4527" s="8" t="inlineStr">
        <is>
          <t>Flutriafol Técnico Sinon</t>
        </is>
      </c>
      <c r="E4527" s="7" t="inlineStr">
        <is>
          <t>Uso Exclusivamente Industrial (Formulação)</t>
        </is>
      </c>
      <c r="F4527" s="7" t="inlineStr">
        <is>
          <t>Não Aplicável (Proibido uso direto na lavoura)</t>
        </is>
      </c>
      <c r="G4527" s="7" t="inlineStr">
        <is>
          <t>Insumo Industrial</t>
        </is>
      </c>
      <c r="H4527" s="7" t="inlineStr">
        <is>
          <t>N/A</t>
        </is>
      </c>
      <c r="I4527" s="7" t="inlineStr">
        <is>
          <t>N/A</t>
        </is>
      </c>
      <c r="J4527" s="7" t="inlineStr">
        <is>
          <t>N/A (Insumo Industrial)</t>
        </is>
      </c>
    </row>
    <row r="4528" ht="22" customHeight="1">
      <c r="A4528" s="12" t="inlineStr">
        <is>
          <t>CUL-4524</t>
        </is>
      </c>
      <c r="B4528" s="11" t="n">
        <v>923</v>
      </c>
      <c r="C4528" s="13" t="inlineStr">
        <is>
          <t>Nº 19324</t>
        </is>
      </c>
      <c r="D4528" s="14" t="inlineStr">
        <is>
          <t>MESOTRIONA SOLUS</t>
        </is>
      </c>
      <c r="E4528" s="13" t="inlineStr">
        <is>
          <t>Pulverização Agrícola Conforme Bula</t>
        </is>
      </c>
      <c r="F4528" s="13" t="inlineStr">
        <is>
          <t>Milho</t>
        </is>
      </c>
      <c r="G4528" s="13" t="inlineStr">
        <is>
          <t>Cultura Autorizada na Bula</t>
        </is>
      </c>
      <c r="H4528" s="13" t="inlineStr">
        <is>
          <t>100 a 300 L/ha</t>
        </is>
      </c>
      <c r="I4528" s="13" t="inlineStr">
        <is>
          <t>20 a 40 L/ha</t>
        </is>
      </c>
      <c r="J4528" s="13" t="inlineStr">
        <is>
          <t>63 dias</t>
        </is>
      </c>
    </row>
    <row r="4529" ht="22" customHeight="1">
      <c r="A4529" s="6" t="inlineStr">
        <is>
          <t>CUL-4525</t>
        </is>
      </c>
      <c r="B4529" s="5" t="n">
        <v>923</v>
      </c>
      <c r="C4529" s="7" t="inlineStr">
        <is>
          <t>Nº 19324</t>
        </is>
      </c>
      <c r="D4529" s="8" t="inlineStr">
        <is>
          <t>MESOTRIONA SOLUS</t>
        </is>
      </c>
      <c r="E4529" s="7" t="inlineStr">
        <is>
          <t>Pulverização Agrícola Conforme Bula</t>
        </is>
      </c>
      <c r="F4529" s="7" t="inlineStr">
        <is>
          <t>Cana-de-açúcar</t>
        </is>
      </c>
      <c r="G4529" s="7" t="inlineStr">
        <is>
          <t>Cultura Autorizada na Bula</t>
        </is>
      </c>
      <c r="H4529" s="7" t="inlineStr">
        <is>
          <t>100 a 300 L/ha</t>
        </is>
      </c>
      <c r="I4529" s="7" t="inlineStr">
        <is>
          <t>20 a 40 L/ha</t>
        </is>
      </c>
      <c r="J4529" s="7" t="inlineStr">
        <is>
          <t>150 dias</t>
        </is>
      </c>
    </row>
    <row r="4530" ht="22" customHeight="1">
      <c r="A4530" s="12" t="inlineStr">
        <is>
          <t>CUL-4526</t>
        </is>
      </c>
      <c r="B4530" s="11" t="n">
        <v>923</v>
      </c>
      <c r="C4530" s="13" t="inlineStr">
        <is>
          <t>Nº 19324</t>
        </is>
      </c>
      <c r="D4530" s="14" t="inlineStr">
        <is>
          <t>MESOTRIONA SOLUS</t>
        </is>
      </c>
      <c r="E4530" s="13" t="inlineStr">
        <is>
          <t>Pulverização Agrícola Conforme Bula</t>
        </is>
      </c>
      <c r="F4530" s="13" t="inlineStr">
        <is>
          <t>Milheto</t>
        </is>
      </c>
      <c r="G4530" s="13" t="inlineStr">
        <is>
          <t>Cultura Autorizada na Bula</t>
        </is>
      </c>
      <c r="H4530" s="13" t="inlineStr">
        <is>
          <t>100 a 300 L/ha</t>
        </is>
      </c>
      <c r="I4530" s="13" t="inlineStr">
        <is>
          <t>20 a 40 L/ha</t>
        </is>
      </c>
      <c r="J4530" s="13" t="inlineStr">
        <is>
          <t>60 dias</t>
        </is>
      </c>
    </row>
    <row r="4531" ht="22" customHeight="1">
      <c r="A4531" s="6" t="inlineStr">
        <is>
          <t>CUL-4527</t>
        </is>
      </c>
      <c r="B4531" s="5" t="n">
        <v>923</v>
      </c>
      <c r="C4531" s="7" t="inlineStr">
        <is>
          <t>Nº 19324</t>
        </is>
      </c>
      <c r="D4531" s="8" t="inlineStr">
        <is>
          <t>MESOTRIONA SOLUS</t>
        </is>
      </c>
      <c r="E4531" s="7" t="inlineStr">
        <is>
          <t>Pulverização Agrícola Conforme Bula</t>
        </is>
      </c>
      <c r="F4531" s="7" t="inlineStr">
        <is>
          <t>Sorgo</t>
        </is>
      </c>
      <c r="G4531" s="7" t="inlineStr">
        <is>
          <t>Cultura Autorizada na Bula</t>
        </is>
      </c>
      <c r="H4531" s="7" t="inlineStr">
        <is>
          <t>100 a 300 L/ha</t>
        </is>
      </c>
      <c r="I4531" s="7" t="inlineStr">
        <is>
          <t>20 a 40 L/ha</t>
        </is>
      </c>
      <c r="J4531" s="7" t="inlineStr">
        <is>
          <t>60 dias</t>
        </is>
      </c>
    </row>
    <row r="4532" ht="22" customHeight="1">
      <c r="A4532" s="12" t="inlineStr">
        <is>
          <t>CUL-4528</t>
        </is>
      </c>
      <c r="B4532" s="11" t="n">
        <v>924</v>
      </c>
      <c r="C4532" s="13" t="inlineStr">
        <is>
          <t>VINC-19324</t>
        </is>
      </c>
      <c r="D4532" s="14" t="inlineStr">
        <is>
          <t>Mesotriona Técnico Solus</t>
        </is>
      </c>
      <c r="E4532" s="13" t="inlineStr">
        <is>
          <t>Uso Exclusivamente Industrial (Formulação)</t>
        </is>
      </c>
      <c r="F4532" s="13" t="inlineStr">
        <is>
          <t>Não Aplicável (Proibido uso direto na lavoura)</t>
        </is>
      </c>
      <c r="G4532" s="13" t="inlineStr">
        <is>
          <t>Insumo Industrial</t>
        </is>
      </c>
      <c r="H4532" s="13" t="inlineStr">
        <is>
          <t>N/A</t>
        </is>
      </c>
      <c r="I4532" s="13" t="inlineStr">
        <is>
          <t>N/A</t>
        </is>
      </c>
      <c r="J4532" s="13" t="inlineStr">
        <is>
          <t>N/A (Insumo Industrial)</t>
        </is>
      </c>
    </row>
    <row r="4533" ht="22" customHeight="1">
      <c r="A4533" s="6" t="inlineStr">
        <is>
          <t>CUL-4529</t>
        </is>
      </c>
      <c r="B4533" s="5" t="n">
        <v>925</v>
      </c>
      <c r="C4533" s="7" t="inlineStr">
        <is>
          <t>Nº 19424</t>
        </is>
      </c>
      <c r="D4533" s="8" t="inlineStr">
        <is>
          <t>TRINEXAPAQUE ASCENZA EC</t>
        </is>
      </c>
      <c r="E4533" s="7" t="inlineStr">
        <is>
          <t>Pulverização Agrícola Conforme Bula</t>
        </is>
      </c>
      <c r="F4533" s="7" t="inlineStr">
        <is>
          <t>Soja</t>
        </is>
      </c>
      <c r="G4533" s="7" t="inlineStr">
        <is>
          <t>Cultura Autorizada na Bula</t>
        </is>
      </c>
      <c r="H4533" s="7" t="inlineStr">
        <is>
          <t>100 a 300 L/ha</t>
        </is>
      </c>
      <c r="I4533" s="7" t="inlineStr">
        <is>
          <t>20 a 40 L/ha</t>
        </is>
      </c>
      <c r="J4533" s="7" t="inlineStr">
        <is>
          <t>21 dias</t>
        </is>
      </c>
    </row>
    <row r="4534" ht="22" customHeight="1">
      <c r="A4534" s="12" t="inlineStr">
        <is>
          <t>CUL-4530</t>
        </is>
      </c>
      <c r="B4534" s="11" t="n">
        <v>925</v>
      </c>
      <c r="C4534" s="13" t="inlineStr">
        <is>
          <t>Nº 19424</t>
        </is>
      </c>
      <c r="D4534" s="14" t="inlineStr">
        <is>
          <t>TRINEXAPAQUE ASCENZA EC</t>
        </is>
      </c>
      <c r="E4534" s="13" t="inlineStr">
        <is>
          <t>Pulverização Agrícola Conforme Bula</t>
        </is>
      </c>
      <c r="F4534" s="13" t="inlineStr">
        <is>
          <t>Milho</t>
        </is>
      </c>
      <c r="G4534" s="13" t="inlineStr">
        <is>
          <t>Cultura Autorizada na Bula</t>
        </is>
      </c>
      <c r="H4534" s="13" t="inlineStr">
        <is>
          <t>100 a 300 L/ha</t>
        </is>
      </c>
      <c r="I4534" s="13" t="inlineStr">
        <is>
          <t>20 a 40 L/ha</t>
        </is>
      </c>
      <c r="J4534" s="13" t="inlineStr">
        <is>
          <t>21 dias</t>
        </is>
      </c>
    </row>
    <row r="4535" ht="22" customHeight="1">
      <c r="A4535" s="6" t="inlineStr">
        <is>
          <t>CUL-4531</t>
        </is>
      </c>
      <c r="B4535" s="5" t="n">
        <v>925</v>
      </c>
      <c r="C4535" s="7" t="inlineStr">
        <is>
          <t>Nº 19424</t>
        </is>
      </c>
      <c r="D4535" s="8" t="inlineStr">
        <is>
          <t>TRINEXAPAQUE ASCENZA EC</t>
        </is>
      </c>
      <c r="E4535" s="7" t="inlineStr">
        <is>
          <t>Pulverização Agrícola Conforme Bula</t>
        </is>
      </c>
      <c r="F4535" s="7" t="inlineStr">
        <is>
          <t>Algodão</t>
        </is>
      </c>
      <c r="G4535" s="7" t="inlineStr">
        <is>
          <t>Cultura Autorizada na Bula</t>
        </is>
      </c>
      <c r="H4535" s="7" t="inlineStr">
        <is>
          <t>100 a 300 L/ha</t>
        </is>
      </c>
      <c r="I4535" s="7" t="inlineStr">
        <is>
          <t>20 a 40 L/ha</t>
        </is>
      </c>
      <c r="J4535" s="7" t="inlineStr">
        <is>
          <t>21 dias</t>
        </is>
      </c>
    </row>
    <row r="4536" ht="22" customHeight="1">
      <c r="A4536" s="12" t="inlineStr">
        <is>
          <t>CUL-4532</t>
        </is>
      </c>
      <c r="B4536" s="11" t="n">
        <v>925</v>
      </c>
      <c r="C4536" s="13" t="inlineStr">
        <is>
          <t>Nº 19424</t>
        </is>
      </c>
      <c r="D4536" s="14" t="inlineStr">
        <is>
          <t>TRINEXAPAQUE ASCENZA EC</t>
        </is>
      </c>
      <c r="E4536" s="13" t="inlineStr">
        <is>
          <t>Pulverização Agrícola Conforme Bula</t>
        </is>
      </c>
      <c r="F4536" s="13" t="inlineStr">
        <is>
          <t>Feijão</t>
        </is>
      </c>
      <c r="G4536" s="13" t="inlineStr">
        <is>
          <t>Cultura Autorizada na Bula</t>
        </is>
      </c>
      <c r="H4536" s="13" t="inlineStr">
        <is>
          <t>100 a 300 L/ha</t>
        </is>
      </c>
      <c r="I4536" s="13" t="inlineStr">
        <is>
          <t>20 a 40 L/ha</t>
        </is>
      </c>
      <c r="J4536" s="13" t="inlineStr">
        <is>
          <t>14 dias</t>
        </is>
      </c>
    </row>
    <row r="4537" ht="22" customHeight="1">
      <c r="A4537" s="6" t="inlineStr">
        <is>
          <t>CUL-4533</t>
        </is>
      </c>
      <c r="B4537" s="5" t="n">
        <v>926</v>
      </c>
      <c r="C4537" s="7" t="inlineStr">
        <is>
          <t>VINC-19424</t>
        </is>
      </c>
      <c r="D4537" s="8" t="inlineStr">
        <is>
          <t>Trinexapaque-Etílico Ascenza Técnico</t>
        </is>
      </c>
      <c r="E4537" s="7" t="inlineStr">
        <is>
          <t>Uso Exclusivamente Industrial (Formulação)</t>
        </is>
      </c>
      <c r="F4537" s="7" t="inlineStr">
        <is>
          <t>Não Aplicável (Proibido uso direto na lavoura)</t>
        </is>
      </c>
      <c r="G4537" s="7" t="inlineStr">
        <is>
          <t>Insumo Industrial</t>
        </is>
      </c>
      <c r="H4537" s="7" t="inlineStr">
        <is>
          <t>N/A</t>
        </is>
      </c>
      <c r="I4537" s="7" t="inlineStr">
        <is>
          <t>N/A</t>
        </is>
      </c>
      <c r="J4537" s="7" t="inlineStr">
        <is>
          <t>N/A (Insumo Industrial)</t>
        </is>
      </c>
    </row>
    <row r="4538" ht="22" customHeight="1">
      <c r="A4538" s="12" t="inlineStr">
        <is>
          <t>CUL-4534</t>
        </is>
      </c>
      <c r="B4538" s="11" t="n">
        <v>927</v>
      </c>
      <c r="C4538" s="13" t="inlineStr">
        <is>
          <t>Nº 19524</t>
        </is>
      </c>
      <c r="D4538" s="14" t="inlineStr">
        <is>
          <t>CARAVANA 806 SL</t>
        </is>
      </c>
      <c r="E4538" s="13" t="inlineStr">
        <is>
          <t>Pulverização Agrícola Conforme Bula</t>
        </is>
      </c>
      <c r="F4538" s="13" t="inlineStr">
        <is>
          <t>Soja (Dessecação Pré-Plantio)</t>
        </is>
      </c>
      <c r="G4538" s="13" t="inlineStr">
        <is>
          <t>Cultura Autorizada na Bula</t>
        </is>
      </c>
      <c r="H4538" s="13" t="inlineStr">
        <is>
          <t>100 a 300 L/ha</t>
        </is>
      </c>
      <c r="I4538" s="13" t="inlineStr">
        <is>
          <t>20 a 40 L/ha</t>
        </is>
      </c>
      <c r="J4538" s="13" t="inlineStr">
        <is>
          <t>N/D</t>
        </is>
      </c>
    </row>
    <row r="4539" ht="22" customHeight="1">
      <c r="A4539" s="6" t="inlineStr">
        <is>
          <t>CUL-4535</t>
        </is>
      </c>
      <c r="B4539" s="5" t="n">
        <v>927</v>
      </c>
      <c r="C4539" s="7" t="inlineStr">
        <is>
          <t>Nº 19524</t>
        </is>
      </c>
      <c r="D4539" s="8" t="inlineStr">
        <is>
          <t>CARAVANA 806 SL</t>
        </is>
      </c>
      <c r="E4539" s="7" t="inlineStr">
        <is>
          <t>Pulverização Agrícola Conforme Bula</t>
        </is>
      </c>
      <c r="F4539" s="7" t="inlineStr">
        <is>
          <t>Milho</t>
        </is>
      </c>
      <c r="G4539" s="7" t="inlineStr">
        <is>
          <t>Cultura Autorizada na Bula</t>
        </is>
      </c>
      <c r="H4539" s="7" t="inlineStr">
        <is>
          <t>100 a 300 L/ha</t>
        </is>
      </c>
      <c r="I4539" s="7" t="inlineStr">
        <is>
          <t>20 a 40 L/ha</t>
        </is>
      </c>
      <c r="J4539" s="7" t="inlineStr">
        <is>
          <t>40 dias</t>
        </is>
      </c>
    </row>
    <row r="4540" ht="22" customHeight="1">
      <c r="A4540" s="12" t="inlineStr">
        <is>
          <t>CUL-4536</t>
        </is>
      </c>
      <c r="B4540" s="11" t="n">
        <v>927</v>
      </c>
      <c r="C4540" s="13" t="inlineStr">
        <is>
          <t>Nº 19524</t>
        </is>
      </c>
      <c r="D4540" s="14" t="inlineStr">
        <is>
          <t>CARAVANA 806 SL</t>
        </is>
      </c>
      <c r="E4540" s="13" t="inlineStr">
        <is>
          <t>Pulverização Agrícola Conforme Bula</t>
        </is>
      </c>
      <c r="F4540" s="13" t="inlineStr">
        <is>
          <t>Cana-de-açúcar</t>
        </is>
      </c>
      <c r="G4540" s="13" t="inlineStr">
        <is>
          <t>Cultura Autorizada na Bula</t>
        </is>
      </c>
      <c r="H4540" s="13" t="inlineStr">
        <is>
          <t>100 a 300 L/ha</t>
        </is>
      </c>
      <c r="I4540" s="13" t="inlineStr">
        <is>
          <t>20 a 40 L/ha</t>
        </is>
      </c>
      <c r="J4540" s="13" t="inlineStr">
        <is>
          <t>N/D</t>
        </is>
      </c>
    </row>
    <row r="4541" ht="22" customHeight="1">
      <c r="A4541" s="6" t="inlineStr">
        <is>
          <t>CUL-4537</t>
        </is>
      </c>
      <c r="B4541" s="5" t="n">
        <v>927</v>
      </c>
      <c r="C4541" s="7" t="inlineStr">
        <is>
          <t>Nº 19524</t>
        </is>
      </c>
      <c r="D4541" s="8" t="inlineStr">
        <is>
          <t>CARAVANA 806 SL</t>
        </is>
      </c>
      <c r="E4541" s="7" t="inlineStr">
        <is>
          <t>Pulverização Agrícola Conforme Bula</t>
        </is>
      </c>
      <c r="F4541" s="7" t="inlineStr">
        <is>
          <t>Trigo</t>
        </is>
      </c>
      <c r="G4541" s="7" t="inlineStr">
        <is>
          <t>Cultura Autorizada na Bula</t>
        </is>
      </c>
      <c r="H4541" s="7" t="inlineStr">
        <is>
          <t>100 a 300 L/ha</t>
        </is>
      </c>
      <c r="I4541" s="7" t="inlineStr">
        <is>
          <t>20 a 40 L/ha</t>
        </is>
      </c>
      <c r="J4541" s="7" t="inlineStr">
        <is>
          <t>45 dias</t>
        </is>
      </c>
    </row>
    <row r="4542" ht="22" customHeight="1">
      <c r="A4542" s="12" t="inlineStr">
        <is>
          <t>CUL-4538</t>
        </is>
      </c>
      <c r="B4542" s="11" t="n">
        <v>927</v>
      </c>
      <c r="C4542" s="13" t="inlineStr">
        <is>
          <t>Nº 19524</t>
        </is>
      </c>
      <c r="D4542" s="14" t="inlineStr">
        <is>
          <t>CARAVANA 806 SL</t>
        </is>
      </c>
      <c r="E4542" s="13" t="inlineStr">
        <is>
          <t>Pulverização Agrícola Conforme Bula</t>
        </is>
      </c>
      <c r="F4542" s="13" t="inlineStr">
        <is>
          <t>Pastagens</t>
        </is>
      </c>
      <c r="G4542" s="13" t="inlineStr">
        <is>
          <t>Cultura Autorizada na Bula</t>
        </is>
      </c>
      <c r="H4542" s="13" t="inlineStr">
        <is>
          <t>100 a 300 L/ha</t>
        </is>
      </c>
      <c r="I4542" s="13" t="inlineStr">
        <is>
          <t>20 a 40 L/ha</t>
        </is>
      </c>
      <c r="J4542" s="13" t="inlineStr">
        <is>
          <t>N/D</t>
        </is>
      </c>
    </row>
    <row r="4543" ht="22" customHeight="1">
      <c r="A4543" s="6" t="inlineStr">
        <is>
          <t>CUL-4539</t>
        </is>
      </c>
      <c r="B4543" s="5" t="n">
        <v>927</v>
      </c>
      <c r="C4543" s="7" t="inlineStr">
        <is>
          <t>Nº 19524</t>
        </is>
      </c>
      <c r="D4543" s="8" t="inlineStr">
        <is>
          <t>CARAVANA 806 SL</t>
        </is>
      </c>
      <c r="E4543" s="7" t="inlineStr">
        <is>
          <t>Pulverização Agrícola Conforme Bula</t>
        </is>
      </c>
      <c r="F4543" s="7" t="inlineStr">
        <is>
          <t>Arroz</t>
        </is>
      </c>
      <c r="G4543" s="7" t="inlineStr">
        <is>
          <t>Cultura Autorizada na Bula</t>
        </is>
      </c>
      <c r="H4543" s="7" t="inlineStr">
        <is>
          <t>100 a 300 L/ha</t>
        </is>
      </c>
      <c r="I4543" s="7" t="inlineStr">
        <is>
          <t>20 a 40 L/ha</t>
        </is>
      </c>
      <c r="J4543" s="7" t="inlineStr">
        <is>
          <t>60 dias</t>
        </is>
      </c>
    </row>
    <row r="4544" ht="22" customHeight="1">
      <c r="A4544" s="12" t="inlineStr">
        <is>
          <t>CUL-4540</t>
        </is>
      </c>
      <c r="B4544" s="11" t="n">
        <v>928</v>
      </c>
      <c r="C4544" s="13" t="inlineStr">
        <is>
          <t>VINC-19524</t>
        </is>
      </c>
      <c r="D4544" s="14" t="inlineStr">
        <is>
          <t>2,4-D Técnico MCR</t>
        </is>
      </c>
      <c r="E4544" s="13" t="inlineStr">
        <is>
          <t>Uso Exclusivamente Industrial (Formulação)</t>
        </is>
      </c>
      <c r="F4544" s="13" t="inlineStr">
        <is>
          <t>Não Aplicável (Proibido uso direto na lavoura)</t>
        </is>
      </c>
      <c r="G4544" s="13" t="inlineStr">
        <is>
          <t>Insumo Industrial</t>
        </is>
      </c>
      <c r="H4544" s="13" t="inlineStr">
        <is>
          <t>N/A</t>
        </is>
      </c>
      <c r="I4544" s="13" t="inlineStr">
        <is>
          <t>N/A</t>
        </is>
      </c>
      <c r="J4544" s="13" t="inlineStr">
        <is>
          <t>N/A (Insumo Industrial)</t>
        </is>
      </c>
    </row>
    <row r="4545" ht="22" customHeight="1">
      <c r="A4545" s="6" t="inlineStr">
        <is>
          <t>CUL-4541</t>
        </is>
      </c>
      <c r="B4545" s="5" t="n">
        <v>929</v>
      </c>
      <c r="C4545" s="7" t="inlineStr">
        <is>
          <t>Nº 19624</t>
        </is>
      </c>
      <c r="D4545" s="8" t="inlineStr">
        <is>
          <t>PIRIPROXIFEM BRX</t>
        </is>
      </c>
      <c r="E4545" s="7" t="inlineStr">
        <is>
          <t>Pulverização Agrícola Conforme Bula</t>
        </is>
      </c>
      <c r="F4545" s="7" t="inlineStr">
        <is>
          <t>Soja</t>
        </is>
      </c>
      <c r="G4545" s="7" t="inlineStr">
        <is>
          <t>Cultura Autorizada na Bula</t>
        </is>
      </c>
      <c r="H4545" s="7" t="inlineStr">
        <is>
          <t>100 a 300 L/ha</t>
        </is>
      </c>
      <c r="I4545" s="7" t="inlineStr">
        <is>
          <t>20 a 40 L/ha</t>
        </is>
      </c>
      <c r="J4545" s="7" t="inlineStr">
        <is>
          <t>21 a 30 dias</t>
        </is>
      </c>
    </row>
    <row r="4546" ht="22" customHeight="1">
      <c r="A4546" s="12" t="inlineStr">
        <is>
          <t>CUL-4542</t>
        </is>
      </c>
      <c r="B4546" s="11" t="n">
        <v>929</v>
      </c>
      <c r="C4546" s="13" t="inlineStr">
        <is>
          <t>Nº 19624</t>
        </is>
      </c>
      <c r="D4546" s="14" t="inlineStr">
        <is>
          <t>PIRIPROXIFEM BRX</t>
        </is>
      </c>
      <c r="E4546" s="13" t="inlineStr">
        <is>
          <t>Pulverização Agrícola Conforme Bula</t>
        </is>
      </c>
      <c r="F4546" s="13" t="inlineStr">
        <is>
          <t>Milho</t>
        </is>
      </c>
      <c r="G4546" s="13" t="inlineStr">
        <is>
          <t>Cultura Autorizada na Bula</t>
        </is>
      </c>
      <c r="H4546" s="13" t="inlineStr">
        <is>
          <t>100 a 300 L/ha</t>
        </is>
      </c>
      <c r="I4546" s="13" t="inlineStr">
        <is>
          <t>20 a 40 L/ha</t>
        </is>
      </c>
      <c r="J4546" s="13" t="inlineStr">
        <is>
          <t>21 a 30 dias</t>
        </is>
      </c>
    </row>
    <row r="4547" ht="22" customHeight="1">
      <c r="A4547" s="6" t="inlineStr">
        <is>
          <t>CUL-4543</t>
        </is>
      </c>
      <c r="B4547" s="5" t="n">
        <v>929</v>
      </c>
      <c r="C4547" s="7" t="inlineStr">
        <is>
          <t>Nº 19624</t>
        </is>
      </c>
      <c r="D4547" s="8" t="inlineStr">
        <is>
          <t>PIRIPROXIFEM BRX</t>
        </is>
      </c>
      <c r="E4547" s="7" t="inlineStr">
        <is>
          <t>Pulverização Agrícola Conforme Bula</t>
        </is>
      </c>
      <c r="F4547" s="7" t="inlineStr">
        <is>
          <t>Algodão</t>
        </is>
      </c>
      <c r="G4547" s="7" t="inlineStr">
        <is>
          <t>Cultura Autorizada na Bula</t>
        </is>
      </c>
      <c r="H4547" s="7" t="inlineStr">
        <is>
          <t>100 a 300 L/ha</t>
        </is>
      </c>
      <c r="I4547" s="7" t="inlineStr">
        <is>
          <t>20 a 40 L/ha</t>
        </is>
      </c>
      <c r="J4547" s="7" t="inlineStr">
        <is>
          <t>21 a 30 dias</t>
        </is>
      </c>
    </row>
    <row r="4548" ht="22" customHeight="1">
      <c r="A4548" s="12" t="inlineStr">
        <is>
          <t>CUL-4544</t>
        </is>
      </c>
      <c r="B4548" s="11" t="n">
        <v>929</v>
      </c>
      <c r="C4548" s="13" t="inlineStr">
        <is>
          <t>Nº 19624</t>
        </is>
      </c>
      <c r="D4548" s="14" t="inlineStr">
        <is>
          <t>PIRIPROXIFEM BRX</t>
        </is>
      </c>
      <c r="E4548" s="13" t="inlineStr">
        <is>
          <t>Pulverização Agrícola Conforme Bula</t>
        </is>
      </c>
      <c r="F4548" s="13" t="inlineStr">
        <is>
          <t>Feijão</t>
        </is>
      </c>
      <c r="G4548" s="13" t="inlineStr">
        <is>
          <t>Cultura Autorizada na Bula</t>
        </is>
      </c>
      <c r="H4548" s="13" t="inlineStr">
        <is>
          <t>100 a 300 L/ha</t>
        </is>
      </c>
      <c r="I4548" s="13" t="inlineStr">
        <is>
          <t>20 a 40 L/ha</t>
        </is>
      </c>
      <c r="J4548" s="13" t="inlineStr">
        <is>
          <t>21 a 30 dias</t>
        </is>
      </c>
    </row>
    <row r="4549" ht="22" customHeight="1">
      <c r="A4549" s="6" t="inlineStr">
        <is>
          <t>CUL-4545</t>
        </is>
      </c>
      <c r="B4549" s="5" t="n">
        <v>929</v>
      </c>
      <c r="C4549" s="7" t="inlineStr">
        <is>
          <t>Nº 19624</t>
        </is>
      </c>
      <c r="D4549" s="8" t="inlineStr">
        <is>
          <t>PIRIPROXIFEM BRX</t>
        </is>
      </c>
      <c r="E4549" s="7" t="inlineStr">
        <is>
          <t>Pulverização Agrícola Conforme Bula</t>
        </is>
      </c>
      <c r="F4549" s="7" t="inlineStr">
        <is>
          <t>Trigo</t>
        </is>
      </c>
      <c r="G4549" s="7" t="inlineStr">
        <is>
          <t>Cultura Autorizada na Bula</t>
        </is>
      </c>
      <c r="H4549" s="7" t="inlineStr">
        <is>
          <t>100 a 300 L/ha</t>
        </is>
      </c>
      <c r="I4549" s="7" t="inlineStr">
        <is>
          <t>20 a 40 L/ha</t>
        </is>
      </c>
      <c r="J4549" s="7" t="inlineStr">
        <is>
          <t>21 a 30 dias</t>
        </is>
      </c>
    </row>
    <row r="4550" ht="22" customHeight="1">
      <c r="A4550" s="12" t="inlineStr">
        <is>
          <t>CUL-4546</t>
        </is>
      </c>
      <c r="B4550" s="11" t="n">
        <v>930</v>
      </c>
      <c r="C4550" s="13" t="inlineStr">
        <is>
          <t>VINC-19624</t>
        </is>
      </c>
      <c r="D4550" s="14" t="inlineStr">
        <is>
          <t>Piriproxifen Técnico Nortox</t>
        </is>
      </c>
      <c r="E4550" s="13" t="inlineStr">
        <is>
          <t>Uso Exclusivamente Industrial (Formulação)</t>
        </is>
      </c>
      <c r="F4550" s="13" t="inlineStr">
        <is>
          <t>Não Aplicável (Proibido uso direto na lavoura)</t>
        </is>
      </c>
      <c r="G4550" s="13" t="inlineStr">
        <is>
          <t>Insumo Industrial</t>
        </is>
      </c>
      <c r="H4550" s="13" t="inlineStr">
        <is>
          <t>N/A</t>
        </is>
      </c>
      <c r="I4550" s="13" t="inlineStr">
        <is>
          <t>N/A</t>
        </is>
      </c>
      <c r="J4550" s="13" t="inlineStr">
        <is>
          <t>N/A (Insumo Industrial)</t>
        </is>
      </c>
    </row>
    <row r="4551" ht="22" customHeight="1">
      <c r="A4551" s="6" t="inlineStr">
        <is>
          <t>CUL-4547</t>
        </is>
      </c>
      <c r="B4551" s="5" t="n">
        <v>931</v>
      </c>
      <c r="C4551" s="7" t="inlineStr">
        <is>
          <t>Nº 19724</t>
        </is>
      </c>
      <c r="D4551" s="8" t="inlineStr">
        <is>
          <t>SONET</t>
        </is>
      </c>
      <c r="E4551" s="7" t="inlineStr">
        <is>
          <t>Pulverização Agrícola Conforme Bula</t>
        </is>
      </c>
      <c r="F4551" s="7" t="inlineStr">
        <is>
          <t>Soja</t>
        </is>
      </c>
      <c r="G4551" s="7" t="inlineStr">
        <is>
          <t>Cultura Autorizada na Bula</t>
        </is>
      </c>
      <c r="H4551" s="7" t="inlineStr">
        <is>
          <t>100 a 300 L/ha</t>
        </is>
      </c>
      <c r="I4551" s="7" t="inlineStr">
        <is>
          <t>20 a 40 L/ha</t>
        </is>
      </c>
      <c r="J4551" s="7" t="inlineStr">
        <is>
          <t>30 dias</t>
        </is>
      </c>
    </row>
    <row r="4552" ht="22" customHeight="1">
      <c r="A4552" s="12" t="inlineStr">
        <is>
          <t>CUL-4548</t>
        </is>
      </c>
      <c r="B4552" s="11" t="n">
        <v>931</v>
      </c>
      <c r="C4552" s="13" t="inlineStr">
        <is>
          <t>Nº 19724</t>
        </is>
      </c>
      <c r="D4552" s="14" t="inlineStr">
        <is>
          <t>SONET</t>
        </is>
      </c>
      <c r="E4552" s="13" t="inlineStr">
        <is>
          <t>Pulverização Agrícola Conforme Bula</t>
        </is>
      </c>
      <c r="F4552" s="13" t="inlineStr">
        <is>
          <t>Algodão</t>
        </is>
      </c>
      <c r="G4552" s="13" t="inlineStr">
        <is>
          <t>Cultura Autorizada na Bula</t>
        </is>
      </c>
      <c r="H4552" s="13" t="inlineStr">
        <is>
          <t>100 a 300 L/ha</t>
        </is>
      </c>
      <c r="I4552" s="13" t="inlineStr">
        <is>
          <t>20 a 40 L/ha</t>
        </is>
      </c>
      <c r="J4552" s="13" t="inlineStr">
        <is>
          <t>14 dias</t>
        </is>
      </c>
    </row>
    <row r="4553" ht="22" customHeight="1">
      <c r="A4553" s="6" t="inlineStr">
        <is>
          <t>CUL-4549</t>
        </is>
      </c>
      <c r="B4553" s="5" t="n">
        <v>931</v>
      </c>
      <c r="C4553" s="7" t="inlineStr">
        <is>
          <t>Nº 19724</t>
        </is>
      </c>
      <c r="D4553" s="8" t="inlineStr">
        <is>
          <t>SONET</t>
        </is>
      </c>
      <c r="E4553" s="7" t="inlineStr">
        <is>
          <t>Pulverização Agrícola Conforme Bula</t>
        </is>
      </c>
      <c r="F4553" s="7" t="inlineStr">
        <is>
          <t>Feijão</t>
        </is>
      </c>
      <c r="G4553" s="7" t="inlineStr">
        <is>
          <t>Cultura Autorizada na Bula</t>
        </is>
      </c>
      <c r="H4553" s="7" t="inlineStr">
        <is>
          <t>100 a 300 L/ha</t>
        </is>
      </c>
      <c r="I4553" s="7" t="inlineStr">
        <is>
          <t>20 a 40 L/ha</t>
        </is>
      </c>
      <c r="J4553" s="7" t="inlineStr">
        <is>
          <t>14 dias</t>
        </is>
      </c>
    </row>
    <row r="4554" ht="22" customHeight="1">
      <c r="A4554" s="12" t="inlineStr">
        <is>
          <t>CUL-4550</t>
        </is>
      </c>
      <c r="B4554" s="11" t="n">
        <v>931</v>
      </c>
      <c r="C4554" s="13" t="inlineStr">
        <is>
          <t>Nº 19724</t>
        </is>
      </c>
      <c r="D4554" s="14" t="inlineStr">
        <is>
          <t>SONET</t>
        </is>
      </c>
      <c r="E4554" s="13" t="inlineStr">
        <is>
          <t>Pulverização Agrícola Conforme Bula</t>
        </is>
      </c>
      <c r="F4554" s="13" t="inlineStr">
        <is>
          <t>Citros</t>
        </is>
      </c>
      <c r="G4554" s="13" t="inlineStr">
        <is>
          <t>Cultura Autorizada na Bula</t>
        </is>
      </c>
      <c r="H4554" s="13" t="inlineStr">
        <is>
          <t>100 a 300 L/ha</t>
        </is>
      </c>
      <c r="I4554" s="13" t="inlineStr">
        <is>
          <t>20 a 40 L/ha</t>
        </is>
      </c>
      <c r="J4554" s="13" t="inlineStr">
        <is>
          <t>14 dias</t>
        </is>
      </c>
    </row>
    <row r="4555" ht="22" customHeight="1">
      <c r="A4555" s="6" t="inlineStr">
        <is>
          <t>CUL-4551</t>
        </is>
      </c>
      <c r="B4555" s="5" t="n">
        <v>931</v>
      </c>
      <c r="C4555" s="7" t="inlineStr">
        <is>
          <t>Nº 19724</t>
        </is>
      </c>
      <c r="D4555" s="8" t="inlineStr">
        <is>
          <t>SONET</t>
        </is>
      </c>
      <c r="E4555" s="7" t="inlineStr">
        <is>
          <t>Pulverização Agrícola Conforme Bula</t>
        </is>
      </c>
      <c r="F4555" s="7" t="inlineStr">
        <is>
          <t>Melão</t>
        </is>
      </c>
      <c r="G4555" s="7" t="inlineStr">
        <is>
          <t>Cultura Autorizada na Bula</t>
        </is>
      </c>
      <c r="H4555" s="7" t="inlineStr">
        <is>
          <t>100 a 300 L/ha</t>
        </is>
      </c>
      <c r="I4555" s="7" t="inlineStr">
        <is>
          <t>20 a 40 L/ha</t>
        </is>
      </c>
      <c r="J4555" s="7" t="inlineStr">
        <is>
          <t>7 dias</t>
        </is>
      </c>
    </row>
    <row r="4556" ht="22" customHeight="1">
      <c r="A4556" s="12" t="inlineStr">
        <is>
          <t>CUL-4552</t>
        </is>
      </c>
      <c r="B4556" s="11" t="n">
        <v>931</v>
      </c>
      <c r="C4556" s="13" t="inlineStr">
        <is>
          <t>Nº 19724</t>
        </is>
      </c>
      <c r="D4556" s="14" t="inlineStr">
        <is>
          <t>SONET</t>
        </is>
      </c>
      <c r="E4556" s="13" t="inlineStr">
        <is>
          <t>Pulverização Agrícola Conforme Bula</t>
        </is>
      </c>
      <c r="F4556" s="13" t="inlineStr">
        <is>
          <t>Tomate</t>
        </is>
      </c>
      <c r="G4556" s="13" t="inlineStr">
        <is>
          <t>Cultura Autorizada na Bula</t>
        </is>
      </c>
      <c r="H4556" s="13" t="inlineStr">
        <is>
          <t>100 a 300 L/ha</t>
        </is>
      </c>
      <c r="I4556" s="13" t="inlineStr">
        <is>
          <t>20 a 40 L/ha</t>
        </is>
      </c>
      <c r="J4556" s="13" t="inlineStr">
        <is>
          <t>7 dias</t>
        </is>
      </c>
    </row>
    <row r="4557" ht="22" customHeight="1">
      <c r="A4557" s="6" t="inlineStr">
        <is>
          <t>CUL-4553</t>
        </is>
      </c>
      <c r="B4557" s="5" t="n">
        <v>932</v>
      </c>
      <c r="C4557" s="7" t="inlineStr">
        <is>
          <t>VINC-19724</t>
        </is>
      </c>
      <c r="D4557" s="8" t="inlineStr">
        <is>
          <t>Dinno Técnico</t>
        </is>
      </c>
      <c r="E4557" s="7" t="inlineStr">
        <is>
          <t>Uso Exclusivamente Industrial (Formulação)</t>
        </is>
      </c>
      <c r="F4557" s="7" t="inlineStr">
        <is>
          <t>Não Aplicável (Proibido uso direto na lavoura)</t>
        </is>
      </c>
      <c r="G4557" s="7" t="inlineStr">
        <is>
          <t>Insumo Industrial</t>
        </is>
      </c>
      <c r="H4557" s="7" t="inlineStr">
        <is>
          <t>N/A</t>
        </is>
      </c>
      <c r="I4557" s="7" t="inlineStr">
        <is>
          <t>N/A</t>
        </is>
      </c>
      <c r="J4557" s="7" t="inlineStr">
        <is>
          <t>N/A (Insumo Industrial)</t>
        </is>
      </c>
    </row>
    <row r="4558" ht="22" customHeight="1">
      <c r="A4558" s="12" t="inlineStr">
        <is>
          <t>CUL-4554</t>
        </is>
      </c>
      <c r="B4558" s="11" t="n">
        <v>933</v>
      </c>
      <c r="C4558" s="13" t="inlineStr">
        <is>
          <t>VINC-19724</t>
        </is>
      </c>
      <c r="D4558" s="14" t="inlineStr">
        <is>
          <t>Lambda-Cialotrina Técnico Ihara</t>
        </is>
      </c>
      <c r="E4558" s="13" t="inlineStr">
        <is>
          <t>Uso Exclusivamente Industrial (Formulação)</t>
        </is>
      </c>
      <c r="F4558" s="13" t="inlineStr">
        <is>
          <t>Não Aplicável (Proibido uso direto na lavoura)</t>
        </is>
      </c>
      <c r="G4558" s="13" t="inlineStr">
        <is>
          <t>Insumo Industrial</t>
        </is>
      </c>
      <c r="H4558" s="13" t="inlineStr">
        <is>
          <t>N/A</t>
        </is>
      </c>
      <c r="I4558" s="13" t="inlineStr">
        <is>
          <t>N/A</t>
        </is>
      </c>
      <c r="J4558" s="13" t="inlineStr">
        <is>
          <t>N/A (Insumo Industrial)</t>
        </is>
      </c>
    </row>
    <row r="4559" ht="22" customHeight="1">
      <c r="A4559" s="6" t="inlineStr">
        <is>
          <t>CUL-4555</t>
        </is>
      </c>
      <c r="B4559" s="5" t="n">
        <v>934</v>
      </c>
      <c r="C4559" s="7" t="inlineStr">
        <is>
          <t>VINC-19724</t>
        </is>
      </c>
      <c r="D4559" s="8" t="inlineStr">
        <is>
          <t>Lambda-Cyhalothrin Técnico Oxon</t>
        </is>
      </c>
      <c r="E4559" s="7" t="inlineStr">
        <is>
          <t>Uso Exclusivamente Industrial (Formulação)</t>
        </is>
      </c>
      <c r="F4559" s="7" t="inlineStr">
        <is>
          <t>Não Aplicável (Proibido uso direto na lavoura)</t>
        </is>
      </c>
      <c r="G4559" s="7" t="inlineStr">
        <is>
          <t>Insumo Industrial</t>
        </is>
      </c>
      <c r="H4559" s="7" t="inlineStr">
        <is>
          <t>N/A</t>
        </is>
      </c>
      <c r="I4559" s="7" t="inlineStr">
        <is>
          <t>N/A</t>
        </is>
      </c>
      <c r="J4559" s="7" t="inlineStr">
        <is>
          <t>N/A (Insumo Industrial)</t>
        </is>
      </c>
    </row>
    <row r="4560" ht="22" customHeight="1">
      <c r="A4560" s="12" t="inlineStr">
        <is>
          <t>CUL-4556</t>
        </is>
      </c>
      <c r="B4560" s="11" t="n">
        <v>935</v>
      </c>
      <c r="C4560" s="13" t="inlineStr">
        <is>
          <t>VINC-19724</t>
        </is>
      </c>
      <c r="D4560" s="14" t="inlineStr">
        <is>
          <t>Lambda Cyhalothrin Técnico Sulphur Mills</t>
        </is>
      </c>
      <c r="E4560" s="13" t="inlineStr">
        <is>
          <t>Uso Exclusivamente Industrial (Formulação)</t>
        </is>
      </c>
      <c r="F4560" s="13" t="inlineStr">
        <is>
          <t>Não Aplicável (Proibido uso direto na lavoura)</t>
        </is>
      </c>
      <c r="G4560" s="13" t="inlineStr">
        <is>
          <t>Insumo Industrial</t>
        </is>
      </c>
      <c r="H4560" s="13" t="inlineStr">
        <is>
          <t>N/A</t>
        </is>
      </c>
      <c r="I4560" s="13" t="inlineStr">
        <is>
          <t>N/A</t>
        </is>
      </c>
      <c r="J4560" s="13" t="inlineStr">
        <is>
          <t>N/A (Insumo Industrial)</t>
        </is>
      </c>
    </row>
    <row r="4561" ht="22" customHeight="1">
      <c r="A4561" s="6" t="inlineStr">
        <is>
          <t>CUL-4557</t>
        </is>
      </c>
      <c r="B4561" s="5" t="n">
        <v>936</v>
      </c>
      <c r="C4561" s="7" t="inlineStr">
        <is>
          <t>Nº 19824</t>
        </is>
      </c>
      <c r="D4561" s="8" t="inlineStr">
        <is>
          <t>AHEAD</t>
        </is>
      </c>
      <c r="E4561" s="7" t="inlineStr">
        <is>
          <t>Pulverização Agrícola Conforme Bula</t>
        </is>
      </c>
      <c r="F4561" s="7" t="inlineStr">
        <is>
          <t>Soja</t>
        </is>
      </c>
      <c r="G4561" s="7" t="inlineStr">
        <is>
          <t>Cultura Autorizada na Bula</t>
        </is>
      </c>
      <c r="H4561" s="7" t="inlineStr">
        <is>
          <t>100 a 300 L/ha</t>
        </is>
      </c>
      <c r="I4561" s="7" t="inlineStr">
        <is>
          <t>20 a 40 L/ha</t>
        </is>
      </c>
      <c r="J4561" s="7" t="inlineStr">
        <is>
          <t>30 dias</t>
        </is>
      </c>
    </row>
    <row r="4562" ht="22" customHeight="1">
      <c r="A4562" s="12" t="inlineStr">
        <is>
          <t>CUL-4558</t>
        </is>
      </c>
      <c r="B4562" s="11" t="n">
        <v>936</v>
      </c>
      <c r="C4562" s="13" t="inlineStr">
        <is>
          <t>Nº 19824</t>
        </is>
      </c>
      <c r="D4562" s="14" t="inlineStr">
        <is>
          <t>AHEAD</t>
        </is>
      </c>
      <c r="E4562" s="13" t="inlineStr">
        <is>
          <t>Pulverização Agrícola Conforme Bula</t>
        </is>
      </c>
      <c r="F4562" s="13" t="inlineStr">
        <is>
          <t>Algodão</t>
        </is>
      </c>
      <c r="G4562" s="13" t="inlineStr">
        <is>
          <t>Cultura Autorizada na Bula</t>
        </is>
      </c>
      <c r="H4562" s="13" t="inlineStr">
        <is>
          <t>100 a 300 L/ha</t>
        </is>
      </c>
      <c r="I4562" s="13" t="inlineStr">
        <is>
          <t>20 a 40 L/ha</t>
        </is>
      </c>
      <c r="J4562" s="13" t="inlineStr">
        <is>
          <t>14 dias</t>
        </is>
      </c>
    </row>
    <row r="4563" ht="22" customHeight="1">
      <c r="A4563" s="6" t="inlineStr">
        <is>
          <t>CUL-4559</t>
        </is>
      </c>
      <c r="B4563" s="5" t="n">
        <v>936</v>
      </c>
      <c r="C4563" s="7" t="inlineStr">
        <is>
          <t>Nº 19824</t>
        </is>
      </c>
      <c r="D4563" s="8" t="inlineStr">
        <is>
          <t>AHEAD</t>
        </is>
      </c>
      <c r="E4563" s="7" t="inlineStr">
        <is>
          <t>Pulverização Agrícola Conforme Bula</t>
        </is>
      </c>
      <c r="F4563" s="7" t="inlineStr">
        <is>
          <t>Feijão</t>
        </is>
      </c>
      <c r="G4563" s="7" t="inlineStr">
        <is>
          <t>Cultura Autorizada na Bula</t>
        </is>
      </c>
      <c r="H4563" s="7" t="inlineStr">
        <is>
          <t>100 a 300 L/ha</t>
        </is>
      </c>
      <c r="I4563" s="7" t="inlineStr">
        <is>
          <t>20 a 40 L/ha</t>
        </is>
      </c>
      <c r="J4563" s="7" t="inlineStr">
        <is>
          <t>14 dias</t>
        </is>
      </c>
    </row>
    <row r="4564" ht="22" customHeight="1">
      <c r="A4564" s="12" t="inlineStr">
        <is>
          <t>CUL-4560</t>
        </is>
      </c>
      <c r="B4564" s="11" t="n">
        <v>936</v>
      </c>
      <c r="C4564" s="13" t="inlineStr">
        <is>
          <t>Nº 19824</t>
        </is>
      </c>
      <c r="D4564" s="14" t="inlineStr">
        <is>
          <t>AHEAD</t>
        </is>
      </c>
      <c r="E4564" s="13" t="inlineStr">
        <is>
          <t>Pulverização Agrícola Conforme Bula</t>
        </is>
      </c>
      <c r="F4564" s="13" t="inlineStr">
        <is>
          <t>Citros</t>
        </is>
      </c>
      <c r="G4564" s="13" t="inlineStr">
        <is>
          <t>Cultura Autorizada na Bula</t>
        </is>
      </c>
      <c r="H4564" s="13" t="inlineStr">
        <is>
          <t>100 a 300 L/ha</t>
        </is>
      </c>
      <c r="I4564" s="13" t="inlineStr">
        <is>
          <t>20 a 40 L/ha</t>
        </is>
      </c>
      <c r="J4564" s="13" t="inlineStr">
        <is>
          <t>14 dias</t>
        </is>
      </c>
    </row>
    <row r="4565" ht="22" customHeight="1">
      <c r="A4565" s="6" t="inlineStr">
        <is>
          <t>CUL-4561</t>
        </is>
      </c>
      <c r="B4565" s="5" t="n">
        <v>936</v>
      </c>
      <c r="C4565" s="7" t="inlineStr">
        <is>
          <t>Nº 19824</t>
        </is>
      </c>
      <c r="D4565" s="8" t="inlineStr">
        <is>
          <t>AHEAD</t>
        </is>
      </c>
      <c r="E4565" s="7" t="inlineStr">
        <is>
          <t>Pulverização Agrícola Conforme Bula</t>
        </is>
      </c>
      <c r="F4565" s="7" t="inlineStr">
        <is>
          <t>Melão</t>
        </is>
      </c>
      <c r="G4565" s="7" t="inlineStr">
        <is>
          <t>Cultura Autorizada na Bula</t>
        </is>
      </c>
      <c r="H4565" s="7" t="inlineStr">
        <is>
          <t>100 a 300 L/ha</t>
        </is>
      </c>
      <c r="I4565" s="7" t="inlineStr">
        <is>
          <t>20 a 40 L/ha</t>
        </is>
      </c>
      <c r="J4565" s="7" t="inlineStr">
        <is>
          <t>7 dias</t>
        </is>
      </c>
    </row>
    <row r="4566" ht="22" customHeight="1">
      <c r="A4566" s="12" t="inlineStr">
        <is>
          <t>CUL-4562</t>
        </is>
      </c>
      <c r="B4566" s="11" t="n">
        <v>936</v>
      </c>
      <c r="C4566" s="13" t="inlineStr">
        <is>
          <t>Nº 19824</t>
        </is>
      </c>
      <c r="D4566" s="14" t="inlineStr">
        <is>
          <t>AHEAD</t>
        </is>
      </c>
      <c r="E4566" s="13" t="inlineStr">
        <is>
          <t>Pulverização Agrícola Conforme Bula</t>
        </is>
      </c>
      <c r="F4566" s="13" t="inlineStr">
        <is>
          <t>Tomate</t>
        </is>
      </c>
      <c r="G4566" s="13" t="inlineStr">
        <is>
          <t>Cultura Autorizada na Bula</t>
        </is>
      </c>
      <c r="H4566" s="13" t="inlineStr">
        <is>
          <t>100 a 300 L/ha</t>
        </is>
      </c>
      <c r="I4566" s="13" t="inlineStr">
        <is>
          <t>20 a 40 L/ha</t>
        </is>
      </c>
      <c r="J4566" s="13" t="inlineStr">
        <is>
          <t>7 dias</t>
        </is>
      </c>
    </row>
    <row r="4567" ht="22" customHeight="1">
      <c r="A4567" s="6" t="inlineStr">
        <is>
          <t>CUL-4563</t>
        </is>
      </c>
      <c r="B4567" s="5" t="n">
        <v>937</v>
      </c>
      <c r="C4567" s="7" t="inlineStr">
        <is>
          <t>VINC-19824</t>
        </is>
      </c>
      <c r="D4567" s="8" t="inlineStr">
        <is>
          <t>Tiger Técnico</t>
        </is>
      </c>
      <c r="E4567" s="7" t="inlineStr">
        <is>
          <t>Uso Exclusivamente Industrial (Formulação)</t>
        </is>
      </c>
      <c r="F4567" s="7" t="inlineStr">
        <is>
          <t>Não Aplicável (Proibido uso direto na lavoura)</t>
        </is>
      </c>
      <c r="G4567" s="7" t="inlineStr">
        <is>
          <t>Insumo Industrial</t>
        </is>
      </c>
      <c r="H4567" s="7" t="inlineStr">
        <is>
          <t>N/A</t>
        </is>
      </c>
      <c r="I4567" s="7" t="inlineStr">
        <is>
          <t>N/A</t>
        </is>
      </c>
      <c r="J4567" s="7" t="inlineStr">
        <is>
          <t>N/A (Insumo Industrial)</t>
        </is>
      </c>
    </row>
    <row r="4568" ht="22" customHeight="1">
      <c r="A4568" s="12" t="inlineStr">
        <is>
          <t>CUL-4564</t>
        </is>
      </c>
      <c r="B4568" s="11" t="n">
        <v>938</v>
      </c>
      <c r="C4568" s="13" t="inlineStr">
        <is>
          <t>Nº 19924</t>
        </is>
      </c>
      <c r="D4568" s="14" t="inlineStr">
        <is>
          <t>DOPPIO</t>
        </is>
      </c>
      <c r="E4568" s="13" t="inlineStr">
        <is>
          <t>Pulverização Agrícola Conforme Bula</t>
        </is>
      </c>
      <c r="F4568" s="13" t="inlineStr">
        <is>
          <t>Soja (Dessecação Pré-Colheita e Pré-Plantio)</t>
        </is>
      </c>
      <c r="G4568" s="13" t="inlineStr">
        <is>
          <t>Cultura Autorizada na Bula</t>
        </is>
      </c>
      <c r="H4568" s="13" t="inlineStr">
        <is>
          <t>100 a 300 L/ha</t>
        </is>
      </c>
      <c r="I4568" s="13" t="inlineStr">
        <is>
          <t>20 a 40 L/ha</t>
        </is>
      </c>
      <c r="J4568" s="13" t="inlineStr">
        <is>
          <t>7 dias</t>
        </is>
      </c>
    </row>
    <row r="4569" ht="22" customHeight="1">
      <c r="A4569" s="6" t="inlineStr">
        <is>
          <t>CUL-4565</t>
        </is>
      </c>
      <c r="B4569" s="5" t="n">
        <v>938</v>
      </c>
      <c r="C4569" s="7" t="inlineStr">
        <is>
          <t>Nº 19924</t>
        </is>
      </c>
      <c r="D4569" s="8" t="inlineStr">
        <is>
          <t>DOPPIO</t>
        </is>
      </c>
      <c r="E4569" s="7" t="inlineStr">
        <is>
          <t>Pulverização Agrícola Conforme Bula</t>
        </is>
      </c>
      <c r="F4569" s="7" t="inlineStr">
        <is>
          <t>Feijão (Dessecação Pré-Colheita)</t>
        </is>
      </c>
      <c r="G4569" s="7" t="inlineStr">
        <is>
          <t>Cultura Autorizada na Bula</t>
        </is>
      </c>
      <c r="H4569" s="7" t="inlineStr">
        <is>
          <t>100 a 300 L/ha</t>
        </is>
      </c>
      <c r="I4569" s="7" t="inlineStr">
        <is>
          <t>20 a 40 L/ha</t>
        </is>
      </c>
      <c r="J4569" s="7" t="inlineStr">
        <is>
          <t>7 dias</t>
        </is>
      </c>
    </row>
    <row r="4570" ht="22" customHeight="1">
      <c r="A4570" s="12" t="inlineStr">
        <is>
          <t>CUL-4566</t>
        </is>
      </c>
      <c r="B4570" s="11" t="n">
        <v>938</v>
      </c>
      <c r="C4570" s="13" t="inlineStr">
        <is>
          <t>Nº 19924</t>
        </is>
      </c>
      <c r="D4570" s="14" t="inlineStr">
        <is>
          <t>DOPPIO</t>
        </is>
      </c>
      <c r="E4570" s="13" t="inlineStr">
        <is>
          <t>Pulverização Agrícola Conforme Bula</t>
        </is>
      </c>
      <c r="F4570" s="13" t="inlineStr">
        <is>
          <t>Algodão</t>
        </is>
      </c>
      <c r="G4570" s="13" t="inlineStr">
        <is>
          <t>Cultura Autorizada na Bula</t>
        </is>
      </c>
      <c r="H4570" s="13" t="inlineStr">
        <is>
          <t>100 a 300 L/ha</t>
        </is>
      </c>
      <c r="I4570" s="13" t="inlineStr">
        <is>
          <t>20 a 40 L/ha</t>
        </is>
      </c>
      <c r="J4570" s="13" t="inlineStr">
        <is>
          <t>7 dias</t>
        </is>
      </c>
    </row>
    <row r="4571" ht="22" customHeight="1">
      <c r="A4571" s="6" t="inlineStr">
        <is>
          <t>CUL-4567</t>
        </is>
      </c>
      <c r="B4571" s="5" t="n">
        <v>938</v>
      </c>
      <c r="C4571" s="7" t="inlineStr">
        <is>
          <t>Nº 19924</t>
        </is>
      </c>
      <c r="D4571" s="8" t="inlineStr">
        <is>
          <t>DOPPIO</t>
        </is>
      </c>
      <c r="E4571" s="7" t="inlineStr">
        <is>
          <t>Pulverização Agrícola Conforme Bula</t>
        </is>
      </c>
      <c r="F4571" s="7" t="inlineStr">
        <is>
          <t>Batata</t>
        </is>
      </c>
      <c r="G4571" s="7" t="inlineStr">
        <is>
          <t>Cultura Autorizada na Bula</t>
        </is>
      </c>
      <c r="H4571" s="7" t="inlineStr">
        <is>
          <t>100 a 300 L/ha</t>
        </is>
      </c>
      <c r="I4571" s="7" t="inlineStr">
        <is>
          <t>20 a 40 L/ha</t>
        </is>
      </c>
      <c r="J4571" s="7" t="inlineStr">
        <is>
          <t>7 dias</t>
        </is>
      </c>
    </row>
    <row r="4572" ht="22" customHeight="1">
      <c r="A4572" s="12" t="inlineStr">
        <is>
          <t>CUL-4568</t>
        </is>
      </c>
      <c r="B4572" s="11" t="n">
        <v>938</v>
      </c>
      <c r="C4572" s="13" t="inlineStr">
        <is>
          <t>Nº 19924</t>
        </is>
      </c>
      <c r="D4572" s="14" t="inlineStr">
        <is>
          <t>DOPPIO</t>
        </is>
      </c>
      <c r="E4572" s="13" t="inlineStr">
        <is>
          <t>Pulverização Agrícola Conforme Bula</t>
        </is>
      </c>
      <c r="F4572" s="13" t="inlineStr">
        <is>
          <t>Milho (Pré-Plantio)</t>
        </is>
      </c>
      <c r="G4572" s="13" t="inlineStr">
        <is>
          <t>Cultura Autorizada na Bula</t>
        </is>
      </c>
      <c r="H4572" s="13" t="inlineStr">
        <is>
          <t>100 a 300 L/ha</t>
        </is>
      </c>
      <c r="I4572" s="13" t="inlineStr">
        <is>
          <t>20 a 40 L/ha</t>
        </is>
      </c>
      <c r="J4572" s="13" t="inlineStr">
        <is>
          <t>N/D</t>
        </is>
      </c>
    </row>
    <row r="4573" ht="22" customHeight="1">
      <c r="A4573" s="6" t="inlineStr">
        <is>
          <t>CUL-4569</t>
        </is>
      </c>
      <c r="B4573" s="5" t="n">
        <v>939</v>
      </c>
      <c r="C4573" s="7" t="inlineStr">
        <is>
          <t>VINC-19924</t>
        </is>
      </c>
      <c r="D4573" s="8" t="inlineStr">
        <is>
          <t>Diquat Técnico</t>
        </is>
      </c>
      <c r="E4573" s="7" t="inlineStr">
        <is>
          <t>Uso Exclusivamente Industrial (Formulação)</t>
        </is>
      </c>
      <c r="F4573" s="7" t="inlineStr">
        <is>
          <t>Não Aplicável (Proibido uso direto na lavoura)</t>
        </is>
      </c>
      <c r="G4573" s="7" t="inlineStr">
        <is>
          <t>Insumo Industrial</t>
        </is>
      </c>
      <c r="H4573" s="7" t="inlineStr">
        <is>
          <t>N/A</t>
        </is>
      </c>
      <c r="I4573" s="7" t="inlineStr">
        <is>
          <t>N/A</t>
        </is>
      </c>
      <c r="J4573" s="7" t="inlineStr">
        <is>
          <t>N/A (Insumo Industrial)</t>
        </is>
      </c>
    </row>
    <row r="4574" ht="22" customHeight="1">
      <c r="A4574" s="12" t="inlineStr">
        <is>
          <t>CUL-4570</t>
        </is>
      </c>
      <c r="B4574" s="11" t="n">
        <v>940</v>
      </c>
      <c r="C4574" s="13" t="inlineStr">
        <is>
          <t>VINC-19924</t>
        </is>
      </c>
      <c r="D4574" s="14" t="inlineStr">
        <is>
          <t>Diquat Técnico Ihara</t>
        </is>
      </c>
      <c r="E4574" s="13" t="inlineStr">
        <is>
          <t>Uso Exclusivamente Industrial (Formulação)</t>
        </is>
      </c>
      <c r="F4574" s="13" t="inlineStr">
        <is>
          <t>Não Aplicável (Proibido uso direto na lavoura)</t>
        </is>
      </c>
      <c r="G4574" s="13" t="inlineStr">
        <is>
          <t>Insumo Industrial</t>
        </is>
      </c>
      <c r="H4574" s="13" t="inlineStr">
        <is>
          <t>N/A</t>
        </is>
      </c>
      <c r="I4574" s="13" t="inlineStr">
        <is>
          <t>N/A</t>
        </is>
      </c>
      <c r="J4574" s="13" t="inlineStr">
        <is>
          <t>N/A (Insumo Industrial)</t>
        </is>
      </c>
    </row>
    <row r="4575" ht="22" customHeight="1">
      <c r="A4575" s="6" t="inlineStr">
        <is>
          <t>CUL-4571</t>
        </is>
      </c>
      <c r="B4575" s="5" t="n">
        <v>941</v>
      </c>
      <c r="C4575" s="7" t="inlineStr">
        <is>
          <t>VINC-19924</t>
        </is>
      </c>
      <c r="D4575" s="8" t="inlineStr">
        <is>
          <t>Magneto Técnico</t>
        </is>
      </c>
      <c r="E4575" s="7" t="inlineStr">
        <is>
          <t>Uso Exclusivamente Industrial (Formulação)</t>
        </is>
      </c>
      <c r="F4575" s="7" t="inlineStr">
        <is>
          <t>Não Aplicável (Proibido uso direto na lavoura)</t>
        </is>
      </c>
      <c r="G4575" s="7" t="inlineStr">
        <is>
          <t>Insumo Industrial</t>
        </is>
      </c>
      <c r="H4575" s="7" t="inlineStr">
        <is>
          <t>N/A</t>
        </is>
      </c>
      <c r="I4575" s="7" t="inlineStr">
        <is>
          <t>N/A</t>
        </is>
      </c>
      <c r="J4575" s="7" t="inlineStr">
        <is>
          <t>N/A (Insumo Industrial)</t>
        </is>
      </c>
    </row>
    <row r="4576" ht="22" customHeight="1">
      <c r="A4576" s="12" t="inlineStr">
        <is>
          <t>CUL-4572</t>
        </is>
      </c>
      <c r="B4576" s="11" t="n">
        <v>942</v>
      </c>
      <c r="C4576" s="13" t="inlineStr">
        <is>
          <t>Nº 20024</t>
        </is>
      </c>
      <c r="D4576" s="14" t="inlineStr">
        <is>
          <t>DANTAI</t>
        </is>
      </c>
      <c r="E4576" s="13" t="inlineStr">
        <is>
          <t>Pulverização Agrícola Conforme Bula</t>
        </is>
      </c>
      <c r="F4576" s="13" t="inlineStr">
        <is>
          <t>Soja</t>
        </is>
      </c>
      <c r="G4576" s="13" t="inlineStr">
        <is>
          <t>Cultura Autorizada na Bula</t>
        </is>
      </c>
      <c r="H4576" s="13" t="inlineStr">
        <is>
          <t>100 a 300 L/ha</t>
        </is>
      </c>
      <c r="I4576" s="13" t="inlineStr">
        <is>
          <t>20 a 40 L/ha</t>
        </is>
      </c>
      <c r="J4576" s="13" t="inlineStr">
        <is>
          <t>14 dias</t>
        </is>
      </c>
    </row>
    <row r="4577" ht="22" customHeight="1">
      <c r="A4577" s="6" t="inlineStr">
        <is>
          <t>CUL-4573</t>
        </is>
      </c>
      <c r="B4577" s="5" t="n">
        <v>942</v>
      </c>
      <c r="C4577" s="7" t="inlineStr">
        <is>
          <t>Nº 20024</t>
        </is>
      </c>
      <c r="D4577" s="8" t="inlineStr">
        <is>
          <t>DANTAI</t>
        </is>
      </c>
      <c r="E4577" s="7" t="inlineStr">
        <is>
          <t>Pulverização Agrícola Conforme Bula</t>
        </is>
      </c>
      <c r="F4577" s="7" t="inlineStr">
        <is>
          <t>Algodão</t>
        </is>
      </c>
      <c r="G4577" s="7" t="inlineStr">
        <is>
          <t>Cultura Autorizada na Bula</t>
        </is>
      </c>
      <c r="H4577" s="7" t="inlineStr">
        <is>
          <t>100 a 300 L/ha</t>
        </is>
      </c>
      <c r="I4577" s="7" t="inlineStr">
        <is>
          <t>20 a 40 L/ha</t>
        </is>
      </c>
      <c r="J4577" s="7" t="inlineStr">
        <is>
          <t>14 dias</t>
        </is>
      </c>
    </row>
    <row r="4578" ht="22" customHeight="1">
      <c r="A4578" s="12" t="inlineStr">
        <is>
          <t>CUL-4574</t>
        </is>
      </c>
      <c r="B4578" s="11" t="n">
        <v>942</v>
      </c>
      <c r="C4578" s="13" t="inlineStr">
        <is>
          <t>Nº 20024</t>
        </is>
      </c>
      <c r="D4578" s="14" t="inlineStr">
        <is>
          <t>DANTAI</t>
        </is>
      </c>
      <c r="E4578" s="13" t="inlineStr">
        <is>
          <t>Pulverização Agrícola Conforme Bula</t>
        </is>
      </c>
      <c r="F4578" s="13" t="inlineStr">
        <is>
          <t>Feijão</t>
        </is>
      </c>
      <c r="G4578" s="13" t="inlineStr">
        <is>
          <t>Cultura Autorizada na Bula</t>
        </is>
      </c>
      <c r="H4578" s="13" t="inlineStr">
        <is>
          <t>100 a 300 L/ha</t>
        </is>
      </c>
      <c r="I4578" s="13" t="inlineStr">
        <is>
          <t>20 a 40 L/ha</t>
        </is>
      </c>
      <c r="J4578" s="13" t="inlineStr">
        <is>
          <t>14 dias</t>
        </is>
      </c>
    </row>
    <row r="4579" ht="22" customHeight="1">
      <c r="A4579" s="6" t="inlineStr">
        <is>
          <t>CUL-4575</t>
        </is>
      </c>
      <c r="B4579" s="5" t="n">
        <v>942</v>
      </c>
      <c r="C4579" s="7" t="inlineStr">
        <is>
          <t>Nº 20024</t>
        </is>
      </c>
      <c r="D4579" s="8" t="inlineStr">
        <is>
          <t>DANTAI</t>
        </is>
      </c>
      <c r="E4579" s="7" t="inlineStr">
        <is>
          <t>Pulverização Agrícola Conforme Bula</t>
        </is>
      </c>
      <c r="F4579" s="7" t="inlineStr">
        <is>
          <t>Milho</t>
        </is>
      </c>
      <c r="G4579" s="7" t="inlineStr">
        <is>
          <t>Cultura Autorizada na Bula</t>
        </is>
      </c>
      <c r="H4579" s="7" t="inlineStr">
        <is>
          <t>100 a 300 L/ha</t>
        </is>
      </c>
      <c r="I4579" s="7" t="inlineStr">
        <is>
          <t>20 a 40 L/ha</t>
        </is>
      </c>
      <c r="J4579" s="7" t="inlineStr">
        <is>
          <t>14 dias</t>
        </is>
      </c>
    </row>
    <row r="4580" ht="22" customHeight="1">
      <c r="A4580" s="12" t="inlineStr">
        <is>
          <t>CUL-4576</t>
        </is>
      </c>
      <c r="B4580" s="11" t="n">
        <v>942</v>
      </c>
      <c r="C4580" s="13" t="inlineStr">
        <is>
          <t>Nº 20024</t>
        </is>
      </c>
      <c r="D4580" s="14" t="inlineStr">
        <is>
          <t>DANTAI</t>
        </is>
      </c>
      <c r="E4580" s="13" t="inlineStr">
        <is>
          <t>Pulverização Agrícola Conforme Bula</t>
        </is>
      </c>
      <c r="F4580" s="13" t="inlineStr">
        <is>
          <t>Trigo</t>
        </is>
      </c>
      <c r="G4580" s="13" t="inlineStr">
        <is>
          <t>Cultura Autorizada na Bula</t>
        </is>
      </c>
      <c r="H4580" s="13" t="inlineStr">
        <is>
          <t>100 a 300 L/ha</t>
        </is>
      </c>
      <c r="I4580" s="13" t="inlineStr">
        <is>
          <t>20 a 40 L/ha</t>
        </is>
      </c>
      <c r="J4580" s="13" t="inlineStr">
        <is>
          <t>30 dias</t>
        </is>
      </c>
    </row>
    <row r="4581" ht="22" customHeight="1">
      <c r="A4581" s="6" t="inlineStr">
        <is>
          <t>CUL-4577</t>
        </is>
      </c>
      <c r="B4581" s="5" t="n">
        <v>942</v>
      </c>
      <c r="C4581" s="7" t="inlineStr">
        <is>
          <t>Nº 20024</t>
        </is>
      </c>
      <c r="D4581" s="8" t="inlineStr">
        <is>
          <t>DANTAI</t>
        </is>
      </c>
      <c r="E4581" s="7" t="inlineStr">
        <is>
          <t>Pulverização Agrícola Conforme Bula</t>
        </is>
      </c>
      <c r="F4581" s="7" t="inlineStr">
        <is>
          <t>Batata</t>
        </is>
      </c>
      <c r="G4581" s="7" t="inlineStr">
        <is>
          <t>Cultura Autorizada na Bula</t>
        </is>
      </c>
      <c r="H4581" s="7" t="inlineStr">
        <is>
          <t>100 a 300 L/ha</t>
        </is>
      </c>
      <c r="I4581" s="7" t="inlineStr">
        <is>
          <t>20 a 40 L/ha</t>
        </is>
      </c>
      <c r="J4581" s="7" t="inlineStr">
        <is>
          <t>7 dias</t>
        </is>
      </c>
    </row>
    <row r="4582" ht="22" customHeight="1">
      <c r="A4582" s="12" t="inlineStr">
        <is>
          <t>CUL-4578</t>
        </is>
      </c>
      <c r="B4582" s="11" t="n">
        <v>942</v>
      </c>
      <c r="C4582" s="13" t="inlineStr">
        <is>
          <t>Nº 20024</t>
        </is>
      </c>
      <c r="D4582" s="14" t="inlineStr">
        <is>
          <t>DANTAI</t>
        </is>
      </c>
      <c r="E4582" s="13" t="inlineStr">
        <is>
          <t>Pulverização Agrícola Conforme Bula</t>
        </is>
      </c>
      <c r="F4582" s="13" t="inlineStr">
        <is>
          <t>Café</t>
        </is>
      </c>
      <c r="G4582" s="13" t="inlineStr">
        <is>
          <t>Cultura Autorizada na Bula</t>
        </is>
      </c>
      <c r="H4582" s="13" t="inlineStr">
        <is>
          <t>100 a 300 L/ha</t>
        </is>
      </c>
      <c r="I4582" s="13" t="inlineStr">
        <is>
          <t>20 a 40 L/ha</t>
        </is>
      </c>
      <c r="J4582" s="13" t="inlineStr">
        <is>
          <t>30 dias</t>
        </is>
      </c>
    </row>
    <row r="4583" ht="22" customHeight="1">
      <c r="A4583" s="6" t="inlineStr">
        <is>
          <t>CUL-4579</t>
        </is>
      </c>
      <c r="B4583" s="5" t="n">
        <v>942</v>
      </c>
      <c r="C4583" s="7" t="inlineStr">
        <is>
          <t>Nº 20024</t>
        </is>
      </c>
      <c r="D4583" s="8" t="inlineStr">
        <is>
          <t>DANTAI</t>
        </is>
      </c>
      <c r="E4583" s="7" t="inlineStr">
        <is>
          <t>Pulverização Agrícola Conforme Bula</t>
        </is>
      </c>
      <c r="F4583" s="7" t="inlineStr">
        <is>
          <t>Tomate</t>
        </is>
      </c>
      <c r="G4583" s="7" t="inlineStr">
        <is>
          <t>Cultura Autorizada na Bula</t>
        </is>
      </c>
      <c r="H4583" s="7" t="inlineStr">
        <is>
          <t>100 a 300 L/ha</t>
        </is>
      </c>
      <c r="I4583" s="7" t="inlineStr">
        <is>
          <t>20 a 40 L/ha</t>
        </is>
      </c>
      <c r="J4583" s="7" t="inlineStr">
        <is>
          <t>7 dias</t>
        </is>
      </c>
    </row>
    <row r="4584" ht="22" customHeight="1">
      <c r="A4584" s="12" t="inlineStr">
        <is>
          <t>CUL-4580</t>
        </is>
      </c>
      <c r="B4584" s="11" t="n">
        <v>943</v>
      </c>
      <c r="C4584" s="13" t="inlineStr">
        <is>
          <t>VINC-20024</t>
        </is>
      </c>
      <c r="D4584" s="14" t="inlineStr">
        <is>
          <t>Completto Técnico</t>
        </is>
      </c>
      <c r="E4584" s="13" t="inlineStr">
        <is>
          <t>Uso Exclusivamente Industrial (Formulação)</t>
        </is>
      </c>
      <c r="F4584" s="13" t="inlineStr">
        <is>
          <t>Não Aplicável (Proibido uso direto na lavoura)</t>
        </is>
      </c>
      <c r="G4584" s="13" t="inlineStr">
        <is>
          <t>Insumo Industrial</t>
        </is>
      </c>
      <c r="H4584" s="13" t="inlineStr">
        <is>
          <t>N/A</t>
        </is>
      </c>
      <c r="I4584" s="13" t="inlineStr">
        <is>
          <t>N/A</t>
        </is>
      </c>
      <c r="J4584" s="13" t="inlineStr">
        <is>
          <t>N/A (Insumo Industrial)</t>
        </is>
      </c>
    </row>
    <row r="4585" ht="22" customHeight="1">
      <c r="A4585" s="6" t="inlineStr">
        <is>
          <t>CUL-4581</t>
        </is>
      </c>
      <c r="B4585" s="5" t="n">
        <v>944</v>
      </c>
      <c r="C4585" s="7" t="inlineStr">
        <is>
          <t>VINC-20024</t>
        </is>
      </c>
      <c r="D4585" s="8" t="inlineStr">
        <is>
          <t>Pilarich Técnico</t>
        </is>
      </c>
      <c r="E4585" s="7" t="inlineStr">
        <is>
          <t>Uso Exclusivamente Industrial (Formulação)</t>
        </is>
      </c>
      <c r="F4585" s="7" t="inlineStr">
        <is>
          <t>Não Aplicável (Proibido uso direto na lavoura)</t>
        </is>
      </c>
      <c r="G4585" s="7" t="inlineStr">
        <is>
          <t>Insumo Industrial</t>
        </is>
      </c>
      <c r="H4585" s="7" t="inlineStr">
        <is>
          <t>N/A</t>
        </is>
      </c>
      <c r="I4585" s="7" t="inlineStr">
        <is>
          <t>N/A</t>
        </is>
      </c>
      <c r="J4585" s="7" t="inlineStr">
        <is>
          <t>N/A (Insumo Industrial)</t>
        </is>
      </c>
    </row>
    <row r="4586" ht="22" customHeight="1">
      <c r="A4586" s="12" t="inlineStr">
        <is>
          <t>CUL-4582</t>
        </is>
      </c>
      <c r="B4586" s="11" t="n">
        <v>945</v>
      </c>
      <c r="C4586" s="13" t="inlineStr">
        <is>
          <t>Nº 20124</t>
        </is>
      </c>
      <c r="D4586" s="14" t="inlineStr">
        <is>
          <t>TEBUTIURON 800 WG PERTERRA</t>
        </is>
      </c>
      <c r="E4586" s="13" t="inlineStr">
        <is>
          <t>Pulverização Agrícola Conforme Bula</t>
        </is>
      </c>
      <c r="F4586" s="13" t="inlineStr">
        <is>
          <t>Soja</t>
        </is>
      </c>
      <c r="G4586" s="13" t="inlineStr">
        <is>
          <t>Cultura Autorizada na Bula</t>
        </is>
      </c>
      <c r="H4586" s="13" t="inlineStr">
        <is>
          <t>100 a 300 L/ha</t>
        </is>
      </c>
      <c r="I4586" s="13" t="inlineStr">
        <is>
          <t>20 a 40 L/ha</t>
        </is>
      </c>
      <c r="J4586" s="13" t="inlineStr">
        <is>
          <t>60 dias</t>
        </is>
      </c>
    </row>
    <row r="4587" ht="22" customHeight="1">
      <c r="A4587" s="6" t="inlineStr">
        <is>
          <t>CUL-4583</t>
        </is>
      </c>
      <c r="B4587" s="5" t="n">
        <v>945</v>
      </c>
      <c r="C4587" s="7" t="inlineStr">
        <is>
          <t>Nº 20124</t>
        </is>
      </c>
      <c r="D4587" s="8" t="inlineStr">
        <is>
          <t>TEBUTIURON 800 WG PERTERRA</t>
        </is>
      </c>
      <c r="E4587" s="7" t="inlineStr">
        <is>
          <t>Pulverização Agrícola Conforme Bula</t>
        </is>
      </c>
      <c r="F4587" s="7" t="inlineStr">
        <is>
          <t>Milho</t>
        </is>
      </c>
      <c r="G4587" s="7" t="inlineStr">
        <is>
          <t>Cultura Autorizada na Bula</t>
        </is>
      </c>
      <c r="H4587" s="7" t="inlineStr">
        <is>
          <t>100 a 300 L/ha</t>
        </is>
      </c>
      <c r="I4587" s="7" t="inlineStr">
        <is>
          <t>20 a 40 L/ha</t>
        </is>
      </c>
      <c r="J4587" s="7" t="inlineStr">
        <is>
          <t>45 dias</t>
        </is>
      </c>
    </row>
    <row r="4588" ht="22" customHeight="1">
      <c r="A4588" s="12" t="inlineStr">
        <is>
          <t>CUL-4584</t>
        </is>
      </c>
      <c r="B4588" s="11" t="n">
        <v>945</v>
      </c>
      <c r="C4588" s="13" t="inlineStr">
        <is>
          <t>Nº 20124</t>
        </is>
      </c>
      <c r="D4588" s="14" t="inlineStr">
        <is>
          <t>TEBUTIURON 800 WG PERTERRA</t>
        </is>
      </c>
      <c r="E4588" s="13" t="inlineStr">
        <is>
          <t>Pulverização Agrícola Conforme Bula</t>
        </is>
      </c>
      <c r="F4588" s="13" t="inlineStr">
        <is>
          <t>Algodão</t>
        </is>
      </c>
      <c r="G4588" s="13" t="inlineStr">
        <is>
          <t>Cultura Autorizada na Bula</t>
        </is>
      </c>
      <c r="H4588" s="13" t="inlineStr">
        <is>
          <t>100 a 300 L/ha</t>
        </is>
      </c>
      <c r="I4588" s="13" t="inlineStr">
        <is>
          <t>20 a 40 L/ha</t>
        </is>
      </c>
      <c r="J4588" s="13" t="inlineStr">
        <is>
          <t>60 dias</t>
        </is>
      </c>
    </row>
    <row r="4589" ht="22" customHeight="1">
      <c r="A4589" s="6" t="inlineStr">
        <is>
          <t>CUL-4585</t>
        </is>
      </c>
      <c r="B4589" s="5" t="n">
        <v>945</v>
      </c>
      <c r="C4589" s="7" t="inlineStr">
        <is>
          <t>Nº 20124</t>
        </is>
      </c>
      <c r="D4589" s="8" t="inlineStr">
        <is>
          <t>TEBUTIURON 800 WG PERTERRA</t>
        </is>
      </c>
      <c r="E4589" s="7" t="inlineStr">
        <is>
          <t>Pulverização Agrícola Conforme Bula</t>
        </is>
      </c>
      <c r="F4589" s="7" t="inlineStr">
        <is>
          <t>Cana-de-açúcar</t>
        </is>
      </c>
      <c r="G4589" s="7" t="inlineStr">
        <is>
          <t>Cultura Autorizada na Bula</t>
        </is>
      </c>
      <c r="H4589" s="7" t="inlineStr">
        <is>
          <t>100 a 300 L/ha</t>
        </is>
      </c>
      <c r="I4589" s="7" t="inlineStr">
        <is>
          <t>20 a 40 L/ha</t>
        </is>
      </c>
      <c r="J4589" s="7" t="inlineStr">
        <is>
          <t>90 dias</t>
        </is>
      </c>
    </row>
    <row r="4590" ht="22" customHeight="1">
      <c r="A4590" s="12" t="inlineStr">
        <is>
          <t>CUL-4586</t>
        </is>
      </c>
      <c r="B4590" s="11" t="n">
        <v>946</v>
      </c>
      <c r="C4590" s="13" t="inlineStr">
        <is>
          <t>Nº 20224</t>
        </is>
      </c>
      <c r="D4590" s="14" t="inlineStr">
        <is>
          <t>PRO-PIC 720 WG</t>
        </is>
      </c>
      <c r="E4590" s="13" t="inlineStr">
        <is>
          <t>Pulverização Agrícola Conforme Bula</t>
        </is>
      </c>
      <c r="F4590" s="13" t="inlineStr">
        <is>
          <t>Soja</t>
        </is>
      </c>
      <c r="G4590" s="13" t="inlineStr">
        <is>
          <t>Cultura Autorizada na Bula</t>
        </is>
      </c>
      <c r="H4590" s="13" t="inlineStr">
        <is>
          <t>100 a 300 L/ha</t>
        </is>
      </c>
      <c r="I4590" s="13" t="inlineStr">
        <is>
          <t>20 a 40 L/ha</t>
        </is>
      </c>
      <c r="J4590" s="13" t="inlineStr">
        <is>
          <t>21 a 30 dias</t>
        </is>
      </c>
    </row>
    <row r="4591" ht="22" customHeight="1">
      <c r="A4591" s="6" t="inlineStr">
        <is>
          <t>CUL-4587</t>
        </is>
      </c>
      <c r="B4591" s="5" t="n">
        <v>946</v>
      </c>
      <c r="C4591" s="7" t="inlineStr">
        <is>
          <t>Nº 20224</t>
        </is>
      </c>
      <c r="D4591" s="8" t="inlineStr">
        <is>
          <t>PRO-PIC 720 WG</t>
        </is>
      </c>
      <c r="E4591" s="7" t="inlineStr">
        <is>
          <t>Pulverização Agrícola Conforme Bula</t>
        </is>
      </c>
      <c r="F4591" s="7" t="inlineStr">
        <is>
          <t>Milho</t>
        </is>
      </c>
      <c r="G4591" s="7" t="inlineStr">
        <is>
          <t>Cultura Autorizada na Bula</t>
        </is>
      </c>
      <c r="H4591" s="7" t="inlineStr">
        <is>
          <t>100 a 300 L/ha</t>
        </is>
      </c>
      <c r="I4591" s="7" t="inlineStr">
        <is>
          <t>20 a 40 L/ha</t>
        </is>
      </c>
      <c r="J4591" s="7" t="inlineStr">
        <is>
          <t>21 a 30 dias</t>
        </is>
      </c>
    </row>
    <row r="4592" ht="22" customHeight="1">
      <c r="A4592" s="12" t="inlineStr">
        <is>
          <t>CUL-4588</t>
        </is>
      </c>
      <c r="B4592" s="11" t="n">
        <v>946</v>
      </c>
      <c r="C4592" s="13" t="inlineStr">
        <is>
          <t>Nº 20224</t>
        </is>
      </c>
      <c r="D4592" s="14" t="inlineStr">
        <is>
          <t>PRO-PIC 720 WG</t>
        </is>
      </c>
      <c r="E4592" s="13" t="inlineStr">
        <is>
          <t>Pulverização Agrícola Conforme Bula</t>
        </is>
      </c>
      <c r="F4592" s="13" t="inlineStr">
        <is>
          <t>Algodão</t>
        </is>
      </c>
      <c r="G4592" s="13" t="inlineStr">
        <is>
          <t>Cultura Autorizada na Bula</t>
        </is>
      </c>
      <c r="H4592" s="13" t="inlineStr">
        <is>
          <t>100 a 300 L/ha</t>
        </is>
      </c>
      <c r="I4592" s="13" t="inlineStr">
        <is>
          <t>20 a 40 L/ha</t>
        </is>
      </c>
      <c r="J4592" s="13" t="inlineStr">
        <is>
          <t>21 a 30 dias</t>
        </is>
      </c>
    </row>
    <row r="4593" ht="22" customHeight="1">
      <c r="A4593" s="6" t="inlineStr">
        <is>
          <t>CUL-4589</t>
        </is>
      </c>
      <c r="B4593" s="5" t="n">
        <v>946</v>
      </c>
      <c r="C4593" s="7" t="inlineStr">
        <is>
          <t>Nº 20224</t>
        </is>
      </c>
      <c r="D4593" s="8" t="inlineStr">
        <is>
          <t>PRO-PIC 720 WG</t>
        </is>
      </c>
      <c r="E4593" s="7" t="inlineStr">
        <is>
          <t>Pulverização Agrícola Conforme Bula</t>
        </is>
      </c>
      <c r="F4593" s="7" t="inlineStr">
        <is>
          <t>Feijão</t>
        </is>
      </c>
      <c r="G4593" s="7" t="inlineStr">
        <is>
          <t>Cultura Autorizada na Bula</t>
        </is>
      </c>
      <c r="H4593" s="7" t="inlineStr">
        <is>
          <t>100 a 300 L/ha</t>
        </is>
      </c>
      <c r="I4593" s="7" t="inlineStr">
        <is>
          <t>20 a 40 L/ha</t>
        </is>
      </c>
      <c r="J4593" s="7" t="inlineStr">
        <is>
          <t>21 a 30 dias</t>
        </is>
      </c>
    </row>
    <row r="4594" ht="22" customHeight="1">
      <c r="A4594" s="12" t="inlineStr">
        <is>
          <t>CUL-4590</t>
        </is>
      </c>
      <c r="B4594" s="11" t="n">
        <v>946</v>
      </c>
      <c r="C4594" s="13" t="inlineStr">
        <is>
          <t>Nº 20224</t>
        </is>
      </c>
      <c r="D4594" s="14" t="inlineStr">
        <is>
          <t>PRO-PIC 720 WG</t>
        </is>
      </c>
      <c r="E4594" s="13" t="inlineStr">
        <is>
          <t>Pulverização Agrícola Conforme Bula</t>
        </is>
      </c>
      <c r="F4594" s="13" t="inlineStr">
        <is>
          <t>Trigo</t>
        </is>
      </c>
      <c r="G4594" s="13" t="inlineStr">
        <is>
          <t>Cultura Autorizada na Bula</t>
        </is>
      </c>
      <c r="H4594" s="13" t="inlineStr">
        <is>
          <t>100 a 300 L/ha</t>
        </is>
      </c>
      <c r="I4594" s="13" t="inlineStr">
        <is>
          <t>20 a 40 L/ha</t>
        </is>
      </c>
      <c r="J4594" s="13" t="inlineStr">
        <is>
          <t>21 a 30 dias</t>
        </is>
      </c>
    </row>
    <row r="4595" ht="22" customHeight="1">
      <c r="A4595" s="6" t="inlineStr">
        <is>
          <t>CUL-4591</t>
        </is>
      </c>
      <c r="B4595" s="5" t="n">
        <v>947</v>
      </c>
      <c r="C4595" s="7" t="inlineStr">
        <is>
          <t>VINC-20224</t>
        </is>
      </c>
      <c r="D4595" s="8" t="inlineStr">
        <is>
          <t>Glifosato Técnico GHA</t>
        </is>
      </c>
      <c r="E4595" s="7" t="inlineStr">
        <is>
          <t>Uso Exclusivamente Industrial (Formulação)</t>
        </is>
      </c>
      <c r="F4595" s="7" t="inlineStr">
        <is>
          <t>Não Aplicável (Proibido uso direto na lavoura)</t>
        </is>
      </c>
      <c r="G4595" s="7" t="inlineStr">
        <is>
          <t>Insumo Industrial</t>
        </is>
      </c>
      <c r="H4595" s="7" t="inlineStr">
        <is>
          <t>N/A</t>
        </is>
      </c>
      <c r="I4595" s="7" t="inlineStr">
        <is>
          <t>N/A</t>
        </is>
      </c>
      <c r="J4595" s="7" t="inlineStr">
        <is>
          <t>N/A (Insumo Industrial)</t>
        </is>
      </c>
    </row>
    <row r="4596" ht="22" customHeight="1">
      <c r="A4596" s="12" t="inlineStr">
        <is>
          <t>CUL-4592</t>
        </is>
      </c>
      <c r="B4596" s="11" t="n">
        <v>948</v>
      </c>
      <c r="C4596" s="13" t="inlineStr">
        <is>
          <t>Nº 20324</t>
        </is>
      </c>
      <c r="D4596" s="14" t="inlineStr">
        <is>
          <t>OLAPAQUE</t>
        </is>
      </c>
      <c r="E4596" s="13" t="inlineStr">
        <is>
          <t>Pulverização Agrícola Conforme Bula</t>
        </is>
      </c>
      <c r="F4596" s="13" t="inlineStr">
        <is>
          <t>Soja</t>
        </is>
      </c>
      <c r="G4596" s="13" t="inlineStr">
        <is>
          <t>Cultura Autorizada na Bula</t>
        </is>
      </c>
      <c r="H4596" s="13" t="inlineStr">
        <is>
          <t>100 a 300 L/ha</t>
        </is>
      </c>
      <c r="I4596" s="13" t="inlineStr">
        <is>
          <t>20 a 40 L/ha</t>
        </is>
      </c>
      <c r="J4596" s="13" t="inlineStr">
        <is>
          <t>21 dias</t>
        </is>
      </c>
    </row>
    <row r="4597" ht="22" customHeight="1">
      <c r="A4597" s="6" t="inlineStr">
        <is>
          <t>CUL-4593</t>
        </is>
      </c>
      <c r="B4597" s="5" t="n">
        <v>948</v>
      </c>
      <c r="C4597" s="7" t="inlineStr">
        <is>
          <t>Nº 20324</t>
        </is>
      </c>
      <c r="D4597" s="8" t="inlineStr">
        <is>
          <t>OLAPAQUE</t>
        </is>
      </c>
      <c r="E4597" s="7" t="inlineStr">
        <is>
          <t>Pulverização Agrícola Conforme Bula</t>
        </is>
      </c>
      <c r="F4597" s="7" t="inlineStr">
        <is>
          <t>Milho</t>
        </is>
      </c>
      <c r="G4597" s="7" t="inlineStr">
        <is>
          <t>Cultura Autorizada na Bula</t>
        </is>
      </c>
      <c r="H4597" s="7" t="inlineStr">
        <is>
          <t>100 a 300 L/ha</t>
        </is>
      </c>
      <c r="I4597" s="7" t="inlineStr">
        <is>
          <t>20 a 40 L/ha</t>
        </is>
      </c>
      <c r="J4597" s="7" t="inlineStr">
        <is>
          <t>21 dias</t>
        </is>
      </c>
    </row>
    <row r="4598" ht="22" customHeight="1">
      <c r="A4598" s="12" t="inlineStr">
        <is>
          <t>CUL-4594</t>
        </is>
      </c>
      <c r="B4598" s="11" t="n">
        <v>948</v>
      </c>
      <c r="C4598" s="13" t="inlineStr">
        <is>
          <t>Nº 20324</t>
        </is>
      </c>
      <c r="D4598" s="14" t="inlineStr">
        <is>
          <t>OLAPAQUE</t>
        </is>
      </c>
      <c r="E4598" s="13" t="inlineStr">
        <is>
          <t>Pulverização Agrícola Conforme Bula</t>
        </is>
      </c>
      <c r="F4598" s="13" t="inlineStr">
        <is>
          <t>Algodão</t>
        </is>
      </c>
      <c r="G4598" s="13" t="inlineStr">
        <is>
          <t>Cultura Autorizada na Bula</t>
        </is>
      </c>
      <c r="H4598" s="13" t="inlineStr">
        <is>
          <t>100 a 300 L/ha</t>
        </is>
      </c>
      <c r="I4598" s="13" t="inlineStr">
        <is>
          <t>20 a 40 L/ha</t>
        </is>
      </c>
      <c r="J4598" s="13" t="inlineStr">
        <is>
          <t>21 dias</t>
        </is>
      </c>
    </row>
    <row r="4599" ht="22" customHeight="1">
      <c r="A4599" s="6" t="inlineStr">
        <is>
          <t>CUL-4595</t>
        </is>
      </c>
      <c r="B4599" s="5" t="n">
        <v>948</v>
      </c>
      <c r="C4599" s="7" t="inlineStr">
        <is>
          <t>Nº 20324</t>
        </is>
      </c>
      <c r="D4599" s="8" t="inlineStr">
        <is>
          <t>OLAPAQUE</t>
        </is>
      </c>
      <c r="E4599" s="7" t="inlineStr">
        <is>
          <t>Pulverização Agrícola Conforme Bula</t>
        </is>
      </c>
      <c r="F4599" s="7" t="inlineStr">
        <is>
          <t>Feijão</t>
        </is>
      </c>
      <c r="G4599" s="7" t="inlineStr">
        <is>
          <t>Cultura Autorizada na Bula</t>
        </is>
      </c>
      <c r="H4599" s="7" t="inlineStr">
        <is>
          <t>100 a 300 L/ha</t>
        </is>
      </c>
      <c r="I4599" s="7" t="inlineStr">
        <is>
          <t>20 a 40 L/ha</t>
        </is>
      </c>
      <c r="J4599" s="7" t="inlineStr">
        <is>
          <t>14 dias</t>
        </is>
      </c>
    </row>
    <row r="4600" ht="22" customHeight="1">
      <c r="A4600" s="12" t="inlineStr">
        <is>
          <t>CUL-4596</t>
        </is>
      </c>
      <c r="B4600" s="11" t="n">
        <v>949</v>
      </c>
      <c r="C4600" s="13" t="inlineStr">
        <is>
          <t>Nº 20424</t>
        </is>
      </c>
      <c r="D4600" s="14" t="inlineStr">
        <is>
          <t>BIOPAK 720 WG</t>
        </is>
      </c>
      <c r="E4600" s="13" t="inlineStr">
        <is>
          <t>Pulverização Agrícola Conforme Bula</t>
        </is>
      </c>
      <c r="F4600" s="13" t="inlineStr">
        <is>
          <t>Soja</t>
        </is>
      </c>
      <c r="G4600" s="13" t="inlineStr">
        <is>
          <t>Cultura Autorizada na Bula</t>
        </is>
      </c>
      <c r="H4600" s="13" t="inlineStr">
        <is>
          <t>100 a 300 L/ha</t>
        </is>
      </c>
      <c r="I4600" s="13" t="inlineStr">
        <is>
          <t>20 a 40 L/ha</t>
        </is>
      </c>
      <c r="J4600" s="13" t="inlineStr">
        <is>
          <t>21 a 30 dias</t>
        </is>
      </c>
    </row>
    <row r="4601" ht="22" customHeight="1">
      <c r="A4601" s="6" t="inlineStr">
        <is>
          <t>CUL-4597</t>
        </is>
      </c>
      <c r="B4601" s="5" t="n">
        <v>949</v>
      </c>
      <c r="C4601" s="7" t="inlineStr">
        <is>
          <t>Nº 20424</t>
        </is>
      </c>
      <c r="D4601" s="8" t="inlineStr">
        <is>
          <t>BIOPAK 720 WG</t>
        </is>
      </c>
      <c r="E4601" s="7" t="inlineStr">
        <is>
          <t>Pulverização Agrícola Conforme Bula</t>
        </is>
      </c>
      <c r="F4601" s="7" t="inlineStr">
        <is>
          <t>Milho</t>
        </is>
      </c>
      <c r="G4601" s="7" t="inlineStr">
        <is>
          <t>Cultura Autorizada na Bula</t>
        </is>
      </c>
      <c r="H4601" s="7" t="inlineStr">
        <is>
          <t>100 a 300 L/ha</t>
        </is>
      </c>
      <c r="I4601" s="7" t="inlineStr">
        <is>
          <t>20 a 40 L/ha</t>
        </is>
      </c>
      <c r="J4601" s="7" t="inlineStr">
        <is>
          <t>21 a 30 dias</t>
        </is>
      </c>
    </row>
    <row r="4602" ht="22" customHeight="1">
      <c r="A4602" s="12" t="inlineStr">
        <is>
          <t>CUL-4598</t>
        </is>
      </c>
      <c r="B4602" s="11" t="n">
        <v>949</v>
      </c>
      <c r="C4602" s="13" t="inlineStr">
        <is>
          <t>Nº 20424</t>
        </is>
      </c>
      <c r="D4602" s="14" t="inlineStr">
        <is>
          <t>BIOPAK 720 WG</t>
        </is>
      </c>
      <c r="E4602" s="13" t="inlineStr">
        <is>
          <t>Pulverização Agrícola Conforme Bula</t>
        </is>
      </c>
      <c r="F4602" s="13" t="inlineStr">
        <is>
          <t>Algodão</t>
        </is>
      </c>
      <c r="G4602" s="13" t="inlineStr">
        <is>
          <t>Cultura Autorizada na Bula</t>
        </is>
      </c>
      <c r="H4602" s="13" t="inlineStr">
        <is>
          <t>100 a 300 L/ha</t>
        </is>
      </c>
      <c r="I4602" s="13" t="inlineStr">
        <is>
          <t>20 a 40 L/ha</t>
        </is>
      </c>
      <c r="J4602" s="13" t="inlineStr">
        <is>
          <t>21 a 30 dias</t>
        </is>
      </c>
    </row>
    <row r="4603" ht="22" customHeight="1">
      <c r="A4603" s="6" t="inlineStr">
        <is>
          <t>CUL-4599</t>
        </is>
      </c>
      <c r="B4603" s="5" t="n">
        <v>949</v>
      </c>
      <c r="C4603" s="7" t="inlineStr">
        <is>
          <t>Nº 20424</t>
        </is>
      </c>
      <c r="D4603" s="8" t="inlineStr">
        <is>
          <t>BIOPAK 720 WG</t>
        </is>
      </c>
      <c r="E4603" s="7" t="inlineStr">
        <is>
          <t>Pulverização Agrícola Conforme Bula</t>
        </is>
      </c>
      <c r="F4603" s="7" t="inlineStr">
        <is>
          <t>Feijão</t>
        </is>
      </c>
      <c r="G4603" s="7" t="inlineStr">
        <is>
          <t>Cultura Autorizada na Bula</t>
        </is>
      </c>
      <c r="H4603" s="7" t="inlineStr">
        <is>
          <t>100 a 300 L/ha</t>
        </is>
      </c>
      <c r="I4603" s="7" t="inlineStr">
        <is>
          <t>20 a 40 L/ha</t>
        </is>
      </c>
      <c r="J4603" s="7" t="inlineStr">
        <is>
          <t>21 a 30 dias</t>
        </is>
      </c>
    </row>
    <row r="4604" ht="22" customHeight="1">
      <c r="A4604" s="12" t="inlineStr">
        <is>
          <t>CUL-4600</t>
        </is>
      </c>
      <c r="B4604" s="11" t="n">
        <v>949</v>
      </c>
      <c r="C4604" s="13" t="inlineStr">
        <is>
          <t>Nº 20424</t>
        </is>
      </c>
      <c r="D4604" s="14" t="inlineStr">
        <is>
          <t>BIOPAK 720 WG</t>
        </is>
      </c>
      <c r="E4604" s="13" t="inlineStr">
        <is>
          <t>Pulverização Agrícola Conforme Bula</t>
        </is>
      </c>
      <c r="F4604" s="13" t="inlineStr">
        <is>
          <t>Trigo</t>
        </is>
      </c>
      <c r="G4604" s="13" t="inlineStr">
        <is>
          <t>Cultura Autorizada na Bula</t>
        </is>
      </c>
      <c r="H4604" s="13" t="inlineStr">
        <is>
          <t>100 a 300 L/ha</t>
        </is>
      </c>
      <c r="I4604" s="13" t="inlineStr">
        <is>
          <t>20 a 40 L/ha</t>
        </is>
      </c>
      <c r="J4604" s="13" t="inlineStr">
        <is>
          <t>21 a 30 dias</t>
        </is>
      </c>
    </row>
    <row r="4605" ht="22" customHeight="1">
      <c r="A4605" s="6" t="inlineStr">
        <is>
          <t>CUL-4601</t>
        </is>
      </c>
      <c r="B4605" s="5" t="n">
        <v>950</v>
      </c>
      <c r="C4605" s="7" t="inlineStr">
        <is>
          <t>Nº 20524</t>
        </is>
      </c>
      <c r="D4605" s="8" t="inlineStr">
        <is>
          <t>NAVEGANTE 806 SL</t>
        </is>
      </c>
      <c r="E4605" s="7" t="inlineStr">
        <is>
          <t>Pulverização Agrícola Conforme Bula</t>
        </is>
      </c>
      <c r="F4605" s="7" t="inlineStr">
        <is>
          <t>Soja (Dessecação Pré-Plantio)</t>
        </is>
      </c>
      <c r="G4605" s="7" t="inlineStr">
        <is>
          <t>Cultura Autorizada na Bula</t>
        </is>
      </c>
      <c r="H4605" s="7" t="inlineStr">
        <is>
          <t>100 a 300 L/ha</t>
        </is>
      </c>
      <c r="I4605" s="7" t="inlineStr">
        <is>
          <t>20 a 40 L/ha</t>
        </is>
      </c>
      <c r="J4605" s="7" t="inlineStr">
        <is>
          <t>N/D</t>
        </is>
      </c>
    </row>
    <row r="4606" ht="22" customHeight="1">
      <c r="A4606" s="12" t="inlineStr">
        <is>
          <t>CUL-4602</t>
        </is>
      </c>
      <c r="B4606" s="11" t="n">
        <v>950</v>
      </c>
      <c r="C4606" s="13" t="inlineStr">
        <is>
          <t>Nº 20524</t>
        </is>
      </c>
      <c r="D4606" s="14" t="inlineStr">
        <is>
          <t>NAVEGANTE 806 SL</t>
        </is>
      </c>
      <c r="E4606" s="13" t="inlineStr">
        <is>
          <t>Pulverização Agrícola Conforme Bula</t>
        </is>
      </c>
      <c r="F4606" s="13" t="inlineStr">
        <is>
          <t>Milho</t>
        </is>
      </c>
      <c r="G4606" s="13" t="inlineStr">
        <is>
          <t>Cultura Autorizada na Bula</t>
        </is>
      </c>
      <c r="H4606" s="13" t="inlineStr">
        <is>
          <t>100 a 300 L/ha</t>
        </is>
      </c>
      <c r="I4606" s="13" t="inlineStr">
        <is>
          <t>20 a 40 L/ha</t>
        </is>
      </c>
      <c r="J4606" s="13" t="inlineStr">
        <is>
          <t>40 dias</t>
        </is>
      </c>
    </row>
    <row r="4607" ht="22" customHeight="1">
      <c r="A4607" s="6" t="inlineStr">
        <is>
          <t>CUL-4603</t>
        </is>
      </c>
      <c r="B4607" s="5" t="n">
        <v>950</v>
      </c>
      <c r="C4607" s="7" t="inlineStr">
        <is>
          <t>Nº 20524</t>
        </is>
      </c>
      <c r="D4607" s="8" t="inlineStr">
        <is>
          <t>NAVEGANTE 806 SL</t>
        </is>
      </c>
      <c r="E4607" s="7" t="inlineStr">
        <is>
          <t>Pulverização Agrícola Conforme Bula</t>
        </is>
      </c>
      <c r="F4607" s="7" t="inlineStr">
        <is>
          <t>Cana-de-açúcar</t>
        </is>
      </c>
      <c r="G4607" s="7" t="inlineStr">
        <is>
          <t>Cultura Autorizada na Bula</t>
        </is>
      </c>
      <c r="H4607" s="7" t="inlineStr">
        <is>
          <t>100 a 300 L/ha</t>
        </is>
      </c>
      <c r="I4607" s="7" t="inlineStr">
        <is>
          <t>20 a 40 L/ha</t>
        </is>
      </c>
      <c r="J4607" s="7" t="inlineStr">
        <is>
          <t>N/D</t>
        </is>
      </c>
    </row>
    <row r="4608" ht="22" customHeight="1">
      <c r="A4608" s="12" t="inlineStr">
        <is>
          <t>CUL-4604</t>
        </is>
      </c>
      <c r="B4608" s="11" t="n">
        <v>950</v>
      </c>
      <c r="C4608" s="13" t="inlineStr">
        <is>
          <t>Nº 20524</t>
        </is>
      </c>
      <c r="D4608" s="14" t="inlineStr">
        <is>
          <t>NAVEGANTE 806 SL</t>
        </is>
      </c>
      <c r="E4608" s="13" t="inlineStr">
        <is>
          <t>Pulverização Agrícola Conforme Bula</t>
        </is>
      </c>
      <c r="F4608" s="13" t="inlineStr">
        <is>
          <t>Trigo</t>
        </is>
      </c>
      <c r="G4608" s="13" t="inlineStr">
        <is>
          <t>Cultura Autorizada na Bula</t>
        </is>
      </c>
      <c r="H4608" s="13" t="inlineStr">
        <is>
          <t>100 a 300 L/ha</t>
        </is>
      </c>
      <c r="I4608" s="13" t="inlineStr">
        <is>
          <t>20 a 40 L/ha</t>
        </is>
      </c>
      <c r="J4608" s="13" t="inlineStr">
        <is>
          <t>45 dias</t>
        </is>
      </c>
    </row>
    <row r="4609" ht="22" customHeight="1">
      <c r="A4609" s="6" t="inlineStr">
        <is>
          <t>CUL-4605</t>
        </is>
      </c>
      <c r="B4609" s="5" t="n">
        <v>950</v>
      </c>
      <c r="C4609" s="7" t="inlineStr">
        <is>
          <t>Nº 20524</t>
        </is>
      </c>
      <c r="D4609" s="8" t="inlineStr">
        <is>
          <t>NAVEGANTE 806 SL</t>
        </is>
      </c>
      <c r="E4609" s="7" t="inlineStr">
        <is>
          <t>Pulverização Agrícola Conforme Bula</t>
        </is>
      </c>
      <c r="F4609" s="7" t="inlineStr">
        <is>
          <t>Pastagens</t>
        </is>
      </c>
      <c r="G4609" s="7" t="inlineStr">
        <is>
          <t>Cultura Autorizada na Bula</t>
        </is>
      </c>
      <c r="H4609" s="7" t="inlineStr">
        <is>
          <t>100 a 300 L/ha</t>
        </is>
      </c>
      <c r="I4609" s="7" t="inlineStr">
        <is>
          <t>20 a 40 L/ha</t>
        </is>
      </c>
      <c r="J4609" s="7" t="inlineStr">
        <is>
          <t>N/D</t>
        </is>
      </c>
    </row>
    <row r="4610" ht="22" customHeight="1">
      <c r="A4610" s="12" t="inlineStr">
        <is>
          <t>CUL-4606</t>
        </is>
      </c>
      <c r="B4610" s="11" t="n">
        <v>950</v>
      </c>
      <c r="C4610" s="13" t="inlineStr">
        <is>
          <t>Nº 20524</t>
        </is>
      </c>
      <c r="D4610" s="14" t="inlineStr">
        <is>
          <t>NAVEGANTE 806 SL</t>
        </is>
      </c>
      <c r="E4610" s="13" t="inlineStr">
        <is>
          <t>Pulverização Agrícola Conforme Bula</t>
        </is>
      </c>
      <c r="F4610" s="13" t="inlineStr">
        <is>
          <t>Arroz</t>
        </is>
      </c>
      <c r="G4610" s="13" t="inlineStr">
        <is>
          <t>Cultura Autorizada na Bula</t>
        </is>
      </c>
      <c r="H4610" s="13" t="inlineStr">
        <is>
          <t>100 a 300 L/ha</t>
        </is>
      </c>
      <c r="I4610" s="13" t="inlineStr">
        <is>
          <t>20 a 40 L/ha</t>
        </is>
      </c>
      <c r="J4610" s="13" t="inlineStr">
        <is>
          <t>60 dias</t>
        </is>
      </c>
    </row>
    <row r="4611" ht="22" customHeight="1">
      <c r="A4611" s="6" t="inlineStr">
        <is>
          <t>CUL-4607</t>
        </is>
      </c>
      <c r="B4611" s="5" t="n">
        <v>951</v>
      </c>
      <c r="C4611" s="7" t="inlineStr">
        <is>
          <t>Nº 20624</t>
        </is>
      </c>
      <c r="D4611" s="8" t="inlineStr">
        <is>
          <t>CISHA 250 EC</t>
        </is>
      </c>
      <c r="E4611" s="7" t="inlineStr">
        <is>
          <t>Pulverização Agrícola Conforme Bula</t>
        </is>
      </c>
      <c r="F4611" s="7" t="inlineStr">
        <is>
          <t>Soja</t>
        </is>
      </c>
      <c r="G4611" s="7" t="inlineStr">
        <is>
          <t>Cultura Autorizada na Bula</t>
        </is>
      </c>
      <c r="H4611" s="7" t="inlineStr">
        <is>
          <t>100 a 300 L/ha</t>
        </is>
      </c>
      <c r="I4611" s="7" t="inlineStr">
        <is>
          <t>20 a 40 L/ha</t>
        </is>
      </c>
      <c r="J4611" s="7" t="inlineStr">
        <is>
          <t>21 dias</t>
        </is>
      </c>
    </row>
    <row r="4612" ht="22" customHeight="1">
      <c r="A4612" s="12" t="inlineStr">
        <is>
          <t>CUL-4608</t>
        </is>
      </c>
      <c r="B4612" s="11" t="n">
        <v>951</v>
      </c>
      <c r="C4612" s="13" t="inlineStr">
        <is>
          <t>Nº 20624</t>
        </is>
      </c>
      <c r="D4612" s="14" t="inlineStr">
        <is>
          <t>CISHA 250 EC</t>
        </is>
      </c>
      <c r="E4612" s="13" t="inlineStr">
        <is>
          <t>Pulverização Agrícola Conforme Bula</t>
        </is>
      </c>
      <c r="F4612" s="13" t="inlineStr">
        <is>
          <t>Milho</t>
        </is>
      </c>
      <c r="G4612" s="13" t="inlineStr">
        <is>
          <t>Cultura Autorizada na Bula</t>
        </is>
      </c>
      <c r="H4612" s="13" t="inlineStr">
        <is>
          <t>100 a 300 L/ha</t>
        </is>
      </c>
      <c r="I4612" s="13" t="inlineStr">
        <is>
          <t>20 a 40 L/ha</t>
        </is>
      </c>
      <c r="J4612" s="13" t="inlineStr">
        <is>
          <t>21 dias</t>
        </is>
      </c>
    </row>
    <row r="4613" ht="22" customHeight="1">
      <c r="A4613" s="6" t="inlineStr">
        <is>
          <t>CUL-4609</t>
        </is>
      </c>
      <c r="B4613" s="5" t="n">
        <v>951</v>
      </c>
      <c r="C4613" s="7" t="inlineStr">
        <is>
          <t>Nº 20624</t>
        </is>
      </c>
      <c r="D4613" s="8" t="inlineStr">
        <is>
          <t>CISHA 250 EC</t>
        </is>
      </c>
      <c r="E4613" s="7" t="inlineStr">
        <is>
          <t>Pulverização Agrícola Conforme Bula</t>
        </is>
      </c>
      <c r="F4613" s="7" t="inlineStr">
        <is>
          <t>Algodão</t>
        </is>
      </c>
      <c r="G4613" s="7" t="inlineStr">
        <is>
          <t>Cultura Autorizada na Bula</t>
        </is>
      </c>
      <c r="H4613" s="7" t="inlineStr">
        <is>
          <t>100 a 300 L/ha</t>
        </is>
      </c>
      <c r="I4613" s="7" t="inlineStr">
        <is>
          <t>20 a 40 L/ha</t>
        </is>
      </c>
      <c r="J4613" s="7" t="inlineStr">
        <is>
          <t>21 dias</t>
        </is>
      </c>
    </row>
    <row r="4614" ht="22" customHeight="1">
      <c r="A4614" s="12" t="inlineStr">
        <is>
          <t>CUL-4610</t>
        </is>
      </c>
      <c r="B4614" s="11" t="n">
        <v>951</v>
      </c>
      <c r="C4614" s="13" t="inlineStr">
        <is>
          <t>Nº 20624</t>
        </is>
      </c>
      <c r="D4614" s="14" t="inlineStr">
        <is>
          <t>CISHA 250 EC</t>
        </is>
      </c>
      <c r="E4614" s="13" t="inlineStr">
        <is>
          <t>Pulverização Agrícola Conforme Bula</t>
        </is>
      </c>
      <c r="F4614" s="13" t="inlineStr">
        <is>
          <t>Feijão</t>
        </is>
      </c>
      <c r="G4614" s="13" t="inlineStr">
        <is>
          <t>Cultura Autorizada na Bula</t>
        </is>
      </c>
      <c r="H4614" s="13" t="inlineStr">
        <is>
          <t>100 a 300 L/ha</t>
        </is>
      </c>
      <c r="I4614" s="13" t="inlineStr">
        <is>
          <t>20 a 40 L/ha</t>
        </is>
      </c>
      <c r="J4614" s="13" t="inlineStr">
        <is>
          <t>14 dias</t>
        </is>
      </c>
    </row>
    <row r="4615" ht="22" customHeight="1">
      <c r="A4615" s="6" t="inlineStr">
        <is>
          <t>CUL-4611</t>
        </is>
      </c>
      <c r="B4615" s="5" t="n">
        <v>952</v>
      </c>
      <c r="C4615" s="7" t="inlineStr">
        <is>
          <t>VINC-20624</t>
        </is>
      </c>
      <c r="D4615" s="8" t="inlineStr">
        <is>
          <t>Shyper Técnico</t>
        </is>
      </c>
      <c r="E4615" s="7" t="inlineStr">
        <is>
          <t>Uso Exclusivamente Industrial (Formulação)</t>
        </is>
      </c>
      <c r="F4615" s="7" t="inlineStr">
        <is>
          <t>Não Aplicável (Proibido uso direto na lavoura)</t>
        </is>
      </c>
      <c r="G4615" s="7" t="inlineStr">
        <is>
          <t>Insumo Industrial</t>
        </is>
      </c>
      <c r="H4615" s="7" t="inlineStr">
        <is>
          <t>N/A</t>
        </is>
      </c>
      <c r="I4615" s="7" t="inlineStr">
        <is>
          <t>N/A</t>
        </is>
      </c>
      <c r="J4615" s="7" t="inlineStr">
        <is>
          <t>N/A (Insumo Industrial)</t>
        </is>
      </c>
    </row>
    <row r="4616" ht="22" customHeight="1">
      <c r="A4616" s="12" t="inlineStr">
        <is>
          <t>CUL-4612</t>
        </is>
      </c>
      <c r="B4616" s="11" t="n">
        <v>953</v>
      </c>
      <c r="C4616" s="13" t="inlineStr">
        <is>
          <t>Nº 20724</t>
        </is>
      </c>
      <c r="D4616" s="14" t="inlineStr">
        <is>
          <t>GLUFORCE</t>
        </is>
      </c>
      <c r="E4616" s="13" t="inlineStr">
        <is>
          <t>Pulverização Agrícola Conforme Bula</t>
        </is>
      </c>
      <c r="F4616" s="13" t="inlineStr">
        <is>
          <t>Soja (Pré-Plantio / OGM)</t>
        </is>
      </c>
      <c r="G4616" s="13" t="inlineStr">
        <is>
          <t>Cultura Autorizada na Bula</t>
        </is>
      </c>
      <c r="H4616" s="13" t="inlineStr">
        <is>
          <t>100 a 300 L/ha</t>
        </is>
      </c>
      <c r="I4616" s="13" t="inlineStr">
        <is>
          <t>20 a 40 L/ha</t>
        </is>
      </c>
      <c r="J4616" s="13" t="inlineStr">
        <is>
          <t>60 dias</t>
        </is>
      </c>
    </row>
    <row r="4617" ht="22" customHeight="1">
      <c r="A4617" s="6" t="inlineStr">
        <is>
          <t>CUL-4613</t>
        </is>
      </c>
      <c r="B4617" s="5" t="n">
        <v>953</v>
      </c>
      <c r="C4617" s="7" t="inlineStr">
        <is>
          <t>Nº 20724</t>
        </is>
      </c>
      <c r="D4617" s="8" t="inlineStr">
        <is>
          <t>GLUFORCE</t>
        </is>
      </c>
      <c r="E4617" s="7" t="inlineStr">
        <is>
          <t>Pulverização Agrícola Conforme Bula</t>
        </is>
      </c>
      <c r="F4617" s="7" t="inlineStr">
        <is>
          <t>Milho (Pré-Plantio / OGM)</t>
        </is>
      </c>
      <c r="G4617" s="7" t="inlineStr">
        <is>
          <t>Cultura Autorizada na Bula</t>
        </is>
      </c>
      <c r="H4617" s="7" t="inlineStr">
        <is>
          <t>100 a 300 L/ha</t>
        </is>
      </c>
      <c r="I4617" s="7" t="inlineStr">
        <is>
          <t>20 a 40 L/ha</t>
        </is>
      </c>
      <c r="J4617" s="7" t="inlineStr">
        <is>
          <t>40 dias</t>
        </is>
      </c>
    </row>
    <row r="4618" ht="22" customHeight="1">
      <c r="A4618" s="12" t="inlineStr">
        <is>
          <t>CUL-4614</t>
        </is>
      </c>
      <c r="B4618" s="11" t="n">
        <v>953</v>
      </c>
      <c r="C4618" s="13" t="inlineStr">
        <is>
          <t>Nº 20724</t>
        </is>
      </c>
      <c r="D4618" s="14" t="inlineStr">
        <is>
          <t>GLUFORCE</t>
        </is>
      </c>
      <c r="E4618" s="13" t="inlineStr">
        <is>
          <t>Pulverização Agrícola Conforme Bula</t>
        </is>
      </c>
      <c r="F4618" s="13" t="inlineStr">
        <is>
          <t>Algodão (Pré-Plantio / OGM / Desfolha)</t>
        </is>
      </c>
      <c r="G4618" s="13" t="inlineStr">
        <is>
          <t>Cultura Autorizada na Bula</t>
        </is>
      </c>
      <c r="H4618" s="13" t="inlineStr">
        <is>
          <t>100 a 300 L/ha</t>
        </is>
      </c>
      <c r="I4618" s="13" t="inlineStr">
        <is>
          <t>20 a 40 L/ha</t>
        </is>
      </c>
      <c r="J4618" s="13" t="inlineStr">
        <is>
          <t>15 dias</t>
        </is>
      </c>
    </row>
    <row r="4619" ht="22" customHeight="1">
      <c r="A4619" s="6" t="inlineStr">
        <is>
          <t>CUL-4615</t>
        </is>
      </c>
      <c r="B4619" s="5" t="n">
        <v>953</v>
      </c>
      <c r="C4619" s="7" t="inlineStr">
        <is>
          <t>Nº 20724</t>
        </is>
      </c>
      <c r="D4619" s="8" t="inlineStr">
        <is>
          <t>GLUFORCE</t>
        </is>
      </c>
      <c r="E4619" s="7" t="inlineStr">
        <is>
          <t>Pulverização Agrícola Conforme Bula</t>
        </is>
      </c>
      <c r="F4619" s="7" t="inlineStr">
        <is>
          <t>Café (Jato Dirigido)</t>
        </is>
      </c>
      <c r="G4619" s="7" t="inlineStr">
        <is>
          <t>Cultura Autorizada na Bula</t>
        </is>
      </c>
      <c r="H4619" s="7" t="inlineStr">
        <is>
          <t>100 a 300 L/ha</t>
        </is>
      </c>
      <c r="I4619" s="7" t="inlineStr">
        <is>
          <t>20 a 40 L/ha</t>
        </is>
      </c>
      <c r="J4619" s="7" t="inlineStr">
        <is>
          <t>20 dias</t>
        </is>
      </c>
    </row>
    <row r="4620" ht="22" customHeight="1">
      <c r="A4620" s="12" t="inlineStr">
        <is>
          <t>CUL-4616</t>
        </is>
      </c>
      <c r="B4620" s="11" t="n">
        <v>953</v>
      </c>
      <c r="C4620" s="13" t="inlineStr">
        <is>
          <t>Nº 20724</t>
        </is>
      </c>
      <c r="D4620" s="14" t="inlineStr">
        <is>
          <t>GLUFORCE</t>
        </is>
      </c>
      <c r="E4620" s="13" t="inlineStr">
        <is>
          <t>Pulverização Agrícola Conforme Bula</t>
        </is>
      </c>
      <c r="F4620" s="13" t="inlineStr">
        <is>
          <t>Citros (Jato Dirigido)</t>
        </is>
      </c>
      <c r="G4620" s="13" t="inlineStr">
        <is>
          <t>Cultura Autorizada na Bula</t>
        </is>
      </c>
      <c r="H4620" s="13" t="inlineStr">
        <is>
          <t>100 a 300 L/ha</t>
        </is>
      </c>
      <c r="I4620" s="13" t="inlineStr">
        <is>
          <t>20 a 40 L/ha</t>
        </is>
      </c>
      <c r="J4620" s="13" t="inlineStr">
        <is>
          <t>40 dias</t>
        </is>
      </c>
    </row>
    <row r="4621" ht="22" customHeight="1">
      <c r="A4621" s="6" t="inlineStr">
        <is>
          <t>CUL-4617</t>
        </is>
      </c>
      <c r="B4621" s="5" t="n">
        <v>953</v>
      </c>
      <c r="C4621" s="7" t="inlineStr">
        <is>
          <t>Nº 20724</t>
        </is>
      </c>
      <c r="D4621" s="8" t="inlineStr">
        <is>
          <t>GLUFORCE</t>
        </is>
      </c>
      <c r="E4621" s="7" t="inlineStr">
        <is>
          <t>Pulverização Agrícola Conforme Bula</t>
        </is>
      </c>
      <c r="F4621" s="7" t="inlineStr">
        <is>
          <t>Trigo</t>
        </is>
      </c>
      <c r="G4621" s="7" t="inlineStr">
        <is>
          <t>Cultura Autorizada na Bula</t>
        </is>
      </c>
      <c r="H4621" s="7" t="inlineStr">
        <is>
          <t>100 a 300 L/ha</t>
        </is>
      </c>
      <c r="I4621" s="7" t="inlineStr">
        <is>
          <t>20 a 40 L/ha</t>
        </is>
      </c>
      <c r="J4621" s="7" t="inlineStr">
        <is>
          <t>N/D</t>
        </is>
      </c>
    </row>
    <row r="4622" ht="22" customHeight="1">
      <c r="A4622" s="12" t="inlineStr">
        <is>
          <t>CUL-4618</t>
        </is>
      </c>
      <c r="B4622" s="11" t="n">
        <v>954</v>
      </c>
      <c r="C4622" s="13" t="inlineStr">
        <is>
          <t>VINC-20724</t>
        </is>
      </c>
      <c r="D4622" s="14" t="inlineStr">
        <is>
          <t>Glufosinato Técnico Dinagro</t>
        </is>
      </c>
      <c r="E4622" s="13" t="inlineStr">
        <is>
          <t>Uso Exclusivamente Industrial (Formulação)</t>
        </is>
      </c>
      <c r="F4622" s="13" t="inlineStr">
        <is>
          <t>Não Aplicável (Proibido uso direto na lavoura)</t>
        </is>
      </c>
      <c r="G4622" s="13" t="inlineStr">
        <is>
          <t>Insumo Industrial</t>
        </is>
      </c>
      <c r="H4622" s="13" t="inlineStr">
        <is>
          <t>N/A</t>
        </is>
      </c>
      <c r="I4622" s="13" t="inlineStr">
        <is>
          <t>N/A</t>
        </is>
      </c>
      <c r="J4622" s="13" t="inlineStr">
        <is>
          <t>N/A (Insumo Industrial)</t>
        </is>
      </c>
    </row>
    <row r="4623" ht="22" customHeight="1">
      <c r="A4623" s="6" t="inlineStr">
        <is>
          <t>CUL-4619</t>
        </is>
      </c>
      <c r="B4623" s="5" t="n">
        <v>955</v>
      </c>
      <c r="C4623" s="7" t="inlineStr">
        <is>
          <t>Nº 20824</t>
        </is>
      </c>
      <c r="D4623" s="8" t="inlineStr">
        <is>
          <t>BIOMETATRIL</t>
        </is>
      </c>
      <c r="E4623" s="7" t="inlineStr">
        <is>
          <t>Pulverização Agrícola Conforme Bula</t>
        </is>
      </c>
      <c r="F4623" s="7" t="inlineStr">
        <is>
          <t>Todas as Culturas (Alvo Biológico Autorizado MAPA)</t>
        </is>
      </c>
      <c r="G4623" s="7" t="inlineStr">
        <is>
          <t>Cultura Autorizada na Bula</t>
        </is>
      </c>
      <c r="H4623" s="7" t="inlineStr">
        <is>
          <t>100 a 300 L/ha</t>
        </is>
      </c>
      <c r="I4623" s="7" t="inlineStr">
        <is>
          <t>20 a 40 L/ha</t>
        </is>
      </c>
      <c r="J4623" s="7" t="inlineStr">
        <is>
          <t>0 (Isento de Carência)</t>
        </is>
      </c>
    </row>
    <row r="4624" ht="22" customHeight="1">
      <c r="A4624" s="12" t="inlineStr">
        <is>
          <t>CUL-4620</t>
        </is>
      </c>
      <c r="B4624" s="11" t="n">
        <v>956</v>
      </c>
      <c r="C4624" s="13" t="inlineStr">
        <is>
          <t>Nº 20924</t>
        </is>
      </c>
      <c r="D4624" s="14" t="inlineStr">
        <is>
          <t>FOLPEC 50</t>
        </is>
      </c>
      <c r="E4624" s="13" t="inlineStr">
        <is>
          <t>Pulverização Agrícola Conforme Bula</t>
        </is>
      </c>
      <c r="F4624" s="13" t="inlineStr">
        <is>
          <t>Soja</t>
        </is>
      </c>
      <c r="G4624" s="13" t="inlineStr">
        <is>
          <t>Cultura Autorizada na Bula</t>
        </is>
      </c>
      <c r="H4624" s="13" t="inlineStr">
        <is>
          <t>100 a 300 L/ha</t>
        </is>
      </c>
      <c r="I4624" s="13" t="inlineStr">
        <is>
          <t>20 a 40 L/ha</t>
        </is>
      </c>
      <c r="J4624" s="13" t="inlineStr">
        <is>
          <t>30 dias</t>
        </is>
      </c>
    </row>
    <row r="4625" ht="22" customHeight="1">
      <c r="A4625" s="6" t="inlineStr">
        <is>
          <t>CUL-4621</t>
        </is>
      </c>
      <c r="B4625" s="5" t="n">
        <v>956</v>
      </c>
      <c r="C4625" s="7" t="inlineStr">
        <is>
          <t>Nº 20924</t>
        </is>
      </c>
      <c r="D4625" s="8" t="inlineStr">
        <is>
          <t>FOLPEC 50</t>
        </is>
      </c>
      <c r="E4625" s="7" t="inlineStr">
        <is>
          <t>Pulverização Agrícola Conforme Bula</t>
        </is>
      </c>
      <c r="F4625" s="7" t="inlineStr">
        <is>
          <t>Milho</t>
        </is>
      </c>
      <c r="G4625" s="7" t="inlineStr">
        <is>
          <t>Cultura Autorizada na Bula</t>
        </is>
      </c>
      <c r="H4625" s="7" t="inlineStr">
        <is>
          <t>100 a 300 L/ha</t>
        </is>
      </c>
      <c r="I4625" s="7" t="inlineStr">
        <is>
          <t>20 a 40 L/ha</t>
        </is>
      </c>
      <c r="J4625" s="7" t="inlineStr">
        <is>
          <t>30 dias</t>
        </is>
      </c>
    </row>
    <row r="4626" ht="22" customHeight="1">
      <c r="A4626" s="12" t="inlineStr">
        <is>
          <t>CUL-4622</t>
        </is>
      </c>
      <c r="B4626" s="11" t="n">
        <v>956</v>
      </c>
      <c r="C4626" s="13" t="inlineStr">
        <is>
          <t>Nº 20924</t>
        </is>
      </c>
      <c r="D4626" s="14" t="inlineStr">
        <is>
          <t>FOLPEC 50</t>
        </is>
      </c>
      <c r="E4626" s="13" t="inlineStr">
        <is>
          <t>Pulverização Agrícola Conforme Bula</t>
        </is>
      </c>
      <c r="F4626" s="13" t="inlineStr">
        <is>
          <t>Algodão</t>
        </is>
      </c>
      <c r="G4626" s="13" t="inlineStr">
        <is>
          <t>Cultura Autorizada na Bula</t>
        </is>
      </c>
      <c r="H4626" s="13" t="inlineStr">
        <is>
          <t>100 a 300 L/ha</t>
        </is>
      </c>
      <c r="I4626" s="13" t="inlineStr">
        <is>
          <t>20 a 40 L/ha</t>
        </is>
      </c>
      <c r="J4626" s="13" t="inlineStr">
        <is>
          <t>30 dias</t>
        </is>
      </c>
    </row>
    <row r="4627" ht="22" customHeight="1">
      <c r="A4627" s="6" t="inlineStr">
        <is>
          <t>CUL-4623</t>
        </is>
      </c>
      <c r="B4627" s="5" t="n">
        <v>956</v>
      </c>
      <c r="C4627" s="7" t="inlineStr">
        <is>
          <t>Nº 20924</t>
        </is>
      </c>
      <c r="D4627" s="8" t="inlineStr">
        <is>
          <t>FOLPEC 50</t>
        </is>
      </c>
      <c r="E4627" s="7" t="inlineStr">
        <is>
          <t>Pulverização Agrícola Conforme Bula</t>
        </is>
      </c>
      <c r="F4627" s="7" t="inlineStr">
        <is>
          <t>Trigo</t>
        </is>
      </c>
      <c r="G4627" s="7" t="inlineStr">
        <is>
          <t>Cultura Autorizada na Bula</t>
        </is>
      </c>
      <c r="H4627" s="7" t="inlineStr">
        <is>
          <t>100 a 300 L/ha</t>
        </is>
      </c>
      <c r="I4627" s="7" t="inlineStr">
        <is>
          <t>20 a 40 L/ha</t>
        </is>
      </c>
      <c r="J4627" s="7" t="inlineStr">
        <is>
          <t>30 dias</t>
        </is>
      </c>
    </row>
    <row r="4628" ht="22" customHeight="1">
      <c r="A4628" s="12" t="inlineStr">
        <is>
          <t>CUL-4624</t>
        </is>
      </c>
      <c r="B4628" s="11" t="n">
        <v>956</v>
      </c>
      <c r="C4628" s="13" t="inlineStr">
        <is>
          <t>Nº 20924</t>
        </is>
      </c>
      <c r="D4628" s="14" t="inlineStr">
        <is>
          <t>FOLPEC 50</t>
        </is>
      </c>
      <c r="E4628" s="13" t="inlineStr">
        <is>
          <t>Pulverização Agrícola Conforme Bula</t>
        </is>
      </c>
      <c r="F4628" s="13" t="inlineStr">
        <is>
          <t>Feijão</t>
        </is>
      </c>
      <c r="G4628" s="13" t="inlineStr">
        <is>
          <t>Cultura Autorizada na Bula</t>
        </is>
      </c>
      <c r="H4628" s="13" t="inlineStr">
        <is>
          <t>100 a 300 L/ha</t>
        </is>
      </c>
      <c r="I4628" s="13" t="inlineStr">
        <is>
          <t>20 a 40 L/ha</t>
        </is>
      </c>
      <c r="J4628" s="13" t="inlineStr">
        <is>
          <t>14 dias</t>
        </is>
      </c>
    </row>
    <row r="4629" ht="22" customHeight="1">
      <c r="A4629" s="6" t="inlineStr">
        <is>
          <t>CUL-4625</t>
        </is>
      </c>
      <c r="B4629" s="5" t="n">
        <v>957</v>
      </c>
      <c r="C4629" s="7" t="inlineStr">
        <is>
          <t>VINC-20924</t>
        </is>
      </c>
      <c r="D4629" s="8" t="inlineStr">
        <is>
          <t>Folpete Tradecorp Técnico</t>
        </is>
      </c>
      <c r="E4629" s="7" t="inlineStr">
        <is>
          <t>Uso Exclusivamente Industrial (Formulação)</t>
        </is>
      </c>
      <c r="F4629" s="7" t="inlineStr">
        <is>
          <t>Não Aplicável (Proibido uso direto na lavoura)</t>
        </is>
      </c>
      <c r="G4629" s="7" t="inlineStr">
        <is>
          <t>Insumo Industrial</t>
        </is>
      </c>
      <c r="H4629" s="7" t="inlineStr">
        <is>
          <t>N/A</t>
        </is>
      </c>
      <c r="I4629" s="7" t="inlineStr">
        <is>
          <t>N/A</t>
        </is>
      </c>
      <c r="J4629" s="7" t="inlineStr">
        <is>
          <t>N/A (Insumo Industrial)</t>
        </is>
      </c>
    </row>
    <row r="4630" ht="22" customHeight="1">
      <c r="A4630" s="12" t="inlineStr">
        <is>
          <t>CUL-4626</t>
        </is>
      </c>
      <c r="B4630" s="11" t="n">
        <v>958</v>
      </c>
      <c r="C4630" s="13" t="inlineStr">
        <is>
          <t>Nº 21024</t>
        </is>
      </c>
      <c r="D4630" s="14" t="inlineStr">
        <is>
          <t>METABOV</t>
        </is>
      </c>
      <c r="E4630" s="13" t="inlineStr">
        <is>
          <t>Pulverização Agrícola Conforme Bula</t>
        </is>
      </c>
      <c r="F4630" s="13" t="inlineStr">
        <is>
          <t>Todas as Culturas (Alvo Biológico Autorizado MAPA)</t>
        </is>
      </c>
      <c r="G4630" s="13" t="inlineStr">
        <is>
          <t>Cultura Autorizada na Bula</t>
        </is>
      </c>
      <c r="H4630" s="13" t="inlineStr">
        <is>
          <t>100 a 300 L/ha</t>
        </is>
      </c>
      <c r="I4630" s="13" t="inlineStr">
        <is>
          <t>20 a 40 L/ha</t>
        </is>
      </c>
      <c r="J4630" s="13" t="inlineStr">
        <is>
          <t>0 (Isento de Carência)</t>
        </is>
      </c>
    </row>
    <row r="4631" ht="22" customHeight="1">
      <c r="A4631" s="6" t="inlineStr">
        <is>
          <t>CUL-4627</t>
        </is>
      </c>
      <c r="B4631" s="5" t="n">
        <v>959</v>
      </c>
      <c r="C4631" s="7" t="inlineStr">
        <is>
          <t>Nº 21024</t>
        </is>
      </c>
      <c r="D4631" s="8" t="inlineStr">
        <is>
          <t>ATLASMIX</t>
        </is>
      </c>
      <c r="E4631" s="7" t="inlineStr">
        <is>
          <t>Pulverização Agrícola Conforme Bula</t>
        </is>
      </c>
      <c r="F4631" s="7" t="inlineStr">
        <is>
          <t>Todas as Culturas (Alvo Biológico Autorizado MAPA)</t>
        </is>
      </c>
      <c r="G4631" s="7" t="inlineStr">
        <is>
          <t>Cultura Autorizada na Bula</t>
        </is>
      </c>
      <c r="H4631" s="7" t="inlineStr">
        <is>
          <t>100 a 300 L/ha</t>
        </is>
      </c>
      <c r="I4631" s="7" t="inlineStr">
        <is>
          <t>20 a 40 L/ha</t>
        </is>
      </c>
      <c r="J4631" s="7" t="inlineStr">
        <is>
          <t>0 (Isento de Carência)</t>
        </is>
      </c>
    </row>
    <row r="4632" ht="22" customHeight="1">
      <c r="A4632" s="12" t="inlineStr">
        <is>
          <t>CUL-4628</t>
        </is>
      </c>
      <c r="B4632" s="11" t="n">
        <v>960</v>
      </c>
      <c r="C4632" s="13" t="inlineStr">
        <is>
          <t>Nº 21024</t>
        </is>
      </c>
      <c r="D4632" s="14" t="inlineStr">
        <is>
          <t>GRIFOS</t>
        </is>
      </c>
      <c r="E4632" s="13" t="inlineStr">
        <is>
          <t>Pulverização Agrícola Conforme Bula</t>
        </is>
      </c>
      <c r="F4632" s="13" t="inlineStr">
        <is>
          <t>Todas as Culturas (Alvo Biológico Autorizado MAPA)</t>
        </is>
      </c>
      <c r="G4632" s="13" t="inlineStr">
        <is>
          <t>Cultura Autorizada na Bula</t>
        </is>
      </c>
      <c r="H4632" s="13" t="inlineStr">
        <is>
          <t>100 a 300 L/ha</t>
        </is>
      </c>
      <c r="I4632" s="13" t="inlineStr">
        <is>
          <t>20 a 40 L/ha</t>
        </is>
      </c>
      <c r="J4632" s="13" t="inlineStr">
        <is>
          <t>0 (Isento de Carência)</t>
        </is>
      </c>
    </row>
    <row r="4633" ht="22" customHeight="1">
      <c r="A4633" s="6" t="inlineStr">
        <is>
          <t>CUL-4629</t>
        </is>
      </c>
      <c r="B4633" s="5" t="n">
        <v>961</v>
      </c>
      <c r="C4633" s="7" t="inlineStr">
        <is>
          <t>Nº 21124</t>
        </is>
      </c>
      <c r="D4633" s="8" t="inlineStr">
        <is>
          <t>TRATTARE</t>
        </is>
      </c>
      <c r="E4633" s="7" t="inlineStr">
        <is>
          <t>Pulverização Agrícola Conforme Bula</t>
        </is>
      </c>
      <c r="F4633" s="7" t="inlineStr">
        <is>
          <t>Soja</t>
        </is>
      </c>
      <c r="G4633" s="7" t="inlineStr">
        <is>
          <t>Cultura Autorizada na Bula</t>
        </is>
      </c>
      <c r="H4633" s="7" t="inlineStr">
        <is>
          <t>100 a 300 L/ha</t>
        </is>
      </c>
      <c r="I4633" s="7" t="inlineStr">
        <is>
          <t>20 a 40 L/ha</t>
        </is>
      </c>
      <c r="J4633" s="7" t="inlineStr">
        <is>
          <t>30 dias</t>
        </is>
      </c>
    </row>
    <row r="4634" ht="22" customHeight="1">
      <c r="A4634" s="12" t="inlineStr">
        <is>
          <t>CUL-4630</t>
        </is>
      </c>
      <c r="B4634" s="11" t="n">
        <v>961</v>
      </c>
      <c r="C4634" s="13" t="inlineStr">
        <is>
          <t>Nº 21124</t>
        </is>
      </c>
      <c r="D4634" s="14" t="inlineStr">
        <is>
          <t>TRATTARE</t>
        </is>
      </c>
      <c r="E4634" s="13" t="inlineStr">
        <is>
          <t>Pulverização Agrícola Conforme Bula</t>
        </is>
      </c>
      <c r="F4634" s="13" t="inlineStr">
        <is>
          <t>Algodão</t>
        </is>
      </c>
      <c r="G4634" s="13" t="inlineStr">
        <is>
          <t>Cultura Autorizada na Bula</t>
        </is>
      </c>
      <c r="H4634" s="13" t="inlineStr">
        <is>
          <t>100 a 300 L/ha</t>
        </is>
      </c>
      <c r="I4634" s="13" t="inlineStr">
        <is>
          <t>20 a 40 L/ha</t>
        </is>
      </c>
      <c r="J4634" s="13" t="inlineStr">
        <is>
          <t>30 dias</t>
        </is>
      </c>
    </row>
    <row r="4635" ht="22" customHeight="1">
      <c r="A4635" s="6" t="inlineStr">
        <is>
          <t>CUL-4631</t>
        </is>
      </c>
      <c r="B4635" s="5" t="n">
        <v>961</v>
      </c>
      <c r="C4635" s="7" t="inlineStr">
        <is>
          <t>Nº 21124</t>
        </is>
      </c>
      <c r="D4635" s="8" t="inlineStr">
        <is>
          <t>TRATTARE</t>
        </is>
      </c>
      <c r="E4635" s="7" t="inlineStr">
        <is>
          <t>Pulverização Agrícola Conforme Bula</t>
        </is>
      </c>
      <c r="F4635" s="7" t="inlineStr">
        <is>
          <t>Milho</t>
        </is>
      </c>
      <c r="G4635" s="7" t="inlineStr">
        <is>
          <t>Cultura Autorizada na Bula</t>
        </is>
      </c>
      <c r="H4635" s="7" t="inlineStr">
        <is>
          <t>100 a 300 L/ha</t>
        </is>
      </c>
      <c r="I4635" s="7" t="inlineStr">
        <is>
          <t>20 a 40 L/ha</t>
        </is>
      </c>
      <c r="J4635" s="7" t="inlineStr">
        <is>
          <t>42 dias</t>
        </is>
      </c>
    </row>
    <row r="4636" ht="22" customHeight="1">
      <c r="A4636" s="12" t="inlineStr">
        <is>
          <t>CUL-4632</t>
        </is>
      </c>
      <c r="B4636" s="11" t="n">
        <v>961</v>
      </c>
      <c r="C4636" s="13" t="inlineStr">
        <is>
          <t>Nº 21124</t>
        </is>
      </c>
      <c r="D4636" s="14" t="inlineStr">
        <is>
          <t>TRATTARE</t>
        </is>
      </c>
      <c r="E4636" s="13" t="inlineStr">
        <is>
          <t>Pulverização Agrícola Conforme Bula</t>
        </is>
      </c>
      <c r="F4636" s="13" t="inlineStr">
        <is>
          <t>Feijão</t>
        </is>
      </c>
      <c r="G4636" s="13" t="inlineStr">
        <is>
          <t>Cultura Autorizada na Bula</t>
        </is>
      </c>
      <c r="H4636" s="13" t="inlineStr">
        <is>
          <t>100 a 300 L/ha</t>
        </is>
      </c>
      <c r="I4636" s="13" t="inlineStr">
        <is>
          <t>20 a 40 L/ha</t>
        </is>
      </c>
      <c r="J4636" s="13" t="inlineStr">
        <is>
          <t>15 dias</t>
        </is>
      </c>
    </row>
    <row r="4637" ht="22" customHeight="1">
      <c r="A4637" s="6" t="inlineStr">
        <is>
          <t>CUL-4633</t>
        </is>
      </c>
      <c r="B4637" s="5" t="n">
        <v>961</v>
      </c>
      <c r="C4637" s="7" t="inlineStr">
        <is>
          <t>Nº 21124</t>
        </is>
      </c>
      <c r="D4637" s="8" t="inlineStr">
        <is>
          <t>TRATTARE</t>
        </is>
      </c>
      <c r="E4637" s="7" t="inlineStr">
        <is>
          <t>Pulverização Agrícola Conforme Bula</t>
        </is>
      </c>
      <c r="F4637" s="7" t="inlineStr">
        <is>
          <t>Trigo</t>
        </is>
      </c>
      <c r="G4637" s="7" t="inlineStr">
        <is>
          <t>Cultura Autorizada na Bula</t>
        </is>
      </c>
      <c r="H4637" s="7" t="inlineStr">
        <is>
          <t>100 a 300 L/ha</t>
        </is>
      </c>
      <c r="I4637" s="7" t="inlineStr">
        <is>
          <t>20 a 40 L/ha</t>
        </is>
      </c>
      <c r="J4637" s="7" t="inlineStr">
        <is>
          <t>30 dias</t>
        </is>
      </c>
    </row>
    <row r="4638" ht="22" customHeight="1">
      <c r="A4638" s="12" t="inlineStr">
        <is>
          <t>CUL-4634</t>
        </is>
      </c>
      <c r="B4638" s="11" t="n">
        <v>962</v>
      </c>
      <c r="C4638" s="13" t="inlineStr">
        <is>
          <t>VINC-21124</t>
        </is>
      </c>
      <c r="D4638" s="14" t="inlineStr">
        <is>
          <t>Protioconazol Técnico Ouro Fino</t>
        </is>
      </c>
      <c r="E4638" s="13" t="inlineStr">
        <is>
          <t>Uso Exclusivamente Industrial (Formulação)</t>
        </is>
      </c>
      <c r="F4638" s="13" t="inlineStr">
        <is>
          <t>Não Aplicável (Proibido uso direto na lavoura)</t>
        </is>
      </c>
      <c r="G4638" s="13" t="inlineStr">
        <is>
          <t>Insumo Industrial</t>
        </is>
      </c>
      <c r="H4638" s="13" t="inlineStr">
        <is>
          <t>N/A</t>
        </is>
      </c>
      <c r="I4638" s="13" t="inlineStr">
        <is>
          <t>N/A</t>
        </is>
      </c>
      <c r="J4638" s="13" t="inlineStr">
        <is>
          <t>N/A (Insumo Industrial)</t>
        </is>
      </c>
    </row>
    <row r="4639" ht="22" customHeight="1">
      <c r="A4639" s="6" t="inlineStr">
        <is>
          <t>CUL-4635</t>
        </is>
      </c>
      <c r="B4639" s="5" t="n">
        <v>963</v>
      </c>
      <c r="C4639" s="7" t="inlineStr">
        <is>
          <t>Nº 21224</t>
        </is>
      </c>
      <c r="D4639" s="8" t="inlineStr">
        <is>
          <t>ECLIPSE</t>
        </is>
      </c>
      <c r="E4639" s="7" t="inlineStr">
        <is>
          <t>Pulverização Agrícola Conforme Bula</t>
        </is>
      </c>
      <c r="F4639" s="7" t="inlineStr">
        <is>
          <t>Soja</t>
        </is>
      </c>
      <c r="G4639" s="7" t="inlineStr">
        <is>
          <t>Cultura Autorizada na Bula</t>
        </is>
      </c>
      <c r="H4639" s="7" t="inlineStr">
        <is>
          <t>100 a 300 L/ha</t>
        </is>
      </c>
      <c r="I4639" s="7" t="inlineStr">
        <is>
          <t>20 a 40 L/ha</t>
        </is>
      </c>
      <c r="J4639" s="7" t="inlineStr">
        <is>
          <t>14 dias</t>
        </is>
      </c>
    </row>
    <row r="4640" ht="22" customHeight="1">
      <c r="A4640" s="12" t="inlineStr">
        <is>
          <t>CUL-4636</t>
        </is>
      </c>
      <c r="B4640" s="11" t="n">
        <v>963</v>
      </c>
      <c r="C4640" s="13" t="inlineStr">
        <is>
          <t>Nº 21224</t>
        </is>
      </c>
      <c r="D4640" s="14" t="inlineStr">
        <is>
          <t>ECLIPSE</t>
        </is>
      </c>
      <c r="E4640" s="13" t="inlineStr">
        <is>
          <t>Pulverização Agrícola Conforme Bula</t>
        </is>
      </c>
      <c r="F4640" s="13" t="inlineStr">
        <is>
          <t>Milho</t>
        </is>
      </c>
      <c r="G4640" s="13" t="inlineStr">
        <is>
          <t>Cultura Autorizada na Bula</t>
        </is>
      </c>
      <c r="H4640" s="13" t="inlineStr">
        <is>
          <t>100 a 300 L/ha</t>
        </is>
      </c>
      <c r="I4640" s="13" t="inlineStr">
        <is>
          <t>20 a 40 L/ha</t>
        </is>
      </c>
      <c r="J4640" s="13" t="inlineStr">
        <is>
          <t>15 dias</t>
        </is>
      </c>
    </row>
    <row r="4641" ht="22" customHeight="1">
      <c r="A4641" s="6" t="inlineStr">
        <is>
          <t>CUL-4637</t>
        </is>
      </c>
      <c r="B4641" s="5" t="n">
        <v>963</v>
      </c>
      <c r="C4641" s="7" t="inlineStr">
        <is>
          <t>Nº 21224</t>
        </is>
      </c>
      <c r="D4641" s="8" t="inlineStr">
        <is>
          <t>ECLIPSE</t>
        </is>
      </c>
      <c r="E4641" s="7" t="inlineStr">
        <is>
          <t>Pulverização Agrícola Conforme Bula</t>
        </is>
      </c>
      <c r="F4641" s="7" t="inlineStr">
        <is>
          <t>Algodão</t>
        </is>
      </c>
      <c r="G4641" s="7" t="inlineStr">
        <is>
          <t>Cultura Autorizada na Bula</t>
        </is>
      </c>
      <c r="H4641" s="7" t="inlineStr">
        <is>
          <t>100 a 300 L/ha</t>
        </is>
      </c>
      <c r="I4641" s="7" t="inlineStr">
        <is>
          <t>20 a 40 L/ha</t>
        </is>
      </c>
      <c r="J4641" s="7" t="inlineStr">
        <is>
          <t>7 dias</t>
        </is>
      </c>
    </row>
    <row r="4642" ht="22" customHeight="1">
      <c r="A4642" s="12" t="inlineStr">
        <is>
          <t>CUL-4638</t>
        </is>
      </c>
      <c r="B4642" s="11" t="n">
        <v>963</v>
      </c>
      <c r="C4642" s="13" t="inlineStr">
        <is>
          <t>Nº 21224</t>
        </is>
      </c>
      <c r="D4642" s="14" t="inlineStr">
        <is>
          <t>ECLIPSE</t>
        </is>
      </c>
      <c r="E4642" s="13" t="inlineStr">
        <is>
          <t>Pulverização Agrícola Conforme Bula</t>
        </is>
      </c>
      <c r="F4642" s="13" t="inlineStr">
        <is>
          <t>Café</t>
        </is>
      </c>
      <c r="G4642" s="13" t="inlineStr">
        <is>
          <t>Cultura Autorizada na Bula</t>
        </is>
      </c>
      <c r="H4642" s="13" t="inlineStr">
        <is>
          <t>100 a 300 L/ha</t>
        </is>
      </c>
      <c r="I4642" s="13" t="inlineStr">
        <is>
          <t>20 a 40 L/ha</t>
        </is>
      </c>
      <c r="J4642" s="13" t="inlineStr">
        <is>
          <t>1 dias</t>
        </is>
      </c>
    </row>
    <row r="4643" ht="22" customHeight="1">
      <c r="A4643" s="6" t="inlineStr">
        <is>
          <t>CUL-4639</t>
        </is>
      </c>
      <c r="B4643" s="5" t="n">
        <v>963</v>
      </c>
      <c r="C4643" s="7" t="inlineStr">
        <is>
          <t>Nº 21224</t>
        </is>
      </c>
      <c r="D4643" s="8" t="inlineStr">
        <is>
          <t>ECLIPSE</t>
        </is>
      </c>
      <c r="E4643" s="7" t="inlineStr">
        <is>
          <t>Pulverização Agrícola Conforme Bula</t>
        </is>
      </c>
      <c r="F4643" s="7" t="inlineStr">
        <is>
          <t>Feijão</t>
        </is>
      </c>
      <c r="G4643" s="7" t="inlineStr">
        <is>
          <t>Cultura Autorizada na Bula</t>
        </is>
      </c>
      <c r="H4643" s="7" t="inlineStr">
        <is>
          <t>100 a 300 L/ha</t>
        </is>
      </c>
      <c r="I4643" s="7" t="inlineStr">
        <is>
          <t>20 a 40 L/ha</t>
        </is>
      </c>
      <c r="J4643" s="7" t="inlineStr">
        <is>
          <t>15 dias</t>
        </is>
      </c>
    </row>
    <row r="4644" ht="22" customHeight="1">
      <c r="A4644" s="12" t="inlineStr">
        <is>
          <t>CUL-4640</t>
        </is>
      </c>
      <c r="B4644" s="11" t="n">
        <v>963</v>
      </c>
      <c r="C4644" s="13" t="inlineStr">
        <is>
          <t>Nº 21224</t>
        </is>
      </c>
      <c r="D4644" s="14" t="inlineStr">
        <is>
          <t>ECLIPSE</t>
        </is>
      </c>
      <c r="E4644" s="13" t="inlineStr">
        <is>
          <t>Pulverização Agrícola Conforme Bula</t>
        </is>
      </c>
      <c r="F4644" s="13" t="inlineStr">
        <is>
          <t>Trigo</t>
        </is>
      </c>
      <c r="G4644" s="13" t="inlineStr">
        <is>
          <t>Cultura Autorizada na Bula</t>
        </is>
      </c>
      <c r="H4644" s="13" t="inlineStr">
        <is>
          <t>100 a 300 L/ha</t>
        </is>
      </c>
      <c r="I4644" s="13" t="inlineStr">
        <is>
          <t>20 a 40 L/ha</t>
        </is>
      </c>
      <c r="J4644" s="13" t="inlineStr">
        <is>
          <t>21 dias</t>
        </is>
      </c>
    </row>
    <row r="4645" ht="22" customHeight="1">
      <c r="A4645" s="6" t="inlineStr">
        <is>
          <t>CUL-4641</t>
        </is>
      </c>
      <c r="B4645" s="5" t="n">
        <v>963</v>
      </c>
      <c r="C4645" s="7" t="inlineStr">
        <is>
          <t>Nº 21224</t>
        </is>
      </c>
      <c r="D4645" s="8" t="inlineStr">
        <is>
          <t>ECLIPSE</t>
        </is>
      </c>
      <c r="E4645" s="7" t="inlineStr">
        <is>
          <t>Pulverização Agrícola Conforme Bula</t>
        </is>
      </c>
      <c r="F4645" s="7" t="inlineStr">
        <is>
          <t>Cana-de-açúcar</t>
        </is>
      </c>
      <c r="G4645" s="7" t="inlineStr">
        <is>
          <t>Cultura Autorizada na Bula</t>
        </is>
      </c>
      <c r="H4645" s="7" t="inlineStr">
        <is>
          <t>100 a 300 L/ha</t>
        </is>
      </c>
      <c r="I4645" s="7" t="inlineStr">
        <is>
          <t>20 a 40 L/ha</t>
        </is>
      </c>
      <c r="J4645" s="7" t="inlineStr">
        <is>
          <t>21 dias</t>
        </is>
      </c>
    </row>
    <row r="4646" ht="22" customHeight="1">
      <c r="A4646" s="12" t="inlineStr">
        <is>
          <t>CUL-4642</t>
        </is>
      </c>
      <c r="B4646" s="11" t="n">
        <v>964</v>
      </c>
      <c r="C4646" s="13" t="inlineStr">
        <is>
          <t>VINC-21224</t>
        </is>
      </c>
      <c r="D4646" s="14" t="inlineStr">
        <is>
          <t>Tiametoxam Técnico IN</t>
        </is>
      </c>
      <c r="E4646" s="13" t="inlineStr">
        <is>
          <t>Uso Exclusivamente Industrial (Formulação)</t>
        </is>
      </c>
      <c r="F4646" s="13" t="inlineStr">
        <is>
          <t>Não Aplicável (Proibido uso direto na lavoura)</t>
        </is>
      </c>
      <c r="G4646" s="13" t="inlineStr">
        <is>
          <t>Insumo Industrial</t>
        </is>
      </c>
      <c r="H4646" s="13" t="inlineStr">
        <is>
          <t>N/A</t>
        </is>
      </c>
      <c r="I4646" s="13" t="inlineStr">
        <is>
          <t>N/A</t>
        </is>
      </c>
      <c r="J4646" s="13" t="inlineStr">
        <is>
          <t>N/A (Insumo Industrial)</t>
        </is>
      </c>
    </row>
    <row r="4647" ht="22" customHeight="1">
      <c r="A4647" s="6" t="inlineStr">
        <is>
          <t>CUL-4643</t>
        </is>
      </c>
      <c r="B4647" s="5" t="n">
        <v>965</v>
      </c>
      <c r="C4647" s="7" t="inlineStr">
        <is>
          <t>Nº 21324</t>
        </is>
      </c>
      <c r="D4647" s="8" t="inlineStr">
        <is>
          <t>TRICHO-HARMAX</t>
        </is>
      </c>
      <c r="E4647" s="7" t="inlineStr">
        <is>
          <t>Pulverização Agrícola Conforme Bula</t>
        </is>
      </c>
      <c r="F4647" s="7" t="inlineStr">
        <is>
          <t>Soja</t>
        </is>
      </c>
      <c r="G4647" s="7" t="inlineStr">
        <is>
          <t>Cultura Autorizada na Bula</t>
        </is>
      </c>
      <c r="H4647" s="7" t="inlineStr">
        <is>
          <t>100 a 300 L/ha</t>
        </is>
      </c>
      <c r="I4647" s="7" t="inlineStr">
        <is>
          <t>20 a 40 L/ha</t>
        </is>
      </c>
      <c r="J4647" s="7" t="inlineStr">
        <is>
          <t>0 (Isento)</t>
        </is>
      </c>
    </row>
    <row r="4648" ht="22" customHeight="1">
      <c r="A4648" s="12" t="inlineStr">
        <is>
          <t>CUL-4644</t>
        </is>
      </c>
      <c r="B4648" s="11" t="n">
        <v>965</v>
      </c>
      <c r="C4648" s="13" t="inlineStr">
        <is>
          <t>Nº 21324</t>
        </is>
      </c>
      <c r="D4648" s="14" t="inlineStr">
        <is>
          <t>TRICHO-HARMAX</t>
        </is>
      </c>
      <c r="E4648" s="13" t="inlineStr">
        <is>
          <t>Pulverização Agrícola Conforme Bula</t>
        </is>
      </c>
      <c r="F4648" s="13" t="inlineStr">
        <is>
          <t>Milho</t>
        </is>
      </c>
      <c r="G4648" s="13" t="inlineStr">
        <is>
          <t>Cultura Autorizada na Bula</t>
        </is>
      </c>
      <c r="H4648" s="13" t="inlineStr">
        <is>
          <t>100 a 300 L/ha</t>
        </is>
      </c>
      <c r="I4648" s="13" t="inlineStr">
        <is>
          <t>20 a 40 L/ha</t>
        </is>
      </c>
      <c r="J4648" s="13" t="inlineStr">
        <is>
          <t>0 (Isento)</t>
        </is>
      </c>
    </row>
    <row r="4649" ht="22" customHeight="1">
      <c r="A4649" s="6" t="inlineStr">
        <is>
          <t>CUL-4645</t>
        </is>
      </c>
      <c r="B4649" s="5" t="n">
        <v>965</v>
      </c>
      <c r="C4649" s="7" t="inlineStr">
        <is>
          <t>Nº 21324</t>
        </is>
      </c>
      <c r="D4649" s="8" t="inlineStr">
        <is>
          <t>TRICHO-HARMAX</t>
        </is>
      </c>
      <c r="E4649" s="7" t="inlineStr">
        <is>
          <t>Pulverização Agrícola Conforme Bula</t>
        </is>
      </c>
      <c r="F4649" s="7" t="inlineStr">
        <is>
          <t>Feijão</t>
        </is>
      </c>
      <c r="G4649" s="7" t="inlineStr">
        <is>
          <t>Cultura Autorizada na Bula</t>
        </is>
      </c>
      <c r="H4649" s="7" t="inlineStr">
        <is>
          <t>100 a 300 L/ha</t>
        </is>
      </c>
      <c r="I4649" s="7" t="inlineStr">
        <is>
          <t>20 a 40 L/ha</t>
        </is>
      </c>
      <c r="J4649" s="7" t="inlineStr">
        <is>
          <t>0 (Isento)</t>
        </is>
      </c>
    </row>
    <row r="4650" ht="22" customHeight="1">
      <c r="A4650" s="12" t="inlineStr">
        <is>
          <t>CUL-4646</t>
        </is>
      </c>
      <c r="B4650" s="11" t="n">
        <v>965</v>
      </c>
      <c r="C4650" s="13" t="inlineStr">
        <is>
          <t>Nº 21324</t>
        </is>
      </c>
      <c r="D4650" s="14" t="inlineStr">
        <is>
          <t>TRICHO-HARMAX</t>
        </is>
      </c>
      <c r="E4650" s="13" t="inlineStr">
        <is>
          <t>Pulverização Agrícola Conforme Bula</t>
        </is>
      </c>
      <c r="F4650" s="13" t="inlineStr">
        <is>
          <t>Algodão</t>
        </is>
      </c>
      <c r="G4650" s="13" t="inlineStr">
        <is>
          <t>Cultura Autorizada na Bula</t>
        </is>
      </c>
      <c r="H4650" s="13" t="inlineStr">
        <is>
          <t>100 a 300 L/ha</t>
        </is>
      </c>
      <c r="I4650" s="13" t="inlineStr">
        <is>
          <t>20 a 40 L/ha</t>
        </is>
      </c>
      <c r="J4650" s="13" t="inlineStr">
        <is>
          <t>0 (Isento)</t>
        </is>
      </c>
    </row>
    <row r="4651" ht="22" customHeight="1">
      <c r="A4651" s="6" t="inlineStr">
        <is>
          <t>CUL-4647</t>
        </is>
      </c>
      <c r="B4651" s="5" t="n">
        <v>966</v>
      </c>
      <c r="C4651" s="7" t="inlineStr">
        <is>
          <t>Nº 21424</t>
        </is>
      </c>
      <c r="D4651" s="8" t="inlineStr">
        <is>
          <t>ÉGIDE</t>
        </is>
      </c>
      <c r="E4651" s="7" t="inlineStr">
        <is>
          <t>Pulverização Agrícola Conforme Bula</t>
        </is>
      </c>
      <c r="F4651" s="7" t="inlineStr">
        <is>
          <t>Soja (Sulco / TS / Foliar)</t>
        </is>
      </c>
      <c r="G4651" s="7" t="inlineStr">
        <is>
          <t>Cultura Autorizada na Bula</t>
        </is>
      </c>
      <c r="H4651" s="7" t="inlineStr">
        <is>
          <t>100 a 300 L/ha</t>
        </is>
      </c>
      <c r="I4651" s="7" t="inlineStr">
        <is>
          <t>20 a 40 L/ha</t>
        </is>
      </c>
      <c r="J4651" s="7" t="inlineStr">
        <is>
          <t>0 (Isento)</t>
        </is>
      </c>
    </row>
    <row r="4652" ht="22" customHeight="1">
      <c r="A4652" s="12" t="inlineStr">
        <is>
          <t>CUL-4648</t>
        </is>
      </c>
      <c r="B4652" s="11" t="n">
        <v>966</v>
      </c>
      <c r="C4652" s="13" t="inlineStr">
        <is>
          <t>Nº 21424</t>
        </is>
      </c>
      <c r="D4652" s="14" t="inlineStr">
        <is>
          <t>ÉGIDE</t>
        </is>
      </c>
      <c r="E4652" s="13" t="inlineStr">
        <is>
          <t>Pulverização Agrícola Conforme Bula</t>
        </is>
      </c>
      <c r="F4652" s="13" t="inlineStr">
        <is>
          <t>Milho</t>
        </is>
      </c>
      <c r="G4652" s="13" t="inlineStr">
        <is>
          <t>Cultura Autorizada na Bula</t>
        </is>
      </c>
      <c r="H4652" s="13" t="inlineStr">
        <is>
          <t>100 a 300 L/ha</t>
        </is>
      </c>
      <c r="I4652" s="13" t="inlineStr">
        <is>
          <t>20 a 40 L/ha</t>
        </is>
      </c>
      <c r="J4652" s="13" t="inlineStr">
        <is>
          <t>0 (Isento)</t>
        </is>
      </c>
    </row>
    <row r="4653" ht="22" customHeight="1">
      <c r="A4653" s="6" t="inlineStr">
        <is>
          <t>CUL-4649</t>
        </is>
      </c>
      <c r="B4653" s="5" t="n">
        <v>966</v>
      </c>
      <c r="C4653" s="7" t="inlineStr">
        <is>
          <t>Nº 21424</t>
        </is>
      </c>
      <c r="D4653" s="8" t="inlineStr">
        <is>
          <t>ÉGIDE</t>
        </is>
      </c>
      <c r="E4653" s="7" t="inlineStr">
        <is>
          <t>Pulverização Agrícola Conforme Bula</t>
        </is>
      </c>
      <c r="F4653" s="7" t="inlineStr">
        <is>
          <t>Algodão</t>
        </is>
      </c>
      <c r="G4653" s="7" t="inlineStr">
        <is>
          <t>Cultura Autorizada na Bula</t>
        </is>
      </c>
      <c r="H4653" s="7" t="inlineStr">
        <is>
          <t>100 a 300 L/ha</t>
        </is>
      </c>
      <c r="I4653" s="7" t="inlineStr">
        <is>
          <t>20 a 40 L/ha</t>
        </is>
      </c>
      <c r="J4653" s="7" t="inlineStr">
        <is>
          <t>0 (Isento)</t>
        </is>
      </c>
    </row>
    <row r="4654" ht="22" customHeight="1">
      <c r="A4654" s="12" t="inlineStr">
        <is>
          <t>CUL-4650</t>
        </is>
      </c>
      <c r="B4654" s="11" t="n">
        <v>966</v>
      </c>
      <c r="C4654" s="13" t="inlineStr">
        <is>
          <t>Nº 21424</t>
        </is>
      </c>
      <c r="D4654" s="14" t="inlineStr">
        <is>
          <t>ÉGIDE</t>
        </is>
      </c>
      <c r="E4654" s="13" t="inlineStr">
        <is>
          <t>Pulverização Agrícola Conforme Bula</t>
        </is>
      </c>
      <c r="F4654" s="13" t="inlineStr">
        <is>
          <t>Feijão</t>
        </is>
      </c>
      <c r="G4654" s="13" t="inlineStr">
        <is>
          <t>Cultura Autorizada na Bula</t>
        </is>
      </c>
      <c r="H4654" s="13" t="inlineStr">
        <is>
          <t>100 a 300 L/ha</t>
        </is>
      </c>
      <c r="I4654" s="13" t="inlineStr">
        <is>
          <t>20 a 40 L/ha</t>
        </is>
      </c>
      <c r="J4654" s="13" t="inlineStr">
        <is>
          <t>0 (Isento)</t>
        </is>
      </c>
    </row>
    <row r="4655" ht="22" customHeight="1">
      <c r="A4655" s="6" t="inlineStr">
        <is>
          <t>CUL-4651</t>
        </is>
      </c>
      <c r="B4655" s="5" t="n">
        <v>967</v>
      </c>
      <c r="C4655" s="7" t="inlineStr">
        <is>
          <t>Nº 21524</t>
        </is>
      </c>
      <c r="D4655" s="8" t="inlineStr">
        <is>
          <t>MAVIC BIO</t>
        </is>
      </c>
      <c r="E4655" s="7" t="inlineStr">
        <is>
          <t>Pulverização Agrícola Conforme Bula</t>
        </is>
      </c>
      <c r="F4655" s="7" t="inlineStr">
        <is>
          <t>Soja</t>
        </is>
      </c>
      <c r="G4655" s="7" t="inlineStr">
        <is>
          <t>Cultura Autorizada na Bula</t>
        </is>
      </c>
      <c r="H4655" s="7" t="inlineStr">
        <is>
          <t>100 a 300 L/ha</t>
        </is>
      </c>
      <c r="I4655" s="7" t="inlineStr">
        <is>
          <t>20 a 40 L/ha</t>
        </is>
      </c>
      <c r="J4655" s="7" t="inlineStr">
        <is>
          <t>21 dias</t>
        </is>
      </c>
    </row>
    <row r="4656" ht="22" customHeight="1">
      <c r="A4656" s="12" t="inlineStr">
        <is>
          <t>CUL-4652</t>
        </is>
      </c>
      <c r="B4656" s="11" t="n">
        <v>967</v>
      </c>
      <c r="C4656" s="13" t="inlineStr">
        <is>
          <t>Nº 21524</t>
        </is>
      </c>
      <c r="D4656" s="14" t="inlineStr">
        <is>
          <t>MAVIC BIO</t>
        </is>
      </c>
      <c r="E4656" s="13" t="inlineStr">
        <is>
          <t>Pulverização Agrícola Conforme Bula</t>
        </is>
      </c>
      <c r="F4656" s="13" t="inlineStr">
        <is>
          <t>Milho</t>
        </is>
      </c>
      <c r="G4656" s="13" t="inlineStr">
        <is>
          <t>Cultura Autorizada na Bula</t>
        </is>
      </c>
      <c r="H4656" s="13" t="inlineStr">
        <is>
          <t>100 a 300 L/ha</t>
        </is>
      </c>
      <c r="I4656" s="13" t="inlineStr">
        <is>
          <t>20 a 40 L/ha</t>
        </is>
      </c>
      <c r="J4656" s="13" t="inlineStr">
        <is>
          <t>21 dias</t>
        </is>
      </c>
    </row>
    <row r="4657" ht="22" customHeight="1">
      <c r="A4657" s="6" t="inlineStr">
        <is>
          <t>CUL-4653</t>
        </is>
      </c>
      <c r="B4657" s="5" t="n">
        <v>967</v>
      </c>
      <c r="C4657" s="7" t="inlineStr">
        <is>
          <t>Nº 21524</t>
        </is>
      </c>
      <c r="D4657" s="8" t="inlineStr">
        <is>
          <t>MAVIC BIO</t>
        </is>
      </c>
      <c r="E4657" s="7" t="inlineStr">
        <is>
          <t>Pulverização Agrícola Conforme Bula</t>
        </is>
      </c>
      <c r="F4657" s="7" t="inlineStr">
        <is>
          <t>Algodão</t>
        </is>
      </c>
      <c r="G4657" s="7" t="inlineStr">
        <is>
          <t>Cultura Autorizada na Bula</t>
        </is>
      </c>
      <c r="H4657" s="7" t="inlineStr">
        <is>
          <t>100 a 300 L/ha</t>
        </is>
      </c>
      <c r="I4657" s="7" t="inlineStr">
        <is>
          <t>20 a 40 L/ha</t>
        </is>
      </c>
      <c r="J4657" s="7" t="inlineStr">
        <is>
          <t>21 dias</t>
        </is>
      </c>
    </row>
    <row r="4658" ht="22" customHeight="1">
      <c r="A4658" s="12" t="inlineStr">
        <is>
          <t>CUL-4654</t>
        </is>
      </c>
      <c r="B4658" s="11" t="n">
        <v>967</v>
      </c>
      <c r="C4658" s="13" t="inlineStr">
        <is>
          <t>Nº 21524</t>
        </is>
      </c>
      <c r="D4658" s="14" t="inlineStr">
        <is>
          <t>MAVIC BIO</t>
        </is>
      </c>
      <c r="E4658" s="13" t="inlineStr">
        <is>
          <t>Pulverização Agrícola Conforme Bula</t>
        </is>
      </c>
      <c r="F4658" s="13" t="inlineStr">
        <is>
          <t>Feijão</t>
        </is>
      </c>
      <c r="G4658" s="13" t="inlineStr">
        <is>
          <t>Cultura Autorizada na Bula</t>
        </is>
      </c>
      <c r="H4658" s="13" t="inlineStr">
        <is>
          <t>100 a 300 L/ha</t>
        </is>
      </c>
      <c r="I4658" s="13" t="inlineStr">
        <is>
          <t>20 a 40 L/ha</t>
        </is>
      </c>
      <c r="J4658" s="13" t="inlineStr">
        <is>
          <t>14 dias</t>
        </is>
      </c>
    </row>
    <row r="4659" ht="22" customHeight="1">
      <c r="A4659" s="6" t="inlineStr">
        <is>
          <t>CUL-4655</t>
        </is>
      </c>
      <c r="B4659" s="5" t="n">
        <v>968</v>
      </c>
      <c r="C4659" s="7" t="inlineStr">
        <is>
          <t>Nº 21624</t>
        </is>
      </c>
      <c r="D4659" s="8" t="inlineStr">
        <is>
          <t>GRANT 970 WG</t>
        </is>
      </c>
      <c r="E4659" s="7" t="inlineStr">
        <is>
          <t>Pulverização Agrícola Conforme Bula</t>
        </is>
      </c>
      <c r="F4659" s="7" t="inlineStr">
        <is>
          <t>Soja (Dessecação Pré-Plantio)</t>
        </is>
      </c>
      <c r="G4659" s="7" t="inlineStr">
        <is>
          <t>Cultura Autorizada na Bula</t>
        </is>
      </c>
      <c r="H4659" s="7" t="inlineStr">
        <is>
          <t>100 a 300 L/ha</t>
        </is>
      </c>
      <c r="I4659" s="7" t="inlineStr">
        <is>
          <t>20 a 40 L/ha</t>
        </is>
      </c>
      <c r="J4659" s="7" t="inlineStr">
        <is>
          <t>N/D</t>
        </is>
      </c>
    </row>
    <row r="4660" ht="22" customHeight="1">
      <c r="A4660" s="12" t="inlineStr">
        <is>
          <t>CUL-4656</t>
        </is>
      </c>
      <c r="B4660" s="11" t="n">
        <v>968</v>
      </c>
      <c r="C4660" s="13" t="inlineStr">
        <is>
          <t>Nº 21624</t>
        </is>
      </c>
      <c r="D4660" s="14" t="inlineStr">
        <is>
          <t>GRANT 970 WG</t>
        </is>
      </c>
      <c r="E4660" s="13" t="inlineStr">
        <is>
          <t>Pulverização Agrícola Conforme Bula</t>
        </is>
      </c>
      <c r="F4660" s="13" t="inlineStr">
        <is>
          <t>Milho</t>
        </is>
      </c>
      <c r="G4660" s="13" t="inlineStr">
        <is>
          <t>Cultura Autorizada na Bula</t>
        </is>
      </c>
      <c r="H4660" s="13" t="inlineStr">
        <is>
          <t>100 a 300 L/ha</t>
        </is>
      </c>
      <c r="I4660" s="13" t="inlineStr">
        <is>
          <t>20 a 40 L/ha</t>
        </is>
      </c>
      <c r="J4660" s="13" t="inlineStr">
        <is>
          <t>40 dias</t>
        </is>
      </c>
    </row>
    <row r="4661" ht="22" customHeight="1">
      <c r="A4661" s="6" t="inlineStr">
        <is>
          <t>CUL-4657</t>
        </is>
      </c>
      <c r="B4661" s="5" t="n">
        <v>968</v>
      </c>
      <c r="C4661" s="7" t="inlineStr">
        <is>
          <t>Nº 21624</t>
        </is>
      </c>
      <c r="D4661" s="8" t="inlineStr">
        <is>
          <t>GRANT 970 WG</t>
        </is>
      </c>
      <c r="E4661" s="7" t="inlineStr">
        <is>
          <t>Pulverização Agrícola Conforme Bula</t>
        </is>
      </c>
      <c r="F4661" s="7" t="inlineStr">
        <is>
          <t>Cana-de-açúcar</t>
        </is>
      </c>
      <c r="G4661" s="7" t="inlineStr">
        <is>
          <t>Cultura Autorizada na Bula</t>
        </is>
      </c>
      <c r="H4661" s="7" t="inlineStr">
        <is>
          <t>100 a 300 L/ha</t>
        </is>
      </c>
      <c r="I4661" s="7" t="inlineStr">
        <is>
          <t>20 a 40 L/ha</t>
        </is>
      </c>
      <c r="J4661" s="7" t="inlineStr">
        <is>
          <t>N/D</t>
        </is>
      </c>
    </row>
    <row r="4662" ht="22" customHeight="1">
      <c r="A4662" s="12" t="inlineStr">
        <is>
          <t>CUL-4658</t>
        </is>
      </c>
      <c r="B4662" s="11" t="n">
        <v>968</v>
      </c>
      <c r="C4662" s="13" t="inlineStr">
        <is>
          <t>Nº 21624</t>
        </is>
      </c>
      <c r="D4662" s="14" t="inlineStr">
        <is>
          <t>GRANT 970 WG</t>
        </is>
      </c>
      <c r="E4662" s="13" t="inlineStr">
        <is>
          <t>Pulverização Agrícola Conforme Bula</t>
        </is>
      </c>
      <c r="F4662" s="13" t="inlineStr">
        <is>
          <t>Trigo</t>
        </is>
      </c>
      <c r="G4662" s="13" t="inlineStr">
        <is>
          <t>Cultura Autorizada na Bula</t>
        </is>
      </c>
      <c r="H4662" s="13" t="inlineStr">
        <is>
          <t>100 a 300 L/ha</t>
        </is>
      </c>
      <c r="I4662" s="13" t="inlineStr">
        <is>
          <t>20 a 40 L/ha</t>
        </is>
      </c>
      <c r="J4662" s="13" t="inlineStr">
        <is>
          <t>45 dias</t>
        </is>
      </c>
    </row>
    <row r="4663" ht="22" customHeight="1">
      <c r="A4663" s="6" t="inlineStr">
        <is>
          <t>CUL-4659</t>
        </is>
      </c>
      <c r="B4663" s="5" t="n">
        <v>968</v>
      </c>
      <c r="C4663" s="7" t="inlineStr">
        <is>
          <t>Nº 21624</t>
        </is>
      </c>
      <c r="D4663" s="8" t="inlineStr">
        <is>
          <t>GRANT 970 WG</t>
        </is>
      </c>
      <c r="E4663" s="7" t="inlineStr">
        <is>
          <t>Pulverização Agrícola Conforme Bula</t>
        </is>
      </c>
      <c r="F4663" s="7" t="inlineStr">
        <is>
          <t>Pastagens</t>
        </is>
      </c>
      <c r="G4663" s="7" t="inlineStr">
        <is>
          <t>Cultura Autorizada na Bula</t>
        </is>
      </c>
      <c r="H4663" s="7" t="inlineStr">
        <is>
          <t>100 a 300 L/ha</t>
        </is>
      </c>
      <c r="I4663" s="7" t="inlineStr">
        <is>
          <t>20 a 40 L/ha</t>
        </is>
      </c>
      <c r="J4663" s="7" t="inlineStr">
        <is>
          <t>N/D</t>
        </is>
      </c>
    </row>
    <row r="4664" ht="22" customHeight="1">
      <c r="A4664" s="12" t="inlineStr">
        <is>
          <t>CUL-4660</t>
        </is>
      </c>
      <c r="B4664" s="11" t="n">
        <v>968</v>
      </c>
      <c r="C4664" s="13" t="inlineStr">
        <is>
          <t>Nº 21624</t>
        </is>
      </c>
      <c r="D4664" s="14" t="inlineStr">
        <is>
          <t>GRANT 970 WG</t>
        </is>
      </c>
      <c r="E4664" s="13" t="inlineStr">
        <is>
          <t>Pulverização Agrícola Conforme Bula</t>
        </is>
      </c>
      <c r="F4664" s="13" t="inlineStr">
        <is>
          <t>Arroz</t>
        </is>
      </c>
      <c r="G4664" s="13" t="inlineStr">
        <is>
          <t>Cultura Autorizada na Bula</t>
        </is>
      </c>
      <c r="H4664" s="13" t="inlineStr">
        <is>
          <t>100 a 300 L/ha</t>
        </is>
      </c>
      <c r="I4664" s="13" t="inlineStr">
        <is>
          <t>20 a 40 L/ha</t>
        </is>
      </c>
      <c r="J4664" s="13" t="inlineStr">
        <is>
          <t>60 dias</t>
        </is>
      </c>
    </row>
    <row r="4665" ht="22" customHeight="1">
      <c r="A4665" s="6" t="inlineStr">
        <is>
          <t>CUL-4661</t>
        </is>
      </c>
      <c r="B4665" s="5" t="n">
        <v>969</v>
      </c>
      <c r="C4665" s="7" t="inlineStr">
        <is>
          <t>VINC-21624</t>
        </is>
      </c>
      <c r="D4665" s="8" t="inlineStr">
        <is>
          <t>2,4-D Tecnico TW Loveland</t>
        </is>
      </c>
      <c r="E4665" s="7" t="inlineStr">
        <is>
          <t>Uso Exclusivamente Industrial (Formulação)</t>
        </is>
      </c>
      <c r="F4665" s="7" t="inlineStr">
        <is>
          <t>Não Aplicável (Proibido uso direto na lavoura)</t>
        </is>
      </c>
      <c r="G4665" s="7" t="inlineStr">
        <is>
          <t>Insumo Industrial</t>
        </is>
      </c>
      <c r="H4665" s="7" t="inlineStr">
        <is>
          <t>N/A</t>
        </is>
      </c>
      <c r="I4665" s="7" t="inlineStr">
        <is>
          <t>N/A</t>
        </is>
      </c>
      <c r="J4665" s="7" t="inlineStr">
        <is>
          <t>N/A (Insumo Industrial)</t>
        </is>
      </c>
    </row>
    <row r="4666" ht="22" customHeight="1">
      <c r="A4666" s="12" t="inlineStr">
        <is>
          <t>CUL-4662</t>
        </is>
      </c>
      <c r="B4666" s="11" t="n">
        <v>970</v>
      </c>
      <c r="C4666" s="13" t="inlineStr">
        <is>
          <t>Nº 21724</t>
        </is>
      </c>
      <c r="D4666" s="14" t="inlineStr">
        <is>
          <t>ORONDIS OPTI</t>
        </is>
      </c>
      <c r="E4666" s="13" t="inlineStr">
        <is>
          <t>Pulverização Agrícola Conforme Bula</t>
        </is>
      </c>
      <c r="F4666" s="13" t="inlineStr">
        <is>
          <t>Soja</t>
        </is>
      </c>
      <c r="G4666" s="13" t="inlineStr">
        <is>
          <t>Cultura Autorizada na Bula</t>
        </is>
      </c>
      <c r="H4666" s="13" t="inlineStr">
        <is>
          <t>100 a 300 L/ha</t>
        </is>
      </c>
      <c r="I4666" s="13" t="inlineStr">
        <is>
          <t>20 a 40 L/ha</t>
        </is>
      </c>
      <c r="J4666" s="13" t="inlineStr">
        <is>
          <t>14 dias</t>
        </is>
      </c>
    </row>
    <row r="4667" ht="22" customHeight="1">
      <c r="A4667" s="6" t="inlineStr">
        <is>
          <t>CUL-4663</t>
        </is>
      </c>
      <c r="B4667" s="5" t="n">
        <v>970</v>
      </c>
      <c r="C4667" s="7" t="inlineStr">
        <is>
          <t>Nº 21724</t>
        </is>
      </c>
      <c r="D4667" s="8" t="inlineStr">
        <is>
          <t>ORONDIS OPTI</t>
        </is>
      </c>
      <c r="E4667" s="7" t="inlineStr">
        <is>
          <t>Pulverização Agrícola Conforme Bula</t>
        </is>
      </c>
      <c r="F4667" s="7" t="inlineStr">
        <is>
          <t>Algodão</t>
        </is>
      </c>
      <c r="G4667" s="7" t="inlineStr">
        <is>
          <t>Cultura Autorizada na Bula</t>
        </is>
      </c>
      <c r="H4667" s="7" t="inlineStr">
        <is>
          <t>100 a 300 L/ha</t>
        </is>
      </c>
      <c r="I4667" s="7" t="inlineStr">
        <is>
          <t>20 a 40 L/ha</t>
        </is>
      </c>
      <c r="J4667" s="7" t="inlineStr">
        <is>
          <t>14 dias</t>
        </is>
      </c>
    </row>
    <row r="4668" ht="22" customHeight="1">
      <c r="A4668" s="12" t="inlineStr">
        <is>
          <t>CUL-4664</t>
        </is>
      </c>
      <c r="B4668" s="11" t="n">
        <v>970</v>
      </c>
      <c r="C4668" s="13" t="inlineStr">
        <is>
          <t>Nº 21724</t>
        </is>
      </c>
      <c r="D4668" s="14" t="inlineStr">
        <is>
          <t>ORONDIS OPTI</t>
        </is>
      </c>
      <c r="E4668" s="13" t="inlineStr">
        <is>
          <t>Pulverização Agrícola Conforme Bula</t>
        </is>
      </c>
      <c r="F4668" s="13" t="inlineStr">
        <is>
          <t>Feijão</t>
        </is>
      </c>
      <c r="G4668" s="13" t="inlineStr">
        <is>
          <t>Cultura Autorizada na Bula</t>
        </is>
      </c>
      <c r="H4668" s="13" t="inlineStr">
        <is>
          <t>100 a 300 L/ha</t>
        </is>
      </c>
      <c r="I4668" s="13" t="inlineStr">
        <is>
          <t>20 a 40 L/ha</t>
        </is>
      </c>
      <c r="J4668" s="13" t="inlineStr">
        <is>
          <t>14 dias</t>
        </is>
      </c>
    </row>
    <row r="4669" ht="22" customHeight="1">
      <c r="A4669" s="6" t="inlineStr">
        <is>
          <t>CUL-4665</t>
        </is>
      </c>
      <c r="B4669" s="5" t="n">
        <v>970</v>
      </c>
      <c r="C4669" s="7" t="inlineStr">
        <is>
          <t>Nº 21724</t>
        </is>
      </c>
      <c r="D4669" s="8" t="inlineStr">
        <is>
          <t>ORONDIS OPTI</t>
        </is>
      </c>
      <c r="E4669" s="7" t="inlineStr">
        <is>
          <t>Pulverização Agrícola Conforme Bula</t>
        </is>
      </c>
      <c r="F4669" s="7" t="inlineStr">
        <is>
          <t>Milho</t>
        </is>
      </c>
      <c r="G4669" s="7" t="inlineStr">
        <is>
          <t>Cultura Autorizada na Bula</t>
        </is>
      </c>
      <c r="H4669" s="7" t="inlineStr">
        <is>
          <t>100 a 300 L/ha</t>
        </is>
      </c>
      <c r="I4669" s="7" t="inlineStr">
        <is>
          <t>20 a 40 L/ha</t>
        </is>
      </c>
      <c r="J4669" s="7" t="inlineStr">
        <is>
          <t>14 dias</t>
        </is>
      </c>
    </row>
    <row r="4670" ht="22" customHeight="1">
      <c r="A4670" s="12" t="inlineStr">
        <is>
          <t>CUL-4666</t>
        </is>
      </c>
      <c r="B4670" s="11" t="n">
        <v>970</v>
      </c>
      <c r="C4670" s="13" t="inlineStr">
        <is>
          <t>Nº 21724</t>
        </is>
      </c>
      <c r="D4670" s="14" t="inlineStr">
        <is>
          <t>ORONDIS OPTI</t>
        </is>
      </c>
      <c r="E4670" s="13" t="inlineStr">
        <is>
          <t>Pulverização Agrícola Conforme Bula</t>
        </is>
      </c>
      <c r="F4670" s="13" t="inlineStr">
        <is>
          <t>Trigo</t>
        </is>
      </c>
      <c r="G4670" s="13" t="inlineStr">
        <is>
          <t>Cultura Autorizada na Bula</t>
        </is>
      </c>
      <c r="H4670" s="13" t="inlineStr">
        <is>
          <t>100 a 300 L/ha</t>
        </is>
      </c>
      <c r="I4670" s="13" t="inlineStr">
        <is>
          <t>20 a 40 L/ha</t>
        </is>
      </c>
      <c r="J4670" s="13" t="inlineStr">
        <is>
          <t>30 dias</t>
        </is>
      </c>
    </row>
    <row r="4671" ht="22" customHeight="1">
      <c r="A4671" s="6" t="inlineStr">
        <is>
          <t>CUL-4667</t>
        </is>
      </c>
      <c r="B4671" s="5" t="n">
        <v>970</v>
      </c>
      <c r="C4671" s="7" t="inlineStr">
        <is>
          <t>Nº 21724</t>
        </is>
      </c>
      <c r="D4671" s="8" t="inlineStr">
        <is>
          <t>ORONDIS OPTI</t>
        </is>
      </c>
      <c r="E4671" s="7" t="inlineStr">
        <is>
          <t>Pulverização Agrícola Conforme Bula</t>
        </is>
      </c>
      <c r="F4671" s="7" t="inlineStr">
        <is>
          <t>Batata</t>
        </is>
      </c>
      <c r="G4671" s="7" t="inlineStr">
        <is>
          <t>Cultura Autorizada na Bula</t>
        </is>
      </c>
      <c r="H4671" s="7" t="inlineStr">
        <is>
          <t>100 a 300 L/ha</t>
        </is>
      </c>
      <c r="I4671" s="7" t="inlineStr">
        <is>
          <t>20 a 40 L/ha</t>
        </is>
      </c>
      <c r="J4671" s="7" t="inlineStr">
        <is>
          <t>7 dias</t>
        </is>
      </c>
    </row>
    <row r="4672" ht="22" customHeight="1">
      <c r="A4672" s="12" t="inlineStr">
        <is>
          <t>CUL-4668</t>
        </is>
      </c>
      <c r="B4672" s="11" t="n">
        <v>970</v>
      </c>
      <c r="C4672" s="13" t="inlineStr">
        <is>
          <t>Nº 21724</t>
        </is>
      </c>
      <c r="D4672" s="14" t="inlineStr">
        <is>
          <t>ORONDIS OPTI</t>
        </is>
      </c>
      <c r="E4672" s="13" t="inlineStr">
        <is>
          <t>Pulverização Agrícola Conforme Bula</t>
        </is>
      </c>
      <c r="F4672" s="13" t="inlineStr">
        <is>
          <t>Café</t>
        </is>
      </c>
      <c r="G4672" s="13" t="inlineStr">
        <is>
          <t>Cultura Autorizada na Bula</t>
        </is>
      </c>
      <c r="H4672" s="13" t="inlineStr">
        <is>
          <t>100 a 300 L/ha</t>
        </is>
      </c>
      <c r="I4672" s="13" t="inlineStr">
        <is>
          <t>20 a 40 L/ha</t>
        </is>
      </c>
      <c r="J4672" s="13" t="inlineStr">
        <is>
          <t>30 dias</t>
        </is>
      </c>
    </row>
    <row r="4673" ht="22" customHeight="1">
      <c r="A4673" s="6" t="inlineStr">
        <is>
          <t>CUL-4669</t>
        </is>
      </c>
      <c r="B4673" s="5" t="n">
        <v>970</v>
      </c>
      <c r="C4673" s="7" t="inlineStr">
        <is>
          <t>Nº 21724</t>
        </is>
      </c>
      <c r="D4673" s="8" t="inlineStr">
        <is>
          <t>ORONDIS OPTI</t>
        </is>
      </c>
      <c r="E4673" s="7" t="inlineStr">
        <is>
          <t>Pulverização Agrícola Conforme Bula</t>
        </is>
      </c>
      <c r="F4673" s="7" t="inlineStr">
        <is>
          <t>Tomate</t>
        </is>
      </c>
      <c r="G4673" s="7" t="inlineStr">
        <is>
          <t>Cultura Autorizada na Bula</t>
        </is>
      </c>
      <c r="H4673" s="7" t="inlineStr">
        <is>
          <t>100 a 300 L/ha</t>
        </is>
      </c>
      <c r="I4673" s="7" t="inlineStr">
        <is>
          <t>20 a 40 L/ha</t>
        </is>
      </c>
      <c r="J4673" s="7" t="inlineStr">
        <is>
          <t>7 dias</t>
        </is>
      </c>
    </row>
    <row r="4674" ht="22" customHeight="1">
      <c r="A4674" s="12" t="inlineStr">
        <is>
          <t>CUL-4670</t>
        </is>
      </c>
      <c r="B4674" s="11" t="n">
        <v>971</v>
      </c>
      <c r="C4674" s="13" t="inlineStr">
        <is>
          <t>VINC-21724</t>
        </is>
      </c>
      <c r="D4674" s="14" t="inlineStr">
        <is>
          <t>Clorotalonil Técnico</t>
        </is>
      </c>
      <c r="E4674" s="13" t="inlineStr">
        <is>
          <t>Uso Exclusivamente Industrial (Formulação)</t>
        </is>
      </c>
      <c r="F4674" s="13" t="inlineStr">
        <is>
          <t>Não Aplicável (Proibido uso direto na lavoura)</t>
        </is>
      </c>
      <c r="G4674" s="13" t="inlineStr">
        <is>
          <t>Insumo Industrial</t>
        </is>
      </c>
      <c r="H4674" s="13" t="inlineStr">
        <is>
          <t>N/A</t>
        </is>
      </c>
      <c r="I4674" s="13" t="inlineStr">
        <is>
          <t>N/A</t>
        </is>
      </c>
      <c r="J4674" s="13" t="inlineStr">
        <is>
          <t>N/A (Insumo Industrial)</t>
        </is>
      </c>
    </row>
    <row r="4675" ht="22" customHeight="1">
      <c r="A4675" s="6" t="inlineStr">
        <is>
          <t>CUL-4671</t>
        </is>
      </c>
      <c r="B4675" s="5" t="n">
        <v>972</v>
      </c>
      <c r="C4675" s="7" t="inlineStr">
        <is>
          <t>VINC-21724</t>
        </is>
      </c>
      <c r="D4675" s="8" t="inlineStr">
        <is>
          <t>Oxathiapiprolin Técnico</t>
        </is>
      </c>
      <c r="E4675" s="7" t="inlineStr">
        <is>
          <t>Uso Exclusivamente Industrial (Formulação)</t>
        </is>
      </c>
      <c r="F4675" s="7" t="inlineStr">
        <is>
          <t>Não Aplicável (Proibido uso direto na lavoura)</t>
        </is>
      </c>
      <c r="G4675" s="7" t="inlineStr">
        <is>
          <t>Insumo Industrial</t>
        </is>
      </c>
      <c r="H4675" s="7" t="inlineStr">
        <is>
          <t>N/A</t>
        </is>
      </c>
      <c r="I4675" s="7" t="inlineStr">
        <is>
          <t>N/A</t>
        </is>
      </c>
      <c r="J4675" s="7" t="inlineStr">
        <is>
          <t>N/A (Insumo Industrial)</t>
        </is>
      </c>
    </row>
    <row r="4676" ht="22" customHeight="1">
      <c r="A4676" s="12" t="inlineStr">
        <is>
          <t>CUL-4672</t>
        </is>
      </c>
      <c r="B4676" s="11" t="n">
        <v>973</v>
      </c>
      <c r="C4676" s="13" t="inlineStr">
        <is>
          <t>Nº 21824</t>
        </is>
      </c>
      <c r="D4676" s="14" t="inlineStr">
        <is>
          <t>CLOROTALONIL NORTOX</t>
        </is>
      </c>
      <c r="E4676" s="13" t="inlineStr">
        <is>
          <t>Pulverização Agrícola Conforme Bula</t>
        </is>
      </c>
      <c r="F4676" s="13" t="inlineStr">
        <is>
          <t>Soja</t>
        </is>
      </c>
      <c r="G4676" s="13" t="inlineStr">
        <is>
          <t>Cultura Autorizada na Bula</t>
        </is>
      </c>
      <c r="H4676" s="13" t="inlineStr">
        <is>
          <t>100 a 300 L/ha</t>
        </is>
      </c>
      <c r="I4676" s="13" t="inlineStr">
        <is>
          <t>20 a 40 L/ha</t>
        </is>
      </c>
      <c r="J4676" s="13" t="inlineStr">
        <is>
          <t>14 dias</t>
        </is>
      </c>
    </row>
    <row r="4677" ht="22" customHeight="1">
      <c r="A4677" s="6" t="inlineStr">
        <is>
          <t>CUL-4673</t>
        </is>
      </c>
      <c r="B4677" s="5" t="n">
        <v>973</v>
      </c>
      <c r="C4677" s="7" t="inlineStr">
        <is>
          <t>Nº 21824</t>
        </is>
      </c>
      <c r="D4677" s="8" t="inlineStr">
        <is>
          <t>CLOROTALONIL NORTOX</t>
        </is>
      </c>
      <c r="E4677" s="7" t="inlineStr">
        <is>
          <t>Pulverização Agrícola Conforme Bula</t>
        </is>
      </c>
      <c r="F4677" s="7" t="inlineStr">
        <is>
          <t>Algodão</t>
        </is>
      </c>
      <c r="G4677" s="7" t="inlineStr">
        <is>
          <t>Cultura Autorizada na Bula</t>
        </is>
      </c>
      <c r="H4677" s="7" t="inlineStr">
        <is>
          <t>100 a 300 L/ha</t>
        </is>
      </c>
      <c r="I4677" s="7" t="inlineStr">
        <is>
          <t>20 a 40 L/ha</t>
        </is>
      </c>
      <c r="J4677" s="7" t="inlineStr">
        <is>
          <t>14 dias</t>
        </is>
      </c>
    </row>
    <row r="4678" ht="22" customHeight="1">
      <c r="A4678" s="12" t="inlineStr">
        <is>
          <t>CUL-4674</t>
        </is>
      </c>
      <c r="B4678" s="11" t="n">
        <v>973</v>
      </c>
      <c r="C4678" s="13" t="inlineStr">
        <is>
          <t>Nº 21824</t>
        </is>
      </c>
      <c r="D4678" s="14" t="inlineStr">
        <is>
          <t>CLOROTALONIL NORTOX</t>
        </is>
      </c>
      <c r="E4678" s="13" t="inlineStr">
        <is>
          <t>Pulverização Agrícola Conforme Bula</t>
        </is>
      </c>
      <c r="F4678" s="13" t="inlineStr">
        <is>
          <t>Feijão</t>
        </is>
      </c>
      <c r="G4678" s="13" t="inlineStr">
        <is>
          <t>Cultura Autorizada na Bula</t>
        </is>
      </c>
      <c r="H4678" s="13" t="inlineStr">
        <is>
          <t>100 a 300 L/ha</t>
        </is>
      </c>
      <c r="I4678" s="13" t="inlineStr">
        <is>
          <t>20 a 40 L/ha</t>
        </is>
      </c>
      <c r="J4678" s="13" t="inlineStr">
        <is>
          <t>14 dias</t>
        </is>
      </c>
    </row>
    <row r="4679" ht="22" customHeight="1">
      <c r="A4679" s="6" t="inlineStr">
        <is>
          <t>CUL-4675</t>
        </is>
      </c>
      <c r="B4679" s="5" t="n">
        <v>973</v>
      </c>
      <c r="C4679" s="7" t="inlineStr">
        <is>
          <t>Nº 21824</t>
        </is>
      </c>
      <c r="D4679" s="8" t="inlineStr">
        <is>
          <t>CLOROTALONIL NORTOX</t>
        </is>
      </c>
      <c r="E4679" s="7" t="inlineStr">
        <is>
          <t>Pulverização Agrícola Conforme Bula</t>
        </is>
      </c>
      <c r="F4679" s="7" t="inlineStr">
        <is>
          <t>Milho</t>
        </is>
      </c>
      <c r="G4679" s="7" t="inlineStr">
        <is>
          <t>Cultura Autorizada na Bula</t>
        </is>
      </c>
      <c r="H4679" s="7" t="inlineStr">
        <is>
          <t>100 a 300 L/ha</t>
        </is>
      </c>
      <c r="I4679" s="7" t="inlineStr">
        <is>
          <t>20 a 40 L/ha</t>
        </is>
      </c>
      <c r="J4679" s="7" t="inlineStr">
        <is>
          <t>14 dias</t>
        </is>
      </c>
    </row>
    <row r="4680" ht="22" customHeight="1">
      <c r="A4680" s="12" t="inlineStr">
        <is>
          <t>CUL-4676</t>
        </is>
      </c>
      <c r="B4680" s="11" t="n">
        <v>973</v>
      </c>
      <c r="C4680" s="13" t="inlineStr">
        <is>
          <t>Nº 21824</t>
        </is>
      </c>
      <c r="D4680" s="14" t="inlineStr">
        <is>
          <t>CLOROTALONIL NORTOX</t>
        </is>
      </c>
      <c r="E4680" s="13" t="inlineStr">
        <is>
          <t>Pulverização Agrícola Conforme Bula</t>
        </is>
      </c>
      <c r="F4680" s="13" t="inlineStr">
        <is>
          <t>Trigo</t>
        </is>
      </c>
      <c r="G4680" s="13" t="inlineStr">
        <is>
          <t>Cultura Autorizada na Bula</t>
        </is>
      </c>
      <c r="H4680" s="13" t="inlineStr">
        <is>
          <t>100 a 300 L/ha</t>
        </is>
      </c>
      <c r="I4680" s="13" t="inlineStr">
        <is>
          <t>20 a 40 L/ha</t>
        </is>
      </c>
      <c r="J4680" s="13" t="inlineStr">
        <is>
          <t>30 dias</t>
        </is>
      </c>
    </row>
    <row r="4681" ht="22" customHeight="1">
      <c r="A4681" s="6" t="inlineStr">
        <is>
          <t>CUL-4677</t>
        </is>
      </c>
      <c r="B4681" s="5" t="n">
        <v>973</v>
      </c>
      <c r="C4681" s="7" t="inlineStr">
        <is>
          <t>Nº 21824</t>
        </is>
      </c>
      <c r="D4681" s="8" t="inlineStr">
        <is>
          <t>CLOROTALONIL NORTOX</t>
        </is>
      </c>
      <c r="E4681" s="7" t="inlineStr">
        <is>
          <t>Pulverização Agrícola Conforme Bula</t>
        </is>
      </c>
      <c r="F4681" s="7" t="inlineStr">
        <is>
          <t>Batata</t>
        </is>
      </c>
      <c r="G4681" s="7" t="inlineStr">
        <is>
          <t>Cultura Autorizada na Bula</t>
        </is>
      </c>
      <c r="H4681" s="7" t="inlineStr">
        <is>
          <t>100 a 300 L/ha</t>
        </is>
      </c>
      <c r="I4681" s="7" t="inlineStr">
        <is>
          <t>20 a 40 L/ha</t>
        </is>
      </c>
      <c r="J4681" s="7" t="inlineStr">
        <is>
          <t>7 dias</t>
        </is>
      </c>
    </row>
    <row r="4682" ht="22" customHeight="1">
      <c r="A4682" s="12" t="inlineStr">
        <is>
          <t>CUL-4678</t>
        </is>
      </c>
      <c r="B4682" s="11" t="n">
        <v>973</v>
      </c>
      <c r="C4682" s="13" t="inlineStr">
        <is>
          <t>Nº 21824</t>
        </is>
      </c>
      <c r="D4682" s="14" t="inlineStr">
        <is>
          <t>CLOROTALONIL NORTOX</t>
        </is>
      </c>
      <c r="E4682" s="13" t="inlineStr">
        <is>
          <t>Pulverização Agrícola Conforme Bula</t>
        </is>
      </c>
      <c r="F4682" s="13" t="inlineStr">
        <is>
          <t>Café</t>
        </is>
      </c>
      <c r="G4682" s="13" t="inlineStr">
        <is>
          <t>Cultura Autorizada na Bula</t>
        </is>
      </c>
      <c r="H4682" s="13" t="inlineStr">
        <is>
          <t>100 a 300 L/ha</t>
        </is>
      </c>
      <c r="I4682" s="13" t="inlineStr">
        <is>
          <t>20 a 40 L/ha</t>
        </is>
      </c>
      <c r="J4682" s="13" t="inlineStr">
        <is>
          <t>30 dias</t>
        </is>
      </c>
    </row>
    <row r="4683" ht="22" customHeight="1">
      <c r="A4683" s="6" t="inlineStr">
        <is>
          <t>CUL-4679</t>
        </is>
      </c>
      <c r="B4683" s="5" t="n">
        <v>973</v>
      </c>
      <c r="C4683" s="7" t="inlineStr">
        <is>
          <t>Nº 21824</t>
        </is>
      </c>
      <c r="D4683" s="8" t="inlineStr">
        <is>
          <t>CLOROTALONIL NORTOX</t>
        </is>
      </c>
      <c r="E4683" s="7" t="inlineStr">
        <is>
          <t>Pulverização Agrícola Conforme Bula</t>
        </is>
      </c>
      <c r="F4683" s="7" t="inlineStr">
        <is>
          <t>Tomate</t>
        </is>
      </c>
      <c r="G4683" s="7" t="inlineStr">
        <is>
          <t>Cultura Autorizada na Bula</t>
        </is>
      </c>
      <c r="H4683" s="7" t="inlineStr">
        <is>
          <t>100 a 300 L/ha</t>
        </is>
      </c>
      <c r="I4683" s="7" t="inlineStr">
        <is>
          <t>20 a 40 L/ha</t>
        </is>
      </c>
      <c r="J4683" s="7" t="inlineStr">
        <is>
          <t>7 dias</t>
        </is>
      </c>
    </row>
    <row r="4684" ht="22" customHeight="1">
      <c r="A4684" s="12" t="inlineStr">
        <is>
          <t>CUL-4680</t>
        </is>
      </c>
      <c r="B4684" s="11" t="n">
        <v>974</v>
      </c>
      <c r="C4684" s="13" t="inlineStr">
        <is>
          <t>VINC-21824</t>
        </is>
      </c>
      <c r="D4684" s="14" t="inlineStr">
        <is>
          <t>Clorotalonil Técnico Nortox</t>
        </is>
      </c>
      <c r="E4684" s="13" t="inlineStr">
        <is>
          <t>Uso Exclusivamente Industrial (Formulação)</t>
        </is>
      </c>
      <c r="F4684" s="13" t="inlineStr">
        <is>
          <t>Não Aplicável (Proibido uso direto na lavoura)</t>
        </is>
      </c>
      <c r="G4684" s="13" t="inlineStr">
        <is>
          <t>Insumo Industrial</t>
        </is>
      </c>
      <c r="H4684" s="13" t="inlineStr">
        <is>
          <t>N/A</t>
        </is>
      </c>
      <c r="I4684" s="13" t="inlineStr">
        <is>
          <t>N/A</t>
        </is>
      </c>
      <c r="J4684" s="13" t="inlineStr">
        <is>
          <t>N/A (Insumo Industrial)</t>
        </is>
      </c>
    </row>
    <row r="4685" ht="22" customHeight="1">
      <c r="A4685" s="6" t="inlineStr">
        <is>
          <t>CUL-4681</t>
        </is>
      </c>
      <c r="B4685" s="5" t="n">
        <v>975</v>
      </c>
      <c r="C4685" s="7" t="inlineStr">
        <is>
          <t>VINC-21824</t>
        </is>
      </c>
      <c r="D4685" s="8" t="inlineStr">
        <is>
          <t>Clorotalonil Técnico Cropchem</t>
        </is>
      </c>
      <c r="E4685" s="7" t="inlineStr">
        <is>
          <t>Uso Exclusivamente Industrial (Formulação)</t>
        </is>
      </c>
      <c r="F4685" s="7" t="inlineStr">
        <is>
          <t>Não Aplicável (Proibido uso direto na lavoura)</t>
        </is>
      </c>
      <c r="G4685" s="7" t="inlineStr">
        <is>
          <t>Insumo Industrial</t>
        </is>
      </c>
      <c r="H4685" s="7" t="inlineStr">
        <is>
          <t>N/A</t>
        </is>
      </c>
      <c r="I4685" s="7" t="inlineStr">
        <is>
          <t>N/A</t>
        </is>
      </c>
      <c r="J4685" s="7" t="inlineStr">
        <is>
          <t>N/A (Insumo Industrial)</t>
        </is>
      </c>
    </row>
    <row r="4686" ht="22" customHeight="1">
      <c r="A4686" s="12" t="inlineStr">
        <is>
          <t>CUL-4682</t>
        </is>
      </c>
      <c r="B4686" s="11" t="n">
        <v>976</v>
      </c>
      <c r="C4686" s="13" t="inlineStr">
        <is>
          <t>Nº 21924</t>
        </is>
      </c>
      <c r="D4686" s="14" t="inlineStr">
        <is>
          <t>FRONDEO</t>
        </is>
      </c>
      <c r="E4686" s="13" t="inlineStr">
        <is>
          <t>Pulverização Agrícola Conforme Bula</t>
        </is>
      </c>
      <c r="F4686" s="13" t="inlineStr">
        <is>
          <t>Soja</t>
        </is>
      </c>
      <c r="G4686" s="13" t="inlineStr">
        <is>
          <t>Cultura Autorizada na Bula</t>
        </is>
      </c>
      <c r="H4686" s="13" t="inlineStr">
        <is>
          <t>100 a 300 L/ha</t>
        </is>
      </c>
      <c r="I4686" s="13" t="inlineStr">
        <is>
          <t>20 a 40 L/ha</t>
        </is>
      </c>
      <c r="J4686" s="13" t="inlineStr">
        <is>
          <t>21 dias</t>
        </is>
      </c>
    </row>
    <row r="4687" ht="22" customHeight="1">
      <c r="A4687" s="6" t="inlineStr">
        <is>
          <t>CUL-4683</t>
        </is>
      </c>
      <c r="B4687" s="5" t="n">
        <v>976</v>
      </c>
      <c r="C4687" s="7" t="inlineStr">
        <is>
          <t>Nº 21924</t>
        </is>
      </c>
      <c r="D4687" s="8" t="inlineStr">
        <is>
          <t>FRONDEO</t>
        </is>
      </c>
      <c r="E4687" s="7" t="inlineStr">
        <is>
          <t>Pulverização Agrícola Conforme Bula</t>
        </is>
      </c>
      <c r="F4687" s="7" t="inlineStr">
        <is>
          <t>Milho</t>
        </is>
      </c>
      <c r="G4687" s="7" t="inlineStr">
        <is>
          <t>Cultura Autorizada na Bula</t>
        </is>
      </c>
      <c r="H4687" s="7" t="inlineStr">
        <is>
          <t>100 a 300 L/ha</t>
        </is>
      </c>
      <c r="I4687" s="7" t="inlineStr">
        <is>
          <t>20 a 40 L/ha</t>
        </is>
      </c>
      <c r="J4687" s="7" t="inlineStr">
        <is>
          <t>21 dias</t>
        </is>
      </c>
    </row>
    <row r="4688" ht="22" customHeight="1">
      <c r="A4688" s="12" t="inlineStr">
        <is>
          <t>CUL-4684</t>
        </is>
      </c>
      <c r="B4688" s="11" t="n">
        <v>976</v>
      </c>
      <c r="C4688" s="13" t="inlineStr">
        <is>
          <t>Nº 21924</t>
        </is>
      </c>
      <c r="D4688" s="14" t="inlineStr">
        <is>
          <t>FRONDEO</t>
        </is>
      </c>
      <c r="E4688" s="13" t="inlineStr">
        <is>
          <t>Pulverização Agrícola Conforme Bula</t>
        </is>
      </c>
      <c r="F4688" s="13" t="inlineStr">
        <is>
          <t>Algodão</t>
        </is>
      </c>
      <c r="G4688" s="13" t="inlineStr">
        <is>
          <t>Cultura Autorizada na Bula</t>
        </is>
      </c>
      <c r="H4688" s="13" t="inlineStr">
        <is>
          <t>100 a 300 L/ha</t>
        </is>
      </c>
      <c r="I4688" s="13" t="inlineStr">
        <is>
          <t>20 a 40 L/ha</t>
        </is>
      </c>
      <c r="J4688" s="13" t="inlineStr">
        <is>
          <t>21 dias</t>
        </is>
      </c>
    </row>
    <row r="4689" ht="22" customHeight="1">
      <c r="A4689" s="6" t="inlineStr">
        <is>
          <t>CUL-4685</t>
        </is>
      </c>
      <c r="B4689" s="5" t="n">
        <v>976</v>
      </c>
      <c r="C4689" s="7" t="inlineStr">
        <is>
          <t>Nº 21924</t>
        </is>
      </c>
      <c r="D4689" s="8" t="inlineStr">
        <is>
          <t>FRONDEO</t>
        </is>
      </c>
      <c r="E4689" s="7" t="inlineStr">
        <is>
          <t>Pulverização Agrícola Conforme Bula</t>
        </is>
      </c>
      <c r="F4689" s="7" t="inlineStr">
        <is>
          <t>Feijão</t>
        </is>
      </c>
      <c r="G4689" s="7" t="inlineStr">
        <is>
          <t>Cultura Autorizada na Bula</t>
        </is>
      </c>
      <c r="H4689" s="7" t="inlineStr">
        <is>
          <t>100 a 300 L/ha</t>
        </is>
      </c>
      <c r="I4689" s="7" t="inlineStr">
        <is>
          <t>20 a 40 L/ha</t>
        </is>
      </c>
      <c r="J4689" s="7" t="inlineStr">
        <is>
          <t>14 dias</t>
        </is>
      </c>
    </row>
    <row r="4690" ht="22" customHeight="1">
      <c r="A4690" s="12" t="inlineStr">
        <is>
          <t>CUL-4686</t>
        </is>
      </c>
      <c r="B4690" s="11" t="n">
        <v>977</v>
      </c>
      <c r="C4690" s="13" t="inlineStr">
        <is>
          <t>VINC-21924</t>
        </is>
      </c>
      <c r="D4690" s="14" t="inlineStr">
        <is>
          <t>Isocycloseram Técnico</t>
        </is>
      </c>
      <c r="E4690" s="13" t="inlineStr">
        <is>
          <t>Uso Exclusivamente Industrial (Formulação)</t>
        </is>
      </c>
      <c r="F4690" s="13" t="inlineStr">
        <is>
          <t>Não Aplicável (Proibido uso direto na lavoura)</t>
        </is>
      </c>
      <c r="G4690" s="13" t="inlineStr">
        <is>
          <t>Insumo Industrial</t>
        </is>
      </c>
      <c r="H4690" s="13" t="inlineStr">
        <is>
          <t>N/A</t>
        </is>
      </c>
      <c r="I4690" s="13" t="inlineStr">
        <is>
          <t>N/A</t>
        </is>
      </c>
      <c r="J4690" s="13" t="inlineStr">
        <is>
          <t>N/A (Insumo Industrial)</t>
        </is>
      </c>
    </row>
    <row r="4691" ht="22" customHeight="1">
      <c r="A4691" s="6" t="inlineStr">
        <is>
          <t>CUL-4687</t>
        </is>
      </c>
      <c r="B4691" s="5" t="n">
        <v>978</v>
      </c>
      <c r="C4691" s="7" t="inlineStr">
        <is>
          <t>Nº 22024</t>
        </is>
      </c>
      <c r="D4691" s="8" t="inlineStr">
        <is>
          <t>FUNGUS BVERIA</t>
        </is>
      </c>
      <c r="E4691" s="7" t="inlineStr">
        <is>
          <t>Pulverização Agrícola Conforme Bula</t>
        </is>
      </c>
      <c r="F4691" s="7" t="inlineStr">
        <is>
          <t>Todas as Culturas (Alvo Biológico Autorizado MAPA)</t>
        </is>
      </c>
      <c r="G4691" s="7" t="inlineStr">
        <is>
          <t>Cultura Autorizada na Bula</t>
        </is>
      </c>
      <c r="H4691" s="7" t="inlineStr">
        <is>
          <t>100 a 300 L/ha</t>
        </is>
      </c>
      <c r="I4691" s="7" t="inlineStr">
        <is>
          <t>20 a 40 L/ha</t>
        </is>
      </c>
      <c r="J4691" s="7" t="inlineStr">
        <is>
          <t>0 (Isento de Carência)</t>
        </is>
      </c>
    </row>
    <row r="4692" ht="22" customHeight="1">
      <c r="A4692" s="12" t="inlineStr">
        <is>
          <t>CUL-4688</t>
        </is>
      </c>
      <c r="B4692" s="11" t="n">
        <v>979</v>
      </c>
      <c r="C4692" s="13" t="inlineStr">
        <is>
          <t>Nº 22024</t>
        </is>
      </c>
      <c r="D4692" s="14" t="inlineStr">
        <is>
          <t>FUNGUS BVERIA RBR</t>
        </is>
      </c>
      <c r="E4692" s="13" t="inlineStr">
        <is>
          <t>Pulverização Agrícola Conforme Bula</t>
        </is>
      </c>
      <c r="F4692" s="13" t="inlineStr">
        <is>
          <t>Todas as Culturas (Alvo Biológico Autorizado MAPA)</t>
        </is>
      </c>
      <c r="G4692" s="13" t="inlineStr">
        <is>
          <t>Cultura Autorizada na Bula</t>
        </is>
      </c>
      <c r="H4692" s="13" t="inlineStr">
        <is>
          <t>100 a 300 L/ha</t>
        </is>
      </c>
      <c r="I4692" s="13" t="inlineStr">
        <is>
          <t>20 a 40 L/ha</t>
        </is>
      </c>
      <c r="J4692" s="13" t="inlineStr">
        <is>
          <t>0 (Isento de Carência)</t>
        </is>
      </c>
    </row>
    <row r="4693" ht="22" customHeight="1">
      <c r="A4693" s="6" t="inlineStr">
        <is>
          <t>CUL-4689</t>
        </is>
      </c>
      <c r="B4693" s="5" t="n">
        <v>980</v>
      </c>
      <c r="C4693" s="7" t="inlineStr">
        <is>
          <t>Nº 22024</t>
        </is>
      </c>
      <c r="D4693" s="8" t="inlineStr">
        <is>
          <t>FUNGUS BVERIA INC</t>
        </is>
      </c>
      <c r="E4693" s="7" t="inlineStr">
        <is>
          <t>Pulverização Agrícola Conforme Bula</t>
        </is>
      </c>
      <c r="F4693" s="7" t="inlineStr">
        <is>
          <t>Todas as Culturas (Alvo Biológico Autorizado MAPA)</t>
        </is>
      </c>
      <c r="G4693" s="7" t="inlineStr">
        <is>
          <t>Cultura Autorizada na Bula</t>
        </is>
      </c>
      <c r="H4693" s="7" t="inlineStr">
        <is>
          <t>100 a 300 L/ha</t>
        </is>
      </c>
      <c r="I4693" s="7" t="inlineStr">
        <is>
          <t>20 a 40 L/ha</t>
        </is>
      </c>
      <c r="J4693" s="7" t="inlineStr">
        <is>
          <t>0 (Isento de Carência)</t>
        </is>
      </c>
    </row>
    <row r="4694" ht="22" customHeight="1">
      <c r="A4694" s="12" t="inlineStr">
        <is>
          <t>CUL-4690</t>
        </is>
      </c>
      <c r="B4694" s="11" t="n">
        <v>981</v>
      </c>
      <c r="C4694" s="13" t="inlineStr">
        <is>
          <t>Nº 22024</t>
        </is>
      </c>
      <c r="D4694" s="14" t="inlineStr">
        <is>
          <t>FUNGUS BVERIA MAX</t>
        </is>
      </c>
      <c r="E4694" s="13" t="inlineStr">
        <is>
          <t>Pulverização Agrícola Conforme Bula</t>
        </is>
      </c>
      <c r="F4694" s="13" t="inlineStr">
        <is>
          <t>Todas as Culturas (Alvo Biológico Autorizado MAPA)</t>
        </is>
      </c>
      <c r="G4694" s="13" t="inlineStr">
        <is>
          <t>Cultura Autorizada na Bula</t>
        </is>
      </c>
      <c r="H4694" s="13" t="inlineStr">
        <is>
          <t>100 a 300 L/ha</t>
        </is>
      </c>
      <c r="I4694" s="13" t="inlineStr">
        <is>
          <t>20 a 40 L/ha</t>
        </is>
      </c>
      <c r="J4694" s="13" t="inlineStr">
        <is>
          <t>0 (Isento de Carência)</t>
        </is>
      </c>
    </row>
    <row r="4695" ht="22" customHeight="1">
      <c r="A4695" s="6" t="inlineStr">
        <is>
          <t>CUL-4691</t>
        </is>
      </c>
      <c r="B4695" s="5" t="n">
        <v>982</v>
      </c>
      <c r="C4695" s="7" t="inlineStr">
        <is>
          <t>Nº 22024</t>
        </is>
      </c>
      <c r="D4695" s="8" t="inlineStr">
        <is>
          <t>FUNGUS BVERIA OGN</t>
        </is>
      </c>
      <c r="E4695" s="7" t="inlineStr">
        <is>
          <t>Pulverização Agrícola Conforme Bula</t>
        </is>
      </c>
      <c r="F4695" s="7" t="inlineStr">
        <is>
          <t>Todas as Culturas (Alvo Biológico Autorizado MAPA)</t>
        </is>
      </c>
      <c r="G4695" s="7" t="inlineStr">
        <is>
          <t>Cultura Autorizada na Bula</t>
        </is>
      </c>
      <c r="H4695" s="7" t="inlineStr">
        <is>
          <t>100 a 300 L/ha</t>
        </is>
      </c>
      <c r="I4695" s="7" t="inlineStr">
        <is>
          <t>20 a 40 L/ha</t>
        </is>
      </c>
      <c r="J4695" s="7" t="inlineStr">
        <is>
          <t>0 (Isento de Carência)</t>
        </is>
      </c>
    </row>
    <row r="4696" ht="22" customHeight="1">
      <c r="A4696" s="12" t="inlineStr">
        <is>
          <t>CUL-4692</t>
        </is>
      </c>
      <c r="B4696" s="11" t="n">
        <v>983</v>
      </c>
      <c r="C4696" s="13" t="inlineStr">
        <is>
          <t>Nº 22024</t>
        </is>
      </c>
      <c r="D4696" s="14" t="inlineStr">
        <is>
          <t>FUNGUS BVERIA GOLD</t>
        </is>
      </c>
      <c r="E4696" s="13" t="inlineStr">
        <is>
          <t>Pulverização Agrícola Conforme Bula</t>
        </is>
      </c>
      <c r="F4696" s="13" t="inlineStr">
        <is>
          <t>Todas as Culturas (Alvo Biológico Autorizado MAPA)</t>
        </is>
      </c>
      <c r="G4696" s="13" t="inlineStr">
        <is>
          <t>Cultura Autorizada na Bula</t>
        </is>
      </c>
      <c r="H4696" s="13" t="inlineStr">
        <is>
          <t>100 a 300 L/ha</t>
        </is>
      </c>
      <c r="I4696" s="13" t="inlineStr">
        <is>
          <t>20 a 40 L/ha</t>
        </is>
      </c>
      <c r="J4696" s="13" t="inlineStr">
        <is>
          <t>0 (Isento de Carência)</t>
        </is>
      </c>
    </row>
    <row r="4697" ht="22" customHeight="1">
      <c r="A4697" s="6" t="inlineStr">
        <is>
          <t>CUL-4693</t>
        </is>
      </c>
      <c r="B4697" s="5" t="n">
        <v>984</v>
      </c>
      <c r="C4697" s="7" t="inlineStr">
        <is>
          <t>Nº 02801</t>
        </is>
      </c>
      <c r="D4697" s="8" t="inlineStr">
        <is>
          <t>2,4-D AGRITEC</t>
        </is>
      </c>
      <c r="E4697" s="7" t="inlineStr">
        <is>
          <t>Pulverização Agrícola Conforme Bula</t>
        </is>
      </c>
      <c r="F4697" s="7" t="inlineStr">
        <is>
          <t>Soja (Dessecação Pré-Plantio)</t>
        </is>
      </c>
      <c r="G4697" s="7" t="inlineStr">
        <is>
          <t>Cultura Autorizada na Bula</t>
        </is>
      </c>
      <c r="H4697" s="7" t="inlineStr">
        <is>
          <t>100 a 300 L/ha</t>
        </is>
      </c>
      <c r="I4697" s="7" t="inlineStr">
        <is>
          <t>20 a 40 L/ha</t>
        </is>
      </c>
      <c r="J4697" s="7" t="inlineStr">
        <is>
          <t>N/D</t>
        </is>
      </c>
    </row>
    <row r="4698" ht="22" customHeight="1">
      <c r="A4698" s="12" t="inlineStr">
        <is>
          <t>CUL-4694</t>
        </is>
      </c>
      <c r="B4698" s="11" t="n">
        <v>984</v>
      </c>
      <c r="C4698" s="13" t="inlineStr">
        <is>
          <t>Nº 02801</t>
        </is>
      </c>
      <c r="D4698" s="14" t="inlineStr">
        <is>
          <t>2,4-D AGRITEC</t>
        </is>
      </c>
      <c r="E4698" s="13" t="inlineStr">
        <is>
          <t>Pulverização Agrícola Conforme Bula</t>
        </is>
      </c>
      <c r="F4698" s="13" t="inlineStr">
        <is>
          <t>Milho</t>
        </is>
      </c>
      <c r="G4698" s="13" t="inlineStr">
        <is>
          <t>Cultura Autorizada na Bula</t>
        </is>
      </c>
      <c r="H4698" s="13" t="inlineStr">
        <is>
          <t>100 a 300 L/ha</t>
        </is>
      </c>
      <c r="I4698" s="13" t="inlineStr">
        <is>
          <t>20 a 40 L/ha</t>
        </is>
      </c>
      <c r="J4698" s="13" t="inlineStr">
        <is>
          <t>40 dias</t>
        </is>
      </c>
    </row>
    <row r="4699" ht="22" customHeight="1">
      <c r="A4699" s="6" t="inlineStr">
        <is>
          <t>CUL-4695</t>
        </is>
      </c>
      <c r="B4699" s="5" t="n">
        <v>984</v>
      </c>
      <c r="C4699" s="7" t="inlineStr">
        <is>
          <t>Nº 02801</t>
        </is>
      </c>
      <c r="D4699" s="8" t="inlineStr">
        <is>
          <t>2,4-D AGRITEC</t>
        </is>
      </c>
      <c r="E4699" s="7" t="inlineStr">
        <is>
          <t>Pulverização Agrícola Conforme Bula</t>
        </is>
      </c>
      <c r="F4699" s="7" t="inlineStr">
        <is>
          <t>Cana-de-açúcar</t>
        </is>
      </c>
      <c r="G4699" s="7" t="inlineStr">
        <is>
          <t>Cultura Autorizada na Bula</t>
        </is>
      </c>
      <c r="H4699" s="7" t="inlineStr">
        <is>
          <t>100 a 300 L/ha</t>
        </is>
      </c>
      <c r="I4699" s="7" t="inlineStr">
        <is>
          <t>20 a 40 L/ha</t>
        </is>
      </c>
      <c r="J4699" s="7" t="inlineStr">
        <is>
          <t>N/D</t>
        </is>
      </c>
    </row>
    <row r="4700" ht="22" customHeight="1">
      <c r="A4700" s="12" t="inlineStr">
        <is>
          <t>CUL-4696</t>
        </is>
      </c>
      <c r="B4700" s="11" t="n">
        <v>984</v>
      </c>
      <c r="C4700" s="13" t="inlineStr">
        <is>
          <t>Nº 02801</t>
        </is>
      </c>
      <c r="D4700" s="14" t="inlineStr">
        <is>
          <t>2,4-D AGRITEC</t>
        </is>
      </c>
      <c r="E4700" s="13" t="inlineStr">
        <is>
          <t>Pulverização Agrícola Conforme Bula</t>
        </is>
      </c>
      <c r="F4700" s="13" t="inlineStr">
        <is>
          <t>Trigo</t>
        </is>
      </c>
      <c r="G4700" s="13" t="inlineStr">
        <is>
          <t>Cultura Autorizada na Bula</t>
        </is>
      </c>
      <c r="H4700" s="13" t="inlineStr">
        <is>
          <t>100 a 300 L/ha</t>
        </is>
      </c>
      <c r="I4700" s="13" t="inlineStr">
        <is>
          <t>20 a 40 L/ha</t>
        </is>
      </c>
      <c r="J4700" s="13" t="inlineStr">
        <is>
          <t>45 dias</t>
        </is>
      </c>
    </row>
    <row r="4701" ht="22" customHeight="1">
      <c r="A4701" s="6" t="inlineStr">
        <is>
          <t>CUL-4697</t>
        </is>
      </c>
      <c r="B4701" s="5" t="n">
        <v>984</v>
      </c>
      <c r="C4701" s="7" t="inlineStr">
        <is>
          <t>Nº 02801</t>
        </is>
      </c>
      <c r="D4701" s="8" t="inlineStr">
        <is>
          <t>2,4-D AGRITEC</t>
        </is>
      </c>
      <c r="E4701" s="7" t="inlineStr">
        <is>
          <t>Pulverização Agrícola Conforme Bula</t>
        </is>
      </c>
      <c r="F4701" s="7" t="inlineStr">
        <is>
          <t>Pastagens</t>
        </is>
      </c>
      <c r="G4701" s="7" t="inlineStr">
        <is>
          <t>Cultura Autorizada na Bula</t>
        </is>
      </c>
      <c r="H4701" s="7" t="inlineStr">
        <is>
          <t>100 a 300 L/ha</t>
        </is>
      </c>
      <c r="I4701" s="7" t="inlineStr">
        <is>
          <t>20 a 40 L/ha</t>
        </is>
      </c>
      <c r="J4701" s="7" t="inlineStr">
        <is>
          <t>N/D</t>
        </is>
      </c>
    </row>
    <row r="4702" ht="22" customHeight="1">
      <c r="A4702" s="12" t="inlineStr">
        <is>
          <t>CUL-4698</t>
        </is>
      </c>
      <c r="B4702" s="11" t="n">
        <v>984</v>
      </c>
      <c r="C4702" s="13" t="inlineStr">
        <is>
          <t>Nº 02801</t>
        </is>
      </c>
      <c r="D4702" s="14" t="inlineStr">
        <is>
          <t>2,4-D AGRITEC</t>
        </is>
      </c>
      <c r="E4702" s="13" t="inlineStr">
        <is>
          <t>Pulverização Agrícola Conforme Bula</t>
        </is>
      </c>
      <c r="F4702" s="13" t="inlineStr">
        <is>
          <t>Arroz</t>
        </is>
      </c>
      <c r="G4702" s="13" t="inlineStr">
        <is>
          <t>Cultura Autorizada na Bula</t>
        </is>
      </c>
      <c r="H4702" s="13" t="inlineStr">
        <is>
          <t>100 a 300 L/ha</t>
        </is>
      </c>
      <c r="I4702" s="13" t="inlineStr">
        <is>
          <t>20 a 40 L/ha</t>
        </is>
      </c>
      <c r="J4702" s="13" t="inlineStr">
        <is>
          <t>60 dias</t>
        </is>
      </c>
    </row>
    <row r="4703" ht="22" customHeight="1">
      <c r="A4703" s="6" t="inlineStr">
        <is>
          <t>CUL-4699</t>
        </is>
      </c>
      <c r="B4703" s="5" t="n">
        <v>985</v>
      </c>
      <c r="C4703" s="7" t="inlineStr">
        <is>
          <t>Nº 2500</t>
        </is>
      </c>
      <c r="D4703" s="8" t="inlineStr">
        <is>
          <t>PILARSATO</t>
        </is>
      </c>
      <c r="E4703" s="7" t="inlineStr">
        <is>
          <t>Pulverização Agrícola Conforme Bula</t>
        </is>
      </c>
      <c r="F4703" s="7" t="inlineStr">
        <is>
          <t>Soja (Pré-Plantio / OGM)</t>
        </is>
      </c>
      <c r="G4703" s="7" t="inlineStr">
        <is>
          <t>Cultura Autorizada na Bula</t>
        </is>
      </c>
      <c r="H4703" s="7" t="inlineStr">
        <is>
          <t>100 a 300 L/ha</t>
        </is>
      </c>
      <c r="I4703" s="7" t="inlineStr">
        <is>
          <t>20 a 40 L/ha</t>
        </is>
      </c>
      <c r="J4703" s="7" t="inlineStr">
        <is>
          <t>56 dias</t>
        </is>
      </c>
    </row>
    <row r="4704" ht="22" customHeight="1">
      <c r="A4704" s="12" t="inlineStr">
        <is>
          <t>CUL-4700</t>
        </is>
      </c>
      <c r="B4704" s="11" t="n">
        <v>985</v>
      </c>
      <c r="C4704" s="13" t="inlineStr">
        <is>
          <t>Nº 2500</t>
        </is>
      </c>
      <c r="D4704" s="14" t="inlineStr">
        <is>
          <t>PILARSATO</t>
        </is>
      </c>
      <c r="E4704" s="13" t="inlineStr">
        <is>
          <t>Pulverização Agrícola Conforme Bula</t>
        </is>
      </c>
      <c r="F4704" s="13" t="inlineStr">
        <is>
          <t>Milho (Pré-Plantio / OGM)</t>
        </is>
      </c>
      <c r="G4704" s="13" t="inlineStr">
        <is>
          <t>Cultura Autorizada na Bula</t>
        </is>
      </c>
      <c r="H4704" s="13" t="inlineStr">
        <is>
          <t>100 a 300 L/ha</t>
        </is>
      </c>
      <c r="I4704" s="13" t="inlineStr">
        <is>
          <t>20 a 40 L/ha</t>
        </is>
      </c>
      <c r="J4704" s="13" t="inlineStr">
        <is>
          <t>90 dias</t>
        </is>
      </c>
    </row>
    <row r="4705" ht="22" customHeight="1">
      <c r="A4705" s="6" t="inlineStr">
        <is>
          <t>CUL-4701</t>
        </is>
      </c>
      <c r="B4705" s="5" t="n">
        <v>985</v>
      </c>
      <c r="C4705" s="7" t="inlineStr">
        <is>
          <t>Nº 2500</t>
        </is>
      </c>
      <c r="D4705" s="8" t="inlineStr">
        <is>
          <t>PILARSATO</t>
        </is>
      </c>
      <c r="E4705" s="7" t="inlineStr">
        <is>
          <t>Pulverização Agrícola Conforme Bula</t>
        </is>
      </c>
      <c r="F4705" s="7" t="inlineStr">
        <is>
          <t>Algodão (Pré-Plantio / OGM)</t>
        </is>
      </c>
      <c r="G4705" s="7" t="inlineStr">
        <is>
          <t>Cultura Autorizada na Bula</t>
        </is>
      </c>
      <c r="H4705" s="7" t="inlineStr">
        <is>
          <t>100 a 300 L/ha</t>
        </is>
      </c>
      <c r="I4705" s="7" t="inlineStr">
        <is>
          <t>20 a 40 L/ha</t>
        </is>
      </c>
      <c r="J4705" s="7" t="inlineStr">
        <is>
          <t>130 dias</t>
        </is>
      </c>
    </row>
    <row r="4706" ht="22" customHeight="1">
      <c r="A4706" s="12" t="inlineStr">
        <is>
          <t>CUL-4702</t>
        </is>
      </c>
      <c r="B4706" s="11" t="n">
        <v>985</v>
      </c>
      <c r="C4706" s="13" t="inlineStr">
        <is>
          <t>Nº 2500</t>
        </is>
      </c>
      <c r="D4706" s="14" t="inlineStr">
        <is>
          <t>PILARSATO</t>
        </is>
      </c>
      <c r="E4706" s="13" t="inlineStr">
        <is>
          <t>Pulverização Agrícola Conforme Bula</t>
        </is>
      </c>
      <c r="F4706" s="13" t="inlineStr">
        <is>
          <t>Cana-de-açúcar</t>
        </is>
      </c>
      <c r="G4706" s="13" t="inlineStr">
        <is>
          <t>Cultura Autorizada na Bula</t>
        </is>
      </c>
      <c r="H4706" s="13" t="inlineStr">
        <is>
          <t>100 a 300 L/ha</t>
        </is>
      </c>
      <c r="I4706" s="13" t="inlineStr">
        <is>
          <t>20 a 40 L/ha</t>
        </is>
      </c>
      <c r="J4706" s="13" t="inlineStr">
        <is>
          <t>N/D</t>
        </is>
      </c>
    </row>
    <row r="4707" ht="22" customHeight="1">
      <c r="A4707" s="6" t="inlineStr">
        <is>
          <t>CUL-4703</t>
        </is>
      </c>
      <c r="B4707" s="5" t="n">
        <v>985</v>
      </c>
      <c r="C4707" s="7" t="inlineStr">
        <is>
          <t>Nº 2500</t>
        </is>
      </c>
      <c r="D4707" s="8" t="inlineStr">
        <is>
          <t>PILARSATO</t>
        </is>
      </c>
      <c r="E4707" s="7" t="inlineStr">
        <is>
          <t>Pulverização Agrícola Conforme Bula</t>
        </is>
      </c>
      <c r="F4707" s="7" t="inlineStr">
        <is>
          <t>Café (Jato Dirigido)</t>
        </is>
      </c>
      <c r="G4707" s="7" t="inlineStr">
        <is>
          <t>Cultura Autorizada na Bula</t>
        </is>
      </c>
      <c r="H4707" s="7" t="inlineStr">
        <is>
          <t>100 a 300 L/ha</t>
        </is>
      </c>
      <c r="I4707" s="7" t="inlineStr">
        <is>
          <t>20 a 40 L/ha</t>
        </is>
      </c>
      <c r="J4707" s="7" t="inlineStr">
        <is>
          <t>15 dias</t>
        </is>
      </c>
    </row>
    <row r="4708" ht="22" customHeight="1">
      <c r="A4708" s="12" t="inlineStr">
        <is>
          <t>CUL-4704</t>
        </is>
      </c>
      <c r="B4708" s="11" t="n">
        <v>985</v>
      </c>
      <c r="C4708" s="13" t="inlineStr">
        <is>
          <t>Nº 2500</t>
        </is>
      </c>
      <c r="D4708" s="14" t="inlineStr">
        <is>
          <t>PILARSATO</t>
        </is>
      </c>
      <c r="E4708" s="13" t="inlineStr">
        <is>
          <t>Pulverização Agrícola Conforme Bula</t>
        </is>
      </c>
      <c r="F4708" s="13" t="inlineStr">
        <is>
          <t>Citros (Jato Dirigido)</t>
        </is>
      </c>
      <c r="G4708" s="13" t="inlineStr">
        <is>
          <t>Cultura Autorizada na Bula</t>
        </is>
      </c>
      <c r="H4708" s="13" t="inlineStr">
        <is>
          <t>100 a 300 L/ha</t>
        </is>
      </c>
      <c r="I4708" s="13" t="inlineStr">
        <is>
          <t>20 a 40 L/ha</t>
        </is>
      </c>
      <c r="J4708" s="13" t="inlineStr">
        <is>
          <t>30 dias</t>
        </is>
      </c>
    </row>
    <row r="4709" ht="22" customHeight="1">
      <c r="A4709" s="6" t="inlineStr">
        <is>
          <t>CUL-4705</t>
        </is>
      </c>
      <c r="B4709" s="5" t="n">
        <v>985</v>
      </c>
      <c r="C4709" s="7" t="inlineStr">
        <is>
          <t>Nº 2500</t>
        </is>
      </c>
      <c r="D4709" s="8" t="inlineStr">
        <is>
          <t>PILARSATO</t>
        </is>
      </c>
      <c r="E4709" s="7" t="inlineStr">
        <is>
          <t>Pulverização Agrícola Conforme Bula</t>
        </is>
      </c>
      <c r="F4709" s="7" t="inlineStr">
        <is>
          <t>Trigo (Pré-Plantio)</t>
        </is>
      </c>
      <c r="G4709" s="7" t="inlineStr">
        <is>
          <t>Cultura Autorizada na Bula</t>
        </is>
      </c>
      <c r="H4709" s="7" t="inlineStr">
        <is>
          <t>100 a 300 L/ha</t>
        </is>
      </c>
      <c r="I4709" s="7" t="inlineStr">
        <is>
          <t>20 a 40 L/ha</t>
        </is>
      </c>
      <c r="J4709" s="7" t="inlineStr">
        <is>
          <t>N/D</t>
        </is>
      </c>
    </row>
    <row r="4710" ht="22" customHeight="1">
      <c r="A4710" s="12" t="inlineStr">
        <is>
          <t>CUL-4706</t>
        </is>
      </c>
      <c r="B4710" s="11" t="n">
        <v>985</v>
      </c>
      <c r="C4710" s="13" t="inlineStr">
        <is>
          <t>Nº 2500</t>
        </is>
      </c>
      <c r="D4710" s="14" t="inlineStr">
        <is>
          <t>PILARSATO</t>
        </is>
      </c>
      <c r="E4710" s="13" t="inlineStr">
        <is>
          <t>Pulverização Agrícola Conforme Bula</t>
        </is>
      </c>
      <c r="F4710" s="13" t="inlineStr">
        <is>
          <t>Pastagens</t>
        </is>
      </c>
      <c r="G4710" s="13" t="inlineStr">
        <is>
          <t>Cultura Autorizada na Bula</t>
        </is>
      </c>
      <c r="H4710" s="13" t="inlineStr">
        <is>
          <t>100 a 300 L/ha</t>
        </is>
      </c>
      <c r="I4710" s="13" t="inlineStr">
        <is>
          <t>20 a 40 L/ha</t>
        </is>
      </c>
      <c r="J4710" s="13" t="inlineStr">
        <is>
          <t>N/D</t>
        </is>
      </c>
    </row>
    <row r="4711" ht="22" customHeight="1">
      <c r="A4711" s="6" t="inlineStr">
        <is>
          <t>CUL-4707</t>
        </is>
      </c>
      <c r="B4711" s="5" t="n">
        <v>986</v>
      </c>
      <c r="C4711" s="7" t="inlineStr">
        <is>
          <t>Nº 14308</t>
        </is>
      </c>
      <c r="D4711" s="8" t="inlineStr">
        <is>
          <t>SUMÔ</t>
        </is>
      </c>
      <c r="E4711" s="7" t="inlineStr">
        <is>
          <t>Pulverização Agrícola Conforme Bula</t>
        </is>
      </c>
      <c r="F4711" s="7" t="inlineStr">
        <is>
          <t>Soja</t>
        </is>
      </c>
      <c r="G4711" s="7" t="inlineStr">
        <is>
          <t>Cultura Autorizada na Bula</t>
        </is>
      </c>
      <c r="H4711" s="7" t="inlineStr">
        <is>
          <t>100 a 300 L/ha</t>
        </is>
      </c>
      <c r="I4711" s="7" t="inlineStr">
        <is>
          <t>20 a 40 L/ha</t>
        </is>
      </c>
      <c r="J4711" s="7" t="inlineStr">
        <is>
          <t>21 a 30 dias</t>
        </is>
      </c>
    </row>
    <row r="4712" ht="22" customHeight="1">
      <c r="A4712" s="12" t="inlineStr">
        <is>
          <t>CUL-4708</t>
        </is>
      </c>
      <c r="B4712" s="11" t="n">
        <v>986</v>
      </c>
      <c r="C4712" s="13" t="inlineStr">
        <is>
          <t>Nº 14308</t>
        </is>
      </c>
      <c r="D4712" s="14" t="inlineStr">
        <is>
          <t>SUMÔ</t>
        </is>
      </c>
      <c r="E4712" s="13" t="inlineStr">
        <is>
          <t>Pulverização Agrícola Conforme Bula</t>
        </is>
      </c>
      <c r="F4712" s="13" t="inlineStr">
        <is>
          <t>Milho</t>
        </is>
      </c>
      <c r="G4712" s="13" t="inlineStr">
        <is>
          <t>Cultura Autorizada na Bula</t>
        </is>
      </c>
      <c r="H4712" s="13" t="inlineStr">
        <is>
          <t>100 a 300 L/ha</t>
        </is>
      </c>
      <c r="I4712" s="13" t="inlineStr">
        <is>
          <t>20 a 40 L/ha</t>
        </is>
      </c>
      <c r="J4712" s="13" t="inlineStr">
        <is>
          <t>21 a 30 dias</t>
        </is>
      </c>
    </row>
    <row r="4713" ht="22" customHeight="1">
      <c r="A4713" s="6" t="inlineStr">
        <is>
          <t>CUL-4709</t>
        </is>
      </c>
      <c r="B4713" s="5" t="n">
        <v>986</v>
      </c>
      <c r="C4713" s="7" t="inlineStr">
        <is>
          <t>Nº 14308</t>
        </is>
      </c>
      <c r="D4713" s="8" t="inlineStr">
        <is>
          <t>SUMÔ</t>
        </is>
      </c>
      <c r="E4713" s="7" t="inlineStr">
        <is>
          <t>Pulverização Agrícola Conforme Bula</t>
        </is>
      </c>
      <c r="F4713" s="7" t="inlineStr">
        <is>
          <t>Algodão</t>
        </is>
      </c>
      <c r="G4713" s="7" t="inlineStr">
        <is>
          <t>Cultura Autorizada na Bula</t>
        </is>
      </c>
      <c r="H4713" s="7" t="inlineStr">
        <is>
          <t>100 a 300 L/ha</t>
        </is>
      </c>
      <c r="I4713" s="7" t="inlineStr">
        <is>
          <t>20 a 40 L/ha</t>
        </is>
      </c>
      <c r="J4713" s="7" t="inlineStr">
        <is>
          <t>21 a 30 dias</t>
        </is>
      </c>
    </row>
    <row r="4714" ht="22" customHeight="1">
      <c r="A4714" s="12" t="inlineStr">
        <is>
          <t>CUL-4710</t>
        </is>
      </c>
      <c r="B4714" s="11" t="n">
        <v>986</v>
      </c>
      <c r="C4714" s="13" t="inlineStr">
        <is>
          <t>Nº 14308</t>
        </is>
      </c>
      <c r="D4714" s="14" t="inlineStr">
        <is>
          <t>SUMÔ</t>
        </is>
      </c>
      <c r="E4714" s="13" t="inlineStr">
        <is>
          <t>Pulverização Agrícola Conforme Bula</t>
        </is>
      </c>
      <c r="F4714" s="13" t="inlineStr">
        <is>
          <t>Feijão</t>
        </is>
      </c>
      <c r="G4714" s="13" t="inlineStr">
        <is>
          <t>Cultura Autorizada na Bula</t>
        </is>
      </c>
      <c r="H4714" s="13" t="inlineStr">
        <is>
          <t>100 a 300 L/ha</t>
        </is>
      </c>
      <c r="I4714" s="13" t="inlineStr">
        <is>
          <t>20 a 40 L/ha</t>
        </is>
      </c>
      <c r="J4714" s="13" t="inlineStr">
        <is>
          <t>21 a 30 dias</t>
        </is>
      </c>
    </row>
    <row r="4715" ht="22" customHeight="1">
      <c r="A4715" s="6" t="inlineStr">
        <is>
          <t>CUL-4711</t>
        </is>
      </c>
      <c r="B4715" s="5" t="n">
        <v>986</v>
      </c>
      <c r="C4715" s="7" t="inlineStr">
        <is>
          <t>Nº 14308</t>
        </is>
      </c>
      <c r="D4715" s="8" t="inlineStr">
        <is>
          <t>SUMÔ</t>
        </is>
      </c>
      <c r="E4715" s="7" t="inlineStr">
        <is>
          <t>Pulverização Agrícola Conforme Bula</t>
        </is>
      </c>
      <c r="F4715" s="7" t="inlineStr">
        <is>
          <t>Trigo</t>
        </is>
      </c>
      <c r="G4715" s="7" t="inlineStr">
        <is>
          <t>Cultura Autorizada na Bula</t>
        </is>
      </c>
      <c r="H4715" s="7" t="inlineStr">
        <is>
          <t>100 a 300 L/ha</t>
        </is>
      </c>
      <c r="I4715" s="7" t="inlineStr">
        <is>
          <t>20 a 40 L/ha</t>
        </is>
      </c>
      <c r="J4715" s="7" t="inlineStr">
        <is>
          <t>21 a 30 dias</t>
        </is>
      </c>
    </row>
    <row r="4716" ht="22" customHeight="1">
      <c r="A4716" s="12" t="inlineStr">
        <is>
          <t>CUL-4712</t>
        </is>
      </c>
      <c r="B4716" s="11" t="n">
        <v>987</v>
      </c>
      <c r="C4716" s="13" t="inlineStr">
        <is>
          <t>Nº 0314</t>
        </is>
      </c>
      <c r="D4716" s="14" t="inlineStr">
        <is>
          <t>2,4-D TÉCNICO SWR AGROIMPORT</t>
        </is>
      </c>
      <c r="E4716" s="13" t="inlineStr">
        <is>
          <t>Uso Exclusivamente Industrial (Formulação)</t>
        </is>
      </c>
      <c r="F4716" s="13" t="inlineStr">
        <is>
          <t>Não Aplicável (Proibido uso direto na lavoura)</t>
        </is>
      </c>
      <c r="G4716" s="13" t="inlineStr">
        <is>
          <t>Insumo Industrial</t>
        </is>
      </c>
      <c r="H4716" s="13" t="inlineStr">
        <is>
          <t>N/A</t>
        </is>
      </c>
      <c r="I4716" s="13" t="inlineStr">
        <is>
          <t>N/A</t>
        </is>
      </c>
      <c r="J4716" s="13" t="inlineStr">
        <is>
          <t>N/A (Insumo Industrial)</t>
        </is>
      </c>
    </row>
    <row r="4717" ht="22" customHeight="1">
      <c r="A4717" s="6" t="inlineStr">
        <is>
          <t>CUL-4713</t>
        </is>
      </c>
      <c r="B4717" s="5" t="n">
        <v>988</v>
      </c>
      <c r="C4717" s="7" t="inlineStr">
        <is>
          <t>Nº 10618</t>
        </is>
      </c>
      <c r="D4717" s="8" t="inlineStr">
        <is>
          <t>2,4-D TÉCNICO AGROIMPORT</t>
        </is>
      </c>
      <c r="E4717" s="7" t="inlineStr">
        <is>
          <t>Uso Exclusivamente Industrial (Formulação)</t>
        </is>
      </c>
      <c r="F4717" s="7" t="inlineStr">
        <is>
          <t>Não Aplicável (Proibido uso direto na lavoura)</t>
        </is>
      </c>
      <c r="G4717" s="7" t="inlineStr">
        <is>
          <t>Insumo Industrial</t>
        </is>
      </c>
      <c r="H4717" s="7" t="inlineStr">
        <is>
          <t>N/A</t>
        </is>
      </c>
      <c r="I4717" s="7" t="inlineStr">
        <is>
          <t>N/A</t>
        </is>
      </c>
      <c r="J4717" s="7" t="inlineStr">
        <is>
          <t>N/A (Insumo Industrial)</t>
        </is>
      </c>
    </row>
    <row r="4718" ht="22" customHeight="1">
      <c r="A4718" s="12" t="inlineStr">
        <is>
          <t>CUL-4714</t>
        </is>
      </c>
      <c r="B4718" s="11" t="n">
        <v>989</v>
      </c>
      <c r="C4718" s="13" t="inlineStr">
        <is>
          <t>Nº 18816</t>
        </is>
      </c>
      <c r="D4718" s="14" t="inlineStr">
        <is>
          <t>GLIFOSATO G TÉCNICO AGROIMPORT</t>
        </is>
      </c>
      <c r="E4718" s="13" t="inlineStr">
        <is>
          <t>Uso Exclusivamente Industrial (Formulação)</t>
        </is>
      </c>
      <c r="F4718" s="13" t="inlineStr">
        <is>
          <t>Não Aplicável (Proibido uso direto na lavoura)</t>
        </is>
      </c>
      <c r="G4718" s="13" t="inlineStr">
        <is>
          <t>Insumo Industrial</t>
        </is>
      </c>
      <c r="H4718" s="13" t="inlineStr">
        <is>
          <t>N/A</t>
        </is>
      </c>
      <c r="I4718" s="13" t="inlineStr">
        <is>
          <t>N/A</t>
        </is>
      </c>
      <c r="J4718" s="13" t="inlineStr">
        <is>
          <t>N/A (Insumo Industrial)</t>
        </is>
      </c>
    </row>
    <row r="4719" ht="22" customHeight="1">
      <c r="A4719" s="6" t="inlineStr">
        <is>
          <t>CUL-4715</t>
        </is>
      </c>
      <c r="B4719" s="5" t="n">
        <v>990</v>
      </c>
      <c r="C4719" s="7" t="inlineStr">
        <is>
          <t>Nº 12515</t>
        </is>
      </c>
      <c r="D4719" s="8" t="inlineStr">
        <is>
          <t>GLIFOSATO TÉCNICO SWR AGROIMPORT</t>
        </is>
      </c>
      <c r="E4719" s="7" t="inlineStr">
        <is>
          <t>Uso Exclusivamente Industrial (Formulação)</t>
        </is>
      </c>
      <c r="F4719" s="7" t="inlineStr">
        <is>
          <t>Não Aplicável (Proibido uso direto na lavoura)</t>
        </is>
      </c>
      <c r="G4719" s="7" t="inlineStr">
        <is>
          <t>Insumo Industrial</t>
        </is>
      </c>
      <c r="H4719" s="7" t="inlineStr">
        <is>
          <t>N/A</t>
        </is>
      </c>
      <c r="I4719" s="7" t="inlineStr">
        <is>
          <t>N/A</t>
        </is>
      </c>
      <c r="J4719" s="7" t="inlineStr">
        <is>
          <t>N/A (Insumo Industrial)</t>
        </is>
      </c>
    </row>
    <row r="4720" ht="22" customHeight="1">
      <c r="A4720" s="12" t="inlineStr">
        <is>
          <t>CUL-4716</t>
        </is>
      </c>
      <c r="B4720" s="11" t="n">
        <v>991</v>
      </c>
      <c r="C4720" s="13" t="inlineStr">
        <is>
          <t>Nº 10714</t>
        </is>
      </c>
      <c r="D4720" s="14" t="inlineStr">
        <is>
          <t>MEGASATO TÉCNICO</t>
        </is>
      </c>
      <c r="E4720" s="13" t="inlineStr">
        <is>
          <t>Uso Exclusivamente Industrial (Formulação)</t>
        </is>
      </c>
      <c r="F4720" s="13" t="inlineStr">
        <is>
          <t>Não Aplicável (Proibido uso direto na lavoura)</t>
        </is>
      </c>
      <c r="G4720" s="13" t="inlineStr">
        <is>
          <t>Insumo Industrial</t>
        </is>
      </c>
      <c r="H4720" s="13" t="inlineStr">
        <is>
          <t>N/A</t>
        </is>
      </c>
      <c r="I4720" s="13" t="inlineStr">
        <is>
          <t>N/A</t>
        </is>
      </c>
      <c r="J4720" s="13" t="inlineStr">
        <is>
          <t>N/A (Insumo Industrial)</t>
        </is>
      </c>
    </row>
    <row r="4721" ht="22" customHeight="1">
      <c r="A4721" s="6" t="inlineStr">
        <is>
          <t>CUL-4717</t>
        </is>
      </c>
      <c r="B4721" s="5" t="n">
        <v>992</v>
      </c>
      <c r="C4721" s="7" t="inlineStr">
        <is>
          <t>TC08623</t>
        </is>
      </c>
      <c r="D4721" s="8" t="inlineStr">
        <is>
          <t>2,4-D TÉCNICO ALBAUGH 02 HF</t>
        </is>
      </c>
      <c r="E4721" s="7" t="inlineStr">
        <is>
          <t>Uso Exclusivamente Industrial (Formulação)</t>
        </is>
      </c>
      <c r="F4721" s="7" t="inlineStr">
        <is>
          <t>Não Aplicável (Proibido uso direto na lavoura)</t>
        </is>
      </c>
      <c r="G4721" s="7" t="inlineStr">
        <is>
          <t>Insumo Industrial</t>
        </is>
      </c>
      <c r="H4721" s="7" t="inlineStr">
        <is>
          <t>N/A</t>
        </is>
      </c>
      <c r="I4721" s="7" t="inlineStr">
        <is>
          <t>N/A</t>
        </is>
      </c>
      <c r="J4721" s="7" t="inlineStr">
        <is>
          <t>N/A (Insumo Industrial)</t>
        </is>
      </c>
    </row>
    <row r="4722" ht="22" customHeight="1">
      <c r="A4722" s="12" t="inlineStr">
        <is>
          <t>CUL-4718</t>
        </is>
      </c>
      <c r="B4722" s="11" t="n">
        <v>993</v>
      </c>
      <c r="C4722" s="13" t="inlineStr">
        <is>
          <t>Nº 13914</t>
        </is>
      </c>
      <c r="D4722" s="14" t="inlineStr">
        <is>
          <t>2,4-D ÁCIDO TÉCNICO CCAB</t>
        </is>
      </c>
      <c r="E4722" s="13" t="inlineStr">
        <is>
          <t>Uso Exclusivamente Industrial (Formulação)</t>
        </is>
      </c>
      <c r="F4722" s="13" t="inlineStr">
        <is>
          <t>Não Aplicável (Proibido uso direto na lavoura)</t>
        </is>
      </c>
      <c r="G4722" s="13" t="inlineStr">
        <is>
          <t>Insumo Industrial</t>
        </is>
      </c>
      <c r="H4722" s="13" t="inlineStr">
        <is>
          <t>N/A</t>
        </is>
      </c>
      <c r="I4722" s="13" t="inlineStr">
        <is>
          <t>N/A</t>
        </is>
      </c>
      <c r="J4722" s="13" t="inlineStr">
        <is>
          <t>N/A (Insumo Industrial)</t>
        </is>
      </c>
    </row>
    <row r="4723" ht="22" customHeight="1">
      <c r="A4723" s="6" t="inlineStr">
        <is>
          <t>CUL-4719</t>
        </is>
      </c>
      <c r="B4723" s="5" t="n">
        <v>994</v>
      </c>
      <c r="C4723" s="7" t="inlineStr">
        <is>
          <t>Nº 10216</t>
        </is>
      </c>
      <c r="D4723" s="8" t="inlineStr">
        <is>
          <t>GLIFOSATO TÉCNICO CCAB II</t>
        </is>
      </c>
      <c r="E4723" s="7" t="inlineStr">
        <is>
          <t>Uso Exclusivamente Industrial (Formulação)</t>
        </is>
      </c>
      <c r="F4723" s="7" t="inlineStr">
        <is>
          <t>Não Aplicável (Proibido uso direto na lavoura)</t>
        </is>
      </c>
      <c r="G4723" s="7" t="inlineStr">
        <is>
          <t>Insumo Industrial</t>
        </is>
      </c>
      <c r="H4723" s="7" t="inlineStr">
        <is>
          <t>N/A</t>
        </is>
      </c>
      <c r="I4723" s="7" t="inlineStr">
        <is>
          <t>N/A</t>
        </is>
      </c>
      <c r="J4723" s="7" t="inlineStr">
        <is>
          <t>N/A (Insumo Industrial)</t>
        </is>
      </c>
    </row>
    <row r="4724" ht="22" customHeight="1">
      <c r="A4724" s="12" t="inlineStr">
        <is>
          <t>CUL-4720</t>
        </is>
      </c>
      <c r="B4724" s="11" t="n">
        <v>995</v>
      </c>
      <c r="C4724" s="13" t="inlineStr">
        <is>
          <t>Nº 3316</t>
        </is>
      </c>
      <c r="D4724" s="14" t="inlineStr">
        <is>
          <t>2,4-D TÉCNICO MCR</t>
        </is>
      </c>
      <c r="E4724" s="13" t="inlineStr">
        <is>
          <t>Uso Exclusivamente Industrial (Formulação)</t>
        </is>
      </c>
      <c r="F4724" s="13" t="inlineStr">
        <is>
          <t>Não Aplicável (Proibido uso direto na lavoura)</t>
        </is>
      </c>
      <c r="G4724" s="13" t="inlineStr">
        <is>
          <t>Insumo Industrial</t>
        </is>
      </c>
      <c r="H4724" s="13" t="inlineStr">
        <is>
          <t>N/A</t>
        </is>
      </c>
      <c r="I4724" s="13" t="inlineStr">
        <is>
          <t>N/A</t>
        </is>
      </c>
      <c r="J4724" s="13" t="inlineStr">
        <is>
          <t>N/A (Insumo Industrial)</t>
        </is>
      </c>
    </row>
    <row r="4725" ht="22" customHeight="1">
      <c r="A4725" s="6" t="inlineStr">
        <is>
          <t>CUL-4721</t>
        </is>
      </c>
      <c r="B4725" s="5" t="n">
        <v>996</v>
      </c>
      <c r="C4725" s="7" t="inlineStr">
        <is>
          <t>Nº 1114</t>
        </is>
      </c>
      <c r="D4725" s="8" t="inlineStr">
        <is>
          <t>GLIFOSATO TÉCNICO COPALLIANCE</t>
        </is>
      </c>
      <c r="E4725" s="7" t="inlineStr">
        <is>
          <t>Uso Exclusivamente Industrial (Formulação)</t>
        </is>
      </c>
      <c r="F4725" s="7" t="inlineStr">
        <is>
          <t>Não Aplicável (Proibido uso direto na lavoura)</t>
        </is>
      </c>
      <c r="G4725" s="7" t="inlineStr">
        <is>
          <t>Insumo Industrial</t>
        </is>
      </c>
      <c r="H4725" s="7" t="inlineStr">
        <is>
          <t>N/A</t>
        </is>
      </c>
      <c r="I4725" s="7" t="inlineStr">
        <is>
          <t>N/A</t>
        </is>
      </c>
      <c r="J4725" s="7" t="inlineStr">
        <is>
          <t>N/A (Insumo Industrial)</t>
        </is>
      </c>
    </row>
    <row r="4726" ht="22" customHeight="1">
      <c r="A4726" s="12" t="inlineStr">
        <is>
          <t>CUL-4722</t>
        </is>
      </c>
      <c r="B4726" s="11" t="n">
        <v>997</v>
      </c>
      <c r="C4726" s="13" t="inlineStr">
        <is>
          <t>Nº 10901</t>
        </is>
      </c>
      <c r="D4726" s="14" t="inlineStr">
        <is>
          <t>ROUNDUP AMÔNIO PRÉ MIX</t>
        </is>
      </c>
      <c r="E4726" s="13" t="inlineStr">
        <is>
          <t>Uso Exclusivamente Industrial (Formulação)</t>
        </is>
      </c>
      <c r="F4726" s="13" t="inlineStr">
        <is>
          <t>Não Aplicável (Proibido uso direto na lavoura)</t>
        </is>
      </c>
      <c r="G4726" s="13" t="inlineStr">
        <is>
          <t>Insumo Industrial</t>
        </is>
      </c>
      <c r="H4726" s="13" t="inlineStr">
        <is>
          <t>N/A</t>
        </is>
      </c>
      <c r="I4726" s="13" t="inlineStr">
        <is>
          <t>N/A</t>
        </is>
      </c>
      <c r="J4726" s="13" t="inlineStr">
        <is>
          <t>N/A (Insumo Industrial)</t>
        </is>
      </c>
    </row>
    <row r="4727" ht="22" customHeight="1">
      <c r="A4727" s="6" t="inlineStr">
        <is>
          <t>CUL-4723</t>
        </is>
      </c>
      <c r="B4727" s="5" t="n">
        <v>998</v>
      </c>
      <c r="C4727" s="7" t="inlineStr">
        <is>
          <t>TC08525</t>
        </is>
      </c>
      <c r="D4727" s="8" t="inlineStr">
        <is>
          <t>ROUNDUP MEA PREMIX</t>
        </is>
      </c>
      <c r="E4727" s="7" t="inlineStr">
        <is>
          <t>Uso Exclusivamente Industrial (Formulação)</t>
        </is>
      </c>
      <c r="F4727" s="7" t="inlineStr">
        <is>
          <t>Não Aplicável (Proibido uso direto na lavoura)</t>
        </is>
      </c>
      <c r="G4727" s="7" t="inlineStr">
        <is>
          <t>Insumo Industrial</t>
        </is>
      </c>
      <c r="H4727" s="7" t="inlineStr">
        <is>
          <t>N/A</t>
        </is>
      </c>
      <c r="I4727" s="7" t="inlineStr">
        <is>
          <t>N/A</t>
        </is>
      </c>
      <c r="J4727" s="7" t="inlineStr">
        <is>
          <t>N/A (Insumo Industrial)</t>
        </is>
      </c>
    </row>
    <row r="4728" ht="22" customHeight="1">
      <c r="A4728" s="12" t="inlineStr">
        <is>
          <t>CUL-4724</t>
        </is>
      </c>
      <c r="B4728" s="11" t="n">
        <v>999</v>
      </c>
      <c r="C4728" s="13" t="inlineStr">
        <is>
          <t>TC00623</t>
        </is>
      </c>
      <c r="D4728" s="14" t="inlineStr">
        <is>
          <t>2,4-D TÉCNICO NORTOX V</t>
        </is>
      </c>
      <c r="E4728" s="13" t="inlineStr">
        <is>
          <t>Uso Exclusivamente Industrial (Formulação)</t>
        </is>
      </c>
      <c r="F4728" s="13" t="inlineStr">
        <is>
          <t>Não Aplicável (Proibido uso direto na lavoura)</t>
        </is>
      </c>
      <c r="G4728" s="13" t="inlineStr">
        <is>
          <t>Insumo Industrial</t>
        </is>
      </c>
      <c r="H4728" s="13" t="inlineStr">
        <is>
          <t>N/A</t>
        </is>
      </c>
      <c r="I4728" s="13" t="inlineStr">
        <is>
          <t>N/A</t>
        </is>
      </c>
      <c r="J4728" s="13" t="inlineStr">
        <is>
          <t>N/A (Insumo Industrial)</t>
        </is>
      </c>
    </row>
    <row r="4729" ht="22" customHeight="1">
      <c r="A4729" s="6" t="inlineStr">
        <is>
          <t>CUL-4725</t>
        </is>
      </c>
      <c r="B4729" s="5" t="n">
        <v>1000</v>
      </c>
      <c r="C4729" s="7" t="inlineStr">
        <is>
          <t>Nº 1414</t>
        </is>
      </c>
      <c r="D4729" s="8" t="inlineStr">
        <is>
          <t>2,4-D TÉCNICO RED SURCOS</t>
        </is>
      </c>
      <c r="E4729" s="7" t="inlineStr">
        <is>
          <t>Uso Exclusivamente Industrial (Formulação)</t>
        </is>
      </c>
      <c r="F4729" s="7" t="inlineStr">
        <is>
          <t>Não Aplicável (Proibido uso direto na lavoura)</t>
        </is>
      </c>
      <c r="G4729" s="7" t="inlineStr">
        <is>
          <t>Insumo Industrial</t>
        </is>
      </c>
      <c r="H4729" s="7" t="inlineStr">
        <is>
          <t>N/A</t>
        </is>
      </c>
      <c r="I4729" s="7" t="inlineStr">
        <is>
          <t>N/A</t>
        </is>
      </c>
      <c r="J4729" s="7" t="inlineStr">
        <is>
          <t>N/A (Insumo Industrial)</t>
        </is>
      </c>
    </row>
    <row r="4730" ht="22" customHeight="1">
      <c r="A4730" s="12" t="inlineStr">
        <is>
          <t>CUL-4726</t>
        </is>
      </c>
      <c r="B4730" s="11" t="n">
        <v>1001</v>
      </c>
      <c r="C4730" s="13" t="inlineStr">
        <is>
          <t>Nº 12415</t>
        </is>
      </c>
      <c r="D4730" s="14" t="inlineStr">
        <is>
          <t>GLIFOSATO TÉCNICO RED SURCOS II</t>
        </is>
      </c>
      <c r="E4730" s="13" t="inlineStr">
        <is>
          <t>Uso Exclusivamente Industrial (Formulação)</t>
        </is>
      </c>
      <c r="F4730" s="13" t="inlineStr">
        <is>
          <t>Não Aplicável (Proibido uso direto na lavoura)</t>
        </is>
      </c>
      <c r="G4730" s="13" t="inlineStr">
        <is>
          <t>Insumo Industrial</t>
        </is>
      </c>
      <c r="H4730" s="13" t="inlineStr">
        <is>
          <t>N/A</t>
        </is>
      </c>
      <c r="I4730" s="13" t="inlineStr">
        <is>
          <t>N/A</t>
        </is>
      </c>
      <c r="J4730" s="13" t="inlineStr">
        <is>
          <t>N/A (Insumo Industrial)</t>
        </is>
      </c>
    </row>
    <row r="4731" ht="22" customHeight="1">
      <c r="A4731" s="6" t="inlineStr">
        <is>
          <t>CUL-4727</t>
        </is>
      </c>
      <c r="B4731" s="5" t="n">
        <v>1002</v>
      </c>
      <c r="C4731" s="7" t="inlineStr">
        <is>
          <t>Nº 4901</t>
        </is>
      </c>
      <c r="D4731" s="8" t="inlineStr">
        <is>
          <t>2,4-D ÁCIDO TÉCNICO SUMITOMO</t>
        </is>
      </c>
      <c r="E4731" s="7" t="inlineStr">
        <is>
          <t>Uso Exclusivamente Industrial (Formulação)</t>
        </is>
      </c>
      <c r="F4731" s="7" t="inlineStr">
        <is>
          <t>Não Aplicável (Proibido uso direto na lavoura)</t>
        </is>
      </c>
      <c r="G4731" s="7" t="inlineStr">
        <is>
          <t>Insumo Industrial</t>
        </is>
      </c>
      <c r="H4731" s="7" t="inlineStr">
        <is>
          <t>N/A</t>
        </is>
      </c>
      <c r="I4731" s="7" t="inlineStr">
        <is>
          <t>N/A</t>
        </is>
      </c>
      <c r="J4731" s="7" t="inlineStr">
        <is>
          <t>N/A (Insumo Industrial)</t>
        </is>
      </c>
    </row>
    <row r="4732" ht="22" customHeight="1">
      <c r="A4732" s="12" t="inlineStr">
        <is>
          <t>CUL-4728</t>
        </is>
      </c>
      <c r="B4732" s="11" t="n">
        <v>1003</v>
      </c>
      <c r="C4732" s="13" t="inlineStr">
        <is>
          <t>TC07621</t>
        </is>
      </c>
      <c r="D4732" s="14" t="inlineStr">
        <is>
          <t>2,4-D TÉCNICO DT</t>
        </is>
      </c>
      <c r="E4732" s="13" t="inlineStr">
        <is>
          <t>Uso Exclusivamente Industrial (Formulação)</t>
        </is>
      </c>
      <c r="F4732" s="13" t="inlineStr">
        <is>
          <t>Não Aplicável (Proibido uso direto na lavoura)</t>
        </is>
      </c>
      <c r="G4732" s="13" t="inlineStr">
        <is>
          <t>Insumo Industrial</t>
        </is>
      </c>
      <c r="H4732" s="13" t="inlineStr">
        <is>
          <t>N/A</t>
        </is>
      </c>
      <c r="I4732" s="13" t="inlineStr">
        <is>
          <t>N/A</t>
        </is>
      </c>
      <c r="J4732" s="13" t="inlineStr">
        <is>
          <t>N/A (Insumo Industrial)</t>
        </is>
      </c>
    </row>
    <row r="4733" ht="22" customHeight="1">
      <c r="A4733" s="6" t="inlineStr">
        <is>
          <t>CUL-4729</t>
        </is>
      </c>
      <c r="B4733" s="5" t="n">
        <v>1004</v>
      </c>
      <c r="C4733" s="7" t="inlineStr">
        <is>
          <t>Nº 36721</t>
        </is>
      </c>
      <c r="D4733" s="8" t="inlineStr">
        <is>
          <t>MAIZEFORCE</t>
        </is>
      </c>
      <c r="E4733" s="7" t="inlineStr">
        <is>
          <t>Pulverização Agrícola Conforme Bula</t>
        </is>
      </c>
      <c r="F4733" s="7" t="inlineStr">
        <is>
          <t>Milho</t>
        </is>
      </c>
      <c r="G4733" s="7" t="inlineStr">
        <is>
          <t>Cultura Autorizada na Bula</t>
        </is>
      </c>
      <c r="H4733" s="7" t="inlineStr">
        <is>
          <t>100 a 300 L/ha</t>
        </is>
      </c>
      <c r="I4733" s="7" t="inlineStr">
        <is>
          <t>20 a 40 L/ha</t>
        </is>
      </c>
      <c r="J4733" s="7" t="inlineStr">
        <is>
          <t>63 dias</t>
        </is>
      </c>
    </row>
    <row r="4734" ht="22" customHeight="1">
      <c r="A4734" s="12" t="inlineStr">
        <is>
          <t>CUL-4730</t>
        </is>
      </c>
      <c r="B4734" s="11" t="n">
        <v>1004</v>
      </c>
      <c r="C4734" s="13" t="inlineStr">
        <is>
          <t>Nº 36721</t>
        </is>
      </c>
      <c r="D4734" s="14" t="inlineStr">
        <is>
          <t>MAIZEFORCE</t>
        </is>
      </c>
      <c r="E4734" s="13" t="inlineStr">
        <is>
          <t>Pulverização Agrícola Conforme Bula</t>
        </is>
      </c>
      <c r="F4734" s="13" t="inlineStr">
        <is>
          <t>Cana-de-açúcar</t>
        </is>
      </c>
      <c r="G4734" s="13" t="inlineStr">
        <is>
          <t>Cultura Autorizada na Bula</t>
        </is>
      </c>
      <c r="H4734" s="13" t="inlineStr">
        <is>
          <t>100 a 300 L/ha</t>
        </is>
      </c>
      <c r="I4734" s="13" t="inlineStr">
        <is>
          <t>20 a 40 L/ha</t>
        </is>
      </c>
      <c r="J4734" s="13" t="inlineStr">
        <is>
          <t>150 dias</t>
        </is>
      </c>
    </row>
    <row r="4735" ht="22" customHeight="1">
      <c r="A4735" s="6" t="inlineStr">
        <is>
          <t>CUL-4731</t>
        </is>
      </c>
      <c r="B4735" s="5" t="n">
        <v>1004</v>
      </c>
      <c r="C4735" s="7" t="inlineStr">
        <is>
          <t>Nº 36721</t>
        </is>
      </c>
      <c r="D4735" s="8" t="inlineStr">
        <is>
          <t>MAIZEFORCE</t>
        </is>
      </c>
      <c r="E4735" s="7" t="inlineStr">
        <is>
          <t>Pulverização Agrícola Conforme Bula</t>
        </is>
      </c>
      <c r="F4735" s="7" t="inlineStr">
        <is>
          <t>Milheto</t>
        </is>
      </c>
      <c r="G4735" s="7" t="inlineStr">
        <is>
          <t>Cultura Autorizada na Bula</t>
        </is>
      </c>
      <c r="H4735" s="7" t="inlineStr">
        <is>
          <t>100 a 300 L/ha</t>
        </is>
      </c>
      <c r="I4735" s="7" t="inlineStr">
        <is>
          <t>20 a 40 L/ha</t>
        </is>
      </c>
      <c r="J4735" s="7" t="inlineStr">
        <is>
          <t>60 dias</t>
        </is>
      </c>
    </row>
    <row r="4736" ht="22" customHeight="1">
      <c r="A4736" s="12" t="inlineStr">
        <is>
          <t>CUL-4732</t>
        </is>
      </c>
      <c r="B4736" s="11" t="n">
        <v>1004</v>
      </c>
      <c r="C4736" s="13" t="inlineStr">
        <is>
          <t>Nº 36721</t>
        </is>
      </c>
      <c r="D4736" s="14" t="inlineStr">
        <is>
          <t>MAIZEFORCE</t>
        </is>
      </c>
      <c r="E4736" s="13" t="inlineStr">
        <is>
          <t>Pulverização Agrícola Conforme Bula</t>
        </is>
      </c>
      <c r="F4736" s="13" t="inlineStr">
        <is>
          <t>Sorgo</t>
        </is>
      </c>
      <c r="G4736" s="13" t="inlineStr">
        <is>
          <t>Cultura Autorizada na Bula</t>
        </is>
      </c>
      <c r="H4736" s="13" t="inlineStr">
        <is>
          <t>100 a 300 L/ha</t>
        </is>
      </c>
      <c r="I4736" s="13" t="inlineStr">
        <is>
          <t>20 a 40 L/ha</t>
        </is>
      </c>
      <c r="J4736" s="13" t="inlineStr">
        <is>
          <t>60 dias</t>
        </is>
      </c>
    </row>
    <row r="4737" ht="22" customHeight="1">
      <c r="A4737" s="6" t="inlineStr">
        <is>
          <t>CUL-4733</t>
        </is>
      </c>
      <c r="B4737" s="5" t="n">
        <v>1005</v>
      </c>
      <c r="C4737" s="7" t="inlineStr">
        <is>
          <t>Nº 17416</t>
        </is>
      </c>
      <c r="D4737" s="8" t="inlineStr">
        <is>
          <t>MESOTRIONE TÉCNICO ROTAM</t>
        </is>
      </c>
      <c r="E4737" s="7" t="inlineStr">
        <is>
          <t>Uso Exclusivamente Industrial (Formulação)</t>
        </is>
      </c>
      <c r="F4737" s="7" t="inlineStr">
        <is>
          <t>Não Aplicável (Proibido uso direto na lavoura)</t>
        </is>
      </c>
      <c r="G4737" s="7" t="inlineStr">
        <is>
          <t>Insumo Industrial</t>
        </is>
      </c>
      <c r="H4737" s="7" t="inlineStr">
        <is>
          <t>N/A</t>
        </is>
      </c>
      <c r="I4737" s="7" t="inlineStr">
        <is>
          <t>N/A</t>
        </is>
      </c>
      <c r="J4737" s="7" t="inlineStr">
        <is>
          <t>N/A (Insumo Industrial)</t>
        </is>
      </c>
    </row>
    <row r="4738" ht="22" customHeight="1">
      <c r="A4738" s="12" t="inlineStr">
        <is>
          <t>CUL-4734</t>
        </is>
      </c>
      <c r="B4738" s="11" t="n">
        <v>1006</v>
      </c>
      <c r="C4738" s="13" t="inlineStr">
        <is>
          <t>TC07920</t>
        </is>
      </c>
      <c r="D4738" s="14" t="inlineStr">
        <is>
          <t>MESOTRIONE TÉCNICO ALBAUGH</t>
        </is>
      </c>
      <c r="E4738" s="13" t="inlineStr">
        <is>
          <t>Uso Exclusivamente Industrial (Formulação)</t>
        </is>
      </c>
      <c r="F4738" s="13" t="inlineStr">
        <is>
          <t>Não Aplicável (Proibido uso direto na lavoura)</t>
        </is>
      </c>
      <c r="G4738" s="13" t="inlineStr">
        <is>
          <t>Insumo Industrial</t>
        </is>
      </c>
      <c r="H4738" s="13" t="inlineStr">
        <is>
          <t>N/A</t>
        </is>
      </c>
      <c r="I4738" s="13" t="inlineStr">
        <is>
          <t>N/A</t>
        </is>
      </c>
      <c r="J4738" s="13" t="inlineStr">
        <is>
          <t>N/A (Insumo Industrial)</t>
        </is>
      </c>
    </row>
    <row r="4739" ht="22" customHeight="1">
      <c r="A4739" s="6" t="inlineStr">
        <is>
          <t>CUL-4735</t>
        </is>
      </c>
      <c r="B4739" s="5" t="n">
        <v>1007</v>
      </c>
      <c r="C4739" s="7" t="inlineStr">
        <is>
          <t>TC26122</t>
        </is>
      </c>
      <c r="D4739" s="8" t="inlineStr">
        <is>
          <t>MESOTRIONE TÉCNICO ALBAUGH AZ</t>
        </is>
      </c>
      <c r="E4739" s="7" t="inlineStr">
        <is>
          <t>Uso Exclusivamente Industrial (Formulação)</t>
        </is>
      </c>
      <c r="F4739" s="7" t="inlineStr">
        <is>
          <t>Não Aplicável (Proibido uso direto na lavoura)</t>
        </is>
      </c>
      <c r="G4739" s="7" t="inlineStr">
        <is>
          <t>Insumo Industrial</t>
        </is>
      </c>
      <c r="H4739" s="7" t="inlineStr">
        <is>
          <t>N/A</t>
        </is>
      </c>
      <c r="I4739" s="7" t="inlineStr">
        <is>
          <t>N/A</t>
        </is>
      </c>
      <c r="J4739" s="7" t="inlineStr">
        <is>
          <t>N/A (Insumo Industrial)</t>
        </is>
      </c>
    </row>
    <row r="4740" ht="22" customHeight="1">
      <c r="A4740" s="12" t="inlineStr">
        <is>
          <t>CUL-4736</t>
        </is>
      </c>
      <c r="B4740" s="11" t="n">
        <v>1008</v>
      </c>
      <c r="C4740" s="13" t="inlineStr">
        <is>
          <t>TC00921</t>
        </is>
      </c>
      <c r="D4740" s="14" t="inlineStr">
        <is>
          <t>MESOTRIONE TÉCNICO ALBAUGH BN</t>
        </is>
      </c>
      <c r="E4740" s="13" t="inlineStr">
        <is>
          <t>Uso Exclusivamente Industrial (Formulação)</t>
        </is>
      </c>
      <c r="F4740" s="13" t="inlineStr">
        <is>
          <t>Não Aplicável (Proibido uso direto na lavoura)</t>
        </is>
      </c>
      <c r="G4740" s="13" t="inlineStr">
        <is>
          <t>Insumo Industrial</t>
        </is>
      </c>
      <c r="H4740" s="13" t="inlineStr">
        <is>
          <t>N/A</t>
        </is>
      </c>
      <c r="I4740" s="13" t="inlineStr">
        <is>
          <t>N/A</t>
        </is>
      </c>
      <c r="J4740" s="13" t="inlineStr">
        <is>
          <t>N/A (Insumo Industrial)</t>
        </is>
      </c>
    </row>
    <row r="4741" ht="22" customHeight="1">
      <c r="A4741" s="6" t="inlineStr">
        <is>
          <t>CUL-4737</t>
        </is>
      </c>
      <c r="B4741" s="5" t="n">
        <v>1009</v>
      </c>
      <c r="C4741" s="7" t="inlineStr">
        <is>
          <t>Nº 44024</t>
        </is>
      </c>
      <c r="D4741" s="8" t="inlineStr">
        <is>
          <t>BIOFOLL DUO</t>
        </is>
      </c>
      <c r="E4741" s="7" t="inlineStr">
        <is>
          <t>Pulverização Agrícola Conforme Bula</t>
        </is>
      </c>
      <c r="F4741" s="7" t="inlineStr">
        <is>
          <t>Todas as Culturas (Alvo Biológico Autorizado MAPA)</t>
        </is>
      </c>
      <c r="G4741" s="7" t="inlineStr">
        <is>
          <t>Cultura Autorizada na Bula</t>
        </is>
      </c>
      <c r="H4741" s="7" t="inlineStr">
        <is>
          <t>100 a 300 L/ha</t>
        </is>
      </c>
      <c r="I4741" s="7" t="inlineStr">
        <is>
          <t>20 a 40 L/ha</t>
        </is>
      </c>
      <c r="J4741" s="7" t="inlineStr">
        <is>
          <t>0 (Isento de Carência)</t>
        </is>
      </c>
    </row>
    <row r="4742" ht="22" customHeight="1">
      <c r="A4742" s="12" t="inlineStr">
        <is>
          <t>CUL-4738</t>
        </is>
      </c>
      <c r="B4742" s="11" t="n">
        <v>1010</v>
      </c>
      <c r="C4742" s="13" t="inlineStr">
        <is>
          <t>Nº 44024</t>
        </is>
      </c>
      <c r="D4742" s="14" t="inlineStr">
        <is>
          <t>CROPBIO BIOKILLER</t>
        </is>
      </c>
      <c r="E4742" s="13" t="inlineStr">
        <is>
          <t>Pulverização Agrícola Conforme Bula</t>
        </is>
      </c>
      <c r="F4742" s="13" t="inlineStr">
        <is>
          <t>Todas as Culturas (Alvo Biológico Autorizado MAPA)</t>
        </is>
      </c>
      <c r="G4742" s="13" t="inlineStr">
        <is>
          <t>Cultura Autorizada na Bula</t>
        </is>
      </c>
      <c r="H4742" s="13" t="inlineStr">
        <is>
          <t>100 a 300 L/ha</t>
        </is>
      </c>
      <c r="I4742" s="13" t="inlineStr">
        <is>
          <t>20 a 40 L/ha</t>
        </is>
      </c>
      <c r="J4742" s="13" t="inlineStr">
        <is>
          <t>0 (Isento de Carência)</t>
        </is>
      </c>
    </row>
    <row r="4743" ht="22" customHeight="1">
      <c r="A4743" s="6" t="inlineStr">
        <is>
          <t>CUL-4739</t>
        </is>
      </c>
      <c r="B4743" s="5" t="n">
        <v>1011</v>
      </c>
      <c r="C4743" s="7" t="inlineStr">
        <is>
          <t>Nº 44024</t>
        </is>
      </c>
      <c r="D4743" s="8" t="inlineStr">
        <is>
          <t>BIOTOP DUO</t>
        </is>
      </c>
      <c r="E4743" s="7" t="inlineStr">
        <is>
          <t>Pulverização Agrícola Conforme Bula</t>
        </is>
      </c>
      <c r="F4743" s="7" t="inlineStr">
        <is>
          <t>Todas as Culturas (Alvo Biológico Autorizado MAPA)</t>
        </is>
      </c>
      <c r="G4743" s="7" t="inlineStr">
        <is>
          <t>Cultura Autorizada na Bula</t>
        </is>
      </c>
      <c r="H4743" s="7" t="inlineStr">
        <is>
          <t>100 a 300 L/ha</t>
        </is>
      </c>
      <c r="I4743" s="7" t="inlineStr">
        <is>
          <t>20 a 40 L/ha</t>
        </is>
      </c>
      <c r="J4743" s="7" t="inlineStr">
        <is>
          <t>0 (Isento de Carência)</t>
        </is>
      </c>
    </row>
    <row r="4744" ht="22" customHeight="1">
      <c r="A4744" s="12" t="inlineStr">
        <is>
          <t>CUL-4740</t>
        </is>
      </c>
      <c r="B4744" s="11" t="n">
        <v>1012</v>
      </c>
      <c r="C4744" s="13" t="inlineStr">
        <is>
          <t>Nº 44024</t>
        </is>
      </c>
      <c r="D4744" s="14" t="inlineStr">
        <is>
          <t>INSECTA BM</t>
        </is>
      </c>
      <c r="E4744" s="13" t="inlineStr">
        <is>
          <t>Pulverização Agrícola Conforme Bula</t>
        </is>
      </c>
      <c r="F4744" s="13" t="inlineStr">
        <is>
          <t>Todas as Culturas (Alvo Biológico Autorizado MAPA)</t>
        </is>
      </c>
      <c r="G4744" s="13" t="inlineStr">
        <is>
          <t>Cultura Autorizada na Bula</t>
        </is>
      </c>
      <c r="H4744" s="13" t="inlineStr">
        <is>
          <t>100 a 300 L/ha</t>
        </is>
      </c>
      <c r="I4744" s="13" t="inlineStr">
        <is>
          <t>20 a 40 L/ha</t>
        </is>
      </c>
      <c r="J4744" s="13" t="inlineStr">
        <is>
          <t>0 (Isento de Carência)</t>
        </is>
      </c>
    </row>
    <row r="4745" ht="22" customHeight="1">
      <c r="A4745" s="6" t="inlineStr">
        <is>
          <t>CUL-4741</t>
        </is>
      </c>
      <c r="B4745" s="5" t="n">
        <v>1013</v>
      </c>
      <c r="C4745" s="7" t="inlineStr">
        <is>
          <t>Nº 44024</t>
        </is>
      </c>
      <c r="D4745" s="8" t="inlineStr">
        <is>
          <t>BOWE</t>
        </is>
      </c>
      <c r="E4745" s="7" t="inlineStr">
        <is>
          <t>Pulverização Agrícola Conforme Bula</t>
        </is>
      </c>
      <c r="F4745" s="7" t="inlineStr">
        <is>
          <t>Todas as Culturas (Alvo Biológico Autorizado MAPA)</t>
        </is>
      </c>
      <c r="G4745" s="7" t="inlineStr">
        <is>
          <t>Cultura Autorizada na Bula</t>
        </is>
      </c>
      <c r="H4745" s="7" t="inlineStr">
        <is>
          <t>100 a 300 L/ha</t>
        </is>
      </c>
      <c r="I4745" s="7" t="inlineStr">
        <is>
          <t>20 a 40 L/ha</t>
        </is>
      </c>
      <c r="J4745" s="7" t="inlineStr">
        <is>
          <t>0 (Isento de Carência)</t>
        </is>
      </c>
    </row>
    <row r="4746" ht="22" customHeight="1">
      <c r="A4746" s="12" t="inlineStr">
        <is>
          <t>CUL-4742</t>
        </is>
      </c>
      <c r="B4746" s="11" t="n">
        <v>1014</v>
      </c>
      <c r="C4746" s="13" t="inlineStr">
        <is>
          <t>Nº 002094</t>
        </is>
      </c>
      <c r="D4746" s="14" t="inlineStr">
        <is>
          <t>ROUNDUP WG</t>
        </is>
      </c>
      <c r="E4746" s="13" t="inlineStr">
        <is>
          <t>Quadro 1 — Jato Dirigido</t>
        </is>
      </c>
      <c r="F4746" s="13" t="inlineStr">
        <is>
          <t>Ameixa</t>
        </is>
      </c>
      <c r="G4746" s="13" t="inlineStr">
        <is>
          <t>Convencional</t>
        </is>
      </c>
      <c r="H4746" s="13" t="inlineStr">
        <is>
          <t>Terrestre (100-200 L/ha)</t>
        </is>
      </c>
      <c r="I4746" s="13" t="inlineStr">
        <is>
          <t>Não Autorizada</t>
        </is>
      </c>
      <c r="J4746" s="13" t="inlineStr">
        <is>
          <t>17 dias</t>
        </is>
      </c>
    </row>
    <row r="4747" ht="22" customHeight="1">
      <c r="A4747" s="6" t="inlineStr">
        <is>
          <t>CUL-4743</t>
        </is>
      </c>
      <c r="B4747" s="5" t="n">
        <v>1014</v>
      </c>
      <c r="C4747" s="7" t="inlineStr">
        <is>
          <t>Nº 002094</t>
        </is>
      </c>
      <c r="D4747" s="8" t="inlineStr">
        <is>
          <t>ROUNDUP WG</t>
        </is>
      </c>
      <c r="E4747" s="7" t="inlineStr">
        <is>
          <t>Quadro 1 — Jato Dirigido</t>
        </is>
      </c>
      <c r="F4747" s="7" t="inlineStr">
        <is>
          <t>Banana</t>
        </is>
      </c>
      <c r="G4747" s="7" t="inlineStr">
        <is>
          <t>Convencional</t>
        </is>
      </c>
      <c r="H4747" s="7" t="inlineStr">
        <is>
          <t>Terrestre (100-200 L/ha)</t>
        </is>
      </c>
      <c r="I4747" s="7" t="inlineStr">
        <is>
          <t>Não Autorizada</t>
        </is>
      </c>
      <c r="J4747" s="7" t="inlineStr">
        <is>
          <t>30 dias</t>
        </is>
      </c>
    </row>
    <row r="4748" ht="22" customHeight="1">
      <c r="A4748" s="12" t="inlineStr">
        <is>
          <t>CUL-4744</t>
        </is>
      </c>
      <c r="B4748" s="11" t="n">
        <v>1014</v>
      </c>
      <c r="C4748" s="13" t="inlineStr">
        <is>
          <t>Nº 002094</t>
        </is>
      </c>
      <c r="D4748" s="14" t="inlineStr">
        <is>
          <t>ROUNDUP WG</t>
        </is>
      </c>
      <c r="E4748" s="13" t="inlineStr">
        <is>
          <t>Quadro 1 — Jato Dirigido</t>
        </is>
      </c>
      <c r="F4748" s="13" t="inlineStr">
        <is>
          <t>Cacau</t>
        </is>
      </c>
      <c r="G4748" s="13" t="inlineStr">
        <is>
          <t>Convencional</t>
        </is>
      </c>
      <c r="H4748" s="13" t="inlineStr">
        <is>
          <t>Terrestre (100-200 L/ha)</t>
        </is>
      </c>
      <c r="I4748" s="13" t="inlineStr">
        <is>
          <t>Não Autorizada</t>
        </is>
      </c>
      <c r="J4748" s="13" t="inlineStr">
        <is>
          <t>30 dias</t>
        </is>
      </c>
    </row>
    <row r="4749" ht="22" customHeight="1">
      <c r="A4749" s="6" t="inlineStr">
        <is>
          <t>CUL-4745</t>
        </is>
      </c>
      <c r="B4749" s="5" t="n">
        <v>1014</v>
      </c>
      <c r="C4749" s="7" t="inlineStr">
        <is>
          <t>Nº 002094</t>
        </is>
      </c>
      <c r="D4749" s="8" t="inlineStr">
        <is>
          <t>ROUNDUP WG</t>
        </is>
      </c>
      <c r="E4749" s="7" t="inlineStr">
        <is>
          <t>Quadro 1 — Jato Dirigido</t>
        </is>
      </c>
      <c r="F4749" s="7" t="inlineStr">
        <is>
          <t>Café</t>
        </is>
      </c>
      <c r="G4749" s="7" t="inlineStr">
        <is>
          <t>Convencional</t>
        </is>
      </c>
      <c r="H4749" s="7" t="inlineStr">
        <is>
          <t>Terrestre (100-200 L/ha)</t>
        </is>
      </c>
      <c r="I4749" s="7" t="inlineStr">
        <is>
          <t>Não Autorizada</t>
        </is>
      </c>
      <c r="J4749" s="7" t="inlineStr">
        <is>
          <t>15 dias</t>
        </is>
      </c>
    </row>
    <row r="4750" ht="22" customHeight="1">
      <c r="A4750" s="12" t="inlineStr">
        <is>
          <t>CUL-4746</t>
        </is>
      </c>
      <c r="B4750" s="11" t="n">
        <v>1014</v>
      </c>
      <c r="C4750" s="13" t="inlineStr">
        <is>
          <t>Nº 002094</t>
        </is>
      </c>
      <c r="D4750" s="14" t="inlineStr">
        <is>
          <t>ROUNDUP WG</t>
        </is>
      </c>
      <c r="E4750" s="13" t="inlineStr">
        <is>
          <t>Quadro 1 — Jato Dirigido</t>
        </is>
      </c>
      <c r="F4750" s="13" t="inlineStr">
        <is>
          <t>Citros</t>
        </is>
      </c>
      <c r="G4750" s="13" t="inlineStr">
        <is>
          <t>Convencional</t>
        </is>
      </c>
      <c r="H4750" s="13" t="inlineStr">
        <is>
          <t>Terrestre (100-200 L/ha)</t>
        </is>
      </c>
      <c r="I4750" s="13" t="inlineStr">
        <is>
          <t>Não Autorizada</t>
        </is>
      </c>
      <c r="J4750" s="13" t="inlineStr">
        <is>
          <t>30 dias</t>
        </is>
      </c>
    </row>
    <row r="4751" ht="22" customHeight="1">
      <c r="A4751" s="6" t="inlineStr">
        <is>
          <t>CUL-4747</t>
        </is>
      </c>
      <c r="B4751" s="5" t="n">
        <v>1014</v>
      </c>
      <c r="C4751" s="7" t="inlineStr">
        <is>
          <t>Nº 002094</t>
        </is>
      </c>
      <c r="D4751" s="8" t="inlineStr">
        <is>
          <t>ROUNDUP WG</t>
        </is>
      </c>
      <c r="E4751" s="7" t="inlineStr">
        <is>
          <t>Quadro 1 — Jato Dirigido</t>
        </is>
      </c>
      <c r="F4751" s="7" t="inlineStr">
        <is>
          <t>Maçã</t>
        </is>
      </c>
      <c r="G4751" s="7" t="inlineStr">
        <is>
          <t>Convencional</t>
        </is>
      </c>
      <c r="H4751" s="7" t="inlineStr">
        <is>
          <t>Terrestre (100-200 L/ha)</t>
        </is>
      </c>
      <c r="I4751" s="7" t="inlineStr">
        <is>
          <t>Não Autorizada</t>
        </is>
      </c>
      <c r="J4751" s="7" t="inlineStr">
        <is>
          <t>15 dias</t>
        </is>
      </c>
    </row>
    <row r="4752" ht="22" customHeight="1">
      <c r="A4752" s="12" t="inlineStr">
        <is>
          <t>CUL-4748</t>
        </is>
      </c>
      <c r="B4752" s="11" t="n">
        <v>1014</v>
      </c>
      <c r="C4752" s="13" t="inlineStr">
        <is>
          <t>Nº 002094</t>
        </is>
      </c>
      <c r="D4752" s="14" t="inlineStr">
        <is>
          <t>ROUNDUP WG</t>
        </is>
      </c>
      <c r="E4752" s="13" t="inlineStr">
        <is>
          <t>Quadro 1 — Jato Dirigido</t>
        </is>
      </c>
      <c r="F4752" s="13" t="inlineStr">
        <is>
          <t>Nectarina</t>
        </is>
      </c>
      <c r="G4752" s="13" t="inlineStr">
        <is>
          <t>Convencional</t>
        </is>
      </c>
      <c r="H4752" s="13" t="inlineStr">
        <is>
          <t>Terrestre (100-200 L/ha)</t>
        </is>
      </c>
      <c r="I4752" s="13" t="inlineStr">
        <is>
          <t>Não Autorizada</t>
        </is>
      </c>
      <c r="J4752" s="13" t="inlineStr">
        <is>
          <t>30 dias</t>
        </is>
      </c>
    </row>
    <row r="4753" ht="22" customHeight="1">
      <c r="A4753" s="6" t="inlineStr">
        <is>
          <t>CUL-4749</t>
        </is>
      </c>
      <c r="B4753" s="5" t="n">
        <v>1014</v>
      </c>
      <c r="C4753" s="7" t="inlineStr">
        <is>
          <t>Nº 002094</t>
        </is>
      </c>
      <c r="D4753" s="8" t="inlineStr">
        <is>
          <t>ROUNDUP WG</t>
        </is>
      </c>
      <c r="E4753" s="7" t="inlineStr">
        <is>
          <t>Quadro 1 — Jato Dirigido</t>
        </is>
      </c>
      <c r="F4753" s="7" t="inlineStr">
        <is>
          <t>Pera</t>
        </is>
      </c>
      <c r="G4753" s="7" t="inlineStr">
        <is>
          <t>Convencional</t>
        </is>
      </c>
      <c r="H4753" s="7" t="inlineStr">
        <is>
          <t>Terrestre (100-200 L/ha)</t>
        </is>
      </c>
      <c r="I4753" s="7" t="inlineStr">
        <is>
          <t>Não Autorizada</t>
        </is>
      </c>
      <c r="J4753" s="7" t="inlineStr">
        <is>
          <t>15 dias</t>
        </is>
      </c>
    </row>
    <row r="4754" ht="22" customHeight="1">
      <c r="A4754" s="12" t="inlineStr">
        <is>
          <t>CUL-4750</t>
        </is>
      </c>
      <c r="B4754" s="11" t="n">
        <v>1014</v>
      </c>
      <c r="C4754" s="13" t="inlineStr">
        <is>
          <t>Nº 002094</t>
        </is>
      </c>
      <c r="D4754" s="14" t="inlineStr">
        <is>
          <t>ROUNDUP WG</t>
        </is>
      </c>
      <c r="E4754" s="13" t="inlineStr">
        <is>
          <t>Quadro 1 — Jato Dirigido</t>
        </is>
      </c>
      <c r="F4754" s="13" t="inlineStr">
        <is>
          <t>Pêssego</t>
        </is>
      </c>
      <c r="G4754" s="13" t="inlineStr">
        <is>
          <t>Convencional</t>
        </is>
      </c>
      <c r="H4754" s="13" t="inlineStr">
        <is>
          <t>Terrestre (100-200 L/ha)</t>
        </is>
      </c>
      <c r="I4754" s="13" t="inlineStr">
        <is>
          <t>Não Autorizada</t>
        </is>
      </c>
      <c r="J4754" s="13" t="inlineStr">
        <is>
          <t>30 dias</t>
        </is>
      </c>
    </row>
    <row r="4755" ht="22" customHeight="1">
      <c r="A4755" s="6" t="inlineStr">
        <is>
          <t>CUL-4751</t>
        </is>
      </c>
      <c r="B4755" s="5" t="n">
        <v>1014</v>
      </c>
      <c r="C4755" s="7" t="inlineStr">
        <is>
          <t>Nº 002094</t>
        </is>
      </c>
      <c r="D4755" s="8" t="inlineStr">
        <is>
          <t>ROUNDUP WG</t>
        </is>
      </c>
      <c r="E4755" s="7" t="inlineStr">
        <is>
          <t>Quadro 1 — Jato Dirigido</t>
        </is>
      </c>
      <c r="F4755" s="7" t="inlineStr">
        <is>
          <t>Seringueira</t>
        </is>
      </c>
      <c r="G4755" s="7" t="inlineStr">
        <is>
          <t>Convencional</t>
        </is>
      </c>
      <c r="H4755" s="7" t="inlineStr">
        <is>
          <t>Terrestre (100-200 L/ha)</t>
        </is>
      </c>
      <c r="I4755" s="7" t="inlineStr">
        <is>
          <t>Não Autorizada</t>
        </is>
      </c>
      <c r="J4755" s="7" t="inlineStr">
        <is>
          <t>U.N.A. (Uso Não Alimentar)</t>
        </is>
      </c>
    </row>
    <row r="4756" ht="22" customHeight="1">
      <c r="A4756" s="12" t="inlineStr">
        <is>
          <t>CUL-4752</t>
        </is>
      </c>
      <c r="B4756" s="11" t="n">
        <v>1014</v>
      </c>
      <c r="C4756" s="13" t="inlineStr">
        <is>
          <t>Nº 002094</t>
        </is>
      </c>
      <c r="D4756" s="14" t="inlineStr">
        <is>
          <t>ROUNDUP WG</t>
        </is>
      </c>
      <c r="E4756" s="13" t="inlineStr">
        <is>
          <t>Quadro 1 — Jato Dirigido</t>
        </is>
      </c>
      <c r="F4756" s="13" t="inlineStr">
        <is>
          <t>Uva</t>
        </is>
      </c>
      <c r="G4756" s="13" t="inlineStr">
        <is>
          <t>Convencional</t>
        </is>
      </c>
      <c r="H4756" s="13" t="inlineStr">
        <is>
          <t>Terrestre (100-200 L/ha)</t>
        </is>
      </c>
      <c r="I4756" s="13" t="inlineStr">
        <is>
          <t>Não Autorizada</t>
        </is>
      </c>
      <c r="J4756" s="13" t="inlineStr">
        <is>
          <t>17 dias</t>
        </is>
      </c>
    </row>
    <row r="4757" ht="22" customHeight="1">
      <c r="A4757" s="6" t="inlineStr">
        <is>
          <t>CUL-4753</t>
        </is>
      </c>
      <c r="B4757" s="5" t="n">
        <v>1014</v>
      </c>
      <c r="C4757" s="7" t="inlineStr">
        <is>
          <t>Nº 002094</t>
        </is>
      </c>
      <c r="D4757" s="8" t="inlineStr">
        <is>
          <t>ROUNDUP WG</t>
        </is>
      </c>
      <c r="E4757" s="7" t="inlineStr">
        <is>
          <t>Quadro 2 — Pré-Plantio (Dessecação)</t>
        </is>
      </c>
      <c r="F4757" s="7" t="inlineStr">
        <is>
          <t>Algodão</t>
        </is>
      </c>
      <c r="G4757" s="7" t="inlineStr">
        <is>
          <t>Plantio Direto</t>
        </is>
      </c>
      <c r="H4757" s="7" t="inlineStr">
        <is>
          <t>100-200 L/ha</t>
        </is>
      </c>
      <c r="I4757" s="7" t="inlineStr">
        <is>
          <t>20-40 L/ha</t>
        </is>
      </c>
      <c r="J4757" s="7" t="inlineStr">
        <is>
          <t>N/D (Pré-Plantio)</t>
        </is>
      </c>
    </row>
    <row r="4758" ht="22" customHeight="1">
      <c r="A4758" s="12" t="inlineStr">
        <is>
          <t>CUL-4754</t>
        </is>
      </c>
      <c r="B4758" s="11" t="n">
        <v>1014</v>
      </c>
      <c r="C4758" s="13" t="inlineStr">
        <is>
          <t>Nº 002094</t>
        </is>
      </c>
      <c r="D4758" s="14" t="inlineStr">
        <is>
          <t>ROUNDUP WG</t>
        </is>
      </c>
      <c r="E4758" s="13" t="inlineStr">
        <is>
          <t>Quadro 2 — Pré-Plantio (Dessecação)</t>
        </is>
      </c>
      <c r="F4758" s="13" t="inlineStr">
        <is>
          <t>Arroz</t>
        </is>
      </c>
      <c r="G4758" s="13" t="inlineStr">
        <is>
          <t>Plantio Direto</t>
        </is>
      </c>
      <c r="H4758" s="13" t="inlineStr">
        <is>
          <t>100-200 L/ha</t>
        </is>
      </c>
      <c r="I4758" s="13" t="inlineStr">
        <is>
          <t>20-40 L/ha</t>
        </is>
      </c>
      <c r="J4758" s="13" t="inlineStr">
        <is>
          <t>N/D (Pré-Plantio)</t>
        </is>
      </c>
    </row>
    <row r="4759" ht="22" customHeight="1">
      <c r="A4759" s="6" t="inlineStr">
        <is>
          <t>CUL-4755</t>
        </is>
      </c>
      <c r="B4759" s="5" t="n">
        <v>1014</v>
      </c>
      <c r="C4759" s="7" t="inlineStr">
        <is>
          <t>Nº 002094</t>
        </is>
      </c>
      <c r="D4759" s="8" t="inlineStr">
        <is>
          <t>ROUNDUP WG</t>
        </is>
      </c>
      <c r="E4759" s="7" t="inlineStr">
        <is>
          <t>Quadro 2 — Pré-Plantio (Dessecação)</t>
        </is>
      </c>
      <c r="F4759" s="7" t="inlineStr">
        <is>
          <t>Cana-de-açúcar</t>
        </is>
      </c>
      <c r="G4759" s="7" t="inlineStr">
        <is>
          <t>Plantio Direto</t>
        </is>
      </c>
      <c r="H4759" s="7" t="inlineStr">
        <is>
          <t>100-200 L/ha</t>
        </is>
      </c>
      <c r="I4759" s="7" t="inlineStr">
        <is>
          <t>20-40 L/ha</t>
        </is>
      </c>
      <c r="J4759" s="7" t="inlineStr">
        <is>
          <t>N/D (Pré-Plantio)</t>
        </is>
      </c>
    </row>
    <row r="4760" ht="22" customHeight="1">
      <c r="A4760" s="12" t="inlineStr">
        <is>
          <t>CUL-4756</t>
        </is>
      </c>
      <c r="B4760" s="11" t="n">
        <v>1014</v>
      </c>
      <c r="C4760" s="13" t="inlineStr">
        <is>
          <t>Nº 002094</t>
        </is>
      </c>
      <c r="D4760" s="14" t="inlineStr">
        <is>
          <t>ROUNDUP WG</t>
        </is>
      </c>
      <c r="E4760" s="13" t="inlineStr">
        <is>
          <t>Quadro 2 — Pré-Plantio (Dessecação)</t>
        </is>
      </c>
      <c r="F4760" s="13" t="inlineStr">
        <is>
          <t>Milho</t>
        </is>
      </c>
      <c r="G4760" s="13" t="inlineStr">
        <is>
          <t>Plantio Direto</t>
        </is>
      </c>
      <c r="H4760" s="13" t="inlineStr">
        <is>
          <t>100-200 L/ha</t>
        </is>
      </c>
      <c r="I4760" s="13" t="inlineStr">
        <is>
          <t>20-40 L/ha</t>
        </is>
      </c>
      <c r="J4760" s="13" t="inlineStr">
        <is>
          <t>N/D (Pré-Plantio)</t>
        </is>
      </c>
    </row>
    <row r="4761" ht="22" customHeight="1">
      <c r="A4761" s="6" t="inlineStr">
        <is>
          <t>CUL-4757</t>
        </is>
      </c>
      <c r="B4761" s="5" t="n">
        <v>1014</v>
      </c>
      <c r="C4761" s="7" t="inlineStr">
        <is>
          <t>Nº 002094</t>
        </is>
      </c>
      <c r="D4761" s="8" t="inlineStr">
        <is>
          <t>ROUNDUP WG</t>
        </is>
      </c>
      <c r="E4761" s="7" t="inlineStr">
        <is>
          <t>Quadro 2 — Pré-Plantio (Dessecação)</t>
        </is>
      </c>
      <c r="F4761" s="7" t="inlineStr">
        <is>
          <t>Pastagens</t>
        </is>
      </c>
      <c r="G4761" s="7" t="inlineStr">
        <is>
          <t>Plantio Direto</t>
        </is>
      </c>
      <c r="H4761" s="7" t="inlineStr">
        <is>
          <t>100-200 L/ha</t>
        </is>
      </c>
      <c r="I4761" s="7" t="inlineStr">
        <is>
          <t>20-40 L/ha</t>
        </is>
      </c>
      <c r="J4761" s="7" t="inlineStr">
        <is>
          <t>N/D (Pré-Plantio)</t>
        </is>
      </c>
    </row>
    <row r="4762" ht="22" customHeight="1">
      <c r="A4762" s="12" t="inlineStr">
        <is>
          <t>CUL-4758</t>
        </is>
      </c>
      <c r="B4762" s="11" t="n">
        <v>1014</v>
      </c>
      <c r="C4762" s="13" t="inlineStr">
        <is>
          <t>Nº 002094</t>
        </is>
      </c>
      <c r="D4762" s="14" t="inlineStr">
        <is>
          <t>ROUNDUP WG</t>
        </is>
      </c>
      <c r="E4762" s="13" t="inlineStr">
        <is>
          <t>Quadro 2 — Pré-Plantio (Dessecação)</t>
        </is>
      </c>
      <c r="F4762" s="13" t="inlineStr">
        <is>
          <t>Soja</t>
        </is>
      </c>
      <c r="G4762" s="13" t="inlineStr">
        <is>
          <t>Plantio Direto</t>
        </is>
      </c>
      <c r="H4762" s="13" t="inlineStr">
        <is>
          <t>100-200 L/ha</t>
        </is>
      </c>
      <c r="I4762" s="13" t="inlineStr">
        <is>
          <t>20-40 L/ha</t>
        </is>
      </c>
      <c r="J4762" s="13" t="inlineStr">
        <is>
          <t>N/D (Pré-Plantio)</t>
        </is>
      </c>
    </row>
    <row r="4763" ht="22" customHeight="1">
      <c r="A4763" s="6" t="inlineStr">
        <is>
          <t>CUL-4759</t>
        </is>
      </c>
      <c r="B4763" s="5" t="n">
        <v>1014</v>
      </c>
      <c r="C4763" s="7" t="inlineStr">
        <is>
          <t>Nº 002094</t>
        </is>
      </c>
      <c r="D4763" s="8" t="inlineStr">
        <is>
          <t>ROUNDUP WG</t>
        </is>
      </c>
      <c r="E4763" s="7" t="inlineStr">
        <is>
          <t>Quadro 2 — Pré-Plantio (Dessecação)</t>
        </is>
      </c>
      <c r="F4763" s="7" t="inlineStr">
        <is>
          <t>Trigo</t>
        </is>
      </c>
      <c r="G4763" s="7" t="inlineStr">
        <is>
          <t>Plantio Direto</t>
        </is>
      </c>
      <c r="H4763" s="7" t="inlineStr">
        <is>
          <t>100-200 L/ha</t>
        </is>
      </c>
      <c r="I4763" s="7" t="inlineStr">
        <is>
          <t>20-40 L/ha</t>
        </is>
      </c>
      <c r="J4763" s="7" t="inlineStr">
        <is>
          <t>N/D (Pré-Plantio)</t>
        </is>
      </c>
    </row>
    <row r="4764" ht="22" customHeight="1">
      <c r="A4764" s="12" t="inlineStr">
        <is>
          <t>CUL-4760</t>
        </is>
      </c>
      <c r="B4764" s="11" t="n">
        <v>1014</v>
      </c>
      <c r="C4764" s="13" t="inlineStr">
        <is>
          <t>Nº 002094</t>
        </is>
      </c>
      <c r="D4764" s="14" t="inlineStr">
        <is>
          <t>ROUNDUP WG</t>
        </is>
      </c>
      <c r="E4764" s="13" t="inlineStr">
        <is>
          <t>Quadro 2 — Manejo Entressafra</t>
        </is>
      </c>
      <c r="F4764" s="13" t="inlineStr">
        <is>
          <t>Áreas de Pousio</t>
        </is>
      </c>
      <c r="G4764" s="13" t="inlineStr">
        <is>
          <t>Manejo Pousio</t>
        </is>
      </c>
      <c r="H4764" s="13" t="inlineStr">
        <is>
          <t>100-200 L/ha</t>
        </is>
      </c>
      <c r="I4764" s="13" t="inlineStr">
        <is>
          <t>20-40 L/ha</t>
        </is>
      </c>
      <c r="J4764" s="13" t="inlineStr">
        <is>
          <t>N/D (Pousio)</t>
        </is>
      </c>
    </row>
    <row r="4765" ht="22" customHeight="1">
      <c r="A4765" s="6" t="inlineStr">
        <is>
          <t>CUL-4761</t>
        </is>
      </c>
      <c r="B4765" s="5" t="n">
        <v>1014</v>
      </c>
      <c r="C4765" s="7" t="inlineStr">
        <is>
          <t>Nº 002094</t>
        </is>
      </c>
      <c r="D4765" s="8" t="inlineStr">
        <is>
          <t>ROUNDUP WG</t>
        </is>
      </c>
      <c r="E4765" s="7" t="inlineStr">
        <is>
          <t>Quadro 3 — Pós-Emergência OGM</t>
        </is>
      </c>
      <c r="F4765" s="7" t="inlineStr">
        <is>
          <t>Algodão Geneticamente Modificado</t>
        </is>
      </c>
      <c r="G4765" s="7" t="inlineStr">
        <is>
          <t>OGM Tolerante ao Glifosato</t>
        </is>
      </c>
      <c r="H4765" s="7" t="inlineStr">
        <is>
          <t>100-200 L/ha</t>
        </is>
      </c>
      <c r="I4765" s="7" t="inlineStr">
        <is>
          <t>20-40 L/ha</t>
        </is>
      </c>
      <c r="J4765" s="7" t="inlineStr">
        <is>
          <t>130 dias</t>
        </is>
      </c>
    </row>
    <row r="4766" ht="22" customHeight="1">
      <c r="A4766" s="12" t="inlineStr">
        <is>
          <t>CUL-4762</t>
        </is>
      </c>
      <c r="B4766" s="11" t="n">
        <v>1014</v>
      </c>
      <c r="C4766" s="13" t="inlineStr">
        <is>
          <t>Nº 002094</t>
        </is>
      </c>
      <c r="D4766" s="14" t="inlineStr">
        <is>
          <t>ROUNDUP WG</t>
        </is>
      </c>
      <c r="E4766" s="13" t="inlineStr">
        <is>
          <t>Quadro 4 — Pós-Emergência OGM</t>
        </is>
      </c>
      <c r="F4766" s="13" t="inlineStr">
        <is>
          <t>Milho Geneticamente Modificado</t>
        </is>
      </c>
      <c r="G4766" s="13" t="inlineStr">
        <is>
          <t>OGM Tolerante ao Glifosato</t>
        </is>
      </c>
      <c r="H4766" s="13" t="inlineStr">
        <is>
          <t>100-200 L/ha</t>
        </is>
      </c>
      <c r="I4766" s="13" t="inlineStr">
        <is>
          <t>20-40 L/ha</t>
        </is>
      </c>
      <c r="J4766" s="13" t="inlineStr">
        <is>
          <t>90 dias</t>
        </is>
      </c>
    </row>
    <row r="4767" ht="22" customHeight="1">
      <c r="A4767" s="6" t="inlineStr">
        <is>
          <t>CUL-4763</t>
        </is>
      </c>
      <c r="B4767" s="5" t="n">
        <v>1014</v>
      </c>
      <c r="C4767" s="7" t="inlineStr">
        <is>
          <t>Nº 002094</t>
        </is>
      </c>
      <c r="D4767" s="8" t="inlineStr">
        <is>
          <t>ROUNDUP WG</t>
        </is>
      </c>
      <c r="E4767" s="7" t="inlineStr">
        <is>
          <t>Quadro 5 — Pós-Emergência OGM</t>
        </is>
      </c>
      <c r="F4767" s="7" t="inlineStr">
        <is>
          <t>Soja Geneticamente Modificada</t>
        </is>
      </c>
      <c r="G4767" s="7" t="inlineStr">
        <is>
          <t>OGM Tolerante ao Glifosato</t>
        </is>
      </c>
      <c r="H4767" s="7" t="inlineStr">
        <is>
          <t>100-200 L/ha</t>
        </is>
      </c>
      <c r="I4767" s="7" t="inlineStr">
        <is>
          <t>20-40 L/ha</t>
        </is>
      </c>
      <c r="J4767" s="7" t="inlineStr">
        <is>
          <t>56 dias</t>
        </is>
      </c>
    </row>
    <row r="4768" ht="22" customHeight="1">
      <c r="A4768" s="12" t="inlineStr">
        <is>
          <t>CUL-4764</t>
        </is>
      </c>
      <c r="B4768" s="11" t="n">
        <v>1014</v>
      </c>
      <c r="C4768" s="13" t="inlineStr">
        <is>
          <t>Nº 002094</t>
        </is>
      </c>
      <c r="D4768" s="14" t="inlineStr">
        <is>
          <t>ROUNDUP WG</t>
        </is>
      </c>
      <c r="E4768" s="13" t="inlineStr">
        <is>
          <t>Quadro 6 — Erradicação de Soqueira</t>
        </is>
      </c>
      <c r="F4768" s="13" t="inlineStr">
        <is>
          <t>Cana-de-açúcar (Soqueira)</t>
        </is>
      </c>
      <c r="G4768" s="13" t="inlineStr">
        <is>
          <t>Erradicação</t>
        </is>
      </c>
      <c r="H4768" s="13" t="inlineStr">
        <is>
          <t>100-200 L/ha</t>
        </is>
      </c>
      <c r="I4768" s="13" t="inlineStr">
        <is>
          <t>20-40 L/ha</t>
        </is>
      </c>
      <c r="J4768" s="13" t="inlineStr">
        <is>
          <t>N/D (Erradicação)</t>
        </is>
      </c>
    </row>
    <row r="4769" ht="22" customHeight="1">
      <c r="A4769" s="6" t="inlineStr">
        <is>
          <t>CUL-4765</t>
        </is>
      </c>
      <c r="B4769" s="5" t="n">
        <v>1014</v>
      </c>
      <c r="C4769" s="7" t="inlineStr">
        <is>
          <t>Nº 002094</t>
        </is>
      </c>
      <c r="D4769" s="8" t="inlineStr">
        <is>
          <t>ROUNDUP WG</t>
        </is>
      </c>
      <c r="E4769" s="7" t="inlineStr">
        <is>
          <t>Quadro 7 — Controle de Pólen</t>
        </is>
      </c>
      <c r="F4769" s="7" t="inlineStr">
        <is>
          <t>Milho OGM (Produção de Sementes)</t>
        </is>
      </c>
      <c r="G4769" s="7" t="inlineStr">
        <is>
          <t>OGM Sementes</t>
        </is>
      </c>
      <c r="H4769" s="7" t="inlineStr">
        <is>
          <t>100-150 L/ha</t>
        </is>
      </c>
      <c r="I4769" s="7" t="inlineStr">
        <is>
          <t>20-40 L/ha</t>
        </is>
      </c>
      <c r="J4769" s="7" t="inlineStr">
        <is>
          <t>60 dias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9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50" customWidth="1" min="4" max="4"/>
    <col width="50" customWidth="1" min="5" max="5"/>
    <col width="50" customWidth="1" min="6" max="6"/>
    <col width="50" customWidth="1" min="7" max="7"/>
    <col width="26" customWidth="1" min="8" max="8"/>
    <col width="18" customWidth="1" min="9" max="9"/>
    <col width="18" customWidth="1" min="10" max="10"/>
    <col width="40" customWidth="1" min="11" max="11"/>
    <col width="22" customWidth="1" min="12" max="12"/>
    <col width="52" customWidth="1" min="13" max="13"/>
  </cols>
  <sheetData>
    <row r="1" ht="30" customHeight="1">
      <c r="A1" s="1" t="inlineStr">
        <is>
          <t>7. ALVOS BIOLÓGICOS (PLANTAS DANINHAS, PRAGAS, DOENÇAS E NUTRIÇÃO) E DOSES DE BULA EM LINHAS — [BASE OFICIAL SANEADA E CORRIGIDA CONFORME BULAS MAPA / ANVISA / SIPEAGRO]</t>
        </is>
      </c>
    </row>
    <row r="2" ht="20" customHeight="1">
      <c r="A2" s="2" t="inlineStr">
        <is>
          <t>Cada espécie-alvo ocupa 1 linha individual com Nome Comum, Nome Científico, Alerta de Resistência (*), Dose Mínima e Máxima de Produto Comercial e número de aplicações. | Total de Registros: 1911</t>
        </is>
      </c>
    </row>
    <row r="3" ht="8" customHeight="1"/>
    <row r="4" ht="26" customHeight="1">
      <c r="A4" s="3" t="inlineStr">
        <is>
          <t>ID Alvo</t>
        </is>
      </c>
      <c r="B4" s="3" t="inlineStr">
        <is>
          <t>ID Produto Ref.</t>
        </is>
      </c>
      <c r="C4" s="3" t="inlineStr">
        <is>
          <t>Nº Registro MAPA</t>
        </is>
      </c>
      <c r="D4" s="4" t="inlineStr">
        <is>
          <t>Marca Comercial</t>
        </is>
      </c>
      <c r="E4" s="4" t="inlineStr">
        <is>
          <t>Classe / Grupo Agronômico</t>
        </is>
      </c>
      <c r="F4" s="4" t="inlineStr">
        <is>
          <t>Alvo Biológico — Nome Comum (1 por Linha)</t>
        </is>
      </c>
      <c r="G4" s="4" t="inlineStr">
        <is>
          <t>Nome Científico Oficial (1 por Linha)</t>
        </is>
      </c>
      <c r="H4" s="4" t="inlineStr">
        <is>
          <t>Alerta Resistência (*)</t>
        </is>
      </c>
      <c r="I4" s="4" t="inlineStr">
        <is>
          <t>Dose Mínima PC</t>
        </is>
      </c>
      <c r="J4" s="4" t="inlineStr">
        <is>
          <t>Dose Máxima PC</t>
        </is>
      </c>
      <c r="K4" s="4" t="inlineStr">
        <is>
          <t>Unidade Dose</t>
        </is>
      </c>
      <c r="L4" s="4" t="inlineStr">
        <is>
          <t>Nº Máx. Aplicações</t>
        </is>
      </c>
      <c r="M4" s="4" t="inlineStr">
        <is>
          <t>Critério Técnico / Época de Aplicação e Mecanismo</t>
        </is>
      </c>
    </row>
    <row r="5" ht="22" customHeight="1">
      <c r="A5" s="6" t="inlineStr">
        <is>
          <t>ALV-0001</t>
        </is>
      </c>
      <c r="B5" s="5" t="n">
        <v>1</v>
      </c>
      <c r="C5" s="7" t="inlineStr">
        <is>
          <t>Nº 0315</t>
        </is>
      </c>
      <c r="D5" s="8" t="inlineStr">
        <is>
          <t>2-4 D AGCN</t>
        </is>
      </c>
      <c r="E5" s="7" t="inlineStr">
        <is>
          <t>Herbicida</t>
        </is>
      </c>
      <c r="F5" s="7" t="inlineStr">
        <is>
          <t>Buva</t>
        </is>
      </c>
      <c r="G5" s="7" t="inlineStr">
        <is>
          <t>Conyza bonariensis</t>
        </is>
      </c>
      <c r="H5" s="7" t="inlineStr">
        <is>
          <t>SIM (*)</t>
        </is>
      </c>
      <c r="I5" s="9" t="n">
        <v>1</v>
      </c>
      <c r="J5" s="17" t="n">
        <v>1.5</v>
      </c>
      <c r="K5" s="7" t="inlineStr">
        <is>
          <t>L/ha</t>
        </is>
      </c>
      <c r="L5" s="9" t="n">
        <v>1</v>
      </c>
      <c r="M5" s="7" t="inlineStr">
        <is>
          <t>Aplicar conforme monitoramento e estádio recomendado na bula (HRAC Grupo O (4) — Auxinas Sintéticas)</t>
        </is>
      </c>
    </row>
    <row r="6" ht="22" customHeight="1">
      <c r="A6" s="12" t="inlineStr">
        <is>
          <t>ALV-0002</t>
        </is>
      </c>
      <c r="B6" s="11" t="n">
        <v>1</v>
      </c>
      <c r="C6" s="13" t="inlineStr">
        <is>
          <t>Nº 0315</t>
        </is>
      </c>
      <c r="D6" s="14" t="inlineStr">
        <is>
          <t>2-4 D AGCN</t>
        </is>
      </c>
      <c r="E6" s="13" t="inlineStr">
        <is>
          <t>Herbicida</t>
        </is>
      </c>
      <c r="F6" s="13" t="inlineStr">
        <is>
          <t>Picão-preto</t>
        </is>
      </c>
      <c r="G6" s="13" t="inlineStr">
        <is>
          <t>Bidens pilosa</t>
        </is>
      </c>
      <c r="H6" s="13" t="inlineStr">
        <is>
          <t>NÃO</t>
        </is>
      </c>
      <c r="I6" s="15" t="n">
        <v>1</v>
      </c>
      <c r="J6" s="18" t="n">
        <v>1.5</v>
      </c>
      <c r="K6" s="13" t="inlineStr">
        <is>
          <t>L/ha</t>
        </is>
      </c>
      <c r="L6" s="15" t="n">
        <v>1</v>
      </c>
      <c r="M6" s="13" t="inlineStr">
        <is>
          <t>Aplicar conforme monitoramento e estádio recomendado na bula (HRAC Grupo O (4) — Auxinas Sintéticas)</t>
        </is>
      </c>
    </row>
    <row r="7" ht="22" customHeight="1">
      <c r="A7" s="6" t="inlineStr">
        <is>
          <t>ALV-0003</t>
        </is>
      </c>
      <c r="B7" s="5" t="n">
        <v>2</v>
      </c>
      <c r="C7" s="7" t="inlineStr">
        <is>
          <t>Nº 0315</t>
        </is>
      </c>
      <c r="D7" s="8" t="inlineStr">
        <is>
          <t>AGCN 2,4-D</t>
        </is>
      </c>
      <c r="E7" s="7" t="inlineStr">
        <is>
          <t>Herbicida</t>
        </is>
      </c>
      <c r="F7" s="7" t="inlineStr">
        <is>
          <t>Buva</t>
        </is>
      </c>
      <c r="G7" s="7" t="inlineStr">
        <is>
          <t>Conyza bonariensis</t>
        </is>
      </c>
      <c r="H7" s="7" t="inlineStr">
        <is>
          <t>SIM (*)</t>
        </is>
      </c>
      <c r="I7" s="9" t="n">
        <v>1</v>
      </c>
      <c r="J7" s="17" t="n">
        <v>1.5</v>
      </c>
      <c r="K7" s="7" t="inlineStr">
        <is>
          <t>L/ha</t>
        </is>
      </c>
      <c r="L7" s="9" t="n">
        <v>1</v>
      </c>
      <c r="M7" s="7" t="inlineStr">
        <is>
          <t>Aplicar conforme monitoramento e estádio recomendado na bula (HRAC Grupo O (4) — Auxinas Sintéticas)</t>
        </is>
      </c>
    </row>
    <row r="8" ht="22" customHeight="1">
      <c r="A8" s="12" t="inlineStr">
        <is>
          <t>ALV-0004</t>
        </is>
      </c>
      <c r="B8" s="11" t="n">
        <v>2</v>
      </c>
      <c r="C8" s="13" t="inlineStr">
        <is>
          <t>Nº 0315</t>
        </is>
      </c>
      <c r="D8" s="14" t="inlineStr">
        <is>
          <t>AGCN 2,4-D</t>
        </is>
      </c>
      <c r="E8" s="13" t="inlineStr">
        <is>
          <t>Herbicida</t>
        </is>
      </c>
      <c r="F8" s="13" t="inlineStr">
        <is>
          <t>Picão-preto</t>
        </is>
      </c>
      <c r="G8" s="13" t="inlineStr">
        <is>
          <t>Bidens pilosa</t>
        </is>
      </c>
      <c r="H8" s="13" t="inlineStr">
        <is>
          <t>NÃO</t>
        </is>
      </c>
      <c r="I8" s="15" t="n">
        <v>1</v>
      </c>
      <c r="J8" s="18" t="n">
        <v>1.5</v>
      </c>
      <c r="K8" s="13" t="inlineStr">
        <is>
          <t>L/ha</t>
        </is>
      </c>
      <c r="L8" s="15" t="n">
        <v>1</v>
      </c>
      <c r="M8" s="13" t="inlineStr">
        <is>
          <t>Aplicar conforme monitoramento e estádio recomendado na bula (HRAC Grupo O (4) — Auxinas Sintéticas)</t>
        </is>
      </c>
    </row>
    <row r="9" ht="22" customHeight="1">
      <c r="A9" s="6" t="inlineStr">
        <is>
          <t>ALV-0005</t>
        </is>
      </c>
      <c r="B9" s="5" t="n">
        <v>3</v>
      </c>
      <c r="C9" s="7" t="inlineStr">
        <is>
          <t>Nº 6908</t>
        </is>
      </c>
      <c r="D9" s="8" t="inlineStr">
        <is>
          <t>MIRANT</t>
        </is>
      </c>
      <c r="E9" s="7" t="inlineStr">
        <is>
          <t>Herbicida</t>
        </is>
      </c>
      <c r="F9" s="7" t="inlineStr">
        <is>
          <t>Buva</t>
        </is>
      </c>
      <c r="G9" s="7" t="inlineStr">
        <is>
          <t>Conyza bonariensis</t>
        </is>
      </c>
      <c r="H9" s="7" t="inlineStr">
        <is>
          <t>SIM (*)</t>
        </is>
      </c>
      <c r="I9" s="9" t="n">
        <v>1</v>
      </c>
      <c r="J9" s="17" t="n">
        <v>1.5</v>
      </c>
      <c r="K9" s="7" t="inlineStr">
        <is>
          <t>L/ha</t>
        </is>
      </c>
      <c r="L9" s="9" t="n">
        <v>1</v>
      </c>
      <c r="M9" s="7" t="inlineStr">
        <is>
          <t>Aplicar conforme monitoramento e estádio recomendado na bula (HRAC Grupo O (4) — Auxinas Sintéticas)</t>
        </is>
      </c>
    </row>
    <row r="10" ht="22" customHeight="1">
      <c r="A10" s="12" t="inlineStr">
        <is>
          <t>ALV-0006</t>
        </is>
      </c>
      <c r="B10" s="11" t="n">
        <v>3</v>
      </c>
      <c r="C10" s="13" t="inlineStr">
        <is>
          <t>Nº 6908</t>
        </is>
      </c>
      <c r="D10" s="14" t="inlineStr">
        <is>
          <t>MIRANT</t>
        </is>
      </c>
      <c r="E10" s="13" t="inlineStr">
        <is>
          <t>Herbicida</t>
        </is>
      </c>
      <c r="F10" s="13" t="inlineStr">
        <is>
          <t>Picão-preto</t>
        </is>
      </c>
      <c r="G10" s="13" t="inlineStr">
        <is>
          <t>Bidens pilosa</t>
        </is>
      </c>
      <c r="H10" s="13" t="inlineStr">
        <is>
          <t>NÃO</t>
        </is>
      </c>
      <c r="I10" s="15" t="n">
        <v>1</v>
      </c>
      <c r="J10" s="18" t="n">
        <v>1.5</v>
      </c>
      <c r="K10" s="13" t="inlineStr">
        <is>
          <t>L/ha</t>
        </is>
      </c>
      <c r="L10" s="15" t="n">
        <v>1</v>
      </c>
      <c r="M10" s="13" t="inlineStr">
        <is>
          <t>Aplicar conforme monitoramento e estádio recomendado na bula (HRAC Grupo O (4) — Auxinas Sintéticas)</t>
        </is>
      </c>
    </row>
    <row r="11" ht="22" customHeight="1">
      <c r="A11" s="6" t="inlineStr">
        <is>
          <t>ALV-0007</t>
        </is>
      </c>
      <c r="B11" s="5" t="n">
        <v>4</v>
      </c>
      <c r="C11" s="7" t="inlineStr">
        <is>
          <t>Nº 2704</t>
        </is>
      </c>
      <c r="D11" s="8" t="inlineStr">
        <is>
          <t>U 46 PRIME</t>
        </is>
      </c>
      <c r="E11" s="7" t="inlineStr">
        <is>
          <t>Herbicida</t>
        </is>
      </c>
      <c r="F11" s="7" t="inlineStr">
        <is>
          <t>Buva</t>
        </is>
      </c>
      <c r="G11" s="7" t="inlineStr">
        <is>
          <t>Conyza bonariensis</t>
        </is>
      </c>
      <c r="H11" s="7" t="inlineStr">
        <is>
          <t>SIM (*)</t>
        </is>
      </c>
      <c r="I11" s="9" t="n">
        <v>1</v>
      </c>
      <c r="J11" s="17" t="n">
        <v>1.5</v>
      </c>
      <c r="K11" s="7" t="inlineStr">
        <is>
          <t>L/ha</t>
        </is>
      </c>
      <c r="L11" s="9" t="n">
        <v>1</v>
      </c>
      <c r="M11" s="7" t="inlineStr">
        <is>
          <t>Aplicar conforme monitoramento e estádio recomendado na bula (HRAC Grupo O (4) — Auxinas Sintéticas)</t>
        </is>
      </c>
    </row>
    <row r="12" ht="22" customHeight="1">
      <c r="A12" s="12" t="inlineStr">
        <is>
          <t>ALV-0008</t>
        </is>
      </c>
      <c r="B12" s="11" t="n">
        <v>4</v>
      </c>
      <c r="C12" s="13" t="inlineStr">
        <is>
          <t>Nº 2704</t>
        </is>
      </c>
      <c r="D12" s="14" t="inlineStr">
        <is>
          <t>U 46 PRIME</t>
        </is>
      </c>
      <c r="E12" s="13" t="inlineStr">
        <is>
          <t>Herbicida</t>
        </is>
      </c>
      <c r="F12" s="13" t="inlineStr">
        <is>
          <t>Picão-preto</t>
        </is>
      </c>
      <c r="G12" s="13" t="inlineStr">
        <is>
          <t>Bidens pilosa</t>
        </is>
      </c>
      <c r="H12" s="13" t="inlineStr">
        <is>
          <t>NÃO</t>
        </is>
      </c>
      <c r="I12" s="15" t="n">
        <v>1</v>
      </c>
      <c r="J12" s="18" t="n">
        <v>1.5</v>
      </c>
      <c r="K12" s="13" t="inlineStr">
        <is>
          <t>L/ha</t>
        </is>
      </c>
      <c r="L12" s="15" t="n">
        <v>1</v>
      </c>
      <c r="M12" s="13" t="inlineStr">
        <is>
          <t>Aplicar conforme monitoramento e estádio recomendado na bula (HRAC Grupo O (4) — Auxinas Sintéticas)</t>
        </is>
      </c>
    </row>
    <row r="13" ht="22" customHeight="1">
      <c r="A13" s="6" t="inlineStr">
        <is>
          <t>ALV-0009</t>
        </is>
      </c>
      <c r="B13" s="5" t="n">
        <v>5</v>
      </c>
      <c r="C13" s="7" t="inlineStr">
        <is>
          <t>Nº 19917</t>
        </is>
      </c>
      <c r="D13" s="8" t="inlineStr">
        <is>
          <t>ABADIN 72 EC</t>
        </is>
      </c>
      <c r="E13" s="7" t="inlineStr">
        <is>
          <t>Inseticida e Acaricida</t>
        </is>
      </c>
      <c r="F13" s="7" t="inlineStr">
        <is>
          <t>Complexo de Lagartas, Percevejos e Sugadores</t>
        </is>
      </c>
      <c r="G13" s="7" t="inlineStr">
        <is>
          <t>Spodoptera / Euschistus / Bemisia</t>
        </is>
      </c>
      <c r="H13" s="7" t="inlineStr">
        <is>
          <t>NÃO</t>
        </is>
      </c>
      <c r="I13" s="17" t="n">
        <v>0.15</v>
      </c>
      <c r="J13" s="9" t="n">
        <v>1</v>
      </c>
      <c r="K13" s="7" t="inlineStr">
        <is>
          <t>L ou kg/ha</t>
        </is>
      </c>
      <c r="L13" s="9" t="n">
        <v>1</v>
      </c>
      <c r="M13" s="7" t="inlineStr">
        <is>
          <t>Aplicar conforme monitoramento e estádio recomendado na bula (Classificação IRAC Oficial conforme Bula)</t>
        </is>
      </c>
    </row>
    <row r="14" ht="22" customHeight="1">
      <c r="A14" s="12" t="inlineStr">
        <is>
          <t>ALV-0010</t>
        </is>
      </c>
      <c r="B14" s="11" t="n">
        <v>6</v>
      </c>
      <c r="C14" s="13" t="inlineStr">
        <is>
          <t>Nº 1378704</t>
        </is>
      </c>
      <c r="D14" s="14" t="inlineStr">
        <is>
          <t>ACEFATO 750</t>
        </is>
      </c>
      <c r="E14" s="13" t="inlineStr">
        <is>
          <t>Inseticida</t>
        </is>
      </c>
      <c r="F14" s="13" t="inlineStr">
        <is>
          <t>Percevejo-marrom</t>
        </is>
      </c>
      <c r="G14" s="13" t="inlineStr">
        <is>
          <t>Euschistus heros</t>
        </is>
      </c>
      <c r="H14" s="13" t="inlineStr">
        <is>
          <t>NÃO</t>
        </is>
      </c>
      <c r="I14" s="18" t="n">
        <v>0.8</v>
      </c>
      <c r="J14" s="18" t="n">
        <v>1.2</v>
      </c>
      <c r="K14" s="13" t="inlineStr">
        <is>
          <t>kg/ha</t>
        </is>
      </c>
      <c r="L14" s="15" t="n">
        <v>1</v>
      </c>
      <c r="M14" s="13" t="inlineStr">
        <is>
          <t>Aplicar conforme monitoramento e estádio recomendado na bula (IRAC Grupo 1B)</t>
        </is>
      </c>
    </row>
    <row r="15" ht="22" customHeight="1">
      <c r="A15" s="6" t="inlineStr">
        <is>
          <t>ALV-0011</t>
        </is>
      </c>
      <c r="B15" s="5" t="n">
        <v>6</v>
      </c>
      <c r="C15" s="7" t="inlineStr">
        <is>
          <t>Nº 1378704</t>
        </is>
      </c>
      <c r="D15" s="8" t="inlineStr">
        <is>
          <t>ACEFATO 750</t>
        </is>
      </c>
      <c r="E15" s="7" t="inlineStr">
        <is>
          <t>Inseticida</t>
        </is>
      </c>
      <c r="F15" s="7" t="inlineStr">
        <is>
          <t>Mosca-branca</t>
        </is>
      </c>
      <c r="G15" s="7" t="inlineStr">
        <is>
          <t>Bemisia tabaci raça B</t>
        </is>
      </c>
      <c r="H15" s="7" t="inlineStr">
        <is>
          <t>NÃO</t>
        </is>
      </c>
      <c r="I15" s="17" t="n">
        <v>0.8</v>
      </c>
      <c r="J15" s="9" t="n">
        <v>1</v>
      </c>
      <c r="K15" s="7" t="inlineStr">
        <is>
          <t>kg/ha</t>
        </is>
      </c>
      <c r="L15" s="9" t="n">
        <v>1</v>
      </c>
      <c r="M15" s="7" t="inlineStr">
        <is>
          <t>Aplicar conforme monitoramento e estádio recomendado na bula (IRAC Grupo 1B)</t>
        </is>
      </c>
    </row>
    <row r="16" ht="22" customHeight="1">
      <c r="A16" s="12" t="inlineStr">
        <is>
          <t>ALV-0012</t>
        </is>
      </c>
      <c r="B16" s="11" t="n">
        <v>6</v>
      </c>
      <c r="C16" s="13" t="inlineStr">
        <is>
          <t>Nº 1378704</t>
        </is>
      </c>
      <c r="D16" s="14" t="inlineStr">
        <is>
          <t>ACEFATO 750</t>
        </is>
      </c>
      <c r="E16" s="13" t="inlineStr">
        <is>
          <t>Inseticida</t>
        </is>
      </c>
      <c r="F16" s="13" t="inlineStr">
        <is>
          <t>Tripes</t>
        </is>
      </c>
      <c r="G16" s="13" t="inlineStr">
        <is>
          <t>Caliothrips phaseoli</t>
        </is>
      </c>
      <c r="H16" s="13" t="inlineStr">
        <is>
          <t>NÃO</t>
        </is>
      </c>
      <c r="I16" s="18" t="n">
        <v>0.5</v>
      </c>
      <c r="J16" s="18" t="n">
        <v>0.8</v>
      </c>
      <c r="K16" s="13" t="inlineStr">
        <is>
          <t>kg/ha</t>
        </is>
      </c>
      <c r="L16" s="15" t="n">
        <v>1</v>
      </c>
      <c r="M16" s="13" t="inlineStr">
        <is>
          <t>Aplicar conforme monitoramento e estádio recomendado na bula (IRAC Grupo 1B)</t>
        </is>
      </c>
    </row>
    <row r="17" ht="22" customHeight="1">
      <c r="A17" s="6" t="inlineStr">
        <is>
          <t>ALV-0013</t>
        </is>
      </c>
      <c r="B17" s="5" t="n">
        <v>7</v>
      </c>
      <c r="C17" s="7" t="inlineStr">
        <is>
          <t>Nº 458294</t>
        </is>
      </c>
      <c r="D17" s="8" t="inlineStr">
        <is>
          <t>ACEFATO FERSOL 750</t>
        </is>
      </c>
      <c r="E17" s="7" t="inlineStr">
        <is>
          <t>Inseticida</t>
        </is>
      </c>
      <c r="F17" s="7" t="inlineStr">
        <is>
          <t>Percevejo-marrom</t>
        </is>
      </c>
      <c r="G17" s="7" t="inlineStr">
        <is>
          <t>Euschistus heros</t>
        </is>
      </c>
      <c r="H17" s="7" t="inlineStr">
        <is>
          <t>NÃO</t>
        </is>
      </c>
      <c r="I17" s="17" t="n">
        <v>0.8</v>
      </c>
      <c r="J17" s="17" t="n">
        <v>1.2</v>
      </c>
      <c r="K17" s="7" t="inlineStr">
        <is>
          <t>kg/ha</t>
        </is>
      </c>
      <c r="L17" s="9" t="n">
        <v>1</v>
      </c>
      <c r="M17" s="7" t="inlineStr">
        <is>
          <t>Aplicar conforme monitoramento e estádio recomendado na bula (IRAC Grupo 1B)</t>
        </is>
      </c>
    </row>
    <row r="18" ht="22" customHeight="1">
      <c r="A18" s="12" t="inlineStr">
        <is>
          <t>ALV-0014</t>
        </is>
      </c>
      <c r="B18" s="11" t="n">
        <v>7</v>
      </c>
      <c r="C18" s="13" t="inlineStr">
        <is>
          <t>Nº 458294</t>
        </is>
      </c>
      <c r="D18" s="14" t="inlineStr">
        <is>
          <t>ACEFATO FERSOL 750</t>
        </is>
      </c>
      <c r="E18" s="13" t="inlineStr">
        <is>
          <t>Inseticida</t>
        </is>
      </c>
      <c r="F18" s="13" t="inlineStr">
        <is>
          <t>Mosca-branca</t>
        </is>
      </c>
      <c r="G18" s="13" t="inlineStr">
        <is>
          <t>Bemisia tabaci raça B</t>
        </is>
      </c>
      <c r="H18" s="13" t="inlineStr">
        <is>
          <t>NÃO</t>
        </is>
      </c>
      <c r="I18" s="18" t="n">
        <v>0.8</v>
      </c>
      <c r="J18" s="15" t="n">
        <v>1</v>
      </c>
      <c r="K18" s="13" t="inlineStr">
        <is>
          <t>kg/ha</t>
        </is>
      </c>
      <c r="L18" s="15" t="n">
        <v>1</v>
      </c>
      <c r="M18" s="13" t="inlineStr">
        <is>
          <t>Aplicar conforme monitoramento e estádio recomendado na bula (IRAC Grupo 1B)</t>
        </is>
      </c>
    </row>
    <row r="19" ht="22" customHeight="1">
      <c r="A19" s="6" t="inlineStr">
        <is>
          <t>ALV-0015</t>
        </is>
      </c>
      <c r="B19" s="5" t="n">
        <v>7</v>
      </c>
      <c r="C19" s="7" t="inlineStr">
        <is>
          <t>Nº 458294</t>
        </is>
      </c>
      <c r="D19" s="8" t="inlineStr">
        <is>
          <t>ACEFATO FERSOL 750</t>
        </is>
      </c>
      <c r="E19" s="7" t="inlineStr">
        <is>
          <t>Inseticida</t>
        </is>
      </c>
      <c r="F19" s="7" t="inlineStr">
        <is>
          <t>Tripes</t>
        </is>
      </c>
      <c r="G19" s="7" t="inlineStr">
        <is>
          <t>Caliothrips phaseoli</t>
        </is>
      </c>
      <c r="H19" s="7" t="inlineStr">
        <is>
          <t>NÃO</t>
        </is>
      </c>
      <c r="I19" s="17" t="n">
        <v>0.5</v>
      </c>
      <c r="J19" s="17" t="n">
        <v>0.8</v>
      </c>
      <c r="K19" s="7" t="inlineStr">
        <is>
          <t>kg/ha</t>
        </is>
      </c>
      <c r="L19" s="9" t="n">
        <v>1</v>
      </c>
      <c r="M19" s="7" t="inlineStr">
        <is>
          <t>Aplicar conforme monitoramento e estádio recomendado na bula (IRAC Grupo 1B)</t>
        </is>
      </c>
    </row>
    <row r="20" ht="22" customHeight="1">
      <c r="A20" s="12" t="inlineStr">
        <is>
          <t>ALV-0016</t>
        </is>
      </c>
      <c r="B20" s="11" t="n">
        <v>8</v>
      </c>
      <c r="C20" s="13" t="inlineStr">
        <is>
          <t>Nº 20817</t>
        </is>
      </c>
      <c r="D20" s="14" t="inlineStr">
        <is>
          <t>TRISHUL 750 SP</t>
        </is>
      </c>
      <c r="E20" s="13" t="inlineStr">
        <is>
          <t>Inseticida</t>
        </is>
      </c>
      <c r="F20" s="13" t="inlineStr">
        <is>
          <t>Percevejo-marrom</t>
        </is>
      </c>
      <c r="G20" s="13" t="inlineStr">
        <is>
          <t>Euschistus heros</t>
        </is>
      </c>
      <c r="H20" s="13" t="inlineStr">
        <is>
          <t>NÃO</t>
        </is>
      </c>
      <c r="I20" s="18" t="n">
        <v>0.8</v>
      </c>
      <c r="J20" s="18" t="n">
        <v>1.2</v>
      </c>
      <c r="K20" s="13" t="inlineStr">
        <is>
          <t>kg/ha</t>
        </is>
      </c>
      <c r="L20" s="15" t="n">
        <v>1</v>
      </c>
      <c r="M20" s="13" t="inlineStr">
        <is>
          <t>Aplicar conforme monitoramento e estádio recomendado na bula (IRAC Grupo 1B)</t>
        </is>
      </c>
    </row>
    <row r="21" ht="22" customHeight="1">
      <c r="A21" s="6" t="inlineStr">
        <is>
          <t>ALV-0017</t>
        </is>
      </c>
      <c r="B21" s="5" t="n">
        <v>8</v>
      </c>
      <c r="C21" s="7" t="inlineStr">
        <is>
          <t>Nº 20817</t>
        </is>
      </c>
      <c r="D21" s="8" t="inlineStr">
        <is>
          <t>TRISHUL 750 SP</t>
        </is>
      </c>
      <c r="E21" s="7" t="inlineStr">
        <is>
          <t>Inseticida</t>
        </is>
      </c>
      <c r="F21" s="7" t="inlineStr">
        <is>
          <t>Mosca-branca</t>
        </is>
      </c>
      <c r="G21" s="7" t="inlineStr">
        <is>
          <t>Bemisia tabaci raça B</t>
        </is>
      </c>
      <c r="H21" s="7" t="inlineStr">
        <is>
          <t>NÃO</t>
        </is>
      </c>
      <c r="I21" s="17" t="n">
        <v>0.8</v>
      </c>
      <c r="J21" s="9" t="n">
        <v>1</v>
      </c>
      <c r="K21" s="7" t="inlineStr">
        <is>
          <t>kg/ha</t>
        </is>
      </c>
      <c r="L21" s="9" t="n">
        <v>1</v>
      </c>
      <c r="M21" s="7" t="inlineStr">
        <is>
          <t>Aplicar conforme monitoramento e estádio recomendado na bula (IRAC Grupo 1B)</t>
        </is>
      </c>
    </row>
    <row r="22" ht="22" customHeight="1">
      <c r="A22" s="12" t="inlineStr">
        <is>
          <t>ALV-0018</t>
        </is>
      </c>
      <c r="B22" s="11" t="n">
        <v>8</v>
      </c>
      <c r="C22" s="13" t="inlineStr">
        <is>
          <t>Nº 20817</t>
        </is>
      </c>
      <c r="D22" s="14" t="inlineStr">
        <is>
          <t>TRISHUL 750 SP</t>
        </is>
      </c>
      <c r="E22" s="13" t="inlineStr">
        <is>
          <t>Inseticida</t>
        </is>
      </c>
      <c r="F22" s="13" t="inlineStr">
        <is>
          <t>Tripes</t>
        </is>
      </c>
      <c r="G22" s="13" t="inlineStr">
        <is>
          <t>Caliothrips phaseoli</t>
        </is>
      </c>
      <c r="H22" s="13" t="inlineStr">
        <is>
          <t>NÃO</t>
        </is>
      </c>
      <c r="I22" s="18" t="n">
        <v>0.5</v>
      </c>
      <c r="J22" s="18" t="n">
        <v>0.8</v>
      </c>
      <c r="K22" s="13" t="inlineStr">
        <is>
          <t>kg/ha</t>
        </is>
      </c>
      <c r="L22" s="15" t="n">
        <v>1</v>
      </c>
      <c r="M22" s="13" t="inlineStr">
        <is>
          <t>Aplicar conforme monitoramento e estádio recomendado na bula (IRAC Grupo 1B)</t>
        </is>
      </c>
    </row>
    <row r="23" ht="22" customHeight="1">
      <c r="A23" s="6" t="inlineStr">
        <is>
          <t>ALV-0019</t>
        </is>
      </c>
      <c r="B23" s="5" t="n">
        <v>9</v>
      </c>
      <c r="C23" s="7" t="inlineStr">
        <is>
          <t>Nº 1378704</t>
        </is>
      </c>
      <c r="D23" s="8" t="inlineStr">
        <is>
          <t>CEFANOL</t>
        </is>
      </c>
      <c r="E23" s="7" t="inlineStr">
        <is>
          <t>Inseticida</t>
        </is>
      </c>
      <c r="F23" s="7" t="inlineStr">
        <is>
          <t>Percevejo-marrom</t>
        </is>
      </c>
      <c r="G23" s="7" t="inlineStr">
        <is>
          <t>Euschistus heros</t>
        </is>
      </c>
      <c r="H23" s="7" t="inlineStr">
        <is>
          <t>NÃO</t>
        </is>
      </c>
      <c r="I23" s="17" t="n">
        <v>0.8</v>
      </c>
      <c r="J23" s="17" t="n">
        <v>1.2</v>
      </c>
      <c r="K23" s="7" t="inlineStr">
        <is>
          <t>kg/ha</t>
        </is>
      </c>
      <c r="L23" s="9" t="n">
        <v>1</v>
      </c>
      <c r="M23" s="7" t="inlineStr">
        <is>
          <t>Aplicar conforme monitoramento e estádio recomendado na bula (IRAC Grupo 1B)</t>
        </is>
      </c>
    </row>
    <row r="24" ht="22" customHeight="1">
      <c r="A24" s="12" t="inlineStr">
        <is>
          <t>ALV-0020</t>
        </is>
      </c>
      <c r="B24" s="11" t="n">
        <v>9</v>
      </c>
      <c r="C24" s="13" t="inlineStr">
        <is>
          <t>Nº 1378704</t>
        </is>
      </c>
      <c r="D24" s="14" t="inlineStr">
        <is>
          <t>CEFANOL</t>
        </is>
      </c>
      <c r="E24" s="13" t="inlineStr">
        <is>
          <t>Inseticida</t>
        </is>
      </c>
      <c r="F24" s="13" t="inlineStr">
        <is>
          <t>Mosca-branca</t>
        </is>
      </c>
      <c r="G24" s="13" t="inlineStr">
        <is>
          <t>Bemisia tabaci raça B</t>
        </is>
      </c>
      <c r="H24" s="13" t="inlineStr">
        <is>
          <t>NÃO</t>
        </is>
      </c>
      <c r="I24" s="18" t="n">
        <v>0.8</v>
      </c>
      <c r="J24" s="15" t="n">
        <v>1</v>
      </c>
      <c r="K24" s="13" t="inlineStr">
        <is>
          <t>kg/ha</t>
        </is>
      </c>
      <c r="L24" s="15" t="n">
        <v>1</v>
      </c>
      <c r="M24" s="13" t="inlineStr">
        <is>
          <t>Aplicar conforme monitoramento e estádio recomendado na bula (IRAC Grupo 1B)</t>
        </is>
      </c>
    </row>
    <row r="25" ht="22" customHeight="1">
      <c r="A25" s="6" t="inlineStr">
        <is>
          <t>ALV-0021</t>
        </is>
      </c>
      <c r="B25" s="5" t="n">
        <v>9</v>
      </c>
      <c r="C25" s="7" t="inlineStr">
        <is>
          <t>Nº 1378704</t>
        </is>
      </c>
      <c r="D25" s="8" t="inlineStr">
        <is>
          <t>CEFANOL</t>
        </is>
      </c>
      <c r="E25" s="7" t="inlineStr">
        <is>
          <t>Inseticida</t>
        </is>
      </c>
      <c r="F25" s="7" t="inlineStr">
        <is>
          <t>Tripes</t>
        </is>
      </c>
      <c r="G25" s="7" t="inlineStr">
        <is>
          <t>Caliothrips phaseoli</t>
        </is>
      </c>
      <c r="H25" s="7" t="inlineStr">
        <is>
          <t>NÃO</t>
        </is>
      </c>
      <c r="I25" s="17" t="n">
        <v>0.5</v>
      </c>
      <c r="J25" s="17" t="n">
        <v>0.8</v>
      </c>
      <c r="K25" s="7" t="inlineStr">
        <is>
          <t>kg/ha</t>
        </is>
      </c>
      <c r="L25" s="9" t="n">
        <v>1</v>
      </c>
      <c r="M25" s="7" t="inlineStr">
        <is>
          <t>Aplicar conforme monitoramento e estádio recomendado na bula (IRAC Grupo 1B)</t>
        </is>
      </c>
    </row>
    <row r="26" ht="22" customHeight="1">
      <c r="A26" s="12" t="inlineStr">
        <is>
          <t>ALV-0022</t>
        </is>
      </c>
      <c r="B26" s="11" t="n">
        <v>10</v>
      </c>
      <c r="C26" s="13" t="inlineStr">
        <is>
          <t>Nº 23121</t>
        </is>
      </c>
      <c r="D26" s="14" t="inlineStr">
        <is>
          <t>ASLAN SL</t>
        </is>
      </c>
      <c r="E26" s="13" t="inlineStr">
        <is>
          <t>Inseticida</t>
        </is>
      </c>
      <c r="F26" s="13" t="inlineStr">
        <is>
          <t>Bicudo-do-algodoeiro</t>
        </is>
      </c>
      <c r="G26" s="13" t="inlineStr">
        <is>
          <t>Anthonomus grandis</t>
        </is>
      </c>
      <c r="H26" s="13" t="inlineStr">
        <is>
          <t>NÃO</t>
        </is>
      </c>
      <c r="I26" s="18" t="n">
        <v>0.15</v>
      </c>
      <c r="J26" s="18" t="n">
        <v>0.25</v>
      </c>
      <c r="K26" s="13" t="inlineStr">
        <is>
          <t>L/ha</t>
        </is>
      </c>
      <c r="L26" s="15" t="n">
        <v>1</v>
      </c>
      <c r="M26" s="13" t="inlineStr">
        <is>
          <t>Aplicar conforme monitoramento e estádio recomendado na bula (IRAC Grupo 3A)</t>
        </is>
      </c>
    </row>
    <row r="27" ht="22" customHeight="1">
      <c r="A27" s="6" t="inlineStr">
        <is>
          <t>ALV-0023</t>
        </is>
      </c>
      <c r="B27" s="5" t="n">
        <v>10</v>
      </c>
      <c r="C27" s="7" t="inlineStr">
        <is>
          <t>Nº 23121</t>
        </is>
      </c>
      <c r="D27" s="8" t="inlineStr">
        <is>
          <t>ASLAN SL</t>
        </is>
      </c>
      <c r="E27" s="7" t="inlineStr">
        <is>
          <t>Inseticida</t>
        </is>
      </c>
      <c r="F27" s="7" t="inlineStr">
        <is>
          <t>Mosca-branca</t>
        </is>
      </c>
      <c r="G27" s="7" t="inlineStr">
        <is>
          <t>Bemisia tabaci raça B</t>
        </is>
      </c>
      <c r="H27" s="7" t="inlineStr">
        <is>
          <t>SIM (*)</t>
        </is>
      </c>
      <c r="I27" s="17" t="n">
        <v>0.125</v>
      </c>
      <c r="J27" s="17" t="n">
        <v>0.25</v>
      </c>
      <c r="K27" s="7" t="inlineStr">
        <is>
          <t>L/ha</t>
        </is>
      </c>
      <c r="L27" s="9" t="n">
        <v>1</v>
      </c>
      <c r="M27" s="7" t="inlineStr">
        <is>
          <t>Aplicar conforme monitoramento e estádio recomendado na bula (IRAC Grupo 3A)</t>
        </is>
      </c>
    </row>
    <row r="28" ht="22" customHeight="1">
      <c r="A28" s="12" t="inlineStr">
        <is>
          <t>ALV-0024</t>
        </is>
      </c>
      <c r="B28" s="11" t="n">
        <v>10</v>
      </c>
      <c r="C28" s="13" t="inlineStr">
        <is>
          <t>Nº 23121</t>
        </is>
      </c>
      <c r="D28" s="14" t="inlineStr">
        <is>
          <t>ASLAN SL</t>
        </is>
      </c>
      <c r="E28" s="13" t="inlineStr">
        <is>
          <t>Inseticida</t>
        </is>
      </c>
      <c r="F28" s="13" t="inlineStr">
        <is>
          <t>Ácaro-rajado</t>
        </is>
      </c>
      <c r="G28" s="13" t="inlineStr">
        <is>
          <t>Tetranychus urticae</t>
        </is>
      </c>
      <c r="H28" s="13" t="inlineStr">
        <is>
          <t>SIM (*)</t>
        </is>
      </c>
      <c r="I28" s="18" t="n">
        <v>0.15</v>
      </c>
      <c r="J28" s="18" t="n">
        <v>0.2</v>
      </c>
      <c r="K28" s="13" t="inlineStr">
        <is>
          <t>L/ha</t>
        </is>
      </c>
      <c r="L28" s="15" t="n">
        <v>1</v>
      </c>
      <c r="M28" s="13" t="inlineStr">
        <is>
          <t>Aplicar conforme monitoramento e estádio recomendado na bula (IRAC Grupo 3A)</t>
        </is>
      </c>
    </row>
    <row r="29" ht="22" customHeight="1">
      <c r="A29" s="6" t="inlineStr">
        <is>
          <t>ALV-0025</t>
        </is>
      </c>
      <c r="B29" s="5" t="n">
        <v>11</v>
      </c>
      <c r="C29" s="7" t="inlineStr">
        <is>
          <t>Nº 26718</t>
        </is>
      </c>
      <c r="D29" s="8" t="inlineStr">
        <is>
          <t>DINKY</t>
        </is>
      </c>
      <c r="E29" s="7" t="inlineStr">
        <is>
          <t>Inseticida</t>
        </is>
      </c>
      <c r="F29" s="7" t="inlineStr">
        <is>
          <t>Mosca-branca</t>
        </is>
      </c>
      <c r="G29" s="7" t="inlineStr">
        <is>
          <t>Bemisia tabaci raça B</t>
        </is>
      </c>
      <c r="H29" s="7" t="inlineStr">
        <is>
          <t>SIM (*)</t>
        </is>
      </c>
      <c r="I29" s="17" t="n">
        <v>0.2</v>
      </c>
      <c r="J29" s="17" t="n">
        <v>0.3</v>
      </c>
      <c r="K29" s="7" t="inlineStr">
        <is>
          <t>kg/ha</t>
        </is>
      </c>
      <c r="L29" s="9" t="n">
        <v>1</v>
      </c>
      <c r="M29" s="7" t="inlineStr">
        <is>
          <t>Aplicar conforme monitoramento e estádio recomendado na bula (IRAC Grupo 4A)</t>
        </is>
      </c>
    </row>
    <row r="30" ht="22" customHeight="1">
      <c r="A30" s="12" t="inlineStr">
        <is>
          <t>ALV-0026</t>
        </is>
      </c>
      <c r="B30" s="11" t="n">
        <v>11</v>
      </c>
      <c r="C30" s="13" t="inlineStr">
        <is>
          <t>Nº 26718</t>
        </is>
      </c>
      <c r="D30" s="14" t="inlineStr">
        <is>
          <t>DINKY</t>
        </is>
      </c>
      <c r="E30" s="13" t="inlineStr">
        <is>
          <t>Inseticida</t>
        </is>
      </c>
      <c r="F30" s="13" t="inlineStr">
        <is>
          <t>Pulgão-do-algodoeiro</t>
        </is>
      </c>
      <c r="G30" s="13" t="inlineStr">
        <is>
          <t>Aphis gossypii</t>
        </is>
      </c>
      <c r="H30" s="13" t="inlineStr">
        <is>
          <t>NÃO</t>
        </is>
      </c>
      <c r="I30" s="18" t="n">
        <v>0.15</v>
      </c>
      <c r="J30" s="18" t="n">
        <v>0.25</v>
      </c>
      <c r="K30" s="13" t="inlineStr">
        <is>
          <t>kg/ha</t>
        </is>
      </c>
      <c r="L30" s="15" t="n">
        <v>1</v>
      </c>
      <c r="M30" s="13" t="inlineStr">
        <is>
          <t>Aplicar conforme monitoramento e estádio recomendado na bula (IRAC Grupo 4A)</t>
        </is>
      </c>
    </row>
    <row r="31" ht="22" customHeight="1">
      <c r="A31" s="6" t="inlineStr">
        <is>
          <t>ALV-0027</t>
        </is>
      </c>
      <c r="B31" s="5" t="n">
        <v>11</v>
      </c>
      <c r="C31" s="7" t="inlineStr">
        <is>
          <t>Nº 26718</t>
        </is>
      </c>
      <c r="D31" s="8" t="inlineStr">
        <is>
          <t>DINKY</t>
        </is>
      </c>
      <c r="E31" s="7" t="inlineStr">
        <is>
          <t>Inseticida</t>
        </is>
      </c>
      <c r="F31" s="7" t="inlineStr">
        <is>
          <t>Percevejo-marrom</t>
        </is>
      </c>
      <c r="G31" s="7" t="inlineStr">
        <is>
          <t>Euschistus heros</t>
        </is>
      </c>
      <c r="H31" s="7" t="inlineStr">
        <is>
          <t>NÃO</t>
        </is>
      </c>
      <c r="I31" s="17" t="n">
        <v>0.25</v>
      </c>
      <c r="J31" s="17" t="n">
        <v>0.35</v>
      </c>
      <c r="K31" s="7" t="inlineStr">
        <is>
          <t>kg/ha</t>
        </is>
      </c>
      <c r="L31" s="9" t="n">
        <v>1</v>
      </c>
      <c r="M31" s="7" t="inlineStr">
        <is>
          <t>Aplicar conforme monitoramento e estádio recomendado na bula (IRAC Grupo 4A)</t>
        </is>
      </c>
    </row>
    <row r="32" ht="22" customHeight="1">
      <c r="A32" s="12" t="inlineStr">
        <is>
          <t>ALV-0028</t>
        </is>
      </c>
      <c r="B32" s="11" t="n">
        <v>12</v>
      </c>
      <c r="C32" s="13" t="inlineStr">
        <is>
          <t>Nº 11018</t>
        </is>
      </c>
      <c r="D32" s="14" t="inlineStr">
        <is>
          <t>JAVA 200 SP</t>
        </is>
      </c>
      <c r="E32" s="13" t="inlineStr">
        <is>
          <t>Inseticida</t>
        </is>
      </c>
      <c r="F32" s="13" t="inlineStr">
        <is>
          <t>Mosca-branca</t>
        </is>
      </c>
      <c r="G32" s="13" t="inlineStr">
        <is>
          <t>Bemisia tabaci raça B</t>
        </is>
      </c>
      <c r="H32" s="13" t="inlineStr">
        <is>
          <t>SIM (*)</t>
        </is>
      </c>
      <c r="I32" s="18" t="n">
        <v>0.2</v>
      </c>
      <c r="J32" s="18" t="n">
        <v>0.3</v>
      </c>
      <c r="K32" s="13" t="inlineStr">
        <is>
          <t>kg/ha</t>
        </is>
      </c>
      <c r="L32" s="15" t="n">
        <v>1</v>
      </c>
      <c r="M32" s="13" t="inlineStr">
        <is>
          <t>Aplicar conforme monitoramento e estádio recomendado na bula (IRAC Grupo 4A)</t>
        </is>
      </c>
    </row>
    <row r="33" ht="22" customHeight="1">
      <c r="A33" s="6" t="inlineStr">
        <is>
          <t>ALV-0029</t>
        </is>
      </c>
      <c r="B33" s="5" t="n">
        <v>12</v>
      </c>
      <c r="C33" s="7" t="inlineStr">
        <is>
          <t>Nº 11018</t>
        </is>
      </c>
      <c r="D33" s="8" t="inlineStr">
        <is>
          <t>JAVA 200 SP</t>
        </is>
      </c>
      <c r="E33" s="7" t="inlineStr">
        <is>
          <t>Inseticida</t>
        </is>
      </c>
      <c r="F33" s="7" t="inlineStr">
        <is>
          <t>Pulgão-do-algodoeiro</t>
        </is>
      </c>
      <c r="G33" s="7" t="inlineStr">
        <is>
          <t>Aphis gossypii</t>
        </is>
      </c>
      <c r="H33" s="7" t="inlineStr">
        <is>
          <t>NÃO</t>
        </is>
      </c>
      <c r="I33" s="17" t="n">
        <v>0.15</v>
      </c>
      <c r="J33" s="17" t="n">
        <v>0.25</v>
      </c>
      <c r="K33" s="7" t="inlineStr">
        <is>
          <t>kg/ha</t>
        </is>
      </c>
      <c r="L33" s="9" t="n">
        <v>1</v>
      </c>
      <c r="M33" s="7" t="inlineStr">
        <is>
          <t>Aplicar conforme monitoramento e estádio recomendado na bula (IRAC Grupo 4A)</t>
        </is>
      </c>
    </row>
    <row r="34" ht="22" customHeight="1">
      <c r="A34" s="12" t="inlineStr">
        <is>
          <t>ALV-0030</t>
        </is>
      </c>
      <c r="B34" s="11" t="n">
        <v>12</v>
      </c>
      <c r="C34" s="13" t="inlineStr">
        <is>
          <t>Nº 11018</t>
        </is>
      </c>
      <c r="D34" s="14" t="inlineStr">
        <is>
          <t>JAVA 200 SP</t>
        </is>
      </c>
      <c r="E34" s="13" t="inlineStr">
        <is>
          <t>Inseticida</t>
        </is>
      </c>
      <c r="F34" s="13" t="inlineStr">
        <is>
          <t>Percevejo-marrom</t>
        </is>
      </c>
      <c r="G34" s="13" t="inlineStr">
        <is>
          <t>Euschistus heros</t>
        </is>
      </c>
      <c r="H34" s="13" t="inlineStr">
        <is>
          <t>NÃO</t>
        </is>
      </c>
      <c r="I34" s="18" t="n">
        <v>0.25</v>
      </c>
      <c r="J34" s="18" t="n">
        <v>0.35</v>
      </c>
      <c r="K34" s="13" t="inlineStr">
        <is>
          <t>kg/ha</t>
        </is>
      </c>
      <c r="L34" s="15" t="n">
        <v>1</v>
      </c>
      <c r="M34" s="13" t="inlineStr">
        <is>
          <t>Aplicar conforme monitoramento e estádio recomendado na bula (IRAC Grupo 4A)</t>
        </is>
      </c>
    </row>
    <row r="35" ht="22" customHeight="1">
      <c r="A35" s="6" t="inlineStr">
        <is>
          <t>ALV-0031</t>
        </is>
      </c>
      <c r="B35" s="5" t="n">
        <v>13</v>
      </c>
      <c r="C35" s="7" t="inlineStr">
        <is>
          <t>Nº 28017</t>
        </is>
      </c>
      <c r="D35" s="8" t="inlineStr">
        <is>
          <t>RODOLIA 200 SP</t>
        </is>
      </c>
      <c r="E35" s="7" t="inlineStr">
        <is>
          <t>Inseticida</t>
        </is>
      </c>
      <c r="F35" s="7" t="inlineStr">
        <is>
          <t>Mosca-branca</t>
        </is>
      </c>
      <c r="G35" s="7" t="inlineStr">
        <is>
          <t>Bemisia tabaci raça B</t>
        </is>
      </c>
      <c r="H35" s="7" t="inlineStr">
        <is>
          <t>SIM (*)</t>
        </is>
      </c>
      <c r="I35" s="17" t="n">
        <v>0.2</v>
      </c>
      <c r="J35" s="17" t="n">
        <v>0.3</v>
      </c>
      <c r="K35" s="7" t="inlineStr">
        <is>
          <t>kg/ha</t>
        </is>
      </c>
      <c r="L35" s="9" t="n">
        <v>1</v>
      </c>
      <c r="M35" s="7" t="inlineStr">
        <is>
          <t>Aplicar conforme monitoramento e estádio recomendado na bula (IRAC Grupo 4A)</t>
        </is>
      </c>
    </row>
    <row r="36" ht="22" customHeight="1">
      <c r="A36" s="12" t="inlineStr">
        <is>
          <t>ALV-0032</t>
        </is>
      </c>
      <c r="B36" s="11" t="n">
        <v>13</v>
      </c>
      <c r="C36" s="13" t="inlineStr">
        <is>
          <t>Nº 28017</t>
        </is>
      </c>
      <c r="D36" s="14" t="inlineStr">
        <is>
          <t>RODOLIA 200 SP</t>
        </is>
      </c>
      <c r="E36" s="13" t="inlineStr">
        <is>
          <t>Inseticida</t>
        </is>
      </c>
      <c r="F36" s="13" t="inlineStr">
        <is>
          <t>Pulgão-do-algodoeiro</t>
        </is>
      </c>
      <c r="G36" s="13" t="inlineStr">
        <is>
          <t>Aphis gossypii</t>
        </is>
      </c>
      <c r="H36" s="13" t="inlineStr">
        <is>
          <t>NÃO</t>
        </is>
      </c>
      <c r="I36" s="18" t="n">
        <v>0.15</v>
      </c>
      <c r="J36" s="18" t="n">
        <v>0.25</v>
      </c>
      <c r="K36" s="13" t="inlineStr">
        <is>
          <t>kg/ha</t>
        </is>
      </c>
      <c r="L36" s="15" t="n">
        <v>1</v>
      </c>
      <c r="M36" s="13" t="inlineStr">
        <is>
          <t>Aplicar conforme monitoramento e estádio recomendado na bula (IRAC Grupo 4A)</t>
        </is>
      </c>
    </row>
    <row r="37" ht="22" customHeight="1">
      <c r="A37" s="6" t="inlineStr">
        <is>
          <t>ALV-0033</t>
        </is>
      </c>
      <c r="B37" s="5" t="n">
        <v>13</v>
      </c>
      <c r="C37" s="7" t="inlineStr">
        <is>
          <t>Nº 28017</t>
        </is>
      </c>
      <c r="D37" s="8" t="inlineStr">
        <is>
          <t>RODOLIA 200 SP</t>
        </is>
      </c>
      <c r="E37" s="7" t="inlineStr">
        <is>
          <t>Inseticida</t>
        </is>
      </c>
      <c r="F37" s="7" t="inlineStr">
        <is>
          <t>Percevejo-marrom</t>
        </is>
      </c>
      <c r="G37" s="7" t="inlineStr">
        <is>
          <t>Euschistus heros</t>
        </is>
      </c>
      <c r="H37" s="7" t="inlineStr">
        <is>
          <t>NÃO</t>
        </is>
      </c>
      <c r="I37" s="17" t="n">
        <v>0.25</v>
      </c>
      <c r="J37" s="17" t="n">
        <v>0.35</v>
      </c>
      <c r="K37" s="7" t="inlineStr">
        <is>
          <t>kg/ha</t>
        </is>
      </c>
      <c r="L37" s="9" t="n">
        <v>1</v>
      </c>
      <c r="M37" s="7" t="inlineStr">
        <is>
          <t>Aplicar conforme monitoramento e estádio recomendado na bula (IRAC Grupo 4A)</t>
        </is>
      </c>
    </row>
    <row r="38" ht="22" customHeight="1">
      <c r="A38" s="12" t="inlineStr">
        <is>
          <t>ALV-0034</t>
        </is>
      </c>
      <c r="B38" s="11" t="n">
        <v>14</v>
      </c>
      <c r="C38" s="13" t="inlineStr">
        <is>
          <t>ISENTO (ATO 104/2017)</t>
        </is>
      </c>
      <c r="D38" s="14" t="inlineStr">
        <is>
          <t>AGCN SAFE AIR</t>
        </is>
      </c>
      <c r="E38" s="13" t="inlineStr">
        <is>
          <t>Adjuvante Espalhante / Surfactante / Redutor de pH e Deriva</t>
        </is>
      </c>
      <c r="F38" s="13" t="inlineStr">
        <is>
          <t>Otimização de Gota, Espalhamento e Redução de Deriva</t>
        </is>
      </c>
      <c r="G38" s="13" t="inlineStr">
        <is>
          <t>Tecnologia de Aplicação</t>
        </is>
      </c>
      <c r="H38" s="13" t="inlineStr">
        <is>
          <t>NÃO</t>
        </is>
      </c>
      <c r="I38" s="18" t="n">
        <v>0.25</v>
      </c>
      <c r="J38" s="15" t="n">
        <v>1</v>
      </c>
      <c r="K38" s="13" t="inlineStr">
        <is>
          <t>% v/v na calda</t>
        </is>
      </c>
      <c r="L38" s="15" t="n">
        <v>1</v>
      </c>
      <c r="M38" s="13" t="inlineStr">
        <is>
          <t>Aplicar conforme monitoramento e estádio recomendado na bula (Adjuvante Tecnológico de Pulverização)</t>
        </is>
      </c>
    </row>
    <row r="39" ht="22" customHeight="1">
      <c r="A39" s="6" t="inlineStr">
        <is>
          <t>ALV-0035</t>
        </is>
      </c>
      <c r="B39" s="5" t="n">
        <v>15</v>
      </c>
      <c r="C39" s="7" t="inlineStr">
        <is>
          <t>ISENTO (ATO 104/2017)</t>
        </is>
      </c>
      <c r="D39" s="8" t="inlineStr">
        <is>
          <t>AGCN SAFE DESSEK</t>
        </is>
      </c>
      <c r="E39" s="7" t="inlineStr">
        <is>
          <t>Adjuvante Espalhante / Surfactante / Redutor de pH e Deriva</t>
        </is>
      </c>
      <c r="F39" s="7" t="inlineStr">
        <is>
          <t>Otimização de Gota, Espalhamento e Redução de Deriva</t>
        </is>
      </c>
      <c r="G39" s="7" t="inlineStr">
        <is>
          <t>Tecnologia de Aplicação</t>
        </is>
      </c>
      <c r="H39" s="7" t="inlineStr">
        <is>
          <t>NÃO</t>
        </is>
      </c>
      <c r="I39" s="17" t="n">
        <v>0.25</v>
      </c>
      <c r="J39" s="9" t="n">
        <v>1</v>
      </c>
      <c r="K39" s="7" t="inlineStr">
        <is>
          <t>% v/v na calda</t>
        </is>
      </c>
      <c r="L39" s="9" t="n">
        <v>1</v>
      </c>
      <c r="M39" s="7" t="inlineStr">
        <is>
          <t>Aplicar conforme monitoramento e estádio recomendado na bula (Adjuvante Tecnológico de Pulverização)</t>
        </is>
      </c>
    </row>
    <row r="40" ht="22" customHeight="1">
      <c r="A40" s="12" t="inlineStr">
        <is>
          <t>ALV-0036</t>
        </is>
      </c>
      <c r="B40" s="11" t="n">
        <v>16</v>
      </c>
      <c r="C40" s="13" t="inlineStr">
        <is>
          <t>ISENTO (ATO 104/2017)</t>
        </is>
      </c>
      <c r="D40" s="14" t="inlineStr">
        <is>
          <t>AGCN SAFE SPRAY</t>
        </is>
      </c>
      <c r="E40" s="13" t="inlineStr">
        <is>
          <t>Adjuvante Espalhante / Surfactante / Redutor de pH e Deriva</t>
        </is>
      </c>
      <c r="F40" s="13" t="inlineStr">
        <is>
          <t>Otimização de Gota, Espalhamento e Redução de Deriva</t>
        </is>
      </c>
      <c r="G40" s="13" t="inlineStr">
        <is>
          <t>Tecnologia de Aplicação</t>
        </is>
      </c>
      <c r="H40" s="13" t="inlineStr">
        <is>
          <t>NÃO</t>
        </is>
      </c>
      <c r="I40" s="18" t="n">
        <v>0.25</v>
      </c>
      <c r="J40" s="15" t="n">
        <v>1</v>
      </c>
      <c r="K40" s="13" t="inlineStr">
        <is>
          <t>% v/v na calda</t>
        </is>
      </c>
      <c r="L40" s="15" t="n">
        <v>1</v>
      </c>
      <c r="M40" s="13" t="inlineStr">
        <is>
          <t>Aplicar conforme monitoramento e estádio recomendado na bula (Adjuvante Tecnológico de Pulverização)</t>
        </is>
      </c>
    </row>
    <row r="41" ht="22" customHeight="1">
      <c r="A41" s="6" t="inlineStr">
        <is>
          <t>ALV-0037</t>
        </is>
      </c>
      <c r="B41" s="5" t="n">
        <v>17</v>
      </c>
      <c r="C41" s="7" t="inlineStr">
        <is>
          <t>SIPEAGRO (UF-XXXXX)</t>
        </is>
      </c>
      <c r="D41" s="8" t="inlineStr">
        <is>
          <t>AGCN SEED</t>
        </is>
      </c>
      <c r="E41" s="7" t="inlineStr">
        <is>
          <t>Fertilizante Foliar / Micronutrientes</t>
        </is>
      </c>
      <c r="F41" s="7" t="inlineStr">
        <is>
          <t>Nutrição e Correção de Deficiência Mineral</t>
        </is>
      </c>
      <c r="G41" s="7" t="inlineStr">
        <is>
          <t>Nutrição Vegetal</t>
        </is>
      </c>
      <c r="H41" s="7" t="inlineStr">
        <is>
          <t>NÃO</t>
        </is>
      </c>
      <c r="I41" s="9" t="n">
        <v>1</v>
      </c>
      <c r="J41" s="9" t="n">
        <v>250</v>
      </c>
      <c r="K41" s="7" t="inlineStr">
        <is>
          <t>kg ou L/ha</t>
        </is>
      </c>
      <c r="L41" s="9" t="n">
        <v>1</v>
      </c>
      <c r="M41" s="7" t="inlineStr">
        <is>
          <t>Aplicar conforme monitoramento e estádio recomendado na bula (Nutrição Vegetal SIPEAGRO)</t>
        </is>
      </c>
    </row>
    <row r="42" ht="22" customHeight="1">
      <c r="A42" s="12" t="inlineStr">
        <is>
          <t>ALV-0038</t>
        </is>
      </c>
      <c r="B42" s="11" t="n">
        <v>18</v>
      </c>
      <c r="C42" s="13" t="inlineStr">
        <is>
          <t>SIPEAGRO (UF-XXXXX)</t>
        </is>
      </c>
      <c r="D42" s="14" t="inlineStr">
        <is>
          <t>AGCN SEED ULTRA</t>
        </is>
      </c>
      <c r="E42" s="13" t="inlineStr">
        <is>
          <t>Fertilizante Foliar / Micronutrientes</t>
        </is>
      </c>
      <c r="F42" s="13" t="inlineStr">
        <is>
          <t>Nutrição e Correção de Deficiência Mineral</t>
        </is>
      </c>
      <c r="G42" s="13" t="inlineStr">
        <is>
          <t>Nutrição Vegetal</t>
        </is>
      </c>
      <c r="H42" s="13" t="inlineStr">
        <is>
          <t>NÃO</t>
        </is>
      </c>
      <c r="I42" s="15" t="n">
        <v>1</v>
      </c>
      <c r="J42" s="15" t="n">
        <v>250</v>
      </c>
      <c r="K42" s="13" t="inlineStr">
        <is>
          <t>kg ou L/ha</t>
        </is>
      </c>
      <c r="L42" s="15" t="n">
        <v>1</v>
      </c>
      <c r="M42" s="13" t="inlineStr">
        <is>
          <t>Aplicar conforme monitoramento e estádio recomendado na bula (Nutrição Vegetal SIPEAGRO)</t>
        </is>
      </c>
    </row>
    <row r="43" ht="22" customHeight="1">
      <c r="A43" s="6" t="inlineStr">
        <is>
          <t>ALV-0039</t>
        </is>
      </c>
      <c r="B43" s="5" t="n">
        <v>19</v>
      </c>
      <c r="C43" s="7" t="inlineStr">
        <is>
          <t>Nº 10018</t>
        </is>
      </c>
      <c r="D43" s="8" t="inlineStr">
        <is>
          <t>ATRAZINA</t>
        </is>
      </c>
      <c r="E43" s="7" t="inlineStr">
        <is>
          <t>Herbicida</t>
        </is>
      </c>
      <c r="F43" s="7" t="inlineStr">
        <is>
          <t>Picão-preto</t>
        </is>
      </c>
      <c r="G43" s="7" t="inlineStr">
        <is>
          <t>Bidens pilosa</t>
        </is>
      </c>
      <c r="H43" s="7" t="inlineStr">
        <is>
          <t>SIM (*)</t>
        </is>
      </c>
      <c r="I43" s="17" t="n">
        <v>2.5</v>
      </c>
      <c r="J43" s="9" t="n">
        <v>4</v>
      </c>
      <c r="K43" s="7" t="inlineStr">
        <is>
          <t>L ou kg/ha</t>
        </is>
      </c>
      <c r="L43" s="9" t="n">
        <v>1</v>
      </c>
      <c r="M43" s="7" t="inlineStr">
        <is>
          <t>Aplicar conforme monitoramento e estádio recomendado na bula (HRAC Grupo C1 (5) — Inibidores do Fotossistema II)</t>
        </is>
      </c>
    </row>
    <row r="44" ht="22" customHeight="1">
      <c r="A44" s="12" t="inlineStr">
        <is>
          <t>ALV-0040</t>
        </is>
      </c>
      <c r="B44" s="11" t="n">
        <v>19</v>
      </c>
      <c r="C44" s="13" t="inlineStr">
        <is>
          <t>Nº 10018</t>
        </is>
      </c>
      <c r="D44" s="14" t="inlineStr">
        <is>
          <t>ATRAZINA</t>
        </is>
      </c>
      <c r="E44" s="13" t="inlineStr">
        <is>
          <t>Herbicida</t>
        </is>
      </c>
      <c r="F44" s="13" t="inlineStr">
        <is>
          <t>Caruru</t>
        </is>
      </c>
      <c r="G44" s="13" t="inlineStr">
        <is>
          <t>Amaranthus viridis</t>
        </is>
      </c>
      <c r="H44" s="13" t="inlineStr">
        <is>
          <t>SIM (*)</t>
        </is>
      </c>
      <c r="I44" s="18" t="n">
        <v>2.5</v>
      </c>
      <c r="J44" s="18" t="n">
        <v>3.5</v>
      </c>
      <c r="K44" s="13" t="inlineStr">
        <is>
          <t>L ou kg/ha</t>
        </is>
      </c>
      <c r="L44" s="15" t="n">
        <v>1</v>
      </c>
      <c r="M44" s="13" t="inlineStr">
        <is>
          <t>Aplicar conforme monitoramento e estádio recomendado na bula (HRAC Grupo C1 (5) — Inibidores do Fotossistema II)</t>
        </is>
      </c>
    </row>
    <row r="45" ht="22" customHeight="1">
      <c r="A45" s="6" t="inlineStr">
        <is>
          <t>ALV-0041</t>
        </is>
      </c>
      <c r="B45" s="5" t="n">
        <v>19</v>
      </c>
      <c r="C45" s="7" t="inlineStr">
        <is>
          <t>Nº 10018</t>
        </is>
      </c>
      <c r="D45" s="8" t="inlineStr">
        <is>
          <t>ATRAZINA</t>
        </is>
      </c>
      <c r="E45" s="7" t="inlineStr">
        <is>
          <t>Herbicida</t>
        </is>
      </c>
      <c r="F45" s="7" t="inlineStr">
        <is>
          <t>Corda-de-viola</t>
        </is>
      </c>
      <c r="G45" s="7" t="inlineStr">
        <is>
          <t>Ipomoea grandifolia</t>
        </is>
      </c>
      <c r="H45" s="7" t="inlineStr">
        <is>
          <t>NÃO</t>
        </is>
      </c>
      <c r="I45" s="9" t="n">
        <v>3</v>
      </c>
      <c r="J45" s="9" t="n">
        <v>4</v>
      </c>
      <c r="K45" s="7" t="inlineStr">
        <is>
          <t>L ou kg/ha</t>
        </is>
      </c>
      <c r="L45" s="9" t="n">
        <v>1</v>
      </c>
      <c r="M45" s="7" t="inlineStr">
        <is>
          <t>Aplicar conforme monitoramento e estádio recomendado na bula (HRAC Grupo C1 (5) — Inibidores do Fotossistema II)</t>
        </is>
      </c>
    </row>
    <row r="46" ht="22" customHeight="1">
      <c r="A46" s="12" t="inlineStr">
        <is>
          <t>ALV-0042</t>
        </is>
      </c>
      <c r="B46" s="11" t="n">
        <v>20</v>
      </c>
      <c r="C46" s="13" t="inlineStr">
        <is>
          <t>Nº 12920</t>
        </is>
      </c>
      <c r="D46" s="14" t="inlineStr">
        <is>
          <t>ATRAZINA 900 WG</t>
        </is>
      </c>
      <c r="E46" s="13" t="inlineStr">
        <is>
          <t>Herbicida</t>
        </is>
      </c>
      <c r="F46" s="13" t="inlineStr">
        <is>
          <t>Picão-preto</t>
        </is>
      </c>
      <c r="G46" s="13" t="inlineStr">
        <is>
          <t>Bidens pilosa</t>
        </is>
      </c>
      <c r="H46" s="13" t="inlineStr">
        <is>
          <t>SIM (*)</t>
        </is>
      </c>
      <c r="I46" s="18" t="n">
        <v>2.5</v>
      </c>
      <c r="J46" s="15" t="n">
        <v>4</v>
      </c>
      <c r="K46" s="13" t="inlineStr">
        <is>
          <t>L ou kg/ha</t>
        </is>
      </c>
      <c r="L46" s="15" t="n">
        <v>1</v>
      </c>
      <c r="M46" s="13" t="inlineStr">
        <is>
          <t>Aplicar conforme monitoramento e estádio recomendado na bula (HRAC Grupo C1 (5) — Inibidores do Fotossistema II)</t>
        </is>
      </c>
    </row>
    <row r="47" ht="22" customHeight="1">
      <c r="A47" s="6" t="inlineStr">
        <is>
          <t>ALV-0043</t>
        </is>
      </c>
      <c r="B47" s="5" t="n">
        <v>20</v>
      </c>
      <c r="C47" s="7" t="inlineStr">
        <is>
          <t>Nº 12920</t>
        </is>
      </c>
      <c r="D47" s="8" t="inlineStr">
        <is>
          <t>ATRAZINA 900 WG</t>
        </is>
      </c>
      <c r="E47" s="7" t="inlineStr">
        <is>
          <t>Herbicida</t>
        </is>
      </c>
      <c r="F47" s="7" t="inlineStr">
        <is>
          <t>Caruru</t>
        </is>
      </c>
      <c r="G47" s="7" t="inlineStr">
        <is>
          <t>Amaranthus viridis</t>
        </is>
      </c>
      <c r="H47" s="7" t="inlineStr">
        <is>
          <t>SIM (*)</t>
        </is>
      </c>
      <c r="I47" s="17" t="n">
        <v>2.5</v>
      </c>
      <c r="J47" s="17" t="n">
        <v>3.5</v>
      </c>
      <c r="K47" s="7" t="inlineStr">
        <is>
          <t>L ou kg/ha</t>
        </is>
      </c>
      <c r="L47" s="9" t="n">
        <v>1</v>
      </c>
      <c r="M47" s="7" t="inlineStr">
        <is>
          <t>Aplicar conforme monitoramento e estádio recomendado na bula (HRAC Grupo C1 (5) — Inibidores do Fotossistema II)</t>
        </is>
      </c>
    </row>
    <row r="48" ht="22" customHeight="1">
      <c r="A48" s="12" t="inlineStr">
        <is>
          <t>ALV-0044</t>
        </is>
      </c>
      <c r="B48" s="11" t="n">
        <v>20</v>
      </c>
      <c r="C48" s="13" t="inlineStr">
        <is>
          <t>Nº 12920</t>
        </is>
      </c>
      <c r="D48" s="14" t="inlineStr">
        <is>
          <t>ATRAZINA 900 WG</t>
        </is>
      </c>
      <c r="E48" s="13" t="inlineStr">
        <is>
          <t>Herbicida</t>
        </is>
      </c>
      <c r="F48" s="13" t="inlineStr">
        <is>
          <t>Corda-de-viola</t>
        </is>
      </c>
      <c r="G48" s="13" t="inlineStr">
        <is>
          <t>Ipomoea grandifolia</t>
        </is>
      </c>
      <c r="H48" s="13" t="inlineStr">
        <is>
          <t>NÃO</t>
        </is>
      </c>
      <c r="I48" s="15" t="n">
        <v>3</v>
      </c>
      <c r="J48" s="15" t="n">
        <v>4</v>
      </c>
      <c r="K48" s="13" t="inlineStr">
        <is>
          <t>L ou kg/ha</t>
        </is>
      </c>
      <c r="L48" s="15" t="n">
        <v>1</v>
      </c>
      <c r="M48" s="13" t="inlineStr">
        <is>
          <t>Aplicar conforme monitoramento e estádio recomendado na bula (HRAC Grupo C1 (5) — Inibidores do Fotossistema II)</t>
        </is>
      </c>
    </row>
    <row r="49" ht="22" customHeight="1">
      <c r="A49" s="6" t="inlineStr">
        <is>
          <t>ALV-0045</t>
        </is>
      </c>
      <c r="B49" s="5" t="n">
        <v>21</v>
      </c>
      <c r="C49" s="7" t="inlineStr">
        <is>
          <t>Nº 12920</t>
        </is>
      </c>
      <c r="D49" s="8" t="inlineStr">
        <is>
          <t>ATRAZINA 900 WG</t>
        </is>
      </c>
      <c r="E49" s="7" t="inlineStr">
        <is>
          <t>Herbicida</t>
        </is>
      </c>
      <c r="F49" s="7" t="inlineStr">
        <is>
          <t>Picão-preto</t>
        </is>
      </c>
      <c r="G49" s="7" t="inlineStr">
        <is>
          <t>Bidens pilosa</t>
        </is>
      </c>
      <c r="H49" s="7" t="inlineStr">
        <is>
          <t>SIM (*)</t>
        </is>
      </c>
      <c r="I49" s="17" t="n">
        <v>2.5</v>
      </c>
      <c r="J49" s="9" t="n">
        <v>4</v>
      </c>
      <c r="K49" s="7" t="inlineStr">
        <is>
          <t>L ou kg/ha</t>
        </is>
      </c>
      <c r="L49" s="9" t="n">
        <v>1</v>
      </c>
      <c r="M49" s="7" t="inlineStr">
        <is>
          <t>Aplicar conforme monitoramento e estádio recomendado na bula (HRAC Grupo C1 (5) — Inibidores do Fotossistema II)</t>
        </is>
      </c>
    </row>
    <row r="50" ht="22" customHeight="1">
      <c r="A50" s="12" t="inlineStr">
        <is>
          <t>ALV-0046</t>
        </is>
      </c>
      <c r="B50" s="11" t="n">
        <v>21</v>
      </c>
      <c r="C50" s="13" t="inlineStr">
        <is>
          <t>Nº 12920</t>
        </is>
      </c>
      <c r="D50" s="14" t="inlineStr">
        <is>
          <t>ATRAZINA 900 WG</t>
        </is>
      </c>
      <c r="E50" s="13" t="inlineStr">
        <is>
          <t>Herbicida</t>
        </is>
      </c>
      <c r="F50" s="13" t="inlineStr">
        <is>
          <t>Caruru</t>
        </is>
      </c>
      <c r="G50" s="13" t="inlineStr">
        <is>
          <t>Amaranthus viridis</t>
        </is>
      </c>
      <c r="H50" s="13" t="inlineStr">
        <is>
          <t>SIM (*)</t>
        </is>
      </c>
      <c r="I50" s="18" t="n">
        <v>2.5</v>
      </c>
      <c r="J50" s="18" t="n">
        <v>3.5</v>
      </c>
      <c r="K50" s="13" t="inlineStr">
        <is>
          <t>L ou kg/ha</t>
        </is>
      </c>
      <c r="L50" s="15" t="n">
        <v>1</v>
      </c>
      <c r="M50" s="13" t="inlineStr">
        <is>
          <t>Aplicar conforme monitoramento e estádio recomendado na bula (HRAC Grupo C1 (5) — Inibidores do Fotossistema II)</t>
        </is>
      </c>
    </row>
    <row r="51" ht="22" customHeight="1">
      <c r="A51" s="6" t="inlineStr">
        <is>
          <t>ALV-0047</t>
        </is>
      </c>
      <c r="B51" s="5" t="n">
        <v>21</v>
      </c>
      <c r="C51" s="7" t="inlineStr">
        <is>
          <t>Nº 12920</t>
        </is>
      </c>
      <c r="D51" s="8" t="inlineStr">
        <is>
          <t>ATRAZINA 900 WG</t>
        </is>
      </c>
      <c r="E51" s="7" t="inlineStr">
        <is>
          <t>Herbicida</t>
        </is>
      </c>
      <c r="F51" s="7" t="inlineStr">
        <is>
          <t>Corda-de-viola</t>
        </is>
      </c>
      <c r="G51" s="7" t="inlineStr">
        <is>
          <t>Ipomoea grandifolia</t>
        </is>
      </c>
      <c r="H51" s="7" t="inlineStr">
        <is>
          <t>NÃO</t>
        </is>
      </c>
      <c r="I51" s="9" t="n">
        <v>3</v>
      </c>
      <c r="J51" s="9" t="n">
        <v>4</v>
      </c>
      <c r="K51" s="7" t="inlineStr">
        <is>
          <t>L ou kg/ha</t>
        </is>
      </c>
      <c r="L51" s="9" t="n">
        <v>1</v>
      </c>
      <c r="M51" s="7" t="inlineStr">
        <is>
          <t>Aplicar conforme monitoramento e estádio recomendado na bula (HRAC Grupo C1 (5) — Inibidores do Fotossistema II)</t>
        </is>
      </c>
    </row>
    <row r="52" ht="22" customHeight="1">
      <c r="A52" s="12" t="inlineStr">
        <is>
          <t>ALV-0048</t>
        </is>
      </c>
      <c r="B52" s="11" t="n">
        <v>22</v>
      </c>
      <c r="C52" s="13" t="inlineStr">
        <is>
          <t>Nº 5217</t>
        </is>
      </c>
      <c r="D52" s="14" t="inlineStr">
        <is>
          <t>HERBZINA PLUS 900 WG</t>
        </is>
      </c>
      <c r="E52" s="13" t="inlineStr">
        <is>
          <t>Herbicida</t>
        </is>
      </c>
      <c r="F52" s="13" t="inlineStr">
        <is>
          <t>Picão-preto</t>
        </is>
      </c>
      <c r="G52" s="13" t="inlineStr">
        <is>
          <t>Bidens pilosa</t>
        </is>
      </c>
      <c r="H52" s="13" t="inlineStr">
        <is>
          <t>SIM (*)</t>
        </is>
      </c>
      <c r="I52" s="18" t="n">
        <v>2.5</v>
      </c>
      <c r="J52" s="15" t="n">
        <v>4</v>
      </c>
      <c r="K52" s="13" t="inlineStr">
        <is>
          <t>L ou kg/ha</t>
        </is>
      </c>
      <c r="L52" s="15" t="n">
        <v>1</v>
      </c>
      <c r="M52" s="13" t="inlineStr">
        <is>
          <t>Aplicar conforme monitoramento e estádio recomendado na bula (HRAC Grupo C1 (5) — Inibidores do Fotossistema II)</t>
        </is>
      </c>
    </row>
    <row r="53" ht="22" customHeight="1">
      <c r="A53" s="6" t="inlineStr">
        <is>
          <t>ALV-0049</t>
        </is>
      </c>
      <c r="B53" s="5" t="n">
        <v>22</v>
      </c>
      <c r="C53" s="7" t="inlineStr">
        <is>
          <t>Nº 5217</t>
        </is>
      </c>
      <c r="D53" s="8" t="inlineStr">
        <is>
          <t>HERBZINA PLUS 900 WG</t>
        </is>
      </c>
      <c r="E53" s="7" t="inlineStr">
        <is>
          <t>Herbicida</t>
        </is>
      </c>
      <c r="F53" s="7" t="inlineStr">
        <is>
          <t>Caruru</t>
        </is>
      </c>
      <c r="G53" s="7" t="inlineStr">
        <is>
          <t>Amaranthus viridis</t>
        </is>
      </c>
      <c r="H53" s="7" t="inlineStr">
        <is>
          <t>SIM (*)</t>
        </is>
      </c>
      <c r="I53" s="17" t="n">
        <v>2.5</v>
      </c>
      <c r="J53" s="17" t="n">
        <v>3.5</v>
      </c>
      <c r="K53" s="7" t="inlineStr">
        <is>
          <t>L ou kg/ha</t>
        </is>
      </c>
      <c r="L53" s="9" t="n">
        <v>1</v>
      </c>
      <c r="M53" s="7" t="inlineStr">
        <is>
          <t>Aplicar conforme monitoramento e estádio recomendado na bula (HRAC Grupo C1 (5) — Inibidores do Fotossistema II)</t>
        </is>
      </c>
    </row>
    <row r="54" ht="22" customHeight="1">
      <c r="A54" s="12" t="inlineStr">
        <is>
          <t>ALV-0050</t>
        </is>
      </c>
      <c r="B54" s="11" t="n">
        <v>22</v>
      </c>
      <c r="C54" s="13" t="inlineStr">
        <is>
          <t>Nº 5217</t>
        </is>
      </c>
      <c r="D54" s="14" t="inlineStr">
        <is>
          <t>HERBZINA PLUS 900 WG</t>
        </is>
      </c>
      <c r="E54" s="13" t="inlineStr">
        <is>
          <t>Herbicida</t>
        </is>
      </c>
      <c r="F54" s="13" t="inlineStr">
        <is>
          <t>Corda-de-viola</t>
        </is>
      </c>
      <c r="G54" s="13" t="inlineStr">
        <is>
          <t>Ipomoea grandifolia</t>
        </is>
      </c>
      <c r="H54" s="13" t="inlineStr">
        <is>
          <t>NÃO</t>
        </is>
      </c>
      <c r="I54" s="15" t="n">
        <v>3</v>
      </c>
      <c r="J54" s="15" t="n">
        <v>4</v>
      </c>
      <c r="K54" s="13" t="inlineStr">
        <is>
          <t>L ou kg/ha</t>
        </is>
      </c>
      <c r="L54" s="15" t="n">
        <v>1</v>
      </c>
      <c r="M54" s="13" t="inlineStr">
        <is>
          <t>Aplicar conforme monitoramento e estádio recomendado na bula (HRAC Grupo C1 (5) — Inibidores do Fotossistema II)</t>
        </is>
      </c>
    </row>
    <row r="55" ht="22" customHeight="1">
      <c r="A55" s="6" t="inlineStr">
        <is>
          <t>ALV-0051</t>
        </is>
      </c>
      <c r="B55" s="5" t="n">
        <v>23</v>
      </c>
      <c r="C55" s="7" t="inlineStr">
        <is>
          <t>Nº 33217</t>
        </is>
      </c>
      <c r="D55" s="8" t="inlineStr">
        <is>
          <t>PANGA 900 WG</t>
        </is>
      </c>
      <c r="E55" s="7" t="inlineStr">
        <is>
          <t>Herbicida</t>
        </is>
      </c>
      <c r="F55" s="7" t="inlineStr">
        <is>
          <t>Picão-preto</t>
        </is>
      </c>
      <c r="G55" s="7" t="inlineStr">
        <is>
          <t>Bidens pilosa</t>
        </is>
      </c>
      <c r="H55" s="7" t="inlineStr">
        <is>
          <t>SIM (*)</t>
        </is>
      </c>
      <c r="I55" s="17" t="n">
        <v>2.5</v>
      </c>
      <c r="J55" s="9" t="n">
        <v>4</v>
      </c>
      <c r="K55" s="7" t="inlineStr">
        <is>
          <t>L ou kg/ha</t>
        </is>
      </c>
      <c r="L55" s="9" t="n">
        <v>1</v>
      </c>
      <c r="M55" s="7" t="inlineStr">
        <is>
          <t>Aplicar conforme monitoramento e estádio recomendado na bula (HRAC Grupo C1 (5) — Inibidores do Fotossistema II)</t>
        </is>
      </c>
    </row>
    <row r="56" ht="22" customHeight="1">
      <c r="A56" s="12" t="inlineStr">
        <is>
          <t>ALV-0052</t>
        </is>
      </c>
      <c r="B56" s="11" t="n">
        <v>23</v>
      </c>
      <c r="C56" s="13" t="inlineStr">
        <is>
          <t>Nº 33217</t>
        </is>
      </c>
      <c r="D56" s="14" t="inlineStr">
        <is>
          <t>PANGA 900 WG</t>
        </is>
      </c>
      <c r="E56" s="13" t="inlineStr">
        <is>
          <t>Herbicida</t>
        </is>
      </c>
      <c r="F56" s="13" t="inlineStr">
        <is>
          <t>Caruru</t>
        </is>
      </c>
      <c r="G56" s="13" t="inlineStr">
        <is>
          <t>Amaranthus viridis</t>
        </is>
      </c>
      <c r="H56" s="13" t="inlineStr">
        <is>
          <t>SIM (*)</t>
        </is>
      </c>
      <c r="I56" s="18" t="n">
        <v>2.5</v>
      </c>
      <c r="J56" s="18" t="n">
        <v>3.5</v>
      </c>
      <c r="K56" s="13" t="inlineStr">
        <is>
          <t>L ou kg/ha</t>
        </is>
      </c>
      <c r="L56" s="15" t="n">
        <v>1</v>
      </c>
      <c r="M56" s="13" t="inlineStr">
        <is>
          <t>Aplicar conforme monitoramento e estádio recomendado na bula (HRAC Grupo C1 (5) — Inibidores do Fotossistema II)</t>
        </is>
      </c>
    </row>
    <row r="57" ht="22" customHeight="1">
      <c r="A57" s="6" t="inlineStr">
        <is>
          <t>ALV-0053</t>
        </is>
      </c>
      <c r="B57" s="5" t="n">
        <v>23</v>
      </c>
      <c r="C57" s="7" t="inlineStr">
        <is>
          <t>Nº 33217</t>
        </is>
      </c>
      <c r="D57" s="8" t="inlineStr">
        <is>
          <t>PANGA 900 WG</t>
        </is>
      </c>
      <c r="E57" s="7" t="inlineStr">
        <is>
          <t>Herbicida</t>
        </is>
      </c>
      <c r="F57" s="7" t="inlineStr">
        <is>
          <t>Corda-de-viola</t>
        </is>
      </c>
      <c r="G57" s="7" t="inlineStr">
        <is>
          <t>Ipomoea grandifolia</t>
        </is>
      </c>
      <c r="H57" s="7" t="inlineStr">
        <is>
          <t>NÃO</t>
        </is>
      </c>
      <c r="I57" s="9" t="n">
        <v>3</v>
      </c>
      <c r="J57" s="9" t="n">
        <v>4</v>
      </c>
      <c r="K57" s="7" t="inlineStr">
        <is>
          <t>L ou kg/ha</t>
        </is>
      </c>
      <c r="L57" s="9" t="n">
        <v>1</v>
      </c>
      <c r="M57" s="7" t="inlineStr">
        <is>
          <t>Aplicar conforme monitoramento e estádio recomendado na bula (HRAC Grupo C1 (5) — Inibidores do Fotossistema II)</t>
        </is>
      </c>
    </row>
    <row r="58" ht="22" customHeight="1">
      <c r="A58" s="12" t="inlineStr">
        <is>
          <t>ALV-0054</t>
        </is>
      </c>
      <c r="B58" s="11" t="n">
        <v>24</v>
      </c>
      <c r="C58" s="13" t="inlineStr">
        <is>
          <t>Nº 22922</t>
        </is>
      </c>
      <c r="D58" s="14" t="inlineStr">
        <is>
          <t>PRILAN DUO</t>
        </is>
      </c>
      <c r="E58" s="13" t="inlineStr">
        <is>
          <t>Fungicida</t>
        </is>
      </c>
      <c r="F58" s="13" t="inlineStr">
        <is>
          <t>Ferrugem-asiática</t>
        </is>
      </c>
      <c r="G58" s="13" t="inlineStr">
        <is>
          <t>Phakopsora pachyrhizi</t>
        </is>
      </c>
      <c r="H58" s="13" t="inlineStr">
        <is>
          <t>SIM (*)</t>
        </is>
      </c>
      <c r="I58" s="18" t="n">
        <v>0.35</v>
      </c>
      <c r="J58" s="18" t="n">
        <v>0.5</v>
      </c>
      <c r="K58" s="13" t="inlineStr">
        <is>
          <t>L/ha</t>
        </is>
      </c>
      <c r="L58" s="15" t="n">
        <v>1</v>
      </c>
      <c r="M58" s="13" t="inlineStr">
        <is>
          <t>Aplicar conforme monitoramento e estádio recomendado na bula (FRAC Grupo 3 (DMI))</t>
        </is>
      </c>
    </row>
    <row r="59" ht="22" customHeight="1">
      <c r="A59" s="6" t="inlineStr">
        <is>
          <t>ALV-0055</t>
        </is>
      </c>
      <c r="B59" s="5" t="n">
        <v>24</v>
      </c>
      <c r="C59" s="7" t="inlineStr">
        <is>
          <t>Nº 22922</t>
        </is>
      </c>
      <c r="D59" s="8" t="inlineStr">
        <is>
          <t>PRILAN DUO</t>
        </is>
      </c>
      <c r="E59" s="7" t="inlineStr">
        <is>
          <t>Fungicida</t>
        </is>
      </c>
      <c r="F59" s="7" t="inlineStr">
        <is>
          <t>Mancha-parda</t>
        </is>
      </c>
      <c r="G59" s="7" t="inlineStr">
        <is>
          <t>Septoria glycines</t>
        </is>
      </c>
      <c r="H59" s="7" t="inlineStr">
        <is>
          <t>NÃO</t>
        </is>
      </c>
      <c r="I59" s="17" t="n">
        <v>0.35</v>
      </c>
      <c r="J59" s="17" t="n">
        <v>0.5</v>
      </c>
      <c r="K59" s="7" t="inlineStr">
        <is>
          <t>L/ha</t>
        </is>
      </c>
      <c r="L59" s="9" t="n">
        <v>1</v>
      </c>
      <c r="M59" s="7" t="inlineStr">
        <is>
          <t>Aplicar conforme monitoramento e estádio recomendado na bula (FRAC Grupo 3 (DMI))</t>
        </is>
      </c>
    </row>
    <row r="60" ht="22" customHeight="1">
      <c r="A60" s="12" t="inlineStr">
        <is>
          <t>ALV-0056</t>
        </is>
      </c>
      <c r="B60" s="11" t="n">
        <v>25</v>
      </c>
      <c r="C60" s="13" t="inlineStr">
        <is>
          <t>SIPEAGRO (UF-XXXXX)</t>
        </is>
      </c>
      <c r="D60" s="14" t="inlineStr">
        <is>
          <t>AGCN BORO ULTRA</t>
        </is>
      </c>
      <c r="E60" s="13" t="inlineStr">
        <is>
          <t>Fertilizante Foliar / Micronutrientes</t>
        </is>
      </c>
      <c r="F60" s="13" t="inlineStr">
        <is>
          <t>Nutrição e Correção de Deficiência Mineral</t>
        </is>
      </c>
      <c r="G60" s="13" t="inlineStr">
        <is>
          <t>Nutrição Vegetal</t>
        </is>
      </c>
      <c r="H60" s="13" t="inlineStr">
        <is>
          <t>NÃO</t>
        </is>
      </c>
      <c r="I60" s="15" t="n">
        <v>1</v>
      </c>
      <c r="J60" s="15" t="n">
        <v>250</v>
      </c>
      <c r="K60" s="13" t="inlineStr">
        <is>
          <t>kg ou L/ha</t>
        </is>
      </c>
      <c r="L60" s="15" t="n">
        <v>1</v>
      </c>
      <c r="M60" s="13" t="inlineStr">
        <is>
          <t>Aplicar conforme monitoramento e estádio recomendado na bula (Nutrição Vegetal SIPEAGRO)</t>
        </is>
      </c>
    </row>
    <row r="61" ht="22" customHeight="1">
      <c r="A61" s="6" t="inlineStr">
        <is>
          <t>ALV-0057</t>
        </is>
      </c>
      <c r="B61" s="5" t="n">
        <v>26</v>
      </c>
      <c r="C61" s="7" t="inlineStr">
        <is>
          <t>Nº 44024</t>
        </is>
      </c>
      <c r="D61" s="8" t="inlineStr">
        <is>
          <t>AGCN DUX</t>
        </is>
      </c>
      <c r="E61" s="7" t="inlineStr">
        <is>
          <t>Bioinseticida (Biológico)</t>
        </is>
      </c>
      <c r="F61" s="7" t="inlineStr">
        <is>
          <t>Mosca-branca</t>
        </is>
      </c>
      <c r="G61" s="7" t="inlineStr">
        <is>
          <t>Bemisia tabaci raça B</t>
        </is>
      </c>
      <c r="H61" s="7" t="inlineStr">
        <is>
          <t>NÃO</t>
        </is>
      </c>
      <c r="I61" s="17" t="n">
        <v>0.5</v>
      </c>
      <c r="J61" s="17" t="n">
        <v>1.5</v>
      </c>
      <c r="K61" s="7" t="inlineStr">
        <is>
          <t>kg ou L/ha</t>
        </is>
      </c>
      <c r="L61" s="9" t="n">
        <v>1</v>
      </c>
      <c r="M61" s="7" t="inlineStr">
        <is>
          <t>Aplicar conforme monitoramento e estádio recomendado na bula (IRAC Grupo UNF — Biológico Multissítio)</t>
        </is>
      </c>
    </row>
    <row r="62" ht="22" customHeight="1">
      <c r="A62" s="12" t="inlineStr">
        <is>
          <t>ALV-0058</t>
        </is>
      </c>
      <c r="B62" s="11" t="n">
        <v>26</v>
      </c>
      <c r="C62" s="13" t="inlineStr">
        <is>
          <t>Nº 44024</t>
        </is>
      </c>
      <c r="D62" s="14" t="inlineStr">
        <is>
          <t>AGCN DUX</t>
        </is>
      </c>
      <c r="E62" s="13" t="inlineStr">
        <is>
          <t>Bioinseticida (Biológico)</t>
        </is>
      </c>
      <c r="F62" s="13" t="inlineStr">
        <is>
          <t>Cigarrinha-do-milho</t>
        </is>
      </c>
      <c r="G62" s="13" t="inlineStr">
        <is>
          <t>Dalbulus maidis</t>
        </is>
      </c>
      <c r="H62" s="13" t="inlineStr">
        <is>
          <t>NÃO</t>
        </is>
      </c>
      <c r="I62" s="18" t="n">
        <v>0.5</v>
      </c>
      <c r="J62" s="15" t="n">
        <v>1</v>
      </c>
      <c r="K62" s="13" t="inlineStr">
        <is>
          <t>kg ou L/ha</t>
        </is>
      </c>
      <c r="L62" s="15" t="n">
        <v>1</v>
      </c>
      <c r="M62" s="13" t="inlineStr">
        <is>
          <t>Aplicar conforme monitoramento e estádio recomendado na bula (IRAC Grupo UNF — Biológico Multissítio)</t>
        </is>
      </c>
    </row>
    <row r="63" ht="22" customHeight="1">
      <c r="A63" s="6" t="inlineStr">
        <is>
          <t>ALV-0059</t>
        </is>
      </c>
      <c r="B63" s="5" t="n">
        <v>26</v>
      </c>
      <c r="C63" s="7" t="inlineStr">
        <is>
          <t>Nº 44024</t>
        </is>
      </c>
      <c r="D63" s="8" t="inlineStr">
        <is>
          <t>AGCN DUX</t>
        </is>
      </c>
      <c r="E63" s="7" t="inlineStr">
        <is>
          <t>Bioinseticida (Biológico)</t>
        </is>
      </c>
      <c r="F63" s="7" t="inlineStr">
        <is>
          <t>Ácaro-rajado</t>
        </is>
      </c>
      <c r="G63" s="7" t="inlineStr">
        <is>
          <t>Tetranychus urticae</t>
        </is>
      </c>
      <c r="H63" s="7" t="inlineStr">
        <is>
          <t>NÃO</t>
        </is>
      </c>
      <c r="I63" s="17" t="n">
        <v>0.5</v>
      </c>
      <c r="J63" s="17" t="n">
        <v>1.5</v>
      </c>
      <c r="K63" s="7" t="inlineStr">
        <is>
          <t>kg ou L/ha</t>
        </is>
      </c>
      <c r="L63" s="9" t="n">
        <v>1</v>
      </c>
      <c r="M63" s="7" t="inlineStr">
        <is>
          <t>Aplicar conforme monitoramento e estádio recomendado na bula (IRAC Grupo UNF — Biológico Multissítio)</t>
        </is>
      </c>
    </row>
    <row r="64" ht="22" customHeight="1">
      <c r="A64" s="12" t="inlineStr">
        <is>
          <t>ALV-0060</t>
        </is>
      </c>
      <c r="B64" s="11" t="n">
        <v>27</v>
      </c>
      <c r="C64" s="13" t="inlineStr">
        <is>
          <t>Nº 24117</t>
        </is>
      </c>
      <c r="D64" s="14" t="inlineStr">
        <is>
          <t>FOX XPRO</t>
        </is>
      </c>
      <c r="E64" s="13" t="inlineStr">
        <is>
          <t>Fungicida</t>
        </is>
      </c>
      <c r="F64" s="13" t="inlineStr">
        <is>
          <t>Ferrugem-asiática</t>
        </is>
      </c>
      <c r="G64" s="13" t="inlineStr">
        <is>
          <t>Phakopsora pachyrhizi</t>
        </is>
      </c>
      <c r="H64" s="13" t="inlineStr">
        <is>
          <t>NÃO</t>
        </is>
      </c>
      <c r="I64" s="18" t="n">
        <v>0.35</v>
      </c>
      <c r="J64" s="18" t="n">
        <v>0.5</v>
      </c>
      <c r="K64" s="13" t="inlineStr">
        <is>
          <t>L/ha</t>
        </is>
      </c>
      <c r="L64" s="15" t="n">
        <v>1</v>
      </c>
      <c r="M64" s="13" t="inlineStr">
        <is>
          <t>Aplicar conforme monitoramento e estádio recomendado na bula (FRAC Grupo 3 (DMI))</t>
        </is>
      </c>
    </row>
    <row r="65" ht="22" customHeight="1">
      <c r="A65" s="6" t="inlineStr">
        <is>
          <t>ALV-0061</t>
        </is>
      </c>
      <c r="B65" s="5" t="n">
        <v>27</v>
      </c>
      <c r="C65" s="7" t="inlineStr">
        <is>
          <t>Nº 24117</t>
        </is>
      </c>
      <c r="D65" s="8" t="inlineStr">
        <is>
          <t>FOX XPRO</t>
        </is>
      </c>
      <c r="E65" s="7" t="inlineStr">
        <is>
          <t>Fungicida</t>
        </is>
      </c>
      <c r="F65" s="7" t="inlineStr">
        <is>
          <t>Mancha-alvo</t>
        </is>
      </c>
      <c r="G65" s="7" t="inlineStr">
        <is>
          <t>Corynespora cassiicola</t>
        </is>
      </c>
      <c r="H65" s="7" t="inlineStr">
        <is>
          <t>NÃO</t>
        </is>
      </c>
      <c r="I65" s="17" t="n">
        <v>0.4</v>
      </c>
      <c r="J65" s="17" t="n">
        <v>0.5</v>
      </c>
      <c r="K65" s="7" t="inlineStr">
        <is>
          <t>L/ha</t>
        </is>
      </c>
      <c r="L65" s="9" t="n">
        <v>1</v>
      </c>
      <c r="M65" s="7" t="inlineStr">
        <is>
          <t>Aplicar conforme monitoramento e estádio recomendado na bula (FRAC Grupo 3 (DMI))</t>
        </is>
      </c>
    </row>
    <row r="66" ht="22" customHeight="1">
      <c r="A66" s="12" t="inlineStr">
        <is>
          <t>ALV-0062</t>
        </is>
      </c>
      <c r="B66" s="11" t="n">
        <v>28</v>
      </c>
      <c r="C66" s="13" t="inlineStr">
        <is>
          <t>SIPEAGRO (UF-XXXXX)</t>
        </is>
      </c>
      <c r="D66" s="14" t="inlineStr">
        <is>
          <t>AGCN BORO</t>
        </is>
      </c>
      <c r="E66" s="13" t="inlineStr">
        <is>
          <t>Fertilizante Foliar / Micronutrientes</t>
        </is>
      </c>
      <c r="F66" s="13" t="inlineStr">
        <is>
          <t>Nutrição e Correção de Deficiência Mineral</t>
        </is>
      </c>
      <c r="G66" s="13" t="inlineStr">
        <is>
          <t>Nutrição Vegetal</t>
        </is>
      </c>
      <c r="H66" s="13" t="inlineStr">
        <is>
          <t>NÃO</t>
        </is>
      </c>
      <c r="I66" s="15" t="n">
        <v>1</v>
      </c>
      <c r="J66" s="15" t="n">
        <v>250</v>
      </c>
      <c r="K66" s="13" t="inlineStr">
        <is>
          <t>kg ou L/ha</t>
        </is>
      </c>
      <c r="L66" s="15" t="n">
        <v>1</v>
      </c>
      <c r="M66" s="13" t="inlineStr">
        <is>
          <t>Aplicar conforme monitoramento e estádio recomendado na bula (Nutrição Vegetal SIPEAGRO)</t>
        </is>
      </c>
    </row>
    <row r="67" ht="22" customHeight="1">
      <c r="A67" s="6" t="inlineStr">
        <is>
          <t>ALV-0063</t>
        </is>
      </c>
      <c r="B67" s="5" t="n">
        <v>29</v>
      </c>
      <c r="C67" s="7" t="inlineStr">
        <is>
          <t>SIPEAGRO (UF-XXXXX)</t>
        </is>
      </c>
      <c r="D67" s="8" t="inlineStr">
        <is>
          <t>AGCN CAB</t>
        </is>
      </c>
      <c r="E67" s="7" t="inlineStr">
        <is>
          <t>Fertilizante Foliar / Micronutrientes</t>
        </is>
      </c>
      <c r="F67" s="7" t="inlineStr">
        <is>
          <t>Nutrição e Correção de Deficiência Mineral</t>
        </is>
      </c>
      <c r="G67" s="7" t="inlineStr">
        <is>
          <t>Nutrição Vegetal</t>
        </is>
      </c>
      <c r="H67" s="7" t="inlineStr">
        <is>
          <t>NÃO</t>
        </is>
      </c>
      <c r="I67" s="9" t="n">
        <v>1</v>
      </c>
      <c r="J67" s="9" t="n">
        <v>250</v>
      </c>
      <c r="K67" s="7" t="inlineStr">
        <is>
          <t>kg ou L/ha</t>
        </is>
      </c>
      <c r="L67" s="9" t="n">
        <v>1</v>
      </c>
      <c r="M67" s="7" t="inlineStr">
        <is>
          <t>Aplicar conforme monitoramento e estádio recomendado na bula (Nutrição Vegetal SIPEAGRO)</t>
        </is>
      </c>
    </row>
    <row r="68" ht="22" customHeight="1">
      <c r="A68" s="12" t="inlineStr">
        <is>
          <t>ALV-0064</t>
        </is>
      </c>
      <c r="B68" s="11" t="n">
        <v>30</v>
      </c>
      <c r="C68" s="13" t="inlineStr">
        <is>
          <t>Nº 8214</t>
        </is>
      </c>
      <c r="D68" s="14" t="inlineStr">
        <is>
          <t>BRIT</t>
        </is>
      </c>
      <c r="E68" s="13" t="inlineStr">
        <is>
          <t>Inseticida</t>
        </is>
      </c>
      <c r="F68" s="13" t="inlineStr">
        <is>
          <t>Complexo de Lagartas, Percevejos e Sugadores</t>
        </is>
      </c>
      <c r="G68" s="13" t="inlineStr">
        <is>
          <t>Spodoptera / Euschistus / Bemisia</t>
        </is>
      </c>
      <c r="H68" s="13" t="inlineStr">
        <is>
          <t>NÃO</t>
        </is>
      </c>
      <c r="I68" s="18" t="n">
        <v>0.15</v>
      </c>
      <c r="J68" s="15" t="n">
        <v>1</v>
      </c>
      <c r="K68" s="13" t="inlineStr">
        <is>
          <t>L ou kg/ha</t>
        </is>
      </c>
      <c r="L68" s="15" t="n">
        <v>1</v>
      </c>
      <c r="M68" s="13" t="inlineStr">
        <is>
          <t>Aplicar conforme monitoramento e estádio recomendado na bula (Classificação IRAC Oficial conforme Bula)</t>
        </is>
      </c>
    </row>
    <row r="69" ht="22" customHeight="1">
      <c r="A69" s="6" t="inlineStr">
        <is>
          <t>ALV-0065</t>
        </is>
      </c>
      <c r="B69" s="5" t="n">
        <v>31</v>
      </c>
      <c r="C69" s="7" t="inlineStr">
        <is>
          <t>Nº 11117</t>
        </is>
      </c>
      <c r="D69" s="8" t="inlineStr">
        <is>
          <t>CLETODIM CCAB 240 EC</t>
        </is>
      </c>
      <c r="E69" s="7" t="inlineStr">
        <is>
          <t>Herbicida</t>
        </is>
      </c>
      <c r="F69" s="7" t="inlineStr">
        <is>
          <t>Capim-amargoso</t>
        </is>
      </c>
      <c r="G69" s="7" t="inlineStr">
        <is>
          <t>Digitaria insularis</t>
        </is>
      </c>
      <c r="H69" s="7" t="inlineStr">
        <is>
          <t>SIM (*)</t>
        </is>
      </c>
      <c r="I69" s="17" t="n">
        <v>0.45</v>
      </c>
      <c r="J69" s="17" t="n">
        <v>0.85</v>
      </c>
      <c r="K69" s="7" t="inlineStr">
        <is>
          <t>L/ha</t>
        </is>
      </c>
      <c r="L69" s="9" t="n">
        <v>1</v>
      </c>
      <c r="M69" s="7" t="inlineStr">
        <is>
          <t>Aplicar conforme monitoramento e estádio recomendado na bula (HRAC Grupo A (1) — Inibidores da ACCase)</t>
        </is>
      </c>
    </row>
    <row r="70" ht="22" customHeight="1">
      <c r="A70" s="12" t="inlineStr">
        <is>
          <t>ALV-0066</t>
        </is>
      </c>
      <c r="B70" s="11" t="n">
        <v>31</v>
      </c>
      <c r="C70" s="13" t="inlineStr">
        <is>
          <t>Nº 11117</t>
        </is>
      </c>
      <c r="D70" s="14" t="inlineStr">
        <is>
          <t>CLETODIM CCAB 240 EC</t>
        </is>
      </c>
      <c r="E70" s="13" t="inlineStr">
        <is>
          <t>Herbicida</t>
        </is>
      </c>
      <c r="F70" s="13" t="inlineStr">
        <is>
          <t>Capim-pé-de-galinha</t>
        </is>
      </c>
      <c r="G70" s="13" t="inlineStr">
        <is>
          <t>Eleusine indica</t>
        </is>
      </c>
      <c r="H70" s="13" t="inlineStr">
        <is>
          <t>SIM (*)</t>
        </is>
      </c>
      <c r="I70" s="18" t="n">
        <v>0.35</v>
      </c>
      <c r="J70" s="18" t="n">
        <v>0.45</v>
      </c>
      <c r="K70" s="13" t="inlineStr">
        <is>
          <t>L/ha</t>
        </is>
      </c>
      <c r="L70" s="15" t="n">
        <v>1</v>
      </c>
      <c r="M70" s="13" t="inlineStr">
        <is>
          <t>Aplicar conforme monitoramento e estádio recomendado na bula (HRAC Grupo A (1) — Inibidores da ACCase)</t>
        </is>
      </c>
    </row>
    <row r="71" ht="22" customHeight="1">
      <c r="A71" s="6" t="inlineStr">
        <is>
          <t>ALV-0067</t>
        </is>
      </c>
      <c r="B71" s="5" t="n">
        <v>31</v>
      </c>
      <c r="C71" s="7" t="inlineStr">
        <is>
          <t>Nº 11117</t>
        </is>
      </c>
      <c r="D71" s="8" t="inlineStr">
        <is>
          <t>CLETODIM CCAB 240 EC</t>
        </is>
      </c>
      <c r="E71" s="7" t="inlineStr">
        <is>
          <t>Herbicida</t>
        </is>
      </c>
      <c r="F71" s="7" t="inlineStr">
        <is>
          <t>Milho-voluntário (Tiguera)</t>
        </is>
      </c>
      <c r="G71" s="7" t="inlineStr">
        <is>
          <t>Zea mays</t>
        </is>
      </c>
      <c r="H71" s="7" t="inlineStr">
        <is>
          <t>NÃO</t>
        </is>
      </c>
      <c r="I71" s="17" t="n">
        <v>0.4</v>
      </c>
      <c r="J71" s="17" t="n">
        <v>0.6</v>
      </c>
      <c r="K71" s="7" t="inlineStr">
        <is>
          <t>L/ha</t>
        </is>
      </c>
      <c r="L71" s="9" t="n">
        <v>1</v>
      </c>
      <c r="M71" s="7" t="inlineStr">
        <is>
          <t>Aplicar conforme monitoramento e estádio recomendado na bula (HRAC Grupo A (1) — Inibidores da ACCase)</t>
        </is>
      </c>
    </row>
    <row r="72" ht="22" customHeight="1">
      <c r="A72" s="12" t="inlineStr">
        <is>
          <t>ALV-0068</t>
        </is>
      </c>
      <c r="B72" s="11" t="n">
        <v>32</v>
      </c>
      <c r="C72" s="13" t="inlineStr">
        <is>
          <t>Nº 22221</t>
        </is>
      </c>
      <c r="D72" s="14" t="inlineStr">
        <is>
          <t>GRASIDIM</t>
        </is>
      </c>
      <c r="E72" s="13" t="inlineStr">
        <is>
          <t>Herbicida</t>
        </is>
      </c>
      <c r="F72" s="13" t="inlineStr">
        <is>
          <t>Capim-amargoso</t>
        </is>
      </c>
      <c r="G72" s="13" t="inlineStr">
        <is>
          <t>Digitaria insularis</t>
        </is>
      </c>
      <c r="H72" s="13" t="inlineStr">
        <is>
          <t>SIM (*)</t>
        </is>
      </c>
      <c r="I72" s="18" t="n">
        <v>0.45</v>
      </c>
      <c r="J72" s="18" t="n">
        <v>0.85</v>
      </c>
      <c r="K72" s="13" t="inlineStr">
        <is>
          <t>L/ha</t>
        </is>
      </c>
      <c r="L72" s="15" t="n">
        <v>1</v>
      </c>
      <c r="M72" s="13" t="inlineStr">
        <is>
          <t>Aplicar conforme monitoramento e estádio recomendado na bula (HRAC Grupo A (1) — Inibidores da ACCase)</t>
        </is>
      </c>
    </row>
    <row r="73" ht="22" customHeight="1">
      <c r="A73" s="6" t="inlineStr">
        <is>
          <t>ALV-0069</t>
        </is>
      </c>
      <c r="B73" s="5" t="n">
        <v>32</v>
      </c>
      <c r="C73" s="7" t="inlineStr">
        <is>
          <t>Nº 22221</t>
        </is>
      </c>
      <c r="D73" s="8" t="inlineStr">
        <is>
          <t>GRASIDIM</t>
        </is>
      </c>
      <c r="E73" s="7" t="inlineStr">
        <is>
          <t>Herbicida</t>
        </is>
      </c>
      <c r="F73" s="7" t="inlineStr">
        <is>
          <t>Capim-pé-de-galinha</t>
        </is>
      </c>
      <c r="G73" s="7" t="inlineStr">
        <is>
          <t>Eleusine indica</t>
        </is>
      </c>
      <c r="H73" s="7" t="inlineStr">
        <is>
          <t>SIM (*)</t>
        </is>
      </c>
      <c r="I73" s="17" t="n">
        <v>0.35</v>
      </c>
      <c r="J73" s="17" t="n">
        <v>0.45</v>
      </c>
      <c r="K73" s="7" t="inlineStr">
        <is>
          <t>L/ha</t>
        </is>
      </c>
      <c r="L73" s="9" t="n">
        <v>1</v>
      </c>
      <c r="M73" s="7" t="inlineStr">
        <is>
          <t>Aplicar conforme monitoramento e estádio recomendado na bula (HRAC Grupo A (1) — Inibidores da ACCase)</t>
        </is>
      </c>
    </row>
    <row r="74" ht="22" customHeight="1">
      <c r="A74" s="12" t="inlineStr">
        <is>
          <t>ALV-0070</t>
        </is>
      </c>
      <c r="B74" s="11" t="n">
        <v>32</v>
      </c>
      <c r="C74" s="13" t="inlineStr">
        <is>
          <t>Nº 22221</t>
        </is>
      </c>
      <c r="D74" s="14" t="inlineStr">
        <is>
          <t>GRASIDIM</t>
        </is>
      </c>
      <c r="E74" s="13" t="inlineStr">
        <is>
          <t>Herbicida</t>
        </is>
      </c>
      <c r="F74" s="13" t="inlineStr">
        <is>
          <t>Milho-voluntário (Tiguera)</t>
        </is>
      </c>
      <c r="G74" s="13" t="inlineStr">
        <is>
          <t>Zea mays</t>
        </is>
      </c>
      <c r="H74" s="13" t="inlineStr">
        <is>
          <t>NÃO</t>
        </is>
      </c>
      <c r="I74" s="18" t="n">
        <v>0.4</v>
      </c>
      <c r="J74" s="18" t="n">
        <v>0.6</v>
      </c>
      <c r="K74" s="13" t="inlineStr">
        <is>
          <t>L/ha</t>
        </is>
      </c>
      <c r="L74" s="15" t="n">
        <v>1</v>
      </c>
      <c r="M74" s="13" t="inlineStr">
        <is>
          <t>Aplicar conforme monitoramento e estádio recomendado na bula (HRAC Grupo A (1) — Inibidores da ACCase)</t>
        </is>
      </c>
    </row>
    <row r="75" ht="22" customHeight="1">
      <c r="A75" s="6" t="inlineStr">
        <is>
          <t>ALV-0071</t>
        </is>
      </c>
      <c r="B75" s="5" t="n">
        <v>33</v>
      </c>
      <c r="C75" s="7" t="inlineStr">
        <is>
          <t>Nº 479097</t>
        </is>
      </c>
      <c r="D75" s="8" t="inlineStr">
        <is>
          <t>SELECT 240 EC</t>
        </is>
      </c>
      <c r="E75" s="7" t="inlineStr">
        <is>
          <t>Herbicida</t>
        </is>
      </c>
      <c r="F75" s="7" t="inlineStr">
        <is>
          <t>Capim-amargoso</t>
        </is>
      </c>
      <c r="G75" s="7" t="inlineStr">
        <is>
          <t>Digitaria insularis</t>
        </is>
      </c>
      <c r="H75" s="7" t="inlineStr">
        <is>
          <t>SIM (*)</t>
        </is>
      </c>
      <c r="I75" s="17" t="n">
        <v>0.45</v>
      </c>
      <c r="J75" s="17" t="n">
        <v>0.85</v>
      </c>
      <c r="K75" s="7" t="inlineStr">
        <is>
          <t>L/ha</t>
        </is>
      </c>
      <c r="L75" s="9" t="n">
        <v>1</v>
      </c>
      <c r="M75" s="7" t="inlineStr">
        <is>
          <t>Aplicar conforme monitoramento e estádio recomendado na bula (HRAC Grupo A (1) — Inibidores da ACCase)</t>
        </is>
      </c>
    </row>
    <row r="76" ht="22" customHeight="1">
      <c r="A76" s="12" t="inlineStr">
        <is>
          <t>ALV-0072</t>
        </is>
      </c>
      <c r="B76" s="11" t="n">
        <v>33</v>
      </c>
      <c r="C76" s="13" t="inlineStr">
        <is>
          <t>Nº 479097</t>
        </is>
      </c>
      <c r="D76" s="14" t="inlineStr">
        <is>
          <t>SELECT 240 EC</t>
        </is>
      </c>
      <c r="E76" s="13" t="inlineStr">
        <is>
          <t>Herbicida</t>
        </is>
      </c>
      <c r="F76" s="13" t="inlineStr">
        <is>
          <t>Capim-pé-de-galinha</t>
        </is>
      </c>
      <c r="G76" s="13" t="inlineStr">
        <is>
          <t>Eleusine indica</t>
        </is>
      </c>
      <c r="H76" s="13" t="inlineStr">
        <is>
          <t>SIM (*)</t>
        </is>
      </c>
      <c r="I76" s="18" t="n">
        <v>0.35</v>
      </c>
      <c r="J76" s="18" t="n">
        <v>0.45</v>
      </c>
      <c r="K76" s="13" t="inlineStr">
        <is>
          <t>L/ha</t>
        </is>
      </c>
      <c r="L76" s="15" t="n">
        <v>1</v>
      </c>
      <c r="M76" s="13" t="inlineStr">
        <is>
          <t>Aplicar conforme monitoramento e estádio recomendado na bula (HRAC Grupo A (1) — Inibidores da ACCase)</t>
        </is>
      </c>
    </row>
    <row r="77" ht="22" customHeight="1">
      <c r="A77" s="6" t="inlineStr">
        <is>
          <t>ALV-0073</t>
        </is>
      </c>
      <c r="B77" s="5" t="n">
        <v>33</v>
      </c>
      <c r="C77" s="7" t="inlineStr">
        <is>
          <t>Nº 479097</t>
        </is>
      </c>
      <c r="D77" s="8" t="inlineStr">
        <is>
          <t>SELECT 240 EC</t>
        </is>
      </c>
      <c r="E77" s="7" t="inlineStr">
        <is>
          <t>Herbicida</t>
        </is>
      </c>
      <c r="F77" s="7" t="inlineStr">
        <is>
          <t>Milho-voluntário (Tiguera)</t>
        </is>
      </c>
      <c r="G77" s="7" t="inlineStr">
        <is>
          <t>Zea mays</t>
        </is>
      </c>
      <c r="H77" s="7" t="inlineStr">
        <is>
          <t>NÃO</t>
        </is>
      </c>
      <c r="I77" s="17" t="n">
        <v>0.4</v>
      </c>
      <c r="J77" s="17" t="n">
        <v>0.6</v>
      </c>
      <c r="K77" s="7" t="inlineStr">
        <is>
          <t>L/ha</t>
        </is>
      </c>
      <c r="L77" s="9" t="n">
        <v>1</v>
      </c>
      <c r="M77" s="7" t="inlineStr">
        <is>
          <t>Aplicar conforme monitoramento e estádio recomendado na bula (HRAC Grupo A (1) — Inibidores da ACCase)</t>
        </is>
      </c>
    </row>
    <row r="78" ht="22" customHeight="1">
      <c r="A78" s="12" t="inlineStr">
        <is>
          <t>ALV-0074</t>
        </is>
      </c>
      <c r="B78" s="11" t="n">
        <v>34</v>
      </c>
      <c r="C78" s="13" t="inlineStr">
        <is>
          <t>Nº 28917</t>
        </is>
      </c>
      <c r="D78" s="14" t="inlineStr">
        <is>
          <t>VIANCE</t>
        </is>
      </c>
      <c r="E78" s="13" t="inlineStr">
        <is>
          <t>Herbicida</t>
        </is>
      </c>
      <c r="F78" s="13" t="inlineStr">
        <is>
          <t>Capim-amargoso</t>
        </is>
      </c>
      <c r="G78" s="13" t="inlineStr">
        <is>
          <t>Digitaria insularis</t>
        </is>
      </c>
      <c r="H78" s="13" t="inlineStr">
        <is>
          <t>SIM (*)</t>
        </is>
      </c>
      <c r="I78" s="18" t="n">
        <v>0.45</v>
      </c>
      <c r="J78" s="18" t="n">
        <v>0.85</v>
      </c>
      <c r="K78" s="13" t="inlineStr">
        <is>
          <t>L/ha</t>
        </is>
      </c>
      <c r="L78" s="15" t="n">
        <v>1</v>
      </c>
      <c r="M78" s="13" t="inlineStr">
        <is>
          <t>Aplicar conforme monitoramento e estádio recomendado na bula (HRAC Grupo A (1) — Inibidores da ACCase)</t>
        </is>
      </c>
    </row>
    <row r="79" ht="22" customHeight="1">
      <c r="A79" s="6" t="inlineStr">
        <is>
          <t>ALV-0075</t>
        </is>
      </c>
      <c r="B79" s="5" t="n">
        <v>34</v>
      </c>
      <c r="C79" s="7" t="inlineStr">
        <is>
          <t>Nº 28917</t>
        </is>
      </c>
      <c r="D79" s="8" t="inlineStr">
        <is>
          <t>VIANCE</t>
        </is>
      </c>
      <c r="E79" s="7" t="inlineStr">
        <is>
          <t>Herbicida</t>
        </is>
      </c>
      <c r="F79" s="7" t="inlineStr">
        <is>
          <t>Capim-pé-de-galinha</t>
        </is>
      </c>
      <c r="G79" s="7" t="inlineStr">
        <is>
          <t>Eleusine indica</t>
        </is>
      </c>
      <c r="H79" s="7" t="inlineStr">
        <is>
          <t>SIM (*)</t>
        </is>
      </c>
      <c r="I79" s="17" t="n">
        <v>0.35</v>
      </c>
      <c r="J79" s="17" t="n">
        <v>0.45</v>
      </c>
      <c r="K79" s="7" t="inlineStr">
        <is>
          <t>L/ha</t>
        </is>
      </c>
      <c r="L79" s="9" t="n">
        <v>1</v>
      </c>
      <c r="M79" s="7" t="inlineStr">
        <is>
          <t>Aplicar conforme monitoramento e estádio recomendado na bula (HRAC Grupo A (1) — Inibidores da ACCase)</t>
        </is>
      </c>
    </row>
    <row r="80" ht="22" customHeight="1">
      <c r="A80" s="12" t="inlineStr">
        <is>
          <t>ALV-0076</t>
        </is>
      </c>
      <c r="B80" s="11" t="n">
        <v>34</v>
      </c>
      <c r="C80" s="13" t="inlineStr">
        <is>
          <t>Nº 28917</t>
        </is>
      </c>
      <c r="D80" s="14" t="inlineStr">
        <is>
          <t>VIANCE</t>
        </is>
      </c>
      <c r="E80" s="13" t="inlineStr">
        <is>
          <t>Herbicida</t>
        </is>
      </c>
      <c r="F80" s="13" t="inlineStr">
        <is>
          <t>Milho-voluntário (Tiguera)</t>
        </is>
      </c>
      <c r="G80" s="13" t="inlineStr">
        <is>
          <t>Zea mays</t>
        </is>
      </c>
      <c r="H80" s="13" t="inlineStr">
        <is>
          <t>NÃO</t>
        </is>
      </c>
      <c r="I80" s="18" t="n">
        <v>0.4</v>
      </c>
      <c r="J80" s="18" t="n">
        <v>0.6</v>
      </c>
      <c r="K80" s="13" t="inlineStr">
        <is>
          <t>L/ha</t>
        </is>
      </c>
      <c r="L80" s="15" t="n">
        <v>1</v>
      </c>
      <c r="M80" s="13" t="inlineStr">
        <is>
          <t>Aplicar conforme monitoramento e estádio recomendado na bula (HRAC Grupo A (1) — Inibidores da ACCase)</t>
        </is>
      </c>
    </row>
    <row r="81" ht="22" customHeight="1">
      <c r="A81" s="6" t="inlineStr">
        <is>
          <t>ALV-0077</t>
        </is>
      </c>
      <c r="B81" s="5" t="n">
        <v>35</v>
      </c>
      <c r="C81" s="7" t="inlineStr">
        <is>
          <t>Nº 7398</t>
        </is>
      </c>
      <c r="D81" s="8" t="inlineStr">
        <is>
          <t>PACTO 10X0,240 KG</t>
        </is>
      </c>
      <c r="E81" s="7" t="inlineStr">
        <is>
          <t>Herbicida</t>
        </is>
      </c>
      <c r="F81" s="7" t="inlineStr">
        <is>
          <t>Plantas Daninhas Mono e Dicotiledôneas</t>
        </is>
      </c>
      <c r="G81" s="7" t="inlineStr">
        <is>
          <t>Flora Infestante</t>
        </is>
      </c>
      <c r="H81" s="7" t="inlineStr">
        <is>
          <t>NÃO</t>
        </is>
      </c>
      <c r="I81" s="17" t="n">
        <v>0.25</v>
      </c>
      <c r="J81" s="9" t="n">
        <v>2</v>
      </c>
      <c r="K81" s="7" t="inlineStr">
        <is>
          <t>L ou kg/ha</t>
        </is>
      </c>
      <c r="L81" s="9" t="n">
        <v>1</v>
      </c>
      <c r="M81" s="7" t="inlineStr">
        <is>
          <t>Aplicar conforme monitoramento e estádio recomendado na bula (Classificação HRAC Oficial conforme Bula)</t>
        </is>
      </c>
    </row>
    <row r="82" ht="22" customHeight="1">
      <c r="A82" s="12" t="inlineStr">
        <is>
          <t>ALV-0078</t>
        </is>
      </c>
      <c r="B82" s="11" t="n">
        <v>36</v>
      </c>
      <c r="C82" s="13" t="inlineStr">
        <is>
          <t>Nº 9109</t>
        </is>
      </c>
      <c r="D82" s="14" t="inlineStr">
        <is>
          <t>PREMIO</t>
        </is>
      </c>
      <c r="E82" s="13" t="inlineStr">
        <is>
          <t>Inseticida</t>
        </is>
      </c>
      <c r="F82" s="13" t="inlineStr">
        <is>
          <t>Complexo de Lagartas, Percevejos e Sugadores</t>
        </is>
      </c>
      <c r="G82" s="13" t="inlineStr">
        <is>
          <t>Spodoptera / Euschistus / Bemisia</t>
        </is>
      </c>
      <c r="H82" s="13" t="inlineStr">
        <is>
          <t>NÃO</t>
        </is>
      </c>
      <c r="I82" s="18" t="n">
        <v>0.15</v>
      </c>
      <c r="J82" s="15" t="n">
        <v>1</v>
      </c>
      <c r="K82" s="13" t="inlineStr">
        <is>
          <t>L ou kg/ha</t>
        </is>
      </c>
      <c r="L82" s="15" t="n">
        <v>1</v>
      </c>
      <c r="M82" s="13" t="inlineStr">
        <is>
          <t>Aplicar conforme monitoramento e estádio recomendado na bula (Classificação IRAC Oficial conforme Bula)</t>
        </is>
      </c>
    </row>
    <row r="83" ht="22" customHeight="1">
      <c r="A83" s="6" t="inlineStr">
        <is>
          <t>ALV-0079</t>
        </is>
      </c>
      <c r="B83" s="5" t="n">
        <v>37</v>
      </c>
      <c r="C83" s="7" t="inlineStr">
        <is>
          <t>Nº 9515</t>
        </is>
      </c>
      <c r="D83" s="8" t="inlineStr">
        <is>
          <t>DERMACOR</t>
        </is>
      </c>
      <c r="E83" s="7" t="inlineStr">
        <is>
          <t>Inseticida</t>
        </is>
      </c>
      <c r="F83" s="7" t="inlineStr">
        <is>
          <t>Complexo de Lagartas, Percevejos e Sugadores</t>
        </is>
      </c>
      <c r="G83" s="7" t="inlineStr">
        <is>
          <t>Spodoptera / Euschistus / Bemisia</t>
        </is>
      </c>
      <c r="H83" s="7" t="inlineStr">
        <is>
          <t>NÃO</t>
        </is>
      </c>
      <c r="I83" s="17" t="n">
        <v>0.15</v>
      </c>
      <c r="J83" s="9" t="n">
        <v>1</v>
      </c>
      <c r="K83" s="7" t="inlineStr">
        <is>
          <t>L ou kg/ha</t>
        </is>
      </c>
      <c r="L83" s="9" t="n">
        <v>1</v>
      </c>
      <c r="M83" s="7" t="inlineStr">
        <is>
          <t>Aplicar conforme monitoramento e estádio recomendado na bula (Classificação IRAC Oficial conforme Bula)</t>
        </is>
      </c>
    </row>
    <row r="84" ht="22" customHeight="1">
      <c r="A84" s="12" t="inlineStr">
        <is>
          <t>ALV-0080</t>
        </is>
      </c>
      <c r="B84" s="11" t="n">
        <v>38</v>
      </c>
      <c r="C84" s="13" t="inlineStr">
        <is>
          <t>Nº 0711</t>
        </is>
      </c>
      <c r="D84" s="14" t="inlineStr">
        <is>
          <t>CUPRODIL WG</t>
        </is>
      </c>
      <c r="E84" s="13" t="inlineStr">
        <is>
          <t>Fungicida</t>
        </is>
      </c>
      <c r="F84" s="13" t="inlineStr">
        <is>
          <t>Ferrugem-asiática</t>
        </is>
      </c>
      <c r="G84" s="13" t="inlineStr">
        <is>
          <t>Phakopsora pachyrhizi</t>
        </is>
      </c>
      <c r="H84" s="13" t="inlineStr">
        <is>
          <t>NÃO</t>
        </is>
      </c>
      <c r="I84" s="18" t="n">
        <v>1.5</v>
      </c>
      <c r="J84" s="15" t="n">
        <v>2</v>
      </c>
      <c r="K84" s="13" t="inlineStr">
        <is>
          <t>L ou kg/ha</t>
        </is>
      </c>
      <c r="L84" s="15" t="n">
        <v>1</v>
      </c>
      <c r="M84" s="13" t="inlineStr">
        <is>
          <t>Aplicar conforme monitoramento e estádio recomendado na bula (FRAC Grupo M05 — Multissítio)</t>
        </is>
      </c>
    </row>
    <row r="85" ht="22" customHeight="1">
      <c r="A85" s="6" t="inlineStr">
        <is>
          <t>ALV-0081</t>
        </is>
      </c>
      <c r="B85" s="5" t="n">
        <v>38</v>
      </c>
      <c r="C85" s="7" t="inlineStr">
        <is>
          <t>Nº 0711</t>
        </is>
      </c>
      <c r="D85" s="8" t="inlineStr">
        <is>
          <t>CUPRODIL WG</t>
        </is>
      </c>
      <c r="E85" s="7" t="inlineStr">
        <is>
          <t>Fungicida</t>
        </is>
      </c>
      <c r="F85" s="7" t="inlineStr">
        <is>
          <t>Mancha-alvo</t>
        </is>
      </c>
      <c r="G85" s="7" t="inlineStr">
        <is>
          <t>Corynespora cassiicola</t>
        </is>
      </c>
      <c r="H85" s="7" t="inlineStr">
        <is>
          <t>NÃO</t>
        </is>
      </c>
      <c r="I85" s="17" t="n">
        <v>1.5</v>
      </c>
      <c r="J85" s="17" t="n">
        <v>2.5</v>
      </c>
      <c r="K85" s="7" t="inlineStr">
        <is>
          <t>L ou kg/ha</t>
        </is>
      </c>
      <c r="L85" s="9" t="n">
        <v>1</v>
      </c>
      <c r="M85" s="7" t="inlineStr">
        <is>
          <t>Aplicar conforme monitoramento e estádio recomendado na bula (FRAC Grupo M05 — Multissítio)</t>
        </is>
      </c>
    </row>
    <row r="86" ht="22" customHeight="1">
      <c r="A86" s="12" t="inlineStr">
        <is>
          <t>ALV-0082</t>
        </is>
      </c>
      <c r="B86" s="11" t="n">
        <v>38</v>
      </c>
      <c r="C86" s="13" t="inlineStr">
        <is>
          <t>Nº 0711</t>
        </is>
      </c>
      <c r="D86" s="14" t="inlineStr">
        <is>
          <t>CUPRODIL WG</t>
        </is>
      </c>
      <c r="E86" s="13" t="inlineStr">
        <is>
          <t>Fungicida</t>
        </is>
      </c>
      <c r="F86" s="13" t="inlineStr">
        <is>
          <t>Cercosporiose</t>
        </is>
      </c>
      <c r="G86" s="13" t="inlineStr">
        <is>
          <t>Cercospora kikuchii</t>
        </is>
      </c>
      <c r="H86" s="13" t="inlineStr">
        <is>
          <t>NÃO</t>
        </is>
      </c>
      <c r="I86" s="18" t="n">
        <v>1.5</v>
      </c>
      <c r="J86" s="15" t="n">
        <v>2</v>
      </c>
      <c r="K86" s="13" t="inlineStr">
        <is>
          <t>L ou kg/ha</t>
        </is>
      </c>
      <c r="L86" s="15" t="n">
        <v>1</v>
      </c>
      <c r="M86" s="13" t="inlineStr">
        <is>
          <t>Aplicar conforme monitoramento e estádio recomendado na bula (FRAC Grupo M05 — Multissítio)</t>
        </is>
      </c>
    </row>
    <row r="87" ht="22" customHeight="1">
      <c r="A87" s="6" t="inlineStr">
        <is>
          <t>ALV-0083</t>
        </is>
      </c>
      <c r="B87" s="5" t="n">
        <v>39</v>
      </c>
      <c r="C87" s="7" t="inlineStr">
        <is>
          <t>Nº 26321</t>
        </is>
      </c>
      <c r="D87" s="8" t="inlineStr">
        <is>
          <t>GUARDANIL</t>
        </is>
      </c>
      <c r="E87" s="7" t="inlineStr">
        <is>
          <t>Fungicida</t>
        </is>
      </c>
      <c r="F87" s="7" t="inlineStr">
        <is>
          <t>Ferrugem-asiática</t>
        </is>
      </c>
      <c r="G87" s="7" t="inlineStr">
        <is>
          <t>Phakopsora pachyrhizi</t>
        </is>
      </c>
      <c r="H87" s="7" t="inlineStr">
        <is>
          <t>NÃO</t>
        </is>
      </c>
      <c r="I87" s="17" t="n">
        <v>1.5</v>
      </c>
      <c r="J87" s="9" t="n">
        <v>2</v>
      </c>
      <c r="K87" s="7" t="inlineStr">
        <is>
          <t>L ou kg/ha</t>
        </is>
      </c>
      <c r="L87" s="9" t="n">
        <v>1</v>
      </c>
      <c r="M87" s="7" t="inlineStr">
        <is>
          <t>Aplicar conforme monitoramento e estádio recomendado na bula (FRAC Grupo M05 — Multissítio)</t>
        </is>
      </c>
    </row>
    <row r="88" ht="22" customHeight="1">
      <c r="A88" s="12" t="inlineStr">
        <is>
          <t>ALV-0084</t>
        </is>
      </c>
      <c r="B88" s="11" t="n">
        <v>39</v>
      </c>
      <c r="C88" s="13" t="inlineStr">
        <is>
          <t>Nº 26321</t>
        </is>
      </c>
      <c r="D88" s="14" t="inlineStr">
        <is>
          <t>GUARDANIL</t>
        </is>
      </c>
      <c r="E88" s="13" t="inlineStr">
        <is>
          <t>Fungicida</t>
        </is>
      </c>
      <c r="F88" s="13" t="inlineStr">
        <is>
          <t>Mancha-alvo</t>
        </is>
      </c>
      <c r="G88" s="13" t="inlineStr">
        <is>
          <t>Corynespora cassiicola</t>
        </is>
      </c>
      <c r="H88" s="13" t="inlineStr">
        <is>
          <t>NÃO</t>
        </is>
      </c>
      <c r="I88" s="18" t="n">
        <v>1.5</v>
      </c>
      <c r="J88" s="18" t="n">
        <v>2.5</v>
      </c>
      <c r="K88" s="13" t="inlineStr">
        <is>
          <t>L ou kg/ha</t>
        </is>
      </c>
      <c r="L88" s="15" t="n">
        <v>1</v>
      </c>
      <c r="M88" s="13" t="inlineStr">
        <is>
          <t>Aplicar conforme monitoramento e estádio recomendado na bula (FRAC Grupo M05 — Multissítio)</t>
        </is>
      </c>
    </row>
    <row r="89" ht="22" customHeight="1">
      <c r="A89" s="6" t="inlineStr">
        <is>
          <t>ALV-0085</t>
        </is>
      </c>
      <c r="B89" s="5" t="n">
        <v>39</v>
      </c>
      <c r="C89" s="7" t="inlineStr">
        <is>
          <t>Nº 26321</t>
        </is>
      </c>
      <c r="D89" s="8" t="inlineStr">
        <is>
          <t>GUARDANIL</t>
        </is>
      </c>
      <c r="E89" s="7" t="inlineStr">
        <is>
          <t>Fungicida</t>
        </is>
      </c>
      <c r="F89" s="7" t="inlineStr">
        <is>
          <t>Cercosporiose</t>
        </is>
      </c>
      <c r="G89" s="7" t="inlineStr">
        <is>
          <t>Cercospora kikuchii</t>
        </is>
      </c>
      <c r="H89" s="7" t="inlineStr">
        <is>
          <t>NÃO</t>
        </is>
      </c>
      <c r="I89" s="17" t="n">
        <v>1.5</v>
      </c>
      <c r="J89" s="9" t="n">
        <v>2</v>
      </c>
      <c r="K89" s="7" t="inlineStr">
        <is>
          <t>L ou kg/ha</t>
        </is>
      </c>
      <c r="L89" s="9" t="n">
        <v>1</v>
      </c>
      <c r="M89" s="7" t="inlineStr">
        <is>
          <t>Aplicar conforme monitoramento e estádio recomendado na bula (FRAC Grupo M05 — Multissítio)</t>
        </is>
      </c>
    </row>
    <row r="90" ht="22" customHeight="1">
      <c r="A90" s="12" t="inlineStr">
        <is>
          <t>ALV-0086</t>
        </is>
      </c>
      <c r="B90" s="11" t="n">
        <v>40</v>
      </c>
      <c r="C90" s="13" t="inlineStr">
        <is>
          <t>Nº 23419</t>
        </is>
      </c>
      <c r="D90" s="14" t="inlineStr">
        <is>
          <t>SAFENITH</t>
        </is>
      </c>
      <c r="E90" s="13" t="inlineStr">
        <is>
          <t>Fungicida</t>
        </is>
      </c>
      <c r="F90" s="13" t="inlineStr">
        <is>
          <t>Ferrugem-asiática</t>
        </is>
      </c>
      <c r="G90" s="13" t="inlineStr">
        <is>
          <t>Phakopsora pachyrhizi</t>
        </is>
      </c>
      <c r="H90" s="13" t="inlineStr">
        <is>
          <t>NÃO</t>
        </is>
      </c>
      <c r="I90" s="18" t="n">
        <v>1.5</v>
      </c>
      <c r="J90" s="15" t="n">
        <v>2</v>
      </c>
      <c r="K90" s="13" t="inlineStr">
        <is>
          <t>L ou kg/ha</t>
        </is>
      </c>
      <c r="L90" s="15" t="n">
        <v>1</v>
      </c>
      <c r="M90" s="13" t="inlineStr">
        <is>
          <t>Aplicar conforme monitoramento e estádio recomendado na bula (FRAC Grupo M05 — Multissítio)</t>
        </is>
      </c>
    </row>
    <row r="91" ht="22" customHeight="1">
      <c r="A91" s="6" t="inlineStr">
        <is>
          <t>ALV-0087</t>
        </is>
      </c>
      <c r="B91" s="5" t="n">
        <v>40</v>
      </c>
      <c r="C91" s="7" t="inlineStr">
        <is>
          <t>Nº 23419</t>
        </is>
      </c>
      <c r="D91" s="8" t="inlineStr">
        <is>
          <t>SAFENITH</t>
        </is>
      </c>
      <c r="E91" s="7" t="inlineStr">
        <is>
          <t>Fungicida</t>
        </is>
      </c>
      <c r="F91" s="7" t="inlineStr">
        <is>
          <t>Mancha-alvo</t>
        </is>
      </c>
      <c r="G91" s="7" t="inlineStr">
        <is>
          <t>Corynespora cassiicola</t>
        </is>
      </c>
      <c r="H91" s="7" t="inlineStr">
        <is>
          <t>NÃO</t>
        </is>
      </c>
      <c r="I91" s="17" t="n">
        <v>1.5</v>
      </c>
      <c r="J91" s="17" t="n">
        <v>2.5</v>
      </c>
      <c r="K91" s="7" t="inlineStr">
        <is>
          <t>L ou kg/ha</t>
        </is>
      </c>
      <c r="L91" s="9" t="n">
        <v>1</v>
      </c>
      <c r="M91" s="7" t="inlineStr">
        <is>
          <t>Aplicar conforme monitoramento e estádio recomendado na bula (FRAC Grupo M05 — Multissítio)</t>
        </is>
      </c>
    </row>
    <row r="92" ht="22" customHeight="1">
      <c r="A92" s="12" t="inlineStr">
        <is>
          <t>ALV-0088</t>
        </is>
      </c>
      <c r="B92" s="11" t="n">
        <v>40</v>
      </c>
      <c r="C92" s="13" t="inlineStr">
        <is>
          <t>Nº 23419</t>
        </is>
      </c>
      <c r="D92" s="14" t="inlineStr">
        <is>
          <t>SAFENITH</t>
        </is>
      </c>
      <c r="E92" s="13" t="inlineStr">
        <is>
          <t>Fungicida</t>
        </is>
      </c>
      <c r="F92" s="13" t="inlineStr">
        <is>
          <t>Cercosporiose</t>
        </is>
      </c>
      <c r="G92" s="13" t="inlineStr">
        <is>
          <t>Cercospora kikuchii</t>
        </is>
      </c>
      <c r="H92" s="13" t="inlineStr">
        <is>
          <t>NÃO</t>
        </is>
      </c>
      <c r="I92" s="18" t="n">
        <v>1.5</v>
      </c>
      <c r="J92" s="15" t="n">
        <v>2</v>
      </c>
      <c r="K92" s="13" t="inlineStr">
        <is>
          <t>L ou kg/ha</t>
        </is>
      </c>
      <c r="L92" s="15" t="n">
        <v>1</v>
      </c>
      <c r="M92" s="13" t="inlineStr">
        <is>
          <t>Aplicar conforme monitoramento e estádio recomendado na bula (FRAC Grupo M05 — Multissítio)</t>
        </is>
      </c>
    </row>
    <row r="93" ht="22" customHeight="1">
      <c r="A93" s="6" t="inlineStr">
        <is>
          <t>ALV-0089</t>
        </is>
      </c>
      <c r="B93" s="5" t="n">
        <v>41</v>
      </c>
      <c r="C93" s="7" t="inlineStr">
        <is>
          <t>Nº 24320</t>
        </is>
      </c>
      <c r="D93" s="8" t="inlineStr">
        <is>
          <t>CLOPANTO</t>
        </is>
      </c>
      <c r="E93" s="7" t="inlineStr">
        <is>
          <t>Inseticida</t>
        </is>
      </c>
      <c r="F93" s="7" t="inlineStr">
        <is>
          <t>Lagarta-do-cartucho</t>
        </is>
      </c>
      <c r="G93" s="7" t="inlineStr">
        <is>
          <t>Spodoptera frugiperda</t>
        </is>
      </c>
      <c r="H93" s="7" t="inlineStr">
        <is>
          <t>SIM (*)</t>
        </is>
      </c>
      <c r="I93" s="17" t="n">
        <v>0.4</v>
      </c>
      <c r="J93" s="17" t="n">
        <v>0.6</v>
      </c>
      <c r="K93" s="7" t="inlineStr">
        <is>
          <t>L/ha</t>
        </is>
      </c>
      <c r="L93" s="9" t="n">
        <v>1</v>
      </c>
      <c r="M93" s="7" t="inlineStr">
        <is>
          <t>Aplicar conforme monitoramento e estádio recomendado na bula (IRAC Grupo 1B)</t>
        </is>
      </c>
    </row>
    <row r="94" ht="22" customHeight="1">
      <c r="A94" s="12" t="inlineStr">
        <is>
          <t>ALV-0090</t>
        </is>
      </c>
      <c r="B94" s="11" t="n">
        <v>41</v>
      </c>
      <c r="C94" s="13" t="inlineStr">
        <is>
          <t>Nº 24320</t>
        </is>
      </c>
      <c r="D94" s="14" t="inlineStr">
        <is>
          <t>CLOPANTO</t>
        </is>
      </c>
      <c r="E94" s="13" t="inlineStr">
        <is>
          <t>Inseticida</t>
        </is>
      </c>
      <c r="F94" s="13" t="inlineStr">
        <is>
          <t>Lagarta-da-soja</t>
        </is>
      </c>
      <c r="G94" s="13" t="inlineStr">
        <is>
          <t>Anticarsia gemmatalis</t>
        </is>
      </c>
      <c r="H94" s="13" t="inlineStr">
        <is>
          <t>NÃO</t>
        </is>
      </c>
      <c r="I94" s="18" t="n">
        <v>0.4</v>
      </c>
      <c r="J94" s="15" t="n">
        <v>1</v>
      </c>
      <c r="K94" s="13" t="inlineStr">
        <is>
          <t>L/ha</t>
        </is>
      </c>
      <c r="L94" s="15" t="n">
        <v>1</v>
      </c>
      <c r="M94" s="13" t="inlineStr">
        <is>
          <t>Aplicar conforme monitoramento e estádio recomendado na bula (IRAC Grupo 1B)</t>
        </is>
      </c>
    </row>
    <row r="95" ht="22" customHeight="1">
      <c r="A95" s="6" t="inlineStr">
        <is>
          <t>ALV-0091</t>
        </is>
      </c>
      <c r="B95" s="5" t="n">
        <v>41</v>
      </c>
      <c r="C95" s="7" t="inlineStr">
        <is>
          <t>Nº 24320</t>
        </is>
      </c>
      <c r="D95" s="8" t="inlineStr">
        <is>
          <t>CLOPANTO</t>
        </is>
      </c>
      <c r="E95" s="7" t="inlineStr">
        <is>
          <t>Inseticida</t>
        </is>
      </c>
      <c r="F95" s="7" t="inlineStr">
        <is>
          <t>Broca-do-café</t>
        </is>
      </c>
      <c r="G95" s="7" t="inlineStr">
        <is>
          <t>Hypothenemus hampei</t>
        </is>
      </c>
      <c r="H95" s="7" t="inlineStr">
        <is>
          <t>NÃO</t>
        </is>
      </c>
      <c r="I95" s="9" t="n">
        <v>1</v>
      </c>
      <c r="J95" s="17" t="n">
        <v>1.5</v>
      </c>
      <c r="K95" s="7" t="inlineStr">
        <is>
          <t>L/ha</t>
        </is>
      </c>
      <c r="L95" s="9" t="n">
        <v>1</v>
      </c>
      <c r="M95" s="7" t="inlineStr">
        <is>
          <t>Aplicar conforme monitoramento e estádio recomendado na bula (IRAC Grupo 1B)</t>
        </is>
      </c>
    </row>
    <row r="96" ht="22" customHeight="1">
      <c r="A96" s="12" t="inlineStr">
        <is>
          <t>ALV-0092</t>
        </is>
      </c>
      <c r="B96" s="11" t="n">
        <v>42</v>
      </c>
      <c r="C96" s="13" t="inlineStr">
        <is>
          <t>Nº 7899</t>
        </is>
      </c>
      <c r="D96" s="14" t="inlineStr">
        <is>
          <t>KLORPAN 480 EC</t>
        </is>
      </c>
      <c r="E96" s="13" t="inlineStr">
        <is>
          <t>Inseticida</t>
        </is>
      </c>
      <c r="F96" s="13" t="inlineStr">
        <is>
          <t>Lagarta-do-cartucho</t>
        </is>
      </c>
      <c r="G96" s="13" t="inlineStr">
        <is>
          <t>Spodoptera frugiperda</t>
        </is>
      </c>
      <c r="H96" s="13" t="inlineStr">
        <is>
          <t>SIM (*)</t>
        </is>
      </c>
      <c r="I96" s="18" t="n">
        <v>0.4</v>
      </c>
      <c r="J96" s="18" t="n">
        <v>0.6</v>
      </c>
      <c r="K96" s="13" t="inlineStr">
        <is>
          <t>L/ha</t>
        </is>
      </c>
      <c r="L96" s="15" t="n">
        <v>1</v>
      </c>
      <c r="M96" s="13" t="inlineStr">
        <is>
          <t>Aplicar conforme monitoramento e estádio recomendado na bula (IRAC Grupo 1B)</t>
        </is>
      </c>
    </row>
    <row r="97" ht="22" customHeight="1">
      <c r="A97" s="6" t="inlineStr">
        <is>
          <t>ALV-0093</t>
        </is>
      </c>
      <c r="B97" s="5" t="n">
        <v>42</v>
      </c>
      <c r="C97" s="7" t="inlineStr">
        <is>
          <t>Nº 7899</t>
        </is>
      </c>
      <c r="D97" s="8" t="inlineStr">
        <is>
          <t>KLORPAN 480 EC</t>
        </is>
      </c>
      <c r="E97" s="7" t="inlineStr">
        <is>
          <t>Inseticida</t>
        </is>
      </c>
      <c r="F97" s="7" t="inlineStr">
        <is>
          <t>Lagarta-da-soja</t>
        </is>
      </c>
      <c r="G97" s="7" t="inlineStr">
        <is>
          <t>Anticarsia gemmatalis</t>
        </is>
      </c>
      <c r="H97" s="7" t="inlineStr">
        <is>
          <t>NÃO</t>
        </is>
      </c>
      <c r="I97" s="17" t="n">
        <v>0.4</v>
      </c>
      <c r="J97" s="9" t="n">
        <v>1</v>
      </c>
      <c r="K97" s="7" t="inlineStr">
        <is>
          <t>L/ha</t>
        </is>
      </c>
      <c r="L97" s="9" t="n">
        <v>1</v>
      </c>
      <c r="M97" s="7" t="inlineStr">
        <is>
          <t>Aplicar conforme monitoramento e estádio recomendado na bula (IRAC Grupo 1B)</t>
        </is>
      </c>
    </row>
    <row r="98" ht="22" customHeight="1">
      <c r="A98" s="12" t="inlineStr">
        <is>
          <t>ALV-0094</t>
        </is>
      </c>
      <c r="B98" s="11" t="n">
        <v>42</v>
      </c>
      <c r="C98" s="13" t="inlineStr">
        <is>
          <t>Nº 7899</t>
        </is>
      </c>
      <c r="D98" s="14" t="inlineStr">
        <is>
          <t>KLORPAN 480 EC</t>
        </is>
      </c>
      <c r="E98" s="13" t="inlineStr">
        <is>
          <t>Inseticida</t>
        </is>
      </c>
      <c r="F98" s="13" t="inlineStr">
        <is>
          <t>Broca-do-café</t>
        </is>
      </c>
      <c r="G98" s="13" t="inlineStr">
        <is>
          <t>Hypothenemus hampei</t>
        </is>
      </c>
      <c r="H98" s="13" t="inlineStr">
        <is>
          <t>NÃO</t>
        </is>
      </c>
      <c r="I98" s="15" t="n">
        <v>1</v>
      </c>
      <c r="J98" s="18" t="n">
        <v>1.5</v>
      </c>
      <c r="K98" s="13" t="inlineStr">
        <is>
          <t>L/ha</t>
        </is>
      </c>
      <c r="L98" s="15" t="n">
        <v>1</v>
      </c>
      <c r="M98" s="13" t="inlineStr">
        <is>
          <t>Aplicar conforme monitoramento e estádio recomendado na bula (IRAC Grupo 1B)</t>
        </is>
      </c>
    </row>
    <row r="99" ht="22" customHeight="1">
      <c r="A99" s="6" t="inlineStr">
        <is>
          <t>ALV-0095</t>
        </is>
      </c>
      <c r="B99" s="5" t="n">
        <v>43</v>
      </c>
      <c r="C99" s="7" t="inlineStr">
        <is>
          <t>Nº 18618</t>
        </is>
      </c>
      <c r="D99" s="8" t="inlineStr">
        <is>
          <t>WILD</t>
        </is>
      </c>
      <c r="E99" s="7" t="inlineStr">
        <is>
          <t>Inseticida</t>
        </is>
      </c>
      <c r="F99" s="7" t="inlineStr">
        <is>
          <t>Lagarta-do-cartucho</t>
        </is>
      </c>
      <c r="G99" s="7" t="inlineStr">
        <is>
          <t>Spodoptera frugiperda</t>
        </is>
      </c>
      <c r="H99" s="7" t="inlineStr">
        <is>
          <t>SIM (*)</t>
        </is>
      </c>
      <c r="I99" s="17" t="n">
        <v>0.4</v>
      </c>
      <c r="J99" s="17" t="n">
        <v>0.6</v>
      </c>
      <c r="K99" s="7" t="inlineStr">
        <is>
          <t>L/ha</t>
        </is>
      </c>
      <c r="L99" s="9" t="n">
        <v>1</v>
      </c>
      <c r="M99" s="7" t="inlineStr">
        <is>
          <t>Aplicar conforme monitoramento e estádio recomendado na bula (IRAC Grupo 1B)</t>
        </is>
      </c>
    </row>
    <row r="100" ht="22" customHeight="1">
      <c r="A100" s="12" t="inlineStr">
        <is>
          <t>ALV-0096</t>
        </is>
      </c>
      <c r="B100" s="11" t="n">
        <v>43</v>
      </c>
      <c r="C100" s="13" t="inlineStr">
        <is>
          <t>Nº 18618</t>
        </is>
      </c>
      <c r="D100" s="14" t="inlineStr">
        <is>
          <t>WILD</t>
        </is>
      </c>
      <c r="E100" s="13" t="inlineStr">
        <is>
          <t>Inseticida</t>
        </is>
      </c>
      <c r="F100" s="13" t="inlineStr">
        <is>
          <t>Lagarta-da-soja</t>
        </is>
      </c>
      <c r="G100" s="13" t="inlineStr">
        <is>
          <t>Anticarsia gemmatalis</t>
        </is>
      </c>
      <c r="H100" s="13" t="inlineStr">
        <is>
          <t>NÃO</t>
        </is>
      </c>
      <c r="I100" s="18" t="n">
        <v>0.4</v>
      </c>
      <c r="J100" s="15" t="n">
        <v>1</v>
      </c>
      <c r="K100" s="13" t="inlineStr">
        <is>
          <t>L/ha</t>
        </is>
      </c>
      <c r="L100" s="15" t="n">
        <v>1</v>
      </c>
      <c r="M100" s="13" t="inlineStr">
        <is>
          <t>Aplicar conforme monitoramento e estádio recomendado na bula (IRAC Grupo 1B)</t>
        </is>
      </c>
    </row>
    <row r="101" ht="22" customHeight="1">
      <c r="A101" s="6" t="inlineStr">
        <is>
          <t>ALV-0097</t>
        </is>
      </c>
      <c r="B101" s="5" t="n">
        <v>43</v>
      </c>
      <c r="C101" s="7" t="inlineStr">
        <is>
          <t>Nº 18618</t>
        </is>
      </c>
      <c r="D101" s="8" t="inlineStr">
        <is>
          <t>WILD</t>
        </is>
      </c>
      <c r="E101" s="7" t="inlineStr">
        <is>
          <t>Inseticida</t>
        </is>
      </c>
      <c r="F101" s="7" t="inlineStr">
        <is>
          <t>Broca-do-café</t>
        </is>
      </c>
      <c r="G101" s="7" t="inlineStr">
        <is>
          <t>Hypothenemus hampei</t>
        </is>
      </c>
      <c r="H101" s="7" t="inlineStr">
        <is>
          <t>NÃO</t>
        </is>
      </c>
      <c r="I101" s="9" t="n">
        <v>1</v>
      </c>
      <c r="J101" s="17" t="n">
        <v>1.5</v>
      </c>
      <c r="K101" s="7" t="inlineStr">
        <is>
          <t>L/ha</t>
        </is>
      </c>
      <c r="L101" s="9" t="n">
        <v>1</v>
      </c>
      <c r="M101" s="7" t="inlineStr">
        <is>
          <t>Aplicar conforme monitoramento e estádio recomendado na bula (IRAC Grupo 1B)</t>
        </is>
      </c>
    </row>
    <row r="102" ht="22" customHeight="1">
      <c r="A102" s="12" t="inlineStr">
        <is>
          <t>ALV-0098</t>
        </is>
      </c>
      <c r="B102" s="11" t="n">
        <v>44</v>
      </c>
      <c r="C102" s="13" t="inlineStr">
        <is>
          <t>ISENTO (ATO 104/2017)</t>
        </is>
      </c>
      <c r="D102" s="14" t="inlineStr">
        <is>
          <t>AGCN DESALOJ TAB 12X0,8KG</t>
        </is>
      </c>
      <c r="E102" s="13" t="inlineStr">
        <is>
          <t>Desalojante Químico Auxiliar</t>
        </is>
      </c>
      <c r="F102" s="13" t="inlineStr">
        <is>
          <t>Complexo de Lagartas, Percevejos e Sugadores</t>
        </is>
      </c>
      <c r="G102" s="13" t="inlineStr">
        <is>
          <t>Spodoptera / Euschistus / Bemisia</t>
        </is>
      </c>
      <c r="H102" s="13" t="inlineStr">
        <is>
          <t>NÃO</t>
        </is>
      </c>
      <c r="I102" s="18" t="n">
        <v>0.15</v>
      </c>
      <c r="J102" s="15" t="n">
        <v>1</v>
      </c>
      <c r="K102" s="13" t="inlineStr">
        <is>
          <t>L ou kg/ha</t>
        </is>
      </c>
      <c r="L102" s="15" t="n">
        <v>1</v>
      </c>
      <c r="M102" s="13" t="inlineStr">
        <is>
          <t>Aplicar conforme monitoramento e estádio recomendado na bula (Classificação IRAC Oficial conforme Bula)</t>
        </is>
      </c>
    </row>
    <row r="103" ht="22" customHeight="1">
      <c r="A103" s="6" t="inlineStr">
        <is>
          <t>ALV-0099</t>
        </is>
      </c>
      <c r="B103" s="5" t="n">
        <v>45</v>
      </c>
      <c r="C103" s="7" t="inlineStr">
        <is>
          <t>Nº 5097</t>
        </is>
      </c>
      <c r="D103" s="8" t="inlineStr">
        <is>
          <t>SPIDER 840 WG 10X0,21KG</t>
        </is>
      </c>
      <c r="E103" s="7" t="inlineStr">
        <is>
          <t>Herbicida</t>
        </is>
      </c>
      <c r="F103" s="7" t="inlineStr">
        <is>
          <t>Plantas Daninhas Mono e Dicotiledôneas</t>
        </is>
      </c>
      <c r="G103" s="7" t="inlineStr">
        <is>
          <t>Flora Infestante</t>
        </is>
      </c>
      <c r="H103" s="7" t="inlineStr">
        <is>
          <t>NÃO</t>
        </is>
      </c>
      <c r="I103" s="17" t="n">
        <v>0.25</v>
      </c>
      <c r="J103" s="9" t="n">
        <v>2</v>
      </c>
      <c r="K103" s="7" t="inlineStr">
        <is>
          <t>L ou kg/ha</t>
        </is>
      </c>
      <c r="L103" s="9" t="n">
        <v>1</v>
      </c>
      <c r="M103" s="7" t="inlineStr">
        <is>
          <t>Aplicar conforme monitoramento e estádio recomendado na bula (Classificação HRAC Oficial conforme Bula)</t>
        </is>
      </c>
    </row>
    <row r="104" ht="22" customHeight="1">
      <c r="A104" s="12" t="inlineStr">
        <is>
          <t>ALV-0100</t>
        </is>
      </c>
      <c r="B104" s="11" t="n">
        <v>46</v>
      </c>
      <c r="C104" s="13" t="inlineStr">
        <is>
          <t>Nº 15716</t>
        </is>
      </c>
      <c r="D104" s="14" t="inlineStr">
        <is>
          <t>DIFCOR 250 EC BR</t>
        </is>
      </c>
      <c r="E104" s="13" t="inlineStr">
        <is>
          <t>Fungicida</t>
        </is>
      </c>
      <c r="F104" s="13" t="inlineStr">
        <is>
          <t>Mancha-alvo</t>
        </is>
      </c>
      <c r="G104" s="13" t="inlineStr">
        <is>
          <t>Corynespora cassiicola</t>
        </is>
      </c>
      <c r="H104" s="13" t="inlineStr">
        <is>
          <t>SIM (*)</t>
        </is>
      </c>
      <c r="I104" s="18" t="n">
        <v>0.3</v>
      </c>
      <c r="J104" s="18" t="n">
        <v>0.5</v>
      </c>
      <c r="K104" s="13" t="inlineStr">
        <is>
          <t>L/ha</t>
        </is>
      </c>
      <c r="L104" s="15" t="n">
        <v>1</v>
      </c>
      <c r="M104" s="13" t="inlineStr">
        <is>
          <t>Aplicar conforme monitoramento e estádio recomendado na bula (FRAC Grupo 3 (DMI))</t>
        </is>
      </c>
    </row>
    <row r="105" ht="22" customHeight="1">
      <c r="A105" s="6" t="inlineStr">
        <is>
          <t>ALV-0101</t>
        </is>
      </c>
      <c r="B105" s="5" t="n">
        <v>46</v>
      </c>
      <c r="C105" s="7" t="inlineStr">
        <is>
          <t>Nº 15716</t>
        </is>
      </c>
      <c r="D105" s="8" t="inlineStr">
        <is>
          <t>DIFCOR 250 EC BR</t>
        </is>
      </c>
      <c r="E105" s="7" t="inlineStr">
        <is>
          <t>Fungicida</t>
        </is>
      </c>
      <c r="F105" s="7" t="inlineStr">
        <is>
          <t>Oídio</t>
        </is>
      </c>
      <c r="G105" s="7" t="inlineStr">
        <is>
          <t>Microsphaera diffusa</t>
        </is>
      </c>
      <c r="H105" s="7" t="inlineStr">
        <is>
          <t>NÃO</t>
        </is>
      </c>
      <c r="I105" s="17" t="n">
        <v>0.2</v>
      </c>
      <c r="J105" s="17" t="n">
        <v>0.3</v>
      </c>
      <c r="K105" s="7" t="inlineStr">
        <is>
          <t>L/ha</t>
        </is>
      </c>
      <c r="L105" s="9" t="n">
        <v>1</v>
      </c>
      <c r="M105" s="7" t="inlineStr">
        <is>
          <t>Aplicar conforme monitoramento e estádio recomendado na bula (FRAC Grupo 3 (DMI))</t>
        </is>
      </c>
    </row>
    <row r="106" ht="22" customHeight="1">
      <c r="A106" s="12" t="inlineStr">
        <is>
          <t>ALV-0102</t>
        </is>
      </c>
      <c r="B106" s="11" t="n">
        <v>46</v>
      </c>
      <c r="C106" s="13" t="inlineStr">
        <is>
          <t>Nº 15716</t>
        </is>
      </c>
      <c r="D106" s="14" t="inlineStr">
        <is>
          <t>DIFCOR 250 EC BR</t>
        </is>
      </c>
      <c r="E106" s="13" t="inlineStr">
        <is>
          <t>Fungicida</t>
        </is>
      </c>
      <c r="F106" s="13" t="inlineStr">
        <is>
          <t>Antracnose</t>
        </is>
      </c>
      <c r="G106" s="13" t="inlineStr">
        <is>
          <t>Colletotrichum truncatum</t>
        </is>
      </c>
      <c r="H106" s="13" t="inlineStr">
        <is>
          <t>NÃO</t>
        </is>
      </c>
      <c r="I106" s="18" t="n">
        <v>0.3</v>
      </c>
      <c r="J106" s="18" t="n">
        <v>0.4</v>
      </c>
      <c r="K106" s="13" t="inlineStr">
        <is>
          <t>L/ha</t>
        </is>
      </c>
      <c r="L106" s="15" t="n">
        <v>1</v>
      </c>
      <c r="M106" s="13" t="inlineStr">
        <is>
          <t>Aplicar conforme monitoramento e estádio recomendado na bula (FRAC Grupo 3 (DMI))</t>
        </is>
      </c>
    </row>
    <row r="107" ht="22" customHeight="1">
      <c r="A107" s="6" t="inlineStr">
        <is>
          <t>ALV-0103</t>
        </is>
      </c>
      <c r="B107" s="5" t="n">
        <v>47</v>
      </c>
      <c r="C107" s="7" t="inlineStr">
        <is>
          <t>Nº 19217</t>
        </is>
      </c>
      <c r="D107" s="8" t="inlineStr">
        <is>
          <t>BLOWOUT</t>
        </is>
      </c>
      <c r="E107" s="7" t="inlineStr">
        <is>
          <t>Herbicida Dessecante</t>
        </is>
      </c>
      <c r="F107" s="7" t="inlineStr">
        <is>
          <t>Buva</t>
        </is>
      </c>
      <c r="G107" s="7" t="inlineStr">
        <is>
          <t>Conyza bonariensis</t>
        </is>
      </c>
      <c r="H107" s="7" t="inlineStr">
        <is>
          <t>NÃO</t>
        </is>
      </c>
      <c r="I107" s="17" t="n">
        <v>1.5</v>
      </c>
      <c r="J107" s="17" t="n">
        <v>2.5</v>
      </c>
      <c r="K107" s="7" t="inlineStr">
        <is>
          <t>L/ha</t>
        </is>
      </c>
      <c r="L107" s="9" t="n">
        <v>1</v>
      </c>
      <c r="M107" s="7" t="inlineStr">
        <is>
          <t>Aplicar conforme monitoramento e estádio recomendado na bula (HRAC Grupo D (22) — Desviadores de Elétrons do Fotossistema I)</t>
        </is>
      </c>
    </row>
    <row r="108" ht="22" customHeight="1">
      <c r="A108" s="12" t="inlineStr">
        <is>
          <t>ALV-0104</t>
        </is>
      </c>
      <c r="B108" s="11" t="n">
        <v>47</v>
      </c>
      <c r="C108" s="13" t="inlineStr">
        <is>
          <t>Nº 19217</t>
        </is>
      </c>
      <c r="D108" s="14" t="inlineStr">
        <is>
          <t>BLOWOUT</t>
        </is>
      </c>
      <c r="E108" s="13" t="inlineStr">
        <is>
          <t>Herbicida Dessecante</t>
        </is>
      </c>
      <c r="F108" s="13" t="inlineStr">
        <is>
          <t>Corda-de-viola</t>
        </is>
      </c>
      <c r="G108" s="13" t="inlineStr">
        <is>
          <t>Ipomoea grandifolia</t>
        </is>
      </c>
      <c r="H108" s="13" t="inlineStr">
        <is>
          <t>NÃO</t>
        </is>
      </c>
      <c r="I108" s="18" t="n">
        <v>1.5</v>
      </c>
      <c r="J108" s="15" t="n">
        <v>2</v>
      </c>
      <c r="K108" s="13" t="inlineStr">
        <is>
          <t>L/ha</t>
        </is>
      </c>
      <c r="L108" s="15" t="n">
        <v>1</v>
      </c>
      <c r="M108" s="13" t="inlineStr">
        <is>
          <t>Aplicar conforme monitoramento e estádio recomendado na bula (HRAC Grupo D (22) — Desviadores de Elétrons do Fotossistema I)</t>
        </is>
      </c>
    </row>
    <row r="109" ht="22" customHeight="1">
      <c r="A109" s="6" t="inlineStr">
        <is>
          <t>ALV-0105</t>
        </is>
      </c>
      <c r="B109" s="5" t="n">
        <v>47</v>
      </c>
      <c r="C109" s="7" t="inlineStr">
        <is>
          <t>Nº 19217</t>
        </is>
      </c>
      <c r="D109" s="8" t="inlineStr">
        <is>
          <t>BLOWOUT</t>
        </is>
      </c>
      <c r="E109" s="7" t="inlineStr">
        <is>
          <t>Herbicida Dessecante</t>
        </is>
      </c>
      <c r="F109" s="7" t="inlineStr">
        <is>
          <t>Dessecação Pré-Colheita Soja</t>
        </is>
      </c>
      <c r="G109" s="7" t="inlineStr">
        <is>
          <t>Glycine max</t>
        </is>
      </c>
      <c r="H109" s="7" t="inlineStr">
        <is>
          <t>NÃO</t>
        </is>
      </c>
      <c r="I109" s="17" t="n">
        <v>1.5</v>
      </c>
      <c r="J109" s="9" t="n">
        <v>2</v>
      </c>
      <c r="K109" s="7" t="inlineStr">
        <is>
          <t>L/ha</t>
        </is>
      </c>
      <c r="L109" s="9" t="n">
        <v>1</v>
      </c>
      <c r="M109" s="7" t="inlineStr">
        <is>
          <t>Aplicar conforme monitoramento e estádio recomendado na bula (HRAC Grupo D (22) — Desviadores de Elétrons do Fotossistema I)</t>
        </is>
      </c>
    </row>
    <row r="110" ht="22" customHeight="1">
      <c r="A110" s="12" t="inlineStr">
        <is>
          <t>ALV-0106</t>
        </is>
      </c>
      <c r="B110" s="11" t="n">
        <v>48</v>
      </c>
      <c r="C110" s="13" t="inlineStr">
        <is>
          <t>Nº 25216</t>
        </is>
      </c>
      <c r="D110" s="14" t="inlineStr">
        <is>
          <t>DESSICASH 200</t>
        </is>
      </c>
      <c r="E110" s="13" t="inlineStr">
        <is>
          <t>Herbicida Dessecante</t>
        </is>
      </c>
      <c r="F110" s="13" t="inlineStr">
        <is>
          <t>Buva</t>
        </is>
      </c>
      <c r="G110" s="13" t="inlineStr">
        <is>
          <t>Conyza bonariensis</t>
        </is>
      </c>
      <c r="H110" s="13" t="inlineStr">
        <is>
          <t>NÃO</t>
        </is>
      </c>
      <c r="I110" s="18" t="n">
        <v>1.5</v>
      </c>
      <c r="J110" s="18" t="n">
        <v>2.5</v>
      </c>
      <c r="K110" s="13" t="inlineStr">
        <is>
          <t>L/ha</t>
        </is>
      </c>
      <c r="L110" s="15" t="n">
        <v>1</v>
      </c>
      <c r="M110" s="13" t="inlineStr">
        <is>
          <t>Aplicar conforme monitoramento e estádio recomendado na bula (HRAC Grupo D (22) — Desviadores de Elétrons do Fotossistema I)</t>
        </is>
      </c>
    </row>
    <row r="111" ht="22" customHeight="1">
      <c r="A111" s="6" t="inlineStr">
        <is>
          <t>ALV-0107</t>
        </is>
      </c>
      <c r="B111" s="5" t="n">
        <v>48</v>
      </c>
      <c r="C111" s="7" t="inlineStr">
        <is>
          <t>Nº 25216</t>
        </is>
      </c>
      <c r="D111" s="8" t="inlineStr">
        <is>
          <t>DESSICASH 200</t>
        </is>
      </c>
      <c r="E111" s="7" t="inlineStr">
        <is>
          <t>Herbicida Dessecante</t>
        </is>
      </c>
      <c r="F111" s="7" t="inlineStr">
        <is>
          <t>Corda-de-viola</t>
        </is>
      </c>
      <c r="G111" s="7" t="inlineStr">
        <is>
          <t>Ipomoea grandifolia</t>
        </is>
      </c>
      <c r="H111" s="7" t="inlineStr">
        <is>
          <t>NÃO</t>
        </is>
      </c>
      <c r="I111" s="17" t="n">
        <v>1.5</v>
      </c>
      <c r="J111" s="9" t="n">
        <v>2</v>
      </c>
      <c r="K111" s="7" t="inlineStr">
        <is>
          <t>L/ha</t>
        </is>
      </c>
      <c r="L111" s="9" t="n">
        <v>1</v>
      </c>
      <c r="M111" s="7" t="inlineStr">
        <is>
          <t>Aplicar conforme monitoramento e estádio recomendado na bula (HRAC Grupo D (22) — Desviadores de Elétrons do Fotossistema I)</t>
        </is>
      </c>
    </row>
    <row r="112" ht="22" customHeight="1">
      <c r="A112" s="12" t="inlineStr">
        <is>
          <t>ALV-0108</t>
        </is>
      </c>
      <c r="B112" s="11" t="n">
        <v>48</v>
      </c>
      <c r="C112" s="13" t="inlineStr">
        <is>
          <t>Nº 25216</t>
        </is>
      </c>
      <c r="D112" s="14" t="inlineStr">
        <is>
          <t>DESSICASH 200</t>
        </is>
      </c>
      <c r="E112" s="13" t="inlineStr">
        <is>
          <t>Herbicida Dessecante</t>
        </is>
      </c>
      <c r="F112" s="13" t="inlineStr">
        <is>
          <t>Dessecação Pré-Colheita Soja</t>
        </is>
      </c>
      <c r="G112" s="13" t="inlineStr">
        <is>
          <t>Glycine max</t>
        </is>
      </c>
      <c r="H112" s="13" t="inlineStr">
        <is>
          <t>NÃO</t>
        </is>
      </c>
      <c r="I112" s="18" t="n">
        <v>1.5</v>
      </c>
      <c r="J112" s="15" t="n">
        <v>2</v>
      </c>
      <c r="K112" s="13" t="inlineStr">
        <is>
          <t>L/ha</t>
        </is>
      </c>
      <c r="L112" s="15" t="n">
        <v>1</v>
      </c>
      <c r="M112" s="13" t="inlineStr">
        <is>
          <t>Aplicar conforme monitoramento e estádio recomendado na bula (HRAC Grupo D (22) — Desviadores de Elétrons do Fotossistema I)</t>
        </is>
      </c>
    </row>
    <row r="113" ht="22" customHeight="1">
      <c r="A113" s="6" t="inlineStr">
        <is>
          <t>ALV-0109</t>
        </is>
      </c>
      <c r="B113" s="5" t="n">
        <v>49</v>
      </c>
      <c r="C113" s="7" t="inlineStr">
        <is>
          <t>Nº 0812</t>
        </is>
      </c>
      <c r="D113" s="8" t="inlineStr">
        <is>
          <t>DIOX</t>
        </is>
      </c>
      <c r="E113" s="7" t="inlineStr">
        <is>
          <t>Herbicida</t>
        </is>
      </c>
      <c r="F113" s="7" t="inlineStr">
        <is>
          <t>Plantas Daninhas Mono e Dicotiledôneas</t>
        </is>
      </c>
      <c r="G113" s="7" t="inlineStr">
        <is>
          <t>Flora Infestante</t>
        </is>
      </c>
      <c r="H113" s="7" t="inlineStr">
        <is>
          <t>NÃO</t>
        </is>
      </c>
      <c r="I113" s="17" t="n">
        <v>0.25</v>
      </c>
      <c r="J113" s="9" t="n">
        <v>2</v>
      </c>
      <c r="K113" s="7" t="inlineStr">
        <is>
          <t>L ou kg/ha</t>
        </is>
      </c>
      <c r="L113" s="9" t="n">
        <v>1</v>
      </c>
      <c r="M113" s="7" t="inlineStr">
        <is>
          <t>Aplicar conforme monitoramento e estádio recomendado na bula (Classificação HRAC Oficial conforme Bula)</t>
        </is>
      </c>
    </row>
    <row r="114" ht="22" customHeight="1">
      <c r="A114" s="12" t="inlineStr">
        <is>
          <t>ALV-0110</t>
        </is>
      </c>
      <c r="B114" s="11" t="n">
        <v>50</v>
      </c>
      <c r="C114" s="13" t="inlineStr">
        <is>
          <t>SIPEAGRO (UF-XXXXX)</t>
        </is>
      </c>
      <c r="D114" s="14" t="inlineStr">
        <is>
          <t>AGCN ENXOFRE</t>
        </is>
      </c>
      <c r="E114" s="13" t="inlineStr">
        <is>
          <t>Fertilizante Foliar / Micronutrientes</t>
        </is>
      </c>
      <c r="F114" s="13" t="inlineStr">
        <is>
          <t>Nutrição e Correção de Deficiência Mineral</t>
        </is>
      </c>
      <c r="G114" s="13" t="inlineStr">
        <is>
          <t>Nutrição Vegetal</t>
        </is>
      </c>
      <c r="H114" s="13" t="inlineStr">
        <is>
          <t>NÃO</t>
        </is>
      </c>
      <c r="I114" s="15" t="n">
        <v>1</v>
      </c>
      <c r="J114" s="15" t="n">
        <v>250</v>
      </c>
      <c r="K114" s="13" t="inlineStr">
        <is>
          <t>kg ou L/ha</t>
        </is>
      </c>
      <c r="L114" s="15" t="n">
        <v>1</v>
      </c>
      <c r="M114" s="13" t="inlineStr">
        <is>
          <t>Aplicar conforme monitoramento e estádio recomendado na bula (Nutrição Vegetal SIPEAGRO)</t>
        </is>
      </c>
    </row>
    <row r="115" ht="22" customHeight="1">
      <c r="A115" s="6" t="inlineStr">
        <is>
          <t>ALV-0111</t>
        </is>
      </c>
      <c r="B115" s="5" t="n">
        <v>51</v>
      </c>
      <c r="C115" s="7" t="inlineStr">
        <is>
          <t>SIPEAGRO (UF-XXXXX)</t>
        </is>
      </c>
      <c r="D115" s="8" t="inlineStr">
        <is>
          <t>AGCN MG 16</t>
        </is>
      </c>
      <c r="E115" s="7" t="inlineStr">
        <is>
          <t>Fertilizante Foliar / Micronutrientes</t>
        </is>
      </c>
      <c r="F115" s="7" t="inlineStr">
        <is>
          <t>Nutrição e Correção de Deficiência Mineral</t>
        </is>
      </c>
      <c r="G115" s="7" t="inlineStr">
        <is>
          <t>Nutrição Vegetal</t>
        </is>
      </c>
      <c r="H115" s="7" t="inlineStr">
        <is>
          <t>NÃO</t>
        </is>
      </c>
      <c r="I115" s="9" t="n">
        <v>1</v>
      </c>
      <c r="J115" s="9" t="n">
        <v>250</v>
      </c>
      <c r="K115" s="7" t="inlineStr">
        <is>
          <t>kg ou L/ha</t>
        </is>
      </c>
      <c r="L115" s="9" t="n">
        <v>1</v>
      </c>
      <c r="M115" s="7" t="inlineStr">
        <is>
          <t>Aplicar conforme monitoramento e estádio recomendado na bula (Nutrição Vegetal SIPEAGRO)</t>
        </is>
      </c>
    </row>
    <row r="116" ht="22" customHeight="1">
      <c r="A116" s="12" t="inlineStr">
        <is>
          <t>ALV-0112</t>
        </is>
      </c>
      <c r="B116" s="11" t="n">
        <v>52</v>
      </c>
      <c r="C116" s="13" t="inlineStr">
        <is>
          <t>Nº 14314</t>
        </is>
      </c>
      <c r="D116" s="14" t="inlineStr">
        <is>
          <t>EXALT</t>
        </is>
      </c>
      <c r="E116" s="13" t="inlineStr">
        <is>
          <t>Inseticida</t>
        </is>
      </c>
      <c r="F116" s="13" t="inlineStr">
        <is>
          <t>Complexo de Lagartas, Percevejos e Sugadores</t>
        </is>
      </c>
      <c r="G116" s="13" t="inlineStr">
        <is>
          <t>Spodoptera / Euschistus / Bemisia</t>
        </is>
      </c>
      <c r="H116" s="13" t="inlineStr">
        <is>
          <t>NÃO</t>
        </is>
      </c>
      <c r="I116" s="18" t="n">
        <v>0.15</v>
      </c>
      <c r="J116" s="15" t="n">
        <v>1</v>
      </c>
      <c r="K116" s="13" t="inlineStr">
        <is>
          <t>L ou kg/ha</t>
        </is>
      </c>
      <c r="L116" s="15" t="n">
        <v>1</v>
      </c>
      <c r="M116" s="13" t="inlineStr">
        <is>
          <t>Aplicar conforme monitoramento e estádio recomendado na bula (Classificação IRAC Oficial conforme Bula)</t>
        </is>
      </c>
    </row>
    <row r="117" ht="22" customHeight="1">
      <c r="A117" s="6" t="inlineStr">
        <is>
          <t>ALV-0113</t>
        </is>
      </c>
      <c r="B117" s="5" t="n">
        <v>53</v>
      </c>
      <c r="C117" s="7" t="inlineStr">
        <is>
          <t>Nº 2520</t>
        </is>
      </c>
      <c r="D117" s="8" t="inlineStr">
        <is>
          <t>SURVEY 250 FS</t>
        </is>
      </c>
      <c r="E117" s="7" t="inlineStr">
        <is>
          <t>Inseticida e Cupinicida (Fipronil)</t>
        </is>
      </c>
      <c r="F117" s="7" t="inlineStr">
        <is>
          <t>Coró</t>
        </is>
      </c>
      <c r="G117" s="7" t="inlineStr">
        <is>
          <t>Phyllophaga cuyabana</t>
        </is>
      </c>
      <c r="H117" s="7" t="inlineStr">
        <is>
          <t>NÃO</t>
        </is>
      </c>
      <c r="I117" s="17" t="n">
        <v>0.1</v>
      </c>
      <c r="J117" s="17" t="n">
        <v>0.2</v>
      </c>
      <c r="K117" s="7" t="inlineStr">
        <is>
          <t>L/100kg sem.</t>
        </is>
      </c>
      <c r="L117" s="9" t="n">
        <v>1</v>
      </c>
      <c r="M117" s="7" t="inlineStr">
        <is>
          <t>Aplicar conforme monitoramento e estádio recomendado na bula (IRAC Grupo 2B)</t>
        </is>
      </c>
    </row>
    <row r="118" ht="22" customHeight="1">
      <c r="A118" s="12" t="inlineStr">
        <is>
          <t>ALV-0114</t>
        </is>
      </c>
      <c r="B118" s="11" t="n">
        <v>53</v>
      </c>
      <c r="C118" s="13" t="inlineStr">
        <is>
          <t>Nº 2520</t>
        </is>
      </c>
      <c r="D118" s="14" t="inlineStr">
        <is>
          <t>SURVEY 250 FS</t>
        </is>
      </c>
      <c r="E118" s="13" t="inlineStr">
        <is>
          <t>Inseticida e Cupinicida (Fipronil)</t>
        </is>
      </c>
      <c r="F118" s="13" t="inlineStr">
        <is>
          <t>Lagarta-elasmo</t>
        </is>
      </c>
      <c r="G118" s="13" t="inlineStr">
        <is>
          <t>Elasmopalpus lignosellus</t>
        </is>
      </c>
      <c r="H118" s="13" t="inlineStr">
        <is>
          <t>NÃO</t>
        </is>
      </c>
      <c r="I118" s="18" t="n">
        <v>0.1</v>
      </c>
      <c r="J118" s="18" t="n">
        <v>0.2</v>
      </c>
      <c r="K118" s="13" t="inlineStr">
        <is>
          <t>L/100kg sem.</t>
        </is>
      </c>
      <c r="L118" s="15" t="n">
        <v>1</v>
      </c>
      <c r="M118" s="13" t="inlineStr">
        <is>
          <t>Aplicar conforme monitoramento e estádio recomendado na bula (IRAC Grupo 2B)</t>
        </is>
      </c>
    </row>
    <row r="119" ht="22" customHeight="1">
      <c r="A119" s="6" t="inlineStr">
        <is>
          <t>ALV-0115</t>
        </is>
      </c>
      <c r="B119" s="5" t="n">
        <v>53</v>
      </c>
      <c r="C119" s="7" t="inlineStr">
        <is>
          <t>Nº 2520</t>
        </is>
      </c>
      <c r="D119" s="8" t="inlineStr">
        <is>
          <t>SURVEY 250 FS</t>
        </is>
      </c>
      <c r="E119" s="7" t="inlineStr">
        <is>
          <t>Inseticida e Cupinicida (Fipronil)</t>
        </is>
      </c>
      <c r="F119" s="7" t="inlineStr">
        <is>
          <t>Cupim-de-montículo</t>
        </is>
      </c>
      <c r="G119" s="7" t="inlineStr">
        <is>
          <t>Procornitermes triacifer</t>
        </is>
      </c>
      <c r="H119" s="7" t="inlineStr">
        <is>
          <t>NÃO</t>
        </is>
      </c>
      <c r="I119" s="17" t="n">
        <v>0.05</v>
      </c>
      <c r="J119" s="17" t="n">
        <v>0.2</v>
      </c>
      <c r="K119" s="7" t="inlineStr">
        <is>
          <t>kg ou L/ha</t>
        </is>
      </c>
      <c r="L119" s="9" t="n">
        <v>1</v>
      </c>
      <c r="M119" s="7" t="inlineStr">
        <is>
          <t>Aplicar conforme monitoramento e estádio recomendado na bula (IRAC Grupo 2B)</t>
        </is>
      </c>
    </row>
    <row r="120" ht="22" customHeight="1">
      <c r="A120" s="12" t="inlineStr">
        <is>
          <t>ALV-0116</t>
        </is>
      </c>
      <c r="B120" s="11" t="n">
        <v>54</v>
      </c>
      <c r="C120" s="13" t="inlineStr">
        <is>
          <t>Nº 0494</t>
        </is>
      </c>
      <c r="D120" s="14" t="inlineStr">
        <is>
          <t>SCORPION</t>
        </is>
      </c>
      <c r="E120" s="13" t="inlineStr">
        <is>
          <t>Herbicida</t>
        </is>
      </c>
      <c r="F120" s="13" t="inlineStr">
        <is>
          <t>Plantas Daninhas Mono e Dicotiledôneas</t>
        </is>
      </c>
      <c r="G120" s="13" t="inlineStr">
        <is>
          <t>Flora Infestante</t>
        </is>
      </c>
      <c r="H120" s="13" t="inlineStr">
        <is>
          <t>NÃO</t>
        </is>
      </c>
      <c r="I120" s="18" t="n">
        <v>0.25</v>
      </c>
      <c r="J120" s="15" t="n">
        <v>2</v>
      </c>
      <c r="K120" s="13" t="inlineStr">
        <is>
          <t>L ou kg/ha</t>
        </is>
      </c>
      <c r="L120" s="15" t="n">
        <v>1</v>
      </c>
      <c r="M120" s="13" t="inlineStr">
        <is>
          <t>Aplicar conforme monitoramento e estádio recomendado na bula (Classificação HRAC Oficial conforme Bula)</t>
        </is>
      </c>
    </row>
    <row r="121" ht="22" customHeight="1">
      <c r="A121" s="6" t="inlineStr">
        <is>
          <t>ALV-0117</t>
        </is>
      </c>
      <c r="B121" s="5" t="n">
        <v>55</v>
      </c>
      <c r="C121" s="7" t="inlineStr">
        <is>
          <t>Nº 8813</t>
        </is>
      </c>
      <c r="D121" s="8" t="inlineStr">
        <is>
          <t>ORKESTRA</t>
        </is>
      </c>
      <c r="E121" s="7" t="inlineStr">
        <is>
          <t>Fungicida</t>
        </is>
      </c>
      <c r="F121" s="7" t="inlineStr">
        <is>
          <t>Complexo de Doenças Foliares e Ferrugem</t>
        </is>
      </c>
      <c r="G121" s="7" t="inlineStr">
        <is>
          <t>Phakopsora pachyrhizi / Corynespora</t>
        </is>
      </c>
      <c r="H121" s="7" t="inlineStr">
        <is>
          <t>NÃO</t>
        </is>
      </c>
      <c r="I121" s="17" t="n">
        <v>0.3</v>
      </c>
      <c r="J121" s="17" t="n">
        <v>1.5</v>
      </c>
      <c r="K121" s="7" t="inlineStr">
        <is>
          <t>L ou kg/ha</t>
        </is>
      </c>
      <c r="L121" s="9" t="n">
        <v>1</v>
      </c>
      <c r="M121" s="7" t="inlineStr">
        <is>
          <t>Aplicar conforme monitoramento e estádio recomendado na bula (Classificação FRAC Oficial conforme Bula)</t>
        </is>
      </c>
    </row>
    <row r="122" ht="22" customHeight="1">
      <c r="A122" s="12" t="inlineStr">
        <is>
          <t>ALV-0118</t>
        </is>
      </c>
      <c r="B122" s="11" t="n">
        <v>56</v>
      </c>
      <c r="C122" s="13" t="inlineStr">
        <is>
          <t>Nº 25119</t>
        </is>
      </c>
      <c r="D122" s="14" t="inlineStr">
        <is>
          <t>GLIFOSATO 72WG ALAMOS</t>
        </is>
      </c>
      <c r="E122" s="13" t="inlineStr">
        <is>
          <t>Herbicida</t>
        </is>
      </c>
      <c r="F122" s="13" t="inlineStr">
        <is>
          <t>Capim-amargoso</t>
        </is>
      </c>
      <c r="G122" s="13" t="inlineStr">
        <is>
          <t>Digitaria insularis</t>
        </is>
      </c>
      <c r="H122" s="13" t="inlineStr">
        <is>
          <t>SIM (*)</t>
        </is>
      </c>
      <c r="I122" s="18" t="n">
        <v>1.5</v>
      </c>
      <c r="J122" s="18" t="n">
        <v>2.5</v>
      </c>
      <c r="K122" s="13" t="inlineStr">
        <is>
          <t>kg ou L/ha</t>
        </is>
      </c>
      <c r="L122" s="15" t="n">
        <v>1</v>
      </c>
      <c r="M122" s="13" t="inlineStr">
        <is>
          <t>Aplicar conforme monitoramento e estádio recomendado na bula (HRAC Grupo G (EPSPs))</t>
        </is>
      </c>
    </row>
    <row r="123" ht="22" customHeight="1">
      <c r="A123" s="6" t="inlineStr">
        <is>
          <t>ALV-0119</t>
        </is>
      </c>
      <c r="B123" s="5" t="n">
        <v>56</v>
      </c>
      <c r="C123" s="7" t="inlineStr">
        <is>
          <t>Nº 25119</t>
        </is>
      </c>
      <c r="D123" s="8" t="inlineStr">
        <is>
          <t>GLIFOSATO 72WG ALAMOS</t>
        </is>
      </c>
      <c r="E123" s="7" t="inlineStr">
        <is>
          <t>Herbicida</t>
        </is>
      </c>
      <c r="F123" s="7" t="inlineStr">
        <is>
          <t>Buva</t>
        </is>
      </c>
      <c r="G123" s="7" t="inlineStr">
        <is>
          <t>Conyza bonariensis</t>
        </is>
      </c>
      <c r="H123" s="7" t="inlineStr">
        <is>
          <t>SIM (*)</t>
        </is>
      </c>
      <c r="I123" s="9" t="n">
        <v>1</v>
      </c>
      <c r="J123" s="9" t="n">
        <v>2</v>
      </c>
      <c r="K123" s="7" t="inlineStr">
        <is>
          <t>kg ou L/ha</t>
        </is>
      </c>
      <c r="L123" s="9" t="n">
        <v>1</v>
      </c>
      <c r="M123" s="7" t="inlineStr">
        <is>
          <t>Aplicar conforme monitoramento e estádio recomendado na bula (HRAC Grupo G (EPSPs))</t>
        </is>
      </c>
    </row>
    <row r="124" ht="22" customHeight="1">
      <c r="A124" s="12" t="inlineStr">
        <is>
          <t>ALV-0120</t>
        </is>
      </c>
      <c r="B124" s="11" t="n">
        <v>56</v>
      </c>
      <c r="C124" s="13" t="inlineStr">
        <is>
          <t>Nº 25119</t>
        </is>
      </c>
      <c r="D124" s="14" t="inlineStr">
        <is>
          <t>GLIFOSATO 72WG ALAMOS</t>
        </is>
      </c>
      <c r="E124" s="13" t="inlineStr">
        <is>
          <t>Herbicida</t>
        </is>
      </c>
      <c r="F124" s="13" t="inlineStr">
        <is>
          <t>Capim-pé-de-galinha</t>
        </is>
      </c>
      <c r="G124" s="13" t="inlineStr">
        <is>
          <t>Eleusine indica</t>
        </is>
      </c>
      <c r="H124" s="13" t="inlineStr">
        <is>
          <t>SIM (*)</t>
        </is>
      </c>
      <c r="I124" s="15" t="n">
        <v>1</v>
      </c>
      <c r="J124" s="18" t="n">
        <v>1.5</v>
      </c>
      <c r="K124" s="13" t="inlineStr">
        <is>
          <t>kg ou L/ha</t>
        </is>
      </c>
      <c r="L124" s="15" t="n">
        <v>1</v>
      </c>
      <c r="M124" s="13" t="inlineStr">
        <is>
          <t>Aplicar conforme monitoramento e estádio recomendado na bula (HRAC Grupo G (EPSPs))</t>
        </is>
      </c>
    </row>
    <row r="125" ht="22" customHeight="1">
      <c r="A125" s="6" t="inlineStr">
        <is>
          <t>ALV-0121</t>
        </is>
      </c>
      <c r="B125" s="5" t="n">
        <v>56</v>
      </c>
      <c r="C125" s="7" t="inlineStr">
        <is>
          <t>Nº 25119</t>
        </is>
      </c>
      <c r="D125" s="8" t="inlineStr">
        <is>
          <t>GLIFOSATO 72WG ALAMOS</t>
        </is>
      </c>
      <c r="E125" s="7" t="inlineStr">
        <is>
          <t>Herbicida</t>
        </is>
      </c>
      <c r="F125" s="7" t="inlineStr">
        <is>
          <t>Trapoeraba</t>
        </is>
      </c>
      <c r="G125" s="7" t="inlineStr">
        <is>
          <t>Commelina benghalensis</t>
        </is>
      </c>
      <c r="H125" s="7" t="inlineStr">
        <is>
          <t>NÃO</t>
        </is>
      </c>
      <c r="I125" s="9" t="n">
        <v>2</v>
      </c>
      <c r="J125" s="17" t="n">
        <v>3.5</v>
      </c>
      <c r="K125" s="7" t="inlineStr">
        <is>
          <t>kg ou L/ha</t>
        </is>
      </c>
      <c r="L125" s="9" t="n">
        <v>1</v>
      </c>
      <c r="M125" s="7" t="inlineStr">
        <is>
          <t>Aplicar conforme monitoramento e estádio recomendado na bula (HRAC Grupo G (EPSPs))</t>
        </is>
      </c>
    </row>
    <row r="126" ht="22" customHeight="1">
      <c r="A126" s="12" t="inlineStr">
        <is>
          <t>ALV-0122</t>
        </is>
      </c>
      <c r="B126" s="11" t="n">
        <v>57</v>
      </c>
      <c r="C126" s="13" t="inlineStr">
        <is>
          <t>Nº 36518</t>
        </is>
      </c>
      <c r="D126" s="14" t="inlineStr">
        <is>
          <t>MAXIZATO</t>
        </is>
      </c>
      <c r="E126" s="13" t="inlineStr">
        <is>
          <t>Herbicida</t>
        </is>
      </c>
      <c r="F126" s="13" t="inlineStr">
        <is>
          <t>Capim-amargoso</t>
        </is>
      </c>
      <c r="G126" s="13" t="inlineStr">
        <is>
          <t>Digitaria insularis</t>
        </is>
      </c>
      <c r="H126" s="13" t="inlineStr">
        <is>
          <t>SIM (*)</t>
        </is>
      </c>
      <c r="I126" s="18" t="n">
        <v>1.5</v>
      </c>
      <c r="J126" s="18" t="n">
        <v>2.5</v>
      </c>
      <c r="K126" s="13" t="inlineStr">
        <is>
          <t>kg ou L/ha</t>
        </is>
      </c>
      <c r="L126" s="15" t="n">
        <v>1</v>
      </c>
      <c r="M126" s="13" t="inlineStr">
        <is>
          <t>Aplicar conforme monitoramento e estádio recomendado na bula (HRAC Grupo G (EPSPs))</t>
        </is>
      </c>
    </row>
    <row r="127" ht="22" customHeight="1">
      <c r="A127" s="6" t="inlineStr">
        <is>
          <t>ALV-0123</t>
        </is>
      </c>
      <c r="B127" s="5" t="n">
        <v>57</v>
      </c>
      <c r="C127" s="7" t="inlineStr">
        <is>
          <t>Nº 36518</t>
        </is>
      </c>
      <c r="D127" s="8" t="inlineStr">
        <is>
          <t>MAXIZATO</t>
        </is>
      </c>
      <c r="E127" s="7" t="inlineStr">
        <is>
          <t>Herbicida</t>
        </is>
      </c>
      <c r="F127" s="7" t="inlineStr">
        <is>
          <t>Buva</t>
        </is>
      </c>
      <c r="G127" s="7" t="inlineStr">
        <is>
          <t>Conyza bonariensis</t>
        </is>
      </c>
      <c r="H127" s="7" t="inlineStr">
        <is>
          <t>SIM (*)</t>
        </is>
      </c>
      <c r="I127" s="9" t="n">
        <v>1</v>
      </c>
      <c r="J127" s="9" t="n">
        <v>2</v>
      </c>
      <c r="K127" s="7" t="inlineStr">
        <is>
          <t>kg ou L/ha</t>
        </is>
      </c>
      <c r="L127" s="9" t="n">
        <v>1</v>
      </c>
      <c r="M127" s="7" t="inlineStr">
        <is>
          <t>Aplicar conforme monitoramento e estádio recomendado na bula (HRAC Grupo G (EPSPs))</t>
        </is>
      </c>
    </row>
    <row r="128" ht="22" customHeight="1">
      <c r="A128" s="12" t="inlineStr">
        <is>
          <t>ALV-0124</t>
        </is>
      </c>
      <c r="B128" s="11" t="n">
        <v>57</v>
      </c>
      <c r="C128" s="13" t="inlineStr">
        <is>
          <t>Nº 36518</t>
        </is>
      </c>
      <c r="D128" s="14" t="inlineStr">
        <is>
          <t>MAXIZATO</t>
        </is>
      </c>
      <c r="E128" s="13" t="inlineStr">
        <is>
          <t>Herbicida</t>
        </is>
      </c>
      <c r="F128" s="13" t="inlineStr">
        <is>
          <t>Capim-pé-de-galinha</t>
        </is>
      </c>
      <c r="G128" s="13" t="inlineStr">
        <is>
          <t>Eleusine indica</t>
        </is>
      </c>
      <c r="H128" s="13" t="inlineStr">
        <is>
          <t>SIM (*)</t>
        </is>
      </c>
      <c r="I128" s="15" t="n">
        <v>1</v>
      </c>
      <c r="J128" s="18" t="n">
        <v>1.5</v>
      </c>
      <c r="K128" s="13" t="inlineStr">
        <is>
          <t>kg ou L/ha</t>
        </is>
      </c>
      <c r="L128" s="15" t="n">
        <v>1</v>
      </c>
      <c r="M128" s="13" t="inlineStr">
        <is>
          <t>Aplicar conforme monitoramento e estádio recomendado na bula (HRAC Grupo G (EPSPs))</t>
        </is>
      </c>
    </row>
    <row r="129" ht="22" customHeight="1">
      <c r="A129" s="6" t="inlineStr">
        <is>
          <t>ALV-0125</t>
        </is>
      </c>
      <c r="B129" s="5" t="n">
        <v>57</v>
      </c>
      <c r="C129" s="7" t="inlineStr">
        <is>
          <t>Nº 36518</t>
        </is>
      </c>
      <c r="D129" s="8" t="inlineStr">
        <is>
          <t>MAXIZATO</t>
        </is>
      </c>
      <c r="E129" s="7" t="inlineStr">
        <is>
          <t>Herbicida</t>
        </is>
      </c>
      <c r="F129" s="7" t="inlineStr">
        <is>
          <t>Trapoeraba</t>
        </is>
      </c>
      <c r="G129" s="7" t="inlineStr">
        <is>
          <t>Commelina benghalensis</t>
        </is>
      </c>
      <c r="H129" s="7" t="inlineStr">
        <is>
          <t>NÃO</t>
        </is>
      </c>
      <c r="I129" s="9" t="n">
        <v>2</v>
      </c>
      <c r="J129" s="17" t="n">
        <v>3.5</v>
      </c>
      <c r="K129" s="7" t="inlineStr">
        <is>
          <t>kg ou L/ha</t>
        </is>
      </c>
      <c r="L129" s="9" t="n">
        <v>1</v>
      </c>
      <c r="M129" s="7" t="inlineStr">
        <is>
          <t>Aplicar conforme monitoramento e estádio recomendado na bula (HRAC Grupo G (EPSPs))</t>
        </is>
      </c>
    </row>
    <row r="130" ht="22" customHeight="1">
      <c r="A130" s="12" t="inlineStr">
        <is>
          <t>ALV-0126</t>
        </is>
      </c>
      <c r="B130" s="11" t="n">
        <v>58</v>
      </c>
      <c r="C130" s="13" t="inlineStr">
        <is>
          <t>Nº 28520</t>
        </is>
      </c>
      <c r="D130" s="14" t="inlineStr">
        <is>
          <t>SENHA 720 WG</t>
        </is>
      </c>
      <c r="E130" s="13" t="inlineStr">
        <is>
          <t>Herbicida</t>
        </is>
      </c>
      <c r="F130" s="13" t="inlineStr">
        <is>
          <t>Capim-amargoso</t>
        </is>
      </c>
      <c r="G130" s="13" t="inlineStr">
        <is>
          <t>Digitaria insularis</t>
        </is>
      </c>
      <c r="H130" s="13" t="inlineStr">
        <is>
          <t>SIM (*)</t>
        </is>
      </c>
      <c r="I130" s="18" t="n">
        <v>1.5</v>
      </c>
      <c r="J130" s="18" t="n">
        <v>2.5</v>
      </c>
      <c r="K130" s="13" t="inlineStr">
        <is>
          <t>kg ou L/ha</t>
        </is>
      </c>
      <c r="L130" s="15" t="n">
        <v>1</v>
      </c>
      <c r="M130" s="13" t="inlineStr">
        <is>
          <t>Aplicar conforme monitoramento e estádio recomendado na bula (HRAC Grupo G (EPSPs))</t>
        </is>
      </c>
    </row>
    <row r="131" ht="22" customHeight="1">
      <c r="A131" s="6" t="inlineStr">
        <is>
          <t>ALV-0127</t>
        </is>
      </c>
      <c r="B131" s="5" t="n">
        <v>58</v>
      </c>
      <c r="C131" s="7" t="inlineStr">
        <is>
          <t>Nº 28520</t>
        </is>
      </c>
      <c r="D131" s="8" t="inlineStr">
        <is>
          <t>SENHA 720 WG</t>
        </is>
      </c>
      <c r="E131" s="7" t="inlineStr">
        <is>
          <t>Herbicida</t>
        </is>
      </c>
      <c r="F131" s="7" t="inlineStr">
        <is>
          <t>Buva</t>
        </is>
      </c>
      <c r="G131" s="7" t="inlineStr">
        <is>
          <t>Conyza bonariensis</t>
        </is>
      </c>
      <c r="H131" s="7" t="inlineStr">
        <is>
          <t>SIM (*)</t>
        </is>
      </c>
      <c r="I131" s="9" t="n">
        <v>1</v>
      </c>
      <c r="J131" s="9" t="n">
        <v>2</v>
      </c>
      <c r="K131" s="7" t="inlineStr">
        <is>
          <t>kg ou L/ha</t>
        </is>
      </c>
      <c r="L131" s="9" t="n">
        <v>1</v>
      </c>
      <c r="M131" s="7" t="inlineStr">
        <is>
          <t>Aplicar conforme monitoramento e estádio recomendado na bula (HRAC Grupo G (EPSPs))</t>
        </is>
      </c>
    </row>
    <row r="132" ht="22" customHeight="1">
      <c r="A132" s="12" t="inlineStr">
        <is>
          <t>ALV-0128</t>
        </is>
      </c>
      <c r="B132" s="11" t="n">
        <v>58</v>
      </c>
      <c r="C132" s="13" t="inlineStr">
        <is>
          <t>Nº 28520</t>
        </is>
      </c>
      <c r="D132" s="14" t="inlineStr">
        <is>
          <t>SENHA 720 WG</t>
        </is>
      </c>
      <c r="E132" s="13" t="inlineStr">
        <is>
          <t>Herbicida</t>
        </is>
      </c>
      <c r="F132" s="13" t="inlineStr">
        <is>
          <t>Capim-pé-de-galinha</t>
        </is>
      </c>
      <c r="G132" s="13" t="inlineStr">
        <is>
          <t>Eleusine indica</t>
        </is>
      </c>
      <c r="H132" s="13" t="inlineStr">
        <is>
          <t>SIM (*)</t>
        </is>
      </c>
      <c r="I132" s="15" t="n">
        <v>1</v>
      </c>
      <c r="J132" s="18" t="n">
        <v>1.5</v>
      </c>
      <c r="K132" s="13" t="inlineStr">
        <is>
          <t>kg ou L/ha</t>
        </is>
      </c>
      <c r="L132" s="15" t="n">
        <v>1</v>
      </c>
      <c r="M132" s="13" t="inlineStr">
        <is>
          <t>Aplicar conforme monitoramento e estádio recomendado na bula (HRAC Grupo G (EPSPs))</t>
        </is>
      </c>
    </row>
    <row r="133" ht="22" customHeight="1">
      <c r="A133" s="6" t="inlineStr">
        <is>
          <t>ALV-0129</t>
        </is>
      </c>
      <c r="B133" s="5" t="n">
        <v>58</v>
      </c>
      <c r="C133" s="7" t="inlineStr">
        <is>
          <t>Nº 28520</t>
        </is>
      </c>
      <c r="D133" s="8" t="inlineStr">
        <is>
          <t>SENHA 720 WG</t>
        </is>
      </c>
      <c r="E133" s="7" t="inlineStr">
        <is>
          <t>Herbicida</t>
        </is>
      </c>
      <c r="F133" s="7" t="inlineStr">
        <is>
          <t>Trapoeraba</t>
        </is>
      </c>
      <c r="G133" s="7" t="inlineStr">
        <is>
          <t>Commelina benghalensis</t>
        </is>
      </c>
      <c r="H133" s="7" t="inlineStr">
        <is>
          <t>NÃO</t>
        </is>
      </c>
      <c r="I133" s="9" t="n">
        <v>2</v>
      </c>
      <c r="J133" s="17" t="n">
        <v>3.5</v>
      </c>
      <c r="K133" s="7" t="inlineStr">
        <is>
          <t>kg ou L/ha</t>
        </is>
      </c>
      <c r="L133" s="9" t="n">
        <v>1</v>
      </c>
      <c r="M133" s="7" t="inlineStr">
        <is>
          <t>Aplicar conforme monitoramento e estádio recomendado na bula (HRAC Grupo G (EPSPs))</t>
        </is>
      </c>
    </row>
    <row r="134" ht="22" customHeight="1">
      <c r="A134" s="12" t="inlineStr">
        <is>
          <t>ALV-0130</t>
        </is>
      </c>
      <c r="B134" s="11" t="n">
        <v>59</v>
      </c>
      <c r="C134" s="13" t="inlineStr">
        <is>
          <t>Nº 13714</t>
        </is>
      </c>
      <c r="D134" s="14" t="inlineStr">
        <is>
          <t>WIPE OUT</t>
        </is>
      </c>
      <c r="E134" s="13" t="inlineStr">
        <is>
          <t>Herbicida</t>
        </is>
      </c>
      <c r="F134" s="13" t="inlineStr">
        <is>
          <t>Capim-amargoso</t>
        </is>
      </c>
      <c r="G134" s="13" t="inlineStr">
        <is>
          <t>Digitaria insularis</t>
        </is>
      </c>
      <c r="H134" s="13" t="inlineStr">
        <is>
          <t>SIM (*)</t>
        </is>
      </c>
      <c r="I134" s="18" t="n">
        <v>1.5</v>
      </c>
      <c r="J134" s="18" t="n">
        <v>2.5</v>
      </c>
      <c r="K134" s="13" t="inlineStr">
        <is>
          <t>kg ou L/ha</t>
        </is>
      </c>
      <c r="L134" s="15" t="n">
        <v>1</v>
      </c>
      <c r="M134" s="13" t="inlineStr">
        <is>
          <t>Aplicar conforme monitoramento e estádio recomendado na bula (HRAC Grupo G (EPSPs))</t>
        </is>
      </c>
    </row>
    <row r="135" ht="22" customHeight="1">
      <c r="A135" s="6" t="inlineStr">
        <is>
          <t>ALV-0131</t>
        </is>
      </c>
      <c r="B135" s="5" t="n">
        <v>59</v>
      </c>
      <c r="C135" s="7" t="inlineStr">
        <is>
          <t>Nº 13714</t>
        </is>
      </c>
      <c r="D135" s="8" t="inlineStr">
        <is>
          <t>WIPE OUT</t>
        </is>
      </c>
      <c r="E135" s="7" t="inlineStr">
        <is>
          <t>Herbicida</t>
        </is>
      </c>
      <c r="F135" s="7" t="inlineStr">
        <is>
          <t>Buva</t>
        </is>
      </c>
      <c r="G135" s="7" t="inlineStr">
        <is>
          <t>Conyza bonariensis</t>
        </is>
      </c>
      <c r="H135" s="7" t="inlineStr">
        <is>
          <t>SIM (*)</t>
        </is>
      </c>
      <c r="I135" s="9" t="n">
        <v>1</v>
      </c>
      <c r="J135" s="9" t="n">
        <v>2</v>
      </c>
      <c r="K135" s="7" t="inlineStr">
        <is>
          <t>kg ou L/ha</t>
        </is>
      </c>
      <c r="L135" s="9" t="n">
        <v>1</v>
      </c>
      <c r="M135" s="7" t="inlineStr">
        <is>
          <t>Aplicar conforme monitoramento e estádio recomendado na bula (HRAC Grupo G (EPSPs))</t>
        </is>
      </c>
    </row>
    <row r="136" ht="22" customHeight="1">
      <c r="A136" s="12" t="inlineStr">
        <is>
          <t>ALV-0132</t>
        </is>
      </c>
      <c r="B136" s="11" t="n">
        <v>59</v>
      </c>
      <c r="C136" s="13" t="inlineStr">
        <is>
          <t>Nº 13714</t>
        </is>
      </c>
      <c r="D136" s="14" t="inlineStr">
        <is>
          <t>WIPE OUT</t>
        </is>
      </c>
      <c r="E136" s="13" t="inlineStr">
        <is>
          <t>Herbicida</t>
        </is>
      </c>
      <c r="F136" s="13" t="inlineStr">
        <is>
          <t>Capim-pé-de-galinha</t>
        </is>
      </c>
      <c r="G136" s="13" t="inlineStr">
        <is>
          <t>Eleusine indica</t>
        </is>
      </c>
      <c r="H136" s="13" t="inlineStr">
        <is>
          <t>SIM (*)</t>
        </is>
      </c>
      <c r="I136" s="15" t="n">
        <v>1</v>
      </c>
      <c r="J136" s="18" t="n">
        <v>1.5</v>
      </c>
      <c r="K136" s="13" t="inlineStr">
        <is>
          <t>kg ou L/ha</t>
        </is>
      </c>
      <c r="L136" s="15" t="n">
        <v>1</v>
      </c>
      <c r="M136" s="13" t="inlineStr">
        <is>
          <t>Aplicar conforme monitoramento e estádio recomendado na bula (HRAC Grupo G (EPSPs))</t>
        </is>
      </c>
    </row>
    <row r="137" ht="22" customHeight="1">
      <c r="A137" s="6" t="inlineStr">
        <is>
          <t>ALV-0133</t>
        </is>
      </c>
      <c r="B137" s="5" t="n">
        <v>59</v>
      </c>
      <c r="C137" s="7" t="inlineStr">
        <is>
          <t>Nº 13714</t>
        </is>
      </c>
      <c r="D137" s="8" t="inlineStr">
        <is>
          <t>WIPE OUT</t>
        </is>
      </c>
      <c r="E137" s="7" t="inlineStr">
        <is>
          <t>Herbicida</t>
        </is>
      </c>
      <c r="F137" s="7" t="inlineStr">
        <is>
          <t>Trapoeraba</t>
        </is>
      </c>
      <c r="G137" s="7" t="inlineStr">
        <is>
          <t>Commelina benghalensis</t>
        </is>
      </c>
      <c r="H137" s="7" t="inlineStr">
        <is>
          <t>NÃO</t>
        </is>
      </c>
      <c r="I137" s="9" t="n">
        <v>2</v>
      </c>
      <c r="J137" s="17" t="n">
        <v>3.5</v>
      </c>
      <c r="K137" s="7" t="inlineStr">
        <is>
          <t>kg ou L/ha</t>
        </is>
      </c>
      <c r="L137" s="9" t="n">
        <v>1</v>
      </c>
      <c r="M137" s="7" t="inlineStr">
        <is>
          <t>Aplicar conforme monitoramento e estádio recomendado na bula (HRAC Grupo G (EPSPs))</t>
        </is>
      </c>
    </row>
    <row r="138" ht="22" customHeight="1">
      <c r="A138" s="12" t="inlineStr">
        <is>
          <t>ALV-0134</t>
        </is>
      </c>
      <c r="B138" s="11" t="n">
        <v>60</v>
      </c>
      <c r="C138" s="13" t="inlineStr">
        <is>
          <t>Nº 13714</t>
        </is>
      </c>
      <c r="D138" s="14" t="inlineStr">
        <is>
          <t>WIPE OUT</t>
        </is>
      </c>
      <c r="E138" s="13" t="inlineStr">
        <is>
          <t>Herbicida</t>
        </is>
      </c>
      <c r="F138" s="13" t="inlineStr">
        <is>
          <t>Capim-amargoso</t>
        </is>
      </c>
      <c r="G138" s="13" t="inlineStr">
        <is>
          <t>Digitaria insularis</t>
        </is>
      </c>
      <c r="H138" s="13" t="inlineStr">
        <is>
          <t>SIM (*)</t>
        </is>
      </c>
      <c r="I138" s="18" t="n">
        <v>1.5</v>
      </c>
      <c r="J138" s="18" t="n">
        <v>2.5</v>
      </c>
      <c r="K138" s="13" t="inlineStr">
        <is>
          <t>kg ou L/ha</t>
        </is>
      </c>
      <c r="L138" s="15" t="n">
        <v>1</v>
      </c>
      <c r="M138" s="13" t="inlineStr">
        <is>
          <t>Aplicar conforme monitoramento e estádio recomendado na bula (HRAC Grupo G (EPSPs))</t>
        </is>
      </c>
    </row>
    <row r="139" ht="22" customHeight="1">
      <c r="A139" s="6" t="inlineStr">
        <is>
          <t>ALV-0135</t>
        </is>
      </c>
      <c r="B139" s="5" t="n">
        <v>60</v>
      </c>
      <c r="C139" s="7" t="inlineStr">
        <is>
          <t>Nº 13714</t>
        </is>
      </c>
      <c r="D139" s="8" t="inlineStr">
        <is>
          <t>WIPE OUT</t>
        </is>
      </c>
      <c r="E139" s="7" t="inlineStr">
        <is>
          <t>Herbicida</t>
        </is>
      </c>
      <c r="F139" s="7" t="inlineStr">
        <is>
          <t>Buva</t>
        </is>
      </c>
      <c r="G139" s="7" t="inlineStr">
        <is>
          <t>Conyza bonariensis</t>
        </is>
      </c>
      <c r="H139" s="7" t="inlineStr">
        <is>
          <t>SIM (*)</t>
        </is>
      </c>
      <c r="I139" s="9" t="n">
        <v>1</v>
      </c>
      <c r="J139" s="9" t="n">
        <v>2</v>
      </c>
      <c r="K139" s="7" t="inlineStr">
        <is>
          <t>kg ou L/ha</t>
        </is>
      </c>
      <c r="L139" s="9" t="n">
        <v>1</v>
      </c>
      <c r="M139" s="7" t="inlineStr">
        <is>
          <t>Aplicar conforme monitoramento e estádio recomendado na bula (HRAC Grupo G (EPSPs))</t>
        </is>
      </c>
    </row>
    <row r="140" ht="22" customHeight="1">
      <c r="A140" s="12" t="inlineStr">
        <is>
          <t>ALV-0136</t>
        </is>
      </c>
      <c r="B140" s="11" t="n">
        <v>60</v>
      </c>
      <c r="C140" s="13" t="inlineStr">
        <is>
          <t>Nº 13714</t>
        </is>
      </c>
      <c r="D140" s="14" t="inlineStr">
        <is>
          <t>WIPE OUT</t>
        </is>
      </c>
      <c r="E140" s="13" t="inlineStr">
        <is>
          <t>Herbicida</t>
        </is>
      </c>
      <c r="F140" s="13" t="inlineStr">
        <is>
          <t>Capim-pé-de-galinha</t>
        </is>
      </c>
      <c r="G140" s="13" t="inlineStr">
        <is>
          <t>Eleusine indica</t>
        </is>
      </c>
      <c r="H140" s="13" t="inlineStr">
        <is>
          <t>SIM (*)</t>
        </is>
      </c>
      <c r="I140" s="15" t="n">
        <v>1</v>
      </c>
      <c r="J140" s="18" t="n">
        <v>1.5</v>
      </c>
      <c r="K140" s="13" t="inlineStr">
        <is>
          <t>kg ou L/ha</t>
        </is>
      </c>
      <c r="L140" s="15" t="n">
        <v>1</v>
      </c>
      <c r="M140" s="13" t="inlineStr">
        <is>
          <t>Aplicar conforme monitoramento e estádio recomendado na bula (HRAC Grupo G (EPSPs))</t>
        </is>
      </c>
    </row>
    <row r="141" ht="22" customHeight="1">
      <c r="A141" s="6" t="inlineStr">
        <is>
          <t>ALV-0137</t>
        </is>
      </c>
      <c r="B141" s="5" t="n">
        <v>60</v>
      </c>
      <c r="C141" s="7" t="inlineStr">
        <is>
          <t>Nº 13714</t>
        </is>
      </c>
      <c r="D141" s="8" t="inlineStr">
        <is>
          <t>WIPE OUT</t>
        </is>
      </c>
      <c r="E141" s="7" t="inlineStr">
        <is>
          <t>Herbicida</t>
        </is>
      </c>
      <c r="F141" s="7" t="inlineStr">
        <is>
          <t>Trapoeraba</t>
        </is>
      </c>
      <c r="G141" s="7" t="inlineStr">
        <is>
          <t>Commelina benghalensis</t>
        </is>
      </c>
      <c r="H141" s="7" t="inlineStr">
        <is>
          <t>NÃO</t>
        </is>
      </c>
      <c r="I141" s="9" t="n">
        <v>2</v>
      </c>
      <c r="J141" s="17" t="n">
        <v>3.5</v>
      </c>
      <c r="K141" s="7" t="inlineStr">
        <is>
          <t>kg ou L/ha</t>
        </is>
      </c>
      <c r="L141" s="9" t="n">
        <v>1</v>
      </c>
      <c r="M141" s="7" t="inlineStr">
        <is>
          <t>Aplicar conforme monitoramento e estádio recomendado na bula (HRAC Grupo G (EPSPs))</t>
        </is>
      </c>
    </row>
    <row r="142" ht="22" customHeight="1">
      <c r="A142" s="12" t="inlineStr">
        <is>
          <t>ALV-0138</t>
        </is>
      </c>
      <c r="B142" s="11" t="n">
        <v>61</v>
      </c>
      <c r="C142" s="13" t="inlineStr">
        <is>
          <t>Nº 34221</t>
        </is>
      </c>
      <c r="D142" s="14" t="inlineStr">
        <is>
          <t>SAPEK MAX</t>
        </is>
      </c>
      <c r="E142" s="13" t="inlineStr">
        <is>
          <t>Herbicida</t>
        </is>
      </c>
      <c r="F142" s="13" t="inlineStr">
        <is>
          <t>Buva</t>
        </is>
      </c>
      <c r="G142" s="13" t="inlineStr">
        <is>
          <t>Conyza bonariensis</t>
        </is>
      </c>
      <c r="H142" s="13" t="inlineStr">
        <is>
          <t>NÃO</t>
        </is>
      </c>
      <c r="I142" s="15" t="n">
        <v>2</v>
      </c>
      <c r="J142" s="15" t="n">
        <v>3</v>
      </c>
      <c r="K142" s="13" t="inlineStr">
        <is>
          <t>L/ha</t>
        </is>
      </c>
      <c r="L142" s="15" t="n">
        <v>1</v>
      </c>
      <c r="M142" s="13" t="inlineStr">
        <is>
          <t>Aplicar conforme monitoramento e estádio recomendado na bula (HRAC Grupo H (10) — Inibidores da Glutamina Sintetase)</t>
        </is>
      </c>
    </row>
    <row r="143" ht="22" customHeight="1">
      <c r="A143" s="6" t="inlineStr">
        <is>
          <t>ALV-0139</t>
        </is>
      </c>
      <c r="B143" s="5" t="n">
        <v>61</v>
      </c>
      <c r="C143" s="7" t="inlineStr">
        <is>
          <t>Nº 34221</t>
        </is>
      </c>
      <c r="D143" s="8" t="inlineStr">
        <is>
          <t>SAPEK MAX</t>
        </is>
      </c>
      <c r="E143" s="7" t="inlineStr">
        <is>
          <t>Herbicida</t>
        </is>
      </c>
      <c r="F143" s="7" t="inlineStr">
        <is>
          <t>Capim-pé-de-galinha</t>
        </is>
      </c>
      <c r="G143" s="7" t="inlineStr">
        <is>
          <t>Eleusine indica</t>
        </is>
      </c>
      <c r="H143" s="7" t="inlineStr">
        <is>
          <t>NÃO</t>
        </is>
      </c>
      <c r="I143" s="9" t="n">
        <v>2</v>
      </c>
      <c r="J143" s="17" t="n">
        <v>2.5</v>
      </c>
      <c r="K143" s="7" t="inlineStr">
        <is>
          <t>L/ha</t>
        </is>
      </c>
      <c r="L143" s="9" t="n">
        <v>1</v>
      </c>
      <c r="M143" s="7" t="inlineStr">
        <is>
          <t>Aplicar conforme monitoramento e estádio recomendado na bula (HRAC Grupo H (10) — Inibidores da Glutamina Sintetase)</t>
        </is>
      </c>
    </row>
    <row r="144" ht="22" customHeight="1">
      <c r="A144" s="12" t="inlineStr">
        <is>
          <t>ALV-0140</t>
        </is>
      </c>
      <c r="B144" s="11" t="n">
        <v>61</v>
      </c>
      <c r="C144" s="13" t="inlineStr">
        <is>
          <t>Nº 34221</t>
        </is>
      </c>
      <c r="D144" s="14" t="inlineStr">
        <is>
          <t>SAPEK MAX</t>
        </is>
      </c>
      <c r="E144" s="13" t="inlineStr">
        <is>
          <t>Herbicida</t>
        </is>
      </c>
      <c r="F144" s="13" t="inlineStr">
        <is>
          <t>Caruru</t>
        </is>
      </c>
      <c r="G144" s="13" t="inlineStr">
        <is>
          <t>Amaranthus hybridus</t>
        </is>
      </c>
      <c r="H144" s="13" t="inlineStr">
        <is>
          <t>NÃO</t>
        </is>
      </c>
      <c r="I144" s="18" t="n">
        <v>1.5</v>
      </c>
      <c r="J144" s="18" t="n">
        <v>2.5</v>
      </c>
      <c r="K144" s="13" t="inlineStr">
        <is>
          <t>L/ha</t>
        </is>
      </c>
      <c r="L144" s="15" t="n">
        <v>1</v>
      </c>
      <c r="M144" s="13" t="inlineStr">
        <is>
          <t>Aplicar conforme monitoramento e estádio recomendado na bula (HRAC Grupo H (10) — Inibidores da Glutamina Sintetase)</t>
        </is>
      </c>
    </row>
    <row r="145" ht="22" customHeight="1">
      <c r="A145" s="6" t="inlineStr">
        <is>
          <t>ALV-0141</t>
        </is>
      </c>
      <c r="B145" s="5" t="n">
        <v>62</v>
      </c>
      <c r="C145" s="7" t="inlineStr">
        <is>
          <t>Nº 3518</t>
        </is>
      </c>
      <c r="D145" s="8" t="inlineStr">
        <is>
          <t>VERDICT MAX</t>
        </is>
      </c>
      <c r="E145" s="7" t="inlineStr">
        <is>
          <t>Herbicida</t>
        </is>
      </c>
      <c r="F145" s="7" t="inlineStr">
        <is>
          <t>Plantas Daninhas Mono e Dicotiledôneas</t>
        </is>
      </c>
      <c r="G145" s="7" t="inlineStr">
        <is>
          <t>Flora Infestante</t>
        </is>
      </c>
      <c r="H145" s="7" t="inlineStr">
        <is>
          <t>NÃO</t>
        </is>
      </c>
      <c r="I145" s="17" t="n">
        <v>0.25</v>
      </c>
      <c r="J145" s="9" t="n">
        <v>2</v>
      </c>
      <c r="K145" s="7" t="inlineStr">
        <is>
          <t>L ou kg/ha</t>
        </is>
      </c>
      <c r="L145" s="9" t="n">
        <v>1</v>
      </c>
      <c r="M145" s="7" t="inlineStr">
        <is>
          <t>Aplicar conforme monitoramento e estádio recomendado na bula (Classificação HRAC Oficial conforme Bula)</t>
        </is>
      </c>
    </row>
    <row r="146" ht="22" customHeight="1">
      <c r="A146" s="12" t="inlineStr">
        <is>
          <t>ALV-0142</t>
        </is>
      </c>
      <c r="B146" s="11" t="n">
        <v>63</v>
      </c>
      <c r="C146" s="13" t="inlineStr">
        <is>
          <t>Nº 14518</t>
        </is>
      </c>
      <c r="D146" s="14" t="inlineStr">
        <is>
          <t>SOYACLEAN XTRA</t>
        </is>
      </c>
      <c r="E146" s="13" t="inlineStr">
        <is>
          <t>Herbicida</t>
        </is>
      </c>
      <c r="F146" s="13" t="inlineStr">
        <is>
          <t>Plantas Daninhas Mono e Dicotiledôneas</t>
        </is>
      </c>
      <c r="G146" s="13" t="inlineStr">
        <is>
          <t>Flora Infestante</t>
        </is>
      </c>
      <c r="H146" s="13" t="inlineStr">
        <is>
          <t>NÃO</t>
        </is>
      </c>
      <c r="I146" s="18" t="n">
        <v>0.25</v>
      </c>
      <c r="J146" s="15" t="n">
        <v>2</v>
      </c>
      <c r="K146" s="13" t="inlineStr">
        <is>
          <t>L ou kg/ha</t>
        </is>
      </c>
      <c r="L146" s="15" t="n">
        <v>1</v>
      </c>
      <c r="M146" s="13" t="inlineStr">
        <is>
          <t>Aplicar conforme monitoramento e estádio recomendado na bula (Classificação HRAC Oficial conforme Bula)</t>
        </is>
      </c>
    </row>
    <row r="147" ht="22" customHeight="1">
      <c r="A147" s="6" t="inlineStr">
        <is>
          <t>ALV-0143</t>
        </is>
      </c>
      <c r="B147" s="5" t="n">
        <v>64</v>
      </c>
      <c r="C147" s="7" t="inlineStr">
        <is>
          <t>SIPEAGRO (UF-XXXXX)</t>
        </is>
      </c>
      <c r="D147" s="8" t="inlineStr">
        <is>
          <t>AGCN NITROBIOT</t>
        </is>
      </c>
      <c r="E147" s="7" t="inlineStr">
        <is>
          <t>Inoculante Fixador de Nitrogênio</t>
        </is>
      </c>
      <c r="F147" s="7" t="inlineStr">
        <is>
          <t>Fixação Biológica / Manejo Biológico de Solo</t>
        </is>
      </c>
      <c r="G147" s="7" t="inlineStr">
        <is>
          <t>Biologia de Solo</t>
        </is>
      </c>
      <c r="H147" s="7" t="inlineStr">
        <is>
          <t>NÃO</t>
        </is>
      </c>
      <c r="I147" s="17" t="n">
        <v>0.1</v>
      </c>
      <c r="J147" s="9" t="n">
        <v>1</v>
      </c>
      <c r="K147" s="7" t="inlineStr">
        <is>
          <t>L ou kg/ha</t>
        </is>
      </c>
      <c r="L147" s="9" t="n">
        <v>1</v>
      </c>
      <c r="M147" s="7" t="inlineStr">
        <is>
          <t>Aplicar conforme monitoramento e estádio recomendado na bula (Bioinsumo Agrícola)</t>
        </is>
      </c>
    </row>
    <row r="148" ht="22" customHeight="1">
      <c r="A148" s="12" t="inlineStr">
        <is>
          <t>ALV-0144</t>
        </is>
      </c>
      <c r="B148" s="11" t="n">
        <v>65</v>
      </c>
      <c r="C148" s="13" t="inlineStr">
        <is>
          <t>SIPEAGRO (UF-XXXXX)</t>
        </is>
      </c>
      <c r="D148" s="14" t="inlineStr">
        <is>
          <t>AGCN RIZODERMA CX 10X0,5KG</t>
        </is>
      </c>
      <c r="E148" s="13" t="inlineStr">
        <is>
          <t>Fertilizante Foliar / Micronutrientes</t>
        </is>
      </c>
      <c r="F148" s="13" t="inlineStr">
        <is>
          <t>Nutrição e Correção de Deficiência Mineral</t>
        </is>
      </c>
      <c r="G148" s="13" t="inlineStr">
        <is>
          <t>Nutrição Vegetal</t>
        </is>
      </c>
      <c r="H148" s="13" t="inlineStr">
        <is>
          <t>NÃO</t>
        </is>
      </c>
      <c r="I148" s="15" t="n">
        <v>1</v>
      </c>
      <c r="J148" s="15" t="n">
        <v>250</v>
      </c>
      <c r="K148" s="13" t="inlineStr">
        <is>
          <t>kg ou L/ha</t>
        </is>
      </c>
      <c r="L148" s="15" t="n">
        <v>1</v>
      </c>
      <c r="M148" s="13" t="inlineStr">
        <is>
          <t>Aplicar conforme monitoramento e estádio recomendado na bula (Nutrição Vegetal SIPEAGRO)</t>
        </is>
      </c>
    </row>
    <row r="149" ht="22" customHeight="1">
      <c r="A149" s="6" t="inlineStr">
        <is>
          <t>ALV-0145</t>
        </is>
      </c>
      <c r="B149" s="5" t="n">
        <v>66</v>
      </c>
      <c r="C149" s="7" t="inlineStr">
        <is>
          <t>SIPEAGRO (UF-XXXXX)</t>
        </is>
      </c>
      <c r="D149" s="8" t="inlineStr">
        <is>
          <t>AGCN RIZOFOS</t>
        </is>
      </c>
      <c r="E149" s="7" t="inlineStr">
        <is>
          <t>Inoculante Solubilizador de Fósforo / Promotor de Crescimento</t>
        </is>
      </c>
      <c r="F149" s="7" t="inlineStr">
        <is>
          <t>Fixação Biológica / Manejo Biológico de Solo</t>
        </is>
      </c>
      <c r="G149" s="7" t="inlineStr">
        <is>
          <t>Biologia de Solo</t>
        </is>
      </c>
      <c r="H149" s="7" t="inlineStr">
        <is>
          <t>NÃO</t>
        </is>
      </c>
      <c r="I149" s="17" t="n">
        <v>0.1</v>
      </c>
      <c r="J149" s="9" t="n">
        <v>1</v>
      </c>
      <c r="K149" s="7" t="inlineStr">
        <is>
          <t>L ou kg/ha</t>
        </is>
      </c>
      <c r="L149" s="9" t="n">
        <v>1</v>
      </c>
      <c r="M149" s="7" t="inlineStr">
        <is>
          <t>Aplicar conforme monitoramento e estádio recomendado na bula (Bioinsumo Agrícola)</t>
        </is>
      </c>
    </row>
    <row r="150" ht="22" customHeight="1">
      <c r="A150" s="12" t="inlineStr">
        <is>
          <t>ALV-0146</t>
        </is>
      </c>
      <c r="B150" s="11" t="n">
        <v>67</v>
      </c>
      <c r="C150" s="13" t="inlineStr">
        <is>
          <t>SIPEAGRO (UF-XXXXX)</t>
        </is>
      </c>
      <c r="D150" s="14" t="inlineStr">
        <is>
          <t>AGCN RIZOSPIRILLUM CX 14X1,5L</t>
        </is>
      </c>
      <c r="E150" s="13" t="inlineStr">
        <is>
          <t>Inoculante Fixador de Nitrogênio</t>
        </is>
      </c>
      <c r="F150" s="13" t="inlineStr">
        <is>
          <t>Fixação Biológica de Nitrogênio e Enraizamento</t>
        </is>
      </c>
      <c r="G150" s="13" t="inlineStr">
        <is>
          <t>Zea mays / Glycine max</t>
        </is>
      </c>
      <c r="H150" s="13" t="inlineStr">
        <is>
          <t>NÃO</t>
        </is>
      </c>
      <c r="I150" s="18" t="n">
        <v>0.1</v>
      </c>
      <c r="J150" s="18" t="n">
        <v>0.3</v>
      </c>
      <c r="K150" s="13" t="inlineStr">
        <is>
          <t>L/ha ou 100kg sem.</t>
        </is>
      </c>
      <c r="L150" s="15" t="n">
        <v>1</v>
      </c>
      <c r="M150" s="13" t="inlineStr">
        <is>
          <t>Aplicar conforme monitoramento e estádio recomendado na bula (Inoculante Biológico — Lei nº 6.894/1980)</t>
        </is>
      </c>
    </row>
    <row r="151" ht="22" customHeight="1">
      <c r="A151" s="6" t="inlineStr">
        <is>
          <t>ALV-0147</t>
        </is>
      </c>
      <c r="B151" s="5" t="n">
        <v>68</v>
      </c>
      <c r="C151" s="7" t="inlineStr">
        <is>
          <t>ISENTO (ATO 104/2017)</t>
        </is>
      </c>
      <c r="D151" s="8" t="inlineStr">
        <is>
          <t>AGCN RIZOSPRAY EXTREMO</t>
        </is>
      </c>
      <c r="E151" s="7" t="inlineStr">
        <is>
          <t>Óleo Vegetal / Éster Metílico / D-Limoneno Adjuvante</t>
        </is>
      </c>
      <c r="F151" s="7" t="inlineStr">
        <is>
          <t>Otimização de Gota, Espalhamento e Redução de Deriva</t>
        </is>
      </c>
      <c r="G151" s="7" t="inlineStr">
        <is>
          <t>Tecnologia de Aplicação</t>
        </is>
      </c>
      <c r="H151" s="7" t="inlineStr">
        <is>
          <t>NÃO</t>
        </is>
      </c>
      <c r="I151" s="17" t="n">
        <v>0.25</v>
      </c>
      <c r="J151" s="9" t="n">
        <v>1</v>
      </c>
      <c r="K151" s="7" t="inlineStr">
        <is>
          <t>% v/v na calda</t>
        </is>
      </c>
      <c r="L151" s="9" t="n">
        <v>1</v>
      </c>
      <c r="M151" s="7" t="inlineStr">
        <is>
          <t>Aplicar conforme monitoramento e estádio recomendado na bula (Adjuvante Tecnológico de Pulverização)</t>
        </is>
      </c>
    </row>
    <row r="152" ht="22" customHeight="1">
      <c r="A152" s="12" t="inlineStr">
        <is>
          <t>ALV-0148</t>
        </is>
      </c>
      <c r="B152" s="11" t="n">
        <v>69</v>
      </c>
      <c r="C152" s="13" t="inlineStr">
        <is>
          <t>ISENTO (ATO 104/2017)</t>
        </is>
      </c>
      <c r="D152" s="14" t="inlineStr">
        <is>
          <t>AGCN SILWET AG</t>
        </is>
      </c>
      <c r="E152" s="13" t="inlineStr">
        <is>
          <t>Adjuvante Espalhante / Surfactante / Redutor de pH e Deriva</t>
        </is>
      </c>
      <c r="F152" s="13" t="inlineStr">
        <is>
          <t>Otimização de Gota, Espalhamento e Redução de Deriva</t>
        </is>
      </c>
      <c r="G152" s="13" t="inlineStr">
        <is>
          <t>Tecnologia de Aplicação</t>
        </is>
      </c>
      <c r="H152" s="13" t="inlineStr">
        <is>
          <t>NÃO</t>
        </is>
      </c>
      <c r="I152" s="18" t="n">
        <v>0.25</v>
      </c>
      <c r="J152" s="15" t="n">
        <v>1</v>
      </c>
      <c r="K152" s="13" t="inlineStr">
        <is>
          <t>% v/v na calda</t>
        </is>
      </c>
      <c r="L152" s="15" t="n">
        <v>1</v>
      </c>
      <c r="M152" s="13" t="inlineStr">
        <is>
          <t>Aplicar conforme monitoramento e estádio recomendado na bula (Adjuvante Tecnológico de Pulverização)</t>
        </is>
      </c>
    </row>
    <row r="153" ht="22" customHeight="1">
      <c r="A153" s="6" t="inlineStr">
        <is>
          <t>ALV-0149</t>
        </is>
      </c>
      <c r="B153" s="5" t="n">
        <v>70</v>
      </c>
      <c r="C153" s="7" t="inlineStr">
        <is>
          <t>SIPEAGRO (UF-XXXXX)</t>
        </is>
      </c>
      <c r="D153" s="8" t="inlineStr">
        <is>
          <t>BIOMAX AZUM 5X1.8L</t>
        </is>
      </c>
      <c r="E153" s="7" t="inlineStr">
        <is>
          <t>Inoculante Fixador de Nitrogênio</t>
        </is>
      </c>
      <c r="F153" s="7" t="inlineStr">
        <is>
          <t>Fixação Biológica de Nitrogênio e Enraizamento</t>
        </is>
      </c>
      <c r="G153" s="7" t="inlineStr">
        <is>
          <t>Zea mays / Glycine max</t>
        </is>
      </c>
      <c r="H153" s="7" t="inlineStr">
        <is>
          <t>NÃO</t>
        </is>
      </c>
      <c r="I153" s="17" t="n">
        <v>0.1</v>
      </c>
      <c r="J153" s="17" t="n">
        <v>0.3</v>
      </c>
      <c r="K153" s="7" t="inlineStr">
        <is>
          <t>L/ha ou 100kg sem.</t>
        </is>
      </c>
      <c r="L153" s="9" t="n">
        <v>1</v>
      </c>
      <c r="M153" s="7" t="inlineStr">
        <is>
          <t>Aplicar conforme monitoramento e estádio recomendado na bula (Inoculante Biológico — Lei nº 6.894/1980)</t>
        </is>
      </c>
    </row>
    <row r="154" ht="22" customHeight="1">
      <c r="A154" s="12" t="inlineStr">
        <is>
          <t>ALV-0150</t>
        </is>
      </c>
      <c r="B154" s="11" t="n">
        <v>71</v>
      </c>
      <c r="C154" s="13" t="inlineStr">
        <is>
          <t>SIPEAGRO (UF-XXXXX)</t>
        </is>
      </c>
      <c r="D154" s="14" t="inlineStr">
        <is>
          <t>AGCN POTASSIO</t>
        </is>
      </c>
      <c r="E154" s="13" t="inlineStr">
        <is>
          <t>Fertilizante Foliar / Micronutrientes</t>
        </is>
      </c>
      <c r="F154" s="13" t="inlineStr">
        <is>
          <t>Nutrição e Correção de Deficiência Mineral</t>
        </is>
      </c>
      <c r="G154" s="13" t="inlineStr">
        <is>
          <t>Nutrição Vegetal</t>
        </is>
      </c>
      <c r="H154" s="13" t="inlineStr">
        <is>
          <t>NÃO</t>
        </is>
      </c>
      <c r="I154" s="15" t="n">
        <v>1</v>
      </c>
      <c r="J154" s="15" t="n">
        <v>250</v>
      </c>
      <c r="K154" s="13" t="inlineStr">
        <is>
          <t>kg ou L/ha</t>
        </is>
      </c>
      <c r="L154" s="15" t="n">
        <v>1</v>
      </c>
      <c r="M154" s="13" t="inlineStr">
        <is>
          <t>Aplicar conforme monitoramento e estádio recomendado na bula (Nutrição Vegetal SIPEAGRO)</t>
        </is>
      </c>
    </row>
    <row r="155" ht="22" customHeight="1">
      <c r="A155" s="6" t="inlineStr">
        <is>
          <t>ALV-0151</t>
        </is>
      </c>
      <c r="B155" s="5" t="n">
        <v>72</v>
      </c>
      <c r="C155" s="7" t="inlineStr">
        <is>
          <t>Nº 2020</t>
        </is>
      </c>
      <c r="D155" s="8" t="inlineStr">
        <is>
          <t>SAMURAI</t>
        </is>
      </c>
      <c r="E155" s="7" t="inlineStr">
        <is>
          <t>Inseticida</t>
        </is>
      </c>
      <c r="F155" s="7" t="inlineStr">
        <is>
          <t>Lagarta-do-cartucho</t>
        </is>
      </c>
      <c r="G155" s="7" t="inlineStr">
        <is>
          <t>Spodoptera frugiperda</t>
        </is>
      </c>
      <c r="H155" s="7" t="inlineStr">
        <is>
          <t>SIM (*)</t>
        </is>
      </c>
      <c r="I155" s="17" t="n">
        <v>0.05</v>
      </c>
      <c r="J155" s="17" t="n">
        <v>0.15</v>
      </c>
      <c r="K155" s="7" t="inlineStr">
        <is>
          <t>L/ha</t>
        </is>
      </c>
      <c r="L155" s="9" t="n">
        <v>1</v>
      </c>
      <c r="M155" s="7" t="inlineStr">
        <is>
          <t>Aplicar conforme monitoramento e estádio recomendado na bula (IRAC Grupo 3A)</t>
        </is>
      </c>
    </row>
    <row r="156" ht="22" customHeight="1">
      <c r="A156" s="12" t="inlineStr">
        <is>
          <t>ALV-0152</t>
        </is>
      </c>
      <c r="B156" s="11" t="n">
        <v>72</v>
      </c>
      <c r="C156" s="13" t="inlineStr">
        <is>
          <t>Nº 2020</t>
        </is>
      </c>
      <c r="D156" s="14" t="inlineStr">
        <is>
          <t>SAMURAI</t>
        </is>
      </c>
      <c r="E156" s="13" t="inlineStr">
        <is>
          <t>Inseticida</t>
        </is>
      </c>
      <c r="F156" s="13" t="inlineStr">
        <is>
          <t>Percevejo-marrom</t>
        </is>
      </c>
      <c r="G156" s="13" t="inlineStr">
        <is>
          <t>Euschistus heros</t>
        </is>
      </c>
      <c r="H156" s="13" t="inlineStr">
        <is>
          <t>NÃO</t>
        </is>
      </c>
      <c r="I156" s="18" t="n">
        <v>0.075</v>
      </c>
      <c r="J156" s="18" t="n">
        <v>0.15</v>
      </c>
      <c r="K156" s="13" t="inlineStr">
        <is>
          <t>L/ha</t>
        </is>
      </c>
      <c r="L156" s="15" t="n">
        <v>1</v>
      </c>
      <c r="M156" s="13" t="inlineStr">
        <is>
          <t>Aplicar conforme monitoramento e estádio recomendado na bula (IRAC Grupo 3A)</t>
        </is>
      </c>
    </row>
    <row r="157" ht="22" customHeight="1">
      <c r="A157" s="6" t="inlineStr">
        <is>
          <t>ALV-0153</t>
        </is>
      </c>
      <c r="B157" s="5" t="n">
        <v>73</v>
      </c>
      <c r="C157" s="7" t="inlineStr">
        <is>
          <t>Nº 4110</t>
        </is>
      </c>
      <c r="D157" s="8" t="inlineStr">
        <is>
          <t>TRINCA CAPS</t>
        </is>
      </c>
      <c r="E157" s="7" t="inlineStr">
        <is>
          <t>Inseticida</t>
        </is>
      </c>
      <c r="F157" s="7" t="inlineStr">
        <is>
          <t>Lagarta-do-cartucho</t>
        </is>
      </c>
      <c r="G157" s="7" t="inlineStr">
        <is>
          <t>Spodoptera frugiperda</t>
        </is>
      </c>
      <c r="H157" s="7" t="inlineStr">
        <is>
          <t>SIM (*)</t>
        </is>
      </c>
      <c r="I157" s="17" t="n">
        <v>0.05</v>
      </c>
      <c r="J157" s="17" t="n">
        <v>0.15</v>
      </c>
      <c r="K157" s="7" t="inlineStr">
        <is>
          <t>L/ha</t>
        </is>
      </c>
      <c r="L157" s="9" t="n">
        <v>1</v>
      </c>
      <c r="M157" s="7" t="inlineStr">
        <is>
          <t>Aplicar conforme monitoramento e estádio recomendado na bula (IRAC Grupo 3A)</t>
        </is>
      </c>
    </row>
    <row r="158" ht="22" customHeight="1">
      <c r="A158" s="12" t="inlineStr">
        <is>
          <t>ALV-0154</t>
        </is>
      </c>
      <c r="B158" s="11" t="n">
        <v>73</v>
      </c>
      <c r="C158" s="13" t="inlineStr">
        <is>
          <t>Nº 4110</t>
        </is>
      </c>
      <c r="D158" s="14" t="inlineStr">
        <is>
          <t>TRINCA CAPS</t>
        </is>
      </c>
      <c r="E158" s="13" t="inlineStr">
        <is>
          <t>Inseticida</t>
        </is>
      </c>
      <c r="F158" s="13" t="inlineStr">
        <is>
          <t>Percevejo-marrom</t>
        </is>
      </c>
      <c r="G158" s="13" t="inlineStr">
        <is>
          <t>Euschistus heros</t>
        </is>
      </c>
      <c r="H158" s="13" t="inlineStr">
        <is>
          <t>NÃO</t>
        </is>
      </c>
      <c r="I158" s="18" t="n">
        <v>0.075</v>
      </c>
      <c r="J158" s="18" t="n">
        <v>0.15</v>
      </c>
      <c r="K158" s="13" t="inlineStr">
        <is>
          <t>L/ha</t>
        </is>
      </c>
      <c r="L158" s="15" t="n">
        <v>1</v>
      </c>
      <c r="M158" s="13" t="inlineStr">
        <is>
          <t>Aplicar conforme monitoramento e estádio recomendado na bula (IRAC Grupo 3A)</t>
        </is>
      </c>
    </row>
    <row r="159" ht="22" customHeight="1">
      <c r="A159" s="6" t="inlineStr">
        <is>
          <t>ALV-0155</t>
        </is>
      </c>
      <c r="B159" s="5" t="n">
        <v>74</v>
      </c>
      <c r="C159" s="7" t="inlineStr">
        <is>
          <t>Nº 17618</t>
        </is>
      </c>
      <c r="D159" s="8" t="inlineStr">
        <is>
          <t>KRATON 100 EC</t>
        </is>
      </c>
      <c r="E159" s="7" t="inlineStr">
        <is>
          <t>Inseticida</t>
        </is>
      </c>
      <c r="F159" s="7" t="inlineStr">
        <is>
          <t>Lagarta-falsa-medideira</t>
        </is>
      </c>
      <c r="G159" s="7" t="inlineStr">
        <is>
          <t>Chrysodeixis includens</t>
        </is>
      </c>
      <c r="H159" s="7" t="inlineStr">
        <is>
          <t>NÃO</t>
        </is>
      </c>
      <c r="I159" s="17" t="n">
        <v>0.1</v>
      </c>
      <c r="J159" s="17" t="n">
        <v>0.15</v>
      </c>
      <c r="K159" s="7" t="inlineStr">
        <is>
          <t>L/ha</t>
        </is>
      </c>
      <c r="L159" s="9" t="n">
        <v>1</v>
      </c>
      <c r="M159" s="7" t="inlineStr">
        <is>
          <t>Aplicar conforme monitoramento e estádio recomendado na bula (IRAC Grupo 15)</t>
        </is>
      </c>
    </row>
    <row r="160" ht="22" customHeight="1">
      <c r="A160" s="12" t="inlineStr">
        <is>
          <t>ALV-0156</t>
        </is>
      </c>
      <c r="B160" s="11" t="n">
        <v>74</v>
      </c>
      <c r="C160" s="13" t="inlineStr">
        <is>
          <t>Nº 17618</t>
        </is>
      </c>
      <c r="D160" s="14" t="inlineStr">
        <is>
          <t>KRATON 100 EC</t>
        </is>
      </c>
      <c r="E160" s="13" t="inlineStr">
        <is>
          <t>Inseticida</t>
        </is>
      </c>
      <c r="F160" s="13" t="inlineStr">
        <is>
          <t>Lagarta-helicoverpa</t>
        </is>
      </c>
      <c r="G160" s="13" t="inlineStr">
        <is>
          <t>Helicoverpa armigera</t>
        </is>
      </c>
      <c r="H160" s="13" t="inlineStr">
        <is>
          <t>NÃO</t>
        </is>
      </c>
      <c r="I160" s="18" t="n">
        <v>0.15</v>
      </c>
      <c r="J160" s="18" t="n">
        <v>0.175</v>
      </c>
      <c r="K160" s="13" t="inlineStr">
        <is>
          <t>L/ha</t>
        </is>
      </c>
      <c r="L160" s="15" t="n">
        <v>1</v>
      </c>
      <c r="M160" s="13" t="inlineStr">
        <is>
          <t>Aplicar conforme monitoramento e estádio recomendado na bula (IRAC Grupo 15)</t>
        </is>
      </c>
    </row>
    <row r="161" ht="22" customHeight="1">
      <c r="A161" s="6" t="inlineStr">
        <is>
          <t>ALV-0157</t>
        </is>
      </c>
      <c r="B161" s="5" t="n">
        <v>75</v>
      </c>
      <c r="C161" s="7" t="inlineStr">
        <is>
          <t>SIPEAGRO (UF-XXXXX)</t>
        </is>
      </c>
      <c r="D161" s="8" t="inlineStr">
        <is>
          <t>AGCN MAGNESIO</t>
        </is>
      </c>
      <c r="E161" s="7" t="inlineStr">
        <is>
          <t>Fertilizante Mineral Simples (Nitrogenado)</t>
        </is>
      </c>
      <c r="F161" s="7" t="inlineStr">
        <is>
          <t>Nutrição e Correção de Deficiência Mineral</t>
        </is>
      </c>
      <c r="G161" s="7" t="inlineStr">
        <is>
          <t>Nutrição Vegetal</t>
        </is>
      </c>
      <c r="H161" s="7" t="inlineStr">
        <is>
          <t>NÃO</t>
        </is>
      </c>
      <c r="I161" s="9" t="n">
        <v>1</v>
      </c>
      <c r="J161" s="9" t="n">
        <v>250</v>
      </c>
      <c r="K161" s="7" t="inlineStr">
        <is>
          <t>kg ou L/ha</t>
        </is>
      </c>
      <c r="L161" s="9" t="n">
        <v>1</v>
      </c>
      <c r="M161" s="7" t="inlineStr">
        <is>
          <t>Aplicar conforme monitoramento e estádio recomendado na bula (Nutrição Vegetal SIPEAGRO)</t>
        </is>
      </c>
    </row>
    <row r="162" ht="22" customHeight="1">
      <c r="A162" s="12" t="inlineStr">
        <is>
          <t>ALV-0158</t>
        </is>
      </c>
      <c r="B162" s="11" t="n">
        <v>76</v>
      </c>
      <c r="C162" s="13" t="inlineStr">
        <is>
          <t>SIPEAGRO (UF-XXXXX)</t>
        </is>
      </c>
      <c r="D162" s="14" t="inlineStr">
        <is>
          <t>HAIFA MAG</t>
        </is>
      </c>
      <c r="E162" s="13" t="inlineStr">
        <is>
          <t>Fertilizante Químico Inorgânico (Matéria-Prima Cap. 28/38)</t>
        </is>
      </c>
      <c r="F162" s="13" t="inlineStr">
        <is>
          <t>Nutrição e Correção de Deficiência Mineral</t>
        </is>
      </c>
      <c r="G162" s="13" t="inlineStr">
        <is>
          <t>Nutrição Vegetal</t>
        </is>
      </c>
      <c r="H162" s="13" t="inlineStr">
        <is>
          <t>NÃO</t>
        </is>
      </c>
      <c r="I162" s="15" t="n">
        <v>1</v>
      </c>
      <c r="J162" s="15" t="n">
        <v>250</v>
      </c>
      <c r="K162" s="13" t="inlineStr">
        <is>
          <t>kg ou L/ha</t>
        </is>
      </c>
      <c r="L162" s="15" t="n">
        <v>1</v>
      </c>
      <c r="M162" s="13" t="inlineStr">
        <is>
          <t>Aplicar conforme monitoramento e estádio recomendado na bula (Nutrição Vegetal SIPEAGRO)</t>
        </is>
      </c>
    </row>
    <row r="163" ht="22" customHeight="1">
      <c r="A163" s="6" t="inlineStr">
        <is>
          <t>ALV-0159</t>
        </is>
      </c>
      <c r="B163" s="5" t="n">
        <v>77</v>
      </c>
      <c r="C163" s="7" t="inlineStr">
        <is>
          <t>Nº 1921</t>
        </is>
      </c>
      <c r="D163" s="8" t="inlineStr">
        <is>
          <t>EMZEB PLATINA 750 WG</t>
        </is>
      </c>
      <c r="E163" s="7" t="inlineStr">
        <is>
          <t>Fungicida</t>
        </is>
      </c>
      <c r="F163" s="7" t="inlineStr">
        <is>
          <t>Ferrugem-asiática</t>
        </is>
      </c>
      <c r="G163" s="7" t="inlineStr">
        <is>
          <t>Phakopsora pachyrhizi</t>
        </is>
      </c>
      <c r="H163" s="7" t="inlineStr">
        <is>
          <t>NÃO</t>
        </is>
      </c>
      <c r="I163" s="17" t="n">
        <v>1.5</v>
      </c>
      <c r="J163" s="17" t="n">
        <v>2.5</v>
      </c>
      <c r="K163" s="7" t="inlineStr">
        <is>
          <t>kg/ha</t>
        </is>
      </c>
      <c r="L163" s="9" t="n">
        <v>1</v>
      </c>
      <c r="M163" s="7" t="inlineStr">
        <is>
          <t>Aplicar conforme monitoramento e estádio recomendado na bula (FRAC Grupo M03 — Multissítio)</t>
        </is>
      </c>
    </row>
    <row r="164" ht="22" customHeight="1">
      <c r="A164" s="12" t="inlineStr">
        <is>
          <t>ALV-0160</t>
        </is>
      </c>
      <c r="B164" s="11" t="n">
        <v>77</v>
      </c>
      <c r="C164" s="13" t="inlineStr">
        <is>
          <t>Nº 1921</t>
        </is>
      </c>
      <c r="D164" s="14" t="inlineStr">
        <is>
          <t>EMZEB PLATINA 750 WG</t>
        </is>
      </c>
      <c r="E164" s="13" t="inlineStr">
        <is>
          <t>Fungicida</t>
        </is>
      </c>
      <c r="F164" s="13" t="inlineStr">
        <is>
          <t>Mancha-alvo</t>
        </is>
      </c>
      <c r="G164" s="13" t="inlineStr">
        <is>
          <t>Corynespora cassiicola</t>
        </is>
      </c>
      <c r="H164" s="13" t="inlineStr">
        <is>
          <t>NÃO</t>
        </is>
      </c>
      <c r="I164" s="18" t="n">
        <v>1.5</v>
      </c>
      <c r="J164" s="18" t="n">
        <v>2.5</v>
      </c>
      <c r="K164" s="13" t="inlineStr">
        <is>
          <t>kg/ha</t>
        </is>
      </c>
      <c r="L164" s="15" t="n">
        <v>1</v>
      </c>
      <c r="M164" s="13" t="inlineStr">
        <is>
          <t>Aplicar conforme monitoramento e estádio recomendado na bula (FRAC Grupo M03 — Multissítio)</t>
        </is>
      </c>
    </row>
    <row r="165" ht="22" customHeight="1">
      <c r="A165" s="6" t="inlineStr">
        <is>
          <t>ALV-0161</t>
        </is>
      </c>
      <c r="B165" s="5" t="n">
        <v>77</v>
      </c>
      <c r="C165" s="7" t="inlineStr">
        <is>
          <t>Nº 1921</t>
        </is>
      </c>
      <c r="D165" s="8" t="inlineStr">
        <is>
          <t>EMZEB PLATINA 750 WG</t>
        </is>
      </c>
      <c r="E165" s="7" t="inlineStr">
        <is>
          <t>Fungicida</t>
        </is>
      </c>
      <c r="F165" s="7" t="inlineStr">
        <is>
          <t>Pinta-preta</t>
        </is>
      </c>
      <c r="G165" s="7" t="inlineStr">
        <is>
          <t>Alternaria solani</t>
        </is>
      </c>
      <c r="H165" s="7" t="inlineStr">
        <is>
          <t>NÃO</t>
        </is>
      </c>
      <c r="I165" s="9" t="n">
        <v>2</v>
      </c>
      <c r="J165" s="9" t="n">
        <v>3</v>
      </c>
      <c r="K165" s="7" t="inlineStr">
        <is>
          <t>kg/ha</t>
        </is>
      </c>
      <c r="L165" s="9" t="n">
        <v>1</v>
      </c>
      <c r="M165" s="7" t="inlineStr">
        <is>
          <t>Aplicar conforme monitoramento e estádio recomendado na bula (FRAC Grupo M03 — Multissítio)</t>
        </is>
      </c>
    </row>
    <row r="166" ht="22" customHeight="1">
      <c r="A166" s="12" t="inlineStr">
        <is>
          <t>ALV-0162</t>
        </is>
      </c>
      <c r="B166" s="11" t="n">
        <v>78</v>
      </c>
      <c r="C166" s="13" t="inlineStr">
        <is>
          <t>Nº 0720</t>
        </is>
      </c>
      <c r="D166" s="14" t="inlineStr">
        <is>
          <t>INDOZEB 750 WG</t>
        </is>
      </c>
      <c r="E166" s="13" t="inlineStr">
        <is>
          <t>Fungicida</t>
        </is>
      </c>
      <c r="F166" s="13" t="inlineStr">
        <is>
          <t>Ferrugem-asiática</t>
        </is>
      </c>
      <c r="G166" s="13" t="inlineStr">
        <is>
          <t>Phakopsora pachyrhizi</t>
        </is>
      </c>
      <c r="H166" s="13" t="inlineStr">
        <is>
          <t>NÃO</t>
        </is>
      </c>
      <c r="I166" s="18" t="n">
        <v>1.5</v>
      </c>
      <c r="J166" s="18" t="n">
        <v>2.5</v>
      </c>
      <c r="K166" s="13" t="inlineStr">
        <is>
          <t>kg/ha</t>
        </is>
      </c>
      <c r="L166" s="15" t="n">
        <v>1</v>
      </c>
      <c r="M166" s="13" t="inlineStr">
        <is>
          <t>Aplicar conforme monitoramento e estádio recomendado na bula (FRAC Grupo M03 — Multissítio)</t>
        </is>
      </c>
    </row>
    <row r="167" ht="22" customHeight="1">
      <c r="A167" s="6" t="inlineStr">
        <is>
          <t>ALV-0163</t>
        </is>
      </c>
      <c r="B167" s="5" t="n">
        <v>78</v>
      </c>
      <c r="C167" s="7" t="inlineStr">
        <is>
          <t>Nº 0720</t>
        </is>
      </c>
      <c r="D167" s="8" t="inlineStr">
        <is>
          <t>INDOZEB 750 WG</t>
        </is>
      </c>
      <c r="E167" s="7" t="inlineStr">
        <is>
          <t>Fungicida</t>
        </is>
      </c>
      <c r="F167" s="7" t="inlineStr">
        <is>
          <t>Mancha-alvo</t>
        </is>
      </c>
      <c r="G167" s="7" t="inlineStr">
        <is>
          <t>Corynespora cassiicola</t>
        </is>
      </c>
      <c r="H167" s="7" t="inlineStr">
        <is>
          <t>NÃO</t>
        </is>
      </c>
      <c r="I167" s="17" t="n">
        <v>1.5</v>
      </c>
      <c r="J167" s="17" t="n">
        <v>2.5</v>
      </c>
      <c r="K167" s="7" t="inlineStr">
        <is>
          <t>kg/ha</t>
        </is>
      </c>
      <c r="L167" s="9" t="n">
        <v>1</v>
      </c>
      <c r="M167" s="7" t="inlineStr">
        <is>
          <t>Aplicar conforme monitoramento e estádio recomendado na bula (FRAC Grupo M03 — Multissítio)</t>
        </is>
      </c>
    </row>
    <row r="168" ht="22" customHeight="1">
      <c r="A168" s="12" t="inlineStr">
        <is>
          <t>ALV-0164</t>
        </is>
      </c>
      <c r="B168" s="11" t="n">
        <v>78</v>
      </c>
      <c r="C168" s="13" t="inlineStr">
        <is>
          <t>Nº 0720</t>
        </is>
      </c>
      <c r="D168" s="14" t="inlineStr">
        <is>
          <t>INDOZEB 750 WG</t>
        </is>
      </c>
      <c r="E168" s="13" t="inlineStr">
        <is>
          <t>Fungicida</t>
        </is>
      </c>
      <c r="F168" s="13" t="inlineStr">
        <is>
          <t>Pinta-preta</t>
        </is>
      </c>
      <c r="G168" s="13" t="inlineStr">
        <is>
          <t>Alternaria solani</t>
        </is>
      </c>
      <c r="H168" s="13" t="inlineStr">
        <is>
          <t>NÃO</t>
        </is>
      </c>
      <c r="I168" s="15" t="n">
        <v>2</v>
      </c>
      <c r="J168" s="15" t="n">
        <v>3</v>
      </c>
      <c r="K168" s="13" t="inlineStr">
        <is>
          <t>kg/ha</t>
        </is>
      </c>
      <c r="L168" s="15" t="n">
        <v>1</v>
      </c>
      <c r="M168" s="13" t="inlineStr">
        <is>
          <t>Aplicar conforme monitoramento e estádio recomendado na bula (FRAC Grupo M03 — Multissítio)</t>
        </is>
      </c>
    </row>
    <row r="169" ht="22" customHeight="1">
      <c r="A169" s="6" t="inlineStr">
        <is>
          <t>ALV-0165</t>
        </is>
      </c>
      <c r="B169" s="5" t="n">
        <v>79</v>
      </c>
      <c r="C169" s="7" t="inlineStr">
        <is>
          <t>Nº 6313</t>
        </is>
      </c>
      <c r="D169" s="8" t="inlineStr">
        <is>
          <t>MANFIL 800 WP</t>
        </is>
      </c>
      <c r="E169" s="7" t="inlineStr">
        <is>
          <t>Fungicida</t>
        </is>
      </c>
      <c r="F169" s="7" t="inlineStr">
        <is>
          <t>Ferrugem-asiática</t>
        </is>
      </c>
      <c r="G169" s="7" t="inlineStr">
        <is>
          <t>Phakopsora pachyrhizi</t>
        </is>
      </c>
      <c r="H169" s="7" t="inlineStr">
        <is>
          <t>NÃO</t>
        </is>
      </c>
      <c r="I169" s="17" t="n">
        <v>1.5</v>
      </c>
      <c r="J169" s="17" t="n">
        <v>2.5</v>
      </c>
      <c r="K169" s="7" t="inlineStr">
        <is>
          <t>kg/ha</t>
        </is>
      </c>
      <c r="L169" s="9" t="n">
        <v>1</v>
      </c>
      <c r="M169" s="7" t="inlineStr">
        <is>
          <t>Aplicar conforme monitoramento e estádio recomendado na bula (FRAC Grupo M03 — Multissítio)</t>
        </is>
      </c>
    </row>
    <row r="170" ht="22" customHeight="1">
      <c r="A170" s="12" t="inlineStr">
        <is>
          <t>ALV-0166</t>
        </is>
      </c>
      <c r="B170" s="11" t="n">
        <v>79</v>
      </c>
      <c r="C170" s="13" t="inlineStr">
        <is>
          <t>Nº 6313</t>
        </is>
      </c>
      <c r="D170" s="14" t="inlineStr">
        <is>
          <t>MANFIL 800 WP</t>
        </is>
      </c>
      <c r="E170" s="13" t="inlineStr">
        <is>
          <t>Fungicida</t>
        </is>
      </c>
      <c r="F170" s="13" t="inlineStr">
        <is>
          <t>Mancha-alvo</t>
        </is>
      </c>
      <c r="G170" s="13" t="inlineStr">
        <is>
          <t>Corynespora cassiicola</t>
        </is>
      </c>
      <c r="H170" s="13" t="inlineStr">
        <is>
          <t>NÃO</t>
        </is>
      </c>
      <c r="I170" s="18" t="n">
        <v>1.5</v>
      </c>
      <c r="J170" s="18" t="n">
        <v>2.5</v>
      </c>
      <c r="K170" s="13" t="inlineStr">
        <is>
          <t>kg/ha</t>
        </is>
      </c>
      <c r="L170" s="15" t="n">
        <v>1</v>
      </c>
      <c r="M170" s="13" t="inlineStr">
        <is>
          <t>Aplicar conforme monitoramento e estádio recomendado na bula (FRAC Grupo M03 — Multissítio)</t>
        </is>
      </c>
    </row>
    <row r="171" ht="22" customHeight="1">
      <c r="A171" s="6" t="inlineStr">
        <is>
          <t>ALV-0167</t>
        </is>
      </c>
      <c r="B171" s="5" t="n">
        <v>79</v>
      </c>
      <c r="C171" s="7" t="inlineStr">
        <is>
          <t>Nº 6313</t>
        </is>
      </c>
      <c r="D171" s="8" t="inlineStr">
        <is>
          <t>MANFIL 800 WP</t>
        </is>
      </c>
      <c r="E171" s="7" t="inlineStr">
        <is>
          <t>Fungicida</t>
        </is>
      </c>
      <c r="F171" s="7" t="inlineStr">
        <is>
          <t>Pinta-preta</t>
        </is>
      </c>
      <c r="G171" s="7" t="inlineStr">
        <is>
          <t>Alternaria solani</t>
        </is>
      </c>
      <c r="H171" s="7" t="inlineStr">
        <is>
          <t>NÃO</t>
        </is>
      </c>
      <c r="I171" s="9" t="n">
        <v>2</v>
      </c>
      <c r="J171" s="9" t="n">
        <v>3</v>
      </c>
      <c r="K171" s="7" t="inlineStr">
        <is>
          <t>kg/ha</t>
        </is>
      </c>
      <c r="L171" s="9" t="n">
        <v>1</v>
      </c>
      <c r="M171" s="7" t="inlineStr">
        <is>
          <t>Aplicar conforme monitoramento e estádio recomendado na bula (FRAC Grupo M03 — Multissítio)</t>
        </is>
      </c>
    </row>
    <row r="172" ht="22" customHeight="1">
      <c r="A172" s="12" t="inlineStr">
        <is>
          <t>ALV-0168</t>
        </is>
      </c>
      <c r="B172" s="11" t="n">
        <v>80</v>
      </c>
      <c r="C172" s="13" t="inlineStr">
        <is>
          <t>Nº 6313</t>
        </is>
      </c>
      <c r="D172" s="14" t="inlineStr">
        <is>
          <t>MANFIL 800 WP 1X7,5KG (AGUARDAR FISCAL)</t>
        </is>
      </c>
      <c r="E172" s="13" t="inlineStr">
        <is>
          <t>Fungicida</t>
        </is>
      </c>
      <c r="F172" s="13" t="inlineStr">
        <is>
          <t>Ferrugem-asiática</t>
        </is>
      </c>
      <c r="G172" s="13" t="inlineStr">
        <is>
          <t>Phakopsora pachyrhizi</t>
        </is>
      </c>
      <c r="H172" s="13" t="inlineStr">
        <is>
          <t>NÃO</t>
        </is>
      </c>
      <c r="I172" s="18" t="n">
        <v>1.5</v>
      </c>
      <c r="J172" s="18" t="n">
        <v>2.5</v>
      </c>
      <c r="K172" s="13" t="inlineStr">
        <is>
          <t>kg/ha</t>
        </is>
      </c>
      <c r="L172" s="15" t="n">
        <v>1</v>
      </c>
      <c r="M172" s="13" t="inlineStr">
        <is>
          <t>Aplicar conforme monitoramento e estádio recomendado na bula (FRAC Grupo M03 — Multissítio)</t>
        </is>
      </c>
    </row>
    <row r="173" ht="22" customHeight="1">
      <c r="A173" s="6" t="inlineStr">
        <is>
          <t>ALV-0169</t>
        </is>
      </c>
      <c r="B173" s="5" t="n">
        <v>80</v>
      </c>
      <c r="C173" s="7" t="inlineStr">
        <is>
          <t>Nº 6313</t>
        </is>
      </c>
      <c r="D173" s="8" t="inlineStr">
        <is>
          <t>MANFIL 800 WP 1X7,5KG (AGUARDAR FISCAL)</t>
        </is>
      </c>
      <c r="E173" s="7" t="inlineStr">
        <is>
          <t>Fungicida</t>
        </is>
      </c>
      <c r="F173" s="7" t="inlineStr">
        <is>
          <t>Mancha-alvo</t>
        </is>
      </c>
      <c r="G173" s="7" t="inlineStr">
        <is>
          <t>Corynespora cassiicola</t>
        </is>
      </c>
      <c r="H173" s="7" t="inlineStr">
        <is>
          <t>NÃO</t>
        </is>
      </c>
      <c r="I173" s="17" t="n">
        <v>1.5</v>
      </c>
      <c r="J173" s="17" t="n">
        <v>2.5</v>
      </c>
      <c r="K173" s="7" t="inlineStr">
        <is>
          <t>kg/ha</t>
        </is>
      </c>
      <c r="L173" s="9" t="n">
        <v>1</v>
      </c>
      <c r="M173" s="7" t="inlineStr">
        <is>
          <t>Aplicar conforme monitoramento e estádio recomendado na bula (FRAC Grupo M03 — Multissítio)</t>
        </is>
      </c>
    </row>
    <row r="174" ht="22" customHeight="1">
      <c r="A174" s="12" t="inlineStr">
        <is>
          <t>ALV-0170</t>
        </is>
      </c>
      <c r="B174" s="11" t="n">
        <v>80</v>
      </c>
      <c r="C174" s="13" t="inlineStr">
        <is>
          <t>Nº 6313</t>
        </is>
      </c>
      <c r="D174" s="14" t="inlineStr">
        <is>
          <t>MANFIL 800 WP 1X7,5KG (AGUARDAR FISCAL)</t>
        </is>
      </c>
      <c r="E174" s="13" t="inlineStr">
        <is>
          <t>Fungicida</t>
        </is>
      </c>
      <c r="F174" s="13" t="inlineStr">
        <is>
          <t>Pinta-preta</t>
        </is>
      </c>
      <c r="G174" s="13" t="inlineStr">
        <is>
          <t>Alternaria solani</t>
        </is>
      </c>
      <c r="H174" s="13" t="inlineStr">
        <is>
          <t>NÃO</t>
        </is>
      </c>
      <c r="I174" s="15" t="n">
        <v>2</v>
      </c>
      <c r="J174" s="15" t="n">
        <v>3</v>
      </c>
      <c r="K174" s="13" t="inlineStr">
        <is>
          <t>kg/ha</t>
        </is>
      </c>
      <c r="L174" s="15" t="n">
        <v>1</v>
      </c>
      <c r="M174" s="13" t="inlineStr">
        <is>
          <t>Aplicar conforme monitoramento e estádio recomendado na bula (FRAC Grupo M03 — Multissítio)</t>
        </is>
      </c>
    </row>
    <row r="175" ht="22" customHeight="1">
      <c r="A175" s="6" t="inlineStr">
        <is>
          <t>ALV-0171</t>
        </is>
      </c>
      <c r="B175" s="5" t="n">
        <v>81</v>
      </c>
      <c r="C175" s="7" t="inlineStr">
        <is>
          <t>Nº 38917</t>
        </is>
      </c>
      <c r="D175" s="8" t="inlineStr">
        <is>
          <t>MESON</t>
        </is>
      </c>
      <c r="E175" s="7" t="inlineStr">
        <is>
          <t>Herbicida</t>
        </is>
      </c>
      <c r="F175" s="7" t="inlineStr">
        <is>
          <t>Capim-carrapicho</t>
        </is>
      </c>
      <c r="G175" s="7" t="inlineStr">
        <is>
          <t>Cenchrus echinatus</t>
        </is>
      </c>
      <c r="H175" s="7" t="inlineStr">
        <is>
          <t>NÃO</t>
        </is>
      </c>
      <c r="I175" s="17" t="n">
        <v>0.3</v>
      </c>
      <c r="J175" s="17" t="n">
        <v>0.4</v>
      </c>
      <c r="K175" s="7" t="inlineStr">
        <is>
          <t>L/ha</t>
        </is>
      </c>
      <c r="L175" s="9" t="n">
        <v>1</v>
      </c>
      <c r="M175" s="7" t="inlineStr">
        <is>
          <t>Aplicar conforme monitoramento e estádio recomendado na bula (HRAC Grupo F2 (27) — Inibidores da HPPD)</t>
        </is>
      </c>
    </row>
    <row r="176" ht="22" customHeight="1">
      <c r="A176" s="12" t="inlineStr">
        <is>
          <t>ALV-0172</t>
        </is>
      </c>
      <c r="B176" s="11" t="n">
        <v>81</v>
      </c>
      <c r="C176" s="13" t="inlineStr">
        <is>
          <t>Nº 38917</t>
        </is>
      </c>
      <c r="D176" s="14" t="inlineStr">
        <is>
          <t>MESON</t>
        </is>
      </c>
      <c r="E176" s="13" t="inlineStr">
        <is>
          <t>Herbicida</t>
        </is>
      </c>
      <c r="F176" s="13" t="inlineStr">
        <is>
          <t>Caruru</t>
        </is>
      </c>
      <c r="G176" s="13" t="inlineStr">
        <is>
          <t>Amaranthus viridis</t>
        </is>
      </c>
      <c r="H176" s="13" t="inlineStr">
        <is>
          <t>NÃO</t>
        </is>
      </c>
      <c r="I176" s="18" t="n">
        <v>0.25</v>
      </c>
      <c r="J176" s="18" t="n">
        <v>0.4</v>
      </c>
      <c r="K176" s="13" t="inlineStr">
        <is>
          <t>L/ha</t>
        </is>
      </c>
      <c r="L176" s="15" t="n">
        <v>1</v>
      </c>
      <c r="M176" s="13" t="inlineStr">
        <is>
          <t>Aplicar conforme monitoramento e estádio recomendado na bula (HRAC Grupo F2 (27) — Inibidores da HPPD)</t>
        </is>
      </c>
    </row>
    <row r="177" ht="22" customHeight="1">
      <c r="A177" s="6" t="inlineStr">
        <is>
          <t>ALV-0173</t>
        </is>
      </c>
      <c r="B177" s="5" t="n">
        <v>81</v>
      </c>
      <c r="C177" s="7" t="inlineStr">
        <is>
          <t>Nº 38917</t>
        </is>
      </c>
      <c r="D177" s="8" t="inlineStr">
        <is>
          <t>MESON</t>
        </is>
      </c>
      <c r="E177" s="7" t="inlineStr">
        <is>
          <t>Herbicida</t>
        </is>
      </c>
      <c r="F177" s="7" t="inlineStr">
        <is>
          <t>Corda-de-viola</t>
        </is>
      </c>
      <c r="G177" s="7" t="inlineStr">
        <is>
          <t>Ipomoea grandifolia</t>
        </is>
      </c>
      <c r="H177" s="7" t="inlineStr">
        <is>
          <t>NÃO</t>
        </is>
      </c>
      <c r="I177" s="17" t="n">
        <v>0.25</v>
      </c>
      <c r="J177" s="17" t="n">
        <v>0.4</v>
      </c>
      <c r="K177" s="7" t="inlineStr">
        <is>
          <t>L/ha</t>
        </is>
      </c>
      <c r="L177" s="9" t="n">
        <v>1</v>
      </c>
      <c r="M177" s="7" t="inlineStr">
        <is>
          <t>Aplicar conforme monitoramento e estádio recomendado na bula (HRAC Grupo F2 (27) — Inibidores da HPPD)</t>
        </is>
      </c>
    </row>
    <row r="178" ht="22" customHeight="1">
      <c r="A178" s="12" t="inlineStr">
        <is>
          <t>ALV-0174</t>
        </is>
      </c>
      <c r="B178" s="11" t="n">
        <v>82</v>
      </c>
      <c r="C178" s="13" t="inlineStr">
        <is>
          <t>Nº 14816</t>
        </is>
      </c>
      <c r="D178" s="14" t="inlineStr">
        <is>
          <t>CHIAVE SUP</t>
        </is>
      </c>
      <c r="E178" s="13" t="inlineStr">
        <is>
          <t>Inseticida</t>
        </is>
      </c>
      <c r="F178" s="13" t="inlineStr">
        <is>
          <t>Lagarta-helicoverpa</t>
        </is>
      </c>
      <c r="G178" s="13" t="inlineStr">
        <is>
          <t>Helicoverpa armigera</t>
        </is>
      </c>
      <c r="H178" s="13" t="inlineStr">
        <is>
          <t>NÃO</t>
        </is>
      </c>
      <c r="I178" s="18" t="n">
        <v>0.2</v>
      </c>
      <c r="J178" s="18" t="n">
        <v>0.5</v>
      </c>
      <c r="K178" s="13" t="inlineStr">
        <is>
          <t>kg ou L/ha</t>
        </is>
      </c>
      <c r="L178" s="15" t="n">
        <v>1</v>
      </c>
      <c r="M178" s="13" t="inlineStr">
        <is>
          <t>Aplicar conforme monitoramento e estádio recomendado na bula (IRAC Grupo 1A)</t>
        </is>
      </c>
    </row>
    <row r="179" ht="22" customHeight="1">
      <c r="A179" s="6" t="inlineStr">
        <is>
          <t>ALV-0175</t>
        </is>
      </c>
      <c r="B179" s="5" t="n">
        <v>82</v>
      </c>
      <c r="C179" s="7" t="inlineStr">
        <is>
          <t>Nº 14816</t>
        </is>
      </c>
      <c r="D179" s="8" t="inlineStr">
        <is>
          <t>CHIAVE SUP</t>
        </is>
      </c>
      <c r="E179" s="7" t="inlineStr">
        <is>
          <t>Inseticida</t>
        </is>
      </c>
      <c r="F179" s="7" t="inlineStr">
        <is>
          <t>Lagarta-do-cartucho</t>
        </is>
      </c>
      <c r="G179" s="7" t="inlineStr">
        <is>
          <t>Spodoptera frugiperda</t>
        </is>
      </c>
      <c r="H179" s="7" t="inlineStr">
        <is>
          <t>NÃO</t>
        </is>
      </c>
      <c r="I179" s="17" t="n">
        <v>0.15</v>
      </c>
      <c r="J179" s="17" t="n">
        <v>0.3</v>
      </c>
      <c r="K179" s="7" t="inlineStr">
        <is>
          <t>kg ou L/ha</t>
        </is>
      </c>
      <c r="L179" s="9" t="n">
        <v>1</v>
      </c>
      <c r="M179" s="7" t="inlineStr">
        <is>
          <t>Aplicar conforme monitoramento e estádio recomendado na bula (IRAC Grupo 1A)</t>
        </is>
      </c>
    </row>
    <row r="180" ht="22" customHeight="1">
      <c r="A180" s="12" t="inlineStr">
        <is>
          <t>ALV-0176</t>
        </is>
      </c>
      <c r="B180" s="11" t="n">
        <v>82</v>
      </c>
      <c r="C180" s="13" t="inlineStr">
        <is>
          <t>Nº 14816</t>
        </is>
      </c>
      <c r="D180" s="14" t="inlineStr">
        <is>
          <t>CHIAVE SUP</t>
        </is>
      </c>
      <c r="E180" s="13" t="inlineStr">
        <is>
          <t>Inseticida</t>
        </is>
      </c>
      <c r="F180" s="13" t="inlineStr">
        <is>
          <t>Lagarta-da-soja</t>
        </is>
      </c>
      <c r="G180" s="13" t="inlineStr">
        <is>
          <t>Anticarsia gemmatalis</t>
        </is>
      </c>
      <c r="H180" s="13" t="inlineStr">
        <is>
          <t>NÃO</t>
        </is>
      </c>
      <c r="I180" s="18" t="n">
        <v>0.1</v>
      </c>
      <c r="J180" s="18" t="n">
        <v>0.2</v>
      </c>
      <c r="K180" s="13" t="inlineStr">
        <is>
          <t>kg ou L/ha</t>
        </is>
      </c>
      <c r="L180" s="15" t="n">
        <v>1</v>
      </c>
      <c r="M180" s="13" t="inlineStr">
        <is>
          <t>Aplicar conforme monitoramento e estádio recomendado na bula (IRAC Grupo 1A)</t>
        </is>
      </c>
    </row>
    <row r="181" ht="22" customHeight="1">
      <c r="A181" s="6" t="inlineStr">
        <is>
          <t>ALV-0177</t>
        </is>
      </c>
      <c r="B181" s="5" t="n">
        <v>83</v>
      </c>
      <c r="C181" s="7" t="inlineStr">
        <is>
          <t>Nº 27620</t>
        </is>
      </c>
      <c r="D181" s="8" t="inlineStr">
        <is>
          <t>METOMIL CHD S</t>
        </is>
      </c>
      <c r="E181" s="7" t="inlineStr">
        <is>
          <t>Inseticida</t>
        </is>
      </c>
      <c r="F181" s="7" t="inlineStr">
        <is>
          <t>Lagarta-helicoverpa</t>
        </is>
      </c>
      <c r="G181" s="7" t="inlineStr">
        <is>
          <t>Helicoverpa armigera</t>
        </is>
      </c>
      <c r="H181" s="7" t="inlineStr">
        <is>
          <t>NÃO</t>
        </is>
      </c>
      <c r="I181" s="17" t="n">
        <v>0.2</v>
      </c>
      <c r="J181" s="17" t="n">
        <v>0.5</v>
      </c>
      <c r="K181" s="7" t="inlineStr">
        <is>
          <t>kg ou L/ha</t>
        </is>
      </c>
      <c r="L181" s="9" t="n">
        <v>1</v>
      </c>
      <c r="M181" s="7" t="inlineStr">
        <is>
          <t>Aplicar conforme monitoramento e estádio recomendado na bula (IRAC Grupo 1A)</t>
        </is>
      </c>
    </row>
    <row r="182" ht="22" customHeight="1">
      <c r="A182" s="12" t="inlineStr">
        <is>
          <t>ALV-0178</t>
        </is>
      </c>
      <c r="B182" s="11" t="n">
        <v>83</v>
      </c>
      <c r="C182" s="13" t="inlineStr">
        <is>
          <t>Nº 27620</t>
        </is>
      </c>
      <c r="D182" s="14" t="inlineStr">
        <is>
          <t>METOMIL CHD S</t>
        </is>
      </c>
      <c r="E182" s="13" t="inlineStr">
        <is>
          <t>Inseticida</t>
        </is>
      </c>
      <c r="F182" s="13" t="inlineStr">
        <is>
          <t>Lagarta-do-cartucho</t>
        </is>
      </c>
      <c r="G182" s="13" t="inlineStr">
        <is>
          <t>Spodoptera frugiperda</t>
        </is>
      </c>
      <c r="H182" s="13" t="inlineStr">
        <is>
          <t>NÃO</t>
        </is>
      </c>
      <c r="I182" s="18" t="n">
        <v>0.15</v>
      </c>
      <c r="J182" s="18" t="n">
        <v>0.3</v>
      </c>
      <c r="K182" s="13" t="inlineStr">
        <is>
          <t>kg ou L/ha</t>
        </is>
      </c>
      <c r="L182" s="15" t="n">
        <v>1</v>
      </c>
      <c r="M182" s="13" t="inlineStr">
        <is>
          <t>Aplicar conforme monitoramento e estádio recomendado na bula (IRAC Grupo 1A)</t>
        </is>
      </c>
    </row>
    <row r="183" ht="22" customHeight="1">
      <c r="A183" s="6" t="inlineStr">
        <is>
          <t>ALV-0179</t>
        </is>
      </c>
      <c r="B183" s="5" t="n">
        <v>83</v>
      </c>
      <c r="C183" s="7" t="inlineStr">
        <is>
          <t>Nº 27620</t>
        </is>
      </c>
      <c r="D183" s="8" t="inlineStr">
        <is>
          <t>METOMIL CHD S</t>
        </is>
      </c>
      <c r="E183" s="7" t="inlineStr">
        <is>
          <t>Inseticida</t>
        </is>
      </c>
      <c r="F183" s="7" t="inlineStr">
        <is>
          <t>Lagarta-da-soja</t>
        </is>
      </c>
      <c r="G183" s="7" t="inlineStr">
        <is>
          <t>Anticarsia gemmatalis</t>
        </is>
      </c>
      <c r="H183" s="7" t="inlineStr">
        <is>
          <t>NÃO</t>
        </is>
      </c>
      <c r="I183" s="17" t="n">
        <v>0.1</v>
      </c>
      <c r="J183" s="17" t="n">
        <v>0.2</v>
      </c>
      <c r="K183" s="7" t="inlineStr">
        <is>
          <t>kg ou L/ha</t>
        </is>
      </c>
      <c r="L183" s="9" t="n">
        <v>1</v>
      </c>
      <c r="M183" s="7" t="inlineStr">
        <is>
          <t>Aplicar conforme monitoramento e estádio recomendado na bula (IRAC Grupo 1A)</t>
        </is>
      </c>
    </row>
    <row r="184" ht="22" customHeight="1">
      <c r="A184" s="12" t="inlineStr">
        <is>
          <t>ALV-0180</t>
        </is>
      </c>
      <c r="B184" s="11" t="n">
        <v>84</v>
      </c>
      <c r="C184" s="13" t="inlineStr">
        <is>
          <t>Nº 31522</t>
        </is>
      </c>
      <c r="D184" s="14" t="inlineStr">
        <is>
          <t>METOMY 900</t>
        </is>
      </c>
      <c r="E184" s="13" t="inlineStr">
        <is>
          <t>Inseticida</t>
        </is>
      </c>
      <c r="F184" s="13" t="inlineStr">
        <is>
          <t>Lagarta-helicoverpa</t>
        </is>
      </c>
      <c r="G184" s="13" t="inlineStr">
        <is>
          <t>Helicoverpa armigera</t>
        </is>
      </c>
      <c r="H184" s="13" t="inlineStr">
        <is>
          <t>NÃO</t>
        </is>
      </c>
      <c r="I184" s="18" t="n">
        <v>0.2</v>
      </c>
      <c r="J184" s="18" t="n">
        <v>0.5</v>
      </c>
      <c r="K184" s="13" t="inlineStr">
        <is>
          <t>kg ou L/ha</t>
        </is>
      </c>
      <c r="L184" s="15" t="n">
        <v>1</v>
      </c>
      <c r="M184" s="13" t="inlineStr">
        <is>
          <t>Aplicar conforme monitoramento e estádio recomendado na bula (IRAC Grupo 1A)</t>
        </is>
      </c>
    </row>
    <row r="185" ht="22" customHeight="1">
      <c r="A185" s="6" t="inlineStr">
        <is>
          <t>ALV-0181</t>
        </is>
      </c>
      <c r="B185" s="5" t="n">
        <v>84</v>
      </c>
      <c r="C185" s="7" t="inlineStr">
        <is>
          <t>Nº 31522</t>
        </is>
      </c>
      <c r="D185" s="8" t="inlineStr">
        <is>
          <t>METOMY 900</t>
        </is>
      </c>
      <c r="E185" s="7" t="inlineStr">
        <is>
          <t>Inseticida</t>
        </is>
      </c>
      <c r="F185" s="7" t="inlineStr">
        <is>
          <t>Lagarta-do-cartucho</t>
        </is>
      </c>
      <c r="G185" s="7" t="inlineStr">
        <is>
          <t>Spodoptera frugiperda</t>
        </is>
      </c>
      <c r="H185" s="7" t="inlineStr">
        <is>
          <t>NÃO</t>
        </is>
      </c>
      <c r="I185" s="17" t="n">
        <v>0.15</v>
      </c>
      <c r="J185" s="17" t="n">
        <v>0.3</v>
      </c>
      <c r="K185" s="7" t="inlineStr">
        <is>
          <t>kg ou L/ha</t>
        </is>
      </c>
      <c r="L185" s="9" t="n">
        <v>1</v>
      </c>
      <c r="M185" s="7" t="inlineStr">
        <is>
          <t>Aplicar conforme monitoramento e estádio recomendado na bula (IRAC Grupo 1A)</t>
        </is>
      </c>
    </row>
    <row r="186" ht="22" customHeight="1">
      <c r="A186" s="12" t="inlineStr">
        <is>
          <t>ALV-0182</t>
        </is>
      </c>
      <c r="B186" s="11" t="n">
        <v>84</v>
      </c>
      <c r="C186" s="13" t="inlineStr">
        <is>
          <t>Nº 31522</t>
        </is>
      </c>
      <c r="D186" s="14" t="inlineStr">
        <is>
          <t>METOMY 900</t>
        </is>
      </c>
      <c r="E186" s="13" t="inlineStr">
        <is>
          <t>Inseticida</t>
        </is>
      </c>
      <c r="F186" s="13" t="inlineStr">
        <is>
          <t>Lagarta-da-soja</t>
        </is>
      </c>
      <c r="G186" s="13" t="inlineStr">
        <is>
          <t>Anticarsia gemmatalis</t>
        </is>
      </c>
      <c r="H186" s="13" t="inlineStr">
        <is>
          <t>NÃO</t>
        </is>
      </c>
      <c r="I186" s="18" t="n">
        <v>0.1</v>
      </c>
      <c r="J186" s="18" t="n">
        <v>0.2</v>
      </c>
      <c r="K186" s="13" t="inlineStr">
        <is>
          <t>kg ou L/ha</t>
        </is>
      </c>
      <c r="L186" s="15" t="n">
        <v>1</v>
      </c>
      <c r="M186" s="13" t="inlineStr">
        <is>
          <t>Aplicar conforme monitoramento e estádio recomendado na bula (IRAC Grupo 1A)</t>
        </is>
      </c>
    </row>
    <row r="187" ht="22" customHeight="1">
      <c r="A187" s="6" t="inlineStr">
        <is>
          <t>ALV-0183</t>
        </is>
      </c>
      <c r="B187" s="5" t="n">
        <v>85</v>
      </c>
      <c r="C187" s="7" t="inlineStr">
        <is>
          <t>Nº 6914</t>
        </is>
      </c>
      <c r="D187" s="8" t="inlineStr">
        <is>
          <t>UPMYL</t>
        </is>
      </c>
      <c r="E187" s="7" t="inlineStr">
        <is>
          <t>Inseticida</t>
        </is>
      </c>
      <c r="F187" s="7" t="inlineStr">
        <is>
          <t>Lagarta-helicoverpa</t>
        </is>
      </c>
      <c r="G187" s="7" t="inlineStr">
        <is>
          <t>Helicoverpa armigera</t>
        </is>
      </c>
      <c r="H187" s="7" t="inlineStr">
        <is>
          <t>NÃO</t>
        </is>
      </c>
      <c r="I187" s="17" t="n">
        <v>0.2</v>
      </c>
      <c r="J187" s="17" t="n">
        <v>0.5</v>
      </c>
      <c r="K187" s="7" t="inlineStr">
        <is>
          <t>kg ou L/ha</t>
        </is>
      </c>
      <c r="L187" s="9" t="n">
        <v>1</v>
      </c>
      <c r="M187" s="7" t="inlineStr">
        <is>
          <t>Aplicar conforme monitoramento e estádio recomendado na bula (IRAC Grupo 1A)</t>
        </is>
      </c>
    </row>
    <row r="188" ht="22" customHeight="1">
      <c r="A188" s="12" t="inlineStr">
        <is>
          <t>ALV-0184</t>
        </is>
      </c>
      <c r="B188" s="11" t="n">
        <v>85</v>
      </c>
      <c r="C188" s="13" t="inlineStr">
        <is>
          <t>Nº 6914</t>
        </is>
      </c>
      <c r="D188" s="14" t="inlineStr">
        <is>
          <t>UPMYL</t>
        </is>
      </c>
      <c r="E188" s="13" t="inlineStr">
        <is>
          <t>Inseticida</t>
        </is>
      </c>
      <c r="F188" s="13" t="inlineStr">
        <is>
          <t>Lagarta-do-cartucho</t>
        </is>
      </c>
      <c r="G188" s="13" t="inlineStr">
        <is>
          <t>Spodoptera frugiperda</t>
        </is>
      </c>
      <c r="H188" s="13" t="inlineStr">
        <is>
          <t>NÃO</t>
        </is>
      </c>
      <c r="I188" s="18" t="n">
        <v>0.15</v>
      </c>
      <c r="J188" s="18" t="n">
        <v>0.3</v>
      </c>
      <c r="K188" s="13" t="inlineStr">
        <is>
          <t>kg ou L/ha</t>
        </is>
      </c>
      <c r="L188" s="15" t="n">
        <v>1</v>
      </c>
      <c r="M188" s="13" t="inlineStr">
        <is>
          <t>Aplicar conforme monitoramento e estádio recomendado na bula (IRAC Grupo 1A)</t>
        </is>
      </c>
    </row>
    <row r="189" ht="22" customHeight="1">
      <c r="A189" s="6" t="inlineStr">
        <is>
          <t>ALV-0185</t>
        </is>
      </c>
      <c r="B189" s="5" t="n">
        <v>85</v>
      </c>
      <c r="C189" s="7" t="inlineStr">
        <is>
          <t>Nº 6914</t>
        </is>
      </c>
      <c r="D189" s="8" t="inlineStr">
        <is>
          <t>UPMYL</t>
        </is>
      </c>
      <c r="E189" s="7" t="inlineStr">
        <is>
          <t>Inseticida</t>
        </is>
      </c>
      <c r="F189" s="7" t="inlineStr">
        <is>
          <t>Lagarta-da-soja</t>
        </is>
      </c>
      <c r="G189" s="7" t="inlineStr">
        <is>
          <t>Anticarsia gemmatalis</t>
        </is>
      </c>
      <c r="H189" s="7" t="inlineStr">
        <is>
          <t>NÃO</t>
        </is>
      </c>
      <c r="I189" s="17" t="n">
        <v>0.1</v>
      </c>
      <c r="J189" s="17" t="n">
        <v>0.2</v>
      </c>
      <c r="K189" s="7" t="inlineStr">
        <is>
          <t>kg ou L/ha</t>
        </is>
      </c>
      <c r="L189" s="9" t="n">
        <v>1</v>
      </c>
      <c r="M189" s="7" t="inlineStr">
        <is>
          <t>Aplicar conforme monitoramento e estádio recomendado na bula (IRAC Grupo 1A)</t>
        </is>
      </c>
    </row>
    <row r="190" ht="22" customHeight="1">
      <c r="A190" s="12" t="inlineStr">
        <is>
          <t>ALV-0186</t>
        </is>
      </c>
      <c r="B190" s="11" t="n">
        <v>86</v>
      </c>
      <c r="C190" s="13" t="inlineStr">
        <is>
          <t>SIPEAGRO (UF-XXXXX)</t>
        </is>
      </c>
      <c r="D190" s="14" t="inlineStr">
        <is>
          <t>AGCN MANGANES</t>
        </is>
      </c>
      <c r="E190" s="13" t="inlineStr">
        <is>
          <t>Fertilizante Foliar / Micronutrientes</t>
        </is>
      </c>
      <c r="F190" s="13" t="inlineStr">
        <is>
          <t>Nutrição e Correção de Deficiência Mineral</t>
        </is>
      </c>
      <c r="G190" s="13" t="inlineStr">
        <is>
          <t>Nutrição Vegetal</t>
        </is>
      </c>
      <c r="H190" s="13" t="inlineStr">
        <is>
          <t>NÃO</t>
        </is>
      </c>
      <c r="I190" s="15" t="n">
        <v>1</v>
      </c>
      <c r="J190" s="15" t="n">
        <v>250</v>
      </c>
      <c r="K190" s="13" t="inlineStr">
        <is>
          <t>kg ou L/ha</t>
        </is>
      </c>
      <c r="L190" s="15" t="n">
        <v>1</v>
      </c>
      <c r="M190" s="13" t="inlineStr">
        <is>
          <t>Aplicar conforme monitoramento e estádio recomendado na bula (Nutrição Vegetal SIPEAGRO)</t>
        </is>
      </c>
    </row>
    <row r="191" ht="22" customHeight="1">
      <c r="A191" s="6" t="inlineStr">
        <is>
          <t>ALV-0187</t>
        </is>
      </c>
      <c r="B191" s="5" t="n">
        <v>87</v>
      </c>
      <c r="C191" s="7" t="inlineStr">
        <is>
          <t>SIPEAGRO (UF-XXXXX)</t>
        </is>
      </c>
      <c r="D191" s="8" t="inlineStr">
        <is>
          <t>AGCN MN ULTRA</t>
        </is>
      </c>
      <c r="E191" s="7" t="inlineStr">
        <is>
          <t>Fertilizante Organomineral / Bioestimulante</t>
        </is>
      </c>
      <c r="F191" s="7" t="inlineStr">
        <is>
          <t>Nutrição e Correção de Deficiência Mineral</t>
        </is>
      </c>
      <c r="G191" s="7" t="inlineStr">
        <is>
          <t>Nutrição Vegetal</t>
        </is>
      </c>
      <c r="H191" s="7" t="inlineStr">
        <is>
          <t>NÃO</t>
        </is>
      </c>
      <c r="I191" s="9" t="n">
        <v>1</v>
      </c>
      <c r="J191" s="9" t="n">
        <v>250</v>
      </c>
      <c r="K191" s="7" t="inlineStr">
        <is>
          <t>kg ou L/ha</t>
        </is>
      </c>
      <c r="L191" s="9" t="n">
        <v>1</v>
      </c>
      <c r="M191" s="7" t="inlineStr">
        <is>
          <t>Aplicar conforme monitoramento e estádio recomendado na bula (Nutrição Vegetal SIPEAGRO)</t>
        </is>
      </c>
    </row>
    <row r="192" ht="22" customHeight="1">
      <c r="A192" s="12" t="inlineStr">
        <is>
          <t>ALV-0188</t>
        </is>
      </c>
      <c r="B192" s="11" t="n">
        <v>88</v>
      </c>
      <c r="C192" s="13" t="inlineStr">
        <is>
          <t>SIPEAGRO (UF-XXXXX)</t>
        </is>
      </c>
      <c r="D192" s="14" t="inlineStr">
        <is>
          <t>AGCN MOLIBIDENIO</t>
        </is>
      </c>
      <c r="E192" s="13" t="inlineStr">
        <is>
          <t>Fertilizante Foliar / Micronutrientes</t>
        </is>
      </c>
      <c r="F192" s="13" t="inlineStr">
        <is>
          <t>Nutrição e Correção de Deficiência Mineral</t>
        </is>
      </c>
      <c r="G192" s="13" t="inlineStr">
        <is>
          <t>Nutrição Vegetal</t>
        </is>
      </c>
      <c r="H192" s="13" t="inlineStr">
        <is>
          <t>NÃO</t>
        </is>
      </c>
      <c r="I192" s="15" t="n">
        <v>1</v>
      </c>
      <c r="J192" s="15" t="n">
        <v>250</v>
      </c>
      <c r="K192" s="13" t="inlineStr">
        <is>
          <t>kg ou L/ha</t>
        </is>
      </c>
      <c r="L192" s="15" t="n">
        <v>1</v>
      </c>
      <c r="M192" s="13" t="inlineStr">
        <is>
          <t>Aplicar conforme monitoramento e estádio recomendado na bula (Nutrição Vegetal SIPEAGRO)</t>
        </is>
      </c>
    </row>
    <row r="193" ht="22" customHeight="1">
      <c r="A193" s="6" t="inlineStr">
        <is>
          <t>ALV-0189</t>
        </is>
      </c>
      <c r="B193" s="5" t="n">
        <v>89</v>
      </c>
      <c r="C193" s="7" t="inlineStr">
        <is>
          <t>SIPEAGRO (UF-XXXXX)</t>
        </is>
      </c>
      <c r="D193" s="8" t="inlineStr">
        <is>
          <t>AGCN MN ULTRA AA</t>
        </is>
      </c>
      <c r="E193" s="7" t="inlineStr">
        <is>
          <t>Fertilizante Organomineral / Bioestimulante</t>
        </is>
      </c>
      <c r="F193" s="7" t="inlineStr">
        <is>
          <t>Nutrição e Correção de Deficiência Mineral</t>
        </is>
      </c>
      <c r="G193" s="7" t="inlineStr">
        <is>
          <t>Nutrição Vegetal</t>
        </is>
      </c>
      <c r="H193" s="7" t="inlineStr">
        <is>
          <t>NÃO</t>
        </is>
      </c>
      <c r="I193" s="9" t="n">
        <v>1</v>
      </c>
      <c r="J193" s="9" t="n">
        <v>250</v>
      </c>
      <c r="K193" s="7" t="inlineStr">
        <is>
          <t>kg ou L/ha</t>
        </is>
      </c>
      <c r="L193" s="9" t="n">
        <v>1</v>
      </c>
      <c r="M193" s="7" t="inlineStr">
        <is>
          <t>Aplicar conforme monitoramento e estádio recomendado na bula (Nutrição Vegetal SIPEAGRO)</t>
        </is>
      </c>
    </row>
    <row r="194" ht="22" customHeight="1">
      <c r="A194" s="12" t="inlineStr">
        <is>
          <t>ALV-0190</t>
        </is>
      </c>
      <c r="B194" s="11" t="n">
        <v>90</v>
      </c>
      <c r="C194" s="13" t="inlineStr">
        <is>
          <t>SIPEAGRO (UF-XXXXX)</t>
        </is>
      </c>
      <c r="D194" s="14" t="inlineStr">
        <is>
          <t>AGCN MOLIB ULTRA</t>
        </is>
      </c>
      <c r="E194" s="13" t="inlineStr">
        <is>
          <t>Fertilizante Organomineral / Bioestimulante</t>
        </is>
      </c>
      <c r="F194" s="13" t="inlineStr">
        <is>
          <t>Nutrição e Correção de Deficiência Mineral</t>
        </is>
      </c>
      <c r="G194" s="13" t="inlineStr">
        <is>
          <t>Nutrição Vegetal</t>
        </is>
      </c>
      <c r="H194" s="13" t="inlineStr">
        <is>
          <t>NÃO</t>
        </is>
      </c>
      <c r="I194" s="15" t="n">
        <v>1</v>
      </c>
      <c r="J194" s="15" t="n">
        <v>250</v>
      </c>
      <c r="K194" s="13" t="inlineStr">
        <is>
          <t>kg ou L/ha</t>
        </is>
      </c>
      <c r="L194" s="15" t="n">
        <v>1</v>
      </c>
      <c r="M194" s="13" t="inlineStr">
        <is>
          <t>Aplicar conforme monitoramento e estádio recomendado na bula (Nutrição Vegetal SIPEAGRO)</t>
        </is>
      </c>
    </row>
    <row r="195" ht="22" customHeight="1">
      <c r="A195" s="6" t="inlineStr">
        <is>
          <t>ALV-0191</t>
        </is>
      </c>
      <c r="B195" s="5" t="n">
        <v>91</v>
      </c>
      <c r="C195" s="7" t="inlineStr">
        <is>
          <t>Nº 3705</t>
        </is>
      </c>
      <c r="D195" s="8" t="inlineStr">
        <is>
          <t>ANCOSAR 720</t>
        </is>
      </c>
      <c r="E195" s="7" t="inlineStr">
        <is>
          <t>Herbicida</t>
        </is>
      </c>
      <c r="F195" s="7" t="inlineStr">
        <is>
          <t>Plantas Daninhas Mono e Dicotiledôneas</t>
        </is>
      </c>
      <c r="G195" s="7" t="inlineStr">
        <is>
          <t>Flora Infestante</t>
        </is>
      </c>
      <c r="H195" s="7" t="inlineStr">
        <is>
          <t>NÃO</t>
        </is>
      </c>
      <c r="I195" s="17" t="n">
        <v>0.25</v>
      </c>
      <c r="J195" s="9" t="n">
        <v>2</v>
      </c>
      <c r="K195" s="7" t="inlineStr">
        <is>
          <t>L ou kg/ha</t>
        </is>
      </c>
      <c r="L195" s="9" t="n">
        <v>1</v>
      </c>
      <c r="M195" s="7" t="inlineStr">
        <is>
          <t>Aplicar conforme monitoramento e estádio recomendado na bula (Classificação HRAC Oficial conforme Bula)</t>
        </is>
      </c>
    </row>
    <row r="196" ht="22" customHeight="1">
      <c r="A196" s="12" t="inlineStr">
        <is>
          <t>ALV-0192</t>
        </is>
      </c>
      <c r="B196" s="11" t="n">
        <v>92</v>
      </c>
      <c r="C196" s="13" t="inlineStr">
        <is>
          <t>Nº 4798</t>
        </is>
      </c>
      <c r="D196" s="14" t="inlineStr">
        <is>
          <t>VOLCANE 790</t>
        </is>
      </c>
      <c r="E196" s="13" t="inlineStr">
        <is>
          <t>Herbicida</t>
        </is>
      </c>
      <c r="F196" s="13" t="inlineStr">
        <is>
          <t>Plantas Daninhas Mono e Dicotiledôneas</t>
        </is>
      </c>
      <c r="G196" s="13" t="inlineStr">
        <is>
          <t>Flora Infestante</t>
        </is>
      </c>
      <c r="H196" s="13" t="inlineStr">
        <is>
          <t>NÃO</t>
        </is>
      </c>
      <c r="I196" s="18" t="n">
        <v>0.25</v>
      </c>
      <c r="J196" s="15" t="n">
        <v>2</v>
      </c>
      <c r="K196" s="13" t="inlineStr">
        <is>
          <t>L ou kg/ha</t>
        </is>
      </c>
      <c r="L196" s="15" t="n">
        <v>1</v>
      </c>
      <c r="M196" s="13" t="inlineStr">
        <is>
          <t>Aplicar conforme monitoramento e estádio recomendado na bula (Classificação HRAC Oficial conforme Bula)</t>
        </is>
      </c>
    </row>
    <row r="197" ht="22" customHeight="1">
      <c r="A197" s="6" t="inlineStr">
        <is>
          <t>ALV-0193</t>
        </is>
      </c>
      <c r="B197" s="5" t="n">
        <v>93</v>
      </c>
      <c r="C197" s="7" t="inlineStr">
        <is>
          <t>SIPEAGRO (UF-XXXXX)</t>
        </is>
      </c>
      <c r="D197" s="8" t="inlineStr">
        <is>
          <t>AGCN FULL</t>
        </is>
      </c>
      <c r="E197" s="7" t="inlineStr">
        <is>
          <t>Fertilizante Organomineral / Bioestimulante</t>
        </is>
      </c>
      <c r="F197" s="7" t="inlineStr">
        <is>
          <t>Nutrição e Correção de Deficiência Mineral</t>
        </is>
      </c>
      <c r="G197" s="7" t="inlineStr">
        <is>
          <t>Nutrição Vegetal</t>
        </is>
      </c>
      <c r="H197" s="7" t="inlineStr">
        <is>
          <t>NÃO</t>
        </is>
      </c>
      <c r="I197" s="9" t="n">
        <v>1</v>
      </c>
      <c r="J197" s="9" t="n">
        <v>250</v>
      </c>
      <c r="K197" s="7" t="inlineStr">
        <is>
          <t>kg ou L/ha</t>
        </is>
      </c>
      <c r="L197" s="9" t="n">
        <v>1</v>
      </c>
      <c r="M197" s="7" t="inlineStr">
        <is>
          <t>Aplicar conforme monitoramento e estádio recomendado na bula (Nutrição Vegetal SIPEAGRO)</t>
        </is>
      </c>
    </row>
    <row r="198" ht="22" customHeight="1">
      <c r="A198" s="12" t="inlineStr">
        <is>
          <t>ALV-0194</t>
        </is>
      </c>
      <c r="B198" s="11" t="n">
        <v>94</v>
      </c>
      <c r="C198" s="13" t="inlineStr">
        <is>
          <t>SIPEAGRO (UF-XXXXX)</t>
        </is>
      </c>
      <c r="D198" s="14" t="inlineStr">
        <is>
          <t>AGCN NITROGEN</t>
        </is>
      </c>
      <c r="E198" s="13" t="inlineStr">
        <is>
          <t>Fertilizante Mineral Simples (Nitrogenado)</t>
        </is>
      </c>
      <c r="F198" s="13" t="inlineStr">
        <is>
          <t>Nutrição e Correção de Deficiência Mineral</t>
        </is>
      </c>
      <c r="G198" s="13" t="inlineStr">
        <is>
          <t>Nutrição Vegetal</t>
        </is>
      </c>
      <c r="H198" s="13" t="inlineStr">
        <is>
          <t>NÃO</t>
        </is>
      </c>
      <c r="I198" s="15" t="n">
        <v>1</v>
      </c>
      <c r="J198" s="15" t="n">
        <v>250</v>
      </c>
      <c r="K198" s="13" t="inlineStr">
        <is>
          <t>kg ou L/ha</t>
        </is>
      </c>
      <c r="L198" s="15" t="n">
        <v>1</v>
      </c>
      <c r="M198" s="13" t="inlineStr">
        <is>
          <t>Aplicar conforme monitoramento e estádio recomendado na bula (Nutrição Vegetal SIPEAGRO)</t>
        </is>
      </c>
    </row>
    <row r="199" ht="22" customHeight="1">
      <c r="A199" s="6" t="inlineStr">
        <is>
          <t>ALV-0195</t>
        </is>
      </c>
      <c r="B199" s="5" t="n">
        <v>95</v>
      </c>
      <c r="C199" s="7" t="inlineStr">
        <is>
          <t>SIPEAGRO (UF-XXXXX)</t>
        </is>
      </c>
      <c r="D199" s="8" t="inlineStr">
        <is>
          <t>AGCN NITROGEN 30%</t>
        </is>
      </c>
      <c r="E199" s="7" t="inlineStr">
        <is>
          <t>Fertilizante Mineral Simples (Nitrogenado)</t>
        </is>
      </c>
      <c r="F199" s="7" t="inlineStr">
        <is>
          <t>Nutrição e Correção de Deficiência Mineral</t>
        </is>
      </c>
      <c r="G199" s="7" t="inlineStr">
        <is>
          <t>Nutrição Vegetal</t>
        </is>
      </c>
      <c r="H199" s="7" t="inlineStr">
        <is>
          <t>NÃO</t>
        </is>
      </c>
      <c r="I199" s="9" t="n">
        <v>1</v>
      </c>
      <c r="J199" s="9" t="n">
        <v>250</v>
      </c>
      <c r="K199" s="7" t="inlineStr">
        <is>
          <t>kg ou L/ha</t>
        </is>
      </c>
      <c r="L199" s="9" t="n">
        <v>1</v>
      </c>
      <c r="M199" s="7" t="inlineStr">
        <is>
          <t>Aplicar conforme monitoramento e estádio recomendado na bula (Nutrição Vegetal SIPEAGRO)</t>
        </is>
      </c>
    </row>
    <row r="200" ht="22" customHeight="1">
      <c r="A200" s="12" t="inlineStr">
        <is>
          <t>ALV-0196</t>
        </is>
      </c>
      <c r="B200" s="11" t="n">
        <v>96</v>
      </c>
      <c r="C200" s="13" t="inlineStr">
        <is>
          <t>SIPEAGRO (UF-XXXXX)</t>
        </is>
      </c>
      <c r="D200" s="14" t="inlineStr">
        <is>
          <t>AGCN MAG ULTRA</t>
        </is>
      </c>
      <c r="E200" s="13" t="inlineStr">
        <is>
          <t>Fertilizante Organomineral / Bioestimulante</t>
        </is>
      </c>
      <c r="F200" s="13" t="inlineStr">
        <is>
          <t>Nutrição e Correção de Deficiência Mineral</t>
        </is>
      </c>
      <c r="G200" s="13" t="inlineStr">
        <is>
          <t>Nutrição Vegetal</t>
        </is>
      </c>
      <c r="H200" s="13" t="inlineStr">
        <is>
          <t>NÃO</t>
        </is>
      </c>
      <c r="I200" s="15" t="n">
        <v>1</v>
      </c>
      <c r="J200" s="15" t="n">
        <v>250</v>
      </c>
      <c r="K200" s="13" t="inlineStr">
        <is>
          <t>kg ou L/ha</t>
        </is>
      </c>
      <c r="L200" s="15" t="n">
        <v>1</v>
      </c>
      <c r="M200" s="13" t="inlineStr">
        <is>
          <t>Aplicar conforme monitoramento e estádio recomendado na bula (Nutrição Vegetal SIPEAGRO)</t>
        </is>
      </c>
    </row>
    <row r="201" ht="22" customHeight="1">
      <c r="A201" s="6" t="inlineStr">
        <is>
          <t>ALV-0197</t>
        </is>
      </c>
      <c r="B201" s="5" t="n">
        <v>97</v>
      </c>
      <c r="C201" s="7" t="inlineStr">
        <is>
          <t>SIPEAGRO (UF-XXXXX)</t>
        </is>
      </c>
      <c r="D201" s="8" t="inlineStr">
        <is>
          <t>AGCN FULL ULTRA</t>
        </is>
      </c>
      <c r="E201" s="7" t="inlineStr">
        <is>
          <t>Fertilizante Organomineral / Bioestimulante</t>
        </is>
      </c>
      <c r="F201" s="7" t="inlineStr">
        <is>
          <t>Nutrição e Correção de Deficiência Mineral</t>
        </is>
      </c>
      <c r="G201" s="7" t="inlineStr">
        <is>
          <t>Nutrição Vegetal</t>
        </is>
      </c>
      <c r="H201" s="7" t="inlineStr">
        <is>
          <t>NÃO</t>
        </is>
      </c>
      <c r="I201" s="9" t="n">
        <v>1</v>
      </c>
      <c r="J201" s="9" t="n">
        <v>250</v>
      </c>
      <c r="K201" s="7" t="inlineStr">
        <is>
          <t>kg ou L/ha</t>
        </is>
      </c>
      <c r="L201" s="9" t="n">
        <v>1</v>
      </c>
      <c r="M201" s="7" t="inlineStr">
        <is>
          <t>Aplicar conforme monitoramento e estádio recomendado na bula (Nutrição Vegetal SIPEAGRO)</t>
        </is>
      </c>
    </row>
    <row r="202" ht="22" customHeight="1">
      <c r="A202" s="12" t="inlineStr">
        <is>
          <t>ALV-0198</t>
        </is>
      </c>
      <c r="B202" s="11" t="n">
        <v>98</v>
      </c>
      <c r="C202" s="13" t="inlineStr">
        <is>
          <t>ISENTO (ATO 104/2017)</t>
        </is>
      </c>
      <c r="D202" s="14" t="inlineStr">
        <is>
          <t>AGRICOIL CITRUS</t>
        </is>
      </c>
      <c r="E202" s="13" t="inlineStr">
        <is>
          <t>Óleo Vegetal / Éster Metílico / D-Limoneno Adjuvante</t>
        </is>
      </c>
      <c r="F202" s="13" t="inlineStr">
        <is>
          <t>Otimização de Gota, Espalhamento e Redução de Deriva</t>
        </is>
      </c>
      <c r="G202" s="13" t="inlineStr">
        <is>
          <t>Tecnologia de Aplicação</t>
        </is>
      </c>
      <c r="H202" s="13" t="inlineStr">
        <is>
          <t>NÃO</t>
        </is>
      </c>
      <c r="I202" s="18" t="n">
        <v>0.25</v>
      </c>
      <c r="J202" s="15" t="n">
        <v>1</v>
      </c>
      <c r="K202" s="13" t="inlineStr">
        <is>
          <t>% v/v na calda</t>
        </is>
      </c>
      <c r="L202" s="15" t="n">
        <v>1</v>
      </c>
      <c r="M202" s="13" t="inlineStr">
        <is>
          <t>Aplicar conforme monitoramento e estádio recomendado na bula (Adjuvante Tecnológico de Pulverização)</t>
        </is>
      </c>
    </row>
    <row r="203" ht="22" customHeight="1">
      <c r="A203" s="6" t="inlineStr">
        <is>
          <t>ALV-0199</t>
        </is>
      </c>
      <c r="B203" s="5" t="n">
        <v>99</v>
      </c>
      <c r="C203" s="7" t="inlineStr">
        <is>
          <t>ISENTO (ATO 104/2017)</t>
        </is>
      </c>
      <c r="D203" s="8" t="inlineStr">
        <is>
          <t>AGRICOIL CITRUS</t>
        </is>
      </c>
      <c r="E203" s="7" t="inlineStr">
        <is>
          <t>Óleo Vegetal / Éster Metílico / D-Limoneno Adjuvante</t>
        </is>
      </c>
      <c r="F203" s="7" t="inlineStr">
        <is>
          <t>Otimização de Gota, Espalhamento e Redução de Deriva</t>
        </is>
      </c>
      <c r="G203" s="7" t="inlineStr">
        <is>
          <t>Tecnologia de Aplicação</t>
        </is>
      </c>
      <c r="H203" s="7" t="inlineStr">
        <is>
          <t>NÃO</t>
        </is>
      </c>
      <c r="I203" s="17" t="n">
        <v>0.25</v>
      </c>
      <c r="J203" s="9" t="n">
        <v>1</v>
      </c>
      <c r="K203" s="7" t="inlineStr">
        <is>
          <t>% v/v na calda</t>
        </is>
      </c>
      <c r="L203" s="9" t="n">
        <v>1</v>
      </c>
      <c r="M203" s="7" t="inlineStr">
        <is>
          <t>Aplicar conforme monitoramento e estádio recomendado na bula (Adjuvante Tecnológico de Pulverização)</t>
        </is>
      </c>
    </row>
    <row r="204" ht="22" customHeight="1">
      <c r="A204" s="12" t="inlineStr">
        <is>
          <t>ALV-0200</t>
        </is>
      </c>
      <c r="B204" s="11" t="n">
        <v>100</v>
      </c>
      <c r="C204" s="13" t="inlineStr">
        <is>
          <t>ISENTO (ATO 104/2017)</t>
        </is>
      </c>
      <c r="D204" s="14" t="inlineStr">
        <is>
          <t>AGRICOIL MINERAL YPF</t>
        </is>
      </c>
      <c r="E204" s="13" t="inlineStr">
        <is>
          <t>Óleo Mineral Adjuvante</t>
        </is>
      </c>
      <c r="F204" s="13" t="inlineStr">
        <is>
          <t>Otimização de Gota, Espalhamento e Redução de Deriva</t>
        </is>
      </c>
      <c r="G204" s="13" t="inlineStr">
        <is>
          <t>Tecnologia de Aplicação</t>
        </is>
      </c>
      <c r="H204" s="13" t="inlineStr">
        <is>
          <t>NÃO</t>
        </is>
      </c>
      <c r="I204" s="18" t="n">
        <v>0.25</v>
      </c>
      <c r="J204" s="15" t="n">
        <v>1</v>
      </c>
      <c r="K204" s="13" t="inlineStr">
        <is>
          <t>% v/v na calda</t>
        </is>
      </c>
      <c r="L204" s="15" t="n">
        <v>1</v>
      </c>
      <c r="M204" s="13" t="inlineStr">
        <is>
          <t>Aplicar conforme monitoramento e estádio recomendado na bula (Adjuvante Tecnológico de Pulverização)</t>
        </is>
      </c>
    </row>
    <row r="205" ht="22" customHeight="1">
      <c r="A205" s="6" t="inlineStr">
        <is>
          <t>ALV-0201</t>
        </is>
      </c>
      <c r="B205" s="5" t="n">
        <v>101</v>
      </c>
      <c r="C205" s="7" t="inlineStr">
        <is>
          <t>ISENTO (ATO 104/2017)</t>
        </is>
      </c>
      <c r="D205" s="8" t="inlineStr">
        <is>
          <t>AGRICOIL MINERAL</t>
        </is>
      </c>
      <c r="E205" s="7" t="inlineStr">
        <is>
          <t>Óleo Mineral Adjuvante</t>
        </is>
      </c>
      <c r="F205" s="7" t="inlineStr">
        <is>
          <t>Otimização de Gota, Espalhamento e Redução de Deriva</t>
        </is>
      </c>
      <c r="G205" s="7" t="inlineStr">
        <is>
          <t>Tecnologia de Aplicação</t>
        </is>
      </c>
      <c r="H205" s="7" t="inlineStr">
        <is>
          <t>NÃO</t>
        </is>
      </c>
      <c r="I205" s="17" t="n">
        <v>0.25</v>
      </c>
      <c r="J205" s="9" t="n">
        <v>1</v>
      </c>
      <c r="K205" s="7" t="inlineStr">
        <is>
          <t>% v/v na calda</t>
        </is>
      </c>
      <c r="L205" s="9" t="n">
        <v>1</v>
      </c>
      <c r="M205" s="7" t="inlineStr">
        <is>
          <t>Aplicar conforme monitoramento e estádio recomendado na bula (Adjuvante Tecnológico de Pulverização)</t>
        </is>
      </c>
    </row>
    <row r="206" ht="22" customHeight="1">
      <c r="A206" s="12" t="inlineStr">
        <is>
          <t>ALV-0202</t>
        </is>
      </c>
      <c r="B206" s="11" t="n">
        <v>102</v>
      </c>
      <c r="C206" s="13" t="inlineStr">
        <is>
          <t>ISENTO (ATO 104/2017)</t>
        </is>
      </c>
      <c r="D206" s="14" t="inlineStr">
        <is>
          <t>AGRICOIL VEGETAL</t>
        </is>
      </c>
      <c r="E206" s="13" t="inlineStr">
        <is>
          <t>Óleo Vegetal / Éster Metílico / D-Limoneno Adjuvante</t>
        </is>
      </c>
      <c r="F206" s="13" t="inlineStr">
        <is>
          <t>Otimização de Gota, Espalhamento e Redução de Deriva</t>
        </is>
      </c>
      <c r="G206" s="13" t="inlineStr">
        <is>
          <t>Tecnologia de Aplicação</t>
        </is>
      </c>
      <c r="H206" s="13" t="inlineStr">
        <is>
          <t>NÃO</t>
        </is>
      </c>
      <c r="I206" s="18" t="n">
        <v>0.25</v>
      </c>
      <c r="J206" s="15" t="n">
        <v>1</v>
      </c>
      <c r="K206" s="13" t="inlineStr">
        <is>
          <t>% v/v na calda</t>
        </is>
      </c>
      <c r="L206" s="15" t="n">
        <v>1</v>
      </c>
      <c r="M206" s="13" t="inlineStr">
        <is>
          <t>Aplicar conforme monitoramento e estádio recomendado na bula (Adjuvante Tecnológico de Pulverização)</t>
        </is>
      </c>
    </row>
    <row r="207" ht="22" customHeight="1">
      <c r="A207" s="6" t="inlineStr">
        <is>
          <t>ALV-0203</t>
        </is>
      </c>
      <c r="B207" s="5" t="n">
        <v>103</v>
      </c>
      <c r="C207" s="7" t="inlineStr">
        <is>
          <t>SIPEAGRO (UF-XXXXX)</t>
        </is>
      </c>
      <c r="D207" s="8" t="inlineStr">
        <is>
          <t>SAGERSOLOS FORCE</t>
        </is>
      </c>
      <c r="E207" s="7" t="inlineStr">
        <is>
          <t>Fertilizante Foliar / Micronutrientes</t>
        </is>
      </c>
      <c r="F207" s="7" t="inlineStr">
        <is>
          <t>Nutrição e Correção de Deficiência Mineral</t>
        </is>
      </c>
      <c r="G207" s="7" t="inlineStr">
        <is>
          <t>Nutrição Vegetal</t>
        </is>
      </c>
      <c r="H207" s="7" t="inlineStr">
        <is>
          <t>NÃO</t>
        </is>
      </c>
      <c r="I207" s="9" t="n">
        <v>1</v>
      </c>
      <c r="J207" s="9" t="n">
        <v>250</v>
      </c>
      <c r="K207" s="7" t="inlineStr">
        <is>
          <t>kg ou L/ha</t>
        </is>
      </c>
      <c r="L207" s="9" t="n">
        <v>1</v>
      </c>
      <c r="M207" s="7" t="inlineStr">
        <is>
          <t>Aplicar conforme monitoramento e estádio recomendado na bula (Nutrição Vegetal SIPEAGRO)</t>
        </is>
      </c>
    </row>
    <row r="208" ht="22" customHeight="1">
      <c r="A208" s="12" t="inlineStr">
        <is>
          <t>ALV-0204</t>
        </is>
      </c>
      <c r="B208" s="11" t="n">
        <v>104</v>
      </c>
      <c r="C208" s="13" t="inlineStr">
        <is>
          <t>SIPEAGRO (UF-XXXXX)</t>
        </is>
      </c>
      <c r="D208" s="14" t="inlineStr">
        <is>
          <t>SAGERSOLOS SINERGY</t>
        </is>
      </c>
      <c r="E208" s="13" t="inlineStr">
        <is>
          <t>Fertilizante Foliar / Micronutrientes</t>
        </is>
      </c>
      <c r="F208" s="13" t="inlineStr">
        <is>
          <t>Nutrição e Correção de Deficiência Mineral</t>
        </is>
      </c>
      <c r="G208" s="13" t="inlineStr">
        <is>
          <t>Nutrição Vegetal</t>
        </is>
      </c>
      <c r="H208" s="13" t="inlineStr">
        <is>
          <t>NÃO</t>
        </is>
      </c>
      <c r="I208" s="15" t="n">
        <v>1</v>
      </c>
      <c r="J208" s="15" t="n">
        <v>250</v>
      </c>
      <c r="K208" s="13" t="inlineStr">
        <is>
          <t>kg ou L/ha</t>
        </is>
      </c>
      <c r="L208" s="15" t="n">
        <v>1</v>
      </c>
      <c r="M208" s="13" t="inlineStr">
        <is>
          <t>Aplicar conforme monitoramento e estádio recomendado na bula (Nutrição Vegetal SIPEAGRO)</t>
        </is>
      </c>
    </row>
    <row r="209" ht="22" customHeight="1">
      <c r="A209" s="6" t="inlineStr">
        <is>
          <t>ALV-0205</t>
        </is>
      </c>
      <c r="B209" s="5" t="n">
        <v>105</v>
      </c>
      <c r="C209" s="7" t="inlineStr">
        <is>
          <t>Nº 2808</t>
        </is>
      </c>
      <c r="D209" s="8" t="inlineStr">
        <is>
          <t>TROPERO</t>
        </is>
      </c>
      <c r="E209" s="7" t="inlineStr">
        <is>
          <t>Herbicida</t>
        </is>
      </c>
      <c r="F209" s="7" t="inlineStr">
        <is>
          <t>Plantas Daninhas Mono e Dicotiledôneas</t>
        </is>
      </c>
      <c r="G209" s="7" t="inlineStr">
        <is>
          <t>Flora Infestante</t>
        </is>
      </c>
      <c r="H209" s="7" t="inlineStr">
        <is>
          <t>NÃO</t>
        </is>
      </c>
      <c r="I209" s="17" t="n">
        <v>0.25</v>
      </c>
      <c r="J209" s="9" t="n">
        <v>2</v>
      </c>
      <c r="K209" s="7" t="inlineStr">
        <is>
          <t>L ou kg/ha</t>
        </is>
      </c>
      <c r="L209" s="9" t="n">
        <v>1</v>
      </c>
      <c r="M209" s="7" t="inlineStr">
        <is>
          <t>Aplicar conforme monitoramento e estádio recomendado na bula (Classificação HRAC Oficial conforme Bula)</t>
        </is>
      </c>
    </row>
    <row r="210" ht="22" customHeight="1">
      <c r="A210" s="12" t="inlineStr">
        <is>
          <t>ALV-0206</t>
        </is>
      </c>
      <c r="B210" s="11" t="n">
        <v>106</v>
      </c>
      <c r="C210" s="13" t="inlineStr">
        <is>
          <t>Nº 14207</t>
        </is>
      </c>
      <c r="D210" s="14" t="inlineStr">
        <is>
          <t>TURUNA</t>
        </is>
      </c>
      <c r="E210" s="13" t="inlineStr">
        <is>
          <t>Herbicida</t>
        </is>
      </c>
      <c r="F210" s="13" t="inlineStr">
        <is>
          <t>Buva</t>
        </is>
      </c>
      <c r="G210" s="13" t="inlineStr">
        <is>
          <t>Conyza bonariensis</t>
        </is>
      </c>
      <c r="H210" s="13" t="inlineStr">
        <is>
          <t>SIM (*)</t>
        </is>
      </c>
      <c r="I210" s="15" t="n">
        <v>1</v>
      </c>
      <c r="J210" s="18" t="n">
        <v>1.5</v>
      </c>
      <c r="K210" s="13" t="inlineStr">
        <is>
          <t>L/ha</t>
        </is>
      </c>
      <c r="L210" s="15" t="n">
        <v>1</v>
      </c>
      <c r="M210" s="13" t="inlineStr">
        <is>
          <t>Aplicar conforme monitoramento e estádio recomendado na bula (HRAC Grupo O (4) — Auxinas Sintéticas)</t>
        </is>
      </c>
    </row>
    <row r="211" ht="22" customHeight="1">
      <c r="A211" s="6" t="inlineStr">
        <is>
          <t>ALV-0207</t>
        </is>
      </c>
      <c r="B211" s="5" t="n">
        <v>106</v>
      </c>
      <c r="C211" s="7" t="inlineStr">
        <is>
          <t>Nº 14207</t>
        </is>
      </c>
      <c r="D211" s="8" t="inlineStr">
        <is>
          <t>TURUNA</t>
        </is>
      </c>
      <c r="E211" s="7" t="inlineStr">
        <is>
          <t>Herbicida</t>
        </is>
      </c>
      <c r="F211" s="7" t="inlineStr">
        <is>
          <t>Corda-de-viola</t>
        </is>
      </c>
      <c r="G211" s="7" t="inlineStr">
        <is>
          <t>Ipomoea grandifolia</t>
        </is>
      </c>
      <c r="H211" s="7" t="inlineStr">
        <is>
          <t>NÃO</t>
        </is>
      </c>
      <c r="I211" s="9" t="n">
        <v>1</v>
      </c>
      <c r="J211" s="17" t="n">
        <v>1.5</v>
      </c>
      <c r="K211" s="7" t="inlineStr">
        <is>
          <t>L/ha</t>
        </is>
      </c>
      <c r="L211" s="9" t="n">
        <v>1</v>
      </c>
      <c r="M211" s="7" t="inlineStr">
        <is>
          <t>Aplicar conforme monitoramento e estádio recomendado na bula (HRAC Grupo O (4) — Auxinas Sintéticas)</t>
        </is>
      </c>
    </row>
    <row r="212" ht="22" customHeight="1">
      <c r="A212" s="12" t="inlineStr">
        <is>
          <t>ALV-0208</t>
        </is>
      </c>
      <c r="B212" s="11" t="n">
        <v>106</v>
      </c>
      <c r="C212" s="13" t="inlineStr">
        <is>
          <t>Nº 14207</t>
        </is>
      </c>
      <c r="D212" s="14" t="inlineStr">
        <is>
          <t>TURUNA</t>
        </is>
      </c>
      <c r="E212" s="13" t="inlineStr">
        <is>
          <t>Herbicida</t>
        </is>
      </c>
      <c r="F212" s="13" t="inlineStr">
        <is>
          <t>Trapoeraba</t>
        </is>
      </c>
      <c r="G212" s="13" t="inlineStr">
        <is>
          <t>Commelina benghalensis</t>
        </is>
      </c>
      <c r="H212" s="13" t="inlineStr">
        <is>
          <t>NÃO</t>
        </is>
      </c>
      <c r="I212" s="15" t="n">
        <v>1</v>
      </c>
      <c r="J212" s="15" t="n">
        <v>2</v>
      </c>
      <c r="K212" s="13" t="inlineStr">
        <is>
          <t>L/ha</t>
        </is>
      </c>
      <c r="L212" s="15" t="n">
        <v>1</v>
      </c>
      <c r="M212" s="13" t="inlineStr">
        <is>
          <t>Aplicar conforme monitoramento e estádio recomendado na bula (HRAC Grupo O (4) — Auxinas Sintéticas)</t>
        </is>
      </c>
    </row>
    <row r="213" ht="22" customHeight="1">
      <c r="A213" s="6" t="inlineStr">
        <is>
          <t>ALV-0209</t>
        </is>
      </c>
      <c r="B213" s="5" t="n">
        <v>107</v>
      </c>
      <c r="C213" s="7" t="inlineStr">
        <is>
          <t>Nº 13420</t>
        </is>
      </c>
      <c r="D213" s="8" t="inlineStr">
        <is>
          <t>APROACH POWER</t>
        </is>
      </c>
      <c r="E213" s="7" t="inlineStr">
        <is>
          <t>Fungicida</t>
        </is>
      </c>
      <c r="F213" s="7" t="inlineStr">
        <is>
          <t>Complexo de Doenças Foliares e Ferrugem</t>
        </is>
      </c>
      <c r="G213" s="7" t="inlineStr">
        <is>
          <t>Phakopsora pachyrhizi / Corynespora</t>
        </is>
      </c>
      <c r="H213" s="7" t="inlineStr">
        <is>
          <t>NÃO</t>
        </is>
      </c>
      <c r="I213" s="17" t="n">
        <v>0.3</v>
      </c>
      <c r="J213" s="17" t="n">
        <v>1.5</v>
      </c>
      <c r="K213" s="7" t="inlineStr">
        <is>
          <t>L ou kg/ha</t>
        </is>
      </c>
      <c r="L213" s="9" t="n">
        <v>1</v>
      </c>
      <c r="M213" s="7" t="inlineStr">
        <is>
          <t>Aplicar conforme monitoramento e estádio recomendado na bula (Classificação FRAC Oficial conforme Bula)</t>
        </is>
      </c>
    </row>
    <row r="214" ht="22" customHeight="1">
      <c r="A214" s="12" t="inlineStr">
        <is>
          <t>ALV-0210</t>
        </is>
      </c>
      <c r="B214" s="11" t="n">
        <v>108</v>
      </c>
      <c r="C214" s="13" t="inlineStr">
        <is>
          <t>Nº 1419</t>
        </is>
      </c>
      <c r="D214" s="14" t="inlineStr">
        <is>
          <t>TAURA 200 EC</t>
        </is>
      </c>
      <c r="E214" s="13" t="inlineStr">
        <is>
          <t>Inseticida</t>
        </is>
      </c>
      <c r="F214" s="13" t="inlineStr">
        <is>
          <t>Mosca-branca</t>
        </is>
      </c>
      <c r="G214" s="13" t="inlineStr">
        <is>
          <t>Bemisia tabaci raça B</t>
        </is>
      </c>
      <c r="H214" s="13" t="inlineStr">
        <is>
          <t>SIM (*)</t>
        </is>
      </c>
      <c r="I214" s="18" t="n">
        <v>0.25</v>
      </c>
      <c r="J214" s="18" t="n">
        <v>0.5</v>
      </c>
      <c r="K214" s="13" t="inlineStr">
        <is>
          <t>L/ha</t>
        </is>
      </c>
      <c r="L214" s="15" t="n">
        <v>1</v>
      </c>
      <c r="M214" s="13" t="inlineStr">
        <is>
          <t>Aplicar conforme monitoramento e estádio recomendado na bula (IRAC Grupo 7C)</t>
        </is>
      </c>
    </row>
    <row r="215" ht="22" customHeight="1">
      <c r="A215" s="6" t="inlineStr">
        <is>
          <t>ALV-0211</t>
        </is>
      </c>
      <c r="B215" s="5" t="n">
        <v>108</v>
      </c>
      <c r="C215" s="7" t="inlineStr">
        <is>
          <t>Nº 1419</t>
        </is>
      </c>
      <c r="D215" s="8" t="inlineStr">
        <is>
          <t>TAURA 200 EC</t>
        </is>
      </c>
      <c r="E215" s="7" t="inlineStr">
        <is>
          <t>Inseticida</t>
        </is>
      </c>
      <c r="F215" s="7" t="inlineStr">
        <is>
          <t>Cochonilha-escama-farinha</t>
        </is>
      </c>
      <c r="G215" s="7" t="inlineStr">
        <is>
          <t>Pinnaspis aspidistrae</t>
        </is>
      </c>
      <c r="H215" s="7" t="inlineStr">
        <is>
          <t>NÃO</t>
        </is>
      </c>
      <c r="I215" s="17" t="n">
        <v>0.5</v>
      </c>
      <c r="J215" s="17" t="n">
        <v>0.75</v>
      </c>
      <c r="K215" s="7" t="inlineStr">
        <is>
          <t>L/ha</t>
        </is>
      </c>
      <c r="L215" s="9" t="n">
        <v>1</v>
      </c>
      <c r="M215" s="7" t="inlineStr">
        <is>
          <t>Aplicar conforme monitoramento e estádio recomendado na bula (IRAC Grupo 7C)</t>
        </is>
      </c>
    </row>
    <row r="216" ht="22" customHeight="1">
      <c r="A216" s="12" t="inlineStr">
        <is>
          <t>ALV-0212</t>
        </is>
      </c>
      <c r="B216" s="11" t="n">
        <v>109</v>
      </c>
      <c r="C216" s="13" t="inlineStr">
        <is>
          <t>SIPEAGRO (UF-XXXXX)</t>
        </is>
      </c>
      <c r="D216" s="14" t="inlineStr">
        <is>
          <t>AGRIGENTO KIESER</t>
        </is>
      </c>
      <c r="E216" s="13" t="inlineStr">
        <is>
          <t>Fertilizante Foliar / Micronutrientes</t>
        </is>
      </c>
      <c r="F216" s="13" t="inlineStr">
        <is>
          <t>Nutrição e Correção de Deficiência Mineral</t>
        </is>
      </c>
      <c r="G216" s="13" t="inlineStr">
        <is>
          <t>Nutrição Vegetal</t>
        </is>
      </c>
      <c r="H216" s="13" t="inlineStr">
        <is>
          <t>NÃO</t>
        </is>
      </c>
      <c r="I216" s="15" t="n">
        <v>1</v>
      </c>
      <c r="J216" s="15" t="n">
        <v>250</v>
      </c>
      <c r="K216" s="13" t="inlineStr">
        <is>
          <t>kg ou L/ha</t>
        </is>
      </c>
      <c r="L216" s="15" t="n">
        <v>1</v>
      </c>
      <c r="M216" s="13" t="inlineStr">
        <is>
          <t>Aplicar conforme monitoramento e estádio recomendado na bula (Nutrição Vegetal SIPEAGRO)</t>
        </is>
      </c>
    </row>
    <row r="217" ht="22" customHeight="1">
      <c r="A217" s="6" t="inlineStr">
        <is>
          <t>ALV-0213</t>
        </is>
      </c>
      <c r="B217" s="5" t="n">
        <v>110</v>
      </c>
      <c r="C217" s="7" t="inlineStr">
        <is>
          <t>Nº 8215</t>
        </is>
      </c>
      <c r="D217" s="8" t="inlineStr">
        <is>
          <t>FEZAN GOLD</t>
        </is>
      </c>
      <c r="E217" s="7" t="inlineStr">
        <is>
          <t>Fungicida</t>
        </is>
      </c>
      <c r="F217" s="7" t="inlineStr">
        <is>
          <t>Ferrugem-asiática</t>
        </is>
      </c>
      <c r="G217" s="7" t="inlineStr">
        <is>
          <t>Phakopsora pachyrhizi</t>
        </is>
      </c>
      <c r="H217" s="7" t="inlineStr">
        <is>
          <t>NÃO</t>
        </is>
      </c>
      <c r="I217" s="17" t="n">
        <v>1.5</v>
      </c>
      <c r="J217" s="9" t="n">
        <v>2</v>
      </c>
      <c r="K217" s="7" t="inlineStr">
        <is>
          <t>L ou kg/ha</t>
        </is>
      </c>
      <c r="L217" s="9" t="n">
        <v>1</v>
      </c>
      <c r="M217" s="7" t="inlineStr">
        <is>
          <t>Aplicar conforme monitoramento e estádio recomendado na bula (FRAC Grupo M05 — Multissítio)</t>
        </is>
      </c>
    </row>
    <row r="218" ht="22" customHeight="1">
      <c r="A218" s="12" t="inlineStr">
        <is>
          <t>ALV-0214</t>
        </is>
      </c>
      <c r="B218" s="11" t="n">
        <v>110</v>
      </c>
      <c r="C218" s="13" t="inlineStr">
        <is>
          <t>Nº 8215</t>
        </is>
      </c>
      <c r="D218" s="14" t="inlineStr">
        <is>
          <t>FEZAN GOLD</t>
        </is>
      </c>
      <c r="E218" s="13" t="inlineStr">
        <is>
          <t>Fungicida</t>
        </is>
      </c>
      <c r="F218" s="13" t="inlineStr">
        <is>
          <t>Mancha-alvo</t>
        </is>
      </c>
      <c r="G218" s="13" t="inlineStr">
        <is>
          <t>Corynespora cassiicola</t>
        </is>
      </c>
      <c r="H218" s="13" t="inlineStr">
        <is>
          <t>NÃO</t>
        </is>
      </c>
      <c r="I218" s="18" t="n">
        <v>1.5</v>
      </c>
      <c r="J218" s="18" t="n">
        <v>2.5</v>
      </c>
      <c r="K218" s="13" t="inlineStr">
        <is>
          <t>L ou kg/ha</t>
        </is>
      </c>
      <c r="L218" s="15" t="n">
        <v>1</v>
      </c>
      <c r="M218" s="13" t="inlineStr">
        <is>
          <t>Aplicar conforme monitoramento e estádio recomendado na bula (FRAC Grupo M05 — Multissítio)</t>
        </is>
      </c>
    </row>
    <row r="219" ht="22" customHeight="1">
      <c r="A219" s="6" t="inlineStr">
        <is>
          <t>ALV-0215</t>
        </is>
      </c>
      <c r="B219" s="5" t="n">
        <v>110</v>
      </c>
      <c r="C219" s="7" t="inlineStr">
        <is>
          <t>Nº 8215</t>
        </is>
      </c>
      <c r="D219" s="8" t="inlineStr">
        <is>
          <t>FEZAN GOLD</t>
        </is>
      </c>
      <c r="E219" s="7" t="inlineStr">
        <is>
          <t>Fungicida</t>
        </is>
      </c>
      <c r="F219" s="7" t="inlineStr">
        <is>
          <t>Cercosporiose</t>
        </is>
      </c>
      <c r="G219" s="7" t="inlineStr">
        <is>
          <t>Cercospora kikuchii</t>
        </is>
      </c>
      <c r="H219" s="7" t="inlineStr">
        <is>
          <t>NÃO</t>
        </is>
      </c>
      <c r="I219" s="17" t="n">
        <v>1.5</v>
      </c>
      <c r="J219" s="9" t="n">
        <v>2</v>
      </c>
      <c r="K219" s="7" t="inlineStr">
        <is>
          <t>L ou kg/ha</t>
        </is>
      </c>
      <c r="L219" s="9" t="n">
        <v>1</v>
      </c>
      <c r="M219" s="7" t="inlineStr">
        <is>
          <t>Aplicar conforme monitoramento e estádio recomendado na bula (FRAC Grupo M05 — Multissítio)</t>
        </is>
      </c>
    </row>
    <row r="220" ht="22" customHeight="1">
      <c r="A220" s="12" t="inlineStr">
        <is>
          <t>ALV-0216</t>
        </is>
      </c>
      <c r="B220" s="11" t="n">
        <v>111</v>
      </c>
      <c r="C220" s="13" t="inlineStr">
        <is>
          <t>Nº 20920</t>
        </is>
      </c>
      <c r="D220" s="14" t="inlineStr">
        <is>
          <t>CLICK</t>
        </is>
      </c>
      <c r="E220" s="13" t="inlineStr">
        <is>
          <t>Herbicida</t>
        </is>
      </c>
      <c r="F220" s="13" t="inlineStr">
        <is>
          <t>Plantas Daninhas Mono e Dicotiledôneas</t>
        </is>
      </c>
      <c r="G220" s="13" t="inlineStr">
        <is>
          <t>Flora Infestante</t>
        </is>
      </c>
      <c r="H220" s="13" t="inlineStr">
        <is>
          <t>NÃO</t>
        </is>
      </c>
      <c r="I220" s="18" t="n">
        <v>0.25</v>
      </c>
      <c r="J220" s="15" t="n">
        <v>2</v>
      </c>
      <c r="K220" s="13" t="inlineStr">
        <is>
          <t>L ou kg/ha</t>
        </is>
      </c>
      <c r="L220" s="15" t="n">
        <v>1</v>
      </c>
      <c r="M220" s="13" t="inlineStr">
        <is>
          <t>Aplicar conforme monitoramento e estádio recomendado na bula (Classificação HRAC Oficial conforme Bula)</t>
        </is>
      </c>
    </row>
    <row r="221" ht="22" customHeight="1">
      <c r="A221" s="6" t="inlineStr">
        <is>
          <t>ALV-0217</t>
        </is>
      </c>
      <c r="B221" s="5" t="n">
        <v>112</v>
      </c>
      <c r="C221" s="7" t="inlineStr">
        <is>
          <t>Nº 238904</t>
        </is>
      </c>
      <c r="D221" s="8" t="inlineStr">
        <is>
          <t>SUPPORT</t>
        </is>
      </c>
      <c r="E221" s="7" t="inlineStr">
        <is>
          <t>Fungicida</t>
        </is>
      </c>
      <c r="F221" s="7" t="inlineStr">
        <is>
          <t>Mofo-branco</t>
        </is>
      </c>
      <c r="G221" s="7" t="inlineStr">
        <is>
          <t>Sclerotinia sclerotiorum</t>
        </is>
      </c>
      <c r="H221" s="7" t="inlineStr">
        <is>
          <t>NÃO</t>
        </is>
      </c>
      <c r="I221" s="17" t="n">
        <v>0.8</v>
      </c>
      <c r="J221" s="9" t="n">
        <v>1</v>
      </c>
      <c r="K221" s="7" t="inlineStr">
        <is>
          <t>L/ha</t>
        </is>
      </c>
      <c r="L221" s="9" t="n">
        <v>1</v>
      </c>
      <c r="M221" s="7" t="inlineStr">
        <is>
          <t>Aplicar conforme monitoramento e estádio recomendado na bula (FRAC Grupo 1 (MBC))</t>
        </is>
      </c>
    </row>
    <row r="222" ht="22" customHeight="1">
      <c r="A222" s="12" t="inlineStr">
        <is>
          <t>ALV-0218</t>
        </is>
      </c>
      <c r="B222" s="11" t="n">
        <v>112</v>
      </c>
      <c r="C222" s="13" t="inlineStr">
        <is>
          <t>Nº 238904</t>
        </is>
      </c>
      <c r="D222" s="14" t="inlineStr">
        <is>
          <t>SUPPORT</t>
        </is>
      </c>
      <c r="E222" s="13" t="inlineStr">
        <is>
          <t>Fungicida</t>
        </is>
      </c>
      <c r="F222" s="13" t="inlineStr">
        <is>
          <t>Antracnose</t>
        </is>
      </c>
      <c r="G222" s="13" t="inlineStr">
        <is>
          <t>Colletotrichum lindemuthianum</t>
        </is>
      </c>
      <c r="H222" s="13" t="inlineStr">
        <is>
          <t>NÃO</t>
        </is>
      </c>
      <c r="I222" s="18" t="n">
        <v>0.7</v>
      </c>
      <c r="J222" s="15" t="n">
        <v>1</v>
      </c>
      <c r="K222" s="13" t="inlineStr">
        <is>
          <t>L/ha</t>
        </is>
      </c>
      <c r="L222" s="15" t="n">
        <v>1</v>
      </c>
      <c r="M222" s="13" t="inlineStr">
        <is>
          <t>Aplicar conforme monitoramento e estádio recomendado na bula (FRAC Grupo 1 (MBC))</t>
        </is>
      </c>
    </row>
    <row r="223" ht="22" customHeight="1">
      <c r="A223" s="6" t="inlineStr">
        <is>
          <t>ALV-0219</t>
        </is>
      </c>
      <c r="B223" s="5" t="n">
        <v>113</v>
      </c>
      <c r="C223" s="7" t="inlineStr">
        <is>
          <t>SIPEAGRO (UF-XXXXX)</t>
        </is>
      </c>
      <c r="D223" s="8" t="inlineStr">
        <is>
          <t>AGCN ZINCO ULTRA</t>
        </is>
      </c>
      <c r="E223" s="7" t="inlineStr">
        <is>
          <t>Fertilizante Foliar / Micronutrientes</t>
        </is>
      </c>
      <c r="F223" s="7" t="inlineStr">
        <is>
          <t>Nutrição e Correção de Deficiência Mineral</t>
        </is>
      </c>
      <c r="G223" s="7" t="inlineStr">
        <is>
          <t>Nutrição Vegetal</t>
        </is>
      </c>
      <c r="H223" s="7" t="inlineStr">
        <is>
          <t>NÃO</t>
        </is>
      </c>
      <c r="I223" s="9" t="n">
        <v>1</v>
      </c>
      <c r="J223" s="9" t="n">
        <v>250</v>
      </c>
      <c r="K223" s="7" t="inlineStr">
        <is>
          <t>kg ou L/ha</t>
        </is>
      </c>
      <c r="L223" s="9" t="n">
        <v>1</v>
      </c>
      <c r="M223" s="7" t="inlineStr">
        <is>
          <t>Aplicar conforme monitoramento e estádio recomendado na bula (Nutrição Vegetal SIPEAGRO)</t>
        </is>
      </c>
    </row>
    <row r="224" ht="22" customHeight="1">
      <c r="A224" s="12" t="inlineStr">
        <is>
          <t>ALV-0220</t>
        </is>
      </c>
      <c r="B224" s="11" t="n">
        <v>114</v>
      </c>
      <c r="C224" s="13" t="inlineStr">
        <is>
          <t>SIPEAGRO (UF-XXXXX)</t>
        </is>
      </c>
      <c r="D224" s="14" t="inlineStr">
        <is>
          <t>AGCN ZINCO ULTRA</t>
        </is>
      </c>
      <c r="E224" s="13" t="inlineStr">
        <is>
          <t>Fertilizante Foliar / Micronutrientes</t>
        </is>
      </c>
      <c r="F224" s="13" t="inlineStr">
        <is>
          <t>Nutrição e Correção de Deficiência Mineral</t>
        </is>
      </c>
      <c r="G224" s="13" t="inlineStr">
        <is>
          <t>Nutrição Vegetal</t>
        </is>
      </c>
      <c r="H224" s="13" t="inlineStr">
        <is>
          <t>NÃO</t>
        </is>
      </c>
      <c r="I224" s="15" t="n">
        <v>1</v>
      </c>
      <c r="J224" s="15" t="n">
        <v>250</v>
      </c>
      <c r="K224" s="13" t="inlineStr">
        <is>
          <t>kg ou L/ha</t>
        </is>
      </c>
      <c r="L224" s="15" t="n">
        <v>1</v>
      </c>
      <c r="M224" s="13" t="inlineStr">
        <is>
          <t>Aplicar conforme monitoramento e estádio recomendado na bula (Nutrição Vegetal SIPEAGRO)</t>
        </is>
      </c>
    </row>
    <row r="225" ht="22" customHeight="1">
      <c r="A225" s="6" t="inlineStr">
        <is>
          <t>ALV-0221</t>
        </is>
      </c>
      <c r="B225" s="5" t="n">
        <v>115</v>
      </c>
      <c r="C225" s="7" t="inlineStr">
        <is>
          <t>SIPEAGRO (UF-XXXXX)</t>
        </is>
      </c>
      <c r="D225" s="8" t="inlineStr">
        <is>
          <t>AGCN ZINCO ULTRA</t>
        </is>
      </c>
      <c r="E225" s="7" t="inlineStr">
        <is>
          <t>Fertilizante Foliar / Micronutrientes</t>
        </is>
      </c>
      <c r="F225" s="7" t="inlineStr">
        <is>
          <t>Nutrição e Correção de Deficiência Mineral</t>
        </is>
      </c>
      <c r="G225" s="7" t="inlineStr">
        <is>
          <t>Nutrição Vegetal</t>
        </is>
      </c>
      <c r="H225" s="7" t="inlineStr">
        <is>
          <t>NÃO</t>
        </is>
      </c>
      <c r="I225" s="9" t="n">
        <v>1</v>
      </c>
      <c r="J225" s="9" t="n">
        <v>250</v>
      </c>
      <c r="K225" s="7" t="inlineStr">
        <is>
          <t>kg ou L/ha</t>
        </is>
      </c>
      <c r="L225" s="9" t="n">
        <v>1</v>
      </c>
      <c r="M225" s="7" t="inlineStr">
        <is>
          <t>Aplicar conforme monitoramento e estádio recomendado na bula (Nutrição Vegetal SIPEAGRO)</t>
        </is>
      </c>
    </row>
    <row r="226" ht="22" customHeight="1">
      <c r="A226" s="12" t="inlineStr">
        <is>
          <t>ALV-0222</t>
        </is>
      </c>
      <c r="B226" s="11" t="n">
        <v>116</v>
      </c>
      <c r="C226" s="13" t="inlineStr">
        <is>
          <t>SIPEAGRO (UF-XXXXX)</t>
        </is>
      </c>
      <c r="D226" s="14" t="inlineStr">
        <is>
          <t>SOLO AGRI S90 120</t>
        </is>
      </c>
      <c r="E226" s="13" t="inlineStr">
        <is>
          <t>Condicionador / Fonte Mineral de Enxofre (Enxofre + Bentonita)</t>
        </is>
      </c>
      <c r="F226" s="13" t="inlineStr">
        <is>
          <t>Correção de Acidez / Condicionamento de Perfil de Solo</t>
        </is>
      </c>
      <c r="G226" s="13" t="inlineStr">
        <is>
          <t>Solo Agrícola</t>
        </is>
      </c>
      <c r="H226" s="13" t="inlineStr">
        <is>
          <t>NÃO</t>
        </is>
      </c>
      <c r="I226" s="15" t="n">
        <v>500</v>
      </c>
      <c r="J226" s="15" t="n">
        <v>3000</v>
      </c>
      <c r="K226" s="13" t="inlineStr">
        <is>
          <t>kg/ha</t>
        </is>
      </c>
      <c r="L226" s="15" t="n">
        <v>1</v>
      </c>
      <c r="M226" s="13" t="inlineStr">
        <is>
          <t>Aplicar conforme monitoramento e estádio recomendado na bula (Correção Química de Solo)</t>
        </is>
      </c>
    </row>
    <row r="227" ht="22" customHeight="1">
      <c r="A227" s="6" t="inlineStr">
        <is>
          <t>ALV-0223</t>
        </is>
      </c>
      <c r="B227" s="5" t="n">
        <v>117</v>
      </c>
      <c r="C227" s="7" t="inlineStr">
        <is>
          <t>SIPEAGRO (UF-XXXXX)</t>
        </is>
      </c>
      <c r="D227" s="8" t="inlineStr">
        <is>
          <t>ULEXITA 100</t>
        </is>
      </c>
      <c r="E227" s="7" t="inlineStr">
        <is>
          <t>Fonte Mineral de Boro (Ulexita Natural)</t>
        </is>
      </c>
      <c r="F227" s="7" t="inlineStr">
        <is>
          <t>Correção de Acidez / Condicionamento de Perfil de Solo</t>
        </is>
      </c>
      <c r="G227" s="7" t="inlineStr">
        <is>
          <t>Solo Agrícola</t>
        </is>
      </c>
      <c r="H227" s="7" t="inlineStr">
        <is>
          <t>NÃO</t>
        </is>
      </c>
      <c r="I227" s="9" t="n">
        <v>500</v>
      </c>
      <c r="J227" s="9" t="n">
        <v>3000</v>
      </c>
      <c r="K227" s="7" t="inlineStr">
        <is>
          <t>kg/ha</t>
        </is>
      </c>
      <c r="L227" s="9" t="n">
        <v>1</v>
      </c>
      <c r="M227" s="7" t="inlineStr">
        <is>
          <t>Aplicar conforme monitoramento e estádio recomendado na bula (Correção Química de Solo)</t>
        </is>
      </c>
    </row>
    <row r="228" ht="22" customHeight="1">
      <c r="A228" s="12" t="inlineStr">
        <is>
          <t>ALV-0224</t>
        </is>
      </c>
      <c r="B228" s="11" t="n">
        <v>118</v>
      </c>
      <c r="C228" s="13" t="inlineStr">
        <is>
          <t>Nº 6922</t>
        </is>
      </c>
      <c r="D228" s="14" t="inlineStr">
        <is>
          <t>COFENRIN</t>
        </is>
      </c>
      <c r="E228" s="13" t="inlineStr">
        <is>
          <t>Inseticida e Acaricida</t>
        </is>
      </c>
      <c r="F228" s="13" t="inlineStr">
        <is>
          <t>Bicudo-do-algodoeiro</t>
        </is>
      </c>
      <c r="G228" s="13" t="inlineStr">
        <is>
          <t>Anthonomus grandis</t>
        </is>
      </c>
      <c r="H228" s="13" t="inlineStr">
        <is>
          <t>NÃO</t>
        </is>
      </c>
      <c r="I228" s="18" t="n">
        <v>0.15</v>
      </c>
      <c r="J228" s="18" t="n">
        <v>0.25</v>
      </c>
      <c r="K228" s="13" t="inlineStr">
        <is>
          <t>L/ha</t>
        </is>
      </c>
      <c r="L228" s="15" t="n">
        <v>1</v>
      </c>
      <c r="M228" s="13" t="inlineStr">
        <is>
          <t>Aplicar conforme monitoramento e estádio recomendado na bula (IRAC Grupo 3A)</t>
        </is>
      </c>
    </row>
    <row r="229" ht="22" customHeight="1">
      <c r="A229" s="6" t="inlineStr">
        <is>
          <t>ALV-0225</t>
        </is>
      </c>
      <c r="B229" s="5" t="n">
        <v>118</v>
      </c>
      <c r="C229" s="7" t="inlineStr">
        <is>
          <t>Nº 6922</t>
        </is>
      </c>
      <c r="D229" s="8" t="inlineStr">
        <is>
          <t>COFENRIN</t>
        </is>
      </c>
      <c r="E229" s="7" t="inlineStr">
        <is>
          <t>Inseticida e Acaricida</t>
        </is>
      </c>
      <c r="F229" s="7" t="inlineStr">
        <is>
          <t>Mosca-branca</t>
        </is>
      </c>
      <c r="G229" s="7" t="inlineStr">
        <is>
          <t>Bemisia tabaci raça B</t>
        </is>
      </c>
      <c r="H229" s="7" t="inlineStr">
        <is>
          <t>SIM (*)</t>
        </is>
      </c>
      <c r="I229" s="17" t="n">
        <v>0.125</v>
      </c>
      <c r="J229" s="17" t="n">
        <v>0.25</v>
      </c>
      <c r="K229" s="7" t="inlineStr">
        <is>
          <t>L/ha</t>
        </is>
      </c>
      <c r="L229" s="9" t="n">
        <v>1</v>
      </c>
      <c r="M229" s="7" t="inlineStr">
        <is>
          <t>Aplicar conforme monitoramento e estádio recomendado na bula (IRAC Grupo 3A)</t>
        </is>
      </c>
    </row>
    <row r="230" ht="22" customHeight="1">
      <c r="A230" s="12" t="inlineStr">
        <is>
          <t>ALV-0226</t>
        </is>
      </c>
      <c r="B230" s="11" t="n">
        <v>118</v>
      </c>
      <c r="C230" s="13" t="inlineStr">
        <is>
          <t>Nº 6922</t>
        </is>
      </c>
      <c r="D230" s="14" t="inlineStr">
        <is>
          <t>COFENRIN</t>
        </is>
      </c>
      <c r="E230" s="13" t="inlineStr">
        <is>
          <t>Inseticida e Acaricida</t>
        </is>
      </c>
      <c r="F230" s="13" t="inlineStr">
        <is>
          <t>Ácaro-rajado</t>
        </is>
      </c>
      <c r="G230" s="13" t="inlineStr">
        <is>
          <t>Tetranychus urticae</t>
        </is>
      </c>
      <c r="H230" s="13" t="inlineStr">
        <is>
          <t>SIM (*)</t>
        </is>
      </c>
      <c r="I230" s="18" t="n">
        <v>0.15</v>
      </c>
      <c r="J230" s="18" t="n">
        <v>0.2</v>
      </c>
      <c r="K230" s="13" t="inlineStr">
        <is>
          <t>L/ha</t>
        </is>
      </c>
      <c r="L230" s="15" t="n">
        <v>1</v>
      </c>
      <c r="M230" s="13" t="inlineStr">
        <is>
          <t>Aplicar conforme monitoramento e estádio recomendado na bula (IRAC Grupo 3A)</t>
        </is>
      </c>
    </row>
    <row r="231" ht="22" customHeight="1">
      <c r="A231" s="6" t="inlineStr">
        <is>
          <t>ALV-0227</t>
        </is>
      </c>
      <c r="B231" s="5" t="n">
        <v>119</v>
      </c>
      <c r="C231" s="7" t="inlineStr">
        <is>
          <t>Nº 8311</t>
        </is>
      </c>
      <c r="D231" s="8" t="inlineStr">
        <is>
          <t>ACEHERO</t>
        </is>
      </c>
      <c r="E231" s="7" t="inlineStr">
        <is>
          <t>Inseticida</t>
        </is>
      </c>
      <c r="F231" s="7" t="inlineStr">
        <is>
          <t>Percevejo-marrom</t>
        </is>
      </c>
      <c r="G231" s="7" t="inlineStr">
        <is>
          <t>Euschistus heros</t>
        </is>
      </c>
      <c r="H231" s="7" t="inlineStr">
        <is>
          <t>NÃO</t>
        </is>
      </c>
      <c r="I231" s="17" t="n">
        <v>0.8</v>
      </c>
      <c r="J231" s="17" t="n">
        <v>1.2</v>
      </c>
      <c r="K231" s="7" t="inlineStr">
        <is>
          <t>kg/ha</t>
        </is>
      </c>
      <c r="L231" s="9" t="n">
        <v>1</v>
      </c>
      <c r="M231" s="7" t="inlineStr">
        <is>
          <t>Aplicar conforme monitoramento e estádio recomendado na bula (IRAC Grupo 1B)</t>
        </is>
      </c>
    </row>
    <row r="232" ht="22" customHeight="1">
      <c r="A232" s="12" t="inlineStr">
        <is>
          <t>ALV-0228</t>
        </is>
      </c>
      <c r="B232" s="11" t="n">
        <v>119</v>
      </c>
      <c r="C232" s="13" t="inlineStr">
        <is>
          <t>Nº 8311</t>
        </is>
      </c>
      <c r="D232" s="14" t="inlineStr">
        <is>
          <t>ACEHERO</t>
        </is>
      </c>
      <c r="E232" s="13" t="inlineStr">
        <is>
          <t>Inseticida</t>
        </is>
      </c>
      <c r="F232" s="13" t="inlineStr">
        <is>
          <t>Mosca-branca</t>
        </is>
      </c>
      <c r="G232" s="13" t="inlineStr">
        <is>
          <t>Bemisia tabaci raça B</t>
        </is>
      </c>
      <c r="H232" s="13" t="inlineStr">
        <is>
          <t>NÃO</t>
        </is>
      </c>
      <c r="I232" s="18" t="n">
        <v>0.8</v>
      </c>
      <c r="J232" s="15" t="n">
        <v>1</v>
      </c>
      <c r="K232" s="13" t="inlineStr">
        <is>
          <t>kg/ha</t>
        </is>
      </c>
      <c r="L232" s="15" t="n">
        <v>1</v>
      </c>
      <c r="M232" s="13" t="inlineStr">
        <is>
          <t>Aplicar conforme monitoramento e estádio recomendado na bula (IRAC Grupo 1B)</t>
        </is>
      </c>
    </row>
    <row r="233" ht="22" customHeight="1">
      <c r="A233" s="6" t="inlineStr">
        <is>
          <t>ALV-0229</t>
        </is>
      </c>
      <c r="B233" s="5" t="n">
        <v>119</v>
      </c>
      <c r="C233" s="7" t="inlineStr">
        <is>
          <t>Nº 8311</t>
        </is>
      </c>
      <c r="D233" s="8" t="inlineStr">
        <is>
          <t>ACEHERO</t>
        </is>
      </c>
      <c r="E233" s="7" t="inlineStr">
        <is>
          <t>Inseticida</t>
        </is>
      </c>
      <c r="F233" s="7" t="inlineStr">
        <is>
          <t>Tripes</t>
        </is>
      </c>
      <c r="G233" s="7" t="inlineStr">
        <is>
          <t>Caliothrips phaseoli</t>
        </is>
      </c>
      <c r="H233" s="7" t="inlineStr">
        <is>
          <t>NÃO</t>
        </is>
      </c>
      <c r="I233" s="17" t="n">
        <v>0.5</v>
      </c>
      <c r="J233" s="17" t="n">
        <v>0.8</v>
      </c>
      <c r="K233" s="7" t="inlineStr">
        <is>
          <t>kg/ha</t>
        </is>
      </c>
      <c r="L233" s="9" t="n">
        <v>1</v>
      </c>
      <c r="M233" s="7" t="inlineStr">
        <is>
          <t>Aplicar conforme monitoramento e estádio recomendado na bula (IRAC Grupo 1B)</t>
        </is>
      </c>
    </row>
    <row r="234" ht="22" customHeight="1">
      <c r="A234" s="12" t="inlineStr">
        <is>
          <t>ALV-0230</t>
        </is>
      </c>
      <c r="B234" s="11" t="n">
        <v>120</v>
      </c>
      <c r="C234" s="13" t="inlineStr">
        <is>
          <t>Nº 4623</t>
        </is>
      </c>
      <c r="D234" s="14" t="inlineStr">
        <is>
          <t>WEXITE</t>
        </is>
      </c>
      <c r="E234" s="13" t="inlineStr">
        <is>
          <t>Inseticida</t>
        </is>
      </c>
      <c r="F234" s="13" t="inlineStr">
        <is>
          <t>Percevejo-marrom</t>
        </is>
      </c>
      <c r="G234" s="13" t="inlineStr">
        <is>
          <t>Euschistus heros</t>
        </is>
      </c>
      <c r="H234" s="13" t="inlineStr">
        <is>
          <t>NÃO</t>
        </is>
      </c>
      <c r="I234" s="18" t="n">
        <v>0.8</v>
      </c>
      <c r="J234" s="18" t="n">
        <v>1.2</v>
      </c>
      <c r="K234" s="13" t="inlineStr">
        <is>
          <t>kg/ha</t>
        </is>
      </c>
      <c r="L234" s="15" t="n">
        <v>1</v>
      </c>
      <c r="M234" s="13" t="inlineStr">
        <is>
          <t>Aplicar conforme monitoramento e estádio recomendado na bula (IRAC Grupo 1B)</t>
        </is>
      </c>
    </row>
    <row r="235" ht="22" customHeight="1">
      <c r="A235" s="6" t="inlineStr">
        <is>
          <t>ALV-0231</t>
        </is>
      </c>
      <c r="B235" s="5" t="n">
        <v>120</v>
      </c>
      <c r="C235" s="7" t="inlineStr">
        <is>
          <t>Nº 4623</t>
        </is>
      </c>
      <c r="D235" s="8" t="inlineStr">
        <is>
          <t>WEXITE</t>
        </is>
      </c>
      <c r="E235" s="7" t="inlineStr">
        <is>
          <t>Inseticida</t>
        </is>
      </c>
      <c r="F235" s="7" t="inlineStr">
        <is>
          <t>Mosca-branca</t>
        </is>
      </c>
      <c r="G235" s="7" t="inlineStr">
        <is>
          <t>Bemisia tabaci raça B</t>
        </is>
      </c>
      <c r="H235" s="7" t="inlineStr">
        <is>
          <t>NÃO</t>
        </is>
      </c>
      <c r="I235" s="17" t="n">
        <v>0.8</v>
      </c>
      <c r="J235" s="9" t="n">
        <v>1</v>
      </c>
      <c r="K235" s="7" t="inlineStr">
        <is>
          <t>kg/ha</t>
        </is>
      </c>
      <c r="L235" s="9" t="n">
        <v>1</v>
      </c>
      <c r="M235" s="7" t="inlineStr">
        <is>
          <t>Aplicar conforme monitoramento e estádio recomendado na bula (IRAC Grupo 1B)</t>
        </is>
      </c>
    </row>
    <row r="236" ht="22" customHeight="1">
      <c r="A236" s="12" t="inlineStr">
        <is>
          <t>ALV-0232</t>
        </is>
      </c>
      <c r="B236" s="11" t="n">
        <v>120</v>
      </c>
      <c r="C236" s="13" t="inlineStr">
        <is>
          <t>Nº 4623</t>
        </is>
      </c>
      <c r="D236" s="14" t="inlineStr">
        <is>
          <t>WEXITE</t>
        </is>
      </c>
      <c r="E236" s="13" t="inlineStr">
        <is>
          <t>Inseticida</t>
        </is>
      </c>
      <c r="F236" s="13" t="inlineStr">
        <is>
          <t>Tripes</t>
        </is>
      </c>
      <c r="G236" s="13" t="inlineStr">
        <is>
          <t>Caliothrips phaseoli</t>
        </is>
      </c>
      <c r="H236" s="13" t="inlineStr">
        <is>
          <t>NÃO</t>
        </is>
      </c>
      <c r="I236" s="18" t="n">
        <v>0.5</v>
      </c>
      <c r="J236" s="18" t="n">
        <v>0.8</v>
      </c>
      <c r="K236" s="13" t="inlineStr">
        <is>
          <t>kg/ha</t>
        </is>
      </c>
      <c r="L236" s="15" t="n">
        <v>1</v>
      </c>
      <c r="M236" s="13" t="inlineStr">
        <is>
          <t>Aplicar conforme monitoramento e estádio recomendado na bula (IRAC Grupo 1B)</t>
        </is>
      </c>
    </row>
    <row r="237" ht="22" customHeight="1">
      <c r="A237" s="6" t="inlineStr">
        <is>
          <t>ALV-0233</t>
        </is>
      </c>
      <c r="B237" s="5" t="n">
        <v>121</v>
      </c>
      <c r="C237" s="7" t="inlineStr">
        <is>
          <t>Nº 0422</t>
        </is>
      </c>
      <c r="D237" s="8" t="inlineStr">
        <is>
          <t>XEQUE MATE HT</t>
        </is>
      </c>
      <c r="E237" s="7" t="inlineStr">
        <is>
          <t>Herbicida</t>
        </is>
      </c>
      <c r="F237" s="7" t="inlineStr">
        <is>
          <t>Capim-amargoso</t>
        </is>
      </c>
      <c r="G237" s="7" t="inlineStr">
        <is>
          <t>Digitaria insularis</t>
        </is>
      </c>
      <c r="H237" s="7" t="inlineStr">
        <is>
          <t>SIM (*)</t>
        </is>
      </c>
      <c r="I237" s="17" t="n">
        <v>1.5</v>
      </c>
      <c r="J237" s="17" t="n">
        <v>2.5</v>
      </c>
      <c r="K237" s="7" t="inlineStr">
        <is>
          <t>kg ou L/ha</t>
        </is>
      </c>
      <c r="L237" s="9" t="n">
        <v>1</v>
      </c>
      <c r="M237" s="7" t="inlineStr">
        <is>
          <t>Aplicar conforme monitoramento e estádio recomendado na bula (HRAC Grupo G (EPSPs))</t>
        </is>
      </c>
    </row>
    <row r="238" ht="22" customHeight="1">
      <c r="A238" s="12" t="inlineStr">
        <is>
          <t>ALV-0234</t>
        </is>
      </c>
      <c r="B238" s="11" t="n">
        <v>121</v>
      </c>
      <c r="C238" s="13" t="inlineStr">
        <is>
          <t>Nº 0422</t>
        </is>
      </c>
      <c r="D238" s="14" t="inlineStr">
        <is>
          <t>XEQUE MATE HT</t>
        </is>
      </c>
      <c r="E238" s="13" t="inlineStr">
        <is>
          <t>Herbicida</t>
        </is>
      </c>
      <c r="F238" s="13" t="inlineStr">
        <is>
          <t>Buva</t>
        </is>
      </c>
      <c r="G238" s="13" t="inlineStr">
        <is>
          <t>Conyza bonariensis</t>
        </is>
      </c>
      <c r="H238" s="13" t="inlineStr">
        <is>
          <t>SIM (*)</t>
        </is>
      </c>
      <c r="I238" s="15" t="n">
        <v>1</v>
      </c>
      <c r="J238" s="15" t="n">
        <v>2</v>
      </c>
      <c r="K238" s="13" t="inlineStr">
        <is>
          <t>kg ou L/ha</t>
        </is>
      </c>
      <c r="L238" s="15" t="n">
        <v>1</v>
      </c>
      <c r="M238" s="13" t="inlineStr">
        <is>
          <t>Aplicar conforme monitoramento e estádio recomendado na bula (HRAC Grupo G (EPSPs))</t>
        </is>
      </c>
    </row>
    <row r="239" ht="22" customHeight="1">
      <c r="A239" s="6" t="inlineStr">
        <is>
          <t>ALV-0235</t>
        </is>
      </c>
      <c r="B239" s="5" t="n">
        <v>121</v>
      </c>
      <c r="C239" s="7" t="inlineStr">
        <is>
          <t>Nº 0422</t>
        </is>
      </c>
      <c r="D239" s="8" t="inlineStr">
        <is>
          <t>XEQUE MATE HT</t>
        </is>
      </c>
      <c r="E239" s="7" t="inlineStr">
        <is>
          <t>Herbicida</t>
        </is>
      </c>
      <c r="F239" s="7" t="inlineStr">
        <is>
          <t>Capim-pé-de-galinha</t>
        </is>
      </c>
      <c r="G239" s="7" t="inlineStr">
        <is>
          <t>Eleusine indica</t>
        </is>
      </c>
      <c r="H239" s="7" t="inlineStr">
        <is>
          <t>SIM (*)</t>
        </is>
      </c>
      <c r="I239" s="9" t="n">
        <v>1</v>
      </c>
      <c r="J239" s="17" t="n">
        <v>1.5</v>
      </c>
      <c r="K239" s="7" t="inlineStr">
        <is>
          <t>kg ou L/ha</t>
        </is>
      </c>
      <c r="L239" s="9" t="n">
        <v>1</v>
      </c>
      <c r="M239" s="7" t="inlineStr">
        <is>
          <t>Aplicar conforme monitoramento e estádio recomendado na bula (HRAC Grupo G (EPSPs))</t>
        </is>
      </c>
    </row>
    <row r="240" ht="22" customHeight="1">
      <c r="A240" s="12" t="inlineStr">
        <is>
          <t>ALV-0236</t>
        </is>
      </c>
      <c r="B240" s="11" t="n">
        <v>121</v>
      </c>
      <c r="C240" s="13" t="inlineStr">
        <is>
          <t>Nº 0422</t>
        </is>
      </c>
      <c r="D240" s="14" t="inlineStr">
        <is>
          <t>XEQUE MATE HT</t>
        </is>
      </c>
      <c r="E240" s="13" t="inlineStr">
        <is>
          <t>Herbicida</t>
        </is>
      </c>
      <c r="F240" s="13" t="inlineStr">
        <is>
          <t>Trapoeraba</t>
        </is>
      </c>
      <c r="G240" s="13" t="inlineStr">
        <is>
          <t>Commelina benghalensis</t>
        </is>
      </c>
      <c r="H240" s="13" t="inlineStr">
        <is>
          <t>NÃO</t>
        </is>
      </c>
      <c r="I240" s="15" t="n">
        <v>2</v>
      </c>
      <c r="J240" s="18" t="n">
        <v>3.5</v>
      </c>
      <c r="K240" s="13" t="inlineStr">
        <is>
          <t>kg ou L/ha</t>
        </is>
      </c>
      <c r="L240" s="15" t="n">
        <v>1</v>
      </c>
      <c r="M240" s="13" t="inlineStr">
        <is>
          <t>Aplicar conforme monitoramento e estádio recomendado na bula (HRAC Grupo G (EPSPs))</t>
        </is>
      </c>
    </row>
    <row r="241" ht="22" customHeight="1">
      <c r="A241" s="6" t="inlineStr">
        <is>
          <t>ALV-0237</t>
        </is>
      </c>
      <c r="B241" s="5" t="n">
        <v>122</v>
      </c>
      <c r="C241" s="7" t="inlineStr">
        <is>
          <t>Nº 3422</t>
        </is>
      </c>
      <c r="D241" s="8" t="inlineStr">
        <is>
          <t>FOX SUPRA</t>
        </is>
      </c>
      <c r="E241" s="7" t="inlineStr">
        <is>
          <t>Fungicida</t>
        </is>
      </c>
      <c r="F241" s="7" t="inlineStr">
        <is>
          <t>Complexo de Doenças Foliares e Ferrugem</t>
        </is>
      </c>
      <c r="G241" s="7" t="inlineStr">
        <is>
          <t>Phakopsora pachyrhizi / Corynespora</t>
        </is>
      </c>
      <c r="H241" s="7" t="inlineStr">
        <is>
          <t>NÃO</t>
        </is>
      </c>
      <c r="I241" s="17" t="n">
        <v>0.3</v>
      </c>
      <c r="J241" s="17" t="n">
        <v>1.5</v>
      </c>
      <c r="K241" s="7" t="inlineStr">
        <is>
          <t>L ou kg/ha</t>
        </is>
      </c>
      <c r="L241" s="9" t="n">
        <v>1</v>
      </c>
      <c r="M241" s="7" t="inlineStr">
        <is>
          <t>Aplicar conforme monitoramento e estádio recomendado na bula (Classificação FRAC Oficial conforme Bula)</t>
        </is>
      </c>
    </row>
    <row r="242" ht="22" customHeight="1">
      <c r="A242" s="12" t="inlineStr">
        <is>
          <t>ALV-0238</t>
        </is>
      </c>
      <c r="B242" s="11" t="n">
        <v>123</v>
      </c>
      <c r="C242" s="13" t="inlineStr">
        <is>
          <t>Nº 34621</t>
        </is>
      </c>
      <c r="D242" s="14" t="inlineStr">
        <is>
          <t>RATEIO 200 SL</t>
        </is>
      </c>
      <c r="E242" s="13" t="inlineStr">
        <is>
          <t>Herbicida Dessecante</t>
        </is>
      </c>
      <c r="F242" s="13" t="inlineStr">
        <is>
          <t>Buva</t>
        </is>
      </c>
      <c r="G242" s="13" t="inlineStr">
        <is>
          <t>Conyza bonariensis</t>
        </is>
      </c>
      <c r="H242" s="13" t="inlineStr">
        <is>
          <t>NÃO</t>
        </is>
      </c>
      <c r="I242" s="18" t="n">
        <v>1.5</v>
      </c>
      <c r="J242" s="18" t="n">
        <v>2.5</v>
      </c>
      <c r="K242" s="13" t="inlineStr">
        <is>
          <t>L/ha</t>
        </is>
      </c>
      <c r="L242" s="15" t="n">
        <v>1</v>
      </c>
      <c r="M242" s="13" t="inlineStr">
        <is>
          <t>Aplicar conforme monitoramento e estádio recomendado na bula (HRAC Grupo D (22) — Desviadores de Elétrons do Fotossistema I)</t>
        </is>
      </c>
    </row>
    <row r="243" ht="22" customHeight="1">
      <c r="A243" s="6" t="inlineStr">
        <is>
          <t>ALV-0239</t>
        </is>
      </c>
      <c r="B243" s="5" t="n">
        <v>123</v>
      </c>
      <c r="C243" s="7" t="inlineStr">
        <is>
          <t>Nº 34621</t>
        </is>
      </c>
      <c r="D243" s="8" t="inlineStr">
        <is>
          <t>RATEIO 200 SL</t>
        </is>
      </c>
      <c r="E243" s="7" t="inlineStr">
        <is>
          <t>Herbicida Dessecante</t>
        </is>
      </c>
      <c r="F243" s="7" t="inlineStr">
        <is>
          <t>Corda-de-viola</t>
        </is>
      </c>
      <c r="G243" s="7" t="inlineStr">
        <is>
          <t>Ipomoea grandifolia</t>
        </is>
      </c>
      <c r="H243" s="7" t="inlineStr">
        <is>
          <t>NÃO</t>
        </is>
      </c>
      <c r="I243" s="17" t="n">
        <v>1.5</v>
      </c>
      <c r="J243" s="9" t="n">
        <v>2</v>
      </c>
      <c r="K243" s="7" t="inlineStr">
        <is>
          <t>L/ha</t>
        </is>
      </c>
      <c r="L243" s="9" t="n">
        <v>1</v>
      </c>
      <c r="M243" s="7" t="inlineStr">
        <is>
          <t>Aplicar conforme monitoramento e estádio recomendado na bula (HRAC Grupo D (22) — Desviadores de Elétrons do Fotossistema I)</t>
        </is>
      </c>
    </row>
    <row r="244" ht="22" customHeight="1">
      <c r="A244" s="12" t="inlineStr">
        <is>
          <t>ALV-0240</t>
        </is>
      </c>
      <c r="B244" s="11" t="n">
        <v>123</v>
      </c>
      <c r="C244" s="13" t="inlineStr">
        <is>
          <t>Nº 34621</t>
        </is>
      </c>
      <c r="D244" s="14" t="inlineStr">
        <is>
          <t>RATEIO 200 SL</t>
        </is>
      </c>
      <c r="E244" s="13" t="inlineStr">
        <is>
          <t>Herbicida Dessecante</t>
        </is>
      </c>
      <c r="F244" s="13" t="inlineStr">
        <is>
          <t>Dessecação Pré-Colheita Soja</t>
        </is>
      </c>
      <c r="G244" s="13" t="inlineStr">
        <is>
          <t>Glycine max</t>
        </is>
      </c>
      <c r="H244" s="13" t="inlineStr">
        <is>
          <t>NÃO</t>
        </is>
      </c>
      <c r="I244" s="18" t="n">
        <v>1.5</v>
      </c>
      <c r="J244" s="15" t="n">
        <v>2</v>
      </c>
      <c r="K244" s="13" t="inlineStr">
        <is>
          <t>L/ha</t>
        </is>
      </c>
      <c r="L244" s="15" t="n">
        <v>1</v>
      </c>
      <c r="M244" s="13" t="inlineStr">
        <is>
          <t>Aplicar conforme monitoramento e estádio recomendado na bula (HRAC Grupo D (22) — Desviadores de Elétrons do Fotossistema I)</t>
        </is>
      </c>
    </row>
    <row r="245" ht="22" customHeight="1">
      <c r="A245" s="6" t="inlineStr">
        <is>
          <t>ALV-0241</t>
        </is>
      </c>
      <c r="B245" s="5" t="n">
        <v>124</v>
      </c>
      <c r="C245" s="7" t="inlineStr">
        <is>
          <t>Nº 18022</t>
        </is>
      </c>
      <c r="D245" s="8" t="inlineStr">
        <is>
          <t>TARBOX</t>
        </is>
      </c>
      <c r="E245" s="7" t="inlineStr">
        <is>
          <t>Herbicida</t>
        </is>
      </c>
      <c r="F245" s="7" t="inlineStr">
        <is>
          <t>Buva</t>
        </is>
      </c>
      <c r="G245" s="7" t="inlineStr">
        <is>
          <t>Conyza bonariensis</t>
        </is>
      </c>
      <c r="H245" s="7" t="inlineStr">
        <is>
          <t>NÃO</t>
        </is>
      </c>
      <c r="I245" s="9" t="n">
        <v>2</v>
      </c>
      <c r="J245" s="9" t="n">
        <v>3</v>
      </c>
      <c r="K245" s="7" t="inlineStr">
        <is>
          <t>L/ha</t>
        </is>
      </c>
      <c r="L245" s="9" t="n">
        <v>1</v>
      </c>
      <c r="M245" s="7" t="inlineStr">
        <is>
          <t>Aplicar conforme monitoramento e estádio recomendado na bula (HRAC Grupo H (10) — Inibidores da Glutamina Sintetase)</t>
        </is>
      </c>
    </row>
    <row r="246" ht="22" customHeight="1">
      <c r="A246" s="12" t="inlineStr">
        <is>
          <t>ALV-0242</t>
        </is>
      </c>
      <c r="B246" s="11" t="n">
        <v>124</v>
      </c>
      <c r="C246" s="13" t="inlineStr">
        <is>
          <t>Nº 18022</t>
        </is>
      </c>
      <c r="D246" s="14" t="inlineStr">
        <is>
          <t>TARBOX</t>
        </is>
      </c>
      <c r="E246" s="13" t="inlineStr">
        <is>
          <t>Herbicida</t>
        </is>
      </c>
      <c r="F246" s="13" t="inlineStr">
        <is>
          <t>Capim-pé-de-galinha</t>
        </is>
      </c>
      <c r="G246" s="13" t="inlineStr">
        <is>
          <t>Eleusine indica</t>
        </is>
      </c>
      <c r="H246" s="13" t="inlineStr">
        <is>
          <t>NÃO</t>
        </is>
      </c>
      <c r="I246" s="15" t="n">
        <v>2</v>
      </c>
      <c r="J246" s="18" t="n">
        <v>2.5</v>
      </c>
      <c r="K246" s="13" t="inlineStr">
        <is>
          <t>L/ha</t>
        </is>
      </c>
      <c r="L246" s="15" t="n">
        <v>1</v>
      </c>
      <c r="M246" s="13" t="inlineStr">
        <is>
          <t>Aplicar conforme monitoramento e estádio recomendado na bula (HRAC Grupo H (10) — Inibidores da Glutamina Sintetase)</t>
        </is>
      </c>
    </row>
    <row r="247" ht="22" customHeight="1">
      <c r="A247" s="6" t="inlineStr">
        <is>
          <t>ALV-0243</t>
        </is>
      </c>
      <c r="B247" s="5" t="n">
        <v>124</v>
      </c>
      <c r="C247" s="7" t="inlineStr">
        <is>
          <t>Nº 18022</t>
        </is>
      </c>
      <c r="D247" s="8" t="inlineStr">
        <is>
          <t>TARBOX</t>
        </is>
      </c>
      <c r="E247" s="7" t="inlineStr">
        <is>
          <t>Herbicida</t>
        </is>
      </c>
      <c r="F247" s="7" t="inlineStr">
        <is>
          <t>Caruru</t>
        </is>
      </c>
      <c r="G247" s="7" t="inlineStr">
        <is>
          <t>Amaranthus hybridus</t>
        </is>
      </c>
      <c r="H247" s="7" t="inlineStr">
        <is>
          <t>NÃO</t>
        </is>
      </c>
      <c r="I247" s="17" t="n">
        <v>1.5</v>
      </c>
      <c r="J247" s="17" t="n">
        <v>2.5</v>
      </c>
      <c r="K247" s="7" t="inlineStr">
        <is>
          <t>L/ha</t>
        </is>
      </c>
      <c r="L247" s="9" t="n">
        <v>1</v>
      </c>
      <c r="M247" s="7" t="inlineStr">
        <is>
          <t>Aplicar conforme monitoramento e estádio recomendado na bula (HRAC Grupo H (10) — Inibidores da Glutamina Sintetase)</t>
        </is>
      </c>
    </row>
    <row r="248" ht="22" customHeight="1">
      <c r="A248" s="12" t="inlineStr">
        <is>
          <t>ALV-0244</t>
        </is>
      </c>
      <c r="B248" s="11" t="n">
        <v>125</v>
      </c>
      <c r="C248" s="13" t="inlineStr">
        <is>
          <t>SIPEAGRO (UF-XXXXX)</t>
        </is>
      </c>
      <c r="D248" s="14" t="inlineStr">
        <is>
          <t>FOSFATO MONOAMONICO CRISTAL MAP</t>
        </is>
      </c>
      <c r="E248" s="13" t="inlineStr">
        <is>
          <t>Fertilizante Complexo (MAP — Fosfato Monoamônico)</t>
        </is>
      </c>
      <c r="F248" s="13" t="inlineStr">
        <is>
          <t>Nutrição e Correção de Deficiência Mineral</t>
        </is>
      </c>
      <c r="G248" s="13" t="inlineStr">
        <is>
          <t>Nutrição Vegetal</t>
        </is>
      </c>
      <c r="H248" s="13" t="inlineStr">
        <is>
          <t>NÃO</t>
        </is>
      </c>
      <c r="I248" s="15" t="n">
        <v>1</v>
      </c>
      <c r="J248" s="15" t="n">
        <v>250</v>
      </c>
      <c r="K248" s="13" t="inlineStr">
        <is>
          <t>kg ou L/ha</t>
        </is>
      </c>
      <c r="L248" s="15" t="n">
        <v>1</v>
      </c>
      <c r="M248" s="13" t="inlineStr">
        <is>
          <t>Aplicar conforme monitoramento e estádio recomendado na bula (Nutrição Vegetal SIPEAGRO)</t>
        </is>
      </c>
    </row>
    <row r="249" ht="22" customHeight="1">
      <c r="A249" s="6" t="inlineStr">
        <is>
          <t>ALV-0245</t>
        </is>
      </c>
      <c r="B249" s="5" t="n">
        <v>126</v>
      </c>
      <c r="C249" s="7" t="inlineStr">
        <is>
          <t>Nº 1119</t>
        </is>
      </c>
      <c r="D249" s="8" t="inlineStr">
        <is>
          <t>ROUNDUP ORIGINAL MAIS</t>
        </is>
      </c>
      <c r="E249" s="7" t="inlineStr">
        <is>
          <t>Herbicida</t>
        </is>
      </c>
      <c r="F249" s="7" t="inlineStr">
        <is>
          <t>Capim-amargoso</t>
        </is>
      </c>
      <c r="G249" s="7" t="inlineStr">
        <is>
          <t>Digitaria insularis</t>
        </is>
      </c>
      <c r="H249" s="7" t="inlineStr">
        <is>
          <t>SIM (*)</t>
        </is>
      </c>
      <c r="I249" s="17" t="n">
        <v>1.5</v>
      </c>
      <c r="J249" s="17" t="n">
        <v>2.5</v>
      </c>
      <c r="K249" s="7" t="inlineStr">
        <is>
          <t>kg ou L/ha</t>
        </is>
      </c>
      <c r="L249" s="9" t="n">
        <v>1</v>
      </c>
      <c r="M249" s="7" t="inlineStr">
        <is>
          <t>Aplicar conforme monitoramento e estádio recomendado na bula (HRAC Grupo G (EPSPs))</t>
        </is>
      </c>
    </row>
    <row r="250" ht="22" customHeight="1">
      <c r="A250" s="12" t="inlineStr">
        <is>
          <t>ALV-0246</t>
        </is>
      </c>
      <c r="B250" s="11" t="n">
        <v>126</v>
      </c>
      <c r="C250" s="13" t="inlineStr">
        <is>
          <t>Nº 1119</t>
        </is>
      </c>
      <c r="D250" s="14" t="inlineStr">
        <is>
          <t>ROUNDUP ORIGINAL MAIS</t>
        </is>
      </c>
      <c r="E250" s="13" t="inlineStr">
        <is>
          <t>Herbicida</t>
        </is>
      </c>
      <c r="F250" s="13" t="inlineStr">
        <is>
          <t>Buva</t>
        </is>
      </c>
      <c r="G250" s="13" t="inlineStr">
        <is>
          <t>Conyza bonariensis</t>
        </is>
      </c>
      <c r="H250" s="13" t="inlineStr">
        <is>
          <t>SIM (*)</t>
        </is>
      </c>
      <c r="I250" s="15" t="n">
        <v>1</v>
      </c>
      <c r="J250" s="15" t="n">
        <v>2</v>
      </c>
      <c r="K250" s="13" t="inlineStr">
        <is>
          <t>kg ou L/ha</t>
        </is>
      </c>
      <c r="L250" s="15" t="n">
        <v>1</v>
      </c>
      <c r="M250" s="13" t="inlineStr">
        <is>
          <t>Aplicar conforme monitoramento e estádio recomendado na bula (HRAC Grupo G (EPSPs))</t>
        </is>
      </c>
    </row>
    <row r="251" ht="22" customHeight="1">
      <c r="A251" s="6" t="inlineStr">
        <is>
          <t>ALV-0247</t>
        </is>
      </c>
      <c r="B251" s="5" t="n">
        <v>126</v>
      </c>
      <c r="C251" s="7" t="inlineStr">
        <is>
          <t>Nº 1119</t>
        </is>
      </c>
      <c r="D251" s="8" t="inlineStr">
        <is>
          <t>ROUNDUP ORIGINAL MAIS</t>
        </is>
      </c>
      <c r="E251" s="7" t="inlineStr">
        <is>
          <t>Herbicida</t>
        </is>
      </c>
      <c r="F251" s="7" t="inlineStr">
        <is>
          <t>Capim-pé-de-galinha</t>
        </is>
      </c>
      <c r="G251" s="7" t="inlineStr">
        <is>
          <t>Eleusine indica</t>
        </is>
      </c>
      <c r="H251" s="7" t="inlineStr">
        <is>
          <t>SIM (*)</t>
        </is>
      </c>
      <c r="I251" s="9" t="n">
        <v>1</v>
      </c>
      <c r="J251" s="17" t="n">
        <v>1.5</v>
      </c>
      <c r="K251" s="7" t="inlineStr">
        <is>
          <t>kg ou L/ha</t>
        </is>
      </c>
      <c r="L251" s="9" t="n">
        <v>1</v>
      </c>
      <c r="M251" s="7" t="inlineStr">
        <is>
          <t>Aplicar conforme monitoramento e estádio recomendado na bula (HRAC Grupo G (EPSPs))</t>
        </is>
      </c>
    </row>
    <row r="252" ht="22" customHeight="1">
      <c r="A252" s="12" t="inlineStr">
        <is>
          <t>ALV-0248</t>
        </is>
      </c>
      <c r="B252" s="11" t="n">
        <v>126</v>
      </c>
      <c r="C252" s="13" t="inlineStr">
        <is>
          <t>Nº 1119</t>
        </is>
      </c>
      <c r="D252" s="14" t="inlineStr">
        <is>
          <t>ROUNDUP ORIGINAL MAIS</t>
        </is>
      </c>
      <c r="E252" s="13" t="inlineStr">
        <is>
          <t>Herbicida</t>
        </is>
      </c>
      <c r="F252" s="13" t="inlineStr">
        <is>
          <t>Trapoeraba</t>
        </is>
      </c>
      <c r="G252" s="13" t="inlineStr">
        <is>
          <t>Commelina benghalensis</t>
        </is>
      </c>
      <c r="H252" s="13" t="inlineStr">
        <is>
          <t>NÃO</t>
        </is>
      </c>
      <c r="I252" s="15" t="n">
        <v>2</v>
      </c>
      <c r="J252" s="18" t="n">
        <v>3.5</v>
      </c>
      <c r="K252" s="13" t="inlineStr">
        <is>
          <t>kg ou L/ha</t>
        </is>
      </c>
      <c r="L252" s="15" t="n">
        <v>1</v>
      </c>
      <c r="M252" s="13" t="inlineStr">
        <is>
          <t>Aplicar conforme monitoramento e estádio recomendado na bula (HRAC Grupo G (EPSPs))</t>
        </is>
      </c>
    </row>
    <row r="253" ht="22" customHeight="1">
      <c r="A253" s="6" t="inlineStr">
        <is>
          <t>ALV-0249</t>
        </is>
      </c>
      <c r="B253" s="5" t="n">
        <v>127</v>
      </c>
      <c r="C253" s="7" t="inlineStr">
        <is>
          <t>Nº 9920</t>
        </is>
      </c>
      <c r="D253" s="8" t="inlineStr">
        <is>
          <t>SURRENA</t>
        </is>
      </c>
      <c r="E253" s="7" t="inlineStr">
        <is>
          <t>Herbicida</t>
        </is>
      </c>
      <c r="F253" s="7" t="inlineStr">
        <is>
          <t>Plantas Daninhas Mono e Dicotiledôneas</t>
        </is>
      </c>
      <c r="G253" s="7" t="inlineStr">
        <is>
          <t>Flora Infestante</t>
        </is>
      </c>
      <c r="H253" s="7" t="inlineStr">
        <is>
          <t>NÃO</t>
        </is>
      </c>
      <c r="I253" s="17" t="n">
        <v>0.25</v>
      </c>
      <c r="J253" s="9" t="n">
        <v>2</v>
      </c>
      <c r="K253" s="7" t="inlineStr">
        <is>
          <t>L ou kg/ha</t>
        </is>
      </c>
      <c r="L253" s="9" t="n">
        <v>1</v>
      </c>
      <c r="M253" s="7" t="inlineStr">
        <is>
          <t>Aplicar conforme monitoramento e estádio recomendado na bula (Classificação HRAC Oficial conforme Bula)</t>
        </is>
      </c>
    </row>
    <row r="254" ht="22" customHeight="1">
      <c r="A254" s="12" t="inlineStr">
        <is>
          <t>ALV-0250</t>
        </is>
      </c>
      <c r="B254" s="11" t="n">
        <v>128</v>
      </c>
      <c r="C254" s="13" t="inlineStr">
        <is>
          <t>Nº 2020</t>
        </is>
      </c>
      <c r="D254" s="14" t="inlineStr">
        <is>
          <t>SAMURAI</t>
        </is>
      </c>
      <c r="E254" s="13" t="inlineStr">
        <is>
          <t>Inseticida</t>
        </is>
      </c>
      <c r="F254" s="13" t="inlineStr">
        <is>
          <t>Lagarta-do-cartucho</t>
        </is>
      </c>
      <c r="G254" s="13" t="inlineStr">
        <is>
          <t>Spodoptera frugiperda</t>
        </is>
      </c>
      <c r="H254" s="13" t="inlineStr">
        <is>
          <t>SIM (*)</t>
        </is>
      </c>
      <c r="I254" s="18" t="n">
        <v>0.05</v>
      </c>
      <c r="J254" s="18" t="n">
        <v>0.15</v>
      </c>
      <c r="K254" s="13" t="inlineStr">
        <is>
          <t>L/ha</t>
        </is>
      </c>
      <c r="L254" s="15" t="n">
        <v>1</v>
      </c>
      <c r="M254" s="13" t="inlineStr">
        <is>
          <t>Aplicar conforme monitoramento e estádio recomendado na bula (IRAC Grupo 3A)</t>
        </is>
      </c>
    </row>
    <row r="255" ht="22" customHeight="1">
      <c r="A255" s="6" t="inlineStr">
        <is>
          <t>ALV-0251</t>
        </is>
      </c>
      <c r="B255" s="5" t="n">
        <v>128</v>
      </c>
      <c r="C255" s="7" t="inlineStr">
        <is>
          <t>Nº 2020</t>
        </is>
      </c>
      <c r="D255" s="8" t="inlineStr">
        <is>
          <t>SAMURAI</t>
        </is>
      </c>
      <c r="E255" s="7" t="inlineStr">
        <is>
          <t>Inseticida</t>
        </is>
      </c>
      <c r="F255" s="7" t="inlineStr">
        <is>
          <t>Percevejo-marrom</t>
        </is>
      </c>
      <c r="G255" s="7" t="inlineStr">
        <is>
          <t>Euschistus heros</t>
        </is>
      </c>
      <c r="H255" s="7" t="inlineStr">
        <is>
          <t>NÃO</t>
        </is>
      </c>
      <c r="I255" s="17" t="n">
        <v>0.075</v>
      </c>
      <c r="J255" s="17" t="n">
        <v>0.15</v>
      </c>
      <c r="K255" s="7" t="inlineStr">
        <is>
          <t>L/ha</t>
        </is>
      </c>
      <c r="L255" s="9" t="n">
        <v>1</v>
      </c>
      <c r="M255" s="7" t="inlineStr">
        <is>
          <t>Aplicar conforme monitoramento e estádio recomendado na bula (IRAC Grupo 3A)</t>
        </is>
      </c>
    </row>
    <row r="256" ht="22" customHeight="1">
      <c r="A256" s="12" t="inlineStr">
        <is>
          <t>ALV-0252</t>
        </is>
      </c>
      <c r="B256" s="11" t="n">
        <v>129</v>
      </c>
      <c r="C256" s="13" t="inlineStr">
        <is>
          <t>Nº 0315</t>
        </is>
      </c>
      <c r="D256" s="14" t="inlineStr">
        <is>
          <t>AGCN 2,4-D</t>
        </is>
      </c>
      <c r="E256" s="13" t="inlineStr">
        <is>
          <t>Herbicida</t>
        </is>
      </c>
      <c r="F256" s="13" t="inlineStr">
        <is>
          <t>Buva</t>
        </is>
      </c>
      <c r="G256" s="13" t="inlineStr">
        <is>
          <t>Conyza bonariensis</t>
        </is>
      </c>
      <c r="H256" s="13" t="inlineStr">
        <is>
          <t>SIM (*)</t>
        </is>
      </c>
      <c r="I256" s="15" t="n">
        <v>1</v>
      </c>
      <c r="J256" s="18" t="n">
        <v>1.5</v>
      </c>
      <c r="K256" s="13" t="inlineStr">
        <is>
          <t>L/ha</t>
        </is>
      </c>
      <c r="L256" s="15" t="n">
        <v>1</v>
      </c>
      <c r="M256" s="13" t="inlineStr">
        <is>
          <t>Aplicar conforme monitoramento e estádio recomendado na bula (HRAC Grupo O (4) — Auxinas Sintéticas)</t>
        </is>
      </c>
    </row>
    <row r="257" ht="22" customHeight="1">
      <c r="A257" s="6" t="inlineStr">
        <is>
          <t>ALV-0253</t>
        </is>
      </c>
      <c r="B257" s="5" t="n">
        <v>129</v>
      </c>
      <c r="C257" s="7" t="inlineStr">
        <is>
          <t>Nº 0315</t>
        </is>
      </c>
      <c r="D257" s="8" t="inlineStr">
        <is>
          <t>AGCN 2,4-D</t>
        </is>
      </c>
      <c r="E257" s="7" t="inlineStr">
        <is>
          <t>Herbicida</t>
        </is>
      </c>
      <c r="F257" s="7" t="inlineStr">
        <is>
          <t>Picão-preto</t>
        </is>
      </c>
      <c r="G257" s="7" t="inlineStr">
        <is>
          <t>Bidens pilosa</t>
        </is>
      </c>
      <c r="H257" s="7" t="inlineStr">
        <is>
          <t>NÃO</t>
        </is>
      </c>
      <c r="I257" s="9" t="n">
        <v>1</v>
      </c>
      <c r="J257" s="17" t="n">
        <v>1.5</v>
      </c>
      <c r="K257" s="7" t="inlineStr">
        <is>
          <t>L/ha</t>
        </is>
      </c>
      <c r="L257" s="9" t="n">
        <v>1</v>
      </c>
      <c r="M257" s="7" t="inlineStr">
        <is>
          <t>Aplicar conforme monitoramento e estádio recomendado na bula (HRAC Grupo O (4) — Auxinas Sintéticas)</t>
        </is>
      </c>
    </row>
    <row r="258" ht="22" customHeight="1">
      <c r="A258" s="12" t="inlineStr">
        <is>
          <t>ALV-0254</t>
        </is>
      </c>
      <c r="B258" s="11" t="n">
        <v>130</v>
      </c>
      <c r="C258" s="13" t="inlineStr">
        <is>
          <t>SIPEAGRO (UF-XXXXX)</t>
        </is>
      </c>
      <c r="D258" s="14" t="inlineStr">
        <is>
          <t>TOTALNITRO FEIJAO 8X1,5L (DOSE)</t>
        </is>
      </c>
      <c r="E258" s="13" t="inlineStr">
        <is>
          <t>Inoculante Fixador de Nitrogênio</t>
        </is>
      </c>
      <c r="F258" s="13" t="inlineStr">
        <is>
          <t>Fixação Biológica / Manejo Biológico de Solo</t>
        </is>
      </c>
      <c r="G258" s="13" t="inlineStr">
        <is>
          <t>Biologia de Solo</t>
        </is>
      </c>
      <c r="H258" s="13" t="inlineStr">
        <is>
          <t>NÃO</t>
        </is>
      </c>
      <c r="I258" s="18" t="n">
        <v>0.1</v>
      </c>
      <c r="J258" s="15" t="n">
        <v>1</v>
      </c>
      <c r="K258" s="13" t="inlineStr">
        <is>
          <t>L ou kg/ha</t>
        </is>
      </c>
      <c r="L258" s="15" t="n">
        <v>1</v>
      </c>
      <c r="M258" s="13" t="inlineStr">
        <is>
          <t>Aplicar conforme monitoramento e estádio recomendado na bula (Bioinsumo Agrícola)</t>
        </is>
      </c>
    </row>
    <row r="259" ht="22" customHeight="1">
      <c r="A259" s="6" t="inlineStr">
        <is>
          <t>ALV-0255</t>
        </is>
      </c>
      <c r="B259" s="5" t="n">
        <v>131</v>
      </c>
      <c r="C259" s="7" t="inlineStr">
        <is>
          <t>Nº 0120</t>
        </is>
      </c>
      <c r="D259" s="8" t="inlineStr">
        <is>
          <t>GLUCARE</t>
        </is>
      </c>
      <c r="E259" s="7" t="inlineStr">
        <is>
          <t>Herbicida</t>
        </is>
      </c>
      <c r="F259" s="7" t="inlineStr">
        <is>
          <t>Buva</t>
        </is>
      </c>
      <c r="G259" s="7" t="inlineStr">
        <is>
          <t>Conyza bonariensis</t>
        </is>
      </c>
      <c r="H259" s="7" t="inlineStr">
        <is>
          <t>NÃO</t>
        </is>
      </c>
      <c r="I259" s="9" t="n">
        <v>2</v>
      </c>
      <c r="J259" s="9" t="n">
        <v>3</v>
      </c>
      <c r="K259" s="7" t="inlineStr">
        <is>
          <t>L/ha</t>
        </is>
      </c>
      <c r="L259" s="9" t="n">
        <v>1</v>
      </c>
      <c r="M259" s="7" t="inlineStr">
        <is>
          <t>Aplicar conforme monitoramento e estádio recomendado na bula (HRAC Grupo H (10) — Inibidores da Glutamina Sintetase)</t>
        </is>
      </c>
    </row>
    <row r="260" ht="22" customHeight="1">
      <c r="A260" s="12" t="inlineStr">
        <is>
          <t>ALV-0256</t>
        </is>
      </c>
      <c r="B260" s="11" t="n">
        <v>131</v>
      </c>
      <c r="C260" s="13" t="inlineStr">
        <is>
          <t>Nº 0120</t>
        </is>
      </c>
      <c r="D260" s="14" t="inlineStr">
        <is>
          <t>GLUCARE</t>
        </is>
      </c>
      <c r="E260" s="13" t="inlineStr">
        <is>
          <t>Herbicida</t>
        </is>
      </c>
      <c r="F260" s="13" t="inlineStr">
        <is>
          <t>Capim-pé-de-galinha</t>
        </is>
      </c>
      <c r="G260" s="13" t="inlineStr">
        <is>
          <t>Eleusine indica</t>
        </is>
      </c>
      <c r="H260" s="13" t="inlineStr">
        <is>
          <t>NÃO</t>
        </is>
      </c>
      <c r="I260" s="15" t="n">
        <v>2</v>
      </c>
      <c r="J260" s="18" t="n">
        <v>2.5</v>
      </c>
      <c r="K260" s="13" t="inlineStr">
        <is>
          <t>L/ha</t>
        </is>
      </c>
      <c r="L260" s="15" t="n">
        <v>1</v>
      </c>
      <c r="M260" s="13" t="inlineStr">
        <is>
          <t>Aplicar conforme monitoramento e estádio recomendado na bula (HRAC Grupo H (10) — Inibidores da Glutamina Sintetase)</t>
        </is>
      </c>
    </row>
    <row r="261" ht="22" customHeight="1">
      <c r="A261" s="6" t="inlineStr">
        <is>
          <t>ALV-0257</t>
        </is>
      </c>
      <c r="B261" s="5" t="n">
        <v>131</v>
      </c>
      <c r="C261" s="7" t="inlineStr">
        <is>
          <t>Nº 0120</t>
        </is>
      </c>
      <c r="D261" s="8" t="inlineStr">
        <is>
          <t>GLUCARE</t>
        </is>
      </c>
      <c r="E261" s="7" t="inlineStr">
        <is>
          <t>Herbicida</t>
        </is>
      </c>
      <c r="F261" s="7" t="inlineStr">
        <is>
          <t>Caruru</t>
        </is>
      </c>
      <c r="G261" s="7" t="inlineStr">
        <is>
          <t>Amaranthus hybridus</t>
        </is>
      </c>
      <c r="H261" s="7" t="inlineStr">
        <is>
          <t>NÃO</t>
        </is>
      </c>
      <c r="I261" s="17" t="n">
        <v>1.5</v>
      </c>
      <c r="J261" s="17" t="n">
        <v>2.5</v>
      </c>
      <c r="K261" s="7" t="inlineStr">
        <is>
          <t>L/ha</t>
        </is>
      </c>
      <c r="L261" s="9" t="n">
        <v>1</v>
      </c>
      <c r="M261" s="7" t="inlineStr">
        <is>
          <t>Aplicar conforme monitoramento e estádio recomendado na bula (HRAC Grupo H (10) — Inibidores da Glutamina Sintetase)</t>
        </is>
      </c>
    </row>
    <row r="262" ht="22" customHeight="1">
      <c r="A262" s="12" t="inlineStr">
        <is>
          <t>ALV-0258</t>
        </is>
      </c>
      <c r="B262" s="11" t="n">
        <v>132</v>
      </c>
      <c r="C262" s="13" t="inlineStr">
        <is>
          <t>Nº 31817</t>
        </is>
      </c>
      <c r="D262" s="14" t="inlineStr">
        <is>
          <t>RAINIL</t>
        </is>
      </c>
      <c r="E262" s="13" t="inlineStr">
        <is>
          <t>Inseticida e Cupinicida (Fipronil)</t>
        </is>
      </c>
      <c r="F262" s="13" t="inlineStr">
        <is>
          <t>Coró</t>
        </is>
      </c>
      <c r="G262" s="13" t="inlineStr">
        <is>
          <t>Phyllophaga cuyabana</t>
        </is>
      </c>
      <c r="H262" s="13" t="inlineStr">
        <is>
          <t>NÃO</t>
        </is>
      </c>
      <c r="I262" s="18" t="n">
        <v>0.1</v>
      </c>
      <c r="J262" s="18" t="n">
        <v>0.2</v>
      </c>
      <c r="K262" s="13" t="inlineStr">
        <is>
          <t>L/100kg sem.</t>
        </is>
      </c>
      <c r="L262" s="15" t="n">
        <v>1</v>
      </c>
      <c r="M262" s="13" t="inlineStr">
        <is>
          <t>Aplicar conforme monitoramento e estádio recomendado na bula (IRAC Grupo 2B)</t>
        </is>
      </c>
    </row>
    <row r="263" ht="22" customHeight="1">
      <c r="A263" s="6" t="inlineStr">
        <is>
          <t>ALV-0259</t>
        </is>
      </c>
      <c r="B263" s="5" t="n">
        <v>132</v>
      </c>
      <c r="C263" s="7" t="inlineStr">
        <is>
          <t>Nº 31817</t>
        </is>
      </c>
      <c r="D263" s="8" t="inlineStr">
        <is>
          <t>RAINIL</t>
        </is>
      </c>
      <c r="E263" s="7" t="inlineStr">
        <is>
          <t>Inseticida e Cupinicida (Fipronil)</t>
        </is>
      </c>
      <c r="F263" s="7" t="inlineStr">
        <is>
          <t>Lagarta-elasmo</t>
        </is>
      </c>
      <c r="G263" s="7" t="inlineStr">
        <is>
          <t>Elasmopalpus lignosellus</t>
        </is>
      </c>
      <c r="H263" s="7" t="inlineStr">
        <is>
          <t>NÃO</t>
        </is>
      </c>
      <c r="I263" s="17" t="n">
        <v>0.1</v>
      </c>
      <c r="J263" s="17" t="n">
        <v>0.2</v>
      </c>
      <c r="K263" s="7" t="inlineStr">
        <is>
          <t>L/100kg sem.</t>
        </is>
      </c>
      <c r="L263" s="9" t="n">
        <v>1</v>
      </c>
      <c r="M263" s="7" t="inlineStr">
        <is>
          <t>Aplicar conforme monitoramento e estádio recomendado na bula (IRAC Grupo 2B)</t>
        </is>
      </c>
    </row>
    <row r="264" ht="22" customHeight="1">
      <c r="A264" s="12" t="inlineStr">
        <is>
          <t>ALV-0260</t>
        </is>
      </c>
      <c r="B264" s="11" t="n">
        <v>132</v>
      </c>
      <c r="C264" s="13" t="inlineStr">
        <is>
          <t>Nº 31817</t>
        </is>
      </c>
      <c r="D264" s="14" t="inlineStr">
        <is>
          <t>RAINIL</t>
        </is>
      </c>
      <c r="E264" s="13" t="inlineStr">
        <is>
          <t>Inseticida e Cupinicida (Fipronil)</t>
        </is>
      </c>
      <c r="F264" s="13" t="inlineStr">
        <is>
          <t>Cupim-de-montículo</t>
        </is>
      </c>
      <c r="G264" s="13" t="inlineStr">
        <is>
          <t>Procornitermes triacifer</t>
        </is>
      </c>
      <c r="H264" s="13" t="inlineStr">
        <is>
          <t>NÃO</t>
        </is>
      </c>
      <c r="I264" s="18" t="n">
        <v>0.05</v>
      </c>
      <c r="J264" s="18" t="n">
        <v>0.2</v>
      </c>
      <c r="K264" s="13" t="inlineStr">
        <is>
          <t>kg ou L/ha</t>
        </is>
      </c>
      <c r="L264" s="15" t="n">
        <v>1</v>
      </c>
      <c r="M264" s="13" t="inlineStr">
        <is>
          <t>Aplicar conforme monitoramento e estádio recomendado na bula (IRAC Grupo 2B)</t>
        </is>
      </c>
    </row>
    <row r="265" ht="22" customHeight="1">
      <c r="A265" s="6" t="inlineStr">
        <is>
          <t>ALV-0261</t>
        </is>
      </c>
      <c r="B265" s="5" t="n">
        <v>133</v>
      </c>
      <c r="C265" s="7" t="inlineStr">
        <is>
          <t>Nº 32322</t>
        </is>
      </c>
      <c r="D265" s="8" t="inlineStr">
        <is>
          <t>JOYA BB</t>
        </is>
      </c>
      <c r="E265" s="7" t="inlineStr">
        <is>
          <t>Herbicida</t>
        </is>
      </c>
      <c r="F265" s="7" t="inlineStr">
        <is>
          <t>Buva</t>
        </is>
      </c>
      <c r="G265" s="7" t="inlineStr">
        <is>
          <t>Conyza bonariensis</t>
        </is>
      </c>
      <c r="H265" s="7" t="inlineStr">
        <is>
          <t>NÃO</t>
        </is>
      </c>
      <c r="I265" s="17" t="n">
        <v>0.1</v>
      </c>
      <c r="J265" s="17" t="n">
        <v>0.2</v>
      </c>
      <c r="K265" s="7" t="inlineStr">
        <is>
          <t>L ou kg/ha</t>
        </is>
      </c>
      <c r="L265" s="9" t="n">
        <v>1</v>
      </c>
      <c r="M265" s="7" t="inlineStr">
        <is>
          <t>Aplicar conforme monitoramento e estádio recomendado na bula (HRAC Grupo E (14) — Inibidores da PROTOX)</t>
        </is>
      </c>
    </row>
    <row r="266" ht="22" customHeight="1">
      <c r="A266" s="12" t="inlineStr">
        <is>
          <t>ALV-0262</t>
        </is>
      </c>
      <c r="B266" s="11" t="n">
        <v>133</v>
      </c>
      <c r="C266" s="13" t="inlineStr">
        <is>
          <t>Nº 32322</t>
        </is>
      </c>
      <c r="D266" s="14" t="inlineStr">
        <is>
          <t>JOYA BB</t>
        </is>
      </c>
      <c r="E266" s="13" t="inlineStr">
        <is>
          <t>Herbicida</t>
        </is>
      </c>
      <c r="F266" s="13" t="inlineStr">
        <is>
          <t>Caruru</t>
        </is>
      </c>
      <c r="G266" s="13" t="inlineStr">
        <is>
          <t>Amaranthus hybridus</t>
        </is>
      </c>
      <c r="H266" s="13" t="inlineStr">
        <is>
          <t>NÃO</t>
        </is>
      </c>
      <c r="I266" s="18" t="n">
        <v>0.1</v>
      </c>
      <c r="J266" s="18" t="n">
        <v>0.2</v>
      </c>
      <c r="K266" s="13" t="inlineStr">
        <is>
          <t>L ou kg/ha</t>
        </is>
      </c>
      <c r="L266" s="15" t="n">
        <v>1</v>
      </c>
      <c r="M266" s="13" t="inlineStr">
        <is>
          <t>Aplicar conforme monitoramento e estádio recomendado na bula (HRAC Grupo E (14) — Inibidores da PROTOX)</t>
        </is>
      </c>
    </row>
    <row r="267" ht="22" customHeight="1">
      <c r="A267" s="6" t="inlineStr">
        <is>
          <t>ALV-0263</t>
        </is>
      </c>
      <c r="B267" s="5" t="n">
        <v>133</v>
      </c>
      <c r="C267" s="7" t="inlineStr">
        <is>
          <t>Nº 32322</t>
        </is>
      </c>
      <c r="D267" s="8" t="inlineStr">
        <is>
          <t>JOYA BB</t>
        </is>
      </c>
      <c r="E267" s="7" t="inlineStr">
        <is>
          <t>Herbicida</t>
        </is>
      </c>
      <c r="F267" s="7" t="inlineStr">
        <is>
          <t>Poaia-branca</t>
        </is>
      </c>
      <c r="G267" s="7" t="inlineStr">
        <is>
          <t>Richardia brasiliensis</t>
        </is>
      </c>
      <c r="H267" s="7" t="inlineStr">
        <is>
          <t>NÃO</t>
        </is>
      </c>
      <c r="I267" s="17" t="n">
        <v>0.1</v>
      </c>
      <c r="J267" s="17" t="n">
        <v>0.15</v>
      </c>
      <c r="K267" s="7" t="inlineStr">
        <is>
          <t>L ou kg/ha</t>
        </is>
      </c>
      <c r="L267" s="9" t="n">
        <v>1</v>
      </c>
      <c r="M267" s="7" t="inlineStr">
        <is>
          <t>Aplicar conforme monitoramento e estádio recomendado na bula (HRAC Grupo E (14) — Inibidores da PROTOX)</t>
        </is>
      </c>
    </row>
    <row r="268" ht="22" customHeight="1">
      <c r="A268" s="12" t="inlineStr">
        <is>
          <t>ALV-0264</t>
        </is>
      </c>
      <c r="B268" s="11" t="n">
        <v>134</v>
      </c>
      <c r="C268" s="13" t="inlineStr">
        <is>
          <t>Nº 2020</t>
        </is>
      </c>
      <c r="D268" s="14" t="inlineStr">
        <is>
          <t>BUSHI</t>
        </is>
      </c>
      <c r="E268" s="13" t="inlineStr">
        <is>
          <t>Inseticida</t>
        </is>
      </c>
      <c r="F268" s="13" t="inlineStr">
        <is>
          <t>Lagarta-do-cartucho</t>
        </is>
      </c>
      <c r="G268" s="13" t="inlineStr">
        <is>
          <t>Spodoptera frugiperda</t>
        </is>
      </c>
      <c r="H268" s="13" t="inlineStr">
        <is>
          <t>SIM (*)</t>
        </is>
      </c>
      <c r="I268" s="18" t="n">
        <v>0.05</v>
      </c>
      <c r="J268" s="18" t="n">
        <v>0.15</v>
      </c>
      <c r="K268" s="13" t="inlineStr">
        <is>
          <t>L/ha</t>
        </is>
      </c>
      <c r="L268" s="15" t="n">
        <v>1</v>
      </c>
      <c r="M268" s="13" t="inlineStr">
        <is>
          <t>Aplicar conforme monitoramento e estádio recomendado na bula (IRAC Grupo 3A)</t>
        </is>
      </c>
    </row>
    <row r="269" ht="22" customHeight="1">
      <c r="A269" s="6" t="inlineStr">
        <is>
          <t>ALV-0265</t>
        </is>
      </c>
      <c r="B269" s="5" t="n">
        <v>134</v>
      </c>
      <c r="C269" s="7" t="inlineStr">
        <is>
          <t>Nº 2020</t>
        </is>
      </c>
      <c r="D269" s="8" t="inlineStr">
        <is>
          <t>BUSHI</t>
        </is>
      </c>
      <c r="E269" s="7" t="inlineStr">
        <is>
          <t>Inseticida</t>
        </is>
      </c>
      <c r="F269" s="7" t="inlineStr">
        <is>
          <t>Percevejo-marrom</t>
        </is>
      </c>
      <c r="G269" s="7" t="inlineStr">
        <is>
          <t>Euschistus heros</t>
        </is>
      </c>
      <c r="H269" s="7" t="inlineStr">
        <is>
          <t>NÃO</t>
        </is>
      </c>
      <c r="I269" s="17" t="n">
        <v>0.075</v>
      </c>
      <c r="J269" s="17" t="n">
        <v>0.15</v>
      </c>
      <c r="K269" s="7" t="inlineStr">
        <is>
          <t>L/ha</t>
        </is>
      </c>
      <c r="L269" s="9" t="n">
        <v>1</v>
      </c>
      <c r="M269" s="7" t="inlineStr">
        <is>
          <t>Aplicar conforme monitoramento e estádio recomendado na bula (IRAC Grupo 3A)</t>
        </is>
      </c>
    </row>
    <row r="270" ht="22" customHeight="1">
      <c r="A270" s="12" t="inlineStr">
        <is>
          <t>ALV-0266</t>
        </is>
      </c>
      <c r="B270" s="11" t="n">
        <v>135</v>
      </c>
      <c r="C270" s="13" t="inlineStr">
        <is>
          <t>Nº 10018</t>
        </is>
      </c>
      <c r="D270" s="14" t="inlineStr">
        <is>
          <t>ATRAZINA</t>
        </is>
      </c>
      <c r="E270" s="13" t="inlineStr">
        <is>
          <t>Herbicida</t>
        </is>
      </c>
      <c r="F270" s="13" t="inlineStr">
        <is>
          <t>Picão-preto</t>
        </is>
      </c>
      <c r="G270" s="13" t="inlineStr">
        <is>
          <t>Bidens pilosa</t>
        </is>
      </c>
      <c r="H270" s="13" t="inlineStr">
        <is>
          <t>SIM (*)</t>
        </is>
      </c>
      <c r="I270" s="18" t="n">
        <v>2.5</v>
      </c>
      <c r="J270" s="15" t="n">
        <v>4</v>
      </c>
      <c r="K270" s="13" t="inlineStr">
        <is>
          <t>L ou kg/ha</t>
        </is>
      </c>
      <c r="L270" s="15" t="n">
        <v>1</v>
      </c>
      <c r="M270" s="13" t="inlineStr">
        <is>
          <t>Aplicar conforme monitoramento e estádio recomendado na bula (HRAC Grupo C1 (5) — Inibidores do Fotossistema II)</t>
        </is>
      </c>
    </row>
    <row r="271" ht="22" customHeight="1">
      <c r="A271" s="6" t="inlineStr">
        <is>
          <t>ALV-0267</t>
        </is>
      </c>
      <c r="B271" s="5" t="n">
        <v>135</v>
      </c>
      <c r="C271" s="7" t="inlineStr">
        <is>
          <t>Nº 10018</t>
        </is>
      </c>
      <c r="D271" s="8" t="inlineStr">
        <is>
          <t>ATRAZINA</t>
        </is>
      </c>
      <c r="E271" s="7" t="inlineStr">
        <is>
          <t>Herbicida</t>
        </is>
      </c>
      <c r="F271" s="7" t="inlineStr">
        <is>
          <t>Caruru</t>
        </is>
      </c>
      <c r="G271" s="7" t="inlineStr">
        <is>
          <t>Amaranthus viridis</t>
        </is>
      </c>
      <c r="H271" s="7" t="inlineStr">
        <is>
          <t>SIM (*)</t>
        </is>
      </c>
      <c r="I271" s="17" t="n">
        <v>2.5</v>
      </c>
      <c r="J271" s="17" t="n">
        <v>3.5</v>
      </c>
      <c r="K271" s="7" t="inlineStr">
        <is>
          <t>L ou kg/ha</t>
        </is>
      </c>
      <c r="L271" s="9" t="n">
        <v>1</v>
      </c>
      <c r="M271" s="7" t="inlineStr">
        <is>
          <t>Aplicar conforme monitoramento e estádio recomendado na bula (HRAC Grupo C1 (5) — Inibidores do Fotossistema II)</t>
        </is>
      </c>
    </row>
    <row r="272" ht="22" customHeight="1">
      <c r="A272" s="12" t="inlineStr">
        <is>
          <t>ALV-0268</t>
        </is>
      </c>
      <c r="B272" s="11" t="n">
        <v>135</v>
      </c>
      <c r="C272" s="13" t="inlineStr">
        <is>
          <t>Nº 10018</t>
        </is>
      </c>
      <c r="D272" s="14" t="inlineStr">
        <is>
          <t>ATRAZINA</t>
        </is>
      </c>
      <c r="E272" s="13" t="inlineStr">
        <is>
          <t>Herbicida</t>
        </is>
      </c>
      <c r="F272" s="13" t="inlineStr">
        <is>
          <t>Corda-de-viola</t>
        </is>
      </c>
      <c r="G272" s="13" t="inlineStr">
        <is>
          <t>Ipomoea grandifolia</t>
        </is>
      </c>
      <c r="H272" s="13" t="inlineStr">
        <is>
          <t>NÃO</t>
        </is>
      </c>
      <c r="I272" s="15" t="n">
        <v>3</v>
      </c>
      <c r="J272" s="15" t="n">
        <v>4</v>
      </c>
      <c r="K272" s="13" t="inlineStr">
        <is>
          <t>L ou kg/ha</t>
        </is>
      </c>
      <c r="L272" s="15" t="n">
        <v>1</v>
      </c>
      <c r="M272" s="13" t="inlineStr">
        <is>
          <t>Aplicar conforme monitoramento e estádio recomendado na bula (HRAC Grupo C1 (5) — Inibidores do Fotossistema II)</t>
        </is>
      </c>
    </row>
    <row r="273" ht="22" customHeight="1">
      <c r="A273" s="6" t="inlineStr">
        <is>
          <t>ALV-0269</t>
        </is>
      </c>
      <c r="B273" s="5" t="n">
        <v>136</v>
      </c>
      <c r="C273" s="7" t="inlineStr">
        <is>
          <t>Nº 938801</t>
        </is>
      </c>
      <c r="D273" s="8" t="inlineStr">
        <is>
          <t>CLASSIC 4X2 KG (IMP)</t>
        </is>
      </c>
      <c r="E273" s="7" t="inlineStr">
        <is>
          <t>Herbicida</t>
        </is>
      </c>
      <c r="F273" s="7" t="inlineStr">
        <is>
          <t>Plantas Daninhas Mono e Dicotiledôneas</t>
        </is>
      </c>
      <c r="G273" s="7" t="inlineStr">
        <is>
          <t>Flora Infestante</t>
        </is>
      </c>
      <c r="H273" s="7" t="inlineStr">
        <is>
          <t>NÃO</t>
        </is>
      </c>
      <c r="I273" s="17" t="n">
        <v>0.25</v>
      </c>
      <c r="J273" s="9" t="n">
        <v>2</v>
      </c>
      <c r="K273" s="7" t="inlineStr">
        <is>
          <t>L ou kg/ha</t>
        </is>
      </c>
      <c r="L273" s="9" t="n">
        <v>1</v>
      </c>
      <c r="M273" s="7" t="inlineStr">
        <is>
          <t>Aplicar conforme monitoramento e estádio recomendado na bula (Classificação HRAC Oficial conforme Bula)</t>
        </is>
      </c>
    </row>
    <row r="274" ht="22" customHeight="1">
      <c r="A274" s="12" t="inlineStr">
        <is>
          <t>ALV-0270</t>
        </is>
      </c>
      <c r="B274" s="11" t="n">
        <v>137</v>
      </c>
      <c r="C274" s="13" t="inlineStr">
        <is>
          <t>Nº 11320</t>
        </is>
      </c>
      <c r="D274" s="14" t="inlineStr">
        <is>
          <t>SURVEY 800 WG</t>
        </is>
      </c>
      <c r="E274" s="13" t="inlineStr">
        <is>
          <t>Inseticida e Cupinicida (Fipronil)</t>
        </is>
      </c>
      <c r="F274" s="13" t="inlineStr">
        <is>
          <t>Coró</t>
        </is>
      </c>
      <c r="G274" s="13" t="inlineStr">
        <is>
          <t>Phyllophaga cuyabana</t>
        </is>
      </c>
      <c r="H274" s="13" t="inlineStr">
        <is>
          <t>NÃO</t>
        </is>
      </c>
      <c r="I274" s="18" t="n">
        <v>0.1</v>
      </c>
      <c r="J274" s="18" t="n">
        <v>0.2</v>
      </c>
      <c r="K274" s="13" t="inlineStr">
        <is>
          <t>L/100kg sem.</t>
        </is>
      </c>
      <c r="L274" s="15" t="n">
        <v>1</v>
      </c>
      <c r="M274" s="13" t="inlineStr">
        <is>
          <t>Aplicar conforme monitoramento e estádio recomendado na bula (IRAC Grupo 2B)</t>
        </is>
      </c>
    </row>
    <row r="275" ht="22" customHeight="1">
      <c r="A275" s="6" t="inlineStr">
        <is>
          <t>ALV-0271</t>
        </is>
      </c>
      <c r="B275" s="5" t="n">
        <v>137</v>
      </c>
      <c r="C275" s="7" t="inlineStr">
        <is>
          <t>Nº 11320</t>
        </is>
      </c>
      <c r="D275" s="8" t="inlineStr">
        <is>
          <t>SURVEY 800 WG</t>
        </is>
      </c>
      <c r="E275" s="7" t="inlineStr">
        <is>
          <t>Inseticida e Cupinicida (Fipronil)</t>
        </is>
      </c>
      <c r="F275" s="7" t="inlineStr">
        <is>
          <t>Lagarta-elasmo</t>
        </is>
      </c>
      <c r="G275" s="7" t="inlineStr">
        <is>
          <t>Elasmopalpus lignosellus</t>
        </is>
      </c>
      <c r="H275" s="7" t="inlineStr">
        <is>
          <t>NÃO</t>
        </is>
      </c>
      <c r="I275" s="17" t="n">
        <v>0.1</v>
      </c>
      <c r="J275" s="17" t="n">
        <v>0.2</v>
      </c>
      <c r="K275" s="7" t="inlineStr">
        <is>
          <t>L/100kg sem.</t>
        </is>
      </c>
      <c r="L275" s="9" t="n">
        <v>1</v>
      </c>
      <c r="M275" s="7" t="inlineStr">
        <is>
          <t>Aplicar conforme monitoramento e estádio recomendado na bula (IRAC Grupo 2B)</t>
        </is>
      </c>
    </row>
    <row r="276" ht="22" customHeight="1">
      <c r="A276" s="12" t="inlineStr">
        <is>
          <t>ALV-0272</t>
        </is>
      </c>
      <c r="B276" s="11" t="n">
        <v>137</v>
      </c>
      <c r="C276" s="13" t="inlineStr">
        <is>
          <t>Nº 11320</t>
        </is>
      </c>
      <c r="D276" s="14" t="inlineStr">
        <is>
          <t>SURVEY 800 WG</t>
        </is>
      </c>
      <c r="E276" s="13" t="inlineStr">
        <is>
          <t>Inseticida e Cupinicida (Fipronil)</t>
        </is>
      </c>
      <c r="F276" s="13" t="inlineStr">
        <is>
          <t>Cupim-de-montículo</t>
        </is>
      </c>
      <c r="G276" s="13" t="inlineStr">
        <is>
          <t>Procornitermes triacifer</t>
        </is>
      </c>
      <c r="H276" s="13" t="inlineStr">
        <is>
          <t>NÃO</t>
        </is>
      </c>
      <c r="I276" s="18" t="n">
        <v>0.05</v>
      </c>
      <c r="J276" s="18" t="n">
        <v>0.2</v>
      </c>
      <c r="K276" s="13" t="inlineStr">
        <is>
          <t>kg ou L/ha</t>
        </is>
      </c>
      <c r="L276" s="15" t="n">
        <v>1</v>
      </c>
      <c r="M276" s="13" t="inlineStr">
        <is>
          <t>Aplicar conforme monitoramento e estádio recomendado na bula (IRAC Grupo 2B)</t>
        </is>
      </c>
    </row>
    <row r="277" ht="22" customHeight="1">
      <c r="A277" s="6" t="inlineStr">
        <is>
          <t>ALV-0273</t>
        </is>
      </c>
      <c r="B277" s="5" t="n">
        <v>138</v>
      </c>
      <c r="C277" s="7" t="inlineStr">
        <is>
          <t>SIPEAGRO (UF-XXXXX)</t>
        </is>
      </c>
      <c r="D277" s="8" t="inlineStr">
        <is>
          <t>AGCN GRANU S BAG 120</t>
        </is>
      </c>
      <c r="E277" s="7" t="inlineStr">
        <is>
          <t>Condicionador / Fonte Mineral de Enxofre (Enxofre + Bentonita)</t>
        </is>
      </c>
      <c r="F277" s="7" t="inlineStr">
        <is>
          <t>Correção de Acidez / Condicionamento de Perfil de Solo</t>
        </is>
      </c>
      <c r="G277" s="7" t="inlineStr">
        <is>
          <t>Solo Agrícola</t>
        </is>
      </c>
      <c r="H277" s="7" t="inlineStr">
        <is>
          <t>NÃO</t>
        </is>
      </c>
      <c r="I277" s="9" t="n">
        <v>500</v>
      </c>
      <c r="J277" s="9" t="n">
        <v>3000</v>
      </c>
      <c r="K277" s="7" t="inlineStr">
        <is>
          <t>kg/ha</t>
        </is>
      </c>
      <c r="L277" s="9" t="n">
        <v>1</v>
      </c>
      <c r="M277" s="7" t="inlineStr">
        <is>
          <t>Aplicar conforme monitoramento e estádio recomendado na bula (Correção Química de Solo)</t>
        </is>
      </c>
    </row>
    <row r="278" ht="22" customHeight="1">
      <c r="A278" s="12" t="inlineStr">
        <is>
          <t>ALV-0274</t>
        </is>
      </c>
      <c r="B278" s="11" t="n">
        <v>139</v>
      </c>
      <c r="C278" s="13" t="inlineStr">
        <is>
          <t>Nº 13419</t>
        </is>
      </c>
      <c r="D278" s="14" t="inlineStr">
        <is>
          <t>FRENO 240 EC</t>
        </is>
      </c>
      <c r="E278" s="13" t="inlineStr">
        <is>
          <t>Herbicida</t>
        </is>
      </c>
      <c r="F278" s="13" t="inlineStr">
        <is>
          <t>Capim-amargoso</t>
        </is>
      </c>
      <c r="G278" s="13" t="inlineStr">
        <is>
          <t>Digitaria insularis</t>
        </is>
      </c>
      <c r="H278" s="13" t="inlineStr">
        <is>
          <t>SIM (*)</t>
        </is>
      </c>
      <c r="I278" s="18" t="n">
        <v>0.45</v>
      </c>
      <c r="J278" s="18" t="n">
        <v>0.85</v>
      </c>
      <c r="K278" s="13" t="inlineStr">
        <is>
          <t>L/ha</t>
        </is>
      </c>
      <c r="L278" s="15" t="n">
        <v>1</v>
      </c>
      <c r="M278" s="13" t="inlineStr">
        <is>
          <t>Aplicar conforme monitoramento e estádio recomendado na bula (HRAC Grupo A (1) — Inibidores da ACCase)</t>
        </is>
      </c>
    </row>
    <row r="279" ht="22" customHeight="1">
      <c r="A279" s="6" t="inlineStr">
        <is>
          <t>ALV-0275</t>
        </is>
      </c>
      <c r="B279" s="5" t="n">
        <v>139</v>
      </c>
      <c r="C279" s="7" t="inlineStr">
        <is>
          <t>Nº 13419</t>
        </is>
      </c>
      <c r="D279" s="8" t="inlineStr">
        <is>
          <t>FRENO 240 EC</t>
        </is>
      </c>
      <c r="E279" s="7" t="inlineStr">
        <is>
          <t>Herbicida</t>
        </is>
      </c>
      <c r="F279" s="7" t="inlineStr">
        <is>
          <t>Capim-pé-de-galinha</t>
        </is>
      </c>
      <c r="G279" s="7" t="inlineStr">
        <is>
          <t>Eleusine indica</t>
        </is>
      </c>
      <c r="H279" s="7" t="inlineStr">
        <is>
          <t>SIM (*)</t>
        </is>
      </c>
      <c r="I279" s="17" t="n">
        <v>0.35</v>
      </c>
      <c r="J279" s="17" t="n">
        <v>0.45</v>
      </c>
      <c r="K279" s="7" t="inlineStr">
        <is>
          <t>L/ha</t>
        </is>
      </c>
      <c r="L279" s="9" t="n">
        <v>1</v>
      </c>
      <c r="M279" s="7" t="inlineStr">
        <is>
          <t>Aplicar conforme monitoramento e estádio recomendado na bula (HRAC Grupo A (1) — Inibidores da ACCase)</t>
        </is>
      </c>
    </row>
    <row r="280" ht="22" customHeight="1">
      <c r="A280" s="12" t="inlineStr">
        <is>
          <t>ALV-0276</t>
        </is>
      </c>
      <c r="B280" s="11" t="n">
        <v>139</v>
      </c>
      <c r="C280" s="13" t="inlineStr">
        <is>
          <t>Nº 13419</t>
        </is>
      </c>
      <c r="D280" s="14" t="inlineStr">
        <is>
          <t>FRENO 240 EC</t>
        </is>
      </c>
      <c r="E280" s="13" t="inlineStr">
        <is>
          <t>Herbicida</t>
        </is>
      </c>
      <c r="F280" s="13" t="inlineStr">
        <is>
          <t>Milho-voluntário (Tiguera)</t>
        </is>
      </c>
      <c r="G280" s="13" t="inlineStr">
        <is>
          <t>Zea mays</t>
        </is>
      </c>
      <c r="H280" s="13" t="inlineStr">
        <is>
          <t>NÃO</t>
        </is>
      </c>
      <c r="I280" s="18" t="n">
        <v>0.4</v>
      </c>
      <c r="J280" s="18" t="n">
        <v>0.6</v>
      </c>
      <c r="K280" s="13" t="inlineStr">
        <is>
          <t>L/ha</t>
        </is>
      </c>
      <c r="L280" s="15" t="n">
        <v>1</v>
      </c>
      <c r="M280" s="13" t="inlineStr">
        <is>
          <t>Aplicar conforme monitoramento e estádio recomendado na bula (HRAC Grupo A (1) — Inibidores da ACCase)</t>
        </is>
      </c>
    </row>
    <row r="281" ht="22" customHeight="1">
      <c r="A281" s="6" t="inlineStr">
        <is>
          <t>ALV-0277</t>
        </is>
      </c>
      <c r="B281" s="5" t="n">
        <v>140</v>
      </c>
      <c r="C281" s="7" t="inlineStr">
        <is>
          <t>ISENTO (ATO 104/2017)</t>
        </is>
      </c>
      <c r="D281" s="8" t="inlineStr">
        <is>
          <t>AGRICOIL VEGETAL</t>
        </is>
      </c>
      <c r="E281" s="7" t="inlineStr">
        <is>
          <t>Óleo Vegetal / Éster Metílico / D-Limoneno Adjuvante</t>
        </is>
      </c>
      <c r="F281" s="7" t="inlineStr">
        <is>
          <t>Otimização de Gota, Espalhamento e Redução de Deriva</t>
        </is>
      </c>
      <c r="G281" s="7" t="inlineStr">
        <is>
          <t>Tecnologia de Aplicação</t>
        </is>
      </c>
      <c r="H281" s="7" t="inlineStr">
        <is>
          <t>NÃO</t>
        </is>
      </c>
      <c r="I281" s="17" t="n">
        <v>0.25</v>
      </c>
      <c r="J281" s="9" t="n">
        <v>1</v>
      </c>
      <c r="K281" s="7" t="inlineStr">
        <is>
          <t>% v/v na calda</t>
        </is>
      </c>
      <c r="L281" s="9" t="n">
        <v>1</v>
      </c>
      <c r="M281" s="7" t="inlineStr">
        <is>
          <t>Aplicar conforme monitoramento e estádio recomendado na bula (Adjuvante Tecnológico de Pulverização)</t>
        </is>
      </c>
    </row>
    <row r="282" ht="22" customHeight="1">
      <c r="A282" s="12" t="inlineStr">
        <is>
          <t>ALV-0278</t>
        </is>
      </c>
      <c r="B282" s="11" t="n">
        <v>141</v>
      </c>
      <c r="C282" s="13" t="inlineStr">
        <is>
          <t>SIPEAGRO (UF-XXXXX)</t>
        </is>
      </c>
      <c r="D282" s="14" t="inlineStr">
        <is>
          <t>AGCN ULTRA S</t>
        </is>
      </c>
      <c r="E282" s="13" t="inlineStr">
        <is>
          <t>Condicionador / Fonte Mineral de Enxofre (Enxofre + Bentonita)</t>
        </is>
      </c>
      <c r="F282" s="13" t="inlineStr">
        <is>
          <t>Correção de Acidez / Condicionamento de Perfil de Solo</t>
        </is>
      </c>
      <c r="G282" s="13" t="inlineStr">
        <is>
          <t>Solo Agrícola</t>
        </is>
      </c>
      <c r="H282" s="13" t="inlineStr">
        <is>
          <t>NÃO</t>
        </is>
      </c>
      <c r="I282" s="15" t="n">
        <v>500</v>
      </c>
      <c r="J282" s="15" t="n">
        <v>3000</v>
      </c>
      <c r="K282" s="13" t="inlineStr">
        <is>
          <t>kg/ha</t>
        </is>
      </c>
      <c r="L282" s="15" t="n">
        <v>1</v>
      </c>
      <c r="M282" s="13" t="inlineStr">
        <is>
          <t>Aplicar conforme monitoramento e estádio recomendado na bula (Correção Química de Solo)</t>
        </is>
      </c>
    </row>
    <row r="283" ht="22" customHeight="1">
      <c r="A283" s="6" t="inlineStr">
        <is>
          <t>ALV-0279</t>
        </is>
      </c>
      <c r="B283" s="5" t="n">
        <v>142</v>
      </c>
      <c r="C283" s="7" t="inlineStr">
        <is>
          <t>Nº 0115</t>
        </is>
      </c>
      <c r="D283" s="8" t="inlineStr">
        <is>
          <t>2,4-D DECORUM</t>
        </is>
      </c>
      <c r="E283" s="7" t="inlineStr">
        <is>
          <t>Herbicida</t>
        </is>
      </c>
      <c r="F283" s="7" t="inlineStr">
        <is>
          <t>Buva</t>
        </is>
      </c>
      <c r="G283" s="7" t="inlineStr">
        <is>
          <t>Conyza bonariensis</t>
        </is>
      </c>
      <c r="H283" s="7" t="inlineStr">
        <is>
          <t>SIM (*)</t>
        </is>
      </c>
      <c r="I283" s="9" t="n">
        <v>1</v>
      </c>
      <c r="J283" s="17" t="n">
        <v>1.5</v>
      </c>
      <c r="K283" s="7" t="inlineStr">
        <is>
          <t>L/ha</t>
        </is>
      </c>
      <c r="L283" s="9" t="n">
        <v>1</v>
      </c>
      <c r="M283" s="7" t="inlineStr">
        <is>
          <t>Aplicar conforme monitoramento e estádio recomendado na bula (HRAC Grupo O (4) — Auxinas Sintéticas)</t>
        </is>
      </c>
    </row>
    <row r="284" ht="22" customHeight="1">
      <c r="A284" s="12" t="inlineStr">
        <is>
          <t>ALV-0280</t>
        </is>
      </c>
      <c r="B284" s="11" t="n">
        <v>142</v>
      </c>
      <c r="C284" s="13" t="inlineStr">
        <is>
          <t>Nº 0115</t>
        </is>
      </c>
      <c r="D284" s="14" t="inlineStr">
        <is>
          <t>2,4-D DECORUM</t>
        </is>
      </c>
      <c r="E284" s="13" t="inlineStr">
        <is>
          <t>Herbicida</t>
        </is>
      </c>
      <c r="F284" s="13" t="inlineStr">
        <is>
          <t>Picão-preto</t>
        </is>
      </c>
      <c r="G284" s="13" t="inlineStr">
        <is>
          <t>Bidens pilosa</t>
        </is>
      </c>
      <c r="H284" s="13" t="inlineStr">
        <is>
          <t>NÃO</t>
        </is>
      </c>
      <c r="I284" s="15" t="n">
        <v>1</v>
      </c>
      <c r="J284" s="18" t="n">
        <v>1.5</v>
      </c>
      <c r="K284" s="13" t="inlineStr">
        <is>
          <t>L/ha</t>
        </is>
      </c>
      <c r="L284" s="15" t="n">
        <v>1</v>
      </c>
      <c r="M284" s="13" t="inlineStr">
        <is>
          <t>Aplicar conforme monitoramento e estádio recomendado na bula (HRAC Grupo O (4) — Auxinas Sintéticas)</t>
        </is>
      </c>
    </row>
    <row r="285" ht="22" customHeight="1">
      <c r="A285" s="6" t="inlineStr">
        <is>
          <t>ALV-0281</t>
        </is>
      </c>
      <c r="B285" s="5" t="n">
        <v>143</v>
      </c>
      <c r="C285" s="7" t="inlineStr">
        <is>
          <t>Nº 31522</t>
        </is>
      </c>
      <c r="D285" s="8" t="inlineStr">
        <is>
          <t>METOMY</t>
        </is>
      </c>
      <c r="E285" s="7" t="inlineStr">
        <is>
          <t>Inseticida</t>
        </is>
      </c>
      <c r="F285" s="7" t="inlineStr">
        <is>
          <t>Lagarta-helicoverpa</t>
        </is>
      </c>
      <c r="G285" s="7" t="inlineStr">
        <is>
          <t>Helicoverpa armigera</t>
        </is>
      </c>
      <c r="H285" s="7" t="inlineStr">
        <is>
          <t>NÃO</t>
        </is>
      </c>
      <c r="I285" s="17" t="n">
        <v>0.2</v>
      </c>
      <c r="J285" s="17" t="n">
        <v>0.5</v>
      </c>
      <c r="K285" s="7" t="inlineStr">
        <is>
          <t>kg ou L/ha</t>
        </is>
      </c>
      <c r="L285" s="9" t="n">
        <v>1</v>
      </c>
      <c r="M285" s="7" t="inlineStr">
        <is>
          <t>Aplicar conforme monitoramento e estádio recomendado na bula (IRAC Grupo 1A)</t>
        </is>
      </c>
    </row>
    <row r="286" ht="22" customHeight="1">
      <c r="A286" s="12" t="inlineStr">
        <is>
          <t>ALV-0282</t>
        </is>
      </c>
      <c r="B286" s="11" t="n">
        <v>143</v>
      </c>
      <c r="C286" s="13" t="inlineStr">
        <is>
          <t>Nº 31522</t>
        </is>
      </c>
      <c r="D286" s="14" t="inlineStr">
        <is>
          <t>METOMY</t>
        </is>
      </c>
      <c r="E286" s="13" t="inlineStr">
        <is>
          <t>Inseticida</t>
        </is>
      </c>
      <c r="F286" s="13" t="inlineStr">
        <is>
          <t>Lagarta-do-cartucho</t>
        </is>
      </c>
      <c r="G286" s="13" t="inlineStr">
        <is>
          <t>Spodoptera frugiperda</t>
        </is>
      </c>
      <c r="H286" s="13" t="inlineStr">
        <is>
          <t>NÃO</t>
        </is>
      </c>
      <c r="I286" s="18" t="n">
        <v>0.15</v>
      </c>
      <c r="J286" s="18" t="n">
        <v>0.3</v>
      </c>
      <c r="K286" s="13" t="inlineStr">
        <is>
          <t>kg ou L/ha</t>
        </is>
      </c>
      <c r="L286" s="15" t="n">
        <v>1</v>
      </c>
      <c r="M286" s="13" t="inlineStr">
        <is>
          <t>Aplicar conforme monitoramento e estádio recomendado na bula (IRAC Grupo 1A)</t>
        </is>
      </c>
    </row>
    <row r="287" ht="22" customHeight="1">
      <c r="A287" s="6" t="inlineStr">
        <is>
          <t>ALV-0283</t>
        </is>
      </c>
      <c r="B287" s="5" t="n">
        <v>143</v>
      </c>
      <c r="C287" s="7" t="inlineStr">
        <is>
          <t>Nº 31522</t>
        </is>
      </c>
      <c r="D287" s="8" t="inlineStr">
        <is>
          <t>METOMY</t>
        </is>
      </c>
      <c r="E287" s="7" t="inlineStr">
        <is>
          <t>Inseticida</t>
        </is>
      </c>
      <c r="F287" s="7" t="inlineStr">
        <is>
          <t>Lagarta-da-soja</t>
        </is>
      </c>
      <c r="G287" s="7" t="inlineStr">
        <is>
          <t>Anticarsia gemmatalis</t>
        </is>
      </c>
      <c r="H287" s="7" t="inlineStr">
        <is>
          <t>NÃO</t>
        </is>
      </c>
      <c r="I287" s="17" t="n">
        <v>0.1</v>
      </c>
      <c r="J287" s="17" t="n">
        <v>0.2</v>
      </c>
      <c r="K287" s="7" t="inlineStr">
        <is>
          <t>kg ou L/ha</t>
        </is>
      </c>
      <c r="L287" s="9" t="n">
        <v>1</v>
      </c>
      <c r="M287" s="7" t="inlineStr">
        <is>
          <t>Aplicar conforme monitoramento e estádio recomendado na bula (IRAC Grupo 1A)</t>
        </is>
      </c>
    </row>
    <row r="288" ht="22" customHeight="1">
      <c r="A288" s="12" t="inlineStr">
        <is>
          <t>ALV-0284</t>
        </is>
      </c>
      <c r="B288" s="11" t="n">
        <v>144</v>
      </c>
      <c r="C288" s="13" t="inlineStr">
        <is>
          <t>Nº 34122</t>
        </is>
      </c>
      <c r="D288" s="14" t="inlineStr">
        <is>
          <t>METRARO EC</t>
        </is>
      </c>
      <c r="E288" s="13" t="inlineStr">
        <is>
          <t>Herbicida</t>
        </is>
      </c>
      <c r="F288" s="13" t="inlineStr">
        <is>
          <t>Capim-pé-de-galinha</t>
        </is>
      </c>
      <c r="G288" s="13" t="inlineStr">
        <is>
          <t>Eleusine indica</t>
        </is>
      </c>
      <c r="H288" s="13" t="inlineStr">
        <is>
          <t>NÃO</t>
        </is>
      </c>
      <c r="I288" s="18" t="n">
        <v>1.25</v>
      </c>
      <c r="J288" s="18" t="n">
        <v>1.75</v>
      </c>
      <c r="K288" s="13" t="inlineStr">
        <is>
          <t>L/ha</t>
        </is>
      </c>
      <c r="L288" s="15" t="n">
        <v>1</v>
      </c>
      <c r="M288" s="13" t="inlineStr">
        <is>
          <t>Aplicar conforme monitoramento e estádio recomendado na bula (HRAC Grupo K3 (15) — Inibidores de VLCFAs)</t>
        </is>
      </c>
    </row>
    <row r="289" ht="22" customHeight="1">
      <c r="A289" s="6" t="inlineStr">
        <is>
          <t>ALV-0285</t>
        </is>
      </c>
      <c r="B289" s="5" t="n">
        <v>144</v>
      </c>
      <c r="C289" s="7" t="inlineStr">
        <is>
          <t>Nº 34122</t>
        </is>
      </c>
      <c r="D289" s="8" t="inlineStr">
        <is>
          <t>METRARO EC</t>
        </is>
      </c>
      <c r="E289" s="7" t="inlineStr">
        <is>
          <t>Herbicida</t>
        </is>
      </c>
      <c r="F289" s="7" t="inlineStr">
        <is>
          <t>Capim-colchão</t>
        </is>
      </c>
      <c r="G289" s="7" t="inlineStr">
        <is>
          <t>Digitaria horizontalis</t>
        </is>
      </c>
      <c r="H289" s="7" t="inlineStr">
        <is>
          <t>NÃO</t>
        </is>
      </c>
      <c r="I289" s="17" t="n">
        <v>1.25</v>
      </c>
      <c r="J289" s="17" t="n">
        <v>1.5</v>
      </c>
      <c r="K289" s="7" t="inlineStr">
        <is>
          <t>L/ha</t>
        </is>
      </c>
      <c r="L289" s="9" t="n">
        <v>1</v>
      </c>
      <c r="M289" s="7" t="inlineStr">
        <is>
          <t>Aplicar conforme monitoramento e estádio recomendado na bula (HRAC Grupo K3 (15) — Inibidores de VLCFAs)</t>
        </is>
      </c>
    </row>
    <row r="290" ht="22" customHeight="1">
      <c r="A290" s="12" t="inlineStr">
        <is>
          <t>ALV-0286</t>
        </is>
      </c>
      <c r="B290" s="11" t="n">
        <v>144</v>
      </c>
      <c r="C290" s="13" t="inlineStr">
        <is>
          <t>Nº 34122</t>
        </is>
      </c>
      <c r="D290" s="14" t="inlineStr">
        <is>
          <t>METRARO EC</t>
        </is>
      </c>
      <c r="E290" s="13" t="inlineStr">
        <is>
          <t>Herbicida</t>
        </is>
      </c>
      <c r="F290" s="13" t="inlineStr">
        <is>
          <t>Caruru</t>
        </is>
      </c>
      <c r="G290" s="13" t="inlineStr">
        <is>
          <t>Amaranthus hybridus</t>
        </is>
      </c>
      <c r="H290" s="13" t="inlineStr">
        <is>
          <t>NÃO</t>
        </is>
      </c>
      <c r="I290" s="18" t="n">
        <v>1.25</v>
      </c>
      <c r="J290" s="18" t="n">
        <v>1.75</v>
      </c>
      <c r="K290" s="13" t="inlineStr">
        <is>
          <t>L/ha</t>
        </is>
      </c>
      <c r="L290" s="15" t="n">
        <v>1</v>
      </c>
      <c r="M290" s="13" t="inlineStr">
        <is>
          <t>Aplicar conforme monitoramento e estádio recomendado na bula (HRAC Grupo K3 (15) — Inibidores de VLCFAs)</t>
        </is>
      </c>
    </row>
    <row r="291" ht="22" customHeight="1">
      <c r="A291" s="6" t="inlineStr">
        <is>
          <t>ALV-0287</t>
        </is>
      </c>
      <c r="B291" s="5" t="n">
        <v>145</v>
      </c>
      <c r="C291" s="7" t="inlineStr">
        <is>
          <t>Nº 13720</t>
        </is>
      </c>
      <c r="D291" s="8" t="inlineStr">
        <is>
          <t>VELBOW</t>
        </is>
      </c>
      <c r="E291" s="7" t="inlineStr">
        <is>
          <t>Herbicida</t>
        </is>
      </c>
      <c r="F291" s="7" t="inlineStr">
        <is>
          <t>Plantas Daninhas Mono e Dicotiledôneas</t>
        </is>
      </c>
      <c r="G291" s="7" t="inlineStr">
        <is>
          <t>Flora Infestante</t>
        </is>
      </c>
      <c r="H291" s="7" t="inlineStr">
        <is>
          <t>NÃO</t>
        </is>
      </c>
      <c r="I291" s="17" t="n">
        <v>0.25</v>
      </c>
      <c r="J291" s="9" t="n">
        <v>2</v>
      </c>
      <c r="K291" s="7" t="inlineStr">
        <is>
          <t>L ou kg/ha</t>
        </is>
      </c>
      <c r="L291" s="9" t="n">
        <v>1</v>
      </c>
      <c r="M291" s="7" t="inlineStr">
        <is>
          <t>Aplicar conforme monitoramento e estádio recomendado na bula (Classificação HRAC Oficial conforme Bula)</t>
        </is>
      </c>
    </row>
    <row r="292" ht="22" customHeight="1">
      <c r="A292" s="12" t="inlineStr">
        <is>
          <t>ALV-0288</t>
        </is>
      </c>
      <c r="B292" s="11" t="n">
        <v>146</v>
      </c>
      <c r="C292" s="13" t="inlineStr">
        <is>
          <t>Nº 3522</t>
        </is>
      </c>
      <c r="D292" s="14" t="inlineStr">
        <is>
          <t>TAGZOLE 250 EC</t>
        </is>
      </c>
      <c r="E292" s="13" t="inlineStr">
        <is>
          <t>Fungicida</t>
        </is>
      </c>
      <c r="F292" s="13" t="inlineStr">
        <is>
          <t>Mancha-alvo</t>
        </is>
      </c>
      <c r="G292" s="13" t="inlineStr">
        <is>
          <t>Corynespora cassiicola</t>
        </is>
      </c>
      <c r="H292" s="13" t="inlineStr">
        <is>
          <t>SIM (*)</t>
        </is>
      </c>
      <c r="I292" s="18" t="n">
        <v>0.3</v>
      </c>
      <c r="J292" s="18" t="n">
        <v>0.5</v>
      </c>
      <c r="K292" s="13" t="inlineStr">
        <is>
          <t>L/ha</t>
        </is>
      </c>
      <c r="L292" s="15" t="n">
        <v>1</v>
      </c>
      <c r="M292" s="13" t="inlineStr">
        <is>
          <t>Aplicar conforme monitoramento e estádio recomendado na bula (FRAC Grupo 3 (DMI))</t>
        </is>
      </c>
    </row>
    <row r="293" ht="22" customHeight="1">
      <c r="A293" s="6" t="inlineStr">
        <is>
          <t>ALV-0289</t>
        </is>
      </c>
      <c r="B293" s="5" t="n">
        <v>146</v>
      </c>
      <c r="C293" s="7" t="inlineStr">
        <is>
          <t>Nº 3522</t>
        </is>
      </c>
      <c r="D293" s="8" t="inlineStr">
        <is>
          <t>TAGZOLE 250 EC</t>
        </is>
      </c>
      <c r="E293" s="7" t="inlineStr">
        <is>
          <t>Fungicida</t>
        </is>
      </c>
      <c r="F293" s="7" t="inlineStr">
        <is>
          <t>Oídio</t>
        </is>
      </c>
      <c r="G293" s="7" t="inlineStr">
        <is>
          <t>Microsphaera diffusa</t>
        </is>
      </c>
      <c r="H293" s="7" t="inlineStr">
        <is>
          <t>NÃO</t>
        </is>
      </c>
      <c r="I293" s="17" t="n">
        <v>0.2</v>
      </c>
      <c r="J293" s="17" t="n">
        <v>0.3</v>
      </c>
      <c r="K293" s="7" t="inlineStr">
        <is>
          <t>L/ha</t>
        </is>
      </c>
      <c r="L293" s="9" t="n">
        <v>1</v>
      </c>
      <c r="M293" s="7" t="inlineStr">
        <is>
          <t>Aplicar conforme monitoramento e estádio recomendado na bula (FRAC Grupo 3 (DMI))</t>
        </is>
      </c>
    </row>
    <row r="294" ht="22" customHeight="1">
      <c r="A294" s="12" t="inlineStr">
        <is>
          <t>ALV-0290</t>
        </is>
      </c>
      <c r="B294" s="11" t="n">
        <v>146</v>
      </c>
      <c r="C294" s="13" t="inlineStr">
        <is>
          <t>Nº 3522</t>
        </is>
      </c>
      <c r="D294" s="14" t="inlineStr">
        <is>
          <t>TAGZOLE 250 EC</t>
        </is>
      </c>
      <c r="E294" s="13" t="inlineStr">
        <is>
          <t>Fungicida</t>
        </is>
      </c>
      <c r="F294" s="13" t="inlineStr">
        <is>
          <t>Antracnose</t>
        </is>
      </c>
      <c r="G294" s="13" t="inlineStr">
        <is>
          <t>Colletotrichum truncatum</t>
        </is>
      </c>
      <c r="H294" s="13" t="inlineStr">
        <is>
          <t>NÃO</t>
        </is>
      </c>
      <c r="I294" s="18" t="n">
        <v>0.3</v>
      </c>
      <c r="J294" s="18" t="n">
        <v>0.4</v>
      </c>
      <c r="K294" s="13" t="inlineStr">
        <is>
          <t>L/ha</t>
        </is>
      </c>
      <c r="L294" s="15" t="n">
        <v>1</v>
      </c>
      <c r="M294" s="13" t="inlineStr">
        <is>
          <t>Aplicar conforme monitoramento e estádio recomendado na bula (FRAC Grupo 3 (DMI))</t>
        </is>
      </c>
    </row>
    <row r="295" ht="22" customHeight="1">
      <c r="A295" s="6" t="inlineStr">
        <is>
          <t>ALV-0291</t>
        </is>
      </c>
      <c r="B295" s="5" t="n">
        <v>147</v>
      </c>
      <c r="C295" s="7" t="inlineStr">
        <is>
          <t>Nº 5417</t>
        </is>
      </c>
      <c r="D295" s="8" t="inlineStr">
        <is>
          <t>GLIFOSATO IPA 480 RAINBOW</t>
        </is>
      </c>
      <c r="E295" s="7" t="inlineStr">
        <is>
          <t>Herbicida</t>
        </is>
      </c>
      <c r="F295" s="7" t="inlineStr">
        <is>
          <t>Capim-amargoso</t>
        </is>
      </c>
      <c r="G295" s="7" t="inlineStr">
        <is>
          <t>Digitaria insularis</t>
        </is>
      </c>
      <c r="H295" s="7" t="inlineStr">
        <is>
          <t>SIM (*)</t>
        </is>
      </c>
      <c r="I295" s="17" t="n">
        <v>1.5</v>
      </c>
      <c r="J295" s="17" t="n">
        <v>2.5</v>
      </c>
      <c r="K295" s="7" t="inlineStr">
        <is>
          <t>kg ou L/ha</t>
        </is>
      </c>
      <c r="L295" s="9" t="n">
        <v>1</v>
      </c>
      <c r="M295" s="7" t="inlineStr">
        <is>
          <t>Aplicar conforme monitoramento e estádio recomendado na bula (HRAC Grupo G (EPSPs))</t>
        </is>
      </c>
    </row>
    <row r="296" ht="22" customHeight="1">
      <c r="A296" s="12" t="inlineStr">
        <is>
          <t>ALV-0292</t>
        </is>
      </c>
      <c r="B296" s="11" t="n">
        <v>147</v>
      </c>
      <c r="C296" s="13" t="inlineStr">
        <is>
          <t>Nº 5417</t>
        </is>
      </c>
      <c r="D296" s="14" t="inlineStr">
        <is>
          <t>GLIFOSATO IPA 480 RAINBOW</t>
        </is>
      </c>
      <c r="E296" s="13" t="inlineStr">
        <is>
          <t>Herbicida</t>
        </is>
      </c>
      <c r="F296" s="13" t="inlineStr">
        <is>
          <t>Buva</t>
        </is>
      </c>
      <c r="G296" s="13" t="inlineStr">
        <is>
          <t>Conyza bonariensis</t>
        </is>
      </c>
      <c r="H296" s="13" t="inlineStr">
        <is>
          <t>SIM (*)</t>
        </is>
      </c>
      <c r="I296" s="15" t="n">
        <v>1</v>
      </c>
      <c r="J296" s="15" t="n">
        <v>2</v>
      </c>
      <c r="K296" s="13" t="inlineStr">
        <is>
          <t>kg ou L/ha</t>
        </is>
      </c>
      <c r="L296" s="15" t="n">
        <v>1</v>
      </c>
      <c r="M296" s="13" t="inlineStr">
        <is>
          <t>Aplicar conforme monitoramento e estádio recomendado na bula (HRAC Grupo G (EPSPs))</t>
        </is>
      </c>
    </row>
    <row r="297" ht="22" customHeight="1">
      <c r="A297" s="6" t="inlineStr">
        <is>
          <t>ALV-0293</t>
        </is>
      </c>
      <c r="B297" s="5" t="n">
        <v>147</v>
      </c>
      <c r="C297" s="7" t="inlineStr">
        <is>
          <t>Nº 5417</t>
        </is>
      </c>
      <c r="D297" s="8" t="inlineStr">
        <is>
          <t>GLIFOSATO IPA 480 RAINBOW</t>
        </is>
      </c>
      <c r="E297" s="7" t="inlineStr">
        <is>
          <t>Herbicida</t>
        </is>
      </c>
      <c r="F297" s="7" t="inlineStr">
        <is>
          <t>Capim-pé-de-galinha</t>
        </is>
      </c>
      <c r="G297" s="7" t="inlineStr">
        <is>
          <t>Eleusine indica</t>
        </is>
      </c>
      <c r="H297" s="7" t="inlineStr">
        <is>
          <t>SIM (*)</t>
        </is>
      </c>
      <c r="I297" s="9" t="n">
        <v>1</v>
      </c>
      <c r="J297" s="17" t="n">
        <v>1.5</v>
      </c>
      <c r="K297" s="7" t="inlineStr">
        <is>
          <t>kg ou L/ha</t>
        </is>
      </c>
      <c r="L297" s="9" t="n">
        <v>1</v>
      </c>
      <c r="M297" s="7" t="inlineStr">
        <is>
          <t>Aplicar conforme monitoramento e estádio recomendado na bula (HRAC Grupo G (EPSPs))</t>
        </is>
      </c>
    </row>
    <row r="298" ht="22" customHeight="1">
      <c r="A298" s="12" t="inlineStr">
        <is>
          <t>ALV-0294</t>
        </is>
      </c>
      <c r="B298" s="11" t="n">
        <v>147</v>
      </c>
      <c r="C298" s="13" t="inlineStr">
        <is>
          <t>Nº 5417</t>
        </is>
      </c>
      <c r="D298" s="14" t="inlineStr">
        <is>
          <t>GLIFOSATO IPA 480 RAINBOW</t>
        </is>
      </c>
      <c r="E298" s="13" t="inlineStr">
        <is>
          <t>Herbicida</t>
        </is>
      </c>
      <c r="F298" s="13" t="inlineStr">
        <is>
          <t>Trapoeraba</t>
        </is>
      </c>
      <c r="G298" s="13" t="inlineStr">
        <is>
          <t>Commelina benghalensis</t>
        </is>
      </c>
      <c r="H298" s="13" t="inlineStr">
        <is>
          <t>NÃO</t>
        </is>
      </c>
      <c r="I298" s="15" t="n">
        <v>2</v>
      </c>
      <c r="J298" s="18" t="n">
        <v>3.5</v>
      </c>
      <c r="K298" s="13" t="inlineStr">
        <is>
          <t>kg ou L/ha</t>
        </is>
      </c>
      <c r="L298" s="15" t="n">
        <v>1</v>
      </c>
      <c r="M298" s="13" t="inlineStr">
        <is>
          <t>Aplicar conforme monitoramento e estádio recomendado na bula (HRAC Grupo G (EPSPs))</t>
        </is>
      </c>
    </row>
    <row r="299" ht="22" customHeight="1">
      <c r="A299" s="6" t="inlineStr">
        <is>
          <t>ALV-0295</t>
        </is>
      </c>
      <c r="B299" s="5" t="n">
        <v>148</v>
      </c>
      <c r="C299" s="7" t="inlineStr">
        <is>
          <t>Nº 44024</t>
        </is>
      </c>
      <c r="D299" s="8" t="inlineStr">
        <is>
          <t>BIOLOGIC BRAVIA</t>
        </is>
      </c>
      <c r="E299" s="7" t="inlineStr">
        <is>
          <t>Bioinseticida (Biológico)</t>
        </is>
      </c>
      <c r="F299" s="7" t="inlineStr">
        <is>
          <t>Mosca-branca</t>
        </is>
      </c>
      <c r="G299" s="7" t="inlineStr">
        <is>
          <t>Bemisia tabaci raça B</t>
        </is>
      </c>
      <c r="H299" s="7" t="inlineStr">
        <is>
          <t>NÃO</t>
        </is>
      </c>
      <c r="I299" s="17" t="n">
        <v>0.5</v>
      </c>
      <c r="J299" s="17" t="n">
        <v>1.5</v>
      </c>
      <c r="K299" s="7" t="inlineStr">
        <is>
          <t>kg ou L/ha</t>
        </is>
      </c>
      <c r="L299" s="9" t="n">
        <v>1</v>
      </c>
      <c r="M299" s="7" t="inlineStr">
        <is>
          <t>Aplicar conforme monitoramento e estádio recomendado na bula (IRAC Grupo UNF — Biológico Multissítio)</t>
        </is>
      </c>
    </row>
    <row r="300" ht="22" customHeight="1">
      <c r="A300" s="12" t="inlineStr">
        <is>
          <t>ALV-0296</t>
        </is>
      </c>
      <c r="B300" s="11" t="n">
        <v>148</v>
      </c>
      <c r="C300" s="13" t="inlineStr">
        <is>
          <t>Nº 44024</t>
        </is>
      </c>
      <c r="D300" s="14" t="inlineStr">
        <is>
          <t>BIOLOGIC BRAVIA</t>
        </is>
      </c>
      <c r="E300" s="13" t="inlineStr">
        <is>
          <t>Bioinseticida (Biológico)</t>
        </is>
      </c>
      <c r="F300" s="13" t="inlineStr">
        <is>
          <t>Cigarrinha-do-milho</t>
        </is>
      </c>
      <c r="G300" s="13" t="inlineStr">
        <is>
          <t>Dalbulus maidis</t>
        </is>
      </c>
      <c r="H300" s="13" t="inlineStr">
        <is>
          <t>NÃO</t>
        </is>
      </c>
      <c r="I300" s="18" t="n">
        <v>0.5</v>
      </c>
      <c r="J300" s="15" t="n">
        <v>1</v>
      </c>
      <c r="K300" s="13" t="inlineStr">
        <is>
          <t>kg ou L/ha</t>
        </is>
      </c>
      <c r="L300" s="15" t="n">
        <v>1</v>
      </c>
      <c r="M300" s="13" t="inlineStr">
        <is>
          <t>Aplicar conforme monitoramento e estádio recomendado na bula (IRAC Grupo UNF — Biológico Multissítio)</t>
        </is>
      </c>
    </row>
    <row r="301" ht="22" customHeight="1">
      <c r="A301" s="6" t="inlineStr">
        <is>
          <t>ALV-0297</t>
        </is>
      </c>
      <c r="B301" s="5" t="n">
        <v>148</v>
      </c>
      <c r="C301" s="7" t="inlineStr">
        <is>
          <t>Nº 44024</t>
        </is>
      </c>
      <c r="D301" s="8" t="inlineStr">
        <is>
          <t>BIOLOGIC BRAVIA</t>
        </is>
      </c>
      <c r="E301" s="7" t="inlineStr">
        <is>
          <t>Bioinseticida (Biológico)</t>
        </is>
      </c>
      <c r="F301" s="7" t="inlineStr">
        <is>
          <t>Ácaro-rajado</t>
        </is>
      </c>
      <c r="G301" s="7" t="inlineStr">
        <is>
          <t>Tetranychus urticae</t>
        </is>
      </c>
      <c r="H301" s="7" t="inlineStr">
        <is>
          <t>NÃO</t>
        </is>
      </c>
      <c r="I301" s="17" t="n">
        <v>0.5</v>
      </c>
      <c r="J301" s="17" t="n">
        <v>1.5</v>
      </c>
      <c r="K301" s="7" t="inlineStr">
        <is>
          <t>kg ou L/ha</t>
        </is>
      </c>
      <c r="L301" s="9" t="n">
        <v>1</v>
      </c>
      <c r="M301" s="7" t="inlineStr">
        <is>
          <t>Aplicar conforme monitoramento e estádio recomendado na bula (IRAC Grupo UNF — Biológico Multissítio)</t>
        </is>
      </c>
    </row>
    <row r="302" ht="22" customHeight="1">
      <c r="A302" s="12" t="inlineStr">
        <is>
          <t>ALV-0298</t>
        </is>
      </c>
      <c r="B302" s="11" t="n">
        <v>149</v>
      </c>
      <c r="C302" s="13" t="inlineStr">
        <is>
          <t>Nº 40818</t>
        </is>
      </c>
      <c r="D302" s="14" t="inlineStr">
        <is>
          <t>GLUFOSINATE-AMMONIUN 200 SL YONON</t>
        </is>
      </c>
      <c r="E302" s="13" t="inlineStr">
        <is>
          <t>Herbicida</t>
        </is>
      </c>
      <c r="F302" s="13" t="inlineStr">
        <is>
          <t>Buva</t>
        </is>
      </c>
      <c r="G302" s="13" t="inlineStr">
        <is>
          <t>Conyza bonariensis</t>
        </is>
      </c>
      <c r="H302" s="13" t="inlineStr">
        <is>
          <t>NÃO</t>
        </is>
      </c>
      <c r="I302" s="15" t="n">
        <v>2</v>
      </c>
      <c r="J302" s="15" t="n">
        <v>3</v>
      </c>
      <c r="K302" s="13" t="inlineStr">
        <is>
          <t>L/ha</t>
        </is>
      </c>
      <c r="L302" s="15" t="n">
        <v>1</v>
      </c>
      <c r="M302" s="13" t="inlineStr">
        <is>
          <t>Aplicar conforme monitoramento e estádio recomendado na bula (HRAC Grupo H (10) — Inibidores da Glutamina Sintetase)</t>
        </is>
      </c>
    </row>
    <row r="303" ht="22" customHeight="1">
      <c r="A303" s="6" t="inlineStr">
        <is>
          <t>ALV-0299</t>
        </is>
      </c>
      <c r="B303" s="5" t="n">
        <v>149</v>
      </c>
      <c r="C303" s="7" t="inlineStr">
        <is>
          <t>Nº 40818</t>
        </is>
      </c>
      <c r="D303" s="8" t="inlineStr">
        <is>
          <t>GLUFOSINATE-AMMONIUN 200 SL YONON</t>
        </is>
      </c>
      <c r="E303" s="7" t="inlineStr">
        <is>
          <t>Herbicida</t>
        </is>
      </c>
      <c r="F303" s="7" t="inlineStr">
        <is>
          <t>Capim-pé-de-galinha</t>
        </is>
      </c>
      <c r="G303" s="7" t="inlineStr">
        <is>
          <t>Eleusine indica</t>
        </is>
      </c>
      <c r="H303" s="7" t="inlineStr">
        <is>
          <t>NÃO</t>
        </is>
      </c>
      <c r="I303" s="9" t="n">
        <v>2</v>
      </c>
      <c r="J303" s="17" t="n">
        <v>2.5</v>
      </c>
      <c r="K303" s="7" t="inlineStr">
        <is>
          <t>L/ha</t>
        </is>
      </c>
      <c r="L303" s="9" t="n">
        <v>1</v>
      </c>
      <c r="M303" s="7" t="inlineStr">
        <is>
          <t>Aplicar conforme monitoramento e estádio recomendado na bula (HRAC Grupo H (10) — Inibidores da Glutamina Sintetase)</t>
        </is>
      </c>
    </row>
    <row r="304" ht="22" customHeight="1">
      <c r="A304" s="12" t="inlineStr">
        <is>
          <t>ALV-0300</t>
        </is>
      </c>
      <c r="B304" s="11" t="n">
        <v>149</v>
      </c>
      <c r="C304" s="13" t="inlineStr">
        <is>
          <t>Nº 40818</t>
        </is>
      </c>
      <c r="D304" s="14" t="inlineStr">
        <is>
          <t>GLUFOSINATE-AMMONIUN 200 SL YONON</t>
        </is>
      </c>
      <c r="E304" s="13" t="inlineStr">
        <is>
          <t>Herbicida</t>
        </is>
      </c>
      <c r="F304" s="13" t="inlineStr">
        <is>
          <t>Caruru</t>
        </is>
      </c>
      <c r="G304" s="13" t="inlineStr">
        <is>
          <t>Amaranthus hybridus</t>
        </is>
      </c>
      <c r="H304" s="13" t="inlineStr">
        <is>
          <t>NÃO</t>
        </is>
      </c>
      <c r="I304" s="18" t="n">
        <v>1.5</v>
      </c>
      <c r="J304" s="18" t="n">
        <v>2.5</v>
      </c>
      <c r="K304" s="13" t="inlineStr">
        <is>
          <t>L/ha</t>
        </is>
      </c>
      <c r="L304" s="15" t="n">
        <v>1</v>
      </c>
      <c r="M304" s="13" t="inlineStr">
        <is>
          <t>Aplicar conforme monitoramento e estádio recomendado na bula (HRAC Grupo H (10) — Inibidores da Glutamina Sintetase)</t>
        </is>
      </c>
    </row>
    <row r="305" ht="22" customHeight="1">
      <c r="A305" s="6" t="inlineStr">
        <is>
          <t>ALV-0301</t>
        </is>
      </c>
      <c r="B305" s="5" t="n">
        <v>150</v>
      </c>
      <c r="C305" s="7" t="inlineStr">
        <is>
          <t>Nº 9420</t>
        </is>
      </c>
      <c r="D305" s="8" t="inlineStr">
        <is>
          <t>ENSIS-TURBO</t>
        </is>
      </c>
      <c r="E305" s="7" t="inlineStr">
        <is>
          <t>Fungicida</t>
        </is>
      </c>
      <c r="F305" s="7" t="inlineStr">
        <is>
          <t>Ferrugem-asiática</t>
        </is>
      </c>
      <c r="G305" s="7" t="inlineStr">
        <is>
          <t>Phakopsora pachyrhizi</t>
        </is>
      </c>
      <c r="H305" s="7" t="inlineStr">
        <is>
          <t>SIM (*)</t>
        </is>
      </c>
      <c r="I305" s="17" t="n">
        <v>0.35</v>
      </c>
      <c r="J305" s="17" t="n">
        <v>0.5</v>
      </c>
      <c r="K305" s="7" t="inlineStr">
        <is>
          <t>L/ha</t>
        </is>
      </c>
      <c r="L305" s="9" t="n">
        <v>1</v>
      </c>
      <c r="M305" s="7" t="inlineStr">
        <is>
          <t>Aplicar conforme monitoramento e estádio recomendado na bula (FRAC Grupo 3 (DMI))</t>
        </is>
      </c>
    </row>
    <row r="306" ht="22" customHeight="1">
      <c r="A306" s="12" t="inlineStr">
        <is>
          <t>ALV-0302</t>
        </is>
      </c>
      <c r="B306" s="11" t="n">
        <v>150</v>
      </c>
      <c r="C306" s="13" t="inlineStr">
        <is>
          <t>Nº 9420</t>
        </is>
      </c>
      <c r="D306" s="14" t="inlineStr">
        <is>
          <t>ENSIS-TURBO</t>
        </is>
      </c>
      <c r="E306" s="13" t="inlineStr">
        <is>
          <t>Fungicida</t>
        </is>
      </c>
      <c r="F306" s="13" t="inlineStr">
        <is>
          <t>Mancha-parda</t>
        </is>
      </c>
      <c r="G306" s="13" t="inlineStr">
        <is>
          <t>Septoria glycines</t>
        </is>
      </c>
      <c r="H306" s="13" t="inlineStr">
        <is>
          <t>NÃO</t>
        </is>
      </c>
      <c r="I306" s="18" t="n">
        <v>0.35</v>
      </c>
      <c r="J306" s="18" t="n">
        <v>0.5</v>
      </c>
      <c r="K306" s="13" t="inlineStr">
        <is>
          <t>L/ha</t>
        </is>
      </c>
      <c r="L306" s="15" t="n">
        <v>1</v>
      </c>
      <c r="M306" s="13" t="inlineStr">
        <is>
          <t>Aplicar conforme monitoramento e estádio recomendado na bula (FRAC Grupo 3 (DMI))</t>
        </is>
      </c>
    </row>
    <row r="307" ht="22" customHeight="1">
      <c r="A307" s="6" t="inlineStr">
        <is>
          <t>ALV-0303</t>
        </is>
      </c>
      <c r="B307" s="5" t="n">
        <v>151</v>
      </c>
      <c r="C307" s="7" t="inlineStr">
        <is>
          <t>Nº 15508</t>
        </is>
      </c>
      <c r="D307" s="8" t="inlineStr">
        <is>
          <t>TRINITY</t>
        </is>
      </c>
      <c r="E307" s="7" t="inlineStr">
        <is>
          <t>Fungicida</t>
        </is>
      </c>
      <c r="F307" s="7" t="inlineStr">
        <is>
          <t>Complexo de Doenças Foliares e Ferrugem</t>
        </is>
      </c>
      <c r="G307" s="7" t="inlineStr">
        <is>
          <t>Phakopsora pachyrhizi / Corynespora</t>
        </is>
      </c>
      <c r="H307" s="7" t="inlineStr">
        <is>
          <t>NÃO</t>
        </is>
      </c>
      <c r="I307" s="17" t="n">
        <v>0.3</v>
      </c>
      <c r="J307" s="17" t="n">
        <v>1.5</v>
      </c>
      <c r="K307" s="7" t="inlineStr">
        <is>
          <t>L ou kg/ha</t>
        </is>
      </c>
      <c r="L307" s="9" t="n">
        <v>1</v>
      </c>
      <c r="M307" s="7" t="inlineStr">
        <is>
          <t>Aplicar conforme monitoramento e estádio recomendado na bula (Classificação FRAC Oficial conforme Bula)</t>
        </is>
      </c>
    </row>
    <row r="308" ht="22" customHeight="1">
      <c r="A308" s="12" t="inlineStr">
        <is>
          <t>ALV-0304</t>
        </is>
      </c>
      <c r="B308" s="11" t="n">
        <v>152</v>
      </c>
      <c r="C308" s="13" t="inlineStr">
        <is>
          <t>Nº 9621</t>
        </is>
      </c>
      <c r="D308" s="14" t="inlineStr">
        <is>
          <t>PRECISO XK</t>
        </is>
      </c>
      <c r="E308" s="13" t="inlineStr">
        <is>
          <t>Herbicida</t>
        </is>
      </c>
      <c r="F308" s="13" t="inlineStr">
        <is>
          <t>Capim-amargoso</t>
        </is>
      </c>
      <c r="G308" s="13" t="inlineStr">
        <is>
          <t>Digitaria insularis</t>
        </is>
      </c>
      <c r="H308" s="13" t="inlineStr">
        <is>
          <t>SIM (*)</t>
        </is>
      </c>
      <c r="I308" s="18" t="n">
        <v>1.5</v>
      </c>
      <c r="J308" s="18" t="n">
        <v>2.5</v>
      </c>
      <c r="K308" s="13" t="inlineStr">
        <is>
          <t>kg ou L/ha</t>
        </is>
      </c>
      <c r="L308" s="15" t="n">
        <v>1</v>
      </c>
      <c r="M308" s="13" t="inlineStr">
        <is>
          <t>Aplicar conforme monitoramento e estádio recomendado na bula (HRAC Grupo G (EPSPs))</t>
        </is>
      </c>
    </row>
    <row r="309" ht="22" customHeight="1">
      <c r="A309" s="6" t="inlineStr">
        <is>
          <t>ALV-0305</t>
        </is>
      </c>
      <c r="B309" s="5" t="n">
        <v>152</v>
      </c>
      <c r="C309" s="7" t="inlineStr">
        <is>
          <t>Nº 9621</t>
        </is>
      </c>
      <c r="D309" s="8" t="inlineStr">
        <is>
          <t>PRECISO XK</t>
        </is>
      </c>
      <c r="E309" s="7" t="inlineStr">
        <is>
          <t>Herbicida</t>
        </is>
      </c>
      <c r="F309" s="7" t="inlineStr">
        <is>
          <t>Buva</t>
        </is>
      </c>
      <c r="G309" s="7" t="inlineStr">
        <is>
          <t>Conyza bonariensis</t>
        </is>
      </c>
      <c r="H309" s="7" t="inlineStr">
        <is>
          <t>SIM (*)</t>
        </is>
      </c>
      <c r="I309" s="9" t="n">
        <v>1</v>
      </c>
      <c r="J309" s="9" t="n">
        <v>2</v>
      </c>
      <c r="K309" s="7" t="inlineStr">
        <is>
          <t>kg ou L/ha</t>
        </is>
      </c>
      <c r="L309" s="9" t="n">
        <v>1</v>
      </c>
      <c r="M309" s="7" t="inlineStr">
        <is>
          <t>Aplicar conforme monitoramento e estádio recomendado na bula (HRAC Grupo G (EPSPs))</t>
        </is>
      </c>
    </row>
    <row r="310" ht="22" customHeight="1">
      <c r="A310" s="12" t="inlineStr">
        <is>
          <t>ALV-0306</t>
        </is>
      </c>
      <c r="B310" s="11" t="n">
        <v>152</v>
      </c>
      <c r="C310" s="13" t="inlineStr">
        <is>
          <t>Nº 9621</t>
        </is>
      </c>
      <c r="D310" s="14" t="inlineStr">
        <is>
          <t>PRECISO XK</t>
        </is>
      </c>
      <c r="E310" s="13" t="inlineStr">
        <is>
          <t>Herbicida</t>
        </is>
      </c>
      <c r="F310" s="13" t="inlineStr">
        <is>
          <t>Capim-pé-de-galinha</t>
        </is>
      </c>
      <c r="G310" s="13" t="inlineStr">
        <is>
          <t>Eleusine indica</t>
        </is>
      </c>
      <c r="H310" s="13" t="inlineStr">
        <is>
          <t>SIM (*)</t>
        </is>
      </c>
      <c r="I310" s="15" t="n">
        <v>1</v>
      </c>
      <c r="J310" s="18" t="n">
        <v>1.5</v>
      </c>
      <c r="K310" s="13" t="inlineStr">
        <is>
          <t>kg ou L/ha</t>
        </is>
      </c>
      <c r="L310" s="15" t="n">
        <v>1</v>
      </c>
      <c r="M310" s="13" t="inlineStr">
        <is>
          <t>Aplicar conforme monitoramento e estádio recomendado na bula (HRAC Grupo G (EPSPs))</t>
        </is>
      </c>
    </row>
    <row r="311" ht="22" customHeight="1">
      <c r="A311" s="6" t="inlineStr">
        <is>
          <t>ALV-0307</t>
        </is>
      </c>
      <c r="B311" s="5" t="n">
        <v>152</v>
      </c>
      <c r="C311" s="7" t="inlineStr">
        <is>
          <t>Nº 9621</t>
        </is>
      </c>
      <c r="D311" s="8" t="inlineStr">
        <is>
          <t>PRECISO XK</t>
        </is>
      </c>
      <c r="E311" s="7" t="inlineStr">
        <is>
          <t>Herbicida</t>
        </is>
      </c>
      <c r="F311" s="7" t="inlineStr">
        <is>
          <t>Trapoeraba</t>
        </is>
      </c>
      <c r="G311" s="7" t="inlineStr">
        <is>
          <t>Commelina benghalensis</t>
        </is>
      </c>
      <c r="H311" s="7" t="inlineStr">
        <is>
          <t>NÃO</t>
        </is>
      </c>
      <c r="I311" s="9" t="n">
        <v>2</v>
      </c>
      <c r="J311" s="17" t="n">
        <v>3.5</v>
      </c>
      <c r="K311" s="7" t="inlineStr">
        <is>
          <t>kg ou L/ha</t>
        </is>
      </c>
      <c r="L311" s="9" t="n">
        <v>1</v>
      </c>
      <c r="M311" s="7" t="inlineStr">
        <is>
          <t>Aplicar conforme monitoramento e estádio recomendado na bula (HRAC Grupo G (EPSPs))</t>
        </is>
      </c>
    </row>
    <row r="312" ht="22" customHeight="1">
      <c r="A312" s="12" t="inlineStr">
        <is>
          <t>ALV-0308</t>
        </is>
      </c>
      <c r="B312" s="11" t="n">
        <v>153</v>
      </c>
      <c r="C312" s="13" t="inlineStr">
        <is>
          <t>SIPEAGRO (UF-XXXXX)</t>
        </is>
      </c>
      <c r="D312" s="14" t="inlineStr">
        <is>
          <t>BIOMAX AZUM</t>
        </is>
      </c>
      <c r="E312" s="13" t="inlineStr">
        <is>
          <t>Inoculante Fixador de Nitrogênio</t>
        </is>
      </c>
      <c r="F312" s="13" t="inlineStr">
        <is>
          <t>Fixação Biológica de Nitrogênio e Enraizamento</t>
        </is>
      </c>
      <c r="G312" s="13" t="inlineStr">
        <is>
          <t>Zea mays / Glycine max</t>
        </is>
      </c>
      <c r="H312" s="13" t="inlineStr">
        <is>
          <t>NÃO</t>
        </is>
      </c>
      <c r="I312" s="18" t="n">
        <v>0.1</v>
      </c>
      <c r="J312" s="18" t="n">
        <v>0.3</v>
      </c>
      <c r="K312" s="13" t="inlineStr">
        <is>
          <t>L/ha ou 100kg sem.</t>
        </is>
      </c>
      <c r="L312" s="15" t="n">
        <v>1</v>
      </c>
      <c r="M312" s="13" t="inlineStr">
        <is>
          <t>Aplicar conforme monitoramento e estádio recomendado na bula (Inoculante Biológico — Lei nº 6.894/1980)</t>
        </is>
      </c>
    </row>
    <row r="313" ht="22" customHeight="1">
      <c r="A313" s="6" t="inlineStr">
        <is>
          <t>ALV-0309</t>
        </is>
      </c>
      <c r="B313" s="5" t="n">
        <v>154</v>
      </c>
      <c r="C313" s="7" t="inlineStr">
        <is>
          <t>Nº 3307</t>
        </is>
      </c>
      <c r="D313" s="8" t="inlineStr">
        <is>
          <t>BRIGADE 400 EC</t>
        </is>
      </c>
      <c r="E313" s="7" t="inlineStr">
        <is>
          <t>Inseticida e Acaricida</t>
        </is>
      </c>
      <c r="F313" s="7" t="inlineStr">
        <is>
          <t>Bicudo-do-algodoeiro</t>
        </is>
      </c>
      <c r="G313" s="7" t="inlineStr">
        <is>
          <t>Anthonomus grandis</t>
        </is>
      </c>
      <c r="H313" s="7" t="inlineStr">
        <is>
          <t>NÃO</t>
        </is>
      </c>
      <c r="I313" s="17" t="n">
        <v>0.15</v>
      </c>
      <c r="J313" s="17" t="n">
        <v>0.25</v>
      </c>
      <c r="K313" s="7" t="inlineStr">
        <is>
          <t>L/ha</t>
        </is>
      </c>
      <c r="L313" s="9" t="n">
        <v>1</v>
      </c>
      <c r="M313" s="7" t="inlineStr">
        <is>
          <t>Aplicar conforme monitoramento e estádio recomendado na bula (IRAC Grupo 3A)</t>
        </is>
      </c>
    </row>
    <row r="314" ht="22" customHeight="1">
      <c r="A314" s="12" t="inlineStr">
        <is>
          <t>ALV-0310</t>
        </is>
      </c>
      <c r="B314" s="11" t="n">
        <v>154</v>
      </c>
      <c r="C314" s="13" t="inlineStr">
        <is>
          <t>Nº 3307</t>
        </is>
      </c>
      <c r="D314" s="14" t="inlineStr">
        <is>
          <t>BRIGADE 400 EC</t>
        </is>
      </c>
      <c r="E314" s="13" t="inlineStr">
        <is>
          <t>Inseticida e Acaricida</t>
        </is>
      </c>
      <c r="F314" s="13" t="inlineStr">
        <is>
          <t>Mosca-branca</t>
        </is>
      </c>
      <c r="G314" s="13" t="inlineStr">
        <is>
          <t>Bemisia tabaci raça B</t>
        </is>
      </c>
      <c r="H314" s="13" t="inlineStr">
        <is>
          <t>SIM (*)</t>
        </is>
      </c>
      <c r="I314" s="18" t="n">
        <v>0.125</v>
      </c>
      <c r="J314" s="18" t="n">
        <v>0.25</v>
      </c>
      <c r="K314" s="13" t="inlineStr">
        <is>
          <t>L/ha</t>
        </is>
      </c>
      <c r="L314" s="15" t="n">
        <v>1</v>
      </c>
      <c r="M314" s="13" t="inlineStr">
        <is>
          <t>Aplicar conforme monitoramento e estádio recomendado na bula (IRAC Grupo 3A)</t>
        </is>
      </c>
    </row>
    <row r="315" ht="22" customHeight="1">
      <c r="A315" s="6" t="inlineStr">
        <is>
          <t>ALV-0311</t>
        </is>
      </c>
      <c r="B315" s="5" t="n">
        <v>154</v>
      </c>
      <c r="C315" s="7" t="inlineStr">
        <is>
          <t>Nº 3307</t>
        </is>
      </c>
      <c r="D315" s="8" t="inlineStr">
        <is>
          <t>BRIGADE 400 EC</t>
        </is>
      </c>
      <c r="E315" s="7" t="inlineStr">
        <is>
          <t>Inseticida e Acaricida</t>
        </is>
      </c>
      <c r="F315" s="7" t="inlineStr">
        <is>
          <t>Ácaro-rajado</t>
        </is>
      </c>
      <c r="G315" s="7" t="inlineStr">
        <is>
          <t>Tetranychus urticae</t>
        </is>
      </c>
      <c r="H315" s="7" t="inlineStr">
        <is>
          <t>SIM (*)</t>
        </is>
      </c>
      <c r="I315" s="17" t="n">
        <v>0.15</v>
      </c>
      <c r="J315" s="17" t="n">
        <v>0.2</v>
      </c>
      <c r="K315" s="7" t="inlineStr">
        <is>
          <t>L/ha</t>
        </is>
      </c>
      <c r="L315" s="9" t="n">
        <v>1</v>
      </c>
      <c r="M315" s="7" t="inlineStr">
        <is>
          <t>Aplicar conforme monitoramento e estádio recomendado na bula (IRAC Grupo 3A)</t>
        </is>
      </c>
    </row>
    <row r="316" ht="22" customHeight="1">
      <c r="A316" s="12" t="inlineStr">
        <is>
          <t>ALV-0312</t>
        </is>
      </c>
      <c r="B316" s="11" t="n">
        <v>155</v>
      </c>
      <c r="C316" s="13" t="inlineStr">
        <is>
          <t>SIPEAGRO (UF-XXXXX)</t>
        </is>
      </c>
      <c r="D316" s="14" t="inlineStr">
        <is>
          <t>NITRATO DE MAGNESIO 1000 X</t>
        </is>
      </c>
      <c r="E316" s="13" t="inlineStr">
        <is>
          <t>Fertilizante Químico Inorgânico (Matéria-Prima Cap. 28/38)</t>
        </is>
      </c>
      <c r="F316" s="13" t="inlineStr">
        <is>
          <t>Nutrição e Correção de Deficiência Mineral</t>
        </is>
      </c>
      <c r="G316" s="13" t="inlineStr">
        <is>
          <t>Nutrição Vegetal</t>
        </is>
      </c>
      <c r="H316" s="13" t="inlineStr">
        <is>
          <t>NÃO</t>
        </is>
      </c>
      <c r="I316" s="15" t="n">
        <v>1</v>
      </c>
      <c r="J316" s="15" t="n">
        <v>250</v>
      </c>
      <c r="K316" s="13" t="inlineStr">
        <is>
          <t>kg ou L/ha</t>
        </is>
      </c>
      <c r="L316" s="15" t="n">
        <v>1</v>
      </c>
      <c r="M316" s="13" t="inlineStr">
        <is>
          <t>Aplicar conforme monitoramento e estádio recomendado na bula (Nutrição Vegetal SIPEAGRO)</t>
        </is>
      </c>
    </row>
    <row r="317" ht="22" customHeight="1">
      <c r="A317" s="6" t="inlineStr">
        <is>
          <t>ALV-0313</t>
        </is>
      </c>
      <c r="B317" s="5" t="n">
        <v>156</v>
      </c>
      <c r="C317" s="7" t="inlineStr">
        <is>
          <t>Nº 36321</t>
        </is>
      </c>
      <c r="D317" s="8" t="inlineStr">
        <is>
          <t>ERRADIK</t>
        </is>
      </c>
      <c r="E317" s="7" t="inlineStr">
        <is>
          <t>Fungicida</t>
        </is>
      </c>
      <c r="F317" s="7" t="inlineStr">
        <is>
          <t>Mancha-alvo</t>
        </is>
      </c>
      <c r="G317" s="7" t="inlineStr">
        <is>
          <t>Corynespora cassiicola</t>
        </is>
      </c>
      <c r="H317" s="7" t="inlineStr">
        <is>
          <t>SIM (*)</t>
        </is>
      </c>
      <c r="I317" s="17" t="n">
        <v>0.3</v>
      </c>
      <c r="J317" s="17" t="n">
        <v>0.5</v>
      </c>
      <c r="K317" s="7" t="inlineStr">
        <is>
          <t>L/ha</t>
        </is>
      </c>
      <c r="L317" s="9" t="n">
        <v>1</v>
      </c>
      <c r="M317" s="7" t="inlineStr">
        <is>
          <t>Aplicar conforme monitoramento e estádio recomendado na bula (FRAC Grupo 3 (DMI))</t>
        </is>
      </c>
    </row>
    <row r="318" ht="22" customHeight="1">
      <c r="A318" s="12" t="inlineStr">
        <is>
          <t>ALV-0314</t>
        </is>
      </c>
      <c r="B318" s="11" t="n">
        <v>156</v>
      </c>
      <c r="C318" s="13" t="inlineStr">
        <is>
          <t>Nº 36321</t>
        </is>
      </c>
      <c r="D318" s="14" t="inlineStr">
        <is>
          <t>ERRADIK</t>
        </is>
      </c>
      <c r="E318" s="13" t="inlineStr">
        <is>
          <t>Fungicida</t>
        </is>
      </c>
      <c r="F318" s="13" t="inlineStr">
        <is>
          <t>Oídio</t>
        </is>
      </c>
      <c r="G318" s="13" t="inlineStr">
        <is>
          <t>Microsphaera diffusa</t>
        </is>
      </c>
      <c r="H318" s="13" t="inlineStr">
        <is>
          <t>NÃO</t>
        </is>
      </c>
      <c r="I318" s="18" t="n">
        <v>0.2</v>
      </c>
      <c r="J318" s="18" t="n">
        <v>0.3</v>
      </c>
      <c r="K318" s="13" t="inlineStr">
        <is>
          <t>L/ha</t>
        </is>
      </c>
      <c r="L318" s="15" t="n">
        <v>1</v>
      </c>
      <c r="M318" s="13" t="inlineStr">
        <is>
          <t>Aplicar conforme monitoramento e estádio recomendado na bula (FRAC Grupo 3 (DMI))</t>
        </is>
      </c>
    </row>
    <row r="319" ht="22" customHeight="1">
      <c r="A319" s="6" t="inlineStr">
        <is>
          <t>ALV-0315</t>
        </is>
      </c>
      <c r="B319" s="5" t="n">
        <v>156</v>
      </c>
      <c r="C319" s="7" t="inlineStr">
        <is>
          <t>Nº 36321</t>
        </is>
      </c>
      <c r="D319" s="8" t="inlineStr">
        <is>
          <t>ERRADIK</t>
        </is>
      </c>
      <c r="E319" s="7" t="inlineStr">
        <is>
          <t>Fungicida</t>
        </is>
      </c>
      <c r="F319" s="7" t="inlineStr">
        <is>
          <t>Antracnose</t>
        </is>
      </c>
      <c r="G319" s="7" t="inlineStr">
        <is>
          <t>Colletotrichum truncatum</t>
        </is>
      </c>
      <c r="H319" s="7" t="inlineStr">
        <is>
          <t>NÃO</t>
        </is>
      </c>
      <c r="I319" s="17" t="n">
        <v>0.3</v>
      </c>
      <c r="J319" s="17" t="n">
        <v>0.4</v>
      </c>
      <c r="K319" s="7" t="inlineStr">
        <is>
          <t>L/ha</t>
        </is>
      </c>
      <c r="L319" s="9" t="n">
        <v>1</v>
      </c>
      <c r="M319" s="7" t="inlineStr">
        <is>
          <t>Aplicar conforme monitoramento e estádio recomendado na bula (FRAC Grupo 3 (DMI))</t>
        </is>
      </c>
    </row>
    <row r="320" ht="22" customHeight="1">
      <c r="A320" s="12" t="inlineStr">
        <is>
          <t>ALV-0316</t>
        </is>
      </c>
      <c r="B320" s="11" t="n">
        <v>157</v>
      </c>
      <c r="C320" s="13" t="inlineStr">
        <is>
          <t>Nº 31618</t>
        </is>
      </c>
      <c r="D320" s="14" t="inlineStr">
        <is>
          <t>ASSARIS</t>
        </is>
      </c>
      <c r="E320" s="13" t="inlineStr">
        <is>
          <t>Inseticida</t>
        </is>
      </c>
      <c r="F320" s="13" t="inlineStr">
        <is>
          <t>Lagarta-helicoverpa</t>
        </is>
      </c>
      <c r="G320" s="13" t="inlineStr">
        <is>
          <t>Helicoverpa armigera</t>
        </is>
      </c>
      <c r="H320" s="13" t="inlineStr">
        <is>
          <t>NÃO</t>
        </is>
      </c>
      <c r="I320" s="18" t="n">
        <v>0.2</v>
      </c>
      <c r="J320" s="18" t="n">
        <v>0.5</v>
      </c>
      <c r="K320" s="13" t="inlineStr">
        <is>
          <t>kg ou L/ha</t>
        </is>
      </c>
      <c r="L320" s="15" t="n">
        <v>1</v>
      </c>
      <c r="M320" s="13" t="inlineStr">
        <is>
          <t>Aplicar conforme monitoramento e estádio recomendado na bula (IRAC Grupo 1A)</t>
        </is>
      </c>
    </row>
    <row r="321" ht="22" customHeight="1">
      <c r="A321" s="6" t="inlineStr">
        <is>
          <t>ALV-0317</t>
        </is>
      </c>
      <c r="B321" s="5" t="n">
        <v>157</v>
      </c>
      <c r="C321" s="7" t="inlineStr">
        <is>
          <t>Nº 31618</t>
        </is>
      </c>
      <c r="D321" s="8" t="inlineStr">
        <is>
          <t>ASSARIS</t>
        </is>
      </c>
      <c r="E321" s="7" t="inlineStr">
        <is>
          <t>Inseticida</t>
        </is>
      </c>
      <c r="F321" s="7" t="inlineStr">
        <is>
          <t>Lagarta-do-cartucho</t>
        </is>
      </c>
      <c r="G321" s="7" t="inlineStr">
        <is>
          <t>Spodoptera frugiperda</t>
        </is>
      </c>
      <c r="H321" s="7" t="inlineStr">
        <is>
          <t>NÃO</t>
        </is>
      </c>
      <c r="I321" s="17" t="n">
        <v>0.15</v>
      </c>
      <c r="J321" s="17" t="n">
        <v>0.3</v>
      </c>
      <c r="K321" s="7" t="inlineStr">
        <is>
          <t>kg ou L/ha</t>
        </is>
      </c>
      <c r="L321" s="9" t="n">
        <v>1</v>
      </c>
      <c r="M321" s="7" t="inlineStr">
        <is>
          <t>Aplicar conforme monitoramento e estádio recomendado na bula (IRAC Grupo 1A)</t>
        </is>
      </c>
    </row>
    <row r="322" ht="22" customHeight="1">
      <c r="A322" s="12" t="inlineStr">
        <is>
          <t>ALV-0318</t>
        </is>
      </c>
      <c r="B322" s="11" t="n">
        <v>157</v>
      </c>
      <c r="C322" s="13" t="inlineStr">
        <is>
          <t>Nº 31618</t>
        </is>
      </c>
      <c r="D322" s="14" t="inlineStr">
        <is>
          <t>ASSARIS</t>
        </is>
      </c>
      <c r="E322" s="13" t="inlineStr">
        <is>
          <t>Inseticida</t>
        </is>
      </c>
      <c r="F322" s="13" t="inlineStr">
        <is>
          <t>Lagarta-da-soja</t>
        </is>
      </c>
      <c r="G322" s="13" t="inlineStr">
        <is>
          <t>Anticarsia gemmatalis</t>
        </is>
      </c>
      <c r="H322" s="13" t="inlineStr">
        <is>
          <t>NÃO</t>
        </is>
      </c>
      <c r="I322" s="18" t="n">
        <v>0.1</v>
      </c>
      <c r="J322" s="18" t="n">
        <v>0.2</v>
      </c>
      <c r="K322" s="13" t="inlineStr">
        <is>
          <t>kg ou L/ha</t>
        </is>
      </c>
      <c r="L322" s="15" t="n">
        <v>1</v>
      </c>
      <c r="M322" s="13" t="inlineStr">
        <is>
          <t>Aplicar conforme monitoramento e estádio recomendado na bula (IRAC Grupo 1A)</t>
        </is>
      </c>
    </row>
    <row r="323" ht="22" customHeight="1">
      <c r="A323" s="6" t="inlineStr">
        <is>
          <t>ALV-0319</t>
        </is>
      </c>
      <c r="B323" s="5" t="n">
        <v>158</v>
      </c>
      <c r="C323" s="7" t="inlineStr">
        <is>
          <t>Nº 17219</t>
        </is>
      </c>
      <c r="D323" s="8" t="inlineStr">
        <is>
          <t>FLUAZINAM</t>
        </is>
      </c>
      <c r="E323" s="7" t="inlineStr">
        <is>
          <t>Fungicida</t>
        </is>
      </c>
      <c r="F323" s="7" t="inlineStr">
        <is>
          <t>Mofo-branco</t>
        </is>
      </c>
      <c r="G323" s="7" t="inlineStr">
        <is>
          <t>Sclerotinia sclerotiorum</t>
        </is>
      </c>
      <c r="H323" s="7" t="inlineStr">
        <is>
          <t>NÃO</t>
        </is>
      </c>
      <c r="I323" s="9" t="n">
        <v>1</v>
      </c>
      <c r="J323" s="17" t="n">
        <v>1.5</v>
      </c>
      <c r="K323" s="7" t="inlineStr">
        <is>
          <t>L/ha</t>
        </is>
      </c>
      <c r="L323" s="9" t="n">
        <v>1</v>
      </c>
      <c r="M323" s="7" t="inlineStr">
        <is>
          <t>Aplicar conforme monitoramento e estádio recomendado na bula (FRAC Grupo 29)</t>
        </is>
      </c>
    </row>
    <row r="324" ht="22" customHeight="1">
      <c r="A324" s="12" t="inlineStr">
        <is>
          <t>ALV-0320</t>
        </is>
      </c>
      <c r="B324" s="11" t="n">
        <v>158</v>
      </c>
      <c r="C324" s="13" t="inlineStr">
        <is>
          <t>Nº 17219</t>
        </is>
      </c>
      <c r="D324" s="14" t="inlineStr">
        <is>
          <t>FLUAZINAM</t>
        </is>
      </c>
      <c r="E324" s="13" t="inlineStr">
        <is>
          <t>Fungicida</t>
        </is>
      </c>
      <c r="F324" s="13" t="inlineStr">
        <is>
          <t>Requeima</t>
        </is>
      </c>
      <c r="G324" s="13" t="inlineStr">
        <is>
          <t>Phytophthora infestans</t>
        </is>
      </c>
      <c r="H324" s="13" t="inlineStr">
        <is>
          <t>NÃO</t>
        </is>
      </c>
      <c r="I324" s="18" t="n">
        <v>0.75</v>
      </c>
      <c r="J324" s="15" t="n">
        <v>1</v>
      </c>
      <c r="K324" s="13" t="inlineStr">
        <is>
          <t>L/ha</t>
        </is>
      </c>
      <c r="L324" s="15" t="n">
        <v>1</v>
      </c>
      <c r="M324" s="13" t="inlineStr">
        <is>
          <t>Aplicar conforme monitoramento e estádio recomendado na bula (FRAC Grupo 29)</t>
        </is>
      </c>
    </row>
    <row r="325" ht="22" customHeight="1">
      <c r="A325" s="6" t="inlineStr">
        <is>
          <t>ALV-0321</t>
        </is>
      </c>
      <c r="B325" s="5" t="n">
        <v>159</v>
      </c>
      <c r="C325" s="7" t="inlineStr">
        <is>
          <t>SIPEAGRO (UF-XXXXX)</t>
        </is>
      </c>
      <c r="D325" s="8" t="inlineStr">
        <is>
          <t>D0323.02-B1A (CU-9,0% MN-18,0% K20-1,0%)</t>
        </is>
      </c>
      <c r="E325" s="7" t="inlineStr">
        <is>
          <t>Fertilizante Foliar / Micronutrientes</t>
        </is>
      </c>
      <c r="F325" s="7" t="inlineStr">
        <is>
          <t>Nutrição e Correção de Deficiência Mineral</t>
        </is>
      </c>
      <c r="G325" s="7" t="inlineStr">
        <is>
          <t>Nutrição Vegetal</t>
        </is>
      </c>
      <c r="H325" s="7" t="inlineStr">
        <is>
          <t>NÃO</t>
        </is>
      </c>
      <c r="I325" s="9" t="n">
        <v>1</v>
      </c>
      <c r="J325" s="9" t="n">
        <v>250</v>
      </c>
      <c r="K325" s="7" t="inlineStr">
        <is>
          <t>kg ou L/ha</t>
        </is>
      </c>
      <c r="L325" s="9" t="n">
        <v>1</v>
      </c>
      <c r="M325" s="7" t="inlineStr">
        <is>
          <t>Aplicar conforme monitoramento e estádio recomendado na bula (Nutrição Vegetal SIPEAGRO)</t>
        </is>
      </c>
    </row>
    <row r="326" ht="22" customHeight="1">
      <c r="A326" s="12" t="inlineStr">
        <is>
          <t>ALV-0322</t>
        </is>
      </c>
      <c r="B326" s="11" t="n">
        <v>160</v>
      </c>
      <c r="C326" s="13" t="inlineStr">
        <is>
          <t>SIPEAGRO (UF-XXXXX)</t>
        </is>
      </c>
      <c r="D326" s="14" t="inlineStr">
        <is>
          <t>BIOLOGIC SOY 4X1,8L</t>
        </is>
      </c>
      <c r="E326" s="13" t="inlineStr">
        <is>
          <t>Inoculante Fixador de Nitrogênio</t>
        </is>
      </c>
      <c r="F326" s="13" t="inlineStr">
        <is>
          <t>Fixação Biológica / Manejo Biológico de Solo</t>
        </is>
      </c>
      <c r="G326" s="13" t="inlineStr">
        <is>
          <t>Biologia de Solo</t>
        </is>
      </c>
      <c r="H326" s="13" t="inlineStr">
        <is>
          <t>NÃO</t>
        </is>
      </c>
      <c r="I326" s="18" t="n">
        <v>0.1</v>
      </c>
      <c r="J326" s="15" t="n">
        <v>1</v>
      </c>
      <c r="K326" s="13" t="inlineStr">
        <is>
          <t>L ou kg/ha</t>
        </is>
      </c>
      <c r="L326" s="15" t="n">
        <v>1</v>
      </c>
      <c r="M326" s="13" t="inlineStr">
        <is>
          <t>Aplicar conforme monitoramento e estádio recomendado na bula (Bioinsumo Agrícola)</t>
        </is>
      </c>
    </row>
    <row r="327" ht="22" customHeight="1">
      <c r="A327" s="6" t="inlineStr">
        <is>
          <t>ALV-0323</t>
        </is>
      </c>
      <c r="B327" s="5" t="n">
        <v>161</v>
      </c>
      <c r="C327" s="7" t="inlineStr">
        <is>
          <t>Nº 10816</t>
        </is>
      </c>
      <c r="D327" s="8" t="inlineStr">
        <is>
          <t>MAESTRO FS</t>
        </is>
      </c>
      <c r="E327" s="7" t="inlineStr">
        <is>
          <t>Inseticida e Cupinicida (Fipronil)</t>
        </is>
      </c>
      <c r="F327" s="7" t="inlineStr">
        <is>
          <t>Coró</t>
        </is>
      </c>
      <c r="G327" s="7" t="inlineStr">
        <is>
          <t>Phyllophaga cuyabana</t>
        </is>
      </c>
      <c r="H327" s="7" t="inlineStr">
        <is>
          <t>NÃO</t>
        </is>
      </c>
      <c r="I327" s="17" t="n">
        <v>0.1</v>
      </c>
      <c r="J327" s="17" t="n">
        <v>0.2</v>
      </c>
      <c r="K327" s="7" t="inlineStr">
        <is>
          <t>L/100kg sem.</t>
        </is>
      </c>
      <c r="L327" s="9" t="n">
        <v>1</v>
      </c>
      <c r="M327" s="7" t="inlineStr">
        <is>
          <t>Aplicar conforme monitoramento e estádio recomendado na bula (IRAC Grupo 2B)</t>
        </is>
      </c>
    </row>
    <row r="328" ht="22" customHeight="1">
      <c r="A328" s="12" t="inlineStr">
        <is>
          <t>ALV-0324</t>
        </is>
      </c>
      <c r="B328" s="11" t="n">
        <v>161</v>
      </c>
      <c r="C328" s="13" t="inlineStr">
        <is>
          <t>Nº 10816</t>
        </is>
      </c>
      <c r="D328" s="14" t="inlineStr">
        <is>
          <t>MAESTRO FS</t>
        </is>
      </c>
      <c r="E328" s="13" t="inlineStr">
        <is>
          <t>Inseticida e Cupinicida (Fipronil)</t>
        </is>
      </c>
      <c r="F328" s="13" t="inlineStr">
        <is>
          <t>Lagarta-elasmo</t>
        </is>
      </c>
      <c r="G328" s="13" t="inlineStr">
        <is>
          <t>Elasmopalpus lignosellus</t>
        </is>
      </c>
      <c r="H328" s="13" t="inlineStr">
        <is>
          <t>NÃO</t>
        </is>
      </c>
      <c r="I328" s="18" t="n">
        <v>0.1</v>
      </c>
      <c r="J328" s="18" t="n">
        <v>0.2</v>
      </c>
      <c r="K328" s="13" t="inlineStr">
        <is>
          <t>L/100kg sem.</t>
        </is>
      </c>
      <c r="L328" s="15" t="n">
        <v>1</v>
      </c>
      <c r="M328" s="13" t="inlineStr">
        <is>
          <t>Aplicar conforme monitoramento e estádio recomendado na bula (IRAC Grupo 2B)</t>
        </is>
      </c>
    </row>
    <row r="329" ht="22" customHeight="1">
      <c r="A329" s="6" t="inlineStr">
        <is>
          <t>ALV-0325</t>
        </is>
      </c>
      <c r="B329" s="5" t="n">
        <v>161</v>
      </c>
      <c r="C329" s="7" t="inlineStr">
        <is>
          <t>Nº 10816</t>
        </is>
      </c>
      <c r="D329" s="8" t="inlineStr">
        <is>
          <t>MAESTRO FS</t>
        </is>
      </c>
      <c r="E329" s="7" t="inlineStr">
        <is>
          <t>Inseticida e Cupinicida (Fipronil)</t>
        </is>
      </c>
      <c r="F329" s="7" t="inlineStr">
        <is>
          <t>Cupim-de-montículo</t>
        </is>
      </c>
      <c r="G329" s="7" t="inlineStr">
        <is>
          <t>Procornitermes triacifer</t>
        </is>
      </c>
      <c r="H329" s="7" t="inlineStr">
        <is>
          <t>NÃO</t>
        </is>
      </c>
      <c r="I329" s="17" t="n">
        <v>0.05</v>
      </c>
      <c r="J329" s="17" t="n">
        <v>0.2</v>
      </c>
      <c r="K329" s="7" t="inlineStr">
        <is>
          <t>kg ou L/ha</t>
        </is>
      </c>
      <c r="L329" s="9" t="n">
        <v>1</v>
      </c>
      <c r="M329" s="7" t="inlineStr">
        <is>
          <t>Aplicar conforme monitoramento e estádio recomendado na bula (IRAC Grupo 2B)</t>
        </is>
      </c>
    </row>
    <row r="330" ht="22" customHeight="1">
      <c r="A330" s="12" t="inlineStr">
        <is>
          <t>ALV-0326</t>
        </is>
      </c>
      <c r="B330" s="11" t="n">
        <v>162</v>
      </c>
      <c r="C330" s="13" t="inlineStr">
        <is>
          <t>SIPEAGRO (UF-XXXXX)</t>
        </is>
      </c>
      <c r="D330" s="14" t="inlineStr">
        <is>
          <t>ECOBOR 10 - ULEXITA BAG 1.273 KG (IMP)</t>
        </is>
      </c>
      <c r="E330" s="13" t="inlineStr">
        <is>
          <t>Fonte Mineral de Boro (Ulexita Natural)</t>
        </is>
      </c>
      <c r="F330" s="13" t="inlineStr">
        <is>
          <t>Correção de Acidez / Condicionamento de Perfil de Solo</t>
        </is>
      </c>
      <c r="G330" s="13" t="inlineStr">
        <is>
          <t>Solo Agrícola</t>
        </is>
      </c>
      <c r="H330" s="13" t="inlineStr">
        <is>
          <t>NÃO</t>
        </is>
      </c>
      <c r="I330" s="15" t="n">
        <v>500</v>
      </c>
      <c r="J330" s="15" t="n">
        <v>3000</v>
      </c>
      <c r="K330" s="13" t="inlineStr">
        <is>
          <t>kg/ha</t>
        </is>
      </c>
      <c r="L330" s="15" t="n">
        <v>1</v>
      </c>
      <c r="M330" s="13" t="inlineStr">
        <is>
          <t>Aplicar conforme monitoramento e estádio recomendado na bula (Correção Química de Solo)</t>
        </is>
      </c>
    </row>
    <row r="331" ht="22" customHeight="1">
      <c r="A331" s="6" t="inlineStr">
        <is>
          <t>ALV-0327</t>
        </is>
      </c>
      <c r="B331" s="5" t="n">
        <v>163</v>
      </c>
      <c r="C331" s="7" t="inlineStr">
        <is>
          <t>SIPEAGRO (UF-XXXXX)</t>
        </is>
      </c>
      <c r="D331" s="8" t="inlineStr">
        <is>
          <t>NODOFIX AZP 4X1,8L</t>
        </is>
      </c>
      <c r="E331" s="7" t="inlineStr">
        <is>
          <t>Inoculante Fixador de Nitrogênio</t>
        </is>
      </c>
      <c r="F331" s="7" t="inlineStr">
        <is>
          <t>Fixação Biológica de Nitrogênio e Enraizamento</t>
        </is>
      </c>
      <c r="G331" s="7" t="inlineStr">
        <is>
          <t>Zea mays / Glycine max</t>
        </is>
      </c>
      <c r="H331" s="7" t="inlineStr">
        <is>
          <t>NÃO</t>
        </is>
      </c>
      <c r="I331" s="17" t="n">
        <v>0.1</v>
      </c>
      <c r="J331" s="17" t="n">
        <v>0.3</v>
      </c>
      <c r="K331" s="7" t="inlineStr">
        <is>
          <t>L/ha ou 100kg sem.</t>
        </is>
      </c>
      <c r="L331" s="9" t="n">
        <v>1</v>
      </c>
      <c r="M331" s="7" t="inlineStr">
        <is>
          <t>Aplicar conforme monitoramento e estádio recomendado na bula (Inoculante Biológico — Lei nº 6.894/1980)</t>
        </is>
      </c>
    </row>
    <row r="332" ht="22" customHeight="1">
      <c r="A332" s="12" t="inlineStr">
        <is>
          <t>ALV-0328</t>
        </is>
      </c>
      <c r="B332" s="11" t="n">
        <v>164</v>
      </c>
      <c r="C332" s="13" t="inlineStr">
        <is>
          <t>Nº 3010</t>
        </is>
      </c>
      <c r="D332" s="14" t="inlineStr">
        <is>
          <t>BAZUKA 216 SL</t>
        </is>
      </c>
      <c r="E332" s="13" t="inlineStr">
        <is>
          <t>Inseticida</t>
        </is>
      </c>
      <c r="F332" s="13" t="inlineStr">
        <is>
          <t>Lagarta-helicoverpa</t>
        </is>
      </c>
      <c r="G332" s="13" t="inlineStr">
        <is>
          <t>Helicoverpa armigera</t>
        </is>
      </c>
      <c r="H332" s="13" t="inlineStr">
        <is>
          <t>NÃO</t>
        </is>
      </c>
      <c r="I332" s="18" t="n">
        <v>0.2</v>
      </c>
      <c r="J332" s="18" t="n">
        <v>0.5</v>
      </c>
      <c r="K332" s="13" t="inlineStr">
        <is>
          <t>kg ou L/ha</t>
        </is>
      </c>
      <c r="L332" s="15" t="n">
        <v>1</v>
      </c>
      <c r="M332" s="13" t="inlineStr">
        <is>
          <t>Aplicar conforme monitoramento e estádio recomendado na bula (IRAC Grupo 1A)</t>
        </is>
      </c>
    </row>
    <row r="333" ht="22" customHeight="1">
      <c r="A333" s="6" t="inlineStr">
        <is>
          <t>ALV-0329</t>
        </is>
      </c>
      <c r="B333" s="5" t="n">
        <v>164</v>
      </c>
      <c r="C333" s="7" t="inlineStr">
        <is>
          <t>Nº 3010</t>
        </is>
      </c>
      <c r="D333" s="8" t="inlineStr">
        <is>
          <t>BAZUKA 216 SL</t>
        </is>
      </c>
      <c r="E333" s="7" t="inlineStr">
        <is>
          <t>Inseticida</t>
        </is>
      </c>
      <c r="F333" s="7" t="inlineStr">
        <is>
          <t>Lagarta-do-cartucho</t>
        </is>
      </c>
      <c r="G333" s="7" t="inlineStr">
        <is>
          <t>Spodoptera frugiperda</t>
        </is>
      </c>
      <c r="H333" s="7" t="inlineStr">
        <is>
          <t>NÃO</t>
        </is>
      </c>
      <c r="I333" s="17" t="n">
        <v>0.15</v>
      </c>
      <c r="J333" s="17" t="n">
        <v>0.3</v>
      </c>
      <c r="K333" s="7" t="inlineStr">
        <is>
          <t>kg ou L/ha</t>
        </is>
      </c>
      <c r="L333" s="9" t="n">
        <v>1</v>
      </c>
      <c r="M333" s="7" t="inlineStr">
        <is>
          <t>Aplicar conforme monitoramento e estádio recomendado na bula (IRAC Grupo 1A)</t>
        </is>
      </c>
    </row>
    <row r="334" ht="22" customHeight="1">
      <c r="A334" s="12" t="inlineStr">
        <is>
          <t>ALV-0330</t>
        </is>
      </c>
      <c r="B334" s="11" t="n">
        <v>164</v>
      </c>
      <c r="C334" s="13" t="inlineStr">
        <is>
          <t>Nº 3010</t>
        </is>
      </c>
      <c r="D334" s="14" t="inlineStr">
        <is>
          <t>BAZUKA 216 SL</t>
        </is>
      </c>
      <c r="E334" s="13" t="inlineStr">
        <is>
          <t>Inseticida</t>
        </is>
      </c>
      <c r="F334" s="13" t="inlineStr">
        <is>
          <t>Lagarta-da-soja</t>
        </is>
      </c>
      <c r="G334" s="13" t="inlineStr">
        <is>
          <t>Anticarsia gemmatalis</t>
        </is>
      </c>
      <c r="H334" s="13" t="inlineStr">
        <is>
          <t>NÃO</t>
        </is>
      </c>
      <c r="I334" s="18" t="n">
        <v>0.1</v>
      </c>
      <c r="J334" s="18" t="n">
        <v>0.2</v>
      </c>
      <c r="K334" s="13" t="inlineStr">
        <is>
          <t>kg ou L/ha</t>
        </is>
      </c>
      <c r="L334" s="15" t="n">
        <v>1</v>
      </c>
      <c r="M334" s="13" t="inlineStr">
        <is>
          <t>Aplicar conforme monitoramento e estádio recomendado na bula (IRAC Grupo 1A)</t>
        </is>
      </c>
    </row>
    <row r="335" ht="22" customHeight="1">
      <c r="A335" s="6" t="inlineStr">
        <is>
          <t>ALV-0331</t>
        </is>
      </c>
      <c r="B335" s="5" t="n">
        <v>165</v>
      </c>
      <c r="C335" s="7" t="inlineStr">
        <is>
          <t>Nº 8319</t>
        </is>
      </c>
      <c r="D335" s="8" t="inlineStr">
        <is>
          <t>DIUROM 500</t>
        </is>
      </c>
      <c r="E335" s="7" t="inlineStr">
        <is>
          <t>Herbicida</t>
        </is>
      </c>
      <c r="F335" s="7" t="inlineStr">
        <is>
          <t>Plantas Daninhas Mono e Dicotiledôneas</t>
        </is>
      </c>
      <c r="G335" s="7" t="inlineStr">
        <is>
          <t>Flora Infestante</t>
        </is>
      </c>
      <c r="H335" s="7" t="inlineStr">
        <is>
          <t>NÃO</t>
        </is>
      </c>
      <c r="I335" s="17" t="n">
        <v>0.25</v>
      </c>
      <c r="J335" s="9" t="n">
        <v>2</v>
      </c>
      <c r="K335" s="7" t="inlineStr">
        <is>
          <t>L ou kg/ha</t>
        </is>
      </c>
      <c r="L335" s="9" t="n">
        <v>1</v>
      </c>
      <c r="M335" s="7" t="inlineStr">
        <is>
          <t>Aplicar conforme monitoramento e estádio recomendado na bula (Classificação HRAC Oficial conforme Bula)</t>
        </is>
      </c>
    </row>
    <row r="336" ht="22" customHeight="1">
      <c r="A336" s="12" t="inlineStr">
        <is>
          <t>ALV-0332</t>
        </is>
      </c>
      <c r="B336" s="11" t="n">
        <v>166</v>
      </c>
      <c r="C336" s="13" t="inlineStr">
        <is>
          <t>Nº 31222</t>
        </is>
      </c>
      <c r="D336" s="14" t="inlineStr">
        <is>
          <t>GLINT FULL</t>
        </is>
      </c>
      <c r="E336" s="13" t="inlineStr">
        <is>
          <t>Herbicida</t>
        </is>
      </c>
      <c r="F336" s="13" t="inlineStr">
        <is>
          <t>Plantas Daninhas Mono e Dicotiledôneas</t>
        </is>
      </c>
      <c r="G336" s="13" t="inlineStr">
        <is>
          <t>Flora Infestante</t>
        </is>
      </c>
      <c r="H336" s="13" t="inlineStr">
        <is>
          <t>NÃO</t>
        </is>
      </c>
      <c r="I336" s="18" t="n">
        <v>0.25</v>
      </c>
      <c r="J336" s="15" t="n">
        <v>2</v>
      </c>
      <c r="K336" s="13" t="inlineStr">
        <is>
          <t>L ou kg/ha</t>
        </is>
      </c>
      <c r="L336" s="15" t="n">
        <v>1</v>
      </c>
      <c r="M336" s="13" t="inlineStr">
        <is>
          <t>Aplicar conforme monitoramento e estádio recomendado na bula (Classificação HRAC Oficial conforme Bula)</t>
        </is>
      </c>
    </row>
    <row r="337" ht="22" customHeight="1">
      <c r="A337" s="6" t="inlineStr">
        <is>
          <t>ALV-0333</t>
        </is>
      </c>
      <c r="B337" s="5" t="n">
        <v>167</v>
      </c>
      <c r="C337" s="7" t="inlineStr">
        <is>
          <t>Nº 17208</t>
        </is>
      </c>
      <c r="D337" s="8" t="inlineStr">
        <is>
          <t>TRICLON</t>
        </is>
      </c>
      <c r="E337" s="7" t="inlineStr">
        <is>
          <t>Herbicida</t>
        </is>
      </c>
      <c r="F337" s="7" t="inlineStr">
        <is>
          <t>Buva</t>
        </is>
      </c>
      <c r="G337" s="7" t="inlineStr">
        <is>
          <t>Conyza bonariensis</t>
        </is>
      </c>
      <c r="H337" s="7" t="inlineStr">
        <is>
          <t>SIM (*)</t>
        </is>
      </c>
      <c r="I337" s="17" t="n">
        <v>0.75</v>
      </c>
      <c r="J337" s="17" t="n">
        <v>1.5</v>
      </c>
      <c r="K337" s="7" t="inlineStr">
        <is>
          <t>L/ha</t>
        </is>
      </c>
      <c r="L337" s="9" t="n">
        <v>1</v>
      </c>
      <c r="M337" s="7" t="inlineStr">
        <is>
          <t>Aplicar conforme monitoramento e estádio recomendado na bula (HRAC Grupo O (4) — Auxinas Sintéticas)</t>
        </is>
      </c>
    </row>
    <row r="338" ht="22" customHeight="1">
      <c r="A338" s="12" t="inlineStr">
        <is>
          <t>ALV-0334</t>
        </is>
      </c>
      <c r="B338" s="11" t="n">
        <v>167</v>
      </c>
      <c r="C338" s="13" t="inlineStr">
        <is>
          <t>Nº 17208</t>
        </is>
      </c>
      <c r="D338" s="14" t="inlineStr">
        <is>
          <t>TRICLON</t>
        </is>
      </c>
      <c r="E338" s="13" t="inlineStr">
        <is>
          <t>Herbicida</t>
        </is>
      </c>
      <c r="F338" s="13" t="inlineStr">
        <is>
          <t>Corda-de-viola</t>
        </is>
      </c>
      <c r="G338" s="13" t="inlineStr">
        <is>
          <t>Ipomoea grandifolia</t>
        </is>
      </c>
      <c r="H338" s="13" t="inlineStr">
        <is>
          <t>NÃO</t>
        </is>
      </c>
      <c r="I338" s="18" t="n">
        <v>0.75</v>
      </c>
      <c r="J338" s="18" t="n">
        <v>1.25</v>
      </c>
      <c r="K338" s="13" t="inlineStr">
        <is>
          <t>L/ha</t>
        </is>
      </c>
      <c r="L338" s="15" t="n">
        <v>1</v>
      </c>
      <c r="M338" s="13" t="inlineStr">
        <is>
          <t>Aplicar conforme monitoramento e estádio recomendado na bula (HRAC Grupo O (4) — Auxinas Sintéticas)</t>
        </is>
      </c>
    </row>
    <row r="339" ht="22" customHeight="1">
      <c r="A339" s="6" t="inlineStr">
        <is>
          <t>ALV-0335</t>
        </is>
      </c>
      <c r="B339" s="5" t="n">
        <v>168</v>
      </c>
      <c r="C339" s="7" t="inlineStr">
        <is>
          <t>Nº 10416</t>
        </is>
      </c>
      <c r="D339" s="8" t="inlineStr">
        <is>
          <t>ZETHAMAXX</t>
        </is>
      </c>
      <c r="E339" s="7" t="inlineStr">
        <is>
          <t>Herbicida</t>
        </is>
      </c>
      <c r="F339" s="7" t="inlineStr">
        <is>
          <t>Buva</t>
        </is>
      </c>
      <c r="G339" s="7" t="inlineStr">
        <is>
          <t>Conyza bonariensis</t>
        </is>
      </c>
      <c r="H339" s="7" t="inlineStr">
        <is>
          <t>NÃO</t>
        </is>
      </c>
      <c r="I339" s="17" t="n">
        <v>0.1</v>
      </c>
      <c r="J339" s="17" t="n">
        <v>0.2</v>
      </c>
      <c r="K339" s="7" t="inlineStr">
        <is>
          <t>L ou kg/ha</t>
        </is>
      </c>
      <c r="L339" s="9" t="n">
        <v>1</v>
      </c>
      <c r="M339" s="7" t="inlineStr">
        <is>
          <t>Aplicar conforme monitoramento e estádio recomendado na bula (HRAC Grupo E (14) — Inibidores da PROTOX)</t>
        </is>
      </c>
    </row>
    <row r="340" ht="22" customHeight="1">
      <c r="A340" s="12" t="inlineStr">
        <is>
          <t>ALV-0336</t>
        </is>
      </c>
      <c r="B340" s="11" t="n">
        <v>168</v>
      </c>
      <c r="C340" s="13" t="inlineStr">
        <is>
          <t>Nº 10416</t>
        </is>
      </c>
      <c r="D340" s="14" t="inlineStr">
        <is>
          <t>ZETHAMAXX</t>
        </is>
      </c>
      <c r="E340" s="13" t="inlineStr">
        <is>
          <t>Herbicida</t>
        </is>
      </c>
      <c r="F340" s="13" t="inlineStr">
        <is>
          <t>Caruru</t>
        </is>
      </c>
      <c r="G340" s="13" t="inlineStr">
        <is>
          <t>Amaranthus hybridus</t>
        </is>
      </c>
      <c r="H340" s="13" t="inlineStr">
        <is>
          <t>NÃO</t>
        </is>
      </c>
      <c r="I340" s="18" t="n">
        <v>0.1</v>
      </c>
      <c r="J340" s="18" t="n">
        <v>0.2</v>
      </c>
      <c r="K340" s="13" t="inlineStr">
        <is>
          <t>L ou kg/ha</t>
        </is>
      </c>
      <c r="L340" s="15" t="n">
        <v>1</v>
      </c>
      <c r="M340" s="13" t="inlineStr">
        <is>
          <t>Aplicar conforme monitoramento e estádio recomendado na bula (HRAC Grupo E (14) — Inibidores da PROTOX)</t>
        </is>
      </c>
    </row>
    <row r="341" ht="22" customHeight="1">
      <c r="A341" s="6" t="inlineStr">
        <is>
          <t>ALV-0337</t>
        </is>
      </c>
      <c r="B341" s="5" t="n">
        <v>168</v>
      </c>
      <c r="C341" s="7" t="inlineStr">
        <is>
          <t>Nº 10416</t>
        </is>
      </c>
      <c r="D341" s="8" t="inlineStr">
        <is>
          <t>ZETHAMAXX</t>
        </is>
      </c>
      <c r="E341" s="7" t="inlineStr">
        <is>
          <t>Herbicida</t>
        </is>
      </c>
      <c r="F341" s="7" t="inlineStr">
        <is>
          <t>Poaia-branca</t>
        </is>
      </c>
      <c r="G341" s="7" t="inlineStr">
        <is>
          <t>Richardia brasiliensis</t>
        </is>
      </c>
      <c r="H341" s="7" t="inlineStr">
        <is>
          <t>NÃO</t>
        </is>
      </c>
      <c r="I341" s="17" t="n">
        <v>0.1</v>
      </c>
      <c r="J341" s="17" t="n">
        <v>0.15</v>
      </c>
      <c r="K341" s="7" t="inlineStr">
        <is>
          <t>L ou kg/ha</t>
        </is>
      </c>
      <c r="L341" s="9" t="n">
        <v>1</v>
      </c>
      <c r="M341" s="7" t="inlineStr">
        <is>
          <t>Aplicar conforme monitoramento e estádio recomendado na bula (HRAC Grupo E (14) — Inibidores da PROTOX)</t>
        </is>
      </c>
    </row>
    <row r="342" ht="22" customHeight="1">
      <c r="A342" s="12" t="inlineStr">
        <is>
          <t>ALV-0338</t>
        </is>
      </c>
      <c r="B342" s="11" t="n">
        <v>169</v>
      </c>
      <c r="C342" s="13" t="inlineStr">
        <is>
          <t>SIPEAGRO (UF-XXXXX)</t>
        </is>
      </c>
      <c r="D342" s="14" t="inlineStr">
        <is>
          <t>AZOKOP 15X1,5L</t>
        </is>
      </c>
      <c r="E342" s="13" t="inlineStr">
        <is>
          <t>Inoculante Fixador de Nitrogênio</t>
        </is>
      </c>
      <c r="F342" s="13" t="inlineStr">
        <is>
          <t>Fixação Biológica de Nitrogênio e Enraizamento</t>
        </is>
      </c>
      <c r="G342" s="13" t="inlineStr">
        <is>
          <t>Zea mays / Glycine max</t>
        </is>
      </c>
      <c r="H342" s="13" t="inlineStr">
        <is>
          <t>NÃO</t>
        </is>
      </c>
      <c r="I342" s="18" t="n">
        <v>0.1</v>
      </c>
      <c r="J342" s="18" t="n">
        <v>0.3</v>
      </c>
      <c r="K342" s="13" t="inlineStr">
        <is>
          <t>L/ha ou 100kg sem.</t>
        </is>
      </c>
      <c r="L342" s="15" t="n">
        <v>1</v>
      </c>
      <c r="M342" s="13" t="inlineStr">
        <is>
          <t>Aplicar conforme monitoramento e estádio recomendado na bula (Inoculante Biológico — Lei nº 6.894/1980)</t>
        </is>
      </c>
    </row>
    <row r="343" ht="22" customHeight="1">
      <c r="A343" s="6" t="inlineStr">
        <is>
          <t>ALV-0339</t>
        </is>
      </c>
      <c r="B343" s="5" t="n">
        <v>170</v>
      </c>
      <c r="C343" s="7" t="inlineStr">
        <is>
          <t>Nº 17921</t>
        </is>
      </c>
      <c r="D343" s="8" t="inlineStr">
        <is>
          <t>TIOFANATO METILICO 500</t>
        </is>
      </c>
      <c r="E343" s="7" t="inlineStr">
        <is>
          <t>Fungicida</t>
        </is>
      </c>
      <c r="F343" s="7" t="inlineStr">
        <is>
          <t>Mofo-branco</t>
        </is>
      </c>
      <c r="G343" s="7" t="inlineStr">
        <is>
          <t>Sclerotinia sclerotiorum</t>
        </is>
      </c>
      <c r="H343" s="7" t="inlineStr">
        <is>
          <t>NÃO</t>
        </is>
      </c>
      <c r="I343" s="17" t="n">
        <v>0.8</v>
      </c>
      <c r="J343" s="9" t="n">
        <v>1</v>
      </c>
      <c r="K343" s="7" t="inlineStr">
        <is>
          <t>L/ha</t>
        </is>
      </c>
      <c r="L343" s="9" t="n">
        <v>1</v>
      </c>
      <c r="M343" s="7" t="inlineStr">
        <is>
          <t>Aplicar conforme monitoramento e estádio recomendado na bula (FRAC Grupo 1 (MBC))</t>
        </is>
      </c>
    </row>
    <row r="344" ht="22" customHeight="1">
      <c r="A344" s="12" t="inlineStr">
        <is>
          <t>ALV-0340</t>
        </is>
      </c>
      <c r="B344" s="11" t="n">
        <v>170</v>
      </c>
      <c r="C344" s="13" t="inlineStr">
        <is>
          <t>Nº 17921</t>
        </is>
      </c>
      <c r="D344" s="14" t="inlineStr">
        <is>
          <t>TIOFANATO METILICO 500</t>
        </is>
      </c>
      <c r="E344" s="13" t="inlineStr">
        <is>
          <t>Fungicida</t>
        </is>
      </c>
      <c r="F344" s="13" t="inlineStr">
        <is>
          <t>Antracnose</t>
        </is>
      </c>
      <c r="G344" s="13" t="inlineStr">
        <is>
          <t>Colletotrichum lindemuthianum</t>
        </is>
      </c>
      <c r="H344" s="13" t="inlineStr">
        <is>
          <t>NÃO</t>
        </is>
      </c>
      <c r="I344" s="18" t="n">
        <v>0.7</v>
      </c>
      <c r="J344" s="15" t="n">
        <v>1</v>
      </c>
      <c r="K344" s="13" t="inlineStr">
        <is>
          <t>L/ha</t>
        </is>
      </c>
      <c r="L344" s="15" t="n">
        <v>1</v>
      </c>
      <c r="M344" s="13" t="inlineStr">
        <is>
          <t>Aplicar conforme monitoramento e estádio recomendado na bula (FRAC Grupo 1 (MBC))</t>
        </is>
      </c>
    </row>
    <row r="345" ht="22" customHeight="1">
      <c r="A345" s="6" t="inlineStr">
        <is>
          <t>ALV-0341</t>
        </is>
      </c>
      <c r="B345" s="5" t="n">
        <v>171</v>
      </c>
      <c r="C345" s="7" t="inlineStr">
        <is>
          <t>Nº 30917</t>
        </is>
      </c>
      <c r="D345" s="8" t="inlineStr">
        <is>
          <t>BIOLOGIC RAZOR</t>
        </is>
      </c>
      <c r="E345" s="7" t="inlineStr">
        <is>
          <t>Bioinseticida (Biológico)</t>
        </is>
      </c>
      <c r="F345" s="7" t="inlineStr">
        <is>
          <t>Complexo de Lagartas, Percevejos e Sugadores</t>
        </is>
      </c>
      <c r="G345" s="7" t="inlineStr">
        <is>
          <t>Spodoptera / Euschistus / Bemisia</t>
        </is>
      </c>
      <c r="H345" s="7" t="inlineStr">
        <is>
          <t>NÃO</t>
        </is>
      </c>
      <c r="I345" s="17" t="n">
        <v>0.15</v>
      </c>
      <c r="J345" s="9" t="n">
        <v>1</v>
      </c>
      <c r="K345" s="7" t="inlineStr">
        <is>
          <t>L ou kg/ha</t>
        </is>
      </c>
      <c r="L345" s="9" t="n">
        <v>1</v>
      </c>
      <c r="M345" s="7" t="inlineStr">
        <is>
          <t>Aplicar conforme monitoramento e estádio recomendado na bula (Classificação IRAC Oficial conforme Bula)</t>
        </is>
      </c>
    </row>
    <row r="346" ht="22" customHeight="1">
      <c r="A346" s="12" t="inlineStr">
        <is>
          <t>ALV-0342</t>
        </is>
      </c>
      <c r="B346" s="11" t="n">
        <v>172</v>
      </c>
      <c r="C346" s="13" t="inlineStr">
        <is>
          <t>SIPEAGRO (UF-XXXXX)</t>
        </is>
      </c>
      <c r="D346" s="14" t="inlineStr">
        <is>
          <t>AGCN MANGANES 100</t>
        </is>
      </c>
      <c r="E346" s="13" t="inlineStr">
        <is>
          <t>Fertilizante Organomineral / Bioestimulante</t>
        </is>
      </c>
      <c r="F346" s="13" t="inlineStr">
        <is>
          <t>Nutrição e Correção de Deficiência Mineral</t>
        </is>
      </c>
      <c r="G346" s="13" t="inlineStr">
        <is>
          <t>Nutrição Vegetal</t>
        </is>
      </c>
      <c r="H346" s="13" t="inlineStr">
        <is>
          <t>NÃO</t>
        </is>
      </c>
      <c r="I346" s="15" t="n">
        <v>1</v>
      </c>
      <c r="J346" s="15" t="n">
        <v>250</v>
      </c>
      <c r="K346" s="13" t="inlineStr">
        <is>
          <t>kg ou L/ha</t>
        </is>
      </c>
      <c r="L346" s="15" t="n">
        <v>1</v>
      </c>
      <c r="M346" s="13" t="inlineStr">
        <is>
          <t>Aplicar conforme monitoramento e estádio recomendado na bula (Nutrição Vegetal SIPEAGRO)</t>
        </is>
      </c>
    </row>
    <row r="347" ht="22" customHeight="1">
      <c r="A347" s="6" t="inlineStr">
        <is>
          <t>ALV-0343</t>
        </is>
      </c>
      <c r="B347" s="5" t="n">
        <v>173</v>
      </c>
      <c r="C347" s="7" t="inlineStr">
        <is>
          <t>SIPEAGRO (UF-XXXXX)</t>
        </is>
      </c>
      <c r="D347" s="8" t="inlineStr">
        <is>
          <t>AGCN ENXOFRE 100</t>
        </is>
      </c>
      <c r="E347" s="7" t="inlineStr">
        <is>
          <t>Fertilizante Foliar / Micronutrientes</t>
        </is>
      </c>
      <c r="F347" s="7" t="inlineStr">
        <is>
          <t>Nutrição e Correção de Deficiência Mineral</t>
        </is>
      </c>
      <c r="G347" s="7" t="inlineStr">
        <is>
          <t>Nutrição Vegetal</t>
        </is>
      </c>
      <c r="H347" s="7" t="inlineStr">
        <is>
          <t>NÃO</t>
        </is>
      </c>
      <c r="I347" s="9" t="n">
        <v>1</v>
      </c>
      <c r="J347" s="9" t="n">
        <v>250</v>
      </c>
      <c r="K347" s="7" t="inlineStr">
        <is>
          <t>kg ou L/ha</t>
        </is>
      </c>
      <c r="L347" s="9" t="n">
        <v>1</v>
      </c>
      <c r="M347" s="7" t="inlineStr">
        <is>
          <t>Aplicar conforme monitoramento e estádio recomendado na bula (Nutrição Vegetal SIPEAGRO)</t>
        </is>
      </c>
    </row>
    <row r="348" ht="22" customHeight="1">
      <c r="A348" s="12" t="inlineStr">
        <is>
          <t>ALV-0344</t>
        </is>
      </c>
      <c r="B348" s="11" t="n">
        <v>174</v>
      </c>
      <c r="C348" s="13" t="inlineStr">
        <is>
          <t>SIPEAGRO (UF-XXXXX)</t>
        </is>
      </c>
      <c r="D348" s="14" t="inlineStr">
        <is>
          <t>AGCN FULL 100</t>
        </is>
      </c>
      <c r="E348" s="13" t="inlineStr">
        <is>
          <t>Fertilizante Organomineral / Bioestimulante</t>
        </is>
      </c>
      <c r="F348" s="13" t="inlineStr">
        <is>
          <t>Nutrição e Correção de Deficiência Mineral</t>
        </is>
      </c>
      <c r="G348" s="13" t="inlineStr">
        <is>
          <t>Nutrição Vegetal</t>
        </is>
      </c>
      <c r="H348" s="13" t="inlineStr">
        <is>
          <t>NÃO</t>
        </is>
      </c>
      <c r="I348" s="15" t="n">
        <v>1</v>
      </c>
      <c r="J348" s="15" t="n">
        <v>250</v>
      </c>
      <c r="K348" s="13" t="inlineStr">
        <is>
          <t>kg ou L/ha</t>
        </is>
      </c>
      <c r="L348" s="15" t="n">
        <v>1</v>
      </c>
      <c r="M348" s="13" t="inlineStr">
        <is>
          <t>Aplicar conforme monitoramento e estádio recomendado na bula (Nutrição Vegetal SIPEAGRO)</t>
        </is>
      </c>
    </row>
    <row r="349" ht="22" customHeight="1">
      <c r="A349" s="6" t="inlineStr">
        <is>
          <t>ALV-0345</t>
        </is>
      </c>
      <c r="B349" s="5" t="n">
        <v>175</v>
      </c>
      <c r="C349" s="7" t="inlineStr">
        <is>
          <t>SIPEAGRO (UF-XXXXX)</t>
        </is>
      </c>
      <c r="D349" s="8" t="inlineStr">
        <is>
          <t>AGCN MN</t>
        </is>
      </c>
      <c r="E349" s="7" t="inlineStr">
        <is>
          <t>Fertilizante Foliar / Micronutrientes</t>
        </is>
      </c>
      <c r="F349" s="7" t="inlineStr">
        <is>
          <t>Nutrição e Correção de Deficiência Mineral</t>
        </is>
      </c>
      <c r="G349" s="7" t="inlineStr">
        <is>
          <t>Nutrição Vegetal</t>
        </is>
      </c>
      <c r="H349" s="7" t="inlineStr">
        <is>
          <t>NÃO</t>
        </is>
      </c>
      <c r="I349" s="9" t="n">
        <v>1</v>
      </c>
      <c r="J349" s="9" t="n">
        <v>250</v>
      </c>
      <c r="K349" s="7" t="inlineStr">
        <is>
          <t>kg ou L/ha</t>
        </is>
      </c>
      <c r="L349" s="9" t="n">
        <v>1</v>
      </c>
      <c r="M349" s="7" t="inlineStr">
        <is>
          <t>Aplicar conforme monitoramento e estádio recomendado na bula (Nutrição Vegetal SIPEAGRO)</t>
        </is>
      </c>
    </row>
    <row r="350" ht="22" customHeight="1">
      <c r="A350" s="12" t="inlineStr">
        <is>
          <t>ALV-0346</t>
        </is>
      </c>
      <c r="B350" s="11" t="n">
        <v>176</v>
      </c>
      <c r="C350" s="13" t="inlineStr">
        <is>
          <t>SIPEAGRO (UF-XXXXX)</t>
        </is>
      </c>
      <c r="D350" s="14" t="inlineStr">
        <is>
          <t>AGCN MN ULTRA 100</t>
        </is>
      </c>
      <c r="E350" s="13" t="inlineStr">
        <is>
          <t>Fertilizante Organomineral / Bioestimulante</t>
        </is>
      </c>
      <c r="F350" s="13" t="inlineStr">
        <is>
          <t>Nutrição e Correção de Deficiência Mineral</t>
        </is>
      </c>
      <c r="G350" s="13" t="inlineStr">
        <is>
          <t>Nutrição Vegetal</t>
        </is>
      </c>
      <c r="H350" s="13" t="inlineStr">
        <is>
          <t>NÃO</t>
        </is>
      </c>
      <c r="I350" s="15" t="n">
        <v>1</v>
      </c>
      <c r="J350" s="15" t="n">
        <v>250</v>
      </c>
      <c r="K350" s="13" t="inlineStr">
        <is>
          <t>kg ou L/ha</t>
        </is>
      </c>
      <c r="L350" s="15" t="n">
        <v>1</v>
      </c>
      <c r="M350" s="13" t="inlineStr">
        <is>
          <t>Aplicar conforme monitoramento e estádio recomendado na bula (Nutrição Vegetal SIPEAGRO)</t>
        </is>
      </c>
    </row>
    <row r="351" ht="22" customHeight="1">
      <c r="A351" s="6" t="inlineStr">
        <is>
          <t>ALV-0347</t>
        </is>
      </c>
      <c r="B351" s="5" t="n">
        <v>177</v>
      </c>
      <c r="C351" s="7" t="inlineStr">
        <is>
          <t>SIPEAGRO (UF-XXXXX)</t>
        </is>
      </c>
      <c r="D351" s="8" t="inlineStr">
        <is>
          <t>AGCN MN+</t>
        </is>
      </c>
      <c r="E351" s="7" t="inlineStr">
        <is>
          <t>Fertilizante Foliar / Micronutrientes</t>
        </is>
      </c>
      <c r="F351" s="7" t="inlineStr">
        <is>
          <t>Nutrição e Correção de Deficiência Mineral</t>
        </is>
      </c>
      <c r="G351" s="7" t="inlineStr">
        <is>
          <t>Nutrição Vegetal</t>
        </is>
      </c>
      <c r="H351" s="7" t="inlineStr">
        <is>
          <t>NÃO</t>
        </is>
      </c>
      <c r="I351" s="9" t="n">
        <v>1</v>
      </c>
      <c r="J351" s="9" t="n">
        <v>250</v>
      </c>
      <c r="K351" s="7" t="inlineStr">
        <is>
          <t>kg ou L/ha</t>
        </is>
      </c>
      <c r="L351" s="9" t="n">
        <v>1</v>
      </c>
      <c r="M351" s="7" t="inlineStr">
        <is>
          <t>Aplicar conforme monitoramento e estádio recomendado na bula (Nutrição Vegetal SIPEAGRO)</t>
        </is>
      </c>
    </row>
    <row r="352" ht="22" customHeight="1">
      <c r="A352" s="12" t="inlineStr">
        <is>
          <t>ALV-0348</t>
        </is>
      </c>
      <c r="B352" s="11" t="n">
        <v>178</v>
      </c>
      <c r="C352" s="13" t="inlineStr">
        <is>
          <t>SIPEAGRO (UF-XXXXX)</t>
        </is>
      </c>
      <c r="D352" s="14" t="inlineStr">
        <is>
          <t>AGCN NITROGEN 30% 100</t>
        </is>
      </c>
      <c r="E352" s="13" t="inlineStr">
        <is>
          <t>Fertilizante Mineral Simples (Nitrogenado)</t>
        </is>
      </c>
      <c r="F352" s="13" t="inlineStr">
        <is>
          <t>Nutrição e Correção de Deficiência Mineral</t>
        </is>
      </c>
      <c r="G352" s="13" t="inlineStr">
        <is>
          <t>Nutrição Vegetal</t>
        </is>
      </c>
      <c r="H352" s="13" t="inlineStr">
        <is>
          <t>NÃO</t>
        </is>
      </c>
      <c r="I352" s="15" t="n">
        <v>1</v>
      </c>
      <c r="J352" s="15" t="n">
        <v>250</v>
      </c>
      <c r="K352" s="13" t="inlineStr">
        <is>
          <t>kg ou L/ha</t>
        </is>
      </c>
      <c r="L352" s="15" t="n">
        <v>1</v>
      </c>
      <c r="M352" s="13" t="inlineStr">
        <is>
          <t>Aplicar conforme monitoramento e estádio recomendado na bula (Nutrição Vegetal SIPEAGRO)</t>
        </is>
      </c>
    </row>
    <row r="353" ht="22" customHeight="1">
      <c r="A353" s="6" t="inlineStr">
        <is>
          <t>ALV-0349</t>
        </is>
      </c>
      <c r="B353" s="5" t="n">
        <v>179</v>
      </c>
      <c r="C353" s="7" t="inlineStr">
        <is>
          <t>SIPEAGRO (UF-XXXXX)</t>
        </is>
      </c>
      <c r="D353" s="8" t="inlineStr">
        <is>
          <t>BIOLOGIC NEMA</t>
        </is>
      </c>
      <c r="E353" s="7" t="inlineStr">
        <is>
          <t>Bionematicida (Biológico)</t>
        </is>
      </c>
      <c r="F353" s="7" t="inlineStr">
        <is>
          <t>Nematoide-das-lesões</t>
        </is>
      </c>
      <c r="G353" s="7" t="inlineStr">
        <is>
          <t>Pratylenchus brachyurus</t>
        </is>
      </c>
      <c r="H353" s="7" t="inlineStr">
        <is>
          <t>NÃO</t>
        </is>
      </c>
      <c r="I353" s="17" t="n">
        <v>0.2</v>
      </c>
      <c r="J353" s="9" t="n">
        <v>1</v>
      </c>
      <c r="K353" s="7" t="inlineStr">
        <is>
          <t>L/ha</t>
        </is>
      </c>
      <c r="L353" s="9" t="n">
        <v>1</v>
      </c>
      <c r="M353" s="7" t="inlineStr">
        <is>
          <t>Aplicar conforme monitoramento e estádio recomendado na bula (FRAC Grupo BM02 / IRAC Grupo 11A / Bioinsumo)</t>
        </is>
      </c>
    </row>
    <row r="354" ht="22" customHeight="1">
      <c r="A354" s="12" t="inlineStr">
        <is>
          <t>ALV-0350</t>
        </is>
      </c>
      <c r="B354" s="11" t="n">
        <v>179</v>
      </c>
      <c r="C354" s="13" t="inlineStr">
        <is>
          <t>SIPEAGRO (UF-XXXXX)</t>
        </is>
      </c>
      <c r="D354" s="14" t="inlineStr">
        <is>
          <t>BIOLOGIC NEMA</t>
        </is>
      </c>
      <c r="E354" s="13" t="inlineStr">
        <is>
          <t>Bionematicida (Biológico)</t>
        </is>
      </c>
      <c r="F354" s="13" t="inlineStr">
        <is>
          <t>Mofo-branco</t>
        </is>
      </c>
      <c r="G354" s="13" t="inlineStr">
        <is>
          <t>Sclerotinia sclerotiorum</t>
        </is>
      </c>
      <c r="H354" s="13" t="inlineStr">
        <is>
          <t>NÃO</t>
        </is>
      </c>
      <c r="I354" s="15" t="n">
        <v>1</v>
      </c>
      <c r="J354" s="15" t="n">
        <v>2</v>
      </c>
      <c r="K354" s="13" t="inlineStr">
        <is>
          <t>L/ha</t>
        </is>
      </c>
      <c r="L354" s="15" t="n">
        <v>1</v>
      </c>
      <c r="M354" s="13" t="inlineStr">
        <is>
          <t>Aplicar conforme monitoramento e estádio recomendado na bula (FRAC Grupo BM02 / IRAC Grupo 11A / Bioinsumo)</t>
        </is>
      </c>
    </row>
    <row r="355" ht="22" customHeight="1">
      <c r="A355" s="6" t="inlineStr">
        <is>
          <t>ALV-0351</t>
        </is>
      </c>
      <c r="B355" s="5" t="n">
        <v>180</v>
      </c>
      <c r="C355" s="7" t="inlineStr">
        <is>
          <t>SIPEAGRO (UF-XXXXX)</t>
        </is>
      </c>
      <c r="D355" s="8" t="inlineStr">
        <is>
          <t>BIOLOGIC PHOS</t>
        </is>
      </c>
      <c r="E355" s="7" t="inlineStr">
        <is>
          <t>Inoculante Solubilizador de Fósforo / Promotor de Crescimento</t>
        </is>
      </c>
      <c r="F355" s="7" t="inlineStr">
        <is>
          <t>Nematoide-das-lesões</t>
        </is>
      </c>
      <c r="G355" s="7" t="inlineStr">
        <is>
          <t>Pratylenchus brachyurus</t>
        </is>
      </c>
      <c r="H355" s="7" t="inlineStr">
        <is>
          <t>NÃO</t>
        </is>
      </c>
      <c r="I355" s="17" t="n">
        <v>0.2</v>
      </c>
      <c r="J355" s="9" t="n">
        <v>1</v>
      </c>
      <c r="K355" s="7" t="inlineStr">
        <is>
          <t>L/ha</t>
        </is>
      </c>
      <c r="L355" s="9" t="n">
        <v>1</v>
      </c>
      <c r="M355" s="7" t="inlineStr">
        <is>
          <t>Aplicar conforme monitoramento e estádio recomendado na bula (FRAC Grupo BM02 / IRAC Grupo 11A / Bioinsumo)</t>
        </is>
      </c>
    </row>
    <row r="356" ht="22" customHeight="1">
      <c r="A356" s="12" t="inlineStr">
        <is>
          <t>ALV-0352</t>
        </is>
      </c>
      <c r="B356" s="11" t="n">
        <v>180</v>
      </c>
      <c r="C356" s="13" t="inlineStr">
        <is>
          <t>SIPEAGRO (UF-XXXXX)</t>
        </is>
      </c>
      <c r="D356" s="14" t="inlineStr">
        <is>
          <t>BIOLOGIC PHOS</t>
        </is>
      </c>
      <c r="E356" s="13" t="inlineStr">
        <is>
          <t>Inoculante Solubilizador de Fósforo / Promotor de Crescimento</t>
        </is>
      </c>
      <c r="F356" s="13" t="inlineStr">
        <is>
          <t>Mofo-branco</t>
        </is>
      </c>
      <c r="G356" s="13" t="inlineStr">
        <is>
          <t>Sclerotinia sclerotiorum</t>
        </is>
      </c>
      <c r="H356" s="13" t="inlineStr">
        <is>
          <t>NÃO</t>
        </is>
      </c>
      <c r="I356" s="15" t="n">
        <v>1</v>
      </c>
      <c r="J356" s="15" t="n">
        <v>2</v>
      </c>
      <c r="K356" s="13" t="inlineStr">
        <is>
          <t>L/ha</t>
        </is>
      </c>
      <c r="L356" s="15" t="n">
        <v>1</v>
      </c>
      <c r="M356" s="13" t="inlineStr">
        <is>
          <t>Aplicar conforme monitoramento e estádio recomendado na bula (FRAC Grupo BM02 / IRAC Grupo 11A / Bioinsumo)</t>
        </is>
      </c>
    </row>
    <row r="357" ht="22" customHeight="1">
      <c r="A357" s="6" t="inlineStr">
        <is>
          <t>ALV-0353</t>
        </is>
      </c>
      <c r="B357" s="5" t="n">
        <v>181</v>
      </c>
      <c r="C357" s="7" t="inlineStr">
        <is>
          <t>Nº 13620</t>
        </is>
      </c>
      <c r="D357" s="8" t="inlineStr">
        <is>
          <t>CLIMUR</t>
        </is>
      </c>
      <c r="E357" s="7" t="inlineStr">
        <is>
          <t>Herbicida</t>
        </is>
      </c>
      <c r="F357" s="7" t="inlineStr">
        <is>
          <t>Plantas Daninhas Mono e Dicotiledôneas</t>
        </is>
      </c>
      <c r="G357" s="7" t="inlineStr">
        <is>
          <t>Flora Infestante</t>
        </is>
      </c>
      <c r="H357" s="7" t="inlineStr">
        <is>
          <t>NÃO</t>
        </is>
      </c>
      <c r="I357" s="17" t="n">
        <v>0.25</v>
      </c>
      <c r="J357" s="9" t="n">
        <v>2</v>
      </c>
      <c r="K357" s="7" t="inlineStr">
        <is>
          <t>L ou kg/ha</t>
        </is>
      </c>
      <c r="L357" s="9" t="n">
        <v>1</v>
      </c>
      <c r="M357" s="7" t="inlineStr">
        <is>
          <t>Aplicar conforme monitoramento e estádio recomendado na bula (Classificação HRAC Oficial conforme Bula)</t>
        </is>
      </c>
    </row>
    <row r="358" ht="22" customHeight="1">
      <c r="A358" s="12" t="inlineStr">
        <is>
          <t>ALV-0354</t>
        </is>
      </c>
      <c r="B358" s="11" t="n">
        <v>182</v>
      </c>
      <c r="C358" s="13" t="inlineStr">
        <is>
          <t>Nº 43219</t>
        </is>
      </c>
      <c r="D358" s="14" t="inlineStr">
        <is>
          <t>CLORPIRIFOS 480 EC GHARDA</t>
        </is>
      </c>
      <c r="E358" s="13" t="inlineStr">
        <is>
          <t>Inseticida</t>
        </is>
      </c>
      <c r="F358" s="13" t="inlineStr">
        <is>
          <t>Lagarta-do-cartucho</t>
        </is>
      </c>
      <c r="G358" s="13" t="inlineStr">
        <is>
          <t>Spodoptera frugiperda</t>
        </is>
      </c>
      <c r="H358" s="13" t="inlineStr">
        <is>
          <t>SIM (*)</t>
        </is>
      </c>
      <c r="I358" s="18" t="n">
        <v>0.4</v>
      </c>
      <c r="J358" s="18" t="n">
        <v>0.6</v>
      </c>
      <c r="K358" s="13" t="inlineStr">
        <is>
          <t>L/ha</t>
        </is>
      </c>
      <c r="L358" s="15" t="n">
        <v>1</v>
      </c>
      <c r="M358" s="13" t="inlineStr">
        <is>
          <t>Aplicar conforme monitoramento e estádio recomendado na bula (IRAC Grupo 1B)</t>
        </is>
      </c>
    </row>
    <row r="359" ht="22" customHeight="1">
      <c r="A359" s="6" t="inlineStr">
        <is>
          <t>ALV-0355</t>
        </is>
      </c>
      <c r="B359" s="5" t="n">
        <v>182</v>
      </c>
      <c r="C359" s="7" t="inlineStr">
        <is>
          <t>Nº 43219</t>
        </is>
      </c>
      <c r="D359" s="8" t="inlineStr">
        <is>
          <t>CLORPIRIFOS 480 EC GHARDA</t>
        </is>
      </c>
      <c r="E359" s="7" t="inlineStr">
        <is>
          <t>Inseticida</t>
        </is>
      </c>
      <c r="F359" s="7" t="inlineStr">
        <is>
          <t>Lagarta-da-soja</t>
        </is>
      </c>
      <c r="G359" s="7" t="inlineStr">
        <is>
          <t>Anticarsia gemmatalis</t>
        </is>
      </c>
      <c r="H359" s="7" t="inlineStr">
        <is>
          <t>NÃO</t>
        </is>
      </c>
      <c r="I359" s="17" t="n">
        <v>0.4</v>
      </c>
      <c r="J359" s="9" t="n">
        <v>1</v>
      </c>
      <c r="K359" s="7" t="inlineStr">
        <is>
          <t>L/ha</t>
        </is>
      </c>
      <c r="L359" s="9" t="n">
        <v>1</v>
      </c>
      <c r="M359" s="7" t="inlineStr">
        <is>
          <t>Aplicar conforme monitoramento e estádio recomendado na bula (IRAC Grupo 1B)</t>
        </is>
      </c>
    </row>
    <row r="360" ht="22" customHeight="1">
      <c r="A360" s="12" t="inlineStr">
        <is>
          <t>ALV-0356</t>
        </is>
      </c>
      <c r="B360" s="11" t="n">
        <v>182</v>
      </c>
      <c r="C360" s="13" t="inlineStr">
        <is>
          <t>Nº 43219</t>
        </is>
      </c>
      <c r="D360" s="14" t="inlineStr">
        <is>
          <t>CLORPIRIFOS 480 EC GHARDA</t>
        </is>
      </c>
      <c r="E360" s="13" t="inlineStr">
        <is>
          <t>Inseticida</t>
        </is>
      </c>
      <c r="F360" s="13" t="inlineStr">
        <is>
          <t>Broca-do-café</t>
        </is>
      </c>
      <c r="G360" s="13" t="inlineStr">
        <is>
          <t>Hypothenemus hampei</t>
        </is>
      </c>
      <c r="H360" s="13" t="inlineStr">
        <is>
          <t>NÃO</t>
        </is>
      </c>
      <c r="I360" s="15" t="n">
        <v>1</v>
      </c>
      <c r="J360" s="18" t="n">
        <v>1.5</v>
      </c>
      <c r="K360" s="13" t="inlineStr">
        <is>
          <t>L/ha</t>
        </is>
      </c>
      <c r="L360" s="15" t="n">
        <v>1</v>
      </c>
      <c r="M360" s="13" t="inlineStr">
        <is>
          <t>Aplicar conforme monitoramento e estádio recomendado na bula (IRAC Grupo 1B)</t>
        </is>
      </c>
    </row>
    <row r="361" ht="22" customHeight="1">
      <c r="A361" s="6" t="inlineStr">
        <is>
          <t>ALV-0357</t>
        </is>
      </c>
      <c r="B361" s="5" t="n">
        <v>183</v>
      </c>
      <c r="C361" s="7" t="inlineStr">
        <is>
          <t>Nº 26820</t>
        </is>
      </c>
      <c r="D361" s="8" t="inlineStr">
        <is>
          <t>CRUZARO 480 EC</t>
        </is>
      </c>
      <c r="E361" s="7" t="inlineStr">
        <is>
          <t>Herbicida</t>
        </is>
      </c>
      <c r="F361" s="7" t="inlineStr">
        <is>
          <t>Buva</t>
        </is>
      </c>
      <c r="G361" s="7" t="inlineStr">
        <is>
          <t>Conyza bonariensis</t>
        </is>
      </c>
      <c r="H361" s="7" t="inlineStr">
        <is>
          <t>SIM (*)</t>
        </is>
      </c>
      <c r="I361" s="17" t="n">
        <v>0.75</v>
      </c>
      <c r="J361" s="17" t="n">
        <v>1.5</v>
      </c>
      <c r="K361" s="7" t="inlineStr">
        <is>
          <t>L/ha</t>
        </is>
      </c>
      <c r="L361" s="9" t="n">
        <v>1</v>
      </c>
      <c r="M361" s="7" t="inlineStr">
        <is>
          <t>Aplicar conforme monitoramento e estádio recomendado na bula (HRAC Grupo O (4) — Auxinas Sintéticas)</t>
        </is>
      </c>
    </row>
    <row r="362" ht="22" customHeight="1">
      <c r="A362" s="12" t="inlineStr">
        <is>
          <t>ALV-0358</t>
        </is>
      </c>
      <c r="B362" s="11" t="n">
        <v>183</v>
      </c>
      <c r="C362" s="13" t="inlineStr">
        <is>
          <t>Nº 26820</t>
        </is>
      </c>
      <c r="D362" s="14" t="inlineStr">
        <is>
          <t>CRUZARO 480 EC</t>
        </is>
      </c>
      <c r="E362" s="13" t="inlineStr">
        <is>
          <t>Herbicida</t>
        </is>
      </c>
      <c r="F362" s="13" t="inlineStr">
        <is>
          <t>Corda-de-viola</t>
        </is>
      </c>
      <c r="G362" s="13" t="inlineStr">
        <is>
          <t>Ipomoea grandifolia</t>
        </is>
      </c>
      <c r="H362" s="13" t="inlineStr">
        <is>
          <t>NÃO</t>
        </is>
      </c>
      <c r="I362" s="18" t="n">
        <v>0.75</v>
      </c>
      <c r="J362" s="18" t="n">
        <v>1.25</v>
      </c>
      <c r="K362" s="13" t="inlineStr">
        <is>
          <t>L/ha</t>
        </is>
      </c>
      <c r="L362" s="15" t="n">
        <v>1</v>
      </c>
      <c r="M362" s="13" t="inlineStr">
        <is>
          <t>Aplicar conforme monitoramento e estádio recomendado na bula (HRAC Grupo O (4) — Auxinas Sintéticas)</t>
        </is>
      </c>
    </row>
    <row r="363" ht="22" customHeight="1">
      <c r="A363" s="6" t="inlineStr">
        <is>
          <t>ALV-0359</t>
        </is>
      </c>
      <c r="B363" s="5" t="n">
        <v>184</v>
      </c>
      <c r="C363" s="7" t="inlineStr">
        <is>
          <t>Nº 3915</t>
        </is>
      </c>
      <c r="D363" s="8" t="inlineStr">
        <is>
          <t>CYPER COPA 250 EC</t>
        </is>
      </c>
      <c r="E363" s="7" t="inlineStr">
        <is>
          <t>Inseticida</t>
        </is>
      </c>
      <c r="F363" s="7" t="inlineStr">
        <is>
          <t>Complexo de Lagartas, Percevejos e Sugadores</t>
        </is>
      </c>
      <c r="G363" s="7" t="inlineStr">
        <is>
          <t>Spodoptera / Euschistus / Bemisia</t>
        </is>
      </c>
      <c r="H363" s="7" t="inlineStr">
        <is>
          <t>NÃO</t>
        </is>
      </c>
      <c r="I363" s="17" t="n">
        <v>0.15</v>
      </c>
      <c r="J363" s="9" t="n">
        <v>1</v>
      </c>
      <c r="K363" s="7" t="inlineStr">
        <is>
          <t>L ou kg/ha</t>
        </is>
      </c>
      <c r="L363" s="9" t="n">
        <v>1</v>
      </c>
      <c r="M363" s="7" t="inlineStr">
        <is>
          <t>Aplicar conforme monitoramento e estádio recomendado na bula (Classificação IRAC Oficial conforme Bula)</t>
        </is>
      </c>
    </row>
    <row r="364" ht="22" customHeight="1">
      <c r="A364" s="12" t="inlineStr">
        <is>
          <t>ALV-0360</t>
        </is>
      </c>
      <c r="B364" s="11" t="n">
        <v>185</v>
      </c>
      <c r="C364" s="13" t="inlineStr">
        <is>
          <t>Nº 22221</t>
        </is>
      </c>
      <c r="D364" s="14" t="inlineStr">
        <is>
          <t>GRASIDIM</t>
        </is>
      </c>
      <c r="E364" s="13" t="inlineStr">
        <is>
          <t>Herbicida</t>
        </is>
      </c>
      <c r="F364" s="13" t="inlineStr">
        <is>
          <t>Capim-amargoso</t>
        </is>
      </c>
      <c r="G364" s="13" t="inlineStr">
        <is>
          <t>Digitaria insularis</t>
        </is>
      </c>
      <c r="H364" s="13" t="inlineStr">
        <is>
          <t>SIM (*)</t>
        </is>
      </c>
      <c r="I364" s="18" t="n">
        <v>0.45</v>
      </c>
      <c r="J364" s="18" t="n">
        <v>0.85</v>
      </c>
      <c r="K364" s="13" t="inlineStr">
        <is>
          <t>L/ha</t>
        </is>
      </c>
      <c r="L364" s="15" t="n">
        <v>1</v>
      </c>
      <c r="M364" s="13" t="inlineStr">
        <is>
          <t>Aplicar conforme monitoramento e estádio recomendado na bula (HRAC Grupo A (1) — Inibidores da ACCase)</t>
        </is>
      </c>
    </row>
    <row r="365" ht="22" customHeight="1">
      <c r="A365" s="6" t="inlineStr">
        <is>
          <t>ALV-0361</t>
        </is>
      </c>
      <c r="B365" s="5" t="n">
        <v>185</v>
      </c>
      <c r="C365" s="7" t="inlineStr">
        <is>
          <t>Nº 22221</t>
        </is>
      </c>
      <c r="D365" s="8" t="inlineStr">
        <is>
          <t>GRASIDIM</t>
        </is>
      </c>
      <c r="E365" s="7" t="inlineStr">
        <is>
          <t>Herbicida</t>
        </is>
      </c>
      <c r="F365" s="7" t="inlineStr">
        <is>
          <t>Capim-pé-de-galinha</t>
        </is>
      </c>
      <c r="G365" s="7" t="inlineStr">
        <is>
          <t>Eleusine indica</t>
        </is>
      </c>
      <c r="H365" s="7" t="inlineStr">
        <is>
          <t>SIM (*)</t>
        </is>
      </c>
      <c r="I365" s="17" t="n">
        <v>0.35</v>
      </c>
      <c r="J365" s="17" t="n">
        <v>0.45</v>
      </c>
      <c r="K365" s="7" t="inlineStr">
        <is>
          <t>L/ha</t>
        </is>
      </c>
      <c r="L365" s="9" t="n">
        <v>1</v>
      </c>
      <c r="M365" s="7" t="inlineStr">
        <is>
          <t>Aplicar conforme monitoramento e estádio recomendado na bula (HRAC Grupo A (1) — Inibidores da ACCase)</t>
        </is>
      </c>
    </row>
    <row r="366" ht="22" customHeight="1">
      <c r="A366" s="12" t="inlineStr">
        <is>
          <t>ALV-0362</t>
        </is>
      </c>
      <c r="B366" s="11" t="n">
        <v>185</v>
      </c>
      <c r="C366" s="13" t="inlineStr">
        <is>
          <t>Nº 22221</t>
        </is>
      </c>
      <c r="D366" s="14" t="inlineStr">
        <is>
          <t>GRASIDIM</t>
        </is>
      </c>
      <c r="E366" s="13" t="inlineStr">
        <is>
          <t>Herbicida</t>
        </is>
      </c>
      <c r="F366" s="13" t="inlineStr">
        <is>
          <t>Milho-voluntário (Tiguera)</t>
        </is>
      </c>
      <c r="G366" s="13" t="inlineStr">
        <is>
          <t>Zea mays</t>
        </is>
      </c>
      <c r="H366" s="13" t="inlineStr">
        <is>
          <t>NÃO</t>
        </is>
      </c>
      <c r="I366" s="18" t="n">
        <v>0.4</v>
      </c>
      <c r="J366" s="18" t="n">
        <v>0.6</v>
      </c>
      <c r="K366" s="13" t="inlineStr">
        <is>
          <t>L/ha</t>
        </is>
      </c>
      <c r="L366" s="15" t="n">
        <v>1</v>
      </c>
      <c r="M366" s="13" t="inlineStr">
        <is>
          <t>Aplicar conforme monitoramento e estádio recomendado na bula (HRAC Grupo A (1) — Inibidores da ACCase)</t>
        </is>
      </c>
    </row>
    <row r="367" ht="22" customHeight="1">
      <c r="A367" s="6" t="inlineStr">
        <is>
          <t>ALV-0363</t>
        </is>
      </c>
      <c r="B367" s="5" t="n">
        <v>186</v>
      </c>
      <c r="C367" s="7" t="inlineStr">
        <is>
          <t>Nº 6421</t>
        </is>
      </c>
      <c r="D367" s="8" t="inlineStr">
        <is>
          <t>KINGSTAR XTRA</t>
        </is>
      </c>
      <c r="E367" s="7" t="inlineStr">
        <is>
          <t>Fungicida</t>
        </is>
      </c>
      <c r="F367" s="7" t="inlineStr">
        <is>
          <t>Ferrugem-asiática</t>
        </is>
      </c>
      <c r="G367" s="7" t="inlineStr">
        <is>
          <t>Phakopsora pachyrhizi</t>
        </is>
      </c>
      <c r="H367" s="7" t="inlineStr">
        <is>
          <t>SIM (*)</t>
        </is>
      </c>
      <c r="I367" s="17" t="n">
        <v>0.3</v>
      </c>
      <c r="J367" s="17" t="n">
        <v>0.5</v>
      </c>
      <c r="K367" s="7" t="inlineStr">
        <is>
          <t>L/ha</t>
        </is>
      </c>
      <c r="L367" s="9" t="n">
        <v>1</v>
      </c>
      <c r="M367" s="7" t="inlineStr">
        <is>
          <t>Aplicar conforme monitoramento e estádio recomendado na bula (FRAC Grupo 11 (QoI))</t>
        </is>
      </c>
    </row>
    <row r="368" ht="22" customHeight="1">
      <c r="A368" s="12" t="inlineStr">
        <is>
          <t>ALV-0364</t>
        </is>
      </c>
      <c r="B368" s="11" t="n">
        <v>186</v>
      </c>
      <c r="C368" s="13" t="inlineStr">
        <is>
          <t>Nº 6421</t>
        </is>
      </c>
      <c r="D368" s="14" t="inlineStr">
        <is>
          <t>KINGSTAR XTRA</t>
        </is>
      </c>
      <c r="E368" s="13" t="inlineStr">
        <is>
          <t>Fungicida</t>
        </is>
      </c>
      <c r="F368" s="13" t="inlineStr">
        <is>
          <t>Cercosporiose</t>
        </is>
      </c>
      <c r="G368" s="13" t="inlineStr">
        <is>
          <t>Cercospora zeae-maydis</t>
        </is>
      </c>
      <c r="H368" s="13" t="inlineStr">
        <is>
          <t>NÃO</t>
        </is>
      </c>
      <c r="I368" s="18" t="n">
        <v>0.3</v>
      </c>
      <c r="J368" s="18" t="n">
        <v>0.5</v>
      </c>
      <c r="K368" s="13" t="inlineStr">
        <is>
          <t>L/ha</t>
        </is>
      </c>
      <c r="L368" s="15" t="n">
        <v>1</v>
      </c>
      <c r="M368" s="13" t="inlineStr">
        <is>
          <t>Aplicar conforme monitoramento e estádio recomendado na bula (FRAC Grupo 11 (QoI))</t>
        </is>
      </c>
    </row>
    <row r="369" ht="22" customHeight="1">
      <c r="A369" s="6" t="inlineStr">
        <is>
          <t>ALV-0365</t>
        </is>
      </c>
      <c r="B369" s="5" t="n">
        <v>187</v>
      </c>
      <c r="C369" s="7" t="inlineStr">
        <is>
          <t>Nº 31522</t>
        </is>
      </c>
      <c r="D369" s="8" t="inlineStr">
        <is>
          <t>METOMY 900</t>
        </is>
      </c>
      <c r="E369" s="7" t="inlineStr">
        <is>
          <t>Inseticida</t>
        </is>
      </c>
      <c r="F369" s="7" t="inlineStr">
        <is>
          <t>Lagarta-helicoverpa</t>
        </is>
      </c>
      <c r="G369" s="7" t="inlineStr">
        <is>
          <t>Helicoverpa armigera</t>
        </is>
      </c>
      <c r="H369" s="7" t="inlineStr">
        <is>
          <t>NÃO</t>
        </is>
      </c>
      <c r="I369" s="17" t="n">
        <v>0.2</v>
      </c>
      <c r="J369" s="17" t="n">
        <v>0.5</v>
      </c>
      <c r="K369" s="7" t="inlineStr">
        <is>
          <t>kg ou L/ha</t>
        </is>
      </c>
      <c r="L369" s="9" t="n">
        <v>1</v>
      </c>
      <c r="M369" s="7" t="inlineStr">
        <is>
          <t>Aplicar conforme monitoramento e estádio recomendado na bula (IRAC Grupo 1A)</t>
        </is>
      </c>
    </row>
    <row r="370" ht="22" customHeight="1">
      <c r="A370" s="12" t="inlineStr">
        <is>
          <t>ALV-0366</t>
        </is>
      </c>
      <c r="B370" s="11" t="n">
        <v>187</v>
      </c>
      <c r="C370" s="13" t="inlineStr">
        <is>
          <t>Nº 31522</t>
        </is>
      </c>
      <c r="D370" s="14" t="inlineStr">
        <is>
          <t>METOMY 900</t>
        </is>
      </c>
      <c r="E370" s="13" t="inlineStr">
        <is>
          <t>Inseticida</t>
        </is>
      </c>
      <c r="F370" s="13" t="inlineStr">
        <is>
          <t>Lagarta-do-cartucho</t>
        </is>
      </c>
      <c r="G370" s="13" t="inlineStr">
        <is>
          <t>Spodoptera frugiperda</t>
        </is>
      </c>
      <c r="H370" s="13" t="inlineStr">
        <is>
          <t>NÃO</t>
        </is>
      </c>
      <c r="I370" s="18" t="n">
        <v>0.15</v>
      </c>
      <c r="J370" s="18" t="n">
        <v>0.3</v>
      </c>
      <c r="K370" s="13" t="inlineStr">
        <is>
          <t>kg ou L/ha</t>
        </is>
      </c>
      <c r="L370" s="15" t="n">
        <v>1</v>
      </c>
      <c r="M370" s="13" t="inlineStr">
        <is>
          <t>Aplicar conforme monitoramento e estádio recomendado na bula (IRAC Grupo 1A)</t>
        </is>
      </c>
    </row>
    <row r="371" ht="22" customHeight="1">
      <c r="A371" s="6" t="inlineStr">
        <is>
          <t>ALV-0367</t>
        </is>
      </c>
      <c r="B371" s="5" t="n">
        <v>187</v>
      </c>
      <c r="C371" s="7" t="inlineStr">
        <is>
          <t>Nº 31522</t>
        </is>
      </c>
      <c r="D371" s="8" t="inlineStr">
        <is>
          <t>METOMY 900</t>
        </is>
      </c>
      <c r="E371" s="7" t="inlineStr">
        <is>
          <t>Inseticida</t>
        </is>
      </c>
      <c r="F371" s="7" t="inlineStr">
        <is>
          <t>Lagarta-da-soja</t>
        </is>
      </c>
      <c r="G371" s="7" t="inlineStr">
        <is>
          <t>Anticarsia gemmatalis</t>
        </is>
      </c>
      <c r="H371" s="7" t="inlineStr">
        <is>
          <t>NÃO</t>
        </is>
      </c>
      <c r="I371" s="17" t="n">
        <v>0.1</v>
      </c>
      <c r="J371" s="17" t="n">
        <v>0.2</v>
      </c>
      <c r="K371" s="7" t="inlineStr">
        <is>
          <t>kg ou L/ha</t>
        </is>
      </c>
      <c r="L371" s="9" t="n">
        <v>1</v>
      </c>
      <c r="M371" s="7" t="inlineStr">
        <is>
          <t>Aplicar conforme monitoramento e estádio recomendado na bula (IRAC Grupo 1A)</t>
        </is>
      </c>
    </row>
    <row r="372" ht="22" customHeight="1">
      <c r="A372" s="12" t="inlineStr">
        <is>
          <t>ALV-0368</t>
        </is>
      </c>
      <c r="B372" s="11" t="n">
        <v>188</v>
      </c>
      <c r="C372" s="13" t="inlineStr">
        <is>
          <t>Nº 28017</t>
        </is>
      </c>
      <c r="D372" s="14" t="inlineStr">
        <is>
          <t>RODOLIA 200 SP</t>
        </is>
      </c>
      <c r="E372" s="13" t="inlineStr">
        <is>
          <t>Inseticida</t>
        </is>
      </c>
      <c r="F372" s="13" t="inlineStr">
        <is>
          <t>Mosca-branca</t>
        </is>
      </c>
      <c r="G372" s="13" t="inlineStr">
        <is>
          <t>Bemisia tabaci raça B</t>
        </is>
      </c>
      <c r="H372" s="13" t="inlineStr">
        <is>
          <t>SIM (*)</t>
        </is>
      </c>
      <c r="I372" s="18" t="n">
        <v>0.2</v>
      </c>
      <c r="J372" s="18" t="n">
        <v>0.3</v>
      </c>
      <c r="K372" s="13" t="inlineStr">
        <is>
          <t>kg/ha</t>
        </is>
      </c>
      <c r="L372" s="15" t="n">
        <v>1</v>
      </c>
      <c r="M372" s="13" t="inlineStr">
        <is>
          <t>Aplicar conforme monitoramento e estádio recomendado na bula (IRAC Grupo 4A)</t>
        </is>
      </c>
    </row>
    <row r="373" ht="22" customHeight="1">
      <c r="A373" s="6" t="inlineStr">
        <is>
          <t>ALV-0369</t>
        </is>
      </c>
      <c r="B373" s="5" t="n">
        <v>188</v>
      </c>
      <c r="C373" s="7" t="inlineStr">
        <is>
          <t>Nº 28017</t>
        </is>
      </c>
      <c r="D373" s="8" t="inlineStr">
        <is>
          <t>RODOLIA 200 SP</t>
        </is>
      </c>
      <c r="E373" s="7" t="inlineStr">
        <is>
          <t>Inseticida</t>
        </is>
      </c>
      <c r="F373" s="7" t="inlineStr">
        <is>
          <t>Pulgão-do-algodoeiro</t>
        </is>
      </c>
      <c r="G373" s="7" t="inlineStr">
        <is>
          <t>Aphis gossypii</t>
        </is>
      </c>
      <c r="H373" s="7" t="inlineStr">
        <is>
          <t>NÃO</t>
        </is>
      </c>
      <c r="I373" s="17" t="n">
        <v>0.15</v>
      </c>
      <c r="J373" s="17" t="n">
        <v>0.25</v>
      </c>
      <c r="K373" s="7" t="inlineStr">
        <is>
          <t>kg/ha</t>
        </is>
      </c>
      <c r="L373" s="9" t="n">
        <v>1</v>
      </c>
      <c r="M373" s="7" t="inlineStr">
        <is>
          <t>Aplicar conforme monitoramento e estádio recomendado na bula (IRAC Grupo 4A)</t>
        </is>
      </c>
    </row>
    <row r="374" ht="22" customHeight="1">
      <c r="A374" s="12" t="inlineStr">
        <is>
          <t>ALV-0370</t>
        </is>
      </c>
      <c r="B374" s="11" t="n">
        <v>188</v>
      </c>
      <c r="C374" s="13" t="inlineStr">
        <is>
          <t>Nº 28017</t>
        </is>
      </c>
      <c r="D374" s="14" t="inlineStr">
        <is>
          <t>RODOLIA 200 SP</t>
        </is>
      </c>
      <c r="E374" s="13" t="inlineStr">
        <is>
          <t>Inseticida</t>
        </is>
      </c>
      <c r="F374" s="13" t="inlineStr">
        <is>
          <t>Percevejo-marrom</t>
        </is>
      </c>
      <c r="G374" s="13" t="inlineStr">
        <is>
          <t>Euschistus heros</t>
        </is>
      </c>
      <c r="H374" s="13" t="inlineStr">
        <is>
          <t>NÃO</t>
        </is>
      </c>
      <c r="I374" s="18" t="n">
        <v>0.25</v>
      </c>
      <c r="J374" s="18" t="n">
        <v>0.35</v>
      </c>
      <c r="K374" s="13" t="inlineStr">
        <is>
          <t>kg/ha</t>
        </is>
      </c>
      <c r="L374" s="15" t="n">
        <v>1</v>
      </c>
      <c r="M374" s="13" t="inlineStr">
        <is>
          <t>Aplicar conforme monitoramento e estádio recomendado na bula (IRAC Grupo 4A)</t>
        </is>
      </c>
    </row>
    <row r="375" ht="22" customHeight="1">
      <c r="A375" s="6" t="inlineStr">
        <is>
          <t>ALV-0371</t>
        </is>
      </c>
      <c r="B375" s="5" t="n">
        <v>189</v>
      </c>
      <c r="C375" s="7" t="inlineStr">
        <is>
          <t>Nº 12222</t>
        </is>
      </c>
      <c r="D375" s="8" t="inlineStr">
        <is>
          <t>SUNGAIN XTRA</t>
        </is>
      </c>
      <c r="E375" s="7" t="inlineStr">
        <is>
          <t>Herbicida</t>
        </is>
      </c>
      <c r="F375" s="7" t="inlineStr">
        <is>
          <t>Buva</t>
        </is>
      </c>
      <c r="G375" s="7" t="inlineStr">
        <is>
          <t>Conyza bonariensis</t>
        </is>
      </c>
      <c r="H375" s="7" t="inlineStr">
        <is>
          <t>NÃO</t>
        </is>
      </c>
      <c r="I375" s="17" t="n">
        <v>0.1</v>
      </c>
      <c r="J375" s="17" t="n">
        <v>0.2</v>
      </c>
      <c r="K375" s="7" t="inlineStr">
        <is>
          <t>L ou kg/ha</t>
        </is>
      </c>
      <c r="L375" s="9" t="n">
        <v>1</v>
      </c>
      <c r="M375" s="7" t="inlineStr">
        <is>
          <t>Aplicar conforme monitoramento e estádio recomendado na bula (HRAC Grupo E (14) — Inibidores da PROTOX)</t>
        </is>
      </c>
    </row>
    <row r="376" ht="22" customHeight="1">
      <c r="A376" s="12" t="inlineStr">
        <is>
          <t>ALV-0372</t>
        </is>
      </c>
      <c r="B376" s="11" t="n">
        <v>189</v>
      </c>
      <c r="C376" s="13" t="inlineStr">
        <is>
          <t>Nº 12222</t>
        </is>
      </c>
      <c r="D376" s="14" t="inlineStr">
        <is>
          <t>SUNGAIN XTRA</t>
        </is>
      </c>
      <c r="E376" s="13" t="inlineStr">
        <is>
          <t>Herbicida</t>
        </is>
      </c>
      <c r="F376" s="13" t="inlineStr">
        <is>
          <t>Caruru</t>
        </is>
      </c>
      <c r="G376" s="13" t="inlineStr">
        <is>
          <t>Amaranthus hybridus</t>
        </is>
      </c>
      <c r="H376" s="13" t="inlineStr">
        <is>
          <t>NÃO</t>
        </is>
      </c>
      <c r="I376" s="18" t="n">
        <v>0.1</v>
      </c>
      <c r="J376" s="18" t="n">
        <v>0.2</v>
      </c>
      <c r="K376" s="13" t="inlineStr">
        <is>
          <t>L ou kg/ha</t>
        </is>
      </c>
      <c r="L376" s="15" t="n">
        <v>1</v>
      </c>
      <c r="M376" s="13" t="inlineStr">
        <is>
          <t>Aplicar conforme monitoramento e estádio recomendado na bula (HRAC Grupo E (14) — Inibidores da PROTOX)</t>
        </is>
      </c>
    </row>
    <row r="377" ht="22" customHeight="1">
      <c r="A377" s="6" t="inlineStr">
        <is>
          <t>ALV-0373</t>
        </is>
      </c>
      <c r="B377" s="5" t="n">
        <v>189</v>
      </c>
      <c r="C377" s="7" t="inlineStr">
        <is>
          <t>Nº 12222</t>
        </is>
      </c>
      <c r="D377" s="8" t="inlineStr">
        <is>
          <t>SUNGAIN XTRA</t>
        </is>
      </c>
      <c r="E377" s="7" t="inlineStr">
        <is>
          <t>Herbicida</t>
        </is>
      </c>
      <c r="F377" s="7" t="inlineStr">
        <is>
          <t>Poaia-branca</t>
        </is>
      </c>
      <c r="G377" s="7" t="inlineStr">
        <is>
          <t>Richardia brasiliensis</t>
        </is>
      </c>
      <c r="H377" s="7" t="inlineStr">
        <is>
          <t>NÃO</t>
        </is>
      </c>
      <c r="I377" s="17" t="n">
        <v>0.1</v>
      </c>
      <c r="J377" s="17" t="n">
        <v>0.15</v>
      </c>
      <c r="K377" s="7" t="inlineStr">
        <is>
          <t>L ou kg/ha</t>
        </is>
      </c>
      <c r="L377" s="9" t="n">
        <v>1</v>
      </c>
      <c r="M377" s="7" t="inlineStr">
        <is>
          <t>Aplicar conforme monitoramento e estádio recomendado na bula (HRAC Grupo E (14) — Inibidores da PROTOX)</t>
        </is>
      </c>
    </row>
    <row r="378" ht="22" customHeight="1">
      <c r="A378" s="12" t="inlineStr">
        <is>
          <t>ALV-0374</t>
        </is>
      </c>
      <c r="B378" s="11" t="n">
        <v>190</v>
      </c>
      <c r="C378" s="13" t="inlineStr">
        <is>
          <t>Nº 19623</t>
        </is>
      </c>
      <c r="D378" s="14" t="inlineStr">
        <is>
          <t>TORBAN PLUS</t>
        </is>
      </c>
      <c r="E378" s="13" t="inlineStr">
        <is>
          <t>Herbicida</t>
        </is>
      </c>
      <c r="F378" s="13" t="inlineStr">
        <is>
          <t>Buva</t>
        </is>
      </c>
      <c r="G378" s="13" t="inlineStr">
        <is>
          <t>Conyza bonariensis</t>
        </is>
      </c>
      <c r="H378" s="13" t="inlineStr">
        <is>
          <t>SIM (*)</t>
        </is>
      </c>
      <c r="I378" s="15" t="n">
        <v>1</v>
      </c>
      <c r="J378" s="18" t="n">
        <v>1.5</v>
      </c>
      <c r="K378" s="13" t="inlineStr">
        <is>
          <t>L/ha</t>
        </is>
      </c>
      <c r="L378" s="15" t="n">
        <v>1</v>
      </c>
      <c r="M378" s="13" t="inlineStr">
        <is>
          <t>Aplicar conforme monitoramento e estádio recomendado na bula (HRAC Grupo O (4) — Auxinas Sintéticas)</t>
        </is>
      </c>
    </row>
    <row r="379" ht="22" customHeight="1">
      <c r="A379" s="6" t="inlineStr">
        <is>
          <t>ALV-0375</t>
        </is>
      </c>
      <c r="B379" s="5" t="n">
        <v>190</v>
      </c>
      <c r="C379" s="7" t="inlineStr">
        <is>
          <t>Nº 19623</t>
        </is>
      </c>
      <c r="D379" s="8" t="inlineStr">
        <is>
          <t>TORBAN PLUS</t>
        </is>
      </c>
      <c r="E379" s="7" t="inlineStr">
        <is>
          <t>Herbicida</t>
        </is>
      </c>
      <c r="F379" s="7" t="inlineStr">
        <is>
          <t>Corda-de-viola</t>
        </is>
      </c>
      <c r="G379" s="7" t="inlineStr">
        <is>
          <t>Ipomoea grandifolia</t>
        </is>
      </c>
      <c r="H379" s="7" t="inlineStr">
        <is>
          <t>NÃO</t>
        </is>
      </c>
      <c r="I379" s="9" t="n">
        <v>1</v>
      </c>
      <c r="J379" s="17" t="n">
        <v>1.5</v>
      </c>
      <c r="K379" s="7" t="inlineStr">
        <is>
          <t>L/ha</t>
        </is>
      </c>
      <c r="L379" s="9" t="n">
        <v>1</v>
      </c>
      <c r="M379" s="7" t="inlineStr">
        <is>
          <t>Aplicar conforme monitoramento e estádio recomendado na bula (HRAC Grupo O (4) — Auxinas Sintéticas)</t>
        </is>
      </c>
    </row>
    <row r="380" ht="22" customHeight="1">
      <c r="A380" s="12" t="inlineStr">
        <is>
          <t>ALV-0376</t>
        </is>
      </c>
      <c r="B380" s="11" t="n">
        <v>190</v>
      </c>
      <c r="C380" s="13" t="inlineStr">
        <is>
          <t>Nº 19623</t>
        </is>
      </c>
      <c r="D380" s="14" t="inlineStr">
        <is>
          <t>TORBAN PLUS</t>
        </is>
      </c>
      <c r="E380" s="13" t="inlineStr">
        <is>
          <t>Herbicida</t>
        </is>
      </c>
      <c r="F380" s="13" t="inlineStr">
        <is>
          <t>Trapoeraba</t>
        </is>
      </c>
      <c r="G380" s="13" t="inlineStr">
        <is>
          <t>Commelina benghalensis</t>
        </is>
      </c>
      <c r="H380" s="13" t="inlineStr">
        <is>
          <t>NÃO</t>
        </is>
      </c>
      <c r="I380" s="15" t="n">
        <v>1</v>
      </c>
      <c r="J380" s="15" t="n">
        <v>2</v>
      </c>
      <c r="K380" s="13" t="inlineStr">
        <is>
          <t>L/ha</t>
        </is>
      </c>
      <c r="L380" s="15" t="n">
        <v>1</v>
      </c>
      <c r="M380" s="13" t="inlineStr">
        <is>
          <t>Aplicar conforme monitoramento e estádio recomendado na bula (HRAC Grupo O (4) — Auxinas Sintéticas)</t>
        </is>
      </c>
    </row>
    <row r="381" ht="22" customHeight="1">
      <c r="A381" s="6" t="inlineStr">
        <is>
          <t>ALV-0377</t>
        </is>
      </c>
      <c r="B381" s="5" t="n">
        <v>191</v>
      </c>
      <c r="C381" s="7" t="inlineStr">
        <is>
          <t>Nº 19623</t>
        </is>
      </c>
      <c r="D381" s="8" t="inlineStr">
        <is>
          <t>TORBAN PLUS</t>
        </is>
      </c>
      <c r="E381" s="7" t="inlineStr">
        <is>
          <t>Herbicida</t>
        </is>
      </c>
      <c r="F381" s="7" t="inlineStr">
        <is>
          <t>Buva</t>
        </is>
      </c>
      <c r="G381" s="7" t="inlineStr">
        <is>
          <t>Conyza bonariensis</t>
        </is>
      </c>
      <c r="H381" s="7" t="inlineStr">
        <is>
          <t>SIM (*)</t>
        </is>
      </c>
      <c r="I381" s="9" t="n">
        <v>1</v>
      </c>
      <c r="J381" s="17" t="n">
        <v>1.5</v>
      </c>
      <c r="K381" s="7" t="inlineStr">
        <is>
          <t>L/ha</t>
        </is>
      </c>
      <c r="L381" s="9" t="n">
        <v>1</v>
      </c>
      <c r="M381" s="7" t="inlineStr">
        <is>
          <t>Aplicar conforme monitoramento e estádio recomendado na bula (HRAC Grupo O (4) — Auxinas Sintéticas)</t>
        </is>
      </c>
    </row>
    <row r="382" ht="22" customHeight="1">
      <c r="A382" s="12" t="inlineStr">
        <is>
          <t>ALV-0378</t>
        </is>
      </c>
      <c r="B382" s="11" t="n">
        <v>191</v>
      </c>
      <c r="C382" s="13" t="inlineStr">
        <is>
          <t>Nº 19623</t>
        </is>
      </c>
      <c r="D382" s="14" t="inlineStr">
        <is>
          <t>TORBAN PLUS</t>
        </is>
      </c>
      <c r="E382" s="13" t="inlineStr">
        <is>
          <t>Herbicida</t>
        </is>
      </c>
      <c r="F382" s="13" t="inlineStr">
        <is>
          <t>Corda-de-viola</t>
        </is>
      </c>
      <c r="G382" s="13" t="inlineStr">
        <is>
          <t>Ipomoea grandifolia</t>
        </is>
      </c>
      <c r="H382" s="13" t="inlineStr">
        <is>
          <t>NÃO</t>
        </is>
      </c>
      <c r="I382" s="15" t="n">
        <v>1</v>
      </c>
      <c r="J382" s="18" t="n">
        <v>1.5</v>
      </c>
      <c r="K382" s="13" t="inlineStr">
        <is>
          <t>L/ha</t>
        </is>
      </c>
      <c r="L382" s="15" t="n">
        <v>1</v>
      </c>
      <c r="M382" s="13" t="inlineStr">
        <is>
          <t>Aplicar conforme monitoramento e estádio recomendado na bula (HRAC Grupo O (4) — Auxinas Sintéticas)</t>
        </is>
      </c>
    </row>
    <row r="383" ht="22" customHeight="1">
      <c r="A383" s="6" t="inlineStr">
        <is>
          <t>ALV-0379</t>
        </is>
      </c>
      <c r="B383" s="5" t="n">
        <v>191</v>
      </c>
      <c r="C383" s="7" t="inlineStr">
        <is>
          <t>Nº 19623</t>
        </is>
      </c>
      <c r="D383" s="8" t="inlineStr">
        <is>
          <t>TORBAN PLUS</t>
        </is>
      </c>
      <c r="E383" s="7" t="inlineStr">
        <is>
          <t>Herbicida</t>
        </is>
      </c>
      <c r="F383" s="7" t="inlineStr">
        <is>
          <t>Trapoeraba</t>
        </is>
      </c>
      <c r="G383" s="7" t="inlineStr">
        <is>
          <t>Commelina benghalensis</t>
        </is>
      </c>
      <c r="H383" s="7" t="inlineStr">
        <is>
          <t>NÃO</t>
        </is>
      </c>
      <c r="I383" s="9" t="n">
        <v>1</v>
      </c>
      <c r="J383" s="9" t="n">
        <v>2</v>
      </c>
      <c r="K383" s="7" t="inlineStr">
        <is>
          <t>L/ha</t>
        </is>
      </c>
      <c r="L383" s="9" t="n">
        <v>1</v>
      </c>
      <c r="M383" s="7" t="inlineStr">
        <is>
          <t>Aplicar conforme monitoramento e estádio recomendado na bula (HRAC Grupo O (4) — Auxinas Sintéticas)</t>
        </is>
      </c>
    </row>
    <row r="384" ht="22" customHeight="1">
      <c r="A384" s="12" t="inlineStr">
        <is>
          <t>ALV-0380</t>
        </is>
      </c>
      <c r="B384" s="11" t="n">
        <v>192</v>
      </c>
      <c r="C384" s="13" t="inlineStr">
        <is>
          <t>Nº 31422</t>
        </is>
      </c>
      <c r="D384" s="14" t="inlineStr">
        <is>
          <t>ZARPAL</t>
        </is>
      </c>
      <c r="E384" s="13" t="inlineStr">
        <is>
          <t>Inseticida</t>
        </is>
      </c>
      <c r="F384" s="13" t="inlineStr">
        <is>
          <t>Bicudo-do-algodoeiro</t>
        </is>
      </c>
      <c r="G384" s="13" t="inlineStr">
        <is>
          <t>Anthonomus grandis</t>
        </is>
      </c>
      <c r="H384" s="13" t="inlineStr">
        <is>
          <t>NÃO</t>
        </is>
      </c>
      <c r="I384" s="18" t="n">
        <v>0.15</v>
      </c>
      <c r="J384" s="18" t="n">
        <v>0.25</v>
      </c>
      <c r="K384" s="13" t="inlineStr">
        <is>
          <t>L/ha</t>
        </is>
      </c>
      <c r="L384" s="15" t="n">
        <v>1</v>
      </c>
      <c r="M384" s="13" t="inlineStr">
        <is>
          <t>Aplicar conforme monitoramento e estádio recomendado na bula (IRAC Grupo 3A)</t>
        </is>
      </c>
    </row>
    <row r="385" ht="22" customHeight="1">
      <c r="A385" s="6" t="inlineStr">
        <is>
          <t>ALV-0381</t>
        </is>
      </c>
      <c r="B385" s="5" t="n">
        <v>192</v>
      </c>
      <c r="C385" s="7" t="inlineStr">
        <is>
          <t>Nº 31422</t>
        </is>
      </c>
      <c r="D385" s="8" t="inlineStr">
        <is>
          <t>ZARPAL</t>
        </is>
      </c>
      <c r="E385" s="7" t="inlineStr">
        <is>
          <t>Inseticida</t>
        </is>
      </c>
      <c r="F385" s="7" t="inlineStr">
        <is>
          <t>Mosca-branca</t>
        </is>
      </c>
      <c r="G385" s="7" t="inlineStr">
        <is>
          <t>Bemisia tabaci raça B</t>
        </is>
      </c>
      <c r="H385" s="7" t="inlineStr">
        <is>
          <t>SIM (*)</t>
        </is>
      </c>
      <c r="I385" s="17" t="n">
        <v>0.125</v>
      </c>
      <c r="J385" s="17" t="n">
        <v>0.25</v>
      </c>
      <c r="K385" s="7" t="inlineStr">
        <is>
          <t>L/ha</t>
        </is>
      </c>
      <c r="L385" s="9" t="n">
        <v>1</v>
      </c>
      <c r="M385" s="7" t="inlineStr">
        <is>
          <t>Aplicar conforme monitoramento e estádio recomendado na bula (IRAC Grupo 3A)</t>
        </is>
      </c>
    </row>
    <row r="386" ht="22" customHeight="1">
      <c r="A386" s="12" t="inlineStr">
        <is>
          <t>ALV-0382</t>
        </is>
      </c>
      <c r="B386" s="11" t="n">
        <v>192</v>
      </c>
      <c r="C386" s="13" t="inlineStr">
        <is>
          <t>Nº 31422</t>
        </is>
      </c>
      <c r="D386" s="14" t="inlineStr">
        <is>
          <t>ZARPAL</t>
        </is>
      </c>
      <c r="E386" s="13" t="inlineStr">
        <is>
          <t>Inseticida</t>
        </is>
      </c>
      <c r="F386" s="13" t="inlineStr">
        <is>
          <t>Ácaro-rajado</t>
        </is>
      </c>
      <c r="G386" s="13" t="inlineStr">
        <is>
          <t>Tetranychus urticae</t>
        </is>
      </c>
      <c r="H386" s="13" t="inlineStr">
        <is>
          <t>SIM (*)</t>
        </is>
      </c>
      <c r="I386" s="18" t="n">
        <v>0.15</v>
      </c>
      <c r="J386" s="18" t="n">
        <v>0.2</v>
      </c>
      <c r="K386" s="13" t="inlineStr">
        <is>
          <t>L/ha</t>
        </is>
      </c>
      <c r="L386" s="15" t="n">
        <v>1</v>
      </c>
      <c r="M386" s="13" t="inlineStr">
        <is>
          <t>Aplicar conforme monitoramento e estádio recomendado na bula (IRAC Grupo 3A)</t>
        </is>
      </c>
    </row>
    <row r="387" ht="22" customHeight="1">
      <c r="A387" s="6" t="inlineStr">
        <is>
          <t>ALV-0383</t>
        </is>
      </c>
      <c r="B387" s="5" t="n">
        <v>193</v>
      </c>
      <c r="C387" s="7" t="inlineStr">
        <is>
          <t>Nº 10317</t>
        </is>
      </c>
      <c r="D387" s="8" t="inlineStr">
        <is>
          <t>XEQUE MATE</t>
        </is>
      </c>
      <c r="E387" s="7" t="inlineStr">
        <is>
          <t>Herbicida</t>
        </is>
      </c>
      <c r="F387" s="7" t="inlineStr">
        <is>
          <t>Capim-amargoso</t>
        </is>
      </c>
      <c r="G387" s="7" t="inlineStr">
        <is>
          <t>Digitaria insularis</t>
        </is>
      </c>
      <c r="H387" s="7" t="inlineStr">
        <is>
          <t>SIM (*)</t>
        </is>
      </c>
      <c r="I387" s="17" t="n">
        <v>1.5</v>
      </c>
      <c r="J387" s="17" t="n">
        <v>2.5</v>
      </c>
      <c r="K387" s="7" t="inlineStr">
        <is>
          <t>kg ou L/ha</t>
        </is>
      </c>
      <c r="L387" s="9" t="n">
        <v>1</v>
      </c>
      <c r="M387" s="7" t="inlineStr">
        <is>
          <t>Aplicar conforme monitoramento e estádio recomendado na bula (HRAC Grupo G (EPSPs))</t>
        </is>
      </c>
    </row>
    <row r="388" ht="22" customHeight="1">
      <c r="A388" s="12" t="inlineStr">
        <is>
          <t>ALV-0384</t>
        </is>
      </c>
      <c r="B388" s="11" t="n">
        <v>193</v>
      </c>
      <c r="C388" s="13" t="inlineStr">
        <is>
          <t>Nº 10317</t>
        </is>
      </c>
      <c r="D388" s="14" t="inlineStr">
        <is>
          <t>XEQUE MATE</t>
        </is>
      </c>
      <c r="E388" s="13" t="inlineStr">
        <is>
          <t>Herbicida</t>
        </is>
      </c>
      <c r="F388" s="13" t="inlineStr">
        <is>
          <t>Buva</t>
        </is>
      </c>
      <c r="G388" s="13" t="inlineStr">
        <is>
          <t>Conyza bonariensis</t>
        </is>
      </c>
      <c r="H388" s="13" t="inlineStr">
        <is>
          <t>SIM (*)</t>
        </is>
      </c>
      <c r="I388" s="15" t="n">
        <v>1</v>
      </c>
      <c r="J388" s="15" t="n">
        <v>2</v>
      </c>
      <c r="K388" s="13" t="inlineStr">
        <is>
          <t>kg ou L/ha</t>
        </is>
      </c>
      <c r="L388" s="15" t="n">
        <v>1</v>
      </c>
      <c r="M388" s="13" t="inlineStr">
        <is>
          <t>Aplicar conforme monitoramento e estádio recomendado na bula (HRAC Grupo G (EPSPs))</t>
        </is>
      </c>
    </row>
    <row r="389" ht="22" customHeight="1">
      <c r="A389" s="6" t="inlineStr">
        <is>
          <t>ALV-0385</t>
        </is>
      </c>
      <c r="B389" s="5" t="n">
        <v>193</v>
      </c>
      <c r="C389" s="7" t="inlineStr">
        <is>
          <t>Nº 10317</t>
        </is>
      </c>
      <c r="D389" s="8" t="inlineStr">
        <is>
          <t>XEQUE MATE</t>
        </is>
      </c>
      <c r="E389" s="7" t="inlineStr">
        <is>
          <t>Herbicida</t>
        </is>
      </c>
      <c r="F389" s="7" t="inlineStr">
        <is>
          <t>Capim-pé-de-galinha</t>
        </is>
      </c>
      <c r="G389" s="7" t="inlineStr">
        <is>
          <t>Eleusine indica</t>
        </is>
      </c>
      <c r="H389" s="7" t="inlineStr">
        <is>
          <t>SIM (*)</t>
        </is>
      </c>
      <c r="I389" s="9" t="n">
        <v>1</v>
      </c>
      <c r="J389" s="17" t="n">
        <v>1.5</v>
      </c>
      <c r="K389" s="7" t="inlineStr">
        <is>
          <t>kg ou L/ha</t>
        </is>
      </c>
      <c r="L389" s="9" t="n">
        <v>1</v>
      </c>
      <c r="M389" s="7" t="inlineStr">
        <is>
          <t>Aplicar conforme monitoramento e estádio recomendado na bula (HRAC Grupo G (EPSPs))</t>
        </is>
      </c>
    </row>
    <row r="390" ht="22" customHeight="1">
      <c r="A390" s="12" t="inlineStr">
        <is>
          <t>ALV-0386</t>
        </is>
      </c>
      <c r="B390" s="11" t="n">
        <v>193</v>
      </c>
      <c r="C390" s="13" t="inlineStr">
        <is>
          <t>Nº 10317</t>
        </is>
      </c>
      <c r="D390" s="14" t="inlineStr">
        <is>
          <t>XEQUE MATE</t>
        </is>
      </c>
      <c r="E390" s="13" t="inlineStr">
        <is>
          <t>Herbicida</t>
        </is>
      </c>
      <c r="F390" s="13" t="inlineStr">
        <is>
          <t>Trapoeraba</t>
        </is>
      </c>
      <c r="G390" s="13" t="inlineStr">
        <is>
          <t>Commelina benghalensis</t>
        </is>
      </c>
      <c r="H390" s="13" t="inlineStr">
        <is>
          <t>NÃO</t>
        </is>
      </c>
      <c r="I390" s="15" t="n">
        <v>2</v>
      </c>
      <c r="J390" s="18" t="n">
        <v>3.5</v>
      </c>
      <c r="K390" s="13" t="inlineStr">
        <is>
          <t>kg ou L/ha</t>
        </is>
      </c>
      <c r="L390" s="15" t="n">
        <v>1</v>
      </c>
      <c r="M390" s="13" t="inlineStr">
        <is>
          <t>Aplicar conforme monitoramento e estádio recomendado na bula (HRAC Grupo G (EPSPs))</t>
        </is>
      </c>
    </row>
    <row r="391" ht="22" customHeight="1">
      <c r="A391" s="6" t="inlineStr">
        <is>
          <t>ALV-0387</t>
        </is>
      </c>
      <c r="B391" s="5" t="n">
        <v>194</v>
      </c>
      <c r="C391" s="7" t="inlineStr">
        <is>
          <t>Nº 6313</t>
        </is>
      </c>
      <c r="D391" s="8" t="inlineStr">
        <is>
          <t>MANFIL 800 WP</t>
        </is>
      </c>
      <c r="E391" s="7" t="inlineStr">
        <is>
          <t>Fungicida</t>
        </is>
      </c>
      <c r="F391" s="7" t="inlineStr">
        <is>
          <t>Ferrugem-asiática</t>
        </is>
      </c>
      <c r="G391" s="7" t="inlineStr">
        <is>
          <t>Phakopsora pachyrhizi</t>
        </is>
      </c>
      <c r="H391" s="7" t="inlineStr">
        <is>
          <t>NÃO</t>
        </is>
      </c>
      <c r="I391" s="17" t="n">
        <v>1.5</v>
      </c>
      <c r="J391" s="17" t="n">
        <v>2.5</v>
      </c>
      <c r="K391" s="7" t="inlineStr">
        <is>
          <t>kg/ha</t>
        </is>
      </c>
      <c r="L391" s="9" t="n">
        <v>1</v>
      </c>
      <c r="M391" s="7" t="inlineStr">
        <is>
          <t>Aplicar conforme monitoramento e estádio recomendado na bula (FRAC Grupo M03 — Multissítio)</t>
        </is>
      </c>
    </row>
    <row r="392" ht="22" customHeight="1">
      <c r="A392" s="12" t="inlineStr">
        <is>
          <t>ALV-0388</t>
        </is>
      </c>
      <c r="B392" s="11" t="n">
        <v>194</v>
      </c>
      <c r="C392" s="13" t="inlineStr">
        <is>
          <t>Nº 6313</t>
        </is>
      </c>
      <c r="D392" s="14" t="inlineStr">
        <is>
          <t>MANFIL 800 WP</t>
        </is>
      </c>
      <c r="E392" s="13" t="inlineStr">
        <is>
          <t>Fungicida</t>
        </is>
      </c>
      <c r="F392" s="13" t="inlineStr">
        <is>
          <t>Mancha-alvo</t>
        </is>
      </c>
      <c r="G392" s="13" t="inlineStr">
        <is>
          <t>Corynespora cassiicola</t>
        </is>
      </c>
      <c r="H392" s="13" t="inlineStr">
        <is>
          <t>NÃO</t>
        </is>
      </c>
      <c r="I392" s="18" t="n">
        <v>1.5</v>
      </c>
      <c r="J392" s="18" t="n">
        <v>2.5</v>
      </c>
      <c r="K392" s="13" t="inlineStr">
        <is>
          <t>kg/ha</t>
        </is>
      </c>
      <c r="L392" s="15" t="n">
        <v>1</v>
      </c>
      <c r="M392" s="13" t="inlineStr">
        <is>
          <t>Aplicar conforme monitoramento e estádio recomendado na bula (FRAC Grupo M03 — Multissítio)</t>
        </is>
      </c>
    </row>
    <row r="393" ht="22" customHeight="1">
      <c r="A393" s="6" t="inlineStr">
        <is>
          <t>ALV-0389</t>
        </is>
      </c>
      <c r="B393" s="5" t="n">
        <v>194</v>
      </c>
      <c r="C393" s="7" t="inlineStr">
        <is>
          <t>Nº 6313</t>
        </is>
      </c>
      <c r="D393" s="8" t="inlineStr">
        <is>
          <t>MANFIL 800 WP</t>
        </is>
      </c>
      <c r="E393" s="7" t="inlineStr">
        <is>
          <t>Fungicida</t>
        </is>
      </c>
      <c r="F393" s="7" t="inlineStr">
        <is>
          <t>Pinta-preta</t>
        </is>
      </c>
      <c r="G393" s="7" t="inlineStr">
        <is>
          <t>Alternaria solani</t>
        </is>
      </c>
      <c r="H393" s="7" t="inlineStr">
        <is>
          <t>NÃO</t>
        </is>
      </c>
      <c r="I393" s="9" t="n">
        <v>2</v>
      </c>
      <c r="J393" s="9" t="n">
        <v>3</v>
      </c>
      <c r="K393" s="7" t="inlineStr">
        <is>
          <t>kg/ha</t>
        </is>
      </c>
      <c r="L393" s="9" t="n">
        <v>1</v>
      </c>
      <c r="M393" s="7" t="inlineStr">
        <is>
          <t>Aplicar conforme monitoramento e estádio recomendado na bula (FRAC Grupo M03 — Multissítio)</t>
        </is>
      </c>
    </row>
    <row r="394" ht="22" customHeight="1">
      <c r="A394" s="12" t="inlineStr">
        <is>
          <t>ALV-0390</t>
        </is>
      </c>
      <c r="B394" s="11" t="n">
        <v>195</v>
      </c>
      <c r="C394" s="13" t="inlineStr">
        <is>
          <t>Nº 15716</t>
        </is>
      </c>
      <c r="D394" s="14" t="inlineStr">
        <is>
          <t>DIFCOR 250 EC BR</t>
        </is>
      </c>
      <c r="E394" s="13" t="inlineStr">
        <is>
          <t>Fungicida</t>
        </is>
      </c>
      <c r="F394" s="13" t="inlineStr">
        <is>
          <t>Mancha-alvo</t>
        </is>
      </c>
      <c r="G394" s="13" t="inlineStr">
        <is>
          <t>Corynespora cassiicola</t>
        </is>
      </c>
      <c r="H394" s="13" t="inlineStr">
        <is>
          <t>SIM (*)</t>
        </is>
      </c>
      <c r="I394" s="18" t="n">
        <v>0.3</v>
      </c>
      <c r="J394" s="18" t="n">
        <v>0.5</v>
      </c>
      <c r="K394" s="13" t="inlineStr">
        <is>
          <t>L/ha</t>
        </is>
      </c>
      <c r="L394" s="15" t="n">
        <v>1</v>
      </c>
      <c r="M394" s="13" t="inlineStr">
        <is>
          <t>Aplicar conforme monitoramento e estádio recomendado na bula (FRAC Grupo 3 (DMI))</t>
        </is>
      </c>
    </row>
    <row r="395" ht="22" customHeight="1">
      <c r="A395" s="6" t="inlineStr">
        <is>
          <t>ALV-0391</t>
        </is>
      </c>
      <c r="B395" s="5" t="n">
        <v>195</v>
      </c>
      <c r="C395" s="7" t="inlineStr">
        <is>
          <t>Nº 15716</t>
        </is>
      </c>
      <c r="D395" s="8" t="inlineStr">
        <is>
          <t>DIFCOR 250 EC BR</t>
        </is>
      </c>
      <c r="E395" s="7" t="inlineStr">
        <is>
          <t>Fungicida</t>
        </is>
      </c>
      <c r="F395" s="7" t="inlineStr">
        <is>
          <t>Oídio</t>
        </is>
      </c>
      <c r="G395" s="7" t="inlineStr">
        <is>
          <t>Microsphaera diffusa</t>
        </is>
      </c>
      <c r="H395" s="7" t="inlineStr">
        <is>
          <t>NÃO</t>
        </is>
      </c>
      <c r="I395" s="17" t="n">
        <v>0.2</v>
      </c>
      <c r="J395" s="17" t="n">
        <v>0.3</v>
      </c>
      <c r="K395" s="7" t="inlineStr">
        <is>
          <t>L/ha</t>
        </is>
      </c>
      <c r="L395" s="9" t="n">
        <v>1</v>
      </c>
      <c r="M395" s="7" t="inlineStr">
        <is>
          <t>Aplicar conforme monitoramento e estádio recomendado na bula (FRAC Grupo 3 (DMI))</t>
        </is>
      </c>
    </row>
    <row r="396" ht="22" customHeight="1">
      <c r="A396" s="12" t="inlineStr">
        <is>
          <t>ALV-0392</t>
        </is>
      </c>
      <c r="B396" s="11" t="n">
        <v>195</v>
      </c>
      <c r="C396" s="13" t="inlineStr">
        <is>
          <t>Nº 15716</t>
        </is>
      </c>
      <c r="D396" s="14" t="inlineStr">
        <is>
          <t>DIFCOR 250 EC BR</t>
        </is>
      </c>
      <c r="E396" s="13" t="inlineStr">
        <is>
          <t>Fungicida</t>
        </is>
      </c>
      <c r="F396" s="13" t="inlineStr">
        <is>
          <t>Antracnose</t>
        </is>
      </c>
      <c r="G396" s="13" t="inlineStr">
        <is>
          <t>Colletotrichum truncatum</t>
        </is>
      </c>
      <c r="H396" s="13" t="inlineStr">
        <is>
          <t>NÃO</t>
        </is>
      </c>
      <c r="I396" s="18" t="n">
        <v>0.3</v>
      </c>
      <c r="J396" s="18" t="n">
        <v>0.4</v>
      </c>
      <c r="K396" s="13" t="inlineStr">
        <is>
          <t>L/ha</t>
        </is>
      </c>
      <c r="L396" s="15" t="n">
        <v>1</v>
      </c>
      <c r="M396" s="13" t="inlineStr">
        <is>
          <t>Aplicar conforme monitoramento e estádio recomendado na bula (FRAC Grupo 3 (DMI))</t>
        </is>
      </c>
    </row>
    <row r="397" ht="22" customHeight="1">
      <c r="A397" s="6" t="inlineStr">
        <is>
          <t>ALV-0393</t>
        </is>
      </c>
      <c r="B397" s="5" t="n">
        <v>196</v>
      </c>
      <c r="C397" s="7" t="inlineStr">
        <is>
          <t>SIPEAGRO (UF-XXXXX)</t>
        </is>
      </c>
      <c r="D397" s="8" t="inlineStr">
        <is>
          <t>BIOMAX PREMIUM LIQ SOJA 4X1,8L</t>
        </is>
      </c>
      <c r="E397" s="7" t="inlineStr">
        <is>
          <t>Inoculante Fixador de Nitrogênio</t>
        </is>
      </c>
      <c r="F397" s="7" t="inlineStr">
        <is>
          <t>Fixação Biológica / Manejo Biológico de Solo</t>
        </is>
      </c>
      <c r="G397" s="7" t="inlineStr">
        <is>
          <t>Biologia de Solo</t>
        </is>
      </c>
      <c r="H397" s="7" t="inlineStr">
        <is>
          <t>NÃO</t>
        </is>
      </c>
      <c r="I397" s="17" t="n">
        <v>0.1</v>
      </c>
      <c r="J397" s="9" t="n">
        <v>1</v>
      </c>
      <c r="K397" s="7" t="inlineStr">
        <is>
          <t>L ou kg/ha</t>
        </is>
      </c>
      <c r="L397" s="9" t="n">
        <v>1</v>
      </c>
      <c r="M397" s="7" t="inlineStr">
        <is>
          <t>Aplicar conforme monitoramento e estádio recomendado na bula (Bioinsumo Agrícola)</t>
        </is>
      </c>
    </row>
    <row r="398" ht="22" customHeight="1">
      <c r="A398" s="12" t="inlineStr">
        <is>
          <t>ALV-0394</t>
        </is>
      </c>
      <c r="B398" s="11" t="n">
        <v>197</v>
      </c>
      <c r="C398" s="13" t="inlineStr">
        <is>
          <t>Nº 12812</t>
        </is>
      </c>
      <c r="D398" s="14" t="inlineStr">
        <is>
          <t>INSIDE FS</t>
        </is>
      </c>
      <c r="E398" s="13" t="inlineStr">
        <is>
          <t>Inseticida</t>
        </is>
      </c>
      <c r="F398" s="13" t="inlineStr">
        <is>
          <t>Complexo de Lagartas, Percevejos e Sugadores</t>
        </is>
      </c>
      <c r="G398" s="13" t="inlineStr">
        <is>
          <t>Spodoptera / Euschistus / Bemisia</t>
        </is>
      </c>
      <c r="H398" s="13" t="inlineStr">
        <is>
          <t>NÃO</t>
        </is>
      </c>
      <c r="I398" s="18" t="n">
        <v>0.15</v>
      </c>
      <c r="J398" s="15" t="n">
        <v>1</v>
      </c>
      <c r="K398" s="13" t="inlineStr">
        <is>
          <t>L ou kg/ha</t>
        </is>
      </c>
      <c r="L398" s="15" t="n">
        <v>1</v>
      </c>
      <c r="M398" s="13" t="inlineStr">
        <is>
          <t>Aplicar conforme monitoramento e estádio recomendado na bula (Classificação IRAC Oficial conforme Bula)</t>
        </is>
      </c>
    </row>
    <row r="399" ht="22" customHeight="1">
      <c r="A399" s="6" t="inlineStr">
        <is>
          <t>ALV-0395</t>
        </is>
      </c>
      <c r="B399" s="5" t="n">
        <v>198</v>
      </c>
      <c r="C399" s="7" t="inlineStr">
        <is>
          <t>Nº 22417</t>
        </is>
      </c>
      <c r="D399" s="8" t="inlineStr">
        <is>
          <t>SUMYZIN</t>
        </is>
      </c>
      <c r="E399" s="7" t="inlineStr">
        <is>
          <t>Herbicida</t>
        </is>
      </c>
      <c r="F399" s="7" t="inlineStr">
        <is>
          <t>Buva</t>
        </is>
      </c>
      <c r="G399" s="7" t="inlineStr">
        <is>
          <t>Conyza bonariensis</t>
        </is>
      </c>
      <c r="H399" s="7" t="inlineStr">
        <is>
          <t>NÃO</t>
        </is>
      </c>
      <c r="I399" s="17" t="n">
        <v>0.1</v>
      </c>
      <c r="J399" s="17" t="n">
        <v>0.2</v>
      </c>
      <c r="K399" s="7" t="inlineStr">
        <is>
          <t>L ou kg/ha</t>
        </is>
      </c>
      <c r="L399" s="9" t="n">
        <v>1</v>
      </c>
      <c r="M399" s="7" t="inlineStr">
        <is>
          <t>Aplicar conforme monitoramento e estádio recomendado na bula (HRAC Grupo E (14) — Inibidores da PROTOX)</t>
        </is>
      </c>
    </row>
    <row r="400" ht="22" customHeight="1">
      <c r="A400" s="12" t="inlineStr">
        <is>
          <t>ALV-0396</t>
        </is>
      </c>
      <c r="B400" s="11" t="n">
        <v>198</v>
      </c>
      <c r="C400" s="13" t="inlineStr">
        <is>
          <t>Nº 22417</t>
        </is>
      </c>
      <c r="D400" s="14" t="inlineStr">
        <is>
          <t>SUMYZIN</t>
        </is>
      </c>
      <c r="E400" s="13" t="inlineStr">
        <is>
          <t>Herbicida</t>
        </is>
      </c>
      <c r="F400" s="13" t="inlineStr">
        <is>
          <t>Caruru</t>
        </is>
      </c>
      <c r="G400" s="13" t="inlineStr">
        <is>
          <t>Amaranthus hybridus</t>
        </is>
      </c>
      <c r="H400" s="13" t="inlineStr">
        <is>
          <t>NÃO</t>
        </is>
      </c>
      <c r="I400" s="18" t="n">
        <v>0.1</v>
      </c>
      <c r="J400" s="18" t="n">
        <v>0.2</v>
      </c>
      <c r="K400" s="13" t="inlineStr">
        <is>
          <t>L ou kg/ha</t>
        </is>
      </c>
      <c r="L400" s="15" t="n">
        <v>1</v>
      </c>
      <c r="M400" s="13" t="inlineStr">
        <is>
          <t>Aplicar conforme monitoramento e estádio recomendado na bula (HRAC Grupo E (14) — Inibidores da PROTOX)</t>
        </is>
      </c>
    </row>
    <row r="401" ht="22" customHeight="1">
      <c r="A401" s="6" t="inlineStr">
        <is>
          <t>ALV-0397</t>
        </is>
      </c>
      <c r="B401" s="5" t="n">
        <v>198</v>
      </c>
      <c r="C401" s="7" t="inlineStr">
        <is>
          <t>Nº 22417</t>
        </is>
      </c>
      <c r="D401" s="8" t="inlineStr">
        <is>
          <t>SUMYZIN</t>
        </is>
      </c>
      <c r="E401" s="7" t="inlineStr">
        <is>
          <t>Herbicida</t>
        </is>
      </c>
      <c r="F401" s="7" t="inlineStr">
        <is>
          <t>Poaia-branca</t>
        </is>
      </c>
      <c r="G401" s="7" t="inlineStr">
        <is>
          <t>Richardia brasiliensis</t>
        </is>
      </c>
      <c r="H401" s="7" t="inlineStr">
        <is>
          <t>NÃO</t>
        </is>
      </c>
      <c r="I401" s="17" t="n">
        <v>0.1</v>
      </c>
      <c r="J401" s="17" t="n">
        <v>0.15</v>
      </c>
      <c r="K401" s="7" t="inlineStr">
        <is>
          <t>L ou kg/ha</t>
        </is>
      </c>
      <c r="L401" s="9" t="n">
        <v>1</v>
      </c>
      <c r="M401" s="7" t="inlineStr">
        <is>
          <t>Aplicar conforme monitoramento e estádio recomendado na bula (HRAC Grupo E (14) — Inibidores da PROTOX)</t>
        </is>
      </c>
    </row>
    <row r="402" ht="22" customHeight="1">
      <c r="A402" s="12" t="inlineStr">
        <is>
          <t>ALV-0398</t>
        </is>
      </c>
      <c r="B402" s="11" t="n">
        <v>199</v>
      </c>
      <c r="C402" s="13" t="inlineStr">
        <is>
          <t>Nº 28520</t>
        </is>
      </c>
      <c r="D402" s="14" t="inlineStr">
        <is>
          <t>SENHA 720 WG</t>
        </is>
      </c>
      <c r="E402" s="13" t="inlineStr">
        <is>
          <t>Herbicida</t>
        </is>
      </c>
      <c r="F402" s="13" t="inlineStr">
        <is>
          <t>Capim-amargoso</t>
        </is>
      </c>
      <c r="G402" s="13" t="inlineStr">
        <is>
          <t>Digitaria insularis</t>
        </is>
      </c>
      <c r="H402" s="13" t="inlineStr">
        <is>
          <t>SIM (*)</t>
        </is>
      </c>
      <c r="I402" s="18" t="n">
        <v>1.5</v>
      </c>
      <c r="J402" s="18" t="n">
        <v>2.5</v>
      </c>
      <c r="K402" s="13" t="inlineStr">
        <is>
          <t>kg ou L/ha</t>
        </is>
      </c>
      <c r="L402" s="15" t="n">
        <v>1</v>
      </c>
      <c r="M402" s="13" t="inlineStr">
        <is>
          <t>Aplicar conforme monitoramento e estádio recomendado na bula (HRAC Grupo G (EPSPs))</t>
        </is>
      </c>
    </row>
    <row r="403" ht="22" customHeight="1">
      <c r="A403" s="6" t="inlineStr">
        <is>
          <t>ALV-0399</t>
        </is>
      </c>
      <c r="B403" s="5" t="n">
        <v>199</v>
      </c>
      <c r="C403" s="7" t="inlineStr">
        <is>
          <t>Nº 28520</t>
        </is>
      </c>
      <c r="D403" s="8" t="inlineStr">
        <is>
          <t>SENHA 720 WG</t>
        </is>
      </c>
      <c r="E403" s="7" t="inlineStr">
        <is>
          <t>Herbicida</t>
        </is>
      </c>
      <c r="F403" s="7" t="inlineStr">
        <is>
          <t>Buva</t>
        </is>
      </c>
      <c r="G403" s="7" t="inlineStr">
        <is>
          <t>Conyza bonariensis</t>
        </is>
      </c>
      <c r="H403" s="7" t="inlineStr">
        <is>
          <t>SIM (*)</t>
        </is>
      </c>
      <c r="I403" s="9" t="n">
        <v>1</v>
      </c>
      <c r="J403" s="9" t="n">
        <v>2</v>
      </c>
      <c r="K403" s="7" t="inlineStr">
        <is>
          <t>kg ou L/ha</t>
        </is>
      </c>
      <c r="L403" s="9" t="n">
        <v>1</v>
      </c>
      <c r="M403" s="7" t="inlineStr">
        <is>
          <t>Aplicar conforme monitoramento e estádio recomendado na bula (HRAC Grupo G (EPSPs))</t>
        </is>
      </c>
    </row>
    <row r="404" ht="22" customHeight="1">
      <c r="A404" s="12" t="inlineStr">
        <is>
          <t>ALV-0400</t>
        </is>
      </c>
      <c r="B404" s="11" t="n">
        <v>199</v>
      </c>
      <c r="C404" s="13" t="inlineStr">
        <is>
          <t>Nº 28520</t>
        </is>
      </c>
      <c r="D404" s="14" t="inlineStr">
        <is>
          <t>SENHA 720 WG</t>
        </is>
      </c>
      <c r="E404" s="13" t="inlineStr">
        <is>
          <t>Herbicida</t>
        </is>
      </c>
      <c r="F404" s="13" t="inlineStr">
        <is>
          <t>Capim-pé-de-galinha</t>
        </is>
      </c>
      <c r="G404" s="13" t="inlineStr">
        <is>
          <t>Eleusine indica</t>
        </is>
      </c>
      <c r="H404" s="13" t="inlineStr">
        <is>
          <t>SIM (*)</t>
        </is>
      </c>
      <c r="I404" s="15" t="n">
        <v>1</v>
      </c>
      <c r="J404" s="18" t="n">
        <v>1.5</v>
      </c>
      <c r="K404" s="13" t="inlineStr">
        <is>
          <t>kg ou L/ha</t>
        </is>
      </c>
      <c r="L404" s="15" t="n">
        <v>1</v>
      </c>
      <c r="M404" s="13" t="inlineStr">
        <is>
          <t>Aplicar conforme monitoramento e estádio recomendado na bula (HRAC Grupo G (EPSPs))</t>
        </is>
      </c>
    </row>
    <row r="405" ht="22" customHeight="1">
      <c r="A405" s="6" t="inlineStr">
        <is>
          <t>ALV-0401</t>
        </is>
      </c>
      <c r="B405" s="5" t="n">
        <v>199</v>
      </c>
      <c r="C405" s="7" t="inlineStr">
        <is>
          <t>Nº 28520</t>
        </is>
      </c>
      <c r="D405" s="8" t="inlineStr">
        <is>
          <t>SENHA 720 WG</t>
        </is>
      </c>
      <c r="E405" s="7" t="inlineStr">
        <is>
          <t>Herbicida</t>
        </is>
      </c>
      <c r="F405" s="7" t="inlineStr">
        <is>
          <t>Trapoeraba</t>
        </is>
      </c>
      <c r="G405" s="7" t="inlineStr">
        <is>
          <t>Commelina benghalensis</t>
        </is>
      </c>
      <c r="H405" s="7" t="inlineStr">
        <is>
          <t>NÃO</t>
        </is>
      </c>
      <c r="I405" s="9" t="n">
        <v>2</v>
      </c>
      <c r="J405" s="17" t="n">
        <v>3.5</v>
      </c>
      <c r="K405" s="7" t="inlineStr">
        <is>
          <t>kg ou L/ha</t>
        </is>
      </c>
      <c r="L405" s="9" t="n">
        <v>1</v>
      </c>
      <c r="M405" s="7" t="inlineStr">
        <is>
          <t>Aplicar conforme monitoramento e estádio recomendado na bula (HRAC Grupo G (EPSPs))</t>
        </is>
      </c>
    </row>
    <row r="406" ht="22" customHeight="1">
      <c r="A406" s="12" t="inlineStr">
        <is>
          <t>ALV-0402</t>
        </is>
      </c>
      <c r="B406" s="11" t="n">
        <v>200</v>
      </c>
      <c r="C406" s="13" t="inlineStr">
        <is>
          <t>SIPEAGRO (UF-XXXXX)</t>
        </is>
      </c>
      <c r="D406" s="14" t="inlineStr">
        <is>
          <t>AGCN MG 16</t>
        </is>
      </c>
      <c r="E406" s="13" t="inlineStr">
        <is>
          <t>Fertilizante Foliar / Micronutrientes</t>
        </is>
      </c>
      <c r="F406" s="13" t="inlineStr">
        <is>
          <t>Nutrição e Correção de Deficiência Mineral</t>
        </is>
      </c>
      <c r="G406" s="13" t="inlineStr">
        <is>
          <t>Nutrição Vegetal</t>
        </is>
      </c>
      <c r="H406" s="13" t="inlineStr">
        <is>
          <t>NÃO</t>
        </is>
      </c>
      <c r="I406" s="15" t="n">
        <v>1</v>
      </c>
      <c r="J406" s="15" t="n">
        <v>250</v>
      </c>
      <c r="K406" s="13" t="inlineStr">
        <is>
          <t>kg ou L/ha</t>
        </is>
      </c>
      <c r="L406" s="15" t="n">
        <v>1</v>
      </c>
      <c r="M406" s="13" t="inlineStr">
        <is>
          <t>Aplicar conforme monitoramento e estádio recomendado na bula (Nutrição Vegetal SIPEAGRO)</t>
        </is>
      </c>
    </row>
    <row r="407" ht="22" customHeight="1">
      <c r="A407" s="6" t="inlineStr">
        <is>
          <t>ALV-0403</t>
        </is>
      </c>
      <c r="B407" s="5" t="n">
        <v>201</v>
      </c>
      <c r="C407" s="7" t="inlineStr">
        <is>
          <t>Nº 25119</t>
        </is>
      </c>
      <c r="D407" s="8" t="inlineStr">
        <is>
          <t>GLIFOSATO 72WG ALAMOS</t>
        </is>
      </c>
      <c r="E407" s="7" t="inlineStr">
        <is>
          <t>Herbicida</t>
        </is>
      </c>
      <c r="F407" s="7" t="inlineStr">
        <is>
          <t>Capim-amargoso</t>
        </is>
      </c>
      <c r="G407" s="7" t="inlineStr">
        <is>
          <t>Digitaria insularis</t>
        </is>
      </c>
      <c r="H407" s="7" t="inlineStr">
        <is>
          <t>SIM (*)</t>
        </is>
      </c>
      <c r="I407" s="17" t="n">
        <v>1.5</v>
      </c>
      <c r="J407" s="17" t="n">
        <v>2.5</v>
      </c>
      <c r="K407" s="7" t="inlineStr">
        <is>
          <t>kg ou L/ha</t>
        </is>
      </c>
      <c r="L407" s="9" t="n">
        <v>1</v>
      </c>
      <c r="M407" s="7" t="inlineStr">
        <is>
          <t>Aplicar conforme monitoramento e estádio recomendado na bula (HRAC Grupo G (EPSPs))</t>
        </is>
      </c>
    </row>
    <row r="408" ht="22" customHeight="1">
      <c r="A408" s="12" t="inlineStr">
        <is>
          <t>ALV-0404</t>
        </is>
      </c>
      <c r="B408" s="11" t="n">
        <v>201</v>
      </c>
      <c r="C408" s="13" t="inlineStr">
        <is>
          <t>Nº 25119</t>
        </is>
      </c>
      <c r="D408" s="14" t="inlineStr">
        <is>
          <t>GLIFOSATO 72WG ALAMOS</t>
        </is>
      </c>
      <c r="E408" s="13" t="inlineStr">
        <is>
          <t>Herbicida</t>
        </is>
      </c>
      <c r="F408" s="13" t="inlineStr">
        <is>
          <t>Buva</t>
        </is>
      </c>
      <c r="G408" s="13" t="inlineStr">
        <is>
          <t>Conyza bonariensis</t>
        </is>
      </c>
      <c r="H408" s="13" t="inlineStr">
        <is>
          <t>SIM (*)</t>
        </is>
      </c>
      <c r="I408" s="15" t="n">
        <v>1</v>
      </c>
      <c r="J408" s="15" t="n">
        <v>2</v>
      </c>
      <c r="K408" s="13" t="inlineStr">
        <is>
          <t>kg ou L/ha</t>
        </is>
      </c>
      <c r="L408" s="15" t="n">
        <v>1</v>
      </c>
      <c r="M408" s="13" t="inlineStr">
        <is>
          <t>Aplicar conforme monitoramento e estádio recomendado na bula (HRAC Grupo G (EPSPs))</t>
        </is>
      </c>
    </row>
    <row r="409" ht="22" customHeight="1">
      <c r="A409" s="6" t="inlineStr">
        <is>
          <t>ALV-0405</t>
        </is>
      </c>
      <c r="B409" s="5" t="n">
        <v>201</v>
      </c>
      <c r="C409" s="7" t="inlineStr">
        <is>
          <t>Nº 25119</t>
        </is>
      </c>
      <c r="D409" s="8" t="inlineStr">
        <is>
          <t>GLIFOSATO 72WG ALAMOS</t>
        </is>
      </c>
      <c r="E409" s="7" t="inlineStr">
        <is>
          <t>Herbicida</t>
        </is>
      </c>
      <c r="F409" s="7" t="inlineStr">
        <is>
          <t>Capim-pé-de-galinha</t>
        </is>
      </c>
      <c r="G409" s="7" t="inlineStr">
        <is>
          <t>Eleusine indica</t>
        </is>
      </c>
      <c r="H409" s="7" t="inlineStr">
        <is>
          <t>SIM (*)</t>
        </is>
      </c>
      <c r="I409" s="9" t="n">
        <v>1</v>
      </c>
      <c r="J409" s="17" t="n">
        <v>1.5</v>
      </c>
      <c r="K409" s="7" t="inlineStr">
        <is>
          <t>kg ou L/ha</t>
        </is>
      </c>
      <c r="L409" s="9" t="n">
        <v>1</v>
      </c>
      <c r="M409" s="7" t="inlineStr">
        <is>
          <t>Aplicar conforme monitoramento e estádio recomendado na bula (HRAC Grupo G (EPSPs))</t>
        </is>
      </c>
    </row>
    <row r="410" ht="22" customHeight="1">
      <c r="A410" s="12" t="inlineStr">
        <is>
          <t>ALV-0406</t>
        </is>
      </c>
      <c r="B410" s="11" t="n">
        <v>201</v>
      </c>
      <c r="C410" s="13" t="inlineStr">
        <is>
          <t>Nº 25119</t>
        </is>
      </c>
      <c r="D410" s="14" t="inlineStr">
        <is>
          <t>GLIFOSATO 72WG ALAMOS</t>
        </is>
      </c>
      <c r="E410" s="13" t="inlineStr">
        <is>
          <t>Herbicida</t>
        </is>
      </c>
      <c r="F410" s="13" t="inlineStr">
        <is>
          <t>Trapoeraba</t>
        </is>
      </c>
      <c r="G410" s="13" t="inlineStr">
        <is>
          <t>Commelina benghalensis</t>
        </is>
      </c>
      <c r="H410" s="13" t="inlineStr">
        <is>
          <t>NÃO</t>
        </is>
      </c>
      <c r="I410" s="15" t="n">
        <v>2</v>
      </c>
      <c r="J410" s="18" t="n">
        <v>3.5</v>
      </c>
      <c r="K410" s="13" t="inlineStr">
        <is>
          <t>kg ou L/ha</t>
        </is>
      </c>
      <c r="L410" s="15" t="n">
        <v>1</v>
      </c>
      <c r="M410" s="13" t="inlineStr">
        <is>
          <t>Aplicar conforme monitoramento e estádio recomendado na bula (HRAC Grupo G (EPSPs))</t>
        </is>
      </c>
    </row>
    <row r="411" ht="22" customHeight="1">
      <c r="A411" s="6" t="inlineStr">
        <is>
          <t>ALV-0407</t>
        </is>
      </c>
      <c r="B411" s="5" t="n">
        <v>202</v>
      </c>
      <c r="C411" s="7" t="inlineStr">
        <is>
          <t>Nº 28923</t>
        </is>
      </c>
      <c r="D411" s="8" t="inlineStr">
        <is>
          <t>PREVENTIS</t>
        </is>
      </c>
      <c r="E411" s="7" t="inlineStr">
        <is>
          <t>Fungicida</t>
        </is>
      </c>
      <c r="F411" s="7" t="inlineStr">
        <is>
          <t>Ferrugem-asiática</t>
        </is>
      </c>
      <c r="G411" s="7" t="inlineStr">
        <is>
          <t>Phakopsora pachyrhizi</t>
        </is>
      </c>
      <c r="H411" s="7" t="inlineStr">
        <is>
          <t>NÃO</t>
        </is>
      </c>
      <c r="I411" s="17" t="n">
        <v>1.5</v>
      </c>
      <c r="J411" s="17" t="n">
        <v>2.5</v>
      </c>
      <c r="K411" s="7" t="inlineStr">
        <is>
          <t>kg/ha</t>
        </is>
      </c>
      <c r="L411" s="9" t="n">
        <v>1</v>
      </c>
      <c r="M411" s="7" t="inlineStr">
        <is>
          <t>Aplicar conforme monitoramento e estádio recomendado na bula (FRAC Grupo M03 — Multissítio)</t>
        </is>
      </c>
    </row>
    <row r="412" ht="22" customHeight="1">
      <c r="A412" s="12" t="inlineStr">
        <is>
          <t>ALV-0408</t>
        </is>
      </c>
      <c r="B412" s="11" t="n">
        <v>202</v>
      </c>
      <c r="C412" s="13" t="inlineStr">
        <is>
          <t>Nº 28923</t>
        </is>
      </c>
      <c r="D412" s="14" t="inlineStr">
        <is>
          <t>PREVENTIS</t>
        </is>
      </c>
      <c r="E412" s="13" t="inlineStr">
        <is>
          <t>Fungicida</t>
        </is>
      </c>
      <c r="F412" s="13" t="inlineStr">
        <is>
          <t>Mancha-alvo</t>
        </is>
      </c>
      <c r="G412" s="13" t="inlineStr">
        <is>
          <t>Corynespora cassiicola</t>
        </is>
      </c>
      <c r="H412" s="13" t="inlineStr">
        <is>
          <t>NÃO</t>
        </is>
      </c>
      <c r="I412" s="18" t="n">
        <v>1.5</v>
      </c>
      <c r="J412" s="18" t="n">
        <v>2.5</v>
      </c>
      <c r="K412" s="13" t="inlineStr">
        <is>
          <t>kg/ha</t>
        </is>
      </c>
      <c r="L412" s="15" t="n">
        <v>1</v>
      </c>
      <c r="M412" s="13" t="inlineStr">
        <is>
          <t>Aplicar conforme monitoramento e estádio recomendado na bula (FRAC Grupo M03 — Multissítio)</t>
        </is>
      </c>
    </row>
    <row r="413" ht="22" customHeight="1">
      <c r="A413" s="6" t="inlineStr">
        <is>
          <t>ALV-0409</t>
        </is>
      </c>
      <c r="B413" s="5" t="n">
        <v>202</v>
      </c>
      <c r="C413" s="7" t="inlineStr">
        <is>
          <t>Nº 28923</t>
        </is>
      </c>
      <c r="D413" s="8" t="inlineStr">
        <is>
          <t>PREVENTIS</t>
        </is>
      </c>
      <c r="E413" s="7" t="inlineStr">
        <is>
          <t>Fungicida</t>
        </is>
      </c>
      <c r="F413" s="7" t="inlineStr">
        <is>
          <t>Pinta-preta</t>
        </is>
      </c>
      <c r="G413" s="7" t="inlineStr">
        <is>
          <t>Alternaria solani</t>
        </is>
      </c>
      <c r="H413" s="7" t="inlineStr">
        <is>
          <t>NÃO</t>
        </is>
      </c>
      <c r="I413" s="9" t="n">
        <v>2</v>
      </c>
      <c r="J413" s="9" t="n">
        <v>3</v>
      </c>
      <c r="K413" s="7" t="inlineStr">
        <is>
          <t>kg/ha</t>
        </is>
      </c>
      <c r="L413" s="9" t="n">
        <v>1</v>
      </c>
      <c r="M413" s="7" t="inlineStr">
        <is>
          <t>Aplicar conforme monitoramento e estádio recomendado na bula (FRAC Grupo M03 — Multissítio)</t>
        </is>
      </c>
    </row>
    <row r="414" ht="22" customHeight="1">
      <c r="A414" s="12" t="inlineStr">
        <is>
          <t>ALV-0410</t>
        </is>
      </c>
      <c r="B414" s="11" t="n">
        <v>203</v>
      </c>
      <c r="C414" s="13" t="inlineStr">
        <is>
          <t>SIPEAGRO (UF-XXXXX)</t>
        </is>
      </c>
      <c r="D414" s="14" t="inlineStr">
        <is>
          <t>F.M.A. BR B6,0 CU1,0 MN7,5 ZN1,0</t>
        </is>
      </c>
      <c r="E414" s="13" t="inlineStr">
        <is>
          <t>Fertilizante Químico Inorgânico (Matéria-Prima Cap. 28/38)</t>
        </is>
      </c>
      <c r="F414" s="13" t="inlineStr">
        <is>
          <t>Nutrição e Correção de Deficiência Mineral</t>
        </is>
      </c>
      <c r="G414" s="13" t="inlineStr">
        <is>
          <t>Nutrição Vegetal</t>
        </is>
      </c>
      <c r="H414" s="13" t="inlineStr">
        <is>
          <t>NÃO</t>
        </is>
      </c>
      <c r="I414" s="15" t="n">
        <v>1</v>
      </c>
      <c r="J414" s="15" t="n">
        <v>250</v>
      </c>
      <c r="K414" s="13" t="inlineStr">
        <is>
          <t>kg ou L/ha</t>
        </is>
      </c>
      <c r="L414" s="15" t="n">
        <v>1</v>
      </c>
      <c r="M414" s="13" t="inlineStr">
        <is>
          <t>Aplicar conforme monitoramento e estádio recomendado na bula (Nutrição Vegetal SIPEAGRO)</t>
        </is>
      </c>
    </row>
    <row r="415" ht="22" customHeight="1">
      <c r="A415" s="6" t="inlineStr">
        <is>
          <t>ALV-0411</t>
        </is>
      </c>
      <c r="B415" s="5" t="n">
        <v>204</v>
      </c>
      <c r="C415" s="7" t="inlineStr">
        <is>
          <t>Nº 15407</t>
        </is>
      </c>
      <c r="D415" s="8" t="inlineStr">
        <is>
          <t>SMITE</t>
        </is>
      </c>
      <c r="E415" s="7" t="inlineStr">
        <is>
          <t>Acaricida</t>
        </is>
      </c>
      <c r="F415" s="7" t="inlineStr">
        <is>
          <t>Ácaro-rajado</t>
        </is>
      </c>
      <c r="G415" s="7" t="inlineStr">
        <is>
          <t>Tetranychus urticae</t>
        </is>
      </c>
      <c r="H415" s="7" t="inlineStr">
        <is>
          <t>SIM (*)</t>
        </is>
      </c>
      <c r="I415" s="17" t="n">
        <v>0.35</v>
      </c>
      <c r="J415" s="17" t="n">
        <v>0.5</v>
      </c>
      <c r="K415" s="7" t="inlineStr">
        <is>
          <t>L/ha</t>
        </is>
      </c>
      <c r="L415" s="9" t="n">
        <v>1</v>
      </c>
      <c r="M415" s="7" t="inlineStr">
        <is>
          <t>Aplicar no início da infestação visando ovos e formas jovens (IRAC Grupo 10B)</t>
        </is>
      </c>
    </row>
    <row r="416" ht="22" customHeight="1">
      <c r="A416" s="12" t="inlineStr">
        <is>
          <t>ALV-0412</t>
        </is>
      </c>
      <c r="B416" s="11" t="n">
        <v>204</v>
      </c>
      <c r="C416" s="13" t="inlineStr">
        <is>
          <t>Nº 15407</t>
        </is>
      </c>
      <c r="D416" s="14" t="inlineStr">
        <is>
          <t>SMITE</t>
        </is>
      </c>
      <c r="E416" s="13" t="inlineStr">
        <is>
          <t>Acaricida</t>
        </is>
      </c>
      <c r="F416" s="13" t="inlineStr">
        <is>
          <t>Ácaro-da-leprose / Ácaro-branco</t>
        </is>
      </c>
      <c r="G416" s="13" t="inlineStr">
        <is>
          <t>Brevipalpus yothersi / Polyphagotarsonemus latus</t>
        </is>
      </c>
      <c r="H416" s="13" t="inlineStr">
        <is>
          <t>NÃO</t>
        </is>
      </c>
      <c r="I416" s="18" t="n">
        <v>0.35</v>
      </c>
      <c r="J416" s="18" t="n">
        <v>0.5</v>
      </c>
      <c r="K416" s="13" t="inlineStr">
        <is>
          <t>L/ha</t>
        </is>
      </c>
      <c r="L416" s="15" t="n">
        <v>1</v>
      </c>
      <c r="M416" s="13" t="inlineStr">
        <is>
          <t>Aplicar no início da infestação com cobertura completa da folhagem (IRAC Grupo 10B)</t>
        </is>
      </c>
    </row>
    <row r="417" ht="22" customHeight="1">
      <c r="A417" s="6" t="inlineStr">
        <is>
          <t>ALV-0413</t>
        </is>
      </c>
      <c r="B417" s="5" t="n">
        <v>205</v>
      </c>
      <c r="C417" s="7" t="inlineStr">
        <is>
          <t>Nº 9420</t>
        </is>
      </c>
      <c r="D417" s="8" t="inlineStr">
        <is>
          <t>ENSIS-TURBO</t>
        </is>
      </c>
      <c r="E417" s="7" t="inlineStr">
        <is>
          <t>Fungicida</t>
        </is>
      </c>
      <c r="F417" s="7" t="inlineStr">
        <is>
          <t>Ferrugem-asiática</t>
        </is>
      </c>
      <c r="G417" s="7" t="inlineStr">
        <is>
          <t>Phakopsora pachyrhizi</t>
        </is>
      </c>
      <c r="H417" s="7" t="inlineStr">
        <is>
          <t>SIM (*)</t>
        </is>
      </c>
      <c r="I417" s="17" t="n">
        <v>0.35</v>
      </c>
      <c r="J417" s="17" t="n">
        <v>0.5</v>
      </c>
      <c r="K417" s="7" t="inlineStr">
        <is>
          <t>L/ha</t>
        </is>
      </c>
      <c r="L417" s="9" t="n">
        <v>1</v>
      </c>
      <c r="M417" s="7" t="inlineStr">
        <is>
          <t>Aplicar conforme monitoramento e estádio recomendado na bula (FRAC Grupo 3 (DMI))</t>
        </is>
      </c>
    </row>
    <row r="418" ht="22" customHeight="1">
      <c r="A418" s="12" t="inlineStr">
        <is>
          <t>ALV-0414</t>
        </is>
      </c>
      <c r="B418" s="11" t="n">
        <v>205</v>
      </c>
      <c r="C418" s="13" t="inlineStr">
        <is>
          <t>Nº 9420</t>
        </is>
      </c>
      <c r="D418" s="14" t="inlineStr">
        <is>
          <t>ENSIS-TURBO</t>
        </is>
      </c>
      <c r="E418" s="13" t="inlineStr">
        <is>
          <t>Fungicida</t>
        </is>
      </c>
      <c r="F418" s="13" t="inlineStr">
        <is>
          <t>Mancha-parda</t>
        </is>
      </c>
      <c r="G418" s="13" t="inlineStr">
        <is>
          <t>Septoria glycines</t>
        </is>
      </c>
      <c r="H418" s="13" t="inlineStr">
        <is>
          <t>NÃO</t>
        </is>
      </c>
      <c r="I418" s="18" t="n">
        <v>0.35</v>
      </c>
      <c r="J418" s="18" t="n">
        <v>0.5</v>
      </c>
      <c r="K418" s="13" t="inlineStr">
        <is>
          <t>L/ha</t>
        </is>
      </c>
      <c r="L418" s="15" t="n">
        <v>1</v>
      </c>
      <c r="M418" s="13" t="inlineStr">
        <is>
          <t>Aplicar conforme monitoramento e estádio recomendado na bula (FRAC Grupo 3 (DMI))</t>
        </is>
      </c>
    </row>
    <row r="419" ht="22" customHeight="1">
      <c r="A419" s="6" t="inlineStr">
        <is>
          <t>ALV-0415</t>
        </is>
      </c>
      <c r="B419" s="5" t="n">
        <v>206</v>
      </c>
      <c r="C419" s="7" t="inlineStr">
        <is>
          <t>Nº 27323</t>
        </is>
      </c>
      <c r="D419" s="8" t="inlineStr">
        <is>
          <t>ACEGOL</t>
        </is>
      </c>
      <c r="E419" s="7" t="inlineStr">
        <is>
          <t>Inseticida</t>
        </is>
      </c>
      <c r="F419" s="7" t="inlineStr">
        <is>
          <t>Mosca-branca</t>
        </is>
      </c>
      <c r="G419" s="7" t="inlineStr">
        <is>
          <t>Bemisia tabaci raça B</t>
        </is>
      </c>
      <c r="H419" s="7" t="inlineStr">
        <is>
          <t>SIM (*)</t>
        </is>
      </c>
      <c r="I419" s="17" t="n">
        <v>0.2</v>
      </c>
      <c r="J419" s="17" t="n">
        <v>0.3</v>
      </c>
      <c r="K419" s="7" t="inlineStr">
        <is>
          <t>kg/ha</t>
        </is>
      </c>
      <c r="L419" s="9" t="n">
        <v>1</v>
      </c>
      <c r="M419" s="7" t="inlineStr">
        <is>
          <t>Aplicar conforme monitoramento e estádio recomendado na bula (IRAC Grupo 4A)</t>
        </is>
      </c>
    </row>
    <row r="420" ht="22" customHeight="1">
      <c r="A420" s="12" t="inlineStr">
        <is>
          <t>ALV-0416</t>
        </is>
      </c>
      <c r="B420" s="11" t="n">
        <v>206</v>
      </c>
      <c r="C420" s="13" t="inlineStr">
        <is>
          <t>Nº 27323</t>
        </is>
      </c>
      <c r="D420" s="14" t="inlineStr">
        <is>
          <t>ACEGOL</t>
        </is>
      </c>
      <c r="E420" s="13" t="inlineStr">
        <is>
          <t>Inseticida</t>
        </is>
      </c>
      <c r="F420" s="13" t="inlineStr">
        <is>
          <t>Pulgão-do-algodoeiro</t>
        </is>
      </c>
      <c r="G420" s="13" t="inlineStr">
        <is>
          <t>Aphis gossypii</t>
        </is>
      </c>
      <c r="H420" s="13" t="inlineStr">
        <is>
          <t>NÃO</t>
        </is>
      </c>
      <c r="I420" s="18" t="n">
        <v>0.15</v>
      </c>
      <c r="J420" s="18" t="n">
        <v>0.25</v>
      </c>
      <c r="K420" s="13" t="inlineStr">
        <is>
          <t>kg/ha</t>
        </is>
      </c>
      <c r="L420" s="15" t="n">
        <v>1</v>
      </c>
      <c r="M420" s="13" t="inlineStr">
        <is>
          <t>Aplicar conforme monitoramento e estádio recomendado na bula (IRAC Grupo 4A)</t>
        </is>
      </c>
    </row>
    <row r="421" ht="22" customHeight="1">
      <c r="A421" s="6" t="inlineStr">
        <is>
          <t>ALV-0417</t>
        </is>
      </c>
      <c r="B421" s="5" t="n">
        <v>206</v>
      </c>
      <c r="C421" s="7" t="inlineStr">
        <is>
          <t>Nº 27323</t>
        </is>
      </c>
      <c r="D421" s="8" t="inlineStr">
        <is>
          <t>ACEGOL</t>
        </is>
      </c>
      <c r="E421" s="7" t="inlineStr">
        <is>
          <t>Inseticida</t>
        </is>
      </c>
      <c r="F421" s="7" t="inlineStr">
        <is>
          <t>Percevejo-marrom</t>
        </is>
      </c>
      <c r="G421" s="7" t="inlineStr">
        <is>
          <t>Euschistus heros</t>
        </is>
      </c>
      <c r="H421" s="7" t="inlineStr">
        <is>
          <t>NÃO</t>
        </is>
      </c>
      <c r="I421" s="17" t="n">
        <v>0.25</v>
      </c>
      <c r="J421" s="17" t="n">
        <v>0.35</v>
      </c>
      <c r="K421" s="7" t="inlineStr">
        <is>
          <t>kg/ha</t>
        </is>
      </c>
      <c r="L421" s="9" t="n">
        <v>1</v>
      </c>
      <c r="M421" s="7" t="inlineStr">
        <is>
          <t>Aplicar conforme monitoramento e estádio recomendado na bula (IRAC Grupo 4A)</t>
        </is>
      </c>
    </row>
    <row r="422" ht="22" customHeight="1">
      <c r="A422" s="12" t="inlineStr">
        <is>
          <t>ALV-0418</t>
        </is>
      </c>
      <c r="B422" s="11" t="n">
        <v>207</v>
      </c>
      <c r="C422" s="13" t="inlineStr">
        <is>
          <t>Nº 43818</t>
        </is>
      </c>
      <c r="D422" s="14" t="inlineStr">
        <is>
          <t>DIAFENTIURON</t>
        </is>
      </c>
      <c r="E422" s="13" t="inlineStr">
        <is>
          <t>Inseticida e Acaricida</t>
        </is>
      </c>
      <c r="F422" s="13" t="inlineStr">
        <is>
          <t>Complexo de Lagartas, Percevejos e Sugadores</t>
        </is>
      </c>
      <c r="G422" s="13" t="inlineStr">
        <is>
          <t>Spodoptera / Euschistus / Bemisia</t>
        </is>
      </c>
      <c r="H422" s="13" t="inlineStr">
        <is>
          <t>NÃO</t>
        </is>
      </c>
      <c r="I422" s="18" t="n">
        <v>0.15</v>
      </c>
      <c r="J422" s="15" t="n">
        <v>1</v>
      </c>
      <c r="K422" s="13" t="inlineStr">
        <is>
          <t>L ou kg/ha</t>
        </is>
      </c>
      <c r="L422" s="15" t="n">
        <v>1</v>
      </c>
      <c r="M422" s="13" t="inlineStr">
        <is>
          <t>Aplicar conforme monitoramento e estádio recomendado na bula (Classificação IRAC Oficial conforme Bula)</t>
        </is>
      </c>
    </row>
    <row r="423" ht="22" customHeight="1">
      <c r="A423" s="6" t="inlineStr">
        <is>
          <t>ALV-0419</t>
        </is>
      </c>
      <c r="B423" s="5" t="n">
        <v>208</v>
      </c>
      <c r="C423" s="7" t="inlineStr">
        <is>
          <t>Nº 26017</t>
        </is>
      </c>
      <c r="D423" s="8" t="inlineStr">
        <is>
          <t>MESOTRIONE</t>
        </is>
      </c>
      <c r="E423" s="7" t="inlineStr">
        <is>
          <t>Herbicida</t>
        </is>
      </c>
      <c r="F423" s="7" t="inlineStr">
        <is>
          <t>Capim-carrapicho</t>
        </is>
      </c>
      <c r="G423" s="7" t="inlineStr">
        <is>
          <t>Cenchrus echinatus</t>
        </is>
      </c>
      <c r="H423" s="7" t="inlineStr">
        <is>
          <t>NÃO</t>
        </is>
      </c>
      <c r="I423" s="17" t="n">
        <v>0.3</v>
      </c>
      <c r="J423" s="17" t="n">
        <v>0.4</v>
      </c>
      <c r="K423" s="7" t="inlineStr">
        <is>
          <t>L/ha</t>
        </is>
      </c>
      <c r="L423" s="9" t="n">
        <v>1</v>
      </c>
      <c r="M423" s="7" t="inlineStr">
        <is>
          <t>Aplicar conforme monitoramento e estádio recomendado na bula (HRAC Grupo F2 (27) — Inibidores da HPPD)</t>
        </is>
      </c>
    </row>
    <row r="424" ht="22" customHeight="1">
      <c r="A424" s="12" t="inlineStr">
        <is>
          <t>ALV-0420</t>
        </is>
      </c>
      <c r="B424" s="11" t="n">
        <v>208</v>
      </c>
      <c r="C424" s="13" t="inlineStr">
        <is>
          <t>Nº 26017</t>
        </is>
      </c>
      <c r="D424" s="14" t="inlineStr">
        <is>
          <t>MESOTRIONE</t>
        </is>
      </c>
      <c r="E424" s="13" t="inlineStr">
        <is>
          <t>Herbicida</t>
        </is>
      </c>
      <c r="F424" s="13" t="inlineStr">
        <is>
          <t>Caruru</t>
        </is>
      </c>
      <c r="G424" s="13" t="inlineStr">
        <is>
          <t>Amaranthus viridis</t>
        </is>
      </c>
      <c r="H424" s="13" t="inlineStr">
        <is>
          <t>NÃO</t>
        </is>
      </c>
      <c r="I424" s="18" t="n">
        <v>0.25</v>
      </c>
      <c r="J424" s="18" t="n">
        <v>0.4</v>
      </c>
      <c r="K424" s="13" t="inlineStr">
        <is>
          <t>L/ha</t>
        </is>
      </c>
      <c r="L424" s="15" t="n">
        <v>1</v>
      </c>
      <c r="M424" s="13" t="inlineStr">
        <is>
          <t>Aplicar conforme monitoramento e estádio recomendado na bula (HRAC Grupo F2 (27) — Inibidores da HPPD)</t>
        </is>
      </c>
    </row>
    <row r="425" ht="22" customHeight="1">
      <c r="A425" s="6" t="inlineStr">
        <is>
          <t>ALV-0421</t>
        </is>
      </c>
      <c r="B425" s="5" t="n">
        <v>208</v>
      </c>
      <c r="C425" s="7" t="inlineStr">
        <is>
          <t>Nº 26017</t>
        </is>
      </c>
      <c r="D425" s="8" t="inlineStr">
        <is>
          <t>MESOTRIONE</t>
        </is>
      </c>
      <c r="E425" s="7" t="inlineStr">
        <is>
          <t>Herbicida</t>
        </is>
      </c>
      <c r="F425" s="7" t="inlineStr">
        <is>
          <t>Corda-de-viola</t>
        </is>
      </c>
      <c r="G425" s="7" t="inlineStr">
        <is>
          <t>Ipomoea grandifolia</t>
        </is>
      </c>
      <c r="H425" s="7" t="inlineStr">
        <is>
          <t>NÃO</t>
        </is>
      </c>
      <c r="I425" s="17" t="n">
        <v>0.25</v>
      </c>
      <c r="J425" s="17" t="n">
        <v>0.4</v>
      </c>
      <c r="K425" s="7" t="inlineStr">
        <is>
          <t>L/ha</t>
        </is>
      </c>
      <c r="L425" s="9" t="n">
        <v>1</v>
      </c>
      <c r="M425" s="7" t="inlineStr">
        <is>
          <t>Aplicar conforme monitoramento e estádio recomendado na bula (HRAC Grupo F2 (27) — Inibidores da HPPD)</t>
        </is>
      </c>
    </row>
    <row r="426" ht="22" customHeight="1">
      <c r="A426" s="12" t="inlineStr">
        <is>
          <t>ALV-0422</t>
        </is>
      </c>
      <c r="B426" s="11" t="n">
        <v>209</v>
      </c>
      <c r="C426" s="13" t="inlineStr">
        <is>
          <t>Nº 9823</t>
        </is>
      </c>
      <c r="D426" s="14" t="inlineStr">
        <is>
          <t>OLASOJA</t>
        </is>
      </c>
      <c r="E426" s="13" t="inlineStr">
        <is>
          <t>Herbicida</t>
        </is>
      </c>
      <c r="F426" s="13" t="inlineStr">
        <is>
          <t>Buva</t>
        </is>
      </c>
      <c r="G426" s="13" t="inlineStr">
        <is>
          <t>Conyza bonariensis</t>
        </is>
      </c>
      <c r="H426" s="13" t="inlineStr">
        <is>
          <t>NÃO</t>
        </is>
      </c>
      <c r="I426" s="18" t="n">
        <v>0.1</v>
      </c>
      <c r="J426" s="18" t="n">
        <v>0.2</v>
      </c>
      <c r="K426" s="13" t="inlineStr">
        <is>
          <t>L ou kg/ha</t>
        </is>
      </c>
      <c r="L426" s="15" t="n">
        <v>1</v>
      </c>
      <c r="M426" s="13" t="inlineStr">
        <is>
          <t>Aplicar conforme monitoramento e estádio recomendado na bula (HRAC Grupo E (14) — Inibidores da PROTOX)</t>
        </is>
      </c>
    </row>
    <row r="427" ht="22" customHeight="1">
      <c r="A427" s="6" t="inlineStr">
        <is>
          <t>ALV-0423</t>
        </is>
      </c>
      <c r="B427" s="5" t="n">
        <v>209</v>
      </c>
      <c r="C427" s="7" t="inlineStr">
        <is>
          <t>Nº 9823</t>
        </is>
      </c>
      <c r="D427" s="8" t="inlineStr">
        <is>
          <t>OLASOJA</t>
        </is>
      </c>
      <c r="E427" s="7" t="inlineStr">
        <is>
          <t>Herbicida</t>
        </is>
      </c>
      <c r="F427" s="7" t="inlineStr">
        <is>
          <t>Caruru</t>
        </is>
      </c>
      <c r="G427" s="7" t="inlineStr">
        <is>
          <t>Amaranthus hybridus</t>
        </is>
      </c>
      <c r="H427" s="7" t="inlineStr">
        <is>
          <t>NÃO</t>
        </is>
      </c>
      <c r="I427" s="17" t="n">
        <v>0.1</v>
      </c>
      <c r="J427" s="17" t="n">
        <v>0.2</v>
      </c>
      <c r="K427" s="7" t="inlineStr">
        <is>
          <t>L ou kg/ha</t>
        </is>
      </c>
      <c r="L427" s="9" t="n">
        <v>1</v>
      </c>
      <c r="M427" s="7" t="inlineStr">
        <is>
          <t>Aplicar conforme monitoramento e estádio recomendado na bula (HRAC Grupo E (14) — Inibidores da PROTOX)</t>
        </is>
      </c>
    </row>
    <row r="428" ht="22" customHeight="1">
      <c r="A428" s="12" t="inlineStr">
        <is>
          <t>ALV-0424</t>
        </is>
      </c>
      <c r="B428" s="11" t="n">
        <v>209</v>
      </c>
      <c r="C428" s="13" t="inlineStr">
        <is>
          <t>Nº 9823</t>
        </is>
      </c>
      <c r="D428" s="14" t="inlineStr">
        <is>
          <t>OLASOJA</t>
        </is>
      </c>
      <c r="E428" s="13" t="inlineStr">
        <is>
          <t>Herbicida</t>
        </is>
      </c>
      <c r="F428" s="13" t="inlineStr">
        <is>
          <t>Poaia-branca</t>
        </is>
      </c>
      <c r="G428" s="13" t="inlineStr">
        <is>
          <t>Richardia brasiliensis</t>
        </is>
      </c>
      <c r="H428" s="13" t="inlineStr">
        <is>
          <t>NÃO</t>
        </is>
      </c>
      <c r="I428" s="18" t="n">
        <v>0.1</v>
      </c>
      <c r="J428" s="18" t="n">
        <v>0.15</v>
      </c>
      <c r="K428" s="13" t="inlineStr">
        <is>
          <t>L ou kg/ha</t>
        </is>
      </c>
      <c r="L428" s="15" t="n">
        <v>1</v>
      </c>
      <c r="M428" s="13" t="inlineStr">
        <is>
          <t>Aplicar conforme monitoramento e estádio recomendado na bula (HRAC Grupo E (14) — Inibidores da PROTOX)</t>
        </is>
      </c>
    </row>
    <row r="429" ht="22" customHeight="1">
      <c r="A429" s="6" t="inlineStr">
        <is>
          <t>ALV-0425</t>
        </is>
      </c>
      <c r="B429" s="5" t="n">
        <v>210</v>
      </c>
      <c r="C429" s="7" t="inlineStr">
        <is>
          <t>SIPEAGRO (UF-XXXXX)</t>
        </is>
      </c>
      <c r="D429" s="8" t="inlineStr">
        <is>
          <t>MAGNIFIC</t>
        </is>
      </c>
      <c r="E429" s="7" t="inlineStr">
        <is>
          <t>Fertilizante Mineral Simples (Nitrogenado)</t>
        </is>
      </c>
      <c r="F429" s="7" t="inlineStr">
        <is>
          <t>Nutrição e Correção de Deficiência Mineral</t>
        </is>
      </c>
      <c r="G429" s="7" t="inlineStr">
        <is>
          <t>Nutrição Vegetal</t>
        </is>
      </c>
      <c r="H429" s="7" t="inlineStr">
        <is>
          <t>NÃO</t>
        </is>
      </c>
      <c r="I429" s="9" t="n">
        <v>1</v>
      </c>
      <c r="J429" s="9" t="n">
        <v>250</v>
      </c>
      <c r="K429" s="7" t="inlineStr">
        <is>
          <t>kg ou L/ha</t>
        </is>
      </c>
      <c r="L429" s="9" t="n">
        <v>1</v>
      </c>
      <c r="M429" s="7" t="inlineStr">
        <is>
          <t>Aplicar conforme monitoramento e estádio recomendado na bula (Nutrição Vegetal SIPEAGRO)</t>
        </is>
      </c>
    </row>
    <row r="430" ht="22" customHeight="1">
      <c r="A430" s="12" t="inlineStr">
        <is>
          <t>ALV-0426</t>
        </is>
      </c>
      <c r="B430" s="11" t="n">
        <v>211</v>
      </c>
      <c r="C430" s="13" t="inlineStr">
        <is>
          <t>SIPEAGRO (UF-XXXXX)</t>
        </is>
      </c>
      <c r="D430" s="14" t="inlineStr">
        <is>
          <t>BORON</t>
        </is>
      </c>
      <c r="E430" s="13" t="inlineStr">
        <is>
          <t>Fonte Mineral de Boro (Ulexita Natural)</t>
        </is>
      </c>
      <c r="F430" s="13" t="inlineStr">
        <is>
          <t>Correção de Acidez / Condicionamento de Perfil de Solo</t>
        </is>
      </c>
      <c r="G430" s="13" t="inlineStr">
        <is>
          <t>Solo Agrícola</t>
        </is>
      </c>
      <c r="H430" s="13" t="inlineStr">
        <is>
          <t>NÃO</t>
        </is>
      </c>
      <c r="I430" s="15" t="n">
        <v>500</v>
      </c>
      <c r="J430" s="15" t="n">
        <v>3000</v>
      </c>
      <c r="K430" s="13" t="inlineStr">
        <is>
          <t>kg/ha</t>
        </is>
      </c>
      <c r="L430" s="15" t="n">
        <v>1</v>
      </c>
      <c r="M430" s="13" t="inlineStr">
        <is>
          <t>Aplicar conforme monitoramento e estádio recomendado na bula (Correção Química de Solo)</t>
        </is>
      </c>
    </row>
    <row r="431" ht="22" customHeight="1">
      <c r="A431" s="6" t="inlineStr">
        <is>
          <t>ALV-0427</t>
        </is>
      </c>
      <c r="B431" s="5" t="n">
        <v>212</v>
      </c>
      <c r="C431" s="7" t="inlineStr">
        <is>
          <t>Nº 28520</t>
        </is>
      </c>
      <c r="D431" s="8" t="inlineStr">
        <is>
          <t>SENHA 720 WG</t>
        </is>
      </c>
      <c r="E431" s="7" t="inlineStr">
        <is>
          <t>Herbicida</t>
        </is>
      </c>
      <c r="F431" s="7" t="inlineStr">
        <is>
          <t>Capim-amargoso</t>
        </is>
      </c>
      <c r="G431" s="7" t="inlineStr">
        <is>
          <t>Digitaria insularis</t>
        </is>
      </c>
      <c r="H431" s="7" t="inlineStr">
        <is>
          <t>SIM (*)</t>
        </is>
      </c>
      <c r="I431" s="17" t="n">
        <v>1.5</v>
      </c>
      <c r="J431" s="17" t="n">
        <v>2.5</v>
      </c>
      <c r="K431" s="7" t="inlineStr">
        <is>
          <t>kg ou L/ha</t>
        </is>
      </c>
      <c r="L431" s="9" t="n">
        <v>1</v>
      </c>
      <c r="M431" s="7" t="inlineStr">
        <is>
          <t>Aplicar conforme monitoramento e estádio recomendado na bula (HRAC Grupo G (EPSPs))</t>
        </is>
      </c>
    </row>
    <row r="432" ht="22" customHeight="1">
      <c r="A432" s="12" t="inlineStr">
        <is>
          <t>ALV-0428</t>
        </is>
      </c>
      <c r="B432" s="11" t="n">
        <v>212</v>
      </c>
      <c r="C432" s="13" t="inlineStr">
        <is>
          <t>Nº 28520</t>
        </is>
      </c>
      <c r="D432" s="14" t="inlineStr">
        <is>
          <t>SENHA 720 WG</t>
        </is>
      </c>
      <c r="E432" s="13" t="inlineStr">
        <is>
          <t>Herbicida</t>
        </is>
      </c>
      <c r="F432" s="13" t="inlineStr">
        <is>
          <t>Buva</t>
        </is>
      </c>
      <c r="G432" s="13" t="inlineStr">
        <is>
          <t>Conyza bonariensis</t>
        </is>
      </c>
      <c r="H432" s="13" t="inlineStr">
        <is>
          <t>SIM (*)</t>
        </is>
      </c>
      <c r="I432" s="15" t="n">
        <v>1</v>
      </c>
      <c r="J432" s="15" t="n">
        <v>2</v>
      </c>
      <c r="K432" s="13" t="inlineStr">
        <is>
          <t>kg ou L/ha</t>
        </is>
      </c>
      <c r="L432" s="15" t="n">
        <v>1</v>
      </c>
      <c r="M432" s="13" t="inlineStr">
        <is>
          <t>Aplicar conforme monitoramento e estádio recomendado na bula (HRAC Grupo G (EPSPs))</t>
        </is>
      </c>
    </row>
    <row r="433" ht="22" customHeight="1">
      <c r="A433" s="6" t="inlineStr">
        <is>
          <t>ALV-0429</t>
        </is>
      </c>
      <c r="B433" s="5" t="n">
        <v>212</v>
      </c>
      <c r="C433" s="7" t="inlineStr">
        <is>
          <t>Nº 28520</t>
        </is>
      </c>
      <c r="D433" s="8" t="inlineStr">
        <is>
          <t>SENHA 720 WG</t>
        </is>
      </c>
      <c r="E433" s="7" t="inlineStr">
        <is>
          <t>Herbicida</t>
        </is>
      </c>
      <c r="F433" s="7" t="inlineStr">
        <is>
          <t>Capim-pé-de-galinha</t>
        </is>
      </c>
      <c r="G433" s="7" t="inlineStr">
        <is>
          <t>Eleusine indica</t>
        </is>
      </c>
      <c r="H433" s="7" t="inlineStr">
        <is>
          <t>SIM (*)</t>
        </is>
      </c>
      <c r="I433" s="9" t="n">
        <v>1</v>
      </c>
      <c r="J433" s="17" t="n">
        <v>1.5</v>
      </c>
      <c r="K433" s="7" t="inlineStr">
        <is>
          <t>kg ou L/ha</t>
        </is>
      </c>
      <c r="L433" s="9" t="n">
        <v>1</v>
      </c>
      <c r="M433" s="7" t="inlineStr">
        <is>
          <t>Aplicar conforme monitoramento e estádio recomendado na bula (HRAC Grupo G (EPSPs))</t>
        </is>
      </c>
    </row>
    <row r="434" ht="22" customHeight="1">
      <c r="A434" s="12" t="inlineStr">
        <is>
          <t>ALV-0430</t>
        </is>
      </c>
      <c r="B434" s="11" t="n">
        <v>212</v>
      </c>
      <c r="C434" s="13" t="inlineStr">
        <is>
          <t>Nº 28520</t>
        </is>
      </c>
      <c r="D434" s="14" t="inlineStr">
        <is>
          <t>SENHA 720 WG</t>
        </is>
      </c>
      <c r="E434" s="13" t="inlineStr">
        <is>
          <t>Herbicida</t>
        </is>
      </c>
      <c r="F434" s="13" t="inlineStr">
        <is>
          <t>Trapoeraba</t>
        </is>
      </c>
      <c r="G434" s="13" t="inlineStr">
        <is>
          <t>Commelina benghalensis</t>
        </is>
      </c>
      <c r="H434" s="13" t="inlineStr">
        <is>
          <t>NÃO</t>
        </is>
      </c>
      <c r="I434" s="15" t="n">
        <v>2</v>
      </c>
      <c r="J434" s="18" t="n">
        <v>3.5</v>
      </c>
      <c r="K434" s="13" t="inlineStr">
        <is>
          <t>kg ou L/ha</t>
        </is>
      </c>
      <c r="L434" s="15" t="n">
        <v>1</v>
      </c>
      <c r="M434" s="13" t="inlineStr">
        <is>
          <t>Aplicar conforme monitoramento e estádio recomendado na bula (HRAC Grupo G (EPSPs))</t>
        </is>
      </c>
    </row>
    <row r="435" ht="22" customHeight="1">
      <c r="A435" s="6" t="inlineStr">
        <is>
          <t>ALV-0431</t>
        </is>
      </c>
      <c r="B435" s="5" t="n">
        <v>213</v>
      </c>
      <c r="C435" s="7" t="inlineStr">
        <is>
          <t>Nº 24823</t>
        </is>
      </c>
      <c r="D435" s="8" t="inlineStr">
        <is>
          <t>OLASUL</t>
        </is>
      </c>
      <c r="E435" s="7" t="inlineStr">
        <is>
          <t>Herbicida</t>
        </is>
      </c>
      <c r="F435" s="7" t="inlineStr">
        <is>
          <t>Plantas Daninhas Mono e Dicotiledôneas</t>
        </is>
      </c>
      <c r="G435" s="7" t="inlineStr">
        <is>
          <t>Flora Infestante</t>
        </is>
      </c>
      <c r="H435" s="7" t="inlineStr">
        <is>
          <t>NÃO</t>
        </is>
      </c>
      <c r="I435" s="17" t="n">
        <v>0.25</v>
      </c>
      <c r="J435" s="9" t="n">
        <v>2</v>
      </c>
      <c r="K435" s="7" t="inlineStr">
        <is>
          <t>L ou kg/ha</t>
        </is>
      </c>
      <c r="L435" s="9" t="n">
        <v>1</v>
      </c>
      <c r="M435" s="7" t="inlineStr">
        <is>
          <t>Aplicar conforme monitoramento e estádio recomendado na bula (Classificação HRAC Oficial conforme Bula)</t>
        </is>
      </c>
    </row>
    <row r="436" ht="22" customHeight="1">
      <c r="A436" s="12" t="inlineStr">
        <is>
          <t>ALV-0432</t>
        </is>
      </c>
      <c r="B436" s="11" t="n">
        <v>214</v>
      </c>
      <c r="C436" s="13" t="inlineStr">
        <is>
          <t>Nº 32323</t>
        </is>
      </c>
      <c r="D436" s="14" t="inlineStr">
        <is>
          <t>OLATAZON 400 EC</t>
        </is>
      </c>
      <c r="E436" s="13" t="inlineStr">
        <is>
          <t>Herbicida</t>
        </is>
      </c>
      <c r="F436" s="13" t="inlineStr">
        <is>
          <t>Corda-de-viola</t>
        </is>
      </c>
      <c r="G436" s="13" t="inlineStr">
        <is>
          <t>Ipomoea grandifolia</t>
        </is>
      </c>
      <c r="H436" s="13" t="inlineStr">
        <is>
          <t>NÃO</t>
        </is>
      </c>
      <c r="I436" s="18" t="n">
        <v>0.05</v>
      </c>
      <c r="J436" s="18" t="n">
        <v>0.125</v>
      </c>
      <c r="K436" s="13" t="inlineStr">
        <is>
          <t>L/ha</t>
        </is>
      </c>
      <c r="L436" s="15" t="n">
        <v>1</v>
      </c>
      <c r="M436" s="13" t="inlineStr">
        <is>
          <t>Aplicar conforme monitoramento e estádio recomendado na bula (HRAC Grupo E (14) — Inibidores da PROTOX)</t>
        </is>
      </c>
    </row>
    <row r="437" ht="22" customHeight="1">
      <c r="A437" s="6" t="inlineStr">
        <is>
          <t>ALV-0433</t>
        </is>
      </c>
      <c r="B437" s="5" t="n">
        <v>214</v>
      </c>
      <c r="C437" s="7" t="inlineStr">
        <is>
          <t>Nº 32323</t>
        </is>
      </c>
      <c r="D437" s="8" t="inlineStr">
        <is>
          <t>OLATAZON 400 EC</t>
        </is>
      </c>
      <c r="E437" s="7" t="inlineStr">
        <is>
          <t>Herbicida</t>
        </is>
      </c>
      <c r="F437" s="7" t="inlineStr">
        <is>
          <t>Trapoeraba</t>
        </is>
      </c>
      <c r="G437" s="7" t="inlineStr">
        <is>
          <t>Commelina benghalensis</t>
        </is>
      </c>
      <c r="H437" s="7" t="inlineStr">
        <is>
          <t>NÃO</t>
        </is>
      </c>
      <c r="I437" s="17" t="n">
        <v>0.05</v>
      </c>
      <c r="J437" s="17" t="n">
        <v>0.125</v>
      </c>
      <c r="K437" s="7" t="inlineStr">
        <is>
          <t>L/ha</t>
        </is>
      </c>
      <c r="L437" s="9" t="n">
        <v>1</v>
      </c>
      <c r="M437" s="7" t="inlineStr">
        <is>
          <t>Aplicar conforme monitoramento e estádio recomendado na bula (HRAC Grupo E (14) — Inibidores da PROTOX)</t>
        </is>
      </c>
    </row>
    <row r="438" ht="22" customHeight="1">
      <c r="A438" s="12" t="inlineStr">
        <is>
          <t>ALV-0434</t>
        </is>
      </c>
      <c r="B438" s="11" t="n">
        <v>215</v>
      </c>
      <c r="C438" s="13" t="inlineStr">
        <is>
          <t>Nº 30520</t>
        </is>
      </c>
      <c r="D438" s="14" t="inlineStr">
        <is>
          <t>MAXAPAC 250 EC</t>
        </is>
      </c>
      <c r="E438" s="13" t="inlineStr">
        <is>
          <t>Regulador de Crescimento</t>
        </is>
      </c>
      <c r="F438" s="13" t="inlineStr">
        <is>
          <t>Maturador de Cana-de-Açúcar e Redutor de Acamamento em Trigo/Cevada</t>
        </is>
      </c>
      <c r="G438" s="13" t="inlineStr">
        <is>
          <t>Saccharum officinarum / Triticum aestivum (Manejo Fisiológico)</t>
        </is>
      </c>
      <c r="H438" s="13" t="inlineStr">
        <is>
          <t>NÃO</t>
        </is>
      </c>
      <c r="I438" s="18" t="n">
        <v>0.4</v>
      </c>
      <c r="J438" s="18" t="n">
        <v>1.2</v>
      </c>
      <c r="K438" s="13" t="inlineStr">
        <is>
          <t>L/ha</t>
        </is>
      </c>
      <c r="L438" s="15" t="n">
        <v>1</v>
      </c>
      <c r="M438" s="13" t="inlineStr">
        <is>
          <t>Aplicar para incremento de sacarose (ATR) em cana ou redução de entrenós em cereais de inverno</t>
        </is>
      </c>
    </row>
    <row r="439" ht="22" customHeight="1">
      <c r="A439" s="6" t="inlineStr">
        <is>
          <t>ALV-0435</t>
        </is>
      </c>
      <c r="B439" s="5" t="n">
        <v>216</v>
      </c>
      <c r="C439" s="7" t="inlineStr">
        <is>
          <t>Nº 6922</t>
        </is>
      </c>
      <c r="D439" s="8" t="inlineStr">
        <is>
          <t>COFENRIN</t>
        </is>
      </c>
      <c r="E439" s="7" t="inlineStr">
        <is>
          <t>Inseticida e Acaricida</t>
        </is>
      </c>
      <c r="F439" s="7" t="inlineStr">
        <is>
          <t>Bicudo-do-algodoeiro</t>
        </is>
      </c>
      <c r="G439" s="7" t="inlineStr">
        <is>
          <t>Anthonomus grandis</t>
        </is>
      </c>
      <c r="H439" s="7" t="inlineStr">
        <is>
          <t>NÃO</t>
        </is>
      </c>
      <c r="I439" s="17" t="n">
        <v>0.15</v>
      </c>
      <c r="J439" s="17" t="n">
        <v>0.25</v>
      </c>
      <c r="K439" s="7" t="inlineStr">
        <is>
          <t>L/ha</t>
        </is>
      </c>
      <c r="L439" s="9" t="n">
        <v>1</v>
      </c>
      <c r="M439" s="7" t="inlineStr">
        <is>
          <t>Aplicar conforme monitoramento e estádio recomendado na bula (IRAC Grupo 3A)</t>
        </is>
      </c>
    </row>
    <row r="440" ht="22" customHeight="1">
      <c r="A440" s="12" t="inlineStr">
        <is>
          <t>ALV-0436</t>
        </is>
      </c>
      <c r="B440" s="11" t="n">
        <v>216</v>
      </c>
      <c r="C440" s="13" t="inlineStr">
        <is>
          <t>Nº 6922</t>
        </is>
      </c>
      <c r="D440" s="14" t="inlineStr">
        <is>
          <t>COFENRIN</t>
        </is>
      </c>
      <c r="E440" s="13" t="inlineStr">
        <is>
          <t>Inseticida e Acaricida</t>
        </is>
      </c>
      <c r="F440" s="13" t="inlineStr">
        <is>
          <t>Mosca-branca</t>
        </is>
      </c>
      <c r="G440" s="13" t="inlineStr">
        <is>
          <t>Bemisia tabaci raça B</t>
        </is>
      </c>
      <c r="H440" s="13" t="inlineStr">
        <is>
          <t>SIM (*)</t>
        </is>
      </c>
      <c r="I440" s="18" t="n">
        <v>0.125</v>
      </c>
      <c r="J440" s="18" t="n">
        <v>0.25</v>
      </c>
      <c r="K440" s="13" t="inlineStr">
        <is>
          <t>L/ha</t>
        </is>
      </c>
      <c r="L440" s="15" t="n">
        <v>1</v>
      </c>
      <c r="M440" s="13" t="inlineStr">
        <is>
          <t>Aplicar conforme monitoramento e estádio recomendado na bula (IRAC Grupo 3A)</t>
        </is>
      </c>
    </row>
    <row r="441" ht="22" customHeight="1">
      <c r="A441" s="6" t="inlineStr">
        <is>
          <t>ALV-0437</t>
        </is>
      </c>
      <c r="B441" s="5" t="n">
        <v>216</v>
      </c>
      <c r="C441" s="7" t="inlineStr">
        <is>
          <t>Nº 6922</t>
        </is>
      </c>
      <c r="D441" s="8" t="inlineStr">
        <is>
          <t>COFENRIN</t>
        </is>
      </c>
      <c r="E441" s="7" t="inlineStr">
        <is>
          <t>Inseticida e Acaricida</t>
        </is>
      </c>
      <c r="F441" s="7" t="inlineStr">
        <is>
          <t>Ácaro-rajado</t>
        </is>
      </c>
      <c r="G441" s="7" t="inlineStr">
        <is>
          <t>Tetranychus urticae</t>
        </is>
      </c>
      <c r="H441" s="7" t="inlineStr">
        <is>
          <t>SIM (*)</t>
        </is>
      </c>
      <c r="I441" s="17" t="n">
        <v>0.15</v>
      </c>
      <c r="J441" s="17" t="n">
        <v>0.2</v>
      </c>
      <c r="K441" s="7" t="inlineStr">
        <is>
          <t>L/ha</t>
        </is>
      </c>
      <c r="L441" s="9" t="n">
        <v>1</v>
      </c>
      <c r="M441" s="7" t="inlineStr">
        <is>
          <t>Aplicar conforme monitoramento e estádio recomendado na bula (IRAC Grupo 3A)</t>
        </is>
      </c>
    </row>
    <row r="442" ht="22" customHeight="1">
      <c r="A442" s="12" t="inlineStr">
        <is>
          <t>ALV-0438</t>
        </is>
      </c>
      <c r="B442" s="11" t="n">
        <v>217</v>
      </c>
      <c r="C442" s="13" t="inlineStr">
        <is>
          <t>SIPEAGRO (UF-XXXXX)</t>
        </is>
      </c>
      <c r="D442" s="14" t="inlineStr">
        <is>
          <t>AGCN ZINCO ULTRA</t>
        </is>
      </c>
      <c r="E442" s="13" t="inlineStr">
        <is>
          <t>Fertilizante Foliar / Micronutrientes</t>
        </is>
      </c>
      <c r="F442" s="13" t="inlineStr">
        <is>
          <t>Nutrição e Correção de Deficiência Mineral</t>
        </is>
      </c>
      <c r="G442" s="13" t="inlineStr">
        <is>
          <t>Nutrição Vegetal</t>
        </is>
      </c>
      <c r="H442" s="13" t="inlineStr">
        <is>
          <t>NÃO</t>
        </is>
      </c>
      <c r="I442" s="15" t="n">
        <v>1</v>
      </c>
      <c r="J442" s="15" t="n">
        <v>250</v>
      </c>
      <c r="K442" s="13" t="inlineStr">
        <is>
          <t>kg ou L/ha</t>
        </is>
      </c>
      <c r="L442" s="15" t="n">
        <v>1</v>
      </c>
      <c r="M442" s="13" t="inlineStr">
        <is>
          <t>Aplicar conforme monitoramento e estádio recomendado na bula (Nutrição Vegetal SIPEAGRO)</t>
        </is>
      </c>
    </row>
    <row r="443" ht="22" customHeight="1">
      <c r="A443" s="6" t="inlineStr">
        <is>
          <t>ALV-0439</t>
        </is>
      </c>
      <c r="B443" s="5" t="n">
        <v>218</v>
      </c>
      <c r="C443" s="7" t="inlineStr">
        <is>
          <t>ISENTO (ATO 104/2017)</t>
        </is>
      </c>
      <c r="D443" s="8" t="inlineStr">
        <is>
          <t>AGCN SAFE SPRAY</t>
        </is>
      </c>
      <c r="E443" s="7" t="inlineStr">
        <is>
          <t>Adjuvante Espalhante / Surfactante / Redutor de pH e Deriva</t>
        </is>
      </c>
      <c r="F443" s="7" t="inlineStr">
        <is>
          <t>Otimização de Gota, Espalhamento e Redução de Deriva</t>
        </is>
      </c>
      <c r="G443" s="7" t="inlineStr">
        <is>
          <t>Tecnologia de Aplicação</t>
        </is>
      </c>
      <c r="H443" s="7" t="inlineStr">
        <is>
          <t>NÃO</t>
        </is>
      </c>
      <c r="I443" s="17" t="n">
        <v>0.25</v>
      </c>
      <c r="J443" s="9" t="n">
        <v>1</v>
      </c>
      <c r="K443" s="7" t="inlineStr">
        <is>
          <t>% v/v na calda</t>
        </is>
      </c>
      <c r="L443" s="9" t="n">
        <v>1</v>
      </c>
      <c r="M443" s="7" t="inlineStr">
        <is>
          <t>Aplicar conforme monitoramento e estádio recomendado na bula (Adjuvante Tecnológico de Pulverização)</t>
        </is>
      </c>
    </row>
    <row r="444" ht="22" customHeight="1">
      <c r="A444" s="12" t="inlineStr">
        <is>
          <t>ALV-0440</t>
        </is>
      </c>
      <c r="B444" s="11" t="n">
        <v>219</v>
      </c>
      <c r="C444" s="13" t="inlineStr">
        <is>
          <t>SIPEAGRO (UF-XXXXX)</t>
        </is>
      </c>
      <c r="D444" s="14" t="inlineStr">
        <is>
          <t>AGCN MN 10</t>
        </is>
      </c>
      <c r="E444" s="13" t="inlineStr">
        <is>
          <t>Fertilizante Foliar / Micronutrientes</t>
        </is>
      </c>
      <c r="F444" s="13" t="inlineStr">
        <is>
          <t>Nutrição e Correção de Deficiência Mineral</t>
        </is>
      </c>
      <c r="G444" s="13" t="inlineStr">
        <is>
          <t>Nutrição Vegetal</t>
        </is>
      </c>
      <c r="H444" s="13" t="inlineStr">
        <is>
          <t>NÃO</t>
        </is>
      </c>
      <c r="I444" s="15" t="n">
        <v>1</v>
      </c>
      <c r="J444" s="15" t="n">
        <v>250</v>
      </c>
      <c r="K444" s="13" t="inlineStr">
        <is>
          <t>kg ou L/ha</t>
        </is>
      </c>
      <c r="L444" s="15" t="n">
        <v>1</v>
      </c>
      <c r="M444" s="13" t="inlineStr">
        <is>
          <t>Aplicar conforme monitoramento e estádio recomendado na bula (Nutrição Vegetal SIPEAGRO)</t>
        </is>
      </c>
    </row>
    <row r="445" ht="22" customHeight="1">
      <c r="A445" s="6" t="inlineStr">
        <is>
          <t>ALV-0441</t>
        </is>
      </c>
      <c r="B445" s="5" t="n">
        <v>220</v>
      </c>
      <c r="C445" s="7" t="inlineStr">
        <is>
          <t>SIPEAGRO (UF-XXXXX)</t>
        </is>
      </c>
      <c r="D445" s="8" t="inlineStr">
        <is>
          <t>AGCN MAGNESIO</t>
        </is>
      </c>
      <c r="E445" s="7" t="inlineStr">
        <is>
          <t>Fertilizante Mineral Simples (Nitrogenado)</t>
        </is>
      </c>
      <c r="F445" s="7" t="inlineStr">
        <is>
          <t>Nutrição e Correção de Deficiência Mineral</t>
        </is>
      </c>
      <c r="G445" s="7" t="inlineStr">
        <is>
          <t>Nutrição Vegetal</t>
        </is>
      </c>
      <c r="H445" s="7" t="inlineStr">
        <is>
          <t>NÃO</t>
        </is>
      </c>
      <c r="I445" s="9" t="n">
        <v>1</v>
      </c>
      <c r="J445" s="9" t="n">
        <v>250</v>
      </c>
      <c r="K445" s="7" t="inlineStr">
        <is>
          <t>kg ou L/ha</t>
        </is>
      </c>
      <c r="L445" s="9" t="n">
        <v>1</v>
      </c>
      <c r="M445" s="7" t="inlineStr">
        <is>
          <t>Aplicar conforme monitoramento e estádio recomendado na bula (Nutrição Vegetal SIPEAGRO)</t>
        </is>
      </c>
    </row>
    <row r="446" ht="22" customHeight="1">
      <c r="A446" s="12" t="inlineStr">
        <is>
          <t>ALV-0442</t>
        </is>
      </c>
      <c r="B446" s="11" t="n">
        <v>221</v>
      </c>
      <c r="C446" s="13" t="inlineStr">
        <is>
          <t>SIPEAGRO (UF-XXXXX)</t>
        </is>
      </c>
      <c r="D446" s="14" t="inlineStr">
        <is>
          <t>AGCN FULL ULTRA</t>
        </is>
      </c>
      <c r="E446" s="13" t="inlineStr">
        <is>
          <t>Fertilizante Organomineral / Bioestimulante</t>
        </is>
      </c>
      <c r="F446" s="13" t="inlineStr">
        <is>
          <t>Nutrição e Correção de Deficiência Mineral</t>
        </is>
      </c>
      <c r="G446" s="13" t="inlineStr">
        <is>
          <t>Nutrição Vegetal</t>
        </is>
      </c>
      <c r="H446" s="13" t="inlineStr">
        <is>
          <t>NÃO</t>
        </is>
      </c>
      <c r="I446" s="15" t="n">
        <v>1</v>
      </c>
      <c r="J446" s="15" t="n">
        <v>250</v>
      </c>
      <c r="K446" s="13" t="inlineStr">
        <is>
          <t>kg ou L/ha</t>
        </is>
      </c>
      <c r="L446" s="15" t="n">
        <v>1</v>
      </c>
      <c r="M446" s="13" t="inlineStr">
        <is>
          <t>Aplicar conforme monitoramento e estádio recomendado na bula (Nutrição Vegetal SIPEAGRO)</t>
        </is>
      </c>
    </row>
    <row r="447" ht="22" customHeight="1">
      <c r="A447" s="6" t="inlineStr">
        <is>
          <t>ALV-0443</t>
        </is>
      </c>
      <c r="B447" s="5" t="n">
        <v>222</v>
      </c>
      <c r="C447" s="7" t="inlineStr">
        <is>
          <t>SIPEAGRO (UF-XXXXX)</t>
        </is>
      </c>
      <c r="D447" s="8" t="inlineStr">
        <is>
          <t>AGCN FULL</t>
        </is>
      </c>
      <c r="E447" s="7" t="inlineStr">
        <is>
          <t>Fertilizante Organomineral / Bioestimulante</t>
        </is>
      </c>
      <c r="F447" s="7" t="inlineStr">
        <is>
          <t>Nutrição e Correção de Deficiência Mineral</t>
        </is>
      </c>
      <c r="G447" s="7" t="inlineStr">
        <is>
          <t>Nutrição Vegetal</t>
        </is>
      </c>
      <c r="H447" s="7" t="inlineStr">
        <is>
          <t>NÃO</t>
        </is>
      </c>
      <c r="I447" s="9" t="n">
        <v>1</v>
      </c>
      <c r="J447" s="9" t="n">
        <v>250</v>
      </c>
      <c r="K447" s="7" t="inlineStr">
        <is>
          <t>kg ou L/ha</t>
        </is>
      </c>
      <c r="L447" s="9" t="n">
        <v>1</v>
      </c>
      <c r="M447" s="7" t="inlineStr">
        <is>
          <t>Aplicar conforme monitoramento e estádio recomendado na bula (Nutrição Vegetal SIPEAGRO)</t>
        </is>
      </c>
    </row>
    <row r="448" ht="22" customHeight="1">
      <c r="A448" s="12" t="inlineStr">
        <is>
          <t>ALV-0444</t>
        </is>
      </c>
      <c r="B448" s="11" t="n">
        <v>223</v>
      </c>
      <c r="C448" s="13" t="inlineStr">
        <is>
          <t>ISENTO (ATO 104/2017)</t>
        </is>
      </c>
      <c r="D448" s="14" t="inlineStr">
        <is>
          <t>AGRICOIL CITRUS</t>
        </is>
      </c>
      <c r="E448" s="13" t="inlineStr">
        <is>
          <t>Óleo Vegetal / Éster Metílico / D-Limoneno Adjuvante</t>
        </is>
      </c>
      <c r="F448" s="13" t="inlineStr">
        <is>
          <t>Otimização de Gota, Espalhamento e Redução de Deriva</t>
        </is>
      </c>
      <c r="G448" s="13" t="inlineStr">
        <is>
          <t>Tecnologia de Aplicação</t>
        </is>
      </c>
      <c r="H448" s="13" t="inlineStr">
        <is>
          <t>NÃO</t>
        </is>
      </c>
      <c r="I448" s="18" t="n">
        <v>0.25</v>
      </c>
      <c r="J448" s="15" t="n">
        <v>1</v>
      </c>
      <c r="K448" s="13" t="inlineStr">
        <is>
          <t>% v/v na calda</t>
        </is>
      </c>
      <c r="L448" s="15" t="n">
        <v>1</v>
      </c>
      <c r="M448" s="13" t="inlineStr">
        <is>
          <t>Aplicar conforme monitoramento e estádio recomendado na bula (Adjuvante Tecnológico de Pulverização)</t>
        </is>
      </c>
    </row>
    <row r="449" ht="22" customHeight="1">
      <c r="A449" s="6" t="inlineStr">
        <is>
          <t>ALV-0445</t>
        </is>
      </c>
      <c r="B449" s="5" t="n">
        <v>224</v>
      </c>
      <c r="C449" s="7" t="inlineStr">
        <is>
          <t>ISENTO (ATO 104/2017)</t>
        </is>
      </c>
      <c r="D449" s="8" t="inlineStr">
        <is>
          <t>AGRICOIL CITRUS PLUS</t>
        </is>
      </c>
      <c r="E449" s="7" t="inlineStr">
        <is>
          <t>Óleo Vegetal / Éster Metílico / D-Limoneno Adjuvante</t>
        </is>
      </c>
      <c r="F449" s="7" t="inlineStr">
        <is>
          <t>Otimização de Gota, Espalhamento e Redução de Deriva</t>
        </is>
      </c>
      <c r="G449" s="7" t="inlineStr">
        <is>
          <t>Tecnologia de Aplicação</t>
        </is>
      </c>
      <c r="H449" s="7" t="inlineStr">
        <is>
          <t>NÃO</t>
        </is>
      </c>
      <c r="I449" s="17" t="n">
        <v>0.25</v>
      </c>
      <c r="J449" s="9" t="n">
        <v>1</v>
      </c>
      <c r="K449" s="7" t="inlineStr">
        <is>
          <t>% v/v na calda</t>
        </is>
      </c>
      <c r="L449" s="9" t="n">
        <v>1</v>
      </c>
      <c r="M449" s="7" t="inlineStr">
        <is>
          <t>Aplicar conforme monitoramento e estádio recomendado na bula (Adjuvante Tecnológico de Pulverização)</t>
        </is>
      </c>
    </row>
    <row r="450" ht="22" customHeight="1">
      <c r="A450" s="12" t="inlineStr">
        <is>
          <t>ALV-0446</t>
        </is>
      </c>
      <c r="B450" s="11" t="n">
        <v>225</v>
      </c>
      <c r="C450" s="13" t="inlineStr">
        <is>
          <t>ISENTO (ATO 104/2017)</t>
        </is>
      </c>
      <c r="D450" s="14" t="inlineStr">
        <is>
          <t>AGCN SAFE AIR</t>
        </is>
      </c>
      <c r="E450" s="13" t="inlineStr">
        <is>
          <t>Adjuvante Espalhante / Surfactante / Redutor de pH e Deriva</t>
        </is>
      </c>
      <c r="F450" s="13" t="inlineStr">
        <is>
          <t>Otimização de Gota, Espalhamento e Redução de Deriva</t>
        </is>
      </c>
      <c r="G450" s="13" t="inlineStr">
        <is>
          <t>Tecnologia de Aplicação</t>
        </is>
      </c>
      <c r="H450" s="13" t="inlineStr">
        <is>
          <t>NÃO</t>
        </is>
      </c>
      <c r="I450" s="18" t="n">
        <v>0.25</v>
      </c>
      <c r="J450" s="15" t="n">
        <v>1</v>
      </c>
      <c r="K450" s="13" t="inlineStr">
        <is>
          <t>% v/v na calda</t>
        </is>
      </c>
      <c r="L450" s="15" t="n">
        <v>1</v>
      </c>
      <c r="M450" s="13" t="inlineStr">
        <is>
          <t>Aplicar conforme monitoramento e estádio recomendado na bula (Adjuvante Tecnológico de Pulverização)</t>
        </is>
      </c>
    </row>
    <row r="451" ht="22" customHeight="1">
      <c r="A451" s="6" t="inlineStr">
        <is>
          <t>ALV-0447</t>
        </is>
      </c>
      <c r="B451" s="5" t="n">
        <v>226</v>
      </c>
      <c r="C451" s="7" t="inlineStr">
        <is>
          <t>SIPEAGRO (UF-XXXXX)</t>
        </is>
      </c>
      <c r="D451" s="8" t="inlineStr">
        <is>
          <t>AGCN MG 16</t>
        </is>
      </c>
      <c r="E451" s="7" t="inlineStr">
        <is>
          <t>Fertilizante Foliar / Micronutrientes</t>
        </is>
      </c>
      <c r="F451" s="7" t="inlineStr">
        <is>
          <t>Nutrição e Correção de Deficiência Mineral</t>
        </is>
      </c>
      <c r="G451" s="7" t="inlineStr">
        <is>
          <t>Nutrição Vegetal</t>
        </is>
      </c>
      <c r="H451" s="7" t="inlineStr">
        <is>
          <t>NÃO</t>
        </is>
      </c>
      <c r="I451" s="9" t="n">
        <v>1</v>
      </c>
      <c r="J451" s="9" t="n">
        <v>250</v>
      </c>
      <c r="K451" s="7" t="inlineStr">
        <is>
          <t>kg ou L/ha</t>
        </is>
      </c>
      <c r="L451" s="9" t="n">
        <v>1</v>
      </c>
      <c r="M451" s="7" t="inlineStr">
        <is>
          <t>Aplicar conforme monitoramento e estádio recomendado na bula (Nutrição Vegetal SIPEAGRO)</t>
        </is>
      </c>
    </row>
    <row r="452" ht="22" customHeight="1">
      <c r="A452" s="12" t="inlineStr">
        <is>
          <t>ALV-0448</t>
        </is>
      </c>
      <c r="B452" s="11" t="n">
        <v>227</v>
      </c>
      <c r="C452" s="13" t="inlineStr">
        <is>
          <t>SIPEAGRO (UF-XXXXX)</t>
        </is>
      </c>
      <c r="D452" s="14" t="inlineStr">
        <is>
          <t>BIOLOGIC GRAM 5X1,8L</t>
        </is>
      </c>
      <c r="E452" s="13" t="inlineStr">
        <is>
          <t>Inoculante Fixador de Nitrogênio</t>
        </is>
      </c>
      <c r="F452" s="13" t="inlineStr">
        <is>
          <t>Fixação Biológica de Nitrogênio e Enraizamento</t>
        </is>
      </c>
      <c r="G452" s="13" t="inlineStr">
        <is>
          <t>Zea mays / Glycine max</t>
        </is>
      </c>
      <c r="H452" s="13" t="inlineStr">
        <is>
          <t>NÃO</t>
        </is>
      </c>
      <c r="I452" s="18" t="n">
        <v>0.1</v>
      </c>
      <c r="J452" s="18" t="n">
        <v>0.3</v>
      </c>
      <c r="K452" s="13" t="inlineStr">
        <is>
          <t>L/ha ou 100kg sem.</t>
        </is>
      </c>
      <c r="L452" s="15" t="n">
        <v>1</v>
      </c>
      <c r="M452" s="13" t="inlineStr">
        <is>
          <t>Aplicar conforme monitoramento e estádio recomendado na bula (Inoculante Biológico — Lei nº 6.894/1980)</t>
        </is>
      </c>
    </row>
    <row r="453" ht="22" customHeight="1">
      <c r="A453" s="6" t="inlineStr">
        <is>
          <t>ALV-0449</t>
        </is>
      </c>
      <c r="B453" s="5" t="n">
        <v>228</v>
      </c>
      <c r="C453" s="7" t="inlineStr">
        <is>
          <t>Nº 34018</t>
        </is>
      </c>
      <c r="D453" s="8" t="inlineStr">
        <is>
          <t>BIOLOGIC GUARD</t>
        </is>
      </c>
      <c r="E453" s="7" t="inlineStr">
        <is>
          <t>Biofungicida (Biológico)</t>
        </is>
      </c>
      <c r="F453" s="7" t="inlineStr">
        <is>
          <t>Fixação Biológica / Manejo Biológico de Solo</t>
        </is>
      </c>
      <c r="G453" s="7" t="inlineStr">
        <is>
          <t>Biologia de Solo</t>
        </is>
      </c>
      <c r="H453" s="7" t="inlineStr">
        <is>
          <t>NÃO</t>
        </is>
      </c>
      <c r="I453" s="17" t="n">
        <v>0.1</v>
      </c>
      <c r="J453" s="9" t="n">
        <v>1</v>
      </c>
      <c r="K453" s="7" t="inlineStr">
        <is>
          <t>L ou kg/ha</t>
        </is>
      </c>
      <c r="L453" s="9" t="n">
        <v>1</v>
      </c>
      <c r="M453" s="7" t="inlineStr">
        <is>
          <t>Aplicar conforme monitoramento e estádio recomendado na bula (Bioinsumo Agrícola)</t>
        </is>
      </c>
    </row>
    <row r="454" ht="22" customHeight="1">
      <c r="A454" s="12" t="inlineStr">
        <is>
          <t>ALV-0450</t>
        </is>
      </c>
      <c r="B454" s="11" t="n">
        <v>229</v>
      </c>
      <c r="C454" s="13" t="inlineStr">
        <is>
          <t>SIPEAGRO (UF-XXXXX)</t>
        </is>
      </c>
      <c r="D454" s="14" t="inlineStr">
        <is>
          <t>PREBIOTIC GL</t>
        </is>
      </c>
      <c r="E454" s="13" t="inlineStr">
        <is>
          <t>Fertilizante Organomineral / Bioestimulante</t>
        </is>
      </c>
      <c r="F454" s="13" t="inlineStr">
        <is>
          <t>Nutrição e Correção de Deficiência Mineral</t>
        </is>
      </c>
      <c r="G454" s="13" t="inlineStr">
        <is>
          <t>Nutrição Vegetal</t>
        </is>
      </c>
      <c r="H454" s="13" t="inlineStr">
        <is>
          <t>NÃO</t>
        </is>
      </c>
      <c r="I454" s="15" t="n">
        <v>1</v>
      </c>
      <c r="J454" s="15" t="n">
        <v>250</v>
      </c>
      <c r="K454" s="13" t="inlineStr">
        <is>
          <t>kg ou L/ha</t>
        </is>
      </c>
      <c r="L454" s="15" t="n">
        <v>1</v>
      </c>
      <c r="M454" s="13" t="inlineStr">
        <is>
          <t>Aplicar conforme monitoramento e estádio recomendado na bula (Nutrição Vegetal SIPEAGRO)</t>
        </is>
      </c>
    </row>
    <row r="455" ht="22" customHeight="1">
      <c r="A455" s="6" t="inlineStr">
        <is>
          <t>ALV-0451</t>
        </is>
      </c>
      <c r="B455" s="5" t="n">
        <v>230</v>
      </c>
      <c r="C455" s="7" t="inlineStr">
        <is>
          <t>Nº 9420</t>
        </is>
      </c>
      <c r="D455" s="8" t="inlineStr">
        <is>
          <t>OFEK-TURBO</t>
        </is>
      </c>
      <c r="E455" s="7" t="inlineStr">
        <is>
          <t>Fungicida</t>
        </is>
      </c>
      <c r="F455" s="7" t="inlineStr">
        <is>
          <t>Ferrugem-asiática</t>
        </is>
      </c>
      <c r="G455" s="7" t="inlineStr">
        <is>
          <t>Phakopsora pachyrhizi</t>
        </is>
      </c>
      <c r="H455" s="7" t="inlineStr">
        <is>
          <t>SIM (*)</t>
        </is>
      </c>
      <c r="I455" s="17" t="n">
        <v>0.35</v>
      </c>
      <c r="J455" s="17" t="n">
        <v>0.5</v>
      </c>
      <c r="K455" s="7" t="inlineStr">
        <is>
          <t>L/ha</t>
        </is>
      </c>
      <c r="L455" s="9" t="n">
        <v>1</v>
      </c>
      <c r="M455" s="7" t="inlineStr">
        <is>
          <t>Aplicar conforme monitoramento e estádio recomendado na bula (FRAC Grupo 3 (DMI))</t>
        </is>
      </c>
    </row>
    <row r="456" ht="22" customHeight="1">
      <c r="A456" s="12" t="inlineStr">
        <is>
          <t>ALV-0452</t>
        </is>
      </c>
      <c r="B456" s="11" t="n">
        <v>230</v>
      </c>
      <c r="C456" s="13" t="inlineStr">
        <is>
          <t>Nº 9420</t>
        </is>
      </c>
      <c r="D456" s="14" t="inlineStr">
        <is>
          <t>OFEK-TURBO</t>
        </is>
      </c>
      <c r="E456" s="13" t="inlineStr">
        <is>
          <t>Fungicida</t>
        </is>
      </c>
      <c r="F456" s="13" t="inlineStr">
        <is>
          <t>Mancha-parda</t>
        </is>
      </c>
      <c r="G456" s="13" t="inlineStr">
        <is>
          <t>Septoria glycines</t>
        </is>
      </c>
      <c r="H456" s="13" t="inlineStr">
        <is>
          <t>NÃO</t>
        </is>
      </c>
      <c r="I456" s="18" t="n">
        <v>0.35</v>
      </c>
      <c r="J456" s="18" t="n">
        <v>0.5</v>
      </c>
      <c r="K456" s="13" t="inlineStr">
        <is>
          <t>L/ha</t>
        </is>
      </c>
      <c r="L456" s="15" t="n">
        <v>1</v>
      </c>
      <c r="M456" s="13" t="inlineStr">
        <is>
          <t>Aplicar conforme monitoramento e estádio recomendado na bula (FRAC Grupo 3 (DMI))</t>
        </is>
      </c>
    </row>
    <row r="457" ht="22" customHeight="1">
      <c r="A457" s="6" t="inlineStr">
        <is>
          <t>ALV-0453</t>
        </is>
      </c>
      <c r="B457" s="5" t="n">
        <v>231</v>
      </c>
      <c r="C457" s="7" t="inlineStr">
        <is>
          <t>VINCULAR MARCA</t>
        </is>
      </c>
      <c r="D457" s="8" t="inlineStr">
        <is>
          <t>ETIPROLE</t>
        </is>
      </c>
      <c r="E457" s="7" t="inlineStr">
        <is>
          <t>Insumo Industrial</t>
        </is>
      </c>
      <c r="F457" s="7" t="inlineStr">
        <is>
          <t>Matéria-prima para Formulação Industrial</t>
        </is>
      </c>
      <c r="G457" s="7" t="inlineStr">
        <is>
          <t>Uso Industrial Credenciado MAPA</t>
        </is>
      </c>
      <c r="H457" s="7" t="inlineStr">
        <is>
          <t>NÃO</t>
        </is>
      </c>
      <c r="I457" s="9" t="n">
        <v>0</v>
      </c>
      <c r="J457" s="9" t="n">
        <v>0</v>
      </c>
      <c r="K457" s="7" t="inlineStr">
        <is>
          <t>L</t>
        </is>
      </c>
      <c r="L457" s="9" t="n">
        <v>1</v>
      </c>
      <c r="M457" s="7" t="inlineStr">
        <is>
          <t>Uso restrito a estabelecimentos formuladores registrados</t>
        </is>
      </c>
    </row>
    <row r="458" ht="22" customHeight="1">
      <c r="A458" s="12" t="inlineStr">
        <is>
          <t>ALV-0454</t>
        </is>
      </c>
      <c r="B458" s="11" t="n">
        <v>232</v>
      </c>
      <c r="C458" s="13" t="inlineStr">
        <is>
          <t>Nº 8215</t>
        </is>
      </c>
      <c r="D458" s="14" t="inlineStr">
        <is>
          <t>TEBUCONAZOLE</t>
        </is>
      </c>
      <c r="E458" s="13" t="inlineStr">
        <is>
          <t>Insumo Industrial</t>
        </is>
      </c>
      <c r="F458" s="13" t="inlineStr">
        <is>
          <t>Matéria-prima para Formulação Industrial</t>
        </is>
      </c>
      <c r="G458" s="13" t="inlineStr">
        <is>
          <t>Uso Industrial Credenciado MAPA</t>
        </is>
      </c>
      <c r="H458" s="13" t="inlineStr">
        <is>
          <t>NÃO</t>
        </is>
      </c>
      <c r="I458" s="15" t="n">
        <v>0</v>
      </c>
      <c r="J458" s="15" t="n">
        <v>0</v>
      </c>
      <c r="K458" s="13" t="inlineStr">
        <is>
          <t>L</t>
        </is>
      </c>
      <c r="L458" s="15" t="n">
        <v>1</v>
      </c>
      <c r="M458" s="13" t="inlineStr">
        <is>
          <t>Uso restrito a estabelecimentos formuladores registrados</t>
        </is>
      </c>
    </row>
    <row r="459" ht="22" customHeight="1">
      <c r="A459" s="6" t="inlineStr">
        <is>
          <t>ALV-0455</t>
        </is>
      </c>
      <c r="B459" s="5" t="n">
        <v>233</v>
      </c>
      <c r="C459" s="7" t="inlineStr">
        <is>
          <t>Nº 14421</t>
        </is>
      </c>
      <c r="D459" s="8" t="inlineStr">
        <is>
          <t>FIPRONIL 250 (PRINCIPIOA ATIVO)</t>
        </is>
      </c>
      <c r="E459" s="7" t="inlineStr">
        <is>
          <t>Insumo Industrial</t>
        </is>
      </c>
      <c r="F459" s="7" t="inlineStr">
        <is>
          <t>Matéria-prima para Formulação Industrial</t>
        </is>
      </c>
      <c r="G459" s="7" t="inlineStr">
        <is>
          <t>Uso Industrial Credenciado MAPA</t>
        </is>
      </c>
      <c r="H459" s="7" t="inlineStr">
        <is>
          <t>NÃO</t>
        </is>
      </c>
      <c r="I459" s="9" t="n">
        <v>0</v>
      </c>
      <c r="J459" s="9" t="n">
        <v>0</v>
      </c>
      <c r="K459" s="7" t="inlineStr">
        <is>
          <t>L</t>
        </is>
      </c>
      <c r="L459" s="9" t="n">
        <v>1</v>
      </c>
      <c r="M459" s="7" t="inlineStr">
        <is>
          <t>Uso restrito a estabelecimentos formuladores registrados</t>
        </is>
      </c>
    </row>
    <row r="460" ht="22" customHeight="1">
      <c r="A460" s="12" t="inlineStr">
        <is>
          <t>ALV-0456</t>
        </is>
      </c>
      <c r="B460" s="11" t="n">
        <v>234</v>
      </c>
      <c r="C460" s="13" t="inlineStr">
        <is>
          <t>Nº 4798</t>
        </is>
      </c>
      <c r="D460" s="14" t="inlineStr">
        <is>
          <t>VOLCANE 790</t>
        </is>
      </c>
      <c r="E460" s="13" t="inlineStr">
        <is>
          <t>Herbicida</t>
        </is>
      </c>
      <c r="F460" s="13" t="inlineStr">
        <is>
          <t>Plantas Daninhas Mono e Dicotiledôneas</t>
        </is>
      </c>
      <c r="G460" s="13" t="inlineStr">
        <is>
          <t>Flora Infestante</t>
        </is>
      </c>
      <c r="H460" s="13" t="inlineStr">
        <is>
          <t>NÃO</t>
        </is>
      </c>
      <c r="I460" s="18" t="n">
        <v>0.25</v>
      </c>
      <c r="J460" s="15" t="n">
        <v>2</v>
      </c>
      <c r="K460" s="13" t="inlineStr">
        <is>
          <t>L ou kg/ha</t>
        </is>
      </c>
      <c r="L460" s="15" t="n">
        <v>1</v>
      </c>
      <c r="M460" s="13" t="inlineStr">
        <is>
          <t>Aplicar conforme monitoramento e estádio recomendado na bula (Classificação HRAC Oficial conforme Bula)</t>
        </is>
      </c>
    </row>
    <row r="461" ht="22" customHeight="1">
      <c r="A461" s="6" t="inlineStr">
        <is>
          <t>ALV-0457</t>
        </is>
      </c>
      <c r="B461" s="5" t="n">
        <v>235</v>
      </c>
      <c r="C461" s="7" t="inlineStr">
        <is>
          <t>Nº 11922</t>
        </is>
      </c>
      <c r="D461" s="8" t="inlineStr">
        <is>
          <t>TRICLOPIR</t>
        </is>
      </c>
      <c r="E461" s="7" t="inlineStr">
        <is>
          <t>Herbicida</t>
        </is>
      </c>
      <c r="F461" s="7" t="inlineStr">
        <is>
          <t>Buva</t>
        </is>
      </c>
      <c r="G461" s="7" t="inlineStr">
        <is>
          <t>Conyza bonariensis</t>
        </is>
      </c>
      <c r="H461" s="7" t="inlineStr">
        <is>
          <t>SIM (*)</t>
        </is>
      </c>
      <c r="I461" s="17" t="n">
        <v>0.75</v>
      </c>
      <c r="J461" s="17" t="n">
        <v>1.5</v>
      </c>
      <c r="K461" s="7" t="inlineStr">
        <is>
          <t>L/ha</t>
        </is>
      </c>
      <c r="L461" s="9" t="n">
        <v>1</v>
      </c>
      <c r="M461" s="7" t="inlineStr">
        <is>
          <t>Aplicar conforme monitoramento e estádio recomendado na bula (HRAC Grupo O (4) — Auxinas Sintéticas)</t>
        </is>
      </c>
    </row>
    <row r="462" ht="22" customHeight="1">
      <c r="A462" s="12" t="inlineStr">
        <is>
          <t>ALV-0458</t>
        </is>
      </c>
      <c r="B462" s="11" t="n">
        <v>235</v>
      </c>
      <c r="C462" s="13" t="inlineStr">
        <is>
          <t>Nº 11922</t>
        </is>
      </c>
      <c r="D462" s="14" t="inlineStr">
        <is>
          <t>TRICLOPIR</t>
        </is>
      </c>
      <c r="E462" s="13" t="inlineStr">
        <is>
          <t>Herbicida</t>
        </is>
      </c>
      <c r="F462" s="13" t="inlineStr">
        <is>
          <t>Corda-de-viola</t>
        </is>
      </c>
      <c r="G462" s="13" t="inlineStr">
        <is>
          <t>Ipomoea grandifolia</t>
        </is>
      </c>
      <c r="H462" s="13" t="inlineStr">
        <is>
          <t>NÃO</t>
        </is>
      </c>
      <c r="I462" s="18" t="n">
        <v>0.75</v>
      </c>
      <c r="J462" s="18" t="n">
        <v>1.25</v>
      </c>
      <c r="K462" s="13" t="inlineStr">
        <is>
          <t>L/ha</t>
        </is>
      </c>
      <c r="L462" s="15" t="n">
        <v>1</v>
      </c>
      <c r="M462" s="13" t="inlineStr">
        <is>
          <t>Aplicar conforme monitoramento e estádio recomendado na bula (HRAC Grupo O (4) — Auxinas Sintéticas)</t>
        </is>
      </c>
    </row>
    <row r="463" ht="22" customHeight="1">
      <c r="A463" s="6" t="inlineStr">
        <is>
          <t>ALV-0459</t>
        </is>
      </c>
      <c r="B463" s="5" t="n">
        <v>236</v>
      </c>
      <c r="C463" s="7" t="inlineStr">
        <is>
          <t>Nº 13520</t>
        </is>
      </c>
      <c r="D463" s="8" t="inlineStr">
        <is>
          <t>CLORIMURON 250 WG 48X0,3KG (AGUARDAR FISCAL)</t>
        </is>
      </c>
      <c r="E463" s="7" t="inlineStr">
        <is>
          <t>Herbicida</t>
        </is>
      </c>
      <c r="F463" s="7" t="inlineStr">
        <is>
          <t>Plantas Daninhas Mono e Dicotiledôneas</t>
        </is>
      </c>
      <c r="G463" s="7" t="inlineStr">
        <is>
          <t>Flora Infestante</t>
        </is>
      </c>
      <c r="H463" s="7" t="inlineStr">
        <is>
          <t>NÃO</t>
        </is>
      </c>
      <c r="I463" s="17" t="n">
        <v>0.25</v>
      </c>
      <c r="J463" s="9" t="n">
        <v>2</v>
      </c>
      <c r="K463" s="7" t="inlineStr">
        <is>
          <t>L ou kg/ha</t>
        </is>
      </c>
      <c r="L463" s="9" t="n">
        <v>1</v>
      </c>
      <c r="M463" s="7" t="inlineStr">
        <is>
          <t>Aplicar conforme monitoramento e estádio recomendado na bula (Classificação HRAC Oficial conforme Bula)</t>
        </is>
      </c>
    </row>
    <row r="464" ht="22" customHeight="1">
      <c r="A464" s="12" t="inlineStr">
        <is>
          <t>ALV-0460</t>
        </is>
      </c>
      <c r="B464" s="11" t="n">
        <v>237</v>
      </c>
      <c r="C464" s="13" t="inlineStr">
        <is>
          <t>Nº 13520</t>
        </is>
      </c>
      <c r="D464" s="14" t="inlineStr">
        <is>
          <t>CLORIMURON 250 WG  15X0,300KG (AGUARDAR FISCAL)</t>
        </is>
      </c>
      <c r="E464" s="13" t="inlineStr">
        <is>
          <t>Herbicida</t>
        </is>
      </c>
      <c r="F464" s="13" t="inlineStr">
        <is>
          <t>Plantas Daninhas Mono e Dicotiledôneas</t>
        </is>
      </c>
      <c r="G464" s="13" t="inlineStr">
        <is>
          <t>Flora Infestante</t>
        </is>
      </c>
      <c r="H464" s="13" t="inlineStr">
        <is>
          <t>NÃO</t>
        </is>
      </c>
      <c r="I464" s="18" t="n">
        <v>0.25</v>
      </c>
      <c r="J464" s="15" t="n">
        <v>2</v>
      </c>
      <c r="K464" s="13" t="inlineStr">
        <is>
          <t>L ou kg/ha</t>
        </is>
      </c>
      <c r="L464" s="15" t="n">
        <v>1</v>
      </c>
      <c r="M464" s="13" t="inlineStr">
        <is>
          <t>Aplicar conforme monitoramento e estádio recomendado na bula (Classificação HRAC Oficial conforme Bula)</t>
        </is>
      </c>
    </row>
    <row r="465" ht="22" customHeight="1">
      <c r="A465" s="6" t="inlineStr">
        <is>
          <t>ALV-0461</t>
        </is>
      </c>
      <c r="B465" s="5" t="n">
        <v>238</v>
      </c>
      <c r="C465" s="7" t="inlineStr">
        <is>
          <t>Nº 13520</t>
        </is>
      </c>
      <c r="D465" s="8" t="inlineStr">
        <is>
          <t>CLORIMURON 250 WG RAIMBOW 15X0,300KG (VALIDAR FISC</t>
        </is>
      </c>
      <c r="E465" s="7" t="inlineStr">
        <is>
          <t>Herbicida</t>
        </is>
      </c>
      <c r="F465" s="7" t="inlineStr">
        <is>
          <t>Plantas Daninhas Mono e Dicotiledôneas</t>
        </is>
      </c>
      <c r="G465" s="7" t="inlineStr">
        <is>
          <t>Flora Infestante</t>
        </is>
      </c>
      <c r="H465" s="7" t="inlineStr">
        <is>
          <t>NÃO</t>
        </is>
      </c>
      <c r="I465" s="17" t="n">
        <v>0.25</v>
      </c>
      <c r="J465" s="9" t="n">
        <v>2</v>
      </c>
      <c r="K465" s="7" t="inlineStr">
        <is>
          <t>L ou kg/ha</t>
        </is>
      </c>
      <c r="L465" s="9" t="n">
        <v>1</v>
      </c>
      <c r="M465" s="7" t="inlineStr">
        <is>
          <t>Aplicar conforme monitoramento e estádio recomendado na bula (Classificação HRAC Oficial conforme Bula)</t>
        </is>
      </c>
    </row>
    <row r="466" ht="22" customHeight="1">
      <c r="A466" s="12" t="inlineStr">
        <is>
          <t>ALV-0462</t>
        </is>
      </c>
      <c r="B466" s="11" t="n">
        <v>239</v>
      </c>
      <c r="C466" s="13" t="inlineStr">
        <is>
          <t>Nº 11922</t>
        </is>
      </c>
      <c r="D466" s="14" t="inlineStr">
        <is>
          <t>TRICLOPIR</t>
        </is>
      </c>
      <c r="E466" s="13" t="inlineStr">
        <is>
          <t>Herbicida</t>
        </is>
      </c>
      <c r="F466" s="13" t="inlineStr">
        <is>
          <t>Buva</t>
        </is>
      </c>
      <c r="G466" s="13" t="inlineStr">
        <is>
          <t>Conyza bonariensis</t>
        </is>
      </c>
      <c r="H466" s="13" t="inlineStr">
        <is>
          <t>SIM (*)</t>
        </is>
      </c>
      <c r="I466" s="18" t="n">
        <v>0.75</v>
      </c>
      <c r="J466" s="18" t="n">
        <v>1.5</v>
      </c>
      <c r="K466" s="13" t="inlineStr">
        <is>
          <t>L/ha</t>
        </is>
      </c>
      <c r="L466" s="15" t="n">
        <v>1</v>
      </c>
      <c r="M466" s="13" t="inlineStr">
        <is>
          <t>Aplicar conforme monitoramento e estádio recomendado na bula (HRAC Grupo O (4) — Auxinas Sintéticas)</t>
        </is>
      </c>
    </row>
    <row r="467" ht="22" customHeight="1">
      <c r="A467" s="6" t="inlineStr">
        <is>
          <t>ALV-0463</t>
        </is>
      </c>
      <c r="B467" s="5" t="n">
        <v>239</v>
      </c>
      <c r="C467" s="7" t="inlineStr">
        <is>
          <t>Nº 11922</t>
        </is>
      </c>
      <c r="D467" s="8" t="inlineStr">
        <is>
          <t>TRICLOPIR</t>
        </is>
      </c>
      <c r="E467" s="7" t="inlineStr">
        <is>
          <t>Herbicida</t>
        </is>
      </c>
      <c r="F467" s="7" t="inlineStr">
        <is>
          <t>Corda-de-viola</t>
        </is>
      </c>
      <c r="G467" s="7" t="inlineStr">
        <is>
          <t>Ipomoea grandifolia</t>
        </is>
      </c>
      <c r="H467" s="7" t="inlineStr">
        <is>
          <t>NÃO</t>
        </is>
      </c>
      <c r="I467" s="17" t="n">
        <v>0.75</v>
      </c>
      <c r="J467" s="17" t="n">
        <v>1.25</v>
      </c>
      <c r="K467" s="7" t="inlineStr">
        <is>
          <t>L/ha</t>
        </is>
      </c>
      <c r="L467" s="9" t="n">
        <v>1</v>
      </c>
      <c r="M467" s="7" t="inlineStr">
        <is>
          <t>Aplicar conforme monitoramento e estádio recomendado na bula (HRAC Grupo O (4) — Auxinas Sintéticas)</t>
        </is>
      </c>
    </row>
    <row r="468" ht="22" customHeight="1">
      <c r="A468" s="12" t="inlineStr">
        <is>
          <t>ALV-0464</t>
        </is>
      </c>
      <c r="B468" s="11" t="n">
        <v>240</v>
      </c>
      <c r="C468" s="13" t="inlineStr">
        <is>
          <t>Nº 11320</t>
        </is>
      </c>
      <c r="D468" s="14" t="inlineStr">
        <is>
          <t>SURVEY 800 WG</t>
        </is>
      </c>
      <c r="E468" s="13" t="inlineStr">
        <is>
          <t>Inseticida e Cupinicida (Fipronil)</t>
        </is>
      </c>
      <c r="F468" s="13" t="inlineStr">
        <is>
          <t>Coró</t>
        </is>
      </c>
      <c r="G468" s="13" t="inlineStr">
        <is>
          <t>Phyllophaga cuyabana</t>
        </is>
      </c>
      <c r="H468" s="13" t="inlineStr">
        <is>
          <t>NÃO</t>
        </is>
      </c>
      <c r="I468" s="18" t="n">
        <v>0.1</v>
      </c>
      <c r="J468" s="18" t="n">
        <v>0.2</v>
      </c>
      <c r="K468" s="13" t="inlineStr">
        <is>
          <t>L/100kg sem.</t>
        </is>
      </c>
      <c r="L468" s="15" t="n">
        <v>1</v>
      </c>
      <c r="M468" s="13" t="inlineStr">
        <is>
          <t>Aplicar conforme monitoramento e estádio recomendado na bula (IRAC Grupo 2B)</t>
        </is>
      </c>
    </row>
    <row r="469" ht="22" customHeight="1">
      <c r="A469" s="6" t="inlineStr">
        <is>
          <t>ALV-0465</t>
        </is>
      </c>
      <c r="B469" s="5" t="n">
        <v>240</v>
      </c>
      <c r="C469" s="7" t="inlineStr">
        <is>
          <t>Nº 11320</t>
        </is>
      </c>
      <c r="D469" s="8" t="inlineStr">
        <is>
          <t>SURVEY 800 WG</t>
        </is>
      </c>
      <c r="E469" s="7" t="inlineStr">
        <is>
          <t>Inseticida e Cupinicida (Fipronil)</t>
        </is>
      </c>
      <c r="F469" s="7" t="inlineStr">
        <is>
          <t>Lagarta-elasmo</t>
        </is>
      </c>
      <c r="G469" s="7" t="inlineStr">
        <is>
          <t>Elasmopalpus lignosellus</t>
        </is>
      </c>
      <c r="H469" s="7" t="inlineStr">
        <is>
          <t>NÃO</t>
        </is>
      </c>
      <c r="I469" s="17" t="n">
        <v>0.1</v>
      </c>
      <c r="J469" s="17" t="n">
        <v>0.2</v>
      </c>
      <c r="K469" s="7" t="inlineStr">
        <is>
          <t>L/100kg sem.</t>
        </is>
      </c>
      <c r="L469" s="9" t="n">
        <v>1</v>
      </c>
      <c r="M469" s="7" t="inlineStr">
        <is>
          <t>Aplicar conforme monitoramento e estádio recomendado na bula (IRAC Grupo 2B)</t>
        </is>
      </c>
    </row>
    <row r="470" ht="22" customHeight="1">
      <c r="A470" s="12" t="inlineStr">
        <is>
          <t>ALV-0466</t>
        </is>
      </c>
      <c r="B470" s="11" t="n">
        <v>240</v>
      </c>
      <c r="C470" s="13" t="inlineStr">
        <is>
          <t>Nº 11320</t>
        </is>
      </c>
      <c r="D470" s="14" t="inlineStr">
        <is>
          <t>SURVEY 800 WG</t>
        </is>
      </c>
      <c r="E470" s="13" t="inlineStr">
        <is>
          <t>Inseticida e Cupinicida (Fipronil)</t>
        </is>
      </c>
      <c r="F470" s="13" t="inlineStr">
        <is>
          <t>Cupim-de-montículo</t>
        </is>
      </c>
      <c r="G470" s="13" t="inlineStr">
        <is>
          <t>Procornitermes triacifer</t>
        </is>
      </c>
      <c r="H470" s="13" t="inlineStr">
        <is>
          <t>NÃO</t>
        </is>
      </c>
      <c r="I470" s="18" t="n">
        <v>0.05</v>
      </c>
      <c r="J470" s="18" t="n">
        <v>0.2</v>
      </c>
      <c r="K470" s="13" t="inlineStr">
        <is>
          <t>kg ou L/ha</t>
        </is>
      </c>
      <c r="L470" s="15" t="n">
        <v>1</v>
      </c>
      <c r="M470" s="13" t="inlineStr">
        <is>
          <t>Aplicar conforme monitoramento e estádio recomendado na bula (IRAC Grupo 2B)</t>
        </is>
      </c>
    </row>
    <row r="471" ht="22" customHeight="1">
      <c r="A471" s="6" t="inlineStr">
        <is>
          <t>ALV-0467</t>
        </is>
      </c>
      <c r="B471" s="5" t="n">
        <v>241</v>
      </c>
      <c r="C471" s="7" t="inlineStr">
        <is>
          <t>Nº 12621</t>
        </is>
      </c>
      <c r="D471" s="8" t="inlineStr">
        <is>
          <t>NADRAN 250SL (PRINCIPIO ATIVO)</t>
        </is>
      </c>
      <c r="E471" s="7" t="inlineStr">
        <is>
          <t>Insumo Industrial</t>
        </is>
      </c>
      <c r="F471" s="7" t="inlineStr">
        <is>
          <t>Matéria-prima para Formulação Industrial</t>
        </is>
      </c>
      <c r="G471" s="7" t="inlineStr">
        <is>
          <t>Uso Industrial Credenciado MAPA</t>
        </is>
      </c>
      <c r="H471" s="7" t="inlineStr">
        <is>
          <t>NÃO</t>
        </is>
      </c>
      <c r="I471" s="9" t="n">
        <v>0</v>
      </c>
      <c r="J471" s="9" t="n">
        <v>0</v>
      </c>
      <c r="K471" s="7" t="inlineStr">
        <is>
          <t>L</t>
        </is>
      </c>
      <c r="L471" s="9" t="n">
        <v>1</v>
      </c>
      <c r="M471" s="7" t="inlineStr">
        <is>
          <t>Uso restrito a estabelecimentos formuladores registrados</t>
        </is>
      </c>
    </row>
    <row r="472" ht="22" customHeight="1">
      <c r="A472" s="12" t="inlineStr">
        <is>
          <t>ALV-0468</t>
        </is>
      </c>
      <c r="B472" s="11" t="n">
        <v>242</v>
      </c>
      <c r="C472" s="13" t="inlineStr">
        <is>
          <t>Nº 12418</t>
        </is>
      </c>
      <c r="D472" s="14" t="inlineStr">
        <is>
          <t>PENNCOZEB - MANCOZEB 750 (PRINCIPIO ATIVO)</t>
        </is>
      </c>
      <c r="E472" s="13" t="inlineStr">
        <is>
          <t>Insumo Industrial</t>
        </is>
      </c>
      <c r="F472" s="13" t="inlineStr">
        <is>
          <t>Matéria-prima para Formulação Industrial</t>
        </is>
      </c>
      <c r="G472" s="13" t="inlineStr">
        <is>
          <t>Uso Industrial Credenciado MAPA</t>
        </is>
      </c>
      <c r="H472" s="13" t="inlineStr">
        <is>
          <t>NÃO</t>
        </is>
      </c>
      <c r="I472" s="15" t="n">
        <v>0</v>
      </c>
      <c r="J472" s="15" t="n">
        <v>0</v>
      </c>
      <c r="K472" s="13" t="inlineStr">
        <is>
          <t>KG</t>
        </is>
      </c>
      <c r="L472" s="15" t="n">
        <v>1</v>
      </c>
      <c r="M472" s="13" t="inlineStr">
        <is>
          <t>Uso restrito a estabelecimentos formuladores registrados</t>
        </is>
      </c>
    </row>
    <row r="473" ht="22" customHeight="1">
      <c r="A473" s="6" t="inlineStr">
        <is>
          <t>ALV-0469</t>
        </is>
      </c>
      <c r="B473" s="5" t="n">
        <v>243</v>
      </c>
      <c r="C473" s="7" t="inlineStr">
        <is>
          <t>Nº 43418</t>
        </is>
      </c>
      <c r="D473" s="8" t="inlineStr">
        <is>
          <t>BIOLOGIC AERUM</t>
        </is>
      </c>
      <c r="E473" s="7" t="inlineStr">
        <is>
          <t>Biofungicida (Biológico)</t>
        </is>
      </c>
      <c r="F473" s="7" t="inlineStr">
        <is>
          <t>Nematoide-das-lesões</t>
        </is>
      </c>
      <c r="G473" s="7" t="inlineStr">
        <is>
          <t>Pratylenchus brachyurus</t>
        </is>
      </c>
      <c r="H473" s="7" t="inlineStr">
        <is>
          <t>NÃO</t>
        </is>
      </c>
      <c r="I473" s="17" t="n">
        <v>0.2</v>
      </c>
      <c r="J473" s="9" t="n">
        <v>1</v>
      </c>
      <c r="K473" s="7" t="inlineStr">
        <is>
          <t>L/ha</t>
        </is>
      </c>
      <c r="L473" s="9" t="n">
        <v>1</v>
      </c>
      <c r="M473" s="7" t="inlineStr">
        <is>
          <t>Aplicar conforme monitoramento e estádio recomendado na bula (FRAC Grupo BM02 / IRAC Grupo 11A / Bioinsumo)</t>
        </is>
      </c>
    </row>
    <row r="474" ht="22" customHeight="1">
      <c r="A474" s="12" t="inlineStr">
        <is>
          <t>ALV-0470</t>
        </is>
      </c>
      <c r="B474" s="11" t="n">
        <v>243</v>
      </c>
      <c r="C474" s="13" t="inlineStr">
        <is>
          <t>Nº 43418</t>
        </is>
      </c>
      <c r="D474" s="14" t="inlineStr">
        <is>
          <t>BIOLOGIC AERUM</t>
        </is>
      </c>
      <c r="E474" s="13" t="inlineStr">
        <is>
          <t>Biofungicida (Biológico)</t>
        </is>
      </c>
      <c r="F474" s="13" t="inlineStr">
        <is>
          <t>Mofo-branco</t>
        </is>
      </c>
      <c r="G474" s="13" t="inlineStr">
        <is>
          <t>Sclerotinia sclerotiorum</t>
        </is>
      </c>
      <c r="H474" s="13" t="inlineStr">
        <is>
          <t>NÃO</t>
        </is>
      </c>
      <c r="I474" s="15" t="n">
        <v>1</v>
      </c>
      <c r="J474" s="15" t="n">
        <v>2</v>
      </c>
      <c r="K474" s="13" t="inlineStr">
        <is>
          <t>L/ha</t>
        </is>
      </c>
      <c r="L474" s="15" t="n">
        <v>1</v>
      </c>
      <c r="M474" s="13" t="inlineStr">
        <is>
          <t>Aplicar conforme monitoramento e estádio recomendado na bula (FRAC Grupo BM02 / IRAC Grupo 11A / Bioinsumo)</t>
        </is>
      </c>
    </row>
    <row r="475" ht="22" customHeight="1">
      <c r="A475" s="6" t="inlineStr">
        <is>
          <t>ALV-0471</t>
        </is>
      </c>
      <c r="B475" s="5" t="n">
        <v>244</v>
      </c>
      <c r="C475" s="7" t="inlineStr">
        <is>
          <t>SIPEAGRO (UF-XXXXX)</t>
        </is>
      </c>
      <c r="D475" s="8" t="inlineStr">
        <is>
          <t>BRENNFEED BR 251</t>
        </is>
      </c>
      <c r="E475" s="7" t="inlineStr">
        <is>
          <t>Fertilizante Foliar / Micronutrientes</t>
        </is>
      </c>
      <c r="F475" s="7" t="inlineStr">
        <is>
          <t>Nutrição e Correção de Deficiência Mineral</t>
        </is>
      </c>
      <c r="G475" s="7" t="inlineStr">
        <is>
          <t>Nutrição Vegetal</t>
        </is>
      </c>
      <c r="H475" s="7" t="inlineStr">
        <is>
          <t>NÃO</t>
        </is>
      </c>
      <c r="I475" s="9" t="n">
        <v>1</v>
      </c>
      <c r="J475" s="9" t="n">
        <v>250</v>
      </c>
      <c r="K475" s="7" t="inlineStr">
        <is>
          <t>kg ou L/ha</t>
        </is>
      </c>
      <c r="L475" s="9" t="n">
        <v>1</v>
      </c>
      <c r="M475" s="7" t="inlineStr">
        <is>
          <t>Aplicar conforme monitoramento e estádio recomendado na bula (Nutrição Vegetal SIPEAGRO)</t>
        </is>
      </c>
    </row>
    <row r="476" ht="22" customHeight="1">
      <c r="A476" s="12" t="inlineStr">
        <is>
          <t>ALV-0472</t>
        </is>
      </c>
      <c r="B476" s="11" t="n">
        <v>245</v>
      </c>
      <c r="C476" s="13" t="inlineStr">
        <is>
          <t>SIPEAGRO (UF-XXXXX)</t>
        </is>
      </c>
      <c r="D476" s="14" t="inlineStr">
        <is>
          <t>BRENNFEED BR 256</t>
        </is>
      </c>
      <c r="E476" s="13" t="inlineStr">
        <is>
          <t>Fertilizante Foliar / Micronutrientes</t>
        </is>
      </c>
      <c r="F476" s="13" t="inlineStr">
        <is>
          <t>Nutrição e Correção de Deficiência Mineral</t>
        </is>
      </c>
      <c r="G476" s="13" t="inlineStr">
        <is>
          <t>Nutrição Vegetal</t>
        </is>
      </c>
      <c r="H476" s="13" t="inlineStr">
        <is>
          <t>NÃO</t>
        </is>
      </c>
      <c r="I476" s="15" t="n">
        <v>1</v>
      </c>
      <c r="J476" s="15" t="n">
        <v>250</v>
      </c>
      <c r="K476" s="13" t="inlineStr">
        <is>
          <t>kg ou L/ha</t>
        </is>
      </c>
      <c r="L476" s="15" t="n">
        <v>1</v>
      </c>
      <c r="M476" s="13" t="inlineStr">
        <is>
          <t>Aplicar conforme monitoramento e estádio recomendado na bula (Nutrição Vegetal SIPEAGRO)</t>
        </is>
      </c>
    </row>
    <row r="477" ht="22" customHeight="1">
      <c r="A477" s="6" t="inlineStr">
        <is>
          <t>ALV-0473</t>
        </is>
      </c>
      <c r="B477" s="5" t="n">
        <v>246</v>
      </c>
      <c r="C477" s="7" t="inlineStr">
        <is>
          <t>SIPEAGRO (UF-XXXXX)</t>
        </is>
      </c>
      <c r="D477" s="8" t="inlineStr">
        <is>
          <t>BRENNBRA 12 B 4,5KG (AMOSTRA)</t>
        </is>
      </c>
      <c r="E477" s="7" t="inlineStr">
        <is>
          <t>Fertilizante Foliar / Micronutrientes</t>
        </is>
      </c>
      <c r="F477" s="7" t="inlineStr">
        <is>
          <t>Nutrição e Correção de Deficiência Mineral</t>
        </is>
      </c>
      <c r="G477" s="7" t="inlineStr">
        <is>
          <t>Nutrição Vegetal</t>
        </is>
      </c>
      <c r="H477" s="7" t="inlineStr">
        <is>
          <t>NÃO</t>
        </is>
      </c>
      <c r="I477" s="9" t="n">
        <v>1</v>
      </c>
      <c r="J477" s="9" t="n">
        <v>250</v>
      </c>
      <c r="K477" s="7" t="inlineStr">
        <is>
          <t>kg ou L/ha</t>
        </is>
      </c>
      <c r="L477" s="9" t="n">
        <v>1</v>
      </c>
      <c r="M477" s="7" t="inlineStr">
        <is>
          <t>Aplicar conforme monitoramento e estádio recomendado na bula (Nutrição Vegetal SIPEAGRO)</t>
        </is>
      </c>
    </row>
    <row r="478" ht="22" customHeight="1">
      <c r="A478" s="12" t="inlineStr">
        <is>
          <t>ALV-0474</t>
        </is>
      </c>
      <c r="B478" s="11" t="n">
        <v>247</v>
      </c>
      <c r="C478" s="13" t="inlineStr">
        <is>
          <t>SIPEAGRO (UF-XXXXX)</t>
        </is>
      </c>
      <c r="D478" s="14" t="inlineStr">
        <is>
          <t>AGCN N-15,0% P205-5,0% K20-5,0% MG-1,6% (AMOSTRA)</t>
        </is>
      </c>
      <c r="E478" s="13" t="inlineStr">
        <is>
          <t>Fertilizante Foliar / Micronutrientes</t>
        </is>
      </c>
      <c r="F478" s="13" t="inlineStr">
        <is>
          <t>Nutrição e Correção de Deficiência Mineral</t>
        </is>
      </c>
      <c r="G478" s="13" t="inlineStr">
        <is>
          <t>Nutrição Vegetal</t>
        </is>
      </c>
      <c r="H478" s="13" t="inlineStr">
        <is>
          <t>NÃO</t>
        </is>
      </c>
      <c r="I478" s="15" t="n">
        <v>1</v>
      </c>
      <c r="J478" s="15" t="n">
        <v>250</v>
      </c>
      <c r="K478" s="13" t="inlineStr">
        <is>
          <t>kg ou L/ha</t>
        </is>
      </c>
      <c r="L478" s="15" t="n">
        <v>1</v>
      </c>
      <c r="M478" s="13" t="inlineStr">
        <is>
          <t>Aplicar conforme monitoramento e estádio recomendado na bula (Nutrição Vegetal SIPEAGRO)</t>
        </is>
      </c>
    </row>
    <row r="479" ht="22" customHeight="1">
      <c r="A479" s="6" t="inlineStr">
        <is>
          <t>ALV-0475</t>
        </is>
      </c>
      <c r="B479" s="5" t="n">
        <v>248</v>
      </c>
      <c r="C479" s="7" t="inlineStr">
        <is>
          <t>SIPEAGRO (UF-XXXXX)</t>
        </is>
      </c>
      <c r="D479" s="8" t="inlineStr">
        <is>
          <t>AGCN N-15,0% K20-7,0% CA-1,0% MG-1,0% (AMOSTRA)</t>
        </is>
      </c>
      <c r="E479" s="7" t="inlineStr">
        <is>
          <t>Fertilizante Foliar / Micronutrientes</t>
        </is>
      </c>
      <c r="F479" s="7" t="inlineStr">
        <is>
          <t>Nutrição e Correção de Deficiência Mineral</t>
        </is>
      </c>
      <c r="G479" s="7" t="inlineStr">
        <is>
          <t>Nutrição Vegetal</t>
        </is>
      </c>
      <c r="H479" s="7" t="inlineStr">
        <is>
          <t>NÃO</t>
        </is>
      </c>
      <c r="I479" s="9" t="n">
        <v>1</v>
      </c>
      <c r="J479" s="9" t="n">
        <v>250</v>
      </c>
      <c r="K479" s="7" t="inlineStr">
        <is>
          <t>kg ou L/ha</t>
        </is>
      </c>
      <c r="L479" s="9" t="n">
        <v>1</v>
      </c>
      <c r="M479" s="7" t="inlineStr">
        <is>
          <t>Aplicar conforme monitoramento e estádio recomendado na bula (Nutrição Vegetal SIPEAGRO)</t>
        </is>
      </c>
    </row>
    <row r="480" ht="22" customHeight="1">
      <c r="A480" s="12" t="inlineStr">
        <is>
          <t>ALV-0476</t>
        </is>
      </c>
      <c r="B480" s="11" t="n">
        <v>249</v>
      </c>
      <c r="C480" s="13" t="inlineStr">
        <is>
          <t>SIPEAGRO (UF-XXXXX)</t>
        </is>
      </c>
      <c r="D480" s="14" t="inlineStr">
        <is>
          <t>AGCN N-5,0% K20-7,0% CA-1,0% MG-1,0% (AMOSTRA)</t>
        </is>
      </c>
      <c r="E480" s="13" t="inlineStr">
        <is>
          <t>Fertilizante Foliar / Micronutrientes</t>
        </is>
      </c>
      <c r="F480" s="13" t="inlineStr">
        <is>
          <t>Nutrição e Correção de Deficiência Mineral</t>
        </is>
      </c>
      <c r="G480" s="13" t="inlineStr">
        <is>
          <t>Nutrição Vegetal</t>
        </is>
      </c>
      <c r="H480" s="13" t="inlineStr">
        <is>
          <t>NÃO</t>
        </is>
      </c>
      <c r="I480" s="15" t="n">
        <v>1</v>
      </c>
      <c r="J480" s="15" t="n">
        <v>250</v>
      </c>
      <c r="K480" s="13" t="inlineStr">
        <is>
          <t>kg ou L/ha</t>
        </is>
      </c>
      <c r="L480" s="15" t="n">
        <v>1</v>
      </c>
      <c r="M480" s="13" t="inlineStr">
        <is>
          <t>Aplicar conforme monitoramento e estádio recomendado na bula (Nutrição Vegetal SIPEAGRO)</t>
        </is>
      </c>
    </row>
    <row r="481" ht="22" customHeight="1">
      <c r="A481" s="6" t="inlineStr">
        <is>
          <t>ALV-0477</t>
        </is>
      </c>
      <c r="B481" s="5" t="n">
        <v>250</v>
      </c>
      <c r="C481" s="7" t="inlineStr">
        <is>
          <t>Nº 28319</t>
        </is>
      </c>
      <c r="D481" s="8" t="inlineStr">
        <is>
          <t>TOPINAM BALDE</t>
        </is>
      </c>
      <c r="E481" s="7" t="inlineStr">
        <is>
          <t>Herbicida</t>
        </is>
      </c>
      <c r="F481" s="7" t="inlineStr">
        <is>
          <t>Buva</t>
        </is>
      </c>
      <c r="G481" s="7" t="inlineStr">
        <is>
          <t>Conyza bonariensis</t>
        </is>
      </c>
      <c r="H481" s="7" t="inlineStr">
        <is>
          <t>SIM (*)</t>
        </is>
      </c>
      <c r="I481" s="17" t="n">
        <v>0.75</v>
      </c>
      <c r="J481" s="17" t="n">
        <v>1.5</v>
      </c>
      <c r="K481" s="7" t="inlineStr">
        <is>
          <t>L/ha</t>
        </is>
      </c>
      <c r="L481" s="9" t="n">
        <v>1</v>
      </c>
      <c r="M481" s="7" t="inlineStr">
        <is>
          <t>Aplicar conforme monitoramento e estádio recomendado na bula (HRAC Grupo O (4) — Auxinas Sintéticas)</t>
        </is>
      </c>
    </row>
    <row r="482" ht="22" customHeight="1">
      <c r="A482" s="12" t="inlineStr">
        <is>
          <t>ALV-0478</t>
        </is>
      </c>
      <c r="B482" s="11" t="n">
        <v>250</v>
      </c>
      <c r="C482" s="13" t="inlineStr">
        <is>
          <t>Nº 28319</t>
        </is>
      </c>
      <c r="D482" s="14" t="inlineStr">
        <is>
          <t>TOPINAM BALDE</t>
        </is>
      </c>
      <c r="E482" s="13" t="inlineStr">
        <is>
          <t>Herbicida</t>
        </is>
      </c>
      <c r="F482" s="13" t="inlineStr">
        <is>
          <t>Corda-de-viola</t>
        </is>
      </c>
      <c r="G482" s="13" t="inlineStr">
        <is>
          <t>Ipomoea grandifolia</t>
        </is>
      </c>
      <c r="H482" s="13" t="inlineStr">
        <is>
          <t>NÃO</t>
        </is>
      </c>
      <c r="I482" s="18" t="n">
        <v>0.75</v>
      </c>
      <c r="J482" s="18" t="n">
        <v>1.25</v>
      </c>
      <c r="K482" s="13" t="inlineStr">
        <is>
          <t>L/ha</t>
        </is>
      </c>
      <c r="L482" s="15" t="n">
        <v>1</v>
      </c>
      <c r="M482" s="13" t="inlineStr">
        <is>
          <t>Aplicar conforme monitoramento e estádio recomendado na bula (HRAC Grupo O (4) — Auxinas Sintéticas)</t>
        </is>
      </c>
    </row>
    <row r="483" ht="22" customHeight="1">
      <c r="A483" s="6" t="inlineStr">
        <is>
          <t>ALV-0479</t>
        </is>
      </c>
      <c r="B483" s="5" t="n">
        <v>251</v>
      </c>
      <c r="C483" s="7" t="inlineStr">
        <is>
          <t>Nº 17208</t>
        </is>
      </c>
      <c r="D483" s="8" t="inlineStr">
        <is>
          <t>TRICLON</t>
        </is>
      </c>
      <c r="E483" s="7" t="inlineStr">
        <is>
          <t>Herbicida</t>
        </is>
      </c>
      <c r="F483" s="7" t="inlineStr">
        <is>
          <t>Buva</t>
        </is>
      </c>
      <c r="G483" s="7" t="inlineStr">
        <is>
          <t>Conyza bonariensis</t>
        </is>
      </c>
      <c r="H483" s="7" t="inlineStr">
        <is>
          <t>SIM (*)</t>
        </is>
      </c>
      <c r="I483" s="17" t="n">
        <v>0.75</v>
      </c>
      <c r="J483" s="17" t="n">
        <v>1.5</v>
      </c>
      <c r="K483" s="7" t="inlineStr">
        <is>
          <t>L/ha</t>
        </is>
      </c>
      <c r="L483" s="9" t="n">
        <v>1</v>
      </c>
      <c r="M483" s="7" t="inlineStr">
        <is>
          <t>Aplicar conforme monitoramento e estádio recomendado na bula (HRAC Grupo O (4) — Auxinas Sintéticas)</t>
        </is>
      </c>
    </row>
    <row r="484" ht="22" customHeight="1">
      <c r="A484" s="12" t="inlineStr">
        <is>
          <t>ALV-0480</t>
        </is>
      </c>
      <c r="B484" s="11" t="n">
        <v>251</v>
      </c>
      <c r="C484" s="13" t="inlineStr">
        <is>
          <t>Nº 17208</t>
        </is>
      </c>
      <c r="D484" s="14" t="inlineStr">
        <is>
          <t>TRICLON</t>
        </is>
      </c>
      <c r="E484" s="13" t="inlineStr">
        <is>
          <t>Herbicida</t>
        </is>
      </c>
      <c r="F484" s="13" t="inlineStr">
        <is>
          <t>Corda-de-viola</t>
        </is>
      </c>
      <c r="G484" s="13" t="inlineStr">
        <is>
          <t>Ipomoea grandifolia</t>
        </is>
      </c>
      <c r="H484" s="13" t="inlineStr">
        <is>
          <t>NÃO</t>
        </is>
      </c>
      <c r="I484" s="18" t="n">
        <v>0.75</v>
      </c>
      <c r="J484" s="18" t="n">
        <v>1.25</v>
      </c>
      <c r="K484" s="13" t="inlineStr">
        <is>
          <t>L/ha</t>
        </is>
      </c>
      <c r="L484" s="15" t="n">
        <v>1</v>
      </c>
      <c r="M484" s="13" t="inlineStr">
        <is>
          <t>Aplicar conforme monitoramento e estádio recomendado na bula (HRAC Grupo O (4) — Auxinas Sintéticas)</t>
        </is>
      </c>
    </row>
    <row r="485" ht="22" customHeight="1">
      <c r="A485" s="6" t="inlineStr">
        <is>
          <t>ALV-0481</t>
        </is>
      </c>
      <c r="B485" s="5" t="n">
        <v>252</v>
      </c>
      <c r="C485" s="7" t="inlineStr">
        <is>
          <t>Nº 34122</t>
        </is>
      </c>
      <c r="D485" s="8" t="inlineStr">
        <is>
          <t>DURAX</t>
        </is>
      </c>
      <c r="E485" s="7" t="inlineStr">
        <is>
          <t>Herbicida</t>
        </is>
      </c>
      <c r="F485" s="7" t="inlineStr">
        <is>
          <t>Capim-pé-de-galinha</t>
        </is>
      </c>
      <c r="G485" s="7" t="inlineStr">
        <is>
          <t>Eleusine indica</t>
        </is>
      </c>
      <c r="H485" s="7" t="inlineStr">
        <is>
          <t>NÃO</t>
        </is>
      </c>
      <c r="I485" s="17" t="n">
        <v>1.25</v>
      </c>
      <c r="J485" s="17" t="n">
        <v>1.75</v>
      </c>
      <c r="K485" s="7" t="inlineStr">
        <is>
          <t>L/ha</t>
        </is>
      </c>
      <c r="L485" s="9" t="n">
        <v>1</v>
      </c>
      <c r="M485" s="7" t="inlineStr">
        <is>
          <t>Aplicar conforme monitoramento e estádio recomendado na bula (HRAC Grupo K3 (15) — Inibidores de VLCFAs)</t>
        </is>
      </c>
    </row>
    <row r="486" ht="22" customHeight="1">
      <c r="A486" s="12" t="inlineStr">
        <is>
          <t>ALV-0482</t>
        </is>
      </c>
      <c r="B486" s="11" t="n">
        <v>252</v>
      </c>
      <c r="C486" s="13" t="inlineStr">
        <is>
          <t>Nº 34122</t>
        </is>
      </c>
      <c r="D486" s="14" t="inlineStr">
        <is>
          <t>DURAX</t>
        </is>
      </c>
      <c r="E486" s="13" t="inlineStr">
        <is>
          <t>Herbicida</t>
        </is>
      </c>
      <c r="F486" s="13" t="inlineStr">
        <is>
          <t>Capim-colchão</t>
        </is>
      </c>
      <c r="G486" s="13" t="inlineStr">
        <is>
          <t>Digitaria horizontalis</t>
        </is>
      </c>
      <c r="H486" s="13" t="inlineStr">
        <is>
          <t>NÃO</t>
        </is>
      </c>
      <c r="I486" s="18" t="n">
        <v>1.25</v>
      </c>
      <c r="J486" s="18" t="n">
        <v>1.5</v>
      </c>
      <c r="K486" s="13" t="inlineStr">
        <is>
          <t>L/ha</t>
        </is>
      </c>
      <c r="L486" s="15" t="n">
        <v>1</v>
      </c>
      <c r="M486" s="13" t="inlineStr">
        <is>
          <t>Aplicar conforme monitoramento e estádio recomendado na bula (HRAC Grupo K3 (15) — Inibidores de VLCFAs)</t>
        </is>
      </c>
    </row>
    <row r="487" ht="22" customHeight="1">
      <c r="A487" s="6" t="inlineStr">
        <is>
          <t>ALV-0483</t>
        </is>
      </c>
      <c r="B487" s="5" t="n">
        <v>252</v>
      </c>
      <c r="C487" s="7" t="inlineStr">
        <is>
          <t>Nº 34122</t>
        </is>
      </c>
      <c r="D487" s="8" t="inlineStr">
        <is>
          <t>DURAX</t>
        </is>
      </c>
      <c r="E487" s="7" t="inlineStr">
        <is>
          <t>Herbicida</t>
        </is>
      </c>
      <c r="F487" s="7" t="inlineStr">
        <is>
          <t>Caruru</t>
        </is>
      </c>
      <c r="G487" s="7" t="inlineStr">
        <is>
          <t>Amaranthus hybridus</t>
        </is>
      </c>
      <c r="H487" s="7" t="inlineStr">
        <is>
          <t>NÃO</t>
        </is>
      </c>
      <c r="I487" s="17" t="n">
        <v>1.25</v>
      </c>
      <c r="J487" s="17" t="n">
        <v>1.75</v>
      </c>
      <c r="K487" s="7" t="inlineStr">
        <is>
          <t>L/ha</t>
        </is>
      </c>
      <c r="L487" s="9" t="n">
        <v>1</v>
      </c>
      <c r="M487" s="7" t="inlineStr">
        <is>
          <t>Aplicar conforme monitoramento e estádio recomendado na bula (HRAC Grupo K3 (15) — Inibidores de VLCFAs)</t>
        </is>
      </c>
    </row>
    <row r="488" ht="22" customHeight="1">
      <c r="A488" s="12" t="inlineStr">
        <is>
          <t>ALV-0484</t>
        </is>
      </c>
      <c r="B488" s="11" t="n">
        <v>253</v>
      </c>
      <c r="C488" s="13" t="inlineStr">
        <is>
          <t>Nº 20723</t>
        </is>
      </c>
      <c r="D488" s="14" t="inlineStr">
        <is>
          <t>ACEMIP</t>
        </is>
      </c>
      <c r="E488" s="13" t="inlineStr">
        <is>
          <t>Inseticida</t>
        </is>
      </c>
      <c r="F488" s="13" t="inlineStr">
        <is>
          <t>Mosca-branca</t>
        </is>
      </c>
      <c r="G488" s="13" t="inlineStr">
        <is>
          <t>Bemisia tabaci raça B</t>
        </is>
      </c>
      <c r="H488" s="13" t="inlineStr">
        <is>
          <t>SIM (*)</t>
        </is>
      </c>
      <c r="I488" s="18" t="n">
        <v>0.2</v>
      </c>
      <c r="J488" s="18" t="n">
        <v>0.3</v>
      </c>
      <c r="K488" s="13" t="inlineStr">
        <is>
          <t>kg/ha</t>
        </is>
      </c>
      <c r="L488" s="15" t="n">
        <v>1</v>
      </c>
      <c r="M488" s="13" t="inlineStr">
        <is>
          <t>Aplicar conforme monitoramento e estádio recomendado na bula (IRAC Grupo 4A)</t>
        </is>
      </c>
    </row>
    <row r="489" ht="22" customHeight="1">
      <c r="A489" s="6" t="inlineStr">
        <is>
          <t>ALV-0485</t>
        </is>
      </c>
      <c r="B489" s="5" t="n">
        <v>253</v>
      </c>
      <c r="C489" s="7" t="inlineStr">
        <is>
          <t>Nº 20723</t>
        </is>
      </c>
      <c r="D489" s="8" t="inlineStr">
        <is>
          <t>ACEMIP</t>
        </is>
      </c>
      <c r="E489" s="7" t="inlineStr">
        <is>
          <t>Inseticida</t>
        </is>
      </c>
      <c r="F489" s="7" t="inlineStr">
        <is>
          <t>Pulgão-do-algodoeiro</t>
        </is>
      </c>
      <c r="G489" s="7" t="inlineStr">
        <is>
          <t>Aphis gossypii</t>
        </is>
      </c>
      <c r="H489" s="7" t="inlineStr">
        <is>
          <t>NÃO</t>
        </is>
      </c>
      <c r="I489" s="17" t="n">
        <v>0.15</v>
      </c>
      <c r="J489" s="17" t="n">
        <v>0.25</v>
      </c>
      <c r="K489" s="7" t="inlineStr">
        <is>
          <t>kg/ha</t>
        </is>
      </c>
      <c r="L489" s="9" t="n">
        <v>1</v>
      </c>
      <c r="M489" s="7" t="inlineStr">
        <is>
          <t>Aplicar conforme monitoramento e estádio recomendado na bula (IRAC Grupo 4A)</t>
        </is>
      </c>
    </row>
    <row r="490" ht="22" customHeight="1">
      <c r="A490" s="12" t="inlineStr">
        <is>
          <t>ALV-0486</t>
        </is>
      </c>
      <c r="B490" s="11" t="n">
        <v>253</v>
      </c>
      <c r="C490" s="13" t="inlineStr">
        <is>
          <t>Nº 20723</t>
        </is>
      </c>
      <c r="D490" s="14" t="inlineStr">
        <is>
          <t>ACEMIP</t>
        </is>
      </c>
      <c r="E490" s="13" t="inlineStr">
        <is>
          <t>Inseticida</t>
        </is>
      </c>
      <c r="F490" s="13" t="inlineStr">
        <is>
          <t>Percevejo-marrom</t>
        </is>
      </c>
      <c r="G490" s="13" t="inlineStr">
        <is>
          <t>Euschistus heros</t>
        </is>
      </c>
      <c r="H490" s="13" t="inlineStr">
        <is>
          <t>NÃO</t>
        </is>
      </c>
      <c r="I490" s="18" t="n">
        <v>0.25</v>
      </c>
      <c r="J490" s="18" t="n">
        <v>0.35</v>
      </c>
      <c r="K490" s="13" t="inlineStr">
        <is>
          <t>kg/ha</t>
        </is>
      </c>
      <c r="L490" s="15" t="n">
        <v>1</v>
      </c>
      <c r="M490" s="13" t="inlineStr">
        <is>
          <t>Aplicar conforme monitoramento e estádio recomendado na bula (IRAC Grupo 4A)</t>
        </is>
      </c>
    </row>
    <row r="491" ht="22" customHeight="1">
      <c r="A491" s="6" t="inlineStr">
        <is>
          <t>ALV-0487</t>
        </is>
      </c>
      <c r="B491" s="5" t="n">
        <v>254</v>
      </c>
      <c r="C491" s="7" t="inlineStr">
        <is>
          <t>Nº 22921</t>
        </is>
      </c>
      <c r="D491" s="8" t="inlineStr">
        <is>
          <t>CLOMAZONA 360 (PRINCIPIO ATIVO)</t>
        </is>
      </c>
      <c r="E491" s="7" t="inlineStr">
        <is>
          <t>Insumo Industrial</t>
        </is>
      </c>
      <c r="F491" s="7" t="inlineStr">
        <is>
          <t>Matéria-prima para Formulação Industrial</t>
        </is>
      </c>
      <c r="G491" s="7" t="inlineStr">
        <is>
          <t>Uso Industrial Credenciado MAPA</t>
        </is>
      </c>
      <c r="H491" s="7" t="inlineStr">
        <is>
          <t>NÃO</t>
        </is>
      </c>
      <c r="I491" s="9" t="n">
        <v>0</v>
      </c>
      <c r="J491" s="9" t="n">
        <v>0</v>
      </c>
      <c r="K491" s="7" t="inlineStr">
        <is>
          <t>L</t>
        </is>
      </c>
      <c r="L491" s="9" t="n">
        <v>1</v>
      </c>
      <c r="M491" s="7" t="inlineStr">
        <is>
          <t>Uso restrito a estabelecimentos formuladores registrados</t>
        </is>
      </c>
    </row>
    <row r="492" ht="22" customHeight="1">
      <c r="A492" s="12" t="inlineStr">
        <is>
          <t>ALV-0488</t>
        </is>
      </c>
      <c r="B492" s="11" t="n">
        <v>255</v>
      </c>
      <c r="C492" s="13" t="inlineStr">
        <is>
          <t>SIPEAGRO (UF-XXXXX)</t>
        </is>
      </c>
      <c r="D492" s="14" t="inlineStr">
        <is>
          <t>AGCN MN+ 100</t>
        </is>
      </c>
      <c r="E492" s="13" t="inlineStr">
        <is>
          <t>Fertilizante Foliar / Micronutrientes</t>
        </is>
      </c>
      <c r="F492" s="13" t="inlineStr">
        <is>
          <t>Nutrição e Correção de Deficiência Mineral</t>
        </is>
      </c>
      <c r="G492" s="13" t="inlineStr">
        <is>
          <t>Nutrição Vegetal</t>
        </is>
      </c>
      <c r="H492" s="13" t="inlineStr">
        <is>
          <t>NÃO</t>
        </is>
      </c>
      <c r="I492" s="15" t="n">
        <v>1</v>
      </c>
      <c r="J492" s="15" t="n">
        <v>250</v>
      </c>
      <c r="K492" s="13" t="inlineStr">
        <is>
          <t>kg ou L/ha</t>
        </is>
      </c>
      <c r="L492" s="15" t="n">
        <v>1</v>
      </c>
      <c r="M492" s="13" t="inlineStr">
        <is>
          <t>Aplicar conforme monitoramento e estádio recomendado na bula (Nutrição Vegetal SIPEAGRO)</t>
        </is>
      </c>
    </row>
    <row r="493" ht="22" customHeight="1">
      <c r="A493" s="6" t="inlineStr">
        <is>
          <t>ALV-0489</t>
        </is>
      </c>
      <c r="B493" s="5" t="n">
        <v>256</v>
      </c>
      <c r="C493" s="7" t="inlineStr">
        <is>
          <t>Nº 1411</t>
        </is>
      </c>
      <c r="D493" s="8" t="inlineStr">
        <is>
          <t>CLORIMUROM 360 (PRINCIPIO ATIVO)</t>
        </is>
      </c>
      <c r="E493" s="7" t="inlineStr">
        <is>
          <t>Insumo Industrial</t>
        </is>
      </c>
      <c r="F493" s="7" t="inlineStr">
        <is>
          <t>Matéria-prima para Formulação Industrial</t>
        </is>
      </c>
      <c r="G493" s="7" t="inlineStr">
        <is>
          <t>Uso Industrial Credenciado MAPA</t>
        </is>
      </c>
      <c r="H493" s="7" t="inlineStr">
        <is>
          <t>NÃO</t>
        </is>
      </c>
      <c r="I493" s="9" t="n">
        <v>0</v>
      </c>
      <c r="J493" s="9" t="n">
        <v>0</v>
      </c>
      <c r="K493" s="7" t="inlineStr">
        <is>
          <t>KG</t>
        </is>
      </c>
      <c r="L493" s="9" t="n">
        <v>1</v>
      </c>
      <c r="M493" s="7" t="inlineStr">
        <is>
          <t>Uso restrito a estabelecimentos formuladores registrados</t>
        </is>
      </c>
    </row>
    <row r="494" ht="22" customHeight="1">
      <c r="A494" s="12" t="inlineStr">
        <is>
          <t>ALV-0490</t>
        </is>
      </c>
      <c r="B494" s="11" t="n">
        <v>257</v>
      </c>
      <c r="C494" s="13" t="inlineStr">
        <is>
          <t>Nº 28517</t>
        </is>
      </c>
      <c r="D494" s="14" t="inlineStr">
        <is>
          <t>ABSOLUTO FIX</t>
        </is>
      </c>
      <c r="E494" s="13" t="inlineStr">
        <is>
          <t>Fungicida</t>
        </is>
      </c>
      <c r="F494" s="13" t="inlineStr">
        <is>
          <t>Ferrugem-asiática</t>
        </is>
      </c>
      <c r="G494" s="13" t="inlineStr">
        <is>
          <t>Phakopsora pachyrhizi</t>
        </is>
      </c>
      <c r="H494" s="13" t="inlineStr">
        <is>
          <t>NÃO</t>
        </is>
      </c>
      <c r="I494" s="18" t="n">
        <v>1.5</v>
      </c>
      <c r="J494" s="15" t="n">
        <v>2</v>
      </c>
      <c r="K494" s="13" t="inlineStr">
        <is>
          <t>L ou kg/ha</t>
        </is>
      </c>
      <c r="L494" s="15" t="n">
        <v>1</v>
      </c>
      <c r="M494" s="13" t="inlineStr">
        <is>
          <t>Aplicar conforme monitoramento e estádio recomendado na bula (FRAC Grupo M05 — Multissítio)</t>
        </is>
      </c>
    </row>
    <row r="495" ht="22" customHeight="1">
      <c r="A495" s="6" t="inlineStr">
        <is>
          <t>ALV-0491</t>
        </is>
      </c>
      <c r="B495" s="5" t="n">
        <v>257</v>
      </c>
      <c r="C495" s="7" t="inlineStr">
        <is>
          <t>Nº 28517</t>
        </is>
      </c>
      <c r="D495" s="8" t="inlineStr">
        <is>
          <t>ABSOLUTO FIX</t>
        </is>
      </c>
      <c r="E495" s="7" t="inlineStr">
        <is>
          <t>Fungicida</t>
        </is>
      </c>
      <c r="F495" s="7" t="inlineStr">
        <is>
          <t>Mancha-alvo</t>
        </is>
      </c>
      <c r="G495" s="7" t="inlineStr">
        <is>
          <t>Corynespora cassiicola</t>
        </is>
      </c>
      <c r="H495" s="7" t="inlineStr">
        <is>
          <t>NÃO</t>
        </is>
      </c>
      <c r="I495" s="17" t="n">
        <v>1.5</v>
      </c>
      <c r="J495" s="17" t="n">
        <v>2.5</v>
      </c>
      <c r="K495" s="7" t="inlineStr">
        <is>
          <t>L ou kg/ha</t>
        </is>
      </c>
      <c r="L495" s="9" t="n">
        <v>1</v>
      </c>
      <c r="M495" s="7" t="inlineStr">
        <is>
          <t>Aplicar conforme monitoramento e estádio recomendado na bula (FRAC Grupo M05 — Multissítio)</t>
        </is>
      </c>
    </row>
    <row r="496" ht="22" customHeight="1">
      <c r="A496" s="12" t="inlineStr">
        <is>
          <t>ALV-0492</t>
        </is>
      </c>
      <c r="B496" s="11" t="n">
        <v>257</v>
      </c>
      <c r="C496" s="13" t="inlineStr">
        <is>
          <t>Nº 28517</t>
        </is>
      </c>
      <c r="D496" s="14" t="inlineStr">
        <is>
          <t>ABSOLUTO FIX</t>
        </is>
      </c>
      <c r="E496" s="13" t="inlineStr">
        <is>
          <t>Fungicida</t>
        </is>
      </c>
      <c r="F496" s="13" t="inlineStr">
        <is>
          <t>Cercosporiose</t>
        </is>
      </c>
      <c r="G496" s="13" t="inlineStr">
        <is>
          <t>Cercospora kikuchii</t>
        </is>
      </c>
      <c r="H496" s="13" t="inlineStr">
        <is>
          <t>NÃO</t>
        </is>
      </c>
      <c r="I496" s="18" t="n">
        <v>1.5</v>
      </c>
      <c r="J496" s="15" t="n">
        <v>2</v>
      </c>
      <c r="K496" s="13" t="inlineStr">
        <is>
          <t>L ou kg/ha</t>
        </is>
      </c>
      <c r="L496" s="15" t="n">
        <v>1</v>
      </c>
      <c r="M496" s="13" t="inlineStr">
        <is>
          <t>Aplicar conforme monitoramento e estádio recomendado na bula (FRAC Grupo M05 — Multissítio)</t>
        </is>
      </c>
    </row>
    <row r="497" ht="22" customHeight="1">
      <c r="A497" s="6" t="inlineStr">
        <is>
          <t>ALV-0493</t>
        </is>
      </c>
      <c r="B497" s="5" t="n">
        <v>258</v>
      </c>
      <c r="C497" s="7" t="inlineStr">
        <is>
          <t>Nº 28517</t>
        </is>
      </c>
      <c r="D497" s="8" t="inlineStr">
        <is>
          <t>ABSOLUTO FIX</t>
        </is>
      </c>
      <c r="E497" s="7" t="inlineStr">
        <is>
          <t>Fungicida</t>
        </is>
      </c>
      <c r="F497" s="7" t="inlineStr">
        <is>
          <t>Ferrugem-asiática</t>
        </is>
      </c>
      <c r="G497" s="7" t="inlineStr">
        <is>
          <t>Phakopsora pachyrhizi</t>
        </is>
      </c>
      <c r="H497" s="7" t="inlineStr">
        <is>
          <t>NÃO</t>
        </is>
      </c>
      <c r="I497" s="17" t="n">
        <v>1.5</v>
      </c>
      <c r="J497" s="9" t="n">
        <v>2</v>
      </c>
      <c r="K497" s="7" t="inlineStr">
        <is>
          <t>L ou kg/ha</t>
        </is>
      </c>
      <c r="L497" s="9" t="n">
        <v>1</v>
      </c>
      <c r="M497" s="7" t="inlineStr">
        <is>
          <t>Aplicar conforme monitoramento e estádio recomendado na bula (FRAC Grupo M05 — Multissítio)</t>
        </is>
      </c>
    </row>
    <row r="498" ht="22" customHeight="1">
      <c r="A498" s="12" t="inlineStr">
        <is>
          <t>ALV-0494</t>
        </is>
      </c>
      <c r="B498" s="11" t="n">
        <v>258</v>
      </c>
      <c r="C498" s="13" t="inlineStr">
        <is>
          <t>Nº 28517</t>
        </is>
      </c>
      <c r="D498" s="14" t="inlineStr">
        <is>
          <t>ABSOLUTO FIX</t>
        </is>
      </c>
      <c r="E498" s="13" t="inlineStr">
        <is>
          <t>Fungicida</t>
        </is>
      </c>
      <c r="F498" s="13" t="inlineStr">
        <is>
          <t>Mancha-alvo</t>
        </is>
      </c>
      <c r="G498" s="13" t="inlineStr">
        <is>
          <t>Corynespora cassiicola</t>
        </is>
      </c>
      <c r="H498" s="13" t="inlineStr">
        <is>
          <t>NÃO</t>
        </is>
      </c>
      <c r="I498" s="18" t="n">
        <v>1.5</v>
      </c>
      <c r="J498" s="18" t="n">
        <v>2.5</v>
      </c>
      <c r="K498" s="13" t="inlineStr">
        <is>
          <t>L ou kg/ha</t>
        </is>
      </c>
      <c r="L498" s="15" t="n">
        <v>1</v>
      </c>
      <c r="M498" s="13" t="inlineStr">
        <is>
          <t>Aplicar conforme monitoramento e estádio recomendado na bula (FRAC Grupo M05 — Multissítio)</t>
        </is>
      </c>
    </row>
    <row r="499" ht="22" customHeight="1">
      <c r="A499" s="6" t="inlineStr">
        <is>
          <t>ALV-0495</t>
        </is>
      </c>
      <c r="B499" s="5" t="n">
        <v>258</v>
      </c>
      <c r="C499" s="7" t="inlineStr">
        <is>
          <t>Nº 28517</t>
        </is>
      </c>
      <c r="D499" s="8" t="inlineStr">
        <is>
          <t>ABSOLUTO FIX</t>
        </is>
      </c>
      <c r="E499" s="7" t="inlineStr">
        <is>
          <t>Fungicida</t>
        </is>
      </c>
      <c r="F499" s="7" t="inlineStr">
        <is>
          <t>Cercosporiose</t>
        </is>
      </c>
      <c r="G499" s="7" t="inlineStr">
        <is>
          <t>Cercospora kikuchii</t>
        </is>
      </c>
      <c r="H499" s="7" t="inlineStr">
        <is>
          <t>NÃO</t>
        </is>
      </c>
      <c r="I499" s="17" t="n">
        <v>1.5</v>
      </c>
      <c r="J499" s="9" t="n">
        <v>2</v>
      </c>
      <c r="K499" s="7" t="inlineStr">
        <is>
          <t>L ou kg/ha</t>
        </is>
      </c>
      <c r="L499" s="9" t="n">
        <v>1</v>
      </c>
      <c r="M499" s="7" t="inlineStr">
        <is>
          <t>Aplicar conforme monitoramento e estádio recomendado na bula (FRAC Grupo M05 — Multissítio)</t>
        </is>
      </c>
    </row>
    <row r="500" ht="22" customHeight="1">
      <c r="A500" s="12" t="inlineStr">
        <is>
          <t>ALV-0496</t>
        </is>
      </c>
      <c r="B500" s="11" t="n">
        <v>259</v>
      </c>
      <c r="C500" s="13" t="inlineStr">
        <is>
          <t>Nº 16318</t>
        </is>
      </c>
      <c r="D500" s="14" t="inlineStr">
        <is>
          <t>AMETRINA</t>
        </is>
      </c>
      <c r="E500" s="13" t="inlineStr">
        <is>
          <t>Herbicida</t>
        </is>
      </c>
      <c r="F500" s="13" t="inlineStr">
        <is>
          <t>Plantas Daninhas Mono e Dicotiledôneas</t>
        </is>
      </c>
      <c r="G500" s="13" t="inlineStr">
        <is>
          <t>Flora Infestante</t>
        </is>
      </c>
      <c r="H500" s="13" t="inlineStr">
        <is>
          <t>NÃO</t>
        </is>
      </c>
      <c r="I500" s="18" t="n">
        <v>0.25</v>
      </c>
      <c r="J500" s="15" t="n">
        <v>2</v>
      </c>
      <c r="K500" s="13" t="inlineStr">
        <is>
          <t>L ou kg/ha</t>
        </is>
      </c>
      <c r="L500" s="15" t="n">
        <v>1</v>
      </c>
      <c r="M500" s="13" t="inlineStr">
        <is>
          <t>Aplicar conforme monitoramento e estádio recomendado na bula (Classificação HRAC Oficial conforme Bula)</t>
        </is>
      </c>
    </row>
    <row r="501" ht="22" customHeight="1">
      <c r="A501" s="6" t="inlineStr">
        <is>
          <t>ALV-0497</t>
        </is>
      </c>
      <c r="B501" s="5" t="n">
        <v>260</v>
      </c>
      <c r="C501" s="7" t="inlineStr">
        <is>
          <t>Nº 1924</t>
        </is>
      </c>
      <c r="D501" s="8" t="inlineStr">
        <is>
          <t>FORCEPS</t>
        </is>
      </c>
      <c r="E501" s="7" t="inlineStr">
        <is>
          <t>Inseticida</t>
        </is>
      </c>
      <c r="F501" s="7" t="inlineStr">
        <is>
          <t>Bicudo-do-algodoeiro</t>
        </is>
      </c>
      <c r="G501" s="7" t="inlineStr">
        <is>
          <t>Anthonomus grandis</t>
        </is>
      </c>
      <c r="H501" s="7" t="inlineStr">
        <is>
          <t>NÃO</t>
        </is>
      </c>
      <c r="I501" s="17" t="n">
        <v>0.15</v>
      </c>
      <c r="J501" s="17" t="n">
        <v>0.25</v>
      </c>
      <c r="K501" s="7" t="inlineStr">
        <is>
          <t>L/ha</t>
        </is>
      </c>
      <c r="L501" s="9" t="n">
        <v>1</v>
      </c>
      <c r="M501" s="7" t="inlineStr">
        <is>
          <t>Aplicar conforme monitoramento e estádio recomendado na bula (IRAC Grupo 3A)</t>
        </is>
      </c>
    </row>
    <row r="502" ht="22" customHeight="1">
      <c r="A502" s="12" t="inlineStr">
        <is>
          <t>ALV-0498</t>
        </is>
      </c>
      <c r="B502" s="11" t="n">
        <v>260</v>
      </c>
      <c r="C502" s="13" t="inlineStr">
        <is>
          <t>Nº 1924</t>
        </is>
      </c>
      <c r="D502" s="14" t="inlineStr">
        <is>
          <t>FORCEPS</t>
        </is>
      </c>
      <c r="E502" s="13" t="inlineStr">
        <is>
          <t>Inseticida</t>
        </is>
      </c>
      <c r="F502" s="13" t="inlineStr">
        <is>
          <t>Mosca-branca</t>
        </is>
      </c>
      <c r="G502" s="13" t="inlineStr">
        <is>
          <t>Bemisia tabaci raça B</t>
        </is>
      </c>
      <c r="H502" s="13" t="inlineStr">
        <is>
          <t>SIM (*)</t>
        </is>
      </c>
      <c r="I502" s="18" t="n">
        <v>0.125</v>
      </c>
      <c r="J502" s="18" t="n">
        <v>0.25</v>
      </c>
      <c r="K502" s="13" t="inlineStr">
        <is>
          <t>L/ha</t>
        </is>
      </c>
      <c r="L502" s="15" t="n">
        <v>1</v>
      </c>
      <c r="M502" s="13" t="inlineStr">
        <is>
          <t>Aplicar conforme monitoramento e estádio recomendado na bula (IRAC Grupo 3A)</t>
        </is>
      </c>
    </row>
    <row r="503" ht="22" customHeight="1">
      <c r="A503" s="6" t="inlineStr">
        <is>
          <t>ALV-0499</t>
        </is>
      </c>
      <c r="B503" s="5" t="n">
        <v>260</v>
      </c>
      <c r="C503" s="7" t="inlineStr">
        <is>
          <t>Nº 1924</t>
        </is>
      </c>
      <c r="D503" s="8" t="inlineStr">
        <is>
          <t>FORCEPS</t>
        </is>
      </c>
      <c r="E503" s="7" t="inlineStr">
        <is>
          <t>Inseticida</t>
        </is>
      </c>
      <c r="F503" s="7" t="inlineStr">
        <is>
          <t>Ácaro-rajado</t>
        </is>
      </c>
      <c r="G503" s="7" t="inlineStr">
        <is>
          <t>Tetranychus urticae</t>
        </is>
      </c>
      <c r="H503" s="7" t="inlineStr">
        <is>
          <t>SIM (*)</t>
        </is>
      </c>
      <c r="I503" s="17" t="n">
        <v>0.15</v>
      </c>
      <c r="J503" s="17" t="n">
        <v>0.2</v>
      </c>
      <c r="K503" s="7" t="inlineStr">
        <is>
          <t>L/ha</t>
        </is>
      </c>
      <c r="L503" s="9" t="n">
        <v>1</v>
      </c>
      <c r="M503" s="7" t="inlineStr">
        <is>
          <t>Aplicar conforme monitoramento e estádio recomendado na bula (IRAC Grupo 3A)</t>
        </is>
      </c>
    </row>
    <row r="504" ht="22" customHeight="1">
      <c r="A504" s="12" t="inlineStr">
        <is>
          <t>ALV-0500</t>
        </is>
      </c>
      <c r="B504" s="11" t="n">
        <v>261</v>
      </c>
      <c r="C504" s="13" t="inlineStr">
        <is>
          <t>Nº 3915</t>
        </is>
      </c>
      <c r="D504" s="14" t="inlineStr">
        <is>
          <t>CYPER COPA 250 EC</t>
        </is>
      </c>
      <c r="E504" s="13" t="inlineStr">
        <is>
          <t>Inseticida</t>
        </is>
      </c>
      <c r="F504" s="13" t="inlineStr">
        <is>
          <t>Complexo de Lagartas, Percevejos e Sugadores</t>
        </is>
      </c>
      <c r="G504" s="13" t="inlineStr">
        <is>
          <t>Spodoptera / Euschistus / Bemisia</t>
        </is>
      </c>
      <c r="H504" s="13" t="inlineStr">
        <is>
          <t>NÃO</t>
        </is>
      </c>
      <c r="I504" s="18" t="n">
        <v>0.15</v>
      </c>
      <c r="J504" s="15" t="n">
        <v>1</v>
      </c>
      <c r="K504" s="13" t="inlineStr">
        <is>
          <t>L ou kg/ha</t>
        </is>
      </c>
      <c r="L504" s="15" t="n">
        <v>1</v>
      </c>
      <c r="M504" s="13" t="inlineStr">
        <is>
          <t>Aplicar conforme monitoramento e estádio recomendado na bula (Classificação IRAC Oficial conforme Bula)</t>
        </is>
      </c>
    </row>
    <row r="505" ht="22" customHeight="1">
      <c r="A505" s="6" t="inlineStr">
        <is>
          <t>ALV-0501</t>
        </is>
      </c>
      <c r="B505" s="5" t="n">
        <v>262</v>
      </c>
      <c r="C505" s="7" t="inlineStr">
        <is>
          <t>VINCULAR MARCA</t>
        </is>
      </c>
      <c r="D505" s="8" t="inlineStr">
        <is>
          <t>GLUFOSINATO 880 (PRINCIPIO ATIVO)</t>
        </is>
      </c>
      <c r="E505" s="7" t="inlineStr">
        <is>
          <t>Insumo Industrial</t>
        </is>
      </c>
      <c r="F505" s="7" t="inlineStr">
        <is>
          <t>Matéria-prima para Formulação Industrial</t>
        </is>
      </c>
      <c r="G505" s="7" t="inlineStr">
        <is>
          <t>Uso Industrial Credenciado MAPA</t>
        </is>
      </c>
      <c r="H505" s="7" t="inlineStr">
        <is>
          <t>NÃO</t>
        </is>
      </c>
      <c r="I505" s="9" t="n">
        <v>0</v>
      </c>
      <c r="J505" s="9" t="n">
        <v>0</v>
      </c>
      <c r="K505" s="7" t="inlineStr">
        <is>
          <t>KG</t>
        </is>
      </c>
      <c r="L505" s="9" t="n">
        <v>1</v>
      </c>
      <c r="M505" s="7" t="inlineStr">
        <is>
          <t>Uso restrito a estabelecimentos formuladores registrados</t>
        </is>
      </c>
    </row>
    <row r="506" ht="22" customHeight="1">
      <c r="A506" s="12" t="inlineStr">
        <is>
          <t>ALV-0502</t>
        </is>
      </c>
      <c r="B506" s="11" t="n">
        <v>263</v>
      </c>
      <c r="C506" s="13" t="inlineStr">
        <is>
          <t>SIPEAGRO (UF-XXXXX)</t>
        </is>
      </c>
      <c r="D506" s="14" t="inlineStr">
        <is>
          <t>AGCN ULTRA COPPER</t>
        </is>
      </c>
      <c r="E506" s="13" t="inlineStr">
        <is>
          <t>Fertilizante Mineral Simples (Potássico / Magnesiano)</t>
        </is>
      </c>
      <c r="F506" s="13" t="inlineStr">
        <is>
          <t>Nutrição e Correção de Deficiência Mineral</t>
        </is>
      </c>
      <c r="G506" s="13" t="inlineStr">
        <is>
          <t>Nutrição Vegetal</t>
        </is>
      </c>
      <c r="H506" s="13" t="inlineStr">
        <is>
          <t>NÃO</t>
        </is>
      </c>
      <c r="I506" s="15" t="n">
        <v>1</v>
      </c>
      <c r="J506" s="15" t="n">
        <v>250</v>
      </c>
      <c r="K506" s="13" t="inlineStr">
        <is>
          <t>kg ou L/ha</t>
        </is>
      </c>
      <c r="L506" s="15" t="n">
        <v>1</v>
      </c>
      <c r="M506" s="13" t="inlineStr">
        <is>
          <t>Aplicar conforme monitoramento e estádio recomendado na bula (Nutrição Vegetal SIPEAGRO)</t>
        </is>
      </c>
    </row>
    <row r="507" ht="22" customHeight="1">
      <c r="A507" s="6" t="inlineStr">
        <is>
          <t>ALV-0503</t>
        </is>
      </c>
      <c r="B507" s="5" t="n">
        <v>264</v>
      </c>
      <c r="C507" s="7" t="inlineStr">
        <is>
          <t>Nº 17219</t>
        </is>
      </c>
      <c r="D507" s="8" t="inlineStr">
        <is>
          <t>FLUAZINAM</t>
        </is>
      </c>
      <c r="E507" s="7" t="inlineStr">
        <is>
          <t>Fungicida</t>
        </is>
      </c>
      <c r="F507" s="7" t="inlineStr">
        <is>
          <t>Mofo-branco</t>
        </is>
      </c>
      <c r="G507" s="7" t="inlineStr">
        <is>
          <t>Sclerotinia sclerotiorum</t>
        </is>
      </c>
      <c r="H507" s="7" t="inlineStr">
        <is>
          <t>NÃO</t>
        </is>
      </c>
      <c r="I507" s="9" t="n">
        <v>1</v>
      </c>
      <c r="J507" s="17" t="n">
        <v>1.5</v>
      </c>
      <c r="K507" s="7" t="inlineStr">
        <is>
          <t>L/ha</t>
        </is>
      </c>
      <c r="L507" s="9" t="n">
        <v>1</v>
      </c>
      <c r="M507" s="7" t="inlineStr">
        <is>
          <t>Aplicar conforme monitoramento e estádio recomendado na bula (FRAC Grupo 29)</t>
        </is>
      </c>
    </row>
    <row r="508" ht="22" customHeight="1">
      <c r="A508" s="12" t="inlineStr">
        <is>
          <t>ALV-0504</t>
        </is>
      </c>
      <c r="B508" s="11" t="n">
        <v>264</v>
      </c>
      <c r="C508" s="13" t="inlineStr">
        <is>
          <t>Nº 17219</t>
        </is>
      </c>
      <c r="D508" s="14" t="inlineStr">
        <is>
          <t>FLUAZINAM</t>
        </is>
      </c>
      <c r="E508" s="13" t="inlineStr">
        <is>
          <t>Fungicida</t>
        </is>
      </c>
      <c r="F508" s="13" t="inlineStr">
        <is>
          <t>Requeima</t>
        </is>
      </c>
      <c r="G508" s="13" t="inlineStr">
        <is>
          <t>Phytophthora infestans</t>
        </is>
      </c>
      <c r="H508" s="13" t="inlineStr">
        <is>
          <t>NÃO</t>
        </is>
      </c>
      <c r="I508" s="18" t="n">
        <v>0.75</v>
      </c>
      <c r="J508" s="15" t="n">
        <v>1</v>
      </c>
      <c r="K508" s="13" t="inlineStr">
        <is>
          <t>L/ha</t>
        </is>
      </c>
      <c r="L508" s="15" t="n">
        <v>1</v>
      </c>
      <c r="M508" s="13" t="inlineStr">
        <is>
          <t>Aplicar conforme monitoramento e estádio recomendado na bula (FRAC Grupo 29)</t>
        </is>
      </c>
    </row>
    <row r="509" ht="22" customHeight="1">
      <c r="A509" s="6" t="inlineStr">
        <is>
          <t>ALV-0505</t>
        </is>
      </c>
      <c r="B509" s="5" t="n">
        <v>265</v>
      </c>
      <c r="C509" s="7" t="inlineStr">
        <is>
          <t>Nº 14421</t>
        </is>
      </c>
      <c r="D509" s="8" t="inlineStr">
        <is>
          <t>FIPRONIL 250 FS AGCN</t>
        </is>
      </c>
      <c r="E509" s="7" t="inlineStr">
        <is>
          <t>Inseticida e Cupinicida (Fipronil)</t>
        </is>
      </c>
      <c r="F509" s="7" t="inlineStr">
        <is>
          <t>Coró</t>
        </is>
      </c>
      <c r="G509" s="7" t="inlineStr">
        <is>
          <t>Phyllophaga cuyabana</t>
        </is>
      </c>
      <c r="H509" s="7" t="inlineStr">
        <is>
          <t>NÃO</t>
        </is>
      </c>
      <c r="I509" s="17" t="n">
        <v>0.1</v>
      </c>
      <c r="J509" s="17" t="n">
        <v>0.2</v>
      </c>
      <c r="K509" s="7" t="inlineStr">
        <is>
          <t>L/100kg sem.</t>
        </is>
      </c>
      <c r="L509" s="9" t="n">
        <v>1</v>
      </c>
      <c r="M509" s="7" t="inlineStr">
        <is>
          <t>Aplicar conforme monitoramento e estádio recomendado na bula (IRAC Grupo 2B)</t>
        </is>
      </c>
    </row>
    <row r="510" ht="22" customHeight="1">
      <c r="A510" s="12" t="inlineStr">
        <is>
          <t>ALV-0506</t>
        </is>
      </c>
      <c r="B510" s="11" t="n">
        <v>265</v>
      </c>
      <c r="C510" s="13" t="inlineStr">
        <is>
          <t>Nº 14421</t>
        </is>
      </c>
      <c r="D510" s="14" t="inlineStr">
        <is>
          <t>FIPRONIL 250 FS AGCN</t>
        </is>
      </c>
      <c r="E510" s="13" t="inlineStr">
        <is>
          <t>Inseticida e Cupinicida (Fipronil)</t>
        </is>
      </c>
      <c r="F510" s="13" t="inlineStr">
        <is>
          <t>Lagarta-elasmo</t>
        </is>
      </c>
      <c r="G510" s="13" t="inlineStr">
        <is>
          <t>Elasmopalpus lignosellus</t>
        </is>
      </c>
      <c r="H510" s="13" t="inlineStr">
        <is>
          <t>NÃO</t>
        </is>
      </c>
      <c r="I510" s="18" t="n">
        <v>0.1</v>
      </c>
      <c r="J510" s="18" t="n">
        <v>0.2</v>
      </c>
      <c r="K510" s="13" t="inlineStr">
        <is>
          <t>L/100kg sem.</t>
        </is>
      </c>
      <c r="L510" s="15" t="n">
        <v>1</v>
      </c>
      <c r="M510" s="13" t="inlineStr">
        <is>
          <t>Aplicar conforme monitoramento e estádio recomendado na bula (IRAC Grupo 2B)</t>
        </is>
      </c>
    </row>
    <row r="511" ht="22" customHeight="1">
      <c r="A511" s="6" t="inlineStr">
        <is>
          <t>ALV-0507</t>
        </is>
      </c>
      <c r="B511" s="5" t="n">
        <v>265</v>
      </c>
      <c r="C511" s="7" t="inlineStr">
        <is>
          <t>Nº 14421</t>
        </is>
      </c>
      <c r="D511" s="8" t="inlineStr">
        <is>
          <t>FIPRONIL 250 FS AGCN</t>
        </is>
      </c>
      <c r="E511" s="7" t="inlineStr">
        <is>
          <t>Inseticida e Cupinicida (Fipronil)</t>
        </is>
      </c>
      <c r="F511" s="7" t="inlineStr">
        <is>
          <t>Cupim-de-montículo</t>
        </is>
      </c>
      <c r="G511" s="7" t="inlineStr">
        <is>
          <t>Procornitermes triacifer</t>
        </is>
      </c>
      <c r="H511" s="7" t="inlineStr">
        <is>
          <t>NÃO</t>
        </is>
      </c>
      <c r="I511" s="17" t="n">
        <v>0.05</v>
      </c>
      <c r="J511" s="17" t="n">
        <v>0.2</v>
      </c>
      <c r="K511" s="7" t="inlineStr">
        <is>
          <t>kg ou L/ha</t>
        </is>
      </c>
      <c r="L511" s="9" t="n">
        <v>1</v>
      </c>
      <c r="M511" s="7" t="inlineStr">
        <is>
          <t>Aplicar conforme monitoramento e estádio recomendado na bula (IRAC Grupo 2B)</t>
        </is>
      </c>
    </row>
    <row r="512" ht="22" customHeight="1">
      <c r="A512" s="12" t="inlineStr">
        <is>
          <t>ALV-0508</t>
        </is>
      </c>
      <c r="B512" s="11" t="n">
        <v>266</v>
      </c>
      <c r="C512" s="13" t="inlineStr">
        <is>
          <t>Nº 14024</t>
        </is>
      </c>
      <c r="D512" s="14" t="inlineStr">
        <is>
          <t>ETHIPROLE</t>
        </is>
      </c>
      <c r="E512" s="13" t="inlineStr">
        <is>
          <t>Inseticida</t>
        </is>
      </c>
      <c r="F512" s="13" t="inlineStr">
        <is>
          <t>Complexo de Lagartas, Percevejos e Sugadores</t>
        </is>
      </c>
      <c r="G512" s="13" t="inlineStr">
        <is>
          <t>Spodoptera / Euschistus / Bemisia</t>
        </is>
      </c>
      <c r="H512" s="13" t="inlineStr">
        <is>
          <t>NÃO</t>
        </is>
      </c>
      <c r="I512" s="18" t="n">
        <v>0.15</v>
      </c>
      <c r="J512" s="15" t="n">
        <v>1</v>
      </c>
      <c r="K512" s="13" t="inlineStr">
        <is>
          <t>L ou kg/ha</t>
        </is>
      </c>
      <c r="L512" s="15" t="n">
        <v>1</v>
      </c>
      <c r="M512" s="13" t="inlineStr">
        <is>
          <t>Aplicar conforme monitoramento e estádio recomendado na bula (Classificação IRAC Oficial conforme Bula)</t>
        </is>
      </c>
    </row>
    <row r="513" ht="22" customHeight="1">
      <c r="A513" s="6" t="inlineStr">
        <is>
          <t>ALV-0509</t>
        </is>
      </c>
      <c r="B513" s="5" t="n">
        <v>267</v>
      </c>
      <c r="C513" s="7" t="inlineStr">
        <is>
          <t>Nº 2004</t>
        </is>
      </c>
      <c r="D513" s="8" t="inlineStr">
        <is>
          <t>PENNCOZEB</t>
        </is>
      </c>
      <c r="E513" s="7" t="inlineStr">
        <is>
          <t>Fungicida</t>
        </is>
      </c>
      <c r="F513" s="7" t="inlineStr">
        <is>
          <t>Ferrugem-asiática</t>
        </is>
      </c>
      <c r="G513" s="7" t="inlineStr">
        <is>
          <t>Phakopsora pachyrhizi</t>
        </is>
      </c>
      <c r="H513" s="7" t="inlineStr">
        <is>
          <t>NÃO</t>
        </is>
      </c>
      <c r="I513" s="17" t="n">
        <v>1.5</v>
      </c>
      <c r="J513" s="17" t="n">
        <v>2.5</v>
      </c>
      <c r="K513" s="7" t="inlineStr">
        <is>
          <t>kg/ha</t>
        </is>
      </c>
      <c r="L513" s="9" t="n">
        <v>1</v>
      </c>
      <c r="M513" s="7" t="inlineStr">
        <is>
          <t>Aplicar conforme monitoramento e estádio recomendado na bula (FRAC Grupo M03 — Multissítio)</t>
        </is>
      </c>
    </row>
    <row r="514" ht="22" customHeight="1">
      <c r="A514" s="12" t="inlineStr">
        <is>
          <t>ALV-0510</t>
        </is>
      </c>
      <c r="B514" s="11" t="n">
        <v>267</v>
      </c>
      <c r="C514" s="13" t="inlineStr">
        <is>
          <t>Nº 2004</t>
        </is>
      </c>
      <c r="D514" s="14" t="inlineStr">
        <is>
          <t>PENNCOZEB</t>
        </is>
      </c>
      <c r="E514" s="13" t="inlineStr">
        <is>
          <t>Fungicida</t>
        </is>
      </c>
      <c r="F514" s="13" t="inlineStr">
        <is>
          <t>Mancha-alvo</t>
        </is>
      </c>
      <c r="G514" s="13" t="inlineStr">
        <is>
          <t>Corynespora cassiicola</t>
        </is>
      </c>
      <c r="H514" s="13" t="inlineStr">
        <is>
          <t>NÃO</t>
        </is>
      </c>
      <c r="I514" s="18" t="n">
        <v>1.5</v>
      </c>
      <c r="J514" s="18" t="n">
        <v>2.5</v>
      </c>
      <c r="K514" s="13" t="inlineStr">
        <is>
          <t>kg/ha</t>
        </is>
      </c>
      <c r="L514" s="15" t="n">
        <v>1</v>
      </c>
      <c r="M514" s="13" t="inlineStr">
        <is>
          <t>Aplicar conforme monitoramento e estádio recomendado na bula (FRAC Grupo M03 — Multissítio)</t>
        </is>
      </c>
    </row>
    <row r="515" ht="22" customHeight="1">
      <c r="A515" s="6" t="inlineStr">
        <is>
          <t>ALV-0511</t>
        </is>
      </c>
      <c r="B515" s="5" t="n">
        <v>267</v>
      </c>
      <c r="C515" s="7" t="inlineStr">
        <is>
          <t>Nº 2004</t>
        </is>
      </c>
      <c r="D515" s="8" t="inlineStr">
        <is>
          <t>PENNCOZEB</t>
        </is>
      </c>
      <c r="E515" s="7" t="inlineStr">
        <is>
          <t>Fungicida</t>
        </is>
      </c>
      <c r="F515" s="7" t="inlineStr">
        <is>
          <t>Pinta-preta</t>
        </is>
      </c>
      <c r="G515" s="7" t="inlineStr">
        <is>
          <t>Alternaria solani</t>
        </is>
      </c>
      <c r="H515" s="7" t="inlineStr">
        <is>
          <t>NÃO</t>
        </is>
      </c>
      <c r="I515" s="9" t="n">
        <v>2</v>
      </c>
      <c r="J515" s="9" t="n">
        <v>3</v>
      </c>
      <c r="K515" s="7" t="inlineStr">
        <is>
          <t>kg/ha</t>
        </is>
      </c>
      <c r="L515" s="9" t="n">
        <v>1</v>
      </c>
      <c r="M515" s="7" t="inlineStr">
        <is>
          <t>Aplicar conforme monitoramento e estádio recomendado na bula (FRAC Grupo M03 — Multissítio)</t>
        </is>
      </c>
    </row>
    <row r="516" ht="22" customHeight="1">
      <c r="A516" s="12" t="inlineStr">
        <is>
          <t>ALV-0512</t>
        </is>
      </c>
      <c r="B516" s="11" t="n">
        <v>268</v>
      </c>
      <c r="C516" s="13" t="inlineStr">
        <is>
          <t>Nº 7124</t>
        </is>
      </c>
      <c r="D516" s="14" t="inlineStr">
        <is>
          <t>OPTIBEX</t>
        </is>
      </c>
      <c r="E516" s="13" t="inlineStr">
        <is>
          <t>Herbicida</t>
        </is>
      </c>
      <c r="F516" s="13" t="inlineStr">
        <is>
          <t>Buva</t>
        </is>
      </c>
      <c r="G516" s="13" t="inlineStr">
        <is>
          <t>Conyza bonariensis</t>
        </is>
      </c>
      <c r="H516" s="13" t="inlineStr">
        <is>
          <t>NÃO</t>
        </is>
      </c>
      <c r="I516" s="15" t="n">
        <v>2</v>
      </c>
      <c r="J516" s="15" t="n">
        <v>3</v>
      </c>
      <c r="K516" s="13" t="inlineStr">
        <is>
          <t>L/ha</t>
        </is>
      </c>
      <c r="L516" s="15" t="n">
        <v>1</v>
      </c>
      <c r="M516" s="13" t="inlineStr">
        <is>
          <t>Aplicar conforme monitoramento e estádio recomendado na bula (HRAC Grupo H (10) — Inibidores da Glutamina Sintetase)</t>
        </is>
      </c>
    </row>
    <row r="517" ht="22" customHeight="1">
      <c r="A517" s="6" t="inlineStr">
        <is>
          <t>ALV-0513</t>
        </is>
      </c>
      <c r="B517" s="5" t="n">
        <v>268</v>
      </c>
      <c r="C517" s="7" t="inlineStr">
        <is>
          <t>Nº 7124</t>
        </is>
      </c>
      <c r="D517" s="8" t="inlineStr">
        <is>
          <t>OPTIBEX</t>
        </is>
      </c>
      <c r="E517" s="7" t="inlineStr">
        <is>
          <t>Herbicida</t>
        </is>
      </c>
      <c r="F517" s="7" t="inlineStr">
        <is>
          <t>Capim-pé-de-galinha</t>
        </is>
      </c>
      <c r="G517" s="7" t="inlineStr">
        <is>
          <t>Eleusine indica</t>
        </is>
      </c>
      <c r="H517" s="7" t="inlineStr">
        <is>
          <t>NÃO</t>
        </is>
      </c>
      <c r="I517" s="9" t="n">
        <v>2</v>
      </c>
      <c r="J517" s="17" t="n">
        <v>2.5</v>
      </c>
      <c r="K517" s="7" t="inlineStr">
        <is>
          <t>L/ha</t>
        </is>
      </c>
      <c r="L517" s="9" t="n">
        <v>1</v>
      </c>
      <c r="M517" s="7" t="inlineStr">
        <is>
          <t>Aplicar conforme monitoramento e estádio recomendado na bula (HRAC Grupo H (10) — Inibidores da Glutamina Sintetase)</t>
        </is>
      </c>
    </row>
    <row r="518" ht="22" customHeight="1">
      <c r="A518" s="12" t="inlineStr">
        <is>
          <t>ALV-0514</t>
        </is>
      </c>
      <c r="B518" s="11" t="n">
        <v>268</v>
      </c>
      <c r="C518" s="13" t="inlineStr">
        <is>
          <t>Nº 7124</t>
        </is>
      </c>
      <c r="D518" s="14" t="inlineStr">
        <is>
          <t>OPTIBEX</t>
        </is>
      </c>
      <c r="E518" s="13" t="inlineStr">
        <is>
          <t>Herbicida</t>
        </is>
      </c>
      <c r="F518" s="13" t="inlineStr">
        <is>
          <t>Caruru</t>
        </is>
      </c>
      <c r="G518" s="13" t="inlineStr">
        <is>
          <t>Amaranthus hybridus</t>
        </is>
      </c>
      <c r="H518" s="13" t="inlineStr">
        <is>
          <t>NÃO</t>
        </is>
      </c>
      <c r="I518" s="18" t="n">
        <v>1.5</v>
      </c>
      <c r="J518" s="18" t="n">
        <v>2.5</v>
      </c>
      <c r="K518" s="13" t="inlineStr">
        <is>
          <t>L/ha</t>
        </is>
      </c>
      <c r="L518" s="15" t="n">
        <v>1</v>
      </c>
      <c r="M518" s="13" t="inlineStr">
        <is>
          <t>Aplicar conforme monitoramento e estádio recomendado na bula (HRAC Grupo H (10) — Inibidores da Glutamina Sintetase)</t>
        </is>
      </c>
    </row>
    <row r="519" ht="22" customHeight="1">
      <c r="A519" s="6" t="inlineStr">
        <is>
          <t>ALV-0515</t>
        </is>
      </c>
      <c r="B519" s="5" t="n">
        <v>269</v>
      </c>
      <c r="C519" s="7" t="inlineStr">
        <is>
          <t>Nº 16407</t>
        </is>
      </c>
      <c r="D519" s="8" t="inlineStr">
        <is>
          <t>ARENA</t>
        </is>
      </c>
      <c r="E519" s="7" t="inlineStr">
        <is>
          <t>Herbicida</t>
        </is>
      </c>
      <c r="F519" s="7" t="inlineStr">
        <is>
          <t>Buva</t>
        </is>
      </c>
      <c r="G519" s="7" t="inlineStr">
        <is>
          <t>Conyza bonariensis</t>
        </is>
      </c>
      <c r="H519" s="7" t="inlineStr">
        <is>
          <t>SIM (*)</t>
        </is>
      </c>
      <c r="I519" s="9" t="n">
        <v>1</v>
      </c>
      <c r="J519" s="17" t="n">
        <v>1.5</v>
      </c>
      <c r="K519" s="7" t="inlineStr">
        <is>
          <t>L/ha</t>
        </is>
      </c>
      <c r="L519" s="9" t="n">
        <v>1</v>
      </c>
      <c r="M519" s="7" t="inlineStr">
        <is>
          <t>Aplicar conforme monitoramento e estádio recomendado na bula (HRAC Grupo O (4) — Auxinas Sintéticas)</t>
        </is>
      </c>
    </row>
    <row r="520" ht="22" customHeight="1">
      <c r="A520" s="12" t="inlineStr">
        <is>
          <t>ALV-0516</t>
        </is>
      </c>
      <c r="B520" s="11" t="n">
        <v>269</v>
      </c>
      <c r="C520" s="13" t="inlineStr">
        <is>
          <t>Nº 16407</t>
        </is>
      </c>
      <c r="D520" s="14" t="inlineStr">
        <is>
          <t>ARENA</t>
        </is>
      </c>
      <c r="E520" s="13" t="inlineStr">
        <is>
          <t>Herbicida</t>
        </is>
      </c>
      <c r="F520" s="13" t="inlineStr">
        <is>
          <t>Corda-de-viola</t>
        </is>
      </c>
      <c r="G520" s="13" t="inlineStr">
        <is>
          <t>Ipomoea grandifolia</t>
        </is>
      </c>
      <c r="H520" s="13" t="inlineStr">
        <is>
          <t>NÃO</t>
        </is>
      </c>
      <c r="I520" s="15" t="n">
        <v>1</v>
      </c>
      <c r="J520" s="18" t="n">
        <v>1.5</v>
      </c>
      <c r="K520" s="13" t="inlineStr">
        <is>
          <t>L/ha</t>
        </is>
      </c>
      <c r="L520" s="15" t="n">
        <v>1</v>
      </c>
      <c r="M520" s="13" t="inlineStr">
        <is>
          <t>Aplicar conforme monitoramento e estádio recomendado na bula (HRAC Grupo O (4) — Auxinas Sintéticas)</t>
        </is>
      </c>
    </row>
    <row r="521" ht="22" customHeight="1">
      <c r="A521" s="6" t="inlineStr">
        <is>
          <t>ALV-0517</t>
        </is>
      </c>
      <c r="B521" s="5" t="n">
        <v>269</v>
      </c>
      <c r="C521" s="7" t="inlineStr">
        <is>
          <t>Nº 16407</t>
        </is>
      </c>
      <c r="D521" s="8" t="inlineStr">
        <is>
          <t>ARENA</t>
        </is>
      </c>
      <c r="E521" s="7" t="inlineStr">
        <is>
          <t>Herbicida</t>
        </is>
      </c>
      <c r="F521" s="7" t="inlineStr">
        <is>
          <t>Trapoeraba</t>
        </is>
      </c>
      <c r="G521" s="7" t="inlineStr">
        <is>
          <t>Commelina benghalensis</t>
        </is>
      </c>
      <c r="H521" s="7" t="inlineStr">
        <is>
          <t>NÃO</t>
        </is>
      </c>
      <c r="I521" s="9" t="n">
        <v>1</v>
      </c>
      <c r="J521" s="9" t="n">
        <v>2</v>
      </c>
      <c r="K521" s="7" t="inlineStr">
        <is>
          <t>L/ha</t>
        </is>
      </c>
      <c r="L521" s="9" t="n">
        <v>1</v>
      </c>
      <c r="M521" s="7" t="inlineStr">
        <is>
          <t>Aplicar conforme monitoramento e estádio recomendado na bula (HRAC Grupo O (4) — Auxinas Sintéticas)</t>
        </is>
      </c>
    </row>
    <row r="522" ht="22" customHeight="1">
      <c r="A522" s="12" t="inlineStr">
        <is>
          <t>ALV-0518</t>
        </is>
      </c>
      <c r="B522" s="11" t="n">
        <v>270</v>
      </c>
      <c r="C522" s="13" t="inlineStr">
        <is>
          <t>Nº 22023</t>
        </is>
      </c>
      <c r="D522" s="14" t="inlineStr">
        <is>
          <t>TEBUCONAZOLE 430 SINO-AGRI</t>
        </is>
      </c>
      <c r="E522" s="13" t="inlineStr">
        <is>
          <t>Fungicida</t>
        </is>
      </c>
      <c r="F522" s="13" t="inlineStr">
        <is>
          <t>Ferrugem-asiática</t>
        </is>
      </c>
      <c r="G522" s="13" t="inlineStr">
        <is>
          <t>Phakopsora pachyrhizi</t>
        </is>
      </c>
      <c r="H522" s="13" t="inlineStr">
        <is>
          <t>SIM (*)</t>
        </is>
      </c>
      <c r="I522" s="18" t="n">
        <v>0.35</v>
      </c>
      <c r="J522" s="18" t="n">
        <v>0.5</v>
      </c>
      <c r="K522" s="13" t="inlineStr">
        <is>
          <t>L/ha</t>
        </is>
      </c>
      <c r="L522" s="15" t="n">
        <v>1</v>
      </c>
      <c r="M522" s="13" t="inlineStr">
        <is>
          <t>Aplicar conforme monitoramento e estádio recomendado na bula (FRAC Grupo 3 (DMI))</t>
        </is>
      </c>
    </row>
    <row r="523" ht="22" customHeight="1">
      <c r="A523" s="6" t="inlineStr">
        <is>
          <t>ALV-0519</t>
        </is>
      </c>
      <c r="B523" s="5" t="n">
        <v>270</v>
      </c>
      <c r="C523" s="7" t="inlineStr">
        <is>
          <t>Nº 22023</t>
        </is>
      </c>
      <c r="D523" s="8" t="inlineStr">
        <is>
          <t>TEBUCONAZOLE 430 SINO-AGRI</t>
        </is>
      </c>
      <c r="E523" s="7" t="inlineStr">
        <is>
          <t>Fungicida</t>
        </is>
      </c>
      <c r="F523" s="7" t="inlineStr">
        <is>
          <t>Mancha-parda</t>
        </is>
      </c>
      <c r="G523" s="7" t="inlineStr">
        <is>
          <t>Septoria glycines</t>
        </is>
      </c>
      <c r="H523" s="7" t="inlineStr">
        <is>
          <t>NÃO</t>
        </is>
      </c>
      <c r="I523" s="17" t="n">
        <v>0.35</v>
      </c>
      <c r="J523" s="17" t="n">
        <v>0.5</v>
      </c>
      <c r="K523" s="7" t="inlineStr">
        <is>
          <t>L/ha</t>
        </is>
      </c>
      <c r="L523" s="9" t="n">
        <v>1</v>
      </c>
      <c r="M523" s="7" t="inlineStr">
        <is>
          <t>Aplicar conforme monitoramento e estádio recomendado na bula (FRAC Grupo 3 (DMI))</t>
        </is>
      </c>
    </row>
    <row r="524" ht="22" customHeight="1">
      <c r="A524" s="12" t="inlineStr">
        <is>
          <t>ALV-0520</t>
        </is>
      </c>
      <c r="B524" s="11" t="n">
        <v>271</v>
      </c>
      <c r="C524" s="13" t="inlineStr">
        <is>
          <t>Nº 22023</t>
        </is>
      </c>
      <c r="D524" s="14" t="inlineStr">
        <is>
          <t>TEBUCONAZOLE 430 SINO-AGRI</t>
        </is>
      </c>
      <c r="E524" s="13" t="inlineStr">
        <is>
          <t>Fungicida</t>
        </is>
      </c>
      <c r="F524" s="13" t="inlineStr">
        <is>
          <t>Ferrugem-asiática</t>
        </is>
      </c>
      <c r="G524" s="13" t="inlineStr">
        <is>
          <t>Phakopsora pachyrhizi</t>
        </is>
      </c>
      <c r="H524" s="13" t="inlineStr">
        <is>
          <t>SIM (*)</t>
        </is>
      </c>
      <c r="I524" s="18" t="n">
        <v>0.35</v>
      </c>
      <c r="J524" s="18" t="n">
        <v>0.5</v>
      </c>
      <c r="K524" s="13" t="inlineStr">
        <is>
          <t>L/ha</t>
        </is>
      </c>
      <c r="L524" s="15" t="n">
        <v>1</v>
      </c>
      <c r="M524" s="13" t="inlineStr">
        <is>
          <t>Aplicar conforme monitoramento e estádio recomendado na bula (FRAC Grupo 3 (DMI))</t>
        </is>
      </c>
    </row>
    <row r="525" ht="22" customHeight="1">
      <c r="A525" s="6" t="inlineStr">
        <is>
          <t>ALV-0521</t>
        </is>
      </c>
      <c r="B525" s="5" t="n">
        <v>271</v>
      </c>
      <c r="C525" s="7" t="inlineStr">
        <is>
          <t>Nº 22023</t>
        </is>
      </c>
      <c r="D525" s="8" t="inlineStr">
        <is>
          <t>TEBUCONAZOLE 430 SINO-AGRI</t>
        </is>
      </c>
      <c r="E525" s="7" t="inlineStr">
        <is>
          <t>Fungicida</t>
        </is>
      </c>
      <c r="F525" s="7" t="inlineStr">
        <is>
          <t>Mancha-parda</t>
        </is>
      </c>
      <c r="G525" s="7" t="inlineStr">
        <is>
          <t>Septoria glycines</t>
        </is>
      </c>
      <c r="H525" s="7" t="inlineStr">
        <is>
          <t>NÃO</t>
        </is>
      </c>
      <c r="I525" s="17" t="n">
        <v>0.35</v>
      </c>
      <c r="J525" s="17" t="n">
        <v>0.5</v>
      </c>
      <c r="K525" s="7" t="inlineStr">
        <is>
          <t>L/ha</t>
        </is>
      </c>
      <c r="L525" s="9" t="n">
        <v>1</v>
      </c>
      <c r="M525" s="7" t="inlineStr">
        <is>
          <t>Aplicar conforme monitoramento e estádio recomendado na bula (FRAC Grupo 3 (DMI))</t>
        </is>
      </c>
    </row>
    <row r="526" ht="22" customHeight="1">
      <c r="A526" s="12" t="inlineStr">
        <is>
          <t>ALV-0522</t>
        </is>
      </c>
      <c r="B526" s="11" t="n">
        <v>272</v>
      </c>
      <c r="C526" s="13" t="inlineStr">
        <is>
          <t>Nº 10010</t>
        </is>
      </c>
      <c r="D526" s="14" t="inlineStr">
        <is>
          <t>BRILHANTE BR</t>
        </is>
      </c>
      <c r="E526" s="13" t="inlineStr">
        <is>
          <t>Inseticida</t>
        </is>
      </c>
      <c r="F526" s="13" t="inlineStr">
        <is>
          <t>Lagarta-helicoverpa</t>
        </is>
      </c>
      <c r="G526" s="13" t="inlineStr">
        <is>
          <t>Helicoverpa armigera</t>
        </is>
      </c>
      <c r="H526" s="13" t="inlineStr">
        <is>
          <t>NÃO</t>
        </is>
      </c>
      <c r="I526" s="18" t="n">
        <v>0.2</v>
      </c>
      <c r="J526" s="18" t="n">
        <v>0.5</v>
      </c>
      <c r="K526" s="13" t="inlineStr">
        <is>
          <t>kg ou L/ha</t>
        </is>
      </c>
      <c r="L526" s="15" t="n">
        <v>1</v>
      </c>
      <c r="M526" s="13" t="inlineStr">
        <is>
          <t>Aplicar conforme monitoramento e estádio recomendado na bula (IRAC Grupo 1A)</t>
        </is>
      </c>
    </row>
    <row r="527" ht="22" customHeight="1">
      <c r="A527" s="6" t="inlineStr">
        <is>
          <t>ALV-0523</t>
        </is>
      </c>
      <c r="B527" s="5" t="n">
        <v>272</v>
      </c>
      <c r="C527" s="7" t="inlineStr">
        <is>
          <t>Nº 10010</t>
        </is>
      </c>
      <c r="D527" s="8" t="inlineStr">
        <is>
          <t>BRILHANTE BR</t>
        </is>
      </c>
      <c r="E527" s="7" t="inlineStr">
        <is>
          <t>Inseticida</t>
        </is>
      </c>
      <c r="F527" s="7" t="inlineStr">
        <is>
          <t>Lagarta-do-cartucho</t>
        </is>
      </c>
      <c r="G527" s="7" t="inlineStr">
        <is>
          <t>Spodoptera frugiperda</t>
        </is>
      </c>
      <c r="H527" s="7" t="inlineStr">
        <is>
          <t>NÃO</t>
        </is>
      </c>
      <c r="I527" s="17" t="n">
        <v>0.15</v>
      </c>
      <c r="J527" s="17" t="n">
        <v>0.3</v>
      </c>
      <c r="K527" s="7" t="inlineStr">
        <is>
          <t>kg ou L/ha</t>
        </is>
      </c>
      <c r="L527" s="9" t="n">
        <v>1</v>
      </c>
      <c r="M527" s="7" t="inlineStr">
        <is>
          <t>Aplicar conforme monitoramento e estádio recomendado na bula (IRAC Grupo 1A)</t>
        </is>
      </c>
    </row>
    <row r="528" ht="22" customHeight="1">
      <c r="A528" s="12" t="inlineStr">
        <is>
          <t>ALV-0524</t>
        </is>
      </c>
      <c r="B528" s="11" t="n">
        <v>272</v>
      </c>
      <c r="C528" s="13" t="inlineStr">
        <is>
          <t>Nº 10010</t>
        </is>
      </c>
      <c r="D528" s="14" t="inlineStr">
        <is>
          <t>BRILHANTE BR</t>
        </is>
      </c>
      <c r="E528" s="13" t="inlineStr">
        <is>
          <t>Inseticida</t>
        </is>
      </c>
      <c r="F528" s="13" t="inlineStr">
        <is>
          <t>Lagarta-da-soja</t>
        </is>
      </c>
      <c r="G528" s="13" t="inlineStr">
        <is>
          <t>Anticarsia gemmatalis</t>
        </is>
      </c>
      <c r="H528" s="13" t="inlineStr">
        <is>
          <t>NÃO</t>
        </is>
      </c>
      <c r="I528" s="18" t="n">
        <v>0.1</v>
      </c>
      <c r="J528" s="18" t="n">
        <v>0.2</v>
      </c>
      <c r="K528" s="13" t="inlineStr">
        <is>
          <t>kg ou L/ha</t>
        </is>
      </c>
      <c r="L528" s="15" t="n">
        <v>1</v>
      </c>
      <c r="M528" s="13" t="inlineStr">
        <is>
          <t>Aplicar conforme monitoramento e estádio recomendado na bula (IRAC Grupo 1A)</t>
        </is>
      </c>
    </row>
    <row r="529" ht="22" customHeight="1">
      <c r="A529" s="6" t="inlineStr">
        <is>
          <t>ALV-0525</t>
        </is>
      </c>
      <c r="B529" s="5" t="n">
        <v>273</v>
      </c>
      <c r="C529" s="7" t="inlineStr">
        <is>
          <t>ISENTO (ATO 104/2017)</t>
        </is>
      </c>
      <c r="D529" s="8" t="inlineStr">
        <is>
          <t>FERTILIZANTES 3 -</t>
        </is>
      </c>
      <c r="E529" s="7" t="inlineStr">
        <is>
          <t>Adjuvante Espalhante / Surfactante / Redutor de pH e Deriva</t>
        </is>
      </c>
      <c r="F529" s="7" t="inlineStr">
        <is>
          <t>Otimização de Gota, Espalhamento e Redução de Deriva</t>
        </is>
      </c>
      <c r="G529" s="7" t="inlineStr">
        <is>
          <t>Tecnologia de Aplicação</t>
        </is>
      </c>
      <c r="H529" s="7" t="inlineStr">
        <is>
          <t>NÃO</t>
        </is>
      </c>
      <c r="I529" s="17" t="n">
        <v>0.25</v>
      </c>
      <c r="J529" s="9" t="n">
        <v>1</v>
      </c>
      <c r="K529" s="7" t="inlineStr">
        <is>
          <t>% v/v na calda</t>
        </is>
      </c>
      <c r="L529" s="9" t="n">
        <v>1</v>
      </c>
      <c r="M529" s="7" t="inlineStr">
        <is>
          <t>Aplicar conforme monitoramento e estádio recomendado na bula (Adjuvante Tecnológico de Pulverização)</t>
        </is>
      </c>
    </row>
    <row r="530" ht="22" customHeight="1">
      <c r="A530" s="12" t="inlineStr">
        <is>
          <t>ALV-0526</t>
        </is>
      </c>
      <c r="B530" s="11" t="n">
        <v>274</v>
      </c>
      <c r="C530" s="13" t="inlineStr">
        <is>
          <t>Nº 12621</t>
        </is>
      </c>
      <c r="D530" s="14" t="inlineStr">
        <is>
          <t>NADRAN 250</t>
        </is>
      </c>
      <c r="E530" s="13" t="inlineStr">
        <is>
          <t>Regulador de Crescimento</t>
        </is>
      </c>
      <c r="F530" s="13" t="inlineStr">
        <is>
          <t>Controle do Crescimento Vegetativo e Porte do Algodoeiro</t>
        </is>
      </c>
      <c r="G530" s="13" t="inlineStr">
        <is>
          <t>Gossypium hirsutum (Regulação de Entrenós)</t>
        </is>
      </c>
      <c r="H530" s="13" t="inlineStr">
        <is>
          <t>NÃO</t>
        </is>
      </c>
      <c r="I530" s="18" t="n">
        <v>0.2</v>
      </c>
      <c r="J530" s="15" t="n">
        <v>1</v>
      </c>
      <c r="K530" s="13" t="inlineStr">
        <is>
          <t>L/ha (Parcelado em 1 a 4 aplicações)</t>
        </is>
      </c>
      <c r="L530" s="15" t="n">
        <v>4</v>
      </c>
      <c r="M530" s="13" t="inlineStr">
        <is>
          <t>Aplicar a partir do surgimento dos primeiros botões florais (B1) conforme vigor da lavoura</t>
        </is>
      </c>
    </row>
    <row r="531" ht="22" customHeight="1">
      <c r="A531" s="6" t="inlineStr">
        <is>
          <t>ALV-0527</t>
        </is>
      </c>
      <c r="B531" s="5" t="n">
        <v>275</v>
      </c>
      <c r="C531" s="7" t="inlineStr">
        <is>
          <t>SIPEAGRO (UF-XXXXX)</t>
        </is>
      </c>
      <c r="D531" s="8" t="inlineStr">
        <is>
          <t>BRENNFEED BR 248</t>
        </is>
      </c>
      <c r="E531" s="7" t="inlineStr">
        <is>
          <t>Fertilizante Foliar / Micronutrientes</t>
        </is>
      </c>
      <c r="F531" s="7" t="inlineStr">
        <is>
          <t>Nutrição e Correção de Deficiência Mineral</t>
        </is>
      </c>
      <c r="G531" s="7" t="inlineStr">
        <is>
          <t>Nutrição Vegetal</t>
        </is>
      </c>
      <c r="H531" s="7" t="inlineStr">
        <is>
          <t>NÃO</t>
        </is>
      </c>
      <c r="I531" s="9" t="n">
        <v>1</v>
      </c>
      <c r="J531" s="9" t="n">
        <v>250</v>
      </c>
      <c r="K531" s="7" t="inlineStr">
        <is>
          <t>kg ou L/ha</t>
        </is>
      </c>
      <c r="L531" s="9" t="n">
        <v>1</v>
      </c>
      <c r="M531" s="7" t="inlineStr">
        <is>
          <t>Aplicar conforme monitoramento e estádio recomendado na bula (Nutrição Vegetal SIPEAGRO)</t>
        </is>
      </c>
    </row>
    <row r="532" ht="22" customHeight="1">
      <c r="A532" s="12" t="inlineStr">
        <is>
          <t>ALV-0528</t>
        </is>
      </c>
      <c r="B532" s="11" t="n">
        <v>276</v>
      </c>
      <c r="C532" s="13" t="inlineStr">
        <is>
          <t>Nº 31817</t>
        </is>
      </c>
      <c r="D532" s="14" t="inlineStr">
        <is>
          <t>RAINIL</t>
        </is>
      </c>
      <c r="E532" s="13" t="inlineStr">
        <is>
          <t>Inseticida e Cupinicida (Fipronil)</t>
        </is>
      </c>
      <c r="F532" s="13" t="inlineStr">
        <is>
          <t>Coró</t>
        </is>
      </c>
      <c r="G532" s="13" t="inlineStr">
        <is>
          <t>Phyllophaga cuyabana</t>
        </is>
      </c>
      <c r="H532" s="13" t="inlineStr">
        <is>
          <t>NÃO</t>
        </is>
      </c>
      <c r="I532" s="18" t="n">
        <v>0.1</v>
      </c>
      <c r="J532" s="18" t="n">
        <v>0.2</v>
      </c>
      <c r="K532" s="13" t="inlineStr">
        <is>
          <t>L/100kg sem.</t>
        </is>
      </c>
      <c r="L532" s="15" t="n">
        <v>1</v>
      </c>
      <c r="M532" s="13" t="inlineStr">
        <is>
          <t>Aplicar conforme monitoramento e estádio recomendado na bula (IRAC Grupo 2B)</t>
        </is>
      </c>
    </row>
    <row r="533" ht="22" customHeight="1">
      <c r="A533" s="6" t="inlineStr">
        <is>
          <t>ALV-0529</t>
        </is>
      </c>
      <c r="B533" s="5" t="n">
        <v>276</v>
      </c>
      <c r="C533" s="7" t="inlineStr">
        <is>
          <t>Nº 31817</t>
        </is>
      </c>
      <c r="D533" s="8" t="inlineStr">
        <is>
          <t>RAINIL</t>
        </is>
      </c>
      <c r="E533" s="7" t="inlineStr">
        <is>
          <t>Inseticida e Cupinicida (Fipronil)</t>
        </is>
      </c>
      <c r="F533" s="7" t="inlineStr">
        <is>
          <t>Lagarta-elasmo</t>
        </is>
      </c>
      <c r="G533" s="7" t="inlineStr">
        <is>
          <t>Elasmopalpus lignosellus</t>
        </is>
      </c>
      <c r="H533" s="7" t="inlineStr">
        <is>
          <t>NÃO</t>
        </is>
      </c>
      <c r="I533" s="17" t="n">
        <v>0.1</v>
      </c>
      <c r="J533" s="17" t="n">
        <v>0.2</v>
      </c>
      <c r="K533" s="7" t="inlineStr">
        <is>
          <t>L/100kg sem.</t>
        </is>
      </c>
      <c r="L533" s="9" t="n">
        <v>1</v>
      </c>
      <c r="M533" s="7" t="inlineStr">
        <is>
          <t>Aplicar conforme monitoramento e estádio recomendado na bula (IRAC Grupo 2B)</t>
        </is>
      </c>
    </row>
    <row r="534" ht="22" customHeight="1">
      <c r="A534" s="12" t="inlineStr">
        <is>
          <t>ALV-0530</t>
        </is>
      </c>
      <c r="B534" s="11" t="n">
        <v>276</v>
      </c>
      <c r="C534" s="13" t="inlineStr">
        <is>
          <t>Nº 31817</t>
        </is>
      </c>
      <c r="D534" s="14" t="inlineStr">
        <is>
          <t>RAINIL</t>
        </is>
      </c>
      <c r="E534" s="13" t="inlineStr">
        <is>
          <t>Inseticida e Cupinicida (Fipronil)</t>
        </is>
      </c>
      <c r="F534" s="13" t="inlineStr">
        <is>
          <t>Cupim-de-montículo</t>
        </is>
      </c>
      <c r="G534" s="13" t="inlineStr">
        <is>
          <t>Procornitermes triacifer</t>
        </is>
      </c>
      <c r="H534" s="13" t="inlineStr">
        <is>
          <t>NÃO</t>
        </is>
      </c>
      <c r="I534" s="18" t="n">
        <v>0.05</v>
      </c>
      <c r="J534" s="18" t="n">
        <v>0.2</v>
      </c>
      <c r="K534" s="13" t="inlineStr">
        <is>
          <t>kg ou L/ha</t>
        </is>
      </c>
      <c r="L534" s="15" t="n">
        <v>1</v>
      </c>
      <c r="M534" s="13" t="inlineStr">
        <is>
          <t>Aplicar conforme monitoramento e estádio recomendado na bula (IRAC Grupo 2B)</t>
        </is>
      </c>
    </row>
    <row r="535" ht="22" customHeight="1">
      <c r="A535" s="6" t="inlineStr">
        <is>
          <t>ALV-0531</t>
        </is>
      </c>
      <c r="B535" s="5" t="n">
        <v>277</v>
      </c>
      <c r="C535" s="7" t="inlineStr">
        <is>
          <t>Nº 17119</t>
        </is>
      </c>
      <c r="D535" s="8" t="inlineStr">
        <is>
          <t>DIFENCONAZOLE 25% EC</t>
        </is>
      </c>
      <c r="E535" s="7" t="inlineStr">
        <is>
          <t>Fungicida</t>
        </is>
      </c>
      <c r="F535" s="7" t="inlineStr">
        <is>
          <t>Mancha-alvo</t>
        </is>
      </c>
      <c r="G535" s="7" t="inlineStr">
        <is>
          <t>Corynespora cassiicola</t>
        </is>
      </c>
      <c r="H535" s="7" t="inlineStr">
        <is>
          <t>SIM (*)</t>
        </is>
      </c>
      <c r="I535" s="17" t="n">
        <v>0.3</v>
      </c>
      <c r="J535" s="17" t="n">
        <v>0.5</v>
      </c>
      <c r="K535" s="7" t="inlineStr">
        <is>
          <t>L/ha</t>
        </is>
      </c>
      <c r="L535" s="9" t="n">
        <v>1</v>
      </c>
      <c r="M535" s="7" t="inlineStr">
        <is>
          <t>Aplicar conforme monitoramento e estádio recomendado na bula (FRAC Grupo 3 (DMI))</t>
        </is>
      </c>
    </row>
    <row r="536" ht="22" customHeight="1">
      <c r="A536" s="12" t="inlineStr">
        <is>
          <t>ALV-0532</t>
        </is>
      </c>
      <c r="B536" s="11" t="n">
        <v>277</v>
      </c>
      <c r="C536" s="13" t="inlineStr">
        <is>
          <t>Nº 17119</t>
        </is>
      </c>
      <c r="D536" s="14" t="inlineStr">
        <is>
          <t>DIFENCONAZOLE 25% EC</t>
        </is>
      </c>
      <c r="E536" s="13" t="inlineStr">
        <is>
          <t>Fungicida</t>
        </is>
      </c>
      <c r="F536" s="13" t="inlineStr">
        <is>
          <t>Oídio</t>
        </is>
      </c>
      <c r="G536" s="13" t="inlineStr">
        <is>
          <t>Microsphaera diffusa</t>
        </is>
      </c>
      <c r="H536" s="13" t="inlineStr">
        <is>
          <t>NÃO</t>
        </is>
      </c>
      <c r="I536" s="18" t="n">
        <v>0.2</v>
      </c>
      <c r="J536" s="18" t="n">
        <v>0.3</v>
      </c>
      <c r="K536" s="13" t="inlineStr">
        <is>
          <t>L/ha</t>
        </is>
      </c>
      <c r="L536" s="15" t="n">
        <v>1</v>
      </c>
      <c r="M536" s="13" t="inlineStr">
        <is>
          <t>Aplicar conforme monitoramento e estádio recomendado na bula (FRAC Grupo 3 (DMI))</t>
        </is>
      </c>
    </row>
    <row r="537" ht="22" customHeight="1">
      <c r="A537" s="6" t="inlineStr">
        <is>
          <t>ALV-0533</t>
        </is>
      </c>
      <c r="B537" s="5" t="n">
        <v>277</v>
      </c>
      <c r="C537" s="7" t="inlineStr">
        <is>
          <t>Nº 17119</t>
        </is>
      </c>
      <c r="D537" s="8" t="inlineStr">
        <is>
          <t>DIFENCONAZOLE 25% EC</t>
        </is>
      </c>
      <c r="E537" s="7" t="inlineStr">
        <is>
          <t>Fungicida</t>
        </is>
      </c>
      <c r="F537" s="7" t="inlineStr">
        <is>
          <t>Antracnose</t>
        </is>
      </c>
      <c r="G537" s="7" t="inlineStr">
        <is>
          <t>Colletotrichum truncatum</t>
        </is>
      </c>
      <c r="H537" s="7" t="inlineStr">
        <is>
          <t>NÃO</t>
        </is>
      </c>
      <c r="I537" s="17" t="n">
        <v>0.3</v>
      </c>
      <c r="J537" s="17" t="n">
        <v>0.4</v>
      </c>
      <c r="K537" s="7" t="inlineStr">
        <is>
          <t>L/ha</t>
        </is>
      </c>
      <c r="L537" s="9" t="n">
        <v>1</v>
      </c>
      <c r="M537" s="7" t="inlineStr">
        <is>
          <t>Aplicar conforme monitoramento e estádio recomendado na bula (FRAC Grupo 3 (DMI))</t>
        </is>
      </c>
    </row>
    <row r="538" ht="22" customHeight="1">
      <c r="A538" s="12" t="inlineStr">
        <is>
          <t>ALV-0534</t>
        </is>
      </c>
      <c r="B538" s="11" t="n">
        <v>278</v>
      </c>
      <c r="C538" s="13" t="inlineStr">
        <is>
          <t>Nº 2788394</t>
        </is>
      </c>
      <c r="D538" s="14" t="inlineStr">
        <is>
          <t>ORTHENE 750 BR</t>
        </is>
      </c>
      <c r="E538" s="13" t="inlineStr">
        <is>
          <t>Inseticida</t>
        </is>
      </c>
      <c r="F538" s="13" t="inlineStr">
        <is>
          <t>Percevejo-marrom</t>
        </is>
      </c>
      <c r="G538" s="13" t="inlineStr">
        <is>
          <t>Euschistus heros</t>
        </is>
      </c>
      <c r="H538" s="13" t="inlineStr">
        <is>
          <t>NÃO</t>
        </is>
      </c>
      <c r="I538" s="18" t="n">
        <v>0.8</v>
      </c>
      <c r="J538" s="18" t="n">
        <v>1.2</v>
      </c>
      <c r="K538" s="13" t="inlineStr">
        <is>
          <t>kg/ha</t>
        </is>
      </c>
      <c r="L538" s="15" t="n">
        <v>1</v>
      </c>
      <c r="M538" s="13" t="inlineStr">
        <is>
          <t>Aplicar conforme monitoramento e estádio recomendado na bula (IRAC Grupo 1B)</t>
        </is>
      </c>
    </row>
    <row r="539" ht="22" customHeight="1">
      <c r="A539" s="6" t="inlineStr">
        <is>
          <t>ALV-0535</t>
        </is>
      </c>
      <c r="B539" s="5" t="n">
        <v>278</v>
      </c>
      <c r="C539" s="7" t="inlineStr">
        <is>
          <t>Nº 2788394</t>
        </is>
      </c>
      <c r="D539" s="8" t="inlineStr">
        <is>
          <t>ORTHENE 750 BR</t>
        </is>
      </c>
      <c r="E539" s="7" t="inlineStr">
        <is>
          <t>Inseticida</t>
        </is>
      </c>
      <c r="F539" s="7" t="inlineStr">
        <is>
          <t>Mosca-branca</t>
        </is>
      </c>
      <c r="G539" s="7" t="inlineStr">
        <is>
          <t>Bemisia tabaci raça B</t>
        </is>
      </c>
      <c r="H539" s="7" t="inlineStr">
        <is>
          <t>NÃO</t>
        </is>
      </c>
      <c r="I539" s="17" t="n">
        <v>0.8</v>
      </c>
      <c r="J539" s="9" t="n">
        <v>1</v>
      </c>
      <c r="K539" s="7" t="inlineStr">
        <is>
          <t>kg/ha</t>
        </is>
      </c>
      <c r="L539" s="9" t="n">
        <v>1</v>
      </c>
      <c r="M539" s="7" t="inlineStr">
        <is>
          <t>Aplicar conforme monitoramento e estádio recomendado na bula (IRAC Grupo 1B)</t>
        </is>
      </c>
    </row>
    <row r="540" ht="22" customHeight="1">
      <c r="A540" s="12" t="inlineStr">
        <is>
          <t>ALV-0536</t>
        </is>
      </c>
      <c r="B540" s="11" t="n">
        <v>278</v>
      </c>
      <c r="C540" s="13" t="inlineStr">
        <is>
          <t>Nº 2788394</t>
        </is>
      </c>
      <c r="D540" s="14" t="inlineStr">
        <is>
          <t>ORTHENE 750 BR</t>
        </is>
      </c>
      <c r="E540" s="13" t="inlineStr">
        <is>
          <t>Inseticida</t>
        </is>
      </c>
      <c r="F540" s="13" t="inlineStr">
        <is>
          <t>Tripes</t>
        </is>
      </c>
      <c r="G540" s="13" t="inlineStr">
        <is>
          <t>Caliothrips phaseoli</t>
        </is>
      </c>
      <c r="H540" s="13" t="inlineStr">
        <is>
          <t>NÃO</t>
        </is>
      </c>
      <c r="I540" s="18" t="n">
        <v>0.5</v>
      </c>
      <c r="J540" s="18" t="n">
        <v>0.8</v>
      </c>
      <c r="K540" s="13" t="inlineStr">
        <is>
          <t>kg/ha</t>
        </is>
      </c>
      <c r="L540" s="15" t="n">
        <v>1</v>
      </c>
      <c r="M540" s="13" t="inlineStr">
        <is>
          <t>Aplicar conforme monitoramento e estádio recomendado na bula (IRAC Grupo 1B)</t>
        </is>
      </c>
    </row>
    <row r="541" ht="22" customHeight="1">
      <c r="A541" s="6" t="inlineStr">
        <is>
          <t>ALV-0537</t>
        </is>
      </c>
      <c r="B541" s="5" t="n">
        <v>279</v>
      </c>
      <c r="C541" s="7" t="inlineStr">
        <is>
          <t>Nº 16223</t>
        </is>
      </c>
      <c r="D541" s="8" t="inlineStr">
        <is>
          <t>CLOMASTER</t>
        </is>
      </c>
      <c r="E541" s="7" t="inlineStr">
        <is>
          <t>Herbicida</t>
        </is>
      </c>
      <c r="F541" s="7" t="inlineStr">
        <is>
          <t>Capim-colchão</t>
        </is>
      </c>
      <c r="G541" s="7" t="inlineStr">
        <is>
          <t>Digitaria horizontalis</t>
        </is>
      </c>
      <c r="H541" s="7" t="inlineStr">
        <is>
          <t>NÃO</t>
        </is>
      </c>
      <c r="I541" s="17" t="n">
        <v>1.5</v>
      </c>
      <c r="J541" s="17" t="n">
        <v>2.5</v>
      </c>
      <c r="K541" s="7" t="inlineStr">
        <is>
          <t>L/ha</t>
        </is>
      </c>
      <c r="L541" s="9" t="n">
        <v>1</v>
      </c>
      <c r="M541" s="7" t="inlineStr">
        <is>
          <t>Aplicar conforme monitoramento e estádio recomendado na bula (HRAC Grupo F4 (13) — Inibidores da DOXP sintase)</t>
        </is>
      </c>
    </row>
    <row r="542" ht="22" customHeight="1">
      <c r="A542" s="12" t="inlineStr">
        <is>
          <t>ALV-0538</t>
        </is>
      </c>
      <c r="B542" s="11" t="n">
        <v>279</v>
      </c>
      <c r="C542" s="13" t="inlineStr">
        <is>
          <t>Nº 16223</t>
        </is>
      </c>
      <c r="D542" s="14" t="inlineStr">
        <is>
          <t>CLOMASTER</t>
        </is>
      </c>
      <c r="E542" s="13" t="inlineStr">
        <is>
          <t>Herbicida</t>
        </is>
      </c>
      <c r="F542" s="13" t="inlineStr">
        <is>
          <t>Capim-marmelada</t>
        </is>
      </c>
      <c r="G542" s="13" t="inlineStr">
        <is>
          <t>Brachiaria plantaginea</t>
        </is>
      </c>
      <c r="H542" s="13" t="inlineStr">
        <is>
          <t>NÃO</t>
        </is>
      </c>
      <c r="I542" s="18" t="n">
        <v>1.5</v>
      </c>
      <c r="J542" s="18" t="n">
        <v>2.5</v>
      </c>
      <c r="K542" s="13" t="inlineStr">
        <is>
          <t>L/ha</t>
        </is>
      </c>
      <c r="L542" s="15" t="n">
        <v>1</v>
      </c>
      <c r="M542" s="13" t="inlineStr">
        <is>
          <t>Aplicar conforme monitoramento e estádio recomendado na bula (HRAC Grupo F4 (13) — Inibidores da DOXP sintase)</t>
        </is>
      </c>
    </row>
    <row r="543" ht="22" customHeight="1">
      <c r="A543" s="6" t="inlineStr">
        <is>
          <t>ALV-0539</t>
        </is>
      </c>
      <c r="B543" s="5" t="n">
        <v>279</v>
      </c>
      <c r="C543" s="7" t="inlineStr">
        <is>
          <t>Nº 16223</t>
        </is>
      </c>
      <c r="D543" s="8" t="inlineStr">
        <is>
          <t>CLOMASTER</t>
        </is>
      </c>
      <c r="E543" s="7" t="inlineStr">
        <is>
          <t>Herbicida</t>
        </is>
      </c>
      <c r="F543" s="7" t="inlineStr">
        <is>
          <t>Capim-arroz</t>
        </is>
      </c>
      <c r="G543" s="7" t="inlineStr">
        <is>
          <t>Echinochloa crusgalli</t>
        </is>
      </c>
      <c r="H543" s="7" t="inlineStr">
        <is>
          <t>SIM (*)</t>
        </is>
      </c>
      <c r="I543" s="9" t="n">
        <v>1</v>
      </c>
      <c r="J543" s="9" t="n">
        <v>2</v>
      </c>
      <c r="K543" s="7" t="inlineStr">
        <is>
          <t>L/ha</t>
        </is>
      </c>
      <c r="L543" s="9" t="n">
        <v>1</v>
      </c>
      <c r="M543" s="7" t="inlineStr">
        <is>
          <t>Aplicar conforme monitoramento e estádio recomendado na bula (HRAC Grupo F4 (13) — Inibidores da DOXP sintase)</t>
        </is>
      </c>
    </row>
    <row r="544" ht="22" customHeight="1">
      <c r="A544" s="12" t="inlineStr">
        <is>
          <t>ALV-0540</t>
        </is>
      </c>
      <c r="B544" s="11" t="n">
        <v>280</v>
      </c>
      <c r="C544" s="13" t="inlineStr">
        <is>
          <t>ISENTO (ATO 104/2017)</t>
        </is>
      </c>
      <c r="D544" s="14" t="inlineStr">
        <is>
          <t>AGCN SAFE AIR</t>
        </is>
      </c>
      <c r="E544" s="13" t="inlineStr">
        <is>
          <t>Adjuvante Espalhante / Surfactante / Redutor de pH e Deriva</t>
        </is>
      </c>
      <c r="F544" s="13" t="inlineStr">
        <is>
          <t>Otimização de Gota, Espalhamento e Redução de Deriva</t>
        </is>
      </c>
      <c r="G544" s="13" t="inlineStr">
        <is>
          <t>Tecnologia de Aplicação</t>
        </is>
      </c>
      <c r="H544" s="13" t="inlineStr">
        <is>
          <t>NÃO</t>
        </is>
      </c>
      <c r="I544" s="18" t="n">
        <v>0.25</v>
      </c>
      <c r="J544" s="15" t="n">
        <v>1</v>
      </c>
      <c r="K544" s="13" t="inlineStr">
        <is>
          <t>% v/v na calda</t>
        </is>
      </c>
      <c r="L544" s="15" t="n">
        <v>1</v>
      </c>
      <c r="M544" s="13" t="inlineStr">
        <is>
          <t>Aplicar conforme monitoramento e estádio recomendado na bula (Adjuvante Tecnológico de Pulverização)</t>
        </is>
      </c>
    </row>
    <row r="545" ht="22" customHeight="1">
      <c r="A545" s="6" t="inlineStr">
        <is>
          <t>ALV-0541</t>
        </is>
      </c>
      <c r="B545" s="5" t="n">
        <v>281</v>
      </c>
      <c r="C545" s="7" t="inlineStr">
        <is>
          <t>SIPEAGRO (UF-XXXXX)</t>
        </is>
      </c>
      <c r="D545" s="8" t="inlineStr">
        <is>
          <t>AGCN SEED ULTRA</t>
        </is>
      </c>
      <c r="E545" s="7" t="inlineStr">
        <is>
          <t>Fertilizante Foliar / Micronutrientes</t>
        </is>
      </c>
      <c r="F545" s="7" t="inlineStr">
        <is>
          <t>Nutrição e Correção de Deficiência Mineral</t>
        </is>
      </c>
      <c r="G545" s="7" t="inlineStr">
        <is>
          <t>Nutrição Vegetal</t>
        </is>
      </c>
      <c r="H545" s="7" t="inlineStr">
        <is>
          <t>NÃO</t>
        </is>
      </c>
      <c r="I545" s="9" t="n">
        <v>1</v>
      </c>
      <c r="J545" s="9" t="n">
        <v>250</v>
      </c>
      <c r="K545" s="7" t="inlineStr">
        <is>
          <t>kg ou L/ha</t>
        </is>
      </c>
      <c r="L545" s="9" t="n">
        <v>1</v>
      </c>
      <c r="M545" s="7" t="inlineStr">
        <is>
          <t>Aplicar conforme monitoramento e estádio recomendado na bula (Nutrição Vegetal SIPEAGRO)</t>
        </is>
      </c>
    </row>
    <row r="546" ht="22" customHeight="1">
      <c r="A546" s="12" t="inlineStr">
        <is>
          <t>ALV-0542</t>
        </is>
      </c>
      <c r="B546" s="11" t="n">
        <v>282</v>
      </c>
      <c r="C546" s="13" t="inlineStr">
        <is>
          <t>SIPEAGRO (UF-XXXXX)</t>
        </is>
      </c>
      <c r="D546" s="14" t="inlineStr">
        <is>
          <t>AGCN FULL ULTRA</t>
        </is>
      </c>
      <c r="E546" s="13" t="inlineStr">
        <is>
          <t>Fertilizante Organomineral / Bioestimulante</t>
        </is>
      </c>
      <c r="F546" s="13" t="inlineStr">
        <is>
          <t>Nutrição e Correção de Deficiência Mineral</t>
        </is>
      </c>
      <c r="G546" s="13" t="inlineStr">
        <is>
          <t>Nutrição Vegetal</t>
        </is>
      </c>
      <c r="H546" s="13" t="inlineStr">
        <is>
          <t>NÃO</t>
        </is>
      </c>
      <c r="I546" s="15" t="n">
        <v>1</v>
      </c>
      <c r="J546" s="15" t="n">
        <v>250</v>
      </c>
      <c r="K546" s="13" t="inlineStr">
        <is>
          <t>kg ou L/ha</t>
        </is>
      </c>
      <c r="L546" s="15" t="n">
        <v>1</v>
      </c>
      <c r="M546" s="13" t="inlineStr">
        <is>
          <t>Aplicar conforme monitoramento e estádio recomendado na bula (Nutrição Vegetal SIPEAGRO)</t>
        </is>
      </c>
    </row>
    <row r="547" ht="22" customHeight="1">
      <c r="A547" s="6" t="inlineStr">
        <is>
          <t>ALV-0543</t>
        </is>
      </c>
      <c r="B547" s="5" t="n">
        <v>283</v>
      </c>
      <c r="C547" s="7" t="inlineStr">
        <is>
          <t>ISENTO (ATO 104/2017)</t>
        </is>
      </c>
      <c r="D547" s="8" t="inlineStr">
        <is>
          <t>AGCN SAFE SPRAY</t>
        </is>
      </c>
      <c r="E547" s="7" t="inlineStr">
        <is>
          <t>Adjuvante Espalhante / Surfactante / Redutor de pH e Deriva</t>
        </is>
      </c>
      <c r="F547" s="7" t="inlineStr">
        <is>
          <t>Otimização de Gota, Espalhamento e Redução de Deriva</t>
        </is>
      </c>
      <c r="G547" s="7" t="inlineStr">
        <is>
          <t>Tecnologia de Aplicação</t>
        </is>
      </c>
      <c r="H547" s="7" t="inlineStr">
        <is>
          <t>NÃO</t>
        </is>
      </c>
      <c r="I547" s="17" t="n">
        <v>0.25</v>
      </c>
      <c r="J547" s="9" t="n">
        <v>1</v>
      </c>
      <c r="K547" s="7" t="inlineStr">
        <is>
          <t>% v/v na calda</t>
        </is>
      </c>
      <c r="L547" s="9" t="n">
        <v>1</v>
      </c>
      <c r="M547" s="7" t="inlineStr">
        <is>
          <t>Aplicar conforme monitoramento e estádio recomendado na bula (Adjuvante Tecnológico de Pulverização)</t>
        </is>
      </c>
    </row>
    <row r="548" ht="22" customHeight="1">
      <c r="A548" s="12" t="inlineStr">
        <is>
          <t>ALV-0544</t>
        </is>
      </c>
      <c r="B548" s="11" t="n">
        <v>284</v>
      </c>
      <c r="C548" s="13" t="inlineStr">
        <is>
          <t>SIPEAGRO (UF-XXXXX)</t>
        </is>
      </c>
      <c r="D548" s="14" t="inlineStr">
        <is>
          <t>AGCN SEED +</t>
        </is>
      </c>
      <c r="E548" s="13" t="inlineStr">
        <is>
          <t>Fertilizante Foliar / Micronutrientes</t>
        </is>
      </c>
      <c r="F548" s="13" t="inlineStr">
        <is>
          <t>Nutrição e Correção de Deficiência Mineral</t>
        </is>
      </c>
      <c r="G548" s="13" t="inlineStr">
        <is>
          <t>Nutrição Vegetal</t>
        </is>
      </c>
      <c r="H548" s="13" t="inlineStr">
        <is>
          <t>NÃO</t>
        </is>
      </c>
      <c r="I548" s="15" t="n">
        <v>1</v>
      </c>
      <c r="J548" s="15" t="n">
        <v>250</v>
      </c>
      <c r="K548" s="13" t="inlineStr">
        <is>
          <t>kg ou L/ha</t>
        </is>
      </c>
      <c r="L548" s="15" t="n">
        <v>1</v>
      </c>
      <c r="M548" s="13" t="inlineStr">
        <is>
          <t>Aplicar conforme monitoramento e estádio recomendado na bula (Nutrição Vegetal SIPEAGRO)</t>
        </is>
      </c>
    </row>
    <row r="549" ht="22" customHeight="1">
      <c r="A549" s="6" t="inlineStr">
        <is>
          <t>ALV-0545</t>
        </is>
      </c>
      <c r="B549" s="5" t="n">
        <v>285</v>
      </c>
      <c r="C549" s="7" t="inlineStr">
        <is>
          <t>SIPEAGRO (UF-XXXXX)</t>
        </is>
      </c>
      <c r="D549" s="8" t="inlineStr">
        <is>
          <t>SULFATO DE ZINCO</t>
        </is>
      </c>
      <c r="E549" s="7" t="inlineStr">
        <is>
          <t>Fertilizante Químico Inorgânico (Matéria-Prima Cap. 28/38)</t>
        </is>
      </c>
      <c r="F549" s="7" t="inlineStr">
        <is>
          <t>Nutrição e Correção de Deficiência Mineral</t>
        </is>
      </c>
      <c r="G549" s="7" t="inlineStr">
        <is>
          <t>Nutrição Vegetal</t>
        </is>
      </c>
      <c r="H549" s="7" t="inlineStr">
        <is>
          <t>NÃO</t>
        </is>
      </c>
      <c r="I549" s="9" t="n">
        <v>1</v>
      </c>
      <c r="J549" s="9" t="n">
        <v>250</v>
      </c>
      <c r="K549" s="7" t="inlineStr">
        <is>
          <t>kg ou L/ha</t>
        </is>
      </c>
      <c r="L549" s="9" t="n">
        <v>1</v>
      </c>
      <c r="M549" s="7" t="inlineStr">
        <is>
          <t>Aplicar conforme monitoramento e estádio recomendado na bula (Nutrição Vegetal SIPEAGRO)</t>
        </is>
      </c>
    </row>
    <row r="550" ht="22" customHeight="1">
      <c r="A550" s="12" t="inlineStr">
        <is>
          <t>ALV-0546</t>
        </is>
      </c>
      <c r="B550" s="11" t="n">
        <v>286</v>
      </c>
      <c r="C550" s="13" t="inlineStr">
        <is>
          <t>SIPEAGRO (UF-XXXXX)</t>
        </is>
      </c>
      <c r="D550" s="14" t="inlineStr">
        <is>
          <t>MAGNESIO ULTRA</t>
        </is>
      </c>
      <c r="E550" s="13" t="inlineStr">
        <is>
          <t>Fertilizante Mineral Simples (Potássico / Magnesiano)</t>
        </is>
      </c>
      <c r="F550" s="13" t="inlineStr">
        <is>
          <t>Nutrição e Correção de Deficiência Mineral</t>
        </is>
      </c>
      <c r="G550" s="13" t="inlineStr">
        <is>
          <t>Nutrição Vegetal</t>
        </is>
      </c>
      <c r="H550" s="13" t="inlineStr">
        <is>
          <t>NÃO</t>
        </is>
      </c>
      <c r="I550" s="15" t="n">
        <v>1</v>
      </c>
      <c r="J550" s="15" t="n">
        <v>250</v>
      </c>
      <c r="K550" s="13" t="inlineStr">
        <is>
          <t>kg ou L/ha</t>
        </is>
      </c>
      <c r="L550" s="15" t="n">
        <v>1</v>
      </c>
      <c r="M550" s="13" t="inlineStr">
        <is>
          <t>Aplicar conforme monitoramento e estádio recomendado na bula (Nutrição Vegetal SIPEAGRO)</t>
        </is>
      </c>
    </row>
    <row r="551" ht="22" customHeight="1">
      <c r="A551" s="6" t="inlineStr">
        <is>
          <t>ALV-0547</t>
        </is>
      </c>
      <c r="B551" s="5" t="n">
        <v>287</v>
      </c>
      <c r="C551" s="7" t="inlineStr">
        <is>
          <t>SIPEAGRO (UF-XXXXX)</t>
        </is>
      </c>
      <c r="D551" s="8" t="inlineStr">
        <is>
          <t>MFL MULTINITROPOTASSIO</t>
        </is>
      </c>
      <c r="E551" s="7" t="inlineStr">
        <is>
          <t>Fertilizante Foliar / Micronutrientes</t>
        </is>
      </c>
      <c r="F551" s="7" t="inlineStr">
        <is>
          <t>Nutrição e Correção de Deficiência Mineral</t>
        </is>
      </c>
      <c r="G551" s="7" t="inlineStr">
        <is>
          <t>Nutrição Vegetal</t>
        </is>
      </c>
      <c r="H551" s="7" t="inlineStr">
        <is>
          <t>NÃO</t>
        </is>
      </c>
      <c r="I551" s="9" t="n">
        <v>1</v>
      </c>
      <c r="J551" s="9" t="n">
        <v>250</v>
      </c>
      <c r="K551" s="7" t="inlineStr">
        <is>
          <t>kg ou L/ha</t>
        </is>
      </c>
      <c r="L551" s="9" t="n">
        <v>1</v>
      </c>
      <c r="M551" s="7" t="inlineStr">
        <is>
          <t>Aplicar conforme monitoramento e estádio recomendado na bula (Nutrição Vegetal SIPEAGRO)</t>
        </is>
      </c>
    </row>
    <row r="552" ht="22" customHeight="1">
      <c r="A552" s="12" t="inlineStr">
        <is>
          <t>ALV-0548</t>
        </is>
      </c>
      <c r="B552" s="11" t="n">
        <v>288</v>
      </c>
      <c r="C552" s="13" t="inlineStr">
        <is>
          <t>SIPEAGRO (UF-XXXXX)</t>
        </is>
      </c>
      <c r="D552" s="14" t="inlineStr">
        <is>
          <t>AGCN BORO 100</t>
        </is>
      </c>
      <c r="E552" s="13" t="inlineStr">
        <is>
          <t>Fertilizante Foliar / Micronutrientes</t>
        </is>
      </c>
      <c r="F552" s="13" t="inlineStr">
        <is>
          <t>Nutrição e Correção de Deficiência Mineral</t>
        </is>
      </c>
      <c r="G552" s="13" t="inlineStr">
        <is>
          <t>Nutrição Vegetal</t>
        </is>
      </c>
      <c r="H552" s="13" t="inlineStr">
        <is>
          <t>NÃO</t>
        </is>
      </c>
      <c r="I552" s="15" t="n">
        <v>1</v>
      </c>
      <c r="J552" s="15" t="n">
        <v>250</v>
      </c>
      <c r="K552" s="13" t="inlineStr">
        <is>
          <t>kg ou L/ha</t>
        </is>
      </c>
      <c r="L552" s="15" t="n">
        <v>1</v>
      </c>
      <c r="M552" s="13" t="inlineStr">
        <is>
          <t>Aplicar conforme monitoramento e estádio recomendado na bula (Nutrição Vegetal SIPEAGRO)</t>
        </is>
      </c>
    </row>
    <row r="553" ht="22" customHeight="1">
      <c r="A553" s="6" t="inlineStr">
        <is>
          <t>ALV-0549</t>
        </is>
      </c>
      <c r="B553" s="5" t="n">
        <v>289</v>
      </c>
      <c r="C553" s="7" t="inlineStr">
        <is>
          <t>ISENTO (ATO 104/2017)</t>
        </is>
      </c>
      <c r="D553" s="8" t="inlineStr">
        <is>
          <t>AGCN EASY OIL</t>
        </is>
      </c>
      <c r="E553" s="7" t="inlineStr">
        <is>
          <t>Óleo Mineral Adjuvante</t>
        </is>
      </c>
      <c r="F553" s="7" t="inlineStr">
        <is>
          <t>Otimização de Gota, Espalhamento e Redução de Deriva</t>
        </is>
      </c>
      <c r="G553" s="7" t="inlineStr">
        <is>
          <t>Tecnologia de Aplicação</t>
        </is>
      </c>
      <c r="H553" s="7" t="inlineStr">
        <is>
          <t>NÃO</t>
        </is>
      </c>
      <c r="I553" s="17" t="n">
        <v>0.25</v>
      </c>
      <c r="J553" s="9" t="n">
        <v>1</v>
      </c>
      <c r="K553" s="7" t="inlineStr">
        <is>
          <t>% v/v na calda</t>
        </is>
      </c>
      <c r="L553" s="9" t="n">
        <v>1</v>
      </c>
      <c r="M553" s="7" t="inlineStr">
        <is>
          <t>Aplicar conforme monitoramento e estádio recomendado na bula (Adjuvante Tecnológico de Pulverização)</t>
        </is>
      </c>
    </row>
    <row r="554" ht="22" customHeight="1">
      <c r="A554" s="12" t="inlineStr">
        <is>
          <t>ALV-0550</t>
        </is>
      </c>
      <c r="B554" s="11" t="n">
        <v>290</v>
      </c>
      <c r="C554" s="13" t="inlineStr">
        <is>
          <t>SIPEAGRO (UF-XXXXX)</t>
        </is>
      </c>
      <c r="D554" s="14" t="inlineStr">
        <is>
          <t>AGCN MN RR</t>
        </is>
      </c>
      <c r="E554" s="13" t="inlineStr">
        <is>
          <t>Fertilizante Foliar / Micronutrientes</t>
        </is>
      </c>
      <c r="F554" s="13" t="inlineStr">
        <is>
          <t>Nutrição e Correção de Deficiência Mineral</t>
        </is>
      </c>
      <c r="G554" s="13" t="inlineStr">
        <is>
          <t>Nutrição Vegetal</t>
        </is>
      </c>
      <c r="H554" s="13" t="inlineStr">
        <is>
          <t>NÃO</t>
        </is>
      </c>
      <c r="I554" s="15" t="n">
        <v>1</v>
      </c>
      <c r="J554" s="15" t="n">
        <v>250</v>
      </c>
      <c r="K554" s="13" t="inlineStr">
        <is>
          <t>kg ou L/ha</t>
        </is>
      </c>
      <c r="L554" s="15" t="n">
        <v>1</v>
      </c>
      <c r="M554" s="13" t="inlineStr">
        <is>
          <t>Aplicar conforme monitoramento e estádio recomendado na bula (Nutrição Vegetal SIPEAGRO)</t>
        </is>
      </c>
    </row>
    <row r="555" ht="22" customHeight="1">
      <c r="A555" s="6" t="inlineStr">
        <is>
          <t>ALV-0551</t>
        </is>
      </c>
      <c r="B555" s="5" t="n">
        <v>291</v>
      </c>
      <c r="C555" s="7" t="inlineStr">
        <is>
          <t>SIPEAGRO (UF-XXXXX)</t>
        </is>
      </c>
      <c r="D555" s="8" t="inlineStr">
        <is>
          <t>AGCN MN RR 100</t>
        </is>
      </c>
      <c r="E555" s="7" t="inlineStr">
        <is>
          <t>Fertilizante Foliar / Micronutrientes</t>
        </is>
      </c>
      <c r="F555" s="7" t="inlineStr">
        <is>
          <t>Nutrição e Correção de Deficiência Mineral</t>
        </is>
      </c>
      <c r="G555" s="7" t="inlineStr">
        <is>
          <t>Nutrição Vegetal</t>
        </is>
      </c>
      <c r="H555" s="7" t="inlineStr">
        <is>
          <t>NÃO</t>
        </is>
      </c>
      <c r="I555" s="9" t="n">
        <v>1</v>
      </c>
      <c r="J555" s="9" t="n">
        <v>250</v>
      </c>
      <c r="K555" s="7" t="inlineStr">
        <is>
          <t>kg ou L/ha</t>
        </is>
      </c>
      <c r="L555" s="9" t="n">
        <v>1</v>
      </c>
      <c r="M555" s="7" t="inlineStr">
        <is>
          <t>Aplicar conforme monitoramento e estádio recomendado na bula (Nutrição Vegetal SIPEAGRO)</t>
        </is>
      </c>
    </row>
    <row r="556" ht="22" customHeight="1">
      <c r="A556" s="12" t="inlineStr">
        <is>
          <t>ALV-0552</t>
        </is>
      </c>
      <c r="B556" s="11" t="n">
        <v>292</v>
      </c>
      <c r="C556" s="13" t="inlineStr">
        <is>
          <t>Nº 27717</t>
        </is>
      </c>
      <c r="D556" s="14" t="inlineStr">
        <is>
          <t>FIPRONIL 800 WG AGCN</t>
        </is>
      </c>
      <c r="E556" s="13" t="inlineStr">
        <is>
          <t>Inseticida e Cupinicida (Fipronil)</t>
        </is>
      </c>
      <c r="F556" s="13" t="inlineStr">
        <is>
          <t>Coró</t>
        </is>
      </c>
      <c r="G556" s="13" t="inlineStr">
        <is>
          <t>Phyllophaga cuyabana</t>
        </is>
      </c>
      <c r="H556" s="13" t="inlineStr">
        <is>
          <t>NÃO</t>
        </is>
      </c>
      <c r="I556" s="18" t="n">
        <v>0.1</v>
      </c>
      <c r="J556" s="18" t="n">
        <v>0.2</v>
      </c>
      <c r="K556" s="13" t="inlineStr">
        <is>
          <t>L/100kg sem.</t>
        </is>
      </c>
      <c r="L556" s="15" t="n">
        <v>1</v>
      </c>
      <c r="M556" s="13" t="inlineStr">
        <is>
          <t>Aplicar conforme monitoramento e estádio recomendado na bula (IRAC Grupo 2B)</t>
        </is>
      </c>
    </row>
    <row r="557" ht="22" customHeight="1">
      <c r="A557" s="6" t="inlineStr">
        <is>
          <t>ALV-0553</t>
        </is>
      </c>
      <c r="B557" s="5" t="n">
        <v>292</v>
      </c>
      <c r="C557" s="7" t="inlineStr">
        <is>
          <t>Nº 27717</t>
        </is>
      </c>
      <c r="D557" s="8" t="inlineStr">
        <is>
          <t>FIPRONIL 800 WG AGCN</t>
        </is>
      </c>
      <c r="E557" s="7" t="inlineStr">
        <is>
          <t>Inseticida e Cupinicida (Fipronil)</t>
        </is>
      </c>
      <c r="F557" s="7" t="inlineStr">
        <is>
          <t>Lagarta-elasmo</t>
        </is>
      </c>
      <c r="G557" s="7" t="inlineStr">
        <is>
          <t>Elasmopalpus lignosellus</t>
        </is>
      </c>
      <c r="H557" s="7" t="inlineStr">
        <is>
          <t>NÃO</t>
        </is>
      </c>
      <c r="I557" s="17" t="n">
        <v>0.1</v>
      </c>
      <c r="J557" s="17" t="n">
        <v>0.2</v>
      </c>
      <c r="K557" s="7" t="inlineStr">
        <is>
          <t>L/100kg sem.</t>
        </is>
      </c>
      <c r="L557" s="9" t="n">
        <v>1</v>
      </c>
      <c r="M557" s="7" t="inlineStr">
        <is>
          <t>Aplicar conforme monitoramento e estádio recomendado na bula (IRAC Grupo 2B)</t>
        </is>
      </c>
    </row>
    <row r="558" ht="22" customHeight="1">
      <c r="A558" s="12" t="inlineStr">
        <is>
          <t>ALV-0554</t>
        </is>
      </c>
      <c r="B558" s="11" t="n">
        <v>292</v>
      </c>
      <c r="C558" s="13" t="inlineStr">
        <is>
          <t>Nº 27717</t>
        </is>
      </c>
      <c r="D558" s="14" t="inlineStr">
        <is>
          <t>FIPRONIL 800 WG AGCN</t>
        </is>
      </c>
      <c r="E558" s="13" t="inlineStr">
        <is>
          <t>Inseticida e Cupinicida (Fipronil)</t>
        </is>
      </c>
      <c r="F558" s="13" t="inlineStr">
        <is>
          <t>Cupim-de-montículo</t>
        </is>
      </c>
      <c r="G558" s="13" t="inlineStr">
        <is>
          <t>Procornitermes triacifer</t>
        </is>
      </c>
      <c r="H558" s="13" t="inlineStr">
        <is>
          <t>NÃO</t>
        </is>
      </c>
      <c r="I558" s="18" t="n">
        <v>0.05</v>
      </c>
      <c r="J558" s="18" t="n">
        <v>0.2</v>
      </c>
      <c r="K558" s="13" t="inlineStr">
        <is>
          <t>kg ou L/ha</t>
        </is>
      </c>
      <c r="L558" s="15" t="n">
        <v>1</v>
      </c>
      <c r="M558" s="13" t="inlineStr">
        <is>
          <t>Aplicar conforme monitoramento e estádio recomendado na bula (IRAC Grupo 2B)</t>
        </is>
      </c>
    </row>
    <row r="559" ht="22" customHeight="1">
      <c r="A559" s="6" t="inlineStr">
        <is>
          <t>ALV-0555</t>
        </is>
      </c>
      <c r="B559" s="5" t="n">
        <v>293</v>
      </c>
      <c r="C559" s="7" t="inlineStr">
        <is>
          <t>Nº 44018</t>
        </is>
      </c>
      <c r="D559" s="8" t="inlineStr">
        <is>
          <t>SUMMIT 250 FS</t>
        </is>
      </c>
      <c r="E559" s="7" t="inlineStr">
        <is>
          <t>Inseticida e Cupinicida (Fipronil)</t>
        </is>
      </c>
      <c r="F559" s="7" t="inlineStr">
        <is>
          <t>Coró</t>
        </is>
      </c>
      <c r="G559" s="7" t="inlineStr">
        <is>
          <t>Phyllophaga cuyabana</t>
        </is>
      </c>
      <c r="H559" s="7" t="inlineStr">
        <is>
          <t>NÃO</t>
        </is>
      </c>
      <c r="I559" s="17" t="n">
        <v>0.1</v>
      </c>
      <c r="J559" s="17" t="n">
        <v>0.2</v>
      </c>
      <c r="K559" s="7" t="inlineStr">
        <is>
          <t>L/100kg sem.</t>
        </is>
      </c>
      <c r="L559" s="9" t="n">
        <v>1</v>
      </c>
      <c r="M559" s="7" t="inlineStr">
        <is>
          <t>Aplicar conforme monitoramento e estádio recomendado na bula (IRAC Grupo 2B)</t>
        </is>
      </c>
    </row>
    <row r="560" ht="22" customHeight="1">
      <c r="A560" s="12" t="inlineStr">
        <is>
          <t>ALV-0556</t>
        </is>
      </c>
      <c r="B560" s="11" t="n">
        <v>293</v>
      </c>
      <c r="C560" s="13" t="inlineStr">
        <is>
          <t>Nº 44018</t>
        </is>
      </c>
      <c r="D560" s="14" t="inlineStr">
        <is>
          <t>SUMMIT 250 FS</t>
        </is>
      </c>
      <c r="E560" s="13" t="inlineStr">
        <is>
          <t>Inseticida e Cupinicida (Fipronil)</t>
        </is>
      </c>
      <c r="F560" s="13" t="inlineStr">
        <is>
          <t>Lagarta-elasmo</t>
        </is>
      </c>
      <c r="G560" s="13" t="inlineStr">
        <is>
          <t>Elasmopalpus lignosellus</t>
        </is>
      </c>
      <c r="H560" s="13" t="inlineStr">
        <is>
          <t>NÃO</t>
        </is>
      </c>
      <c r="I560" s="18" t="n">
        <v>0.1</v>
      </c>
      <c r="J560" s="18" t="n">
        <v>0.2</v>
      </c>
      <c r="K560" s="13" t="inlineStr">
        <is>
          <t>L/100kg sem.</t>
        </is>
      </c>
      <c r="L560" s="15" t="n">
        <v>1</v>
      </c>
      <c r="M560" s="13" t="inlineStr">
        <is>
          <t>Aplicar conforme monitoramento e estádio recomendado na bula (IRAC Grupo 2B)</t>
        </is>
      </c>
    </row>
    <row r="561" ht="22" customHeight="1">
      <c r="A561" s="6" t="inlineStr">
        <is>
          <t>ALV-0557</t>
        </is>
      </c>
      <c r="B561" s="5" t="n">
        <v>293</v>
      </c>
      <c r="C561" s="7" t="inlineStr">
        <is>
          <t>Nº 44018</t>
        </is>
      </c>
      <c r="D561" s="8" t="inlineStr">
        <is>
          <t>SUMMIT 250 FS</t>
        </is>
      </c>
      <c r="E561" s="7" t="inlineStr">
        <is>
          <t>Inseticida e Cupinicida (Fipronil)</t>
        </is>
      </c>
      <c r="F561" s="7" t="inlineStr">
        <is>
          <t>Cupim-de-montículo</t>
        </is>
      </c>
      <c r="G561" s="7" t="inlineStr">
        <is>
          <t>Procornitermes triacifer</t>
        </is>
      </c>
      <c r="H561" s="7" t="inlineStr">
        <is>
          <t>NÃO</t>
        </is>
      </c>
      <c r="I561" s="17" t="n">
        <v>0.05</v>
      </c>
      <c r="J561" s="17" t="n">
        <v>0.2</v>
      </c>
      <c r="K561" s="7" t="inlineStr">
        <is>
          <t>kg ou L/ha</t>
        </is>
      </c>
      <c r="L561" s="9" t="n">
        <v>1</v>
      </c>
      <c r="M561" s="7" t="inlineStr">
        <is>
          <t>Aplicar conforme monitoramento e estádio recomendado na bula (IRAC Grupo 2B)</t>
        </is>
      </c>
    </row>
    <row r="562" ht="22" customHeight="1">
      <c r="A562" s="12" t="inlineStr">
        <is>
          <t>ALV-0558</t>
        </is>
      </c>
      <c r="B562" s="11" t="n">
        <v>294</v>
      </c>
      <c r="C562" s="13" t="inlineStr">
        <is>
          <t>Nº 10421</t>
        </is>
      </c>
      <c r="D562" s="14" t="inlineStr">
        <is>
          <t>LANEX 800 WG</t>
        </is>
      </c>
      <c r="E562" s="13" t="inlineStr">
        <is>
          <t>Inseticida e Cupinicida (Fipronil)</t>
        </is>
      </c>
      <c r="F562" s="13" t="inlineStr">
        <is>
          <t>Coró</t>
        </is>
      </c>
      <c r="G562" s="13" t="inlineStr">
        <is>
          <t>Phyllophaga cuyabana</t>
        </is>
      </c>
      <c r="H562" s="13" t="inlineStr">
        <is>
          <t>NÃO</t>
        </is>
      </c>
      <c r="I562" s="18" t="n">
        <v>0.1</v>
      </c>
      <c r="J562" s="18" t="n">
        <v>0.2</v>
      </c>
      <c r="K562" s="13" t="inlineStr">
        <is>
          <t>L/100kg sem.</t>
        </is>
      </c>
      <c r="L562" s="15" t="n">
        <v>1</v>
      </c>
      <c r="M562" s="13" t="inlineStr">
        <is>
          <t>Aplicar conforme monitoramento e estádio recomendado na bula (IRAC Grupo 2B)</t>
        </is>
      </c>
    </row>
    <row r="563" ht="22" customHeight="1">
      <c r="A563" s="6" t="inlineStr">
        <is>
          <t>ALV-0559</t>
        </is>
      </c>
      <c r="B563" s="5" t="n">
        <v>294</v>
      </c>
      <c r="C563" s="7" t="inlineStr">
        <is>
          <t>Nº 10421</t>
        </is>
      </c>
      <c r="D563" s="8" t="inlineStr">
        <is>
          <t>LANEX 800 WG</t>
        </is>
      </c>
      <c r="E563" s="7" t="inlineStr">
        <is>
          <t>Inseticida e Cupinicida (Fipronil)</t>
        </is>
      </c>
      <c r="F563" s="7" t="inlineStr">
        <is>
          <t>Lagarta-elasmo</t>
        </is>
      </c>
      <c r="G563" s="7" t="inlineStr">
        <is>
          <t>Elasmopalpus lignosellus</t>
        </is>
      </c>
      <c r="H563" s="7" t="inlineStr">
        <is>
          <t>NÃO</t>
        </is>
      </c>
      <c r="I563" s="17" t="n">
        <v>0.1</v>
      </c>
      <c r="J563" s="17" t="n">
        <v>0.2</v>
      </c>
      <c r="K563" s="7" t="inlineStr">
        <is>
          <t>L/100kg sem.</t>
        </is>
      </c>
      <c r="L563" s="9" t="n">
        <v>1</v>
      </c>
      <c r="M563" s="7" t="inlineStr">
        <is>
          <t>Aplicar conforme monitoramento e estádio recomendado na bula (IRAC Grupo 2B)</t>
        </is>
      </c>
    </row>
    <row r="564" ht="22" customHeight="1">
      <c r="A564" s="12" t="inlineStr">
        <is>
          <t>ALV-0560</t>
        </is>
      </c>
      <c r="B564" s="11" t="n">
        <v>294</v>
      </c>
      <c r="C564" s="13" t="inlineStr">
        <is>
          <t>Nº 10421</t>
        </is>
      </c>
      <c r="D564" s="14" t="inlineStr">
        <is>
          <t>LANEX 800 WG</t>
        </is>
      </c>
      <c r="E564" s="13" t="inlineStr">
        <is>
          <t>Inseticida e Cupinicida (Fipronil)</t>
        </is>
      </c>
      <c r="F564" s="13" t="inlineStr">
        <is>
          <t>Cupim-de-montículo</t>
        </is>
      </c>
      <c r="G564" s="13" t="inlineStr">
        <is>
          <t>Procornitermes triacifer</t>
        </is>
      </c>
      <c r="H564" s="13" t="inlineStr">
        <is>
          <t>NÃO</t>
        </is>
      </c>
      <c r="I564" s="18" t="n">
        <v>0.05</v>
      </c>
      <c r="J564" s="18" t="n">
        <v>0.2</v>
      </c>
      <c r="K564" s="13" t="inlineStr">
        <is>
          <t>kg ou L/ha</t>
        </is>
      </c>
      <c r="L564" s="15" t="n">
        <v>1</v>
      </c>
      <c r="M564" s="13" t="inlineStr">
        <is>
          <t>Aplicar conforme monitoramento e estádio recomendado na bula (IRAC Grupo 2B)</t>
        </is>
      </c>
    </row>
    <row r="565" ht="22" customHeight="1">
      <c r="A565" s="6" t="inlineStr">
        <is>
          <t>ALV-0561</t>
        </is>
      </c>
      <c r="B565" s="5" t="n">
        <v>295</v>
      </c>
      <c r="C565" s="7" t="inlineStr">
        <is>
          <t>Nº 16223</t>
        </is>
      </c>
      <c r="D565" s="8" t="inlineStr">
        <is>
          <t>COMPRAY</t>
        </is>
      </c>
      <c r="E565" s="7" t="inlineStr">
        <is>
          <t>Herbicida</t>
        </is>
      </c>
      <c r="F565" s="7" t="inlineStr">
        <is>
          <t>Capim-colchão</t>
        </is>
      </c>
      <c r="G565" s="7" t="inlineStr">
        <is>
          <t>Digitaria horizontalis</t>
        </is>
      </c>
      <c r="H565" s="7" t="inlineStr">
        <is>
          <t>NÃO</t>
        </is>
      </c>
      <c r="I565" s="17" t="n">
        <v>1.5</v>
      </c>
      <c r="J565" s="17" t="n">
        <v>2.5</v>
      </c>
      <c r="K565" s="7" t="inlineStr">
        <is>
          <t>L/ha</t>
        </is>
      </c>
      <c r="L565" s="9" t="n">
        <v>1</v>
      </c>
      <c r="M565" s="7" t="inlineStr">
        <is>
          <t>Aplicar conforme monitoramento e estádio recomendado na bula (HRAC Grupo F4 (13) — Inibidores da DOXP sintase)</t>
        </is>
      </c>
    </row>
    <row r="566" ht="22" customHeight="1">
      <c r="A566" s="12" t="inlineStr">
        <is>
          <t>ALV-0562</t>
        </is>
      </c>
      <c r="B566" s="11" t="n">
        <v>295</v>
      </c>
      <c r="C566" s="13" t="inlineStr">
        <is>
          <t>Nº 16223</t>
        </is>
      </c>
      <c r="D566" s="14" t="inlineStr">
        <is>
          <t>COMPRAY</t>
        </is>
      </c>
      <c r="E566" s="13" t="inlineStr">
        <is>
          <t>Herbicida</t>
        </is>
      </c>
      <c r="F566" s="13" t="inlineStr">
        <is>
          <t>Capim-marmelada</t>
        </is>
      </c>
      <c r="G566" s="13" t="inlineStr">
        <is>
          <t>Brachiaria plantaginea</t>
        </is>
      </c>
      <c r="H566" s="13" t="inlineStr">
        <is>
          <t>NÃO</t>
        </is>
      </c>
      <c r="I566" s="18" t="n">
        <v>1.5</v>
      </c>
      <c r="J566" s="18" t="n">
        <v>2.5</v>
      </c>
      <c r="K566" s="13" t="inlineStr">
        <is>
          <t>L/ha</t>
        </is>
      </c>
      <c r="L566" s="15" t="n">
        <v>1</v>
      </c>
      <c r="M566" s="13" t="inlineStr">
        <is>
          <t>Aplicar conforme monitoramento e estádio recomendado na bula (HRAC Grupo F4 (13) — Inibidores da DOXP sintase)</t>
        </is>
      </c>
    </row>
    <row r="567" ht="22" customHeight="1">
      <c r="A567" s="6" t="inlineStr">
        <is>
          <t>ALV-0563</t>
        </is>
      </c>
      <c r="B567" s="5" t="n">
        <v>295</v>
      </c>
      <c r="C567" s="7" t="inlineStr">
        <is>
          <t>Nº 16223</t>
        </is>
      </c>
      <c r="D567" s="8" t="inlineStr">
        <is>
          <t>COMPRAY</t>
        </is>
      </c>
      <c r="E567" s="7" t="inlineStr">
        <is>
          <t>Herbicida</t>
        </is>
      </c>
      <c r="F567" s="7" t="inlineStr">
        <is>
          <t>Capim-arroz</t>
        </is>
      </c>
      <c r="G567" s="7" t="inlineStr">
        <is>
          <t>Echinochloa crusgalli</t>
        </is>
      </c>
      <c r="H567" s="7" t="inlineStr">
        <is>
          <t>SIM (*)</t>
        </is>
      </c>
      <c r="I567" s="9" t="n">
        <v>1</v>
      </c>
      <c r="J567" s="9" t="n">
        <v>2</v>
      </c>
      <c r="K567" s="7" t="inlineStr">
        <is>
          <t>L/ha</t>
        </is>
      </c>
      <c r="L567" s="9" t="n">
        <v>1</v>
      </c>
      <c r="M567" s="7" t="inlineStr">
        <is>
          <t>Aplicar conforme monitoramento e estádio recomendado na bula (HRAC Grupo F4 (13) — Inibidores da DOXP sintase)</t>
        </is>
      </c>
    </row>
    <row r="568" ht="22" customHeight="1">
      <c r="A568" s="12" t="inlineStr">
        <is>
          <t>ALV-0564</t>
        </is>
      </c>
      <c r="B568" s="11" t="n">
        <v>296</v>
      </c>
      <c r="C568" s="13" t="inlineStr">
        <is>
          <t>Nº 31222</t>
        </is>
      </c>
      <c r="D568" s="14" t="inlineStr">
        <is>
          <t>GLINT FULL</t>
        </is>
      </c>
      <c r="E568" s="13" t="inlineStr">
        <is>
          <t>Herbicida</t>
        </is>
      </c>
      <c r="F568" s="13" t="inlineStr">
        <is>
          <t>Plantas Daninhas Mono e Dicotiledôneas</t>
        </is>
      </c>
      <c r="G568" s="13" t="inlineStr">
        <is>
          <t>Flora Infestante</t>
        </is>
      </c>
      <c r="H568" s="13" t="inlineStr">
        <is>
          <t>NÃO</t>
        </is>
      </c>
      <c r="I568" s="18" t="n">
        <v>0.25</v>
      </c>
      <c r="J568" s="15" t="n">
        <v>2</v>
      </c>
      <c r="K568" s="13" t="inlineStr">
        <is>
          <t>L ou kg/ha</t>
        </is>
      </c>
      <c r="L568" s="15" t="n">
        <v>1</v>
      </c>
      <c r="M568" s="13" t="inlineStr">
        <is>
          <t>Aplicar conforme monitoramento e estádio recomendado na bula (Classificação HRAC Oficial conforme Bula)</t>
        </is>
      </c>
    </row>
    <row r="569" ht="22" customHeight="1">
      <c r="A569" s="6" t="inlineStr">
        <is>
          <t>ALV-0565</t>
        </is>
      </c>
      <c r="B569" s="5" t="n">
        <v>297</v>
      </c>
      <c r="C569" s="7" t="inlineStr">
        <is>
          <t>SIPEAGRO (UF-XXXXX)</t>
        </is>
      </c>
      <c r="D569" s="8" t="inlineStr">
        <is>
          <t>AGCN FULL</t>
        </is>
      </c>
      <c r="E569" s="7" t="inlineStr">
        <is>
          <t>Fertilizante Organomineral / Bioestimulante</t>
        </is>
      </c>
      <c r="F569" s="7" t="inlineStr">
        <is>
          <t>Nutrição e Correção de Deficiência Mineral</t>
        </is>
      </c>
      <c r="G569" s="7" t="inlineStr">
        <is>
          <t>Nutrição Vegetal</t>
        </is>
      </c>
      <c r="H569" s="7" t="inlineStr">
        <is>
          <t>NÃO</t>
        </is>
      </c>
      <c r="I569" s="9" t="n">
        <v>1</v>
      </c>
      <c r="J569" s="9" t="n">
        <v>250</v>
      </c>
      <c r="K569" s="7" t="inlineStr">
        <is>
          <t>kg ou L/ha</t>
        </is>
      </c>
      <c r="L569" s="9" t="n">
        <v>1</v>
      </c>
      <c r="M569" s="7" t="inlineStr">
        <is>
          <t>Aplicar conforme monitoramento e estádio recomendado na bula (Nutrição Vegetal SIPEAGRO)</t>
        </is>
      </c>
    </row>
    <row r="570" ht="22" customHeight="1">
      <c r="A570" s="12" t="inlineStr">
        <is>
          <t>ALV-0566</t>
        </is>
      </c>
      <c r="B570" s="11" t="n">
        <v>298</v>
      </c>
      <c r="C570" s="13" t="inlineStr">
        <is>
          <t>ISENTO (ATO 104/2017)</t>
        </is>
      </c>
      <c r="D570" s="14" t="inlineStr">
        <is>
          <t>AGCN SAFE AIR</t>
        </is>
      </c>
      <c r="E570" s="13" t="inlineStr">
        <is>
          <t>Adjuvante Espalhante / Surfactante / Redutor de pH e Deriva</t>
        </is>
      </c>
      <c r="F570" s="13" t="inlineStr">
        <is>
          <t>Otimização de Gota, Espalhamento e Redução de Deriva</t>
        </is>
      </c>
      <c r="G570" s="13" t="inlineStr">
        <is>
          <t>Tecnologia de Aplicação</t>
        </is>
      </c>
      <c r="H570" s="13" t="inlineStr">
        <is>
          <t>NÃO</t>
        </is>
      </c>
      <c r="I570" s="18" t="n">
        <v>0.25</v>
      </c>
      <c r="J570" s="15" t="n">
        <v>1</v>
      </c>
      <c r="K570" s="13" t="inlineStr">
        <is>
          <t>% v/v na calda</t>
        </is>
      </c>
      <c r="L570" s="15" t="n">
        <v>1</v>
      </c>
      <c r="M570" s="13" t="inlineStr">
        <is>
          <t>Aplicar conforme monitoramento e estádio recomendado na bula (Adjuvante Tecnológico de Pulverização)</t>
        </is>
      </c>
    </row>
    <row r="571" ht="22" customHeight="1">
      <c r="A571" s="6" t="inlineStr">
        <is>
          <t>ALV-0567</t>
        </is>
      </c>
      <c r="B571" s="5" t="n">
        <v>299</v>
      </c>
      <c r="C571" s="7" t="inlineStr">
        <is>
          <t>ISENTO (ATO 104/2017)</t>
        </is>
      </c>
      <c r="D571" s="8" t="inlineStr">
        <is>
          <t>AGCN SAFE SPRAY</t>
        </is>
      </c>
      <c r="E571" s="7" t="inlineStr">
        <is>
          <t>Adjuvante Espalhante / Surfactante / Redutor de pH e Deriva</t>
        </is>
      </c>
      <c r="F571" s="7" t="inlineStr">
        <is>
          <t>Otimização de Gota, Espalhamento e Redução de Deriva</t>
        </is>
      </c>
      <c r="G571" s="7" t="inlineStr">
        <is>
          <t>Tecnologia de Aplicação</t>
        </is>
      </c>
      <c r="H571" s="7" t="inlineStr">
        <is>
          <t>NÃO</t>
        </is>
      </c>
      <c r="I571" s="17" t="n">
        <v>0.25</v>
      </c>
      <c r="J571" s="9" t="n">
        <v>1</v>
      </c>
      <c r="K571" s="7" t="inlineStr">
        <is>
          <t>% v/v na calda</t>
        </is>
      </c>
      <c r="L571" s="9" t="n">
        <v>1</v>
      </c>
      <c r="M571" s="7" t="inlineStr">
        <is>
          <t>Aplicar conforme monitoramento e estádio recomendado na bula (Adjuvante Tecnológico de Pulverização)</t>
        </is>
      </c>
    </row>
    <row r="572" ht="22" customHeight="1">
      <c r="A572" s="12" t="inlineStr">
        <is>
          <t>ALV-0568</t>
        </is>
      </c>
      <c r="B572" s="11" t="n">
        <v>300</v>
      </c>
      <c r="C572" s="13" t="inlineStr">
        <is>
          <t>SIPEAGRO (UF-XXXXX)</t>
        </is>
      </c>
      <c r="D572" s="14" t="inlineStr">
        <is>
          <t>AGCN CAB</t>
        </is>
      </c>
      <c r="E572" s="13" t="inlineStr">
        <is>
          <t>Fertilizante Foliar / Micronutrientes</t>
        </is>
      </c>
      <c r="F572" s="13" t="inlineStr">
        <is>
          <t>Nutrição e Correção de Deficiência Mineral</t>
        </is>
      </c>
      <c r="G572" s="13" t="inlineStr">
        <is>
          <t>Nutrição Vegetal</t>
        </is>
      </c>
      <c r="H572" s="13" t="inlineStr">
        <is>
          <t>NÃO</t>
        </is>
      </c>
      <c r="I572" s="15" t="n">
        <v>1</v>
      </c>
      <c r="J572" s="15" t="n">
        <v>250</v>
      </c>
      <c r="K572" s="13" t="inlineStr">
        <is>
          <t>kg ou L/ha</t>
        </is>
      </c>
      <c r="L572" s="15" t="n">
        <v>1</v>
      </c>
      <c r="M572" s="13" t="inlineStr">
        <is>
          <t>Aplicar conforme monitoramento e estádio recomendado na bula (Nutrição Vegetal SIPEAGRO)</t>
        </is>
      </c>
    </row>
    <row r="573" ht="22" customHeight="1">
      <c r="A573" s="6" t="inlineStr">
        <is>
          <t>ALV-0569</t>
        </is>
      </c>
      <c r="B573" s="5" t="n">
        <v>301</v>
      </c>
      <c r="C573" s="7" t="inlineStr">
        <is>
          <t>Nº 16223</t>
        </is>
      </c>
      <c r="D573" s="8" t="inlineStr">
        <is>
          <t>GUNTER PRO 360</t>
        </is>
      </c>
      <c r="E573" s="7" t="inlineStr">
        <is>
          <t>Herbicida</t>
        </is>
      </c>
      <c r="F573" s="7" t="inlineStr">
        <is>
          <t>Capim-colchão</t>
        </is>
      </c>
      <c r="G573" s="7" t="inlineStr">
        <is>
          <t>Digitaria horizontalis</t>
        </is>
      </c>
      <c r="H573" s="7" t="inlineStr">
        <is>
          <t>NÃO</t>
        </is>
      </c>
      <c r="I573" s="17" t="n">
        <v>1.5</v>
      </c>
      <c r="J573" s="17" t="n">
        <v>2.5</v>
      </c>
      <c r="K573" s="7" t="inlineStr">
        <is>
          <t>L/ha</t>
        </is>
      </c>
      <c r="L573" s="9" t="n">
        <v>1</v>
      </c>
      <c r="M573" s="7" t="inlineStr">
        <is>
          <t>Aplicar conforme monitoramento e estádio recomendado na bula (HRAC Grupo F4 (13) — Inibidores da DOXP sintase)</t>
        </is>
      </c>
    </row>
    <row r="574" ht="22" customHeight="1">
      <c r="A574" s="12" t="inlineStr">
        <is>
          <t>ALV-0570</t>
        </is>
      </c>
      <c r="B574" s="11" t="n">
        <v>301</v>
      </c>
      <c r="C574" s="13" t="inlineStr">
        <is>
          <t>Nº 16223</t>
        </is>
      </c>
      <c r="D574" s="14" t="inlineStr">
        <is>
          <t>GUNTER PRO 360</t>
        </is>
      </c>
      <c r="E574" s="13" t="inlineStr">
        <is>
          <t>Herbicida</t>
        </is>
      </c>
      <c r="F574" s="13" t="inlineStr">
        <is>
          <t>Capim-marmelada</t>
        </is>
      </c>
      <c r="G574" s="13" t="inlineStr">
        <is>
          <t>Brachiaria plantaginea</t>
        </is>
      </c>
      <c r="H574" s="13" t="inlineStr">
        <is>
          <t>NÃO</t>
        </is>
      </c>
      <c r="I574" s="18" t="n">
        <v>1.5</v>
      </c>
      <c r="J574" s="18" t="n">
        <v>2.5</v>
      </c>
      <c r="K574" s="13" t="inlineStr">
        <is>
          <t>L/ha</t>
        </is>
      </c>
      <c r="L574" s="15" t="n">
        <v>1</v>
      </c>
      <c r="M574" s="13" t="inlineStr">
        <is>
          <t>Aplicar conforme monitoramento e estádio recomendado na bula (HRAC Grupo F4 (13) — Inibidores da DOXP sintase)</t>
        </is>
      </c>
    </row>
    <row r="575" ht="22" customHeight="1">
      <c r="A575" s="6" t="inlineStr">
        <is>
          <t>ALV-0571</t>
        </is>
      </c>
      <c r="B575" s="5" t="n">
        <v>301</v>
      </c>
      <c r="C575" s="7" t="inlineStr">
        <is>
          <t>Nº 16223</t>
        </is>
      </c>
      <c r="D575" s="8" t="inlineStr">
        <is>
          <t>GUNTER PRO 360</t>
        </is>
      </c>
      <c r="E575" s="7" t="inlineStr">
        <is>
          <t>Herbicida</t>
        </is>
      </c>
      <c r="F575" s="7" t="inlineStr">
        <is>
          <t>Capim-arroz</t>
        </is>
      </c>
      <c r="G575" s="7" t="inlineStr">
        <is>
          <t>Echinochloa crusgalli</t>
        </is>
      </c>
      <c r="H575" s="7" t="inlineStr">
        <is>
          <t>SIM (*)</t>
        </is>
      </c>
      <c r="I575" s="9" t="n">
        <v>1</v>
      </c>
      <c r="J575" s="9" t="n">
        <v>2</v>
      </c>
      <c r="K575" s="7" t="inlineStr">
        <is>
          <t>L/ha</t>
        </is>
      </c>
      <c r="L575" s="9" t="n">
        <v>1</v>
      </c>
      <c r="M575" s="7" t="inlineStr">
        <is>
          <t>Aplicar conforme monitoramento e estádio recomendado na bula (HRAC Grupo F4 (13) — Inibidores da DOXP sintase)</t>
        </is>
      </c>
    </row>
    <row r="576" ht="22" customHeight="1">
      <c r="A576" s="12" t="inlineStr">
        <is>
          <t>ALV-0572</t>
        </is>
      </c>
      <c r="B576" s="11" t="n">
        <v>302</v>
      </c>
      <c r="C576" s="13" t="inlineStr">
        <is>
          <t>SIPEAGRO (UF-XXXXX)</t>
        </is>
      </c>
      <c r="D576" s="14" t="inlineStr">
        <is>
          <t>AGCN MN+</t>
        </is>
      </c>
      <c r="E576" s="13" t="inlineStr">
        <is>
          <t>Fertilizante Foliar / Micronutrientes</t>
        </is>
      </c>
      <c r="F576" s="13" t="inlineStr">
        <is>
          <t>Nutrição e Correção de Deficiência Mineral</t>
        </is>
      </c>
      <c r="G576" s="13" t="inlineStr">
        <is>
          <t>Nutrição Vegetal</t>
        </is>
      </c>
      <c r="H576" s="13" t="inlineStr">
        <is>
          <t>NÃO</t>
        </is>
      </c>
      <c r="I576" s="15" t="n">
        <v>1</v>
      </c>
      <c r="J576" s="15" t="n">
        <v>250</v>
      </c>
      <c r="K576" s="13" t="inlineStr">
        <is>
          <t>kg ou L/ha</t>
        </is>
      </c>
      <c r="L576" s="15" t="n">
        <v>1</v>
      </c>
      <c r="M576" s="13" t="inlineStr">
        <is>
          <t>Aplicar conforme monitoramento e estádio recomendado na bula (Nutrição Vegetal SIPEAGRO)</t>
        </is>
      </c>
    </row>
    <row r="577" ht="22" customHeight="1">
      <c r="A577" s="6" t="inlineStr">
        <is>
          <t>ALV-0573</t>
        </is>
      </c>
      <c r="B577" s="5" t="n">
        <v>303</v>
      </c>
      <c r="C577" s="7" t="inlineStr">
        <is>
          <t>SIPEAGRO (UF-XXXXX)</t>
        </is>
      </c>
      <c r="D577" s="8" t="inlineStr">
        <is>
          <t>QUALY OCTOBORATO DE SODIO-E</t>
        </is>
      </c>
      <c r="E577" s="7" t="inlineStr">
        <is>
          <t>Fertilizante Mineral Simples (Potássico / Magnesiano)</t>
        </is>
      </c>
      <c r="F577" s="7" t="inlineStr">
        <is>
          <t>Nutrição e Correção de Deficiência Mineral</t>
        </is>
      </c>
      <c r="G577" s="7" t="inlineStr">
        <is>
          <t>Nutrição Vegetal</t>
        </is>
      </c>
      <c r="H577" s="7" t="inlineStr">
        <is>
          <t>NÃO</t>
        </is>
      </c>
      <c r="I577" s="9" t="n">
        <v>1</v>
      </c>
      <c r="J577" s="9" t="n">
        <v>250</v>
      </c>
      <c r="K577" s="7" t="inlineStr">
        <is>
          <t>kg ou L/ha</t>
        </is>
      </c>
      <c r="L577" s="9" t="n">
        <v>1</v>
      </c>
      <c r="M577" s="7" t="inlineStr">
        <is>
          <t>Aplicar conforme monitoramento e estádio recomendado na bula (Nutrição Vegetal SIPEAGRO)</t>
        </is>
      </c>
    </row>
    <row r="578" ht="22" customHeight="1">
      <c r="A578" s="12" t="inlineStr">
        <is>
          <t>ALV-0574</t>
        </is>
      </c>
      <c r="B578" s="11" t="n">
        <v>304</v>
      </c>
      <c r="C578" s="13" t="inlineStr">
        <is>
          <t>ISENTO (ATO 104/2017)</t>
        </is>
      </c>
      <c r="D578" s="14" t="inlineStr">
        <is>
          <t>FORMIATO DE POTASSIO 75%</t>
        </is>
      </c>
      <c r="E578" s="13" t="inlineStr">
        <is>
          <t>Sal Orgânico / Formiato Químico (Cap. 29)</t>
        </is>
      </c>
      <c r="F578" s="13" t="inlineStr">
        <is>
          <t>Estabilização Físico-Química e Tamponamento de Formulações</t>
        </is>
      </c>
      <c r="G578" s="13" t="inlineStr">
        <is>
          <t>Uso Industrial / Aditivo Tecnológico</t>
        </is>
      </c>
      <c r="H578" s="13" t="inlineStr">
        <is>
          <t>NÃO</t>
        </is>
      </c>
      <c r="I578" s="18" t="n">
        <v>0.1</v>
      </c>
      <c r="J578" s="15" t="n">
        <v>1</v>
      </c>
      <c r="K578" s="13" t="inlineStr">
        <is>
          <t>% m/m ou v/v</t>
        </is>
      </c>
      <c r="L578" s="15" t="n">
        <v>1</v>
      </c>
      <c r="M578" s="13" t="inlineStr">
        <is>
          <t>Utilizar conforme especificação técnica de formulação ou calda</t>
        </is>
      </c>
    </row>
    <row r="579" ht="22" customHeight="1">
      <c r="A579" s="6" t="inlineStr">
        <is>
          <t>ALV-0575</t>
        </is>
      </c>
      <c r="B579" s="5" t="n">
        <v>305</v>
      </c>
      <c r="C579" s="7" t="inlineStr">
        <is>
          <t>ISENTO (ATO 104/2017)</t>
        </is>
      </c>
      <c r="D579" s="8" t="inlineStr">
        <is>
          <t>FORMIATO DE CALCIO</t>
        </is>
      </c>
      <c r="E579" s="7" t="inlineStr">
        <is>
          <t>Sal Orgânico / Formiato Químico (Cap. 29)</t>
        </is>
      </c>
      <c r="F579" s="7" t="inlineStr">
        <is>
          <t>Estabilização Físico-Química e Tamponamento de Formulações</t>
        </is>
      </c>
      <c r="G579" s="7" t="inlineStr">
        <is>
          <t>Uso Industrial / Aditivo Tecnológico</t>
        </is>
      </c>
      <c r="H579" s="7" t="inlineStr">
        <is>
          <t>NÃO</t>
        </is>
      </c>
      <c r="I579" s="17" t="n">
        <v>0.1</v>
      </c>
      <c r="J579" s="9" t="n">
        <v>1</v>
      </c>
      <c r="K579" s="7" t="inlineStr">
        <is>
          <t>% m/m ou v/v</t>
        </is>
      </c>
      <c r="L579" s="9" t="n">
        <v>1</v>
      </c>
      <c r="M579" s="7" t="inlineStr">
        <is>
          <t>Utilizar conforme especificação técnica de formulação ou calda</t>
        </is>
      </c>
    </row>
    <row r="580" ht="22" customHeight="1">
      <c r="A580" s="12" t="inlineStr">
        <is>
          <t>ALV-0576</t>
        </is>
      </c>
      <c r="B580" s="11" t="n">
        <v>306</v>
      </c>
      <c r="C580" s="13" t="inlineStr">
        <is>
          <t>SIPEAGRO (UF-XXXXX)</t>
        </is>
      </c>
      <c r="D580" s="14" t="inlineStr">
        <is>
          <t>PREBIOTIC GL</t>
        </is>
      </c>
      <c r="E580" s="13" t="inlineStr">
        <is>
          <t>Fertilizante Organomineral / Bioestimulante</t>
        </is>
      </c>
      <c r="F580" s="13" t="inlineStr">
        <is>
          <t>Nutrição e Correção de Deficiência Mineral</t>
        </is>
      </c>
      <c r="G580" s="13" t="inlineStr">
        <is>
          <t>Nutrição Vegetal</t>
        </is>
      </c>
      <c r="H580" s="13" t="inlineStr">
        <is>
          <t>NÃO</t>
        </is>
      </c>
      <c r="I580" s="15" t="n">
        <v>1</v>
      </c>
      <c r="J580" s="15" t="n">
        <v>250</v>
      </c>
      <c r="K580" s="13" t="inlineStr">
        <is>
          <t>kg ou L/ha</t>
        </is>
      </c>
      <c r="L580" s="15" t="n">
        <v>1</v>
      </c>
      <c r="M580" s="13" t="inlineStr">
        <is>
          <t>Aplicar conforme monitoramento e estádio recomendado na bula (Nutrição Vegetal SIPEAGRO)</t>
        </is>
      </c>
    </row>
    <row r="581" ht="22" customHeight="1">
      <c r="A581" s="6" t="inlineStr">
        <is>
          <t>ALV-0577</t>
        </is>
      </c>
      <c r="B581" s="5" t="n">
        <v>307</v>
      </c>
      <c r="C581" s="7" t="inlineStr">
        <is>
          <t>SIPEAGRO (UF-XXXXX)</t>
        </is>
      </c>
      <c r="D581" s="8" t="inlineStr">
        <is>
          <t>SMARTSOIL WP</t>
        </is>
      </c>
      <c r="E581" s="7" t="inlineStr">
        <is>
          <t>Fertilizante Organomineral / Bioestimulante</t>
        </is>
      </c>
      <c r="F581" s="7" t="inlineStr">
        <is>
          <t>Nutrição e Correção de Deficiência Mineral</t>
        </is>
      </c>
      <c r="G581" s="7" t="inlineStr">
        <is>
          <t>Nutrição Vegetal</t>
        </is>
      </c>
      <c r="H581" s="7" t="inlineStr">
        <is>
          <t>NÃO</t>
        </is>
      </c>
      <c r="I581" s="9" t="n">
        <v>1</v>
      </c>
      <c r="J581" s="9" t="n">
        <v>250</v>
      </c>
      <c r="K581" s="7" t="inlineStr">
        <is>
          <t>kg ou L/ha</t>
        </is>
      </c>
      <c r="L581" s="9" t="n">
        <v>1</v>
      </c>
      <c r="M581" s="7" t="inlineStr">
        <is>
          <t>Aplicar conforme monitoramento e estádio recomendado na bula (Nutrição Vegetal SIPEAGRO)</t>
        </is>
      </c>
    </row>
    <row r="582" ht="22" customHeight="1">
      <c r="A582" s="12" t="inlineStr">
        <is>
          <t>ALV-0578</t>
        </is>
      </c>
      <c r="B582" s="11" t="n">
        <v>308</v>
      </c>
      <c r="C582" s="13" t="inlineStr">
        <is>
          <t>SIPEAGRO (UF-XXXXX)</t>
        </is>
      </c>
      <c r="D582" s="14" t="inlineStr">
        <is>
          <t>AGCN MANGANES</t>
        </is>
      </c>
      <c r="E582" s="13" t="inlineStr">
        <is>
          <t>Fertilizante Foliar / Micronutrientes</t>
        </is>
      </c>
      <c r="F582" s="13" t="inlineStr">
        <is>
          <t>Nutrição e Correção de Deficiência Mineral</t>
        </is>
      </c>
      <c r="G582" s="13" t="inlineStr">
        <is>
          <t>Nutrição Vegetal</t>
        </is>
      </c>
      <c r="H582" s="13" t="inlineStr">
        <is>
          <t>NÃO</t>
        </is>
      </c>
      <c r="I582" s="15" t="n">
        <v>1</v>
      </c>
      <c r="J582" s="15" t="n">
        <v>250</v>
      </c>
      <c r="K582" s="13" t="inlineStr">
        <is>
          <t>kg ou L/ha</t>
        </is>
      </c>
      <c r="L582" s="15" t="n">
        <v>1</v>
      </c>
      <c r="M582" s="13" t="inlineStr">
        <is>
          <t>Aplicar conforme monitoramento e estádio recomendado na bula (Nutrição Vegetal SIPEAGRO)</t>
        </is>
      </c>
    </row>
    <row r="583" ht="22" customHeight="1">
      <c r="A583" s="6" t="inlineStr">
        <is>
          <t>ALV-0579</t>
        </is>
      </c>
      <c r="B583" s="5" t="n">
        <v>309</v>
      </c>
      <c r="C583" s="7" t="inlineStr">
        <is>
          <t>Nº 11819</t>
        </is>
      </c>
      <c r="D583" s="8" t="inlineStr">
        <is>
          <t>MANCOZEB 800 WP AGCN</t>
        </is>
      </c>
      <c r="E583" s="7" t="inlineStr">
        <is>
          <t>Fungicida</t>
        </is>
      </c>
      <c r="F583" s="7" t="inlineStr">
        <is>
          <t>Ferrugem-asiática</t>
        </is>
      </c>
      <c r="G583" s="7" t="inlineStr">
        <is>
          <t>Phakopsora pachyrhizi</t>
        </is>
      </c>
      <c r="H583" s="7" t="inlineStr">
        <is>
          <t>NÃO</t>
        </is>
      </c>
      <c r="I583" s="17" t="n">
        <v>1.5</v>
      </c>
      <c r="J583" s="17" t="n">
        <v>2.5</v>
      </c>
      <c r="K583" s="7" t="inlineStr">
        <is>
          <t>kg/ha</t>
        </is>
      </c>
      <c r="L583" s="9" t="n">
        <v>1</v>
      </c>
      <c r="M583" s="7" t="inlineStr">
        <is>
          <t>Aplicar conforme monitoramento e estádio recomendado na bula (FRAC Grupo M03 — Multissítio)</t>
        </is>
      </c>
    </row>
    <row r="584" ht="22" customHeight="1">
      <c r="A584" s="12" t="inlineStr">
        <is>
          <t>ALV-0580</t>
        </is>
      </c>
      <c r="B584" s="11" t="n">
        <v>309</v>
      </c>
      <c r="C584" s="13" t="inlineStr">
        <is>
          <t>Nº 11819</t>
        </is>
      </c>
      <c r="D584" s="14" t="inlineStr">
        <is>
          <t>MANCOZEB 800 WP AGCN</t>
        </is>
      </c>
      <c r="E584" s="13" t="inlineStr">
        <is>
          <t>Fungicida</t>
        </is>
      </c>
      <c r="F584" s="13" t="inlineStr">
        <is>
          <t>Mancha-alvo</t>
        </is>
      </c>
      <c r="G584" s="13" t="inlineStr">
        <is>
          <t>Corynespora cassiicola</t>
        </is>
      </c>
      <c r="H584" s="13" t="inlineStr">
        <is>
          <t>NÃO</t>
        </is>
      </c>
      <c r="I584" s="18" t="n">
        <v>1.5</v>
      </c>
      <c r="J584" s="18" t="n">
        <v>2.5</v>
      </c>
      <c r="K584" s="13" t="inlineStr">
        <is>
          <t>kg/ha</t>
        </is>
      </c>
      <c r="L584" s="15" t="n">
        <v>1</v>
      </c>
      <c r="M584" s="13" t="inlineStr">
        <is>
          <t>Aplicar conforme monitoramento e estádio recomendado na bula (FRAC Grupo M03 — Multissítio)</t>
        </is>
      </c>
    </row>
    <row r="585" ht="22" customHeight="1">
      <c r="A585" s="6" t="inlineStr">
        <is>
          <t>ALV-0581</t>
        </is>
      </c>
      <c r="B585" s="5" t="n">
        <v>309</v>
      </c>
      <c r="C585" s="7" t="inlineStr">
        <is>
          <t>Nº 11819</t>
        </is>
      </c>
      <c r="D585" s="8" t="inlineStr">
        <is>
          <t>MANCOZEB 800 WP AGCN</t>
        </is>
      </c>
      <c r="E585" s="7" t="inlineStr">
        <is>
          <t>Fungicida</t>
        </is>
      </c>
      <c r="F585" s="7" t="inlineStr">
        <is>
          <t>Pinta-preta</t>
        </is>
      </c>
      <c r="G585" s="7" t="inlineStr">
        <is>
          <t>Alternaria solani</t>
        </is>
      </c>
      <c r="H585" s="7" t="inlineStr">
        <is>
          <t>NÃO</t>
        </is>
      </c>
      <c r="I585" s="9" t="n">
        <v>2</v>
      </c>
      <c r="J585" s="9" t="n">
        <v>3</v>
      </c>
      <c r="K585" s="7" t="inlineStr">
        <is>
          <t>kg/ha</t>
        </is>
      </c>
      <c r="L585" s="9" t="n">
        <v>1</v>
      </c>
      <c r="M585" s="7" t="inlineStr">
        <is>
          <t>Aplicar conforme monitoramento e estádio recomendado na bula (FRAC Grupo M03 — Multissítio)</t>
        </is>
      </c>
    </row>
    <row r="586" ht="22" customHeight="1">
      <c r="A586" s="12" t="inlineStr">
        <is>
          <t>ALV-0582</t>
        </is>
      </c>
      <c r="B586" s="11" t="n">
        <v>310</v>
      </c>
      <c r="C586" s="13" t="inlineStr">
        <is>
          <t>Nº 11819</t>
        </is>
      </c>
      <c r="D586" s="14" t="inlineStr">
        <is>
          <t>MANCOZEB 800 WP AGCN</t>
        </is>
      </c>
      <c r="E586" s="13" t="inlineStr">
        <is>
          <t>Fungicida</t>
        </is>
      </c>
      <c r="F586" s="13" t="inlineStr">
        <is>
          <t>Ferrugem-asiática</t>
        </is>
      </c>
      <c r="G586" s="13" t="inlineStr">
        <is>
          <t>Phakopsora pachyrhizi</t>
        </is>
      </c>
      <c r="H586" s="13" t="inlineStr">
        <is>
          <t>NÃO</t>
        </is>
      </c>
      <c r="I586" s="18" t="n">
        <v>1.5</v>
      </c>
      <c r="J586" s="18" t="n">
        <v>2.5</v>
      </c>
      <c r="K586" s="13" t="inlineStr">
        <is>
          <t>kg/ha</t>
        </is>
      </c>
      <c r="L586" s="15" t="n">
        <v>1</v>
      </c>
      <c r="M586" s="13" t="inlineStr">
        <is>
          <t>Aplicar conforme monitoramento e estádio recomendado na bula (FRAC Grupo M03 — Multissítio)</t>
        </is>
      </c>
    </row>
    <row r="587" ht="22" customHeight="1">
      <c r="A587" s="6" t="inlineStr">
        <is>
          <t>ALV-0583</t>
        </is>
      </c>
      <c r="B587" s="5" t="n">
        <v>310</v>
      </c>
      <c r="C587" s="7" t="inlineStr">
        <is>
          <t>Nº 11819</t>
        </is>
      </c>
      <c r="D587" s="8" t="inlineStr">
        <is>
          <t>MANCOZEB 800 WP AGCN</t>
        </is>
      </c>
      <c r="E587" s="7" t="inlineStr">
        <is>
          <t>Fungicida</t>
        </is>
      </c>
      <c r="F587" s="7" t="inlineStr">
        <is>
          <t>Mancha-alvo</t>
        </is>
      </c>
      <c r="G587" s="7" t="inlineStr">
        <is>
          <t>Corynespora cassiicola</t>
        </is>
      </c>
      <c r="H587" s="7" t="inlineStr">
        <is>
          <t>NÃO</t>
        </is>
      </c>
      <c r="I587" s="17" t="n">
        <v>1.5</v>
      </c>
      <c r="J587" s="17" t="n">
        <v>2.5</v>
      </c>
      <c r="K587" s="7" t="inlineStr">
        <is>
          <t>kg/ha</t>
        </is>
      </c>
      <c r="L587" s="9" t="n">
        <v>1</v>
      </c>
      <c r="M587" s="7" t="inlineStr">
        <is>
          <t>Aplicar conforme monitoramento e estádio recomendado na bula (FRAC Grupo M03 — Multissítio)</t>
        </is>
      </c>
    </row>
    <row r="588" ht="22" customHeight="1">
      <c r="A588" s="12" t="inlineStr">
        <is>
          <t>ALV-0584</t>
        </is>
      </c>
      <c r="B588" s="11" t="n">
        <v>310</v>
      </c>
      <c r="C588" s="13" t="inlineStr">
        <is>
          <t>Nº 11819</t>
        </is>
      </c>
      <c r="D588" s="14" t="inlineStr">
        <is>
          <t>MANCOZEB 800 WP AGCN</t>
        </is>
      </c>
      <c r="E588" s="13" t="inlineStr">
        <is>
          <t>Fungicida</t>
        </is>
      </c>
      <c r="F588" s="13" t="inlineStr">
        <is>
          <t>Pinta-preta</t>
        </is>
      </c>
      <c r="G588" s="13" t="inlineStr">
        <is>
          <t>Alternaria solani</t>
        </is>
      </c>
      <c r="H588" s="13" t="inlineStr">
        <is>
          <t>NÃO</t>
        </is>
      </c>
      <c r="I588" s="15" t="n">
        <v>2</v>
      </c>
      <c r="J588" s="15" t="n">
        <v>3</v>
      </c>
      <c r="K588" s="13" t="inlineStr">
        <is>
          <t>kg/ha</t>
        </is>
      </c>
      <c r="L588" s="15" t="n">
        <v>1</v>
      </c>
      <c r="M588" s="13" t="inlineStr">
        <is>
          <t>Aplicar conforme monitoramento e estádio recomendado na bula (FRAC Grupo M03 — Multissítio)</t>
        </is>
      </c>
    </row>
    <row r="589" ht="22" customHeight="1">
      <c r="A589" s="6" t="inlineStr">
        <is>
          <t>ALV-0585</t>
        </is>
      </c>
      <c r="B589" s="5" t="n">
        <v>311</v>
      </c>
      <c r="C589" s="7" t="inlineStr">
        <is>
          <t>ISENTO (ATO 104/2017)</t>
        </is>
      </c>
      <c r="D589" s="8" t="inlineStr">
        <is>
          <t>AGRICOIL MINERAL YPF 100</t>
        </is>
      </c>
      <c r="E589" s="7" t="inlineStr">
        <is>
          <t>Óleo Mineral Adjuvante</t>
        </is>
      </c>
      <c r="F589" s="7" t="inlineStr">
        <is>
          <t>Otimização de Gota, Espalhamento e Redução de Deriva</t>
        </is>
      </c>
      <c r="G589" s="7" t="inlineStr">
        <is>
          <t>Tecnologia de Aplicação</t>
        </is>
      </c>
      <c r="H589" s="7" t="inlineStr">
        <is>
          <t>NÃO</t>
        </is>
      </c>
      <c r="I589" s="17" t="n">
        <v>0.25</v>
      </c>
      <c r="J589" s="9" t="n">
        <v>1</v>
      </c>
      <c r="K589" s="7" t="inlineStr">
        <is>
          <t>% v/v na calda</t>
        </is>
      </c>
      <c r="L589" s="9" t="n">
        <v>1</v>
      </c>
      <c r="M589" s="7" t="inlineStr">
        <is>
          <t>Aplicar conforme monitoramento e estádio recomendado na bula (Adjuvante Tecnológico de Pulverização)</t>
        </is>
      </c>
    </row>
    <row r="590" ht="22" customHeight="1">
      <c r="A590" s="12" t="inlineStr">
        <is>
          <t>ALV-0586</t>
        </is>
      </c>
      <c r="B590" s="11" t="n">
        <v>312</v>
      </c>
      <c r="C590" s="13" t="inlineStr">
        <is>
          <t>SIPEAGRO (UF-XXXXX)</t>
        </is>
      </c>
      <c r="D590" s="14" t="inlineStr">
        <is>
          <t>AGCN K20-10,0% MG-2,0% S-11, 5% NI-0,4% (AMOSTRA)</t>
        </is>
      </c>
      <c r="E590" s="13" t="inlineStr">
        <is>
          <t>Fertilizante Foliar / Micronutrientes</t>
        </is>
      </c>
      <c r="F590" s="13" t="inlineStr">
        <is>
          <t>Nutrição e Correção de Deficiência Mineral</t>
        </is>
      </c>
      <c r="G590" s="13" t="inlineStr">
        <is>
          <t>Nutrição Vegetal</t>
        </is>
      </c>
      <c r="H590" s="13" t="inlineStr">
        <is>
          <t>NÃO</t>
        </is>
      </c>
      <c r="I590" s="15" t="n">
        <v>1</v>
      </c>
      <c r="J590" s="15" t="n">
        <v>250</v>
      </c>
      <c r="K590" s="13" t="inlineStr">
        <is>
          <t>kg ou L/ha</t>
        </is>
      </c>
      <c r="L590" s="15" t="n">
        <v>1</v>
      </c>
      <c r="M590" s="13" t="inlineStr">
        <is>
          <t>Aplicar conforme monitoramento e estádio recomendado na bula (Nutrição Vegetal SIPEAGRO)</t>
        </is>
      </c>
    </row>
    <row r="591" ht="22" customHeight="1">
      <c r="A591" s="6" t="inlineStr">
        <is>
          <t>ALV-0587</t>
        </is>
      </c>
      <c r="B591" s="5" t="n">
        <v>313</v>
      </c>
      <c r="C591" s="7" t="inlineStr">
        <is>
          <t>Nº 18220</t>
        </is>
      </c>
      <c r="D591" s="8" t="inlineStr">
        <is>
          <t>TORA</t>
        </is>
      </c>
      <c r="E591" s="7" t="inlineStr">
        <is>
          <t>Inseticida</t>
        </is>
      </c>
      <c r="F591" s="7" t="inlineStr">
        <is>
          <t>Complexo de Lagartas, Percevejos e Sugadores</t>
        </is>
      </c>
      <c r="G591" s="7" t="inlineStr">
        <is>
          <t>Spodoptera / Euschistus / Bemisia</t>
        </is>
      </c>
      <c r="H591" s="7" t="inlineStr">
        <is>
          <t>NÃO</t>
        </is>
      </c>
      <c r="I591" s="17" t="n">
        <v>0.15</v>
      </c>
      <c r="J591" s="9" t="n">
        <v>1</v>
      </c>
      <c r="K591" s="7" t="inlineStr">
        <is>
          <t>L ou kg/ha</t>
        </is>
      </c>
      <c r="L591" s="9" t="n">
        <v>1</v>
      </c>
      <c r="M591" s="7" t="inlineStr">
        <is>
          <t>Aplicar conforme monitoramento e estádio recomendado na bula (Classificação IRAC Oficial conforme Bula)</t>
        </is>
      </c>
    </row>
    <row r="592" ht="22" customHeight="1">
      <c r="A592" s="12" t="inlineStr">
        <is>
          <t>ALV-0588</t>
        </is>
      </c>
      <c r="B592" s="11" t="n">
        <v>314</v>
      </c>
      <c r="C592" s="13" t="inlineStr">
        <is>
          <t>Nº 1924</t>
        </is>
      </c>
      <c r="D592" s="14" t="inlineStr">
        <is>
          <t>FORCEPS</t>
        </is>
      </c>
      <c r="E592" s="13" t="inlineStr">
        <is>
          <t>Inseticida</t>
        </is>
      </c>
      <c r="F592" s="13" t="inlineStr">
        <is>
          <t>Bicudo-do-algodoeiro</t>
        </is>
      </c>
      <c r="G592" s="13" t="inlineStr">
        <is>
          <t>Anthonomus grandis</t>
        </is>
      </c>
      <c r="H592" s="13" t="inlineStr">
        <is>
          <t>NÃO</t>
        </is>
      </c>
      <c r="I592" s="18" t="n">
        <v>0.15</v>
      </c>
      <c r="J592" s="18" t="n">
        <v>0.25</v>
      </c>
      <c r="K592" s="13" t="inlineStr">
        <is>
          <t>L/ha</t>
        </is>
      </c>
      <c r="L592" s="15" t="n">
        <v>1</v>
      </c>
      <c r="M592" s="13" t="inlineStr">
        <is>
          <t>Aplicar conforme monitoramento e estádio recomendado na bula (IRAC Grupo 3A)</t>
        </is>
      </c>
    </row>
    <row r="593" ht="22" customHeight="1">
      <c r="A593" s="6" t="inlineStr">
        <is>
          <t>ALV-0589</t>
        </is>
      </c>
      <c r="B593" s="5" t="n">
        <v>314</v>
      </c>
      <c r="C593" s="7" t="inlineStr">
        <is>
          <t>Nº 1924</t>
        </is>
      </c>
      <c r="D593" s="8" t="inlineStr">
        <is>
          <t>FORCEPS</t>
        </is>
      </c>
      <c r="E593" s="7" t="inlineStr">
        <is>
          <t>Inseticida</t>
        </is>
      </c>
      <c r="F593" s="7" t="inlineStr">
        <is>
          <t>Mosca-branca</t>
        </is>
      </c>
      <c r="G593" s="7" t="inlineStr">
        <is>
          <t>Bemisia tabaci raça B</t>
        </is>
      </c>
      <c r="H593" s="7" t="inlineStr">
        <is>
          <t>SIM (*)</t>
        </is>
      </c>
      <c r="I593" s="17" t="n">
        <v>0.125</v>
      </c>
      <c r="J593" s="17" t="n">
        <v>0.25</v>
      </c>
      <c r="K593" s="7" t="inlineStr">
        <is>
          <t>L/ha</t>
        </is>
      </c>
      <c r="L593" s="9" t="n">
        <v>1</v>
      </c>
      <c r="M593" s="7" t="inlineStr">
        <is>
          <t>Aplicar conforme monitoramento e estádio recomendado na bula (IRAC Grupo 3A)</t>
        </is>
      </c>
    </row>
    <row r="594" ht="22" customHeight="1">
      <c r="A594" s="12" t="inlineStr">
        <is>
          <t>ALV-0590</t>
        </is>
      </c>
      <c r="B594" s="11" t="n">
        <v>314</v>
      </c>
      <c r="C594" s="13" t="inlineStr">
        <is>
          <t>Nº 1924</t>
        </is>
      </c>
      <c r="D594" s="14" t="inlineStr">
        <is>
          <t>FORCEPS</t>
        </is>
      </c>
      <c r="E594" s="13" t="inlineStr">
        <is>
          <t>Inseticida</t>
        </is>
      </c>
      <c r="F594" s="13" t="inlineStr">
        <is>
          <t>Ácaro-rajado</t>
        </is>
      </c>
      <c r="G594" s="13" t="inlineStr">
        <is>
          <t>Tetranychus urticae</t>
        </is>
      </c>
      <c r="H594" s="13" t="inlineStr">
        <is>
          <t>SIM (*)</t>
        </is>
      </c>
      <c r="I594" s="18" t="n">
        <v>0.15</v>
      </c>
      <c r="J594" s="18" t="n">
        <v>0.2</v>
      </c>
      <c r="K594" s="13" t="inlineStr">
        <is>
          <t>L/ha</t>
        </is>
      </c>
      <c r="L594" s="15" t="n">
        <v>1</v>
      </c>
      <c r="M594" s="13" t="inlineStr">
        <is>
          <t>Aplicar conforme monitoramento e estádio recomendado na bula (IRAC Grupo 3A)</t>
        </is>
      </c>
    </row>
    <row r="595" ht="22" customHeight="1">
      <c r="A595" s="6" t="inlineStr">
        <is>
          <t>ALV-0591</t>
        </is>
      </c>
      <c r="B595" s="5" t="n">
        <v>315</v>
      </c>
      <c r="C595" s="7" t="inlineStr">
        <is>
          <t>Nº 2721</t>
        </is>
      </c>
      <c r="D595" s="8" t="inlineStr">
        <is>
          <t>CLETODIM 240 EC PROVENTIS</t>
        </is>
      </c>
      <c r="E595" s="7" t="inlineStr">
        <is>
          <t>Herbicida</t>
        </is>
      </c>
      <c r="F595" s="7" t="inlineStr">
        <is>
          <t>Capim-amargoso</t>
        </is>
      </c>
      <c r="G595" s="7" t="inlineStr">
        <is>
          <t>Digitaria insularis</t>
        </is>
      </c>
      <c r="H595" s="7" t="inlineStr">
        <is>
          <t>SIM (*)</t>
        </is>
      </c>
      <c r="I595" s="17" t="n">
        <v>0.45</v>
      </c>
      <c r="J595" s="17" t="n">
        <v>0.85</v>
      </c>
      <c r="K595" s="7" t="inlineStr">
        <is>
          <t>L/ha</t>
        </is>
      </c>
      <c r="L595" s="9" t="n">
        <v>1</v>
      </c>
      <c r="M595" s="7" t="inlineStr">
        <is>
          <t>Aplicar conforme monitoramento e estádio recomendado na bula (HRAC Grupo A (1) — Inibidores da ACCase)</t>
        </is>
      </c>
    </row>
    <row r="596" ht="22" customHeight="1">
      <c r="A596" s="12" t="inlineStr">
        <is>
          <t>ALV-0592</t>
        </is>
      </c>
      <c r="B596" s="11" t="n">
        <v>315</v>
      </c>
      <c r="C596" s="13" t="inlineStr">
        <is>
          <t>Nº 2721</t>
        </is>
      </c>
      <c r="D596" s="14" t="inlineStr">
        <is>
          <t>CLETODIM 240 EC PROVENTIS</t>
        </is>
      </c>
      <c r="E596" s="13" t="inlineStr">
        <is>
          <t>Herbicida</t>
        </is>
      </c>
      <c r="F596" s="13" t="inlineStr">
        <is>
          <t>Capim-pé-de-galinha</t>
        </is>
      </c>
      <c r="G596" s="13" t="inlineStr">
        <is>
          <t>Eleusine indica</t>
        </is>
      </c>
      <c r="H596" s="13" t="inlineStr">
        <is>
          <t>SIM (*)</t>
        </is>
      </c>
      <c r="I596" s="18" t="n">
        <v>0.35</v>
      </c>
      <c r="J596" s="18" t="n">
        <v>0.45</v>
      </c>
      <c r="K596" s="13" t="inlineStr">
        <is>
          <t>L/ha</t>
        </is>
      </c>
      <c r="L596" s="15" t="n">
        <v>1</v>
      </c>
      <c r="M596" s="13" t="inlineStr">
        <is>
          <t>Aplicar conforme monitoramento e estádio recomendado na bula (HRAC Grupo A (1) — Inibidores da ACCase)</t>
        </is>
      </c>
    </row>
    <row r="597" ht="22" customHeight="1">
      <c r="A597" s="6" t="inlineStr">
        <is>
          <t>ALV-0593</t>
        </is>
      </c>
      <c r="B597" s="5" t="n">
        <v>315</v>
      </c>
      <c r="C597" s="7" t="inlineStr">
        <is>
          <t>Nº 2721</t>
        </is>
      </c>
      <c r="D597" s="8" t="inlineStr">
        <is>
          <t>CLETODIM 240 EC PROVENTIS</t>
        </is>
      </c>
      <c r="E597" s="7" t="inlineStr">
        <is>
          <t>Herbicida</t>
        </is>
      </c>
      <c r="F597" s="7" t="inlineStr">
        <is>
          <t>Milho-voluntário (Tiguera)</t>
        </is>
      </c>
      <c r="G597" s="7" t="inlineStr">
        <is>
          <t>Zea mays</t>
        </is>
      </c>
      <c r="H597" s="7" t="inlineStr">
        <is>
          <t>NÃO</t>
        </is>
      </c>
      <c r="I597" s="17" t="n">
        <v>0.4</v>
      </c>
      <c r="J597" s="17" t="n">
        <v>0.6</v>
      </c>
      <c r="K597" s="7" t="inlineStr">
        <is>
          <t>L/ha</t>
        </is>
      </c>
      <c r="L597" s="9" t="n">
        <v>1</v>
      </c>
      <c r="M597" s="7" t="inlineStr">
        <is>
          <t>Aplicar conforme monitoramento e estádio recomendado na bula (HRAC Grupo A (1) — Inibidores da ACCase)</t>
        </is>
      </c>
    </row>
    <row r="598" ht="22" customHeight="1">
      <c r="A598" s="12" t="inlineStr">
        <is>
          <t>ALV-0594</t>
        </is>
      </c>
      <c r="B598" s="11" t="n">
        <v>316</v>
      </c>
      <c r="C598" s="13" t="inlineStr">
        <is>
          <t>ISENTO (ATO 104/2017)</t>
        </is>
      </c>
      <c r="D598" s="14" t="inlineStr">
        <is>
          <t>AGRICOIL VEGETAL MV</t>
        </is>
      </c>
      <c r="E598" s="13" t="inlineStr">
        <is>
          <t>Óleo Vegetal / Éster Metílico / D-Limoneno Adjuvante</t>
        </is>
      </c>
      <c r="F598" s="13" t="inlineStr">
        <is>
          <t>Otimização de Gota, Espalhamento e Redução de Deriva</t>
        </is>
      </c>
      <c r="G598" s="13" t="inlineStr">
        <is>
          <t>Tecnologia de Aplicação</t>
        </is>
      </c>
      <c r="H598" s="13" t="inlineStr">
        <is>
          <t>NÃO</t>
        </is>
      </c>
      <c r="I598" s="18" t="n">
        <v>0.25</v>
      </c>
      <c r="J598" s="15" t="n">
        <v>1</v>
      </c>
      <c r="K598" s="13" t="inlineStr">
        <is>
          <t>% v/v na calda</t>
        </is>
      </c>
      <c r="L598" s="15" t="n">
        <v>1</v>
      </c>
      <c r="M598" s="13" t="inlineStr">
        <is>
          <t>Aplicar conforme monitoramento e estádio recomendado na bula (Adjuvante Tecnológico de Pulverização)</t>
        </is>
      </c>
    </row>
    <row r="599" ht="22" customHeight="1">
      <c r="A599" s="6" t="inlineStr">
        <is>
          <t>ALV-0595</t>
        </is>
      </c>
      <c r="B599" s="5" t="n">
        <v>317</v>
      </c>
      <c r="C599" s="7" t="inlineStr">
        <is>
          <t>Nº 27717</t>
        </is>
      </c>
      <c r="D599" s="8" t="inlineStr">
        <is>
          <t>FIPRONIL 800 WG AGCN</t>
        </is>
      </c>
      <c r="E599" s="7" t="inlineStr">
        <is>
          <t>Inseticida e Cupinicida (Fipronil)</t>
        </is>
      </c>
      <c r="F599" s="7" t="inlineStr">
        <is>
          <t>Coró</t>
        </is>
      </c>
      <c r="G599" s="7" t="inlineStr">
        <is>
          <t>Phyllophaga cuyabana</t>
        </is>
      </c>
      <c r="H599" s="7" t="inlineStr">
        <is>
          <t>NÃO</t>
        </is>
      </c>
      <c r="I599" s="17" t="n">
        <v>0.1</v>
      </c>
      <c r="J599" s="17" t="n">
        <v>0.2</v>
      </c>
      <c r="K599" s="7" t="inlineStr">
        <is>
          <t>L/100kg sem.</t>
        </is>
      </c>
      <c r="L599" s="9" t="n">
        <v>1</v>
      </c>
      <c r="M599" s="7" t="inlineStr">
        <is>
          <t>Aplicar conforme monitoramento e estádio recomendado na bula (IRAC Grupo 2B)</t>
        </is>
      </c>
    </row>
    <row r="600" ht="22" customHeight="1">
      <c r="A600" s="12" t="inlineStr">
        <is>
          <t>ALV-0596</t>
        </is>
      </c>
      <c r="B600" s="11" t="n">
        <v>317</v>
      </c>
      <c r="C600" s="13" t="inlineStr">
        <is>
          <t>Nº 27717</t>
        </is>
      </c>
      <c r="D600" s="14" t="inlineStr">
        <is>
          <t>FIPRONIL 800 WG AGCN</t>
        </is>
      </c>
      <c r="E600" s="13" t="inlineStr">
        <is>
          <t>Inseticida e Cupinicida (Fipronil)</t>
        </is>
      </c>
      <c r="F600" s="13" t="inlineStr">
        <is>
          <t>Lagarta-elasmo</t>
        </is>
      </c>
      <c r="G600" s="13" t="inlineStr">
        <is>
          <t>Elasmopalpus lignosellus</t>
        </is>
      </c>
      <c r="H600" s="13" t="inlineStr">
        <is>
          <t>NÃO</t>
        </is>
      </c>
      <c r="I600" s="18" t="n">
        <v>0.1</v>
      </c>
      <c r="J600" s="18" t="n">
        <v>0.2</v>
      </c>
      <c r="K600" s="13" t="inlineStr">
        <is>
          <t>L/100kg sem.</t>
        </is>
      </c>
      <c r="L600" s="15" t="n">
        <v>1</v>
      </c>
      <c r="M600" s="13" t="inlineStr">
        <is>
          <t>Aplicar conforme monitoramento e estádio recomendado na bula (IRAC Grupo 2B)</t>
        </is>
      </c>
    </row>
    <row r="601" ht="22" customHeight="1">
      <c r="A601" s="6" t="inlineStr">
        <is>
          <t>ALV-0597</t>
        </is>
      </c>
      <c r="B601" s="5" t="n">
        <v>317</v>
      </c>
      <c r="C601" s="7" t="inlineStr">
        <is>
          <t>Nº 27717</t>
        </is>
      </c>
      <c r="D601" s="8" t="inlineStr">
        <is>
          <t>FIPRONIL 800 WG AGCN</t>
        </is>
      </c>
      <c r="E601" s="7" t="inlineStr">
        <is>
          <t>Inseticida e Cupinicida (Fipronil)</t>
        </is>
      </c>
      <c r="F601" s="7" t="inlineStr">
        <is>
          <t>Cupim-de-montículo</t>
        </is>
      </c>
      <c r="G601" s="7" t="inlineStr">
        <is>
          <t>Procornitermes triacifer</t>
        </is>
      </c>
      <c r="H601" s="7" t="inlineStr">
        <is>
          <t>NÃO</t>
        </is>
      </c>
      <c r="I601" s="17" t="n">
        <v>0.05</v>
      </c>
      <c r="J601" s="17" t="n">
        <v>0.2</v>
      </c>
      <c r="K601" s="7" t="inlineStr">
        <is>
          <t>kg ou L/ha</t>
        </is>
      </c>
      <c r="L601" s="9" t="n">
        <v>1</v>
      </c>
      <c r="M601" s="7" t="inlineStr">
        <is>
          <t>Aplicar conforme monitoramento e estádio recomendado na bula (IRAC Grupo 2B)</t>
        </is>
      </c>
    </row>
    <row r="602" ht="22" customHeight="1">
      <c r="A602" s="12" t="inlineStr">
        <is>
          <t>ALV-0598</t>
        </is>
      </c>
      <c r="B602" s="11" t="n">
        <v>318</v>
      </c>
      <c r="C602" s="13" t="inlineStr">
        <is>
          <t>SIPEAGRO (UF-XXXXX)</t>
        </is>
      </c>
      <c r="D602" s="14" t="inlineStr">
        <is>
          <t>QUALY SULFATO MAGNESIO 16 - E</t>
        </is>
      </c>
      <c r="E602" s="13" t="inlineStr">
        <is>
          <t>Fertilizante Mineral Simples (Potássico / Magnesiano)</t>
        </is>
      </c>
      <c r="F602" s="13" t="inlineStr">
        <is>
          <t>Nutrição e Correção de Deficiência Mineral</t>
        </is>
      </c>
      <c r="G602" s="13" t="inlineStr">
        <is>
          <t>Nutrição Vegetal</t>
        </is>
      </c>
      <c r="H602" s="13" t="inlineStr">
        <is>
          <t>NÃO</t>
        </is>
      </c>
      <c r="I602" s="15" t="n">
        <v>1</v>
      </c>
      <c r="J602" s="15" t="n">
        <v>250</v>
      </c>
      <c r="K602" s="13" t="inlineStr">
        <is>
          <t>kg ou L/ha</t>
        </is>
      </c>
      <c r="L602" s="15" t="n">
        <v>1</v>
      </c>
      <c r="M602" s="13" t="inlineStr">
        <is>
          <t>Aplicar conforme monitoramento e estádio recomendado na bula (Nutrição Vegetal SIPEAGRO)</t>
        </is>
      </c>
    </row>
    <row r="603" ht="22" customHeight="1">
      <c r="A603" s="6" t="inlineStr">
        <is>
          <t>ALV-0599</t>
        </is>
      </c>
      <c r="B603" s="5" t="n">
        <v>319</v>
      </c>
      <c r="C603" s="7" t="inlineStr">
        <is>
          <t>Nº 12621</t>
        </is>
      </c>
      <c r="D603" s="8" t="inlineStr">
        <is>
          <t>NADRAN 250</t>
        </is>
      </c>
      <c r="E603" s="7" t="inlineStr">
        <is>
          <t>Regulador de Crescimento</t>
        </is>
      </c>
      <c r="F603" s="7" t="inlineStr">
        <is>
          <t>Maturador de Cana-de-Açúcar e Redutor de Acamamento em Trigo/Cevada</t>
        </is>
      </c>
      <c r="G603" s="7" t="inlineStr">
        <is>
          <t>Saccharum officinarum / Triticum aestivum (Manejo Fisiológico)</t>
        </is>
      </c>
      <c r="H603" s="7" t="inlineStr">
        <is>
          <t>NÃO</t>
        </is>
      </c>
      <c r="I603" s="17" t="n">
        <v>0.4</v>
      </c>
      <c r="J603" s="17" t="n">
        <v>1.2</v>
      </c>
      <c r="K603" s="7" t="inlineStr">
        <is>
          <t>L/ha</t>
        </is>
      </c>
      <c r="L603" s="9" t="n">
        <v>1</v>
      </c>
      <c r="M603" s="7" t="inlineStr">
        <is>
          <t>Aplicar para incremento de sacarose (ATR) em cana ou redução de entrenós em cereais de inverno</t>
        </is>
      </c>
    </row>
    <row r="604" ht="22" customHeight="1">
      <c r="A604" s="12" t="inlineStr">
        <is>
          <t>ALV-0600</t>
        </is>
      </c>
      <c r="B604" s="11" t="n">
        <v>320</v>
      </c>
      <c r="C604" s="13" t="inlineStr">
        <is>
          <t>Nº 7723</t>
        </is>
      </c>
      <c r="D604" s="14" t="inlineStr">
        <is>
          <t>ALVOFIX</t>
        </is>
      </c>
      <c r="E604" s="13" t="inlineStr">
        <is>
          <t>Inseticida e Acaricida</t>
        </is>
      </c>
      <c r="F604" s="13" t="inlineStr">
        <is>
          <t>Bicudo-do-algodoeiro</t>
        </is>
      </c>
      <c r="G604" s="13" t="inlineStr">
        <is>
          <t>Anthonomus grandis</t>
        </is>
      </c>
      <c r="H604" s="13" t="inlineStr">
        <is>
          <t>NÃO</t>
        </is>
      </c>
      <c r="I604" s="18" t="n">
        <v>0.15</v>
      </c>
      <c r="J604" s="18" t="n">
        <v>0.25</v>
      </c>
      <c r="K604" s="13" t="inlineStr">
        <is>
          <t>L/ha</t>
        </is>
      </c>
      <c r="L604" s="15" t="n">
        <v>1</v>
      </c>
      <c r="M604" s="13" t="inlineStr">
        <is>
          <t>Aplicar conforme monitoramento e estádio recomendado na bula (IRAC Grupo 3A)</t>
        </is>
      </c>
    </row>
    <row r="605" ht="22" customHeight="1">
      <c r="A605" s="6" t="inlineStr">
        <is>
          <t>ALV-0601</t>
        </is>
      </c>
      <c r="B605" s="5" t="n">
        <v>320</v>
      </c>
      <c r="C605" s="7" t="inlineStr">
        <is>
          <t>Nº 7723</t>
        </is>
      </c>
      <c r="D605" s="8" t="inlineStr">
        <is>
          <t>ALVOFIX</t>
        </is>
      </c>
      <c r="E605" s="7" t="inlineStr">
        <is>
          <t>Inseticida e Acaricida</t>
        </is>
      </c>
      <c r="F605" s="7" t="inlineStr">
        <is>
          <t>Mosca-branca</t>
        </is>
      </c>
      <c r="G605" s="7" t="inlineStr">
        <is>
          <t>Bemisia tabaci raça B</t>
        </is>
      </c>
      <c r="H605" s="7" t="inlineStr">
        <is>
          <t>SIM (*)</t>
        </is>
      </c>
      <c r="I605" s="17" t="n">
        <v>0.125</v>
      </c>
      <c r="J605" s="17" t="n">
        <v>0.25</v>
      </c>
      <c r="K605" s="7" t="inlineStr">
        <is>
          <t>L/ha</t>
        </is>
      </c>
      <c r="L605" s="9" t="n">
        <v>1</v>
      </c>
      <c r="M605" s="7" t="inlineStr">
        <is>
          <t>Aplicar conforme monitoramento e estádio recomendado na bula (IRAC Grupo 3A)</t>
        </is>
      </c>
    </row>
    <row r="606" ht="22" customHeight="1">
      <c r="A606" s="12" t="inlineStr">
        <is>
          <t>ALV-0602</t>
        </is>
      </c>
      <c r="B606" s="11" t="n">
        <v>320</v>
      </c>
      <c r="C606" s="13" t="inlineStr">
        <is>
          <t>Nº 7723</t>
        </is>
      </c>
      <c r="D606" s="14" t="inlineStr">
        <is>
          <t>ALVOFIX</t>
        </is>
      </c>
      <c r="E606" s="13" t="inlineStr">
        <is>
          <t>Inseticida e Acaricida</t>
        </is>
      </c>
      <c r="F606" s="13" t="inlineStr">
        <is>
          <t>Ácaro-rajado</t>
        </is>
      </c>
      <c r="G606" s="13" t="inlineStr">
        <is>
          <t>Tetranychus urticae</t>
        </is>
      </c>
      <c r="H606" s="13" t="inlineStr">
        <is>
          <t>SIM (*)</t>
        </is>
      </c>
      <c r="I606" s="18" t="n">
        <v>0.15</v>
      </c>
      <c r="J606" s="18" t="n">
        <v>0.2</v>
      </c>
      <c r="K606" s="13" t="inlineStr">
        <is>
          <t>L/ha</t>
        </is>
      </c>
      <c r="L606" s="15" t="n">
        <v>1</v>
      </c>
      <c r="M606" s="13" t="inlineStr">
        <is>
          <t>Aplicar conforme monitoramento e estádio recomendado na bula (IRAC Grupo 3A)</t>
        </is>
      </c>
    </row>
    <row r="607" ht="22" customHeight="1">
      <c r="A607" s="6" t="inlineStr">
        <is>
          <t>ALV-0603</t>
        </is>
      </c>
      <c r="B607" s="5" t="n">
        <v>321</v>
      </c>
      <c r="C607" s="7" t="inlineStr">
        <is>
          <t>SIPEAGRO (UF-XXXXX)</t>
        </is>
      </c>
      <c r="D607" s="8" t="inlineStr">
        <is>
          <t>BIOLOGIC NEMA</t>
        </is>
      </c>
      <c r="E607" s="7" t="inlineStr">
        <is>
          <t>Bionematicida (Biológico)</t>
        </is>
      </c>
      <c r="F607" s="7" t="inlineStr">
        <is>
          <t>Nematoide-das-lesões</t>
        </is>
      </c>
      <c r="G607" s="7" t="inlineStr">
        <is>
          <t>Pratylenchus brachyurus</t>
        </is>
      </c>
      <c r="H607" s="7" t="inlineStr">
        <is>
          <t>NÃO</t>
        </is>
      </c>
      <c r="I607" s="17" t="n">
        <v>0.2</v>
      </c>
      <c r="J607" s="9" t="n">
        <v>1</v>
      </c>
      <c r="K607" s="7" t="inlineStr">
        <is>
          <t>L/ha</t>
        </is>
      </c>
      <c r="L607" s="9" t="n">
        <v>1</v>
      </c>
      <c r="M607" s="7" t="inlineStr">
        <is>
          <t>Aplicar conforme monitoramento e estádio recomendado na bula (FRAC Grupo BM02 / IRAC Grupo 11A / Bioinsumo)</t>
        </is>
      </c>
    </row>
    <row r="608" ht="22" customHeight="1">
      <c r="A608" s="12" t="inlineStr">
        <is>
          <t>ALV-0604</t>
        </is>
      </c>
      <c r="B608" s="11" t="n">
        <v>321</v>
      </c>
      <c r="C608" s="13" t="inlineStr">
        <is>
          <t>SIPEAGRO (UF-XXXXX)</t>
        </is>
      </c>
      <c r="D608" s="14" t="inlineStr">
        <is>
          <t>BIOLOGIC NEMA</t>
        </is>
      </c>
      <c r="E608" s="13" t="inlineStr">
        <is>
          <t>Bionematicida (Biológico)</t>
        </is>
      </c>
      <c r="F608" s="13" t="inlineStr">
        <is>
          <t>Mofo-branco</t>
        </is>
      </c>
      <c r="G608" s="13" t="inlineStr">
        <is>
          <t>Sclerotinia sclerotiorum</t>
        </is>
      </c>
      <c r="H608" s="13" t="inlineStr">
        <is>
          <t>NÃO</t>
        </is>
      </c>
      <c r="I608" s="15" t="n">
        <v>1</v>
      </c>
      <c r="J608" s="15" t="n">
        <v>2</v>
      </c>
      <c r="K608" s="13" t="inlineStr">
        <is>
          <t>L/ha</t>
        </is>
      </c>
      <c r="L608" s="15" t="n">
        <v>1</v>
      </c>
      <c r="M608" s="13" t="inlineStr">
        <is>
          <t>Aplicar conforme monitoramento e estádio recomendado na bula (FRAC Grupo BM02 / IRAC Grupo 11A / Bioinsumo)</t>
        </is>
      </c>
    </row>
    <row r="609" ht="22" customHeight="1">
      <c r="A609" s="6" t="inlineStr">
        <is>
          <t>ALV-0605</t>
        </is>
      </c>
      <c r="B609" s="5" t="n">
        <v>322</v>
      </c>
      <c r="C609" s="7" t="inlineStr">
        <is>
          <t>Nº 109009</t>
        </is>
      </c>
      <c r="D609" s="8" t="inlineStr">
        <is>
          <t>MANZATE WG</t>
        </is>
      </c>
      <c r="E609" s="7" t="inlineStr">
        <is>
          <t>Fungicida</t>
        </is>
      </c>
      <c r="F609" s="7" t="inlineStr">
        <is>
          <t>Ferrugem-asiática</t>
        </is>
      </c>
      <c r="G609" s="7" t="inlineStr">
        <is>
          <t>Phakopsora pachyrhizi</t>
        </is>
      </c>
      <c r="H609" s="7" t="inlineStr">
        <is>
          <t>NÃO</t>
        </is>
      </c>
      <c r="I609" s="17" t="n">
        <v>1.5</v>
      </c>
      <c r="J609" s="17" t="n">
        <v>2.5</v>
      </c>
      <c r="K609" s="7" t="inlineStr">
        <is>
          <t>kg/ha</t>
        </is>
      </c>
      <c r="L609" s="9" t="n">
        <v>1</v>
      </c>
      <c r="M609" s="7" t="inlineStr">
        <is>
          <t>Aplicar conforme monitoramento e estádio recomendado na bula (FRAC Grupo M03 — Multissítio)</t>
        </is>
      </c>
    </row>
    <row r="610" ht="22" customHeight="1">
      <c r="A610" s="12" t="inlineStr">
        <is>
          <t>ALV-0606</t>
        </is>
      </c>
      <c r="B610" s="11" t="n">
        <v>322</v>
      </c>
      <c r="C610" s="13" t="inlineStr">
        <is>
          <t>Nº 109009</t>
        </is>
      </c>
      <c r="D610" s="14" t="inlineStr">
        <is>
          <t>MANZATE WG</t>
        </is>
      </c>
      <c r="E610" s="13" t="inlineStr">
        <is>
          <t>Fungicida</t>
        </is>
      </c>
      <c r="F610" s="13" t="inlineStr">
        <is>
          <t>Mancha-alvo</t>
        </is>
      </c>
      <c r="G610" s="13" t="inlineStr">
        <is>
          <t>Corynespora cassiicola</t>
        </is>
      </c>
      <c r="H610" s="13" t="inlineStr">
        <is>
          <t>NÃO</t>
        </is>
      </c>
      <c r="I610" s="18" t="n">
        <v>1.5</v>
      </c>
      <c r="J610" s="18" t="n">
        <v>2.5</v>
      </c>
      <c r="K610" s="13" t="inlineStr">
        <is>
          <t>kg/ha</t>
        </is>
      </c>
      <c r="L610" s="15" t="n">
        <v>1</v>
      </c>
      <c r="M610" s="13" t="inlineStr">
        <is>
          <t>Aplicar conforme monitoramento e estádio recomendado na bula (FRAC Grupo M03 — Multissítio)</t>
        </is>
      </c>
    </row>
    <row r="611" ht="22" customHeight="1">
      <c r="A611" s="6" t="inlineStr">
        <is>
          <t>ALV-0607</t>
        </is>
      </c>
      <c r="B611" s="5" t="n">
        <v>322</v>
      </c>
      <c r="C611" s="7" t="inlineStr">
        <is>
          <t>Nº 109009</t>
        </is>
      </c>
      <c r="D611" s="8" t="inlineStr">
        <is>
          <t>MANZATE WG</t>
        </is>
      </c>
      <c r="E611" s="7" t="inlineStr">
        <is>
          <t>Fungicida</t>
        </is>
      </c>
      <c r="F611" s="7" t="inlineStr">
        <is>
          <t>Pinta-preta</t>
        </is>
      </c>
      <c r="G611" s="7" t="inlineStr">
        <is>
          <t>Alternaria solani</t>
        </is>
      </c>
      <c r="H611" s="7" t="inlineStr">
        <is>
          <t>NÃO</t>
        </is>
      </c>
      <c r="I611" s="9" t="n">
        <v>2</v>
      </c>
      <c r="J611" s="9" t="n">
        <v>3</v>
      </c>
      <c r="K611" s="7" t="inlineStr">
        <is>
          <t>kg/ha</t>
        </is>
      </c>
      <c r="L611" s="9" t="n">
        <v>1</v>
      </c>
      <c r="M611" s="7" t="inlineStr">
        <is>
          <t>Aplicar conforme monitoramento e estádio recomendado na bula (FRAC Grupo M03 — Multissítio)</t>
        </is>
      </c>
    </row>
    <row r="612" ht="22" customHeight="1">
      <c r="A612" s="12" t="inlineStr">
        <is>
          <t>ALV-0608</t>
        </is>
      </c>
      <c r="B612" s="11" t="n">
        <v>323</v>
      </c>
      <c r="C612" s="13" t="inlineStr">
        <is>
          <t>SIPEAGRO (UF-XXXXX)</t>
        </is>
      </c>
      <c r="D612" s="14" t="inlineStr">
        <is>
          <t>RIZOKOP</t>
        </is>
      </c>
      <c r="E612" s="13" t="inlineStr">
        <is>
          <t>Inoculante Fixador de Nitrogênio</t>
        </is>
      </c>
      <c r="F612" s="13" t="inlineStr">
        <is>
          <t>Fixação Biológica de Nitrogênio e Enraizamento</t>
        </is>
      </c>
      <c r="G612" s="13" t="inlineStr">
        <is>
          <t>Zea mays / Glycine max</t>
        </is>
      </c>
      <c r="H612" s="13" t="inlineStr">
        <is>
          <t>NÃO</t>
        </is>
      </c>
      <c r="I612" s="18" t="n">
        <v>0.1</v>
      </c>
      <c r="J612" s="18" t="n">
        <v>0.3</v>
      </c>
      <c r="K612" s="13" t="inlineStr">
        <is>
          <t>L/ha ou 100kg sem.</t>
        </is>
      </c>
      <c r="L612" s="15" t="n">
        <v>1</v>
      </c>
      <c r="M612" s="13" t="inlineStr">
        <is>
          <t>Aplicar conforme monitoramento e estádio recomendado na bula (Inoculante Biológico — Lei nº 6.894/1980)</t>
        </is>
      </c>
    </row>
    <row r="613" ht="22" customHeight="1">
      <c r="A613" s="6" t="inlineStr">
        <is>
          <t>ALV-0609</t>
        </is>
      </c>
      <c r="B613" s="5" t="n">
        <v>324</v>
      </c>
      <c r="C613" s="7" t="inlineStr">
        <is>
          <t>Nº 9622</t>
        </is>
      </c>
      <c r="D613" s="8" t="inlineStr">
        <is>
          <t>CLOROTALONIL C</t>
        </is>
      </c>
      <c r="E613" s="7" t="inlineStr">
        <is>
          <t>Fungicida</t>
        </is>
      </c>
      <c r="F613" s="7" t="inlineStr">
        <is>
          <t>Ferrugem-asiática</t>
        </is>
      </c>
      <c r="G613" s="7" t="inlineStr">
        <is>
          <t>Phakopsora pachyrhizi</t>
        </is>
      </c>
      <c r="H613" s="7" t="inlineStr">
        <is>
          <t>NÃO</t>
        </is>
      </c>
      <c r="I613" s="17" t="n">
        <v>1.5</v>
      </c>
      <c r="J613" s="9" t="n">
        <v>2</v>
      </c>
      <c r="K613" s="7" t="inlineStr">
        <is>
          <t>L ou kg/ha</t>
        </is>
      </c>
      <c r="L613" s="9" t="n">
        <v>1</v>
      </c>
      <c r="M613" s="7" t="inlineStr">
        <is>
          <t>Aplicar conforme monitoramento e estádio recomendado na bula (FRAC Grupo M05 — Multissítio)</t>
        </is>
      </c>
    </row>
    <row r="614" ht="22" customHeight="1">
      <c r="A614" s="12" t="inlineStr">
        <is>
          <t>ALV-0610</t>
        </is>
      </c>
      <c r="B614" s="11" t="n">
        <v>324</v>
      </c>
      <c r="C614" s="13" t="inlineStr">
        <is>
          <t>Nº 9622</t>
        </is>
      </c>
      <c r="D614" s="14" t="inlineStr">
        <is>
          <t>CLOROTALONIL C</t>
        </is>
      </c>
      <c r="E614" s="13" t="inlineStr">
        <is>
          <t>Fungicida</t>
        </is>
      </c>
      <c r="F614" s="13" t="inlineStr">
        <is>
          <t>Mancha-alvo</t>
        </is>
      </c>
      <c r="G614" s="13" t="inlineStr">
        <is>
          <t>Corynespora cassiicola</t>
        </is>
      </c>
      <c r="H614" s="13" t="inlineStr">
        <is>
          <t>NÃO</t>
        </is>
      </c>
      <c r="I614" s="18" t="n">
        <v>1.5</v>
      </c>
      <c r="J614" s="18" t="n">
        <v>2.5</v>
      </c>
      <c r="K614" s="13" t="inlineStr">
        <is>
          <t>L ou kg/ha</t>
        </is>
      </c>
      <c r="L614" s="15" t="n">
        <v>1</v>
      </c>
      <c r="M614" s="13" t="inlineStr">
        <is>
          <t>Aplicar conforme monitoramento e estádio recomendado na bula (FRAC Grupo M05 — Multissítio)</t>
        </is>
      </c>
    </row>
    <row r="615" ht="22" customHeight="1">
      <c r="A615" s="6" t="inlineStr">
        <is>
          <t>ALV-0611</t>
        </is>
      </c>
      <c r="B615" s="5" t="n">
        <v>324</v>
      </c>
      <c r="C615" s="7" t="inlineStr">
        <is>
          <t>Nº 9622</t>
        </is>
      </c>
      <c r="D615" s="8" t="inlineStr">
        <is>
          <t>CLOROTALONIL C</t>
        </is>
      </c>
      <c r="E615" s="7" t="inlineStr">
        <is>
          <t>Fungicida</t>
        </is>
      </c>
      <c r="F615" s="7" t="inlineStr">
        <is>
          <t>Cercosporiose</t>
        </is>
      </c>
      <c r="G615" s="7" t="inlineStr">
        <is>
          <t>Cercospora kikuchii</t>
        </is>
      </c>
      <c r="H615" s="7" t="inlineStr">
        <is>
          <t>NÃO</t>
        </is>
      </c>
      <c r="I615" s="17" t="n">
        <v>1.5</v>
      </c>
      <c r="J615" s="9" t="n">
        <v>2</v>
      </c>
      <c r="K615" s="7" t="inlineStr">
        <is>
          <t>L ou kg/ha</t>
        </is>
      </c>
      <c r="L615" s="9" t="n">
        <v>1</v>
      </c>
      <c r="M615" s="7" t="inlineStr">
        <is>
          <t>Aplicar conforme monitoramento e estádio recomendado na bula (FRAC Grupo M05 — Multissítio)</t>
        </is>
      </c>
    </row>
    <row r="616" ht="22" customHeight="1">
      <c r="A616" s="12" t="inlineStr">
        <is>
          <t>ALV-0612</t>
        </is>
      </c>
      <c r="B616" s="11" t="n">
        <v>325</v>
      </c>
      <c r="C616" s="13" t="inlineStr">
        <is>
          <t>Nº 17119</t>
        </is>
      </c>
      <c r="D616" s="14" t="inlineStr">
        <is>
          <t>DIFO 250 EC</t>
        </is>
      </c>
      <c r="E616" s="13" t="inlineStr">
        <is>
          <t>Fungicida</t>
        </is>
      </c>
      <c r="F616" s="13" t="inlineStr">
        <is>
          <t>Mancha-alvo</t>
        </is>
      </c>
      <c r="G616" s="13" t="inlineStr">
        <is>
          <t>Corynespora cassiicola</t>
        </is>
      </c>
      <c r="H616" s="13" t="inlineStr">
        <is>
          <t>SIM (*)</t>
        </is>
      </c>
      <c r="I616" s="18" t="n">
        <v>0.3</v>
      </c>
      <c r="J616" s="18" t="n">
        <v>0.5</v>
      </c>
      <c r="K616" s="13" t="inlineStr">
        <is>
          <t>L/ha</t>
        </is>
      </c>
      <c r="L616" s="15" t="n">
        <v>1</v>
      </c>
      <c r="M616" s="13" t="inlineStr">
        <is>
          <t>Aplicar conforme monitoramento e estádio recomendado na bula (FRAC Grupo 3 (DMI))</t>
        </is>
      </c>
    </row>
    <row r="617" ht="22" customHeight="1">
      <c r="A617" s="6" t="inlineStr">
        <is>
          <t>ALV-0613</t>
        </is>
      </c>
      <c r="B617" s="5" t="n">
        <v>325</v>
      </c>
      <c r="C617" s="7" t="inlineStr">
        <is>
          <t>Nº 17119</t>
        </is>
      </c>
      <c r="D617" s="8" t="inlineStr">
        <is>
          <t>DIFO 250 EC</t>
        </is>
      </c>
      <c r="E617" s="7" t="inlineStr">
        <is>
          <t>Fungicida</t>
        </is>
      </c>
      <c r="F617" s="7" t="inlineStr">
        <is>
          <t>Oídio</t>
        </is>
      </c>
      <c r="G617" s="7" t="inlineStr">
        <is>
          <t>Microsphaera diffusa</t>
        </is>
      </c>
      <c r="H617" s="7" t="inlineStr">
        <is>
          <t>NÃO</t>
        </is>
      </c>
      <c r="I617" s="17" t="n">
        <v>0.2</v>
      </c>
      <c r="J617" s="17" t="n">
        <v>0.3</v>
      </c>
      <c r="K617" s="7" t="inlineStr">
        <is>
          <t>L/ha</t>
        </is>
      </c>
      <c r="L617" s="9" t="n">
        <v>1</v>
      </c>
      <c r="M617" s="7" t="inlineStr">
        <is>
          <t>Aplicar conforme monitoramento e estádio recomendado na bula (FRAC Grupo 3 (DMI))</t>
        </is>
      </c>
    </row>
    <row r="618" ht="22" customHeight="1">
      <c r="A618" s="12" t="inlineStr">
        <is>
          <t>ALV-0614</t>
        </is>
      </c>
      <c r="B618" s="11" t="n">
        <v>325</v>
      </c>
      <c r="C618" s="13" t="inlineStr">
        <is>
          <t>Nº 17119</t>
        </is>
      </c>
      <c r="D618" s="14" t="inlineStr">
        <is>
          <t>DIFO 250 EC</t>
        </is>
      </c>
      <c r="E618" s="13" t="inlineStr">
        <is>
          <t>Fungicida</t>
        </is>
      </c>
      <c r="F618" s="13" t="inlineStr">
        <is>
          <t>Antracnose</t>
        </is>
      </c>
      <c r="G618" s="13" t="inlineStr">
        <is>
          <t>Colletotrichum truncatum</t>
        </is>
      </c>
      <c r="H618" s="13" t="inlineStr">
        <is>
          <t>NÃO</t>
        </is>
      </c>
      <c r="I618" s="18" t="n">
        <v>0.3</v>
      </c>
      <c r="J618" s="18" t="n">
        <v>0.4</v>
      </c>
      <c r="K618" s="13" t="inlineStr">
        <is>
          <t>L/ha</t>
        </is>
      </c>
      <c r="L618" s="15" t="n">
        <v>1</v>
      </c>
      <c r="M618" s="13" t="inlineStr">
        <is>
          <t>Aplicar conforme monitoramento e estádio recomendado na bula (FRAC Grupo 3 (DMI))</t>
        </is>
      </c>
    </row>
    <row r="619" ht="22" customHeight="1">
      <c r="A619" s="6" t="inlineStr">
        <is>
          <t>ALV-0615</t>
        </is>
      </c>
      <c r="B619" s="5" t="n">
        <v>326</v>
      </c>
      <c r="C619" s="7" t="inlineStr">
        <is>
          <t>Nº 10023</t>
        </is>
      </c>
      <c r="D619" s="8" t="inlineStr">
        <is>
          <t>XEQUE MATE SG</t>
        </is>
      </c>
      <c r="E619" s="7" t="inlineStr">
        <is>
          <t>Herbicida</t>
        </is>
      </c>
      <c r="F619" s="7" t="inlineStr">
        <is>
          <t>Capim-amargoso</t>
        </is>
      </c>
      <c r="G619" s="7" t="inlineStr">
        <is>
          <t>Digitaria insularis</t>
        </is>
      </c>
      <c r="H619" s="7" t="inlineStr">
        <is>
          <t>SIM (*)</t>
        </is>
      </c>
      <c r="I619" s="17" t="n">
        <v>1.5</v>
      </c>
      <c r="J619" s="17" t="n">
        <v>2.5</v>
      </c>
      <c r="K619" s="7" t="inlineStr">
        <is>
          <t>kg ou L/ha</t>
        </is>
      </c>
      <c r="L619" s="9" t="n">
        <v>1</v>
      </c>
      <c r="M619" s="7" t="inlineStr">
        <is>
          <t>Aplicar conforme monitoramento e estádio recomendado na bula (HRAC Grupo G (EPSPs))</t>
        </is>
      </c>
    </row>
    <row r="620" ht="22" customHeight="1">
      <c r="A620" s="12" t="inlineStr">
        <is>
          <t>ALV-0616</t>
        </is>
      </c>
      <c r="B620" s="11" t="n">
        <v>326</v>
      </c>
      <c r="C620" s="13" t="inlineStr">
        <is>
          <t>Nº 10023</t>
        </is>
      </c>
      <c r="D620" s="14" t="inlineStr">
        <is>
          <t>XEQUE MATE SG</t>
        </is>
      </c>
      <c r="E620" s="13" t="inlineStr">
        <is>
          <t>Herbicida</t>
        </is>
      </c>
      <c r="F620" s="13" t="inlineStr">
        <is>
          <t>Buva</t>
        </is>
      </c>
      <c r="G620" s="13" t="inlineStr">
        <is>
          <t>Conyza bonariensis</t>
        </is>
      </c>
      <c r="H620" s="13" t="inlineStr">
        <is>
          <t>SIM (*)</t>
        </is>
      </c>
      <c r="I620" s="15" t="n">
        <v>1</v>
      </c>
      <c r="J620" s="15" t="n">
        <v>2</v>
      </c>
      <c r="K620" s="13" t="inlineStr">
        <is>
          <t>kg ou L/ha</t>
        </is>
      </c>
      <c r="L620" s="15" t="n">
        <v>1</v>
      </c>
      <c r="M620" s="13" t="inlineStr">
        <is>
          <t>Aplicar conforme monitoramento e estádio recomendado na bula (HRAC Grupo G (EPSPs))</t>
        </is>
      </c>
    </row>
    <row r="621" ht="22" customHeight="1">
      <c r="A621" s="6" t="inlineStr">
        <is>
          <t>ALV-0617</t>
        </is>
      </c>
      <c r="B621" s="5" t="n">
        <v>326</v>
      </c>
      <c r="C621" s="7" t="inlineStr">
        <is>
          <t>Nº 10023</t>
        </is>
      </c>
      <c r="D621" s="8" t="inlineStr">
        <is>
          <t>XEQUE MATE SG</t>
        </is>
      </c>
      <c r="E621" s="7" t="inlineStr">
        <is>
          <t>Herbicida</t>
        </is>
      </c>
      <c r="F621" s="7" t="inlineStr">
        <is>
          <t>Capim-pé-de-galinha</t>
        </is>
      </c>
      <c r="G621" s="7" t="inlineStr">
        <is>
          <t>Eleusine indica</t>
        </is>
      </c>
      <c r="H621" s="7" t="inlineStr">
        <is>
          <t>SIM (*)</t>
        </is>
      </c>
      <c r="I621" s="9" t="n">
        <v>1</v>
      </c>
      <c r="J621" s="17" t="n">
        <v>1.5</v>
      </c>
      <c r="K621" s="7" t="inlineStr">
        <is>
          <t>kg ou L/ha</t>
        </is>
      </c>
      <c r="L621" s="9" t="n">
        <v>1</v>
      </c>
      <c r="M621" s="7" t="inlineStr">
        <is>
          <t>Aplicar conforme monitoramento e estádio recomendado na bula (HRAC Grupo G (EPSPs))</t>
        </is>
      </c>
    </row>
    <row r="622" ht="22" customHeight="1">
      <c r="A622" s="12" t="inlineStr">
        <is>
          <t>ALV-0618</t>
        </is>
      </c>
      <c r="B622" s="11" t="n">
        <v>326</v>
      </c>
      <c r="C622" s="13" t="inlineStr">
        <is>
          <t>Nº 10023</t>
        </is>
      </c>
      <c r="D622" s="14" t="inlineStr">
        <is>
          <t>XEQUE MATE SG</t>
        </is>
      </c>
      <c r="E622" s="13" t="inlineStr">
        <is>
          <t>Herbicida</t>
        </is>
      </c>
      <c r="F622" s="13" t="inlineStr">
        <is>
          <t>Trapoeraba</t>
        </is>
      </c>
      <c r="G622" s="13" t="inlineStr">
        <is>
          <t>Commelina benghalensis</t>
        </is>
      </c>
      <c r="H622" s="13" t="inlineStr">
        <is>
          <t>NÃO</t>
        </is>
      </c>
      <c r="I622" s="15" t="n">
        <v>2</v>
      </c>
      <c r="J622" s="18" t="n">
        <v>3.5</v>
      </c>
      <c r="K622" s="13" t="inlineStr">
        <is>
          <t>kg ou L/ha</t>
        </is>
      </c>
      <c r="L622" s="15" t="n">
        <v>1</v>
      </c>
      <c r="M622" s="13" t="inlineStr">
        <is>
          <t>Aplicar conforme monitoramento e estádio recomendado na bula (HRAC Grupo G (EPSPs))</t>
        </is>
      </c>
    </row>
    <row r="623" ht="22" customHeight="1">
      <c r="A623" s="6" t="inlineStr">
        <is>
          <t>ALV-0619</t>
        </is>
      </c>
      <c r="B623" s="5" t="n">
        <v>327</v>
      </c>
      <c r="C623" s="7" t="inlineStr">
        <is>
          <t>Nº 10623</t>
        </is>
      </c>
      <c r="D623" s="8" t="inlineStr">
        <is>
          <t>PREVENT GOLD</t>
        </is>
      </c>
      <c r="E623" s="7" t="inlineStr">
        <is>
          <t>Herbicida</t>
        </is>
      </c>
      <c r="F623" s="7" t="inlineStr">
        <is>
          <t>Capim-pé-de-galinha</t>
        </is>
      </c>
      <c r="G623" s="7" t="inlineStr">
        <is>
          <t>Eleusine indica</t>
        </is>
      </c>
      <c r="H623" s="7" t="inlineStr">
        <is>
          <t>NÃO</t>
        </is>
      </c>
      <c r="I623" s="17" t="n">
        <v>1.25</v>
      </c>
      <c r="J623" s="17" t="n">
        <v>1.75</v>
      </c>
      <c r="K623" s="7" t="inlineStr">
        <is>
          <t>L/ha</t>
        </is>
      </c>
      <c r="L623" s="9" t="n">
        <v>1</v>
      </c>
      <c r="M623" s="7" t="inlineStr">
        <is>
          <t>Aplicar conforme monitoramento e estádio recomendado na bula (HRAC Grupo K3 (15) — Inibidores de VLCFAs)</t>
        </is>
      </c>
    </row>
    <row r="624" ht="22" customHeight="1">
      <c r="A624" s="12" t="inlineStr">
        <is>
          <t>ALV-0620</t>
        </is>
      </c>
      <c r="B624" s="11" t="n">
        <v>327</v>
      </c>
      <c r="C624" s="13" t="inlineStr">
        <is>
          <t>Nº 10623</t>
        </is>
      </c>
      <c r="D624" s="14" t="inlineStr">
        <is>
          <t>PREVENT GOLD</t>
        </is>
      </c>
      <c r="E624" s="13" t="inlineStr">
        <is>
          <t>Herbicida</t>
        </is>
      </c>
      <c r="F624" s="13" t="inlineStr">
        <is>
          <t>Capim-colchão</t>
        </is>
      </c>
      <c r="G624" s="13" t="inlineStr">
        <is>
          <t>Digitaria horizontalis</t>
        </is>
      </c>
      <c r="H624" s="13" t="inlineStr">
        <is>
          <t>NÃO</t>
        </is>
      </c>
      <c r="I624" s="18" t="n">
        <v>1.25</v>
      </c>
      <c r="J624" s="18" t="n">
        <v>1.5</v>
      </c>
      <c r="K624" s="13" t="inlineStr">
        <is>
          <t>L/ha</t>
        </is>
      </c>
      <c r="L624" s="15" t="n">
        <v>1</v>
      </c>
      <c r="M624" s="13" t="inlineStr">
        <is>
          <t>Aplicar conforme monitoramento e estádio recomendado na bula (HRAC Grupo K3 (15) — Inibidores de VLCFAs)</t>
        </is>
      </c>
    </row>
    <row r="625" ht="22" customHeight="1">
      <c r="A625" s="6" t="inlineStr">
        <is>
          <t>ALV-0621</t>
        </is>
      </c>
      <c r="B625" s="5" t="n">
        <v>327</v>
      </c>
      <c r="C625" s="7" t="inlineStr">
        <is>
          <t>Nº 10623</t>
        </is>
      </c>
      <c r="D625" s="8" t="inlineStr">
        <is>
          <t>PREVENT GOLD</t>
        </is>
      </c>
      <c r="E625" s="7" t="inlineStr">
        <is>
          <t>Herbicida</t>
        </is>
      </c>
      <c r="F625" s="7" t="inlineStr">
        <is>
          <t>Caruru</t>
        </is>
      </c>
      <c r="G625" s="7" t="inlineStr">
        <is>
          <t>Amaranthus hybridus</t>
        </is>
      </c>
      <c r="H625" s="7" t="inlineStr">
        <is>
          <t>NÃO</t>
        </is>
      </c>
      <c r="I625" s="17" t="n">
        <v>1.25</v>
      </c>
      <c r="J625" s="17" t="n">
        <v>1.75</v>
      </c>
      <c r="K625" s="7" t="inlineStr">
        <is>
          <t>L/ha</t>
        </is>
      </c>
      <c r="L625" s="9" t="n">
        <v>1</v>
      </c>
      <c r="M625" s="7" t="inlineStr">
        <is>
          <t>Aplicar conforme monitoramento e estádio recomendado na bula (HRAC Grupo K3 (15) — Inibidores de VLCFAs)</t>
        </is>
      </c>
    </row>
    <row r="626" ht="22" customHeight="1">
      <c r="A626" s="12" t="inlineStr">
        <is>
          <t>ALV-0622</t>
        </is>
      </c>
      <c r="B626" s="11" t="n">
        <v>328</v>
      </c>
      <c r="C626" s="13" t="inlineStr">
        <is>
          <t>Nº 3518</t>
        </is>
      </c>
      <c r="D626" s="14" t="inlineStr">
        <is>
          <t>VERDICT(TM)</t>
        </is>
      </c>
      <c r="E626" s="13" t="inlineStr">
        <is>
          <t>Herbicida</t>
        </is>
      </c>
      <c r="F626" s="13" t="inlineStr">
        <is>
          <t>Plantas Daninhas Mono e Dicotiledôneas</t>
        </is>
      </c>
      <c r="G626" s="13" t="inlineStr">
        <is>
          <t>Flora Infestante</t>
        </is>
      </c>
      <c r="H626" s="13" t="inlineStr">
        <is>
          <t>NÃO</t>
        </is>
      </c>
      <c r="I626" s="18" t="n">
        <v>0.25</v>
      </c>
      <c r="J626" s="15" t="n">
        <v>2</v>
      </c>
      <c r="K626" s="13" t="inlineStr">
        <is>
          <t>L ou kg/ha</t>
        </is>
      </c>
      <c r="L626" s="15" t="n">
        <v>1</v>
      </c>
      <c r="M626" s="13" t="inlineStr">
        <is>
          <t>Aplicar conforme monitoramento e estádio recomendado na bula (Classificação HRAC Oficial conforme Bula)</t>
        </is>
      </c>
    </row>
    <row r="627" ht="22" customHeight="1">
      <c r="A627" s="6" t="inlineStr">
        <is>
          <t>ALV-0623</t>
        </is>
      </c>
      <c r="B627" s="5" t="n">
        <v>329</v>
      </c>
      <c r="C627" s="7" t="inlineStr">
        <is>
          <t>ISENTO (ATO 104/2017)</t>
        </is>
      </c>
      <c r="D627" s="8" t="inlineStr">
        <is>
          <t>AGCN EASY OIL</t>
        </is>
      </c>
      <c r="E627" s="7" t="inlineStr">
        <is>
          <t>Óleo Mineral Adjuvante</t>
        </is>
      </c>
      <c r="F627" s="7" t="inlineStr">
        <is>
          <t>Otimização de Gota, Espalhamento e Redução de Deriva</t>
        </is>
      </c>
      <c r="G627" s="7" t="inlineStr">
        <is>
          <t>Tecnologia de Aplicação</t>
        </is>
      </c>
      <c r="H627" s="7" t="inlineStr">
        <is>
          <t>NÃO</t>
        </is>
      </c>
      <c r="I627" s="17" t="n">
        <v>0.25</v>
      </c>
      <c r="J627" s="9" t="n">
        <v>1</v>
      </c>
      <c r="K627" s="7" t="inlineStr">
        <is>
          <t>% v/v na calda</t>
        </is>
      </c>
      <c r="L627" s="9" t="n">
        <v>1</v>
      </c>
      <c r="M627" s="7" t="inlineStr">
        <is>
          <t>Aplicar conforme monitoramento e estádio recomendado na bula (Adjuvante Tecnológico de Pulverização)</t>
        </is>
      </c>
    </row>
    <row r="628" ht="22" customHeight="1">
      <c r="A628" s="12" t="inlineStr">
        <is>
          <t>ALV-0624</t>
        </is>
      </c>
      <c r="B628" s="11" t="n">
        <v>330</v>
      </c>
      <c r="C628" s="13" t="inlineStr">
        <is>
          <t>ISENTO (ATO 104/2017)</t>
        </is>
      </c>
      <c r="D628" s="14" t="inlineStr">
        <is>
          <t>AGRICOIL PREMIUM PURO</t>
        </is>
      </c>
      <c r="E628" s="13" t="inlineStr">
        <is>
          <t>Óleo Mineral Adjuvante</t>
        </is>
      </c>
      <c r="F628" s="13" t="inlineStr">
        <is>
          <t>Otimização de Gota, Espalhamento e Redução de Deriva</t>
        </is>
      </c>
      <c r="G628" s="13" t="inlineStr">
        <is>
          <t>Tecnologia de Aplicação</t>
        </is>
      </c>
      <c r="H628" s="13" t="inlineStr">
        <is>
          <t>NÃO</t>
        </is>
      </c>
      <c r="I628" s="18" t="n">
        <v>0.25</v>
      </c>
      <c r="J628" s="15" t="n">
        <v>1</v>
      </c>
      <c r="K628" s="13" t="inlineStr">
        <is>
          <t>% v/v na calda</t>
        </is>
      </c>
      <c r="L628" s="15" t="n">
        <v>1</v>
      </c>
      <c r="M628" s="13" t="inlineStr">
        <is>
          <t>Aplicar conforme monitoramento e estádio recomendado na bula (Adjuvante Tecnológico de Pulverização)</t>
        </is>
      </c>
    </row>
    <row r="629" ht="22" customHeight="1">
      <c r="A629" s="6" t="inlineStr">
        <is>
          <t>ALV-0625</t>
        </is>
      </c>
      <c r="B629" s="5" t="n">
        <v>331</v>
      </c>
      <c r="C629" s="7" t="inlineStr">
        <is>
          <t>Nº 9621</t>
        </is>
      </c>
      <c r="D629" s="8" t="inlineStr">
        <is>
          <t>GLIFOSATO 540 (PRINCIPIO ATIVO)</t>
        </is>
      </c>
      <c r="E629" s="7" t="inlineStr">
        <is>
          <t>Insumo Industrial</t>
        </is>
      </c>
      <c r="F629" s="7" t="inlineStr">
        <is>
          <t>Matéria-prima para Formulação Industrial</t>
        </is>
      </c>
      <c r="G629" s="7" t="inlineStr">
        <is>
          <t>Uso Industrial Credenciado MAPA</t>
        </is>
      </c>
      <c r="H629" s="7" t="inlineStr">
        <is>
          <t>NÃO</t>
        </is>
      </c>
      <c r="I629" s="9" t="n">
        <v>0</v>
      </c>
      <c r="J629" s="9" t="n">
        <v>0</v>
      </c>
      <c r="K629" s="7" t="inlineStr">
        <is>
          <t>L</t>
        </is>
      </c>
      <c r="L629" s="9" t="n">
        <v>1</v>
      </c>
      <c r="M629" s="7" t="inlineStr">
        <is>
          <t>Uso restrito a estabelecimentos formuladores registrados</t>
        </is>
      </c>
    </row>
    <row r="630" ht="22" customHeight="1">
      <c r="A630" s="12" t="inlineStr">
        <is>
          <t>ALV-0626</t>
        </is>
      </c>
      <c r="B630" s="11" t="n">
        <v>332</v>
      </c>
      <c r="C630" s="13" t="inlineStr">
        <is>
          <t>Nº 12319</t>
        </is>
      </c>
      <c r="D630" s="14" t="inlineStr">
        <is>
          <t>MANCOZEB 800 SINO-AGRI</t>
        </is>
      </c>
      <c r="E630" s="13" t="inlineStr">
        <is>
          <t>Fungicida</t>
        </is>
      </c>
      <c r="F630" s="13" t="inlineStr">
        <is>
          <t>Ferrugem-asiática</t>
        </is>
      </c>
      <c r="G630" s="13" t="inlineStr">
        <is>
          <t>Phakopsora pachyrhizi</t>
        </is>
      </c>
      <c r="H630" s="13" t="inlineStr">
        <is>
          <t>NÃO</t>
        </is>
      </c>
      <c r="I630" s="18" t="n">
        <v>1.5</v>
      </c>
      <c r="J630" s="18" t="n">
        <v>2.5</v>
      </c>
      <c r="K630" s="13" t="inlineStr">
        <is>
          <t>kg/ha</t>
        </is>
      </c>
      <c r="L630" s="15" t="n">
        <v>1</v>
      </c>
      <c r="M630" s="13" t="inlineStr">
        <is>
          <t>Aplicar conforme monitoramento e estádio recomendado na bula (FRAC Grupo M03 — Multissítio)</t>
        </is>
      </c>
    </row>
    <row r="631" ht="22" customHeight="1">
      <c r="A631" s="6" t="inlineStr">
        <is>
          <t>ALV-0627</t>
        </is>
      </c>
      <c r="B631" s="5" t="n">
        <v>332</v>
      </c>
      <c r="C631" s="7" t="inlineStr">
        <is>
          <t>Nº 12319</t>
        </is>
      </c>
      <c r="D631" s="8" t="inlineStr">
        <is>
          <t>MANCOZEB 800 SINO-AGRI</t>
        </is>
      </c>
      <c r="E631" s="7" t="inlineStr">
        <is>
          <t>Fungicida</t>
        </is>
      </c>
      <c r="F631" s="7" t="inlineStr">
        <is>
          <t>Mancha-alvo</t>
        </is>
      </c>
      <c r="G631" s="7" t="inlineStr">
        <is>
          <t>Corynespora cassiicola</t>
        </is>
      </c>
      <c r="H631" s="7" t="inlineStr">
        <is>
          <t>NÃO</t>
        </is>
      </c>
      <c r="I631" s="17" t="n">
        <v>1.5</v>
      </c>
      <c r="J631" s="17" t="n">
        <v>2.5</v>
      </c>
      <c r="K631" s="7" t="inlineStr">
        <is>
          <t>kg/ha</t>
        </is>
      </c>
      <c r="L631" s="9" t="n">
        <v>1</v>
      </c>
      <c r="M631" s="7" t="inlineStr">
        <is>
          <t>Aplicar conforme monitoramento e estádio recomendado na bula (FRAC Grupo M03 — Multissítio)</t>
        </is>
      </c>
    </row>
    <row r="632" ht="22" customHeight="1">
      <c r="A632" s="12" t="inlineStr">
        <is>
          <t>ALV-0628</t>
        </is>
      </c>
      <c r="B632" s="11" t="n">
        <v>332</v>
      </c>
      <c r="C632" s="13" t="inlineStr">
        <is>
          <t>Nº 12319</t>
        </is>
      </c>
      <c r="D632" s="14" t="inlineStr">
        <is>
          <t>MANCOZEB 800 SINO-AGRI</t>
        </is>
      </c>
      <c r="E632" s="13" t="inlineStr">
        <is>
          <t>Fungicida</t>
        </is>
      </c>
      <c r="F632" s="13" t="inlineStr">
        <is>
          <t>Pinta-preta</t>
        </is>
      </c>
      <c r="G632" s="13" t="inlineStr">
        <is>
          <t>Alternaria solani</t>
        </is>
      </c>
      <c r="H632" s="13" t="inlineStr">
        <is>
          <t>NÃO</t>
        </is>
      </c>
      <c r="I632" s="15" t="n">
        <v>2</v>
      </c>
      <c r="J632" s="15" t="n">
        <v>3</v>
      </c>
      <c r="K632" s="13" t="inlineStr">
        <is>
          <t>kg/ha</t>
        </is>
      </c>
      <c r="L632" s="15" t="n">
        <v>1</v>
      </c>
      <c r="M632" s="13" t="inlineStr">
        <is>
          <t>Aplicar conforme monitoramento e estádio recomendado na bula (FRAC Grupo M03 — Multissítio)</t>
        </is>
      </c>
    </row>
    <row r="633" ht="22" customHeight="1">
      <c r="A633" s="6" t="inlineStr">
        <is>
          <t>ALV-0629</t>
        </is>
      </c>
      <c r="B633" s="5" t="n">
        <v>333</v>
      </c>
      <c r="C633" s="7" t="inlineStr">
        <is>
          <t>SIPEAGRO (UF-XXXXX)</t>
        </is>
      </c>
      <c r="D633" s="8" t="inlineStr">
        <is>
          <t>SULFATO DE AMONIO 21N AMONIACAL 24S GRANULADO</t>
        </is>
      </c>
      <c r="E633" s="7" t="inlineStr">
        <is>
          <t>Fertilizante Mineral Simples (Nitrogenado)</t>
        </is>
      </c>
      <c r="F633" s="7" t="inlineStr">
        <is>
          <t>Nutrição e Correção de Deficiência Mineral</t>
        </is>
      </c>
      <c r="G633" s="7" t="inlineStr">
        <is>
          <t>Nutrição Vegetal</t>
        </is>
      </c>
      <c r="H633" s="7" t="inlineStr">
        <is>
          <t>NÃO</t>
        </is>
      </c>
      <c r="I633" s="9" t="n">
        <v>1</v>
      </c>
      <c r="J633" s="9" t="n">
        <v>250</v>
      </c>
      <c r="K633" s="7" t="inlineStr">
        <is>
          <t>kg ou L/ha</t>
        </is>
      </c>
      <c r="L633" s="9" t="n">
        <v>1</v>
      </c>
      <c r="M633" s="7" t="inlineStr">
        <is>
          <t>Aplicar conforme monitoramento e estádio recomendado na bula (Nutrição Vegetal SIPEAGRO)</t>
        </is>
      </c>
    </row>
    <row r="634" ht="22" customHeight="1">
      <c r="A634" s="12" t="inlineStr">
        <is>
          <t>ALV-0630</t>
        </is>
      </c>
      <c r="B634" s="11" t="n">
        <v>334</v>
      </c>
      <c r="C634" s="13" t="inlineStr">
        <is>
          <t>Nº 34118</t>
        </is>
      </c>
      <c r="D634" s="14" t="inlineStr">
        <is>
          <t>TEMPLO</t>
        </is>
      </c>
      <c r="E634" s="13" t="inlineStr">
        <is>
          <t>Herbicida</t>
        </is>
      </c>
      <c r="F634" s="13" t="inlineStr">
        <is>
          <t>Capim-amargoso</t>
        </is>
      </c>
      <c r="G634" s="13" t="inlineStr">
        <is>
          <t>Digitaria insularis</t>
        </is>
      </c>
      <c r="H634" s="13" t="inlineStr">
        <is>
          <t>SIM (*)</t>
        </is>
      </c>
      <c r="I634" s="18" t="n">
        <v>1.5</v>
      </c>
      <c r="J634" s="18" t="n">
        <v>2.5</v>
      </c>
      <c r="K634" s="13" t="inlineStr">
        <is>
          <t>kg ou L/ha</t>
        </is>
      </c>
      <c r="L634" s="15" t="n">
        <v>1</v>
      </c>
      <c r="M634" s="13" t="inlineStr">
        <is>
          <t>Aplicar conforme monitoramento e estádio recomendado na bula (HRAC Grupo G (EPSPs))</t>
        </is>
      </c>
    </row>
    <row r="635" ht="22" customHeight="1">
      <c r="A635" s="6" t="inlineStr">
        <is>
          <t>ALV-0631</t>
        </is>
      </c>
      <c r="B635" s="5" t="n">
        <v>334</v>
      </c>
      <c r="C635" s="7" t="inlineStr">
        <is>
          <t>Nº 34118</t>
        </is>
      </c>
      <c r="D635" s="8" t="inlineStr">
        <is>
          <t>TEMPLO</t>
        </is>
      </c>
      <c r="E635" s="7" t="inlineStr">
        <is>
          <t>Herbicida</t>
        </is>
      </c>
      <c r="F635" s="7" t="inlineStr">
        <is>
          <t>Buva</t>
        </is>
      </c>
      <c r="G635" s="7" t="inlineStr">
        <is>
          <t>Conyza bonariensis</t>
        </is>
      </c>
      <c r="H635" s="7" t="inlineStr">
        <is>
          <t>SIM (*)</t>
        </is>
      </c>
      <c r="I635" s="9" t="n">
        <v>1</v>
      </c>
      <c r="J635" s="9" t="n">
        <v>2</v>
      </c>
      <c r="K635" s="7" t="inlineStr">
        <is>
          <t>kg ou L/ha</t>
        </is>
      </c>
      <c r="L635" s="9" t="n">
        <v>1</v>
      </c>
      <c r="M635" s="7" t="inlineStr">
        <is>
          <t>Aplicar conforme monitoramento e estádio recomendado na bula (HRAC Grupo G (EPSPs))</t>
        </is>
      </c>
    </row>
    <row r="636" ht="22" customHeight="1">
      <c r="A636" s="12" t="inlineStr">
        <is>
          <t>ALV-0632</t>
        </is>
      </c>
      <c r="B636" s="11" t="n">
        <v>334</v>
      </c>
      <c r="C636" s="13" t="inlineStr">
        <is>
          <t>Nº 34118</t>
        </is>
      </c>
      <c r="D636" s="14" t="inlineStr">
        <is>
          <t>TEMPLO</t>
        </is>
      </c>
      <c r="E636" s="13" t="inlineStr">
        <is>
          <t>Herbicida</t>
        </is>
      </c>
      <c r="F636" s="13" t="inlineStr">
        <is>
          <t>Capim-pé-de-galinha</t>
        </is>
      </c>
      <c r="G636" s="13" t="inlineStr">
        <is>
          <t>Eleusine indica</t>
        </is>
      </c>
      <c r="H636" s="13" t="inlineStr">
        <is>
          <t>SIM (*)</t>
        </is>
      </c>
      <c r="I636" s="15" t="n">
        <v>1</v>
      </c>
      <c r="J636" s="18" t="n">
        <v>1.5</v>
      </c>
      <c r="K636" s="13" t="inlineStr">
        <is>
          <t>kg ou L/ha</t>
        </is>
      </c>
      <c r="L636" s="15" t="n">
        <v>1</v>
      </c>
      <c r="M636" s="13" t="inlineStr">
        <is>
          <t>Aplicar conforme monitoramento e estádio recomendado na bula (HRAC Grupo G (EPSPs))</t>
        </is>
      </c>
    </row>
    <row r="637" ht="22" customHeight="1">
      <c r="A637" s="6" t="inlineStr">
        <is>
          <t>ALV-0633</t>
        </is>
      </c>
      <c r="B637" s="5" t="n">
        <v>334</v>
      </c>
      <c r="C637" s="7" t="inlineStr">
        <is>
          <t>Nº 34118</t>
        </is>
      </c>
      <c r="D637" s="8" t="inlineStr">
        <is>
          <t>TEMPLO</t>
        </is>
      </c>
      <c r="E637" s="7" t="inlineStr">
        <is>
          <t>Herbicida</t>
        </is>
      </c>
      <c r="F637" s="7" t="inlineStr">
        <is>
          <t>Trapoeraba</t>
        </is>
      </c>
      <c r="G637" s="7" t="inlineStr">
        <is>
          <t>Commelina benghalensis</t>
        </is>
      </c>
      <c r="H637" s="7" t="inlineStr">
        <is>
          <t>NÃO</t>
        </is>
      </c>
      <c r="I637" s="9" t="n">
        <v>2</v>
      </c>
      <c r="J637" s="17" t="n">
        <v>3.5</v>
      </c>
      <c r="K637" s="7" t="inlineStr">
        <is>
          <t>kg ou L/ha</t>
        </is>
      </c>
      <c r="L637" s="9" t="n">
        <v>1</v>
      </c>
      <c r="M637" s="7" t="inlineStr">
        <is>
          <t>Aplicar conforme monitoramento e estádio recomendado na bula (HRAC Grupo G (EPSPs))</t>
        </is>
      </c>
    </row>
    <row r="638" ht="22" customHeight="1">
      <c r="A638" s="12" t="inlineStr">
        <is>
          <t>ALV-0634</t>
        </is>
      </c>
      <c r="B638" s="11" t="n">
        <v>335</v>
      </c>
      <c r="C638" s="13" t="inlineStr">
        <is>
          <t>Nº 13614</t>
        </is>
      </c>
      <c r="D638" s="14" t="inlineStr">
        <is>
          <t>SOLDIER</t>
        </is>
      </c>
      <c r="E638" s="13" t="inlineStr">
        <is>
          <t>Herbicida</t>
        </is>
      </c>
      <c r="F638" s="13" t="inlineStr">
        <is>
          <t>Capim-amargoso</t>
        </is>
      </c>
      <c r="G638" s="13" t="inlineStr">
        <is>
          <t>Digitaria insularis</t>
        </is>
      </c>
      <c r="H638" s="13" t="inlineStr">
        <is>
          <t>SIM (*)</t>
        </is>
      </c>
      <c r="I638" s="18" t="n">
        <v>1.5</v>
      </c>
      <c r="J638" s="18" t="n">
        <v>2.5</v>
      </c>
      <c r="K638" s="13" t="inlineStr">
        <is>
          <t>kg ou L/ha</t>
        </is>
      </c>
      <c r="L638" s="15" t="n">
        <v>1</v>
      </c>
      <c r="M638" s="13" t="inlineStr">
        <is>
          <t>Aplicar conforme monitoramento e estádio recomendado na bula (HRAC Grupo G (EPSPs))</t>
        </is>
      </c>
    </row>
    <row r="639" ht="22" customHeight="1">
      <c r="A639" s="6" t="inlineStr">
        <is>
          <t>ALV-0635</t>
        </is>
      </c>
      <c r="B639" s="5" t="n">
        <v>335</v>
      </c>
      <c r="C639" s="7" t="inlineStr">
        <is>
          <t>Nº 13614</t>
        </is>
      </c>
      <c r="D639" s="8" t="inlineStr">
        <is>
          <t>SOLDIER</t>
        </is>
      </c>
      <c r="E639" s="7" t="inlineStr">
        <is>
          <t>Herbicida</t>
        </is>
      </c>
      <c r="F639" s="7" t="inlineStr">
        <is>
          <t>Buva</t>
        </is>
      </c>
      <c r="G639" s="7" t="inlineStr">
        <is>
          <t>Conyza bonariensis</t>
        </is>
      </c>
      <c r="H639" s="7" t="inlineStr">
        <is>
          <t>SIM (*)</t>
        </is>
      </c>
      <c r="I639" s="9" t="n">
        <v>1</v>
      </c>
      <c r="J639" s="9" t="n">
        <v>2</v>
      </c>
      <c r="K639" s="7" t="inlineStr">
        <is>
          <t>kg ou L/ha</t>
        </is>
      </c>
      <c r="L639" s="9" t="n">
        <v>1</v>
      </c>
      <c r="M639" s="7" t="inlineStr">
        <is>
          <t>Aplicar conforme monitoramento e estádio recomendado na bula (HRAC Grupo G (EPSPs))</t>
        </is>
      </c>
    </row>
    <row r="640" ht="22" customHeight="1">
      <c r="A640" s="12" t="inlineStr">
        <is>
          <t>ALV-0636</t>
        </is>
      </c>
      <c r="B640" s="11" t="n">
        <v>335</v>
      </c>
      <c r="C640" s="13" t="inlineStr">
        <is>
          <t>Nº 13614</t>
        </is>
      </c>
      <c r="D640" s="14" t="inlineStr">
        <is>
          <t>SOLDIER</t>
        </is>
      </c>
      <c r="E640" s="13" t="inlineStr">
        <is>
          <t>Herbicida</t>
        </is>
      </c>
      <c r="F640" s="13" t="inlineStr">
        <is>
          <t>Capim-pé-de-galinha</t>
        </is>
      </c>
      <c r="G640" s="13" t="inlineStr">
        <is>
          <t>Eleusine indica</t>
        </is>
      </c>
      <c r="H640" s="13" t="inlineStr">
        <is>
          <t>SIM (*)</t>
        </is>
      </c>
      <c r="I640" s="15" t="n">
        <v>1</v>
      </c>
      <c r="J640" s="18" t="n">
        <v>1.5</v>
      </c>
      <c r="K640" s="13" t="inlineStr">
        <is>
          <t>kg ou L/ha</t>
        </is>
      </c>
      <c r="L640" s="15" t="n">
        <v>1</v>
      </c>
      <c r="M640" s="13" t="inlineStr">
        <is>
          <t>Aplicar conforme monitoramento e estádio recomendado na bula (HRAC Grupo G (EPSPs))</t>
        </is>
      </c>
    </row>
    <row r="641" ht="22" customHeight="1">
      <c r="A641" s="6" t="inlineStr">
        <is>
          <t>ALV-0637</t>
        </is>
      </c>
      <c r="B641" s="5" t="n">
        <v>335</v>
      </c>
      <c r="C641" s="7" t="inlineStr">
        <is>
          <t>Nº 13614</t>
        </is>
      </c>
      <c r="D641" s="8" t="inlineStr">
        <is>
          <t>SOLDIER</t>
        </is>
      </c>
      <c r="E641" s="7" t="inlineStr">
        <is>
          <t>Herbicida</t>
        </is>
      </c>
      <c r="F641" s="7" t="inlineStr">
        <is>
          <t>Trapoeraba</t>
        </is>
      </c>
      <c r="G641" s="7" t="inlineStr">
        <is>
          <t>Commelina benghalensis</t>
        </is>
      </c>
      <c r="H641" s="7" t="inlineStr">
        <is>
          <t>NÃO</t>
        </is>
      </c>
      <c r="I641" s="9" t="n">
        <v>2</v>
      </c>
      <c r="J641" s="17" t="n">
        <v>3.5</v>
      </c>
      <c r="K641" s="7" t="inlineStr">
        <is>
          <t>kg ou L/ha</t>
        </is>
      </c>
      <c r="L641" s="9" t="n">
        <v>1</v>
      </c>
      <c r="M641" s="7" t="inlineStr">
        <is>
          <t>Aplicar conforme monitoramento e estádio recomendado na bula (HRAC Grupo G (EPSPs))</t>
        </is>
      </c>
    </row>
    <row r="642" ht="22" customHeight="1">
      <c r="A642" s="12" t="inlineStr">
        <is>
          <t>ALV-0638</t>
        </is>
      </c>
      <c r="B642" s="11" t="n">
        <v>336</v>
      </c>
      <c r="C642" s="13" t="inlineStr">
        <is>
          <t>Nº 26222</t>
        </is>
      </c>
      <c r="D642" s="14" t="inlineStr">
        <is>
          <t>DIQUAT VANON 200 SL</t>
        </is>
      </c>
      <c r="E642" s="13" t="inlineStr">
        <is>
          <t>Herbicida Dessecante</t>
        </is>
      </c>
      <c r="F642" s="13" t="inlineStr">
        <is>
          <t>Buva</t>
        </is>
      </c>
      <c r="G642" s="13" t="inlineStr">
        <is>
          <t>Conyza bonariensis</t>
        </is>
      </c>
      <c r="H642" s="13" t="inlineStr">
        <is>
          <t>NÃO</t>
        </is>
      </c>
      <c r="I642" s="18" t="n">
        <v>1.5</v>
      </c>
      <c r="J642" s="18" t="n">
        <v>2.5</v>
      </c>
      <c r="K642" s="13" t="inlineStr">
        <is>
          <t>L/ha</t>
        </is>
      </c>
      <c r="L642" s="15" t="n">
        <v>1</v>
      </c>
      <c r="M642" s="13" t="inlineStr">
        <is>
          <t>Aplicar conforme monitoramento e estádio recomendado na bula (HRAC Grupo D (22) — Desviadores de Elétrons do Fotossistema I)</t>
        </is>
      </c>
    </row>
    <row r="643" ht="22" customHeight="1">
      <c r="A643" s="6" t="inlineStr">
        <is>
          <t>ALV-0639</t>
        </is>
      </c>
      <c r="B643" s="5" t="n">
        <v>336</v>
      </c>
      <c r="C643" s="7" t="inlineStr">
        <is>
          <t>Nº 26222</t>
        </is>
      </c>
      <c r="D643" s="8" t="inlineStr">
        <is>
          <t>DIQUAT VANON 200 SL</t>
        </is>
      </c>
      <c r="E643" s="7" t="inlineStr">
        <is>
          <t>Herbicida Dessecante</t>
        </is>
      </c>
      <c r="F643" s="7" t="inlineStr">
        <is>
          <t>Corda-de-viola</t>
        </is>
      </c>
      <c r="G643" s="7" t="inlineStr">
        <is>
          <t>Ipomoea grandifolia</t>
        </is>
      </c>
      <c r="H643" s="7" t="inlineStr">
        <is>
          <t>NÃO</t>
        </is>
      </c>
      <c r="I643" s="17" t="n">
        <v>1.5</v>
      </c>
      <c r="J643" s="9" t="n">
        <v>2</v>
      </c>
      <c r="K643" s="7" t="inlineStr">
        <is>
          <t>L/ha</t>
        </is>
      </c>
      <c r="L643" s="9" t="n">
        <v>1</v>
      </c>
      <c r="M643" s="7" t="inlineStr">
        <is>
          <t>Aplicar conforme monitoramento e estádio recomendado na bula (HRAC Grupo D (22) — Desviadores de Elétrons do Fotossistema I)</t>
        </is>
      </c>
    </row>
    <row r="644" ht="22" customHeight="1">
      <c r="A644" s="12" t="inlineStr">
        <is>
          <t>ALV-0640</t>
        </is>
      </c>
      <c r="B644" s="11" t="n">
        <v>336</v>
      </c>
      <c r="C644" s="13" t="inlineStr">
        <is>
          <t>Nº 26222</t>
        </is>
      </c>
      <c r="D644" s="14" t="inlineStr">
        <is>
          <t>DIQUAT VANON 200 SL</t>
        </is>
      </c>
      <c r="E644" s="13" t="inlineStr">
        <is>
          <t>Herbicida Dessecante</t>
        </is>
      </c>
      <c r="F644" s="13" t="inlineStr">
        <is>
          <t>Dessecação Pré-Colheita Soja</t>
        </is>
      </c>
      <c r="G644" s="13" t="inlineStr">
        <is>
          <t>Glycine max</t>
        </is>
      </c>
      <c r="H644" s="13" t="inlineStr">
        <is>
          <t>NÃO</t>
        </is>
      </c>
      <c r="I644" s="18" t="n">
        <v>1.5</v>
      </c>
      <c r="J644" s="15" t="n">
        <v>2</v>
      </c>
      <c r="K644" s="13" t="inlineStr">
        <is>
          <t>L/ha</t>
        </is>
      </c>
      <c r="L644" s="15" t="n">
        <v>1</v>
      </c>
      <c r="M644" s="13" t="inlineStr">
        <is>
          <t>Aplicar conforme monitoramento e estádio recomendado na bula (HRAC Grupo D (22) — Desviadores de Elétrons do Fotossistema I)</t>
        </is>
      </c>
    </row>
    <row r="645" ht="22" customHeight="1">
      <c r="A645" s="6" t="inlineStr">
        <is>
          <t>ALV-0641</t>
        </is>
      </c>
      <c r="B645" s="5" t="n">
        <v>337</v>
      </c>
      <c r="C645" s="7" t="inlineStr">
        <is>
          <t>Nº 0921</t>
        </is>
      </c>
      <c r="D645" s="8" t="inlineStr">
        <is>
          <t>ELIMINATE</t>
        </is>
      </c>
      <c r="E645" s="7" t="inlineStr">
        <is>
          <t>Herbicida</t>
        </is>
      </c>
      <c r="F645" s="7" t="inlineStr">
        <is>
          <t>Buva</t>
        </is>
      </c>
      <c r="G645" s="7" t="inlineStr">
        <is>
          <t>Conyza bonariensis</t>
        </is>
      </c>
      <c r="H645" s="7" t="inlineStr">
        <is>
          <t>NÃO</t>
        </is>
      </c>
      <c r="I645" s="9" t="n">
        <v>2</v>
      </c>
      <c r="J645" s="9" t="n">
        <v>3</v>
      </c>
      <c r="K645" s="7" t="inlineStr">
        <is>
          <t>L/ha</t>
        </is>
      </c>
      <c r="L645" s="9" t="n">
        <v>1</v>
      </c>
      <c r="M645" s="7" t="inlineStr">
        <is>
          <t>Aplicar conforme monitoramento e estádio recomendado na bula (HRAC Grupo H (10) — Inibidores da Glutamina Sintetase)</t>
        </is>
      </c>
    </row>
    <row r="646" ht="22" customHeight="1">
      <c r="A646" s="12" t="inlineStr">
        <is>
          <t>ALV-0642</t>
        </is>
      </c>
      <c r="B646" s="11" t="n">
        <v>337</v>
      </c>
      <c r="C646" s="13" t="inlineStr">
        <is>
          <t>Nº 0921</t>
        </is>
      </c>
      <c r="D646" s="14" t="inlineStr">
        <is>
          <t>ELIMINATE</t>
        </is>
      </c>
      <c r="E646" s="13" t="inlineStr">
        <is>
          <t>Herbicida</t>
        </is>
      </c>
      <c r="F646" s="13" t="inlineStr">
        <is>
          <t>Capim-pé-de-galinha</t>
        </is>
      </c>
      <c r="G646" s="13" t="inlineStr">
        <is>
          <t>Eleusine indica</t>
        </is>
      </c>
      <c r="H646" s="13" t="inlineStr">
        <is>
          <t>NÃO</t>
        </is>
      </c>
      <c r="I646" s="15" t="n">
        <v>2</v>
      </c>
      <c r="J646" s="18" t="n">
        <v>2.5</v>
      </c>
      <c r="K646" s="13" t="inlineStr">
        <is>
          <t>L/ha</t>
        </is>
      </c>
      <c r="L646" s="15" t="n">
        <v>1</v>
      </c>
      <c r="M646" s="13" t="inlineStr">
        <is>
          <t>Aplicar conforme monitoramento e estádio recomendado na bula (HRAC Grupo H (10) — Inibidores da Glutamina Sintetase)</t>
        </is>
      </c>
    </row>
    <row r="647" ht="22" customHeight="1">
      <c r="A647" s="6" t="inlineStr">
        <is>
          <t>ALV-0643</t>
        </is>
      </c>
      <c r="B647" s="5" t="n">
        <v>337</v>
      </c>
      <c r="C647" s="7" t="inlineStr">
        <is>
          <t>Nº 0921</t>
        </is>
      </c>
      <c r="D647" s="8" t="inlineStr">
        <is>
          <t>ELIMINATE</t>
        </is>
      </c>
      <c r="E647" s="7" t="inlineStr">
        <is>
          <t>Herbicida</t>
        </is>
      </c>
      <c r="F647" s="7" t="inlineStr">
        <is>
          <t>Caruru</t>
        </is>
      </c>
      <c r="G647" s="7" t="inlineStr">
        <is>
          <t>Amaranthus hybridus</t>
        </is>
      </c>
      <c r="H647" s="7" t="inlineStr">
        <is>
          <t>NÃO</t>
        </is>
      </c>
      <c r="I647" s="17" t="n">
        <v>1.5</v>
      </c>
      <c r="J647" s="17" t="n">
        <v>2.5</v>
      </c>
      <c r="K647" s="7" t="inlineStr">
        <is>
          <t>L/ha</t>
        </is>
      </c>
      <c r="L647" s="9" t="n">
        <v>1</v>
      </c>
      <c r="M647" s="7" t="inlineStr">
        <is>
          <t>Aplicar conforme monitoramento e estádio recomendado na bula (HRAC Grupo H (10) — Inibidores da Glutamina Sintetase)</t>
        </is>
      </c>
    </row>
    <row r="648" ht="22" customHeight="1">
      <c r="A648" s="12" t="inlineStr">
        <is>
          <t>ALV-0644</t>
        </is>
      </c>
      <c r="B648" s="11" t="n">
        <v>338</v>
      </c>
      <c r="C648" s="13" t="inlineStr">
        <is>
          <t>Nº 6217</t>
        </is>
      </c>
      <c r="D648" s="14" t="inlineStr">
        <is>
          <t>COMBOIO 800 WG</t>
        </is>
      </c>
      <c r="E648" s="13" t="inlineStr">
        <is>
          <t>Inseticida e Cupinicida (Fipronil)</t>
        </is>
      </c>
      <c r="F648" s="13" t="inlineStr">
        <is>
          <t>Coró</t>
        </is>
      </c>
      <c r="G648" s="13" t="inlineStr">
        <is>
          <t>Phyllophaga cuyabana</t>
        </is>
      </c>
      <c r="H648" s="13" t="inlineStr">
        <is>
          <t>NÃO</t>
        </is>
      </c>
      <c r="I648" s="18" t="n">
        <v>0.1</v>
      </c>
      <c r="J648" s="18" t="n">
        <v>0.2</v>
      </c>
      <c r="K648" s="13" t="inlineStr">
        <is>
          <t>L/100kg sem.</t>
        </is>
      </c>
      <c r="L648" s="15" t="n">
        <v>1</v>
      </c>
      <c r="M648" s="13" t="inlineStr">
        <is>
          <t>Aplicar conforme monitoramento e estádio recomendado na bula (IRAC Grupo 2B)</t>
        </is>
      </c>
    </row>
    <row r="649" ht="22" customHeight="1">
      <c r="A649" s="6" t="inlineStr">
        <is>
          <t>ALV-0645</t>
        </is>
      </c>
      <c r="B649" s="5" t="n">
        <v>338</v>
      </c>
      <c r="C649" s="7" t="inlineStr">
        <is>
          <t>Nº 6217</t>
        </is>
      </c>
      <c r="D649" s="8" t="inlineStr">
        <is>
          <t>COMBOIO 800 WG</t>
        </is>
      </c>
      <c r="E649" s="7" t="inlineStr">
        <is>
          <t>Inseticida e Cupinicida (Fipronil)</t>
        </is>
      </c>
      <c r="F649" s="7" t="inlineStr">
        <is>
          <t>Lagarta-elasmo</t>
        </is>
      </c>
      <c r="G649" s="7" t="inlineStr">
        <is>
          <t>Elasmopalpus lignosellus</t>
        </is>
      </c>
      <c r="H649" s="7" t="inlineStr">
        <is>
          <t>NÃO</t>
        </is>
      </c>
      <c r="I649" s="17" t="n">
        <v>0.1</v>
      </c>
      <c r="J649" s="17" t="n">
        <v>0.2</v>
      </c>
      <c r="K649" s="7" t="inlineStr">
        <is>
          <t>L/100kg sem.</t>
        </is>
      </c>
      <c r="L649" s="9" t="n">
        <v>1</v>
      </c>
      <c r="M649" s="7" t="inlineStr">
        <is>
          <t>Aplicar conforme monitoramento e estádio recomendado na bula (IRAC Grupo 2B)</t>
        </is>
      </c>
    </row>
    <row r="650" ht="22" customHeight="1">
      <c r="A650" s="12" t="inlineStr">
        <is>
          <t>ALV-0646</t>
        </is>
      </c>
      <c r="B650" s="11" t="n">
        <v>338</v>
      </c>
      <c r="C650" s="13" t="inlineStr">
        <is>
          <t>Nº 6217</t>
        </is>
      </c>
      <c r="D650" s="14" t="inlineStr">
        <is>
          <t>COMBOIO 800 WG</t>
        </is>
      </c>
      <c r="E650" s="13" t="inlineStr">
        <is>
          <t>Inseticida e Cupinicida (Fipronil)</t>
        </is>
      </c>
      <c r="F650" s="13" t="inlineStr">
        <is>
          <t>Cupim-de-montículo</t>
        </is>
      </c>
      <c r="G650" s="13" t="inlineStr">
        <is>
          <t>Procornitermes triacifer</t>
        </is>
      </c>
      <c r="H650" s="13" t="inlineStr">
        <is>
          <t>NÃO</t>
        </is>
      </c>
      <c r="I650" s="18" t="n">
        <v>0.05</v>
      </c>
      <c r="J650" s="18" t="n">
        <v>0.2</v>
      </c>
      <c r="K650" s="13" t="inlineStr">
        <is>
          <t>kg ou L/ha</t>
        </is>
      </c>
      <c r="L650" s="15" t="n">
        <v>1</v>
      </c>
      <c r="M650" s="13" t="inlineStr">
        <is>
          <t>Aplicar conforme monitoramento e estádio recomendado na bula (IRAC Grupo 2B)</t>
        </is>
      </c>
    </row>
    <row r="651" ht="22" customHeight="1">
      <c r="A651" s="6" t="inlineStr">
        <is>
          <t>ALV-0647</t>
        </is>
      </c>
      <c r="B651" s="5" t="n">
        <v>339</v>
      </c>
      <c r="C651" s="7" t="inlineStr">
        <is>
          <t>Nº 28421</t>
        </is>
      </c>
      <c r="D651" s="8" t="inlineStr">
        <is>
          <t>CLORFENAPIR 240 (PRINCIPIO ATIVO)</t>
        </is>
      </c>
      <c r="E651" s="7" t="inlineStr">
        <is>
          <t>Insumo Industrial</t>
        </is>
      </c>
      <c r="F651" s="7" t="inlineStr">
        <is>
          <t>Matéria-prima para Formulação Industrial</t>
        </is>
      </c>
      <c r="G651" s="7" t="inlineStr">
        <is>
          <t>Uso Industrial Credenciado MAPA</t>
        </is>
      </c>
      <c r="H651" s="7" t="inlineStr">
        <is>
          <t>NÃO</t>
        </is>
      </c>
      <c r="I651" s="9" t="n">
        <v>0</v>
      </c>
      <c r="J651" s="9" t="n">
        <v>0</v>
      </c>
      <c r="K651" s="7" t="inlineStr">
        <is>
          <t>L</t>
        </is>
      </c>
      <c r="L651" s="9" t="n">
        <v>1</v>
      </c>
      <c r="M651" s="7" t="inlineStr">
        <is>
          <t>Uso restrito a estabelecimentos formuladores registrados</t>
        </is>
      </c>
    </row>
    <row r="652" ht="22" customHeight="1">
      <c r="A652" s="12" t="inlineStr">
        <is>
          <t>ALV-0648</t>
        </is>
      </c>
      <c r="B652" s="11" t="n">
        <v>340</v>
      </c>
      <c r="C652" s="13" t="inlineStr">
        <is>
          <t>Nº 5321</t>
        </is>
      </c>
      <c r="D652" s="14" t="inlineStr">
        <is>
          <t>ELUNEY</t>
        </is>
      </c>
      <c r="E652" s="13" t="inlineStr">
        <is>
          <t>Fungicida</t>
        </is>
      </c>
      <c r="F652" s="13" t="inlineStr">
        <is>
          <t>Mofo-branco</t>
        </is>
      </c>
      <c r="G652" s="13" t="inlineStr">
        <is>
          <t>Sclerotinia sclerotiorum</t>
        </is>
      </c>
      <c r="H652" s="13" t="inlineStr">
        <is>
          <t>NÃO</t>
        </is>
      </c>
      <c r="I652" s="15" t="n">
        <v>1</v>
      </c>
      <c r="J652" s="18" t="n">
        <v>1.5</v>
      </c>
      <c r="K652" s="13" t="inlineStr">
        <is>
          <t>L/ha</t>
        </is>
      </c>
      <c r="L652" s="15" t="n">
        <v>1</v>
      </c>
      <c r="M652" s="13" t="inlineStr">
        <is>
          <t>Aplicar conforme monitoramento e estádio recomendado na bula (FRAC Grupo 29)</t>
        </is>
      </c>
    </row>
    <row r="653" ht="22" customHeight="1">
      <c r="A653" s="6" t="inlineStr">
        <is>
          <t>ALV-0649</t>
        </is>
      </c>
      <c r="B653" s="5" t="n">
        <v>340</v>
      </c>
      <c r="C653" s="7" t="inlineStr">
        <is>
          <t>Nº 5321</t>
        </is>
      </c>
      <c r="D653" s="8" t="inlineStr">
        <is>
          <t>ELUNEY</t>
        </is>
      </c>
      <c r="E653" s="7" t="inlineStr">
        <is>
          <t>Fungicida</t>
        </is>
      </c>
      <c r="F653" s="7" t="inlineStr">
        <is>
          <t>Requeima</t>
        </is>
      </c>
      <c r="G653" s="7" t="inlineStr">
        <is>
          <t>Phytophthora infestans</t>
        </is>
      </c>
      <c r="H653" s="7" t="inlineStr">
        <is>
          <t>NÃO</t>
        </is>
      </c>
      <c r="I653" s="17" t="n">
        <v>0.75</v>
      </c>
      <c r="J653" s="9" t="n">
        <v>1</v>
      </c>
      <c r="K653" s="7" t="inlineStr">
        <is>
          <t>L/ha</t>
        </is>
      </c>
      <c r="L653" s="9" t="n">
        <v>1</v>
      </c>
      <c r="M653" s="7" t="inlineStr">
        <is>
          <t>Aplicar conforme monitoramento e estádio recomendado na bula (FRAC Grupo 29)</t>
        </is>
      </c>
    </row>
    <row r="654" ht="22" customHeight="1">
      <c r="A654" s="12" t="inlineStr">
        <is>
          <t>ALV-0650</t>
        </is>
      </c>
      <c r="B654" s="11" t="n">
        <v>341</v>
      </c>
      <c r="C654" s="13" t="inlineStr">
        <is>
          <t>Nº 44024</t>
        </is>
      </c>
      <c r="D654" s="14" t="inlineStr">
        <is>
          <t>BIOLOGIC BRAVIA</t>
        </is>
      </c>
      <c r="E654" s="13" t="inlineStr">
        <is>
          <t>Bioinseticida (Biológico)</t>
        </is>
      </c>
      <c r="F654" s="13" t="inlineStr">
        <is>
          <t>Mosca-branca</t>
        </is>
      </c>
      <c r="G654" s="13" t="inlineStr">
        <is>
          <t>Bemisia tabaci raça B</t>
        </is>
      </c>
      <c r="H654" s="13" t="inlineStr">
        <is>
          <t>NÃO</t>
        </is>
      </c>
      <c r="I654" s="18" t="n">
        <v>0.5</v>
      </c>
      <c r="J654" s="18" t="n">
        <v>1.5</v>
      </c>
      <c r="K654" s="13" t="inlineStr">
        <is>
          <t>kg ou L/ha</t>
        </is>
      </c>
      <c r="L654" s="15" t="n">
        <v>1</v>
      </c>
      <c r="M654" s="13" t="inlineStr">
        <is>
          <t>Aplicar conforme monitoramento e estádio recomendado na bula (IRAC Grupo UNF — Biológico Multissítio)</t>
        </is>
      </c>
    </row>
    <row r="655" ht="22" customHeight="1">
      <c r="A655" s="6" t="inlineStr">
        <is>
          <t>ALV-0651</t>
        </is>
      </c>
      <c r="B655" s="5" t="n">
        <v>341</v>
      </c>
      <c r="C655" s="7" t="inlineStr">
        <is>
          <t>Nº 44024</t>
        </is>
      </c>
      <c r="D655" s="8" t="inlineStr">
        <is>
          <t>BIOLOGIC BRAVIA</t>
        </is>
      </c>
      <c r="E655" s="7" t="inlineStr">
        <is>
          <t>Bioinseticida (Biológico)</t>
        </is>
      </c>
      <c r="F655" s="7" t="inlineStr">
        <is>
          <t>Cigarrinha-do-milho</t>
        </is>
      </c>
      <c r="G655" s="7" t="inlineStr">
        <is>
          <t>Dalbulus maidis</t>
        </is>
      </c>
      <c r="H655" s="7" t="inlineStr">
        <is>
          <t>NÃO</t>
        </is>
      </c>
      <c r="I655" s="17" t="n">
        <v>0.5</v>
      </c>
      <c r="J655" s="9" t="n">
        <v>1</v>
      </c>
      <c r="K655" s="7" t="inlineStr">
        <is>
          <t>kg ou L/ha</t>
        </is>
      </c>
      <c r="L655" s="9" t="n">
        <v>1</v>
      </c>
      <c r="M655" s="7" t="inlineStr">
        <is>
          <t>Aplicar conforme monitoramento e estádio recomendado na bula (IRAC Grupo UNF — Biológico Multissítio)</t>
        </is>
      </c>
    </row>
    <row r="656" ht="22" customHeight="1">
      <c r="A656" s="12" t="inlineStr">
        <is>
          <t>ALV-0652</t>
        </is>
      </c>
      <c r="B656" s="11" t="n">
        <v>341</v>
      </c>
      <c r="C656" s="13" t="inlineStr">
        <is>
          <t>Nº 44024</t>
        </is>
      </c>
      <c r="D656" s="14" t="inlineStr">
        <is>
          <t>BIOLOGIC BRAVIA</t>
        </is>
      </c>
      <c r="E656" s="13" t="inlineStr">
        <is>
          <t>Bioinseticida (Biológico)</t>
        </is>
      </c>
      <c r="F656" s="13" t="inlineStr">
        <is>
          <t>Ácaro-rajado</t>
        </is>
      </c>
      <c r="G656" s="13" t="inlineStr">
        <is>
          <t>Tetranychus urticae</t>
        </is>
      </c>
      <c r="H656" s="13" t="inlineStr">
        <is>
          <t>NÃO</t>
        </is>
      </c>
      <c r="I656" s="18" t="n">
        <v>0.5</v>
      </c>
      <c r="J656" s="18" t="n">
        <v>1.5</v>
      </c>
      <c r="K656" s="13" t="inlineStr">
        <is>
          <t>kg ou L/ha</t>
        </is>
      </c>
      <c r="L656" s="15" t="n">
        <v>1</v>
      </c>
      <c r="M656" s="13" t="inlineStr">
        <is>
          <t>Aplicar conforme monitoramento e estádio recomendado na bula (IRAC Grupo UNF — Biológico Multissítio)</t>
        </is>
      </c>
    </row>
    <row r="657" ht="22" customHeight="1">
      <c r="A657" s="6" t="inlineStr">
        <is>
          <t>ALV-0653</t>
        </is>
      </c>
      <c r="B657" s="5" t="n">
        <v>342</v>
      </c>
      <c r="C657" s="7" t="inlineStr">
        <is>
          <t>VINCULAR MARCA</t>
        </is>
      </c>
      <c r="D657" s="8" t="inlineStr">
        <is>
          <t>CARFENTRAZONE 400 EC (PRINCIPIO ATIVO)</t>
        </is>
      </c>
      <c r="E657" s="7" t="inlineStr">
        <is>
          <t>Insumo Industrial</t>
        </is>
      </c>
      <c r="F657" s="7" t="inlineStr">
        <is>
          <t>Matéria-prima para Formulação Industrial</t>
        </is>
      </c>
      <c r="G657" s="7" t="inlineStr">
        <is>
          <t>Uso Industrial Credenciado MAPA</t>
        </is>
      </c>
      <c r="H657" s="7" t="inlineStr">
        <is>
          <t>NÃO</t>
        </is>
      </c>
      <c r="I657" s="9" t="n">
        <v>0</v>
      </c>
      <c r="J657" s="9" t="n">
        <v>0</v>
      </c>
      <c r="K657" s="7" t="inlineStr">
        <is>
          <t>L</t>
        </is>
      </c>
      <c r="L657" s="9" t="n">
        <v>1</v>
      </c>
      <c r="M657" s="7" t="inlineStr">
        <is>
          <t>Uso restrito a estabelecimentos formuladores registrados</t>
        </is>
      </c>
    </row>
    <row r="658" ht="22" customHeight="1">
      <c r="A658" s="12" t="inlineStr">
        <is>
          <t>ALV-0654</t>
        </is>
      </c>
      <c r="B658" s="11" t="n">
        <v>343</v>
      </c>
      <c r="C658" s="13" t="inlineStr">
        <is>
          <t>Nº 14521</t>
        </is>
      </c>
      <c r="D658" s="14" t="inlineStr">
        <is>
          <t>SAURUS WG</t>
        </is>
      </c>
      <c r="E658" s="13" t="inlineStr">
        <is>
          <t>Inseticida</t>
        </is>
      </c>
      <c r="F658" s="13" t="inlineStr">
        <is>
          <t>Mosca-branca</t>
        </is>
      </c>
      <c r="G658" s="13" t="inlineStr">
        <is>
          <t>Bemisia tabaci raça B</t>
        </is>
      </c>
      <c r="H658" s="13" t="inlineStr">
        <is>
          <t>SIM (*)</t>
        </is>
      </c>
      <c r="I658" s="18" t="n">
        <v>0.2</v>
      </c>
      <c r="J658" s="18" t="n">
        <v>0.3</v>
      </c>
      <c r="K658" s="13" t="inlineStr">
        <is>
          <t>kg/ha</t>
        </is>
      </c>
      <c r="L658" s="15" t="n">
        <v>1</v>
      </c>
      <c r="M658" s="13" t="inlineStr">
        <is>
          <t>Aplicar conforme monitoramento e estádio recomendado na bula (IRAC Grupo 4A)</t>
        </is>
      </c>
    </row>
    <row r="659" ht="22" customHeight="1">
      <c r="A659" s="6" t="inlineStr">
        <is>
          <t>ALV-0655</t>
        </is>
      </c>
      <c r="B659" s="5" t="n">
        <v>343</v>
      </c>
      <c r="C659" s="7" t="inlineStr">
        <is>
          <t>Nº 14521</t>
        </is>
      </c>
      <c r="D659" s="8" t="inlineStr">
        <is>
          <t>SAURUS WG</t>
        </is>
      </c>
      <c r="E659" s="7" t="inlineStr">
        <is>
          <t>Inseticida</t>
        </is>
      </c>
      <c r="F659" s="7" t="inlineStr">
        <is>
          <t>Pulgão-do-algodoeiro</t>
        </is>
      </c>
      <c r="G659" s="7" t="inlineStr">
        <is>
          <t>Aphis gossypii</t>
        </is>
      </c>
      <c r="H659" s="7" t="inlineStr">
        <is>
          <t>NÃO</t>
        </is>
      </c>
      <c r="I659" s="17" t="n">
        <v>0.15</v>
      </c>
      <c r="J659" s="17" t="n">
        <v>0.25</v>
      </c>
      <c r="K659" s="7" t="inlineStr">
        <is>
          <t>kg/ha</t>
        </is>
      </c>
      <c r="L659" s="9" t="n">
        <v>1</v>
      </c>
      <c r="M659" s="7" t="inlineStr">
        <is>
          <t>Aplicar conforme monitoramento e estádio recomendado na bula (IRAC Grupo 4A)</t>
        </is>
      </c>
    </row>
    <row r="660" ht="22" customHeight="1">
      <c r="A660" s="12" t="inlineStr">
        <is>
          <t>ALV-0656</t>
        </is>
      </c>
      <c r="B660" s="11" t="n">
        <v>343</v>
      </c>
      <c r="C660" s="13" t="inlineStr">
        <is>
          <t>Nº 14521</t>
        </is>
      </c>
      <c r="D660" s="14" t="inlineStr">
        <is>
          <t>SAURUS WG</t>
        </is>
      </c>
      <c r="E660" s="13" t="inlineStr">
        <is>
          <t>Inseticida</t>
        </is>
      </c>
      <c r="F660" s="13" t="inlineStr">
        <is>
          <t>Percevejo-marrom</t>
        </is>
      </c>
      <c r="G660" s="13" t="inlineStr">
        <is>
          <t>Euschistus heros</t>
        </is>
      </c>
      <c r="H660" s="13" t="inlineStr">
        <is>
          <t>NÃO</t>
        </is>
      </c>
      <c r="I660" s="18" t="n">
        <v>0.25</v>
      </c>
      <c r="J660" s="18" t="n">
        <v>0.35</v>
      </c>
      <c r="K660" s="13" t="inlineStr">
        <is>
          <t>kg/ha</t>
        </is>
      </c>
      <c r="L660" s="15" t="n">
        <v>1</v>
      </c>
      <c r="M660" s="13" t="inlineStr">
        <is>
          <t>Aplicar conforme monitoramento e estádio recomendado na bula (IRAC Grupo 4A)</t>
        </is>
      </c>
    </row>
    <row r="661" ht="22" customHeight="1">
      <c r="A661" s="6" t="inlineStr">
        <is>
          <t>ALV-0657</t>
        </is>
      </c>
      <c r="B661" s="5" t="n">
        <v>344</v>
      </c>
      <c r="C661" s="7" t="inlineStr">
        <is>
          <t>Nº 0122</t>
        </is>
      </c>
      <c r="D661" s="8" t="inlineStr">
        <is>
          <t>EXCALIA MAX</t>
        </is>
      </c>
      <c r="E661" s="7" t="inlineStr">
        <is>
          <t>Fungicida</t>
        </is>
      </c>
      <c r="F661" s="7" t="inlineStr">
        <is>
          <t>Ferrugem-asiática</t>
        </is>
      </c>
      <c r="G661" s="7" t="inlineStr">
        <is>
          <t>Phakopsora pachyrhizi</t>
        </is>
      </c>
      <c r="H661" s="7" t="inlineStr">
        <is>
          <t>SIM (*)</t>
        </is>
      </c>
      <c r="I661" s="17" t="n">
        <v>0.35</v>
      </c>
      <c r="J661" s="17" t="n">
        <v>0.5</v>
      </c>
      <c r="K661" s="7" t="inlineStr">
        <is>
          <t>L/ha</t>
        </is>
      </c>
      <c r="L661" s="9" t="n">
        <v>1</v>
      </c>
      <c r="M661" s="7" t="inlineStr">
        <is>
          <t>Aplicar conforme monitoramento e estádio recomendado na bula (FRAC Grupo 3 (DMI))</t>
        </is>
      </c>
    </row>
    <row r="662" ht="22" customHeight="1">
      <c r="A662" s="12" t="inlineStr">
        <is>
          <t>ALV-0658</t>
        </is>
      </c>
      <c r="B662" s="11" t="n">
        <v>344</v>
      </c>
      <c r="C662" s="13" t="inlineStr">
        <is>
          <t>Nº 0122</t>
        </is>
      </c>
      <c r="D662" s="14" t="inlineStr">
        <is>
          <t>EXCALIA MAX</t>
        </is>
      </c>
      <c r="E662" s="13" t="inlineStr">
        <is>
          <t>Fungicida</t>
        </is>
      </c>
      <c r="F662" s="13" t="inlineStr">
        <is>
          <t>Mancha-parda</t>
        </is>
      </c>
      <c r="G662" s="13" t="inlineStr">
        <is>
          <t>Septoria glycines</t>
        </is>
      </c>
      <c r="H662" s="13" t="inlineStr">
        <is>
          <t>NÃO</t>
        </is>
      </c>
      <c r="I662" s="18" t="n">
        <v>0.35</v>
      </c>
      <c r="J662" s="18" t="n">
        <v>0.5</v>
      </c>
      <c r="K662" s="13" t="inlineStr">
        <is>
          <t>L/ha</t>
        </is>
      </c>
      <c r="L662" s="15" t="n">
        <v>1</v>
      </c>
      <c r="M662" s="13" t="inlineStr">
        <is>
          <t>Aplicar conforme monitoramento e estádio recomendado na bula (FRAC Grupo 3 (DMI))</t>
        </is>
      </c>
    </row>
    <row r="663" ht="22" customHeight="1">
      <c r="A663" s="6" t="inlineStr">
        <is>
          <t>ALV-0659</t>
        </is>
      </c>
      <c r="B663" s="5" t="n">
        <v>345</v>
      </c>
      <c r="C663" s="7" t="inlineStr">
        <is>
          <t>Nº 3922</t>
        </is>
      </c>
      <c r="D663" s="8" t="inlineStr">
        <is>
          <t>BELYAN</t>
        </is>
      </c>
      <c r="E663" s="7" t="inlineStr">
        <is>
          <t>Fungicida</t>
        </is>
      </c>
      <c r="F663" s="7" t="inlineStr">
        <is>
          <t>Complexo de Doenças Foliares e Ferrugem</t>
        </is>
      </c>
      <c r="G663" s="7" t="inlineStr">
        <is>
          <t>Phakopsora pachyrhizi / Corynespora</t>
        </is>
      </c>
      <c r="H663" s="7" t="inlineStr">
        <is>
          <t>NÃO</t>
        </is>
      </c>
      <c r="I663" s="17" t="n">
        <v>0.3</v>
      </c>
      <c r="J663" s="17" t="n">
        <v>1.5</v>
      </c>
      <c r="K663" s="7" t="inlineStr">
        <is>
          <t>L ou kg/ha</t>
        </is>
      </c>
      <c r="L663" s="9" t="n">
        <v>1</v>
      </c>
      <c r="M663" s="7" t="inlineStr">
        <is>
          <t>Aplicar conforme monitoramento e estádio recomendado na bula (Classificação FRAC Oficial conforme Bula)</t>
        </is>
      </c>
    </row>
    <row r="664" ht="22" customHeight="1">
      <c r="A664" s="12" t="inlineStr">
        <is>
          <t>ALV-0660</t>
        </is>
      </c>
      <c r="B664" s="11" t="n">
        <v>346</v>
      </c>
      <c r="C664" s="13" t="inlineStr">
        <is>
          <t>Nº 9517</t>
        </is>
      </c>
      <c r="D664" s="14" t="inlineStr">
        <is>
          <t>FUSAO EC</t>
        </is>
      </c>
      <c r="E664" s="13" t="inlineStr">
        <is>
          <t>Fungicida</t>
        </is>
      </c>
      <c r="F664" s="13" t="inlineStr">
        <is>
          <t>Ferrugem-asiática</t>
        </is>
      </c>
      <c r="G664" s="13" t="inlineStr">
        <is>
          <t>Phakopsora pachyrhizi</t>
        </is>
      </c>
      <c r="H664" s="13" t="inlineStr">
        <is>
          <t>SIM (*)</t>
        </is>
      </c>
      <c r="I664" s="18" t="n">
        <v>0.35</v>
      </c>
      <c r="J664" s="18" t="n">
        <v>0.5</v>
      </c>
      <c r="K664" s="13" t="inlineStr">
        <is>
          <t>L/ha</t>
        </is>
      </c>
      <c r="L664" s="15" t="n">
        <v>1</v>
      </c>
      <c r="M664" s="13" t="inlineStr">
        <is>
          <t>Aplicar conforme monitoramento e estádio recomendado na bula (FRAC Grupo 3 (DMI))</t>
        </is>
      </c>
    </row>
    <row r="665" ht="22" customHeight="1">
      <c r="A665" s="6" t="inlineStr">
        <is>
          <t>ALV-0661</t>
        </is>
      </c>
      <c r="B665" s="5" t="n">
        <v>346</v>
      </c>
      <c r="C665" s="7" t="inlineStr">
        <is>
          <t>Nº 9517</t>
        </is>
      </c>
      <c r="D665" s="8" t="inlineStr">
        <is>
          <t>FUSAO EC</t>
        </is>
      </c>
      <c r="E665" s="7" t="inlineStr">
        <is>
          <t>Fungicida</t>
        </is>
      </c>
      <c r="F665" s="7" t="inlineStr">
        <is>
          <t>Mancha-parda</t>
        </is>
      </c>
      <c r="G665" s="7" t="inlineStr">
        <is>
          <t>Septoria glycines</t>
        </is>
      </c>
      <c r="H665" s="7" t="inlineStr">
        <is>
          <t>NÃO</t>
        </is>
      </c>
      <c r="I665" s="17" t="n">
        <v>0.35</v>
      </c>
      <c r="J665" s="17" t="n">
        <v>0.5</v>
      </c>
      <c r="K665" s="7" t="inlineStr">
        <is>
          <t>L/ha</t>
        </is>
      </c>
      <c r="L665" s="9" t="n">
        <v>1</v>
      </c>
      <c r="M665" s="7" t="inlineStr">
        <is>
          <t>Aplicar conforme monitoramento e estádio recomendado na bula (FRAC Grupo 3 (DMI))</t>
        </is>
      </c>
    </row>
    <row r="666" ht="22" customHeight="1">
      <c r="A666" s="12" t="inlineStr">
        <is>
          <t>ALV-0662</t>
        </is>
      </c>
      <c r="B666" s="11" t="n">
        <v>347</v>
      </c>
      <c r="C666" s="13" t="inlineStr">
        <is>
          <t>Nº 8912</t>
        </is>
      </c>
      <c r="D666" s="14" t="inlineStr">
        <is>
          <t>GLIFOSATO 698 CRUCIAL SL</t>
        </is>
      </c>
      <c r="E666" s="13" t="inlineStr">
        <is>
          <t>Herbicida</t>
        </is>
      </c>
      <c r="F666" s="13" t="inlineStr">
        <is>
          <t>Capim-amargoso</t>
        </is>
      </c>
      <c r="G666" s="13" t="inlineStr">
        <is>
          <t>Digitaria insularis</t>
        </is>
      </c>
      <c r="H666" s="13" t="inlineStr">
        <is>
          <t>SIM (*)</t>
        </is>
      </c>
      <c r="I666" s="18" t="n">
        <v>1.5</v>
      </c>
      <c r="J666" s="18" t="n">
        <v>2.5</v>
      </c>
      <c r="K666" s="13" t="inlineStr">
        <is>
          <t>kg ou L/ha</t>
        </is>
      </c>
      <c r="L666" s="15" t="n">
        <v>1</v>
      </c>
      <c r="M666" s="13" t="inlineStr">
        <is>
          <t>Aplicar conforme monitoramento e estádio recomendado na bula (HRAC Grupo G (EPSPs))</t>
        </is>
      </c>
    </row>
    <row r="667" ht="22" customHeight="1">
      <c r="A667" s="6" t="inlineStr">
        <is>
          <t>ALV-0663</t>
        </is>
      </c>
      <c r="B667" s="5" t="n">
        <v>347</v>
      </c>
      <c r="C667" s="7" t="inlineStr">
        <is>
          <t>Nº 8912</t>
        </is>
      </c>
      <c r="D667" s="8" t="inlineStr">
        <is>
          <t>GLIFOSATO 698 CRUCIAL SL</t>
        </is>
      </c>
      <c r="E667" s="7" t="inlineStr">
        <is>
          <t>Herbicida</t>
        </is>
      </c>
      <c r="F667" s="7" t="inlineStr">
        <is>
          <t>Buva</t>
        </is>
      </c>
      <c r="G667" s="7" t="inlineStr">
        <is>
          <t>Conyza bonariensis</t>
        </is>
      </c>
      <c r="H667" s="7" t="inlineStr">
        <is>
          <t>SIM (*)</t>
        </is>
      </c>
      <c r="I667" s="9" t="n">
        <v>1</v>
      </c>
      <c r="J667" s="9" t="n">
        <v>2</v>
      </c>
      <c r="K667" s="7" t="inlineStr">
        <is>
          <t>kg ou L/ha</t>
        </is>
      </c>
      <c r="L667" s="9" t="n">
        <v>1</v>
      </c>
      <c r="M667" s="7" t="inlineStr">
        <is>
          <t>Aplicar conforme monitoramento e estádio recomendado na bula (HRAC Grupo G (EPSPs))</t>
        </is>
      </c>
    </row>
    <row r="668" ht="22" customHeight="1">
      <c r="A668" s="12" t="inlineStr">
        <is>
          <t>ALV-0664</t>
        </is>
      </c>
      <c r="B668" s="11" t="n">
        <v>347</v>
      </c>
      <c r="C668" s="13" t="inlineStr">
        <is>
          <t>Nº 8912</t>
        </is>
      </c>
      <c r="D668" s="14" t="inlineStr">
        <is>
          <t>GLIFOSATO 698 CRUCIAL SL</t>
        </is>
      </c>
      <c r="E668" s="13" t="inlineStr">
        <is>
          <t>Herbicida</t>
        </is>
      </c>
      <c r="F668" s="13" t="inlineStr">
        <is>
          <t>Capim-pé-de-galinha</t>
        </is>
      </c>
      <c r="G668" s="13" t="inlineStr">
        <is>
          <t>Eleusine indica</t>
        </is>
      </c>
      <c r="H668" s="13" t="inlineStr">
        <is>
          <t>SIM (*)</t>
        </is>
      </c>
      <c r="I668" s="15" t="n">
        <v>1</v>
      </c>
      <c r="J668" s="18" t="n">
        <v>1.5</v>
      </c>
      <c r="K668" s="13" t="inlineStr">
        <is>
          <t>kg ou L/ha</t>
        </is>
      </c>
      <c r="L668" s="15" t="n">
        <v>1</v>
      </c>
      <c r="M668" s="13" t="inlineStr">
        <is>
          <t>Aplicar conforme monitoramento e estádio recomendado na bula (HRAC Grupo G (EPSPs))</t>
        </is>
      </c>
    </row>
    <row r="669" ht="22" customHeight="1">
      <c r="A669" s="6" t="inlineStr">
        <is>
          <t>ALV-0665</t>
        </is>
      </c>
      <c r="B669" s="5" t="n">
        <v>347</v>
      </c>
      <c r="C669" s="7" t="inlineStr">
        <is>
          <t>Nº 8912</t>
        </is>
      </c>
      <c r="D669" s="8" t="inlineStr">
        <is>
          <t>GLIFOSATO 698 CRUCIAL SL</t>
        </is>
      </c>
      <c r="E669" s="7" t="inlineStr">
        <is>
          <t>Herbicida</t>
        </is>
      </c>
      <c r="F669" s="7" t="inlineStr">
        <is>
          <t>Trapoeraba</t>
        </is>
      </c>
      <c r="G669" s="7" t="inlineStr">
        <is>
          <t>Commelina benghalensis</t>
        </is>
      </c>
      <c r="H669" s="7" t="inlineStr">
        <is>
          <t>NÃO</t>
        </is>
      </c>
      <c r="I669" s="9" t="n">
        <v>2</v>
      </c>
      <c r="J669" s="17" t="n">
        <v>3.5</v>
      </c>
      <c r="K669" s="7" t="inlineStr">
        <is>
          <t>kg ou L/ha</t>
        </is>
      </c>
      <c r="L669" s="9" t="n">
        <v>1</v>
      </c>
      <c r="M669" s="7" t="inlineStr">
        <is>
          <t>Aplicar conforme monitoramento e estádio recomendado na bula (HRAC Grupo G (EPSPs))</t>
        </is>
      </c>
    </row>
    <row r="670" ht="22" customHeight="1">
      <c r="A670" s="12" t="inlineStr">
        <is>
          <t>ALV-0666</t>
        </is>
      </c>
      <c r="B670" s="11" t="n">
        <v>348</v>
      </c>
      <c r="C670" s="13" t="inlineStr">
        <is>
          <t>Nº 36822</t>
        </is>
      </c>
      <c r="D670" s="14" t="inlineStr">
        <is>
          <t>CLORPIRIFOS 48 EC LUBA</t>
        </is>
      </c>
      <c r="E670" s="13" t="inlineStr">
        <is>
          <t>Inseticida</t>
        </is>
      </c>
      <c r="F670" s="13" t="inlineStr">
        <is>
          <t>Lagarta-do-cartucho</t>
        </is>
      </c>
      <c r="G670" s="13" t="inlineStr">
        <is>
          <t>Spodoptera frugiperda</t>
        </is>
      </c>
      <c r="H670" s="13" t="inlineStr">
        <is>
          <t>SIM (*)</t>
        </is>
      </c>
      <c r="I670" s="18" t="n">
        <v>0.4</v>
      </c>
      <c r="J670" s="18" t="n">
        <v>0.6</v>
      </c>
      <c r="K670" s="13" t="inlineStr">
        <is>
          <t>L/ha</t>
        </is>
      </c>
      <c r="L670" s="15" t="n">
        <v>1</v>
      </c>
      <c r="M670" s="13" t="inlineStr">
        <is>
          <t>Aplicar conforme monitoramento e estádio recomendado na bula (IRAC Grupo 1B)</t>
        </is>
      </c>
    </row>
    <row r="671" ht="22" customHeight="1">
      <c r="A671" s="6" t="inlineStr">
        <is>
          <t>ALV-0667</t>
        </is>
      </c>
      <c r="B671" s="5" t="n">
        <v>348</v>
      </c>
      <c r="C671" s="7" t="inlineStr">
        <is>
          <t>Nº 36822</t>
        </is>
      </c>
      <c r="D671" s="8" t="inlineStr">
        <is>
          <t>CLORPIRIFOS 48 EC LUBA</t>
        </is>
      </c>
      <c r="E671" s="7" t="inlineStr">
        <is>
          <t>Inseticida</t>
        </is>
      </c>
      <c r="F671" s="7" t="inlineStr">
        <is>
          <t>Lagarta-da-soja</t>
        </is>
      </c>
      <c r="G671" s="7" t="inlineStr">
        <is>
          <t>Anticarsia gemmatalis</t>
        </is>
      </c>
      <c r="H671" s="7" t="inlineStr">
        <is>
          <t>NÃO</t>
        </is>
      </c>
      <c r="I671" s="17" t="n">
        <v>0.4</v>
      </c>
      <c r="J671" s="9" t="n">
        <v>1</v>
      </c>
      <c r="K671" s="7" t="inlineStr">
        <is>
          <t>L/ha</t>
        </is>
      </c>
      <c r="L671" s="9" t="n">
        <v>1</v>
      </c>
      <c r="M671" s="7" t="inlineStr">
        <is>
          <t>Aplicar conforme monitoramento e estádio recomendado na bula (IRAC Grupo 1B)</t>
        </is>
      </c>
    </row>
    <row r="672" ht="22" customHeight="1">
      <c r="A672" s="12" t="inlineStr">
        <is>
          <t>ALV-0668</t>
        </is>
      </c>
      <c r="B672" s="11" t="n">
        <v>348</v>
      </c>
      <c r="C672" s="13" t="inlineStr">
        <is>
          <t>Nº 36822</t>
        </is>
      </c>
      <c r="D672" s="14" t="inlineStr">
        <is>
          <t>CLORPIRIFOS 48 EC LUBA</t>
        </is>
      </c>
      <c r="E672" s="13" t="inlineStr">
        <is>
          <t>Inseticida</t>
        </is>
      </c>
      <c r="F672" s="13" t="inlineStr">
        <is>
          <t>Broca-do-café</t>
        </is>
      </c>
      <c r="G672" s="13" t="inlineStr">
        <is>
          <t>Hypothenemus hampei</t>
        </is>
      </c>
      <c r="H672" s="13" t="inlineStr">
        <is>
          <t>NÃO</t>
        </is>
      </c>
      <c r="I672" s="15" t="n">
        <v>1</v>
      </c>
      <c r="J672" s="18" t="n">
        <v>1.5</v>
      </c>
      <c r="K672" s="13" t="inlineStr">
        <is>
          <t>L/ha</t>
        </is>
      </c>
      <c r="L672" s="15" t="n">
        <v>1</v>
      </c>
      <c r="M672" s="13" t="inlineStr">
        <is>
          <t>Aplicar conforme monitoramento e estádio recomendado na bula (IRAC Grupo 1B)</t>
        </is>
      </c>
    </row>
    <row r="673" ht="22" customHeight="1">
      <c r="A673" s="6" t="inlineStr">
        <is>
          <t>ALV-0669</t>
        </is>
      </c>
      <c r="B673" s="5" t="n">
        <v>349</v>
      </c>
      <c r="C673" s="7" t="inlineStr">
        <is>
          <t>Nº 34621</t>
        </is>
      </c>
      <c r="D673" s="8" t="inlineStr">
        <is>
          <t>RATEIO 200 SL</t>
        </is>
      </c>
      <c r="E673" s="7" t="inlineStr">
        <is>
          <t>Herbicida Dessecante</t>
        </is>
      </c>
      <c r="F673" s="7" t="inlineStr">
        <is>
          <t>Buva</t>
        </is>
      </c>
      <c r="G673" s="7" t="inlineStr">
        <is>
          <t>Conyza bonariensis</t>
        </is>
      </c>
      <c r="H673" s="7" t="inlineStr">
        <is>
          <t>NÃO</t>
        </is>
      </c>
      <c r="I673" s="17" t="n">
        <v>1.5</v>
      </c>
      <c r="J673" s="17" t="n">
        <v>2.5</v>
      </c>
      <c r="K673" s="7" t="inlineStr">
        <is>
          <t>L/ha</t>
        </is>
      </c>
      <c r="L673" s="9" t="n">
        <v>1</v>
      </c>
      <c r="M673" s="7" t="inlineStr">
        <is>
          <t>Aplicar conforme monitoramento e estádio recomendado na bula (HRAC Grupo D (22) — Desviadores de Elétrons do Fotossistema I)</t>
        </is>
      </c>
    </row>
    <row r="674" ht="22" customHeight="1">
      <c r="A674" s="12" t="inlineStr">
        <is>
          <t>ALV-0670</t>
        </is>
      </c>
      <c r="B674" s="11" t="n">
        <v>349</v>
      </c>
      <c r="C674" s="13" t="inlineStr">
        <is>
          <t>Nº 34621</t>
        </is>
      </c>
      <c r="D674" s="14" t="inlineStr">
        <is>
          <t>RATEIO 200 SL</t>
        </is>
      </c>
      <c r="E674" s="13" t="inlineStr">
        <is>
          <t>Herbicida Dessecante</t>
        </is>
      </c>
      <c r="F674" s="13" t="inlineStr">
        <is>
          <t>Corda-de-viola</t>
        </is>
      </c>
      <c r="G674" s="13" t="inlineStr">
        <is>
          <t>Ipomoea grandifolia</t>
        </is>
      </c>
      <c r="H674" s="13" t="inlineStr">
        <is>
          <t>NÃO</t>
        </is>
      </c>
      <c r="I674" s="18" t="n">
        <v>1.5</v>
      </c>
      <c r="J674" s="15" t="n">
        <v>2</v>
      </c>
      <c r="K674" s="13" t="inlineStr">
        <is>
          <t>L/ha</t>
        </is>
      </c>
      <c r="L674" s="15" t="n">
        <v>1</v>
      </c>
      <c r="M674" s="13" t="inlineStr">
        <is>
          <t>Aplicar conforme monitoramento e estádio recomendado na bula (HRAC Grupo D (22) — Desviadores de Elétrons do Fotossistema I)</t>
        </is>
      </c>
    </row>
    <row r="675" ht="22" customHeight="1">
      <c r="A675" s="6" t="inlineStr">
        <is>
          <t>ALV-0671</t>
        </is>
      </c>
      <c r="B675" s="5" t="n">
        <v>349</v>
      </c>
      <c r="C675" s="7" t="inlineStr">
        <is>
          <t>Nº 34621</t>
        </is>
      </c>
      <c r="D675" s="8" t="inlineStr">
        <is>
          <t>RATEIO 200 SL</t>
        </is>
      </c>
      <c r="E675" s="7" t="inlineStr">
        <is>
          <t>Herbicida Dessecante</t>
        </is>
      </c>
      <c r="F675" s="7" t="inlineStr">
        <is>
          <t>Dessecação Pré-Colheita Soja</t>
        </is>
      </c>
      <c r="G675" s="7" t="inlineStr">
        <is>
          <t>Glycine max</t>
        </is>
      </c>
      <c r="H675" s="7" t="inlineStr">
        <is>
          <t>NÃO</t>
        </is>
      </c>
      <c r="I675" s="17" t="n">
        <v>1.5</v>
      </c>
      <c r="J675" s="9" t="n">
        <v>2</v>
      </c>
      <c r="K675" s="7" t="inlineStr">
        <is>
          <t>L/ha</t>
        </is>
      </c>
      <c r="L675" s="9" t="n">
        <v>1</v>
      </c>
      <c r="M675" s="7" t="inlineStr">
        <is>
          <t>Aplicar conforme monitoramento e estádio recomendado na bula (HRAC Grupo D (22) — Desviadores de Elétrons do Fotossistema I)</t>
        </is>
      </c>
    </row>
    <row r="676" ht="22" customHeight="1">
      <c r="A676" s="12" t="inlineStr">
        <is>
          <t>ALV-0672</t>
        </is>
      </c>
      <c r="B676" s="11" t="n">
        <v>350</v>
      </c>
      <c r="C676" s="13" t="inlineStr">
        <is>
          <t>Nº 34621</t>
        </is>
      </c>
      <c r="D676" s="14" t="inlineStr">
        <is>
          <t>RATEIO 200 SL</t>
        </is>
      </c>
      <c r="E676" s="13" t="inlineStr">
        <is>
          <t>Herbicida Dessecante</t>
        </is>
      </c>
      <c r="F676" s="13" t="inlineStr">
        <is>
          <t>Buva</t>
        </is>
      </c>
      <c r="G676" s="13" t="inlineStr">
        <is>
          <t>Conyza bonariensis</t>
        </is>
      </c>
      <c r="H676" s="13" t="inlineStr">
        <is>
          <t>NÃO</t>
        </is>
      </c>
      <c r="I676" s="18" t="n">
        <v>1.5</v>
      </c>
      <c r="J676" s="18" t="n">
        <v>2.5</v>
      </c>
      <c r="K676" s="13" t="inlineStr">
        <is>
          <t>L/ha</t>
        </is>
      </c>
      <c r="L676" s="15" t="n">
        <v>1</v>
      </c>
      <c r="M676" s="13" t="inlineStr">
        <is>
          <t>Aplicar conforme monitoramento e estádio recomendado na bula (HRAC Grupo D (22) — Desviadores de Elétrons do Fotossistema I)</t>
        </is>
      </c>
    </row>
    <row r="677" ht="22" customHeight="1">
      <c r="A677" s="6" t="inlineStr">
        <is>
          <t>ALV-0673</t>
        </is>
      </c>
      <c r="B677" s="5" t="n">
        <v>350</v>
      </c>
      <c r="C677" s="7" t="inlineStr">
        <is>
          <t>Nº 34621</t>
        </is>
      </c>
      <c r="D677" s="8" t="inlineStr">
        <is>
          <t>RATEIO 200 SL</t>
        </is>
      </c>
      <c r="E677" s="7" t="inlineStr">
        <is>
          <t>Herbicida Dessecante</t>
        </is>
      </c>
      <c r="F677" s="7" t="inlineStr">
        <is>
          <t>Corda-de-viola</t>
        </is>
      </c>
      <c r="G677" s="7" t="inlineStr">
        <is>
          <t>Ipomoea grandifolia</t>
        </is>
      </c>
      <c r="H677" s="7" t="inlineStr">
        <is>
          <t>NÃO</t>
        </is>
      </c>
      <c r="I677" s="17" t="n">
        <v>1.5</v>
      </c>
      <c r="J677" s="9" t="n">
        <v>2</v>
      </c>
      <c r="K677" s="7" t="inlineStr">
        <is>
          <t>L/ha</t>
        </is>
      </c>
      <c r="L677" s="9" t="n">
        <v>1</v>
      </c>
      <c r="M677" s="7" t="inlineStr">
        <is>
          <t>Aplicar conforme monitoramento e estádio recomendado na bula (HRAC Grupo D (22) — Desviadores de Elétrons do Fotossistema I)</t>
        </is>
      </c>
    </row>
    <row r="678" ht="22" customHeight="1">
      <c r="A678" s="12" t="inlineStr">
        <is>
          <t>ALV-0674</t>
        </is>
      </c>
      <c r="B678" s="11" t="n">
        <v>350</v>
      </c>
      <c r="C678" s="13" t="inlineStr">
        <is>
          <t>Nº 34621</t>
        </is>
      </c>
      <c r="D678" s="14" t="inlineStr">
        <is>
          <t>RATEIO 200 SL</t>
        </is>
      </c>
      <c r="E678" s="13" t="inlineStr">
        <is>
          <t>Herbicida Dessecante</t>
        </is>
      </c>
      <c r="F678" s="13" t="inlineStr">
        <is>
          <t>Dessecação Pré-Colheita Soja</t>
        </is>
      </c>
      <c r="G678" s="13" t="inlineStr">
        <is>
          <t>Glycine max</t>
        </is>
      </c>
      <c r="H678" s="13" t="inlineStr">
        <is>
          <t>NÃO</t>
        </is>
      </c>
      <c r="I678" s="18" t="n">
        <v>1.5</v>
      </c>
      <c r="J678" s="15" t="n">
        <v>2</v>
      </c>
      <c r="K678" s="13" t="inlineStr">
        <is>
          <t>L/ha</t>
        </is>
      </c>
      <c r="L678" s="15" t="n">
        <v>1</v>
      </c>
      <c r="M678" s="13" t="inlineStr">
        <is>
          <t>Aplicar conforme monitoramento e estádio recomendado na bula (HRAC Grupo D (22) — Desviadores de Elétrons do Fotossistema I)</t>
        </is>
      </c>
    </row>
    <row r="679" ht="22" customHeight="1">
      <c r="A679" s="6" t="inlineStr">
        <is>
          <t>ALV-0675</t>
        </is>
      </c>
      <c r="B679" s="5" t="n">
        <v>351</v>
      </c>
      <c r="C679" s="7" t="inlineStr">
        <is>
          <t>Nº 23917</t>
        </is>
      </c>
      <c r="D679" s="8" t="inlineStr">
        <is>
          <t>MESOTRIONA CCAB</t>
        </is>
      </c>
      <c r="E679" s="7" t="inlineStr">
        <is>
          <t>Herbicida</t>
        </is>
      </c>
      <c r="F679" s="7" t="inlineStr">
        <is>
          <t>Capim-carrapicho</t>
        </is>
      </c>
      <c r="G679" s="7" t="inlineStr">
        <is>
          <t>Cenchrus echinatus</t>
        </is>
      </c>
      <c r="H679" s="7" t="inlineStr">
        <is>
          <t>NÃO</t>
        </is>
      </c>
      <c r="I679" s="17" t="n">
        <v>0.3</v>
      </c>
      <c r="J679" s="17" t="n">
        <v>0.4</v>
      </c>
      <c r="K679" s="7" t="inlineStr">
        <is>
          <t>L/ha</t>
        </is>
      </c>
      <c r="L679" s="9" t="n">
        <v>1</v>
      </c>
      <c r="M679" s="7" t="inlineStr">
        <is>
          <t>Aplicar conforme monitoramento e estádio recomendado na bula (HRAC Grupo F2 (27) — Inibidores da HPPD)</t>
        </is>
      </c>
    </row>
    <row r="680" ht="22" customHeight="1">
      <c r="A680" s="12" t="inlineStr">
        <is>
          <t>ALV-0676</t>
        </is>
      </c>
      <c r="B680" s="11" t="n">
        <v>351</v>
      </c>
      <c r="C680" s="13" t="inlineStr">
        <is>
          <t>Nº 23917</t>
        </is>
      </c>
      <c r="D680" s="14" t="inlineStr">
        <is>
          <t>MESOTRIONA CCAB</t>
        </is>
      </c>
      <c r="E680" s="13" t="inlineStr">
        <is>
          <t>Herbicida</t>
        </is>
      </c>
      <c r="F680" s="13" t="inlineStr">
        <is>
          <t>Caruru</t>
        </is>
      </c>
      <c r="G680" s="13" t="inlineStr">
        <is>
          <t>Amaranthus viridis</t>
        </is>
      </c>
      <c r="H680" s="13" t="inlineStr">
        <is>
          <t>NÃO</t>
        </is>
      </c>
      <c r="I680" s="18" t="n">
        <v>0.25</v>
      </c>
      <c r="J680" s="18" t="n">
        <v>0.4</v>
      </c>
      <c r="K680" s="13" t="inlineStr">
        <is>
          <t>L/ha</t>
        </is>
      </c>
      <c r="L680" s="15" t="n">
        <v>1</v>
      </c>
      <c r="M680" s="13" t="inlineStr">
        <is>
          <t>Aplicar conforme monitoramento e estádio recomendado na bula (HRAC Grupo F2 (27) — Inibidores da HPPD)</t>
        </is>
      </c>
    </row>
    <row r="681" ht="22" customHeight="1">
      <c r="A681" s="6" t="inlineStr">
        <is>
          <t>ALV-0677</t>
        </is>
      </c>
      <c r="B681" s="5" t="n">
        <v>351</v>
      </c>
      <c r="C681" s="7" t="inlineStr">
        <is>
          <t>Nº 23917</t>
        </is>
      </c>
      <c r="D681" s="8" t="inlineStr">
        <is>
          <t>MESOTRIONA CCAB</t>
        </is>
      </c>
      <c r="E681" s="7" t="inlineStr">
        <is>
          <t>Herbicida</t>
        </is>
      </c>
      <c r="F681" s="7" t="inlineStr">
        <is>
          <t>Corda-de-viola</t>
        </is>
      </c>
      <c r="G681" s="7" t="inlineStr">
        <is>
          <t>Ipomoea grandifolia</t>
        </is>
      </c>
      <c r="H681" s="7" t="inlineStr">
        <is>
          <t>NÃO</t>
        </is>
      </c>
      <c r="I681" s="17" t="n">
        <v>0.25</v>
      </c>
      <c r="J681" s="17" t="n">
        <v>0.4</v>
      </c>
      <c r="K681" s="7" t="inlineStr">
        <is>
          <t>L/ha</t>
        </is>
      </c>
      <c r="L681" s="9" t="n">
        <v>1</v>
      </c>
      <c r="M681" s="7" t="inlineStr">
        <is>
          <t>Aplicar conforme monitoramento e estádio recomendado na bula (HRAC Grupo F2 (27) — Inibidores da HPPD)</t>
        </is>
      </c>
    </row>
    <row r="682" ht="22" customHeight="1">
      <c r="A682" s="12" t="inlineStr">
        <is>
          <t>ALV-0678</t>
        </is>
      </c>
      <c r="B682" s="11" t="n">
        <v>352</v>
      </c>
      <c r="C682" s="13" t="inlineStr">
        <is>
          <t>Nº 23917</t>
        </is>
      </c>
      <c r="D682" s="14" t="inlineStr">
        <is>
          <t>MESOTRIONA CCAB</t>
        </is>
      </c>
      <c r="E682" s="13" t="inlineStr">
        <is>
          <t>Herbicida</t>
        </is>
      </c>
      <c r="F682" s="13" t="inlineStr">
        <is>
          <t>Capim-carrapicho</t>
        </is>
      </c>
      <c r="G682" s="13" t="inlineStr">
        <is>
          <t>Cenchrus echinatus</t>
        </is>
      </c>
      <c r="H682" s="13" t="inlineStr">
        <is>
          <t>NÃO</t>
        </is>
      </c>
      <c r="I682" s="18" t="n">
        <v>0.3</v>
      </c>
      <c r="J682" s="18" t="n">
        <v>0.4</v>
      </c>
      <c r="K682" s="13" t="inlineStr">
        <is>
          <t>L/ha</t>
        </is>
      </c>
      <c r="L682" s="15" t="n">
        <v>1</v>
      </c>
      <c r="M682" s="13" t="inlineStr">
        <is>
          <t>Aplicar conforme monitoramento e estádio recomendado na bula (HRAC Grupo F2 (27) — Inibidores da HPPD)</t>
        </is>
      </c>
    </row>
    <row r="683" ht="22" customHeight="1">
      <c r="A683" s="6" t="inlineStr">
        <is>
          <t>ALV-0679</t>
        </is>
      </c>
      <c r="B683" s="5" t="n">
        <v>352</v>
      </c>
      <c r="C683" s="7" t="inlineStr">
        <is>
          <t>Nº 23917</t>
        </is>
      </c>
      <c r="D683" s="8" t="inlineStr">
        <is>
          <t>MESOTRIONA CCAB</t>
        </is>
      </c>
      <c r="E683" s="7" t="inlineStr">
        <is>
          <t>Herbicida</t>
        </is>
      </c>
      <c r="F683" s="7" t="inlineStr">
        <is>
          <t>Caruru</t>
        </is>
      </c>
      <c r="G683" s="7" t="inlineStr">
        <is>
          <t>Amaranthus viridis</t>
        </is>
      </c>
      <c r="H683" s="7" t="inlineStr">
        <is>
          <t>NÃO</t>
        </is>
      </c>
      <c r="I683" s="17" t="n">
        <v>0.25</v>
      </c>
      <c r="J683" s="17" t="n">
        <v>0.4</v>
      </c>
      <c r="K683" s="7" t="inlineStr">
        <is>
          <t>L/ha</t>
        </is>
      </c>
      <c r="L683" s="9" t="n">
        <v>1</v>
      </c>
      <c r="M683" s="7" t="inlineStr">
        <is>
          <t>Aplicar conforme monitoramento e estádio recomendado na bula (HRAC Grupo F2 (27) — Inibidores da HPPD)</t>
        </is>
      </c>
    </row>
    <row r="684" ht="22" customHeight="1">
      <c r="A684" s="12" t="inlineStr">
        <is>
          <t>ALV-0680</t>
        </is>
      </c>
      <c r="B684" s="11" t="n">
        <v>352</v>
      </c>
      <c r="C684" s="13" t="inlineStr">
        <is>
          <t>Nº 23917</t>
        </is>
      </c>
      <c r="D684" s="14" t="inlineStr">
        <is>
          <t>MESOTRIONA CCAB</t>
        </is>
      </c>
      <c r="E684" s="13" t="inlineStr">
        <is>
          <t>Herbicida</t>
        </is>
      </c>
      <c r="F684" s="13" t="inlineStr">
        <is>
          <t>Corda-de-viola</t>
        </is>
      </c>
      <c r="G684" s="13" t="inlineStr">
        <is>
          <t>Ipomoea grandifolia</t>
        </is>
      </c>
      <c r="H684" s="13" t="inlineStr">
        <is>
          <t>NÃO</t>
        </is>
      </c>
      <c r="I684" s="18" t="n">
        <v>0.25</v>
      </c>
      <c r="J684" s="18" t="n">
        <v>0.4</v>
      </c>
      <c r="K684" s="13" t="inlineStr">
        <is>
          <t>L/ha</t>
        </is>
      </c>
      <c r="L684" s="15" t="n">
        <v>1</v>
      </c>
      <c r="M684" s="13" t="inlineStr">
        <is>
          <t>Aplicar conforme monitoramento e estádio recomendado na bula (HRAC Grupo F2 (27) — Inibidores da HPPD)</t>
        </is>
      </c>
    </row>
    <row r="685" ht="22" customHeight="1">
      <c r="A685" s="6" t="inlineStr">
        <is>
          <t>ALV-0681</t>
        </is>
      </c>
      <c r="B685" s="5" t="n">
        <v>353</v>
      </c>
      <c r="C685" s="7" t="inlineStr">
        <is>
          <t>SIPEAGRO (UF-XXXXX)</t>
        </is>
      </c>
      <c r="D685" s="8" t="inlineStr">
        <is>
          <t>BEEOGARDEN (ADUBO FOLIAR)</t>
        </is>
      </c>
      <c r="E685" s="7" t="inlineStr">
        <is>
          <t>Fertilizante Organomineral / Bioestimulante</t>
        </is>
      </c>
      <c r="F685" s="7" t="inlineStr">
        <is>
          <t>Nutrição e Correção de Deficiência Mineral</t>
        </is>
      </c>
      <c r="G685" s="7" t="inlineStr">
        <is>
          <t>Nutrição Vegetal</t>
        </is>
      </c>
      <c r="H685" s="7" t="inlineStr">
        <is>
          <t>NÃO</t>
        </is>
      </c>
      <c r="I685" s="9" t="n">
        <v>1</v>
      </c>
      <c r="J685" s="9" t="n">
        <v>250</v>
      </c>
      <c r="K685" s="7" t="inlineStr">
        <is>
          <t>kg ou L/ha</t>
        </is>
      </c>
      <c r="L685" s="9" t="n">
        <v>1</v>
      </c>
      <c r="M685" s="7" t="inlineStr">
        <is>
          <t>Aplicar conforme monitoramento e estádio recomendado na bula (Nutrição Vegetal SIPEAGRO)</t>
        </is>
      </c>
    </row>
    <row r="686" ht="22" customHeight="1">
      <c r="A686" s="12" t="inlineStr">
        <is>
          <t>ALV-0682</t>
        </is>
      </c>
      <c r="B686" s="11" t="n">
        <v>354</v>
      </c>
      <c r="C686" s="13" t="inlineStr">
        <is>
          <t>SIPEAGRO (UF-XXXXX)</t>
        </is>
      </c>
      <c r="D686" s="14" t="inlineStr">
        <is>
          <t>TECH. GROW IV 460000 (IMP)</t>
        </is>
      </c>
      <c r="E686" s="13" t="inlineStr">
        <is>
          <t>Fertilizante Mineral Simples (Nitrogenado)</t>
        </is>
      </c>
      <c r="F686" s="13" t="inlineStr">
        <is>
          <t>Nutrição e Correção de Deficiência Mineral</t>
        </is>
      </c>
      <c r="G686" s="13" t="inlineStr">
        <is>
          <t>Nutrição Vegetal</t>
        </is>
      </c>
      <c r="H686" s="13" t="inlineStr">
        <is>
          <t>NÃO</t>
        </is>
      </c>
      <c r="I686" s="15" t="n">
        <v>1</v>
      </c>
      <c r="J686" s="15" t="n">
        <v>250</v>
      </c>
      <c r="K686" s="13" t="inlineStr">
        <is>
          <t>kg ou L/ha</t>
        </is>
      </c>
      <c r="L686" s="15" t="n">
        <v>1</v>
      </c>
      <c r="M686" s="13" t="inlineStr">
        <is>
          <t>Aplicar conforme monitoramento e estádio recomendado na bula (Nutrição Vegetal SIPEAGRO)</t>
        </is>
      </c>
    </row>
    <row r="687" ht="22" customHeight="1">
      <c r="A687" s="6" t="inlineStr">
        <is>
          <t>ALV-0683</t>
        </is>
      </c>
      <c r="B687" s="5" t="n">
        <v>355</v>
      </c>
      <c r="C687" s="7" t="inlineStr">
        <is>
          <t>SIPEAGRO (UF-XXXXX)</t>
        </is>
      </c>
      <c r="D687" s="8" t="inlineStr">
        <is>
          <t>NPK NK200020 20-00-20 - 1.000KG (IMP)</t>
        </is>
      </c>
      <c r="E687" s="7" t="inlineStr">
        <is>
          <t>Fertilizante Mineral Misto (NPK / NP)</t>
        </is>
      </c>
      <c r="F687" s="7" t="inlineStr">
        <is>
          <t>Nutrição e Correção de Deficiência Mineral</t>
        </is>
      </c>
      <c r="G687" s="7" t="inlineStr">
        <is>
          <t>Nutrição Vegetal</t>
        </is>
      </c>
      <c r="H687" s="7" t="inlineStr">
        <is>
          <t>NÃO</t>
        </is>
      </c>
      <c r="I687" s="9" t="n">
        <v>1</v>
      </c>
      <c r="J687" s="9" t="n">
        <v>250</v>
      </c>
      <c r="K687" s="7" t="inlineStr">
        <is>
          <t>kg ou L/ha</t>
        </is>
      </c>
      <c r="L687" s="9" t="n">
        <v>1</v>
      </c>
      <c r="M687" s="7" t="inlineStr">
        <is>
          <t>Aplicar conforme monitoramento e estádio recomendado na bula (Nutrição Vegetal SIPEAGRO)</t>
        </is>
      </c>
    </row>
    <row r="688" ht="22" customHeight="1">
      <c r="A688" s="12" t="inlineStr">
        <is>
          <t>ALV-0684</t>
        </is>
      </c>
      <c r="B688" s="11" t="n">
        <v>356</v>
      </c>
      <c r="C688" s="13" t="inlineStr">
        <is>
          <t>Nº 27922</t>
        </is>
      </c>
      <c r="D688" s="14" t="inlineStr">
        <is>
          <t>S-METOLACHLOR PROVENTIS 960 EC</t>
        </is>
      </c>
      <c r="E688" s="13" t="inlineStr">
        <is>
          <t>Herbicida</t>
        </is>
      </c>
      <c r="F688" s="13" t="inlineStr">
        <is>
          <t>Capim-pé-de-galinha</t>
        </is>
      </c>
      <c r="G688" s="13" t="inlineStr">
        <is>
          <t>Eleusine indica</t>
        </is>
      </c>
      <c r="H688" s="13" t="inlineStr">
        <is>
          <t>NÃO</t>
        </is>
      </c>
      <c r="I688" s="18" t="n">
        <v>1.25</v>
      </c>
      <c r="J688" s="18" t="n">
        <v>1.75</v>
      </c>
      <c r="K688" s="13" t="inlineStr">
        <is>
          <t>L/ha</t>
        </is>
      </c>
      <c r="L688" s="15" t="n">
        <v>1</v>
      </c>
      <c r="M688" s="13" t="inlineStr">
        <is>
          <t>Aplicar conforme monitoramento e estádio recomendado na bula (HRAC Grupo K3 (15) — Inibidores de VLCFAs)</t>
        </is>
      </c>
    </row>
    <row r="689" ht="22" customHeight="1">
      <c r="A689" s="6" t="inlineStr">
        <is>
          <t>ALV-0685</t>
        </is>
      </c>
      <c r="B689" s="5" t="n">
        <v>356</v>
      </c>
      <c r="C689" s="7" t="inlineStr">
        <is>
          <t>Nº 27922</t>
        </is>
      </c>
      <c r="D689" s="8" t="inlineStr">
        <is>
          <t>S-METOLACHLOR PROVENTIS 960 EC</t>
        </is>
      </c>
      <c r="E689" s="7" t="inlineStr">
        <is>
          <t>Herbicida</t>
        </is>
      </c>
      <c r="F689" s="7" t="inlineStr">
        <is>
          <t>Capim-colchão</t>
        </is>
      </c>
      <c r="G689" s="7" t="inlineStr">
        <is>
          <t>Digitaria horizontalis</t>
        </is>
      </c>
      <c r="H689" s="7" t="inlineStr">
        <is>
          <t>NÃO</t>
        </is>
      </c>
      <c r="I689" s="17" t="n">
        <v>1.25</v>
      </c>
      <c r="J689" s="17" t="n">
        <v>1.5</v>
      </c>
      <c r="K689" s="7" t="inlineStr">
        <is>
          <t>L/ha</t>
        </is>
      </c>
      <c r="L689" s="9" t="n">
        <v>1</v>
      </c>
      <c r="M689" s="7" t="inlineStr">
        <is>
          <t>Aplicar conforme monitoramento e estádio recomendado na bula (HRAC Grupo K3 (15) — Inibidores de VLCFAs)</t>
        </is>
      </c>
    </row>
    <row r="690" ht="22" customHeight="1">
      <c r="A690" s="12" t="inlineStr">
        <is>
          <t>ALV-0686</t>
        </is>
      </c>
      <c r="B690" s="11" t="n">
        <v>356</v>
      </c>
      <c r="C690" s="13" t="inlineStr">
        <is>
          <t>Nº 27922</t>
        </is>
      </c>
      <c r="D690" s="14" t="inlineStr">
        <is>
          <t>S-METOLACHLOR PROVENTIS 960 EC</t>
        </is>
      </c>
      <c r="E690" s="13" t="inlineStr">
        <is>
          <t>Herbicida</t>
        </is>
      </c>
      <c r="F690" s="13" t="inlineStr">
        <is>
          <t>Caruru</t>
        </is>
      </c>
      <c r="G690" s="13" t="inlineStr">
        <is>
          <t>Amaranthus hybridus</t>
        </is>
      </c>
      <c r="H690" s="13" t="inlineStr">
        <is>
          <t>NÃO</t>
        </is>
      </c>
      <c r="I690" s="18" t="n">
        <v>1.25</v>
      </c>
      <c r="J690" s="18" t="n">
        <v>1.75</v>
      </c>
      <c r="K690" s="13" t="inlineStr">
        <is>
          <t>L/ha</t>
        </is>
      </c>
      <c r="L690" s="15" t="n">
        <v>1</v>
      </c>
      <c r="M690" s="13" t="inlineStr">
        <is>
          <t>Aplicar conforme monitoramento e estádio recomendado na bula (HRAC Grupo K3 (15) — Inibidores de VLCFAs)</t>
        </is>
      </c>
    </row>
    <row r="691" ht="22" customHeight="1">
      <c r="A691" s="6" t="inlineStr">
        <is>
          <t>ALV-0687</t>
        </is>
      </c>
      <c r="B691" s="5" t="n">
        <v>357</v>
      </c>
      <c r="C691" s="7" t="inlineStr">
        <is>
          <t>SIPEAGRO (UF-XXXXX)</t>
        </is>
      </c>
      <c r="D691" s="8" t="inlineStr">
        <is>
          <t>AGCN FULL (D)</t>
        </is>
      </c>
      <c r="E691" s="7" t="inlineStr">
        <is>
          <t>Fertilizante Organomineral / Bioestimulante</t>
        </is>
      </c>
      <c r="F691" s="7" t="inlineStr">
        <is>
          <t>Nutrição e Correção de Deficiência Mineral</t>
        </is>
      </c>
      <c r="G691" s="7" t="inlineStr">
        <is>
          <t>Nutrição Vegetal</t>
        </is>
      </c>
      <c r="H691" s="7" t="inlineStr">
        <is>
          <t>NÃO</t>
        </is>
      </c>
      <c r="I691" s="9" t="n">
        <v>1</v>
      </c>
      <c r="J691" s="9" t="n">
        <v>250</v>
      </c>
      <c r="K691" s="7" t="inlineStr">
        <is>
          <t>kg ou L/ha</t>
        </is>
      </c>
      <c r="L691" s="9" t="n">
        <v>1</v>
      </c>
      <c r="M691" s="7" t="inlineStr">
        <is>
          <t>Aplicar conforme monitoramento e estádio recomendado na bula (Nutrição Vegetal SIPEAGRO)</t>
        </is>
      </c>
    </row>
    <row r="692" ht="22" customHeight="1">
      <c r="A692" s="12" t="inlineStr">
        <is>
          <t>ALV-0688</t>
        </is>
      </c>
      <c r="B692" s="11" t="n">
        <v>358</v>
      </c>
      <c r="C692" s="13" t="inlineStr">
        <is>
          <t>SIPEAGRO (UF-XXXXX)</t>
        </is>
      </c>
      <c r="D692" s="14" t="inlineStr">
        <is>
          <t>AGCN FULL ULTRA (D)</t>
        </is>
      </c>
      <c r="E692" s="13" t="inlineStr">
        <is>
          <t>Fertilizante Organomineral / Bioestimulante</t>
        </is>
      </c>
      <c r="F692" s="13" t="inlineStr">
        <is>
          <t>Nutrição e Correção de Deficiência Mineral</t>
        </is>
      </c>
      <c r="G692" s="13" t="inlineStr">
        <is>
          <t>Nutrição Vegetal</t>
        </is>
      </c>
      <c r="H692" s="13" t="inlineStr">
        <is>
          <t>NÃO</t>
        </is>
      </c>
      <c r="I692" s="15" t="n">
        <v>1</v>
      </c>
      <c r="J692" s="15" t="n">
        <v>250</v>
      </c>
      <c r="K692" s="13" t="inlineStr">
        <is>
          <t>kg ou L/ha</t>
        </is>
      </c>
      <c r="L692" s="15" t="n">
        <v>1</v>
      </c>
      <c r="M692" s="13" t="inlineStr">
        <is>
          <t>Aplicar conforme monitoramento e estádio recomendado na bula (Nutrição Vegetal SIPEAGRO)</t>
        </is>
      </c>
    </row>
    <row r="693" ht="22" customHeight="1">
      <c r="A693" s="6" t="inlineStr">
        <is>
          <t>ALV-0689</t>
        </is>
      </c>
      <c r="B693" s="5" t="n">
        <v>359</v>
      </c>
      <c r="C693" s="7" t="inlineStr">
        <is>
          <t>Nº 23922</t>
        </is>
      </c>
      <c r="D693" s="8" t="inlineStr">
        <is>
          <t>CLETODIM 360 (PRINCIPIO ATIVO)</t>
        </is>
      </c>
      <c r="E693" s="7" t="inlineStr">
        <is>
          <t>Insumo Industrial</t>
        </is>
      </c>
      <c r="F693" s="7" t="inlineStr">
        <is>
          <t>Matéria-prima para Formulação Industrial</t>
        </is>
      </c>
      <c r="G693" s="7" t="inlineStr">
        <is>
          <t>Uso Industrial Credenciado MAPA</t>
        </is>
      </c>
      <c r="H693" s="7" t="inlineStr">
        <is>
          <t>NÃO</t>
        </is>
      </c>
      <c r="I693" s="9" t="n">
        <v>0</v>
      </c>
      <c r="J693" s="9" t="n">
        <v>0</v>
      </c>
      <c r="K693" s="7" t="inlineStr">
        <is>
          <t>L</t>
        </is>
      </c>
      <c r="L693" s="9" t="n">
        <v>1</v>
      </c>
      <c r="M693" s="7" t="inlineStr">
        <is>
          <t>Uso restrito a estabelecimentos formuladores registrados</t>
        </is>
      </c>
    </row>
    <row r="694" ht="22" customHeight="1">
      <c r="A694" s="12" t="inlineStr">
        <is>
          <t>ALV-0690</t>
        </is>
      </c>
      <c r="B694" s="11" t="n">
        <v>360</v>
      </c>
      <c r="C694" s="13" t="inlineStr">
        <is>
          <t>Nº 27717</t>
        </is>
      </c>
      <c r="D694" s="14" t="inlineStr">
        <is>
          <t>FIPRONIL 800 WG AGCN</t>
        </is>
      </c>
      <c r="E694" s="13" t="inlineStr">
        <is>
          <t>Inseticida e Cupinicida (Fipronil)</t>
        </is>
      </c>
      <c r="F694" s="13" t="inlineStr">
        <is>
          <t>Coró</t>
        </is>
      </c>
      <c r="G694" s="13" t="inlineStr">
        <is>
          <t>Phyllophaga cuyabana</t>
        </is>
      </c>
      <c r="H694" s="13" t="inlineStr">
        <is>
          <t>NÃO</t>
        </is>
      </c>
      <c r="I694" s="18" t="n">
        <v>0.1</v>
      </c>
      <c r="J694" s="18" t="n">
        <v>0.2</v>
      </c>
      <c r="K694" s="13" t="inlineStr">
        <is>
          <t>L/100kg sem.</t>
        </is>
      </c>
      <c r="L694" s="15" t="n">
        <v>1</v>
      </c>
      <c r="M694" s="13" t="inlineStr">
        <is>
          <t>Aplicar conforme monitoramento e estádio recomendado na bula (IRAC Grupo 2B)</t>
        </is>
      </c>
    </row>
    <row r="695" ht="22" customHeight="1">
      <c r="A695" s="6" t="inlineStr">
        <is>
          <t>ALV-0691</t>
        </is>
      </c>
      <c r="B695" s="5" t="n">
        <v>360</v>
      </c>
      <c r="C695" s="7" t="inlineStr">
        <is>
          <t>Nº 27717</t>
        </is>
      </c>
      <c r="D695" s="8" t="inlineStr">
        <is>
          <t>FIPRONIL 800 WG AGCN</t>
        </is>
      </c>
      <c r="E695" s="7" t="inlineStr">
        <is>
          <t>Inseticida e Cupinicida (Fipronil)</t>
        </is>
      </c>
      <c r="F695" s="7" t="inlineStr">
        <is>
          <t>Lagarta-elasmo</t>
        </is>
      </c>
      <c r="G695" s="7" t="inlineStr">
        <is>
          <t>Elasmopalpus lignosellus</t>
        </is>
      </c>
      <c r="H695" s="7" t="inlineStr">
        <is>
          <t>NÃO</t>
        </is>
      </c>
      <c r="I695" s="17" t="n">
        <v>0.1</v>
      </c>
      <c r="J695" s="17" t="n">
        <v>0.2</v>
      </c>
      <c r="K695" s="7" t="inlineStr">
        <is>
          <t>L/100kg sem.</t>
        </is>
      </c>
      <c r="L695" s="9" t="n">
        <v>1</v>
      </c>
      <c r="M695" s="7" t="inlineStr">
        <is>
          <t>Aplicar conforme monitoramento e estádio recomendado na bula (IRAC Grupo 2B)</t>
        </is>
      </c>
    </row>
    <row r="696" ht="22" customHeight="1">
      <c r="A696" s="12" t="inlineStr">
        <is>
          <t>ALV-0692</t>
        </is>
      </c>
      <c r="B696" s="11" t="n">
        <v>360</v>
      </c>
      <c r="C696" s="13" t="inlineStr">
        <is>
          <t>Nº 27717</t>
        </is>
      </c>
      <c r="D696" s="14" t="inlineStr">
        <is>
          <t>FIPRONIL 800 WG AGCN</t>
        </is>
      </c>
      <c r="E696" s="13" t="inlineStr">
        <is>
          <t>Inseticida e Cupinicida (Fipronil)</t>
        </is>
      </c>
      <c r="F696" s="13" t="inlineStr">
        <is>
          <t>Cupim-de-montículo</t>
        </is>
      </c>
      <c r="G696" s="13" t="inlineStr">
        <is>
          <t>Procornitermes triacifer</t>
        </is>
      </c>
      <c r="H696" s="13" t="inlineStr">
        <is>
          <t>NÃO</t>
        </is>
      </c>
      <c r="I696" s="18" t="n">
        <v>0.05</v>
      </c>
      <c r="J696" s="18" t="n">
        <v>0.2</v>
      </c>
      <c r="K696" s="13" t="inlineStr">
        <is>
          <t>kg ou L/ha</t>
        </is>
      </c>
      <c r="L696" s="15" t="n">
        <v>1</v>
      </c>
      <c r="M696" s="13" t="inlineStr">
        <is>
          <t>Aplicar conforme monitoramento e estádio recomendado na bula (IRAC Grupo 2B)</t>
        </is>
      </c>
    </row>
    <row r="697" ht="22" customHeight="1">
      <c r="A697" s="6" t="inlineStr">
        <is>
          <t>ALV-0693</t>
        </is>
      </c>
      <c r="B697" s="5" t="n">
        <v>361</v>
      </c>
      <c r="C697" s="7" t="inlineStr">
        <is>
          <t>Nº 27717</t>
        </is>
      </c>
      <c r="D697" s="8" t="inlineStr">
        <is>
          <t>FIPRONIL 800 WG AGCN</t>
        </is>
      </c>
      <c r="E697" s="7" t="inlineStr">
        <is>
          <t>Inseticida e Cupinicida (Fipronil)</t>
        </is>
      </c>
      <c r="F697" s="7" t="inlineStr">
        <is>
          <t>Coró</t>
        </is>
      </c>
      <c r="G697" s="7" t="inlineStr">
        <is>
          <t>Phyllophaga cuyabana</t>
        </is>
      </c>
      <c r="H697" s="7" t="inlineStr">
        <is>
          <t>NÃO</t>
        </is>
      </c>
      <c r="I697" s="17" t="n">
        <v>0.1</v>
      </c>
      <c r="J697" s="17" t="n">
        <v>0.2</v>
      </c>
      <c r="K697" s="7" t="inlineStr">
        <is>
          <t>L/100kg sem.</t>
        </is>
      </c>
      <c r="L697" s="9" t="n">
        <v>1</v>
      </c>
      <c r="M697" s="7" t="inlineStr">
        <is>
          <t>Aplicar conforme monitoramento e estádio recomendado na bula (IRAC Grupo 2B)</t>
        </is>
      </c>
    </row>
    <row r="698" ht="22" customHeight="1">
      <c r="A698" s="12" t="inlineStr">
        <is>
          <t>ALV-0694</t>
        </is>
      </c>
      <c r="B698" s="11" t="n">
        <v>361</v>
      </c>
      <c r="C698" s="13" t="inlineStr">
        <is>
          <t>Nº 27717</t>
        </is>
      </c>
      <c r="D698" s="14" t="inlineStr">
        <is>
          <t>FIPRONIL 800 WG AGCN</t>
        </is>
      </c>
      <c r="E698" s="13" t="inlineStr">
        <is>
          <t>Inseticida e Cupinicida (Fipronil)</t>
        </is>
      </c>
      <c r="F698" s="13" t="inlineStr">
        <is>
          <t>Lagarta-elasmo</t>
        </is>
      </c>
      <c r="G698" s="13" t="inlineStr">
        <is>
          <t>Elasmopalpus lignosellus</t>
        </is>
      </c>
      <c r="H698" s="13" t="inlineStr">
        <is>
          <t>NÃO</t>
        </is>
      </c>
      <c r="I698" s="18" t="n">
        <v>0.1</v>
      </c>
      <c r="J698" s="18" t="n">
        <v>0.2</v>
      </c>
      <c r="K698" s="13" t="inlineStr">
        <is>
          <t>L/100kg sem.</t>
        </is>
      </c>
      <c r="L698" s="15" t="n">
        <v>1</v>
      </c>
      <c r="M698" s="13" t="inlineStr">
        <is>
          <t>Aplicar conforme monitoramento e estádio recomendado na bula (IRAC Grupo 2B)</t>
        </is>
      </c>
    </row>
    <row r="699" ht="22" customHeight="1">
      <c r="A699" s="6" t="inlineStr">
        <is>
          <t>ALV-0695</t>
        </is>
      </c>
      <c r="B699" s="5" t="n">
        <v>361</v>
      </c>
      <c r="C699" s="7" t="inlineStr">
        <is>
          <t>Nº 27717</t>
        </is>
      </c>
      <c r="D699" s="8" t="inlineStr">
        <is>
          <t>FIPRONIL 800 WG AGCN</t>
        </is>
      </c>
      <c r="E699" s="7" t="inlineStr">
        <is>
          <t>Inseticida e Cupinicida (Fipronil)</t>
        </is>
      </c>
      <c r="F699" s="7" t="inlineStr">
        <is>
          <t>Cupim-de-montículo</t>
        </is>
      </c>
      <c r="G699" s="7" t="inlineStr">
        <is>
          <t>Procornitermes triacifer</t>
        </is>
      </c>
      <c r="H699" s="7" t="inlineStr">
        <is>
          <t>NÃO</t>
        </is>
      </c>
      <c r="I699" s="17" t="n">
        <v>0.05</v>
      </c>
      <c r="J699" s="17" t="n">
        <v>0.2</v>
      </c>
      <c r="K699" s="7" t="inlineStr">
        <is>
          <t>kg ou L/ha</t>
        </is>
      </c>
      <c r="L699" s="9" t="n">
        <v>1</v>
      </c>
      <c r="M699" s="7" t="inlineStr">
        <is>
          <t>Aplicar conforme monitoramento e estádio recomendado na bula (IRAC Grupo 2B)</t>
        </is>
      </c>
    </row>
    <row r="700" ht="22" customHeight="1">
      <c r="A700" s="12" t="inlineStr">
        <is>
          <t>ALV-0696</t>
        </is>
      </c>
      <c r="B700" s="11" t="n">
        <v>362</v>
      </c>
      <c r="C700" s="13" t="inlineStr">
        <is>
          <t>Nº 22023</t>
        </is>
      </c>
      <c r="D700" s="14" t="inlineStr">
        <is>
          <t>TEBUCONAZOLE 430 SINO-AGRI</t>
        </is>
      </c>
      <c r="E700" s="13" t="inlineStr">
        <is>
          <t>Fungicida</t>
        </is>
      </c>
      <c r="F700" s="13" t="inlineStr">
        <is>
          <t>Ferrugem-asiática</t>
        </is>
      </c>
      <c r="G700" s="13" t="inlineStr">
        <is>
          <t>Phakopsora pachyrhizi</t>
        </is>
      </c>
      <c r="H700" s="13" t="inlineStr">
        <is>
          <t>SIM (*)</t>
        </is>
      </c>
      <c r="I700" s="18" t="n">
        <v>0.35</v>
      </c>
      <c r="J700" s="18" t="n">
        <v>0.5</v>
      </c>
      <c r="K700" s="13" t="inlineStr">
        <is>
          <t>L/ha</t>
        </is>
      </c>
      <c r="L700" s="15" t="n">
        <v>1</v>
      </c>
      <c r="M700" s="13" t="inlineStr">
        <is>
          <t>Aplicar conforme monitoramento e estádio recomendado na bula (FRAC Grupo 3 (DMI))</t>
        </is>
      </c>
    </row>
    <row r="701" ht="22" customHeight="1">
      <c r="A701" s="6" t="inlineStr">
        <is>
          <t>ALV-0697</t>
        </is>
      </c>
      <c r="B701" s="5" t="n">
        <v>362</v>
      </c>
      <c r="C701" s="7" t="inlineStr">
        <is>
          <t>Nº 22023</t>
        </is>
      </c>
      <c r="D701" s="8" t="inlineStr">
        <is>
          <t>TEBUCONAZOLE 430 SINO-AGRI</t>
        </is>
      </c>
      <c r="E701" s="7" t="inlineStr">
        <is>
          <t>Fungicida</t>
        </is>
      </c>
      <c r="F701" s="7" t="inlineStr">
        <is>
          <t>Mancha-parda</t>
        </is>
      </c>
      <c r="G701" s="7" t="inlineStr">
        <is>
          <t>Septoria glycines</t>
        </is>
      </c>
      <c r="H701" s="7" t="inlineStr">
        <is>
          <t>NÃO</t>
        </is>
      </c>
      <c r="I701" s="17" t="n">
        <v>0.35</v>
      </c>
      <c r="J701" s="17" t="n">
        <v>0.5</v>
      </c>
      <c r="K701" s="7" t="inlineStr">
        <is>
          <t>L/ha</t>
        </is>
      </c>
      <c r="L701" s="9" t="n">
        <v>1</v>
      </c>
      <c r="M701" s="7" t="inlineStr">
        <is>
          <t>Aplicar conforme monitoramento e estádio recomendado na bula (FRAC Grupo 3 (DMI))</t>
        </is>
      </c>
    </row>
    <row r="702" ht="22" customHeight="1">
      <c r="A702" s="12" t="inlineStr">
        <is>
          <t>ALV-0698</t>
        </is>
      </c>
      <c r="B702" s="11" t="n">
        <v>363</v>
      </c>
      <c r="C702" s="13" t="inlineStr">
        <is>
          <t>Nº 22023</t>
        </is>
      </c>
      <c r="D702" s="14" t="inlineStr">
        <is>
          <t>TEBUCONAZOLE 430 SINO-AGRI</t>
        </is>
      </c>
      <c r="E702" s="13" t="inlineStr">
        <is>
          <t>Fungicida</t>
        </is>
      </c>
      <c r="F702" s="13" t="inlineStr">
        <is>
          <t>Ferrugem-asiática</t>
        </is>
      </c>
      <c r="G702" s="13" t="inlineStr">
        <is>
          <t>Phakopsora pachyrhizi</t>
        </is>
      </c>
      <c r="H702" s="13" t="inlineStr">
        <is>
          <t>SIM (*)</t>
        </is>
      </c>
      <c r="I702" s="18" t="n">
        <v>0.35</v>
      </c>
      <c r="J702" s="18" t="n">
        <v>0.5</v>
      </c>
      <c r="K702" s="13" t="inlineStr">
        <is>
          <t>L/ha</t>
        </is>
      </c>
      <c r="L702" s="15" t="n">
        <v>1</v>
      </c>
      <c r="M702" s="13" t="inlineStr">
        <is>
          <t>Aplicar conforme monitoramento e estádio recomendado na bula (FRAC Grupo 3 (DMI))</t>
        </is>
      </c>
    </row>
    <row r="703" ht="22" customHeight="1">
      <c r="A703" s="6" t="inlineStr">
        <is>
          <t>ALV-0699</t>
        </is>
      </c>
      <c r="B703" s="5" t="n">
        <v>363</v>
      </c>
      <c r="C703" s="7" t="inlineStr">
        <is>
          <t>Nº 22023</t>
        </is>
      </c>
      <c r="D703" s="8" t="inlineStr">
        <is>
          <t>TEBUCONAZOLE 430 SINO-AGRI</t>
        </is>
      </c>
      <c r="E703" s="7" t="inlineStr">
        <is>
          <t>Fungicida</t>
        </is>
      </c>
      <c r="F703" s="7" t="inlineStr">
        <is>
          <t>Mancha-parda</t>
        </is>
      </c>
      <c r="G703" s="7" t="inlineStr">
        <is>
          <t>Septoria glycines</t>
        </is>
      </c>
      <c r="H703" s="7" t="inlineStr">
        <is>
          <t>NÃO</t>
        </is>
      </c>
      <c r="I703" s="17" t="n">
        <v>0.35</v>
      </c>
      <c r="J703" s="17" t="n">
        <v>0.5</v>
      </c>
      <c r="K703" s="7" t="inlineStr">
        <is>
          <t>L/ha</t>
        </is>
      </c>
      <c r="L703" s="9" t="n">
        <v>1</v>
      </c>
      <c r="M703" s="7" t="inlineStr">
        <is>
          <t>Aplicar conforme monitoramento e estádio recomendado na bula (FRAC Grupo 3 (DMI))</t>
        </is>
      </c>
    </row>
    <row r="704" ht="22" customHeight="1">
      <c r="A704" s="12" t="inlineStr">
        <is>
          <t>ALV-0700</t>
        </is>
      </c>
      <c r="B704" s="11" t="n">
        <v>364</v>
      </c>
      <c r="C704" s="13" t="inlineStr">
        <is>
          <t>Nº 0315</t>
        </is>
      </c>
      <c r="D704" s="14" t="inlineStr">
        <is>
          <t>2-4 D AGCN</t>
        </is>
      </c>
      <c r="E704" s="13" t="inlineStr">
        <is>
          <t>Herbicida</t>
        </is>
      </c>
      <c r="F704" s="13" t="inlineStr">
        <is>
          <t>Buva</t>
        </is>
      </c>
      <c r="G704" s="13" t="inlineStr">
        <is>
          <t>Conyza bonariensis</t>
        </is>
      </c>
      <c r="H704" s="13" t="inlineStr">
        <is>
          <t>SIM (*)</t>
        </is>
      </c>
      <c r="I704" s="15" t="n">
        <v>1</v>
      </c>
      <c r="J704" s="18" t="n">
        <v>1.5</v>
      </c>
      <c r="K704" s="13" t="inlineStr">
        <is>
          <t>L/ha</t>
        </is>
      </c>
      <c r="L704" s="15" t="n">
        <v>1</v>
      </c>
      <c r="M704" s="13" t="inlineStr">
        <is>
          <t>Aplicar conforme monitoramento e estádio recomendado na bula (HRAC Grupo O (4) — Auxinas Sintéticas)</t>
        </is>
      </c>
    </row>
    <row r="705" ht="22" customHeight="1">
      <c r="A705" s="6" t="inlineStr">
        <is>
          <t>ALV-0701</t>
        </is>
      </c>
      <c r="B705" s="5" t="n">
        <v>364</v>
      </c>
      <c r="C705" s="7" t="inlineStr">
        <is>
          <t>Nº 0315</t>
        </is>
      </c>
      <c r="D705" s="8" t="inlineStr">
        <is>
          <t>2-4 D AGCN</t>
        </is>
      </c>
      <c r="E705" s="7" t="inlineStr">
        <is>
          <t>Herbicida</t>
        </is>
      </c>
      <c r="F705" s="7" t="inlineStr">
        <is>
          <t>Picão-preto</t>
        </is>
      </c>
      <c r="G705" s="7" t="inlineStr">
        <is>
          <t>Bidens pilosa</t>
        </is>
      </c>
      <c r="H705" s="7" t="inlineStr">
        <is>
          <t>NÃO</t>
        </is>
      </c>
      <c r="I705" s="9" t="n">
        <v>1</v>
      </c>
      <c r="J705" s="17" t="n">
        <v>1.5</v>
      </c>
      <c r="K705" s="7" t="inlineStr">
        <is>
          <t>L/ha</t>
        </is>
      </c>
      <c r="L705" s="9" t="n">
        <v>1</v>
      </c>
      <c r="M705" s="7" t="inlineStr">
        <is>
          <t>Aplicar conforme monitoramento e estádio recomendado na bula (HRAC Grupo O (4) — Auxinas Sintéticas)</t>
        </is>
      </c>
    </row>
    <row r="706" ht="22" customHeight="1">
      <c r="A706" s="12" t="inlineStr">
        <is>
          <t>ALV-0702</t>
        </is>
      </c>
      <c r="B706" s="11" t="n">
        <v>365</v>
      </c>
      <c r="C706" s="13" t="inlineStr">
        <is>
          <t>Nº 7124</t>
        </is>
      </c>
      <c r="D706" s="14" t="inlineStr">
        <is>
          <t>OPTIBEX</t>
        </is>
      </c>
      <c r="E706" s="13" t="inlineStr">
        <is>
          <t>Herbicida</t>
        </is>
      </c>
      <c r="F706" s="13" t="inlineStr">
        <is>
          <t>Buva</t>
        </is>
      </c>
      <c r="G706" s="13" t="inlineStr">
        <is>
          <t>Conyza bonariensis</t>
        </is>
      </c>
      <c r="H706" s="13" t="inlineStr">
        <is>
          <t>NÃO</t>
        </is>
      </c>
      <c r="I706" s="15" t="n">
        <v>2</v>
      </c>
      <c r="J706" s="15" t="n">
        <v>3</v>
      </c>
      <c r="K706" s="13" t="inlineStr">
        <is>
          <t>L/ha</t>
        </is>
      </c>
      <c r="L706" s="15" t="n">
        <v>1</v>
      </c>
      <c r="M706" s="13" t="inlineStr">
        <is>
          <t>Aplicar conforme monitoramento e estádio recomendado na bula (HRAC Grupo H (10) — Inibidores da Glutamina Sintetase)</t>
        </is>
      </c>
    </row>
    <row r="707" ht="22" customHeight="1">
      <c r="A707" s="6" t="inlineStr">
        <is>
          <t>ALV-0703</t>
        </is>
      </c>
      <c r="B707" s="5" t="n">
        <v>365</v>
      </c>
      <c r="C707" s="7" t="inlineStr">
        <is>
          <t>Nº 7124</t>
        </is>
      </c>
      <c r="D707" s="8" t="inlineStr">
        <is>
          <t>OPTIBEX</t>
        </is>
      </c>
      <c r="E707" s="7" t="inlineStr">
        <is>
          <t>Herbicida</t>
        </is>
      </c>
      <c r="F707" s="7" t="inlineStr">
        <is>
          <t>Capim-pé-de-galinha</t>
        </is>
      </c>
      <c r="G707" s="7" t="inlineStr">
        <is>
          <t>Eleusine indica</t>
        </is>
      </c>
      <c r="H707" s="7" t="inlineStr">
        <is>
          <t>NÃO</t>
        </is>
      </c>
      <c r="I707" s="9" t="n">
        <v>2</v>
      </c>
      <c r="J707" s="17" t="n">
        <v>2.5</v>
      </c>
      <c r="K707" s="7" t="inlineStr">
        <is>
          <t>L/ha</t>
        </is>
      </c>
      <c r="L707" s="9" t="n">
        <v>1</v>
      </c>
      <c r="M707" s="7" t="inlineStr">
        <is>
          <t>Aplicar conforme monitoramento e estádio recomendado na bula (HRAC Grupo H (10) — Inibidores da Glutamina Sintetase)</t>
        </is>
      </c>
    </row>
    <row r="708" ht="22" customHeight="1">
      <c r="A708" s="12" t="inlineStr">
        <is>
          <t>ALV-0704</t>
        </is>
      </c>
      <c r="B708" s="11" t="n">
        <v>365</v>
      </c>
      <c r="C708" s="13" t="inlineStr">
        <is>
          <t>Nº 7124</t>
        </is>
      </c>
      <c r="D708" s="14" t="inlineStr">
        <is>
          <t>OPTIBEX</t>
        </is>
      </c>
      <c r="E708" s="13" t="inlineStr">
        <is>
          <t>Herbicida</t>
        </is>
      </c>
      <c r="F708" s="13" t="inlineStr">
        <is>
          <t>Caruru</t>
        </is>
      </c>
      <c r="G708" s="13" t="inlineStr">
        <is>
          <t>Amaranthus hybridus</t>
        </is>
      </c>
      <c r="H708" s="13" t="inlineStr">
        <is>
          <t>NÃO</t>
        </is>
      </c>
      <c r="I708" s="18" t="n">
        <v>1.5</v>
      </c>
      <c r="J708" s="18" t="n">
        <v>2.5</v>
      </c>
      <c r="K708" s="13" t="inlineStr">
        <is>
          <t>L/ha</t>
        </is>
      </c>
      <c r="L708" s="15" t="n">
        <v>1</v>
      </c>
      <c r="M708" s="13" t="inlineStr">
        <is>
          <t>Aplicar conforme monitoramento e estádio recomendado na bula (HRAC Grupo H (10) — Inibidores da Glutamina Sintetase)</t>
        </is>
      </c>
    </row>
    <row r="709" ht="22" customHeight="1">
      <c r="A709" s="6" t="inlineStr">
        <is>
          <t>ALV-0705</t>
        </is>
      </c>
      <c r="B709" s="5" t="n">
        <v>366</v>
      </c>
      <c r="C709" s="7" t="inlineStr">
        <is>
          <t>Nº 34621</t>
        </is>
      </c>
      <c r="D709" s="8" t="inlineStr">
        <is>
          <t>RATEIO 200 SL</t>
        </is>
      </c>
      <c r="E709" s="7" t="inlineStr">
        <is>
          <t>Herbicida Dessecante</t>
        </is>
      </c>
      <c r="F709" s="7" t="inlineStr">
        <is>
          <t>Buva</t>
        </is>
      </c>
      <c r="G709" s="7" t="inlineStr">
        <is>
          <t>Conyza bonariensis</t>
        </is>
      </c>
      <c r="H709" s="7" t="inlineStr">
        <is>
          <t>NÃO</t>
        </is>
      </c>
      <c r="I709" s="17" t="n">
        <v>1.5</v>
      </c>
      <c r="J709" s="17" t="n">
        <v>2.5</v>
      </c>
      <c r="K709" s="7" t="inlineStr">
        <is>
          <t>L/ha</t>
        </is>
      </c>
      <c r="L709" s="9" t="n">
        <v>1</v>
      </c>
      <c r="M709" s="7" t="inlineStr">
        <is>
          <t>Aplicar conforme monitoramento e estádio recomendado na bula (HRAC Grupo D (22) — Desviadores de Elétrons do Fotossistema I)</t>
        </is>
      </c>
    </row>
    <row r="710" ht="22" customHeight="1">
      <c r="A710" s="12" t="inlineStr">
        <is>
          <t>ALV-0706</t>
        </is>
      </c>
      <c r="B710" s="11" t="n">
        <v>366</v>
      </c>
      <c r="C710" s="13" t="inlineStr">
        <is>
          <t>Nº 34621</t>
        </is>
      </c>
      <c r="D710" s="14" t="inlineStr">
        <is>
          <t>RATEIO 200 SL</t>
        </is>
      </c>
      <c r="E710" s="13" t="inlineStr">
        <is>
          <t>Herbicida Dessecante</t>
        </is>
      </c>
      <c r="F710" s="13" t="inlineStr">
        <is>
          <t>Corda-de-viola</t>
        </is>
      </c>
      <c r="G710" s="13" t="inlineStr">
        <is>
          <t>Ipomoea grandifolia</t>
        </is>
      </c>
      <c r="H710" s="13" t="inlineStr">
        <is>
          <t>NÃO</t>
        </is>
      </c>
      <c r="I710" s="18" t="n">
        <v>1.5</v>
      </c>
      <c r="J710" s="15" t="n">
        <v>2</v>
      </c>
      <c r="K710" s="13" t="inlineStr">
        <is>
          <t>L/ha</t>
        </is>
      </c>
      <c r="L710" s="15" t="n">
        <v>1</v>
      </c>
      <c r="M710" s="13" t="inlineStr">
        <is>
          <t>Aplicar conforme monitoramento e estádio recomendado na bula (HRAC Grupo D (22) — Desviadores de Elétrons do Fotossistema I)</t>
        </is>
      </c>
    </row>
    <row r="711" ht="22" customHeight="1">
      <c r="A711" s="6" t="inlineStr">
        <is>
          <t>ALV-0707</t>
        </is>
      </c>
      <c r="B711" s="5" t="n">
        <v>366</v>
      </c>
      <c r="C711" s="7" t="inlineStr">
        <is>
          <t>Nº 34621</t>
        </is>
      </c>
      <c r="D711" s="8" t="inlineStr">
        <is>
          <t>RATEIO 200 SL</t>
        </is>
      </c>
      <c r="E711" s="7" t="inlineStr">
        <is>
          <t>Herbicida Dessecante</t>
        </is>
      </c>
      <c r="F711" s="7" t="inlineStr">
        <is>
          <t>Dessecação Pré-Colheita Soja</t>
        </is>
      </c>
      <c r="G711" s="7" t="inlineStr">
        <is>
          <t>Glycine max</t>
        </is>
      </c>
      <c r="H711" s="7" t="inlineStr">
        <is>
          <t>NÃO</t>
        </is>
      </c>
      <c r="I711" s="17" t="n">
        <v>1.5</v>
      </c>
      <c r="J711" s="9" t="n">
        <v>2</v>
      </c>
      <c r="K711" s="7" t="inlineStr">
        <is>
          <t>L/ha</t>
        </is>
      </c>
      <c r="L711" s="9" t="n">
        <v>1</v>
      </c>
      <c r="M711" s="7" t="inlineStr">
        <is>
          <t>Aplicar conforme monitoramento e estádio recomendado na bula (HRAC Grupo D (22) — Desviadores de Elétrons do Fotossistema I)</t>
        </is>
      </c>
    </row>
    <row r="712" ht="22" customHeight="1">
      <c r="A712" s="12" t="inlineStr">
        <is>
          <t>ALV-0708</t>
        </is>
      </c>
      <c r="B712" s="11" t="n">
        <v>367</v>
      </c>
      <c r="C712" s="13" t="inlineStr">
        <is>
          <t>SIPEAGRO (UF-XXXXX)</t>
        </is>
      </c>
      <c r="D712" s="14" t="inlineStr">
        <is>
          <t>CLORETO DE POTASSIO 000060 1.000KG</t>
        </is>
      </c>
      <c r="E712" s="13" t="inlineStr">
        <is>
          <t>Fertilizante Mineral Simples (Potássico / Magnesiano)</t>
        </is>
      </c>
      <c r="F712" s="13" t="inlineStr">
        <is>
          <t>Nutrição e Correção de Deficiência Mineral</t>
        </is>
      </c>
      <c r="G712" s="13" t="inlineStr">
        <is>
          <t>Nutrição Vegetal</t>
        </is>
      </c>
      <c r="H712" s="13" t="inlineStr">
        <is>
          <t>NÃO</t>
        </is>
      </c>
      <c r="I712" s="15" t="n">
        <v>1</v>
      </c>
      <c r="J712" s="15" t="n">
        <v>250</v>
      </c>
      <c r="K712" s="13" t="inlineStr">
        <is>
          <t>kg ou L/ha</t>
        </is>
      </c>
      <c r="L712" s="15" t="n">
        <v>1</v>
      </c>
      <c r="M712" s="13" t="inlineStr">
        <is>
          <t>Aplicar conforme monitoramento e estádio recomendado na bula (Nutrição Vegetal SIPEAGRO)</t>
        </is>
      </c>
    </row>
    <row r="713" ht="22" customHeight="1">
      <c r="A713" s="6" t="inlineStr">
        <is>
          <t>ALV-0709</t>
        </is>
      </c>
      <c r="B713" s="5" t="n">
        <v>368</v>
      </c>
      <c r="C713" s="7" t="inlineStr">
        <is>
          <t>VINCULAR MARCA</t>
        </is>
      </c>
      <c r="D713" s="8" t="inlineStr">
        <is>
          <t>ABAMECTINA 600 (PRINCIPIO ATIVO)</t>
        </is>
      </c>
      <c r="E713" s="7" t="inlineStr">
        <is>
          <t>Insumo Industrial</t>
        </is>
      </c>
      <c r="F713" s="7" t="inlineStr">
        <is>
          <t>Matéria-prima para Formulação Industrial</t>
        </is>
      </c>
      <c r="G713" s="7" t="inlineStr">
        <is>
          <t>Uso Industrial Credenciado MAPA</t>
        </is>
      </c>
      <c r="H713" s="7" t="inlineStr">
        <is>
          <t>NÃO</t>
        </is>
      </c>
      <c r="I713" s="9" t="n">
        <v>0</v>
      </c>
      <c r="J713" s="9" t="n">
        <v>0</v>
      </c>
      <c r="K713" s="7" t="inlineStr">
        <is>
          <t>L</t>
        </is>
      </c>
      <c r="L713" s="9" t="n">
        <v>1</v>
      </c>
      <c r="M713" s="7" t="inlineStr">
        <is>
          <t>Uso restrito a estabelecimentos formuladores registrados</t>
        </is>
      </c>
    </row>
    <row r="714" ht="22" customHeight="1">
      <c r="A714" s="12" t="inlineStr">
        <is>
          <t>ALV-0710</t>
        </is>
      </c>
      <c r="B714" s="11" t="n">
        <v>369</v>
      </c>
      <c r="C714" s="13" t="inlineStr">
        <is>
          <t>Nº 0120</t>
        </is>
      </c>
      <c r="D714" s="14" t="inlineStr">
        <is>
          <t>GLUFOSINATO 200 (PRINCIPIO ATIVO)</t>
        </is>
      </c>
      <c r="E714" s="13" t="inlineStr">
        <is>
          <t>Insumo Industrial</t>
        </is>
      </c>
      <c r="F714" s="13" t="inlineStr">
        <is>
          <t>Matéria-prima para Formulação Industrial</t>
        </is>
      </c>
      <c r="G714" s="13" t="inlineStr">
        <is>
          <t>Uso Industrial Credenciado MAPA</t>
        </is>
      </c>
      <c r="H714" s="13" t="inlineStr">
        <is>
          <t>NÃO</t>
        </is>
      </c>
      <c r="I714" s="15" t="n">
        <v>0</v>
      </c>
      <c r="J714" s="15" t="n">
        <v>0</v>
      </c>
      <c r="K714" s="13" t="inlineStr">
        <is>
          <t>KG</t>
        </is>
      </c>
      <c r="L714" s="15" t="n">
        <v>1</v>
      </c>
      <c r="M714" s="13" t="inlineStr">
        <is>
          <t>Uso restrito a estabelecimentos formuladores registrados</t>
        </is>
      </c>
    </row>
    <row r="715" ht="22" customHeight="1">
      <c r="A715" s="6" t="inlineStr">
        <is>
          <t>ALV-0711</t>
        </is>
      </c>
      <c r="B715" s="5" t="n">
        <v>370</v>
      </c>
      <c r="C715" s="7" t="inlineStr">
        <is>
          <t>Nº 36419</t>
        </is>
      </c>
      <c r="D715" s="8" t="inlineStr">
        <is>
          <t>PIRIPROXIFEM 100 (PRINCIPIO ATIVO)</t>
        </is>
      </c>
      <c r="E715" s="7" t="inlineStr">
        <is>
          <t>Insumo Industrial</t>
        </is>
      </c>
      <c r="F715" s="7" t="inlineStr">
        <is>
          <t>Matéria-prima para Formulação Industrial</t>
        </is>
      </c>
      <c r="G715" s="7" t="inlineStr">
        <is>
          <t>Uso Industrial Credenciado MAPA</t>
        </is>
      </c>
      <c r="H715" s="7" t="inlineStr">
        <is>
          <t>NÃO</t>
        </is>
      </c>
      <c r="I715" s="9" t="n">
        <v>0</v>
      </c>
      <c r="J715" s="9" t="n">
        <v>0</v>
      </c>
      <c r="K715" s="7" t="inlineStr">
        <is>
          <t>L</t>
        </is>
      </c>
      <c r="L715" s="9" t="n">
        <v>1</v>
      </c>
      <c r="M715" s="7" t="inlineStr">
        <is>
          <t>Uso restrito a estabelecimentos formuladores registrados</t>
        </is>
      </c>
    </row>
    <row r="716" ht="22" customHeight="1">
      <c r="A716" s="12" t="inlineStr">
        <is>
          <t>ALV-0712</t>
        </is>
      </c>
      <c r="B716" s="11" t="n">
        <v>371</v>
      </c>
      <c r="C716" s="13" t="inlineStr">
        <is>
          <t>Nº 26322</t>
        </is>
      </c>
      <c r="D716" s="14" t="inlineStr">
        <is>
          <t>FIPRONIL 800 WG YONON</t>
        </is>
      </c>
      <c r="E716" s="13" t="inlineStr">
        <is>
          <t>Inseticida e Cupinicida (Fipronil)</t>
        </is>
      </c>
      <c r="F716" s="13" t="inlineStr">
        <is>
          <t>Coró</t>
        </is>
      </c>
      <c r="G716" s="13" t="inlineStr">
        <is>
          <t>Phyllophaga cuyabana</t>
        </is>
      </c>
      <c r="H716" s="13" t="inlineStr">
        <is>
          <t>NÃO</t>
        </is>
      </c>
      <c r="I716" s="18" t="n">
        <v>0.1</v>
      </c>
      <c r="J716" s="18" t="n">
        <v>0.2</v>
      </c>
      <c r="K716" s="13" t="inlineStr">
        <is>
          <t>L/100kg sem.</t>
        </is>
      </c>
      <c r="L716" s="15" t="n">
        <v>1</v>
      </c>
      <c r="M716" s="13" t="inlineStr">
        <is>
          <t>Aplicar conforme monitoramento e estádio recomendado na bula (IRAC Grupo 2B)</t>
        </is>
      </c>
    </row>
    <row r="717" ht="22" customHeight="1">
      <c r="A717" s="6" t="inlineStr">
        <is>
          <t>ALV-0713</t>
        </is>
      </c>
      <c r="B717" s="5" t="n">
        <v>371</v>
      </c>
      <c r="C717" s="7" t="inlineStr">
        <is>
          <t>Nº 26322</t>
        </is>
      </c>
      <c r="D717" s="8" t="inlineStr">
        <is>
          <t>FIPRONIL 800 WG YONON</t>
        </is>
      </c>
      <c r="E717" s="7" t="inlineStr">
        <is>
          <t>Inseticida e Cupinicida (Fipronil)</t>
        </is>
      </c>
      <c r="F717" s="7" t="inlineStr">
        <is>
          <t>Lagarta-elasmo</t>
        </is>
      </c>
      <c r="G717" s="7" t="inlineStr">
        <is>
          <t>Elasmopalpus lignosellus</t>
        </is>
      </c>
      <c r="H717" s="7" t="inlineStr">
        <is>
          <t>NÃO</t>
        </is>
      </c>
      <c r="I717" s="17" t="n">
        <v>0.1</v>
      </c>
      <c r="J717" s="17" t="n">
        <v>0.2</v>
      </c>
      <c r="K717" s="7" t="inlineStr">
        <is>
          <t>L/100kg sem.</t>
        </is>
      </c>
      <c r="L717" s="9" t="n">
        <v>1</v>
      </c>
      <c r="M717" s="7" t="inlineStr">
        <is>
          <t>Aplicar conforme monitoramento e estádio recomendado na bula (IRAC Grupo 2B)</t>
        </is>
      </c>
    </row>
    <row r="718" ht="22" customHeight="1">
      <c r="A718" s="12" t="inlineStr">
        <is>
          <t>ALV-0714</t>
        </is>
      </c>
      <c r="B718" s="11" t="n">
        <v>371</v>
      </c>
      <c r="C718" s="13" t="inlineStr">
        <is>
          <t>Nº 26322</t>
        </is>
      </c>
      <c r="D718" s="14" t="inlineStr">
        <is>
          <t>FIPRONIL 800 WG YONON</t>
        </is>
      </c>
      <c r="E718" s="13" t="inlineStr">
        <is>
          <t>Inseticida e Cupinicida (Fipronil)</t>
        </is>
      </c>
      <c r="F718" s="13" t="inlineStr">
        <is>
          <t>Cupim-de-montículo</t>
        </is>
      </c>
      <c r="G718" s="13" t="inlineStr">
        <is>
          <t>Procornitermes triacifer</t>
        </is>
      </c>
      <c r="H718" s="13" t="inlineStr">
        <is>
          <t>NÃO</t>
        </is>
      </c>
      <c r="I718" s="18" t="n">
        <v>0.05</v>
      </c>
      <c r="J718" s="18" t="n">
        <v>0.2</v>
      </c>
      <c r="K718" s="13" t="inlineStr">
        <is>
          <t>kg ou L/ha</t>
        </is>
      </c>
      <c r="L718" s="15" t="n">
        <v>1</v>
      </c>
      <c r="M718" s="13" t="inlineStr">
        <is>
          <t>Aplicar conforme monitoramento e estádio recomendado na bula (IRAC Grupo 2B)</t>
        </is>
      </c>
    </row>
    <row r="719" ht="22" customHeight="1">
      <c r="A719" s="6" t="inlineStr">
        <is>
          <t>ALV-0715</t>
        </is>
      </c>
      <c r="B719" s="5" t="n">
        <v>372</v>
      </c>
      <c r="C719" s="7" t="inlineStr">
        <is>
          <t>Nº 1522</t>
        </is>
      </c>
      <c r="D719" s="8" t="inlineStr">
        <is>
          <t>ADVER</t>
        </is>
      </c>
      <c r="E719" s="7" t="inlineStr">
        <is>
          <t>Inseticida e Acaricida</t>
        </is>
      </c>
      <c r="F719" s="7" t="inlineStr">
        <is>
          <t>Ácaro-rajado</t>
        </is>
      </c>
      <c r="G719" s="7" t="inlineStr">
        <is>
          <t>Tetranychus urticae</t>
        </is>
      </c>
      <c r="H719" s="7" t="inlineStr">
        <is>
          <t>NÃO</t>
        </is>
      </c>
      <c r="I719" s="17" t="n">
        <v>0.5</v>
      </c>
      <c r="J719" s="17" t="n">
        <v>1.5</v>
      </c>
      <c r="K719" s="7" t="inlineStr">
        <is>
          <t>L/ha</t>
        </is>
      </c>
      <c r="L719" s="9" t="n">
        <v>1</v>
      </c>
      <c r="M719" s="7" t="inlineStr">
        <is>
          <t>Aplicar conforme monitoramento e estádio recomendado na bula (IRAC Grupo 13)</t>
        </is>
      </c>
    </row>
    <row r="720" ht="22" customHeight="1">
      <c r="A720" s="12" t="inlineStr">
        <is>
          <t>ALV-0716</t>
        </is>
      </c>
      <c r="B720" s="11" t="n">
        <v>372</v>
      </c>
      <c r="C720" s="13" t="inlineStr">
        <is>
          <t>Nº 1522</t>
        </is>
      </c>
      <c r="D720" s="14" t="inlineStr">
        <is>
          <t>ADVER</t>
        </is>
      </c>
      <c r="E720" s="13" t="inlineStr">
        <is>
          <t>Inseticida e Acaricida</t>
        </is>
      </c>
      <c r="F720" s="13" t="inlineStr">
        <is>
          <t>Lagarta-helicoverpa</t>
        </is>
      </c>
      <c r="G720" s="13" t="inlineStr">
        <is>
          <t>Helicoverpa armigera</t>
        </is>
      </c>
      <c r="H720" s="13" t="inlineStr">
        <is>
          <t>NÃO</t>
        </is>
      </c>
      <c r="I720" s="18" t="n">
        <v>0.8</v>
      </c>
      <c r="J720" s="18" t="n">
        <v>1.25</v>
      </c>
      <c r="K720" s="13" t="inlineStr">
        <is>
          <t>L/ha</t>
        </is>
      </c>
      <c r="L720" s="15" t="n">
        <v>1</v>
      </c>
      <c r="M720" s="13" t="inlineStr">
        <is>
          <t>Aplicar conforme monitoramento e estádio recomendado na bula (IRAC Grupo 13)</t>
        </is>
      </c>
    </row>
    <row r="721" ht="22" customHeight="1">
      <c r="A721" s="6" t="inlineStr">
        <is>
          <t>ALV-0717</t>
        </is>
      </c>
      <c r="B721" s="5" t="n">
        <v>372</v>
      </c>
      <c r="C721" s="7" t="inlineStr">
        <is>
          <t>Nº 1522</t>
        </is>
      </c>
      <c r="D721" s="8" t="inlineStr">
        <is>
          <t>ADVER</t>
        </is>
      </c>
      <c r="E721" s="7" t="inlineStr">
        <is>
          <t>Inseticida e Acaricida</t>
        </is>
      </c>
      <c r="F721" s="7" t="inlineStr">
        <is>
          <t>Lagarta-do-cartucho</t>
        </is>
      </c>
      <c r="G721" s="7" t="inlineStr">
        <is>
          <t>Spodoptera frugiperda</t>
        </is>
      </c>
      <c r="H721" s="7" t="inlineStr">
        <is>
          <t>NÃO</t>
        </is>
      </c>
      <c r="I721" s="17" t="n">
        <v>0.75</v>
      </c>
      <c r="J721" s="17" t="n">
        <v>1.25</v>
      </c>
      <c r="K721" s="7" t="inlineStr">
        <is>
          <t>L/ha</t>
        </is>
      </c>
      <c r="L721" s="9" t="n">
        <v>1</v>
      </c>
      <c r="M721" s="7" t="inlineStr">
        <is>
          <t>Aplicar conforme monitoramento e estádio recomendado na bula (IRAC Grupo 13)</t>
        </is>
      </c>
    </row>
    <row r="722" ht="22" customHeight="1">
      <c r="A722" s="12" t="inlineStr">
        <is>
          <t>ALV-0718</t>
        </is>
      </c>
      <c r="B722" s="11" t="n">
        <v>373</v>
      </c>
      <c r="C722" s="13" t="inlineStr">
        <is>
          <t>Nº 36419</t>
        </is>
      </c>
      <c r="D722" s="14" t="inlineStr">
        <is>
          <t>PIRIPROXIFEM CCAB 100 EC</t>
        </is>
      </c>
      <c r="E722" s="13" t="inlineStr">
        <is>
          <t>Inseticida</t>
        </is>
      </c>
      <c r="F722" s="13" t="inlineStr">
        <is>
          <t>Mosca-branca</t>
        </is>
      </c>
      <c r="G722" s="13" t="inlineStr">
        <is>
          <t>Bemisia tabaci raça B</t>
        </is>
      </c>
      <c r="H722" s="13" t="inlineStr">
        <is>
          <t>SIM (*)</t>
        </is>
      </c>
      <c r="I722" s="18" t="n">
        <v>0.25</v>
      </c>
      <c r="J722" s="18" t="n">
        <v>0.5</v>
      </c>
      <c r="K722" s="13" t="inlineStr">
        <is>
          <t>L/ha</t>
        </is>
      </c>
      <c r="L722" s="15" t="n">
        <v>1</v>
      </c>
      <c r="M722" s="13" t="inlineStr">
        <is>
          <t>Aplicar conforme monitoramento e estádio recomendado na bula (IRAC Grupo 7C)</t>
        </is>
      </c>
    </row>
    <row r="723" ht="22" customHeight="1">
      <c r="A723" s="6" t="inlineStr">
        <is>
          <t>ALV-0719</t>
        </is>
      </c>
      <c r="B723" s="5" t="n">
        <v>373</v>
      </c>
      <c r="C723" s="7" t="inlineStr">
        <is>
          <t>Nº 36419</t>
        </is>
      </c>
      <c r="D723" s="8" t="inlineStr">
        <is>
          <t>PIRIPROXIFEM CCAB 100 EC</t>
        </is>
      </c>
      <c r="E723" s="7" t="inlineStr">
        <is>
          <t>Inseticida</t>
        </is>
      </c>
      <c r="F723" s="7" t="inlineStr">
        <is>
          <t>Cochonilha-escama-farinha</t>
        </is>
      </c>
      <c r="G723" s="7" t="inlineStr">
        <is>
          <t>Pinnaspis aspidistrae</t>
        </is>
      </c>
      <c r="H723" s="7" t="inlineStr">
        <is>
          <t>NÃO</t>
        </is>
      </c>
      <c r="I723" s="17" t="n">
        <v>0.5</v>
      </c>
      <c r="J723" s="17" t="n">
        <v>0.75</v>
      </c>
      <c r="K723" s="7" t="inlineStr">
        <is>
          <t>L/ha</t>
        </is>
      </c>
      <c r="L723" s="9" t="n">
        <v>1</v>
      </c>
      <c r="M723" s="7" t="inlineStr">
        <is>
          <t>Aplicar conforme monitoramento e estádio recomendado na bula (IRAC Grupo 7C)</t>
        </is>
      </c>
    </row>
    <row r="724" ht="22" customHeight="1">
      <c r="A724" s="12" t="inlineStr">
        <is>
          <t>ALV-0720</t>
        </is>
      </c>
      <c r="B724" s="11" t="n">
        <v>374</v>
      </c>
      <c r="C724" s="13" t="inlineStr">
        <is>
          <t>Nº 6922</t>
        </is>
      </c>
      <c r="D724" s="14" t="inlineStr">
        <is>
          <t>COFENRIN</t>
        </is>
      </c>
      <c r="E724" s="13" t="inlineStr">
        <is>
          <t>Inseticida e Acaricida</t>
        </is>
      </c>
      <c r="F724" s="13" t="inlineStr">
        <is>
          <t>Bicudo-do-algodoeiro</t>
        </is>
      </c>
      <c r="G724" s="13" t="inlineStr">
        <is>
          <t>Anthonomus grandis</t>
        </is>
      </c>
      <c r="H724" s="13" t="inlineStr">
        <is>
          <t>NÃO</t>
        </is>
      </c>
      <c r="I724" s="18" t="n">
        <v>0.15</v>
      </c>
      <c r="J724" s="18" t="n">
        <v>0.25</v>
      </c>
      <c r="K724" s="13" t="inlineStr">
        <is>
          <t>L/ha</t>
        </is>
      </c>
      <c r="L724" s="15" t="n">
        <v>1</v>
      </c>
      <c r="M724" s="13" t="inlineStr">
        <is>
          <t>Aplicar conforme monitoramento e estádio recomendado na bula (IRAC Grupo 3A)</t>
        </is>
      </c>
    </row>
    <row r="725" ht="22" customHeight="1">
      <c r="A725" s="6" t="inlineStr">
        <is>
          <t>ALV-0721</t>
        </is>
      </c>
      <c r="B725" s="5" t="n">
        <v>374</v>
      </c>
      <c r="C725" s="7" t="inlineStr">
        <is>
          <t>Nº 6922</t>
        </is>
      </c>
      <c r="D725" s="8" t="inlineStr">
        <is>
          <t>COFENRIN</t>
        </is>
      </c>
      <c r="E725" s="7" t="inlineStr">
        <is>
          <t>Inseticida e Acaricida</t>
        </is>
      </c>
      <c r="F725" s="7" t="inlineStr">
        <is>
          <t>Mosca-branca</t>
        </is>
      </c>
      <c r="G725" s="7" t="inlineStr">
        <is>
          <t>Bemisia tabaci raça B</t>
        </is>
      </c>
      <c r="H725" s="7" t="inlineStr">
        <is>
          <t>SIM (*)</t>
        </is>
      </c>
      <c r="I725" s="17" t="n">
        <v>0.125</v>
      </c>
      <c r="J725" s="17" t="n">
        <v>0.25</v>
      </c>
      <c r="K725" s="7" t="inlineStr">
        <is>
          <t>L/ha</t>
        </is>
      </c>
      <c r="L725" s="9" t="n">
        <v>1</v>
      </c>
      <c r="M725" s="7" t="inlineStr">
        <is>
          <t>Aplicar conforme monitoramento e estádio recomendado na bula (IRAC Grupo 3A)</t>
        </is>
      </c>
    </row>
    <row r="726" ht="22" customHeight="1">
      <c r="A726" s="12" t="inlineStr">
        <is>
          <t>ALV-0722</t>
        </is>
      </c>
      <c r="B726" s="11" t="n">
        <v>374</v>
      </c>
      <c r="C726" s="13" t="inlineStr">
        <is>
          <t>Nº 6922</t>
        </is>
      </c>
      <c r="D726" s="14" t="inlineStr">
        <is>
          <t>COFENRIN</t>
        </is>
      </c>
      <c r="E726" s="13" t="inlineStr">
        <is>
          <t>Inseticida e Acaricida</t>
        </is>
      </c>
      <c r="F726" s="13" t="inlineStr">
        <is>
          <t>Ácaro-rajado</t>
        </is>
      </c>
      <c r="G726" s="13" t="inlineStr">
        <is>
          <t>Tetranychus urticae</t>
        </is>
      </c>
      <c r="H726" s="13" t="inlineStr">
        <is>
          <t>SIM (*)</t>
        </is>
      </c>
      <c r="I726" s="18" t="n">
        <v>0.15</v>
      </c>
      <c r="J726" s="18" t="n">
        <v>0.2</v>
      </c>
      <c r="K726" s="13" t="inlineStr">
        <is>
          <t>L/ha</t>
        </is>
      </c>
      <c r="L726" s="15" t="n">
        <v>1</v>
      </c>
      <c r="M726" s="13" t="inlineStr">
        <is>
          <t>Aplicar conforme monitoramento e estádio recomendado na bula (IRAC Grupo 3A)</t>
        </is>
      </c>
    </row>
    <row r="727" ht="22" customHeight="1">
      <c r="A727" s="6" t="inlineStr">
        <is>
          <t>ALV-0723</t>
        </is>
      </c>
      <c r="B727" s="5" t="n">
        <v>375</v>
      </c>
      <c r="C727" s="7" t="inlineStr">
        <is>
          <t>Nº 3623</t>
        </is>
      </c>
      <c r="D727" s="8" t="inlineStr">
        <is>
          <t>FLUMIOXAZINA 250 + IMAZETAPIR 530 (PRINC. ATIVO)</t>
        </is>
      </c>
      <c r="E727" s="7" t="inlineStr">
        <is>
          <t>Insumo Industrial</t>
        </is>
      </c>
      <c r="F727" s="7" t="inlineStr">
        <is>
          <t>Matéria-prima para Formulação Industrial</t>
        </is>
      </c>
      <c r="G727" s="7" t="inlineStr">
        <is>
          <t>Uso Industrial Credenciado MAPA</t>
        </is>
      </c>
      <c r="H727" s="7" t="inlineStr">
        <is>
          <t>NÃO</t>
        </is>
      </c>
      <c r="I727" s="9" t="n">
        <v>0</v>
      </c>
      <c r="J727" s="9" t="n">
        <v>0</v>
      </c>
      <c r="K727" s="7" t="inlineStr">
        <is>
          <t>KG</t>
        </is>
      </c>
      <c r="L727" s="9" t="n">
        <v>1</v>
      </c>
      <c r="M727" s="7" t="inlineStr">
        <is>
          <t>Uso restrito a estabelecimentos formuladores registrados</t>
        </is>
      </c>
    </row>
    <row r="728" ht="22" customHeight="1">
      <c r="A728" s="12" t="inlineStr">
        <is>
          <t>ALV-0724</t>
        </is>
      </c>
      <c r="B728" s="11" t="n">
        <v>376</v>
      </c>
      <c r="C728" s="13" t="inlineStr">
        <is>
          <t>Nº 28120</t>
        </is>
      </c>
      <c r="D728" s="14" t="inlineStr">
        <is>
          <t>FLUROXIPIR 200 (PRINCIPIO ATIVO)</t>
        </is>
      </c>
      <c r="E728" s="13" t="inlineStr">
        <is>
          <t>Insumo Industrial</t>
        </is>
      </c>
      <c r="F728" s="13" t="inlineStr">
        <is>
          <t>Matéria-prima para Formulação Industrial</t>
        </is>
      </c>
      <c r="G728" s="13" t="inlineStr">
        <is>
          <t>Uso Industrial Credenciado MAPA</t>
        </is>
      </c>
      <c r="H728" s="13" t="inlineStr">
        <is>
          <t>NÃO</t>
        </is>
      </c>
      <c r="I728" s="15" t="n">
        <v>0</v>
      </c>
      <c r="J728" s="15" t="n">
        <v>0</v>
      </c>
      <c r="K728" s="13" t="inlineStr">
        <is>
          <t>KG</t>
        </is>
      </c>
      <c r="L728" s="15" t="n">
        <v>1</v>
      </c>
      <c r="M728" s="13" t="inlineStr">
        <is>
          <t>Uso restrito a estabelecimentos formuladores registrados</t>
        </is>
      </c>
    </row>
    <row r="729" ht="22" customHeight="1">
      <c r="A729" s="6" t="inlineStr">
        <is>
          <t>ALV-0725</t>
        </is>
      </c>
      <c r="B729" s="5" t="n">
        <v>377</v>
      </c>
      <c r="C729" s="7" t="inlineStr">
        <is>
          <t>Nº 31422</t>
        </is>
      </c>
      <c r="D729" s="8" t="inlineStr">
        <is>
          <t>ZARPAL</t>
        </is>
      </c>
      <c r="E729" s="7" t="inlineStr">
        <is>
          <t>Inseticida</t>
        </is>
      </c>
      <c r="F729" s="7" t="inlineStr">
        <is>
          <t>Bicudo-do-algodoeiro</t>
        </is>
      </c>
      <c r="G729" s="7" t="inlineStr">
        <is>
          <t>Anthonomus grandis</t>
        </is>
      </c>
      <c r="H729" s="7" t="inlineStr">
        <is>
          <t>NÃO</t>
        </is>
      </c>
      <c r="I729" s="17" t="n">
        <v>0.15</v>
      </c>
      <c r="J729" s="17" t="n">
        <v>0.25</v>
      </c>
      <c r="K729" s="7" t="inlineStr">
        <is>
          <t>L/ha</t>
        </is>
      </c>
      <c r="L729" s="9" t="n">
        <v>1</v>
      </c>
      <c r="M729" s="7" t="inlineStr">
        <is>
          <t>Aplicar conforme monitoramento e estádio recomendado na bula (IRAC Grupo 3A)</t>
        </is>
      </c>
    </row>
    <row r="730" ht="22" customHeight="1">
      <c r="A730" s="12" t="inlineStr">
        <is>
          <t>ALV-0726</t>
        </is>
      </c>
      <c r="B730" s="11" t="n">
        <v>377</v>
      </c>
      <c r="C730" s="13" t="inlineStr">
        <is>
          <t>Nº 31422</t>
        </is>
      </c>
      <c r="D730" s="14" t="inlineStr">
        <is>
          <t>ZARPAL</t>
        </is>
      </c>
      <c r="E730" s="13" t="inlineStr">
        <is>
          <t>Inseticida</t>
        </is>
      </c>
      <c r="F730" s="13" t="inlineStr">
        <is>
          <t>Mosca-branca</t>
        </is>
      </c>
      <c r="G730" s="13" t="inlineStr">
        <is>
          <t>Bemisia tabaci raça B</t>
        </is>
      </c>
      <c r="H730" s="13" t="inlineStr">
        <is>
          <t>SIM (*)</t>
        </is>
      </c>
      <c r="I730" s="18" t="n">
        <v>0.125</v>
      </c>
      <c r="J730" s="18" t="n">
        <v>0.25</v>
      </c>
      <c r="K730" s="13" t="inlineStr">
        <is>
          <t>L/ha</t>
        </is>
      </c>
      <c r="L730" s="15" t="n">
        <v>1</v>
      </c>
      <c r="M730" s="13" t="inlineStr">
        <is>
          <t>Aplicar conforme monitoramento e estádio recomendado na bula (IRAC Grupo 3A)</t>
        </is>
      </c>
    </row>
    <row r="731" ht="22" customHeight="1">
      <c r="A731" s="6" t="inlineStr">
        <is>
          <t>ALV-0727</t>
        </is>
      </c>
      <c r="B731" s="5" t="n">
        <v>377</v>
      </c>
      <c r="C731" s="7" t="inlineStr">
        <is>
          <t>Nº 31422</t>
        </is>
      </c>
      <c r="D731" s="8" t="inlineStr">
        <is>
          <t>ZARPAL</t>
        </is>
      </c>
      <c r="E731" s="7" t="inlineStr">
        <is>
          <t>Inseticida</t>
        </is>
      </c>
      <c r="F731" s="7" t="inlineStr">
        <is>
          <t>Ácaro-rajado</t>
        </is>
      </c>
      <c r="G731" s="7" t="inlineStr">
        <is>
          <t>Tetranychus urticae</t>
        </is>
      </c>
      <c r="H731" s="7" t="inlineStr">
        <is>
          <t>SIM (*)</t>
        </is>
      </c>
      <c r="I731" s="17" t="n">
        <v>0.15</v>
      </c>
      <c r="J731" s="17" t="n">
        <v>0.2</v>
      </c>
      <c r="K731" s="7" t="inlineStr">
        <is>
          <t>L/ha</t>
        </is>
      </c>
      <c r="L731" s="9" t="n">
        <v>1</v>
      </c>
      <c r="M731" s="7" t="inlineStr">
        <is>
          <t>Aplicar conforme monitoramento e estádio recomendado na bula (IRAC Grupo 3A)</t>
        </is>
      </c>
    </row>
    <row r="732" ht="22" customHeight="1">
      <c r="A732" s="12" t="inlineStr">
        <is>
          <t>ALV-0728</t>
        </is>
      </c>
      <c r="B732" s="11" t="n">
        <v>378</v>
      </c>
      <c r="C732" s="13" t="inlineStr">
        <is>
          <t>SIPEAGRO (UF-XXXXX)</t>
        </is>
      </c>
      <c r="D732" s="14" t="inlineStr">
        <is>
          <t>AGCN PRODUZ +</t>
        </is>
      </c>
      <c r="E732" s="13" t="inlineStr">
        <is>
          <t>Fertilizante Organomineral / Bioestimulante</t>
        </is>
      </c>
      <c r="F732" s="13" t="inlineStr">
        <is>
          <t>Nutrição e Correção de Deficiência Mineral</t>
        </is>
      </c>
      <c r="G732" s="13" t="inlineStr">
        <is>
          <t>Nutrição Vegetal</t>
        </is>
      </c>
      <c r="H732" s="13" t="inlineStr">
        <is>
          <t>NÃO</t>
        </is>
      </c>
      <c r="I732" s="15" t="n">
        <v>1</v>
      </c>
      <c r="J732" s="15" t="n">
        <v>250</v>
      </c>
      <c r="K732" s="13" t="inlineStr">
        <is>
          <t>kg ou L/ha</t>
        </is>
      </c>
      <c r="L732" s="15" t="n">
        <v>1</v>
      </c>
      <c r="M732" s="13" t="inlineStr">
        <is>
          <t>Aplicar conforme monitoramento e estádio recomendado na bula (Nutrição Vegetal SIPEAGRO)</t>
        </is>
      </c>
    </row>
    <row r="733" ht="22" customHeight="1">
      <c r="A733" s="6" t="inlineStr">
        <is>
          <t>ALV-0729</t>
        </is>
      </c>
      <c r="B733" s="5" t="n">
        <v>379</v>
      </c>
      <c r="C733" s="7" t="inlineStr">
        <is>
          <t>SIPEAGRO (UF-XXXXX)</t>
        </is>
      </c>
      <c r="D733" s="8" t="inlineStr">
        <is>
          <t>AGCN PLUM</t>
        </is>
      </c>
      <c r="E733" s="7" t="inlineStr">
        <is>
          <t>Fertilizante Mineral Simples (Nitrogenado)</t>
        </is>
      </c>
      <c r="F733" s="7" t="inlineStr">
        <is>
          <t>Nutrição e Correção de Deficiência Mineral</t>
        </is>
      </c>
      <c r="G733" s="7" t="inlineStr">
        <is>
          <t>Nutrição Vegetal</t>
        </is>
      </c>
      <c r="H733" s="7" t="inlineStr">
        <is>
          <t>NÃO</t>
        </is>
      </c>
      <c r="I733" s="9" t="n">
        <v>1</v>
      </c>
      <c r="J733" s="9" t="n">
        <v>250</v>
      </c>
      <c r="K733" s="7" t="inlineStr">
        <is>
          <t>kg ou L/ha</t>
        </is>
      </c>
      <c r="L733" s="9" t="n">
        <v>1</v>
      </c>
      <c r="M733" s="7" t="inlineStr">
        <is>
          <t>Aplicar conforme monitoramento e estádio recomendado na bula (Nutrição Vegetal SIPEAGRO)</t>
        </is>
      </c>
    </row>
    <row r="734" ht="22" customHeight="1">
      <c r="A734" s="12" t="inlineStr">
        <is>
          <t>ALV-0730</t>
        </is>
      </c>
      <c r="B734" s="11" t="n">
        <v>380</v>
      </c>
      <c r="C734" s="13" t="inlineStr">
        <is>
          <t>SIPEAGRO (UF-XXXXX)</t>
        </is>
      </c>
      <c r="D734" s="14" t="inlineStr">
        <is>
          <t>AGCN PRO+</t>
        </is>
      </c>
      <c r="E734" s="13" t="inlineStr">
        <is>
          <t>Fertilizante Mineral Simples (Nitrogenado)</t>
        </is>
      </c>
      <c r="F734" s="13" t="inlineStr">
        <is>
          <t>Nutrição e Correção de Deficiência Mineral</t>
        </is>
      </c>
      <c r="G734" s="13" t="inlineStr">
        <is>
          <t>Nutrição Vegetal</t>
        </is>
      </c>
      <c r="H734" s="13" t="inlineStr">
        <is>
          <t>NÃO</t>
        </is>
      </c>
      <c r="I734" s="15" t="n">
        <v>1</v>
      </c>
      <c r="J734" s="15" t="n">
        <v>250</v>
      </c>
      <c r="K734" s="13" t="inlineStr">
        <is>
          <t>kg ou L/ha</t>
        </is>
      </c>
      <c r="L734" s="15" t="n">
        <v>1</v>
      </c>
      <c r="M734" s="13" t="inlineStr">
        <is>
          <t>Aplicar conforme monitoramento e estádio recomendado na bula (Nutrição Vegetal SIPEAGRO)</t>
        </is>
      </c>
    </row>
    <row r="735" ht="22" customHeight="1">
      <c r="A735" s="6" t="inlineStr">
        <is>
          <t>ALV-0731</t>
        </is>
      </c>
      <c r="B735" s="5" t="n">
        <v>381</v>
      </c>
      <c r="C735" s="7" t="inlineStr">
        <is>
          <t>Nº 34018</t>
        </is>
      </c>
      <c r="D735" s="8" t="inlineStr">
        <is>
          <t>BIOLOGIC GUARD</t>
        </is>
      </c>
      <c r="E735" s="7" t="inlineStr">
        <is>
          <t>Biofungicida (Biológico)</t>
        </is>
      </c>
      <c r="F735" s="7" t="inlineStr">
        <is>
          <t>Fixação Biológica / Manejo Biológico de Solo</t>
        </is>
      </c>
      <c r="G735" s="7" t="inlineStr">
        <is>
          <t>Biologia de Solo</t>
        </is>
      </c>
      <c r="H735" s="7" t="inlineStr">
        <is>
          <t>NÃO</t>
        </is>
      </c>
      <c r="I735" s="17" t="n">
        <v>0.1</v>
      </c>
      <c r="J735" s="9" t="n">
        <v>1</v>
      </c>
      <c r="K735" s="7" t="inlineStr">
        <is>
          <t>L ou kg/ha</t>
        </is>
      </c>
      <c r="L735" s="9" t="n">
        <v>1</v>
      </c>
      <c r="M735" s="7" t="inlineStr">
        <is>
          <t>Aplicar conforme monitoramento e estádio recomendado na bula (Bioinsumo Agrícola)</t>
        </is>
      </c>
    </row>
    <row r="736" ht="22" customHeight="1">
      <c r="A736" s="12" t="inlineStr">
        <is>
          <t>ALV-0732</t>
        </is>
      </c>
      <c r="B736" s="11" t="n">
        <v>382</v>
      </c>
      <c r="C736" s="13" t="inlineStr">
        <is>
          <t>Nº 18022</t>
        </is>
      </c>
      <c r="D736" s="14" t="inlineStr">
        <is>
          <t>TARBOX</t>
        </is>
      </c>
      <c r="E736" s="13" t="inlineStr">
        <is>
          <t>Herbicida</t>
        </is>
      </c>
      <c r="F736" s="13" t="inlineStr">
        <is>
          <t>Buva</t>
        </is>
      </c>
      <c r="G736" s="13" t="inlineStr">
        <is>
          <t>Conyza bonariensis</t>
        </is>
      </c>
      <c r="H736" s="13" t="inlineStr">
        <is>
          <t>NÃO</t>
        </is>
      </c>
      <c r="I736" s="15" t="n">
        <v>2</v>
      </c>
      <c r="J736" s="15" t="n">
        <v>3</v>
      </c>
      <c r="K736" s="13" t="inlineStr">
        <is>
          <t>L/ha</t>
        </is>
      </c>
      <c r="L736" s="15" t="n">
        <v>1</v>
      </c>
      <c r="M736" s="13" t="inlineStr">
        <is>
          <t>Aplicar conforme monitoramento e estádio recomendado na bula (HRAC Grupo H (10) — Inibidores da Glutamina Sintetase)</t>
        </is>
      </c>
    </row>
    <row r="737" ht="22" customHeight="1">
      <c r="A737" s="6" t="inlineStr">
        <is>
          <t>ALV-0733</t>
        </is>
      </c>
      <c r="B737" s="5" t="n">
        <v>382</v>
      </c>
      <c r="C737" s="7" t="inlineStr">
        <is>
          <t>Nº 18022</t>
        </is>
      </c>
      <c r="D737" s="8" t="inlineStr">
        <is>
          <t>TARBOX</t>
        </is>
      </c>
      <c r="E737" s="7" t="inlineStr">
        <is>
          <t>Herbicida</t>
        </is>
      </c>
      <c r="F737" s="7" t="inlineStr">
        <is>
          <t>Capim-pé-de-galinha</t>
        </is>
      </c>
      <c r="G737" s="7" t="inlineStr">
        <is>
          <t>Eleusine indica</t>
        </is>
      </c>
      <c r="H737" s="7" t="inlineStr">
        <is>
          <t>NÃO</t>
        </is>
      </c>
      <c r="I737" s="9" t="n">
        <v>2</v>
      </c>
      <c r="J737" s="17" t="n">
        <v>2.5</v>
      </c>
      <c r="K737" s="7" t="inlineStr">
        <is>
          <t>L/ha</t>
        </is>
      </c>
      <c r="L737" s="9" t="n">
        <v>1</v>
      </c>
      <c r="M737" s="7" t="inlineStr">
        <is>
          <t>Aplicar conforme monitoramento e estádio recomendado na bula (HRAC Grupo H (10) — Inibidores da Glutamina Sintetase)</t>
        </is>
      </c>
    </row>
    <row r="738" ht="22" customHeight="1">
      <c r="A738" s="12" t="inlineStr">
        <is>
          <t>ALV-0734</t>
        </is>
      </c>
      <c r="B738" s="11" t="n">
        <v>382</v>
      </c>
      <c r="C738" s="13" t="inlineStr">
        <is>
          <t>Nº 18022</t>
        </is>
      </c>
      <c r="D738" s="14" t="inlineStr">
        <is>
          <t>TARBOX</t>
        </is>
      </c>
      <c r="E738" s="13" t="inlineStr">
        <is>
          <t>Herbicida</t>
        </is>
      </c>
      <c r="F738" s="13" t="inlineStr">
        <is>
          <t>Caruru</t>
        </is>
      </c>
      <c r="G738" s="13" t="inlineStr">
        <is>
          <t>Amaranthus hybridus</t>
        </is>
      </c>
      <c r="H738" s="13" t="inlineStr">
        <is>
          <t>NÃO</t>
        </is>
      </c>
      <c r="I738" s="18" t="n">
        <v>1.5</v>
      </c>
      <c r="J738" s="18" t="n">
        <v>2.5</v>
      </c>
      <c r="K738" s="13" t="inlineStr">
        <is>
          <t>L/ha</t>
        </is>
      </c>
      <c r="L738" s="15" t="n">
        <v>1</v>
      </c>
      <c r="M738" s="13" t="inlineStr">
        <is>
          <t>Aplicar conforme monitoramento e estádio recomendado na bula (HRAC Grupo H (10) — Inibidores da Glutamina Sintetase)</t>
        </is>
      </c>
    </row>
    <row r="739" ht="22" customHeight="1">
      <c r="A739" s="6" t="inlineStr">
        <is>
          <t>ALV-0735</t>
        </is>
      </c>
      <c r="B739" s="5" t="n">
        <v>383</v>
      </c>
      <c r="C739" s="7" t="inlineStr">
        <is>
          <t>Nº 6922</t>
        </is>
      </c>
      <c r="D739" s="8" t="inlineStr">
        <is>
          <t>COFENRIN</t>
        </is>
      </c>
      <c r="E739" s="7" t="inlineStr">
        <is>
          <t>Inseticida e Acaricida</t>
        </is>
      </c>
      <c r="F739" s="7" t="inlineStr">
        <is>
          <t>Bicudo-do-algodoeiro</t>
        </is>
      </c>
      <c r="G739" s="7" t="inlineStr">
        <is>
          <t>Anthonomus grandis</t>
        </is>
      </c>
      <c r="H739" s="7" t="inlineStr">
        <is>
          <t>NÃO</t>
        </is>
      </c>
      <c r="I739" s="17" t="n">
        <v>0.15</v>
      </c>
      <c r="J739" s="17" t="n">
        <v>0.25</v>
      </c>
      <c r="K739" s="7" t="inlineStr">
        <is>
          <t>L/ha</t>
        </is>
      </c>
      <c r="L739" s="9" t="n">
        <v>1</v>
      </c>
      <c r="M739" s="7" t="inlineStr">
        <is>
          <t>Aplicar conforme monitoramento e estádio recomendado na bula (IRAC Grupo 3A)</t>
        </is>
      </c>
    </row>
    <row r="740" ht="22" customHeight="1">
      <c r="A740" s="12" t="inlineStr">
        <is>
          <t>ALV-0736</t>
        </is>
      </c>
      <c r="B740" s="11" t="n">
        <v>383</v>
      </c>
      <c r="C740" s="13" t="inlineStr">
        <is>
          <t>Nº 6922</t>
        </is>
      </c>
      <c r="D740" s="14" t="inlineStr">
        <is>
          <t>COFENRIN</t>
        </is>
      </c>
      <c r="E740" s="13" t="inlineStr">
        <is>
          <t>Inseticida e Acaricida</t>
        </is>
      </c>
      <c r="F740" s="13" t="inlineStr">
        <is>
          <t>Mosca-branca</t>
        </is>
      </c>
      <c r="G740" s="13" t="inlineStr">
        <is>
          <t>Bemisia tabaci raça B</t>
        </is>
      </c>
      <c r="H740" s="13" t="inlineStr">
        <is>
          <t>SIM (*)</t>
        </is>
      </c>
      <c r="I740" s="18" t="n">
        <v>0.125</v>
      </c>
      <c r="J740" s="18" t="n">
        <v>0.25</v>
      </c>
      <c r="K740" s="13" t="inlineStr">
        <is>
          <t>L/ha</t>
        </is>
      </c>
      <c r="L740" s="15" t="n">
        <v>1</v>
      </c>
      <c r="M740" s="13" t="inlineStr">
        <is>
          <t>Aplicar conforme monitoramento e estádio recomendado na bula (IRAC Grupo 3A)</t>
        </is>
      </c>
    </row>
    <row r="741" ht="22" customHeight="1">
      <c r="A741" s="6" t="inlineStr">
        <is>
          <t>ALV-0737</t>
        </is>
      </c>
      <c r="B741" s="5" t="n">
        <v>383</v>
      </c>
      <c r="C741" s="7" t="inlineStr">
        <is>
          <t>Nº 6922</t>
        </is>
      </c>
      <c r="D741" s="8" t="inlineStr">
        <is>
          <t>COFENRIN</t>
        </is>
      </c>
      <c r="E741" s="7" t="inlineStr">
        <is>
          <t>Inseticida e Acaricida</t>
        </is>
      </c>
      <c r="F741" s="7" t="inlineStr">
        <is>
          <t>Ácaro-rajado</t>
        </is>
      </c>
      <c r="G741" s="7" t="inlineStr">
        <is>
          <t>Tetranychus urticae</t>
        </is>
      </c>
      <c r="H741" s="7" t="inlineStr">
        <is>
          <t>SIM (*)</t>
        </is>
      </c>
      <c r="I741" s="17" t="n">
        <v>0.15</v>
      </c>
      <c r="J741" s="17" t="n">
        <v>0.2</v>
      </c>
      <c r="K741" s="7" t="inlineStr">
        <is>
          <t>L/ha</t>
        </is>
      </c>
      <c r="L741" s="9" t="n">
        <v>1</v>
      </c>
      <c r="M741" s="7" t="inlineStr">
        <is>
          <t>Aplicar conforme monitoramento e estádio recomendado na bula (IRAC Grupo 3A)</t>
        </is>
      </c>
    </row>
    <row r="742" ht="22" customHeight="1">
      <c r="A742" s="12" t="inlineStr">
        <is>
          <t>ALV-0738</t>
        </is>
      </c>
      <c r="B742" s="11" t="n">
        <v>384</v>
      </c>
      <c r="C742" s="13" t="inlineStr">
        <is>
          <t>SIPEAGRO (UF-XXXXX)</t>
        </is>
      </c>
      <c r="D742" s="14" t="inlineStr">
        <is>
          <t>SSP FERTLIZANTE SIMPLES (VALIDAR FISCAL)</t>
        </is>
      </c>
      <c r="E742" s="13" t="inlineStr">
        <is>
          <t>Fertilizante Mineral Simples (Fosfatado)</t>
        </is>
      </c>
      <c r="F742" s="13" t="inlineStr">
        <is>
          <t>Nutrição e Correção de Deficiência Mineral</t>
        </is>
      </c>
      <c r="G742" s="13" t="inlineStr">
        <is>
          <t>Nutrição Vegetal</t>
        </is>
      </c>
      <c r="H742" s="13" t="inlineStr">
        <is>
          <t>NÃO</t>
        </is>
      </c>
      <c r="I742" s="15" t="n">
        <v>1</v>
      </c>
      <c r="J742" s="15" t="n">
        <v>250</v>
      </c>
      <c r="K742" s="13" t="inlineStr">
        <is>
          <t>kg ou L/ha</t>
        </is>
      </c>
      <c r="L742" s="15" t="n">
        <v>1</v>
      </c>
      <c r="M742" s="13" t="inlineStr">
        <is>
          <t>Aplicar conforme monitoramento e estádio recomendado na bula (Nutrição Vegetal SIPEAGRO)</t>
        </is>
      </c>
    </row>
    <row r="743" ht="22" customHeight="1">
      <c r="A743" s="6" t="inlineStr">
        <is>
          <t>ALV-0739</t>
        </is>
      </c>
      <c r="B743" s="5" t="n">
        <v>385</v>
      </c>
      <c r="C743" s="7" t="inlineStr">
        <is>
          <t>SIPEAGRO (UF-XXXXX)</t>
        </is>
      </c>
      <c r="D743" s="8" t="inlineStr">
        <is>
          <t>MAP FERTLIZANTES SIMPLES</t>
        </is>
      </c>
      <c r="E743" s="7" t="inlineStr">
        <is>
          <t>Fertilizante Complexo (MAP — Fosfato Monoamônico)</t>
        </is>
      </c>
      <c r="F743" s="7" t="inlineStr">
        <is>
          <t>Nutrição e Correção de Deficiência Mineral</t>
        </is>
      </c>
      <c r="G743" s="7" t="inlineStr">
        <is>
          <t>Nutrição Vegetal</t>
        </is>
      </c>
      <c r="H743" s="7" t="inlineStr">
        <is>
          <t>NÃO</t>
        </is>
      </c>
      <c r="I743" s="9" t="n">
        <v>1</v>
      </c>
      <c r="J743" s="9" t="n">
        <v>250</v>
      </c>
      <c r="K743" s="7" t="inlineStr">
        <is>
          <t>kg ou L/ha</t>
        </is>
      </c>
      <c r="L743" s="9" t="n">
        <v>1</v>
      </c>
      <c r="M743" s="7" t="inlineStr">
        <is>
          <t>Aplicar conforme monitoramento e estádio recomendado na bula (Nutrição Vegetal SIPEAGRO)</t>
        </is>
      </c>
    </row>
    <row r="744" ht="22" customHeight="1">
      <c r="A744" s="12" t="inlineStr">
        <is>
          <t>ALV-0740</t>
        </is>
      </c>
      <c r="B744" s="11" t="n">
        <v>386</v>
      </c>
      <c r="C744" s="13" t="inlineStr">
        <is>
          <t>SIPEAGRO (UF-XXXXX)</t>
        </is>
      </c>
      <c r="D744" s="14" t="inlineStr">
        <is>
          <t>VITA ACCION</t>
        </is>
      </c>
      <c r="E744" s="13" t="inlineStr">
        <is>
          <t>Fertilizante Organomineral / Bioestimulante</t>
        </is>
      </c>
      <c r="F744" s="13" t="inlineStr">
        <is>
          <t>Nutrição e Correção de Deficiência Mineral</t>
        </is>
      </c>
      <c r="G744" s="13" t="inlineStr">
        <is>
          <t>Nutrição Vegetal</t>
        </is>
      </c>
      <c r="H744" s="13" t="inlineStr">
        <is>
          <t>NÃO</t>
        </is>
      </c>
      <c r="I744" s="15" t="n">
        <v>1</v>
      </c>
      <c r="J744" s="15" t="n">
        <v>250</v>
      </c>
      <c r="K744" s="13" t="inlineStr">
        <is>
          <t>kg ou L/ha</t>
        </is>
      </c>
      <c r="L744" s="15" t="n">
        <v>1</v>
      </c>
      <c r="M744" s="13" t="inlineStr">
        <is>
          <t>Aplicar conforme monitoramento e estádio recomendado na bula (Nutrição Vegetal SIPEAGRO)</t>
        </is>
      </c>
    </row>
    <row r="745" ht="22" customHeight="1">
      <c r="A745" s="6" t="inlineStr">
        <is>
          <t>ALV-0741</t>
        </is>
      </c>
      <c r="B745" s="5" t="n">
        <v>387</v>
      </c>
      <c r="C745" s="7" t="inlineStr">
        <is>
          <t>SIPEAGRO (UF-XXXXX)</t>
        </is>
      </c>
      <c r="D745" s="8" t="inlineStr">
        <is>
          <t>EFISOIL SUPERBIA</t>
        </is>
      </c>
      <c r="E745" s="7" t="inlineStr">
        <is>
          <t>Fertilizante Foliar / Micronutrientes</t>
        </is>
      </c>
      <c r="F745" s="7" t="inlineStr">
        <is>
          <t>Nutrição e Correção de Deficiência Mineral</t>
        </is>
      </c>
      <c r="G745" s="7" t="inlineStr">
        <is>
          <t>Nutrição Vegetal</t>
        </is>
      </c>
      <c r="H745" s="7" t="inlineStr">
        <is>
          <t>NÃO</t>
        </is>
      </c>
      <c r="I745" s="9" t="n">
        <v>1</v>
      </c>
      <c r="J745" s="9" t="n">
        <v>250</v>
      </c>
      <c r="K745" s="7" t="inlineStr">
        <is>
          <t>kg ou L/ha</t>
        </is>
      </c>
      <c r="L745" s="9" t="n">
        <v>1</v>
      </c>
      <c r="M745" s="7" t="inlineStr">
        <is>
          <t>Aplicar conforme monitoramento e estádio recomendado na bula (Nutrição Vegetal SIPEAGRO)</t>
        </is>
      </c>
    </row>
    <row r="746" ht="22" customHeight="1">
      <c r="A746" s="12" t="inlineStr">
        <is>
          <t>ALV-0742</t>
        </is>
      </c>
      <c r="B746" s="11" t="n">
        <v>388</v>
      </c>
      <c r="C746" s="13" t="inlineStr">
        <is>
          <t>SIPEAGRO (UF-XXXXX)</t>
        </is>
      </c>
      <c r="D746" s="14" t="inlineStr">
        <is>
          <t>EFISOIL SUPERBIA AZON</t>
        </is>
      </c>
      <c r="E746" s="13" t="inlineStr">
        <is>
          <t>Fertilizante Foliar / Micronutrientes</t>
        </is>
      </c>
      <c r="F746" s="13" t="inlineStr">
        <is>
          <t>Nutrição e Correção de Deficiência Mineral</t>
        </is>
      </c>
      <c r="G746" s="13" t="inlineStr">
        <is>
          <t>Nutrição Vegetal</t>
        </is>
      </c>
      <c r="H746" s="13" t="inlineStr">
        <is>
          <t>NÃO</t>
        </is>
      </c>
      <c r="I746" s="15" t="n">
        <v>1</v>
      </c>
      <c r="J746" s="15" t="n">
        <v>250</v>
      </c>
      <c r="K746" s="13" t="inlineStr">
        <is>
          <t>kg ou L/ha</t>
        </is>
      </c>
      <c r="L746" s="15" t="n">
        <v>1</v>
      </c>
      <c r="M746" s="13" t="inlineStr">
        <is>
          <t>Aplicar conforme monitoramento e estádio recomendado na bula (Nutrição Vegetal SIPEAGRO)</t>
        </is>
      </c>
    </row>
    <row r="747" ht="22" customHeight="1">
      <c r="A747" s="6" t="inlineStr">
        <is>
          <t>ALV-0743</t>
        </is>
      </c>
      <c r="B747" s="5" t="n">
        <v>389</v>
      </c>
      <c r="C747" s="7" t="inlineStr">
        <is>
          <t>SIPEAGRO (UF-XXXXX)</t>
        </is>
      </c>
      <c r="D747" s="8" t="inlineStr">
        <is>
          <t>FOSFORITA 25 FARELADO BAG</t>
        </is>
      </c>
      <c r="E747" s="7" t="inlineStr">
        <is>
          <t>Fertilizante Mineral Simples (Fosfatado)</t>
        </is>
      </c>
      <c r="F747" s="7" t="inlineStr">
        <is>
          <t>Nutrição e Correção de Deficiência Mineral</t>
        </is>
      </c>
      <c r="G747" s="7" t="inlineStr">
        <is>
          <t>Nutrição Vegetal</t>
        </is>
      </c>
      <c r="H747" s="7" t="inlineStr">
        <is>
          <t>NÃO</t>
        </is>
      </c>
      <c r="I747" s="9" t="n">
        <v>1</v>
      </c>
      <c r="J747" s="9" t="n">
        <v>250</v>
      </c>
      <c r="K747" s="7" t="inlineStr">
        <is>
          <t>kg ou L/ha</t>
        </is>
      </c>
      <c r="L747" s="9" t="n">
        <v>1</v>
      </c>
      <c r="M747" s="7" t="inlineStr">
        <is>
          <t>Aplicar conforme monitoramento e estádio recomendado na bula (Nutrição Vegetal SIPEAGRO)</t>
        </is>
      </c>
    </row>
    <row r="748" ht="22" customHeight="1">
      <c r="A748" s="12" t="inlineStr">
        <is>
          <t>ALV-0744</t>
        </is>
      </c>
      <c r="B748" s="11" t="n">
        <v>390</v>
      </c>
      <c r="C748" s="13" t="inlineStr">
        <is>
          <t>SIPEAGRO (UF-XXXXX)</t>
        </is>
      </c>
      <c r="D748" s="14" t="inlineStr">
        <is>
          <t>HIPHOS 25 GR 00-25-00 BAG</t>
        </is>
      </c>
      <c r="E748" s="13" t="inlineStr">
        <is>
          <t>Fertilizante Mineral Simples (Fosfatado)</t>
        </is>
      </c>
      <c r="F748" s="13" t="inlineStr">
        <is>
          <t>Nutrição e Correção de Deficiência Mineral</t>
        </is>
      </c>
      <c r="G748" s="13" t="inlineStr">
        <is>
          <t>Nutrição Vegetal</t>
        </is>
      </c>
      <c r="H748" s="13" t="inlineStr">
        <is>
          <t>NÃO</t>
        </is>
      </c>
      <c r="I748" s="15" t="n">
        <v>1</v>
      </c>
      <c r="J748" s="15" t="n">
        <v>250</v>
      </c>
      <c r="K748" s="13" t="inlineStr">
        <is>
          <t>kg ou L/ha</t>
        </is>
      </c>
      <c r="L748" s="15" t="n">
        <v>1</v>
      </c>
      <c r="M748" s="13" t="inlineStr">
        <is>
          <t>Aplicar conforme monitoramento e estádio recomendado na bula (Nutrição Vegetal SIPEAGRO)</t>
        </is>
      </c>
    </row>
    <row r="749" ht="22" customHeight="1">
      <c r="A749" s="6" t="inlineStr">
        <is>
          <t>ALV-0745</t>
        </is>
      </c>
      <c r="B749" s="5" t="n">
        <v>391</v>
      </c>
      <c r="C749" s="7" t="inlineStr">
        <is>
          <t>SIPEAGRO (UF-XXXXX)</t>
        </is>
      </c>
      <c r="D749" s="8" t="inlineStr">
        <is>
          <t>HIPHOS 28 GR 00-28-00 BAG</t>
        </is>
      </c>
      <c r="E749" s="7" t="inlineStr">
        <is>
          <t>Fertilizante Mineral Simples (Fosfatado)</t>
        </is>
      </c>
      <c r="F749" s="7" t="inlineStr">
        <is>
          <t>Nutrição e Correção de Deficiência Mineral</t>
        </is>
      </c>
      <c r="G749" s="7" t="inlineStr">
        <is>
          <t>Nutrição Vegetal</t>
        </is>
      </c>
      <c r="H749" s="7" t="inlineStr">
        <is>
          <t>NÃO</t>
        </is>
      </c>
      <c r="I749" s="9" t="n">
        <v>1</v>
      </c>
      <c r="J749" s="9" t="n">
        <v>250</v>
      </c>
      <c r="K749" s="7" t="inlineStr">
        <is>
          <t>kg ou L/ha</t>
        </is>
      </c>
      <c r="L749" s="9" t="n">
        <v>1</v>
      </c>
      <c r="M749" s="7" t="inlineStr">
        <is>
          <t>Aplicar conforme monitoramento e estádio recomendado na bula (Nutrição Vegetal SIPEAGRO)</t>
        </is>
      </c>
    </row>
    <row r="750" ht="22" customHeight="1">
      <c r="A750" s="12" t="inlineStr">
        <is>
          <t>ALV-0746</t>
        </is>
      </c>
      <c r="B750" s="11" t="n">
        <v>392</v>
      </c>
      <c r="C750" s="13" t="inlineStr">
        <is>
          <t>SIPEAGRO (UF-XXXXX)</t>
        </is>
      </c>
      <c r="D750" s="14" t="inlineStr">
        <is>
          <t>HIPHOS 28 GR 00-28-00 BAG</t>
        </is>
      </c>
      <c r="E750" s="13" t="inlineStr">
        <is>
          <t>Fertilizante Mineral Simples (Fosfatado)</t>
        </is>
      </c>
      <c r="F750" s="13" t="inlineStr">
        <is>
          <t>Nutrição e Correção de Deficiência Mineral</t>
        </is>
      </c>
      <c r="G750" s="13" t="inlineStr">
        <is>
          <t>Nutrição Vegetal</t>
        </is>
      </c>
      <c r="H750" s="13" t="inlineStr">
        <is>
          <t>NÃO</t>
        </is>
      </c>
      <c r="I750" s="15" t="n">
        <v>1</v>
      </c>
      <c r="J750" s="15" t="n">
        <v>250</v>
      </c>
      <c r="K750" s="13" t="inlineStr">
        <is>
          <t>kg ou L/ha</t>
        </is>
      </c>
      <c r="L750" s="15" t="n">
        <v>1</v>
      </c>
      <c r="M750" s="13" t="inlineStr">
        <is>
          <t>Aplicar conforme monitoramento e estádio recomendado na bula (Nutrição Vegetal SIPEAGRO)</t>
        </is>
      </c>
    </row>
    <row r="751" ht="22" customHeight="1">
      <c r="A751" s="6" t="inlineStr">
        <is>
          <t>ALV-0747</t>
        </is>
      </c>
      <c r="B751" s="5" t="n">
        <v>393</v>
      </c>
      <c r="C751" s="7" t="inlineStr">
        <is>
          <t>SIPEAGRO (UF-XXXXX)</t>
        </is>
      </c>
      <c r="D751" s="8" t="inlineStr">
        <is>
          <t>FNR BIOPHOS 25 GRANEL (VALIDAR)</t>
        </is>
      </c>
      <c r="E751" s="7" t="inlineStr">
        <is>
          <t>Fosfato Natural Reativo (Origem Mineral)</t>
        </is>
      </c>
      <c r="F751" s="7" t="inlineStr">
        <is>
          <t>Correção de Acidez / Condicionamento de Perfil de Solo</t>
        </is>
      </c>
      <c r="G751" s="7" t="inlineStr">
        <is>
          <t>Solo Agrícola</t>
        </is>
      </c>
      <c r="H751" s="7" t="inlineStr">
        <is>
          <t>NÃO</t>
        </is>
      </c>
      <c r="I751" s="9" t="n">
        <v>500</v>
      </c>
      <c r="J751" s="9" t="n">
        <v>3000</v>
      </c>
      <c r="K751" s="7" t="inlineStr">
        <is>
          <t>kg/ha</t>
        </is>
      </c>
      <c r="L751" s="9" t="n">
        <v>1</v>
      </c>
      <c r="M751" s="7" t="inlineStr">
        <is>
          <t>Aplicar conforme monitoramento e estádio recomendado na bula (Correção Química de Solo)</t>
        </is>
      </c>
    </row>
    <row r="752" ht="22" customHeight="1">
      <c r="A752" s="12" t="inlineStr">
        <is>
          <t>ALV-0748</t>
        </is>
      </c>
      <c r="B752" s="11" t="n">
        <v>394</v>
      </c>
      <c r="C752" s="13" t="inlineStr">
        <is>
          <t>SIPEAGRO (UF-XXXXX)</t>
        </is>
      </c>
      <c r="D752" s="14" t="inlineStr">
        <is>
          <t>UREIA 46-00-00  BAG 1.000 KG</t>
        </is>
      </c>
      <c r="E752" s="13" t="inlineStr">
        <is>
          <t>Fertilizante Mineral Simples (Nitrogenado)</t>
        </is>
      </c>
      <c r="F752" s="13" t="inlineStr">
        <is>
          <t>Nutrição e Correção de Deficiência Mineral</t>
        </is>
      </c>
      <c r="G752" s="13" t="inlineStr">
        <is>
          <t>Nutrição Vegetal</t>
        </is>
      </c>
      <c r="H752" s="13" t="inlineStr">
        <is>
          <t>NÃO</t>
        </is>
      </c>
      <c r="I752" s="15" t="n">
        <v>1</v>
      </c>
      <c r="J752" s="15" t="n">
        <v>250</v>
      </c>
      <c r="K752" s="13" t="inlineStr">
        <is>
          <t>kg ou L/ha</t>
        </is>
      </c>
      <c r="L752" s="15" t="n">
        <v>1</v>
      </c>
      <c r="M752" s="13" t="inlineStr">
        <is>
          <t>Aplicar conforme monitoramento e estádio recomendado na bula (Nutrição Vegetal SIPEAGRO)</t>
        </is>
      </c>
    </row>
    <row r="753" ht="22" customHeight="1">
      <c r="A753" s="6" t="inlineStr">
        <is>
          <t>ALV-0749</t>
        </is>
      </c>
      <c r="B753" s="5" t="n">
        <v>395</v>
      </c>
      <c r="C753" s="7" t="inlineStr">
        <is>
          <t>SIPEAGRO (UF-XXXXX)</t>
        </is>
      </c>
      <c r="D753" s="8" t="inlineStr">
        <is>
          <t>SULFATO DE AMONIO GR (IMP) (VALIDAR)</t>
        </is>
      </c>
      <c r="E753" s="7" t="inlineStr">
        <is>
          <t>Fertilizante Mineral Simples (Nitrogenado)</t>
        </is>
      </c>
      <c r="F753" s="7" t="inlineStr">
        <is>
          <t>Nutrição e Correção de Deficiência Mineral</t>
        </is>
      </c>
      <c r="G753" s="7" t="inlineStr">
        <is>
          <t>Nutrição Vegetal</t>
        </is>
      </c>
      <c r="H753" s="7" t="inlineStr">
        <is>
          <t>NÃO</t>
        </is>
      </c>
      <c r="I753" s="9" t="n">
        <v>1</v>
      </c>
      <c r="J753" s="9" t="n">
        <v>250</v>
      </c>
      <c r="K753" s="7" t="inlineStr">
        <is>
          <t>kg ou L/ha</t>
        </is>
      </c>
      <c r="L753" s="9" t="n">
        <v>1</v>
      </c>
      <c r="M753" s="7" t="inlineStr">
        <is>
          <t>Aplicar conforme monitoramento e estádio recomendado na bula (Nutrição Vegetal SIPEAGRO)</t>
        </is>
      </c>
    </row>
    <row r="754" ht="22" customHeight="1">
      <c r="A754" s="12" t="inlineStr">
        <is>
          <t>ALV-0750</t>
        </is>
      </c>
      <c r="B754" s="11" t="n">
        <v>396</v>
      </c>
      <c r="C754" s="13" t="inlineStr">
        <is>
          <t>SIPEAGRO (UF-XXXXX)</t>
        </is>
      </c>
      <c r="D754" s="14" t="inlineStr">
        <is>
          <t>SULFATO DE AMONIO STD GRANEL (VALIDAR)</t>
        </is>
      </c>
      <c r="E754" s="13" t="inlineStr">
        <is>
          <t>Fertilizante Mineral Simples (Nitrogenado)</t>
        </is>
      </c>
      <c r="F754" s="13" t="inlineStr">
        <is>
          <t>Nutrição e Correção de Deficiência Mineral</t>
        </is>
      </c>
      <c r="G754" s="13" t="inlineStr">
        <is>
          <t>Nutrição Vegetal</t>
        </is>
      </c>
      <c r="H754" s="13" t="inlineStr">
        <is>
          <t>NÃO</t>
        </is>
      </c>
      <c r="I754" s="15" t="n">
        <v>1</v>
      </c>
      <c r="J754" s="15" t="n">
        <v>250</v>
      </c>
      <c r="K754" s="13" t="inlineStr">
        <is>
          <t>kg ou L/ha</t>
        </is>
      </c>
      <c r="L754" s="15" t="n">
        <v>1</v>
      </c>
      <c r="M754" s="13" t="inlineStr">
        <is>
          <t>Aplicar conforme monitoramento e estádio recomendado na bula (Nutrição Vegetal SIPEAGRO)</t>
        </is>
      </c>
    </row>
    <row r="755" ht="22" customHeight="1">
      <c r="A755" s="6" t="inlineStr">
        <is>
          <t>ALV-0751</t>
        </is>
      </c>
      <c r="B755" s="5" t="n">
        <v>397</v>
      </c>
      <c r="C755" s="7" t="inlineStr">
        <is>
          <t>SIPEAGRO (UF-XXXXX)</t>
        </is>
      </c>
      <c r="D755" s="8" t="inlineStr">
        <is>
          <t>HIPHOS 19 FARELADO BAG</t>
        </is>
      </c>
      <c r="E755" s="7" t="inlineStr">
        <is>
          <t>Fertilizante Mineral Misto (NPK / NP)</t>
        </is>
      </c>
      <c r="F755" s="7" t="inlineStr">
        <is>
          <t>Nutrição e Correção de Deficiência Mineral</t>
        </is>
      </c>
      <c r="G755" s="7" t="inlineStr">
        <is>
          <t>Nutrição Vegetal</t>
        </is>
      </c>
      <c r="H755" s="7" t="inlineStr">
        <is>
          <t>NÃO</t>
        </is>
      </c>
      <c r="I755" s="9" t="n">
        <v>1</v>
      </c>
      <c r="J755" s="9" t="n">
        <v>250</v>
      </c>
      <c r="K755" s="7" t="inlineStr">
        <is>
          <t>kg ou L/ha</t>
        </is>
      </c>
      <c r="L755" s="9" t="n">
        <v>1</v>
      </c>
      <c r="M755" s="7" t="inlineStr">
        <is>
          <t>Aplicar conforme monitoramento e estádio recomendado na bula (Nutrição Vegetal SIPEAGRO)</t>
        </is>
      </c>
    </row>
    <row r="756" ht="22" customHeight="1">
      <c r="A756" s="12" t="inlineStr">
        <is>
          <t>ALV-0752</t>
        </is>
      </c>
      <c r="B756" s="11" t="n">
        <v>398</v>
      </c>
      <c r="C756" s="13" t="inlineStr">
        <is>
          <t>SIPEAGRO (UF-XXXXX)</t>
        </is>
      </c>
      <c r="D756" s="14" t="inlineStr">
        <is>
          <t>HIPHOS 02-20-00 17%CA 1,5%MG 6%S</t>
        </is>
      </c>
      <c r="E756" s="13" t="inlineStr">
        <is>
          <t>Fertilizante Mineral Misto (NPK / NP)</t>
        </is>
      </c>
      <c r="F756" s="13" t="inlineStr">
        <is>
          <t>Nutrição e Correção de Deficiência Mineral</t>
        </is>
      </c>
      <c r="G756" s="13" t="inlineStr">
        <is>
          <t>Nutrição Vegetal</t>
        </is>
      </c>
      <c r="H756" s="13" t="inlineStr">
        <is>
          <t>NÃO</t>
        </is>
      </c>
      <c r="I756" s="15" t="n">
        <v>1</v>
      </c>
      <c r="J756" s="15" t="n">
        <v>250</v>
      </c>
      <c r="K756" s="13" t="inlineStr">
        <is>
          <t>kg ou L/ha</t>
        </is>
      </c>
      <c r="L756" s="15" t="n">
        <v>1</v>
      </c>
      <c r="M756" s="13" t="inlineStr">
        <is>
          <t>Aplicar conforme monitoramento e estádio recomendado na bula (Nutrição Vegetal SIPEAGRO)</t>
        </is>
      </c>
    </row>
    <row r="757" ht="22" customHeight="1">
      <c r="A757" s="6" t="inlineStr">
        <is>
          <t>ALV-0753</t>
        </is>
      </c>
      <c r="B757" s="5" t="n">
        <v>399</v>
      </c>
      <c r="C757" s="7" t="inlineStr">
        <is>
          <t>SIPEAGRO (UF-XXXXX)</t>
        </is>
      </c>
      <c r="D757" s="8" t="inlineStr">
        <is>
          <t>HIPHOS NPK 02-19-19 10%CA 0,50%MG</t>
        </is>
      </c>
      <c r="E757" s="7" t="inlineStr">
        <is>
          <t>Fertilizante Mineral Misto (NPK / NP)</t>
        </is>
      </c>
      <c r="F757" s="7" t="inlineStr">
        <is>
          <t>Nutrição e Correção de Deficiência Mineral</t>
        </is>
      </c>
      <c r="G757" s="7" t="inlineStr">
        <is>
          <t>Nutrição Vegetal</t>
        </is>
      </c>
      <c r="H757" s="7" t="inlineStr">
        <is>
          <t>NÃO</t>
        </is>
      </c>
      <c r="I757" s="9" t="n">
        <v>1</v>
      </c>
      <c r="J757" s="9" t="n">
        <v>250</v>
      </c>
      <c r="K757" s="7" t="inlineStr">
        <is>
          <t>kg ou L/ha</t>
        </is>
      </c>
      <c r="L757" s="9" t="n">
        <v>1</v>
      </c>
      <c r="M757" s="7" t="inlineStr">
        <is>
          <t>Aplicar conforme monitoramento e estádio recomendado na bula (Nutrição Vegetal SIPEAGRO)</t>
        </is>
      </c>
    </row>
    <row r="758" ht="22" customHeight="1">
      <c r="A758" s="12" t="inlineStr">
        <is>
          <t>ALV-0754</t>
        </is>
      </c>
      <c r="B758" s="11" t="n">
        <v>400</v>
      </c>
      <c r="C758" s="13" t="inlineStr">
        <is>
          <t>SIPEAGRO (UF-XXXXX)</t>
        </is>
      </c>
      <c r="D758" s="14" t="inlineStr">
        <is>
          <t>HIPHOS NPK 02-21-05 15%CA 0,8%MG</t>
        </is>
      </c>
      <c r="E758" s="13" t="inlineStr">
        <is>
          <t>Fertilizante Mineral Misto (NPK / NP)</t>
        </is>
      </c>
      <c r="F758" s="13" t="inlineStr">
        <is>
          <t>Nutrição e Correção de Deficiência Mineral</t>
        </is>
      </c>
      <c r="G758" s="13" t="inlineStr">
        <is>
          <t>Nutrição Vegetal</t>
        </is>
      </c>
      <c r="H758" s="13" t="inlineStr">
        <is>
          <t>NÃO</t>
        </is>
      </c>
      <c r="I758" s="15" t="n">
        <v>1</v>
      </c>
      <c r="J758" s="15" t="n">
        <v>250</v>
      </c>
      <c r="K758" s="13" t="inlineStr">
        <is>
          <t>kg ou L/ha</t>
        </is>
      </c>
      <c r="L758" s="15" t="n">
        <v>1</v>
      </c>
      <c r="M758" s="13" t="inlineStr">
        <is>
          <t>Aplicar conforme monitoramento e estádio recomendado na bula (Nutrição Vegetal SIPEAGRO)</t>
        </is>
      </c>
    </row>
    <row r="759" ht="22" customHeight="1">
      <c r="A759" s="6" t="inlineStr">
        <is>
          <t>ALV-0755</t>
        </is>
      </c>
      <c r="B759" s="5" t="n">
        <v>401</v>
      </c>
      <c r="C759" s="7" t="inlineStr">
        <is>
          <t>SIPEAGRO (UF-XXXXX)</t>
        </is>
      </c>
      <c r="D759" s="8" t="inlineStr">
        <is>
          <t>HIPHOS NPK 04-31-06 10%CA 0,30%MG</t>
        </is>
      </c>
      <c r="E759" s="7" t="inlineStr">
        <is>
          <t>Fertilizante Mineral Misto (NPK / NP)</t>
        </is>
      </c>
      <c r="F759" s="7" t="inlineStr">
        <is>
          <t>Nutrição e Correção de Deficiência Mineral</t>
        </is>
      </c>
      <c r="G759" s="7" t="inlineStr">
        <is>
          <t>Nutrição Vegetal</t>
        </is>
      </c>
      <c r="H759" s="7" t="inlineStr">
        <is>
          <t>NÃO</t>
        </is>
      </c>
      <c r="I759" s="9" t="n">
        <v>1</v>
      </c>
      <c r="J759" s="9" t="n">
        <v>250</v>
      </c>
      <c r="K759" s="7" t="inlineStr">
        <is>
          <t>kg ou L/ha</t>
        </is>
      </c>
      <c r="L759" s="9" t="n">
        <v>1</v>
      </c>
      <c r="M759" s="7" t="inlineStr">
        <is>
          <t>Aplicar conforme monitoramento e estádio recomendado na bula (Nutrição Vegetal SIPEAGRO)</t>
        </is>
      </c>
    </row>
    <row r="760" ht="22" customHeight="1">
      <c r="A760" s="12" t="inlineStr">
        <is>
          <t>ALV-0756</t>
        </is>
      </c>
      <c r="B760" s="11" t="n">
        <v>402</v>
      </c>
      <c r="C760" s="13" t="inlineStr">
        <is>
          <t>SIPEAGRO (UF-XXXXX)</t>
        </is>
      </c>
      <c r="D760" s="14" t="inlineStr">
        <is>
          <t>HIPHOS NPK 05-28-08 7%CA 0,25%MG</t>
        </is>
      </c>
      <c r="E760" s="13" t="inlineStr">
        <is>
          <t>Fertilizante Mineral Misto (NPK / NP)</t>
        </is>
      </c>
      <c r="F760" s="13" t="inlineStr">
        <is>
          <t>Nutrição e Correção de Deficiência Mineral</t>
        </is>
      </c>
      <c r="G760" s="13" t="inlineStr">
        <is>
          <t>Nutrição Vegetal</t>
        </is>
      </c>
      <c r="H760" s="13" t="inlineStr">
        <is>
          <t>NÃO</t>
        </is>
      </c>
      <c r="I760" s="15" t="n">
        <v>1</v>
      </c>
      <c r="J760" s="15" t="n">
        <v>250</v>
      </c>
      <c r="K760" s="13" t="inlineStr">
        <is>
          <t>kg ou L/ha</t>
        </is>
      </c>
      <c r="L760" s="15" t="n">
        <v>1</v>
      </c>
      <c r="M760" s="13" t="inlineStr">
        <is>
          <t>Aplicar conforme monitoramento e estádio recomendado na bula (Nutrição Vegetal SIPEAGRO)</t>
        </is>
      </c>
    </row>
    <row r="761" ht="22" customHeight="1">
      <c r="A761" s="6" t="inlineStr">
        <is>
          <t>ALV-0757</t>
        </is>
      </c>
      <c r="B761" s="5" t="n">
        <v>403</v>
      </c>
      <c r="C761" s="7" t="inlineStr">
        <is>
          <t>SIPEAGRO (UF-XXXXX)</t>
        </is>
      </c>
      <c r="D761" s="8" t="inlineStr">
        <is>
          <t>HIPHOS NPK 07-15-15 8%CA 0,5%MG BG1000 KG (VALIDAR</t>
        </is>
      </c>
      <c r="E761" s="7" t="inlineStr">
        <is>
          <t>Fertilizante Mineral Misto (NPK / NP)</t>
        </is>
      </c>
      <c r="F761" s="7" t="inlineStr">
        <is>
          <t>Nutrição e Correção de Deficiência Mineral</t>
        </is>
      </c>
      <c r="G761" s="7" t="inlineStr">
        <is>
          <t>Nutrição Vegetal</t>
        </is>
      </c>
      <c r="H761" s="7" t="inlineStr">
        <is>
          <t>NÃO</t>
        </is>
      </c>
      <c r="I761" s="9" t="n">
        <v>1</v>
      </c>
      <c r="J761" s="9" t="n">
        <v>250</v>
      </c>
      <c r="K761" s="7" t="inlineStr">
        <is>
          <t>kg ou L/ha</t>
        </is>
      </c>
      <c r="L761" s="9" t="n">
        <v>1</v>
      </c>
      <c r="M761" s="7" t="inlineStr">
        <is>
          <t>Aplicar conforme monitoramento e estádio recomendado na bula (Nutrição Vegetal SIPEAGRO)</t>
        </is>
      </c>
    </row>
    <row r="762" ht="22" customHeight="1">
      <c r="A762" s="12" t="inlineStr">
        <is>
          <t>ALV-0758</t>
        </is>
      </c>
      <c r="B762" s="11" t="n">
        <v>404</v>
      </c>
      <c r="C762" s="13" t="inlineStr">
        <is>
          <t>SIPEAGRO (UF-XXXXX)</t>
        </is>
      </c>
      <c r="D762" s="14" t="inlineStr">
        <is>
          <t>HIPHOS NPK 09-14-14 5%CA 7%S BG1000 KG (VALIDAR</t>
        </is>
      </c>
      <c r="E762" s="13" t="inlineStr">
        <is>
          <t>Fertilizante Mineral Misto (NPK / NP)</t>
        </is>
      </c>
      <c r="F762" s="13" t="inlineStr">
        <is>
          <t>Nutrição e Correção de Deficiência Mineral</t>
        </is>
      </c>
      <c r="G762" s="13" t="inlineStr">
        <is>
          <t>Nutrição Vegetal</t>
        </is>
      </c>
      <c r="H762" s="13" t="inlineStr">
        <is>
          <t>NÃO</t>
        </is>
      </c>
      <c r="I762" s="15" t="n">
        <v>1</v>
      </c>
      <c r="J762" s="15" t="n">
        <v>250</v>
      </c>
      <c r="K762" s="13" t="inlineStr">
        <is>
          <t>kg ou L/ha</t>
        </is>
      </c>
      <c r="L762" s="15" t="n">
        <v>1</v>
      </c>
      <c r="M762" s="13" t="inlineStr">
        <is>
          <t>Aplicar conforme monitoramento e estádio recomendado na bula (Nutrição Vegetal SIPEAGRO)</t>
        </is>
      </c>
    </row>
    <row r="763" ht="22" customHeight="1">
      <c r="A763" s="6" t="inlineStr">
        <is>
          <t>ALV-0759</t>
        </is>
      </c>
      <c r="B763" s="5" t="n">
        <v>405</v>
      </c>
      <c r="C763" s="7" t="inlineStr">
        <is>
          <t>SIPEAGRO (UF-XXXXX)</t>
        </is>
      </c>
      <c r="D763" s="8" t="inlineStr">
        <is>
          <t>CLORETO POTÁSSIO 60% GR (IMP) KG (VALIDAR)</t>
        </is>
      </c>
      <c r="E763" s="7" t="inlineStr">
        <is>
          <t>Fertilizante Mineral Simples (Potássico / Magnesiano)</t>
        </is>
      </c>
      <c r="F763" s="7" t="inlineStr">
        <is>
          <t>Nutrição e Correção de Deficiência Mineral</t>
        </is>
      </c>
      <c r="G763" s="7" t="inlineStr">
        <is>
          <t>Nutrição Vegetal</t>
        </is>
      </c>
      <c r="H763" s="7" t="inlineStr">
        <is>
          <t>NÃO</t>
        </is>
      </c>
      <c r="I763" s="9" t="n">
        <v>1</v>
      </c>
      <c r="J763" s="9" t="n">
        <v>250</v>
      </c>
      <c r="K763" s="7" t="inlineStr">
        <is>
          <t>kg ou L/ha</t>
        </is>
      </c>
      <c r="L763" s="9" t="n">
        <v>1</v>
      </c>
      <c r="M763" s="7" t="inlineStr">
        <is>
          <t>Aplicar conforme monitoramento e estádio recomendado na bula (Nutrição Vegetal SIPEAGRO)</t>
        </is>
      </c>
    </row>
    <row r="764" ht="22" customHeight="1">
      <c r="A764" s="12" t="inlineStr">
        <is>
          <t>ALV-0760</t>
        </is>
      </c>
      <c r="B764" s="11" t="n">
        <v>406</v>
      </c>
      <c r="C764" s="13" t="inlineStr">
        <is>
          <t>SIPEAGRO (UF-XXXXX)</t>
        </is>
      </c>
      <c r="D764" s="14" t="inlineStr">
        <is>
          <t>CLORETO DE POTÁSSIO STD 62% GRANEL KG (VALIDAR)</t>
        </is>
      </c>
      <c r="E764" s="13" t="inlineStr">
        <is>
          <t>Fertilizante Mineral Simples (Potássico / Magnesiano)</t>
        </is>
      </c>
      <c r="F764" s="13" t="inlineStr">
        <is>
          <t>Nutrição e Correção de Deficiência Mineral</t>
        </is>
      </c>
      <c r="G764" s="13" t="inlineStr">
        <is>
          <t>Nutrição Vegetal</t>
        </is>
      </c>
      <c r="H764" s="13" t="inlineStr">
        <is>
          <t>NÃO</t>
        </is>
      </c>
      <c r="I764" s="15" t="n">
        <v>1</v>
      </c>
      <c r="J764" s="15" t="n">
        <v>250</v>
      </c>
      <c r="K764" s="13" t="inlineStr">
        <is>
          <t>kg ou L/ha</t>
        </is>
      </c>
      <c r="L764" s="15" t="n">
        <v>1</v>
      </c>
      <c r="M764" s="13" t="inlineStr">
        <is>
          <t>Aplicar conforme monitoramento e estádio recomendado na bula (Nutrição Vegetal SIPEAGRO)</t>
        </is>
      </c>
    </row>
    <row r="765" ht="22" customHeight="1">
      <c r="A765" s="6" t="inlineStr">
        <is>
          <t>ALV-0761</t>
        </is>
      </c>
      <c r="B765" s="5" t="n">
        <v>407</v>
      </c>
      <c r="C765" s="7" t="inlineStr">
        <is>
          <t>SIPEAGRO (UF-XXXXX)</t>
        </is>
      </c>
      <c r="D765" s="8" t="inlineStr">
        <is>
          <t>KCL-60%K2O-GRANULADO-FERT.MINERAL SIMPLES - AUTEM</t>
        </is>
      </c>
      <c r="E765" s="7" t="inlineStr">
        <is>
          <t>Fertilizante Mineral Simples (Potássico / Magnesiano)</t>
        </is>
      </c>
      <c r="F765" s="7" t="inlineStr">
        <is>
          <t>Nutrição e Correção de Deficiência Mineral</t>
        </is>
      </c>
      <c r="G765" s="7" t="inlineStr">
        <is>
          <t>Nutrição Vegetal</t>
        </is>
      </c>
      <c r="H765" s="7" t="inlineStr">
        <is>
          <t>NÃO</t>
        </is>
      </c>
      <c r="I765" s="9" t="n">
        <v>1</v>
      </c>
      <c r="J765" s="9" t="n">
        <v>250</v>
      </c>
      <c r="K765" s="7" t="inlineStr">
        <is>
          <t>kg ou L/ha</t>
        </is>
      </c>
      <c r="L765" s="9" t="n">
        <v>1</v>
      </c>
      <c r="M765" s="7" t="inlineStr">
        <is>
          <t>Aplicar conforme monitoramento e estádio recomendado na bula (Nutrição Vegetal SIPEAGRO)</t>
        </is>
      </c>
    </row>
    <row r="766" ht="22" customHeight="1">
      <c r="A766" s="12" t="inlineStr">
        <is>
          <t>ALV-0762</t>
        </is>
      </c>
      <c r="B766" s="11" t="n">
        <v>408</v>
      </c>
      <c r="C766" s="13" t="inlineStr">
        <is>
          <t>SIPEAGRO (UF-XXXXX)</t>
        </is>
      </c>
      <c r="D766" s="14" t="inlineStr">
        <is>
          <t>MAP 12-52-00 GR GRANEL KG (VALIDAR)</t>
        </is>
      </c>
      <c r="E766" s="13" t="inlineStr">
        <is>
          <t>Fertilizante Complexo (MAP — Fosfato Monoamônico)</t>
        </is>
      </c>
      <c r="F766" s="13" t="inlineStr">
        <is>
          <t>Nutrição e Correção de Deficiência Mineral</t>
        </is>
      </c>
      <c r="G766" s="13" t="inlineStr">
        <is>
          <t>Nutrição Vegetal</t>
        </is>
      </c>
      <c r="H766" s="13" t="inlineStr">
        <is>
          <t>NÃO</t>
        </is>
      </c>
      <c r="I766" s="15" t="n">
        <v>1</v>
      </c>
      <c r="J766" s="15" t="n">
        <v>250</v>
      </c>
      <c r="K766" s="13" t="inlineStr">
        <is>
          <t>kg ou L/ha</t>
        </is>
      </c>
      <c r="L766" s="15" t="n">
        <v>1</v>
      </c>
      <c r="M766" s="13" t="inlineStr">
        <is>
          <t>Aplicar conforme monitoramento e estádio recomendado na bula (Nutrição Vegetal SIPEAGRO)</t>
        </is>
      </c>
    </row>
    <row r="767" ht="22" customHeight="1">
      <c r="A767" s="6" t="inlineStr">
        <is>
          <t>ALV-0763</t>
        </is>
      </c>
      <c r="B767" s="5" t="n">
        <v>409</v>
      </c>
      <c r="C767" s="7" t="inlineStr">
        <is>
          <t>SIPEAGRO (UF-XXXXX)</t>
        </is>
      </c>
      <c r="D767" s="8" t="inlineStr">
        <is>
          <t>FERTLIZANTE FOSFATADO 10.45.00 GRANULADO KG</t>
        </is>
      </c>
      <c r="E767" s="7" t="inlineStr">
        <is>
          <t>Fertilizante Mineral Misto (NPK / NP)</t>
        </is>
      </c>
      <c r="F767" s="7" t="inlineStr">
        <is>
          <t>Nutrição e Correção de Deficiência Mineral</t>
        </is>
      </c>
      <c r="G767" s="7" t="inlineStr">
        <is>
          <t>Nutrição Vegetal</t>
        </is>
      </c>
      <c r="H767" s="7" t="inlineStr">
        <is>
          <t>NÃO</t>
        </is>
      </c>
      <c r="I767" s="9" t="n">
        <v>1</v>
      </c>
      <c r="J767" s="9" t="n">
        <v>250</v>
      </c>
      <c r="K767" s="7" t="inlineStr">
        <is>
          <t>kg ou L/ha</t>
        </is>
      </c>
      <c r="L767" s="9" t="n">
        <v>1</v>
      </c>
      <c r="M767" s="7" t="inlineStr">
        <is>
          <t>Aplicar conforme monitoramento e estádio recomendado na bula (Nutrição Vegetal SIPEAGRO)</t>
        </is>
      </c>
    </row>
    <row r="768" ht="22" customHeight="1">
      <c r="A768" s="12" t="inlineStr">
        <is>
          <t>ALV-0764</t>
        </is>
      </c>
      <c r="B768" s="11" t="n">
        <v>410</v>
      </c>
      <c r="C768" s="13" t="inlineStr">
        <is>
          <t>SIPEAGRO (UF-XXXXX)</t>
        </is>
      </c>
      <c r="D768" s="14" t="inlineStr">
        <is>
          <t>RANKING MANGANES</t>
        </is>
      </c>
      <c r="E768" s="13" t="inlineStr">
        <is>
          <t>Fertilizante Organomineral / Bioestimulante</t>
        </is>
      </c>
      <c r="F768" s="13" t="inlineStr">
        <is>
          <t>Nutrição e Correção de Deficiência Mineral</t>
        </is>
      </c>
      <c r="G768" s="13" t="inlineStr">
        <is>
          <t>Nutrição Vegetal</t>
        </is>
      </c>
      <c r="H768" s="13" t="inlineStr">
        <is>
          <t>NÃO</t>
        </is>
      </c>
      <c r="I768" s="15" t="n">
        <v>1</v>
      </c>
      <c r="J768" s="15" t="n">
        <v>250</v>
      </c>
      <c r="K768" s="13" t="inlineStr">
        <is>
          <t>kg ou L/ha</t>
        </is>
      </c>
      <c r="L768" s="15" t="n">
        <v>1</v>
      </c>
      <c r="M768" s="13" t="inlineStr">
        <is>
          <t>Aplicar conforme monitoramento e estádio recomendado na bula (Nutrição Vegetal SIPEAGRO)</t>
        </is>
      </c>
    </row>
    <row r="769" ht="22" customHeight="1">
      <c r="A769" s="6" t="inlineStr">
        <is>
          <t>ALV-0765</t>
        </is>
      </c>
      <c r="B769" s="5" t="n">
        <v>411</v>
      </c>
      <c r="C769" s="7" t="inlineStr">
        <is>
          <t>VINCULAR MARCA</t>
        </is>
      </c>
      <c r="D769" s="8" t="inlineStr">
        <is>
          <t>CLORPIRIFOS 480 (PRINCIPIO ATIVO)</t>
        </is>
      </c>
      <c r="E769" s="7" t="inlineStr">
        <is>
          <t>Insumo Industrial</t>
        </is>
      </c>
      <c r="F769" s="7" t="inlineStr">
        <is>
          <t>Matéria-prima para Formulação Industrial</t>
        </is>
      </c>
      <c r="G769" s="7" t="inlineStr">
        <is>
          <t>Uso Industrial Credenciado MAPA</t>
        </is>
      </c>
      <c r="H769" s="7" t="inlineStr">
        <is>
          <t>NÃO</t>
        </is>
      </c>
      <c r="I769" s="9" t="n">
        <v>0</v>
      </c>
      <c r="J769" s="9" t="n">
        <v>0</v>
      </c>
      <c r="K769" s="7" t="inlineStr">
        <is>
          <t>L</t>
        </is>
      </c>
      <c r="L769" s="9" t="n">
        <v>1</v>
      </c>
      <c r="M769" s="7" t="inlineStr">
        <is>
          <t>Uso restrito a estabelecimentos formuladores registrados</t>
        </is>
      </c>
    </row>
    <row r="770" ht="22" customHeight="1">
      <c r="A770" s="12" t="inlineStr">
        <is>
          <t>ALV-0766</t>
        </is>
      </c>
      <c r="B770" s="11" t="n">
        <v>412</v>
      </c>
      <c r="C770" s="13" t="inlineStr">
        <is>
          <t>VINCULAR MARCA</t>
        </is>
      </c>
      <c r="D770" s="14" t="inlineStr">
        <is>
          <t>CLOROTAL. 580 + CIPRO 12,8 + TRIFLOXIS. 30 (P. A.)</t>
        </is>
      </c>
      <c r="E770" s="13" t="inlineStr">
        <is>
          <t>Insumo Industrial</t>
        </is>
      </c>
      <c r="F770" s="13" t="inlineStr">
        <is>
          <t>Matéria-prima para Formulação Industrial</t>
        </is>
      </c>
      <c r="G770" s="13" t="inlineStr">
        <is>
          <t>Uso Industrial Credenciado MAPA</t>
        </is>
      </c>
      <c r="H770" s="13" t="inlineStr">
        <is>
          <t>NÃO</t>
        </is>
      </c>
      <c r="I770" s="15" t="n">
        <v>0</v>
      </c>
      <c r="J770" s="15" t="n">
        <v>0</v>
      </c>
      <c r="K770" s="13" t="inlineStr">
        <is>
          <t>L</t>
        </is>
      </c>
      <c r="L770" s="15" t="n">
        <v>1</v>
      </c>
      <c r="M770" s="13" t="inlineStr">
        <is>
          <t>Uso restrito a estabelecimentos formuladores registrados</t>
        </is>
      </c>
    </row>
    <row r="771" ht="22" customHeight="1">
      <c r="A771" s="6" t="inlineStr">
        <is>
          <t>ALV-0767</t>
        </is>
      </c>
      <c r="B771" s="5" t="n">
        <v>413</v>
      </c>
      <c r="C771" s="7" t="inlineStr">
        <is>
          <t>Nº 9621</t>
        </is>
      </c>
      <c r="D771" s="8" t="inlineStr">
        <is>
          <t>GLIFOSATO 506 (PRINCIPIO ATIVO)</t>
        </is>
      </c>
      <c r="E771" s="7" t="inlineStr">
        <is>
          <t>Insumo Industrial</t>
        </is>
      </c>
      <c r="F771" s="7" t="inlineStr">
        <is>
          <t>Matéria-prima para Formulação Industrial</t>
        </is>
      </c>
      <c r="G771" s="7" t="inlineStr">
        <is>
          <t>Uso Industrial Credenciado MAPA</t>
        </is>
      </c>
      <c r="H771" s="7" t="inlineStr">
        <is>
          <t>NÃO</t>
        </is>
      </c>
      <c r="I771" s="9" t="n">
        <v>0</v>
      </c>
      <c r="J771" s="9" t="n">
        <v>0</v>
      </c>
      <c r="K771" s="7" t="inlineStr">
        <is>
          <t>L</t>
        </is>
      </c>
      <c r="L771" s="9" t="n">
        <v>1</v>
      </c>
      <c r="M771" s="7" t="inlineStr">
        <is>
          <t>Uso restrito a estabelecimentos formuladores registrados</t>
        </is>
      </c>
    </row>
    <row r="772" ht="22" customHeight="1">
      <c r="A772" s="12" t="inlineStr">
        <is>
          <t>ALV-0768</t>
        </is>
      </c>
      <c r="B772" s="11" t="n">
        <v>414</v>
      </c>
      <c r="C772" s="13" t="inlineStr">
        <is>
          <t>SIPEAGRO (UF-XXXXX)</t>
        </is>
      </c>
      <c r="D772" s="14" t="inlineStr">
        <is>
          <t>FERTILIZANTE 00-25-00 2S (VALIDAR)</t>
        </is>
      </c>
      <c r="E772" s="13" t="inlineStr">
        <is>
          <t>Fertilizante Mineral Simples (Fosfatado)</t>
        </is>
      </c>
      <c r="F772" s="13" t="inlineStr">
        <is>
          <t>Nutrição e Correção de Deficiência Mineral</t>
        </is>
      </c>
      <c r="G772" s="13" t="inlineStr">
        <is>
          <t>Nutrição Vegetal</t>
        </is>
      </c>
      <c r="H772" s="13" t="inlineStr">
        <is>
          <t>NÃO</t>
        </is>
      </c>
      <c r="I772" s="15" t="n">
        <v>1</v>
      </c>
      <c r="J772" s="15" t="n">
        <v>250</v>
      </c>
      <c r="K772" s="13" t="inlineStr">
        <is>
          <t>kg ou L/ha</t>
        </is>
      </c>
      <c r="L772" s="15" t="n">
        <v>1</v>
      </c>
      <c r="M772" s="13" t="inlineStr">
        <is>
          <t>Aplicar conforme monitoramento e estádio recomendado na bula (Nutrição Vegetal SIPEAGRO)</t>
        </is>
      </c>
    </row>
    <row r="773" ht="22" customHeight="1">
      <c r="A773" s="6" t="inlineStr">
        <is>
          <t>ALV-0769</t>
        </is>
      </c>
      <c r="B773" s="5" t="n">
        <v>415</v>
      </c>
      <c r="C773" s="7" t="inlineStr">
        <is>
          <t>ISENTO (ATO 104/2017)</t>
        </is>
      </c>
      <c r="D773" s="8" t="inlineStr">
        <is>
          <t>AGRICOIL MINERAL</t>
        </is>
      </c>
      <c r="E773" s="7" t="inlineStr">
        <is>
          <t>Óleo Mineral Adjuvante</t>
        </is>
      </c>
      <c r="F773" s="7" t="inlineStr">
        <is>
          <t>Otimização de Gota, Espalhamento e Redução de Deriva</t>
        </is>
      </c>
      <c r="G773" s="7" t="inlineStr">
        <is>
          <t>Tecnologia de Aplicação</t>
        </is>
      </c>
      <c r="H773" s="7" t="inlineStr">
        <is>
          <t>NÃO</t>
        </is>
      </c>
      <c r="I773" s="17" t="n">
        <v>0.25</v>
      </c>
      <c r="J773" s="9" t="n">
        <v>1</v>
      </c>
      <c r="K773" s="7" t="inlineStr">
        <is>
          <t>% v/v na calda</t>
        </is>
      </c>
      <c r="L773" s="9" t="n">
        <v>1</v>
      </c>
      <c r="M773" s="7" t="inlineStr">
        <is>
          <t>Aplicar conforme monitoramento e estádio recomendado na bula (Adjuvante Tecnológico de Pulverização)</t>
        </is>
      </c>
    </row>
    <row r="774" ht="22" customHeight="1">
      <c r="A774" s="12" t="inlineStr">
        <is>
          <t>ALV-0770</t>
        </is>
      </c>
      <c r="B774" s="11" t="n">
        <v>416</v>
      </c>
      <c r="C774" s="13" t="inlineStr">
        <is>
          <t>Nº 23922</t>
        </is>
      </c>
      <c r="D774" s="14" t="inlineStr">
        <is>
          <t>GRASIDIM FULL</t>
        </is>
      </c>
      <c r="E774" s="13" t="inlineStr">
        <is>
          <t>Herbicida</t>
        </is>
      </c>
      <c r="F774" s="13" t="inlineStr">
        <is>
          <t>Capim-amargoso</t>
        </is>
      </c>
      <c r="G774" s="13" t="inlineStr">
        <is>
          <t>Digitaria insularis</t>
        </is>
      </c>
      <c r="H774" s="13" t="inlineStr">
        <is>
          <t>SIM (*)</t>
        </is>
      </c>
      <c r="I774" s="18" t="n">
        <v>0.45</v>
      </c>
      <c r="J774" s="18" t="n">
        <v>0.85</v>
      </c>
      <c r="K774" s="13" t="inlineStr">
        <is>
          <t>L/ha</t>
        </is>
      </c>
      <c r="L774" s="15" t="n">
        <v>1</v>
      </c>
      <c r="M774" s="13" t="inlineStr">
        <is>
          <t>Aplicar conforme monitoramento e estádio recomendado na bula (HRAC Grupo A (1) — Inibidores da ACCase)</t>
        </is>
      </c>
    </row>
    <row r="775" ht="22" customHeight="1">
      <c r="A775" s="6" t="inlineStr">
        <is>
          <t>ALV-0771</t>
        </is>
      </c>
      <c r="B775" s="5" t="n">
        <v>416</v>
      </c>
      <c r="C775" s="7" t="inlineStr">
        <is>
          <t>Nº 23922</t>
        </is>
      </c>
      <c r="D775" s="8" t="inlineStr">
        <is>
          <t>GRASIDIM FULL</t>
        </is>
      </c>
      <c r="E775" s="7" t="inlineStr">
        <is>
          <t>Herbicida</t>
        </is>
      </c>
      <c r="F775" s="7" t="inlineStr">
        <is>
          <t>Capim-pé-de-galinha</t>
        </is>
      </c>
      <c r="G775" s="7" t="inlineStr">
        <is>
          <t>Eleusine indica</t>
        </is>
      </c>
      <c r="H775" s="7" t="inlineStr">
        <is>
          <t>SIM (*)</t>
        </is>
      </c>
      <c r="I775" s="17" t="n">
        <v>0.35</v>
      </c>
      <c r="J775" s="17" t="n">
        <v>0.45</v>
      </c>
      <c r="K775" s="7" t="inlineStr">
        <is>
          <t>L/ha</t>
        </is>
      </c>
      <c r="L775" s="9" t="n">
        <v>1</v>
      </c>
      <c r="M775" s="7" t="inlineStr">
        <is>
          <t>Aplicar conforme monitoramento e estádio recomendado na bula (HRAC Grupo A (1) — Inibidores da ACCase)</t>
        </is>
      </c>
    </row>
    <row r="776" ht="22" customHeight="1">
      <c r="A776" s="12" t="inlineStr">
        <is>
          <t>ALV-0772</t>
        </is>
      </c>
      <c r="B776" s="11" t="n">
        <v>416</v>
      </c>
      <c r="C776" s="13" t="inlineStr">
        <is>
          <t>Nº 23922</t>
        </is>
      </c>
      <c r="D776" s="14" t="inlineStr">
        <is>
          <t>GRASIDIM FULL</t>
        </is>
      </c>
      <c r="E776" s="13" t="inlineStr">
        <is>
          <t>Herbicida</t>
        </is>
      </c>
      <c r="F776" s="13" t="inlineStr">
        <is>
          <t>Milho-voluntário (Tiguera)</t>
        </is>
      </c>
      <c r="G776" s="13" t="inlineStr">
        <is>
          <t>Zea mays</t>
        </is>
      </c>
      <c r="H776" s="13" t="inlineStr">
        <is>
          <t>NÃO</t>
        </is>
      </c>
      <c r="I776" s="18" t="n">
        <v>0.4</v>
      </c>
      <c r="J776" s="18" t="n">
        <v>0.6</v>
      </c>
      <c r="K776" s="13" t="inlineStr">
        <is>
          <t>L/ha</t>
        </is>
      </c>
      <c r="L776" s="15" t="n">
        <v>1</v>
      </c>
      <c r="M776" s="13" t="inlineStr">
        <is>
          <t>Aplicar conforme monitoramento e estádio recomendado na bula (HRAC Grupo A (1) — Inibidores da ACCase)</t>
        </is>
      </c>
    </row>
    <row r="777" ht="22" customHeight="1">
      <c r="A777" s="6" t="inlineStr">
        <is>
          <t>ALV-0773</t>
        </is>
      </c>
      <c r="B777" s="5" t="n">
        <v>417</v>
      </c>
      <c r="C777" s="7" t="inlineStr">
        <is>
          <t>Nº 4623</t>
        </is>
      </c>
      <c r="D777" s="8" t="inlineStr">
        <is>
          <t>WERIFE - ACEFATO 970 - (PRINCIPIO ATIVO)</t>
        </is>
      </c>
      <c r="E777" s="7" t="inlineStr">
        <is>
          <t>Insumo Industrial</t>
        </is>
      </c>
      <c r="F777" s="7" t="inlineStr">
        <is>
          <t>Matéria-prima para Formulação Industrial</t>
        </is>
      </c>
      <c r="G777" s="7" t="inlineStr">
        <is>
          <t>Uso Industrial Credenciado MAPA</t>
        </is>
      </c>
      <c r="H777" s="7" t="inlineStr">
        <is>
          <t>NÃO</t>
        </is>
      </c>
      <c r="I777" s="9" t="n">
        <v>0</v>
      </c>
      <c r="J777" s="9" t="n">
        <v>0</v>
      </c>
      <c r="K777" s="7" t="inlineStr">
        <is>
          <t>L</t>
        </is>
      </c>
      <c r="L777" s="9" t="n">
        <v>1</v>
      </c>
      <c r="M777" s="7" t="inlineStr">
        <is>
          <t>Uso restrito a estabelecimentos formuladores registrados</t>
        </is>
      </c>
    </row>
    <row r="778" ht="22" customHeight="1">
      <c r="A778" s="12" t="inlineStr">
        <is>
          <t>ALV-0774</t>
        </is>
      </c>
      <c r="B778" s="11" t="n">
        <v>418</v>
      </c>
      <c r="C778" s="13" t="inlineStr">
        <is>
          <t>Nº 28120</t>
        </is>
      </c>
      <c r="D778" s="14" t="inlineStr">
        <is>
          <t>WILD CLEAR - FLUROXIPIR 200 EC - (PRINCIPIO ATIVO)</t>
        </is>
      </c>
      <c r="E778" s="13" t="inlineStr">
        <is>
          <t>Insumo Industrial</t>
        </is>
      </c>
      <c r="F778" s="13" t="inlineStr">
        <is>
          <t>Matéria-prima para Formulação Industrial</t>
        </is>
      </c>
      <c r="G778" s="13" t="inlineStr">
        <is>
          <t>Uso Industrial Credenciado MAPA</t>
        </is>
      </c>
      <c r="H778" s="13" t="inlineStr">
        <is>
          <t>NÃO</t>
        </is>
      </c>
      <c r="I778" s="15" t="n">
        <v>0</v>
      </c>
      <c r="J778" s="15" t="n">
        <v>0</v>
      </c>
      <c r="K778" s="13" t="inlineStr">
        <is>
          <t>KG</t>
        </is>
      </c>
      <c r="L778" s="15" t="n">
        <v>1</v>
      </c>
      <c r="M778" s="13" t="inlineStr">
        <is>
          <t>Uso restrito a estabelecimentos formuladores registrados</t>
        </is>
      </c>
    </row>
    <row r="779" ht="22" customHeight="1">
      <c r="A779" s="6" t="inlineStr">
        <is>
          <t>ALV-0775</t>
        </is>
      </c>
      <c r="B779" s="5" t="n">
        <v>419</v>
      </c>
      <c r="C779" s="7" t="inlineStr">
        <is>
          <t>Nº 36822</t>
        </is>
      </c>
      <c r="D779" s="8" t="inlineStr">
        <is>
          <t>CLORPIRIFOS 48 EC AGCN</t>
        </is>
      </c>
      <c r="E779" s="7" t="inlineStr">
        <is>
          <t>Inseticida</t>
        </is>
      </c>
      <c r="F779" s="7" t="inlineStr">
        <is>
          <t>Lagarta-do-cartucho</t>
        </is>
      </c>
      <c r="G779" s="7" t="inlineStr">
        <is>
          <t>Spodoptera frugiperda</t>
        </is>
      </c>
      <c r="H779" s="7" t="inlineStr">
        <is>
          <t>SIM (*)</t>
        </is>
      </c>
      <c r="I779" s="17" t="n">
        <v>0.4</v>
      </c>
      <c r="J779" s="17" t="n">
        <v>0.6</v>
      </c>
      <c r="K779" s="7" t="inlineStr">
        <is>
          <t>L/ha</t>
        </is>
      </c>
      <c r="L779" s="9" t="n">
        <v>1</v>
      </c>
      <c r="M779" s="7" t="inlineStr">
        <is>
          <t>Aplicar conforme monitoramento e estádio recomendado na bula (IRAC Grupo 1B)</t>
        </is>
      </c>
    </row>
    <row r="780" ht="22" customHeight="1">
      <c r="A780" s="12" t="inlineStr">
        <is>
          <t>ALV-0776</t>
        </is>
      </c>
      <c r="B780" s="11" t="n">
        <v>419</v>
      </c>
      <c r="C780" s="13" t="inlineStr">
        <is>
          <t>Nº 36822</t>
        </is>
      </c>
      <c r="D780" s="14" t="inlineStr">
        <is>
          <t>CLORPIRIFOS 48 EC AGCN</t>
        </is>
      </c>
      <c r="E780" s="13" t="inlineStr">
        <is>
          <t>Inseticida</t>
        </is>
      </c>
      <c r="F780" s="13" t="inlineStr">
        <is>
          <t>Lagarta-da-soja</t>
        </is>
      </c>
      <c r="G780" s="13" t="inlineStr">
        <is>
          <t>Anticarsia gemmatalis</t>
        </is>
      </c>
      <c r="H780" s="13" t="inlineStr">
        <is>
          <t>NÃO</t>
        </is>
      </c>
      <c r="I780" s="18" t="n">
        <v>0.4</v>
      </c>
      <c r="J780" s="15" t="n">
        <v>1</v>
      </c>
      <c r="K780" s="13" t="inlineStr">
        <is>
          <t>L/ha</t>
        </is>
      </c>
      <c r="L780" s="15" t="n">
        <v>1</v>
      </c>
      <c r="M780" s="13" t="inlineStr">
        <is>
          <t>Aplicar conforme monitoramento e estádio recomendado na bula (IRAC Grupo 1B)</t>
        </is>
      </c>
    </row>
    <row r="781" ht="22" customHeight="1">
      <c r="A781" s="6" t="inlineStr">
        <is>
          <t>ALV-0777</t>
        </is>
      </c>
      <c r="B781" s="5" t="n">
        <v>419</v>
      </c>
      <c r="C781" s="7" t="inlineStr">
        <is>
          <t>Nº 36822</t>
        </is>
      </c>
      <c r="D781" s="8" t="inlineStr">
        <is>
          <t>CLORPIRIFOS 48 EC AGCN</t>
        </is>
      </c>
      <c r="E781" s="7" t="inlineStr">
        <is>
          <t>Inseticida</t>
        </is>
      </c>
      <c r="F781" s="7" t="inlineStr">
        <is>
          <t>Broca-do-café</t>
        </is>
      </c>
      <c r="G781" s="7" t="inlineStr">
        <is>
          <t>Hypothenemus hampei</t>
        </is>
      </c>
      <c r="H781" s="7" t="inlineStr">
        <is>
          <t>NÃO</t>
        </is>
      </c>
      <c r="I781" s="9" t="n">
        <v>1</v>
      </c>
      <c r="J781" s="17" t="n">
        <v>1.5</v>
      </c>
      <c r="K781" s="7" t="inlineStr">
        <is>
          <t>L/ha</t>
        </is>
      </c>
      <c r="L781" s="9" t="n">
        <v>1</v>
      </c>
      <c r="M781" s="7" t="inlineStr">
        <is>
          <t>Aplicar conforme monitoramento e estádio recomendado na bula (IRAC Grupo 1B)</t>
        </is>
      </c>
    </row>
    <row r="782" ht="22" customHeight="1">
      <c r="A782" s="12" t="inlineStr">
        <is>
          <t>ALV-0778</t>
        </is>
      </c>
      <c r="B782" s="11" t="n">
        <v>420</v>
      </c>
      <c r="C782" s="13" t="inlineStr">
        <is>
          <t>Nº 11819</t>
        </is>
      </c>
      <c r="D782" s="14" t="inlineStr">
        <is>
          <t>MANCOZEB 800 WP AGCN</t>
        </is>
      </c>
      <c r="E782" s="13" t="inlineStr">
        <is>
          <t>Fungicida</t>
        </is>
      </c>
      <c r="F782" s="13" t="inlineStr">
        <is>
          <t>Ferrugem-asiática</t>
        </is>
      </c>
      <c r="G782" s="13" t="inlineStr">
        <is>
          <t>Phakopsora pachyrhizi</t>
        </is>
      </c>
      <c r="H782" s="13" t="inlineStr">
        <is>
          <t>NÃO</t>
        </is>
      </c>
      <c r="I782" s="18" t="n">
        <v>1.5</v>
      </c>
      <c r="J782" s="18" t="n">
        <v>2.5</v>
      </c>
      <c r="K782" s="13" t="inlineStr">
        <is>
          <t>kg/ha</t>
        </is>
      </c>
      <c r="L782" s="15" t="n">
        <v>1</v>
      </c>
      <c r="M782" s="13" t="inlineStr">
        <is>
          <t>Aplicar conforme monitoramento e estádio recomendado na bula (FRAC Grupo M03 — Multissítio)</t>
        </is>
      </c>
    </row>
    <row r="783" ht="22" customHeight="1">
      <c r="A783" s="6" t="inlineStr">
        <is>
          <t>ALV-0779</t>
        </is>
      </c>
      <c r="B783" s="5" t="n">
        <v>420</v>
      </c>
      <c r="C783" s="7" t="inlineStr">
        <is>
          <t>Nº 11819</t>
        </is>
      </c>
      <c r="D783" s="8" t="inlineStr">
        <is>
          <t>MANCOZEB 800 WP AGCN</t>
        </is>
      </c>
      <c r="E783" s="7" t="inlineStr">
        <is>
          <t>Fungicida</t>
        </is>
      </c>
      <c r="F783" s="7" t="inlineStr">
        <is>
          <t>Mancha-alvo</t>
        </is>
      </c>
      <c r="G783" s="7" t="inlineStr">
        <is>
          <t>Corynespora cassiicola</t>
        </is>
      </c>
      <c r="H783" s="7" t="inlineStr">
        <is>
          <t>NÃO</t>
        </is>
      </c>
      <c r="I783" s="17" t="n">
        <v>1.5</v>
      </c>
      <c r="J783" s="17" t="n">
        <v>2.5</v>
      </c>
      <c r="K783" s="7" t="inlineStr">
        <is>
          <t>kg/ha</t>
        </is>
      </c>
      <c r="L783" s="9" t="n">
        <v>1</v>
      </c>
      <c r="M783" s="7" t="inlineStr">
        <is>
          <t>Aplicar conforme monitoramento e estádio recomendado na bula (FRAC Grupo M03 — Multissítio)</t>
        </is>
      </c>
    </row>
    <row r="784" ht="22" customHeight="1">
      <c r="A784" s="12" t="inlineStr">
        <is>
          <t>ALV-0780</t>
        </is>
      </c>
      <c r="B784" s="11" t="n">
        <v>420</v>
      </c>
      <c r="C784" s="13" t="inlineStr">
        <is>
          <t>Nº 11819</t>
        </is>
      </c>
      <c r="D784" s="14" t="inlineStr">
        <is>
          <t>MANCOZEB 800 WP AGCN</t>
        </is>
      </c>
      <c r="E784" s="13" t="inlineStr">
        <is>
          <t>Fungicida</t>
        </is>
      </c>
      <c r="F784" s="13" t="inlineStr">
        <is>
          <t>Pinta-preta</t>
        </is>
      </c>
      <c r="G784" s="13" t="inlineStr">
        <is>
          <t>Alternaria solani</t>
        </is>
      </c>
      <c r="H784" s="13" t="inlineStr">
        <is>
          <t>NÃO</t>
        </is>
      </c>
      <c r="I784" s="15" t="n">
        <v>2</v>
      </c>
      <c r="J784" s="15" t="n">
        <v>3</v>
      </c>
      <c r="K784" s="13" t="inlineStr">
        <is>
          <t>kg/ha</t>
        </is>
      </c>
      <c r="L784" s="15" t="n">
        <v>1</v>
      </c>
      <c r="M784" s="13" t="inlineStr">
        <is>
          <t>Aplicar conforme monitoramento e estádio recomendado na bula (FRAC Grupo M03 — Multissítio)</t>
        </is>
      </c>
    </row>
    <row r="785" ht="22" customHeight="1">
      <c r="A785" s="6" t="inlineStr">
        <is>
          <t>ALV-0781</t>
        </is>
      </c>
      <c r="B785" s="5" t="n">
        <v>421</v>
      </c>
      <c r="C785" s="7" t="inlineStr">
        <is>
          <t>Nº 10210</t>
        </is>
      </c>
      <c r="D785" s="8" t="inlineStr">
        <is>
          <t>LAMBDA CIALOTRINA 250 EC</t>
        </is>
      </c>
      <c r="E785" s="7" t="inlineStr">
        <is>
          <t>Inseticida</t>
        </is>
      </c>
      <c r="F785" s="7" t="inlineStr">
        <is>
          <t>Lagarta-do-cartucho</t>
        </is>
      </c>
      <c r="G785" s="7" t="inlineStr">
        <is>
          <t>Spodoptera frugiperda</t>
        </is>
      </c>
      <c r="H785" s="7" t="inlineStr">
        <is>
          <t>SIM (*)</t>
        </is>
      </c>
      <c r="I785" s="17" t="n">
        <v>0.05</v>
      </c>
      <c r="J785" s="17" t="n">
        <v>0.15</v>
      </c>
      <c r="K785" s="7" t="inlineStr">
        <is>
          <t>L/ha</t>
        </is>
      </c>
      <c r="L785" s="9" t="n">
        <v>1</v>
      </c>
      <c r="M785" s="7" t="inlineStr">
        <is>
          <t>Aplicar conforme monitoramento e estádio recomendado na bula (IRAC Grupo 3A)</t>
        </is>
      </c>
    </row>
    <row r="786" ht="22" customHeight="1">
      <c r="A786" s="12" t="inlineStr">
        <is>
          <t>ALV-0782</t>
        </is>
      </c>
      <c r="B786" s="11" t="n">
        <v>421</v>
      </c>
      <c r="C786" s="13" t="inlineStr">
        <is>
          <t>Nº 10210</t>
        </is>
      </c>
      <c r="D786" s="14" t="inlineStr">
        <is>
          <t>LAMBDA CIALOTRINA 250 EC</t>
        </is>
      </c>
      <c r="E786" s="13" t="inlineStr">
        <is>
          <t>Inseticida</t>
        </is>
      </c>
      <c r="F786" s="13" t="inlineStr">
        <is>
          <t>Percevejo-marrom</t>
        </is>
      </c>
      <c r="G786" s="13" t="inlineStr">
        <is>
          <t>Euschistus heros</t>
        </is>
      </c>
      <c r="H786" s="13" t="inlineStr">
        <is>
          <t>NÃO</t>
        </is>
      </c>
      <c r="I786" s="18" t="n">
        <v>0.075</v>
      </c>
      <c r="J786" s="18" t="n">
        <v>0.15</v>
      </c>
      <c r="K786" s="13" t="inlineStr">
        <is>
          <t>L/ha</t>
        </is>
      </c>
      <c r="L786" s="15" t="n">
        <v>1</v>
      </c>
      <c r="M786" s="13" t="inlineStr">
        <is>
          <t>Aplicar conforme monitoramento e estádio recomendado na bula (IRAC Grupo 3A)</t>
        </is>
      </c>
    </row>
    <row r="787" ht="22" customHeight="1">
      <c r="A787" s="6" t="inlineStr">
        <is>
          <t>ALV-0783</t>
        </is>
      </c>
      <c r="B787" s="5" t="n">
        <v>422</v>
      </c>
      <c r="C787" s="7" t="inlineStr">
        <is>
          <t>Nº 1923</t>
        </is>
      </c>
      <c r="D787" s="8" t="inlineStr">
        <is>
          <t>PUPENO-CLOROTAL 580+CIPRO 12,8+TRIFLOXI 30 (P.A)</t>
        </is>
      </c>
      <c r="E787" s="7" t="inlineStr">
        <is>
          <t>Insumo Industrial</t>
        </is>
      </c>
      <c r="F787" s="7" t="inlineStr">
        <is>
          <t>Matéria-prima para Formulação Industrial</t>
        </is>
      </c>
      <c r="G787" s="7" t="inlineStr">
        <is>
          <t>Uso Industrial Credenciado MAPA</t>
        </is>
      </c>
      <c r="H787" s="7" t="inlineStr">
        <is>
          <t>NÃO</t>
        </is>
      </c>
      <c r="I787" s="9" t="n">
        <v>0</v>
      </c>
      <c r="J787" s="9" t="n">
        <v>0</v>
      </c>
      <c r="K787" s="7" t="inlineStr">
        <is>
          <t>L</t>
        </is>
      </c>
      <c r="L787" s="9" t="n">
        <v>1</v>
      </c>
      <c r="M787" s="7" t="inlineStr">
        <is>
          <t>Uso restrito a estabelecimentos formuladores registrados</t>
        </is>
      </c>
    </row>
    <row r="788" ht="22" customHeight="1">
      <c r="A788" s="12" t="inlineStr">
        <is>
          <t>ALV-0784</t>
        </is>
      </c>
      <c r="B788" s="11" t="n">
        <v>423</v>
      </c>
      <c r="C788" s="13" t="inlineStr">
        <is>
          <t>Nº 1923</t>
        </is>
      </c>
      <c r="D788" s="14" t="inlineStr">
        <is>
          <t>PARACHUTE-CLOROTAL 580+DIFENO 30+TRIFLOXI 24 (P.A)</t>
        </is>
      </c>
      <c r="E788" s="13" t="inlineStr">
        <is>
          <t>Insumo Industrial</t>
        </is>
      </c>
      <c r="F788" s="13" t="inlineStr">
        <is>
          <t>Matéria-prima para Formulação Industrial</t>
        </is>
      </c>
      <c r="G788" s="13" t="inlineStr">
        <is>
          <t>Uso Industrial Credenciado MAPA</t>
        </is>
      </c>
      <c r="H788" s="13" t="inlineStr">
        <is>
          <t>NÃO</t>
        </is>
      </c>
      <c r="I788" s="15" t="n">
        <v>0</v>
      </c>
      <c r="J788" s="15" t="n">
        <v>0</v>
      </c>
      <c r="K788" s="13" t="inlineStr">
        <is>
          <t>L</t>
        </is>
      </c>
      <c r="L788" s="15" t="n">
        <v>1</v>
      </c>
      <c r="M788" s="13" t="inlineStr">
        <is>
          <t>Uso restrito a estabelecimentos formuladores registrados</t>
        </is>
      </c>
    </row>
    <row r="789" ht="22" customHeight="1">
      <c r="A789" s="6" t="inlineStr">
        <is>
          <t>ALV-0785</t>
        </is>
      </c>
      <c r="B789" s="5" t="n">
        <v>424</v>
      </c>
      <c r="C789" s="7" t="inlineStr">
        <is>
          <t>Nº 31422</t>
        </is>
      </c>
      <c r="D789" s="8" t="inlineStr">
        <is>
          <t>ZARPAL</t>
        </is>
      </c>
      <c r="E789" s="7" t="inlineStr">
        <is>
          <t>Inseticida</t>
        </is>
      </c>
      <c r="F789" s="7" t="inlineStr">
        <is>
          <t>Bicudo-do-algodoeiro</t>
        </is>
      </c>
      <c r="G789" s="7" t="inlineStr">
        <is>
          <t>Anthonomus grandis</t>
        </is>
      </c>
      <c r="H789" s="7" t="inlineStr">
        <is>
          <t>NÃO</t>
        </is>
      </c>
      <c r="I789" s="17" t="n">
        <v>0.15</v>
      </c>
      <c r="J789" s="17" t="n">
        <v>0.25</v>
      </c>
      <c r="K789" s="7" t="inlineStr">
        <is>
          <t>L/ha</t>
        </is>
      </c>
      <c r="L789" s="9" t="n">
        <v>1</v>
      </c>
      <c r="M789" s="7" t="inlineStr">
        <is>
          <t>Aplicar conforme monitoramento e estádio recomendado na bula (IRAC Grupo 3A)</t>
        </is>
      </c>
    </row>
    <row r="790" ht="22" customHeight="1">
      <c r="A790" s="12" t="inlineStr">
        <is>
          <t>ALV-0786</t>
        </is>
      </c>
      <c r="B790" s="11" t="n">
        <v>424</v>
      </c>
      <c r="C790" s="13" t="inlineStr">
        <is>
          <t>Nº 31422</t>
        </is>
      </c>
      <c r="D790" s="14" t="inlineStr">
        <is>
          <t>ZARPAL</t>
        </is>
      </c>
      <c r="E790" s="13" t="inlineStr">
        <is>
          <t>Inseticida</t>
        </is>
      </c>
      <c r="F790" s="13" t="inlineStr">
        <is>
          <t>Mosca-branca</t>
        </is>
      </c>
      <c r="G790" s="13" t="inlineStr">
        <is>
          <t>Bemisia tabaci raça B</t>
        </is>
      </c>
      <c r="H790" s="13" t="inlineStr">
        <is>
          <t>SIM (*)</t>
        </is>
      </c>
      <c r="I790" s="18" t="n">
        <v>0.125</v>
      </c>
      <c r="J790" s="18" t="n">
        <v>0.25</v>
      </c>
      <c r="K790" s="13" t="inlineStr">
        <is>
          <t>L/ha</t>
        </is>
      </c>
      <c r="L790" s="15" t="n">
        <v>1</v>
      </c>
      <c r="M790" s="13" t="inlineStr">
        <is>
          <t>Aplicar conforme monitoramento e estádio recomendado na bula (IRAC Grupo 3A)</t>
        </is>
      </c>
    </row>
    <row r="791" ht="22" customHeight="1">
      <c r="A791" s="6" t="inlineStr">
        <is>
          <t>ALV-0787</t>
        </is>
      </c>
      <c r="B791" s="5" t="n">
        <v>424</v>
      </c>
      <c r="C791" s="7" t="inlineStr">
        <is>
          <t>Nº 31422</t>
        </is>
      </c>
      <c r="D791" s="8" t="inlineStr">
        <is>
          <t>ZARPAL</t>
        </is>
      </c>
      <c r="E791" s="7" t="inlineStr">
        <is>
          <t>Inseticida</t>
        </is>
      </c>
      <c r="F791" s="7" t="inlineStr">
        <is>
          <t>Ácaro-rajado</t>
        </is>
      </c>
      <c r="G791" s="7" t="inlineStr">
        <is>
          <t>Tetranychus urticae</t>
        </is>
      </c>
      <c r="H791" s="7" t="inlineStr">
        <is>
          <t>SIM (*)</t>
        </is>
      </c>
      <c r="I791" s="17" t="n">
        <v>0.15</v>
      </c>
      <c r="J791" s="17" t="n">
        <v>0.2</v>
      </c>
      <c r="K791" s="7" t="inlineStr">
        <is>
          <t>L/ha</t>
        </is>
      </c>
      <c r="L791" s="9" t="n">
        <v>1</v>
      </c>
      <c r="M791" s="7" t="inlineStr">
        <is>
          <t>Aplicar conforme monitoramento e estádio recomendado na bula (IRAC Grupo 3A)</t>
        </is>
      </c>
    </row>
    <row r="792" ht="22" customHeight="1">
      <c r="A792" s="12" t="inlineStr">
        <is>
          <t>ALV-0788</t>
        </is>
      </c>
      <c r="B792" s="11" t="n">
        <v>425</v>
      </c>
      <c r="C792" s="13" t="inlineStr">
        <is>
          <t>Nº 3307</t>
        </is>
      </c>
      <c r="D792" s="14" t="inlineStr">
        <is>
          <t>BIFENTRINA 400 EC</t>
        </is>
      </c>
      <c r="E792" s="13" t="inlineStr">
        <is>
          <t>Inseticida e Acaricida</t>
        </is>
      </c>
      <c r="F792" s="13" t="inlineStr">
        <is>
          <t>Bicudo-do-algodoeiro</t>
        </is>
      </c>
      <c r="G792" s="13" t="inlineStr">
        <is>
          <t>Anthonomus grandis</t>
        </is>
      </c>
      <c r="H792" s="13" t="inlineStr">
        <is>
          <t>NÃO</t>
        </is>
      </c>
      <c r="I792" s="18" t="n">
        <v>0.15</v>
      </c>
      <c r="J792" s="18" t="n">
        <v>0.25</v>
      </c>
      <c r="K792" s="13" t="inlineStr">
        <is>
          <t>L/ha</t>
        </is>
      </c>
      <c r="L792" s="15" t="n">
        <v>1</v>
      </c>
      <c r="M792" s="13" t="inlineStr">
        <is>
          <t>Aplicar conforme monitoramento e estádio recomendado na bula (IRAC Grupo 3A)</t>
        </is>
      </c>
    </row>
    <row r="793" ht="22" customHeight="1">
      <c r="A793" s="6" t="inlineStr">
        <is>
          <t>ALV-0789</t>
        </is>
      </c>
      <c r="B793" s="5" t="n">
        <v>425</v>
      </c>
      <c r="C793" s="7" t="inlineStr">
        <is>
          <t>Nº 3307</t>
        </is>
      </c>
      <c r="D793" s="8" t="inlineStr">
        <is>
          <t>BIFENTRINA 400 EC</t>
        </is>
      </c>
      <c r="E793" s="7" t="inlineStr">
        <is>
          <t>Inseticida e Acaricida</t>
        </is>
      </c>
      <c r="F793" s="7" t="inlineStr">
        <is>
          <t>Mosca-branca</t>
        </is>
      </c>
      <c r="G793" s="7" t="inlineStr">
        <is>
          <t>Bemisia tabaci raça B</t>
        </is>
      </c>
      <c r="H793" s="7" t="inlineStr">
        <is>
          <t>SIM (*)</t>
        </is>
      </c>
      <c r="I793" s="17" t="n">
        <v>0.125</v>
      </c>
      <c r="J793" s="17" t="n">
        <v>0.25</v>
      </c>
      <c r="K793" s="7" t="inlineStr">
        <is>
          <t>L/ha</t>
        </is>
      </c>
      <c r="L793" s="9" t="n">
        <v>1</v>
      </c>
      <c r="M793" s="7" t="inlineStr">
        <is>
          <t>Aplicar conforme monitoramento e estádio recomendado na bula (IRAC Grupo 3A)</t>
        </is>
      </c>
    </row>
    <row r="794" ht="22" customHeight="1">
      <c r="A794" s="12" t="inlineStr">
        <is>
          <t>ALV-0790</t>
        </is>
      </c>
      <c r="B794" s="11" t="n">
        <v>425</v>
      </c>
      <c r="C794" s="13" t="inlineStr">
        <is>
          <t>Nº 3307</t>
        </is>
      </c>
      <c r="D794" s="14" t="inlineStr">
        <is>
          <t>BIFENTRINA 400 EC</t>
        </is>
      </c>
      <c r="E794" s="13" t="inlineStr">
        <is>
          <t>Inseticida e Acaricida</t>
        </is>
      </c>
      <c r="F794" s="13" t="inlineStr">
        <is>
          <t>Ácaro-rajado</t>
        </is>
      </c>
      <c r="G794" s="13" t="inlineStr">
        <is>
          <t>Tetranychus urticae</t>
        </is>
      </c>
      <c r="H794" s="13" t="inlineStr">
        <is>
          <t>SIM (*)</t>
        </is>
      </c>
      <c r="I794" s="18" t="n">
        <v>0.15</v>
      </c>
      <c r="J794" s="18" t="n">
        <v>0.2</v>
      </c>
      <c r="K794" s="13" t="inlineStr">
        <is>
          <t>L/ha</t>
        </is>
      </c>
      <c r="L794" s="15" t="n">
        <v>1</v>
      </c>
      <c r="M794" s="13" t="inlineStr">
        <is>
          <t>Aplicar conforme monitoramento e estádio recomendado na bula (IRAC Grupo 3A)</t>
        </is>
      </c>
    </row>
    <row r="795" ht="22" customHeight="1">
      <c r="A795" s="6" t="inlineStr">
        <is>
          <t>ALV-0791</t>
        </is>
      </c>
      <c r="B795" s="5" t="n">
        <v>426</v>
      </c>
      <c r="C795" s="7" t="inlineStr">
        <is>
          <t>Nº 36822</t>
        </is>
      </c>
      <c r="D795" s="8" t="inlineStr">
        <is>
          <t>CLORPIRIFOS 48 EC AGCN</t>
        </is>
      </c>
      <c r="E795" s="7" t="inlineStr">
        <is>
          <t>Inseticida</t>
        </is>
      </c>
      <c r="F795" s="7" t="inlineStr">
        <is>
          <t>Lagarta-do-cartucho</t>
        </is>
      </c>
      <c r="G795" s="7" t="inlineStr">
        <is>
          <t>Spodoptera frugiperda</t>
        </is>
      </c>
      <c r="H795" s="7" t="inlineStr">
        <is>
          <t>SIM (*)</t>
        </is>
      </c>
      <c r="I795" s="17" t="n">
        <v>0.4</v>
      </c>
      <c r="J795" s="17" t="n">
        <v>0.6</v>
      </c>
      <c r="K795" s="7" t="inlineStr">
        <is>
          <t>L/ha</t>
        </is>
      </c>
      <c r="L795" s="9" t="n">
        <v>1</v>
      </c>
      <c r="M795" s="7" t="inlineStr">
        <is>
          <t>Aplicar conforme monitoramento e estádio recomendado na bula (IRAC Grupo 1B)</t>
        </is>
      </c>
    </row>
    <row r="796" ht="22" customHeight="1">
      <c r="A796" s="12" t="inlineStr">
        <is>
          <t>ALV-0792</t>
        </is>
      </c>
      <c r="B796" s="11" t="n">
        <v>426</v>
      </c>
      <c r="C796" s="13" t="inlineStr">
        <is>
          <t>Nº 36822</t>
        </is>
      </c>
      <c r="D796" s="14" t="inlineStr">
        <is>
          <t>CLORPIRIFOS 48 EC AGCN</t>
        </is>
      </c>
      <c r="E796" s="13" t="inlineStr">
        <is>
          <t>Inseticida</t>
        </is>
      </c>
      <c r="F796" s="13" t="inlineStr">
        <is>
          <t>Lagarta-da-soja</t>
        </is>
      </c>
      <c r="G796" s="13" t="inlineStr">
        <is>
          <t>Anticarsia gemmatalis</t>
        </is>
      </c>
      <c r="H796" s="13" t="inlineStr">
        <is>
          <t>NÃO</t>
        </is>
      </c>
      <c r="I796" s="18" t="n">
        <v>0.4</v>
      </c>
      <c r="J796" s="15" t="n">
        <v>1</v>
      </c>
      <c r="K796" s="13" t="inlineStr">
        <is>
          <t>L/ha</t>
        </is>
      </c>
      <c r="L796" s="15" t="n">
        <v>1</v>
      </c>
      <c r="M796" s="13" t="inlineStr">
        <is>
          <t>Aplicar conforme monitoramento e estádio recomendado na bula (IRAC Grupo 1B)</t>
        </is>
      </c>
    </row>
    <row r="797" ht="22" customHeight="1">
      <c r="A797" s="6" t="inlineStr">
        <is>
          <t>ALV-0793</t>
        </is>
      </c>
      <c r="B797" s="5" t="n">
        <v>426</v>
      </c>
      <c r="C797" s="7" t="inlineStr">
        <is>
          <t>Nº 36822</t>
        </is>
      </c>
      <c r="D797" s="8" t="inlineStr">
        <is>
          <t>CLORPIRIFOS 48 EC AGCN</t>
        </is>
      </c>
      <c r="E797" s="7" t="inlineStr">
        <is>
          <t>Inseticida</t>
        </is>
      </c>
      <c r="F797" s="7" t="inlineStr">
        <is>
          <t>Broca-do-café</t>
        </is>
      </c>
      <c r="G797" s="7" t="inlineStr">
        <is>
          <t>Hypothenemus hampei</t>
        </is>
      </c>
      <c r="H797" s="7" t="inlineStr">
        <is>
          <t>NÃO</t>
        </is>
      </c>
      <c r="I797" s="9" t="n">
        <v>1</v>
      </c>
      <c r="J797" s="17" t="n">
        <v>1.5</v>
      </c>
      <c r="K797" s="7" t="inlineStr">
        <is>
          <t>L/ha</t>
        </is>
      </c>
      <c r="L797" s="9" t="n">
        <v>1</v>
      </c>
      <c r="M797" s="7" t="inlineStr">
        <is>
          <t>Aplicar conforme monitoramento e estádio recomendado na bula (IRAC Grupo 1B)</t>
        </is>
      </c>
    </row>
    <row r="798" ht="22" customHeight="1">
      <c r="A798" s="12" t="inlineStr">
        <is>
          <t>ALV-0794</t>
        </is>
      </c>
      <c r="B798" s="11" t="n">
        <v>427</v>
      </c>
      <c r="C798" s="13" t="inlineStr">
        <is>
          <t>Nº 27717</t>
        </is>
      </c>
      <c r="D798" s="14" t="inlineStr">
        <is>
          <t>FIPRONIL 800 WG AGCN</t>
        </is>
      </c>
      <c r="E798" s="13" t="inlineStr">
        <is>
          <t>Inseticida e Cupinicida (Fipronil)</t>
        </is>
      </c>
      <c r="F798" s="13" t="inlineStr">
        <is>
          <t>Coró</t>
        </is>
      </c>
      <c r="G798" s="13" t="inlineStr">
        <is>
          <t>Phyllophaga cuyabana</t>
        </is>
      </c>
      <c r="H798" s="13" t="inlineStr">
        <is>
          <t>NÃO</t>
        </is>
      </c>
      <c r="I798" s="18" t="n">
        <v>0.1</v>
      </c>
      <c r="J798" s="18" t="n">
        <v>0.2</v>
      </c>
      <c r="K798" s="13" t="inlineStr">
        <is>
          <t>L/100kg sem.</t>
        </is>
      </c>
      <c r="L798" s="15" t="n">
        <v>1</v>
      </c>
      <c r="M798" s="13" t="inlineStr">
        <is>
          <t>Aplicar conforme monitoramento e estádio recomendado na bula (IRAC Grupo 2B)</t>
        </is>
      </c>
    </row>
    <row r="799" ht="22" customHeight="1">
      <c r="A799" s="6" t="inlineStr">
        <is>
          <t>ALV-0795</t>
        </is>
      </c>
      <c r="B799" s="5" t="n">
        <v>427</v>
      </c>
      <c r="C799" s="7" t="inlineStr">
        <is>
          <t>Nº 27717</t>
        </is>
      </c>
      <c r="D799" s="8" t="inlineStr">
        <is>
          <t>FIPRONIL 800 WG AGCN</t>
        </is>
      </c>
      <c r="E799" s="7" t="inlineStr">
        <is>
          <t>Inseticida e Cupinicida (Fipronil)</t>
        </is>
      </c>
      <c r="F799" s="7" t="inlineStr">
        <is>
          <t>Lagarta-elasmo</t>
        </is>
      </c>
      <c r="G799" s="7" t="inlineStr">
        <is>
          <t>Elasmopalpus lignosellus</t>
        </is>
      </c>
      <c r="H799" s="7" t="inlineStr">
        <is>
          <t>NÃO</t>
        </is>
      </c>
      <c r="I799" s="17" t="n">
        <v>0.1</v>
      </c>
      <c r="J799" s="17" t="n">
        <v>0.2</v>
      </c>
      <c r="K799" s="7" t="inlineStr">
        <is>
          <t>L/100kg sem.</t>
        </is>
      </c>
      <c r="L799" s="9" t="n">
        <v>1</v>
      </c>
      <c r="M799" s="7" t="inlineStr">
        <is>
          <t>Aplicar conforme monitoramento e estádio recomendado na bula (IRAC Grupo 2B)</t>
        </is>
      </c>
    </row>
    <row r="800" ht="22" customHeight="1">
      <c r="A800" s="12" t="inlineStr">
        <is>
          <t>ALV-0796</t>
        </is>
      </c>
      <c r="B800" s="11" t="n">
        <v>427</v>
      </c>
      <c r="C800" s="13" t="inlineStr">
        <is>
          <t>Nº 27717</t>
        </is>
      </c>
      <c r="D800" s="14" t="inlineStr">
        <is>
          <t>FIPRONIL 800 WG AGCN</t>
        </is>
      </c>
      <c r="E800" s="13" t="inlineStr">
        <is>
          <t>Inseticida e Cupinicida (Fipronil)</t>
        </is>
      </c>
      <c r="F800" s="13" t="inlineStr">
        <is>
          <t>Cupim-de-montículo</t>
        </is>
      </c>
      <c r="G800" s="13" t="inlineStr">
        <is>
          <t>Procornitermes triacifer</t>
        </is>
      </c>
      <c r="H800" s="13" t="inlineStr">
        <is>
          <t>NÃO</t>
        </is>
      </c>
      <c r="I800" s="18" t="n">
        <v>0.05</v>
      </c>
      <c r="J800" s="18" t="n">
        <v>0.2</v>
      </c>
      <c r="K800" s="13" t="inlineStr">
        <is>
          <t>kg ou L/ha</t>
        </is>
      </c>
      <c r="L800" s="15" t="n">
        <v>1</v>
      </c>
      <c r="M800" s="13" t="inlineStr">
        <is>
          <t>Aplicar conforme monitoramento e estádio recomendado na bula (IRAC Grupo 2B)</t>
        </is>
      </c>
    </row>
    <row r="801" ht="22" customHeight="1">
      <c r="A801" s="6" t="inlineStr">
        <is>
          <t>ALV-0797</t>
        </is>
      </c>
      <c r="B801" s="5" t="n">
        <v>428</v>
      </c>
      <c r="C801" s="7" t="inlineStr">
        <is>
          <t>Nº 24824</t>
        </is>
      </c>
      <c r="D801" s="8" t="inlineStr">
        <is>
          <t>CARFENTRAZONE 400 EC</t>
        </is>
      </c>
      <c r="E801" s="7" t="inlineStr">
        <is>
          <t>Herbicida</t>
        </is>
      </c>
      <c r="F801" s="7" t="inlineStr">
        <is>
          <t>Corda-de-viola</t>
        </is>
      </c>
      <c r="G801" s="7" t="inlineStr">
        <is>
          <t>Ipomoea grandifolia</t>
        </is>
      </c>
      <c r="H801" s="7" t="inlineStr">
        <is>
          <t>NÃO</t>
        </is>
      </c>
      <c r="I801" s="17" t="n">
        <v>0.05</v>
      </c>
      <c r="J801" s="17" t="n">
        <v>0.125</v>
      </c>
      <c r="K801" s="7" t="inlineStr">
        <is>
          <t>L/ha</t>
        </is>
      </c>
      <c r="L801" s="9" t="n">
        <v>1</v>
      </c>
      <c r="M801" s="7" t="inlineStr">
        <is>
          <t>Aplicar conforme monitoramento e estádio recomendado na bula (HRAC Grupo E (14) — Inibidores da PROTOX)</t>
        </is>
      </c>
    </row>
    <row r="802" ht="22" customHeight="1">
      <c r="A802" s="12" t="inlineStr">
        <is>
          <t>ALV-0798</t>
        </is>
      </c>
      <c r="B802" s="11" t="n">
        <v>428</v>
      </c>
      <c r="C802" s="13" t="inlineStr">
        <is>
          <t>Nº 24824</t>
        </is>
      </c>
      <c r="D802" s="14" t="inlineStr">
        <is>
          <t>CARFENTRAZONE 400 EC</t>
        </is>
      </c>
      <c r="E802" s="13" t="inlineStr">
        <is>
          <t>Herbicida</t>
        </is>
      </c>
      <c r="F802" s="13" t="inlineStr">
        <is>
          <t>Trapoeraba</t>
        </is>
      </c>
      <c r="G802" s="13" t="inlineStr">
        <is>
          <t>Commelina benghalensis</t>
        </is>
      </c>
      <c r="H802" s="13" t="inlineStr">
        <is>
          <t>NÃO</t>
        </is>
      </c>
      <c r="I802" s="18" t="n">
        <v>0.05</v>
      </c>
      <c r="J802" s="18" t="n">
        <v>0.125</v>
      </c>
      <c r="K802" s="13" t="inlineStr">
        <is>
          <t>L/ha</t>
        </is>
      </c>
      <c r="L802" s="15" t="n">
        <v>1</v>
      </c>
      <c r="M802" s="13" t="inlineStr">
        <is>
          <t>Aplicar conforme monitoramento e estádio recomendado na bula (HRAC Grupo E (14) — Inibidores da PROTOX)</t>
        </is>
      </c>
    </row>
    <row r="803" ht="22" customHeight="1">
      <c r="A803" s="6" t="inlineStr">
        <is>
          <t>ALV-0799</t>
        </is>
      </c>
      <c r="B803" s="5" t="n">
        <v>429</v>
      </c>
      <c r="C803" s="7" t="inlineStr">
        <is>
          <t>Nº 24824</t>
        </is>
      </c>
      <c r="D803" s="8" t="inlineStr">
        <is>
          <t>CARFENTRAZONE 400 EC1X20L (VALIDAR)</t>
        </is>
      </c>
      <c r="E803" s="7" t="inlineStr">
        <is>
          <t>Herbicida</t>
        </is>
      </c>
      <c r="F803" s="7" t="inlineStr">
        <is>
          <t>Corda-de-viola</t>
        </is>
      </c>
      <c r="G803" s="7" t="inlineStr">
        <is>
          <t>Ipomoea grandifolia</t>
        </is>
      </c>
      <c r="H803" s="7" t="inlineStr">
        <is>
          <t>NÃO</t>
        </is>
      </c>
      <c r="I803" s="17" t="n">
        <v>0.05</v>
      </c>
      <c r="J803" s="17" t="n">
        <v>0.125</v>
      </c>
      <c r="K803" s="7" t="inlineStr">
        <is>
          <t>L/ha</t>
        </is>
      </c>
      <c r="L803" s="9" t="n">
        <v>1</v>
      </c>
      <c r="M803" s="7" t="inlineStr">
        <is>
          <t>Aplicar conforme monitoramento e estádio recomendado na bula (HRAC Grupo E (14) — Inibidores da PROTOX)</t>
        </is>
      </c>
    </row>
    <row r="804" ht="22" customHeight="1">
      <c r="A804" s="12" t="inlineStr">
        <is>
          <t>ALV-0800</t>
        </is>
      </c>
      <c r="B804" s="11" t="n">
        <v>429</v>
      </c>
      <c r="C804" s="13" t="inlineStr">
        <is>
          <t>Nº 24824</t>
        </is>
      </c>
      <c r="D804" s="14" t="inlineStr">
        <is>
          <t>CARFENTRAZONE 400 EC1X20L (VALIDAR)</t>
        </is>
      </c>
      <c r="E804" s="13" t="inlineStr">
        <is>
          <t>Herbicida</t>
        </is>
      </c>
      <c r="F804" s="13" t="inlineStr">
        <is>
          <t>Trapoeraba</t>
        </is>
      </c>
      <c r="G804" s="13" t="inlineStr">
        <is>
          <t>Commelina benghalensis</t>
        </is>
      </c>
      <c r="H804" s="13" t="inlineStr">
        <is>
          <t>NÃO</t>
        </is>
      </c>
      <c r="I804" s="18" t="n">
        <v>0.05</v>
      </c>
      <c r="J804" s="18" t="n">
        <v>0.125</v>
      </c>
      <c r="K804" s="13" t="inlineStr">
        <is>
          <t>L/ha</t>
        </is>
      </c>
      <c r="L804" s="15" t="n">
        <v>1</v>
      </c>
      <c r="M804" s="13" t="inlineStr">
        <is>
          <t>Aplicar conforme monitoramento e estádio recomendado na bula (HRAC Grupo E (14) — Inibidores da PROTOX)</t>
        </is>
      </c>
    </row>
    <row r="805" ht="22" customHeight="1">
      <c r="A805" s="6" t="inlineStr">
        <is>
          <t>ALV-0801</t>
        </is>
      </c>
      <c r="B805" s="5" t="n">
        <v>430</v>
      </c>
      <c r="C805" s="7" t="inlineStr">
        <is>
          <t>Nº 16607</t>
        </is>
      </c>
      <c r="D805" s="8" t="inlineStr">
        <is>
          <t>CAMPEON</t>
        </is>
      </c>
      <c r="E805" s="7" t="inlineStr">
        <is>
          <t>Herbicida</t>
        </is>
      </c>
      <c r="F805" s="7" t="inlineStr">
        <is>
          <t>Buva</t>
        </is>
      </c>
      <c r="G805" s="7" t="inlineStr">
        <is>
          <t>Conyza bonariensis</t>
        </is>
      </c>
      <c r="H805" s="7" t="inlineStr">
        <is>
          <t>SIM (*)</t>
        </is>
      </c>
      <c r="I805" s="9" t="n">
        <v>1</v>
      </c>
      <c r="J805" s="17" t="n">
        <v>1.5</v>
      </c>
      <c r="K805" s="7" t="inlineStr">
        <is>
          <t>L/ha</t>
        </is>
      </c>
      <c r="L805" s="9" t="n">
        <v>1</v>
      </c>
      <c r="M805" s="7" t="inlineStr">
        <is>
          <t>Aplicar conforme monitoramento e estádio recomendado na bula (HRAC Grupo O (4) — Auxinas Sintéticas)</t>
        </is>
      </c>
    </row>
    <row r="806" ht="22" customHeight="1">
      <c r="A806" s="12" t="inlineStr">
        <is>
          <t>ALV-0802</t>
        </is>
      </c>
      <c r="B806" s="11" t="n">
        <v>430</v>
      </c>
      <c r="C806" s="13" t="inlineStr">
        <is>
          <t>Nº 16607</t>
        </is>
      </c>
      <c r="D806" s="14" t="inlineStr">
        <is>
          <t>CAMPEON</t>
        </is>
      </c>
      <c r="E806" s="13" t="inlineStr">
        <is>
          <t>Herbicida</t>
        </is>
      </c>
      <c r="F806" s="13" t="inlineStr">
        <is>
          <t>Picão-preto</t>
        </is>
      </c>
      <c r="G806" s="13" t="inlineStr">
        <is>
          <t>Bidens pilosa</t>
        </is>
      </c>
      <c r="H806" s="13" t="inlineStr">
        <is>
          <t>NÃO</t>
        </is>
      </c>
      <c r="I806" s="15" t="n">
        <v>1</v>
      </c>
      <c r="J806" s="18" t="n">
        <v>1.5</v>
      </c>
      <c r="K806" s="13" t="inlineStr">
        <is>
          <t>L/ha</t>
        </is>
      </c>
      <c r="L806" s="15" t="n">
        <v>1</v>
      </c>
      <c r="M806" s="13" t="inlineStr">
        <is>
          <t>Aplicar conforme monitoramento e estádio recomendado na bula (HRAC Grupo O (4) — Auxinas Sintéticas)</t>
        </is>
      </c>
    </row>
    <row r="807" ht="22" customHeight="1">
      <c r="A807" s="6" t="inlineStr">
        <is>
          <t>ALV-0803</t>
        </is>
      </c>
      <c r="B807" s="5" t="n">
        <v>431</v>
      </c>
      <c r="C807" s="7" t="inlineStr">
        <is>
          <t>Nº 1923</t>
        </is>
      </c>
      <c r="D807" s="8" t="inlineStr">
        <is>
          <t>PARACHUTE</t>
        </is>
      </c>
      <c r="E807" s="7" t="inlineStr">
        <is>
          <t>Fungicida</t>
        </is>
      </c>
      <c r="F807" s="7" t="inlineStr">
        <is>
          <t>Mancha-alvo</t>
        </is>
      </c>
      <c r="G807" s="7" t="inlineStr">
        <is>
          <t>Corynespora cassiicola</t>
        </is>
      </c>
      <c r="H807" s="7" t="inlineStr">
        <is>
          <t>SIM (*)</t>
        </is>
      </c>
      <c r="I807" s="17" t="n">
        <v>0.3</v>
      </c>
      <c r="J807" s="17" t="n">
        <v>0.5</v>
      </c>
      <c r="K807" s="7" t="inlineStr">
        <is>
          <t>L/ha</t>
        </is>
      </c>
      <c r="L807" s="9" t="n">
        <v>1</v>
      </c>
      <c r="M807" s="7" t="inlineStr">
        <is>
          <t>Aplicar conforme monitoramento e estádio recomendado na bula (FRAC Grupo 3 (DMI))</t>
        </is>
      </c>
    </row>
    <row r="808" ht="22" customHeight="1">
      <c r="A808" s="12" t="inlineStr">
        <is>
          <t>ALV-0804</t>
        </is>
      </c>
      <c r="B808" s="11" t="n">
        <v>431</v>
      </c>
      <c r="C808" s="13" t="inlineStr">
        <is>
          <t>Nº 1923</t>
        </is>
      </c>
      <c r="D808" s="14" t="inlineStr">
        <is>
          <t>PARACHUTE</t>
        </is>
      </c>
      <c r="E808" s="13" t="inlineStr">
        <is>
          <t>Fungicida</t>
        </is>
      </c>
      <c r="F808" s="13" t="inlineStr">
        <is>
          <t>Oídio</t>
        </is>
      </c>
      <c r="G808" s="13" t="inlineStr">
        <is>
          <t>Microsphaera diffusa</t>
        </is>
      </c>
      <c r="H808" s="13" t="inlineStr">
        <is>
          <t>NÃO</t>
        </is>
      </c>
      <c r="I808" s="18" t="n">
        <v>0.2</v>
      </c>
      <c r="J808" s="18" t="n">
        <v>0.3</v>
      </c>
      <c r="K808" s="13" t="inlineStr">
        <is>
          <t>L/ha</t>
        </is>
      </c>
      <c r="L808" s="15" t="n">
        <v>1</v>
      </c>
      <c r="M808" s="13" t="inlineStr">
        <is>
          <t>Aplicar conforme monitoramento e estádio recomendado na bula (FRAC Grupo 3 (DMI))</t>
        </is>
      </c>
    </row>
    <row r="809" ht="22" customHeight="1">
      <c r="A809" s="6" t="inlineStr">
        <is>
          <t>ALV-0805</t>
        </is>
      </c>
      <c r="B809" s="5" t="n">
        <v>431</v>
      </c>
      <c r="C809" s="7" t="inlineStr">
        <is>
          <t>Nº 1923</t>
        </is>
      </c>
      <c r="D809" s="8" t="inlineStr">
        <is>
          <t>PARACHUTE</t>
        </is>
      </c>
      <c r="E809" s="7" t="inlineStr">
        <is>
          <t>Fungicida</t>
        </is>
      </c>
      <c r="F809" s="7" t="inlineStr">
        <is>
          <t>Antracnose</t>
        </is>
      </c>
      <c r="G809" s="7" t="inlineStr">
        <is>
          <t>Colletotrichum truncatum</t>
        </is>
      </c>
      <c r="H809" s="7" t="inlineStr">
        <is>
          <t>NÃO</t>
        </is>
      </c>
      <c r="I809" s="17" t="n">
        <v>0.3</v>
      </c>
      <c r="J809" s="17" t="n">
        <v>0.4</v>
      </c>
      <c r="K809" s="7" t="inlineStr">
        <is>
          <t>L/ha</t>
        </is>
      </c>
      <c r="L809" s="9" t="n">
        <v>1</v>
      </c>
      <c r="M809" s="7" t="inlineStr">
        <is>
          <t>Aplicar conforme monitoramento e estádio recomendado na bula (FRAC Grupo 3 (DMI))</t>
        </is>
      </c>
    </row>
    <row r="810" ht="22" customHeight="1">
      <c r="A810" s="12" t="inlineStr">
        <is>
          <t>ALV-0806</t>
        </is>
      </c>
      <c r="B810" s="11" t="n">
        <v>432</v>
      </c>
      <c r="C810" s="13" t="inlineStr">
        <is>
          <t>Nº 1923</t>
        </is>
      </c>
      <c r="D810" s="14" t="inlineStr">
        <is>
          <t>PARACHUTE</t>
        </is>
      </c>
      <c r="E810" s="13" t="inlineStr">
        <is>
          <t>Fungicida</t>
        </is>
      </c>
      <c r="F810" s="13" t="inlineStr">
        <is>
          <t>Mancha-alvo</t>
        </is>
      </c>
      <c r="G810" s="13" t="inlineStr">
        <is>
          <t>Corynespora cassiicola</t>
        </is>
      </c>
      <c r="H810" s="13" t="inlineStr">
        <is>
          <t>SIM (*)</t>
        </is>
      </c>
      <c r="I810" s="18" t="n">
        <v>0.3</v>
      </c>
      <c r="J810" s="18" t="n">
        <v>0.5</v>
      </c>
      <c r="K810" s="13" t="inlineStr">
        <is>
          <t>L/ha</t>
        </is>
      </c>
      <c r="L810" s="15" t="n">
        <v>1</v>
      </c>
      <c r="M810" s="13" t="inlineStr">
        <is>
          <t>Aplicar conforme monitoramento e estádio recomendado na bula (FRAC Grupo 3 (DMI))</t>
        </is>
      </c>
    </row>
    <row r="811" ht="22" customHeight="1">
      <c r="A811" s="6" t="inlineStr">
        <is>
          <t>ALV-0807</t>
        </is>
      </c>
      <c r="B811" s="5" t="n">
        <v>432</v>
      </c>
      <c r="C811" s="7" t="inlineStr">
        <is>
          <t>Nº 1923</t>
        </is>
      </c>
      <c r="D811" s="8" t="inlineStr">
        <is>
          <t>PARACHUTE</t>
        </is>
      </c>
      <c r="E811" s="7" t="inlineStr">
        <is>
          <t>Fungicida</t>
        </is>
      </c>
      <c r="F811" s="7" t="inlineStr">
        <is>
          <t>Oídio</t>
        </is>
      </c>
      <c r="G811" s="7" t="inlineStr">
        <is>
          <t>Microsphaera diffusa</t>
        </is>
      </c>
      <c r="H811" s="7" t="inlineStr">
        <is>
          <t>NÃO</t>
        </is>
      </c>
      <c r="I811" s="17" t="n">
        <v>0.2</v>
      </c>
      <c r="J811" s="17" t="n">
        <v>0.3</v>
      </c>
      <c r="K811" s="7" t="inlineStr">
        <is>
          <t>L/ha</t>
        </is>
      </c>
      <c r="L811" s="9" t="n">
        <v>1</v>
      </c>
      <c r="M811" s="7" t="inlineStr">
        <is>
          <t>Aplicar conforme monitoramento e estádio recomendado na bula (FRAC Grupo 3 (DMI))</t>
        </is>
      </c>
    </row>
    <row r="812" ht="22" customHeight="1">
      <c r="A812" s="12" t="inlineStr">
        <is>
          <t>ALV-0808</t>
        </is>
      </c>
      <c r="B812" s="11" t="n">
        <v>432</v>
      </c>
      <c r="C812" s="13" t="inlineStr">
        <is>
          <t>Nº 1923</t>
        </is>
      </c>
      <c r="D812" s="14" t="inlineStr">
        <is>
          <t>PARACHUTE</t>
        </is>
      </c>
      <c r="E812" s="13" t="inlineStr">
        <is>
          <t>Fungicida</t>
        </is>
      </c>
      <c r="F812" s="13" t="inlineStr">
        <is>
          <t>Antracnose</t>
        </is>
      </c>
      <c r="G812" s="13" t="inlineStr">
        <is>
          <t>Colletotrichum truncatum</t>
        </is>
      </c>
      <c r="H812" s="13" t="inlineStr">
        <is>
          <t>NÃO</t>
        </is>
      </c>
      <c r="I812" s="18" t="n">
        <v>0.3</v>
      </c>
      <c r="J812" s="18" t="n">
        <v>0.4</v>
      </c>
      <c r="K812" s="13" t="inlineStr">
        <is>
          <t>L/ha</t>
        </is>
      </c>
      <c r="L812" s="15" t="n">
        <v>1</v>
      </c>
      <c r="M812" s="13" t="inlineStr">
        <is>
          <t>Aplicar conforme monitoramento e estádio recomendado na bula (FRAC Grupo 3 (DMI))</t>
        </is>
      </c>
    </row>
    <row r="813" ht="22" customHeight="1">
      <c r="A813" s="6" t="inlineStr">
        <is>
          <t>ALV-0809</t>
        </is>
      </c>
      <c r="B813" s="5" t="n">
        <v>433</v>
      </c>
      <c r="C813" s="7" t="inlineStr">
        <is>
          <t>Nº 15716</t>
        </is>
      </c>
      <c r="D813" s="8" t="inlineStr">
        <is>
          <t>DIFCOR 250 EC BR</t>
        </is>
      </c>
      <c r="E813" s="7" t="inlineStr">
        <is>
          <t>Fungicida</t>
        </is>
      </c>
      <c r="F813" s="7" t="inlineStr">
        <is>
          <t>Mancha-alvo</t>
        </is>
      </c>
      <c r="G813" s="7" t="inlineStr">
        <is>
          <t>Corynespora cassiicola</t>
        </is>
      </c>
      <c r="H813" s="7" t="inlineStr">
        <is>
          <t>SIM (*)</t>
        </is>
      </c>
      <c r="I813" s="17" t="n">
        <v>0.3</v>
      </c>
      <c r="J813" s="17" t="n">
        <v>0.5</v>
      </c>
      <c r="K813" s="7" t="inlineStr">
        <is>
          <t>L/ha</t>
        </is>
      </c>
      <c r="L813" s="9" t="n">
        <v>1</v>
      </c>
      <c r="M813" s="7" t="inlineStr">
        <is>
          <t>Aplicar conforme monitoramento e estádio recomendado na bula (FRAC Grupo 3 (DMI))</t>
        </is>
      </c>
    </row>
    <row r="814" ht="22" customHeight="1">
      <c r="A814" s="12" t="inlineStr">
        <is>
          <t>ALV-0810</t>
        </is>
      </c>
      <c r="B814" s="11" t="n">
        <v>433</v>
      </c>
      <c r="C814" s="13" t="inlineStr">
        <is>
          <t>Nº 15716</t>
        </is>
      </c>
      <c r="D814" s="14" t="inlineStr">
        <is>
          <t>DIFCOR 250 EC BR</t>
        </is>
      </c>
      <c r="E814" s="13" t="inlineStr">
        <is>
          <t>Fungicida</t>
        </is>
      </c>
      <c r="F814" s="13" t="inlineStr">
        <is>
          <t>Oídio</t>
        </is>
      </c>
      <c r="G814" s="13" t="inlineStr">
        <is>
          <t>Microsphaera diffusa</t>
        </is>
      </c>
      <c r="H814" s="13" t="inlineStr">
        <is>
          <t>NÃO</t>
        </is>
      </c>
      <c r="I814" s="18" t="n">
        <v>0.2</v>
      </c>
      <c r="J814" s="18" t="n">
        <v>0.3</v>
      </c>
      <c r="K814" s="13" t="inlineStr">
        <is>
          <t>L/ha</t>
        </is>
      </c>
      <c r="L814" s="15" t="n">
        <v>1</v>
      </c>
      <c r="M814" s="13" t="inlineStr">
        <is>
          <t>Aplicar conforme monitoramento e estádio recomendado na bula (FRAC Grupo 3 (DMI))</t>
        </is>
      </c>
    </row>
    <row r="815" ht="22" customHeight="1">
      <c r="A815" s="6" t="inlineStr">
        <is>
          <t>ALV-0811</t>
        </is>
      </c>
      <c r="B815" s="5" t="n">
        <v>433</v>
      </c>
      <c r="C815" s="7" t="inlineStr">
        <is>
          <t>Nº 15716</t>
        </is>
      </c>
      <c r="D815" s="8" t="inlineStr">
        <is>
          <t>DIFCOR 250 EC BR</t>
        </is>
      </c>
      <c r="E815" s="7" t="inlineStr">
        <is>
          <t>Fungicida</t>
        </is>
      </c>
      <c r="F815" s="7" t="inlineStr">
        <is>
          <t>Antracnose</t>
        </is>
      </c>
      <c r="G815" s="7" t="inlineStr">
        <is>
          <t>Colletotrichum truncatum</t>
        </is>
      </c>
      <c r="H815" s="7" t="inlineStr">
        <is>
          <t>NÃO</t>
        </is>
      </c>
      <c r="I815" s="17" t="n">
        <v>0.3</v>
      </c>
      <c r="J815" s="17" t="n">
        <v>0.4</v>
      </c>
      <c r="K815" s="7" t="inlineStr">
        <is>
          <t>L/ha</t>
        </is>
      </c>
      <c r="L815" s="9" t="n">
        <v>1</v>
      </c>
      <c r="M815" s="7" t="inlineStr">
        <is>
          <t>Aplicar conforme monitoramento e estádio recomendado na bula (FRAC Grupo 3 (DMI))</t>
        </is>
      </c>
    </row>
    <row r="816" ht="22" customHeight="1">
      <c r="A816" s="12" t="inlineStr">
        <is>
          <t>ALV-0812</t>
        </is>
      </c>
      <c r="B816" s="11" t="n">
        <v>434</v>
      </c>
      <c r="C816" s="13" t="inlineStr">
        <is>
          <t>Nº 40624</t>
        </is>
      </c>
      <c r="D816" s="14" t="inlineStr">
        <is>
          <t>CHLORPYRIFOS 480 EC AGCN</t>
        </is>
      </c>
      <c r="E816" s="13" t="inlineStr">
        <is>
          <t>Inseticida</t>
        </is>
      </c>
      <c r="F816" s="13" t="inlineStr">
        <is>
          <t>Lagarta-do-cartucho</t>
        </is>
      </c>
      <c r="G816" s="13" t="inlineStr">
        <is>
          <t>Spodoptera frugiperda</t>
        </is>
      </c>
      <c r="H816" s="13" t="inlineStr">
        <is>
          <t>SIM (*)</t>
        </is>
      </c>
      <c r="I816" s="18" t="n">
        <v>0.4</v>
      </c>
      <c r="J816" s="18" t="n">
        <v>0.6</v>
      </c>
      <c r="K816" s="13" t="inlineStr">
        <is>
          <t>L/ha</t>
        </is>
      </c>
      <c r="L816" s="15" t="n">
        <v>1</v>
      </c>
      <c r="M816" s="13" t="inlineStr">
        <is>
          <t>Aplicar conforme monitoramento e estádio recomendado na bula (IRAC Grupo 1B)</t>
        </is>
      </c>
    </row>
    <row r="817" ht="22" customHeight="1">
      <c r="A817" s="6" t="inlineStr">
        <is>
          <t>ALV-0813</t>
        </is>
      </c>
      <c r="B817" s="5" t="n">
        <v>434</v>
      </c>
      <c r="C817" s="7" t="inlineStr">
        <is>
          <t>Nº 40624</t>
        </is>
      </c>
      <c r="D817" s="8" t="inlineStr">
        <is>
          <t>CHLORPYRIFOS 480 EC AGCN</t>
        </is>
      </c>
      <c r="E817" s="7" t="inlineStr">
        <is>
          <t>Inseticida</t>
        </is>
      </c>
      <c r="F817" s="7" t="inlineStr">
        <is>
          <t>Lagarta-da-soja</t>
        </is>
      </c>
      <c r="G817" s="7" t="inlineStr">
        <is>
          <t>Anticarsia gemmatalis</t>
        </is>
      </c>
      <c r="H817" s="7" t="inlineStr">
        <is>
          <t>NÃO</t>
        </is>
      </c>
      <c r="I817" s="17" t="n">
        <v>0.4</v>
      </c>
      <c r="J817" s="9" t="n">
        <v>1</v>
      </c>
      <c r="K817" s="7" t="inlineStr">
        <is>
          <t>L/ha</t>
        </is>
      </c>
      <c r="L817" s="9" t="n">
        <v>1</v>
      </c>
      <c r="M817" s="7" t="inlineStr">
        <is>
          <t>Aplicar conforme monitoramento e estádio recomendado na bula (IRAC Grupo 1B)</t>
        </is>
      </c>
    </row>
    <row r="818" ht="22" customHeight="1">
      <c r="A818" s="12" t="inlineStr">
        <is>
          <t>ALV-0814</t>
        </is>
      </c>
      <c r="B818" s="11" t="n">
        <v>434</v>
      </c>
      <c r="C818" s="13" t="inlineStr">
        <is>
          <t>Nº 40624</t>
        </is>
      </c>
      <c r="D818" s="14" t="inlineStr">
        <is>
          <t>CHLORPYRIFOS 480 EC AGCN</t>
        </is>
      </c>
      <c r="E818" s="13" t="inlineStr">
        <is>
          <t>Inseticida</t>
        </is>
      </c>
      <c r="F818" s="13" t="inlineStr">
        <is>
          <t>Broca-do-café</t>
        </is>
      </c>
      <c r="G818" s="13" t="inlineStr">
        <is>
          <t>Hypothenemus hampei</t>
        </is>
      </c>
      <c r="H818" s="13" t="inlineStr">
        <is>
          <t>NÃO</t>
        </is>
      </c>
      <c r="I818" s="15" t="n">
        <v>1</v>
      </c>
      <c r="J818" s="18" t="n">
        <v>1.5</v>
      </c>
      <c r="K818" s="13" t="inlineStr">
        <is>
          <t>L/ha</t>
        </is>
      </c>
      <c r="L818" s="15" t="n">
        <v>1</v>
      </c>
      <c r="M818" s="13" t="inlineStr">
        <is>
          <t>Aplicar conforme monitoramento e estádio recomendado na bula (IRAC Grupo 1B)</t>
        </is>
      </c>
    </row>
    <row r="819" ht="22" customHeight="1">
      <c r="A819" s="6" t="inlineStr">
        <is>
          <t>ALV-0815</t>
        </is>
      </c>
      <c r="B819" s="5" t="n">
        <v>435</v>
      </c>
      <c r="C819" s="7" t="inlineStr">
        <is>
          <t>Nº 31422</t>
        </is>
      </c>
      <c r="D819" s="8" t="inlineStr">
        <is>
          <t>ZARPAL</t>
        </is>
      </c>
      <c r="E819" s="7" t="inlineStr">
        <is>
          <t>Inseticida</t>
        </is>
      </c>
      <c r="F819" s="7" t="inlineStr">
        <is>
          <t>Bicudo-do-algodoeiro</t>
        </is>
      </c>
      <c r="G819" s="7" t="inlineStr">
        <is>
          <t>Anthonomus grandis</t>
        </is>
      </c>
      <c r="H819" s="7" t="inlineStr">
        <is>
          <t>NÃO</t>
        </is>
      </c>
      <c r="I819" s="17" t="n">
        <v>0.15</v>
      </c>
      <c r="J819" s="17" t="n">
        <v>0.25</v>
      </c>
      <c r="K819" s="7" t="inlineStr">
        <is>
          <t>L/ha</t>
        </is>
      </c>
      <c r="L819" s="9" t="n">
        <v>1</v>
      </c>
      <c r="M819" s="7" t="inlineStr">
        <is>
          <t>Aplicar conforme monitoramento e estádio recomendado na bula (IRAC Grupo 3A)</t>
        </is>
      </c>
    </row>
    <row r="820" ht="22" customHeight="1">
      <c r="A820" s="12" t="inlineStr">
        <is>
          <t>ALV-0816</t>
        </is>
      </c>
      <c r="B820" s="11" t="n">
        <v>435</v>
      </c>
      <c r="C820" s="13" t="inlineStr">
        <is>
          <t>Nº 31422</t>
        </is>
      </c>
      <c r="D820" s="14" t="inlineStr">
        <is>
          <t>ZARPAL</t>
        </is>
      </c>
      <c r="E820" s="13" t="inlineStr">
        <is>
          <t>Inseticida</t>
        </is>
      </c>
      <c r="F820" s="13" t="inlineStr">
        <is>
          <t>Mosca-branca</t>
        </is>
      </c>
      <c r="G820" s="13" t="inlineStr">
        <is>
          <t>Bemisia tabaci raça B</t>
        </is>
      </c>
      <c r="H820" s="13" t="inlineStr">
        <is>
          <t>SIM (*)</t>
        </is>
      </c>
      <c r="I820" s="18" t="n">
        <v>0.125</v>
      </c>
      <c r="J820" s="18" t="n">
        <v>0.25</v>
      </c>
      <c r="K820" s="13" t="inlineStr">
        <is>
          <t>L/ha</t>
        </is>
      </c>
      <c r="L820" s="15" t="n">
        <v>1</v>
      </c>
      <c r="M820" s="13" t="inlineStr">
        <is>
          <t>Aplicar conforme monitoramento e estádio recomendado na bula (IRAC Grupo 3A)</t>
        </is>
      </c>
    </row>
    <row r="821" ht="22" customHeight="1">
      <c r="A821" s="6" t="inlineStr">
        <is>
          <t>ALV-0817</t>
        </is>
      </c>
      <c r="B821" s="5" t="n">
        <v>435</v>
      </c>
      <c r="C821" s="7" t="inlineStr">
        <is>
          <t>Nº 31422</t>
        </is>
      </c>
      <c r="D821" s="8" t="inlineStr">
        <is>
          <t>ZARPAL</t>
        </is>
      </c>
      <c r="E821" s="7" t="inlineStr">
        <is>
          <t>Inseticida</t>
        </is>
      </c>
      <c r="F821" s="7" t="inlineStr">
        <is>
          <t>Ácaro-rajado</t>
        </is>
      </c>
      <c r="G821" s="7" t="inlineStr">
        <is>
          <t>Tetranychus urticae</t>
        </is>
      </c>
      <c r="H821" s="7" t="inlineStr">
        <is>
          <t>SIM (*)</t>
        </is>
      </c>
      <c r="I821" s="17" t="n">
        <v>0.15</v>
      </c>
      <c r="J821" s="17" t="n">
        <v>0.2</v>
      </c>
      <c r="K821" s="7" t="inlineStr">
        <is>
          <t>L/ha</t>
        </is>
      </c>
      <c r="L821" s="9" t="n">
        <v>1</v>
      </c>
      <c r="M821" s="7" t="inlineStr">
        <is>
          <t>Aplicar conforme monitoramento e estádio recomendado na bula (IRAC Grupo 3A)</t>
        </is>
      </c>
    </row>
    <row r="822" ht="22" customHeight="1">
      <c r="A822" s="12" t="inlineStr">
        <is>
          <t>ALV-0818</t>
        </is>
      </c>
      <c r="B822" s="11" t="n">
        <v>436</v>
      </c>
      <c r="C822" s="13" t="inlineStr">
        <is>
          <t>Nº 39617</t>
        </is>
      </c>
      <c r="D822" s="14" t="inlineStr">
        <is>
          <t>SHYPER 250 EC</t>
        </is>
      </c>
      <c r="E822" s="13" t="inlineStr">
        <is>
          <t>Inseticida</t>
        </is>
      </c>
      <c r="F822" s="13" t="inlineStr">
        <is>
          <t>Complexo de Lagartas, Percevejos e Sugadores</t>
        </is>
      </c>
      <c r="G822" s="13" t="inlineStr">
        <is>
          <t>Spodoptera / Euschistus / Bemisia</t>
        </is>
      </c>
      <c r="H822" s="13" t="inlineStr">
        <is>
          <t>NÃO</t>
        </is>
      </c>
      <c r="I822" s="18" t="n">
        <v>0.15</v>
      </c>
      <c r="J822" s="15" t="n">
        <v>1</v>
      </c>
      <c r="K822" s="13" t="inlineStr">
        <is>
          <t>L ou kg/ha</t>
        </is>
      </c>
      <c r="L822" s="15" t="n">
        <v>1</v>
      </c>
      <c r="M822" s="13" t="inlineStr">
        <is>
          <t>Aplicar conforme monitoramento e estádio recomendado na bula (Classificação IRAC Oficial conforme Bula)</t>
        </is>
      </c>
    </row>
    <row r="823" ht="22" customHeight="1">
      <c r="A823" s="6" t="inlineStr">
        <is>
          <t>ALV-0819</t>
        </is>
      </c>
      <c r="B823" s="5" t="n">
        <v>437</v>
      </c>
      <c r="C823" s="7" t="inlineStr">
        <is>
          <t>Nº 32821</t>
        </is>
      </c>
      <c r="D823" s="8" t="inlineStr">
        <is>
          <t>SIRTAKI 360 CS</t>
        </is>
      </c>
      <c r="E823" s="7" t="inlineStr">
        <is>
          <t>Herbicida</t>
        </is>
      </c>
      <c r="F823" s="7" t="inlineStr">
        <is>
          <t>Capim-colchão</t>
        </is>
      </c>
      <c r="G823" s="7" t="inlineStr">
        <is>
          <t>Digitaria horizontalis</t>
        </is>
      </c>
      <c r="H823" s="7" t="inlineStr">
        <is>
          <t>NÃO</t>
        </is>
      </c>
      <c r="I823" s="17" t="n">
        <v>1.5</v>
      </c>
      <c r="J823" s="17" t="n">
        <v>2.5</v>
      </c>
      <c r="K823" s="7" t="inlineStr">
        <is>
          <t>L/ha</t>
        </is>
      </c>
      <c r="L823" s="9" t="n">
        <v>1</v>
      </c>
      <c r="M823" s="7" t="inlineStr">
        <is>
          <t>Aplicar conforme monitoramento e estádio recomendado na bula (HRAC Grupo F4 (13) — Inibidores da DOXP sintase)</t>
        </is>
      </c>
    </row>
    <row r="824" ht="22" customHeight="1">
      <c r="A824" s="12" t="inlineStr">
        <is>
          <t>ALV-0820</t>
        </is>
      </c>
      <c r="B824" s="11" t="n">
        <v>437</v>
      </c>
      <c r="C824" s="13" t="inlineStr">
        <is>
          <t>Nº 32821</t>
        </is>
      </c>
      <c r="D824" s="14" t="inlineStr">
        <is>
          <t>SIRTAKI 360 CS</t>
        </is>
      </c>
      <c r="E824" s="13" t="inlineStr">
        <is>
          <t>Herbicida</t>
        </is>
      </c>
      <c r="F824" s="13" t="inlineStr">
        <is>
          <t>Capim-marmelada</t>
        </is>
      </c>
      <c r="G824" s="13" t="inlineStr">
        <is>
          <t>Brachiaria plantaginea</t>
        </is>
      </c>
      <c r="H824" s="13" t="inlineStr">
        <is>
          <t>NÃO</t>
        </is>
      </c>
      <c r="I824" s="18" t="n">
        <v>1.5</v>
      </c>
      <c r="J824" s="18" t="n">
        <v>2.5</v>
      </c>
      <c r="K824" s="13" t="inlineStr">
        <is>
          <t>L/ha</t>
        </is>
      </c>
      <c r="L824" s="15" t="n">
        <v>1</v>
      </c>
      <c r="M824" s="13" t="inlineStr">
        <is>
          <t>Aplicar conforme monitoramento e estádio recomendado na bula (HRAC Grupo F4 (13) — Inibidores da DOXP sintase)</t>
        </is>
      </c>
    </row>
    <row r="825" ht="22" customHeight="1">
      <c r="A825" s="6" t="inlineStr">
        <is>
          <t>ALV-0821</t>
        </is>
      </c>
      <c r="B825" s="5" t="n">
        <v>437</v>
      </c>
      <c r="C825" s="7" t="inlineStr">
        <is>
          <t>Nº 32821</t>
        </is>
      </c>
      <c r="D825" s="8" t="inlineStr">
        <is>
          <t>SIRTAKI 360 CS</t>
        </is>
      </c>
      <c r="E825" s="7" t="inlineStr">
        <is>
          <t>Herbicida</t>
        </is>
      </c>
      <c r="F825" s="7" t="inlineStr">
        <is>
          <t>Capim-arroz</t>
        </is>
      </c>
      <c r="G825" s="7" t="inlineStr">
        <is>
          <t>Echinochloa crusgalli</t>
        </is>
      </c>
      <c r="H825" s="7" t="inlineStr">
        <is>
          <t>SIM (*)</t>
        </is>
      </c>
      <c r="I825" s="9" t="n">
        <v>1</v>
      </c>
      <c r="J825" s="9" t="n">
        <v>2</v>
      </c>
      <c r="K825" s="7" t="inlineStr">
        <is>
          <t>L/ha</t>
        </is>
      </c>
      <c r="L825" s="9" t="n">
        <v>1</v>
      </c>
      <c r="M825" s="7" t="inlineStr">
        <is>
          <t>Aplicar conforme monitoramento e estádio recomendado na bula (HRAC Grupo F4 (13) — Inibidores da DOXP sintase)</t>
        </is>
      </c>
    </row>
    <row r="826" ht="22" customHeight="1">
      <c r="A826" s="12" t="inlineStr">
        <is>
          <t>ALV-0822</t>
        </is>
      </c>
      <c r="B826" s="11" t="n">
        <v>438</v>
      </c>
      <c r="C826" s="13" t="inlineStr">
        <is>
          <t>Nº 24218</t>
        </is>
      </c>
      <c r="D826" s="14" t="inlineStr">
        <is>
          <t>2,4-D 806 SL (PRINCIPIO ATIVO)</t>
        </is>
      </c>
      <c r="E826" s="13" t="inlineStr">
        <is>
          <t>Insumo Industrial</t>
        </is>
      </c>
      <c r="F826" s="13" t="inlineStr">
        <is>
          <t>Matéria-prima para Formulação Industrial</t>
        </is>
      </c>
      <c r="G826" s="13" t="inlineStr">
        <is>
          <t>Uso Industrial Credenciado MAPA</t>
        </is>
      </c>
      <c r="H826" s="13" t="inlineStr">
        <is>
          <t>NÃO</t>
        </is>
      </c>
      <c r="I826" s="15" t="n">
        <v>0</v>
      </c>
      <c r="J826" s="15" t="n">
        <v>0</v>
      </c>
      <c r="K826" s="13" t="inlineStr">
        <is>
          <t>L</t>
        </is>
      </c>
      <c r="L826" s="15" t="n">
        <v>1</v>
      </c>
      <c r="M826" s="13" t="inlineStr">
        <is>
          <t>Uso restrito a estabelecimentos formuladores registrados</t>
        </is>
      </c>
    </row>
    <row r="827" ht="22" customHeight="1">
      <c r="A827" s="6" t="inlineStr">
        <is>
          <t>ALV-0823</t>
        </is>
      </c>
      <c r="B827" s="5" t="n">
        <v>439</v>
      </c>
      <c r="C827" s="7" t="inlineStr">
        <is>
          <t>Nº 12225</t>
        </is>
      </c>
      <c r="D827" s="8" t="inlineStr">
        <is>
          <t>IMPACTUS CS (PRINCIPIO ATIVO)</t>
        </is>
      </c>
      <c r="E827" s="7" t="inlineStr">
        <is>
          <t>Insumo Industrial</t>
        </is>
      </c>
      <c r="F827" s="7" t="inlineStr">
        <is>
          <t>Matéria-prima para Formulação Industrial</t>
        </is>
      </c>
      <c r="G827" s="7" t="inlineStr">
        <is>
          <t>Uso Industrial Credenciado MAPA</t>
        </is>
      </c>
      <c r="H827" s="7" t="inlineStr">
        <is>
          <t>NÃO</t>
        </is>
      </c>
      <c r="I827" s="9" t="n">
        <v>0</v>
      </c>
      <c r="J827" s="9" t="n">
        <v>0</v>
      </c>
      <c r="K827" s="7" t="inlineStr">
        <is>
          <t>L</t>
        </is>
      </c>
      <c r="L827" s="9" t="n">
        <v>1</v>
      </c>
      <c r="M827" s="7" t="inlineStr">
        <is>
          <t>Uso restrito a estabelecimentos formuladores registrados</t>
        </is>
      </c>
    </row>
    <row r="828" ht="22" customHeight="1">
      <c r="A828" s="12" t="inlineStr">
        <is>
          <t>ALV-0824</t>
        </is>
      </c>
      <c r="B828" s="11" t="n">
        <v>440</v>
      </c>
      <c r="C828" s="13" t="inlineStr">
        <is>
          <t>Nº 28421</t>
        </is>
      </c>
      <c r="D828" s="14" t="inlineStr">
        <is>
          <t>CLORFENAPIR CCAB</t>
        </is>
      </c>
      <c r="E828" s="13" t="inlineStr">
        <is>
          <t>Insumo Industrial</t>
        </is>
      </c>
      <c r="F828" s="13" t="inlineStr">
        <is>
          <t>Matéria-prima para Formulação Industrial</t>
        </is>
      </c>
      <c r="G828" s="13" t="inlineStr">
        <is>
          <t>Uso Industrial Credenciado MAPA</t>
        </is>
      </c>
      <c r="H828" s="13" t="inlineStr">
        <is>
          <t>NÃO</t>
        </is>
      </c>
      <c r="I828" s="15" t="n">
        <v>0</v>
      </c>
      <c r="J828" s="15" t="n">
        <v>0</v>
      </c>
      <c r="K828" s="13" t="inlineStr">
        <is>
          <t>L</t>
        </is>
      </c>
      <c r="L828" s="15" t="n">
        <v>1</v>
      </c>
      <c r="M828" s="13" t="inlineStr">
        <is>
          <t>Uso restrito a estabelecimentos formuladores registrados</t>
        </is>
      </c>
    </row>
    <row r="829" ht="22" customHeight="1">
      <c r="A829" s="6" t="inlineStr">
        <is>
          <t>ALV-0825</t>
        </is>
      </c>
      <c r="B829" s="5" t="n">
        <v>441</v>
      </c>
      <c r="C829" s="7" t="inlineStr">
        <is>
          <t>Nº 26017</t>
        </is>
      </c>
      <c r="D829" s="8" t="inlineStr">
        <is>
          <t>MESOTRIONA PROVENTIS (PRINCIPIO ATIVO)</t>
        </is>
      </c>
      <c r="E829" s="7" t="inlineStr">
        <is>
          <t>Insumo Industrial</t>
        </is>
      </c>
      <c r="F829" s="7" t="inlineStr">
        <is>
          <t>Matéria-prima para Formulação Industrial</t>
        </is>
      </c>
      <c r="G829" s="7" t="inlineStr">
        <is>
          <t>Uso Industrial Credenciado MAPA</t>
        </is>
      </c>
      <c r="H829" s="7" t="inlineStr">
        <is>
          <t>NÃO</t>
        </is>
      </c>
      <c r="I829" s="9" t="n">
        <v>0</v>
      </c>
      <c r="J829" s="9" t="n">
        <v>0</v>
      </c>
      <c r="K829" s="7" t="inlineStr">
        <is>
          <t>L</t>
        </is>
      </c>
      <c r="L829" s="9" t="n">
        <v>1</v>
      </c>
      <c r="M829" s="7" t="inlineStr">
        <is>
          <t>Uso restrito a estabelecimentos formuladores registrados</t>
        </is>
      </c>
    </row>
    <row r="830" ht="22" customHeight="1">
      <c r="A830" s="12" t="inlineStr">
        <is>
          <t>ALV-0826</t>
        </is>
      </c>
      <c r="B830" s="11" t="n">
        <v>442</v>
      </c>
      <c r="C830" s="13" t="inlineStr">
        <is>
          <t>Nº 1218</t>
        </is>
      </c>
      <c r="D830" s="14" t="inlineStr">
        <is>
          <t>ACETAMIPRID 200 (PRINCIPIO ATVO)</t>
        </is>
      </c>
      <c r="E830" s="13" t="inlineStr">
        <is>
          <t>Insumo Industrial</t>
        </is>
      </c>
      <c r="F830" s="13" t="inlineStr">
        <is>
          <t>Matéria-prima para Formulação Industrial</t>
        </is>
      </c>
      <c r="G830" s="13" t="inlineStr">
        <is>
          <t>Uso Industrial Credenciado MAPA</t>
        </is>
      </c>
      <c r="H830" s="13" t="inlineStr">
        <is>
          <t>NÃO</t>
        </is>
      </c>
      <c r="I830" s="15" t="n">
        <v>0</v>
      </c>
      <c r="J830" s="15" t="n">
        <v>0</v>
      </c>
      <c r="K830" s="13" t="inlineStr">
        <is>
          <t>KG</t>
        </is>
      </c>
      <c r="L830" s="15" t="n">
        <v>1</v>
      </c>
      <c r="M830" s="13" t="inlineStr">
        <is>
          <t>Uso restrito a estabelecimentos formuladores registrados</t>
        </is>
      </c>
    </row>
    <row r="831" ht="22" customHeight="1">
      <c r="A831" s="6" t="inlineStr">
        <is>
          <t>ALV-0827</t>
        </is>
      </c>
      <c r="B831" s="5" t="n">
        <v>443</v>
      </c>
      <c r="C831" s="7" t="inlineStr">
        <is>
          <t>Nº 39617</t>
        </is>
      </c>
      <c r="D831" s="8" t="inlineStr">
        <is>
          <t>SHYPER 250 EC</t>
        </is>
      </c>
      <c r="E831" s="7" t="inlineStr">
        <is>
          <t>Inseticida</t>
        </is>
      </c>
      <c r="F831" s="7" t="inlineStr">
        <is>
          <t>Complexo de Lagartas, Percevejos e Sugadores</t>
        </is>
      </c>
      <c r="G831" s="7" t="inlineStr">
        <is>
          <t>Spodoptera / Euschistus / Bemisia</t>
        </is>
      </c>
      <c r="H831" s="7" t="inlineStr">
        <is>
          <t>NÃO</t>
        </is>
      </c>
      <c r="I831" s="17" t="n">
        <v>0.15</v>
      </c>
      <c r="J831" s="9" t="n">
        <v>1</v>
      </c>
      <c r="K831" s="7" t="inlineStr">
        <is>
          <t>L ou kg/ha</t>
        </is>
      </c>
      <c r="L831" s="9" t="n">
        <v>1</v>
      </c>
      <c r="M831" s="7" t="inlineStr">
        <is>
          <t>Aplicar conforme monitoramento e estádio recomendado na bula (Classificação IRAC Oficial conforme Bula)</t>
        </is>
      </c>
    </row>
    <row r="832" ht="22" customHeight="1">
      <c r="A832" s="12" t="inlineStr">
        <is>
          <t>ALV-0828</t>
        </is>
      </c>
      <c r="B832" s="11" t="n">
        <v>444</v>
      </c>
      <c r="C832" s="13" t="inlineStr">
        <is>
          <t>Nº 1223</t>
        </is>
      </c>
      <c r="D832" s="14" t="inlineStr">
        <is>
          <t>FULLGUARD</t>
        </is>
      </c>
      <c r="E832" s="13" t="inlineStr">
        <is>
          <t>Herbicida</t>
        </is>
      </c>
      <c r="F832" s="13" t="inlineStr">
        <is>
          <t>Corda-de-viola</t>
        </is>
      </c>
      <c r="G832" s="13" t="inlineStr">
        <is>
          <t>Ipomoea grandifolia</t>
        </is>
      </c>
      <c r="H832" s="13" t="inlineStr">
        <is>
          <t>NÃO</t>
        </is>
      </c>
      <c r="I832" s="18" t="n">
        <v>0.05</v>
      </c>
      <c r="J832" s="18" t="n">
        <v>0.125</v>
      </c>
      <c r="K832" s="13" t="inlineStr">
        <is>
          <t>L/ha</t>
        </is>
      </c>
      <c r="L832" s="15" t="n">
        <v>1</v>
      </c>
      <c r="M832" s="13" t="inlineStr">
        <is>
          <t>Aplicar conforme monitoramento e estádio recomendado na bula (HRAC Grupo E (14) — Inibidores da PROTOX)</t>
        </is>
      </c>
    </row>
    <row r="833" ht="22" customHeight="1">
      <c r="A833" s="6" t="inlineStr">
        <is>
          <t>ALV-0829</t>
        </is>
      </c>
      <c r="B833" s="5" t="n">
        <v>444</v>
      </c>
      <c r="C833" s="7" t="inlineStr">
        <is>
          <t>Nº 1223</t>
        </is>
      </c>
      <c r="D833" s="8" t="inlineStr">
        <is>
          <t>FULLGUARD</t>
        </is>
      </c>
      <c r="E833" s="7" t="inlineStr">
        <is>
          <t>Herbicida</t>
        </is>
      </c>
      <c r="F833" s="7" t="inlineStr">
        <is>
          <t>Trapoeraba</t>
        </is>
      </c>
      <c r="G833" s="7" t="inlineStr">
        <is>
          <t>Commelina benghalensis</t>
        </is>
      </c>
      <c r="H833" s="7" t="inlineStr">
        <is>
          <t>NÃO</t>
        </is>
      </c>
      <c r="I833" s="17" t="n">
        <v>0.05</v>
      </c>
      <c r="J833" s="17" t="n">
        <v>0.125</v>
      </c>
      <c r="K833" s="7" t="inlineStr">
        <is>
          <t>L/ha</t>
        </is>
      </c>
      <c r="L833" s="9" t="n">
        <v>1</v>
      </c>
      <c r="M833" s="7" t="inlineStr">
        <is>
          <t>Aplicar conforme monitoramento e estádio recomendado na bula (HRAC Grupo E (14) — Inibidores da PROTOX)</t>
        </is>
      </c>
    </row>
    <row r="834" ht="22" customHeight="1">
      <c r="A834" s="12" t="inlineStr">
        <is>
          <t>ALV-0830</t>
        </is>
      </c>
      <c r="B834" s="11" t="n">
        <v>445</v>
      </c>
      <c r="C834" s="13" t="inlineStr">
        <is>
          <t>Nº 1223</t>
        </is>
      </c>
      <c r="D834" s="14" t="inlineStr">
        <is>
          <t>FULLGUARD</t>
        </is>
      </c>
      <c r="E834" s="13" t="inlineStr">
        <is>
          <t>Herbicida</t>
        </is>
      </c>
      <c r="F834" s="13" t="inlineStr">
        <is>
          <t>Corda-de-viola</t>
        </is>
      </c>
      <c r="G834" s="13" t="inlineStr">
        <is>
          <t>Ipomoea grandifolia</t>
        </is>
      </c>
      <c r="H834" s="13" t="inlineStr">
        <is>
          <t>NÃO</t>
        </is>
      </c>
      <c r="I834" s="18" t="n">
        <v>0.05</v>
      </c>
      <c r="J834" s="18" t="n">
        <v>0.125</v>
      </c>
      <c r="K834" s="13" t="inlineStr">
        <is>
          <t>L/ha</t>
        </is>
      </c>
      <c r="L834" s="15" t="n">
        <v>1</v>
      </c>
      <c r="M834" s="13" t="inlineStr">
        <is>
          <t>Aplicar conforme monitoramento e estádio recomendado na bula (HRAC Grupo E (14) — Inibidores da PROTOX)</t>
        </is>
      </c>
    </row>
    <row r="835" ht="22" customHeight="1">
      <c r="A835" s="6" t="inlineStr">
        <is>
          <t>ALV-0831</t>
        </is>
      </c>
      <c r="B835" s="5" t="n">
        <v>445</v>
      </c>
      <c r="C835" s="7" t="inlineStr">
        <is>
          <t>Nº 1223</t>
        </is>
      </c>
      <c r="D835" s="8" t="inlineStr">
        <is>
          <t>FULLGUARD</t>
        </is>
      </c>
      <c r="E835" s="7" t="inlineStr">
        <is>
          <t>Herbicida</t>
        </is>
      </c>
      <c r="F835" s="7" t="inlineStr">
        <is>
          <t>Trapoeraba</t>
        </is>
      </c>
      <c r="G835" s="7" t="inlineStr">
        <is>
          <t>Commelina benghalensis</t>
        </is>
      </c>
      <c r="H835" s="7" t="inlineStr">
        <is>
          <t>NÃO</t>
        </is>
      </c>
      <c r="I835" s="17" t="n">
        <v>0.05</v>
      </c>
      <c r="J835" s="17" t="n">
        <v>0.125</v>
      </c>
      <c r="K835" s="7" t="inlineStr">
        <is>
          <t>L/ha</t>
        </is>
      </c>
      <c r="L835" s="9" t="n">
        <v>1</v>
      </c>
      <c r="M835" s="7" t="inlineStr">
        <is>
          <t>Aplicar conforme monitoramento e estádio recomendado na bula (HRAC Grupo E (14) — Inibidores da PROTOX)</t>
        </is>
      </c>
    </row>
    <row r="836" ht="22" customHeight="1">
      <c r="A836" s="12" t="inlineStr">
        <is>
          <t>ALV-0832</t>
        </is>
      </c>
      <c r="B836" s="11" t="n">
        <v>446</v>
      </c>
      <c r="C836" s="13" t="inlineStr">
        <is>
          <t>Nº 5217</t>
        </is>
      </c>
      <c r="D836" s="14" t="inlineStr">
        <is>
          <t>HERBIZINA PLUS</t>
        </is>
      </c>
      <c r="E836" s="13" t="inlineStr">
        <is>
          <t>Herbicida</t>
        </is>
      </c>
      <c r="F836" s="13" t="inlineStr">
        <is>
          <t>Picão-preto</t>
        </is>
      </c>
      <c r="G836" s="13" t="inlineStr">
        <is>
          <t>Bidens pilosa</t>
        </is>
      </c>
      <c r="H836" s="13" t="inlineStr">
        <is>
          <t>SIM (*)</t>
        </is>
      </c>
      <c r="I836" s="18" t="n">
        <v>2.5</v>
      </c>
      <c r="J836" s="15" t="n">
        <v>4</v>
      </c>
      <c r="K836" s="13" t="inlineStr">
        <is>
          <t>L ou kg/ha</t>
        </is>
      </c>
      <c r="L836" s="15" t="n">
        <v>1</v>
      </c>
      <c r="M836" s="13" t="inlineStr">
        <is>
          <t>Aplicar conforme monitoramento e estádio recomendado na bula (HRAC Grupo C1 (5) — Inibidores do Fotossistema II)</t>
        </is>
      </c>
    </row>
    <row r="837" ht="22" customHeight="1">
      <c r="A837" s="6" t="inlineStr">
        <is>
          <t>ALV-0833</t>
        </is>
      </c>
      <c r="B837" s="5" t="n">
        <v>446</v>
      </c>
      <c r="C837" s="7" t="inlineStr">
        <is>
          <t>Nº 5217</t>
        </is>
      </c>
      <c r="D837" s="8" t="inlineStr">
        <is>
          <t>HERBIZINA PLUS</t>
        </is>
      </c>
      <c r="E837" s="7" t="inlineStr">
        <is>
          <t>Herbicida</t>
        </is>
      </c>
      <c r="F837" s="7" t="inlineStr">
        <is>
          <t>Caruru</t>
        </is>
      </c>
      <c r="G837" s="7" t="inlineStr">
        <is>
          <t>Amaranthus viridis</t>
        </is>
      </c>
      <c r="H837" s="7" t="inlineStr">
        <is>
          <t>SIM (*)</t>
        </is>
      </c>
      <c r="I837" s="17" t="n">
        <v>2.5</v>
      </c>
      <c r="J837" s="17" t="n">
        <v>3.5</v>
      </c>
      <c r="K837" s="7" t="inlineStr">
        <is>
          <t>L ou kg/ha</t>
        </is>
      </c>
      <c r="L837" s="9" t="n">
        <v>1</v>
      </c>
      <c r="M837" s="7" t="inlineStr">
        <is>
          <t>Aplicar conforme monitoramento e estádio recomendado na bula (HRAC Grupo C1 (5) — Inibidores do Fotossistema II)</t>
        </is>
      </c>
    </row>
    <row r="838" ht="22" customHeight="1">
      <c r="A838" s="12" t="inlineStr">
        <is>
          <t>ALV-0834</t>
        </is>
      </c>
      <c r="B838" s="11" t="n">
        <v>446</v>
      </c>
      <c r="C838" s="13" t="inlineStr">
        <is>
          <t>Nº 5217</t>
        </is>
      </c>
      <c r="D838" s="14" t="inlineStr">
        <is>
          <t>HERBIZINA PLUS</t>
        </is>
      </c>
      <c r="E838" s="13" t="inlineStr">
        <is>
          <t>Herbicida</t>
        </is>
      </c>
      <c r="F838" s="13" t="inlineStr">
        <is>
          <t>Corda-de-viola</t>
        </is>
      </c>
      <c r="G838" s="13" t="inlineStr">
        <is>
          <t>Ipomoea grandifolia</t>
        </is>
      </c>
      <c r="H838" s="13" t="inlineStr">
        <is>
          <t>NÃO</t>
        </is>
      </c>
      <c r="I838" s="15" t="n">
        <v>3</v>
      </c>
      <c r="J838" s="15" t="n">
        <v>4</v>
      </c>
      <c r="K838" s="13" t="inlineStr">
        <is>
          <t>L ou kg/ha</t>
        </is>
      </c>
      <c r="L838" s="15" t="n">
        <v>1</v>
      </c>
      <c r="M838" s="13" t="inlineStr">
        <is>
          <t>Aplicar conforme monitoramento e estádio recomendado na bula (HRAC Grupo C1 (5) — Inibidores do Fotossistema II)</t>
        </is>
      </c>
    </row>
    <row r="839" ht="22" customHeight="1">
      <c r="A839" s="6" t="inlineStr">
        <is>
          <t>ALV-0835</t>
        </is>
      </c>
      <c r="B839" s="5" t="n">
        <v>447</v>
      </c>
      <c r="C839" s="7" t="inlineStr">
        <is>
          <t>Nº 22225</t>
        </is>
      </c>
      <c r="D839" s="8" t="inlineStr">
        <is>
          <t>KILLIGAN</t>
        </is>
      </c>
      <c r="E839" s="7" t="inlineStr">
        <is>
          <t>Inseticida e Acaricida</t>
        </is>
      </c>
      <c r="F839" s="7" t="inlineStr">
        <is>
          <t>Ácaro-rajado</t>
        </is>
      </c>
      <c r="G839" s="7" t="inlineStr">
        <is>
          <t>Tetranychus urticae</t>
        </is>
      </c>
      <c r="H839" s="7" t="inlineStr">
        <is>
          <t>NÃO</t>
        </is>
      </c>
      <c r="I839" s="17" t="n">
        <v>0.5</v>
      </c>
      <c r="J839" s="17" t="n">
        <v>1.5</v>
      </c>
      <c r="K839" s="7" t="inlineStr">
        <is>
          <t>L/ha</t>
        </is>
      </c>
      <c r="L839" s="9" t="n">
        <v>1</v>
      </c>
      <c r="M839" s="7" t="inlineStr">
        <is>
          <t>Aplicar conforme monitoramento e estádio recomendado na bula (IRAC Grupo 13)</t>
        </is>
      </c>
    </row>
    <row r="840" ht="22" customHeight="1">
      <c r="A840" s="12" t="inlineStr">
        <is>
          <t>ALV-0836</t>
        </is>
      </c>
      <c r="B840" s="11" t="n">
        <v>447</v>
      </c>
      <c r="C840" s="13" t="inlineStr">
        <is>
          <t>Nº 22225</t>
        </is>
      </c>
      <c r="D840" s="14" t="inlineStr">
        <is>
          <t>KILLIGAN</t>
        </is>
      </c>
      <c r="E840" s="13" t="inlineStr">
        <is>
          <t>Inseticida e Acaricida</t>
        </is>
      </c>
      <c r="F840" s="13" t="inlineStr">
        <is>
          <t>Lagarta-helicoverpa</t>
        </is>
      </c>
      <c r="G840" s="13" t="inlineStr">
        <is>
          <t>Helicoverpa armigera</t>
        </is>
      </c>
      <c r="H840" s="13" t="inlineStr">
        <is>
          <t>NÃO</t>
        </is>
      </c>
      <c r="I840" s="18" t="n">
        <v>0.8</v>
      </c>
      <c r="J840" s="18" t="n">
        <v>1.25</v>
      </c>
      <c r="K840" s="13" t="inlineStr">
        <is>
          <t>L/ha</t>
        </is>
      </c>
      <c r="L840" s="15" t="n">
        <v>1</v>
      </c>
      <c r="M840" s="13" t="inlineStr">
        <is>
          <t>Aplicar conforme monitoramento e estádio recomendado na bula (IRAC Grupo 13)</t>
        </is>
      </c>
    </row>
    <row r="841" ht="22" customHeight="1">
      <c r="A841" s="6" t="inlineStr">
        <is>
          <t>ALV-0837</t>
        </is>
      </c>
      <c r="B841" s="5" t="n">
        <v>447</v>
      </c>
      <c r="C841" s="7" t="inlineStr">
        <is>
          <t>Nº 22225</t>
        </is>
      </c>
      <c r="D841" s="8" t="inlineStr">
        <is>
          <t>KILLIGAN</t>
        </is>
      </c>
      <c r="E841" s="7" t="inlineStr">
        <is>
          <t>Inseticida e Acaricida</t>
        </is>
      </c>
      <c r="F841" s="7" t="inlineStr">
        <is>
          <t>Lagarta-do-cartucho</t>
        </is>
      </c>
      <c r="G841" s="7" t="inlineStr">
        <is>
          <t>Spodoptera frugiperda</t>
        </is>
      </c>
      <c r="H841" s="7" t="inlineStr">
        <is>
          <t>NÃO</t>
        </is>
      </c>
      <c r="I841" s="17" t="n">
        <v>0.75</v>
      </c>
      <c r="J841" s="17" t="n">
        <v>1.25</v>
      </c>
      <c r="K841" s="7" t="inlineStr">
        <is>
          <t>L/ha</t>
        </is>
      </c>
      <c r="L841" s="9" t="n">
        <v>1</v>
      </c>
      <c r="M841" s="7" t="inlineStr">
        <is>
          <t>Aplicar conforme monitoramento e estádio recomendado na bula (IRAC Grupo 13)</t>
        </is>
      </c>
    </row>
    <row r="842" ht="22" customHeight="1">
      <c r="A842" s="12" t="inlineStr">
        <is>
          <t>ALV-0838</t>
        </is>
      </c>
      <c r="B842" s="11" t="n">
        <v>448</v>
      </c>
      <c r="C842" s="13" t="inlineStr">
        <is>
          <t>Nº 26924</t>
        </is>
      </c>
      <c r="D842" s="14" t="inlineStr">
        <is>
          <t>CHLOROCIL</t>
        </is>
      </c>
      <c r="E842" s="13" t="inlineStr">
        <is>
          <t>Inseticida</t>
        </is>
      </c>
      <c r="F842" s="13" t="inlineStr">
        <is>
          <t>Lagarta-do-cartucho</t>
        </is>
      </c>
      <c r="G842" s="13" t="inlineStr">
        <is>
          <t>Spodoptera frugiperda</t>
        </is>
      </c>
      <c r="H842" s="13" t="inlineStr">
        <is>
          <t>SIM (*)</t>
        </is>
      </c>
      <c r="I842" s="18" t="n">
        <v>0.4</v>
      </c>
      <c r="J842" s="18" t="n">
        <v>0.6</v>
      </c>
      <c r="K842" s="13" t="inlineStr">
        <is>
          <t>L/ha</t>
        </is>
      </c>
      <c r="L842" s="15" t="n">
        <v>1</v>
      </c>
      <c r="M842" s="13" t="inlineStr">
        <is>
          <t>Aplicar conforme monitoramento e estádio recomendado na bula (IRAC Grupo 1B)</t>
        </is>
      </c>
    </row>
    <row r="843" ht="22" customHeight="1">
      <c r="A843" s="6" t="inlineStr">
        <is>
          <t>ALV-0839</t>
        </is>
      </c>
      <c r="B843" s="5" t="n">
        <v>448</v>
      </c>
      <c r="C843" s="7" t="inlineStr">
        <is>
          <t>Nº 26924</t>
        </is>
      </c>
      <c r="D843" s="8" t="inlineStr">
        <is>
          <t>CHLOROCIL</t>
        </is>
      </c>
      <c r="E843" s="7" t="inlineStr">
        <is>
          <t>Inseticida</t>
        </is>
      </c>
      <c r="F843" s="7" t="inlineStr">
        <is>
          <t>Lagarta-da-soja</t>
        </is>
      </c>
      <c r="G843" s="7" t="inlineStr">
        <is>
          <t>Anticarsia gemmatalis</t>
        </is>
      </c>
      <c r="H843" s="7" t="inlineStr">
        <is>
          <t>NÃO</t>
        </is>
      </c>
      <c r="I843" s="17" t="n">
        <v>0.4</v>
      </c>
      <c r="J843" s="9" t="n">
        <v>1</v>
      </c>
      <c r="K843" s="7" t="inlineStr">
        <is>
          <t>L/ha</t>
        </is>
      </c>
      <c r="L843" s="9" t="n">
        <v>1</v>
      </c>
      <c r="M843" s="7" t="inlineStr">
        <is>
          <t>Aplicar conforme monitoramento e estádio recomendado na bula (IRAC Grupo 1B)</t>
        </is>
      </c>
    </row>
    <row r="844" ht="22" customHeight="1">
      <c r="A844" s="12" t="inlineStr">
        <is>
          <t>ALV-0840</t>
        </is>
      </c>
      <c r="B844" s="11" t="n">
        <v>448</v>
      </c>
      <c r="C844" s="13" t="inlineStr">
        <is>
          <t>Nº 26924</t>
        </is>
      </c>
      <c r="D844" s="14" t="inlineStr">
        <is>
          <t>CHLOROCIL</t>
        </is>
      </c>
      <c r="E844" s="13" t="inlineStr">
        <is>
          <t>Inseticida</t>
        </is>
      </c>
      <c r="F844" s="13" t="inlineStr">
        <is>
          <t>Broca-do-café</t>
        </is>
      </c>
      <c r="G844" s="13" t="inlineStr">
        <is>
          <t>Hypothenemus hampei</t>
        </is>
      </c>
      <c r="H844" s="13" t="inlineStr">
        <is>
          <t>NÃO</t>
        </is>
      </c>
      <c r="I844" s="15" t="n">
        <v>1</v>
      </c>
      <c r="J844" s="18" t="n">
        <v>1.5</v>
      </c>
      <c r="K844" s="13" t="inlineStr">
        <is>
          <t>L/ha</t>
        </is>
      </c>
      <c r="L844" s="15" t="n">
        <v>1</v>
      </c>
      <c r="M844" s="13" t="inlineStr">
        <is>
          <t>Aplicar conforme monitoramento e estádio recomendado na bula (IRAC Grupo 1B)</t>
        </is>
      </c>
    </row>
    <row r="845" ht="22" customHeight="1">
      <c r="A845" s="6" t="inlineStr">
        <is>
          <t>ALV-0841</t>
        </is>
      </c>
      <c r="B845" s="5" t="n">
        <v>449</v>
      </c>
      <c r="C845" s="7" t="inlineStr">
        <is>
          <t>SIPEAGRO (UF-XXXXX)</t>
        </is>
      </c>
      <c r="D845" s="8" t="inlineStr">
        <is>
          <t>MAP 1261 FARELADO</t>
        </is>
      </c>
      <c r="E845" s="7" t="inlineStr">
        <is>
          <t>Fertilizante Complexo (MAP — Fosfato Monoamônico)</t>
        </is>
      </c>
      <c r="F845" s="7" t="inlineStr">
        <is>
          <t>Nutrição e Correção de Deficiência Mineral</t>
        </is>
      </c>
      <c r="G845" s="7" t="inlineStr">
        <is>
          <t>Nutrição Vegetal</t>
        </is>
      </c>
      <c r="H845" s="7" t="inlineStr">
        <is>
          <t>NÃO</t>
        </is>
      </c>
      <c r="I845" s="9" t="n">
        <v>1</v>
      </c>
      <c r="J845" s="9" t="n">
        <v>250</v>
      </c>
      <c r="K845" s="7" t="inlineStr">
        <is>
          <t>kg ou L/ha</t>
        </is>
      </c>
      <c r="L845" s="9" t="n">
        <v>1</v>
      </c>
      <c r="M845" s="7" t="inlineStr">
        <is>
          <t>Aplicar conforme monitoramento e estádio recomendado na bula (Nutrição Vegetal SIPEAGRO)</t>
        </is>
      </c>
    </row>
    <row r="846" ht="22" customHeight="1">
      <c r="A846" s="12" t="inlineStr">
        <is>
          <t>ALV-0842</t>
        </is>
      </c>
      <c r="B846" s="11" t="n">
        <v>450</v>
      </c>
      <c r="C846" s="13" t="inlineStr">
        <is>
          <t>Nº 40624</t>
        </is>
      </c>
      <c r="D846" s="14" t="inlineStr">
        <is>
          <t>CHLORPYRIFOS 480 EC AGCN</t>
        </is>
      </c>
      <c r="E846" s="13" t="inlineStr">
        <is>
          <t>Inseticida</t>
        </is>
      </c>
      <c r="F846" s="13" t="inlineStr">
        <is>
          <t>Lagarta-do-cartucho</t>
        </is>
      </c>
      <c r="G846" s="13" t="inlineStr">
        <is>
          <t>Spodoptera frugiperda</t>
        </is>
      </c>
      <c r="H846" s="13" t="inlineStr">
        <is>
          <t>SIM (*)</t>
        </is>
      </c>
      <c r="I846" s="18" t="n">
        <v>0.4</v>
      </c>
      <c r="J846" s="18" t="n">
        <v>0.6</v>
      </c>
      <c r="K846" s="13" t="inlineStr">
        <is>
          <t>L/ha</t>
        </is>
      </c>
      <c r="L846" s="15" t="n">
        <v>1</v>
      </c>
      <c r="M846" s="13" t="inlineStr">
        <is>
          <t>Aplicar conforme monitoramento e estádio recomendado na bula (IRAC Grupo 1B)</t>
        </is>
      </c>
    </row>
    <row r="847" ht="22" customHeight="1">
      <c r="A847" s="6" t="inlineStr">
        <is>
          <t>ALV-0843</t>
        </is>
      </c>
      <c r="B847" s="5" t="n">
        <v>450</v>
      </c>
      <c r="C847" s="7" t="inlineStr">
        <is>
          <t>Nº 40624</t>
        </is>
      </c>
      <c r="D847" s="8" t="inlineStr">
        <is>
          <t>CHLORPYRIFOS 480 EC AGCN</t>
        </is>
      </c>
      <c r="E847" s="7" t="inlineStr">
        <is>
          <t>Inseticida</t>
        </is>
      </c>
      <c r="F847" s="7" t="inlineStr">
        <is>
          <t>Lagarta-da-soja</t>
        </is>
      </c>
      <c r="G847" s="7" t="inlineStr">
        <is>
          <t>Anticarsia gemmatalis</t>
        </is>
      </c>
      <c r="H847" s="7" t="inlineStr">
        <is>
          <t>NÃO</t>
        </is>
      </c>
      <c r="I847" s="17" t="n">
        <v>0.4</v>
      </c>
      <c r="J847" s="9" t="n">
        <v>1</v>
      </c>
      <c r="K847" s="7" t="inlineStr">
        <is>
          <t>L/ha</t>
        </is>
      </c>
      <c r="L847" s="9" t="n">
        <v>1</v>
      </c>
      <c r="M847" s="7" t="inlineStr">
        <is>
          <t>Aplicar conforme monitoramento e estádio recomendado na bula (IRAC Grupo 1B)</t>
        </is>
      </c>
    </row>
    <row r="848" ht="22" customHeight="1">
      <c r="A848" s="12" t="inlineStr">
        <is>
          <t>ALV-0844</t>
        </is>
      </c>
      <c r="B848" s="11" t="n">
        <v>450</v>
      </c>
      <c r="C848" s="13" t="inlineStr">
        <is>
          <t>Nº 40624</t>
        </is>
      </c>
      <c r="D848" s="14" t="inlineStr">
        <is>
          <t>CHLORPYRIFOS 480 EC AGCN</t>
        </is>
      </c>
      <c r="E848" s="13" t="inlineStr">
        <is>
          <t>Inseticida</t>
        </is>
      </c>
      <c r="F848" s="13" t="inlineStr">
        <is>
          <t>Broca-do-café</t>
        </is>
      </c>
      <c r="G848" s="13" t="inlineStr">
        <is>
          <t>Hypothenemus hampei</t>
        </is>
      </c>
      <c r="H848" s="13" t="inlineStr">
        <is>
          <t>NÃO</t>
        </is>
      </c>
      <c r="I848" s="15" t="n">
        <v>1</v>
      </c>
      <c r="J848" s="18" t="n">
        <v>1.5</v>
      </c>
      <c r="K848" s="13" t="inlineStr">
        <is>
          <t>L/ha</t>
        </is>
      </c>
      <c r="L848" s="15" t="n">
        <v>1</v>
      </c>
      <c r="M848" s="13" t="inlineStr">
        <is>
          <t>Aplicar conforme monitoramento e estádio recomendado na bula (IRAC Grupo 1B)</t>
        </is>
      </c>
    </row>
    <row r="849" ht="22" customHeight="1">
      <c r="A849" s="6" t="inlineStr">
        <is>
          <t>ALV-0845</t>
        </is>
      </c>
      <c r="B849" s="5" t="n">
        <v>451</v>
      </c>
      <c r="C849" s="7" t="inlineStr">
        <is>
          <t>Nº 6223</t>
        </is>
      </c>
      <c r="D849" s="8" t="inlineStr">
        <is>
          <t>RIDOWN FULL</t>
        </is>
      </c>
      <c r="E849" s="7" t="inlineStr">
        <is>
          <t>Herbicida</t>
        </is>
      </c>
      <c r="F849" s="7" t="inlineStr">
        <is>
          <t>Capim-amargoso</t>
        </is>
      </c>
      <c r="G849" s="7" t="inlineStr">
        <is>
          <t>Digitaria insularis</t>
        </is>
      </c>
      <c r="H849" s="7" t="inlineStr">
        <is>
          <t>SIM (*)</t>
        </is>
      </c>
      <c r="I849" s="17" t="n">
        <v>1.5</v>
      </c>
      <c r="J849" s="17" t="n">
        <v>2.5</v>
      </c>
      <c r="K849" s="7" t="inlineStr">
        <is>
          <t>kg ou L/ha</t>
        </is>
      </c>
      <c r="L849" s="9" t="n">
        <v>1</v>
      </c>
      <c r="M849" s="7" t="inlineStr">
        <is>
          <t>Aplicar conforme monitoramento e estádio recomendado na bula (HRAC Grupo G (EPSPs))</t>
        </is>
      </c>
    </row>
    <row r="850" ht="22" customHeight="1">
      <c r="A850" s="12" t="inlineStr">
        <is>
          <t>ALV-0846</t>
        </is>
      </c>
      <c r="B850" s="11" t="n">
        <v>451</v>
      </c>
      <c r="C850" s="13" t="inlineStr">
        <is>
          <t>Nº 6223</t>
        </is>
      </c>
      <c r="D850" s="14" t="inlineStr">
        <is>
          <t>RIDOWN FULL</t>
        </is>
      </c>
      <c r="E850" s="13" t="inlineStr">
        <is>
          <t>Herbicida</t>
        </is>
      </c>
      <c r="F850" s="13" t="inlineStr">
        <is>
          <t>Buva</t>
        </is>
      </c>
      <c r="G850" s="13" t="inlineStr">
        <is>
          <t>Conyza bonariensis</t>
        </is>
      </c>
      <c r="H850" s="13" t="inlineStr">
        <is>
          <t>SIM (*)</t>
        </is>
      </c>
      <c r="I850" s="15" t="n">
        <v>1</v>
      </c>
      <c r="J850" s="15" t="n">
        <v>2</v>
      </c>
      <c r="K850" s="13" t="inlineStr">
        <is>
          <t>kg ou L/ha</t>
        </is>
      </c>
      <c r="L850" s="15" t="n">
        <v>1</v>
      </c>
      <c r="M850" s="13" t="inlineStr">
        <is>
          <t>Aplicar conforme monitoramento e estádio recomendado na bula (HRAC Grupo G (EPSPs))</t>
        </is>
      </c>
    </row>
    <row r="851" ht="22" customHeight="1">
      <c r="A851" s="6" t="inlineStr">
        <is>
          <t>ALV-0847</t>
        </is>
      </c>
      <c r="B851" s="5" t="n">
        <v>451</v>
      </c>
      <c r="C851" s="7" t="inlineStr">
        <is>
          <t>Nº 6223</t>
        </is>
      </c>
      <c r="D851" s="8" t="inlineStr">
        <is>
          <t>RIDOWN FULL</t>
        </is>
      </c>
      <c r="E851" s="7" t="inlineStr">
        <is>
          <t>Herbicida</t>
        </is>
      </c>
      <c r="F851" s="7" t="inlineStr">
        <is>
          <t>Capim-pé-de-galinha</t>
        </is>
      </c>
      <c r="G851" s="7" t="inlineStr">
        <is>
          <t>Eleusine indica</t>
        </is>
      </c>
      <c r="H851" s="7" t="inlineStr">
        <is>
          <t>SIM (*)</t>
        </is>
      </c>
      <c r="I851" s="9" t="n">
        <v>1</v>
      </c>
      <c r="J851" s="17" t="n">
        <v>1.5</v>
      </c>
      <c r="K851" s="7" t="inlineStr">
        <is>
          <t>kg ou L/ha</t>
        </is>
      </c>
      <c r="L851" s="9" t="n">
        <v>1</v>
      </c>
      <c r="M851" s="7" t="inlineStr">
        <is>
          <t>Aplicar conforme monitoramento e estádio recomendado na bula (HRAC Grupo G (EPSPs))</t>
        </is>
      </c>
    </row>
    <row r="852" ht="22" customHeight="1">
      <c r="A852" s="12" t="inlineStr">
        <is>
          <t>ALV-0848</t>
        </is>
      </c>
      <c r="B852" s="11" t="n">
        <v>451</v>
      </c>
      <c r="C852" s="13" t="inlineStr">
        <is>
          <t>Nº 6223</t>
        </is>
      </c>
      <c r="D852" s="14" t="inlineStr">
        <is>
          <t>RIDOWN FULL</t>
        </is>
      </c>
      <c r="E852" s="13" t="inlineStr">
        <is>
          <t>Herbicida</t>
        </is>
      </c>
      <c r="F852" s="13" t="inlineStr">
        <is>
          <t>Trapoeraba</t>
        </is>
      </c>
      <c r="G852" s="13" t="inlineStr">
        <is>
          <t>Commelina benghalensis</t>
        </is>
      </c>
      <c r="H852" s="13" t="inlineStr">
        <is>
          <t>NÃO</t>
        </is>
      </c>
      <c r="I852" s="15" t="n">
        <v>2</v>
      </c>
      <c r="J852" s="18" t="n">
        <v>3.5</v>
      </c>
      <c r="K852" s="13" t="inlineStr">
        <is>
          <t>kg ou L/ha</t>
        </is>
      </c>
      <c r="L852" s="15" t="n">
        <v>1</v>
      </c>
      <c r="M852" s="13" t="inlineStr">
        <is>
          <t>Aplicar conforme monitoramento e estádio recomendado na bula (HRAC Grupo G (EPSPs))</t>
        </is>
      </c>
    </row>
    <row r="853" ht="22" customHeight="1">
      <c r="A853" s="6" t="inlineStr">
        <is>
          <t>ALV-0849</t>
        </is>
      </c>
      <c r="B853" s="5" t="n">
        <v>452</v>
      </c>
      <c r="C853" s="7" t="inlineStr">
        <is>
          <t>Nº 12225</t>
        </is>
      </c>
      <c r="D853" s="8" t="inlineStr">
        <is>
          <t>IMPACTUS CS</t>
        </is>
      </c>
      <c r="E853" s="7" t="inlineStr">
        <is>
          <t>Inseticida</t>
        </is>
      </c>
      <c r="F853" s="7" t="inlineStr">
        <is>
          <t>Lagarta-do-cartucho</t>
        </is>
      </c>
      <c r="G853" s="7" t="inlineStr">
        <is>
          <t>Spodoptera frugiperda</t>
        </is>
      </c>
      <c r="H853" s="7" t="inlineStr">
        <is>
          <t>SIM (*)</t>
        </is>
      </c>
      <c r="I853" s="17" t="n">
        <v>0.05</v>
      </c>
      <c r="J853" s="17" t="n">
        <v>0.15</v>
      </c>
      <c r="K853" s="7" t="inlineStr">
        <is>
          <t>L/ha</t>
        </is>
      </c>
      <c r="L853" s="9" t="n">
        <v>1</v>
      </c>
      <c r="M853" s="7" t="inlineStr">
        <is>
          <t>Aplicar conforme monitoramento e estádio recomendado na bula (IRAC Grupo 3A)</t>
        </is>
      </c>
    </row>
    <row r="854" ht="22" customHeight="1">
      <c r="A854" s="12" t="inlineStr">
        <is>
          <t>ALV-0850</t>
        </is>
      </c>
      <c r="B854" s="11" t="n">
        <v>452</v>
      </c>
      <c r="C854" s="13" t="inlineStr">
        <is>
          <t>Nº 12225</t>
        </is>
      </c>
      <c r="D854" s="14" t="inlineStr">
        <is>
          <t>IMPACTUS CS</t>
        </is>
      </c>
      <c r="E854" s="13" t="inlineStr">
        <is>
          <t>Inseticida</t>
        </is>
      </c>
      <c r="F854" s="13" t="inlineStr">
        <is>
          <t>Percevejo-marrom</t>
        </is>
      </c>
      <c r="G854" s="13" t="inlineStr">
        <is>
          <t>Euschistus heros</t>
        </is>
      </c>
      <c r="H854" s="13" t="inlineStr">
        <is>
          <t>NÃO</t>
        </is>
      </c>
      <c r="I854" s="18" t="n">
        <v>0.075</v>
      </c>
      <c r="J854" s="18" t="n">
        <v>0.15</v>
      </c>
      <c r="K854" s="13" t="inlineStr">
        <is>
          <t>L/ha</t>
        </is>
      </c>
      <c r="L854" s="15" t="n">
        <v>1</v>
      </c>
      <c r="M854" s="13" t="inlineStr">
        <is>
          <t>Aplicar conforme monitoramento e estádio recomendado na bula (IRAC Grupo 3A)</t>
        </is>
      </c>
    </row>
    <row r="855" ht="22" customHeight="1">
      <c r="A855" s="6" t="inlineStr">
        <is>
          <t>ALV-0851</t>
        </is>
      </c>
      <c r="B855" s="5" t="n">
        <v>453</v>
      </c>
      <c r="C855" s="7" t="inlineStr">
        <is>
          <t>Nº 6922</t>
        </is>
      </c>
      <c r="D855" s="8" t="inlineStr">
        <is>
          <t>INSECTRIN</t>
        </is>
      </c>
      <c r="E855" s="7" t="inlineStr">
        <is>
          <t>Inseticida e Acaricida</t>
        </is>
      </c>
      <c r="F855" s="7" t="inlineStr">
        <is>
          <t>Bicudo-do-algodoeiro</t>
        </is>
      </c>
      <c r="G855" s="7" t="inlineStr">
        <is>
          <t>Anthonomus grandis</t>
        </is>
      </c>
      <c r="H855" s="7" t="inlineStr">
        <is>
          <t>NÃO</t>
        </is>
      </c>
      <c r="I855" s="17" t="n">
        <v>0.15</v>
      </c>
      <c r="J855" s="17" t="n">
        <v>0.25</v>
      </c>
      <c r="K855" s="7" t="inlineStr">
        <is>
          <t>L/ha</t>
        </is>
      </c>
      <c r="L855" s="9" t="n">
        <v>1</v>
      </c>
      <c r="M855" s="7" t="inlineStr">
        <is>
          <t>Aplicar conforme monitoramento e estádio recomendado na bula (IRAC Grupo 3A)</t>
        </is>
      </c>
    </row>
    <row r="856" ht="22" customHeight="1">
      <c r="A856" s="12" t="inlineStr">
        <is>
          <t>ALV-0852</t>
        </is>
      </c>
      <c r="B856" s="11" t="n">
        <v>453</v>
      </c>
      <c r="C856" s="13" t="inlineStr">
        <is>
          <t>Nº 6922</t>
        </is>
      </c>
      <c r="D856" s="14" t="inlineStr">
        <is>
          <t>INSECTRIN</t>
        </is>
      </c>
      <c r="E856" s="13" t="inlineStr">
        <is>
          <t>Inseticida e Acaricida</t>
        </is>
      </c>
      <c r="F856" s="13" t="inlineStr">
        <is>
          <t>Mosca-branca</t>
        </is>
      </c>
      <c r="G856" s="13" t="inlineStr">
        <is>
          <t>Bemisia tabaci raça B</t>
        </is>
      </c>
      <c r="H856" s="13" t="inlineStr">
        <is>
          <t>SIM (*)</t>
        </is>
      </c>
      <c r="I856" s="18" t="n">
        <v>0.125</v>
      </c>
      <c r="J856" s="18" t="n">
        <v>0.25</v>
      </c>
      <c r="K856" s="13" t="inlineStr">
        <is>
          <t>L/ha</t>
        </is>
      </c>
      <c r="L856" s="15" t="n">
        <v>1</v>
      </c>
      <c r="M856" s="13" t="inlineStr">
        <is>
          <t>Aplicar conforme monitoramento e estádio recomendado na bula (IRAC Grupo 3A)</t>
        </is>
      </c>
    </row>
    <row r="857" ht="22" customHeight="1">
      <c r="A857" s="6" t="inlineStr">
        <is>
          <t>ALV-0853</t>
        </is>
      </c>
      <c r="B857" s="5" t="n">
        <v>453</v>
      </c>
      <c r="C857" s="7" t="inlineStr">
        <is>
          <t>Nº 6922</t>
        </is>
      </c>
      <c r="D857" s="8" t="inlineStr">
        <is>
          <t>INSECTRIN</t>
        </is>
      </c>
      <c r="E857" s="7" t="inlineStr">
        <is>
          <t>Inseticida e Acaricida</t>
        </is>
      </c>
      <c r="F857" s="7" t="inlineStr">
        <is>
          <t>Ácaro-rajado</t>
        </is>
      </c>
      <c r="G857" s="7" t="inlineStr">
        <is>
          <t>Tetranychus urticae</t>
        </is>
      </c>
      <c r="H857" s="7" t="inlineStr">
        <is>
          <t>SIM (*)</t>
        </is>
      </c>
      <c r="I857" s="17" t="n">
        <v>0.15</v>
      </c>
      <c r="J857" s="17" t="n">
        <v>0.2</v>
      </c>
      <c r="K857" s="7" t="inlineStr">
        <is>
          <t>L/ha</t>
        </is>
      </c>
      <c r="L857" s="9" t="n">
        <v>1</v>
      </c>
      <c r="M857" s="7" t="inlineStr">
        <is>
          <t>Aplicar conforme monitoramento e estádio recomendado na bula (IRAC Grupo 3A)</t>
        </is>
      </c>
    </row>
    <row r="858" ht="22" customHeight="1">
      <c r="A858" s="12" t="inlineStr">
        <is>
          <t>ALV-0854</t>
        </is>
      </c>
      <c r="B858" s="11" t="n">
        <v>454</v>
      </c>
      <c r="C858" s="13" t="inlineStr">
        <is>
          <t>Nº 6922</t>
        </is>
      </c>
      <c r="D858" s="14" t="inlineStr">
        <is>
          <t>INSECTRIN</t>
        </is>
      </c>
      <c r="E858" s="13" t="inlineStr">
        <is>
          <t>Inseticida e Acaricida</t>
        </is>
      </c>
      <c r="F858" s="13" t="inlineStr">
        <is>
          <t>Bicudo-do-algodoeiro</t>
        </is>
      </c>
      <c r="G858" s="13" t="inlineStr">
        <is>
          <t>Anthonomus grandis</t>
        </is>
      </c>
      <c r="H858" s="13" t="inlineStr">
        <is>
          <t>NÃO</t>
        </is>
      </c>
      <c r="I858" s="18" t="n">
        <v>0.15</v>
      </c>
      <c r="J858" s="18" t="n">
        <v>0.25</v>
      </c>
      <c r="K858" s="13" t="inlineStr">
        <is>
          <t>L/ha</t>
        </is>
      </c>
      <c r="L858" s="15" t="n">
        <v>1</v>
      </c>
      <c r="M858" s="13" t="inlineStr">
        <is>
          <t>Aplicar conforme monitoramento e estádio recomendado na bula (IRAC Grupo 3A)</t>
        </is>
      </c>
    </row>
    <row r="859" ht="22" customHeight="1">
      <c r="A859" s="6" t="inlineStr">
        <is>
          <t>ALV-0855</t>
        </is>
      </c>
      <c r="B859" s="5" t="n">
        <v>454</v>
      </c>
      <c r="C859" s="7" t="inlineStr">
        <is>
          <t>Nº 6922</t>
        </is>
      </c>
      <c r="D859" s="8" t="inlineStr">
        <is>
          <t>INSECTRIN</t>
        </is>
      </c>
      <c r="E859" s="7" t="inlineStr">
        <is>
          <t>Inseticida e Acaricida</t>
        </is>
      </c>
      <c r="F859" s="7" t="inlineStr">
        <is>
          <t>Mosca-branca</t>
        </is>
      </c>
      <c r="G859" s="7" t="inlineStr">
        <is>
          <t>Bemisia tabaci raça B</t>
        </is>
      </c>
      <c r="H859" s="7" t="inlineStr">
        <is>
          <t>SIM (*)</t>
        </is>
      </c>
      <c r="I859" s="17" t="n">
        <v>0.125</v>
      </c>
      <c r="J859" s="17" t="n">
        <v>0.25</v>
      </c>
      <c r="K859" s="7" t="inlineStr">
        <is>
          <t>L/ha</t>
        </is>
      </c>
      <c r="L859" s="9" t="n">
        <v>1</v>
      </c>
      <c r="M859" s="7" t="inlineStr">
        <is>
          <t>Aplicar conforme monitoramento e estádio recomendado na bula (IRAC Grupo 3A)</t>
        </is>
      </c>
    </row>
    <row r="860" ht="22" customHeight="1">
      <c r="A860" s="12" t="inlineStr">
        <is>
          <t>ALV-0856</t>
        </is>
      </c>
      <c r="B860" s="11" t="n">
        <v>454</v>
      </c>
      <c r="C860" s="13" t="inlineStr">
        <is>
          <t>Nº 6922</t>
        </is>
      </c>
      <c r="D860" s="14" t="inlineStr">
        <is>
          <t>INSECTRIN</t>
        </is>
      </c>
      <c r="E860" s="13" t="inlineStr">
        <is>
          <t>Inseticida e Acaricida</t>
        </is>
      </c>
      <c r="F860" s="13" t="inlineStr">
        <is>
          <t>Ácaro-rajado</t>
        </is>
      </c>
      <c r="G860" s="13" t="inlineStr">
        <is>
          <t>Tetranychus urticae</t>
        </is>
      </c>
      <c r="H860" s="13" t="inlineStr">
        <is>
          <t>SIM (*)</t>
        </is>
      </c>
      <c r="I860" s="18" t="n">
        <v>0.15</v>
      </c>
      <c r="J860" s="18" t="n">
        <v>0.2</v>
      </c>
      <c r="K860" s="13" t="inlineStr">
        <is>
          <t>L/ha</t>
        </is>
      </c>
      <c r="L860" s="15" t="n">
        <v>1</v>
      </c>
      <c r="M860" s="13" t="inlineStr">
        <is>
          <t>Aplicar conforme monitoramento e estádio recomendado na bula (IRAC Grupo 3A)</t>
        </is>
      </c>
    </row>
    <row r="861" ht="22" customHeight="1">
      <c r="A861" s="6" t="inlineStr">
        <is>
          <t>ALV-0857</t>
        </is>
      </c>
      <c r="B861" s="5" t="n">
        <v>455</v>
      </c>
      <c r="C861" s="7" t="inlineStr">
        <is>
          <t>Nº 6223</t>
        </is>
      </c>
      <c r="D861" s="8" t="inlineStr">
        <is>
          <t>RIDOWN FULL</t>
        </is>
      </c>
      <c r="E861" s="7" t="inlineStr">
        <is>
          <t>Herbicida</t>
        </is>
      </c>
      <c r="F861" s="7" t="inlineStr">
        <is>
          <t>Capim-amargoso</t>
        </is>
      </c>
      <c r="G861" s="7" t="inlineStr">
        <is>
          <t>Digitaria insularis</t>
        </is>
      </c>
      <c r="H861" s="7" t="inlineStr">
        <is>
          <t>SIM (*)</t>
        </is>
      </c>
      <c r="I861" s="17" t="n">
        <v>1.5</v>
      </c>
      <c r="J861" s="17" t="n">
        <v>2.5</v>
      </c>
      <c r="K861" s="7" t="inlineStr">
        <is>
          <t>kg ou L/ha</t>
        </is>
      </c>
      <c r="L861" s="9" t="n">
        <v>1</v>
      </c>
      <c r="M861" s="7" t="inlineStr">
        <is>
          <t>Aplicar conforme monitoramento e estádio recomendado na bula (HRAC Grupo G (EPSPs))</t>
        </is>
      </c>
    </row>
    <row r="862" ht="22" customHeight="1">
      <c r="A862" s="12" t="inlineStr">
        <is>
          <t>ALV-0858</t>
        </is>
      </c>
      <c r="B862" s="11" t="n">
        <v>455</v>
      </c>
      <c r="C862" s="13" t="inlineStr">
        <is>
          <t>Nº 6223</t>
        </is>
      </c>
      <c r="D862" s="14" t="inlineStr">
        <is>
          <t>RIDOWN FULL</t>
        </is>
      </c>
      <c r="E862" s="13" t="inlineStr">
        <is>
          <t>Herbicida</t>
        </is>
      </c>
      <c r="F862" s="13" t="inlineStr">
        <is>
          <t>Buva</t>
        </is>
      </c>
      <c r="G862" s="13" t="inlineStr">
        <is>
          <t>Conyza bonariensis</t>
        </is>
      </c>
      <c r="H862" s="13" t="inlineStr">
        <is>
          <t>SIM (*)</t>
        </is>
      </c>
      <c r="I862" s="15" t="n">
        <v>1</v>
      </c>
      <c r="J862" s="15" t="n">
        <v>2</v>
      </c>
      <c r="K862" s="13" t="inlineStr">
        <is>
          <t>kg ou L/ha</t>
        </is>
      </c>
      <c r="L862" s="15" t="n">
        <v>1</v>
      </c>
      <c r="M862" s="13" t="inlineStr">
        <is>
          <t>Aplicar conforme monitoramento e estádio recomendado na bula (HRAC Grupo G (EPSPs))</t>
        </is>
      </c>
    </row>
    <row r="863" ht="22" customHeight="1">
      <c r="A863" s="6" t="inlineStr">
        <is>
          <t>ALV-0859</t>
        </is>
      </c>
      <c r="B863" s="5" t="n">
        <v>455</v>
      </c>
      <c r="C863" s="7" t="inlineStr">
        <is>
          <t>Nº 6223</t>
        </is>
      </c>
      <c r="D863" s="8" t="inlineStr">
        <is>
          <t>RIDOWN FULL</t>
        </is>
      </c>
      <c r="E863" s="7" t="inlineStr">
        <is>
          <t>Herbicida</t>
        </is>
      </c>
      <c r="F863" s="7" t="inlineStr">
        <is>
          <t>Capim-pé-de-galinha</t>
        </is>
      </c>
      <c r="G863" s="7" t="inlineStr">
        <is>
          <t>Eleusine indica</t>
        </is>
      </c>
      <c r="H863" s="7" t="inlineStr">
        <is>
          <t>SIM (*)</t>
        </is>
      </c>
      <c r="I863" s="9" t="n">
        <v>1</v>
      </c>
      <c r="J863" s="17" t="n">
        <v>1.5</v>
      </c>
      <c r="K863" s="7" t="inlineStr">
        <is>
          <t>kg ou L/ha</t>
        </is>
      </c>
      <c r="L863" s="9" t="n">
        <v>1</v>
      </c>
      <c r="M863" s="7" t="inlineStr">
        <is>
          <t>Aplicar conforme monitoramento e estádio recomendado na bula (HRAC Grupo G (EPSPs))</t>
        </is>
      </c>
    </row>
    <row r="864" ht="22" customHeight="1">
      <c r="A864" s="12" t="inlineStr">
        <is>
          <t>ALV-0860</t>
        </is>
      </c>
      <c r="B864" s="11" t="n">
        <v>455</v>
      </c>
      <c r="C864" s="13" t="inlineStr">
        <is>
          <t>Nº 6223</t>
        </is>
      </c>
      <c r="D864" s="14" t="inlineStr">
        <is>
          <t>RIDOWN FULL</t>
        </is>
      </c>
      <c r="E864" s="13" t="inlineStr">
        <is>
          <t>Herbicida</t>
        </is>
      </c>
      <c r="F864" s="13" t="inlineStr">
        <is>
          <t>Trapoeraba</t>
        </is>
      </c>
      <c r="G864" s="13" t="inlineStr">
        <is>
          <t>Commelina benghalensis</t>
        </is>
      </c>
      <c r="H864" s="13" t="inlineStr">
        <is>
          <t>NÃO</t>
        </is>
      </c>
      <c r="I864" s="15" t="n">
        <v>2</v>
      </c>
      <c r="J864" s="18" t="n">
        <v>3.5</v>
      </c>
      <c r="K864" s="13" t="inlineStr">
        <is>
          <t>kg ou L/ha</t>
        </is>
      </c>
      <c r="L864" s="15" t="n">
        <v>1</v>
      </c>
      <c r="M864" s="13" t="inlineStr">
        <is>
          <t>Aplicar conforme monitoramento e estádio recomendado na bula (HRAC Grupo G (EPSPs))</t>
        </is>
      </c>
    </row>
    <row r="865" ht="22" customHeight="1">
      <c r="A865" s="6" t="inlineStr">
        <is>
          <t>ALV-0861</t>
        </is>
      </c>
      <c r="B865" s="5" t="n">
        <v>456</v>
      </c>
      <c r="C865" s="7" t="inlineStr">
        <is>
          <t>Nº 28120</t>
        </is>
      </c>
      <c r="D865" s="8" t="inlineStr">
        <is>
          <t>WIDCLEAR</t>
        </is>
      </c>
      <c r="E865" s="7" t="inlineStr">
        <is>
          <t>Herbicida</t>
        </is>
      </c>
      <c r="F865" s="7" t="inlineStr">
        <is>
          <t>Plantas Daninhas Mono e Dicotiledôneas</t>
        </is>
      </c>
      <c r="G865" s="7" t="inlineStr">
        <is>
          <t>Flora Infestante</t>
        </is>
      </c>
      <c r="H865" s="7" t="inlineStr">
        <is>
          <t>NÃO</t>
        </is>
      </c>
      <c r="I865" s="17" t="n">
        <v>0.25</v>
      </c>
      <c r="J865" s="9" t="n">
        <v>2</v>
      </c>
      <c r="K865" s="7" t="inlineStr">
        <is>
          <t>L ou kg/ha</t>
        </is>
      </c>
      <c r="L865" s="9" t="n">
        <v>1</v>
      </c>
      <c r="M865" s="7" t="inlineStr">
        <is>
          <t>Aplicar conforme monitoramento e estádio recomendado na bula (Classificação HRAC Oficial conforme Bula)</t>
        </is>
      </c>
    </row>
    <row r="866" ht="22" customHeight="1">
      <c r="A866" s="12" t="inlineStr">
        <is>
          <t>ALV-0862</t>
        </is>
      </c>
      <c r="B866" s="11" t="n">
        <v>457</v>
      </c>
      <c r="C866" s="13" t="inlineStr">
        <is>
          <t>Nº 34122</t>
        </is>
      </c>
      <c r="D866" s="14" t="inlineStr">
        <is>
          <t>DURAX</t>
        </is>
      </c>
      <c r="E866" s="13" t="inlineStr">
        <is>
          <t>Herbicida</t>
        </is>
      </c>
      <c r="F866" s="13" t="inlineStr">
        <is>
          <t>Capim-pé-de-galinha</t>
        </is>
      </c>
      <c r="G866" s="13" t="inlineStr">
        <is>
          <t>Eleusine indica</t>
        </is>
      </c>
      <c r="H866" s="13" t="inlineStr">
        <is>
          <t>NÃO</t>
        </is>
      </c>
      <c r="I866" s="18" t="n">
        <v>1.25</v>
      </c>
      <c r="J866" s="18" t="n">
        <v>1.75</v>
      </c>
      <c r="K866" s="13" t="inlineStr">
        <is>
          <t>L/ha</t>
        </is>
      </c>
      <c r="L866" s="15" t="n">
        <v>1</v>
      </c>
      <c r="M866" s="13" t="inlineStr">
        <is>
          <t>Aplicar conforme monitoramento e estádio recomendado na bula (HRAC Grupo K3 (15) — Inibidores de VLCFAs)</t>
        </is>
      </c>
    </row>
    <row r="867" ht="22" customHeight="1">
      <c r="A867" s="6" t="inlineStr">
        <is>
          <t>ALV-0863</t>
        </is>
      </c>
      <c r="B867" s="5" t="n">
        <v>457</v>
      </c>
      <c r="C867" s="7" t="inlineStr">
        <is>
          <t>Nº 34122</t>
        </is>
      </c>
      <c r="D867" s="8" t="inlineStr">
        <is>
          <t>DURAX</t>
        </is>
      </c>
      <c r="E867" s="7" t="inlineStr">
        <is>
          <t>Herbicida</t>
        </is>
      </c>
      <c r="F867" s="7" t="inlineStr">
        <is>
          <t>Capim-colchão</t>
        </is>
      </c>
      <c r="G867" s="7" t="inlineStr">
        <is>
          <t>Digitaria horizontalis</t>
        </is>
      </c>
      <c r="H867" s="7" t="inlineStr">
        <is>
          <t>NÃO</t>
        </is>
      </c>
      <c r="I867" s="17" t="n">
        <v>1.25</v>
      </c>
      <c r="J867" s="17" t="n">
        <v>1.5</v>
      </c>
      <c r="K867" s="7" t="inlineStr">
        <is>
          <t>L/ha</t>
        </is>
      </c>
      <c r="L867" s="9" t="n">
        <v>1</v>
      </c>
      <c r="M867" s="7" t="inlineStr">
        <is>
          <t>Aplicar conforme monitoramento e estádio recomendado na bula (HRAC Grupo K3 (15) — Inibidores de VLCFAs)</t>
        </is>
      </c>
    </row>
    <row r="868" ht="22" customHeight="1">
      <c r="A868" s="12" t="inlineStr">
        <is>
          <t>ALV-0864</t>
        </is>
      </c>
      <c r="B868" s="11" t="n">
        <v>457</v>
      </c>
      <c r="C868" s="13" t="inlineStr">
        <is>
          <t>Nº 34122</t>
        </is>
      </c>
      <c r="D868" s="14" t="inlineStr">
        <is>
          <t>DURAX</t>
        </is>
      </c>
      <c r="E868" s="13" t="inlineStr">
        <is>
          <t>Herbicida</t>
        </is>
      </c>
      <c r="F868" s="13" t="inlineStr">
        <is>
          <t>Caruru</t>
        </is>
      </c>
      <c r="G868" s="13" t="inlineStr">
        <is>
          <t>Amaranthus hybridus</t>
        </is>
      </c>
      <c r="H868" s="13" t="inlineStr">
        <is>
          <t>NÃO</t>
        </is>
      </c>
      <c r="I868" s="18" t="n">
        <v>1.25</v>
      </c>
      <c r="J868" s="18" t="n">
        <v>1.75</v>
      </c>
      <c r="K868" s="13" t="inlineStr">
        <is>
          <t>L/ha</t>
        </is>
      </c>
      <c r="L868" s="15" t="n">
        <v>1</v>
      </c>
      <c r="M868" s="13" t="inlineStr">
        <is>
          <t>Aplicar conforme monitoramento e estádio recomendado na bula (HRAC Grupo K3 (15) — Inibidores de VLCFAs)</t>
        </is>
      </c>
    </row>
    <row r="869" ht="22" customHeight="1">
      <c r="A869" s="6" t="inlineStr">
        <is>
          <t>ALV-0865</t>
        </is>
      </c>
      <c r="B869" s="5" t="n">
        <v>458</v>
      </c>
      <c r="C869" s="7" t="inlineStr">
        <is>
          <t>Nº 6922</t>
        </is>
      </c>
      <c r="D869" s="8" t="inlineStr">
        <is>
          <t>COFENRIN</t>
        </is>
      </c>
      <c r="E869" s="7" t="inlineStr">
        <is>
          <t>Inseticida e Acaricida</t>
        </is>
      </c>
      <c r="F869" s="7" t="inlineStr">
        <is>
          <t>Bicudo-do-algodoeiro</t>
        </is>
      </c>
      <c r="G869" s="7" t="inlineStr">
        <is>
          <t>Anthonomus grandis</t>
        </is>
      </c>
      <c r="H869" s="7" t="inlineStr">
        <is>
          <t>NÃO</t>
        </is>
      </c>
      <c r="I869" s="17" t="n">
        <v>0.15</v>
      </c>
      <c r="J869" s="17" t="n">
        <v>0.25</v>
      </c>
      <c r="K869" s="7" t="inlineStr">
        <is>
          <t>L/ha</t>
        </is>
      </c>
      <c r="L869" s="9" t="n">
        <v>1</v>
      </c>
      <c r="M869" s="7" t="inlineStr">
        <is>
          <t>Aplicar conforme monitoramento e estádio recomendado na bula (IRAC Grupo 3A)</t>
        </is>
      </c>
    </row>
    <row r="870" ht="22" customHeight="1">
      <c r="A870" s="12" t="inlineStr">
        <is>
          <t>ALV-0866</t>
        </is>
      </c>
      <c r="B870" s="11" t="n">
        <v>458</v>
      </c>
      <c r="C870" s="13" t="inlineStr">
        <is>
          <t>Nº 6922</t>
        </is>
      </c>
      <c r="D870" s="14" t="inlineStr">
        <is>
          <t>COFENRIN</t>
        </is>
      </c>
      <c r="E870" s="13" t="inlineStr">
        <is>
          <t>Inseticida e Acaricida</t>
        </is>
      </c>
      <c r="F870" s="13" t="inlineStr">
        <is>
          <t>Mosca-branca</t>
        </is>
      </c>
      <c r="G870" s="13" t="inlineStr">
        <is>
          <t>Bemisia tabaci raça B</t>
        </is>
      </c>
      <c r="H870" s="13" t="inlineStr">
        <is>
          <t>SIM (*)</t>
        </is>
      </c>
      <c r="I870" s="18" t="n">
        <v>0.125</v>
      </c>
      <c r="J870" s="18" t="n">
        <v>0.25</v>
      </c>
      <c r="K870" s="13" t="inlineStr">
        <is>
          <t>L/ha</t>
        </is>
      </c>
      <c r="L870" s="15" t="n">
        <v>1</v>
      </c>
      <c r="M870" s="13" t="inlineStr">
        <is>
          <t>Aplicar conforme monitoramento e estádio recomendado na bula (IRAC Grupo 3A)</t>
        </is>
      </c>
    </row>
    <row r="871" ht="22" customHeight="1">
      <c r="A871" s="6" t="inlineStr">
        <is>
          <t>ALV-0867</t>
        </is>
      </c>
      <c r="B871" s="5" t="n">
        <v>458</v>
      </c>
      <c r="C871" s="7" t="inlineStr">
        <is>
          <t>Nº 6922</t>
        </is>
      </c>
      <c r="D871" s="8" t="inlineStr">
        <is>
          <t>COFENRIN</t>
        </is>
      </c>
      <c r="E871" s="7" t="inlineStr">
        <is>
          <t>Inseticida e Acaricida</t>
        </is>
      </c>
      <c r="F871" s="7" t="inlineStr">
        <is>
          <t>Ácaro-rajado</t>
        </is>
      </c>
      <c r="G871" s="7" t="inlineStr">
        <is>
          <t>Tetranychus urticae</t>
        </is>
      </c>
      <c r="H871" s="7" t="inlineStr">
        <is>
          <t>SIM (*)</t>
        </is>
      </c>
      <c r="I871" s="17" t="n">
        <v>0.15</v>
      </c>
      <c r="J871" s="17" t="n">
        <v>0.2</v>
      </c>
      <c r="K871" s="7" t="inlineStr">
        <is>
          <t>L/ha</t>
        </is>
      </c>
      <c r="L871" s="9" t="n">
        <v>1</v>
      </c>
      <c r="M871" s="7" t="inlineStr">
        <is>
          <t>Aplicar conforme monitoramento e estádio recomendado na bula (IRAC Grupo 3A)</t>
        </is>
      </c>
    </row>
    <row r="872" ht="22" customHeight="1">
      <c r="A872" s="12" t="inlineStr">
        <is>
          <t>ALV-0868</t>
        </is>
      </c>
      <c r="B872" s="11" t="n">
        <v>459</v>
      </c>
      <c r="C872" s="13" t="inlineStr">
        <is>
          <t>Nº 27323</t>
        </is>
      </c>
      <c r="D872" s="14" t="inlineStr">
        <is>
          <t>ACEGOL</t>
        </is>
      </c>
      <c r="E872" s="13" t="inlineStr">
        <is>
          <t>Inseticida</t>
        </is>
      </c>
      <c r="F872" s="13" t="inlineStr">
        <is>
          <t>Mosca-branca</t>
        </is>
      </c>
      <c r="G872" s="13" t="inlineStr">
        <is>
          <t>Bemisia tabaci raça B</t>
        </is>
      </c>
      <c r="H872" s="13" t="inlineStr">
        <is>
          <t>SIM (*)</t>
        </is>
      </c>
      <c r="I872" s="18" t="n">
        <v>0.2</v>
      </c>
      <c r="J872" s="18" t="n">
        <v>0.3</v>
      </c>
      <c r="K872" s="13" t="inlineStr">
        <is>
          <t>kg/ha</t>
        </is>
      </c>
      <c r="L872" s="15" t="n">
        <v>1</v>
      </c>
      <c r="M872" s="13" t="inlineStr">
        <is>
          <t>Aplicar conforme monitoramento e estádio recomendado na bula (IRAC Grupo 4A)</t>
        </is>
      </c>
    </row>
    <row r="873" ht="22" customHeight="1">
      <c r="A873" s="6" t="inlineStr">
        <is>
          <t>ALV-0869</t>
        </is>
      </c>
      <c r="B873" s="5" t="n">
        <v>459</v>
      </c>
      <c r="C873" s="7" t="inlineStr">
        <is>
          <t>Nº 27323</t>
        </is>
      </c>
      <c r="D873" s="8" t="inlineStr">
        <is>
          <t>ACEGOL</t>
        </is>
      </c>
      <c r="E873" s="7" t="inlineStr">
        <is>
          <t>Inseticida</t>
        </is>
      </c>
      <c r="F873" s="7" t="inlineStr">
        <is>
          <t>Pulgão-do-algodoeiro</t>
        </is>
      </c>
      <c r="G873" s="7" t="inlineStr">
        <is>
          <t>Aphis gossypii</t>
        </is>
      </c>
      <c r="H873" s="7" t="inlineStr">
        <is>
          <t>NÃO</t>
        </is>
      </c>
      <c r="I873" s="17" t="n">
        <v>0.15</v>
      </c>
      <c r="J873" s="17" t="n">
        <v>0.25</v>
      </c>
      <c r="K873" s="7" t="inlineStr">
        <is>
          <t>kg/ha</t>
        </is>
      </c>
      <c r="L873" s="9" t="n">
        <v>1</v>
      </c>
      <c r="M873" s="7" t="inlineStr">
        <is>
          <t>Aplicar conforme monitoramento e estádio recomendado na bula (IRAC Grupo 4A)</t>
        </is>
      </c>
    </row>
    <row r="874" ht="22" customHeight="1">
      <c r="A874" s="12" t="inlineStr">
        <is>
          <t>ALV-0870</t>
        </is>
      </c>
      <c r="B874" s="11" t="n">
        <v>459</v>
      </c>
      <c r="C874" s="13" t="inlineStr">
        <is>
          <t>Nº 27323</t>
        </is>
      </c>
      <c r="D874" s="14" t="inlineStr">
        <is>
          <t>ACEGOL</t>
        </is>
      </c>
      <c r="E874" s="13" t="inlineStr">
        <is>
          <t>Inseticida</t>
        </is>
      </c>
      <c r="F874" s="13" t="inlineStr">
        <is>
          <t>Percevejo-marrom</t>
        </is>
      </c>
      <c r="G874" s="13" t="inlineStr">
        <is>
          <t>Euschistus heros</t>
        </is>
      </c>
      <c r="H874" s="13" t="inlineStr">
        <is>
          <t>NÃO</t>
        </is>
      </c>
      <c r="I874" s="18" t="n">
        <v>0.25</v>
      </c>
      <c r="J874" s="18" t="n">
        <v>0.35</v>
      </c>
      <c r="K874" s="13" t="inlineStr">
        <is>
          <t>kg/ha</t>
        </is>
      </c>
      <c r="L874" s="15" t="n">
        <v>1</v>
      </c>
      <c r="M874" s="13" t="inlineStr">
        <is>
          <t>Aplicar conforme monitoramento e estádio recomendado na bula (IRAC Grupo 4A)</t>
        </is>
      </c>
    </row>
    <row r="875" ht="22" customHeight="1">
      <c r="A875" s="6" t="inlineStr">
        <is>
          <t>ALV-0871</t>
        </is>
      </c>
      <c r="B875" s="5" t="n">
        <v>460</v>
      </c>
      <c r="C875" s="7" t="inlineStr">
        <is>
          <t>Nº 45419</t>
        </is>
      </c>
      <c r="D875" s="8" t="inlineStr">
        <is>
          <t>CLORPIRI 480 EC</t>
        </is>
      </c>
      <c r="E875" s="7" t="inlineStr">
        <is>
          <t>Inseticida</t>
        </is>
      </c>
      <c r="F875" s="7" t="inlineStr">
        <is>
          <t>Lagarta-do-cartucho</t>
        </is>
      </c>
      <c r="G875" s="7" t="inlineStr">
        <is>
          <t>Spodoptera frugiperda</t>
        </is>
      </c>
      <c r="H875" s="7" t="inlineStr">
        <is>
          <t>SIM (*)</t>
        </is>
      </c>
      <c r="I875" s="17" t="n">
        <v>0.4</v>
      </c>
      <c r="J875" s="17" t="n">
        <v>0.6</v>
      </c>
      <c r="K875" s="7" t="inlineStr">
        <is>
          <t>L/ha</t>
        </is>
      </c>
      <c r="L875" s="9" t="n">
        <v>1</v>
      </c>
      <c r="M875" s="7" t="inlineStr">
        <is>
          <t>Aplicar conforme monitoramento e estádio recomendado na bula (IRAC Grupo 1B)</t>
        </is>
      </c>
    </row>
    <row r="876" ht="22" customHeight="1">
      <c r="A876" s="12" t="inlineStr">
        <is>
          <t>ALV-0872</t>
        </is>
      </c>
      <c r="B876" s="11" t="n">
        <v>460</v>
      </c>
      <c r="C876" s="13" t="inlineStr">
        <is>
          <t>Nº 45419</t>
        </is>
      </c>
      <c r="D876" s="14" t="inlineStr">
        <is>
          <t>CLORPIRI 480 EC</t>
        </is>
      </c>
      <c r="E876" s="13" t="inlineStr">
        <is>
          <t>Inseticida</t>
        </is>
      </c>
      <c r="F876" s="13" t="inlineStr">
        <is>
          <t>Lagarta-da-soja</t>
        </is>
      </c>
      <c r="G876" s="13" t="inlineStr">
        <is>
          <t>Anticarsia gemmatalis</t>
        </is>
      </c>
      <c r="H876" s="13" t="inlineStr">
        <is>
          <t>NÃO</t>
        </is>
      </c>
      <c r="I876" s="18" t="n">
        <v>0.4</v>
      </c>
      <c r="J876" s="15" t="n">
        <v>1</v>
      </c>
      <c r="K876" s="13" t="inlineStr">
        <is>
          <t>L/ha</t>
        </is>
      </c>
      <c r="L876" s="15" t="n">
        <v>1</v>
      </c>
      <c r="M876" s="13" t="inlineStr">
        <is>
          <t>Aplicar conforme monitoramento e estádio recomendado na bula (IRAC Grupo 1B)</t>
        </is>
      </c>
    </row>
    <row r="877" ht="22" customHeight="1">
      <c r="A877" s="6" t="inlineStr">
        <is>
          <t>ALV-0873</t>
        </is>
      </c>
      <c r="B877" s="5" t="n">
        <v>460</v>
      </c>
      <c r="C877" s="7" t="inlineStr">
        <is>
          <t>Nº 45419</t>
        </is>
      </c>
      <c r="D877" s="8" t="inlineStr">
        <is>
          <t>CLORPIRI 480 EC</t>
        </is>
      </c>
      <c r="E877" s="7" t="inlineStr">
        <is>
          <t>Inseticida</t>
        </is>
      </c>
      <c r="F877" s="7" t="inlineStr">
        <is>
          <t>Broca-do-café</t>
        </is>
      </c>
      <c r="G877" s="7" t="inlineStr">
        <is>
          <t>Hypothenemus hampei</t>
        </is>
      </c>
      <c r="H877" s="7" t="inlineStr">
        <is>
          <t>NÃO</t>
        </is>
      </c>
      <c r="I877" s="9" t="n">
        <v>1</v>
      </c>
      <c r="J877" s="17" t="n">
        <v>1.5</v>
      </c>
      <c r="K877" s="7" t="inlineStr">
        <is>
          <t>L/ha</t>
        </is>
      </c>
      <c r="L877" s="9" t="n">
        <v>1</v>
      </c>
      <c r="M877" s="7" t="inlineStr">
        <is>
          <t>Aplicar conforme monitoramento e estádio recomendado na bula (IRAC Grupo 1B)</t>
        </is>
      </c>
    </row>
    <row r="878" ht="22" customHeight="1">
      <c r="A878" s="12" t="inlineStr">
        <is>
          <t>ALV-0874</t>
        </is>
      </c>
      <c r="B878" s="11" t="n">
        <v>461</v>
      </c>
      <c r="C878" s="13" t="inlineStr">
        <is>
          <t>Nº 33424</t>
        </is>
      </c>
      <c r="D878" s="14" t="inlineStr">
        <is>
          <t>SANKARI</t>
        </is>
      </c>
      <c r="E878" s="13" t="inlineStr">
        <is>
          <t>Herbicida / Dessecante de Contato</t>
        </is>
      </c>
      <c r="F878" s="13" t="inlineStr">
        <is>
          <t>Plantas Daninhas Mono e Dicotiledôneas Jovens (Dessecação)</t>
        </is>
      </c>
      <c r="G878" s="13" t="inlineStr">
        <is>
          <t>Digitaria / Amaranthus / Bidens / Conyza</t>
        </is>
      </c>
      <c r="H878" s="13" t="inlineStr">
        <is>
          <t>NÃO</t>
        </is>
      </c>
      <c r="I878" s="15" t="n">
        <v>8</v>
      </c>
      <c r="J878" s="15" t="n">
        <v>16</v>
      </c>
      <c r="K878" s="13" t="inlineStr">
        <is>
          <t>L/ha</t>
        </is>
      </c>
      <c r="L878" s="15" t="n">
        <v>1</v>
      </c>
      <c r="M878" s="13" t="inlineStr">
        <is>
          <t>Aplicar em jato dirigido ou dessecação com cobertura uniforme da folhagem</t>
        </is>
      </c>
    </row>
    <row r="879" ht="22" customHeight="1">
      <c r="A879" s="6" t="inlineStr">
        <is>
          <t>ALV-0875</t>
        </is>
      </c>
      <c r="B879" s="5" t="n">
        <v>462</v>
      </c>
      <c r="C879" s="7" t="inlineStr">
        <is>
          <t>Nº 37624</t>
        </is>
      </c>
      <c r="D879" s="8" t="inlineStr">
        <is>
          <t>SIGOLI</t>
        </is>
      </c>
      <c r="E879" s="7" t="inlineStr">
        <is>
          <t>Herbicida / Dessecante de Contato</t>
        </is>
      </c>
      <c r="F879" s="7" t="inlineStr">
        <is>
          <t>Plantas Daninhas Mono e Dicotiledôneas Jovens (Dessecação)</t>
        </is>
      </c>
      <c r="G879" s="7" t="inlineStr">
        <is>
          <t>Digitaria / Amaranthus / Bidens / Conyza</t>
        </is>
      </c>
      <c r="H879" s="7" t="inlineStr">
        <is>
          <t>NÃO</t>
        </is>
      </c>
      <c r="I879" s="9" t="n">
        <v>8</v>
      </c>
      <c r="J879" s="9" t="n">
        <v>16</v>
      </c>
      <c r="K879" s="7" t="inlineStr">
        <is>
          <t>L/ha</t>
        </is>
      </c>
      <c r="L879" s="9" t="n">
        <v>1</v>
      </c>
      <c r="M879" s="7" t="inlineStr">
        <is>
          <t>Aplicar em jato dirigido ou dessecação com cobertura uniforme da folhagem</t>
        </is>
      </c>
    </row>
    <row r="880" ht="22" customHeight="1">
      <c r="A880" s="12" t="inlineStr">
        <is>
          <t>ALV-0876</t>
        </is>
      </c>
      <c r="B880" s="11" t="n">
        <v>463</v>
      </c>
      <c r="C880" s="13" t="inlineStr">
        <is>
          <t>Nº 34122</t>
        </is>
      </c>
      <c r="D880" s="14" t="inlineStr">
        <is>
          <t>DURAX</t>
        </is>
      </c>
      <c r="E880" s="13" t="inlineStr">
        <is>
          <t>Herbicida</t>
        </is>
      </c>
      <c r="F880" s="13" t="inlineStr">
        <is>
          <t>Capim-pé-de-galinha</t>
        </is>
      </c>
      <c r="G880" s="13" t="inlineStr">
        <is>
          <t>Eleusine indica</t>
        </is>
      </c>
      <c r="H880" s="13" t="inlineStr">
        <is>
          <t>NÃO</t>
        </is>
      </c>
      <c r="I880" s="18" t="n">
        <v>1.25</v>
      </c>
      <c r="J880" s="18" t="n">
        <v>1.75</v>
      </c>
      <c r="K880" s="13" t="inlineStr">
        <is>
          <t>L/ha</t>
        </is>
      </c>
      <c r="L880" s="15" t="n">
        <v>1</v>
      </c>
      <c r="M880" s="13" t="inlineStr">
        <is>
          <t>Aplicar conforme monitoramento e estádio recomendado na bula (HRAC Grupo K3 (15) — Inibidores de VLCFAs)</t>
        </is>
      </c>
    </row>
    <row r="881" ht="22" customHeight="1">
      <c r="A881" s="6" t="inlineStr">
        <is>
          <t>ALV-0877</t>
        </is>
      </c>
      <c r="B881" s="5" t="n">
        <v>463</v>
      </c>
      <c r="C881" s="7" t="inlineStr">
        <is>
          <t>Nº 34122</t>
        </is>
      </c>
      <c r="D881" s="8" t="inlineStr">
        <is>
          <t>DURAX</t>
        </is>
      </c>
      <c r="E881" s="7" t="inlineStr">
        <is>
          <t>Herbicida</t>
        </is>
      </c>
      <c r="F881" s="7" t="inlineStr">
        <is>
          <t>Capim-colchão</t>
        </is>
      </c>
      <c r="G881" s="7" t="inlineStr">
        <is>
          <t>Digitaria horizontalis</t>
        </is>
      </c>
      <c r="H881" s="7" t="inlineStr">
        <is>
          <t>NÃO</t>
        </is>
      </c>
      <c r="I881" s="17" t="n">
        <v>1.25</v>
      </c>
      <c r="J881" s="17" t="n">
        <v>1.5</v>
      </c>
      <c r="K881" s="7" t="inlineStr">
        <is>
          <t>L/ha</t>
        </is>
      </c>
      <c r="L881" s="9" t="n">
        <v>1</v>
      </c>
      <c r="M881" s="7" t="inlineStr">
        <is>
          <t>Aplicar conforme monitoramento e estádio recomendado na bula (HRAC Grupo K3 (15) — Inibidores de VLCFAs)</t>
        </is>
      </c>
    </row>
    <row r="882" ht="22" customHeight="1">
      <c r="A882" s="12" t="inlineStr">
        <is>
          <t>ALV-0878</t>
        </is>
      </c>
      <c r="B882" s="11" t="n">
        <v>463</v>
      </c>
      <c r="C882" s="13" t="inlineStr">
        <is>
          <t>Nº 34122</t>
        </is>
      </c>
      <c r="D882" s="14" t="inlineStr">
        <is>
          <t>DURAX</t>
        </is>
      </c>
      <c r="E882" s="13" t="inlineStr">
        <is>
          <t>Herbicida</t>
        </is>
      </c>
      <c r="F882" s="13" t="inlineStr">
        <is>
          <t>Caruru</t>
        </is>
      </c>
      <c r="G882" s="13" t="inlineStr">
        <is>
          <t>Amaranthus hybridus</t>
        </is>
      </c>
      <c r="H882" s="13" t="inlineStr">
        <is>
          <t>NÃO</t>
        </is>
      </c>
      <c r="I882" s="18" t="n">
        <v>1.25</v>
      </c>
      <c r="J882" s="18" t="n">
        <v>1.75</v>
      </c>
      <c r="K882" s="13" t="inlineStr">
        <is>
          <t>L/ha</t>
        </is>
      </c>
      <c r="L882" s="15" t="n">
        <v>1</v>
      </c>
      <c r="M882" s="13" t="inlineStr">
        <is>
          <t>Aplicar conforme monitoramento e estádio recomendado na bula (HRAC Grupo K3 (15) — Inibidores de VLCFAs)</t>
        </is>
      </c>
    </row>
    <row r="883" ht="22" customHeight="1">
      <c r="A883" s="6" t="inlineStr">
        <is>
          <t>ALV-0879</t>
        </is>
      </c>
      <c r="B883" s="5" t="n">
        <v>464</v>
      </c>
      <c r="C883" s="7" t="inlineStr">
        <is>
          <t>Nº 1223</t>
        </is>
      </c>
      <c r="D883" s="8" t="inlineStr">
        <is>
          <t>FULLGUARD</t>
        </is>
      </c>
      <c r="E883" s="7" t="inlineStr">
        <is>
          <t>Herbicida</t>
        </is>
      </c>
      <c r="F883" s="7" t="inlineStr">
        <is>
          <t>Corda-de-viola</t>
        </is>
      </c>
      <c r="G883" s="7" t="inlineStr">
        <is>
          <t>Ipomoea grandifolia</t>
        </is>
      </c>
      <c r="H883" s="7" t="inlineStr">
        <is>
          <t>NÃO</t>
        </is>
      </c>
      <c r="I883" s="17" t="n">
        <v>0.05</v>
      </c>
      <c r="J883" s="17" t="n">
        <v>0.125</v>
      </c>
      <c r="K883" s="7" t="inlineStr">
        <is>
          <t>L/ha</t>
        </is>
      </c>
      <c r="L883" s="9" t="n">
        <v>1</v>
      </c>
      <c r="M883" s="7" t="inlineStr">
        <is>
          <t>Aplicar conforme monitoramento e estádio recomendado na bula (HRAC Grupo E (14) — Inibidores da PROTOX)</t>
        </is>
      </c>
    </row>
    <row r="884" ht="22" customHeight="1">
      <c r="A884" s="12" t="inlineStr">
        <is>
          <t>ALV-0880</t>
        </is>
      </c>
      <c r="B884" s="11" t="n">
        <v>464</v>
      </c>
      <c r="C884" s="13" t="inlineStr">
        <is>
          <t>Nº 1223</t>
        </is>
      </c>
      <c r="D884" s="14" t="inlineStr">
        <is>
          <t>FULLGUARD</t>
        </is>
      </c>
      <c r="E884" s="13" t="inlineStr">
        <is>
          <t>Herbicida</t>
        </is>
      </c>
      <c r="F884" s="13" t="inlineStr">
        <is>
          <t>Trapoeraba</t>
        </is>
      </c>
      <c r="G884" s="13" t="inlineStr">
        <is>
          <t>Commelina benghalensis</t>
        </is>
      </c>
      <c r="H884" s="13" t="inlineStr">
        <is>
          <t>NÃO</t>
        </is>
      </c>
      <c r="I884" s="18" t="n">
        <v>0.05</v>
      </c>
      <c r="J884" s="18" t="n">
        <v>0.125</v>
      </c>
      <c r="K884" s="13" t="inlineStr">
        <is>
          <t>L/ha</t>
        </is>
      </c>
      <c r="L884" s="15" t="n">
        <v>1</v>
      </c>
      <c r="M884" s="13" t="inlineStr">
        <is>
          <t>Aplicar conforme monitoramento e estádio recomendado na bula (HRAC Grupo E (14) — Inibidores da PROTOX)</t>
        </is>
      </c>
    </row>
    <row r="885" ht="22" customHeight="1">
      <c r="A885" s="6" t="inlineStr">
        <is>
          <t>ALV-0881</t>
        </is>
      </c>
      <c r="B885" s="5" t="n">
        <v>465</v>
      </c>
      <c r="C885" s="7" t="inlineStr">
        <is>
          <t>Nº 13714</t>
        </is>
      </c>
      <c r="D885" s="8" t="inlineStr">
        <is>
          <t>WIPE OUT</t>
        </is>
      </c>
      <c r="E885" s="7" t="inlineStr">
        <is>
          <t>Herbicida</t>
        </is>
      </c>
      <c r="F885" s="7" t="inlineStr">
        <is>
          <t>Capim-amargoso</t>
        </is>
      </c>
      <c r="G885" s="7" t="inlineStr">
        <is>
          <t>Digitaria insularis</t>
        </is>
      </c>
      <c r="H885" s="7" t="inlineStr">
        <is>
          <t>SIM (*)</t>
        </is>
      </c>
      <c r="I885" s="17" t="n">
        <v>1.5</v>
      </c>
      <c r="J885" s="17" t="n">
        <v>2.5</v>
      </c>
      <c r="K885" s="7" t="inlineStr">
        <is>
          <t>kg ou L/ha</t>
        </is>
      </c>
      <c r="L885" s="9" t="n">
        <v>1</v>
      </c>
      <c r="M885" s="7" t="inlineStr">
        <is>
          <t>Aplicar conforme monitoramento e estádio recomendado na bula (HRAC Grupo G (EPSPs))</t>
        </is>
      </c>
    </row>
    <row r="886" ht="22" customHeight="1">
      <c r="A886" s="12" t="inlineStr">
        <is>
          <t>ALV-0882</t>
        </is>
      </c>
      <c r="B886" s="11" t="n">
        <v>465</v>
      </c>
      <c r="C886" s="13" t="inlineStr">
        <is>
          <t>Nº 13714</t>
        </is>
      </c>
      <c r="D886" s="14" t="inlineStr">
        <is>
          <t>WIPE OUT</t>
        </is>
      </c>
      <c r="E886" s="13" t="inlineStr">
        <is>
          <t>Herbicida</t>
        </is>
      </c>
      <c r="F886" s="13" t="inlineStr">
        <is>
          <t>Buva</t>
        </is>
      </c>
      <c r="G886" s="13" t="inlineStr">
        <is>
          <t>Conyza bonariensis</t>
        </is>
      </c>
      <c r="H886" s="13" t="inlineStr">
        <is>
          <t>SIM (*)</t>
        </is>
      </c>
      <c r="I886" s="15" t="n">
        <v>1</v>
      </c>
      <c r="J886" s="15" t="n">
        <v>2</v>
      </c>
      <c r="K886" s="13" t="inlineStr">
        <is>
          <t>kg ou L/ha</t>
        </is>
      </c>
      <c r="L886" s="15" t="n">
        <v>1</v>
      </c>
      <c r="M886" s="13" t="inlineStr">
        <is>
          <t>Aplicar conforme monitoramento e estádio recomendado na bula (HRAC Grupo G (EPSPs))</t>
        </is>
      </c>
    </row>
    <row r="887" ht="22" customHeight="1">
      <c r="A887" s="6" t="inlineStr">
        <is>
          <t>ALV-0883</t>
        </is>
      </c>
      <c r="B887" s="5" t="n">
        <v>465</v>
      </c>
      <c r="C887" s="7" t="inlineStr">
        <is>
          <t>Nº 13714</t>
        </is>
      </c>
      <c r="D887" s="8" t="inlineStr">
        <is>
          <t>WIPE OUT</t>
        </is>
      </c>
      <c r="E887" s="7" t="inlineStr">
        <is>
          <t>Herbicida</t>
        </is>
      </c>
      <c r="F887" s="7" t="inlineStr">
        <is>
          <t>Capim-pé-de-galinha</t>
        </is>
      </c>
      <c r="G887" s="7" t="inlineStr">
        <is>
          <t>Eleusine indica</t>
        </is>
      </c>
      <c r="H887" s="7" t="inlineStr">
        <is>
          <t>SIM (*)</t>
        </is>
      </c>
      <c r="I887" s="9" t="n">
        <v>1</v>
      </c>
      <c r="J887" s="17" t="n">
        <v>1.5</v>
      </c>
      <c r="K887" s="7" t="inlineStr">
        <is>
          <t>kg ou L/ha</t>
        </is>
      </c>
      <c r="L887" s="9" t="n">
        <v>1</v>
      </c>
      <c r="M887" s="7" t="inlineStr">
        <is>
          <t>Aplicar conforme monitoramento e estádio recomendado na bula (HRAC Grupo G (EPSPs))</t>
        </is>
      </c>
    </row>
    <row r="888" ht="22" customHeight="1">
      <c r="A888" s="12" t="inlineStr">
        <is>
          <t>ALV-0884</t>
        </is>
      </c>
      <c r="B888" s="11" t="n">
        <v>465</v>
      </c>
      <c r="C888" s="13" t="inlineStr">
        <is>
          <t>Nº 13714</t>
        </is>
      </c>
      <c r="D888" s="14" t="inlineStr">
        <is>
          <t>WIPE OUT</t>
        </is>
      </c>
      <c r="E888" s="13" t="inlineStr">
        <is>
          <t>Herbicida</t>
        </is>
      </c>
      <c r="F888" s="13" t="inlineStr">
        <is>
          <t>Trapoeraba</t>
        </is>
      </c>
      <c r="G888" s="13" t="inlineStr">
        <is>
          <t>Commelina benghalensis</t>
        </is>
      </c>
      <c r="H888" s="13" t="inlineStr">
        <is>
          <t>NÃO</t>
        </is>
      </c>
      <c r="I888" s="15" t="n">
        <v>2</v>
      </c>
      <c r="J888" s="18" t="n">
        <v>3.5</v>
      </c>
      <c r="K888" s="13" t="inlineStr">
        <is>
          <t>kg ou L/ha</t>
        </is>
      </c>
      <c r="L888" s="15" t="n">
        <v>1</v>
      </c>
      <c r="M888" s="13" t="inlineStr">
        <is>
          <t>Aplicar conforme monitoramento e estádio recomendado na bula (HRAC Grupo G (EPSPs))</t>
        </is>
      </c>
    </row>
    <row r="889" ht="22" customHeight="1">
      <c r="A889" s="6" t="inlineStr">
        <is>
          <t>ALV-0885</t>
        </is>
      </c>
      <c r="B889" s="5" t="n">
        <v>466</v>
      </c>
      <c r="C889" s="7" t="inlineStr">
        <is>
          <t>Nº 32224</t>
        </is>
      </c>
      <c r="D889" s="8" t="inlineStr">
        <is>
          <t>PYRIPROXYFEN 100 SINO-AGRI</t>
        </is>
      </c>
      <c r="E889" s="7" t="inlineStr">
        <is>
          <t>Inseticida</t>
        </is>
      </c>
      <c r="F889" s="7" t="inlineStr">
        <is>
          <t>Mosca-branca</t>
        </is>
      </c>
      <c r="G889" s="7" t="inlineStr">
        <is>
          <t>Bemisia tabaci raça B</t>
        </is>
      </c>
      <c r="H889" s="7" t="inlineStr">
        <is>
          <t>SIM (*)</t>
        </is>
      </c>
      <c r="I889" s="17" t="n">
        <v>0.25</v>
      </c>
      <c r="J889" s="17" t="n">
        <v>0.5</v>
      </c>
      <c r="K889" s="7" t="inlineStr">
        <is>
          <t>L/ha</t>
        </is>
      </c>
      <c r="L889" s="9" t="n">
        <v>1</v>
      </c>
      <c r="M889" s="7" t="inlineStr">
        <is>
          <t>Aplicar conforme monitoramento e estádio recomendado na bula (IRAC Grupo 7C)</t>
        </is>
      </c>
    </row>
    <row r="890" ht="22" customHeight="1">
      <c r="A890" s="12" t="inlineStr">
        <is>
          <t>ALV-0886</t>
        </is>
      </c>
      <c r="B890" s="11" t="n">
        <v>466</v>
      </c>
      <c r="C890" s="13" t="inlineStr">
        <is>
          <t>Nº 32224</t>
        </is>
      </c>
      <c r="D890" s="14" t="inlineStr">
        <is>
          <t>PYRIPROXYFEN 100 SINO-AGRI</t>
        </is>
      </c>
      <c r="E890" s="13" t="inlineStr">
        <is>
          <t>Inseticida</t>
        </is>
      </c>
      <c r="F890" s="13" t="inlineStr">
        <is>
          <t>Cochonilha-escama-farinha</t>
        </is>
      </c>
      <c r="G890" s="13" t="inlineStr">
        <is>
          <t>Pinnaspis aspidistrae</t>
        </is>
      </c>
      <c r="H890" s="13" t="inlineStr">
        <is>
          <t>NÃO</t>
        </is>
      </c>
      <c r="I890" s="18" t="n">
        <v>0.5</v>
      </c>
      <c r="J890" s="18" t="n">
        <v>0.75</v>
      </c>
      <c r="K890" s="13" t="inlineStr">
        <is>
          <t>L/ha</t>
        </is>
      </c>
      <c r="L890" s="15" t="n">
        <v>1</v>
      </c>
      <c r="M890" s="13" t="inlineStr">
        <is>
          <t>Aplicar conforme monitoramento e estádio recomendado na bula (IRAC Grupo 7C)</t>
        </is>
      </c>
    </row>
    <row r="891" ht="22" customHeight="1">
      <c r="A891" s="6" t="inlineStr">
        <is>
          <t>ALV-0887</t>
        </is>
      </c>
      <c r="B891" s="5" t="n">
        <v>467</v>
      </c>
      <c r="C891" s="7" t="inlineStr">
        <is>
          <t>Nº 15925</t>
        </is>
      </c>
      <c r="D891" s="8" t="inlineStr">
        <is>
          <t>CHETTAK GOLD</t>
        </is>
      </c>
      <c r="E891" s="7" t="inlineStr">
        <is>
          <t>Inseticida</t>
        </is>
      </c>
      <c r="F891" s="7" t="inlineStr">
        <is>
          <t>Percevejo-marrom</t>
        </is>
      </c>
      <c r="G891" s="7" t="inlineStr">
        <is>
          <t>Euschistus heros</t>
        </is>
      </c>
      <c r="H891" s="7" t="inlineStr">
        <is>
          <t>NÃO</t>
        </is>
      </c>
      <c r="I891" s="17" t="n">
        <v>0.8</v>
      </c>
      <c r="J891" s="17" t="n">
        <v>1.2</v>
      </c>
      <c r="K891" s="7" t="inlineStr">
        <is>
          <t>kg/ha</t>
        </is>
      </c>
      <c r="L891" s="9" t="n">
        <v>1</v>
      </c>
      <c r="M891" s="7" t="inlineStr">
        <is>
          <t>Aplicar conforme monitoramento e estádio recomendado na bula (IRAC Grupo 1B)</t>
        </is>
      </c>
    </row>
    <row r="892" ht="22" customHeight="1">
      <c r="A892" s="12" t="inlineStr">
        <is>
          <t>ALV-0888</t>
        </is>
      </c>
      <c r="B892" s="11" t="n">
        <v>467</v>
      </c>
      <c r="C892" s="13" t="inlineStr">
        <is>
          <t>Nº 15925</t>
        </is>
      </c>
      <c r="D892" s="14" t="inlineStr">
        <is>
          <t>CHETTAK GOLD</t>
        </is>
      </c>
      <c r="E892" s="13" t="inlineStr">
        <is>
          <t>Inseticida</t>
        </is>
      </c>
      <c r="F892" s="13" t="inlineStr">
        <is>
          <t>Mosca-branca</t>
        </is>
      </c>
      <c r="G892" s="13" t="inlineStr">
        <is>
          <t>Bemisia tabaci raça B</t>
        </is>
      </c>
      <c r="H892" s="13" t="inlineStr">
        <is>
          <t>NÃO</t>
        </is>
      </c>
      <c r="I892" s="18" t="n">
        <v>0.8</v>
      </c>
      <c r="J892" s="15" t="n">
        <v>1</v>
      </c>
      <c r="K892" s="13" t="inlineStr">
        <is>
          <t>kg/ha</t>
        </is>
      </c>
      <c r="L892" s="15" t="n">
        <v>1</v>
      </c>
      <c r="M892" s="13" t="inlineStr">
        <is>
          <t>Aplicar conforme monitoramento e estádio recomendado na bula (IRAC Grupo 1B)</t>
        </is>
      </c>
    </row>
    <row r="893" ht="22" customHeight="1">
      <c r="A893" s="6" t="inlineStr">
        <is>
          <t>ALV-0889</t>
        </is>
      </c>
      <c r="B893" s="5" t="n">
        <v>467</v>
      </c>
      <c r="C893" s="7" t="inlineStr">
        <is>
          <t>Nº 15925</t>
        </is>
      </c>
      <c r="D893" s="8" t="inlineStr">
        <is>
          <t>CHETTAK GOLD</t>
        </is>
      </c>
      <c r="E893" s="7" t="inlineStr">
        <is>
          <t>Inseticida</t>
        </is>
      </c>
      <c r="F893" s="7" t="inlineStr">
        <is>
          <t>Tripes</t>
        </is>
      </c>
      <c r="G893" s="7" t="inlineStr">
        <is>
          <t>Caliothrips phaseoli</t>
        </is>
      </c>
      <c r="H893" s="7" t="inlineStr">
        <is>
          <t>NÃO</t>
        </is>
      </c>
      <c r="I893" s="17" t="n">
        <v>0.5</v>
      </c>
      <c r="J893" s="17" t="n">
        <v>0.8</v>
      </c>
      <c r="K893" s="7" t="inlineStr">
        <is>
          <t>kg/ha</t>
        </is>
      </c>
      <c r="L893" s="9" t="n">
        <v>1</v>
      </c>
      <c r="M893" s="7" t="inlineStr">
        <is>
          <t>Aplicar conforme monitoramento e estádio recomendado na bula (IRAC Grupo 1B)</t>
        </is>
      </c>
    </row>
    <row r="894" ht="22" customHeight="1">
      <c r="A894" s="12" t="inlineStr">
        <is>
          <t>ALV-0890</t>
        </is>
      </c>
      <c r="B894" s="11" t="n">
        <v>468</v>
      </c>
      <c r="C894" s="13" t="inlineStr">
        <is>
          <t>SIPEAGRO (UF-XXXXX)</t>
        </is>
      </c>
      <c r="D894" s="14" t="inlineStr">
        <is>
          <t>NPK 05-30-10 BB MCF (TON) (AGENCIADA)</t>
        </is>
      </c>
      <c r="E894" s="13" t="inlineStr">
        <is>
          <t>Fertilizante Mineral Misto (NPK / NP)</t>
        </is>
      </c>
      <c r="F894" s="13" t="inlineStr">
        <is>
          <t>Nutrição e Correção de Deficiência Mineral</t>
        </is>
      </c>
      <c r="G894" s="13" t="inlineStr">
        <is>
          <t>Nutrição Vegetal</t>
        </is>
      </c>
      <c r="H894" s="13" t="inlineStr">
        <is>
          <t>NÃO</t>
        </is>
      </c>
      <c r="I894" s="15" t="n">
        <v>1</v>
      </c>
      <c r="J894" s="15" t="n">
        <v>250</v>
      </c>
      <c r="K894" s="13" t="inlineStr">
        <is>
          <t>kg ou L/ha</t>
        </is>
      </c>
      <c r="L894" s="15" t="n">
        <v>1</v>
      </c>
      <c r="M894" s="13" t="inlineStr">
        <is>
          <t>Aplicar conforme monitoramento e estádio recomendado na bula (Nutrição Vegetal SIPEAGRO)</t>
        </is>
      </c>
    </row>
    <row r="895" ht="22" customHeight="1">
      <c r="A895" s="6" t="inlineStr">
        <is>
          <t>ALV-0891</t>
        </is>
      </c>
      <c r="B895" s="5" t="n">
        <v>469</v>
      </c>
      <c r="C895" s="7" t="inlineStr">
        <is>
          <t>SIPEAGRO (UF-XXXXX)</t>
        </is>
      </c>
      <c r="D895" s="8" t="inlineStr">
        <is>
          <t>NPK 20-00-20 (TON) (AGENCIADA)</t>
        </is>
      </c>
      <c r="E895" s="7" t="inlineStr">
        <is>
          <t>Fertilizante Mineral Misto (NPK / NP)</t>
        </is>
      </c>
      <c r="F895" s="7" t="inlineStr">
        <is>
          <t>Nutrição e Correção de Deficiência Mineral</t>
        </is>
      </c>
      <c r="G895" s="7" t="inlineStr">
        <is>
          <t>Nutrição Vegetal</t>
        </is>
      </c>
      <c r="H895" s="7" t="inlineStr">
        <is>
          <t>NÃO</t>
        </is>
      </c>
      <c r="I895" s="9" t="n">
        <v>1</v>
      </c>
      <c r="J895" s="9" t="n">
        <v>250</v>
      </c>
      <c r="K895" s="7" t="inlineStr">
        <is>
          <t>kg ou L/ha</t>
        </is>
      </c>
      <c r="L895" s="9" t="n">
        <v>1</v>
      </c>
      <c r="M895" s="7" t="inlineStr">
        <is>
          <t>Aplicar conforme monitoramento e estádio recomendado na bula (Nutrição Vegetal SIPEAGRO)</t>
        </is>
      </c>
    </row>
    <row r="896" ht="22" customHeight="1">
      <c r="A896" s="12" t="inlineStr">
        <is>
          <t>ALV-0892</t>
        </is>
      </c>
      <c r="B896" s="11" t="n">
        <v>470</v>
      </c>
      <c r="C896" s="13" t="inlineStr">
        <is>
          <t>Nº 23922</t>
        </is>
      </c>
      <c r="D896" s="14" t="inlineStr">
        <is>
          <t>GRASIDIM FULL</t>
        </is>
      </c>
      <c r="E896" s="13" t="inlineStr">
        <is>
          <t>Herbicida</t>
        </is>
      </c>
      <c r="F896" s="13" t="inlineStr">
        <is>
          <t>Capim-amargoso</t>
        </is>
      </c>
      <c r="G896" s="13" t="inlineStr">
        <is>
          <t>Digitaria insularis</t>
        </is>
      </c>
      <c r="H896" s="13" t="inlineStr">
        <is>
          <t>SIM (*)</t>
        </is>
      </c>
      <c r="I896" s="18" t="n">
        <v>0.45</v>
      </c>
      <c r="J896" s="18" t="n">
        <v>0.85</v>
      </c>
      <c r="K896" s="13" t="inlineStr">
        <is>
          <t>L/ha</t>
        </is>
      </c>
      <c r="L896" s="15" t="n">
        <v>1</v>
      </c>
      <c r="M896" s="13" t="inlineStr">
        <is>
          <t>Aplicar conforme monitoramento e estádio recomendado na bula (HRAC Grupo A (1) — Inibidores da ACCase)</t>
        </is>
      </c>
    </row>
    <row r="897" ht="22" customHeight="1">
      <c r="A897" s="6" t="inlineStr">
        <is>
          <t>ALV-0893</t>
        </is>
      </c>
      <c r="B897" s="5" t="n">
        <v>470</v>
      </c>
      <c r="C897" s="7" t="inlineStr">
        <is>
          <t>Nº 23922</t>
        </is>
      </c>
      <c r="D897" s="8" t="inlineStr">
        <is>
          <t>GRASIDIM FULL</t>
        </is>
      </c>
      <c r="E897" s="7" t="inlineStr">
        <is>
          <t>Herbicida</t>
        </is>
      </c>
      <c r="F897" s="7" t="inlineStr">
        <is>
          <t>Capim-pé-de-galinha</t>
        </is>
      </c>
      <c r="G897" s="7" t="inlineStr">
        <is>
          <t>Eleusine indica</t>
        </is>
      </c>
      <c r="H897" s="7" t="inlineStr">
        <is>
          <t>SIM (*)</t>
        </is>
      </c>
      <c r="I897" s="17" t="n">
        <v>0.35</v>
      </c>
      <c r="J897" s="17" t="n">
        <v>0.45</v>
      </c>
      <c r="K897" s="7" t="inlineStr">
        <is>
          <t>L/ha</t>
        </is>
      </c>
      <c r="L897" s="9" t="n">
        <v>1</v>
      </c>
      <c r="M897" s="7" t="inlineStr">
        <is>
          <t>Aplicar conforme monitoramento e estádio recomendado na bula (HRAC Grupo A (1) — Inibidores da ACCase)</t>
        </is>
      </c>
    </row>
    <row r="898" ht="22" customHeight="1">
      <c r="A898" s="12" t="inlineStr">
        <is>
          <t>ALV-0894</t>
        </is>
      </c>
      <c r="B898" s="11" t="n">
        <v>470</v>
      </c>
      <c r="C898" s="13" t="inlineStr">
        <is>
          <t>Nº 23922</t>
        </is>
      </c>
      <c r="D898" s="14" t="inlineStr">
        <is>
          <t>GRASIDIM FULL</t>
        </is>
      </c>
      <c r="E898" s="13" t="inlineStr">
        <is>
          <t>Herbicida</t>
        </is>
      </c>
      <c r="F898" s="13" t="inlineStr">
        <is>
          <t>Milho-voluntário (Tiguera)</t>
        </is>
      </c>
      <c r="G898" s="13" t="inlineStr">
        <is>
          <t>Zea mays</t>
        </is>
      </c>
      <c r="H898" s="13" t="inlineStr">
        <is>
          <t>NÃO</t>
        </is>
      </c>
      <c r="I898" s="18" t="n">
        <v>0.4</v>
      </c>
      <c r="J898" s="18" t="n">
        <v>0.6</v>
      </c>
      <c r="K898" s="13" t="inlineStr">
        <is>
          <t>L/ha</t>
        </is>
      </c>
      <c r="L898" s="15" t="n">
        <v>1</v>
      </c>
      <c r="M898" s="13" t="inlineStr">
        <is>
          <t>Aplicar conforme monitoramento e estádio recomendado na bula (HRAC Grupo A (1) — Inibidores da ACCase)</t>
        </is>
      </c>
    </row>
    <row r="899" ht="22" customHeight="1">
      <c r="A899" s="6" t="inlineStr">
        <is>
          <t>ALV-0895</t>
        </is>
      </c>
      <c r="B899" s="5" t="n">
        <v>471</v>
      </c>
      <c r="C899" s="7" t="inlineStr">
        <is>
          <t>Nº 31522</t>
        </is>
      </c>
      <c r="D899" s="8" t="inlineStr">
        <is>
          <t>METOMY 900</t>
        </is>
      </c>
      <c r="E899" s="7" t="inlineStr">
        <is>
          <t>Inseticida</t>
        </is>
      </c>
      <c r="F899" s="7" t="inlineStr">
        <is>
          <t>Lagarta-helicoverpa</t>
        </is>
      </c>
      <c r="G899" s="7" t="inlineStr">
        <is>
          <t>Helicoverpa armigera</t>
        </is>
      </c>
      <c r="H899" s="7" t="inlineStr">
        <is>
          <t>NÃO</t>
        </is>
      </c>
      <c r="I899" s="17" t="n">
        <v>0.2</v>
      </c>
      <c r="J899" s="17" t="n">
        <v>0.5</v>
      </c>
      <c r="K899" s="7" t="inlineStr">
        <is>
          <t>kg ou L/ha</t>
        </is>
      </c>
      <c r="L899" s="9" t="n">
        <v>1</v>
      </c>
      <c r="M899" s="7" t="inlineStr">
        <is>
          <t>Aplicar conforme monitoramento e estádio recomendado na bula (IRAC Grupo 1A)</t>
        </is>
      </c>
    </row>
    <row r="900" ht="22" customHeight="1">
      <c r="A900" s="12" t="inlineStr">
        <is>
          <t>ALV-0896</t>
        </is>
      </c>
      <c r="B900" s="11" t="n">
        <v>471</v>
      </c>
      <c r="C900" s="13" t="inlineStr">
        <is>
          <t>Nº 31522</t>
        </is>
      </c>
      <c r="D900" s="14" t="inlineStr">
        <is>
          <t>METOMY 900</t>
        </is>
      </c>
      <c r="E900" s="13" t="inlineStr">
        <is>
          <t>Inseticida</t>
        </is>
      </c>
      <c r="F900" s="13" t="inlineStr">
        <is>
          <t>Lagarta-do-cartucho</t>
        </is>
      </c>
      <c r="G900" s="13" t="inlineStr">
        <is>
          <t>Spodoptera frugiperda</t>
        </is>
      </c>
      <c r="H900" s="13" t="inlineStr">
        <is>
          <t>NÃO</t>
        </is>
      </c>
      <c r="I900" s="18" t="n">
        <v>0.15</v>
      </c>
      <c r="J900" s="18" t="n">
        <v>0.3</v>
      </c>
      <c r="K900" s="13" t="inlineStr">
        <is>
          <t>kg ou L/ha</t>
        </is>
      </c>
      <c r="L900" s="15" t="n">
        <v>1</v>
      </c>
      <c r="M900" s="13" t="inlineStr">
        <is>
          <t>Aplicar conforme monitoramento e estádio recomendado na bula (IRAC Grupo 1A)</t>
        </is>
      </c>
    </row>
    <row r="901" ht="22" customHeight="1">
      <c r="A901" s="6" t="inlineStr">
        <is>
          <t>ALV-0897</t>
        </is>
      </c>
      <c r="B901" s="5" t="n">
        <v>471</v>
      </c>
      <c r="C901" s="7" t="inlineStr">
        <is>
          <t>Nº 31522</t>
        </is>
      </c>
      <c r="D901" s="8" t="inlineStr">
        <is>
          <t>METOMY 900</t>
        </is>
      </c>
      <c r="E901" s="7" t="inlineStr">
        <is>
          <t>Inseticida</t>
        </is>
      </c>
      <c r="F901" s="7" t="inlineStr">
        <is>
          <t>Lagarta-da-soja</t>
        </is>
      </c>
      <c r="G901" s="7" t="inlineStr">
        <is>
          <t>Anticarsia gemmatalis</t>
        </is>
      </c>
      <c r="H901" s="7" t="inlineStr">
        <is>
          <t>NÃO</t>
        </is>
      </c>
      <c r="I901" s="17" t="n">
        <v>0.1</v>
      </c>
      <c r="J901" s="17" t="n">
        <v>0.2</v>
      </c>
      <c r="K901" s="7" t="inlineStr">
        <is>
          <t>kg ou L/ha</t>
        </is>
      </c>
      <c r="L901" s="9" t="n">
        <v>1</v>
      </c>
      <c r="M901" s="7" t="inlineStr">
        <is>
          <t>Aplicar conforme monitoramento e estádio recomendado na bula (IRAC Grupo 1A)</t>
        </is>
      </c>
    </row>
    <row r="902" ht="22" customHeight="1">
      <c r="A902" s="12" t="inlineStr">
        <is>
          <t>ALV-0898</t>
        </is>
      </c>
      <c r="B902" s="11" t="n">
        <v>472</v>
      </c>
      <c r="C902" s="13" t="inlineStr">
        <is>
          <t>SIPEAGRO (UF-XXXXX)</t>
        </is>
      </c>
      <c r="D902" s="14" t="inlineStr">
        <is>
          <t>BORO ULEXITA (TON) (AGENCIADA)</t>
        </is>
      </c>
      <c r="E902" s="13" t="inlineStr">
        <is>
          <t>Fonte Mineral de Boro (Ulexita Natural)</t>
        </is>
      </c>
      <c r="F902" s="13" t="inlineStr">
        <is>
          <t>Correção de Acidez / Condicionamento de Perfil de Solo</t>
        </is>
      </c>
      <c r="G902" s="13" t="inlineStr">
        <is>
          <t>Solo Agrícola</t>
        </is>
      </c>
      <c r="H902" s="13" t="inlineStr">
        <is>
          <t>NÃO</t>
        </is>
      </c>
      <c r="I902" s="15" t="n">
        <v>500</v>
      </c>
      <c r="J902" s="15" t="n">
        <v>3000</v>
      </c>
      <c r="K902" s="13" t="inlineStr">
        <is>
          <t>kg/ha</t>
        </is>
      </c>
      <c r="L902" s="15" t="n">
        <v>1</v>
      </c>
      <c r="M902" s="13" t="inlineStr">
        <is>
          <t>Aplicar conforme monitoramento e estádio recomendado na bula (Correção Química de Solo)</t>
        </is>
      </c>
    </row>
    <row r="903" ht="22" customHeight="1">
      <c r="A903" s="6" t="inlineStr">
        <is>
          <t>ALV-0899</t>
        </is>
      </c>
      <c r="B903" s="5" t="n">
        <v>473</v>
      </c>
      <c r="C903" s="7" t="inlineStr">
        <is>
          <t>SIPEAGRO (UF-XXXXX)</t>
        </is>
      </c>
      <c r="D903" s="8" t="inlineStr">
        <is>
          <t>BORO ULEXITA (TON) (IMP)</t>
        </is>
      </c>
      <c r="E903" s="7" t="inlineStr">
        <is>
          <t>Fonte Mineral de Boro (Ulexita Natural)</t>
        </is>
      </c>
      <c r="F903" s="7" t="inlineStr">
        <is>
          <t>Correção de Acidez / Condicionamento de Perfil de Solo</t>
        </is>
      </c>
      <c r="G903" s="7" t="inlineStr">
        <is>
          <t>Solo Agrícola</t>
        </is>
      </c>
      <c r="H903" s="7" t="inlineStr">
        <is>
          <t>NÃO</t>
        </is>
      </c>
      <c r="I903" s="9" t="n">
        <v>500</v>
      </c>
      <c r="J903" s="9" t="n">
        <v>3000</v>
      </c>
      <c r="K903" s="7" t="inlineStr">
        <is>
          <t>kg/ha</t>
        </is>
      </c>
      <c r="L903" s="9" t="n">
        <v>1</v>
      </c>
      <c r="M903" s="7" t="inlineStr">
        <is>
          <t>Aplicar conforme monitoramento e estádio recomendado na bula (Correção Química de Solo)</t>
        </is>
      </c>
    </row>
    <row r="904" ht="22" customHeight="1">
      <c r="A904" s="12" t="inlineStr">
        <is>
          <t>ALV-0900</t>
        </is>
      </c>
      <c r="B904" s="11" t="n">
        <v>474</v>
      </c>
      <c r="C904" s="13" t="inlineStr">
        <is>
          <t>Nº 20920</t>
        </is>
      </c>
      <c r="D904" s="14" t="inlineStr">
        <is>
          <t>TERBUTILAZINA 500 (PRINCIPIO ATIVO)</t>
        </is>
      </c>
      <c r="E904" s="13" t="inlineStr">
        <is>
          <t>Insumo Industrial</t>
        </is>
      </c>
      <c r="F904" s="13" t="inlineStr">
        <is>
          <t>Matéria-prima para Formulação Industrial</t>
        </is>
      </c>
      <c r="G904" s="13" t="inlineStr">
        <is>
          <t>Uso Industrial Credenciado MAPA</t>
        </is>
      </c>
      <c r="H904" s="13" t="inlineStr">
        <is>
          <t>NÃO</t>
        </is>
      </c>
      <c r="I904" s="15" t="n">
        <v>0</v>
      </c>
      <c r="J904" s="15" t="n">
        <v>0</v>
      </c>
      <c r="K904" s="13" t="inlineStr">
        <is>
          <t>L</t>
        </is>
      </c>
      <c r="L904" s="15" t="n">
        <v>1</v>
      </c>
      <c r="M904" s="13" t="inlineStr">
        <is>
          <t>Uso restrito a estabelecimentos formuladores registrados</t>
        </is>
      </c>
    </row>
    <row r="905" ht="22" customHeight="1">
      <c r="A905" s="6" t="inlineStr">
        <is>
          <t>ALV-0901</t>
        </is>
      </c>
      <c r="B905" s="5" t="n">
        <v>475</v>
      </c>
      <c r="C905" s="7" t="inlineStr">
        <is>
          <t>Nº 3623</t>
        </is>
      </c>
      <c r="D905" s="8" t="inlineStr">
        <is>
          <t>SUNGAIN PLUS 4X5(IMP)</t>
        </is>
      </c>
      <c r="E905" s="7" t="inlineStr">
        <is>
          <t>Herbicida</t>
        </is>
      </c>
      <c r="F905" s="7" t="inlineStr">
        <is>
          <t>Buva</t>
        </is>
      </c>
      <c r="G905" s="7" t="inlineStr">
        <is>
          <t>Conyza bonariensis</t>
        </is>
      </c>
      <c r="H905" s="7" t="inlineStr">
        <is>
          <t>NÃO</t>
        </is>
      </c>
      <c r="I905" s="17" t="n">
        <v>0.1</v>
      </c>
      <c r="J905" s="17" t="n">
        <v>0.2</v>
      </c>
      <c r="K905" s="7" t="inlineStr">
        <is>
          <t>L ou kg/ha</t>
        </is>
      </c>
      <c r="L905" s="9" t="n">
        <v>1</v>
      </c>
      <c r="M905" s="7" t="inlineStr">
        <is>
          <t>Aplicar conforme monitoramento e estádio recomendado na bula (HRAC Grupo E (14) — Inibidores da PROTOX)</t>
        </is>
      </c>
    </row>
    <row r="906" ht="22" customHeight="1">
      <c r="A906" s="12" t="inlineStr">
        <is>
          <t>ALV-0902</t>
        </is>
      </c>
      <c r="B906" s="11" t="n">
        <v>475</v>
      </c>
      <c r="C906" s="13" t="inlineStr">
        <is>
          <t>Nº 3623</t>
        </is>
      </c>
      <c r="D906" s="14" t="inlineStr">
        <is>
          <t>SUNGAIN PLUS 4X5(IMP)</t>
        </is>
      </c>
      <c r="E906" s="13" t="inlineStr">
        <is>
          <t>Herbicida</t>
        </is>
      </c>
      <c r="F906" s="13" t="inlineStr">
        <is>
          <t>Caruru</t>
        </is>
      </c>
      <c r="G906" s="13" t="inlineStr">
        <is>
          <t>Amaranthus hybridus</t>
        </is>
      </c>
      <c r="H906" s="13" t="inlineStr">
        <is>
          <t>NÃO</t>
        </is>
      </c>
      <c r="I906" s="18" t="n">
        <v>0.1</v>
      </c>
      <c r="J906" s="18" t="n">
        <v>0.2</v>
      </c>
      <c r="K906" s="13" t="inlineStr">
        <is>
          <t>L ou kg/ha</t>
        </is>
      </c>
      <c r="L906" s="15" t="n">
        <v>1</v>
      </c>
      <c r="M906" s="13" t="inlineStr">
        <is>
          <t>Aplicar conforme monitoramento e estádio recomendado na bula (HRAC Grupo E (14) — Inibidores da PROTOX)</t>
        </is>
      </c>
    </row>
    <row r="907" ht="22" customHeight="1">
      <c r="A907" s="6" t="inlineStr">
        <is>
          <t>ALV-0903</t>
        </is>
      </c>
      <c r="B907" s="5" t="n">
        <v>475</v>
      </c>
      <c r="C907" s="7" t="inlineStr">
        <is>
          <t>Nº 3623</t>
        </is>
      </c>
      <c r="D907" s="8" t="inlineStr">
        <is>
          <t>SUNGAIN PLUS 4X5(IMP)</t>
        </is>
      </c>
      <c r="E907" s="7" t="inlineStr">
        <is>
          <t>Herbicida</t>
        </is>
      </c>
      <c r="F907" s="7" t="inlineStr">
        <is>
          <t>Poaia-branca</t>
        </is>
      </c>
      <c r="G907" s="7" t="inlineStr">
        <is>
          <t>Richardia brasiliensis</t>
        </is>
      </c>
      <c r="H907" s="7" t="inlineStr">
        <is>
          <t>NÃO</t>
        </is>
      </c>
      <c r="I907" s="17" t="n">
        <v>0.1</v>
      </c>
      <c r="J907" s="17" t="n">
        <v>0.15</v>
      </c>
      <c r="K907" s="7" t="inlineStr">
        <is>
          <t>L ou kg/ha</t>
        </is>
      </c>
      <c r="L907" s="9" t="n">
        <v>1</v>
      </c>
      <c r="M907" s="7" t="inlineStr">
        <is>
          <t>Aplicar conforme monitoramento e estádio recomendado na bula (HRAC Grupo E (14) — Inibidores da PROTOX)</t>
        </is>
      </c>
    </row>
    <row r="908" ht="22" customHeight="1">
      <c r="A908" s="12" t="inlineStr">
        <is>
          <t>ALV-0904</t>
        </is>
      </c>
      <c r="B908" s="11" t="n">
        <v>476</v>
      </c>
      <c r="C908" s="13" t="inlineStr">
        <is>
          <t>Nº 32224</t>
        </is>
      </c>
      <c r="D908" s="14" t="inlineStr">
        <is>
          <t>PYRIPROXYFEN 100 SINO-AGRI</t>
        </is>
      </c>
      <c r="E908" s="13" t="inlineStr">
        <is>
          <t>Inseticida</t>
        </is>
      </c>
      <c r="F908" s="13" t="inlineStr">
        <is>
          <t>Mosca-branca</t>
        </is>
      </c>
      <c r="G908" s="13" t="inlineStr">
        <is>
          <t>Bemisia tabaci raça B</t>
        </is>
      </c>
      <c r="H908" s="13" t="inlineStr">
        <is>
          <t>SIM (*)</t>
        </is>
      </c>
      <c r="I908" s="18" t="n">
        <v>0.25</v>
      </c>
      <c r="J908" s="18" t="n">
        <v>0.5</v>
      </c>
      <c r="K908" s="13" t="inlineStr">
        <is>
          <t>L/ha</t>
        </is>
      </c>
      <c r="L908" s="15" t="n">
        <v>1</v>
      </c>
      <c r="M908" s="13" t="inlineStr">
        <is>
          <t>Aplicar conforme monitoramento e estádio recomendado na bula (IRAC Grupo 7C)</t>
        </is>
      </c>
    </row>
    <row r="909" ht="22" customHeight="1">
      <c r="A909" s="6" t="inlineStr">
        <is>
          <t>ALV-0905</t>
        </is>
      </c>
      <c r="B909" s="5" t="n">
        <v>476</v>
      </c>
      <c r="C909" s="7" t="inlineStr">
        <is>
          <t>Nº 32224</t>
        </is>
      </c>
      <c r="D909" s="8" t="inlineStr">
        <is>
          <t>PYRIPROXYFEN 100 SINO-AGRI</t>
        </is>
      </c>
      <c r="E909" s="7" t="inlineStr">
        <is>
          <t>Inseticida</t>
        </is>
      </c>
      <c r="F909" s="7" t="inlineStr">
        <is>
          <t>Cochonilha-escama-farinha</t>
        </is>
      </c>
      <c r="G909" s="7" t="inlineStr">
        <is>
          <t>Pinnaspis aspidistrae</t>
        </is>
      </c>
      <c r="H909" s="7" t="inlineStr">
        <is>
          <t>NÃO</t>
        </is>
      </c>
      <c r="I909" s="17" t="n">
        <v>0.5</v>
      </c>
      <c r="J909" s="17" t="n">
        <v>0.75</v>
      </c>
      <c r="K909" s="7" t="inlineStr">
        <is>
          <t>L/ha</t>
        </is>
      </c>
      <c r="L909" s="9" t="n">
        <v>1</v>
      </c>
      <c r="M909" s="7" t="inlineStr">
        <is>
          <t>Aplicar conforme monitoramento e estádio recomendado na bula (IRAC Grupo 7C)</t>
        </is>
      </c>
    </row>
    <row r="910" ht="22" customHeight="1">
      <c r="A910" s="12" t="inlineStr">
        <is>
          <t>ALV-0906</t>
        </is>
      </c>
      <c r="B910" s="11" t="n">
        <v>477</v>
      </c>
      <c r="C910" s="13" t="inlineStr">
        <is>
          <t>Nº 1924</t>
        </is>
      </c>
      <c r="D910" s="14" t="inlineStr">
        <is>
          <t>FORCEPS</t>
        </is>
      </c>
      <c r="E910" s="13" t="inlineStr">
        <is>
          <t>Inseticida</t>
        </is>
      </c>
      <c r="F910" s="13" t="inlineStr">
        <is>
          <t>Bicudo-do-algodoeiro</t>
        </is>
      </c>
      <c r="G910" s="13" t="inlineStr">
        <is>
          <t>Anthonomus grandis</t>
        </is>
      </c>
      <c r="H910" s="13" t="inlineStr">
        <is>
          <t>NÃO</t>
        </is>
      </c>
      <c r="I910" s="18" t="n">
        <v>0.15</v>
      </c>
      <c r="J910" s="18" t="n">
        <v>0.25</v>
      </c>
      <c r="K910" s="13" t="inlineStr">
        <is>
          <t>L/ha</t>
        </is>
      </c>
      <c r="L910" s="15" t="n">
        <v>1</v>
      </c>
      <c r="M910" s="13" t="inlineStr">
        <is>
          <t>Aplicar conforme monitoramento e estádio recomendado na bula (IRAC Grupo 3A)</t>
        </is>
      </c>
    </row>
    <row r="911" ht="22" customHeight="1">
      <c r="A911" s="6" t="inlineStr">
        <is>
          <t>ALV-0907</t>
        </is>
      </c>
      <c r="B911" s="5" t="n">
        <v>477</v>
      </c>
      <c r="C911" s="7" t="inlineStr">
        <is>
          <t>Nº 1924</t>
        </is>
      </c>
      <c r="D911" s="8" t="inlineStr">
        <is>
          <t>FORCEPS</t>
        </is>
      </c>
      <c r="E911" s="7" t="inlineStr">
        <is>
          <t>Inseticida</t>
        </is>
      </c>
      <c r="F911" s="7" t="inlineStr">
        <is>
          <t>Mosca-branca</t>
        </is>
      </c>
      <c r="G911" s="7" t="inlineStr">
        <is>
          <t>Bemisia tabaci raça B</t>
        </is>
      </c>
      <c r="H911" s="7" t="inlineStr">
        <is>
          <t>SIM (*)</t>
        </is>
      </c>
      <c r="I911" s="17" t="n">
        <v>0.125</v>
      </c>
      <c r="J911" s="17" t="n">
        <v>0.25</v>
      </c>
      <c r="K911" s="7" t="inlineStr">
        <is>
          <t>L/ha</t>
        </is>
      </c>
      <c r="L911" s="9" t="n">
        <v>1</v>
      </c>
      <c r="M911" s="7" t="inlineStr">
        <is>
          <t>Aplicar conforme monitoramento e estádio recomendado na bula (IRAC Grupo 3A)</t>
        </is>
      </c>
    </row>
    <row r="912" ht="22" customHeight="1">
      <c r="A912" s="12" t="inlineStr">
        <is>
          <t>ALV-0908</t>
        </is>
      </c>
      <c r="B912" s="11" t="n">
        <v>477</v>
      </c>
      <c r="C912" s="13" t="inlineStr">
        <is>
          <t>Nº 1924</t>
        </is>
      </c>
      <c r="D912" s="14" t="inlineStr">
        <is>
          <t>FORCEPS</t>
        </is>
      </c>
      <c r="E912" s="13" t="inlineStr">
        <is>
          <t>Inseticida</t>
        </is>
      </c>
      <c r="F912" s="13" t="inlineStr">
        <is>
          <t>Ácaro-rajado</t>
        </is>
      </c>
      <c r="G912" s="13" t="inlineStr">
        <is>
          <t>Tetranychus urticae</t>
        </is>
      </c>
      <c r="H912" s="13" t="inlineStr">
        <is>
          <t>SIM (*)</t>
        </is>
      </c>
      <c r="I912" s="18" t="n">
        <v>0.15</v>
      </c>
      <c r="J912" s="18" t="n">
        <v>0.2</v>
      </c>
      <c r="K912" s="13" t="inlineStr">
        <is>
          <t>L/ha</t>
        </is>
      </c>
      <c r="L912" s="15" t="n">
        <v>1</v>
      </c>
      <c r="M912" s="13" t="inlineStr">
        <is>
          <t>Aplicar conforme monitoramento e estádio recomendado na bula (IRAC Grupo 3A)</t>
        </is>
      </c>
    </row>
    <row r="913" ht="22" customHeight="1">
      <c r="A913" s="6" t="inlineStr">
        <is>
          <t>ALV-0909</t>
        </is>
      </c>
      <c r="B913" s="5" t="n">
        <v>478</v>
      </c>
      <c r="C913" s="7" t="inlineStr">
        <is>
          <t>VINCULAR MARCA</t>
        </is>
      </c>
      <c r="D913" s="8" t="inlineStr">
        <is>
          <t>PROCIMIDONA 500 (PRINCIPIO ATIVO)</t>
        </is>
      </c>
      <c r="E913" s="7" t="inlineStr">
        <is>
          <t>Insumo Industrial</t>
        </is>
      </c>
      <c r="F913" s="7" t="inlineStr">
        <is>
          <t>Matéria-prima para Formulação Industrial</t>
        </is>
      </c>
      <c r="G913" s="7" t="inlineStr">
        <is>
          <t>Uso Industrial Credenciado MAPA</t>
        </is>
      </c>
      <c r="H913" s="7" t="inlineStr">
        <is>
          <t>NÃO</t>
        </is>
      </c>
      <c r="I913" s="9" t="n">
        <v>0</v>
      </c>
      <c r="J913" s="9" t="n">
        <v>0</v>
      </c>
      <c r="K913" s="7" t="inlineStr">
        <is>
          <t>L</t>
        </is>
      </c>
      <c r="L913" s="9" t="n">
        <v>1</v>
      </c>
      <c r="M913" s="7" t="inlineStr">
        <is>
          <t>Uso restrito a estabelecimentos formuladores registrados</t>
        </is>
      </c>
    </row>
    <row r="914" ht="22" customHeight="1">
      <c r="A914" s="12" t="inlineStr">
        <is>
          <t>ALV-0910</t>
        </is>
      </c>
      <c r="B914" s="11" t="n">
        <v>479</v>
      </c>
      <c r="C914" s="13" t="inlineStr">
        <is>
          <t>Nº 19018</t>
        </is>
      </c>
      <c r="D914" s="14" t="inlineStr">
        <is>
          <t>CARTAGO</t>
        </is>
      </c>
      <c r="E914" s="13" t="inlineStr">
        <is>
          <t>Herbicida</t>
        </is>
      </c>
      <c r="F914" s="13" t="inlineStr">
        <is>
          <t>Capim-amargoso</t>
        </is>
      </c>
      <c r="G914" s="13" t="inlineStr">
        <is>
          <t>Digitaria insularis</t>
        </is>
      </c>
      <c r="H914" s="13" t="inlineStr">
        <is>
          <t>SIM (*)</t>
        </is>
      </c>
      <c r="I914" s="18" t="n">
        <v>0.45</v>
      </c>
      <c r="J914" s="18" t="n">
        <v>0.85</v>
      </c>
      <c r="K914" s="13" t="inlineStr">
        <is>
          <t>L/ha</t>
        </is>
      </c>
      <c r="L914" s="15" t="n">
        <v>1</v>
      </c>
      <c r="M914" s="13" t="inlineStr">
        <is>
          <t>Aplicar conforme monitoramento e estádio recomendado na bula (HRAC Grupo A (1) — Inibidores da ACCase)</t>
        </is>
      </c>
    </row>
    <row r="915" ht="22" customHeight="1">
      <c r="A915" s="6" t="inlineStr">
        <is>
          <t>ALV-0911</t>
        </is>
      </c>
      <c r="B915" s="5" t="n">
        <v>479</v>
      </c>
      <c r="C915" s="7" t="inlineStr">
        <is>
          <t>Nº 19018</t>
        </is>
      </c>
      <c r="D915" s="8" t="inlineStr">
        <is>
          <t>CARTAGO</t>
        </is>
      </c>
      <c r="E915" s="7" t="inlineStr">
        <is>
          <t>Herbicida</t>
        </is>
      </c>
      <c r="F915" s="7" t="inlineStr">
        <is>
          <t>Capim-pé-de-galinha</t>
        </is>
      </c>
      <c r="G915" s="7" t="inlineStr">
        <is>
          <t>Eleusine indica</t>
        </is>
      </c>
      <c r="H915" s="7" t="inlineStr">
        <is>
          <t>SIM (*)</t>
        </is>
      </c>
      <c r="I915" s="17" t="n">
        <v>0.35</v>
      </c>
      <c r="J915" s="17" t="n">
        <v>0.45</v>
      </c>
      <c r="K915" s="7" t="inlineStr">
        <is>
          <t>L/ha</t>
        </is>
      </c>
      <c r="L915" s="9" t="n">
        <v>1</v>
      </c>
      <c r="M915" s="7" t="inlineStr">
        <is>
          <t>Aplicar conforme monitoramento e estádio recomendado na bula (HRAC Grupo A (1) — Inibidores da ACCase)</t>
        </is>
      </c>
    </row>
    <row r="916" ht="22" customHeight="1">
      <c r="A916" s="12" t="inlineStr">
        <is>
          <t>ALV-0912</t>
        </is>
      </c>
      <c r="B916" s="11" t="n">
        <v>479</v>
      </c>
      <c r="C916" s="13" t="inlineStr">
        <is>
          <t>Nº 19018</t>
        </is>
      </c>
      <c r="D916" s="14" t="inlineStr">
        <is>
          <t>CARTAGO</t>
        </is>
      </c>
      <c r="E916" s="13" t="inlineStr">
        <is>
          <t>Herbicida</t>
        </is>
      </c>
      <c r="F916" s="13" t="inlineStr">
        <is>
          <t>Milho-voluntário (Tiguera)</t>
        </is>
      </c>
      <c r="G916" s="13" t="inlineStr">
        <is>
          <t>Zea mays</t>
        </is>
      </c>
      <c r="H916" s="13" t="inlineStr">
        <is>
          <t>NÃO</t>
        </is>
      </c>
      <c r="I916" s="18" t="n">
        <v>0.4</v>
      </c>
      <c r="J916" s="18" t="n">
        <v>0.6</v>
      </c>
      <c r="K916" s="13" t="inlineStr">
        <is>
          <t>L/ha</t>
        </is>
      </c>
      <c r="L916" s="15" t="n">
        <v>1</v>
      </c>
      <c r="M916" s="13" t="inlineStr">
        <is>
          <t>Aplicar conforme monitoramento e estádio recomendado na bula (HRAC Grupo A (1) — Inibidores da ACCase)</t>
        </is>
      </c>
    </row>
    <row r="917" ht="22" customHeight="1">
      <c r="A917" s="6" t="inlineStr">
        <is>
          <t>ALV-0913</t>
        </is>
      </c>
      <c r="B917" s="5" t="n">
        <v>480</v>
      </c>
      <c r="C917" s="7" t="inlineStr">
        <is>
          <t>ISENTO (ATO 104/2017)</t>
        </is>
      </c>
      <c r="D917" s="8" t="inlineStr">
        <is>
          <t>AGRICOIL PREMIUM</t>
        </is>
      </c>
      <c r="E917" s="7" t="inlineStr">
        <is>
          <t>Óleo Vegetal / Éster Metílico / D-Limoneno Adjuvante</t>
        </is>
      </c>
      <c r="F917" s="7" t="inlineStr">
        <is>
          <t>Otimização de Gota, Espalhamento e Redução de Deriva</t>
        </is>
      </c>
      <c r="G917" s="7" t="inlineStr">
        <is>
          <t>Tecnologia de Aplicação</t>
        </is>
      </c>
      <c r="H917" s="7" t="inlineStr">
        <is>
          <t>NÃO</t>
        </is>
      </c>
      <c r="I917" s="17" t="n">
        <v>0.25</v>
      </c>
      <c r="J917" s="9" t="n">
        <v>1</v>
      </c>
      <c r="K917" s="7" t="inlineStr">
        <is>
          <t>% v/v na calda</t>
        </is>
      </c>
      <c r="L917" s="9" t="n">
        <v>1</v>
      </c>
      <c r="M917" s="7" t="inlineStr">
        <is>
          <t>Aplicar conforme monitoramento e estádio recomendado na bula (Adjuvante Tecnológico de Pulverização)</t>
        </is>
      </c>
    </row>
    <row r="918" ht="22" customHeight="1">
      <c r="A918" s="12" t="inlineStr">
        <is>
          <t>ALV-0914</t>
        </is>
      </c>
      <c r="B918" s="11" t="n">
        <v>481</v>
      </c>
      <c r="C918" s="13" t="inlineStr">
        <is>
          <t>Nº 10122</t>
        </is>
      </c>
      <c r="D918" s="14" t="inlineStr">
        <is>
          <t>SONDA HT</t>
        </is>
      </c>
      <c r="E918" s="13" t="inlineStr">
        <is>
          <t>Herbicida</t>
        </is>
      </c>
      <c r="F918" s="13" t="inlineStr">
        <is>
          <t>Plantas Daninhas Mono e Dicotiledôneas</t>
        </is>
      </c>
      <c r="G918" s="13" t="inlineStr">
        <is>
          <t>Flora Infestante</t>
        </is>
      </c>
      <c r="H918" s="13" t="inlineStr">
        <is>
          <t>NÃO</t>
        </is>
      </c>
      <c r="I918" s="18" t="n">
        <v>0.25</v>
      </c>
      <c r="J918" s="15" t="n">
        <v>2</v>
      </c>
      <c r="K918" s="13" t="inlineStr">
        <is>
          <t>L ou kg/ha</t>
        </is>
      </c>
      <c r="L918" s="15" t="n">
        <v>1</v>
      </c>
      <c r="M918" s="13" t="inlineStr">
        <is>
          <t>Aplicar conforme monitoramento e estádio recomendado na bula (Classificação HRAC Oficial conforme Bula)</t>
        </is>
      </c>
    </row>
    <row r="919" ht="22" customHeight="1">
      <c r="A919" s="6" t="inlineStr">
        <is>
          <t>ALV-0915</t>
        </is>
      </c>
      <c r="B919" s="5" t="n">
        <v>482</v>
      </c>
      <c r="C919" s="7" t="inlineStr">
        <is>
          <t>VINCULAR MARCA</t>
        </is>
      </c>
      <c r="D919" s="8" t="inlineStr">
        <is>
          <t>BOSCALIDA 500 (PRINCIPIO ATIVO)</t>
        </is>
      </c>
      <c r="E919" s="7" t="inlineStr">
        <is>
          <t>Insumo Industrial</t>
        </is>
      </c>
      <c r="F919" s="7" t="inlineStr">
        <is>
          <t>Matéria-prima para Formulação Industrial</t>
        </is>
      </c>
      <c r="G919" s="7" t="inlineStr">
        <is>
          <t>Uso Industrial Credenciado MAPA</t>
        </is>
      </c>
      <c r="H919" s="7" t="inlineStr">
        <is>
          <t>NÃO</t>
        </is>
      </c>
      <c r="I919" s="9" t="n">
        <v>0</v>
      </c>
      <c r="J919" s="9" t="n">
        <v>0</v>
      </c>
      <c r="K919" s="7" t="inlineStr">
        <is>
          <t>KG</t>
        </is>
      </c>
      <c r="L919" s="9" t="n">
        <v>1</v>
      </c>
      <c r="M919" s="7" t="inlineStr">
        <is>
          <t>Uso restrito a estabelecimentos formuladores registrados</t>
        </is>
      </c>
    </row>
    <row r="920" ht="22" customHeight="1">
      <c r="A920" s="12" t="inlineStr">
        <is>
          <t>ALV-0916</t>
        </is>
      </c>
      <c r="B920" s="11" t="n">
        <v>483</v>
      </c>
      <c r="C920" s="13" t="inlineStr">
        <is>
          <t>Nº 40818</t>
        </is>
      </c>
      <c r="D920" s="14" t="inlineStr">
        <is>
          <t>GLUFOSINATE-AMMONIUN 200 SL YONON 0,200L AMOSTRA</t>
        </is>
      </c>
      <c r="E920" s="13" t="inlineStr">
        <is>
          <t>Herbicida</t>
        </is>
      </c>
      <c r="F920" s="13" t="inlineStr">
        <is>
          <t>Buva</t>
        </is>
      </c>
      <c r="G920" s="13" t="inlineStr">
        <is>
          <t>Conyza bonariensis</t>
        </is>
      </c>
      <c r="H920" s="13" t="inlineStr">
        <is>
          <t>NÃO</t>
        </is>
      </c>
      <c r="I920" s="15" t="n">
        <v>2</v>
      </c>
      <c r="J920" s="15" t="n">
        <v>3</v>
      </c>
      <c r="K920" s="13" t="inlineStr">
        <is>
          <t>L/ha</t>
        </is>
      </c>
      <c r="L920" s="15" t="n">
        <v>1</v>
      </c>
      <c r="M920" s="13" t="inlineStr">
        <is>
          <t>Aplicar conforme monitoramento e estádio recomendado na bula (HRAC Grupo H (10) — Inibidores da Glutamina Sintetase)</t>
        </is>
      </c>
    </row>
    <row r="921" ht="22" customHeight="1">
      <c r="A921" s="6" t="inlineStr">
        <is>
          <t>ALV-0917</t>
        </is>
      </c>
      <c r="B921" s="5" t="n">
        <v>483</v>
      </c>
      <c r="C921" s="7" t="inlineStr">
        <is>
          <t>Nº 40818</t>
        </is>
      </c>
      <c r="D921" s="8" t="inlineStr">
        <is>
          <t>GLUFOSINATE-AMMONIUN 200 SL YONON 0,200L AMOSTRA</t>
        </is>
      </c>
      <c r="E921" s="7" t="inlineStr">
        <is>
          <t>Herbicida</t>
        </is>
      </c>
      <c r="F921" s="7" t="inlineStr">
        <is>
          <t>Capim-pé-de-galinha</t>
        </is>
      </c>
      <c r="G921" s="7" t="inlineStr">
        <is>
          <t>Eleusine indica</t>
        </is>
      </c>
      <c r="H921" s="7" t="inlineStr">
        <is>
          <t>NÃO</t>
        </is>
      </c>
      <c r="I921" s="9" t="n">
        <v>2</v>
      </c>
      <c r="J921" s="17" t="n">
        <v>2.5</v>
      </c>
      <c r="K921" s="7" t="inlineStr">
        <is>
          <t>L/ha</t>
        </is>
      </c>
      <c r="L921" s="9" t="n">
        <v>1</v>
      </c>
      <c r="M921" s="7" t="inlineStr">
        <is>
          <t>Aplicar conforme monitoramento e estádio recomendado na bula (HRAC Grupo H (10) — Inibidores da Glutamina Sintetase)</t>
        </is>
      </c>
    </row>
    <row r="922" ht="22" customHeight="1">
      <c r="A922" s="12" t="inlineStr">
        <is>
          <t>ALV-0918</t>
        </is>
      </c>
      <c r="B922" s="11" t="n">
        <v>483</v>
      </c>
      <c r="C922" s="13" t="inlineStr">
        <is>
          <t>Nº 40818</t>
        </is>
      </c>
      <c r="D922" s="14" t="inlineStr">
        <is>
          <t>GLUFOSINATE-AMMONIUN 200 SL YONON 0,200L AMOSTRA</t>
        </is>
      </c>
      <c r="E922" s="13" t="inlineStr">
        <is>
          <t>Herbicida</t>
        </is>
      </c>
      <c r="F922" s="13" t="inlineStr">
        <is>
          <t>Caruru</t>
        </is>
      </c>
      <c r="G922" s="13" t="inlineStr">
        <is>
          <t>Amaranthus hybridus</t>
        </is>
      </c>
      <c r="H922" s="13" t="inlineStr">
        <is>
          <t>NÃO</t>
        </is>
      </c>
      <c r="I922" s="18" t="n">
        <v>1.5</v>
      </c>
      <c r="J922" s="18" t="n">
        <v>2.5</v>
      </c>
      <c r="K922" s="13" t="inlineStr">
        <is>
          <t>L/ha</t>
        </is>
      </c>
      <c r="L922" s="15" t="n">
        <v>1</v>
      </c>
      <c r="M922" s="13" t="inlineStr">
        <is>
          <t>Aplicar conforme monitoramento e estádio recomendado na bula (HRAC Grupo H (10) — Inibidores da Glutamina Sintetase)</t>
        </is>
      </c>
    </row>
    <row r="923" ht="22" customHeight="1">
      <c r="A923" s="6" t="inlineStr">
        <is>
          <t>ALV-0919</t>
        </is>
      </c>
      <c r="B923" s="5" t="n">
        <v>484</v>
      </c>
      <c r="C923" s="7" t="inlineStr">
        <is>
          <t>Nº 3224</t>
        </is>
      </c>
      <c r="D923" s="8" t="inlineStr">
        <is>
          <t>CHLOROTHALONIL</t>
        </is>
      </c>
      <c r="E923" s="7" t="inlineStr">
        <is>
          <t>Fungicida</t>
        </is>
      </c>
      <c r="F923" s="7" t="inlineStr">
        <is>
          <t>Ferrugem-asiática</t>
        </is>
      </c>
      <c r="G923" s="7" t="inlineStr">
        <is>
          <t>Phakopsora pachyrhizi</t>
        </is>
      </c>
      <c r="H923" s="7" t="inlineStr">
        <is>
          <t>NÃO</t>
        </is>
      </c>
      <c r="I923" s="17" t="n">
        <v>1.5</v>
      </c>
      <c r="J923" s="9" t="n">
        <v>2</v>
      </c>
      <c r="K923" s="7" t="inlineStr">
        <is>
          <t>L ou kg/ha</t>
        </is>
      </c>
      <c r="L923" s="9" t="n">
        <v>1</v>
      </c>
      <c r="M923" s="7" t="inlineStr">
        <is>
          <t>Aplicar conforme monitoramento e estádio recomendado na bula (FRAC Grupo M05 — Multissítio)</t>
        </is>
      </c>
    </row>
    <row r="924" ht="22" customHeight="1">
      <c r="A924" s="12" t="inlineStr">
        <is>
          <t>ALV-0920</t>
        </is>
      </c>
      <c r="B924" s="11" t="n">
        <v>484</v>
      </c>
      <c r="C924" s="13" t="inlineStr">
        <is>
          <t>Nº 3224</t>
        </is>
      </c>
      <c r="D924" s="14" t="inlineStr">
        <is>
          <t>CHLOROTHALONIL</t>
        </is>
      </c>
      <c r="E924" s="13" t="inlineStr">
        <is>
          <t>Fungicida</t>
        </is>
      </c>
      <c r="F924" s="13" t="inlineStr">
        <is>
          <t>Mancha-alvo</t>
        </is>
      </c>
      <c r="G924" s="13" t="inlineStr">
        <is>
          <t>Corynespora cassiicola</t>
        </is>
      </c>
      <c r="H924" s="13" t="inlineStr">
        <is>
          <t>NÃO</t>
        </is>
      </c>
      <c r="I924" s="18" t="n">
        <v>1.5</v>
      </c>
      <c r="J924" s="18" t="n">
        <v>2.5</v>
      </c>
      <c r="K924" s="13" t="inlineStr">
        <is>
          <t>L ou kg/ha</t>
        </is>
      </c>
      <c r="L924" s="15" t="n">
        <v>1</v>
      </c>
      <c r="M924" s="13" t="inlineStr">
        <is>
          <t>Aplicar conforme monitoramento e estádio recomendado na bula (FRAC Grupo M05 — Multissítio)</t>
        </is>
      </c>
    </row>
    <row r="925" ht="22" customHeight="1">
      <c r="A925" s="6" t="inlineStr">
        <is>
          <t>ALV-0921</t>
        </is>
      </c>
      <c r="B925" s="5" t="n">
        <v>484</v>
      </c>
      <c r="C925" s="7" t="inlineStr">
        <is>
          <t>Nº 3224</t>
        </is>
      </c>
      <c r="D925" s="8" t="inlineStr">
        <is>
          <t>CHLOROTHALONIL</t>
        </is>
      </c>
      <c r="E925" s="7" t="inlineStr">
        <is>
          <t>Fungicida</t>
        </is>
      </c>
      <c r="F925" s="7" t="inlineStr">
        <is>
          <t>Cercosporiose</t>
        </is>
      </c>
      <c r="G925" s="7" t="inlineStr">
        <is>
          <t>Cercospora kikuchii</t>
        </is>
      </c>
      <c r="H925" s="7" t="inlineStr">
        <is>
          <t>NÃO</t>
        </is>
      </c>
      <c r="I925" s="17" t="n">
        <v>1.5</v>
      </c>
      <c r="J925" s="9" t="n">
        <v>2</v>
      </c>
      <c r="K925" s="7" t="inlineStr">
        <is>
          <t>L ou kg/ha</t>
        </is>
      </c>
      <c r="L925" s="9" t="n">
        <v>1</v>
      </c>
      <c r="M925" s="7" t="inlineStr">
        <is>
          <t>Aplicar conforme monitoramento e estádio recomendado na bula (FRAC Grupo M05 — Multissítio)</t>
        </is>
      </c>
    </row>
    <row r="926" ht="22" customHeight="1">
      <c r="A926" s="12" t="inlineStr">
        <is>
          <t>ALV-0922</t>
        </is>
      </c>
      <c r="B926" s="11" t="n">
        <v>485</v>
      </c>
      <c r="C926" s="13" t="inlineStr">
        <is>
          <t>Nº 16724</t>
        </is>
      </c>
      <c r="D926" s="14" t="inlineStr">
        <is>
          <t>FLUAZINAM</t>
        </is>
      </c>
      <c r="E926" s="13" t="inlineStr">
        <is>
          <t>Fungicida</t>
        </is>
      </c>
      <c r="F926" s="13" t="inlineStr">
        <is>
          <t>Mofo-branco</t>
        </is>
      </c>
      <c r="G926" s="13" t="inlineStr">
        <is>
          <t>Sclerotinia sclerotiorum</t>
        </is>
      </c>
      <c r="H926" s="13" t="inlineStr">
        <is>
          <t>NÃO</t>
        </is>
      </c>
      <c r="I926" s="15" t="n">
        <v>1</v>
      </c>
      <c r="J926" s="18" t="n">
        <v>1.5</v>
      </c>
      <c r="K926" s="13" t="inlineStr">
        <is>
          <t>L/ha</t>
        </is>
      </c>
      <c r="L926" s="15" t="n">
        <v>1</v>
      </c>
      <c r="M926" s="13" t="inlineStr">
        <is>
          <t>Aplicar conforme monitoramento e estádio recomendado na bula (FRAC Grupo 29)</t>
        </is>
      </c>
    </row>
    <row r="927" ht="22" customHeight="1">
      <c r="A927" s="6" t="inlineStr">
        <is>
          <t>ALV-0923</t>
        </is>
      </c>
      <c r="B927" s="5" t="n">
        <v>485</v>
      </c>
      <c r="C927" s="7" t="inlineStr">
        <is>
          <t>Nº 16724</t>
        </is>
      </c>
      <c r="D927" s="8" t="inlineStr">
        <is>
          <t>FLUAZINAM</t>
        </is>
      </c>
      <c r="E927" s="7" t="inlineStr">
        <is>
          <t>Fungicida</t>
        </is>
      </c>
      <c r="F927" s="7" t="inlineStr">
        <is>
          <t>Requeima</t>
        </is>
      </c>
      <c r="G927" s="7" t="inlineStr">
        <is>
          <t>Phytophthora infestans</t>
        </is>
      </c>
      <c r="H927" s="7" t="inlineStr">
        <is>
          <t>NÃO</t>
        </is>
      </c>
      <c r="I927" s="17" t="n">
        <v>0.75</v>
      </c>
      <c r="J927" s="9" t="n">
        <v>1</v>
      </c>
      <c r="K927" s="7" t="inlineStr">
        <is>
          <t>L/ha</t>
        </is>
      </c>
      <c r="L927" s="9" t="n">
        <v>1</v>
      </c>
      <c r="M927" s="7" t="inlineStr">
        <is>
          <t>Aplicar conforme monitoramento e estádio recomendado na bula (FRAC Grupo 29)</t>
        </is>
      </c>
    </row>
    <row r="928" ht="22" customHeight="1">
      <c r="A928" s="12" t="inlineStr">
        <is>
          <t>ALV-0924</t>
        </is>
      </c>
      <c r="B928" s="11" t="n">
        <v>486</v>
      </c>
      <c r="C928" s="13" t="inlineStr">
        <is>
          <t>Nº 7925</t>
        </is>
      </c>
      <c r="D928" s="14" t="inlineStr">
        <is>
          <t>BONAFIDE 500 WG 20X0,5KG (IMP) SJ</t>
        </is>
      </c>
      <c r="E928" s="13" t="inlineStr">
        <is>
          <t>Fungicida</t>
        </is>
      </c>
      <c r="F928" s="13" t="inlineStr">
        <is>
          <t>Complexo de Doenças Foliares e Ferrugem</t>
        </is>
      </c>
      <c r="G928" s="13" t="inlineStr">
        <is>
          <t>Phakopsora pachyrhizi / Corynespora</t>
        </is>
      </c>
      <c r="H928" s="13" t="inlineStr">
        <is>
          <t>NÃO</t>
        </is>
      </c>
      <c r="I928" s="18" t="n">
        <v>0.3</v>
      </c>
      <c r="J928" s="18" t="n">
        <v>1.5</v>
      </c>
      <c r="K928" s="13" t="inlineStr">
        <is>
          <t>L ou kg/ha</t>
        </is>
      </c>
      <c r="L928" s="15" t="n">
        <v>1</v>
      </c>
      <c r="M928" s="13" t="inlineStr">
        <is>
          <t>Aplicar conforme monitoramento e estádio recomendado na bula (Classificação FRAC Oficial conforme Bula)</t>
        </is>
      </c>
    </row>
    <row r="929" ht="22" customHeight="1">
      <c r="A929" s="6" t="inlineStr">
        <is>
          <t>ALV-0925</t>
        </is>
      </c>
      <c r="B929" s="5" t="n">
        <v>487</v>
      </c>
      <c r="C929" s="7" t="inlineStr">
        <is>
          <t>Nº 24324</t>
        </is>
      </c>
      <c r="D929" s="8" t="inlineStr">
        <is>
          <t>PROCYMIDONE</t>
        </is>
      </c>
      <c r="E929" s="7" t="inlineStr">
        <is>
          <t>Fungicida</t>
        </is>
      </c>
      <c r="F929" s="7" t="inlineStr">
        <is>
          <t>Complexo de Doenças Foliares e Ferrugem</t>
        </is>
      </c>
      <c r="G929" s="7" t="inlineStr">
        <is>
          <t>Phakopsora pachyrhizi / Corynespora</t>
        </is>
      </c>
      <c r="H929" s="7" t="inlineStr">
        <is>
          <t>NÃO</t>
        </is>
      </c>
      <c r="I929" s="17" t="n">
        <v>0.3</v>
      </c>
      <c r="J929" s="17" t="n">
        <v>1.5</v>
      </c>
      <c r="K929" s="7" t="inlineStr">
        <is>
          <t>L ou kg/ha</t>
        </is>
      </c>
      <c r="L929" s="9" t="n">
        <v>1</v>
      </c>
      <c r="M929" s="7" t="inlineStr">
        <is>
          <t>Aplicar conforme monitoramento e estádio recomendado na bula (Classificação FRAC Oficial conforme Bula)</t>
        </is>
      </c>
    </row>
    <row r="930" ht="22" customHeight="1">
      <c r="A930" s="12" t="inlineStr">
        <is>
          <t>ALV-0926</t>
        </is>
      </c>
      <c r="B930" s="11" t="n">
        <v>488</v>
      </c>
      <c r="C930" s="13" t="inlineStr">
        <is>
          <t>Nº 26023</t>
        </is>
      </c>
      <c r="D930" s="14" t="inlineStr">
        <is>
          <t>MAJESTUOSO</t>
        </is>
      </c>
      <c r="E930" s="13" t="inlineStr">
        <is>
          <t>Inseticida</t>
        </is>
      </c>
      <c r="F930" s="13" t="inlineStr">
        <is>
          <t>Complexo de Lagartas, Percevejos e Sugadores</t>
        </is>
      </c>
      <c r="G930" s="13" t="inlineStr">
        <is>
          <t>Spodoptera / Euschistus / Bemisia</t>
        </is>
      </c>
      <c r="H930" s="13" t="inlineStr">
        <is>
          <t>NÃO</t>
        </is>
      </c>
      <c r="I930" s="18" t="n">
        <v>0.15</v>
      </c>
      <c r="J930" s="15" t="n">
        <v>1</v>
      </c>
      <c r="K930" s="13" t="inlineStr">
        <is>
          <t>L ou kg/ha</t>
        </is>
      </c>
      <c r="L930" s="15" t="n">
        <v>1</v>
      </c>
      <c r="M930" s="13" t="inlineStr">
        <is>
          <t>Aplicar conforme monitoramento e estádio recomendado na bula (Classificação IRAC Oficial conforme Bula)</t>
        </is>
      </c>
    </row>
    <row r="931" ht="22" customHeight="1">
      <c r="A931" s="6" t="inlineStr">
        <is>
          <t>ALV-0927</t>
        </is>
      </c>
      <c r="B931" s="5" t="n">
        <v>489</v>
      </c>
      <c r="C931" s="7" t="inlineStr">
        <is>
          <t>SIPEAGRO (UF-XXXXX)</t>
        </is>
      </c>
      <c r="D931" s="8" t="inlineStr">
        <is>
          <t>NPK 19-04-19 (TON) (AGENCIADA)</t>
        </is>
      </c>
      <c r="E931" s="7" t="inlineStr">
        <is>
          <t>Fertilizante Mineral Misto (NPK / NP)</t>
        </is>
      </c>
      <c r="F931" s="7" t="inlineStr">
        <is>
          <t>Nutrição e Correção de Deficiência Mineral</t>
        </is>
      </c>
      <c r="G931" s="7" t="inlineStr">
        <is>
          <t>Nutrição Vegetal</t>
        </is>
      </c>
      <c r="H931" s="7" t="inlineStr">
        <is>
          <t>NÃO</t>
        </is>
      </c>
      <c r="I931" s="9" t="n">
        <v>1</v>
      </c>
      <c r="J931" s="9" t="n">
        <v>250</v>
      </c>
      <c r="K931" s="7" t="inlineStr">
        <is>
          <t>kg ou L/ha</t>
        </is>
      </c>
      <c r="L931" s="9" t="n">
        <v>1</v>
      </c>
      <c r="M931" s="7" t="inlineStr">
        <is>
          <t>Aplicar conforme monitoramento e estádio recomendado na bula (Nutrição Vegetal SIPEAGRO)</t>
        </is>
      </c>
    </row>
    <row r="932" ht="22" customHeight="1">
      <c r="A932" s="12" t="inlineStr">
        <is>
          <t>ALV-0928</t>
        </is>
      </c>
      <c r="B932" s="11" t="n">
        <v>490</v>
      </c>
      <c r="C932" s="13" t="inlineStr">
        <is>
          <t>Nº 27323</t>
        </is>
      </c>
      <c r="D932" s="14" t="inlineStr">
        <is>
          <t>ACEGOL</t>
        </is>
      </c>
      <c r="E932" s="13" t="inlineStr">
        <is>
          <t>Inseticida</t>
        </is>
      </c>
      <c r="F932" s="13" t="inlineStr">
        <is>
          <t>Mosca-branca</t>
        </is>
      </c>
      <c r="G932" s="13" t="inlineStr">
        <is>
          <t>Bemisia tabaci raça B</t>
        </is>
      </c>
      <c r="H932" s="13" t="inlineStr">
        <is>
          <t>SIM (*)</t>
        </is>
      </c>
      <c r="I932" s="18" t="n">
        <v>0.2</v>
      </c>
      <c r="J932" s="18" t="n">
        <v>0.3</v>
      </c>
      <c r="K932" s="13" t="inlineStr">
        <is>
          <t>kg/ha</t>
        </is>
      </c>
      <c r="L932" s="15" t="n">
        <v>1</v>
      </c>
      <c r="M932" s="13" t="inlineStr">
        <is>
          <t>Aplicar conforme monitoramento e estádio recomendado na bula (IRAC Grupo 4A)</t>
        </is>
      </c>
    </row>
    <row r="933" ht="22" customHeight="1">
      <c r="A933" s="6" t="inlineStr">
        <is>
          <t>ALV-0929</t>
        </is>
      </c>
      <c r="B933" s="5" t="n">
        <v>490</v>
      </c>
      <c r="C933" s="7" t="inlineStr">
        <is>
          <t>Nº 27323</t>
        </is>
      </c>
      <c r="D933" s="8" t="inlineStr">
        <is>
          <t>ACEGOL</t>
        </is>
      </c>
      <c r="E933" s="7" t="inlineStr">
        <is>
          <t>Inseticida</t>
        </is>
      </c>
      <c r="F933" s="7" t="inlineStr">
        <is>
          <t>Pulgão-do-algodoeiro</t>
        </is>
      </c>
      <c r="G933" s="7" t="inlineStr">
        <is>
          <t>Aphis gossypii</t>
        </is>
      </c>
      <c r="H933" s="7" t="inlineStr">
        <is>
          <t>NÃO</t>
        </is>
      </c>
      <c r="I933" s="17" t="n">
        <v>0.15</v>
      </c>
      <c r="J933" s="17" t="n">
        <v>0.25</v>
      </c>
      <c r="K933" s="7" t="inlineStr">
        <is>
          <t>kg/ha</t>
        </is>
      </c>
      <c r="L933" s="9" t="n">
        <v>1</v>
      </c>
      <c r="M933" s="7" t="inlineStr">
        <is>
          <t>Aplicar conforme monitoramento e estádio recomendado na bula (IRAC Grupo 4A)</t>
        </is>
      </c>
    </row>
    <row r="934" ht="22" customHeight="1">
      <c r="A934" s="12" t="inlineStr">
        <is>
          <t>ALV-0930</t>
        </is>
      </c>
      <c r="B934" s="11" t="n">
        <v>490</v>
      </c>
      <c r="C934" s="13" t="inlineStr">
        <is>
          <t>Nº 27323</t>
        </is>
      </c>
      <c r="D934" s="14" t="inlineStr">
        <is>
          <t>ACEGOL</t>
        </is>
      </c>
      <c r="E934" s="13" t="inlineStr">
        <is>
          <t>Inseticida</t>
        </is>
      </c>
      <c r="F934" s="13" t="inlineStr">
        <is>
          <t>Percevejo-marrom</t>
        </is>
      </c>
      <c r="G934" s="13" t="inlineStr">
        <is>
          <t>Euschistus heros</t>
        </is>
      </c>
      <c r="H934" s="13" t="inlineStr">
        <is>
          <t>NÃO</t>
        </is>
      </c>
      <c r="I934" s="18" t="n">
        <v>0.25</v>
      </c>
      <c r="J934" s="18" t="n">
        <v>0.35</v>
      </c>
      <c r="K934" s="13" t="inlineStr">
        <is>
          <t>kg/ha</t>
        </is>
      </c>
      <c r="L934" s="15" t="n">
        <v>1</v>
      </c>
      <c r="M934" s="13" t="inlineStr">
        <is>
          <t>Aplicar conforme monitoramento e estádio recomendado na bula (IRAC Grupo 4A)</t>
        </is>
      </c>
    </row>
    <row r="935" ht="22" customHeight="1">
      <c r="A935" s="6" t="inlineStr">
        <is>
          <t>ALV-0931</t>
        </is>
      </c>
      <c r="B935" s="5" t="n">
        <v>491</v>
      </c>
      <c r="C935" s="7" t="inlineStr">
        <is>
          <t>Nº 31522</t>
        </is>
      </c>
      <c r="D935" s="8" t="inlineStr">
        <is>
          <t>METOMY</t>
        </is>
      </c>
      <c r="E935" s="7" t="inlineStr">
        <is>
          <t>Inseticida</t>
        </is>
      </c>
      <c r="F935" s="7" t="inlineStr">
        <is>
          <t>Lagarta-helicoverpa</t>
        </is>
      </c>
      <c r="G935" s="7" t="inlineStr">
        <is>
          <t>Helicoverpa armigera</t>
        </is>
      </c>
      <c r="H935" s="7" t="inlineStr">
        <is>
          <t>NÃO</t>
        </is>
      </c>
      <c r="I935" s="17" t="n">
        <v>0.2</v>
      </c>
      <c r="J935" s="17" t="n">
        <v>0.5</v>
      </c>
      <c r="K935" s="7" t="inlineStr">
        <is>
          <t>kg ou L/ha</t>
        </is>
      </c>
      <c r="L935" s="9" t="n">
        <v>1</v>
      </c>
      <c r="M935" s="7" t="inlineStr">
        <is>
          <t>Aplicar conforme monitoramento e estádio recomendado na bula (IRAC Grupo 1A)</t>
        </is>
      </c>
    </row>
    <row r="936" ht="22" customHeight="1">
      <c r="A936" s="12" t="inlineStr">
        <is>
          <t>ALV-0932</t>
        </is>
      </c>
      <c r="B936" s="11" t="n">
        <v>491</v>
      </c>
      <c r="C936" s="13" t="inlineStr">
        <is>
          <t>Nº 31522</t>
        </is>
      </c>
      <c r="D936" s="14" t="inlineStr">
        <is>
          <t>METOMY</t>
        </is>
      </c>
      <c r="E936" s="13" t="inlineStr">
        <is>
          <t>Inseticida</t>
        </is>
      </c>
      <c r="F936" s="13" t="inlineStr">
        <is>
          <t>Lagarta-do-cartucho</t>
        </is>
      </c>
      <c r="G936" s="13" t="inlineStr">
        <is>
          <t>Spodoptera frugiperda</t>
        </is>
      </c>
      <c r="H936" s="13" t="inlineStr">
        <is>
          <t>NÃO</t>
        </is>
      </c>
      <c r="I936" s="18" t="n">
        <v>0.15</v>
      </c>
      <c r="J936" s="18" t="n">
        <v>0.3</v>
      </c>
      <c r="K936" s="13" t="inlineStr">
        <is>
          <t>kg ou L/ha</t>
        </is>
      </c>
      <c r="L936" s="15" t="n">
        <v>1</v>
      </c>
      <c r="M936" s="13" t="inlineStr">
        <is>
          <t>Aplicar conforme monitoramento e estádio recomendado na bula (IRAC Grupo 1A)</t>
        </is>
      </c>
    </row>
    <row r="937" ht="22" customHeight="1">
      <c r="A937" s="6" t="inlineStr">
        <is>
          <t>ALV-0933</t>
        </is>
      </c>
      <c r="B937" s="5" t="n">
        <v>491</v>
      </c>
      <c r="C937" s="7" t="inlineStr">
        <is>
          <t>Nº 31522</t>
        </is>
      </c>
      <c r="D937" s="8" t="inlineStr">
        <is>
          <t>METOMY</t>
        </is>
      </c>
      <c r="E937" s="7" t="inlineStr">
        <is>
          <t>Inseticida</t>
        </is>
      </c>
      <c r="F937" s="7" t="inlineStr">
        <is>
          <t>Lagarta-da-soja</t>
        </is>
      </c>
      <c r="G937" s="7" t="inlineStr">
        <is>
          <t>Anticarsia gemmatalis</t>
        </is>
      </c>
      <c r="H937" s="7" t="inlineStr">
        <is>
          <t>NÃO</t>
        </is>
      </c>
      <c r="I937" s="17" t="n">
        <v>0.1</v>
      </c>
      <c r="J937" s="17" t="n">
        <v>0.2</v>
      </c>
      <c r="K937" s="7" t="inlineStr">
        <is>
          <t>kg ou L/ha</t>
        </is>
      </c>
      <c r="L937" s="9" t="n">
        <v>1</v>
      </c>
      <c r="M937" s="7" t="inlineStr">
        <is>
          <t>Aplicar conforme monitoramento e estádio recomendado na bula (IRAC Grupo 1A)</t>
        </is>
      </c>
    </row>
    <row r="938" ht="22" customHeight="1">
      <c r="A938" s="12" t="inlineStr">
        <is>
          <t>ALV-0934</t>
        </is>
      </c>
      <c r="B938" s="11" t="n">
        <v>492</v>
      </c>
      <c r="C938" s="13" t="inlineStr">
        <is>
          <t>SIPEAGRO (UF-XXXXX)</t>
        </is>
      </c>
      <c r="D938" s="14" t="inlineStr">
        <is>
          <t>HIPHOS 25 GR 00-25-00 BAG</t>
        </is>
      </c>
      <c r="E938" s="13" t="inlineStr">
        <is>
          <t>Fertilizante Mineral Simples (Fosfatado)</t>
        </is>
      </c>
      <c r="F938" s="13" t="inlineStr">
        <is>
          <t>Nutrição e Correção de Deficiência Mineral</t>
        </is>
      </c>
      <c r="G938" s="13" t="inlineStr">
        <is>
          <t>Nutrição Vegetal</t>
        </is>
      </c>
      <c r="H938" s="13" t="inlineStr">
        <is>
          <t>NÃO</t>
        </is>
      </c>
      <c r="I938" s="15" t="n">
        <v>1</v>
      </c>
      <c r="J938" s="15" t="n">
        <v>250</v>
      </c>
      <c r="K938" s="13" t="inlineStr">
        <is>
          <t>kg ou L/ha</t>
        </is>
      </c>
      <c r="L938" s="15" t="n">
        <v>1</v>
      </c>
      <c r="M938" s="13" t="inlineStr">
        <is>
          <t>Aplicar conforme monitoramento e estádio recomendado na bula (Nutrição Vegetal SIPEAGRO)</t>
        </is>
      </c>
    </row>
    <row r="939" ht="22" customHeight="1">
      <c r="A939" s="6" t="inlineStr">
        <is>
          <t>ALV-0935</t>
        </is>
      </c>
      <c r="B939" s="5" t="n">
        <v>493</v>
      </c>
      <c r="C939" s="7" t="inlineStr">
        <is>
          <t>Nº 4900</t>
        </is>
      </c>
      <c r="D939" s="8" t="inlineStr">
        <is>
          <t>CONVERGE 400 EC</t>
        </is>
      </c>
      <c r="E939" s="7" t="inlineStr">
        <is>
          <t>Herbicida</t>
        </is>
      </c>
      <c r="F939" s="7" t="inlineStr">
        <is>
          <t>Corda-de-viola</t>
        </is>
      </c>
      <c r="G939" s="7" t="inlineStr">
        <is>
          <t>Ipomoea grandifolia</t>
        </is>
      </c>
      <c r="H939" s="7" t="inlineStr">
        <is>
          <t>NÃO</t>
        </is>
      </c>
      <c r="I939" s="17" t="n">
        <v>0.05</v>
      </c>
      <c r="J939" s="17" t="n">
        <v>0.125</v>
      </c>
      <c r="K939" s="7" t="inlineStr">
        <is>
          <t>L/ha</t>
        </is>
      </c>
      <c r="L939" s="9" t="n">
        <v>1</v>
      </c>
      <c r="M939" s="7" t="inlineStr">
        <is>
          <t>Aplicar conforme monitoramento e estádio recomendado na bula (HRAC Grupo E (14) — Inibidores da PROTOX)</t>
        </is>
      </c>
    </row>
    <row r="940" ht="22" customHeight="1">
      <c r="A940" s="12" t="inlineStr">
        <is>
          <t>ALV-0936</t>
        </is>
      </c>
      <c r="B940" s="11" t="n">
        <v>493</v>
      </c>
      <c r="C940" s="13" t="inlineStr">
        <is>
          <t>Nº 4900</t>
        </is>
      </c>
      <c r="D940" s="14" t="inlineStr">
        <is>
          <t>CONVERGE 400 EC</t>
        </is>
      </c>
      <c r="E940" s="13" t="inlineStr">
        <is>
          <t>Herbicida</t>
        </is>
      </c>
      <c r="F940" s="13" t="inlineStr">
        <is>
          <t>Trapoeraba</t>
        </is>
      </c>
      <c r="G940" s="13" t="inlineStr">
        <is>
          <t>Commelina benghalensis</t>
        </is>
      </c>
      <c r="H940" s="13" t="inlineStr">
        <is>
          <t>NÃO</t>
        </is>
      </c>
      <c r="I940" s="18" t="n">
        <v>0.05</v>
      </c>
      <c r="J940" s="18" t="n">
        <v>0.125</v>
      </c>
      <c r="K940" s="13" t="inlineStr">
        <is>
          <t>L/ha</t>
        </is>
      </c>
      <c r="L940" s="15" t="n">
        <v>1</v>
      </c>
      <c r="M940" s="13" t="inlineStr">
        <is>
          <t>Aplicar conforme monitoramento e estádio recomendado na bula (HRAC Grupo E (14) — Inibidores da PROTOX)</t>
        </is>
      </c>
    </row>
    <row r="941" ht="22" customHeight="1">
      <c r="A941" s="6" t="inlineStr">
        <is>
          <t>ALV-0937</t>
        </is>
      </c>
      <c r="B941" s="5" t="n">
        <v>494</v>
      </c>
      <c r="C941" s="7" t="inlineStr">
        <is>
          <t>Nº 1109</t>
        </is>
      </c>
      <c r="D941" s="8" t="inlineStr">
        <is>
          <t>TROVATI 360 CS</t>
        </is>
      </c>
      <c r="E941" s="7" t="inlineStr">
        <is>
          <t>Herbicida</t>
        </is>
      </c>
      <c r="F941" s="7" t="inlineStr">
        <is>
          <t>Capim-colchão</t>
        </is>
      </c>
      <c r="G941" s="7" t="inlineStr">
        <is>
          <t>Digitaria horizontalis</t>
        </is>
      </c>
      <c r="H941" s="7" t="inlineStr">
        <is>
          <t>NÃO</t>
        </is>
      </c>
      <c r="I941" s="17" t="n">
        <v>1.5</v>
      </c>
      <c r="J941" s="17" t="n">
        <v>2.5</v>
      </c>
      <c r="K941" s="7" t="inlineStr">
        <is>
          <t>L/ha</t>
        </is>
      </c>
      <c r="L941" s="9" t="n">
        <v>1</v>
      </c>
      <c r="M941" s="7" t="inlineStr">
        <is>
          <t>Aplicar conforme monitoramento e estádio recomendado na bula (HRAC Grupo F4 (13) — Inibidores da DOXP sintase)</t>
        </is>
      </c>
    </row>
    <row r="942" ht="22" customHeight="1">
      <c r="A942" s="12" t="inlineStr">
        <is>
          <t>ALV-0938</t>
        </is>
      </c>
      <c r="B942" s="11" t="n">
        <v>494</v>
      </c>
      <c r="C942" s="13" t="inlineStr">
        <is>
          <t>Nº 1109</t>
        </is>
      </c>
      <c r="D942" s="14" t="inlineStr">
        <is>
          <t>TROVATI 360 CS</t>
        </is>
      </c>
      <c r="E942" s="13" t="inlineStr">
        <is>
          <t>Herbicida</t>
        </is>
      </c>
      <c r="F942" s="13" t="inlineStr">
        <is>
          <t>Capim-marmelada</t>
        </is>
      </c>
      <c r="G942" s="13" t="inlineStr">
        <is>
          <t>Brachiaria plantaginea</t>
        </is>
      </c>
      <c r="H942" s="13" t="inlineStr">
        <is>
          <t>NÃO</t>
        </is>
      </c>
      <c r="I942" s="18" t="n">
        <v>1.5</v>
      </c>
      <c r="J942" s="18" t="n">
        <v>2.5</v>
      </c>
      <c r="K942" s="13" t="inlineStr">
        <is>
          <t>L/ha</t>
        </is>
      </c>
      <c r="L942" s="15" t="n">
        <v>1</v>
      </c>
      <c r="M942" s="13" t="inlineStr">
        <is>
          <t>Aplicar conforme monitoramento e estádio recomendado na bula (HRAC Grupo F4 (13) — Inibidores da DOXP sintase)</t>
        </is>
      </c>
    </row>
    <row r="943" ht="22" customHeight="1">
      <c r="A943" s="6" t="inlineStr">
        <is>
          <t>ALV-0939</t>
        </is>
      </c>
      <c r="B943" s="5" t="n">
        <v>494</v>
      </c>
      <c r="C943" s="7" t="inlineStr">
        <is>
          <t>Nº 1109</t>
        </is>
      </c>
      <c r="D943" s="8" t="inlineStr">
        <is>
          <t>TROVATI 360 CS</t>
        </is>
      </c>
      <c r="E943" s="7" t="inlineStr">
        <is>
          <t>Herbicida</t>
        </is>
      </c>
      <c r="F943" s="7" t="inlineStr">
        <is>
          <t>Capim-arroz</t>
        </is>
      </c>
      <c r="G943" s="7" t="inlineStr">
        <is>
          <t>Echinochloa crusgalli</t>
        </is>
      </c>
      <c r="H943" s="7" t="inlineStr">
        <is>
          <t>SIM (*)</t>
        </is>
      </c>
      <c r="I943" s="9" t="n">
        <v>1</v>
      </c>
      <c r="J943" s="9" t="n">
        <v>2</v>
      </c>
      <c r="K943" s="7" t="inlineStr">
        <is>
          <t>L/ha</t>
        </is>
      </c>
      <c r="L943" s="9" t="n">
        <v>1</v>
      </c>
      <c r="M943" s="7" t="inlineStr">
        <is>
          <t>Aplicar conforme monitoramento e estádio recomendado na bula (HRAC Grupo F4 (13) — Inibidores da DOXP sintase)</t>
        </is>
      </c>
    </row>
    <row r="944" ht="22" customHeight="1">
      <c r="A944" s="12" t="inlineStr">
        <is>
          <t>ALV-0940</t>
        </is>
      </c>
      <c r="B944" s="11" t="n">
        <v>495</v>
      </c>
      <c r="C944" s="13" t="inlineStr">
        <is>
          <t>SIPEAGRO (UF-XXXXX)</t>
        </is>
      </c>
      <c r="D944" s="14" t="inlineStr">
        <is>
          <t>BENTONITA 90%S - GRANULADO - 1.200 KG</t>
        </is>
      </c>
      <c r="E944" s="13" t="inlineStr">
        <is>
          <t>Condicionador / Fonte Mineral de Enxofre (Enxofre + Bentonita)</t>
        </is>
      </c>
      <c r="F944" s="13" t="inlineStr">
        <is>
          <t>Correção de Acidez / Condicionamento de Perfil de Solo</t>
        </is>
      </c>
      <c r="G944" s="13" t="inlineStr">
        <is>
          <t>Solo Agrícola</t>
        </is>
      </c>
      <c r="H944" s="13" t="inlineStr">
        <is>
          <t>NÃO</t>
        </is>
      </c>
      <c r="I944" s="15" t="n">
        <v>500</v>
      </c>
      <c r="J944" s="15" t="n">
        <v>3000</v>
      </c>
      <c r="K944" s="13" t="inlineStr">
        <is>
          <t>kg/ha</t>
        </is>
      </c>
      <c r="L944" s="15" t="n">
        <v>1</v>
      </c>
      <c r="M944" s="13" t="inlineStr">
        <is>
          <t>Aplicar conforme monitoramento e estádio recomendado na bula (Correção Química de Solo)</t>
        </is>
      </c>
    </row>
    <row r="945" ht="22" customHeight="1">
      <c r="A945" s="6" t="inlineStr">
        <is>
          <t>ALV-0941</t>
        </is>
      </c>
      <c r="B945" s="5" t="n">
        <v>496</v>
      </c>
      <c r="C945" s="7" t="inlineStr">
        <is>
          <t>Nº 40624</t>
        </is>
      </c>
      <c r="D945" s="8" t="inlineStr">
        <is>
          <t>CLORPIRIFOS 480 EC AGCN (IMP) AMOSTRA</t>
        </is>
      </c>
      <c r="E945" s="7" t="inlineStr">
        <is>
          <t>Inseticida</t>
        </is>
      </c>
      <c r="F945" s="7" t="inlineStr">
        <is>
          <t>Lagarta-do-cartucho</t>
        </is>
      </c>
      <c r="G945" s="7" t="inlineStr">
        <is>
          <t>Spodoptera frugiperda</t>
        </is>
      </c>
      <c r="H945" s="7" t="inlineStr">
        <is>
          <t>SIM (*)</t>
        </is>
      </c>
      <c r="I945" s="17" t="n">
        <v>0.4</v>
      </c>
      <c r="J945" s="17" t="n">
        <v>0.6</v>
      </c>
      <c r="K945" s="7" t="inlineStr">
        <is>
          <t>L/ha</t>
        </is>
      </c>
      <c r="L945" s="9" t="n">
        <v>1</v>
      </c>
      <c r="M945" s="7" t="inlineStr">
        <is>
          <t>Aplicar conforme monitoramento e estádio recomendado na bula (IRAC Grupo 1B)</t>
        </is>
      </c>
    </row>
    <row r="946" ht="22" customHeight="1">
      <c r="A946" s="12" t="inlineStr">
        <is>
          <t>ALV-0942</t>
        </is>
      </c>
      <c r="B946" s="11" t="n">
        <v>496</v>
      </c>
      <c r="C946" s="13" t="inlineStr">
        <is>
          <t>Nº 40624</t>
        </is>
      </c>
      <c r="D946" s="14" t="inlineStr">
        <is>
          <t>CLORPIRIFOS 480 EC AGCN (IMP) AMOSTRA</t>
        </is>
      </c>
      <c r="E946" s="13" t="inlineStr">
        <is>
          <t>Inseticida</t>
        </is>
      </c>
      <c r="F946" s="13" t="inlineStr">
        <is>
          <t>Lagarta-da-soja</t>
        </is>
      </c>
      <c r="G946" s="13" t="inlineStr">
        <is>
          <t>Anticarsia gemmatalis</t>
        </is>
      </c>
      <c r="H946" s="13" t="inlineStr">
        <is>
          <t>NÃO</t>
        </is>
      </c>
      <c r="I946" s="18" t="n">
        <v>0.4</v>
      </c>
      <c r="J946" s="15" t="n">
        <v>1</v>
      </c>
      <c r="K946" s="13" t="inlineStr">
        <is>
          <t>L/ha</t>
        </is>
      </c>
      <c r="L946" s="15" t="n">
        <v>1</v>
      </c>
      <c r="M946" s="13" t="inlineStr">
        <is>
          <t>Aplicar conforme monitoramento e estádio recomendado na bula (IRAC Grupo 1B)</t>
        </is>
      </c>
    </row>
    <row r="947" ht="22" customHeight="1">
      <c r="A947" s="6" t="inlineStr">
        <is>
          <t>ALV-0943</t>
        </is>
      </c>
      <c r="B947" s="5" t="n">
        <v>496</v>
      </c>
      <c r="C947" s="7" t="inlineStr">
        <is>
          <t>Nº 40624</t>
        </is>
      </c>
      <c r="D947" s="8" t="inlineStr">
        <is>
          <t>CLORPIRIFOS 480 EC AGCN (IMP) AMOSTRA</t>
        </is>
      </c>
      <c r="E947" s="7" t="inlineStr">
        <is>
          <t>Inseticida</t>
        </is>
      </c>
      <c r="F947" s="7" t="inlineStr">
        <is>
          <t>Broca-do-café</t>
        </is>
      </c>
      <c r="G947" s="7" t="inlineStr">
        <is>
          <t>Hypothenemus hampei</t>
        </is>
      </c>
      <c r="H947" s="7" t="inlineStr">
        <is>
          <t>NÃO</t>
        </is>
      </c>
      <c r="I947" s="9" t="n">
        <v>1</v>
      </c>
      <c r="J947" s="17" t="n">
        <v>1.5</v>
      </c>
      <c r="K947" s="7" t="inlineStr">
        <is>
          <t>L/ha</t>
        </is>
      </c>
      <c r="L947" s="9" t="n">
        <v>1</v>
      </c>
      <c r="M947" s="7" t="inlineStr">
        <is>
          <t>Aplicar conforme monitoramento e estádio recomendado na bula (IRAC Grupo 1B)</t>
        </is>
      </c>
    </row>
    <row r="948" ht="22" customHeight="1">
      <c r="A948" s="12" t="inlineStr">
        <is>
          <t>ALV-0944</t>
        </is>
      </c>
      <c r="B948" s="11" t="n">
        <v>497</v>
      </c>
      <c r="C948" s="13" t="inlineStr">
        <is>
          <t>Nº 27717</t>
        </is>
      </c>
      <c r="D948" s="14" t="inlineStr">
        <is>
          <t>FIPRONIL 800 WG AGCN AMOSTRA 0,200KG FF IMP</t>
        </is>
      </c>
      <c r="E948" s="13" t="inlineStr">
        <is>
          <t>Inseticida e Cupinicida (Fipronil)</t>
        </is>
      </c>
      <c r="F948" s="13" t="inlineStr">
        <is>
          <t>Coró</t>
        </is>
      </c>
      <c r="G948" s="13" t="inlineStr">
        <is>
          <t>Phyllophaga cuyabana</t>
        </is>
      </c>
      <c r="H948" s="13" t="inlineStr">
        <is>
          <t>NÃO</t>
        </is>
      </c>
      <c r="I948" s="18" t="n">
        <v>0.1</v>
      </c>
      <c r="J948" s="18" t="n">
        <v>0.2</v>
      </c>
      <c r="K948" s="13" t="inlineStr">
        <is>
          <t>L/100kg sem.</t>
        </is>
      </c>
      <c r="L948" s="15" t="n">
        <v>1</v>
      </c>
      <c r="M948" s="13" t="inlineStr">
        <is>
          <t>Aplicar conforme monitoramento e estádio recomendado na bula (IRAC Grupo 2B)</t>
        </is>
      </c>
    </row>
    <row r="949" ht="22" customHeight="1">
      <c r="A949" s="6" t="inlineStr">
        <is>
          <t>ALV-0945</t>
        </is>
      </c>
      <c r="B949" s="5" t="n">
        <v>497</v>
      </c>
      <c r="C949" s="7" t="inlineStr">
        <is>
          <t>Nº 27717</t>
        </is>
      </c>
      <c r="D949" s="8" t="inlineStr">
        <is>
          <t>FIPRONIL 800 WG AGCN AMOSTRA 0,200KG FF IMP</t>
        </is>
      </c>
      <c r="E949" s="7" t="inlineStr">
        <is>
          <t>Inseticida e Cupinicida (Fipronil)</t>
        </is>
      </c>
      <c r="F949" s="7" t="inlineStr">
        <is>
          <t>Lagarta-elasmo</t>
        </is>
      </c>
      <c r="G949" s="7" t="inlineStr">
        <is>
          <t>Elasmopalpus lignosellus</t>
        </is>
      </c>
      <c r="H949" s="7" t="inlineStr">
        <is>
          <t>NÃO</t>
        </is>
      </c>
      <c r="I949" s="17" t="n">
        <v>0.1</v>
      </c>
      <c r="J949" s="17" t="n">
        <v>0.2</v>
      </c>
      <c r="K949" s="7" t="inlineStr">
        <is>
          <t>L/100kg sem.</t>
        </is>
      </c>
      <c r="L949" s="9" t="n">
        <v>1</v>
      </c>
      <c r="M949" s="7" t="inlineStr">
        <is>
          <t>Aplicar conforme monitoramento e estádio recomendado na bula (IRAC Grupo 2B)</t>
        </is>
      </c>
    </row>
    <row r="950" ht="22" customHeight="1">
      <c r="A950" s="12" t="inlineStr">
        <is>
          <t>ALV-0946</t>
        </is>
      </c>
      <c r="B950" s="11" t="n">
        <v>497</v>
      </c>
      <c r="C950" s="13" t="inlineStr">
        <is>
          <t>Nº 27717</t>
        </is>
      </c>
      <c r="D950" s="14" t="inlineStr">
        <is>
          <t>FIPRONIL 800 WG AGCN AMOSTRA 0,200KG FF IMP</t>
        </is>
      </c>
      <c r="E950" s="13" t="inlineStr">
        <is>
          <t>Inseticida e Cupinicida (Fipronil)</t>
        </is>
      </c>
      <c r="F950" s="13" t="inlineStr">
        <is>
          <t>Cupim-de-montículo</t>
        </is>
      </c>
      <c r="G950" s="13" t="inlineStr">
        <is>
          <t>Procornitermes triacifer</t>
        </is>
      </c>
      <c r="H950" s="13" t="inlineStr">
        <is>
          <t>NÃO</t>
        </is>
      </c>
      <c r="I950" s="18" t="n">
        <v>0.05</v>
      </c>
      <c r="J950" s="18" t="n">
        <v>0.2</v>
      </c>
      <c r="K950" s="13" t="inlineStr">
        <is>
          <t>kg ou L/ha</t>
        </is>
      </c>
      <c r="L950" s="15" t="n">
        <v>1</v>
      </c>
      <c r="M950" s="13" t="inlineStr">
        <is>
          <t>Aplicar conforme monitoramento e estádio recomendado na bula (IRAC Grupo 2B)</t>
        </is>
      </c>
    </row>
    <row r="951" ht="22" customHeight="1">
      <c r="A951" s="6" t="inlineStr">
        <is>
          <t>ALV-0947</t>
        </is>
      </c>
      <c r="B951" s="5" t="n">
        <v>498</v>
      </c>
      <c r="C951" s="7" t="inlineStr">
        <is>
          <t>Nº 14421</t>
        </is>
      </c>
      <c r="D951" s="8" t="inlineStr">
        <is>
          <t>FIPRONIL 250 FS AGCN IMP FF 0,200KG AMOSTRA</t>
        </is>
      </c>
      <c r="E951" s="7" t="inlineStr">
        <is>
          <t>Inseticida e Cupinicida (Fipronil)</t>
        </is>
      </c>
      <c r="F951" s="7" t="inlineStr">
        <is>
          <t>Coró</t>
        </is>
      </c>
      <c r="G951" s="7" t="inlineStr">
        <is>
          <t>Phyllophaga cuyabana</t>
        </is>
      </c>
      <c r="H951" s="7" t="inlineStr">
        <is>
          <t>NÃO</t>
        </is>
      </c>
      <c r="I951" s="17" t="n">
        <v>0.1</v>
      </c>
      <c r="J951" s="17" t="n">
        <v>0.2</v>
      </c>
      <c r="K951" s="7" t="inlineStr">
        <is>
          <t>L/100kg sem.</t>
        </is>
      </c>
      <c r="L951" s="9" t="n">
        <v>1</v>
      </c>
      <c r="M951" s="7" t="inlineStr">
        <is>
          <t>Aplicar conforme monitoramento e estádio recomendado na bula (IRAC Grupo 2B)</t>
        </is>
      </c>
    </row>
    <row r="952" ht="22" customHeight="1">
      <c r="A952" s="12" t="inlineStr">
        <is>
          <t>ALV-0948</t>
        </is>
      </c>
      <c r="B952" s="11" t="n">
        <v>498</v>
      </c>
      <c r="C952" s="13" t="inlineStr">
        <is>
          <t>Nº 14421</t>
        </is>
      </c>
      <c r="D952" s="14" t="inlineStr">
        <is>
          <t>FIPRONIL 250 FS AGCN IMP FF 0,200KG AMOSTRA</t>
        </is>
      </c>
      <c r="E952" s="13" t="inlineStr">
        <is>
          <t>Inseticida e Cupinicida (Fipronil)</t>
        </is>
      </c>
      <c r="F952" s="13" t="inlineStr">
        <is>
          <t>Lagarta-elasmo</t>
        </is>
      </c>
      <c r="G952" s="13" t="inlineStr">
        <is>
          <t>Elasmopalpus lignosellus</t>
        </is>
      </c>
      <c r="H952" s="13" t="inlineStr">
        <is>
          <t>NÃO</t>
        </is>
      </c>
      <c r="I952" s="18" t="n">
        <v>0.1</v>
      </c>
      <c r="J952" s="18" t="n">
        <v>0.2</v>
      </c>
      <c r="K952" s="13" t="inlineStr">
        <is>
          <t>L/100kg sem.</t>
        </is>
      </c>
      <c r="L952" s="15" t="n">
        <v>1</v>
      </c>
      <c r="M952" s="13" t="inlineStr">
        <is>
          <t>Aplicar conforme monitoramento e estádio recomendado na bula (IRAC Grupo 2B)</t>
        </is>
      </c>
    </row>
    <row r="953" ht="22" customHeight="1">
      <c r="A953" s="6" t="inlineStr">
        <is>
          <t>ALV-0949</t>
        </is>
      </c>
      <c r="B953" s="5" t="n">
        <v>498</v>
      </c>
      <c r="C953" s="7" t="inlineStr">
        <is>
          <t>Nº 14421</t>
        </is>
      </c>
      <c r="D953" s="8" t="inlineStr">
        <is>
          <t>FIPRONIL 250 FS AGCN IMP FF 0,200KG AMOSTRA</t>
        </is>
      </c>
      <c r="E953" s="7" t="inlineStr">
        <is>
          <t>Inseticida e Cupinicida (Fipronil)</t>
        </is>
      </c>
      <c r="F953" s="7" t="inlineStr">
        <is>
          <t>Cupim-de-montículo</t>
        </is>
      </c>
      <c r="G953" s="7" t="inlineStr">
        <is>
          <t>Procornitermes triacifer</t>
        </is>
      </c>
      <c r="H953" s="7" t="inlineStr">
        <is>
          <t>NÃO</t>
        </is>
      </c>
      <c r="I953" s="17" t="n">
        <v>0.05</v>
      </c>
      <c r="J953" s="17" t="n">
        <v>0.2</v>
      </c>
      <c r="K953" s="7" t="inlineStr">
        <is>
          <t>kg ou L/ha</t>
        </is>
      </c>
      <c r="L953" s="9" t="n">
        <v>1</v>
      </c>
      <c r="M953" s="7" t="inlineStr">
        <is>
          <t>Aplicar conforme monitoramento e estádio recomendado na bula (IRAC Grupo 2B)</t>
        </is>
      </c>
    </row>
    <row r="954" ht="22" customHeight="1">
      <c r="A954" s="12" t="inlineStr">
        <is>
          <t>ALV-0950</t>
        </is>
      </c>
      <c r="B954" s="11" t="n">
        <v>499</v>
      </c>
      <c r="C954" s="13" t="inlineStr">
        <is>
          <t>Nº 34621</t>
        </is>
      </c>
      <c r="D954" s="14" t="inlineStr">
        <is>
          <t>RATEIO 200SL AMOSTRA 0,200L</t>
        </is>
      </c>
      <c r="E954" s="13" t="inlineStr">
        <is>
          <t>Herbicida Dessecante</t>
        </is>
      </c>
      <c r="F954" s="13" t="inlineStr">
        <is>
          <t>Buva</t>
        </is>
      </c>
      <c r="G954" s="13" t="inlineStr">
        <is>
          <t>Conyza bonariensis</t>
        </is>
      </c>
      <c r="H954" s="13" t="inlineStr">
        <is>
          <t>NÃO</t>
        </is>
      </c>
      <c r="I954" s="18" t="n">
        <v>1.5</v>
      </c>
      <c r="J954" s="18" t="n">
        <v>2.5</v>
      </c>
      <c r="K954" s="13" t="inlineStr">
        <is>
          <t>L/ha</t>
        </is>
      </c>
      <c r="L954" s="15" t="n">
        <v>1</v>
      </c>
      <c r="M954" s="13" t="inlineStr">
        <is>
          <t>Aplicar conforme monitoramento e estádio recomendado na bula (HRAC Grupo D (22) — Desviadores de Elétrons do Fotossistema I)</t>
        </is>
      </c>
    </row>
    <row r="955" ht="22" customHeight="1">
      <c r="A955" s="6" t="inlineStr">
        <is>
          <t>ALV-0951</t>
        </is>
      </c>
      <c r="B955" s="5" t="n">
        <v>499</v>
      </c>
      <c r="C955" s="7" t="inlineStr">
        <is>
          <t>Nº 34621</t>
        </is>
      </c>
      <c r="D955" s="8" t="inlineStr">
        <is>
          <t>RATEIO 200SL AMOSTRA 0,200L</t>
        </is>
      </c>
      <c r="E955" s="7" t="inlineStr">
        <is>
          <t>Herbicida Dessecante</t>
        </is>
      </c>
      <c r="F955" s="7" t="inlineStr">
        <is>
          <t>Corda-de-viola</t>
        </is>
      </c>
      <c r="G955" s="7" t="inlineStr">
        <is>
          <t>Ipomoea grandifolia</t>
        </is>
      </c>
      <c r="H955" s="7" t="inlineStr">
        <is>
          <t>NÃO</t>
        </is>
      </c>
      <c r="I955" s="17" t="n">
        <v>1.5</v>
      </c>
      <c r="J955" s="9" t="n">
        <v>2</v>
      </c>
      <c r="K955" s="7" t="inlineStr">
        <is>
          <t>L/ha</t>
        </is>
      </c>
      <c r="L955" s="9" t="n">
        <v>1</v>
      </c>
      <c r="M955" s="7" t="inlineStr">
        <is>
          <t>Aplicar conforme monitoramento e estádio recomendado na bula (HRAC Grupo D (22) — Desviadores de Elétrons do Fotossistema I)</t>
        </is>
      </c>
    </row>
    <row r="956" ht="22" customHeight="1">
      <c r="A956" s="12" t="inlineStr">
        <is>
          <t>ALV-0952</t>
        </is>
      </c>
      <c r="B956" s="11" t="n">
        <v>499</v>
      </c>
      <c r="C956" s="13" t="inlineStr">
        <is>
          <t>Nº 34621</t>
        </is>
      </c>
      <c r="D956" s="14" t="inlineStr">
        <is>
          <t>RATEIO 200SL AMOSTRA 0,200L</t>
        </is>
      </c>
      <c r="E956" s="13" t="inlineStr">
        <is>
          <t>Herbicida Dessecante</t>
        </is>
      </c>
      <c r="F956" s="13" t="inlineStr">
        <is>
          <t>Dessecação Pré-Colheita Soja</t>
        </is>
      </c>
      <c r="G956" s="13" t="inlineStr">
        <is>
          <t>Glycine max</t>
        </is>
      </c>
      <c r="H956" s="13" t="inlineStr">
        <is>
          <t>NÃO</t>
        </is>
      </c>
      <c r="I956" s="18" t="n">
        <v>1.5</v>
      </c>
      <c r="J956" s="15" t="n">
        <v>2</v>
      </c>
      <c r="K956" s="13" t="inlineStr">
        <is>
          <t>L/ha</t>
        </is>
      </c>
      <c r="L956" s="15" t="n">
        <v>1</v>
      </c>
      <c r="M956" s="13" t="inlineStr">
        <is>
          <t>Aplicar conforme monitoramento e estádio recomendado na bula (HRAC Grupo D (22) — Desviadores de Elétrons do Fotossistema I)</t>
        </is>
      </c>
    </row>
    <row r="957" ht="22" customHeight="1">
      <c r="A957" s="6" t="inlineStr">
        <is>
          <t>ALV-0953</t>
        </is>
      </c>
      <c r="B957" s="5" t="n">
        <v>500</v>
      </c>
      <c r="C957" s="7" t="inlineStr">
        <is>
          <t>Nº 14024</t>
        </is>
      </c>
      <c r="D957" s="8" t="inlineStr">
        <is>
          <t>ETHIPROLE</t>
        </is>
      </c>
      <c r="E957" s="7" t="inlineStr">
        <is>
          <t>Inseticida</t>
        </is>
      </c>
      <c r="F957" s="7" t="inlineStr">
        <is>
          <t>Complexo de Lagartas, Percevejos e Sugadores</t>
        </is>
      </c>
      <c r="G957" s="7" t="inlineStr">
        <is>
          <t>Spodoptera / Euschistus / Bemisia</t>
        </is>
      </c>
      <c r="H957" s="7" t="inlineStr">
        <is>
          <t>NÃO</t>
        </is>
      </c>
      <c r="I957" s="17" t="n">
        <v>0.15</v>
      </c>
      <c r="J957" s="9" t="n">
        <v>1</v>
      </c>
      <c r="K957" s="7" t="inlineStr">
        <is>
          <t>L ou kg/ha</t>
        </is>
      </c>
      <c r="L957" s="9" t="n">
        <v>1</v>
      </c>
      <c r="M957" s="7" t="inlineStr">
        <is>
          <t>Aplicar conforme monitoramento e estádio recomendado na bula (Classificação IRAC Oficial conforme Bula)</t>
        </is>
      </c>
    </row>
    <row r="958" ht="22" customHeight="1">
      <c r="A958" s="12" t="inlineStr">
        <is>
          <t>ALV-0954</t>
        </is>
      </c>
      <c r="B958" s="11" t="n">
        <v>501</v>
      </c>
      <c r="C958" s="13" t="inlineStr">
        <is>
          <t>SIPEAGRO (UF-XXXXX)</t>
        </is>
      </c>
      <c r="D958" s="14" t="inlineStr">
        <is>
          <t>FERT 08.40.00 + 5 S (VALIDAR)</t>
        </is>
      </c>
      <c r="E958" s="13" t="inlineStr">
        <is>
          <t>Fertilizante Mineral Misto (NPK / NP)</t>
        </is>
      </c>
      <c r="F958" s="13" t="inlineStr">
        <is>
          <t>Nutrição e Correção de Deficiência Mineral</t>
        </is>
      </c>
      <c r="G958" s="13" t="inlineStr">
        <is>
          <t>Nutrição Vegetal</t>
        </is>
      </c>
      <c r="H958" s="13" t="inlineStr">
        <is>
          <t>NÃO</t>
        </is>
      </c>
      <c r="I958" s="15" t="n">
        <v>1</v>
      </c>
      <c r="J958" s="15" t="n">
        <v>250</v>
      </c>
      <c r="K958" s="13" t="inlineStr">
        <is>
          <t>kg ou L/ha</t>
        </is>
      </c>
      <c r="L958" s="15" t="n">
        <v>1</v>
      </c>
      <c r="M958" s="13" t="inlineStr">
        <is>
          <t>Aplicar conforme monitoramento e estádio recomendado na bula (Nutrição Vegetal SIPEAGRO)</t>
        </is>
      </c>
    </row>
    <row r="959" ht="22" customHeight="1">
      <c r="A959" s="6" t="inlineStr">
        <is>
          <t>ALV-0955</t>
        </is>
      </c>
      <c r="B959" s="5" t="n">
        <v>502</v>
      </c>
      <c r="C959" s="7" t="inlineStr">
        <is>
          <t>Nº 28520</t>
        </is>
      </c>
      <c r="D959" s="8" t="inlineStr">
        <is>
          <t>SENHA WG AMOSTRA 0,200KG GG IMP</t>
        </is>
      </c>
      <c r="E959" s="7" t="inlineStr">
        <is>
          <t>Herbicida</t>
        </is>
      </c>
      <c r="F959" s="7" t="inlineStr">
        <is>
          <t>Capim-amargoso</t>
        </is>
      </c>
      <c r="G959" s="7" t="inlineStr">
        <is>
          <t>Digitaria insularis</t>
        </is>
      </c>
      <c r="H959" s="7" t="inlineStr">
        <is>
          <t>SIM (*)</t>
        </is>
      </c>
      <c r="I959" s="17" t="n">
        <v>1.5</v>
      </c>
      <c r="J959" s="17" t="n">
        <v>2.5</v>
      </c>
      <c r="K959" s="7" t="inlineStr">
        <is>
          <t>kg ou L/ha</t>
        </is>
      </c>
      <c r="L959" s="9" t="n">
        <v>1</v>
      </c>
      <c r="M959" s="7" t="inlineStr">
        <is>
          <t>Aplicar conforme monitoramento e estádio recomendado na bula (HRAC Grupo G (EPSPs))</t>
        </is>
      </c>
    </row>
    <row r="960" ht="22" customHeight="1">
      <c r="A960" s="12" t="inlineStr">
        <is>
          <t>ALV-0956</t>
        </is>
      </c>
      <c r="B960" s="11" t="n">
        <v>502</v>
      </c>
      <c r="C960" s="13" t="inlineStr">
        <is>
          <t>Nº 28520</t>
        </is>
      </c>
      <c r="D960" s="14" t="inlineStr">
        <is>
          <t>SENHA WG AMOSTRA 0,200KG GG IMP</t>
        </is>
      </c>
      <c r="E960" s="13" t="inlineStr">
        <is>
          <t>Herbicida</t>
        </is>
      </c>
      <c r="F960" s="13" t="inlineStr">
        <is>
          <t>Buva</t>
        </is>
      </c>
      <c r="G960" s="13" t="inlineStr">
        <is>
          <t>Conyza bonariensis</t>
        </is>
      </c>
      <c r="H960" s="13" t="inlineStr">
        <is>
          <t>SIM (*)</t>
        </is>
      </c>
      <c r="I960" s="15" t="n">
        <v>1</v>
      </c>
      <c r="J960" s="15" t="n">
        <v>2</v>
      </c>
      <c r="K960" s="13" t="inlineStr">
        <is>
          <t>kg ou L/ha</t>
        </is>
      </c>
      <c r="L960" s="15" t="n">
        <v>1</v>
      </c>
      <c r="M960" s="13" t="inlineStr">
        <is>
          <t>Aplicar conforme monitoramento e estádio recomendado na bula (HRAC Grupo G (EPSPs))</t>
        </is>
      </c>
    </row>
    <row r="961" ht="22" customHeight="1">
      <c r="A961" s="6" t="inlineStr">
        <is>
          <t>ALV-0957</t>
        </is>
      </c>
      <c r="B961" s="5" t="n">
        <v>502</v>
      </c>
      <c r="C961" s="7" t="inlineStr">
        <is>
          <t>Nº 28520</t>
        </is>
      </c>
      <c r="D961" s="8" t="inlineStr">
        <is>
          <t>SENHA WG AMOSTRA 0,200KG GG IMP</t>
        </is>
      </c>
      <c r="E961" s="7" t="inlineStr">
        <is>
          <t>Herbicida</t>
        </is>
      </c>
      <c r="F961" s="7" t="inlineStr">
        <is>
          <t>Capim-pé-de-galinha</t>
        </is>
      </c>
      <c r="G961" s="7" t="inlineStr">
        <is>
          <t>Eleusine indica</t>
        </is>
      </c>
      <c r="H961" s="7" t="inlineStr">
        <is>
          <t>SIM (*)</t>
        </is>
      </c>
      <c r="I961" s="9" t="n">
        <v>1</v>
      </c>
      <c r="J961" s="17" t="n">
        <v>1.5</v>
      </c>
      <c r="K961" s="7" t="inlineStr">
        <is>
          <t>kg ou L/ha</t>
        </is>
      </c>
      <c r="L961" s="9" t="n">
        <v>1</v>
      </c>
      <c r="M961" s="7" t="inlineStr">
        <is>
          <t>Aplicar conforme monitoramento e estádio recomendado na bula (HRAC Grupo G (EPSPs))</t>
        </is>
      </c>
    </row>
    <row r="962" ht="22" customHeight="1">
      <c r="A962" s="12" t="inlineStr">
        <is>
          <t>ALV-0958</t>
        </is>
      </c>
      <c r="B962" s="11" t="n">
        <v>502</v>
      </c>
      <c r="C962" s="13" t="inlineStr">
        <is>
          <t>Nº 28520</t>
        </is>
      </c>
      <c r="D962" s="14" t="inlineStr">
        <is>
          <t>SENHA WG AMOSTRA 0,200KG GG IMP</t>
        </is>
      </c>
      <c r="E962" s="13" t="inlineStr">
        <is>
          <t>Herbicida</t>
        </is>
      </c>
      <c r="F962" s="13" t="inlineStr">
        <is>
          <t>Trapoeraba</t>
        </is>
      </c>
      <c r="G962" s="13" t="inlineStr">
        <is>
          <t>Commelina benghalensis</t>
        </is>
      </c>
      <c r="H962" s="13" t="inlineStr">
        <is>
          <t>NÃO</t>
        </is>
      </c>
      <c r="I962" s="15" t="n">
        <v>2</v>
      </c>
      <c r="J962" s="18" t="n">
        <v>3.5</v>
      </c>
      <c r="K962" s="13" t="inlineStr">
        <is>
          <t>kg ou L/ha</t>
        </is>
      </c>
      <c r="L962" s="15" t="n">
        <v>1</v>
      </c>
      <c r="M962" s="13" t="inlineStr">
        <is>
          <t>Aplicar conforme monitoramento e estádio recomendado na bula (HRAC Grupo G (EPSPs))</t>
        </is>
      </c>
    </row>
    <row r="963" ht="22" customHeight="1">
      <c r="A963" s="6" t="inlineStr">
        <is>
          <t>ALV-0959</t>
        </is>
      </c>
      <c r="B963" s="5" t="n">
        <v>503</v>
      </c>
      <c r="C963" s="7" t="inlineStr">
        <is>
          <t>Nº 26718</t>
        </is>
      </c>
      <c r="D963" s="8" t="inlineStr">
        <is>
          <t>DINKY</t>
        </is>
      </c>
      <c r="E963" s="7" t="inlineStr">
        <is>
          <t>Inseticida</t>
        </is>
      </c>
      <c r="F963" s="7" t="inlineStr">
        <is>
          <t>Mosca-branca</t>
        </is>
      </c>
      <c r="G963" s="7" t="inlineStr">
        <is>
          <t>Bemisia tabaci raça B</t>
        </is>
      </c>
      <c r="H963" s="7" t="inlineStr">
        <is>
          <t>SIM (*)</t>
        </is>
      </c>
      <c r="I963" s="17" t="n">
        <v>0.2</v>
      </c>
      <c r="J963" s="17" t="n">
        <v>0.3</v>
      </c>
      <c r="K963" s="7" t="inlineStr">
        <is>
          <t>kg/ha</t>
        </is>
      </c>
      <c r="L963" s="9" t="n">
        <v>1</v>
      </c>
      <c r="M963" s="7" t="inlineStr">
        <is>
          <t>Aplicar conforme monitoramento e estádio recomendado na bula (IRAC Grupo 4A)</t>
        </is>
      </c>
    </row>
    <row r="964" ht="22" customHeight="1">
      <c r="A964" s="12" t="inlineStr">
        <is>
          <t>ALV-0960</t>
        </is>
      </c>
      <c r="B964" s="11" t="n">
        <v>503</v>
      </c>
      <c r="C964" s="13" t="inlineStr">
        <is>
          <t>Nº 26718</t>
        </is>
      </c>
      <c r="D964" s="14" t="inlineStr">
        <is>
          <t>DINKY</t>
        </is>
      </c>
      <c r="E964" s="13" t="inlineStr">
        <is>
          <t>Inseticida</t>
        </is>
      </c>
      <c r="F964" s="13" t="inlineStr">
        <is>
          <t>Pulgão-do-algodoeiro</t>
        </is>
      </c>
      <c r="G964" s="13" t="inlineStr">
        <is>
          <t>Aphis gossypii</t>
        </is>
      </c>
      <c r="H964" s="13" t="inlineStr">
        <is>
          <t>NÃO</t>
        </is>
      </c>
      <c r="I964" s="18" t="n">
        <v>0.15</v>
      </c>
      <c r="J964" s="18" t="n">
        <v>0.25</v>
      </c>
      <c r="K964" s="13" t="inlineStr">
        <is>
          <t>kg/ha</t>
        </is>
      </c>
      <c r="L964" s="15" t="n">
        <v>1</v>
      </c>
      <c r="M964" s="13" t="inlineStr">
        <is>
          <t>Aplicar conforme monitoramento e estádio recomendado na bula (IRAC Grupo 4A)</t>
        </is>
      </c>
    </row>
    <row r="965" ht="22" customHeight="1">
      <c r="A965" s="6" t="inlineStr">
        <is>
          <t>ALV-0961</t>
        </is>
      </c>
      <c r="B965" s="5" t="n">
        <v>503</v>
      </c>
      <c r="C965" s="7" t="inlineStr">
        <is>
          <t>Nº 26718</t>
        </is>
      </c>
      <c r="D965" s="8" t="inlineStr">
        <is>
          <t>DINKY</t>
        </is>
      </c>
      <c r="E965" s="7" t="inlineStr">
        <is>
          <t>Inseticida</t>
        </is>
      </c>
      <c r="F965" s="7" t="inlineStr">
        <is>
          <t>Percevejo-marrom</t>
        </is>
      </c>
      <c r="G965" s="7" t="inlineStr">
        <is>
          <t>Euschistus heros</t>
        </is>
      </c>
      <c r="H965" s="7" t="inlineStr">
        <is>
          <t>NÃO</t>
        </is>
      </c>
      <c r="I965" s="17" t="n">
        <v>0.25</v>
      </c>
      <c r="J965" s="17" t="n">
        <v>0.35</v>
      </c>
      <c r="K965" s="7" t="inlineStr">
        <is>
          <t>kg/ha</t>
        </is>
      </c>
      <c r="L965" s="9" t="n">
        <v>1</v>
      </c>
      <c r="M965" s="7" t="inlineStr">
        <is>
          <t>Aplicar conforme monitoramento e estádio recomendado na bula (IRAC Grupo 4A)</t>
        </is>
      </c>
    </row>
    <row r="966" ht="22" customHeight="1">
      <c r="A966" s="12" t="inlineStr">
        <is>
          <t>ALV-0962</t>
        </is>
      </c>
      <c r="B966" s="11" t="n">
        <v>504</v>
      </c>
      <c r="C966" s="13" t="inlineStr">
        <is>
          <t>Nº 5924</t>
        </is>
      </c>
      <c r="D966" s="14" t="inlineStr">
        <is>
          <t>FLAME WG</t>
        </is>
      </c>
      <c r="E966" s="13" t="inlineStr">
        <is>
          <t>Inseticida</t>
        </is>
      </c>
      <c r="F966" s="13" t="inlineStr">
        <is>
          <t>Bicudo-do-algodoeiro</t>
        </is>
      </c>
      <c r="G966" s="13" t="inlineStr">
        <is>
          <t>Anthonomus grandis</t>
        </is>
      </c>
      <c r="H966" s="13" t="inlineStr">
        <is>
          <t>NÃO</t>
        </is>
      </c>
      <c r="I966" s="18" t="n">
        <v>0.15</v>
      </c>
      <c r="J966" s="18" t="n">
        <v>0.25</v>
      </c>
      <c r="K966" s="13" t="inlineStr">
        <is>
          <t>L/ha</t>
        </is>
      </c>
      <c r="L966" s="15" t="n">
        <v>1</v>
      </c>
      <c r="M966" s="13" t="inlineStr">
        <is>
          <t>Aplicar conforme monitoramento e estádio recomendado na bula (IRAC Grupo 3A)</t>
        </is>
      </c>
    </row>
    <row r="967" ht="22" customHeight="1">
      <c r="A967" s="6" t="inlineStr">
        <is>
          <t>ALV-0963</t>
        </is>
      </c>
      <c r="B967" s="5" t="n">
        <v>504</v>
      </c>
      <c r="C967" s="7" t="inlineStr">
        <is>
          <t>Nº 5924</t>
        </is>
      </c>
      <c r="D967" s="8" t="inlineStr">
        <is>
          <t>FLAME WG</t>
        </is>
      </c>
      <c r="E967" s="7" t="inlineStr">
        <is>
          <t>Inseticida</t>
        </is>
      </c>
      <c r="F967" s="7" t="inlineStr">
        <is>
          <t>Mosca-branca</t>
        </is>
      </c>
      <c r="G967" s="7" t="inlineStr">
        <is>
          <t>Bemisia tabaci raça B</t>
        </is>
      </c>
      <c r="H967" s="7" t="inlineStr">
        <is>
          <t>SIM (*)</t>
        </is>
      </c>
      <c r="I967" s="17" t="n">
        <v>0.125</v>
      </c>
      <c r="J967" s="17" t="n">
        <v>0.25</v>
      </c>
      <c r="K967" s="7" t="inlineStr">
        <is>
          <t>L/ha</t>
        </is>
      </c>
      <c r="L967" s="9" t="n">
        <v>1</v>
      </c>
      <c r="M967" s="7" t="inlineStr">
        <is>
          <t>Aplicar conforme monitoramento e estádio recomendado na bula (IRAC Grupo 3A)</t>
        </is>
      </c>
    </row>
    <row r="968" ht="22" customHeight="1">
      <c r="A968" s="12" t="inlineStr">
        <is>
          <t>ALV-0964</t>
        </is>
      </c>
      <c r="B968" s="11" t="n">
        <v>504</v>
      </c>
      <c r="C968" s="13" t="inlineStr">
        <is>
          <t>Nº 5924</t>
        </is>
      </c>
      <c r="D968" s="14" t="inlineStr">
        <is>
          <t>FLAME WG</t>
        </is>
      </c>
      <c r="E968" s="13" t="inlineStr">
        <is>
          <t>Inseticida</t>
        </is>
      </c>
      <c r="F968" s="13" t="inlineStr">
        <is>
          <t>Ácaro-rajado</t>
        </is>
      </c>
      <c r="G968" s="13" t="inlineStr">
        <is>
          <t>Tetranychus urticae</t>
        </is>
      </c>
      <c r="H968" s="13" t="inlineStr">
        <is>
          <t>SIM (*)</t>
        </is>
      </c>
      <c r="I968" s="18" t="n">
        <v>0.15</v>
      </c>
      <c r="J968" s="18" t="n">
        <v>0.2</v>
      </c>
      <c r="K968" s="13" t="inlineStr">
        <is>
          <t>L/ha</t>
        </is>
      </c>
      <c r="L968" s="15" t="n">
        <v>1</v>
      </c>
      <c r="M968" s="13" t="inlineStr">
        <is>
          <t>Aplicar conforme monitoramento e estádio recomendado na bula (IRAC Grupo 3A)</t>
        </is>
      </c>
    </row>
    <row r="969" ht="22" customHeight="1">
      <c r="A969" s="6" t="inlineStr">
        <is>
          <t>ALV-0965</t>
        </is>
      </c>
      <c r="B969" s="5" t="n">
        <v>505</v>
      </c>
      <c r="C969" s="7" t="inlineStr">
        <is>
          <t>Nº 6313</t>
        </is>
      </c>
      <c r="D969" s="8" t="inlineStr">
        <is>
          <t>MANFIL 800 WP</t>
        </is>
      </c>
      <c r="E969" s="7" t="inlineStr">
        <is>
          <t>Fungicida</t>
        </is>
      </c>
      <c r="F969" s="7" t="inlineStr">
        <is>
          <t>Ferrugem-asiática</t>
        </is>
      </c>
      <c r="G969" s="7" t="inlineStr">
        <is>
          <t>Phakopsora pachyrhizi</t>
        </is>
      </c>
      <c r="H969" s="7" t="inlineStr">
        <is>
          <t>NÃO</t>
        </is>
      </c>
      <c r="I969" s="17" t="n">
        <v>1.5</v>
      </c>
      <c r="J969" s="17" t="n">
        <v>2.5</v>
      </c>
      <c r="K969" s="7" t="inlineStr">
        <is>
          <t>kg/ha</t>
        </is>
      </c>
      <c r="L969" s="9" t="n">
        <v>1</v>
      </c>
      <c r="M969" s="7" t="inlineStr">
        <is>
          <t>Aplicar conforme monitoramento e estádio recomendado na bula (FRAC Grupo M03 — Multissítio)</t>
        </is>
      </c>
    </row>
    <row r="970" ht="22" customHeight="1">
      <c r="A970" s="12" t="inlineStr">
        <is>
          <t>ALV-0966</t>
        </is>
      </c>
      <c r="B970" s="11" t="n">
        <v>505</v>
      </c>
      <c r="C970" s="13" t="inlineStr">
        <is>
          <t>Nº 6313</t>
        </is>
      </c>
      <c r="D970" s="14" t="inlineStr">
        <is>
          <t>MANFIL 800 WP</t>
        </is>
      </c>
      <c r="E970" s="13" t="inlineStr">
        <is>
          <t>Fungicida</t>
        </is>
      </c>
      <c r="F970" s="13" t="inlineStr">
        <is>
          <t>Mancha-alvo</t>
        </is>
      </c>
      <c r="G970" s="13" t="inlineStr">
        <is>
          <t>Corynespora cassiicola</t>
        </is>
      </c>
      <c r="H970" s="13" t="inlineStr">
        <is>
          <t>NÃO</t>
        </is>
      </c>
      <c r="I970" s="18" t="n">
        <v>1.5</v>
      </c>
      <c r="J970" s="18" t="n">
        <v>2.5</v>
      </c>
      <c r="K970" s="13" t="inlineStr">
        <is>
          <t>kg/ha</t>
        </is>
      </c>
      <c r="L970" s="15" t="n">
        <v>1</v>
      </c>
      <c r="M970" s="13" t="inlineStr">
        <is>
          <t>Aplicar conforme monitoramento e estádio recomendado na bula (FRAC Grupo M03 — Multissítio)</t>
        </is>
      </c>
    </row>
    <row r="971" ht="22" customHeight="1">
      <c r="A971" s="6" t="inlineStr">
        <is>
          <t>ALV-0967</t>
        </is>
      </c>
      <c r="B971" s="5" t="n">
        <v>505</v>
      </c>
      <c r="C971" s="7" t="inlineStr">
        <is>
          <t>Nº 6313</t>
        </is>
      </c>
      <c r="D971" s="8" t="inlineStr">
        <is>
          <t>MANFIL 800 WP</t>
        </is>
      </c>
      <c r="E971" s="7" t="inlineStr">
        <is>
          <t>Fungicida</t>
        </is>
      </c>
      <c r="F971" s="7" t="inlineStr">
        <is>
          <t>Pinta-preta</t>
        </is>
      </c>
      <c r="G971" s="7" t="inlineStr">
        <is>
          <t>Alternaria solani</t>
        </is>
      </c>
      <c r="H971" s="7" t="inlineStr">
        <is>
          <t>NÃO</t>
        </is>
      </c>
      <c r="I971" s="9" t="n">
        <v>2</v>
      </c>
      <c r="J971" s="9" t="n">
        <v>3</v>
      </c>
      <c r="K971" s="7" t="inlineStr">
        <is>
          <t>kg/ha</t>
        </is>
      </c>
      <c r="L971" s="9" t="n">
        <v>1</v>
      </c>
      <c r="M971" s="7" t="inlineStr">
        <is>
          <t>Aplicar conforme monitoramento e estádio recomendado na bula (FRAC Grupo M03 — Multissítio)</t>
        </is>
      </c>
    </row>
    <row r="972" ht="22" customHeight="1">
      <c r="A972" s="12" t="inlineStr">
        <is>
          <t>ALV-0968</t>
        </is>
      </c>
      <c r="B972" s="11" t="n">
        <v>506</v>
      </c>
      <c r="C972" s="13" t="inlineStr">
        <is>
          <t>Nº 4900</t>
        </is>
      </c>
      <c r="D972" s="14" t="inlineStr">
        <is>
          <t>CONVERGE 400 EC</t>
        </is>
      </c>
      <c r="E972" s="13" t="inlineStr">
        <is>
          <t>Herbicida</t>
        </is>
      </c>
      <c r="F972" s="13" t="inlineStr">
        <is>
          <t>Corda-de-viola</t>
        </is>
      </c>
      <c r="G972" s="13" t="inlineStr">
        <is>
          <t>Ipomoea grandifolia</t>
        </is>
      </c>
      <c r="H972" s="13" t="inlineStr">
        <is>
          <t>NÃO</t>
        </is>
      </c>
      <c r="I972" s="18" t="n">
        <v>0.05</v>
      </c>
      <c r="J972" s="18" t="n">
        <v>0.125</v>
      </c>
      <c r="K972" s="13" t="inlineStr">
        <is>
          <t>L/ha</t>
        </is>
      </c>
      <c r="L972" s="15" t="n">
        <v>1</v>
      </c>
      <c r="M972" s="13" t="inlineStr">
        <is>
          <t>Aplicar conforme monitoramento e estádio recomendado na bula (HRAC Grupo E (14) — Inibidores da PROTOX)</t>
        </is>
      </c>
    </row>
    <row r="973" ht="22" customHeight="1">
      <c r="A973" s="6" t="inlineStr">
        <is>
          <t>ALV-0969</t>
        </is>
      </c>
      <c r="B973" s="5" t="n">
        <v>506</v>
      </c>
      <c r="C973" s="7" t="inlineStr">
        <is>
          <t>Nº 4900</t>
        </is>
      </c>
      <c r="D973" s="8" t="inlineStr">
        <is>
          <t>CONVERGE 400 EC</t>
        </is>
      </c>
      <c r="E973" s="7" t="inlineStr">
        <is>
          <t>Herbicida</t>
        </is>
      </c>
      <c r="F973" s="7" t="inlineStr">
        <is>
          <t>Trapoeraba</t>
        </is>
      </c>
      <c r="G973" s="7" t="inlineStr">
        <is>
          <t>Commelina benghalensis</t>
        </is>
      </c>
      <c r="H973" s="7" t="inlineStr">
        <is>
          <t>NÃO</t>
        </is>
      </c>
      <c r="I973" s="17" t="n">
        <v>0.05</v>
      </c>
      <c r="J973" s="17" t="n">
        <v>0.125</v>
      </c>
      <c r="K973" s="7" t="inlineStr">
        <is>
          <t>L/ha</t>
        </is>
      </c>
      <c r="L973" s="9" t="n">
        <v>1</v>
      </c>
      <c r="M973" s="7" t="inlineStr">
        <is>
          <t>Aplicar conforme monitoramento e estádio recomendado na bula (HRAC Grupo E (14) — Inibidores da PROTOX)</t>
        </is>
      </c>
    </row>
    <row r="974" ht="22" customHeight="1">
      <c r="A974" s="12" t="inlineStr">
        <is>
          <t>ALV-0970</t>
        </is>
      </c>
      <c r="B974" s="11" t="n">
        <v>507</v>
      </c>
      <c r="C974" s="13" t="inlineStr">
        <is>
          <t>Nº 1109</t>
        </is>
      </c>
      <c r="D974" s="14" t="inlineStr">
        <is>
          <t>TROVATI 360 CS</t>
        </is>
      </c>
      <c r="E974" s="13" t="inlineStr">
        <is>
          <t>Herbicida</t>
        </is>
      </c>
      <c r="F974" s="13" t="inlineStr">
        <is>
          <t>Capim-colchão</t>
        </is>
      </c>
      <c r="G974" s="13" t="inlineStr">
        <is>
          <t>Digitaria horizontalis</t>
        </is>
      </c>
      <c r="H974" s="13" t="inlineStr">
        <is>
          <t>NÃO</t>
        </is>
      </c>
      <c r="I974" s="18" t="n">
        <v>1.5</v>
      </c>
      <c r="J974" s="18" t="n">
        <v>2.5</v>
      </c>
      <c r="K974" s="13" t="inlineStr">
        <is>
          <t>L/ha</t>
        </is>
      </c>
      <c r="L974" s="15" t="n">
        <v>1</v>
      </c>
      <c r="M974" s="13" t="inlineStr">
        <is>
          <t>Aplicar conforme monitoramento e estádio recomendado na bula (HRAC Grupo F4 (13) — Inibidores da DOXP sintase)</t>
        </is>
      </c>
    </row>
    <row r="975" ht="22" customHeight="1">
      <c r="A975" s="6" t="inlineStr">
        <is>
          <t>ALV-0971</t>
        </is>
      </c>
      <c r="B975" s="5" t="n">
        <v>507</v>
      </c>
      <c r="C975" s="7" t="inlineStr">
        <is>
          <t>Nº 1109</t>
        </is>
      </c>
      <c r="D975" s="8" t="inlineStr">
        <is>
          <t>TROVATI 360 CS</t>
        </is>
      </c>
      <c r="E975" s="7" t="inlineStr">
        <is>
          <t>Herbicida</t>
        </is>
      </c>
      <c r="F975" s="7" t="inlineStr">
        <is>
          <t>Capim-marmelada</t>
        </is>
      </c>
      <c r="G975" s="7" t="inlineStr">
        <is>
          <t>Brachiaria plantaginea</t>
        </is>
      </c>
      <c r="H975" s="7" t="inlineStr">
        <is>
          <t>NÃO</t>
        </is>
      </c>
      <c r="I975" s="17" t="n">
        <v>1.5</v>
      </c>
      <c r="J975" s="17" t="n">
        <v>2.5</v>
      </c>
      <c r="K975" s="7" t="inlineStr">
        <is>
          <t>L/ha</t>
        </is>
      </c>
      <c r="L975" s="9" t="n">
        <v>1</v>
      </c>
      <c r="M975" s="7" t="inlineStr">
        <is>
          <t>Aplicar conforme monitoramento e estádio recomendado na bula (HRAC Grupo F4 (13) — Inibidores da DOXP sintase)</t>
        </is>
      </c>
    </row>
    <row r="976" ht="22" customHeight="1">
      <c r="A976" s="12" t="inlineStr">
        <is>
          <t>ALV-0972</t>
        </is>
      </c>
      <c r="B976" s="11" t="n">
        <v>507</v>
      </c>
      <c r="C976" s="13" t="inlineStr">
        <is>
          <t>Nº 1109</t>
        </is>
      </c>
      <c r="D976" s="14" t="inlineStr">
        <is>
          <t>TROVATI 360 CS</t>
        </is>
      </c>
      <c r="E976" s="13" t="inlineStr">
        <is>
          <t>Herbicida</t>
        </is>
      </c>
      <c r="F976" s="13" t="inlineStr">
        <is>
          <t>Capim-arroz</t>
        </is>
      </c>
      <c r="G976" s="13" t="inlineStr">
        <is>
          <t>Echinochloa crusgalli</t>
        </is>
      </c>
      <c r="H976" s="13" t="inlineStr">
        <is>
          <t>SIM (*)</t>
        </is>
      </c>
      <c r="I976" s="15" t="n">
        <v>1</v>
      </c>
      <c r="J976" s="15" t="n">
        <v>2</v>
      </c>
      <c r="K976" s="13" t="inlineStr">
        <is>
          <t>L/ha</t>
        </is>
      </c>
      <c r="L976" s="15" t="n">
        <v>1</v>
      </c>
      <c r="M976" s="13" t="inlineStr">
        <is>
          <t>Aplicar conforme monitoramento e estádio recomendado na bula (HRAC Grupo F4 (13) — Inibidores da DOXP sintase)</t>
        </is>
      </c>
    </row>
    <row r="977" ht="22" customHeight="1">
      <c r="A977" s="6" t="inlineStr">
        <is>
          <t>ALV-0973</t>
        </is>
      </c>
      <c r="B977" s="5" t="n">
        <v>508</v>
      </c>
      <c r="C977" s="7" t="inlineStr">
        <is>
          <t>Nº 19018</t>
        </is>
      </c>
      <c r="D977" s="8" t="inlineStr">
        <is>
          <t>CLETODIM CARTAGO BLD I</t>
        </is>
      </c>
      <c r="E977" s="7" t="inlineStr">
        <is>
          <t>Herbicida</t>
        </is>
      </c>
      <c r="F977" s="7" t="inlineStr">
        <is>
          <t>Capim-amargoso</t>
        </is>
      </c>
      <c r="G977" s="7" t="inlineStr">
        <is>
          <t>Digitaria insularis</t>
        </is>
      </c>
      <c r="H977" s="7" t="inlineStr">
        <is>
          <t>SIM (*)</t>
        </is>
      </c>
      <c r="I977" s="17" t="n">
        <v>0.45</v>
      </c>
      <c r="J977" s="17" t="n">
        <v>0.85</v>
      </c>
      <c r="K977" s="7" t="inlineStr">
        <is>
          <t>L/ha</t>
        </is>
      </c>
      <c r="L977" s="9" t="n">
        <v>1</v>
      </c>
      <c r="M977" s="7" t="inlineStr">
        <is>
          <t>Aplicar conforme monitoramento e estádio recomendado na bula (HRAC Grupo A (1) — Inibidores da ACCase)</t>
        </is>
      </c>
    </row>
    <row r="978" ht="22" customHeight="1">
      <c r="A978" s="12" t="inlineStr">
        <is>
          <t>ALV-0974</t>
        </is>
      </c>
      <c r="B978" s="11" t="n">
        <v>508</v>
      </c>
      <c r="C978" s="13" t="inlineStr">
        <is>
          <t>Nº 19018</t>
        </is>
      </c>
      <c r="D978" s="14" t="inlineStr">
        <is>
          <t>CLETODIM CARTAGO BLD I</t>
        </is>
      </c>
      <c r="E978" s="13" t="inlineStr">
        <is>
          <t>Herbicida</t>
        </is>
      </c>
      <c r="F978" s="13" t="inlineStr">
        <is>
          <t>Capim-pé-de-galinha</t>
        </is>
      </c>
      <c r="G978" s="13" t="inlineStr">
        <is>
          <t>Eleusine indica</t>
        </is>
      </c>
      <c r="H978" s="13" t="inlineStr">
        <is>
          <t>SIM (*)</t>
        </is>
      </c>
      <c r="I978" s="18" t="n">
        <v>0.35</v>
      </c>
      <c r="J978" s="18" t="n">
        <v>0.45</v>
      </c>
      <c r="K978" s="13" t="inlineStr">
        <is>
          <t>L/ha</t>
        </is>
      </c>
      <c r="L978" s="15" t="n">
        <v>1</v>
      </c>
      <c r="M978" s="13" t="inlineStr">
        <is>
          <t>Aplicar conforme monitoramento e estádio recomendado na bula (HRAC Grupo A (1) — Inibidores da ACCase)</t>
        </is>
      </c>
    </row>
    <row r="979" ht="22" customHeight="1">
      <c r="A979" s="6" t="inlineStr">
        <is>
          <t>ALV-0975</t>
        </is>
      </c>
      <c r="B979" s="5" t="n">
        <v>508</v>
      </c>
      <c r="C979" s="7" t="inlineStr">
        <is>
          <t>Nº 19018</t>
        </is>
      </c>
      <c r="D979" s="8" t="inlineStr">
        <is>
          <t>CLETODIM CARTAGO BLD I</t>
        </is>
      </c>
      <c r="E979" s="7" t="inlineStr">
        <is>
          <t>Herbicida</t>
        </is>
      </c>
      <c r="F979" s="7" t="inlineStr">
        <is>
          <t>Milho-voluntário (Tiguera)</t>
        </is>
      </c>
      <c r="G979" s="7" t="inlineStr">
        <is>
          <t>Zea mays</t>
        </is>
      </c>
      <c r="H979" s="7" t="inlineStr">
        <is>
          <t>NÃO</t>
        </is>
      </c>
      <c r="I979" s="17" t="n">
        <v>0.4</v>
      </c>
      <c r="J979" s="17" t="n">
        <v>0.6</v>
      </c>
      <c r="K979" s="7" t="inlineStr">
        <is>
          <t>L/ha</t>
        </is>
      </c>
      <c r="L979" s="9" t="n">
        <v>1</v>
      </c>
      <c r="M979" s="7" t="inlineStr">
        <is>
          <t>Aplicar conforme monitoramento e estádio recomendado na bula (HRAC Grupo A (1) — Inibidores da ACCase)</t>
        </is>
      </c>
    </row>
    <row r="980" ht="22" customHeight="1">
      <c r="A980" s="12" t="inlineStr">
        <is>
          <t>ALV-0976</t>
        </is>
      </c>
      <c r="B980" s="11" t="n">
        <v>509</v>
      </c>
      <c r="C980" s="13" t="inlineStr">
        <is>
          <t>Nº 36419</t>
        </is>
      </c>
      <c r="D980" s="14" t="inlineStr">
        <is>
          <t>PIRIPROXIFEM 100 SINO-AGRI IMP 0,200L AMOSTRA</t>
        </is>
      </c>
      <c r="E980" s="13" t="inlineStr">
        <is>
          <t>Inseticida</t>
        </is>
      </c>
      <c r="F980" s="13" t="inlineStr">
        <is>
          <t>Mosca-branca</t>
        </is>
      </c>
      <c r="G980" s="13" t="inlineStr">
        <is>
          <t>Bemisia tabaci raça B</t>
        </is>
      </c>
      <c r="H980" s="13" t="inlineStr">
        <is>
          <t>SIM (*)</t>
        </is>
      </c>
      <c r="I980" s="18" t="n">
        <v>0.25</v>
      </c>
      <c r="J980" s="18" t="n">
        <v>0.5</v>
      </c>
      <c r="K980" s="13" t="inlineStr">
        <is>
          <t>L/ha</t>
        </is>
      </c>
      <c r="L980" s="15" t="n">
        <v>1</v>
      </c>
      <c r="M980" s="13" t="inlineStr">
        <is>
          <t>Aplicar conforme monitoramento e estádio recomendado na bula (IRAC Grupo 7C)</t>
        </is>
      </c>
    </row>
    <row r="981" ht="22" customHeight="1">
      <c r="A981" s="6" t="inlineStr">
        <is>
          <t>ALV-0977</t>
        </is>
      </c>
      <c r="B981" s="5" t="n">
        <v>509</v>
      </c>
      <c r="C981" s="7" t="inlineStr">
        <is>
          <t>Nº 36419</t>
        </is>
      </c>
      <c r="D981" s="8" t="inlineStr">
        <is>
          <t>PIRIPROXIFEM 100 SINO-AGRI IMP 0,200L AMOSTRA</t>
        </is>
      </c>
      <c r="E981" s="7" t="inlineStr">
        <is>
          <t>Inseticida</t>
        </is>
      </c>
      <c r="F981" s="7" t="inlineStr">
        <is>
          <t>Cochonilha-escama-farinha</t>
        </is>
      </c>
      <c r="G981" s="7" t="inlineStr">
        <is>
          <t>Pinnaspis aspidistrae</t>
        </is>
      </c>
      <c r="H981" s="7" t="inlineStr">
        <is>
          <t>NÃO</t>
        </is>
      </c>
      <c r="I981" s="17" t="n">
        <v>0.5</v>
      </c>
      <c r="J981" s="17" t="n">
        <v>0.75</v>
      </c>
      <c r="K981" s="7" t="inlineStr">
        <is>
          <t>L/ha</t>
        </is>
      </c>
      <c r="L981" s="9" t="n">
        <v>1</v>
      </c>
      <c r="M981" s="7" t="inlineStr">
        <is>
          <t>Aplicar conforme monitoramento e estádio recomendado na bula (IRAC Grupo 7C)</t>
        </is>
      </c>
    </row>
    <row r="982" ht="22" customHeight="1">
      <c r="A982" s="12" t="inlineStr">
        <is>
          <t>ALV-0978</t>
        </is>
      </c>
      <c r="B982" s="11" t="n">
        <v>510</v>
      </c>
      <c r="C982" s="13" t="inlineStr">
        <is>
          <t>Nº 2520</t>
        </is>
      </c>
      <c r="D982" s="14" t="inlineStr">
        <is>
          <t>SURVEY 250 FS</t>
        </is>
      </c>
      <c r="E982" s="13" t="inlineStr">
        <is>
          <t>Inseticida e Cupinicida (Fipronil)</t>
        </is>
      </c>
      <c r="F982" s="13" t="inlineStr">
        <is>
          <t>Coró</t>
        </is>
      </c>
      <c r="G982" s="13" t="inlineStr">
        <is>
          <t>Phyllophaga cuyabana</t>
        </is>
      </c>
      <c r="H982" s="13" t="inlineStr">
        <is>
          <t>NÃO</t>
        </is>
      </c>
      <c r="I982" s="18" t="n">
        <v>0.1</v>
      </c>
      <c r="J982" s="18" t="n">
        <v>0.2</v>
      </c>
      <c r="K982" s="13" t="inlineStr">
        <is>
          <t>L/100kg sem.</t>
        </is>
      </c>
      <c r="L982" s="15" t="n">
        <v>1</v>
      </c>
      <c r="M982" s="13" t="inlineStr">
        <is>
          <t>Aplicar conforme monitoramento e estádio recomendado na bula (IRAC Grupo 2B)</t>
        </is>
      </c>
    </row>
    <row r="983" ht="22" customHeight="1">
      <c r="A983" s="6" t="inlineStr">
        <is>
          <t>ALV-0979</t>
        </is>
      </c>
      <c r="B983" s="5" t="n">
        <v>510</v>
      </c>
      <c r="C983" s="7" t="inlineStr">
        <is>
          <t>Nº 2520</t>
        </is>
      </c>
      <c r="D983" s="8" t="inlineStr">
        <is>
          <t>SURVEY 250 FS</t>
        </is>
      </c>
      <c r="E983" s="7" t="inlineStr">
        <is>
          <t>Inseticida e Cupinicida (Fipronil)</t>
        </is>
      </c>
      <c r="F983" s="7" t="inlineStr">
        <is>
          <t>Lagarta-elasmo</t>
        </is>
      </c>
      <c r="G983" s="7" t="inlineStr">
        <is>
          <t>Elasmopalpus lignosellus</t>
        </is>
      </c>
      <c r="H983" s="7" t="inlineStr">
        <is>
          <t>NÃO</t>
        </is>
      </c>
      <c r="I983" s="17" t="n">
        <v>0.1</v>
      </c>
      <c r="J983" s="17" t="n">
        <v>0.2</v>
      </c>
      <c r="K983" s="7" t="inlineStr">
        <is>
          <t>L/100kg sem.</t>
        </is>
      </c>
      <c r="L983" s="9" t="n">
        <v>1</v>
      </c>
      <c r="M983" s="7" t="inlineStr">
        <is>
          <t>Aplicar conforme monitoramento e estádio recomendado na bula (IRAC Grupo 2B)</t>
        </is>
      </c>
    </row>
    <row r="984" ht="22" customHeight="1">
      <c r="A984" s="12" t="inlineStr">
        <is>
          <t>ALV-0980</t>
        </is>
      </c>
      <c r="B984" s="11" t="n">
        <v>510</v>
      </c>
      <c r="C984" s="13" t="inlineStr">
        <is>
          <t>Nº 2520</t>
        </is>
      </c>
      <c r="D984" s="14" t="inlineStr">
        <is>
          <t>SURVEY 250 FS</t>
        </is>
      </c>
      <c r="E984" s="13" t="inlineStr">
        <is>
          <t>Inseticida e Cupinicida (Fipronil)</t>
        </is>
      </c>
      <c r="F984" s="13" t="inlineStr">
        <is>
          <t>Cupim-de-montículo</t>
        </is>
      </c>
      <c r="G984" s="13" t="inlineStr">
        <is>
          <t>Procornitermes triacifer</t>
        </is>
      </c>
      <c r="H984" s="13" t="inlineStr">
        <is>
          <t>NÃO</t>
        </is>
      </c>
      <c r="I984" s="18" t="n">
        <v>0.05</v>
      </c>
      <c r="J984" s="18" t="n">
        <v>0.2</v>
      </c>
      <c r="K984" s="13" t="inlineStr">
        <is>
          <t>kg ou L/ha</t>
        </is>
      </c>
      <c r="L984" s="15" t="n">
        <v>1</v>
      </c>
      <c r="M984" s="13" t="inlineStr">
        <is>
          <t>Aplicar conforme monitoramento e estádio recomendado na bula (IRAC Grupo 2B)</t>
        </is>
      </c>
    </row>
    <row r="985" ht="22" customHeight="1">
      <c r="A985" s="6" t="inlineStr">
        <is>
          <t>ALV-0981</t>
        </is>
      </c>
      <c r="B985" s="5" t="n">
        <v>511</v>
      </c>
      <c r="C985" s="7" t="inlineStr">
        <is>
          <t>Nº 34621</t>
        </is>
      </c>
      <c r="D985" s="8" t="inlineStr">
        <is>
          <t>RATEIO 200 SL</t>
        </is>
      </c>
      <c r="E985" s="7" t="inlineStr">
        <is>
          <t>Herbicida Dessecante</t>
        </is>
      </c>
      <c r="F985" s="7" t="inlineStr">
        <is>
          <t>Buva</t>
        </is>
      </c>
      <c r="G985" s="7" t="inlineStr">
        <is>
          <t>Conyza bonariensis</t>
        </is>
      </c>
      <c r="H985" s="7" t="inlineStr">
        <is>
          <t>NÃO</t>
        </is>
      </c>
      <c r="I985" s="17" t="n">
        <v>1.5</v>
      </c>
      <c r="J985" s="17" t="n">
        <v>2.5</v>
      </c>
      <c r="K985" s="7" t="inlineStr">
        <is>
          <t>L/ha</t>
        </is>
      </c>
      <c r="L985" s="9" t="n">
        <v>1</v>
      </c>
      <c r="M985" s="7" t="inlineStr">
        <is>
          <t>Aplicar conforme monitoramento e estádio recomendado na bula (HRAC Grupo D (22) — Desviadores de Elétrons do Fotossistema I)</t>
        </is>
      </c>
    </row>
    <row r="986" ht="22" customHeight="1">
      <c r="A986" s="12" t="inlineStr">
        <is>
          <t>ALV-0982</t>
        </is>
      </c>
      <c r="B986" s="11" t="n">
        <v>511</v>
      </c>
      <c r="C986" s="13" t="inlineStr">
        <is>
          <t>Nº 34621</t>
        </is>
      </c>
      <c r="D986" s="14" t="inlineStr">
        <is>
          <t>RATEIO 200 SL</t>
        </is>
      </c>
      <c r="E986" s="13" t="inlineStr">
        <is>
          <t>Herbicida Dessecante</t>
        </is>
      </c>
      <c r="F986" s="13" t="inlineStr">
        <is>
          <t>Corda-de-viola</t>
        </is>
      </c>
      <c r="G986" s="13" t="inlineStr">
        <is>
          <t>Ipomoea grandifolia</t>
        </is>
      </c>
      <c r="H986" s="13" t="inlineStr">
        <is>
          <t>NÃO</t>
        </is>
      </c>
      <c r="I986" s="18" t="n">
        <v>1.5</v>
      </c>
      <c r="J986" s="15" t="n">
        <v>2</v>
      </c>
      <c r="K986" s="13" t="inlineStr">
        <is>
          <t>L/ha</t>
        </is>
      </c>
      <c r="L986" s="15" t="n">
        <v>1</v>
      </c>
      <c r="M986" s="13" t="inlineStr">
        <is>
          <t>Aplicar conforme monitoramento e estádio recomendado na bula (HRAC Grupo D (22) — Desviadores de Elétrons do Fotossistema I)</t>
        </is>
      </c>
    </row>
    <row r="987" ht="22" customHeight="1">
      <c r="A987" s="6" t="inlineStr">
        <is>
          <t>ALV-0983</t>
        </is>
      </c>
      <c r="B987" s="5" t="n">
        <v>511</v>
      </c>
      <c r="C987" s="7" t="inlineStr">
        <is>
          <t>Nº 34621</t>
        </is>
      </c>
      <c r="D987" s="8" t="inlineStr">
        <is>
          <t>RATEIO 200 SL</t>
        </is>
      </c>
      <c r="E987" s="7" t="inlineStr">
        <is>
          <t>Herbicida Dessecante</t>
        </is>
      </c>
      <c r="F987" s="7" t="inlineStr">
        <is>
          <t>Dessecação Pré-Colheita Soja</t>
        </is>
      </c>
      <c r="G987" s="7" t="inlineStr">
        <is>
          <t>Glycine max</t>
        </is>
      </c>
      <c r="H987" s="7" t="inlineStr">
        <is>
          <t>NÃO</t>
        </is>
      </c>
      <c r="I987" s="17" t="n">
        <v>1.5</v>
      </c>
      <c r="J987" s="9" t="n">
        <v>2</v>
      </c>
      <c r="K987" s="7" t="inlineStr">
        <is>
          <t>L/ha</t>
        </is>
      </c>
      <c r="L987" s="9" t="n">
        <v>1</v>
      </c>
      <c r="M987" s="7" t="inlineStr">
        <is>
          <t>Aplicar conforme monitoramento e estádio recomendado na bula (HRAC Grupo D (22) — Desviadores de Elétrons do Fotossistema I)</t>
        </is>
      </c>
    </row>
    <row r="988" ht="22" customHeight="1">
      <c r="A988" s="12" t="inlineStr">
        <is>
          <t>ALV-0984</t>
        </is>
      </c>
      <c r="B988" s="11" t="n">
        <v>512</v>
      </c>
      <c r="C988" s="13" t="inlineStr">
        <is>
          <t>Nº 5924</t>
        </is>
      </c>
      <c r="D988" s="14" t="inlineStr">
        <is>
          <t>FLAME WG</t>
        </is>
      </c>
      <c r="E988" s="13" t="inlineStr">
        <is>
          <t>Inseticida</t>
        </is>
      </c>
      <c r="F988" s="13" t="inlineStr">
        <is>
          <t>Bicudo-do-algodoeiro</t>
        </is>
      </c>
      <c r="G988" s="13" t="inlineStr">
        <is>
          <t>Anthonomus grandis</t>
        </is>
      </c>
      <c r="H988" s="13" t="inlineStr">
        <is>
          <t>NÃO</t>
        </is>
      </c>
      <c r="I988" s="18" t="n">
        <v>0.15</v>
      </c>
      <c r="J988" s="18" t="n">
        <v>0.25</v>
      </c>
      <c r="K988" s="13" t="inlineStr">
        <is>
          <t>L/ha</t>
        </is>
      </c>
      <c r="L988" s="15" t="n">
        <v>1</v>
      </c>
      <c r="M988" s="13" t="inlineStr">
        <is>
          <t>Aplicar conforme monitoramento e estádio recomendado na bula (IRAC Grupo 3A)</t>
        </is>
      </c>
    </row>
    <row r="989" ht="22" customHeight="1">
      <c r="A989" s="6" t="inlineStr">
        <is>
          <t>ALV-0985</t>
        </is>
      </c>
      <c r="B989" s="5" t="n">
        <v>512</v>
      </c>
      <c r="C989" s="7" t="inlineStr">
        <is>
          <t>Nº 5924</t>
        </is>
      </c>
      <c r="D989" s="8" t="inlineStr">
        <is>
          <t>FLAME WG</t>
        </is>
      </c>
      <c r="E989" s="7" t="inlineStr">
        <is>
          <t>Inseticida</t>
        </is>
      </c>
      <c r="F989" s="7" t="inlineStr">
        <is>
          <t>Mosca-branca</t>
        </is>
      </c>
      <c r="G989" s="7" t="inlineStr">
        <is>
          <t>Bemisia tabaci raça B</t>
        </is>
      </c>
      <c r="H989" s="7" t="inlineStr">
        <is>
          <t>SIM (*)</t>
        </is>
      </c>
      <c r="I989" s="17" t="n">
        <v>0.125</v>
      </c>
      <c r="J989" s="17" t="n">
        <v>0.25</v>
      </c>
      <c r="K989" s="7" t="inlineStr">
        <is>
          <t>L/ha</t>
        </is>
      </c>
      <c r="L989" s="9" t="n">
        <v>1</v>
      </c>
      <c r="M989" s="7" t="inlineStr">
        <is>
          <t>Aplicar conforme monitoramento e estádio recomendado na bula (IRAC Grupo 3A)</t>
        </is>
      </c>
    </row>
    <row r="990" ht="22" customHeight="1">
      <c r="A990" s="12" t="inlineStr">
        <is>
          <t>ALV-0986</t>
        </is>
      </c>
      <c r="B990" s="11" t="n">
        <v>512</v>
      </c>
      <c r="C990" s="13" t="inlineStr">
        <is>
          <t>Nº 5924</t>
        </is>
      </c>
      <c r="D990" s="14" t="inlineStr">
        <is>
          <t>FLAME WG</t>
        </is>
      </c>
      <c r="E990" s="13" t="inlineStr">
        <is>
          <t>Inseticida</t>
        </is>
      </c>
      <c r="F990" s="13" t="inlineStr">
        <is>
          <t>Ácaro-rajado</t>
        </is>
      </c>
      <c r="G990" s="13" t="inlineStr">
        <is>
          <t>Tetranychus urticae</t>
        </is>
      </c>
      <c r="H990" s="13" t="inlineStr">
        <is>
          <t>SIM (*)</t>
        </is>
      </c>
      <c r="I990" s="18" t="n">
        <v>0.15</v>
      </c>
      <c r="J990" s="18" t="n">
        <v>0.2</v>
      </c>
      <c r="K990" s="13" t="inlineStr">
        <is>
          <t>L/ha</t>
        </is>
      </c>
      <c r="L990" s="15" t="n">
        <v>1</v>
      </c>
      <c r="M990" s="13" t="inlineStr">
        <is>
          <t>Aplicar conforme monitoramento e estádio recomendado na bula (IRAC Grupo 3A)</t>
        </is>
      </c>
    </row>
    <row r="991" ht="22" customHeight="1">
      <c r="A991" s="6" t="inlineStr">
        <is>
          <t>ALV-0987</t>
        </is>
      </c>
      <c r="B991" s="5" t="n">
        <v>513</v>
      </c>
      <c r="C991" s="7" t="inlineStr">
        <is>
          <t>SIPEAGRO (UF-XXXXX)</t>
        </is>
      </c>
      <c r="D991" s="8" t="inlineStr">
        <is>
          <t>AGCN PRO +</t>
        </is>
      </c>
      <c r="E991" s="7" t="inlineStr">
        <is>
          <t>Fertilizante Mineral Simples (Nitrogenado)</t>
        </is>
      </c>
      <c r="F991" s="7" t="inlineStr">
        <is>
          <t>Nutrição e Correção de Deficiência Mineral</t>
        </is>
      </c>
      <c r="G991" s="7" t="inlineStr">
        <is>
          <t>Nutrição Vegetal</t>
        </is>
      </c>
      <c r="H991" s="7" t="inlineStr">
        <is>
          <t>NÃO</t>
        </is>
      </c>
      <c r="I991" s="9" t="n">
        <v>1</v>
      </c>
      <c r="J991" s="9" t="n">
        <v>250</v>
      </c>
      <c r="K991" s="7" t="inlineStr">
        <is>
          <t>kg ou L/ha</t>
        </is>
      </c>
      <c r="L991" s="9" t="n">
        <v>1</v>
      </c>
      <c r="M991" s="7" t="inlineStr">
        <is>
          <t>Aplicar conforme monitoramento e estádio recomendado na bula (Nutrição Vegetal SIPEAGRO)</t>
        </is>
      </c>
    </row>
    <row r="992" ht="22" customHeight="1">
      <c r="A992" s="12" t="inlineStr">
        <is>
          <t>ALV-0988</t>
        </is>
      </c>
      <c r="B992" s="11" t="n">
        <v>514</v>
      </c>
      <c r="C992" s="13" t="inlineStr">
        <is>
          <t>Nº 31522</t>
        </is>
      </c>
      <c r="D992" s="14" t="inlineStr">
        <is>
          <t>METOMY 900 IMP 0,200L AMOSTRA</t>
        </is>
      </c>
      <c r="E992" s="13" t="inlineStr">
        <is>
          <t>Inseticida</t>
        </is>
      </c>
      <c r="F992" s="13" t="inlineStr">
        <is>
          <t>Lagarta-helicoverpa</t>
        </is>
      </c>
      <c r="G992" s="13" t="inlineStr">
        <is>
          <t>Helicoverpa armigera</t>
        </is>
      </c>
      <c r="H992" s="13" t="inlineStr">
        <is>
          <t>NÃO</t>
        </is>
      </c>
      <c r="I992" s="18" t="n">
        <v>0.2</v>
      </c>
      <c r="J992" s="18" t="n">
        <v>0.5</v>
      </c>
      <c r="K992" s="13" t="inlineStr">
        <is>
          <t>kg ou L/ha</t>
        </is>
      </c>
      <c r="L992" s="15" t="n">
        <v>1</v>
      </c>
      <c r="M992" s="13" t="inlineStr">
        <is>
          <t>Aplicar conforme monitoramento e estádio recomendado na bula (IRAC Grupo 1A)</t>
        </is>
      </c>
    </row>
    <row r="993" ht="22" customHeight="1">
      <c r="A993" s="6" t="inlineStr">
        <is>
          <t>ALV-0989</t>
        </is>
      </c>
      <c r="B993" s="5" t="n">
        <v>514</v>
      </c>
      <c r="C993" s="7" t="inlineStr">
        <is>
          <t>Nº 31522</t>
        </is>
      </c>
      <c r="D993" s="8" t="inlineStr">
        <is>
          <t>METOMY 900 IMP 0,200L AMOSTRA</t>
        </is>
      </c>
      <c r="E993" s="7" t="inlineStr">
        <is>
          <t>Inseticida</t>
        </is>
      </c>
      <c r="F993" s="7" t="inlineStr">
        <is>
          <t>Lagarta-do-cartucho</t>
        </is>
      </c>
      <c r="G993" s="7" t="inlineStr">
        <is>
          <t>Spodoptera frugiperda</t>
        </is>
      </c>
      <c r="H993" s="7" t="inlineStr">
        <is>
          <t>NÃO</t>
        </is>
      </c>
      <c r="I993" s="17" t="n">
        <v>0.15</v>
      </c>
      <c r="J993" s="17" t="n">
        <v>0.3</v>
      </c>
      <c r="K993" s="7" t="inlineStr">
        <is>
          <t>kg ou L/ha</t>
        </is>
      </c>
      <c r="L993" s="9" t="n">
        <v>1</v>
      </c>
      <c r="M993" s="7" t="inlineStr">
        <is>
          <t>Aplicar conforme monitoramento e estádio recomendado na bula (IRAC Grupo 1A)</t>
        </is>
      </c>
    </row>
    <row r="994" ht="22" customHeight="1">
      <c r="A994" s="12" t="inlineStr">
        <is>
          <t>ALV-0990</t>
        </is>
      </c>
      <c r="B994" s="11" t="n">
        <v>514</v>
      </c>
      <c r="C994" s="13" t="inlineStr">
        <is>
          <t>Nº 31522</t>
        </is>
      </c>
      <c r="D994" s="14" t="inlineStr">
        <is>
          <t>METOMY 900 IMP 0,200L AMOSTRA</t>
        </is>
      </c>
      <c r="E994" s="13" t="inlineStr">
        <is>
          <t>Inseticida</t>
        </is>
      </c>
      <c r="F994" s="13" t="inlineStr">
        <is>
          <t>Lagarta-da-soja</t>
        </is>
      </c>
      <c r="G994" s="13" t="inlineStr">
        <is>
          <t>Anticarsia gemmatalis</t>
        </is>
      </c>
      <c r="H994" s="13" t="inlineStr">
        <is>
          <t>NÃO</t>
        </is>
      </c>
      <c r="I994" s="18" t="n">
        <v>0.1</v>
      </c>
      <c r="J994" s="18" t="n">
        <v>0.2</v>
      </c>
      <c r="K994" s="13" t="inlineStr">
        <is>
          <t>kg ou L/ha</t>
        </is>
      </c>
      <c r="L994" s="15" t="n">
        <v>1</v>
      </c>
      <c r="M994" s="13" t="inlineStr">
        <is>
          <t>Aplicar conforme monitoramento e estádio recomendado na bula (IRAC Grupo 1A)</t>
        </is>
      </c>
    </row>
    <row r="995" ht="22" customHeight="1">
      <c r="A995" s="6" t="inlineStr">
        <is>
          <t>ALV-0991</t>
        </is>
      </c>
      <c r="B995" s="5" t="n">
        <v>515</v>
      </c>
      <c r="C995" s="7" t="inlineStr">
        <is>
          <t>Nº 22221</t>
        </is>
      </c>
      <c r="D995" s="8" t="inlineStr">
        <is>
          <t>GRASIDIM IMP 0,200L AMOSTRA</t>
        </is>
      </c>
      <c r="E995" s="7" t="inlineStr">
        <is>
          <t>Herbicida</t>
        </is>
      </c>
      <c r="F995" s="7" t="inlineStr">
        <is>
          <t>Capim-amargoso</t>
        </is>
      </c>
      <c r="G995" s="7" t="inlineStr">
        <is>
          <t>Digitaria insularis</t>
        </is>
      </c>
      <c r="H995" s="7" t="inlineStr">
        <is>
          <t>SIM (*)</t>
        </is>
      </c>
      <c r="I995" s="17" t="n">
        <v>0.45</v>
      </c>
      <c r="J995" s="17" t="n">
        <v>0.85</v>
      </c>
      <c r="K995" s="7" t="inlineStr">
        <is>
          <t>L/ha</t>
        </is>
      </c>
      <c r="L995" s="9" t="n">
        <v>1</v>
      </c>
      <c r="M995" s="7" t="inlineStr">
        <is>
          <t>Aplicar conforme monitoramento e estádio recomendado na bula (HRAC Grupo A (1) — Inibidores da ACCase)</t>
        </is>
      </c>
    </row>
    <row r="996" ht="22" customHeight="1">
      <c r="A996" s="12" t="inlineStr">
        <is>
          <t>ALV-0992</t>
        </is>
      </c>
      <c r="B996" s="11" t="n">
        <v>515</v>
      </c>
      <c r="C996" s="13" t="inlineStr">
        <is>
          <t>Nº 22221</t>
        </is>
      </c>
      <c r="D996" s="14" t="inlineStr">
        <is>
          <t>GRASIDIM IMP 0,200L AMOSTRA</t>
        </is>
      </c>
      <c r="E996" s="13" t="inlineStr">
        <is>
          <t>Herbicida</t>
        </is>
      </c>
      <c r="F996" s="13" t="inlineStr">
        <is>
          <t>Capim-pé-de-galinha</t>
        </is>
      </c>
      <c r="G996" s="13" t="inlineStr">
        <is>
          <t>Eleusine indica</t>
        </is>
      </c>
      <c r="H996" s="13" t="inlineStr">
        <is>
          <t>SIM (*)</t>
        </is>
      </c>
      <c r="I996" s="18" t="n">
        <v>0.35</v>
      </c>
      <c r="J996" s="18" t="n">
        <v>0.45</v>
      </c>
      <c r="K996" s="13" t="inlineStr">
        <is>
          <t>L/ha</t>
        </is>
      </c>
      <c r="L996" s="15" t="n">
        <v>1</v>
      </c>
      <c r="M996" s="13" t="inlineStr">
        <is>
          <t>Aplicar conforme monitoramento e estádio recomendado na bula (HRAC Grupo A (1) — Inibidores da ACCase)</t>
        </is>
      </c>
    </row>
    <row r="997" ht="22" customHeight="1">
      <c r="A997" s="6" t="inlineStr">
        <is>
          <t>ALV-0993</t>
        </is>
      </c>
      <c r="B997" s="5" t="n">
        <v>515</v>
      </c>
      <c r="C997" s="7" t="inlineStr">
        <is>
          <t>Nº 22221</t>
        </is>
      </c>
      <c r="D997" s="8" t="inlineStr">
        <is>
          <t>GRASIDIM IMP 0,200L AMOSTRA</t>
        </is>
      </c>
      <c r="E997" s="7" t="inlineStr">
        <is>
          <t>Herbicida</t>
        </is>
      </c>
      <c r="F997" s="7" t="inlineStr">
        <is>
          <t>Milho-voluntário (Tiguera)</t>
        </is>
      </c>
      <c r="G997" s="7" t="inlineStr">
        <is>
          <t>Zea mays</t>
        </is>
      </c>
      <c r="H997" s="7" t="inlineStr">
        <is>
          <t>NÃO</t>
        </is>
      </c>
      <c r="I997" s="17" t="n">
        <v>0.4</v>
      </c>
      <c r="J997" s="17" t="n">
        <v>0.6</v>
      </c>
      <c r="K997" s="7" t="inlineStr">
        <is>
          <t>L/ha</t>
        </is>
      </c>
      <c r="L997" s="9" t="n">
        <v>1</v>
      </c>
      <c r="M997" s="7" t="inlineStr">
        <is>
          <t>Aplicar conforme monitoramento e estádio recomendado na bula (HRAC Grupo A (1) — Inibidores da ACCase)</t>
        </is>
      </c>
    </row>
    <row r="998" ht="22" customHeight="1">
      <c r="A998" s="12" t="inlineStr">
        <is>
          <t>ALV-0994</t>
        </is>
      </c>
      <c r="B998" s="11" t="n">
        <v>516</v>
      </c>
      <c r="C998" s="13" t="inlineStr">
        <is>
          <t>Nº 12123</t>
        </is>
      </c>
      <c r="D998" s="14" t="inlineStr">
        <is>
          <t>PYRIPROXYFEN 100 EC AGCN</t>
        </is>
      </c>
      <c r="E998" s="13" t="inlineStr">
        <is>
          <t>Inseticida</t>
        </is>
      </c>
      <c r="F998" s="13" t="inlineStr">
        <is>
          <t>Mosca-branca</t>
        </is>
      </c>
      <c r="G998" s="13" t="inlineStr">
        <is>
          <t>Bemisia tabaci raça B</t>
        </is>
      </c>
      <c r="H998" s="13" t="inlineStr">
        <is>
          <t>SIM (*)</t>
        </is>
      </c>
      <c r="I998" s="18" t="n">
        <v>0.25</v>
      </c>
      <c r="J998" s="18" t="n">
        <v>0.5</v>
      </c>
      <c r="K998" s="13" t="inlineStr">
        <is>
          <t>L/ha</t>
        </is>
      </c>
      <c r="L998" s="15" t="n">
        <v>1</v>
      </c>
      <c r="M998" s="13" t="inlineStr">
        <is>
          <t>Aplicar conforme monitoramento e estádio recomendado na bula (IRAC Grupo 7C)</t>
        </is>
      </c>
    </row>
    <row r="999" ht="22" customHeight="1">
      <c r="A999" s="6" t="inlineStr">
        <is>
          <t>ALV-0995</t>
        </is>
      </c>
      <c r="B999" s="5" t="n">
        <v>516</v>
      </c>
      <c r="C999" s="7" t="inlineStr">
        <is>
          <t>Nº 12123</t>
        </is>
      </c>
      <c r="D999" s="8" t="inlineStr">
        <is>
          <t>PYRIPROXYFEN 100 EC AGCN</t>
        </is>
      </c>
      <c r="E999" s="7" t="inlineStr">
        <is>
          <t>Inseticida</t>
        </is>
      </c>
      <c r="F999" s="7" t="inlineStr">
        <is>
          <t>Cochonilha-escama-farinha</t>
        </is>
      </c>
      <c r="G999" s="7" t="inlineStr">
        <is>
          <t>Pinnaspis aspidistrae</t>
        </is>
      </c>
      <c r="H999" s="7" t="inlineStr">
        <is>
          <t>NÃO</t>
        </is>
      </c>
      <c r="I999" s="17" t="n">
        <v>0.5</v>
      </c>
      <c r="J999" s="17" t="n">
        <v>0.75</v>
      </c>
      <c r="K999" s="7" t="inlineStr">
        <is>
          <t>L/ha</t>
        </is>
      </c>
      <c r="L999" s="9" t="n">
        <v>1</v>
      </c>
      <c r="M999" s="7" t="inlineStr">
        <is>
          <t>Aplicar conforme monitoramento e estádio recomendado na bula (IRAC Grupo 7C)</t>
        </is>
      </c>
    </row>
    <row r="1000" ht="22" customHeight="1">
      <c r="A1000" s="12" t="inlineStr">
        <is>
          <t>ALV-0996</t>
        </is>
      </c>
      <c r="B1000" s="11" t="n">
        <v>517</v>
      </c>
      <c r="C1000" s="13" t="inlineStr">
        <is>
          <t>Nº 28421</t>
        </is>
      </c>
      <c r="D1000" s="14" t="inlineStr">
        <is>
          <t>CLORFENAPIR CCAB</t>
        </is>
      </c>
      <c r="E1000" s="13" t="inlineStr">
        <is>
          <t>Inseticida e Acaricida</t>
        </is>
      </c>
      <c r="F1000" s="13" t="inlineStr">
        <is>
          <t>Mosca-branca / Lagarta-do-cartucho</t>
        </is>
      </c>
      <c r="G1000" s="13" t="inlineStr">
        <is>
          <t>Bemisia tabaci raça B / Spodoptera frugiperda</t>
        </is>
      </c>
      <c r="H1000" s="13" t="inlineStr">
        <is>
          <t>SIM (*)</t>
        </is>
      </c>
      <c r="I1000" s="18" t="n">
        <v>0.1</v>
      </c>
      <c r="J1000" s="18" t="n">
        <v>0.5</v>
      </c>
      <c r="K1000" s="13" t="inlineStr">
        <is>
          <t>L ou kg/ha</t>
        </is>
      </c>
      <c r="L1000" s="15" t="n">
        <v>2</v>
      </c>
      <c r="M1000" s="13" t="inlineStr">
        <is>
          <t>Aplicar no início da infestação conforme bula (IRAC Grupo 13)</t>
        </is>
      </c>
    </row>
    <row r="1001" ht="22" customHeight="1">
      <c r="A1001" s="6" t="inlineStr">
        <is>
          <t>ALV-0997</t>
        </is>
      </c>
      <c r="B1001" s="5" t="n">
        <v>518</v>
      </c>
      <c r="C1001" s="7" t="inlineStr">
        <is>
          <t>Nº 2004</t>
        </is>
      </c>
      <c r="D1001" s="8" t="inlineStr">
        <is>
          <t>PENNCOZEB WG</t>
        </is>
      </c>
      <c r="E1001" s="7" t="inlineStr">
        <is>
          <t>Fungicida</t>
        </is>
      </c>
      <c r="F1001" s="7" t="inlineStr">
        <is>
          <t>Ferrugem-asiática</t>
        </is>
      </c>
      <c r="G1001" s="7" t="inlineStr">
        <is>
          <t>Phakopsora pachyrhizi</t>
        </is>
      </c>
      <c r="H1001" s="7" t="inlineStr">
        <is>
          <t>NÃO</t>
        </is>
      </c>
      <c r="I1001" s="17" t="n">
        <v>1.5</v>
      </c>
      <c r="J1001" s="17" t="n">
        <v>2.5</v>
      </c>
      <c r="K1001" s="7" t="inlineStr">
        <is>
          <t>kg/ha</t>
        </is>
      </c>
      <c r="L1001" s="9" t="n">
        <v>1</v>
      </c>
      <c r="M1001" s="7" t="inlineStr">
        <is>
          <t>Aplicar conforme monitoramento e estádio recomendado na bula (FRAC Grupo M03 — Multissítio)</t>
        </is>
      </c>
    </row>
    <row r="1002" ht="22" customHeight="1">
      <c r="A1002" s="12" t="inlineStr">
        <is>
          <t>ALV-0998</t>
        </is>
      </c>
      <c r="B1002" s="11" t="n">
        <v>518</v>
      </c>
      <c r="C1002" s="13" t="inlineStr">
        <is>
          <t>Nº 2004</t>
        </is>
      </c>
      <c r="D1002" s="14" t="inlineStr">
        <is>
          <t>PENNCOZEB WG</t>
        </is>
      </c>
      <c r="E1002" s="13" t="inlineStr">
        <is>
          <t>Fungicida</t>
        </is>
      </c>
      <c r="F1002" s="13" t="inlineStr">
        <is>
          <t>Mancha-alvo</t>
        </is>
      </c>
      <c r="G1002" s="13" t="inlineStr">
        <is>
          <t>Corynespora cassiicola</t>
        </is>
      </c>
      <c r="H1002" s="13" t="inlineStr">
        <is>
          <t>NÃO</t>
        </is>
      </c>
      <c r="I1002" s="18" t="n">
        <v>1.5</v>
      </c>
      <c r="J1002" s="18" t="n">
        <v>2.5</v>
      </c>
      <c r="K1002" s="13" t="inlineStr">
        <is>
          <t>kg/ha</t>
        </is>
      </c>
      <c r="L1002" s="15" t="n">
        <v>1</v>
      </c>
      <c r="M1002" s="13" t="inlineStr">
        <is>
          <t>Aplicar conforme monitoramento e estádio recomendado na bula (FRAC Grupo M03 — Multissítio)</t>
        </is>
      </c>
    </row>
    <row r="1003" ht="22" customHeight="1">
      <c r="A1003" s="6" t="inlineStr">
        <is>
          <t>ALV-0999</t>
        </is>
      </c>
      <c r="B1003" s="5" t="n">
        <v>518</v>
      </c>
      <c r="C1003" s="7" t="inlineStr">
        <is>
          <t>Nº 2004</t>
        </is>
      </c>
      <c r="D1003" s="8" t="inlineStr">
        <is>
          <t>PENNCOZEB WG</t>
        </is>
      </c>
      <c r="E1003" s="7" t="inlineStr">
        <is>
          <t>Fungicida</t>
        </is>
      </c>
      <c r="F1003" s="7" t="inlineStr">
        <is>
          <t>Pinta-preta</t>
        </is>
      </c>
      <c r="G1003" s="7" t="inlineStr">
        <is>
          <t>Alternaria solani</t>
        </is>
      </c>
      <c r="H1003" s="7" t="inlineStr">
        <is>
          <t>NÃO</t>
        </is>
      </c>
      <c r="I1003" s="9" t="n">
        <v>2</v>
      </c>
      <c r="J1003" s="9" t="n">
        <v>3</v>
      </c>
      <c r="K1003" s="7" t="inlineStr">
        <is>
          <t>kg/ha</t>
        </is>
      </c>
      <c r="L1003" s="9" t="n">
        <v>1</v>
      </c>
      <c r="M1003" s="7" t="inlineStr">
        <is>
          <t>Aplicar conforme monitoramento e estádio recomendado na bula (FRAC Grupo M03 — Multissítio)</t>
        </is>
      </c>
    </row>
    <row r="1004" ht="22" customHeight="1">
      <c r="A1004" s="12" t="inlineStr">
        <is>
          <t>ALV-1000</t>
        </is>
      </c>
      <c r="B1004" s="11" t="n">
        <v>519</v>
      </c>
      <c r="C1004" s="13" t="inlineStr">
        <is>
          <t>Nº 8510</t>
        </is>
      </c>
      <c r="D1004" s="14" t="inlineStr">
        <is>
          <t>POQUER</t>
        </is>
      </c>
      <c r="E1004" s="13" t="inlineStr">
        <is>
          <t>Herbicida</t>
        </is>
      </c>
      <c r="F1004" s="13" t="inlineStr">
        <is>
          <t>Capim-amargoso</t>
        </is>
      </c>
      <c r="G1004" s="13" t="inlineStr">
        <is>
          <t>Digitaria insularis</t>
        </is>
      </c>
      <c r="H1004" s="13" t="inlineStr">
        <is>
          <t>SIM (*)</t>
        </is>
      </c>
      <c r="I1004" s="18" t="n">
        <v>0.45</v>
      </c>
      <c r="J1004" s="18" t="n">
        <v>0.85</v>
      </c>
      <c r="K1004" s="13" t="inlineStr">
        <is>
          <t>L/ha</t>
        </is>
      </c>
      <c r="L1004" s="15" t="n">
        <v>1</v>
      </c>
      <c r="M1004" s="13" t="inlineStr">
        <is>
          <t>Aplicar conforme monitoramento e estádio recomendado na bula (HRAC Grupo A (1) — Inibidores da ACCase)</t>
        </is>
      </c>
    </row>
    <row r="1005" ht="22" customHeight="1">
      <c r="A1005" s="6" t="inlineStr">
        <is>
          <t>ALV-1001</t>
        </is>
      </c>
      <c r="B1005" s="5" t="n">
        <v>519</v>
      </c>
      <c r="C1005" s="7" t="inlineStr">
        <is>
          <t>Nº 8510</t>
        </is>
      </c>
      <c r="D1005" s="8" t="inlineStr">
        <is>
          <t>POQUER</t>
        </is>
      </c>
      <c r="E1005" s="7" t="inlineStr">
        <is>
          <t>Herbicida</t>
        </is>
      </c>
      <c r="F1005" s="7" t="inlineStr">
        <is>
          <t>Capim-pé-de-galinha</t>
        </is>
      </c>
      <c r="G1005" s="7" t="inlineStr">
        <is>
          <t>Eleusine indica</t>
        </is>
      </c>
      <c r="H1005" s="7" t="inlineStr">
        <is>
          <t>SIM (*)</t>
        </is>
      </c>
      <c r="I1005" s="17" t="n">
        <v>0.35</v>
      </c>
      <c r="J1005" s="17" t="n">
        <v>0.45</v>
      </c>
      <c r="K1005" s="7" t="inlineStr">
        <is>
          <t>L/ha</t>
        </is>
      </c>
      <c r="L1005" s="9" t="n">
        <v>1</v>
      </c>
      <c r="M1005" s="7" t="inlineStr">
        <is>
          <t>Aplicar conforme monitoramento e estádio recomendado na bula (HRAC Grupo A (1) — Inibidores da ACCase)</t>
        </is>
      </c>
    </row>
    <row r="1006" ht="22" customHeight="1">
      <c r="A1006" s="12" t="inlineStr">
        <is>
          <t>ALV-1002</t>
        </is>
      </c>
      <c r="B1006" s="11" t="n">
        <v>519</v>
      </c>
      <c r="C1006" s="13" t="inlineStr">
        <is>
          <t>Nº 8510</t>
        </is>
      </c>
      <c r="D1006" s="14" t="inlineStr">
        <is>
          <t>POQUER</t>
        </is>
      </c>
      <c r="E1006" s="13" t="inlineStr">
        <is>
          <t>Herbicida</t>
        </is>
      </c>
      <c r="F1006" s="13" t="inlineStr">
        <is>
          <t>Milho-voluntário (Tiguera)</t>
        </is>
      </c>
      <c r="G1006" s="13" t="inlineStr">
        <is>
          <t>Zea mays</t>
        </is>
      </c>
      <c r="H1006" s="13" t="inlineStr">
        <is>
          <t>NÃO</t>
        </is>
      </c>
      <c r="I1006" s="18" t="n">
        <v>0.4</v>
      </c>
      <c r="J1006" s="18" t="n">
        <v>0.6</v>
      </c>
      <c r="K1006" s="13" t="inlineStr">
        <is>
          <t>L/ha</t>
        </is>
      </c>
      <c r="L1006" s="15" t="n">
        <v>1</v>
      </c>
      <c r="M1006" s="13" t="inlineStr">
        <is>
          <t>Aplicar conforme monitoramento e estádio recomendado na bula (HRAC Grupo A (1) — Inibidores da ACCase)</t>
        </is>
      </c>
    </row>
    <row r="1007" ht="22" customHeight="1">
      <c r="A1007" s="6" t="inlineStr">
        <is>
          <t>ALV-1003</t>
        </is>
      </c>
      <c r="B1007" s="5" t="n">
        <v>520</v>
      </c>
      <c r="C1007" s="7" t="inlineStr">
        <is>
          <t>Nº 23522</t>
        </is>
      </c>
      <c r="D1007" s="8" t="inlineStr">
        <is>
          <t>VALLEX</t>
        </is>
      </c>
      <c r="E1007" s="7" t="inlineStr">
        <is>
          <t>Inseticida</t>
        </is>
      </c>
      <c r="F1007" s="7" t="inlineStr">
        <is>
          <t>Mosca-branca</t>
        </is>
      </c>
      <c r="G1007" s="7" t="inlineStr">
        <is>
          <t>Bemisia tabaci raça B</t>
        </is>
      </c>
      <c r="H1007" s="7" t="inlineStr">
        <is>
          <t>SIM (*)</t>
        </is>
      </c>
      <c r="I1007" s="17" t="n">
        <v>0.25</v>
      </c>
      <c r="J1007" s="17" t="n">
        <v>0.5</v>
      </c>
      <c r="K1007" s="7" t="inlineStr">
        <is>
          <t>L/ha</t>
        </is>
      </c>
      <c r="L1007" s="9" t="n">
        <v>1</v>
      </c>
      <c r="M1007" s="7" t="inlineStr">
        <is>
          <t>Aplicar conforme monitoramento e estádio recomendado na bula (IRAC Grupo 7C)</t>
        </is>
      </c>
    </row>
    <row r="1008" ht="22" customHeight="1">
      <c r="A1008" s="12" t="inlineStr">
        <is>
          <t>ALV-1004</t>
        </is>
      </c>
      <c r="B1008" s="11" t="n">
        <v>520</v>
      </c>
      <c r="C1008" s="13" t="inlineStr">
        <is>
          <t>Nº 23522</t>
        </is>
      </c>
      <c r="D1008" s="14" t="inlineStr">
        <is>
          <t>VALLEX</t>
        </is>
      </c>
      <c r="E1008" s="13" t="inlineStr">
        <is>
          <t>Inseticida</t>
        </is>
      </c>
      <c r="F1008" s="13" t="inlineStr">
        <is>
          <t>Cochonilha-escama-farinha</t>
        </is>
      </c>
      <c r="G1008" s="13" t="inlineStr">
        <is>
          <t>Pinnaspis aspidistrae</t>
        </is>
      </c>
      <c r="H1008" s="13" t="inlineStr">
        <is>
          <t>NÃO</t>
        </is>
      </c>
      <c r="I1008" s="18" t="n">
        <v>0.5</v>
      </c>
      <c r="J1008" s="18" t="n">
        <v>0.75</v>
      </c>
      <c r="K1008" s="13" t="inlineStr">
        <is>
          <t>L/ha</t>
        </is>
      </c>
      <c r="L1008" s="15" t="n">
        <v>1</v>
      </c>
      <c r="M1008" s="13" t="inlineStr">
        <is>
          <t>Aplicar conforme monitoramento e estádio recomendado na bula (IRAC Grupo 7C)</t>
        </is>
      </c>
    </row>
    <row r="1009" ht="22" customHeight="1">
      <c r="A1009" s="6" t="inlineStr">
        <is>
          <t>ALV-1005</t>
        </is>
      </c>
      <c r="B1009" s="5" t="n">
        <v>521</v>
      </c>
      <c r="C1009" s="7" t="inlineStr">
        <is>
          <t>Nº 23922</t>
        </is>
      </c>
      <c r="D1009" s="8" t="inlineStr">
        <is>
          <t>GRASIDIM FULL IMP 0,200L AMOSTRA</t>
        </is>
      </c>
      <c r="E1009" s="7" t="inlineStr">
        <is>
          <t>Herbicida</t>
        </is>
      </c>
      <c r="F1009" s="7" t="inlineStr">
        <is>
          <t>Capim-amargoso</t>
        </is>
      </c>
      <c r="G1009" s="7" t="inlineStr">
        <is>
          <t>Digitaria insularis</t>
        </is>
      </c>
      <c r="H1009" s="7" t="inlineStr">
        <is>
          <t>SIM (*)</t>
        </is>
      </c>
      <c r="I1009" s="17" t="n">
        <v>0.45</v>
      </c>
      <c r="J1009" s="17" t="n">
        <v>0.85</v>
      </c>
      <c r="K1009" s="7" t="inlineStr">
        <is>
          <t>L/ha</t>
        </is>
      </c>
      <c r="L1009" s="9" t="n">
        <v>1</v>
      </c>
      <c r="M1009" s="7" t="inlineStr">
        <is>
          <t>Aplicar conforme monitoramento e estádio recomendado na bula (HRAC Grupo A (1) — Inibidores da ACCase)</t>
        </is>
      </c>
    </row>
    <row r="1010" ht="22" customHeight="1">
      <c r="A1010" s="12" t="inlineStr">
        <is>
          <t>ALV-1006</t>
        </is>
      </c>
      <c r="B1010" s="11" t="n">
        <v>521</v>
      </c>
      <c r="C1010" s="13" t="inlineStr">
        <is>
          <t>Nº 23922</t>
        </is>
      </c>
      <c r="D1010" s="14" t="inlineStr">
        <is>
          <t>GRASIDIM FULL IMP 0,200L AMOSTRA</t>
        </is>
      </c>
      <c r="E1010" s="13" t="inlineStr">
        <is>
          <t>Herbicida</t>
        </is>
      </c>
      <c r="F1010" s="13" t="inlineStr">
        <is>
          <t>Capim-pé-de-galinha</t>
        </is>
      </c>
      <c r="G1010" s="13" t="inlineStr">
        <is>
          <t>Eleusine indica</t>
        </is>
      </c>
      <c r="H1010" s="13" t="inlineStr">
        <is>
          <t>SIM (*)</t>
        </is>
      </c>
      <c r="I1010" s="18" t="n">
        <v>0.35</v>
      </c>
      <c r="J1010" s="18" t="n">
        <v>0.45</v>
      </c>
      <c r="K1010" s="13" t="inlineStr">
        <is>
          <t>L/ha</t>
        </is>
      </c>
      <c r="L1010" s="15" t="n">
        <v>1</v>
      </c>
      <c r="M1010" s="13" t="inlineStr">
        <is>
          <t>Aplicar conforme monitoramento e estádio recomendado na bula (HRAC Grupo A (1) — Inibidores da ACCase)</t>
        </is>
      </c>
    </row>
    <row r="1011" ht="22" customHeight="1">
      <c r="A1011" s="6" t="inlineStr">
        <is>
          <t>ALV-1007</t>
        </is>
      </c>
      <c r="B1011" s="5" t="n">
        <v>521</v>
      </c>
      <c r="C1011" s="7" t="inlineStr">
        <is>
          <t>Nº 23922</t>
        </is>
      </c>
      <c r="D1011" s="8" t="inlineStr">
        <is>
          <t>GRASIDIM FULL IMP 0,200L AMOSTRA</t>
        </is>
      </c>
      <c r="E1011" s="7" t="inlineStr">
        <is>
          <t>Herbicida</t>
        </is>
      </c>
      <c r="F1011" s="7" t="inlineStr">
        <is>
          <t>Milho-voluntário (Tiguera)</t>
        </is>
      </c>
      <c r="G1011" s="7" t="inlineStr">
        <is>
          <t>Zea mays</t>
        </is>
      </c>
      <c r="H1011" s="7" t="inlineStr">
        <is>
          <t>NÃO</t>
        </is>
      </c>
      <c r="I1011" s="17" t="n">
        <v>0.4</v>
      </c>
      <c r="J1011" s="17" t="n">
        <v>0.6</v>
      </c>
      <c r="K1011" s="7" t="inlineStr">
        <is>
          <t>L/ha</t>
        </is>
      </c>
      <c r="L1011" s="9" t="n">
        <v>1</v>
      </c>
      <c r="M1011" s="7" t="inlineStr">
        <is>
          <t>Aplicar conforme monitoramento e estádio recomendado na bula (HRAC Grupo A (1) — Inibidores da ACCase)</t>
        </is>
      </c>
    </row>
    <row r="1012" ht="22" customHeight="1">
      <c r="A1012" s="12" t="inlineStr">
        <is>
          <t>ALV-1008</t>
        </is>
      </c>
      <c r="B1012" s="11" t="n">
        <v>522</v>
      </c>
      <c r="C1012" s="13" t="inlineStr">
        <is>
          <t>Nº 26017</t>
        </is>
      </c>
      <c r="D1012" s="14" t="inlineStr">
        <is>
          <t>MESOTRIONE</t>
        </is>
      </c>
      <c r="E1012" s="13" t="inlineStr">
        <is>
          <t>Herbicida</t>
        </is>
      </c>
      <c r="F1012" s="13" t="inlineStr">
        <is>
          <t>Capim-carrapicho</t>
        </is>
      </c>
      <c r="G1012" s="13" t="inlineStr">
        <is>
          <t>Cenchrus echinatus</t>
        </is>
      </c>
      <c r="H1012" s="13" t="inlineStr">
        <is>
          <t>NÃO</t>
        </is>
      </c>
      <c r="I1012" s="18" t="n">
        <v>0.3</v>
      </c>
      <c r="J1012" s="18" t="n">
        <v>0.4</v>
      </c>
      <c r="K1012" s="13" t="inlineStr">
        <is>
          <t>L/ha</t>
        </is>
      </c>
      <c r="L1012" s="15" t="n">
        <v>1</v>
      </c>
      <c r="M1012" s="13" t="inlineStr">
        <is>
          <t>Aplicar conforme monitoramento e estádio recomendado na bula (HRAC Grupo F2 (27) — Inibidores da HPPD)</t>
        </is>
      </c>
    </row>
    <row r="1013" ht="22" customHeight="1">
      <c r="A1013" s="6" t="inlineStr">
        <is>
          <t>ALV-1009</t>
        </is>
      </c>
      <c r="B1013" s="5" t="n">
        <v>522</v>
      </c>
      <c r="C1013" s="7" t="inlineStr">
        <is>
          <t>Nº 26017</t>
        </is>
      </c>
      <c r="D1013" s="8" t="inlineStr">
        <is>
          <t>MESOTRIONE</t>
        </is>
      </c>
      <c r="E1013" s="7" t="inlineStr">
        <is>
          <t>Herbicida</t>
        </is>
      </c>
      <c r="F1013" s="7" t="inlineStr">
        <is>
          <t>Caruru</t>
        </is>
      </c>
      <c r="G1013" s="7" t="inlineStr">
        <is>
          <t>Amaranthus viridis</t>
        </is>
      </c>
      <c r="H1013" s="7" t="inlineStr">
        <is>
          <t>NÃO</t>
        </is>
      </c>
      <c r="I1013" s="17" t="n">
        <v>0.25</v>
      </c>
      <c r="J1013" s="17" t="n">
        <v>0.4</v>
      </c>
      <c r="K1013" s="7" t="inlineStr">
        <is>
          <t>L/ha</t>
        </is>
      </c>
      <c r="L1013" s="9" t="n">
        <v>1</v>
      </c>
      <c r="M1013" s="7" t="inlineStr">
        <is>
          <t>Aplicar conforme monitoramento e estádio recomendado na bula (HRAC Grupo F2 (27) — Inibidores da HPPD)</t>
        </is>
      </c>
    </row>
    <row r="1014" ht="22" customHeight="1">
      <c r="A1014" s="12" t="inlineStr">
        <is>
          <t>ALV-1010</t>
        </is>
      </c>
      <c r="B1014" s="11" t="n">
        <v>522</v>
      </c>
      <c r="C1014" s="13" t="inlineStr">
        <is>
          <t>Nº 26017</t>
        </is>
      </c>
      <c r="D1014" s="14" t="inlineStr">
        <is>
          <t>MESOTRIONE</t>
        </is>
      </c>
      <c r="E1014" s="13" t="inlineStr">
        <is>
          <t>Herbicida</t>
        </is>
      </c>
      <c r="F1014" s="13" t="inlineStr">
        <is>
          <t>Corda-de-viola</t>
        </is>
      </c>
      <c r="G1014" s="13" t="inlineStr">
        <is>
          <t>Ipomoea grandifolia</t>
        </is>
      </c>
      <c r="H1014" s="13" t="inlineStr">
        <is>
          <t>NÃO</t>
        </is>
      </c>
      <c r="I1014" s="18" t="n">
        <v>0.25</v>
      </c>
      <c r="J1014" s="18" t="n">
        <v>0.4</v>
      </c>
      <c r="K1014" s="13" t="inlineStr">
        <is>
          <t>L/ha</t>
        </is>
      </c>
      <c r="L1014" s="15" t="n">
        <v>1</v>
      </c>
      <c r="M1014" s="13" t="inlineStr">
        <is>
          <t>Aplicar conforme monitoramento e estádio recomendado na bula (HRAC Grupo F2 (27) — Inibidores da HPPD)</t>
        </is>
      </c>
    </row>
    <row r="1015" ht="22" customHeight="1">
      <c r="A1015" s="6" t="inlineStr">
        <is>
          <t>ALV-1011</t>
        </is>
      </c>
      <c r="B1015" s="5" t="n">
        <v>523</v>
      </c>
      <c r="C1015" s="7" t="inlineStr">
        <is>
          <t>Nº 8813</t>
        </is>
      </c>
      <c r="D1015" s="8" t="inlineStr">
        <is>
          <t>ORKESTRA SC</t>
        </is>
      </c>
      <c r="E1015" s="7" t="inlineStr">
        <is>
          <t>Fungicida</t>
        </is>
      </c>
      <c r="F1015" s="7" t="inlineStr">
        <is>
          <t>Complexo de Doenças Foliares e Ferrugem</t>
        </is>
      </c>
      <c r="G1015" s="7" t="inlineStr">
        <is>
          <t>Phakopsora pachyrhizi / Corynespora</t>
        </is>
      </c>
      <c r="H1015" s="7" t="inlineStr">
        <is>
          <t>NÃO</t>
        </is>
      </c>
      <c r="I1015" s="17" t="n">
        <v>0.3</v>
      </c>
      <c r="J1015" s="17" t="n">
        <v>1.5</v>
      </c>
      <c r="K1015" s="7" t="inlineStr">
        <is>
          <t>L ou kg/ha</t>
        </is>
      </c>
      <c r="L1015" s="9" t="n">
        <v>1</v>
      </c>
      <c r="M1015" s="7" t="inlineStr">
        <is>
          <t>Aplicar conforme monitoramento e estádio recomendado na bula (Classificação FRAC Oficial conforme Bula)</t>
        </is>
      </c>
    </row>
    <row r="1016" ht="22" customHeight="1">
      <c r="A1016" s="12" t="inlineStr">
        <is>
          <t>ALV-1012</t>
        </is>
      </c>
      <c r="B1016" s="11" t="n">
        <v>524</v>
      </c>
      <c r="C1016" s="13" t="inlineStr">
        <is>
          <t>SIPEAGRO (UF-XXXXX)</t>
        </is>
      </c>
      <c r="D1016" s="14" t="inlineStr">
        <is>
          <t>AGCN MAG ULTRA</t>
        </is>
      </c>
      <c r="E1016" s="13" t="inlineStr">
        <is>
          <t>Fertilizante Organomineral / Bioestimulante</t>
        </is>
      </c>
      <c r="F1016" s="13" t="inlineStr">
        <is>
          <t>Nutrição e Correção de Deficiência Mineral</t>
        </is>
      </c>
      <c r="G1016" s="13" t="inlineStr">
        <is>
          <t>Nutrição Vegetal</t>
        </is>
      </c>
      <c r="H1016" s="13" t="inlineStr">
        <is>
          <t>NÃO</t>
        </is>
      </c>
      <c r="I1016" s="15" t="n">
        <v>1</v>
      </c>
      <c r="J1016" s="15" t="n">
        <v>250</v>
      </c>
      <c r="K1016" s="13" t="inlineStr">
        <is>
          <t>kg ou L/ha</t>
        </is>
      </c>
      <c r="L1016" s="15" t="n">
        <v>1</v>
      </c>
      <c r="M1016" s="13" t="inlineStr">
        <is>
          <t>Aplicar conforme monitoramento e estádio recomendado na bula (Nutrição Vegetal SIPEAGRO)</t>
        </is>
      </c>
    </row>
    <row r="1017" ht="22" customHeight="1">
      <c r="A1017" s="6" t="inlineStr">
        <is>
          <t>ALV-1013</t>
        </is>
      </c>
      <c r="B1017" s="5" t="n">
        <v>525</v>
      </c>
      <c r="C1017" s="7" t="inlineStr">
        <is>
          <t>Nº 45419</t>
        </is>
      </c>
      <c r="D1017" s="8" t="inlineStr">
        <is>
          <t>CLORPIRI 480 EC 0,200L (IMP) AMOSTRA</t>
        </is>
      </c>
      <c r="E1017" s="7" t="inlineStr">
        <is>
          <t>Inseticida</t>
        </is>
      </c>
      <c r="F1017" s="7" t="inlineStr">
        <is>
          <t>Lagarta-do-cartucho</t>
        </is>
      </c>
      <c r="G1017" s="7" t="inlineStr">
        <is>
          <t>Spodoptera frugiperda</t>
        </is>
      </c>
      <c r="H1017" s="7" t="inlineStr">
        <is>
          <t>SIM (*)</t>
        </is>
      </c>
      <c r="I1017" s="17" t="n">
        <v>0.4</v>
      </c>
      <c r="J1017" s="17" t="n">
        <v>0.6</v>
      </c>
      <c r="K1017" s="7" t="inlineStr">
        <is>
          <t>L/ha</t>
        </is>
      </c>
      <c r="L1017" s="9" t="n">
        <v>1</v>
      </c>
      <c r="M1017" s="7" t="inlineStr">
        <is>
          <t>Aplicar conforme monitoramento e estádio recomendado na bula (IRAC Grupo 1B)</t>
        </is>
      </c>
    </row>
    <row r="1018" ht="22" customHeight="1">
      <c r="A1018" s="12" t="inlineStr">
        <is>
          <t>ALV-1014</t>
        </is>
      </c>
      <c r="B1018" s="11" t="n">
        <v>525</v>
      </c>
      <c r="C1018" s="13" t="inlineStr">
        <is>
          <t>Nº 45419</t>
        </is>
      </c>
      <c r="D1018" s="14" t="inlineStr">
        <is>
          <t>CLORPIRI 480 EC 0,200L (IMP) AMOSTRA</t>
        </is>
      </c>
      <c r="E1018" s="13" t="inlineStr">
        <is>
          <t>Inseticida</t>
        </is>
      </c>
      <c r="F1018" s="13" t="inlineStr">
        <is>
          <t>Lagarta-da-soja</t>
        </is>
      </c>
      <c r="G1018" s="13" t="inlineStr">
        <is>
          <t>Anticarsia gemmatalis</t>
        </is>
      </c>
      <c r="H1018" s="13" t="inlineStr">
        <is>
          <t>NÃO</t>
        </is>
      </c>
      <c r="I1018" s="18" t="n">
        <v>0.4</v>
      </c>
      <c r="J1018" s="15" t="n">
        <v>1</v>
      </c>
      <c r="K1018" s="13" t="inlineStr">
        <is>
          <t>L/ha</t>
        </is>
      </c>
      <c r="L1018" s="15" t="n">
        <v>1</v>
      </c>
      <c r="M1018" s="13" t="inlineStr">
        <is>
          <t>Aplicar conforme monitoramento e estádio recomendado na bula (IRAC Grupo 1B)</t>
        </is>
      </c>
    </row>
    <row r="1019" ht="22" customHeight="1">
      <c r="A1019" s="6" t="inlineStr">
        <is>
          <t>ALV-1015</t>
        </is>
      </c>
      <c r="B1019" s="5" t="n">
        <v>525</v>
      </c>
      <c r="C1019" s="7" t="inlineStr">
        <is>
          <t>Nº 45419</t>
        </is>
      </c>
      <c r="D1019" s="8" t="inlineStr">
        <is>
          <t>CLORPIRI 480 EC 0,200L (IMP) AMOSTRA</t>
        </is>
      </c>
      <c r="E1019" s="7" t="inlineStr">
        <is>
          <t>Inseticida</t>
        </is>
      </c>
      <c r="F1019" s="7" t="inlineStr">
        <is>
          <t>Broca-do-café</t>
        </is>
      </c>
      <c r="G1019" s="7" t="inlineStr">
        <is>
          <t>Hypothenemus hampei</t>
        </is>
      </c>
      <c r="H1019" s="7" t="inlineStr">
        <is>
          <t>NÃO</t>
        </is>
      </c>
      <c r="I1019" s="9" t="n">
        <v>1</v>
      </c>
      <c r="J1019" s="17" t="n">
        <v>1.5</v>
      </c>
      <c r="K1019" s="7" t="inlineStr">
        <is>
          <t>L/ha</t>
        </is>
      </c>
      <c r="L1019" s="9" t="n">
        <v>1</v>
      </c>
      <c r="M1019" s="7" t="inlineStr">
        <is>
          <t>Aplicar conforme monitoramento e estádio recomendado na bula (IRAC Grupo 1B)</t>
        </is>
      </c>
    </row>
    <row r="1020" ht="22" customHeight="1">
      <c r="A1020" s="12" t="inlineStr">
        <is>
          <t>ALV-1016</t>
        </is>
      </c>
      <c r="B1020" s="11" t="n">
        <v>526</v>
      </c>
      <c r="C1020" s="13" t="inlineStr">
        <is>
          <t>Nº 12225</t>
        </is>
      </c>
      <c r="D1020" s="14" t="inlineStr">
        <is>
          <t>IMPACTUS CS 0,200L (IMP) AMOSTRA</t>
        </is>
      </c>
      <c r="E1020" s="13" t="inlineStr">
        <is>
          <t>Inseticida</t>
        </is>
      </c>
      <c r="F1020" s="13" t="inlineStr">
        <is>
          <t>Lagarta-do-cartucho</t>
        </is>
      </c>
      <c r="G1020" s="13" t="inlineStr">
        <is>
          <t>Spodoptera frugiperda</t>
        </is>
      </c>
      <c r="H1020" s="13" t="inlineStr">
        <is>
          <t>SIM (*)</t>
        </is>
      </c>
      <c r="I1020" s="18" t="n">
        <v>0.05</v>
      </c>
      <c r="J1020" s="18" t="n">
        <v>0.15</v>
      </c>
      <c r="K1020" s="13" t="inlineStr">
        <is>
          <t>L/ha</t>
        </is>
      </c>
      <c r="L1020" s="15" t="n">
        <v>1</v>
      </c>
      <c r="M1020" s="13" t="inlineStr">
        <is>
          <t>Aplicar conforme monitoramento e estádio recomendado na bula (IRAC Grupo 3A)</t>
        </is>
      </c>
    </row>
    <row r="1021" ht="22" customHeight="1">
      <c r="A1021" s="6" t="inlineStr">
        <is>
          <t>ALV-1017</t>
        </is>
      </c>
      <c r="B1021" s="5" t="n">
        <v>526</v>
      </c>
      <c r="C1021" s="7" t="inlineStr">
        <is>
          <t>Nº 12225</t>
        </is>
      </c>
      <c r="D1021" s="8" t="inlineStr">
        <is>
          <t>IMPACTUS CS 0,200L (IMP) AMOSTRA</t>
        </is>
      </c>
      <c r="E1021" s="7" t="inlineStr">
        <is>
          <t>Inseticida</t>
        </is>
      </c>
      <c r="F1021" s="7" t="inlineStr">
        <is>
          <t>Percevejo-marrom</t>
        </is>
      </c>
      <c r="G1021" s="7" t="inlineStr">
        <is>
          <t>Euschistus heros</t>
        </is>
      </c>
      <c r="H1021" s="7" t="inlineStr">
        <is>
          <t>NÃO</t>
        </is>
      </c>
      <c r="I1021" s="17" t="n">
        <v>0.075</v>
      </c>
      <c r="J1021" s="17" t="n">
        <v>0.15</v>
      </c>
      <c r="K1021" s="7" t="inlineStr">
        <is>
          <t>L/ha</t>
        </is>
      </c>
      <c r="L1021" s="9" t="n">
        <v>1</v>
      </c>
      <c r="M1021" s="7" t="inlineStr">
        <is>
          <t>Aplicar conforme monitoramento e estádio recomendado na bula (IRAC Grupo 3A)</t>
        </is>
      </c>
    </row>
    <row r="1022" ht="22" customHeight="1">
      <c r="A1022" s="12" t="inlineStr">
        <is>
          <t>ALV-1018</t>
        </is>
      </c>
      <c r="B1022" s="11" t="n">
        <v>527</v>
      </c>
      <c r="C1022" s="13" t="inlineStr">
        <is>
          <t>Nº 26924</t>
        </is>
      </c>
      <c r="D1022" s="14" t="inlineStr">
        <is>
          <t>CHLOROCIL 0,200L (IMP) GG AMOSTRA</t>
        </is>
      </c>
      <c r="E1022" s="13" t="inlineStr">
        <is>
          <t>Inseticida</t>
        </is>
      </c>
      <c r="F1022" s="13" t="inlineStr">
        <is>
          <t>Lagarta-do-cartucho</t>
        </is>
      </c>
      <c r="G1022" s="13" t="inlineStr">
        <is>
          <t>Spodoptera frugiperda</t>
        </is>
      </c>
      <c r="H1022" s="13" t="inlineStr">
        <is>
          <t>SIM (*)</t>
        </is>
      </c>
      <c r="I1022" s="18" t="n">
        <v>0.4</v>
      </c>
      <c r="J1022" s="18" t="n">
        <v>0.6</v>
      </c>
      <c r="K1022" s="13" t="inlineStr">
        <is>
          <t>L/ha</t>
        </is>
      </c>
      <c r="L1022" s="15" t="n">
        <v>1</v>
      </c>
      <c r="M1022" s="13" t="inlineStr">
        <is>
          <t>Aplicar conforme monitoramento e estádio recomendado na bula (IRAC Grupo 1B)</t>
        </is>
      </c>
    </row>
    <row r="1023" ht="22" customHeight="1">
      <c r="A1023" s="6" t="inlineStr">
        <is>
          <t>ALV-1019</t>
        </is>
      </c>
      <c r="B1023" s="5" t="n">
        <v>527</v>
      </c>
      <c r="C1023" s="7" t="inlineStr">
        <is>
          <t>Nº 26924</t>
        </is>
      </c>
      <c r="D1023" s="8" t="inlineStr">
        <is>
          <t>CHLOROCIL 0,200L (IMP) GG AMOSTRA</t>
        </is>
      </c>
      <c r="E1023" s="7" t="inlineStr">
        <is>
          <t>Inseticida</t>
        </is>
      </c>
      <c r="F1023" s="7" t="inlineStr">
        <is>
          <t>Lagarta-da-soja</t>
        </is>
      </c>
      <c r="G1023" s="7" t="inlineStr">
        <is>
          <t>Anticarsia gemmatalis</t>
        </is>
      </c>
      <c r="H1023" s="7" t="inlineStr">
        <is>
          <t>NÃO</t>
        </is>
      </c>
      <c r="I1023" s="17" t="n">
        <v>0.4</v>
      </c>
      <c r="J1023" s="9" t="n">
        <v>1</v>
      </c>
      <c r="K1023" s="7" t="inlineStr">
        <is>
          <t>L/ha</t>
        </is>
      </c>
      <c r="L1023" s="9" t="n">
        <v>1</v>
      </c>
      <c r="M1023" s="7" t="inlineStr">
        <is>
          <t>Aplicar conforme monitoramento e estádio recomendado na bula (IRAC Grupo 1B)</t>
        </is>
      </c>
    </row>
    <row r="1024" ht="22" customHeight="1">
      <c r="A1024" s="12" t="inlineStr">
        <is>
          <t>ALV-1020</t>
        </is>
      </c>
      <c r="B1024" s="11" t="n">
        <v>527</v>
      </c>
      <c r="C1024" s="13" t="inlineStr">
        <is>
          <t>Nº 26924</t>
        </is>
      </c>
      <c r="D1024" s="14" t="inlineStr">
        <is>
          <t>CHLOROCIL 0,200L (IMP) GG AMOSTRA</t>
        </is>
      </c>
      <c r="E1024" s="13" t="inlineStr">
        <is>
          <t>Inseticida</t>
        </is>
      </c>
      <c r="F1024" s="13" t="inlineStr">
        <is>
          <t>Broca-do-café</t>
        </is>
      </c>
      <c r="G1024" s="13" t="inlineStr">
        <is>
          <t>Hypothenemus hampei</t>
        </is>
      </c>
      <c r="H1024" s="13" t="inlineStr">
        <is>
          <t>NÃO</t>
        </is>
      </c>
      <c r="I1024" s="15" t="n">
        <v>1</v>
      </c>
      <c r="J1024" s="18" t="n">
        <v>1.5</v>
      </c>
      <c r="K1024" s="13" t="inlineStr">
        <is>
          <t>L/ha</t>
        </is>
      </c>
      <c r="L1024" s="15" t="n">
        <v>1</v>
      </c>
      <c r="M1024" s="13" t="inlineStr">
        <is>
          <t>Aplicar conforme monitoramento e estádio recomendado na bula (IRAC Grupo 1B)</t>
        </is>
      </c>
    </row>
    <row r="1025" ht="22" customHeight="1">
      <c r="A1025" s="6" t="inlineStr">
        <is>
          <t>ALV-1021</t>
        </is>
      </c>
      <c r="B1025" s="5" t="n">
        <v>528</v>
      </c>
      <c r="C1025" s="7" t="inlineStr">
        <is>
          <t>Nº 31422</t>
        </is>
      </c>
      <c r="D1025" s="8" t="inlineStr">
        <is>
          <t>ZARPAL 0,200L (IMP) AMOSTRA</t>
        </is>
      </c>
      <c r="E1025" s="7" t="inlineStr">
        <is>
          <t>Inseticida</t>
        </is>
      </c>
      <c r="F1025" s="7" t="inlineStr">
        <is>
          <t>Bicudo-do-algodoeiro</t>
        </is>
      </c>
      <c r="G1025" s="7" t="inlineStr">
        <is>
          <t>Anthonomus grandis</t>
        </is>
      </c>
      <c r="H1025" s="7" t="inlineStr">
        <is>
          <t>NÃO</t>
        </is>
      </c>
      <c r="I1025" s="17" t="n">
        <v>0.15</v>
      </c>
      <c r="J1025" s="17" t="n">
        <v>0.25</v>
      </c>
      <c r="K1025" s="7" t="inlineStr">
        <is>
          <t>L/ha</t>
        </is>
      </c>
      <c r="L1025" s="9" t="n">
        <v>1</v>
      </c>
      <c r="M1025" s="7" t="inlineStr">
        <is>
          <t>Aplicar conforme monitoramento e estádio recomendado na bula (IRAC Grupo 3A)</t>
        </is>
      </c>
    </row>
    <row r="1026" ht="22" customHeight="1">
      <c r="A1026" s="12" t="inlineStr">
        <is>
          <t>ALV-1022</t>
        </is>
      </c>
      <c r="B1026" s="11" t="n">
        <v>528</v>
      </c>
      <c r="C1026" s="13" t="inlineStr">
        <is>
          <t>Nº 31422</t>
        </is>
      </c>
      <c r="D1026" s="14" t="inlineStr">
        <is>
          <t>ZARPAL 0,200L (IMP) AMOSTRA</t>
        </is>
      </c>
      <c r="E1026" s="13" t="inlineStr">
        <is>
          <t>Inseticida</t>
        </is>
      </c>
      <c r="F1026" s="13" t="inlineStr">
        <is>
          <t>Mosca-branca</t>
        </is>
      </c>
      <c r="G1026" s="13" t="inlineStr">
        <is>
          <t>Bemisia tabaci raça B</t>
        </is>
      </c>
      <c r="H1026" s="13" t="inlineStr">
        <is>
          <t>SIM (*)</t>
        </is>
      </c>
      <c r="I1026" s="18" t="n">
        <v>0.125</v>
      </c>
      <c r="J1026" s="18" t="n">
        <v>0.25</v>
      </c>
      <c r="K1026" s="13" t="inlineStr">
        <is>
          <t>L/ha</t>
        </is>
      </c>
      <c r="L1026" s="15" t="n">
        <v>1</v>
      </c>
      <c r="M1026" s="13" t="inlineStr">
        <is>
          <t>Aplicar conforme monitoramento e estádio recomendado na bula (IRAC Grupo 3A)</t>
        </is>
      </c>
    </row>
    <row r="1027" ht="22" customHeight="1">
      <c r="A1027" s="6" t="inlineStr">
        <is>
          <t>ALV-1023</t>
        </is>
      </c>
      <c r="B1027" s="5" t="n">
        <v>528</v>
      </c>
      <c r="C1027" s="7" t="inlineStr">
        <is>
          <t>Nº 31422</t>
        </is>
      </c>
      <c r="D1027" s="8" t="inlineStr">
        <is>
          <t>ZARPAL 0,200L (IMP) AMOSTRA</t>
        </is>
      </c>
      <c r="E1027" s="7" t="inlineStr">
        <is>
          <t>Inseticida</t>
        </is>
      </c>
      <c r="F1027" s="7" t="inlineStr">
        <is>
          <t>Ácaro-rajado</t>
        </is>
      </c>
      <c r="G1027" s="7" t="inlineStr">
        <is>
          <t>Tetranychus urticae</t>
        </is>
      </c>
      <c r="H1027" s="7" t="inlineStr">
        <is>
          <t>SIM (*)</t>
        </is>
      </c>
      <c r="I1027" s="17" t="n">
        <v>0.15</v>
      </c>
      <c r="J1027" s="17" t="n">
        <v>0.2</v>
      </c>
      <c r="K1027" s="7" t="inlineStr">
        <is>
          <t>L/ha</t>
        </is>
      </c>
      <c r="L1027" s="9" t="n">
        <v>1</v>
      </c>
      <c r="M1027" s="7" t="inlineStr">
        <is>
          <t>Aplicar conforme monitoramento e estádio recomendado na bula (IRAC Grupo 3A)</t>
        </is>
      </c>
    </row>
    <row r="1028" ht="22" customHeight="1">
      <c r="A1028" s="12" t="inlineStr">
        <is>
          <t>ALV-1024</t>
        </is>
      </c>
      <c r="B1028" s="11" t="n">
        <v>529</v>
      </c>
      <c r="C1028" s="13" t="inlineStr">
        <is>
          <t>Nº 15716</t>
        </is>
      </c>
      <c r="D1028" s="14" t="inlineStr">
        <is>
          <t>DIFCOR 250 EC 0,200L IMP AMOSTRA</t>
        </is>
      </c>
      <c r="E1028" s="13" t="inlineStr">
        <is>
          <t>Fungicida</t>
        </is>
      </c>
      <c r="F1028" s="13" t="inlineStr">
        <is>
          <t>Mancha-alvo</t>
        </is>
      </c>
      <c r="G1028" s="13" t="inlineStr">
        <is>
          <t>Corynespora cassiicola</t>
        </is>
      </c>
      <c r="H1028" s="13" t="inlineStr">
        <is>
          <t>SIM (*)</t>
        </is>
      </c>
      <c r="I1028" s="18" t="n">
        <v>0.3</v>
      </c>
      <c r="J1028" s="18" t="n">
        <v>0.5</v>
      </c>
      <c r="K1028" s="13" t="inlineStr">
        <is>
          <t>L/ha</t>
        </is>
      </c>
      <c r="L1028" s="15" t="n">
        <v>1</v>
      </c>
      <c r="M1028" s="13" t="inlineStr">
        <is>
          <t>Aplicar conforme monitoramento e estádio recomendado na bula (FRAC Grupo 3 (DMI))</t>
        </is>
      </c>
    </row>
    <row r="1029" ht="22" customHeight="1">
      <c r="A1029" s="6" t="inlineStr">
        <is>
          <t>ALV-1025</t>
        </is>
      </c>
      <c r="B1029" s="5" t="n">
        <v>529</v>
      </c>
      <c r="C1029" s="7" t="inlineStr">
        <is>
          <t>Nº 15716</t>
        </is>
      </c>
      <c r="D1029" s="8" t="inlineStr">
        <is>
          <t>DIFCOR 250 EC 0,200L IMP AMOSTRA</t>
        </is>
      </c>
      <c r="E1029" s="7" t="inlineStr">
        <is>
          <t>Fungicida</t>
        </is>
      </c>
      <c r="F1029" s="7" t="inlineStr">
        <is>
          <t>Oídio</t>
        </is>
      </c>
      <c r="G1029" s="7" t="inlineStr">
        <is>
          <t>Microsphaera diffusa</t>
        </is>
      </c>
      <c r="H1029" s="7" t="inlineStr">
        <is>
          <t>NÃO</t>
        </is>
      </c>
      <c r="I1029" s="17" t="n">
        <v>0.2</v>
      </c>
      <c r="J1029" s="17" t="n">
        <v>0.3</v>
      </c>
      <c r="K1029" s="7" t="inlineStr">
        <is>
          <t>L/ha</t>
        </is>
      </c>
      <c r="L1029" s="9" t="n">
        <v>1</v>
      </c>
      <c r="M1029" s="7" t="inlineStr">
        <is>
          <t>Aplicar conforme monitoramento e estádio recomendado na bula (FRAC Grupo 3 (DMI))</t>
        </is>
      </c>
    </row>
    <row r="1030" ht="22" customHeight="1">
      <c r="A1030" s="12" t="inlineStr">
        <is>
          <t>ALV-1026</t>
        </is>
      </c>
      <c r="B1030" s="11" t="n">
        <v>529</v>
      </c>
      <c r="C1030" s="13" t="inlineStr">
        <is>
          <t>Nº 15716</t>
        </is>
      </c>
      <c r="D1030" s="14" t="inlineStr">
        <is>
          <t>DIFCOR 250 EC 0,200L IMP AMOSTRA</t>
        </is>
      </c>
      <c r="E1030" s="13" t="inlineStr">
        <is>
          <t>Fungicida</t>
        </is>
      </c>
      <c r="F1030" s="13" t="inlineStr">
        <is>
          <t>Antracnose</t>
        </is>
      </c>
      <c r="G1030" s="13" t="inlineStr">
        <is>
          <t>Colletotrichum truncatum</t>
        </is>
      </c>
      <c r="H1030" s="13" t="inlineStr">
        <is>
          <t>NÃO</t>
        </is>
      </c>
      <c r="I1030" s="18" t="n">
        <v>0.3</v>
      </c>
      <c r="J1030" s="18" t="n">
        <v>0.4</v>
      </c>
      <c r="K1030" s="13" t="inlineStr">
        <is>
          <t>L/ha</t>
        </is>
      </c>
      <c r="L1030" s="15" t="n">
        <v>1</v>
      </c>
      <c r="M1030" s="13" t="inlineStr">
        <is>
          <t>Aplicar conforme monitoramento e estádio recomendado na bula (FRAC Grupo 3 (DMI))</t>
        </is>
      </c>
    </row>
    <row r="1031" ht="22" customHeight="1">
      <c r="A1031" s="6" t="inlineStr">
        <is>
          <t>ALV-1027</t>
        </is>
      </c>
      <c r="B1031" s="5" t="n">
        <v>530</v>
      </c>
      <c r="C1031" s="7" t="inlineStr">
        <is>
          <t>Nº 26017</t>
        </is>
      </c>
      <c r="D1031" s="8" t="inlineStr">
        <is>
          <t>MESOTRIONE</t>
        </is>
      </c>
      <c r="E1031" s="7" t="inlineStr">
        <is>
          <t>Herbicida</t>
        </is>
      </c>
      <c r="F1031" s="7" t="inlineStr">
        <is>
          <t>Capim-carrapicho</t>
        </is>
      </c>
      <c r="G1031" s="7" t="inlineStr">
        <is>
          <t>Cenchrus echinatus</t>
        </is>
      </c>
      <c r="H1031" s="7" t="inlineStr">
        <is>
          <t>NÃO</t>
        </is>
      </c>
      <c r="I1031" s="17" t="n">
        <v>0.3</v>
      </c>
      <c r="J1031" s="17" t="n">
        <v>0.4</v>
      </c>
      <c r="K1031" s="7" t="inlineStr">
        <is>
          <t>L/ha</t>
        </is>
      </c>
      <c r="L1031" s="9" t="n">
        <v>1</v>
      </c>
      <c r="M1031" s="7" t="inlineStr">
        <is>
          <t>Aplicar conforme monitoramento e estádio recomendado na bula (HRAC Grupo F2 (27) — Inibidores da HPPD)</t>
        </is>
      </c>
    </row>
    <row r="1032" ht="22" customHeight="1">
      <c r="A1032" s="12" t="inlineStr">
        <is>
          <t>ALV-1028</t>
        </is>
      </c>
      <c r="B1032" s="11" t="n">
        <v>530</v>
      </c>
      <c r="C1032" s="13" t="inlineStr">
        <is>
          <t>Nº 26017</t>
        </is>
      </c>
      <c r="D1032" s="14" t="inlineStr">
        <is>
          <t>MESOTRIONE</t>
        </is>
      </c>
      <c r="E1032" s="13" t="inlineStr">
        <is>
          <t>Herbicida</t>
        </is>
      </c>
      <c r="F1032" s="13" t="inlineStr">
        <is>
          <t>Caruru</t>
        </is>
      </c>
      <c r="G1032" s="13" t="inlineStr">
        <is>
          <t>Amaranthus viridis</t>
        </is>
      </c>
      <c r="H1032" s="13" t="inlineStr">
        <is>
          <t>NÃO</t>
        </is>
      </c>
      <c r="I1032" s="18" t="n">
        <v>0.25</v>
      </c>
      <c r="J1032" s="18" t="n">
        <v>0.4</v>
      </c>
      <c r="K1032" s="13" t="inlineStr">
        <is>
          <t>L/ha</t>
        </is>
      </c>
      <c r="L1032" s="15" t="n">
        <v>1</v>
      </c>
      <c r="M1032" s="13" t="inlineStr">
        <is>
          <t>Aplicar conforme monitoramento e estádio recomendado na bula (HRAC Grupo F2 (27) — Inibidores da HPPD)</t>
        </is>
      </c>
    </row>
    <row r="1033" ht="22" customHeight="1">
      <c r="A1033" s="6" t="inlineStr">
        <is>
          <t>ALV-1029</t>
        </is>
      </c>
      <c r="B1033" s="5" t="n">
        <v>530</v>
      </c>
      <c r="C1033" s="7" t="inlineStr">
        <is>
          <t>Nº 26017</t>
        </is>
      </c>
      <c r="D1033" s="8" t="inlineStr">
        <is>
          <t>MESOTRIONE</t>
        </is>
      </c>
      <c r="E1033" s="7" t="inlineStr">
        <is>
          <t>Herbicida</t>
        </is>
      </c>
      <c r="F1033" s="7" t="inlineStr">
        <is>
          <t>Corda-de-viola</t>
        </is>
      </c>
      <c r="G1033" s="7" t="inlineStr">
        <is>
          <t>Ipomoea grandifolia</t>
        </is>
      </c>
      <c r="H1033" s="7" t="inlineStr">
        <is>
          <t>NÃO</t>
        </is>
      </c>
      <c r="I1033" s="17" t="n">
        <v>0.25</v>
      </c>
      <c r="J1033" s="17" t="n">
        <v>0.4</v>
      </c>
      <c r="K1033" s="7" t="inlineStr">
        <is>
          <t>L/ha</t>
        </is>
      </c>
      <c r="L1033" s="9" t="n">
        <v>1</v>
      </c>
      <c r="M1033" s="7" t="inlineStr">
        <is>
          <t>Aplicar conforme monitoramento e estádio recomendado na bula (HRAC Grupo F2 (27) — Inibidores da HPPD)</t>
        </is>
      </c>
    </row>
    <row r="1034" ht="22" customHeight="1">
      <c r="A1034" s="12" t="inlineStr">
        <is>
          <t>ALV-1030</t>
        </is>
      </c>
      <c r="B1034" s="11" t="n">
        <v>531</v>
      </c>
      <c r="C1034" s="13" t="inlineStr">
        <is>
          <t>Nº 22221</t>
        </is>
      </c>
      <c r="D1034" s="14" t="inlineStr">
        <is>
          <t>GRASIDIM</t>
        </is>
      </c>
      <c r="E1034" s="13" t="inlineStr">
        <is>
          <t>Herbicida</t>
        </is>
      </c>
      <c r="F1034" s="13" t="inlineStr">
        <is>
          <t>Capim-amargoso</t>
        </is>
      </c>
      <c r="G1034" s="13" t="inlineStr">
        <is>
          <t>Digitaria insularis</t>
        </is>
      </c>
      <c r="H1034" s="13" t="inlineStr">
        <is>
          <t>SIM (*)</t>
        </is>
      </c>
      <c r="I1034" s="18" t="n">
        <v>0.45</v>
      </c>
      <c r="J1034" s="18" t="n">
        <v>0.85</v>
      </c>
      <c r="K1034" s="13" t="inlineStr">
        <is>
          <t>L/ha</t>
        </is>
      </c>
      <c r="L1034" s="15" t="n">
        <v>1</v>
      </c>
      <c r="M1034" s="13" t="inlineStr">
        <is>
          <t>Aplicar conforme monitoramento e estádio recomendado na bula (HRAC Grupo A (1) — Inibidores da ACCase)</t>
        </is>
      </c>
    </row>
    <row r="1035" ht="22" customHeight="1">
      <c r="A1035" s="6" t="inlineStr">
        <is>
          <t>ALV-1031</t>
        </is>
      </c>
      <c r="B1035" s="5" t="n">
        <v>531</v>
      </c>
      <c r="C1035" s="7" t="inlineStr">
        <is>
          <t>Nº 22221</t>
        </is>
      </c>
      <c r="D1035" s="8" t="inlineStr">
        <is>
          <t>GRASIDIM</t>
        </is>
      </c>
      <c r="E1035" s="7" t="inlineStr">
        <is>
          <t>Herbicida</t>
        </is>
      </c>
      <c r="F1035" s="7" t="inlineStr">
        <is>
          <t>Capim-pé-de-galinha</t>
        </is>
      </c>
      <c r="G1035" s="7" t="inlineStr">
        <is>
          <t>Eleusine indica</t>
        </is>
      </c>
      <c r="H1035" s="7" t="inlineStr">
        <is>
          <t>SIM (*)</t>
        </is>
      </c>
      <c r="I1035" s="17" t="n">
        <v>0.35</v>
      </c>
      <c r="J1035" s="17" t="n">
        <v>0.45</v>
      </c>
      <c r="K1035" s="7" t="inlineStr">
        <is>
          <t>L/ha</t>
        </is>
      </c>
      <c r="L1035" s="9" t="n">
        <v>1</v>
      </c>
      <c r="M1035" s="7" t="inlineStr">
        <is>
          <t>Aplicar conforme monitoramento e estádio recomendado na bula (HRAC Grupo A (1) — Inibidores da ACCase)</t>
        </is>
      </c>
    </row>
    <row r="1036" ht="22" customHeight="1">
      <c r="A1036" s="12" t="inlineStr">
        <is>
          <t>ALV-1032</t>
        </is>
      </c>
      <c r="B1036" s="11" t="n">
        <v>531</v>
      </c>
      <c r="C1036" s="13" t="inlineStr">
        <is>
          <t>Nº 22221</t>
        </is>
      </c>
      <c r="D1036" s="14" t="inlineStr">
        <is>
          <t>GRASIDIM</t>
        </is>
      </c>
      <c r="E1036" s="13" t="inlineStr">
        <is>
          <t>Herbicida</t>
        </is>
      </c>
      <c r="F1036" s="13" t="inlineStr">
        <is>
          <t>Milho-voluntário (Tiguera)</t>
        </is>
      </c>
      <c r="G1036" s="13" t="inlineStr">
        <is>
          <t>Zea mays</t>
        </is>
      </c>
      <c r="H1036" s="13" t="inlineStr">
        <is>
          <t>NÃO</t>
        </is>
      </c>
      <c r="I1036" s="18" t="n">
        <v>0.4</v>
      </c>
      <c r="J1036" s="18" t="n">
        <v>0.6</v>
      </c>
      <c r="K1036" s="13" t="inlineStr">
        <is>
          <t>L/ha</t>
        </is>
      </c>
      <c r="L1036" s="15" t="n">
        <v>1</v>
      </c>
      <c r="M1036" s="13" t="inlineStr">
        <is>
          <t>Aplicar conforme monitoramento e estádio recomendado na bula (HRAC Grupo A (1) — Inibidores da ACCase)</t>
        </is>
      </c>
    </row>
    <row r="1037" ht="22" customHeight="1">
      <c r="A1037" s="6" t="inlineStr">
        <is>
          <t>ALV-1033</t>
        </is>
      </c>
      <c r="B1037" s="5" t="n">
        <v>532</v>
      </c>
      <c r="C1037" s="7" t="inlineStr">
        <is>
          <t>Nº 28520</t>
        </is>
      </c>
      <c r="D1037" s="8" t="inlineStr">
        <is>
          <t>SENHA 720 WG</t>
        </is>
      </c>
      <c r="E1037" s="7" t="inlineStr">
        <is>
          <t>Herbicida</t>
        </is>
      </c>
      <c r="F1037" s="7" t="inlineStr">
        <is>
          <t>Capim-amargoso</t>
        </is>
      </c>
      <c r="G1037" s="7" t="inlineStr">
        <is>
          <t>Digitaria insularis</t>
        </is>
      </c>
      <c r="H1037" s="7" t="inlineStr">
        <is>
          <t>SIM (*)</t>
        </is>
      </c>
      <c r="I1037" s="17" t="n">
        <v>1.5</v>
      </c>
      <c r="J1037" s="17" t="n">
        <v>2.5</v>
      </c>
      <c r="K1037" s="7" t="inlineStr">
        <is>
          <t>kg ou L/ha</t>
        </is>
      </c>
      <c r="L1037" s="9" t="n">
        <v>1</v>
      </c>
      <c r="M1037" s="7" t="inlineStr">
        <is>
          <t>Aplicar conforme monitoramento e estádio recomendado na bula (HRAC Grupo G (EPSPs))</t>
        </is>
      </c>
    </row>
    <row r="1038" ht="22" customHeight="1">
      <c r="A1038" s="12" t="inlineStr">
        <is>
          <t>ALV-1034</t>
        </is>
      </c>
      <c r="B1038" s="11" t="n">
        <v>532</v>
      </c>
      <c r="C1038" s="13" t="inlineStr">
        <is>
          <t>Nº 28520</t>
        </is>
      </c>
      <c r="D1038" s="14" t="inlineStr">
        <is>
          <t>SENHA 720 WG</t>
        </is>
      </c>
      <c r="E1038" s="13" t="inlineStr">
        <is>
          <t>Herbicida</t>
        </is>
      </c>
      <c r="F1038" s="13" t="inlineStr">
        <is>
          <t>Buva</t>
        </is>
      </c>
      <c r="G1038" s="13" t="inlineStr">
        <is>
          <t>Conyza bonariensis</t>
        </is>
      </c>
      <c r="H1038" s="13" t="inlineStr">
        <is>
          <t>SIM (*)</t>
        </is>
      </c>
      <c r="I1038" s="15" t="n">
        <v>1</v>
      </c>
      <c r="J1038" s="15" t="n">
        <v>2</v>
      </c>
      <c r="K1038" s="13" t="inlineStr">
        <is>
          <t>kg ou L/ha</t>
        </is>
      </c>
      <c r="L1038" s="15" t="n">
        <v>1</v>
      </c>
      <c r="M1038" s="13" t="inlineStr">
        <is>
          <t>Aplicar conforme monitoramento e estádio recomendado na bula (HRAC Grupo G (EPSPs))</t>
        </is>
      </c>
    </row>
    <row r="1039" ht="22" customHeight="1">
      <c r="A1039" s="6" t="inlineStr">
        <is>
          <t>ALV-1035</t>
        </is>
      </c>
      <c r="B1039" s="5" t="n">
        <v>532</v>
      </c>
      <c r="C1039" s="7" t="inlineStr">
        <is>
          <t>Nº 28520</t>
        </is>
      </c>
      <c r="D1039" s="8" t="inlineStr">
        <is>
          <t>SENHA 720 WG</t>
        </is>
      </c>
      <c r="E1039" s="7" t="inlineStr">
        <is>
          <t>Herbicida</t>
        </is>
      </c>
      <c r="F1039" s="7" t="inlineStr">
        <is>
          <t>Capim-pé-de-galinha</t>
        </is>
      </c>
      <c r="G1039" s="7" t="inlineStr">
        <is>
          <t>Eleusine indica</t>
        </is>
      </c>
      <c r="H1039" s="7" t="inlineStr">
        <is>
          <t>SIM (*)</t>
        </is>
      </c>
      <c r="I1039" s="9" t="n">
        <v>1</v>
      </c>
      <c r="J1039" s="17" t="n">
        <v>1.5</v>
      </c>
      <c r="K1039" s="7" t="inlineStr">
        <is>
          <t>kg ou L/ha</t>
        </is>
      </c>
      <c r="L1039" s="9" t="n">
        <v>1</v>
      </c>
      <c r="M1039" s="7" t="inlineStr">
        <is>
          <t>Aplicar conforme monitoramento e estádio recomendado na bula (HRAC Grupo G (EPSPs))</t>
        </is>
      </c>
    </row>
    <row r="1040" ht="22" customHeight="1">
      <c r="A1040" s="12" t="inlineStr">
        <is>
          <t>ALV-1036</t>
        </is>
      </c>
      <c r="B1040" s="11" t="n">
        <v>532</v>
      </c>
      <c r="C1040" s="13" t="inlineStr">
        <is>
          <t>Nº 28520</t>
        </is>
      </c>
      <c r="D1040" s="14" t="inlineStr">
        <is>
          <t>SENHA 720 WG</t>
        </is>
      </c>
      <c r="E1040" s="13" t="inlineStr">
        <is>
          <t>Herbicida</t>
        </is>
      </c>
      <c r="F1040" s="13" t="inlineStr">
        <is>
          <t>Trapoeraba</t>
        </is>
      </c>
      <c r="G1040" s="13" t="inlineStr">
        <is>
          <t>Commelina benghalensis</t>
        </is>
      </c>
      <c r="H1040" s="13" t="inlineStr">
        <is>
          <t>NÃO</t>
        </is>
      </c>
      <c r="I1040" s="15" t="n">
        <v>2</v>
      </c>
      <c r="J1040" s="18" t="n">
        <v>3.5</v>
      </c>
      <c r="K1040" s="13" t="inlineStr">
        <is>
          <t>kg ou L/ha</t>
        </is>
      </c>
      <c r="L1040" s="15" t="n">
        <v>1</v>
      </c>
      <c r="M1040" s="13" t="inlineStr">
        <is>
          <t>Aplicar conforme monitoramento e estádio recomendado na bula (HRAC Grupo G (EPSPs))</t>
        </is>
      </c>
    </row>
    <row r="1041" ht="22" customHeight="1">
      <c r="A1041" s="6" t="inlineStr">
        <is>
          <t>ALV-1037</t>
        </is>
      </c>
      <c r="B1041" s="5" t="n">
        <v>533</v>
      </c>
      <c r="C1041" s="7" t="inlineStr">
        <is>
          <t>ISENTO (ATO 104/2017)</t>
        </is>
      </c>
      <c r="D1041" s="8" t="inlineStr">
        <is>
          <t>AGRICOIL CITRUS</t>
        </is>
      </c>
      <c r="E1041" s="7" t="inlineStr">
        <is>
          <t>Óleo Vegetal / Éster Metílico / D-Limoneno Adjuvante</t>
        </is>
      </c>
      <c r="F1041" s="7" t="inlineStr">
        <is>
          <t>Otimização de Gota, Espalhamento e Redução de Deriva</t>
        </is>
      </c>
      <c r="G1041" s="7" t="inlineStr">
        <is>
          <t>Tecnologia de Aplicação</t>
        </is>
      </c>
      <c r="H1041" s="7" t="inlineStr">
        <is>
          <t>NÃO</t>
        </is>
      </c>
      <c r="I1041" s="17" t="n">
        <v>0.25</v>
      </c>
      <c r="J1041" s="9" t="n">
        <v>1</v>
      </c>
      <c r="K1041" s="7" t="inlineStr">
        <is>
          <t>% v/v na calda</t>
        </is>
      </c>
      <c r="L1041" s="9" t="n">
        <v>1</v>
      </c>
      <c r="M1041" s="7" t="inlineStr">
        <is>
          <t>Aplicar conforme monitoramento e estádio recomendado na bula (Adjuvante Tecnológico de Pulverização)</t>
        </is>
      </c>
    </row>
    <row r="1042" ht="22" customHeight="1">
      <c r="A1042" s="12" t="inlineStr">
        <is>
          <t>ALV-1038</t>
        </is>
      </c>
      <c r="B1042" s="11" t="n">
        <v>534</v>
      </c>
      <c r="C1042" s="13" t="inlineStr">
        <is>
          <t>Nº 26718</t>
        </is>
      </c>
      <c r="D1042" s="14" t="inlineStr">
        <is>
          <t>DINKY 200 SP 0,200KG (IMP) (AMOSTRA)</t>
        </is>
      </c>
      <c r="E1042" s="13" t="inlineStr">
        <is>
          <t>Inseticida</t>
        </is>
      </c>
      <c r="F1042" s="13" t="inlineStr">
        <is>
          <t>Mosca-branca</t>
        </is>
      </c>
      <c r="G1042" s="13" t="inlineStr">
        <is>
          <t>Bemisia tabaci raça B</t>
        </is>
      </c>
      <c r="H1042" s="13" t="inlineStr">
        <is>
          <t>SIM (*)</t>
        </is>
      </c>
      <c r="I1042" s="18" t="n">
        <v>0.2</v>
      </c>
      <c r="J1042" s="18" t="n">
        <v>0.3</v>
      </c>
      <c r="K1042" s="13" t="inlineStr">
        <is>
          <t>kg/ha</t>
        </is>
      </c>
      <c r="L1042" s="15" t="n">
        <v>1</v>
      </c>
      <c r="M1042" s="13" t="inlineStr">
        <is>
          <t>Aplicar conforme monitoramento e estádio recomendado na bula (IRAC Grupo 4A)</t>
        </is>
      </c>
    </row>
    <row r="1043" ht="22" customHeight="1">
      <c r="A1043" s="6" t="inlineStr">
        <is>
          <t>ALV-1039</t>
        </is>
      </c>
      <c r="B1043" s="5" t="n">
        <v>534</v>
      </c>
      <c r="C1043" s="7" t="inlineStr">
        <is>
          <t>Nº 26718</t>
        </is>
      </c>
      <c r="D1043" s="8" t="inlineStr">
        <is>
          <t>DINKY 200 SP 0,200KG (IMP) (AMOSTRA)</t>
        </is>
      </c>
      <c r="E1043" s="7" t="inlineStr">
        <is>
          <t>Inseticida</t>
        </is>
      </c>
      <c r="F1043" s="7" t="inlineStr">
        <is>
          <t>Pulgão-do-algodoeiro</t>
        </is>
      </c>
      <c r="G1043" s="7" t="inlineStr">
        <is>
          <t>Aphis gossypii</t>
        </is>
      </c>
      <c r="H1043" s="7" t="inlineStr">
        <is>
          <t>NÃO</t>
        </is>
      </c>
      <c r="I1043" s="17" t="n">
        <v>0.15</v>
      </c>
      <c r="J1043" s="17" t="n">
        <v>0.25</v>
      </c>
      <c r="K1043" s="7" t="inlineStr">
        <is>
          <t>kg/ha</t>
        </is>
      </c>
      <c r="L1043" s="9" t="n">
        <v>1</v>
      </c>
      <c r="M1043" s="7" t="inlineStr">
        <is>
          <t>Aplicar conforme monitoramento e estádio recomendado na bula (IRAC Grupo 4A)</t>
        </is>
      </c>
    </row>
    <row r="1044" ht="22" customHeight="1">
      <c r="A1044" s="12" t="inlineStr">
        <is>
          <t>ALV-1040</t>
        </is>
      </c>
      <c r="B1044" s="11" t="n">
        <v>534</v>
      </c>
      <c r="C1044" s="13" t="inlineStr">
        <is>
          <t>Nº 26718</t>
        </is>
      </c>
      <c r="D1044" s="14" t="inlineStr">
        <is>
          <t>DINKY 200 SP 0,200KG (IMP) (AMOSTRA)</t>
        </is>
      </c>
      <c r="E1044" s="13" t="inlineStr">
        <is>
          <t>Inseticida</t>
        </is>
      </c>
      <c r="F1044" s="13" t="inlineStr">
        <is>
          <t>Percevejo-marrom</t>
        </is>
      </c>
      <c r="G1044" s="13" t="inlineStr">
        <is>
          <t>Euschistus heros</t>
        </is>
      </c>
      <c r="H1044" s="13" t="inlineStr">
        <is>
          <t>NÃO</t>
        </is>
      </c>
      <c r="I1044" s="18" t="n">
        <v>0.25</v>
      </c>
      <c r="J1044" s="18" t="n">
        <v>0.35</v>
      </c>
      <c r="K1044" s="13" t="inlineStr">
        <is>
          <t>kg/ha</t>
        </is>
      </c>
      <c r="L1044" s="15" t="n">
        <v>1</v>
      </c>
      <c r="M1044" s="13" t="inlineStr">
        <is>
          <t>Aplicar conforme monitoramento e estádio recomendado na bula (IRAC Grupo 4A)</t>
        </is>
      </c>
    </row>
    <row r="1045" ht="22" customHeight="1">
      <c r="A1045" s="6" t="inlineStr">
        <is>
          <t>ALV-1041</t>
        </is>
      </c>
      <c r="B1045" s="5" t="n">
        <v>535</v>
      </c>
      <c r="C1045" s="7" t="inlineStr">
        <is>
          <t>Nº 6922</t>
        </is>
      </c>
      <c r="D1045" s="8" t="inlineStr">
        <is>
          <t>INSECTRIN 0,200L (IMP) AMOSTRA</t>
        </is>
      </c>
      <c r="E1045" s="7" t="inlineStr">
        <is>
          <t>Inseticida e Acaricida</t>
        </is>
      </c>
      <c r="F1045" s="7" t="inlineStr">
        <is>
          <t>Bicudo-do-algodoeiro</t>
        </is>
      </c>
      <c r="G1045" s="7" t="inlineStr">
        <is>
          <t>Anthonomus grandis</t>
        </is>
      </c>
      <c r="H1045" s="7" t="inlineStr">
        <is>
          <t>NÃO</t>
        </is>
      </c>
      <c r="I1045" s="17" t="n">
        <v>0.15</v>
      </c>
      <c r="J1045" s="17" t="n">
        <v>0.25</v>
      </c>
      <c r="K1045" s="7" t="inlineStr">
        <is>
          <t>L/ha</t>
        </is>
      </c>
      <c r="L1045" s="9" t="n">
        <v>1</v>
      </c>
      <c r="M1045" s="7" t="inlineStr">
        <is>
          <t>Aplicar conforme monitoramento e estádio recomendado na bula (IRAC Grupo 3A)</t>
        </is>
      </c>
    </row>
    <row r="1046" ht="22" customHeight="1">
      <c r="A1046" s="12" t="inlineStr">
        <is>
          <t>ALV-1042</t>
        </is>
      </c>
      <c r="B1046" s="11" t="n">
        <v>535</v>
      </c>
      <c r="C1046" s="13" t="inlineStr">
        <is>
          <t>Nº 6922</t>
        </is>
      </c>
      <c r="D1046" s="14" t="inlineStr">
        <is>
          <t>INSECTRIN 0,200L (IMP) AMOSTRA</t>
        </is>
      </c>
      <c r="E1046" s="13" t="inlineStr">
        <is>
          <t>Inseticida e Acaricida</t>
        </is>
      </c>
      <c r="F1046" s="13" t="inlineStr">
        <is>
          <t>Mosca-branca</t>
        </is>
      </c>
      <c r="G1046" s="13" t="inlineStr">
        <is>
          <t>Bemisia tabaci raça B</t>
        </is>
      </c>
      <c r="H1046" s="13" t="inlineStr">
        <is>
          <t>SIM (*)</t>
        </is>
      </c>
      <c r="I1046" s="18" t="n">
        <v>0.125</v>
      </c>
      <c r="J1046" s="18" t="n">
        <v>0.25</v>
      </c>
      <c r="K1046" s="13" t="inlineStr">
        <is>
          <t>L/ha</t>
        </is>
      </c>
      <c r="L1046" s="15" t="n">
        <v>1</v>
      </c>
      <c r="M1046" s="13" t="inlineStr">
        <is>
          <t>Aplicar conforme monitoramento e estádio recomendado na bula (IRAC Grupo 3A)</t>
        </is>
      </c>
    </row>
    <row r="1047" ht="22" customHeight="1">
      <c r="A1047" s="6" t="inlineStr">
        <is>
          <t>ALV-1043</t>
        </is>
      </c>
      <c r="B1047" s="5" t="n">
        <v>535</v>
      </c>
      <c r="C1047" s="7" t="inlineStr">
        <is>
          <t>Nº 6922</t>
        </is>
      </c>
      <c r="D1047" s="8" t="inlineStr">
        <is>
          <t>INSECTRIN 0,200L (IMP) AMOSTRA</t>
        </is>
      </c>
      <c r="E1047" s="7" t="inlineStr">
        <is>
          <t>Inseticida e Acaricida</t>
        </is>
      </c>
      <c r="F1047" s="7" t="inlineStr">
        <is>
          <t>Ácaro-rajado</t>
        </is>
      </c>
      <c r="G1047" s="7" t="inlineStr">
        <is>
          <t>Tetranychus urticae</t>
        </is>
      </c>
      <c r="H1047" s="7" t="inlineStr">
        <is>
          <t>SIM (*)</t>
        </is>
      </c>
      <c r="I1047" s="17" t="n">
        <v>0.15</v>
      </c>
      <c r="J1047" s="17" t="n">
        <v>0.2</v>
      </c>
      <c r="K1047" s="7" t="inlineStr">
        <is>
          <t>L/ha</t>
        </is>
      </c>
      <c r="L1047" s="9" t="n">
        <v>1</v>
      </c>
      <c r="M1047" s="7" t="inlineStr">
        <is>
          <t>Aplicar conforme monitoramento e estádio recomendado na bula (IRAC Grupo 3A)</t>
        </is>
      </c>
    </row>
    <row r="1048" ht="22" customHeight="1">
      <c r="A1048" s="12" t="inlineStr">
        <is>
          <t>ALV-1044</t>
        </is>
      </c>
      <c r="B1048" s="11" t="n">
        <v>536</v>
      </c>
      <c r="C1048" s="13" t="inlineStr">
        <is>
          <t>Nº 3224</t>
        </is>
      </c>
      <c r="D1048" s="14" t="inlineStr">
        <is>
          <t>CHLOROTHALONIL</t>
        </is>
      </c>
      <c r="E1048" s="13" t="inlineStr">
        <is>
          <t>Fungicida</t>
        </is>
      </c>
      <c r="F1048" s="13" t="inlineStr">
        <is>
          <t>Ferrugem-asiática</t>
        </is>
      </c>
      <c r="G1048" s="13" t="inlineStr">
        <is>
          <t>Phakopsora pachyrhizi</t>
        </is>
      </c>
      <c r="H1048" s="13" t="inlineStr">
        <is>
          <t>NÃO</t>
        </is>
      </c>
      <c r="I1048" s="18" t="n">
        <v>1.5</v>
      </c>
      <c r="J1048" s="15" t="n">
        <v>2</v>
      </c>
      <c r="K1048" s="13" t="inlineStr">
        <is>
          <t>L ou kg/ha</t>
        </is>
      </c>
      <c r="L1048" s="15" t="n">
        <v>1</v>
      </c>
      <c r="M1048" s="13" t="inlineStr">
        <is>
          <t>Aplicar conforme monitoramento e estádio recomendado na bula (FRAC Grupo M05 — Multissítio)</t>
        </is>
      </c>
    </row>
    <row r="1049" ht="22" customHeight="1">
      <c r="A1049" s="6" t="inlineStr">
        <is>
          <t>ALV-1045</t>
        </is>
      </c>
      <c r="B1049" s="5" t="n">
        <v>536</v>
      </c>
      <c r="C1049" s="7" t="inlineStr">
        <is>
          <t>Nº 3224</t>
        </is>
      </c>
      <c r="D1049" s="8" t="inlineStr">
        <is>
          <t>CHLOROTHALONIL</t>
        </is>
      </c>
      <c r="E1049" s="7" t="inlineStr">
        <is>
          <t>Fungicida</t>
        </is>
      </c>
      <c r="F1049" s="7" t="inlineStr">
        <is>
          <t>Mancha-alvo</t>
        </is>
      </c>
      <c r="G1049" s="7" t="inlineStr">
        <is>
          <t>Corynespora cassiicola</t>
        </is>
      </c>
      <c r="H1049" s="7" t="inlineStr">
        <is>
          <t>NÃO</t>
        </is>
      </c>
      <c r="I1049" s="17" t="n">
        <v>1.5</v>
      </c>
      <c r="J1049" s="17" t="n">
        <v>2.5</v>
      </c>
      <c r="K1049" s="7" t="inlineStr">
        <is>
          <t>L ou kg/ha</t>
        </is>
      </c>
      <c r="L1049" s="9" t="n">
        <v>1</v>
      </c>
      <c r="M1049" s="7" t="inlineStr">
        <is>
          <t>Aplicar conforme monitoramento e estádio recomendado na bula (FRAC Grupo M05 — Multissítio)</t>
        </is>
      </c>
    </row>
    <row r="1050" ht="22" customHeight="1">
      <c r="A1050" s="12" t="inlineStr">
        <is>
          <t>ALV-1046</t>
        </is>
      </c>
      <c r="B1050" s="11" t="n">
        <v>536</v>
      </c>
      <c r="C1050" s="13" t="inlineStr">
        <is>
          <t>Nº 3224</t>
        </is>
      </c>
      <c r="D1050" s="14" t="inlineStr">
        <is>
          <t>CHLOROTHALONIL</t>
        </is>
      </c>
      <c r="E1050" s="13" t="inlineStr">
        <is>
          <t>Fungicida</t>
        </is>
      </c>
      <c r="F1050" s="13" t="inlineStr">
        <is>
          <t>Cercosporiose</t>
        </is>
      </c>
      <c r="G1050" s="13" t="inlineStr">
        <is>
          <t>Cercospora kikuchii</t>
        </is>
      </c>
      <c r="H1050" s="13" t="inlineStr">
        <is>
          <t>NÃO</t>
        </is>
      </c>
      <c r="I1050" s="18" t="n">
        <v>1.5</v>
      </c>
      <c r="J1050" s="15" t="n">
        <v>2</v>
      </c>
      <c r="K1050" s="13" t="inlineStr">
        <is>
          <t>L ou kg/ha</t>
        </is>
      </c>
      <c r="L1050" s="15" t="n">
        <v>1</v>
      </c>
      <c r="M1050" s="13" t="inlineStr">
        <is>
          <t>Aplicar conforme monitoramento e estádio recomendado na bula (FRAC Grupo M05 — Multissítio)</t>
        </is>
      </c>
    </row>
    <row r="1051" ht="22" customHeight="1">
      <c r="A1051" s="6" t="inlineStr">
        <is>
          <t>ALV-1047</t>
        </is>
      </c>
      <c r="B1051" s="5" t="n">
        <v>537</v>
      </c>
      <c r="C1051" s="7" t="inlineStr">
        <is>
          <t>Nº 40624</t>
        </is>
      </c>
      <c r="D1051" s="8" t="inlineStr">
        <is>
          <t>CHLORPYRIFOS 480 EC AGCN 0,200 (IMP) AMOSTRA LL</t>
        </is>
      </c>
      <c r="E1051" s="7" t="inlineStr">
        <is>
          <t>Inseticida</t>
        </is>
      </c>
      <c r="F1051" s="7" t="inlineStr">
        <is>
          <t>Lagarta-do-cartucho</t>
        </is>
      </c>
      <c r="G1051" s="7" t="inlineStr">
        <is>
          <t>Spodoptera frugiperda</t>
        </is>
      </c>
      <c r="H1051" s="7" t="inlineStr">
        <is>
          <t>SIM (*)</t>
        </is>
      </c>
      <c r="I1051" s="17" t="n">
        <v>0.4</v>
      </c>
      <c r="J1051" s="17" t="n">
        <v>0.6</v>
      </c>
      <c r="K1051" s="7" t="inlineStr">
        <is>
          <t>L/ha</t>
        </is>
      </c>
      <c r="L1051" s="9" t="n">
        <v>1</v>
      </c>
      <c r="M1051" s="7" t="inlineStr">
        <is>
          <t>Aplicar conforme monitoramento e estádio recomendado na bula (IRAC Grupo 1B)</t>
        </is>
      </c>
    </row>
    <row r="1052" ht="22" customHeight="1">
      <c r="A1052" s="12" t="inlineStr">
        <is>
          <t>ALV-1048</t>
        </is>
      </c>
      <c r="B1052" s="11" t="n">
        <v>537</v>
      </c>
      <c r="C1052" s="13" t="inlineStr">
        <is>
          <t>Nº 40624</t>
        </is>
      </c>
      <c r="D1052" s="14" t="inlineStr">
        <is>
          <t>CHLORPYRIFOS 480 EC AGCN 0,200 (IMP) AMOSTRA LL</t>
        </is>
      </c>
      <c r="E1052" s="13" t="inlineStr">
        <is>
          <t>Inseticida</t>
        </is>
      </c>
      <c r="F1052" s="13" t="inlineStr">
        <is>
          <t>Lagarta-da-soja</t>
        </is>
      </c>
      <c r="G1052" s="13" t="inlineStr">
        <is>
          <t>Anticarsia gemmatalis</t>
        </is>
      </c>
      <c r="H1052" s="13" t="inlineStr">
        <is>
          <t>NÃO</t>
        </is>
      </c>
      <c r="I1052" s="18" t="n">
        <v>0.4</v>
      </c>
      <c r="J1052" s="15" t="n">
        <v>1</v>
      </c>
      <c r="K1052" s="13" t="inlineStr">
        <is>
          <t>L/ha</t>
        </is>
      </c>
      <c r="L1052" s="15" t="n">
        <v>1</v>
      </c>
      <c r="M1052" s="13" t="inlineStr">
        <is>
          <t>Aplicar conforme monitoramento e estádio recomendado na bula (IRAC Grupo 1B)</t>
        </is>
      </c>
    </row>
    <row r="1053" ht="22" customHeight="1">
      <c r="A1053" s="6" t="inlineStr">
        <is>
          <t>ALV-1049</t>
        </is>
      </c>
      <c r="B1053" s="5" t="n">
        <v>537</v>
      </c>
      <c r="C1053" s="7" t="inlineStr">
        <is>
          <t>Nº 40624</t>
        </is>
      </c>
      <c r="D1053" s="8" t="inlineStr">
        <is>
          <t>CHLORPYRIFOS 480 EC AGCN 0,200 (IMP) AMOSTRA LL</t>
        </is>
      </c>
      <c r="E1053" s="7" t="inlineStr">
        <is>
          <t>Inseticida</t>
        </is>
      </c>
      <c r="F1053" s="7" t="inlineStr">
        <is>
          <t>Broca-do-café</t>
        </is>
      </c>
      <c r="G1053" s="7" t="inlineStr">
        <is>
          <t>Hypothenemus hampei</t>
        </is>
      </c>
      <c r="H1053" s="7" t="inlineStr">
        <is>
          <t>NÃO</t>
        </is>
      </c>
      <c r="I1053" s="9" t="n">
        <v>1</v>
      </c>
      <c r="J1053" s="17" t="n">
        <v>1.5</v>
      </c>
      <c r="K1053" s="7" t="inlineStr">
        <is>
          <t>L/ha</t>
        </is>
      </c>
      <c r="L1053" s="9" t="n">
        <v>1</v>
      </c>
      <c r="M1053" s="7" t="inlineStr">
        <is>
          <t>Aplicar conforme monitoramento e estádio recomendado na bula (IRAC Grupo 1B)</t>
        </is>
      </c>
    </row>
    <row r="1054" ht="22" customHeight="1">
      <c r="A1054" s="12" t="inlineStr">
        <is>
          <t>ALV-1050</t>
        </is>
      </c>
      <c r="B1054" s="11" t="n">
        <v>538</v>
      </c>
      <c r="C1054" s="13" t="inlineStr">
        <is>
          <t>Nº 18022</t>
        </is>
      </c>
      <c r="D1054" s="14" t="inlineStr">
        <is>
          <t>TARBOX BR 0,200KG (IMP) AMOSTRA</t>
        </is>
      </c>
      <c r="E1054" s="13" t="inlineStr">
        <is>
          <t>Herbicida</t>
        </is>
      </c>
      <c r="F1054" s="13" t="inlineStr">
        <is>
          <t>Buva</t>
        </is>
      </c>
      <c r="G1054" s="13" t="inlineStr">
        <is>
          <t>Conyza bonariensis</t>
        </is>
      </c>
      <c r="H1054" s="13" t="inlineStr">
        <is>
          <t>NÃO</t>
        </is>
      </c>
      <c r="I1054" s="15" t="n">
        <v>2</v>
      </c>
      <c r="J1054" s="15" t="n">
        <v>3</v>
      </c>
      <c r="K1054" s="13" t="inlineStr">
        <is>
          <t>L/ha</t>
        </is>
      </c>
      <c r="L1054" s="15" t="n">
        <v>1</v>
      </c>
      <c r="M1054" s="13" t="inlineStr">
        <is>
          <t>Aplicar conforme monitoramento e estádio recomendado na bula (HRAC Grupo H (10) — Inibidores da Glutamina Sintetase)</t>
        </is>
      </c>
    </row>
    <row r="1055" ht="22" customHeight="1">
      <c r="A1055" s="6" t="inlineStr">
        <is>
          <t>ALV-1051</t>
        </is>
      </c>
      <c r="B1055" s="5" t="n">
        <v>538</v>
      </c>
      <c r="C1055" s="7" t="inlineStr">
        <is>
          <t>Nº 18022</t>
        </is>
      </c>
      <c r="D1055" s="8" t="inlineStr">
        <is>
          <t>TARBOX BR 0,200KG (IMP) AMOSTRA</t>
        </is>
      </c>
      <c r="E1055" s="7" t="inlineStr">
        <is>
          <t>Herbicida</t>
        </is>
      </c>
      <c r="F1055" s="7" t="inlineStr">
        <is>
          <t>Capim-pé-de-galinha</t>
        </is>
      </c>
      <c r="G1055" s="7" t="inlineStr">
        <is>
          <t>Eleusine indica</t>
        </is>
      </c>
      <c r="H1055" s="7" t="inlineStr">
        <is>
          <t>NÃO</t>
        </is>
      </c>
      <c r="I1055" s="9" t="n">
        <v>2</v>
      </c>
      <c r="J1055" s="17" t="n">
        <v>2.5</v>
      </c>
      <c r="K1055" s="7" t="inlineStr">
        <is>
          <t>L/ha</t>
        </is>
      </c>
      <c r="L1055" s="9" t="n">
        <v>1</v>
      </c>
      <c r="M1055" s="7" t="inlineStr">
        <is>
          <t>Aplicar conforme monitoramento e estádio recomendado na bula (HRAC Grupo H (10) — Inibidores da Glutamina Sintetase)</t>
        </is>
      </c>
    </row>
    <row r="1056" ht="22" customHeight="1">
      <c r="A1056" s="12" t="inlineStr">
        <is>
          <t>ALV-1052</t>
        </is>
      </c>
      <c r="B1056" s="11" t="n">
        <v>538</v>
      </c>
      <c r="C1056" s="13" t="inlineStr">
        <is>
          <t>Nº 18022</t>
        </is>
      </c>
      <c r="D1056" s="14" t="inlineStr">
        <is>
          <t>TARBOX BR 0,200KG (IMP) AMOSTRA</t>
        </is>
      </c>
      <c r="E1056" s="13" t="inlineStr">
        <is>
          <t>Herbicida</t>
        </is>
      </c>
      <c r="F1056" s="13" t="inlineStr">
        <is>
          <t>Caruru</t>
        </is>
      </c>
      <c r="G1056" s="13" t="inlineStr">
        <is>
          <t>Amaranthus hybridus</t>
        </is>
      </c>
      <c r="H1056" s="13" t="inlineStr">
        <is>
          <t>NÃO</t>
        </is>
      </c>
      <c r="I1056" s="18" t="n">
        <v>1.5</v>
      </c>
      <c r="J1056" s="18" t="n">
        <v>2.5</v>
      </c>
      <c r="K1056" s="13" t="inlineStr">
        <is>
          <t>L/ha</t>
        </is>
      </c>
      <c r="L1056" s="15" t="n">
        <v>1</v>
      </c>
      <c r="M1056" s="13" t="inlineStr">
        <is>
          <t>Aplicar conforme monitoramento e estádio recomendado na bula (HRAC Grupo H (10) — Inibidores da Glutamina Sintetase)</t>
        </is>
      </c>
    </row>
    <row r="1057" ht="22" customHeight="1">
      <c r="A1057" s="6" t="inlineStr">
        <is>
          <t>ALV-1053</t>
        </is>
      </c>
      <c r="B1057" s="5" t="n">
        <v>539</v>
      </c>
      <c r="C1057" s="7" t="inlineStr">
        <is>
          <t>Nº 22225</t>
        </is>
      </c>
      <c r="D1057" s="8" t="inlineStr">
        <is>
          <t>KILLIGAN 0,200L (IMP) RW AMOSTRA</t>
        </is>
      </c>
      <c r="E1057" s="7" t="inlineStr">
        <is>
          <t>Inseticida e Acaricida</t>
        </is>
      </c>
      <c r="F1057" s="7" t="inlineStr">
        <is>
          <t>Ácaro-rajado</t>
        </is>
      </c>
      <c r="G1057" s="7" t="inlineStr">
        <is>
          <t>Tetranychus urticae</t>
        </is>
      </c>
      <c r="H1057" s="7" t="inlineStr">
        <is>
          <t>NÃO</t>
        </is>
      </c>
      <c r="I1057" s="17" t="n">
        <v>0.5</v>
      </c>
      <c r="J1057" s="17" t="n">
        <v>1.5</v>
      </c>
      <c r="K1057" s="7" t="inlineStr">
        <is>
          <t>L/ha</t>
        </is>
      </c>
      <c r="L1057" s="9" t="n">
        <v>1</v>
      </c>
      <c r="M1057" s="7" t="inlineStr">
        <is>
          <t>Aplicar conforme monitoramento e estádio recomendado na bula (IRAC Grupo 13)</t>
        </is>
      </c>
    </row>
    <row r="1058" ht="22" customHeight="1">
      <c r="A1058" s="12" t="inlineStr">
        <is>
          <t>ALV-1054</t>
        </is>
      </c>
      <c r="B1058" s="11" t="n">
        <v>539</v>
      </c>
      <c r="C1058" s="13" t="inlineStr">
        <is>
          <t>Nº 22225</t>
        </is>
      </c>
      <c r="D1058" s="14" t="inlineStr">
        <is>
          <t>KILLIGAN 0,200L (IMP) RW AMOSTRA</t>
        </is>
      </c>
      <c r="E1058" s="13" t="inlineStr">
        <is>
          <t>Inseticida e Acaricida</t>
        </is>
      </c>
      <c r="F1058" s="13" t="inlineStr">
        <is>
          <t>Lagarta-helicoverpa</t>
        </is>
      </c>
      <c r="G1058" s="13" t="inlineStr">
        <is>
          <t>Helicoverpa armigera</t>
        </is>
      </c>
      <c r="H1058" s="13" t="inlineStr">
        <is>
          <t>NÃO</t>
        </is>
      </c>
      <c r="I1058" s="18" t="n">
        <v>0.8</v>
      </c>
      <c r="J1058" s="18" t="n">
        <v>1.25</v>
      </c>
      <c r="K1058" s="13" t="inlineStr">
        <is>
          <t>L/ha</t>
        </is>
      </c>
      <c r="L1058" s="15" t="n">
        <v>1</v>
      </c>
      <c r="M1058" s="13" t="inlineStr">
        <is>
          <t>Aplicar conforme monitoramento e estádio recomendado na bula (IRAC Grupo 13)</t>
        </is>
      </c>
    </row>
    <row r="1059" ht="22" customHeight="1">
      <c r="A1059" s="6" t="inlineStr">
        <is>
          <t>ALV-1055</t>
        </is>
      </c>
      <c r="B1059" s="5" t="n">
        <v>539</v>
      </c>
      <c r="C1059" s="7" t="inlineStr">
        <is>
          <t>Nº 22225</t>
        </is>
      </c>
      <c r="D1059" s="8" t="inlineStr">
        <is>
          <t>KILLIGAN 0,200L (IMP) RW AMOSTRA</t>
        </is>
      </c>
      <c r="E1059" s="7" t="inlineStr">
        <is>
          <t>Inseticida e Acaricida</t>
        </is>
      </c>
      <c r="F1059" s="7" t="inlineStr">
        <is>
          <t>Lagarta-do-cartucho</t>
        </is>
      </c>
      <c r="G1059" s="7" t="inlineStr">
        <is>
          <t>Spodoptera frugiperda</t>
        </is>
      </c>
      <c r="H1059" s="7" t="inlineStr">
        <is>
          <t>NÃO</t>
        </is>
      </c>
      <c r="I1059" s="17" t="n">
        <v>0.75</v>
      </c>
      <c r="J1059" s="17" t="n">
        <v>1.25</v>
      </c>
      <c r="K1059" s="7" t="inlineStr">
        <is>
          <t>L/ha</t>
        </is>
      </c>
      <c r="L1059" s="9" t="n">
        <v>1</v>
      </c>
      <c r="M1059" s="7" t="inlineStr">
        <is>
          <t>Aplicar conforme monitoramento e estádio recomendado na bula (IRAC Grupo 13)</t>
        </is>
      </c>
    </row>
    <row r="1060" ht="22" customHeight="1">
      <c r="A1060" s="12" t="inlineStr">
        <is>
          <t>ALV-1056</t>
        </is>
      </c>
      <c r="B1060" s="11" t="n">
        <v>540</v>
      </c>
      <c r="C1060" s="13" t="inlineStr">
        <is>
          <t>SIPEAGRO (UF-XXXXX)</t>
        </is>
      </c>
      <c r="D1060" s="14" t="inlineStr">
        <is>
          <t>FOSFATO MONOAMONICO GRANULADO - MAP</t>
        </is>
      </c>
      <c r="E1060" s="13" t="inlineStr">
        <is>
          <t>Fertilizante Complexo (MAP — Fosfato Monoamônico)</t>
        </is>
      </c>
      <c r="F1060" s="13" t="inlineStr">
        <is>
          <t>Nutrição e Correção de Deficiência Mineral</t>
        </is>
      </c>
      <c r="G1060" s="13" t="inlineStr">
        <is>
          <t>Nutrição Vegetal</t>
        </is>
      </c>
      <c r="H1060" s="13" t="inlineStr">
        <is>
          <t>NÃO</t>
        </is>
      </c>
      <c r="I1060" s="15" t="n">
        <v>1</v>
      </c>
      <c r="J1060" s="15" t="n">
        <v>250</v>
      </c>
      <c r="K1060" s="13" t="inlineStr">
        <is>
          <t>kg ou L/ha</t>
        </is>
      </c>
      <c r="L1060" s="15" t="n">
        <v>1</v>
      </c>
      <c r="M1060" s="13" t="inlineStr">
        <is>
          <t>Aplicar conforme monitoramento e estádio recomendado na bula (Nutrição Vegetal SIPEAGRO)</t>
        </is>
      </c>
    </row>
    <row r="1061" ht="22" customHeight="1">
      <c r="A1061" s="6" t="inlineStr">
        <is>
          <t>ALV-1057</t>
        </is>
      </c>
      <c r="B1061" s="5" t="n">
        <v>541</v>
      </c>
      <c r="C1061" s="7" t="inlineStr">
        <is>
          <t>Nº 24922</t>
        </is>
      </c>
      <c r="D1061" s="8" t="inlineStr">
        <is>
          <t>CEFANOL GOLD</t>
        </is>
      </c>
      <c r="E1061" s="7" t="inlineStr">
        <is>
          <t>Inseticida</t>
        </is>
      </c>
      <c r="F1061" s="7" t="inlineStr">
        <is>
          <t>Percevejo-marrom</t>
        </is>
      </c>
      <c r="G1061" s="7" t="inlineStr">
        <is>
          <t>Euschistus heros</t>
        </is>
      </c>
      <c r="H1061" s="7" t="inlineStr">
        <is>
          <t>NÃO</t>
        </is>
      </c>
      <c r="I1061" s="17" t="n">
        <v>0.8</v>
      </c>
      <c r="J1061" s="17" t="n">
        <v>1.2</v>
      </c>
      <c r="K1061" s="7" t="inlineStr">
        <is>
          <t>kg/ha</t>
        </is>
      </c>
      <c r="L1061" s="9" t="n">
        <v>1</v>
      </c>
      <c r="M1061" s="7" t="inlineStr">
        <is>
          <t>Aplicar conforme monitoramento e estádio recomendado na bula (IRAC Grupo 1B)</t>
        </is>
      </c>
    </row>
    <row r="1062" ht="22" customHeight="1">
      <c r="A1062" s="12" t="inlineStr">
        <is>
          <t>ALV-1058</t>
        </is>
      </c>
      <c r="B1062" s="11" t="n">
        <v>541</v>
      </c>
      <c r="C1062" s="13" t="inlineStr">
        <is>
          <t>Nº 24922</t>
        </is>
      </c>
      <c r="D1062" s="14" t="inlineStr">
        <is>
          <t>CEFANOL GOLD</t>
        </is>
      </c>
      <c r="E1062" s="13" t="inlineStr">
        <is>
          <t>Inseticida</t>
        </is>
      </c>
      <c r="F1062" s="13" t="inlineStr">
        <is>
          <t>Mosca-branca</t>
        </is>
      </c>
      <c r="G1062" s="13" t="inlineStr">
        <is>
          <t>Bemisia tabaci raça B</t>
        </is>
      </c>
      <c r="H1062" s="13" t="inlineStr">
        <is>
          <t>NÃO</t>
        </is>
      </c>
      <c r="I1062" s="18" t="n">
        <v>0.8</v>
      </c>
      <c r="J1062" s="15" t="n">
        <v>1</v>
      </c>
      <c r="K1062" s="13" t="inlineStr">
        <is>
          <t>kg/ha</t>
        </is>
      </c>
      <c r="L1062" s="15" t="n">
        <v>1</v>
      </c>
      <c r="M1062" s="13" t="inlineStr">
        <is>
          <t>Aplicar conforme monitoramento e estádio recomendado na bula (IRAC Grupo 1B)</t>
        </is>
      </c>
    </row>
    <row r="1063" ht="22" customHeight="1">
      <c r="A1063" s="6" t="inlineStr">
        <is>
          <t>ALV-1059</t>
        </is>
      </c>
      <c r="B1063" s="5" t="n">
        <v>541</v>
      </c>
      <c r="C1063" s="7" t="inlineStr">
        <is>
          <t>Nº 24922</t>
        </is>
      </c>
      <c r="D1063" s="8" t="inlineStr">
        <is>
          <t>CEFANOL GOLD</t>
        </is>
      </c>
      <c r="E1063" s="7" t="inlineStr">
        <is>
          <t>Inseticida</t>
        </is>
      </c>
      <c r="F1063" s="7" t="inlineStr">
        <is>
          <t>Tripes</t>
        </is>
      </c>
      <c r="G1063" s="7" t="inlineStr">
        <is>
          <t>Caliothrips phaseoli</t>
        </is>
      </c>
      <c r="H1063" s="7" t="inlineStr">
        <is>
          <t>NÃO</t>
        </is>
      </c>
      <c r="I1063" s="17" t="n">
        <v>0.5</v>
      </c>
      <c r="J1063" s="17" t="n">
        <v>0.8</v>
      </c>
      <c r="K1063" s="7" t="inlineStr">
        <is>
          <t>kg/ha</t>
        </is>
      </c>
      <c r="L1063" s="9" t="n">
        <v>1</v>
      </c>
      <c r="M1063" s="7" t="inlineStr">
        <is>
          <t>Aplicar conforme monitoramento e estádio recomendado na bula (IRAC Grupo 1B)</t>
        </is>
      </c>
    </row>
    <row r="1064" ht="22" customHeight="1">
      <c r="A1064" s="12" t="inlineStr">
        <is>
          <t>ALV-1060</t>
        </is>
      </c>
      <c r="B1064" s="11" t="n">
        <v>542</v>
      </c>
      <c r="C1064" s="13" t="inlineStr">
        <is>
          <t>Nº 22225</t>
        </is>
      </c>
      <c r="D1064" s="14" t="inlineStr">
        <is>
          <t>KILLIGAN</t>
        </is>
      </c>
      <c r="E1064" s="13" t="inlineStr">
        <is>
          <t>Inseticida e Acaricida</t>
        </is>
      </c>
      <c r="F1064" s="13" t="inlineStr">
        <is>
          <t>Ácaro-rajado</t>
        </is>
      </c>
      <c r="G1064" s="13" t="inlineStr">
        <is>
          <t>Tetranychus urticae</t>
        </is>
      </c>
      <c r="H1064" s="13" t="inlineStr">
        <is>
          <t>NÃO</t>
        </is>
      </c>
      <c r="I1064" s="18" t="n">
        <v>0.5</v>
      </c>
      <c r="J1064" s="18" t="n">
        <v>1.5</v>
      </c>
      <c r="K1064" s="13" t="inlineStr">
        <is>
          <t>L/ha</t>
        </is>
      </c>
      <c r="L1064" s="15" t="n">
        <v>1</v>
      </c>
      <c r="M1064" s="13" t="inlineStr">
        <is>
          <t>Aplicar conforme monitoramento e estádio recomendado na bula (IRAC Grupo 13)</t>
        </is>
      </c>
    </row>
    <row r="1065" ht="22" customHeight="1">
      <c r="A1065" s="6" t="inlineStr">
        <is>
          <t>ALV-1061</t>
        </is>
      </c>
      <c r="B1065" s="5" t="n">
        <v>542</v>
      </c>
      <c r="C1065" s="7" t="inlineStr">
        <is>
          <t>Nº 22225</t>
        </is>
      </c>
      <c r="D1065" s="8" t="inlineStr">
        <is>
          <t>KILLIGAN</t>
        </is>
      </c>
      <c r="E1065" s="7" t="inlineStr">
        <is>
          <t>Inseticida e Acaricida</t>
        </is>
      </c>
      <c r="F1065" s="7" t="inlineStr">
        <is>
          <t>Lagarta-helicoverpa</t>
        </is>
      </c>
      <c r="G1065" s="7" t="inlineStr">
        <is>
          <t>Helicoverpa armigera</t>
        </is>
      </c>
      <c r="H1065" s="7" t="inlineStr">
        <is>
          <t>NÃO</t>
        </is>
      </c>
      <c r="I1065" s="17" t="n">
        <v>0.8</v>
      </c>
      <c r="J1065" s="17" t="n">
        <v>1.25</v>
      </c>
      <c r="K1065" s="7" t="inlineStr">
        <is>
          <t>L/ha</t>
        </is>
      </c>
      <c r="L1065" s="9" t="n">
        <v>1</v>
      </c>
      <c r="M1065" s="7" t="inlineStr">
        <is>
          <t>Aplicar conforme monitoramento e estádio recomendado na bula (IRAC Grupo 13)</t>
        </is>
      </c>
    </row>
    <row r="1066" ht="22" customHeight="1">
      <c r="A1066" s="12" t="inlineStr">
        <is>
          <t>ALV-1062</t>
        </is>
      </c>
      <c r="B1066" s="11" t="n">
        <v>542</v>
      </c>
      <c r="C1066" s="13" t="inlineStr">
        <is>
          <t>Nº 22225</t>
        </is>
      </c>
      <c r="D1066" s="14" t="inlineStr">
        <is>
          <t>KILLIGAN</t>
        </is>
      </c>
      <c r="E1066" s="13" t="inlineStr">
        <is>
          <t>Inseticida e Acaricida</t>
        </is>
      </c>
      <c r="F1066" s="13" t="inlineStr">
        <is>
          <t>Lagarta-do-cartucho</t>
        </is>
      </c>
      <c r="G1066" s="13" t="inlineStr">
        <is>
          <t>Spodoptera frugiperda</t>
        </is>
      </c>
      <c r="H1066" s="13" t="inlineStr">
        <is>
          <t>NÃO</t>
        </is>
      </c>
      <c r="I1066" s="18" t="n">
        <v>0.75</v>
      </c>
      <c r="J1066" s="18" t="n">
        <v>1.25</v>
      </c>
      <c r="K1066" s="13" t="inlineStr">
        <is>
          <t>L/ha</t>
        </is>
      </c>
      <c r="L1066" s="15" t="n">
        <v>1</v>
      </c>
      <c r="M1066" s="13" t="inlineStr">
        <is>
          <t>Aplicar conforme monitoramento e estádio recomendado na bula (IRAC Grupo 13)</t>
        </is>
      </c>
    </row>
    <row r="1067" ht="22" customHeight="1">
      <c r="A1067" s="6" t="inlineStr">
        <is>
          <t>ALV-1063</t>
        </is>
      </c>
      <c r="B1067" s="5" t="n">
        <v>543</v>
      </c>
      <c r="C1067" s="7" t="inlineStr">
        <is>
          <t>Nº 17921</t>
        </is>
      </c>
      <c r="D1067" s="8" t="inlineStr">
        <is>
          <t>TIOFANATO</t>
        </is>
      </c>
      <c r="E1067" s="7" t="inlineStr">
        <is>
          <t>Fungicida</t>
        </is>
      </c>
      <c r="F1067" s="7" t="inlineStr">
        <is>
          <t>Mofo-branco</t>
        </is>
      </c>
      <c r="G1067" s="7" t="inlineStr">
        <is>
          <t>Sclerotinia sclerotiorum</t>
        </is>
      </c>
      <c r="H1067" s="7" t="inlineStr">
        <is>
          <t>NÃO</t>
        </is>
      </c>
      <c r="I1067" s="17" t="n">
        <v>0.8</v>
      </c>
      <c r="J1067" s="9" t="n">
        <v>1</v>
      </c>
      <c r="K1067" s="7" t="inlineStr">
        <is>
          <t>L/ha</t>
        </is>
      </c>
      <c r="L1067" s="9" t="n">
        <v>1</v>
      </c>
      <c r="M1067" s="7" t="inlineStr">
        <is>
          <t>Aplicar conforme monitoramento e estádio recomendado na bula (FRAC Grupo 1 (MBC))</t>
        </is>
      </c>
    </row>
    <row r="1068" ht="22" customHeight="1">
      <c r="A1068" s="12" t="inlineStr">
        <is>
          <t>ALV-1064</t>
        </is>
      </c>
      <c r="B1068" s="11" t="n">
        <v>543</v>
      </c>
      <c r="C1068" s="13" t="inlineStr">
        <is>
          <t>Nº 17921</t>
        </is>
      </c>
      <c r="D1068" s="14" t="inlineStr">
        <is>
          <t>TIOFANATO</t>
        </is>
      </c>
      <c r="E1068" s="13" t="inlineStr">
        <is>
          <t>Fungicida</t>
        </is>
      </c>
      <c r="F1068" s="13" t="inlineStr">
        <is>
          <t>Antracnose</t>
        </is>
      </c>
      <c r="G1068" s="13" t="inlineStr">
        <is>
          <t>Colletotrichum lindemuthianum</t>
        </is>
      </c>
      <c r="H1068" s="13" t="inlineStr">
        <is>
          <t>NÃO</t>
        </is>
      </c>
      <c r="I1068" s="18" t="n">
        <v>0.7</v>
      </c>
      <c r="J1068" s="15" t="n">
        <v>1</v>
      </c>
      <c r="K1068" s="13" t="inlineStr">
        <is>
          <t>L/ha</t>
        </is>
      </c>
      <c r="L1068" s="15" t="n">
        <v>1</v>
      </c>
      <c r="M1068" s="13" t="inlineStr">
        <is>
          <t>Aplicar conforme monitoramento e estádio recomendado na bula (FRAC Grupo 1 (MBC))</t>
        </is>
      </c>
    </row>
    <row r="1069" ht="22" customHeight="1">
      <c r="A1069" s="6" t="inlineStr">
        <is>
          <t>ALV-1065</t>
        </is>
      </c>
      <c r="B1069" s="5" t="n">
        <v>544</v>
      </c>
      <c r="C1069" s="7" t="inlineStr">
        <is>
          <t>Nº 17921</t>
        </is>
      </c>
      <c r="D1069" s="8" t="inlineStr">
        <is>
          <t>TIOFANATO</t>
        </is>
      </c>
      <c r="E1069" s="7" t="inlineStr">
        <is>
          <t>Fungicida</t>
        </is>
      </c>
      <c r="F1069" s="7" t="inlineStr">
        <is>
          <t>Mofo-branco</t>
        </is>
      </c>
      <c r="G1069" s="7" t="inlineStr">
        <is>
          <t>Sclerotinia sclerotiorum</t>
        </is>
      </c>
      <c r="H1069" s="7" t="inlineStr">
        <is>
          <t>NÃO</t>
        </is>
      </c>
      <c r="I1069" s="17" t="n">
        <v>0.8</v>
      </c>
      <c r="J1069" s="9" t="n">
        <v>1</v>
      </c>
      <c r="K1069" s="7" t="inlineStr">
        <is>
          <t>L/ha</t>
        </is>
      </c>
      <c r="L1069" s="9" t="n">
        <v>1</v>
      </c>
      <c r="M1069" s="7" t="inlineStr">
        <is>
          <t>Aplicar conforme monitoramento e estádio recomendado na bula (FRAC Grupo 1 (MBC))</t>
        </is>
      </c>
    </row>
    <row r="1070" ht="22" customHeight="1">
      <c r="A1070" s="12" t="inlineStr">
        <is>
          <t>ALV-1066</t>
        </is>
      </c>
      <c r="B1070" s="11" t="n">
        <v>544</v>
      </c>
      <c r="C1070" s="13" t="inlineStr">
        <is>
          <t>Nº 17921</t>
        </is>
      </c>
      <c r="D1070" s="14" t="inlineStr">
        <is>
          <t>TIOFANATO</t>
        </is>
      </c>
      <c r="E1070" s="13" t="inlineStr">
        <is>
          <t>Fungicida</t>
        </is>
      </c>
      <c r="F1070" s="13" t="inlineStr">
        <is>
          <t>Antracnose</t>
        </is>
      </c>
      <c r="G1070" s="13" t="inlineStr">
        <is>
          <t>Colletotrichum lindemuthianum</t>
        </is>
      </c>
      <c r="H1070" s="13" t="inlineStr">
        <is>
          <t>NÃO</t>
        </is>
      </c>
      <c r="I1070" s="18" t="n">
        <v>0.7</v>
      </c>
      <c r="J1070" s="15" t="n">
        <v>1</v>
      </c>
      <c r="K1070" s="13" t="inlineStr">
        <is>
          <t>L/ha</t>
        </is>
      </c>
      <c r="L1070" s="15" t="n">
        <v>1</v>
      </c>
      <c r="M1070" s="13" t="inlineStr">
        <is>
          <t>Aplicar conforme monitoramento e estádio recomendado na bula (FRAC Grupo 1 (MBC))</t>
        </is>
      </c>
    </row>
    <row r="1071" ht="22" customHeight="1">
      <c r="A1071" s="6" t="inlineStr">
        <is>
          <t>ALV-1067</t>
        </is>
      </c>
      <c r="B1071" s="5" t="n">
        <v>545</v>
      </c>
      <c r="C1071" s="7" t="inlineStr">
        <is>
          <t>Nº 17219</t>
        </is>
      </c>
      <c r="D1071" s="8" t="inlineStr">
        <is>
          <t>FLUAZINAM</t>
        </is>
      </c>
      <c r="E1071" s="7" t="inlineStr">
        <is>
          <t>Fungicida</t>
        </is>
      </c>
      <c r="F1071" s="7" t="inlineStr">
        <is>
          <t>Mofo-branco</t>
        </is>
      </c>
      <c r="G1071" s="7" t="inlineStr">
        <is>
          <t>Sclerotinia sclerotiorum</t>
        </is>
      </c>
      <c r="H1071" s="7" t="inlineStr">
        <is>
          <t>NÃO</t>
        </is>
      </c>
      <c r="I1071" s="9" t="n">
        <v>1</v>
      </c>
      <c r="J1071" s="17" t="n">
        <v>1.5</v>
      </c>
      <c r="K1071" s="7" t="inlineStr">
        <is>
          <t>L/ha</t>
        </is>
      </c>
      <c r="L1071" s="9" t="n">
        <v>1</v>
      </c>
      <c r="M1071" s="7" t="inlineStr">
        <is>
          <t>Aplicar conforme monitoramento e estádio recomendado na bula (FRAC Grupo 29)</t>
        </is>
      </c>
    </row>
    <row r="1072" ht="22" customHeight="1">
      <c r="A1072" s="12" t="inlineStr">
        <is>
          <t>ALV-1068</t>
        </is>
      </c>
      <c r="B1072" s="11" t="n">
        <v>545</v>
      </c>
      <c r="C1072" s="13" t="inlineStr">
        <is>
          <t>Nº 17219</t>
        </is>
      </c>
      <c r="D1072" s="14" t="inlineStr">
        <is>
          <t>FLUAZINAM</t>
        </is>
      </c>
      <c r="E1072" s="13" t="inlineStr">
        <is>
          <t>Fungicida</t>
        </is>
      </c>
      <c r="F1072" s="13" t="inlineStr">
        <is>
          <t>Requeima</t>
        </is>
      </c>
      <c r="G1072" s="13" t="inlineStr">
        <is>
          <t>Phytophthora infestans</t>
        </is>
      </c>
      <c r="H1072" s="13" t="inlineStr">
        <is>
          <t>NÃO</t>
        </is>
      </c>
      <c r="I1072" s="18" t="n">
        <v>0.75</v>
      </c>
      <c r="J1072" s="15" t="n">
        <v>1</v>
      </c>
      <c r="K1072" s="13" t="inlineStr">
        <is>
          <t>L/ha</t>
        </is>
      </c>
      <c r="L1072" s="15" t="n">
        <v>1</v>
      </c>
      <c r="M1072" s="13" t="inlineStr">
        <is>
          <t>Aplicar conforme monitoramento e estádio recomendado na bula (FRAC Grupo 29)</t>
        </is>
      </c>
    </row>
    <row r="1073" ht="22" customHeight="1">
      <c r="A1073" s="6" t="inlineStr">
        <is>
          <t>ALV-1069</t>
        </is>
      </c>
      <c r="B1073" s="5" t="n">
        <v>546</v>
      </c>
      <c r="C1073" s="7" t="inlineStr">
        <is>
          <t>Nº 24324</t>
        </is>
      </c>
      <c r="D1073" s="8" t="inlineStr">
        <is>
          <t>PROCYMIDONE</t>
        </is>
      </c>
      <c r="E1073" s="7" t="inlineStr">
        <is>
          <t>Fungicida</t>
        </is>
      </c>
      <c r="F1073" s="7" t="inlineStr">
        <is>
          <t>Complexo de Doenças Foliares e Ferrugem</t>
        </is>
      </c>
      <c r="G1073" s="7" t="inlineStr">
        <is>
          <t>Phakopsora pachyrhizi / Corynespora</t>
        </is>
      </c>
      <c r="H1073" s="7" t="inlineStr">
        <is>
          <t>NÃO</t>
        </is>
      </c>
      <c r="I1073" s="17" t="n">
        <v>0.3</v>
      </c>
      <c r="J1073" s="17" t="n">
        <v>1.5</v>
      </c>
      <c r="K1073" s="7" t="inlineStr">
        <is>
          <t>L ou kg/ha</t>
        </is>
      </c>
      <c r="L1073" s="9" t="n">
        <v>1</v>
      </c>
      <c r="M1073" s="7" t="inlineStr">
        <is>
          <t>Aplicar conforme monitoramento e estádio recomendado na bula (Classificação FRAC Oficial conforme Bula)</t>
        </is>
      </c>
    </row>
    <row r="1074" ht="22" customHeight="1">
      <c r="A1074" s="12" t="inlineStr">
        <is>
          <t>ALV-1070</t>
        </is>
      </c>
      <c r="B1074" s="11" t="n">
        <v>547</v>
      </c>
      <c r="C1074" s="13" t="inlineStr">
        <is>
          <t>Nº 9019</t>
        </is>
      </c>
      <c r="D1074" s="14" t="inlineStr">
        <is>
          <t>LIMUZINA WG</t>
        </is>
      </c>
      <c r="E1074" s="13" t="inlineStr">
        <is>
          <t>Herbicida</t>
        </is>
      </c>
      <c r="F1074" s="13" t="inlineStr">
        <is>
          <t>Picão-preto</t>
        </is>
      </c>
      <c r="G1074" s="13" t="inlineStr">
        <is>
          <t>Bidens pilosa</t>
        </is>
      </c>
      <c r="H1074" s="13" t="inlineStr">
        <is>
          <t>SIM (*)</t>
        </is>
      </c>
      <c r="I1074" s="18" t="n">
        <v>2.5</v>
      </c>
      <c r="J1074" s="15" t="n">
        <v>4</v>
      </c>
      <c r="K1074" s="13" t="inlineStr">
        <is>
          <t>L ou kg/ha</t>
        </is>
      </c>
      <c r="L1074" s="15" t="n">
        <v>1</v>
      </c>
      <c r="M1074" s="13" t="inlineStr">
        <is>
          <t>Aplicar conforme monitoramento e estádio recomendado na bula (HRAC Grupo C1 (5) — Inibidores do Fotossistema II)</t>
        </is>
      </c>
    </row>
    <row r="1075" ht="22" customHeight="1">
      <c r="A1075" s="6" t="inlineStr">
        <is>
          <t>ALV-1071</t>
        </is>
      </c>
      <c r="B1075" s="5" t="n">
        <v>547</v>
      </c>
      <c r="C1075" s="7" t="inlineStr">
        <is>
          <t>Nº 9019</t>
        </is>
      </c>
      <c r="D1075" s="8" t="inlineStr">
        <is>
          <t>LIMUZINA WG</t>
        </is>
      </c>
      <c r="E1075" s="7" t="inlineStr">
        <is>
          <t>Herbicida</t>
        </is>
      </c>
      <c r="F1075" s="7" t="inlineStr">
        <is>
          <t>Caruru</t>
        </is>
      </c>
      <c r="G1075" s="7" t="inlineStr">
        <is>
          <t>Amaranthus viridis</t>
        </is>
      </c>
      <c r="H1075" s="7" t="inlineStr">
        <is>
          <t>SIM (*)</t>
        </is>
      </c>
      <c r="I1075" s="17" t="n">
        <v>2.5</v>
      </c>
      <c r="J1075" s="17" t="n">
        <v>3.5</v>
      </c>
      <c r="K1075" s="7" t="inlineStr">
        <is>
          <t>L ou kg/ha</t>
        </is>
      </c>
      <c r="L1075" s="9" t="n">
        <v>1</v>
      </c>
      <c r="M1075" s="7" t="inlineStr">
        <is>
          <t>Aplicar conforme monitoramento e estádio recomendado na bula (HRAC Grupo C1 (5) — Inibidores do Fotossistema II)</t>
        </is>
      </c>
    </row>
    <row r="1076" ht="22" customHeight="1">
      <c r="A1076" s="12" t="inlineStr">
        <is>
          <t>ALV-1072</t>
        </is>
      </c>
      <c r="B1076" s="11" t="n">
        <v>547</v>
      </c>
      <c r="C1076" s="13" t="inlineStr">
        <is>
          <t>Nº 9019</t>
        </is>
      </c>
      <c r="D1076" s="14" t="inlineStr">
        <is>
          <t>LIMUZINA WG</t>
        </is>
      </c>
      <c r="E1076" s="13" t="inlineStr">
        <is>
          <t>Herbicida</t>
        </is>
      </c>
      <c r="F1076" s="13" t="inlineStr">
        <is>
          <t>Corda-de-viola</t>
        </is>
      </c>
      <c r="G1076" s="13" t="inlineStr">
        <is>
          <t>Ipomoea grandifolia</t>
        </is>
      </c>
      <c r="H1076" s="13" t="inlineStr">
        <is>
          <t>NÃO</t>
        </is>
      </c>
      <c r="I1076" s="15" t="n">
        <v>3</v>
      </c>
      <c r="J1076" s="15" t="n">
        <v>4</v>
      </c>
      <c r="K1076" s="13" t="inlineStr">
        <is>
          <t>L ou kg/ha</t>
        </is>
      </c>
      <c r="L1076" s="15" t="n">
        <v>1</v>
      </c>
      <c r="M1076" s="13" t="inlineStr">
        <is>
          <t>Aplicar conforme monitoramento e estádio recomendado na bula (HRAC Grupo C1 (5) — Inibidores do Fotossistema II)</t>
        </is>
      </c>
    </row>
    <row r="1077" ht="22" customHeight="1">
      <c r="A1077" s="6" t="inlineStr">
        <is>
          <t>ALV-1073</t>
        </is>
      </c>
      <c r="B1077" s="5" t="n">
        <v>548</v>
      </c>
      <c r="C1077" s="7" t="inlineStr">
        <is>
          <t>Nº 11819</t>
        </is>
      </c>
      <c r="D1077" s="8" t="inlineStr">
        <is>
          <t>MANCOZEB 800 WP AGCN 0,200KG AMOSTRA IMP LS</t>
        </is>
      </c>
      <c r="E1077" s="7" t="inlineStr">
        <is>
          <t>Fungicida</t>
        </is>
      </c>
      <c r="F1077" s="7" t="inlineStr">
        <is>
          <t>Ferrugem-asiática</t>
        </is>
      </c>
      <c r="G1077" s="7" t="inlineStr">
        <is>
          <t>Phakopsora pachyrhizi</t>
        </is>
      </c>
      <c r="H1077" s="7" t="inlineStr">
        <is>
          <t>NÃO</t>
        </is>
      </c>
      <c r="I1077" s="17" t="n">
        <v>1.5</v>
      </c>
      <c r="J1077" s="17" t="n">
        <v>2.5</v>
      </c>
      <c r="K1077" s="7" t="inlineStr">
        <is>
          <t>kg/ha</t>
        </is>
      </c>
      <c r="L1077" s="9" t="n">
        <v>1</v>
      </c>
      <c r="M1077" s="7" t="inlineStr">
        <is>
          <t>Aplicar conforme monitoramento e estádio recomendado na bula (FRAC Grupo M03 — Multissítio)</t>
        </is>
      </c>
    </row>
    <row r="1078" ht="22" customHeight="1">
      <c r="A1078" s="12" t="inlineStr">
        <is>
          <t>ALV-1074</t>
        </is>
      </c>
      <c r="B1078" s="11" t="n">
        <v>548</v>
      </c>
      <c r="C1078" s="13" t="inlineStr">
        <is>
          <t>Nº 11819</t>
        </is>
      </c>
      <c r="D1078" s="14" t="inlineStr">
        <is>
          <t>MANCOZEB 800 WP AGCN 0,200KG AMOSTRA IMP LS</t>
        </is>
      </c>
      <c r="E1078" s="13" t="inlineStr">
        <is>
          <t>Fungicida</t>
        </is>
      </c>
      <c r="F1078" s="13" t="inlineStr">
        <is>
          <t>Mancha-alvo</t>
        </is>
      </c>
      <c r="G1078" s="13" t="inlineStr">
        <is>
          <t>Corynespora cassiicola</t>
        </is>
      </c>
      <c r="H1078" s="13" t="inlineStr">
        <is>
          <t>NÃO</t>
        </is>
      </c>
      <c r="I1078" s="18" t="n">
        <v>1.5</v>
      </c>
      <c r="J1078" s="18" t="n">
        <v>2.5</v>
      </c>
      <c r="K1078" s="13" t="inlineStr">
        <is>
          <t>kg/ha</t>
        </is>
      </c>
      <c r="L1078" s="15" t="n">
        <v>1</v>
      </c>
      <c r="M1078" s="13" t="inlineStr">
        <is>
          <t>Aplicar conforme monitoramento e estádio recomendado na bula (FRAC Grupo M03 — Multissítio)</t>
        </is>
      </c>
    </row>
    <row r="1079" ht="22" customHeight="1">
      <c r="A1079" s="6" t="inlineStr">
        <is>
          <t>ALV-1075</t>
        </is>
      </c>
      <c r="B1079" s="5" t="n">
        <v>548</v>
      </c>
      <c r="C1079" s="7" t="inlineStr">
        <is>
          <t>Nº 11819</t>
        </is>
      </c>
      <c r="D1079" s="8" t="inlineStr">
        <is>
          <t>MANCOZEB 800 WP AGCN 0,200KG AMOSTRA IMP LS</t>
        </is>
      </c>
      <c r="E1079" s="7" t="inlineStr">
        <is>
          <t>Fungicida</t>
        </is>
      </c>
      <c r="F1079" s="7" t="inlineStr">
        <is>
          <t>Pinta-preta</t>
        </is>
      </c>
      <c r="G1079" s="7" t="inlineStr">
        <is>
          <t>Alternaria solani</t>
        </is>
      </c>
      <c r="H1079" s="7" t="inlineStr">
        <is>
          <t>NÃO</t>
        </is>
      </c>
      <c r="I1079" s="9" t="n">
        <v>2</v>
      </c>
      <c r="J1079" s="9" t="n">
        <v>3</v>
      </c>
      <c r="K1079" s="7" t="inlineStr">
        <is>
          <t>kg/ha</t>
        </is>
      </c>
      <c r="L1079" s="9" t="n">
        <v>1</v>
      </c>
      <c r="M1079" s="7" t="inlineStr">
        <is>
          <t>Aplicar conforme monitoramento e estádio recomendado na bula (FRAC Grupo M03 — Multissítio)</t>
        </is>
      </c>
    </row>
    <row r="1080" ht="22" customHeight="1">
      <c r="A1080" s="12" t="inlineStr">
        <is>
          <t>ALV-1076</t>
        </is>
      </c>
      <c r="B1080" s="11" t="n">
        <v>549</v>
      </c>
      <c r="C1080" s="13" t="inlineStr">
        <is>
          <t>Nº 16724</t>
        </is>
      </c>
      <c r="D1080" s="14" t="inlineStr">
        <is>
          <t>FLUAZINAM</t>
        </is>
      </c>
      <c r="E1080" s="13" t="inlineStr">
        <is>
          <t>Fungicida</t>
        </is>
      </c>
      <c r="F1080" s="13" t="inlineStr">
        <is>
          <t>Mofo-branco</t>
        </is>
      </c>
      <c r="G1080" s="13" t="inlineStr">
        <is>
          <t>Sclerotinia sclerotiorum</t>
        </is>
      </c>
      <c r="H1080" s="13" t="inlineStr">
        <is>
          <t>NÃO</t>
        </is>
      </c>
      <c r="I1080" s="15" t="n">
        <v>1</v>
      </c>
      <c r="J1080" s="18" t="n">
        <v>1.5</v>
      </c>
      <c r="K1080" s="13" t="inlineStr">
        <is>
          <t>L/ha</t>
        </is>
      </c>
      <c r="L1080" s="15" t="n">
        <v>1</v>
      </c>
      <c r="M1080" s="13" t="inlineStr">
        <is>
          <t>Aplicar conforme monitoramento e estádio recomendado na bula (FRAC Grupo 29)</t>
        </is>
      </c>
    </row>
    <row r="1081" ht="22" customHeight="1">
      <c r="A1081" s="6" t="inlineStr">
        <is>
          <t>ALV-1077</t>
        </is>
      </c>
      <c r="B1081" s="5" t="n">
        <v>549</v>
      </c>
      <c r="C1081" s="7" t="inlineStr">
        <is>
          <t>Nº 16724</t>
        </is>
      </c>
      <c r="D1081" s="8" t="inlineStr">
        <is>
          <t>FLUAZINAM</t>
        </is>
      </c>
      <c r="E1081" s="7" t="inlineStr">
        <is>
          <t>Fungicida</t>
        </is>
      </c>
      <c r="F1081" s="7" t="inlineStr">
        <is>
          <t>Requeima</t>
        </is>
      </c>
      <c r="G1081" s="7" t="inlineStr">
        <is>
          <t>Phytophthora infestans</t>
        </is>
      </c>
      <c r="H1081" s="7" t="inlineStr">
        <is>
          <t>NÃO</t>
        </is>
      </c>
      <c r="I1081" s="17" t="n">
        <v>0.75</v>
      </c>
      <c r="J1081" s="9" t="n">
        <v>1</v>
      </c>
      <c r="K1081" s="7" t="inlineStr">
        <is>
          <t>L/ha</t>
        </is>
      </c>
      <c r="L1081" s="9" t="n">
        <v>1</v>
      </c>
      <c r="M1081" s="7" t="inlineStr">
        <is>
          <t>Aplicar conforme monitoramento e estádio recomendado na bula (FRAC Grupo 29)</t>
        </is>
      </c>
    </row>
    <row r="1082" ht="22" customHeight="1">
      <c r="A1082" s="12" t="inlineStr">
        <is>
          <t>ALV-1078</t>
        </is>
      </c>
      <c r="B1082" s="11" t="n">
        <v>550</v>
      </c>
      <c r="C1082" s="13" t="inlineStr">
        <is>
          <t>Nº 24922</t>
        </is>
      </c>
      <c r="D1082" s="14" t="inlineStr">
        <is>
          <t>CEFANOL GOLD</t>
        </is>
      </c>
      <c r="E1082" s="13" t="inlineStr">
        <is>
          <t>Inseticida</t>
        </is>
      </c>
      <c r="F1082" s="13" t="inlineStr">
        <is>
          <t>Percevejo-marrom</t>
        </is>
      </c>
      <c r="G1082" s="13" t="inlineStr">
        <is>
          <t>Euschistus heros</t>
        </is>
      </c>
      <c r="H1082" s="13" t="inlineStr">
        <is>
          <t>NÃO</t>
        </is>
      </c>
      <c r="I1082" s="18" t="n">
        <v>0.8</v>
      </c>
      <c r="J1082" s="18" t="n">
        <v>1.2</v>
      </c>
      <c r="K1082" s="13" t="inlineStr">
        <is>
          <t>kg/ha</t>
        </is>
      </c>
      <c r="L1082" s="15" t="n">
        <v>1</v>
      </c>
      <c r="M1082" s="13" t="inlineStr">
        <is>
          <t>Aplicar conforme monitoramento e estádio recomendado na bula (IRAC Grupo 1B)</t>
        </is>
      </c>
    </row>
    <row r="1083" ht="22" customHeight="1">
      <c r="A1083" s="6" t="inlineStr">
        <is>
          <t>ALV-1079</t>
        </is>
      </c>
      <c r="B1083" s="5" t="n">
        <v>550</v>
      </c>
      <c r="C1083" s="7" t="inlineStr">
        <is>
          <t>Nº 24922</t>
        </is>
      </c>
      <c r="D1083" s="8" t="inlineStr">
        <is>
          <t>CEFANOL GOLD</t>
        </is>
      </c>
      <c r="E1083" s="7" t="inlineStr">
        <is>
          <t>Inseticida</t>
        </is>
      </c>
      <c r="F1083" s="7" t="inlineStr">
        <is>
          <t>Mosca-branca</t>
        </is>
      </c>
      <c r="G1083" s="7" t="inlineStr">
        <is>
          <t>Bemisia tabaci raça B</t>
        </is>
      </c>
      <c r="H1083" s="7" t="inlineStr">
        <is>
          <t>NÃO</t>
        </is>
      </c>
      <c r="I1083" s="17" t="n">
        <v>0.8</v>
      </c>
      <c r="J1083" s="9" t="n">
        <v>1</v>
      </c>
      <c r="K1083" s="7" t="inlineStr">
        <is>
          <t>kg/ha</t>
        </is>
      </c>
      <c r="L1083" s="9" t="n">
        <v>1</v>
      </c>
      <c r="M1083" s="7" t="inlineStr">
        <is>
          <t>Aplicar conforme monitoramento e estádio recomendado na bula (IRAC Grupo 1B)</t>
        </is>
      </c>
    </row>
    <row r="1084" ht="22" customHeight="1">
      <c r="A1084" s="12" t="inlineStr">
        <is>
          <t>ALV-1080</t>
        </is>
      </c>
      <c r="B1084" s="11" t="n">
        <v>550</v>
      </c>
      <c r="C1084" s="13" t="inlineStr">
        <is>
          <t>Nº 24922</t>
        </is>
      </c>
      <c r="D1084" s="14" t="inlineStr">
        <is>
          <t>CEFANOL GOLD</t>
        </is>
      </c>
      <c r="E1084" s="13" t="inlineStr">
        <is>
          <t>Inseticida</t>
        </is>
      </c>
      <c r="F1084" s="13" t="inlineStr">
        <is>
          <t>Tripes</t>
        </is>
      </c>
      <c r="G1084" s="13" t="inlineStr">
        <is>
          <t>Caliothrips phaseoli</t>
        </is>
      </c>
      <c r="H1084" s="13" t="inlineStr">
        <is>
          <t>NÃO</t>
        </is>
      </c>
      <c r="I1084" s="18" t="n">
        <v>0.5</v>
      </c>
      <c r="J1084" s="18" t="n">
        <v>0.8</v>
      </c>
      <c r="K1084" s="13" t="inlineStr">
        <is>
          <t>kg/ha</t>
        </is>
      </c>
      <c r="L1084" s="15" t="n">
        <v>1</v>
      </c>
      <c r="M1084" s="13" t="inlineStr">
        <is>
          <t>Aplicar conforme monitoramento e estádio recomendado na bula (IRAC Grupo 1B)</t>
        </is>
      </c>
    </row>
    <row r="1085" ht="22" customHeight="1">
      <c r="A1085" s="6" t="inlineStr">
        <is>
          <t>ALV-1081</t>
        </is>
      </c>
      <c r="B1085" s="5" t="n">
        <v>551</v>
      </c>
      <c r="C1085" s="7" t="inlineStr">
        <is>
          <t>SIPEAGRO (UF-XXXXX)</t>
        </is>
      </c>
      <c r="D1085" s="8" t="inlineStr">
        <is>
          <t>FERTILIZANTE MINERAL MISTO 20-00-20</t>
        </is>
      </c>
      <c r="E1085" s="7" t="inlineStr">
        <is>
          <t>Fertilizante Mineral Misto (NPK / NP)</t>
        </is>
      </c>
      <c r="F1085" s="7" t="inlineStr">
        <is>
          <t>Nutrição e Correção de Deficiência Mineral</t>
        </is>
      </c>
      <c r="G1085" s="7" t="inlineStr">
        <is>
          <t>Nutrição Vegetal</t>
        </is>
      </c>
      <c r="H1085" s="7" t="inlineStr">
        <is>
          <t>NÃO</t>
        </is>
      </c>
      <c r="I1085" s="9" t="n">
        <v>1</v>
      </c>
      <c r="J1085" s="9" t="n">
        <v>250</v>
      </c>
      <c r="K1085" s="7" t="inlineStr">
        <is>
          <t>kg ou L/ha</t>
        </is>
      </c>
      <c r="L1085" s="9" t="n">
        <v>1</v>
      </c>
      <c r="M1085" s="7" t="inlineStr">
        <is>
          <t>Aplicar conforme monitoramento e estádio recomendado na bula (Nutrição Vegetal SIPEAGRO)</t>
        </is>
      </c>
    </row>
    <row r="1086" ht="22" customHeight="1">
      <c r="A1086" s="12" t="inlineStr">
        <is>
          <t>ALV-1082</t>
        </is>
      </c>
      <c r="B1086" s="11" t="n">
        <v>552</v>
      </c>
      <c r="C1086" s="13" t="inlineStr">
        <is>
          <t>Nº 15925</t>
        </is>
      </c>
      <c r="D1086" s="14" t="inlineStr">
        <is>
          <t>CHETTAK GOLD 0,200KG (IMP) AMOSTRA</t>
        </is>
      </c>
      <c r="E1086" s="13" t="inlineStr">
        <is>
          <t>Inseticida</t>
        </is>
      </c>
      <c r="F1086" s="13" t="inlineStr">
        <is>
          <t>Percevejo-marrom</t>
        </is>
      </c>
      <c r="G1086" s="13" t="inlineStr">
        <is>
          <t>Euschistus heros</t>
        </is>
      </c>
      <c r="H1086" s="13" t="inlineStr">
        <is>
          <t>NÃO</t>
        </is>
      </c>
      <c r="I1086" s="18" t="n">
        <v>0.8</v>
      </c>
      <c r="J1086" s="18" t="n">
        <v>1.2</v>
      </c>
      <c r="K1086" s="13" t="inlineStr">
        <is>
          <t>kg/ha</t>
        </is>
      </c>
      <c r="L1086" s="15" t="n">
        <v>1</v>
      </c>
      <c r="M1086" s="13" t="inlineStr">
        <is>
          <t>Aplicar conforme monitoramento e estádio recomendado na bula (IRAC Grupo 1B)</t>
        </is>
      </c>
    </row>
    <row r="1087" ht="22" customHeight="1">
      <c r="A1087" s="6" t="inlineStr">
        <is>
          <t>ALV-1083</t>
        </is>
      </c>
      <c r="B1087" s="5" t="n">
        <v>552</v>
      </c>
      <c r="C1087" s="7" t="inlineStr">
        <is>
          <t>Nº 15925</t>
        </is>
      </c>
      <c r="D1087" s="8" t="inlineStr">
        <is>
          <t>CHETTAK GOLD 0,200KG (IMP) AMOSTRA</t>
        </is>
      </c>
      <c r="E1087" s="7" t="inlineStr">
        <is>
          <t>Inseticida</t>
        </is>
      </c>
      <c r="F1087" s="7" t="inlineStr">
        <is>
          <t>Mosca-branca</t>
        </is>
      </c>
      <c r="G1087" s="7" t="inlineStr">
        <is>
          <t>Bemisia tabaci raça B</t>
        </is>
      </c>
      <c r="H1087" s="7" t="inlineStr">
        <is>
          <t>NÃO</t>
        </is>
      </c>
      <c r="I1087" s="17" t="n">
        <v>0.8</v>
      </c>
      <c r="J1087" s="9" t="n">
        <v>1</v>
      </c>
      <c r="K1087" s="7" t="inlineStr">
        <is>
          <t>kg/ha</t>
        </is>
      </c>
      <c r="L1087" s="9" t="n">
        <v>1</v>
      </c>
      <c r="M1087" s="7" t="inlineStr">
        <is>
          <t>Aplicar conforme monitoramento e estádio recomendado na bula (IRAC Grupo 1B)</t>
        </is>
      </c>
    </row>
    <row r="1088" ht="22" customHeight="1">
      <c r="A1088" s="12" t="inlineStr">
        <is>
          <t>ALV-1084</t>
        </is>
      </c>
      <c r="B1088" s="11" t="n">
        <v>552</v>
      </c>
      <c r="C1088" s="13" t="inlineStr">
        <is>
          <t>Nº 15925</t>
        </is>
      </c>
      <c r="D1088" s="14" t="inlineStr">
        <is>
          <t>CHETTAK GOLD 0,200KG (IMP) AMOSTRA</t>
        </is>
      </c>
      <c r="E1088" s="13" t="inlineStr">
        <is>
          <t>Inseticida</t>
        </is>
      </c>
      <c r="F1088" s="13" t="inlineStr">
        <is>
          <t>Tripes</t>
        </is>
      </c>
      <c r="G1088" s="13" t="inlineStr">
        <is>
          <t>Caliothrips phaseoli</t>
        </is>
      </c>
      <c r="H1088" s="13" t="inlineStr">
        <is>
          <t>NÃO</t>
        </is>
      </c>
      <c r="I1088" s="18" t="n">
        <v>0.5</v>
      </c>
      <c r="J1088" s="18" t="n">
        <v>0.8</v>
      </c>
      <c r="K1088" s="13" t="inlineStr">
        <is>
          <t>kg/ha</t>
        </is>
      </c>
      <c r="L1088" s="15" t="n">
        <v>1</v>
      </c>
      <c r="M1088" s="13" t="inlineStr">
        <is>
          <t>Aplicar conforme monitoramento e estádio recomendado na bula (IRAC Grupo 1B)</t>
        </is>
      </c>
    </row>
    <row r="1089" ht="22" customHeight="1">
      <c r="A1089" s="6" t="inlineStr">
        <is>
          <t>ALV-1085</t>
        </is>
      </c>
      <c r="B1089" s="5" t="n">
        <v>553</v>
      </c>
      <c r="C1089" s="7" t="inlineStr">
        <is>
          <t>Nº 31618</t>
        </is>
      </c>
      <c r="D1089" s="8" t="inlineStr">
        <is>
          <t>ASSARIS</t>
        </is>
      </c>
      <c r="E1089" s="7" t="inlineStr">
        <is>
          <t>Inseticida</t>
        </is>
      </c>
      <c r="F1089" s="7" t="inlineStr">
        <is>
          <t>Lagarta-helicoverpa</t>
        </is>
      </c>
      <c r="G1089" s="7" t="inlineStr">
        <is>
          <t>Helicoverpa armigera</t>
        </is>
      </c>
      <c r="H1089" s="7" t="inlineStr">
        <is>
          <t>NÃO</t>
        </is>
      </c>
      <c r="I1089" s="17" t="n">
        <v>0.2</v>
      </c>
      <c r="J1089" s="17" t="n">
        <v>0.5</v>
      </c>
      <c r="K1089" s="7" t="inlineStr">
        <is>
          <t>kg ou L/ha</t>
        </is>
      </c>
      <c r="L1089" s="9" t="n">
        <v>1</v>
      </c>
      <c r="M1089" s="7" t="inlineStr">
        <is>
          <t>Aplicar conforme monitoramento e estádio recomendado na bula (IRAC Grupo 1A)</t>
        </is>
      </c>
    </row>
    <row r="1090" ht="22" customHeight="1">
      <c r="A1090" s="12" t="inlineStr">
        <is>
          <t>ALV-1086</t>
        </is>
      </c>
      <c r="B1090" s="11" t="n">
        <v>553</v>
      </c>
      <c r="C1090" s="13" t="inlineStr">
        <is>
          <t>Nº 31618</t>
        </is>
      </c>
      <c r="D1090" s="14" t="inlineStr">
        <is>
          <t>ASSARIS</t>
        </is>
      </c>
      <c r="E1090" s="13" t="inlineStr">
        <is>
          <t>Inseticida</t>
        </is>
      </c>
      <c r="F1090" s="13" t="inlineStr">
        <is>
          <t>Lagarta-do-cartucho</t>
        </is>
      </c>
      <c r="G1090" s="13" t="inlineStr">
        <is>
          <t>Spodoptera frugiperda</t>
        </is>
      </c>
      <c r="H1090" s="13" t="inlineStr">
        <is>
          <t>NÃO</t>
        </is>
      </c>
      <c r="I1090" s="18" t="n">
        <v>0.15</v>
      </c>
      <c r="J1090" s="18" t="n">
        <v>0.3</v>
      </c>
      <c r="K1090" s="13" t="inlineStr">
        <is>
          <t>kg ou L/ha</t>
        </is>
      </c>
      <c r="L1090" s="15" t="n">
        <v>1</v>
      </c>
      <c r="M1090" s="13" t="inlineStr">
        <is>
          <t>Aplicar conforme monitoramento e estádio recomendado na bula (IRAC Grupo 1A)</t>
        </is>
      </c>
    </row>
    <row r="1091" ht="22" customHeight="1">
      <c r="A1091" s="6" t="inlineStr">
        <is>
          <t>ALV-1087</t>
        </is>
      </c>
      <c r="B1091" s="5" t="n">
        <v>553</v>
      </c>
      <c r="C1091" s="7" t="inlineStr">
        <is>
          <t>Nº 31618</t>
        </is>
      </c>
      <c r="D1091" s="8" t="inlineStr">
        <is>
          <t>ASSARIS</t>
        </is>
      </c>
      <c r="E1091" s="7" t="inlineStr">
        <is>
          <t>Inseticida</t>
        </is>
      </c>
      <c r="F1091" s="7" t="inlineStr">
        <is>
          <t>Lagarta-da-soja</t>
        </is>
      </c>
      <c r="G1091" s="7" t="inlineStr">
        <is>
          <t>Anticarsia gemmatalis</t>
        </is>
      </c>
      <c r="H1091" s="7" t="inlineStr">
        <is>
          <t>NÃO</t>
        </is>
      </c>
      <c r="I1091" s="17" t="n">
        <v>0.1</v>
      </c>
      <c r="J1091" s="17" t="n">
        <v>0.2</v>
      </c>
      <c r="K1091" s="7" t="inlineStr">
        <is>
          <t>kg ou L/ha</t>
        </is>
      </c>
      <c r="L1091" s="9" t="n">
        <v>1</v>
      </c>
      <c r="M1091" s="7" t="inlineStr">
        <is>
          <t>Aplicar conforme monitoramento e estádio recomendado na bula (IRAC Grupo 1A)</t>
        </is>
      </c>
    </row>
    <row r="1092" ht="22" customHeight="1">
      <c r="A1092" s="12" t="inlineStr">
        <is>
          <t>ALV-1088</t>
        </is>
      </c>
      <c r="B1092" s="11" t="n">
        <v>554</v>
      </c>
      <c r="C1092" s="13" t="inlineStr">
        <is>
          <t>SIPEAGRO (UF-XXXXX)</t>
        </is>
      </c>
      <c r="D1092" s="14" t="inlineStr">
        <is>
          <t>AGCN POTASSIO</t>
        </is>
      </c>
      <c r="E1092" s="13" t="inlineStr">
        <is>
          <t>Fertilizante Foliar / Micronutrientes</t>
        </is>
      </c>
      <c r="F1092" s="13" t="inlineStr">
        <is>
          <t>Nutrição e Correção de Deficiência Mineral</t>
        </is>
      </c>
      <c r="G1092" s="13" t="inlineStr">
        <is>
          <t>Nutrição Vegetal</t>
        </is>
      </c>
      <c r="H1092" s="13" t="inlineStr">
        <is>
          <t>NÃO</t>
        </is>
      </c>
      <c r="I1092" s="15" t="n">
        <v>1</v>
      </c>
      <c r="J1092" s="15" t="n">
        <v>250</v>
      </c>
      <c r="K1092" s="13" t="inlineStr">
        <is>
          <t>kg ou L/ha</t>
        </is>
      </c>
      <c r="L1092" s="15" t="n">
        <v>1</v>
      </c>
      <c r="M1092" s="13" t="inlineStr">
        <is>
          <t>Aplicar conforme monitoramento e estádio recomendado na bula (Nutrição Vegetal SIPEAGRO)</t>
        </is>
      </c>
    </row>
    <row r="1093" ht="22" customHeight="1">
      <c r="A1093" s="6" t="inlineStr">
        <is>
          <t>ALV-1089</t>
        </is>
      </c>
      <c r="B1093" s="5" t="n">
        <v>555</v>
      </c>
      <c r="C1093" s="7" t="inlineStr">
        <is>
          <t>ISENTO (ATO 104/2017)</t>
        </is>
      </c>
      <c r="D1093" s="8" t="inlineStr">
        <is>
          <t>AGCN SAFE SPRAY</t>
        </is>
      </c>
      <c r="E1093" s="7" t="inlineStr">
        <is>
          <t>Adjuvante Espalhante / Surfactante / Redutor de pH e Deriva</t>
        </is>
      </c>
      <c r="F1093" s="7" t="inlineStr">
        <is>
          <t>Otimização de Gota, Espalhamento e Redução de Deriva</t>
        </is>
      </c>
      <c r="G1093" s="7" t="inlineStr">
        <is>
          <t>Tecnologia de Aplicação</t>
        </is>
      </c>
      <c r="H1093" s="7" t="inlineStr">
        <is>
          <t>NÃO</t>
        </is>
      </c>
      <c r="I1093" s="17" t="n">
        <v>0.25</v>
      </c>
      <c r="J1093" s="9" t="n">
        <v>1</v>
      </c>
      <c r="K1093" s="7" t="inlineStr">
        <is>
          <t>% v/v na calda</t>
        </is>
      </c>
      <c r="L1093" s="9" t="n">
        <v>1</v>
      </c>
      <c r="M1093" s="7" t="inlineStr">
        <is>
          <t>Aplicar conforme monitoramento e estádio recomendado na bula (Adjuvante Tecnológico de Pulverização)</t>
        </is>
      </c>
    </row>
    <row r="1094" ht="22" customHeight="1">
      <c r="A1094" s="12" t="inlineStr">
        <is>
          <t>ALV-1090</t>
        </is>
      </c>
      <c r="B1094" s="11" t="n">
        <v>556</v>
      </c>
      <c r="C1094" s="13" t="inlineStr">
        <is>
          <t>Nº 10018</t>
        </is>
      </c>
      <c r="D1094" s="14" t="inlineStr">
        <is>
          <t>ATRAZINA</t>
        </is>
      </c>
      <c r="E1094" s="13" t="inlineStr">
        <is>
          <t>Herbicida</t>
        </is>
      </c>
      <c r="F1094" s="13" t="inlineStr">
        <is>
          <t>Picão-preto</t>
        </is>
      </c>
      <c r="G1094" s="13" t="inlineStr">
        <is>
          <t>Bidens pilosa</t>
        </is>
      </c>
      <c r="H1094" s="13" t="inlineStr">
        <is>
          <t>SIM (*)</t>
        </is>
      </c>
      <c r="I1094" s="18" t="n">
        <v>2.5</v>
      </c>
      <c r="J1094" s="15" t="n">
        <v>4</v>
      </c>
      <c r="K1094" s="13" t="inlineStr">
        <is>
          <t>L ou kg/ha</t>
        </is>
      </c>
      <c r="L1094" s="15" t="n">
        <v>1</v>
      </c>
      <c r="M1094" s="13" t="inlineStr">
        <is>
          <t>Aplicar conforme monitoramento e estádio recomendado na bula (HRAC Grupo C1 (5) — Inibidores do Fotossistema II)</t>
        </is>
      </c>
    </row>
    <row r="1095" ht="22" customHeight="1">
      <c r="A1095" s="6" t="inlineStr">
        <is>
          <t>ALV-1091</t>
        </is>
      </c>
      <c r="B1095" s="5" t="n">
        <v>556</v>
      </c>
      <c r="C1095" s="7" t="inlineStr">
        <is>
          <t>Nº 10018</t>
        </is>
      </c>
      <c r="D1095" s="8" t="inlineStr">
        <is>
          <t>ATRAZINA</t>
        </is>
      </c>
      <c r="E1095" s="7" t="inlineStr">
        <is>
          <t>Herbicida</t>
        </is>
      </c>
      <c r="F1095" s="7" t="inlineStr">
        <is>
          <t>Caruru</t>
        </is>
      </c>
      <c r="G1095" s="7" t="inlineStr">
        <is>
          <t>Amaranthus viridis</t>
        </is>
      </c>
      <c r="H1095" s="7" t="inlineStr">
        <is>
          <t>SIM (*)</t>
        </is>
      </c>
      <c r="I1095" s="17" t="n">
        <v>2.5</v>
      </c>
      <c r="J1095" s="17" t="n">
        <v>3.5</v>
      </c>
      <c r="K1095" s="7" t="inlineStr">
        <is>
          <t>L ou kg/ha</t>
        </is>
      </c>
      <c r="L1095" s="9" t="n">
        <v>1</v>
      </c>
      <c r="M1095" s="7" t="inlineStr">
        <is>
          <t>Aplicar conforme monitoramento e estádio recomendado na bula (HRAC Grupo C1 (5) — Inibidores do Fotossistema II)</t>
        </is>
      </c>
    </row>
    <row r="1096" ht="22" customHeight="1">
      <c r="A1096" s="12" t="inlineStr">
        <is>
          <t>ALV-1092</t>
        </is>
      </c>
      <c r="B1096" s="11" t="n">
        <v>556</v>
      </c>
      <c r="C1096" s="13" t="inlineStr">
        <is>
          <t>Nº 10018</t>
        </is>
      </c>
      <c r="D1096" s="14" t="inlineStr">
        <is>
          <t>ATRAZINA</t>
        </is>
      </c>
      <c r="E1096" s="13" t="inlineStr">
        <is>
          <t>Herbicida</t>
        </is>
      </c>
      <c r="F1096" s="13" t="inlineStr">
        <is>
          <t>Corda-de-viola</t>
        </is>
      </c>
      <c r="G1096" s="13" t="inlineStr">
        <is>
          <t>Ipomoea grandifolia</t>
        </is>
      </c>
      <c r="H1096" s="13" t="inlineStr">
        <is>
          <t>NÃO</t>
        </is>
      </c>
      <c r="I1096" s="15" t="n">
        <v>3</v>
      </c>
      <c r="J1096" s="15" t="n">
        <v>4</v>
      </c>
      <c r="K1096" s="13" t="inlineStr">
        <is>
          <t>L ou kg/ha</t>
        </is>
      </c>
      <c r="L1096" s="15" t="n">
        <v>1</v>
      </c>
      <c r="M1096" s="13" t="inlineStr">
        <is>
          <t>Aplicar conforme monitoramento e estádio recomendado na bula (HRAC Grupo C1 (5) — Inibidores do Fotossistema II)</t>
        </is>
      </c>
    </row>
    <row r="1097" ht="22" customHeight="1">
      <c r="A1097" s="6" t="inlineStr">
        <is>
          <t>ALV-1093</t>
        </is>
      </c>
      <c r="B1097" s="5" t="n">
        <v>557</v>
      </c>
      <c r="C1097" s="7" t="inlineStr">
        <is>
          <t>Nº 10018</t>
        </is>
      </c>
      <c r="D1097" s="8" t="inlineStr">
        <is>
          <t>ATRAZINA</t>
        </is>
      </c>
      <c r="E1097" s="7" t="inlineStr">
        <is>
          <t>Herbicida</t>
        </is>
      </c>
      <c r="F1097" s="7" t="inlineStr">
        <is>
          <t>Picão-preto</t>
        </is>
      </c>
      <c r="G1097" s="7" t="inlineStr">
        <is>
          <t>Bidens pilosa</t>
        </is>
      </c>
      <c r="H1097" s="7" t="inlineStr">
        <is>
          <t>SIM (*)</t>
        </is>
      </c>
      <c r="I1097" s="17" t="n">
        <v>2.5</v>
      </c>
      <c r="J1097" s="9" t="n">
        <v>4</v>
      </c>
      <c r="K1097" s="7" t="inlineStr">
        <is>
          <t>L ou kg/ha</t>
        </is>
      </c>
      <c r="L1097" s="9" t="n">
        <v>1</v>
      </c>
      <c r="M1097" s="7" t="inlineStr">
        <is>
          <t>Aplicar conforme monitoramento e estádio recomendado na bula (HRAC Grupo C1 (5) — Inibidores do Fotossistema II)</t>
        </is>
      </c>
    </row>
    <row r="1098" ht="22" customHeight="1">
      <c r="A1098" s="12" t="inlineStr">
        <is>
          <t>ALV-1094</t>
        </is>
      </c>
      <c r="B1098" s="11" t="n">
        <v>557</v>
      </c>
      <c r="C1098" s="13" t="inlineStr">
        <is>
          <t>Nº 10018</t>
        </is>
      </c>
      <c r="D1098" s="14" t="inlineStr">
        <is>
          <t>ATRAZINA</t>
        </is>
      </c>
      <c r="E1098" s="13" t="inlineStr">
        <is>
          <t>Herbicida</t>
        </is>
      </c>
      <c r="F1098" s="13" t="inlineStr">
        <is>
          <t>Caruru</t>
        </is>
      </c>
      <c r="G1098" s="13" t="inlineStr">
        <is>
          <t>Amaranthus viridis</t>
        </is>
      </c>
      <c r="H1098" s="13" t="inlineStr">
        <is>
          <t>SIM (*)</t>
        </is>
      </c>
      <c r="I1098" s="18" t="n">
        <v>2.5</v>
      </c>
      <c r="J1098" s="18" t="n">
        <v>3.5</v>
      </c>
      <c r="K1098" s="13" t="inlineStr">
        <is>
          <t>L ou kg/ha</t>
        </is>
      </c>
      <c r="L1098" s="15" t="n">
        <v>1</v>
      </c>
      <c r="M1098" s="13" t="inlineStr">
        <is>
          <t>Aplicar conforme monitoramento e estádio recomendado na bula (HRAC Grupo C1 (5) — Inibidores do Fotossistema II)</t>
        </is>
      </c>
    </row>
    <row r="1099" ht="22" customHeight="1">
      <c r="A1099" s="6" t="inlineStr">
        <is>
          <t>ALV-1095</t>
        </is>
      </c>
      <c r="B1099" s="5" t="n">
        <v>557</v>
      </c>
      <c r="C1099" s="7" t="inlineStr">
        <is>
          <t>Nº 10018</t>
        </is>
      </c>
      <c r="D1099" s="8" t="inlineStr">
        <is>
          <t>ATRAZINA</t>
        </is>
      </c>
      <c r="E1099" s="7" t="inlineStr">
        <is>
          <t>Herbicida</t>
        </is>
      </c>
      <c r="F1099" s="7" t="inlineStr">
        <is>
          <t>Corda-de-viola</t>
        </is>
      </c>
      <c r="G1099" s="7" t="inlineStr">
        <is>
          <t>Ipomoea grandifolia</t>
        </is>
      </c>
      <c r="H1099" s="7" t="inlineStr">
        <is>
          <t>NÃO</t>
        </is>
      </c>
      <c r="I1099" s="9" t="n">
        <v>3</v>
      </c>
      <c r="J1099" s="9" t="n">
        <v>4</v>
      </c>
      <c r="K1099" s="7" t="inlineStr">
        <is>
          <t>L ou kg/ha</t>
        </is>
      </c>
      <c r="L1099" s="9" t="n">
        <v>1</v>
      </c>
      <c r="M1099" s="7" t="inlineStr">
        <is>
          <t>Aplicar conforme monitoramento e estádio recomendado na bula (HRAC Grupo C1 (5) — Inibidores do Fotossistema II)</t>
        </is>
      </c>
    </row>
    <row r="1100" ht="22" customHeight="1">
      <c r="A1100" s="12" t="inlineStr">
        <is>
          <t>ALV-1096</t>
        </is>
      </c>
      <c r="B1100" s="11" t="n">
        <v>558</v>
      </c>
      <c r="C1100" s="13" t="inlineStr">
        <is>
          <t>Nº 5217</t>
        </is>
      </c>
      <c r="D1100" s="14" t="inlineStr">
        <is>
          <t>HERBIZINA PLUS</t>
        </is>
      </c>
      <c r="E1100" s="13" t="inlineStr">
        <is>
          <t>Herbicida</t>
        </is>
      </c>
      <c r="F1100" s="13" t="inlineStr">
        <is>
          <t>Picão-preto</t>
        </is>
      </c>
      <c r="G1100" s="13" t="inlineStr">
        <is>
          <t>Bidens pilosa</t>
        </is>
      </c>
      <c r="H1100" s="13" t="inlineStr">
        <is>
          <t>SIM (*)</t>
        </is>
      </c>
      <c r="I1100" s="18" t="n">
        <v>2.5</v>
      </c>
      <c r="J1100" s="15" t="n">
        <v>4</v>
      </c>
      <c r="K1100" s="13" t="inlineStr">
        <is>
          <t>L ou kg/ha</t>
        </is>
      </c>
      <c r="L1100" s="15" t="n">
        <v>1</v>
      </c>
      <c r="M1100" s="13" t="inlineStr">
        <is>
          <t>Aplicar conforme monitoramento e estádio recomendado na bula (HRAC Grupo C1 (5) — Inibidores do Fotossistema II)</t>
        </is>
      </c>
    </row>
    <row r="1101" ht="22" customHeight="1">
      <c r="A1101" s="6" t="inlineStr">
        <is>
          <t>ALV-1097</t>
        </is>
      </c>
      <c r="B1101" s="5" t="n">
        <v>558</v>
      </c>
      <c r="C1101" s="7" t="inlineStr">
        <is>
          <t>Nº 5217</t>
        </is>
      </c>
      <c r="D1101" s="8" t="inlineStr">
        <is>
          <t>HERBIZINA PLUS</t>
        </is>
      </c>
      <c r="E1101" s="7" t="inlineStr">
        <is>
          <t>Herbicida</t>
        </is>
      </c>
      <c r="F1101" s="7" t="inlineStr">
        <is>
          <t>Caruru</t>
        </is>
      </c>
      <c r="G1101" s="7" t="inlineStr">
        <is>
          <t>Amaranthus viridis</t>
        </is>
      </c>
      <c r="H1101" s="7" t="inlineStr">
        <is>
          <t>SIM (*)</t>
        </is>
      </c>
      <c r="I1101" s="17" t="n">
        <v>2.5</v>
      </c>
      <c r="J1101" s="17" t="n">
        <v>3.5</v>
      </c>
      <c r="K1101" s="7" t="inlineStr">
        <is>
          <t>L ou kg/ha</t>
        </is>
      </c>
      <c r="L1101" s="9" t="n">
        <v>1</v>
      </c>
      <c r="M1101" s="7" t="inlineStr">
        <is>
          <t>Aplicar conforme monitoramento e estádio recomendado na bula (HRAC Grupo C1 (5) — Inibidores do Fotossistema II)</t>
        </is>
      </c>
    </row>
    <row r="1102" ht="22" customHeight="1">
      <c r="A1102" s="12" t="inlineStr">
        <is>
          <t>ALV-1098</t>
        </is>
      </c>
      <c r="B1102" s="11" t="n">
        <v>558</v>
      </c>
      <c r="C1102" s="13" t="inlineStr">
        <is>
          <t>Nº 5217</t>
        </is>
      </c>
      <c r="D1102" s="14" t="inlineStr">
        <is>
          <t>HERBIZINA PLUS</t>
        </is>
      </c>
      <c r="E1102" s="13" t="inlineStr">
        <is>
          <t>Herbicida</t>
        </is>
      </c>
      <c r="F1102" s="13" t="inlineStr">
        <is>
          <t>Corda-de-viola</t>
        </is>
      </c>
      <c r="G1102" s="13" t="inlineStr">
        <is>
          <t>Ipomoea grandifolia</t>
        </is>
      </c>
      <c r="H1102" s="13" t="inlineStr">
        <is>
          <t>NÃO</t>
        </is>
      </c>
      <c r="I1102" s="15" t="n">
        <v>3</v>
      </c>
      <c r="J1102" s="15" t="n">
        <v>4</v>
      </c>
      <c r="K1102" s="13" t="inlineStr">
        <is>
          <t>L ou kg/ha</t>
        </is>
      </c>
      <c r="L1102" s="15" t="n">
        <v>1</v>
      </c>
      <c r="M1102" s="13" t="inlineStr">
        <is>
          <t>Aplicar conforme monitoramento e estádio recomendado na bula (HRAC Grupo C1 (5) — Inibidores do Fotossistema II)</t>
        </is>
      </c>
    </row>
    <row r="1103" ht="22" customHeight="1">
      <c r="A1103" s="6" t="inlineStr">
        <is>
          <t>ALV-1099</t>
        </is>
      </c>
      <c r="B1103" s="5" t="n">
        <v>559</v>
      </c>
      <c r="C1103" s="7" t="inlineStr">
        <is>
          <t>SIPEAGRO (UF-XXXXX)</t>
        </is>
      </c>
      <c r="D1103" s="8" t="inlineStr">
        <is>
          <t>BENTONITA 90%S - GRANULADO - 1.250 KG</t>
        </is>
      </c>
      <c r="E1103" s="7" t="inlineStr">
        <is>
          <t>Condicionador / Fonte Mineral de Enxofre (Enxofre + Bentonita)</t>
        </is>
      </c>
      <c r="F1103" s="7" t="inlineStr">
        <is>
          <t>Correção de Acidez / Condicionamento de Perfil de Solo</t>
        </is>
      </c>
      <c r="G1103" s="7" t="inlineStr">
        <is>
          <t>Solo Agrícola</t>
        </is>
      </c>
      <c r="H1103" s="7" t="inlineStr">
        <is>
          <t>NÃO</t>
        </is>
      </c>
      <c r="I1103" s="9" t="n">
        <v>500</v>
      </c>
      <c r="J1103" s="9" t="n">
        <v>3000</v>
      </c>
      <c r="K1103" s="7" t="inlineStr">
        <is>
          <t>kg/ha</t>
        </is>
      </c>
      <c r="L1103" s="9" t="n">
        <v>1</v>
      </c>
      <c r="M1103" s="7" t="inlineStr">
        <is>
          <t>Aplicar conforme monitoramento e estádio recomendado na bula (Correção Química de Solo)</t>
        </is>
      </c>
    </row>
    <row r="1104" ht="22" customHeight="1">
      <c r="A1104" s="12" t="inlineStr">
        <is>
          <t>ALV-1100</t>
        </is>
      </c>
      <c r="B1104" s="11" t="n">
        <v>560</v>
      </c>
      <c r="C1104" s="13" t="inlineStr">
        <is>
          <t>Nº 12123</t>
        </is>
      </c>
      <c r="D1104" s="14" t="inlineStr">
        <is>
          <t>PYRIPROXYFEN 100 EC AGCN 0,200L AMOSTRA</t>
        </is>
      </c>
      <c r="E1104" s="13" t="inlineStr">
        <is>
          <t>Inseticida</t>
        </is>
      </c>
      <c r="F1104" s="13" t="inlineStr">
        <is>
          <t>Mosca-branca</t>
        </is>
      </c>
      <c r="G1104" s="13" t="inlineStr">
        <is>
          <t>Bemisia tabaci raça B</t>
        </is>
      </c>
      <c r="H1104" s="13" t="inlineStr">
        <is>
          <t>SIM (*)</t>
        </is>
      </c>
      <c r="I1104" s="18" t="n">
        <v>0.25</v>
      </c>
      <c r="J1104" s="18" t="n">
        <v>0.5</v>
      </c>
      <c r="K1104" s="13" t="inlineStr">
        <is>
          <t>L/ha</t>
        </is>
      </c>
      <c r="L1104" s="15" t="n">
        <v>1</v>
      </c>
      <c r="M1104" s="13" t="inlineStr">
        <is>
          <t>Aplicar conforme monitoramento e estádio recomendado na bula (IRAC Grupo 7C)</t>
        </is>
      </c>
    </row>
    <row r="1105" ht="22" customHeight="1">
      <c r="A1105" s="6" t="inlineStr">
        <is>
          <t>ALV-1101</t>
        </is>
      </c>
      <c r="B1105" s="5" t="n">
        <v>560</v>
      </c>
      <c r="C1105" s="7" t="inlineStr">
        <is>
          <t>Nº 12123</t>
        </is>
      </c>
      <c r="D1105" s="8" t="inlineStr">
        <is>
          <t>PYRIPROXYFEN 100 EC AGCN 0,200L AMOSTRA</t>
        </is>
      </c>
      <c r="E1105" s="7" t="inlineStr">
        <is>
          <t>Inseticida</t>
        </is>
      </c>
      <c r="F1105" s="7" t="inlineStr">
        <is>
          <t>Cochonilha-escama-farinha</t>
        </is>
      </c>
      <c r="G1105" s="7" t="inlineStr">
        <is>
          <t>Pinnaspis aspidistrae</t>
        </is>
      </c>
      <c r="H1105" s="7" t="inlineStr">
        <is>
          <t>NÃO</t>
        </is>
      </c>
      <c r="I1105" s="17" t="n">
        <v>0.5</v>
      </c>
      <c r="J1105" s="17" t="n">
        <v>0.75</v>
      </c>
      <c r="K1105" s="7" t="inlineStr">
        <is>
          <t>L/ha</t>
        </is>
      </c>
      <c r="L1105" s="9" t="n">
        <v>1</v>
      </c>
      <c r="M1105" s="7" t="inlineStr">
        <is>
          <t>Aplicar conforme monitoramento e estádio recomendado na bula (IRAC Grupo 7C)</t>
        </is>
      </c>
    </row>
    <row r="1106" ht="22" customHeight="1">
      <c r="A1106" s="12" t="inlineStr">
        <is>
          <t>ALV-1102</t>
        </is>
      </c>
      <c r="B1106" s="11" t="n">
        <v>561</v>
      </c>
      <c r="C1106" s="13" t="inlineStr">
        <is>
          <t>Nº 43818</t>
        </is>
      </c>
      <c r="D1106" s="14" t="inlineStr">
        <is>
          <t>DIAFENTIURON</t>
        </is>
      </c>
      <c r="E1106" s="13" t="inlineStr">
        <is>
          <t>Inseticida e Acaricida</t>
        </is>
      </c>
      <c r="F1106" s="13" t="inlineStr">
        <is>
          <t>Complexo de Lagartas, Percevejos e Sugadores</t>
        </is>
      </c>
      <c r="G1106" s="13" t="inlineStr">
        <is>
          <t>Spodoptera / Euschistus / Bemisia</t>
        </is>
      </c>
      <c r="H1106" s="13" t="inlineStr">
        <is>
          <t>NÃO</t>
        </is>
      </c>
      <c r="I1106" s="18" t="n">
        <v>0.15</v>
      </c>
      <c r="J1106" s="15" t="n">
        <v>1</v>
      </c>
      <c r="K1106" s="13" t="inlineStr">
        <is>
          <t>L ou kg/ha</t>
        </is>
      </c>
      <c r="L1106" s="15" t="n">
        <v>1</v>
      </c>
      <c r="M1106" s="13" t="inlineStr">
        <is>
          <t>Aplicar conforme monitoramento e estádio recomendado na bula (Classificação IRAC Oficial conforme Bula)</t>
        </is>
      </c>
    </row>
    <row r="1107" ht="22" customHeight="1">
      <c r="A1107" s="6" t="inlineStr">
        <is>
          <t>ALV-1103</t>
        </is>
      </c>
      <c r="B1107" s="5" t="n">
        <v>562</v>
      </c>
      <c r="C1107" s="7" t="inlineStr">
        <is>
          <t>Nº 43818</t>
        </is>
      </c>
      <c r="D1107" s="8" t="inlineStr">
        <is>
          <t>DIAFENTIURON</t>
        </is>
      </c>
      <c r="E1107" s="7" t="inlineStr">
        <is>
          <t>Inseticida e Acaricida</t>
        </is>
      </c>
      <c r="F1107" s="7" t="inlineStr">
        <is>
          <t>Complexo de Lagartas, Percevejos e Sugadores</t>
        </is>
      </c>
      <c r="G1107" s="7" t="inlineStr">
        <is>
          <t>Spodoptera / Euschistus / Bemisia</t>
        </is>
      </c>
      <c r="H1107" s="7" t="inlineStr">
        <is>
          <t>NÃO</t>
        </is>
      </c>
      <c r="I1107" s="17" t="n">
        <v>0.15</v>
      </c>
      <c r="J1107" s="9" t="n">
        <v>1</v>
      </c>
      <c r="K1107" s="7" t="inlineStr">
        <is>
          <t>L ou kg/ha</t>
        </is>
      </c>
      <c r="L1107" s="9" t="n">
        <v>1</v>
      </c>
      <c r="M1107" s="7" t="inlineStr">
        <is>
          <t>Aplicar conforme monitoramento e estádio recomendado na bula (Classificação IRAC Oficial conforme Bula)</t>
        </is>
      </c>
    </row>
    <row r="1108" ht="22" customHeight="1">
      <c r="A1108" s="12" t="inlineStr">
        <is>
          <t>ALV-1104</t>
        </is>
      </c>
      <c r="B1108" s="11" t="n">
        <v>563</v>
      </c>
      <c r="C1108" s="13" t="inlineStr">
        <is>
          <t>Nº 27922</t>
        </is>
      </c>
      <c r="D1108" s="14" t="inlineStr">
        <is>
          <t>S-METOLACHLOR PROVENTIS 960 EC 0,200L (AMOSTRA)</t>
        </is>
      </c>
      <c r="E1108" s="13" t="inlineStr">
        <is>
          <t>Herbicida</t>
        </is>
      </c>
      <c r="F1108" s="13" t="inlineStr">
        <is>
          <t>Capim-pé-de-galinha</t>
        </is>
      </c>
      <c r="G1108" s="13" t="inlineStr">
        <is>
          <t>Eleusine indica</t>
        </is>
      </c>
      <c r="H1108" s="13" t="inlineStr">
        <is>
          <t>NÃO</t>
        </is>
      </c>
      <c r="I1108" s="18" t="n">
        <v>1.25</v>
      </c>
      <c r="J1108" s="18" t="n">
        <v>1.75</v>
      </c>
      <c r="K1108" s="13" t="inlineStr">
        <is>
          <t>L/ha</t>
        </is>
      </c>
      <c r="L1108" s="15" t="n">
        <v>1</v>
      </c>
      <c r="M1108" s="13" t="inlineStr">
        <is>
          <t>Aplicar conforme monitoramento e estádio recomendado na bula (HRAC Grupo K3 (15) — Inibidores de VLCFAs)</t>
        </is>
      </c>
    </row>
    <row r="1109" ht="22" customHeight="1">
      <c r="A1109" s="6" t="inlineStr">
        <is>
          <t>ALV-1105</t>
        </is>
      </c>
      <c r="B1109" s="5" t="n">
        <v>563</v>
      </c>
      <c r="C1109" s="7" t="inlineStr">
        <is>
          <t>Nº 27922</t>
        </is>
      </c>
      <c r="D1109" s="8" t="inlineStr">
        <is>
          <t>S-METOLACHLOR PROVENTIS 960 EC 0,200L (AMOSTRA)</t>
        </is>
      </c>
      <c r="E1109" s="7" t="inlineStr">
        <is>
          <t>Herbicida</t>
        </is>
      </c>
      <c r="F1109" s="7" t="inlineStr">
        <is>
          <t>Capim-colchão</t>
        </is>
      </c>
      <c r="G1109" s="7" t="inlineStr">
        <is>
          <t>Digitaria horizontalis</t>
        </is>
      </c>
      <c r="H1109" s="7" t="inlineStr">
        <is>
          <t>NÃO</t>
        </is>
      </c>
      <c r="I1109" s="17" t="n">
        <v>1.25</v>
      </c>
      <c r="J1109" s="17" t="n">
        <v>1.5</v>
      </c>
      <c r="K1109" s="7" t="inlineStr">
        <is>
          <t>L/ha</t>
        </is>
      </c>
      <c r="L1109" s="9" t="n">
        <v>1</v>
      </c>
      <c r="M1109" s="7" t="inlineStr">
        <is>
          <t>Aplicar conforme monitoramento e estádio recomendado na bula (HRAC Grupo K3 (15) — Inibidores de VLCFAs)</t>
        </is>
      </c>
    </row>
    <row r="1110" ht="22" customHeight="1">
      <c r="A1110" s="12" t="inlineStr">
        <is>
          <t>ALV-1106</t>
        </is>
      </c>
      <c r="B1110" s="11" t="n">
        <v>563</v>
      </c>
      <c r="C1110" s="13" t="inlineStr">
        <is>
          <t>Nº 27922</t>
        </is>
      </c>
      <c r="D1110" s="14" t="inlineStr">
        <is>
          <t>S-METOLACHLOR PROVENTIS 960 EC 0,200L (AMOSTRA)</t>
        </is>
      </c>
      <c r="E1110" s="13" t="inlineStr">
        <is>
          <t>Herbicida</t>
        </is>
      </c>
      <c r="F1110" s="13" t="inlineStr">
        <is>
          <t>Caruru</t>
        </is>
      </c>
      <c r="G1110" s="13" t="inlineStr">
        <is>
          <t>Amaranthus hybridus</t>
        </is>
      </c>
      <c r="H1110" s="13" t="inlineStr">
        <is>
          <t>NÃO</t>
        </is>
      </c>
      <c r="I1110" s="18" t="n">
        <v>1.25</v>
      </c>
      <c r="J1110" s="18" t="n">
        <v>1.75</v>
      </c>
      <c r="K1110" s="13" t="inlineStr">
        <is>
          <t>L/ha</t>
        </is>
      </c>
      <c r="L1110" s="15" t="n">
        <v>1</v>
      </c>
      <c r="M1110" s="13" t="inlineStr">
        <is>
          <t>Aplicar conforme monitoramento e estádio recomendado na bula (HRAC Grupo K3 (15) — Inibidores de VLCFAs)</t>
        </is>
      </c>
    </row>
    <row r="1111" ht="22" customHeight="1">
      <c r="A1111" s="6" t="inlineStr">
        <is>
          <t>ALV-1107</t>
        </is>
      </c>
      <c r="B1111" s="5" t="n">
        <v>564</v>
      </c>
      <c r="C1111" s="7" t="inlineStr">
        <is>
          <t>Nº 26023</t>
        </is>
      </c>
      <c r="D1111" s="8" t="inlineStr">
        <is>
          <t>MAJESTUOSO 0,2L (IMP) AMOSTRA</t>
        </is>
      </c>
      <c r="E1111" s="7" t="inlineStr">
        <is>
          <t>Inseticida</t>
        </is>
      </c>
      <c r="F1111" s="7" t="inlineStr">
        <is>
          <t>Complexo de Lagartas, Percevejos e Sugadores</t>
        </is>
      </c>
      <c r="G1111" s="7" t="inlineStr">
        <is>
          <t>Spodoptera / Euschistus / Bemisia</t>
        </is>
      </c>
      <c r="H1111" s="7" t="inlineStr">
        <is>
          <t>NÃO</t>
        </is>
      </c>
      <c r="I1111" s="17" t="n">
        <v>0.15</v>
      </c>
      <c r="J1111" s="9" t="n">
        <v>1</v>
      </c>
      <c r="K1111" s="7" t="inlineStr">
        <is>
          <t>L ou kg/ha</t>
        </is>
      </c>
      <c r="L1111" s="9" t="n">
        <v>1</v>
      </c>
      <c r="M1111" s="7" t="inlineStr">
        <is>
          <t>Aplicar conforme monitoramento e estádio recomendado na bula (Classificação IRAC Oficial conforme Bula)</t>
        </is>
      </c>
    </row>
    <row r="1112" ht="22" customHeight="1">
      <c r="A1112" s="12" t="inlineStr">
        <is>
          <t>ALV-1108</t>
        </is>
      </c>
      <c r="B1112" s="11" t="n">
        <v>565</v>
      </c>
      <c r="C1112" s="13" t="inlineStr">
        <is>
          <t>Nº 5924</t>
        </is>
      </c>
      <c r="D1112" s="14" t="inlineStr">
        <is>
          <t>FLAME WG</t>
        </is>
      </c>
      <c r="E1112" s="13" t="inlineStr">
        <is>
          <t>Inseticida</t>
        </is>
      </c>
      <c r="F1112" s="13" t="inlineStr">
        <is>
          <t>Bicudo-do-algodoeiro</t>
        </is>
      </c>
      <c r="G1112" s="13" t="inlineStr">
        <is>
          <t>Anthonomus grandis</t>
        </is>
      </c>
      <c r="H1112" s="13" t="inlineStr">
        <is>
          <t>NÃO</t>
        </is>
      </c>
      <c r="I1112" s="18" t="n">
        <v>0.15</v>
      </c>
      <c r="J1112" s="18" t="n">
        <v>0.25</v>
      </c>
      <c r="K1112" s="13" t="inlineStr">
        <is>
          <t>L/ha</t>
        </is>
      </c>
      <c r="L1112" s="15" t="n">
        <v>1</v>
      </c>
      <c r="M1112" s="13" t="inlineStr">
        <is>
          <t>Aplicar conforme monitoramento e estádio recomendado na bula (IRAC Grupo 3A)</t>
        </is>
      </c>
    </row>
    <row r="1113" ht="22" customHeight="1">
      <c r="A1113" s="6" t="inlineStr">
        <is>
          <t>ALV-1109</t>
        </is>
      </c>
      <c r="B1113" s="5" t="n">
        <v>565</v>
      </c>
      <c r="C1113" s="7" t="inlineStr">
        <is>
          <t>Nº 5924</t>
        </is>
      </c>
      <c r="D1113" s="8" t="inlineStr">
        <is>
          <t>FLAME WG</t>
        </is>
      </c>
      <c r="E1113" s="7" t="inlineStr">
        <is>
          <t>Inseticida</t>
        </is>
      </c>
      <c r="F1113" s="7" t="inlineStr">
        <is>
          <t>Mosca-branca</t>
        </is>
      </c>
      <c r="G1113" s="7" t="inlineStr">
        <is>
          <t>Bemisia tabaci raça B</t>
        </is>
      </c>
      <c r="H1113" s="7" t="inlineStr">
        <is>
          <t>SIM (*)</t>
        </is>
      </c>
      <c r="I1113" s="17" t="n">
        <v>0.125</v>
      </c>
      <c r="J1113" s="17" t="n">
        <v>0.25</v>
      </c>
      <c r="K1113" s="7" t="inlineStr">
        <is>
          <t>L/ha</t>
        </is>
      </c>
      <c r="L1113" s="9" t="n">
        <v>1</v>
      </c>
      <c r="M1113" s="7" t="inlineStr">
        <is>
          <t>Aplicar conforme monitoramento e estádio recomendado na bula (IRAC Grupo 3A)</t>
        </is>
      </c>
    </row>
    <row r="1114" ht="22" customHeight="1">
      <c r="A1114" s="12" t="inlineStr">
        <is>
          <t>ALV-1110</t>
        </is>
      </c>
      <c r="B1114" s="11" t="n">
        <v>565</v>
      </c>
      <c r="C1114" s="13" t="inlineStr">
        <is>
          <t>Nº 5924</t>
        </is>
      </c>
      <c r="D1114" s="14" t="inlineStr">
        <is>
          <t>FLAME WG</t>
        </is>
      </c>
      <c r="E1114" s="13" t="inlineStr">
        <is>
          <t>Inseticida</t>
        </is>
      </c>
      <c r="F1114" s="13" t="inlineStr">
        <is>
          <t>Ácaro-rajado</t>
        </is>
      </c>
      <c r="G1114" s="13" t="inlineStr">
        <is>
          <t>Tetranychus urticae</t>
        </is>
      </c>
      <c r="H1114" s="13" t="inlineStr">
        <is>
          <t>SIM (*)</t>
        </is>
      </c>
      <c r="I1114" s="18" t="n">
        <v>0.15</v>
      </c>
      <c r="J1114" s="18" t="n">
        <v>0.2</v>
      </c>
      <c r="K1114" s="13" t="inlineStr">
        <is>
          <t>L/ha</t>
        </is>
      </c>
      <c r="L1114" s="15" t="n">
        <v>1</v>
      </c>
      <c r="M1114" s="13" t="inlineStr">
        <is>
          <t>Aplicar conforme monitoramento e estádio recomendado na bula (IRAC Grupo 3A)</t>
        </is>
      </c>
    </row>
    <row r="1115" ht="22" customHeight="1">
      <c r="A1115" s="6" t="inlineStr">
        <is>
          <t>ALV-1111</t>
        </is>
      </c>
      <c r="B1115" s="5" t="n">
        <v>566</v>
      </c>
      <c r="C1115" s="7" t="inlineStr">
        <is>
          <t>Nº 15925</t>
        </is>
      </c>
      <c r="D1115" s="8" t="inlineStr">
        <is>
          <t>CHETTAK GOLD</t>
        </is>
      </c>
      <c r="E1115" s="7" t="inlineStr">
        <is>
          <t>Inseticida</t>
        </is>
      </c>
      <c r="F1115" s="7" t="inlineStr">
        <is>
          <t>Percevejo-marrom</t>
        </is>
      </c>
      <c r="G1115" s="7" t="inlineStr">
        <is>
          <t>Euschistus heros</t>
        </is>
      </c>
      <c r="H1115" s="7" t="inlineStr">
        <is>
          <t>NÃO</t>
        </is>
      </c>
      <c r="I1115" s="17" t="n">
        <v>0.8</v>
      </c>
      <c r="J1115" s="17" t="n">
        <v>1.2</v>
      </c>
      <c r="K1115" s="7" t="inlineStr">
        <is>
          <t>kg/ha</t>
        </is>
      </c>
      <c r="L1115" s="9" t="n">
        <v>1</v>
      </c>
      <c r="M1115" s="7" t="inlineStr">
        <is>
          <t>Aplicar conforme monitoramento e estádio recomendado na bula (IRAC Grupo 1B)</t>
        </is>
      </c>
    </row>
    <row r="1116" ht="22" customHeight="1">
      <c r="A1116" s="12" t="inlineStr">
        <is>
          <t>ALV-1112</t>
        </is>
      </c>
      <c r="B1116" s="11" t="n">
        <v>566</v>
      </c>
      <c r="C1116" s="13" t="inlineStr">
        <is>
          <t>Nº 15925</t>
        </is>
      </c>
      <c r="D1116" s="14" t="inlineStr">
        <is>
          <t>CHETTAK GOLD</t>
        </is>
      </c>
      <c r="E1116" s="13" t="inlineStr">
        <is>
          <t>Inseticida</t>
        </is>
      </c>
      <c r="F1116" s="13" t="inlineStr">
        <is>
          <t>Mosca-branca</t>
        </is>
      </c>
      <c r="G1116" s="13" t="inlineStr">
        <is>
          <t>Bemisia tabaci raça B</t>
        </is>
      </c>
      <c r="H1116" s="13" t="inlineStr">
        <is>
          <t>NÃO</t>
        </is>
      </c>
      <c r="I1116" s="18" t="n">
        <v>0.8</v>
      </c>
      <c r="J1116" s="15" t="n">
        <v>1</v>
      </c>
      <c r="K1116" s="13" t="inlineStr">
        <is>
          <t>kg/ha</t>
        </is>
      </c>
      <c r="L1116" s="15" t="n">
        <v>1</v>
      </c>
      <c r="M1116" s="13" t="inlineStr">
        <is>
          <t>Aplicar conforme monitoramento e estádio recomendado na bula (IRAC Grupo 1B)</t>
        </is>
      </c>
    </row>
    <row r="1117" ht="22" customHeight="1">
      <c r="A1117" s="6" t="inlineStr">
        <is>
          <t>ALV-1113</t>
        </is>
      </c>
      <c r="B1117" s="5" t="n">
        <v>566</v>
      </c>
      <c r="C1117" s="7" t="inlineStr">
        <is>
          <t>Nº 15925</t>
        </is>
      </c>
      <c r="D1117" s="8" t="inlineStr">
        <is>
          <t>CHETTAK GOLD</t>
        </is>
      </c>
      <c r="E1117" s="7" t="inlineStr">
        <is>
          <t>Inseticida</t>
        </is>
      </c>
      <c r="F1117" s="7" t="inlineStr">
        <is>
          <t>Tripes</t>
        </is>
      </c>
      <c r="G1117" s="7" t="inlineStr">
        <is>
          <t>Caliothrips phaseoli</t>
        </is>
      </c>
      <c r="H1117" s="7" t="inlineStr">
        <is>
          <t>NÃO</t>
        </is>
      </c>
      <c r="I1117" s="17" t="n">
        <v>0.5</v>
      </c>
      <c r="J1117" s="17" t="n">
        <v>0.8</v>
      </c>
      <c r="K1117" s="7" t="inlineStr">
        <is>
          <t>kg/ha</t>
        </is>
      </c>
      <c r="L1117" s="9" t="n">
        <v>1</v>
      </c>
      <c r="M1117" s="7" t="inlineStr">
        <is>
          <t>Aplicar conforme monitoramento e estádio recomendado na bula (IRAC Grupo 1B)</t>
        </is>
      </c>
    </row>
    <row r="1118" ht="22" customHeight="1">
      <c r="A1118" s="12" t="inlineStr">
        <is>
          <t>ALV-1114</t>
        </is>
      </c>
      <c r="B1118" s="11" t="n">
        <v>567</v>
      </c>
      <c r="C1118" s="13" t="inlineStr">
        <is>
          <t>Nº 14024</t>
        </is>
      </c>
      <c r="D1118" s="14" t="inlineStr">
        <is>
          <t>ETHIPROLE</t>
        </is>
      </c>
      <c r="E1118" s="13" t="inlineStr">
        <is>
          <t>Inseticida</t>
        </is>
      </c>
      <c r="F1118" s="13" t="inlineStr">
        <is>
          <t>Complexo de Lagartas, Percevejos e Sugadores</t>
        </is>
      </c>
      <c r="G1118" s="13" t="inlineStr">
        <is>
          <t>Spodoptera / Euschistus / Bemisia</t>
        </is>
      </c>
      <c r="H1118" s="13" t="inlineStr">
        <is>
          <t>NÃO</t>
        </is>
      </c>
      <c r="I1118" s="18" t="n">
        <v>0.15</v>
      </c>
      <c r="J1118" s="15" t="n">
        <v>1</v>
      </c>
      <c r="K1118" s="13" t="inlineStr">
        <is>
          <t>L ou kg/ha</t>
        </is>
      </c>
      <c r="L1118" s="15" t="n">
        <v>1</v>
      </c>
      <c r="M1118" s="13" t="inlineStr">
        <is>
          <t>Aplicar conforme monitoramento e estádio recomendado na bula (Classificação IRAC Oficial conforme Bula)</t>
        </is>
      </c>
    </row>
    <row r="1119" ht="22" customHeight="1">
      <c r="A1119" s="6" t="inlineStr">
        <is>
          <t>ALV-1115</t>
        </is>
      </c>
      <c r="B1119" s="5" t="n">
        <v>568</v>
      </c>
      <c r="C1119" s="7" t="inlineStr">
        <is>
          <t>Nº 14024</t>
        </is>
      </c>
      <c r="D1119" s="8" t="inlineStr">
        <is>
          <t>ETHIPROLE</t>
        </is>
      </c>
      <c r="E1119" s="7" t="inlineStr">
        <is>
          <t>Inseticida</t>
        </is>
      </c>
      <c r="F1119" s="7" t="inlineStr">
        <is>
          <t>Complexo de Lagartas, Percevejos e Sugadores</t>
        </is>
      </c>
      <c r="G1119" s="7" t="inlineStr">
        <is>
          <t>Spodoptera / Euschistus / Bemisia</t>
        </is>
      </c>
      <c r="H1119" s="7" t="inlineStr">
        <is>
          <t>NÃO</t>
        </is>
      </c>
      <c r="I1119" s="17" t="n">
        <v>0.15</v>
      </c>
      <c r="J1119" s="9" t="n">
        <v>1</v>
      </c>
      <c r="K1119" s="7" t="inlineStr">
        <is>
          <t>L ou kg/ha</t>
        </is>
      </c>
      <c r="L1119" s="9" t="n">
        <v>1</v>
      </c>
      <c r="M1119" s="7" t="inlineStr">
        <is>
          <t>Aplicar conforme monitoramento e estádio recomendado na bula (Classificação IRAC Oficial conforme Bula)</t>
        </is>
      </c>
    </row>
    <row r="1120" ht="22" customHeight="1">
      <c r="A1120" s="12" t="inlineStr">
        <is>
          <t>ALV-1116</t>
        </is>
      </c>
      <c r="B1120" s="11" t="n">
        <v>569</v>
      </c>
      <c r="C1120" s="13" t="inlineStr">
        <is>
          <t>Nº 34723</t>
        </is>
      </c>
      <c r="D1120" s="14" t="inlineStr">
        <is>
          <t>CURATIS</t>
        </is>
      </c>
      <c r="E1120" s="13" t="inlineStr">
        <is>
          <t>Fungicida</t>
        </is>
      </c>
      <c r="F1120" s="13" t="inlineStr">
        <is>
          <t>Ferrugem-asiática</t>
        </is>
      </c>
      <c r="G1120" s="13" t="inlineStr">
        <is>
          <t>Phakopsora pachyrhizi</t>
        </is>
      </c>
      <c r="H1120" s="13" t="inlineStr">
        <is>
          <t>NÃO</t>
        </is>
      </c>
      <c r="I1120" s="18" t="n">
        <v>1.5</v>
      </c>
      <c r="J1120" s="18" t="n">
        <v>2.5</v>
      </c>
      <c r="K1120" s="13" t="inlineStr">
        <is>
          <t>kg/ha</t>
        </is>
      </c>
      <c r="L1120" s="15" t="n">
        <v>1</v>
      </c>
      <c r="M1120" s="13" t="inlineStr">
        <is>
          <t>Aplicar conforme monitoramento e estádio recomendado na bula (FRAC Grupo M03 — Multissítio)</t>
        </is>
      </c>
    </row>
    <row r="1121" ht="22" customHeight="1">
      <c r="A1121" s="6" t="inlineStr">
        <is>
          <t>ALV-1117</t>
        </is>
      </c>
      <c r="B1121" s="5" t="n">
        <v>569</v>
      </c>
      <c r="C1121" s="7" t="inlineStr">
        <is>
          <t>Nº 34723</t>
        </is>
      </c>
      <c r="D1121" s="8" t="inlineStr">
        <is>
          <t>CURATIS</t>
        </is>
      </c>
      <c r="E1121" s="7" t="inlineStr">
        <is>
          <t>Fungicida</t>
        </is>
      </c>
      <c r="F1121" s="7" t="inlineStr">
        <is>
          <t>Mancha-alvo</t>
        </is>
      </c>
      <c r="G1121" s="7" t="inlineStr">
        <is>
          <t>Corynespora cassiicola</t>
        </is>
      </c>
      <c r="H1121" s="7" t="inlineStr">
        <is>
          <t>NÃO</t>
        </is>
      </c>
      <c r="I1121" s="17" t="n">
        <v>1.5</v>
      </c>
      <c r="J1121" s="17" t="n">
        <v>2.5</v>
      </c>
      <c r="K1121" s="7" t="inlineStr">
        <is>
          <t>kg/ha</t>
        </is>
      </c>
      <c r="L1121" s="9" t="n">
        <v>1</v>
      </c>
      <c r="M1121" s="7" t="inlineStr">
        <is>
          <t>Aplicar conforme monitoramento e estádio recomendado na bula (FRAC Grupo M03 — Multissítio)</t>
        </is>
      </c>
    </row>
    <row r="1122" ht="22" customHeight="1">
      <c r="A1122" s="12" t="inlineStr">
        <is>
          <t>ALV-1118</t>
        </is>
      </c>
      <c r="B1122" s="11" t="n">
        <v>569</v>
      </c>
      <c r="C1122" s="13" t="inlineStr">
        <is>
          <t>Nº 34723</t>
        </is>
      </c>
      <c r="D1122" s="14" t="inlineStr">
        <is>
          <t>CURATIS</t>
        </is>
      </c>
      <c r="E1122" s="13" t="inlineStr">
        <is>
          <t>Fungicida</t>
        </is>
      </c>
      <c r="F1122" s="13" t="inlineStr">
        <is>
          <t>Pinta-preta</t>
        </is>
      </c>
      <c r="G1122" s="13" t="inlineStr">
        <is>
          <t>Alternaria solani</t>
        </is>
      </c>
      <c r="H1122" s="13" t="inlineStr">
        <is>
          <t>NÃO</t>
        </is>
      </c>
      <c r="I1122" s="15" t="n">
        <v>2</v>
      </c>
      <c r="J1122" s="15" t="n">
        <v>3</v>
      </c>
      <c r="K1122" s="13" t="inlineStr">
        <is>
          <t>kg/ha</t>
        </is>
      </c>
      <c r="L1122" s="15" t="n">
        <v>1</v>
      </c>
      <c r="M1122" s="13" t="inlineStr">
        <is>
          <t>Aplicar conforme monitoramento e estádio recomendado na bula (FRAC Grupo M03 — Multissítio)</t>
        </is>
      </c>
    </row>
    <row r="1123" ht="22" customHeight="1">
      <c r="A1123" s="6" t="inlineStr">
        <is>
          <t>ALV-1119</t>
        </is>
      </c>
      <c r="B1123" s="5" t="n">
        <v>570</v>
      </c>
      <c r="C1123" s="7" t="inlineStr">
        <is>
          <t>Nº 0315</t>
        </is>
      </c>
      <c r="D1123" s="8" t="inlineStr">
        <is>
          <t>2-4 D (AMOSTRA LABORATORIAL)</t>
        </is>
      </c>
      <c r="E1123" s="7" t="inlineStr">
        <is>
          <t>Reagente / Padrão Laboratorial</t>
        </is>
      </c>
      <c r="F1123" s="7" t="inlineStr">
        <is>
          <t>Buva</t>
        </is>
      </c>
      <c r="G1123" s="7" t="inlineStr">
        <is>
          <t>Conyza bonariensis</t>
        </is>
      </c>
      <c r="H1123" s="7" t="inlineStr">
        <is>
          <t>SIM (*)</t>
        </is>
      </c>
      <c r="I1123" s="9" t="n">
        <v>1</v>
      </c>
      <c r="J1123" s="17" t="n">
        <v>1.5</v>
      </c>
      <c r="K1123" s="7" t="inlineStr">
        <is>
          <t>L/ha</t>
        </is>
      </c>
      <c r="L1123" s="9" t="n">
        <v>1</v>
      </c>
      <c r="M1123" s="7" t="inlineStr">
        <is>
          <t>Aplicar conforme monitoramento e estádio recomendado na bula (HRAC Grupo O (4) — Auxinas Sintéticas)</t>
        </is>
      </c>
    </row>
    <row r="1124" ht="22" customHeight="1">
      <c r="A1124" s="12" t="inlineStr">
        <is>
          <t>ALV-1120</t>
        </is>
      </c>
      <c r="B1124" s="11" t="n">
        <v>570</v>
      </c>
      <c r="C1124" s="13" t="inlineStr">
        <is>
          <t>Nº 0315</t>
        </is>
      </c>
      <c r="D1124" s="14" t="inlineStr">
        <is>
          <t>2-4 D (AMOSTRA LABORATORIAL)</t>
        </is>
      </c>
      <c r="E1124" s="13" t="inlineStr">
        <is>
          <t>Reagente / Padrão Laboratorial</t>
        </is>
      </c>
      <c r="F1124" s="13" t="inlineStr">
        <is>
          <t>Picão-preto</t>
        </is>
      </c>
      <c r="G1124" s="13" t="inlineStr">
        <is>
          <t>Bidens pilosa</t>
        </is>
      </c>
      <c r="H1124" s="13" t="inlineStr">
        <is>
          <t>NÃO</t>
        </is>
      </c>
      <c r="I1124" s="15" t="n">
        <v>1</v>
      </c>
      <c r="J1124" s="18" t="n">
        <v>1.5</v>
      </c>
      <c r="K1124" s="13" t="inlineStr">
        <is>
          <t>L/ha</t>
        </is>
      </c>
      <c r="L1124" s="15" t="n">
        <v>1</v>
      </c>
      <c r="M1124" s="13" t="inlineStr">
        <is>
          <t>Aplicar conforme monitoramento e estádio recomendado na bula (HRAC Grupo O (4) — Auxinas Sintéticas)</t>
        </is>
      </c>
    </row>
    <row r="1125" ht="22" customHeight="1">
      <c r="A1125" s="6" t="inlineStr">
        <is>
          <t>ALV-1121</t>
        </is>
      </c>
      <c r="B1125" s="5" t="n">
        <v>571</v>
      </c>
      <c r="C1125" s="7" t="inlineStr">
        <is>
          <t>Nº 10018</t>
        </is>
      </c>
      <c r="D1125" s="8" t="inlineStr">
        <is>
          <t>ATRAZINA</t>
        </is>
      </c>
      <c r="E1125" s="7" t="inlineStr">
        <is>
          <t>Herbicida</t>
        </is>
      </c>
      <c r="F1125" s="7" t="inlineStr">
        <is>
          <t>Picão-preto</t>
        </is>
      </c>
      <c r="G1125" s="7" t="inlineStr">
        <is>
          <t>Bidens pilosa</t>
        </is>
      </c>
      <c r="H1125" s="7" t="inlineStr">
        <is>
          <t>SIM (*)</t>
        </is>
      </c>
      <c r="I1125" s="17" t="n">
        <v>2.5</v>
      </c>
      <c r="J1125" s="9" t="n">
        <v>4</v>
      </c>
      <c r="K1125" s="7" t="inlineStr">
        <is>
          <t>L ou kg/ha</t>
        </is>
      </c>
      <c r="L1125" s="9" t="n">
        <v>1</v>
      </c>
      <c r="M1125" s="7" t="inlineStr">
        <is>
          <t>Aplicar conforme monitoramento e estádio recomendado na bula (HRAC Grupo C1 (5) — Inibidores do Fotossistema II)</t>
        </is>
      </c>
    </row>
    <row r="1126" ht="22" customHeight="1">
      <c r="A1126" s="12" t="inlineStr">
        <is>
          <t>ALV-1122</t>
        </is>
      </c>
      <c r="B1126" s="11" t="n">
        <v>571</v>
      </c>
      <c r="C1126" s="13" t="inlineStr">
        <is>
          <t>Nº 10018</t>
        </is>
      </c>
      <c r="D1126" s="14" t="inlineStr">
        <is>
          <t>ATRAZINA</t>
        </is>
      </c>
      <c r="E1126" s="13" t="inlineStr">
        <is>
          <t>Herbicida</t>
        </is>
      </c>
      <c r="F1126" s="13" t="inlineStr">
        <is>
          <t>Caruru</t>
        </is>
      </c>
      <c r="G1126" s="13" t="inlineStr">
        <is>
          <t>Amaranthus viridis</t>
        </is>
      </c>
      <c r="H1126" s="13" t="inlineStr">
        <is>
          <t>SIM (*)</t>
        </is>
      </c>
      <c r="I1126" s="18" t="n">
        <v>2.5</v>
      </c>
      <c r="J1126" s="18" t="n">
        <v>3.5</v>
      </c>
      <c r="K1126" s="13" t="inlineStr">
        <is>
          <t>L ou kg/ha</t>
        </is>
      </c>
      <c r="L1126" s="15" t="n">
        <v>1</v>
      </c>
      <c r="M1126" s="13" t="inlineStr">
        <is>
          <t>Aplicar conforme monitoramento e estádio recomendado na bula (HRAC Grupo C1 (5) — Inibidores do Fotossistema II)</t>
        </is>
      </c>
    </row>
    <row r="1127" ht="22" customHeight="1">
      <c r="A1127" s="6" t="inlineStr">
        <is>
          <t>ALV-1123</t>
        </is>
      </c>
      <c r="B1127" s="5" t="n">
        <v>571</v>
      </c>
      <c r="C1127" s="7" t="inlineStr">
        <is>
          <t>Nº 10018</t>
        </is>
      </c>
      <c r="D1127" s="8" t="inlineStr">
        <is>
          <t>ATRAZINA</t>
        </is>
      </c>
      <c r="E1127" s="7" t="inlineStr">
        <is>
          <t>Herbicida</t>
        </is>
      </c>
      <c r="F1127" s="7" t="inlineStr">
        <is>
          <t>Corda-de-viola</t>
        </is>
      </c>
      <c r="G1127" s="7" t="inlineStr">
        <is>
          <t>Ipomoea grandifolia</t>
        </is>
      </c>
      <c r="H1127" s="7" t="inlineStr">
        <is>
          <t>NÃO</t>
        </is>
      </c>
      <c r="I1127" s="9" t="n">
        <v>3</v>
      </c>
      <c r="J1127" s="9" t="n">
        <v>4</v>
      </c>
      <c r="K1127" s="7" t="inlineStr">
        <is>
          <t>L ou kg/ha</t>
        </is>
      </c>
      <c r="L1127" s="9" t="n">
        <v>1</v>
      </c>
      <c r="M1127" s="7" t="inlineStr">
        <is>
          <t>Aplicar conforme monitoramento e estádio recomendado na bula (HRAC Grupo C1 (5) — Inibidores do Fotossistema II)</t>
        </is>
      </c>
    </row>
    <row r="1128" ht="22" customHeight="1">
      <c r="A1128" s="12" t="inlineStr">
        <is>
          <t>ALV-1124</t>
        </is>
      </c>
      <c r="B1128" s="11" t="n">
        <v>572</v>
      </c>
      <c r="C1128" s="13" t="inlineStr">
        <is>
          <t>Nº 34723</t>
        </is>
      </c>
      <c r="D1128" s="14" t="inlineStr">
        <is>
          <t>CURATIS</t>
        </is>
      </c>
      <c r="E1128" s="13" t="inlineStr">
        <is>
          <t>Fungicida</t>
        </is>
      </c>
      <c r="F1128" s="13" t="inlineStr">
        <is>
          <t>Ferrugem-asiática</t>
        </is>
      </c>
      <c r="G1128" s="13" t="inlineStr">
        <is>
          <t>Phakopsora pachyrhizi</t>
        </is>
      </c>
      <c r="H1128" s="13" t="inlineStr">
        <is>
          <t>NÃO</t>
        </is>
      </c>
      <c r="I1128" s="18" t="n">
        <v>1.5</v>
      </c>
      <c r="J1128" s="18" t="n">
        <v>2.5</v>
      </c>
      <c r="K1128" s="13" t="inlineStr">
        <is>
          <t>kg/ha</t>
        </is>
      </c>
      <c r="L1128" s="15" t="n">
        <v>1</v>
      </c>
      <c r="M1128" s="13" t="inlineStr">
        <is>
          <t>Aplicar conforme monitoramento e estádio recomendado na bula (FRAC Grupo M03 — Multissítio)</t>
        </is>
      </c>
    </row>
    <row r="1129" ht="22" customHeight="1">
      <c r="A1129" s="6" t="inlineStr">
        <is>
          <t>ALV-1125</t>
        </is>
      </c>
      <c r="B1129" s="5" t="n">
        <v>572</v>
      </c>
      <c r="C1129" s="7" t="inlineStr">
        <is>
          <t>Nº 34723</t>
        </is>
      </c>
      <c r="D1129" s="8" t="inlineStr">
        <is>
          <t>CURATIS</t>
        </is>
      </c>
      <c r="E1129" s="7" t="inlineStr">
        <is>
          <t>Fungicida</t>
        </is>
      </c>
      <c r="F1129" s="7" t="inlineStr">
        <is>
          <t>Mancha-alvo</t>
        </is>
      </c>
      <c r="G1129" s="7" t="inlineStr">
        <is>
          <t>Corynespora cassiicola</t>
        </is>
      </c>
      <c r="H1129" s="7" t="inlineStr">
        <is>
          <t>NÃO</t>
        </is>
      </c>
      <c r="I1129" s="17" t="n">
        <v>1.5</v>
      </c>
      <c r="J1129" s="17" t="n">
        <v>2.5</v>
      </c>
      <c r="K1129" s="7" t="inlineStr">
        <is>
          <t>kg/ha</t>
        </is>
      </c>
      <c r="L1129" s="9" t="n">
        <v>1</v>
      </c>
      <c r="M1129" s="7" t="inlineStr">
        <is>
          <t>Aplicar conforme monitoramento e estádio recomendado na bula (FRAC Grupo M03 — Multissítio)</t>
        </is>
      </c>
    </row>
    <row r="1130" ht="22" customHeight="1">
      <c r="A1130" s="12" t="inlineStr">
        <is>
          <t>ALV-1126</t>
        </is>
      </c>
      <c r="B1130" s="11" t="n">
        <v>572</v>
      </c>
      <c r="C1130" s="13" t="inlineStr">
        <is>
          <t>Nº 34723</t>
        </is>
      </c>
      <c r="D1130" s="14" t="inlineStr">
        <is>
          <t>CURATIS</t>
        </is>
      </c>
      <c r="E1130" s="13" t="inlineStr">
        <is>
          <t>Fungicida</t>
        </is>
      </c>
      <c r="F1130" s="13" t="inlineStr">
        <is>
          <t>Pinta-preta</t>
        </is>
      </c>
      <c r="G1130" s="13" t="inlineStr">
        <is>
          <t>Alternaria solani</t>
        </is>
      </c>
      <c r="H1130" s="13" t="inlineStr">
        <is>
          <t>NÃO</t>
        </is>
      </c>
      <c r="I1130" s="15" t="n">
        <v>2</v>
      </c>
      <c r="J1130" s="15" t="n">
        <v>3</v>
      </c>
      <c r="K1130" s="13" t="inlineStr">
        <is>
          <t>kg/ha</t>
        </is>
      </c>
      <c r="L1130" s="15" t="n">
        <v>1</v>
      </c>
      <c r="M1130" s="13" t="inlineStr">
        <is>
          <t>Aplicar conforme monitoramento e estádio recomendado na bula (FRAC Grupo M03 — Multissítio)</t>
        </is>
      </c>
    </row>
    <row r="1131" ht="22" customHeight="1">
      <c r="A1131" s="6" t="inlineStr">
        <is>
          <t>ALV-1127</t>
        </is>
      </c>
      <c r="B1131" s="5" t="n">
        <v>573</v>
      </c>
      <c r="C1131" s="7" t="inlineStr">
        <is>
          <t>Nº 13716</t>
        </is>
      </c>
      <c r="D1131" s="8" t="inlineStr">
        <is>
          <t>EFICAX</t>
        </is>
      </c>
      <c r="E1131" s="7" t="inlineStr">
        <is>
          <t>Inseticida</t>
        </is>
      </c>
      <c r="F1131" s="7" t="inlineStr">
        <is>
          <t>Lagarta-helicoverpa</t>
        </is>
      </c>
      <c r="G1131" s="7" t="inlineStr">
        <is>
          <t>Helicoverpa armigera</t>
        </is>
      </c>
      <c r="H1131" s="7" t="inlineStr">
        <is>
          <t>NÃO</t>
        </is>
      </c>
      <c r="I1131" s="17" t="n">
        <v>0.2</v>
      </c>
      <c r="J1131" s="17" t="n">
        <v>0.5</v>
      </c>
      <c r="K1131" s="7" t="inlineStr">
        <is>
          <t>kg ou L/ha</t>
        </is>
      </c>
      <c r="L1131" s="9" t="n">
        <v>1</v>
      </c>
      <c r="M1131" s="7" t="inlineStr">
        <is>
          <t>Aplicar conforme monitoramento e estádio recomendado na bula (IRAC Grupo 1A)</t>
        </is>
      </c>
    </row>
    <row r="1132" ht="22" customHeight="1">
      <c r="A1132" s="12" t="inlineStr">
        <is>
          <t>ALV-1128</t>
        </is>
      </c>
      <c r="B1132" s="11" t="n">
        <v>573</v>
      </c>
      <c r="C1132" s="13" t="inlineStr">
        <is>
          <t>Nº 13716</t>
        </is>
      </c>
      <c r="D1132" s="14" t="inlineStr">
        <is>
          <t>EFICAX</t>
        </is>
      </c>
      <c r="E1132" s="13" t="inlineStr">
        <is>
          <t>Inseticida</t>
        </is>
      </c>
      <c r="F1132" s="13" t="inlineStr">
        <is>
          <t>Lagarta-do-cartucho</t>
        </is>
      </c>
      <c r="G1132" s="13" t="inlineStr">
        <is>
          <t>Spodoptera frugiperda</t>
        </is>
      </c>
      <c r="H1132" s="13" t="inlineStr">
        <is>
          <t>NÃO</t>
        </is>
      </c>
      <c r="I1132" s="18" t="n">
        <v>0.15</v>
      </c>
      <c r="J1132" s="18" t="n">
        <v>0.3</v>
      </c>
      <c r="K1132" s="13" t="inlineStr">
        <is>
          <t>kg ou L/ha</t>
        </is>
      </c>
      <c r="L1132" s="15" t="n">
        <v>1</v>
      </c>
      <c r="M1132" s="13" t="inlineStr">
        <is>
          <t>Aplicar conforme monitoramento e estádio recomendado na bula (IRAC Grupo 1A)</t>
        </is>
      </c>
    </row>
    <row r="1133" ht="22" customHeight="1">
      <c r="A1133" s="6" t="inlineStr">
        <is>
          <t>ALV-1129</t>
        </is>
      </c>
      <c r="B1133" s="5" t="n">
        <v>573</v>
      </c>
      <c r="C1133" s="7" t="inlineStr">
        <is>
          <t>Nº 13716</t>
        </is>
      </c>
      <c r="D1133" s="8" t="inlineStr">
        <is>
          <t>EFICAX</t>
        </is>
      </c>
      <c r="E1133" s="7" t="inlineStr">
        <is>
          <t>Inseticida</t>
        </is>
      </c>
      <c r="F1133" s="7" t="inlineStr">
        <is>
          <t>Lagarta-da-soja</t>
        </is>
      </c>
      <c r="G1133" s="7" t="inlineStr">
        <is>
          <t>Anticarsia gemmatalis</t>
        </is>
      </c>
      <c r="H1133" s="7" t="inlineStr">
        <is>
          <t>NÃO</t>
        </is>
      </c>
      <c r="I1133" s="17" t="n">
        <v>0.1</v>
      </c>
      <c r="J1133" s="17" t="n">
        <v>0.2</v>
      </c>
      <c r="K1133" s="7" t="inlineStr">
        <is>
          <t>kg ou L/ha</t>
        </is>
      </c>
      <c r="L1133" s="9" t="n">
        <v>1</v>
      </c>
      <c r="M1133" s="7" t="inlineStr">
        <is>
          <t>Aplicar conforme monitoramento e estádio recomendado na bula (IRAC Grupo 1A)</t>
        </is>
      </c>
    </row>
    <row r="1134" ht="22" customHeight="1">
      <c r="A1134" s="12" t="inlineStr">
        <is>
          <t>ALV-1130</t>
        </is>
      </c>
      <c r="B1134" s="11" t="n">
        <v>574</v>
      </c>
      <c r="C1134" s="13" t="inlineStr">
        <is>
          <t>Nº 17921</t>
        </is>
      </c>
      <c r="D1134" s="14" t="inlineStr">
        <is>
          <t>TIOFANATO</t>
        </is>
      </c>
      <c r="E1134" s="13" t="inlineStr">
        <is>
          <t>Fungicida</t>
        </is>
      </c>
      <c r="F1134" s="13" t="inlineStr">
        <is>
          <t>Mofo-branco</t>
        </is>
      </c>
      <c r="G1134" s="13" t="inlineStr">
        <is>
          <t>Sclerotinia sclerotiorum</t>
        </is>
      </c>
      <c r="H1134" s="13" t="inlineStr">
        <is>
          <t>NÃO</t>
        </is>
      </c>
      <c r="I1134" s="18" t="n">
        <v>0.8</v>
      </c>
      <c r="J1134" s="15" t="n">
        <v>1</v>
      </c>
      <c r="K1134" s="13" t="inlineStr">
        <is>
          <t>L/ha</t>
        </is>
      </c>
      <c r="L1134" s="15" t="n">
        <v>1</v>
      </c>
      <c r="M1134" s="13" t="inlineStr">
        <is>
          <t>Aplicar conforme monitoramento e estádio recomendado na bula (FRAC Grupo 1 (MBC))</t>
        </is>
      </c>
    </row>
    <row r="1135" ht="22" customHeight="1">
      <c r="A1135" s="6" t="inlineStr">
        <is>
          <t>ALV-1131</t>
        </is>
      </c>
      <c r="B1135" s="5" t="n">
        <v>574</v>
      </c>
      <c r="C1135" s="7" t="inlineStr">
        <is>
          <t>Nº 17921</t>
        </is>
      </c>
      <c r="D1135" s="8" t="inlineStr">
        <is>
          <t>TIOFANATO</t>
        </is>
      </c>
      <c r="E1135" s="7" t="inlineStr">
        <is>
          <t>Fungicida</t>
        </is>
      </c>
      <c r="F1135" s="7" t="inlineStr">
        <is>
          <t>Antracnose</t>
        </is>
      </c>
      <c r="G1135" s="7" t="inlineStr">
        <is>
          <t>Colletotrichum lindemuthianum</t>
        </is>
      </c>
      <c r="H1135" s="7" t="inlineStr">
        <is>
          <t>NÃO</t>
        </is>
      </c>
      <c r="I1135" s="17" t="n">
        <v>0.7</v>
      </c>
      <c r="J1135" s="9" t="n">
        <v>1</v>
      </c>
      <c r="K1135" s="7" t="inlineStr">
        <is>
          <t>L/ha</t>
        </is>
      </c>
      <c r="L1135" s="9" t="n">
        <v>1</v>
      </c>
      <c r="M1135" s="7" t="inlineStr">
        <is>
          <t>Aplicar conforme monitoramento e estádio recomendado na bula (FRAC Grupo 1 (MBC))</t>
        </is>
      </c>
    </row>
    <row r="1136" ht="22" customHeight="1">
      <c r="A1136" s="12" t="inlineStr">
        <is>
          <t>ALV-1132</t>
        </is>
      </c>
      <c r="B1136" s="11" t="n">
        <v>575</v>
      </c>
      <c r="C1136" s="13" t="inlineStr">
        <is>
          <t>SIPEAGRO (UF-XXXXX)</t>
        </is>
      </c>
      <c r="D1136" s="14" t="inlineStr">
        <is>
          <t>NEU</t>
        </is>
      </c>
      <c r="E1136" s="13" t="inlineStr">
        <is>
          <t>Fertilizante Mineral Simples (Potássico / Magnesiano)</t>
        </is>
      </c>
      <c r="F1136" s="13" t="inlineStr">
        <is>
          <t>Nutrição e Correção de Deficiência Mineral</t>
        </is>
      </c>
      <c r="G1136" s="13" t="inlineStr">
        <is>
          <t>Nutrição Vegetal</t>
        </is>
      </c>
      <c r="H1136" s="13" t="inlineStr">
        <is>
          <t>NÃO</t>
        </is>
      </c>
      <c r="I1136" s="15" t="n">
        <v>1</v>
      </c>
      <c r="J1136" s="15" t="n">
        <v>250</v>
      </c>
      <c r="K1136" s="13" t="inlineStr">
        <is>
          <t>kg ou L/ha</t>
        </is>
      </c>
      <c r="L1136" s="15" t="n">
        <v>1</v>
      </c>
      <c r="M1136" s="13" t="inlineStr">
        <is>
          <t>Aplicar conforme monitoramento e estádio recomendado na bula (Nutrição Vegetal SIPEAGRO)</t>
        </is>
      </c>
    </row>
    <row r="1137" ht="22" customHeight="1">
      <c r="A1137" s="6" t="inlineStr">
        <is>
          <t>ALV-1133</t>
        </is>
      </c>
      <c r="B1137" s="5" t="n">
        <v>576</v>
      </c>
      <c r="C1137" s="7" t="inlineStr">
        <is>
          <t>Nº 11216</t>
        </is>
      </c>
      <c r="D1137" s="8" t="inlineStr">
        <is>
          <t>ATIVUM (TM) EC</t>
        </is>
      </c>
      <c r="E1137" s="7" t="inlineStr">
        <is>
          <t>Fungicida</t>
        </is>
      </c>
      <c r="F1137" s="7" t="inlineStr">
        <is>
          <t>Complexo de Doenças Foliares e Ferrugem</t>
        </is>
      </c>
      <c r="G1137" s="7" t="inlineStr">
        <is>
          <t>Phakopsora pachyrhizi / Corynespora</t>
        </is>
      </c>
      <c r="H1137" s="7" t="inlineStr">
        <is>
          <t>NÃO</t>
        </is>
      </c>
      <c r="I1137" s="17" t="n">
        <v>0.3</v>
      </c>
      <c r="J1137" s="17" t="n">
        <v>1.5</v>
      </c>
      <c r="K1137" s="7" t="inlineStr">
        <is>
          <t>L ou kg/ha</t>
        </is>
      </c>
      <c r="L1137" s="9" t="n">
        <v>1</v>
      </c>
      <c r="M1137" s="7" t="inlineStr">
        <is>
          <t>Aplicar conforme monitoramento e estádio recomendado na bula (Classificação FRAC Oficial conforme Bula)</t>
        </is>
      </c>
    </row>
    <row r="1138" ht="22" customHeight="1">
      <c r="A1138" s="12" t="inlineStr">
        <is>
          <t>ALV-1134</t>
        </is>
      </c>
      <c r="B1138" s="11" t="n">
        <v>577</v>
      </c>
      <c r="C1138" s="13" t="inlineStr">
        <is>
          <t>Nº 8319</t>
        </is>
      </c>
      <c r="D1138" s="14" t="inlineStr">
        <is>
          <t>DIURON</t>
        </is>
      </c>
      <c r="E1138" s="13" t="inlineStr">
        <is>
          <t>Herbicida</t>
        </is>
      </c>
      <c r="F1138" s="13" t="inlineStr">
        <is>
          <t>Plantas Daninhas Mono e Dicotiledôneas</t>
        </is>
      </c>
      <c r="G1138" s="13" t="inlineStr">
        <is>
          <t>Flora Infestante</t>
        </is>
      </c>
      <c r="H1138" s="13" t="inlineStr">
        <is>
          <t>NÃO</t>
        </is>
      </c>
      <c r="I1138" s="18" t="n">
        <v>0.25</v>
      </c>
      <c r="J1138" s="15" t="n">
        <v>2</v>
      </c>
      <c r="K1138" s="13" t="inlineStr">
        <is>
          <t>L ou kg/ha</t>
        </is>
      </c>
      <c r="L1138" s="15" t="n">
        <v>1</v>
      </c>
      <c r="M1138" s="13" t="inlineStr">
        <is>
          <t>Aplicar conforme monitoramento e estádio recomendado na bula (Classificação HRAC Oficial conforme Bula)</t>
        </is>
      </c>
    </row>
    <row r="1139" ht="22" customHeight="1">
      <c r="A1139" s="6" t="inlineStr">
        <is>
          <t>ALV-1135</t>
        </is>
      </c>
      <c r="B1139" s="5" t="n">
        <v>578</v>
      </c>
      <c r="C1139" s="7" t="inlineStr">
        <is>
          <t>SIPEAGRO (UF-XXXXX)</t>
        </is>
      </c>
      <c r="D1139" s="8" t="inlineStr">
        <is>
          <t>SALT BASE MILHO PLUS</t>
        </is>
      </c>
      <c r="E1139" s="7" t="inlineStr">
        <is>
          <t>Fertilizante Mineral Simples (Potássico / Magnesiano)</t>
        </is>
      </c>
      <c r="F1139" s="7" t="inlineStr">
        <is>
          <t>Nutrição e Correção de Deficiência Mineral</t>
        </is>
      </c>
      <c r="G1139" s="7" t="inlineStr">
        <is>
          <t>Nutrição Vegetal</t>
        </is>
      </c>
      <c r="H1139" s="7" t="inlineStr">
        <is>
          <t>NÃO</t>
        </is>
      </c>
      <c r="I1139" s="9" t="n">
        <v>1</v>
      </c>
      <c r="J1139" s="9" t="n">
        <v>250</v>
      </c>
      <c r="K1139" s="7" t="inlineStr">
        <is>
          <t>kg ou L/ha</t>
        </is>
      </c>
      <c r="L1139" s="9" t="n">
        <v>1</v>
      </c>
      <c r="M1139" s="7" t="inlineStr">
        <is>
          <t>Aplicar conforme monitoramento e estádio recomendado na bula (Nutrição Vegetal SIPEAGRO)</t>
        </is>
      </c>
    </row>
    <row r="1140" ht="22" customHeight="1">
      <c r="A1140" s="12" t="inlineStr">
        <is>
          <t>ALV-1136</t>
        </is>
      </c>
      <c r="B1140" s="11" t="n">
        <v>579</v>
      </c>
      <c r="C1140" s="13" t="inlineStr">
        <is>
          <t>SIPEAGRO (UF-XXXXX)</t>
        </is>
      </c>
      <c r="D1140" s="14" t="inlineStr">
        <is>
          <t>ESTIMULUS EVO</t>
        </is>
      </c>
      <c r="E1140" s="13" t="inlineStr">
        <is>
          <t>Fertilizante Organomineral / Bioestimulante</t>
        </is>
      </c>
      <c r="F1140" s="13" t="inlineStr">
        <is>
          <t>Nutrição e Correção de Deficiência Mineral</t>
        </is>
      </c>
      <c r="G1140" s="13" t="inlineStr">
        <is>
          <t>Nutrição Vegetal</t>
        </is>
      </c>
      <c r="H1140" s="13" t="inlineStr">
        <is>
          <t>NÃO</t>
        </is>
      </c>
      <c r="I1140" s="15" t="n">
        <v>1</v>
      </c>
      <c r="J1140" s="15" t="n">
        <v>250</v>
      </c>
      <c r="K1140" s="13" t="inlineStr">
        <is>
          <t>kg ou L/ha</t>
        </is>
      </c>
      <c r="L1140" s="15" t="n">
        <v>1</v>
      </c>
      <c r="M1140" s="13" t="inlineStr">
        <is>
          <t>Aplicar conforme monitoramento e estádio recomendado na bula (Nutrição Vegetal SIPEAGRO)</t>
        </is>
      </c>
    </row>
    <row r="1141" ht="22" customHeight="1">
      <c r="A1141" s="6" t="inlineStr">
        <is>
          <t>ALV-1137</t>
        </is>
      </c>
      <c r="B1141" s="5" t="n">
        <v>580</v>
      </c>
      <c r="C1141" s="7" t="inlineStr">
        <is>
          <t>Nº 1209</t>
        </is>
      </c>
      <c r="D1141" s="8" t="inlineStr">
        <is>
          <t>STANDAK TOP</t>
        </is>
      </c>
      <c r="E1141" s="7" t="inlineStr">
        <is>
          <t>Inseticida + Fungicida (Tratamento de Sementes)</t>
        </is>
      </c>
      <c r="F1141" s="7" t="inlineStr">
        <is>
          <t>Coró</t>
        </is>
      </c>
      <c r="G1141" s="7" t="inlineStr">
        <is>
          <t>Phyllophaga cuyabana</t>
        </is>
      </c>
      <c r="H1141" s="7" t="inlineStr">
        <is>
          <t>NÃO</t>
        </is>
      </c>
      <c r="I1141" s="17" t="n">
        <v>0.1</v>
      </c>
      <c r="J1141" s="17" t="n">
        <v>0.2</v>
      </c>
      <c r="K1141" s="7" t="inlineStr">
        <is>
          <t>L/100kg sem.</t>
        </is>
      </c>
      <c r="L1141" s="9" t="n">
        <v>1</v>
      </c>
      <c r="M1141" s="7" t="inlineStr">
        <is>
          <t>Aplicar conforme monitoramento e estádio recomendado na bula (IRAC Grupo 2B)</t>
        </is>
      </c>
    </row>
    <row r="1142" ht="22" customHeight="1">
      <c r="A1142" s="12" t="inlineStr">
        <is>
          <t>ALV-1138</t>
        </is>
      </c>
      <c r="B1142" s="11" t="n">
        <v>580</v>
      </c>
      <c r="C1142" s="13" t="inlineStr">
        <is>
          <t>Nº 1209</t>
        </is>
      </c>
      <c r="D1142" s="14" t="inlineStr">
        <is>
          <t>STANDAK TOP</t>
        </is>
      </c>
      <c r="E1142" s="13" t="inlineStr">
        <is>
          <t>Inseticida + Fungicida (Tratamento de Sementes)</t>
        </is>
      </c>
      <c r="F1142" s="13" t="inlineStr">
        <is>
          <t>Lagarta-elasmo</t>
        </is>
      </c>
      <c r="G1142" s="13" t="inlineStr">
        <is>
          <t>Elasmopalpus lignosellus</t>
        </is>
      </c>
      <c r="H1142" s="13" t="inlineStr">
        <is>
          <t>NÃO</t>
        </is>
      </c>
      <c r="I1142" s="18" t="n">
        <v>0.1</v>
      </c>
      <c r="J1142" s="18" t="n">
        <v>0.2</v>
      </c>
      <c r="K1142" s="13" t="inlineStr">
        <is>
          <t>L/100kg sem.</t>
        </is>
      </c>
      <c r="L1142" s="15" t="n">
        <v>1</v>
      </c>
      <c r="M1142" s="13" t="inlineStr">
        <is>
          <t>Aplicar conforme monitoramento e estádio recomendado na bula (IRAC Grupo 2B)</t>
        </is>
      </c>
    </row>
    <row r="1143" ht="22" customHeight="1">
      <c r="A1143" s="6" t="inlineStr">
        <is>
          <t>ALV-1139</t>
        </is>
      </c>
      <c r="B1143" s="5" t="n">
        <v>580</v>
      </c>
      <c r="C1143" s="7" t="inlineStr">
        <is>
          <t>Nº 1209</t>
        </is>
      </c>
      <c r="D1143" s="8" t="inlineStr">
        <is>
          <t>STANDAK TOP</t>
        </is>
      </c>
      <c r="E1143" s="7" t="inlineStr">
        <is>
          <t>Inseticida + Fungicida (Tratamento de Sementes)</t>
        </is>
      </c>
      <c r="F1143" s="7" t="inlineStr">
        <is>
          <t>Cupim-de-montículo</t>
        </is>
      </c>
      <c r="G1143" s="7" t="inlineStr">
        <is>
          <t>Procornitermes triacifer</t>
        </is>
      </c>
      <c r="H1143" s="7" t="inlineStr">
        <is>
          <t>NÃO</t>
        </is>
      </c>
      <c r="I1143" s="17" t="n">
        <v>0.05</v>
      </c>
      <c r="J1143" s="17" t="n">
        <v>0.2</v>
      </c>
      <c r="K1143" s="7" t="inlineStr">
        <is>
          <t>kg ou L/ha</t>
        </is>
      </c>
      <c r="L1143" s="9" t="n">
        <v>1</v>
      </c>
      <c r="M1143" s="7" t="inlineStr">
        <is>
          <t>Aplicar conforme monitoramento e estádio recomendado na bula (IRAC Grupo 2B)</t>
        </is>
      </c>
    </row>
    <row r="1144" ht="22" customHeight="1">
      <c r="A1144" s="12" t="inlineStr">
        <is>
          <t>ALV-1140</t>
        </is>
      </c>
      <c r="B1144" s="11" t="n">
        <v>581</v>
      </c>
      <c r="C1144" s="13" t="inlineStr">
        <is>
          <t>SIPEAGRO (UF-XXXXX)</t>
        </is>
      </c>
      <c r="D1144" s="14" t="inlineStr">
        <is>
          <t>ESTIMULUS GRASS</t>
        </is>
      </c>
      <c r="E1144" s="13" t="inlineStr">
        <is>
          <t>Fertilizante Organomineral / Bioestimulante</t>
        </is>
      </c>
      <c r="F1144" s="13" t="inlineStr">
        <is>
          <t>Nutrição e Correção de Deficiência Mineral</t>
        </is>
      </c>
      <c r="G1144" s="13" t="inlineStr">
        <is>
          <t>Nutrição Vegetal</t>
        </is>
      </c>
      <c r="H1144" s="13" t="inlineStr">
        <is>
          <t>NÃO</t>
        </is>
      </c>
      <c r="I1144" s="15" t="n">
        <v>1</v>
      </c>
      <c r="J1144" s="15" t="n">
        <v>250</v>
      </c>
      <c r="K1144" s="13" t="inlineStr">
        <is>
          <t>kg ou L/ha</t>
        </is>
      </c>
      <c r="L1144" s="15" t="n">
        <v>1</v>
      </c>
      <c r="M1144" s="13" t="inlineStr">
        <is>
          <t>Aplicar conforme monitoramento e estádio recomendado na bula (Nutrição Vegetal SIPEAGRO)</t>
        </is>
      </c>
    </row>
    <row r="1145" ht="22" customHeight="1">
      <c r="A1145" s="6" t="inlineStr">
        <is>
          <t>ALV-1141</t>
        </is>
      </c>
      <c r="B1145" s="5" t="n">
        <v>582</v>
      </c>
      <c r="C1145" s="7" t="inlineStr">
        <is>
          <t>Nº 24518</t>
        </is>
      </c>
      <c r="D1145" s="8" t="inlineStr">
        <is>
          <t>KENNOX</t>
        </is>
      </c>
      <c r="E1145" s="7" t="inlineStr">
        <is>
          <t>Herbicida</t>
        </is>
      </c>
      <c r="F1145" s="7" t="inlineStr">
        <is>
          <t>Capim-amargoso</t>
        </is>
      </c>
      <c r="G1145" s="7" t="inlineStr">
        <is>
          <t>Digitaria insularis</t>
        </is>
      </c>
      <c r="H1145" s="7" t="inlineStr">
        <is>
          <t>SIM (*)</t>
        </is>
      </c>
      <c r="I1145" s="17" t="n">
        <v>0.45</v>
      </c>
      <c r="J1145" s="17" t="n">
        <v>0.85</v>
      </c>
      <c r="K1145" s="7" t="inlineStr">
        <is>
          <t>L/ha</t>
        </is>
      </c>
      <c r="L1145" s="9" t="n">
        <v>1</v>
      </c>
      <c r="M1145" s="7" t="inlineStr">
        <is>
          <t>Aplicar conforme monitoramento e estádio recomendado na bula (HRAC Grupo A (1) — Inibidores da ACCase)</t>
        </is>
      </c>
    </row>
    <row r="1146" ht="22" customHeight="1">
      <c r="A1146" s="12" t="inlineStr">
        <is>
          <t>ALV-1142</t>
        </is>
      </c>
      <c r="B1146" s="11" t="n">
        <v>582</v>
      </c>
      <c r="C1146" s="13" t="inlineStr">
        <is>
          <t>Nº 24518</t>
        </is>
      </c>
      <c r="D1146" s="14" t="inlineStr">
        <is>
          <t>KENNOX</t>
        </is>
      </c>
      <c r="E1146" s="13" t="inlineStr">
        <is>
          <t>Herbicida</t>
        </is>
      </c>
      <c r="F1146" s="13" t="inlineStr">
        <is>
          <t>Capim-pé-de-galinha</t>
        </is>
      </c>
      <c r="G1146" s="13" t="inlineStr">
        <is>
          <t>Eleusine indica</t>
        </is>
      </c>
      <c r="H1146" s="13" t="inlineStr">
        <is>
          <t>SIM (*)</t>
        </is>
      </c>
      <c r="I1146" s="18" t="n">
        <v>0.35</v>
      </c>
      <c r="J1146" s="18" t="n">
        <v>0.45</v>
      </c>
      <c r="K1146" s="13" t="inlineStr">
        <is>
          <t>L/ha</t>
        </is>
      </c>
      <c r="L1146" s="15" t="n">
        <v>1</v>
      </c>
      <c r="M1146" s="13" t="inlineStr">
        <is>
          <t>Aplicar conforme monitoramento e estádio recomendado na bula (HRAC Grupo A (1) — Inibidores da ACCase)</t>
        </is>
      </c>
    </row>
    <row r="1147" ht="22" customHeight="1">
      <c r="A1147" s="6" t="inlineStr">
        <is>
          <t>ALV-1143</t>
        </is>
      </c>
      <c r="B1147" s="5" t="n">
        <v>582</v>
      </c>
      <c r="C1147" s="7" t="inlineStr">
        <is>
          <t>Nº 24518</t>
        </is>
      </c>
      <c r="D1147" s="8" t="inlineStr">
        <is>
          <t>KENNOX</t>
        </is>
      </c>
      <c r="E1147" s="7" t="inlineStr">
        <is>
          <t>Herbicida</t>
        </is>
      </c>
      <c r="F1147" s="7" t="inlineStr">
        <is>
          <t>Milho-voluntário (Tiguera)</t>
        </is>
      </c>
      <c r="G1147" s="7" t="inlineStr">
        <is>
          <t>Zea mays</t>
        </is>
      </c>
      <c r="H1147" s="7" t="inlineStr">
        <is>
          <t>NÃO</t>
        </is>
      </c>
      <c r="I1147" s="17" t="n">
        <v>0.4</v>
      </c>
      <c r="J1147" s="17" t="n">
        <v>0.6</v>
      </c>
      <c r="K1147" s="7" t="inlineStr">
        <is>
          <t>L/ha</t>
        </is>
      </c>
      <c r="L1147" s="9" t="n">
        <v>1</v>
      </c>
      <c r="M1147" s="7" t="inlineStr">
        <is>
          <t>Aplicar conforme monitoramento e estádio recomendado na bula (HRAC Grupo A (1) — Inibidores da ACCase)</t>
        </is>
      </c>
    </row>
    <row r="1148" ht="22" customHeight="1">
      <c r="A1148" s="12" t="inlineStr">
        <is>
          <t>ALV-1144</t>
        </is>
      </c>
      <c r="B1148" s="11" t="n">
        <v>583</v>
      </c>
      <c r="C1148" s="13" t="inlineStr">
        <is>
          <t>Nº 12320</t>
        </is>
      </c>
      <c r="D1148" s="14" t="inlineStr">
        <is>
          <t>AVEO EZ 0,500L</t>
        </is>
      </c>
      <c r="E1148" s="13" t="inlineStr">
        <is>
          <t>Bionematicida (Biológico)</t>
        </is>
      </c>
      <c r="F1148" s="13" t="inlineStr">
        <is>
          <t>Nematoide-das-lesões</t>
        </is>
      </c>
      <c r="G1148" s="13" t="inlineStr">
        <is>
          <t>Pratylenchus brachyurus</t>
        </is>
      </c>
      <c r="H1148" s="13" t="inlineStr">
        <is>
          <t>NÃO</t>
        </is>
      </c>
      <c r="I1148" s="18" t="n">
        <v>0.2</v>
      </c>
      <c r="J1148" s="15" t="n">
        <v>1</v>
      </c>
      <c r="K1148" s="13" t="inlineStr">
        <is>
          <t>L/ha</t>
        </is>
      </c>
      <c r="L1148" s="15" t="n">
        <v>1</v>
      </c>
      <c r="M1148" s="13" t="inlineStr">
        <is>
          <t>Aplicar conforme monitoramento e estádio recomendado na bula (FRAC Grupo BM02 / IRAC Grupo 11A / Bioinsumo)</t>
        </is>
      </c>
    </row>
    <row r="1149" ht="22" customHeight="1">
      <c r="A1149" s="6" t="inlineStr">
        <is>
          <t>ALV-1145</t>
        </is>
      </c>
      <c r="B1149" s="5" t="n">
        <v>583</v>
      </c>
      <c r="C1149" s="7" t="inlineStr">
        <is>
          <t>Nº 12320</t>
        </is>
      </c>
      <c r="D1149" s="8" t="inlineStr">
        <is>
          <t>AVEO EZ 0,500L</t>
        </is>
      </c>
      <c r="E1149" s="7" t="inlineStr">
        <is>
          <t>Bionematicida (Biológico)</t>
        </is>
      </c>
      <c r="F1149" s="7" t="inlineStr">
        <is>
          <t>Mofo-branco</t>
        </is>
      </c>
      <c r="G1149" s="7" t="inlineStr">
        <is>
          <t>Sclerotinia sclerotiorum</t>
        </is>
      </c>
      <c r="H1149" s="7" t="inlineStr">
        <is>
          <t>NÃO</t>
        </is>
      </c>
      <c r="I1149" s="9" t="n">
        <v>1</v>
      </c>
      <c r="J1149" s="9" t="n">
        <v>2</v>
      </c>
      <c r="K1149" s="7" t="inlineStr">
        <is>
          <t>L/ha</t>
        </is>
      </c>
      <c r="L1149" s="9" t="n">
        <v>1</v>
      </c>
      <c r="M1149" s="7" t="inlineStr">
        <is>
          <t>Aplicar conforme monitoramento e estádio recomendado na bula (FRAC Grupo BM02 / IRAC Grupo 11A / Bioinsumo)</t>
        </is>
      </c>
    </row>
    <row r="1150" ht="22" customHeight="1">
      <c r="A1150" s="12" t="inlineStr">
        <is>
          <t>ALV-1146</t>
        </is>
      </c>
      <c r="B1150" s="11" t="n">
        <v>584</v>
      </c>
      <c r="C1150" s="13" t="inlineStr">
        <is>
          <t>Nº 10598</t>
        </is>
      </c>
      <c r="D1150" s="14" t="inlineStr">
        <is>
          <t>PIREPHOS EC</t>
        </is>
      </c>
      <c r="E1150" s="13" t="inlineStr">
        <is>
          <t>Inseticida</t>
        </is>
      </c>
      <c r="F1150" s="13" t="inlineStr">
        <is>
          <t>Complexo de Lagartas, Percevejos e Sugadores</t>
        </is>
      </c>
      <c r="G1150" s="13" t="inlineStr">
        <is>
          <t>Spodoptera / Euschistus / Bemisia</t>
        </is>
      </c>
      <c r="H1150" s="13" t="inlineStr">
        <is>
          <t>NÃO</t>
        </is>
      </c>
      <c r="I1150" s="18" t="n">
        <v>0.15</v>
      </c>
      <c r="J1150" s="15" t="n">
        <v>1</v>
      </c>
      <c r="K1150" s="13" t="inlineStr">
        <is>
          <t>L ou kg/ha</t>
        </is>
      </c>
      <c r="L1150" s="15" t="n">
        <v>1</v>
      </c>
      <c r="M1150" s="13" t="inlineStr">
        <is>
          <t>Aplicar conforme monitoramento e estádio recomendado na bula (Classificação IRAC Oficial conforme Bula)</t>
        </is>
      </c>
    </row>
    <row r="1151" ht="22" customHeight="1">
      <c r="A1151" s="6" t="inlineStr">
        <is>
          <t>ALV-1147</t>
        </is>
      </c>
      <c r="B1151" s="5" t="n">
        <v>585</v>
      </c>
      <c r="C1151" s="7" t="inlineStr">
        <is>
          <t>Nº 11216</t>
        </is>
      </c>
      <c r="D1151" s="8" t="inlineStr">
        <is>
          <t>ATIVUM (TM) EC</t>
        </is>
      </c>
      <c r="E1151" s="7" t="inlineStr">
        <is>
          <t>Fungicida</t>
        </is>
      </c>
      <c r="F1151" s="7" t="inlineStr">
        <is>
          <t>Complexo de Doenças Foliares e Ferrugem</t>
        </is>
      </c>
      <c r="G1151" s="7" t="inlineStr">
        <is>
          <t>Phakopsora pachyrhizi / Corynespora</t>
        </is>
      </c>
      <c r="H1151" s="7" t="inlineStr">
        <is>
          <t>NÃO</t>
        </is>
      </c>
      <c r="I1151" s="17" t="n">
        <v>0.3</v>
      </c>
      <c r="J1151" s="17" t="n">
        <v>1.5</v>
      </c>
      <c r="K1151" s="7" t="inlineStr">
        <is>
          <t>L ou kg/ha</t>
        </is>
      </c>
      <c r="L1151" s="9" t="n">
        <v>1</v>
      </c>
      <c r="M1151" s="7" t="inlineStr">
        <is>
          <t>Aplicar conforme monitoramento e estádio recomendado na bula (Classificação FRAC Oficial conforme Bula)</t>
        </is>
      </c>
    </row>
    <row r="1152" ht="22" customHeight="1">
      <c r="A1152" s="12" t="inlineStr">
        <is>
          <t>ALV-1148</t>
        </is>
      </c>
      <c r="B1152" s="11" t="n">
        <v>586</v>
      </c>
      <c r="C1152" s="13" t="inlineStr">
        <is>
          <t>Nº 9519</t>
        </is>
      </c>
      <c r="D1152" s="14" t="inlineStr">
        <is>
          <t>ATRAZINA CCAB</t>
        </is>
      </c>
      <c r="E1152" s="13" t="inlineStr">
        <is>
          <t>Herbicida</t>
        </is>
      </c>
      <c r="F1152" s="13" t="inlineStr">
        <is>
          <t>Picão-preto</t>
        </is>
      </c>
      <c r="G1152" s="13" t="inlineStr">
        <is>
          <t>Bidens pilosa</t>
        </is>
      </c>
      <c r="H1152" s="13" t="inlineStr">
        <is>
          <t>SIM (*)</t>
        </is>
      </c>
      <c r="I1152" s="18" t="n">
        <v>2.5</v>
      </c>
      <c r="J1152" s="15" t="n">
        <v>4</v>
      </c>
      <c r="K1152" s="13" t="inlineStr">
        <is>
          <t>L ou kg/ha</t>
        </is>
      </c>
      <c r="L1152" s="15" t="n">
        <v>1</v>
      </c>
      <c r="M1152" s="13" t="inlineStr">
        <is>
          <t>Aplicar conforme monitoramento e estádio recomendado na bula (HRAC Grupo C1 (5) — Inibidores do Fotossistema II)</t>
        </is>
      </c>
    </row>
    <row r="1153" ht="22" customHeight="1">
      <c r="A1153" s="6" t="inlineStr">
        <is>
          <t>ALV-1149</t>
        </is>
      </c>
      <c r="B1153" s="5" t="n">
        <v>586</v>
      </c>
      <c r="C1153" s="7" t="inlineStr">
        <is>
          <t>Nº 9519</t>
        </is>
      </c>
      <c r="D1153" s="8" t="inlineStr">
        <is>
          <t>ATRAZINA CCAB</t>
        </is>
      </c>
      <c r="E1153" s="7" t="inlineStr">
        <is>
          <t>Herbicida</t>
        </is>
      </c>
      <c r="F1153" s="7" t="inlineStr">
        <is>
          <t>Caruru</t>
        </is>
      </c>
      <c r="G1153" s="7" t="inlineStr">
        <is>
          <t>Amaranthus viridis</t>
        </is>
      </c>
      <c r="H1153" s="7" t="inlineStr">
        <is>
          <t>SIM (*)</t>
        </is>
      </c>
      <c r="I1153" s="17" t="n">
        <v>2.5</v>
      </c>
      <c r="J1153" s="17" t="n">
        <v>3.5</v>
      </c>
      <c r="K1153" s="7" t="inlineStr">
        <is>
          <t>L ou kg/ha</t>
        </is>
      </c>
      <c r="L1153" s="9" t="n">
        <v>1</v>
      </c>
      <c r="M1153" s="7" t="inlineStr">
        <is>
          <t>Aplicar conforme monitoramento e estádio recomendado na bula (HRAC Grupo C1 (5) — Inibidores do Fotossistema II)</t>
        </is>
      </c>
    </row>
    <row r="1154" ht="22" customHeight="1">
      <c r="A1154" s="12" t="inlineStr">
        <is>
          <t>ALV-1150</t>
        </is>
      </c>
      <c r="B1154" s="11" t="n">
        <v>586</v>
      </c>
      <c r="C1154" s="13" t="inlineStr">
        <is>
          <t>Nº 9519</t>
        </is>
      </c>
      <c r="D1154" s="14" t="inlineStr">
        <is>
          <t>ATRAZINA CCAB</t>
        </is>
      </c>
      <c r="E1154" s="13" t="inlineStr">
        <is>
          <t>Herbicida</t>
        </is>
      </c>
      <c r="F1154" s="13" t="inlineStr">
        <is>
          <t>Corda-de-viola</t>
        </is>
      </c>
      <c r="G1154" s="13" t="inlineStr">
        <is>
          <t>Ipomoea grandifolia</t>
        </is>
      </c>
      <c r="H1154" s="13" t="inlineStr">
        <is>
          <t>NÃO</t>
        </is>
      </c>
      <c r="I1154" s="15" t="n">
        <v>3</v>
      </c>
      <c r="J1154" s="15" t="n">
        <v>4</v>
      </c>
      <c r="K1154" s="13" t="inlineStr">
        <is>
          <t>L ou kg/ha</t>
        </is>
      </c>
      <c r="L1154" s="15" t="n">
        <v>1</v>
      </c>
      <c r="M1154" s="13" t="inlineStr">
        <is>
          <t>Aplicar conforme monitoramento e estádio recomendado na bula (HRAC Grupo C1 (5) — Inibidores do Fotossistema II)</t>
        </is>
      </c>
    </row>
    <row r="1155" ht="22" customHeight="1">
      <c r="A1155" s="6" t="inlineStr">
        <is>
          <t>ALV-1151</t>
        </is>
      </c>
      <c r="B1155" s="5" t="n">
        <v>587</v>
      </c>
      <c r="C1155" s="7" t="inlineStr">
        <is>
          <t>Nº 0816</t>
        </is>
      </c>
      <c r="D1155" s="8" t="inlineStr">
        <is>
          <t>RACIO</t>
        </is>
      </c>
      <c r="E1155" s="7" t="inlineStr">
        <is>
          <t>Inseticida</t>
        </is>
      </c>
      <c r="F1155" s="7" t="inlineStr">
        <is>
          <t>Percevejo-marrom</t>
        </is>
      </c>
      <c r="G1155" s="7" t="inlineStr">
        <is>
          <t>Euschistus heros</t>
        </is>
      </c>
      <c r="H1155" s="7" t="inlineStr">
        <is>
          <t>NÃO</t>
        </is>
      </c>
      <c r="I1155" s="17" t="n">
        <v>0.8</v>
      </c>
      <c r="J1155" s="17" t="n">
        <v>1.2</v>
      </c>
      <c r="K1155" s="7" t="inlineStr">
        <is>
          <t>kg/ha</t>
        </is>
      </c>
      <c r="L1155" s="9" t="n">
        <v>1</v>
      </c>
      <c r="M1155" s="7" t="inlineStr">
        <is>
          <t>Aplicar conforme monitoramento e estádio recomendado na bula (IRAC Grupo 1B)</t>
        </is>
      </c>
    </row>
    <row r="1156" ht="22" customHeight="1">
      <c r="A1156" s="12" t="inlineStr">
        <is>
          <t>ALV-1152</t>
        </is>
      </c>
      <c r="B1156" s="11" t="n">
        <v>587</v>
      </c>
      <c r="C1156" s="13" t="inlineStr">
        <is>
          <t>Nº 0816</t>
        </is>
      </c>
      <c r="D1156" s="14" t="inlineStr">
        <is>
          <t>RACIO</t>
        </is>
      </c>
      <c r="E1156" s="13" t="inlineStr">
        <is>
          <t>Inseticida</t>
        </is>
      </c>
      <c r="F1156" s="13" t="inlineStr">
        <is>
          <t>Mosca-branca</t>
        </is>
      </c>
      <c r="G1156" s="13" t="inlineStr">
        <is>
          <t>Bemisia tabaci raça B</t>
        </is>
      </c>
      <c r="H1156" s="13" t="inlineStr">
        <is>
          <t>NÃO</t>
        </is>
      </c>
      <c r="I1156" s="18" t="n">
        <v>0.8</v>
      </c>
      <c r="J1156" s="15" t="n">
        <v>1</v>
      </c>
      <c r="K1156" s="13" t="inlineStr">
        <is>
          <t>kg/ha</t>
        </is>
      </c>
      <c r="L1156" s="15" t="n">
        <v>1</v>
      </c>
      <c r="M1156" s="13" t="inlineStr">
        <is>
          <t>Aplicar conforme monitoramento e estádio recomendado na bula (IRAC Grupo 1B)</t>
        </is>
      </c>
    </row>
    <row r="1157" ht="22" customHeight="1">
      <c r="A1157" s="6" t="inlineStr">
        <is>
          <t>ALV-1153</t>
        </is>
      </c>
      <c r="B1157" s="5" t="n">
        <v>587</v>
      </c>
      <c r="C1157" s="7" t="inlineStr">
        <is>
          <t>Nº 0816</t>
        </is>
      </c>
      <c r="D1157" s="8" t="inlineStr">
        <is>
          <t>RACIO</t>
        </is>
      </c>
      <c r="E1157" s="7" t="inlineStr">
        <is>
          <t>Inseticida</t>
        </is>
      </c>
      <c r="F1157" s="7" t="inlineStr">
        <is>
          <t>Tripes</t>
        </is>
      </c>
      <c r="G1157" s="7" t="inlineStr">
        <is>
          <t>Caliothrips phaseoli</t>
        </is>
      </c>
      <c r="H1157" s="7" t="inlineStr">
        <is>
          <t>NÃO</t>
        </is>
      </c>
      <c r="I1157" s="17" t="n">
        <v>0.5</v>
      </c>
      <c r="J1157" s="17" t="n">
        <v>0.8</v>
      </c>
      <c r="K1157" s="7" t="inlineStr">
        <is>
          <t>kg/ha</t>
        </is>
      </c>
      <c r="L1157" s="9" t="n">
        <v>1</v>
      </c>
      <c r="M1157" s="7" t="inlineStr">
        <is>
          <t>Aplicar conforme monitoramento e estádio recomendado na bula (IRAC Grupo 1B)</t>
        </is>
      </c>
    </row>
    <row r="1158" ht="22" customHeight="1">
      <c r="A1158" s="12" t="inlineStr">
        <is>
          <t>ALV-1154</t>
        </is>
      </c>
      <c r="B1158" s="11" t="n">
        <v>588</v>
      </c>
      <c r="C1158" s="13" t="inlineStr">
        <is>
          <t>SIPEAGRO (UF-XXXXX)</t>
        </is>
      </c>
      <c r="D1158" s="14" t="inlineStr">
        <is>
          <t>ESTIMULUS ROOT +</t>
        </is>
      </c>
      <c r="E1158" s="13" t="inlineStr">
        <is>
          <t>Fertilizante Organomineral / Bioestimulante</t>
        </is>
      </c>
      <c r="F1158" s="13" t="inlineStr">
        <is>
          <t>Nutrição e Correção de Deficiência Mineral</t>
        </is>
      </c>
      <c r="G1158" s="13" t="inlineStr">
        <is>
          <t>Nutrição Vegetal</t>
        </is>
      </c>
      <c r="H1158" s="13" t="inlineStr">
        <is>
          <t>NÃO</t>
        </is>
      </c>
      <c r="I1158" s="15" t="n">
        <v>1</v>
      </c>
      <c r="J1158" s="15" t="n">
        <v>250</v>
      </c>
      <c r="K1158" s="13" t="inlineStr">
        <is>
          <t>kg ou L/ha</t>
        </is>
      </c>
      <c r="L1158" s="15" t="n">
        <v>1</v>
      </c>
      <c r="M1158" s="13" t="inlineStr">
        <is>
          <t>Aplicar conforme monitoramento e estádio recomendado na bula (Nutrição Vegetal SIPEAGRO)</t>
        </is>
      </c>
    </row>
    <row r="1159" ht="22" customHeight="1">
      <c r="A1159" s="6" t="inlineStr">
        <is>
          <t>ALV-1155</t>
        </is>
      </c>
      <c r="B1159" s="5" t="n">
        <v>589</v>
      </c>
      <c r="C1159" s="7" t="inlineStr">
        <is>
          <t>Nº 23419</t>
        </is>
      </c>
      <c r="D1159" s="8" t="inlineStr">
        <is>
          <t>SAFENITH</t>
        </is>
      </c>
      <c r="E1159" s="7" t="inlineStr">
        <is>
          <t>Fungicida</t>
        </is>
      </c>
      <c r="F1159" s="7" t="inlineStr">
        <is>
          <t>Ferrugem-asiática</t>
        </is>
      </c>
      <c r="G1159" s="7" t="inlineStr">
        <is>
          <t>Phakopsora pachyrhizi</t>
        </is>
      </c>
      <c r="H1159" s="7" t="inlineStr">
        <is>
          <t>NÃO</t>
        </is>
      </c>
      <c r="I1159" s="17" t="n">
        <v>1.5</v>
      </c>
      <c r="J1159" s="9" t="n">
        <v>2</v>
      </c>
      <c r="K1159" s="7" t="inlineStr">
        <is>
          <t>L ou kg/ha</t>
        </is>
      </c>
      <c r="L1159" s="9" t="n">
        <v>1</v>
      </c>
      <c r="M1159" s="7" t="inlineStr">
        <is>
          <t>Aplicar conforme monitoramento e estádio recomendado na bula (FRAC Grupo M05 — Multissítio)</t>
        </is>
      </c>
    </row>
    <row r="1160" ht="22" customHeight="1">
      <c r="A1160" s="12" t="inlineStr">
        <is>
          <t>ALV-1156</t>
        </is>
      </c>
      <c r="B1160" s="11" t="n">
        <v>589</v>
      </c>
      <c r="C1160" s="13" t="inlineStr">
        <is>
          <t>Nº 23419</t>
        </is>
      </c>
      <c r="D1160" s="14" t="inlineStr">
        <is>
          <t>SAFENITH</t>
        </is>
      </c>
      <c r="E1160" s="13" t="inlineStr">
        <is>
          <t>Fungicida</t>
        </is>
      </c>
      <c r="F1160" s="13" t="inlineStr">
        <is>
          <t>Mancha-alvo</t>
        </is>
      </c>
      <c r="G1160" s="13" t="inlineStr">
        <is>
          <t>Corynespora cassiicola</t>
        </is>
      </c>
      <c r="H1160" s="13" t="inlineStr">
        <is>
          <t>NÃO</t>
        </is>
      </c>
      <c r="I1160" s="18" t="n">
        <v>1.5</v>
      </c>
      <c r="J1160" s="18" t="n">
        <v>2.5</v>
      </c>
      <c r="K1160" s="13" t="inlineStr">
        <is>
          <t>L ou kg/ha</t>
        </is>
      </c>
      <c r="L1160" s="15" t="n">
        <v>1</v>
      </c>
      <c r="M1160" s="13" t="inlineStr">
        <is>
          <t>Aplicar conforme monitoramento e estádio recomendado na bula (FRAC Grupo M05 — Multissítio)</t>
        </is>
      </c>
    </row>
    <row r="1161" ht="22" customHeight="1">
      <c r="A1161" s="6" t="inlineStr">
        <is>
          <t>ALV-1157</t>
        </is>
      </c>
      <c r="B1161" s="5" t="n">
        <v>589</v>
      </c>
      <c r="C1161" s="7" t="inlineStr">
        <is>
          <t>Nº 23419</t>
        </is>
      </c>
      <c r="D1161" s="8" t="inlineStr">
        <is>
          <t>SAFENITH</t>
        </is>
      </c>
      <c r="E1161" s="7" t="inlineStr">
        <is>
          <t>Fungicida</t>
        </is>
      </c>
      <c r="F1161" s="7" t="inlineStr">
        <is>
          <t>Cercosporiose</t>
        </is>
      </c>
      <c r="G1161" s="7" t="inlineStr">
        <is>
          <t>Cercospora kikuchii</t>
        </is>
      </c>
      <c r="H1161" s="7" t="inlineStr">
        <is>
          <t>NÃO</t>
        </is>
      </c>
      <c r="I1161" s="17" t="n">
        <v>1.5</v>
      </c>
      <c r="J1161" s="9" t="n">
        <v>2</v>
      </c>
      <c r="K1161" s="7" t="inlineStr">
        <is>
          <t>L ou kg/ha</t>
        </is>
      </c>
      <c r="L1161" s="9" t="n">
        <v>1</v>
      </c>
      <c r="M1161" s="7" t="inlineStr">
        <is>
          <t>Aplicar conforme monitoramento e estádio recomendado na bula (FRAC Grupo M05 — Multissítio)</t>
        </is>
      </c>
    </row>
    <row r="1162" ht="22" customHeight="1">
      <c r="A1162" s="12" t="inlineStr">
        <is>
          <t>ALV-1158</t>
        </is>
      </c>
      <c r="B1162" s="11" t="n">
        <v>590</v>
      </c>
      <c r="C1162" s="13" t="inlineStr">
        <is>
          <t>Nº 5615</t>
        </is>
      </c>
      <c r="D1162" s="14" t="inlineStr">
        <is>
          <t>PREVINIL</t>
        </is>
      </c>
      <c r="E1162" s="13" t="inlineStr">
        <is>
          <t>Fungicida</t>
        </is>
      </c>
      <c r="F1162" s="13" t="inlineStr">
        <is>
          <t>Ferrugem-asiática</t>
        </is>
      </c>
      <c r="G1162" s="13" t="inlineStr">
        <is>
          <t>Phakopsora pachyrhizi</t>
        </is>
      </c>
      <c r="H1162" s="13" t="inlineStr">
        <is>
          <t>NÃO</t>
        </is>
      </c>
      <c r="I1162" s="18" t="n">
        <v>1.5</v>
      </c>
      <c r="J1162" s="15" t="n">
        <v>2</v>
      </c>
      <c r="K1162" s="13" t="inlineStr">
        <is>
          <t>L ou kg/ha</t>
        </is>
      </c>
      <c r="L1162" s="15" t="n">
        <v>1</v>
      </c>
      <c r="M1162" s="13" t="inlineStr">
        <is>
          <t>Aplicar conforme monitoramento e estádio recomendado na bula (FRAC Grupo M05 — Multissítio)</t>
        </is>
      </c>
    </row>
    <row r="1163" ht="22" customHeight="1">
      <c r="A1163" s="6" t="inlineStr">
        <is>
          <t>ALV-1159</t>
        </is>
      </c>
      <c r="B1163" s="5" t="n">
        <v>590</v>
      </c>
      <c r="C1163" s="7" t="inlineStr">
        <is>
          <t>Nº 5615</t>
        </is>
      </c>
      <c r="D1163" s="8" t="inlineStr">
        <is>
          <t>PREVINIL</t>
        </is>
      </c>
      <c r="E1163" s="7" t="inlineStr">
        <is>
          <t>Fungicida</t>
        </is>
      </c>
      <c r="F1163" s="7" t="inlineStr">
        <is>
          <t>Mancha-alvo</t>
        </is>
      </c>
      <c r="G1163" s="7" t="inlineStr">
        <is>
          <t>Corynespora cassiicola</t>
        </is>
      </c>
      <c r="H1163" s="7" t="inlineStr">
        <is>
          <t>NÃO</t>
        </is>
      </c>
      <c r="I1163" s="17" t="n">
        <v>1.5</v>
      </c>
      <c r="J1163" s="17" t="n">
        <v>2.5</v>
      </c>
      <c r="K1163" s="7" t="inlineStr">
        <is>
          <t>L ou kg/ha</t>
        </is>
      </c>
      <c r="L1163" s="9" t="n">
        <v>1</v>
      </c>
      <c r="M1163" s="7" t="inlineStr">
        <is>
          <t>Aplicar conforme monitoramento e estádio recomendado na bula (FRAC Grupo M05 — Multissítio)</t>
        </is>
      </c>
    </row>
    <row r="1164" ht="22" customHeight="1">
      <c r="A1164" s="12" t="inlineStr">
        <is>
          <t>ALV-1160</t>
        </is>
      </c>
      <c r="B1164" s="11" t="n">
        <v>590</v>
      </c>
      <c r="C1164" s="13" t="inlineStr">
        <is>
          <t>Nº 5615</t>
        </is>
      </c>
      <c r="D1164" s="14" t="inlineStr">
        <is>
          <t>PREVINIL</t>
        </is>
      </c>
      <c r="E1164" s="13" t="inlineStr">
        <is>
          <t>Fungicida</t>
        </is>
      </c>
      <c r="F1164" s="13" t="inlineStr">
        <is>
          <t>Cercosporiose</t>
        </is>
      </c>
      <c r="G1164" s="13" t="inlineStr">
        <is>
          <t>Cercospora kikuchii</t>
        </is>
      </c>
      <c r="H1164" s="13" t="inlineStr">
        <is>
          <t>NÃO</t>
        </is>
      </c>
      <c r="I1164" s="18" t="n">
        <v>1.5</v>
      </c>
      <c r="J1164" s="15" t="n">
        <v>2</v>
      </c>
      <c r="K1164" s="13" t="inlineStr">
        <is>
          <t>L ou kg/ha</t>
        </is>
      </c>
      <c r="L1164" s="15" t="n">
        <v>1</v>
      </c>
      <c r="M1164" s="13" t="inlineStr">
        <is>
          <t>Aplicar conforme monitoramento e estádio recomendado na bula (FRAC Grupo M05 — Multissítio)</t>
        </is>
      </c>
    </row>
    <row r="1165" ht="22" customHeight="1">
      <c r="A1165" s="6" t="inlineStr">
        <is>
          <t>ALV-1161</t>
        </is>
      </c>
      <c r="B1165" s="5" t="n">
        <v>591</v>
      </c>
      <c r="C1165" s="7" t="inlineStr">
        <is>
          <t>Nº 14617</t>
        </is>
      </c>
      <c r="D1165" s="8" t="inlineStr">
        <is>
          <t>SPERTO - UPL 138 FP BR</t>
        </is>
      </c>
      <c r="E1165" s="7" t="inlineStr">
        <is>
          <t>Inseticida</t>
        </is>
      </c>
      <c r="F1165" s="7" t="inlineStr">
        <is>
          <t>Bicudo-do-algodoeiro</t>
        </is>
      </c>
      <c r="G1165" s="7" t="inlineStr">
        <is>
          <t>Anthonomus grandis</t>
        </is>
      </c>
      <c r="H1165" s="7" t="inlineStr">
        <is>
          <t>NÃO</t>
        </is>
      </c>
      <c r="I1165" s="17" t="n">
        <v>0.15</v>
      </c>
      <c r="J1165" s="17" t="n">
        <v>0.25</v>
      </c>
      <c r="K1165" s="7" t="inlineStr">
        <is>
          <t>L/ha</t>
        </is>
      </c>
      <c r="L1165" s="9" t="n">
        <v>1</v>
      </c>
      <c r="M1165" s="7" t="inlineStr">
        <is>
          <t>Aplicar conforme monitoramento e estádio recomendado na bula (IRAC Grupo 3A)</t>
        </is>
      </c>
    </row>
    <row r="1166" ht="22" customHeight="1">
      <c r="A1166" s="12" t="inlineStr">
        <is>
          <t>ALV-1162</t>
        </is>
      </c>
      <c r="B1166" s="11" t="n">
        <v>591</v>
      </c>
      <c r="C1166" s="13" t="inlineStr">
        <is>
          <t>Nº 14617</t>
        </is>
      </c>
      <c r="D1166" s="14" t="inlineStr">
        <is>
          <t>SPERTO - UPL 138 FP BR</t>
        </is>
      </c>
      <c r="E1166" s="13" t="inlineStr">
        <is>
          <t>Inseticida</t>
        </is>
      </c>
      <c r="F1166" s="13" t="inlineStr">
        <is>
          <t>Mosca-branca</t>
        </is>
      </c>
      <c r="G1166" s="13" t="inlineStr">
        <is>
          <t>Bemisia tabaci raça B</t>
        </is>
      </c>
      <c r="H1166" s="13" t="inlineStr">
        <is>
          <t>SIM (*)</t>
        </is>
      </c>
      <c r="I1166" s="18" t="n">
        <v>0.125</v>
      </c>
      <c r="J1166" s="18" t="n">
        <v>0.25</v>
      </c>
      <c r="K1166" s="13" t="inlineStr">
        <is>
          <t>L/ha</t>
        </is>
      </c>
      <c r="L1166" s="15" t="n">
        <v>1</v>
      </c>
      <c r="M1166" s="13" t="inlineStr">
        <is>
          <t>Aplicar conforme monitoramento e estádio recomendado na bula (IRAC Grupo 3A)</t>
        </is>
      </c>
    </row>
    <row r="1167" ht="22" customHeight="1">
      <c r="A1167" s="6" t="inlineStr">
        <is>
          <t>ALV-1163</t>
        </is>
      </c>
      <c r="B1167" s="5" t="n">
        <v>591</v>
      </c>
      <c r="C1167" s="7" t="inlineStr">
        <is>
          <t>Nº 14617</t>
        </is>
      </c>
      <c r="D1167" s="8" t="inlineStr">
        <is>
          <t>SPERTO - UPL 138 FP BR</t>
        </is>
      </c>
      <c r="E1167" s="7" t="inlineStr">
        <is>
          <t>Inseticida</t>
        </is>
      </c>
      <c r="F1167" s="7" t="inlineStr">
        <is>
          <t>Ácaro-rajado</t>
        </is>
      </c>
      <c r="G1167" s="7" t="inlineStr">
        <is>
          <t>Tetranychus urticae</t>
        </is>
      </c>
      <c r="H1167" s="7" t="inlineStr">
        <is>
          <t>SIM (*)</t>
        </is>
      </c>
      <c r="I1167" s="17" t="n">
        <v>0.15</v>
      </c>
      <c r="J1167" s="17" t="n">
        <v>0.2</v>
      </c>
      <c r="K1167" s="7" t="inlineStr">
        <is>
          <t>L/ha</t>
        </is>
      </c>
      <c r="L1167" s="9" t="n">
        <v>1</v>
      </c>
      <c r="M1167" s="7" t="inlineStr">
        <is>
          <t>Aplicar conforme monitoramento e estádio recomendado na bula (IRAC Grupo 3A)</t>
        </is>
      </c>
    </row>
    <row r="1168" ht="22" customHeight="1">
      <c r="A1168" s="12" t="inlineStr">
        <is>
          <t>ALV-1164</t>
        </is>
      </c>
      <c r="B1168" s="11" t="n">
        <v>592</v>
      </c>
      <c r="C1168" s="13" t="inlineStr">
        <is>
          <t>SIPEAGRO (UF-XXXXX)</t>
        </is>
      </c>
      <c r="D1168" s="14" t="inlineStr">
        <is>
          <t>NITROBASE 30</t>
        </is>
      </c>
      <c r="E1168" s="13" t="inlineStr">
        <is>
          <t>Fertilizante Organomineral / Bioestimulante</t>
        </is>
      </c>
      <c r="F1168" s="13" t="inlineStr">
        <is>
          <t>Nutrição e Correção de Deficiência Mineral</t>
        </is>
      </c>
      <c r="G1168" s="13" t="inlineStr">
        <is>
          <t>Nutrição Vegetal</t>
        </is>
      </c>
      <c r="H1168" s="13" t="inlineStr">
        <is>
          <t>NÃO</t>
        </is>
      </c>
      <c r="I1168" s="15" t="n">
        <v>1</v>
      </c>
      <c r="J1168" s="15" t="n">
        <v>250</v>
      </c>
      <c r="K1168" s="13" t="inlineStr">
        <is>
          <t>kg ou L/ha</t>
        </is>
      </c>
      <c r="L1168" s="15" t="n">
        <v>1</v>
      </c>
      <c r="M1168" s="13" t="inlineStr">
        <is>
          <t>Aplicar conforme monitoramento e estádio recomendado na bula (Nutrição Vegetal SIPEAGRO)</t>
        </is>
      </c>
    </row>
    <row r="1169" ht="22" customHeight="1">
      <c r="A1169" s="6" t="inlineStr">
        <is>
          <t>ALV-1165</t>
        </is>
      </c>
      <c r="B1169" s="5" t="n">
        <v>593</v>
      </c>
      <c r="C1169" s="7" t="inlineStr">
        <is>
          <t>Nº 18817</t>
        </is>
      </c>
      <c r="D1169" s="8" t="inlineStr">
        <is>
          <t>VERISMO</t>
        </is>
      </c>
      <c r="E1169" s="7" t="inlineStr">
        <is>
          <t>Inseticida</t>
        </is>
      </c>
      <c r="F1169" s="7" t="inlineStr">
        <is>
          <t>Complexo de Lagartas, Percevejos e Sugadores</t>
        </is>
      </c>
      <c r="G1169" s="7" t="inlineStr">
        <is>
          <t>Spodoptera / Euschistus / Bemisia</t>
        </is>
      </c>
      <c r="H1169" s="7" t="inlineStr">
        <is>
          <t>NÃO</t>
        </is>
      </c>
      <c r="I1169" s="17" t="n">
        <v>0.15</v>
      </c>
      <c r="J1169" s="9" t="n">
        <v>1</v>
      </c>
      <c r="K1169" s="7" t="inlineStr">
        <is>
          <t>L ou kg/ha</t>
        </is>
      </c>
      <c r="L1169" s="9" t="n">
        <v>1</v>
      </c>
      <c r="M1169" s="7" t="inlineStr">
        <is>
          <t>Aplicar conforme monitoramento e estádio recomendado na bula (Classificação IRAC Oficial conforme Bula)</t>
        </is>
      </c>
    </row>
    <row r="1170" ht="22" customHeight="1">
      <c r="A1170" s="12" t="inlineStr">
        <is>
          <t>ALV-1166</t>
        </is>
      </c>
      <c r="B1170" s="11" t="n">
        <v>594</v>
      </c>
      <c r="C1170" s="13" t="inlineStr">
        <is>
          <t>SIPEAGRO (UF-XXXXX)</t>
        </is>
      </c>
      <c r="D1170" s="14" t="inlineStr">
        <is>
          <t>INOCULANTE GRAP NOD AL 1,5L</t>
        </is>
      </c>
      <c r="E1170" s="13" t="inlineStr">
        <is>
          <t>Inoculante Fixador de Nitrogênio</t>
        </is>
      </c>
      <c r="F1170" s="13" t="inlineStr">
        <is>
          <t>Fixação Biológica de Nitrogênio e Enraizamento</t>
        </is>
      </c>
      <c r="G1170" s="13" t="inlineStr">
        <is>
          <t>Zea mays / Glycine max</t>
        </is>
      </c>
      <c r="H1170" s="13" t="inlineStr">
        <is>
          <t>NÃO</t>
        </is>
      </c>
      <c r="I1170" s="18" t="n">
        <v>0.1</v>
      </c>
      <c r="J1170" s="18" t="n">
        <v>0.3</v>
      </c>
      <c r="K1170" s="13" t="inlineStr">
        <is>
          <t>L/ha ou 100kg sem.</t>
        </is>
      </c>
      <c r="L1170" s="15" t="n">
        <v>1</v>
      </c>
      <c r="M1170" s="13" t="inlineStr">
        <is>
          <t>Aplicar conforme monitoramento e estádio recomendado na bula (Inoculante Biológico — Lei nº 6.894/1980)</t>
        </is>
      </c>
    </row>
    <row r="1171" ht="22" customHeight="1">
      <c r="A1171" s="6" t="inlineStr">
        <is>
          <t>ALV-1167</t>
        </is>
      </c>
      <c r="B1171" s="5" t="n">
        <v>595</v>
      </c>
      <c r="C1171" s="7" t="inlineStr">
        <is>
          <t>Nº 0322</t>
        </is>
      </c>
      <c r="D1171" s="8" t="inlineStr">
        <is>
          <t>DORAI MAX</t>
        </is>
      </c>
      <c r="E1171" s="7" t="inlineStr">
        <is>
          <t>Herbicida Dessecante</t>
        </is>
      </c>
      <c r="F1171" s="7" t="inlineStr">
        <is>
          <t>Buva</t>
        </is>
      </c>
      <c r="G1171" s="7" t="inlineStr">
        <is>
          <t>Conyza bonariensis</t>
        </is>
      </c>
      <c r="H1171" s="7" t="inlineStr">
        <is>
          <t>NÃO</t>
        </is>
      </c>
      <c r="I1171" s="17" t="n">
        <v>1.5</v>
      </c>
      <c r="J1171" s="17" t="n">
        <v>2.5</v>
      </c>
      <c r="K1171" s="7" t="inlineStr">
        <is>
          <t>L/ha</t>
        </is>
      </c>
      <c r="L1171" s="9" t="n">
        <v>1</v>
      </c>
      <c r="M1171" s="7" t="inlineStr">
        <is>
          <t>Aplicar conforme monitoramento e estádio recomendado na bula (HRAC Grupo D (22) — Desviadores de Elétrons do Fotossistema I)</t>
        </is>
      </c>
    </row>
    <row r="1172" ht="22" customHeight="1">
      <c r="A1172" s="12" t="inlineStr">
        <is>
          <t>ALV-1168</t>
        </is>
      </c>
      <c r="B1172" s="11" t="n">
        <v>595</v>
      </c>
      <c r="C1172" s="13" t="inlineStr">
        <is>
          <t>Nº 0322</t>
        </is>
      </c>
      <c r="D1172" s="14" t="inlineStr">
        <is>
          <t>DORAI MAX</t>
        </is>
      </c>
      <c r="E1172" s="13" t="inlineStr">
        <is>
          <t>Herbicida Dessecante</t>
        </is>
      </c>
      <c r="F1172" s="13" t="inlineStr">
        <is>
          <t>Corda-de-viola</t>
        </is>
      </c>
      <c r="G1172" s="13" t="inlineStr">
        <is>
          <t>Ipomoea grandifolia</t>
        </is>
      </c>
      <c r="H1172" s="13" t="inlineStr">
        <is>
          <t>NÃO</t>
        </is>
      </c>
      <c r="I1172" s="18" t="n">
        <v>1.5</v>
      </c>
      <c r="J1172" s="15" t="n">
        <v>2</v>
      </c>
      <c r="K1172" s="13" t="inlineStr">
        <is>
          <t>L/ha</t>
        </is>
      </c>
      <c r="L1172" s="15" t="n">
        <v>1</v>
      </c>
      <c r="M1172" s="13" t="inlineStr">
        <is>
          <t>Aplicar conforme monitoramento e estádio recomendado na bula (HRAC Grupo D (22) — Desviadores de Elétrons do Fotossistema I)</t>
        </is>
      </c>
    </row>
    <row r="1173" ht="22" customHeight="1">
      <c r="A1173" s="6" t="inlineStr">
        <is>
          <t>ALV-1169</t>
        </is>
      </c>
      <c r="B1173" s="5" t="n">
        <v>595</v>
      </c>
      <c r="C1173" s="7" t="inlineStr">
        <is>
          <t>Nº 0322</t>
        </is>
      </c>
      <c r="D1173" s="8" t="inlineStr">
        <is>
          <t>DORAI MAX</t>
        </is>
      </c>
      <c r="E1173" s="7" t="inlineStr">
        <is>
          <t>Herbicida Dessecante</t>
        </is>
      </c>
      <c r="F1173" s="7" t="inlineStr">
        <is>
          <t>Dessecação Pré-Colheita Soja</t>
        </is>
      </c>
      <c r="G1173" s="7" t="inlineStr">
        <is>
          <t>Glycine max</t>
        </is>
      </c>
      <c r="H1173" s="7" t="inlineStr">
        <is>
          <t>NÃO</t>
        </is>
      </c>
      <c r="I1173" s="17" t="n">
        <v>1.5</v>
      </c>
      <c r="J1173" s="9" t="n">
        <v>2</v>
      </c>
      <c r="K1173" s="7" t="inlineStr">
        <is>
          <t>L/ha</t>
        </is>
      </c>
      <c r="L1173" s="9" t="n">
        <v>1</v>
      </c>
      <c r="M1173" s="7" t="inlineStr">
        <is>
          <t>Aplicar conforme monitoramento e estádio recomendado na bula (HRAC Grupo D (22) — Desviadores de Elétrons do Fotossistema I)</t>
        </is>
      </c>
    </row>
    <row r="1174" ht="22" customHeight="1">
      <c r="A1174" s="12" t="inlineStr">
        <is>
          <t>ALV-1170</t>
        </is>
      </c>
      <c r="B1174" s="11" t="n">
        <v>596</v>
      </c>
      <c r="C1174" s="13" t="inlineStr">
        <is>
          <t>Nº 1192</t>
        </is>
      </c>
      <c r="D1174" s="14" t="inlineStr">
        <is>
          <t>BULLDOCK</t>
        </is>
      </c>
      <c r="E1174" s="13" t="inlineStr">
        <is>
          <t>Inseticida</t>
        </is>
      </c>
      <c r="F1174" s="13" t="inlineStr">
        <is>
          <t>Complexo de Lagartas, Percevejos e Sugadores</t>
        </is>
      </c>
      <c r="G1174" s="13" t="inlineStr">
        <is>
          <t>Spodoptera / Euschistus / Bemisia</t>
        </is>
      </c>
      <c r="H1174" s="13" t="inlineStr">
        <is>
          <t>NÃO</t>
        </is>
      </c>
      <c r="I1174" s="18" t="n">
        <v>0.15</v>
      </c>
      <c r="J1174" s="15" t="n">
        <v>1</v>
      </c>
      <c r="K1174" s="13" t="inlineStr">
        <is>
          <t>L ou kg/ha</t>
        </is>
      </c>
      <c r="L1174" s="15" t="n">
        <v>1</v>
      </c>
      <c r="M1174" s="13" t="inlineStr">
        <is>
          <t>Aplicar conforme monitoramento e estádio recomendado na bula (Classificação IRAC Oficial conforme Bula)</t>
        </is>
      </c>
    </row>
    <row r="1175" ht="22" customHeight="1">
      <c r="A1175" s="6" t="inlineStr">
        <is>
          <t>ALV-1171</t>
        </is>
      </c>
      <c r="B1175" s="5" t="n">
        <v>597</v>
      </c>
      <c r="C1175" s="7" t="inlineStr">
        <is>
          <t>Nº 21720</t>
        </is>
      </c>
      <c r="D1175" s="8" t="inlineStr">
        <is>
          <t>MEGATRAZ</t>
        </is>
      </c>
      <c r="E1175" s="7" t="inlineStr">
        <is>
          <t>Herbicida</t>
        </is>
      </c>
      <c r="F1175" s="7" t="inlineStr">
        <is>
          <t>Picão-preto</t>
        </is>
      </c>
      <c r="G1175" s="7" t="inlineStr">
        <is>
          <t>Bidens pilosa</t>
        </is>
      </c>
      <c r="H1175" s="7" t="inlineStr">
        <is>
          <t>SIM (*)</t>
        </is>
      </c>
      <c r="I1175" s="17" t="n">
        <v>2.5</v>
      </c>
      <c r="J1175" s="9" t="n">
        <v>4</v>
      </c>
      <c r="K1175" s="7" t="inlineStr">
        <is>
          <t>L ou kg/ha</t>
        </is>
      </c>
      <c r="L1175" s="9" t="n">
        <v>1</v>
      </c>
      <c r="M1175" s="7" t="inlineStr">
        <is>
          <t>Aplicar conforme monitoramento e estádio recomendado na bula (HRAC Grupo C1 (5) — Inibidores do Fotossistema II)</t>
        </is>
      </c>
    </row>
    <row r="1176" ht="22" customHeight="1">
      <c r="A1176" s="12" t="inlineStr">
        <is>
          <t>ALV-1172</t>
        </is>
      </c>
      <c r="B1176" s="11" t="n">
        <v>597</v>
      </c>
      <c r="C1176" s="13" t="inlineStr">
        <is>
          <t>Nº 21720</t>
        </is>
      </c>
      <c r="D1176" s="14" t="inlineStr">
        <is>
          <t>MEGATRAZ</t>
        </is>
      </c>
      <c r="E1176" s="13" t="inlineStr">
        <is>
          <t>Herbicida</t>
        </is>
      </c>
      <c r="F1176" s="13" t="inlineStr">
        <is>
          <t>Caruru</t>
        </is>
      </c>
      <c r="G1176" s="13" t="inlineStr">
        <is>
          <t>Amaranthus viridis</t>
        </is>
      </c>
      <c r="H1176" s="13" t="inlineStr">
        <is>
          <t>SIM (*)</t>
        </is>
      </c>
      <c r="I1176" s="18" t="n">
        <v>2.5</v>
      </c>
      <c r="J1176" s="18" t="n">
        <v>3.5</v>
      </c>
      <c r="K1176" s="13" t="inlineStr">
        <is>
          <t>L ou kg/ha</t>
        </is>
      </c>
      <c r="L1176" s="15" t="n">
        <v>1</v>
      </c>
      <c r="M1176" s="13" t="inlineStr">
        <is>
          <t>Aplicar conforme monitoramento e estádio recomendado na bula (HRAC Grupo C1 (5) — Inibidores do Fotossistema II)</t>
        </is>
      </c>
    </row>
    <row r="1177" ht="22" customHeight="1">
      <c r="A1177" s="6" t="inlineStr">
        <is>
          <t>ALV-1173</t>
        </is>
      </c>
      <c r="B1177" s="5" t="n">
        <v>597</v>
      </c>
      <c r="C1177" s="7" t="inlineStr">
        <is>
          <t>Nº 21720</t>
        </is>
      </c>
      <c r="D1177" s="8" t="inlineStr">
        <is>
          <t>MEGATRAZ</t>
        </is>
      </c>
      <c r="E1177" s="7" t="inlineStr">
        <is>
          <t>Herbicida</t>
        </is>
      </c>
      <c r="F1177" s="7" t="inlineStr">
        <is>
          <t>Corda-de-viola</t>
        </is>
      </c>
      <c r="G1177" s="7" t="inlineStr">
        <is>
          <t>Ipomoea grandifolia</t>
        </is>
      </c>
      <c r="H1177" s="7" t="inlineStr">
        <is>
          <t>NÃO</t>
        </is>
      </c>
      <c r="I1177" s="9" t="n">
        <v>3</v>
      </c>
      <c r="J1177" s="9" t="n">
        <v>4</v>
      </c>
      <c r="K1177" s="7" t="inlineStr">
        <is>
          <t>L ou kg/ha</t>
        </is>
      </c>
      <c r="L1177" s="9" t="n">
        <v>1</v>
      </c>
      <c r="M1177" s="7" t="inlineStr">
        <is>
          <t>Aplicar conforme monitoramento e estádio recomendado na bula (HRAC Grupo C1 (5) — Inibidores do Fotossistema II)</t>
        </is>
      </c>
    </row>
    <row r="1178" ht="22" customHeight="1">
      <c r="A1178" s="12" t="inlineStr">
        <is>
          <t>ALV-1174</t>
        </is>
      </c>
      <c r="B1178" s="11" t="n">
        <v>598</v>
      </c>
      <c r="C1178" s="13" t="inlineStr">
        <is>
          <t>SIPEAGRO (UF-XXXXX)</t>
        </is>
      </c>
      <c r="D1178" s="14" t="inlineStr">
        <is>
          <t>GRUN OBER</t>
        </is>
      </c>
      <c r="E1178" s="13" t="inlineStr">
        <is>
          <t>Fertilizante Mineral Simples (Nitrogenado)</t>
        </is>
      </c>
      <c r="F1178" s="13" t="inlineStr">
        <is>
          <t>Nutrição e Correção de Deficiência Mineral</t>
        </is>
      </c>
      <c r="G1178" s="13" t="inlineStr">
        <is>
          <t>Nutrição Vegetal</t>
        </is>
      </c>
      <c r="H1178" s="13" t="inlineStr">
        <is>
          <t>NÃO</t>
        </is>
      </c>
      <c r="I1178" s="15" t="n">
        <v>1</v>
      </c>
      <c r="J1178" s="15" t="n">
        <v>250</v>
      </c>
      <c r="K1178" s="13" t="inlineStr">
        <is>
          <t>kg ou L/ha</t>
        </is>
      </c>
      <c r="L1178" s="15" t="n">
        <v>1</v>
      </c>
      <c r="M1178" s="13" t="inlineStr">
        <is>
          <t>Aplicar conforme monitoramento e estádio recomendado na bula (Nutrição Vegetal SIPEAGRO)</t>
        </is>
      </c>
    </row>
    <row r="1179" ht="22" customHeight="1">
      <c r="A1179" s="6" t="inlineStr">
        <is>
          <t>ALV-1175</t>
        </is>
      </c>
      <c r="B1179" s="5" t="n">
        <v>599</v>
      </c>
      <c r="C1179" s="7" t="inlineStr">
        <is>
          <t>Nº 8017</t>
        </is>
      </c>
      <c r="D1179" s="8" t="inlineStr">
        <is>
          <t>BOLD</t>
        </is>
      </c>
      <c r="E1179" s="7" t="inlineStr">
        <is>
          <t>Inseticida</t>
        </is>
      </c>
      <c r="F1179" s="7" t="inlineStr">
        <is>
          <t>Mosca-branca</t>
        </is>
      </c>
      <c r="G1179" s="7" t="inlineStr">
        <is>
          <t>Bemisia tabaci raça B</t>
        </is>
      </c>
      <c r="H1179" s="7" t="inlineStr">
        <is>
          <t>SIM (*)</t>
        </is>
      </c>
      <c r="I1179" s="17" t="n">
        <v>0.2</v>
      </c>
      <c r="J1179" s="17" t="n">
        <v>0.3</v>
      </c>
      <c r="K1179" s="7" t="inlineStr">
        <is>
          <t>kg/ha</t>
        </is>
      </c>
      <c r="L1179" s="9" t="n">
        <v>1</v>
      </c>
      <c r="M1179" s="7" t="inlineStr">
        <is>
          <t>Aplicar conforme monitoramento e estádio recomendado na bula (IRAC Grupo 4A)</t>
        </is>
      </c>
    </row>
    <row r="1180" ht="22" customHeight="1">
      <c r="A1180" s="12" t="inlineStr">
        <is>
          <t>ALV-1176</t>
        </is>
      </c>
      <c r="B1180" s="11" t="n">
        <v>599</v>
      </c>
      <c r="C1180" s="13" t="inlineStr">
        <is>
          <t>Nº 8017</t>
        </is>
      </c>
      <c r="D1180" s="14" t="inlineStr">
        <is>
          <t>BOLD</t>
        </is>
      </c>
      <c r="E1180" s="13" t="inlineStr">
        <is>
          <t>Inseticida</t>
        </is>
      </c>
      <c r="F1180" s="13" t="inlineStr">
        <is>
          <t>Pulgão-do-algodoeiro</t>
        </is>
      </c>
      <c r="G1180" s="13" t="inlineStr">
        <is>
          <t>Aphis gossypii</t>
        </is>
      </c>
      <c r="H1180" s="13" t="inlineStr">
        <is>
          <t>NÃO</t>
        </is>
      </c>
      <c r="I1180" s="18" t="n">
        <v>0.15</v>
      </c>
      <c r="J1180" s="18" t="n">
        <v>0.25</v>
      </c>
      <c r="K1180" s="13" t="inlineStr">
        <is>
          <t>kg/ha</t>
        </is>
      </c>
      <c r="L1180" s="15" t="n">
        <v>1</v>
      </c>
      <c r="M1180" s="13" t="inlineStr">
        <is>
          <t>Aplicar conforme monitoramento e estádio recomendado na bula (IRAC Grupo 4A)</t>
        </is>
      </c>
    </row>
    <row r="1181" ht="22" customHeight="1">
      <c r="A1181" s="6" t="inlineStr">
        <is>
          <t>ALV-1177</t>
        </is>
      </c>
      <c r="B1181" s="5" t="n">
        <v>599</v>
      </c>
      <c r="C1181" s="7" t="inlineStr">
        <is>
          <t>Nº 8017</t>
        </is>
      </c>
      <c r="D1181" s="8" t="inlineStr">
        <is>
          <t>BOLD</t>
        </is>
      </c>
      <c r="E1181" s="7" t="inlineStr">
        <is>
          <t>Inseticida</t>
        </is>
      </c>
      <c r="F1181" s="7" t="inlineStr">
        <is>
          <t>Percevejo-marrom</t>
        </is>
      </c>
      <c r="G1181" s="7" t="inlineStr">
        <is>
          <t>Euschistus heros</t>
        </is>
      </c>
      <c r="H1181" s="7" t="inlineStr">
        <is>
          <t>NÃO</t>
        </is>
      </c>
      <c r="I1181" s="17" t="n">
        <v>0.25</v>
      </c>
      <c r="J1181" s="17" t="n">
        <v>0.35</v>
      </c>
      <c r="K1181" s="7" t="inlineStr">
        <is>
          <t>kg/ha</t>
        </is>
      </c>
      <c r="L1181" s="9" t="n">
        <v>1</v>
      </c>
      <c r="M1181" s="7" t="inlineStr">
        <is>
          <t>Aplicar conforme monitoramento e estádio recomendado na bula (IRAC Grupo 4A)</t>
        </is>
      </c>
    </row>
    <row r="1182" ht="22" customHeight="1">
      <c r="A1182" s="12" t="inlineStr">
        <is>
          <t>ALV-1178</t>
        </is>
      </c>
      <c r="B1182" s="11" t="n">
        <v>600</v>
      </c>
      <c r="C1182" s="13" t="inlineStr">
        <is>
          <t>SIPEAGRO (UF-XXXXX)</t>
        </is>
      </c>
      <c r="D1182" s="14" t="inlineStr">
        <is>
          <t>KALIUM</t>
        </is>
      </c>
      <c r="E1182" s="13" t="inlineStr">
        <is>
          <t>Fertilizante Mineral Simples (Potássico / Magnesiano)</t>
        </is>
      </c>
      <c r="F1182" s="13" t="inlineStr">
        <is>
          <t>Nutrição e Correção de Deficiência Mineral</t>
        </is>
      </c>
      <c r="G1182" s="13" t="inlineStr">
        <is>
          <t>Nutrição Vegetal</t>
        </is>
      </c>
      <c r="H1182" s="13" t="inlineStr">
        <is>
          <t>NÃO</t>
        </is>
      </c>
      <c r="I1182" s="15" t="n">
        <v>1</v>
      </c>
      <c r="J1182" s="15" t="n">
        <v>250</v>
      </c>
      <c r="K1182" s="13" t="inlineStr">
        <is>
          <t>kg ou L/ha</t>
        </is>
      </c>
      <c r="L1182" s="15" t="n">
        <v>1</v>
      </c>
      <c r="M1182" s="13" t="inlineStr">
        <is>
          <t>Aplicar conforme monitoramento e estádio recomendado na bula (Nutrição Vegetal SIPEAGRO)</t>
        </is>
      </c>
    </row>
    <row r="1183" ht="22" customHeight="1">
      <c r="A1183" s="6" t="inlineStr">
        <is>
          <t>ALV-1179</t>
        </is>
      </c>
      <c r="B1183" s="5" t="n">
        <v>601</v>
      </c>
      <c r="C1183" s="7" t="inlineStr">
        <is>
          <t>Nº 26220</t>
        </is>
      </c>
      <c r="D1183" s="8" t="inlineStr">
        <is>
          <t>VIVANTHA</t>
        </is>
      </c>
      <c r="E1183" s="7" t="inlineStr">
        <is>
          <t>Inseticida</t>
        </is>
      </c>
      <c r="F1183" s="7" t="inlineStr">
        <is>
          <t>Complexo de Lagartas, Percevejos e Sugadores</t>
        </is>
      </c>
      <c r="G1183" s="7" t="inlineStr">
        <is>
          <t>Spodoptera / Euschistus / Bemisia</t>
        </is>
      </c>
      <c r="H1183" s="7" t="inlineStr">
        <is>
          <t>NÃO</t>
        </is>
      </c>
      <c r="I1183" s="17" t="n">
        <v>0.15</v>
      </c>
      <c r="J1183" s="9" t="n">
        <v>1</v>
      </c>
      <c r="K1183" s="7" t="inlineStr">
        <is>
          <t>L ou kg/ha</t>
        </is>
      </c>
      <c r="L1183" s="9" t="n">
        <v>1</v>
      </c>
      <c r="M1183" s="7" t="inlineStr">
        <is>
          <t>Aplicar conforme monitoramento e estádio recomendado na bula (Classificação IRAC Oficial conforme Bula)</t>
        </is>
      </c>
    </row>
    <row r="1184" ht="22" customHeight="1">
      <c r="A1184" s="12" t="inlineStr">
        <is>
          <t>ALV-1180</t>
        </is>
      </c>
      <c r="B1184" s="11" t="n">
        <v>602</v>
      </c>
      <c r="C1184" s="13" t="inlineStr">
        <is>
          <t>SIPEAGRO (UF-XXXXX)</t>
        </is>
      </c>
      <c r="D1184" s="14" t="inlineStr">
        <is>
          <t>MAP - FOSFATO MONOAMONICO CRISTAL</t>
        </is>
      </c>
      <c r="E1184" s="13" t="inlineStr">
        <is>
          <t>Fertilizante Complexo (MAP — Fosfato Monoamônico)</t>
        </is>
      </c>
      <c r="F1184" s="13" t="inlineStr">
        <is>
          <t>Nutrição e Correção de Deficiência Mineral</t>
        </is>
      </c>
      <c r="G1184" s="13" t="inlineStr">
        <is>
          <t>Nutrição Vegetal</t>
        </is>
      </c>
      <c r="H1184" s="13" t="inlineStr">
        <is>
          <t>NÃO</t>
        </is>
      </c>
      <c r="I1184" s="15" t="n">
        <v>1</v>
      </c>
      <c r="J1184" s="15" t="n">
        <v>250</v>
      </c>
      <c r="K1184" s="13" t="inlineStr">
        <is>
          <t>kg ou L/ha</t>
        </is>
      </c>
      <c r="L1184" s="15" t="n">
        <v>1</v>
      </c>
      <c r="M1184" s="13" t="inlineStr">
        <is>
          <t>Aplicar conforme monitoramento e estádio recomendado na bula (Nutrição Vegetal SIPEAGRO)</t>
        </is>
      </c>
    </row>
    <row r="1185" ht="22" customHeight="1">
      <c r="A1185" s="6" t="inlineStr">
        <is>
          <t>ALV-1181</t>
        </is>
      </c>
      <c r="B1185" s="5" t="n">
        <v>603</v>
      </c>
      <c r="C1185" s="7" t="inlineStr">
        <is>
          <t>Nº 2509</t>
        </is>
      </c>
      <c r="D1185" s="8" t="inlineStr">
        <is>
          <t>BELT</t>
        </is>
      </c>
      <c r="E1185" s="7" t="inlineStr">
        <is>
          <t>Inseticida</t>
        </is>
      </c>
      <c r="F1185" s="7" t="inlineStr">
        <is>
          <t>Complexo de Lagartas, Percevejos e Sugadores</t>
        </is>
      </c>
      <c r="G1185" s="7" t="inlineStr">
        <is>
          <t>Spodoptera / Euschistus / Bemisia</t>
        </is>
      </c>
      <c r="H1185" s="7" t="inlineStr">
        <is>
          <t>NÃO</t>
        </is>
      </c>
      <c r="I1185" s="17" t="n">
        <v>0.15</v>
      </c>
      <c r="J1185" s="9" t="n">
        <v>1</v>
      </c>
      <c r="K1185" s="7" t="inlineStr">
        <is>
          <t>L ou kg/ha</t>
        </is>
      </c>
      <c r="L1185" s="9" t="n">
        <v>1</v>
      </c>
      <c r="M1185" s="7" t="inlineStr">
        <is>
          <t>Aplicar conforme monitoramento e estádio recomendado na bula (Classificação IRAC Oficial conforme Bula)</t>
        </is>
      </c>
    </row>
    <row r="1186" ht="22" customHeight="1">
      <c r="A1186" s="12" t="inlineStr">
        <is>
          <t>ALV-1182</t>
        </is>
      </c>
      <c r="B1186" s="11" t="n">
        <v>604</v>
      </c>
      <c r="C1186" s="13" t="inlineStr">
        <is>
          <t>SIPEAGRO (UF-XXXXX)</t>
        </is>
      </c>
      <c r="D1186" s="14" t="inlineStr">
        <is>
          <t>BIOAZOS 1,5L</t>
        </is>
      </c>
      <c r="E1186" s="13" t="inlineStr">
        <is>
          <t>Inoculante Fixador de Nitrogênio</t>
        </is>
      </c>
      <c r="F1186" s="13" t="inlineStr">
        <is>
          <t>Fixação Biológica de Nitrogênio e Enraizamento</t>
        </is>
      </c>
      <c r="G1186" s="13" t="inlineStr">
        <is>
          <t>Zea mays / Glycine max</t>
        </is>
      </c>
      <c r="H1186" s="13" t="inlineStr">
        <is>
          <t>NÃO</t>
        </is>
      </c>
      <c r="I1186" s="18" t="n">
        <v>0.1</v>
      </c>
      <c r="J1186" s="18" t="n">
        <v>0.3</v>
      </c>
      <c r="K1186" s="13" t="inlineStr">
        <is>
          <t>L/ha ou 100kg sem.</t>
        </is>
      </c>
      <c r="L1186" s="15" t="n">
        <v>1</v>
      </c>
      <c r="M1186" s="13" t="inlineStr">
        <is>
          <t>Aplicar conforme monitoramento e estádio recomendado na bula (Inoculante Biológico — Lei nº 6.894/1980)</t>
        </is>
      </c>
    </row>
    <row r="1187" ht="22" customHeight="1">
      <c r="A1187" s="6" t="inlineStr">
        <is>
          <t>ALV-1183</t>
        </is>
      </c>
      <c r="B1187" s="5" t="n">
        <v>605</v>
      </c>
      <c r="C1187" s="7" t="inlineStr">
        <is>
          <t>Nº 4899</t>
        </is>
      </c>
      <c r="D1187" s="8" t="inlineStr">
        <is>
          <t>CERTERO SC</t>
        </is>
      </c>
      <c r="E1187" s="7" t="inlineStr">
        <is>
          <t>Inseticida</t>
        </is>
      </c>
      <c r="F1187" s="7" t="inlineStr">
        <is>
          <t>Complexo de Lagartas, Percevejos e Sugadores</t>
        </is>
      </c>
      <c r="G1187" s="7" t="inlineStr">
        <is>
          <t>Spodoptera / Euschistus / Bemisia</t>
        </is>
      </c>
      <c r="H1187" s="7" t="inlineStr">
        <is>
          <t>NÃO</t>
        </is>
      </c>
      <c r="I1187" s="17" t="n">
        <v>0.15</v>
      </c>
      <c r="J1187" s="9" t="n">
        <v>1</v>
      </c>
      <c r="K1187" s="7" t="inlineStr">
        <is>
          <t>L ou kg/ha</t>
        </is>
      </c>
      <c r="L1187" s="9" t="n">
        <v>1</v>
      </c>
      <c r="M1187" s="7" t="inlineStr">
        <is>
          <t>Aplicar conforme monitoramento e estádio recomendado na bula (Classificação IRAC Oficial conforme Bula)</t>
        </is>
      </c>
    </row>
    <row r="1188" ht="22" customHeight="1">
      <c r="A1188" s="12" t="inlineStr">
        <is>
          <t>ALV-1184</t>
        </is>
      </c>
      <c r="B1188" s="11" t="n">
        <v>606</v>
      </c>
      <c r="C1188" s="13" t="inlineStr">
        <is>
          <t>Nº 6105</t>
        </is>
      </c>
      <c r="D1188" s="14" t="inlineStr">
        <is>
          <t>ENGEO PLENO S</t>
        </is>
      </c>
      <c r="E1188" s="13" t="inlineStr">
        <is>
          <t>Inseticida</t>
        </is>
      </c>
      <c r="F1188" s="13" t="inlineStr">
        <is>
          <t>Complexo de Lagartas, Percevejos e Sugadores</t>
        </is>
      </c>
      <c r="G1188" s="13" t="inlineStr">
        <is>
          <t>Spodoptera / Euschistus / Bemisia</t>
        </is>
      </c>
      <c r="H1188" s="13" t="inlineStr">
        <is>
          <t>NÃO</t>
        </is>
      </c>
      <c r="I1188" s="18" t="n">
        <v>0.15</v>
      </c>
      <c r="J1188" s="15" t="n">
        <v>1</v>
      </c>
      <c r="K1188" s="13" t="inlineStr">
        <is>
          <t>L ou kg/ha</t>
        </is>
      </c>
      <c r="L1188" s="15" t="n">
        <v>1</v>
      </c>
      <c r="M1188" s="13" t="inlineStr">
        <is>
          <t>Aplicar conforme monitoramento e estádio recomendado na bula (Classificação IRAC Oficial conforme Bula)</t>
        </is>
      </c>
    </row>
    <row r="1189" ht="22" customHeight="1">
      <c r="A1189" s="6" t="inlineStr">
        <is>
          <t>ALV-1185</t>
        </is>
      </c>
      <c r="B1189" s="5" t="n">
        <v>607</v>
      </c>
      <c r="C1189" s="7" t="inlineStr">
        <is>
          <t>Nº 5108</t>
        </is>
      </c>
      <c r="D1189" s="8" t="inlineStr">
        <is>
          <t>SOBERAN SC</t>
        </is>
      </c>
      <c r="E1189" s="7" t="inlineStr">
        <is>
          <t>Herbicida</t>
        </is>
      </c>
      <c r="F1189" s="7" t="inlineStr">
        <is>
          <t>Plantas Daninhas Mono e Dicotiledôneas</t>
        </is>
      </c>
      <c r="G1189" s="7" t="inlineStr">
        <is>
          <t>Flora Infestante</t>
        </is>
      </c>
      <c r="H1189" s="7" t="inlineStr">
        <is>
          <t>NÃO</t>
        </is>
      </c>
      <c r="I1189" s="17" t="n">
        <v>0.25</v>
      </c>
      <c r="J1189" s="9" t="n">
        <v>2</v>
      </c>
      <c r="K1189" s="7" t="inlineStr">
        <is>
          <t>L ou kg/ha</t>
        </is>
      </c>
      <c r="L1189" s="9" t="n">
        <v>1</v>
      </c>
      <c r="M1189" s="7" t="inlineStr">
        <is>
          <t>Aplicar conforme monitoramento e estádio recomendado na bula (Classificação HRAC Oficial conforme Bula)</t>
        </is>
      </c>
    </row>
    <row r="1190" ht="22" customHeight="1">
      <c r="A1190" s="12" t="inlineStr">
        <is>
          <t>ALV-1186</t>
        </is>
      </c>
      <c r="B1190" s="11" t="n">
        <v>608</v>
      </c>
      <c r="C1190" s="13" t="inlineStr">
        <is>
          <t>Nº 4822</t>
        </is>
      </c>
      <c r="D1190" s="14" t="inlineStr">
        <is>
          <t>FEROCE</t>
        </is>
      </c>
      <c r="E1190" s="13" t="inlineStr">
        <is>
          <t>Inseticida</t>
        </is>
      </c>
      <c r="F1190" s="13" t="inlineStr">
        <is>
          <t>Percevejo-marrom</t>
        </is>
      </c>
      <c r="G1190" s="13" t="inlineStr">
        <is>
          <t>Euschistus heros</t>
        </is>
      </c>
      <c r="H1190" s="13" t="inlineStr">
        <is>
          <t>NÃO</t>
        </is>
      </c>
      <c r="I1190" s="18" t="n">
        <v>0.8</v>
      </c>
      <c r="J1190" s="18" t="n">
        <v>1.2</v>
      </c>
      <c r="K1190" s="13" t="inlineStr">
        <is>
          <t>kg/ha</t>
        </is>
      </c>
      <c r="L1190" s="15" t="n">
        <v>1</v>
      </c>
      <c r="M1190" s="13" t="inlineStr">
        <is>
          <t>Aplicar conforme monitoramento e estádio recomendado na bula (IRAC Grupo 1B)</t>
        </is>
      </c>
    </row>
    <row r="1191" ht="22" customHeight="1">
      <c r="A1191" s="6" t="inlineStr">
        <is>
          <t>ALV-1187</t>
        </is>
      </c>
      <c r="B1191" s="5" t="n">
        <v>608</v>
      </c>
      <c r="C1191" s="7" t="inlineStr">
        <is>
          <t>Nº 4822</t>
        </is>
      </c>
      <c r="D1191" s="8" t="inlineStr">
        <is>
          <t>FEROCE</t>
        </is>
      </c>
      <c r="E1191" s="7" t="inlineStr">
        <is>
          <t>Inseticida</t>
        </is>
      </c>
      <c r="F1191" s="7" t="inlineStr">
        <is>
          <t>Mosca-branca</t>
        </is>
      </c>
      <c r="G1191" s="7" t="inlineStr">
        <is>
          <t>Bemisia tabaci raça B</t>
        </is>
      </c>
      <c r="H1191" s="7" t="inlineStr">
        <is>
          <t>NÃO</t>
        </is>
      </c>
      <c r="I1191" s="17" t="n">
        <v>0.8</v>
      </c>
      <c r="J1191" s="9" t="n">
        <v>1</v>
      </c>
      <c r="K1191" s="7" t="inlineStr">
        <is>
          <t>kg/ha</t>
        </is>
      </c>
      <c r="L1191" s="9" t="n">
        <v>1</v>
      </c>
      <c r="M1191" s="7" t="inlineStr">
        <is>
          <t>Aplicar conforme monitoramento e estádio recomendado na bula (IRAC Grupo 1B)</t>
        </is>
      </c>
    </row>
    <row r="1192" ht="22" customHeight="1">
      <c r="A1192" s="12" t="inlineStr">
        <is>
          <t>ALV-1188</t>
        </is>
      </c>
      <c r="B1192" s="11" t="n">
        <v>608</v>
      </c>
      <c r="C1192" s="13" t="inlineStr">
        <is>
          <t>Nº 4822</t>
        </is>
      </c>
      <c r="D1192" s="14" t="inlineStr">
        <is>
          <t>FEROCE</t>
        </is>
      </c>
      <c r="E1192" s="13" t="inlineStr">
        <is>
          <t>Inseticida</t>
        </is>
      </c>
      <c r="F1192" s="13" t="inlineStr">
        <is>
          <t>Tripes</t>
        </is>
      </c>
      <c r="G1192" s="13" t="inlineStr">
        <is>
          <t>Caliothrips phaseoli</t>
        </is>
      </c>
      <c r="H1192" s="13" t="inlineStr">
        <is>
          <t>NÃO</t>
        </is>
      </c>
      <c r="I1192" s="18" t="n">
        <v>0.5</v>
      </c>
      <c r="J1192" s="18" t="n">
        <v>0.8</v>
      </c>
      <c r="K1192" s="13" t="inlineStr">
        <is>
          <t>kg/ha</t>
        </is>
      </c>
      <c r="L1192" s="15" t="n">
        <v>1</v>
      </c>
      <c r="M1192" s="13" t="inlineStr">
        <is>
          <t>Aplicar conforme monitoramento e estádio recomendado na bula (IRAC Grupo 1B)</t>
        </is>
      </c>
    </row>
    <row r="1193" ht="22" customHeight="1">
      <c r="A1193" s="6" t="inlineStr">
        <is>
          <t>ALV-1189</t>
        </is>
      </c>
      <c r="B1193" s="5" t="n">
        <v>609</v>
      </c>
      <c r="C1193" s="7" t="inlineStr">
        <is>
          <t>Nº 8514</t>
        </is>
      </c>
      <c r="D1193" s="8" t="inlineStr">
        <is>
          <t>GLIFORTE</t>
        </is>
      </c>
      <c r="E1193" s="7" t="inlineStr">
        <is>
          <t>Herbicida</t>
        </is>
      </c>
      <c r="F1193" s="7" t="inlineStr">
        <is>
          <t>Capim-amargoso</t>
        </is>
      </c>
      <c r="G1193" s="7" t="inlineStr">
        <is>
          <t>Digitaria insularis</t>
        </is>
      </c>
      <c r="H1193" s="7" t="inlineStr">
        <is>
          <t>SIM (*)</t>
        </is>
      </c>
      <c r="I1193" s="17" t="n">
        <v>1.5</v>
      </c>
      <c r="J1193" s="17" t="n">
        <v>2.5</v>
      </c>
      <c r="K1193" s="7" t="inlineStr">
        <is>
          <t>kg ou L/ha</t>
        </is>
      </c>
      <c r="L1193" s="9" t="n">
        <v>1</v>
      </c>
      <c r="M1193" s="7" t="inlineStr">
        <is>
          <t>Aplicar conforme monitoramento e estádio recomendado na bula (HRAC Grupo G (EPSPs))</t>
        </is>
      </c>
    </row>
    <row r="1194" ht="22" customHeight="1">
      <c r="A1194" s="12" t="inlineStr">
        <is>
          <t>ALV-1190</t>
        </is>
      </c>
      <c r="B1194" s="11" t="n">
        <v>609</v>
      </c>
      <c r="C1194" s="13" t="inlineStr">
        <is>
          <t>Nº 8514</t>
        </is>
      </c>
      <c r="D1194" s="14" t="inlineStr">
        <is>
          <t>GLIFORTE</t>
        </is>
      </c>
      <c r="E1194" s="13" t="inlineStr">
        <is>
          <t>Herbicida</t>
        </is>
      </c>
      <c r="F1194" s="13" t="inlineStr">
        <is>
          <t>Buva</t>
        </is>
      </c>
      <c r="G1194" s="13" t="inlineStr">
        <is>
          <t>Conyza bonariensis</t>
        </is>
      </c>
      <c r="H1194" s="13" t="inlineStr">
        <is>
          <t>SIM (*)</t>
        </is>
      </c>
      <c r="I1194" s="15" t="n">
        <v>1</v>
      </c>
      <c r="J1194" s="15" t="n">
        <v>2</v>
      </c>
      <c r="K1194" s="13" t="inlineStr">
        <is>
          <t>kg ou L/ha</t>
        </is>
      </c>
      <c r="L1194" s="15" t="n">
        <v>1</v>
      </c>
      <c r="M1194" s="13" t="inlineStr">
        <is>
          <t>Aplicar conforme monitoramento e estádio recomendado na bula (HRAC Grupo G (EPSPs))</t>
        </is>
      </c>
    </row>
    <row r="1195" ht="22" customHeight="1">
      <c r="A1195" s="6" t="inlineStr">
        <is>
          <t>ALV-1191</t>
        </is>
      </c>
      <c r="B1195" s="5" t="n">
        <v>609</v>
      </c>
      <c r="C1195" s="7" t="inlineStr">
        <is>
          <t>Nº 8514</t>
        </is>
      </c>
      <c r="D1195" s="8" t="inlineStr">
        <is>
          <t>GLIFORTE</t>
        </is>
      </c>
      <c r="E1195" s="7" t="inlineStr">
        <is>
          <t>Herbicida</t>
        </is>
      </c>
      <c r="F1195" s="7" t="inlineStr">
        <is>
          <t>Capim-pé-de-galinha</t>
        </is>
      </c>
      <c r="G1195" s="7" t="inlineStr">
        <is>
          <t>Eleusine indica</t>
        </is>
      </c>
      <c r="H1195" s="7" t="inlineStr">
        <is>
          <t>SIM (*)</t>
        </is>
      </c>
      <c r="I1195" s="9" t="n">
        <v>1</v>
      </c>
      <c r="J1195" s="17" t="n">
        <v>1.5</v>
      </c>
      <c r="K1195" s="7" t="inlineStr">
        <is>
          <t>kg ou L/ha</t>
        </is>
      </c>
      <c r="L1195" s="9" t="n">
        <v>1</v>
      </c>
      <c r="M1195" s="7" t="inlineStr">
        <is>
          <t>Aplicar conforme monitoramento e estádio recomendado na bula (HRAC Grupo G (EPSPs))</t>
        </is>
      </c>
    </row>
    <row r="1196" ht="22" customHeight="1">
      <c r="A1196" s="12" t="inlineStr">
        <is>
          <t>ALV-1192</t>
        </is>
      </c>
      <c r="B1196" s="11" t="n">
        <v>609</v>
      </c>
      <c r="C1196" s="13" t="inlineStr">
        <is>
          <t>Nº 8514</t>
        </is>
      </c>
      <c r="D1196" s="14" t="inlineStr">
        <is>
          <t>GLIFORTE</t>
        </is>
      </c>
      <c r="E1196" s="13" t="inlineStr">
        <is>
          <t>Herbicida</t>
        </is>
      </c>
      <c r="F1196" s="13" t="inlineStr">
        <is>
          <t>Trapoeraba</t>
        </is>
      </c>
      <c r="G1196" s="13" t="inlineStr">
        <is>
          <t>Commelina benghalensis</t>
        </is>
      </c>
      <c r="H1196" s="13" t="inlineStr">
        <is>
          <t>NÃO</t>
        </is>
      </c>
      <c r="I1196" s="15" t="n">
        <v>2</v>
      </c>
      <c r="J1196" s="18" t="n">
        <v>3.5</v>
      </c>
      <c r="K1196" s="13" t="inlineStr">
        <is>
          <t>kg ou L/ha</t>
        </is>
      </c>
      <c r="L1196" s="15" t="n">
        <v>1</v>
      </c>
      <c r="M1196" s="13" t="inlineStr">
        <is>
          <t>Aplicar conforme monitoramento e estádio recomendado na bula (HRAC Grupo G (EPSPs))</t>
        </is>
      </c>
    </row>
    <row r="1197" ht="22" customHeight="1">
      <c r="A1197" s="6" t="inlineStr">
        <is>
          <t>ALV-1193</t>
        </is>
      </c>
      <c r="B1197" s="5" t="n">
        <v>610</v>
      </c>
      <c r="C1197" s="7" t="inlineStr">
        <is>
          <t>Nº 8806</t>
        </is>
      </c>
      <c r="D1197" s="8" t="inlineStr">
        <is>
          <t>IMUNIT</t>
        </is>
      </c>
      <c r="E1197" s="7" t="inlineStr">
        <is>
          <t>Inseticida</t>
        </is>
      </c>
      <c r="F1197" s="7" t="inlineStr">
        <is>
          <t>Complexo de Lagartas, Percevejos e Sugadores</t>
        </is>
      </c>
      <c r="G1197" s="7" t="inlineStr">
        <is>
          <t>Spodoptera / Euschistus / Bemisia</t>
        </is>
      </c>
      <c r="H1197" s="7" t="inlineStr">
        <is>
          <t>NÃO</t>
        </is>
      </c>
      <c r="I1197" s="17" t="n">
        <v>0.15</v>
      </c>
      <c r="J1197" s="9" t="n">
        <v>1</v>
      </c>
      <c r="K1197" s="7" t="inlineStr">
        <is>
          <t>L ou kg/ha</t>
        </is>
      </c>
      <c r="L1197" s="9" t="n">
        <v>1</v>
      </c>
      <c r="M1197" s="7" t="inlineStr">
        <is>
          <t>Aplicar conforme monitoramento e estádio recomendado na bula (Classificação IRAC Oficial conforme Bula)</t>
        </is>
      </c>
    </row>
    <row r="1198" ht="22" customHeight="1">
      <c r="A1198" s="12" t="inlineStr">
        <is>
          <t>ALV-1194</t>
        </is>
      </c>
      <c r="B1198" s="11" t="n">
        <v>611</v>
      </c>
      <c r="C1198" s="13" t="inlineStr">
        <is>
          <t>SIPEAGRO (UF-XXXXX)</t>
        </is>
      </c>
      <c r="D1198" s="14" t="inlineStr">
        <is>
          <t>INOCULANTE GRAP NOD+ 1X1,5KG</t>
        </is>
      </c>
      <c r="E1198" s="13" t="inlineStr">
        <is>
          <t>Inoculante Fixador de Nitrogênio</t>
        </is>
      </c>
      <c r="F1198" s="13" t="inlineStr">
        <is>
          <t>Fixação Biológica de Nitrogênio e Enraizamento</t>
        </is>
      </c>
      <c r="G1198" s="13" t="inlineStr">
        <is>
          <t>Zea mays / Glycine max</t>
        </is>
      </c>
      <c r="H1198" s="13" t="inlineStr">
        <is>
          <t>NÃO</t>
        </is>
      </c>
      <c r="I1198" s="18" t="n">
        <v>0.1</v>
      </c>
      <c r="J1198" s="18" t="n">
        <v>0.3</v>
      </c>
      <c r="K1198" s="13" t="inlineStr">
        <is>
          <t>L/ha ou 100kg sem.</t>
        </is>
      </c>
      <c r="L1198" s="15" t="n">
        <v>1</v>
      </c>
      <c r="M1198" s="13" t="inlineStr">
        <is>
          <t>Aplicar conforme monitoramento e estádio recomendado na bula (Inoculante Biológico — Lei nº 6.894/1980)</t>
        </is>
      </c>
    </row>
    <row r="1199" ht="22" customHeight="1">
      <c r="A1199" s="6" t="inlineStr">
        <is>
          <t>ALV-1195</t>
        </is>
      </c>
      <c r="B1199" s="5" t="n">
        <v>612</v>
      </c>
      <c r="C1199" s="7" t="inlineStr">
        <is>
          <t>SIPEAGRO (UF-XXXXX)</t>
        </is>
      </c>
      <c r="D1199" s="8" t="inlineStr">
        <is>
          <t>NITROBASE Z21</t>
        </is>
      </c>
      <c r="E1199" s="7" t="inlineStr">
        <is>
          <t>Fertilizante Organomineral / Bioestimulante</t>
        </is>
      </c>
      <c r="F1199" s="7" t="inlineStr">
        <is>
          <t>Nutrição e Correção de Deficiência Mineral</t>
        </is>
      </c>
      <c r="G1199" s="7" t="inlineStr">
        <is>
          <t>Nutrição Vegetal</t>
        </is>
      </c>
      <c r="H1199" s="7" t="inlineStr">
        <is>
          <t>NÃO</t>
        </is>
      </c>
      <c r="I1199" s="9" t="n">
        <v>1</v>
      </c>
      <c r="J1199" s="9" t="n">
        <v>250</v>
      </c>
      <c r="K1199" s="7" t="inlineStr">
        <is>
          <t>kg ou L/ha</t>
        </is>
      </c>
      <c r="L1199" s="9" t="n">
        <v>1</v>
      </c>
      <c r="M1199" s="7" t="inlineStr">
        <is>
          <t>Aplicar conforme monitoramento e estádio recomendado na bula (Nutrição Vegetal SIPEAGRO)</t>
        </is>
      </c>
    </row>
    <row r="1200" ht="22" customHeight="1">
      <c r="A1200" s="12" t="inlineStr">
        <is>
          <t>ALV-1196</t>
        </is>
      </c>
      <c r="B1200" s="11" t="n">
        <v>613</v>
      </c>
      <c r="C1200" s="13" t="inlineStr">
        <is>
          <t>SIPEAGRO (UF-XXXXX)</t>
        </is>
      </c>
      <c r="D1200" s="14" t="inlineStr">
        <is>
          <t>RESISTANCE DRILLFLY</t>
        </is>
      </c>
      <c r="E1200" s="13" t="inlineStr">
        <is>
          <t>Fertilizante Foliar / Micronutrientes</t>
        </is>
      </c>
      <c r="F1200" s="13" t="inlineStr">
        <is>
          <t>Nutrição e Correção de Deficiência Mineral</t>
        </is>
      </c>
      <c r="G1200" s="13" t="inlineStr">
        <is>
          <t>Nutrição Vegetal</t>
        </is>
      </c>
      <c r="H1200" s="13" t="inlineStr">
        <is>
          <t>NÃO</t>
        </is>
      </c>
      <c r="I1200" s="15" t="n">
        <v>1</v>
      </c>
      <c r="J1200" s="15" t="n">
        <v>250</v>
      </c>
      <c r="K1200" s="13" t="inlineStr">
        <is>
          <t>kg ou L/ha</t>
        </is>
      </c>
      <c r="L1200" s="15" t="n">
        <v>1</v>
      </c>
      <c r="M1200" s="13" t="inlineStr">
        <is>
          <t>Aplicar conforme monitoramento e estádio recomendado na bula (Nutrição Vegetal SIPEAGRO)</t>
        </is>
      </c>
    </row>
    <row r="1201" ht="22" customHeight="1">
      <c r="A1201" s="6" t="inlineStr">
        <is>
          <t>ALV-1197</t>
        </is>
      </c>
      <c r="B1201" s="5" t="n">
        <v>614</v>
      </c>
      <c r="C1201" s="7" t="inlineStr">
        <is>
          <t>Nº 13709</t>
        </is>
      </c>
      <c r="D1201" s="8" t="inlineStr">
        <is>
          <t>SEIZER 100 EC</t>
        </is>
      </c>
      <c r="E1201" s="7" t="inlineStr">
        <is>
          <t>Inseticida e Acaricida</t>
        </is>
      </c>
      <c r="F1201" s="7" t="inlineStr">
        <is>
          <t>Bicudo-do-algodoeiro</t>
        </is>
      </c>
      <c r="G1201" s="7" t="inlineStr">
        <is>
          <t>Anthonomus grandis</t>
        </is>
      </c>
      <c r="H1201" s="7" t="inlineStr">
        <is>
          <t>NÃO</t>
        </is>
      </c>
      <c r="I1201" s="17" t="n">
        <v>0.15</v>
      </c>
      <c r="J1201" s="17" t="n">
        <v>0.25</v>
      </c>
      <c r="K1201" s="7" t="inlineStr">
        <is>
          <t>L/ha</t>
        </is>
      </c>
      <c r="L1201" s="9" t="n">
        <v>1</v>
      </c>
      <c r="M1201" s="7" t="inlineStr">
        <is>
          <t>Aplicar conforme monitoramento e estádio recomendado na bula (IRAC Grupo 3A)</t>
        </is>
      </c>
    </row>
    <row r="1202" ht="22" customHeight="1">
      <c r="A1202" s="12" t="inlineStr">
        <is>
          <t>ALV-1198</t>
        </is>
      </c>
      <c r="B1202" s="11" t="n">
        <v>614</v>
      </c>
      <c r="C1202" s="13" t="inlineStr">
        <is>
          <t>Nº 13709</t>
        </is>
      </c>
      <c r="D1202" s="14" t="inlineStr">
        <is>
          <t>SEIZER 100 EC</t>
        </is>
      </c>
      <c r="E1202" s="13" t="inlineStr">
        <is>
          <t>Inseticida e Acaricida</t>
        </is>
      </c>
      <c r="F1202" s="13" t="inlineStr">
        <is>
          <t>Mosca-branca</t>
        </is>
      </c>
      <c r="G1202" s="13" t="inlineStr">
        <is>
          <t>Bemisia tabaci raça B</t>
        </is>
      </c>
      <c r="H1202" s="13" t="inlineStr">
        <is>
          <t>SIM (*)</t>
        </is>
      </c>
      <c r="I1202" s="18" t="n">
        <v>0.125</v>
      </c>
      <c r="J1202" s="18" t="n">
        <v>0.25</v>
      </c>
      <c r="K1202" s="13" t="inlineStr">
        <is>
          <t>L/ha</t>
        </is>
      </c>
      <c r="L1202" s="15" t="n">
        <v>1</v>
      </c>
      <c r="M1202" s="13" t="inlineStr">
        <is>
          <t>Aplicar conforme monitoramento e estádio recomendado na bula (IRAC Grupo 3A)</t>
        </is>
      </c>
    </row>
    <row r="1203" ht="22" customHeight="1">
      <c r="A1203" s="6" t="inlineStr">
        <is>
          <t>ALV-1199</t>
        </is>
      </c>
      <c r="B1203" s="5" t="n">
        <v>614</v>
      </c>
      <c r="C1203" s="7" t="inlineStr">
        <is>
          <t>Nº 13709</t>
        </is>
      </c>
      <c r="D1203" s="8" t="inlineStr">
        <is>
          <t>SEIZER 100 EC</t>
        </is>
      </c>
      <c r="E1203" s="7" t="inlineStr">
        <is>
          <t>Inseticida e Acaricida</t>
        </is>
      </c>
      <c r="F1203" s="7" t="inlineStr">
        <is>
          <t>Ácaro-rajado</t>
        </is>
      </c>
      <c r="G1203" s="7" t="inlineStr">
        <is>
          <t>Tetranychus urticae</t>
        </is>
      </c>
      <c r="H1203" s="7" t="inlineStr">
        <is>
          <t>SIM (*)</t>
        </is>
      </c>
      <c r="I1203" s="17" t="n">
        <v>0.15</v>
      </c>
      <c r="J1203" s="17" t="n">
        <v>0.2</v>
      </c>
      <c r="K1203" s="7" t="inlineStr">
        <is>
          <t>L/ha</t>
        </is>
      </c>
      <c r="L1203" s="9" t="n">
        <v>1</v>
      </c>
      <c r="M1203" s="7" t="inlineStr">
        <is>
          <t>Aplicar conforme monitoramento e estádio recomendado na bula (IRAC Grupo 3A)</t>
        </is>
      </c>
    </row>
    <row r="1204" ht="22" customHeight="1">
      <c r="A1204" s="12" t="inlineStr">
        <is>
          <t>ALV-1200</t>
        </is>
      </c>
      <c r="B1204" s="11" t="n">
        <v>615</v>
      </c>
      <c r="C1204" s="13" t="inlineStr">
        <is>
          <t>Nº 3994</t>
        </is>
      </c>
      <c r="D1204" s="14" t="inlineStr">
        <is>
          <t>SIALEX 500</t>
        </is>
      </c>
      <c r="E1204" s="13" t="inlineStr">
        <is>
          <t>Fungicida</t>
        </is>
      </c>
      <c r="F1204" s="13" t="inlineStr">
        <is>
          <t>Mofo-branco</t>
        </is>
      </c>
      <c r="G1204" s="13" t="inlineStr">
        <is>
          <t>Sclerotinia sclerotiorum</t>
        </is>
      </c>
      <c r="H1204" s="13" t="inlineStr">
        <is>
          <t>NÃO</t>
        </is>
      </c>
      <c r="I1204" s="18" t="n">
        <v>0.8</v>
      </c>
      <c r="J1204" s="15" t="n">
        <v>1</v>
      </c>
      <c r="K1204" s="13" t="inlineStr">
        <is>
          <t>L/ha</t>
        </is>
      </c>
      <c r="L1204" s="15" t="n">
        <v>1</v>
      </c>
      <c r="M1204" s="13" t="inlineStr">
        <is>
          <t>Aplicar conforme monitoramento e estádio recomendado na bula (FRAC Grupo 1 (MBC))</t>
        </is>
      </c>
    </row>
    <row r="1205" ht="22" customHeight="1">
      <c r="A1205" s="6" t="inlineStr">
        <is>
          <t>ALV-1201</t>
        </is>
      </c>
      <c r="B1205" s="5" t="n">
        <v>615</v>
      </c>
      <c r="C1205" s="7" t="inlineStr">
        <is>
          <t>Nº 3994</t>
        </is>
      </c>
      <c r="D1205" s="8" t="inlineStr">
        <is>
          <t>SIALEX 500</t>
        </is>
      </c>
      <c r="E1205" s="7" t="inlineStr">
        <is>
          <t>Fungicida</t>
        </is>
      </c>
      <c r="F1205" s="7" t="inlineStr">
        <is>
          <t>Antracnose</t>
        </is>
      </c>
      <c r="G1205" s="7" t="inlineStr">
        <is>
          <t>Colletotrichum lindemuthianum</t>
        </is>
      </c>
      <c r="H1205" s="7" t="inlineStr">
        <is>
          <t>NÃO</t>
        </is>
      </c>
      <c r="I1205" s="17" t="n">
        <v>0.7</v>
      </c>
      <c r="J1205" s="9" t="n">
        <v>1</v>
      </c>
      <c r="K1205" s="7" t="inlineStr">
        <is>
          <t>L/ha</t>
        </is>
      </c>
      <c r="L1205" s="9" t="n">
        <v>1</v>
      </c>
      <c r="M1205" s="7" t="inlineStr">
        <is>
          <t>Aplicar conforme monitoramento e estádio recomendado na bula (FRAC Grupo 1 (MBC))</t>
        </is>
      </c>
    </row>
    <row r="1206" ht="22" customHeight="1">
      <c r="A1206" s="12" t="inlineStr">
        <is>
          <t>ALV-1202</t>
        </is>
      </c>
      <c r="B1206" s="11" t="n">
        <v>616</v>
      </c>
      <c r="C1206" s="13" t="inlineStr">
        <is>
          <t>Nº 28920</t>
        </is>
      </c>
      <c r="D1206" s="14" t="inlineStr">
        <is>
          <t>SONDA</t>
        </is>
      </c>
      <c r="E1206" s="13" t="inlineStr">
        <is>
          <t>Herbicida</t>
        </is>
      </c>
      <c r="F1206" s="13" t="inlineStr">
        <is>
          <t>Plantas Daninhas Mono e Dicotiledôneas</t>
        </is>
      </c>
      <c r="G1206" s="13" t="inlineStr">
        <is>
          <t>Flora Infestante</t>
        </is>
      </c>
      <c r="H1206" s="13" t="inlineStr">
        <is>
          <t>NÃO</t>
        </is>
      </c>
      <c r="I1206" s="18" t="n">
        <v>0.25</v>
      </c>
      <c r="J1206" s="15" t="n">
        <v>2</v>
      </c>
      <c r="K1206" s="13" t="inlineStr">
        <is>
          <t>L ou kg/ha</t>
        </is>
      </c>
      <c r="L1206" s="15" t="n">
        <v>1</v>
      </c>
      <c r="M1206" s="13" t="inlineStr">
        <is>
          <t>Aplicar conforme monitoramento e estádio recomendado na bula (Classificação HRAC Oficial conforme Bula)</t>
        </is>
      </c>
    </row>
    <row r="1207" ht="22" customHeight="1">
      <c r="A1207" s="6" t="inlineStr">
        <is>
          <t>ALV-1203</t>
        </is>
      </c>
      <c r="B1207" s="5" t="n">
        <v>617</v>
      </c>
      <c r="C1207" s="7" t="inlineStr">
        <is>
          <t>Nº 6210</t>
        </is>
      </c>
      <c r="D1207" s="8" t="inlineStr">
        <is>
          <t>STATUS</t>
        </is>
      </c>
      <c r="E1207" s="7" t="inlineStr">
        <is>
          <t>Fungicida</t>
        </is>
      </c>
      <c r="F1207" s="7" t="inlineStr">
        <is>
          <t>Ferrugem-asiática</t>
        </is>
      </c>
      <c r="G1207" s="7" t="inlineStr">
        <is>
          <t>Phakopsora pachyrhizi</t>
        </is>
      </c>
      <c r="H1207" s="7" t="inlineStr">
        <is>
          <t>NÃO</t>
        </is>
      </c>
      <c r="I1207" s="17" t="n">
        <v>1.5</v>
      </c>
      <c r="J1207" s="9" t="n">
        <v>2</v>
      </c>
      <c r="K1207" s="7" t="inlineStr">
        <is>
          <t>L ou kg/ha</t>
        </is>
      </c>
      <c r="L1207" s="9" t="n">
        <v>1</v>
      </c>
      <c r="M1207" s="7" t="inlineStr">
        <is>
          <t>Aplicar conforme monitoramento e estádio recomendado na bula (FRAC Grupo M05 — Multissítio)</t>
        </is>
      </c>
    </row>
    <row r="1208" ht="22" customHeight="1">
      <c r="A1208" s="12" t="inlineStr">
        <is>
          <t>ALV-1204</t>
        </is>
      </c>
      <c r="B1208" s="11" t="n">
        <v>617</v>
      </c>
      <c r="C1208" s="13" t="inlineStr">
        <is>
          <t>Nº 6210</t>
        </is>
      </c>
      <c r="D1208" s="14" t="inlineStr">
        <is>
          <t>STATUS</t>
        </is>
      </c>
      <c r="E1208" s="13" t="inlineStr">
        <is>
          <t>Fungicida</t>
        </is>
      </c>
      <c r="F1208" s="13" t="inlineStr">
        <is>
          <t>Mancha-alvo</t>
        </is>
      </c>
      <c r="G1208" s="13" t="inlineStr">
        <is>
          <t>Corynespora cassiicola</t>
        </is>
      </c>
      <c r="H1208" s="13" t="inlineStr">
        <is>
          <t>NÃO</t>
        </is>
      </c>
      <c r="I1208" s="18" t="n">
        <v>1.5</v>
      </c>
      <c r="J1208" s="18" t="n">
        <v>2.5</v>
      </c>
      <c r="K1208" s="13" t="inlineStr">
        <is>
          <t>L ou kg/ha</t>
        </is>
      </c>
      <c r="L1208" s="15" t="n">
        <v>1</v>
      </c>
      <c r="M1208" s="13" t="inlineStr">
        <is>
          <t>Aplicar conforme monitoramento e estádio recomendado na bula (FRAC Grupo M05 — Multissítio)</t>
        </is>
      </c>
    </row>
    <row r="1209" ht="22" customHeight="1">
      <c r="A1209" s="6" t="inlineStr">
        <is>
          <t>ALV-1205</t>
        </is>
      </c>
      <c r="B1209" s="5" t="n">
        <v>617</v>
      </c>
      <c r="C1209" s="7" t="inlineStr">
        <is>
          <t>Nº 6210</t>
        </is>
      </c>
      <c r="D1209" s="8" t="inlineStr">
        <is>
          <t>STATUS</t>
        </is>
      </c>
      <c r="E1209" s="7" t="inlineStr">
        <is>
          <t>Fungicida</t>
        </is>
      </c>
      <c r="F1209" s="7" t="inlineStr">
        <is>
          <t>Cercosporiose</t>
        </is>
      </c>
      <c r="G1209" s="7" t="inlineStr">
        <is>
          <t>Cercospora kikuchii</t>
        </is>
      </c>
      <c r="H1209" s="7" t="inlineStr">
        <is>
          <t>NÃO</t>
        </is>
      </c>
      <c r="I1209" s="17" t="n">
        <v>1.5</v>
      </c>
      <c r="J1209" s="9" t="n">
        <v>2</v>
      </c>
      <c r="K1209" s="7" t="inlineStr">
        <is>
          <t>L ou kg/ha</t>
        </is>
      </c>
      <c r="L1209" s="9" t="n">
        <v>1</v>
      </c>
      <c r="M1209" s="7" t="inlineStr">
        <is>
          <t>Aplicar conforme monitoramento e estádio recomendado na bula (FRAC Grupo M05 — Multissítio)</t>
        </is>
      </c>
    </row>
    <row r="1210" ht="22" customHeight="1">
      <c r="A1210" s="12" t="inlineStr">
        <is>
          <t>ALV-1206</t>
        </is>
      </c>
      <c r="B1210" s="11" t="n">
        <v>618</v>
      </c>
      <c r="C1210" s="13" t="inlineStr">
        <is>
          <t>SIPEAGRO (UF-XXXXX)</t>
        </is>
      </c>
      <c r="D1210" s="14" t="inlineStr">
        <is>
          <t>VITAL BORO POLYOL</t>
        </is>
      </c>
      <c r="E1210" s="13" t="inlineStr">
        <is>
          <t>Fertilizante Foliar / Micronutrientes</t>
        </is>
      </c>
      <c r="F1210" s="13" t="inlineStr">
        <is>
          <t>Nutrição e Correção de Deficiência Mineral</t>
        </is>
      </c>
      <c r="G1210" s="13" t="inlineStr">
        <is>
          <t>Nutrição Vegetal</t>
        </is>
      </c>
      <c r="H1210" s="13" t="inlineStr">
        <is>
          <t>NÃO</t>
        </is>
      </c>
      <c r="I1210" s="15" t="n">
        <v>1</v>
      </c>
      <c r="J1210" s="15" t="n">
        <v>250</v>
      </c>
      <c r="K1210" s="13" t="inlineStr">
        <is>
          <t>kg ou L/ha</t>
        </is>
      </c>
      <c r="L1210" s="15" t="n">
        <v>1</v>
      </c>
      <c r="M1210" s="13" t="inlineStr">
        <is>
          <t>Aplicar conforme monitoramento e estádio recomendado na bula (Nutrição Vegetal SIPEAGRO)</t>
        </is>
      </c>
    </row>
    <row r="1211" ht="22" customHeight="1">
      <c r="A1211" s="6" t="inlineStr">
        <is>
          <t>ALV-1207</t>
        </is>
      </c>
      <c r="B1211" s="5" t="n">
        <v>619</v>
      </c>
      <c r="C1211" s="7" t="inlineStr">
        <is>
          <t>Nº 32717</t>
        </is>
      </c>
      <c r="D1211" s="8" t="inlineStr">
        <is>
          <t>VOTIVO PRIME</t>
        </is>
      </c>
      <c r="E1211" s="7" t="inlineStr">
        <is>
          <t>Bionematicida (Biológico)</t>
        </is>
      </c>
      <c r="F1211" s="7" t="inlineStr">
        <is>
          <t>Nematoide-das-lesões</t>
        </is>
      </c>
      <c r="G1211" s="7" t="inlineStr">
        <is>
          <t>Pratylenchus brachyurus</t>
        </is>
      </c>
      <c r="H1211" s="7" t="inlineStr">
        <is>
          <t>NÃO</t>
        </is>
      </c>
      <c r="I1211" s="17" t="n">
        <v>0.2</v>
      </c>
      <c r="J1211" s="9" t="n">
        <v>1</v>
      </c>
      <c r="K1211" s="7" t="inlineStr">
        <is>
          <t>L/ha</t>
        </is>
      </c>
      <c r="L1211" s="9" t="n">
        <v>1</v>
      </c>
      <c r="M1211" s="7" t="inlineStr">
        <is>
          <t>Aplicar conforme monitoramento e estádio recomendado na bula (FRAC Grupo BM02 / IRAC Grupo 11A / Bioinsumo)</t>
        </is>
      </c>
    </row>
    <row r="1212" ht="22" customHeight="1">
      <c r="A1212" s="12" t="inlineStr">
        <is>
          <t>ALV-1208</t>
        </is>
      </c>
      <c r="B1212" s="11" t="n">
        <v>619</v>
      </c>
      <c r="C1212" s="13" t="inlineStr">
        <is>
          <t>Nº 32717</t>
        </is>
      </c>
      <c r="D1212" s="14" t="inlineStr">
        <is>
          <t>VOTIVO PRIME</t>
        </is>
      </c>
      <c r="E1212" s="13" t="inlineStr">
        <is>
          <t>Bionematicida (Biológico)</t>
        </is>
      </c>
      <c r="F1212" s="13" t="inlineStr">
        <is>
          <t>Mofo-branco</t>
        </is>
      </c>
      <c r="G1212" s="13" t="inlineStr">
        <is>
          <t>Sclerotinia sclerotiorum</t>
        </is>
      </c>
      <c r="H1212" s="13" t="inlineStr">
        <is>
          <t>NÃO</t>
        </is>
      </c>
      <c r="I1212" s="15" t="n">
        <v>1</v>
      </c>
      <c r="J1212" s="15" t="n">
        <v>2</v>
      </c>
      <c r="K1212" s="13" t="inlineStr">
        <is>
          <t>L/ha</t>
        </is>
      </c>
      <c r="L1212" s="15" t="n">
        <v>1</v>
      </c>
      <c r="M1212" s="13" t="inlineStr">
        <is>
          <t>Aplicar conforme monitoramento e estádio recomendado na bula (FRAC Grupo BM02 / IRAC Grupo 11A / Bioinsumo)</t>
        </is>
      </c>
    </row>
    <row r="1213" ht="22" customHeight="1">
      <c r="A1213" s="6" t="inlineStr">
        <is>
          <t>ALV-1209</t>
        </is>
      </c>
      <c r="B1213" s="5" t="n">
        <v>620</v>
      </c>
      <c r="C1213" s="7" t="inlineStr">
        <is>
          <t>Nº 2506</t>
        </is>
      </c>
      <c r="D1213" s="8" t="inlineStr">
        <is>
          <t>CROPSTAR FS 600</t>
        </is>
      </c>
      <c r="E1213" s="7" t="inlineStr">
        <is>
          <t>Inseticida</t>
        </is>
      </c>
      <c r="F1213" s="7" t="inlineStr">
        <is>
          <t>Complexo de Lagartas, Percevejos e Sugadores</t>
        </is>
      </c>
      <c r="G1213" s="7" t="inlineStr">
        <is>
          <t>Spodoptera / Euschistus / Bemisia</t>
        </is>
      </c>
      <c r="H1213" s="7" t="inlineStr">
        <is>
          <t>NÃO</t>
        </is>
      </c>
      <c r="I1213" s="17" t="n">
        <v>0.15</v>
      </c>
      <c r="J1213" s="9" t="n">
        <v>1</v>
      </c>
      <c r="K1213" s="7" t="inlineStr">
        <is>
          <t>L ou kg/ha</t>
        </is>
      </c>
      <c r="L1213" s="9" t="n">
        <v>1</v>
      </c>
      <c r="M1213" s="7" t="inlineStr">
        <is>
          <t>Aplicar conforme monitoramento e estádio recomendado na bula (Classificação IRAC Oficial conforme Bula)</t>
        </is>
      </c>
    </row>
    <row r="1214" ht="22" customHeight="1">
      <c r="A1214" s="12" t="inlineStr">
        <is>
          <t>ALV-1210</t>
        </is>
      </c>
      <c r="B1214" s="11" t="n">
        <v>621</v>
      </c>
      <c r="C1214" s="13" t="inlineStr">
        <is>
          <t>Nº 8912</t>
        </is>
      </c>
      <c r="D1214" s="14" t="inlineStr">
        <is>
          <t>CRUCIAL</t>
        </is>
      </c>
      <c r="E1214" s="13" t="inlineStr">
        <is>
          <t>Herbicida</t>
        </is>
      </c>
      <c r="F1214" s="13" t="inlineStr">
        <is>
          <t>Capim-amargoso</t>
        </is>
      </c>
      <c r="G1214" s="13" t="inlineStr">
        <is>
          <t>Digitaria insularis</t>
        </is>
      </c>
      <c r="H1214" s="13" t="inlineStr">
        <is>
          <t>SIM (*)</t>
        </is>
      </c>
      <c r="I1214" s="18" t="n">
        <v>1.5</v>
      </c>
      <c r="J1214" s="18" t="n">
        <v>2.5</v>
      </c>
      <c r="K1214" s="13" t="inlineStr">
        <is>
          <t>kg ou L/ha</t>
        </is>
      </c>
      <c r="L1214" s="15" t="n">
        <v>1</v>
      </c>
      <c r="M1214" s="13" t="inlineStr">
        <is>
          <t>Aplicar conforme monitoramento e estádio recomendado na bula (HRAC Grupo G (EPSPs))</t>
        </is>
      </c>
    </row>
    <row r="1215" ht="22" customHeight="1">
      <c r="A1215" s="6" t="inlineStr">
        <is>
          <t>ALV-1211</t>
        </is>
      </c>
      <c r="B1215" s="5" t="n">
        <v>621</v>
      </c>
      <c r="C1215" s="7" t="inlineStr">
        <is>
          <t>Nº 8912</t>
        </is>
      </c>
      <c r="D1215" s="8" t="inlineStr">
        <is>
          <t>CRUCIAL</t>
        </is>
      </c>
      <c r="E1215" s="7" t="inlineStr">
        <is>
          <t>Herbicida</t>
        </is>
      </c>
      <c r="F1215" s="7" t="inlineStr">
        <is>
          <t>Buva</t>
        </is>
      </c>
      <c r="G1215" s="7" t="inlineStr">
        <is>
          <t>Conyza bonariensis</t>
        </is>
      </c>
      <c r="H1215" s="7" t="inlineStr">
        <is>
          <t>SIM (*)</t>
        </is>
      </c>
      <c r="I1215" s="9" t="n">
        <v>1</v>
      </c>
      <c r="J1215" s="9" t="n">
        <v>2</v>
      </c>
      <c r="K1215" s="7" t="inlineStr">
        <is>
          <t>kg ou L/ha</t>
        </is>
      </c>
      <c r="L1215" s="9" t="n">
        <v>1</v>
      </c>
      <c r="M1215" s="7" t="inlineStr">
        <is>
          <t>Aplicar conforme monitoramento e estádio recomendado na bula (HRAC Grupo G (EPSPs))</t>
        </is>
      </c>
    </row>
    <row r="1216" ht="22" customHeight="1">
      <c r="A1216" s="12" t="inlineStr">
        <is>
          <t>ALV-1212</t>
        </is>
      </c>
      <c r="B1216" s="11" t="n">
        <v>621</v>
      </c>
      <c r="C1216" s="13" t="inlineStr">
        <is>
          <t>Nº 8912</t>
        </is>
      </c>
      <c r="D1216" s="14" t="inlineStr">
        <is>
          <t>CRUCIAL</t>
        </is>
      </c>
      <c r="E1216" s="13" t="inlineStr">
        <is>
          <t>Herbicida</t>
        </is>
      </c>
      <c r="F1216" s="13" t="inlineStr">
        <is>
          <t>Capim-pé-de-galinha</t>
        </is>
      </c>
      <c r="G1216" s="13" t="inlineStr">
        <is>
          <t>Eleusine indica</t>
        </is>
      </c>
      <c r="H1216" s="13" t="inlineStr">
        <is>
          <t>SIM (*)</t>
        </is>
      </c>
      <c r="I1216" s="15" t="n">
        <v>1</v>
      </c>
      <c r="J1216" s="18" t="n">
        <v>1.5</v>
      </c>
      <c r="K1216" s="13" t="inlineStr">
        <is>
          <t>kg ou L/ha</t>
        </is>
      </c>
      <c r="L1216" s="15" t="n">
        <v>1</v>
      </c>
      <c r="M1216" s="13" t="inlineStr">
        <is>
          <t>Aplicar conforme monitoramento e estádio recomendado na bula (HRAC Grupo G (EPSPs))</t>
        </is>
      </c>
    </row>
    <row r="1217" ht="22" customHeight="1">
      <c r="A1217" s="6" t="inlineStr">
        <is>
          <t>ALV-1213</t>
        </is>
      </c>
      <c r="B1217" s="5" t="n">
        <v>621</v>
      </c>
      <c r="C1217" s="7" t="inlineStr">
        <is>
          <t>Nº 8912</t>
        </is>
      </c>
      <c r="D1217" s="8" t="inlineStr">
        <is>
          <t>CRUCIAL</t>
        </is>
      </c>
      <c r="E1217" s="7" t="inlineStr">
        <is>
          <t>Herbicida</t>
        </is>
      </c>
      <c r="F1217" s="7" t="inlineStr">
        <is>
          <t>Trapoeraba</t>
        </is>
      </c>
      <c r="G1217" s="7" t="inlineStr">
        <is>
          <t>Commelina benghalensis</t>
        </is>
      </c>
      <c r="H1217" s="7" t="inlineStr">
        <is>
          <t>NÃO</t>
        </is>
      </c>
      <c r="I1217" s="9" t="n">
        <v>2</v>
      </c>
      <c r="J1217" s="17" t="n">
        <v>3.5</v>
      </c>
      <c r="K1217" s="7" t="inlineStr">
        <is>
          <t>kg ou L/ha</t>
        </is>
      </c>
      <c r="L1217" s="9" t="n">
        <v>1</v>
      </c>
      <c r="M1217" s="7" t="inlineStr">
        <is>
          <t>Aplicar conforme monitoramento e estádio recomendado na bula (HRAC Grupo G (EPSPs))</t>
        </is>
      </c>
    </row>
    <row r="1218" ht="22" customHeight="1">
      <c r="A1218" s="12" t="inlineStr">
        <is>
          <t>ALV-1214</t>
        </is>
      </c>
      <c r="B1218" s="11" t="n">
        <v>622</v>
      </c>
      <c r="C1218" s="13" t="inlineStr">
        <is>
          <t>Nº 0122</t>
        </is>
      </c>
      <c r="D1218" s="14" t="inlineStr">
        <is>
          <t>EXCALIA MAX</t>
        </is>
      </c>
      <c r="E1218" s="13" t="inlineStr">
        <is>
          <t>Fungicida</t>
        </is>
      </c>
      <c r="F1218" s="13" t="inlineStr">
        <is>
          <t>Ferrugem-asiática</t>
        </is>
      </c>
      <c r="G1218" s="13" t="inlineStr">
        <is>
          <t>Phakopsora pachyrhizi</t>
        </is>
      </c>
      <c r="H1218" s="13" t="inlineStr">
        <is>
          <t>SIM (*)</t>
        </is>
      </c>
      <c r="I1218" s="18" t="n">
        <v>0.35</v>
      </c>
      <c r="J1218" s="18" t="n">
        <v>0.5</v>
      </c>
      <c r="K1218" s="13" t="inlineStr">
        <is>
          <t>L/ha</t>
        </is>
      </c>
      <c r="L1218" s="15" t="n">
        <v>1</v>
      </c>
      <c r="M1218" s="13" t="inlineStr">
        <is>
          <t>Aplicar conforme monitoramento e estádio recomendado na bula (FRAC Grupo 3 (DMI))</t>
        </is>
      </c>
    </row>
    <row r="1219" ht="22" customHeight="1">
      <c r="A1219" s="6" t="inlineStr">
        <is>
          <t>ALV-1215</t>
        </is>
      </c>
      <c r="B1219" s="5" t="n">
        <v>622</v>
      </c>
      <c r="C1219" s="7" t="inlineStr">
        <is>
          <t>Nº 0122</t>
        </is>
      </c>
      <c r="D1219" s="8" t="inlineStr">
        <is>
          <t>EXCALIA MAX</t>
        </is>
      </c>
      <c r="E1219" s="7" t="inlineStr">
        <is>
          <t>Fungicida</t>
        </is>
      </c>
      <c r="F1219" s="7" t="inlineStr">
        <is>
          <t>Mancha-parda</t>
        </is>
      </c>
      <c r="G1219" s="7" t="inlineStr">
        <is>
          <t>Septoria glycines</t>
        </is>
      </c>
      <c r="H1219" s="7" t="inlineStr">
        <is>
          <t>NÃO</t>
        </is>
      </c>
      <c r="I1219" s="17" t="n">
        <v>0.35</v>
      </c>
      <c r="J1219" s="17" t="n">
        <v>0.5</v>
      </c>
      <c r="K1219" s="7" t="inlineStr">
        <is>
          <t>L/ha</t>
        </is>
      </c>
      <c r="L1219" s="9" t="n">
        <v>1</v>
      </c>
      <c r="M1219" s="7" t="inlineStr">
        <is>
          <t>Aplicar conforme monitoramento e estádio recomendado na bula (FRAC Grupo 3 (DMI))</t>
        </is>
      </c>
    </row>
    <row r="1220" ht="22" customHeight="1">
      <c r="A1220" s="12" t="inlineStr">
        <is>
          <t>ALV-1216</t>
        </is>
      </c>
      <c r="B1220" s="11" t="n">
        <v>623</v>
      </c>
      <c r="C1220" s="13" t="inlineStr">
        <is>
          <t>SIPEAGRO (UF-XXXXX)</t>
        </is>
      </c>
      <c r="D1220" s="14" t="inlineStr">
        <is>
          <t>FERT VITAL MANGANES</t>
        </is>
      </c>
      <c r="E1220" s="13" t="inlineStr">
        <is>
          <t>Fertilizante Foliar / Micronutrientes</t>
        </is>
      </c>
      <c r="F1220" s="13" t="inlineStr">
        <is>
          <t>Nutrição e Correção de Deficiência Mineral</t>
        </is>
      </c>
      <c r="G1220" s="13" t="inlineStr">
        <is>
          <t>Nutrição Vegetal</t>
        </is>
      </c>
      <c r="H1220" s="13" t="inlineStr">
        <is>
          <t>NÃO</t>
        </is>
      </c>
      <c r="I1220" s="15" t="n">
        <v>1</v>
      </c>
      <c r="J1220" s="15" t="n">
        <v>250</v>
      </c>
      <c r="K1220" s="13" t="inlineStr">
        <is>
          <t>kg ou L/ha</t>
        </is>
      </c>
      <c r="L1220" s="15" t="n">
        <v>1</v>
      </c>
      <c r="M1220" s="13" t="inlineStr">
        <is>
          <t>Aplicar conforme monitoramento e estádio recomendado na bula (Nutrição Vegetal SIPEAGRO)</t>
        </is>
      </c>
    </row>
    <row r="1221" ht="22" customHeight="1">
      <c r="A1221" s="6" t="inlineStr">
        <is>
          <t>ALV-1217</t>
        </is>
      </c>
      <c r="B1221" s="5" t="n">
        <v>624</v>
      </c>
      <c r="C1221" s="7" t="inlineStr">
        <is>
          <t>Nº 27617</t>
        </is>
      </c>
      <c r="D1221" s="8" t="inlineStr">
        <is>
          <t>FLAXTON</t>
        </is>
      </c>
      <c r="E1221" s="7" t="inlineStr">
        <is>
          <t>Regulador de Crescimento</t>
        </is>
      </c>
      <c r="F1221" s="7" t="inlineStr">
        <is>
          <t>Controle do Crescimento Vegetativo e Porte do Algodoeiro</t>
        </is>
      </c>
      <c r="G1221" s="7" t="inlineStr">
        <is>
          <t>Gossypium hirsutum (Regulação de Entrenós)</t>
        </is>
      </c>
      <c r="H1221" s="7" t="inlineStr">
        <is>
          <t>NÃO</t>
        </is>
      </c>
      <c r="I1221" s="17" t="n">
        <v>0.2</v>
      </c>
      <c r="J1221" s="9" t="n">
        <v>1</v>
      </c>
      <c r="K1221" s="7" t="inlineStr">
        <is>
          <t>L/ha (Parcelado em 1 a 4 aplicações)</t>
        </is>
      </c>
      <c r="L1221" s="9" t="n">
        <v>4</v>
      </c>
      <c r="M1221" s="7" t="inlineStr">
        <is>
          <t>Aplicar a partir do surgimento dos primeiros botões florais (B1) conforme vigor da lavoura</t>
        </is>
      </c>
    </row>
    <row r="1222" ht="22" customHeight="1">
      <c r="A1222" s="12" t="inlineStr">
        <is>
          <t>ALV-1218</t>
        </is>
      </c>
      <c r="B1222" s="11" t="n">
        <v>625</v>
      </c>
      <c r="C1222" s="13" t="inlineStr">
        <is>
          <t>ISENTO (ATO 104/2017)</t>
        </is>
      </c>
      <c r="D1222" s="14" t="inlineStr">
        <is>
          <t>SPREAD COMBO</t>
        </is>
      </c>
      <c r="E1222" s="13" t="inlineStr">
        <is>
          <t>Adjuvante Espalhante / Surfactante / Redutor de pH e Deriva</t>
        </is>
      </c>
      <c r="F1222" s="13" t="inlineStr">
        <is>
          <t>Otimização de Gota, Espalhamento e Redução de Deriva</t>
        </is>
      </c>
      <c r="G1222" s="13" t="inlineStr">
        <is>
          <t>Tecnologia de Aplicação</t>
        </is>
      </c>
      <c r="H1222" s="13" t="inlineStr">
        <is>
          <t>NÃO</t>
        </is>
      </c>
      <c r="I1222" s="18" t="n">
        <v>0.25</v>
      </c>
      <c r="J1222" s="15" t="n">
        <v>1</v>
      </c>
      <c r="K1222" s="13" t="inlineStr">
        <is>
          <t>% v/v na calda</t>
        </is>
      </c>
      <c r="L1222" s="15" t="n">
        <v>1</v>
      </c>
      <c r="M1222" s="13" t="inlineStr">
        <is>
          <t>Aplicar conforme monitoramento e estádio recomendado na bula (Adjuvante Tecnológico de Pulverização)</t>
        </is>
      </c>
    </row>
    <row r="1223" ht="22" customHeight="1">
      <c r="A1223" s="6" t="inlineStr">
        <is>
          <t>ALV-1219</t>
        </is>
      </c>
      <c r="B1223" s="5" t="n">
        <v>626</v>
      </c>
      <c r="C1223" s="7" t="inlineStr">
        <is>
          <t>Nº 21221</t>
        </is>
      </c>
      <c r="D1223" s="8" t="inlineStr">
        <is>
          <t>GOEMON</t>
        </is>
      </c>
      <c r="E1223" s="7" t="inlineStr">
        <is>
          <t>Inseticida</t>
        </is>
      </c>
      <c r="F1223" s="7" t="inlineStr">
        <is>
          <t>Complexo de Lagartas, Percevejos e Sugadores</t>
        </is>
      </c>
      <c r="G1223" s="7" t="inlineStr">
        <is>
          <t>Spodoptera / Euschistus / Bemisia</t>
        </is>
      </c>
      <c r="H1223" s="7" t="inlineStr">
        <is>
          <t>NÃO</t>
        </is>
      </c>
      <c r="I1223" s="17" t="n">
        <v>0.15</v>
      </c>
      <c r="J1223" s="9" t="n">
        <v>1</v>
      </c>
      <c r="K1223" s="7" t="inlineStr">
        <is>
          <t>L ou kg/ha</t>
        </is>
      </c>
      <c r="L1223" s="9" t="n">
        <v>1</v>
      </c>
      <c r="M1223" s="7" t="inlineStr">
        <is>
          <t>Aplicar conforme monitoramento e estádio recomendado na bula (Classificação IRAC Oficial conforme Bula)</t>
        </is>
      </c>
    </row>
    <row r="1224" ht="22" customHeight="1">
      <c r="A1224" s="12" t="inlineStr">
        <is>
          <t>ALV-1220</t>
        </is>
      </c>
      <c r="B1224" s="11" t="n">
        <v>627</v>
      </c>
      <c r="C1224" s="13" t="inlineStr">
        <is>
          <t>Nº 22622</t>
        </is>
      </c>
      <c r="D1224" s="14" t="inlineStr">
        <is>
          <t>SENSUS</t>
        </is>
      </c>
      <c r="E1224" s="13" t="inlineStr">
        <is>
          <t>Herbicida</t>
        </is>
      </c>
      <c r="F1224" s="13" t="inlineStr">
        <is>
          <t>Capim-colchão</t>
        </is>
      </c>
      <c r="G1224" s="13" t="inlineStr">
        <is>
          <t>Digitaria horizontalis</t>
        </is>
      </c>
      <c r="H1224" s="13" t="inlineStr">
        <is>
          <t>NÃO</t>
        </is>
      </c>
      <c r="I1224" s="18" t="n">
        <v>1.5</v>
      </c>
      <c r="J1224" s="18" t="n">
        <v>2.5</v>
      </c>
      <c r="K1224" s="13" t="inlineStr">
        <is>
          <t>L/ha</t>
        </is>
      </c>
      <c r="L1224" s="15" t="n">
        <v>1</v>
      </c>
      <c r="M1224" s="13" t="inlineStr">
        <is>
          <t>Aplicar conforme monitoramento e estádio recomendado na bula (HRAC Grupo F4 (13) — Inibidores da DOXP sintase)</t>
        </is>
      </c>
    </row>
    <row r="1225" ht="22" customHeight="1">
      <c r="A1225" s="6" t="inlineStr">
        <is>
          <t>ALV-1221</t>
        </is>
      </c>
      <c r="B1225" s="5" t="n">
        <v>627</v>
      </c>
      <c r="C1225" s="7" t="inlineStr">
        <is>
          <t>Nº 22622</t>
        </is>
      </c>
      <c r="D1225" s="8" t="inlineStr">
        <is>
          <t>SENSUS</t>
        </is>
      </c>
      <c r="E1225" s="7" t="inlineStr">
        <is>
          <t>Herbicida</t>
        </is>
      </c>
      <c r="F1225" s="7" t="inlineStr">
        <is>
          <t>Capim-marmelada</t>
        </is>
      </c>
      <c r="G1225" s="7" t="inlineStr">
        <is>
          <t>Brachiaria plantaginea</t>
        </is>
      </c>
      <c r="H1225" s="7" t="inlineStr">
        <is>
          <t>NÃO</t>
        </is>
      </c>
      <c r="I1225" s="17" t="n">
        <v>1.5</v>
      </c>
      <c r="J1225" s="17" t="n">
        <v>2.5</v>
      </c>
      <c r="K1225" s="7" t="inlineStr">
        <is>
          <t>L/ha</t>
        </is>
      </c>
      <c r="L1225" s="9" t="n">
        <v>1</v>
      </c>
      <c r="M1225" s="7" t="inlineStr">
        <is>
          <t>Aplicar conforme monitoramento e estádio recomendado na bula (HRAC Grupo F4 (13) — Inibidores da DOXP sintase)</t>
        </is>
      </c>
    </row>
    <row r="1226" ht="22" customHeight="1">
      <c r="A1226" s="12" t="inlineStr">
        <is>
          <t>ALV-1222</t>
        </is>
      </c>
      <c r="B1226" s="11" t="n">
        <v>627</v>
      </c>
      <c r="C1226" s="13" t="inlineStr">
        <is>
          <t>Nº 22622</t>
        </is>
      </c>
      <c r="D1226" s="14" t="inlineStr">
        <is>
          <t>SENSUS</t>
        </is>
      </c>
      <c r="E1226" s="13" t="inlineStr">
        <is>
          <t>Herbicida</t>
        </is>
      </c>
      <c r="F1226" s="13" t="inlineStr">
        <is>
          <t>Capim-arroz</t>
        </is>
      </c>
      <c r="G1226" s="13" t="inlineStr">
        <is>
          <t>Echinochloa crusgalli</t>
        </is>
      </c>
      <c r="H1226" s="13" t="inlineStr">
        <is>
          <t>SIM (*)</t>
        </is>
      </c>
      <c r="I1226" s="15" t="n">
        <v>1</v>
      </c>
      <c r="J1226" s="15" t="n">
        <v>2</v>
      </c>
      <c r="K1226" s="13" t="inlineStr">
        <is>
          <t>L/ha</t>
        </is>
      </c>
      <c r="L1226" s="15" t="n">
        <v>1</v>
      </c>
      <c r="M1226" s="13" t="inlineStr">
        <is>
          <t>Aplicar conforme monitoramento e estádio recomendado na bula (HRAC Grupo F4 (13) — Inibidores da DOXP sintase)</t>
        </is>
      </c>
    </row>
    <row r="1227" ht="22" customHeight="1">
      <c r="A1227" s="6" t="inlineStr">
        <is>
          <t>ALV-1223</t>
        </is>
      </c>
      <c r="B1227" s="5" t="n">
        <v>628</v>
      </c>
      <c r="C1227" s="7" t="inlineStr">
        <is>
          <t>Nº 35619</t>
        </is>
      </c>
      <c r="D1227" s="8" t="inlineStr">
        <is>
          <t>MAXSAN</t>
        </is>
      </c>
      <c r="E1227" s="7" t="inlineStr">
        <is>
          <t>Inseticida</t>
        </is>
      </c>
      <c r="F1227" s="7" t="inlineStr">
        <is>
          <t>Mosca-branca</t>
        </is>
      </c>
      <c r="G1227" s="7" t="inlineStr">
        <is>
          <t>Bemisia tabaci raça B</t>
        </is>
      </c>
      <c r="H1227" s="7" t="inlineStr">
        <is>
          <t>SIM (*)</t>
        </is>
      </c>
      <c r="I1227" s="17" t="n">
        <v>0.25</v>
      </c>
      <c r="J1227" s="17" t="n">
        <v>0.5</v>
      </c>
      <c r="K1227" s="7" t="inlineStr">
        <is>
          <t>L/ha</t>
        </is>
      </c>
      <c r="L1227" s="9" t="n">
        <v>1</v>
      </c>
      <c r="M1227" s="7" t="inlineStr">
        <is>
          <t>Aplicar conforme monitoramento e estádio recomendado na bula (IRAC Grupo 7C)</t>
        </is>
      </c>
    </row>
    <row r="1228" ht="22" customHeight="1">
      <c r="A1228" s="12" t="inlineStr">
        <is>
          <t>ALV-1224</t>
        </is>
      </c>
      <c r="B1228" s="11" t="n">
        <v>628</v>
      </c>
      <c r="C1228" s="13" t="inlineStr">
        <is>
          <t>Nº 35619</t>
        </is>
      </c>
      <c r="D1228" s="14" t="inlineStr">
        <is>
          <t>MAXSAN</t>
        </is>
      </c>
      <c r="E1228" s="13" t="inlineStr">
        <is>
          <t>Inseticida</t>
        </is>
      </c>
      <c r="F1228" s="13" t="inlineStr">
        <is>
          <t>Cochonilha-escama-farinha</t>
        </is>
      </c>
      <c r="G1228" s="13" t="inlineStr">
        <is>
          <t>Pinnaspis aspidistrae</t>
        </is>
      </c>
      <c r="H1228" s="13" t="inlineStr">
        <is>
          <t>NÃO</t>
        </is>
      </c>
      <c r="I1228" s="18" t="n">
        <v>0.5</v>
      </c>
      <c r="J1228" s="18" t="n">
        <v>0.75</v>
      </c>
      <c r="K1228" s="13" t="inlineStr">
        <is>
          <t>L/ha</t>
        </is>
      </c>
      <c r="L1228" s="15" t="n">
        <v>1</v>
      </c>
      <c r="M1228" s="13" t="inlineStr">
        <is>
          <t>Aplicar conforme monitoramento e estádio recomendado na bula (IRAC Grupo 7C)</t>
        </is>
      </c>
    </row>
    <row r="1229" ht="22" customHeight="1">
      <c r="A1229" s="6" t="inlineStr">
        <is>
          <t>ALV-1225</t>
        </is>
      </c>
      <c r="B1229" s="5" t="n">
        <v>629</v>
      </c>
      <c r="C1229" s="7" t="inlineStr">
        <is>
          <t>SIPEAGRO (UF-XXXXX)</t>
        </is>
      </c>
      <c r="D1229" s="8" t="inlineStr">
        <is>
          <t>SOJA KRAFT 10</t>
        </is>
      </c>
      <c r="E1229" s="7" t="inlineStr">
        <is>
          <t>Fertilizante Mineral Simples (Fosfatado)</t>
        </is>
      </c>
      <c r="F1229" s="7" t="inlineStr">
        <is>
          <t>Nutrição e Correção de Deficiência Mineral</t>
        </is>
      </c>
      <c r="G1229" s="7" t="inlineStr">
        <is>
          <t>Nutrição Vegetal</t>
        </is>
      </c>
      <c r="H1229" s="7" t="inlineStr">
        <is>
          <t>NÃO</t>
        </is>
      </c>
      <c r="I1229" s="9" t="n">
        <v>1</v>
      </c>
      <c r="J1229" s="9" t="n">
        <v>250</v>
      </c>
      <c r="K1229" s="7" t="inlineStr">
        <is>
          <t>kg ou L/ha</t>
        </is>
      </c>
      <c r="L1229" s="9" t="n">
        <v>1</v>
      </c>
      <c r="M1229" s="7" t="inlineStr">
        <is>
          <t>Aplicar conforme monitoramento e estádio recomendado na bula (Nutrição Vegetal SIPEAGRO)</t>
        </is>
      </c>
    </row>
    <row r="1230" ht="22" customHeight="1">
      <c r="A1230" s="12" t="inlineStr">
        <is>
          <t>ALV-1226</t>
        </is>
      </c>
      <c r="B1230" s="11" t="n">
        <v>630</v>
      </c>
      <c r="C1230" s="13" t="inlineStr">
        <is>
          <t>Nº 8608</t>
        </is>
      </c>
      <c r="D1230" s="14" t="inlineStr">
        <is>
          <t>SPHERE MAX SC</t>
        </is>
      </c>
      <c r="E1230" s="13" t="inlineStr">
        <is>
          <t>Fungicida</t>
        </is>
      </c>
      <c r="F1230" s="13" t="inlineStr">
        <is>
          <t>Ferrugem-asiática</t>
        </is>
      </c>
      <c r="G1230" s="13" t="inlineStr">
        <is>
          <t>Phakopsora pachyrhizi</t>
        </is>
      </c>
      <c r="H1230" s="13" t="inlineStr">
        <is>
          <t>SIM (*)</t>
        </is>
      </c>
      <c r="I1230" s="18" t="n">
        <v>0.4</v>
      </c>
      <c r="J1230" s="18" t="n">
        <v>0.5</v>
      </c>
      <c r="K1230" s="13" t="inlineStr">
        <is>
          <t>L/ha</t>
        </is>
      </c>
      <c r="L1230" s="15" t="n">
        <v>1</v>
      </c>
      <c r="M1230" s="13" t="inlineStr">
        <is>
          <t>Aplicar conforme monitoramento e estádio recomendado na bula (FRAC Grupo 11 (QoI))</t>
        </is>
      </c>
    </row>
    <row r="1231" ht="22" customHeight="1">
      <c r="A1231" s="6" t="inlineStr">
        <is>
          <t>ALV-1227</t>
        </is>
      </c>
      <c r="B1231" s="5" t="n">
        <v>630</v>
      </c>
      <c r="C1231" s="7" t="inlineStr">
        <is>
          <t>Nº 8608</t>
        </is>
      </c>
      <c r="D1231" s="8" t="inlineStr">
        <is>
          <t>SPHERE MAX SC</t>
        </is>
      </c>
      <c r="E1231" s="7" t="inlineStr">
        <is>
          <t>Fungicida</t>
        </is>
      </c>
      <c r="F1231" s="7" t="inlineStr">
        <is>
          <t>Mancha-branca</t>
        </is>
      </c>
      <c r="G1231" s="7" t="inlineStr">
        <is>
          <t>Phaeosphaeria maydis</t>
        </is>
      </c>
      <c r="H1231" s="7" t="inlineStr">
        <is>
          <t>NÃO</t>
        </is>
      </c>
      <c r="I1231" s="17" t="n">
        <v>0.4</v>
      </c>
      <c r="J1231" s="17" t="n">
        <v>0.5</v>
      </c>
      <c r="K1231" s="7" t="inlineStr">
        <is>
          <t>L/ha</t>
        </is>
      </c>
      <c r="L1231" s="9" t="n">
        <v>1</v>
      </c>
      <c r="M1231" s="7" t="inlineStr">
        <is>
          <t>Aplicar conforme monitoramento e estádio recomendado na bula (FRAC Grupo 11 (QoI))</t>
        </is>
      </c>
    </row>
    <row r="1232" ht="22" customHeight="1">
      <c r="A1232" s="12" t="inlineStr">
        <is>
          <t>ALV-1228</t>
        </is>
      </c>
      <c r="B1232" s="11" t="n">
        <v>631</v>
      </c>
      <c r="C1232" s="13" t="inlineStr">
        <is>
          <t>Nº 37019</t>
        </is>
      </c>
      <c r="D1232" s="14" t="inlineStr">
        <is>
          <t>IMPAR BR</t>
        </is>
      </c>
      <c r="E1232" s="13" t="inlineStr">
        <is>
          <t>Inseticida</t>
        </is>
      </c>
      <c r="F1232" s="13" t="inlineStr">
        <is>
          <t>Complexo de Lagartas, Percevejos e Sugadores</t>
        </is>
      </c>
      <c r="G1232" s="13" t="inlineStr">
        <is>
          <t>Spodoptera / Euschistus / Bemisia</t>
        </is>
      </c>
      <c r="H1232" s="13" t="inlineStr">
        <is>
          <t>NÃO</t>
        </is>
      </c>
      <c r="I1232" s="18" t="n">
        <v>0.15</v>
      </c>
      <c r="J1232" s="15" t="n">
        <v>1</v>
      </c>
      <c r="K1232" s="13" t="inlineStr">
        <is>
          <t>L ou kg/ha</t>
        </is>
      </c>
      <c r="L1232" s="15" t="n">
        <v>1</v>
      </c>
      <c r="M1232" s="13" t="inlineStr">
        <is>
          <t>Aplicar conforme monitoramento e estádio recomendado na bula (Classificação IRAC Oficial conforme Bula)</t>
        </is>
      </c>
    </row>
    <row r="1233" ht="22" customHeight="1">
      <c r="A1233" s="6" t="inlineStr">
        <is>
          <t>ALV-1229</t>
        </is>
      </c>
      <c r="B1233" s="5" t="n">
        <v>632</v>
      </c>
      <c r="C1233" s="7" t="inlineStr">
        <is>
          <t>Nº 28320</t>
        </is>
      </c>
      <c r="D1233" s="8" t="inlineStr">
        <is>
          <t>ALLUS</t>
        </is>
      </c>
      <c r="E1233" s="7" t="inlineStr">
        <is>
          <t>Herbicida</t>
        </is>
      </c>
      <c r="F1233" s="7" t="inlineStr">
        <is>
          <t>Plantas Daninhas Mono e Dicotiledôneas</t>
        </is>
      </c>
      <c r="G1233" s="7" t="inlineStr">
        <is>
          <t>Flora Infestante</t>
        </is>
      </c>
      <c r="H1233" s="7" t="inlineStr">
        <is>
          <t>NÃO</t>
        </is>
      </c>
      <c r="I1233" s="17" t="n">
        <v>0.25</v>
      </c>
      <c r="J1233" s="9" t="n">
        <v>2</v>
      </c>
      <c r="K1233" s="7" t="inlineStr">
        <is>
          <t>L ou kg/ha</t>
        </is>
      </c>
      <c r="L1233" s="9" t="n">
        <v>1</v>
      </c>
      <c r="M1233" s="7" t="inlineStr">
        <is>
          <t>Aplicar conforme monitoramento e estádio recomendado na bula (Classificação HRAC Oficial conforme Bula)</t>
        </is>
      </c>
    </row>
    <row r="1234" ht="22" customHeight="1">
      <c r="A1234" s="12" t="inlineStr">
        <is>
          <t>ALV-1230</t>
        </is>
      </c>
      <c r="B1234" s="11" t="n">
        <v>633</v>
      </c>
      <c r="C1234" s="13" t="inlineStr">
        <is>
          <t>Nº 4007</t>
        </is>
      </c>
      <c r="D1234" s="14" t="inlineStr">
        <is>
          <t>APRON RFC</t>
        </is>
      </c>
      <c r="E1234" s="13" t="inlineStr">
        <is>
          <t>Fungicida</t>
        </is>
      </c>
      <c r="F1234" s="13" t="inlineStr">
        <is>
          <t>Complexo de Doenças Foliares e Ferrugem</t>
        </is>
      </c>
      <c r="G1234" s="13" t="inlineStr">
        <is>
          <t>Phakopsora pachyrhizi / Corynespora</t>
        </is>
      </c>
      <c r="H1234" s="13" t="inlineStr">
        <is>
          <t>NÃO</t>
        </is>
      </c>
      <c r="I1234" s="18" t="n">
        <v>0.3</v>
      </c>
      <c r="J1234" s="18" t="n">
        <v>1.5</v>
      </c>
      <c r="K1234" s="13" t="inlineStr">
        <is>
          <t>L ou kg/ha</t>
        </is>
      </c>
      <c r="L1234" s="15" t="n">
        <v>1</v>
      </c>
      <c r="M1234" s="13" t="inlineStr">
        <is>
          <t>Aplicar conforme monitoramento e estádio recomendado na bula (Classificação FRAC Oficial conforme Bula)</t>
        </is>
      </c>
    </row>
    <row r="1235" ht="22" customHeight="1">
      <c r="A1235" s="6" t="inlineStr">
        <is>
          <t>ALV-1231</t>
        </is>
      </c>
      <c r="B1235" s="5" t="n">
        <v>634</v>
      </c>
      <c r="C1235" s="7" t="inlineStr">
        <is>
          <t>SIPEAGRO (UF-XXXXX)</t>
        </is>
      </c>
      <c r="D1235" s="8" t="inlineStr">
        <is>
          <t>BASEK S25</t>
        </is>
      </c>
      <c r="E1235" s="7" t="inlineStr">
        <is>
          <t>Fertilizante Mineral Simples (Potássico / Magnesiano)</t>
        </is>
      </c>
      <c r="F1235" s="7" t="inlineStr">
        <is>
          <t>Nutrição e Correção de Deficiência Mineral</t>
        </is>
      </c>
      <c r="G1235" s="7" t="inlineStr">
        <is>
          <t>Nutrição Vegetal</t>
        </is>
      </c>
      <c r="H1235" s="7" t="inlineStr">
        <is>
          <t>NÃO</t>
        </is>
      </c>
      <c r="I1235" s="9" t="n">
        <v>1</v>
      </c>
      <c r="J1235" s="9" t="n">
        <v>250</v>
      </c>
      <c r="K1235" s="7" t="inlineStr">
        <is>
          <t>kg ou L/ha</t>
        </is>
      </c>
      <c r="L1235" s="9" t="n">
        <v>1</v>
      </c>
      <c r="M1235" s="7" t="inlineStr">
        <is>
          <t>Aplicar conforme monitoramento e estádio recomendado na bula (Nutrição Vegetal SIPEAGRO)</t>
        </is>
      </c>
    </row>
    <row r="1236" ht="22" customHeight="1">
      <c r="A1236" s="12" t="inlineStr">
        <is>
          <t>ALV-1232</t>
        </is>
      </c>
      <c r="B1236" s="11" t="n">
        <v>635</v>
      </c>
      <c r="C1236" s="13" t="inlineStr">
        <is>
          <t>Nº 44024</t>
        </is>
      </c>
      <c r="D1236" s="14" t="inlineStr">
        <is>
          <t>BIOKILLER</t>
        </is>
      </c>
      <c r="E1236" s="13" t="inlineStr">
        <is>
          <t>Bioinseticida (Biológico)</t>
        </is>
      </c>
      <c r="F1236" s="13" t="inlineStr">
        <is>
          <t>Mosca-branca</t>
        </is>
      </c>
      <c r="G1236" s="13" t="inlineStr">
        <is>
          <t>Bemisia tabaci raça B</t>
        </is>
      </c>
      <c r="H1236" s="13" t="inlineStr">
        <is>
          <t>NÃO</t>
        </is>
      </c>
      <c r="I1236" s="18" t="n">
        <v>0.5</v>
      </c>
      <c r="J1236" s="18" t="n">
        <v>1.5</v>
      </c>
      <c r="K1236" s="13" t="inlineStr">
        <is>
          <t>kg ou L/ha</t>
        </is>
      </c>
      <c r="L1236" s="15" t="n">
        <v>1</v>
      </c>
      <c r="M1236" s="13" t="inlineStr">
        <is>
          <t>Aplicar conforme monitoramento e estádio recomendado na bula (IRAC Grupo UNF — Biológico Multissítio)</t>
        </is>
      </c>
    </row>
    <row r="1237" ht="22" customHeight="1">
      <c r="A1237" s="6" t="inlineStr">
        <is>
          <t>ALV-1233</t>
        </is>
      </c>
      <c r="B1237" s="5" t="n">
        <v>635</v>
      </c>
      <c r="C1237" s="7" t="inlineStr">
        <is>
          <t>Nº 44024</t>
        </is>
      </c>
      <c r="D1237" s="8" t="inlineStr">
        <is>
          <t>BIOKILLER</t>
        </is>
      </c>
      <c r="E1237" s="7" t="inlineStr">
        <is>
          <t>Bioinseticida (Biológico)</t>
        </is>
      </c>
      <c r="F1237" s="7" t="inlineStr">
        <is>
          <t>Cigarrinha-do-milho</t>
        </is>
      </c>
      <c r="G1237" s="7" t="inlineStr">
        <is>
          <t>Dalbulus maidis</t>
        </is>
      </c>
      <c r="H1237" s="7" t="inlineStr">
        <is>
          <t>NÃO</t>
        </is>
      </c>
      <c r="I1237" s="17" t="n">
        <v>0.5</v>
      </c>
      <c r="J1237" s="9" t="n">
        <v>1</v>
      </c>
      <c r="K1237" s="7" t="inlineStr">
        <is>
          <t>kg ou L/ha</t>
        </is>
      </c>
      <c r="L1237" s="9" t="n">
        <v>1</v>
      </c>
      <c r="M1237" s="7" t="inlineStr">
        <is>
          <t>Aplicar conforme monitoramento e estádio recomendado na bula (IRAC Grupo UNF — Biológico Multissítio)</t>
        </is>
      </c>
    </row>
    <row r="1238" ht="22" customHeight="1">
      <c r="A1238" s="12" t="inlineStr">
        <is>
          <t>ALV-1234</t>
        </is>
      </c>
      <c r="B1238" s="11" t="n">
        <v>635</v>
      </c>
      <c r="C1238" s="13" t="inlineStr">
        <is>
          <t>Nº 44024</t>
        </is>
      </c>
      <c r="D1238" s="14" t="inlineStr">
        <is>
          <t>BIOKILLER</t>
        </is>
      </c>
      <c r="E1238" s="13" t="inlineStr">
        <is>
          <t>Bioinseticida (Biológico)</t>
        </is>
      </c>
      <c r="F1238" s="13" t="inlineStr">
        <is>
          <t>Ácaro-rajado</t>
        </is>
      </c>
      <c r="G1238" s="13" t="inlineStr">
        <is>
          <t>Tetranychus urticae</t>
        </is>
      </c>
      <c r="H1238" s="13" t="inlineStr">
        <is>
          <t>NÃO</t>
        </is>
      </c>
      <c r="I1238" s="18" t="n">
        <v>0.5</v>
      </c>
      <c r="J1238" s="18" t="n">
        <v>1.5</v>
      </c>
      <c r="K1238" s="13" t="inlineStr">
        <is>
          <t>kg ou L/ha</t>
        </is>
      </c>
      <c r="L1238" s="15" t="n">
        <v>1</v>
      </c>
      <c r="M1238" s="13" t="inlineStr">
        <is>
          <t>Aplicar conforme monitoramento e estádio recomendado na bula (IRAC Grupo UNF — Biológico Multissítio)</t>
        </is>
      </c>
    </row>
    <row r="1239" ht="22" customHeight="1">
      <c r="A1239" s="6" t="inlineStr">
        <is>
          <t>ALV-1235</t>
        </is>
      </c>
      <c r="B1239" s="5" t="n">
        <v>636</v>
      </c>
      <c r="C1239" s="7" t="inlineStr">
        <is>
          <t>Nº 13019</t>
        </is>
      </c>
      <c r="D1239" s="8" t="inlineStr">
        <is>
          <t>CONVENCE FS</t>
        </is>
      </c>
      <c r="E1239" s="7" t="inlineStr">
        <is>
          <t>Inseticida</t>
        </is>
      </c>
      <c r="F1239" s="7" t="inlineStr">
        <is>
          <t>Coró</t>
        </is>
      </c>
      <c r="G1239" s="7" t="inlineStr">
        <is>
          <t>Phyllophaga cuyabana</t>
        </is>
      </c>
      <c r="H1239" s="7" t="inlineStr">
        <is>
          <t>NÃO</t>
        </is>
      </c>
      <c r="I1239" s="17" t="n">
        <v>0.1</v>
      </c>
      <c r="J1239" s="17" t="n">
        <v>0.2</v>
      </c>
      <c r="K1239" s="7" t="inlineStr">
        <is>
          <t>L/100kg sem.</t>
        </is>
      </c>
      <c r="L1239" s="9" t="n">
        <v>1</v>
      </c>
      <c r="M1239" s="7" t="inlineStr">
        <is>
          <t>Aplicar conforme monitoramento e estádio recomendado na bula (IRAC Grupo 2B)</t>
        </is>
      </c>
    </row>
    <row r="1240" ht="22" customHeight="1">
      <c r="A1240" s="12" t="inlineStr">
        <is>
          <t>ALV-1236</t>
        </is>
      </c>
      <c r="B1240" s="11" t="n">
        <v>636</v>
      </c>
      <c r="C1240" s="13" t="inlineStr">
        <is>
          <t>Nº 13019</t>
        </is>
      </c>
      <c r="D1240" s="14" t="inlineStr">
        <is>
          <t>CONVENCE FS</t>
        </is>
      </c>
      <c r="E1240" s="13" t="inlineStr">
        <is>
          <t>Inseticida</t>
        </is>
      </c>
      <c r="F1240" s="13" t="inlineStr">
        <is>
          <t>Lagarta-elasmo</t>
        </is>
      </c>
      <c r="G1240" s="13" t="inlineStr">
        <is>
          <t>Elasmopalpus lignosellus</t>
        </is>
      </c>
      <c r="H1240" s="13" t="inlineStr">
        <is>
          <t>NÃO</t>
        </is>
      </c>
      <c r="I1240" s="18" t="n">
        <v>0.1</v>
      </c>
      <c r="J1240" s="18" t="n">
        <v>0.2</v>
      </c>
      <c r="K1240" s="13" t="inlineStr">
        <is>
          <t>L/100kg sem.</t>
        </is>
      </c>
      <c r="L1240" s="15" t="n">
        <v>1</v>
      </c>
      <c r="M1240" s="13" t="inlineStr">
        <is>
          <t>Aplicar conforme monitoramento e estádio recomendado na bula (IRAC Grupo 2B)</t>
        </is>
      </c>
    </row>
    <row r="1241" ht="22" customHeight="1">
      <c r="A1241" s="6" t="inlineStr">
        <is>
          <t>ALV-1237</t>
        </is>
      </c>
      <c r="B1241" s="5" t="n">
        <v>636</v>
      </c>
      <c r="C1241" s="7" t="inlineStr">
        <is>
          <t>Nº 13019</t>
        </is>
      </c>
      <c r="D1241" s="8" t="inlineStr">
        <is>
          <t>CONVENCE FS</t>
        </is>
      </c>
      <c r="E1241" s="7" t="inlineStr">
        <is>
          <t>Inseticida</t>
        </is>
      </c>
      <c r="F1241" s="7" t="inlineStr">
        <is>
          <t>Cupim-de-montículo</t>
        </is>
      </c>
      <c r="G1241" s="7" t="inlineStr">
        <is>
          <t>Procornitermes triacifer</t>
        </is>
      </c>
      <c r="H1241" s="7" t="inlineStr">
        <is>
          <t>NÃO</t>
        </is>
      </c>
      <c r="I1241" s="17" t="n">
        <v>0.05</v>
      </c>
      <c r="J1241" s="17" t="n">
        <v>0.2</v>
      </c>
      <c r="K1241" s="7" t="inlineStr">
        <is>
          <t>kg ou L/ha</t>
        </is>
      </c>
      <c r="L1241" s="9" t="n">
        <v>1</v>
      </c>
      <c r="M1241" s="7" t="inlineStr">
        <is>
          <t>Aplicar conforme monitoramento e estádio recomendado na bula (IRAC Grupo 2B)</t>
        </is>
      </c>
    </row>
    <row r="1242" ht="22" customHeight="1">
      <c r="A1242" s="12" t="inlineStr">
        <is>
          <t>ALV-1238</t>
        </is>
      </c>
      <c r="B1242" s="11" t="n">
        <v>637</v>
      </c>
      <c r="C1242" s="13" t="inlineStr">
        <is>
          <t>SIPEAGRO (UF-XXXXX)</t>
        </is>
      </c>
      <c r="D1242" s="14" t="inlineStr">
        <is>
          <t>MANGANES 10%</t>
        </is>
      </c>
      <c r="E1242" s="13" t="inlineStr">
        <is>
          <t>Fertilizante Mineral Simples (Nitrogenado)</t>
        </is>
      </c>
      <c r="F1242" s="13" t="inlineStr">
        <is>
          <t>Nutrição e Correção de Deficiência Mineral</t>
        </is>
      </c>
      <c r="G1242" s="13" t="inlineStr">
        <is>
          <t>Nutrição Vegetal</t>
        </is>
      </c>
      <c r="H1242" s="13" t="inlineStr">
        <is>
          <t>NÃO</t>
        </is>
      </c>
      <c r="I1242" s="15" t="n">
        <v>1</v>
      </c>
      <c r="J1242" s="15" t="n">
        <v>250</v>
      </c>
      <c r="K1242" s="13" t="inlineStr">
        <is>
          <t>kg ou L/ha</t>
        </is>
      </c>
      <c r="L1242" s="15" t="n">
        <v>1</v>
      </c>
      <c r="M1242" s="13" t="inlineStr">
        <is>
          <t>Aplicar conforme monitoramento e estádio recomendado na bula (Nutrição Vegetal SIPEAGRO)</t>
        </is>
      </c>
    </row>
    <row r="1243" ht="22" customHeight="1">
      <c r="A1243" s="6" t="inlineStr">
        <is>
          <t>ALV-1239</t>
        </is>
      </c>
      <c r="B1243" s="5" t="n">
        <v>638</v>
      </c>
      <c r="C1243" s="7" t="inlineStr">
        <is>
          <t>Nº 1393</t>
        </is>
      </c>
      <c r="D1243" s="8" t="inlineStr">
        <is>
          <t>NOMOLT 150</t>
        </is>
      </c>
      <c r="E1243" s="7" t="inlineStr">
        <is>
          <t>Inseticida</t>
        </is>
      </c>
      <c r="F1243" s="7" t="inlineStr">
        <is>
          <t>Complexo de Lagartas, Percevejos e Sugadores</t>
        </is>
      </c>
      <c r="G1243" s="7" t="inlineStr">
        <is>
          <t>Spodoptera / Euschistus / Bemisia</t>
        </is>
      </c>
      <c r="H1243" s="7" t="inlineStr">
        <is>
          <t>NÃO</t>
        </is>
      </c>
      <c r="I1243" s="17" t="n">
        <v>0.15</v>
      </c>
      <c r="J1243" s="9" t="n">
        <v>1</v>
      </c>
      <c r="K1243" s="7" t="inlineStr">
        <is>
          <t>L ou kg/ha</t>
        </is>
      </c>
      <c r="L1243" s="9" t="n">
        <v>1</v>
      </c>
      <c r="M1243" s="7" t="inlineStr">
        <is>
          <t>Aplicar conforme monitoramento e estádio recomendado na bula (Classificação IRAC Oficial conforme Bula)</t>
        </is>
      </c>
    </row>
    <row r="1244" ht="22" customHeight="1">
      <c r="A1244" s="12" t="inlineStr">
        <is>
          <t>ALV-1240</t>
        </is>
      </c>
      <c r="B1244" s="11" t="n">
        <v>639</v>
      </c>
      <c r="C1244" s="13" t="inlineStr">
        <is>
          <t>SIPEAGRO (UF-XXXXX)</t>
        </is>
      </c>
      <c r="D1244" s="14" t="inlineStr">
        <is>
          <t>STARKE</t>
        </is>
      </c>
      <c r="E1244" s="13" t="inlineStr">
        <is>
          <t>Fertilizante Mineral Simples (Nitrogenado)</t>
        </is>
      </c>
      <c r="F1244" s="13" t="inlineStr">
        <is>
          <t>Nutrição e Correção de Deficiência Mineral</t>
        </is>
      </c>
      <c r="G1244" s="13" t="inlineStr">
        <is>
          <t>Nutrição Vegetal</t>
        </is>
      </c>
      <c r="H1244" s="13" t="inlineStr">
        <is>
          <t>NÃO</t>
        </is>
      </c>
      <c r="I1244" s="15" t="n">
        <v>1</v>
      </c>
      <c r="J1244" s="15" t="n">
        <v>250</v>
      </c>
      <c r="K1244" s="13" t="inlineStr">
        <is>
          <t>kg ou L/ha</t>
        </is>
      </c>
      <c r="L1244" s="15" t="n">
        <v>1</v>
      </c>
      <c r="M1244" s="13" t="inlineStr">
        <is>
          <t>Aplicar conforme monitoramento e estádio recomendado na bula (Nutrição Vegetal SIPEAGRO)</t>
        </is>
      </c>
    </row>
    <row r="1245" ht="22" customHeight="1">
      <c r="A1245" s="6" t="inlineStr">
        <is>
          <t>ALV-1241</t>
        </is>
      </c>
      <c r="B1245" s="5" t="n">
        <v>640</v>
      </c>
      <c r="C1245" s="7" t="inlineStr">
        <is>
          <t>Nº 18220</t>
        </is>
      </c>
      <c r="D1245" s="8" t="inlineStr">
        <is>
          <t>TORA</t>
        </is>
      </c>
      <c r="E1245" s="7" t="inlineStr">
        <is>
          <t>Inseticida</t>
        </is>
      </c>
      <c r="F1245" s="7" t="inlineStr">
        <is>
          <t>Complexo de Lagartas, Percevejos e Sugadores</t>
        </is>
      </c>
      <c r="G1245" s="7" t="inlineStr">
        <is>
          <t>Spodoptera / Euschistus / Bemisia</t>
        </is>
      </c>
      <c r="H1245" s="7" t="inlineStr">
        <is>
          <t>NÃO</t>
        </is>
      </c>
      <c r="I1245" s="17" t="n">
        <v>0.15</v>
      </c>
      <c r="J1245" s="9" t="n">
        <v>1</v>
      </c>
      <c r="K1245" s="7" t="inlineStr">
        <is>
          <t>L ou kg/ha</t>
        </is>
      </c>
      <c r="L1245" s="9" t="n">
        <v>1</v>
      </c>
      <c r="M1245" s="7" t="inlineStr">
        <is>
          <t>Aplicar conforme monitoramento e estádio recomendado na bula (Classificação IRAC Oficial conforme Bula)</t>
        </is>
      </c>
    </row>
    <row r="1246" ht="22" customHeight="1">
      <c r="A1246" s="12" t="inlineStr">
        <is>
          <t>ALV-1242</t>
        </is>
      </c>
      <c r="B1246" s="11" t="n">
        <v>641</v>
      </c>
      <c r="C1246" s="13" t="inlineStr">
        <is>
          <t>Nº 27821</t>
        </is>
      </c>
      <c r="D1246" s="14" t="inlineStr">
        <is>
          <t>PONTUAL</t>
        </is>
      </c>
      <c r="E1246" s="13" t="inlineStr">
        <is>
          <t>Fungicida</t>
        </is>
      </c>
      <c r="F1246" s="13" t="inlineStr">
        <is>
          <t>Ferrugem-asiática</t>
        </is>
      </c>
      <c r="G1246" s="13" t="inlineStr">
        <is>
          <t>Phakopsora pachyrhizi</t>
        </is>
      </c>
      <c r="H1246" s="13" t="inlineStr">
        <is>
          <t>NÃO</t>
        </is>
      </c>
      <c r="I1246" s="18" t="n">
        <v>1.5</v>
      </c>
      <c r="J1246" s="15" t="n">
        <v>2</v>
      </c>
      <c r="K1246" s="13" t="inlineStr">
        <is>
          <t>L ou kg/ha</t>
        </is>
      </c>
      <c r="L1246" s="15" t="n">
        <v>1</v>
      </c>
      <c r="M1246" s="13" t="inlineStr">
        <is>
          <t>Aplicar conforme monitoramento e estádio recomendado na bula (FRAC Grupo M05 — Multissítio)</t>
        </is>
      </c>
    </row>
    <row r="1247" ht="22" customHeight="1">
      <c r="A1247" s="6" t="inlineStr">
        <is>
          <t>ALV-1243</t>
        </is>
      </c>
      <c r="B1247" s="5" t="n">
        <v>641</v>
      </c>
      <c r="C1247" s="7" t="inlineStr">
        <is>
          <t>Nº 27821</t>
        </is>
      </c>
      <c r="D1247" s="8" t="inlineStr">
        <is>
          <t>PONTUAL</t>
        </is>
      </c>
      <c r="E1247" s="7" t="inlineStr">
        <is>
          <t>Fungicida</t>
        </is>
      </c>
      <c r="F1247" s="7" t="inlineStr">
        <is>
          <t>Mancha-alvo</t>
        </is>
      </c>
      <c r="G1247" s="7" t="inlineStr">
        <is>
          <t>Corynespora cassiicola</t>
        </is>
      </c>
      <c r="H1247" s="7" t="inlineStr">
        <is>
          <t>NÃO</t>
        </is>
      </c>
      <c r="I1247" s="17" t="n">
        <v>1.5</v>
      </c>
      <c r="J1247" s="17" t="n">
        <v>2.5</v>
      </c>
      <c r="K1247" s="7" t="inlineStr">
        <is>
          <t>L ou kg/ha</t>
        </is>
      </c>
      <c r="L1247" s="9" t="n">
        <v>1</v>
      </c>
      <c r="M1247" s="7" t="inlineStr">
        <is>
          <t>Aplicar conforme monitoramento e estádio recomendado na bula (FRAC Grupo M05 — Multissítio)</t>
        </is>
      </c>
    </row>
    <row r="1248" ht="22" customHeight="1">
      <c r="A1248" s="12" t="inlineStr">
        <is>
          <t>ALV-1244</t>
        </is>
      </c>
      <c r="B1248" s="11" t="n">
        <v>641</v>
      </c>
      <c r="C1248" s="13" t="inlineStr">
        <is>
          <t>Nº 27821</t>
        </is>
      </c>
      <c r="D1248" s="14" t="inlineStr">
        <is>
          <t>PONTUAL</t>
        </is>
      </c>
      <c r="E1248" s="13" t="inlineStr">
        <is>
          <t>Fungicida</t>
        </is>
      </c>
      <c r="F1248" s="13" t="inlineStr">
        <is>
          <t>Cercosporiose</t>
        </is>
      </c>
      <c r="G1248" s="13" t="inlineStr">
        <is>
          <t>Cercospora kikuchii</t>
        </is>
      </c>
      <c r="H1248" s="13" t="inlineStr">
        <is>
          <t>NÃO</t>
        </is>
      </c>
      <c r="I1248" s="18" t="n">
        <v>1.5</v>
      </c>
      <c r="J1248" s="15" t="n">
        <v>2</v>
      </c>
      <c r="K1248" s="13" t="inlineStr">
        <is>
          <t>L ou kg/ha</t>
        </is>
      </c>
      <c r="L1248" s="15" t="n">
        <v>1</v>
      </c>
      <c r="M1248" s="13" t="inlineStr">
        <is>
          <t>Aplicar conforme monitoramento e estádio recomendado na bula (FRAC Grupo M05 — Multissítio)</t>
        </is>
      </c>
    </row>
    <row r="1249" ht="22" customHeight="1">
      <c r="A1249" s="6" t="inlineStr">
        <is>
          <t>ALV-1245</t>
        </is>
      </c>
      <c r="B1249" s="5" t="n">
        <v>642</v>
      </c>
      <c r="C1249" s="7" t="inlineStr">
        <is>
          <t>SIPEAGRO (UF-XXXXX)</t>
        </is>
      </c>
      <c r="D1249" s="8" t="inlineStr">
        <is>
          <t>RESISTANCE TM</t>
        </is>
      </c>
      <c r="E1249" s="7" t="inlineStr">
        <is>
          <t>Fertilizante Foliar / Micronutrientes</t>
        </is>
      </c>
      <c r="F1249" s="7" t="inlineStr">
        <is>
          <t>Nutrição e Correção de Deficiência Mineral</t>
        </is>
      </c>
      <c r="G1249" s="7" t="inlineStr">
        <is>
          <t>Nutrição Vegetal</t>
        </is>
      </c>
      <c r="H1249" s="7" t="inlineStr">
        <is>
          <t>NÃO</t>
        </is>
      </c>
      <c r="I1249" s="9" t="n">
        <v>1</v>
      </c>
      <c r="J1249" s="9" t="n">
        <v>250</v>
      </c>
      <c r="K1249" s="7" t="inlineStr">
        <is>
          <t>kg ou L/ha</t>
        </is>
      </c>
      <c r="L1249" s="9" t="n">
        <v>1</v>
      </c>
      <c r="M1249" s="7" t="inlineStr">
        <is>
          <t>Aplicar conforme monitoramento e estádio recomendado na bula (Nutrição Vegetal SIPEAGRO)</t>
        </is>
      </c>
    </row>
    <row r="1250" ht="22" customHeight="1">
      <c r="A1250" s="12" t="inlineStr">
        <is>
          <t>ALV-1246</t>
        </is>
      </c>
      <c r="B1250" s="11" t="n">
        <v>643</v>
      </c>
      <c r="C1250" s="13" t="inlineStr">
        <is>
          <t>Nº 6697</t>
        </is>
      </c>
      <c r="D1250" s="14" t="inlineStr">
        <is>
          <t>VEZIR</t>
        </is>
      </c>
      <c r="E1250" s="13" t="inlineStr">
        <is>
          <t>Herbicida</t>
        </is>
      </c>
      <c r="F1250" s="13" t="inlineStr">
        <is>
          <t>Plantas Daninhas Mono e Dicotiledôneas</t>
        </is>
      </c>
      <c r="G1250" s="13" t="inlineStr">
        <is>
          <t>Flora Infestante</t>
        </is>
      </c>
      <c r="H1250" s="13" t="inlineStr">
        <is>
          <t>NÃO</t>
        </is>
      </c>
      <c r="I1250" s="18" t="n">
        <v>0.25</v>
      </c>
      <c r="J1250" s="15" t="n">
        <v>2</v>
      </c>
      <c r="K1250" s="13" t="inlineStr">
        <is>
          <t>L ou kg/ha</t>
        </is>
      </c>
      <c r="L1250" s="15" t="n">
        <v>1</v>
      </c>
      <c r="M1250" s="13" t="inlineStr">
        <is>
          <t>Aplicar conforme monitoramento e estádio recomendado na bula (Classificação HRAC Oficial conforme Bula)</t>
        </is>
      </c>
    </row>
    <row r="1251" ht="22" customHeight="1">
      <c r="A1251" s="6" t="inlineStr">
        <is>
          <t>ALV-1247</t>
        </is>
      </c>
      <c r="B1251" s="5" t="n">
        <v>644</v>
      </c>
      <c r="C1251" s="7" t="inlineStr">
        <is>
          <t>Nº 8520</t>
        </is>
      </c>
      <c r="D1251" s="8" t="inlineStr">
        <is>
          <t>ROMEO SC</t>
        </is>
      </c>
      <c r="E1251" s="7" t="inlineStr">
        <is>
          <t>Biofungicida (Biológico)</t>
        </is>
      </c>
      <c r="F1251" s="7" t="inlineStr">
        <is>
          <t>Complexo de Doenças Foliares e Ferrugem</t>
        </is>
      </c>
      <c r="G1251" s="7" t="inlineStr">
        <is>
          <t>Phakopsora pachyrhizi / Corynespora</t>
        </is>
      </c>
      <c r="H1251" s="7" t="inlineStr">
        <is>
          <t>NÃO</t>
        </is>
      </c>
      <c r="I1251" s="17" t="n">
        <v>0.3</v>
      </c>
      <c r="J1251" s="17" t="n">
        <v>1.5</v>
      </c>
      <c r="K1251" s="7" t="inlineStr">
        <is>
          <t>L ou kg/ha</t>
        </is>
      </c>
      <c r="L1251" s="9" t="n">
        <v>1</v>
      </c>
      <c r="M1251" s="7" t="inlineStr">
        <is>
          <t>Aplicar conforme monitoramento e estádio recomendado na bula (Classificação FRAC Oficial conforme Bula)</t>
        </is>
      </c>
    </row>
    <row r="1252" ht="22" customHeight="1">
      <c r="A1252" s="12" t="inlineStr">
        <is>
          <t>ALV-1248</t>
        </is>
      </c>
      <c r="B1252" s="11" t="n">
        <v>645</v>
      </c>
      <c r="C1252" s="13" t="inlineStr">
        <is>
          <t>ISENTO (ATO 104/2017)</t>
        </is>
      </c>
      <c r="D1252" s="14" t="inlineStr">
        <is>
          <t>ZATO ADJ</t>
        </is>
      </c>
      <c r="E1252" s="13" t="inlineStr">
        <is>
          <t>Adjuvante Espalhante / Surfactante / Redutor de pH e Deriva</t>
        </is>
      </c>
      <c r="F1252" s="13" t="inlineStr">
        <is>
          <t>Otimização de Gota, Espalhamento e Redução de Deriva</t>
        </is>
      </c>
      <c r="G1252" s="13" t="inlineStr">
        <is>
          <t>Tecnologia de Aplicação</t>
        </is>
      </c>
      <c r="H1252" s="13" t="inlineStr">
        <is>
          <t>NÃO</t>
        </is>
      </c>
      <c r="I1252" s="18" t="n">
        <v>0.25</v>
      </c>
      <c r="J1252" s="15" t="n">
        <v>1</v>
      </c>
      <c r="K1252" s="13" t="inlineStr">
        <is>
          <t>% v/v na calda</t>
        </is>
      </c>
      <c r="L1252" s="15" t="n">
        <v>1</v>
      </c>
      <c r="M1252" s="13" t="inlineStr">
        <is>
          <t>Aplicar conforme monitoramento e estádio recomendado na bula (Adjuvante Tecnológico de Pulverização)</t>
        </is>
      </c>
    </row>
    <row r="1253" ht="22" customHeight="1">
      <c r="A1253" s="6" t="inlineStr">
        <is>
          <t>ALV-1249</t>
        </is>
      </c>
      <c r="B1253" s="5" t="n">
        <v>646</v>
      </c>
      <c r="C1253" s="7" t="inlineStr">
        <is>
          <t>Nº 5110</t>
        </is>
      </c>
      <c r="D1253" s="8" t="inlineStr">
        <is>
          <t>PLATINUM NEO</t>
        </is>
      </c>
      <c r="E1253" s="7" t="inlineStr">
        <is>
          <t>Inseticida</t>
        </is>
      </c>
      <c r="F1253" s="7" t="inlineStr">
        <is>
          <t>Lagarta-do-cartucho</t>
        </is>
      </c>
      <c r="G1253" s="7" t="inlineStr">
        <is>
          <t>Spodoptera frugiperda</t>
        </is>
      </c>
      <c r="H1253" s="7" t="inlineStr">
        <is>
          <t>SIM (*)</t>
        </is>
      </c>
      <c r="I1253" s="17" t="n">
        <v>0.05</v>
      </c>
      <c r="J1253" s="17" t="n">
        <v>0.15</v>
      </c>
      <c r="K1253" s="7" t="inlineStr">
        <is>
          <t>L/ha</t>
        </is>
      </c>
      <c r="L1253" s="9" t="n">
        <v>1</v>
      </c>
      <c r="M1253" s="7" t="inlineStr">
        <is>
          <t>Aplicar conforme monitoramento e estádio recomendado na bula (IRAC Grupo 3A)</t>
        </is>
      </c>
    </row>
    <row r="1254" ht="22" customHeight="1">
      <c r="A1254" s="12" t="inlineStr">
        <is>
          <t>ALV-1250</t>
        </is>
      </c>
      <c r="B1254" s="11" t="n">
        <v>646</v>
      </c>
      <c r="C1254" s="13" t="inlineStr">
        <is>
          <t>Nº 5110</t>
        </is>
      </c>
      <c r="D1254" s="14" t="inlineStr">
        <is>
          <t>PLATINUM NEO</t>
        </is>
      </c>
      <c r="E1254" s="13" t="inlineStr">
        <is>
          <t>Inseticida</t>
        </is>
      </c>
      <c r="F1254" s="13" t="inlineStr">
        <is>
          <t>Percevejo-marrom</t>
        </is>
      </c>
      <c r="G1254" s="13" t="inlineStr">
        <is>
          <t>Euschistus heros</t>
        </is>
      </c>
      <c r="H1254" s="13" t="inlineStr">
        <is>
          <t>NÃO</t>
        </is>
      </c>
      <c r="I1254" s="18" t="n">
        <v>0.075</v>
      </c>
      <c r="J1254" s="18" t="n">
        <v>0.15</v>
      </c>
      <c r="K1254" s="13" t="inlineStr">
        <is>
          <t>L/ha</t>
        </is>
      </c>
      <c r="L1254" s="15" t="n">
        <v>1</v>
      </c>
      <c r="M1254" s="13" t="inlineStr">
        <is>
          <t>Aplicar conforme monitoramento e estádio recomendado na bula (IRAC Grupo 3A)</t>
        </is>
      </c>
    </row>
    <row r="1255" ht="22" customHeight="1">
      <c r="A1255" s="6" t="inlineStr">
        <is>
          <t>ALV-1251</t>
        </is>
      </c>
      <c r="B1255" s="5" t="n">
        <v>647</v>
      </c>
      <c r="C1255" s="7" t="inlineStr">
        <is>
          <t>SIPEAGRO (UF-XXXXX)</t>
        </is>
      </c>
      <c r="D1255" s="8" t="inlineStr">
        <is>
          <t>BIOBRADY 1,75L</t>
        </is>
      </c>
      <c r="E1255" s="7" t="inlineStr">
        <is>
          <t>Inoculante Fixador de Nitrogênio</t>
        </is>
      </c>
      <c r="F1255" s="7" t="inlineStr">
        <is>
          <t>Fixação Biológica / Manejo Biológico de Solo</t>
        </is>
      </c>
      <c r="G1255" s="7" t="inlineStr">
        <is>
          <t>Biologia de Solo</t>
        </is>
      </c>
      <c r="H1255" s="7" t="inlineStr">
        <is>
          <t>NÃO</t>
        </is>
      </c>
      <c r="I1255" s="17" t="n">
        <v>0.1</v>
      </c>
      <c r="J1255" s="9" t="n">
        <v>1</v>
      </c>
      <c r="K1255" s="7" t="inlineStr">
        <is>
          <t>L ou kg/ha</t>
        </is>
      </c>
      <c r="L1255" s="9" t="n">
        <v>1</v>
      </c>
      <c r="M1255" s="7" t="inlineStr">
        <is>
          <t>Aplicar conforme monitoramento e estádio recomendado na bula (Bioinsumo Agrícola)</t>
        </is>
      </c>
    </row>
    <row r="1256" ht="22" customHeight="1">
      <c r="A1256" s="12" t="inlineStr">
        <is>
          <t>ALV-1252</t>
        </is>
      </c>
      <c r="B1256" s="11" t="n">
        <v>648</v>
      </c>
      <c r="C1256" s="13" t="inlineStr">
        <is>
          <t>SIPEAGRO (UF-XXXXX)</t>
        </is>
      </c>
      <c r="D1256" s="14" t="inlineStr">
        <is>
          <t>INOCULANTE GRAP NOD L+</t>
        </is>
      </c>
      <c r="E1256" s="13" t="inlineStr">
        <is>
          <t>Inoculante Fixador de Nitrogênio</t>
        </is>
      </c>
      <c r="F1256" s="13" t="inlineStr">
        <is>
          <t>Fixação Biológica de Nitrogênio e Enraizamento</t>
        </is>
      </c>
      <c r="G1256" s="13" t="inlineStr">
        <is>
          <t>Zea mays / Glycine max</t>
        </is>
      </c>
      <c r="H1256" s="13" t="inlineStr">
        <is>
          <t>NÃO</t>
        </is>
      </c>
      <c r="I1256" s="18" t="n">
        <v>0.1</v>
      </c>
      <c r="J1256" s="18" t="n">
        <v>0.3</v>
      </c>
      <c r="K1256" s="13" t="inlineStr">
        <is>
          <t>L/ha ou 100kg sem.</t>
        </is>
      </c>
      <c r="L1256" s="15" t="n">
        <v>1</v>
      </c>
      <c r="M1256" s="13" t="inlineStr">
        <is>
          <t>Aplicar conforme monitoramento e estádio recomendado na bula (Inoculante Biológico — Lei nº 6.894/1980)</t>
        </is>
      </c>
    </row>
    <row r="1257" ht="22" customHeight="1">
      <c r="A1257" s="6" t="inlineStr">
        <is>
          <t>ALV-1253</t>
        </is>
      </c>
      <c r="B1257" s="5" t="n">
        <v>649</v>
      </c>
      <c r="C1257" s="7" t="inlineStr">
        <is>
          <t>Nº 18107</t>
        </is>
      </c>
      <c r="D1257" s="8" t="inlineStr">
        <is>
          <t>TALISMAN</t>
        </is>
      </c>
      <c r="E1257" s="7" t="inlineStr">
        <is>
          <t>Inseticida</t>
        </is>
      </c>
      <c r="F1257" s="7" t="inlineStr">
        <is>
          <t>Bicudo-do-algodoeiro</t>
        </is>
      </c>
      <c r="G1257" s="7" t="inlineStr">
        <is>
          <t>Anthonomus grandis</t>
        </is>
      </c>
      <c r="H1257" s="7" t="inlineStr">
        <is>
          <t>NÃO</t>
        </is>
      </c>
      <c r="I1257" s="17" t="n">
        <v>0.15</v>
      </c>
      <c r="J1257" s="17" t="n">
        <v>0.25</v>
      </c>
      <c r="K1257" s="7" t="inlineStr">
        <is>
          <t>L/ha</t>
        </is>
      </c>
      <c r="L1257" s="9" t="n">
        <v>1</v>
      </c>
      <c r="M1257" s="7" t="inlineStr">
        <is>
          <t>Aplicar conforme monitoramento e estádio recomendado na bula (IRAC Grupo 3A)</t>
        </is>
      </c>
    </row>
    <row r="1258" ht="22" customHeight="1">
      <c r="A1258" s="12" t="inlineStr">
        <is>
          <t>ALV-1254</t>
        </is>
      </c>
      <c r="B1258" s="11" t="n">
        <v>649</v>
      </c>
      <c r="C1258" s="13" t="inlineStr">
        <is>
          <t>Nº 18107</t>
        </is>
      </c>
      <c r="D1258" s="14" t="inlineStr">
        <is>
          <t>TALISMAN</t>
        </is>
      </c>
      <c r="E1258" s="13" t="inlineStr">
        <is>
          <t>Inseticida</t>
        </is>
      </c>
      <c r="F1258" s="13" t="inlineStr">
        <is>
          <t>Mosca-branca</t>
        </is>
      </c>
      <c r="G1258" s="13" t="inlineStr">
        <is>
          <t>Bemisia tabaci raça B</t>
        </is>
      </c>
      <c r="H1258" s="13" t="inlineStr">
        <is>
          <t>SIM (*)</t>
        </is>
      </c>
      <c r="I1258" s="18" t="n">
        <v>0.125</v>
      </c>
      <c r="J1258" s="18" t="n">
        <v>0.25</v>
      </c>
      <c r="K1258" s="13" t="inlineStr">
        <is>
          <t>L/ha</t>
        </is>
      </c>
      <c r="L1258" s="15" t="n">
        <v>1</v>
      </c>
      <c r="M1258" s="13" t="inlineStr">
        <is>
          <t>Aplicar conforme monitoramento e estádio recomendado na bula (IRAC Grupo 3A)</t>
        </is>
      </c>
    </row>
    <row r="1259" ht="22" customHeight="1">
      <c r="A1259" s="6" t="inlineStr">
        <is>
          <t>ALV-1255</t>
        </is>
      </c>
      <c r="B1259" s="5" t="n">
        <v>649</v>
      </c>
      <c r="C1259" s="7" t="inlineStr">
        <is>
          <t>Nº 18107</t>
        </is>
      </c>
      <c r="D1259" s="8" t="inlineStr">
        <is>
          <t>TALISMAN</t>
        </is>
      </c>
      <c r="E1259" s="7" t="inlineStr">
        <is>
          <t>Inseticida</t>
        </is>
      </c>
      <c r="F1259" s="7" t="inlineStr">
        <is>
          <t>Ácaro-rajado</t>
        </is>
      </c>
      <c r="G1259" s="7" t="inlineStr">
        <is>
          <t>Tetranychus urticae</t>
        </is>
      </c>
      <c r="H1259" s="7" t="inlineStr">
        <is>
          <t>SIM (*)</t>
        </is>
      </c>
      <c r="I1259" s="17" t="n">
        <v>0.15</v>
      </c>
      <c r="J1259" s="17" t="n">
        <v>0.2</v>
      </c>
      <c r="K1259" s="7" t="inlineStr">
        <is>
          <t>L/ha</t>
        </is>
      </c>
      <c r="L1259" s="9" t="n">
        <v>1</v>
      </c>
      <c r="M1259" s="7" t="inlineStr">
        <is>
          <t>Aplicar conforme monitoramento e estádio recomendado na bula (IRAC Grupo 3A)</t>
        </is>
      </c>
    </row>
    <row r="1260" ht="22" customHeight="1">
      <c r="A1260" s="12" t="inlineStr">
        <is>
          <t>ALV-1256</t>
        </is>
      </c>
      <c r="B1260" s="11" t="n">
        <v>650</v>
      </c>
      <c r="C1260" s="13" t="inlineStr">
        <is>
          <t>SIPEAGRO (UF-XXXXX)</t>
        </is>
      </c>
      <c r="D1260" s="14" t="inlineStr">
        <is>
          <t>ENDOFUSE 0,5L</t>
        </is>
      </c>
      <c r="E1260" s="13" t="inlineStr">
        <is>
          <t>Fertilizante Organomineral / Bioestimulante</t>
        </is>
      </c>
      <c r="F1260" s="13" t="inlineStr">
        <is>
          <t>Nutrição e Correção de Deficiência Mineral</t>
        </is>
      </c>
      <c r="G1260" s="13" t="inlineStr">
        <is>
          <t>Nutrição Vegetal</t>
        </is>
      </c>
      <c r="H1260" s="13" t="inlineStr">
        <is>
          <t>NÃO</t>
        </is>
      </c>
      <c r="I1260" s="15" t="n">
        <v>1</v>
      </c>
      <c r="J1260" s="15" t="n">
        <v>250</v>
      </c>
      <c r="K1260" s="13" t="inlineStr">
        <is>
          <t>kg ou L/ha</t>
        </is>
      </c>
      <c r="L1260" s="15" t="n">
        <v>1</v>
      </c>
      <c r="M1260" s="13" t="inlineStr">
        <is>
          <t>Aplicar conforme monitoramento e estádio recomendado na bula (Nutrição Vegetal SIPEAGRO)</t>
        </is>
      </c>
    </row>
    <row r="1261" ht="22" customHeight="1">
      <c r="A1261" s="6" t="inlineStr">
        <is>
          <t>ALV-1257</t>
        </is>
      </c>
      <c r="B1261" s="5" t="n">
        <v>651</v>
      </c>
      <c r="C1261" s="7" t="inlineStr">
        <is>
          <t>Nº 479097</t>
        </is>
      </c>
      <c r="D1261" s="8" t="inlineStr">
        <is>
          <t>SELECT 240 EC</t>
        </is>
      </c>
      <c r="E1261" s="7" t="inlineStr">
        <is>
          <t>Herbicida</t>
        </is>
      </c>
      <c r="F1261" s="7" t="inlineStr">
        <is>
          <t>Capim-amargoso</t>
        </is>
      </c>
      <c r="G1261" s="7" t="inlineStr">
        <is>
          <t>Digitaria insularis</t>
        </is>
      </c>
      <c r="H1261" s="7" t="inlineStr">
        <is>
          <t>SIM (*)</t>
        </is>
      </c>
      <c r="I1261" s="17" t="n">
        <v>0.45</v>
      </c>
      <c r="J1261" s="17" t="n">
        <v>0.85</v>
      </c>
      <c r="K1261" s="7" t="inlineStr">
        <is>
          <t>L/ha</t>
        </is>
      </c>
      <c r="L1261" s="9" t="n">
        <v>1</v>
      </c>
      <c r="M1261" s="7" t="inlineStr">
        <is>
          <t>Aplicar conforme monitoramento e estádio recomendado na bula (HRAC Grupo A (1) — Inibidores da ACCase)</t>
        </is>
      </c>
    </row>
    <row r="1262" ht="22" customHeight="1">
      <c r="A1262" s="12" t="inlineStr">
        <is>
          <t>ALV-1258</t>
        </is>
      </c>
      <c r="B1262" s="11" t="n">
        <v>651</v>
      </c>
      <c r="C1262" s="13" t="inlineStr">
        <is>
          <t>Nº 479097</t>
        </is>
      </c>
      <c r="D1262" s="14" t="inlineStr">
        <is>
          <t>SELECT 240 EC</t>
        </is>
      </c>
      <c r="E1262" s="13" t="inlineStr">
        <is>
          <t>Herbicida</t>
        </is>
      </c>
      <c r="F1262" s="13" t="inlineStr">
        <is>
          <t>Capim-pé-de-galinha</t>
        </is>
      </c>
      <c r="G1262" s="13" t="inlineStr">
        <is>
          <t>Eleusine indica</t>
        </is>
      </c>
      <c r="H1262" s="13" t="inlineStr">
        <is>
          <t>SIM (*)</t>
        </is>
      </c>
      <c r="I1262" s="18" t="n">
        <v>0.35</v>
      </c>
      <c r="J1262" s="18" t="n">
        <v>0.45</v>
      </c>
      <c r="K1262" s="13" t="inlineStr">
        <is>
          <t>L/ha</t>
        </is>
      </c>
      <c r="L1262" s="15" t="n">
        <v>1</v>
      </c>
      <c r="M1262" s="13" t="inlineStr">
        <is>
          <t>Aplicar conforme monitoramento e estádio recomendado na bula (HRAC Grupo A (1) — Inibidores da ACCase)</t>
        </is>
      </c>
    </row>
    <row r="1263" ht="22" customHeight="1">
      <c r="A1263" s="6" t="inlineStr">
        <is>
          <t>ALV-1259</t>
        </is>
      </c>
      <c r="B1263" s="5" t="n">
        <v>651</v>
      </c>
      <c r="C1263" s="7" t="inlineStr">
        <is>
          <t>Nº 479097</t>
        </is>
      </c>
      <c r="D1263" s="8" t="inlineStr">
        <is>
          <t>SELECT 240 EC</t>
        </is>
      </c>
      <c r="E1263" s="7" t="inlineStr">
        <is>
          <t>Herbicida</t>
        </is>
      </c>
      <c r="F1263" s="7" t="inlineStr">
        <is>
          <t>Milho-voluntário (Tiguera)</t>
        </is>
      </c>
      <c r="G1263" s="7" t="inlineStr">
        <is>
          <t>Zea mays</t>
        </is>
      </c>
      <c r="H1263" s="7" t="inlineStr">
        <is>
          <t>NÃO</t>
        </is>
      </c>
      <c r="I1263" s="17" t="n">
        <v>0.4</v>
      </c>
      <c r="J1263" s="17" t="n">
        <v>0.6</v>
      </c>
      <c r="K1263" s="7" t="inlineStr">
        <is>
          <t>L/ha</t>
        </is>
      </c>
      <c r="L1263" s="9" t="n">
        <v>1</v>
      </c>
      <c r="M1263" s="7" t="inlineStr">
        <is>
          <t>Aplicar conforme monitoramento e estádio recomendado na bula (HRAC Grupo A (1) — Inibidores da ACCase)</t>
        </is>
      </c>
    </row>
    <row r="1264" ht="22" customHeight="1">
      <c r="A1264" s="12" t="inlineStr">
        <is>
          <t>ALV-1260</t>
        </is>
      </c>
      <c r="B1264" s="11" t="n">
        <v>652</v>
      </c>
      <c r="C1264" s="13" t="inlineStr">
        <is>
          <t>SIPEAGRO (UF-XXXXX)</t>
        </is>
      </c>
      <c r="D1264" s="14" t="inlineStr">
        <is>
          <t>ESTIMULUS ROOT +</t>
        </is>
      </c>
      <c r="E1264" s="13" t="inlineStr">
        <is>
          <t>Fertilizante Organomineral / Bioestimulante</t>
        </is>
      </c>
      <c r="F1264" s="13" t="inlineStr">
        <is>
          <t>Nutrição e Correção de Deficiência Mineral</t>
        </is>
      </c>
      <c r="G1264" s="13" t="inlineStr">
        <is>
          <t>Nutrição Vegetal</t>
        </is>
      </c>
      <c r="H1264" s="13" t="inlineStr">
        <is>
          <t>NÃO</t>
        </is>
      </c>
      <c r="I1264" s="15" t="n">
        <v>1</v>
      </c>
      <c r="J1264" s="15" t="n">
        <v>250</v>
      </c>
      <c r="K1264" s="13" t="inlineStr">
        <is>
          <t>kg ou L/ha</t>
        </is>
      </c>
      <c r="L1264" s="15" t="n">
        <v>1</v>
      </c>
      <c r="M1264" s="13" t="inlineStr">
        <is>
          <t>Aplicar conforme monitoramento e estádio recomendado na bula (Nutrição Vegetal SIPEAGRO)</t>
        </is>
      </c>
    </row>
    <row r="1265" ht="22" customHeight="1">
      <c r="A1265" s="6" t="inlineStr">
        <is>
          <t>ALV-1261</t>
        </is>
      </c>
      <c r="B1265" s="5" t="n">
        <v>653</v>
      </c>
      <c r="C1265" s="7" t="inlineStr">
        <is>
          <t>ISENTO (ATO 104/2017)</t>
        </is>
      </c>
      <c r="D1265" s="8" t="inlineStr">
        <is>
          <t>SPREAD MPO</t>
        </is>
      </c>
      <c r="E1265" s="7" t="inlineStr">
        <is>
          <t>Adjuvante Espalhante / Surfactante / Redutor de pH e Deriva</t>
        </is>
      </c>
      <c r="F1265" s="7" t="inlineStr">
        <is>
          <t>Otimização de Gota, Espalhamento e Redução de Deriva</t>
        </is>
      </c>
      <c r="G1265" s="7" t="inlineStr">
        <is>
          <t>Tecnologia de Aplicação</t>
        </is>
      </c>
      <c r="H1265" s="7" t="inlineStr">
        <is>
          <t>NÃO</t>
        </is>
      </c>
      <c r="I1265" s="17" t="n">
        <v>0.25</v>
      </c>
      <c r="J1265" s="9" t="n">
        <v>1</v>
      </c>
      <c r="K1265" s="7" t="inlineStr">
        <is>
          <t>% v/v na calda</t>
        </is>
      </c>
      <c r="L1265" s="9" t="n">
        <v>1</v>
      </c>
      <c r="M1265" s="7" t="inlineStr">
        <is>
          <t>Aplicar conforme monitoramento e estádio recomendado na bula (Adjuvante Tecnológico de Pulverização)</t>
        </is>
      </c>
    </row>
    <row r="1266" ht="22" customHeight="1">
      <c r="A1266" s="12" t="inlineStr">
        <is>
          <t>ALV-1262</t>
        </is>
      </c>
      <c r="B1266" s="11" t="n">
        <v>654</v>
      </c>
      <c r="C1266" s="13" t="inlineStr">
        <is>
          <t>ISENTO (ATO 104/2017)</t>
        </is>
      </c>
      <c r="D1266" s="14" t="inlineStr">
        <is>
          <t>AGRIS</t>
        </is>
      </c>
      <c r="E1266" s="13" t="inlineStr">
        <is>
          <t>Adjuvante Espalhante / Surfactante / Redutor de pH e Deriva</t>
        </is>
      </c>
      <c r="F1266" s="13" t="inlineStr">
        <is>
          <t>Otimização de Gota, Espalhamento e Redução de Deriva</t>
        </is>
      </c>
      <c r="G1266" s="13" t="inlineStr">
        <is>
          <t>Tecnologia de Aplicação</t>
        </is>
      </c>
      <c r="H1266" s="13" t="inlineStr">
        <is>
          <t>NÃO</t>
        </is>
      </c>
      <c r="I1266" s="18" t="n">
        <v>0.25</v>
      </c>
      <c r="J1266" s="15" t="n">
        <v>1</v>
      </c>
      <c r="K1266" s="13" t="inlineStr">
        <is>
          <t>% v/v na calda</t>
        </is>
      </c>
      <c r="L1266" s="15" t="n">
        <v>1</v>
      </c>
      <c r="M1266" s="13" t="inlineStr">
        <is>
          <t>Aplicar conforme monitoramento e estádio recomendado na bula (Adjuvante Tecnológico de Pulverização)</t>
        </is>
      </c>
    </row>
    <row r="1267" ht="22" customHeight="1">
      <c r="A1267" s="6" t="inlineStr">
        <is>
          <t>ALV-1263</t>
        </is>
      </c>
      <c r="B1267" s="5" t="n">
        <v>655</v>
      </c>
      <c r="C1267" s="7" t="inlineStr">
        <is>
          <t>SIPEAGRO (UF-XXXXX)</t>
        </is>
      </c>
      <c r="D1267" s="8" t="inlineStr">
        <is>
          <t>VITAL SOLO BORO</t>
        </is>
      </c>
      <c r="E1267" s="7" t="inlineStr">
        <is>
          <t>Fertilizante Foliar / Micronutrientes</t>
        </is>
      </c>
      <c r="F1267" s="7" t="inlineStr">
        <is>
          <t>Nutrição e Correção de Deficiência Mineral</t>
        </is>
      </c>
      <c r="G1267" s="7" t="inlineStr">
        <is>
          <t>Nutrição Vegetal</t>
        </is>
      </c>
      <c r="H1267" s="7" t="inlineStr">
        <is>
          <t>NÃO</t>
        </is>
      </c>
      <c r="I1267" s="9" t="n">
        <v>1</v>
      </c>
      <c r="J1267" s="9" t="n">
        <v>250</v>
      </c>
      <c r="K1267" s="7" t="inlineStr">
        <is>
          <t>kg ou L/ha</t>
        </is>
      </c>
      <c r="L1267" s="9" t="n">
        <v>1</v>
      </c>
      <c r="M1267" s="7" t="inlineStr">
        <is>
          <t>Aplicar conforme monitoramento e estádio recomendado na bula (Nutrição Vegetal SIPEAGRO)</t>
        </is>
      </c>
    </row>
    <row r="1268" ht="22" customHeight="1">
      <c r="A1268" s="12" t="inlineStr">
        <is>
          <t>ALV-1264</t>
        </is>
      </c>
      <c r="B1268" s="11" t="n">
        <v>656</v>
      </c>
      <c r="C1268" s="13" t="inlineStr">
        <is>
          <t>SIPEAGRO (UF-XXXXX)</t>
        </is>
      </c>
      <c r="D1268" s="14" t="inlineStr">
        <is>
          <t>RESISTANCE BAC-F</t>
        </is>
      </c>
      <c r="E1268" s="13" t="inlineStr">
        <is>
          <t>Fertilizante Foliar / Micronutrientes</t>
        </is>
      </c>
      <c r="F1268" s="13" t="inlineStr">
        <is>
          <t>Nutrição e Correção de Deficiência Mineral</t>
        </is>
      </c>
      <c r="G1268" s="13" t="inlineStr">
        <is>
          <t>Nutrição Vegetal</t>
        </is>
      </c>
      <c r="H1268" s="13" t="inlineStr">
        <is>
          <t>NÃO</t>
        </is>
      </c>
      <c r="I1268" s="15" t="n">
        <v>1</v>
      </c>
      <c r="J1268" s="15" t="n">
        <v>250</v>
      </c>
      <c r="K1268" s="13" t="inlineStr">
        <is>
          <t>kg ou L/ha</t>
        </is>
      </c>
      <c r="L1268" s="15" t="n">
        <v>1</v>
      </c>
      <c r="M1268" s="13" t="inlineStr">
        <is>
          <t>Aplicar conforme monitoramento e estádio recomendado na bula (Nutrição Vegetal SIPEAGRO)</t>
        </is>
      </c>
    </row>
    <row r="1269" ht="22" customHeight="1">
      <c r="A1269" s="6" t="inlineStr">
        <is>
          <t>ALV-1265</t>
        </is>
      </c>
      <c r="B1269" s="5" t="n">
        <v>657</v>
      </c>
      <c r="C1269" s="7" t="inlineStr">
        <is>
          <t>SIPEAGRO (UF-XXXXX)</t>
        </is>
      </c>
      <c r="D1269" s="8" t="inlineStr">
        <is>
          <t>RESISTANCE BAC-F</t>
        </is>
      </c>
      <c r="E1269" s="7" t="inlineStr">
        <is>
          <t>Fertilizante Foliar / Micronutrientes</t>
        </is>
      </c>
      <c r="F1269" s="7" t="inlineStr">
        <is>
          <t>Nutrição e Correção de Deficiência Mineral</t>
        </is>
      </c>
      <c r="G1269" s="7" t="inlineStr">
        <is>
          <t>Nutrição Vegetal</t>
        </is>
      </c>
      <c r="H1269" s="7" t="inlineStr">
        <is>
          <t>NÃO</t>
        </is>
      </c>
      <c r="I1269" s="9" t="n">
        <v>1</v>
      </c>
      <c r="J1269" s="9" t="n">
        <v>250</v>
      </c>
      <c r="K1269" s="7" t="inlineStr">
        <is>
          <t>kg ou L/ha</t>
        </is>
      </c>
      <c r="L1269" s="9" t="n">
        <v>1</v>
      </c>
      <c r="M1269" s="7" t="inlineStr">
        <is>
          <t>Aplicar conforme monitoramento e estádio recomendado na bula (Nutrição Vegetal SIPEAGRO)</t>
        </is>
      </c>
    </row>
    <row r="1270" ht="22" customHeight="1">
      <c r="A1270" s="12" t="inlineStr">
        <is>
          <t>ALV-1266</t>
        </is>
      </c>
      <c r="B1270" s="11" t="n">
        <v>658</v>
      </c>
      <c r="C1270" s="13" t="inlineStr">
        <is>
          <t>Nº 3123</t>
        </is>
      </c>
      <c r="D1270" s="14" t="inlineStr">
        <is>
          <t>IMIDACLOPRID NORTOX</t>
        </is>
      </c>
      <c r="E1270" s="13" t="inlineStr">
        <is>
          <t>Inseticida</t>
        </is>
      </c>
      <c r="F1270" s="13" t="inlineStr">
        <is>
          <t>Complexo de Lagartas, Percevejos e Sugadores</t>
        </is>
      </c>
      <c r="G1270" s="13" t="inlineStr">
        <is>
          <t>Spodoptera / Euschistus / Bemisia</t>
        </is>
      </c>
      <c r="H1270" s="13" t="inlineStr">
        <is>
          <t>NÃO</t>
        </is>
      </c>
      <c r="I1270" s="18" t="n">
        <v>0.15</v>
      </c>
      <c r="J1270" s="15" t="n">
        <v>1</v>
      </c>
      <c r="K1270" s="13" t="inlineStr">
        <is>
          <t>L ou kg/ha</t>
        </is>
      </c>
      <c r="L1270" s="15" t="n">
        <v>1</v>
      </c>
      <c r="M1270" s="13" t="inlineStr">
        <is>
          <t>Aplicar conforme monitoramento e estádio recomendado na bula (Classificação IRAC Oficial conforme Bula)</t>
        </is>
      </c>
    </row>
    <row r="1271" ht="22" customHeight="1">
      <c r="A1271" s="6" t="inlineStr">
        <is>
          <t>ALV-1267</t>
        </is>
      </c>
      <c r="B1271" s="5" t="n">
        <v>659</v>
      </c>
      <c r="C1271" s="7" t="inlineStr">
        <is>
          <t>Nº 15420</t>
        </is>
      </c>
      <c r="D1271" s="8" t="inlineStr">
        <is>
          <t>KYOJIN</t>
        </is>
      </c>
      <c r="E1271" s="7" t="inlineStr">
        <is>
          <t>Herbicida</t>
        </is>
      </c>
      <c r="F1271" s="7" t="inlineStr">
        <is>
          <t>Buva</t>
        </is>
      </c>
      <c r="G1271" s="7" t="inlineStr">
        <is>
          <t>Conyza bonariensis</t>
        </is>
      </c>
      <c r="H1271" s="7" t="inlineStr">
        <is>
          <t>NÃO</t>
        </is>
      </c>
      <c r="I1271" s="17" t="n">
        <v>0.1</v>
      </c>
      <c r="J1271" s="17" t="n">
        <v>0.2</v>
      </c>
      <c r="K1271" s="7" t="inlineStr">
        <is>
          <t>L ou kg/ha</t>
        </is>
      </c>
      <c r="L1271" s="9" t="n">
        <v>1</v>
      </c>
      <c r="M1271" s="7" t="inlineStr">
        <is>
          <t>Aplicar conforme monitoramento e estádio recomendado na bula (HRAC Grupo E (14) — Inibidores da PROTOX)</t>
        </is>
      </c>
    </row>
    <row r="1272" ht="22" customHeight="1">
      <c r="A1272" s="12" t="inlineStr">
        <is>
          <t>ALV-1268</t>
        </is>
      </c>
      <c r="B1272" s="11" t="n">
        <v>659</v>
      </c>
      <c r="C1272" s="13" t="inlineStr">
        <is>
          <t>Nº 15420</t>
        </is>
      </c>
      <c r="D1272" s="14" t="inlineStr">
        <is>
          <t>KYOJIN</t>
        </is>
      </c>
      <c r="E1272" s="13" t="inlineStr">
        <is>
          <t>Herbicida</t>
        </is>
      </c>
      <c r="F1272" s="13" t="inlineStr">
        <is>
          <t>Caruru</t>
        </is>
      </c>
      <c r="G1272" s="13" t="inlineStr">
        <is>
          <t>Amaranthus hybridus</t>
        </is>
      </c>
      <c r="H1272" s="13" t="inlineStr">
        <is>
          <t>NÃO</t>
        </is>
      </c>
      <c r="I1272" s="18" t="n">
        <v>0.1</v>
      </c>
      <c r="J1272" s="18" t="n">
        <v>0.2</v>
      </c>
      <c r="K1272" s="13" t="inlineStr">
        <is>
          <t>L ou kg/ha</t>
        </is>
      </c>
      <c r="L1272" s="15" t="n">
        <v>1</v>
      </c>
      <c r="M1272" s="13" t="inlineStr">
        <is>
          <t>Aplicar conforme monitoramento e estádio recomendado na bula (HRAC Grupo E (14) — Inibidores da PROTOX)</t>
        </is>
      </c>
    </row>
    <row r="1273" ht="22" customHeight="1">
      <c r="A1273" s="6" t="inlineStr">
        <is>
          <t>ALV-1269</t>
        </is>
      </c>
      <c r="B1273" s="5" t="n">
        <v>659</v>
      </c>
      <c r="C1273" s="7" t="inlineStr">
        <is>
          <t>Nº 15420</t>
        </is>
      </c>
      <c r="D1273" s="8" t="inlineStr">
        <is>
          <t>KYOJIN</t>
        </is>
      </c>
      <c r="E1273" s="7" t="inlineStr">
        <is>
          <t>Herbicida</t>
        </is>
      </c>
      <c r="F1273" s="7" t="inlineStr">
        <is>
          <t>Poaia-branca</t>
        </is>
      </c>
      <c r="G1273" s="7" t="inlineStr">
        <is>
          <t>Richardia brasiliensis</t>
        </is>
      </c>
      <c r="H1273" s="7" t="inlineStr">
        <is>
          <t>NÃO</t>
        </is>
      </c>
      <c r="I1273" s="17" t="n">
        <v>0.1</v>
      </c>
      <c r="J1273" s="17" t="n">
        <v>0.15</v>
      </c>
      <c r="K1273" s="7" t="inlineStr">
        <is>
          <t>L ou kg/ha</t>
        </is>
      </c>
      <c r="L1273" s="9" t="n">
        <v>1</v>
      </c>
      <c r="M1273" s="7" t="inlineStr">
        <is>
          <t>Aplicar conforme monitoramento e estádio recomendado na bula (HRAC Grupo E (14) — Inibidores da PROTOX)</t>
        </is>
      </c>
    </row>
    <row r="1274" ht="22" customHeight="1">
      <c r="A1274" s="12" t="inlineStr">
        <is>
          <t>ALV-1270</t>
        </is>
      </c>
      <c r="B1274" s="11" t="n">
        <v>660</v>
      </c>
      <c r="C1274" s="13" t="inlineStr">
        <is>
          <t>Nº 9917</t>
        </is>
      </c>
      <c r="D1274" s="14" t="inlineStr">
        <is>
          <t>PRISMA PLUS</t>
        </is>
      </c>
      <c r="E1274" s="13" t="inlineStr">
        <is>
          <t>Fungicida</t>
        </is>
      </c>
      <c r="F1274" s="13" t="inlineStr">
        <is>
          <t>Mancha-alvo</t>
        </is>
      </c>
      <c r="G1274" s="13" t="inlineStr">
        <is>
          <t>Corynespora cassiicola</t>
        </is>
      </c>
      <c r="H1274" s="13" t="inlineStr">
        <is>
          <t>SIM (*)</t>
        </is>
      </c>
      <c r="I1274" s="18" t="n">
        <v>0.3</v>
      </c>
      <c r="J1274" s="18" t="n">
        <v>0.5</v>
      </c>
      <c r="K1274" s="13" t="inlineStr">
        <is>
          <t>L/ha</t>
        </is>
      </c>
      <c r="L1274" s="15" t="n">
        <v>1</v>
      </c>
      <c r="M1274" s="13" t="inlineStr">
        <is>
          <t>Aplicar conforme monitoramento e estádio recomendado na bula (FRAC Grupo 3 (DMI))</t>
        </is>
      </c>
    </row>
    <row r="1275" ht="22" customHeight="1">
      <c r="A1275" s="6" t="inlineStr">
        <is>
          <t>ALV-1271</t>
        </is>
      </c>
      <c r="B1275" s="5" t="n">
        <v>660</v>
      </c>
      <c r="C1275" s="7" t="inlineStr">
        <is>
          <t>Nº 9917</t>
        </is>
      </c>
      <c r="D1275" s="8" t="inlineStr">
        <is>
          <t>PRISMA PLUS</t>
        </is>
      </c>
      <c r="E1275" s="7" t="inlineStr">
        <is>
          <t>Fungicida</t>
        </is>
      </c>
      <c r="F1275" s="7" t="inlineStr">
        <is>
          <t>Oídio</t>
        </is>
      </c>
      <c r="G1275" s="7" t="inlineStr">
        <is>
          <t>Microsphaera diffusa</t>
        </is>
      </c>
      <c r="H1275" s="7" t="inlineStr">
        <is>
          <t>NÃO</t>
        </is>
      </c>
      <c r="I1275" s="17" t="n">
        <v>0.2</v>
      </c>
      <c r="J1275" s="17" t="n">
        <v>0.3</v>
      </c>
      <c r="K1275" s="7" t="inlineStr">
        <is>
          <t>L/ha</t>
        </is>
      </c>
      <c r="L1275" s="9" t="n">
        <v>1</v>
      </c>
      <c r="M1275" s="7" t="inlineStr">
        <is>
          <t>Aplicar conforme monitoramento e estádio recomendado na bula (FRAC Grupo 3 (DMI))</t>
        </is>
      </c>
    </row>
    <row r="1276" ht="22" customHeight="1">
      <c r="A1276" s="12" t="inlineStr">
        <is>
          <t>ALV-1272</t>
        </is>
      </c>
      <c r="B1276" s="11" t="n">
        <v>660</v>
      </c>
      <c r="C1276" s="13" t="inlineStr">
        <is>
          <t>Nº 9917</t>
        </is>
      </c>
      <c r="D1276" s="14" t="inlineStr">
        <is>
          <t>PRISMA PLUS</t>
        </is>
      </c>
      <c r="E1276" s="13" t="inlineStr">
        <is>
          <t>Fungicida</t>
        </is>
      </c>
      <c r="F1276" s="13" t="inlineStr">
        <is>
          <t>Antracnose</t>
        </is>
      </c>
      <c r="G1276" s="13" t="inlineStr">
        <is>
          <t>Colletotrichum truncatum</t>
        </is>
      </c>
      <c r="H1276" s="13" t="inlineStr">
        <is>
          <t>NÃO</t>
        </is>
      </c>
      <c r="I1276" s="18" t="n">
        <v>0.3</v>
      </c>
      <c r="J1276" s="18" t="n">
        <v>0.4</v>
      </c>
      <c r="K1276" s="13" t="inlineStr">
        <is>
          <t>L/ha</t>
        </is>
      </c>
      <c r="L1276" s="15" t="n">
        <v>1</v>
      </c>
      <c r="M1276" s="13" t="inlineStr">
        <is>
          <t>Aplicar conforme monitoramento e estádio recomendado na bula (FRAC Grupo 3 (DMI))</t>
        </is>
      </c>
    </row>
    <row r="1277" ht="22" customHeight="1">
      <c r="A1277" s="6" t="inlineStr">
        <is>
          <t>ALV-1273</t>
        </is>
      </c>
      <c r="B1277" s="5" t="n">
        <v>661</v>
      </c>
      <c r="C1277" s="7" t="inlineStr">
        <is>
          <t>Nº 12407</t>
        </is>
      </c>
      <c r="D1277" s="8" t="inlineStr">
        <is>
          <t>ECHO</t>
        </is>
      </c>
      <c r="E1277" s="7" t="inlineStr">
        <is>
          <t>Fungicida</t>
        </is>
      </c>
      <c r="F1277" s="7" t="inlineStr">
        <is>
          <t>Ferrugem-asiática</t>
        </is>
      </c>
      <c r="G1277" s="7" t="inlineStr">
        <is>
          <t>Phakopsora pachyrhizi</t>
        </is>
      </c>
      <c r="H1277" s="7" t="inlineStr">
        <is>
          <t>NÃO</t>
        </is>
      </c>
      <c r="I1277" s="17" t="n">
        <v>1.5</v>
      </c>
      <c r="J1277" s="9" t="n">
        <v>2</v>
      </c>
      <c r="K1277" s="7" t="inlineStr">
        <is>
          <t>L ou kg/ha</t>
        </is>
      </c>
      <c r="L1277" s="9" t="n">
        <v>1</v>
      </c>
      <c r="M1277" s="7" t="inlineStr">
        <is>
          <t>Aplicar conforme monitoramento e estádio recomendado na bula (FRAC Grupo M05 — Multissítio)</t>
        </is>
      </c>
    </row>
    <row r="1278" ht="22" customHeight="1">
      <c r="A1278" s="12" t="inlineStr">
        <is>
          <t>ALV-1274</t>
        </is>
      </c>
      <c r="B1278" s="11" t="n">
        <v>661</v>
      </c>
      <c r="C1278" s="13" t="inlineStr">
        <is>
          <t>Nº 12407</t>
        </is>
      </c>
      <c r="D1278" s="14" t="inlineStr">
        <is>
          <t>ECHO</t>
        </is>
      </c>
      <c r="E1278" s="13" t="inlineStr">
        <is>
          <t>Fungicida</t>
        </is>
      </c>
      <c r="F1278" s="13" t="inlineStr">
        <is>
          <t>Mancha-alvo</t>
        </is>
      </c>
      <c r="G1278" s="13" t="inlineStr">
        <is>
          <t>Corynespora cassiicola</t>
        </is>
      </c>
      <c r="H1278" s="13" t="inlineStr">
        <is>
          <t>NÃO</t>
        </is>
      </c>
      <c r="I1278" s="18" t="n">
        <v>1.5</v>
      </c>
      <c r="J1278" s="18" t="n">
        <v>2.5</v>
      </c>
      <c r="K1278" s="13" t="inlineStr">
        <is>
          <t>L ou kg/ha</t>
        </is>
      </c>
      <c r="L1278" s="15" t="n">
        <v>1</v>
      </c>
      <c r="M1278" s="13" t="inlineStr">
        <is>
          <t>Aplicar conforme monitoramento e estádio recomendado na bula (FRAC Grupo M05 — Multissítio)</t>
        </is>
      </c>
    </row>
    <row r="1279" ht="22" customHeight="1">
      <c r="A1279" s="6" t="inlineStr">
        <is>
          <t>ALV-1275</t>
        </is>
      </c>
      <c r="B1279" s="5" t="n">
        <v>661</v>
      </c>
      <c r="C1279" s="7" t="inlineStr">
        <is>
          <t>Nº 12407</t>
        </is>
      </c>
      <c r="D1279" s="8" t="inlineStr">
        <is>
          <t>ECHO</t>
        </is>
      </c>
      <c r="E1279" s="7" t="inlineStr">
        <is>
          <t>Fungicida</t>
        </is>
      </c>
      <c r="F1279" s="7" t="inlineStr">
        <is>
          <t>Cercosporiose</t>
        </is>
      </c>
      <c r="G1279" s="7" t="inlineStr">
        <is>
          <t>Cercospora kikuchii</t>
        </is>
      </c>
      <c r="H1279" s="7" t="inlineStr">
        <is>
          <t>NÃO</t>
        </is>
      </c>
      <c r="I1279" s="17" t="n">
        <v>1.5</v>
      </c>
      <c r="J1279" s="9" t="n">
        <v>2</v>
      </c>
      <c r="K1279" s="7" t="inlineStr">
        <is>
          <t>L ou kg/ha</t>
        </is>
      </c>
      <c r="L1279" s="9" t="n">
        <v>1</v>
      </c>
      <c r="M1279" s="7" t="inlineStr">
        <is>
          <t>Aplicar conforme monitoramento e estádio recomendado na bula (FRAC Grupo M05 — Multissítio)</t>
        </is>
      </c>
    </row>
    <row r="1280" ht="22" customHeight="1">
      <c r="A1280" s="12" t="inlineStr">
        <is>
          <t>ALV-1276</t>
        </is>
      </c>
      <c r="B1280" s="11" t="n">
        <v>662</v>
      </c>
      <c r="C1280" s="13" t="inlineStr">
        <is>
          <t>VINCULAR MARCA</t>
        </is>
      </c>
      <c r="D1280" s="14" t="inlineStr">
        <is>
          <t>ACTTRA NOCTUIDEO</t>
        </is>
      </c>
      <c r="E1280" s="13" t="inlineStr">
        <is>
          <t>Atrativo Alimentar / Semioquímico</t>
        </is>
      </c>
      <c r="F1280" s="13" t="inlineStr">
        <is>
          <t>Complexo de Lagartas, Percevejos e Sugadores</t>
        </is>
      </c>
      <c r="G1280" s="13" t="inlineStr">
        <is>
          <t>Spodoptera / Euschistus / Bemisia</t>
        </is>
      </c>
      <c r="H1280" s="13" t="inlineStr">
        <is>
          <t>NÃO</t>
        </is>
      </c>
      <c r="I1280" s="18" t="n">
        <v>0.15</v>
      </c>
      <c r="J1280" s="15" t="n">
        <v>1</v>
      </c>
      <c r="K1280" s="13" t="inlineStr">
        <is>
          <t>L ou kg/ha</t>
        </is>
      </c>
      <c r="L1280" s="15" t="n">
        <v>1</v>
      </c>
      <c r="M1280" s="13" t="inlineStr">
        <is>
          <t>Aplicar conforme monitoramento e estádio recomendado na bula (Classificação IRAC Oficial conforme Bula)</t>
        </is>
      </c>
    </row>
    <row r="1281" ht="22" customHeight="1">
      <c r="A1281" s="6" t="inlineStr">
        <is>
          <t>ALV-1277</t>
        </is>
      </c>
      <c r="B1281" s="5" t="n">
        <v>663</v>
      </c>
      <c r="C1281" s="7" t="inlineStr">
        <is>
          <t>Nº 3202</t>
        </is>
      </c>
      <c r="D1281" s="8" t="inlineStr">
        <is>
          <t>IMPULSE</t>
        </is>
      </c>
      <c r="E1281" s="7" t="inlineStr">
        <is>
          <t>Regulador de Crescimento</t>
        </is>
      </c>
      <c r="F1281" s="7" t="inlineStr">
        <is>
          <t>Indução de Maturação Uniforme, Abertura de Maçãs (Algodão) e Inibição de Florescimento (Cana)</t>
        </is>
      </c>
      <c r="G1281" s="7" t="inlineStr">
        <is>
          <t>Gossypium hirsutum / Saccharum officinarum (Manejo Fisiológico)</t>
        </is>
      </c>
      <c r="H1281" s="7" t="inlineStr">
        <is>
          <t>NÃO</t>
        </is>
      </c>
      <c r="I1281" s="17" t="n">
        <v>0.67</v>
      </c>
      <c r="J1281" s="9" t="n">
        <v>2</v>
      </c>
      <c r="K1281" s="7" t="inlineStr">
        <is>
          <t>L/ha</t>
        </is>
      </c>
      <c r="L1281" s="9" t="n">
        <v>1</v>
      </c>
      <c r="M1281" s="7" t="inlineStr">
        <is>
          <t>Aplicar no estádio fenológico específico de maturação ou pré-indução floral conforme bula</t>
        </is>
      </c>
    </row>
    <row r="1282" ht="22" customHeight="1">
      <c r="A1282" s="12" t="inlineStr">
        <is>
          <t>ALV-1278</t>
        </is>
      </c>
      <c r="B1282" s="11" t="n">
        <v>664</v>
      </c>
      <c r="C1282" s="13" t="inlineStr">
        <is>
          <t>Nº 0820</t>
        </is>
      </c>
      <c r="D1282" s="14" t="inlineStr">
        <is>
          <t>MESOPEC</t>
        </is>
      </c>
      <c r="E1282" s="13" t="inlineStr">
        <is>
          <t>Herbicida</t>
        </is>
      </c>
      <c r="F1282" s="13" t="inlineStr">
        <is>
          <t>Capim-carrapicho</t>
        </is>
      </c>
      <c r="G1282" s="13" t="inlineStr">
        <is>
          <t>Cenchrus echinatus</t>
        </is>
      </c>
      <c r="H1282" s="13" t="inlineStr">
        <is>
          <t>NÃO</t>
        </is>
      </c>
      <c r="I1282" s="18" t="n">
        <v>0.3</v>
      </c>
      <c r="J1282" s="18" t="n">
        <v>0.4</v>
      </c>
      <c r="K1282" s="13" t="inlineStr">
        <is>
          <t>L/ha</t>
        </is>
      </c>
      <c r="L1282" s="15" t="n">
        <v>1</v>
      </c>
      <c r="M1282" s="13" t="inlineStr">
        <is>
          <t>Aplicar conforme monitoramento e estádio recomendado na bula (HRAC Grupo F2 (27) — Inibidores da HPPD)</t>
        </is>
      </c>
    </row>
    <row r="1283" ht="22" customHeight="1">
      <c r="A1283" s="6" t="inlineStr">
        <is>
          <t>ALV-1279</t>
        </is>
      </c>
      <c r="B1283" s="5" t="n">
        <v>664</v>
      </c>
      <c r="C1283" s="7" t="inlineStr">
        <is>
          <t>Nº 0820</t>
        </is>
      </c>
      <c r="D1283" s="8" t="inlineStr">
        <is>
          <t>MESOPEC</t>
        </is>
      </c>
      <c r="E1283" s="7" t="inlineStr">
        <is>
          <t>Herbicida</t>
        </is>
      </c>
      <c r="F1283" s="7" t="inlineStr">
        <is>
          <t>Caruru</t>
        </is>
      </c>
      <c r="G1283" s="7" t="inlineStr">
        <is>
          <t>Amaranthus viridis</t>
        </is>
      </c>
      <c r="H1283" s="7" t="inlineStr">
        <is>
          <t>NÃO</t>
        </is>
      </c>
      <c r="I1283" s="17" t="n">
        <v>0.25</v>
      </c>
      <c r="J1283" s="17" t="n">
        <v>0.4</v>
      </c>
      <c r="K1283" s="7" t="inlineStr">
        <is>
          <t>L/ha</t>
        </is>
      </c>
      <c r="L1283" s="9" t="n">
        <v>1</v>
      </c>
      <c r="M1283" s="7" t="inlineStr">
        <is>
          <t>Aplicar conforme monitoramento e estádio recomendado na bula (HRAC Grupo F2 (27) — Inibidores da HPPD)</t>
        </is>
      </c>
    </row>
    <row r="1284" ht="22" customHeight="1">
      <c r="A1284" s="12" t="inlineStr">
        <is>
          <t>ALV-1280</t>
        </is>
      </c>
      <c r="B1284" s="11" t="n">
        <v>664</v>
      </c>
      <c r="C1284" s="13" t="inlineStr">
        <is>
          <t>Nº 0820</t>
        </is>
      </c>
      <c r="D1284" s="14" t="inlineStr">
        <is>
          <t>MESOPEC</t>
        </is>
      </c>
      <c r="E1284" s="13" t="inlineStr">
        <is>
          <t>Herbicida</t>
        </is>
      </c>
      <c r="F1284" s="13" t="inlineStr">
        <is>
          <t>Corda-de-viola</t>
        </is>
      </c>
      <c r="G1284" s="13" t="inlineStr">
        <is>
          <t>Ipomoea grandifolia</t>
        </is>
      </c>
      <c r="H1284" s="13" t="inlineStr">
        <is>
          <t>NÃO</t>
        </is>
      </c>
      <c r="I1284" s="18" t="n">
        <v>0.25</v>
      </c>
      <c r="J1284" s="18" t="n">
        <v>0.4</v>
      </c>
      <c r="K1284" s="13" t="inlineStr">
        <is>
          <t>L/ha</t>
        </is>
      </c>
      <c r="L1284" s="15" t="n">
        <v>1</v>
      </c>
      <c r="M1284" s="13" t="inlineStr">
        <is>
          <t>Aplicar conforme monitoramento e estádio recomendado na bula (HRAC Grupo F2 (27) — Inibidores da HPPD)</t>
        </is>
      </c>
    </row>
    <row r="1285" ht="22" customHeight="1">
      <c r="A1285" s="6" t="inlineStr">
        <is>
          <t>ALV-1281</t>
        </is>
      </c>
      <c r="B1285" s="5" t="n">
        <v>665</v>
      </c>
      <c r="C1285" s="7" t="inlineStr">
        <is>
          <t>Nº 16320</t>
        </is>
      </c>
      <c r="D1285" s="8" t="inlineStr">
        <is>
          <t>TAKUMI</t>
        </is>
      </c>
      <c r="E1285" s="7" t="inlineStr">
        <is>
          <t>Inseticida</t>
        </is>
      </c>
      <c r="F1285" s="7" t="inlineStr">
        <is>
          <t>Complexo de Lagartas, Percevejos e Sugadores</t>
        </is>
      </c>
      <c r="G1285" s="7" t="inlineStr">
        <is>
          <t>Spodoptera / Euschistus / Bemisia</t>
        </is>
      </c>
      <c r="H1285" s="7" t="inlineStr">
        <is>
          <t>NÃO</t>
        </is>
      </c>
      <c r="I1285" s="17" t="n">
        <v>0.15</v>
      </c>
      <c r="J1285" s="9" t="n">
        <v>1</v>
      </c>
      <c r="K1285" s="7" t="inlineStr">
        <is>
          <t>L ou kg/ha</t>
        </is>
      </c>
      <c r="L1285" s="9" t="n">
        <v>1</v>
      </c>
      <c r="M1285" s="7" t="inlineStr">
        <is>
          <t>Aplicar conforme monitoramento e estádio recomendado na bula (Classificação IRAC Oficial conforme Bula)</t>
        </is>
      </c>
    </row>
    <row r="1286" ht="22" customHeight="1">
      <c r="A1286" s="12" t="inlineStr">
        <is>
          <t>ALV-1282</t>
        </is>
      </c>
      <c r="B1286" s="11" t="n">
        <v>666</v>
      </c>
      <c r="C1286" s="13" t="inlineStr">
        <is>
          <t>Nº 3101</t>
        </is>
      </c>
      <c r="D1286" s="14" t="inlineStr">
        <is>
          <t>CIPERMETRINA NORTOX 250 EC</t>
        </is>
      </c>
      <c r="E1286" s="13" t="inlineStr">
        <is>
          <t>Inseticida</t>
        </is>
      </c>
      <c r="F1286" s="13" t="inlineStr">
        <is>
          <t>Complexo de Lagartas, Percevejos e Sugadores</t>
        </is>
      </c>
      <c r="G1286" s="13" t="inlineStr">
        <is>
          <t>Spodoptera / Euschistus / Bemisia</t>
        </is>
      </c>
      <c r="H1286" s="13" t="inlineStr">
        <is>
          <t>NÃO</t>
        </is>
      </c>
      <c r="I1286" s="18" t="n">
        <v>0.15</v>
      </c>
      <c r="J1286" s="15" t="n">
        <v>1</v>
      </c>
      <c r="K1286" s="13" t="inlineStr">
        <is>
          <t>L ou kg/ha</t>
        </is>
      </c>
      <c r="L1286" s="15" t="n">
        <v>1</v>
      </c>
      <c r="M1286" s="13" t="inlineStr">
        <is>
          <t>Aplicar conforme monitoramento e estádio recomendado na bula (Classificação IRAC Oficial conforme Bula)</t>
        </is>
      </c>
    </row>
    <row r="1287" ht="22" customHeight="1">
      <c r="A1287" s="6" t="inlineStr">
        <is>
          <t>ALV-1283</t>
        </is>
      </c>
      <c r="B1287" s="5" t="n">
        <v>667</v>
      </c>
      <c r="C1287" s="7" t="inlineStr">
        <is>
          <t>SIPEAGRO (UF-XXXXX)</t>
        </is>
      </c>
      <c r="D1287" s="8" t="inlineStr">
        <is>
          <t>INOCULANTE BS GRAMINEAS</t>
        </is>
      </c>
      <c r="E1287" s="7" t="inlineStr">
        <is>
          <t>Inoculante Fixador de Nitrogênio</t>
        </is>
      </c>
      <c r="F1287" s="7" t="inlineStr">
        <is>
          <t>Fixação Biológica / Manejo Biológico de Solo</t>
        </is>
      </c>
      <c r="G1287" s="7" t="inlineStr">
        <is>
          <t>Biologia de Solo</t>
        </is>
      </c>
      <c r="H1287" s="7" t="inlineStr">
        <is>
          <t>NÃO</t>
        </is>
      </c>
      <c r="I1287" s="17" t="n">
        <v>0.1</v>
      </c>
      <c r="J1287" s="9" t="n">
        <v>1</v>
      </c>
      <c r="K1287" s="7" t="inlineStr">
        <is>
          <t>L ou kg/ha</t>
        </is>
      </c>
      <c r="L1287" s="9" t="n">
        <v>1</v>
      </c>
      <c r="M1287" s="7" t="inlineStr">
        <is>
          <t>Aplicar conforme monitoramento e estádio recomendado na bula (Bioinsumo Agrícola)</t>
        </is>
      </c>
    </row>
    <row r="1288" ht="22" customHeight="1">
      <c r="A1288" s="12" t="inlineStr">
        <is>
          <t>ALV-1284</t>
        </is>
      </c>
      <c r="B1288" s="11" t="n">
        <v>668</v>
      </c>
      <c r="C1288" s="13" t="inlineStr">
        <is>
          <t>SIPEAGRO (UF-XXXXX)</t>
        </is>
      </c>
      <c r="D1288" s="14" t="inlineStr">
        <is>
          <t>INOCULANTE GRAP NOD L + 1,75L</t>
        </is>
      </c>
      <c r="E1288" s="13" t="inlineStr">
        <is>
          <t>Inoculante Fixador de Nitrogênio</t>
        </is>
      </c>
      <c r="F1288" s="13" t="inlineStr">
        <is>
          <t>Fixação Biológica / Manejo Biológico de Solo</t>
        </is>
      </c>
      <c r="G1288" s="13" t="inlineStr">
        <is>
          <t>Biologia de Solo</t>
        </is>
      </c>
      <c r="H1288" s="13" t="inlineStr">
        <is>
          <t>NÃO</t>
        </is>
      </c>
      <c r="I1288" s="18" t="n">
        <v>0.1</v>
      </c>
      <c r="J1288" s="15" t="n">
        <v>1</v>
      </c>
      <c r="K1288" s="13" t="inlineStr">
        <is>
          <t>L ou kg/ha</t>
        </is>
      </c>
      <c r="L1288" s="15" t="n">
        <v>1</v>
      </c>
      <c r="M1288" s="13" t="inlineStr">
        <is>
          <t>Aplicar conforme monitoramento e estádio recomendado na bula (Bioinsumo Agrícola)</t>
        </is>
      </c>
    </row>
    <row r="1289" ht="22" customHeight="1">
      <c r="A1289" s="6" t="inlineStr">
        <is>
          <t>ALV-1285</t>
        </is>
      </c>
      <c r="B1289" s="5" t="n">
        <v>669</v>
      </c>
      <c r="C1289" s="7" t="inlineStr">
        <is>
          <t>Nº 18007</t>
        </is>
      </c>
      <c r="D1289" s="8" t="inlineStr">
        <is>
          <t>UNIZEB GOLD BR</t>
        </is>
      </c>
      <c r="E1289" s="7" t="inlineStr">
        <is>
          <t>Fungicida</t>
        </is>
      </c>
      <c r="F1289" s="7" t="inlineStr">
        <is>
          <t>Ferrugem-asiática</t>
        </is>
      </c>
      <c r="G1289" s="7" t="inlineStr">
        <is>
          <t>Phakopsora pachyrhizi</t>
        </is>
      </c>
      <c r="H1289" s="7" t="inlineStr">
        <is>
          <t>NÃO</t>
        </is>
      </c>
      <c r="I1289" s="17" t="n">
        <v>1.5</v>
      </c>
      <c r="J1289" s="17" t="n">
        <v>2.5</v>
      </c>
      <c r="K1289" s="7" t="inlineStr">
        <is>
          <t>kg/ha</t>
        </is>
      </c>
      <c r="L1289" s="9" t="n">
        <v>1</v>
      </c>
      <c r="M1289" s="7" t="inlineStr">
        <is>
          <t>Aplicar conforme monitoramento e estádio recomendado na bula (FRAC Grupo M03 — Multissítio)</t>
        </is>
      </c>
    </row>
    <row r="1290" ht="22" customHeight="1">
      <c r="A1290" s="12" t="inlineStr">
        <is>
          <t>ALV-1286</t>
        </is>
      </c>
      <c r="B1290" s="11" t="n">
        <v>669</v>
      </c>
      <c r="C1290" s="13" t="inlineStr">
        <is>
          <t>Nº 18007</t>
        </is>
      </c>
      <c r="D1290" s="14" t="inlineStr">
        <is>
          <t>UNIZEB GOLD BR</t>
        </is>
      </c>
      <c r="E1290" s="13" t="inlineStr">
        <is>
          <t>Fungicida</t>
        </is>
      </c>
      <c r="F1290" s="13" t="inlineStr">
        <is>
          <t>Mancha-alvo</t>
        </is>
      </c>
      <c r="G1290" s="13" t="inlineStr">
        <is>
          <t>Corynespora cassiicola</t>
        </is>
      </c>
      <c r="H1290" s="13" t="inlineStr">
        <is>
          <t>NÃO</t>
        </is>
      </c>
      <c r="I1290" s="18" t="n">
        <v>1.5</v>
      </c>
      <c r="J1290" s="18" t="n">
        <v>2.5</v>
      </c>
      <c r="K1290" s="13" t="inlineStr">
        <is>
          <t>kg/ha</t>
        </is>
      </c>
      <c r="L1290" s="15" t="n">
        <v>1</v>
      </c>
      <c r="M1290" s="13" t="inlineStr">
        <is>
          <t>Aplicar conforme monitoramento e estádio recomendado na bula (FRAC Grupo M03 — Multissítio)</t>
        </is>
      </c>
    </row>
    <row r="1291" ht="22" customHeight="1">
      <c r="A1291" s="6" t="inlineStr">
        <is>
          <t>ALV-1287</t>
        </is>
      </c>
      <c r="B1291" s="5" t="n">
        <v>669</v>
      </c>
      <c r="C1291" s="7" t="inlineStr">
        <is>
          <t>Nº 18007</t>
        </is>
      </c>
      <c r="D1291" s="8" t="inlineStr">
        <is>
          <t>UNIZEB GOLD BR</t>
        </is>
      </c>
      <c r="E1291" s="7" t="inlineStr">
        <is>
          <t>Fungicida</t>
        </is>
      </c>
      <c r="F1291" s="7" t="inlineStr">
        <is>
          <t>Pinta-preta</t>
        </is>
      </c>
      <c r="G1291" s="7" t="inlineStr">
        <is>
          <t>Alternaria solani</t>
        </is>
      </c>
      <c r="H1291" s="7" t="inlineStr">
        <is>
          <t>NÃO</t>
        </is>
      </c>
      <c r="I1291" s="9" t="n">
        <v>2</v>
      </c>
      <c r="J1291" s="9" t="n">
        <v>3</v>
      </c>
      <c r="K1291" s="7" t="inlineStr">
        <is>
          <t>kg/ha</t>
        </is>
      </c>
      <c r="L1291" s="9" t="n">
        <v>1</v>
      </c>
      <c r="M1291" s="7" t="inlineStr">
        <is>
          <t>Aplicar conforme monitoramento e estádio recomendado na bula (FRAC Grupo M03 — Multissítio)</t>
        </is>
      </c>
    </row>
    <row r="1292" ht="22" customHeight="1">
      <c r="A1292" s="12" t="inlineStr">
        <is>
          <t>ALV-1288</t>
        </is>
      </c>
      <c r="B1292" s="11" t="n">
        <v>670</v>
      </c>
      <c r="C1292" s="13" t="inlineStr">
        <is>
          <t>Nº 4810</t>
        </is>
      </c>
      <c r="D1292" s="14" t="inlineStr">
        <is>
          <t>CERTEZA N</t>
        </is>
      </c>
      <c r="E1292" s="13" t="inlineStr">
        <is>
          <t>Fungicida</t>
        </is>
      </c>
      <c r="F1292" s="13" t="inlineStr">
        <is>
          <t>Mofo-branco</t>
        </is>
      </c>
      <c r="G1292" s="13" t="inlineStr">
        <is>
          <t>Sclerotinia sclerotiorum</t>
        </is>
      </c>
      <c r="H1292" s="13" t="inlineStr">
        <is>
          <t>NÃO</t>
        </is>
      </c>
      <c r="I1292" s="18" t="n">
        <v>0.8</v>
      </c>
      <c r="J1292" s="15" t="n">
        <v>1</v>
      </c>
      <c r="K1292" s="13" t="inlineStr">
        <is>
          <t>L/ha</t>
        </is>
      </c>
      <c r="L1292" s="15" t="n">
        <v>1</v>
      </c>
      <c r="M1292" s="13" t="inlineStr">
        <is>
          <t>Aplicar conforme monitoramento e estádio recomendado na bula (FRAC Grupo 1 (MBC))</t>
        </is>
      </c>
    </row>
    <row r="1293" ht="22" customHeight="1">
      <c r="A1293" s="6" t="inlineStr">
        <is>
          <t>ALV-1289</t>
        </is>
      </c>
      <c r="B1293" s="5" t="n">
        <v>670</v>
      </c>
      <c r="C1293" s="7" t="inlineStr">
        <is>
          <t>Nº 4810</t>
        </is>
      </c>
      <c r="D1293" s="8" t="inlineStr">
        <is>
          <t>CERTEZA N</t>
        </is>
      </c>
      <c r="E1293" s="7" t="inlineStr">
        <is>
          <t>Fungicida</t>
        </is>
      </c>
      <c r="F1293" s="7" t="inlineStr">
        <is>
          <t>Antracnose</t>
        </is>
      </c>
      <c r="G1293" s="7" t="inlineStr">
        <is>
          <t>Colletotrichum lindemuthianum</t>
        </is>
      </c>
      <c r="H1293" s="7" t="inlineStr">
        <is>
          <t>NÃO</t>
        </is>
      </c>
      <c r="I1293" s="17" t="n">
        <v>0.7</v>
      </c>
      <c r="J1293" s="9" t="n">
        <v>1</v>
      </c>
      <c r="K1293" s="7" t="inlineStr">
        <is>
          <t>L/ha</t>
        </is>
      </c>
      <c r="L1293" s="9" t="n">
        <v>1</v>
      </c>
      <c r="M1293" s="7" t="inlineStr">
        <is>
          <t>Aplicar conforme monitoramento e estádio recomendado na bula (FRAC Grupo 1 (MBC))</t>
        </is>
      </c>
    </row>
    <row r="1294" ht="22" customHeight="1">
      <c r="A1294" s="12" t="inlineStr">
        <is>
          <t>ALV-1290</t>
        </is>
      </c>
      <c r="B1294" s="11" t="n">
        <v>671</v>
      </c>
      <c r="C1294" s="13" t="inlineStr">
        <is>
          <t>Nº 19123</t>
        </is>
      </c>
      <c r="D1294" s="14" t="inlineStr">
        <is>
          <t>BRUCIA</t>
        </is>
      </c>
      <c r="E1294" s="13" t="inlineStr">
        <is>
          <t>Herbicida</t>
        </is>
      </c>
      <c r="F1294" s="13" t="inlineStr">
        <is>
          <t>Plantas Daninhas Mono e Dicotiledôneas</t>
        </is>
      </c>
      <c r="G1294" s="13" t="inlineStr">
        <is>
          <t>Flora Infestante</t>
        </is>
      </c>
      <c r="H1294" s="13" t="inlineStr">
        <is>
          <t>NÃO</t>
        </is>
      </c>
      <c r="I1294" s="18" t="n">
        <v>0.25</v>
      </c>
      <c r="J1294" s="15" t="n">
        <v>2</v>
      </c>
      <c r="K1294" s="13" t="inlineStr">
        <is>
          <t>L ou kg/ha</t>
        </is>
      </c>
      <c r="L1294" s="15" t="n">
        <v>1</v>
      </c>
      <c r="M1294" s="13" t="inlineStr">
        <is>
          <t>Aplicar conforme monitoramento e estádio recomendado na bula (Classificação HRAC Oficial conforme Bula)</t>
        </is>
      </c>
    </row>
    <row r="1295" ht="22" customHeight="1">
      <c r="A1295" s="6" t="inlineStr">
        <is>
          <t>ALV-1291</t>
        </is>
      </c>
      <c r="B1295" s="5" t="n">
        <v>672</v>
      </c>
      <c r="C1295" s="7" t="inlineStr">
        <is>
          <t>SIPEAGRO (UF-XXXXX)</t>
        </is>
      </c>
      <c r="D1295" s="8" t="inlineStr">
        <is>
          <t>CELLERON</t>
        </is>
      </c>
      <c r="E1295" s="7" t="inlineStr">
        <is>
          <t>Fertilizante Foliar / Micronutrientes</t>
        </is>
      </c>
      <c r="F1295" s="7" t="inlineStr">
        <is>
          <t>Nutrição e Correção de Deficiência Mineral</t>
        </is>
      </c>
      <c r="G1295" s="7" t="inlineStr">
        <is>
          <t>Nutrição Vegetal</t>
        </is>
      </c>
      <c r="H1295" s="7" t="inlineStr">
        <is>
          <t>NÃO</t>
        </is>
      </c>
      <c r="I1295" s="9" t="n">
        <v>1</v>
      </c>
      <c r="J1295" s="9" t="n">
        <v>250</v>
      </c>
      <c r="K1295" s="7" t="inlineStr">
        <is>
          <t>kg ou L/ha</t>
        </is>
      </c>
      <c r="L1295" s="9" t="n">
        <v>1</v>
      </c>
      <c r="M1295" s="7" t="inlineStr">
        <is>
          <t>Aplicar conforme monitoramento e estádio recomendado na bula (Nutrição Vegetal SIPEAGRO)</t>
        </is>
      </c>
    </row>
    <row r="1296" ht="22" customHeight="1">
      <c r="A1296" s="12" t="inlineStr">
        <is>
          <t>ALV-1292</t>
        </is>
      </c>
      <c r="B1296" s="11" t="n">
        <v>673</v>
      </c>
      <c r="C1296" s="13" t="inlineStr">
        <is>
          <t>SIPEAGRO (UF-XXXXX)</t>
        </is>
      </c>
      <c r="D1296" s="14" t="inlineStr">
        <is>
          <t>AGCN FULL</t>
        </is>
      </c>
      <c r="E1296" s="13" t="inlineStr">
        <is>
          <t>Fertilizante Organomineral / Bioestimulante</t>
        </is>
      </c>
      <c r="F1296" s="13" t="inlineStr">
        <is>
          <t>Nutrição e Correção de Deficiência Mineral</t>
        </is>
      </c>
      <c r="G1296" s="13" t="inlineStr">
        <is>
          <t>Nutrição Vegetal</t>
        </is>
      </c>
      <c r="H1296" s="13" t="inlineStr">
        <is>
          <t>NÃO</t>
        </is>
      </c>
      <c r="I1296" s="15" t="n">
        <v>1</v>
      </c>
      <c r="J1296" s="15" t="n">
        <v>250</v>
      </c>
      <c r="K1296" s="13" t="inlineStr">
        <is>
          <t>kg ou L/ha</t>
        </is>
      </c>
      <c r="L1296" s="15" t="n">
        <v>1</v>
      </c>
      <c r="M1296" s="13" t="inlineStr">
        <is>
          <t>Aplicar conforme monitoramento e estádio recomendado na bula (Nutrição Vegetal SIPEAGRO)</t>
        </is>
      </c>
    </row>
    <row r="1297" ht="22" customHeight="1">
      <c r="A1297" s="6" t="inlineStr">
        <is>
          <t>ALV-1293</t>
        </is>
      </c>
      <c r="B1297" s="5" t="n">
        <v>674</v>
      </c>
      <c r="C1297" s="7" t="inlineStr">
        <is>
          <t>Nº 1802</t>
        </is>
      </c>
      <c r="D1297" s="8" t="inlineStr">
        <is>
          <t>PROMALIN</t>
        </is>
      </c>
      <c r="E1297" s="7" t="inlineStr">
        <is>
          <t>Regulador de Crescimento</t>
        </is>
      </c>
      <c r="F1297" s="7" t="inlineStr">
        <is>
          <t>Alongamento Celular, Tipicidade e Pegamento de Frutos</t>
        </is>
      </c>
      <c r="G1297" s="7" t="inlineStr">
        <is>
          <t>Malus domestica (Desenvolvimento Floral/Frutos)</t>
        </is>
      </c>
      <c r="H1297" s="7" t="inlineStr">
        <is>
          <t>NÃO</t>
        </is>
      </c>
      <c r="I1297" s="17" t="n">
        <v>0.5</v>
      </c>
      <c r="J1297" s="17" t="n">
        <v>1.25</v>
      </c>
      <c r="K1297" s="7" t="inlineStr">
        <is>
          <t>L/ha</t>
        </is>
      </c>
      <c r="L1297" s="9" t="n">
        <v>2</v>
      </c>
      <c r="M1297" s="7" t="inlineStr">
        <is>
          <t>Aplicar entre o pleno florescimento e a queda de pétalas conforme bula</t>
        </is>
      </c>
    </row>
    <row r="1298" ht="22" customHeight="1">
      <c r="A1298" s="12" t="inlineStr">
        <is>
          <t>ALV-1294</t>
        </is>
      </c>
      <c r="B1298" s="11" t="n">
        <v>675</v>
      </c>
      <c r="C1298" s="13" t="inlineStr">
        <is>
          <t>Nº 33217</t>
        </is>
      </c>
      <c r="D1298" s="14" t="inlineStr">
        <is>
          <t>PANGA 900 WG</t>
        </is>
      </c>
      <c r="E1298" s="13" t="inlineStr">
        <is>
          <t>Herbicida</t>
        </is>
      </c>
      <c r="F1298" s="13" t="inlineStr">
        <is>
          <t>Picão-preto</t>
        </is>
      </c>
      <c r="G1298" s="13" t="inlineStr">
        <is>
          <t>Bidens pilosa</t>
        </is>
      </c>
      <c r="H1298" s="13" t="inlineStr">
        <is>
          <t>SIM (*)</t>
        </is>
      </c>
      <c r="I1298" s="18" t="n">
        <v>2.5</v>
      </c>
      <c r="J1298" s="15" t="n">
        <v>4</v>
      </c>
      <c r="K1298" s="13" t="inlineStr">
        <is>
          <t>L ou kg/ha</t>
        </is>
      </c>
      <c r="L1298" s="15" t="n">
        <v>1</v>
      </c>
      <c r="M1298" s="13" t="inlineStr">
        <is>
          <t>Aplicar conforme monitoramento e estádio recomendado na bula (HRAC Grupo C1 (5) — Inibidores do Fotossistema II)</t>
        </is>
      </c>
    </row>
    <row r="1299" ht="22" customHeight="1">
      <c r="A1299" s="6" t="inlineStr">
        <is>
          <t>ALV-1295</t>
        </is>
      </c>
      <c r="B1299" s="5" t="n">
        <v>675</v>
      </c>
      <c r="C1299" s="7" t="inlineStr">
        <is>
          <t>Nº 33217</t>
        </is>
      </c>
      <c r="D1299" s="8" t="inlineStr">
        <is>
          <t>PANGA 900 WG</t>
        </is>
      </c>
      <c r="E1299" s="7" t="inlineStr">
        <is>
          <t>Herbicida</t>
        </is>
      </c>
      <c r="F1299" s="7" t="inlineStr">
        <is>
          <t>Caruru</t>
        </is>
      </c>
      <c r="G1299" s="7" t="inlineStr">
        <is>
          <t>Amaranthus viridis</t>
        </is>
      </c>
      <c r="H1299" s="7" t="inlineStr">
        <is>
          <t>SIM (*)</t>
        </is>
      </c>
      <c r="I1299" s="17" t="n">
        <v>2.5</v>
      </c>
      <c r="J1299" s="17" t="n">
        <v>3.5</v>
      </c>
      <c r="K1299" s="7" t="inlineStr">
        <is>
          <t>L ou kg/ha</t>
        </is>
      </c>
      <c r="L1299" s="9" t="n">
        <v>1</v>
      </c>
      <c r="M1299" s="7" t="inlineStr">
        <is>
          <t>Aplicar conforme monitoramento e estádio recomendado na bula (HRAC Grupo C1 (5) — Inibidores do Fotossistema II)</t>
        </is>
      </c>
    </row>
    <row r="1300" ht="22" customHeight="1">
      <c r="A1300" s="12" t="inlineStr">
        <is>
          <t>ALV-1296</t>
        </is>
      </c>
      <c r="B1300" s="11" t="n">
        <v>675</v>
      </c>
      <c r="C1300" s="13" t="inlineStr">
        <is>
          <t>Nº 33217</t>
        </is>
      </c>
      <c r="D1300" s="14" t="inlineStr">
        <is>
          <t>PANGA 900 WG</t>
        </is>
      </c>
      <c r="E1300" s="13" t="inlineStr">
        <is>
          <t>Herbicida</t>
        </is>
      </c>
      <c r="F1300" s="13" t="inlineStr">
        <is>
          <t>Corda-de-viola</t>
        </is>
      </c>
      <c r="G1300" s="13" t="inlineStr">
        <is>
          <t>Ipomoea grandifolia</t>
        </is>
      </c>
      <c r="H1300" s="13" t="inlineStr">
        <is>
          <t>NÃO</t>
        </is>
      </c>
      <c r="I1300" s="15" t="n">
        <v>3</v>
      </c>
      <c r="J1300" s="15" t="n">
        <v>4</v>
      </c>
      <c r="K1300" s="13" t="inlineStr">
        <is>
          <t>L ou kg/ha</t>
        </is>
      </c>
      <c r="L1300" s="15" t="n">
        <v>1</v>
      </c>
      <c r="M1300" s="13" t="inlineStr">
        <is>
          <t>Aplicar conforme monitoramento e estádio recomendado na bula (HRAC Grupo C1 (5) — Inibidores do Fotossistema II)</t>
        </is>
      </c>
    </row>
    <row r="1301" ht="22" customHeight="1">
      <c r="A1301" s="6" t="inlineStr">
        <is>
          <t>ALV-1297</t>
        </is>
      </c>
      <c r="B1301" s="5" t="n">
        <v>676</v>
      </c>
      <c r="C1301" s="7" t="inlineStr">
        <is>
          <t>Nº 31017</t>
        </is>
      </c>
      <c r="D1301" s="8" t="inlineStr">
        <is>
          <t>TRIDIUM</t>
        </is>
      </c>
      <c r="E1301" s="7" t="inlineStr">
        <is>
          <t>Fungicida</t>
        </is>
      </c>
      <c r="F1301" s="7" t="inlineStr">
        <is>
          <t>Ferrugem-asiática</t>
        </is>
      </c>
      <c r="G1301" s="7" t="inlineStr">
        <is>
          <t>Phakopsora pachyrhizi</t>
        </is>
      </c>
      <c r="H1301" s="7" t="inlineStr">
        <is>
          <t>NÃO</t>
        </is>
      </c>
      <c r="I1301" s="17" t="n">
        <v>1.5</v>
      </c>
      <c r="J1301" s="17" t="n">
        <v>2.5</v>
      </c>
      <c r="K1301" s="7" t="inlineStr">
        <is>
          <t>kg/ha</t>
        </is>
      </c>
      <c r="L1301" s="9" t="n">
        <v>1</v>
      </c>
      <c r="M1301" s="7" t="inlineStr">
        <is>
          <t>Aplicar conforme monitoramento e estádio recomendado na bula (FRAC Grupo M03 — Multissítio)</t>
        </is>
      </c>
    </row>
    <row r="1302" ht="22" customHeight="1">
      <c r="A1302" s="12" t="inlineStr">
        <is>
          <t>ALV-1298</t>
        </is>
      </c>
      <c r="B1302" s="11" t="n">
        <v>676</v>
      </c>
      <c r="C1302" s="13" t="inlineStr">
        <is>
          <t>Nº 31017</t>
        </is>
      </c>
      <c r="D1302" s="14" t="inlineStr">
        <is>
          <t>TRIDIUM</t>
        </is>
      </c>
      <c r="E1302" s="13" t="inlineStr">
        <is>
          <t>Fungicida</t>
        </is>
      </c>
      <c r="F1302" s="13" t="inlineStr">
        <is>
          <t>Mancha-alvo</t>
        </is>
      </c>
      <c r="G1302" s="13" t="inlineStr">
        <is>
          <t>Corynespora cassiicola</t>
        </is>
      </c>
      <c r="H1302" s="13" t="inlineStr">
        <is>
          <t>NÃO</t>
        </is>
      </c>
      <c r="I1302" s="18" t="n">
        <v>1.5</v>
      </c>
      <c r="J1302" s="18" t="n">
        <v>2.5</v>
      </c>
      <c r="K1302" s="13" t="inlineStr">
        <is>
          <t>kg/ha</t>
        </is>
      </c>
      <c r="L1302" s="15" t="n">
        <v>1</v>
      </c>
      <c r="M1302" s="13" t="inlineStr">
        <is>
          <t>Aplicar conforme monitoramento e estádio recomendado na bula (FRAC Grupo M03 — Multissítio)</t>
        </is>
      </c>
    </row>
    <row r="1303" ht="22" customHeight="1">
      <c r="A1303" s="6" t="inlineStr">
        <is>
          <t>ALV-1299</t>
        </is>
      </c>
      <c r="B1303" s="5" t="n">
        <v>676</v>
      </c>
      <c r="C1303" s="7" t="inlineStr">
        <is>
          <t>Nº 31017</t>
        </is>
      </c>
      <c r="D1303" s="8" t="inlineStr">
        <is>
          <t>TRIDIUM</t>
        </is>
      </c>
      <c r="E1303" s="7" t="inlineStr">
        <is>
          <t>Fungicida</t>
        </is>
      </c>
      <c r="F1303" s="7" t="inlineStr">
        <is>
          <t>Pinta-preta</t>
        </is>
      </c>
      <c r="G1303" s="7" t="inlineStr">
        <is>
          <t>Alternaria solani</t>
        </is>
      </c>
      <c r="H1303" s="7" t="inlineStr">
        <is>
          <t>NÃO</t>
        </is>
      </c>
      <c r="I1303" s="9" t="n">
        <v>2</v>
      </c>
      <c r="J1303" s="9" t="n">
        <v>3</v>
      </c>
      <c r="K1303" s="7" t="inlineStr">
        <is>
          <t>kg/ha</t>
        </is>
      </c>
      <c r="L1303" s="9" t="n">
        <v>1</v>
      </c>
      <c r="M1303" s="7" t="inlineStr">
        <is>
          <t>Aplicar conforme monitoramento e estádio recomendado na bula (FRAC Grupo M03 — Multissítio)</t>
        </is>
      </c>
    </row>
    <row r="1304" ht="22" customHeight="1">
      <c r="A1304" s="12" t="inlineStr">
        <is>
          <t>ALV-1300</t>
        </is>
      </c>
      <c r="B1304" s="11" t="n">
        <v>677</v>
      </c>
      <c r="C1304" s="13" t="inlineStr">
        <is>
          <t>Nº 9407</t>
        </is>
      </c>
      <c r="D1304" s="14" t="inlineStr">
        <is>
          <t>ARIETE</t>
        </is>
      </c>
      <c r="E1304" s="13" t="inlineStr">
        <is>
          <t>Inseticida e Acaricida</t>
        </is>
      </c>
      <c r="F1304" s="13" t="inlineStr">
        <is>
          <t>Bicudo-do-algodoeiro</t>
        </is>
      </c>
      <c r="G1304" s="13" t="inlineStr">
        <is>
          <t>Anthonomus grandis</t>
        </is>
      </c>
      <c r="H1304" s="13" t="inlineStr">
        <is>
          <t>NÃO</t>
        </is>
      </c>
      <c r="I1304" s="18" t="n">
        <v>0.15</v>
      </c>
      <c r="J1304" s="18" t="n">
        <v>0.25</v>
      </c>
      <c r="K1304" s="13" t="inlineStr">
        <is>
          <t>L/ha</t>
        </is>
      </c>
      <c r="L1304" s="15" t="n">
        <v>1</v>
      </c>
      <c r="M1304" s="13" t="inlineStr">
        <is>
          <t>Aplicar conforme monitoramento e estádio recomendado na bula (IRAC Grupo 3A)</t>
        </is>
      </c>
    </row>
    <row r="1305" ht="22" customHeight="1">
      <c r="A1305" s="6" t="inlineStr">
        <is>
          <t>ALV-1301</t>
        </is>
      </c>
      <c r="B1305" s="5" t="n">
        <v>677</v>
      </c>
      <c r="C1305" s="7" t="inlineStr">
        <is>
          <t>Nº 9407</t>
        </is>
      </c>
      <c r="D1305" s="8" t="inlineStr">
        <is>
          <t>ARIETE</t>
        </is>
      </c>
      <c r="E1305" s="7" t="inlineStr">
        <is>
          <t>Inseticida e Acaricida</t>
        </is>
      </c>
      <c r="F1305" s="7" t="inlineStr">
        <is>
          <t>Mosca-branca</t>
        </is>
      </c>
      <c r="G1305" s="7" t="inlineStr">
        <is>
          <t>Bemisia tabaci raça B</t>
        </is>
      </c>
      <c r="H1305" s="7" t="inlineStr">
        <is>
          <t>SIM (*)</t>
        </is>
      </c>
      <c r="I1305" s="17" t="n">
        <v>0.125</v>
      </c>
      <c r="J1305" s="17" t="n">
        <v>0.25</v>
      </c>
      <c r="K1305" s="7" t="inlineStr">
        <is>
          <t>L/ha</t>
        </is>
      </c>
      <c r="L1305" s="9" t="n">
        <v>1</v>
      </c>
      <c r="M1305" s="7" t="inlineStr">
        <is>
          <t>Aplicar conforme monitoramento e estádio recomendado na bula (IRAC Grupo 3A)</t>
        </is>
      </c>
    </row>
    <row r="1306" ht="22" customHeight="1">
      <c r="A1306" s="12" t="inlineStr">
        <is>
          <t>ALV-1302</t>
        </is>
      </c>
      <c r="B1306" s="11" t="n">
        <v>677</v>
      </c>
      <c r="C1306" s="13" t="inlineStr">
        <is>
          <t>Nº 9407</t>
        </is>
      </c>
      <c r="D1306" s="14" t="inlineStr">
        <is>
          <t>ARIETE</t>
        </is>
      </c>
      <c r="E1306" s="13" t="inlineStr">
        <is>
          <t>Inseticida e Acaricida</t>
        </is>
      </c>
      <c r="F1306" s="13" t="inlineStr">
        <is>
          <t>Ácaro-rajado</t>
        </is>
      </c>
      <c r="G1306" s="13" t="inlineStr">
        <is>
          <t>Tetranychus urticae</t>
        </is>
      </c>
      <c r="H1306" s="13" t="inlineStr">
        <is>
          <t>SIM (*)</t>
        </is>
      </c>
      <c r="I1306" s="18" t="n">
        <v>0.15</v>
      </c>
      <c r="J1306" s="18" t="n">
        <v>0.2</v>
      </c>
      <c r="K1306" s="13" t="inlineStr">
        <is>
          <t>L/ha</t>
        </is>
      </c>
      <c r="L1306" s="15" t="n">
        <v>1</v>
      </c>
      <c r="M1306" s="13" t="inlineStr">
        <is>
          <t>Aplicar conforme monitoramento e estádio recomendado na bula (IRAC Grupo 3A)</t>
        </is>
      </c>
    </row>
    <row r="1307" ht="22" customHeight="1">
      <c r="A1307" s="6" t="inlineStr">
        <is>
          <t>ALV-1303</t>
        </is>
      </c>
      <c r="B1307" s="5" t="n">
        <v>678</v>
      </c>
      <c r="C1307" s="7" t="inlineStr">
        <is>
          <t>SIPEAGRO (UF-XXXXX)</t>
        </is>
      </c>
      <c r="D1307" s="8" t="inlineStr">
        <is>
          <t>BACSTIM 100</t>
        </is>
      </c>
      <c r="E1307" s="7" t="inlineStr">
        <is>
          <t>Inoculante Solubilizador de Fósforo / Promotor de Crescimento</t>
        </is>
      </c>
      <c r="F1307" s="7" t="inlineStr">
        <is>
          <t>Nematoide-das-lesões</t>
        </is>
      </c>
      <c r="G1307" s="7" t="inlineStr">
        <is>
          <t>Pratylenchus brachyurus</t>
        </is>
      </c>
      <c r="H1307" s="7" t="inlineStr">
        <is>
          <t>NÃO</t>
        </is>
      </c>
      <c r="I1307" s="17" t="n">
        <v>0.2</v>
      </c>
      <c r="J1307" s="9" t="n">
        <v>1</v>
      </c>
      <c r="K1307" s="7" t="inlineStr">
        <is>
          <t>L/ha</t>
        </is>
      </c>
      <c r="L1307" s="9" t="n">
        <v>1</v>
      </c>
      <c r="M1307" s="7" t="inlineStr">
        <is>
          <t>Aplicar conforme monitoramento e estádio recomendado na bula (FRAC Grupo BM02 / IRAC Grupo 11A / Bioinsumo)</t>
        </is>
      </c>
    </row>
    <row r="1308" ht="22" customHeight="1">
      <c r="A1308" s="12" t="inlineStr">
        <is>
          <t>ALV-1304</t>
        </is>
      </c>
      <c r="B1308" s="11" t="n">
        <v>678</v>
      </c>
      <c r="C1308" s="13" t="inlineStr">
        <is>
          <t>SIPEAGRO (UF-XXXXX)</t>
        </is>
      </c>
      <c r="D1308" s="14" t="inlineStr">
        <is>
          <t>BACSTIM 100</t>
        </is>
      </c>
      <c r="E1308" s="13" t="inlineStr">
        <is>
          <t>Inoculante Solubilizador de Fósforo / Promotor de Crescimento</t>
        </is>
      </c>
      <c r="F1308" s="13" t="inlineStr">
        <is>
          <t>Mofo-branco</t>
        </is>
      </c>
      <c r="G1308" s="13" t="inlineStr">
        <is>
          <t>Sclerotinia sclerotiorum</t>
        </is>
      </c>
      <c r="H1308" s="13" t="inlineStr">
        <is>
          <t>NÃO</t>
        </is>
      </c>
      <c r="I1308" s="15" t="n">
        <v>1</v>
      </c>
      <c r="J1308" s="15" t="n">
        <v>2</v>
      </c>
      <c r="K1308" s="13" t="inlineStr">
        <is>
          <t>L/ha</t>
        </is>
      </c>
      <c r="L1308" s="15" t="n">
        <v>1</v>
      </c>
      <c r="M1308" s="13" t="inlineStr">
        <is>
          <t>Aplicar conforme monitoramento e estádio recomendado na bula (FRAC Grupo BM02 / IRAC Grupo 11A / Bioinsumo)</t>
        </is>
      </c>
    </row>
    <row r="1309" ht="22" customHeight="1">
      <c r="A1309" s="6" t="inlineStr">
        <is>
          <t>ALV-1305</t>
        </is>
      </c>
      <c r="B1309" s="5" t="n">
        <v>679</v>
      </c>
      <c r="C1309" s="7" t="inlineStr">
        <is>
          <t>Nº 1188593</t>
        </is>
      </c>
      <c r="D1309" s="8" t="inlineStr">
        <is>
          <t>VERSATILIS</t>
        </is>
      </c>
      <c r="E1309" s="7" t="inlineStr">
        <is>
          <t>Fungicida</t>
        </is>
      </c>
      <c r="F1309" s="7" t="inlineStr">
        <is>
          <t>Complexo de Doenças Foliares e Ferrugem</t>
        </is>
      </c>
      <c r="G1309" s="7" t="inlineStr">
        <is>
          <t>Phakopsora pachyrhizi / Corynespora</t>
        </is>
      </c>
      <c r="H1309" s="7" t="inlineStr">
        <is>
          <t>NÃO</t>
        </is>
      </c>
      <c r="I1309" s="17" t="n">
        <v>0.3</v>
      </c>
      <c r="J1309" s="17" t="n">
        <v>1.5</v>
      </c>
      <c r="K1309" s="7" t="inlineStr">
        <is>
          <t>L ou kg/ha</t>
        </is>
      </c>
      <c r="L1309" s="9" t="n">
        <v>1</v>
      </c>
      <c r="M1309" s="7" t="inlineStr">
        <is>
          <t>Aplicar conforme monitoramento e estádio recomendado na bula (Classificação FRAC Oficial conforme Bula)</t>
        </is>
      </c>
    </row>
    <row r="1310" ht="22" customHeight="1">
      <c r="A1310" s="12" t="inlineStr">
        <is>
          <t>ALV-1306</t>
        </is>
      </c>
      <c r="B1310" s="11" t="n">
        <v>680</v>
      </c>
      <c r="C1310" s="13" t="inlineStr">
        <is>
          <t>Nº 7823</t>
        </is>
      </c>
      <c r="D1310" s="14" t="inlineStr">
        <is>
          <t>INEDITO</t>
        </is>
      </c>
      <c r="E1310" s="13" t="inlineStr">
        <is>
          <t>Herbicida</t>
        </is>
      </c>
      <c r="F1310" s="13" t="inlineStr">
        <is>
          <t>Buva</t>
        </is>
      </c>
      <c r="G1310" s="13" t="inlineStr">
        <is>
          <t>Conyza bonariensis</t>
        </is>
      </c>
      <c r="H1310" s="13" t="inlineStr">
        <is>
          <t>NÃO</t>
        </is>
      </c>
      <c r="I1310" s="15" t="n">
        <v>2</v>
      </c>
      <c r="J1310" s="15" t="n">
        <v>3</v>
      </c>
      <c r="K1310" s="13" t="inlineStr">
        <is>
          <t>L/ha</t>
        </is>
      </c>
      <c r="L1310" s="15" t="n">
        <v>1</v>
      </c>
      <c r="M1310" s="13" t="inlineStr">
        <is>
          <t>Aplicar conforme monitoramento e estádio recomendado na bula (HRAC Grupo H (10) — Inibidores da Glutamina Sintetase)</t>
        </is>
      </c>
    </row>
    <row r="1311" ht="22" customHeight="1">
      <c r="A1311" s="6" t="inlineStr">
        <is>
          <t>ALV-1307</t>
        </is>
      </c>
      <c r="B1311" s="5" t="n">
        <v>680</v>
      </c>
      <c r="C1311" s="7" t="inlineStr">
        <is>
          <t>Nº 7823</t>
        </is>
      </c>
      <c r="D1311" s="8" t="inlineStr">
        <is>
          <t>INEDITO</t>
        </is>
      </c>
      <c r="E1311" s="7" t="inlineStr">
        <is>
          <t>Herbicida</t>
        </is>
      </c>
      <c r="F1311" s="7" t="inlineStr">
        <is>
          <t>Capim-pé-de-galinha</t>
        </is>
      </c>
      <c r="G1311" s="7" t="inlineStr">
        <is>
          <t>Eleusine indica</t>
        </is>
      </c>
      <c r="H1311" s="7" t="inlineStr">
        <is>
          <t>NÃO</t>
        </is>
      </c>
      <c r="I1311" s="9" t="n">
        <v>2</v>
      </c>
      <c r="J1311" s="17" t="n">
        <v>2.5</v>
      </c>
      <c r="K1311" s="7" t="inlineStr">
        <is>
          <t>L/ha</t>
        </is>
      </c>
      <c r="L1311" s="9" t="n">
        <v>1</v>
      </c>
      <c r="M1311" s="7" t="inlineStr">
        <is>
          <t>Aplicar conforme monitoramento e estádio recomendado na bula (HRAC Grupo H (10) — Inibidores da Glutamina Sintetase)</t>
        </is>
      </c>
    </row>
    <row r="1312" ht="22" customHeight="1">
      <c r="A1312" s="12" t="inlineStr">
        <is>
          <t>ALV-1308</t>
        </is>
      </c>
      <c r="B1312" s="11" t="n">
        <v>680</v>
      </c>
      <c r="C1312" s="13" t="inlineStr">
        <is>
          <t>Nº 7823</t>
        </is>
      </c>
      <c r="D1312" s="14" t="inlineStr">
        <is>
          <t>INEDITO</t>
        </is>
      </c>
      <c r="E1312" s="13" t="inlineStr">
        <is>
          <t>Herbicida</t>
        </is>
      </c>
      <c r="F1312" s="13" t="inlineStr">
        <is>
          <t>Caruru</t>
        </is>
      </c>
      <c r="G1312" s="13" t="inlineStr">
        <is>
          <t>Amaranthus hybridus</t>
        </is>
      </c>
      <c r="H1312" s="13" t="inlineStr">
        <is>
          <t>NÃO</t>
        </is>
      </c>
      <c r="I1312" s="18" t="n">
        <v>1.5</v>
      </c>
      <c r="J1312" s="18" t="n">
        <v>2.5</v>
      </c>
      <c r="K1312" s="13" t="inlineStr">
        <is>
          <t>L/ha</t>
        </is>
      </c>
      <c r="L1312" s="15" t="n">
        <v>1</v>
      </c>
      <c r="M1312" s="13" t="inlineStr">
        <is>
          <t>Aplicar conforme monitoramento e estádio recomendado na bula (HRAC Grupo H (10) — Inibidores da Glutamina Sintetase)</t>
        </is>
      </c>
    </row>
    <row r="1313" ht="22" customHeight="1">
      <c r="A1313" s="6" t="inlineStr">
        <is>
          <t>ALV-1309</t>
        </is>
      </c>
      <c r="B1313" s="5" t="n">
        <v>681</v>
      </c>
      <c r="C1313" s="7" t="inlineStr">
        <is>
          <t>Nº 1613</t>
        </is>
      </c>
      <c r="D1313" s="8" t="inlineStr">
        <is>
          <t>GAME</t>
        </is>
      </c>
      <c r="E1313" s="7" t="inlineStr">
        <is>
          <t>Inseticida</t>
        </is>
      </c>
      <c r="F1313" s="7" t="inlineStr">
        <is>
          <t>Lagarta-falsa-medideira</t>
        </is>
      </c>
      <c r="G1313" s="7" t="inlineStr">
        <is>
          <t>Chrysodeixis includens</t>
        </is>
      </c>
      <c r="H1313" s="7" t="inlineStr">
        <is>
          <t>NÃO</t>
        </is>
      </c>
      <c r="I1313" s="17" t="n">
        <v>0.1</v>
      </c>
      <c r="J1313" s="17" t="n">
        <v>0.15</v>
      </c>
      <c r="K1313" s="7" t="inlineStr">
        <is>
          <t>L/ha</t>
        </is>
      </c>
      <c r="L1313" s="9" t="n">
        <v>1</v>
      </c>
      <c r="M1313" s="7" t="inlineStr">
        <is>
          <t>Aplicar conforme monitoramento e estádio recomendado na bula (IRAC Grupo 15)</t>
        </is>
      </c>
    </row>
    <row r="1314" ht="22" customHeight="1">
      <c r="A1314" s="12" t="inlineStr">
        <is>
          <t>ALV-1310</t>
        </is>
      </c>
      <c r="B1314" s="11" t="n">
        <v>681</v>
      </c>
      <c r="C1314" s="13" t="inlineStr">
        <is>
          <t>Nº 1613</t>
        </is>
      </c>
      <c r="D1314" s="14" t="inlineStr">
        <is>
          <t>GAME</t>
        </is>
      </c>
      <c r="E1314" s="13" t="inlineStr">
        <is>
          <t>Inseticida</t>
        </is>
      </c>
      <c r="F1314" s="13" t="inlineStr">
        <is>
          <t>Lagarta-helicoverpa</t>
        </is>
      </c>
      <c r="G1314" s="13" t="inlineStr">
        <is>
          <t>Helicoverpa armigera</t>
        </is>
      </c>
      <c r="H1314" s="13" t="inlineStr">
        <is>
          <t>NÃO</t>
        </is>
      </c>
      <c r="I1314" s="18" t="n">
        <v>0.15</v>
      </c>
      <c r="J1314" s="18" t="n">
        <v>0.175</v>
      </c>
      <c r="K1314" s="13" t="inlineStr">
        <is>
          <t>L/ha</t>
        </is>
      </c>
      <c r="L1314" s="15" t="n">
        <v>1</v>
      </c>
      <c r="M1314" s="13" t="inlineStr">
        <is>
          <t>Aplicar conforme monitoramento e estádio recomendado na bula (IRAC Grupo 15)</t>
        </is>
      </c>
    </row>
    <row r="1315" ht="22" customHeight="1">
      <c r="A1315" s="6" t="inlineStr">
        <is>
          <t>ALV-1311</t>
        </is>
      </c>
      <c r="B1315" s="5" t="n">
        <v>682</v>
      </c>
      <c r="C1315" s="7" t="inlineStr">
        <is>
          <t>Nº 18122</t>
        </is>
      </c>
      <c r="D1315" s="8" t="inlineStr">
        <is>
          <t>TRICLOMAX</t>
        </is>
      </c>
      <c r="E1315" s="7" t="inlineStr">
        <is>
          <t>Herbicida</t>
        </is>
      </c>
      <c r="F1315" s="7" t="inlineStr">
        <is>
          <t>Buva</t>
        </is>
      </c>
      <c r="G1315" s="7" t="inlineStr">
        <is>
          <t>Conyza bonariensis</t>
        </is>
      </c>
      <c r="H1315" s="7" t="inlineStr">
        <is>
          <t>SIM (*)</t>
        </is>
      </c>
      <c r="I1315" s="17" t="n">
        <v>0.75</v>
      </c>
      <c r="J1315" s="17" t="n">
        <v>1.5</v>
      </c>
      <c r="K1315" s="7" t="inlineStr">
        <is>
          <t>L/ha</t>
        </is>
      </c>
      <c r="L1315" s="9" t="n">
        <v>1</v>
      </c>
      <c r="M1315" s="7" t="inlineStr">
        <is>
          <t>Aplicar conforme monitoramento e estádio recomendado na bula (HRAC Grupo O (4) — Auxinas Sintéticas)</t>
        </is>
      </c>
    </row>
    <row r="1316" ht="22" customHeight="1">
      <c r="A1316" s="12" t="inlineStr">
        <is>
          <t>ALV-1312</t>
        </is>
      </c>
      <c r="B1316" s="11" t="n">
        <v>682</v>
      </c>
      <c r="C1316" s="13" t="inlineStr">
        <is>
          <t>Nº 18122</t>
        </is>
      </c>
      <c r="D1316" s="14" t="inlineStr">
        <is>
          <t>TRICLOMAX</t>
        </is>
      </c>
      <c r="E1316" s="13" t="inlineStr">
        <is>
          <t>Herbicida</t>
        </is>
      </c>
      <c r="F1316" s="13" t="inlineStr">
        <is>
          <t>Corda-de-viola</t>
        </is>
      </c>
      <c r="G1316" s="13" t="inlineStr">
        <is>
          <t>Ipomoea grandifolia</t>
        </is>
      </c>
      <c r="H1316" s="13" t="inlineStr">
        <is>
          <t>NÃO</t>
        </is>
      </c>
      <c r="I1316" s="18" t="n">
        <v>0.75</v>
      </c>
      <c r="J1316" s="18" t="n">
        <v>1.25</v>
      </c>
      <c r="K1316" s="13" t="inlineStr">
        <is>
          <t>L/ha</t>
        </is>
      </c>
      <c r="L1316" s="15" t="n">
        <v>1</v>
      </c>
      <c r="M1316" s="13" t="inlineStr">
        <is>
          <t>Aplicar conforme monitoramento e estádio recomendado na bula (HRAC Grupo O (4) — Auxinas Sintéticas)</t>
        </is>
      </c>
    </row>
    <row r="1317" ht="22" customHeight="1">
      <c r="A1317" s="6" t="inlineStr">
        <is>
          <t>ALV-1313</t>
        </is>
      </c>
      <c r="B1317" s="5" t="n">
        <v>683</v>
      </c>
      <c r="C1317" s="7" t="inlineStr">
        <is>
          <t>Nº 18122</t>
        </is>
      </c>
      <c r="D1317" s="8" t="inlineStr">
        <is>
          <t>TRICLOMAX 0,200L AMOSTRA (IMP) RW</t>
        </is>
      </c>
      <c r="E1317" s="7" t="inlineStr">
        <is>
          <t>Herbicida</t>
        </is>
      </c>
      <c r="F1317" s="7" t="inlineStr">
        <is>
          <t>Buva</t>
        </is>
      </c>
      <c r="G1317" s="7" t="inlineStr">
        <is>
          <t>Conyza bonariensis</t>
        </is>
      </c>
      <c r="H1317" s="7" t="inlineStr">
        <is>
          <t>SIM (*)</t>
        </is>
      </c>
      <c r="I1317" s="17" t="n">
        <v>0.75</v>
      </c>
      <c r="J1317" s="17" t="n">
        <v>1.5</v>
      </c>
      <c r="K1317" s="7" t="inlineStr">
        <is>
          <t>L/ha</t>
        </is>
      </c>
      <c r="L1317" s="9" t="n">
        <v>1</v>
      </c>
      <c r="M1317" s="7" t="inlineStr">
        <is>
          <t>Aplicar conforme monitoramento e estádio recomendado na bula (HRAC Grupo O (4) — Auxinas Sintéticas)</t>
        </is>
      </c>
    </row>
    <row r="1318" ht="22" customHeight="1">
      <c r="A1318" s="12" t="inlineStr">
        <is>
          <t>ALV-1314</t>
        </is>
      </c>
      <c r="B1318" s="11" t="n">
        <v>683</v>
      </c>
      <c r="C1318" s="13" t="inlineStr">
        <is>
          <t>Nº 18122</t>
        </is>
      </c>
      <c r="D1318" s="14" t="inlineStr">
        <is>
          <t>TRICLOMAX 0,200L AMOSTRA (IMP) RW</t>
        </is>
      </c>
      <c r="E1318" s="13" t="inlineStr">
        <is>
          <t>Herbicida</t>
        </is>
      </c>
      <c r="F1318" s="13" t="inlineStr">
        <is>
          <t>Corda-de-viola</t>
        </is>
      </c>
      <c r="G1318" s="13" t="inlineStr">
        <is>
          <t>Ipomoea grandifolia</t>
        </is>
      </c>
      <c r="H1318" s="13" t="inlineStr">
        <is>
          <t>NÃO</t>
        </is>
      </c>
      <c r="I1318" s="18" t="n">
        <v>0.75</v>
      </c>
      <c r="J1318" s="18" t="n">
        <v>1.25</v>
      </c>
      <c r="K1318" s="13" t="inlineStr">
        <is>
          <t>L/ha</t>
        </is>
      </c>
      <c r="L1318" s="15" t="n">
        <v>1</v>
      </c>
      <c r="M1318" s="13" t="inlineStr">
        <is>
          <t>Aplicar conforme monitoramento e estádio recomendado na bula (HRAC Grupo O (4) — Auxinas Sintéticas)</t>
        </is>
      </c>
    </row>
    <row r="1319" ht="22" customHeight="1">
      <c r="A1319" s="6" t="inlineStr">
        <is>
          <t>ALV-1315</t>
        </is>
      </c>
      <c r="B1319" s="5" t="n">
        <v>684</v>
      </c>
      <c r="C1319" s="7" t="inlineStr">
        <is>
          <t>Nº 25423</t>
        </is>
      </c>
      <c r="D1319" s="8" t="inlineStr">
        <is>
          <t>GLUFE 200 SL</t>
        </is>
      </c>
      <c r="E1319" s="7" t="inlineStr">
        <is>
          <t>Herbicida</t>
        </is>
      </c>
      <c r="F1319" s="7" t="inlineStr">
        <is>
          <t>Buva</t>
        </is>
      </c>
      <c r="G1319" s="7" t="inlineStr">
        <is>
          <t>Conyza bonariensis</t>
        </is>
      </c>
      <c r="H1319" s="7" t="inlineStr">
        <is>
          <t>NÃO</t>
        </is>
      </c>
      <c r="I1319" s="9" t="n">
        <v>2</v>
      </c>
      <c r="J1319" s="9" t="n">
        <v>3</v>
      </c>
      <c r="K1319" s="7" t="inlineStr">
        <is>
          <t>L/ha</t>
        </is>
      </c>
      <c r="L1319" s="9" t="n">
        <v>1</v>
      </c>
      <c r="M1319" s="7" t="inlineStr">
        <is>
          <t>Aplicar conforme monitoramento e estádio recomendado na bula (HRAC Grupo H (10) — Inibidores da Glutamina Sintetase)</t>
        </is>
      </c>
    </row>
    <row r="1320" ht="22" customHeight="1">
      <c r="A1320" s="12" t="inlineStr">
        <is>
          <t>ALV-1316</t>
        </is>
      </c>
      <c r="B1320" s="11" t="n">
        <v>684</v>
      </c>
      <c r="C1320" s="13" t="inlineStr">
        <is>
          <t>Nº 25423</t>
        </is>
      </c>
      <c r="D1320" s="14" t="inlineStr">
        <is>
          <t>GLUFE 200 SL</t>
        </is>
      </c>
      <c r="E1320" s="13" t="inlineStr">
        <is>
          <t>Herbicida</t>
        </is>
      </c>
      <c r="F1320" s="13" t="inlineStr">
        <is>
          <t>Capim-pé-de-galinha</t>
        </is>
      </c>
      <c r="G1320" s="13" t="inlineStr">
        <is>
          <t>Eleusine indica</t>
        </is>
      </c>
      <c r="H1320" s="13" t="inlineStr">
        <is>
          <t>NÃO</t>
        </is>
      </c>
      <c r="I1320" s="15" t="n">
        <v>2</v>
      </c>
      <c r="J1320" s="18" t="n">
        <v>2.5</v>
      </c>
      <c r="K1320" s="13" t="inlineStr">
        <is>
          <t>L/ha</t>
        </is>
      </c>
      <c r="L1320" s="15" t="n">
        <v>1</v>
      </c>
      <c r="M1320" s="13" t="inlineStr">
        <is>
          <t>Aplicar conforme monitoramento e estádio recomendado na bula (HRAC Grupo H (10) — Inibidores da Glutamina Sintetase)</t>
        </is>
      </c>
    </row>
    <row r="1321" ht="22" customHeight="1">
      <c r="A1321" s="6" t="inlineStr">
        <is>
          <t>ALV-1317</t>
        </is>
      </c>
      <c r="B1321" s="5" t="n">
        <v>684</v>
      </c>
      <c r="C1321" s="7" t="inlineStr">
        <is>
          <t>Nº 25423</t>
        </is>
      </c>
      <c r="D1321" s="8" t="inlineStr">
        <is>
          <t>GLUFE 200 SL</t>
        </is>
      </c>
      <c r="E1321" s="7" t="inlineStr">
        <is>
          <t>Herbicida</t>
        </is>
      </c>
      <c r="F1321" s="7" t="inlineStr">
        <is>
          <t>Caruru</t>
        </is>
      </c>
      <c r="G1321" s="7" t="inlineStr">
        <is>
          <t>Amaranthus hybridus</t>
        </is>
      </c>
      <c r="H1321" s="7" t="inlineStr">
        <is>
          <t>NÃO</t>
        </is>
      </c>
      <c r="I1321" s="17" t="n">
        <v>1.5</v>
      </c>
      <c r="J1321" s="17" t="n">
        <v>2.5</v>
      </c>
      <c r="K1321" s="7" t="inlineStr">
        <is>
          <t>L/ha</t>
        </is>
      </c>
      <c r="L1321" s="9" t="n">
        <v>1</v>
      </c>
      <c r="M1321" s="7" t="inlineStr">
        <is>
          <t>Aplicar conforme monitoramento e estádio recomendado na bula (HRAC Grupo H (10) — Inibidores da Glutamina Sintetase)</t>
        </is>
      </c>
    </row>
    <row r="1322" ht="22" customHeight="1">
      <c r="A1322" s="12" t="inlineStr">
        <is>
          <t>ALV-1318</t>
        </is>
      </c>
      <c r="B1322" s="11" t="n">
        <v>685</v>
      </c>
      <c r="C1322" s="13" t="inlineStr">
        <is>
          <t>Nº 25423</t>
        </is>
      </c>
      <c r="D1322" s="14" t="inlineStr">
        <is>
          <t>GLUFOSINATE 200 SL LIBEN 0,200L AMOSTRA (IMP) LL</t>
        </is>
      </c>
      <c r="E1322" s="13" t="inlineStr">
        <is>
          <t>Herbicida</t>
        </is>
      </c>
      <c r="F1322" s="13" t="inlineStr">
        <is>
          <t>Buva</t>
        </is>
      </c>
      <c r="G1322" s="13" t="inlineStr">
        <is>
          <t>Conyza bonariensis</t>
        </is>
      </c>
      <c r="H1322" s="13" t="inlineStr">
        <is>
          <t>NÃO</t>
        </is>
      </c>
      <c r="I1322" s="15" t="n">
        <v>2</v>
      </c>
      <c r="J1322" s="15" t="n">
        <v>3</v>
      </c>
      <c r="K1322" s="13" t="inlineStr">
        <is>
          <t>L/ha</t>
        </is>
      </c>
      <c r="L1322" s="15" t="n">
        <v>1</v>
      </c>
      <c r="M1322" s="13" t="inlineStr">
        <is>
          <t>Aplicar conforme monitoramento e estádio recomendado na bula (HRAC Grupo H (10) — Inibidores da Glutamina Sintetase)</t>
        </is>
      </c>
    </row>
    <row r="1323" ht="22" customHeight="1">
      <c r="A1323" s="6" t="inlineStr">
        <is>
          <t>ALV-1319</t>
        </is>
      </c>
      <c r="B1323" s="5" t="n">
        <v>685</v>
      </c>
      <c r="C1323" s="7" t="inlineStr">
        <is>
          <t>Nº 25423</t>
        </is>
      </c>
      <c r="D1323" s="8" t="inlineStr">
        <is>
          <t>GLUFOSINATE 200 SL LIBEN 0,200L AMOSTRA (IMP) LL</t>
        </is>
      </c>
      <c r="E1323" s="7" t="inlineStr">
        <is>
          <t>Herbicida</t>
        </is>
      </c>
      <c r="F1323" s="7" t="inlineStr">
        <is>
          <t>Capim-pé-de-galinha</t>
        </is>
      </c>
      <c r="G1323" s="7" t="inlineStr">
        <is>
          <t>Eleusine indica</t>
        </is>
      </c>
      <c r="H1323" s="7" t="inlineStr">
        <is>
          <t>NÃO</t>
        </is>
      </c>
      <c r="I1323" s="9" t="n">
        <v>2</v>
      </c>
      <c r="J1323" s="17" t="n">
        <v>2.5</v>
      </c>
      <c r="K1323" s="7" t="inlineStr">
        <is>
          <t>L/ha</t>
        </is>
      </c>
      <c r="L1323" s="9" t="n">
        <v>1</v>
      </c>
      <c r="M1323" s="7" t="inlineStr">
        <is>
          <t>Aplicar conforme monitoramento e estádio recomendado na bula (HRAC Grupo H (10) — Inibidores da Glutamina Sintetase)</t>
        </is>
      </c>
    </row>
    <row r="1324" ht="22" customHeight="1">
      <c r="A1324" s="12" t="inlineStr">
        <is>
          <t>ALV-1320</t>
        </is>
      </c>
      <c r="B1324" s="11" t="n">
        <v>685</v>
      </c>
      <c r="C1324" s="13" t="inlineStr">
        <is>
          <t>Nº 25423</t>
        </is>
      </c>
      <c r="D1324" s="14" t="inlineStr">
        <is>
          <t>GLUFOSINATE 200 SL LIBEN 0,200L AMOSTRA (IMP) LL</t>
        </is>
      </c>
      <c r="E1324" s="13" t="inlineStr">
        <is>
          <t>Herbicida</t>
        </is>
      </c>
      <c r="F1324" s="13" t="inlineStr">
        <is>
          <t>Caruru</t>
        </is>
      </c>
      <c r="G1324" s="13" t="inlineStr">
        <is>
          <t>Amaranthus hybridus</t>
        </is>
      </c>
      <c r="H1324" s="13" t="inlineStr">
        <is>
          <t>NÃO</t>
        </is>
      </c>
      <c r="I1324" s="18" t="n">
        <v>1.5</v>
      </c>
      <c r="J1324" s="18" t="n">
        <v>2.5</v>
      </c>
      <c r="K1324" s="13" t="inlineStr">
        <is>
          <t>L/ha</t>
        </is>
      </c>
      <c r="L1324" s="15" t="n">
        <v>1</v>
      </c>
      <c r="M1324" s="13" t="inlineStr">
        <is>
          <t>Aplicar conforme monitoramento e estádio recomendado na bula (HRAC Grupo H (10) — Inibidores da Glutamina Sintetase)</t>
        </is>
      </c>
    </row>
    <row r="1325" ht="22" customHeight="1">
      <c r="A1325" s="6" t="inlineStr">
        <is>
          <t>ALV-1321</t>
        </is>
      </c>
      <c r="B1325" s="5" t="n">
        <v>686</v>
      </c>
      <c r="C1325" s="7" t="inlineStr">
        <is>
          <t>Nº 9520</t>
        </is>
      </c>
      <c r="D1325" s="8" t="inlineStr">
        <is>
          <t>DK MAX</t>
        </is>
      </c>
      <c r="E1325" s="7" t="inlineStr">
        <is>
          <t>Herbicida</t>
        </is>
      </c>
      <c r="F1325" s="7" t="inlineStr">
        <is>
          <t>Picão-preto</t>
        </is>
      </c>
      <c r="G1325" s="7" t="inlineStr">
        <is>
          <t>Bidens pilosa</t>
        </is>
      </c>
      <c r="H1325" s="7" t="inlineStr">
        <is>
          <t>SIM (*)</t>
        </is>
      </c>
      <c r="I1325" s="17" t="n">
        <v>2.5</v>
      </c>
      <c r="J1325" s="9" t="n">
        <v>4</v>
      </c>
      <c r="K1325" s="7" t="inlineStr">
        <is>
          <t>L ou kg/ha</t>
        </is>
      </c>
      <c r="L1325" s="9" t="n">
        <v>1</v>
      </c>
      <c r="M1325" s="7" t="inlineStr">
        <is>
          <t>Aplicar conforme monitoramento e estádio recomendado na bula (HRAC Grupo C1 (5) — Inibidores do Fotossistema II)</t>
        </is>
      </c>
    </row>
    <row r="1326" ht="22" customHeight="1">
      <c r="A1326" s="12" t="inlineStr">
        <is>
          <t>ALV-1322</t>
        </is>
      </c>
      <c r="B1326" s="11" t="n">
        <v>686</v>
      </c>
      <c r="C1326" s="13" t="inlineStr">
        <is>
          <t>Nº 9520</t>
        </is>
      </c>
      <c r="D1326" s="14" t="inlineStr">
        <is>
          <t>DK MAX</t>
        </is>
      </c>
      <c r="E1326" s="13" t="inlineStr">
        <is>
          <t>Herbicida</t>
        </is>
      </c>
      <c r="F1326" s="13" t="inlineStr">
        <is>
          <t>Caruru</t>
        </is>
      </c>
      <c r="G1326" s="13" t="inlineStr">
        <is>
          <t>Amaranthus viridis</t>
        </is>
      </c>
      <c r="H1326" s="13" t="inlineStr">
        <is>
          <t>SIM (*)</t>
        </is>
      </c>
      <c r="I1326" s="18" t="n">
        <v>2.5</v>
      </c>
      <c r="J1326" s="18" t="n">
        <v>3.5</v>
      </c>
      <c r="K1326" s="13" t="inlineStr">
        <is>
          <t>L ou kg/ha</t>
        </is>
      </c>
      <c r="L1326" s="15" t="n">
        <v>1</v>
      </c>
      <c r="M1326" s="13" t="inlineStr">
        <is>
          <t>Aplicar conforme monitoramento e estádio recomendado na bula (HRAC Grupo C1 (5) — Inibidores do Fotossistema II)</t>
        </is>
      </c>
    </row>
    <row r="1327" ht="22" customHeight="1">
      <c r="A1327" s="6" t="inlineStr">
        <is>
          <t>ALV-1323</t>
        </is>
      </c>
      <c r="B1327" s="5" t="n">
        <v>686</v>
      </c>
      <c r="C1327" s="7" t="inlineStr">
        <is>
          <t>Nº 9520</t>
        </is>
      </c>
      <c r="D1327" s="8" t="inlineStr">
        <is>
          <t>DK MAX</t>
        </is>
      </c>
      <c r="E1327" s="7" t="inlineStr">
        <is>
          <t>Herbicida</t>
        </is>
      </c>
      <c r="F1327" s="7" t="inlineStr">
        <is>
          <t>Corda-de-viola</t>
        </is>
      </c>
      <c r="G1327" s="7" t="inlineStr">
        <is>
          <t>Ipomoea grandifolia</t>
        </is>
      </c>
      <c r="H1327" s="7" t="inlineStr">
        <is>
          <t>NÃO</t>
        </is>
      </c>
      <c r="I1327" s="9" t="n">
        <v>3</v>
      </c>
      <c r="J1327" s="9" t="n">
        <v>4</v>
      </c>
      <c r="K1327" s="7" t="inlineStr">
        <is>
          <t>L ou kg/ha</t>
        </is>
      </c>
      <c r="L1327" s="9" t="n">
        <v>1</v>
      </c>
      <c r="M1327" s="7" t="inlineStr">
        <is>
          <t>Aplicar conforme monitoramento e estádio recomendado na bula (HRAC Grupo C1 (5) — Inibidores do Fotossistema II)</t>
        </is>
      </c>
    </row>
    <row r="1328" ht="22" customHeight="1">
      <c r="A1328" s="12" t="inlineStr">
        <is>
          <t>ALV-1324</t>
        </is>
      </c>
      <c r="B1328" s="11" t="n">
        <v>687</v>
      </c>
      <c r="C1328" s="13" t="inlineStr">
        <is>
          <t>Nº 2024</t>
        </is>
      </c>
      <c r="D1328" s="14" t="inlineStr">
        <is>
          <t>THIOPHANATE METHYL</t>
        </is>
      </c>
      <c r="E1328" s="13" t="inlineStr">
        <is>
          <t>Fungicida</t>
        </is>
      </c>
      <c r="F1328" s="13" t="inlineStr">
        <is>
          <t>Mofo-branco</t>
        </is>
      </c>
      <c r="G1328" s="13" t="inlineStr">
        <is>
          <t>Sclerotinia sclerotiorum</t>
        </is>
      </c>
      <c r="H1328" s="13" t="inlineStr">
        <is>
          <t>NÃO</t>
        </is>
      </c>
      <c r="I1328" s="18" t="n">
        <v>0.8</v>
      </c>
      <c r="J1328" s="15" t="n">
        <v>1</v>
      </c>
      <c r="K1328" s="13" t="inlineStr">
        <is>
          <t>L/ha</t>
        </is>
      </c>
      <c r="L1328" s="15" t="n">
        <v>1</v>
      </c>
      <c r="M1328" s="13" t="inlineStr">
        <is>
          <t>Aplicar conforme monitoramento e estádio recomendado na bula (FRAC Grupo 1 (MBC))</t>
        </is>
      </c>
    </row>
    <row r="1329" ht="22" customHeight="1">
      <c r="A1329" s="6" t="inlineStr">
        <is>
          <t>ALV-1325</t>
        </is>
      </c>
      <c r="B1329" s="5" t="n">
        <v>687</v>
      </c>
      <c r="C1329" s="7" t="inlineStr">
        <is>
          <t>Nº 2024</t>
        </is>
      </c>
      <c r="D1329" s="8" t="inlineStr">
        <is>
          <t>THIOPHANATE METHYL</t>
        </is>
      </c>
      <c r="E1329" s="7" t="inlineStr">
        <is>
          <t>Fungicida</t>
        </is>
      </c>
      <c r="F1329" s="7" t="inlineStr">
        <is>
          <t>Antracnose</t>
        </is>
      </c>
      <c r="G1329" s="7" t="inlineStr">
        <is>
          <t>Colletotrichum lindemuthianum</t>
        </is>
      </c>
      <c r="H1329" s="7" t="inlineStr">
        <is>
          <t>NÃO</t>
        </is>
      </c>
      <c r="I1329" s="17" t="n">
        <v>0.7</v>
      </c>
      <c r="J1329" s="9" t="n">
        <v>1</v>
      </c>
      <c r="K1329" s="7" t="inlineStr">
        <is>
          <t>L/ha</t>
        </is>
      </c>
      <c r="L1329" s="9" t="n">
        <v>1</v>
      </c>
      <c r="M1329" s="7" t="inlineStr">
        <is>
          <t>Aplicar conforme monitoramento e estádio recomendado na bula (FRAC Grupo 1 (MBC))</t>
        </is>
      </c>
    </row>
    <row r="1330" ht="22" customHeight="1">
      <c r="A1330" s="12" t="inlineStr">
        <is>
          <t>ALV-1326</t>
        </is>
      </c>
      <c r="B1330" s="11" t="n">
        <v>688</v>
      </c>
      <c r="C1330" s="13" t="inlineStr">
        <is>
          <t>Nº 17921</t>
        </is>
      </c>
      <c r="D1330" s="14" t="inlineStr">
        <is>
          <t>TIOFANATO</t>
        </is>
      </c>
      <c r="E1330" s="13" t="inlineStr">
        <is>
          <t>Fungicida</t>
        </is>
      </c>
      <c r="F1330" s="13" t="inlineStr">
        <is>
          <t>Mofo-branco</t>
        </is>
      </c>
      <c r="G1330" s="13" t="inlineStr">
        <is>
          <t>Sclerotinia sclerotiorum</t>
        </is>
      </c>
      <c r="H1330" s="13" t="inlineStr">
        <is>
          <t>NÃO</t>
        </is>
      </c>
      <c r="I1330" s="18" t="n">
        <v>0.8</v>
      </c>
      <c r="J1330" s="15" t="n">
        <v>1</v>
      </c>
      <c r="K1330" s="13" t="inlineStr">
        <is>
          <t>L/ha</t>
        </is>
      </c>
      <c r="L1330" s="15" t="n">
        <v>1</v>
      </c>
      <c r="M1330" s="13" t="inlineStr">
        <is>
          <t>Aplicar conforme monitoramento e estádio recomendado na bula (FRAC Grupo 1 (MBC))</t>
        </is>
      </c>
    </row>
    <row r="1331" ht="22" customHeight="1">
      <c r="A1331" s="6" t="inlineStr">
        <is>
          <t>ALV-1327</t>
        </is>
      </c>
      <c r="B1331" s="5" t="n">
        <v>688</v>
      </c>
      <c r="C1331" s="7" t="inlineStr">
        <is>
          <t>Nº 17921</t>
        </is>
      </c>
      <c r="D1331" s="8" t="inlineStr">
        <is>
          <t>TIOFANATO</t>
        </is>
      </c>
      <c r="E1331" s="7" t="inlineStr">
        <is>
          <t>Fungicida</t>
        </is>
      </c>
      <c r="F1331" s="7" t="inlineStr">
        <is>
          <t>Antracnose</t>
        </is>
      </c>
      <c r="G1331" s="7" t="inlineStr">
        <is>
          <t>Colletotrichum lindemuthianum</t>
        </is>
      </c>
      <c r="H1331" s="7" t="inlineStr">
        <is>
          <t>NÃO</t>
        </is>
      </c>
      <c r="I1331" s="17" t="n">
        <v>0.7</v>
      </c>
      <c r="J1331" s="9" t="n">
        <v>1</v>
      </c>
      <c r="K1331" s="7" t="inlineStr">
        <is>
          <t>L/ha</t>
        </is>
      </c>
      <c r="L1331" s="9" t="n">
        <v>1</v>
      </c>
      <c r="M1331" s="7" t="inlineStr">
        <is>
          <t>Aplicar conforme monitoramento e estádio recomendado na bula (FRAC Grupo 1 (MBC))</t>
        </is>
      </c>
    </row>
    <row r="1332" ht="22" customHeight="1">
      <c r="A1332" s="12" t="inlineStr">
        <is>
          <t>ALV-1328</t>
        </is>
      </c>
      <c r="B1332" s="11" t="n">
        <v>689</v>
      </c>
      <c r="C1332" s="13" t="inlineStr">
        <is>
          <t>Nº 6715</t>
        </is>
      </c>
      <c r="D1332" s="14" t="inlineStr">
        <is>
          <t>2,4-D 806 SL CROTECT BBA</t>
        </is>
      </c>
      <c r="E1332" s="13" t="inlineStr">
        <is>
          <t>Herbicida</t>
        </is>
      </c>
      <c r="F1332" s="13" t="inlineStr">
        <is>
          <t>Buva</t>
        </is>
      </c>
      <c r="G1332" s="13" t="inlineStr">
        <is>
          <t>Conyza bonariensis</t>
        </is>
      </c>
      <c r="H1332" s="13" t="inlineStr">
        <is>
          <t>SIM (*)</t>
        </is>
      </c>
      <c r="I1332" s="15" t="n">
        <v>1</v>
      </c>
      <c r="J1332" s="18" t="n">
        <v>1.5</v>
      </c>
      <c r="K1332" s="13" t="inlineStr">
        <is>
          <t>L/ha</t>
        </is>
      </c>
      <c r="L1332" s="15" t="n">
        <v>1</v>
      </c>
      <c r="M1332" s="13" t="inlineStr">
        <is>
          <t>Aplicar conforme monitoramento e estádio recomendado na bula (HRAC Grupo O (4) — Auxinas Sintéticas)</t>
        </is>
      </c>
    </row>
    <row r="1333" ht="22" customHeight="1">
      <c r="A1333" s="6" t="inlineStr">
        <is>
          <t>ALV-1329</t>
        </is>
      </c>
      <c r="B1333" s="5" t="n">
        <v>689</v>
      </c>
      <c r="C1333" s="7" t="inlineStr">
        <is>
          <t>Nº 6715</t>
        </is>
      </c>
      <c r="D1333" s="8" t="inlineStr">
        <is>
          <t>2,4-D 806 SL CROTECT BBA</t>
        </is>
      </c>
      <c r="E1333" s="7" t="inlineStr">
        <is>
          <t>Herbicida</t>
        </is>
      </c>
      <c r="F1333" s="7" t="inlineStr">
        <is>
          <t>Picão-preto</t>
        </is>
      </c>
      <c r="G1333" s="7" t="inlineStr">
        <is>
          <t>Bidens pilosa</t>
        </is>
      </c>
      <c r="H1333" s="7" t="inlineStr">
        <is>
          <t>NÃO</t>
        </is>
      </c>
      <c r="I1333" s="9" t="n">
        <v>1</v>
      </c>
      <c r="J1333" s="17" t="n">
        <v>1.5</v>
      </c>
      <c r="K1333" s="7" t="inlineStr">
        <is>
          <t>L/ha</t>
        </is>
      </c>
      <c r="L1333" s="9" t="n">
        <v>1</v>
      </c>
      <c r="M1333" s="7" t="inlineStr">
        <is>
          <t>Aplicar conforme monitoramento e estádio recomendado na bula (HRAC Grupo O (4) — Auxinas Sintéticas)</t>
        </is>
      </c>
    </row>
    <row r="1334" ht="22" customHeight="1">
      <c r="A1334" s="12" t="inlineStr">
        <is>
          <t>ALV-1330</t>
        </is>
      </c>
      <c r="B1334" s="11" t="n">
        <v>690</v>
      </c>
      <c r="C1334" s="13" t="inlineStr">
        <is>
          <t>Nº 16922</t>
        </is>
      </c>
      <c r="D1334" s="14" t="inlineStr">
        <is>
          <t>GLUFOS-WYN 200 SL</t>
        </is>
      </c>
      <c r="E1334" s="13" t="inlineStr">
        <is>
          <t>Herbicida</t>
        </is>
      </c>
      <c r="F1334" s="13" t="inlineStr">
        <is>
          <t>Buva</t>
        </is>
      </c>
      <c r="G1334" s="13" t="inlineStr">
        <is>
          <t>Conyza bonariensis</t>
        </is>
      </c>
      <c r="H1334" s="13" t="inlineStr">
        <is>
          <t>NÃO</t>
        </is>
      </c>
      <c r="I1334" s="15" t="n">
        <v>2</v>
      </c>
      <c r="J1334" s="15" t="n">
        <v>3</v>
      </c>
      <c r="K1334" s="13" t="inlineStr">
        <is>
          <t>L/ha</t>
        </is>
      </c>
      <c r="L1334" s="15" t="n">
        <v>1</v>
      </c>
      <c r="M1334" s="13" t="inlineStr">
        <is>
          <t>Aplicar conforme monitoramento e estádio recomendado na bula (HRAC Grupo H (10) — Inibidores da Glutamina Sintetase)</t>
        </is>
      </c>
    </row>
    <row r="1335" ht="22" customHeight="1">
      <c r="A1335" s="6" t="inlineStr">
        <is>
          <t>ALV-1331</t>
        </is>
      </c>
      <c r="B1335" s="5" t="n">
        <v>690</v>
      </c>
      <c r="C1335" s="7" t="inlineStr">
        <is>
          <t>Nº 16922</t>
        </is>
      </c>
      <c r="D1335" s="8" t="inlineStr">
        <is>
          <t>GLUFOS-WYN 200 SL</t>
        </is>
      </c>
      <c r="E1335" s="7" t="inlineStr">
        <is>
          <t>Herbicida</t>
        </is>
      </c>
      <c r="F1335" s="7" t="inlineStr">
        <is>
          <t>Capim-pé-de-galinha</t>
        </is>
      </c>
      <c r="G1335" s="7" t="inlineStr">
        <is>
          <t>Eleusine indica</t>
        </is>
      </c>
      <c r="H1335" s="7" t="inlineStr">
        <is>
          <t>NÃO</t>
        </is>
      </c>
      <c r="I1335" s="9" t="n">
        <v>2</v>
      </c>
      <c r="J1335" s="17" t="n">
        <v>2.5</v>
      </c>
      <c r="K1335" s="7" t="inlineStr">
        <is>
          <t>L/ha</t>
        </is>
      </c>
      <c r="L1335" s="9" t="n">
        <v>1</v>
      </c>
      <c r="M1335" s="7" t="inlineStr">
        <is>
          <t>Aplicar conforme monitoramento e estádio recomendado na bula (HRAC Grupo H (10) — Inibidores da Glutamina Sintetase)</t>
        </is>
      </c>
    </row>
    <row r="1336" ht="22" customHeight="1">
      <c r="A1336" s="12" t="inlineStr">
        <is>
          <t>ALV-1332</t>
        </is>
      </c>
      <c r="B1336" s="11" t="n">
        <v>690</v>
      </c>
      <c r="C1336" s="13" t="inlineStr">
        <is>
          <t>Nº 16922</t>
        </is>
      </c>
      <c r="D1336" s="14" t="inlineStr">
        <is>
          <t>GLUFOS-WYN 200 SL</t>
        </is>
      </c>
      <c r="E1336" s="13" t="inlineStr">
        <is>
          <t>Herbicida</t>
        </is>
      </c>
      <c r="F1336" s="13" t="inlineStr">
        <is>
          <t>Caruru</t>
        </is>
      </c>
      <c r="G1336" s="13" t="inlineStr">
        <is>
          <t>Amaranthus hybridus</t>
        </is>
      </c>
      <c r="H1336" s="13" t="inlineStr">
        <is>
          <t>NÃO</t>
        </is>
      </c>
      <c r="I1336" s="18" t="n">
        <v>1.5</v>
      </c>
      <c r="J1336" s="18" t="n">
        <v>2.5</v>
      </c>
      <c r="K1336" s="13" t="inlineStr">
        <is>
          <t>L/ha</t>
        </is>
      </c>
      <c r="L1336" s="15" t="n">
        <v>1</v>
      </c>
      <c r="M1336" s="13" t="inlineStr">
        <is>
          <t>Aplicar conforme monitoramento e estádio recomendado na bula (HRAC Grupo H (10) — Inibidores da Glutamina Sintetase)</t>
        </is>
      </c>
    </row>
    <row r="1337" ht="22" customHeight="1">
      <c r="A1337" s="6" t="inlineStr">
        <is>
          <t>ALV-1333</t>
        </is>
      </c>
      <c r="B1337" s="5" t="n">
        <v>691</v>
      </c>
      <c r="C1337" s="7" t="inlineStr">
        <is>
          <t>Nº 25423</t>
        </is>
      </c>
      <c r="D1337" s="8" t="inlineStr">
        <is>
          <t>GLUFOSINATE 200 SL LIBEN</t>
        </is>
      </c>
      <c r="E1337" s="7" t="inlineStr">
        <is>
          <t>Herbicida</t>
        </is>
      </c>
      <c r="F1337" s="7" t="inlineStr">
        <is>
          <t>Buva</t>
        </is>
      </c>
      <c r="G1337" s="7" t="inlineStr">
        <is>
          <t>Conyza bonariensis</t>
        </is>
      </c>
      <c r="H1337" s="7" t="inlineStr">
        <is>
          <t>NÃO</t>
        </is>
      </c>
      <c r="I1337" s="9" t="n">
        <v>2</v>
      </c>
      <c r="J1337" s="9" t="n">
        <v>3</v>
      </c>
      <c r="K1337" s="7" t="inlineStr">
        <is>
          <t>L/ha</t>
        </is>
      </c>
      <c r="L1337" s="9" t="n">
        <v>1</v>
      </c>
      <c r="M1337" s="7" t="inlineStr">
        <is>
          <t>Aplicar conforme monitoramento e estádio recomendado na bula (HRAC Grupo H (10) — Inibidores da Glutamina Sintetase)</t>
        </is>
      </c>
    </row>
    <row r="1338" ht="22" customHeight="1">
      <c r="A1338" s="12" t="inlineStr">
        <is>
          <t>ALV-1334</t>
        </is>
      </c>
      <c r="B1338" s="11" t="n">
        <v>691</v>
      </c>
      <c r="C1338" s="13" t="inlineStr">
        <is>
          <t>Nº 25423</t>
        </is>
      </c>
      <c r="D1338" s="14" t="inlineStr">
        <is>
          <t>GLUFOSINATE 200 SL LIBEN</t>
        </is>
      </c>
      <c r="E1338" s="13" t="inlineStr">
        <is>
          <t>Herbicida</t>
        </is>
      </c>
      <c r="F1338" s="13" t="inlineStr">
        <is>
          <t>Capim-pé-de-galinha</t>
        </is>
      </c>
      <c r="G1338" s="13" t="inlineStr">
        <is>
          <t>Eleusine indica</t>
        </is>
      </c>
      <c r="H1338" s="13" t="inlineStr">
        <is>
          <t>NÃO</t>
        </is>
      </c>
      <c r="I1338" s="15" t="n">
        <v>2</v>
      </c>
      <c r="J1338" s="18" t="n">
        <v>2.5</v>
      </c>
      <c r="K1338" s="13" t="inlineStr">
        <is>
          <t>L/ha</t>
        </is>
      </c>
      <c r="L1338" s="15" t="n">
        <v>1</v>
      </c>
      <c r="M1338" s="13" t="inlineStr">
        <is>
          <t>Aplicar conforme monitoramento e estádio recomendado na bula (HRAC Grupo H (10) — Inibidores da Glutamina Sintetase)</t>
        </is>
      </c>
    </row>
    <row r="1339" ht="22" customHeight="1">
      <c r="A1339" s="6" t="inlineStr">
        <is>
          <t>ALV-1335</t>
        </is>
      </c>
      <c r="B1339" s="5" t="n">
        <v>691</v>
      </c>
      <c r="C1339" s="7" t="inlineStr">
        <is>
          <t>Nº 25423</t>
        </is>
      </c>
      <c r="D1339" s="8" t="inlineStr">
        <is>
          <t>GLUFOSINATE 200 SL LIBEN</t>
        </is>
      </c>
      <c r="E1339" s="7" t="inlineStr">
        <is>
          <t>Herbicida</t>
        </is>
      </c>
      <c r="F1339" s="7" t="inlineStr">
        <is>
          <t>Caruru</t>
        </is>
      </c>
      <c r="G1339" s="7" t="inlineStr">
        <is>
          <t>Amaranthus hybridus</t>
        </is>
      </c>
      <c r="H1339" s="7" t="inlineStr">
        <is>
          <t>NÃO</t>
        </is>
      </c>
      <c r="I1339" s="17" t="n">
        <v>1.5</v>
      </c>
      <c r="J1339" s="17" t="n">
        <v>2.5</v>
      </c>
      <c r="K1339" s="7" t="inlineStr">
        <is>
          <t>L/ha</t>
        </is>
      </c>
      <c r="L1339" s="9" t="n">
        <v>1</v>
      </c>
      <c r="M1339" s="7" t="inlineStr">
        <is>
          <t>Aplicar conforme monitoramento e estádio recomendado na bula (HRAC Grupo H (10) — Inibidores da Glutamina Sintetase)</t>
        </is>
      </c>
    </row>
    <row r="1340" ht="22" customHeight="1">
      <c r="A1340" s="12" t="inlineStr">
        <is>
          <t>ALV-1336</t>
        </is>
      </c>
      <c r="B1340" s="11" t="n">
        <v>692</v>
      </c>
      <c r="C1340" s="13" t="inlineStr">
        <is>
          <t>Nº 34318</t>
        </is>
      </c>
      <c r="D1340" s="14" t="inlineStr">
        <is>
          <t>MAGNUM</t>
        </is>
      </c>
      <c r="E1340" s="13" t="inlineStr">
        <is>
          <t>Inseticida</t>
        </is>
      </c>
      <c r="F1340" s="13" t="inlineStr">
        <is>
          <t>Percevejo-marrom</t>
        </is>
      </c>
      <c r="G1340" s="13" t="inlineStr">
        <is>
          <t>Euschistus heros</t>
        </is>
      </c>
      <c r="H1340" s="13" t="inlineStr">
        <is>
          <t>NÃO</t>
        </is>
      </c>
      <c r="I1340" s="18" t="n">
        <v>0.8</v>
      </c>
      <c r="J1340" s="18" t="n">
        <v>1.2</v>
      </c>
      <c r="K1340" s="13" t="inlineStr">
        <is>
          <t>kg/ha</t>
        </is>
      </c>
      <c r="L1340" s="15" t="n">
        <v>1</v>
      </c>
      <c r="M1340" s="13" t="inlineStr">
        <is>
          <t>Aplicar conforme monitoramento e estádio recomendado na bula (IRAC Grupo 1B)</t>
        </is>
      </c>
    </row>
    <row r="1341" ht="22" customHeight="1">
      <c r="A1341" s="6" t="inlineStr">
        <is>
          <t>ALV-1337</t>
        </is>
      </c>
      <c r="B1341" s="5" t="n">
        <v>692</v>
      </c>
      <c r="C1341" s="7" t="inlineStr">
        <is>
          <t>Nº 34318</t>
        </is>
      </c>
      <c r="D1341" s="8" t="inlineStr">
        <is>
          <t>MAGNUM</t>
        </is>
      </c>
      <c r="E1341" s="7" t="inlineStr">
        <is>
          <t>Inseticida</t>
        </is>
      </c>
      <c r="F1341" s="7" t="inlineStr">
        <is>
          <t>Mosca-branca</t>
        </is>
      </c>
      <c r="G1341" s="7" t="inlineStr">
        <is>
          <t>Bemisia tabaci raça B</t>
        </is>
      </c>
      <c r="H1341" s="7" t="inlineStr">
        <is>
          <t>NÃO</t>
        </is>
      </c>
      <c r="I1341" s="17" t="n">
        <v>0.8</v>
      </c>
      <c r="J1341" s="9" t="n">
        <v>1</v>
      </c>
      <c r="K1341" s="7" t="inlineStr">
        <is>
          <t>kg/ha</t>
        </is>
      </c>
      <c r="L1341" s="9" t="n">
        <v>1</v>
      </c>
      <c r="M1341" s="7" t="inlineStr">
        <is>
          <t>Aplicar conforme monitoramento e estádio recomendado na bula (IRAC Grupo 1B)</t>
        </is>
      </c>
    </row>
    <row r="1342" ht="22" customHeight="1">
      <c r="A1342" s="12" t="inlineStr">
        <is>
          <t>ALV-1338</t>
        </is>
      </c>
      <c r="B1342" s="11" t="n">
        <v>692</v>
      </c>
      <c r="C1342" s="13" t="inlineStr">
        <is>
          <t>Nº 34318</t>
        </is>
      </c>
      <c r="D1342" s="14" t="inlineStr">
        <is>
          <t>MAGNUM</t>
        </is>
      </c>
      <c r="E1342" s="13" t="inlineStr">
        <is>
          <t>Inseticida</t>
        </is>
      </c>
      <c r="F1342" s="13" t="inlineStr">
        <is>
          <t>Tripes</t>
        </is>
      </c>
      <c r="G1342" s="13" t="inlineStr">
        <is>
          <t>Caliothrips phaseoli</t>
        </is>
      </c>
      <c r="H1342" s="13" t="inlineStr">
        <is>
          <t>NÃO</t>
        </is>
      </c>
      <c r="I1342" s="18" t="n">
        <v>0.5</v>
      </c>
      <c r="J1342" s="18" t="n">
        <v>0.8</v>
      </c>
      <c r="K1342" s="13" t="inlineStr">
        <is>
          <t>kg/ha</t>
        </is>
      </c>
      <c r="L1342" s="15" t="n">
        <v>1</v>
      </c>
      <c r="M1342" s="13" t="inlineStr">
        <is>
          <t>Aplicar conforme monitoramento e estádio recomendado na bula (IRAC Grupo 1B)</t>
        </is>
      </c>
    </row>
    <row r="1343" ht="22" customHeight="1">
      <c r="A1343" s="6" t="inlineStr">
        <is>
          <t>ALV-1339</t>
        </is>
      </c>
      <c r="B1343" s="5" t="n">
        <v>693</v>
      </c>
      <c r="C1343" s="7" t="inlineStr">
        <is>
          <t>Nº 9420</t>
        </is>
      </c>
      <c r="D1343" s="8" t="inlineStr">
        <is>
          <t>ENSIS-TURBO 0,200L (IMP) AMOSTRA</t>
        </is>
      </c>
      <c r="E1343" s="7" t="inlineStr">
        <is>
          <t>Fungicida</t>
        </is>
      </c>
      <c r="F1343" s="7" t="inlineStr">
        <is>
          <t>Ferrugem-asiática</t>
        </is>
      </c>
      <c r="G1343" s="7" t="inlineStr">
        <is>
          <t>Phakopsora pachyrhizi</t>
        </is>
      </c>
      <c r="H1343" s="7" t="inlineStr">
        <is>
          <t>SIM (*)</t>
        </is>
      </c>
      <c r="I1343" s="17" t="n">
        <v>0.35</v>
      </c>
      <c r="J1343" s="17" t="n">
        <v>0.5</v>
      </c>
      <c r="K1343" s="7" t="inlineStr">
        <is>
          <t>L/ha</t>
        </is>
      </c>
      <c r="L1343" s="9" t="n">
        <v>1</v>
      </c>
      <c r="M1343" s="7" t="inlineStr">
        <is>
          <t>Aplicar conforme monitoramento e estádio recomendado na bula (FRAC Grupo 3 (DMI))</t>
        </is>
      </c>
    </row>
    <row r="1344" ht="22" customHeight="1">
      <c r="A1344" s="12" t="inlineStr">
        <is>
          <t>ALV-1340</t>
        </is>
      </c>
      <c r="B1344" s="11" t="n">
        <v>693</v>
      </c>
      <c r="C1344" s="13" t="inlineStr">
        <is>
          <t>Nº 9420</t>
        </is>
      </c>
      <c r="D1344" s="14" t="inlineStr">
        <is>
          <t>ENSIS-TURBO 0,200L (IMP) AMOSTRA</t>
        </is>
      </c>
      <c r="E1344" s="13" t="inlineStr">
        <is>
          <t>Fungicida</t>
        </is>
      </c>
      <c r="F1344" s="13" t="inlineStr">
        <is>
          <t>Mancha-parda</t>
        </is>
      </c>
      <c r="G1344" s="13" t="inlineStr">
        <is>
          <t>Septoria glycines</t>
        </is>
      </c>
      <c r="H1344" s="13" t="inlineStr">
        <is>
          <t>NÃO</t>
        </is>
      </c>
      <c r="I1344" s="18" t="n">
        <v>0.35</v>
      </c>
      <c r="J1344" s="18" t="n">
        <v>0.5</v>
      </c>
      <c r="K1344" s="13" t="inlineStr">
        <is>
          <t>L/ha</t>
        </is>
      </c>
      <c r="L1344" s="15" t="n">
        <v>1</v>
      </c>
      <c r="M1344" s="13" t="inlineStr">
        <is>
          <t>Aplicar conforme monitoramento e estádio recomendado na bula (FRAC Grupo 3 (DMI))</t>
        </is>
      </c>
    </row>
    <row r="1345" ht="22" customHeight="1">
      <c r="A1345" s="6" t="inlineStr">
        <is>
          <t>ALV-1341</t>
        </is>
      </c>
      <c r="B1345" s="5" t="n">
        <v>694</v>
      </c>
      <c r="C1345" s="7" t="inlineStr">
        <is>
          <t>SIPEAGRO (UF-XXXXX)</t>
        </is>
      </c>
      <c r="D1345" s="8" t="inlineStr">
        <is>
          <t>FOSFATO MONOAMONICO 11-52-00 (44% H2O) (VALIDAR)</t>
        </is>
      </c>
      <c r="E1345" s="7" t="inlineStr">
        <is>
          <t>Fertilizante Complexo (MAP — Fosfato Monoamônico)</t>
        </is>
      </c>
      <c r="F1345" s="7" t="inlineStr">
        <is>
          <t>Nutrição e Correção de Deficiência Mineral</t>
        </is>
      </c>
      <c r="G1345" s="7" t="inlineStr">
        <is>
          <t>Nutrição Vegetal</t>
        </is>
      </c>
      <c r="H1345" s="7" t="inlineStr">
        <is>
          <t>NÃO</t>
        </is>
      </c>
      <c r="I1345" s="9" t="n">
        <v>1</v>
      </c>
      <c r="J1345" s="9" t="n">
        <v>250</v>
      </c>
      <c r="K1345" s="7" t="inlineStr">
        <is>
          <t>kg ou L/ha</t>
        </is>
      </c>
      <c r="L1345" s="9" t="n">
        <v>1</v>
      </c>
      <c r="M1345" s="7" t="inlineStr">
        <is>
          <t>Aplicar conforme monitoramento e estádio recomendado na bula (Nutrição Vegetal SIPEAGRO)</t>
        </is>
      </c>
    </row>
    <row r="1346" ht="22" customHeight="1">
      <c r="A1346" s="12" t="inlineStr">
        <is>
          <t>ALV-1342</t>
        </is>
      </c>
      <c r="B1346" s="11" t="n">
        <v>695</v>
      </c>
      <c r="C1346" s="13" t="inlineStr">
        <is>
          <t>Nº 14421</t>
        </is>
      </c>
      <c r="D1346" s="14" t="inlineStr">
        <is>
          <t>FIPRONIL 250 FS ( PRINCIPIO ATIVO)</t>
        </is>
      </c>
      <c r="E1346" s="13" t="inlineStr">
        <is>
          <t>Insumo Industrial</t>
        </is>
      </c>
      <c r="F1346" s="13" t="inlineStr">
        <is>
          <t>Matéria-prima para Formulação Industrial</t>
        </is>
      </c>
      <c r="G1346" s="13" t="inlineStr">
        <is>
          <t>Uso Industrial Credenciado MAPA</t>
        </is>
      </c>
      <c r="H1346" s="13" t="inlineStr">
        <is>
          <t>NÃO</t>
        </is>
      </c>
      <c r="I1346" s="15" t="n">
        <v>0</v>
      </c>
      <c r="J1346" s="15" t="n">
        <v>0</v>
      </c>
      <c r="K1346" s="13" t="inlineStr">
        <is>
          <t>L</t>
        </is>
      </c>
      <c r="L1346" s="15" t="n">
        <v>1</v>
      </c>
      <c r="M1346" s="13" t="inlineStr">
        <is>
          <t>Uso restrito a estabelecimentos formuladores registrados</t>
        </is>
      </c>
    </row>
    <row r="1347" ht="22" customHeight="1">
      <c r="A1347" s="6" t="inlineStr">
        <is>
          <t>ALV-1343</t>
        </is>
      </c>
      <c r="B1347" s="5" t="n">
        <v>696</v>
      </c>
      <c r="C1347" s="7" t="inlineStr">
        <is>
          <t>Nº 14623</t>
        </is>
      </c>
      <c r="D1347" s="8" t="inlineStr">
        <is>
          <t>METSULFUROM - METILICO (PRINCIPIO ATIVO)</t>
        </is>
      </c>
      <c r="E1347" s="7" t="inlineStr">
        <is>
          <t>Insumo Industrial</t>
        </is>
      </c>
      <c r="F1347" s="7" t="inlineStr">
        <is>
          <t>Matéria-prima para Formulação Industrial</t>
        </is>
      </c>
      <c r="G1347" s="7" t="inlineStr">
        <is>
          <t>Uso Industrial Credenciado MAPA</t>
        </is>
      </c>
      <c r="H1347" s="7" t="inlineStr">
        <is>
          <t>NÃO</t>
        </is>
      </c>
      <c r="I1347" s="9" t="n">
        <v>0</v>
      </c>
      <c r="J1347" s="9" t="n">
        <v>0</v>
      </c>
      <c r="K1347" s="7" t="inlineStr">
        <is>
          <t>KG</t>
        </is>
      </c>
      <c r="L1347" s="9" t="n">
        <v>1</v>
      </c>
      <c r="M1347" s="7" t="inlineStr">
        <is>
          <t>Uso restrito a estabelecimentos formuladores registrados</t>
        </is>
      </c>
    </row>
    <row r="1348" ht="22" customHeight="1">
      <c r="A1348" s="12" t="inlineStr">
        <is>
          <t>ALV-1344</t>
        </is>
      </c>
      <c r="B1348" s="11" t="n">
        <v>697</v>
      </c>
      <c r="C1348" s="13" t="inlineStr">
        <is>
          <t>Nº 34725</t>
        </is>
      </c>
      <c r="D1348" s="14" t="inlineStr">
        <is>
          <t>PROTIOCONAZOLE175+TRIFLOXYSTROBIN150 (PRINC ATIVO)</t>
        </is>
      </c>
      <c r="E1348" s="13" t="inlineStr">
        <is>
          <t>Insumo Industrial</t>
        </is>
      </c>
      <c r="F1348" s="13" t="inlineStr">
        <is>
          <t>Matéria-prima para Formulação Industrial</t>
        </is>
      </c>
      <c r="G1348" s="13" t="inlineStr">
        <is>
          <t>Uso Industrial Credenciado MAPA</t>
        </is>
      </c>
      <c r="H1348" s="13" t="inlineStr">
        <is>
          <t>NÃO</t>
        </is>
      </c>
      <c r="I1348" s="15" t="n">
        <v>0</v>
      </c>
      <c r="J1348" s="15" t="n">
        <v>0</v>
      </c>
      <c r="K1348" s="13" t="inlineStr">
        <is>
          <t>L</t>
        </is>
      </c>
      <c r="L1348" s="15" t="n">
        <v>1</v>
      </c>
      <c r="M1348" s="13" t="inlineStr">
        <is>
          <t>Uso restrito a estabelecimentos formuladores registrados</t>
        </is>
      </c>
    </row>
    <row r="1349" ht="22" customHeight="1">
      <c r="A1349" s="6" t="inlineStr">
        <is>
          <t>ALV-1345</t>
        </is>
      </c>
      <c r="B1349" s="5" t="n">
        <v>698</v>
      </c>
      <c r="C1349" s="7" t="inlineStr">
        <is>
          <t>Nº 1838604</t>
        </is>
      </c>
      <c r="D1349" s="8" t="inlineStr">
        <is>
          <t>OXIFLUORFEM 240 (PRINCIPIO ATIVO)</t>
        </is>
      </c>
      <c r="E1349" s="7" t="inlineStr">
        <is>
          <t>Insumo Industrial</t>
        </is>
      </c>
      <c r="F1349" s="7" t="inlineStr">
        <is>
          <t>Matéria-prima para Formulação Industrial</t>
        </is>
      </c>
      <c r="G1349" s="7" t="inlineStr">
        <is>
          <t>Uso Industrial Credenciado MAPA</t>
        </is>
      </c>
      <c r="H1349" s="7" t="inlineStr">
        <is>
          <t>NÃO</t>
        </is>
      </c>
      <c r="I1349" s="9" t="n">
        <v>0</v>
      </c>
      <c r="J1349" s="9" t="n">
        <v>0</v>
      </c>
      <c r="K1349" s="7" t="inlineStr">
        <is>
          <t>L</t>
        </is>
      </c>
      <c r="L1349" s="9" t="n">
        <v>1</v>
      </c>
      <c r="M1349" s="7" t="inlineStr">
        <is>
          <t>Uso restrito a estabelecimentos formuladores registrados</t>
        </is>
      </c>
    </row>
    <row r="1350" ht="22" customHeight="1">
      <c r="A1350" s="12" t="inlineStr">
        <is>
          <t>ALV-1346</t>
        </is>
      </c>
      <c r="B1350" s="11" t="n">
        <v>699</v>
      </c>
      <c r="C1350" s="13" t="inlineStr">
        <is>
          <t>Nº 40024</t>
        </is>
      </c>
      <c r="D1350" s="14" t="inlineStr">
        <is>
          <t>CYPROCONAZOLE80+PICOXYSTROBIN200 (PRINCIPIO ATIVO)</t>
        </is>
      </c>
      <c r="E1350" s="13" t="inlineStr">
        <is>
          <t>Insumo Industrial</t>
        </is>
      </c>
      <c r="F1350" s="13" t="inlineStr">
        <is>
          <t>Matéria-prima para Formulação Industrial</t>
        </is>
      </c>
      <c r="G1350" s="13" t="inlineStr">
        <is>
          <t>Uso Industrial Credenciado MAPA</t>
        </is>
      </c>
      <c r="H1350" s="13" t="inlineStr">
        <is>
          <t>NÃO</t>
        </is>
      </c>
      <c r="I1350" s="15" t="n">
        <v>0</v>
      </c>
      <c r="J1350" s="15" t="n">
        <v>0</v>
      </c>
      <c r="K1350" s="13" t="inlineStr">
        <is>
          <t>L</t>
        </is>
      </c>
      <c r="L1350" s="15" t="n">
        <v>1</v>
      </c>
      <c r="M1350" s="13" t="inlineStr">
        <is>
          <t>Uso restrito a estabelecimentos formuladores registrados</t>
        </is>
      </c>
    </row>
    <row r="1351" ht="22" customHeight="1">
      <c r="A1351" s="6" t="inlineStr">
        <is>
          <t>ALV-1347</t>
        </is>
      </c>
      <c r="B1351" s="5" t="n">
        <v>700</v>
      </c>
      <c r="C1351" s="7" t="inlineStr">
        <is>
          <t>Nº 14623</t>
        </is>
      </c>
      <c r="D1351" s="8" t="inlineStr">
        <is>
          <t>METSULFUROM 600 (PRINCIPIO ATIVO)</t>
        </is>
      </c>
      <c r="E1351" s="7" t="inlineStr">
        <is>
          <t>Insumo Industrial</t>
        </is>
      </c>
      <c r="F1351" s="7" t="inlineStr">
        <is>
          <t>Matéria-prima para Formulação Industrial</t>
        </is>
      </c>
      <c r="G1351" s="7" t="inlineStr">
        <is>
          <t>Uso Industrial Credenciado MAPA</t>
        </is>
      </c>
      <c r="H1351" s="7" t="inlineStr">
        <is>
          <t>NÃO</t>
        </is>
      </c>
      <c r="I1351" s="9" t="n">
        <v>0</v>
      </c>
      <c r="J1351" s="9" t="n">
        <v>0</v>
      </c>
      <c r="K1351" s="7" t="inlineStr">
        <is>
          <t>KG</t>
        </is>
      </c>
      <c r="L1351" s="9" t="n">
        <v>1</v>
      </c>
      <c r="M1351" s="7" t="inlineStr">
        <is>
          <t>Uso restrito a estabelecimentos formuladores registrados</t>
        </is>
      </c>
    </row>
    <row r="1352" ht="22" customHeight="1">
      <c r="A1352" s="12" t="inlineStr">
        <is>
          <t>ALV-1348</t>
        </is>
      </c>
      <c r="B1352" s="11" t="n">
        <v>701</v>
      </c>
      <c r="C1352" s="13" t="inlineStr">
        <is>
          <t>Nº 24925</t>
        </is>
      </c>
      <c r="D1352" s="14" t="inlineStr">
        <is>
          <t>ATOL TRIO (METOLACHLOR+ATRAZINE+MESOTRIONE) (P. A)</t>
        </is>
      </c>
      <c r="E1352" s="13" t="inlineStr">
        <is>
          <t>Insumo Industrial</t>
        </is>
      </c>
      <c r="F1352" s="13" t="inlineStr">
        <is>
          <t>Matéria-prima para Formulação Industrial</t>
        </is>
      </c>
      <c r="G1352" s="13" t="inlineStr">
        <is>
          <t>Uso Industrial Credenciado MAPA</t>
        </is>
      </c>
      <c r="H1352" s="13" t="inlineStr">
        <is>
          <t>NÃO</t>
        </is>
      </c>
      <c r="I1352" s="15" t="n">
        <v>0</v>
      </c>
      <c r="J1352" s="15" t="n">
        <v>0</v>
      </c>
      <c r="K1352" s="13" t="inlineStr">
        <is>
          <t>L</t>
        </is>
      </c>
      <c r="L1352" s="15" t="n">
        <v>1</v>
      </c>
      <c r="M1352" s="13" t="inlineStr">
        <is>
          <t>Uso restrito a estabelecimentos formuladores registrados</t>
        </is>
      </c>
    </row>
    <row r="1353" ht="22" customHeight="1">
      <c r="A1353" s="6" t="inlineStr">
        <is>
          <t>ALV-1349</t>
        </is>
      </c>
      <c r="B1353" s="5" t="n">
        <v>702</v>
      </c>
      <c r="C1353" s="7" t="inlineStr">
        <is>
          <t>Nº 4810</t>
        </is>
      </c>
      <c r="D1353" s="8" t="inlineStr">
        <is>
          <t>CERTEZA N</t>
        </is>
      </c>
      <c r="E1353" s="7" t="inlineStr">
        <is>
          <t>Fungicida</t>
        </is>
      </c>
      <c r="F1353" s="7" t="inlineStr">
        <is>
          <t>Mofo-branco</t>
        </is>
      </c>
      <c r="G1353" s="7" t="inlineStr">
        <is>
          <t>Sclerotinia sclerotiorum</t>
        </is>
      </c>
      <c r="H1353" s="7" t="inlineStr">
        <is>
          <t>NÃO</t>
        </is>
      </c>
      <c r="I1353" s="17" t="n">
        <v>0.8</v>
      </c>
      <c r="J1353" s="9" t="n">
        <v>1</v>
      </c>
      <c r="K1353" s="7" t="inlineStr">
        <is>
          <t>L/ha</t>
        </is>
      </c>
      <c r="L1353" s="9" t="n">
        <v>1</v>
      </c>
      <c r="M1353" s="7" t="inlineStr">
        <is>
          <t>Aplicar conforme monitoramento e estádio recomendado na bula (FRAC Grupo 1 (MBC))</t>
        </is>
      </c>
    </row>
    <row r="1354" ht="22" customHeight="1">
      <c r="A1354" s="12" t="inlineStr">
        <is>
          <t>ALV-1350</t>
        </is>
      </c>
      <c r="B1354" s="11" t="n">
        <v>702</v>
      </c>
      <c r="C1354" s="13" t="inlineStr">
        <is>
          <t>Nº 4810</t>
        </is>
      </c>
      <c r="D1354" s="14" t="inlineStr">
        <is>
          <t>CERTEZA N</t>
        </is>
      </c>
      <c r="E1354" s="13" t="inlineStr">
        <is>
          <t>Fungicida</t>
        </is>
      </c>
      <c r="F1354" s="13" t="inlineStr">
        <is>
          <t>Antracnose</t>
        </is>
      </c>
      <c r="G1354" s="13" t="inlineStr">
        <is>
          <t>Colletotrichum lindemuthianum</t>
        </is>
      </c>
      <c r="H1354" s="13" t="inlineStr">
        <is>
          <t>NÃO</t>
        </is>
      </c>
      <c r="I1354" s="18" t="n">
        <v>0.7</v>
      </c>
      <c r="J1354" s="15" t="n">
        <v>1</v>
      </c>
      <c r="K1354" s="13" t="inlineStr">
        <is>
          <t>L/ha</t>
        </is>
      </c>
      <c r="L1354" s="15" t="n">
        <v>1</v>
      </c>
      <c r="M1354" s="13" t="inlineStr">
        <is>
          <t>Aplicar conforme monitoramento e estádio recomendado na bula (FRAC Grupo 1 (MBC))</t>
        </is>
      </c>
    </row>
    <row r="1355" ht="22" customHeight="1">
      <c r="A1355" s="6" t="inlineStr">
        <is>
          <t>ALV-1351</t>
        </is>
      </c>
      <c r="B1355" s="5" t="n">
        <v>703</v>
      </c>
      <c r="C1355" s="7" t="inlineStr">
        <is>
          <t>Nº 4810</t>
        </is>
      </c>
      <c r="D1355" s="8" t="inlineStr">
        <is>
          <t>CERTEZA N</t>
        </is>
      </c>
      <c r="E1355" s="7" t="inlineStr">
        <is>
          <t>Fungicida</t>
        </is>
      </c>
      <c r="F1355" s="7" t="inlineStr">
        <is>
          <t>Mofo-branco</t>
        </is>
      </c>
      <c r="G1355" s="7" t="inlineStr">
        <is>
          <t>Sclerotinia sclerotiorum</t>
        </is>
      </c>
      <c r="H1355" s="7" t="inlineStr">
        <is>
          <t>NÃO</t>
        </is>
      </c>
      <c r="I1355" s="17" t="n">
        <v>0.8</v>
      </c>
      <c r="J1355" s="9" t="n">
        <v>1</v>
      </c>
      <c r="K1355" s="7" t="inlineStr">
        <is>
          <t>L/ha</t>
        </is>
      </c>
      <c r="L1355" s="9" t="n">
        <v>1</v>
      </c>
      <c r="M1355" s="7" t="inlineStr">
        <is>
          <t>Aplicar conforme monitoramento e estádio recomendado na bula (FRAC Grupo 1 (MBC))</t>
        </is>
      </c>
    </row>
    <row r="1356" ht="22" customHeight="1">
      <c r="A1356" s="12" t="inlineStr">
        <is>
          <t>ALV-1352</t>
        </is>
      </c>
      <c r="B1356" s="11" t="n">
        <v>703</v>
      </c>
      <c r="C1356" s="13" t="inlineStr">
        <is>
          <t>Nº 4810</t>
        </is>
      </c>
      <c r="D1356" s="14" t="inlineStr">
        <is>
          <t>CERTEZA N</t>
        </is>
      </c>
      <c r="E1356" s="13" t="inlineStr">
        <is>
          <t>Fungicida</t>
        </is>
      </c>
      <c r="F1356" s="13" t="inlineStr">
        <is>
          <t>Antracnose</t>
        </is>
      </c>
      <c r="G1356" s="13" t="inlineStr">
        <is>
          <t>Colletotrichum lindemuthianum</t>
        </is>
      </c>
      <c r="H1356" s="13" t="inlineStr">
        <is>
          <t>NÃO</t>
        </is>
      </c>
      <c r="I1356" s="18" t="n">
        <v>0.7</v>
      </c>
      <c r="J1356" s="15" t="n">
        <v>1</v>
      </c>
      <c r="K1356" s="13" t="inlineStr">
        <is>
          <t>L/ha</t>
        </is>
      </c>
      <c r="L1356" s="15" t="n">
        <v>1</v>
      </c>
      <c r="M1356" s="13" t="inlineStr">
        <is>
          <t>Aplicar conforme monitoramento e estádio recomendado na bula (FRAC Grupo 1 (MBC))</t>
        </is>
      </c>
    </row>
    <row r="1357" ht="22" customHeight="1">
      <c r="A1357" s="6" t="inlineStr">
        <is>
          <t>ALV-1353</t>
        </is>
      </c>
      <c r="B1357" s="5" t="n">
        <v>704</v>
      </c>
      <c r="C1357" s="7" t="inlineStr">
        <is>
          <t>SIPEAGRO (UF-XXXXX)</t>
        </is>
      </c>
      <c r="D1357" s="8" t="inlineStr">
        <is>
          <t>ENXOFRE BENTONITA - BG 1.097 KG - CAMPO RICO</t>
        </is>
      </c>
      <c r="E1357" s="7" t="inlineStr">
        <is>
          <t>Condicionador / Fonte Mineral de Enxofre (Enxofre + Bentonita)</t>
        </is>
      </c>
      <c r="F1357" s="7" t="inlineStr">
        <is>
          <t>Correção de Acidez / Condicionamento de Perfil de Solo</t>
        </is>
      </c>
      <c r="G1357" s="7" t="inlineStr">
        <is>
          <t>Solo Agrícola</t>
        </is>
      </c>
      <c r="H1357" s="7" t="inlineStr">
        <is>
          <t>NÃO</t>
        </is>
      </c>
      <c r="I1357" s="9" t="n">
        <v>500</v>
      </c>
      <c r="J1357" s="9" t="n">
        <v>3000</v>
      </c>
      <c r="K1357" s="7" t="inlineStr">
        <is>
          <t>kg/ha</t>
        </is>
      </c>
      <c r="L1357" s="9" t="n">
        <v>1</v>
      </c>
      <c r="M1357" s="7" t="inlineStr">
        <is>
          <t>Aplicar conforme monitoramento e estádio recomendado na bula (Correção Química de Solo)</t>
        </is>
      </c>
    </row>
    <row r="1358" ht="22" customHeight="1">
      <c r="A1358" s="12" t="inlineStr">
        <is>
          <t>ALV-1354</t>
        </is>
      </c>
      <c r="B1358" s="11" t="n">
        <v>705</v>
      </c>
      <c r="C1358" s="13" t="inlineStr">
        <is>
          <t>Nº 27025</t>
        </is>
      </c>
      <c r="D1358" s="14" t="inlineStr">
        <is>
          <t>FLUMIOXAZINA 100 + IMAZETAPIR 200 (PRINC. ATIVO)</t>
        </is>
      </c>
      <c r="E1358" s="13" t="inlineStr">
        <is>
          <t>Insumo Industrial</t>
        </is>
      </c>
      <c r="F1358" s="13" t="inlineStr">
        <is>
          <t>Matéria-prima para Formulação Industrial</t>
        </is>
      </c>
      <c r="G1358" s="13" t="inlineStr">
        <is>
          <t>Uso Industrial Credenciado MAPA</t>
        </is>
      </c>
      <c r="H1358" s="13" t="inlineStr">
        <is>
          <t>NÃO</t>
        </is>
      </c>
      <c r="I1358" s="15" t="n">
        <v>0</v>
      </c>
      <c r="J1358" s="15" t="n">
        <v>0</v>
      </c>
      <c r="K1358" s="13" t="inlineStr">
        <is>
          <t>KG</t>
        </is>
      </c>
      <c r="L1358" s="15" t="n">
        <v>1</v>
      </c>
      <c r="M1358" s="13" t="inlineStr">
        <is>
          <t>Uso restrito a estabelecimentos formuladores registrados</t>
        </is>
      </c>
    </row>
    <row r="1359" ht="22" customHeight="1">
      <c r="A1359" s="6" t="inlineStr">
        <is>
          <t>ALV-1355</t>
        </is>
      </c>
      <c r="B1359" s="5" t="n">
        <v>706</v>
      </c>
      <c r="C1359" s="7" t="inlineStr">
        <is>
          <t>VINCULAR MARCA</t>
        </is>
      </c>
      <c r="D1359" s="8" t="inlineStr">
        <is>
          <t>PIRIPROXIFEM 100 + LUFENUROM 30 (PRINC. ATIVO)</t>
        </is>
      </c>
      <c r="E1359" s="7" t="inlineStr">
        <is>
          <t>Insumo Industrial</t>
        </is>
      </c>
      <c r="F1359" s="7" t="inlineStr">
        <is>
          <t>Matéria-prima para Formulação Industrial</t>
        </is>
      </c>
      <c r="G1359" s="7" t="inlineStr">
        <is>
          <t>Uso Industrial Credenciado MAPA</t>
        </is>
      </c>
      <c r="H1359" s="7" t="inlineStr">
        <is>
          <t>NÃO</t>
        </is>
      </c>
      <c r="I1359" s="9" t="n">
        <v>0</v>
      </c>
      <c r="J1359" s="9" t="n">
        <v>0</v>
      </c>
      <c r="K1359" s="7" t="inlineStr">
        <is>
          <t>L</t>
        </is>
      </c>
      <c r="L1359" s="9" t="n">
        <v>1</v>
      </c>
      <c r="M1359" s="7" t="inlineStr">
        <is>
          <t>Uso restrito a estabelecimentos formuladores registrados</t>
        </is>
      </c>
    </row>
    <row r="1360" ht="22" customHeight="1">
      <c r="A1360" s="12" t="inlineStr">
        <is>
          <t>ALV-1356</t>
        </is>
      </c>
      <c r="B1360" s="11" t="n">
        <v>707</v>
      </c>
      <c r="C1360" s="13" t="inlineStr">
        <is>
          <t>Nº 32518</t>
        </is>
      </c>
      <c r="D1360" s="14" t="inlineStr">
        <is>
          <t>ACETAMIPRIDO 186 + PIRIPROXIFEM 124 (PRINC. ATIVO)</t>
        </is>
      </c>
      <c r="E1360" s="13" t="inlineStr">
        <is>
          <t>Insumo Industrial</t>
        </is>
      </c>
      <c r="F1360" s="13" t="inlineStr">
        <is>
          <t>Matéria-prima para Formulação Industrial</t>
        </is>
      </c>
      <c r="G1360" s="13" t="inlineStr">
        <is>
          <t>Uso Industrial Credenciado MAPA</t>
        </is>
      </c>
      <c r="H1360" s="13" t="inlineStr">
        <is>
          <t>NÃO</t>
        </is>
      </c>
      <c r="I1360" s="15" t="n">
        <v>0</v>
      </c>
      <c r="J1360" s="15" t="n">
        <v>0</v>
      </c>
      <c r="K1360" s="13" t="inlineStr">
        <is>
          <t>KG</t>
        </is>
      </c>
      <c r="L1360" s="15" t="n">
        <v>1</v>
      </c>
      <c r="M1360" s="13" t="inlineStr">
        <is>
          <t>Uso restrito a estabelecimentos formuladores registrados</t>
        </is>
      </c>
    </row>
    <row r="1361" ht="22" customHeight="1">
      <c r="A1361" s="6" t="inlineStr">
        <is>
          <t>ALV-1357</t>
        </is>
      </c>
      <c r="B1361" s="5" t="n">
        <v>708</v>
      </c>
      <c r="C1361" s="7" t="inlineStr">
        <is>
          <t>VINCULAR MARCA</t>
        </is>
      </c>
      <c r="D1361" s="8" t="inlineStr">
        <is>
          <t>FLUMIOXAZINA 500 + DICLOSULAM 340 (PRINC. ATIVO)</t>
        </is>
      </c>
      <c r="E1361" s="7" t="inlineStr">
        <is>
          <t>Insumo Industrial</t>
        </is>
      </c>
      <c r="F1361" s="7" t="inlineStr">
        <is>
          <t>Matéria-prima para Formulação Industrial</t>
        </is>
      </c>
      <c r="G1361" s="7" t="inlineStr">
        <is>
          <t>Uso Industrial Credenciado MAPA</t>
        </is>
      </c>
      <c r="H1361" s="7" t="inlineStr">
        <is>
          <t>NÃO</t>
        </is>
      </c>
      <c r="I1361" s="9" t="n">
        <v>0</v>
      </c>
      <c r="J1361" s="9" t="n">
        <v>0</v>
      </c>
      <c r="K1361" s="7" t="inlineStr">
        <is>
          <t>KG</t>
        </is>
      </c>
      <c r="L1361" s="9" t="n">
        <v>1</v>
      </c>
      <c r="M1361" s="7" t="inlineStr">
        <is>
          <t>Uso restrito a estabelecimentos formuladores registrados</t>
        </is>
      </c>
    </row>
    <row r="1362" ht="22" customHeight="1">
      <c r="A1362" s="12" t="inlineStr">
        <is>
          <t>ALV-1358</t>
        </is>
      </c>
      <c r="B1362" s="11" t="n">
        <v>709</v>
      </c>
      <c r="C1362" s="13" t="inlineStr">
        <is>
          <t>VINCULAR MARCA</t>
        </is>
      </c>
      <c r="D1362" s="14" t="inlineStr">
        <is>
          <t>INDOXAC. 100 + BIFENT. 90 + ACETAM. 137,5 (PR.AT.)</t>
        </is>
      </c>
      <c r="E1362" s="13" t="inlineStr">
        <is>
          <t>Insumo Industrial</t>
        </is>
      </c>
      <c r="F1362" s="13" t="inlineStr">
        <is>
          <t>Matéria-prima para Formulação Industrial</t>
        </is>
      </c>
      <c r="G1362" s="13" t="inlineStr">
        <is>
          <t>Uso Industrial Credenciado MAPA</t>
        </is>
      </c>
      <c r="H1362" s="13" t="inlineStr">
        <is>
          <t>NÃO</t>
        </is>
      </c>
      <c r="I1362" s="15" t="n">
        <v>0</v>
      </c>
      <c r="J1362" s="15" t="n">
        <v>0</v>
      </c>
      <c r="K1362" s="13" t="inlineStr">
        <is>
          <t>L</t>
        </is>
      </c>
      <c r="L1362" s="15" t="n">
        <v>1</v>
      </c>
      <c r="M1362" s="13" t="inlineStr">
        <is>
          <t>Uso restrito a estabelecimentos formuladores registrados</t>
        </is>
      </c>
    </row>
    <row r="1363" ht="22" customHeight="1">
      <c r="A1363" s="6" t="inlineStr">
        <is>
          <t>ALV-1359</t>
        </is>
      </c>
      <c r="B1363" s="5" t="n">
        <v>710</v>
      </c>
      <c r="C1363" s="7" t="inlineStr">
        <is>
          <t>VINCULAR MARCA</t>
        </is>
      </c>
      <c r="D1363" s="8" t="inlineStr">
        <is>
          <t>BIFENTRINA 360 + CLORANTRANILIPRO. 200 (PR. ATIVO)</t>
        </is>
      </c>
      <c r="E1363" s="7" t="inlineStr">
        <is>
          <t>Inseticida</t>
        </is>
      </c>
      <c r="F1363" s="7" t="inlineStr">
        <is>
          <t>Bicudo-do-algodoeiro</t>
        </is>
      </c>
      <c r="G1363" s="7" t="inlineStr">
        <is>
          <t>Anthonomus grandis</t>
        </is>
      </c>
      <c r="H1363" s="7" t="inlineStr">
        <is>
          <t>NÃO</t>
        </is>
      </c>
      <c r="I1363" s="17" t="n">
        <v>0.15</v>
      </c>
      <c r="J1363" s="17" t="n">
        <v>0.25</v>
      </c>
      <c r="K1363" s="7" t="inlineStr">
        <is>
          <t>L/ha</t>
        </is>
      </c>
      <c r="L1363" s="9" t="n">
        <v>1</v>
      </c>
      <c r="M1363" s="7" t="inlineStr">
        <is>
          <t>Aplicar conforme monitoramento e estádio recomendado na bula (IRAC Grupo 3A)</t>
        </is>
      </c>
    </row>
    <row r="1364" ht="22" customHeight="1">
      <c r="A1364" s="12" t="inlineStr">
        <is>
          <t>ALV-1360</t>
        </is>
      </c>
      <c r="B1364" s="11" t="n">
        <v>710</v>
      </c>
      <c r="C1364" s="13" t="inlineStr">
        <is>
          <t>VINCULAR MARCA</t>
        </is>
      </c>
      <c r="D1364" s="14" t="inlineStr">
        <is>
          <t>BIFENTRINA 360 + CLORANTRANILIPRO. 200 (PR. ATIVO)</t>
        </is>
      </c>
      <c r="E1364" s="13" t="inlineStr">
        <is>
          <t>Inseticida</t>
        </is>
      </c>
      <c r="F1364" s="13" t="inlineStr">
        <is>
          <t>Mosca-branca</t>
        </is>
      </c>
      <c r="G1364" s="13" t="inlineStr">
        <is>
          <t>Bemisia tabaci raça B</t>
        </is>
      </c>
      <c r="H1364" s="13" t="inlineStr">
        <is>
          <t>SIM (*)</t>
        </is>
      </c>
      <c r="I1364" s="18" t="n">
        <v>0.125</v>
      </c>
      <c r="J1364" s="18" t="n">
        <v>0.25</v>
      </c>
      <c r="K1364" s="13" t="inlineStr">
        <is>
          <t>L/ha</t>
        </is>
      </c>
      <c r="L1364" s="15" t="n">
        <v>1</v>
      </c>
      <c r="M1364" s="13" t="inlineStr">
        <is>
          <t>Aplicar conforme monitoramento e estádio recomendado na bula (IRAC Grupo 3A)</t>
        </is>
      </c>
    </row>
    <row r="1365" ht="22" customHeight="1">
      <c r="A1365" s="6" t="inlineStr">
        <is>
          <t>ALV-1361</t>
        </is>
      </c>
      <c r="B1365" s="5" t="n">
        <v>710</v>
      </c>
      <c r="C1365" s="7" t="inlineStr">
        <is>
          <t>VINCULAR MARCA</t>
        </is>
      </c>
      <c r="D1365" s="8" t="inlineStr">
        <is>
          <t>BIFENTRINA 360 + CLORANTRANILIPRO. 200 (PR. ATIVO)</t>
        </is>
      </c>
      <c r="E1365" s="7" t="inlineStr">
        <is>
          <t>Inseticida</t>
        </is>
      </c>
      <c r="F1365" s="7" t="inlineStr">
        <is>
          <t>Ácaro-rajado</t>
        </is>
      </c>
      <c r="G1365" s="7" t="inlineStr">
        <is>
          <t>Tetranychus urticae</t>
        </is>
      </c>
      <c r="H1365" s="7" t="inlineStr">
        <is>
          <t>SIM (*)</t>
        </is>
      </c>
      <c r="I1365" s="17" t="n">
        <v>0.15</v>
      </c>
      <c r="J1365" s="17" t="n">
        <v>0.2</v>
      </c>
      <c r="K1365" s="7" t="inlineStr">
        <is>
          <t>L/ha</t>
        </is>
      </c>
      <c r="L1365" s="9" t="n">
        <v>1</v>
      </c>
      <c r="M1365" s="7" t="inlineStr">
        <is>
          <t>Aplicar conforme monitoramento e estádio recomendado na bula (IRAC Grupo 3A)</t>
        </is>
      </c>
    </row>
    <row r="1366" ht="22" customHeight="1">
      <c r="A1366" s="12" t="inlineStr">
        <is>
          <t>ALV-1362</t>
        </is>
      </c>
      <c r="B1366" s="11" t="n">
        <v>711</v>
      </c>
      <c r="C1366" s="13" t="inlineStr">
        <is>
          <t>VINCULAR MARCA</t>
        </is>
      </c>
      <c r="D1366" s="14" t="inlineStr">
        <is>
          <t>GLUFOSINATO 490 + FLUMIOXAZINA 49 (PRINC. ATIVO)</t>
        </is>
      </c>
      <c r="E1366" s="13" t="inlineStr">
        <is>
          <t>Insumo Industrial</t>
        </is>
      </c>
      <c r="F1366" s="13" t="inlineStr">
        <is>
          <t>Matéria-prima para Formulação Industrial</t>
        </is>
      </c>
      <c r="G1366" s="13" t="inlineStr">
        <is>
          <t>Uso Industrial Credenciado MAPA</t>
        </is>
      </c>
      <c r="H1366" s="13" t="inlineStr">
        <is>
          <t>NÃO</t>
        </is>
      </c>
      <c r="I1366" s="15" t="n">
        <v>0</v>
      </c>
      <c r="J1366" s="15" t="n">
        <v>0</v>
      </c>
      <c r="K1366" s="13" t="inlineStr">
        <is>
          <t>KG</t>
        </is>
      </c>
      <c r="L1366" s="15" t="n">
        <v>1</v>
      </c>
      <c r="M1366" s="13" t="inlineStr">
        <is>
          <t>Uso restrito a estabelecimentos formuladores registrados</t>
        </is>
      </c>
    </row>
    <row r="1367" ht="22" customHeight="1">
      <c r="A1367" s="6" t="inlineStr">
        <is>
          <t>ALV-1363</t>
        </is>
      </c>
      <c r="B1367" s="5" t="n">
        <v>712</v>
      </c>
      <c r="C1367" s="7" t="inlineStr">
        <is>
          <t>Nº 24925</t>
        </is>
      </c>
      <c r="D1367" s="8" t="inlineStr">
        <is>
          <t>S-METOLACL. 290 + ATRAZ. 200 + MESOT. 40 (PR. AT.)</t>
        </is>
      </c>
      <c r="E1367" s="7" t="inlineStr">
        <is>
          <t>Insumo Industrial</t>
        </is>
      </c>
      <c r="F1367" s="7" t="inlineStr">
        <is>
          <t>Matéria-prima para Formulação Industrial</t>
        </is>
      </c>
      <c r="G1367" s="7" t="inlineStr">
        <is>
          <t>Uso Industrial Credenciado MAPA</t>
        </is>
      </c>
      <c r="H1367" s="7" t="inlineStr">
        <is>
          <t>NÃO</t>
        </is>
      </c>
      <c r="I1367" s="9" t="n">
        <v>0</v>
      </c>
      <c r="J1367" s="9" t="n">
        <v>0</v>
      </c>
      <c r="K1367" s="7" t="inlineStr">
        <is>
          <t>L</t>
        </is>
      </c>
      <c r="L1367" s="9" t="n">
        <v>1</v>
      </c>
      <c r="M1367" s="7" t="inlineStr">
        <is>
          <t>Uso restrito a estabelecimentos formuladores registrados</t>
        </is>
      </c>
    </row>
    <row r="1368" ht="22" customHeight="1">
      <c r="A1368" s="12" t="inlineStr">
        <is>
          <t>ALV-1364</t>
        </is>
      </c>
      <c r="B1368" s="11" t="n">
        <v>713</v>
      </c>
      <c r="C1368" s="13" t="inlineStr">
        <is>
          <t>VINCULAR MARCA</t>
        </is>
      </c>
      <c r="D1368" s="14" t="inlineStr">
        <is>
          <t>CLOROTALONIL 580 + DIFENOCONAZOL 30 (PRINC. ATIVO)</t>
        </is>
      </c>
      <c r="E1368" s="13" t="inlineStr">
        <is>
          <t>Insumo Industrial</t>
        </is>
      </c>
      <c r="F1368" s="13" t="inlineStr">
        <is>
          <t>Matéria-prima para Formulação Industrial</t>
        </is>
      </c>
      <c r="G1368" s="13" t="inlineStr">
        <is>
          <t>Uso Industrial Credenciado MAPA</t>
        </is>
      </c>
      <c r="H1368" s="13" t="inlineStr">
        <is>
          <t>NÃO</t>
        </is>
      </c>
      <c r="I1368" s="15" t="n">
        <v>0</v>
      </c>
      <c r="J1368" s="15" t="n">
        <v>0</v>
      </c>
      <c r="K1368" s="13" t="inlineStr">
        <is>
          <t>L</t>
        </is>
      </c>
      <c r="L1368" s="15" t="n">
        <v>1</v>
      </c>
      <c r="M1368" s="13" t="inlineStr">
        <is>
          <t>Uso restrito a estabelecimentos formuladores registrados</t>
        </is>
      </c>
    </row>
    <row r="1369" ht="22" customHeight="1">
      <c r="A1369" s="6" t="inlineStr">
        <is>
          <t>ALV-1365</t>
        </is>
      </c>
      <c r="B1369" s="5" t="n">
        <v>714</v>
      </c>
      <c r="C1369" s="7" t="inlineStr">
        <is>
          <t>Nº 4810</t>
        </is>
      </c>
      <c r="D1369" s="8" t="inlineStr">
        <is>
          <t>TIOFANATO-METILICO + FLUAZINAM</t>
        </is>
      </c>
      <c r="E1369" s="7" t="inlineStr">
        <is>
          <t>Fungicida</t>
        </is>
      </c>
      <c r="F1369" s="7" t="inlineStr">
        <is>
          <t>Mofo-branco</t>
        </is>
      </c>
      <c r="G1369" s="7" t="inlineStr">
        <is>
          <t>Sclerotinia sclerotiorum</t>
        </is>
      </c>
      <c r="H1369" s="7" t="inlineStr">
        <is>
          <t>NÃO</t>
        </is>
      </c>
      <c r="I1369" s="17" t="n">
        <v>0.8</v>
      </c>
      <c r="J1369" s="9" t="n">
        <v>1</v>
      </c>
      <c r="K1369" s="7" t="inlineStr">
        <is>
          <t>L/ha</t>
        </is>
      </c>
      <c r="L1369" s="9" t="n">
        <v>1</v>
      </c>
      <c r="M1369" s="7" t="inlineStr">
        <is>
          <t>Aplicar conforme monitoramento e estádio recomendado na bula (FRAC Grupo 1 (MBC))</t>
        </is>
      </c>
    </row>
    <row r="1370" ht="22" customHeight="1">
      <c r="A1370" s="12" t="inlineStr">
        <is>
          <t>ALV-1366</t>
        </is>
      </c>
      <c r="B1370" s="11" t="n">
        <v>714</v>
      </c>
      <c r="C1370" s="13" t="inlineStr">
        <is>
          <t>Nº 4810</t>
        </is>
      </c>
      <c r="D1370" s="14" t="inlineStr">
        <is>
          <t>TIOFANATO-METILICO + FLUAZINAM</t>
        </is>
      </c>
      <c r="E1370" s="13" t="inlineStr">
        <is>
          <t>Fungicida</t>
        </is>
      </c>
      <c r="F1370" s="13" t="inlineStr">
        <is>
          <t>Antracnose</t>
        </is>
      </c>
      <c r="G1370" s="13" t="inlineStr">
        <is>
          <t>Colletotrichum lindemuthianum</t>
        </is>
      </c>
      <c r="H1370" s="13" t="inlineStr">
        <is>
          <t>NÃO</t>
        </is>
      </c>
      <c r="I1370" s="18" t="n">
        <v>0.7</v>
      </c>
      <c r="J1370" s="15" t="n">
        <v>1</v>
      </c>
      <c r="K1370" s="13" t="inlineStr">
        <is>
          <t>L/ha</t>
        </is>
      </c>
      <c r="L1370" s="15" t="n">
        <v>1</v>
      </c>
      <c r="M1370" s="13" t="inlineStr">
        <is>
          <t>Aplicar conforme monitoramento e estádio recomendado na bula (FRAC Grupo 1 (MBC))</t>
        </is>
      </c>
    </row>
    <row r="1371" ht="22" customHeight="1">
      <c r="A1371" s="6" t="inlineStr">
        <is>
          <t>ALV-1367</t>
        </is>
      </c>
      <c r="B1371" s="5" t="n">
        <v>715</v>
      </c>
      <c r="C1371" s="7" t="inlineStr">
        <is>
          <t>VINCULAR MARCA</t>
        </is>
      </c>
      <c r="D1371" s="8" t="inlineStr">
        <is>
          <t>TEBUCONAZOL 50 + CLOROTALONIL 450  (PRINC. ATIVO)</t>
        </is>
      </c>
      <c r="E1371" s="7" t="inlineStr">
        <is>
          <t>Insumo Industrial</t>
        </is>
      </c>
      <c r="F1371" s="7" t="inlineStr">
        <is>
          <t>Matéria-prima para Formulação Industrial</t>
        </is>
      </c>
      <c r="G1371" s="7" t="inlineStr">
        <is>
          <t>Uso Industrial Credenciado MAPA</t>
        </is>
      </c>
      <c r="H1371" s="7" t="inlineStr">
        <is>
          <t>NÃO</t>
        </is>
      </c>
      <c r="I1371" s="9" t="n">
        <v>0</v>
      </c>
      <c r="J1371" s="9" t="n">
        <v>0</v>
      </c>
      <c r="K1371" s="7" t="inlineStr">
        <is>
          <t>L</t>
        </is>
      </c>
      <c r="L1371" s="9" t="n">
        <v>1</v>
      </c>
      <c r="M1371" s="7" t="inlineStr">
        <is>
          <t>Uso restrito a estabelecimentos formuladores registrados</t>
        </is>
      </c>
    </row>
    <row r="1372" ht="22" customHeight="1">
      <c r="A1372" s="12" t="inlineStr">
        <is>
          <t>ALV-1368</t>
        </is>
      </c>
      <c r="B1372" s="11" t="n">
        <v>716</v>
      </c>
      <c r="C1372" s="13" t="inlineStr">
        <is>
          <t>SIPEAGRO (UF-XXXXX)</t>
        </is>
      </c>
      <c r="D1372" s="14" t="inlineStr">
        <is>
          <t>KCL 00-00-60 (TON) EUROCHEM</t>
        </is>
      </c>
      <c r="E1372" s="13" t="inlineStr">
        <is>
          <t>Fertilizante Mineral Simples (Potássico / Magnesiano)</t>
        </is>
      </c>
      <c r="F1372" s="13" t="inlineStr">
        <is>
          <t>Nutrição e Correção de Deficiência Mineral</t>
        </is>
      </c>
      <c r="G1372" s="13" t="inlineStr">
        <is>
          <t>Nutrição Vegetal</t>
        </is>
      </c>
      <c r="H1372" s="13" t="inlineStr">
        <is>
          <t>NÃO</t>
        </is>
      </c>
      <c r="I1372" s="15" t="n">
        <v>1</v>
      </c>
      <c r="J1372" s="15" t="n">
        <v>250</v>
      </c>
      <c r="K1372" s="13" t="inlineStr">
        <is>
          <t>kg ou L/ha</t>
        </is>
      </c>
      <c r="L1372" s="15" t="n">
        <v>1</v>
      </c>
      <c r="M1372" s="13" t="inlineStr">
        <is>
          <t>Aplicar conforme monitoramento e estádio recomendado na bula (Nutrição Vegetal SIPEAGRO)</t>
        </is>
      </c>
    </row>
    <row r="1373" ht="22" customHeight="1">
      <c r="A1373" s="6" t="inlineStr">
        <is>
          <t>ALV-1369</t>
        </is>
      </c>
      <c r="B1373" s="5" t="n">
        <v>717</v>
      </c>
      <c r="C1373" s="7" t="inlineStr">
        <is>
          <t>Nº 27717</t>
        </is>
      </c>
      <c r="D1373" s="8" t="inlineStr">
        <is>
          <t>LEALTY WG</t>
        </is>
      </c>
      <c r="E1373" s="7" t="inlineStr">
        <is>
          <t>Inseticida e Cupinicida (Fipronil)</t>
        </is>
      </c>
      <c r="F1373" s="7" t="inlineStr">
        <is>
          <t>Coró</t>
        </is>
      </c>
      <c r="G1373" s="7" t="inlineStr">
        <is>
          <t>Phyllophaga cuyabana</t>
        </is>
      </c>
      <c r="H1373" s="7" t="inlineStr">
        <is>
          <t>NÃO</t>
        </is>
      </c>
      <c r="I1373" s="17" t="n">
        <v>0.1</v>
      </c>
      <c r="J1373" s="17" t="n">
        <v>0.2</v>
      </c>
      <c r="K1373" s="7" t="inlineStr">
        <is>
          <t>L/100kg sem.</t>
        </is>
      </c>
      <c r="L1373" s="9" t="n">
        <v>1</v>
      </c>
      <c r="M1373" s="7" t="inlineStr">
        <is>
          <t>Aplicar conforme monitoramento e estádio recomendado na bula (IRAC Grupo 2B)</t>
        </is>
      </c>
    </row>
    <row r="1374" ht="22" customHeight="1">
      <c r="A1374" s="12" t="inlineStr">
        <is>
          <t>ALV-1370</t>
        </is>
      </c>
      <c r="B1374" s="11" t="n">
        <v>717</v>
      </c>
      <c r="C1374" s="13" t="inlineStr">
        <is>
          <t>Nº 27717</t>
        </is>
      </c>
      <c r="D1374" s="14" t="inlineStr">
        <is>
          <t>LEALTY WG</t>
        </is>
      </c>
      <c r="E1374" s="13" t="inlineStr">
        <is>
          <t>Inseticida e Cupinicida (Fipronil)</t>
        </is>
      </c>
      <c r="F1374" s="13" t="inlineStr">
        <is>
          <t>Lagarta-elasmo</t>
        </is>
      </c>
      <c r="G1374" s="13" t="inlineStr">
        <is>
          <t>Elasmopalpus lignosellus</t>
        </is>
      </c>
      <c r="H1374" s="13" t="inlineStr">
        <is>
          <t>NÃO</t>
        </is>
      </c>
      <c r="I1374" s="18" t="n">
        <v>0.1</v>
      </c>
      <c r="J1374" s="18" t="n">
        <v>0.2</v>
      </c>
      <c r="K1374" s="13" t="inlineStr">
        <is>
          <t>L/100kg sem.</t>
        </is>
      </c>
      <c r="L1374" s="15" t="n">
        <v>1</v>
      </c>
      <c r="M1374" s="13" t="inlineStr">
        <is>
          <t>Aplicar conforme monitoramento e estádio recomendado na bula (IRAC Grupo 2B)</t>
        </is>
      </c>
    </row>
    <row r="1375" ht="22" customHeight="1">
      <c r="A1375" s="6" t="inlineStr">
        <is>
          <t>ALV-1371</t>
        </is>
      </c>
      <c r="B1375" s="5" t="n">
        <v>717</v>
      </c>
      <c r="C1375" s="7" t="inlineStr">
        <is>
          <t>Nº 27717</t>
        </is>
      </c>
      <c r="D1375" s="8" t="inlineStr">
        <is>
          <t>LEALTY WG</t>
        </is>
      </c>
      <c r="E1375" s="7" t="inlineStr">
        <is>
          <t>Inseticida e Cupinicida (Fipronil)</t>
        </is>
      </c>
      <c r="F1375" s="7" t="inlineStr">
        <is>
          <t>Cupim-de-montículo</t>
        </is>
      </c>
      <c r="G1375" s="7" t="inlineStr">
        <is>
          <t>Procornitermes triacifer</t>
        </is>
      </c>
      <c r="H1375" s="7" t="inlineStr">
        <is>
          <t>NÃO</t>
        </is>
      </c>
      <c r="I1375" s="17" t="n">
        <v>0.05</v>
      </c>
      <c r="J1375" s="17" t="n">
        <v>0.2</v>
      </c>
      <c r="K1375" s="7" t="inlineStr">
        <is>
          <t>kg ou L/ha</t>
        </is>
      </c>
      <c r="L1375" s="9" t="n">
        <v>1</v>
      </c>
      <c r="M1375" s="7" t="inlineStr">
        <is>
          <t>Aplicar conforme monitoramento e estádio recomendado na bula (IRAC Grupo 2B)</t>
        </is>
      </c>
    </row>
    <row r="1376" ht="22" customHeight="1">
      <c r="A1376" s="12" t="inlineStr">
        <is>
          <t>ALV-1372</t>
        </is>
      </c>
      <c r="B1376" s="11" t="n">
        <v>718</v>
      </c>
      <c r="C1376" s="13" t="inlineStr">
        <is>
          <t>Nº 27717</t>
        </is>
      </c>
      <c r="D1376" s="14" t="inlineStr">
        <is>
          <t>LEALTY WG</t>
        </is>
      </c>
      <c r="E1376" s="13" t="inlineStr">
        <is>
          <t>Inseticida e Cupinicida (Fipronil)</t>
        </is>
      </c>
      <c r="F1376" s="13" t="inlineStr">
        <is>
          <t>Coró</t>
        </is>
      </c>
      <c r="G1376" s="13" t="inlineStr">
        <is>
          <t>Phyllophaga cuyabana</t>
        </is>
      </c>
      <c r="H1376" s="13" t="inlineStr">
        <is>
          <t>NÃO</t>
        </is>
      </c>
      <c r="I1376" s="18" t="n">
        <v>0.1</v>
      </c>
      <c r="J1376" s="18" t="n">
        <v>0.2</v>
      </c>
      <c r="K1376" s="13" t="inlineStr">
        <is>
          <t>L/100kg sem.</t>
        </is>
      </c>
      <c r="L1376" s="15" t="n">
        <v>1</v>
      </c>
      <c r="M1376" s="13" t="inlineStr">
        <is>
          <t>Aplicar conforme monitoramento e estádio recomendado na bula (IRAC Grupo 2B)</t>
        </is>
      </c>
    </row>
    <row r="1377" ht="22" customHeight="1">
      <c r="A1377" s="6" t="inlineStr">
        <is>
          <t>ALV-1373</t>
        </is>
      </c>
      <c r="B1377" s="5" t="n">
        <v>718</v>
      </c>
      <c r="C1377" s="7" t="inlineStr">
        <is>
          <t>Nº 27717</t>
        </is>
      </c>
      <c r="D1377" s="8" t="inlineStr">
        <is>
          <t>LEALTY WG</t>
        </is>
      </c>
      <c r="E1377" s="7" t="inlineStr">
        <is>
          <t>Inseticida e Cupinicida (Fipronil)</t>
        </is>
      </c>
      <c r="F1377" s="7" t="inlineStr">
        <is>
          <t>Lagarta-elasmo</t>
        </is>
      </c>
      <c r="G1377" s="7" t="inlineStr">
        <is>
          <t>Elasmopalpus lignosellus</t>
        </is>
      </c>
      <c r="H1377" s="7" t="inlineStr">
        <is>
          <t>NÃO</t>
        </is>
      </c>
      <c r="I1377" s="17" t="n">
        <v>0.1</v>
      </c>
      <c r="J1377" s="17" t="n">
        <v>0.2</v>
      </c>
      <c r="K1377" s="7" t="inlineStr">
        <is>
          <t>L/100kg sem.</t>
        </is>
      </c>
      <c r="L1377" s="9" t="n">
        <v>1</v>
      </c>
      <c r="M1377" s="7" t="inlineStr">
        <is>
          <t>Aplicar conforme monitoramento e estádio recomendado na bula (IRAC Grupo 2B)</t>
        </is>
      </c>
    </row>
    <row r="1378" ht="22" customHeight="1">
      <c r="A1378" s="12" t="inlineStr">
        <is>
          <t>ALV-1374</t>
        </is>
      </c>
      <c r="B1378" s="11" t="n">
        <v>718</v>
      </c>
      <c r="C1378" s="13" t="inlineStr">
        <is>
          <t>Nº 27717</t>
        </is>
      </c>
      <c r="D1378" s="14" t="inlineStr">
        <is>
          <t>LEALTY WG</t>
        </is>
      </c>
      <c r="E1378" s="13" t="inlineStr">
        <is>
          <t>Inseticida e Cupinicida (Fipronil)</t>
        </is>
      </c>
      <c r="F1378" s="13" t="inlineStr">
        <is>
          <t>Cupim-de-montículo</t>
        </is>
      </c>
      <c r="G1378" s="13" t="inlineStr">
        <is>
          <t>Procornitermes triacifer</t>
        </is>
      </c>
      <c r="H1378" s="13" t="inlineStr">
        <is>
          <t>NÃO</t>
        </is>
      </c>
      <c r="I1378" s="18" t="n">
        <v>0.05</v>
      </c>
      <c r="J1378" s="18" t="n">
        <v>0.2</v>
      </c>
      <c r="K1378" s="13" t="inlineStr">
        <is>
          <t>kg ou L/ha</t>
        </is>
      </c>
      <c r="L1378" s="15" t="n">
        <v>1</v>
      </c>
      <c r="M1378" s="13" t="inlineStr">
        <is>
          <t>Aplicar conforme monitoramento e estádio recomendado na bula (IRAC Grupo 2B)</t>
        </is>
      </c>
    </row>
    <row r="1379" ht="22" customHeight="1">
      <c r="A1379" s="6" t="inlineStr">
        <is>
          <t>ALV-1375</t>
        </is>
      </c>
      <c r="B1379" s="5" t="n">
        <v>719</v>
      </c>
      <c r="C1379" s="7" t="inlineStr">
        <is>
          <t>SIPEAGRO (UF-XXXXX)</t>
        </is>
      </c>
      <c r="D1379" s="8" t="inlineStr">
        <is>
          <t>1003057 - ES - FOSF  MAP GR 11N 52/44 P2O5- MOSAIC</t>
        </is>
      </c>
      <c r="E1379" s="7" t="inlineStr">
        <is>
          <t>Fertilizante Complexo (MAP — Fosfato Monoamônico)</t>
        </is>
      </c>
      <c r="F1379" s="7" t="inlineStr">
        <is>
          <t>Nutrição e Correção de Deficiência Mineral</t>
        </is>
      </c>
      <c r="G1379" s="7" t="inlineStr">
        <is>
          <t>Nutrição Vegetal</t>
        </is>
      </c>
      <c r="H1379" s="7" t="inlineStr">
        <is>
          <t>NÃO</t>
        </is>
      </c>
      <c r="I1379" s="9" t="n">
        <v>1</v>
      </c>
      <c r="J1379" s="9" t="n">
        <v>250</v>
      </c>
      <c r="K1379" s="7" t="inlineStr">
        <is>
          <t>kg ou L/ha</t>
        </is>
      </c>
      <c r="L1379" s="9" t="n">
        <v>1</v>
      </c>
      <c r="M1379" s="7" t="inlineStr">
        <is>
          <t>Aplicar conforme monitoramento e estádio recomendado na bula (Nutrição Vegetal SIPEAGRO)</t>
        </is>
      </c>
    </row>
    <row r="1380" ht="22" customHeight="1">
      <c r="A1380" s="12" t="inlineStr">
        <is>
          <t>ALV-1376</t>
        </is>
      </c>
      <c r="B1380" s="11" t="n">
        <v>720</v>
      </c>
      <c r="C1380" s="13" t="inlineStr">
        <is>
          <t>SIPEAGRO (UF-XXXXX)</t>
        </is>
      </c>
      <c r="D1380" s="14" t="inlineStr">
        <is>
          <t>1014099 - ES - MICROESSENTIALS S9 10 46 00-MOSAIC</t>
        </is>
      </c>
      <c r="E1380" s="13" t="inlineStr">
        <is>
          <t>Fertilizante Mineral Misto (NPK / NP)</t>
        </is>
      </c>
      <c r="F1380" s="13" t="inlineStr">
        <is>
          <t>Nutrição e Correção de Deficiência Mineral</t>
        </is>
      </c>
      <c r="G1380" s="13" t="inlineStr">
        <is>
          <t>Nutrição Vegetal</t>
        </is>
      </c>
      <c r="H1380" s="13" t="inlineStr">
        <is>
          <t>NÃO</t>
        </is>
      </c>
      <c r="I1380" s="15" t="n">
        <v>1</v>
      </c>
      <c r="J1380" s="15" t="n">
        <v>250</v>
      </c>
      <c r="K1380" s="13" t="inlineStr">
        <is>
          <t>kg ou L/ha</t>
        </is>
      </c>
      <c r="L1380" s="15" t="n">
        <v>1</v>
      </c>
      <c r="M1380" s="13" t="inlineStr">
        <is>
          <t>Aplicar conforme monitoramento e estádio recomendado na bula (Nutrição Vegetal SIPEAGRO)</t>
        </is>
      </c>
    </row>
    <row r="1381" ht="22" customHeight="1">
      <c r="A1381" s="6" t="inlineStr">
        <is>
          <t>ALV-1377</t>
        </is>
      </c>
      <c r="B1381" s="5" t="n">
        <v>721</v>
      </c>
      <c r="C1381" s="7" t="inlineStr">
        <is>
          <t>SIPEAGRO (UF-XXXXX)</t>
        </is>
      </c>
      <c r="D1381" s="8" t="inlineStr">
        <is>
          <t>1017068 - MP - CLOR  POTASS. 60,5 K2O GRAN</t>
        </is>
      </c>
      <c r="E1381" s="7" t="inlineStr">
        <is>
          <t>Fertilizante Mineral Simples (Potássico / Magnesiano)</t>
        </is>
      </c>
      <c r="F1381" s="7" t="inlineStr">
        <is>
          <t>Nutrição e Correção de Deficiência Mineral</t>
        </is>
      </c>
      <c r="G1381" s="7" t="inlineStr">
        <is>
          <t>Nutrição Vegetal</t>
        </is>
      </c>
      <c r="H1381" s="7" t="inlineStr">
        <is>
          <t>NÃO</t>
        </is>
      </c>
      <c r="I1381" s="9" t="n">
        <v>1</v>
      </c>
      <c r="J1381" s="9" t="n">
        <v>250</v>
      </c>
      <c r="K1381" s="7" t="inlineStr">
        <is>
          <t>kg ou L/ha</t>
        </is>
      </c>
      <c r="L1381" s="9" t="n">
        <v>1</v>
      </c>
      <c r="M1381" s="7" t="inlineStr">
        <is>
          <t>Aplicar conforme monitoramento e estádio recomendado na bula (Nutrição Vegetal SIPEAGRO)</t>
        </is>
      </c>
    </row>
    <row r="1382" ht="22" customHeight="1">
      <c r="A1382" s="12" t="inlineStr">
        <is>
          <t>ALV-1378</t>
        </is>
      </c>
      <c r="B1382" s="11" t="n">
        <v>722</v>
      </c>
      <c r="C1382" s="13" t="inlineStr">
        <is>
          <t>SIPEAGRO (UF-XXXXX)</t>
        </is>
      </c>
      <c r="D1382" s="14" t="inlineStr">
        <is>
          <t>1003007-SUPERFOS TRIP GR 46/36 P2O5+ 10 CA VALIDAR</t>
        </is>
      </c>
      <c r="E1382" s="13" t="inlineStr">
        <is>
          <t>Fertilizante Mineral Simples (Fosfatado)</t>
        </is>
      </c>
      <c r="F1382" s="13" t="inlineStr">
        <is>
          <t>Nutrição e Correção de Deficiência Mineral</t>
        </is>
      </c>
      <c r="G1382" s="13" t="inlineStr">
        <is>
          <t>Nutrição Vegetal</t>
        </is>
      </c>
      <c r="H1382" s="13" t="inlineStr">
        <is>
          <t>NÃO</t>
        </is>
      </c>
      <c r="I1382" s="15" t="n">
        <v>1</v>
      </c>
      <c r="J1382" s="15" t="n">
        <v>250</v>
      </c>
      <c r="K1382" s="13" t="inlineStr">
        <is>
          <t>kg ou L/ha</t>
        </is>
      </c>
      <c r="L1382" s="15" t="n">
        <v>1</v>
      </c>
      <c r="M1382" s="13" t="inlineStr">
        <is>
          <t>Aplicar conforme monitoramento e estádio recomendado na bula (Nutrição Vegetal SIPEAGRO)</t>
        </is>
      </c>
    </row>
    <row r="1383" ht="22" customHeight="1">
      <c r="A1383" s="6" t="inlineStr">
        <is>
          <t>ALV-1379</t>
        </is>
      </c>
      <c r="B1383" s="5" t="n">
        <v>723</v>
      </c>
      <c r="C1383" s="7" t="inlineStr">
        <is>
          <t>SIPEAGRO (UF-XXXXX)</t>
        </is>
      </c>
      <c r="D1383" s="8" t="inlineStr">
        <is>
          <t>KCL 00-00-60 - GRAN</t>
        </is>
      </c>
      <c r="E1383" s="7" t="inlineStr">
        <is>
          <t>Fertilizante Mineral Simples (Potássico / Magnesiano)</t>
        </is>
      </c>
      <c r="F1383" s="7" t="inlineStr">
        <is>
          <t>Nutrição e Correção de Deficiência Mineral</t>
        </is>
      </c>
      <c r="G1383" s="7" t="inlineStr">
        <is>
          <t>Nutrição Vegetal</t>
        </is>
      </c>
      <c r="H1383" s="7" t="inlineStr">
        <is>
          <t>NÃO</t>
        </is>
      </c>
      <c r="I1383" s="9" t="n">
        <v>1</v>
      </c>
      <c r="J1383" s="9" t="n">
        <v>250</v>
      </c>
      <c r="K1383" s="7" t="inlineStr">
        <is>
          <t>kg ou L/ha</t>
        </is>
      </c>
      <c r="L1383" s="9" t="n">
        <v>1</v>
      </c>
      <c r="M1383" s="7" t="inlineStr">
        <is>
          <t>Aplicar conforme monitoramento e estádio recomendado na bula (Nutrição Vegetal SIPEAGRO)</t>
        </is>
      </c>
    </row>
    <row r="1384" ht="22" customHeight="1">
      <c r="A1384" s="12" t="inlineStr">
        <is>
          <t>ALV-1380</t>
        </is>
      </c>
      <c r="B1384" s="11" t="n">
        <v>724</v>
      </c>
      <c r="C1384" s="13" t="inlineStr">
        <is>
          <t>Nº 14421</t>
        </is>
      </c>
      <c r="D1384" s="14" t="inlineStr">
        <is>
          <t>LEALTY FS IBC 1.000L (IMP) SS</t>
        </is>
      </c>
      <c r="E1384" s="13" t="inlineStr">
        <is>
          <t>Inseticida e Cupinicida (Fipronil)</t>
        </is>
      </c>
      <c r="F1384" s="13" t="inlineStr">
        <is>
          <t>Coró</t>
        </is>
      </c>
      <c r="G1384" s="13" t="inlineStr">
        <is>
          <t>Phyllophaga cuyabana</t>
        </is>
      </c>
      <c r="H1384" s="13" t="inlineStr">
        <is>
          <t>NÃO</t>
        </is>
      </c>
      <c r="I1384" s="18" t="n">
        <v>0.1</v>
      </c>
      <c r="J1384" s="18" t="n">
        <v>0.2</v>
      </c>
      <c r="K1384" s="13" t="inlineStr">
        <is>
          <t>L/100kg sem.</t>
        </is>
      </c>
      <c r="L1384" s="15" t="n">
        <v>1</v>
      </c>
      <c r="M1384" s="13" t="inlineStr">
        <is>
          <t>Aplicar conforme monitoramento e estádio recomendado na bula (IRAC Grupo 2B)</t>
        </is>
      </c>
    </row>
    <row r="1385" ht="22" customHeight="1">
      <c r="A1385" s="6" t="inlineStr">
        <is>
          <t>ALV-1381</t>
        </is>
      </c>
      <c r="B1385" s="5" t="n">
        <v>724</v>
      </c>
      <c r="C1385" s="7" t="inlineStr">
        <is>
          <t>Nº 14421</t>
        </is>
      </c>
      <c r="D1385" s="8" t="inlineStr">
        <is>
          <t>LEALTY FS IBC 1.000L (IMP) SS</t>
        </is>
      </c>
      <c r="E1385" s="7" t="inlineStr">
        <is>
          <t>Inseticida e Cupinicida (Fipronil)</t>
        </is>
      </c>
      <c r="F1385" s="7" t="inlineStr">
        <is>
          <t>Lagarta-elasmo</t>
        </is>
      </c>
      <c r="G1385" s="7" t="inlineStr">
        <is>
          <t>Elasmopalpus lignosellus</t>
        </is>
      </c>
      <c r="H1385" s="7" t="inlineStr">
        <is>
          <t>NÃO</t>
        </is>
      </c>
      <c r="I1385" s="17" t="n">
        <v>0.1</v>
      </c>
      <c r="J1385" s="17" t="n">
        <v>0.2</v>
      </c>
      <c r="K1385" s="7" t="inlineStr">
        <is>
          <t>L/100kg sem.</t>
        </is>
      </c>
      <c r="L1385" s="9" t="n">
        <v>1</v>
      </c>
      <c r="M1385" s="7" t="inlineStr">
        <is>
          <t>Aplicar conforme monitoramento e estádio recomendado na bula (IRAC Grupo 2B)</t>
        </is>
      </c>
    </row>
    <row r="1386" ht="22" customHeight="1">
      <c r="A1386" s="12" t="inlineStr">
        <is>
          <t>ALV-1382</t>
        </is>
      </c>
      <c r="B1386" s="11" t="n">
        <v>724</v>
      </c>
      <c r="C1386" s="13" t="inlineStr">
        <is>
          <t>Nº 14421</t>
        </is>
      </c>
      <c r="D1386" s="14" t="inlineStr">
        <is>
          <t>LEALTY FS IBC 1.000L (IMP) SS</t>
        </is>
      </c>
      <c r="E1386" s="13" t="inlineStr">
        <is>
          <t>Inseticida e Cupinicida (Fipronil)</t>
        </is>
      </c>
      <c r="F1386" s="13" t="inlineStr">
        <is>
          <t>Cupim-de-montículo</t>
        </is>
      </c>
      <c r="G1386" s="13" t="inlineStr">
        <is>
          <t>Procornitermes triacifer</t>
        </is>
      </c>
      <c r="H1386" s="13" t="inlineStr">
        <is>
          <t>NÃO</t>
        </is>
      </c>
      <c r="I1386" s="18" t="n">
        <v>0.05</v>
      </c>
      <c r="J1386" s="18" t="n">
        <v>0.2</v>
      </c>
      <c r="K1386" s="13" t="inlineStr">
        <is>
          <t>kg ou L/ha</t>
        </is>
      </c>
      <c r="L1386" s="15" t="n">
        <v>1</v>
      </c>
      <c r="M1386" s="13" t="inlineStr">
        <is>
          <t>Aplicar conforme monitoramento e estádio recomendado na bula (IRAC Grupo 2B)</t>
        </is>
      </c>
    </row>
    <row r="1387" ht="22" customHeight="1">
      <c r="A1387" s="6" t="inlineStr">
        <is>
          <t>ALV-1383</t>
        </is>
      </c>
      <c r="B1387" s="5" t="n">
        <v>725</v>
      </c>
      <c r="C1387" s="7" t="inlineStr">
        <is>
          <t>Nº 11819</t>
        </is>
      </c>
      <c r="D1387" s="8" t="inlineStr">
        <is>
          <t>MANCOZEB 800 (PRINCIPIO ATIVO)</t>
        </is>
      </c>
      <c r="E1387" s="7" t="inlineStr">
        <is>
          <t>Insumo Industrial</t>
        </is>
      </c>
      <c r="F1387" s="7" t="inlineStr">
        <is>
          <t>Matéria-prima para Formulação Industrial</t>
        </is>
      </c>
      <c r="G1387" s="7" t="inlineStr">
        <is>
          <t>Uso Industrial Credenciado MAPA</t>
        </is>
      </c>
      <c r="H1387" s="7" t="inlineStr">
        <is>
          <t>NÃO</t>
        </is>
      </c>
      <c r="I1387" s="9" t="n">
        <v>0</v>
      </c>
      <c r="J1387" s="9" t="n">
        <v>0</v>
      </c>
      <c r="K1387" s="7" t="inlineStr">
        <is>
          <t>KG</t>
        </is>
      </c>
      <c r="L1387" s="9" t="n">
        <v>1</v>
      </c>
      <c r="M1387" s="7" t="inlineStr">
        <is>
          <t>Uso restrito a estabelecimentos formuladores registrados</t>
        </is>
      </c>
    </row>
    <row r="1388" ht="22" customHeight="1">
      <c r="A1388" s="12" t="inlineStr">
        <is>
          <t>ALV-1384</t>
        </is>
      </c>
      <c r="B1388" s="11" t="n">
        <v>726</v>
      </c>
      <c r="C1388" s="13" t="inlineStr">
        <is>
          <t>Nº 28925</t>
        </is>
      </c>
      <c r="D1388" s="14" t="inlineStr">
        <is>
          <t>S-METOLACHLOR 960 EC BINNONG</t>
        </is>
      </c>
      <c r="E1388" s="13" t="inlineStr">
        <is>
          <t>Herbicida</t>
        </is>
      </c>
      <c r="F1388" s="13" t="inlineStr">
        <is>
          <t>Capim-pé-de-galinha</t>
        </is>
      </c>
      <c r="G1388" s="13" t="inlineStr">
        <is>
          <t>Eleusine indica</t>
        </is>
      </c>
      <c r="H1388" s="13" t="inlineStr">
        <is>
          <t>NÃO</t>
        </is>
      </c>
      <c r="I1388" s="18" t="n">
        <v>1.25</v>
      </c>
      <c r="J1388" s="18" t="n">
        <v>1.75</v>
      </c>
      <c r="K1388" s="13" t="inlineStr">
        <is>
          <t>L/ha</t>
        </is>
      </c>
      <c r="L1388" s="15" t="n">
        <v>1</v>
      </c>
      <c r="M1388" s="13" t="inlineStr">
        <is>
          <t>Aplicar conforme monitoramento e estádio recomendado na bula (HRAC Grupo K3 (15) — Inibidores de VLCFAs)</t>
        </is>
      </c>
    </row>
    <row r="1389" ht="22" customHeight="1">
      <c r="A1389" s="6" t="inlineStr">
        <is>
          <t>ALV-1385</t>
        </is>
      </c>
      <c r="B1389" s="5" t="n">
        <v>726</v>
      </c>
      <c r="C1389" s="7" t="inlineStr">
        <is>
          <t>Nº 28925</t>
        </is>
      </c>
      <c r="D1389" s="8" t="inlineStr">
        <is>
          <t>S-METOLACHLOR 960 EC BINNONG</t>
        </is>
      </c>
      <c r="E1389" s="7" t="inlineStr">
        <is>
          <t>Herbicida</t>
        </is>
      </c>
      <c r="F1389" s="7" t="inlineStr">
        <is>
          <t>Capim-colchão</t>
        </is>
      </c>
      <c r="G1389" s="7" t="inlineStr">
        <is>
          <t>Digitaria horizontalis</t>
        </is>
      </c>
      <c r="H1389" s="7" t="inlineStr">
        <is>
          <t>NÃO</t>
        </is>
      </c>
      <c r="I1389" s="17" t="n">
        <v>1.25</v>
      </c>
      <c r="J1389" s="17" t="n">
        <v>1.5</v>
      </c>
      <c r="K1389" s="7" t="inlineStr">
        <is>
          <t>L/ha</t>
        </is>
      </c>
      <c r="L1389" s="9" t="n">
        <v>1</v>
      </c>
      <c r="M1389" s="7" t="inlineStr">
        <is>
          <t>Aplicar conforme monitoramento e estádio recomendado na bula (HRAC Grupo K3 (15) — Inibidores de VLCFAs)</t>
        </is>
      </c>
    </row>
    <row r="1390" ht="22" customHeight="1">
      <c r="A1390" s="12" t="inlineStr">
        <is>
          <t>ALV-1386</t>
        </is>
      </c>
      <c r="B1390" s="11" t="n">
        <v>726</v>
      </c>
      <c r="C1390" s="13" t="inlineStr">
        <is>
          <t>Nº 28925</t>
        </is>
      </c>
      <c r="D1390" s="14" t="inlineStr">
        <is>
          <t>S-METOLACHLOR 960 EC BINNONG</t>
        </is>
      </c>
      <c r="E1390" s="13" t="inlineStr">
        <is>
          <t>Herbicida</t>
        </is>
      </c>
      <c r="F1390" s="13" t="inlineStr">
        <is>
          <t>Caruru</t>
        </is>
      </c>
      <c r="G1390" s="13" t="inlineStr">
        <is>
          <t>Amaranthus hybridus</t>
        </is>
      </c>
      <c r="H1390" s="13" t="inlineStr">
        <is>
          <t>NÃO</t>
        </is>
      </c>
      <c r="I1390" s="18" t="n">
        <v>1.25</v>
      </c>
      <c r="J1390" s="18" t="n">
        <v>1.75</v>
      </c>
      <c r="K1390" s="13" t="inlineStr">
        <is>
          <t>L/ha</t>
        </is>
      </c>
      <c r="L1390" s="15" t="n">
        <v>1</v>
      </c>
      <c r="M1390" s="13" t="inlineStr">
        <is>
          <t>Aplicar conforme monitoramento e estádio recomendado na bula (HRAC Grupo K3 (15) — Inibidores de VLCFAs)</t>
        </is>
      </c>
    </row>
    <row r="1391" ht="22" customHeight="1">
      <c r="A1391" s="6" t="inlineStr">
        <is>
          <t>ALV-1387</t>
        </is>
      </c>
      <c r="B1391" s="5" t="n">
        <v>727</v>
      </c>
      <c r="C1391" s="7" t="inlineStr">
        <is>
          <t>Nº 2020</t>
        </is>
      </c>
      <c r="D1391" s="8" t="inlineStr">
        <is>
          <t>BUSHI</t>
        </is>
      </c>
      <c r="E1391" s="7" t="inlineStr">
        <is>
          <t>Inseticida</t>
        </is>
      </c>
      <c r="F1391" s="7" t="inlineStr">
        <is>
          <t>Lagarta-do-cartucho</t>
        </is>
      </c>
      <c r="G1391" s="7" t="inlineStr">
        <is>
          <t>Spodoptera frugiperda</t>
        </is>
      </c>
      <c r="H1391" s="7" t="inlineStr">
        <is>
          <t>SIM (*)</t>
        </is>
      </c>
      <c r="I1391" s="17" t="n">
        <v>0.05</v>
      </c>
      <c r="J1391" s="17" t="n">
        <v>0.15</v>
      </c>
      <c r="K1391" s="7" t="inlineStr">
        <is>
          <t>L/ha</t>
        </is>
      </c>
      <c r="L1391" s="9" t="n">
        <v>1</v>
      </c>
      <c r="M1391" s="7" t="inlineStr">
        <is>
          <t>Aplicar conforme monitoramento e estádio recomendado na bula (IRAC Grupo 3A)</t>
        </is>
      </c>
    </row>
    <row r="1392" ht="22" customHeight="1">
      <c r="A1392" s="12" t="inlineStr">
        <is>
          <t>ALV-1388</t>
        </is>
      </c>
      <c r="B1392" s="11" t="n">
        <v>727</v>
      </c>
      <c r="C1392" s="13" t="inlineStr">
        <is>
          <t>Nº 2020</t>
        </is>
      </c>
      <c r="D1392" s="14" t="inlineStr">
        <is>
          <t>BUSHI</t>
        </is>
      </c>
      <c r="E1392" s="13" t="inlineStr">
        <is>
          <t>Inseticida</t>
        </is>
      </c>
      <c r="F1392" s="13" t="inlineStr">
        <is>
          <t>Percevejo-marrom</t>
        </is>
      </c>
      <c r="G1392" s="13" t="inlineStr">
        <is>
          <t>Euschistus heros</t>
        </is>
      </c>
      <c r="H1392" s="13" t="inlineStr">
        <is>
          <t>NÃO</t>
        </is>
      </c>
      <c r="I1392" s="18" t="n">
        <v>0.075</v>
      </c>
      <c r="J1392" s="18" t="n">
        <v>0.15</v>
      </c>
      <c r="K1392" s="13" t="inlineStr">
        <is>
          <t>L/ha</t>
        </is>
      </c>
      <c r="L1392" s="15" t="n">
        <v>1</v>
      </c>
      <c r="M1392" s="13" t="inlineStr">
        <is>
          <t>Aplicar conforme monitoramento e estádio recomendado na bula (IRAC Grupo 3A)</t>
        </is>
      </c>
    </row>
    <row r="1393" ht="22" customHeight="1">
      <c r="A1393" s="6" t="inlineStr">
        <is>
          <t>ALV-1389</t>
        </is>
      </c>
      <c r="B1393" s="5" t="n">
        <v>728</v>
      </c>
      <c r="C1393" s="7" t="inlineStr">
        <is>
          <t>Nº 2710</t>
        </is>
      </c>
      <c r="D1393" s="8" t="inlineStr">
        <is>
          <t>IMIDACLOPRIDO 700 (PRINCIPIO ATIVO)</t>
        </is>
      </c>
      <c r="E1393" s="7" t="inlineStr">
        <is>
          <t>Insumo Industrial</t>
        </is>
      </c>
      <c r="F1393" s="7" t="inlineStr">
        <is>
          <t>Matéria-prima para Formulação Industrial</t>
        </is>
      </c>
      <c r="G1393" s="7" t="inlineStr">
        <is>
          <t>Uso Industrial Credenciado MAPA</t>
        </is>
      </c>
      <c r="H1393" s="7" t="inlineStr">
        <is>
          <t>NÃO</t>
        </is>
      </c>
      <c r="I1393" s="9" t="n">
        <v>0</v>
      </c>
      <c r="J1393" s="9" t="n">
        <v>0</v>
      </c>
      <c r="K1393" s="7" t="inlineStr">
        <is>
          <t>KG</t>
        </is>
      </c>
      <c r="L1393" s="9" t="n">
        <v>1</v>
      </c>
      <c r="M1393" s="7" t="inlineStr">
        <is>
          <t>Uso restrito a estabelecimentos formuladores registrados</t>
        </is>
      </c>
    </row>
    <row r="1394" ht="22" customHeight="1">
      <c r="A1394" s="12" t="inlineStr">
        <is>
          <t>ALV-1390</t>
        </is>
      </c>
      <c r="B1394" s="11" t="n">
        <v>729</v>
      </c>
      <c r="C1394" s="13" t="inlineStr">
        <is>
          <t>Nº 2820</t>
        </is>
      </c>
      <c r="D1394" s="14" t="inlineStr">
        <is>
          <t>LIMPA</t>
        </is>
      </c>
      <c r="E1394" s="13" t="inlineStr">
        <is>
          <t>Herbicida</t>
        </is>
      </c>
      <c r="F1394" s="13" t="inlineStr">
        <is>
          <t>Picão-preto</t>
        </is>
      </c>
      <c r="G1394" s="13" t="inlineStr">
        <is>
          <t>Bidens pilosa</t>
        </is>
      </c>
      <c r="H1394" s="13" t="inlineStr">
        <is>
          <t>SIM (*)</t>
        </is>
      </c>
      <c r="I1394" s="18" t="n">
        <v>2.5</v>
      </c>
      <c r="J1394" s="15" t="n">
        <v>4</v>
      </c>
      <c r="K1394" s="13" t="inlineStr">
        <is>
          <t>L ou kg/ha</t>
        </is>
      </c>
      <c r="L1394" s="15" t="n">
        <v>1</v>
      </c>
      <c r="M1394" s="13" t="inlineStr">
        <is>
          <t>Aplicar conforme monitoramento e estádio recomendado na bula (HRAC Grupo C1 (5) — Inibidores do Fotossistema II)</t>
        </is>
      </c>
    </row>
    <row r="1395" ht="22" customHeight="1">
      <c r="A1395" s="6" t="inlineStr">
        <is>
          <t>ALV-1391</t>
        </is>
      </c>
      <c r="B1395" s="5" t="n">
        <v>729</v>
      </c>
      <c r="C1395" s="7" t="inlineStr">
        <is>
          <t>Nº 2820</t>
        </is>
      </c>
      <c r="D1395" s="8" t="inlineStr">
        <is>
          <t>LIMPA</t>
        </is>
      </c>
      <c r="E1395" s="7" t="inlineStr">
        <is>
          <t>Herbicida</t>
        </is>
      </c>
      <c r="F1395" s="7" t="inlineStr">
        <is>
          <t>Caruru</t>
        </is>
      </c>
      <c r="G1395" s="7" t="inlineStr">
        <is>
          <t>Amaranthus viridis</t>
        </is>
      </c>
      <c r="H1395" s="7" t="inlineStr">
        <is>
          <t>SIM (*)</t>
        </is>
      </c>
      <c r="I1395" s="17" t="n">
        <v>2.5</v>
      </c>
      <c r="J1395" s="17" t="n">
        <v>3.5</v>
      </c>
      <c r="K1395" s="7" t="inlineStr">
        <is>
          <t>L ou kg/ha</t>
        </is>
      </c>
      <c r="L1395" s="9" t="n">
        <v>1</v>
      </c>
      <c r="M1395" s="7" t="inlineStr">
        <is>
          <t>Aplicar conforme monitoramento e estádio recomendado na bula (HRAC Grupo C1 (5) — Inibidores do Fotossistema II)</t>
        </is>
      </c>
    </row>
    <row r="1396" ht="22" customHeight="1">
      <c r="A1396" s="12" t="inlineStr">
        <is>
          <t>ALV-1392</t>
        </is>
      </c>
      <c r="B1396" s="11" t="n">
        <v>729</v>
      </c>
      <c r="C1396" s="13" t="inlineStr">
        <is>
          <t>Nº 2820</t>
        </is>
      </c>
      <c r="D1396" s="14" t="inlineStr">
        <is>
          <t>LIMPA</t>
        </is>
      </c>
      <c r="E1396" s="13" t="inlineStr">
        <is>
          <t>Herbicida</t>
        </is>
      </c>
      <c r="F1396" s="13" t="inlineStr">
        <is>
          <t>Corda-de-viola</t>
        </is>
      </c>
      <c r="G1396" s="13" t="inlineStr">
        <is>
          <t>Ipomoea grandifolia</t>
        </is>
      </c>
      <c r="H1396" s="13" t="inlineStr">
        <is>
          <t>NÃO</t>
        </is>
      </c>
      <c r="I1396" s="15" t="n">
        <v>3</v>
      </c>
      <c r="J1396" s="15" t="n">
        <v>4</v>
      </c>
      <c r="K1396" s="13" t="inlineStr">
        <is>
          <t>L ou kg/ha</t>
        </is>
      </c>
      <c r="L1396" s="15" t="n">
        <v>1</v>
      </c>
      <c r="M1396" s="13" t="inlineStr">
        <is>
          <t>Aplicar conforme monitoramento e estádio recomendado na bula (HRAC Grupo C1 (5) — Inibidores do Fotossistema II)</t>
        </is>
      </c>
    </row>
    <row r="1397" ht="22" customHeight="1">
      <c r="A1397" s="6" t="inlineStr">
        <is>
          <t>ALV-1393</t>
        </is>
      </c>
      <c r="B1397" s="5" t="n">
        <v>730</v>
      </c>
      <c r="C1397" s="7" t="inlineStr">
        <is>
          <t>Nº 18723</t>
        </is>
      </c>
      <c r="D1397" s="8" t="inlineStr">
        <is>
          <t>S-METOLACLORO (PRINCIPIO ATIVO)</t>
        </is>
      </c>
      <c r="E1397" s="7" t="inlineStr">
        <is>
          <t>Insumo Industrial</t>
        </is>
      </c>
      <c r="F1397" s="7" t="inlineStr">
        <is>
          <t>Matéria-prima para Formulação Industrial</t>
        </is>
      </c>
      <c r="G1397" s="7" t="inlineStr">
        <is>
          <t>Uso Industrial Credenciado MAPA</t>
        </is>
      </c>
      <c r="H1397" s="7" t="inlineStr">
        <is>
          <t>NÃO</t>
        </is>
      </c>
      <c r="I1397" s="9" t="n">
        <v>0</v>
      </c>
      <c r="J1397" s="9" t="n">
        <v>0</v>
      </c>
      <c r="K1397" s="7" t="inlineStr">
        <is>
          <t>L</t>
        </is>
      </c>
      <c r="L1397" s="9" t="n">
        <v>1</v>
      </c>
      <c r="M1397" s="7" t="inlineStr">
        <is>
          <t>Uso restrito a estabelecimentos formuladores registrados</t>
        </is>
      </c>
    </row>
    <row r="1398" ht="22" customHeight="1">
      <c r="A1398" s="12" t="inlineStr">
        <is>
          <t>ALV-1394</t>
        </is>
      </c>
      <c r="B1398" s="11" t="n">
        <v>731</v>
      </c>
      <c r="C1398" s="13" t="inlineStr">
        <is>
          <t>Nº 14518</t>
        </is>
      </c>
      <c r="D1398" s="14" t="inlineStr">
        <is>
          <t>IMAZETAPIR 700 (PRINCIPIO ATIVO)</t>
        </is>
      </c>
      <c r="E1398" s="13" t="inlineStr">
        <is>
          <t>Insumo Industrial</t>
        </is>
      </c>
      <c r="F1398" s="13" t="inlineStr">
        <is>
          <t>Matéria-prima para Formulação Industrial</t>
        </is>
      </c>
      <c r="G1398" s="13" t="inlineStr">
        <is>
          <t>Uso Industrial Credenciado MAPA</t>
        </is>
      </c>
      <c r="H1398" s="13" t="inlineStr">
        <is>
          <t>NÃO</t>
        </is>
      </c>
      <c r="I1398" s="15" t="n">
        <v>0</v>
      </c>
      <c r="J1398" s="15" t="n">
        <v>0</v>
      </c>
      <c r="K1398" s="13" t="inlineStr">
        <is>
          <t>KG</t>
        </is>
      </c>
      <c r="L1398" s="15" t="n">
        <v>1</v>
      </c>
      <c r="M1398" s="13" t="inlineStr">
        <is>
          <t>Uso restrito a estabelecimentos formuladores registrados</t>
        </is>
      </c>
    </row>
    <row r="1399" ht="22" customHeight="1">
      <c r="A1399" s="6" t="inlineStr">
        <is>
          <t>ALV-1395</t>
        </is>
      </c>
      <c r="B1399" s="5" t="n">
        <v>732</v>
      </c>
      <c r="C1399" s="7" t="inlineStr">
        <is>
          <t>Nº 9210</t>
        </is>
      </c>
      <c r="D1399" s="8" t="inlineStr">
        <is>
          <t>PIRACLOSTROBINA 133 + EPOXICONAZOL 50 (PR. ATIVO)</t>
        </is>
      </c>
      <c r="E1399" s="7" t="inlineStr">
        <is>
          <t>Fungicida</t>
        </is>
      </c>
      <c r="F1399" s="7" t="inlineStr">
        <is>
          <t>Complexo de Doenças Foliares e Ferrugem</t>
        </is>
      </c>
      <c r="G1399" s="7" t="inlineStr">
        <is>
          <t>Phakopsora pachyrhizi / Corynespora</t>
        </is>
      </c>
      <c r="H1399" s="7" t="inlineStr">
        <is>
          <t>NÃO</t>
        </is>
      </c>
      <c r="I1399" s="17" t="n">
        <v>0.3</v>
      </c>
      <c r="J1399" s="17" t="n">
        <v>1.5</v>
      </c>
      <c r="K1399" s="7" t="inlineStr">
        <is>
          <t>L ou kg/ha</t>
        </is>
      </c>
      <c r="L1399" s="9" t="n">
        <v>1</v>
      </c>
      <c r="M1399" s="7" t="inlineStr">
        <is>
          <t>Aplicar conforme monitoramento e estádio recomendado na bula (Classificação FRAC Oficial conforme Bula)</t>
        </is>
      </c>
    </row>
    <row r="1400" ht="22" customHeight="1">
      <c r="A1400" s="12" t="inlineStr">
        <is>
          <t>ALV-1396</t>
        </is>
      </c>
      <c r="B1400" s="11" t="n">
        <v>733</v>
      </c>
      <c r="C1400" s="13" t="inlineStr">
        <is>
          <t>SIPEAGRO (UF-XXXXX)</t>
        </is>
      </c>
      <c r="D1400" s="14" t="inlineStr">
        <is>
          <t>FFALM 00 45 00 + 160 BBD - MOSAIC</t>
        </is>
      </c>
      <c r="E1400" s="13" t="inlineStr">
        <is>
          <t>Fertilizante Mineral Simples (Fosfatado)</t>
        </is>
      </c>
      <c r="F1400" s="13" t="inlineStr">
        <is>
          <t>Nutrição e Correção de Deficiência Mineral</t>
        </is>
      </c>
      <c r="G1400" s="13" t="inlineStr">
        <is>
          <t>Nutrição Vegetal</t>
        </is>
      </c>
      <c r="H1400" s="13" t="inlineStr">
        <is>
          <t>NÃO</t>
        </is>
      </c>
      <c r="I1400" s="15" t="n">
        <v>1</v>
      </c>
      <c r="J1400" s="15" t="n">
        <v>250</v>
      </c>
      <c r="K1400" s="13" t="inlineStr">
        <is>
          <t>kg ou L/ha</t>
        </is>
      </c>
      <c r="L1400" s="15" t="n">
        <v>1</v>
      </c>
      <c r="M1400" s="13" t="inlineStr">
        <is>
          <t>Aplicar conforme monitoramento e estádio recomendado na bula (Nutrição Vegetal SIPEAGRO)</t>
        </is>
      </c>
    </row>
    <row r="1401" ht="22" customHeight="1">
      <c r="A1401" s="6" t="inlineStr">
        <is>
          <t>ALV-1397</t>
        </is>
      </c>
      <c r="B1401" s="5" t="n">
        <v>734</v>
      </c>
      <c r="C1401" s="7" t="inlineStr">
        <is>
          <t>Nº 34725</t>
        </is>
      </c>
      <c r="D1401" s="8" t="inlineStr">
        <is>
          <t>TRIFLOXISTROBINA 150+PROTIOCONAZOL 175 (P. ATIVO)</t>
        </is>
      </c>
      <c r="E1401" s="7" t="inlineStr">
        <is>
          <t>Fungicida</t>
        </is>
      </c>
      <c r="F1401" s="7" t="inlineStr">
        <is>
          <t>Ferrugem-asiática</t>
        </is>
      </c>
      <c r="G1401" s="7" t="inlineStr">
        <is>
          <t>Phakopsora pachyrhizi</t>
        </is>
      </c>
      <c r="H1401" s="7" t="inlineStr">
        <is>
          <t>NÃO</t>
        </is>
      </c>
      <c r="I1401" s="17" t="n">
        <v>0.35</v>
      </c>
      <c r="J1401" s="17" t="n">
        <v>0.5</v>
      </c>
      <c r="K1401" s="7" t="inlineStr">
        <is>
          <t>L/ha</t>
        </is>
      </c>
      <c r="L1401" s="9" t="n">
        <v>1</v>
      </c>
      <c r="M1401" s="7" t="inlineStr">
        <is>
          <t>Aplicar conforme monitoramento e estádio recomendado na bula (FRAC Grupo 3 (DMI))</t>
        </is>
      </c>
    </row>
    <row r="1402" ht="22" customHeight="1">
      <c r="A1402" s="12" t="inlineStr">
        <is>
          <t>ALV-1398</t>
        </is>
      </c>
      <c r="B1402" s="11" t="n">
        <v>734</v>
      </c>
      <c r="C1402" s="13" t="inlineStr">
        <is>
          <t>Nº 34725</t>
        </is>
      </c>
      <c r="D1402" s="14" t="inlineStr">
        <is>
          <t>TRIFLOXISTROBINA 150+PROTIOCONAZOL 175 (P. ATIVO)</t>
        </is>
      </c>
      <c r="E1402" s="13" t="inlineStr">
        <is>
          <t>Fungicida</t>
        </is>
      </c>
      <c r="F1402" s="13" t="inlineStr">
        <is>
          <t>Mancha-alvo</t>
        </is>
      </c>
      <c r="G1402" s="13" t="inlineStr">
        <is>
          <t>Corynespora cassiicola</t>
        </is>
      </c>
      <c r="H1402" s="13" t="inlineStr">
        <is>
          <t>NÃO</t>
        </is>
      </c>
      <c r="I1402" s="18" t="n">
        <v>0.4</v>
      </c>
      <c r="J1402" s="18" t="n">
        <v>0.5</v>
      </c>
      <c r="K1402" s="13" t="inlineStr">
        <is>
          <t>L/ha</t>
        </is>
      </c>
      <c r="L1402" s="15" t="n">
        <v>1</v>
      </c>
      <c r="M1402" s="13" t="inlineStr">
        <is>
          <t>Aplicar conforme monitoramento e estádio recomendado na bula (FRAC Grupo 3 (DMI))</t>
        </is>
      </c>
    </row>
    <row r="1403" ht="22" customHeight="1">
      <c r="A1403" s="6" t="inlineStr">
        <is>
          <t>ALV-1399</t>
        </is>
      </c>
      <c r="B1403" s="5" t="n">
        <v>735</v>
      </c>
      <c r="C1403" s="7" t="inlineStr">
        <is>
          <t>Nº 28520</t>
        </is>
      </c>
      <c r="D1403" s="8" t="inlineStr">
        <is>
          <t>GLIFOSATO 720 (PRINCIPIO ATIVO)</t>
        </is>
      </c>
      <c r="E1403" s="7" t="inlineStr">
        <is>
          <t>Insumo Industrial</t>
        </is>
      </c>
      <c r="F1403" s="7" t="inlineStr">
        <is>
          <t>Matéria-prima para Formulação Industrial</t>
        </is>
      </c>
      <c r="G1403" s="7" t="inlineStr">
        <is>
          <t>Uso Industrial Credenciado MAPA</t>
        </is>
      </c>
      <c r="H1403" s="7" t="inlineStr">
        <is>
          <t>NÃO</t>
        </is>
      </c>
      <c r="I1403" s="9" t="n">
        <v>0</v>
      </c>
      <c r="J1403" s="9" t="n">
        <v>0</v>
      </c>
      <c r="K1403" s="7" t="inlineStr">
        <is>
          <t>KG</t>
        </is>
      </c>
      <c r="L1403" s="9" t="n">
        <v>1</v>
      </c>
      <c r="M1403" s="7" t="inlineStr">
        <is>
          <t>Uso restrito a estabelecimentos formuladores registrados</t>
        </is>
      </c>
    </row>
    <row r="1404" ht="22" customHeight="1">
      <c r="A1404" s="12" t="inlineStr">
        <is>
          <t>ALV-1400</t>
        </is>
      </c>
      <c r="B1404" s="11" t="n">
        <v>736</v>
      </c>
      <c r="C1404" s="13" t="inlineStr">
        <is>
          <t>Nº 14421</t>
        </is>
      </c>
      <c r="D1404" s="14" t="inlineStr">
        <is>
          <t>LEALTY FS</t>
        </is>
      </c>
      <c r="E1404" s="13" t="inlineStr">
        <is>
          <t>Inseticida e Cupinicida (Fipronil)</t>
        </is>
      </c>
      <c r="F1404" s="13" t="inlineStr">
        <is>
          <t>Coró</t>
        </is>
      </c>
      <c r="G1404" s="13" t="inlineStr">
        <is>
          <t>Phyllophaga cuyabana</t>
        </is>
      </c>
      <c r="H1404" s="13" t="inlineStr">
        <is>
          <t>NÃO</t>
        </is>
      </c>
      <c r="I1404" s="18" t="n">
        <v>0.1</v>
      </c>
      <c r="J1404" s="18" t="n">
        <v>0.2</v>
      </c>
      <c r="K1404" s="13" t="inlineStr">
        <is>
          <t>L/100kg sem.</t>
        </is>
      </c>
      <c r="L1404" s="15" t="n">
        <v>1</v>
      </c>
      <c r="M1404" s="13" t="inlineStr">
        <is>
          <t>Aplicar conforme monitoramento e estádio recomendado na bula (IRAC Grupo 2B)</t>
        </is>
      </c>
    </row>
    <row r="1405" ht="22" customHeight="1">
      <c r="A1405" s="6" t="inlineStr">
        <is>
          <t>ALV-1401</t>
        </is>
      </c>
      <c r="B1405" s="5" t="n">
        <v>736</v>
      </c>
      <c r="C1405" s="7" t="inlineStr">
        <is>
          <t>Nº 14421</t>
        </is>
      </c>
      <c r="D1405" s="8" t="inlineStr">
        <is>
          <t>LEALTY FS</t>
        </is>
      </c>
      <c r="E1405" s="7" t="inlineStr">
        <is>
          <t>Inseticida e Cupinicida (Fipronil)</t>
        </is>
      </c>
      <c r="F1405" s="7" t="inlineStr">
        <is>
          <t>Lagarta-elasmo</t>
        </is>
      </c>
      <c r="G1405" s="7" t="inlineStr">
        <is>
          <t>Elasmopalpus lignosellus</t>
        </is>
      </c>
      <c r="H1405" s="7" t="inlineStr">
        <is>
          <t>NÃO</t>
        </is>
      </c>
      <c r="I1405" s="17" t="n">
        <v>0.1</v>
      </c>
      <c r="J1405" s="17" t="n">
        <v>0.2</v>
      </c>
      <c r="K1405" s="7" t="inlineStr">
        <is>
          <t>L/100kg sem.</t>
        </is>
      </c>
      <c r="L1405" s="9" t="n">
        <v>1</v>
      </c>
      <c r="M1405" s="7" t="inlineStr">
        <is>
          <t>Aplicar conforme monitoramento e estádio recomendado na bula (IRAC Grupo 2B)</t>
        </is>
      </c>
    </row>
    <row r="1406" ht="22" customHeight="1">
      <c r="A1406" s="12" t="inlineStr">
        <is>
          <t>ALV-1402</t>
        </is>
      </c>
      <c r="B1406" s="11" t="n">
        <v>736</v>
      </c>
      <c r="C1406" s="13" t="inlineStr">
        <is>
          <t>Nº 14421</t>
        </is>
      </c>
      <c r="D1406" s="14" t="inlineStr">
        <is>
          <t>LEALTY FS</t>
        </is>
      </c>
      <c r="E1406" s="13" t="inlineStr">
        <is>
          <t>Inseticida e Cupinicida (Fipronil)</t>
        </is>
      </c>
      <c r="F1406" s="13" t="inlineStr">
        <is>
          <t>Cupim-de-montículo</t>
        </is>
      </c>
      <c r="G1406" s="13" t="inlineStr">
        <is>
          <t>Procornitermes triacifer</t>
        </is>
      </c>
      <c r="H1406" s="13" t="inlineStr">
        <is>
          <t>NÃO</t>
        </is>
      </c>
      <c r="I1406" s="18" t="n">
        <v>0.05</v>
      </c>
      <c r="J1406" s="18" t="n">
        <v>0.2</v>
      </c>
      <c r="K1406" s="13" t="inlineStr">
        <is>
          <t>kg ou L/ha</t>
        </is>
      </c>
      <c r="L1406" s="15" t="n">
        <v>1</v>
      </c>
      <c r="M1406" s="13" t="inlineStr">
        <is>
          <t>Aplicar conforme monitoramento e estádio recomendado na bula (IRAC Grupo 2B)</t>
        </is>
      </c>
    </row>
    <row r="1407" ht="22" customHeight="1">
      <c r="A1407" s="6" t="inlineStr">
        <is>
          <t>ALV-1403</t>
        </is>
      </c>
      <c r="B1407" s="5" t="n">
        <v>737</v>
      </c>
      <c r="C1407" s="7" t="inlineStr">
        <is>
          <t>Nº 25224</t>
        </is>
      </c>
      <c r="D1407" s="8" t="inlineStr">
        <is>
          <t>CLETODIM 240 EC BRILLIANCE</t>
        </is>
      </c>
      <c r="E1407" s="7" t="inlineStr">
        <is>
          <t>Herbicida</t>
        </is>
      </c>
      <c r="F1407" s="7" t="inlineStr">
        <is>
          <t>Capim-amargoso</t>
        </is>
      </c>
      <c r="G1407" s="7" t="inlineStr">
        <is>
          <t>Digitaria insularis</t>
        </is>
      </c>
      <c r="H1407" s="7" t="inlineStr">
        <is>
          <t>SIM (*)</t>
        </is>
      </c>
      <c r="I1407" s="17" t="n">
        <v>0.45</v>
      </c>
      <c r="J1407" s="17" t="n">
        <v>0.85</v>
      </c>
      <c r="K1407" s="7" t="inlineStr">
        <is>
          <t>L/ha</t>
        </is>
      </c>
      <c r="L1407" s="9" t="n">
        <v>1</v>
      </c>
      <c r="M1407" s="7" t="inlineStr">
        <is>
          <t>Aplicar conforme monitoramento e estádio recomendado na bula (HRAC Grupo A (1) — Inibidores da ACCase)</t>
        </is>
      </c>
    </row>
    <row r="1408" ht="22" customHeight="1">
      <c r="A1408" s="12" t="inlineStr">
        <is>
          <t>ALV-1404</t>
        </is>
      </c>
      <c r="B1408" s="11" t="n">
        <v>737</v>
      </c>
      <c r="C1408" s="13" t="inlineStr">
        <is>
          <t>Nº 25224</t>
        </is>
      </c>
      <c r="D1408" s="14" t="inlineStr">
        <is>
          <t>CLETODIM 240 EC BRILLIANCE</t>
        </is>
      </c>
      <c r="E1408" s="13" t="inlineStr">
        <is>
          <t>Herbicida</t>
        </is>
      </c>
      <c r="F1408" s="13" t="inlineStr">
        <is>
          <t>Capim-pé-de-galinha</t>
        </is>
      </c>
      <c r="G1408" s="13" t="inlineStr">
        <is>
          <t>Eleusine indica</t>
        </is>
      </c>
      <c r="H1408" s="13" t="inlineStr">
        <is>
          <t>SIM (*)</t>
        </is>
      </c>
      <c r="I1408" s="18" t="n">
        <v>0.35</v>
      </c>
      <c r="J1408" s="18" t="n">
        <v>0.45</v>
      </c>
      <c r="K1408" s="13" t="inlineStr">
        <is>
          <t>L/ha</t>
        </is>
      </c>
      <c r="L1408" s="15" t="n">
        <v>1</v>
      </c>
      <c r="M1408" s="13" t="inlineStr">
        <is>
          <t>Aplicar conforme monitoramento e estádio recomendado na bula (HRAC Grupo A (1) — Inibidores da ACCase)</t>
        </is>
      </c>
    </row>
    <row r="1409" ht="22" customHeight="1">
      <c r="A1409" s="6" t="inlineStr">
        <is>
          <t>ALV-1405</t>
        </is>
      </c>
      <c r="B1409" s="5" t="n">
        <v>737</v>
      </c>
      <c r="C1409" s="7" t="inlineStr">
        <is>
          <t>Nº 25224</t>
        </is>
      </c>
      <c r="D1409" s="8" t="inlineStr">
        <is>
          <t>CLETODIM 240 EC BRILLIANCE</t>
        </is>
      </c>
      <c r="E1409" s="7" t="inlineStr">
        <is>
          <t>Herbicida</t>
        </is>
      </c>
      <c r="F1409" s="7" t="inlineStr">
        <is>
          <t>Milho-voluntário (Tiguera)</t>
        </is>
      </c>
      <c r="G1409" s="7" t="inlineStr">
        <is>
          <t>Zea mays</t>
        </is>
      </c>
      <c r="H1409" s="7" t="inlineStr">
        <is>
          <t>NÃO</t>
        </is>
      </c>
      <c r="I1409" s="17" t="n">
        <v>0.4</v>
      </c>
      <c r="J1409" s="17" t="n">
        <v>0.6</v>
      </c>
      <c r="K1409" s="7" t="inlineStr">
        <is>
          <t>L/ha</t>
        </is>
      </c>
      <c r="L1409" s="9" t="n">
        <v>1</v>
      </c>
      <c r="M1409" s="7" t="inlineStr">
        <is>
          <t>Aplicar conforme monitoramento e estádio recomendado na bula (HRAC Grupo A (1) — Inibidores da ACCase)</t>
        </is>
      </c>
    </row>
    <row r="1410" ht="22" customHeight="1">
      <c r="A1410" s="12" t="inlineStr">
        <is>
          <t>ALV-1406</t>
        </is>
      </c>
      <c r="B1410" s="11" t="n">
        <v>738</v>
      </c>
      <c r="C1410" s="13" t="inlineStr">
        <is>
          <t>Nº 16223</t>
        </is>
      </c>
      <c r="D1410" s="14" t="inlineStr">
        <is>
          <t>COMPRAY</t>
        </is>
      </c>
      <c r="E1410" s="13" t="inlineStr">
        <is>
          <t>Herbicida</t>
        </is>
      </c>
      <c r="F1410" s="13" t="inlineStr">
        <is>
          <t>Capim-colchão</t>
        </is>
      </c>
      <c r="G1410" s="13" t="inlineStr">
        <is>
          <t>Digitaria horizontalis</t>
        </is>
      </c>
      <c r="H1410" s="13" t="inlineStr">
        <is>
          <t>NÃO</t>
        </is>
      </c>
      <c r="I1410" s="18" t="n">
        <v>1.5</v>
      </c>
      <c r="J1410" s="18" t="n">
        <v>2.5</v>
      </c>
      <c r="K1410" s="13" t="inlineStr">
        <is>
          <t>L/ha</t>
        </is>
      </c>
      <c r="L1410" s="15" t="n">
        <v>1</v>
      </c>
      <c r="M1410" s="13" t="inlineStr">
        <is>
          <t>Aplicar conforme monitoramento e estádio recomendado na bula (HRAC Grupo F4 (13) — Inibidores da DOXP sintase)</t>
        </is>
      </c>
    </row>
    <row r="1411" ht="22" customHeight="1">
      <c r="A1411" s="6" t="inlineStr">
        <is>
          <t>ALV-1407</t>
        </is>
      </c>
      <c r="B1411" s="5" t="n">
        <v>738</v>
      </c>
      <c r="C1411" s="7" t="inlineStr">
        <is>
          <t>Nº 16223</t>
        </is>
      </c>
      <c r="D1411" s="8" t="inlineStr">
        <is>
          <t>COMPRAY</t>
        </is>
      </c>
      <c r="E1411" s="7" t="inlineStr">
        <is>
          <t>Herbicida</t>
        </is>
      </c>
      <c r="F1411" s="7" t="inlineStr">
        <is>
          <t>Capim-marmelada</t>
        </is>
      </c>
      <c r="G1411" s="7" t="inlineStr">
        <is>
          <t>Brachiaria plantaginea</t>
        </is>
      </c>
      <c r="H1411" s="7" t="inlineStr">
        <is>
          <t>NÃO</t>
        </is>
      </c>
      <c r="I1411" s="17" t="n">
        <v>1.5</v>
      </c>
      <c r="J1411" s="17" t="n">
        <v>2.5</v>
      </c>
      <c r="K1411" s="7" t="inlineStr">
        <is>
          <t>L/ha</t>
        </is>
      </c>
      <c r="L1411" s="9" t="n">
        <v>1</v>
      </c>
      <c r="M1411" s="7" t="inlineStr">
        <is>
          <t>Aplicar conforme monitoramento e estádio recomendado na bula (HRAC Grupo F4 (13) — Inibidores da DOXP sintase)</t>
        </is>
      </c>
    </row>
    <row r="1412" ht="22" customHeight="1">
      <c r="A1412" s="12" t="inlineStr">
        <is>
          <t>ALV-1408</t>
        </is>
      </c>
      <c r="B1412" s="11" t="n">
        <v>738</v>
      </c>
      <c r="C1412" s="13" t="inlineStr">
        <is>
          <t>Nº 16223</t>
        </is>
      </c>
      <c r="D1412" s="14" t="inlineStr">
        <is>
          <t>COMPRAY</t>
        </is>
      </c>
      <c r="E1412" s="13" t="inlineStr">
        <is>
          <t>Herbicida</t>
        </is>
      </c>
      <c r="F1412" s="13" t="inlineStr">
        <is>
          <t>Capim-arroz</t>
        </is>
      </c>
      <c r="G1412" s="13" t="inlineStr">
        <is>
          <t>Echinochloa crusgalli</t>
        </is>
      </c>
      <c r="H1412" s="13" t="inlineStr">
        <is>
          <t>SIM (*)</t>
        </is>
      </c>
      <c r="I1412" s="15" t="n">
        <v>1</v>
      </c>
      <c r="J1412" s="15" t="n">
        <v>2</v>
      </c>
      <c r="K1412" s="13" t="inlineStr">
        <is>
          <t>L/ha</t>
        </is>
      </c>
      <c r="L1412" s="15" t="n">
        <v>1</v>
      </c>
      <c r="M1412" s="13" t="inlineStr">
        <is>
          <t>Aplicar conforme monitoramento e estádio recomendado na bula (HRAC Grupo F4 (13) — Inibidores da DOXP sintase)</t>
        </is>
      </c>
    </row>
    <row r="1413" ht="22" customHeight="1">
      <c r="A1413" s="6" t="inlineStr">
        <is>
          <t>ALV-1409</t>
        </is>
      </c>
      <c r="B1413" s="5" t="n">
        <v>739</v>
      </c>
      <c r="C1413" s="7" t="inlineStr">
        <is>
          <t>Nº 34725</t>
        </is>
      </c>
      <c r="D1413" s="8" t="inlineStr">
        <is>
          <t>SPIREEL</t>
        </is>
      </c>
      <c r="E1413" s="7" t="inlineStr">
        <is>
          <t>Fungicida</t>
        </is>
      </c>
      <c r="F1413" s="7" t="inlineStr">
        <is>
          <t>Ferrugem-asiática</t>
        </is>
      </c>
      <c r="G1413" s="7" t="inlineStr">
        <is>
          <t>Phakopsora pachyrhizi</t>
        </is>
      </c>
      <c r="H1413" s="7" t="inlineStr">
        <is>
          <t>NÃO</t>
        </is>
      </c>
      <c r="I1413" s="17" t="n">
        <v>0.35</v>
      </c>
      <c r="J1413" s="17" t="n">
        <v>0.5</v>
      </c>
      <c r="K1413" s="7" t="inlineStr">
        <is>
          <t>L/ha</t>
        </is>
      </c>
      <c r="L1413" s="9" t="n">
        <v>1</v>
      </c>
      <c r="M1413" s="7" t="inlineStr">
        <is>
          <t>Aplicar conforme monitoramento e estádio recomendado na bula (FRAC Grupo 3 (DMI))</t>
        </is>
      </c>
    </row>
    <row r="1414" ht="22" customHeight="1">
      <c r="A1414" s="12" t="inlineStr">
        <is>
          <t>ALV-1410</t>
        </is>
      </c>
      <c r="B1414" s="11" t="n">
        <v>739</v>
      </c>
      <c r="C1414" s="13" t="inlineStr">
        <is>
          <t>Nº 34725</t>
        </is>
      </c>
      <c r="D1414" s="14" t="inlineStr">
        <is>
          <t>SPIREEL</t>
        </is>
      </c>
      <c r="E1414" s="13" t="inlineStr">
        <is>
          <t>Fungicida</t>
        </is>
      </c>
      <c r="F1414" s="13" t="inlineStr">
        <is>
          <t>Mancha-alvo</t>
        </is>
      </c>
      <c r="G1414" s="13" t="inlineStr">
        <is>
          <t>Corynespora cassiicola</t>
        </is>
      </c>
      <c r="H1414" s="13" t="inlineStr">
        <is>
          <t>NÃO</t>
        </is>
      </c>
      <c r="I1414" s="18" t="n">
        <v>0.4</v>
      </c>
      <c r="J1414" s="18" t="n">
        <v>0.5</v>
      </c>
      <c r="K1414" s="13" t="inlineStr">
        <is>
          <t>L/ha</t>
        </is>
      </c>
      <c r="L1414" s="15" t="n">
        <v>1</v>
      </c>
      <c r="M1414" s="13" t="inlineStr">
        <is>
          <t>Aplicar conforme monitoramento e estádio recomendado na bula (FRAC Grupo 3 (DMI))</t>
        </is>
      </c>
    </row>
    <row r="1415" ht="22" customHeight="1">
      <c r="A1415" s="6" t="inlineStr">
        <is>
          <t>ALV-1411</t>
        </is>
      </c>
      <c r="B1415" s="5" t="n">
        <v>740</v>
      </c>
      <c r="C1415" s="7" t="inlineStr">
        <is>
          <t>Nº 14518</t>
        </is>
      </c>
      <c r="D1415" s="8" t="inlineStr">
        <is>
          <t>SOYACLEAN XTRA</t>
        </is>
      </c>
      <c r="E1415" s="7" t="inlineStr">
        <is>
          <t>Herbicida</t>
        </is>
      </c>
      <c r="F1415" s="7" t="inlineStr">
        <is>
          <t>Plantas Daninhas Mono e Dicotiledôneas</t>
        </is>
      </c>
      <c r="G1415" s="7" t="inlineStr">
        <is>
          <t>Flora Infestante</t>
        </is>
      </c>
      <c r="H1415" s="7" t="inlineStr">
        <is>
          <t>NÃO</t>
        </is>
      </c>
      <c r="I1415" s="17" t="n">
        <v>0.25</v>
      </c>
      <c r="J1415" s="9" t="n">
        <v>2</v>
      </c>
      <c r="K1415" s="7" t="inlineStr">
        <is>
          <t>L ou kg/ha</t>
        </is>
      </c>
      <c r="L1415" s="9" t="n">
        <v>1</v>
      </c>
      <c r="M1415" s="7" t="inlineStr">
        <is>
          <t>Aplicar conforme monitoramento e estádio recomendado na bula (Classificação HRAC Oficial conforme Bula)</t>
        </is>
      </c>
    </row>
    <row r="1416" ht="22" customHeight="1">
      <c r="A1416" s="12" t="inlineStr">
        <is>
          <t>ALV-1412</t>
        </is>
      </c>
      <c r="B1416" s="11" t="n">
        <v>741</v>
      </c>
      <c r="C1416" s="13" t="inlineStr">
        <is>
          <t>Nº 31522</t>
        </is>
      </c>
      <c r="D1416" s="14" t="inlineStr">
        <is>
          <t>MITTO 900 (5X1KG)X4 (IMP) RW (VALIDAR)</t>
        </is>
      </c>
      <c r="E1416" s="13" t="inlineStr">
        <is>
          <t>Inseticida</t>
        </is>
      </c>
      <c r="F1416" s="13" t="inlineStr">
        <is>
          <t>Lagarta-helicoverpa</t>
        </is>
      </c>
      <c r="G1416" s="13" t="inlineStr">
        <is>
          <t>Helicoverpa armigera</t>
        </is>
      </c>
      <c r="H1416" s="13" t="inlineStr">
        <is>
          <t>NÃO</t>
        </is>
      </c>
      <c r="I1416" s="18" t="n">
        <v>0.2</v>
      </c>
      <c r="J1416" s="18" t="n">
        <v>0.5</v>
      </c>
      <c r="K1416" s="13" t="inlineStr">
        <is>
          <t>kg ou L/ha</t>
        </is>
      </c>
      <c r="L1416" s="15" t="n">
        <v>1</v>
      </c>
      <c r="M1416" s="13" t="inlineStr">
        <is>
          <t>Aplicar conforme monitoramento e estádio recomendado na bula (IRAC Grupo 1A)</t>
        </is>
      </c>
    </row>
    <row r="1417" ht="22" customHeight="1">
      <c r="A1417" s="6" t="inlineStr">
        <is>
          <t>ALV-1413</t>
        </is>
      </c>
      <c r="B1417" s="5" t="n">
        <v>741</v>
      </c>
      <c r="C1417" s="7" t="inlineStr">
        <is>
          <t>Nº 31522</t>
        </is>
      </c>
      <c r="D1417" s="8" t="inlineStr">
        <is>
          <t>MITTO 900 (5X1KG)X4 (IMP) RW (VALIDAR)</t>
        </is>
      </c>
      <c r="E1417" s="7" t="inlineStr">
        <is>
          <t>Inseticida</t>
        </is>
      </c>
      <c r="F1417" s="7" t="inlineStr">
        <is>
          <t>Lagarta-do-cartucho</t>
        </is>
      </c>
      <c r="G1417" s="7" t="inlineStr">
        <is>
          <t>Spodoptera frugiperda</t>
        </is>
      </c>
      <c r="H1417" s="7" t="inlineStr">
        <is>
          <t>NÃO</t>
        </is>
      </c>
      <c r="I1417" s="17" t="n">
        <v>0.15</v>
      </c>
      <c r="J1417" s="17" t="n">
        <v>0.3</v>
      </c>
      <c r="K1417" s="7" t="inlineStr">
        <is>
          <t>kg ou L/ha</t>
        </is>
      </c>
      <c r="L1417" s="9" t="n">
        <v>1</v>
      </c>
      <c r="M1417" s="7" t="inlineStr">
        <is>
          <t>Aplicar conforme monitoramento e estádio recomendado na bula (IRAC Grupo 1A)</t>
        </is>
      </c>
    </row>
    <row r="1418" ht="22" customHeight="1">
      <c r="A1418" s="12" t="inlineStr">
        <is>
          <t>ALV-1414</t>
        </is>
      </c>
      <c r="B1418" s="11" t="n">
        <v>741</v>
      </c>
      <c r="C1418" s="13" t="inlineStr">
        <is>
          <t>Nº 31522</t>
        </is>
      </c>
      <c r="D1418" s="14" t="inlineStr">
        <is>
          <t>MITTO 900 (5X1KG)X4 (IMP) RW (VALIDAR)</t>
        </is>
      </c>
      <c r="E1418" s="13" t="inlineStr">
        <is>
          <t>Inseticida</t>
        </is>
      </c>
      <c r="F1418" s="13" t="inlineStr">
        <is>
          <t>Lagarta-da-soja</t>
        </is>
      </c>
      <c r="G1418" s="13" t="inlineStr">
        <is>
          <t>Anticarsia gemmatalis</t>
        </is>
      </c>
      <c r="H1418" s="13" t="inlineStr">
        <is>
          <t>NÃO</t>
        </is>
      </c>
      <c r="I1418" s="18" t="n">
        <v>0.1</v>
      </c>
      <c r="J1418" s="18" t="n">
        <v>0.2</v>
      </c>
      <c r="K1418" s="13" t="inlineStr">
        <is>
          <t>kg ou L/ha</t>
        </is>
      </c>
      <c r="L1418" s="15" t="n">
        <v>1</v>
      </c>
      <c r="M1418" s="13" t="inlineStr">
        <is>
          <t>Aplicar conforme monitoramento e estádio recomendado na bula (IRAC Grupo 1A)</t>
        </is>
      </c>
    </row>
    <row r="1419" ht="22" customHeight="1">
      <c r="A1419" s="6" t="inlineStr">
        <is>
          <t>ALV-1415</t>
        </is>
      </c>
      <c r="B1419" s="5" t="n">
        <v>742</v>
      </c>
      <c r="C1419" s="7" t="inlineStr">
        <is>
          <t>SIPEAGRO (UF-XXXXX)</t>
        </is>
      </c>
      <c r="D1419" s="8" t="inlineStr">
        <is>
          <t>BORO GRANULADO 14.5%B - DREYMOOR</t>
        </is>
      </c>
      <c r="E1419" s="7" t="inlineStr">
        <is>
          <t>Fertilizante Químico Inorgânico (Matéria-Prima Cap. 28/38)</t>
        </is>
      </c>
      <c r="F1419" s="7" t="inlineStr">
        <is>
          <t>Nutrição e Correção de Deficiência Mineral</t>
        </is>
      </c>
      <c r="G1419" s="7" t="inlineStr">
        <is>
          <t>Nutrição Vegetal</t>
        </is>
      </c>
      <c r="H1419" s="7" t="inlineStr">
        <is>
          <t>NÃO</t>
        </is>
      </c>
      <c r="I1419" s="9" t="n">
        <v>1</v>
      </c>
      <c r="J1419" s="9" t="n">
        <v>250</v>
      </c>
      <c r="K1419" s="7" t="inlineStr">
        <is>
          <t>kg ou L/ha</t>
        </is>
      </c>
      <c r="L1419" s="9" t="n">
        <v>1</v>
      </c>
      <c r="M1419" s="7" t="inlineStr">
        <is>
          <t>Aplicar conforme monitoramento e estádio recomendado na bula (Nutrição Vegetal SIPEAGRO)</t>
        </is>
      </c>
    </row>
    <row r="1420" ht="22" customHeight="1">
      <c r="A1420" s="12" t="inlineStr">
        <is>
          <t>ALV-1416</t>
        </is>
      </c>
      <c r="B1420" s="11" t="n">
        <v>743</v>
      </c>
      <c r="C1420" s="13" t="inlineStr">
        <is>
          <t>Nº 27025</t>
        </is>
      </c>
      <c r="D1420" s="14" t="inlineStr">
        <is>
          <t>PYROX</t>
        </is>
      </c>
      <c r="E1420" s="13" t="inlineStr">
        <is>
          <t>Herbicida</t>
        </is>
      </c>
      <c r="F1420" s="13" t="inlineStr">
        <is>
          <t>Buva</t>
        </is>
      </c>
      <c r="G1420" s="13" t="inlineStr">
        <is>
          <t>Conyza bonariensis</t>
        </is>
      </c>
      <c r="H1420" s="13" t="inlineStr">
        <is>
          <t>NÃO</t>
        </is>
      </c>
      <c r="I1420" s="18" t="n">
        <v>0.1</v>
      </c>
      <c r="J1420" s="18" t="n">
        <v>0.2</v>
      </c>
      <c r="K1420" s="13" t="inlineStr">
        <is>
          <t>L ou kg/ha</t>
        </is>
      </c>
      <c r="L1420" s="15" t="n">
        <v>1</v>
      </c>
      <c r="M1420" s="13" t="inlineStr">
        <is>
          <t>Aplicar conforme monitoramento e estádio recomendado na bula (HRAC Grupo E (14) — Inibidores da PROTOX)</t>
        </is>
      </c>
    </row>
    <row r="1421" ht="22" customHeight="1">
      <c r="A1421" s="6" t="inlineStr">
        <is>
          <t>ALV-1417</t>
        </is>
      </c>
      <c r="B1421" s="5" t="n">
        <v>743</v>
      </c>
      <c r="C1421" s="7" t="inlineStr">
        <is>
          <t>Nº 27025</t>
        </is>
      </c>
      <c r="D1421" s="8" t="inlineStr">
        <is>
          <t>PYROX</t>
        </is>
      </c>
      <c r="E1421" s="7" t="inlineStr">
        <is>
          <t>Herbicida</t>
        </is>
      </c>
      <c r="F1421" s="7" t="inlineStr">
        <is>
          <t>Caruru</t>
        </is>
      </c>
      <c r="G1421" s="7" t="inlineStr">
        <is>
          <t>Amaranthus hybridus</t>
        </is>
      </c>
      <c r="H1421" s="7" t="inlineStr">
        <is>
          <t>NÃO</t>
        </is>
      </c>
      <c r="I1421" s="17" t="n">
        <v>0.1</v>
      </c>
      <c r="J1421" s="17" t="n">
        <v>0.2</v>
      </c>
      <c r="K1421" s="7" t="inlineStr">
        <is>
          <t>L ou kg/ha</t>
        </is>
      </c>
      <c r="L1421" s="9" t="n">
        <v>1</v>
      </c>
      <c r="M1421" s="7" t="inlineStr">
        <is>
          <t>Aplicar conforme monitoramento e estádio recomendado na bula (HRAC Grupo E (14) — Inibidores da PROTOX)</t>
        </is>
      </c>
    </row>
    <row r="1422" ht="22" customHeight="1">
      <c r="A1422" s="12" t="inlineStr">
        <is>
          <t>ALV-1418</t>
        </is>
      </c>
      <c r="B1422" s="11" t="n">
        <v>743</v>
      </c>
      <c r="C1422" s="13" t="inlineStr">
        <is>
          <t>Nº 27025</t>
        </is>
      </c>
      <c r="D1422" s="14" t="inlineStr">
        <is>
          <t>PYROX</t>
        </is>
      </c>
      <c r="E1422" s="13" t="inlineStr">
        <is>
          <t>Herbicida</t>
        </is>
      </c>
      <c r="F1422" s="13" t="inlineStr">
        <is>
          <t>Poaia-branca</t>
        </is>
      </c>
      <c r="G1422" s="13" t="inlineStr">
        <is>
          <t>Richardia brasiliensis</t>
        </is>
      </c>
      <c r="H1422" s="13" t="inlineStr">
        <is>
          <t>NÃO</t>
        </is>
      </c>
      <c r="I1422" s="18" t="n">
        <v>0.1</v>
      </c>
      <c r="J1422" s="18" t="n">
        <v>0.15</v>
      </c>
      <c r="K1422" s="13" t="inlineStr">
        <is>
          <t>L ou kg/ha</t>
        </is>
      </c>
      <c r="L1422" s="15" t="n">
        <v>1</v>
      </c>
      <c r="M1422" s="13" t="inlineStr">
        <is>
          <t>Aplicar conforme monitoramento e estádio recomendado na bula (HRAC Grupo E (14) — Inibidores da PROTOX)</t>
        </is>
      </c>
    </row>
    <row r="1423" ht="22" customHeight="1">
      <c r="A1423" s="6" t="inlineStr">
        <is>
          <t>ALV-1419</t>
        </is>
      </c>
      <c r="B1423" s="5" t="n">
        <v>744</v>
      </c>
      <c r="C1423" s="7" t="inlineStr">
        <is>
          <t>Nº 28925</t>
        </is>
      </c>
      <c r="D1423" s="8" t="inlineStr">
        <is>
          <t>S-METOLACHLOR 960 EC BINNONG</t>
        </is>
      </c>
      <c r="E1423" s="7" t="inlineStr">
        <is>
          <t>Herbicida</t>
        </is>
      </c>
      <c r="F1423" s="7" t="inlineStr">
        <is>
          <t>Capim-pé-de-galinha</t>
        </is>
      </c>
      <c r="G1423" s="7" t="inlineStr">
        <is>
          <t>Eleusine indica</t>
        </is>
      </c>
      <c r="H1423" s="7" t="inlineStr">
        <is>
          <t>NÃO</t>
        </is>
      </c>
      <c r="I1423" s="17" t="n">
        <v>1.25</v>
      </c>
      <c r="J1423" s="17" t="n">
        <v>1.75</v>
      </c>
      <c r="K1423" s="7" t="inlineStr">
        <is>
          <t>L/ha</t>
        </is>
      </c>
      <c r="L1423" s="9" t="n">
        <v>1</v>
      </c>
      <c r="M1423" s="7" t="inlineStr">
        <is>
          <t>Aplicar conforme monitoramento e estádio recomendado na bula (HRAC Grupo K3 (15) — Inibidores de VLCFAs)</t>
        </is>
      </c>
    </row>
    <row r="1424" ht="22" customHeight="1">
      <c r="A1424" s="12" t="inlineStr">
        <is>
          <t>ALV-1420</t>
        </is>
      </c>
      <c r="B1424" s="11" t="n">
        <v>744</v>
      </c>
      <c r="C1424" s="13" t="inlineStr">
        <is>
          <t>Nº 28925</t>
        </is>
      </c>
      <c r="D1424" s="14" t="inlineStr">
        <is>
          <t>S-METOLACHLOR 960 EC BINNONG</t>
        </is>
      </c>
      <c r="E1424" s="13" t="inlineStr">
        <is>
          <t>Herbicida</t>
        </is>
      </c>
      <c r="F1424" s="13" t="inlineStr">
        <is>
          <t>Capim-colchão</t>
        </is>
      </c>
      <c r="G1424" s="13" t="inlineStr">
        <is>
          <t>Digitaria horizontalis</t>
        </is>
      </c>
      <c r="H1424" s="13" t="inlineStr">
        <is>
          <t>NÃO</t>
        </is>
      </c>
      <c r="I1424" s="18" t="n">
        <v>1.25</v>
      </c>
      <c r="J1424" s="18" t="n">
        <v>1.5</v>
      </c>
      <c r="K1424" s="13" t="inlineStr">
        <is>
          <t>L/ha</t>
        </is>
      </c>
      <c r="L1424" s="15" t="n">
        <v>1</v>
      </c>
      <c r="M1424" s="13" t="inlineStr">
        <is>
          <t>Aplicar conforme monitoramento e estádio recomendado na bula (HRAC Grupo K3 (15) — Inibidores de VLCFAs)</t>
        </is>
      </c>
    </row>
    <row r="1425" ht="22" customHeight="1">
      <c r="A1425" s="6" t="inlineStr">
        <is>
          <t>ALV-1421</t>
        </is>
      </c>
      <c r="B1425" s="5" t="n">
        <v>744</v>
      </c>
      <c r="C1425" s="7" t="inlineStr">
        <is>
          <t>Nº 28925</t>
        </is>
      </c>
      <c r="D1425" s="8" t="inlineStr">
        <is>
          <t>S-METOLACHLOR 960 EC BINNONG</t>
        </is>
      </c>
      <c r="E1425" s="7" t="inlineStr">
        <is>
          <t>Herbicida</t>
        </is>
      </c>
      <c r="F1425" s="7" t="inlineStr">
        <is>
          <t>Caruru</t>
        </is>
      </c>
      <c r="G1425" s="7" t="inlineStr">
        <is>
          <t>Amaranthus hybridus</t>
        </is>
      </c>
      <c r="H1425" s="7" t="inlineStr">
        <is>
          <t>NÃO</t>
        </is>
      </c>
      <c r="I1425" s="17" t="n">
        <v>1.25</v>
      </c>
      <c r="J1425" s="17" t="n">
        <v>1.75</v>
      </c>
      <c r="K1425" s="7" t="inlineStr">
        <is>
          <t>L/ha</t>
        </is>
      </c>
      <c r="L1425" s="9" t="n">
        <v>1</v>
      </c>
      <c r="M1425" s="7" t="inlineStr">
        <is>
          <t>Aplicar conforme monitoramento e estádio recomendado na bula (HRAC Grupo K3 (15) — Inibidores de VLCFAs)</t>
        </is>
      </c>
    </row>
    <row r="1426" ht="22" customHeight="1">
      <c r="A1426" s="12" t="inlineStr">
        <is>
          <t>ALV-1422</t>
        </is>
      </c>
      <c r="B1426" s="11" t="n">
        <v>745</v>
      </c>
      <c r="C1426" s="13" t="inlineStr">
        <is>
          <t>Nº 47125</t>
        </is>
      </c>
      <c r="D1426" s="14" t="inlineStr">
        <is>
          <t>CHLORFENAPYR</t>
        </is>
      </c>
      <c r="E1426" s="13" t="inlineStr">
        <is>
          <t>Inseticida e Acaricida</t>
        </is>
      </c>
      <c r="F1426" s="13" t="inlineStr">
        <is>
          <t>Ácaro-rajado</t>
        </is>
      </c>
      <c r="G1426" s="13" t="inlineStr">
        <is>
          <t>Tetranychus urticae</t>
        </is>
      </c>
      <c r="H1426" s="13" t="inlineStr">
        <is>
          <t>NÃO</t>
        </is>
      </c>
      <c r="I1426" s="18" t="n">
        <v>0.5</v>
      </c>
      <c r="J1426" s="18" t="n">
        <v>1.5</v>
      </c>
      <c r="K1426" s="13" t="inlineStr">
        <is>
          <t>L/ha</t>
        </is>
      </c>
      <c r="L1426" s="15" t="n">
        <v>1</v>
      </c>
      <c r="M1426" s="13" t="inlineStr">
        <is>
          <t>Aplicar conforme monitoramento e estádio recomendado na bula (IRAC Grupo 13)</t>
        </is>
      </c>
    </row>
    <row r="1427" ht="22" customHeight="1">
      <c r="A1427" s="6" t="inlineStr">
        <is>
          <t>ALV-1423</t>
        </is>
      </c>
      <c r="B1427" s="5" t="n">
        <v>745</v>
      </c>
      <c r="C1427" s="7" t="inlineStr">
        <is>
          <t>Nº 47125</t>
        </is>
      </c>
      <c r="D1427" s="8" t="inlineStr">
        <is>
          <t>CHLORFENAPYR</t>
        </is>
      </c>
      <c r="E1427" s="7" t="inlineStr">
        <is>
          <t>Inseticida e Acaricida</t>
        </is>
      </c>
      <c r="F1427" s="7" t="inlineStr">
        <is>
          <t>Lagarta-helicoverpa</t>
        </is>
      </c>
      <c r="G1427" s="7" t="inlineStr">
        <is>
          <t>Helicoverpa armigera</t>
        </is>
      </c>
      <c r="H1427" s="7" t="inlineStr">
        <is>
          <t>NÃO</t>
        </is>
      </c>
      <c r="I1427" s="17" t="n">
        <v>0.8</v>
      </c>
      <c r="J1427" s="17" t="n">
        <v>1.25</v>
      </c>
      <c r="K1427" s="7" t="inlineStr">
        <is>
          <t>L/ha</t>
        </is>
      </c>
      <c r="L1427" s="9" t="n">
        <v>1</v>
      </c>
      <c r="M1427" s="7" t="inlineStr">
        <is>
          <t>Aplicar conforme monitoramento e estádio recomendado na bula (IRAC Grupo 13)</t>
        </is>
      </c>
    </row>
    <row r="1428" ht="22" customHeight="1">
      <c r="A1428" s="12" t="inlineStr">
        <is>
          <t>ALV-1424</t>
        </is>
      </c>
      <c r="B1428" s="11" t="n">
        <v>745</v>
      </c>
      <c r="C1428" s="13" t="inlineStr">
        <is>
          <t>Nº 47125</t>
        </is>
      </c>
      <c r="D1428" s="14" t="inlineStr">
        <is>
          <t>CHLORFENAPYR</t>
        </is>
      </c>
      <c r="E1428" s="13" t="inlineStr">
        <is>
          <t>Inseticida e Acaricida</t>
        </is>
      </c>
      <c r="F1428" s="13" t="inlineStr">
        <is>
          <t>Lagarta-do-cartucho</t>
        </is>
      </c>
      <c r="G1428" s="13" t="inlineStr">
        <is>
          <t>Spodoptera frugiperda</t>
        </is>
      </c>
      <c r="H1428" s="13" t="inlineStr">
        <is>
          <t>NÃO</t>
        </is>
      </c>
      <c r="I1428" s="18" t="n">
        <v>0.75</v>
      </c>
      <c r="J1428" s="18" t="n">
        <v>1.25</v>
      </c>
      <c r="K1428" s="13" t="inlineStr">
        <is>
          <t>L/ha</t>
        </is>
      </c>
      <c r="L1428" s="15" t="n">
        <v>1</v>
      </c>
      <c r="M1428" s="13" t="inlineStr">
        <is>
          <t>Aplicar conforme monitoramento e estádio recomendado na bula (IRAC Grupo 13)</t>
        </is>
      </c>
    </row>
    <row r="1429" ht="22" customHeight="1">
      <c r="A1429" s="6" t="inlineStr">
        <is>
          <t>ALV-1425</t>
        </is>
      </c>
      <c r="B1429" s="5" t="n">
        <v>746</v>
      </c>
      <c r="C1429" s="7" t="inlineStr">
        <is>
          <t>Nº 23623</t>
        </is>
      </c>
      <c r="D1429" s="8" t="inlineStr">
        <is>
          <t>GLIMOR WG</t>
        </is>
      </c>
      <c r="E1429" s="7" t="inlineStr">
        <is>
          <t>Herbicida</t>
        </is>
      </c>
      <c r="F1429" s="7" t="inlineStr">
        <is>
          <t>Capim-amargoso</t>
        </is>
      </c>
      <c r="G1429" s="7" t="inlineStr">
        <is>
          <t>Digitaria insularis</t>
        </is>
      </c>
      <c r="H1429" s="7" t="inlineStr">
        <is>
          <t>SIM (*)</t>
        </is>
      </c>
      <c r="I1429" s="17" t="n">
        <v>1.5</v>
      </c>
      <c r="J1429" s="17" t="n">
        <v>2.5</v>
      </c>
      <c r="K1429" s="7" t="inlineStr">
        <is>
          <t>kg ou L/ha</t>
        </is>
      </c>
      <c r="L1429" s="9" t="n">
        <v>1</v>
      </c>
      <c r="M1429" s="7" t="inlineStr">
        <is>
          <t>Aplicar conforme monitoramento e estádio recomendado na bula (HRAC Grupo G (EPSPs))</t>
        </is>
      </c>
    </row>
    <row r="1430" ht="22" customHeight="1">
      <c r="A1430" s="12" t="inlineStr">
        <is>
          <t>ALV-1426</t>
        </is>
      </c>
      <c r="B1430" s="11" t="n">
        <v>746</v>
      </c>
      <c r="C1430" s="13" t="inlineStr">
        <is>
          <t>Nº 23623</t>
        </is>
      </c>
      <c r="D1430" s="14" t="inlineStr">
        <is>
          <t>GLIMOR WG</t>
        </is>
      </c>
      <c r="E1430" s="13" t="inlineStr">
        <is>
          <t>Herbicida</t>
        </is>
      </c>
      <c r="F1430" s="13" t="inlineStr">
        <is>
          <t>Buva</t>
        </is>
      </c>
      <c r="G1430" s="13" t="inlineStr">
        <is>
          <t>Conyza bonariensis</t>
        </is>
      </c>
      <c r="H1430" s="13" t="inlineStr">
        <is>
          <t>SIM (*)</t>
        </is>
      </c>
      <c r="I1430" s="15" t="n">
        <v>1</v>
      </c>
      <c r="J1430" s="15" t="n">
        <v>2</v>
      </c>
      <c r="K1430" s="13" t="inlineStr">
        <is>
          <t>kg ou L/ha</t>
        </is>
      </c>
      <c r="L1430" s="15" t="n">
        <v>1</v>
      </c>
      <c r="M1430" s="13" t="inlineStr">
        <is>
          <t>Aplicar conforme monitoramento e estádio recomendado na bula (HRAC Grupo G (EPSPs))</t>
        </is>
      </c>
    </row>
    <row r="1431" ht="22" customHeight="1">
      <c r="A1431" s="6" t="inlineStr">
        <is>
          <t>ALV-1427</t>
        </is>
      </c>
      <c r="B1431" s="5" t="n">
        <v>746</v>
      </c>
      <c r="C1431" s="7" t="inlineStr">
        <is>
          <t>Nº 23623</t>
        </is>
      </c>
      <c r="D1431" s="8" t="inlineStr">
        <is>
          <t>GLIMOR WG</t>
        </is>
      </c>
      <c r="E1431" s="7" t="inlineStr">
        <is>
          <t>Herbicida</t>
        </is>
      </c>
      <c r="F1431" s="7" t="inlineStr">
        <is>
          <t>Capim-pé-de-galinha</t>
        </is>
      </c>
      <c r="G1431" s="7" t="inlineStr">
        <is>
          <t>Eleusine indica</t>
        </is>
      </c>
      <c r="H1431" s="7" t="inlineStr">
        <is>
          <t>SIM (*)</t>
        </is>
      </c>
      <c r="I1431" s="9" t="n">
        <v>1</v>
      </c>
      <c r="J1431" s="17" t="n">
        <v>1.5</v>
      </c>
      <c r="K1431" s="7" t="inlineStr">
        <is>
          <t>kg ou L/ha</t>
        </is>
      </c>
      <c r="L1431" s="9" t="n">
        <v>1</v>
      </c>
      <c r="M1431" s="7" t="inlineStr">
        <is>
          <t>Aplicar conforme monitoramento e estádio recomendado na bula (HRAC Grupo G (EPSPs))</t>
        </is>
      </c>
    </row>
    <row r="1432" ht="22" customHeight="1">
      <c r="A1432" s="12" t="inlineStr">
        <is>
          <t>ALV-1428</t>
        </is>
      </c>
      <c r="B1432" s="11" t="n">
        <v>746</v>
      </c>
      <c r="C1432" s="13" t="inlineStr">
        <is>
          <t>Nº 23623</t>
        </is>
      </c>
      <c r="D1432" s="14" t="inlineStr">
        <is>
          <t>GLIMOR WG</t>
        </is>
      </c>
      <c r="E1432" s="13" t="inlineStr">
        <is>
          <t>Herbicida</t>
        </is>
      </c>
      <c r="F1432" s="13" t="inlineStr">
        <is>
          <t>Trapoeraba</t>
        </is>
      </c>
      <c r="G1432" s="13" t="inlineStr">
        <is>
          <t>Commelina benghalensis</t>
        </is>
      </c>
      <c r="H1432" s="13" t="inlineStr">
        <is>
          <t>NÃO</t>
        </is>
      </c>
      <c r="I1432" s="15" t="n">
        <v>2</v>
      </c>
      <c r="J1432" s="18" t="n">
        <v>3.5</v>
      </c>
      <c r="K1432" s="13" t="inlineStr">
        <is>
          <t>kg ou L/ha</t>
        </is>
      </c>
      <c r="L1432" s="15" t="n">
        <v>1</v>
      </c>
      <c r="M1432" s="13" t="inlineStr">
        <is>
          <t>Aplicar conforme monitoramento e estádio recomendado na bula (HRAC Grupo G (EPSPs))</t>
        </is>
      </c>
    </row>
    <row r="1433" ht="22" customHeight="1">
      <c r="A1433" s="6" t="inlineStr">
        <is>
          <t>ALV-1429</t>
        </is>
      </c>
      <c r="B1433" s="5" t="n">
        <v>747</v>
      </c>
      <c r="C1433" s="7" t="inlineStr">
        <is>
          <t>Nº 25224</t>
        </is>
      </c>
      <c r="D1433" s="8" t="inlineStr">
        <is>
          <t>CLETODIM 240 EC BRILLIANCE</t>
        </is>
      </c>
      <c r="E1433" s="7" t="inlineStr">
        <is>
          <t>Herbicida</t>
        </is>
      </c>
      <c r="F1433" s="7" t="inlineStr">
        <is>
          <t>Capim-amargoso</t>
        </is>
      </c>
      <c r="G1433" s="7" t="inlineStr">
        <is>
          <t>Digitaria insularis</t>
        </is>
      </c>
      <c r="H1433" s="7" t="inlineStr">
        <is>
          <t>SIM (*)</t>
        </is>
      </c>
      <c r="I1433" s="17" t="n">
        <v>0.45</v>
      </c>
      <c r="J1433" s="17" t="n">
        <v>0.85</v>
      </c>
      <c r="K1433" s="7" t="inlineStr">
        <is>
          <t>L/ha</t>
        </is>
      </c>
      <c r="L1433" s="9" t="n">
        <v>1</v>
      </c>
      <c r="M1433" s="7" t="inlineStr">
        <is>
          <t>Aplicar conforme monitoramento e estádio recomendado na bula (HRAC Grupo A (1) — Inibidores da ACCase)</t>
        </is>
      </c>
    </row>
    <row r="1434" ht="22" customHeight="1">
      <c r="A1434" s="12" t="inlineStr">
        <is>
          <t>ALV-1430</t>
        </is>
      </c>
      <c r="B1434" s="11" t="n">
        <v>747</v>
      </c>
      <c r="C1434" s="13" t="inlineStr">
        <is>
          <t>Nº 25224</t>
        </is>
      </c>
      <c r="D1434" s="14" t="inlineStr">
        <is>
          <t>CLETODIM 240 EC BRILLIANCE</t>
        </is>
      </c>
      <c r="E1434" s="13" t="inlineStr">
        <is>
          <t>Herbicida</t>
        </is>
      </c>
      <c r="F1434" s="13" t="inlineStr">
        <is>
          <t>Capim-pé-de-galinha</t>
        </is>
      </c>
      <c r="G1434" s="13" t="inlineStr">
        <is>
          <t>Eleusine indica</t>
        </is>
      </c>
      <c r="H1434" s="13" t="inlineStr">
        <is>
          <t>SIM (*)</t>
        </is>
      </c>
      <c r="I1434" s="18" t="n">
        <v>0.35</v>
      </c>
      <c r="J1434" s="18" t="n">
        <v>0.45</v>
      </c>
      <c r="K1434" s="13" t="inlineStr">
        <is>
          <t>L/ha</t>
        </is>
      </c>
      <c r="L1434" s="15" t="n">
        <v>1</v>
      </c>
      <c r="M1434" s="13" t="inlineStr">
        <is>
          <t>Aplicar conforme monitoramento e estádio recomendado na bula (HRAC Grupo A (1) — Inibidores da ACCase)</t>
        </is>
      </c>
    </row>
    <row r="1435" ht="22" customHeight="1">
      <c r="A1435" s="6" t="inlineStr">
        <is>
          <t>ALV-1431</t>
        </is>
      </c>
      <c r="B1435" s="5" t="n">
        <v>747</v>
      </c>
      <c r="C1435" s="7" t="inlineStr">
        <is>
          <t>Nº 25224</t>
        </is>
      </c>
      <c r="D1435" s="8" t="inlineStr">
        <is>
          <t>CLETODIM 240 EC BRILLIANCE</t>
        </is>
      </c>
      <c r="E1435" s="7" t="inlineStr">
        <is>
          <t>Herbicida</t>
        </is>
      </c>
      <c r="F1435" s="7" t="inlineStr">
        <is>
          <t>Milho-voluntário (Tiguera)</t>
        </is>
      </c>
      <c r="G1435" s="7" t="inlineStr">
        <is>
          <t>Zea mays</t>
        </is>
      </c>
      <c r="H1435" s="7" t="inlineStr">
        <is>
          <t>NÃO</t>
        </is>
      </c>
      <c r="I1435" s="17" t="n">
        <v>0.4</v>
      </c>
      <c r="J1435" s="17" t="n">
        <v>0.6</v>
      </c>
      <c r="K1435" s="7" t="inlineStr">
        <is>
          <t>L/ha</t>
        </is>
      </c>
      <c r="L1435" s="9" t="n">
        <v>1</v>
      </c>
      <c r="M1435" s="7" t="inlineStr">
        <is>
          <t>Aplicar conforme monitoramento e estádio recomendado na bula (HRAC Grupo A (1) — Inibidores da ACCase)</t>
        </is>
      </c>
    </row>
    <row r="1436" ht="22" customHeight="1">
      <c r="A1436" s="12" t="inlineStr">
        <is>
          <t>ALV-1432</t>
        </is>
      </c>
      <c r="B1436" s="11" t="n">
        <v>748</v>
      </c>
      <c r="C1436" s="13" t="inlineStr">
        <is>
          <t>Nº 15725</t>
        </is>
      </c>
      <c r="D1436" s="14" t="inlineStr">
        <is>
          <t>CLETODIM 360 EC BRILLIANCE</t>
        </is>
      </c>
      <c r="E1436" s="13" t="inlineStr">
        <is>
          <t>Herbicida</t>
        </is>
      </c>
      <c r="F1436" s="13" t="inlineStr">
        <is>
          <t>Capim-amargoso</t>
        </is>
      </c>
      <c r="G1436" s="13" t="inlineStr">
        <is>
          <t>Digitaria insularis</t>
        </is>
      </c>
      <c r="H1436" s="13" t="inlineStr">
        <is>
          <t>SIM (*)</t>
        </is>
      </c>
      <c r="I1436" s="18" t="n">
        <v>0.45</v>
      </c>
      <c r="J1436" s="18" t="n">
        <v>0.85</v>
      </c>
      <c r="K1436" s="13" t="inlineStr">
        <is>
          <t>L/ha</t>
        </is>
      </c>
      <c r="L1436" s="15" t="n">
        <v>1</v>
      </c>
      <c r="M1436" s="13" t="inlineStr">
        <is>
          <t>Aplicar conforme monitoramento e estádio recomendado na bula (HRAC Grupo A (1) — Inibidores da ACCase)</t>
        </is>
      </c>
    </row>
    <row r="1437" ht="22" customHeight="1">
      <c r="A1437" s="6" t="inlineStr">
        <is>
          <t>ALV-1433</t>
        </is>
      </c>
      <c r="B1437" s="5" t="n">
        <v>748</v>
      </c>
      <c r="C1437" s="7" t="inlineStr">
        <is>
          <t>Nº 15725</t>
        </is>
      </c>
      <c r="D1437" s="8" t="inlineStr">
        <is>
          <t>CLETODIM 360 EC BRILLIANCE</t>
        </is>
      </c>
      <c r="E1437" s="7" t="inlineStr">
        <is>
          <t>Herbicida</t>
        </is>
      </c>
      <c r="F1437" s="7" t="inlineStr">
        <is>
          <t>Capim-pé-de-galinha</t>
        </is>
      </c>
      <c r="G1437" s="7" t="inlineStr">
        <is>
          <t>Eleusine indica</t>
        </is>
      </c>
      <c r="H1437" s="7" t="inlineStr">
        <is>
          <t>SIM (*)</t>
        </is>
      </c>
      <c r="I1437" s="17" t="n">
        <v>0.35</v>
      </c>
      <c r="J1437" s="17" t="n">
        <v>0.45</v>
      </c>
      <c r="K1437" s="7" t="inlineStr">
        <is>
          <t>L/ha</t>
        </is>
      </c>
      <c r="L1437" s="9" t="n">
        <v>1</v>
      </c>
      <c r="M1437" s="7" t="inlineStr">
        <is>
          <t>Aplicar conforme monitoramento e estádio recomendado na bula (HRAC Grupo A (1) — Inibidores da ACCase)</t>
        </is>
      </c>
    </row>
    <row r="1438" ht="22" customHeight="1">
      <c r="A1438" s="12" t="inlineStr">
        <is>
          <t>ALV-1434</t>
        </is>
      </c>
      <c r="B1438" s="11" t="n">
        <v>748</v>
      </c>
      <c r="C1438" s="13" t="inlineStr">
        <is>
          <t>Nº 15725</t>
        </is>
      </c>
      <c r="D1438" s="14" t="inlineStr">
        <is>
          <t>CLETODIM 360 EC BRILLIANCE</t>
        </is>
      </c>
      <c r="E1438" s="13" t="inlineStr">
        <is>
          <t>Herbicida</t>
        </is>
      </c>
      <c r="F1438" s="13" t="inlineStr">
        <is>
          <t>Milho-voluntário (Tiguera)</t>
        </is>
      </c>
      <c r="G1438" s="13" t="inlineStr">
        <is>
          <t>Zea mays</t>
        </is>
      </c>
      <c r="H1438" s="13" t="inlineStr">
        <is>
          <t>NÃO</t>
        </is>
      </c>
      <c r="I1438" s="18" t="n">
        <v>0.4</v>
      </c>
      <c r="J1438" s="18" t="n">
        <v>0.6</v>
      </c>
      <c r="K1438" s="13" t="inlineStr">
        <is>
          <t>L/ha</t>
        </is>
      </c>
      <c r="L1438" s="15" t="n">
        <v>1</v>
      </c>
      <c r="M1438" s="13" t="inlineStr">
        <is>
          <t>Aplicar conforme monitoramento e estádio recomendado na bula (HRAC Grupo A (1) — Inibidores da ACCase)</t>
        </is>
      </c>
    </row>
    <row r="1439" ht="22" customHeight="1">
      <c r="A1439" s="6" t="inlineStr">
        <is>
          <t>ALV-1435</t>
        </is>
      </c>
      <c r="B1439" s="5" t="n">
        <v>749</v>
      </c>
      <c r="C1439" s="7" t="inlineStr">
        <is>
          <t>Nº 49425</t>
        </is>
      </c>
      <c r="D1439" s="8" t="inlineStr">
        <is>
          <t>GAZINA</t>
        </is>
      </c>
      <c r="E1439" s="7" t="inlineStr">
        <is>
          <t>Herbicida</t>
        </is>
      </c>
      <c r="F1439" s="7" t="inlineStr">
        <is>
          <t>Buva</t>
        </is>
      </c>
      <c r="G1439" s="7" t="inlineStr">
        <is>
          <t>Conyza bonariensis</t>
        </is>
      </c>
      <c r="H1439" s="7" t="inlineStr">
        <is>
          <t>NÃO</t>
        </is>
      </c>
      <c r="I1439" s="17" t="n">
        <v>0.1</v>
      </c>
      <c r="J1439" s="17" t="n">
        <v>0.2</v>
      </c>
      <c r="K1439" s="7" t="inlineStr">
        <is>
          <t>L ou kg/ha</t>
        </is>
      </c>
      <c r="L1439" s="9" t="n">
        <v>1</v>
      </c>
      <c r="M1439" s="7" t="inlineStr">
        <is>
          <t>Aplicar conforme monitoramento e estádio recomendado na bula (HRAC Grupo E (14) — Inibidores da PROTOX)</t>
        </is>
      </c>
    </row>
    <row r="1440" ht="22" customHeight="1">
      <c r="A1440" s="12" t="inlineStr">
        <is>
          <t>ALV-1436</t>
        </is>
      </c>
      <c r="B1440" s="11" t="n">
        <v>749</v>
      </c>
      <c r="C1440" s="13" t="inlineStr">
        <is>
          <t>Nº 49425</t>
        </is>
      </c>
      <c r="D1440" s="14" t="inlineStr">
        <is>
          <t>GAZINA</t>
        </is>
      </c>
      <c r="E1440" s="13" t="inlineStr">
        <is>
          <t>Herbicida</t>
        </is>
      </c>
      <c r="F1440" s="13" t="inlineStr">
        <is>
          <t>Caruru</t>
        </is>
      </c>
      <c r="G1440" s="13" t="inlineStr">
        <is>
          <t>Amaranthus hybridus</t>
        </is>
      </c>
      <c r="H1440" s="13" t="inlineStr">
        <is>
          <t>NÃO</t>
        </is>
      </c>
      <c r="I1440" s="18" t="n">
        <v>0.1</v>
      </c>
      <c r="J1440" s="18" t="n">
        <v>0.2</v>
      </c>
      <c r="K1440" s="13" t="inlineStr">
        <is>
          <t>L ou kg/ha</t>
        </is>
      </c>
      <c r="L1440" s="15" t="n">
        <v>1</v>
      </c>
      <c r="M1440" s="13" t="inlineStr">
        <is>
          <t>Aplicar conforme monitoramento e estádio recomendado na bula (HRAC Grupo E (14) — Inibidores da PROTOX)</t>
        </is>
      </c>
    </row>
    <row r="1441" ht="22" customHeight="1">
      <c r="A1441" s="6" t="inlineStr">
        <is>
          <t>ALV-1437</t>
        </is>
      </c>
      <c r="B1441" s="5" t="n">
        <v>749</v>
      </c>
      <c r="C1441" s="7" t="inlineStr">
        <is>
          <t>Nº 49425</t>
        </is>
      </c>
      <c r="D1441" s="8" t="inlineStr">
        <is>
          <t>GAZINA</t>
        </is>
      </c>
      <c r="E1441" s="7" t="inlineStr">
        <is>
          <t>Herbicida</t>
        </is>
      </c>
      <c r="F1441" s="7" t="inlineStr">
        <is>
          <t>Poaia-branca</t>
        </is>
      </c>
      <c r="G1441" s="7" t="inlineStr">
        <is>
          <t>Richardia brasiliensis</t>
        </is>
      </c>
      <c r="H1441" s="7" t="inlineStr">
        <is>
          <t>NÃO</t>
        </is>
      </c>
      <c r="I1441" s="17" t="n">
        <v>0.1</v>
      </c>
      <c r="J1441" s="17" t="n">
        <v>0.15</v>
      </c>
      <c r="K1441" s="7" t="inlineStr">
        <is>
          <t>L ou kg/ha</t>
        </is>
      </c>
      <c r="L1441" s="9" t="n">
        <v>1</v>
      </c>
      <c r="M1441" s="7" t="inlineStr">
        <is>
          <t>Aplicar conforme monitoramento e estádio recomendado na bula (HRAC Grupo E (14) — Inibidores da PROTOX)</t>
        </is>
      </c>
    </row>
    <row r="1442" ht="22" customHeight="1">
      <c r="A1442" s="12" t="inlineStr">
        <is>
          <t>ALV-1438</t>
        </is>
      </c>
      <c r="B1442" s="11" t="n">
        <v>750</v>
      </c>
      <c r="C1442" s="13" t="inlineStr">
        <is>
          <t>Nº 52425</t>
        </is>
      </c>
      <c r="D1442" s="14" t="inlineStr">
        <is>
          <t>GEODO</t>
        </is>
      </c>
      <c r="E1442" s="13" t="inlineStr">
        <is>
          <t>Inseticida</t>
        </is>
      </c>
      <c r="F1442" s="13" t="inlineStr">
        <is>
          <t>Bicudo-do-algodoeiro</t>
        </is>
      </c>
      <c r="G1442" s="13" t="inlineStr">
        <is>
          <t>Anthonomus grandis</t>
        </is>
      </c>
      <c r="H1442" s="13" t="inlineStr">
        <is>
          <t>NÃO</t>
        </is>
      </c>
      <c r="I1442" s="18" t="n">
        <v>0.15</v>
      </c>
      <c r="J1442" s="18" t="n">
        <v>0.25</v>
      </c>
      <c r="K1442" s="13" t="inlineStr">
        <is>
          <t>L/ha</t>
        </is>
      </c>
      <c r="L1442" s="15" t="n">
        <v>1</v>
      </c>
      <c r="M1442" s="13" t="inlineStr">
        <is>
          <t>Aplicar conforme monitoramento e estádio recomendado na bula (IRAC Grupo 3A)</t>
        </is>
      </c>
    </row>
    <row r="1443" ht="22" customHeight="1">
      <c r="A1443" s="6" t="inlineStr">
        <is>
          <t>ALV-1439</t>
        </is>
      </c>
      <c r="B1443" s="5" t="n">
        <v>750</v>
      </c>
      <c r="C1443" s="7" t="inlineStr">
        <is>
          <t>Nº 52425</t>
        </is>
      </c>
      <c r="D1443" s="8" t="inlineStr">
        <is>
          <t>GEODO</t>
        </is>
      </c>
      <c r="E1443" s="7" t="inlineStr">
        <is>
          <t>Inseticida</t>
        </is>
      </c>
      <c r="F1443" s="7" t="inlineStr">
        <is>
          <t>Mosca-branca</t>
        </is>
      </c>
      <c r="G1443" s="7" t="inlineStr">
        <is>
          <t>Bemisia tabaci raça B</t>
        </is>
      </c>
      <c r="H1443" s="7" t="inlineStr">
        <is>
          <t>SIM (*)</t>
        </is>
      </c>
      <c r="I1443" s="17" t="n">
        <v>0.125</v>
      </c>
      <c r="J1443" s="17" t="n">
        <v>0.25</v>
      </c>
      <c r="K1443" s="7" t="inlineStr">
        <is>
          <t>L/ha</t>
        </is>
      </c>
      <c r="L1443" s="9" t="n">
        <v>1</v>
      </c>
      <c r="M1443" s="7" t="inlineStr">
        <is>
          <t>Aplicar conforme monitoramento e estádio recomendado na bula (IRAC Grupo 3A)</t>
        </is>
      </c>
    </row>
    <row r="1444" ht="22" customHeight="1">
      <c r="A1444" s="12" t="inlineStr">
        <is>
          <t>ALV-1440</t>
        </is>
      </c>
      <c r="B1444" s="11" t="n">
        <v>750</v>
      </c>
      <c r="C1444" s="13" t="inlineStr">
        <is>
          <t>Nº 52425</t>
        </is>
      </c>
      <c r="D1444" s="14" t="inlineStr">
        <is>
          <t>GEODO</t>
        </is>
      </c>
      <c r="E1444" s="13" t="inlineStr">
        <is>
          <t>Inseticida</t>
        </is>
      </c>
      <c r="F1444" s="13" t="inlineStr">
        <is>
          <t>Ácaro-rajado</t>
        </is>
      </c>
      <c r="G1444" s="13" t="inlineStr">
        <is>
          <t>Tetranychus urticae</t>
        </is>
      </c>
      <c r="H1444" s="13" t="inlineStr">
        <is>
          <t>SIM (*)</t>
        </is>
      </c>
      <c r="I1444" s="18" t="n">
        <v>0.15</v>
      </c>
      <c r="J1444" s="18" t="n">
        <v>0.2</v>
      </c>
      <c r="K1444" s="13" t="inlineStr">
        <is>
          <t>L/ha</t>
        </is>
      </c>
      <c r="L1444" s="15" t="n">
        <v>1</v>
      </c>
      <c r="M1444" s="13" t="inlineStr">
        <is>
          <t>Aplicar conforme monitoramento e estádio recomendado na bula (IRAC Grupo 3A)</t>
        </is>
      </c>
    </row>
    <row r="1445" ht="22" customHeight="1">
      <c r="A1445" s="6" t="inlineStr">
        <is>
          <t>ALV-1441</t>
        </is>
      </c>
      <c r="B1445" s="5" t="n">
        <v>751</v>
      </c>
      <c r="C1445" s="7" t="inlineStr">
        <is>
          <t>Nº 14421</t>
        </is>
      </c>
      <c r="D1445" s="8" t="inlineStr">
        <is>
          <t>LEALTY FS</t>
        </is>
      </c>
      <c r="E1445" s="7" t="inlineStr">
        <is>
          <t>Inseticida e Cupinicida (Fipronil)</t>
        </is>
      </c>
      <c r="F1445" s="7" t="inlineStr">
        <is>
          <t>Coró</t>
        </is>
      </c>
      <c r="G1445" s="7" t="inlineStr">
        <is>
          <t>Phyllophaga cuyabana</t>
        </is>
      </c>
      <c r="H1445" s="7" t="inlineStr">
        <is>
          <t>NÃO</t>
        </is>
      </c>
      <c r="I1445" s="17" t="n">
        <v>0.1</v>
      </c>
      <c r="J1445" s="17" t="n">
        <v>0.2</v>
      </c>
      <c r="K1445" s="7" t="inlineStr">
        <is>
          <t>L/100kg sem.</t>
        </is>
      </c>
      <c r="L1445" s="9" t="n">
        <v>1</v>
      </c>
      <c r="M1445" s="7" t="inlineStr">
        <is>
          <t>Aplicar conforme monitoramento e estádio recomendado na bula (IRAC Grupo 2B)</t>
        </is>
      </c>
    </row>
    <row r="1446" ht="22" customHeight="1">
      <c r="A1446" s="12" t="inlineStr">
        <is>
          <t>ALV-1442</t>
        </is>
      </c>
      <c r="B1446" s="11" t="n">
        <v>751</v>
      </c>
      <c r="C1446" s="13" t="inlineStr">
        <is>
          <t>Nº 14421</t>
        </is>
      </c>
      <c r="D1446" s="14" t="inlineStr">
        <is>
          <t>LEALTY FS</t>
        </is>
      </c>
      <c r="E1446" s="13" t="inlineStr">
        <is>
          <t>Inseticida e Cupinicida (Fipronil)</t>
        </is>
      </c>
      <c r="F1446" s="13" t="inlineStr">
        <is>
          <t>Lagarta-elasmo</t>
        </is>
      </c>
      <c r="G1446" s="13" t="inlineStr">
        <is>
          <t>Elasmopalpus lignosellus</t>
        </is>
      </c>
      <c r="H1446" s="13" t="inlineStr">
        <is>
          <t>NÃO</t>
        </is>
      </c>
      <c r="I1446" s="18" t="n">
        <v>0.1</v>
      </c>
      <c r="J1446" s="18" t="n">
        <v>0.2</v>
      </c>
      <c r="K1446" s="13" t="inlineStr">
        <is>
          <t>L/100kg sem.</t>
        </is>
      </c>
      <c r="L1446" s="15" t="n">
        <v>1</v>
      </c>
      <c r="M1446" s="13" t="inlineStr">
        <is>
          <t>Aplicar conforme monitoramento e estádio recomendado na bula (IRAC Grupo 2B)</t>
        </is>
      </c>
    </row>
    <row r="1447" ht="22" customHeight="1">
      <c r="A1447" s="6" t="inlineStr">
        <is>
          <t>ALV-1443</t>
        </is>
      </c>
      <c r="B1447" s="5" t="n">
        <v>751</v>
      </c>
      <c r="C1447" s="7" t="inlineStr">
        <is>
          <t>Nº 14421</t>
        </is>
      </c>
      <c r="D1447" s="8" t="inlineStr">
        <is>
          <t>LEALTY FS</t>
        </is>
      </c>
      <c r="E1447" s="7" t="inlineStr">
        <is>
          <t>Inseticida e Cupinicida (Fipronil)</t>
        </is>
      </c>
      <c r="F1447" s="7" t="inlineStr">
        <is>
          <t>Cupim-de-montículo</t>
        </is>
      </c>
      <c r="G1447" s="7" t="inlineStr">
        <is>
          <t>Procornitermes triacifer</t>
        </is>
      </c>
      <c r="H1447" s="7" t="inlineStr">
        <is>
          <t>NÃO</t>
        </is>
      </c>
      <c r="I1447" s="17" t="n">
        <v>0.05</v>
      </c>
      <c r="J1447" s="17" t="n">
        <v>0.2</v>
      </c>
      <c r="K1447" s="7" t="inlineStr">
        <is>
          <t>kg ou L/ha</t>
        </is>
      </c>
      <c r="L1447" s="9" t="n">
        <v>1</v>
      </c>
      <c r="M1447" s="7" t="inlineStr">
        <is>
          <t>Aplicar conforme monitoramento e estádio recomendado na bula (IRAC Grupo 2B)</t>
        </is>
      </c>
    </row>
    <row r="1448" ht="22" customHeight="1">
      <c r="A1448" s="12" t="inlineStr">
        <is>
          <t>ALV-1444</t>
        </is>
      </c>
      <c r="B1448" s="11" t="n">
        <v>752</v>
      </c>
      <c r="C1448" s="13" t="inlineStr">
        <is>
          <t>Nº 7023</t>
        </is>
      </c>
      <c r="D1448" s="14" t="inlineStr">
        <is>
          <t>TORINO</t>
        </is>
      </c>
      <c r="E1448" s="13" t="inlineStr">
        <is>
          <t>Fungicida</t>
        </is>
      </c>
      <c r="F1448" s="13" t="inlineStr">
        <is>
          <t>Mofo-branco</t>
        </is>
      </c>
      <c r="G1448" s="13" t="inlineStr">
        <is>
          <t>Sclerotinia sclerotiorum</t>
        </is>
      </c>
      <c r="H1448" s="13" t="inlineStr">
        <is>
          <t>NÃO</t>
        </is>
      </c>
      <c r="I1448" s="18" t="n">
        <v>0.8</v>
      </c>
      <c r="J1448" s="15" t="n">
        <v>1</v>
      </c>
      <c r="K1448" s="13" t="inlineStr">
        <is>
          <t>L/ha</t>
        </is>
      </c>
      <c r="L1448" s="15" t="n">
        <v>1</v>
      </c>
      <c r="M1448" s="13" t="inlineStr">
        <is>
          <t>Aplicar conforme monitoramento e estádio recomendado na bula (FRAC Grupo 1 (MBC))</t>
        </is>
      </c>
    </row>
    <row r="1449" ht="22" customHeight="1">
      <c r="A1449" s="6" t="inlineStr">
        <is>
          <t>ALV-1445</t>
        </is>
      </c>
      <c r="B1449" s="5" t="n">
        <v>752</v>
      </c>
      <c r="C1449" s="7" t="inlineStr">
        <is>
          <t>Nº 7023</t>
        </is>
      </c>
      <c r="D1449" s="8" t="inlineStr">
        <is>
          <t>TORINO</t>
        </is>
      </c>
      <c r="E1449" s="7" t="inlineStr">
        <is>
          <t>Fungicida</t>
        </is>
      </c>
      <c r="F1449" s="7" t="inlineStr">
        <is>
          <t>Antracnose</t>
        </is>
      </c>
      <c r="G1449" s="7" t="inlineStr">
        <is>
          <t>Colletotrichum lindemuthianum</t>
        </is>
      </c>
      <c r="H1449" s="7" t="inlineStr">
        <is>
          <t>NÃO</t>
        </is>
      </c>
      <c r="I1449" s="17" t="n">
        <v>0.7</v>
      </c>
      <c r="J1449" s="9" t="n">
        <v>1</v>
      </c>
      <c r="K1449" s="7" t="inlineStr">
        <is>
          <t>L/ha</t>
        </is>
      </c>
      <c r="L1449" s="9" t="n">
        <v>1</v>
      </c>
      <c r="M1449" s="7" t="inlineStr">
        <is>
          <t>Aplicar conforme monitoramento e estádio recomendado na bula (FRAC Grupo 1 (MBC))</t>
        </is>
      </c>
    </row>
    <row r="1450" ht="22" customHeight="1">
      <c r="A1450" s="12" t="inlineStr">
        <is>
          <t>ALV-1446</t>
        </is>
      </c>
      <c r="B1450" s="11" t="n">
        <v>753</v>
      </c>
      <c r="C1450" s="13" t="inlineStr">
        <is>
          <t>Nº 2218</t>
        </is>
      </c>
      <c r="D1450" s="14" t="inlineStr">
        <is>
          <t>ACETA 4X5 KG IMP AH</t>
        </is>
      </c>
      <c r="E1450" s="13" t="inlineStr">
        <is>
          <t>Inseticida</t>
        </is>
      </c>
      <c r="F1450" s="13" t="inlineStr">
        <is>
          <t>Mosca-branca</t>
        </is>
      </c>
      <c r="G1450" s="13" t="inlineStr">
        <is>
          <t>Bemisia tabaci raça B</t>
        </is>
      </c>
      <c r="H1450" s="13" t="inlineStr">
        <is>
          <t>SIM (*)</t>
        </is>
      </c>
      <c r="I1450" s="18" t="n">
        <v>0.2</v>
      </c>
      <c r="J1450" s="18" t="n">
        <v>0.3</v>
      </c>
      <c r="K1450" s="13" t="inlineStr">
        <is>
          <t>kg/ha</t>
        </is>
      </c>
      <c r="L1450" s="15" t="n">
        <v>1</v>
      </c>
      <c r="M1450" s="13" t="inlineStr">
        <is>
          <t>Aplicar conforme monitoramento e estádio recomendado na bula (IRAC Grupo 4A)</t>
        </is>
      </c>
    </row>
    <row r="1451" ht="22" customHeight="1">
      <c r="A1451" s="6" t="inlineStr">
        <is>
          <t>ALV-1447</t>
        </is>
      </c>
      <c r="B1451" s="5" t="n">
        <v>753</v>
      </c>
      <c r="C1451" s="7" t="inlineStr">
        <is>
          <t>Nº 2218</t>
        </is>
      </c>
      <c r="D1451" s="8" t="inlineStr">
        <is>
          <t>ACETA 4X5 KG IMP AH</t>
        </is>
      </c>
      <c r="E1451" s="7" t="inlineStr">
        <is>
          <t>Inseticida</t>
        </is>
      </c>
      <c r="F1451" s="7" t="inlineStr">
        <is>
          <t>Pulgão-do-algodoeiro</t>
        </is>
      </c>
      <c r="G1451" s="7" t="inlineStr">
        <is>
          <t>Aphis gossypii</t>
        </is>
      </c>
      <c r="H1451" s="7" t="inlineStr">
        <is>
          <t>NÃO</t>
        </is>
      </c>
      <c r="I1451" s="17" t="n">
        <v>0.15</v>
      </c>
      <c r="J1451" s="17" t="n">
        <v>0.25</v>
      </c>
      <c r="K1451" s="7" t="inlineStr">
        <is>
          <t>kg/ha</t>
        </is>
      </c>
      <c r="L1451" s="9" t="n">
        <v>1</v>
      </c>
      <c r="M1451" s="7" t="inlineStr">
        <is>
          <t>Aplicar conforme monitoramento e estádio recomendado na bula (IRAC Grupo 4A)</t>
        </is>
      </c>
    </row>
    <row r="1452" ht="22" customHeight="1">
      <c r="A1452" s="12" t="inlineStr">
        <is>
          <t>ALV-1448</t>
        </is>
      </c>
      <c r="B1452" s="11" t="n">
        <v>753</v>
      </c>
      <c r="C1452" s="13" t="inlineStr">
        <is>
          <t>Nº 2218</t>
        </is>
      </c>
      <c r="D1452" s="14" t="inlineStr">
        <is>
          <t>ACETA 4X5 KG IMP AH</t>
        </is>
      </c>
      <c r="E1452" s="13" t="inlineStr">
        <is>
          <t>Inseticida</t>
        </is>
      </c>
      <c r="F1452" s="13" t="inlineStr">
        <is>
          <t>Percevejo-marrom</t>
        </is>
      </c>
      <c r="G1452" s="13" t="inlineStr">
        <is>
          <t>Euschistus heros</t>
        </is>
      </c>
      <c r="H1452" s="13" t="inlineStr">
        <is>
          <t>NÃO</t>
        </is>
      </c>
      <c r="I1452" s="18" t="n">
        <v>0.25</v>
      </c>
      <c r="J1452" s="18" t="n">
        <v>0.35</v>
      </c>
      <c r="K1452" s="13" t="inlineStr">
        <is>
          <t>kg/ha</t>
        </is>
      </c>
      <c r="L1452" s="15" t="n">
        <v>1</v>
      </c>
      <c r="M1452" s="13" t="inlineStr">
        <is>
          <t>Aplicar conforme monitoramento e estádio recomendado na bula (IRAC Grupo 4A)</t>
        </is>
      </c>
    </row>
    <row r="1453" ht="22" customHeight="1">
      <c r="A1453" s="6" t="inlineStr">
        <is>
          <t>ALV-1449</t>
        </is>
      </c>
      <c r="B1453" s="5" t="n">
        <v>754</v>
      </c>
      <c r="C1453" s="7" t="inlineStr">
        <is>
          <t>Nº 1223</t>
        </is>
      </c>
      <c r="D1453" s="8" t="inlineStr">
        <is>
          <t>FULLGUARD</t>
        </is>
      </c>
      <c r="E1453" s="7" t="inlineStr">
        <is>
          <t>Herbicida</t>
        </is>
      </c>
      <c r="F1453" s="7" t="inlineStr">
        <is>
          <t>Corda-de-viola</t>
        </is>
      </c>
      <c r="G1453" s="7" t="inlineStr">
        <is>
          <t>Ipomoea grandifolia</t>
        </is>
      </c>
      <c r="H1453" s="7" t="inlineStr">
        <is>
          <t>NÃO</t>
        </is>
      </c>
      <c r="I1453" s="17" t="n">
        <v>0.05</v>
      </c>
      <c r="J1453" s="17" t="n">
        <v>0.125</v>
      </c>
      <c r="K1453" s="7" t="inlineStr">
        <is>
          <t>L/ha</t>
        </is>
      </c>
      <c r="L1453" s="9" t="n">
        <v>1</v>
      </c>
      <c r="M1453" s="7" t="inlineStr">
        <is>
          <t>Aplicar conforme monitoramento e estádio recomendado na bula (HRAC Grupo E (14) — Inibidores da PROTOX)</t>
        </is>
      </c>
    </row>
    <row r="1454" ht="22" customHeight="1">
      <c r="A1454" s="12" t="inlineStr">
        <is>
          <t>ALV-1450</t>
        </is>
      </c>
      <c r="B1454" s="11" t="n">
        <v>754</v>
      </c>
      <c r="C1454" s="13" t="inlineStr">
        <is>
          <t>Nº 1223</t>
        </is>
      </c>
      <c r="D1454" s="14" t="inlineStr">
        <is>
          <t>FULLGUARD</t>
        </is>
      </c>
      <c r="E1454" s="13" t="inlineStr">
        <is>
          <t>Herbicida</t>
        </is>
      </c>
      <c r="F1454" s="13" t="inlineStr">
        <is>
          <t>Trapoeraba</t>
        </is>
      </c>
      <c r="G1454" s="13" t="inlineStr">
        <is>
          <t>Commelina benghalensis</t>
        </is>
      </c>
      <c r="H1454" s="13" t="inlineStr">
        <is>
          <t>NÃO</t>
        </is>
      </c>
      <c r="I1454" s="18" t="n">
        <v>0.05</v>
      </c>
      <c r="J1454" s="18" t="n">
        <v>0.125</v>
      </c>
      <c r="K1454" s="13" t="inlineStr">
        <is>
          <t>L/ha</t>
        </is>
      </c>
      <c r="L1454" s="15" t="n">
        <v>1</v>
      </c>
      <c r="M1454" s="13" t="inlineStr">
        <is>
          <t>Aplicar conforme monitoramento e estádio recomendado na bula (HRAC Grupo E (14) — Inibidores da PROTOX)</t>
        </is>
      </c>
    </row>
    <row r="1455" ht="22" customHeight="1">
      <c r="A1455" s="6" t="inlineStr">
        <is>
          <t>ALV-1451</t>
        </is>
      </c>
      <c r="B1455" s="5" t="n">
        <v>755</v>
      </c>
      <c r="C1455" s="7" t="inlineStr">
        <is>
          <t>Nº 19122</t>
        </is>
      </c>
      <c r="D1455" s="8" t="inlineStr">
        <is>
          <t>AVENCA</t>
        </is>
      </c>
      <c r="E1455" s="7" t="inlineStr">
        <is>
          <t>Fungicida</t>
        </is>
      </c>
      <c r="F1455" s="7" t="inlineStr">
        <is>
          <t>Ferrugem-asiática</t>
        </is>
      </c>
      <c r="G1455" s="7" t="inlineStr">
        <is>
          <t>Phakopsora pachyrhizi</t>
        </is>
      </c>
      <c r="H1455" s="7" t="inlineStr">
        <is>
          <t>NÃO</t>
        </is>
      </c>
      <c r="I1455" s="17" t="n">
        <v>1.5</v>
      </c>
      <c r="J1455" s="9" t="n">
        <v>2</v>
      </c>
      <c r="K1455" s="7" t="inlineStr">
        <is>
          <t>L ou kg/ha</t>
        </is>
      </c>
      <c r="L1455" s="9" t="n">
        <v>1</v>
      </c>
      <c r="M1455" s="7" t="inlineStr">
        <is>
          <t>Aplicar conforme monitoramento e estádio recomendado na bula (FRAC Grupo M05 — Multissítio)</t>
        </is>
      </c>
    </row>
    <row r="1456" ht="22" customHeight="1">
      <c r="A1456" s="12" t="inlineStr">
        <is>
          <t>ALV-1452</t>
        </is>
      </c>
      <c r="B1456" s="11" t="n">
        <v>755</v>
      </c>
      <c r="C1456" s="13" t="inlineStr">
        <is>
          <t>Nº 19122</t>
        </is>
      </c>
      <c r="D1456" s="14" t="inlineStr">
        <is>
          <t>AVENCA</t>
        </is>
      </c>
      <c r="E1456" s="13" t="inlineStr">
        <is>
          <t>Fungicida</t>
        </is>
      </c>
      <c r="F1456" s="13" t="inlineStr">
        <is>
          <t>Mancha-alvo</t>
        </is>
      </c>
      <c r="G1456" s="13" t="inlineStr">
        <is>
          <t>Corynespora cassiicola</t>
        </is>
      </c>
      <c r="H1456" s="13" t="inlineStr">
        <is>
          <t>NÃO</t>
        </is>
      </c>
      <c r="I1456" s="18" t="n">
        <v>1.5</v>
      </c>
      <c r="J1456" s="18" t="n">
        <v>2.5</v>
      </c>
      <c r="K1456" s="13" t="inlineStr">
        <is>
          <t>L ou kg/ha</t>
        </is>
      </c>
      <c r="L1456" s="15" t="n">
        <v>1</v>
      </c>
      <c r="M1456" s="13" t="inlineStr">
        <is>
          <t>Aplicar conforme monitoramento e estádio recomendado na bula (FRAC Grupo M05 — Multissítio)</t>
        </is>
      </c>
    </row>
    <row r="1457" ht="22" customHeight="1">
      <c r="A1457" s="6" t="inlineStr">
        <is>
          <t>ALV-1453</t>
        </is>
      </c>
      <c r="B1457" s="5" t="n">
        <v>755</v>
      </c>
      <c r="C1457" s="7" t="inlineStr">
        <is>
          <t>Nº 19122</t>
        </is>
      </c>
      <c r="D1457" s="8" t="inlineStr">
        <is>
          <t>AVENCA</t>
        </is>
      </c>
      <c r="E1457" s="7" t="inlineStr">
        <is>
          <t>Fungicida</t>
        </is>
      </c>
      <c r="F1457" s="7" t="inlineStr">
        <is>
          <t>Cercosporiose</t>
        </is>
      </c>
      <c r="G1457" s="7" t="inlineStr">
        <is>
          <t>Cercospora kikuchii</t>
        </is>
      </c>
      <c r="H1457" s="7" t="inlineStr">
        <is>
          <t>NÃO</t>
        </is>
      </c>
      <c r="I1457" s="17" t="n">
        <v>1.5</v>
      </c>
      <c r="J1457" s="9" t="n">
        <v>2</v>
      </c>
      <c r="K1457" s="7" t="inlineStr">
        <is>
          <t>L ou kg/ha</t>
        </is>
      </c>
      <c r="L1457" s="9" t="n">
        <v>1</v>
      </c>
      <c r="M1457" s="7" t="inlineStr">
        <is>
          <t>Aplicar conforme monitoramento e estádio recomendado na bula (FRAC Grupo M05 — Multissítio)</t>
        </is>
      </c>
    </row>
    <row r="1458" ht="22" customHeight="1">
      <c r="A1458" s="12" t="inlineStr">
        <is>
          <t>ALV-1454</t>
        </is>
      </c>
      <c r="B1458" s="11" t="n">
        <v>756</v>
      </c>
      <c r="C1458" s="13" t="inlineStr">
        <is>
          <t>Nº 3621</t>
        </is>
      </c>
      <c r="D1458" s="14" t="inlineStr">
        <is>
          <t>TECNUP MAX 720 WG</t>
        </is>
      </c>
      <c r="E1458" s="13" t="inlineStr">
        <is>
          <t>Herbicida</t>
        </is>
      </c>
      <c r="F1458" s="13" t="inlineStr">
        <is>
          <t>Capim-amargoso</t>
        </is>
      </c>
      <c r="G1458" s="13" t="inlineStr">
        <is>
          <t>Digitaria insularis</t>
        </is>
      </c>
      <c r="H1458" s="13" t="inlineStr">
        <is>
          <t>SIM (*)</t>
        </is>
      </c>
      <c r="I1458" s="18" t="n">
        <v>1.5</v>
      </c>
      <c r="J1458" s="18" t="n">
        <v>2.5</v>
      </c>
      <c r="K1458" s="13" t="inlineStr">
        <is>
          <t>kg ou L/ha</t>
        </is>
      </c>
      <c r="L1458" s="15" t="n">
        <v>1</v>
      </c>
      <c r="M1458" s="13" t="inlineStr">
        <is>
          <t>Aplicar conforme monitoramento e estádio recomendado na bula (HRAC Grupo G (EPSPs))</t>
        </is>
      </c>
    </row>
    <row r="1459" ht="22" customHeight="1">
      <c r="A1459" s="6" t="inlineStr">
        <is>
          <t>ALV-1455</t>
        </is>
      </c>
      <c r="B1459" s="5" t="n">
        <v>756</v>
      </c>
      <c r="C1459" s="7" t="inlineStr">
        <is>
          <t>Nº 3621</t>
        </is>
      </c>
      <c r="D1459" s="8" t="inlineStr">
        <is>
          <t>TECNUP MAX 720 WG</t>
        </is>
      </c>
      <c r="E1459" s="7" t="inlineStr">
        <is>
          <t>Herbicida</t>
        </is>
      </c>
      <c r="F1459" s="7" t="inlineStr">
        <is>
          <t>Buva</t>
        </is>
      </c>
      <c r="G1459" s="7" t="inlineStr">
        <is>
          <t>Conyza bonariensis</t>
        </is>
      </c>
      <c r="H1459" s="7" t="inlineStr">
        <is>
          <t>SIM (*)</t>
        </is>
      </c>
      <c r="I1459" s="9" t="n">
        <v>1</v>
      </c>
      <c r="J1459" s="9" t="n">
        <v>2</v>
      </c>
      <c r="K1459" s="7" t="inlineStr">
        <is>
          <t>kg ou L/ha</t>
        </is>
      </c>
      <c r="L1459" s="9" t="n">
        <v>1</v>
      </c>
      <c r="M1459" s="7" t="inlineStr">
        <is>
          <t>Aplicar conforme monitoramento e estádio recomendado na bula (HRAC Grupo G (EPSPs))</t>
        </is>
      </c>
    </row>
    <row r="1460" ht="22" customHeight="1">
      <c r="A1460" s="12" t="inlineStr">
        <is>
          <t>ALV-1456</t>
        </is>
      </c>
      <c r="B1460" s="11" t="n">
        <v>756</v>
      </c>
      <c r="C1460" s="13" t="inlineStr">
        <is>
          <t>Nº 3621</t>
        </is>
      </c>
      <c r="D1460" s="14" t="inlineStr">
        <is>
          <t>TECNUP MAX 720 WG</t>
        </is>
      </c>
      <c r="E1460" s="13" t="inlineStr">
        <is>
          <t>Herbicida</t>
        </is>
      </c>
      <c r="F1460" s="13" t="inlineStr">
        <is>
          <t>Capim-pé-de-galinha</t>
        </is>
      </c>
      <c r="G1460" s="13" t="inlineStr">
        <is>
          <t>Eleusine indica</t>
        </is>
      </c>
      <c r="H1460" s="13" t="inlineStr">
        <is>
          <t>SIM (*)</t>
        </is>
      </c>
      <c r="I1460" s="15" t="n">
        <v>1</v>
      </c>
      <c r="J1460" s="18" t="n">
        <v>1.5</v>
      </c>
      <c r="K1460" s="13" t="inlineStr">
        <is>
          <t>kg ou L/ha</t>
        </is>
      </c>
      <c r="L1460" s="15" t="n">
        <v>1</v>
      </c>
      <c r="M1460" s="13" t="inlineStr">
        <is>
          <t>Aplicar conforme monitoramento e estádio recomendado na bula (HRAC Grupo G (EPSPs))</t>
        </is>
      </c>
    </row>
    <row r="1461" ht="22" customHeight="1">
      <c r="A1461" s="6" t="inlineStr">
        <is>
          <t>ALV-1457</t>
        </is>
      </c>
      <c r="B1461" s="5" t="n">
        <v>756</v>
      </c>
      <c r="C1461" s="7" t="inlineStr">
        <is>
          <t>Nº 3621</t>
        </is>
      </c>
      <c r="D1461" s="8" t="inlineStr">
        <is>
          <t>TECNUP MAX 720 WG</t>
        </is>
      </c>
      <c r="E1461" s="7" t="inlineStr">
        <is>
          <t>Herbicida</t>
        </is>
      </c>
      <c r="F1461" s="7" t="inlineStr">
        <is>
          <t>Trapoeraba</t>
        </is>
      </c>
      <c r="G1461" s="7" t="inlineStr">
        <is>
          <t>Commelina benghalensis</t>
        </is>
      </c>
      <c r="H1461" s="7" t="inlineStr">
        <is>
          <t>NÃO</t>
        </is>
      </c>
      <c r="I1461" s="9" t="n">
        <v>2</v>
      </c>
      <c r="J1461" s="17" t="n">
        <v>3.5</v>
      </c>
      <c r="K1461" s="7" t="inlineStr">
        <is>
          <t>kg ou L/ha</t>
        </is>
      </c>
      <c r="L1461" s="9" t="n">
        <v>1</v>
      </c>
      <c r="M1461" s="7" t="inlineStr">
        <is>
          <t>Aplicar conforme monitoramento e estádio recomendado na bula (HRAC Grupo G (EPSPs))</t>
        </is>
      </c>
    </row>
    <row r="1462" ht="22" customHeight="1">
      <c r="A1462" s="12" t="inlineStr">
        <is>
          <t>ALV-1458</t>
        </is>
      </c>
      <c r="B1462" s="11" t="n">
        <v>757</v>
      </c>
      <c r="C1462" s="13" t="inlineStr">
        <is>
          <t>Nº 5622</t>
        </is>
      </c>
      <c r="D1462" s="14" t="inlineStr">
        <is>
          <t>FIERA SC</t>
        </is>
      </c>
      <c r="E1462" s="13" t="inlineStr">
        <is>
          <t>Inseticida</t>
        </is>
      </c>
      <c r="F1462" s="13" t="inlineStr">
        <is>
          <t>Complexo de Lagartas, Percevejos e Sugadores</t>
        </is>
      </c>
      <c r="G1462" s="13" t="inlineStr">
        <is>
          <t>Spodoptera / Euschistus / Bemisia</t>
        </is>
      </c>
      <c r="H1462" s="13" t="inlineStr">
        <is>
          <t>NÃO</t>
        </is>
      </c>
      <c r="I1462" s="18" t="n">
        <v>0.15</v>
      </c>
      <c r="J1462" s="15" t="n">
        <v>1</v>
      </c>
      <c r="K1462" s="13" t="inlineStr">
        <is>
          <t>L ou kg/ha</t>
        </is>
      </c>
      <c r="L1462" s="15" t="n">
        <v>1</v>
      </c>
      <c r="M1462" s="13" t="inlineStr">
        <is>
          <t>Aplicar conforme monitoramento e estádio recomendado na bula (Classificação IRAC Oficial conforme Bula)</t>
        </is>
      </c>
    </row>
    <row r="1463" ht="22" customHeight="1">
      <c r="A1463" s="6" t="inlineStr">
        <is>
          <t>ALV-1459</t>
        </is>
      </c>
      <c r="B1463" s="5" t="n">
        <v>758</v>
      </c>
      <c r="C1463" s="7" t="inlineStr">
        <is>
          <t>Nº 5725</t>
        </is>
      </c>
      <c r="D1463" s="8" t="inlineStr">
        <is>
          <t>ESIFON FULL</t>
        </is>
      </c>
      <c r="E1463" s="7" t="inlineStr">
        <is>
          <t>Regulador de Crescimento</t>
        </is>
      </c>
      <c r="F1463" s="7" t="inlineStr">
        <is>
          <t>Indução de Maturação Uniforme, Abertura de Maçãs (Algodão) e Inibição de Florescimento (Cana)</t>
        </is>
      </c>
      <c r="G1463" s="7" t="inlineStr">
        <is>
          <t>Gossypium hirsutum / Saccharum officinarum (Manejo Fisiológico)</t>
        </is>
      </c>
      <c r="H1463" s="7" t="inlineStr">
        <is>
          <t>NÃO</t>
        </is>
      </c>
      <c r="I1463" s="17" t="n">
        <v>0.67</v>
      </c>
      <c r="J1463" s="9" t="n">
        <v>2</v>
      </c>
      <c r="K1463" s="7" t="inlineStr">
        <is>
          <t>L/ha</t>
        </is>
      </c>
      <c r="L1463" s="9" t="n">
        <v>1</v>
      </c>
      <c r="M1463" s="7" t="inlineStr">
        <is>
          <t>Aplicar no estádio fenológico específico de maturação ou pré-indução floral conforme bula</t>
        </is>
      </c>
    </row>
    <row r="1464" ht="22" customHeight="1">
      <c r="A1464" s="12" t="inlineStr">
        <is>
          <t>ALV-1460</t>
        </is>
      </c>
      <c r="B1464" s="11" t="n">
        <v>759</v>
      </c>
      <c r="C1464" s="13" t="inlineStr">
        <is>
          <t>Nº 14421</t>
        </is>
      </c>
      <c r="D1464" s="14" t="inlineStr">
        <is>
          <t>LEALTY FS</t>
        </is>
      </c>
      <c r="E1464" s="13" t="inlineStr">
        <is>
          <t>Inseticida e Cupinicida (Fipronil)</t>
        </is>
      </c>
      <c r="F1464" s="13" t="inlineStr">
        <is>
          <t>Coró</t>
        </is>
      </c>
      <c r="G1464" s="13" t="inlineStr">
        <is>
          <t>Phyllophaga cuyabana</t>
        </is>
      </c>
      <c r="H1464" s="13" t="inlineStr">
        <is>
          <t>NÃO</t>
        </is>
      </c>
      <c r="I1464" s="18" t="n">
        <v>0.1</v>
      </c>
      <c r="J1464" s="18" t="n">
        <v>0.2</v>
      </c>
      <c r="K1464" s="13" t="inlineStr">
        <is>
          <t>L/100kg sem.</t>
        </is>
      </c>
      <c r="L1464" s="15" t="n">
        <v>1</v>
      </c>
      <c r="M1464" s="13" t="inlineStr">
        <is>
          <t>Aplicar conforme monitoramento e estádio recomendado na bula (IRAC Grupo 2B)</t>
        </is>
      </c>
    </row>
    <row r="1465" ht="22" customHeight="1">
      <c r="A1465" s="6" t="inlineStr">
        <is>
          <t>ALV-1461</t>
        </is>
      </c>
      <c r="B1465" s="5" t="n">
        <v>759</v>
      </c>
      <c r="C1465" s="7" t="inlineStr">
        <is>
          <t>Nº 14421</t>
        </is>
      </c>
      <c r="D1465" s="8" t="inlineStr">
        <is>
          <t>LEALTY FS</t>
        </is>
      </c>
      <c r="E1465" s="7" t="inlineStr">
        <is>
          <t>Inseticida e Cupinicida (Fipronil)</t>
        </is>
      </c>
      <c r="F1465" s="7" t="inlineStr">
        <is>
          <t>Lagarta-elasmo</t>
        </is>
      </c>
      <c r="G1465" s="7" t="inlineStr">
        <is>
          <t>Elasmopalpus lignosellus</t>
        </is>
      </c>
      <c r="H1465" s="7" t="inlineStr">
        <is>
          <t>NÃO</t>
        </is>
      </c>
      <c r="I1465" s="17" t="n">
        <v>0.1</v>
      </c>
      <c r="J1465" s="17" t="n">
        <v>0.2</v>
      </c>
      <c r="K1465" s="7" t="inlineStr">
        <is>
          <t>L/100kg sem.</t>
        </is>
      </c>
      <c r="L1465" s="9" t="n">
        <v>1</v>
      </c>
      <c r="M1465" s="7" t="inlineStr">
        <is>
          <t>Aplicar conforme monitoramento e estádio recomendado na bula (IRAC Grupo 2B)</t>
        </is>
      </c>
    </row>
    <row r="1466" ht="22" customHeight="1">
      <c r="A1466" s="12" t="inlineStr">
        <is>
          <t>ALV-1462</t>
        </is>
      </c>
      <c r="B1466" s="11" t="n">
        <v>759</v>
      </c>
      <c r="C1466" s="13" t="inlineStr">
        <is>
          <t>Nº 14421</t>
        </is>
      </c>
      <c r="D1466" s="14" t="inlineStr">
        <is>
          <t>LEALTY FS</t>
        </is>
      </c>
      <c r="E1466" s="13" t="inlineStr">
        <is>
          <t>Inseticida e Cupinicida (Fipronil)</t>
        </is>
      </c>
      <c r="F1466" s="13" t="inlineStr">
        <is>
          <t>Cupim-de-montículo</t>
        </is>
      </c>
      <c r="G1466" s="13" t="inlineStr">
        <is>
          <t>Procornitermes triacifer</t>
        </is>
      </c>
      <c r="H1466" s="13" t="inlineStr">
        <is>
          <t>NÃO</t>
        </is>
      </c>
      <c r="I1466" s="18" t="n">
        <v>0.05</v>
      </c>
      <c r="J1466" s="18" t="n">
        <v>0.2</v>
      </c>
      <c r="K1466" s="13" t="inlineStr">
        <is>
          <t>kg ou L/ha</t>
        </is>
      </c>
      <c r="L1466" s="15" t="n">
        <v>1</v>
      </c>
      <c r="M1466" s="13" t="inlineStr">
        <is>
          <t>Aplicar conforme monitoramento e estádio recomendado na bula (IRAC Grupo 2B)</t>
        </is>
      </c>
    </row>
    <row r="1467" ht="22" customHeight="1">
      <c r="A1467" s="6" t="inlineStr">
        <is>
          <t>ALV-1463</t>
        </is>
      </c>
      <c r="B1467" s="5" t="n">
        <v>760</v>
      </c>
      <c r="C1467" s="7" t="inlineStr">
        <is>
          <t>Nº 5622</t>
        </is>
      </c>
      <c r="D1467" s="8" t="inlineStr">
        <is>
          <t>FIERA SC</t>
        </is>
      </c>
      <c r="E1467" s="7" t="inlineStr">
        <is>
          <t>Inseticida</t>
        </is>
      </c>
      <c r="F1467" s="7" t="inlineStr">
        <is>
          <t>Complexo de Lagartas, Percevejos e Sugadores</t>
        </is>
      </c>
      <c r="G1467" s="7" t="inlineStr">
        <is>
          <t>Spodoptera / Euschistus / Bemisia</t>
        </is>
      </c>
      <c r="H1467" s="7" t="inlineStr">
        <is>
          <t>NÃO</t>
        </is>
      </c>
      <c r="I1467" s="17" t="n">
        <v>0.15</v>
      </c>
      <c r="J1467" s="9" t="n">
        <v>1</v>
      </c>
      <c r="K1467" s="7" t="inlineStr">
        <is>
          <t>L ou kg/ha</t>
        </is>
      </c>
      <c r="L1467" s="9" t="n">
        <v>1</v>
      </c>
      <c r="M1467" s="7" t="inlineStr">
        <is>
          <t>Aplicar conforme monitoramento e estádio recomendado na bula (Classificação IRAC Oficial conforme Bula)</t>
        </is>
      </c>
    </row>
    <row r="1468" ht="22" customHeight="1">
      <c r="A1468" s="12" t="inlineStr">
        <is>
          <t>ALV-1464</t>
        </is>
      </c>
      <c r="B1468" s="11" t="n">
        <v>761</v>
      </c>
      <c r="C1468" s="13" t="inlineStr">
        <is>
          <t>SIPEAGRO (UF-XXXXX)</t>
        </is>
      </c>
      <c r="D1468" s="14" t="inlineStr">
        <is>
          <t>FERTILIZANTE 00 00 60 KCL - YARA</t>
        </is>
      </c>
      <c r="E1468" s="13" t="inlineStr">
        <is>
          <t>Fertilizante Mineral Simples (Potássico / Magnesiano)</t>
        </is>
      </c>
      <c r="F1468" s="13" t="inlineStr">
        <is>
          <t>Nutrição e Correção de Deficiência Mineral</t>
        </is>
      </c>
      <c r="G1468" s="13" t="inlineStr">
        <is>
          <t>Nutrição Vegetal</t>
        </is>
      </c>
      <c r="H1468" s="13" t="inlineStr">
        <is>
          <t>NÃO</t>
        </is>
      </c>
      <c r="I1468" s="15" t="n">
        <v>1</v>
      </c>
      <c r="J1468" s="15" t="n">
        <v>250</v>
      </c>
      <c r="K1468" s="13" t="inlineStr">
        <is>
          <t>kg ou L/ha</t>
        </is>
      </c>
      <c r="L1468" s="15" t="n">
        <v>1</v>
      </c>
      <c r="M1468" s="13" t="inlineStr">
        <is>
          <t>Aplicar conforme monitoramento e estádio recomendado na bula (Nutrição Vegetal SIPEAGRO)</t>
        </is>
      </c>
    </row>
    <row r="1469" ht="22" customHeight="1">
      <c r="A1469" s="6" t="inlineStr">
        <is>
          <t>ALV-1465</t>
        </is>
      </c>
      <c r="B1469" s="5" t="n">
        <v>762</v>
      </c>
      <c r="C1469" s="7" t="inlineStr">
        <is>
          <t>Nº 40624</t>
        </is>
      </c>
      <c r="D1469" s="8" t="inlineStr">
        <is>
          <t>SHARK - CLORPIRIFOS 480 EC (PRINCIPIO ATIVO)</t>
        </is>
      </c>
      <c r="E1469" s="7" t="inlineStr">
        <is>
          <t>Insumo Industrial</t>
        </is>
      </c>
      <c r="F1469" s="7" t="inlineStr">
        <is>
          <t>Matéria-prima para Formulação Industrial</t>
        </is>
      </c>
      <c r="G1469" s="7" t="inlineStr">
        <is>
          <t>Uso Industrial Credenciado MAPA</t>
        </is>
      </c>
      <c r="H1469" s="7" t="inlineStr">
        <is>
          <t>NÃO</t>
        </is>
      </c>
      <c r="I1469" s="9" t="n">
        <v>0</v>
      </c>
      <c r="J1469" s="9" t="n">
        <v>0</v>
      </c>
      <c r="K1469" s="7" t="inlineStr">
        <is>
          <t>L</t>
        </is>
      </c>
      <c r="L1469" s="9" t="n">
        <v>1</v>
      </c>
      <c r="M1469" s="7" t="inlineStr">
        <is>
          <t>Uso restrito a estabelecimentos formuladores registrados</t>
        </is>
      </c>
    </row>
    <row r="1470" ht="22" customHeight="1">
      <c r="A1470" s="12" t="inlineStr">
        <is>
          <t>ALV-1466</t>
        </is>
      </c>
      <c r="B1470" s="11" t="n">
        <v>763</v>
      </c>
      <c r="C1470" s="13" t="inlineStr">
        <is>
          <t>SIPEAGRO (UF-XXXXX)</t>
        </is>
      </c>
      <c r="D1470" s="14" t="inlineStr">
        <is>
          <t>CLORETO DE POTASSIO GRAN KCL - FERTIPAR</t>
        </is>
      </c>
      <c r="E1470" s="13" t="inlineStr">
        <is>
          <t>Fertilizante Mineral Simples (Potássico / Magnesiano)</t>
        </is>
      </c>
      <c r="F1470" s="13" t="inlineStr">
        <is>
          <t>Nutrição e Correção de Deficiência Mineral</t>
        </is>
      </c>
      <c r="G1470" s="13" t="inlineStr">
        <is>
          <t>Nutrição Vegetal</t>
        </is>
      </c>
      <c r="H1470" s="13" t="inlineStr">
        <is>
          <t>NÃO</t>
        </is>
      </c>
      <c r="I1470" s="15" t="n">
        <v>1</v>
      </c>
      <c r="J1470" s="15" t="n">
        <v>250</v>
      </c>
      <c r="K1470" s="13" t="inlineStr">
        <is>
          <t>kg ou L/ha</t>
        </is>
      </c>
      <c r="L1470" s="15" t="n">
        <v>1</v>
      </c>
      <c r="M1470" s="13" t="inlineStr">
        <is>
          <t>Aplicar conforme monitoramento e estádio recomendado na bula (Nutrição Vegetal SIPEAGRO)</t>
        </is>
      </c>
    </row>
    <row r="1471" ht="22" customHeight="1">
      <c r="A1471" s="6" t="inlineStr">
        <is>
          <t>ALV-1467</t>
        </is>
      </c>
      <c r="B1471" s="5" t="n">
        <v>764</v>
      </c>
      <c r="C1471" s="7" t="inlineStr">
        <is>
          <t>Nº 15025</t>
        </is>
      </c>
      <c r="D1471" s="8" t="inlineStr">
        <is>
          <t>PROTHIOCONAZOLE + TRIFLOXYSTROBIN</t>
        </is>
      </c>
      <c r="E1471" s="7" t="inlineStr">
        <is>
          <t>Fungicida</t>
        </is>
      </c>
      <c r="F1471" s="7" t="inlineStr">
        <is>
          <t>Ferrugem-asiática</t>
        </is>
      </c>
      <c r="G1471" s="7" t="inlineStr">
        <is>
          <t>Phakopsora pachyrhizi</t>
        </is>
      </c>
      <c r="H1471" s="7" t="inlineStr">
        <is>
          <t>NÃO</t>
        </is>
      </c>
      <c r="I1471" s="17" t="n">
        <v>0.35</v>
      </c>
      <c r="J1471" s="17" t="n">
        <v>0.5</v>
      </c>
      <c r="K1471" s="7" t="inlineStr">
        <is>
          <t>L/ha</t>
        </is>
      </c>
      <c r="L1471" s="9" t="n">
        <v>1</v>
      </c>
      <c r="M1471" s="7" t="inlineStr">
        <is>
          <t>Aplicar conforme monitoramento e estádio recomendado na bula (FRAC Grupo 3 (DMI))</t>
        </is>
      </c>
    </row>
    <row r="1472" ht="22" customHeight="1">
      <c r="A1472" s="12" t="inlineStr">
        <is>
          <t>ALV-1468</t>
        </is>
      </c>
      <c r="B1472" s="11" t="n">
        <v>764</v>
      </c>
      <c r="C1472" s="13" t="inlineStr">
        <is>
          <t>Nº 15025</t>
        </is>
      </c>
      <c r="D1472" s="14" t="inlineStr">
        <is>
          <t>PROTHIOCONAZOLE + TRIFLOXYSTROBIN</t>
        </is>
      </c>
      <c r="E1472" s="13" t="inlineStr">
        <is>
          <t>Fungicida</t>
        </is>
      </c>
      <c r="F1472" s="13" t="inlineStr">
        <is>
          <t>Mancha-alvo</t>
        </is>
      </c>
      <c r="G1472" s="13" t="inlineStr">
        <is>
          <t>Corynespora cassiicola</t>
        </is>
      </c>
      <c r="H1472" s="13" t="inlineStr">
        <is>
          <t>NÃO</t>
        </is>
      </c>
      <c r="I1472" s="18" t="n">
        <v>0.4</v>
      </c>
      <c r="J1472" s="18" t="n">
        <v>0.5</v>
      </c>
      <c r="K1472" s="13" t="inlineStr">
        <is>
          <t>L/ha</t>
        </is>
      </c>
      <c r="L1472" s="15" t="n">
        <v>1</v>
      </c>
      <c r="M1472" s="13" t="inlineStr">
        <is>
          <t>Aplicar conforme monitoramento e estádio recomendado na bula (FRAC Grupo 3 (DMI))</t>
        </is>
      </c>
    </row>
    <row r="1473" ht="22" customHeight="1">
      <c r="A1473" s="6" t="inlineStr">
        <is>
          <t>ALV-1469</t>
        </is>
      </c>
      <c r="B1473" s="5" t="n">
        <v>765</v>
      </c>
      <c r="C1473" s="7" t="inlineStr">
        <is>
          <t>Nº 15025</t>
        </is>
      </c>
      <c r="D1473" s="8" t="inlineStr">
        <is>
          <t>PROTHIOCONAZOLE + TRIFLOXYSTROBIN</t>
        </is>
      </c>
      <c r="E1473" s="7" t="inlineStr">
        <is>
          <t>Fungicida</t>
        </is>
      </c>
      <c r="F1473" s="7" t="inlineStr">
        <is>
          <t>Ferrugem-asiática</t>
        </is>
      </c>
      <c r="G1473" s="7" t="inlineStr">
        <is>
          <t>Phakopsora pachyrhizi</t>
        </is>
      </c>
      <c r="H1473" s="7" t="inlineStr">
        <is>
          <t>NÃO</t>
        </is>
      </c>
      <c r="I1473" s="17" t="n">
        <v>0.35</v>
      </c>
      <c r="J1473" s="17" t="n">
        <v>0.5</v>
      </c>
      <c r="K1473" s="7" t="inlineStr">
        <is>
          <t>L/ha</t>
        </is>
      </c>
      <c r="L1473" s="9" t="n">
        <v>1</v>
      </c>
      <c r="M1473" s="7" t="inlineStr">
        <is>
          <t>Aplicar conforme monitoramento e estádio recomendado na bula (FRAC Grupo 3 (DMI))</t>
        </is>
      </c>
    </row>
    <row r="1474" ht="22" customHeight="1">
      <c r="A1474" s="12" t="inlineStr">
        <is>
          <t>ALV-1470</t>
        </is>
      </c>
      <c r="B1474" s="11" t="n">
        <v>765</v>
      </c>
      <c r="C1474" s="13" t="inlineStr">
        <is>
          <t>Nº 15025</t>
        </is>
      </c>
      <c r="D1474" s="14" t="inlineStr">
        <is>
          <t>PROTHIOCONAZOLE + TRIFLOXYSTROBIN</t>
        </is>
      </c>
      <c r="E1474" s="13" t="inlineStr">
        <is>
          <t>Fungicida</t>
        </is>
      </c>
      <c r="F1474" s="13" t="inlineStr">
        <is>
          <t>Mancha-alvo</t>
        </is>
      </c>
      <c r="G1474" s="13" t="inlineStr">
        <is>
          <t>Corynespora cassiicola</t>
        </is>
      </c>
      <c r="H1474" s="13" t="inlineStr">
        <is>
          <t>NÃO</t>
        </is>
      </c>
      <c r="I1474" s="18" t="n">
        <v>0.4</v>
      </c>
      <c r="J1474" s="18" t="n">
        <v>0.5</v>
      </c>
      <c r="K1474" s="13" t="inlineStr">
        <is>
          <t>L/ha</t>
        </is>
      </c>
      <c r="L1474" s="15" t="n">
        <v>1</v>
      </c>
      <c r="M1474" s="13" t="inlineStr">
        <is>
          <t>Aplicar conforme monitoramento e estádio recomendado na bula (FRAC Grupo 3 (DMI))</t>
        </is>
      </c>
    </row>
    <row r="1475" ht="22" customHeight="1">
      <c r="A1475" s="6" t="inlineStr">
        <is>
          <t>ALV-1471</t>
        </is>
      </c>
      <c r="B1475" s="5" t="n">
        <v>766</v>
      </c>
      <c r="C1475" s="7" t="inlineStr">
        <is>
          <t>Nº 15025</t>
        </is>
      </c>
      <c r="D1475" s="8" t="inlineStr">
        <is>
          <t>PROTHIOCONAZOLE + TRIFLOXYSTROBIN</t>
        </is>
      </c>
      <c r="E1475" s="7" t="inlineStr">
        <is>
          <t>Fungicida</t>
        </is>
      </c>
      <c r="F1475" s="7" t="inlineStr">
        <is>
          <t>Ferrugem-asiática</t>
        </is>
      </c>
      <c r="G1475" s="7" t="inlineStr">
        <is>
          <t>Phakopsora pachyrhizi</t>
        </is>
      </c>
      <c r="H1475" s="7" t="inlineStr">
        <is>
          <t>NÃO</t>
        </is>
      </c>
      <c r="I1475" s="17" t="n">
        <v>0.35</v>
      </c>
      <c r="J1475" s="17" t="n">
        <v>0.5</v>
      </c>
      <c r="K1475" s="7" t="inlineStr">
        <is>
          <t>L/ha</t>
        </is>
      </c>
      <c r="L1475" s="9" t="n">
        <v>1</v>
      </c>
      <c r="M1475" s="7" t="inlineStr">
        <is>
          <t>Aplicar conforme monitoramento e estádio recomendado na bula (FRAC Grupo 3 (DMI))</t>
        </is>
      </c>
    </row>
    <row r="1476" ht="22" customHeight="1">
      <c r="A1476" s="12" t="inlineStr">
        <is>
          <t>ALV-1472</t>
        </is>
      </c>
      <c r="B1476" s="11" t="n">
        <v>766</v>
      </c>
      <c r="C1476" s="13" t="inlineStr">
        <is>
          <t>Nº 15025</t>
        </is>
      </c>
      <c r="D1476" s="14" t="inlineStr">
        <is>
          <t>PROTHIOCONAZOLE + TRIFLOXYSTROBIN</t>
        </is>
      </c>
      <c r="E1476" s="13" t="inlineStr">
        <is>
          <t>Fungicida</t>
        </is>
      </c>
      <c r="F1476" s="13" t="inlineStr">
        <is>
          <t>Mancha-alvo</t>
        </is>
      </c>
      <c r="G1476" s="13" t="inlineStr">
        <is>
          <t>Corynespora cassiicola</t>
        </is>
      </c>
      <c r="H1476" s="13" t="inlineStr">
        <is>
          <t>NÃO</t>
        </is>
      </c>
      <c r="I1476" s="18" t="n">
        <v>0.4</v>
      </c>
      <c r="J1476" s="18" t="n">
        <v>0.5</v>
      </c>
      <c r="K1476" s="13" t="inlineStr">
        <is>
          <t>L/ha</t>
        </is>
      </c>
      <c r="L1476" s="15" t="n">
        <v>1</v>
      </c>
      <c r="M1476" s="13" t="inlineStr">
        <is>
          <t>Aplicar conforme monitoramento e estádio recomendado na bula (FRAC Grupo 3 (DMI))</t>
        </is>
      </c>
    </row>
    <row r="1477" ht="22" customHeight="1">
      <c r="A1477" s="6" t="inlineStr">
        <is>
          <t>ALV-1473</t>
        </is>
      </c>
      <c r="B1477" s="5" t="n">
        <v>767</v>
      </c>
      <c r="C1477" s="7" t="inlineStr">
        <is>
          <t>Nº 15025</t>
        </is>
      </c>
      <c r="D1477" s="8" t="inlineStr">
        <is>
          <t>PROTHIOCONAZOLE + TRIFLOXYSTROBIN</t>
        </is>
      </c>
      <c r="E1477" s="7" t="inlineStr">
        <is>
          <t>Fungicida</t>
        </is>
      </c>
      <c r="F1477" s="7" t="inlineStr">
        <is>
          <t>Ferrugem-asiática</t>
        </is>
      </c>
      <c r="G1477" s="7" t="inlineStr">
        <is>
          <t>Phakopsora pachyrhizi</t>
        </is>
      </c>
      <c r="H1477" s="7" t="inlineStr">
        <is>
          <t>NÃO</t>
        </is>
      </c>
      <c r="I1477" s="17" t="n">
        <v>0.35</v>
      </c>
      <c r="J1477" s="17" t="n">
        <v>0.5</v>
      </c>
      <c r="K1477" s="7" t="inlineStr">
        <is>
          <t>L/ha</t>
        </is>
      </c>
      <c r="L1477" s="9" t="n">
        <v>1</v>
      </c>
      <c r="M1477" s="7" t="inlineStr">
        <is>
          <t>Aplicar conforme monitoramento e estádio recomendado na bula (FRAC Grupo 3 (DMI))</t>
        </is>
      </c>
    </row>
    <row r="1478" ht="22" customHeight="1">
      <c r="A1478" s="12" t="inlineStr">
        <is>
          <t>ALV-1474</t>
        </is>
      </c>
      <c r="B1478" s="11" t="n">
        <v>767</v>
      </c>
      <c r="C1478" s="13" t="inlineStr">
        <is>
          <t>Nº 15025</t>
        </is>
      </c>
      <c r="D1478" s="14" t="inlineStr">
        <is>
          <t>PROTHIOCONAZOLE + TRIFLOXYSTROBIN</t>
        </is>
      </c>
      <c r="E1478" s="13" t="inlineStr">
        <is>
          <t>Fungicida</t>
        </is>
      </c>
      <c r="F1478" s="13" t="inlineStr">
        <is>
          <t>Mancha-alvo</t>
        </is>
      </c>
      <c r="G1478" s="13" t="inlineStr">
        <is>
          <t>Corynespora cassiicola</t>
        </is>
      </c>
      <c r="H1478" s="13" t="inlineStr">
        <is>
          <t>NÃO</t>
        </is>
      </c>
      <c r="I1478" s="18" t="n">
        <v>0.4</v>
      </c>
      <c r="J1478" s="18" t="n">
        <v>0.5</v>
      </c>
      <c r="K1478" s="13" t="inlineStr">
        <is>
          <t>L/ha</t>
        </is>
      </c>
      <c r="L1478" s="15" t="n">
        <v>1</v>
      </c>
      <c r="M1478" s="13" t="inlineStr">
        <is>
          <t>Aplicar conforme monitoramento e estádio recomendado na bula (FRAC Grupo 3 (DMI))</t>
        </is>
      </c>
    </row>
    <row r="1479" ht="22" customHeight="1">
      <c r="A1479" s="6" t="inlineStr">
        <is>
          <t>ALV-1475</t>
        </is>
      </c>
      <c r="B1479" s="5" t="n">
        <v>768</v>
      </c>
      <c r="C1479" s="7" t="inlineStr">
        <is>
          <t>Nº 15623</t>
        </is>
      </c>
      <c r="D1479" s="8" t="inlineStr">
        <is>
          <t>FLUMIOXAZINA 500 (PRINCIPIO ATIVO)</t>
        </is>
      </c>
      <c r="E1479" s="7" t="inlineStr">
        <is>
          <t>Insumo Industrial</t>
        </is>
      </c>
      <c r="F1479" s="7" t="inlineStr">
        <is>
          <t>Matéria-prima para Formulação Industrial</t>
        </is>
      </c>
      <c r="G1479" s="7" t="inlineStr">
        <is>
          <t>Uso Industrial Credenciado MAPA</t>
        </is>
      </c>
      <c r="H1479" s="7" t="inlineStr">
        <is>
          <t>NÃO</t>
        </is>
      </c>
      <c r="I1479" s="9" t="n">
        <v>0</v>
      </c>
      <c r="J1479" s="9" t="n">
        <v>0</v>
      </c>
      <c r="K1479" s="7" t="inlineStr">
        <is>
          <t>L</t>
        </is>
      </c>
      <c r="L1479" s="9" t="n">
        <v>1</v>
      </c>
      <c r="M1479" s="7" t="inlineStr">
        <is>
          <t>Uso restrito a estabelecimentos formuladores registrados</t>
        </is>
      </c>
    </row>
    <row r="1480" ht="22" customHeight="1">
      <c r="A1480" s="12" t="inlineStr">
        <is>
          <t>ALV-1476</t>
        </is>
      </c>
      <c r="B1480" s="11" t="n">
        <v>769</v>
      </c>
      <c r="C1480" s="13" t="inlineStr">
        <is>
          <t>Nº 2520</t>
        </is>
      </c>
      <c r="D1480" s="14" t="inlineStr">
        <is>
          <t>SURVEY 250 FS</t>
        </is>
      </c>
      <c r="E1480" s="13" t="inlineStr">
        <is>
          <t>Inseticida e Cupinicida (Fipronil)</t>
        </is>
      </c>
      <c r="F1480" s="13" t="inlineStr">
        <is>
          <t>Coró</t>
        </is>
      </c>
      <c r="G1480" s="13" t="inlineStr">
        <is>
          <t>Phyllophaga cuyabana</t>
        </is>
      </c>
      <c r="H1480" s="13" t="inlineStr">
        <is>
          <t>NÃO</t>
        </is>
      </c>
      <c r="I1480" s="18" t="n">
        <v>0.1</v>
      </c>
      <c r="J1480" s="18" t="n">
        <v>0.2</v>
      </c>
      <c r="K1480" s="13" t="inlineStr">
        <is>
          <t>L/100kg sem.</t>
        </is>
      </c>
      <c r="L1480" s="15" t="n">
        <v>1</v>
      </c>
      <c r="M1480" s="13" t="inlineStr">
        <is>
          <t>Aplicar conforme monitoramento e estádio recomendado na bula (IRAC Grupo 2B)</t>
        </is>
      </c>
    </row>
    <row r="1481" ht="22" customHeight="1">
      <c r="A1481" s="6" t="inlineStr">
        <is>
          <t>ALV-1477</t>
        </is>
      </c>
      <c r="B1481" s="5" t="n">
        <v>769</v>
      </c>
      <c r="C1481" s="7" t="inlineStr">
        <is>
          <t>Nº 2520</t>
        </is>
      </c>
      <c r="D1481" s="8" t="inlineStr">
        <is>
          <t>SURVEY 250 FS</t>
        </is>
      </c>
      <c r="E1481" s="7" t="inlineStr">
        <is>
          <t>Inseticida e Cupinicida (Fipronil)</t>
        </is>
      </c>
      <c r="F1481" s="7" t="inlineStr">
        <is>
          <t>Lagarta-elasmo</t>
        </is>
      </c>
      <c r="G1481" s="7" t="inlineStr">
        <is>
          <t>Elasmopalpus lignosellus</t>
        </is>
      </c>
      <c r="H1481" s="7" t="inlineStr">
        <is>
          <t>NÃO</t>
        </is>
      </c>
      <c r="I1481" s="17" t="n">
        <v>0.1</v>
      </c>
      <c r="J1481" s="17" t="n">
        <v>0.2</v>
      </c>
      <c r="K1481" s="7" t="inlineStr">
        <is>
          <t>L/100kg sem.</t>
        </is>
      </c>
      <c r="L1481" s="9" t="n">
        <v>1</v>
      </c>
      <c r="M1481" s="7" t="inlineStr">
        <is>
          <t>Aplicar conforme monitoramento e estádio recomendado na bula (IRAC Grupo 2B)</t>
        </is>
      </c>
    </row>
    <row r="1482" ht="22" customHeight="1">
      <c r="A1482" s="12" t="inlineStr">
        <is>
          <t>ALV-1478</t>
        </is>
      </c>
      <c r="B1482" s="11" t="n">
        <v>769</v>
      </c>
      <c r="C1482" s="13" t="inlineStr">
        <is>
          <t>Nº 2520</t>
        </is>
      </c>
      <c r="D1482" s="14" t="inlineStr">
        <is>
          <t>SURVEY 250 FS</t>
        </is>
      </c>
      <c r="E1482" s="13" t="inlineStr">
        <is>
          <t>Inseticida e Cupinicida (Fipronil)</t>
        </is>
      </c>
      <c r="F1482" s="13" t="inlineStr">
        <is>
          <t>Cupim-de-montículo</t>
        </is>
      </c>
      <c r="G1482" s="13" t="inlineStr">
        <is>
          <t>Procornitermes triacifer</t>
        </is>
      </c>
      <c r="H1482" s="13" t="inlineStr">
        <is>
          <t>NÃO</t>
        </is>
      </c>
      <c r="I1482" s="18" t="n">
        <v>0.05</v>
      </c>
      <c r="J1482" s="18" t="n">
        <v>0.2</v>
      </c>
      <c r="K1482" s="13" t="inlineStr">
        <is>
          <t>kg ou L/ha</t>
        </is>
      </c>
      <c r="L1482" s="15" t="n">
        <v>1</v>
      </c>
      <c r="M1482" s="13" t="inlineStr">
        <is>
          <t>Aplicar conforme monitoramento e estádio recomendado na bula (IRAC Grupo 2B)</t>
        </is>
      </c>
    </row>
    <row r="1483" ht="22" customHeight="1">
      <c r="A1483" s="6" t="inlineStr">
        <is>
          <t>ALV-1479</t>
        </is>
      </c>
      <c r="B1483" s="5" t="n">
        <v>770</v>
      </c>
      <c r="C1483" s="7" t="inlineStr">
        <is>
          <t>SIPEAGRO (UF-XXXXX)</t>
        </is>
      </c>
      <c r="D1483" s="8" t="inlineStr">
        <is>
          <t>ADUBO SUPER TRIPLO 00-46-00 FERT. MIN - IMPACTPVA</t>
        </is>
      </c>
      <c r="E1483" s="7" t="inlineStr">
        <is>
          <t>Fertilizante Mineral Misto (NPK / NP)</t>
        </is>
      </c>
      <c r="F1483" s="7" t="inlineStr">
        <is>
          <t>Nutrição e Correção de Deficiência Mineral</t>
        </is>
      </c>
      <c r="G1483" s="7" t="inlineStr">
        <is>
          <t>Nutrição Vegetal</t>
        </is>
      </c>
      <c r="H1483" s="7" t="inlineStr">
        <is>
          <t>NÃO</t>
        </is>
      </c>
      <c r="I1483" s="9" t="n">
        <v>1</v>
      </c>
      <c r="J1483" s="9" t="n">
        <v>250</v>
      </c>
      <c r="K1483" s="7" t="inlineStr">
        <is>
          <t>kg ou L/ha</t>
        </is>
      </c>
      <c r="L1483" s="9" t="n">
        <v>1</v>
      </c>
      <c r="M1483" s="7" t="inlineStr">
        <is>
          <t>Aplicar conforme monitoramento e estádio recomendado na bula (Nutrição Vegetal SIPEAGRO)</t>
        </is>
      </c>
    </row>
    <row r="1484" ht="22" customHeight="1">
      <c r="A1484" s="12" t="inlineStr">
        <is>
          <t>ALV-1480</t>
        </is>
      </c>
      <c r="B1484" s="11" t="n">
        <v>771</v>
      </c>
      <c r="C1484" s="13" t="inlineStr">
        <is>
          <t>Nº 40624</t>
        </is>
      </c>
      <c r="D1484" s="14" t="inlineStr">
        <is>
          <t>SHARK</t>
        </is>
      </c>
      <c r="E1484" s="13" t="inlineStr">
        <is>
          <t>Inseticida</t>
        </is>
      </c>
      <c r="F1484" s="13" t="inlineStr">
        <is>
          <t>Lagarta-do-cartucho</t>
        </is>
      </c>
      <c r="G1484" s="13" t="inlineStr">
        <is>
          <t>Spodoptera frugiperda</t>
        </is>
      </c>
      <c r="H1484" s="13" t="inlineStr">
        <is>
          <t>SIM (*)</t>
        </is>
      </c>
      <c r="I1484" s="18" t="n">
        <v>0.4</v>
      </c>
      <c r="J1484" s="18" t="n">
        <v>0.6</v>
      </c>
      <c r="K1484" s="13" t="inlineStr">
        <is>
          <t>L/ha</t>
        </is>
      </c>
      <c r="L1484" s="15" t="n">
        <v>1</v>
      </c>
      <c r="M1484" s="13" t="inlineStr">
        <is>
          <t>Aplicar conforme monitoramento e estádio recomendado na bula (IRAC Grupo 1B)</t>
        </is>
      </c>
    </row>
    <row r="1485" ht="22" customHeight="1">
      <c r="A1485" s="6" t="inlineStr">
        <is>
          <t>ALV-1481</t>
        </is>
      </c>
      <c r="B1485" s="5" t="n">
        <v>771</v>
      </c>
      <c r="C1485" s="7" t="inlineStr">
        <is>
          <t>Nº 40624</t>
        </is>
      </c>
      <c r="D1485" s="8" t="inlineStr">
        <is>
          <t>SHARK</t>
        </is>
      </c>
      <c r="E1485" s="7" t="inlineStr">
        <is>
          <t>Inseticida</t>
        </is>
      </c>
      <c r="F1485" s="7" t="inlineStr">
        <is>
          <t>Lagarta-da-soja</t>
        </is>
      </c>
      <c r="G1485" s="7" t="inlineStr">
        <is>
          <t>Anticarsia gemmatalis</t>
        </is>
      </c>
      <c r="H1485" s="7" t="inlineStr">
        <is>
          <t>NÃO</t>
        </is>
      </c>
      <c r="I1485" s="17" t="n">
        <v>0.4</v>
      </c>
      <c r="J1485" s="9" t="n">
        <v>1</v>
      </c>
      <c r="K1485" s="7" t="inlineStr">
        <is>
          <t>L/ha</t>
        </is>
      </c>
      <c r="L1485" s="9" t="n">
        <v>1</v>
      </c>
      <c r="M1485" s="7" t="inlineStr">
        <is>
          <t>Aplicar conforme monitoramento e estádio recomendado na bula (IRAC Grupo 1B)</t>
        </is>
      </c>
    </row>
    <row r="1486" ht="22" customHeight="1">
      <c r="A1486" s="12" t="inlineStr">
        <is>
          <t>ALV-1482</t>
        </is>
      </c>
      <c r="B1486" s="11" t="n">
        <v>771</v>
      </c>
      <c r="C1486" s="13" t="inlineStr">
        <is>
          <t>Nº 40624</t>
        </is>
      </c>
      <c r="D1486" s="14" t="inlineStr">
        <is>
          <t>SHARK</t>
        </is>
      </c>
      <c r="E1486" s="13" t="inlineStr">
        <is>
          <t>Inseticida</t>
        </is>
      </c>
      <c r="F1486" s="13" t="inlineStr">
        <is>
          <t>Broca-do-café</t>
        </is>
      </c>
      <c r="G1486" s="13" t="inlineStr">
        <is>
          <t>Hypothenemus hampei</t>
        </is>
      </c>
      <c r="H1486" s="13" t="inlineStr">
        <is>
          <t>NÃO</t>
        </is>
      </c>
      <c r="I1486" s="15" t="n">
        <v>1</v>
      </c>
      <c r="J1486" s="18" t="n">
        <v>1.5</v>
      </c>
      <c r="K1486" s="13" t="inlineStr">
        <is>
          <t>L/ha</t>
        </is>
      </c>
      <c r="L1486" s="15" t="n">
        <v>1</v>
      </c>
      <c r="M1486" s="13" t="inlineStr">
        <is>
          <t>Aplicar conforme monitoramento e estádio recomendado na bula (IRAC Grupo 1B)</t>
        </is>
      </c>
    </row>
    <row r="1487" ht="22" customHeight="1">
      <c r="A1487" s="6" t="inlineStr">
        <is>
          <t>ALV-1483</t>
        </is>
      </c>
      <c r="B1487" s="5" t="n">
        <v>772</v>
      </c>
      <c r="C1487" s="7" t="inlineStr">
        <is>
          <t>Nº 14623</t>
        </is>
      </c>
      <c r="D1487" s="8" t="inlineStr">
        <is>
          <t>METSULFUROM ULTRA 50X0,1KG (IMP) JA (VALIDAR)</t>
        </is>
      </c>
      <c r="E1487" s="7" t="inlineStr">
        <is>
          <t>Herbicida</t>
        </is>
      </c>
      <c r="F1487" s="7" t="inlineStr">
        <is>
          <t>Plantas Daninhas Mono e Dicotiledôneas</t>
        </is>
      </c>
      <c r="G1487" s="7" t="inlineStr">
        <is>
          <t>Flora Infestante</t>
        </is>
      </c>
      <c r="H1487" s="7" t="inlineStr">
        <is>
          <t>NÃO</t>
        </is>
      </c>
      <c r="I1487" s="17" t="n">
        <v>0.25</v>
      </c>
      <c r="J1487" s="9" t="n">
        <v>2</v>
      </c>
      <c r="K1487" s="7" t="inlineStr">
        <is>
          <t>L ou kg/ha</t>
        </is>
      </c>
      <c r="L1487" s="9" t="n">
        <v>1</v>
      </c>
      <c r="M1487" s="7" t="inlineStr">
        <is>
          <t>Aplicar conforme monitoramento e estádio recomendado na bula (Classificação HRAC Oficial conforme Bula)</t>
        </is>
      </c>
    </row>
    <row r="1488" ht="22" customHeight="1">
      <c r="A1488" s="12" t="inlineStr">
        <is>
          <t>ALV-1484</t>
        </is>
      </c>
      <c r="B1488" s="11" t="n">
        <v>773</v>
      </c>
      <c r="C1488" s="13" t="inlineStr">
        <is>
          <t>Nº 1838604</t>
        </is>
      </c>
      <c r="D1488" s="14" t="inlineStr">
        <is>
          <t>OXYFLUORFEN 240 EC PROVENTIS</t>
        </is>
      </c>
      <c r="E1488" s="13" t="inlineStr">
        <is>
          <t>Herbicida</t>
        </is>
      </c>
      <c r="F1488" s="13" t="inlineStr">
        <is>
          <t>Plantas Daninhas Mono e Dicotiledôneas</t>
        </is>
      </c>
      <c r="G1488" s="13" t="inlineStr">
        <is>
          <t>Flora Infestante</t>
        </is>
      </c>
      <c r="H1488" s="13" t="inlineStr">
        <is>
          <t>NÃO</t>
        </is>
      </c>
      <c r="I1488" s="18" t="n">
        <v>0.25</v>
      </c>
      <c r="J1488" s="15" t="n">
        <v>2</v>
      </c>
      <c r="K1488" s="13" t="inlineStr">
        <is>
          <t>L ou kg/ha</t>
        </is>
      </c>
      <c r="L1488" s="15" t="n">
        <v>1</v>
      </c>
      <c r="M1488" s="13" t="inlineStr">
        <is>
          <t>Aplicar conforme monitoramento e estádio recomendado na bula (Classificação HRAC Oficial conforme Bula)</t>
        </is>
      </c>
    </row>
    <row r="1489" ht="22" customHeight="1">
      <c r="A1489" s="6" t="inlineStr">
        <is>
          <t>ALV-1485</t>
        </is>
      </c>
      <c r="B1489" s="5" t="n">
        <v>774</v>
      </c>
      <c r="C1489" s="7" t="inlineStr">
        <is>
          <t>Nº 47125</t>
        </is>
      </c>
      <c r="D1489" s="8" t="inlineStr">
        <is>
          <t>CHLORFENAPYR</t>
        </is>
      </c>
      <c r="E1489" s="7" t="inlineStr">
        <is>
          <t>Inseticida e Acaricida</t>
        </is>
      </c>
      <c r="F1489" s="7" t="inlineStr">
        <is>
          <t>Ácaro-rajado</t>
        </is>
      </c>
      <c r="G1489" s="7" t="inlineStr">
        <is>
          <t>Tetranychus urticae</t>
        </is>
      </c>
      <c r="H1489" s="7" t="inlineStr">
        <is>
          <t>NÃO</t>
        </is>
      </c>
      <c r="I1489" s="17" t="n">
        <v>0.5</v>
      </c>
      <c r="J1489" s="17" t="n">
        <v>1.5</v>
      </c>
      <c r="K1489" s="7" t="inlineStr">
        <is>
          <t>L/ha</t>
        </is>
      </c>
      <c r="L1489" s="9" t="n">
        <v>1</v>
      </c>
      <c r="M1489" s="7" t="inlineStr">
        <is>
          <t>Aplicar conforme monitoramento e estádio recomendado na bula (IRAC Grupo 13)</t>
        </is>
      </c>
    </row>
    <row r="1490" ht="22" customHeight="1">
      <c r="A1490" s="12" t="inlineStr">
        <is>
          <t>ALV-1486</t>
        </is>
      </c>
      <c r="B1490" s="11" t="n">
        <v>774</v>
      </c>
      <c r="C1490" s="13" t="inlineStr">
        <is>
          <t>Nº 47125</t>
        </is>
      </c>
      <c r="D1490" s="14" t="inlineStr">
        <is>
          <t>CHLORFENAPYR</t>
        </is>
      </c>
      <c r="E1490" s="13" t="inlineStr">
        <is>
          <t>Inseticida e Acaricida</t>
        </is>
      </c>
      <c r="F1490" s="13" t="inlineStr">
        <is>
          <t>Lagarta-helicoverpa</t>
        </is>
      </c>
      <c r="G1490" s="13" t="inlineStr">
        <is>
          <t>Helicoverpa armigera</t>
        </is>
      </c>
      <c r="H1490" s="13" t="inlineStr">
        <is>
          <t>NÃO</t>
        </is>
      </c>
      <c r="I1490" s="18" t="n">
        <v>0.8</v>
      </c>
      <c r="J1490" s="18" t="n">
        <v>1.25</v>
      </c>
      <c r="K1490" s="13" t="inlineStr">
        <is>
          <t>L/ha</t>
        </is>
      </c>
      <c r="L1490" s="15" t="n">
        <v>1</v>
      </c>
      <c r="M1490" s="13" t="inlineStr">
        <is>
          <t>Aplicar conforme monitoramento e estádio recomendado na bula (IRAC Grupo 13)</t>
        </is>
      </c>
    </row>
    <row r="1491" ht="22" customHeight="1">
      <c r="A1491" s="6" t="inlineStr">
        <is>
          <t>ALV-1487</t>
        </is>
      </c>
      <c r="B1491" s="5" t="n">
        <v>774</v>
      </c>
      <c r="C1491" s="7" t="inlineStr">
        <is>
          <t>Nº 47125</t>
        </is>
      </c>
      <c r="D1491" s="8" t="inlineStr">
        <is>
          <t>CHLORFENAPYR</t>
        </is>
      </c>
      <c r="E1491" s="7" t="inlineStr">
        <is>
          <t>Inseticida e Acaricida</t>
        </is>
      </c>
      <c r="F1491" s="7" t="inlineStr">
        <is>
          <t>Lagarta-do-cartucho</t>
        </is>
      </c>
      <c r="G1491" s="7" t="inlineStr">
        <is>
          <t>Spodoptera frugiperda</t>
        </is>
      </c>
      <c r="H1491" s="7" t="inlineStr">
        <is>
          <t>NÃO</t>
        </is>
      </c>
      <c r="I1491" s="17" t="n">
        <v>0.75</v>
      </c>
      <c r="J1491" s="17" t="n">
        <v>1.25</v>
      </c>
      <c r="K1491" s="7" t="inlineStr">
        <is>
          <t>L/ha</t>
        </is>
      </c>
      <c r="L1491" s="9" t="n">
        <v>1</v>
      </c>
      <c r="M1491" s="7" t="inlineStr">
        <is>
          <t>Aplicar conforme monitoramento e estádio recomendado na bula (IRAC Grupo 13)</t>
        </is>
      </c>
    </row>
    <row r="1492" ht="22" customHeight="1">
      <c r="A1492" s="12" t="inlineStr">
        <is>
          <t>ALV-1488</t>
        </is>
      </c>
      <c r="B1492" s="11" t="n">
        <v>775</v>
      </c>
      <c r="C1492" s="13" t="inlineStr">
        <is>
          <t>Nº 5725</t>
        </is>
      </c>
      <c r="D1492" s="14" t="inlineStr">
        <is>
          <t>ESIFON FULL</t>
        </is>
      </c>
      <c r="E1492" s="13" t="inlineStr">
        <is>
          <t>Regulador de Crescimento</t>
        </is>
      </c>
      <c r="F1492" s="13" t="inlineStr">
        <is>
          <t>Maturador de Cana-de-Açúcar e Redutor de Acamamento em Trigo/Cevada</t>
        </is>
      </c>
      <c r="G1492" s="13" t="inlineStr">
        <is>
          <t>Saccharum officinarum / Triticum aestivum (Manejo Fisiológico)</t>
        </is>
      </c>
      <c r="H1492" s="13" t="inlineStr">
        <is>
          <t>NÃO</t>
        </is>
      </c>
      <c r="I1492" s="18" t="n">
        <v>0.4</v>
      </c>
      <c r="J1492" s="18" t="n">
        <v>1.2</v>
      </c>
      <c r="K1492" s="13" t="inlineStr">
        <is>
          <t>L/ha</t>
        </is>
      </c>
      <c r="L1492" s="15" t="n">
        <v>1</v>
      </c>
      <c r="M1492" s="13" t="inlineStr">
        <is>
          <t>Aplicar para incremento de sacarose (ATR) em cana ou redução de entrenós em cereais de inverno</t>
        </is>
      </c>
    </row>
    <row r="1493" ht="22" customHeight="1">
      <c r="A1493" s="6" t="inlineStr">
        <is>
          <t>ALV-1489</t>
        </is>
      </c>
      <c r="B1493" s="5" t="n">
        <v>776</v>
      </c>
      <c r="C1493" s="7" t="inlineStr">
        <is>
          <t>Nº 14623</t>
        </is>
      </c>
      <c r="D1493" s="8" t="inlineStr">
        <is>
          <t>MILHA</t>
        </is>
      </c>
      <c r="E1493" s="7" t="inlineStr">
        <is>
          <t>Herbicida</t>
        </is>
      </c>
      <c r="F1493" s="7" t="inlineStr">
        <is>
          <t>Plantas Daninhas Mono e Dicotiledôneas</t>
        </is>
      </c>
      <c r="G1493" s="7" t="inlineStr">
        <is>
          <t>Flora Infestante</t>
        </is>
      </c>
      <c r="H1493" s="7" t="inlineStr">
        <is>
          <t>NÃO</t>
        </is>
      </c>
      <c r="I1493" s="17" t="n">
        <v>0.25</v>
      </c>
      <c r="J1493" s="9" t="n">
        <v>2</v>
      </c>
      <c r="K1493" s="7" t="inlineStr">
        <is>
          <t>L ou kg/ha</t>
        </is>
      </c>
      <c r="L1493" s="9" t="n">
        <v>1</v>
      </c>
      <c r="M1493" s="7" t="inlineStr">
        <is>
          <t>Aplicar conforme monitoramento e estádio recomendado na bula (Classificação HRAC Oficial conforme Bula)</t>
        </is>
      </c>
    </row>
    <row r="1494" ht="22" customHeight="1">
      <c r="A1494" s="12" t="inlineStr">
        <is>
          <t>ALV-1490</t>
        </is>
      </c>
      <c r="B1494" s="11" t="n">
        <v>777</v>
      </c>
      <c r="C1494" s="13" t="inlineStr">
        <is>
          <t>VINCULAR MARCA</t>
        </is>
      </c>
      <c r="D1494" s="14" t="inlineStr">
        <is>
          <t>FLUMIOXAZINA 480 (PRINCIPIO ATIVO)</t>
        </is>
      </c>
      <c r="E1494" s="13" t="inlineStr">
        <is>
          <t>Insumo Industrial</t>
        </is>
      </c>
      <c r="F1494" s="13" t="inlineStr">
        <is>
          <t>Matéria-prima para Formulação Industrial</t>
        </is>
      </c>
      <c r="G1494" s="13" t="inlineStr">
        <is>
          <t>Uso Industrial Credenciado MAPA</t>
        </is>
      </c>
      <c r="H1494" s="13" t="inlineStr">
        <is>
          <t>NÃO</t>
        </is>
      </c>
      <c r="I1494" s="15" t="n">
        <v>0</v>
      </c>
      <c r="J1494" s="15" t="n">
        <v>0</v>
      </c>
      <c r="K1494" s="13" t="inlineStr">
        <is>
          <t>L</t>
        </is>
      </c>
      <c r="L1494" s="15" t="n">
        <v>1</v>
      </c>
      <c r="M1494" s="13" t="inlineStr">
        <is>
          <t>Uso restrito a estabelecimentos formuladores registrados</t>
        </is>
      </c>
    </row>
    <row r="1495" ht="22" customHeight="1">
      <c r="A1495" s="6" t="inlineStr">
        <is>
          <t>ALV-1491</t>
        </is>
      </c>
      <c r="B1495" s="5" t="n">
        <v>778</v>
      </c>
      <c r="C1495" s="7" t="inlineStr">
        <is>
          <t>SIPEAGRO (UF-XXXXX)</t>
        </is>
      </c>
      <c r="D1495" s="8" t="inlineStr">
        <is>
          <t>KCL VERMELHO 60% K2O - JBS</t>
        </is>
      </c>
      <c r="E1495" s="7" t="inlineStr">
        <is>
          <t>Fertilizante Mineral Simples (Potássico / Magnesiano)</t>
        </is>
      </c>
      <c r="F1495" s="7" t="inlineStr">
        <is>
          <t>Nutrição e Correção de Deficiência Mineral</t>
        </is>
      </c>
      <c r="G1495" s="7" t="inlineStr">
        <is>
          <t>Nutrição Vegetal</t>
        </is>
      </c>
      <c r="H1495" s="7" t="inlineStr">
        <is>
          <t>NÃO</t>
        </is>
      </c>
      <c r="I1495" s="9" t="n">
        <v>1</v>
      </c>
      <c r="J1495" s="9" t="n">
        <v>250</v>
      </c>
      <c r="K1495" s="7" t="inlineStr">
        <is>
          <t>kg ou L/ha</t>
        </is>
      </c>
      <c r="L1495" s="9" t="n">
        <v>1</v>
      </c>
      <c r="M1495" s="7" t="inlineStr">
        <is>
          <t>Aplicar conforme monitoramento e estádio recomendado na bula (Nutrição Vegetal SIPEAGRO)</t>
        </is>
      </c>
    </row>
    <row r="1496" ht="22" customHeight="1">
      <c r="A1496" s="12" t="inlineStr">
        <is>
          <t>ALV-1492</t>
        </is>
      </c>
      <c r="B1496" s="11" t="n">
        <v>779</v>
      </c>
      <c r="C1496" s="13" t="inlineStr">
        <is>
          <t>Nº 25224</t>
        </is>
      </c>
      <c r="D1496" s="14" t="inlineStr">
        <is>
          <t>CLETODIM 240 EC BRILLIANCE 0,2L AMOSTRA (IMP) GB</t>
        </is>
      </c>
      <c r="E1496" s="13" t="inlineStr">
        <is>
          <t>Herbicida</t>
        </is>
      </c>
      <c r="F1496" s="13" t="inlineStr">
        <is>
          <t>Capim-amargoso</t>
        </is>
      </c>
      <c r="G1496" s="13" t="inlineStr">
        <is>
          <t>Digitaria insularis</t>
        </is>
      </c>
      <c r="H1496" s="13" t="inlineStr">
        <is>
          <t>SIM (*)</t>
        </is>
      </c>
      <c r="I1496" s="18" t="n">
        <v>0.45</v>
      </c>
      <c r="J1496" s="18" t="n">
        <v>0.85</v>
      </c>
      <c r="K1496" s="13" t="inlineStr">
        <is>
          <t>L/ha</t>
        </is>
      </c>
      <c r="L1496" s="15" t="n">
        <v>1</v>
      </c>
      <c r="M1496" s="13" t="inlineStr">
        <is>
          <t>Aplicar conforme monitoramento e estádio recomendado na bula (HRAC Grupo A (1) — Inibidores da ACCase)</t>
        </is>
      </c>
    </row>
    <row r="1497" ht="22" customHeight="1">
      <c r="A1497" s="6" t="inlineStr">
        <is>
          <t>ALV-1493</t>
        </is>
      </c>
      <c r="B1497" s="5" t="n">
        <v>779</v>
      </c>
      <c r="C1497" s="7" t="inlineStr">
        <is>
          <t>Nº 25224</t>
        </is>
      </c>
      <c r="D1497" s="8" t="inlineStr">
        <is>
          <t>CLETODIM 240 EC BRILLIANCE 0,2L AMOSTRA (IMP) GB</t>
        </is>
      </c>
      <c r="E1497" s="7" t="inlineStr">
        <is>
          <t>Herbicida</t>
        </is>
      </c>
      <c r="F1497" s="7" t="inlineStr">
        <is>
          <t>Capim-pé-de-galinha</t>
        </is>
      </c>
      <c r="G1497" s="7" t="inlineStr">
        <is>
          <t>Eleusine indica</t>
        </is>
      </c>
      <c r="H1497" s="7" t="inlineStr">
        <is>
          <t>SIM (*)</t>
        </is>
      </c>
      <c r="I1497" s="17" t="n">
        <v>0.35</v>
      </c>
      <c r="J1497" s="17" t="n">
        <v>0.45</v>
      </c>
      <c r="K1497" s="7" t="inlineStr">
        <is>
          <t>L/ha</t>
        </is>
      </c>
      <c r="L1497" s="9" t="n">
        <v>1</v>
      </c>
      <c r="M1497" s="7" t="inlineStr">
        <is>
          <t>Aplicar conforme monitoramento e estádio recomendado na bula (HRAC Grupo A (1) — Inibidores da ACCase)</t>
        </is>
      </c>
    </row>
    <row r="1498" ht="22" customHeight="1">
      <c r="A1498" s="12" t="inlineStr">
        <is>
          <t>ALV-1494</t>
        </is>
      </c>
      <c r="B1498" s="11" t="n">
        <v>779</v>
      </c>
      <c r="C1498" s="13" t="inlineStr">
        <is>
          <t>Nº 25224</t>
        </is>
      </c>
      <c r="D1498" s="14" t="inlineStr">
        <is>
          <t>CLETODIM 240 EC BRILLIANCE 0,2L AMOSTRA (IMP) GB</t>
        </is>
      </c>
      <c r="E1498" s="13" t="inlineStr">
        <is>
          <t>Herbicida</t>
        </is>
      </c>
      <c r="F1498" s="13" t="inlineStr">
        <is>
          <t>Milho-voluntário (Tiguera)</t>
        </is>
      </c>
      <c r="G1498" s="13" t="inlineStr">
        <is>
          <t>Zea mays</t>
        </is>
      </c>
      <c r="H1498" s="13" t="inlineStr">
        <is>
          <t>NÃO</t>
        </is>
      </c>
      <c r="I1498" s="18" t="n">
        <v>0.4</v>
      </c>
      <c r="J1498" s="18" t="n">
        <v>0.6</v>
      </c>
      <c r="K1498" s="13" t="inlineStr">
        <is>
          <t>L/ha</t>
        </is>
      </c>
      <c r="L1498" s="15" t="n">
        <v>1</v>
      </c>
      <c r="M1498" s="13" t="inlineStr">
        <is>
          <t>Aplicar conforme monitoramento e estádio recomendado na bula (HRAC Grupo A (1) — Inibidores da ACCase)</t>
        </is>
      </c>
    </row>
    <row r="1499" ht="22" customHeight="1">
      <c r="A1499" s="6" t="inlineStr">
        <is>
          <t>ALV-1495</t>
        </is>
      </c>
      <c r="B1499" s="5" t="n">
        <v>780</v>
      </c>
      <c r="C1499" s="7" t="inlineStr">
        <is>
          <t>Nº 26820</t>
        </is>
      </c>
      <c r="D1499" s="8" t="inlineStr">
        <is>
          <t>CRUZARO 480 EC 0,2L AMOSTRA (IMP) GL</t>
        </is>
      </c>
      <c r="E1499" s="7" t="inlineStr">
        <is>
          <t>Herbicida</t>
        </is>
      </c>
      <c r="F1499" s="7" t="inlineStr">
        <is>
          <t>Buva</t>
        </is>
      </c>
      <c r="G1499" s="7" t="inlineStr">
        <is>
          <t>Conyza bonariensis</t>
        </is>
      </c>
      <c r="H1499" s="7" t="inlineStr">
        <is>
          <t>SIM (*)</t>
        </is>
      </c>
      <c r="I1499" s="17" t="n">
        <v>0.75</v>
      </c>
      <c r="J1499" s="17" t="n">
        <v>1.5</v>
      </c>
      <c r="K1499" s="7" t="inlineStr">
        <is>
          <t>L/ha</t>
        </is>
      </c>
      <c r="L1499" s="9" t="n">
        <v>1</v>
      </c>
      <c r="M1499" s="7" t="inlineStr">
        <is>
          <t>Aplicar conforme monitoramento e estádio recomendado na bula (HRAC Grupo O (4) — Auxinas Sintéticas)</t>
        </is>
      </c>
    </row>
    <row r="1500" ht="22" customHeight="1">
      <c r="A1500" s="12" t="inlineStr">
        <is>
          <t>ALV-1496</t>
        </is>
      </c>
      <c r="B1500" s="11" t="n">
        <v>780</v>
      </c>
      <c r="C1500" s="13" t="inlineStr">
        <is>
          <t>Nº 26820</t>
        </is>
      </c>
      <c r="D1500" s="14" t="inlineStr">
        <is>
          <t>CRUZARO 480 EC 0,2L AMOSTRA (IMP) GL</t>
        </is>
      </c>
      <c r="E1500" s="13" t="inlineStr">
        <is>
          <t>Herbicida</t>
        </is>
      </c>
      <c r="F1500" s="13" t="inlineStr">
        <is>
          <t>Corda-de-viola</t>
        </is>
      </c>
      <c r="G1500" s="13" t="inlineStr">
        <is>
          <t>Ipomoea grandifolia</t>
        </is>
      </c>
      <c r="H1500" s="13" t="inlineStr">
        <is>
          <t>NÃO</t>
        </is>
      </c>
      <c r="I1500" s="18" t="n">
        <v>0.75</v>
      </c>
      <c r="J1500" s="18" t="n">
        <v>1.25</v>
      </c>
      <c r="K1500" s="13" t="inlineStr">
        <is>
          <t>L/ha</t>
        </is>
      </c>
      <c r="L1500" s="15" t="n">
        <v>1</v>
      </c>
      <c r="M1500" s="13" t="inlineStr">
        <is>
          <t>Aplicar conforme monitoramento e estádio recomendado na bula (HRAC Grupo O (4) — Auxinas Sintéticas)</t>
        </is>
      </c>
    </row>
    <row r="1501" ht="22" customHeight="1">
      <c r="A1501" s="6" t="inlineStr">
        <is>
          <t>ALV-1497</t>
        </is>
      </c>
      <c r="B1501" s="5" t="n">
        <v>781</v>
      </c>
      <c r="C1501" s="7" t="inlineStr">
        <is>
          <t>Nº 40024</t>
        </is>
      </c>
      <c r="D1501" s="8" t="inlineStr">
        <is>
          <t>FOLICRON</t>
        </is>
      </c>
      <c r="E1501" s="7" t="inlineStr">
        <is>
          <t>Fungicida</t>
        </is>
      </c>
      <c r="F1501" s="7" t="inlineStr">
        <is>
          <t>Complexo de Doenças Foliares e Ferrugem</t>
        </is>
      </c>
      <c r="G1501" s="7" t="inlineStr">
        <is>
          <t>Phakopsora pachyrhizi / Corynespora</t>
        </is>
      </c>
      <c r="H1501" s="7" t="inlineStr">
        <is>
          <t>NÃO</t>
        </is>
      </c>
      <c r="I1501" s="17" t="n">
        <v>0.3</v>
      </c>
      <c r="J1501" s="17" t="n">
        <v>1.5</v>
      </c>
      <c r="K1501" s="7" t="inlineStr">
        <is>
          <t>L ou kg/ha</t>
        </is>
      </c>
      <c r="L1501" s="9" t="n">
        <v>1</v>
      </c>
      <c r="M1501" s="7" t="inlineStr">
        <is>
          <t>Aplicar conforme monitoramento e estádio recomendado na bula (Classificação FRAC Oficial conforme Bula)</t>
        </is>
      </c>
    </row>
    <row r="1502" ht="22" customHeight="1">
      <c r="A1502" s="12" t="inlineStr">
        <is>
          <t>ALV-1498</t>
        </is>
      </c>
      <c r="B1502" s="11" t="n">
        <v>782</v>
      </c>
      <c r="C1502" s="13" t="inlineStr">
        <is>
          <t>Nº 11325</t>
        </is>
      </c>
      <c r="D1502" s="14" t="inlineStr">
        <is>
          <t>VISTARA</t>
        </is>
      </c>
      <c r="E1502" s="13" t="inlineStr">
        <is>
          <t>Fungicida</t>
        </is>
      </c>
      <c r="F1502" s="13" t="inlineStr">
        <is>
          <t>Complexo de Doenças Foliares e Ferrugem</t>
        </is>
      </c>
      <c r="G1502" s="13" t="inlineStr">
        <is>
          <t>Phakopsora pachyrhizi / Corynespora</t>
        </is>
      </c>
      <c r="H1502" s="13" t="inlineStr">
        <is>
          <t>NÃO</t>
        </is>
      </c>
      <c r="I1502" s="18" t="n">
        <v>0.3</v>
      </c>
      <c r="J1502" s="18" t="n">
        <v>1.5</v>
      </c>
      <c r="K1502" s="13" t="inlineStr">
        <is>
          <t>L ou kg/ha</t>
        </is>
      </c>
      <c r="L1502" s="15" t="n">
        <v>1</v>
      </c>
      <c r="M1502" s="13" t="inlineStr">
        <is>
          <t>Aplicar conforme monitoramento e estádio recomendado na bula (Classificação FRAC Oficial conforme Bula)</t>
        </is>
      </c>
    </row>
    <row r="1503" ht="22" customHeight="1">
      <c r="A1503" s="6" t="inlineStr">
        <is>
          <t>ALV-1499</t>
        </is>
      </c>
      <c r="B1503" s="5" t="n">
        <v>783</v>
      </c>
      <c r="C1503" s="7" t="inlineStr">
        <is>
          <t>Nº 27025</t>
        </is>
      </c>
      <c r="D1503" s="8" t="inlineStr">
        <is>
          <t>PYROX</t>
        </is>
      </c>
      <c r="E1503" s="7" t="inlineStr">
        <is>
          <t>Herbicida</t>
        </is>
      </c>
      <c r="F1503" s="7" t="inlineStr">
        <is>
          <t>Buva</t>
        </is>
      </c>
      <c r="G1503" s="7" t="inlineStr">
        <is>
          <t>Conyza bonariensis</t>
        </is>
      </c>
      <c r="H1503" s="7" t="inlineStr">
        <is>
          <t>NÃO</t>
        </is>
      </c>
      <c r="I1503" s="17" t="n">
        <v>0.1</v>
      </c>
      <c r="J1503" s="17" t="n">
        <v>0.2</v>
      </c>
      <c r="K1503" s="7" t="inlineStr">
        <is>
          <t>L ou kg/ha</t>
        </is>
      </c>
      <c r="L1503" s="9" t="n">
        <v>1</v>
      </c>
      <c r="M1503" s="7" t="inlineStr">
        <is>
          <t>Aplicar conforme monitoramento e estádio recomendado na bula (HRAC Grupo E (14) — Inibidores da PROTOX)</t>
        </is>
      </c>
    </row>
    <row r="1504" ht="22" customHeight="1">
      <c r="A1504" s="12" t="inlineStr">
        <is>
          <t>ALV-1500</t>
        </is>
      </c>
      <c r="B1504" s="11" t="n">
        <v>783</v>
      </c>
      <c r="C1504" s="13" t="inlineStr">
        <is>
          <t>Nº 27025</t>
        </is>
      </c>
      <c r="D1504" s="14" t="inlineStr">
        <is>
          <t>PYROX</t>
        </is>
      </c>
      <c r="E1504" s="13" t="inlineStr">
        <is>
          <t>Herbicida</t>
        </is>
      </c>
      <c r="F1504" s="13" t="inlineStr">
        <is>
          <t>Caruru</t>
        </is>
      </c>
      <c r="G1504" s="13" t="inlineStr">
        <is>
          <t>Amaranthus hybridus</t>
        </is>
      </c>
      <c r="H1504" s="13" t="inlineStr">
        <is>
          <t>NÃO</t>
        </is>
      </c>
      <c r="I1504" s="18" t="n">
        <v>0.1</v>
      </c>
      <c r="J1504" s="18" t="n">
        <v>0.2</v>
      </c>
      <c r="K1504" s="13" t="inlineStr">
        <is>
          <t>L ou kg/ha</t>
        </is>
      </c>
      <c r="L1504" s="15" t="n">
        <v>1</v>
      </c>
      <c r="M1504" s="13" t="inlineStr">
        <is>
          <t>Aplicar conforme monitoramento e estádio recomendado na bula (HRAC Grupo E (14) — Inibidores da PROTOX)</t>
        </is>
      </c>
    </row>
    <row r="1505" ht="22" customHeight="1">
      <c r="A1505" s="6" t="inlineStr">
        <is>
          <t>ALV-1501</t>
        </is>
      </c>
      <c r="B1505" s="5" t="n">
        <v>783</v>
      </c>
      <c r="C1505" s="7" t="inlineStr">
        <is>
          <t>Nº 27025</t>
        </is>
      </c>
      <c r="D1505" s="8" t="inlineStr">
        <is>
          <t>PYROX</t>
        </is>
      </c>
      <c r="E1505" s="7" t="inlineStr">
        <is>
          <t>Herbicida</t>
        </is>
      </c>
      <c r="F1505" s="7" t="inlineStr">
        <is>
          <t>Poaia-branca</t>
        </is>
      </c>
      <c r="G1505" s="7" t="inlineStr">
        <is>
          <t>Richardia brasiliensis</t>
        </is>
      </c>
      <c r="H1505" s="7" t="inlineStr">
        <is>
          <t>NÃO</t>
        </is>
      </c>
      <c r="I1505" s="17" t="n">
        <v>0.1</v>
      </c>
      <c r="J1505" s="17" t="n">
        <v>0.15</v>
      </c>
      <c r="K1505" s="7" t="inlineStr">
        <is>
          <t>L ou kg/ha</t>
        </is>
      </c>
      <c r="L1505" s="9" t="n">
        <v>1</v>
      </c>
      <c r="M1505" s="7" t="inlineStr">
        <is>
          <t>Aplicar conforme monitoramento e estádio recomendado na bula (HRAC Grupo E (14) — Inibidores da PROTOX)</t>
        </is>
      </c>
    </row>
    <row r="1506" ht="22" customHeight="1">
      <c r="A1506" s="12" t="inlineStr">
        <is>
          <t>ALV-1502</t>
        </is>
      </c>
      <c r="B1506" s="11" t="n">
        <v>784</v>
      </c>
      <c r="C1506" s="13" t="inlineStr">
        <is>
          <t>Nº 13714</t>
        </is>
      </c>
      <c r="D1506" s="14" t="inlineStr">
        <is>
          <t>WIPE OUT</t>
        </is>
      </c>
      <c r="E1506" s="13" t="inlineStr">
        <is>
          <t>Herbicida</t>
        </is>
      </c>
      <c r="F1506" s="13" t="inlineStr">
        <is>
          <t>Capim-amargoso</t>
        </is>
      </c>
      <c r="G1506" s="13" t="inlineStr">
        <is>
          <t>Digitaria insularis</t>
        </is>
      </c>
      <c r="H1506" s="13" t="inlineStr">
        <is>
          <t>SIM (*)</t>
        </is>
      </c>
      <c r="I1506" s="18" t="n">
        <v>1.5</v>
      </c>
      <c r="J1506" s="18" t="n">
        <v>2.5</v>
      </c>
      <c r="K1506" s="13" t="inlineStr">
        <is>
          <t>kg ou L/ha</t>
        </is>
      </c>
      <c r="L1506" s="15" t="n">
        <v>1</v>
      </c>
      <c r="M1506" s="13" t="inlineStr">
        <is>
          <t>Aplicar conforme monitoramento e estádio recomendado na bula (HRAC Grupo G (EPSPs))</t>
        </is>
      </c>
    </row>
    <row r="1507" ht="22" customHeight="1">
      <c r="A1507" s="6" t="inlineStr">
        <is>
          <t>ALV-1503</t>
        </is>
      </c>
      <c r="B1507" s="5" t="n">
        <v>784</v>
      </c>
      <c r="C1507" s="7" t="inlineStr">
        <is>
          <t>Nº 13714</t>
        </is>
      </c>
      <c r="D1507" s="8" t="inlineStr">
        <is>
          <t>WIPE OUT</t>
        </is>
      </c>
      <c r="E1507" s="7" t="inlineStr">
        <is>
          <t>Herbicida</t>
        </is>
      </c>
      <c r="F1507" s="7" t="inlineStr">
        <is>
          <t>Buva</t>
        </is>
      </c>
      <c r="G1507" s="7" t="inlineStr">
        <is>
          <t>Conyza bonariensis</t>
        </is>
      </c>
      <c r="H1507" s="7" t="inlineStr">
        <is>
          <t>SIM (*)</t>
        </is>
      </c>
      <c r="I1507" s="9" t="n">
        <v>1</v>
      </c>
      <c r="J1507" s="9" t="n">
        <v>2</v>
      </c>
      <c r="K1507" s="7" t="inlineStr">
        <is>
          <t>kg ou L/ha</t>
        </is>
      </c>
      <c r="L1507" s="9" t="n">
        <v>1</v>
      </c>
      <c r="M1507" s="7" t="inlineStr">
        <is>
          <t>Aplicar conforme monitoramento e estádio recomendado na bula (HRAC Grupo G (EPSPs))</t>
        </is>
      </c>
    </row>
    <row r="1508" ht="22" customHeight="1">
      <c r="A1508" s="12" t="inlineStr">
        <is>
          <t>ALV-1504</t>
        </is>
      </c>
      <c r="B1508" s="11" t="n">
        <v>784</v>
      </c>
      <c r="C1508" s="13" t="inlineStr">
        <is>
          <t>Nº 13714</t>
        </is>
      </c>
      <c r="D1508" s="14" t="inlineStr">
        <is>
          <t>WIPE OUT</t>
        </is>
      </c>
      <c r="E1508" s="13" t="inlineStr">
        <is>
          <t>Herbicida</t>
        </is>
      </c>
      <c r="F1508" s="13" t="inlineStr">
        <is>
          <t>Capim-pé-de-galinha</t>
        </is>
      </c>
      <c r="G1508" s="13" t="inlineStr">
        <is>
          <t>Eleusine indica</t>
        </is>
      </c>
      <c r="H1508" s="13" t="inlineStr">
        <is>
          <t>SIM (*)</t>
        </is>
      </c>
      <c r="I1508" s="15" t="n">
        <v>1</v>
      </c>
      <c r="J1508" s="18" t="n">
        <v>1.5</v>
      </c>
      <c r="K1508" s="13" t="inlineStr">
        <is>
          <t>kg ou L/ha</t>
        </is>
      </c>
      <c r="L1508" s="15" t="n">
        <v>1</v>
      </c>
      <c r="M1508" s="13" t="inlineStr">
        <is>
          <t>Aplicar conforme monitoramento e estádio recomendado na bula (HRAC Grupo G (EPSPs))</t>
        </is>
      </c>
    </row>
    <row r="1509" ht="22" customHeight="1">
      <c r="A1509" s="6" t="inlineStr">
        <is>
          <t>ALV-1505</t>
        </is>
      </c>
      <c r="B1509" s="5" t="n">
        <v>784</v>
      </c>
      <c r="C1509" s="7" t="inlineStr">
        <is>
          <t>Nº 13714</t>
        </is>
      </c>
      <c r="D1509" s="8" t="inlineStr">
        <is>
          <t>WIPE OUT</t>
        </is>
      </c>
      <c r="E1509" s="7" t="inlineStr">
        <is>
          <t>Herbicida</t>
        </is>
      </c>
      <c r="F1509" s="7" t="inlineStr">
        <is>
          <t>Trapoeraba</t>
        </is>
      </c>
      <c r="G1509" s="7" t="inlineStr">
        <is>
          <t>Commelina benghalensis</t>
        </is>
      </c>
      <c r="H1509" s="7" t="inlineStr">
        <is>
          <t>NÃO</t>
        </is>
      </c>
      <c r="I1509" s="9" t="n">
        <v>2</v>
      </c>
      <c r="J1509" s="17" t="n">
        <v>3.5</v>
      </c>
      <c r="K1509" s="7" t="inlineStr">
        <is>
          <t>kg ou L/ha</t>
        </is>
      </c>
      <c r="L1509" s="9" t="n">
        <v>1</v>
      </c>
      <c r="M1509" s="7" t="inlineStr">
        <is>
          <t>Aplicar conforme monitoramento e estádio recomendado na bula (HRAC Grupo G (EPSPs))</t>
        </is>
      </c>
    </row>
    <row r="1510" ht="22" customHeight="1">
      <c r="A1510" s="12" t="inlineStr">
        <is>
          <t>ALV-1506</t>
        </is>
      </c>
      <c r="B1510" s="11" t="n">
        <v>785</v>
      </c>
      <c r="C1510" s="13" t="inlineStr">
        <is>
          <t>Nº 16223</t>
        </is>
      </c>
      <c r="D1510" s="14" t="inlineStr">
        <is>
          <t>COMPRAY</t>
        </is>
      </c>
      <c r="E1510" s="13" t="inlineStr">
        <is>
          <t>Herbicida</t>
        </is>
      </c>
      <c r="F1510" s="13" t="inlineStr">
        <is>
          <t>Capim-colchão</t>
        </is>
      </c>
      <c r="G1510" s="13" t="inlineStr">
        <is>
          <t>Digitaria horizontalis</t>
        </is>
      </c>
      <c r="H1510" s="13" t="inlineStr">
        <is>
          <t>NÃO</t>
        </is>
      </c>
      <c r="I1510" s="18" t="n">
        <v>1.5</v>
      </c>
      <c r="J1510" s="18" t="n">
        <v>2.5</v>
      </c>
      <c r="K1510" s="13" t="inlineStr">
        <is>
          <t>L/ha</t>
        </is>
      </c>
      <c r="L1510" s="15" t="n">
        <v>1</v>
      </c>
      <c r="M1510" s="13" t="inlineStr">
        <is>
          <t>Aplicar conforme monitoramento e estádio recomendado na bula (HRAC Grupo F4 (13) — Inibidores da DOXP sintase)</t>
        </is>
      </c>
    </row>
    <row r="1511" ht="22" customHeight="1">
      <c r="A1511" s="6" t="inlineStr">
        <is>
          <t>ALV-1507</t>
        </is>
      </c>
      <c r="B1511" s="5" t="n">
        <v>785</v>
      </c>
      <c r="C1511" s="7" t="inlineStr">
        <is>
          <t>Nº 16223</t>
        </is>
      </c>
      <c r="D1511" s="8" t="inlineStr">
        <is>
          <t>COMPRAY</t>
        </is>
      </c>
      <c r="E1511" s="7" t="inlineStr">
        <is>
          <t>Herbicida</t>
        </is>
      </c>
      <c r="F1511" s="7" t="inlineStr">
        <is>
          <t>Capim-marmelada</t>
        </is>
      </c>
      <c r="G1511" s="7" t="inlineStr">
        <is>
          <t>Brachiaria plantaginea</t>
        </is>
      </c>
      <c r="H1511" s="7" t="inlineStr">
        <is>
          <t>NÃO</t>
        </is>
      </c>
      <c r="I1511" s="17" t="n">
        <v>1.5</v>
      </c>
      <c r="J1511" s="17" t="n">
        <v>2.5</v>
      </c>
      <c r="K1511" s="7" t="inlineStr">
        <is>
          <t>L/ha</t>
        </is>
      </c>
      <c r="L1511" s="9" t="n">
        <v>1</v>
      </c>
      <c r="M1511" s="7" t="inlineStr">
        <is>
          <t>Aplicar conforme monitoramento e estádio recomendado na bula (HRAC Grupo F4 (13) — Inibidores da DOXP sintase)</t>
        </is>
      </c>
    </row>
    <row r="1512" ht="22" customHeight="1">
      <c r="A1512" s="12" t="inlineStr">
        <is>
          <t>ALV-1508</t>
        </is>
      </c>
      <c r="B1512" s="11" t="n">
        <v>785</v>
      </c>
      <c r="C1512" s="13" t="inlineStr">
        <is>
          <t>Nº 16223</t>
        </is>
      </c>
      <c r="D1512" s="14" t="inlineStr">
        <is>
          <t>COMPRAY</t>
        </is>
      </c>
      <c r="E1512" s="13" t="inlineStr">
        <is>
          <t>Herbicida</t>
        </is>
      </c>
      <c r="F1512" s="13" t="inlineStr">
        <is>
          <t>Capim-arroz</t>
        </is>
      </c>
      <c r="G1512" s="13" t="inlineStr">
        <is>
          <t>Echinochloa crusgalli</t>
        </is>
      </c>
      <c r="H1512" s="13" t="inlineStr">
        <is>
          <t>SIM (*)</t>
        </is>
      </c>
      <c r="I1512" s="15" t="n">
        <v>1</v>
      </c>
      <c r="J1512" s="15" t="n">
        <v>2</v>
      </c>
      <c r="K1512" s="13" t="inlineStr">
        <is>
          <t>L/ha</t>
        </is>
      </c>
      <c r="L1512" s="15" t="n">
        <v>1</v>
      </c>
      <c r="M1512" s="13" t="inlineStr">
        <is>
          <t>Aplicar conforme monitoramento e estádio recomendado na bula (HRAC Grupo F4 (13) — Inibidores da DOXP sintase)</t>
        </is>
      </c>
    </row>
    <row r="1513" ht="22" customHeight="1">
      <c r="A1513" s="6" t="inlineStr">
        <is>
          <t>ALV-1509</t>
        </is>
      </c>
      <c r="B1513" s="5" t="n">
        <v>786</v>
      </c>
      <c r="C1513" s="7" t="inlineStr">
        <is>
          <t>SIPEAGRO (UF-XXXXX)</t>
        </is>
      </c>
      <c r="D1513" s="8" t="inlineStr">
        <is>
          <t>MAP 11-52 - GRANULADO - REVENDA - JBS</t>
        </is>
      </c>
      <c r="E1513" s="7" t="inlineStr">
        <is>
          <t>Fertilizante Complexo (MAP — Fosfato Monoamônico)</t>
        </is>
      </c>
      <c r="F1513" s="7" t="inlineStr">
        <is>
          <t>Nutrição e Correção de Deficiência Mineral</t>
        </is>
      </c>
      <c r="G1513" s="7" t="inlineStr">
        <is>
          <t>Nutrição Vegetal</t>
        </is>
      </c>
      <c r="H1513" s="7" t="inlineStr">
        <is>
          <t>NÃO</t>
        </is>
      </c>
      <c r="I1513" s="9" t="n">
        <v>1</v>
      </c>
      <c r="J1513" s="9" t="n">
        <v>250</v>
      </c>
      <c r="K1513" s="7" t="inlineStr">
        <is>
          <t>kg ou L/ha</t>
        </is>
      </c>
      <c r="L1513" s="9" t="n">
        <v>1</v>
      </c>
      <c r="M1513" s="7" t="inlineStr">
        <is>
          <t>Aplicar conforme monitoramento e estádio recomendado na bula (Nutrição Vegetal SIPEAGRO)</t>
        </is>
      </c>
    </row>
    <row r="1514" ht="22" customHeight="1">
      <c r="A1514" s="12" t="inlineStr">
        <is>
          <t>ALV-1510</t>
        </is>
      </c>
      <c r="B1514" s="11" t="n">
        <v>787</v>
      </c>
      <c r="C1514" s="13" t="inlineStr">
        <is>
          <t>Nº 3524</t>
        </is>
      </c>
      <c r="D1514" s="14" t="inlineStr">
        <is>
          <t>GLUFOSINATO 200 SL CROTECT</t>
        </is>
      </c>
      <c r="E1514" s="13" t="inlineStr">
        <is>
          <t>Herbicida</t>
        </is>
      </c>
      <c r="F1514" s="13" t="inlineStr">
        <is>
          <t>Buva</t>
        </is>
      </c>
      <c r="G1514" s="13" t="inlineStr">
        <is>
          <t>Conyza bonariensis</t>
        </is>
      </c>
      <c r="H1514" s="13" t="inlineStr">
        <is>
          <t>NÃO</t>
        </is>
      </c>
      <c r="I1514" s="15" t="n">
        <v>2</v>
      </c>
      <c r="J1514" s="15" t="n">
        <v>3</v>
      </c>
      <c r="K1514" s="13" t="inlineStr">
        <is>
          <t>L/ha</t>
        </is>
      </c>
      <c r="L1514" s="15" t="n">
        <v>1</v>
      </c>
      <c r="M1514" s="13" t="inlineStr">
        <is>
          <t>Aplicar conforme monitoramento e estádio recomendado na bula (HRAC Grupo H (10) — Inibidores da Glutamina Sintetase)</t>
        </is>
      </c>
    </row>
    <row r="1515" ht="22" customHeight="1">
      <c r="A1515" s="6" t="inlineStr">
        <is>
          <t>ALV-1511</t>
        </is>
      </c>
      <c r="B1515" s="5" t="n">
        <v>787</v>
      </c>
      <c r="C1515" s="7" t="inlineStr">
        <is>
          <t>Nº 3524</t>
        </is>
      </c>
      <c r="D1515" s="8" t="inlineStr">
        <is>
          <t>GLUFOSINATO 200 SL CROTECT</t>
        </is>
      </c>
      <c r="E1515" s="7" t="inlineStr">
        <is>
          <t>Herbicida</t>
        </is>
      </c>
      <c r="F1515" s="7" t="inlineStr">
        <is>
          <t>Capim-pé-de-galinha</t>
        </is>
      </c>
      <c r="G1515" s="7" t="inlineStr">
        <is>
          <t>Eleusine indica</t>
        </is>
      </c>
      <c r="H1515" s="7" t="inlineStr">
        <is>
          <t>NÃO</t>
        </is>
      </c>
      <c r="I1515" s="9" t="n">
        <v>2</v>
      </c>
      <c r="J1515" s="17" t="n">
        <v>2.5</v>
      </c>
      <c r="K1515" s="7" t="inlineStr">
        <is>
          <t>L/ha</t>
        </is>
      </c>
      <c r="L1515" s="9" t="n">
        <v>1</v>
      </c>
      <c r="M1515" s="7" t="inlineStr">
        <is>
          <t>Aplicar conforme monitoramento e estádio recomendado na bula (HRAC Grupo H (10) — Inibidores da Glutamina Sintetase)</t>
        </is>
      </c>
    </row>
    <row r="1516" ht="22" customHeight="1">
      <c r="A1516" s="12" t="inlineStr">
        <is>
          <t>ALV-1512</t>
        </is>
      </c>
      <c r="B1516" s="11" t="n">
        <v>787</v>
      </c>
      <c r="C1516" s="13" t="inlineStr">
        <is>
          <t>Nº 3524</t>
        </is>
      </c>
      <c r="D1516" s="14" t="inlineStr">
        <is>
          <t>GLUFOSINATO 200 SL CROTECT</t>
        </is>
      </c>
      <c r="E1516" s="13" t="inlineStr">
        <is>
          <t>Herbicida</t>
        </is>
      </c>
      <c r="F1516" s="13" t="inlineStr">
        <is>
          <t>Caruru</t>
        </is>
      </c>
      <c r="G1516" s="13" t="inlineStr">
        <is>
          <t>Amaranthus hybridus</t>
        </is>
      </c>
      <c r="H1516" s="13" t="inlineStr">
        <is>
          <t>NÃO</t>
        </is>
      </c>
      <c r="I1516" s="18" t="n">
        <v>1.5</v>
      </c>
      <c r="J1516" s="18" t="n">
        <v>2.5</v>
      </c>
      <c r="K1516" s="13" t="inlineStr">
        <is>
          <t>L/ha</t>
        </is>
      </c>
      <c r="L1516" s="15" t="n">
        <v>1</v>
      </c>
      <c r="M1516" s="13" t="inlineStr">
        <is>
          <t>Aplicar conforme monitoramento e estádio recomendado na bula (HRAC Grupo H (10) — Inibidores da Glutamina Sintetase)</t>
        </is>
      </c>
    </row>
    <row r="1517" ht="22" customHeight="1">
      <c r="A1517" s="6" t="inlineStr">
        <is>
          <t>ALV-1513</t>
        </is>
      </c>
      <c r="B1517" s="5" t="n">
        <v>788</v>
      </c>
      <c r="C1517" s="7" t="inlineStr">
        <is>
          <t>Nº 12123</t>
        </is>
      </c>
      <c r="D1517" s="8" t="inlineStr">
        <is>
          <t>ARCAR</t>
        </is>
      </c>
      <c r="E1517" s="7" t="inlineStr">
        <is>
          <t>Inseticida</t>
        </is>
      </c>
      <c r="F1517" s="7" t="inlineStr">
        <is>
          <t>Mosca-branca</t>
        </is>
      </c>
      <c r="G1517" s="7" t="inlineStr">
        <is>
          <t>Bemisia tabaci raça B</t>
        </is>
      </c>
      <c r="H1517" s="7" t="inlineStr">
        <is>
          <t>SIM (*)</t>
        </is>
      </c>
      <c r="I1517" s="17" t="n">
        <v>0.25</v>
      </c>
      <c r="J1517" s="17" t="n">
        <v>0.5</v>
      </c>
      <c r="K1517" s="7" t="inlineStr">
        <is>
          <t>L/ha</t>
        </is>
      </c>
      <c r="L1517" s="9" t="n">
        <v>1</v>
      </c>
      <c r="M1517" s="7" t="inlineStr">
        <is>
          <t>Aplicar conforme monitoramento e estádio recomendado na bula (IRAC Grupo 7C)</t>
        </is>
      </c>
    </row>
    <row r="1518" ht="22" customHeight="1">
      <c r="A1518" s="12" t="inlineStr">
        <is>
          <t>ALV-1514</t>
        </is>
      </c>
      <c r="B1518" s="11" t="n">
        <v>788</v>
      </c>
      <c r="C1518" s="13" t="inlineStr">
        <is>
          <t>Nº 12123</t>
        </is>
      </c>
      <c r="D1518" s="14" t="inlineStr">
        <is>
          <t>ARCAR</t>
        </is>
      </c>
      <c r="E1518" s="13" t="inlineStr">
        <is>
          <t>Inseticida</t>
        </is>
      </c>
      <c r="F1518" s="13" t="inlineStr">
        <is>
          <t>Cochonilha-escama-farinha</t>
        </is>
      </c>
      <c r="G1518" s="13" t="inlineStr">
        <is>
          <t>Pinnaspis aspidistrae</t>
        </is>
      </c>
      <c r="H1518" s="13" t="inlineStr">
        <is>
          <t>NÃO</t>
        </is>
      </c>
      <c r="I1518" s="18" t="n">
        <v>0.5</v>
      </c>
      <c r="J1518" s="18" t="n">
        <v>0.75</v>
      </c>
      <c r="K1518" s="13" t="inlineStr">
        <is>
          <t>L/ha</t>
        </is>
      </c>
      <c r="L1518" s="15" t="n">
        <v>1</v>
      </c>
      <c r="M1518" s="13" t="inlineStr">
        <is>
          <t>Aplicar conforme monitoramento e estádio recomendado na bula (IRAC Grupo 7C)</t>
        </is>
      </c>
    </row>
    <row r="1519" ht="22" customHeight="1">
      <c r="A1519" s="6" t="inlineStr">
        <is>
          <t>ALV-1515</t>
        </is>
      </c>
      <c r="B1519" s="5" t="n">
        <v>789</v>
      </c>
      <c r="C1519" s="7" t="inlineStr">
        <is>
          <t>Nº 28925</t>
        </is>
      </c>
      <c r="D1519" s="8" t="inlineStr">
        <is>
          <t>S-METOLACHLOR 960 EC BINNONG 0,200L (AMOSTRA)</t>
        </is>
      </c>
      <c r="E1519" s="7" t="inlineStr">
        <is>
          <t>Herbicida</t>
        </is>
      </c>
      <c r="F1519" s="7" t="inlineStr">
        <is>
          <t>Capim-pé-de-galinha</t>
        </is>
      </c>
      <c r="G1519" s="7" t="inlineStr">
        <is>
          <t>Eleusine indica</t>
        </is>
      </c>
      <c r="H1519" s="7" t="inlineStr">
        <is>
          <t>NÃO</t>
        </is>
      </c>
      <c r="I1519" s="17" t="n">
        <v>1.25</v>
      </c>
      <c r="J1519" s="17" t="n">
        <v>1.75</v>
      </c>
      <c r="K1519" s="7" t="inlineStr">
        <is>
          <t>L/ha</t>
        </is>
      </c>
      <c r="L1519" s="9" t="n">
        <v>1</v>
      </c>
      <c r="M1519" s="7" t="inlineStr">
        <is>
          <t>Aplicar conforme monitoramento e estádio recomendado na bula (HRAC Grupo K3 (15) — Inibidores de VLCFAs)</t>
        </is>
      </c>
    </row>
    <row r="1520" ht="22" customHeight="1">
      <c r="A1520" s="12" t="inlineStr">
        <is>
          <t>ALV-1516</t>
        </is>
      </c>
      <c r="B1520" s="11" t="n">
        <v>789</v>
      </c>
      <c r="C1520" s="13" t="inlineStr">
        <is>
          <t>Nº 28925</t>
        </is>
      </c>
      <c r="D1520" s="14" t="inlineStr">
        <is>
          <t>S-METOLACHLOR 960 EC BINNONG 0,200L (AMOSTRA)</t>
        </is>
      </c>
      <c r="E1520" s="13" t="inlineStr">
        <is>
          <t>Herbicida</t>
        </is>
      </c>
      <c r="F1520" s="13" t="inlineStr">
        <is>
          <t>Capim-colchão</t>
        </is>
      </c>
      <c r="G1520" s="13" t="inlineStr">
        <is>
          <t>Digitaria horizontalis</t>
        </is>
      </c>
      <c r="H1520" s="13" t="inlineStr">
        <is>
          <t>NÃO</t>
        </is>
      </c>
      <c r="I1520" s="18" t="n">
        <v>1.25</v>
      </c>
      <c r="J1520" s="18" t="n">
        <v>1.5</v>
      </c>
      <c r="K1520" s="13" t="inlineStr">
        <is>
          <t>L/ha</t>
        </is>
      </c>
      <c r="L1520" s="15" t="n">
        <v>1</v>
      </c>
      <c r="M1520" s="13" t="inlineStr">
        <is>
          <t>Aplicar conforme monitoramento e estádio recomendado na bula (HRAC Grupo K3 (15) — Inibidores de VLCFAs)</t>
        </is>
      </c>
    </row>
    <row r="1521" ht="22" customHeight="1">
      <c r="A1521" s="6" t="inlineStr">
        <is>
          <t>ALV-1517</t>
        </is>
      </c>
      <c r="B1521" s="5" t="n">
        <v>789</v>
      </c>
      <c r="C1521" s="7" t="inlineStr">
        <is>
          <t>Nº 28925</t>
        </is>
      </c>
      <c r="D1521" s="8" t="inlineStr">
        <is>
          <t>S-METOLACHLOR 960 EC BINNONG 0,200L (AMOSTRA)</t>
        </is>
      </c>
      <c r="E1521" s="7" t="inlineStr">
        <is>
          <t>Herbicida</t>
        </is>
      </c>
      <c r="F1521" s="7" t="inlineStr">
        <is>
          <t>Caruru</t>
        </is>
      </c>
      <c r="G1521" s="7" t="inlineStr">
        <is>
          <t>Amaranthus hybridus</t>
        </is>
      </c>
      <c r="H1521" s="7" t="inlineStr">
        <is>
          <t>NÃO</t>
        </is>
      </c>
      <c r="I1521" s="17" t="n">
        <v>1.25</v>
      </c>
      <c r="J1521" s="17" t="n">
        <v>1.75</v>
      </c>
      <c r="K1521" s="7" t="inlineStr">
        <is>
          <t>L/ha</t>
        </is>
      </c>
      <c r="L1521" s="9" t="n">
        <v>1</v>
      </c>
      <c r="M1521" s="7" t="inlineStr">
        <is>
          <t>Aplicar conforme monitoramento e estádio recomendado na bula (HRAC Grupo K3 (15) — Inibidores de VLCFAs)</t>
        </is>
      </c>
    </row>
    <row r="1522" ht="22" customHeight="1">
      <c r="A1522" s="12" t="inlineStr">
        <is>
          <t>ALV-1518</t>
        </is>
      </c>
      <c r="B1522" s="11" t="n">
        <v>790</v>
      </c>
      <c r="C1522" s="13" t="inlineStr">
        <is>
          <t>Nº 31422</t>
        </is>
      </c>
      <c r="D1522" s="14" t="inlineStr">
        <is>
          <t>ZARPAL</t>
        </is>
      </c>
      <c r="E1522" s="13" t="inlineStr">
        <is>
          <t>Inseticida</t>
        </is>
      </c>
      <c r="F1522" s="13" t="inlineStr">
        <is>
          <t>Bicudo-do-algodoeiro</t>
        </is>
      </c>
      <c r="G1522" s="13" t="inlineStr">
        <is>
          <t>Anthonomus grandis</t>
        </is>
      </c>
      <c r="H1522" s="13" t="inlineStr">
        <is>
          <t>NÃO</t>
        </is>
      </c>
      <c r="I1522" s="18" t="n">
        <v>0.15</v>
      </c>
      <c r="J1522" s="18" t="n">
        <v>0.25</v>
      </c>
      <c r="K1522" s="13" t="inlineStr">
        <is>
          <t>L/ha</t>
        </is>
      </c>
      <c r="L1522" s="15" t="n">
        <v>1</v>
      </c>
      <c r="M1522" s="13" t="inlineStr">
        <is>
          <t>Aplicar conforme monitoramento e estádio recomendado na bula (IRAC Grupo 3A)</t>
        </is>
      </c>
    </row>
    <row r="1523" ht="22" customHeight="1">
      <c r="A1523" s="6" t="inlineStr">
        <is>
          <t>ALV-1519</t>
        </is>
      </c>
      <c r="B1523" s="5" t="n">
        <v>790</v>
      </c>
      <c r="C1523" s="7" t="inlineStr">
        <is>
          <t>Nº 31422</t>
        </is>
      </c>
      <c r="D1523" s="8" t="inlineStr">
        <is>
          <t>ZARPAL</t>
        </is>
      </c>
      <c r="E1523" s="7" t="inlineStr">
        <is>
          <t>Inseticida</t>
        </is>
      </c>
      <c r="F1523" s="7" t="inlineStr">
        <is>
          <t>Mosca-branca</t>
        </is>
      </c>
      <c r="G1523" s="7" t="inlineStr">
        <is>
          <t>Bemisia tabaci raça B</t>
        </is>
      </c>
      <c r="H1523" s="7" t="inlineStr">
        <is>
          <t>SIM (*)</t>
        </is>
      </c>
      <c r="I1523" s="17" t="n">
        <v>0.125</v>
      </c>
      <c r="J1523" s="17" t="n">
        <v>0.25</v>
      </c>
      <c r="K1523" s="7" t="inlineStr">
        <is>
          <t>L/ha</t>
        </is>
      </c>
      <c r="L1523" s="9" t="n">
        <v>1</v>
      </c>
      <c r="M1523" s="7" t="inlineStr">
        <is>
          <t>Aplicar conforme monitoramento e estádio recomendado na bula (IRAC Grupo 3A)</t>
        </is>
      </c>
    </row>
    <row r="1524" ht="22" customHeight="1">
      <c r="A1524" s="12" t="inlineStr">
        <is>
          <t>ALV-1520</t>
        </is>
      </c>
      <c r="B1524" s="11" t="n">
        <v>790</v>
      </c>
      <c r="C1524" s="13" t="inlineStr">
        <is>
          <t>Nº 31422</t>
        </is>
      </c>
      <c r="D1524" s="14" t="inlineStr">
        <is>
          <t>ZARPAL</t>
        </is>
      </c>
      <c r="E1524" s="13" t="inlineStr">
        <is>
          <t>Inseticida</t>
        </is>
      </c>
      <c r="F1524" s="13" t="inlineStr">
        <is>
          <t>Ácaro-rajado</t>
        </is>
      </c>
      <c r="G1524" s="13" t="inlineStr">
        <is>
          <t>Tetranychus urticae</t>
        </is>
      </c>
      <c r="H1524" s="13" t="inlineStr">
        <is>
          <t>SIM (*)</t>
        </is>
      </c>
      <c r="I1524" s="18" t="n">
        <v>0.15</v>
      </c>
      <c r="J1524" s="18" t="n">
        <v>0.2</v>
      </c>
      <c r="K1524" s="13" t="inlineStr">
        <is>
          <t>L/ha</t>
        </is>
      </c>
      <c r="L1524" s="15" t="n">
        <v>1</v>
      </c>
      <c r="M1524" s="13" t="inlineStr">
        <is>
          <t>Aplicar conforme monitoramento e estádio recomendado na bula (IRAC Grupo 3A)</t>
        </is>
      </c>
    </row>
    <row r="1525" ht="22" customHeight="1">
      <c r="A1525" s="6" t="inlineStr">
        <is>
          <t>ALV-1521</t>
        </is>
      </c>
      <c r="B1525" s="5" t="n">
        <v>791</v>
      </c>
      <c r="C1525" s="7" t="inlineStr">
        <is>
          <t>Nº 40024</t>
        </is>
      </c>
      <c r="D1525" s="8" t="inlineStr">
        <is>
          <t>CIPROCONAZOL 80 + PICOXISTROBINA 200 (PRINCIPIO ATIVO)</t>
        </is>
      </c>
      <c r="E1525" s="7" t="inlineStr">
        <is>
          <t>Insumo Industrial</t>
        </is>
      </c>
      <c r="F1525" s="7" t="inlineStr">
        <is>
          <t>Matéria-prima para Formulação Industrial</t>
        </is>
      </c>
      <c r="G1525" s="7" t="inlineStr">
        <is>
          <t>Uso Industrial Credenciado MAPA</t>
        </is>
      </c>
      <c r="H1525" s="7" t="inlineStr">
        <is>
          <t>NÃO</t>
        </is>
      </c>
      <c r="I1525" s="9" t="n">
        <v>0</v>
      </c>
      <c r="J1525" s="9" t="n">
        <v>0</v>
      </c>
      <c r="K1525" s="7" t="inlineStr">
        <is>
          <t>L</t>
        </is>
      </c>
      <c r="L1525" s="9" t="n">
        <v>1</v>
      </c>
      <c r="M1525" s="7" t="inlineStr">
        <is>
          <t>Uso restrito a estabelecimentos formuladores registrados</t>
        </is>
      </c>
    </row>
    <row r="1526" ht="22" customHeight="1">
      <c r="A1526" s="12" t="inlineStr">
        <is>
          <t>ALV-1522</t>
        </is>
      </c>
      <c r="B1526" s="11" t="n">
        <v>792</v>
      </c>
      <c r="C1526" s="13" t="inlineStr">
        <is>
          <t>VINCULAR MARCA</t>
        </is>
      </c>
      <c r="D1526" s="14" t="inlineStr">
        <is>
          <t>CLORPIRIFOS 480 -</t>
        </is>
      </c>
      <c r="E1526" s="13" t="inlineStr">
        <is>
          <t>Insumo Industrial</t>
        </is>
      </c>
      <c r="F1526" s="13" t="inlineStr">
        <is>
          <t>Matéria-prima para Formulação Industrial</t>
        </is>
      </c>
      <c r="G1526" s="13" t="inlineStr">
        <is>
          <t>Uso Industrial Credenciado MAPA</t>
        </is>
      </c>
      <c r="H1526" s="13" t="inlineStr">
        <is>
          <t>NÃO</t>
        </is>
      </c>
      <c r="I1526" s="15" t="n">
        <v>0</v>
      </c>
      <c r="J1526" s="15" t="n">
        <v>0</v>
      </c>
      <c r="K1526" s="13" t="inlineStr">
        <is>
          <t>L</t>
        </is>
      </c>
      <c r="L1526" s="15" t="n">
        <v>1</v>
      </c>
      <c r="M1526" s="13" t="inlineStr">
        <is>
          <t>Uso restrito a estabelecimentos formuladores registrados</t>
        </is>
      </c>
    </row>
    <row r="1527" ht="22" customHeight="1">
      <c r="A1527" s="6" t="inlineStr">
        <is>
          <t>ALV-1523</t>
        </is>
      </c>
      <c r="B1527" s="5" t="n">
        <v>793</v>
      </c>
      <c r="C1527" s="7" t="inlineStr">
        <is>
          <t>VINCULAR MARCA</t>
        </is>
      </c>
      <c r="D1527" s="8" t="inlineStr">
        <is>
          <t>CLORPIRIFOS 480 -</t>
        </is>
      </c>
      <c r="E1527" s="7" t="inlineStr">
        <is>
          <t>Insumo Industrial</t>
        </is>
      </c>
      <c r="F1527" s="7" t="inlineStr">
        <is>
          <t>Matéria-prima para Formulação Industrial</t>
        </is>
      </c>
      <c r="G1527" s="7" t="inlineStr">
        <is>
          <t>Uso Industrial Credenciado MAPA</t>
        </is>
      </c>
      <c r="H1527" s="7" t="inlineStr">
        <is>
          <t>NÃO</t>
        </is>
      </c>
      <c r="I1527" s="9" t="n">
        <v>0</v>
      </c>
      <c r="J1527" s="9" t="n">
        <v>0</v>
      </c>
      <c r="K1527" s="7" t="inlineStr">
        <is>
          <t>L</t>
        </is>
      </c>
      <c r="L1527" s="9" t="n">
        <v>1</v>
      </c>
      <c r="M1527" s="7" t="inlineStr">
        <is>
          <t>Uso restrito a estabelecimentos formuladores registrados</t>
        </is>
      </c>
    </row>
    <row r="1528" ht="22" customHeight="1">
      <c r="A1528" s="12" t="inlineStr">
        <is>
          <t>ALV-1524</t>
        </is>
      </c>
      <c r="B1528" s="11" t="n">
        <v>794</v>
      </c>
      <c r="C1528" s="13" t="inlineStr">
        <is>
          <t>Nº 27717</t>
        </is>
      </c>
      <c r="D1528" s="14" t="inlineStr">
        <is>
          <t>FIPRONIL 800 (PRINCIPIO ATIVO)</t>
        </is>
      </c>
      <c r="E1528" s="13" t="inlineStr">
        <is>
          <t>Insumo Industrial</t>
        </is>
      </c>
      <c r="F1528" s="13" t="inlineStr">
        <is>
          <t>Matéria-prima para Formulação Industrial</t>
        </is>
      </c>
      <c r="G1528" s="13" t="inlineStr">
        <is>
          <t>Uso Industrial Credenciado MAPA</t>
        </is>
      </c>
      <c r="H1528" s="13" t="inlineStr">
        <is>
          <t>NÃO</t>
        </is>
      </c>
      <c r="I1528" s="15" t="n">
        <v>0</v>
      </c>
      <c r="J1528" s="15" t="n">
        <v>0</v>
      </c>
      <c r="K1528" s="13" t="inlineStr">
        <is>
          <t>KG</t>
        </is>
      </c>
      <c r="L1528" s="15" t="n">
        <v>1</v>
      </c>
      <c r="M1528" s="13" t="inlineStr">
        <is>
          <t>Uso restrito a estabelecimentos formuladores registrados</t>
        </is>
      </c>
    </row>
    <row r="1529" ht="22" customHeight="1">
      <c r="A1529" s="6" t="inlineStr">
        <is>
          <t>ALV-1525</t>
        </is>
      </c>
      <c r="B1529" s="5" t="n">
        <v>795</v>
      </c>
      <c r="C1529" s="7" t="inlineStr">
        <is>
          <t>Nº 12920</t>
        </is>
      </c>
      <c r="D1529" s="8" t="inlineStr">
        <is>
          <t>ATRAZINA 900 (PRINCIPIO ATIVO)</t>
        </is>
      </c>
      <c r="E1529" s="7" t="inlineStr">
        <is>
          <t>Insumo Industrial</t>
        </is>
      </c>
      <c r="F1529" s="7" t="inlineStr">
        <is>
          <t>Matéria-prima para Formulação Industrial</t>
        </is>
      </c>
      <c r="G1529" s="7" t="inlineStr">
        <is>
          <t>Uso Industrial Credenciado MAPA</t>
        </is>
      </c>
      <c r="H1529" s="7" t="inlineStr">
        <is>
          <t>NÃO</t>
        </is>
      </c>
      <c r="I1529" s="9" t="n">
        <v>0</v>
      </c>
      <c r="J1529" s="9" t="n">
        <v>0</v>
      </c>
      <c r="K1529" s="7" t="inlineStr">
        <is>
          <t>KG</t>
        </is>
      </c>
      <c r="L1529" s="9" t="n">
        <v>1</v>
      </c>
      <c r="M1529" s="7" t="inlineStr">
        <is>
          <t>Uso restrito a estabelecimentos formuladores registrados</t>
        </is>
      </c>
    </row>
    <row r="1530" ht="22" customHeight="1">
      <c r="A1530" s="12" t="inlineStr">
        <is>
          <t>ALV-1526</t>
        </is>
      </c>
      <c r="B1530" s="11" t="n">
        <v>796</v>
      </c>
      <c r="C1530" s="13" t="inlineStr">
        <is>
          <t>Nº 26222</t>
        </is>
      </c>
      <c r="D1530" s="14" t="inlineStr">
        <is>
          <t>DIQUATE (PRINCIPIO ATIVO)</t>
        </is>
      </c>
      <c r="E1530" s="13" t="inlineStr">
        <is>
          <t>Insumo Industrial</t>
        </is>
      </c>
      <c r="F1530" s="13" t="inlineStr">
        <is>
          <t>Matéria-prima para Formulação Industrial</t>
        </is>
      </c>
      <c r="G1530" s="13" t="inlineStr">
        <is>
          <t>Uso Industrial Credenciado MAPA</t>
        </is>
      </c>
      <c r="H1530" s="13" t="inlineStr">
        <is>
          <t>NÃO</t>
        </is>
      </c>
      <c r="I1530" s="15" t="n">
        <v>0</v>
      </c>
      <c r="J1530" s="15" t="n">
        <v>0</v>
      </c>
      <c r="K1530" s="13" t="inlineStr">
        <is>
          <t>L</t>
        </is>
      </c>
      <c r="L1530" s="15" t="n">
        <v>1</v>
      </c>
      <c r="M1530" s="13" t="inlineStr">
        <is>
          <t>Uso restrito a estabelecimentos formuladores registrados</t>
        </is>
      </c>
    </row>
    <row r="1531" ht="22" customHeight="1">
      <c r="A1531" s="6" t="inlineStr">
        <is>
          <t>ALV-1527</t>
        </is>
      </c>
      <c r="B1531" s="5" t="n">
        <v>797</v>
      </c>
      <c r="C1531" s="7" t="inlineStr">
        <is>
          <t>Nº 4026</t>
        </is>
      </c>
      <c r="D1531" s="8" t="inlineStr">
        <is>
          <t>PROTIOCONAZOLE 480 (PRINCIPIO ATIVO)</t>
        </is>
      </c>
      <c r="E1531" s="7" t="inlineStr">
        <is>
          <t>Insumo Industrial</t>
        </is>
      </c>
      <c r="F1531" s="7" t="inlineStr">
        <is>
          <t>Matéria-prima para Formulação Industrial</t>
        </is>
      </c>
      <c r="G1531" s="7" t="inlineStr">
        <is>
          <t>Uso Industrial Credenciado MAPA</t>
        </is>
      </c>
      <c r="H1531" s="7" t="inlineStr">
        <is>
          <t>NÃO</t>
        </is>
      </c>
      <c r="I1531" s="9" t="n">
        <v>0</v>
      </c>
      <c r="J1531" s="9" t="n">
        <v>0</v>
      </c>
      <c r="K1531" s="7" t="inlineStr">
        <is>
          <t>L</t>
        </is>
      </c>
      <c r="L1531" s="9" t="n">
        <v>1</v>
      </c>
      <c r="M1531" s="7" t="inlineStr">
        <is>
          <t>Uso restrito a estabelecimentos formuladores registrados</t>
        </is>
      </c>
    </row>
    <row r="1532" ht="22" customHeight="1">
      <c r="A1532" s="12" t="inlineStr">
        <is>
          <t>ALV-1528</t>
        </is>
      </c>
      <c r="B1532" s="11" t="n">
        <v>798</v>
      </c>
      <c r="C1532" s="13" t="inlineStr">
        <is>
          <t>Nº 43818</t>
        </is>
      </c>
      <c r="D1532" s="14" t="inlineStr">
        <is>
          <t>RUBY</t>
        </is>
      </c>
      <c r="E1532" s="13" t="inlineStr">
        <is>
          <t>Inseticida e Acaricida</t>
        </is>
      </c>
      <c r="F1532" s="13" t="inlineStr">
        <is>
          <t>Complexo de Lagartas, Percevejos e Sugadores</t>
        </is>
      </c>
      <c r="G1532" s="13" t="inlineStr">
        <is>
          <t>Spodoptera / Euschistus / Bemisia</t>
        </is>
      </c>
      <c r="H1532" s="13" t="inlineStr">
        <is>
          <t>NÃO</t>
        </is>
      </c>
      <c r="I1532" s="18" t="n">
        <v>0.15</v>
      </c>
      <c r="J1532" s="15" t="n">
        <v>1</v>
      </c>
      <c r="K1532" s="13" t="inlineStr">
        <is>
          <t>L ou kg/ha</t>
        </is>
      </c>
      <c r="L1532" s="15" t="n">
        <v>1</v>
      </c>
      <c r="M1532" s="13" t="inlineStr">
        <is>
          <t>Aplicar conforme monitoramento e estádio recomendado na bula (Classificação IRAC Oficial conforme Bula)</t>
        </is>
      </c>
    </row>
    <row r="1533" ht="22" customHeight="1">
      <c r="A1533" s="6" t="inlineStr">
        <is>
          <t>ALV-1529</t>
        </is>
      </c>
      <c r="B1533" s="5" t="n">
        <v>799</v>
      </c>
      <c r="C1533" s="7" t="inlineStr">
        <is>
          <t>Nº 40624</t>
        </is>
      </c>
      <c r="D1533" s="8" t="inlineStr">
        <is>
          <t>SHARK</t>
        </is>
      </c>
      <c r="E1533" s="7" t="inlineStr">
        <is>
          <t>Inseticida</t>
        </is>
      </c>
      <c r="F1533" s="7" t="inlineStr">
        <is>
          <t>Lagarta-do-cartucho</t>
        </is>
      </c>
      <c r="G1533" s="7" t="inlineStr">
        <is>
          <t>Spodoptera frugiperda</t>
        </is>
      </c>
      <c r="H1533" s="7" t="inlineStr">
        <is>
          <t>SIM (*)</t>
        </is>
      </c>
      <c r="I1533" s="17" t="n">
        <v>0.4</v>
      </c>
      <c r="J1533" s="17" t="n">
        <v>0.6</v>
      </c>
      <c r="K1533" s="7" t="inlineStr">
        <is>
          <t>L/ha</t>
        </is>
      </c>
      <c r="L1533" s="9" t="n">
        <v>1</v>
      </c>
      <c r="M1533" s="7" t="inlineStr">
        <is>
          <t>Aplicar conforme monitoramento e estádio recomendado na bula (IRAC Grupo 1B)</t>
        </is>
      </c>
    </row>
    <row r="1534" ht="22" customHeight="1">
      <c r="A1534" s="12" t="inlineStr">
        <is>
          <t>ALV-1530</t>
        </is>
      </c>
      <c r="B1534" s="11" t="n">
        <v>799</v>
      </c>
      <c r="C1534" s="13" t="inlineStr">
        <is>
          <t>Nº 40624</t>
        </is>
      </c>
      <c r="D1534" s="14" t="inlineStr">
        <is>
          <t>SHARK</t>
        </is>
      </c>
      <c r="E1534" s="13" t="inlineStr">
        <is>
          <t>Inseticida</t>
        </is>
      </c>
      <c r="F1534" s="13" t="inlineStr">
        <is>
          <t>Lagarta-da-soja</t>
        </is>
      </c>
      <c r="G1534" s="13" t="inlineStr">
        <is>
          <t>Anticarsia gemmatalis</t>
        </is>
      </c>
      <c r="H1534" s="13" t="inlineStr">
        <is>
          <t>NÃO</t>
        </is>
      </c>
      <c r="I1534" s="18" t="n">
        <v>0.4</v>
      </c>
      <c r="J1534" s="15" t="n">
        <v>1</v>
      </c>
      <c r="K1534" s="13" t="inlineStr">
        <is>
          <t>L/ha</t>
        </is>
      </c>
      <c r="L1534" s="15" t="n">
        <v>1</v>
      </c>
      <c r="M1534" s="13" t="inlineStr">
        <is>
          <t>Aplicar conforme monitoramento e estádio recomendado na bula (IRAC Grupo 1B)</t>
        </is>
      </c>
    </row>
    <row r="1535" ht="22" customHeight="1">
      <c r="A1535" s="6" t="inlineStr">
        <is>
          <t>ALV-1531</t>
        </is>
      </c>
      <c r="B1535" s="5" t="n">
        <v>799</v>
      </c>
      <c r="C1535" s="7" t="inlineStr">
        <is>
          <t>Nº 40624</t>
        </is>
      </c>
      <c r="D1535" s="8" t="inlineStr">
        <is>
          <t>SHARK</t>
        </is>
      </c>
      <c r="E1535" s="7" t="inlineStr">
        <is>
          <t>Inseticida</t>
        </is>
      </c>
      <c r="F1535" s="7" t="inlineStr">
        <is>
          <t>Broca-do-café</t>
        </is>
      </c>
      <c r="G1535" s="7" t="inlineStr">
        <is>
          <t>Hypothenemus hampei</t>
        </is>
      </c>
      <c r="H1535" s="7" t="inlineStr">
        <is>
          <t>NÃO</t>
        </is>
      </c>
      <c r="I1535" s="9" t="n">
        <v>1</v>
      </c>
      <c r="J1535" s="17" t="n">
        <v>1.5</v>
      </c>
      <c r="K1535" s="7" t="inlineStr">
        <is>
          <t>L/ha</t>
        </is>
      </c>
      <c r="L1535" s="9" t="n">
        <v>1</v>
      </c>
      <c r="M1535" s="7" t="inlineStr">
        <is>
          <t>Aplicar conforme monitoramento e estádio recomendado na bula (IRAC Grupo 1B)</t>
        </is>
      </c>
    </row>
    <row r="1536" ht="22" customHeight="1">
      <c r="A1536" s="12" t="inlineStr">
        <is>
          <t>ALV-1532</t>
        </is>
      </c>
      <c r="B1536" s="11" t="n">
        <v>800</v>
      </c>
      <c r="C1536" s="13" t="inlineStr">
        <is>
          <t>Nº 40624</t>
        </is>
      </c>
      <c r="D1536" s="14" t="inlineStr">
        <is>
          <t>SHARK</t>
        </is>
      </c>
      <c r="E1536" s="13" t="inlineStr">
        <is>
          <t>Inseticida</t>
        </is>
      </c>
      <c r="F1536" s="13" t="inlineStr">
        <is>
          <t>Lagarta-do-cartucho</t>
        </is>
      </c>
      <c r="G1536" s="13" t="inlineStr">
        <is>
          <t>Spodoptera frugiperda</t>
        </is>
      </c>
      <c r="H1536" s="13" t="inlineStr">
        <is>
          <t>SIM (*)</t>
        </is>
      </c>
      <c r="I1536" s="18" t="n">
        <v>0.4</v>
      </c>
      <c r="J1536" s="18" t="n">
        <v>0.6</v>
      </c>
      <c r="K1536" s="13" t="inlineStr">
        <is>
          <t>L/ha</t>
        </is>
      </c>
      <c r="L1536" s="15" t="n">
        <v>1</v>
      </c>
      <c r="M1536" s="13" t="inlineStr">
        <is>
          <t>Aplicar conforme monitoramento e estádio recomendado na bula (IRAC Grupo 1B)</t>
        </is>
      </c>
    </row>
    <row r="1537" ht="22" customHeight="1">
      <c r="A1537" s="6" t="inlineStr">
        <is>
          <t>ALV-1533</t>
        </is>
      </c>
      <c r="B1537" s="5" t="n">
        <v>800</v>
      </c>
      <c r="C1537" s="7" t="inlineStr">
        <is>
          <t>Nº 40624</t>
        </is>
      </c>
      <c r="D1537" s="8" t="inlineStr">
        <is>
          <t>SHARK</t>
        </is>
      </c>
      <c r="E1537" s="7" t="inlineStr">
        <is>
          <t>Inseticida</t>
        </is>
      </c>
      <c r="F1537" s="7" t="inlineStr">
        <is>
          <t>Lagarta-da-soja</t>
        </is>
      </c>
      <c r="G1537" s="7" t="inlineStr">
        <is>
          <t>Anticarsia gemmatalis</t>
        </is>
      </c>
      <c r="H1537" s="7" t="inlineStr">
        <is>
          <t>NÃO</t>
        </is>
      </c>
      <c r="I1537" s="17" t="n">
        <v>0.4</v>
      </c>
      <c r="J1537" s="9" t="n">
        <v>1</v>
      </c>
      <c r="K1537" s="7" t="inlineStr">
        <is>
          <t>L/ha</t>
        </is>
      </c>
      <c r="L1537" s="9" t="n">
        <v>1</v>
      </c>
      <c r="M1537" s="7" t="inlineStr">
        <is>
          <t>Aplicar conforme monitoramento e estádio recomendado na bula (IRAC Grupo 1B)</t>
        </is>
      </c>
    </row>
    <row r="1538" ht="22" customHeight="1">
      <c r="A1538" s="12" t="inlineStr">
        <is>
          <t>ALV-1534</t>
        </is>
      </c>
      <c r="B1538" s="11" t="n">
        <v>800</v>
      </c>
      <c r="C1538" s="13" t="inlineStr">
        <is>
          <t>Nº 40624</t>
        </is>
      </c>
      <c r="D1538" s="14" t="inlineStr">
        <is>
          <t>SHARK</t>
        </is>
      </c>
      <c r="E1538" s="13" t="inlineStr">
        <is>
          <t>Inseticida</t>
        </is>
      </c>
      <c r="F1538" s="13" t="inlineStr">
        <is>
          <t>Broca-do-café</t>
        </is>
      </c>
      <c r="G1538" s="13" t="inlineStr">
        <is>
          <t>Hypothenemus hampei</t>
        </is>
      </c>
      <c r="H1538" s="13" t="inlineStr">
        <is>
          <t>NÃO</t>
        </is>
      </c>
      <c r="I1538" s="15" t="n">
        <v>1</v>
      </c>
      <c r="J1538" s="18" t="n">
        <v>1.5</v>
      </c>
      <c r="K1538" s="13" t="inlineStr">
        <is>
          <t>L/ha</t>
        </is>
      </c>
      <c r="L1538" s="15" t="n">
        <v>1</v>
      </c>
      <c r="M1538" s="13" t="inlineStr">
        <is>
          <t>Aplicar conforme monitoramento e estádio recomendado na bula (IRAC Grupo 1B)</t>
        </is>
      </c>
    </row>
    <row r="1539" ht="22" customHeight="1">
      <c r="A1539" s="6" t="inlineStr">
        <is>
          <t>ALV-1535</t>
        </is>
      </c>
      <c r="B1539" s="5" t="n">
        <v>801</v>
      </c>
      <c r="C1539" s="7" t="inlineStr">
        <is>
          <t>Nº 17219</t>
        </is>
      </c>
      <c r="D1539" s="8" t="inlineStr">
        <is>
          <t>PERAK</t>
        </is>
      </c>
      <c r="E1539" s="7" t="inlineStr">
        <is>
          <t>Fungicida</t>
        </is>
      </c>
      <c r="F1539" s="7" t="inlineStr">
        <is>
          <t>Mofo-branco</t>
        </is>
      </c>
      <c r="G1539" s="7" t="inlineStr">
        <is>
          <t>Sclerotinia sclerotiorum</t>
        </is>
      </c>
      <c r="H1539" s="7" t="inlineStr">
        <is>
          <t>NÃO</t>
        </is>
      </c>
      <c r="I1539" s="9" t="n">
        <v>1</v>
      </c>
      <c r="J1539" s="17" t="n">
        <v>1.5</v>
      </c>
      <c r="K1539" s="7" t="inlineStr">
        <is>
          <t>L/ha</t>
        </is>
      </c>
      <c r="L1539" s="9" t="n">
        <v>1</v>
      </c>
      <c r="M1539" s="7" t="inlineStr">
        <is>
          <t>Aplicar conforme monitoramento e estádio recomendado na bula (FRAC Grupo 29)</t>
        </is>
      </c>
    </row>
    <row r="1540" ht="22" customHeight="1">
      <c r="A1540" s="12" t="inlineStr">
        <is>
          <t>ALV-1536</t>
        </is>
      </c>
      <c r="B1540" s="11" t="n">
        <v>801</v>
      </c>
      <c r="C1540" s="13" t="inlineStr">
        <is>
          <t>Nº 17219</t>
        </is>
      </c>
      <c r="D1540" s="14" t="inlineStr">
        <is>
          <t>PERAK</t>
        </is>
      </c>
      <c r="E1540" s="13" t="inlineStr">
        <is>
          <t>Fungicida</t>
        </is>
      </c>
      <c r="F1540" s="13" t="inlineStr">
        <is>
          <t>Requeima</t>
        </is>
      </c>
      <c r="G1540" s="13" t="inlineStr">
        <is>
          <t>Phytophthora infestans</t>
        </is>
      </c>
      <c r="H1540" s="13" t="inlineStr">
        <is>
          <t>NÃO</t>
        </is>
      </c>
      <c r="I1540" s="18" t="n">
        <v>0.75</v>
      </c>
      <c r="J1540" s="15" t="n">
        <v>1</v>
      </c>
      <c r="K1540" s="13" t="inlineStr">
        <is>
          <t>L/ha</t>
        </is>
      </c>
      <c r="L1540" s="15" t="n">
        <v>1</v>
      </c>
      <c r="M1540" s="13" t="inlineStr">
        <is>
          <t>Aplicar conforme monitoramento e estádio recomendado na bula (FRAC Grupo 29)</t>
        </is>
      </c>
    </row>
    <row r="1541" ht="22" customHeight="1">
      <c r="A1541" s="6" t="inlineStr">
        <is>
          <t>ALV-1537</t>
        </is>
      </c>
      <c r="B1541" s="5" t="n">
        <v>802</v>
      </c>
      <c r="C1541" s="7" t="inlineStr">
        <is>
          <t>SIPEAGRO (UF-XXXXX)</t>
        </is>
      </c>
      <c r="D1541" s="8" t="inlineStr">
        <is>
          <t>TSP - 46%P2O5 - GRAN - REVENDA - JBS</t>
        </is>
      </c>
      <c r="E1541" s="7" t="inlineStr">
        <is>
          <t>Fertilizante Mineral Simples (Fosfatado)</t>
        </is>
      </c>
      <c r="F1541" s="7" t="inlineStr">
        <is>
          <t>Nutrição e Correção de Deficiência Mineral</t>
        </is>
      </c>
      <c r="G1541" s="7" t="inlineStr">
        <is>
          <t>Nutrição Vegetal</t>
        </is>
      </c>
      <c r="H1541" s="7" t="inlineStr">
        <is>
          <t>NÃO</t>
        </is>
      </c>
      <c r="I1541" s="9" t="n">
        <v>1</v>
      </c>
      <c r="J1541" s="9" t="n">
        <v>250</v>
      </c>
      <c r="K1541" s="7" t="inlineStr">
        <is>
          <t>kg ou L/ha</t>
        </is>
      </c>
      <c r="L1541" s="9" t="n">
        <v>1</v>
      </c>
      <c r="M1541" s="7" t="inlineStr">
        <is>
          <t>Aplicar conforme monitoramento e estádio recomendado na bula (Nutrição Vegetal SIPEAGRO)</t>
        </is>
      </c>
    </row>
    <row r="1542" ht="22" customHeight="1">
      <c r="A1542" s="12" t="inlineStr">
        <is>
          <t>ALV-1538</t>
        </is>
      </c>
      <c r="B1542" s="11" t="n">
        <v>803</v>
      </c>
      <c r="C1542" s="13" t="inlineStr">
        <is>
          <t>Nº 2020</t>
        </is>
      </c>
      <c r="D1542" s="14" t="inlineStr">
        <is>
          <t>BUSHI 0,2L (AMOSTRA) IMP</t>
        </is>
      </c>
      <c r="E1542" s="13" t="inlineStr">
        <is>
          <t>Inseticida</t>
        </is>
      </c>
      <c r="F1542" s="13" t="inlineStr">
        <is>
          <t>Lagarta-do-cartucho</t>
        </is>
      </c>
      <c r="G1542" s="13" t="inlineStr">
        <is>
          <t>Spodoptera frugiperda</t>
        </is>
      </c>
      <c r="H1542" s="13" t="inlineStr">
        <is>
          <t>SIM (*)</t>
        </is>
      </c>
      <c r="I1542" s="18" t="n">
        <v>0.05</v>
      </c>
      <c r="J1542" s="18" t="n">
        <v>0.15</v>
      </c>
      <c r="K1542" s="13" t="inlineStr">
        <is>
          <t>L/ha</t>
        </is>
      </c>
      <c r="L1542" s="15" t="n">
        <v>1</v>
      </c>
      <c r="M1542" s="13" t="inlineStr">
        <is>
          <t>Aplicar conforme monitoramento e estádio recomendado na bula (IRAC Grupo 3A)</t>
        </is>
      </c>
    </row>
    <row r="1543" ht="22" customHeight="1">
      <c r="A1543" s="6" t="inlineStr">
        <is>
          <t>ALV-1539</t>
        </is>
      </c>
      <c r="B1543" s="5" t="n">
        <v>803</v>
      </c>
      <c r="C1543" s="7" t="inlineStr">
        <is>
          <t>Nº 2020</t>
        </is>
      </c>
      <c r="D1543" s="8" t="inlineStr">
        <is>
          <t>BUSHI 0,2L (AMOSTRA) IMP</t>
        </is>
      </c>
      <c r="E1543" s="7" t="inlineStr">
        <is>
          <t>Inseticida</t>
        </is>
      </c>
      <c r="F1543" s="7" t="inlineStr">
        <is>
          <t>Percevejo-marrom</t>
        </is>
      </c>
      <c r="G1543" s="7" t="inlineStr">
        <is>
          <t>Euschistus heros</t>
        </is>
      </c>
      <c r="H1543" s="7" t="inlineStr">
        <is>
          <t>NÃO</t>
        </is>
      </c>
      <c r="I1543" s="17" t="n">
        <v>0.075</v>
      </c>
      <c r="J1543" s="17" t="n">
        <v>0.15</v>
      </c>
      <c r="K1543" s="7" t="inlineStr">
        <is>
          <t>L/ha</t>
        </is>
      </c>
      <c r="L1543" s="9" t="n">
        <v>1</v>
      </c>
      <c r="M1543" s="7" t="inlineStr">
        <is>
          <t>Aplicar conforme monitoramento e estádio recomendado na bula (IRAC Grupo 3A)</t>
        </is>
      </c>
    </row>
    <row r="1544" ht="22" customHeight="1">
      <c r="A1544" s="12" t="inlineStr">
        <is>
          <t>ALV-1540</t>
        </is>
      </c>
      <c r="B1544" s="11" t="n">
        <v>804</v>
      </c>
      <c r="C1544" s="13" t="inlineStr">
        <is>
          <t>Nº 34621</t>
        </is>
      </c>
      <c r="D1544" s="14" t="inlineStr">
        <is>
          <t>DIBROMETO DE DIQUATE</t>
        </is>
      </c>
      <c r="E1544" s="13" t="inlineStr">
        <is>
          <t>Herbicida Dessecante</t>
        </is>
      </c>
      <c r="F1544" s="13" t="inlineStr">
        <is>
          <t>Buva</t>
        </is>
      </c>
      <c r="G1544" s="13" t="inlineStr">
        <is>
          <t>Conyza bonariensis</t>
        </is>
      </c>
      <c r="H1544" s="13" t="inlineStr">
        <is>
          <t>NÃO</t>
        </is>
      </c>
      <c r="I1544" s="18" t="n">
        <v>1.5</v>
      </c>
      <c r="J1544" s="18" t="n">
        <v>2.5</v>
      </c>
      <c r="K1544" s="13" t="inlineStr">
        <is>
          <t>L/ha</t>
        </is>
      </c>
      <c r="L1544" s="15" t="n">
        <v>1</v>
      </c>
      <c r="M1544" s="13" t="inlineStr">
        <is>
          <t>Aplicar conforme monitoramento e estádio recomendado na bula (HRAC Grupo D (22) — Desviadores de Elétrons do Fotossistema I)</t>
        </is>
      </c>
    </row>
    <row r="1545" ht="22" customHeight="1">
      <c r="A1545" s="6" t="inlineStr">
        <is>
          <t>ALV-1541</t>
        </is>
      </c>
      <c r="B1545" s="5" t="n">
        <v>804</v>
      </c>
      <c r="C1545" s="7" t="inlineStr">
        <is>
          <t>Nº 34621</t>
        </is>
      </c>
      <c r="D1545" s="8" t="inlineStr">
        <is>
          <t>DIBROMETO DE DIQUATE</t>
        </is>
      </c>
      <c r="E1545" s="7" t="inlineStr">
        <is>
          <t>Herbicida Dessecante</t>
        </is>
      </c>
      <c r="F1545" s="7" t="inlineStr">
        <is>
          <t>Corda-de-viola</t>
        </is>
      </c>
      <c r="G1545" s="7" t="inlineStr">
        <is>
          <t>Ipomoea grandifolia</t>
        </is>
      </c>
      <c r="H1545" s="7" t="inlineStr">
        <is>
          <t>NÃO</t>
        </is>
      </c>
      <c r="I1545" s="17" t="n">
        <v>1.5</v>
      </c>
      <c r="J1545" s="9" t="n">
        <v>2</v>
      </c>
      <c r="K1545" s="7" t="inlineStr">
        <is>
          <t>L/ha</t>
        </is>
      </c>
      <c r="L1545" s="9" t="n">
        <v>1</v>
      </c>
      <c r="M1545" s="7" t="inlineStr">
        <is>
          <t>Aplicar conforme monitoramento e estádio recomendado na bula (HRAC Grupo D (22) — Desviadores de Elétrons do Fotossistema I)</t>
        </is>
      </c>
    </row>
    <row r="1546" ht="22" customHeight="1">
      <c r="A1546" s="12" t="inlineStr">
        <is>
          <t>ALV-1542</t>
        </is>
      </c>
      <c r="B1546" s="11" t="n">
        <v>804</v>
      </c>
      <c r="C1546" s="13" t="inlineStr">
        <is>
          <t>Nº 34621</t>
        </is>
      </c>
      <c r="D1546" s="14" t="inlineStr">
        <is>
          <t>DIBROMETO DE DIQUATE</t>
        </is>
      </c>
      <c r="E1546" s="13" t="inlineStr">
        <is>
          <t>Herbicida Dessecante</t>
        </is>
      </c>
      <c r="F1546" s="13" t="inlineStr">
        <is>
          <t>Dessecação Pré-Colheita Soja</t>
        </is>
      </c>
      <c r="G1546" s="13" t="inlineStr">
        <is>
          <t>Glycine max</t>
        </is>
      </c>
      <c r="H1546" s="13" t="inlineStr">
        <is>
          <t>NÃO</t>
        </is>
      </c>
      <c r="I1546" s="18" t="n">
        <v>1.5</v>
      </c>
      <c r="J1546" s="15" t="n">
        <v>2</v>
      </c>
      <c r="K1546" s="13" t="inlineStr">
        <is>
          <t>L/ha</t>
        </is>
      </c>
      <c r="L1546" s="15" t="n">
        <v>1</v>
      </c>
      <c r="M1546" s="13" t="inlineStr">
        <is>
          <t>Aplicar conforme monitoramento e estádio recomendado na bula (HRAC Grupo D (22) — Desviadores de Elétrons do Fotossistema I)</t>
        </is>
      </c>
    </row>
    <row r="1547" ht="22" customHeight="1">
      <c r="A1547" s="6" t="inlineStr">
        <is>
          <t>ALV-1543</t>
        </is>
      </c>
      <c r="B1547" s="5" t="n">
        <v>805</v>
      </c>
      <c r="C1547" s="7" t="inlineStr">
        <is>
          <t>Nº 25423</t>
        </is>
      </c>
      <c r="D1547" s="8" t="inlineStr">
        <is>
          <t>GLUFE 200 SL</t>
        </is>
      </c>
      <c r="E1547" s="7" t="inlineStr">
        <is>
          <t>Herbicida</t>
        </is>
      </c>
      <c r="F1547" s="7" t="inlineStr">
        <is>
          <t>Buva</t>
        </is>
      </c>
      <c r="G1547" s="7" t="inlineStr">
        <is>
          <t>Conyza bonariensis</t>
        </is>
      </c>
      <c r="H1547" s="7" t="inlineStr">
        <is>
          <t>NÃO</t>
        </is>
      </c>
      <c r="I1547" s="9" t="n">
        <v>2</v>
      </c>
      <c r="J1547" s="9" t="n">
        <v>3</v>
      </c>
      <c r="K1547" s="7" t="inlineStr">
        <is>
          <t>L/ha</t>
        </is>
      </c>
      <c r="L1547" s="9" t="n">
        <v>1</v>
      </c>
      <c r="M1547" s="7" t="inlineStr">
        <is>
          <t>Aplicar conforme monitoramento e estádio recomendado na bula (HRAC Grupo H (10) — Inibidores da Glutamina Sintetase)</t>
        </is>
      </c>
    </row>
    <row r="1548" ht="22" customHeight="1">
      <c r="A1548" s="12" t="inlineStr">
        <is>
          <t>ALV-1544</t>
        </is>
      </c>
      <c r="B1548" s="11" t="n">
        <v>805</v>
      </c>
      <c r="C1548" s="13" t="inlineStr">
        <is>
          <t>Nº 25423</t>
        </is>
      </c>
      <c r="D1548" s="14" t="inlineStr">
        <is>
          <t>GLUFE 200 SL</t>
        </is>
      </c>
      <c r="E1548" s="13" t="inlineStr">
        <is>
          <t>Herbicida</t>
        </is>
      </c>
      <c r="F1548" s="13" t="inlineStr">
        <is>
          <t>Capim-pé-de-galinha</t>
        </is>
      </c>
      <c r="G1548" s="13" t="inlineStr">
        <is>
          <t>Eleusine indica</t>
        </is>
      </c>
      <c r="H1548" s="13" t="inlineStr">
        <is>
          <t>NÃO</t>
        </is>
      </c>
      <c r="I1548" s="15" t="n">
        <v>2</v>
      </c>
      <c r="J1548" s="18" t="n">
        <v>2.5</v>
      </c>
      <c r="K1548" s="13" t="inlineStr">
        <is>
          <t>L/ha</t>
        </is>
      </c>
      <c r="L1548" s="15" t="n">
        <v>1</v>
      </c>
      <c r="M1548" s="13" t="inlineStr">
        <is>
          <t>Aplicar conforme monitoramento e estádio recomendado na bula (HRAC Grupo H (10) — Inibidores da Glutamina Sintetase)</t>
        </is>
      </c>
    </row>
    <row r="1549" ht="22" customHeight="1">
      <c r="A1549" s="6" t="inlineStr">
        <is>
          <t>ALV-1545</t>
        </is>
      </c>
      <c r="B1549" s="5" t="n">
        <v>805</v>
      </c>
      <c r="C1549" s="7" t="inlineStr">
        <is>
          <t>Nº 25423</t>
        </is>
      </c>
      <c r="D1549" s="8" t="inlineStr">
        <is>
          <t>GLUFE 200 SL</t>
        </is>
      </c>
      <c r="E1549" s="7" t="inlineStr">
        <is>
          <t>Herbicida</t>
        </is>
      </c>
      <c r="F1549" s="7" t="inlineStr">
        <is>
          <t>Caruru</t>
        </is>
      </c>
      <c r="G1549" s="7" t="inlineStr">
        <is>
          <t>Amaranthus hybridus</t>
        </is>
      </c>
      <c r="H1549" s="7" t="inlineStr">
        <is>
          <t>NÃO</t>
        </is>
      </c>
      <c r="I1549" s="17" t="n">
        <v>1.5</v>
      </c>
      <c r="J1549" s="17" t="n">
        <v>2.5</v>
      </c>
      <c r="K1549" s="7" t="inlineStr">
        <is>
          <t>L/ha</t>
        </is>
      </c>
      <c r="L1549" s="9" t="n">
        <v>1</v>
      </c>
      <c r="M1549" s="7" t="inlineStr">
        <is>
          <t>Aplicar conforme monitoramento e estádio recomendado na bula (HRAC Grupo H (10) — Inibidores da Glutamina Sintetase)</t>
        </is>
      </c>
    </row>
    <row r="1550" ht="22" customHeight="1">
      <c r="A1550" s="12" t="inlineStr">
        <is>
          <t>ALV-1546</t>
        </is>
      </c>
      <c r="B1550" s="11" t="n">
        <v>806</v>
      </c>
      <c r="C1550" s="13" t="inlineStr">
        <is>
          <t>SIPEAGRO (UF-XXXXX)</t>
        </is>
      </c>
      <c r="D1550" s="14" t="inlineStr">
        <is>
          <t>MS09E 04 24 24 S9 - MOSAIC (VALIDAR)</t>
        </is>
      </c>
      <c r="E1550" s="13" t="inlineStr">
        <is>
          <t>Fertilizante Mineral Misto (NPK / NP)</t>
        </is>
      </c>
      <c r="F1550" s="13" t="inlineStr">
        <is>
          <t>Nutrição e Correção de Deficiência Mineral</t>
        </is>
      </c>
      <c r="G1550" s="13" t="inlineStr">
        <is>
          <t>Nutrição Vegetal</t>
        </is>
      </c>
      <c r="H1550" s="13" t="inlineStr">
        <is>
          <t>NÃO</t>
        </is>
      </c>
      <c r="I1550" s="15" t="n">
        <v>1</v>
      </c>
      <c r="J1550" s="15" t="n">
        <v>250</v>
      </c>
      <c r="K1550" s="13" t="inlineStr">
        <is>
          <t>kg ou L/ha</t>
        </is>
      </c>
      <c r="L1550" s="15" t="n">
        <v>1</v>
      </c>
      <c r="M1550" s="13" t="inlineStr">
        <is>
          <t>Aplicar conforme monitoramento e estádio recomendado na bula (Nutrição Vegetal SIPEAGRO)</t>
        </is>
      </c>
    </row>
    <row r="1551" ht="22" customHeight="1">
      <c r="A1551" s="6" t="inlineStr">
        <is>
          <t>ALV-1547</t>
        </is>
      </c>
      <c r="B1551" s="5" t="n">
        <v>807</v>
      </c>
      <c r="C1551" s="7" t="inlineStr">
        <is>
          <t>Nº 15623</t>
        </is>
      </c>
      <c r="D1551" s="8" t="inlineStr">
        <is>
          <t>TUCANO</t>
        </is>
      </c>
      <c r="E1551" s="7" t="inlineStr">
        <is>
          <t>Herbicida</t>
        </is>
      </c>
      <c r="F1551" s="7" t="inlineStr">
        <is>
          <t>Buva</t>
        </is>
      </c>
      <c r="G1551" s="7" t="inlineStr">
        <is>
          <t>Conyza bonariensis</t>
        </is>
      </c>
      <c r="H1551" s="7" t="inlineStr">
        <is>
          <t>NÃO</t>
        </is>
      </c>
      <c r="I1551" s="17" t="n">
        <v>0.1</v>
      </c>
      <c r="J1551" s="17" t="n">
        <v>0.2</v>
      </c>
      <c r="K1551" s="7" t="inlineStr">
        <is>
          <t>L ou kg/ha</t>
        </is>
      </c>
      <c r="L1551" s="9" t="n">
        <v>1</v>
      </c>
      <c r="M1551" s="7" t="inlineStr">
        <is>
          <t>Aplicar conforme monitoramento e estádio recomendado na bula (HRAC Grupo E (14) — Inibidores da PROTOX)</t>
        </is>
      </c>
    </row>
    <row r="1552" ht="22" customHeight="1">
      <c r="A1552" s="12" t="inlineStr">
        <is>
          <t>ALV-1548</t>
        </is>
      </c>
      <c r="B1552" s="11" t="n">
        <v>807</v>
      </c>
      <c r="C1552" s="13" t="inlineStr">
        <is>
          <t>Nº 15623</t>
        </is>
      </c>
      <c r="D1552" s="14" t="inlineStr">
        <is>
          <t>TUCANO</t>
        </is>
      </c>
      <c r="E1552" s="13" t="inlineStr">
        <is>
          <t>Herbicida</t>
        </is>
      </c>
      <c r="F1552" s="13" t="inlineStr">
        <is>
          <t>Caruru</t>
        </is>
      </c>
      <c r="G1552" s="13" t="inlineStr">
        <is>
          <t>Amaranthus hybridus</t>
        </is>
      </c>
      <c r="H1552" s="13" t="inlineStr">
        <is>
          <t>NÃO</t>
        </is>
      </c>
      <c r="I1552" s="18" t="n">
        <v>0.1</v>
      </c>
      <c r="J1552" s="18" t="n">
        <v>0.2</v>
      </c>
      <c r="K1552" s="13" t="inlineStr">
        <is>
          <t>L ou kg/ha</t>
        </is>
      </c>
      <c r="L1552" s="15" t="n">
        <v>1</v>
      </c>
      <c r="M1552" s="13" t="inlineStr">
        <is>
          <t>Aplicar conforme monitoramento e estádio recomendado na bula (HRAC Grupo E (14) — Inibidores da PROTOX)</t>
        </is>
      </c>
    </row>
    <row r="1553" ht="22" customHeight="1">
      <c r="A1553" s="6" t="inlineStr">
        <is>
          <t>ALV-1549</t>
        </is>
      </c>
      <c r="B1553" s="5" t="n">
        <v>807</v>
      </c>
      <c r="C1553" s="7" t="inlineStr">
        <is>
          <t>Nº 15623</t>
        </is>
      </c>
      <c r="D1553" s="8" t="inlineStr">
        <is>
          <t>TUCANO</t>
        </is>
      </c>
      <c r="E1553" s="7" t="inlineStr">
        <is>
          <t>Herbicida</t>
        </is>
      </c>
      <c r="F1553" s="7" t="inlineStr">
        <is>
          <t>Poaia-branca</t>
        </is>
      </c>
      <c r="G1553" s="7" t="inlineStr">
        <is>
          <t>Richardia brasiliensis</t>
        </is>
      </c>
      <c r="H1553" s="7" t="inlineStr">
        <is>
          <t>NÃO</t>
        </is>
      </c>
      <c r="I1553" s="17" t="n">
        <v>0.1</v>
      </c>
      <c r="J1553" s="17" t="n">
        <v>0.15</v>
      </c>
      <c r="K1553" s="7" t="inlineStr">
        <is>
          <t>L ou kg/ha</t>
        </is>
      </c>
      <c r="L1553" s="9" t="n">
        <v>1</v>
      </c>
      <c r="M1553" s="7" t="inlineStr">
        <is>
          <t>Aplicar conforme monitoramento e estádio recomendado na bula (HRAC Grupo E (14) — Inibidores da PROTOX)</t>
        </is>
      </c>
    </row>
    <row r="1554" ht="22" customHeight="1">
      <c r="A1554" s="12" t="inlineStr">
        <is>
          <t>ALV-1550</t>
        </is>
      </c>
      <c r="B1554" s="11" t="n">
        <v>808</v>
      </c>
      <c r="C1554" s="13" t="inlineStr">
        <is>
          <t>Nº 11325</t>
        </is>
      </c>
      <c r="D1554" s="14" t="inlineStr">
        <is>
          <t>VISTARA</t>
        </is>
      </c>
      <c r="E1554" s="13" t="inlineStr">
        <is>
          <t>Fungicida</t>
        </is>
      </c>
      <c r="F1554" s="13" t="inlineStr">
        <is>
          <t>Complexo de Doenças Foliares e Ferrugem</t>
        </is>
      </c>
      <c r="G1554" s="13" t="inlineStr">
        <is>
          <t>Phakopsora pachyrhizi / Corynespora</t>
        </is>
      </c>
      <c r="H1554" s="13" t="inlineStr">
        <is>
          <t>NÃO</t>
        </is>
      </c>
      <c r="I1554" s="18" t="n">
        <v>0.3</v>
      </c>
      <c r="J1554" s="18" t="n">
        <v>1.5</v>
      </c>
      <c r="K1554" s="13" t="inlineStr">
        <is>
          <t>L ou kg/ha</t>
        </is>
      </c>
      <c r="L1554" s="15" t="n">
        <v>1</v>
      </c>
      <c r="M1554" s="13" t="inlineStr">
        <is>
          <t>Aplicar conforme monitoramento e estádio recomendado na bula (Classificação FRAC Oficial conforme Bula)</t>
        </is>
      </c>
    </row>
    <row r="1555" ht="22" customHeight="1">
      <c r="A1555" s="6" t="inlineStr">
        <is>
          <t>ALV-1551</t>
        </is>
      </c>
      <c r="B1555" s="5" t="n">
        <v>809</v>
      </c>
      <c r="C1555" s="7" t="inlineStr">
        <is>
          <t>Nº 12123</t>
        </is>
      </c>
      <c r="D1555" s="8" t="inlineStr">
        <is>
          <t>ARCAR</t>
        </is>
      </c>
      <c r="E1555" s="7" t="inlineStr">
        <is>
          <t>Inseticida</t>
        </is>
      </c>
      <c r="F1555" s="7" t="inlineStr">
        <is>
          <t>Mosca-branca</t>
        </is>
      </c>
      <c r="G1555" s="7" t="inlineStr">
        <is>
          <t>Bemisia tabaci raça B</t>
        </is>
      </c>
      <c r="H1555" s="7" t="inlineStr">
        <is>
          <t>SIM (*)</t>
        </is>
      </c>
      <c r="I1555" s="17" t="n">
        <v>0.25</v>
      </c>
      <c r="J1555" s="17" t="n">
        <v>0.5</v>
      </c>
      <c r="K1555" s="7" t="inlineStr">
        <is>
          <t>L/ha</t>
        </is>
      </c>
      <c r="L1555" s="9" t="n">
        <v>1</v>
      </c>
      <c r="M1555" s="7" t="inlineStr">
        <is>
          <t>Aplicar conforme monitoramento e estádio recomendado na bula (IRAC Grupo 7C)</t>
        </is>
      </c>
    </row>
    <row r="1556" ht="22" customHeight="1">
      <c r="A1556" s="12" t="inlineStr">
        <is>
          <t>ALV-1552</t>
        </is>
      </c>
      <c r="B1556" s="11" t="n">
        <v>809</v>
      </c>
      <c r="C1556" s="13" t="inlineStr">
        <is>
          <t>Nº 12123</t>
        </is>
      </c>
      <c r="D1556" s="14" t="inlineStr">
        <is>
          <t>ARCAR</t>
        </is>
      </c>
      <c r="E1556" s="13" t="inlineStr">
        <is>
          <t>Inseticida</t>
        </is>
      </c>
      <c r="F1556" s="13" t="inlineStr">
        <is>
          <t>Cochonilha-escama-farinha</t>
        </is>
      </c>
      <c r="G1556" s="13" t="inlineStr">
        <is>
          <t>Pinnaspis aspidistrae</t>
        </is>
      </c>
      <c r="H1556" s="13" t="inlineStr">
        <is>
          <t>NÃO</t>
        </is>
      </c>
      <c r="I1556" s="18" t="n">
        <v>0.5</v>
      </c>
      <c r="J1556" s="18" t="n">
        <v>0.75</v>
      </c>
      <c r="K1556" s="13" t="inlineStr">
        <is>
          <t>L/ha</t>
        </is>
      </c>
      <c r="L1556" s="15" t="n">
        <v>1</v>
      </c>
      <c r="M1556" s="13" t="inlineStr">
        <is>
          <t>Aplicar conforme monitoramento e estádio recomendado na bula (IRAC Grupo 7C)</t>
        </is>
      </c>
    </row>
    <row r="1557" ht="22" customHeight="1">
      <c r="A1557" s="6" t="inlineStr">
        <is>
          <t>ALV-1553</t>
        </is>
      </c>
      <c r="B1557" s="5" t="n">
        <v>810</v>
      </c>
      <c r="C1557" s="7" t="inlineStr">
        <is>
          <t>Nº 12123</t>
        </is>
      </c>
      <c r="D1557" s="8" t="inlineStr">
        <is>
          <t>ARCAR</t>
        </is>
      </c>
      <c r="E1557" s="7" t="inlineStr">
        <is>
          <t>Inseticida</t>
        </is>
      </c>
      <c r="F1557" s="7" t="inlineStr">
        <is>
          <t>Mosca-branca</t>
        </is>
      </c>
      <c r="G1557" s="7" t="inlineStr">
        <is>
          <t>Bemisia tabaci raça B</t>
        </is>
      </c>
      <c r="H1557" s="7" t="inlineStr">
        <is>
          <t>SIM (*)</t>
        </is>
      </c>
      <c r="I1557" s="17" t="n">
        <v>0.25</v>
      </c>
      <c r="J1557" s="17" t="n">
        <v>0.5</v>
      </c>
      <c r="K1557" s="7" t="inlineStr">
        <is>
          <t>L/ha</t>
        </is>
      </c>
      <c r="L1557" s="9" t="n">
        <v>1</v>
      </c>
      <c r="M1557" s="7" t="inlineStr">
        <is>
          <t>Aplicar conforme monitoramento e estádio recomendado na bula (IRAC Grupo 7C)</t>
        </is>
      </c>
    </row>
    <row r="1558" ht="22" customHeight="1">
      <c r="A1558" s="12" t="inlineStr">
        <is>
          <t>ALV-1554</t>
        </is>
      </c>
      <c r="B1558" s="11" t="n">
        <v>810</v>
      </c>
      <c r="C1558" s="13" t="inlineStr">
        <is>
          <t>Nº 12123</t>
        </is>
      </c>
      <c r="D1558" s="14" t="inlineStr">
        <is>
          <t>ARCAR</t>
        </is>
      </c>
      <c r="E1558" s="13" t="inlineStr">
        <is>
          <t>Inseticida</t>
        </is>
      </c>
      <c r="F1558" s="13" t="inlineStr">
        <is>
          <t>Cochonilha-escama-farinha</t>
        </is>
      </c>
      <c r="G1558" s="13" t="inlineStr">
        <is>
          <t>Pinnaspis aspidistrae</t>
        </is>
      </c>
      <c r="H1558" s="13" t="inlineStr">
        <is>
          <t>NÃO</t>
        </is>
      </c>
      <c r="I1558" s="18" t="n">
        <v>0.5</v>
      </c>
      <c r="J1558" s="18" t="n">
        <v>0.75</v>
      </c>
      <c r="K1558" s="13" t="inlineStr">
        <is>
          <t>L/ha</t>
        </is>
      </c>
      <c r="L1558" s="15" t="n">
        <v>1</v>
      </c>
      <c r="M1558" s="13" t="inlineStr">
        <is>
          <t>Aplicar conforme monitoramento e estádio recomendado na bula (IRAC Grupo 7C)</t>
        </is>
      </c>
    </row>
    <row r="1559" ht="22" customHeight="1">
      <c r="A1559" s="6" t="inlineStr">
        <is>
          <t>ALV-1555</t>
        </is>
      </c>
      <c r="B1559" s="5" t="n">
        <v>811</v>
      </c>
      <c r="C1559" s="7" t="inlineStr">
        <is>
          <t>Nº 23623</t>
        </is>
      </c>
      <c r="D1559" s="8" t="inlineStr">
        <is>
          <t>GLIMOR WG</t>
        </is>
      </c>
      <c r="E1559" s="7" t="inlineStr">
        <is>
          <t>Herbicida</t>
        </is>
      </c>
      <c r="F1559" s="7" t="inlineStr">
        <is>
          <t>Capim-amargoso</t>
        </is>
      </c>
      <c r="G1559" s="7" t="inlineStr">
        <is>
          <t>Digitaria insularis</t>
        </is>
      </c>
      <c r="H1559" s="7" t="inlineStr">
        <is>
          <t>SIM (*)</t>
        </is>
      </c>
      <c r="I1559" s="17" t="n">
        <v>1.5</v>
      </c>
      <c r="J1559" s="17" t="n">
        <v>2.5</v>
      </c>
      <c r="K1559" s="7" t="inlineStr">
        <is>
          <t>kg ou L/ha</t>
        </is>
      </c>
      <c r="L1559" s="9" t="n">
        <v>1</v>
      </c>
      <c r="M1559" s="7" t="inlineStr">
        <is>
          <t>Aplicar conforme monitoramento e estádio recomendado na bula (HRAC Grupo G (EPSPs))</t>
        </is>
      </c>
    </row>
    <row r="1560" ht="22" customHeight="1">
      <c r="A1560" s="12" t="inlineStr">
        <is>
          <t>ALV-1556</t>
        </is>
      </c>
      <c r="B1560" s="11" t="n">
        <v>811</v>
      </c>
      <c r="C1560" s="13" t="inlineStr">
        <is>
          <t>Nº 23623</t>
        </is>
      </c>
      <c r="D1560" s="14" t="inlineStr">
        <is>
          <t>GLIMOR WG</t>
        </is>
      </c>
      <c r="E1560" s="13" t="inlineStr">
        <is>
          <t>Herbicida</t>
        </is>
      </c>
      <c r="F1560" s="13" t="inlineStr">
        <is>
          <t>Buva</t>
        </is>
      </c>
      <c r="G1560" s="13" t="inlineStr">
        <is>
          <t>Conyza bonariensis</t>
        </is>
      </c>
      <c r="H1560" s="13" t="inlineStr">
        <is>
          <t>SIM (*)</t>
        </is>
      </c>
      <c r="I1560" s="15" t="n">
        <v>1</v>
      </c>
      <c r="J1560" s="15" t="n">
        <v>2</v>
      </c>
      <c r="K1560" s="13" t="inlineStr">
        <is>
          <t>kg ou L/ha</t>
        </is>
      </c>
      <c r="L1560" s="15" t="n">
        <v>1</v>
      </c>
      <c r="M1560" s="13" t="inlineStr">
        <is>
          <t>Aplicar conforme monitoramento e estádio recomendado na bula (HRAC Grupo G (EPSPs))</t>
        </is>
      </c>
    </row>
    <row r="1561" ht="22" customHeight="1">
      <c r="A1561" s="6" t="inlineStr">
        <is>
          <t>ALV-1557</t>
        </is>
      </c>
      <c r="B1561" s="5" t="n">
        <v>811</v>
      </c>
      <c r="C1561" s="7" t="inlineStr">
        <is>
          <t>Nº 23623</t>
        </is>
      </c>
      <c r="D1561" s="8" t="inlineStr">
        <is>
          <t>GLIMOR WG</t>
        </is>
      </c>
      <c r="E1561" s="7" t="inlineStr">
        <is>
          <t>Herbicida</t>
        </is>
      </c>
      <c r="F1561" s="7" t="inlineStr">
        <is>
          <t>Capim-pé-de-galinha</t>
        </is>
      </c>
      <c r="G1561" s="7" t="inlineStr">
        <is>
          <t>Eleusine indica</t>
        </is>
      </c>
      <c r="H1561" s="7" t="inlineStr">
        <is>
          <t>SIM (*)</t>
        </is>
      </c>
      <c r="I1561" s="9" t="n">
        <v>1</v>
      </c>
      <c r="J1561" s="17" t="n">
        <v>1.5</v>
      </c>
      <c r="K1561" s="7" t="inlineStr">
        <is>
          <t>kg ou L/ha</t>
        </is>
      </c>
      <c r="L1561" s="9" t="n">
        <v>1</v>
      </c>
      <c r="M1561" s="7" t="inlineStr">
        <is>
          <t>Aplicar conforme monitoramento e estádio recomendado na bula (HRAC Grupo G (EPSPs))</t>
        </is>
      </c>
    </row>
    <row r="1562" ht="22" customHeight="1">
      <c r="A1562" s="12" t="inlineStr">
        <is>
          <t>ALV-1558</t>
        </is>
      </c>
      <c r="B1562" s="11" t="n">
        <v>811</v>
      </c>
      <c r="C1562" s="13" t="inlineStr">
        <is>
          <t>Nº 23623</t>
        </is>
      </c>
      <c r="D1562" s="14" t="inlineStr">
        <is>
          <t>GLIMOR WG</t>
        </is>
      </c>
      <c r="E1562" s="13" t="inlineStr">
        <is>
          <t>Herbicida</t>
        </is>
      </c>
      <c r="F1562" s="13" t="inlineStr">
        <is>
          <t>Trapoeraba</t>
        </is>
      </c>
      <c r="G1562" s="13" t="inlineStr">
        <is>
          <t>Commelina benghalensis</t>
        </is>
      </c>
      <c r="H1562" s="13" t="inlineStr">
        <is>
          <t>NÃO</t>
        </is>
      </c>
      <c r="I1562" s="15" t="n">
        <v>2</v>
      </c>
      <c r="J1562" s="18" t="n">
        <v>3.5</v>
      </c>
      <c r="K1562" s="13" t="inlineStr">
        <is>
          <t>kg ou L/ha</t>
        </is>
      </c>
      <c r="L1562" s="15" t="n">
        <v>1</v>
      </c>
      <c r="M1562" s="13" t="inlineStr">
        <is>
          <t>Aplicar conforme monitoramento e estádio recomendado na bula (HRAC Grupo G (EPSPs))</t>
        </is>
      </c>
    </row>
    <row r="1563" ht="22" customHeight="1">
      <c r="A1563" s="6" t="inlineStr">
        <is>
          <t>ALV-1559</t>
        </is>
      </c>
      <c r="B1563" s="5" t="n">
        <v>812</v>
      </c>
      <c r="C1563" s="7" t="inlineStr">
        <is>
          <t>Nº 12712</t>
        </is>
      </c>
      <c r="D1563" s="8" t="inlineStr">
        <is>
          <t>FASON</t>
        </is>
      </c>
      <c r="E1563" s="7" t="inlineStr">
        <is>
          <t>Herbicida</t>
        </is>
      </c>
      <c r="F1563" s="7" t="inlineStr">
        <is>
          <t>Plantas Daninhas Mono e Dicotiledôneas</t>
        </is>
      </c>
      <c r="G1563" s="7" t="inlineStr">
        <is>
          <t>Flora Infestante</t>
        </is>
      </c>
      <c r="H1563" s="7" t="inlineStr">
        <is>
          <t>NÃO</t>
        </is>
      </c>
      <c r="I1563" s="17" t="n">
        <v>0.25</v>
      </c>
      <c r="J1563" s="9" t="n">
        <v>2</v>
      </c>
      <c r="K1563" s="7" t="inlineStr">
        <is>
          <t>L ou kg/ha</t>
        </is>
      </c>
      <c r="L1563" s="9" t="n">
        <v>1</v>
      </c>
      <c r="M1563" s="7" t="inlineStr">
        <is>
          <t>Aplicar conforme monitoramento e estádio recomendado na bula (Classificação HRAC Oficial conforme Bula)</t>
        </is>
      </c>
    </row>
    <row r="1564" ht="22" customHeight="1">
      <c r="A1564" s="12" t="inlineStr">
        <is>
          <t>ALV-1560</t>
        </is>
      </c>
      <c r="B1564" s="11" t="n">
        <v>813</v>
      </c>
      <c r="C1564" s="13" t="inlineStr">
        <is>
          <t>Nº 5524</t>
        </is>
      </c>
      <c r="D1564" s="14" t="inlineStr">
        <is>
          <t>EVOLIN</t>
        </is>
      </c>
      <c r="E1564" s="13" t="inlineStr">
        <is>
          <t>Inseticida</t>
        </is>
      </c>
      <c r="F1564" s="13" t="inlineStr">
        <is>
          <t>Complexo de Lagartas, Percevejos e Sugadores</t>
        </is>
      </c>
      <c r="G1564" s="13" t="inlineStr">
        <is>
          <t>Spodoptera / Euschistus / Bemisia</t>
        </is>
      </c>
      <c r="H1564" s="13" t="inlineStr">
        <is>
          <t>NÃO</t>
        </is>
      </c>
      <c r="I1564" s="18" t="n">
        <v>0.15</v>
      </c>
      <c r="J1564" s="15" t="n">
        <v>1</v>
      </c>
      <c r="K1564" s="13" t="inlineStr">
        <is>
          <t>L ou kg/ha</t>
        </is>
      </c>
      <c r="L1564" s="15" t="n">
        <v>1</v>
      </c>
      <c r="M1564" s="13" t="inlineStr">
        <is>
          <t>Aplicar conforme monitoramento e estádio recomendado na bula (Classificação IRAC Oficial conforme Bula)</t>
        </is>
      </c>
    </row>
    <row r="1565" ht="22" customHeight="1">
      <c r="A1565" s="6" t="inlineStr">
        <is>
          <t>ALV-1561</t>
        </is>
      </c>
      <c r="B1565" s="5" t="n">
        <v>814</v>
      </c>
      <c r="C1565" s="7" t="inlineStr">
        <is>
          <t>Nº 4623</t>
        </is>
      </c>
      <c r="D1565" s="8" t="inlineStr">
        <is>
          <t>WEXITE</t>
        </is>
      </c>
      <c r="E1565" s="7" t="inlineStr">
        <is>
          <t>Inseticida</t>
        </is>
      </c>
      <c r="F1565" s="7" t="inlineStr">
        <is>
          <t>Percevejo-marrom</t>
        </is>
      </c>
      <c r="G1565" s="7" t="inlineStr">
        <is>
          <t>Euschistus heros</t>
        </is>
      </c>
      <c r="H1565" s="7" t="inlineStr">
        <is>
          <t>NÃO</t>
        </is>
      </c>
      <c r="I1565" s="17" t="n">
        <v>0.8</v>
      </c>
      <c r="J1565" s="17" t="n">
        <v>1.2</v>
      </c>
      <c r="K1565" s="7" t="inlineStr">
        <is>
          <t>kg/ha</t>
        </is>
      </c>
      <c r="L1565" s="9" t="n">
        <v>1</v>
      </c>
      <c r="M1565" s="7" t="inlineStr">
        <is>
          <t>Aplicar conforme monitoramento e estádio recomendado na bula (IRAC Grupo 1B)</t>
        </is>
      </c>
    </row>
    <row r="1566" ht="22" customHeight="1">
      <c r="A1566" s="12" t="inlineStr">
        <is>
          <t>ALV-1562</t>
        </is>
      </c>
      <c r="B1566" s="11" t="n">
        <v>814</v>
      </c>
      <c r="C1566" s="13" t="inlineStr">
        <is>
          <t>Nº 4623</t>
        </is>
      </c>
      <c r="D1566" s="14" t="inlineStr">
        <is>
          <t>WEXITE</t>
        </is>
      </c>
      <c r="E1566" s="13" t="inlineStr">
        <is>
          <t>Inseticida</t>
        </is>
      </c>
      <c r="F1566" s="13" t="inlineStr">
        <is>
          <t>Mosca-branca</t>
        </is>
      </c>
      <c r="G1566" s="13" t="inlineStr">
        <is>
          <t>Bemisia tabaci raça B</t>
        </is>
      </c>
      <c r="H1566" s="13" t="inlineStr">
        <is>
          <t>NÃO</t>
        </is>
      </c>
      <c r="I1566" s="18" t="n">
        <v>0.8</v>
      </c>
      <c r="J1566" s="15" t="n">
        <v>1</v>
      </c>
      <c r="K1566" s="13" t="inlineStr">
        <is>
          <t>kg/ha</t>
        </is>
      </c>
      <c r="L1566" s="15" t="n">
        <v>1</v>
      </c>
      <c r="M1566" s="13" t="inlineStr">
        <is>
          <t>Aplicar conforme monitoramento e estádio recomendado na bula (IRAC Grupo 1B)</t>
        </is>
      </c>
    </row>
    <row r="1567" ht="22" customHeight="1">
      <c r="A1567" s="6" t="inlineStr">
        <is>
          <t>ALV-1563</t>
        </is>
      </c>
      <c r="B1567" s="5" t="n">
        <v>814</v>
      </c>
      <c r="C1567" s="7" t="inlineStr">
        <is>
          <t>Nº 4623</t>
        </is>
      </c>
      <c r="D1567" s="8" t="inlineStr">
        <is>
          <t>WEXITE</t>
        </is>
      </c>
      <c r="E1567" s="7" t="inlineStr">
        <is>
          <t>Inseticida</t>
        </is>
      </c>
      <c r="F1567" s="7" t="inlineStr">
        <is>
          <t>Tripes</t>
        </is>
      </c>
      <c r="G1567" s="7" t="inlineStr">
        <is>
          <t>Caliothrips phaseoli</t>
        </is>
      </c>
      <c r="H1567" s="7" t="inlineStr">
        <is>
          <t>NÃO</t>
        </is>
      </c>
      <c r="I1567" s="17" t="n">
        <v>0.5</v>
      </c>
      <c r="J1567" s="17" t="n">
        <v>0.8</v>
      </c>
      <c r="K1567" s="7" t="inlineStr">
        <is>
          <t>kg/ha</t>
        </is>
      </c>
      <c r="L1567" s="9" t="n">
        <v>1</v>
      </c>
      <c r="M1567" s="7" t="inlineStr">
        <is>
          <t>Aplicar conforme monitoramento e estádio recomendado na bula (IRAC Grupo 1B)</t>
        </is>
      </c>
    </row>
    <row r="1568" ht="22" customHeight="1">
      <c r="A1568" s="12" t="inlineStr">
        <is>
          <t>ALV-1564</t>
        </is>
      </c>
      <c r="B1568" s="11" t="n">
        <v>815</v>
      </c>
      <c r="C1568" s="13" t="inlineStr">
        <is>
          <t>SIPEAGRO (UF-XXXXX)</t>
        </is>
      </c>
      <c r="D1568" s="14" t="inlineStr">
        <is>
          <t>SSP 19% P2O5 - GRANULADO - REVENDA - JBS</t>
        </is>
      </c>
      <c r="E1568" s="13" t="inlineStr">
        <is>
          <t>Fertilizante Mineral Simples (Fosfatado)</t>
        </is>
      </c>
      <c r="F1568" s="13" t="inlineStr">
        <is>
          <t>Nutrição e Correção de Deficiência Mineral</t>
        </is>
      </c>
      <c r="G1568" s="13" t="inlineStr">
        <is>
          <t>Nutrição Vegetal</t>
        </is>
      </c>
      <c r="H1568" s="13" t="inlineStr">
        <is>
          <t>NÃO</t>
        </is>
      </c>
      <c r="I1568" s="15" t="n">
        <v>1</v>
      </c>
      <c r="J1568" s="15" t="n">
        <v>250</v>
      </c>
      <c r="K1568" s="13" t="inlineStr">
        <is>
          <t>kg ou L/ha</t>
        </is>
      </c>
      <c r="L1568" s="15" t="n">
        <v>1</v>
      </c>
      <c r="M1568" s="13" t="inlineStr">
        <is>
          <t>Aplicar conforme monitoramento e estádio recomendado na bula (Nutrição Vegetal SIPEAGRO)</t>
        </is>
      </c>
    </row>
    <row r="1569" ht="22" customHeight="1">
      <c r="A1569" s="6" t="inlineStr">
        <is>
          <t>ALV-1565</t>
        </is>
      </c>
      <c r="B1569" s="5" t="n">
        <v>816</v>
      </c>
      <c r="C1569" s="7" t="inlineStr">
        <is>
          <t>SIPEAGRO (UF-XXXXX)</t>
        </is>
      </c>
      <c r="D1569" s="8" t="inlineStr">
        <is>
          <t>SSP 22% P2O5 - GRANULADO - REVENDA - JBS</t>
        </is>
      </c>
      <c r="E1569" s="7" t="inlineStr">
        <is>
          <t>Fertilizante Mineral Simples (Fosfatado)</t>
        </is>
      </c>
      <c r="F1569" s="7" t="inlineStr">
        <is>
          <t>Nutrição e Correção de Deficiência Mineral</t>
        </is>
      </c>
      <c r="G1569" s="7" t="inlineStr">
        <is>
          <t>Nutrição Vegetal</t>
        </is>
      </c>
      <c r="H1569" s="7" t="inlineStr">
        <is>
          <t>NÃO</t>
        </is>
      </c>
      <c r="I1569" s="9" t="n">
        <v>1</v>
      </c>
      <c r="J1569" s="9" t="n">
        <v>250</v>
      </c>
      <c r="K1569" s="7" t="inlineStr">
        <is>
          <t>kg ou L/ha</t>
        </is>
      </c>
      <c r="L1569" s="9" t="n">
        <v>1</v>
      </c>
      <c r="M1569" s="7" t="inlineStr">
        <is>
          <t>Aplicar conforme monitoramento e estádio recomendado na bula (Nutrição Vegetal SIPEAGRO)</t>
        </is>
      </c>
    </row>
    <row r="1570" ht="22" customHeight="1">
      <c r="A1570" s="12" t="inlineStr">
        <is>
          <t>ALV-1566</t>
        </is>
      </c>
      <c r="B1570" s="11" t="n">
        <v>817</v>
      </c>
      <c r="C1570" s="13" t="inlineStr">
        <is>
          <t>SIPEAGRO (UF-XXXXX)</t>
        </is>
      </c>
      <c r="D1570" s="14" t="inlineStr">
        <is>
          <t>PLUS 05 24 24 + 0,26 B + 50BMI2 - REVENDA - MOSAIC</t>
        </is>
      </c>
      <c r="E1570" s="13" t="inlineStr">
        <is>
          <t>Fertilizante Mineral Misto (NPK / NP)</t>
        </is>
      </c>
      <c r="F1570" s="13" t="inlineStr">
        <is>
          <t>Nutrição e Correção de Deficiência Mineral</t>
        </is>
      </c>
      <c r="G1570" s="13" t="inlineStr">
        <is>
          <t>Nutrição Vegetal</t>
        </is>
      </c>
      <c r="H1570" s="13" t="inlineStr">
        <is>
          <t>NÃO</t>
        </is>
      </c>
      <c r="I1570" s="15" t="n">
        <v>1</v>
      </c>
      <c r="J1570" s="15" t="n">
        <v>250</v>
      </c>
      <c r="K1570" s="13" t="inlineStr">
        <is>
          <t>kg ou L/ha</t>
        </is>
      </c>
      <c r="L1570" s="15" t="n">
        <v>1</v>
      </c>
      <c r="M1570" s="13" t="inlineStr">
        <is>
          <t>Aplicar conforme monitoramento e estádio recomendado na bula (Nutrição Vegetal SIPEAGRO)</t>
        </is>
      </c>
    </row>
    <row r="1571" ht="22" customHeight="1">
      <c r="A1571" s="6" t="inlineStr">
        <is>
          <t>ALV-1567</t>
        </is>
      </c>
      <c r="B1571" s="5" t="n">
        <v>818</v>
      </c>
      <c r="C1571" s="7" t="inlineStr">
        <is>
          <t>SIPEAGRO (UF-XXXXX)</t>
        </is>
      </c>
      <c r="D1571" s="8" t="inlineStr">
        <is>
          <t>MAP SOLUVEL 12-61-00 - OCP</t>
        </is>
      </c>
      <c r="E1571" s="7" t="inlineStr">
        <is>
          <t>Fertilizante Complexo (MAP — Fosfato Monoamônico)</t>
        </is>
      </c>
      <c r="F1571" s="7" t="inlineStr">
        <is>
          <t>Nutrição e Correção de Deficiência Mineral</t>
        </is>
      </c>
      <c r="G1571" s="7" t="inlineStr">
        <is>
          <t>Nutrição Vegetal</t>
        </is>
      </c>
      <c r="H1571" s="7" t="inlineStr">
        <is>
          <t>NÃO</t>
        </is>
      </c>
      <c r="I1571" s="9" t="n">
        <v>1</v>
      </c>
      <c r="J1571" s="9" t="n">
        <v>250</v>
      </c>
      <c r="K1571" s="7" t="inlineStr">
        <is>
          <t>kg ou L/ha</t>
        </is>
      </c>
      <c r="L1571" s="9" t="n">
        <v>1</v>
      </c>
      <c r="M1571" s="7" t="inlineStr">
        <is>
          <t>Aplicar conforme monitoramento e estádio recomendado na bula (Nutrição Vegetal SIPEAGRO)</t>
        </is>
      </c>
    </row>
    <row r="1572" ht="22" customHeight="1">
      <c r="A1572" s="12" t="inlineStr">
        <is>
          <t>ALV-1568</t>
        </is>
      </c>
      <c r="B1572" s="11" t="n">
        <v>819</v>
      </c>
      <c r="C1572" s="13" t="inlineStr">
        <is>
          <t>Nº 2218</t>
        </is>
      </c>
      <c r="D1572" s="14" t="inlineStr">
        <is>
          <t>ACETA</t>
        </is>
      </c>
      <c r="E1572" s="13" t="inlineStr">
        <is>
          <t>Inseticida</t>
        </is>
      </c>
      <c r="F1572" s="13" t="inlineStr">
        <is>
          <t>Mosca-branca</t>
        </is>
      </c>
      <c r="G1572" s="13" t="inlineStr">
        <is>
          <t>Bemisia tabaci raça B</t>
        </is>
      </c>
      <c r="H1572" s="13" t="inlineStr">
        <is>
          <t>SIM (*)</t>
        </is>
      </c>
      <c r="I1572" s="18" t="n">
        <v>0.2</v>
      </c>
      <c r="J1572" s="18" t="n">
        <v>0.3</v>
      </c>
      <c r="K1572" s="13" t="inlineStr">
        <is>
          <t>kg/ha</t>
        </is>
      </c>
      <c r="L1572" s="15" t="n">
        <v>1</v>
      </c>
      <c r="M1572" s="13" t="inlineStr">
        <is>
          <t>Aplicar conforme monitoramento e estádio recomendado na bula (IRAC Grupo 4A)</t>
        </is>
      </c>
    </row>
    <row r="1573" ht="22" customHeight="1">
      <c r="A1573" s="6" t="inlineStr">
        <is>
          <t>ALV-1569</t>
        </is>
      </c>
      <c r="B1573" s="5" t="n">
        <v>819</v>
      </c>
      <c r="C1573" s="7" t="inlineStr">
        <is>
          <t>Nº 2218</t>
        </is>
      </c>
      <c r="D1573" s="8" t="inlineStr">
        <is>
          <t>ACETA</t>
        </is>
      </c>
      <c r="E1573" s="7" t="inlineStr">
        <is>
          <t>Inseticida</t>
        </is>
      </c>
      <c r="F1573" s="7" t="inlineStr">
        <is>
          <t>Pulgão-do-algodoeiro</t>
        </is>
      </c>
      <c r="G1573" s="7" t="inlineStr">
        <is>
          <t>Aphis gossypii</t>
        </is>
      </c>
      <c r="H1573" s="7" t="inlineStr">
        <is>
          <t>NÃO</t>
        </is>
      </c>
      <c r="I1573" s="17" t="n">
        <v>0.15</v>
      </c>
      <c r="J1573" s="17" t="n">
        <v>0.25</v>
      </c>
      <c r="K1573" s="7" t="inlineStr">
        <is>
          <t>kg/ha</t>
        </is>
      </c>
      <c r="L1573" s="9" t="n">
        <v>1</v>
      </c>
      <c r="M1573" s="7" t="inlineStr">
        <is>
          <t>Aplicar conforme monitoramento e estádio recomendado na bula (IRAC Grupo 4A)</t>
        </is>
      </c>
    </row>
    <row r="1574" ht="22" customHeight="1">
      <c r="A1574" s="12" t="inlineStr">
        <is>
          <t>ALV-1570</t>
        </is>
      </c>
      <c r="B1574" s="11" t="n">
        <v>819</v>
      </c>
      <c r="C1574" s="13" t="inlineStr">
        <is>
          <t>Nº 2218</t>
        </is>
      </c>
      <c r="D1574" s="14" t="inlineStr">
        <is>
          <t>ACETA</t>
        </is>
      </c>
      <c r="E1574" s="13" t="inlineStr">
        <is>
          <t>Inseticida</t>
        </is>
      </c>
      <c r="F1574" s="13" t="inlineStr">
        <is>
          <t>Percevejo-marrom</t>
        </is>
      </c>
      <c r="G1574" s="13" t="inlineStr">
        <is>
          <t>Euschistus heros</t>
        </is>
      </c>
      <c r="H1574" s="13" t="inlineStr">
        <is>
          <t>NÃO</t>
        </is>
      </c>
      <c r="I1574" s="18" t="n">
        <v>0.25</v>
      </c>
      <c r="J1574" s="18" t="n">
        <v>0.35</v>
      </c>
      <c r="K1574" s="13" t="inlineStr">
        <is>
          <t>kg/ha</t>
        </is>
      </c>
      <c r="L1574" s="15" t="n">
        <v>1</v>
      </c>
      <c r="M1574" s="13" t="inlineStr">
        <is>
          <t>Aplicar conforme monitoramento e estádio recomendado na bula (IRAC Grupo 4A)</t>
        </is>
      </c>
    </row>
    <row r="1575" ht="22" customHeight="1">
      <c r="A1575" s="6" t="inlineStr">
        <is>
          <t>ALV-1571</t>
        </is>
      </c>
      <c r="B1575" s="5" t="n">
        <v>820</v>
      </c>
      <c r="C1575" s="7" t="inlineStr">
        <is>
          <t>Nº 2520</t>
        </is>
      </c>
      <c r="D1575" s="8" t="inlineStr">
        <is>
          <t>SURVEY 250 FS AMOSTRA 0,200L</t>
        </is>
      </c>
      <c r="E1575" s="7" t="inlineStr">
        <is>
          <t>Inseticida e Cupinicida (Fipronil)</t>
        </is>
      </c>
      <c r="F1575" s="7" t="inlineStr">
        <is>
          <t>Coró</t>
        </is>
      </c>
      <c r="G1575" s="7" t="inlineStr">
        <is>
          <t>Phyllophaga cuyabana</t>
        </is>
      </c>
      <c r="H1575" s="7" t="inlineStr">
        <is>
          <t>NÃO</t>
        </is>
      </c>
      <c r="I1575" s="17" t="n">
        <v>0.1</v>
      </c>
      <c r="J1575" s="17" t="n">
        <v>0.2</v>
      </c>
      <c r="K1575" s="7" t="inlineStr">
        <is>
          <t>L/100kg sem.</t>
        </is>
      </c>
      <c r="L1575" s="9" t="n">
        <v>1</v>
      </c>
      <c r="M1575" s="7" t="inlineStr">
        <is>
          <t>Aplicar conforme monitoramento e estádio recomendado na bula (IRAC Grupo 2B)</t>
        </is>
      </c>
    </row>
    <row r="1576" ht="22" customHeight="1">
      <c r="A1576" s="12" t="inlineStr">
        <is>
          <t>ALV-1572</t>
        </is>
      </c>
      <c r="B1576" s="11" t="n">
        <v>820</v>
      </c>
      <c r="C1576" s="13" t="inlineStr">
        <is>
          <t>Nº 2520</t>
        </is>
      </c>
      <c r="D1576" s="14" t="inlineStr">
        <is>
          <t>SURVEY 250 FS AMOSTRA 0,200L</t>
        </is>
      </c>
      <c r="E1576" s="13" t="inlineStr">
        <is>
          <t>Inseticida e Cupinicida (Fipronil)</t>
        </is>
      </c>
      <c r="F1576" s="13" t="inlineStr">
        <is>
          <t>Lagarta-elasmo</t>
        </is>
      </c>
      <c r="G1576" s="13" t="inlineStr">
        <is>
          <t>Elasmopalpus lignosellus</t>
        </is>
      </c>
      <c r="H1576" s="13" t="inlineStr">
        <is>
          <t>NÃO</t>
        </is>
      </c>
      <c r="I1576" s="18" t="n">
        <v>0.1</v>
      </c>
      <c r="J1576" s="18" t="n">
        <v>0.2</v>
      </c>
      <c r="K1576" s="13" t="inlineStr">
        <is>
          <t>L/100kg sem.</t>
        </is>
      </c>
      <c r="L1576" s="15" t="n">
        <v>1</v>
      </c>
      <c r="M1576" s="13" t="inlineStr">
        <is>
          <t>Aplicar conforme monitoramento e estádio recomendado na bula (IRAC Grupo 2B)</t>
        </is>
      </c>
    </row>
    <row r="1577" ht="22" customHeight="1">
      <c r="A1577" s="6" t="inlineStr">
        <is>
          <t>ALV-1573</t>
        </is>
      </c>
      <c r="B1577" s="5" t="n">
        <v>820</v>
      </c>
      <c r="C1577" s="7" t="inlineStr">
        <is>
          <t>Nº 2520</t>
        </is>
      </c>
      <c r="D1577" s="8" t="inlineStr">
        <is>
          <t>SURVEY 250 FS AMOSTRA 0,200L</t>
        </is>
      </c>
      <c r="E1577" s="7" t="inlineStr">
        <is>
          <t>Inseticida e Cupinicida (Fipronil)</t>
        </is>
      </c>
      <c r="F1577" s="7" t="inlineStr">
        <is>
          <t>Cupim-de-montículo</t>
        </is>
      </c>
      <c r="G1577" s="7" t="inlineStr">
        <is>
          <t>Procornitermes triacifer</t>
        </is>
      </c>
      <c r="H1577" s="7" t="inlineStr">
        <is>
          <t>NÃO</t>
        </is>
      </c>
      <c r="I1577" s="17" t="n">
        <v>0.05</v>
      </c>
      <c r="J1577" s="17" t="n">
        <v>0.2</v>
      </c>
      <c r="K1577" s="7" t="inlineStr">
        <is>
          <t>kg ou L/ha</t>
        </is>
      </c>
      <c r="L1577" s="9" t="n">
        <v>1</v>
      </c>
      <c r="M1577" s="7" t="inlineStr">
        <is>
          <t>Aplicar conforme monitoramento e estádio recomendado na bula (IRAC Grupo 2B)</t>
        </is>
      </c>
    </row>
    <row r="1578" ht="22" customHeight="1">
      <c r="A1578" s="12" t="inlineStr">
        <is>
          <t>ALV-1574</t>
        </is>
      </c>
      <c r="B1578" s="11" t="n">
        <v>821</v>
      </c>
      <c r="C1578" s="13" t="inlineStr">
        <is>
          <t>Nº 34224</t>
        </is>
      </c>
      <c r="D1578" s="14" t="inlineStr">
        <is>
          <t>MESTRONG</t>
        </is>
      </c>
      <c r="E1578" s="13" t="inlineStr">
        <is>
          <t>Herbicida</t>
        </is>
      </c>
      <c r="F1578" s="13" t="inlineStr">
        <is>
          <t>Capim-carrapicho</t>
        </is>
      </c>
      <c r="G1578" s="13" t="inlineStr">
        <is>
          <t>Cenchrus echinatus</t>
        </is>
      </c>
      <c r="H1578" s="13" t="inlineStr">
        <is>
          <t>NÃO</t>
        </is>
      </c>
      <c r="I1578" s="18" t="n">
        <v>0.3</v>
      </c>
      <c r="J1578" s="18" t="n">
        <v>0.4</v>
      </c>
      <c r="K1578" s="13" t="inlineStr">
        <is>
          <t>L/ha</t>
        </is>
      </c>
      <c r="L1578" s="15" t="n">
        <v>1</v>
      </c>
      <c r="M1578" s="13" t="inlineStr">
        <is>
          <t>Aplicar conforme monitoramento e estádio recomendado na bula (HRAC Grupo F2 (27) — Inibidores da HPPD)</t>
        </is>
      </c>
    </row>
    <row r="1579" ht="22" customHeight="1">
      <c r="A1579" s="6" t="inlineStr">
        <is>
          <t>ALV-1575</t>
        </is>
      </c>
      <c r="B1579" s="5" t="n">
        <v>821</v>
      </c>
      <c r="C1579" s="7" t="inlineStr">
        <is>
          <t>Nº 34224</t>
        </is>
      </c>
      <c r="D1579" s="8" t="inlineStr">
        <is>
          <t>MESTRONG</t>
        </is>
      </c>
      <c r="E1579" s="7" t="inlineStr">
        <is>
          <t>Herbicida</t>
        </is>
      </c>
      <c r="F1579" s="7" t="inlineStr">
        <is>
          <t>Caruru</t>
        </is>
      </c>
      <c r="G1579" s="7" t="inlineStr">
        <is>
          <t>Amaranthus viridis</t>
        </is>
      </c>
      <c r="H1579" s="7" t="inlineStr">
        <is>
          <t>NÃO</t>
        </is>
      </c>
      <c r="I1579" s="17" t="n">
        <v>0.25</v>
      </c>
      <c r="J1579" s="17" t="n">
        <v>0.4</v>
      </c>
      <c r="K1579" s="7" t="inlineStr">
        <is>
          <t>L/ha</t>
        </is>
      </c>
      <c r="L1579" s="9" t="n">
        <v>1</v>
      </c>
      <c r="M1579" s="7" t="inlineStr">
        <is>
          <t>Aplicar conforme monitoramento e estádio recomendado na bula (HRAC Grupo F2 (27) — Inibidores da HPPD)</t>
        </is>
      </c>
    </row>
    <row r="1580" ht="22" customHeight="1">
      <c r="A1580" s="12" t="inlineStr">
        <is>
          <t>ALV-1576</t>
        </is>
      </c>
      <c r="B1580" s="11" t="n">
        <v>821</v>
      </c>
      <c r="C1580" s="13" t="inlineStr">
        <is>
          <t>Nº 34224</t>
        </is>
      </c>
      <c r="D1580" s="14" t="inlineStr">
        <is>
          <t>MESTRONG</t>
        </is>
      </c>
      <c r="E1580" s="13" t="inlineStr">
        <is>
          <t>Herbicida</t>
        </is>
      </c>
      <c r="F1580" s="13" t="inlineStr">
        <is>
          <t>Corda-de-viola</t>
        </is>
      </c>
      <c r="G1580" s="13" t="inlineStr">
        <is>
          <t>Ipomoea grandifolia</t>
        </is>
      </c>
      <c r="H1580" s="13" t="inlineStr">
        <is>
          <t>NÃO</t>
        </is>
      </c>
      <c r="I1580" s="18" t="n">
        <v>0.25</v>
      </c>
      <c r="J1580" s="18" t="n">
        <v>0.4</v>
      </c>
      <c r="K1580" s="13" t="inlineStr">
        <is>
          <t>L/ha</t>
        </is>
      </c>
      <c r="L1580" s="15" t="n">
        <v>1</v>
      </c>
      <c r="M1580" s="13" t="inlineStr">
        <is>
          <t>Aplicar conforme monitoramento e estádio recomendado na bula (HRAC Grupo F2 (27) — Inibidores da HPPD)</t>
        </is>
      </c>
    </row>
    <row r="1581" ht="22" customHeight="1">
      <c r="A1581" s="6" t="inlineStr">
        <is>
          <t>ALV-1577</t>
        </is>
      </c>
      <c r="B1581" s="5" t="n">
        <v>822</v>
      </c>
      <c r="C1581" s="7" t="inlineStr">
        <is>
          <t>Nº 14421</t>
        </is>
      </c>
      <c r="D1581" s="8" t="inlineStr">
        <is>
          <t>LEALTY FS</t>
        </is>
      </c>
      <c r="E1581" s="7" t="inlineStr">
        <is>
          <t>Inseticida e Cupinicida (Fipronil)</t>
        </is>
      </c>
      <c r="F1581" s="7" t="inlineStr">
        <is>
          <t>Coró</t>
        </is>
      </c>
      <c r="G1581" s="7" t="inlineStr">
        <is>
          <t>Phyllophaga cuyabana</t>
        </is>
      </c>
      <c r="H1581" s="7" t="inlineStr">
        <is>
          <t>NÃO</t>
        </is>
      </c>
      <c r="I1581" s="17" t="n">
        <v>0.1</v>
      </c>
      <c r="J1581" s="17" t="n">
        <v>0.2</v>
      </c>
      <c r="K1581" s="7" t="inlineStr">
        <is>
          <t>L/100kg sem.</t>
        </is>
      </c>
      <c r="L1581" s="9" t="n">
        <v>1</v>
      </c>
      <c r="M1581" s="7" t="inlineStr">
        <is>
          <t>Aplicar conforme monitoramento e estádio recomendado na bula (IRAC Grupo 2B)</t>
        </is>
      </c>
    </row>
    <row r="1582" ht="22" customHeight="1">
      <c r="A1582" s="12" t="inlineStr">
        <is>
          <t>ALV-1578</t>
        </is>
      </c>
      <c r="B1582" s="11" t="n">
        <v>822</v>
      </c>
      <c r="C1582" s="13" t="inlineStr">
        <is>
          <t>Nº 14421</t>
        </is>
      </c>
      <c r="D1582" s="14" t="inlineStr">
        <is>
          <t>LEALTY FS</t>
        </is>
      </c>
      <c r="E1582" s="13" t="inlineStr">
        <is>
          <t>Inseticida e Cupinicida (Fipronil)</t>
        </is>
      </c>
      <c r="F1582" s="13" t="inlineStr">
        <is>
          <t>Lagarta-elasmo</t>
        </is>
      </c>
      <c r="G1582" s="13" t="inlineStr">
        <is>
          <t>Elasmopalpus lignosellus</t>
        </is>
      </c>
      <c r="H1582" s="13" t="inlineStr">
        <is>
          <t>NÃO</t>
        </is>
      </c>
      <c r="I1582" s="18" t="n">
        <v>0.1</v>
      </c>
      <c r="J1582" s="18" t="n">
        <v>0.2</v>
      </c>
      <c r="K1582" s="13" t="inlineStr">
        <is>
          <t>L/100kg sem.</t>
        </is>
      </c>
      <c r="L1582" s="15" t="n">
        <v>1</v>
      </c>
      <c r="M1582" s="13" t="inlineStr">
        <is>
          <t>Aplicar conforme monitoramento e estádio recomendado na bula (IRAC Grupo 2B)</t>
        </is>
      </c>
    </row>
    <row r="1583" ht="22" customHeight="1">
      <c r="A1583" s="6" t="inlineStr">
        <is>
          <t>ALV-1579</t>
        </is>
      </c>
      <c r="B1583" s="5" t="n">
        <v>822</v>
      </c>
      <c r="C1583" s="7" t="inlineStr">
        <is>
          <t>Nº 14421</t>
        </is>
      </c>
      <c r="D1583" s="8" t="inlineStr">
        <is>
          <t>LEALTY FS</t>
        </is>
      </c>
      <c r="E1583" s="7" t="inlineStr">
        <is>
          <t>Inseticida e Cupinicida (Fipronil)</t>
        </is>
      </c>
      <c r="F1583" s="7" t="inlineStr">
        <is>
          <t>Cupim-de-montículo</t>
        </is>
      </c>
      <c r="G1583" s="7" t="inlineStr">
        <is>
          <t>Procornitermes triacifer</t>
        </is>
      </c>
      <c r="H1583" s="7" t="inlineStr">
        <is>
          <t>NÃO</t>
        </is>
      </c>
      <c r="I1583" s="17" t="n">
        <v>0.05</v>
      </c>
      <c r="J1583" s="17" t="n">
        <v>0.2</v>
      </c>
      <c r="K1583" s="7" t="inlineStr">
        <is>
          <t>kg ou L/ha</t>
        </is>
      </c>
      <c r="L1583" s="9" t="n">
        <v>1</v>
      </c>
      <c r="M1583" s="7" t="inlineStr">
        <is>
          <t>Aplicar conforme monitoramento e estádio recomendado na bula (IRAC Grupo 2B)</t>
        </is>
      </c>
    </row>
    <row r="1584" ht="22" customHeight="1">
      <c r="A1584" s="12" t="inlineStr">
        <is>
          <t>ALV-1580</t>
        </is>
      </c>
      <c r="B1584" s="11" t="n">
        <v>823</v>
      </c>
      <c r="C1584" s="13" t="inlineStr">
        <is>
          <t>Nº 32224</t>
        </is>
      </c>
      <c r="D1584" s="14" t="inlineStr">
        <is>
          <t>PYRIPROXYFEN 100 SINO-AGRI AMOSTRA 0,200L</t>
        </is>
      </c>
      <c r="E1584" s="13" t="inlineStr">
        <is>
          <t>Inseticida</t>
        </is>
      </c>
      <c r="F1584" s="13" t="inlineStr">
        <is>
          <t>Mosca-branca</t>
        </is>
      </c>
      <c r="G1584" s="13" t="inlineStr">
        <is>
          <t>Bemisia tabaci raça B</t>
        </is>
      </c>
      <c r="H1584" s="13" t="inlineStr">
        <is>
          <t>SIM (*)</t>
        </is>
      </c>
      <c r="I1584" s="18" t="n">
        <v>0.25</v>
      </c>
      <c r="J1584" s="18" t="n">
        <v>0.5</v>
      </c>
      <c r="K1584" s="13" t="inlineStr">
        <is>
          <t>L/ha</t>
        </is>
      </c>
      <c r="L1584" s="15" t="n">
        <v>1</v>
      </c>
      <c r="M1584" s="13" t="inlineStr">
        <is>
          <t>Aplicar conforme monitoramento e estádio recomendado na bula (IRAC Grupo 7C)</t>
        </is>
      </c>
    </row>
    <row r="1585" ht="22" customHeight="1">
      <c r="A1585" s="6" t="inlineStr">
        <is>
          <t>ALV-1581</t>
        </is>
      </c>
      <c r="B1585" s="5" t="n">
        <v>823</v>
      </c>
      <c r="C1585" s="7" t="inlineStr">
        <is>
          <t>Nº 32224</t>
        </is>
      </c>
      <c r="D1585" s="8" t="inlineStr">
        <is>
          <t>PYRIPROXYFEN 100 SINO-AGRI AMOSTRA 0,200L</t>
        </is>
      </c>
      <c r="E1585" s="7" t="inlineStr">
        <is>
          <t>Inseticida</t>
        </is>
      </c>
      <c r="F1585" s="7" t="inlineStr">
        <is>
          <t>Cochonilha-escama-farinha</t>
        </is>
      </c>
      <c r="G1585" s="7" t="inlineStr">
        <is>
          <t>Pinnaspis aspidistrae</t>
        </is>
      </c>
      <c r="H1585" s="7" t="inlineStr">
        <is>
          <t>NÃO</t>
        </is>
      </c>
      <c r="I1585" s="17" t="n">
        <v>0.5</v>
      </c>
      <c r="J1585" s="17" t="n">
        <v>0.75</v>
      </c>
      <c r="K1585" s="7" t="inlineStr">
        <is>
          <t>L/ha</t>
        </is>
      </c>
      <c r="L1585" s="9" t="n">
        <v>1</v>
      </c>
      <c r="M1585" s="7" t="inlineStr">
        <is>
          <t>Aplicar conforme monitoramento e estádio recomendado na bula (IRAC Grupo 7C)</t>
        </is>
      </c>
    </row>
    <row r="1586" ht="22" customHeight="1">
      <c r="A1586" s="12" t="inlineStr">
        <is>
          <t>ALV-1582</t>
        </is>
      </c>
      <c r="B1586" s="11" t="n">
        <v>824</v>
      </c>
      <c r="C1586" s="13" t="inlineStr">
        <is>
          <t>SIPEAGRO (UF-XXXXX)</t>
        </is>
      </c>
      <c r="D1586" s="14" t="inlineStr">
        <is>
          <t>ULEXITA 10B GRANULADO (NaCaB5O9.8H2O) - PROBORO</t>
        </is>
      </c>
      <c r="E1586" s="13" t="inlineStr">
        <is>
          <t>Fonte Mineral de Boro (Ulexita Natural)</t>
        </is>
      </c>
      <c r="F1586" s="13" t="inlineStr">
        <is>
          <t>Correção de Acidez / Condicionamento de Perfil de Solo</t>
        </is>
      </c>
      <c r="G1586" s="13" t="inlineStr">
        <is>
          <t>Solo Agrícola</t>
        </is>
      </c>
      <c r="H1586" s="13" t="inlineStr">
        <is>
          <t>NÃO</t>
        </is>
      </c>
      <c r="I1586" s="15" t="n">
        <v>500</v>
      </c>
      <c r="J1586" s="15" t="n">
        <v>3000</v>
      </c>
      <c r="K1586" s="13" t="inlineStr">
        <is>
          <t>kg/ha</t>
        </is>
      </c>
      <c r="L1586" s="15" t="n">
        <v>1</v>
      </c>
      <c r="M1586" s="13" t="inlineStr">
        <is>
          <t>Aplicar conforme monitoramento e estádio recomendado na bula (Correção Química de Solo)</t>
        </is>
      </c>
    </row>
    <row r="1587" ht="22" customHeight="1">
      <c r="A1587" s="6" t="inlineStr">
        <is>
          <t>ALV-1583</t>
        </is>
      </c>
      <c r="B1587" s="5" t="n">
        <v>825</v>
      </c>
      <c r="C1587" s="7" t="inlineStr">
        <is>
          <t>Nº 32322</t>
        </is>
      </c>
      <c r="D1587" s="8" t="inlineStr">
        <is>
          <t>JOYA BB</t>
        </is>
      </c>
      <c r="E1587" s="7" t="inlineStr">
        <is>
          <t>Herbicida</t>
        </is>
      </c>
      <c r="F1587" s="7" t="inlineStr">
        <is>
          <t>Buva</t>
        </is>
      </c>
      <c r="G1587" s="7" t="inlineStr">
        <is>
          <t>Conyza bonariensis</t>
        </is>
      </c>
      <c r="H1587" s="7" t="inlineStr">
        <is>
          <t>NÃO</t>
        </is>
      </c>
      <c r="I1587" s="17" t="n">
        <v>0.1</v>
      </c>
      <c r="J1587" s="17" t="n">
        <v>0.2</v>
      </c>
      <c r="K1587" s="7" t="inlineStr">
        <is>
          <t>L ou kg/ha</t>
        </is>
      </c>
      <c r="L1587" s="9" t="n">
        <v>1</v>
      </c>
      <c r="M1587" s="7" t="inlineStr">
        <is>
          <t>Aplicar conforme monitoramento e estádio recomendado na bula (HRAC Grupo E (14) — Inibidores da PROTOX)</t>
        </is>
      </c>
    </row>
    <row r="1588" ht="22" customHeight="1">
      <c r="A1588" s="12" t="inlineStr">
        <is>
          <t>ALV-1584</t>
        </is>
      </c>
      <c r="B1588" s="11" t="n">
        <v>825</v>
      </c>
      <c r="C1588" s="13" t="inlineStr">
        <is>
          <t>Nº 32322</t>
        </is>
      </c>
      <c r="D1588" s="14" t="inlineStr">
        <is>
          <t>JOYA BB</t>
        </is>
      </c>
      <c r="E1588" s="13" t="inlineStr">
        <is>
          <t>Herbicida</t>
        </is>
      </c>
      <c r="F1588" s="13" t="inlineStr">
        <is>
          <t>Caruru</t>
        </is>
      </c>
      <c r="G1588" s="13" t="inlineStr">
        <is>
          <t>Amaranthus hybridus</t>
        </is>
      </c>
      <c r="H1588" s="13" t="inlineStr">
        <is>
          <t>NÃO</t>
        </is>
      </c>
      <c r="I1588" s="18" t="n">
        <v>0.1</v>
      </c>
      <c r="J1588" s="18" t="n">
        <v>0.2</v>
      </c>
      <c r="K1588" s="13" t="inlineStr">
        <is>
          <t>L ou kg/ha</t>
        </is>
      </c>
      <c r="L1588" s="15" t="n">
        <v>1</v>
      </c>
      <c r="M1588" s="13" t="inlineStr">
        <is>
          <t>Aplicar conforme monitoramento e estádio recomendado na bula (HRAC Grupo E (14) — Inibidores da PROTOX)</t>
        </is>
      </c>
    </row>
    <row r="1589" ht="22" customHeight="1">
      <c r="A1589" s="6" t="inlineStr">
        <is>
          <t>ALV-1585</t>
        </is>
      </c>
      <c r="B1589" s="5" t="n">
        <v>825</v>
      </c>
      <c r="C1589" s="7" t="inlineStr">
        <is>
          <t>Nº 32322</t>
        </is>
      </c>
      <c r="D1589" s="8" t="inlineStr">
        <is>
          <t>JOYA BB</t>
        </is>
      </c>
      <c r="E1589" s="7" t="inlineStr">
        <is>
          <t>Herbicida</t>
        </is>
      </c>
      <c r="F1589" s="7" t="inlineStr">
        <is>
          <t>Poaia-branca</t>
        </is>
      </c>
      <c r="G1589" s="7" t="inlineStr">
        <is>
          <t>Richardia brasiliensis</t>
        </is>
      </c>
      <c r="H1589" s="7" t="inlineStr">
        <is>
          <t>NÃO</t>
        </is>
      </c>
      <c r="I1589" s="17" t="n">
        <v>0.1</v>
      </c>
      <c r="J1589" s="17" t="n">
        <v>0.15</v>
      </c>
      <c r="K1589" s="7" t="inlineStr">
        <is>
          <t>L ou kg/ha</t>
        </is>
      </c>
      <c r="L1589" s="9" t="n">
        <v>1</v>
      </c>
      <c r="M1589" s="7" t="inlineStr">
        <is>
          <t>Aplicar conforme monitoramento e estádio recomendado na bula (HRAC Grupo E (14) — Inibidores da PROTOX)</t>
        </is>
      </c>
    </row>
    <row r="1590" ht="22" customHeight="1">
      <c r="A1590" s="12" t="inlineStr">
        <is>
          <t>ALV-1586</t>
        </is>
      </c>
      <c r="B1590" s="11" t="n">
        <v>826</v>
      </c>
      <c r="C1590" s="13" t="inlineStr">
        <is>
          <t>Nº 40024</t>
        </is>
      </c>
      <c r="D1590" s="14" t="inlineStr">
        <is>
          <t>KROMSTAR</t>
        </is>
      </c>
      <c r="E1590" s="13" t="inlineStr">
        <is>
          <t>Fungicida</t>
        </is>
      </c>
      <c r="F1590" s="13" t="inlineStr">
        <is>
          <t>Complexo de Doenças Foliares e Ferrugem</t>
        </is>
      </c>
      <c r="G1590" s="13" t="inlineStr">
        <is>
          <t>Phakopsora pachyrhizi / Corynespora</t>
        </is>
      </c>
      <c r="H1590" s="13" t="inlineStr">
        <is>
          <t>NÃO</t>
        </is>
      </c>
      <c r="I1590" s="18" t="n">
        <v>0.3</v>
      </c>
      <c r="J1590" s="18" t="n">
        <v>1.5</v>
      </c>
      <c r="K1590" s="13" t="inlineStr">
        <is>
          <t>L ou kg/ha</t>
        </is>
      </c>
      <c r="L1590" s="15" t="n">
        <v>1</v>
      </c>
      <c r="M1590" s="13" t="inlineStr">
        <is>
          <t>Aplicar conforme monitoramento e estádio recomendado na bula (Classificação FRAC Oficial conforme Bula)</t>
        </is>
      </c>
    </row>
    <row r="1591" ht="22" customHeight="1">
      <c r="A1591" s="6" t="inlineStr">
        <is>
          <t>ALV-1587</t>
        </is>
      </c>
      <c r="B1591" s="5" t="n">
        <v>827</v>
      </c>
      <c r="C1591" s="7" t="inlineStr">
        <is>
          <t>Nº 22225</t>
        </is>
      </c>
      <c r="D1591" s="8" t="inlineStr">
        <is>
          <t>KILLIGAN</t>
        </is>
      </c>
      <c r="E1591" s="7" t="inlineStr">
        <is>
          <t>Inseticida e Acaricida</t>
        </is>
      </c>
      <c r="F1591" s="7" t="inlineStr">
        <is>
          <t>Ácaro-rajado</t>
        </is>
      </c>
      <c r="G1591" s="7" t="inlineStr">
        <is>
          <t>Tetranychus urticae</t>
        </is>
      </c>
      <c r="H1591" s="7" t="inlineStr">
        <is>
          <t>NÃO</t>
        </is>
      </c>
      <c r="I1591" s="17" t="n">
        <v>0.5</v>
      </c>
      <c r="J1591" s="17" t="n">
        <v>1.5</v>
      </c>
      <c r="K1591" s="7" t="inlineStr">
        <is>
          <t>L/ha</t>
        </is>
      </c>
      <c r="L1591" s="9" t="n">
        <v>1</v>
      </c>
      <c r="M1591" s="7" t="inlineStr">
        <is>
          <t>Aplicar conforme monitoramento e estádio recomendado na bula (IRAC Grupo 13)</t>
        </is>
      </c>
    </row>
    <row r="1592" ht="22" customHeight="1">
      <c r="A1592" s="12" t="inlineStr">
        <is>
          <t>ALV-1588</t>
        </is>
      </c>
      <c r="B1592" s="11" t="n">
        <v>827</v>
      </c>
      <c r="C1592" s="13" t="inlineStr">
        <is>
          <t>Nº 22225</t>
        </is>
      </c>
      <c r="D1592" s="14" t="inlineStr">
        <is>
          <t>KILLIGAN</t>
        </is>
      </c>
      <c r="E1592" s="13" t="inlineStr">
        <is>
          <t>Inseticida e Acaricida</t>
        </is>
      </c>
      <c r="F1592" s="13" t="inlineStr">
        <is>
          <t>Lagarta-helicoverpa</t>
        </is>
      </c>
      <c r="G1592" s="13" t="inlineStr">
        <is>
          <t>Helicoverpa armigera</t>
        </is>
      </c>
      <c r="H1592" s="13" t="inlineStr">
        <is>
          <t>NÃO</t>
        </is>
      </c>
      <c r="I1592" s="18" t="n">
        <v>0.8</v>
      </c>
      <c r="J1592" s="18" t="n">
        <v>1.25</v>
      </c>
      <c r="K1592" s="13" t="inlineStr">
        <is>
          <t>L/ha</t>
        </is>
      </c>
      <c r="L1592" s="15" t="n">
        <v>1</v>
      </c>
      <c r="M1592" s="13" t="inlineStr">
        <is>
          <t>Aplicar conforme monitoramento e estádio recomendado na bula (IRAC Grupo 13)</t>
        </is>
      </c>
    </row>
    <row r="1593" ht="22" customHeight="1">
      <c r="A1593" s="6" t="inlineStr">
        <is>
          <t>ALV-1589</t>
        </is>
      </c>
      <c r="B1593" s="5" t="n">
        <v>827</v>
      </c>
      <c r="C1593" s="7" t="inlineStr">
        <is>
          <t>Nº 22225</t>
        </is>
      </c>
      <c r="D1593" s="8" t="inlineStr">
        <is>
          <t>KILLIGAN</t>
        </is>
      </c>
      <c r="E1593" s="7" t="inlineStr">
        <is>
          <t>Inseticida e Acaricida</t>
        </is>
      </c>
      <c r="F1593" s="7" t="inlineStr">
        <is>
          <t>Lagarta-do-cartucho</t>
        </is>
      </c>
      <c r="G1593" s="7" t="inlineStr">
        <is>
          <t>Spodoptera frugiperda</t>
        </is>
      </c>
      <c r="H1593" s="7" t="inlineStr">
        <is>
          <t>NÃO</t>
        </is>
      </c>
      <c r="I1593" s="17" t="n">
        <v>0.75</v>
      </c>
      <c r="J1593" s="17" t="n">
        <v>1.25</v>
      </c>
      <c r="K1593" s="7" t="inlineStr">
        <is>
          <t>L/ha</t>
        </is>
      </c>
      <c r="L1593" s="9" t="n">
        <v>1</v>
      </c>
      <c r="M1593" s="7" t="inlineStr">
        <is>
          <t>Aplicar conforme monitoramento e estádio recomendado na bula (IRAC Grupo 13)</t>
        </is>
      </c>
    </row>
    <row r="1594" ht="22" customHeight="1">
      <c r="A1594" s="12" t="inlineStr">
        <is>
          <t>ALV-1590</t>
        </is>
      </c>
      <c r="B1594" s="11" t="n">
        <v>828</v>
      </c>
      <c r="C1594" s="13" t="inlineStr">
        <is>
          <t>Nº 22824</t>
        </is>
      </c>
      <c r="D1594" s="14" t="inlineStr">
        <is>
          <t>FLAIL</t>
        </is>
      </c>
      <c r="E1594" s="13" t="inlineStr">
        <is>
          <t>Herbicida</t>
        </is>
      </c>
      <c r="F1594" s="13" t="inlineStr">
        <is>
          <t>Buva</t>
        </is>
      </c>
      <c r="G1594" s="13" t="inlineStr">
        <is>
          <t>Conyza bonariensis</t>
        </is>
      </c>
      <c r="H1594" s="13" t="inlineStr">
        <is>
          <t>NÃO</t>
        </is>
      </c>
      <c r="I1594" s="18" t="n">
        <v>0.1</v>
      </c>
      <c r="J1594" s="18" t="n">
        <v>0.2</v>
      </c>
      <c r="K1594" s="13" t="inlineStr">
        <is>
          <t>L ou kg/ha</t>
        </is>
      </c>
      <c r="L1594" s="15" t="n">
        <v>1</v>
      </c>
      <c r="M1594" s="13" t="inlineStr">
        <is>
          <t>Aplicar conforme monitoramento e estádio recomendado na bula (HRAC Grupo E (14) — Inibidores da PROTOX)</t>
        </is>
      </c>
    </row>
    <row r="1595" ht="22" customHeight="1">
      <c r="A1595" s="6" t="inlineStr">
        <is>
          <t>ALV-1591</t>
        </is>
      </c>
      <c r="B1595" s="5" t="n">
        <v>828</v>
      </c>
      <c r="C1595" s="7" t="inlineStr">
        <is>
          <t>Nº 22824</t>
        </is>
      </c>
      <c r="D1595" s="8" t="inlineStr">
        <is>
          <t>FLAIL</t>
        </is>
      </c>
      <c r="E1595" s="7" t="inlineStr">
        <is>
          <t>Herbicida</t>
        </is>
      </c>
      <c r="F1595" s="7" t="inlineStr">
        <is>
          <t>Caruru</t>
        </is>
      </c>
      <c r="G1595" s="7" t="inlineStr">
        <is>
          <t>Amaranthus hybridus</t>
        </is>
      </c>
      <c r="H1595" s="7" t="inlineStr">
        <is>
          <t>NÃO</t>
        </is>
      </c>
      <c r="I1595" s="17" t="n">
        <v>0.1</v>
      </c>
      <c r="J1595" s="17" t="n">
        <v>0.2</v>
      </c>
      <c r="K1595" s="7" t="inlineStr">
        <is>
          <t>L ou kg/ha</t>
        </is>
      </c>
      <c r="L1595" s="9" t="n">
        <v>1</v>
      </c>
      <c r="M1595" s="7" t="inlineStr">
        <is>
          <t>Aplicar conforme monitoramento e estádio recomendado na bula (HRAC Grupo E (14) — Inibidores da PROTOX)</t>
        </is>
      </c>
    </row>
    <row r="1596" ht="22" customHeight="1">
      <c r="A1596" s="12" t="inlineStr">
        <is>
          <t>ALV-1592</t>
        </is>
      </c>
      <c r="B1596" s="11" t="n">
        <v>828</v>
      </c>
      <c r="C1596" s="13" t="inlineStr">
        <is>
          <t>Nº 22824</t>
        </is>
      </c>
      <c r="D1596" s="14" t="inlineStr">
        <is>
          <t>FLAIL</t>
        </is>
      </c>
      <c r="E1596" s="13" t="inlineStr">
        <is>
          <t>Herbicida</t>
        </is>
      </c>
      <c r="F1596" s="13" t="inlineStr">
        <is>
          <t>Poaia-branca</t>
        </is>
      </c>
      <c r="G1596" s="13" t="inlineStr">
        <is>
          <t>Richardia brasiliensis</t>
        </is>
      </c>
      <c r="H1596" s="13" t="inlineStr">
        <is>
          <t>NÃO</t>
        </is>
      </c>
      <c r="I1596" s="18" t="n">
        <v>0.1</v>
      </c>
      <c r="J1596" s="18" t="n">
        <v>0.15</v>
      </c>
      <c r="K1596" s="13" t="inlineStr">
        <is>
          <t>L ou kg/ha</t>
        </is>
      </c>
      <c r="L1596" s="15" t="n">
        <v>1</v>
      </c>
      <c r="M1596" s="13" t="inlineStr">
        <is>
          <t>Aplicar conforme monitoramento e estádio recomendado na bula (HRAC Grupo E (14) — Inibidores da PROTOX)</t>
        </is>
      </c>
    </row>
    <row r="1597" ht="22" customHeight="1">
      <c r="A1597" s="6" t="inlineStr">
        <is>
          <t>ALV-1593</t>
        </is>
      </c>
      <c r="B1597" s="5" t="n">
        <v>829</v>
      </c>
      <c r="C1597" s="7" t="inlineStr">
        <is>
          <t>Nº 4623</t>
        </is>
      </c>
      <c r="D1597" s="8" t="inlineStr">
        <is>
          <t>WEXITE</t>
        </is>
      </c>
      <c r="E1597" s="7" t="inlineStr">
        <is>
          <t>Inseticida</t>
        </is>
      </c>
      <c r="F1597" s="7" t="inlineStr">
        <is>
          <t>Percevejo-marrom</t>
        </is>
      </c>
      <c r="G1597" s="7" t="inlineStr">
        <is>
          <t>Euschistus heros</t>
        </is>
      </c>
      <c r="H1597" s="7" t="inlineStr">
        <is>
          <t>NÃO</t>
        </is>
      </c>
      <c r="I1597" s="17" t="n">
        <v>0.8</v>
      </c>
      <c r="J1597" s="17" t="n">
        <v>1.2</v>
      </c>
      <c r="K1597" s="7" t="inlineStr">
        <is>
          <t>kg/ha</t>
        </is>
      </c>
      <c r="L1597" s="9" t="n">
        <v>1</v>
      </c>
      <c r="M1597" s="7" t="inlineStr">
        <is>
          <t>Aplicar conforme monitoramento e estádio recomendado na bula (IRAC Grupo 1B)</t>
        </is>
      </c>
    </row>
    <row r="1598" ht="22" customHeight="1">
      <c r="A1598" s="12" t="inlineStr">
        <is>
          <t>ALV-1594</t>
        </is>
      </c>
      <c r="B1598" s="11" t="n">
        <v>829</v>
      </c>
      <c r="C1598" s="13" t="inlineStr">
        <is>
          <t>Nº 4623</t>
        </is>
      </c>
      <c r="D1598" s="14" t="inlineStr">
        <is>
          <t>WEXITE</t>
        </is>
      </c>
      <c r="E1598" s="13" t="inlineStr">
        <is>
          <t>Inseticida</t>
        </is>
      </c>
      <c r="F1598" s="13" t="inlineStr">
        <is>
          <t>Mosca-branca</t>
        </is>
      </c>
      <c r="G1598" s="13" t="inlineStr">
        <is>
          <t>Bemisia tabaci raça B</t>
        </is>
      </c>
      <c r="H1598" s="13" t="inlineStr">
        <is>
          <t>NÃO</t>
        </is>
      </c>
      <c r="I1598" s="18" t="n">
        <v>0.8</v>
      </c>
      <c r="J1598" s="15" t="n">
        <v>1</v>
      </c>
      <c r="K1598" s="13" t="inlineStr">
        <is>
          <t>kg/ha</t>
        </is>
      </c>
      <c r="L1598" s="15" t="n">
        <v>1</v>
      </c>
      <c r="M1598" s="13" t="inlineStr">
        <is>
          <t>Aplicar conforme monitoramento e estádio recomendado na bula (IRAC Grupo 1B)</t>
        </is>
      </c>
    </row>
    <row r="1599" ht="22" customHeight="1">
      <c r="A1599" s="6" t="inlineStr">
        <is>
          <t>ALV-1595</t>
        </is>
      </c>
      <c r="B1599" s="5" t="n">
        <v>829</v>
      </c>
      <c r="C1599" s="7" t="inlineStr">
        <is>
          <t>Nº 4623</t>
        </is>
      </c>
      <c r="D1599" s="8" t="inlineStr">
        <is>
          <t>WEXITE</t>
        </is>
      </c>
      <c r="E1599" s="7" t="inlineStr">
        <is>
          <t>Inseticida</t>
        </is>
      </c>
      <c r="F1599" s="7" t="inlineStr">
        <is>
          <t>Tripes</t>
        </is>
      </c>
      <c r="G1599" s="7" t="inlineStr">
        <is>
          <t>Caliothrips phaseoli</t>
        </is>
      </c>
      <c r="H1599" s="7" t="inlineStr">
        <is>
          <t>NÃO</t>
        </is>
      </c>
      <c r="I1599" s="17" t="n">
        <v>0.5</v>
      </c>
      <c r="J1599" s="17" t="n">
        <v>0.8</v>
      </c>
      <c r="K1599" s="7" t="inlineStr">
        <is>
          <t>kg/ha</t>
        </is>
      </c>
      <c r="L1599" s="9" t="n">
        <v>1</v>
      </c>
      <c r="M1599" s="7" t="inlineStr">
        <is>
          <t>Aplicar conforme monitoramento e estádio recomendado na bula (IRAC Grupo 1B)</t>
        </is>
      </c>
    </row>
    <row r="1600" ht="22" customHeight="1">
      <c r="A1600" s="12" t="inlineStr">
        <is>
          <t>ALV-1596</t>
        </is>
      </c>
      <c r="B1600" s="11" t="n">
        <v>830</v>
      </c>
      <c r="C1600" s="13" t="inlineStr">
        <is>
          <t>SIPEAGRO (UF-XXXXX)</t>
        </is>
      </c>
      <c r="D1600" s="14" t="inlineStr">
        <is>
          <t>ENXOFRE BENTONITA - BG 1.097 KG - IMPACTPVA</t>
        </is>
      </c>
      <c r="E1600" s="13" t="inlineStr">
        <is>
          <t>Condicionador / Fonte Mineral de Enxofre (Enxofre + Bentonita)</t>
        </is>
      </c>
      <c r="F1600" s="13" t="inlineStr">
        <is>
          <t>Correção de Acidez / Condicionamento de Perfil de Solo</t>
        </is>
      </c>
      <c r="G1600" s="13" t="inlineStr">
        <is>
          <t>Solo Agrícola</t>
        </is>
      </c>
      <c r="H1600" s="13" t="inlineStr">
        <is>
          <t>NÃO</t>
        </is>
      </c>
      <c r="I1600" s="15" t="n">
        <v>500</v>
      </c>
      <c r="J1600" s="15" t="n">
        <v>3000</v>
      </c>
      <c r="K1600" s="13" t="inlineStr">
        <is>
          <t>kg/ha</t>
        </is>
      </c>
      <c r="L1600" s="15" t="n">
        <v>1</v>
      </c>
      <c r="M1600" s="13" t="inlineStr">
        <is>
          <t>Aplicar conforme monitoramento e estádio recomendado na bula (Correção Química de Solo)</t>
        </is>
      </c>
    </row>
    <row r="1601" ht="22" customHeight="1">
      <c r="A1601" s="6" t="inlineStr">
        <is>
          <t>ALV-1597</t>
        </is>
      </c>
      <c r="B1601" s="5" t="n">
        <v>831</v>
      </c>
      <c r="C1601" s="7" t="inlineStr">
        <is>
          <t>Nº 47125</t>
        </is>
      </c>
      <c r="D1601" s="8" t="inlineStr">
        <is>
          <t>CHLORFENAPYR</t>
        </is>
      </c>
      <c r="E1601" s="7" t="inlineStr">
        <is>
          <t>Inseticida e Acaricida</t>
        </is>
      </c>
      <c r="F1601" s="7" t="inlineStr">
        <is>
          <t>Ácaro-rajado</t>
        </is>
      </c>
      <c r="G1601" s="7" t="inlineStr">
        <is>
          <t>Tetranychus urticae</t>
        </is>
      </c>
      <c r="H1601" s="7" t="inlineStr">
        <is>
          <t>NÃO</t>
        </is>
      </c>
      <c r="I1601" s="17" t="n">
        <v>0.5</v>
      </c>
      <c r="J1601" s="17" t="n">
        <v>1.5</v>
      </c>
      <c r="K1601" s="7" t="inlineStr">
        <is>
          <t>L/ha</t>
        </is>
      </c>
      <c r="L1601" s="9" t="n">
        <v>1</v>
      </c>
      <c r="M1601" s="7" t="inlineStr">
        <is>
          <t>Aplicar conforme monitoramento e estádio recomendado na bula (IRAC Grupo 13)</t>
        </is>
      </c>
    </row>
    <row r="1602" ht="22" customHeight="1">
      <c r="A1602" s="12" t="inlineStr">
        <is>
          <t>ALV-1598</t>
        </is>
      </c>
      <c r="B1602" s="11" t="n">
        <v>831</v>
      </c>
      <c r="C1602" s="13" t="inlineStr">
        <is>
          <t>Nº 47125</t>
        </is>
      </c>
      <c r="D1602" s="14" t="inlineStr">
        <is>
          <t>CHLORFENAPYR</t>
        </is>
      </c>
      <c r="E1602" s="13" t="inlineStr">
        <is>
          <t>Inseticida e Acaricida</t>
        </is>
      </c>
      <c r="F1602" s="13" t="inlineStr">
        <is>
          <t>Lagarta-helicoverpa</t>
        </is>
      </c>
      <c r="G1602" s="13" t="inlineStr">
        <is>
          <t>Helicoverpa armigera</t>
        </is>
      </c>
      <c r="H1602" s="13" t="inlineStr">
        <is>
          <t>NÃO</t>
        </is>
      </c>
      <c r="I1602" s="18" t="n">
        <v>0.8</v>
      </c>
      <c r="J1602" s="18" t="n">
        <v>1.25</v>
      </c>
      <c r="K1602" s="13" t="inlineStr">
        <is>
          <t>L/ha</t>
        </is>
      </c>
      <c r="L1602" s="15" t="n">
        <v>1</v>
      </c>
      <c r="M1602" s="13" t="inlineStr">
        <is>
          <t>Aplicar conforme monitoramento e estádio recomendado na bula (IRAC Grupo 13)</t>
        </is>
      </c>
    </row>
    <row r="1603" ht="22" customHeight="1">
      <c r="A1603" s="6" t="inlineStr">
        <is>
          <t>ALV-1599</t>
        </is>
      </c>
      <c r="B1603" s="5" t="n">
        <v>831</v>
      </c>
      <c r="C1603" s="7" t="inlineStr">
        <is>
          <t>Nº 47125</t>
        </is>
      </c>
      <c r="D1603" s="8" t="inlineStr">
        <is>
          <t>CHLORFENAPYR</t>
        </is>
      </c>
      <c r="E1603" s="7" t="inlineStr">
        <is>
          <t>Inseticida e Acaricida</t>
        </is>
      </c>
      <c r="F1603" s="7" t="inlineStr">
        <is>
          <t>Lagarta-do-cartucho</t>
        </is>
      </c>
      <c r="G1603" s="7" t="inlineStr">
        <is>
          <t>Spodoptera frugiperda</t>
        </is>
      </c>
      <c r="H1603" s="7" t="inlineStr">
        <is>
          <t>NÃO</t>
        </is>
      </c>
      <c r="I1603" s="17" t="n">
        <v>0.75</v>
      </c>
      <c r="J1603" s="17" t="n">
        <v>1.25</v>
      </c>
      <c r="K1603" s="7" t="inlineStr">
        <is>
          <t>L/ha</t>
        </is>
      </c>
      <c r="L1603" s="9" t="n">
        <v>1</v>
      </c>
      <c r="M1603" s="7" t="inlineStr">
        <is>
          <t>Aplicar conforme monitoramento e estádio recomendado na bula (IRAC Grupo 13)</t>
        </is>
      </c>
    </row>
    <row r="1604" ht="22" customHeight="1">
      <c r="A1604" s="12" t="inlineStr">
        <is>
          <t>ALV-1600</t>
        </is>
      </c>
      <c r="B1604" s="11" t="n">
        <v>832</v>
      </c>
      <c r="C1604" s="13" t="inlineStr">
        <is>
          <t>Nº 2218</t>
        </is>
      </c>
      <c r="D1604" s="14" t="inlineStr">
        <is>
          <t>ACETA</t>
        </is>
      </c>
      <c r="E1604" s="13" t="inlineStr">
        <is>
          <t>Inseticida</t>
        </is>
      </c>
      <c r="F1604" s="13" t="inlineStr">
        <is>
          <t>Mosca-branca</t>
        </is>
      </c>
      <c r="G1604" s="13" t="inlineStr">
        <is>
          <t>Bemisia tabaci raça B</t>
        </is>
      </c>
      <c r="H1604" s="13" t="inlineStr">
        <is>
          <t>SIM (*)</t>
        </is>
      </c>
      <c r="I1604" s="18" t="n">
        <v>0.2</v>
      </c>
      <c r="J1604" s="18" t="n">
        <v>0.3</v>
      </c>
      <c r="K1604" s="13" t="inlineStr">
        <is>
          <t>kg/ha</t>
        </is>
      </c>
      <c r="L1604" s="15" t="n">
        <v>1</v>
      </c>
      <c r="M1604" s="13" t="inlineStr">
        <is>
          <t>Aplicar conforme monitoramento e estádio recomendado na bula (IRAC Grupo 4A)</t>
        </is>
      </c>
    </row>
    <row r="1605" ht="22" customHeight="1">
      <c r="A1605" s="6" t="inlineStr">
        <is>
          <t>ALV-1601</t>
        </is>
      </c>
      <c r="B1605" s="5" t="n">
        <v>832</v>
      </c>
      <c r="C1605" s="7" t="inlineStr">
        <is>
          <t>Nº 2218</t>
        </is>
      </c>
      <c r="D1605" s="8" t="inlineStr">
        <is>
          <t>ACETA</t>
        </is>
      </c>
      <c r="E1605" s="7" t="inlineStr">
        <is>
          <t>Inseticida</t>
        </is>
      </c>
      <c r="F1605" s="7" t="inlineStr">
        <is>
          <t>Pulgão-do-algodoeiro</t>
        </is>
      </c>
      <c r="G1605" s="7" t="inlineStr">
        <is>
          <t>Aphis gossypii</t>
        </is>
      </c>
      <c r="H1605" s="7" t="inlineStr">
        <is>
          <t>NÃO</t>
        </is>
      </c>
      <c r="I1605" s="17" t="n">
        <v>0.15</v>
      </c>
      <c r="J1605" s="17" t="n">
        <v>0.25</v>
      </c>
      <c r="K1605" s="7" t="inlineStr">
        <is>
          <t>kg/ha</t>
        </is>
      </c>
      <c r="L1605" s="9" t="n">
        <v>1</v>
      </c>
      <c r="M1605" s="7" t="inlineStr">
        <is>
          <t>Aplicar conforme monitoramento e estádio recomendado na bula (IRAC Grupo 4A)</t>
        </is>
      </c>
    </row>
    <row r="1606" ht="22" customHeight="1">
      <c r="A1606" s="12" t="inlineStr">
        <is>
          <t>ALV-1602</t>
        </is>
      </c>
      <c r="B1606" s="11" t="n">
        <v>832</v>
      </c>
      <c r="C1606" s="13" t="inlineStr">
        <is>
          <t>Nº 2218</t>
        </is>
      </c>
      <c r="D1606" s="14" t="inlineStr">
        <is>
          <t>ACETA</t>
        </is>
      </c>
      <c r="E1606" s="13" t="inlineStr">
        <is>
          <t>Inseticida</t>
        </is>
      </c>
      <c r="F1606" s="13" t="inlineStr">
        <is>
          <t>Percevejo-marrom</t>
        </is>
      </c>
      <c r="G1606" s="13" t="inlineStr">
        <is>
          <t>Euschistus heros</t>
        </is>
      </c>
      <c r="H1606" s="13" t="inlineStr">
        <is>
          <t>NÃO</t>
        </is>
      </c>
      <c r="I1606" s="18" t="n">
        <v>0.25</v>
      </c>
      <c r="J1606" s="18" t="n">
        <v>0.35</v>
      </c>
      <c r="K1606" s="13" t="inlineStr">
        <is>
          <t>kg/ha</t>
        </is>
      </c>
      <c r="L1606" s="15" t="n">
        <v>1</v>
      </c>
      <c r="M1606" s="13" t="inlineStr">
        <is>
          <t>Aplicar conforme monitoramento e estádio recomendado na bula (IRAC Grupo 4A)</t>
        </is>
      </c>
    </row>
    <row r="1607" ht="22" customHeight="1">
      <c r="A1607" s="6" t="inlineStr">
        <is>
          <t>ALV-1603</t>
        </is>
      </c>
      <c r="B1607" s="5" t="n">
        <v>833</v>
      </c>
      <c r="C1607" s="7" t="inlineStr">
        <is>
          <t>Nº 47125</t>
        </is>
      </c>
      <c r="D1607" s="8" t="inlineStr">
        <is>
          <t>CHLORFENAPYR</t>
        </is>
      </c>
      <c r="E1607" s="7" t="inlineStr">
        <is>
          <t>Inseticida e Acaricida</t>
        </is>
      </c>
      <c r="F1607" s="7" t="inlineStr">
        <is>
          <t>Ácaro-rajado</t>
        </is>
      </c>
      <c r="G1607" s="7" t="inlineStr">
        <is>
          <t>Tetranychus urticae</t>
        </is>
      </c>
      <c r="H1607" s="7" t="inlineStr">
        <is>
          <t>NÃO</t>
        </is>
      </c>
      <c r="I1607" s="17" t="n">
        <v>0.5</v>
      </c>
      <c r="J1607" s="17" t="n">
        <v>1.5</v>
      </c>
      <c r="K1607" s="7" t="inlineStr">
        <is>
          <t>L/ha</t>
        </is>
      </c>
      <c r="L1607" s="9" t="n">
        <v>1</v>
      </c>
      <c r="M1607" s="7" t="inlineStr">
        <is>
          <t>Aplicar conforme monitoramento e estádio recomendado na bula (IRAC Grupo 13)</t>
        </is>
      </c>
    </row>
    <row r="1608" ht="22" customHeight="1">
      <c r="A1608" s="12" t="inlineStr">
        <is>
          <t>ALV-1604</t>
        </is>
      </c>
      <c r="B1608" s="11" t="n">
        <v>833</v>
      </c>
      <c r="C1608" s="13" t="inlineStr">
        <is>
          <t>Nº 47125</t>
        </is>
      </c>
      <c r="D1608" s="14" t="inlineStr">
        <is>
          <t>CHLORFENAPYR</t>
        </is>
      </c>
      <c r="E1608" s="13" t="inlineStr">
        <is>
          <t>Inseticida e Acaricida</t>
        </is>
      </c>
      <c r="F1608" s="13" t="inlineStr">
        <is>
          <t>Lagarta-helicoverpa</t>
        </is>
      </c>
      <c r="G1608" s="13" t="inlineStr">
        <is>
          <t>Helicoverpa armigera</t>
        </is>
      </c>
      <c r="H1608" s="13" t="inlineStr">
        <is>
          <t>NÃO</t>
        </is>
      </c>
      <c r="I1608" s="18" t="n">
        <v>0.8</v>
      </c>
      <c r="J1608" s="18" t="n">
        <v>1.25</v>
      </c>
      <c r="K1608" s="13" t="inlineStr">
        <is>
          <t>L/ha</t>
        </is>
      </c>
      <c r="L1608" s="15" t="n">
        <v>1</v>
      </c>
      <c r="M1608" s="13" t="inlineStr">
        <is>
          <t>Aplicar conforme monitoramento e estádio recomendado na bula (IRAC Grupo 13)</t>
        </is>
      </c>
    </row>
    <row r="1609" ht="22" customHeight="1">
      <c r="A1609" s="6" t="inlineStr">
        <is>
          <t>ALV-1605</t>
        </is>
      </c>
      <c r="B1609" s="5" t="n">
        <v>833</v>
      </c>
      <c r="C1609" s="7" t="inlineStr">
        <is>
          <t>Nº 47125</t>
        </is>
      </c>
      <c r="D1609" s="8" t="inlineStr">
        <is>
          <t>CHLORFENAPYR</t>
        </is>
      </c>
      <c r="E1609" s="7" t="inlineStr">
        <is>
          <t>Inseticida e Acaricida</t>
        </is>
      </c>
      <c r="F1609" s="7" t="inlineStr">
        <is>
          <t>Lagarta-do-cartucho</t>
        </is>
      </c>
      <c r="G1609" s="7" t="inlineStr">
        <is>
          <t>Spodoptera frugiperda</t>
        </is>
      </c>
      <c r="H1609" s="7" t="inlineStr">
        <is>
          <t>NÃO</t>
        </is>
      </c>
      <c r="I1609" s="17" t="n">
        <v>0.75</v>
      </c>
      <c r="J1609" s="17" t="n">
        <v>1.25</v>
      </c>
      <c r="K1609" s="7" t="inlineStr">
        <is>
          <t>L/ha</t>
        </is>
      </c>
      <c r="L1609" s="9" t="n">
        <v>1</v>
      </c>
      <c r="M1609" s="7" t="inlineStr">
        <is>
          <t>Aplicar conforme monitoramento e estádio recomendado na bula (IRAC Grupo 13)</t>
        </is>
      </c>
    </row>
    <row r="1610" ht="22" customHeight="1">
      <c r="A1610" s="12" t="inlineStr">
        <is>
          <t>ALV-1606</t>
        </is>
      </c>
      <c r="B1610" s="11" t="n">
        <v>834</v>
      </c>
      <c r="C1610" s="13" t="inlineStr">
        <is>
          <t>SIPEAGRO (UF-XXXXX)</t>
        </is>
      </c>
      <c r="D1610" s="14" t="inlineStr">
        <is>
          <t>SUPERFOSFATO TRIPLO 46%  - FERTALVO</t>
        </is>
      </c>
      <c r="E1610" s="13" t="inlineStr">
        <is>
          <t>Fertilizante Mineral Simples (Fosfatado)</t>
        </is>
      </c>
      <c r="F1610" s="13" t="inlineStr">
        <is>
          <t>Nutrição e Correção de Deficiência Mineral</t>
        </is>
      </c>
      <c r="G1610" s="13" t="inlineStr">
        <is>
          <t>Nutrição Vegetal</t>
        </is>
      </c>
      <c r="H1610" s="13" t="inlineStr">
        <is>
          <t>NÃO</t>
        </is>
      </c>
      <c r="I1610" s="15" t="n">
        <v>1</v>
      </c>
      <c r="J1610" s="15" t="n">
        <v>250</v>
      </c>
      <c r="K1610" s="13" t="inlineStr">
        <is>
          <t>kg ou L/ha</t>
        </is>
      </c>
      <c r="L1610" s="15" t="n">
        <v>1</v>
      </c>
      <c r="M1610" s="13" t="inlineStr">
        <is>
          <t>Aplicar conforme monitoramento e estádio recomendado na bula (Nutrição Vegetal SIPEAGRO)</t>
        </is>
      </c>
    </row>
    <row r="1611" ht="22" customHeight="1">
      <c r="A1611" s="6" t="inlineStr">
        <is>
          <t>ALV-1607</t>
        </is>
      </c>
      <c r="B1611" s="5" t="n">
        <v>835</v>
      </c>
      <c r="C1611" s="7" t="inlineStr">
        <is>
          <t>Nº 47125</t>
        </is>
      </c>
      <c r="D1611" s="8" t="inlineStr">
        <is>
          <t>CHLORFENAPYR</t>
        </is>
      </c>
      <c r="E1611" s="7" t="inlineStr">
        <is>
          <t>Inseticida e Acaricida</t>
        </is>
      </c>
      <c r="F1611" s="7" t="inlineStr">
        <is>
          <t>Ácaro-rajado</t>
        </is>
      </c>
      <c r="G1611" s="7" t="inlineStr">
        <is>
          <t>Tetranychus urticae</t>
        </is>
      </c>
      <c r="H1611" s="7" t="inlineStr">
        <is>
          <t>NÃO</t>
        </is>
      </c>
      <c r="I1611" s="17" t="n">
        <v>0.5</v>
      </c>
      <c r="J1611" s="17" t="n">
        <v>1.5</v>
      </c>
      <c r="K1611" s="7" t="inlineStr">
        <is>
          <t>L/ha</t>
        </is>
      </c>
      <c r="L1611" s="9" t="n">
        <v>1</v>
      </c>
      <c r="M1611" s="7" t="inlineStr">
        <is>
          <t>Aplicar conforme monitoramento e estádio recomendado na bula (IRAC Grupo 13)</t>
        </is>
      </c>
    </row>
    <row r="1612" ht="22" customHeight="1">
      <c r="A1612" s="12" t="inlineStr">
        <is>
          <t>ALV-1608</t>
        </is>
      </c>
      <c r="B1612" s="11" t="n">
        <v>835</v>
      </c>
      <c r="C1612" s="13" t="inlineStr">
        <is>
          <t>Nº 47125</t>
        </is>
      </c>
      <c r="D1612" s="14" t="inlineStr">
        <is>
          <t>CHLORFENAPYR</t>
        </is>
      </c>
      <c r="E1612" s="13" t="inlineStr">
        <is>
          <t>Inseticida e Acaricida</t>
        </is>
      </c>
      <c r="F1612" s="13" t="inlineStr">
        <is>
          <t>Lagarta-helicoverpa</t>
        </is>
      </c>
      <c r="G1612" s="13" t="inlineStr">
        <is>
          <t>Helicoverpa armigera</t>
        </is>
      </c>
      <c r="H1612" s="13" t="inlineStr">
        <is>
          <t>NÃO</t>
        </is>
      </c>
      <c r="I1612" s="18" t="n">
        <v>0.8</v>
      </c>
      <c r="J1612" s="18" t="n">
        <v>1.25</v>
      </c>
      <c r="K1612" s="13" t="inlineStr">
        <is>
          <t>L/ha</t>
        </is>
      </c>
      <c r="L1612" s="15" t="n">
        <v>1</v>
      </c>
      <c r="M1612" s="13" t="inlineStr">
        <is>
          <t>Aplicar conforme monitoramento e estádio recomendado na bula (IRAC Grupo 13)</t>
        </is>
      </c>
    </row>
    <row r="1613" ht="22" customHeight="1">
      <c r="A1613" s="6" t="inlineStr">
        <is>
          <t>ALV-1609</t>
        </is>
      </c>
      <c r="B1613" s="5" t="n">
        <v>835</v>
      </c>
      <c r="C1613" s="7" t="inlineStr">
        <is>
          <t>Nº 47125</t>
        </is>
      </c>
      <c r="D1613" s="8" t="inlineStr">
        <is>
          <t>CHLORFENAPYR</t>
        </is>
      </c>
      <c r="E1613" s="7" t="inlineStr">
        <is>
          <t>Inseticida e Acaricida</t>
        </is>
      </c>
      <c r="F1613" s="7" t="inlineStr">
        <is>
          <t>Lagarta-do-cartucho</t>
        </is>
      </c>
      <c r="G1613" s="7" t="inlineStr">
        <is>
          <t>Spodoptera frugiperda</t>
        </is>
      </c>
      <c r="H1613" s="7" t="inlineStr">
        <is>
          <t>NÃO</t>
        </is>
      </c>
      <c r="I1613" s="17" t="n">
        <v>0.75</v>
      </c>
      <c r="J1613" s="17" t="n">
        <v>1.25</v>
      </c>
      <c r="K1613" s="7" t="inlineStr">
        <is>
          <t>L/ha</t>
        </is>
      </c>
      <c r="L1613" s="9" t="n">
        <v>1</v>
      </c>
      <c r="M1613" s="7" t="inlineStr">
        <is>
          <t>Aplicar conforme monitoramento e estádio recomendado na bula (IRAC Grupo 13)</t>
        </is>
      </c>
    </row>
    <row r="1614" ht="22" customHeight="1">
      <c r="A1614" s="12" t="inlineStr">
        <is>
          <t>ALV-1610</t>
        </is>
      </c>
      <c r="B1614" s="11" t="n">
        <v>836</v>
      </c>
      <c r="C1614" s="13" t="inlineStr">
        <is>
          <t>Nº 8406</t>
        </is>
      </c>
      <c r="D1614" s="14" t="inlineStr">
        <is>
          <t>CUREFORCE 250 EC IMP</t>
        </is>
      </c>
      <c r="E1614" s="13" t="inlineStr">
        <is>
          <t>Fungicida</t>
        </is>
      </c>
      <c r="F1614" s="13" t="inlineStr">
        <is>
          <t>Mancha-alvo</t>
        </is>
      </c>
      <c r="G1614" s="13" t="inlineStr">
        <is>
          <t>Corynespora cassiicola</t>
        </is>
      </c>
      <c r="H1614" s="13" t="inlineStr">
        <is>
          <t>SIM (*)</t>
        </is>
      </c>
      <c r="I1614" s="18" t="n">
        <v>0.3</v>
      </c>
      <c r="J1614" s="18" t="n">
        <v>0.5</v>
      </c>
      <c r="K1614" s="13" t="inlineStr">
        <is>
          <t>L/ha</t>
        </is>
      </c>
      <c r="L1614" s="15" t="n">
        <v>1</v>
      </c>
      <c r="M1614" s="13" t="inlineStr">
        <is>
          <t>Aplicar conforme monitoramento e estádio recomendado na bula (FRAC Grupo 3 (DMI))</t>
        </is>
      </c>
    </row>
    <row r="1615" ht="22" customHeight="1">
      <c r="A1615" s="6" t="inlineStr">
        <is>
          <t>ALV-1611</t>
        </is>
      </c>
      <c r="B1615" s="5" t="n">
        <v>836</v>
      </c>
      <c r="C1615" s="7" t="inlineStr">
        <is>
          <t>Nº 8406</t>
        </is>
      </c>
      <c r="D1615" s="8" t="inlineStr">
        <is>
          <t>CUREFORCE 250 EC IMP</t>
        </is>
      </c>
      <c r="E1615" s="7" t="inlineStr">
        <is>
          <t>Fungicida</t>
        </is>
      </c>
      <c r="F1615" s="7" t="inlineStr">
        <is>
          <t>Oídio</t>
        </is>
      </c>
      <c r="G1615" s="7" t="inlineStr">
        <is>
          <t>Microsphaera diffusa</t>
        </is>
      </c>
      <c r="H1615" s="7" t="inlineStr">
        <is>
          <t>NÃO</t>
        </is>
      </c>
      <c r="I1615" s="17" t="n">
        <v>0.2</v>
      </c>
      <c r="J1615" s="17" t="n">
        <v>0.3</v>
      </c>
      <c r="K1615" s="7" t="inlineStr">
        <is>
          <t>L/ha</t>
        </is>
      </c>
      <c r="L1615" s="9" t="n">
        <v>1</v>
      </c>
      <c r="M1615" s="7" t="inlineStr">
        <is>
          <t>Aplicar conforme monitoramento e estádio recomendado na bula (FRAC Grupo 3 (DMI))</t>
        </is>
      </c>
    </row>
    <row r="1616" ht="22" customHeight="1">
      <c r="A1616" s="12" t="inlineStr">
        <is>
          <t>ALV-1612</t>
        </is>
      </c>
      <c r="B1616" s="11" t="n">
        <v>836</v>
      </c>
      <c r="C1616" s="13" t="inlineStr">
        <is>
          <t>Nº 8406</t>
        </is>
      </c>
      <c r="D1616" s="14" t="inlineStr">
        <is>
          <t>CUREFORCE 250 EC IMP</t>
        </is>
      </c>
      <c r="E1616" s="13" t="inlineStr">
        <is>
          <t>Fungicida</t>
        </is>
      </c>
      <c r="F1616" s="13" t="inlineStr">
        <is>
          <t>Antracnose</t>
        </is>
      </c>
      <c r="G1616" s="13" t="inlineStr">
        <is>
          <t>Colletotrichum truncatum</t>
        </is>
      </c>
      <c r="H1616" s="13" t="inlineStr">
        <is>
          <t>NÃO</t>
        </is>
      </c>
      <c r="I1616" s="18" t="n">
        <v>0.3</v>
      </c>
      <c r="J1616" s="18" t="n">
        <v>0.4</v>
      </c>
      <c r="K1616" s="13" t="inlineStr">
        <is>
          <t>L/ha</t>
        </is>
      </c>
      <c r="L1616" s="15" t="n">
        <v>1</v>
      </c>
      <c r="M1616" s="13" t="inlineStr">
        <is>
          <t>Aplicar conforme monitoramento e estádio recomendado na bula (FRAC Grupo 3 (DMI))</t>
        </is>
      </c>
    </row>
    <row r="1617" ht="22" customHeight="1">
      <c r="A1617" s="6" t="inlineStr">
        <is>
          <t>ALV-1613</t>
        </is>
      </c>
      <c r="B1617" s="5" t="n">
        <v>837</v>
      </c>
      <c r="C1617" s="7" t="inlineStr">
        <is>
          <t>Nº 28421</t>
        </is>
      </c>
      <c r="D1617" s="8" t="inlineStr">
        <is>
          <t>BALLA IMP (VALIDAR)</t>
        </is>
      </c>
      <c r="E1617" s="7" t="inlineStr">
        <is>
          <t>Inseticida e Acaricida</t>
        </is>
      </c>
      <c r="F1617" s="7" t="inlineStr">
        <is>
          <t>Ácaro-rajado</t>
        </is>
      </c>
      <c r="G1617" s="7" t="inlineStr">
        <is>
          <t>Tetranychus urticae</t>
        </is>
      </c>
      <c r="H1617" s="7" t="inlineStr">
        <is>
          <t>NÃO</t>
        </is>
      </c>
      <c r="I1617" s="17" t="n">
        <v>0.5</v>
      </c>
      <c r="J1617" s="17" t="n">
        <v>1.5</v>
      </c>
      <c r="K1617" s="7" t="inlineStr">
        <is>
          <t>L/ha</t>
        </is>
      </c>
      <c r="L1617" s="9" t="n">
        <v>1</v>
      </c>
      <c r="M1617" s="7" t="inlineStr">
        <is>
          <t>Aplicar conforme monitoramento e estádio recomendado na bula (IRAC Grupo 13)</t>
        </is>
      </c>
    </row>
    <row r="1618" ht="22" customHeight="1">
      <c r="A1618" s="12" t="inlineStr">
        <is>
          <t>ALV-1614</t>
        </is>
      </c>
      <c r="B1618" s="11" t="n">
        <v>837</v>
      </c>
      <c r="C1618" s="13" t="inlineStr">
        <is>
          <t>Nº 28421</t>
        </is>
      </c>
      <c r="D1618" s="14" t="inlineStr">
        <is>
          <t>BALLA IMP (VALIDAR)</t>
        </is>
      </c>
      <c r="E1618" s="13" t="inlineStr">
        <is>
          <t>Inseticida e Acaricida</t>
        </is>
      </c>
      <c r="F1618" s="13" t="inlineStr">
        <is>
          <t>Lagarta-helicoverpa</t>
        </is>
      </c>
      <c r="G1618" s="13" t="inlineStr">
        <is>
          <t>Helicoverpa armigera</t>
        </is>
      </c>
      <c r="H1618" s="13" t="inlineStr">
        <is>
          <t>NÃO</t>
        </is>
      </c>
      <c r="I1618" s="18" t="n">
        <v>0.8</v>
      </c>
      <c r="J1618" s="18" t="n">
        <v>1.25</v>
      </c>
      <c r="K1618" s="13" t="inlineStr">
        <is>
          <t>L/ha</t>
        </is>
      </c>
      <c r="L1618" s="15" t="n">
        <v>1</v>
      </c>
      <c r="M1618" s="13" t="inlineStr">
        <is>
          <t>Aplicar conforme monitoramento e estádio recomendado na bula (IRAC Grupo 13)</t>
        </is>
      </c>
    </row>
    <row r="1619" ht="22" customHeight="1">
      <c r="A1619" s="6" t="inlineStr">
        <is>
          <t>ALV-1615</t>
        </is>
      </c>
      <c r="B1619" s="5" t="n">
        <v>837</v>
      </c>
      <c r="C1619" s="7" t="inlineStr">
        <is>
          <t>Nº 28421</t>
        </is>
      </c>
      <c r="D1619" s="8" t="inlineStr">
        <is>
          <t>BALLA IMP (VALIDAR)</t>
        </is>
      </c>
      <c r="E1619" s="7" t="inlineStr">
        <is>
          <t>Inseticida e Acaricida</t>
        </is>
      </c>
      <c r="F1619" s="7" t="inlineStr">
        <is>
          <t>Lagarta-do-cartucho</t>
        </is>
      </c>
      <c r="G1619" s="7" t="inlineStr">
        <is>
          <t>Spodoptera frugiperda</t>
        </is>
      </c>
      <c r="H1619" s="7" t="inlineStr">
        <is>
          <t>NÃO</t>
        </is>
      </c>
      <c r="I1619" s="17" t="n">
        <v>0.75</v>
      </c>
      <c r="J1619" s="17" t="n">
        <v>1.25</v>
      </c>
      <c r="K1619" s="7" t="inlineStr">
        <is>
          <t>L/ha</t>
        </is>
      </c>
      <c r="L1619" s="9" t="n">
        <v>1</v>
      </c>
      <c r="M1619" s="7" t="inlineStr">
        <is>
          <t>Aplicar conforme monitoramento e estádio recomendado na bula (IRAC Grupo 13)</t>
        </is>
      </c>
    </row>
    <row r="1620" ht="22" customHeight="1">
      <c r="A1620" s="12" t="inlineStr">
        <is>
          <t>ALV-1616</t>
        </is>
      </c>
      <c r="B1620" s="11" t="n">
        <v>838</v>
      </c>
      <c r="C1620" s="13" t="inlineStr">
        <is>
          <t>Nº 36721</t>
        </is>
      </c>
      <c r="D1620" s="14" t="inlineStr">
        <is>
          <t>MAIZEFORCE IMP</t>
        </is>
      </c>
      <c r="E1620" s="13" t="inlineStr">
        <is>
          <t>Herbicida</t>
        </is>
      </c>
      <c r="F1620" s="13" t="inlineStr">
        <is>
          <t>Capim-carrapicho</t>
        </is>
      </c>
      <c r="G1620" s="13" t="inlineStr">
        <is>
          <t>Cenchrus echinatus</t>
        </is>
      </c>
      <c r="H1620" s="13" t="inlineStr">
        <is>
          <t>NÃO</t>
        </is>
      </c>
      <c r="I1620" s="18" t="n">
        <v>0.3</v>
      </c>
      <c r="J1620" s="18" t="n">
        <v>0.4</v>
      </c>
      <c r="K1620" s="13" t="inlineStr">
        <is>
          <t>L/ha</t>
        </is>
      </c>
      <c r="L1620" s="15" t="n">
        <v>1</v>
      </c>
      <c r="M1620" s="13" t="inlineStr">
        <is>
          <t>Aplicar conforme monitoramento e estádio recomendado na bula (HRAC Grupo F2 (27) — Inibidores da HPPD)</t>
        </is>
      </c>
    </row>
    <row r="1621" ht="22" customHeight="1">
      <c r="A1621" s="6" t="inlineStr">
        <is>
          <t>ALV-1617</t>
        </is>
      </c>
      <c r="B1621" s="5" t="n">
        <v>838</v>
      </c>
      <c r="C1621" s="7" t="inlineStr">
        <is>
          <t>Nº 36721</t>
        </is>
      </c>
      <c r="D1621" s="8" t="inlineStr">
        <is>
          <t>MAIZEFORCE IMP</t>
        </is>
      </c>
      <c r="E1621" s="7" t="inlineStr">
        <is>
          <t>Herbicida</t>
        </is>
      </c>
      <c r="F1621" s="7" t="inlineStr">
        <is>
          <t>Caruru</t>
        </is>
      </c>
      <c r="G1621" s="7" t="inlineStr">
        <is>
          <t>Amaranthus viridis</t>
        </is>
      </c>
      <c r="H1621" s="7" t="inlineStr">
        <is>
          <t>NÃO</t>
        </is>
      </c>
      <c r="I1621" s="17" t="n">
        <v>0.25</v>
      </c>
      <c r="J1621" s="17" t="n">
        <v>0.4</v>
      </c>
      <c r="K1621" s="7" t="inlineStr">
        <is>
          <t>L/ha</t>
        </is>
      </c>
      <c r="L1621" s="9" t="n">
        <v>1</v>
      </c>
      <c r="M1621" s="7" t="inlineStr">
        <is>
          <t>Aplicar conforme monitoramento e estádio recomendado na bula (HRAC Grupo F2 (27) — Inibidores da HPPD)</t>
        </is>
      </c>
    </row>
    <row r="1622" ht="22" customHeight="1">
      <c r="A1622" s="12" t="inlineStr">
        <is>
          <t>ALV-1618</t>
        </is>
      </c>
      <c r="B1622" s="11" t="n">
        <v>838</v>
      </c>
      <c r="C1622" s="13" t="inlineStr">
        <is>
          <t>Nº 36721</t>
        </is>
      </c>
      <c r="D1622" s="14" t="inlineStr">
        <is>
          <t>MAIZEFORCE IMP</t>
        </is>
      </c>
      <c r="E1622" s="13" t="inlineStr">
        <is>
          <t>Herbicida</t>
        </is>
      </c>
      <c r="F1622" s="13" t="inlineStr">
        <is>
          <t>Corda-de-viola</t>
        </is>
      </c>
      <c r="G1622" s="13" t="inlineStr">
        <is>
          <t>Ipomoea grandifolia</t>
        </is>
      </c>
      <c r="H1622" s="13" t="inlineStr">
        <is>
          <t>NÃO</t>
        </is>
      </c>
      <c r="I1622" s="18" t="n">
        <v>0.25</v>
      </c>
      <c r="J1622" s="18" t="n">
        <v>0.4</v>
      </c>
      <c r="K1622" s="13" t="inlineStr">
        <is>
          <t>L/ha</t>
        </is>
      </c>
      <c r="L1622" s="15" t="n">
        <v>1</v>
      </c>
      <c r="M1622" s="13" t="inlineStr">
        <is>
          <t>Aplicar conforme monitoramento e estádio recomendado na bula (HRAC Grupo F2 (27) — Inibidores da HPPD)</t>
        </is>
      </c>
    </row>
    <row r="1623" ht="22" customHeight="1">
      <c r="A1623" s="6" t="inlineStr">
        <is>
          <t>ALV-1619</t>
        </is>
      </c>
      <c r="B1623" s="5" t="n">
        <v>839</v>
      </c>
      <c r="C1623" s="7" t="inlineStr">
        <is>
          <t>Nº 19217</t>
        </is>
      </c>
      <c r="D1623" s="8" t="inlineStr">
        <is>
          <t>BLOWOUT</t>
        </is>
      </c>
      <c r="E1623" s="7" t="inlineStr">
        <is>
          <t>Herbicida Dessecante</t>
        </is>
      </c>
      <c r="F1623" s="7" t="inlineStr">
        <is>
          <t>Buva</t>
        </is>
      </c>
      <c r="G1623" s="7" t="inlineStr">
        <is>
          <t>Conyza bonariensis</t>
        </is>
      </c>
      <c r="H1623" s="7" t="inlineStr">
        <is>
          <t>NÃO</t>
        </is>
      </c>
      <c r="I1623" s="17" t="n">
        <v>1.5</v>
      </c>
      <c r="J1623" s="17" t="n">
        <v>2.5</v>
      </c>
      <c r="K1623" s="7" t="inlineStr">
        <is>
          <t>L/ha</t>
        </is>
      </c>
      <c r="L1623" s="9" t="n">
        <v>1</v>
      </c>
      <c r="M1623" s="7" t="inlineStr">
        <is>
          <t>Aplicar conforme monitoramento e estádio recomendado na bula (HRAC Grupo D (22) — Desviadores de Elétrons do Fotossistema I)</t>
        </is>
      </c>
    </row>
    <row r="1624" ht="22" customHeight="1">
      <c r="A1624" s="12" t="inlineStr">
        <is>
          <t>ALV-1620</t>
        </is>
      </c>
      <c r="B1624" s="11" t="n">
        <v>839</v>
      </c>
      <c r="C1624" s="13" t="inlineStr">
        <is>
          <t>Nº 19217</t>
        </is>
      </c>
      <c r="D1624" s="14" t="inlineStr">
        <is>
          <t>BLOWOUT</t>
        </is>
      </c>
      <c r="E1624" s="13" t="inlineStr">
        <is>
          <t>Herbicida Dessecante</t>
        </is>
      </c>
      <c r="F1624" s="13" t="inlineStr">
        <is>
          <t>Corda-de-viola</t>
        </is>
      </c>
      <c r="G1624" s="13" t="inlineStr">
        <is>
          <t>Ipomoea grandifolia</t>
        </is>
      </c>
      <c r="H1624" s="13" t="inlineStr">
        <is>
          <t>NÃO</t>
        </is>
      </c>
      <c r="I1624" s="18" t="n">
        <v>1.5</v>
      </c>
      <c r="J1624" s="15" t="n">
        <v>2</v>
      </c>
      <c r="K1624" s="13" t="inlineStr">
        <is>
          <t>L/ha</t>
        </is>
      </c>
      <c r="L1624" s="15" t="n">
        <v>1</v>
      </c>
      <c r="M1624" s="13" t="inlineStr">
        <is>
          <t>Aplicar conforme monitoramento e estádio recomendado na bula (HRAC Grupo D (22) — Desviadores de Elétrons do Fotossistema I)</t>
        </is>
      </c>
    </row>
    <row r="1625" ht="22" customHeight="1">
      <c r="A1625" s="6" t="inlineStr">
        <is>
          <t>ALV-1621</t>
        </is>
      </c>
      <c r="B1625" s="5" t="n">
        <v>839</v>
      </c>
      <c r="C1625" s="7" t="inlineStr">
        <is>
          <t>Nº 19217</t>
        </is>
      </c>
      <c r="D1625" s="8" t="inlineStr">
        <is>
          <t>BLOWOUT</t>
        </is>
      </c>
      <c r="E1625" s="7" t="inlineStr">
        <is>
          <t>Herbicida Dessecante</t>
        </is>
      </c>
      <c r="F1625" s="7" t="inlineStr">
        <is>
          <t>Dessecação Pré-Colheita Soja</t>
        </is>
      </c>
      <c r="G1625" s="7" t="inlineStr">
        <is>
          <t>Glycine max</t>
        </is>
      </c>
      <c r="H1625" s="7" t="inlineStr">
        <is>
          <t>NÃO</t>
        </is>
      </c>
      <c r="I1625" s="17" t="n">
        <v>1.5</v>
      </c>
      <c r="J1625" s="9" t="n">
        <v>2</v>
      </c>
      <c r="K1625" s="7" t="inlineStr">
        <is>
          <t>L/ha</t>
        </is>
      </c>
      <c r="L1625" s="9" t="n">
        <v>1</v>
      </c>
      <c r="M1625" s="7" t="inlineStr">
        <is>
          <t>Aplicar conforme monitoramento e estádio recomendado na bula (HRAC Grupo D (22) — Desviadores de Elétrons do Fotossistema I)</t>
        </is>
      </c>
    </row>
    <row r="1626" ht="22" customHeight="1">
      <c r="A1626" s="12" t="inlineStr">
        <is>
          <t>ALV-1622</t>
        </is>
      </c>
      <c r="B1626" s="11" t="n">
        <v>840</v>
      </c>
      <c r="C1626" s="13" t="inlineStr">
        <is>
          <t>Nº 4026</t>
        </is>
      </c>
      <c r="D1626" s="14" t="inlineStr">
        <is>
          <t>SYNPROLE</t>
        </is>
      </c>
      <c r="E1626" s="13" t="inlineStr">
        <is>
          <t>Fungicida</t>
        </is>
      </c>
      <c r="F1626" s="13" t="inlineStr">
        <is>
          <t>Ferrugem-asiática</t>
        </is>
      </c>
      <c r="G1626" s="13" t="inlineStr">
        <is>
          <t>Phakopsora pachyrhizi</t>
        </is>
      </c>
      <c r="H1626" s="13" t="inlineStr">
        <is>
          <t>NÃO</t>
        </is>
      </c>
      <c r="I1626" s="18" t="n">
        <v>0.35</v>
      </c>
      <c r="J1626" s="18" t="n">
        <v>0.5</v>
      </c>
      <c r="K1626" s="13" t="inlineStr">
        <is>
          <t>L/ha</t>
        </is>
      </c>
      <c r="L1626" s="15" t="n">
        <v>1</v>
      </c>
      <c r="M1626" s="13" t="inlineStr">
        <is>
          <t>Aplicar conforme monitoramento e estádio recomendado na bula (FRAC Grupo 3 (DMI))</t>
        </is>
      </c>
    </row>
    <row r="1627" ht="22" customHeight="1">
      <c r="A1627" s="6" t="inlineStr">
        <is>
          <t>ALV-1623</t>
        </is>
      </c>
      <c r="B1627" s="5" t="n">
        <v>840</v>
      </c>
      <c r="C1627" s="7" t="inlineStr">
        <is>
          <t>Nº 4026</t>
        </is>
      </c>
      <c r="D1627" s="8" t="inlineStr">
        <is>
          <t>SYNPROLE</t>
        </is>
      </c>
      <c r="E1627" s="7" t="inlineStr">
        <is>
          <t>Fungicida</t>
        </is>
      </c>
      <c r="F1627" s="7" t="inlineStr">
        <is>
          <t>Mancha-alvo</t>
        </is>
      </c>
      <c r="G1627" s="7" t="inlineStr">
        <is>
          <t>Corynespora cassiicola</t>
        </is>
      </c>
      <c r="H1627" s="7" t="inlineStr">
        <is>
          <t>NÃO</t>
        </is>
      </c>
      <c r="I1627" s="17" t="n">
        <v>0.4</v>
      </c>
      <c r="J1627" s="17" t="n">
        <v>0.5</v>
      </c>
      <c r="K1627" s="7" t="inlineStr">
        <is>
          <t>L/ha</t>
        </is>
      </c>
      <c r="L1627" s="9" t="n">
        <v>1</v>
      </c>
      <c r="M1627" s="7" t="inlineStr">
        <is>
          <t>Aplicar conforme monitoramento e estádio recomendado na bula (FRAC Grupo 3 (DMI))</t>
        </is>
      </c>
    </row>
    <row r="1628" ht="22" customHeight="1">
      <c r="A1628" s="12" t="inlineStr">
        <is>
          <t>ALV-1624</t>
        </is>
      </c>
      <c r="B1628" s="11" t="n">
        <v>841</v>
      </c>
      <c r="C1628" s="13" t="inlineStr">
        <is>
          <t>VINCULAR MARCA</t>
        </is>
      </c>
      <c r="D1628" s="14" t="inlineStr">
        <is>
          <t>FLUAZINAM TECNICO 98% (AMOSTRA)</t>
        </is>
      </c>
      <c r="E1628" s="13" t="inlineStr">
        <is>
          <t>Insumo Industrial</t>
        </is>
      </c>
      <c r="F1628" s="13" t="inlineStr">
        <is>
          <t>Matéria-prima para Formulação Industrial</t>
        </is>
      </c>
      <c r="G1628" s="13" t="inlineStr">
        <is>
          <t>Uso Industrial Credenciado MAPA</t>
        </is>
      </c>
      <c r="H1628" s="13" t="inlineStr">
        <is>
          <t>NÃO</t>
        </is>
      </c>
      <c r="I1628" s="15" t="n">
        <v>0</v>
      </c>
      <c r="J1628" s="15" t="n">
        <v>0</v>
      </c>
      <c r="K1628" s="13" t="inlineStr">
        <is>
          <t>KG</t>
        </is>
      </c>
      <c r="L1628" s="15" t="n">
        <v>1</v>
      </c>
      <c r="M1628" s="13" t="inlineStr">
        <is>
          <t>Uso restrito a estabelecimentos formuladores registrados</t>
        </is>
      </c>
    </row>
    <row r="1629" ht="22" customHeight="1">
      <c r="A1629" s="6" t="inlineStr">
        <is>
          <t>ALV-1625</t>
        </is>
      </c>
      <c r="B1629" s="5" t="n">
        <v>842</v>
      </c>
      <c r="C1629" s="7" t="inlineStr">
        <is>
          <t>Nº 40624</t>
        </is>
      </c>
      <c r="D1629" s="8" t="inlineStr">
        <is>
          <t>SHARK</t>
        </is>
      </c>
      <c r="E1629" s="7" t="inlineStr">
        <is>
          <t>Inseticida</t>
        </is>
      </c>
      <c r="F1629" s="7" t="inlineStr">
        <is>
          <t>Lagarta-do-cartucho</t>
        </is>
      </c>
      <c r="G1629" s="7" t="inlineStr">
        <is>
          <t>Spodoptera frugiperda</t>
        </is>
      </c>
      <c r="H1629" s="7" t="inlineStr">
        <is>
          <t>SIM (*)</t>
        </is>
      </c>
      <c r="I1629" s="17" t="n">
        <v>0.4</v>
      </c>
      <c r="J1629" s="17" t="n">
        <v>0.6</v>
      </c>
      <c r="K1629" s="7" t="inlineStr">
        <is>
          <t>L/ha</t>
        </is>
      </c>
      <c r="L1629" s="9" t="n">
        <v>1</v>
      </c>
      <c r="M1629" s="7" t="inlineStr">
        <is>
          <t>Aplicar conforme monitoramento e estádio recomendado na bula (IRAC Grupo 1B)</t>
        </is>
      </c>
    </row>
    <row r="1630" ht="22" customHeight="1">
      <c r="A1630" s="12" t="inlineStr">
        <is>
          <t>ALV-1626</t>
        </is>
      </c>
      <c r="B1630" s="11" t="n">
        <v>842</v>
      </c>
      <c r="C1630" s="13" t="inlineStr">
        <is>
          <t>Nº 40624</t>
        </is>
      </c>
      <c r="D1630" s="14" t="inlineStr">
        <is>
          <t>SHARK</t>
        </is>
      </c>
      <c r="E1630" s="13" t="inlineStr">
        <is>
          <t>Inseticida</t>
        </is>
      </c>
      <c r="F1630" s="13" t="inlineStr">
        <is>
          <t>Lagarta-da-soja</t>
        </is>
      </c>
      <c r="G1630" s="13" t="inlineStr">
        <is>
          <t>Anticarsia gemmatalis</t>
        </is>
      </c>
      <c r="H1630" s="13" t="inlineStr">
        <is>
          <t>NÃO</t>
        </is>
      </c>
      <c r="I1630" s="18" t="n">
        <v>0.4</v>
      </c>
      <c r="J1630" s="15" t="n">
        <v>1</v>
      </c>
      <c r="K1630" s="13" t="inlineStr">
        <is>
          <t>L/ha</t>
        </is>
      </c>
      <c r="L1630" s="15" t="n">
        <v>1</v>
      </c>
      <c r="M1630" s="13" t="inlineStr">
        <is>
          <t>Aplicar conforme monitoramento e estádio recomendado na bula (IRAC Grupo 1B)</t>
        </is>
      </c>
    </row>
    <row r="1631" ht="22" customHeight="1">
      <c r="A1631" s="6" t="inlineStr">
        <is>
          <t>ALV-1627</t>
        </is>
      </c>
      <c r="B1631" s="5" t="n">
        <v>842</v>
      </c>
      <c r="C1631" s="7" t="inlineStr">
        <is>
          <t>Nº 40624</t>
        </is>
      </c>
      <c r="D1631" s="8" t="inlineStr">
        <is>
          <t>SHARK</t>
        </is>
      </c>
      <c r="E1631" s="7" t="inlineStr">
        <is>
          <t>Inseticida</t>
        </is>
      </c>
      <c r="F1631" s="7" t="inlineStr">
        <is>
          <t>Broca-do-café</t>
        </is>
      </c>
      <c r="G1631" s="7" t="inlineStr">
        <is>
          <t>Hypothenemus hampei</t>
        </is>
      </c>
      <c r="H1631" s="7" t="inlineStr">
        <is>
          <t>NÃO</t>
        </is>
      </c>
      <c r="I1631" s="9" t="n">
        <v>1</v>
      </c>
      <c r="J1631" s="17" t="n">
        <v>1.5</v>
      </c>
      <c r="K1631" s="7" t="inlineStr">
        <is>
          <t>L/ha</t>
        </is>
      </c>
      <c r="L1631" s="9" t="n">
        <v>1</v>
      </c>
      <c r="M1631" s="7" t="inlineStr">
        <is>
          <t>Aplicar conforme monitoramento e estádio recomendado na bula (IRAC Grupo 1B)</t>
        </is>
      </c>
    </row>
    <row r="1632" ht="22" customHeight="1">
      <c r="A1632" s="12" t="inlineStr">
        <is>
          <t>ALV-1628</t>
        </is>
      </c>
      <c r="B1632" s="11" t="n">
        <v>843</v>
      </c>
      <c r="C1632" s="13" t="inlineStr">
        <is>
          <t>Nº 15716</t>
        </is>
      </c>
      <c r="D1632" s="14" t="inlineStr">
        <is>
          <t>DIFCOR 250 EC</t>
        </is>
      </c>
      <c r="E1632" s="13" t="inlineStr">
        <is>
          <t>Fungicida</t>
        </is>
      </c>
      <c r="F1632" s="13" t="inlineStr">
        <is>
          <t>Mancha-alvo</t>
        </is>
      </c>
      <c r="G1632" s="13" t="inlineStr">
        <is>
          <t>Corynespora cassiicola</t>
        </is>
      </c>
      <c r="H1632" s="13" t="inlineStr">
        <is>
          <t>SIM (*)</t>
        </is>
      </c>
      <c r="I1632" s="18" t="n">
        <v>0.3</v>
      </c>
      <c r="J1632" s="18" t="n">
        <v>0.5</v>
      </c>
      <c r="K1632" s="13" t="inlineStr">
        <is>
          <t>L/ha</t>
        </is>
      </c>
      <c r="L1632" s="15" t="n">
        <v>1</v>
      </c>
      <c r="M1632" s="13" t="inlineStr">
        <is>
          <t>Aplicar conforme monitoramento e estádio recomendado na bula (FRAC Grupo 3 (DMI))</t>
        </is>
      </c>
    </row>
    <row r="1633" ht="22" customHeight="1">
      <c r="A1633" s="6" t="inlineStr">
        <is>
          <t>ALV-1629</t>
        </is>
      </c>
      <c r="B1633" s="5" t="n">
        <v>843</v>
      </c>
      <c r="C1633" s="7" t="inlineStr">
        <is>
          <t>Nº 15716</t>
        </is>
      </c>
      <c r="D1633" s="8" t="inlineStr">
        <is>
          <t>DIFCOR 250 EC</t>
        </is>
      </c>
      <c r="E1633" s="7" t="inlineStr">
        <is>
          <t>Fungicida</t>
        </is>
      </c>
      <c r="F1633" s="7" t="inlineStr">
        <is>
          <t>Oídio</t>
        </is>
      </c>
      <c r="G1633" s="7" t="inlineStr">
        <is>
          <t>Microsphaera diffusa</t>
        </is>
      </c>
      <c r="H1633" s="7" t="inlineStr">
        <is>
          <t>NÃO</t>
        </is>
      </c>
      <c r="I1633" s="17" t="n">
        <v>0.2</v>
      </c>
      <c r="J1633" s="17" t="n">
        <v>0.3</v>
      </c>
      <c r="K1633" s="7" t="inlineStr">
        <is>
          <t>L/ha</t>
        </is>
      </c>
      <c r="L1633" s="9" t="n">
        <v>1</v>
      </c>
      <c r="M1633" s="7" t="inlineStr">
        <is>
          <t>Aplicar conforme monitoramento e estádio recomendado na bula (FRAC Grupo 3 (DMI))</t>
        </is>
      </c>
    </row>
    <row r="1634" ht="22" customHeight="1">
      <c r="A1634" s="12" t="inlineStr">
        <is>
          <t>ALV-1630</t>
        </is>
      </c>
      <c r="B1634" s="11" t="n">
        <v>843</v>
      </c>
      <c r="C1634" s="13" t="inlineStr">
        <is>
          <t>Nº 15716</t>
        </is>
      </c>
      <c r="D1634" s="14" t="inlineStr">
        <is>
          <t>DIFCOR 250 EC</t>
        </is>
      </c>
      <c r="E1634" s="13" t="inlineStr">
        <is>
          <t>Fungicida</t>
        </is>
      </c>
      <c r="F1634" s="13" t="inlineStr">
        <is>
          <t>Antracnose</t>
        </is>
      </c>
      <c r="G1634" s="13" t="inlineStr">
        <is>
          <t>Colletotrichum truncatum</t>
        </is>
      </c>
      <c r="H1634" s="13" t="inlineStr">
        <is>
          <t>NÃO</t>
        </is>
      </c>
      <c r="I1634" s="18" t="n">
        <v>0.3</v>
      </c>
      <c r="J1634" s="18" t="n">
        <v>0.4</v>
      </c>
      <c r="K1634" s="13" t="inlineStr">
        <is>
          <t>L/ha</t>
        </is>
      </c>
      <c r="L1634" s="15" t="n">
        <v>1</v>
      </c>
      <c r="M1634" s="13" t="inlineStr">
        <is>
          <t>Aplicar conforme monitoramento e estádio recomendado na bula (FRAC Grupo 3 (DMI))</t>
        </is>
      </c>
    </row>
    <row r="1635" ht="22" customHeight="1">
      <c r="A1635" s="6" t="inlineStr">
        <is>
          <t>ALV-1631</t>
        </is>
      </c>
      <c r="B1635" s="5" t="n">
        <v>844</v>
      </c>
      <c r="C1635" s="7" t="inlineStr">
        <is>
          <t>Nº 52425</t>
        </is>
      </c>
      <c r="D1635" s="8" t="inlineStr">
        <is>
          <t>GEODO AMOSTRA 0,100KG IMP</t>
        </is>
      </c>
      <c r="E1635" s="7" t="inlineStr">
        <is>
          <t>Inseticida</t>
        </is>
      </c>
      <c r="F1635" s="7" t="inlineStr">
        <is>
          <t>Bicudo-do-algodoeiro</t>
        </is>
      </c>
      <c r="G1635" s="7" t="inlineStr">
        <is>
          <t>Anthonomus grandis</t>
        </is>
      </c>
      <c r="H1635" s="7" t="inlineStr">
        <is>
          <t>NÃO</t>
        </is>
      </c>
      <c r="I1635" s="17" t="n">
        <v>0.15</v>
      </c>
      <c r="J1635" s="17" t="n">
        <v>0.25</v>
      </c>
      <c r="K1635" s="7" t="inlineStr">
        <is>
          <t>L/ha</t>
        </is>
      </c>
      <c r="L1635" s="9" t="n">
        <v>1</v>
      </c>
      <c r="M1635" s="7" t="inlineStr">
        <is>
          <t>Aplicar conforme monitoramento e estádio recomendado na bula (IRAC Grupo 3A)</t>
        </is>
      </c>
    </row>
    <row r="1636" ht="22" customHeight="1">
      <c r="A1636" s="12" t="inlineStr">
        <is>
          <t>ALV-1632</t>
        </is>
      </c>
      <c r="B1636" s="11" t="n">
        <v>844</v>
      </c>
      <c r="C1636" s="13" t="inlineStr">
        <is>
          <t>Nº 52425</t>
        </is>
      </c>
      <c r="D1636" s="14" t="inlineStr">
        <is>
          <t>GEODO AMOSTRA 0,100KG IMP</t>
        </is>
      </c>
      <c r="E1636" s="13" t="inlineStr">
        <is>
          <t>Inseticida</t>
        </is>
      </c>
      <c r="F1636" s="13" t="inlineStr">
        <is>
          <t>Mosca-branca</t>
        </is>
      </c>
      <c r="G1636" s="13" t="inlineStr">
        <is>
          <t>Bemisia tabaci raça B</t>
        </is>
      </c>
      <c r="H1636" s="13" t="inlineStr">
        <is>
          <t>SIM (*)</t>
        </is>
      </c>
      <c r="I1636" s="18" t="n">
        <v>0.125</v>
      </c>
      <c r="J1636" s="18" t="n">
        <v>0.25</v>
      </c>
      <c r="K1636" s="13" t="inlineStr">
        <is>
          <t>L/ha</t>
        </is>
      </c>
      <c r="L1636" s="15" t="n">
        <v>1</v>
      </c>
      <c r="M1636" s="13" t="inlineStr">
        <is>
          <t>Aplicar conforme monitoramento e estádio recomendado na bula (IRAC Grupo 3A)</t>
        </is>
      </c>
    </row>
    <row r="1637" ht="22" customHeight="1">
      <c r="A1637" s="6" t="inlineStr">
        <is>
          <t>ALV-1633</t>
        </is>
      </c>
      <c r="B1637" s="5" t="n">
        <v>844</v>
      </c>
      <c r="C1637" s="7" t="inlineStr">
        <is>
          <t>Nº 52425</t>
        </is>
      </c>
      <c r="D1637" s="8" t="inlineStr">
        <is>
          <t>GEODO AMOSTRA 0,100KG IMP</t>
        </is>
      </c>
      <c r="E1637" s="7" t="inlineStr">
        <is>
          <t>Inseticida</t>
        </is>
      </c>
      <c r="F1637" s="7" t="inlineStr">
        <is>
          <t>Ácaro-rajado</t>
        </is>
      </c>
      <c r="G1637" s="7" t="inlineStr">
        <is>
          <t>Tetranychus urticae</t>
        </is>
      </c>
      <c r="H1637" s="7" t="inlineStr">
        <is>
          <t>SIM (*)</t>
        </is>
      </c>
      <c r="I1637" s="17" t="n">
        <v>0.15</v>
      </c>
      <c r="J1637" s="17" t="n">
        <v>0.2</v>
      </c>
      <c r="K1637" s="7" t="inlineStr">
        <is>
          <t>L/ha</t>
        </is>
      </c>
      <c r="L1637" s="9" t="n">
        <v>1</v>
      </c>
      <c r="M1637" s="7" t="inlineStr">
        <is>
          <t>Aplicar conforme monitoramento e estádio recomendado na bula (IRAC Grupo 3A)</t>
        </is>
      </c>
    </row>
    <row r="1638" ht="22" customHeight="1">
      <c r="A1638" s="12" t="inlineStr">
        <is>
          <t>ALV-1634</t>
        </is>
      </c>
      <c r="B1638" s="11" t="n">
        <v>845</v>
      </c>
      <c r="C1638" s="13" t="inlineStr">
        <is>
          <t>Nº 4516</t>
        </is>
      </c>
      <c r="D1638" s="14" t="inlineStr">
        <is>
          <t>STRONGFORCE</t>
        </is>
      </c>
      <c r="E1638" s="13" t="inlineStr">
        <is>
          <t>Inseticida</t>
        </is>
      </c>
      <c r="F1638" s="13" t="inlineStr">
        <is>
          <t>Lagarta-helicoverpa</t>
        </is>
      </c>
      <c r="G1638" s="13" t="inlineStr">
        <is>
          <t>Helicoverpa armigera</t>
        </is>
      </c>
      <c r="H1638" s="13" t="inlineStr">
        <is>
          <t>NÃO</t>
        </is>
      </c>
      <c r="I1638" s="18" t="n">
        <v>0.2</v>
      </c>
      <c r="J1638" s="18" t="n">
        <v>0.5</v>
      </c>
      <c r="K1638" s="13" t="inlineStr">
        <is>
          <t>kg ou L/ha</t>
        </is>
      </c>
      <c r="L1638" s="15" t="n">
        <v>1</v>
      </c>
      <c r="M1638" s="13" t="inlineStr">
        <is>
          <t>Aplicar conforme monitoramento e estádio recomendado na bula (IRAC Grupo 1A)</t>
        </is>
      </c>
    </row>
    <row r="1639" ht="22" customHeight="1">
      <c r="A1639" s="6" t="inlineStr">
        <is>
          <t>ALV-1635</t>
        </is>
      </c>
      <c r="B1639" s="5" t="n">
        <v>845</v>
      </c>
      <c r="C1639" s="7" t="inlineStr">
        <is>
          <t>Nº 4516</t>
        </is>
      </c>
      <c r="D1639" s="8" t="inlineStr">
        <is>
          <t>STRONGFORCE</t>
        </is>
      </c>
      <c r="E1639" s="7" t="inlineStr">
        <is>
          <t>Inseticida</t>
        </is>
      </c>
      <c r="F1639" s="7" t="inlineStr">
        <is>
          <t>Lagarta-do-cartucho</t>
        </is>
      </c>
      <c r="G1639" s="7" t="inlineStr">
        <is>
          <t>Spodoptera frugiperda</t>
        </is>
      </c>
      <c r="H1639" s="7" t="inlineStr">
        <is>
          <t>NÃO</t>
        </is>
      </c>
      <c r="I1639" s="17" t="n">
        <v>0.15</v>
      </c>
      <c r="J1639" s="17" t="n">
        <v>0.3</v>
      </c>
      <c r="K1639" s="7" t="inlineStr">
        <is>
          <t>kg ou L/ha</t>
        </is>
      </c>
      <c r="L1639" s="9" t="n">
        <v>1</v>
      </c>
      <c r="M1639" s="7" t="inlineStr">
        <is>
          <t>Aplicar conforme monitoramento e estádio recomendado na bula (IRAC Grupo 1A)</t>
        </is>
      </c>
    </row>
    <row r="1640" ht="22" customHeight="1">
      <c r="A1640" s="12" t="inlineStr">
        <is>
          <t>ALV-1636</t>
        </is>
      </c>
      <c r="B1640" s="11" t="n">
        <v>845</v>
      </c>
      <c r="C1640" s="13" t="inlineStr">
        <is>
          <t>Nº 4516</t>
        </is>
      </c>
      <c r="D1640" s="14" t="inlineStr">
        <is>
          <t>STRONGFORCE</t>
        </is>
      </c>
      <c r="E1640" s="13" t="inlineStr">
        <is>
          <t>Inseticida</t>
        </is>
      </c>
      <c r="F1640" s="13" t="inlineStr">
        <is>
          <t>Lagarta-da-soja</t>
        </is>
      </c>
      <c r="G1640" s="13" t="inlineStr">
        <is>
          <t>Anticarsia gemmatalis</t>
        </is>
      </c>
      <c r="H1640" s="13" t="inlineStr">
        <is>
          <t>NÃO</t>
        </is>
      </c>
      <c r="I1640" s="18" t="n">
        <v>0.1</v>
      </c>
      <c r="J1640" s="18" t="n">
        <v>0.2</v>
      </c>
      <c r="K1640" s="13" t="inlineStr">
        <is>
          <t>kg ou L/ha</t>
        </is>
      </c>
      <c r="L1640" s="15" t="n">
        <v>1</v>
      </c>
      <c r="M1640" s="13" t="inlineStr">
        <is>
          <t>Aplicar conforme monitoramento e estádio recomendado na bula (IRAC Grupo 1A)</t>
        </is>
      </c>
    </row>
    <row r="1641" ht="22" customHeight="1">
      <c r="A1641" s="6" t="inlineStr">
        <is>
          <t>ALV-1637</t>
        </is>
      </c>
      <c r="B1641" s="5" t="n">
        <v>846</v>
      </c>
      <c r="C1641" s="7" t="inlineStr">
        <is>
          <t>SIPEAGRO (UF-XXXXX)</t>
        </is>
      </c>
      <c r="D1641" s="8" t="inlineStr">
        <is>
          <t>GESSO AGRICOLA MINERAL NATURAL (GIPSITA MOIDA) GRANEL</t>
        </is>
      </c>
      <c r="E1641" s="7" t="inlineStr">
        <is>
          <t>Condicionador de Subsuperfície / Corretivo de Sodicidade</t>
        </is>
      </c>
      <c r="F1641" s="7" t="inlineStr">
        <is>
          <t>Correção de Acidez / Condicionamento de Perfil de Solo</t>
        </is>
      </c>
      <c r="G1641" s="7" t="inlineStr">
        <is>
          <t>Solo Agrícola</t>
        </is>
      </c>
      <c r="H1641" s="7" t="inlineStr">
        <is>
          <t>NÃO</t>
        </is>
      </c>
      <c r="I1641" s="9" t="n">
        <v>500</v>
      </c>
      <c r="J1641" s="9" t="n">
        <v>3000</v>
      </c>
      <c r="K1641" s="7" t="inlineStr">
        <is>
          <t>kg/ha</t>
        </is>
      </c>
      <c r="L1641" s="9" t="n">
        <v>1</v>
      </c>
      <c r="M1641" s="7" t="inlineStr">
        <is>
          <t>Aplicar conforme monitoramento e estádio recomendado na bula (Correção Química de Solo)</t>
        </is>
      </c>
    </row>
    <row r="1642" ht="22" customHeight="1">
      <c r="A1642" s="12" t="inlineStr">
        <is>
          <t>ALV-1638</t>
        </is>
      </c>
      <c r="B1642" s="11" t="n">
        <v>847</v>
      </c>
      <c r="C1642" s="13" t="inlineStr">
        <is>
          <t>SIPEAGRO (UF-XXXXX)</t>
        </is>
      </c>
      <c r="D1642" s="14" t="inlineStr">
        <is>
          <t>FOSFOGESSO AGRICOLA (SUBPRODUTO INDUSTRIAL) GRANEL</t>
        </is>
      </c>
      <c r="E1642" s="13" t="inlineStr">
        <is>
          <t>Condicionador de Subsuperfície / Corretivo de Sodicidade</t>
        </is>
      </c>
      <c r="F1642" s="13" t="inlineStr">
        <is>
          <t>Correção de Acidez / Condicionamento de Perfil de Solo</t>
        </is>
      </c>
      <c r="G1642" s="13" t="inlineStr">
        <is>
          <t>Solo Agrícola</t>
        </is>
      </c>
      <c r="H1642" s="13" t="inlineStr">
        <is>
          <t>NÃO</t>
        </is>
      </c>
      <c r="I1642" s="15" t="n">
        <v>500</v>
      </c>
      <c r="J1642" s="15" t="n">
        <v>3000</v>
      </c>
      <c r="K1642" s="13" t="inlineStr">
        <is>
          <t>kg/ha</t>
        </is>
      </c>
      <c r="L1642" s="15" t="n">
        <v>1</v>
      </c>
      <c r="M1642" s="13" t="inlineStr">
        <is>
          <t>Aplicar conforme monitoramento e estádio recomendado na bula (Correção Química de Solo)</t>
        </is>
      </c>
    </row>
    <row r="1643" ht="22" customHeight="1">
      <c r="A1643" s="6" t="inlineStr">
        <is>
          <t>ALV-1639</t>
        </is>
      </c>
      <c r="B1643" s="5" t="n">
        <v>848</v>
      </c>
      <c r="C1643" s="7" t="inlineStr">
        <is>
          <t>SIPEAGRO (UF-XXXXX)</t>
        </is>
      </c>
      <c r="D1643" s="8" t="inlineStr">
        <is>
          <t>CALCARIO AGRICOLA DOLOMITICO / CALCITICO GRANEL (TON)</t>
        </is>
      </c>
      <c r="E1643" s="7" t="inlineStr">
        <is>
          <t>Corretivo de Acidez do Solo</t>
        </is>
      </c>
      <c r="F1643" s="7" t="inlineStr">
        <is>
          <t>Correção de Acidez / Condicionamento de Perfil de Solo</t>
        </is>
      </c>
      <c r="G1643" s="7" t="inlineStr">
        <is>
          <t>Solo Agrícola</t>
        </is>
      </c>
      <c r="H1643" s="7" t="inlineStr">
        <is>
          <t>NÃO</t>
        </is>
      </c>
      <c r="I1643" s="9" t="n">
        <v>500</v>
      </c>
      <c r="J1643" s="9" t="n">
        <v>3000</v>
      </c>
      <c r="K1643" s="7" t="inlineStr">
        <is>
          <t>kg/ha</t>
        </is>
      </c>
      <c r="L1643" s="9" t="n">
        <v>1</v>
      </c>
      <c r="M1643" s="7" t="inlineStr">
        <is>
          <t>Aplicar conforme monitoramento e estádio recomendado na bula (Correção Química de Solo)</t>
        </is>
      </c>
    </row>
    <row r="1644" ht="22" customHeight="1">
      <c r="A1644" s="12" t="inlineStr">
        <is>
          <t>ALV-1640</t>
        </is>
      </c>
      <c r="B1644" s="11" t="n">
        <v>849</v>
      </c>
      <c r="C1644" s="13" t="inlineStr">
        <is>
          <t>SIPEAGRO (UF-XXXXX)</t>
        </is>
      </c>
      <c r="D1644" s="14" t="inlineStr">
        <is>
          <t>CAL HIDRATADA / VIRGEM AGRICOLA</t>
        </is>
      </c>
      <c r="E1644" s="13" t="inlineStr">
        <is>
          <t>Corretivo de Acidez Alcalino Rápido</t>
        </is>
      </c>
      <c r="F1644" s="13" t="inlineStr">
        <is>
          <t>Correção de Acidez / Condicionamento de Perfil de Solo</t>
        </is>
      </c>
      <c r="G1644" s="13" t="inlineStr">
        <is>
          <t>Solo Agrícola</t>
        </is>
      </c>
      <c r="H1644" s="13" t="inlineStr">
        <is>
          <t>NÃO</t>
        </is>
      </c>
      <c r="I1644" s="15" t="n">
        <v>500</v>
      </c>
      <c r="J1644" s="15" t="n">
        <v>3000</v>
      </c>
      <c r="K1644" s="13" t="inlineStr">
        <is>
          <t>kg/ha</t>
        </is>
      </c>
      <c r="L1644" s="15" t="n">
        <v>1</v>
      </c>
      <c r="M1644" s="13" t="inlineStr">
        <is>
          <t>Aplicar conforme monitoramento e estádio recomendado na bula (Correção Química de Solo)</t>
        </is>
      </c>
    </row>
    <row r="1645" ht="22" customHeight="1">
      <c r="A1645" s="6" t="inlineStr">
        <is>
          <t>ALV-1641</t>
        </is>
      </c>
      <c r="B1645" s="5" t="n">
        <v>850</v>
      </c>
      <c r="C1645" s="7" t="inlineStr">
        <is>
          <t>SIPEAGRO (UF-XXXXX)</t>
        </is>
      </c>
      <c r="D1645" s="8" t="inlineStr">
        <is>
          <t>FOSFATO DIAMONICO (DAP 18-46-00) GRANULADO GRANEL</t>
        </is>
      </c>
      <c r="E1645" s="7" t="inlineStr">
        <is>
          <t>Fertilizante Complexo (DAP — Fosfato Diamônico)</t>
        </is>
      </c>
      <c r="F1645" s="7" t="inlineStr">
        <is>
          <t>Nutrição e Correção de Deficiência Mineral</t>
        </is>
      </c>
      <c r="G1645" s="7" t="inlineStr">
        <is>
          <t>Nutrição Vegetal</t>
        </is>
      </c>
      <c r="H1645" s="7" t="inlineStr">
        <is>
          <t>NÃO</t>
        </is>
      </c>
      <c r="I1645" s="9" t="n">
        <v>1</v>
      </c>
      <c r="J1645" s="9" t="n">
        <v>250</v>
      </c>
      <c r="K1645" s="7" t="inlineStr">
        <is>
          <t>kg ou L/ha</t>
        </is>
      </c>
      <c r="L1645" s="9" t="n">
        <v>1</v>
      </c>
      <c r="M1645" s="7" t="inlineStr">
        <is>
          <t>Aplicar conforme monitoramento e estádio recomendado na bula (Nutrição Vegetal SIPEAGRO)</t>
        </is>
      </c>
    </row>
    <row r="1646" ht="22" customHeight="1">
      <c r="A1646" s="12" t="inlineStr">
        <is>
          <t>ALV-1642</t>
        </is>
      </c>
      <c r="B1646" s="11" t="n">
        <v>851</v>
      </c>
      <c r="C1646" s="13" t="inlineStr">
        <is>
          <t>SIPEAGRO (UF-XXXXX)</t>
        </is>
      </c>
      <c r="D1646" s="14" t="inlineStr">
        <is>
          <t>TERMOFOSFATO MAGNESIANO FUNDIDO (YOORIN)</t>
        </is>
      </c>
      <c r="E1646" s="13" t="inlineStr">
        <is>
          <t>Fertilizante Mineral Simples (Fosfatado)</t>
        </is>
      </c>
      <c r="F1646" s="13" t="inlineStr">
        <is>
          <t>Nutrição e Correção de Deficiência Mineral</t>
        </is>
      </c>
      <c r="G1646" s="13" t="inlineStr">
        <is>
          <t>Nutrição Vegetal</t>
        </is>
      </c>
      <c r="H1646" s="13" t="inlineStr">
        <is>
          <t>NÃO</t>
        </is>
      </c>
      <c r="I1646" s="15" t="n">
        <v>1</v>
      </c>
      <c r="J1646" s="15" t="n">
        <v>250</v>
      </c>
      <c r="K1646" s="13" t="inlineStr">
        <is>
          <t>kg ou L/ha</t>
        </is>
      </c>
      <c r="L1646" s="15" t="n">
        <v>1</v>
      </c>
      <c r="M1646" s="13" t="inlineStr">
        <is>
          <t>Aplicar conforme monitoramento e estádio recomendado na bula (Nutrição Vegetal SIPEAGRO)</t>
        </is>
      </c>
    </row>
    <row r="1647" ht="22" customHeight="1">
      <c r="A1647" s="6" t="inlineStr">
        <is>
          <t>ALV-1643</t>
        </is>
      </c>
      <c r="B1647" s="5" t="n">
        <v>852</v>
      </c>
      <c r="C1647" s="7" t="inlineStr">
        <is>
          <t>SIPEAGRO (UF-XXXXX)</t>
        </is>
      </c>
      <c r="D1647" s="8" t="inlineStr">
        <is>
          <t>NITRATO DE AMONIO AGRICOLA (33% A 34% N) BIG BAG</t>
        </is>
      </c>
      <c r="E1647" s="7" t="inlineStr">
        <is>
          <t>Fertilizante Mineral Simples (Nitrogenado)</t>
        </is>
      </c>
      <c r="F1647" s="7" t="inlineStr">
        <is>
          <t>Nutrição e Correção de Deficiência Mineral</t>
        </is>
      </c>
      <c r="G1647" s="7" t="inlineStr">
        <is>
          <t>Nutrição Vegetal</t>
        </is>
      </c>
      <c r="H1647" s="7" t="inlineStr">
        <is>
          <t>NÃO</t>
        </is>
      </c>
      <c r="I1647" s="9" t="n">
        <v>1</v>
      </c>
      <c r="J1647" s="9" t="n">
        <v>250</v>
      </c>
      <c r="K1647" s="7" t="inlineStr">
        <is>
          <t>kg ou L/ha</t>
        </is>
      </c>
      <c r="L1647" s="9" t="n">
        <v>1</v>
      </c>
      <c r="M1647" s="7" t="inlineStr">
        <is>
          <t>Aplicar conforme monitoramento e estádio recomendado na bula (Nutrição Vegetal SIPEAGRO)</t>
        </is>
      </c>
    </row>
    <row r="1648" ht="22" customHeight="1">
      <c r="A1648" s="12" t="inlineStr">
        <is>
          <t>ALV-1644</t>
        </is>
      </c>
      <c r="B1648" s="11" t="n">
        <v>853</v>
      </c>
      <c r="C1648" s="13" t="inlineStr">
        <is>
          <t>SIPEAGRO (UF-XXXXX)</t>
        </is>
      </c>
      <c r="D1648" s="14" t="inlineStr">
        <is>
          <t>ACIDO BORICO TECNICO AGRICOLA (H3BO3 - 17% B)</t>
        </is>
      </c>
      <c r="E1648" s="13" t="inlineStr">
        <is>
          <t>Fertilizante Químico Inorgânico (Matéria-Prima Cap. 28/38)</t>
        </is>
      </c>
      <c r="F1648" s="13" t="inlineStr">
        <is>
          <t>Nutrição e Correção de Deficiência Mineral</t>
        </is>
      </c>
      <c r="G1648" s="13" t="inlineStr">
        <is>
          <t>Nutrição Vegetal</t>
        </is>
      </c>
      <c r="H1648" s="13" t="inlineStr">
        <is>
          <t>NÃO</t>
        </is>
      </c>
      <c r="I1648" s="15" t="n">
        <v>1</v>
      </c>
      <c r="J1648" s="15" t="n">
        <v>250</v>
      </c>
      <c r="K1648" s="13" t="inlineStr">
        <is>
          <t>kg ou L/ha</t>
        </is>
      </c>
      <c r="L1648" s="15" t="n">
        <v>1</v>
      </c>
      <c r="M1648" s="13" t="inlineStr">
        <is>
          <t>Aplicar conforme monitoramento e estádio recomendado na bula (Nutrição Vegetal SIPEAGRO)</t>
        </is>
      </c>
    </row>
    <row r="1649" ht="22" customHeight="1">
      <c r="A1649" s="6" t="inlineStr">
        <is>
          <t>ALV-1645</t>
        </is>
      </c>
      <c r="B1649" s="5" t="n">
        <v>854</v>
      </c>
      <c r="C1649" s="7" t="inlineStr">
        <is>
          <t>SIPEAGRO (UF-XXXXX)</t>
        </is>
      </c>
      <c r="D1649" s="8" t="inlineStr">
        <is>
          <t>SULFATO DE COBRE PENTAHIDRATADO AGRICOLA (25% CU)</t>
        </is>
      </c>
      <c r="E1649" s="7" t="inlineStr">
        <is>
          <t>Fertilizante Químico Inorgânico (Matéria-Prima Cap. 28/38)</t>
        </is>
      </c>
      <c r="F1649" s="7" t="inlineStr">
        <is>
          <t>Nutrição e Correção de Deficiência Mineral</t>
        </is>
      </c>
      <c r="G1649" s="7" t="inlineStr">
        <is>
          <t>Nutrição Vegetal</t>
        </is>
      </c>
      <c r="H1649" s="7" t="inlineStr">
        <is>
          <t>NÃO</t>
        </is>
      </c>
      <c r="I1649" s="9" t="n">
        <v>1</v>
      </c>
      <c r="J1649" s="9" t="n">
        <v>250</v>
      </c>
      <c r="K1649" s="7" t="inlineStr">
        <is>
          <t>kg ou L/ha</t>
        </is>
      </c>
      <c r="L1649" s="9" t="n">
        <v>1</v>
      </c>
      <c r="M1649" s="7" t="inlineStr">
        <is>
          <t>Aplicar conforme monitoramento e estádio recomendado na bula (Nutrição Vegetal SIPEAGRO)</t>
        </is>
      </c>
    </row>
    <row r="1650" ht="22" customHeight="1">
      <c r="A1650" s="12" t="inlineStr">
        <is>
          <t>ALV-1646</t>
        </is>
      </c>
      <c r="B1650" s="11" t="n">
        <v>855</v>
      </c>
      <c r="C1650" s="13" t="inlineStr">
        <is>
          <t>SIPEAGRO (UF-XXXXX)</t>
        </is>
      </c>
      <c r="D1650" s="14" t="inlineStr">
        <is>
          <t>BIOMAPHOS INOCULANTE SOLUBILIZADOR DE FOSFORO</t>
        </is>
      </c>
      <c r="E1650" s="13" t="inlineStr">
        <is>
          <t>Inoculante Solubilizador de Fósforo / Promotor de Crescimento</t>
        </is>
      </c>
      <c r="F1650" s="13" t="inlineStr">
        <is>
          <t>Nematoide-das-lesões</t>
        </is>
      </c>
      <c r="G1650" s="13" t="inlineStr">
        <is>
          <t>Pratylenchus brachyurus</t>
        </is>
      </c>
      <c r="H1650" s="13" t="inlineStr">
        <is>
          <t>NÃO</t>
        </is>
      </c>
      <c r="I1650" s="18" t="n">
        <v>0.2</v>
      </c>
      <c r="J1650" s="15" t="n">
        <v>1</v>
      </c>
      <c r="K1650" s="13" t="inlineStr">
        <is>
          <t>L/ha</t>
        </is>
      </c>
      <c r="L1650" s="15" t="n">
        <v>1</v>
      </c>
      <c r="M1650" s="13" t="inlineStr">
        <is>
          <t>Aplicar conforme monitoramento e estádio recomendado na bula (FRAC Grupo BM02 / IRAC Grupo 11A / Bioinsumo)</t>
        </is>
      </c>
    </row>
    <row r="1651" ht="22" customHeight="1">
      <c r="A1651" s="6" t="inlineStr">
        <is>
          <t>ALV-1647</t>
        </is>
      </c>
      <c r="B1651" s="5" t="n">
        <v>855</v>
      </c>
      <c r="C1651" s="7" t="inlineStr">
        <is>
          <t>SIPEAGRO (UF-XXXXX)</t>
        </is>
      </c>
      <c r="D1651" s="8" t="inlineStr">
        <is>
          <t>BIOMAPHOS INOCULANTE SOLUBILIZADOR DE FOSFORO</t>
        </is>
      </c>
      <c r="E1651" s="7" t="inlineStr">
        <is>
          <t>Inoculante Solubilizador de Fósforo / Promotor de Crescimento</t>
        </is>
      </c>
      <c r="F1651" s="7" t="inlineStr">
        <is>
          <t>Mofo-branco</t>
        </is>
      </c>
      <c r="G1651" s="7" t="inlineStr">
        <is>
          <t>Sclerotinia sclerotiorum</t>
        </is>
      </c>
      <c r="H1651" s="7" t="inlineStr">
        <is>
          <t>NÃO</t>
        </is>
      </c>
      <c r="I1651" s="9" t="n">
        <v>1</v>
      </c>
      <c r="J1651" s="9" t="n">
        <v>2</v>
      </c>
      <c r="K1651" s="7" t="inlineStr">
        <is>
          <t>L/ha</t>
        </is>
      </c>
      <c r="L1651" s="9" t="n">
        <v>1</v>
      </c>
      <c r="M1651" s="7" t="inlineStr">
        <is>
          <t>Aplicar conforme monitoramento e estádio recomendado na bula (FRAC Grupo BM02 / IRAC Grupo 11A / Bioinsumo)</t>
        </is>
      </c>
    </row>
    <row r="1652" ht="22" customHeight="1">
      <c r="A1652" s="12" t="inlineStr">
        <is>
          <t>ALV-1648</t>
        </is>
      </c>
      <c r="B1652" s="11" t="n">
        <v>856</v>
      </c>
      <c r="C1652" s="13" t="inlineStr">
        <is>
          <t>Nº 16124</t>
        </is>
      </c>
      <c r="D1652" s="14" t="inlineStr">
        <is>
          <t>ALTO</t>
        </is>
      </c>
      <c r="E1652" s="13" t="inlineStr">
        <is>
          <t>Fungicida</t>
        </is>
      </c>
      <c r="F1652" s="13" t="inlineStr">
        <is>
          <t>Complexo de Doenças Foliares e Ferrugem</t>
        </is>
      </c>
      <c r="G1652" s="13" t="inlineStr">
        <is>
          <t>Phakopsora pachyrhizi / Corynespora</t>
        </is>
      </c>
      <c r="H1652" s="13" t="inlineStr">
        <is>
          <t>NÃO</t>
        </is>
      </c>
      <c r="I1652" s="18" t="n">
        <v>0.3</v>
      </c>
      <c r="J1652" s="18" t="n">
        <v>1.5</v>
      </c>
      <c r="K1652" s="13" t="inlineStr">
        <is>
          <t>L ou kg/ha</t>
        </is>
      </c>
      <c r="L1652" s="15" t="n">
        <v>1</v>
      </c>
      <c r="M1652" s="13" t="inlineStr">
        <is>
          <t>Aplicar conforme monitoramento e estádio recomendado na bula (Classificação FRAC Oficial conforme Bula)</t>
        </is>
      </c>
    </row>
    <row r="1653" ht="22" customHeight="1">
      <c r="A1653" s="6" t="inlineStr">
        <is>
          <t>ALV-1649</t>
        </is>
      </c>
      <c r="B1653" s="5" t="n">
        <v>857</v>
      </c>
      <c r="C1653" s="7" t="inlineStr">
        <is>
          <t>VINC-16124</t>
        </is>
      </c>
      <c r="D1653" s="8" t="inlineStr">
        <is>
          <t>Ciproconazol Técnico Syn</t>
        </is>
      </c>
      <c r="E1653" s="7" t="inlineStr">
        <is>
          <t>Insumo Industrial</t>
        </is>
      </c>
      <c r="F1653" s="7" t="inlineStr">
        <is>
          <t>Matéria-prima para Formulação Industrial</t>
        </is>
      </c>
      <c r="G1653" s="7" t="inlineStr">
        <is>
          <t>Uso Industrial Credenciado MAPA</t>
        </is>
      </c>
      <c r="H1653" s="7" t="inlineStr">
        <is>
          <t>NÃO</t>
        </is>
      </c>
      <c r="I1653" s="9" t="n">
        <v>0</v>
      </c>
      <c r="J1653" s="9" t="n">
        <v>0</v>
      </c>
      <c r="K1653" s="7" t="inlineStr">
        <is>
          <t>KG</t>
        </is>
      </c>
      <c r="L1653" s="9" t="n">
        <v>1</v>
      </c>
      <c r="M1653" s="7" t="inlineStr">
        <is>
          <t>Uso restrito a estabelecimentos formuladores registrados</t>
        </is>
      </c>
    </row>
    <row r="1654" ht="22" customHeight="1">
      <c r="A1654" s="12" t="inlineStr">
        <is>
          <t>ALV-1650</t>
        </is>
      </c>
      <c r="B1654" s="11" t="n">
        <v>858</v>
      </c>
      <c r="C1654" s="13" t="inlineStr">
        <is>
          <t>VINC-16124</t>
        </is>
      </c>
      <c r="D1654" s="14" t="inlineStr">
        <is>
          <t>Cyproconazole Técnico</t>
        </is>
      </c>
      <c r="E1654" s="13" t="inlineStr">
        <is>
          <t>Insumo Industrial</t>
        </is>
      </c>
      <c r="F1654" s="13" t="inlineStr">
        <is>
          <t>Matéria-prima para Formulação Industrial</t>
        </is>
      </c>
      <c r="G1654" s="13" t="inlineStr">
        <is>
          <t>Uso Industrial Credenciado MAPA</t>
        </is>
      </c>
      <c r="H1654" s="13" t="inlineStr">
        <is>
          <t>NÃO</t>
        </is>
      </c>
      <c r="I1654" s="15" t="n">
        <v>0</v>
      </c>
      <c r="J1654" s="15" t="n">
        <v>0</v>
      </c>
      <c r="K1654" s="13" t="inlineStr">
        <is>
          <t>KG</t>
        </is>
      </c>
      <c r="L1654" s="15" t="n">
        <v>1</v>
      </c>
      <c r="M1654" s="13" t="inlineStr">
        <is>
          <t>Uso restrito a estabelecimentos formuladores registrados</t>
        </is>
      </c>
    </row>
    <row r="1655" ht="22" customHeight="1">
      <c r="A1655" s="6" t="inlineStr">
        <is>
          <t>ALV-1651</t>
        </is>
      </c>
      <c r="B1655" s="5" t="n">
        <v>859</v>
      </c>
      <c r="C1655" s="7" t="inlineStr">
        <is>
          <t>Nº 16224</t>
        </is>
      </c>
      <c r="D1655" s="8" t="inlineStr">
        <is>
          <t>PEÃO 200 EC</t>
        </is>
      </c>
      <c r="E1655" s="7" t="inlineStr">
        <is>
          <t>Herbicida</t>
        </is>
      </c>
      <c r="F1655" s="7" t="inlineStr">
        <is>
          <t>Buva</t>
        </is>
      </c>
      <c r="G1655" s="7" t="inlineStr">
        <is>
          <t>Conyza bonariensis</t>
        </is>
      </c>
      <c r="H1655" s="7" t="inlineStr">
        <is>
          <t>SIM (*)</t>
        </is>
      </c>
      <c r="I1655" s="17" t="n">
        <v>0.5</v>
      </c>
      <c r="J1655" s="9" t="n">
        <v>2</v>
      </c>
      <c r="K1655" s="7" t="inlineStr">
        <is>
          <t>L ou kg/ha</t>
        </is>
      </c>
      <c r="L1655" s="9" t="n">
        <v>1</v>
      </c>
      <c r="M1655" s="7" t="inlineStr">
        <is>
          <t>Aplicar em pré ou pós-emergência conforme bula (HRAC Grupo O (4) — Auxinas Sintéticas)</t>
        </is>
      </c>
    </row>
    <row r="1656" ht="22" customHeight="1">
      <c r="A1656" s="12" t="inlineStr">
        <is>
          <t>ALV-1652</t>
        </is>
      </c>
      <c r="B1656" s="11" t="n">
        <v>859</v>
      </c>
      <c r="C1656" s="13" t="inlineStr">
        <is>
          <t>Nº 16224</t>
        </is>
      </c>
      <c r="D1656" s="14" t="inlineStr">
        <is>
          <t>PEÃO 200 EC</t>
        </is>
      </c>
      <c r="E1656" s="13" t="inlineStr">
        <is>
          <t>Herbicida</t>
        </is>
      </c>
      <c r="F1656" s="13" t="inlineStr">
        <is>
          <t>Capim-amargoso</t>
        </is>
      </c>
      <c r="G1656" s="13" t="inlineStr">
        <is>
          <t>Digitaria insularis</t>
        </is>
      </c>
      <c r="H1656" s="13" t="inlineStr">
        <is>
          <t>SIM (*)</t>
        </is>
      </c>
      <c r="I1656" s="15" t="n">
        <v>1</v>
      </c>
      <c r="J1656" s="18" t="n">
        <v>2.5</v>
      </c>
      <c r="K1656" s="13" t="inlineStr">
        <is>
          <t>L ou kg/ha</t>
        </is>
      </c>
      <c r="L1656" s="15" t="n">
        <v>1</v>
      </c>
      <c r="M1656" s="13" t="inlineStr">
        <is>
          <t>Aplicar em pré ou pós-emergência conforme bula (HRAC Grupo O (4) — Auxinas Sintéticas)</t>
        </is>
      </c>
    </row>
    <row r="1657" ht="22" customHeight="1">
      <c r="A1657" s="6" t="inlineStr">
        <is>
          <t>ALV-1653</t>
        </is>
      </c>
      <c r="B1657" s="5" t="n">
        <v>859</v>
      </c>
      <c r="C1657" s="7" t="inlineStr">
        <is>
          <t>Nº 16224</t>
        </is>
      </c>
      <c r="D1657" s="8" t="inlineStr">
        <is>
          <t>PEÃO 200 EC</t>
        </is>
      </c>
      <c r="E1657" s="7" t="inlineStr">
        <is>
          <t>Herbicida</t>
        </is>
      </c>
      <c r="F1657" s="7" t="inlineStr">
        <is>
          <t>Corda-de-viola / Caruru</t>
        </is>
      </c>
      <c r="G1657" s="7" t="inlineStr">
        <is>
          <t>Ipomoea grandifolia / Amaranthus spp.</t>
        </is>
      </c>
      <c r="H1657" s="7" t="inlineStr">
        <is>
          <t>NÃO</t>
        </is>
      </c>
      <c r="I1657" s="17" t="n">
        <v>0.5</v>
      </c>
      <c r="J1657" s="9" t="n">
        <v>2</v>
      </c>
      <c r="K1657" s="7" t="inlineStr">
        <is>
          <t>L ou kg/ha</t>
        </is>
      </c>
      <c r="L1657" s="9" t="n">
        <v>1</v>
      </c>
      <c r="M1657" s="7" t="inlineStr">
        <is>
          <t>Aplicar em pré ou pós-emergência conforme bula (HRAC Grupo O (4) — Auxinas Sintéticas)</t>
        </is>
      </c>
    </row>
    <row r="1658" ht="22" customHeight="1">
      <c r="A1658" s="12" t="inlineStr">
        <is>
          <t>ALV-1654</t>
        </is>
      </c>
      <c r="B1658" s="11" t="n">
        <v>860</v>
      </c>
      <c r="C1658" s="13" t="inlineStr">
        <is>
          <t>VINC-16224</t>
        </is>
      </c>
      <c r="D1658" s="14" t="inlineStr">
        <is>
          <t>Fluroxipir Técnico CropChem</t>
        </is>
      </c>
      <c r="E1658" s="13" t="inlineStr">
        <is>
          <t>Insumo Industrial</t>
        </is>
      </c>
      <c r="F1658" s="13" t="inlineStr">
        <is>
          <t>Matéria-prima para Formulação Industrial</t>
        </is>
      </c>
      <c r="G1658" s="13" t="inlineStr">
        <is>
          <t>Uso Industrial Credenciado MAPA</t>
        </is>
      </c>
      <c r="H1658" s="13" t="inlineStr">
        <is>
          <t>NÃO</t>
        </is>
      </c>
      <c r="I1658" s="15" t="n">
        <v>0</v>
      </c>
      <c r="J1658" s="15" t="n">
        <v>0</v>
      </c>
      <c r="K1658" s="13" t="inlineStr">
        <is>
          <t>KG</t>
        </is>
      </c>
      <c r="L1658" s="15" t="n">
        <v>1</v>
      </c>
      <c r="M1658" s="13" t="inlineStr">
        <is>
          <t>Uso restrito a estabelecimentos formuladores registrados</t>
        </is>
      </c>
    </row>
    <row r="1659" ht="22" customHeight="1">
      <c r="A1659" s="6" t="inlineStr">
        <is>
          <t>ALV-1655</t>
        </is>
      </c>
      <c r="B1659" s="5" t="n">
        <v>861</v>
      </c>
      <c r="C1659" s="7" t="inlineStr">
        <is>
          <t>Nº 16324</t>
        </is>
      </c>
      <c r="D1659" s="8" t="inlineStr">
        <is>
          <t>METRIBUZIM</t>
        </is>
      </c>
      <c r="E1659" s="7" t="inlineStr">
        <is>
          <t>Herbicida</t>
        </is>
      </c>
      <c r="F1659" s="7" t="inlineStr">
        <is>
          <t>Plantas Daninhas Mono e Dicotiledôneas</t>
        </is>
      </c>
      <c r="G1659" s="7" t="inlineStr">
        <is>
          <t>Flora Infestante</t>
        </is>
      </c>
      <c r="H1659" s="7" t="inlineStr">
        <is>
          <t>NÃO</t>
        </is>
      </c>
      <c r="I1659" s="17" t="n">
        <v>0.25</v>
      </c>
      <c r="J1659" s="9" t="n">
        <v>2</v>
      </c>
      <c r="K1659" s="7" t="inlineStr">
        <is>
          <t>L ou kg/ha</t>
        </is>
      </c>
      <c r="L1659" s="9" t="n">
        <v>1</v>
      </c>
      <c r="M1659" s="7" t="inlineStr">
        <is>
          <t>Aplicar conforme monitoramento e estádio recomendado na bula (Classificação HRAC Oficial conforme Bula)</t>
        </is>
      </c>
    </row>
    <row r="1660" ht="22" customHeight="1">
      <c r="A1660" s="12" t="inlineStr">
        <is>
          <t>ALV-1656</t>
        </is>
      </c>
      <c r="B1660" s="11" t="n">
        <v>862</v>
      </c>
      <c r="C1660" s="13" t="inlineStr">
        <is>
          <t>VINC-16324</t>
        </is>
      </c>
      <c r="D1660" s="14" t="inlineStr">
        <is>
          <t>Metribuzin Técnico Rallis</t>
        </is>
      </c>
      <c r="E1660" s="13" t="inlineStr">
        <is>
          <t>Insumo Industrial</t>
        </is>
      </c>
      <c r="F1660" s="13" t="inlineStr">
        <is>
          <t>Matéria-prima para Formulação Industrial</t>
        </is>
      </c>
      <c r="G1660" s="13" t="inlineStr">
        <is>
          <t>Uso Industrial Credenciado MAPA</t>
        </is>
      </c>
      <c r="H1660" s="13" t="inlineStr">
        <is>
          <t>NÃO</t>
        </is>
      </c>
      <c r="I1660" s="15" t="n">
        <v>0</v>
      </c>
      <c r="J1660" s="15" t="n">
        <v>0</v>
      </c>
      <c r="K1660" s="13" t="inlineStr">
        <is>
          <t>KG</t>
        </is>
      </c>
      <c r="L1660" s="15" t="n">
        <v>1</v>
      </c>
      <c r="M1660" s="13" t="inlineStr">
        <is>
          <t>Uso restrito a estabelecimentos formuladores registrados</t>
        </is>
      </c>
    </row>
    <row r="1661" ht="22" customHeight="1">
      <c r="A1661" s="6" t="inlineStr">
        <is>
          <t>ALV-1657</t>
        </is>
      </c>
      <c r="B1661" s="5" t="n">
        <v>863</v>
      </c>
      <c r="C1661" s="7" t="inlineStr">
        <is>
          <t>Nº 16424</t>
        </is>
      </c>
      <c r="D1661" s="8" t="inlineStr">
        <is>
          <t>SOLEADO 50 WG</t>
        </is>
      </c>
      <c r="E1661" s="7" t="inlineStr">
        <is>
          <t>Fungicida</t>
        </is>
      </c>
      <c r="F1661" s="7" t="inlineStr">
        <is>
          <t>Mancha-alvo</t>
        </is>
      </c>
      <c r="G1661" s="7" t="inlineStr">
        <is>
          <t>Corynespora cassiicola</t>
        </is>
      </c>
      <c r="H1661" s="7" t="inlineStr">
        <is>
          <t>SIM (*)</t>
        </is>
      </c>
      <c r="I1661" s="17" t="n">
        <v>0.4</v>
      </c>
      <c r="J1661" s="9" t="n">
        <v>1</v>
      </c>
      <c r="K1661" s="7" t="inlineStr">
        <is>
          <t>L ou kg/ha</t>
        </is>
      </c>
      <c r="L1661" s="9" t="n">
        <v>2</v>
      </c>
      <c r="M1661" s="7" t="inlineStr">
        <is>
          <t>Aplicar preventivamente conforme monitoramento (FRAC Grupo 7 (C2 — SDHI))</t>
        </is>
      </c>
    </row>
    <row r="1662" ht="22" customHeight="1">
      <c r="A1662" s="12" t="inlineStr">
        <is>
          <t>ALV-1658</t>
        </is>
      </c>
      <c r="B1662" s="11" t="n">
        <v>863</v>
      </c>
      <c r="C1662" s="13" t="inlineStr">
        <is>
          <t>Nº 16424</t>
        </is>
      </c>
      <c r="D1662" s="14" t="inlineStr">
        <is>
          <t>SOLEADO 50 WG</t>
        </is>
      </c>
      <c r="E1662" s="13" t="inlineStr">
        <is>
          <t>Fungicida</t>
        </is>
      </c>
      <c r="F1662" s="13" t="inlineStr">
        <is>
          <t>Ferrugem-asiática / Antracnose</t>
        </is>
      </c>
      <c r="G1662" s="13" t="inlineStr">
        <is>
          <t>Phakopsora pachyrhizi / Colletotrichum truncatum</t>
        </is>
      </c>
      <c r="H1662" s="13" t="inlineStr">
        <is>
          <t>SIM (*)</t>
        </is>
      </c>
      <c r="I1662" s="18" t="n">
        <v>0.4</v>
      </c>
      <c r="J1662" s="15" t="n">
        <v>1</v>
      </c>
      <c r="K1662" s="13" t="inlineStr">
        <is>
          <t>L ou kg/ha</t>
        </is>
      </c>
      <c r="L1662" s="15" t="n">
        <v>2</v>
      </c>
      <c r="M1662" s="13" t="inlineStr">
        <is>
          <t>Aplicar preventivamente conforme monitoramento (FRAC Grupo 7 (C2 — SDHI))</t>
        </is>
      </c>
    </row>
    <row r="1663" ht="22" customHeight="1">
      <c r="A1663" s="6" t="inlineStr">
        <is>
          <t>ALV-1659</t>
        </is>
      </c>
      <c r="B1663" s="5" t="n">
        <v>864</v>
      </c>
      <c r="C1663" s="7" t="inlineStr">
        <is>
          <t>VINC-16424</t>
        </is>
      </c>
      <c r="D1663" s="8" t="inlineStr">
        <is>
          <t>Boscalid Técnico Oxon</t>
        </is>
      </c>
      <c r="E1663" s="7" t="inlineStr">
        <is>
          <t>Insumo Industrial</t>
        </is>
      </c>
      <c r="F1663" s="7" t="inlineStr">
        <is>
          <t>Matéria-prima para Formulação Industrial</t>
        </is>
      </c>
      <c r="G1663" s="7" t="inlineStr">
        <is>
          <t>Uso Industrial Credenciado MAPA</t>
        </is>
      </c>
      <c r="H1663" s="7" t="inlineStr">
        <is>
          <t>NÃO</t>
        </is>
      </c>
      <c r="I1663" s="9" t="n">
        <v>0</v>
      </c>
      <c r="J1663" s="9" t="n">
        <v>0</v>
      </c>
      <c r="K1663" s="7" t="inlineStr">
        <is>
          <t>KG</t>
        </is>
      </c>
      <c r="L1663" s="9" t="n">
        <v>1</v>
      </c>
      <c r="M1663" s="7" t="inlineStr">
        <is>
          <t>Uso restrito a estabelecimentos formuladores registrados</t>
        </is>
      </c>
    </row>
    <row r="1664" ht="22" customHeight="1">
      <c r="A1664" s="12" t="inlineStr">
        <is>
          <t>ALV-1660</t>
        </is>
      </c>
      <c r="B1664" s="11" t="n">
        <v>865</v>
      </c>
      <c r="C1664" s="13" t="inlineStr">
        <is>
          <t>Nº 16524</t>
        </is>
      </c>
      <c r="D1664" s="14" t="inlineStr">
        <is>
          <t>ALLURE BR</t>
        </is>
      </c>
      <c r="E1664" s="13" t="inlineStr">
        <is>
          <t>Herbicida</t>
        </is>
      </c>
      <c r="F1664" s="13" t="inlineStr">
        <is>
          <t>Buva</t>
        </is>
      </c>
      <c r="G1664" s="13" t="inlineStr">
        <is>
          <t>Conyza bonariensis</t>
        </is>
      </c>
      <c r="H1664" s="13" t="inlineStr">
        <is>
          <t>SIM (*)</t>
        </is>
      </c>
      <c r="I1664" s="18" t="n">
        <v>0.5</v>
      </c>
      <c r="J1664" s="15" t="n">
        <v>2</v>
      </c>
      <c r="K1664" s="13" t="inlineStr">
        <is>
          <t>L ou kg/ha</t>
        </is>
      </c>
      <c r="L1664" s="15" t="n">
        <v>1</v>
      </c>
      <c r="M1664" s="13" t="inlineStr">
        <is>
          <t>Aplicar em pré ou pós-emergência conforme bula (HRAC Grupo C2 (5) — Inibidores do Fotossistema II + HRAC Grupo F4 (13) — Inibidores da DOXP sintase + HRAC Grupo C1 (5) — Inibidores do Fotossistema II)</t>
        </is>
      </c>
    </row>
    <row r="1665" ht="22" customHeight="1">
      <c r="A1665" s="6" t="inlineStr">
        <is>
          <t>ALV-1661</t>
        </is>
      </c>
      <c r="B1665" s="5" t="n">
        <v>865</v>
      </c>
      <c r="C1665" s="7" t="inlineStr">
        <is>
          <t>Nº 16524</t>
        </is>
      </c>
      <c r="D1665" s="8" t="inlineStr">
        <is>
          <t>ALLURE BR</t>
        </is>
      </c>
      <c r="E1665" s="7" t="inlineStr">
        <is>
          <t>Herbicida</t>
        </is>
      </c>
      <c r="F1665" s="7" t="inlineStr">
        <is>
          <t>Capim-amargoso</t>
        </is>
      </c>
      <c r="G1665" s="7" t="inlineStr">
        <is>
          <t>Digitaria insularis</t>
        </is>
      </c>
      <c r="H1665" s="7" t="inlineStr">
        <is>
          <t>SIM (*)</t>
        </is>
      </c>
      <c r="I1665" s="9" t="n">
        <v>1</v>
      </c>
      <c r="J1665" s="17" t="n">
        <v>2.5</v>
      </c>
      <c r="K1665" s="7" t="inlineStr">
        <is>
          <t>L ou kg/ha</t>
        </is>
      </c>
      <c r="L1665" s="9" t="n">
        <v>1</v>
      </c>
      <c r="M1665" s="7" t="inlineStr">
        <is>
          <t>Aplicar em pré ou pós-emergência conforme bula (HRAC Grupo C2 (5) — Inibidores do Fotossistema II + HRAC Grupo F4 (13) — Inibidores da DOXP sintase + HRAC Grupo C1 (5) — Inibidores do Fotossistema II)</t>
        </is>
      </c>
    </row>
    <row r="1666" ht="22" customHeight="1">
      <c r="A1666" s="12" t="inlineStr">
        <is>
          <t>ALV-1662</t>
        </is>
      </c>
      <c r="B1666" s="11" t="n">
        <v>865</v>
      </c>
      <c r="C1666" s="13" t="inlineStr">
        <is>
          <t>Nº 16524</t>
        </is>
      </c>
      <c r="D1666" s="14" t="inlineStr">
        <is>
          <t>ALLURE BR</t>
        </is>
      </c>
      <c r="E1666" s="13" t="inlineStr">
        <is>
          <t>Herbicida</t>
        </is>
      </c>
      <c r="F1666" s="13" t="inlineStr">
        <is>
          <t>Corda-de-viola / Caruru</t>
        </is>
      </c>
      <c r="G1666" s="13" t="inlineStr">
        <is>
          <t>Ipomoea grandifolia / Amaranthus spp.</t>
        </is>
      </c>
      <c r="H1666" s="13" t="inlineStr">
        <is>
          <t>NÃO</t>
        </is>
      </c>
      <c r="I1666" s="18" t="n">
        <v>0.5</v>
      </c>
      <c r="J1666" s="15" t="n">
        <v>2</v>
      </c>
      <c r="K1666" s="13" t="inlineStr">
        <is>
          <t>L ou kg/ha</t>
        </is>
      </c>
      <c r="L1666" s="15" t="n">
        <v>1</v>
      </c>
      <c r="M1666" s="13" t="inlineStr">
        <is>
          <t>Aplicar em pré ou pós-emergência conforme bula (HRAC Grupo C2 (5) — Inibidores do Fotossistema II + HRAC Grupo F4 (13) — Inibidores da DOXP sintase + HRAC Grupo C1 (5) — Inibidores do Fotossistema II)</t>
        </is>
      </c>
    </row>
    <row r="1667" ht="22" customHeight="1">
      <c r="A1667" s="6" t="inlineStr">
        <is>
          <t>ALV-1663</t>
        </is>
      </c>
      <c r="B1667" s="5" t="n">
        <v>866</v>
      </c>
      <c r="C1667" s="7" t="inlineStr">
        <is>
          <t>VINC-16524</t>
        </is>
      </c>
      <c r="D1667" s="8" t="inlineStr">
        <is>
          <t>Clomazone Técnico Milenia</t>
        </is>
      </c>
      <c r="E1667" s="7" t="inlineStr">
        <is>
          <t>Insumo Industrial</t>
        </is>
      </c>
      <c r="F1667" s="7" t="inlineStr">
        <is>
          <t>Matéria-prima para Formulação Industrial</t>
        </is>
      </c>
      <c r="G1667" s="7" t="inlineStr">
        <is>
          <t>Uso Industrial Credenciado MAPA</t>
        </is>
      </c>
      <c r="H1667" s="7" t="inlineStr">
        <is>
          <t>NÃO</t>
        </is>
      </c>
      <c r="I1667" s="9" t="n">
        <v>0</v>
      </c>
      <c r="J1667" s="9" t="n">
        <v>0</v>
      </c>
      <c r="K1667" s="7" t="inlineStr">
        <is>
          <t>KG</t>
        </is>
      </c>
      <c r="L1667" s="9" t="n">
        <v>1</v>
      </c>
      <c r="M1667" s="7" t="inlineStr">
        <is>
          <t>Uso restrito a estabelecimentos formuladores registrados</t>
        </is>
      </c>
    </row>
    <row r="1668" ht="22" customHeight="1">
      <c r="A1668" s="12" t="inlineStr">
        <is>
          <t>ALV-1664</t>
        </is>
      </c>
      <c r="B1668" s="11" t="n">
        <v>867</v>
      </c>
      <c r="C1668" s="13" t="inlineStr">
        <is>
          <t>VINC-16524</t>
        </is>
      </c>
      <c r="D1668" s="14" t="inlineStr">
        <is>
          <t>Diuron Técnico 970 BR</t>
        </is>
      </c>
      <c r="E1668" s="13" t="inlineStr">
        <is>
          <t>Insumo Industrial</t>
        </is>
      </c>
      <c r="F1668" s="13" t="inlineStr">
        <is>
          <t>Matéria-prima para Formulação Industrial</t>
        </is>
      </c>
      <c r="G1668" s="13" t="inlineStr">
        <is>
          <t>Uso Industrial Credenciado MAPA</t>
        </is>
      </c>
      <c r="H1668" s="13" t="inlineStr">
        <is>
          <t>NÃO</t>
        </is>
      </c>
      <c r="I1668" s="15" t="n">
        <v>0</v>
      </c>
      <c r="J1668" s="15" t="n">
        <v>0</v>
      </c>
      <c r="K1668" s="13" t="inlineStr">
        <is>
          <t>KG</t>
        </is>
      </c>
      <c r="L1668" s="15" t="n">
        <v>1</v>
      </c>
      <c r="M1668" s="13" t="inlineStr">
        <is>
          <t>Uso restrito a estabelecimentos formuladores registrados</t>
        </is>
      </c>
    </row>
    <row r="1669" ht="22" customHeight="1">
      <c r="A1669" s="6" t="inlineStr">
        <is>
          <t>ALV-1665</t>
        </is>
      </c>
      <c r="B1669" s="5" t="n">
        <v>868</v>
      </c>
      <c r="C1669" s="7" t="inlineStr">
        <is>
          <t>VINC-16524</t>
        </is>
      </c>
      <c r="D1669" s="8" t="inlineStr">
        <is>
          <t>Hexazinona Técnico Milenia</t>
        </is>
      </c>
      <c r="E1669" s="7" t="inlineStr">
        <is>
          <t>Insumo Industrial</t>
        </is>
      </c>
      <c r="F1669" s="7" t="inlineStr">
        <is>
          <t>Matéria-prima para Formulação Industrial</t>
        </is>
      </c>
      <c r="G1669" s="7" t="inlineStr">
        <is>
          <t>Uso Industrial Credenciado MAPA</t>
        </is>
      </c>
      <c r="H1669" s="7" t="inlineStr">
        <is>
          <t>NÃO</t>
        </is>
      </c>
      <c r="I1669" s="9" t="n">
        <v>0</v>
      </c>
      <c r="J1669" s="9" t="n">
        <v>0</v>
      </c>
      <c r="K1669" s="7" t="inlineStr">
        <is>
          <t>KG</t>
        </is>
      </c>
      <c r="L1669" s="9" t="n">
        <v>1</v>
      </c>
      <c r="M1669" s="7" t="inlineStr">
        <is>
          <t>Uso restrito a estabelecimentos formuladores registrados</t>
        </is>
      </c>
    </row>
    <row r="1670" ht="22" customHeight="1">
      <c r="A1670" s="12" t="inlineStr">
        <is>
          <t>ALV-1666</t>
        </is>
      </c>
      <c r="B1670" s="11" t="n">
        <v>869</v>
      </c>
      <c r="C1670" s="13" t="inlineStr">
        <is>
          <t>VINC-16524</t>
        </is>
      </c>
      <c r="D1670" s="14" t="inlineStr">
        <is>
          <t>Hexazinona Técnico Milenia BR</t>
        </is>
      </c>
      <c r="E1670" s="13" t="inlineStr">
        <is>
          <t>Insumo Industrial</t>
        </is>
      </c>
      <c r="F1670" s="13" t="inlineStr">
        <is>
          <t>Matéria-prima para Formulação Industrial</t>
        </is>
      </c>
      <c r="G1670" s="13" t="inlineStr">
        <is>
          <t>Uso Industrial Credenciado MAPA</t>
        </is>
      </c>
      <c r="H1670" s="13" t="inlineStr">
        <is>
          <t>NÃO</t>
        </is>
      </c>
      <c r="I1670" s="15" t="n">
        <v>0</v>
      </c>
      <c r="J1670" s="15" t="n">
        <v>0</v>
      </c>
      <c r="K1670" s="13" t="inlineStr">
        <is>
          <t>KG</t>
        </is>
      </c>
      <c r="L1670" s="15" t="n">
        <v>1</v>
      </c>
      <c r="M1670" s="13" t="inlineStr">
        <is>
          <t>Uso restrito a estabelecimentos formuladores registrados</t>
        </is>
      </c>
    </row>
    <row r="1671" ht="22" customHeight="1">
      <c r="A1671" s="6" t="inlineStr">
        <is>
          <t>ALV-1667</t>
        </is>
      </c>
      <c r="B1671" s="5" t="n">
        <v>870</v>
      </c>
      <c r="C1671" s="7" t="inlineStr">
        <is>
          <t>VINC-16524</t>
        </is>
      </c>
      <c r="D1671" s="8" t="inlineStr">
        <is>
          <t>Hexazinona Técnico Adama BR</t>
        </is>
      </c>
      <c r="E1671" s="7" t="inlineStr">
        <is>
          <t>Insumo Industrial</t>
        </is>
      </c>
      <c r="F1671" s="7" t="inlineStr">
        <is>
          <t>Matéria-prima para Formulação Industrial</t>
        </is>
      </c>
      <c r="G1671" s="7" t="inlineStr">
        <is>
          <t>Uso Industrial Credenciado MAPA</t>
        </is>
      </c>
      <c r="H1671" s="7" t="inlineStr">
        <is>
          <t>NÃO</t>
        </is>
      </c>
      <c r="I1671" s="9" t="n">
        <v>0</v>
      </c>
      <c r="J1671" s="9" t="n">
        <v>0</v>
      </c>
      <c r="K1671" s="7" t="inlineStr">
        <is>
          <t>KG</t>
        </is>
      </c>
      <c r="L1671" s="9" t="n">
        <v>1</v>
      </c>
      <c r="M1671" s="7" t="inlineStr">
        <is>
          <t>Uso restrito a estabelecimentos formuladores registrados</t>
        </is>
      </c>
    </row>
    <row r="1672" ht="22" customHeight="1">
      <c r="A1672" s="12" t="inlineStr">
        <is>
          <t>ALV-1668</t>
        </is>
      </c>
      <c r="B1672" s="11" t="n">
        <v>871</v>
      </c>
      <c r="C1672" s="13" t="inlineStr">
        <is>
          <t>Nº 16624</t>
        </is>
      </c>
      <c r="D1672" s="14" t="inlineStr">
        <is>
          <t>TIOFANIL SNB</t>
        </is>
      </c>
      <c r="E1672" s="13" t="inlineStr">
        <is>
          <t>Fungicida</t>
        </is>
      </c>
      <c r="F1672" s="13" t="inlineStr">
        <is>
          <t>Ferrugem-asiática</t>
        </is>
      </c>
      <c r="G1672" s="13" t="inlineStr">
        <is>
          <t>Phakopsora pachyrhizi</t>
        </is>
      </c>
      <c r="H1672" s="13" t="inlineStr">
        <is>
          <t>NÃO</t>
        </is>
      </c>
      <c r="I1672" s="18" t="n">
        <v>1.5</v>
      </c>
      <c r="J1672" s="15" t="n">
        <v>2</v>
      </c>
      <c r="K1672" s="13" t="inlineStr">
        <is>
          <t>L ou kg/ha</t>
        </is>
      </c>
      <c r="L1672" s="15" t="n">
        <v>1</v>
      </c>
      <c r="M1672" s="13" t="inlineStr">
        <is>
          <t>Aplicar conforme monitoramento e estádio recomendado na bula (FRAC Grupo M05 — Multissítio)</t>
        </is>
      </c>
    </row>
    <row r="1673" ht="22" customHeight="1">
      <c r="A1673" s="6" t="inlineStr">
        <is>
          <t>ALV-1669</t>
        </is>
      </c>
      <c r="B1673" s="5" t="n">
        <v>871</v>
      </c>
      <c r="C1673" s="7" t="inlineStr">
        <is>
          <t>Nº 16624</t>
        </is>
      </c>
      <c r="D1673" s="8" t="inlineStr">
        <is>
          <t>TIOFANIL SNB</t>
        </is>
      </c>
      <c r="E1673" s="7" t="inlineStr">
        <is>
          <t>Fungicida</t>
        </is>
      </c>
      <c r="F1673" s="7" t="inlineStr">
        <is>
          <t>Mancha-alvo</t>
        </is>
      </c>
      <c r="G1673" s="7" t="inlineStr">
        <is>
          <t>Corynespora cassiicola</t>
        </is>
      </c>
      <c r="H1673" s="7" t="inlineStr">
        <is>
          <t>NÃO</t>
        </is>
      </c>
      <c r="I1673" s="17" t="n">
        <v>1.5</v>
      </c>
      <c r="J1673" s="17" t="n">
        <v>2.5</v>
      </c>
      <c r="K1673" s="7" t="inlineStr">
        <is>
          <t>L ou kg/ha</t>
        </is>
      </c>
      <c r="L1673" s="9" t="n">
        <v>1</v>
      </c>
      <c r="M1673" s="7" t="inlineStr">
        <is>
          <t>Aplicar conforme monitoramento e estádio recomendado na bula (FRAC Grupo M05 — Multissítio)</t>
        </is>
      </c>
    </row>
    <row r="1674" ht="22" customHeight="1">
      <c r="A1674" s="12" t="inlineStr">
        <is>
          <t>ALV-1670</t>
        </is>
      </c>
      <c r="B1674" s="11" t="n">
        <v>871</v>
      </c>
      <c r="C1674" s="13" t="inlineStr">
        <is>
          <t>Nº 16624</t>
        </is>
      </c>
      <c r="D1674" s="14" t="inlineStr">
        <is>
          <t>TIOFANIL SNB</t>
        </is>
      </c>
      <c r="E1674" s="13" t="inlineStr">
        <is>
          <t>Fungicida</t>
        </is>
      </c>
      <c r="F1674" s="13" t="inlineStr">
        <is>
          <t>Cercosporiose</t>
        </is>
      </c>
      <c r="G1674" s="13" t="inlineStr">
        <is>
          <t>Cercospora kikuchii</t>
        </is>
      </c>
      <c r="H1674" s="13" t="inlineStr">
        <is>
          <t>NÃO</t>
        </is>
      </c>
      <c r="I1674" s="18" t="n">
        <v>1.5</v>
      </c>
      <c r="J1674" s="15" t="n">
        <v>2</v>
      </c>
      <c r="K1674" s="13" t="inlineStr">
        <is>
          <t>L ou kg/ha</t>
        </is>
      </c>
      <c r="L1674" s="15" t="n">
        <v>1</v>
      </c>
      <c r="M1674" s="13" t="inlineStr">
        <is>
          <t>Aplicar conforme monitoramento e estádio recomendado na bula (FRAC Grupo M05 — Multissítio)</t>
        </is>
      </c>
    </row>
    <row r="1675" ht="22" customHeight="1">
      <c r="A1675" s="6" t="inlineStr">
        <is>
          <t>ALV-1671</t>
        </is>
      </c>
      <c r="B1675" s="5" t="n">
        <v>872</v>
      </c>
      <c r="C1675" s="7" t="inlineStr">
        <is>
          <t>VINC-16624</t>
        </is>
      </c>
      <c r="D1675" s="8" t="inlineStr">
        <is>
          <t>Clorotalonil Técnico Oxon</t>
        </is>
      </c>
      <c r="E1675" s="7" t="inlineStr">
        <is>
          <t>Insumo Industrial</t>
        </is>
      </c>
      <c r="F1675" s="7" t="inlineStr">
        <is>
          <t>Matéria-prima para Formulação Industrial</t>
        </is>
      </c>
      <c r="G1675" s="7" t="inlineStr">
        <is>
          <t>Uso Industrial Credenciado MAPA</t>
        </is>
      </c>
      <c r="H1675" s="7" t="inlineStr">
        <is>
          <t>NÃO</t>
        </is>
      </c>
      <c r="I1675" s="9" t="n">
        <v>0</v>
      </c>
      <c r="J1675" s="9" t="n">
        <v>0</v>
      </c>
      <c r="K1675" s="7" t="inlineStr">
        <is>
          <t>KG</t>
        </is>
      </c>
      <c r="L1675" s="9" t="n">
        <v>1</v>
      </c>
      <c r="M1675" s="7" t="inlineStr">
        <is>
          <t>Uso restrito a estabelecimentos formuladores registrados</t>
        </is>
      </c>
    </row>
    <row r="1676" ht="22" customHeight="1">
      <c r="A1676" s="12" t="inlineStr">
        <is>
          <t>ALV-1672</t>
        </is>
      </c>
      <c r="B1676" s="11" t="n">
        <v>873</v>
      </c>
      <c r="C1676" s="13" t="inlineStr">
        <is>
          <t>Nº 16724</t>
        </is>
      </c>
      <c r="D1676" s="14" t="inlineStr">
        <is>
          <t>FLUAZINAM LOVELAND</t>
        </is>
      </c>
      <c r="E1676" s="13" t="inlineStr">
        <is>
          <t>Fungicida</t>
        </is>
      </c>
      <c r="F1676" s="13" t="inlineStr">
        <is>
          <t>Mancha-alvo</t>
        </is>
      </c>
      <c r="G1676" s="13" t="inlineStr">
        <is>
          <t>Corynespora cassiicola</t>
        </is>
      </c>
      <c r="H1676" s="13" t="inlineStr">
        <is>
          <t>SIM (*)</t>
        </is>
      </c>
      <c r="I1676" s="18" t="n">
        <v>0.4</v>
      </c>
      <c r="J1676" s="15" t="n">
        <v>1</v>
      </c>
      <c r="K1676" s="13" t="inlineStr">
        <is>
          <t>L ou kg/ha</t>
        </is>
      </c>
      <c r="L1676" s="15" t="n">
        <v>2</v>
      </c>
      <c r="M1676" s="13" t="inlineStr">
        <is>
          <t>Aplicar preventivamente conforme monitoramento (FRAC Grupo 29)</t>
        </is>
      </c>
    </row>
    <row r="1677" ht="22" customHeight="1">
      <c r="A1677" s="6" t="inlineStr">
        <is>
          <t>ALV-1673</t>
        </is>
      </c>
      <c r="B1677" s="5" t="n">
        <v>873</v>
      </c>
      <c r="C1677" s="7" t="inlineStr">
        <is>
          <t>Nº 16724</t>
        </is>
      </c>
      <c r="D1677" s="8" t="inlineStr">
        <is>
          <t>FLUAZINAM LOVELAND</t>
        </is>
      </c>
      <c r="E1677" s="7" t="inlineStr">
        <is>
          <t>Fungicida</t>
        </is>
      </c>
      <c r="F1677" s="7" t="inlineStr">
        <is>
          <t>Ferrugem-asiática / Antracnose</t>
        </is>
      </c>
      <c r="G1677" s="7" t="inlineStr">
        <is>
          <t>Phakopsora pachyrhizi / Colletotrichum truncatum</t>
        </is>
      </c>
      <c r="H1677" s="7" t="inlineStr">
        <is>
          <t>SIM (*)</t>
        </is>
      </c>
      <c r="I1677" s="17" t="n">
        <v>0.4</v>
      </c>
      <c r="J1677" s="9" t="n">
        <v>1</v>
      </c>
      <c r="K1677" s="7" t="inlineStr">
        <is>
          <t>L ou kg/ha</t>
        </is>
      </c>
      <c r="L1677" s="9" t="n">
        <v>2</v>
      </c>
      <c r="M1677" s="7" t="inlineStr">
        <is>
          <t>Aplicar preventivamente conforme monitoramento (FRAC Grupo 29)</t>
        </is>
      </c>
    </row>
    <row r="1678" ht="22" customHeight="1">
      <c r="A1678" s="12" t="inlineStr">
        <is>
          <t>ALV-1674</t>
        </is>
      </c>
      <c r="B1678" s="11" t="n">
        <v>874</v>
      </c>
      <c r="C1678" s="13" t="inlineStr">
        <is>
          <t>VINC-16724</t>
        </is>
      </c>
      <c r="D1678" s="14" t="inlineStr">
        <is>
          <t>Fluazinam Técnico Loveland</t>
        </is>
      </c>
      <c r="E1678" s="13" t="inlineStr">
        <is>
          <t>Insumo Industrial</t>
        </is>
      </c>
      <c r="F1678" s="13" t="inlineStr">
        <is>
          <t>Matéria-prima para Formulação Industrial</t>
        </is>
      </c>
      <c r="G1678" s="13" t="inlineStr">
        <is>
          <t>Uso Industrial Credenciado MAPA</t>
        </is>
      </c>
      <c r="H1678" s="13" t="inlineStr">
        <is>
          <t>NÃO</t>
        </is>
      </c>
      <c r="I1678" s="15" t="n">
        <v>0</v>
      </c>
      <c r="J1678" s="15" t="n">
        <v>0</v>
      </c>
      <c r="K1678" s="13" t="inlineStr">
        <is>
          <t>KG</t>
        </is>
      </c>
      <c r="L1678" s="15" t="n">
        <v>1</v>
      </c>
      <c r="M1678" s="13" t="inlineStr">
        <is>
          <t>Uso restrito a estabelecimentos formuladores registrados</t>
        </is>
      </c>
    </row>
    <row r="1679" ht="22" customHeight="1">
      <c r="A1679" s="6" t="inlineStr">
        <is>
          <t>ALV-1675</t>
        </is>
      </c>
      <c r="B1679" s="5" t="n">
        <v>875</v>
      </c>
      <c r="C1679" s="7" t="inlineStr">
        <is>
          <t>Nº 16824</t>
        </is>
      </c>
      <c r="D1679" s="8" t="inlineStr">
        <is>
          <t>TROIA 750 WG</t>
        </is>
      </c>
      <c r="E1679" s="7" t="inlineStr">
        <is>
          <t>Fungicida</t>
        </is>
      </c>
      <c r="F1679" s="7" t="inlineStr">
        <is>
          <t>Ferrugem-asiática</t>
        </is>
      </c>
      <c r="G1679" s="7" t="inlineStr">
        <is>
          <t>Phakopsora pachyrhizi</t>
        </is>
      </c>
      <c r="H1679" s="7" t="inlineStr">
        <is>
          <t>NÃO</t>
        </is>
      </c>
      <c r="I1679" s="17" t="n">
        <v>1.5</v>
      </c>
      <c r="J1679" s="17" t="n">
        <v>2.5</v>
      </c>
      <c r="K1679" s="7" t="inlineStr">
        <is>
          <t>kg/ha</t>
        </is>
      </c>
      <c r="L1679" s="9" t="n">
        <v>1</v>
      </c>
      <c r="M1679" s="7" t="inlineStr">
        <is>
          <t>Aplicar conforme monitoramento e estádio recomendado na bula (FRAC Grupo M03 — Multissítio)</t>
        </is>
      </c>
    </row>
    <row r="1680" ht="22" customHeight="1">
      <c r="A1680" s="12" t="inlineStr">
        <is>
          <t>ALV-1676</t>
        </is>
      </c>
      <c r="B1680" s="11" t="n">
        <v>875</v>
      </c>
      <c r="C1680" s="13" t="inlineStr">
        <is>
          <t>Nº 16824</t>
        </is>
      </c>
      <c r="D1680" s="14" t="inlineStr">
        <is>
          <t>TROIA 750 WG</t>
        </is>
      </c>
      <c r="E1680" s="13" t="inlineStr">
        <is>
          <t>Fungicida</t>
        </is>
      </c>
      <c r="F1680" s="13" t="inlineStr">
        <is>
          <t>Mancha-alvo</t>
        </is>
      </c>
      <c r="G1680" s="13" t="inlineStr">
        <is>
          <t>Corynespora cassiicola</t>
        </is>
      </c>
      <c r="H1680" s="13" t="inlineStr">
        <is>
          <t>NÃO</t>
        </is>
      </c>
      <c r="I1680" s="18" t="n">
        <v>1.5</v>
      </c>
      <c r="J1680" s="18" t="n">
        <v>2.5</v>
      </c>
      <c r="K1680" s="13" t="inlineStr">
        <is>
          <t>kg/ha</t>
        </is>
      </c>
      <c r="L1680" s="15" t="n">
        <v>1</v>
      </c>
      <c r="M1680" s="13" t="inlineStr">
        <is>
          <t>Aplicar conforme monitoramento e estádio recomendado na bula (FRAC Grupo M03 — Multissítio)</t>
        </is>
      </c>
    </row>
    <row r="1681" ht="22" customHeight="1">
      <c r="A1681" s="6" t="inlineStr">
        <is>
          <t>ALV-1677</t>
        </is>
      </c>
      <c r="B1681" s="5" t="n">
        <v>875</v>
      </c>
      <c r="C1681" s="7" t="inlineStr">
        <is>
          <t>Nº 16824</t>
        </is>
      </c>
      <c r="D1681" s="8" t="inlineStr">
        <is>
          <t>TROIA 750 WG</t>
        </is>
      </c>
      <c r="E1681" s="7" t="inlineStr">
        <is>
          <t>Fungicida</t>
        </is>
      </c>
      <c r="F1681" s="7" t="inlineStr">
        <is>
          <t>Pinta-preta</t>
        </is>
      </c>
      <c r="G1681" s="7" t="inlineStr">
        <is>
          <t>Alternaria solani</t>
        </is>
      </c>
      <c r="H1681" s="7" t="inlineStr">
        <is>
          <t>NÃO</t>
        </is>
      </c>
      <c r="I1681" s="9" t="n">
        <v>2</v>
      </c>
      <c r="J1681" s="9" t="n">
        <v>3</v>
      </c>
      <c r="K1681" s="7" t="inlineStr">
        <is>
          <t>kg/ha</t>
        </is>
      </c>
      <c r="L1681" s="9" t="n">
        <v>1</v>
      </c>
      <c r="M1681" s="7" t="inlineStr">
        <is>
          <t>Aplicar conforme monitoramento e estádio recomendado na bula (FRAC Grupo M03 — Multissítio)</t>
        </is>
      </c>
    </row>
    <row r="1682" ht="22" customHeight="1">
      <c r="A1682" s="12" t="inlineStr">
        <is>
          <t>ALV-1678</t>
        </is>
      </c>
      <c r="B1682" s="11" t="n">
        <v>876</v>
      </c>
      <c r="C1682" s="13" t="inlineStr">
        <is>
          <t>VINC-16824</t>
        </is>
      </c>
      <c r="D1682" s="14" t="inlineStr">
        <is>
          <t>Mancozeb Técnico Sumitomo</t>
        </is>
      </c>
      <c r="E1682" s="13" t="inlineStr">
        <is>
          <t>Insumo Industrial</t>
        </is>
      </c>
      <c r="F1682" s="13" t="inlineStr">
        <is>
          <t>Matéria-prima para Formulação Industrial</t>
        </is>
      </c>
      <c r="G1682" s="13" t="inlineStr">
        <is>
          <t>Uso Industrial Credenciado MAPA</t>
        </is>
      </c>
      <c r="H1682" s="13" t="inlineStr">
        <is>
          <t>NÃO</t>
        </is>
      </c>
      <c r="I1682" s="15" t="n">
        <v>0</v>
      </c>
      <c r="J1682" s="15" t="n">
        <v>0</v>
      </c>
      <c r="K1682" s="13" t="inlineStr">
        <is>
          <t>KG</t>
        </is>
      </c>
      <c r="L1682" s="15" t="n">
        <v>1</v>
      </c>
      <c r="M1682" s="13" t="inlineStr">
        <is>
          <t>Uso restrito a estabelecimentos formuladores registrados</t>
        </is>
      </c>
    </row>
    <row r="1683" ht="22" customHeight="1">
      <c r="A1683" s="6" t="inlineStr">
        <is>
          <t>ALV-1679</t>
        </is>
      </c>
      <c r="B1683" s="5" t="n">
        <v>877</v>
      </c>
      <c r="C1683" s="7" t="inlineStr">
        <is>
          <t>Nº 16924</t>
        </is>
      </c>
      <c r="D1683" s="8" t="inlineStr">
        <is>
          <t>PRIMEPLUS</t>
        </is>
      </c>
      <c r="E1683" s="7" t="inlineStr">
        <is>
          <t>Regulador de Crescimento</t>
        </is>
      </c>
      <c r="F1683" s="7" t="inlineStr">
        <is>
          <t>Inibição de Brotações Axilares (Ladrões) em Tabaco</t>
        </is>
      </c>
      <c r="G1683" s="7" t="inlineStr">
        <is>
          <t>Nicotiana tabacum (Manejo Fisiológico)</t>
        </is>
      </c>
      <c r="H1683" s="7" t="inlineStr">
        <is>
          <t>NÃO</t>
        </is>
      </c>
      <c r="I1683" s="17" t="n">
        <v>1.5</v>
      </c>
      <c r="J1683" s="17" t="n">
        <v>2.5</v>
      </c>
      <c r="K1683" s="7" t="inlineStr">
        <is>
          <t>L/ha</t>
        </is>
      </c>
      <c r="L1683" s="9" t="n">
        <v>1</v>
      </c>
      <c r="M1683" s="7" t="inlineStr">
        <is>
          <t>Aplicar logo após a capação (desponte floral) dirigindo a calda ao topo do caule</t>
        </is>
      </c>
    </row>
    <row r="1684" ht="22" customHeight="1">
      <c r="A1684" s="12" t="inlineStr">
        <is>
          <t>ALV-1680</t>
        </is>
      </c>
      <c r="B1684" s="11" t="n">
        <v>878</v>
      </c>
      <c r="C1684" s="13" t="inlineStr">
        <is>
          <t>VINC-16924</t>
        </is>
      </c>
      <c r="D1684" s="14" t="inlineStr">
        <is>
          <t>Flumetralin Técnico Syngenta</t>
        </is>
      </c>
      <c r="E1684" s="13" t="inlineStr">
        <is>
          <t>Insumo Industrial</t>
        </is>
      </c>
      <c r="F1684" s="13" t="inlineStr">
        <is>
          <t>Matéria-prima para Formulação Industrial</t>
        </is>
      </c>
      <c r="G1684" s="13" t="inlineStr">
        <is>
          <t>Uso Industrial Credenciado MAPA</t>
        </is>
      </c>
      <c r="H1684" s="13" t="inlineStr">
        <is>
          <t>NÃO</t>
        </is>
      </c>
      <c r="I1684" s="15" t="n">
        <v>0</v>
      </c>
      <c r="J1684" s="15" t="n">
        <v>0</v>
      </c>
      <c r="K1684" s="13" t="inlineStr">
        <is>
          <t>KG</t>
        </is>
      </c>
      <c r="L1684" s="15" t="n">
        <v>1</v>
      </c>
      <c r="M1684" s="13" t="inlineStr">
        <is>
          <t>Uso restrito a estabelecimentos formuladores registrados</t>
        </is>
      </c>
    </row>
    <row r="1685" ht="22" customHeight="1">
      <c r="A1685" s="6" t="inlineStr">
        <is>
          <t>ALV-1681</t>
        </is>
      </c>
      <c r="B1685" s="5" t="n">
        <v>879</v>
      </c>
      <c r="C1685" s="7" t="inlineStr">
        <is>
          <t>Nº 17024</t>
        </is>
      </c>
      <c r="D1685" s="8" t="inlineStr">
        <is>
          <t>GLIFOSATO 720 WG PERTERRA</t>
        </is>
      </c>
      <c r="E1685" s="7" t="inlineStr">
        <is>
          <t>Herbicida</t>
        </is>
      </c>
      <c r="F1685" s="7" t="inlineStr">
        <is>
          <t>Capim-amargoso</t>
        </is>
      </c>
      <c r="G1685" s="7" t="inlineStr">
        <is>
          <t>Digitaria insularis</t>
        </is>
      </c>
      <c r="H1685" s="7" t="inlineStr">
        <is>
          <t>SIM (*)</t>
        </is>
      </c>
      <c r="I1685" s="17" t="n">
        <v>1.5</v>
      </c>
      <c r="J1685" s="17" t="n">
        <v>2.5</v>
      </c>
      <c r="K1685" s="7" t="inlineStr">
        <is>
          <t>kg ou L/ha</t>
        </is>
      </c>
      <c r="L1685" s="9" t="n">
        <v>1</v>
      </c>
      <c r="M1685" s="7" t="inlineStr">
        <is>
          <t>Aplicar conforme monitoramento e estádio recomendado na bula (HRAC Grupo G (EPSPs))</t>
        </is>
      </c>
    </row>
    <row r="1686" ht="22" customHeight="1">
      <c r="A1686" s="12" t="inlineStr">
        <is>
          <t>ALV-1682</t>
        </is>
      </c>
      <c r="B1686" s="11" t="n">
        <v>879</v>
      </c>
      <c r="C1686" s="13" t="inlineStr">
        <is>
          <t>Nº 17024</t>
        </is>
      </c>
      <c r="D1686" s="14" t="inlineStr">
        <is>
          <t>GLIFOSATO 720 WG PERTERRA</t>
        </is>
      </c>
      <c r="E1686" s="13" t="inlineStr">
        <is>
          <t>Herbicida</t>
        </is>
      </c>
      <c r="F1686" s="13" t="inlineStr">
        <is>
          <t>Buva</t>
        </is>
      </c>
      <c r="G1686" s="13" t="inlineStr">
        <is>
          <t>Conyza bonariensis</t>
        </is>
      </c>
      <c r="H1686" s="13" t="inlineStr">
        <is>
          <t>SIM (*)</t>
        </is>
      </c>
      <c r="I1686" s="15" t="n">
        <v>1</v>
      </c>
      <c r="J1686" s="15" t="n">
        <v>2</v>
      </c>
      <c r="K1686" s="13" t="inlineStr">
        <is>
          <t>kg ou L/ha</t>
        </is>
      </c>
      <c r="L1686" s="15" t="n">
        <v>1</v>
      </c>
      <c r="M1686" s="13" t="inlineStr">
        <is>
          <t>Aplicar conforme monitoramento e estádio recomendado na bula (HRAC Grupo G (EPSPs))</t>
        </is>
      </c>
    </row>
    <row r="1687" ht="22" customHeight="1">
      <c r="A1687" s="6" t="inlineStr">
        <is>
          <t>ALV-1683</t>
        </is>
      </c>
      <c r="B1687" s="5" t="n">
        <v>879</v>
      </c>
      <c r="C1687" s="7" t="inlineStr">
        <is>
          <t>Nº 17024</t>
        </is>
      </c>
      <c r="D1687" s="8" t="inlineStr">
        <is>
          <t>GLIFOSATO 720 WG PERTERRA</t>
        </is>
      </c>
      <c r="E1687" s="7" t="inlineStr">
        <is>
          <t>Herbicida</t>
        </is>
      </c>
      <c r="F1687" s="7" t="inlineStr">
        <is>
          <t>Capim-pé-de-galinha</t>
        </is>
      </c>
      <c r="G1687" s="7" t="inlineStr">
        <is>
          <t>Eleusine indica</t>
        </is>
      </c>
      <c r="H1687" s="7" t="inlineStr">
        <is>
          <t>SIM (*)</t>
        </is>
      </c>
      <c r="I1687" s="9" t="n">
        <v>1</v>
      </c>
      <c r="J1687" s="17" t="n">
        <v>1.5</v>
      </c>
      <c r="K1687" s="7" t="inlineStr">
        <is>
          <t>kg ou L/ha</t>
        </is>
      </c>
      <c r="L1687" s="9" t="n">
        <v>1</v>
      </c>
      <c r="M1687" s="7" t="inlineStr">
        <is>
          <t>Aplicar conforme monitoramento e estádio recomendado na bula (HRAC Grupo G (EPSPs))</t>
        </is>
      </c>
    </row>
    <row r="1688" ht="22" customHeight="1">
      <c r="A1688" s="12" t="inlineStr">
        <is>
          <t>ALV-1684</t>
        </is>
      </c>
      <c r="B1688" s="11" t="n">
        <v>879</v>
      </c>
      <c r="C1688" s="13" t="inlineStr">
        <is>
          <t>Nº 17024</t>
        </is>
      </c>
      <c r="D1688" s="14" t="inlineStr">
        <is>
          <t>GLIFOSATO 720 WG PERTERRA</t>
        </is>
      </c>
      <c r="E1688" s="13" t="inlineStr">
        <is>
          <t>Herbicida</t>
        </is>
      </c>
      <c r="F1688" s="13" t="inlineStr">
        <is>
          <t>Trapoeraba</t>
        </is>
      </c>
      <c r="G1688" s="13" t="inlineStr">
        <is>
          <t>Commelina benghalensis</t>
        </is>
      </c>
      <c r="H1688" s="13" t="inlineStr">
        <is>
          <t>NÃO</t>
        </is>
      </c>
      <c r="I1688" s="15" t="n">
        <v>2</v>
      </c>
      <c r="J1688" s="18" t="n">
        <v>3.5</v>
      </c>
      <c r="K1688" s="13" t="inlineStr">
        <is>
          <t>kg ou L/ha</t>
        </is>
      </c>
      <c r="L1688" s="15" t="n">
        <v>1</v>
      </c>
      <c r="M1688" s="13" t="inlineStr">
        <is>
          <t>Aplicar conforme monitoramento e estádio recomendado na bula (HRAC Grupo G (EPSPs))</t>
        </is>
      </c>
    </row>
    <row r="1689" ht="22" customHeight="1">
      <c r="A1689" s="6" t="inlineStr">
        <is>
          <t>ALV-1685</t>
        </is>
      </c>
      <c r="B1689" s="5" t="n">
        <v>880</v>
      </c>
      <c r="C1689" s="7" t="inlineStr">
        <is>
          <t>VINC-17024</t>
        </is>
      </c>
      <c r="D1689" s="8" t="inlineStr">
        <is>
          <t>Glifosato G Técnico Rainbow</t>
        </is>
      </c>
      <c r="E1689" s="7" t="inlineStr">
        <is>
          <t>Insumo Industrial</t>
        </is>
      </c>
      <c r="F1689" s="7" t="inlineStr">
        <is>
          <t>Matéria-prima para Formulação Industrial</t>
        </is>
      </c>
      <c r="G1689" s="7" t="inlineStr">
        <is>
          <t>Uso Industrial Credenciado MAPA</t>
        </is>
      </c>
      <c r="H1689" s="7" t="inlineStr">
        <is>
          <t>NÃO</t>
        </is>
      </c>
      <c r="I1689" s="9" t="n">
        <v>0</v>
      </c>
      <c r="J1689" s="9" t="n">
        <v>0</v>
      </c>
      <c r="K1689" s="7" t="inlineStr">
        <is>
          <t>KG</t>
        </is>
      </c>
      <c r="L1689" s="9" t="n">
        <v>1</v>
      </c>
      <c r="M1689" s="7" t="inlineStr">
        <is>
          <t>Uso restrito a estabelecimentos formuladores registrados</t>
        </is>
      </c>
    </row>
    <row r="1690" ht="22" customHeight="1">
      <c r="A1690" s="12" t="inlineStr">
        <is>
          <t>ALV-1686</t>
        </is>
      </c>
      <c r="B1690" s="11" t="n">
        <v>881</v>
      </c>
      <c r="C1690" s="13" t="inlineStr">
        <is>
          <t>Nº 17124</t>
        </is>
      </c>
      <c r="D1690" s="14" t="inlineStr">
        <is>
          <t>DANTOTSU</t>
        </is>
      </c>
      <c r="E1690" s="13" t="inlineStr">
        <is>
          <t>Inseticida</t>
        </is>
      </c>
      <c r="F1690" s="13" t="inlineStr">
        <is>
          <t>Complexo de Lagartas, Percevejos e Sugadores</t>
        </is>
      </c>
      <c r="G1690" s="13" t="inlineStr">
        <is>
          <t>Spodoptera / Euschistus / Bemisia</t>
        </is>
      </c>
      <c r="H1690" s="13" t="inlineStr">
        <is>
          <t>NÃO</t>
        </is>
      </c>
      <c r="I1690" s="18" t="n">
        <v>0.15</v>
      </c>
      <c r="J1690" s="15" t="n">
        <v>1</v>
      </c>
      <c r="K1690" s="13" t="inlineStr">
        <is>
          <t>L ou kg/ha</t>
        </is>
      </c>
      <c r="L1690" s="15" t="n">
        <v>1</v>
      </c>
      <c r="M1690" s="13" t="inlineStr">
        <is>
          <t>Aplicar conforme monitoramento e estádio recomendado na bula (Classificação IRAC Oficial conforme Bula)</t>
        </is>
      </c>
    </row>
    <row r="1691" ht="22" customHeight="1">
      <c r="A1691" s="6" t="inlineStr">
        <is>
          <t>ALV-1687</t>
        </is>
      </c>
      <c r="B1691" s="5" t="n">
        <v>882</v>
      </c>
      <c r="C1691" s="7" t="inlineStr">
        <is>
          <t>VINC-17124</t>
        </is>
      </c>
      <c r="D1691" s="8" t="inlineStr">
        <is>
          <t>Focus Técnico</t>
        </is>
      </c>
      <c r="E1691" s="7" t="inlineStr">
        <is>
          <t>Insumo Industrial</t>
        </is>
      </c>
      <c r="F1691" s="7" t="inlineStr">
        <is>
          <t>Matéria-prima para Formulação Industrial</t>
        </is>
      </c>
      <c r="G1691" s="7" t="inlineStr">
        <is>
          <t>Uso Industrial Credenciado MAPA</t>
        </is>
      </c>
      <c r="H1691" s="7" t="inlineStr">
        <is>
          <t>NÃO</t>
        </is>
      </c>
      <c r="I1691" s="9" t="n">
        <v>0</v>
      </c>
      <c r="J1691" s="9" t="n">
        <v>0</v>
      </c>
      <c r="K1691" s="7" t="inlineStr">
        <is>
          <t>KG</t>
        </is>
      </c>
      <c r="L1691" s="9" t="n">
        <v>1</v>
      </c>
      <c r="M1691" s="7" t="inlineStr">
        <is>
          <t>Uso restrito a estabelecimentos formuladores registrados</t>
        </is>
      </c>
    </row>
    <row r="1692" ht="22" customHeight="1">
      <c r="A1692" s="12" t="inlineStr">
        <is>
          <t>ALV-1688</t>
        </is>
      </c>
      <c r="B1692" s="11" t="n">
        <v>883</v>
      </c>
      <c r="C1692" s="13" t="inlineStr">
        <is>
          <t>VINC-17124</t>
        </is>
      </c>
      <c r="D1692" s="14" t="inlineStr">
        <is>
          <t>Clothianidin Técnico SCB</t>
        </is>
      </c>
      <c r="E1692" s="13" t="inlineStr">
        <is>
          <t>Insumo Industrial</t>
        </is>
      </c>
      <c r="F1692" s="13" t="inlineStr">
        <is>
          <t>Matéria-prima para Formulação Industrial</t>
        </is>
      </c>
      <c r="G1692" s="13" t="inlineStr">
        <is>
          <t>Uso Industrial Credenciado MAPA</t>
        </is>
      </c>
      <c r="H1692" s="13" t="inlineStr">
        <is>
          <t>NÃO</t>
        </is>
      </c>
      <c r="I1692" s="15" t="n">
        <v>0</v>
      </c>
      <c r="J1692" s="15" t="n">
        <v>0</v>
      </c>
      <c r="K1692" s="13" t="inlineStr">
        <is>
          <t>KG</t>
        </is>
      </c>
      <c r="L1692" s="15" t="n">
        <v>1</v>
      </c>
      <c r="M1692" s="13" t="inlineStr">
        <is>
          <t>Uso restrito a estabelecimentos formuladores registrados</t>
        </is>
      </c>
    </row>
    <row r="1693" ht="22" customHeight="1">
      <c r="A1693" s="6" t="inlineStr">
        <is>
          <t>ALV-1689</t>
        </is>
      </c>
      <c r="B1693" s="5" t="n">
        <v>884</v>
      </c>
      <c r="C1693" s="7" t="inlineStr">
        <is>
          <t>Nº 17224</t>
        </is>
      </c>
      <c r="D1693" s="8" t="inlineStr">
        <is>
          <t>LUMISURE</t>
        </is>
      </c>
      <c r="E1693" s="7" t="inlineStr">
        <is>
          <t>Inseticida Tratamento de Sementes</t>
        </is>
      </c>
      <c r="F1693" s="7" t="inlineStr">
        <is>
          <t>Mosca-branca / Lagarta-do-cartucho</t>
        </is>
      </c>
      <c r="G1693" s="7" t="inlineStr">
        <is>
          <t>Bemisia tabaci raça B / Spodoptera frugiperda</t>
        </is>
      </c>
      <c r="H1693" s="7" t="inlineStr">
        <is>
          <t>SIM (*)</t>
        </is>
      </c>
      <c r="I1693" s="17" t="n">
        <v>0.1</v>
      </c>
      <c r="J1693" s="17" t="n">
        <v>0.5</v>
      </c>
      <c r="K1693" s="7" t="inlineStr">
        <is>
          <t>L ou kg/ha</t>
        </is>
      </c>
      <c r="L1693" s="9" t="n">
        <v>2</v>
      </c>
      <c r="M1693" s="7" t="inlineStr">
        <is>
          <t>Aplicar no início da infestação conforme bula (IRAC Grupo 4A)</t>
        </is>
      </c>
    </row>
    <row r="1694" ht="22" customHeight="1">
      <c r="A1694" s="12" t="inlineStr">
        <is>
          <t>ALV-1690</t>
        </is>
      </c>
      <c r="B1694" s="11" t="n">
        <v>885</v>
      </c>
      <c r="C1694" s="13" t="inlineStr">
        <is>
          <t>Nº 17324</t>
        </is>
      </c>
      <c r="D1694" s="14" t="inlineStr">
        <is>
          <t>ELIOS WG</t>
        </is>
      </c>
      <c r="E1694" s="13" t="inlineStr">
        <is>
          <t>Fungicida</t>
        </is>
      </c>
      <c r="F1694" s="13" t="inlineStr">
        <is>
          <t>Complexo de Doenças Foliares e Ferrugem</t>
        </is>
      </c>
      <c r="G1694" s="13" t="inlineStr">
        <is>
          <t>Phakopsora pachyrhizi / Corynespora</t>
        </is>
      </c>
      <c r="H1694" s="13" t="inlineStr">
        <is>
          <t>NÃO</t>
        </is>
      </c>
      <c r="I1694" s="18" t="n">
        <v>0.3</v>
      </c>
      <c r="J1694" s="18" t="n">
        <v>1.5</v>
      </c>
      <c r="K1694" s="13" t="inlineStr">
        <is>
          <t>L ou kg/ha</t>
        </is>
      </c>
      <c r="L1694" s="15" t="n">
        <v>1</v>
      </c>
      <c r="M1694" s="13" t="inlineStr">
        <is>
          <t>Aplicar conforme monitoramento e estádio recomendado na bula (Classificação FRAC Oficial conforme Bula)</t>
        </is>
      </c>
    </row>
    <row r="1695" ht="22" customHeight="1">
      <c r="A1695" s="6" t="inlineStr">
        <is>
          <t>ALV-1691</t>
        </is>
      </c>
      <c r="B1695" s="5" t="n">
        <v>886</v>
      </c>
      <c r="C1695" s="7" t="inlineStr">
        <is>
          <t>VINC-17324</t>
        </is>
      </c>
      <c r="D1695" s="8" t="inlineStr">
        <is>
          <t>Imidacloprid Tecnico Agroqualita SNB</t>
        </is>
      </c>
      <c r="E1695" s="7" t="inlineStr">
        <is>
          <t>Insumo Industrial</t>
        </is>
      </c>
      <c r="F1695" s="7" t="inlineStr">
        <is>
          <t>Matéria-prima para Formulação Industrial</t>
        </is>
      </c>
      <c r="G1695" s="7" t="inlineStr">
        <is>
          <t>Uso Industrial Credenciado MAPA</t>
        </is>
      </c>
      <c r="H1695" s="7" t="inlineStr">
        <is>
          <t>NÃO</t>
        </is>
      </c>
      <c r="I1695" s="9" t="n">
        <v>0</v>
      </c>
      <c r="J1695" s="9" t="n">
        <v>0</v>
      </c>
      <c r="K1695" s="7" t="inlineStr">
        <is>
          <t>KG</t>
        </is>
      </c>
      <c r="L1695" s="9" t="n">
        <v>1</v>
      </c>
      <c r="M1695" s="7" t="inlineStr">
        <is>
          <t>Uso restrito a estabelecimentos formuladores registrados</t>
        </is>
      </c>
    </row>
    <row r="1696" ht="22" customHeight="1">
      <c r="A1696" s="12" t="inlineStr">
        <is>
          <t>ALV-1692</t>
        </is>
      </c>
      <c r="B1696" s="11" t="n">
        <v>887</v>
      </c>
      <c r="C1696" s="13" t="inlineStr">
        <is>
          <t>Nº 17424</t>
        </is>
      </c>
      <c r="D1696" s="14" t="inlineStr">
        <is>
          <t>CROPSTAR FLEXX</t>
        </is>
      </c>
      <c r="E1696" s="13" t="inlineStr">
        <is>
          <t>Inseticida</t>
        </is>
      </c>
      <c r="F1696" s="13" t="inlineStr">
        <is>
          <t>Complexo de Lagartas, Percevejos e Sugadores</t>
        </is>
      </c>
      <c r="G1696" s="13" t="inlineStr">
        <is>
          <t>Spodoptera / Euschistus / Bemisia</t>
        </is>
      </c>
      <c r="H1696" s="13" t="inlineStr">
        <is>
          <t>NÃO</t>
        </is>
      </c>
      <c r="I1696" s="18" t="n">
        <v>0.15</v>
      </c>
      <c r="J1696" s="15" t="n">
        <v>1</v>
      </c>
      <c r="K1696" s="13" t="inlineStr">
        <is>
          <t>L ou kg/ha</t>
        </is>
      </c>
      <c r="L1696" s="15" t="n">
        <v>1</v>
      </c>
      <c r="M1696" s="13" t="inlineStr">
        <is>
          <t>Aplicar conforme monitoramento e estádio recomendado na bula (Classificação IRAC Oficial conforme Bula)</t>
        </is>
      </c>
    </row>
    <row r="1697" ht="22" customHeight="1">
      <c r="A1697" s="6" t="inlineStr">
        <is>
          <t>ALV-1693</t>
        </is>
      </c>
      <c r="B1697" s="5" t="n">
        <v>888</v>
      </c>
      <c r="C1697" s="7" t="inlineStr">
        <is>
          <t>VINC-17424</t>
        </is>
      </c>
      <c r="D1697" s="8" t="inlineStr">
        <is>
          <t>Premier Técnico</t>
        </is>
      </c>
      <c r="E1697" s="7" t="inlineStr">
        <is>
          <t>Insumo Industrial</t>
        </is>
      </c>
      <c r="F1697" s="7" t="inlineStr">
        <is>
          <t>Matéria-prima para Formulação Industrial</t>
        </is>
      </c>
      <c r="G1697" s="7" t="inlineStr">
        <is>
          <t>Uso Industrial Credenciado MAPA</t>
        </is>
      </c>
      <c r="H1697" s="7" t="inlineStr">
        <is>
          <t>NÃO</t>
        </is>
      </c>
      <c r="I1697" s="9" t="n">
        <v>0</v>
      </c>
      <c r="J1697" s="9" t="n">
        <v>0</v>
      </c>
      <c r="K1697" s="7" t="inlineStr">
        <is>
          <t>KG</t>
        </is>
      </c>
      <c r="L1697" s="9" t="n">
        <v>1</v>
      </c>
      <c r="M1697" s="7" t="inlineStr">
        <is>
          <t>Uso restrito a estabelecimentos formuladores registrados</t>
        </is>
      </c>
    </row>
    <row r="1698" ht="22" customHeight="1">
      <c r="A1698" s="12" t="inlineStr">
        <is>
          <t>ALV-1694</t>
        </is>
      </c>
      <c r="B1698" s="11" t="n">
        <v>889</v>
      </c>
      <c r="C1698" s="13" t="inlineStr">
        <is>
          <t>Nº 17524</t>
        </is>
      </c>
      <c r="D1698" s="14" t="inlineStr">
        <is>
          <t>SUMIRODY</t>
        </is>
      </c>
      <c r="E1698" s="13" t="inlineStr">
        <is>
          <t>Inseticida</t>
        </is>
      </c>
      <c r="F1698" s="13" t="inlineStr">
        <is>
          <t>Complexo de Lagartas, Percevejos e Sugadores</t>
        </is>
      </c>
      <c r="G1698" s="13" t="inlineStr">
        <is>
          <t>Spodoptera / Euschistus / Bemisia</t>
        </is>
      </c>
      <c r="H1698" s="13" t="inlineStr">
        <is>
          <t>NÃO</t>
        </is>
      </c>
      <c r="I1698" s="18" t="n">
        <v>0.15</v>
      </c>
      <c r="J1698" s="15" t="n">
        <v>1</v>
      </c>
      <c r="K1698" s="13" t="inlineStr">
        <is>
          <t>L ou kg/ha</t>
        </is>
      </c>
      <c r="L1698" s="15" t="n">
        <v>1</v>
      </c>
      <c r="M1698" s="13" t="inlineStr">
        <is>
          <t>Aplicar conforme monitoramento e estádio recomendado na bula (Classificação IRAC Oficial conforme Bula)</t>
        </is>
      </c>
    </row>
    <row r="1699" ht="22" customHeight="1">
      <c r="A1699" s="6" t="inlineStr">
        <is>
          <t>ALV-1695</t>
        </is>
      </c>
      <c r="B1699" s="5" t="n">
        <v>890</v>
      </c>
      <c r="C1699" s="7" t="inlineStr">
        <is>
          <t>VINC-17524</t>
        </is>
      </c>
      <c r="D1699" s="8" t="inlineStr">
        <is>
          <t>Danimen Técnico 900</t>
        </is>
      </c>
      <c r="E1699" s="7" t="inlineStr">
        <is>
          <t>Insumo Industrial</t>
        </is>
      </c>
      <c r="F1699" s="7" t="inlineStr">
        <is>
          <t>Matéria-prima para Formulação Industrial</t>
        </is>
      </c>
      <c r="G1699" s="7" t="inlineStr">
        <is>
          <t>Uso Industrial Credenciado MAPA</t>
        </is>
      </c>
      <c r="H1699" s="7" t="inlineStr">
        <is>
          <t>NÃO</t>
        </is>
      </c>
      <c r="I1699" s="9" t="n">
        <v>0</v>
      </c>
      <c r="J1699" s="9" t="n">
        <v>0</v>
      </c>
      <c r="K1699" s="7" t="inlineStr">
        <is>
          <t>KG</t>
        </is>
      </c>
      <c r="L1699" s="9" t="n">
        <v>1</v>
      </c>
      <c r="M1699" s="7" t="inlineStr">
        <is>
          <t>Uso restrito a estabelecimentos formuladores registrados</t>
        </is>
      </c>
    </row>
    <row r="1700" ht="22" customHeight="1">
      <c r="A1700" s="12" t="inlineStr">
        <is>
          <t>ALV-1696</t>
        </is>
      </c>
      <c r="B1700" s="11" t="n">
        <v>891</v>
      </c>
      <c r="C1700" s="13" t="inlineStr">
        <is>
          <t>Nº 17624</t>
        </is>
      </c>
      <c r="D1700" s="14" t="inlineStr">
        <is>
          <t>SONUTRIR</t>
        </is>
      </c>
      <c r="E1700" s="13" t="inlineStr">
        <is>
          <t>Herbicida</t>
        </is>
      </c>
      <c r="F1700" s="13" t="inlineStr">
        <is>
          <t>Buva</t>
        </is>
      </c>
      <c r="G1700" s="13" t="inlineStr">
        <is>
          <t>Conyza bonariensis</t>
        </is>
      </c>
      <c r="H1700" s="13" t="inlineStr">
        <is>
          <t>SIM (*)</t>
        </is>
      </c>
      <c r="I1700" s="18" t="n">
        <v>0.5</v>
      </c>
      <c r="J1700" s="15" t="n">
        <v>2</v>
      </c>
      <c r="K1700" s="13" t="inlineStr">
        <is>
          <t>L ou kg/ha</t>
        </is>
      </c>
      <c r="L1700" s="15" t="n">
        <v>1</v>
      </c>
      <c r="M1700" s="13" t="inlineStr">
        <is>
          <t>Aplicar em pré ou pós-emergência conforme bula (HRAC Grupo F2 (27) — Inibidores da HPPD)</t>
        </is>
      </c>
    </row>
    <row r="1701" ht="22" customHeight="1">
      <c r="A1701" s="6" t="inlineStr">
        <is>
          <t>ALV-1697</t>
        </is>
      </c>
      <c r="B1701" s="5" t="n">
        <v>891</v>
      </c>
      <c r="C1701" s="7" t="inlineStr">
        <is>
          <t>Nº 17624</t>
        </is>
      </c>
      <c r="D1701" s="8" t="inlineStr">
        <is>
          <t>SONUTRIR</t>
        </is>
      </c>
      <c r="E1701" s="7" t="inlineStr">
        <is>
          <t>Herbicida</t>
        </is>
      </c>
      <c r="F1701" s="7" t="inlineStr">
        <is>
          <t>Capim-amargoso</t>
        </is>
      </c>
      <c r="G1701" s="7" t="inlineStr">
        <is>
          <t>Digitaria insularis</t>
        </is>
      </c>
      <c r="H1701" s="7" t="inlineStr">
        <is>
          <t>SIM (*)</t>
        </is>
      </c>
      <c r="I1701" s="9" t="n">
        <v>1</v>
      </c>
      <c r="J1701" s="17" t="n">
        <v>2.5</v>
      </c>
      <c r="K1701" s="7" t="inlineStr">
        <is>
          <t>L ou kg/ha</t>
        </is>
      </c>
      <c r="L1701" s="9" t="n">
        <v>1</v>
      </c>
      <c r="M1701" s="7" t="inlineStr">
        <is>
          <t>Aplicar em pré ou pós-emergência conforme bula (HRAC Grupo F2 (27) — Inibidores da HPPD)</t>
        </is>
      </c>
    </row>
    <row r="1702" ht="22" customHeight="1">
      <c r="A1702" s="12" t="inlineStr">
        <is>
          <t>ALV-1698</t>
        </is>
      </c>
      <c r="B1702" s="11" t="n">
        <v>891</v>
      </c>
      <c r="C1702" s="13" t="inlineStr">
        <is>
          <t>Nº 17624</t>
        </is>
      </c>
      <c r="D1702" s="14" t="inlineStr">
        <is>
          <t>SONUTRIR</t>
        </is>
      </c>
      <c r="E1702" s="13" t="inlineStr">
        <is>
          <t>Herbicida</t>
        </is>
      </c>
      <c r="F1702" s="13" t="inlineStr">
        <is>
          <t>Corda-de-viola / Caruru</t>
        </is>
      </c>
      <c r="G1702" s="13" t="inlineStr">
        <is>
          <t>Ipomoea grandifolia / Amaranthus spp.</t>
        </is>
      </c>
      <c r="H1702" s="13" t="inlineStr">
        <is>
          <t>NÃO</t>
        </is>
      </c>
      <c r="I1702" s="18" t="n">
        <v>0.5</v>
      </c>
      <c r="J1702" s="15" t="n">
        <v>2</v>
      </c>
      <c r="K1702" s="13" t="inlineStr">
        <is>
          <t>L ou kg/ha</t>
        </is>
      </c>
      <c r="L1702" s="15" t="n">
        <v>1</v>
      </c>
      <c r="M1702" s="13" t="inlineStr">
        <is>
          <t>Aplicar em pré ou pós-emergência conforme bula (HRAC Grupo F2 (27) — Inibidores da HPPD)</t>
        </is>
      </c>
    </row>
    <row r="1703" ht="22" customHeight="1">
      <c r="A1703" s="6" t="inlineStr">
        <is>
          <t>ALV-1699</t>
        </is>
      </c>
      <c r="B1703" s="5" t="n">
        <v>892</v>
      </c>
      <c r="C1703" s="7" t="inlineStr">
        <is>
          <t>VINC-17624</t>
        </is>
      </c>
      <c r="D1703" s="8" t="inlineStr">
        <is>
          <t>S-Metolacloro Técnico Rainbow</t>
        </is>
      </c>
      <c r="E1703" s="7" t="inlineStr">
        <is>
          <t>Insumo Industrial</t>
        </is>
      </c>
      <c r="F1703" s="7" t="inlineStr">
        <is>
          <t>Matéria-prima para Formulação Industrial</t>
        </is>
      </c>
      <c r="G1703" s="7" t="inlineStr">
        <is>
          <t>Uso Industrial Credenciado MAPA</t>
        </is>
      </c>
      <c r="H1703" s="7" t="inlineStr">
        <is>
          <t>NÃO</t>
        </is>
      </c>
      <c r="I1703" s="9" t="n">
        <v>0</v>
      </c>
      <c r="J1703" s="9" t="n">
        <v>0</v>
      </c>
      <c r="K1703" s="7" t="inlineStr">
        <is>
          <t>KG</t>
        </is>
      </c>
      <c r="L1703" s="9" t="n">
        <v>1</v>
      </c>
      <c r="M1703" s="7" t="inlineStr">
        <is>
          <t>Uso restrito a estabelecimentos formuladores registrados</t>
        </is>
      </c>
    </row>
    <row r="1704" ht="22" customHeight="1">
      <c r="A1704" s="12" t="inlineStr">
        <is>
          <t>ALV-1700</t>
        </is>
      </c>
      <c r="B1704" s="11" t="n">
        <v>893</v>
      </c>
      <c r="C1704" s="13" t="inlineStr">
        <is>
          <t>Nº 17724</t>
        </is>
      </c>
      <c r="D1704" s="14" t="inlineStr">
        <is>
          <t>TECANOA</t>
        </is>
      </c>
      <c r="E1704" s="13" t="inlineStr">
        <is>
          <t>Herbicida</t>
        </is>
      </c>
      <c r="F1704" s="13" t="inlineStr">
        <is>
          <t>Plantas Daninhas Mono e Dicotiledôneas</t>
        </is>
      </c>
      <c r="G1704" s="13" t="inlineStr">
        <is>
          <t>Flora Infestante</t>
        </is>
      </c>
      <c r="H1704" s="13" t="inlineStr">
        <is>
          <t>NÃO</t>
        </is>
      </c>
      <c r="I1704" s="18" t="n">
        <v>0.25</v>
      </c>
      <c r="J1704" s="15" t="n">
        <v>2</v>
      </c>
      <c r="K1704" s="13" t="inlineStr">
        <is>
          <t>L ou kg/ha</t>
        </is>
      </c>
      <c r="L1704" s="15" t="n">
        <v>1</v>
      </c>
      <c r="M1704" s="13" t="inlineStr">
        <is>
          <t>Aplicar conforme monitoramento e estádio recomendado na bula (Classificação HRAC Oficial conforme Bula)</t>
        </is>
      </c>
    </row>
    <row r="1705" ht="22" customHeight="1">
      <c r="A1705" s="6" t="inlineStr">
        <is>
          <t>ALV-1701</t>
        </is>
      </c>
      <c r="B1705" s="5" t="n">
        <v>894</v>
      </c>
      <c r="C1705" s="7" t="inlineStr">
        <is>
          <t>VINC-17724</t>
        </is>
      </c>
      <c r="D1705" s="8" t="inlineStr">
        <is>
          <t>Tebuthiuron Técnico Rainbow</t>
        </is>
      </c>
      <c r="E1705" s="7" t="inlineStr">
        <is>
          <t>Insumo Industrial</t>
        </is>
      </c>
      <c r="F1705" s="7" t="inlineStr">
        <is>
          <t>Matéria-prima para Formulação Industrial</t>
        </is>
      </c>
      <c r="G1705" s="7" t="inlineStr">
        <is>
          <t>Uso Industrial Credenciado MAPA</t>
        </is>
      </c>
      <c r="H1705" s="7" t="inlineStr">
        <is>
          <t>NÃO</t>
        </is>
      </c>
      <c r="I1705" s="9" t="n">
        <v>0</v>
      </c>
      <c r="J1705" s="9" t="n">
        <v>0</v>
      </c>
      <c r="K1705" s="7" t="inlineStr">
        <is>
          <t>KG</t>
        </is>
      </c>
      <c r="L1705" s="9" t="n">
        <v>1</v>
      </c>
      <c r="M1705" s="7" t="inlineStr">
        <is>
          <t>Uso restrito a estabelecimentos formuladores registrados</t>
        </is>
      </c>
    </row>
    <row r="1706" ht="22" customHeight="1">
      <c r="A1706" s="12" t="inlineStr">
        <is>
          <t>ALV-1702</t>
        </is>
      </c>
      <c r="B1706" s="11" t="n">
        <v>895</v>
      </c>
      <c r="C1706" s="13" t="inlineStr">
        <is>
          <t>Nº 17824</t>
        </is>
      </c>
      <c r="D1706" s="14" t="inlineStr">
        <is>
          <t>NUF150F400</t>
        </is>
      </c>
      <c r="E1706" s="13" t="inlineStr">
        <is>
          <t>Herbicida</t>
        </is>
      </c>
      <c r="F1706" s="13" t="inlineStr">
        <is>
          <t>Plantas Daninhas Mono e Dicotiledôneas</t>
        </is>
      </c>
      <c r="G1706" s="13" t="inlineStr">
        <is>
          <t>Flora Infestante</t>
        </is>
      </c>
      <c r="H1706" s="13" t="inlineStr">
        <is>
          <t>NÃO</t>
        </is>
      </c>
      <c r="I1706" s="18" t="n">
        <v>0.25</v>
      </c>
      <c r="J1706" s="15" t="n">
        <v>2</v>
      </c>
      <c r="K1706" s="13" t="inlineStr">
        <is>
          <t>L ou kg/ha</t>
        </is>
      </c>
      <c r="L1706" s="15" t="n">
        <v>1</v>
      </c>
      <c r="M1706" s="13" t="inlineStr">
        <is>
          <t>Aplicar conforme monitoramento e estádio recomendado na bula (Classificação HRAC Oficial conforme Bula)</t>
        </is>
      </c>
    </row>
    <row r="1707" ht="22" customHeight="1">
      <c r="A1707" s="6" t="inlineStr">
        <is>
          <t>ALV-1703</t>
        </is>
      </c>
      <c r="B1707" s="5" t="n">
        <v>896</v>
      </c>
      <c r="C1707" s="7" t="inlineStr">
        <is>
          <t>VINC-17824</t>
        </is>
      </c>
      <c r="D1707" s="8" t="inlineStr">
        <is>
          <t>Triclopir-Butotílico Técnico Sumitomo</t>
        </is>
      </c>
      <c r="E1707" s="7" t="inlineStr">
        <is>
          <t>Insumo Industrial</t>
        </is>
      </c>
      <c r="F1707" s="7" t="inlineStr">
        <is>
          <t>Matéria-prima para Formulação Industrial</t>
        </is>
      </c>
      <c r="G1707" s="7" t="inlineStr">
        <is>
          <t>Uso Industrial Credenciado MAPA</t>
        </is>
      </c>
      <c r="H1707" s="7" t="inlineStr">
        <is>
          <t>NÃO</t>
        </is>
      </c>
      <c r="I1707" s="9" t="n">
        <v>0</v>
      </c>
      <c r="J1707" s="9" t="n">
        <v>0</v>
      </c>
      <c r="K1707" s="7" t="inlineStr">
        <is>
          <t>KG</t>
        </is>
      </c>
      <c r="L1707" s="9" t="n">
        <v>1</v>
      </c>
      <c r="M1707" s="7" t="inlineStr">
        <is>
          <t>Uso restrito a estabelecimentos formuladores registrados</t>
        </is>
      </c>
    </row>
    <row r="1708" ht="22" customHeight="1">
      <c r="A1708" s="12" t="inlineStr">
        <is>
          <t>ALV-1704</t>
        </is>
      </c>
      <c r="B1708" s="11" t="n">
        <v>897</v>
      </c>
      <c r="C1708" s="13" t="inlineStr">
        <is>
          <t>Nº 17924</t>
        </is>
      </c>
      <c r="D1708" s="14" t="inlineStr">
        <is>
          <t>CIFRÃO</t>
        </is>
      </c>
      <c r="E1708" s="13" t="inlineStr">
        <is>
          <t>Inseticida</t>
        </is>
      </c>
      <c r="F1708" s="13" t="inlineStr">
        <is>
          <t>Complexo de Lagartas, Percevejos e Sugadores</t>
        </is>
      </c>
      <c r="G1708" s="13" t="inlineStr">
        <is>
          <t>Spodoptera / Euschistus / Bemisia</t>
        </is>
      </c>
      <c r="H1708" s="13" t="inlineStr">
        <is>
          <t>NÃO</t>
        </is>
      </c>
      <c r="I1708" s="18" t="n">
        <v>0.15</v>
      </c>
      <c r="J1708" s="15" t="n">
        <v>1</v>
      </c>
      <c r="K1708" s="13" t="inlineStr">
        <is>
          <t>L ou kg/ha</t>
        </is>
      </c>
      <c r="L1708" s="15" t="n">
        <v>1</v>
      </c>
      <c r="M1708" s="13" t="inlineStr">
        <is>
          <t>Aplicar conforme monitoramento e estádio recomendado na bula (Classificação IRAC Oficial conforme Bula)</t>
        </is>
      </c>
    </row>
    <row r="1709" ht="22" customHeight="1">
      <c r="A1709" s="6" t="inlineStr">
        <is>
          <t>ALV-1705</t>
        </is>
      </c>
      <c r="B1709" s="5" t="n">
        <v>898</v>
      </c>
      <c r="C1709" s="7" t="inlineStr">
        <is>
          <t>VINC-17924</t>
        </is>
      </c>
      <c r="D1709" s="8" t="inlineStr">
        <is>
          <t>Imidacloprid 97 Técnico Helm</t>
        </is>
      </c>
      <c r="E1709" s="7" t="inlineStr">
        <is>
          <t>Insumo Industrial</t>
        </is>
      </c>
      <c r="F1709" s="7" t="inlineStr">
        <is>
          <t>Matéria-prima para Formulação Industrial</t>
        </is>
      </c>
      <c r="G1709" s="7" t="inlineStr">
        <is>
          <t>Uso Industrial Credenciado MAPA</t>
        </is>
      </c>
      <c r="H1709" s="7" t="inlineStr">
        <is>
          <t>NÃO</t>
        </is>
      </c>
      <c r="I1709" s="9" t="n">
        <v>0</v>
      </c>
      <c r="J1709" s="9" t="n">
        <v>0</v>
      </c>
      <c r="K1709" s="7" t="inlineStr">
        <is>
          <t>KG</t>
        </is>
      </c>
      <c r="L1709" s="9" t="n">
        <v>1</v>
      </c>
      <c r="M1709" s="7" t="inlineStr">
        <is>
          <t>Uso restrito a estabelecimentos formuladores registrados</t>
        </is>
      </c>
    </row>
    <row r="1710" ht="22" customHeight="1">
      <c r="A1710" s="12" t="inlineStr">
        <is>
          <t>ALV-1706</t>
        </is>
      </c>
      <c r="B1710" s="11" t="n">
        <v>899</v>
      </c>
      <c r="C1710" s="13" t="inlineStr">
        <is>
          <t>Nº 18024</t>
        </is>
      </c>
      <c r="D1710" s="14" t="inlineStr">
        <is>
          <t>P&amp;D 149 B</t>
        </is>
      </c>
      <c r="E1710" s="13" t="inlineStr">
        <is>
          <t>Inseticida</t>
        </is>
      </c>
      <c r="F1710" s="13" t="inlineStr">
        <is>
          <t>Mosca-branca</t>
        </is>
      </c>
      <c r="G1710" s="13" t="inlineStr">
        <is>
          <t>Bemisia tabaci raça B</t>
        </is>
      </c>
      <c r="H1710" s="13" t="inlineStr">
        <is>
          <t>NÃO</t>
        </is>
      </c>
      <c r="I1710" s="18" t="n">
        <v>0.5</v>
      </c>
      <c r="J1710" s="18" t="n">
        <v>1.5</v>
      </c>
      <c r="K1710" s="13" t="inlineStr">
        <is>
          <t>kg ou L/ha</t>
        </is>
      </c>
      <c r="L1710" s="15" t="n">
        <v>1</v>
      </c>
      <c r="M1710" s="13" t="inlineStr">
        <is>
          <t>Aplicar conforme monitoramento e estádio recomendado na bula (IRAC Grupo UNF — Biológico Multissítio)</t>
        </is>
      </c>
    </row>
    <row r="1711" ht="22" customHeight="1">
      <c r="A1711" s="6" t="inlineStr">
        <is>
          <t>ALV-1707</t>
        </is>
      </c>
      <c r="B1711" s="5" t="n">
        <v>899</v>
      </c>
      <c r="C1711" s="7" t="inlineStr">
        <is>
          <t>Nº 18024</t>
        </is>
      </c>
      <c r="D1711" s="8" t="inlineStr">
        <is>
          <t>P&amp;D 149 B</t>
        </is>
      </c>
      <c r="E1711" s="7" t="inlineStr">
        <is>
          <t>Inseticida</t>
        </is>
      </c>
      <c r="F1711" s="7" t="inlineStr">
        <is>
          <t>Cigarrinha-do-milho</t>
        </is>
      </c>
      <c r="G1711" s="7" t="inlineStr">
        <is>
          <t>Dalbulus maidis</t>
        </is>
      </c>
      <c r="H1711" s="7" t="inlineStr">
        <is>
          <t>NÃO</t>
        </is>
      </c>
      <c r="I1711" s="17" t="n">
        <v>0.5</v>
      </c>
      <c r="J1711" s="9" t="n">
        <v>1</v>
      </c>
      <c r="K1711" s="7" t="inlineStr">
        <is>
          <t>kg ou L/ha</t>
        </is>
      </c>
      <c r="L1711" s="9" t="n">
        <v>1</v>
      </c>
      <c r="M1711" s="7" t="inlineStr">
        <is>
          <t>Aplicar conforme monitoramento e estádio recomendado na bula (IRAC Grupo UNF — Biológico Multissítio)</t>
        </is>
      </c>
    </row>
    <row r="1712" ht="22" customHeight="1">
      <c r="A1712" s="12" t="inlineStr">
        <is>
          <t>ALV-1708</t>
        </is>
      </c>
      <c r="B1712" s="11" t="n">
        <v>899</v>
      </c>
      <c r="C1712" s="13" t="inlineStr">
        <is>
          <t>Nº 18024</t>
        </is>
      </c>
      <c r="D1712" s="14" t="inlineStr">
        <is>
          <t>P&amp;D 149 B</t>
        </is>
      </c>
      <c r="E1712" s="13" t="inlineStr">
        <is>
          <t>Inseticida</t>
        </is>
      </c>
      <c r="F1712" s="13" t="inlineStr">
        <is>
          <t>Ácaro-rajado</t>
        </is>
      </c>
      <c r="G1712" s="13" t="inlineStr">
        <is>
          <t>Tetranychus urticae</t>
        </is>
      </c>
      <c r="H1712" s="13" t="inlineStr">
        <is>
          <t>NÃO</t>
        </is>
      </c>
      <c r="I1712" s="18" t="n">
        <v>0.5</v>
      </c>
      <c r="J1712" s="18" t="n">
        <v>1.5</v>
      </c>
      <c r="K1712" s="13" t="inlineStr">
        <is>
          <t>kg ou L/ha</t>
        </is>
      </c>
      <c r="L1712" s="15" t="n">
        <v>1</v>
      </c>
      <c r="M1712" s="13" t="inlineStr">
        <is>
          <t>Aplicar conforme monitoramento e estádio recomendado na bula (IRAC Grupo UNF — Biológico Multissítio)</t>
        </is>
      </c>
    </row>
    <row r="1713" ht="22" customHeight="1">
      <c r="A1713" s="6" t="inlineStr">
        <is>
          <t>ALV-1709</t>
        </is>
      </c>
      <c r="B1713" s="5" t="n">
        <v>900</v>
      </c>
      <c r="C1713" s="7" t="inlineStr">
        <is>
          <t>Nº 18124</t>
        </is>
      </c>
      <c r="D1713" s="8" t="inlineStr">
        <is>
          <t>EVOLUT DUO</t>
        </is>
      </c>
      <c r="E1713" s="7" t="inlineStr">
        <is>
          <t>Inseticida</t>
        </is>
      </c>
      <c r="F1713" s="7" t="inlineStr">
        <is>
          <t>Mosca-branca</t>
        </is>
      </c>
      <c r="G1713" s="7" t="inlineStr">
        <is>
          <t>Bemisia tabaci raça B</t>
        </is>
      </c>
      <c r="H1713" s="7" t="inlineStr">
        <is>
          <t>NÃO</t>
        </is>
      </c>
      <c r="I1713" s="17" t="n">
        <v>0.5</v>
      </c>
      <c r="J1713" s="17" t="n">
        <v>1.5</v>
      </c>
      <c r="K1713" s="7" t="inlineStr">
        <is>
          <t>kg ou L/ha</t>
        </is>
      </c>
      <c r="L1713" s="9" t="n">
        <v>1</v>
      </c>
      <c r="M1713" s="7" t="inlineStr">
        <is>
          <t>Aplicar conforme monitoramento e estádio recomendado na bula (IRAC Grupo UNF — Biológico Multissítio)</t>
        </is>
      </c>
    </row>
    <row r="1714" ht="22" customHeight="1">
      <c r="A1714" s="12" t="inlineStr">
        <is>
          <t>ALV-1710</t>
        </is>
      </c>
      <c r="B1714" s="11" t="n">
        <v>900</v>
      </c>
      <c r="C1714" s="13" t="inlineStr">
        <is>
          <t>Nº 18124</t>
        </is>
      </c>
      <c r="D1714" s="14" t="inlineStr">
        <is>
          <t>EVOLUT DUO</t>
        </is>
      </c>
      <c r="E1714" s="13" t="inlineStr">
        <is>
          <t>Inseticida</t>
        </is>
      </c>
      <c r="F1714" s="13" t="inlineStr">
        <is>
          <t>Cigarrinha-do-milho</t>
        </is>
      </c>
      <c r="G1714" s="13" t="inlineStr">
        <is>
          <t>Dalbulus maidis</t>
        </is>
      </c>
      <c r="H1714" s="13" t="inlineStr">
        <is>
          <t>NÃO</t>
        </is>
      </c>
      <c r="I1714" s="18" t="n">
        <v>0.5</v>
      </c>
      <c r="J1714" s="15" t="n">
        <v>1</v>
      </c>
      <c r="K1714" s="13" t="inlineStr">
        <is>
          <t>kg ou L/ha</t>
        </is>
      </c>
      <c r="L1714" s="15" t="n">
        <v>1</v>
      </c>
      <c r="M1714" s="13" t="inlineStr">
        <is>
          <t>Aplicar conforme monitoramento e estádio recomendado na bula (IRAC Grupo UNF — Biológico Multissítio)</t>
        </is>
      </c>
    </row>
    <row r="1715" ht="22" customHeight="1">
      <c r="A1715" s="6" t="inlineStr">
        <is>
          <t>ALV-1711</t>
        </is>
      </c>
      <c r="B1715" s="5" t="n">
        <v>900</v>
      </c>
      <c r="C1715" s="7" t="inlineStr">
        <is>
          <t>Nº 18124</t>
        </is>
      </c>
      <c r="D1715" s="8" t="inlineStr">
        <is>
          <t>EVOLUT DUO</t>
        </is>
      </c>
      <c r="E1715" s="7" t="inlineStr">
        <is>
          <t>Inseticida</t>
        </is>
      </c>
      <c r="F1715" s="7" t="inlineStr">
        <is>
          <t>Ácaro-rajado</t>
        </is>
      </c>
      <c r="G1715" s="7" t="inlineStr">
        <is>
          <t>Tetranychus urticae</t>
        </is>
      </c>
      <c r="H1715" s="7" t="inlineStr">
        <is>
          <t>NÃO</t>
        </is>
      </c>
      <c r="I1715" s="17" t="n">
        <v>0.5</v>
      </c>
      <c r="J1715" s="17" t="n">
        <v>1.5</v>
      </c>
      <c r="K1715" s="7" t="inlineStr">
        <is>
          <t>kg ou L/ha</t>
        </is>
      </c>
      <c r="L1715" s="9" t="n">
        <v>1</v>
      </c>
      <c r="M1715" s="7" t="inlineStr">
        <is>
          <t>Aplicar conforme monitoramento e estádio recomendado na bula (IRAC Grupo UNF — Biológico Multissítio)</t>
        </is>
      </c>
    </row>
    <row r="1716" ht="22" customHeight="1">
      <c r="A1716" s="12" t="inlineStr">
        <is>
          <t>ALV-1712</t>
        </is>
      </c>
      <c r="B1716" s="11" t="n">
        <v>901</v>
      </c>
      <c r="C1716" s="13" t="inlineStr">
        <is>
          <t>Nº 18224</t>
        </is>
      </c>
      <c r="D1716" s="14" t="inlineStr">
        <is>
          <t>FUNGUS HIZIUM</t>
        </is>
      </c>
      <c r="E1716" s="13" t="inlineStr">
        <is>
          <t>Inseticida</t>
        </is>
      </c>
      <c r="F1716" s="13" t="inlineStr">
        <is>
          <t>Complexo de Lagartas, Percevejos e Sugadores</t>
        </is>
      </c>
      <c r="G1716" s="13" t="inlineStr">
        <is>
          <t>Spodoptera / Euschistus / Bemisia</t>
        </is>
      </c>
      <c r="H1716" s="13" t="inlineStr">
        <is>
          <t>NÃO</t>
        </is>
      </c>
      <c r="I1716" s="18" t="n">
        <v>0.15</v>
      </c>
      <c r="J1716" s="15" t="n">
        <v>1</v>
      </c>
      <c r="K1716" s="13" t="inlineStr">
        <is>
          <t>L ou kg/ha</t>
        </is>
      </c>
      <c r="L1716" s="15" t="n">
        <v>1</v>
      </c>
      <c r="M1716" s="13" t="inlineStr">
        <is>
          <t>Aplicar conforme monitoramento e estádio recomendado na bula (Classificação IRAC Oficial conforme Bula)</t>
        </is>
      </c>
    </row>
    <row r="1717" ht="22" customHeight="1">
      <c r="A1717" s="6" t="inlineStr">
        <is>
          <t>ALV-1713</t>
        </is>
      </c>
      <c r="B1717" s="5" t="n">
        <v>902</v>
      </c>
      <c r="C1717" s="7" t="inlineStr">
        <is>
          <t>Nº 18324</t>
        </is>
      </c>
      <c r="D1717" s="8" t="inlineStr">
        <is>
          <t>GLÁDIOS</t>
        </is>
      </c>
      <c r="E1717" s="7" t="inlineStr">
        <is>
          <t>Nematicida / Bionematicida</t>
        </is>
      </c>
      <c r="F1717" s="7" t="inlineStr">
        <is>
          <t>Nematoide-das-galhas</t>
        </is>
      </c>
      <c r="G1717" s="7" t="inlineStr">
        <is>
          <t>Meloidogyne incognita / Meloidogyne javanica</t>
        </is>
      </c>
      <c r="H1717" s="7" t="inlineStr">
        <is>
          <t>NÃO</t>
        </is>
      </c>
      <c r="I1717" s="17" t="n">
        <v>0.2</v>
      </c>
      <c r="J1717" s="17" t="n">
        <v>0.5</v>
      </c>
      <c r="K1717" s="7" t="inlineStr">
        <is>
          <t>kg/ha</t>
        </is>
      </c>
      <c r="L1717" s="9" t="n">
        <v>1</v>
      </c>
      <c r="M1717" s="7" t="inlineStr">
        <is>
          <t>Aplicar no sulco de plantio ou em jato dirigido ao solo conforme bula oficial</t>
        </is>
      </c>
    </row>
    <row r="1718" ht="22" customHeight="1">
      <c r="A1718" s="12" t="inlineStr">
        <is>
          <t>ALV-1714</t>
        </is>
      </c>
      <c r="B1718" s="11" t="n">
        <v>902</v>
      </c>
      <c r="C1718" s="13" t="inlineStr">
        <is>
          <t>Nº 18324</t>
        </is>
      </c>
      <c r="D1718" s="14" t="inlineStr">
        <is>
          <t>GLÁDIOS</t>
        </is>
      </c>
      <c r="E1718" s="13" t="inlineStr">
        <is>
          <t>Nematicida / Bionematicida</t>
        </is>
      </c>
      <c r="F1718" s="13" t="inlineStr">
        <is>
          <t>Nematoide-das-lesões-radiculares</t>
        </is>
      </c>
      <c r="G1718" s="13" t="inlineStr">
        <is>
          <t>Pratylenchus brachyurus</t>
        </is>
      </c>
      <c r="H1718" s="13" t="inlineStr">
        <is>
          <t>NÃO</t>
        </is>
      </c>
      <c r="I1718" s="18" t="n">
        <v>0.2</v>
      </c>
      <c r="J1718" s="18" t="n">
        <v>0.5</v>
      </c>
      <c r="K1718" s="13" t="inlineStr">
        <is>
          <t>kg/ha</t>
        </is>
      </c>
      <c r="L1718" s="15" t="n">
        <v>1</v>
      </c>
      <c r="M1718" s="13" t="inlineStr">
        <is>
          <t>Aplicar no sulco de plantio ou em jato dirigido ao solo conforme bula oficial</t>
        </is>
      </c>
    </row>
    <row r="1719" ht="22" customHeight="1">
      <c r="A1719" s="6" t="inlineStr">
        <is>
          <t>ALV-1715</t>
        </is>
      </c>
      <c r="B1719" s="5" t="n">
        <v>903</v>
      </c>
      <c r="C1719" s="7" t="inlineStr">
        <is>
          <t>Nº 18424</t>
        </is>
      </c>
      <c r="D1719" s="8" t="inlineStr">
        <is>
          <t>PHOSAL</t>
        </is>
      </c>
      <c r="E1719" s="7" t="inlineStr">
        <is>
          <t>Inseticida Fumigante (Fosfeto de Alumínio)</t>
        </is>
      </c>
      <c r="F1719" s="7" t="inlineStr">
        <is>
          <t>Gorgulho-dos-cereais</t>
        </is>
      </c>
      <c r="G1719" s="7" t="inlineStr">
        <is>
          <t>Sitophilus zeamais / Sitophilus oryzae</t>
        </is>
      </c>
      <c r="H1719" s="7" t="inlineStr">
        <is>
          <t>SIM (*)</t>
        </is>
      </c>
      <c r="I1719" s="9" t="n">
        <v>1</v>
      </c>
      <c r="J1719" s="9" t="n">
        <v>3</v>
      </c>
      <c r="K1719" s="7" t="inlineStr">
        <is>
          <t>g PH3/m³ (3 a 9 pastilhas/ton)</t>
        </is>
      </c>
      <c r="L1719" s="9" t="n">
        <v>1</v>
      </c>
      <c r="M1719" s="7" t="inlineStr">
        <is>
          <t>Fumigação hermética de grãos armazenados com exposição mínima de 120 a 168 horas</t>
        </is>
      </c>
    </row>
    <row r="1720" ht="22" customHeight="1">
      <c r="A1720" s="12" t="inlineStr">
        <is>
          <t>ALV-1716</t>
        </is>
      </c>
      <c r="B1720" s="11" t="n">
        <v>903</v>
      </c>
      <c r="C1720" s="13" t="inlineStr">
        <is>
          <t>Nº 18424</t>
        </is>
      </c>
      <c r="D1720" s="14" t="inlineStr">
        <is>
          <t>PHOSAL</t>
        </is>
      </c>
      <c r="E1720" s="13" t="inlineStr">
        <is>
          <t>Inseticida Fumigante (Fosfeto de Alumínio)</t>
        </is>
      </c>
      <c r="F1720" s="13" t="inlineStr">
        <is>
          <t>Besouro-do-trigo / Caruncho</t>
        </is>
      </c>
      <c r="G1720" s="13" t="inlineStr">
        <is>
          <t>Rhyzopertha dominica / Lasioderma serricorne</t>
        </is>
      </c>
      <c r="H1720" s="13" t="inlineStr">
        <is>
          <t>SIM (*)</t>
        </is>
      </c>
      <c r="I1720" s="15" t="n">
        <v>1</v>
      </c>
      <c r="J1720" s="15" t="n">
        <v>3</v>
      </c>
      <c r="K1720" s="13" t="inlineStr">
        <is>
          <t>g PH3/m³ (3 a 9 pastilhas/ton)</t>
        </is>
      </c>
      <c r="L1720" s="15" t="n">
        <v>1</v>
      </c>
      <c r="M1720" s="13" t="inlineStr">
        <is>
          <t>Fumigação hermética de grãos armazenados com monitoramento de concentração de PH3</t>
        </is>
      </c>
    </row>
    <row r="1721" ht="22" customHeight="1">
      <c r="A1721" s="6" t="inlineStr">
        <is>
          <t>ALV-1717</t>
        </is>
      </c>
      <c r="B1721" s="5" t="n">
        <v>904</v>
      </c>
      <c r="C1721" s="7" t="inlineStr">
        <is>
          <t>Nº 18524</t>
        </is>
      </c>
      <c r="D1721" s="8" t="inlineStr">
        <is>
          <t>BRADOOCK 72 WG BR</t>
        </is>
      </c>
      <c r="E1721" s="7" t="inlineStr">
        <is>
          <t>Herbicida</t>
        </is>
      </c>
      <c r="F1721" s="7" t="inlineStr">
        <is>
          <t>Buva</t>
        </is>
      </c>
      <c r="G1721" s="7" t="inlineStr">
        <is>
          <t>Conyza bonariensis</t>
        </is>
      </c>
      <c r="H1721" s="7" t="inlineStr">
        <is>
          <t>SIM (*)</t>
        </is>
      </c>
      <c r="I1721" s="17" t="n">
        <v>0.5</v>
      </c>
      <c r="J1721" s="9" t="n">
        <v>2</v>
      </c>
      <c r="K1721" s="7" t="inlineStr">
        <is>
          <t>L ou kg/ha</t>
        </is>
      </c>
      <c r="L1721" s="9" t="n">
        <v>1</v>
      </c>
      <c r="M1721" s="7" t="inlineStr">
        <is>
          <t>Aplicar em pré ou pós-emergência conforme bula (HRAC Grupo G (9) — Inibidores da EPSPs)</t>
        </is>
      </c>
    </row>
    <row r="1722" ht="22" customHeight="1">
      <c r="A1722" s="12" t="inlineStr">
        <is>
          <t>ALV-1718</t>
        </is>
      </c>
      <c r="B1722" s="11" t="n">
        <v>904</v>
      </c>
      <c r="C1722" s="13" t="inlineStr">
        <is>
          <t>Nº 18524</t>
        </is>
      </c>
      <c r="D1722" s="14" t="inlineStr">
        <is>
          <t>BRADOOCK 72 WG BR</t>
        </is>
      </c>
      <c r="E1722" s="13" t="inlineStr">
        <is>
          <t>Herbicida</t>
        </is>
      </c>
      <c r="F1722" s="13" t="inlineStr">
        <is>
          <t>Capim-amargoso</t>
        </is>
      </c>
      <c r="G1722" s="13" t="inlineStr">
        <is>
          <t>Digitaria insularis</t>
        </is>
      </c>
      <c r="H1722" s="13" t="inlineStr">
        <is>
          <t>SIM (*)</t>
        </is>
      </c>
      <c r="I1722" s="15" t="n">
        <v>1</v>
      </c>
      <c r="J1722" s="18" t="n">
        <v>2.5</v>
      </c>
      <c r="K1722" s="13" t="inlineStr">
        <is>
          <t>L ou kg/ha</t>
        </is>
      </c>
      <c r="L1722" s="15" t="n">
        <v>1</v>
      </c>
      <c r="M1722" s="13" t="inlineStr">
        <is>
          <t>Aplicar em pré ou pós-emergência conforme bula (HRAC Grupo G (9) — Inibidores da EPSPs)</t>
        </is>
      </c>
    </row>
    <row r="1723" ht="22" customHeight="1">
      <c r="A1723" s="6" t="inlineStr">
        <is>
          <t>ALV-1719</t>
        </is>
      </c>
      <c r="B1723" s="5" t="n">
        <v>904</v>
      </c>
      <c r="C1723" s="7" t="inlineStr">
        <is>
          <t>Nº 18524</t>
        </is>
      </c>
      <c r="D1723" s="8" t="inlineStr">
        <is>
          <t>BRADOOCK 72 WG BR</t>
        </is>
      </c>
      <c r="E1723" s="7" t="inlineStr">
        <is>
          <t>Herbicida</t>
        </is>
      </c>
      <c r="F1723" s="7" t="inlineStr">
        <is>
          <t>Corda-de-viola / Caruru</t>
        </is>
      </c>
      <c r="G1723" s="7" t="inlineStr">
        <is>
          <t>Ipomoea grandifolia / Amaranthus spp.</t>
        </is>
      </c>
      <c r="H1723" s="7" t="inlineStr">
        <is>
          <t>NÃO</t>
        </is>
      </c>
      <c r="I1723" s="17" t="n">
        <v>0.5</v>
      </c>
      <c r="J1723" s="9" t="n">
        <v>2</v>
      </c>
      <c r="K1723" s="7" t="inlineStr">
        <is>
          <t>L ou kg/ha</t>
        </is>
      </c>
      <c r="L1723" s="9" t="n">
        <v>1</v>
      </c>
      <c r="M1723" s="7" t="inlineStr">
        <is>
          <t>Aplicar em pré ou pós-emergência conforme bula (HRAC Grupo G (9) — Inibidores da EPSPs)</t>
        </is>
      </c>
    </row>
    <row r="1724" ht="22" customHeight="1">
      <c r="A1724" s="12" t="inlineStr">
        <is>
          <t>ALV-1720</t>
        </is>
      </c>
      <c r="B1724" s="11" t="n">
        <v>905</v>
      </c>
      <c r="C1724" s="13" t="inlineStr">
        <is>
          <t>VINC-18524</t>
        </is>
      </c>
      <c r="D1724" s="14" t="inlineStr">
        <is>
          <t>Glifosato Técnico Biorisk</t>
        </is>
      </c>
      <c r="E1724" s="13" t="inlineStr">
        <is>
          <t>Insumo Industrial</t>
        </is>
      </c>
      <c r="F1724" s="13" t="inlineStr">
        <is>
          <t>Matéria-prima para Formulação Industrial</t>
        </is>
      </c>
      <c r="G1724" s="13" t="inlineStr">
        <is>
          <t>Uso Industrial Credenciado MAPA</t>
        </is>
      </c>
      <c r="H1724" s="13" t="inlineStr">
        <is>
          <t>NÃO</t>
        </is>
      </c>
      <c r="I1724" s="15" t="n">
        <v>0</v>
      </c>
      <c r="J1724" s="15" t="n">
        <v>0</v>
      </c>
      <c r="K1724" s="13" t="inlineStr">
        <is>
          <t>KG</t>
        </is>
      </c>
      <c r="L1724" s="15" t="n">
        <v>1</v>
      </c>
      <c r="M1724" s="13" t="inlineStr">
        <is>
          <t>Uso restrito a estabelecimentos formuladores registrados</t>
        </is>
      </c>
    </row>
    <row r="1725" ht="22" customHeight="1">
      <c r="A1725" s="6" t="inlineStr">
        <is>
          <t>ALV-1721</t>
        </is>
      </c>
      <c r="B1725" s="5" t="n">
        <v>906</v>
      </c>
      <c r="C1725" s="7" t="inlineStr">
        <is>
          <t>Nº 18624</t>
        </is>
      </c>
      <c r="D1725" s="8" t="inlineStr">
        <is>
          <t>ORSA 400 EC</t>
        </is>
      </c>
      <c r="E1725" s="7" t="inlineStr">
        <is>
          <t>Inseticida</t>
        </is>
      </c>
      <c r="F1725" s="7" t="inlineStr">
        <is>
          <t>Bicudo-do-algodoeiro</t>
        </is>
      </c>
      <c r="G1725" s="7" t="inlineStr">
        <is>
          <t>Anthonomus grandis</t>
        </is>
      </c>
      <c r="H1725" s="7" t="inlineStr">
        <is>
          <t>NÃO</t>
        </is>
      </c>
      <c r="I1725" s="17" t="n">
        <v>0.15</v>
      </c>
      <c r="J1725" s="17" t="n">
        <v>0.25</v>
      </c>
      <c r="K1725" s="7" t="inlineStr">
        <is>
          <t>L/ha</t>
        </is>
      </c>
      <c r="L1725" s="9" t="n">
        <v>1</v>
      </c>
      <c r="M1725" s="7" t="inlineStr">
        <is>
          <t>Aplicar conforme monitoramento e estádio recomendado na bula (IRAC Grupo 3A)</t>
        </is>
      </c>
    </row>
    <row r="1726" ht="22" customHeight="1">
      <c r="A1726" s="12" t="inlineStr">
        <is>
          <t>ALV-1722</t>
        </is>
      </c>
      <c r="B1726" s="11" t="n">
        <v>906</v>
      </c>
      <c r="C1726" s="13" t="inlineStr">
        <is>
          <t>Nº 18624</t>
        </is>
      </c>
      <c r="D1726" s="14" t="inlineStr">
        <is>
          <t>ORSA 400 EC</t>
        </is>
      </c>
      <c r="E1726" s="13" t="inlineStr">
        <is>
          <t>Inseticida</t>
        </is>
      </c>
      <c r="F1726" s="13" t="inlineStr">
        <is>
          <t>Mosca-branca</t>
        </is>
      </c>
      <c r="G1726" s="13" t="inlineStr">
        <is>
          <t>Bemisia tabaci raça B</t>
        </is>
      </c>
      <c r="H1726" s="13" t="inlineStr">
        <is>
          <t>SIM (*)</t>
        </is>
      </c>
      <c r="I1726" s="18" t="n">
        <v>0.125</v>
      </c>
      <c r="J1726" s="18" t="n">
        <v>0.25</v>
      </c>
      <c r="K1726" s="13" t="inlineStr">
        <is>
          <t>L/ha</t>
        </is>
      </c>
      <c r="L1726" s="15" t="n">
        <v>1</v>
      </c>
      <c r="M1726" s="13" t="inlineStr">
        <is>
          <t>Aplicar conforme monitoramento e estádio recomendado na bula (IRAC Grupo 3A)</t>
        </is>
      </c>
    </row>
    <row r="1727" ht="22" customHeight="1">
      <c r="A1727" s="6" t="inlineStr">
        <is>
          <t>ALV-1723</t>
        </is>
      </c>
      <c r="B1727" s="5" t="n">
        <v>906</v>
      </c>
      <c r="C1727" s="7" t="inlineStr">
        <is>
          <t>Nº 18624</t>
        </is>
      </c>
      <c r="D1727" s="8" t="inlineStr">
        <is>
          <t>ORSA 400 EC</t>
        </is>
      </c>
      <c r="E1727" s="7" t="inlineStr">
        <is>
          <t>Inseticida</t>
        </is>
      </c>
      <c r="F1727" s="7" t="inlineStr">
        <is>
          <t>Ácaro-rajado</t>
        </is>
      </c>
      <c r="G1727" s="7" t="inlineStr">
        <is>
          <t>Tetranychus urticae</t>
        </is>
      </c>
      <c r="H1727" s="7" t="inlineStr">
        <is>
          <t>SIM (*)</t>
        </is>
      </c>
      <c r="I1727" s="17" t="n">
        <v>0.15</v>
      </c>
      <c r="J1727" s="17" t="n">
        <v>0.2</v>
      </c>
      <c r="K1727" s="7" t="inlineStr">
        <is>
          <t>L/ha</t>
        </is>
      </c>
      <c r="L1727" s="9" t="n">
        <v>1</v>
      </c>
      <c r="M1727" s="7" t="inlineStr">
        <is>
          <t>Aplicar conforme monitoramento e estádio recomendado na bula (IRAC Grupo 3A)</t>
        </is>
      </c>
    </row>
    <row r="1728" ht="22" customHeight="1">
      <c r="A1728" s="12" t="inlineStr">
        <is>
          <t>ALV-1724</t>
        </is>
      </c>
      <c r="B1728" s="11" t="n">
        <v>907</v>
      </c>
      <c r="C1728" s="13" t="inlineStr">
        <is>
          <t>Nº 18624</t>
        </is>
      </c>
      <c r="D1728" s="14" t="inlineStr">
        <is>
          <t>BIFENTRINA 400 EC TECNOMYL</t>
        </is>
      </c>
      <c r="E1728" s="13" t="inlineStr">
        <is>
          <t>Inseticida</t>
        </is>
      </c>
      <c r="F1728" s="13" t="inlineStr">
        <is>
          <t>Bicudo-do-algodoeiro</t>
        </is>
      </c>
      <c r="G1728" s="13" t="inlineStr">
        <is>
          <t>Anthonomus grandis</t>
        </is>
      </c>
      <c r="H1728" s="13" t="inlineStr">
        <is>
          <t>NÃO</t>
        </is>
      </c>
      <c r="I1728" s="18" t="n">
        <v>0.15</v>
      </c>
      <c r="J1728" s="18" t="n">
        <v>0.25</v>
      </c>
      <c r="K1728" s="13" t="inlineStr">
        <is>
          <t>L/ha</t>
        </is>
      </c>
      <c r="L1728" s="15" t="n">
        <v>1</v>
      </c>
      <c r="M1728" s="13" t="inlineStr">
        <is>
          <t>Aplicar conforme monitoramento e estádio recomendado na bula (IRAC Grupo 3A)</t>
        </is>
      </c>
    </row>
    <row r="1729" ht="22" customHeight="1">
      <c r="A1729" s="6" t="inlineStr">
        <is>
          <t>ALV-1725</t>
        </is>
      </c>
      <c r="B1729" s="5" t="n">
        <v>907</v>
      </c>
      <c r="C1729" s="7" t="inlineStr">
        <is>
          <t>Nº 18624</t>
        </is>
      </c>
      <c r="D1729" s="8" t="inlineStr">
        <is>
          <t>BIFENTRINA 400 EC TECNOMYL</t>
        </is>
      </c>
      <c r="E1729" s="7" t="inlineStr">
        <is>
          <t>Inseticida</t>
        </is>
      </c>
      <c r="F1729" s="7" t="inlineStr">
        <is>
          <t>Mosca-branca</t>
        </is>
      </c>
      <c r="G1729" s="7" t="inlineStr">
        <is>
          <t>Bemisia tabaci raça B</t>
        </is>
      </c>
      <c r="H1729" s="7" t="inlineStr">
        <is>
          <t>SIM (*)</t>
        </is>
      </c>
      <c r="I1729" s="17" t="n">
        <v>0.125</v>
      </c>
      <c r="J1729" s="17" t="n">
        <v>0.25</v>
      </c>
      <c r="K1729" s="7" t="inlineStr">
        <is>
          <t>L/ha</t>
        </is>
      </c>
      <c r="L1729" s="9" t="n">
        <v>1</v>
      </c>
      <c r="M1729" s="7" t="inlineStr">
        <is>
          <t>Aplicar conforme monitoramento e estádio recomendado na bula (IRAC Grupo 3A)</t>
        </is>
      </c>
    </row>
    <row r="1730" ht="22" customHeight="1">
      <c r="A1730" s="12" t="inlineStr">
        <is>
          <t>ALV-1726</t>
        </is>
      </c>
      <c r="B1730" s="11" t="n">
        <v>907</v>
      </c>
      <c r="C1730" s="13" t="inlineStr">
        <is>
          <t>Nº 18624</t>
        </is>
      </c>
      <c r="D1730" s="14" t="inlineStr">
        <is>
          <t>BIFENTRINA 400 EC TECNOMYL</t>
        </is>
      </c>
      <c r="E1730" s="13" t="inlineStr">
        <is>
          <t>Inseticida</t>
        </is>
      </c>
      <c r="F1730" s="13" t="inlineStr">
        <is>
          <t>Ácaro-rajado</t>
        </is>
      </c>
      <c r="G1730" s="13" t="inlineStr">
        <is>
          <t>Tetranychus urticae</t>
        </is>
      </c>
      <c r="H1730" s="13" t="inlineStr">
        <is>
          <t>SIM (*)</t>
        </is>
      </c>
      <c r="I1730" s="18" t="n">
        <v>0.15</v>
      </c>
      <c r="J1730" s="18" t="n">
        <v>0.2</v>
      </c>
      <c r="K1730" s="13" t="inlineStr">
        <is>
          <t>L/ha</t>
        </is>
      </c>
      <c r="L1730" s="15" t="n">
        <v>1</v>
      </c>
      <c r="M1730" s="13" t="inlineStr">
        <is>
          <t>Aplicar conforme monitoramento e estádio recomendado na bula (IRAC Grupo 3A)</t>
        </is>
      </c>
    </row>
    <row r="1731" ht="22" customHeight="1">
      <c r="A1731" s="6" t="inlineStr">
        <is>
          <t>ALV-1727</t>
        </is>
      </c>
      <c r="B1731" s="5" t="n">
        <v>908</v>
      </c>
      <c r="C1731" s="7" t="inlineStr">
        <is>
          <t>Nº 18624</t>
        </is>
      </c>
      <c r="D1731" s="8" t="inlineStr">
        <is>
          <t>BIFENTRINA 400 EC TECNOMYL I</t>
        </is>
      </c>
      <c r="E1731" s="7" t="inlineStr">
        <is>
          <t>Inseticida</t>
        </is>
      </c>
      <c r="F1731" s="7" t="inlineStr">
        <is>
          <t>Bicudo-do-algodoeiro</t>
        </is>
      </c>
      <c r="G1731" s="7" t="inlineStr">
        <is>
          <t>Anthonomus grandis</t>
        </is>
      </c>
      <c r="H1731" s="7" t="inlineStr">
        <is>
          <t>NÃO</t>
        </is>
      </c>
      <c r="I1731" s="17" t="n">
        <v>0.15</v>
      </c>
      <c r="J1731" s="17" t="n">
        <v>0.25</v>
      </c>
      <c r="K1731" s="7" t="inlineStr">
        <is>
          <t>L/ha</t>
        </is>
      </c>
      <c r="L1731" s="9" t="n">
        <v>1</v>
      </c>
      <c r="M1731" s="7" t="inlineStr">
        <is>
          <t>Aplicar conforme monitoramento e estádio recomendado na bula (IRAC Grupo 3A)</t>
        </is>
      </c>
    </row>
    <row r="1732" ht="22" customHeight="1">
      <c r="A1732" s="12" t="inlineStr">
        <is>
          <t>ALV-1728</t>
        </is>
      </c>
      <c r="B1732" s="11" t="n">
        <v>908</v>
      </c>
      <c r="C1732" s="13" t="inlineStr">
        <is>
          <t>Nº 18624</t>
        </is>
      </c>
      <c r="D1732" s="14" t="inlineStr">
        <is>
          <t>BIFENTRINA 400 EC TECNOMYL I</t>
        </is>
      </c>
      <c r="E1732" s="13" t="inlineStr">
        <is>
          <t>Inseticida</t>
        </is>
      </c>
      <c r="F1732" s="13" t="inlineStr">
        <is>
          <t>Mosca-branca</t>
        </is>
      </c>
      <c r="G1732" s="13" t="inlineStr">
        <is>
          <t>Bemisia tabaci raça B</t>
        </is>
      </c>
      <c r="H1732" s="13" t="inlineStr">
        <is>
          <t>SIM (*)</t>
        </is>
      </c>
      <c r="I1732" s="18" t="n">
        <v>0.125</v>
      </c>
      <c r="J1732" s="18" t="n">
        <v>0.25</v>
      </c>
      <c r="K1732" s="13" t="inlineStr">
        <is>
          <t>L/ha</t>
        </is>
      </c>
      <c r="L1732" s="15" t="n">
        <v>1</v>
      </c>
      <c r="M1732" s="13" t="inlineStr">
        <is>
          <t>Aplicar conforme monitoramento e estádio recomendado na bula (IRAC Grupo 3A)</t>
        </is>
      </c>
    </row>
    <row r="1733" ht="22" customHeight="1">
      <c r="A1733" s="6" t="inlineStr">
        <is>
          <t>ALV-1729</t>
        </is>
      </c>
      <c r="B1733" s="5" t="n">
        <v>908</v>
      </c>
      <c r="C1733" s="7" t="inlineStr">
        <is>
          <t>Nº 18624</t>
        </is>
      </c>
      <c r="D1733" s="8" t="inlineStr">
        <is>
          <t>BIFENTRINA 400 EC TECNOMYL I</t>
        </is>
      </c>
      <c r="E1733" s="7" t="inlineStr">
        <is>
          <t>Inseticida</t>
        </is>
      </c>
      <c r="F1733" s="7" t="inlineStr">
        <is>
          <t>Ácaro-rajado</t>
        </is>
      </c>
      <c r="G1733" s="7" t="inlineStr">
        <is>
          <t>Tetranychus urticae</t>
        </is>
      </c>
      <c r="H1733" s="7" t="inlineStr">
        <is>
          <t>SIM (*)</t>
        </is>
      </c>
      <c r="I1733" s="17" t="n">
        <v>0.15</v>
      </c>
      <c r="J1733" s="17" t="n">
        <v>0.2</v>
      </c>
      <c r="K1733" s="7" t="inlineStr">
        <is>
          <t>L/ha</t>
        </is>
      </c>
      <c r="L1733" s="9" t="n">
        <v>1</v>
      </c>
      <c r="M1733" s="7" t="inlineStr">
        <is>
          <t>Aplicar conforme monitoramento e estádio recomendado na bula (IRAC Grupo 3A)</t>
        </is>
      </c>
    </row>
    <row r="1734" ht="22" customHeight="1">
      <c r="A1734" s="12" t="inlineStr">
        <is>
          <t>ALV-1730</t>
        </is>
      </c>
      <c r="B1734" s="11" t="n">
        <v>909</v>
      </c>
      <c r="C1734" s="13" t="inlineStr">
        <is>
          <t>Nº 18624</t>
        </is>
      </c>
      <c r="D1734" s="14" t="inlineStr">
        <is>
          <t>BIFENTRINA 400 EC TECNOMYL II</t>
        </is>
      </c>
      <c r="E1734" s="13" t="inlineStr">
        <is>
          <t>Inseticida</t>
        </is>
      </c>
      <c r="F1734" s="13" t="inlineStr">
        <is>
          <t>Bicudo-do-algodoeiro</t>
        </is>
      </c>
      <c r="G1734" s="13" t="inlineStr">
        <is>
          <t>Anthonomus grandis</t>
        </is>
      </c>
      <c r="H1734" s="13" t="inlineStr">
        <is>
          <t>NÃO</t>
        </is>
      </c>
      <c r="I1734" s="18" t="n">
        <v>0.15</v>
      </c>
      <c r="J1734" s="18" t="n">
        <v>0.25</v>
      </c>
      <c r="K1734" s="13" t="inlineStr">
        <is>
          <t>L/ha</t>
        </is>
      </c>
      <c r="L1734" s="15" t="n">
        <v>1</v>
      </c>
      <c r="M1734" s="13" t="inlineStr">
        <is>
          <t>Aplicar conforme monitoramento e estádio recomendado na bula (IRAC Grupo 3A)</t>
        </is>
      </c>
    </row>
    <row r="1735" ht="22" customHeight="1">
      <c r="A1735" s="6" t="inlineStr">
        <is>
          <t>ALV-1731</t>
        </is>
      </c>
      <c r="B1735" s="5" t="n">
        <v>909</v>
      </c>
      <c r="C1735" s="7" t="inlineStr">
        <is>
          <t>Nº 18624</t>
        </is>
      </c>
      <c r="D1735" s="8" t="inlineStr">
        <is>
          <t>BIFENTRINA 400 EC TECNOMYL II</t>
        </is>
      </c>
      <c r="E1735" s="7" t="inlineStr">
        <is>
          <t>Inseticida</t>
        </is>
      </c>
      <c r="F1735" s="7" t="inlineStr">
        <is>
          <t>Mosca-branca</t>
        </is>
      </c>
      <c r="G1735" s="7" t="inlineStr">
        <is>
          <t>Bemisia tabaci raça B</t>
        </is>
      </c>
      <c r="H1735" s="7" t="inlineStr">
        <is>
          <t>SIM (*)</t>
        </is>
      </c>
      <c r="I1735" s="17" t="n">
        <v>0.125</v>
      </c>
      <c r="J1735" s="17" t="n">
        <v>0.25</v>
      </c>
      <c r="K1735" s="7" t="inlineStr">
        <is>
          <t>L/ha</t>
        </is>
      </c>
      <c r="L1735" s="9" t="n">
        <v>1</v>
      </c>
      <c r="M1735" s="7" t="inlineStr">
        <is>
          <t>Aplicar conforme monitoramento e estádio recomendado na bula (IRAC Grupo 3A)</t>
        </is>
      </c>
    </row>
    <row r="1736" ht="22" customHeight="1">
      <c r="A1736" s="12" t="inlineStr">
        <is>
          <t>ALV-1732</t>
        </is>
      </c>
      <c r="B1736" s="11" t="n">
        <v>909</v>
      </c>
      <c r="C1736" s="13" t="inlineStr">
        <is>
          <t>Nº 18624</t>
        </is>
      </c>
      <c r="D1736" s="14" t="inlineStr">
        <is>
          <t>BIFENTRINA 400 EC TECNOMYL II</t>
        </is>
      </c>
      <c r="E1736" s="13" t="inlineStr">
        <is>
          <t>Inseticida</t>
        </is>
      </c>
      <c r="F1736" s="13" t="inlineStr">
        <is>
          <t>Ácaro-rajado</t>
        </is>
      </c>
      <c r="G1736" s="13" t="inlineStr">
        <is>
          <t>Tetranychus urticae</t>
        </is>
      </c>
      <c r="H1736" s="13" t="inlineStr">
        <is>
          <t>SIM (*)</t>
        </is>
      </c>
      <c r="I1736" s="18" t="n">
        <v>0.15</v>
      </c>
      <c r="J1736" s="18" t="n">
        <v>0.2</v>
      </c>
      <c r="K1736" s="13" t="inlineStr">
        <is>
          <t>L/ha</t>
        </is>
      </c>
      <c r="L1736" s="15" t="n">
        <v>1</v>
      </c>
      <c r="M1736" s="13" t="inlineStr">
        <is>
          <t>Aplicar conforme monitoramento e estádio recomendado na bula (IRAC Grupo 3A)</t>
        </is>
      </c>
    </row>
    <row r="1737" ht="22" customHeight="1">
      <c r="A1737" s="6" t="inlineStr">
        <is>
          <t>ALV-1733</t>
        </is>
      </c>
      <c r="B1737" s="5" t="n">
        <v>910</v>
      </c>
      <c r="C1737" s="7" t="inlineStr">
        <is>
          <t>Nº 18624</t>
        </is>
      </c>
      <c r="D1737" s="8" t="inlineStr">
        <is>
          <t>BIFENTRINA 400 EC TECNOMYL III</t>
        </is>
      </c>
      <c r="E1737" s="7" t="inlineStr">
        <is>
          <t>Inseticida</t>
        </is>
      </c>
      <c r="F1737" s="7" t="inlineStr">
        <is>
          <t>Bicudo-do-algodoeiro</t>
        </is>
      </c>
      <c r="G1737" s="7" t="inlineStr">
        <is>
          <t>Anthonomus grandis</t>
        </is>
      </c>
      <c r="H1737" s="7" t="inlineStr">
        <is>
          <t>NÃO</t>
        </is>
      </c>
      <c r="I1737" s="17" t="n">
        <v>0.15</v>
      </c>
      <c r="J1737" s="17" t="n">
        <v>0.25</v>
      </c>
      <c r="K1737" s="7" t="inlineStr">
        <is>
          <t>L/ha</t>
        </is>
      </c>
      <c r="L1737" s="9" t="n">
        <v>1</v>
      </c>
      <c r="M1737" s="7" t="inlineStr">
        <is>
          <t>Aplicar conforme monitoramento e estádio recomendado na bula (IRAC Grupo 3A)</t>
        </is>
      </c>
    </row>
    <row r="1738" ht="22" customHeight="1">
      <c r="A1738" s="12" t="inlineStr">
        <is>
          <t>ALV-1734</t>
        </is>
      </c>
      <c r="B1738" s="11" t="n">
        <v>910</v>
      </c>
      <c r="C1738" s="13" t="inlineStr">
        <is>
          <t>Nº 18624</t>
        </is>
      </c>
      <c r="D1738" s="14" t="inlineStr">
        <is>
          <t>BIFENTRINA 400 EC TECNOMYL III</t>
        </is>
      </c>
      <c r="E1738" s="13" t="inlineStr">
        <is>
          <t>Inseticida</t>
        </is>
      </c>
      <c r="F1738" s="13" t="inlineStr">
        <is>
          <t>Mosca-branca</t>
        </is>
      </c>
      <c r="G1738" s="13" t="inlineStr">
        <is>
          <t>Bemisia tabaci raça B</t>
        </is>
      </c>
      <c r="H1738" s="13" t="inlineStr">
        <is>
          <t>SIM (*)</t>
        </is>
      </c>
      <c r="I1738" s="18" t="n">
        <v>0.125</v>
      </c>
      <c r="J1738" s="18" t="n">
        <v>0.25</v>
      </c>
      <c r="K1738" s="13" t="inlineStr">
        <is>
          <t>L/ha</t>
        </is>
      </c>
      <c r="L1738" s="15" t="n">
        <v>1</v>
      </c>
      <c r="M1738" s="13" t="inlineStr">
        <is>
          <t>Aplicar conforme monitoramento e estádio recomendado na bula (IRAC Grupo 3A)</t>
        </is>
      </c>
    </row>
    <row r="1739" ht="22" customHeight="1">
      <c r="A1739" s="6" t="inlineStr">
        <is>
          <t>ALV-1735</t>
        </is>
      </c>
      <c r="B1739" s="5" t="n">
        <v>910</v>
      </c>
      <c r="C1739" s="7" t="inlineStr">
        <is>
          <t>Nº 18624</t>
        </is>
      </c>
      <c r="D1739" s="8" t="inlineStr">
        <is>
          <t>BIFENTRINA 400 EC TECNOMYL III</t>
        </is>
      </c>
      <c r="E1739" s="7" t="inlineStr">
        <is>
          <t>Inseticida</t>
        </is>
      </c>
      <c r="F1739" s="7" t="inlineStr">
        <is>
          <t>Ácaro-rajado</t>
        </is>
      </c>
      <c r="G1739" s="7" t="inlineStr">
        <is>
          <t>Tetranychus urticae</t>
        </is>
      </c>
      <c r="H1739" s="7" t="inlineStr">
        <is>
          <t>SIM (*)</t>
        </is>
      </c>
      <c r="I1739" s="17" t="n">
        <v>0.15</v>
      </c>
      <c r="J1739" s="17" t="n">
        <v>0.2</v>
      </c>
      <c r="K1739" s="7" t="inlineStr">
        <is>
          <t>L/ha</t>
        </is>
      </c>
      <c r="L1739" s="9" t="n">
        <v>1</v>
      </c>
      <c r="M1739" s="7" t="inlineStr">
        <is>
          <t>Aplicar conforme monitoramento e estádio recomendado na bula (IRAC Grupo 3A)</t>
        </is>
      </c>
    </row>
    <row r="1740" ht="22" customHeight="1">
      <c r="A1740" s="12" t="inlineStr">
        <is>
          <t>ALV-1736</t>
        </is>
      </c>
      <c r="B1740" s="11" t="n">
        <v>911</v>
      </c>
      <c r="C1740" s="13" t="inlineStr">
        <is>
          <t>VINC-18624</t>
        </is>
      </c>
      <c r="D1740" s="14" t="inlineStr">
        <is>
          <t>Bifentrina Técnico Tecnomyl</t>
        </is>
      </c>
      <c r="E1740" s="13" t="inlineStr">
        <is>
          <t>Insumo Industrial</t>
        </is>
      </c>
      <c r="F1740" s="13" t="inlineStr">
        <is>
          <t>Matéria-prima para Formulação Industrial</t>
        </is>
      </c>
      <c r="G1740" s="13" t="inlineStr">
        <is>
          <t>Uso Industrial Credenciado MAPA</t>
        </is>
      </c>
      <c r="H1740" s="13" t="inlineStr">
        <is>
          <t>NÃO</t>
        </is>
      </c>
      <c r="I1740" s="15" t="n">
        <v>0</v>
      </c>
      <c r="J1740" s="15" t="n">
        <v>0</v>
      </c>
      <c r="K1740" s="13" t="inlineStr">
        <is>
          <t>KG</t>
        </is>
      </c>
      <c r="L1740" s="15" t="n">
        <v>1</v>
      </c>
      <c r="M1740" s="13" t="inlineStr">
        <is>
          <t>Uso restrito a estabelecimentos formuladores registrados</t>
        </is>
      </c>
    </row>
    <row r="1741" ht="22" customHeight="1">
      <c r="A1741" s="6" t="inlineStr">
        <is>
          <t>ALV-1737</t>
        </is>
      </c>
      <c r="B1741" s="5" t="n">
        <v>912</v>
      </c>
      <c r="C1741" s="7" t="inlineStr">
        <is>
          <t>Nº 18724</t>
        </is>
      </c>
      <c r="D1741" s="8" t="inlineStr">
        <is>
          <t>PYRIPROXYFEN WOOD 100 EC</t>
        </is>
      </c>
      <c r="E1741" s="7" t="inlineStr">
        <is>
          <t>Inseticida Fisiológico</t>
        </is>
      </c>
      <c r="F1741" s="7" t="inlineStr">
        <is>
          <t>Mosca-branca / Lagarta-do-cartucho</t>
        </is>
      </c>
      <c r="G1741" s="7" t="inlineStr">
        <is>
          <t>Bemisia tabaci raça B / Spodoptera frugiperda</t>
        </is>
      </c>
      <c r="H1741" s="7" t="inlineStr">
        <is>
          <t>SIM (*)</t>
        </is>
      </c>
      <c r="I1741" s="17" t="n">
        <v>0.1</v>
      </c>
      <c r="J1741" s="17" t="n">
        <v>0.5</v>
      </c>
      <c r="K1741" s="7" t="inlineStr">
        <is>
          <t>L ou kg/ha</t>
        </is>
      </c>
      <c r="L1741" s="9" t="n">
        <v>2</v>
      </c>
      <c r="M1741" s="7" t="inlineStr">
        <is>
          <t>Aplicar no início da infestação conforme bula (IRAC Grupo 7C)</t>
        </is>
      </c>
    </row>
    <row r="1742" ht="22" customHeight="1">
      <c r="A1742" s="12" t="inlineStr">
        <is>
          <t>ALV-1738</t>
        </is>
      </c>
      <c r="B1742" s="11" t="n">
        <v>913</v>
      </c>
      <c r="C1742" s="13" t="inlineStr">
        <is>
          <t>VINC-18724</t>
        </is>
      </c>
      <c r="D1742" s="14" t="inlineStr">
        <is>
          <t>Pyriproxyfen Técnico Sino-Agri</t>
        </is>
      </c>
      <c r="E1742" s="13" t="inlineStr">
        <is>
          <t>Insumo Industrial</t>
        </is>
      </c>
      <c r="F1742" s="13" t="inlineStr">
        <is>
          <t>Matéria-prima para Formulação Industrial</t>
        </is>
      </c>
      <c r="G1742" s="13" t="inlineStr">
        <is>
          <t>Uso Industrial Credenciado MAPA</t>
        </is>
      </c>
      <c r="H1742" s="13" t="inlineStr">
        <is>
          <t>NÃO</t>
        </is>
      </c>
      <c r="I1742" s="15" t="n">
        <v>0</v>
      </c>
      <c r="J1742" s="15" t="n">
        <v>0</v>
      </c>
      <c r="K1742" s="13" t="inlineStr">
        <is>
          <t>KG</t>
        </is>
      </c>
      <c r="L1742" s="15" t="n">
        <v>1</v>
      </c>
      <c r="M1742" s="13" t="inlineStr">
        <is>
          <t>Uso restrito a estabelecimentos formuladores registrados</t>
        </is>
      </c>
    </row>
    <row r="1743" ht="22" customHeight="1">
      <c r="A1743" s="6" t="inlineStr">
        <is>
          <t>ALV-1739</t>
        </is>
      </c>
      <c r="B1743" s="5" t="n">
        <v>914</v>
      </c>
      <c r="C1743" s="7" t="inlineStr">
        <is>
          <t>Nº 18824</t>
        </is>
      </c>
      <c r="D1743" s="8" t="inlineStr">
        <is>
          <t>TKI-15 BR</t>
        </is>
      </c>
      <c r="E1743" s="7" t="inlineStr">
        <is>
          <t>Silicato de Alumínio Anidro</t>
        </is>
      </c>
      <c r="F1743" s="7" t="inlineStr">
        <is>
          <t>Correção de Acidez / Condicionamento de Perfil de Solo</t>
        </is>
      </c>
      <c r="G1743" s="7" t="inlineStr">
        <is>
          <t>Solo Agrícola</t>
        </is>
      </c>
      <c r="H1743" s="7" t="inlineStr">
        <is>
          <t>NÃO</t>
        </is>
      </c>
      <c r="I1743" s="9" t="n">
        <v>500</v>
      </c>
      <c r="J1743" s="9" t="n">
        <v>3000</v>
      </c>
      <c r="K1743" s="7" t="inlineStr">
        <is>
          <t>kg/ha</t>
        </is>
      </c>
      <c r="L1743" s="9" t="n">
        <v>1</v>
      </c>
      <c r="M1743" s="7" t="inlineStr">
        <is>
          <t>Aplicar conforme monitoramento e estádio recomendado na bula (Correção Química de Solo)</t>
        </is>
      </c>
    </row>
    <row r="1744" ht="22" customHeight="1">
      <c r="A1744" s="12" t="inlineStr">
        <is>
          <t>ALV-1740</t>
        </is>
      </c>
      <c r="B1744" s="11" t="n">
        <v>915</v>
      </c>
      <c r="C1744" s="13" t="inlineStr">
        <is>
          <t>Nº 18924</t>
        </is>
      </c>
      <c r="D1744" s="14" t="inlineStr">
        <is>
          <t>TRINEXAPAC 250 EC MAXUNITECH</t>
        </is>
      </c>
      <c r="E1744" s="13" t="inlineStr">
        <is>
          <t>Regulador de Crescimento</t>
        </is>
      </c>
      <c r="F1744" s="13" t="inlineStr">
        <is>
          <t>Maturador de Cana-de-Açúcar e Redutor de Acamamento em Trigo/Cevada</t>
        </is>
      </c>
      <c r="G1744" s="13" t="inlineStr">
        <is>
          <t>Saccharum officinarum / Triticum aestivum (Manejo Fisiológico)</t>
        </is>
      </c>
      <c r="H1744" s="13" t="inlineStr">
        <is>
          <t>NÃO</t>
        </is>
      </c>
      <c r="I1744" s="18" t="n">
        <v>0.4</v>
      </c>
      <c r="J1744" s="18" t="n">
        <v>1.2</v>
      </c>
      <c r="K1744" s="13" t="inlineStr">
        <is>
          <t>L/ha</t>
        </is>
      </c>
      <c r="L1744" s="15" t="n">
        <v>1</v>
      </c>
      <c r="M1744" s="13" t="inlineStr">
        <is>
          <t>Aplicar para incremento de sacarose (ATR) em cana ou redução de entrenós em cereais de inverno</t>
        </is>
      </c>
    </row>
    <row r="1745" ht="22" customHeight="1">
      <c r="A1745" s="6" t="inlineStr">
        <is>
          <t>ALV-1741</t>
        </is>
      </c>
      <c r="B1745" s="5" t="n">
        <v>916</v>
      </c>
      <c r="C1745" s="7" t="inlineStr">
        <is>
          <t>VINC-18924</t>
        </is>
      </c>
      <c r="D1745" s="8" t="inlineStr">
        <is>
          <t>Trinexapaque-etílico Técnico Max</t>
        </is>
      </c>
      <c r="E1745" s="7" t="inlineStr">
        <is>
          <t>Insumo Industrial</t>
        </is>
      </c>
      <c r="F1745" s="7" t="inlineStr">
        <is>
          <t>Matéria-prima para Formulação Industrial</t>
        </is>
      </c>
      <c r="G1745" s="7" t="inlineStr">
        <is>
          <t>Uso Industrial Credenciado MAPA</t>
        </is>
      </c>
      <c r="H1745" s="7" t="inlineStr">
        <is>
          <t>NÃO</t>
        </is>
      </c>
      <c r="I1745" s="9" t="n">
        <v>0</v>
      </c>
      <c r="J1745" s="9" t="n">
        <v>0</v>
      </c>
      <c r="K1745" s="7" t="inlineStr">
        <is>
          <t>KG</t>
        </is>
      </c>
      <c r="L1745" s="9" t="n">
        <v>1</v>
      </c>
      <c r="M1745" s="7" t="inlineStr">
        <is>
          <t>Uso restrito a estabelecimentos formuladores registrados</t>
        </is>
      </c>
    </row>
    <row r="1746" ht="22" customHeight="1">
      <c r="A1746" s="12" t="inlineStr">
        <is>
          <t>ALV-1742</t>
        </is>
      </c>
      <c r="B1746" s="11" t="n">
        <v>917</v>
      </c>
      <c r="C1746" s="13" t="inlineStr">
        <is>
          <t>Nº 19024</t>
        </is>
      </c>
      <c r="D1746" s="14" t="inlineStr">
        <is>
          <t>CALIZI</t>
        </is>
      </c>
      <c r="E1746" s="13" t="inlineStr">
        <is>
          <t>Fungicida</t>
        </is>
      </c>
      <c r="F1746" s="13" t="inlineStr">
        <is>
          <t>Ferrugem-asiática</t>
        </is>
      </c>
      <c r="G1746" s="13" t="inlineStr">
        <is>
          <t>Phakopsora pachyrhizi</t>
        </is>
      </c>
      <c r="H1746" s="13" t="inlineStr">
        <is>
          <t>SIM (*)</t>
        </is>
      </c>
      <c r="I1746" s="18" t="n">
        <v>0.35</v>
      </c>
      <c r="J1746" s="18" t="n">
        <v>0.5</v>
      </c>
      <c r="K1746" s="13" t="inlineStr">
        <is>
          <t>L/ha</t>
        </is>
      </c>
      <c r="L1746" s="15" t="n">
        <v>1</v>
      </c>
      <c r="M1746" s="13" t="inlineStr">
        <is>
          <t>Aplicar conforme monitoramento e estádio recomendado na bula (FRAC Grupo 3 (DMI))</t>
        </is>
      </c>
    </row>
    <row r="1747" ht="22" customHeight="1">
      <c r="A1747" s="6" t="inlineStr">
        <is>
          <t>ALV-1743</t>
        </is>
      </c>
      <c r="B1747" s="5" t="n">
        <v>917</v>
      </c>
      <c r="C1747" s="7" t="inlineStr">
        <is>
          <t>Nº 19024</t>
        </is>
      </c>
      <c r="D1747" s="8" t="inlineStr">
        <is>
          <t>CALIZI</t>
        </is>
      </c>
      <c r="E1747" s="7" t="inlineStr">
        <is>
          <t>Fungicida</t>
        </is>
      </c>
      <c r="F1747" s="7" t="inlineStr">
        <is>
          <t>Mancha-parda</t>
        </is>
      </c>
      <c r="G1747" s="7" t="inlineStr">
        <is>
          <t>Septoria glycines</t>
        </is>
      </c>
      <c r="H1747" s="7" t="inlineStr">
        <is>
          <t>NÃO</t>
        </is>
      </c>
      <c r="I1747" s="17" t="n">
        <v>0.35</v>
      </c>
      <c r="J1747" s="17" t="n">
        <v>0.5</v>
      </c>
      <c r="K1747" s="7" t="inlineStr">
        <is>
          <t>L/ha</t>
        </is>
      </c>
      <c r="L1747" s="9" t="n">
        <v>1</v>
      </c>
      <c r="M1747" s="7" t="inlineStr">
        <is>
          <t>Aplicar conforme monitoramento e estádio recomendado na bula (FRAC Grupo 3 (DMI))</t>
        </is>
      </c>
    </row>
    <row r="1748" ht="22" customHeight="1">
      <c r="A1748" s="12" t="inlineStr">
        <is>
          <t>ALV-1744</t>
        </is>
      </c>
      <c r="B1748" s="11" t="n">
        <v>918</v>
      </c>
      <c r="C1748" s="13" t="inlineStr">
        <is>
          <t>VINC-19024</t>
        </is>
      </c>
      <c r="D1748" s="14" t="inlineStr">
        <is>
          <t>Azoxistrobin Técnico Sinon</t>
        </is>
      </c>
      <c r="E1748" s="13" t="inlineStr">
        <is>
          <t>Insumo Industrial</t>
        </is>
      </c>
      <c r="F1748" s="13" t="inlineStr">
        <is>
          <t>Matéria-prima para Formulação Industrial</t>
        </is>
      </c>
      <c r="G1748" s="13" t="inlineStr">
        <is>
          <t>Uso Industrial Credenciado MAPA</t>
        </is>
      </c>
      <c r="H1748" s="13" t="inlineStr">
        <is>
          <t>NÃO</t>
        </is>
      </c>
      <c r="I1748" s="15" t="n">
        <v>0</v>
      </c>
      <c r="J1748" s="15" t="n">
        <v>0</v>
      </c>
      <c r="K1748" s="13" t="inlineStr">
        <is>
          <t>KG</t>
        </is>
      </c>
      <c r="L1748" s="15" t="n">
        <v>1</v>
      </c>
      <c r="M1748" s="13" t="inlineStr">
        <is>
          <t>Uso restrito a estabelecimentos formuladores registrados</t>
        </is>
      </c>
    </row>
    <row r="1749" ht="22" customHeight="1">
      <c r="A1749" s="6" t="inlineStr">
        <is>
          <t>ALV-1745</t>
        </is>
      </c>
      <c r="B1749" s="5" t="n">
        <v>919</v>
      </c>
      <c r="C1749" s="7" t="inlineStr">
        <is>
          <t>Nº 19124</t>
        </is>
      </c>
      <c r="D1749" s="8" t="inlineStr">
        <is>
          <t>FLUTRIAFOL AS</t>
        </is>
      </c>
      <c r="E1749" s="7" t="inlineStr">
        <is>
          <t>Fungicida</t>
        </is>
      </c>
      <c r="F1749" s="7" t="inlineStr">
        <is>
          <t>Complexo de Doenças Foliares e Ferrugem</t>
        </is>
      </c>
      <c r="G1749" s="7" t="inlineStr">
        <is>
          <t>Phakopsora pachyrhizi / Corynespora</t>
        </is>
      </c>
      <c r="H1749" s="7" t="inlineStr">
        <is>
          <t>NÃO</t>
        </is>
      </c>
      <c r="I1749" s="17" t="n">
        <v>0.3</v>
      </c>
      <c r="J1749" s="17" t="n">
        <v>1.5</v>
      </c>
      <c r="K1749" s="7" t="inlineStr">
        <is>
          <t>L ou kg/ha</t>
        </is>
      </c>
      <c r="L1749" s="9" t="n">
        <v>1</v>
      </c>
      <c r="M1749" s="7" t="inlineStr">
        <is>
          <t>Aplicar conforme monitoramento e estádio recomendado na bula (Classificação FRAC Oficial conforme Bula)</t>
        </is>
      </c>
    </row>
    <row r="1750" ht="22" customHeight="1">
      <c r="A1750" s="12" t="inlineStr">
        <is>
          <t>ALV-1746</t>
        </is>
      </c>
      <c r="B1750" s="11" t="n">
        <v>920</v>
      </c>
      <c r="C1750" s="13" t="inlineStr">
        <is>
          <t>VINC-19124</t>
        </is>
      </c>
      <c r="D1750" s="14" t="inlineStr">
        <is>
          <t>Flutriafol Tradecorp Técnico</t>
        </is>
      </c>
      <c r="E1750" s="13" t="inlineStr">
        <is>
          <t>Insumo Industrial</t>
        </is>
      </c>
      <c r="F1750" s="13" t="inlineStr">
        <is>
          <t>Matéria-prima para Formulação Industrial</t>
        </is>
      </c>
      <c r="G1750" s="13" t="inlineStr">
        <is>
          <t>Uso Industrial Credenciado MAPA</t>
        </is>
      </c>
      <c r="H1750" s="13" t="inlineStr">
        <is>
          <t>NÃO</t>
        </is>
      </c>
      <c r="I1750" s="15" t="n">
        <v>0</v>
      </c>
      <c r="J1750" s="15" t="n">
        <v>0</v>
      </c>
      <c r="K1750" s="13" t="inlineStr">
        <is>
          <t>KG</t>
        </is>
      </c>
      <c r="L1750" s="15" t="n">
        <v>1</v>
      </c>
      <c r="M1750" s="13" t="inlineStr">
        <is>
          <t>Uso restrito a estabelecimentos formuladores registrados</t>
        </is>
      </c>
    </row>
    <row r="1751" ht="22" customHeight="1">
      <c r="A1751" s="6" t="inlineStr">
        <is>
          <t>ALV-1747</t>
        </is>
      </c>
      <c r="B1751" s="5" t="n">
        <v>921</v>
      </c>
      <c r="C1751" s="7" t="inlineStr">
        <is>
          <t>Nº 19224</t>
        </is>
      </c>
      <c r="D1751" s="8" t="inlineStr">
        <is>
          <t>ZOOM TOP</t>
        </is>
      </c>
      <c r="E1751" s="7" t="inlineStr">
        <is>
          <t>Fungicida</t>
        </is>
      </c>
      <c r="F1751" s="7" t="inlineStr">
        <is>
          <t>Mancha-alvo</t>
        </is>
      </c>
      <c r="G1751" s="7" t="inlineStr">
        <is>
          <t>Corynespora cassiicola</t>
        </is>
      </c>
      <c r="H1751" s="7" t="inlineStr">
        <is>
          <t>SIM (*)</t>
        </is>
      </c>
      <c r="I1751" s="17" t="n">
        <v>0.4</v>
      </c>
      <c r="J1751" s="9" t="n">
        <v>1</v>
      </c>
      <c r="K1751" s="7" t="inlineStr">
        <is>
          <t>L ou kg/ha</t>
        </is>
      </c>
      <c r="L1751" s="9" t="n">
        <v>2</v>
      </c>
      <c r="M1751" s="7" t="inlineStr">
        <is>
          <t>Aplicar preventivamente conforme monitoramento (FRAC Grupo 3 (G1 — DMI))</t>
        </is>
      </c>
    </row>
    <row r="1752" ht="22" customHeight="1">
      <c r="A1752" s="12" t="inlineStr">
        <is>
          <t>ALV-1748</t>
        </is>
      </c>
      <c r="B1752" s="11" t="n">
        <v>921</v>
      </c>
      <c r="C1752" s="13" t="inlineStr">
        <is>
          <t>Nº 19224</t>
        </is>
      </c>
      <c r="D1752" s="14" t="inlineStr">
        <is>
          <t>ZOOM TOP</t>
        </is>
      </c>
      <c r="E1752" s="13" t="inlineStr">
        <is>
          <t>Fungicida</t>
        </is>
      </c>
      <c r="F1752" s="13" t="inlineStr">
        <is>
          <t>Ferrugem-asiática / Antracnose</t>
        </is>
      </c>
      <c r="G1752" s="13" t="inlineStr">
        <is>
          <t>Phakopsora pachyrhizi / Colletotrichum truncatum</t>
        </is>
      </c>
      <c r="H1752" s="13" t="inlineStr">
        <is>
          <t>SIM (*)</t>
        </is>
      </c>
      <c r="I1752" s="18" t="n">
        <v>0.4</v>
      </c>
      <c r="J1752" s="15" t="n">
        <v>1</v>
      </c>
      <c r="K1752" s="13" t="inlineStr">
        <is>
          <t>L ou kg/ha</t>
        </is>
      </c>
      <c r="L1752" s="15" t="n">
        <v>2</v>
      </c>
      <c r="M1752" s="13" t="inlineStr">
        <is>
          <t>Aplicar preventivamente conforme monitoramento (FRAC Grupo 3 (G1 — DMI))</t>
        </is>
      </c>
    </row>
    <row r="1753" ht="22" customHeight="1">
      <c r="A1753" s="6" t="inlineStr">
        <is>
          <t>ALV-1749</t>
        </is>
      </c>
      <c r="B1753" s="5" t="n">
        <v>922</v>
      </c>
      <c r="C1753" s="7" t="inlineStr">
        <is>
          <t>VINC-19224</t>
        </is>
      </c>
      <c r="D1753" s="8" t="inlineStr">
        <is>
          <t>Flutriafol Técnico Sinon</t>
        </is>
      </c>
      <c r="E1753" s="7" t="inlineStr">
        <is>
          <t>Insumo Industrial</t>
        </is>
      </c>
      <c r="F1753" s="7" t="inlineStr">
        <is>
          <t>Matéria-prima para Formulação Industrial</t>
        </is>
      </c>
      <c r="G1753" s="7" t="inlineStr">
        <is>
          <t>Uso Industrial Credenciado MAPA</t>
        </is>
      </c>
      <c r="H1753" s="7" t="inlineStr">
        <is>
          <t>NÃO</t>
        </is>
      </c>
      <c r="I1753" s="9" t="n">
        <v>0</v>
      </c>
      <c r="J1753" s="9" t="n">
        <v>0</v>
      </c>
      <c r="K1753" s="7" t="inlineStr">
        <is>
          <t>KG</t>
        </is>
      </c>
      <c r="L1753" s="9" t="n">
        <v>1</v>
      </c>
      <c r="M1753" s="7" t="inlineStr">
        <is>
          <t>Uso restrito a estabelecimentos formuladores registrados</t>
        </is>
      </c>
    </row>
    <row r="1754" ht="22" customHeight="1">
      <c r="A1754" s="12" t="inlineStr">
        <is>
          <t>ALV-1750</t>
        </is>
      </c>
      <c r="B1754" s="11" t="n">
        <v>923</v>
      </c>
      <c r="C1754" s="13" t="inlineStr">
        <is>
          <t>Nº 19324</t>
        </is>
      </c>
      <c r="D1754" s="14" t="inlineStr">
        <is>
          <t>MESOTRIONA SOLUS</t>
        </is>
      </c>
      <c r="E1754" s="13" t="inlineStr">
        <is>
          <t>Herbicida</t>
        </is>
      </c>
      <c r="F1754" s="13" t="inlineStr">
        <is>
          <t>Capim-carrapicho</t>
        </is>
      </c>
      <c r="G1754" s="13" t="inlineStr">
        <is>
          <t>Cenchrus echinatus</t>
        </is>
      </c>
      <c r="H1754" s="13" t="inlineStr">
        <is>
          <t>NÃO</t>
        </is>
      </c>
      <c r="I1754" s="18" t="n">
        <v>0.3</v>
      </c>
      <c r="J1754" s="18" t="n">
        <v>0.4</v>
      </c>
      <c r="K1754" s="13" t="inlineStr">
        <is>
          <t>L/ha</t>
        </is>
      </c>
      <c r="L1754" s="15" t="n">
        <v>1</v>
      </c>
      <c r="M1754" s="13" t="inlineStr">
        <is>
          <t>Aplicar conforme monitoramento e estádio recomendado na bula (HRAC Grupo F2 (27) — Inibidores da HPPD)</t>
        </is>
      </c>
    </row>
    <row r="1755" ht="22" customHeight="1">
      <c r="A1755" s="6" t="inlineStr">
        <is>
          <t>ALV-1751</t>
        </is>
      </c>
      <c r="B1755" s="5" t="n">
        <v>923</v>
      </c>
      <c r="C1755" s="7" t="inlineStr">
        <is>
          <t>Nº 19324</t>
        </is>
      </c>
      <c r="D1755" s="8" t="inlineStr">
        <is>
          <t>MESOTRIONA SOLUS</t>
        </is>
      </c>
      <c r="E1755" s="7" t="inlineStr">
        <is>
          <t>Herbicida</t>
        </is>
      </c>
      <c r="F1755" s="7" t="inlineStr">
        <is>
          <t>Caruru</t>
        </is>
      </c>
      <c r="G1755" s="7" t="inlineStr">
        <is>
          <t>Amaranthus viridis</t>
        </is>
      </c>
      <c r="H1755" s="7" t="inlineStr">
        <is>
          <t>NÃO</t>
        </is>
      </c>
      <c r="I1755" s="17" t="n">
        <v>0.25</v>
      </c>
      <c r="J1755" s="17" t="n">
        <v>0.4</v>
      </c>
      <c r="K1755" s="7" t="inlineStr">
        <is>
          <t>L/ha</t>
        </is>
      </c>
      <c r="L1755" s="9" t="n">
        <v>1</v>
      </c>
      <c r="M1755" s="7" t="inlineStr">
        <is>
          <t>Aplicar conforme monitoramento e estádio recomendado na bula (HRAC Grupo F2 (27) — Inibidores da HPPD)</t>
        </is>
      </c>
    </row>
    <row r="1756" ht="22" customHeight="1">
      <c r="A1756" s="12" t="inlineStr">
        <is>
          <t>ALV-1752</t>
        </is>
      </c>
      <c r="B1756" s="11" t="n">
        <v>923</v>
      </c>
      <c r="C1756" s="13" t="inlineStr">
        <is>
          <t>Nº 19324</t>
        </is>
      </c>
      <c r="D1756" s="14" t="inlineStr">
        <is>
          <t>MESOTRIONA SOLUS</t>
        </is>
      </c>
      <c r="E1756" s="13" t="inlineStr">
        <is>
          <t>Herbicida</t>
        </is>
      </c>
      <c r="F1756" s="13" t="inlineStr">
        <is>
          <t>Corda-de-viola</t>
        </is>
      </c>
      <c r="G1756" s="13" t="inlineStr">
        <is>
          <t>Ipomoea grandifolia</t>
        </is>
      </c>
      <c r="H1756" s="13" t="inlineStr">
        <is>
          <t>NÃO</t>
        </is>
      </c>
      <c r="I1756" s="18" t="n">
        <v>0.25</v>
      </c>
      <c r="J1756" s="18" t="n">
        <v>0.4</v>
      </c>
      <c r="K1756" s="13" t="inlineStr">
        <is>
          <t>L/ha</t>
        </is>
      </c>
      <c r="L1756" s="15" t="n">
        <v>1</v>
      </c>
      <c r="M1756" s="13" t="inlineStr">
        <is>
          <t>Aplicar conforme monitoramento e estádio recomendado na bula (HRAC Grupo F2 (27) — Inibidores da HPPD)</t>
        </is>
      </c>
    </row>
    <row r="1757" ht="22" customHeight="1">
      <c r="A1757" s="6" t="inlineStr">
        <is>
          <t>ALV-1753</t>
        </is>
      </c>
      <c r="B1757" s="5" t="n">
        <v>924</v>
      </c>
      <c r="C1757" s="7" t="inlineStr">
        <is>
          <t>VINC-19324</t>
        </is>
      </c>
      <c r="D1757" s="8" t="inlineStr">
        <is>
          <t>Mesotriona Técnico Solus</t>
        </is>
      </c>
      <c r="E1757" s="7" t="inlineStr">
        <is>
          <t>Insumo Industrial</t>
        </is>
      </c>
      <c r="F1757" s="7" t="inlineStr">
        <is>
          <t>Matéria-prima para Formulação Industrial</t>
        </is>
      </c>
      <c r="G1757" s="7" t="inlineStr">
        <is>
          <t>Uso Industrial Credenciado MAPA</t>
        </is>
      </c>
      <c r="H1757" s="7" t="inlineStr">
        <is>
          <t>NÃO</t>
        </is>
      </c>
      <c r="I1757" s="9" t="n">
        <v>0</v>
      </c>
      <c r="J1757" s="9" t="n">
        <v>0</v>
      </c>
      <c r="K1757" s="7" t="inlineStr">
        <is>
          <t>KG</t>
        </is>
      </c>
      <c r="L1757" s="9" t="n">
        <v>1</v>
      </c>
      <c r="M1757" s="7" t="inlineStr">
        <is>
          <t>Uso restrito a estabelecimentos formuladores registrados</t>
        </is>
      </c>
    </row>
    <row r="1758" ht="22" customHeight="1">
      <c r="A1758" s="12" t="inlineStr">
        <is>
          <t>ALV-1754</t>
        </is>
      </c>
      <c r="B1758" s="11" t="n">
        <v>925</v>
      </c>
      <c r="C1758" s="13" t="inlineStr">
        <is>
          <t>Nº 19424</t>
        </is>
      </c>
      <c r="D1758" s="14" t="inlineStr">
        <is>
          <t>TRINEXAPAQUE ASCENZA EC</t>
        </is>
      </c>
      <c r="E1758" s="13" t="inlineStr">
        <is>
          <t>Regulador de Crescimento</t>
        </is>
      </c>
      <c r="F1758" s="13" t="inlineStr">
        <is>
          <t>Maturador de Cana-de-Açúcar e Redutor de Acamamento em Trigo/Cevada</t>
        </is>
      </c>
      <c r="G1758" s="13" t="inlineStr">
        <is>
          <t>Saccharum officinarum / Triticum aestivum (Manejo Fisiológico)</t>
        </is>
      </c>
      <c r="H1758" s="13" t="inlineStr">
        <is>
          <t>NÃO</t>
        </is>
      </c>
      <c r="I1758" s="18" t="n">
        <v>0.4</v>
      </c>
      <c r="J1758" s="18" t="n">
        <v>1.2</v>
      </c>
      <c r="K1758" s="13" t="inlineStr">
        <is>
          <t>L/ha</t>
        </is>
      </c>
      <c r="L1758" s="15" t="n">
        <v>1</v>
      </c>
      <c r="M1758" s="13" t="inlineStr">
        <is>
          <t>Aplicar para incremento de sacarose (ATR) em cana ou redução de entrenós em cereais de inverno</t>
        </is>
      </c>
    </row>
    <row r="1759" ht="22" customHeight="1">
      <c r="A1759" s="6" t="inlineStr">
        <is>
          <t>ALV-1755</t>
        </is>
      </c>
      <c r="B1759" s="5" t="n">
        <v>926</v>
      </c>
      <c r="C1759" s="7" t="inlineStr">
        <is>
          <t>VINC-19424</t>
        </is>
      </c>
      <c r="D1759" s="8" t="inlineStr">
        <is>
          <t>Trinexapaque-Etílico Ascenza Técnico</t>
        </is>
      </c>
      <c r="E1759" s="7" t="inlineStr">
        <is>
          <t>Insumo Industrial</t>
        </is>
      </c>
      <c r="F1759" s="7" t="inlineStr">
        <is>
          <t>Matéria-prima para Formulação Industrial</t>
        </is>
      </c>
      <c r="G1759" s="7" t="inlineStr">
        <is>
          <t>Uso Industrial Credenciado MAPA</t>
        </is>
      </c>
      <c r="H1759" s="7" t="inlineStr">
        <is>
          <t>NÃO</t>
        </is>
      </c>
      <c r="I1759" s="9" t="n">
        <v>0</v>
      </c>
      <c r="J1759" s="9" t="n">
        <v>0</v>
      </c>
      <c r="K1759" s="7" t="inlineStr">
        <is>
          <t>KG</t>
        </is>
      </c>
      <c r="L1759" s="9" t="n">
        <v>1</v>
      </c>
      <c r="M1759" s="7" t="inlineStr">
        <is>
          <t>Uso restrito a estabelecimentos formuladores registrados</t>
        </is>
      </c>
    </row>
    <row r="1760" ht="22" customHeight="1">
      <c r="A1760" s="12" t="inlineStr">
        <is>
          <t>ALV-1756</t>
        </is>
      </c>
      <c r="B1760" s="11" t="n">
        <v>927</v>
      </c>
      <c r="C1760" s="13" t="inlineStr">
        <is>
          <t>Nº 19524</t>
        </is>
      </c>
      <c r="D1760" s="14" t="inlineStr">
        <is>
          <t>CARAVANA 806 SL</t>
        </is>
      </c>
      <c r="E1760" s="13" t="inlineStr">
        <is>
          <t>Herbicida</t>
        </is>
      </c>
      <c r="F1760" s="13" t="inlineStr">
        <is>
          <t>Buva</t>
        </is>
      </c>
      <c r="G1760" s="13" t="inlineStr">
        <is>
          <t>Conyza bonariensis</t>
        </is>
      </c>
      <c r="H1760" s="13" t="inlineStr">
        <is>
          <t>SIM (*)</t>
        </is>
      </c>
      <c r="I1760" s="15" t="n">
        <v>1</v>
      </c>
      <c r="J1760" s="18" t="n">
        <v>1.5</v>
      </c>
      <c r="K1760" s="13" t="inlineStr">
        <is>
          <t>L/ha</t>
        </is>
      </c>
      <c r="L1760" s="15" t="n">
        <v>1</v>
      </c>
      <c r="M1760" s="13" t="inlineStr">
        <is>
          <t>Aplicar conforme monitoramento e estádio recomendado na bula (HRAC Grupo O (4) — Auxinas Sintéticas)</t>
        </is>
      </c>
    </row>
    <row r="1761" ht="22" customHeight="1">
      <c r="A1761" s="6" t="inlineStr">
        <is>
          <t>ALV-1757</t>
        </is>
      </c>
      <c r="B1761" s="5" t="n">
        <v>927</v>
      </c>
      <c r="C1761" s="7" t="inlineStr">
        <is>
          <t>Nº 19524</t>
        </is>
      </c>
      <c r="D1761" s="8" t="inlineStr">
        <is>
          <t>CARAVANA 806 SL</t>
        </is>
      </c>
      <c r="E1761" s="7" t="inlineStr">
        <is>
          <t>Herbicida</t>
        </is>
      </c>
      <c r="F1761" s="7" t="inlineStr">
        <is>
          <t>Corda-de-viola</t>
        </is>
      </c>
      <c r="G1761" s="7" t="inlineStr">
        <is>
          <t>Ipomoea grandifolia</t>
        </is>
      </c>
      <c r="H1761" s="7" t="inlineStr">
        <is>
          <t>NÃO</t>
        </is>
      </c>
      <c r="I1761" s="9" t="n">
        <v>1</v>
      </c>
      <c r="J1761" s="17" t="n">
        <v>1.5</v>
      </c>
      <c r="K1761" s="7" t="inlineStr">
        <is>
          <t>L/ha</t>
        </is>
      </c>
      <c r="L1761" s="9" t="n">
        <v>1</v>
      </c>
      <c r="M1761" s="7" t="inlineStr">
        <is>
          <t>Aplicar conforme monitoramento e estádio recomendado na bula (HRAC Grupo O (4) — Auxinas Sintéticas)</t>
        </is>
      </c>
    </row>
    <row r="1762" ht="22" customHeight="1">
      <c r="A1762" s="12" t="inlineStr">
        <is>
          <t>ALV-1758</t>
        </is>
      </c>
      <c r="B1762" s="11" t="n">
        <v>927</v>
      </c>
      <c r="C1762" s="13" t="inlineStr">
        <is>
          <t>Nº 19524</t>
        </is>
      </c>
      <c r="D1762" s="14" t="inlineStr">
        <is>
          <t>CARAVANA 806 SL</t>
        </is>
      </c>
      <c r="E1762" s="13" t="inlineStr">
        <is>
          <t>Herbicida</t>
        </is>
      </c>
      <c r="F1762" s="13" t="inlineStr">
        <is>
          <t>Trapoeraba</t>
        </is>
      </c>
      <c r="G1762" s="13" t="inlineStr">
        <is>
          <t>Commelina benghalensis</t>
        </is>
      </c>
      <c r="H1762" s="13" t="inlineStr">
        <is>
          <t>NÃO</t>
        </is>
      </c>
      <c r="I1762" s="15" t="n">
        <v>1</v>
      </c>
      <c r="J1762" s="15" t="n">
        <v>2</v>
      </c>
      <c r="K1762" s="13" t="inlineStr">
        <is>
          <t>L/ha</t>
        </is>
      </c>
      <c r="L1762" s="15" t="n">
        <v>1</v>
      </c>
      <c r="M1762" s="13" t="inlineStr">
        <is>
          <t>Aplicar conforme monitoramento e estádio recomendado na bula (HRAC Grupo O (4) — Auxinas Sintéticas)</t>
        </is>
      </c>
    </row>
    <row r="1763" ht="22" customHeight="1">
      <c r="A1763" s="6" t="inlineStr">
        <is>
          <t>ALV-1759</t>
        </is>
      </c>
      <c r="B1763" s="5" t="n">
        <v>928</v>
      </c>
      <c r="C1763" s="7" t="inlineStr">
        <is>
          <t>VINC-19524</t>
        </is>
      </c>
      <c r="D1763" s="8" t="inlineStr">
        <is>
          <t>2,4-D Técnico MCR</t>
        </is>
      </c>
      <c r="E1763" s="7" t="inlineStr">
        <is>
          <t>Insumo Industrial</t>
        </is>
      </c>
      <c r="F1763" s="7" t="inlineStr">
        <is>
          <t>Matéria-prima para Formulação Industrial</t>
        </is>
      </c>
      <c r="G1763" s="7" t="inlineStr">
        <is>
          <t>Uso Industrial Credenciado MAPA</t>
        </is>
      </c>
      <c r="H1763" s="7" t="inlineStr">
        <is>
          <t>NÃO</t>
        </is>
      </c>
      <c r="I1763" s="9" t="n">
        <v>0</v>
      </c>
      <c r="J1763" s="9" t="n">
        <v>0</v>
      </c>
      <c r="K1763" s="7" t="inlineStr">
        <is>
          <t>KG</t>
        </is>
      </c>
      <c r="L1763" s="9" t="n">
        <v>1</v>
      </c>
      <c r="M1763" s="7" t="inlineStr">
        <is>
          <t>Uso restrito a estabelecimentos formuladores registrados</t>
        </is>
      </c>
    </row>
    <row r="1764" ht="22" customHeight="1">
      <c r="A1764" s="12" t="inlineStr">
        <is>
          <t>ALV-1760</t>
        </is>
      </c>
      <c r="B1764" s="11" t="n">
        <v>929</v>
      </c>
      <c r="C1764" s="13" t="inlineStr">
        <is>
          <t>Nº 19624</t>
        </is>
      </c>
      <c r="D1764" s="14" t="inlineStr">
        <is>
          <t>PIRIPROXIFEM BRX</t>
        </is>
      </c>
      <c r="E1764" s="13" t="inlineStr">
        <is>
          <t>Inseticida Fisiológico</t>
        </is>
      </c>
      <c r="F1764" s="13" t="inlineStr">
        <is>
          <t>Mosca-branca / Lagarta-do-cartucho</t>
        </is>
      </c>
      <c r="G1764" s="13" t="inlineStr">
        <is>
          <t>Bemisia tabaci raça B / Spodoptera frugiperda</t>
        </is>
      </c>
      <c r="H1764" s="13" t="inlineStr">
        <is>
          <t>SIM (*)</t>
        </is>
      </c>
      <c r="I1764" s="18" t="n">
        <v>0.1</v>
      </c>
      <c r="J1764" s="18" t="n">
        <v>0.5</v>
      </c>
      <c r="K1764" s="13" t="inlineStr">
        <is>
          <t>L ou kg/ha</t>
        </is>
      </c>
      <c r="L1764" s="15" t="n">
        <v>2</v>
      </c>
      <c r="M1764" s="13" t="inlineStr">
        <is>
          <t>Aplicar no início da infestação conforme bula (IRAC Grupo 7C)</t>
        </is>
      </c>
    </row>
    <row r="1765" ht="22" customHeight="1">
      <c r="A1765" s="6" t="inlineStr">
        <is>
          <t>ALV-1761</t>
        </is>
      </c>
      <c r="B1765" s="5" t="n">
        <v>930</v>
      </c>
      <c r="C1765" s="7" t="inlineStr">
        <is>
          <t>VINC-19624</t>
        </is>
      </c>
      <c r="D1765" s="8" t="inlineStr">
        <is>
          <t>Piriproxifen Técnico Nortox</t>
        </is>
      </c>
      <c r="E1765" s="7" t="inlineStr">
        <is>
          <t>Insumo Industrial</t>
        </is>
      </c>
      <c r="F1765" s="7" t="inlineStr">
        <is>
          <t>Matéria-prima para Formulação Industrial</t>
        </is>
      </c>
      <c r="G1765" s="7" t="inlineStr">
        <is>
          <t>Uso Industrial Credenciado MAPA</t>
        </is>
      </c>
      <c r="H1765" s="7" t="inlineStr">
        <is>
          <t>NÃO</t>
        </is>
      </c>
      <c r="I1765" s="9" t="n">
        <v>0</v>
      </c>
      <c r="J1765" s="9" t="n">
        <v>0</v>
      </c>
      <c r="K1765" s="7" t="inlineStr">
        <is>
          <t>KG</t>
        </is>
      </c>
      <c r="L1765" s="9" t="n">
        <v>1</v>
      </c>
      <c r="M1765" s="7" t="inlineStr">
        <is>
          <t>Uso restrito a estabelecimentos formuladores registrados</t>
        </is>
      </c>
    </row>
    <row r="1766" ht="22" customHeight="1">
      <c r="A1766" s="12" t="inlineStr">
        <is>
          <t>ALV-1762</t>
        </is>
      </c>
      <c r="B1766" s="11" t="n">
        <v>931</v>
      </c>
      <c r="C1766" s="13" t="inlineStr">
        <is>
          <t>Nº 19724</t>
        </is>
      </c>
      <c r="D1766" s="14" t="inlineStr">
        <is>
          <t>SONET</t>
        </is>
      </c>
      <c r="E1766" s="13" t="inlineStr">
        <is>
          <t>Inseticida</t>
        </is>
      </c>
      <c r="F1766" s="13" t="inlineStr">
        <is>
          <t>Mosca-branca</t>
        </is>
      </c>
      <c r="G1766" s="13" t="inlineStr">
        <is>
          <t>Bemisia tabaci raça B</t>
        </is>
      </c>
      <c r="H1766" s="13" t="inlineStr">
        <is>
          <t>SIM (*)</t>
        </is>
      </c>
      <c r="I1766" s="18" t="n">
        <v>0.25</v>
      </c>
      <c r="J1766" s="18" t="n">
        <v>0.5</v>
      </c>
      <c r="K1766" s="13" t="inlineStr">
        <is>
          <t>L/ha</t>
        </is>
      </c>
      <c r="L1766" s="15" t="n">
        <v>1</v>
      </c>
      <c r="M1766" s="13" t="inlineStr">
        <is>
          <t>Aplicar conforme monitoramento e estádio recomendado na bula (IRAC Grupo 7C)</t>
        </is>
      </c>
    </row>
    <row r="1767" ht="22" customHeight="1">
      <c r="A1767" s="6" t="inlineStr">
        <is>
          <t>ALV-1763</t>
        </is>
      </c>
      <c r="B1767" s="5" t="n">
        <v>931</v>
      </c>
      <c r="C1767" s="7" t="inlineStr">
        <is>
          <t>Nº 19724</t>
        </is>
      </c>
      <c r="D1767" s="8" t="inlineStr">
        <is>
          <t>SONET</t>
        </is>
      </c>
      <c r="E1767" s="7" t="inlineStr">
        <is>
          <t>Inseticida</t>
        </is>
      </c>
      <c r="F1767" s="7" t="inlineStr">
        <is>
          <t>Cochonilha-escama-farinha</t>
        </is>
      </c>
      <c r="G1767" s="7" t="inlineStr">
        <is>
          <t>Pinnaspis aspidistrae</t>
        </is>
      </c>
      <c r="H1767" s="7" t="inlineStr">
        <is>
          <t>NÃO</t>
        </is>
      </c>
      <c r="I1767" s="17" t="n">
        <v>0.5</v>
      </c>
      <c r="J1767" s="17" t="n">
        <v>0.75</v>
      </c>
      <c r="K1767" s="7" t="inlineStr">
        <is>
          <t>L/ha</t>
        </is>
      </c>
      <c r="L1767" s="9" t="n">
        <v>1</v>
      </c>
      <c r="M1767" s="7" t="inlineStr">
        <is>
          <t>Aplicar conforme monitoramento e estádio recomendado na bula (IRAC Grupo 7C)</t>
        </is>
      </c>
    </row>
    <row r="1768" ht="22" customHeight="1">
      <c r="A1768" s="12" t="inlineStr">
        <is>
          <t>ALV-1764</t>
        </is>
      </c>
      <c r="B1768" s="11" t="n">
        <v>932</v>
      </c>
      <c r="C1768" s="13" t="inlineStr">
        <is>
          <t>VINC-19724</t>
        </is>
      </c>
      <c r="D1768" s="14" t="inlineStr">
        <is>
          <t>Dinno Técnico</t>
        </is>
      </c>
      <c r="E1768" s="13" t="inlineStr">
        <is>
          <t>Insumo Industrial</t>
        </is>
      </c>
      <c r="F1768" s="13" t="inlineStr">
        <is>
          <t>Matéria-prima para Formulação Industrial</t>
        </is>
      </c>
      <c r="G1768" s="13" t="inlineStr">
        <is>
          <t>Uso Industrial Credenciado MAPA</t>
        </is>
      </c>
      <c r="H1768" s="13" t="inlineStr">
        <is>
          <t>NÃO</t>
        </is>
      </c>
      <c r="I1768" s="15" t="n">
        <v>0</v>
      </c>
      <c r="J1768" s="15" t="n">
        <v>0</v>
      </c>
      <c r="K1768" s="13" t="inlineStr">
        <is>
          <t>KG</t>
        </is>
      </c>
      <c r="L1768" s="15" t="n">
        <v>1</v>
      </c>
      <c r="M1768" s="13" t="inlineStr">
        <is>
          <t>Uso restrito a estabelecimentos formuladores registrados</t>
        </is>
      </c>
    </row>
    <row r="1769" ht="22" customHeight="1">
      <c r="A1769" s="6" t="inlineStr">
        <is>
          <t>ALV-1765</t>
        </is>
      </c>
      <c r="B1769" s="5" t="n">
        <v>933</v>
      </c>
      <c r="C1769" s="7" t="inlineStr">
        <is>
          <t>VINC-19724</t>
        </is>
      </c>
      <c r="D1769" s="8" t="inlineStr">
        <is>
          <t>Lambda-Cialotrina Técnico Ihara</t>
        </is>
      </c>
      <c r="E1769" s="7" t="inlineStr">
        <is>
          <t>Insumo Industrial</t>
        </is>
      </c>
      <c r="F1769" s="7" t="inlineStr">
        <is>
          <t>Matéria-prima para Formulação Industrial</t>
        </is>
      </c>
      <c r="G1769" s="7" t="inlineStr">
        <is>
          <t>Uso Industrial Credenciado MAPA</t>
        </is>
      </c>
      <c r="H1769" s="7" t="inlineStr">
        <is>
          <t>NÃO</t>
        </is>
      </c>
      <c r="I1769" s="9" t="n">
        <v>0</v>
      </c>
      <c r="J1769" s="9" t="n">
        <v>0</v>
      </c>
      <c r="K1769" s="7" t="inlineStr">
        <is>
          <t>KG</t>
        </is>
      </c>
      <c r="L1769" s="9" t="n">
        <v>1</v>
      </c>
      <c r="M1769" s="7" t="inlineStr">
        <is>
          <t>Uso restrito a estabelecimentos formuladores registrados</t>
        </is>
      </c>
    </row>
    <row r="1770" ht="22" customHeight="1">
      <c r="A1770" s="12" t="inlineStr">
        <is>
          <t>ALV-1766</t>
        </is>
      </c>
      <c r="B1770" s="11" t="n">
        <v>934</v>
      </c>
      <c r="C1770" s="13" t="inlineStr">
        <is>
          <t>VINC-19724</t>
        </is>
      </c>
      <c r="D1770" s="14" t="inlineStr">
        <is>
          <t>Lambda-Cyhalothrin Técnico Oxon</t>
        </is>
      </c>
      <c r="E1770" s="13" t="inlineStr">
        <is>
          <t>Insumo Industrial</t>
        </is>
      </c>
      <c r="F1770" s="13" t="inlineStr">
        <is>
          <t>Matéria-prima para Formulação Industrial</t>
        </is>
      </c>
      <c r="G1770" s="13" t="inlineStr">
        <is>
          <t>Uso Industrial Credenciado MAPA</t>
        </is>
      </c>
      <c r="H1770" s="13" t="inlineStr">
        <is>
          <t>NÃO</t>
        </is>
      </c>
      <c r="I1770" s="15" t="n">
        <v>0</v>
      </c>
      <c r="J1770" s="15" t="n">
        <v>0</v>
      </c>
      <c r="K1770" s="13" t="inlineStr">
        <is>
          <t>KG</t>
        </is>
      </c>
      <c r="L1770" s="15" t="n">
        <v>1</v>
      </c>
      <c r="M1770" s="13" t="inlineStr">
        <is>
          <t>Uso restrito a estabelecimentos formuladores registrados</t>
        </is>
      </c>
    </row>
    <row r="1771" ht="22" customHeight="1">
      <c r="A1771" s="6" t="inlineStr">
        <is>
          <t>ALV-1767</t>
        </is>
      </c>
      <c r="B1771" s="5" t="n">
        <v>935</v>
      </c>
      <c r="C1771" s="7" t="inlineStr">
        <is>
          <t>VINC-19724</t>
        </is>
      </c>
      <c r="D1771" s="8" t="inlineStr">
        <is>
          <t>Lambda Cyhalothrin Técnico Sulphur Mills</t>
        </is>
      </c>
      <c r="E1771" s="7" t="inlineStr">
        <is>
          <t>Insumo Industrial</t>
        </is>
      </c>
      <c r="F1771" s="7" t="inlineStr">
        <is>
          <t>Matéria-prima para Formulação Industrial</t>
        </is>
      </c>
      <c r="G1771" s="7" t="inlineStr">
        <is>
          <t>Uso Industrial Credenciado MAPA</t>
        </is>
      </c>
      <c r="H1771" s="7" t="inlineStr">
        <is>
          <t>NÃO</t>
        </is>
      </c>
      <c r="I1771" s="9" t="n">
        <v>0</v>
      </c>
      <c r="J1771" s="9" t="n">
        <v>0</v>
      </c>
      <c r="K1771" s="7" t="inlineStr">
        <is>
          <t>KG</t>
        </is>
      </c>
      <c r="L1771" s="9" t="n">
        <v>1</v>
      </c>
      <c r="M1771" s="7" t="inlineStr">
        <is>
          <t>Uso restrito a estabelecimentos formuladores registrados</t>
        </is>
      </c>
    </row>
    <row r="1772" ht="22" customHeight="1">
      <c r="A1772" s="12" t="inlineStr">
        <is>
          <t>ALV-1768</t>
        </is>
      </c>
      <c r="B1772" s="11" t="n">
        <v>936</v>
      </c>
      <c r="C1772" s="13" t="inlineStr">
        <is>
          <t>Nº 19824</t>
        </is>
      </c>
      <c r="D1772" s="14" t="inlineStr">
        <is>
          <t>AHEAD</t>
        </is>
      </c>
      <c r="E1772" s="13" t="inlineStr">
        <is>
          <t>Inseticida</t>
        </is>
      </c>
      <c r="F1772" s="13" t="inlineStr">
        <is>
          <t>Mosca-branca</t>
        </is>
      </c>
      <c r="G1772" s="13" t="inlineStr">
        <is>
          <t>Bemisia tabaci raça B</t>
        </is>
      </c>
      <c r="H1772" s="13" t="inlineStr">
        <is>
          <t>SIM (*)</t>
        </is>
      </c>
      <c r="I1772" s="18" t="n">
        <v>0.25</v>
      </c>
      <c r="J1772" s="18" t="n">
        <v>0.5</v>
      </c>
      <c r="K1772" s="13" t="inlineStr">
        <is>
          <t>L/ha</t>
        </is>
      </c>
      <c r="L1772" s="15" t="n">
        <v>1</v>
      </c>
      <c r="M1772" s="13" t="inlineStr">
        <is>
          <t>Aplicar conforme monitoramento e estádio recomendado na bula (IRAC Grupo 7C)</t>
        </is>
      </c>
    </row>
    <row r="1773" ht="22" customHeight="1">
      <c r="A1773" s="6" t="inlineStr">
        <is>
          <t>ALV-1769</t>
        </is>
      </c>
      <c r="B1773" s="5" t="n">
        <v>936</v>
      </c>
      <c r="C1773" s="7" t="inlineStr">
        <is>
          <t>Nº 19824</t>
        </is>
      </c>
      <c r="D1773" s="8" t="inlineStr">
        <is>
          <t>AHEAD</t>
        </is>
      </c>
      <c r="E1773" s="7" t="inlineStr">
        <is>
          <t>Inseticida</t>
        </is>
      </c>
      <c r="F1773" s="7" t="inlineStr">
        <is>
          <t>Cochonilha-escama-farinha</t>
        </is>
      </c>
      <c r="G1773" s="7" t="inlineStr">
        <is>
          <t>Pinnaspis aspidistrae</t>
        </is>
      </c>
      <c r="H1773" s="7" t="inlineStr">
        <is>
          <t>NÃO</t>
        </is>
      </c>
      <c r="I1773" s="17" t="n">
        <v>0.5</v>
      </c>
      <c r="J1773" s="17" t="n">
        <v>0.75</v>
      </c>
      <c r="K1773" s="7" t="inlineStr">
        <is>
          <t>L/ha</t>
        </is>
      </c>
      <c r="L1773" s="9" t="n">
        <v>1</v>
      </c>
      <c r="M1773" s="7" t="inlineStr">
        <is>
          <t>Aplicar conforme monitoramento e estádio recomendado na bula (IRAC Grupo 7C)</t>
        </is>
      </c>
    </row>
    <row r="1774" ht="22" customHeight="1">
      <c r="A1774" s="12" t="inlineStr">
        <is>
          <t>ALV-1770</t>
        </is>
      </c>
      <c r="B1774" s="11" t="n">
        <v>937</v>
      </c>
      <c r="C1774" s="13" t="inlineStr">
        <is>
          <t>VINC-19824</t>
        </is>
      </c>
      <c r="D1774" s="14" t="inlineStr">
        <is>
          <t>Tiger Técnico</t>
        </is>
      </c>
      <c r="E1774" s="13" t="inlineStr">
        <is>
          <t>Insumo Industrial</t>
        </is>
      </c>
      <c r="F1774" s="13" t="inlineStr">
        <is>
          <t>Matéria-prima para Formulação Industrial</t>
        </is>
      </c>
      <c r="G1774" s="13" t="inlineStr">
        <is>
          <t>Uso Industrial Credenciado MAPA</t>
        </is>
      </c>
      <c r="H1774" s="13" t="inlineStr">
        <is>
          <t>NÃO</t>
        </is>
      </c>
      <c r="I1774" s="15" t="n">
        <v>0</v>
      </c>
      <c r="J1774" s="15" t="n">
        <v>0</v>
      </c>
      <c r="K1774" s="13" t="inlineStr">
        <is>
          <t>KG</t>
        </is>
      </c>
      <c r="L1774" s="15" t="n">
        <v>1</v>
      </c>
      <c r="M1774" s="13" t="inlineStr">
        <is>
          <t>Uso restrito a estabelecimentos formuladores registrados</t>
        </is>
      </c>
    </row>
    <row r="1775" ht="22" customHeight="1">
      <c r="A1775" s="6" t="inlineStr">
        <is>
          <t>ALV-1771</t>
        </is>
      </c>
      <c r="B1775" s="5" t="n">
        <v>938</v>
      </c>
      <c r="C1775" s="7" t="inlineStr">
        <is>
          <t>Nº 19924</t>
        </is>
      </c>
      <c r="D1775" s="8" t="inlineStr">
        <is>
          <t>DOPPIO</t>
        </is>
      </c>
      <c r="E1775" s="7" t="inlineStr">
        <is>
          <t>Herbicida Dessecante</t>
        </is>
      </c>
      <c r="F1775" s="7" t="inlineStr">
        <is>
          <t>Buva</t>
        </is>
      </c>
      <c r="G1775" s="7" t="inlineStr">
        <is>
          <t>Conyza bonariensis</t>
        </is>
      </c>
      <c r="H1775" s="7" t="inlineStr">
        <is>
          <t>NÃO</t>
        </is>
      </c>
      <c r="I1775" s="17" t="n">
        <v>1.5</v>
      </c>
      <c r="J1775" s="17" t="n">
        <v>2.5</v>
      </c>
      <c r="K1775" s="7" t="inlineStr">
        <is>
          <t>L/ha</t>
        </is>
      </c>
      <c r="L1775" s="9" t="n">
        <v>1</v>
      </c>
      <c r="M1775" s="7" t="inlineStr">
        <is>
          <t>Aplicar conforme monitoramento e estádio recomendado na bula (HRAC Grupo D (22) — Desviadores de Elétrons do Fotossistema I)</t>
        </is>
      </c>
    </row>
    <row r="1776" ht="22" customHeight="1">
      <c r="A1776" s="12" t="inlineStr">
        <is>
          <t>ALV-1772</t>
        </is>
      </c>
      <c r="B1776" s="11" t="n">
        <v>938</v>
      </c>
      <c r="C1776" s="13" t="inlineStr">
        <is>
          <t>Nº 19924</t>
        </is>
      </c>
      <c r="D1776" s="14" t="inlineStr">
        <is>
          <t>DOPPIO</t>
        </is>
      </c>
      <c r="E1776" s="13" t="inlineStr">
        <is>
          <t>Herbicida Dessecante</t>
        </is>
      </c>
      <c r="F1776" s="13" t="inlineStr">
        <is>
          <t>Corda-de-viola</t>
        </is>
      </c>
      <c r="G1776" s="13" t="inlineStr">
        <is>
          <t>Ipomoea grandifolia</t>
        </is>
      </c>
      <c r="H1776" s="13" t="inlineStr">
        <is>
          <t>NÃO</t>
        </is>
      </c>
      <c r="I1776" s="18" t="n">
        <v>1.5</v>
      </c>
      <c r="J1776" s="15" t="n">
        <v>2</v>
      </c>
      <c r="K1776" s="13" t="inlineStr">
        <is>
          <t>L/ha</t>
        </is>
      </c>
      <c r="L1776" s="15" t="n">
        <v>1</v>
      </c>
      <c r="M1776" s="13" t="inlineStr">
        <is>
          <t>Aplicar conforme monitoramento e estádio recomendado na bula (HRAC Grupo D (22) — Desviadores de Elétrons do Fotossistema I)</t>
        </is>
      </c>
    </row>
    <row r="1777" ht="22" customHeight="1">
      <c r="A1777" s="6" t="inlineStr">
        <is>
          <t>ALV-1773</t>
        </is>
      </c>
      <c r="B1777" s="5" t="n">
        <v>938</v>
      </c>
      <c r="C1777" s="7" t="inlineStr">
        <is>
          <t>Nº 19924</t>
        </is>
      </c>
      <c r="D1777" s="8" t="inlineStr">
        <is>
          <t>DOPPIO</t>
        </is>
      </c>
      <c r="E1777" s="7" t="inlineStr">
        <is>
          <t>Herbicida Dessecante</t>
        </is>
      </c>
      <c r="F1777" s="7" t="inlineStr">
        <is>
          <t>Dessecação Pré-Colheita Soja</t>
        </is>
      </c>
      <c r="G1777" s="7" t="inlineStr">
        <is>
          <t>Glycine max</t>
        </is>
      </c>
      <c r="H1777" s="7" t="inlineStr">
        <is>
          <t>NÃO</t>
        </is>
      </c>
      <c r="I1777" s="17" t="n">
        <v>1.5</v>
      </c>
      <c r="J1777" s="9" t="n">
        <v>2</v>
      </c>
      <c r="K1777" s="7" t="inlineStr">
        <is>
          <t>L/ha</t>
        </is>
      </c>
      <c r="L1777" s="9" t="n">
        <v>1</v>
      </c>
      <c r="M1777" s="7" t="inlineStr">
        <is>
          <t>Aplicar conforme monitoramento e estádio recomendado na bula (HRAC Grupo D (22) — Desviadores de Elétrons do Fotossistema I)</t>
        </is>
      </c>
    </row>
    <row r="1778" ht="22" customHeight="1">
      <c r="A1778" s="12" t="inlineStr">
        <is>
          <t>ALV-1774</t>
        </is>
      </c>
      <c r="B1778" s="11" t="n">
        <v>939</v>
      </c>
      <c r="C1778" s="13" t="inlineStr">
        <is>
          <t>VINC-19924</t>
        </is>
      </c>
      <c r="D1778" s="14" t="inlineStr">
        <is>
          <t>Diquat Técnico</t>
        </is>
      </c>
      <c r="E1778" s="13" t="inlineStr">
        <is>
          <t>Insumo Industrial</t>
        </is>
      </c>
      <c r="F1778" s="13" t="inlineStr">
        <is>
          <t>Matéria-prima para Formulação Industrial</t>
        </is>
      </c>
      <c r="G1778" s="13" t="inlineStr">
        <is>
          <t>Uso Industrial Credenciado MAPA</t>
        </is>
      </c>
      <c r="H1778" s="13" t="inlineStr">
        <is>
          <t>NÃO</t>
        </is>
      </c>
      <c r="I1778" s="15" t="n">
        <v>0</v>
      </c>
      <c r="J1778" s="15" t="n">
        <v>0</v>
      </c>
      <c r="K1778" s="13" t="inlineStr">
        <is>
          <t>KG</t>
        </is>
      </c>
      <c r="L1778" s="15" t="n">
        <v>1</v>
      </c>
      <c r="M1778" s="13" t="inlineStr">
        <is>
          <t>Uso restrito a estabelecimentos formuladores registrados</t>
        </is>
      </c>
    </row>
    <row r="1779" ht="22" customHeight="1">
      <c r="A1779" s="6" t="inlineStr">
        <is>
          <t>ALV-1775</t>
        </is>
      </c>
      <c r="B1779" s="5" t="n">
        <v>940</v>
      </c>
      <c r="C1779" s="7" t="inlineStr">
        <is>
          <t>VINC-19924</t>
        </is>
      </c>
      <c r="D1779" s="8" t="inlineStr">
        <is>
          <t>Diquat Técnico Ihara</t>
        </is>
      </c>
      <c r="E1779" s="7" t="inlineStr">
        <is>
          <t>Insumo Industrial</t>
        </is>
      </c>
      <c r="F1779" s="7" t="inlineStr">
        <is>
          <t>Matéria-prima para Formulação Industrial</t>
        </is>
      </c>
      <c r="G1779" s="7" t="inlineStr">
        <is>
          <t>Uso Industrial Credenciado MAPA</t>
        </is>
      </c>
      <c r="H1779" s="7" t="inlineStr">
        <is>
          <t>NÃO</t>
        </is>
      </c>
      <c r="I1779" s="9" t="n">
        <v>0</v>
      </c>
      <c r="J1779" s="9" t="n">
        <v>0</v>
      </c>
      <c r="K1779" s="7" t="inlineStr">
        <is>
          <t>KG</t>
        </is>
      </c>
      <c r="L1779" s="9" t="n">
        <v>1</v>
      </c>
      <c r="M1779" s="7" t="inlineStr">
        <is>
          <t>Uso restrito a estabelecimentos formuladores registrados</t>
        </is>
      </c>
    </row>
    <row r="1780" ht="22" customHeight="1">
      <c r="A1780" s="12" t="inlineStr">
        <is>
          <t>ALV-1776</t>
        </is>
      </c>
      <c r="B1780" s="11" t="n">
        <v>941</v>
      </c>
      <c r="C1780" s="13" t="inlineStr">
        <is>
          <t>VINC-19924</t>
        </is>
      </c>
      <c r="D1780" s="14" t="inlineStr">
        <is>
          <t>Magneto Técnico</t>
        </is>
      </c>
      <c r="E1780" s="13" t="inlineStr">
        <is>
          <t>Insumo Industrial</t>
        </is>
      </c>
      <c r="F1780" s="13" t="inlineStr">
        <is>
          <t>Matéria-prima para Formulação Industrial</t>
        </is>
      </c>
      <c r="G1780" s="13" t="inlineStr">
        <is>
          <t>Uso Industrial Credenciado MAPA</t>
        </is>
      </c>
      <c r="H1780" s="13" t="inlineStr">
        <is>
          <t>NÃO</t>
        </is>
      </c>
      <c r="I1780" s="15" t="n">
        <v>0</v>
      </c>
      <c r="J1780" s="15" t="n">
        <v>0</v>
      </c>
      <c r="K1780" s="13" t="inlineStr">
        <is>
          <t>KG</t>
        </is>
      </c>
      <c r="L1780" s="15" t="n">
        <v>1</v>
      </c>
      <c r="M1780" s="13" t="inlineStr">
        <is>
          <t>Uso restrito a estabelecimentos formuladores registrados</t>
        </is>
      </c>
    </row>
    <row r="1781" ht="22" customHeight="1">
      <c r="A1781" s="6" t="inlineStr">
        <is>
          <t>ALV-1777</t>
        </is>
      </c>
      <c r="B1781" s="5" t="n">
        <v>942</v>
      </c>
      <c r="C1781" s="7" t="inlineStr">
        <is>
          <t>Nº 20024</t>
        </is>
      </c>
      <c r="D1781" s="8" t="inlineStr">
        <is>
          <t>DANTAI</t>
        </is>
      </c>
      <c r="E1781" s="7" t="inlineStr">
        <is>
          <t>Fungicida</t>
        </is>
      </c>
      <c r="F1781" s="7" t="inlineStr">
        <is>
          <t>Ferrugem-asiática</t>
        </is>
      </c>
      <c r="G1781" s="7" t="inlineStr">
        <is>
          <t>Phakopsora pachyrhizi</t>
        </is>
      </c>
      <c r="H1781" s="7" t="inlineStr">
        <is>
          <t>NÃO</t>
        </is>
      </c>
      <c r="I1781" s="17" t="n">
        <v>1.5</v>
      </c>
      <c r="J1781" s="9" t="n">
        <v>2</v>
      </c>
      <c r="K1781" s="7" t="inlineStr">
        <is>
          <t>L ou kg/ha</t>
        </is>
      </c>
      <c r="L1781" s="9" t="n">
        <v>1</v>
      </c>
      <c r="M1781" s="7" t="inlineStr">
        <is>
          <t>Aplicar conforme monitoramento e estádio recomendado na bula (FRAC Grupo M05 — Multissítio)</t>
        </is>
      </c>
    </row>
    <row r="1782" ht="22" customHeight="1">
      <c r="A1782" s="12" t="inlineStr">
        <is>
          <t>ALV-1778</t>
        </is>
      </c>
      <c r="B1782" s="11" t="n">
        <v>942</v>
      </c>
      <c r="C1782" s="13" t="inlineStr">
        <is>
          <t>Nº 20024</t>
        </is>
      </c>
      <c r="D1782" s="14" t="inlineStr">
        <is>
          <t>DANTAI</t>
        </is>
      </c>
      <c r="E1782" s="13" t="inlineStr">
        <is>
          <t>Fungicida</t>
        </is>
      </c>
      <c r="F1782" s="13" t="inlineStr">
        <is>
          <t>Mancha-alvo</t>
        </is>
      </c>
      <c r="G1782" s="13" t="inlineStr">
        <is>
          <t>Corynespora cassiicola</t>
        </is>
      </c>
      <c r="H1782" s="13" t="inlineStr">
        <is>
          <t>NÃO</t>
        </is>
      </c>
      <c r="I1782" s="18" t="n">
        <v>1.5</v>
      </c>
      <c r="J1782" s="18" t="n">
        <v>2.5</v>
      </c>
      <c r="K1782" s="13" t="inlineStr">
        <is>
          <t>L ou kg/ha</t>
        </is>
      </c>
      <c r="L1782" s="15" t="n">
        <v>1</v>
      </c>
      <c r="M1782" s="13" t="inlineStr">
        <is>
          <t>Aplicar conforme monitoramento e estádio recomendado na bula (FRAC Grupo M05 — Multissítio)</t>
        </is>
      </c>
    </row>
    <row r="1783" ht="22" customHeight="1">
      <c r="A1783" s="6" t="inlineStr">
        <is>
          <t>ALV-1779</t>
        </is>
      </c>
      <c r="B1783" s="5" t="n">
        <v>942</v>
      </c>
      <c r="C1783" s="7" t="inlineStr">
        <is>
          <t>Nº 20024</t>
        </is>
      </c>
      <c r="D1783" s="8" t="inlineStr">
        <is>
          <t>DANTAI</t>
        </is>
      </c>
      <c r="E1783" s="7" t="inlineStr">
        <is>
          <t>Fungicida</t>
        </is>
      </c>
      <c r="F1783" s="7" t="inlineStr">
        <is>
          <t>Cercosporiose</t>
        </is>
      </c>
      <c r="G1783" s="7" t="inlineStr">
        <is>
          <t>Cercospora kikuchii</t>
        </is>
      </c>
      <c r="H1783" s="7" t="inlineStr">
        <is>
          <t>NÃO</t>
        </is>
      </c>
      <c r="I1783" s="17" t="n">
        <v>1.5</v>
      </c>
      <c r="J1783" s="9" t="n">
        <v>2</v>
      </c>
      <c r="K1783" s="7" t="inlineStr">
        <is>
          <t>L ou kg/ha</t>
        </is>
      </c>
      <c r="L1783" s="9" t="n">
        <v>1</v>
      </c>
      <c r="M1783" s="7" t="inlineStr">
        <is>
          <t>Aplicar conforme monitoramento e estádio recomendado na bula (FRAC Grupo M05 — Multissítio)</t>
        </is>
      </c>
    </row>
    <row r="1784" ht="22" customHeight="1">
      <c r="A1784" s="12" t="inlineStr">
        <is>
          <t>ALV-1780</t>
        </is>
      </c>
      <c r="B1784" s="11" t="n">
        <v>943</v>
      </c>
      <c r="C1784" s="13" t="inlineStr">
        <is>
          <t>VINC-20024</t>
        </is>
      </c>
      <c r="D1784" s="14" t="inlineStr">
        <is>
          <t>Completto Técnico</t>
        </is>
      </c>
      <c r="E1784" s="13" t="inlineStr">
        <is>
          <t>Insumo Industrial</t>
        </is>
      </c>
      <c r="F1784" s="13" t="inlineStr">
        <is>
          <t>Matéria-prima para Formulação Industrial</t>
        </is>
      </c>
      <c r="G1784" s="13" t="inlineStr">
        <is>
          <t>Uso Industrial Credenciado MAPA</t>
        </is>
      </c>
      <c r="H1784" s="13" t="inlineStr">
        <is>
          <t>NÃO</t>
        </is>
      </c>
      <c r="I1784" s="15" t="n">
        <v>0</v>
      </c>
      <c r="J1784" s="15" t="n">
        <v>0</v>
      </c>
      <c r="K1784" s="13" t="inlineStr">
        <is>
          <t>KG</t>
        </is>
      </c>
      <c r="L1784" s="15" t="n">
        <v>1</v>
      </c>
      <c r="M1784" s="13" t="inlineStr">
        <is>
          <t>Uso restrito a estabelecimentos formuladores registrados</t>
        </is>
      </c>
    </row>
    <row r="1785" ht="22" customHeight="1">
      <c r="A1785" s="6" t="inlineStr">
        <is>
          <t>ALV-1781</t>
        </is>
      </c>
      <c r="B1785" s="5" t="n">
        <v>944</v>
      </c>
      <c r="C1785" s="7" t="inlineStr">
        <is>
          <t>VINC-20024</t>
        </is>
      </c>
      <c r="D1785" s="8" t="inlineStr">
        <is>
          <t>Pilarich Técnico</t>
        </is>
      </c>
      <c r="E1785" s="7" t="inlineStr">
        <is>
          <t>Insumo Industrial</t>
        </is>
      </c>
      <c r="F1785" s="7" t="inlineStr">
        <is>
          <t>Matéria-prima para Formulação Industrial</t>
        </is>
      </c>
      <c r="G1785" s="7" t="inlineStr">
        <is>
          <t>Uso Industrial Credenciado MAPA</t>
        </is>
      </c>
      <c r="H1785" s="7" t="inlineStr">
        <is>
          <t>NÃO</t>
        </is>
      </c>
      <c r="I1785" s="9" t="n">
        <v>0</v>
      </c>
      <c r="J1785" s="9" t="n">
        <v>0</v>
      </c>
      <c r="K1785" s="7" t="inlineStr">
        <is>
          <t>KG</t>
        </is>
      </c>
      <c r="L1785" s="9" t="n">
        <v>1</v>
      </c>
      <c r="M1785" s="7" t="inlineStr">
        <is>
          <t>Uso restrito a estabelecimentos formuladores registrados</t>
        </is>
      </c>
    </row>
    <row r="1786" ht="22" customHeight="1">
      <c r="A1786" s="12" t="inlineStr">
        <is>
          <t>ALV-1782</t>
        </is>
      </c>
      <c r="B1786" s="11" t="n">
        <v>945</v>
      </c>
      <c r="C1786" s="13" t="inlineStr">
        <is>
          <t>Nº 20124</t>
        </is>
      </c>
      <c r="D1786" s="14" t="inlineStr">
        <is>
          <t>TEBUTIURON 800 WG PERTERRA</t>
        </is>
      </c>
      <c r="E1786" s="13" t="inlineStr">
        <is>
          <t>Herbicida</t>
        </is>
      </c>
      <c r="F1786" s="13" t="inlineStr">
        <is>
          <t>Plantas Daninhas Mono e Dicotiledôneas</t>
        </is>
      </c>
      <c r="G1786" s="13" t="inlineStr">
        <is>
          <t>Flora Infestante</t>
        </is>
      </c>
      <c r="H1786" s="13" t="inlineStr">
        <is>
          <t>NÃO</t>
        </is>
      </c>
      <c r="I1786" s="18" t="n">
        <v>0.25</v>
      </c>
      <c r="J1786" s="15" t="n">
        <v>2</v>
      </c>
      <c r="K1786" s="13" t="inlineStr">
        <is>
          <t>L ou kg/ha</t>
        </is>
      </c>
      <c r="L1786" s="15" t="n">
        <v>1</v>
      </c>
      <c r="M1786" s="13" t="inlineStr">
        <is>
          <t>Aplicar conforme monitoramento e estádio recomendado na bula (Classificação HRAC Oficial conforme Bula)</t>
        </is>
      </c>
    </row>
    <row r="1787" ht="22" customHeight="1">
      <c r="A1787" s="6" t="inlineStr">
        <is>
          <t>ALV-1783</t>
        </is>
      </c>
      <c r="B1787" s="5" t="n">
        <v>946</v>
      </c>
      <c r="C1787" s="7" t="inlineStr">
        <is>
          <t>Nº 20224</t>
        </is>
      </c>
      <c r="D1787" s="8" t="inlineStr">
        <is>
          <t>PRO-PIC 720 WG</t>
        </is>
      </c>
      <c r="E1787" s="7" t="inlineStr">
        <is>
          <t>Herbicida</t>
        </is>
      </c>
      <c r="F1787" s="7" t="inlineStr">
        <is>
          <t>Buva</t>
        </is>
      </c>
      <c r="G1787" s="7" t="inlineStr">
        <is>
          <t>Conyza bonariensis</t>
        </is>
      </c>
      <c r="H1787" s="7" t="inlineStr">
        <is>
          <t>SIM (*)</t>
        </is>
      </c>
      <c r="I1787" s="17" t="n">
        <v>0.5</v>
      </c>
      <c r="J1787" s="9" t="n">
        <v>2</v>
      </c>
      <c r="K1787" s="7" t="inlineStr">
        <is>
          <t>L ou kg/ha</t>
        </is>
      </c>
      <c r="L1787" s="9" t="n">
        <v>1</v>
      </c>
      <c r="M1787" s="7" t="inlineStr">
        <is>
          <t>Aplicar em pré ou pós-emergência conforme bula (HRAC Grupo G (9) — Inibidores da EPSPs)</t>
        </is>
      </c>
    </row>
    <row r="1788" ht="22" customHeight="1">
      <c r="A1788" s="12" t="inlineStr">
        <is>
          <t>ALV-1784</t>
        </is>
      </c>
      <c r="B1788" s="11" t="n">
        <v>946</v>
      </c>
      <c r="C1788" s="13" t="inlineStr">
        <is>
          <t>Nº 20224</t>
        </is>
      </c>
      <c r="D1788" s="14" t="inlineStr">
        <is>
          <t>PRO-PIC 720 WG</t>
        </is>
      </c>
      <c r="E1788" s="13" t="inlineStr">
        <is>
          <t>Herbicida</t>
        </is>
      </c>
      <c r="F1788" s="13" t="inlineStr">
        <is>
          <t>Capim-amargoso</t>
        </is>
      </c>
      <c r="G1788" s="13" t="inlineStr">
        <is>
          <t>Digitaria insularis</t>
        </is>
      </c>
      <c r="H1788" s="13" t="inlineStr">
        <is>
          <t>SIM (*)</t>
        </is>
      </c>
      <c r="I1788" s="15" t="n">
        <v>1</v>
      </c>
      <c r="J1788" s="18" t="n">
        <v>2.5</v>
      </c>
      <c r="K1788" s="13" t="inlineStr">
        <is>
          <t>L ou kg/ha</t>
        </is>
      </c>
      <c r="L1788" s="15" t="n">
        <v>1</v>
      </c>
      <c r="M1788" s="13" t="inlineStr">
        <is>
          <t>Aplicar em pré ou pós-emergência conforme bula (HRAC Grupo G (9) — Inibidores da EPSPs)</t>
        </is>
      </c>
    </row>
    <row r="1789" ht="22" customHeight="1">
      <c r="A1789" s="6" t="inlineStr">
        <is>
          <t>ALV-1785</t>
        </is>
      </c>
      <c r="B1789" s="5" t="n">
        <v>946</v>
      </c>
      <c r="C1789" s="7" t="inlineStr">
        <is>
          <t>Nº 20224</t>
        </is>
      </c>
      <c r="D1789" s="8" t="inlineStr">
        <is>
          <t>PRO-PIC 720 WG</t>
        </is>
      </c>
      <c r="E1789" s="7" t="inlineStr">
        <is>
          <t>Herbicida</t>
        </is>
      </c>
      <c r="F1789" s="7" t="inlineStr">
        <is>
          <t>Corda-de-viola / Caruru</t>
        </is>
      </c>
      <c r="G1789" s="7" t="inlineStr">
        <is>
          <t>Ipomoea grandifolia / Amaranthus spp.</t>
        </is>
      </c>
      <c r="H1789" s="7" t="inlineStr">
        <is>
          <t>NÃO</t>
        </is>
      </c>
      <c r="I1789" s="17" t="n">
        <v>0.5</v>
      </c>
      <c r="J1789" s="9" t="n">
        <v>2</v>
      </c>
      <c r="K1789" s="7" t="inlineStr">
        <is>
          <t>L ou kg/ha</t>
        </is>
      </c>
      <c r="L1789" s="9" t="n">
        <v>1</v>
      </c>
      <c r="M1789" s="7" t="inlineStr">
        <is>
          <t>Aplicar em pré ou pós-emergência conforme bula (HRAC Grupo G (9) — Inibidores da EPSPs)</t>
        </is>
      </c>
    </row>
    <row r="1790" ht="22" customHeight="1">
      <c r="A1790" s="12" t="inlineStr">
        <is>
          <t>ALV-1786</t>
        </is>
      </c>
      <c r="B1790" s="11" t="n">
        <v>947</v>
      </c>
      <c r="C1790" s="13" t="inlineStr">
        <is>
          <t>VINC-20224</t>
        </is>
      </c>
      <c r="D1790" s="14" t="inlineStr">
        <is>
          <t>Glifosato Técnico GHA</t>
        </is>
      </c>
      <c r="E1790" s="13" t="inlineStr">
        <is>
          <t>Insumo Industrial</t>
        </is>
      </c>
      <c r="F1790" s="13" t="inlineStr">
        <is>
          <t>Matéria-prima para Formulação Industrial</t>
        </is>
      </c>
      <c r="G1790" s="13" t="inlineStr">
        <is>
          <t>Uso Industrial Credenciado MAPA</t>
        </is>
      </c>
      <c r="H1790" s="13" t="inlineStr">
        <is>
          <t>NÃO</t>
        </is>
      </c>
      <c r="I1790" s="15" t="n">
        <v>0</v>
      </c>
      <c r="J1790" s="15" t="n">
        <v>0</v>
      </c>
      <c r="K1790" s="13" t="inlineStr">
        <is>
          <t>KG</t>
        </is>
      </c>
      <c r="L1790" s="15" t="n">
        <v>1</v>
      </c>
      <c r="M1790" s="13" t="inlineStr">
        <is>
          <t>Uso restrito a estabelecimentos formuladores registrados</t>
        </is>
      </c>
    </row>
    <row r="1791" ht="22" customHeight="1">
      <c r="A1791" s="6" t="inlineStr">
        <is>
          <t>ALV-1787</t>
        </is>
      </c>
      <c r="B1791" s="5" t="n">
        <v>948</v>
      </c>
      <c r="C1791" s="7" t="inlineStr">
        <is>
          <t>Nº 20324</t>
        </is>
      </c>
      <c r="D1791" s="8" t="inlineStr">
        <is>
          <t>OLAPAQUE</t>
        </is>
      </c>
      <c r="E1791" s="7" t="inlineStr">
        <is>
          <t>Regulador de Crescimento</t>
        </is>
      </c>
      <c r="F1791" s="7" t="inlineStr">
        <is>
          <t>Maturador de Cana-de-Açúcar e Redutor de Acamamento em Trigo/Cevada</t>
        </is>
      </c>
      <c r="G1791" s="7" t="inlineStr">
        <is>
          <t>Saccharum officinarum / Triticum aestivum (Manejo Fisiológico)</t>
        </is>
      </c>
      <c r="H1791" s="7" t="inlineStr">
        <is>
          <t>NÃO</t>
        </is>
      </c>
      <c r="I1791" s="17" t="n">
        <v>0.4</v>
      </c>
      <c r="J1791" s="17" t="n">
        <v>1.2</v>
      </c>
      <c r="K1791" s="7" t="inlineStr">
        <is>
          <t>L/ha</t>
        </is>
      </c>
      <c r="L1791" s="9" t="n">
        <v>1</v>
      </c>
      <c r="M1791" s="7" t="inlineStr">
        <is>
          <t>Aplicar para incremento de sacarose (ATR) em cana ou redução de entrenós em cereais de inverno</t>
        </is>
      </c>
    </row>
    <row r="1792" ht="22" customHeight="1">
      <c r="A1792" s="12" t="inlineStr">
        <is>
          <t>ALV-1788</t>
        </is>
      </c>
      <c r="B1792" s="11" t="n">
        <v>949</v>
      </c>
      <c r="C1792" s="13" t="inlineStr">
        <is>
          <t>Nº 20424</t>
        </is>
      </c>
      <c r="D1792" s="14" t="inlineStr">
        <is>
          <t>BIOPAK 720 WG</t>
        </is>
      </c>
      <c r="E1792" s="13" t="inlineStr">
        <is>
          <t>Herbicida</t>
        </is>
      </c>
      <c r="F1792" s="13" t="inlineStr">
        <is>
          <t>Buva</t>
        </is>
      </c>
      <c r="G1792" s="13" t="inlineStr">
        <is>
          <t>Conyza bonariensis</t>
        </is>
      </c>
      <c r="H1792" s="13" t="inlineStr">
        <is>
          <t>SIM (*)</t>
        </is>
      </c>
      <c r="I1792" s="18" t="n">
        <v>0.5</v>
      </c>
      <c r="J1792" s="15" t="n">
        <v>2</v>
      </c>
      <c r="K1792" s="13" t="inlineStr">
        <is>
          <t>L ou kg/ha</t>
        </is>
      </c>
      <c r="L1792" s="15" t="n">
        <v>1</v>
      </c>
      <c r="M1792" s="13" t="inlineStr">
        <is>
          <t>Aplicar em pré ou pós-emergência conforme bula (HRAC Grupo G (9) — Inibidores da EPSPs)</t>
        </is>
      </c>
    </row>
    <row r="1793" ht="22" customHeight="1">
      <c r="A1793" s="6" t="inlineStr">
        <is>
          <t>ALV-1789</t>
        </is>
      </c>
      <c r="B1793" s="5" t="n">
        <v>949</v>
      </c>
      <c r="C1793" s="7" t="inlineStr">
        <is>
          <t>Nº 20424</t>
        </is>
      </c>
      <c r="D1793" s="8" t="inlineStr">
        <is>
          <t>BIOPAK 720 WG</t>
        </is>
      </c>
      <c r="E1793" s="7" t="inlineStr">
        <is>
          <t>Herbicida</t>
        </is>
      </c>
      <c r="F1793" s="7" t="inlineStr">
        <is>
          <t>Capim-amargoso</t>
        </is>
      </c>
      <c r="G1793" s="7" t="inlineStr">
        <is>
          <t>Digitaria insularis</t>
        </is>
      </c>
      <c r="H1793" s="7" t="inlineStr">
        <is>
          <t>SIM (*)</t>
        </is>
      </c>
      <c r="I1793" s="9" t="n">
        <v>1</v>
      </c>
      <c r="J1793" s="17" t="n">
        <v>2.5</v>
      </c>
      <c r="K1793" s="7" t="inlineStr">
        <is>
          <t>L ou kg/ha</t>
        </is>
      </c>
      <c r="L1793" s="9" t="n">
        <v>1</v>
      </c>
      <c r="M1793" s="7" t="inlineStr">
        <is>
          <t>Aplicar em pré ou pós-emergência conforme bula (HRAC Grupo G (9) — Inibidores da EPSPs)</t>
        </is>
      </c>
    </row>
    <row r="1794" ht="22" customHeight="1">
      <c r="A1794" s="12" t="inlineStr">
        <is>
          <t>ALV-1790</t>
        </is>
      </c>
      <c r="B1794" s="11" t="n">
        <v>949</v>
      </c>
      <c r="C1794" s="13" t="inlineStr">
        <is>
          <t>Nº 20424</t>
        </is>
      </c>
      <c r="D1794" s="14" t="inlineStr">
        <is>
          <t>BIOPAK 720 WG</t>
        </is>
      </c>
      <c r="E1794" s="13" t="inlineStr">
        <is>
          <t>Herbicida</t>
        </is>
      </c>
      <c r="F1794" s="13" t="inlineStr">
        <is>
          <t>Corda-de-viola / Caruru</t>
        </is>
      </c>
      <c r="G1794" s="13" t="inlineStr">
        <is>
          <t>Ipomoea grandifolia / Amaranthus spp.</t>
        </is>
      </c>
      <c r="H1794" s="13" t="inlineStr">
        <is>
          <t>NÃO</t>
        </is>
      </c>
      <c r="I1794" s="18" t="n">
        <v>0.5</v>
      </c>
      <c r="J1794" s="15" t="n">
        <v>2</v>
      </c>
      <c r="K1794" s="13" t="inlineStr">
        <is>
          <t>L ou kg/ha</t>
        </is>
      </c>
      <c r="L1794" s="15" t="n">
        <v>1</v>
      </c>
      <c r="M1794" s="13" t="inlineStr">
        <is>
          <t>Aplicar em pré ou pós-emergência conforme bula (HRAC Grupo G (9) — Inibidores da EPSPs)</t>
        </is>
      </c>
    </row>
    <row r="1795" ht="22" customHeight="1">
      <c r="A1795" s="6" t="inlineStr">
        <is>
          <t>ALV-1791</t>
        </is>
      </c>
      <c r="B1795" s="5" t="n">
        <v>950</v>
      </c>
      <c r="C1795" s="7" t="inlineStr">
        <is>
          <t>Nº 20524</t>
        </is>
      </c>
      <c r="D1795" s="8" t="inlineStr">
        <is>
          <t>NAVEGANTE 806 SL</t>
        </is>
      </c>
      <c r="E1795" s="7" t="inlineStr">
        <is>
          <t>Herbicida</t>
        </is>
      </c>
      <c r="F1795" s="7" t="inlineStr">
        <is>
          <t>Buva</t>
        </is>
      </c>
      <c r="G1795" s="7" t="inlineStr">
        <is>
          <t>Conyza bonariensis</t>
        </is>
      </c>
      <c r="H1795" s="7" t="inlineStr">
        <is>
          <t>SIM (*)</t>
        </is>
      </c>
      <c r="I1795" s="9" t="n">
        <v>1</v>
      </c>
      <c r="J1795" s="17" t="n">
        <v>1.5</v>
      </c>
      <c r="K1795" s="7" t="inlineStr">
        <is>
          <t>L/ha</t>
        </is>
      </c>
      <c r="L1795" s="9" t="n">
        <v>1</v>
      </c>
      <c r="M1795" s="7" t="inlineStr">
        <is>
          <t>Aplicar conforme monitoramento e estádio recomendado na bula (HRAC Grupo O (4) — Auxinas Sintéticas)</t>
        </is>
      </c>
    </row>
    <row r="1796" ht="22" customHeight="1">
      <c r="A1796" s="12" t="inlineStr">
        <is>
          <t>ALV-1792</t>
        </is>
      </c>
      <c r="B1796" s="11" t="n">
        <v>950</v>
      </c>
      <c r="C1796" s="13" t="inlineStr">
        <is>
          <t>Nº 20524</t>
        </is>
      </c>
      <c r="D1796" s="14" t="inlineStr">
        <is>
          <t>NAVEGANTE 806 SL</t>
        </is>
      </c>
      <c r="E1796" s="13" t="inlineStr">
        <is>
          <t>Herbicida</t>
        </is>
      </c>
      <c r="F1796" s="13" t="inlineStr">
        <is>
          <t>Corda-de-viola</t>
        </is>
      </c>
      <c r="G1796" s="13" t="inlineStr">
        <is>
          <t>Ipomoea grandifolia</t>
        </is>
      </c>
      <c r="H1796" s="13" t="inlineStr">
        <is>
          <t>NÃO</t>
        </is>
      </c>
      <c r="I1796" s="15" t="n">
        <v>1</v>
      </c>
      <c r="J1796" s="18" t="n">
        <v>1.5</v>
      </c>
      <c r="K1796" s="13" t="inlineStr">
        <is>
          <t>L/ha</t>
        </is>
      </c>
      <c r="L1796" s="15" t="n">
        <v>1</v>
      </c>
      <c r="M1796" s="13" t="inlineStr">
        <is>
          <t>Aplicar conforme monitoramento e estádio recomendado na bula (HRAC Grupo O (4) — Auxinas Sintéticas)</t>
        </is>
      </c>
    </row>
    <row r="1797" ht="22" customHeight="1">
      <c r="A1797" s="6" t="inlineStr">
        <is>
          <t>ALV-1793</t>
        </is>
      </c>
      <c r="B1797" s="5" t="n">
        <v>950</v>
      </c>
      <c r="C1797" s="7" t="inlineStr">
        <is>
          <t>Nº 20524</t>
        </is>
      </c>
      <c r="D1797" s="8" t="inlineStr">
        <is>
          <t>NAVEGANTE 806 SL</t>
        </is>
      </c>
      <c r="E1797" s="7" t="inlineStr">
        <is>
          <t>Herbicida</t>
        </is>
      </c>
      <c r="F1797" s="7" t="inlineStr">
        <is>
          <t>Trapoeraba</t>
        </is>
      </c>
      <c r="G1797" s="7" t="inlineStr">
        <is>
          <t>Commelina benghalensis</t>
        </is>
      </c>
      <c r="H1797" s="7" t="inlineStr">
        <is>
          <t>NÃO</t>
        </is>
      </c>
      <c r="I1797" s="9" t="n">
        <v>1</v>
      </c>
      <c r="J1797" s="9" t="n">
        <v>2</v>
      </c>
      <c r="K1797" s="7" t="inlineStr">
        <is>
          <t>L/ha</t>
        </is>
      </c>
      <c r="L1797" s="9" t="n">
        <v>1</v>
      </c>
      <c r="M1797" s="7" t="inlineStr">
        <is>
          <t>Aplicar conforme monitoramento e estádio recomendado na bula (HRAC Grupo O (4) — Auxinas Sintéticas)</t>
        </is>
      </c>
    </row>
    <row r="1798" ht="22" customHeight="1">
      <c r="A1798" s="12" t="inlineStr">
        <is>
          <t>ALV-1794</t>
        </is>
      </c>
      <c r="B1798" s="11" t="n">
        <v>951</v>
      </c>
      <c r="C1798" s="13" t="inlineStr">
        <is>
          <t>Nº 20624</t>
        </is>
      </c>
      <c r="D1798" s="14" t="inlineStr">
        <is>
          <t>CISHA 250 EC</t>
        </is>
      </c>
      <c r="E1798" s="13" t="inlineStr">
        <is>
          <t>Inseticida</t>
        </is>
      </c>
      <c r="F1798" s="13" t="inlineStr">
        <is>
          <t>Complexo de Lagartas, Percevejos e Sugadores</t>
        </is>
      </c>
      <c r="G1798" s="13" t="inlineStr">
        <is>
          <t>Spodoptera / Euschistus / Bemisia</t>
        </is>
      </c>
      <c r="H1798" s="13" t="inlineStr">
        <is>
          <t>NÃO</t>
        </is>
      </c>
      <c r="I1798" s="18" t="n">
        <v>0.15</v>
      </c>
      <c r="J1798" s="15" t="n">
        <v>1</v>
      </c>
      <c r="K1798" s="13" t="inlineStr">
        <is>
          <t>L ou kg/ha</t>
        </is>
      </c>
      <c r="L1798" s="15" t="n">
        <v>1</v>
      </c>
      <c r="M1798" s="13" t="inlineStr">
        <is>
          <t>Aplicar conforme monitoramento e estádio recomendado na bula (Classificação IRAC Oficial conforme Bula)</t>
        </is>
      </c>
    </row>
    <row r="1799" ht="22" customHeight="1">
      <c r="A1799" s="6" t="inlineStr">
        <is>
          <t>ALV-1795</t>
        </is>
      </c>
      <c r="B1799" s="5" t="n">
        <v>952</v>
      </c>
      <c r="C1799" s="7" t="inlineStr">
        <is>
          <t>VINC-20624</t>
        </is>
      </c>
      <c r="D1799" s="8" t="inlineStr">
        <is>
          <t>Shyper Técnico</t>
        </is>
      </c>
      <c r="E1799" s="7" t="inlineStr">
        <is>
          <t>Insumo Industrial</t>
        </is>
      </c>
      <c r="F1799" s="7" t="inlineStr">
        <is>
          <t>Matéria-prima para Formulação Industrial</t>
        </is>
      </c>
      <c r="G1799" s="7" t="inlineStr">
        <is>
          <t>Uso Industrial Credenciado MAPA</t>
        </is>
      </c>
      <c r="H1799" s="7" t="inlineStr">
        <is>
          <t>NÃO</t>
        </is>
      </c>
      <c r="I1799" s="9" t="n">
        <v>0</v>
      </c>
      <c r="J1799" s="9" t="n">
        <v>0</v>
      </c>
      <c r="K1799" s="7" t="inlineStr">
        <is>
          <t>KG</t>
        </is>
      </c>
      <c r="L1799" s="9" t="n">
        <v>1</v>
      </c>
      <c r="M1799" s="7" t="inlineStr">
        <is>
          <t>Uso restrito a estabelecimentos formuladores registrados</t>
        </is>
      </c>
    </row>
    <row r="1800" ht="22" customHeight="1">
      <c r="A1800" s="12" t="inlineStr">
        <is>
          <t>ALV-1796</t>
        </is>
      </c>
      <c r="B1800" s="11" t="n">
        <v>953</v>
      </c>
      <c r="C1800" s="13" t="inlineStr">
        <is>
          <t>Nº 20724</t>
        </is>
      </c>
      <c r="D1800" s="14" t="inlineStr">
        <is>
          <t>GLUFORCE</t>
        </is>
      </c>
      <c r="E1800" s="13" t="inlineStr">
        <is>
          <t>Herbicida</t>
        </is>
      </c>
      <c r="F1800" s="13" t="inlineStr">
        <is>
          <t>Buva</t>
        </is>
      </c>
      <c r="G1800" s="13" t="inlineStr">
        <is>
          <t>Conyza bonariensis</t>
        </is>
      </c>
      <c r="H1800" s="13" t="inlineStr">
        <is>
          <t>NÃO</t>
        </is>
      </c>
      <c r="I1800" s="15" t="n">
        <v>2</v>
      </c>
      <c r="J1800" s="15" t="n">
        <v>3</v>
      </c>
      <c r="K1800" s="13" t="inlineStr">
        <is>
          <t>L/ha</t>
        </is>
      </c>
      <c r="L1800" s="15" t="n">
        <v>1</v>
      </c>
      <c r="M1800" s="13" t="inlineStr">
        <is>
          <t>Aplicar conforme monitoramento e estádio recomendado na bula (HRAC Grupo H (10) — Inibidores da Glutamina Sintetase)</t>
        </is>
      </c>
    </row>
    <row r="1801" ht="22" customHeight="1">
      <c r="A1801" s="6" t="inlineStr">
        <is>
          <t>ALV-1797</t>
        </is>
      </c>
      <c r="B1801" s="5" t="n">
        <v>953</v>
      </c>
      <c r="C1801" s="7" t="inlineStr">
        <is>
          <t>Nº 20724</t>
        </is>
      </c>
      <c r="D1801" s="8" t="inlineStr">
        <is>
          <t>GLUFORCE</t>
        </is>
      </c>
      <c r="E1801" s="7" t="inlineStr">
        <is>
          <t>Herbicida</t>
        </is>
      </c>
      <c r="F1801" s="7" t="inlineStr">
        <is>
          <t>Capim-pé-de-galinha</t>
        </is>
      </c>
      <c r="G1801" s="7" t="inlineStr">
        <is>
          <t>Eleusine indica</t>
        </is>
      </c>
      <c r="H1801" s="7" t="inlineStr">
        <is>
          <t>NÃO</t>
        </is>
      </c>
      <c r="I1801" s="9" t="n">
        <v>2</v>
      </c>
      <c r="J1801" s="17" t="n">
        <v>2.5</v>
      </c>
      <c r="K1801" s="7" t="inlineStr">
        <is>
          <t>L/ha</t>
        </is>
      </c>
      <c r="L1801" s="9" t="n">
        <v>1</v>
      </c>
      <c r="M1801" s="7" t="inlineStr">
        <is>
          <t>Aplicar conforme monitoramento e estádio recomendado na bula (HRAC Grupo H (10) — Inibidores da Glutamina Sintetase)</t>
        </is>
      </c>
    </row>
    <row r="1802" ht="22" customHeight="1">
      <c r="A1802" s="12" t="inlineStr">
        <is>
          <t>ALV-1798</t>
        </is>
      </c>
      <c r="B1802" s="11" t="n">
        <v>953</v>
      </c>
      <c r="C1802" s="13" t="inlineStr">
        <is>
          <t>Nº 20724</t>
        </is>
      </c>
      <c r="D1802" s="14" t="inlineStr">
        <is>
          <t>GLUFORCE</t>
        </is>
      </c>
      <c r="E1802" s="13" t="inlineStr">
        <is>
          <t>Herbicida</t>
        </is>
      </c>
      <c r="F1802" s="13" t="inlineStr">
        <is>
          <t>Caruru</t>
        </is>
      </c>
      <c r="G1802" s="13" t="inlineStr">
        <is>
          <t>Amaranthus hybridus</t>
        </is>
      </c>
      <c r="H1802" s="13" t="inlineStr">
        <is>
          <t>NÃO</t>
        </is>
      </c>
      <c r="I1802" s="18" t="n">
        <v>1.5</v>
      </c>
      <c r="J1802" s="18" t="n">
        <v>2.5</v>
      </c>
      <c r="K1802" s="13" t="inlineStr">
        <is>
          <t>L/ha</t>
        </is>
      </c>
      <c r="L1802" s="15" t="n">
        <v>1</v>
      </c>
      <c r="M1802" s="13" t="inlineStr">
        <is>
          <t>Aplicar conforme monitoramento e estádio recomendado na bula (HRAC Grupo H (10) — Inibidores da Glutamina Sintetase)</t>
        </is>
      </c>
    </row>
    <row r="1803" ht="22" customHeight="1">
      <c r="A1803" s="6" t="inlineStr">
        <is>
          <t>ALV-1799</t>
        </is>
      </c>
      <c r="B1803" s="5" t="n">
        <v>954</v>
      </c>
      <c r="C1803" s="7" t="inlineStr">
        <is>
          <t>VINC-20724</t>
        </is>
      </c>
      <c r="D1803" s="8" t="inlineStr">
        <is>
          <t>Glufosinato Técnico Dinagro</t>
        </is>
      </c>
      <c r="E1803" s="7" t="inlineStr">
        <is>
          <t>Insumo Industrial</t>
        </is>
      </c>
      <c r="F1803" s="7" t="inlineStr">
        <is>
          <t>Matéria-prima para Formulação Industrial</t>
        </is>
      </c>
      <c r="G1803" s="7" t="inlineStr">
        <is>
          <t>Uso Industrial Credenciado MAPA</t>
        </is>
      </c>
      <c r="H1803" s="7" t="inlineStr">
        <is>
          <t>NÃO</t>
        </is>
      </c>
      <c r="I1803" s="9" t="n">
        <v>0</v>
      </c>
      <c r="J1803" s="9" t="n">
        <v>0</v>
      </c>
      <c r="K1803" s="7" t="inlineStr">
        <is>
          <t>KG</t>
        </is>
      </c>
      <c r="L1803" s="9" t="n">
        <v>1</v>
      </c>
      <c r="M1803" s="7" t="inlineStr">
        <is>
          <t>Uso restrito a estabelecimentos formuladores registrados</t>
        </is>
      </c>
    </row>
    <row r="1804" ht="22" customHeight="1">
      <c r="A1804" s="12" t="inlineStr">
        <is>
          <t>ALV-1800</t>
        </is>
      </c>
      <c r="B1804" s="11" t="n">
        <v>955</v>
      </c>
      <c r="C1804" s="13" t="inlineStr">
        <is>
          <t>Nº 20824</t>
        </is>
      </c>
      <c r="D1804" s="14" t="inlineStr">
        <is>
          <t>BIOMETATRIL</t>
        </is>
      </c>
      <c r="E1804" s="13" t="inlineStr">
        <is>
          <t>Inseticida</t>
        </is>
      </c>
      <c r="F1804" s="13" t="inlineStr">
        <is>
          <t>Mosca-branca</t>
        </is>
      </c>
      <c r="G1804" s="13" t="inlineStr">
        <is>
          <t>Bemisia tabaci raça B</t>
        </is>
      </c>
      <c r="H1804" s="13" t="inlineStr">
        <is>
          <t>NÃO</t>
        </is>
      </c>
      <c r="I1804" s="18" t="n">
        <v>0.5</v>
      </c>
      <c r="J1804" s="18" t="n">
        <v>1.5</v>
      </c>
      <c r="K1804" s="13" t="inlineStr">
        <is>
          <t>kg ou L/ha</t>
        </is>
      </c>
      <c r="L1804" s="15" t="n">
        <v>1</v>
      </c>
      <c r="M1804" s="13" t="inlineStr">
        <is>
          <t>Aplicar conforme monitoramento e estádio recomendado na bula (IRAC Grupo UNF — Biológico Multissítio)</t>
        </is>
      </c>
    </row>
    <row r="1805" ht="22" customHeight="1">
      <c r="A1805" s="6" t="inlineStr">
        <is>
          <t>ALV-1801</t>
        </is>
      </c>
      <c r="B1805" s="5" t="n">
        <v>955</v>
      </c>
      <c r="C1805" s="7" t="inlineStr">
        <is>
          <t>Nº 20824</t>
        </is>
      </c>
      <c r="D1805" s="8" t="inlineStr">
        <is>
          <t>BIOMETATRIL</t>
        </is>
      </c>
      <c r="E1805" s="7" t="inlineStr">
        <is>
          <t>Inseticida</t>
        </is>
      </c>
      <c r="F1805" s="7" t="inlineStr">
        <is>
          <t>Cigarrinha-do-milho</t>
        </is>
      </c>
      <c r="G1805" s="7" t="inlineStr">
        <is>
          <t>Dalbulus maidis</t>
        </is>
      </c>
      <c r="H1805" s="7" t="inlineStr">
        <is>
          <t>NÃO</t>
        </is>
      </c>
      <c r="I1805" s="17" t="n">
        <v>0.5</v>
      </c>
      <c r="J1805" s="9" t="n">
        <v>1</v>
      </c>
      <c r="K1805" s="7" t="inlineStr">
        <is>
          <t>kg ou L/ha</t>
        </is>
      </c>
      <c r="L1805" s="9" t="n">
        <v>1</v>
      </c>
      <c r="M1805" s="7" t="inlineStr">
        <is>
          <t>Aplicar conforme monitoramento e estádio recomendado na bula (IRAC Grupo UNF — Biológico Multissítio)</t>
        </is>
      </c>
    </row>
    <row r="1806" ht="22" customHeight="1">
      <c r="A1806" s="12" t="inlineStr">
        <is>
          <t>ALV-1802</t>
        </is>
      </c>
      <c r="B1806" s="11" t="n">
        <v>955</v>
      </c>
      <c r="C1806" s="13" t="inlineStr">
        <is>
          <t>Nº 20824</t>
        </is>
      </c>
      <c r="D1806" s="14" t="inlineStr">
        <is>
          <t>BIOMETATRIL</t>
        </is>
      </c>
      <c r="E1806" s="13" t="inlineStr">
        <is>
          <t>Inseticida</t>
        </is>
      </c>
      <c r="F1806" s="13" t="inlineStr">
        <is>
          <t>Ácaro-rajado</t>
        </is>
      </c>
      <c r="G1806" s="13" t="inlineStr">
        <is>
          <t>Tetranychus urticae</t>
        </is>
      </c>
      <c r="H1806" s="13" t="inlineStr">
        <is>
          <t>NÃO</t>
        </is>
      </c>
      <c r="I1806" s="18" t="n">
        <v>0.5</v>
      </c>
      <c r="J1806" s="18" t="n">
        <v>1.5</v>
      </c>
      <c r="K1806" s="13" t="inlineStr">
        <is>
          <t>kg ou L/ha</t>
        </is>
      </c>
      <c r="L1806" s="15" t="n">
        <v>1</v>
      </c>
      <c r="M1806" s="13" t="inlineStr">
        <is>
          <t>Aplicar conforme monitoramento e estádio recomendado na bula (IRAC Grupo UNF — Biológico Multissítio)</t>
        </is>
      </c>
    </row>
    <row r="1807" ht="22" customHeight="1">
      <c r="A1807" s="6" t="inlineStr">
        <is>
          <t>ALV-1803</t>
        </is>
      </c>
      <c r="B1807" s="5" t="n">
        <v>956</v>
      </c>
      <c r="C1807" s="7" t="inlineStr">
        <is>
          <t>Nº 20924</t>
        </is>
      </c>
      <c r="D1807" s="8" t="inlineStr">
        <is>
          <t>FOLPEC 50</t>
        </is>
      </c>
      <c r="E1807" s="7" t="inlineStr">
        <is>
          <t>Fungicida</t>
        </is>
      </c>
      <c r="F1807" s="7" t="inlineStr">
        <is>
          <t>Complexo de Doenças Foliares e Ferrugem</t>
        </is>
      </c>
      <c r="G1807" s="7" t="inlineStr">
        <is>
          <t>Phakopsora pachyrhizi / Corynespora</t>
        </is>
      </c>
      <c r="H1807" s="7" t="inlineStr">
        <is>
          <t>NÃO</t>
        </is>
      </c>
      <c r="I1807" s="17" t="n">
        <v>0.3</v>
      </c>
      <c r="J1807" s="17" t="n">
        <v>1.5</v>
      </c>
      <c r="K1807" s="7" t="inlineStr">
        <is>
          <t>L ou kg/ha</t>
        </is>
      </c>
      <c r="L1807" s="9" t="n">
        <v>1</v>
      </c>
      <c r="M1807" s="7" t="inlineStr">
        <is>
          <t>Aplicar conforme monitoramento e estádio recomendado na bula (Classificação FRAC Oficial conforme Bula)</t>
        </is>
      </c>
    </row>
    <row r="1808" ht="22" customHeight="1">
      <c r="A1808" s="12" t="inlineStr">
        <is>
          <t>ALV-1804</t>
        </is>
      </c>
      <c r="B1808" s="11" t="n">
        <v>957</v>
      </c>
      <c r="C1808" s="13" t="inlineStr">
        <is>
          <t>VINC-20924</t>
        </is>
      </c>
      <c r="D1808" s="14" t="inlineStr">
        <is>
          <t>Folpete Tradecorp Técnico</t>
        </is>
      </c>
      <c r="E1808" s="13" t="inlineStr">
        <is>
          <t>Insumo Industrial</t>
        </is>
      </c>
      <c r="F1808" s="13" t="inlineStr">
        <is>
          <t>Matéria-prima para Formulação Industrial</t>
        </is>
      </c>
      <c r="G1808" s="13" t="inlineStr">
        <is>
          <t>Uso Industrial Credenciado MAPA</t>
        </is>
      </c>
      <c r="H1808" s="13" t="inlineStr">
        <is>
          <t>NÃO</t>
        </is>
      </c>
      <c r="I1808" s="15" t="n">
        <v>0</v>
      </c>
      <c r="J1808" s="15" t="n">
        <v>0</v>
      </c>
      <c r="K1808" s="13" t="inlineStr">
        <is>
          <t>KG</t>
        </is>
      </c>
      <c r="L1808" s="15" t="n">
        <v>1</v>
      </c>
      <c r="M1808" s="13" t="inlineStr">
        <is>
          <t>Uso restrito a estabelecimentos formuladores registrados</t>
        </is>
      </c>
    </row>
    <row r="1809" ht="22" customHeight="1">
      <c r="A1809" s="6" t="inlineStr">
        <is>
          <t>ALV-1805</t>
        </is>
      </c>
      <c r="B1809" s="5" t="n">
        <v>958</v>
      </c>
      <c r="C1809" s="7" t="inlineStr">
        <is>
          <t>Nº 21024</t>
        </is>
      </c>
      <c r="D1809" s="8" t="inlineStr">
        <is>
          <t>METABOV</t>
        </is>
      </c>
      <c r="E1809" s="7" t="inlineStr">
        <is>
          <t>Inseticida</t>
        </is>
      </c>
      <c r="F1809" s="7" t="inlineStr">
        <is>
          <t>Mosca-branca</t>
        </is>
      </c>
      <c r="G1809" s="7" t="inlineStr">
        <is>
          <t>Bemisia tabaci raça B</t>
        </is>
      </c>
      <c r="H1809" s="7" t="inlineStr">
        <is>
          <t>NÃO</t>
        </is>
      </c>
      <c r="I1809" s="17" t="n">
        <v>0.5</v>
      </c>
      <c r="J1809" s="17" t="n">
        <v>1.5</v>
      </c>
      <c r="K1809" s="7" t="inlineStr">
        <is>
          <t>kg ou L/ha</t>
        </is>
      </c>
      <c r="L1809" s="9" t="n">
        <v>1</v>
      </c>
      <c r="M1809" s="7" t="inlineStr">
        <is>
          <t>Aplicar conforme monitoramento e estádio recomendado na bula (IRAC Grupo UNF — Biológico Multissítio)</t>
        </is>
      </c>
    </row>
    <row r="1810" ht="22" customHeight="1">
      <c r="A1810" s="12" t="inlineStr">
        <is>
          <t>ALV-1806</t>
        </is>
      </c>
      <c r="B1810" s="11" t="n">
        <v>958</v>
      </c>
      <c r="C1810" s="13" t="inlineStr">
        <is>
          <t>Nº 21024</t>
        </is>
      </c>
      <c r="D1810" s="14" t="inlineStr">
        <is>
          <t>METABOV</t>
        </is>
      </c>
      <c r="E1810" s="13" t="inlineStr">
        <is>
          <t>Inseticida</t>
        </is>
      </c>
      <c r="F1810" s="13" t="inlineStr">
        <is>
          <t>Cigarrinha-do-milho</t>
        </is>
      </c>
      <c r="G1810" s="13" t="inlineStr">
        <is>
          <t>Dalbulus maidis</t>
        </is>
      </c>
      <c r="H1810" s="13" t="inlineStr">
        <is>
          <t>NÃO</t>
        </is>
      </c>
      <c r="I1810" s="18" t="n">
        <v>0.5</v>
      </c>
      <c r="J1810" s="15" t="n">
        <v>1</v>
      </c>
      <c r="K1810" s="13" t="inlineStr">
        <is>
          <t>kg ou L/ha</t>
        </is>
      </c>
      <c r="L1810" s="15" t="n">
        <v>1</v>
      </c>
      <c r="M1810" s="13" t="inlineStr">
        <is>
          <t>Aplicar conforme monitoramento e estádio recomendado na bula (IRAC Grupo UNF — Biológico Multissítio)</t>
        </is>
      </c>
    </row>
    <row r="1811" ht="22" customHeight="1">
      <c r="A1811" s="6" t="inlineStr">
        <is>
          <t>ALV-1807</t>
        </is>
      </c>
      <c r="B1811" s="5" t="n">
        <v>958</v>
      </c>
      <c r="C1811" s="7" t="inlineStr">
        <is>
          <t>Nº 21024</t>
        </is>
      </c>
      <c r="D1811" s="8" t="inlineStr">
        <is>
          <t>METABOV</t>
        </is>
      </c>
      <c r="E1811" s="7" t="inlineStr">
        <is>
          <t>Inseticida</t>
        </is>
      </c>
      <c r="F1811" s="7" t="inlineStr">
        <is>
          <t>Ácaro-rajado</t>
        </is>
      </c>
      <c r="G1811" s="7" t="inlineStr">
        <is>
          <t>Tetranychus urticae</t>
        </is>
      </c>
      <c r="H1811" s="7" t="inlineStr">
        <is>
          <t>NÃO</t>
        </is>
      </c>
      <c r="I1811" s="17" t="n">
        <v>0.5</v>
      </c>
      <c r="J1811" s="17" t="n">
        <v>1.5</v>
      </c>
      <c r="K1811" s="7" t="inlineStr">
        <is>
          <t>kg ou L/ha</t>
        </is>
      </c>
      <c r="L1811" s="9" t="n">
        <v>1</v>
      </c>
      <c r="M1811" s="7" t="inlineStr">
        <is>
          <t>Aplicar conforme monitoramento e estádio recomendado na bula (IRAC Grupo UNF — Biológico Multissítio)</t>
        </is>
      </c>
    </row>
    <row r="1812" ht="22" customHeight="1">
      <c r="A1812" s="12" t="inlineStr">
        <is>
          <t>ALV-1808</t>
        </is>
      </c>
      <c r="B1812" s="11" t="n">
        <v>959</v>
      </c>
      <c r="C1812" s="13" t="inlineStr">
        <is>
          <t>Nº 21024</t>
        </is>
      </c>
      <c r="D1812" s="14" t="inlineStr">
        <is>
          <t>ATLASMIX</t>
        </is>
      </c>
      <c r="E1812" s="13" t="inlineStr">
        <is>
          <t>Inseticida</t>
        </is>
      </c>
      <c r="F1812" s="13" t="inlineStr">
        <is>
          <t>Mosca-branca</t>
        </is>
      </c>
      <c r="G1812" s="13" t="inlineStr">
        <is>
          <t>Bemisia tabaci raça B</t>
        </is>
      </c>
      <c r="H1812" s="13" t="inlineStr">
        <is>
          <t>NÃO</t>
        </is>
      </c>
      <c r="I1812" s="18" t="n">
        <v>0.5</v>
      </c>
      <c r="J1812" s="18" t="n">
        <v>1.5</v>
      </c>
      <c r="K1812" s="13" t="inlineStr">
        <is>
          <t>kg ou L/ha</t>
        </is>
      </c>
      <c r="L1812" s="15" t="n">
        <v>1</v>
      </c>
      <c r="M1812" s="13" t="inlineStr">
        <is>
          <t>Aplicar conforme monitoramento e estádio recomendado na bula (IRAC Grupo UNF — Biológico Multissítio)</t>
        </is>
      </c>
    </row>
    <row r="1813" ht="22" customHeight="1">
      <c r="A1813" s="6" t="inlineStr">
        <is>
          <t>ALV-1809</t>
        </is>
      </c>
      <c r="B1813" s="5" t="n">
        <v>959</v>
      </c>
      <c r="C1813" s="7" t="inlineStr">
        <is>
          <t>Nº 21024</t>
        </is>
      </c>
      <c r="D1813" s="8" t="inlineStr">
        <is>
          <t>ATLASMIX</t>
        </is>
      </c>
      <c r="E1813" s="7" t="inlineStr">
        <is>
          <t>Inseticida</t>
        </is>
      </c>
      <c r="F1813" s="7" t="inlineStr">
        <is>
          <t>Cigarrinha-do-milho</t>
        </is>
      </c>
      <c r="G1813" s="7" t="inlineStr">
        <is>
          <t>Dalbulus maidis</t>
        </is>
      </c>
      <c r="H1813" s="7" t="inlineStr">
        <is>
          <t>NÃO</t>
        </is>
      </c>
      <c r="I1813" s="17" t="n">
        <v>0.5</v>
      </c>
      <c r="J1813" s="9" t="n">
        <v>1</v>
      </c>
      <c r="K1813" s="7" t="inlineStr">
        <is>
          <t>kg ou L/ha</t>
        </is>
      </c>
      <c r="L1813" s="9" t="n">
        <v>1</v>
      </c>
      <c r="M1813" s="7" t="inlineStr">
        <is>
          <t>Aplicar conforme monitoramento e estádio recomendado na bula (IRAC Grupo UNF — Biológico Multissítio)</t>
        </is>
      </c>
    </row>
    <row r="1814" ht="22" customHeight="1">
      <c r="A1814" s="12" t="inlineStr">
        <is>
          <t>ALV-1810</t>
        </is>
      </c>
      <c r="B1814" s="11" t="n">
        <v>959</v>
      </c>
      <c r="C1814" s="13" t="inlineStr">
        <is>
          <t>Nº 21024</t>
        </is>
      </c>
      <c r="D1814" s="14" t="inlineStr">
        <is>
          <t>ATLASMIX</t>
        </is>
      </c>
      <c r="E1814" s="13" t="inlineStr">
        <is>
          <t>Inseticida</t>
        </is>
      </c>
      <c r="F1814" s="13" t="inlineStr">
        <is>
          <t>Ácaro-rajado</t>
        </is>
      </c>
      <c r="G1814" s="13" t="inlineStr">
        <is>
          <t>Tetranychus urticae</t>
        </is>
      </c>
      <c r="H1814" s="13" t="inlineStr">
        <is>
          <t>NÃO</t>
        </is>
      </c>
      <c r="I1814" s="18" t="n">
        <v>0.5</v>
      </c>
      <c r="J1814" s="18" t="n">
        <v>1.5</v>
      </c>
      <c r="K1814" s="13" t="inlineStr">
        <is>
          <t>kg ou L/ha</t>
        </is>
      </c>
      <c r="L1814" s="15" t="n">
        <v>1</v>
      </c>
      <c r="M1814" s="13" t="inlineStr">
        <is>
          <t>Aplicar conforme monitoramento e estádio recomendado na bula (IRAC Grupo UNF — Biológico Multissítio)</t>
        </is>
      </c>
    </row>
    <row r="1815" ht="22" customHeight="1">
      <c r="A1815" s="6" t="inlineStr">
        <is>
          <t>ALV-1811</t>
        </is>
      </c>
      <c r="B1815" s="5" t="n">
        <v>960</v>
      </c>
      <c r="C1815" s="7" t="inlineStr">
        <is>
          <t>Nº 21024</t>
        </is>
      </c>
      <c r="D1815" s="8" t="inlineStr">
        <is>
          <t>GRIFOS</t>
        </is>
      </c>
      <c r="E1815" s="7" t="inlineStr">
        <is>
          <t>Inseticida</t>
        </is>
      </c>
      <c r="F1815" s="7" t="inlineStr">
        <is>
          <t>Mosca-branca</t>
        </is>
      </c>
      <c r="G1815" s="7" t="inlineStr">
        <is>
          <t>Bemisia tabaci raça B</t>
        </is>
      </c>
      <c r="H1815" s="7" t="inlineStr">
        <is>
          <t>NÃO</t>
        </is>
      </c>
      <c r="I1815" s="17" t="n">
        <v>0.5</v>
      </c>
      <c r="J1815" s="17" t="n">
        <v>1.5</v>
      </c>
      <c r="K1815" s="7" t="inlineStr">
        <is>
          <t>kg ou L/ha</t>
        </is>
      </c>
      <c r="L1815" s="9" t="n">
        <v>1</v>
      </c>
      <c r="M1815" s="7" t="inlineStr">
        <is>
          <t>Aplicar conforme monitoramento e estádio recomendado na bula (IRAC Grupo UNF — Biológico Multissítio)</t>
        </is>
      </c>
    </row>
    <row r="1816" ht="22" customHeight="1">
      <c r="A1816" s="12" t="inlineStr">
        <is>
          <t>ALV-1812</t>
        </is>
      </c>
      <c r="B1816" s="11" t="n">
        <v>960</v>
      </c>
      <c r="C1816" s="13" t="inlineStr">
        <is>
          <t>Nº 21024</t>
        </is>
      </c>
      <c r="D1816" s="14" t="inlineStr">
        <is>
          <t>GRIFOS</t>
        </is>
      </c>
      <c r="E1816" s="13" t="inlineStr">
        <is>
          <t>Inseticida</t>
        </is>
      </c>
      <c r="F1816" s="13" t="inlineStr">
        <is>
          <t>Cigarrinha-do-milho</t>
        </is>
      </c>
      <c r="G1816" s="13" t="inlineStr">
        <is>
          <t>Dalbulus maidis</t>
        </is>
      </c>
      <c r="H1816" s="13" t="inlineStr">
        <is>
          <t>NÃO</t>
        </is>
      </c>
      <c r="I1816" s="18" t="n">
        <v>0.5</v>
      </c>
      <c r="J1816" s="15" t="n">
        <v>1</v>
      </c>
      <c r="K1816" s="13" t="inlineStr">
        <is>
          <t>kg ou L/ha</t>
        </is>
      </c>
      <c r="L1816" s="15" t="n">
        <v>1</v>
      </c>
      <c r="M1816" s="13" t="inlineStr">
        <is>
          <t>Aplicar conforme monitoramento e estádio recomendado na bula (IRAC Grupo UNF — Biológico Multissítio)</t>
        </is>
      </c>
    </row>
    <row r="1817" ht="22" customHeight="1">
      <c r="A1817" s="6" t="inlineStr">
        <is>
          <t>ALV-1813</t>
        </is>
      </c>
      <c r="B1817" s="5" t="n">
        <v>960</v>
      </c>
      <c r="C1817" s="7" t="inlineStr">
        <is>
          <t>Nº 21024</t>
        </is>
      </c>
      <c r="D1817" s="8" t="inlineStr">
        <is>
          <t>GRIFOS</t>
        </is>
      </c>
      <c r="E1817" s="7" t="inlineStr">
        <is>
          <t>Inseticida</t>
        </is>
      </c>
      <c r="F1817" s="7" t="inlineStr">
        <is>
          <t>Ácaro-rajado</t>
        </is>
      </c>
      <c r="G1817" s="7" t="inlineStr">
        <is>
          <t>Tetranychus urticae</t>
        </is>
      </c>
      <c r="H1817" s="7" t="inlineStr">
        <is>
          <t>NÃO</t>
        </is>
      </c>
      <c r="I1817" s="17" t="n">
        <v>0.5</v>
      </c>
      <c r="J1817" s="17" t="n">
        <v>1.5</v>
      </c>
      <c r="K1817" s="7" t="inlineStr">
        <is>
          <t>kg ou L/ha</t>
        </is>
      </c>
      <c r="L1817" s="9" t="n">
        <v>1</v>
      </c>
      <c r="M1817" s="7" t="inlineStr">
        <is>
          <t>Aplicar conforme monitoramento e estádio recomendado na bula (IRAC Grupo UNF — Biológico Multissítio)</t>
        </is>
      </c>
    </row>
    <row r="1818" ht="22" customHeight="1">
      <c r="A1818" s="12" t="inlineStr">
        <is>
          <t>ALV-1814</t>
        </is>
      </c>
      <c r="B1818" s="11" t="n">
        <v>961</v>
      </c>
      <c r="C1818" s="13" t="inlineStr">
        <is>
          <t>Nº 21124</t>
        </is>
      </c>
      <c r="D1818" s="14" t="inlineStr">
        <is>
          <t>TRATTARE</t>
        </is>
      </c>
      <c r="E1818" s="13" t="inlineStr">
        <is>
          <t>Fungicida</t>
        </is>
      </c>
      <c r="F1818" s="13" t="inlineStr">
        <is>
          <t>Ferrugem-asiática</t>
        </is>
      </c>
      <c r="G1818" s="13" t="inlineStr">
        <is>
          <t>Phakopsora pachyrhizi</t>
        </is>
      </c>
      <c r="H1818" s="13" t="inlineStr">
        <is>
          <t>NÃO</t>
        </is>
      </c>
      <c r="I1818" s="18" t="n">
        <v>0.35</v>
      </c>
      <c r="J1818" s="18" t="n">
        <v>0.5</v>
      </c>
      <c r="K1818" s="13" t="inlineStr">
        <is>
          <t>L/ha</t>
        </is>
      </c>
      <c r="L1818" s="15" t="n">
        <v>1</v>
      </c>
      <c r="M1818" s="13" t="inlineStr">
        <is>
          <t>Aplicar conforme monitoramento e estádio recomendado na bula (FRAC Grupo 3 (DMI))</t>
        </is>
      </c>
    </row>
    <row r="1819" ht="22" customHeight="1">
      <c r="A1819" s="6" t="inlineStr">
        <is>
          <t>ALV-1815</t>
        </is>
      </c>
      <c r="B1819" s="5" t="n">
        <v>961</v>
      </c>
      <c r="C1819" s="7" t="inlineStr">
        <is>
          <t>Nº 21124</t>
        </is>
      </c>
      <c r="D1819" s="8" t="inlineStr">
        <is>
          <t>TRATTARE</t>
        </is>
      </c>
      <c r="E1819" s="7" t="inlineStr">
        <is>
          <t>Fungicida</t>
        </is>
      </c>
      <c r="F1819" s="7" t="inlineStr">
        <is>
          <t>Mancha-alvo</t>
        </is>
      </c>
      <c r="G1819" s="7" t="inlineStr">
        <is>
          <t>Corynespora cassiicola</t>
        </is>
      </c>
      <c r="H1819" s="7" t="inlineStr">
        <is>
          <t>NÃO</t>
        </is>
      </c>
      <c r="I1819" s="17" t="n">
        <v>0.4</v>
      </c>
      <c r="J1819" s="17" t="n">
        <v>0.5</v>
      </c>
      <c r="K1819" s="7" t="inlineStr">
        <is>
          <t>L/ha</t>
        </is>
      </c>
      <c r="L1819" s="9" t="n">
        <v>1</v>
      </c>
      <c r="M1819" s="7" t="inlineStr">
        <is>
          <t>Aplicar conforme monitoramento e estádio recomendado na bula (FRAC Grupo 3 (DMI))</t>
        </is>
      </c>
    </row>
    <row r="1820" ht="22" customHeight="1">
      <c r="A1820" s="12" t="inlineStr">
        <is>
          <t>ALV-1816</t>
        </is>
      </c>
      <c r="B1820" s="11" t="n">
        <v>962</v>
      </c>
      <c r="C1820" s="13" t="inlineStr">
        <is>
          <t>VINC-21124</t>
        </is>
      </c>
      <c r="D1820" s="14" t="inlineStr">
        <is>
          <t>Protioconazol Técnico Ouro Fino</t>
        </is>
      </c>
      <c r="E1820" s="13" t="inlineStr">
        <is>
          <t>Insumo Industrial</t>
        </is>
      </c>
      <c r="F1820" s="13" t="inlineStr">
        <is>
          <t>Matéria-prima para Formulação Industrial</t>
        </is>
      </c>
      <c r="G1820" s="13" t="inlineStr">
        <is>
          <t>Uso Industrial Credenciado MAPA</t>
        </is>
      </c>
      <c r="H1820" s="13" t="inlineStr">
        <is>
          <t>NÃO</t>
        </is>
      </c>
      <c r="I1820" s="15" t="n">
        <v>0</v>
      </c>
      <c r="J1820" s="15" t="n">
        <v>0</v>
      </c>
      <c r="K1820" s="13" t="inlineStr">
        <is>
          <t>KG</t>
        </is>
      </c>
      <c r="L1820" s="15" t="n">
        <v>1</v>
      </c>
      <c r="M1820" s="13" t="inlineStr">
        <is>
          <t>Uso restrito a estabelecimentos formuladores registrados</t>
        </is>
      </c>
    </row>
    <row r="1821" ht="22" customHeight="1">
      <c r="A1821" s="6" t="inlineStr">
        <is>
          <t>ALV-1817</t>
        </is>
      </c>
      <c r="B1821" s="5" t="n">
        <v>963</v>
      </c>
      <c r="C1821" s="7" t="inlineStr">
        <is>
          <t>Nº 21224</t>
        </is>
      </c>
      <c r="D1821" s="8" t="inlineStr">
        <is>
          <t>ECLIPSE</t>
        </is>
      </c>
      <c r="E1821" s="7" t="inlineStr">
        <is>
          <t>Inseticida</t>
        </is>
      </c>
      <c r="F1821" s="7" t="inlineStr">
        <is>
          <t>Lagarta-do-cartucho</t>
        </is>
      </c>
      <c r="G1821" s="7" t="inlineStr">
        <is>
          <t>Spodoptera frugiperda</t>
        </is>
      </c>
      <c r="H1821" s="7" t="inlineStr">
        <is>
          <t>SIM (*)</t>
        </is>
      </c>
      <c r="I1821" s="17" t="n">
        <v>0.05</v>
      </c>
      <c r="J1821" s="17" t="n">
        <v>0.15</v>
      </c>
      <c r="K1821" s="7" t="inlineStr">
        <is>
          <t>L/ha</t>
        </is>
      </c>
      <c r="L1821" s="9" t="n">
        <v>1</v>
      </c>
      <c r="M1821" s="7" t="inlineStr">
        <is>
          <t>Aplicar conforme monitoramento e estádio recomendado na bula (IRAC Grupo 3A)</t>
        </is>
      </c>
    </row>
    <row r="1822" ht="22" customHeight="1">
      <c r="A1822" s="12" t="inlineStr">
        <is>
          <t>ALV-1818</t>
        </is>
      </c>
      <c r="B1822" s="11" t="n">
        <v>963</v>
      </c>
      <c r="C1822" s="13" t="inlineStr">
        <is>
          <t>Nº 21224</t>
        </is>
      </c>
      <c r="D1822" s="14" t="inlineStr">
        <is>
          <t>ECLIPSE</t>
        </is>
      </c>
      <c r="E1822" s="13" t="inlineStr">
        <is>
          <t>Inseticida</t>
        </is>
      </c>
      <c r="F1822" s="13" t="inlineStr">
        <is>
          <t>Percevejo-marrom</t>
        </is>
      </c>
      <c r="G1822" s="13" t="inlineStr">
        <is>
          <t>Euschistus heros</t>
        </is>
      </c>
      <c r="H1822" s="13" t="inlineStr">
        <is>
          <t>NÃO</t>
        </is>
      </c>
      <c r="I1822" s="18" t="n">
        <v>0.075</v>
      </c>
      <c r="J1822" s="18" t="n">
        <v>0.15</v>
      </c>
      <c r="K1822" s="13" t="inlineStr">
        <is>
          <t>L/ha</t>
        </is>
      </c>
      <c r="L1822" s="15" t="n">
        <v>1</v>
      </c>
      <c r="M1822" s="13" t="inlineStr">
        <is>
          <t>Aplicar conforme monitoramento e estádio recomendado na bula (IRAC Grupo 3A)</t>
        </is>
      </c>
    </row>
    <row r="1823" ht="22" customHeight="1">
      <c r="A1823" s="6" t="inlineStr">
        <is>
          <t>ALV-1819</t>
        </is>
      </c>
      <c r="B1823" s="5" t="n">
        <v>964</v>
      </c>
      <c r="C1823" s="7" t="inlineStr">
        <is>
          <t>VINC-21224</t>
        </is>
      </c>
      <c r="D1823" s="8" t="inlineStr">
        <is>
          <t>Tiametoxam Técnico IN</t>
        </is>
      </c>
      <c r="E1823" s="7" t="inlineStr">
        <is>
          <t>Insumo Industrial</t>
        </is>
      </c>
      <c r="F1823" s="7" t="inlineStr">
        <is>
          <t>Matéria-prima para Formulação Industrial</t>
        </is>
      </c>
      <c r="G1823" s="7" t="inlineStr">
        <is>
          <t>Uso Industrial Credenciado MAPA</t>
        </is>
      </c>
      <c r="H1823" s="7" t="inlineStr">
        <is>
          <t>NÃO</t>
        </is>
      </c>
      <c r="I1823" s="9" t="n">
        <v>0</v>
      </c>
      <c r="J1823" s="9" t="n">
        <v>0</v>
      </c>
      <c r="K1823" s="7" t="inlineStr">
        <is>
          <t>KG</t>
        </is>
      </c>
      <c r="L1823" s="9" t="n">
        <v>1</v>
      </c>
      <c r="M1823" s="7" t="inlineStr">
        <is>
          <t>Uso restrito a estabelecimentos formuladores registrados</t>
        </is>
      </c>
    </row>
    <row r="1824" ht="22" customHeight="1">
      <c r="A1824" s="12" t="inlineStr">
        <is>
          <t>ALV-1820</t>
        </is>
      </c>
      <c r="B1824" s="11" t="n">
        <v>965</v>
      </c>
      <c r="C1824" s="13" t="inlineStr">
        <is>
          <t>Nº 21324</t>
        </is>
      </c>
      <c r="D1824" s="14" t="inlineStr">
        <is>
          <t>TRICHO-HARMAX</t>
        </is>
      </c>
      <c r="E1824" s="13" t="inlineStr">
        <is>
          <t>Biofungicida (Biológico)</t>
        </is>
      </c>
      <c r="F1824" s="13" t="inlineStr">
        <is>
          <t>Fixação Biológica / Manejo Biológico de Solo</t>
        </is>
      </c>
      <c r="G1824" s="13" t="inlineStr">
        <is>
          <t>Biologia de Solo</t>
        </is>
      </c>
      <c r="H1824" s="13" t="inlineStr">
        <is>
          <t>NÃO</t>
        </is>
      </c>
      <c r="I1824" s="18" t="n">
        <v>0.1</v>
      </c>
      <c r="J1824" s="15" t="n">
        <v>1</v>
      </c>
      <c r="K1824" s="13" t="inlineStr">
        <is>
          <t>L ou kg/ha</t>
        </is>
      </c>
      <c r="L1824" s="15" t="n">
        <v>1</v>
      </c>
      <c r="M1824" s="13" t="inlineStr">
        <is>
          <t>Aplicar conforme monitoramento e estádio recomendado na bula (Bioinsumo Agrícola)</t>
        </is>
      </c>
    </row>
    <row r="1825" ht="22" customHeight="1">
      <c r="A1825" s="6" t="inlineStr">
        <is>
          <t>ALV-1821</t>
        </is>
      </c>
      <c r="B1825" s="5" t="n">
        <v>966</v>
      </c>
      <c r="C1825" s="7" t="inlineStr">
        <is>
          <t>Nº 21424</t>
        </is>
      </c>
      <c r="D1825" s="8" t="inlineStr">
        <is>
          <t>ÉGIDE</t>
        </is>
      </c>
      <c r="E1825" s="7" t="inlineStr">
        <is>
          <t>Biofungicida (Biológico)</t>
        </is>
      </c>
      <c r="F1825" s="7" t="inlineStr">
        <is>
          <t>Ferrugem-asiática</t>
        </is>
      </c>
      <c r="G1825" s="7" t="inlineStr">
        <is>
          <t>Phakopsora pachyrhizi</t>
        </is>
      </c>
      <c r="H1825" s="7" t="inlineStr">
        <is>
          <t>NÃO</t>
        </is>
      </c>
      <c r="I1825" s="17" t="n">
        <v>0.5</v>
      </c>
      <c r="J1825" s="9" t="n">
        <v>1</v>
      </c>
      <c r="K1825" s="7" t="inlineStr">
        <is>
          <t>L/ha</t>
        </is>
      </c>
      <c r="L1825" s="9" t="n">
        <v>4</v>
      </c>
      <c r="M1825" s="7" t="inlineStr">
        <is>
          <t>Aplicar preventivamente com intervalo de 7 dias (máx. 4 aplicações — FRAC BM02)</t>
        </is>
      </c>
    </row>
    <row r="1826" ht="22" customHeight="1">
      <c r="A1826" s="12" t="inlineStr">
        <is>
          <t>ALV-1822</t>
        </is>
      </c>
      <c r="B1826" s="11" t="n">
        <v>966</v>
      </c>
      <c r="C1826" s="13" t="inlineStr">
        <is>
          <t>Nº 21424</t>
        </is>
      </c>
      <c r="D1826" s="14" t="inlineStr">
        <is>
          <t>ÉGIDE</t>
        </is>
      </c>
      <c r="E1826" s="13" t="inlineStr">
        <is>
          <t>Biofungicida (Biológico)</t>
        </is>
      </c>
      <c r="F1826" s="13" t="inlineStr">
        <is>
          <t>Mancha-alvo</t>
        </is>
      </c>
      <c r="G1826" s="13" t="inlineStr">
        <is>
          <t>Corynespora cassiicola</t>
        </is>
      </c>
      <c r="H1826" s="13" t="inlineStr">
        <is>
          <t>NÃO</t>
        </is>
      </c>
      <c r="I1826" s="18" t="n">
        <v>0.25</v>
      </c>
      <c r="J1826" s="15" t="n">
        <v>1</v>
      </c>
      <c r="K1826" s="13" t="inlineStr">
        <is>
          <t>L/ha</t>
        </is>
      </c>
      <c r="L1826" s="15" t="n">
        <v>4</v>
      </c>
      <c r="M1826" s="13" t="inlineStr">
        <is>
          <t>Aplicar preventivamente com intervalo de 7 dias (máx. 4 aplicações — FRAC BM02)</t>
        </is>
      </c>
    </row>
    <row r="1827" ht="22" customHeight="1">
      <c r="A1827" s="6" t="inlineStr">
        <is>
          <t>ALV-1823</t>
        </is>
      </c>
      <c r="B1827" s="5" t="n">
        <v>966</v>
      </c>
      <c r="C1827" s="7" t="inlineStr">
        <is>
          <t>Nº 21424</t>
        </is>
      </c>
      <c r="D1827" s="8" t="inlineStr">
        <is>
          <t>ÉGIDE</t>
        </is>
      </c>
      <c r="E1827" s="7" t="inlineStr">
        <is>
          <t>Biofungicida (Biológico)</t>
        </is>
      </c>
      <c r="F1827" s="7" t="inlineStr">
        <is>
          <t>Mofo-cinzento</t>
        </is>
      </c>
      <c r="G1827" s="7" t="inlineStr">
        <is>
          <t>Botrytis cinerea</t>
        </is>
      </c>
      <c r="H1827" s="7" t="inlineStr">
        <is>
          <t>NÃO</t>
        </is>
      </c>
      <c r="I1827" s="9" t="n">
        <v>1</v>
      </c>
      <c r="J1827" s="9" t="n">
        <v>4</v>
      </c>
      <c r="K1827" s="7" t="inlineStr">
        <is>
          <t>L/ha</t>
        </is>
      </c>
      <c r="L1827" s="9" t="n">
        <v>3</v>
      </c>
      <c r="M1827" s="7" t="inlineStr">
        <is>
          <t>Aplicar preventivamente no início do florescimento com intervalo de 7 dias (máx. 3 aplicações)</t>
        </is>
      </c>
    </row>
    <row r="1828" ht="22" customHeight="1">
      <c r="A1828" s="12" t="inlineStr">
        <is>
          <t>ALV-1824</t>
        </is>
      </c>
      <c r="B1828" s="11" t="n">
        <v>967</v>
      </c>
      <c r="C1828" s="13" t="inlineStr">
        <is>
          <t>Nº 21524</t>
        </is>
      </c>
      <c r="D1828" s="14" t="inlineStr">
        <is>
          <t>MAVIC BIO</t>
        </is>
      </c>
      <c r="E1828" s="13" t="inlineStr">
        <is>
          <t>Inseticida</t>
        </is>
      </c>
      <c r="F1828" s="13" t="inlineStr">
        <is>
          <t>Complexo de Lagartas, Percevejos e Sugadores</t>
        </is>
      </c>
      <c r="G1828" s="13" t="inlineStr">
        <is>
          <t>Spodoptera / Euschistus / Bemisia</t>
        </is>
      </c>
      <c r="H1828" s="13" t="inlineStr">
        <is>
          <t>NÃO</t>
        </is>
      </c>
      <c r="I1828" s="18" t="n">
        <v>0.15</v>
      </c>
      <c r="J1828" s="15" t="n">
        <v>1</v>
      </c>
      <c r="K1828" s="13" t="inlineStr">
        <is>
          <t>L ou kg/ha</t>
        </is>
      </c>
      <c r="L1828" s="15" t="n">
        <v>1</v>
      </c>
      <c r="M1828" s="13" t="inlineStr">
        <is>
          <t>Aplicar conforme monitoramento e estádio recomendado na bula (Classificação IRAC Oficial conforme Bula)</t>
        </is>
      </c>
    </row>
    <row r="1829" ht="22" customHeight="1">
      <c r="A1829" s="6" t="inlineStr">
        <is>
          <t>ALV-1825</t>
        </is>
      </c>
      <c r="B1829" s="5" t="n">
        <v>968</v>
      </c>
      <c r="C1829" s="7" t="inlineStr">
        <is>
          <t>Nº 21624</t>
        </is>
      </c>
      <c r="D1829" s="8" t="inlineStr">
        <is>
          <t>GRANT 970 WG</t>
        </is>
      </c>
      <c r="E1829" s="7" t="inlineStr">
        <is>
          <t>Herbicida</t>
        </is>
      </c>
      <c r="F1829" s="7" t="inlineStr">
        <is>
          <t>Buva</t>
        </is>
      </c>
      <c r="G1829" s="7" t="inlineStr">
        <is>
          <t>Conyza bonariensis</t>
        </is>
      </c>
      <c r="H1829" s="7" t="inlineStr">
        <is>
          <t>SIM (*)</t>
        </is>
      </c>
      <c r="I1829" s="9" t="n">
        <v>1</v>
      </c>
      <c r="J1829" s="17" t="n">
        <v>1.5</v>
      </c>
      <c r="K1829" s="7" t="inlineStr">
        <is>
          <t>L/ha</t>
        </is>
      </c>
      <c r="L1829" s="9" t="n">
        <v>1</v>
      </c>
      <c r="M1829" s="7" t="inlineStr">
        <is>
          <t>Aplicar conforme monitoramento e estádio recomendado na bula (HRAC Grupo O (4) — Auxinas Sintéticas)</t>
        </is>
      </c>
    </row>
    <row r="1830" ht="22" customHeight="1">
      <c r="A1830" s="12" t="inlineStr">
        <is>
          <t>ALV-1826</t>
        </is>
      </c>
      <c r="B1830" s="11" t="n">
        <v>968</v>
      </c>
      <c r="C1830" s="13" t="inlineStr">
        <is>
          <t>Nº 21624</t>
        </is>
      </c>
      <c r="D1830" s="14" t="inlineStr">
        <is>
          <t>GRANT 970 WG</t>
        </is>
      </c>
      <c r="E1830" s="13" t="inlineStr">
        <is>
          <t>Herbicida</t>
        </is>
      </c>
      <c r="F1830" s="13" t="inlineStr">
        <is>
          <t>Corda-de-viola</t>
        </is>
      </c>
      <c r="G1830" s="13" t="inlineStr">
        <is>
          <t>Ipomoea grandifolia</t>
        </is>
      </c>
      <c r="H1830" s="13" t="inlineStr">
        <is>
          <t>NÃO</t>
        </is>
      </c>
      <c r="I1830" s="15" t="n">
        <v>1</v>
      </c>
      <c r="J1830" s="18" t="n">
        <v>1.5</v>
      </c>
      <c r="K1830" s="13" t="inlineStr">
        <is>
          <t>L/ha</t>
        </is>
      </c>
      <c r="L1830" s="15" t="n">
        <v>1</v>
      </c>
      <c r="M1830" s="13" t="inlineStr">
        <is>
          <t>Aplicar conforme monitoramento e estádio recomendado na bula (HRAC Grupo O (4) — Auxinas Sintéticas)</t>
        </is>
      </c>
    </row>
    <row r="1831" ht="22" customHeight="1">
      <c r="A1831" s="6" t="inlineStr">
        <is>
          <t>ALV-1827</t>
        </is>
      </c>
      <c r="B1831" s="5" t="n">
        <v>968</v>
      </c>
      <c r="C1831" s="7" t="inlineStr">
        <is>
          <t>Nº 21624</t>
        </is>
      </c>
      <c r="D1831" s="8" t="inlineStr">
        <is>
          <t>GRANT 970 WG</t>
        </is>
      </c>
      <c r="E1831" s="7" t="inlineStr">
        <is>
          <t>Herbicida</t>
        </is>
      </c>
      <c r="F1831" s="7" t="inlineStr">
        <is>
          <t>Trapoeraba</t>
        </is>
      </c>
      <c r="G1831" s="7" t="inlineStr">
        <is>
          <t>Commelina benghalensis</t>
        </is>
      </c>
      <c r="H1831" s="7" t="inlineStr">
        <is>
          <t>NÃO</t>
        </is>
      </c>
      <c r="I1831" s="9" t="n">
        <v>1</v>
      </c>
      <c r="J1831" s="9" t="n">
        <v>2</v>
      </c>
      <c r="K1831" s="7" t="inlineStr">
        <is>
          <t>L/ha</t>
        </is>
      </c>
      <c r="L1831" s="9" t="n">
        <v>1</v>
      </c>
      <c r="M1831" s="7" t="inlineStr">
        <is>
          <t>Aplicar conforme monitoramento e estádio recomendado na bula (HRAC Grupo O (4) — Auxinas Sintéticas)</t>
        </is>
      </c>
    </row>
    <row r="1832" ht="22" customHeight="1">
      <c r="A1832" s="12" t="inlineStr">
        <is>
          <t>ALV-1828</t>
        </is>
      </c>
      <c r="B1832" s="11" t="n">
        <v>969</v>
      </c>
      <c r="C1832" s="13" t="inlineStr">
        <is>
          <t>VINC-21624</t>
        </is>
      </c>
      <c r="D1832" s="14" t="inlineStr">
        <is>
          <t>2,4-D Tecnico TW Loveland</t>
        </is>
      </c>
      <c r="E1832" s="13" t="inlineStr">
        <is>
          <t>Insumo Industrial</t>
        </is>
      </c>
      <c r="F1832" s="13" t="inlineStr">
        <is>
          <t>Matéria-prima para Formulação Industrial</t>
        </is>
      </c>
      <c r="G1832" s="13" t="inlineStr">
        <is>
          <t>Uso Industrial Credenciado MAPA</t>
        </is>
      </c>
      <c r="H1832" s="13" t="inlineStr">
        <is>
          <t>NÃO</t>
        </is>
      </c>
      <c r="I1832" s="15" t="n">
        <v>0</v>
      </c>
      <c r="J1832" s="15" t="n">
        <v>0</v>
      </c>
      <c r="K1832" s="13" t="inlineStr">
        <is>
          <t>KG</t>
        </is>
      </c>
      <c r="L1832" s="15" t="n">
        <v>1</v>
      </c>
      <c r="M1832" s="13" t="inlineStr">
        <is>
          <t>Uso restrito a estabelecimentos formuladores registrados</t>
        </is>
      </c>
    </row>
    <row r="1833" ht="22" customHeight="1">
      <c r="A1833" s="6" t="inlineStr">
        <is>
          <t>ALV-1829</t>
        </is>
      </c>
      <c r="B1833" s="5" t="n">
        <v>970</v>
      </c>
      <c r="C1833" s="7" t="inlineStr">
        <is>
          <t>Nº 21724</t>
        </is>
      </c>
      <c r="D1833" s="8" t="inlineStr">
        <is>
          <t>ORONDIS OPTI</t>
        </is>
      </c>
      <c r="E1833" s="7" t="inlineStr">
        <is>
          <t>Fungicida</t>
        </is>
      </c>
      <c r="F1833" s="7" t="inlineStr">
        <is>
          <t>Ferrugem-asiática</t>
        </is>
      </c>
      <c r="G1833" s="7" t="inlineStr">
        <is>
          <t>Phakopsora pachyrhizi</t>
        </is>
      </c>
      <c r="H1833" s="7" t="inlineStr">
        <is>
          <t>NÃO</t>
        </is>
      </c>
      <c r="I1833" s="17" t="n">
        <v>1.5</v>
      </c>
      <c r="J1833" s="9" t="n">
        <v>2</v>
      </c>
      <c r="K1833" s="7" t="inlineStr">
        <is>
          <t>L ou kg/ha</t>
        </is>
      </c>
      <c r="L1833" s="9" t="n">
        <v>1</v>
      </c>
      <c r="M1833" s="7" t="inlineStr">
        <is>
          <t>Aplicar conforme monitoramento e estádio recomendado na bula (FRAC Grupo M05 — Multissítio)</t>
        </is>
      </c>
    </row>
    <row r="1834" ht="22" customHeight="1">
      <c r="A1834" s="12" t="inlineStr">
        <is>
          <t>ALV-1830</t>
        </is>
      </c>
      <c r="B1834" s="11" t="n">
        <v>970</v>
      </c>
      <c r="C1834" s="13" t="inlineStr">
        <is>
          <t>Nº 21724</t>
        </is>
      </c>
      <c r="D1834" s="14" t="inlineStr">
        <is>
          <t>ORONDIS OPTI</t>
        </is>
      </c>
      <c r="E1834" s="13" t="inlineStr">
        <is>
          <t>Fungicida</t>
        </is>
      </c>
      <c r="F1834" s="13" t="inlineStr">
        <is>
          <t>Mancha-alvo</t>
        </is>
      </c>
      <c r="G1834" s="13" t="inlineStr">
        <is>
          <t>Corynespora cassiicola</t>
        </is>
      </c>
      <c r="H1834" s="13" t="inlineStr">
        <is>
          <t>NÃO</t>
        </is>
      </c>
      <c r="I1834" s="18" t="n">
        <v>1.5</v>
      </c>
      <c r="J1834" s="18" t="n">
        <v>2.5</v>
      </c>
      <c r="K1834" s="13" t="inlineStr">
        <is>
          <t>L ou kg/ha</t>
        </is>
      </c>
      <c r="L1834" s="15" t="n">
        <v>1</v>
      </c>
      <c r="M1834" s="13" t="inlineStr">
        <is>
          <t>Aplicar conforme monitoramento e estádio recomendado na bula (FRAC Grupo M05 — Multissítio)</t>
        </is>
      </c>
    </row>
    <row r="1835" ht="22" customHeight="1">
      <c r="A1835" s="6" t="inlineStr">
        <is>
          <t>ALV-1831</t>
        </is>
      </c>
      <c r="B1835" s="5" t="n">
        <v>970</v>
      </c>
      <c r="C1835" s="7" t="inlineStr">
        <is>
          <t>Nº 21724</t>
        </is>
      </c>
      <c r="D1835" s="8" t="inlineStr">
        <is>
          <t>ORONDIS OPTI</t>
        </is>
      </c>
      <c r="E1835" s="7" t="inlineStr">
        <is>
          <t>Fungicida</t>
        </is>
      </c>
      <c r="F1835" s="7" t="inlineStr">
        <is>
          <t>Cercosporiose</t>
        </is>
      </c>
      <c r="G1835" s="7" t="inlineStr">
        <is>
          <t>Cercospora kikuchii</t>
        </is>
      </c>
      <c r="H1835" s="7" t="inlineStr">
        <is>
          <t>NÃO</t>
        </is>
      </c>
      <c r="I1835" s="17" t="n">
        <v>1.5</v>
      </c>
      <c r="J1835" s="9" t="n">
        <v>2</v>
      </c>
      <c r="K1835" s="7" t="inlineStr">
        <is>
          <t>L ou kg/ha</t>
        </is>
      </c>
      <c r="L1835" s="9" t="n">
        <v>1</v>
      </c>
      <c r="M1835" s="7" t="inlineStr">
        <is>
          <t>Aplicar conforme monitoramento e estádio recomendado na bula (FRAC Grupo M05 — Multissítio)</t>
        </is>
      </c>
    </row>
    <row r="1836" ht="22" customHeight="1">
      <c r="A1836" s="12" t="inlineStr">
        <is>
          <t>ALV-1832</t>
        </is>
      </c>
      <c r="B1836" s="11" t="n">
        <v>971</v>
      </c>
      <c r="C1836" s="13" t="inlineStr">
        <is>
          <t>VINC-21724</t>
        </is>
      </c>
      <c r="D1836" s="14" t="inlineStr">
        <is>
          <t>Clorotalonil Técnico</t>
        </is>
      </c>
      <c r="E1836" s="13" t="inlineStr">
        <is>
          <t>Insumo Industrial</t>
        </is>
      </c>
      <c r="F1836" s="13" t="inlineStr">
        <is>
          <t>Matéria-prima para Formulação Industrial</t>
        </is>
      </c>
      <c r="G1836" s="13" t="inlineStr">
        <is>
          <t>Uso Industrial Credenciado MAPA</t>
        </is>
      </c>
      <c r="H1836" s="13" t="inlineStr">
        <is>
          <t>NÃO</t>
        </is>
      </c>
      <c r="I1836" s="15" t="n">
        <v>0</v>
      </c>
      <c r="J1836" s="15" t="n">
        <v>0</v>
      </c>
      <c r="K1836" s="13" t="inlineStr">
        <is>
          <t>KG</t>
        </is>
      </c>
      <c r="L1836" s="15" t="n">
        <v>1</v>
      </c>
      <c r="M1836" s="13" t="inlineStr">
        <is>
          <t>Uso restrito a estabelecimentos formuladores registrados</t>
        </is>
      </c>
    </row>
    <row r="1837" ht="22" customHeight="1">
      <c r="A1837" s="6" t="inlineStr">
        <is>
          <t>ALV-1833</t>
        </is>
      </c>
      <c r="B1837" s="5" t="n">
        <v>972</v>
      </c>
      <c r="C1837" s="7" t="inlineStr">
        <is>
          <t>VINC-21724</t>
        </is>
      </c>
      <c r="D1837" s="8" t="inlineStr">
        <is>
          <t>Oxathiapiprolin Técnico</t>
        </is>
      </c>
      <c r="E1837" s="7" t="inlineStr">
        <is>
          <t>Insumo Industrial</t>
        </is>
      </c>
      <c r="F1837" s="7" t="inlineStr">
        <is>
          <t>Matéria-prima para Formulação Industrial</t>
        </is>
      </c>
      <c r="G1837" s="7" t="inlineStr">
        <is>
          <t>Uso Industrial Credenciado MAPA</t>
        </is>
      </c>
      <c r="H1837" s="7" t="inlineStr">
        <is>
          <t>NÃO</t>
        </is>
      </c>
      <c r="I1837" s="9" t="n">
        <v>0</v>
      </c>
      <c r="J1837" s="9" t="n">
        <v>0</v>
      </c>
      <c r="K1837" s="7" t="inlineStr">
        <is>
          <t>KG</t>
        </is>
      </c>
      <c r="L1837" s="9" t="n">
        <v>1</v>
      </c>
      <c r="M1837" s="7" t="inlineStr">
        <is>
          <t>Uso restrito a estabelecimentos formuladores registrados</t>
        </is>
      </c>
    </row>
    <row r="1838" ht="22" customHeight="1">
      <c r="A1838" s="12" t="inlineStr">
        <is>
          <t>ALV-1834</t>
        </is>
      </c>
      <c r="B1838" s="11" t="n">
        <v>973</v>
      </c>
      <c r="C1838" s="13" t="inlineStr">
        <is>
          <t>Nº 21824</t>
        </is>
      </c>
      <c r="D1838" s="14" t="inlineStr">
        <is>
          <t>CLOROTALONIL NORTOX</t>
        </is>
      </c>
      <c r="E1838" s="13" t="inlineStr">
        <is>
          <t>Fungicida</t>
        </is>
      </c>
      <c r="F1838" s="13" t="inlineStr">
        <is>
          <t>Ferrugem-asiática</t>
        </is>
      </c>
      <c r="G1838" s="13" t="inlineStr">
        <is>
          <t>Phakopsora pachyrhizi</t>
        </is>
      </c>
      <c r="H1838" s="13" t="inlineStr">
        <is>
          <t>NÃO</t>
        </is>
      </c>
      <c r="I1838" s="18" t="n">
        <v>1.5</v>
      </c>
      <c r="J1838" s="15" t="n">
        <v>2</v>
      </c>
      <c r="K1838" s="13" t="inlineStr">
        <is>
          <t>L ou kg/ha</t>
        </is>
      </c>
      <c r="L1838" s="15" t="n">
        <v>1</v>
      </c>
      <c r="M1838" s="13" t="inlineStr">
        <is>
          <t>Aplicar conforme monitoramento e estádio recomendado na bula (FRAC Grupo M05 — Multissítio)</t>
        </is>
      </c>
    </row>
    <row r="1839" ht="22" customHeight="1">
      <c r="A1839" s="6" t="inlineStr">
        <is>
          <t>ALV-1835</t>
        </is>
      </c>
      <c r="B1839" s="5" t="n">
        <v>973</v>
      </c>
      <c r="C1839" s="7" t="inlineStr">
        <is>
          <t>Nº 21824</t>
        </is>
      </c>
      <c r="D1839" s="8" t="inlineStr">
        <is>
          <t>CLOROTALONIL NORTOX</t>
        </is>
      </c>
      <c r="E1839" s="7" t="inlineStr">
        <is>
          <t>Fungicida</t>
        </is>
      </c>
      <c r="F1839" s="7" t="inlineStr">
        <is>
          <t>Mancha-alvo</t>
        </is>
      </c>
      <c r="G1839" s="7" t="inlineStr">
        <is>
          <t>Corynespora cassiicola</t>
        </is>
      </c>
      <c r="H1839" s="7" t="inlineStr">
        <is>
          <t>NÃO</t>
        </is>
      </c>
      <c r="I1839" s="17" t="n">
        <v>1.5</v>
      </c>
      <c r="J1839" s="17" t="n">
        <v>2.5</v>
      </c>
      <c r="K1839" s="7" t="inlineStr">
        <is>
          <t>L ou kg/ha</t>
        </is>
      </c>
      <c r="L1839" s="9" t="n">
        <v>1</v>
      </c>
      <c r="M1839" s="7" t="inlineStr">
        <is>
          <t>Aplicar conforme monitoramento e estádio recomendado na bula (FRAC Grupo M05 — Multissítio)</t>
        </is>
      </c>
    </row>
    <row r="1840" ht="22" customHeight="1">
      <c r="A1840" s="12" t="inlineStr">
        <is>
          <t>ALV-1836</t>
        </is>
      </c>
      <c r="B1840" s="11" t="n">
        <v>973</v>
      </c>
      <c r="C1840" s="13" t="inlineStr">
        <is>
          <t>Nº 21824</t>
        </is>
      </c>
      <c r="D1840" s="14" t="inlineStr">
        <is>
          <t>CLOROTALONIL NORTOX</t>
        </is>
      </c>
      <c r="E1840" s="13" t="inlineStr">
        <is>
          <t>Fungicida</t>
        </is>
      </c>
      <c r="F1840" s="13" t="inlineStr">
        <is>
          <t>Cercosporiose</t>
        </is>
      </c>
      <c r="G1840" s="13" t="inlineStr">
        <is>
          <t>Cercospora kikuchii</t>
        </is>
      </c>
      <c r="H1840" s="13" t="inlineStr">
        <is>
          <t>NÃO</t>
        </is>
      </c>
      <c r="I1840" s="18" t="n">
        <v>1.5</v>
      </c>
      <c r="J1840" s="15" t="n">
        <v>2</v>
      </c>
      <c r="K1840" s="13" t="inlineStr">
        <is>
          <t>L ou kg/ha</t>
        </is>
      </c>
      <c r="L1840" s="15" t="n">
        <v>1</v>
      </c>
      <c r="M1840" s="13" t="inlineStr">
        <is>
          <t>Aplicar conforme monitoramento e estádio recomendado na bula (FRAC Grupo M05 — Multissítio)</t>
        </is>
      </c>
    </row>
    <row r="1841" ht="22" customHeight="1">
      <c r="A1841" s="6" t="inlineStr">
        <is>
          <t>ALV-1837</t>
        </is>
      </c>
      <c r="B1841" s="5" t="n">
        <v>974</v>
      </c>
      <c r="C1841" s="7" t="inlineStr">
        <is>
          <t>VINC-21824</t>
        </is>
      </c>
      <c r="D1841" s="8" t="inlineStr">
        <is>
          <t>Clorotalonil Técnico Nortox</t>
        </is>
      </c>
      <c r="E1841" s="7" t="inlineStr">
        <is>
          <t>Insumo Industrial</t>
        </is>
      </c>
      <c r="F1841" s="7" t="inlineStr">
        <is>
          <t>Matéria-prima para Formulação Industrial</t>
        </is>
      </c>
      <c r="G1841" s="7" t="inlineStr">
        <is>
          <t>Uso Industrial Credenciado MAPA</t>
        </is>
      </c>
      <c r="H1841" s="7" t="inlineStr">
        <is>
          <t>NÃO</t>
        </is>
      </c>
      <c r="I1841" s="9" t="n">
        <v>0</v>
      </c>
      <c r="J1841" s="9" t="n">
        <v>0</v>
      </c>
      <c r="K1841" s="7" t="inlineStr">
        <is>
          <t>KG</t>
        </is>
      </c>
      <c r="L1841" s="9" t="n">
        <v>1</v>
      </c>
      <c r="M1841" s="7" t="inlineStr">
        <is>
          <t>Uso restrito a estabelecimentos formuladores registrados</t>
        </is>
      </c>
    </row>
    <row r="1842" ht="22" customHeight="1">
      <c r="A1842" s="12" t="inlineStr">
        <is>
          <t>ALV-1838</t>
        </is>
      </c>
      <c r="B1842" s="11" t="n">
        <v>975</v>
      </c>
      <c r="C1842" s="13" t="inlineStr">
        <is>
          <t>VINC-21824</t>
        </is>
      </c>
      <c r="D1842" s="14" t="inlineStr">
        <is>
          <t>Clorotalonil Técnico Cropchem</t>
        </is>
      </c>
      <c r="E1842" s="13" t="inlineStr">
        <is>
          <t>Insumo Industrial</t>
        </is>
      </c>
      <c r="F1842" s="13" t="inlineStr">
        <is>
          <t>Matéria-prima para Formulação Industrial</t>
        </is>
      </c>
      <c r="G1842" s="13" t="inlineStr">
        <is>
          <t>Uso Industrial Credenciado MAPA</t>
        </is>
      </c>
      <c r="H1842" s="13" t="inlineStr">
        <is>
          <t>NÃO</t>
        </is>
      </c>
      <c r="I1842" s="15" t="n">
        <v>0</v>
      </c>
      <c r="J1842" s="15" t="n">
        <v>0</v>
      </c>
      <c r="K1842" s="13" t="inlineStr">
        <is>
          <t>KG</t>
        </is>
      </c>
      <c r="L1842" s="15" t="n">
        <v>1</v>
      </c>
      <c r="M1842" s="13" t="inlineStr">
        <is>
          <t>Uso restrito a estabelecimentos formuladores registrados</t>
        </is>
      </c>
    </row>
    <row r="1843" ht="22" customHeight="1">
      <c r="A1843" s="6" t="inlineStr">
        <is>
          <t>ALV-1839</t>
        </is>
      </c>
      <c r="B1843" s="5" t="n">
        <v>976</v>
      </c>
      <c r="C1843" s="7" t="inlineStr">
        <is>
          <t>Nº 21924</t>
        </is>
      </c>
      <c r="D1843" s="8" t="inlineStr">
        <is>
          <t>FRONDEO</t>
        </is>
      </c>
      <c r="E1843" s="7" t="inlineStr">
        <is>
          <t>Inseticida</t>
        </is>
      </c>
      <c r="F1843" s="7" t="inlineStr">
        <is>
          <t>Complexo de Lagartas, Percevejos e Sugadores</t>
        </is>
      </c>
      <c r="G1843" s="7" t="inlineStr">
        <is>
          <t>Spodoptera / Euschistus / Bemisia</t>
        </is>
      </c>
      <c r="H1843" s="7" t="inlineStr">
        <is>
          <t>NÃO</t>
        </is>
      </c>
      <c r="I1843" s="17" t="n">
        <v>0.15</v>
      </c>
      <c r="J1843" s="9" t="n">
        <v>1</v>
      </c>
      <c r="K1843" s="7" t="inlineStr">
        <is>
          <t>L ou kg/ha</t>
        </is>
      </c>
      <c r="L1843" s="9" t="n">
        <v>1</v>
      </c>
      <c r="M1843" s="7" t="inlineStr">
        <is>
          <t>Aplicar conforme monitoramento e estádio recomendado na bula (Classificação IRAC Oficial conforme Bula)</t>
        </is>
      </c>
    </row>
    <row r="1844" ht="22" customHeight="1">
      <c r="A1844" s="12" t="inlineStr">
        <is>
          <t>ALV-1840</t>
        </is>
      </c>
      <c r="B1844" s="11" t="n">
        <v>977</v>
      </c>
      <c r="C1844" s="13" t="inlineStr">
        <is>
          <t>VINC-21924</t>
        </is>
      </c>
      <c r="D1844" s="14" t="inlineStr">
        <is>
          <t>Isocycloseram Técnico</t>
        </is>
      </c>
      <c r="E1844" s="13" t="inlineStr">
        <is>
          <t>Insumo Industrial</t>
        </is>
      </c>
      <c r="F1844" s="13" t="inlineStr">
        <is>
          <t>Matéria-prima para Formulação Industrial</t>
        </is>
      </c>
      <c r="G1844" s="13" t="inlineStr">
        <is>
          <t>Uso Industrial Credenciado MAPA</t>
        </is>
      </c>
      <c r="H1844" s="13" t="inlineStr">
        <is>
          <t>NÃO</t>
        </is>
      </c>
      <c r="I1844" s="15" t="n">
        <v>0</v>
      </c>
      <c r="J1844" s="15" t="n">
        <v>0</v>
      </c>
      <c r="K1844" s="13" t="inlineStr">
        <is>
          <t>KG</t>
        </is>
      </c>
      <c r="L1844" s="15" t="n">
        <v>1</v>
      </c>
      <c r="M1844" s="13" t="inlineStr">
        <is>
          <t>Uso restrito a estabelecimentos formuladores registrados</t>
        </is>
      </c>
    </row>
    <row r="1845" ht="22" customHeight="1">
      <c r="A1845" s="6" t="inlineStr">
        <is>
          <t>ALV-1841</t>
        </is>
      </c>
      <c r="B1845" s="5" t="n">
        <v>978</v>
      </c>
      <c r="C1845" s="7" t="inlineStr">
        <is>
          <t>Nº 22024</t>
        </is>
      </c>
      <c r="D1845" s="8" t="inlineStr">
        <is>
          <t>FUNGUS BVERIA</t>
        </is>
      </c>
      <c r="E1845" s="7" t="inlineStr">
        <is>
          <t>Inseticida</t>
        </is>
      </c>
      <c r="F1845" s="7" t="inlineStr">
        <is>
          <t>Mosca-branca</t>
        </is>
      </c>
      <c r="G1845" s="7" t="inlineStr">
        <is>
          <t>Bemisia tabaci raça B</t>
        </is>
      </c>
      <c r="H1845" s="7" t="inlineStr">
        <is>
          <t>NÃO</t>
        </is>
      </c>
      <c r="I1845" s="17" t="n">
        <v>0.5</v>
      </c>
      <c r="J1845" s="17" t="n">
        <v>1.5</v>
      </c>
      <c r="K1845" s="7" t="inlineStr">
        <is>
          <t>kg ou L/ha</t>
        </is>
      </c>
      <c r="L1845" s="9" t="n">
        <v>1</v>
      </c>
      <c r="M1845" s="7" t="inlineStr">
        <is>
          <t>Aplicar conforme monitoramento e estádio recomendado na bula (IRAC Grupo UNF — Biológico Multissítio)</t>
        </is>
      </c>
    </row>
    <row r="1846" ht="22" customHeight="1">
      <c r="A1846" s="12" t="inlineStr">
        <is>
          <t>ALV-1842</t>
        </is>
      </c>
      <c r="B1846" s="11" t="n">
        <v>978</v>
      </c>
      <c r="C1846" s="13" t="inlineStr">
        <is>
          <t>Nº 22024</t>
        </is>
      </c>
      <c r="D1846" s="14" t="inlineStr">
        <is>
          <t>FUNGUS BVERIA</t>
        </is>
      </c>
      <c r="E1846" s="13" t="inlineStr">
        <is>
          <t>Inseticida</t>
        </is>
      </c>
      <c r="F1846" s="13" t="inlineStr">
        <is>
          <t>Cigarrinha-do-milho</t>
        </is>
      </c>
      <c r="G1846" s="13" t="inlineStr">
        <is>
          <t>Dalbulus maidis</t>
        </is>
      </c>
      <c r="H1846" s="13" t="inlineStr">
        <is>
          <t>NÃO</t>
        </is>
      </c>
      <c r="I1846" s="18" t="n">
        <v>0.5</v>
      </c>
      <c r="J1846" s="15" t="n">
        <v>1</v>
      </c>
      <c r="K1846" s="13" t="inlineStr">
        <is>
          <t>kg ou L/ha</t>
        </is>
      </c>
      <c r="L1846" s="15" t="n">
        <v>1</v>
      </c>
      <c r="M1846" s="13" t="inlineStr">
        <is>
          <t>Aplicar conforme monitoramento e estádio recomendado na bula (IRAC Grupo UNF — Biológico Multissítio)</t>
        </is>
      </c>
    </row>
    <row r="1847" ht="22" customHeight="1">
      <c r="A1847" s="6" t="inlineStr">
        <is>
          <t>ALV-1843</t>
        </is>
      </c>
      <c r="B1847" s="5" t="n">
        <v>978</v>
      </c>
      <c r="C1847" s="7" t="inlineStr">
        <is>
          <t>Nº 22024</t>
        </is>
      </c>
      <c r="D1847" s="8" t="inlineStr">
        <is>
          <t>FUNGUS BVERIA</t>
        </is>
      </c>
      <c r="E1847" s="7" t="inlineStr">
        <is>
          <t>Inseticida</t>
        </is>
      </c>
      <c r="F1847" s="7" t="inlineStr">
        <is>
          <t>Ácaro-rajado</t>
        </is>
      </c>
      <c r="G1847" s="7" t="inlineStr">
        <is>
          <t>Tetranychus urticae</t>
        </is>
      </c>
      <c r="H1847" s="7" t="inlineStr">
        <is>
          <t>NÃO</t>
        </is>
      </c>
      <c r="I1847" s="17" t="n">
        <v>0.5</v>
      </c>
      <c r="J1847" s="17" t="n">
        <v>1.5</v>
      </c>
      <c r="K1847" s="7" t="inlineStr">
        <is>
          <t>kg ou L/ha</t>
        </is>
      </c>
      <c r="L1847" s="9" t="n">
        <v>1</v>
      </c>
      <c r="M1847" s="7" t="inlineStr">
        <is>
          <t>Aplicar conforme monitoramento e estádio recomendado na bula (IRAC Grupo UNF — Biológico Multissítio)</t>
        </is>
      </c>
    </row>
    <row r="1848" ht="22" customHeight="1">
      <c r="A1848" s="12" t="inlineStr">
        <is>
          <t>ALV-1844</t>
        </is>
      </c>
      <c r="B1848" s="11" t="n">
        <v>979</v>
      </c>
      <c r="C1848" s="13" t="inlineStr">
        <is>
          <t>Nº 22024</t>
        </is>
      </c>
      <c r="D1848" s="14" t="inlineStr">
        <is>
          <t>FUNGUS BVERIA RBR</t>
        </is>
      </c>
      <c r="E1848" s="13" t="inlineStr">
        <is>
          <t>Inseticida</t>
        </is>
      </c>
      <c r="F1848" s="13" t="inlineStr">
        <is>
          <t>Mosca-branca</t>
        </is>
      </c>
      <c r="G1848" s="13" t="inlineStr">
        <is>
          <t>Bemisia tabaci raça B</t>
        </is>
      </c>
      <c r="H1848" s="13" t="inlineStr">
        <is>
          <t>NÃO</t>
        </is>
      </c>
      <c r="I1848" s="18" t="n">
        <v>0.5</v>
      </c>
      <c r="J1848" s="18" t="n">
        <v>1.5</v>
      </c>
      <c r="K1848" s="13" t="inlineStr">
        <is>
          <t>kg ou L/ha</t>
        </is>
      </c>
      <c r="L1848" s="15" t="n">
        <v>1</v>
      </c>
      <c r="M1848" s="13" t="inlineStr">
        <is>
          <t>Aplicar conforme monitoramento e estádio recomendado na bula (IRAC Grupo UNF — Biológico Multissítio)</t>
        </is>
      </c>
    </row>
    <row r="1849" ht="22" customHeight="1">
      <c r="A1849" s="6" t="inlineStr">
        <is>
          <t>ALV-1845</t>
        </is>
      </c>
      <c r="B1849" s="5" t="n">
        <v>979</v>
      </c>
      <c r="C1849" s="7" t="inlineStr">
        <is>
          <t>Nº 22024</t>
        </is>
      </c>
      <c r="D1849" s="8" t="inlineStr">
        <is>
          <t>FUNGUS BVERIA RBR</t>
        </is>
      </c>
      <c r="E1849" s="7" t="inlineStr">
        <is>
          <t>Inseticida</t>
        </is>
      </c>
      <c r="F1849" s="7" t="inlineStr">
        <is>
          <t>Cigarrinha-do-milho</t>
        </is>
      </c>
      <c r="G1849" s="7" t="inlineStr">
        <is>
          <t>Dalbulus maidis</t>
        </is>
      </c>
      <c r="H1849" s="7" t="inlineStr">
        <is>
          <t>NÃO</t>
        </is>
      </c>
      <c r="I1849" s="17" t="n">
        <v>0.5</v>
      </c>
      <c r="J1849" s="9" t="n">
        <v>1</v>
      </c>
      <c r="K1849" s="7" t="inlineStr">
        <is>
          <t>kg ou L/ha</t>
        </is>
      </c>
      <c r="L1849" s="9" t="n">
        <v>1</v>
      </c>
      <c r="M1849" s="7" t="inlineStr">
        <is>
          <t>Aplicar conforme monitoramento e estádio recomendado na bula (IRAC Grupo UNF — Biológico Multissítio)</t>
        </is>
      </c>
    </row>
    <row r="1850" ht="22" customHeight="1">
      <c r="A1850" s="12" t="inlineStr">
        <is>
          <t>ALV-1846</t>
        </is>
      </c>
      <c r="B1850" s="11" t="n">
        <v>979</v>
      </c>
      <c r="C1850" s="13" t="inlineStr">
        <is>
          <t>Nº 22024</t>
        </is>
      </c>
      <c r="D1850" s="14" t="inlineStr">
        <is>
          <t>FUNGUS BVERIA RBR</t>
        </is>
      </c>
      <c r="E1850" s="13" t="inlineStr">
        <is>
          <t>Inseticida</t>
        </is>
      </c>
      <c r="F1850" s="13" t="inlineStr">
        <is>
          <t>Ácaro-rajado</t>
        </is>
      </c>
      <c r="G1850" s="13" t="inlineStr">
        <is>
          <t>Tetranychus urticae</t>
        </is>
      </c>
      <c r="H1850" s="13" t="inlineStr">
        <is>
          <t>NÃO</t>
        </is>
      </c>
      <c r="I1850" s="18" t="n">
        <v>0.5</v>
      </c>
      <c r="J1850" s="18" t="n">
        <v>1.5</v>
      </c>
      <c r="K1850" s="13" t="inlineStr">
        <is>
          <t>kg ou L/ha</t>
        </is>
      </c>
      <c r="L1850" s="15" t="n">
        <v>1</v>
      </c>
      <c r="M1850" s="13" t="inlineStr">
        <is>
          <t>Aplicar conforme monitoramento e estádio recomendado na bula (IRAC Grupo UNF — Biológico Multissítio)</t>
        </is>
      </c>
    </row>
    <row r="1851" ht="22" customHeight="1">
      <c r="A1851" s="6" t="inlineStr">
        <is>
          <t>ALV-1847</t>
        </is>
      </c>
      <c r="B1851" s="5" t="n">
        <v>980</v>
      </c>
      <c r="C1851" s="7" t="inlineStr">
        <is>
          <t>Nº 22024</t>
        </is>
      </c>
      <c r="D1851" s="8" t="inlineStr">
        <is>
          <t>FUNGUS BVERIA INC</t>
        </is>
      </c>
      <c r="E1851" s="7" t="inlineStr">
        <is>
          <t>Inseticida</t>
        </is>
      </c>
      <c r="F1851" s="7" t="inlineStr">
        <is>
          <t>Mosca-branca</t>
        </is>
      </c>
      <c r="G1851" s="7" t="inlineStr">
        <is>
          <t>Bemisia tabaci raça B</t>
        </is>
      </c>
      <c r="H1851" s="7" t="inlineStr">
        <is>
          <t>NÃO</t>
        </is>
      </c>
      <c r="I1851" s="17" t="n">
        <v>0.5</v>
      </c>
      <c r="J1851" s="17" t="n">
        <v>1.5</v>
      </c>
      <c r="K1851" s="7" t="inlineStr">
        <is>
          <t>kg ou L/ha</t>
        </is>
      </c>
      <c r="L1851" s="9" t="n">
        <v>1</v>
      </c>
      <c r="M1851" s="7" t="inlineStr">
        <is>
          <t>Aplicar conforme monitoramento e estádio recomendado na bula (IRAC Grupo UNF — Biológico Multissítio)</t>
        </is>
      </c>
    </row>
    <row r="1852" ht="22" customHeight="1">
      <c r="A1852" s="12" t="inlineStr">
        <is>
          <t>ALV-1848</t>
        </is>
      </c>
      <c r="B1852" s="11" t="n">
        <v>980</v>
      </c>
      <c r="C1852" s="13" t="inlineStr">
        <is>
          <t>Nº 22024</t>
        </is>
      </c>
      <c r="D1852" s="14" t="inlineStr">
        <is>
          <t>FUNGUS BVERIA INC</t>
        </is>
      </c>
      <c r="E1852" s="13" t="inlineStr">
        <is>
          <t>Inseticida</t>
        </is>
      </c>
      <c r="F1852" s="13" t="inlineStr">
        <is>
          <t>Cigarrinha-do-milho</t>
        </is>
      </c>
      <c r="G1852" s="13" t="inlineStr">
        <is>
          <t>Dalbulus maidis</t>
        </is>
      </c>
      <c r="H1852" s="13" t="inlineStr">
        <is>
          <t>NÃO</t>
        </is>
      </c>
      <c r="I1852" s="18" t="n">
        <v>0.5</v>
      </c>
      <c r="J1852" s="15" t="n">
        <v>1</v>
      </c>
      <c r="K1852" s="13" t="inlineStr">
        <is>
          <t>kg ou L/ha</t>
        </is>
      </c>
      <c r="L1852" s="15" t="n">
        <v>1</v>
      </c>
      <c r="M1852" s="13" t="inlineStr">
        <is>
          <t>Aplicar conforme monitoramento e estádio recomendado na bula (IRAC Grupo UNF — Biológico Multissítio)</t>
        </is>
      </c>
    </row>
    <row r="1853" ht="22" customHeight="1">
      <c r="A1853" s="6" t="inlineStr">
        <is>
          <t>ALV-1849</t>
        </is>
      </c>
      <c r="B1853" s="5" t="n">
        <v>980</v>
      </c>
      <c r="C1853" s="7" t="inlineStr">
        <is>
          <t>Nº 22024</t>
        </is>
      </c>
      <c r="D1853" s="8" t="inlineStr">
        <is>
          <t>FUNGUS BVERIA INC</t>
        </is>
      </c>
      <c r="E1853" s="7" t="inlineStr">
        <is>
          <t>Inseticida</t>
        </is>
      </c>
      <c r="F1853" s="7" t="inlineStr">
        <is>
          <t>Ácaro-rajado</t>
        </is>
      </c>
      <c r="G1853" s="7" t="inlineStr">
        <is>
          <t>Tetranychus urticae</t>
        </is>
      </c>
      <c r="H1853" s="7" t="inlineStr">
        <is>
          <t>NÃO</t>
        </is>
      </c>
      <c r="I1853" s="17" t="n">
        <v>0.5</v>
      </c>
      <c r="J1853" s="17" t="n">
        <v>1.5</v>
      </c>
      <c r="K1853" s="7" t="inlineStr">
        <is>
          <t>kg ou L/ha</t>
        </is>
      </c>
      <c r="L1853" s="9" t="n">
        <v>1</v>
      </c>
      <c r="M1853" s="7" t="inlineStr">
        <is>
          <t>Aplicar conforme monitoramento e estádio recomendado na bula (IRAC Grupo UNF — Biológico Multissítio)</t>
        </is>
      </c>
    </row>
    <row r="1854" ht="22" customHeight="1">
      <c r="A1854" s="12" t="inlineStr">
        <is>
          <t>ALV-1850</t>
        </is>
      </c>
      <c r="B1854" s="11" t="n">
        <v>981</v>
      </c>
      <c r="C1854" s="13" t="inlineStr">
        <is>
          <t>Nº 22024</t>
        </is>
      </c>
      <c r="D1854" s="14" t="inlineStr">
        <is>
          <t>FUNGUS BVERIA MAX</t>
        </is>
      </c>
      <c r="E1854" s="13" t="inlineStr">
        <is>
          <t>Inseticida</t>
        </is>
      </c>
      <c r="F1854" s="13" t="inlineStr">
        <is>
          <t>Mosca-branca</t>
        </is>
      </c>
      <c r="G1854" s="13" t="inlineStr">
        <is>
          <t>Bemisia tabaci raça B</t>
        </is>
      </c>
      <c r="H1854" s="13" t="inlineStr">
        <is>
          <t>NÃO</t>
        </is>
      </c>
      <c r="I1854" s="18" t="n">
        <v>0.5</v>
      </c>
      <c r="J1854" s="18" t="n">
        <v>1.5</v>
      </c>
      <c r="K1854" s="13" t="inlineStr">
        <is>
          <t>kg ou L/ha</t>
        </is>
      </c>
      <c r="L1854" s="15" t="n">
        <v>1</v>
      </c>
      <c r="M1854" s="13" t="inlineStr">
        <is>
          <t>Aplicar conforme monitoramento e estádio recomendado na bula (IRAC Grupo UNF — Biológico Multissítio)</t>
        </is>
      </c>
    </row>
    <row r="1855" ht="22" customHeight="1">
      <c r="A1855" s="6" t="inlineStr">
        <is>
          <t>ALV-1851</t>
        </is>
      </c>
      <c r="B1855" s="5" t="n">
        <v>981</v>
      </c>
      <c r="C1855" s="7" t="inlineStr">
        <is>
          <t>Nº 22024</t>
        </is>
      </c>
      <c r="D1855" s="8" t="inlineStr">
        <is>
          <t>FUNGUS BVERIA MAX</t>
        </is>
      </c>
      <c r="E1855" s="7" t="inlineStr">
        <is>
          <t>Inseticida</t>
        </is>
      </c>
      <c r="F1855" s="7" t="inlineStr">
        <is>
          <t>Cigarrinha-do-milho</t>
        </is>
      </c>
      <c r="G1855" s="7" t="inlineStr">
        <is>
          <t>Dalbulus maidis</t>
        </is>
      </c>
      <c r="H1855" s="7" t="inlineStr">
        <is>
          <t>NÃO</t>
        </is>
      </c>
      <c r="I1855" s="17" t="n">
        <v>0.5</v>
      </c>
      <c r="J1855" s="9" t="n">
        <v>1</v>
      </c>
      <c r="K1855" s="7" t="inlineStr">
        <is>
          <t>kg ou L/ha</t>
        </is>
      </c>
      <c r="L1855" s="9" t="n">
        <v>1</v>
      </c>
      <c r="M1855" s="7" t="inlineStr">
        <is>
          <t>Aplicar conforme monitoramento e estádio recomendado na bula (IRAC Grupo UNF — Biológico Multissítio)</t>
        </is>
      </c>
    </row>
    <row r="1856" ht="22" customHeight="1">
      <c r="A1856" s="12" t="inlineStr">
        <is>
          <t>ALV-1852</t>
        </is>
      </c>
      <c r="B1856" s="11" t="n">
        <v>981</v>
      </c>
      <c r="C1856" s="13" t="inlineStr">
        <is>
          <t>Nº 22024</t>
        </is>
      </c>
      <c r="D1856" s="14" t="inlineStr">
        <is>
          <t>FUNGUS BVERIA MAX</t>
        </is>
      </c>
      <c r="E1856" s="13" t="inlineStr">
        <is>
          <t>Inseticida</t>
        </is>
      </c>
      <c r="F1856" s="13" t="inlineStr">
        <is>
          <t>Ácaro-rajado</t>
        </is>
      </c>
      <c r="G1856" s="13" t="inlineStr">
        <is>
          <t>Tetranychus urticae</t>
        </is>
      </c>
      <c r="H1856" s="13" t="inlineStr">
        <is>
          <t>NÃO</t>
        </is>
      </c>
      <c r="I1856" s="18" t="n">
        <v>0.5</v>
      </c>
      <c r="J1856" s="18" t="n">
        <v>1.5</v>
      </c>
      <c r="K1856" s="13" t="inlineStr">
        <is>
          <t>kg ou L/ha</t>
        </is>
      </c>
      <c r="L1856" s="15" t="n">
        <v>1</v>
      </c>
      <c r="M1856" s="13" t="inlineStr">
        <is>
          <t>Aplicar conforme monitoramento e estádio recomendado na bula (IRAC Grupo UNF — Biológico Multissítio)</t>
        </is>
      </c>
    </row>
    <row r="1857" ht="22" customHeight="1">
      <c r="A1857" s="6" t="inlineStr">
        <is>
          <t>ALV-1853</t>
        </is>
      </c>
      <c r="B1857" s="5" t="n">
        <v>982</v>
      </c>
      <c r="C1857" s="7" t="inlineStr">
        <is>
          <t>Nº 22024</t>
        </is>
      </c>
      <c r="D1857" s="8" t="inlineStr">
        <is>
          <t>FUNGUS BVERIA OGN</t>
        </is>
      </c>
      <c r="E1857" s="7" t="inlineStr">
        <is>
          <t>Inseticida</t>
        </is>
      </c>
      <c r="F1857" s="7" t="inlineStr">
        <is>
          <t>Mosca-branca</t>
        </is>
      </c>
      <c r="G1857" s="7" t="inlineStr">
        <is>
          <t>Bemisia tabaci raça B</t>
        </is>
      </c>
      <c r="H1857" s="7" t="inlineStr">
        <is>
          <t>NÃO</t>
        </is>
      </c>
      <c r="I1857" s="17" t="n">
        <v>0.5</v>
      </c>
      <c r="J1857" s="17" t="n">
        <v>1.5</v>
      </c>
      <c r="K1857" s="7" t="inlineStr">
        <is>
          <t>kg ou L/ha</t>
        </is>
      </c>
      <c r="L1857" s="9" t="n">
        <v>1</v>
      </c>
      <c r="M1857" s="7" t="inlineStr">
        <is>
          <t>Aplicar conforme monitoramento e estádio recomendado na bula (IRAC Grupo UNF — Biológico Multissítio)</t>
        </is>
      </c>
    </row>
    <row r="1858" ht="22" customHeight="1">
      <c r="A1858" s="12" t="inlineStr">
        <is>
          <t>ALV-1854</t>
        </is>
      </c>
      <c r="B1858" s="11" t="n">
        <v>982</v>
      </c>
      <c r="C1858" s="13" t="inlineStr">
        <is>
          <t>Nº 22024</t>
        </is>
      </c>
      <c r="D1858" s="14" t="inlineStr">
        <is>
          <t>FUNGUS BVERIA OGN</t>
        </is>
      </c>
      <c r="E1858" s="13" t="inlineStr">
        <is>
          <t>Inseticida</t>
        </is>
      </c>
      <c r="F1858" s="13" t="inlineStr">
        <is>
          <t>Cigarrinha-do-milho</t>
        </is>
      </c>
      <c r="G1858" s="13" t="inlineStr">
        <is>
          <t>Dalbulus maidis</t>
        </is>
      </c>
      <c r="H1858" s="13" t="inlineStr">
        <is>
          <t>NÃO</t>
        </is>
      </c>
      <c r="I1858" s="18" t="n">
        <v>0.5</v>
      </c>
      <c r="J1858" s="15" t="n">
        <v>1</v>
      </c>
      <c r="K1858" s="13" t="inlineStr">
        <is>
          <t>kg ou L/ha</t>
        </is>
      </c>
      <c r="L1858" s="15" t="n">
        <v>1</v>
      </c>
      <c r="M1858" s="13" t="inlineStr">
        <is>
          <t>Aplicar conforme monitoramento e estádio recomendado na bula (IRAC Grupo UNF — Biológico Multissítio)</t>
        </is>
      </c>
    </row>
    <row r="1859" ht="22" customHeight="1">
      <c r="A1859" s="6" t="inlineStr">
        <is>
          <t>ALV-1855</t>
        </is>
      </c>
      <c r="B1859" s="5" t="n">
        <v>982</v>
      </c>
      <c r="C1859" s="7" t="inlineStr">
        <is>
          <t>Nº 22024</t>
        </is>
      </c>
      <c r="D1859" s="8" t="inlineStr">
        <is>
          <t>FUNGUS BVERIA OGN</t>
        </is>
      </c>
      <c r="E1859" s="7" t="inlineStr">
        <is>
          <t>Inseticida</t>
        </is>
      </c>
      <c r="F1859" s="7" t="inlineStr">
        <is>
          <t>Ácaro-rajado</t>
        </is>
      </c>
      <c r="G1859" s="7" t="inlineStr">
        <is>
          <t>Tetranychus urticae</t>
        </is>
      </c>
      <c r="H1859" s="7" t="inlineStr">
        <is>
          <t>NÃO</t>
        </is>
      </c>
      <c r="I1859" s="17" t="n">
        <v>0.5</v>
      </c>
      <c r="J1859" s="17" t="n">
        <v>1.5</v>
      </c>
      <c r="K1859" s="7" t="inlineStr">
        <is>
          <t>kg ou L/ha</t>
        </is>
      </c>
      <c r="L1859" s="9" t="n">
        <v>1</v>
      </c>
      <c r="M1859" s="7" t="inlineStr">
        <is>
          <t>Aplicar conforme monitoramento e estádio recomendado na bula (IRAC Grupo UNF — Biológico Multissítio)</t>
        </is>
      </c>
    </row>
    <row r="1860" ht="22" customHeight="1">
      <c r="A1860" s="12" t="inlineStr">
        <is>
          <t>ALV-1856</t>
        </is>
      </c>
      <c r="B1860" s="11" t="n">
        <v>983</v>
      </c>
      <c r="C1860" s="13" t="inlineStr">
        <is>
          <t>Nº 22024</t>
        </is>
      </c>
      <c r="D1860" s="14" t="inlineStr">
        <is>
          <t>FUNGUS BVERIA GOLD</t>
        </is>
      </c>
      <c r="E1860" s="13" t="inlineStr">
        <is>
          <t>Inseticida</t>
        </is>
      </c>
      <c r="F1860" s="13" t="inlineStr">
        <is>
          <t>Mosca-branca</t>
        </is>
      </c>
      <c r="G1860" s="13" t="inlineStr">
        <is>
          <t>Bemisia tabaci raça B</t>
        </is>
      </c>
      <c r="H1860" s="13" t="inlineStr">
        <is>
          <t>NÃO</t>
        </is>
      </c>
      <c r="I1860" s="18" t="n">
        <v>0.5</v>
      </c>
      <c r="J1860" s="18" t="n">
        <v>1.5</v>
      </c>
      <c r="K1860" s="13" t="inlineStr">
        <is>
          <t>kg ou L/ha</t>
        </is>
      </c>
      <c r="L1860" s="15" t="n">
        <v>1</v>
      </c>
      <c r="M1860" s="13" t="inlineStr">
        <is>
          <t>Aplicar conforme monitoramento e estádio recomendado na bula (IRAC Grupo UNF — Biológico Multissítio)</t>
        </is>
      </c>
    </row>
    <row r="1861" ht="22" customHeight="1">
      <c r="A1861" s="6" t="inlineStr">
        <is>
          <t>ALV-1857</t>
        </is>
      </c>
      <c r="B1861" s="5" t="n">
        <v>983</v>
      </c>
      <c r="C1861" s="7" t="inlineStr">
        <is>
          <t>Nº 22024</t>
        </is>
      </c>
      <c r="D1861" s="8" t="inlineStr">
        <is>
          <t>FUNGUS BVERIA GOLD</t>
        </is>
      </c>
      <c r="E1861" s="7" t="inlineStr">
        <is>
          <t>Inseticida</t>
        </is>
      </c>
      <c r="F1861" s="7" t="inlineStr">
        <is>
          <t>Cigarrinha-do-milho</t>
        </is>
      </c>
      <c r="G1861" s="7" t="inlineStr">
        <is>
          <t>Dalbulus maidis</t>
        </is>
      </c>
      <c r="H1861" s="7" t="inlineStr">
        <is>
          <t>NÃO</t>
        </is>
      </c>
      <c r="I1861" s="17" t="n">
        <v>0.5</v>
      </c>
      <c r="J1861" s="9" t="n">
        <v>1</v>
      </c>
      <c r="K1861" s="7" t="inlineStr">
        <is>
          <t>kg ou L/ha</t>
        </is>
      </c>
      <c r="L1861" s="9" t="n">
        <v>1</v>
      </c>
      <c r="M1861" s="7" t="inlineStr">
        <is>
          <t>Aplicar conforme monitoramento e estádio recomendado na bula (IRAC Grupo UNF — Biológico Multissítio)</t>
        </is>
      </c>
    </row>
    <row r="1862" ht="22" customHeight="1">
      <c r="A1862" s="12" t="inlineStr">
        <is>
          <t>ALV-1858</t>
        </is>
      </c>
      <c r="B1862" s="11" t="n">
        <v>983</v>
      </c>
      <c r="C1862" s="13" t="inlineStr">
        <is>
          <t>Nº 22024</t>
        </is>
      </c>
      <c r="D1862" s="14" t="inlineStr">
        <is>
          <t>FUNGUS BVERIA GOLD</t>
        </is>
      </c>
      <c r="E1862" s="13" t="inlineStr">
        <is>
          <t>Inseticida</t>
        </is>
      </c>
      <c r="F1862" s="13" t="inlineStr">
        <is>
          <t>Ácaro-rajado</t>
        </is>
      </c>
      <c r="G1862" s="13" t="inlineStr">
        <is>
          <t>Tetranychus urticae</t>
        </is>
      </c>
      <c r="H1862" s="13" t="inlineStr">
        <is>
          <t>NÃO</t>
        </is>
      </c>
      <c r="I1862" s="18" t="n">
        <v>0.5</v>
      </c>
      <c r="J1862" s="18" t="n">
        <v>1.5</v>
      </c>
      <c r="K1862" s="13" t="inlineStr">
        <is>
          <t>kg ou L/ha</t>
        </is>
      </c>
      <c r="L1862" s="15" t="n">
        <v>1</v>
      </c>
      <c r="M1862" s="13" t="inlineStr">
        <is>
          <t>Aplicar conforme monitoramento e estádio recomendado na bula (IRAC Grupo UNF — Biológico Multissítio)</t>
        </is>
      </c>
    </row>
    <row r="1863" ht="22" customHeight="1">
      <c r="A1863" s="6" t="inlineStr">
        <is>
          <t>ALV-1859</t>
        </is>
      </c>
      <c r="B1863" s="5" t="n">
        <v>984</v>
      </c>
      <c r="C1863" s="7" t="inlineStr">
        <is>
          <t>Nº 02801</t>
        </is>
      </c>
      <c r="D1863" s="8" t="inlineStr">
        <is>
          <t>2,4-D AGRITEC</t>
        </is>
      </c>
      <c r="E1863" s="7" t="inlineStr">
        <is>
          <t>Herbicida</t>
        </is>
      </c>
      <c r="F1863" s="7" t="inlineStr">
        <is>
          <t>Buva</t>
        </is>
      </c>
      <c r="G1863" s="7" t="inlineStr">
        <is>
          <t>Conyza bonariensis</t>
        </is>
      </c>
      <c r="H1863" s="7" t="inlineStr">
        <is>
          <t>SIM (*)</t>
        </is>
      </c>
      <c r="I1863" s="9" t="n">
        <v>1</v>
      </c>
      <c r="J1863" s="17" t="n">
        <v>1.5</v>
      </c>
      <c r="K1863" s="7" t="inlineStr">
        <is>
          <t>L/ha</t>
        </is>
      </c>
      <c r="L1863" s="9" t="n">
        <v>1</v>
      </c>
      <c r="M1863" s="7" t="inlineStr">
        <is>
          <t>Aplicar conforme monitoramento e estádio recomendado na bula (HRAC Grupo O (4) — Auxinas Sintéticas)</t>
        </is>
      </c>
    </row>
    <row r="1864" ht="22" customHeight="1">
      <c r="A1864" s="12" t="inlineStr">
        <is>
          <t>ALV-1860</t>
        </is>
      </c>
      <c r="B1864" s="11" t="n">
        <v>984</v>
      </c>
      <c r="C1864" s="13" t="inlineStr">
        <is>
          <t>Nº 02801</t>
        </is>
      </c>
      <c r="D1864" s="14" t="inlineStr">
        <is>
          <t>2,4-D AGRITEC</t>
        </is>
      </c>
      <c r="E1864" s="13" t="inlineStr">
        <is>
          <t>Herbicida</t>
        </is>
      </c>
      <c r="F1864" s="13" t="inlineStr">
        <is>
          <t>Corda-de-viola</t>
        </is>
      </c>
      <c r="G1864" s="13" t="inlineStr">
        <is>
          <t>Ipomoea grandifolia</t>
        </is>
      </c>
      <c r="H1864" s="13" t="inlineStr">
        <is>
          <t>NÃO</t>
        </is>
      </c>
      <c r="I1864" s="15" t="n">
        <v>1</v>
      </c>
      <c r="J1864" s="18" t="n">
        <v>1.5</v>
      </c>
      <c r="K1864" s="13" t="inlineStr">
        <is>
          <t>L/ha</t>
        </is>
      </c>
      <c r="L1864" s="15" t="n">
        <v>1</v>
      </c>
      <c r="M1864" s="13" t="inlineStr">
        <is>
          <t>Aplicar conforme monitoramento e estádio recomendado na bula (HRAC Grupo O (4) — Auxinas Sintéticas)</t>
        </is>
      </c>
    </row>
    <row r="1865" ht="22" customHeight="1">
      <c r="A1865" s="6" t="inlineStr">
        <is>
          <t>ALV-1861</t>
        </is>
      </c>
      <c r="B1865" s="5" t="n">
        <v>984</v>
      </c>
      <c r="C1865" s="7" t="inlineStr">
        <is>
          <t>Nº 02801</t>
        </is>
      </c>
      <c r="D1865" s="8" t="inlineStr">
        <is>
          <t>2,4-D AGRITEC</t>
        </is>
      </c>
      <c r="E1865" s="7" t="inlineStr">
        <is>
          <t>Herbicida</t>
        </is>
      </c>
      <c r="F1865" s="7" t="inlineStr">
        <is>
          <t>Trapoeraba</t>
        </is>
      </c>
      <c r="G1865" s="7" t="inlineStr">
        <is>
          <t>Commelina benghalensis</t>
        </is>
      </c>
      <c r="H1865" s="7" t="inlineStr">
        <is>
          <t>NÃO</t>
        </is>
      </c>
      <c r="I1865" s="9" t="n">
        <v>1</v>
      </c>
      <c r="J1865" s="9" t="n">
        <v>2</v>
      </c>
      <c r="K1865" s="7" t="inlineStr">
        <is>
          <t>L/ha</t>
        </is>
      </c>
      <c r="L1865" s="9" t="n">
        <v>1</v>
      </c>
      <c r="M1865" s="7" t="inlineStr">
        <is>
          <t>Aplicar conforme monitoramento e estádio recomendado na bula (HRAC Grupo O (4) — Auxinas Sintéticas)</t>
        </is>
      </c>
    </row>
    <row r="1866" ht="22" customHeight="1">
      <c r="A1866" s="12" t="inlineStr">
        <is>
          <t>ALV-1862</t>
        </is>
      </c>
      <c r="B1866" s="11" t="n">
        <v>985</v>
      </c>
      <c r="C1866" s="13" t="inlineStr">
        <is>
          <t>Nº 2500</t>
        </is>
      </c>
      <c r="D1866" s="14" t="inlineStr">
        <is>
          <t>PILARSATO</t>
        </is>
      </c>
      <c r="E1866" s="13" t="inlineStr">
        <is>
          <t>Herbicida</t>
        </is>
      </c>
      <c r="F1866" s="13" t="inlineStr">
        <is>
          <t>Capim-amargoso</t>
        </is>
      </c>
      <c r="G1866" s="13" t="inlineStr">
        <is>
          <t>Digitaria insularis</t>
        </is>
      </c>
      <c r="H1866" s="13" t="inlineStr">
        <is>
          <t>SIM (*)</t>
        </is>
      </c>
      <c r="I1866" s="18" t="n">
        <v>1.5</v>
      </c>
      <c r="J1866" s="18" t="n">
        <v>2.5</v>
      </c>
      <c r="K1866" s="13" t="inlineStr">
        <is>
          <t>kg ou L/ha</t>
        </is>
      </c>
      <c r="L1866" s="15" t="n">
        <v>1</v>
      </c>
      <c r="M1866" s="13" t="inlineStr">
        <is>
          <t>Aplicar conforme monitoramento e estádio recomendado na bula (HRAC Grupo G (EPSPs))</t>
        </is>
      </c>
    </row>
    <row r="1867" ht="22" customHeight="1">
      <c r="A1867" s="6" t="inlineStr">
        <is>
          <t>ALV-1863</t>
        </is>
      </c>
      <c r="B1867" s="5" t="n">
        <v>985</v>
      </c>
      <c r="C1867" s="7" t="inlineStr">
        <is>
          <t>Nº 2500</t>
        </is>
      </c>
      <c r="D1867" s="8" t="inlineStr">
        <is>
          <t>PILARSATO</t>
        </is>
      </c>
      <c r="E1867" s="7" t="inlineStr">
        <is>
          <t>Herbicida</t>
        </is>
      </c>
      <c r="F1867" s="7" t="inlineStr">
        <is>
          <t>Buva</t>
        </is>
      </c>
      <c r="G1867" s="7" t="inlineStr">
        <is>
          <t>Conyza bonariensis</t>
        </is>
      </c>
      <c r="H1867" s="7" t="inlineStr">
        <is>
          <t>SIM (*)</t>
        </is>
      </c>
      <c r="I1867" s="9" t="n">
        <v>1</v>
      </c>
      <c r="J1867" s="9" t="n">
        <v>2</v>
      </c>
      <c r="K1867" s="7" t="inlineStr">
        <is>
          <t>kg ou L/ha</t>
        </is>
      </c>
      <c r="L1867" s="9" t="n">
        <v>1</v>
      </c>
      <c r="M1867" s="7" t="inlineStr">
        <is>
          <t>Aplicar conforme monitoramento e estádio recomendado na bula (HRAC Grupo G (EPSPs))</t>
        </is>
      </c>
    </row>
    <row r="1868" ht="22" customHeight="1">
      <c r="A1868" s="12" t="inlineStr">
        <is>
          <t>ALV-1864</t>
        </is>
      </c>
      <c r="B1868" s="11" t="n">
        <v>985</v>
      </c>
      <c r="C1868" s="13" t="inlineStr">
        <is>
          <t>Nº 2500</t>
        </is>
      </c>
      <c r="D1868" s="14" t="inlineStr">
        <is>
          <t>PILARSATO</t>
        </is>
      </c>
      <c r="E1868" s="13" t="inlineStr">
        <is>
          <t>Herbicida</t>
        </is>
      </c>
      <c r="F1868" s="13" t="inlineStr">
        <is>
          <t>Capim-pé-de-galinha</t>
        </is>
      </c>
      <c r="G1868" s="13" t="inlineStr">
        <is>
          <t>Eleusine indica</t>
        </is>
      </c>
      <c r="H1868" s="13" t="inlineStr">
        <is>
          <t>SIM (*)</t>
        </is>
      </c>
      <c r="I1868" s="15" t="n">
        <v>1</v>
      </c>
      <c r="J1868" s="18" t="n">
        <v>1.5</v>
      </c>
      <c r="K1868" s="13" t="inlineStr">
        <is>
          <t>kg ou L/ha</t>
        </is>
      </c>
      <c r="L1868" s="15" t="n">
        <v>1</v>
      </c>
      <c r="M1868" s="13" t="inlineStr">
        <is>
          <t>Aplicar conforme monitoramento e estádio recomendado na bula (HRAC Grupo G (EPSPs))</t>
        </is>
      </c>
    </row>
    <row r="1869" ht="22" customHeight="1">
      <c r="A1869" s="6" t="inlineStr">
        <is>
          <t>ALV-1865</t>
        </is>
      </c>
      <c r="B1869" s="5" t="n">
        <v>985</v>
      </c>
      <c r="C1869" s="7" t="inlineStr">
        <is>
          <t>Nº 2500</t>
        </is>
      </c>
      <c r="D1869" s="8" t="inlineStr">
        <is>
          <t>PILARSATO</t>
        </is>
      </c>
      <c r="E1869" s="7" t="inlineStr">
        <is>
          <t>Herbicida</t>
        </is>
      </c>
      <c r="F1869" s="7" t="inlineStr">
        <is>
          <t>Trapoeraba</t>
        </is>
      </c>
      <c r="G1869" s="7" t="inlineStr">
        <is>
          <t>Commelina benghalensis</t>
        </is>
      </c>
      <c r="H1869" s="7" t="inlineStr">
        <is>
          <t>NÃO</t>
        </is>
      </c>
      <c r="I1869" s="9" t="n">
        <v>2</v>
      </c>
      <c r="J1869" s="17" t="n">
        <v>3.5</v>
      </c>
      <c r="K1869" s="7" t="inlineStr">
        <is>
          <t>kg ou L/ha</t>
        </is>
      </c>
      <c r="L1869" s="9" t="n">
        <v>1</v>
      </c>
      <c r="M1869" s="7" t="inlineStr">
        <is>
          <t>Aplicar conforme monitoramento e estádio recomendado na bula (HRAC Grupo G (EPSPs))</t>
        </is>
      </c>
    </row>
    <row r="1870" ht="22" customHeight="1">
      <c r="A1870" s="12" t="inlineStr">
        <is>
          <t>ALV-1866</t>
        </is>
      </c>
      <c r="B1870" s="11" t="n">
        <v>986</v>
      </c>
      <c r="C1870" s="13" t="inlineStr">
        <is>
          <t>Nº 14308</t>
        </is>
      </c>
      <c r="D1870" s="14" t="inlineStr">
        <is>
          <t>SUMÔ</t>
        </is>
      </c>
      <c r="E1870" s="13" t="inlineStr">
        <is>
          <t>Herbicida</t>
        </is>
      </c>
      <c r="F1870" s="13" t="inlineStr">
        <is>
          <t>Buva</t>
        </is>
      </c>
      <c r="G1870" s="13" t="inlineStr">
        <is>
          <t>Conyza bonariensis</t>
        </is>
      </c>
      <c r="H1870" s="13" t="inlineStr">
        <is>
          <t>SIM (*)</t>
        </is>
      </c>
      <c r="I1870" s="18" t="n">
        <v>0.5</v>
      </c>
      <c r="J1870" s="15" t="n">
        <v>2</v>
      </c>
      <c r="K1870" s="13" t="inlineStr">
        <is>
          <t>L ou kg/ha</t>
        </is>
      </c>
      <c r="L1870" s="15" t="n">
        <v>1</v>
      </c>
      <c r="M1870" s="13" t="inlineStr">
        <is>
          <t>Aplicar em pré ou pós-emergência conforme bula (HRAC Grupo B (2) — Inibidores da ALS)</t>
        </is>
      </c>
    </row>
    <row r="1871" ht="22" customHeight="1">
      <c r="A1871" s="6" t="inlineStr">
        <is>
          <t>ALV-1867</t>
        </is>
      </c>
      <c r="B1871" s="5" t="n">
        <v>986</v>
      </c>
      <c r="C1871" s="7" t="inlineStr">
        <is>
          <t>Nº 14308</t>
        </is>
      </c>
      <c r="D1871" s="8" t="inlineStr">
        <is>
          <t>SUMÔ</t>
        </is>
      </c>
      <c r="E1871" s="7" t="inlineStr">
        <is>
          <t>Herbicida</t>
        </is>
      </c>
      <c r="F1871" s="7" t="inlineStr">
        <is>
          <t>Capim-amargoso</t>
        </is>
      </c>
      <c r="G1871" s="7" t="inlineStr">
        <is>
          <t>Digitaria insularis</t>
        </is>
      </c>
      <c r="H1871" s="7" t="inlineStr">
        <is>
          <t>SIM (*)</t>
        </is>
      </c>
      <c r="I1871" s="9" t="n">
        <v>1</v>
      </c>
      <c r="J1871" s="17" t="n">
        <v>2.5</v>
      </c>
      <c r="K1871" s="7" t="inlineStr">
        <is>
          <t>L ou kg/ha</t>
        </is>
      </c>
      <c r="L1871" s="9" t="n">
        <v>1</v>
      </c>
      <c r="M1871" s="7" t="inlineStr">
        <is>
          <t>Aplicar em pré ou pós-emergência conforme bula (HRAC Grupo B (2) — Inibidores da ALS)</t>
        </is>
      </c>
    </row>
    <row r="1872" ht="22" customHeight="1">
      <c r="A1872" s="12" t="inlineStr">
        <is>
          <t>ALV-1868</t>
        </is>
      </c>
      <c r="B1872" s="11" t="n">
        <v>986</v>
      </c>
      <c r="C1872" s="13" t="inlineStr">
        <is>
          <t>Nº 14308</t>
        </is>
      </c>
      <c r="D1872" s="14" t="inlineStr">
        <is>
          <t>SUMÔ</t>
        </is>
      </c>
      <c r="E1872" s="13" t="inlineStr">
        <is>
          <t>Herbicida</t>
        </is>
      </c>
      <c r="F1872" s="13" t="inlineStr">
        <is>
          <t>Corda-de-viola / Caruru</t>
        </is>
      </c>
      <c r="G1872" s="13" t="inlineStr">
        <is>
          <t>Ipomoea grandifolia / Amaranthus spp.</t>
        </is>
      </c>
      <c r="H1872" s="13" t="inlineStr">
        <is>
          <t>NÃO</t>
        </is>
      </c>
      <c r="I1872" s="18" t="n">
        <v>0.5</v>
      </c>
      <c r="J1872" s="15" t="n">
        <v>2</v>
      </c>
      <c r="K1872" s="13" t="inlineStr">
        <is>
          <t>L ou kg/ha</t>
        </is>
      </c>
      <c r="L1872" s="15" t="n">
        <v>1</v>
      </c>
      <c r="M1872" s="13" t="inlineStr">
        <is>
          <t>Aplicar em pré ou pós-emergência conforme bula (HRAC Grupo B (2) — Inibidores da ALS)</t>
        </is>
      </c>
    </row>
    <row r="1873" ht="22" customHeight="1">
      <c r="A1873" s="6" t="inlineStr">
        <is>
          <t>ALV-1869</t>
        </is>
      </c>
      <c r="B1873" s="5" t="n">
        <v>987</v>
      </c>
      <c r="C1873" s="7" t="inlineStr">
        <is>
          <t>Nº 0314</t>
        </is>
      </c>
      <c r="D1873" s="8" t="inlineStr">
        <is>
          <t>2,4-D TÉCNICO SWR AGROIMPORT</t>
        </is>
      </c>
      <c r="E1873" s="7" t="inlineStr">
        <is>
          <t>Insumo Industrial</t>
        </is>
      </c>
      <c r="F1873" s="7" t="inlineStr">
        <is>
          <t>Matéria-prima para Formulação Industrial</t>
        </is>
      </c>
      <c r="G1873" s="7" t="inlineStr">
        <is>
          <t>Uso Industrial Credenciado MAPA</t>
        </is>
      </c>
      <c r="H1873" s="7" t="inlineStr">
        <is>
          <t>NÃO</t>
        </is>
      </c>
      <c r="I1873" s="9" t="n">
        <v>0</v>
      </c>
      <c r="J1873" s="9" t="n">
        <v>0</v>
      </c>
      <c r="K1873" s="7" t="inlineStr">
        <is>
          <t>KG</t>
        </is>
      </c>
      <c r="L1873" s="9" t="n">
        <v>1</v>
      </c>
      <c r="M1873" s="7" t="inlineStr">
        <is>
          <t>Uso restrito a estabelecimentos formuladores registrados</t>
        </is>
      </c>
    </row>
    <row r="1874" ht="22" customHeight="1">
      <c r="A1874" s="12" t="inlineStr">
        <is>
          <t>ALV-1870</t>
        </is>
      </c>
      <c r="B1874" s="11" t="n">
        <v>988</v>
      </c>
      <c r="C1874" s="13" t="inlineStr">
        <is>
          <t>Nº 10618</t>
        </is>
      </c>
      <c r="D1874" s="14" t="inlineStr">
        <is>
          <t>2,4-D TÉCNICO AGROIMPORT</t>
        </is>
      </c>
      <c r="E1874" s="13" t="inlineStr">
        <is>
          <t>Insumo Industrial</t>
        </is>
      </c>
      <c r="F1874" s="13" t="inlineStr">
        <is>
          <t>Matéria-prima para Formulação Industrial</t>
        </is>
      </c>
      <c r="G1874" s="13" t="inlineStr">
        <is>
          <t>Uso Industrial Credenciado MAPA</t>
        </is>
      </c>
      <c r="H1874" s="13" t="inlineStr">
        <is>
          <t>NÃO</t>
        </is>
      </c>
      <c r="I1874" s="15" t="n">
        <v>0</v>
      </c>
      <c r="J1874" s="15" t="n">
        <v>0</v>
      </c>
      <c r="K1874" s="13" t="inlineStr">
        <is>
          <t>KG</t>
        </is>
      </c>
      <c r="L1874" s="15" t="n">
        <v>1</v>
      </c>
      <c r="M1874" s="13" t="inlineStr">
        <is>
          <t>Uso restrito a estabelecimentos formuladores registrados</t>
        </is>
      </c>
    </row>
    <row r="1875" ht="22" customHeight="1">
      <c r="A1875" s="6" t="inlineStr">
        <is>
          <t>ALV-1871</t>
        </is>
      </c>
      <c r="B1875" s="5" t="n">
        <v>989</v>
      </c>
      <c r="C1875" s="7" t="inlineStr">
        <is>
          <t>Nº 18816</t>
        </is>
      </c>
      <c r="D1875" s="8" t="inlineStr">
        <is>
          <t>GLIFOSATO G TÉCNICO AGROIMPORT</t>
        </is>
      </c>
      <c r="E1875" s="7" t="inlineStr">
        <is>
          <t>Insumo Industrial</t>
        </is>
      </c>
      <c r="F1875" s="7" t="inlineStr">
        <is>
          <t>Matéria-prima para Formulação Industrial</t>
        </is>
      </c>
      <c r="G1875" s="7" t="inlineStr">
        <is>
          <t>Uso Industrial Credenciado MAPA</t>
        </is>
      </c>
      <c r="H1875" s="7" t="inlineStr">
        <is>
          <t>NÃO</t>
        </is>
      </c>
      <c r="I1875" s="9" t="n">
        <v>0</v>
      </c>
      <c r="J1875" s="9" t="n">
        <v>0</v>
      </c>
      <c r="K1875" s="7" t="inlineStr">
        <is>
          <t>KG</t>
        </is>
      </c>
      <c r="L1875" s="9" t="n">
        <v>1</v>
      </c>
      <c r="M1875" s="7" t="inlineStr">
        <is>
          <t>Uso restrito a estabelecimentos formuladores registrados</t>
        </is>
      </c>
    </row>
    <row r="1876" ht="22" customHeight="1">
      <c r="A1876" s="12" t="inlineStr">
        <is>
          <t>ALV-1872</t>
        </is>
      </c>
      <c r="B1876" s="11" t="n">
        <v>990</v>
      </c>
      <c r="C1876" s="13" t="inlineStr">
        <is>
          <t>Nº 12515</t>
        </is>
      </c>
      <c r="D1876" s="14" t="inlineStr">
        <is>
          <t>GLIFOSATO TÉCNICO SWR AGROIMPORT</t>
        </is>
      </c>
      <c r="E1876" s="13" t="inlineStr">
        <is>
          <t>Insumo Industrial</t>
        </is>
      </c>
      <c r="F1876" s="13" t="inlineStr">
        <is>
          <t>Matéria-prima para Formulação Industrial</t>
        </is>
      </c>
      <c r="G1876" s="13" t="inlineStr">
        <is>
          <t>Uso Industrial Credenciado MAPA</t>
        </is>
      </c>
      <c r="H1876" s="13" t="inlineStr">
        <is>
          <t>NÃO</t>
        </is>
      </c>
      <c r="I1876" s="15" t="n">
        <v>0</v>
      </c>
      <c r="J1876" s="15" t="n">
        <v>0</v>
      </c>
      <c r="K1876" s="13" t="inlineStr">
        <is>
          <t>KG</t>
        </is>
      </c>
      <c r="L1876" s="15" t="n">
        <v>1</v>
      </c>
      <c r="M1876" s="13" t="inlineStr">
        <is>
          <t>Uso restrito a estabelecimentos formuladores registrados</t>
        </is>
      </c>
    </row>
    <row r="1877" ht="22" customHeight="1">
      <c r="A1877" s="6" t="inlineStr">
        <is>
          <t>ALV-1873</t>
        </is>
      </c>
      <c r="B1877" s="5" t="n">
        <v>991</v>
      </c>
      <c r="C1877" s="7" t="inlineStr">
        <is>
          <t>Nº 10714</t>
        </is>
      </c>
      <c r="D1877" s="8" t="inlineStr">
        <is>
          <t>MEGASATO TÉCNICO</t>
        </is>
      </c>
      <c r="E1877" s="7" t="inlineStr">
        <is>
          <t>Insumo Industrial</t>
        </is>
      </c>
      <c r="F1877" s="7" t="inlineStr">
        <is>
          <t>Matéria-prima para Formulação Industrial</t>
        </is>
      </c>
      <c r="G1877" s="7" t="inlineStr">
        <is>
          <t>Uso Industrial Credenciado MAPA</t>
        </is>
      </c>
      <c r="H1877" s="7" t="inlineStr">
        <is>
          <t>NÃO</t>
        </is>
      </c>
      <c r="I1877" s="9" t="n">
        <v>0</v>
      </c>
      <c r="J1877" s="9" t="n">
        <v>0</v>
      </c>
      <c r="K1877" s="7" t="inlineStr">
        <is>
          <t>KG</t>
        </is>
      </c>
      <c r="L1877" s="9" t="n">
        <v>1</v>
      </c>
      <c r="M1877" s="7" t="inlineStr">
        <is>
          <t>Uso restrito a estabelecimentos formuladores registrados</t>
        </is>
      </c>
    </row>
    <row r="1878" ht="22" customHeight="1">
      <c r="A1878" s="12" t="inlineStr">
        <is>
          <t>ALV-1874</t>
        </is>
      </c>
      <c r="B1878" s="11" t="n">
        <v>992</v>
      </c>
      <c r="C1878" s="13" t="inlineStr">
        <is>
          <t>TC08623</t>
        </is>
      </c>
      <c r="D1878" s="14" t="inlineStr">
        <is>
          <t>2,4-D TÉCNICO ALBAUGH 02 HF</t>
        </is>
      </c>
      <c r="E1878" s="13" t="inlineStr">
        <is>
          <t>Insumo Industrial</t>
        </is>
      </c>
      <c r="F1878" s="13" t="inlineStr">
        <is>
          <t>Matéria-prima para Formulação Industrial</t>
        </is>
      </c>
      <c r="G1878" s="13" t="inlineStr">
        <is>
          <t>Uso Industrial Credenciado MAPA</t>
        </is>
      </c>
      <c r="H1878" s="13" t="inlineStr">
        <is>
          <t>NÃO</t>
        </is>
      </c>
      <c r="I1878" s="15" t="n">
        <v>0</v>
      </c>
      <c r="J1878" s="15" t="n">
        <v>0</v>
      </c>
      <c r="K1878" s="13" t="inlineStr">
        <is>
          <t>KG</t>
        </is>
      </c>
      <c r="L1878" s="15" t="n">
        <v>1</v>
      </c>
      <c r="M1878" s="13" t="inlineStr">
        <is>
          <t>Uso restrito a estabelecimentos formuladores registrados</t>
        </is>
      </c>
    </row>
    <row r="1879" ht="22" customHeight="1">
      <c r="A1879" s="6" t="inlineStr">
        <is>
          <t>ALV-1875</t>
        </is>
      </c>
      <c r="B1879" s="5" t="n">
        <v>993</v>
      </c>
      <c r="C1879" s="7" t="inlineStr">
        <is>
          <t>Nº 13914</t>
        </is>
      </c>
      <c r="D1879" s="8" t="inlineStr">
        <is>
          <t>2,4-D ÁCIDO TÉCNICO CCAB</t>
        </is>
      </c>
      <c r="E1879" s="7" t="inlineStr">
        <is>
          <t>Insumo Industrial</t>
        </is>
      </c>
      <c r="F1879" s="7" t="inlineStr">
        <is>
          <t>Matéria-prima para Formulação Industrial</t>
        </is>
      </c>
      <c r="G1879" s="7" t="inlineStr">
        <is>
          <t>Uso Industrial Credenciado MAPA</t>
        </is>
      </c>
      <c r="H1879" s="7" t="inlineStr">
        <is>
          <t>NÃO</t>
        </is>
      </c>
      <c r="I1879" s="9" t="n">
        <v>0</v>
      </c>
      <c r="J1879" s="9" t="n">
        <v>0</v>
      </c>
      <c r="K1879" s="7" t="inlineStr">
        <is>
          <t>KG</t>
        </is>
      </c>
      <c r="L1879" s="9" t="n">
        <v>1</v>
      </c>
      <c r="M1879" s="7" t="inlineStr">
        <is>
          <t>Uso restrito a estabelecimentos formuladores registrados</t>
        </is>
      </c>
    </row>
    <row r="1880" ht="22" customHeight="1">
      <c r="A1880" s="12" t="inlineStr">
        <is>
          <t>ALV-1876</t>
        </is>
      </c>
      <c r="B1880" s="11" t="n">
        <v>994</v>
      </c>
      <c r="C1880" s="13" t="inlineStr">
        <is>
          <t>Nº 10216</t>
        </is>
      </c>
      <c r="D1880" s="14" t="inlineStr">
        <is>
          <t>GLIFOSATO TÉCNICO CCAB II</t>
        </is>
      </c>
      <c r="E1880" s="13" t="inlineStr">
        <is>
          <t>Insumo Industrial</t>
        </is>
      </c>
      <c r="F1880" s="13" t="inlineStr">
        <is>
          <t>Matéria-prima para Formulação Industrial</t>
        </is>
      </c>
      <c r="G1880" s="13" t="inlineStr">
        <is>
          <t>Uso Industrial Credenciado MAPA</t>
        </is>
      </c>
      <c r="H1880" s="13" t="inlineStr">
        <is>
          <t>NÃO</t>
        </is>
      </c>
      <c r="I1880" s="15" t="n">
        <v>0</v>
      </c>
      <c r="J1880" s="15" t="n">
        <v>0</v>
      </c>
      <c r="K1880" s="13" t="inlineStr">
        <is>
          <t>KG</t>
        </is>
      </c>
      <c r="L1880" s="15" t="n">
        <v>1</v>
      </c>
      <c r="M1880" s="13" t="inlineStr">
        <is>
          <t>Uso restrito a estabelecimentos formuladores registrados</t>
        </is>
      </c>
    </row>
    <row r="1881" ht="22" customHeight="1">
      <c r="A1881" s="6" t="inlineStr">
        <is>
          <t>ALV-1877</t>
        </is>
      </c>
      <c r="B1881" s="5" t="n">
        <v>995</v>
      </c>
      <c r="C1881" s="7" t="inlineStr">
        <is>
          <t>Nº 3316</t>
        </is>
      </c>
      <c r="D1881" s="8" t="inlineStr">
        <is>
          <t>2,4-D TÉCNICO MCR</t>
        </is>
      </c>
      <c r="E1881" s="7" t="inlineStr">
        <is>
          <t>Insumo Industrial</t>
        </is>
      </c>
      <c r="F1881" s="7" t="inlineStr">
        <is>
          <t>Matéria-prima para Formulação Industrial</t>
        </is>
      </c>
      <c r="G1881" s="7" t="inlineStr">
        <is>
          <t>Uso Industrial Credenciado MAPA</t>
        </is>
      </c>
      <c r="H1881" s="7" t="inlineStr">
        <is>
          <t>NÃO</t>
        </is>
      </c>
      <c r="I1881" s="9" t="n">
        <v>0</v>
      </c>
      <c r="J1881" s="9" t="n">
        <v>0</v>
      </c>
      <c r="K1881" s="7" t="inlineStr">
        <is>
          <t>KG</t>
        </is>
      </c>
      <c r="L1881" s="9" t="n">
        <v>1</v>
      </c>
      <c r="M1881" s="7" t="inlineStr">
        <is>
          <t>Uso restrito a estabelecimentos formuladores registrados</t>
        </is>
      </c>
    </row>
    <row r="1882" ht="22" customHeight="1">
      <c r="A1882" s="12" t="inlineStr">
        <is>
          <t>ALV-1878</t>
        </is>
      </c>
      <c r="B1882" s="11" t="n">
        <v>996</v>
      </c>
      <c r="C1882" s="13" t="inlineStr">
        <is>
          <t>Nº 1114</t>
        </is>
      </c>
      <c r="D1882" s="14" t="inlineStr">
        <is>
          <t>GLIFOSATO TÉCNICO COPALLIANCE</t>
        </is>
      </c>
      <c r="E1882" s="13" t="inlineStr">
        <is>
          <t>Insumo Industrial</t>
        </is>
      </c>
      <c r="F1882" s="13" t="inlineStr">
        <is>
          <t>Matéria-prima para Formulação Industrial</t>
        </is>
      </c>
      <c r="G1882" s="13" t="inlineStr">
        <is>
          <t>Uso Industrial Credenciado MAPA</t>
        </is>
      </c>
      <c r="H1882" s="13" t="inlineStr">
        <is>
          <t>NÃO</t>
        </is>
      </c>
      <c r="I1882" s="15" t="n">
        <v>0</v>
      </c>
      <c r="J1882" s="15" t="n">
        <v>0</v>
      </c>
      <c r="K1882" s="13" t="inlineStr">
        <is>
          <t>KG</t>
        </is>
      </c>
      <c r="L1882" s="15" t="n">
        <v>1</v>
      </c>
      <c r="M1882" s="13" t="inlineStr">
        <is>
          <t>Uso restrito a estabelecimentos formuladores registrados</t>
        </is>
      </c>
    </row>
    <row r="1883" ht="22" customHeight="1">
      <c r="A1883" s="6" t="inlineStr">
        <is>
          <t>ALV-1879</t>
        </is>
      </c>
      <c r="B1883" s="5" t="n">
        <v>997</v>
      </c>
      <c r="C1883" s="7" t="inlineStr">
        <is>
          <t>Nº 10901</t>
        </is>
      </c>
      <c r="D1883" s="8" t="inlineStr">
        <is>
          <t>ROUNDUP AMÔNIO PRÉ MIX</t>
        </is>
      </c>
      <c r="E1883" s="7" t="inlineStr">
        <is>
          <t>Insumo Industrial</t>
        </is>
      </c>
      <c r="F1883" s="7" t="inlineStr">
        <is>
          <t>Matéria-prima para Formulação Industrial</t>
        </is>
      </c>
      <c r="G1883" s="7" t="inlineStr">
        <is>
          <t>Uso Industrial Credenciado MAPA</t>
        </is>
      </c>
      <c r="H1883" s="7" t="inlineStr">
        <is>
          <t>NÃO</t>
        </is>
      </c>
      <c r="I1883" s="9" t="n">
        <v>0</v>
      </c>
      <c r="J1883" s="9" t="n">
        <v>0</v>
      </c>
      <c r="K1883" s="7" t="inlineStr">
        <is>
          <t>KG</t>
        </is>
      </c>
      <c r="L1883" s="9" t="n">
        <v>1</v>
      </c>
      <c r="M1883" s="7" t="inlineStr">
        <is>
          <t>Uso restrito a estabelecimentos formuladores registrados</t>
        </is>
      </c>
    </row>
    <row r="1884" ht="22" customHeight="1">
      <c r="A1884" s="12" t="inlineStr">
        <is>
          <t>ALV-1880</t>
        </is>
      </c>
      <c r="B1884" s="11" t="n">
        <v>998</v>
      </c>
      <c r="C1884" s="13" t="inlineStr">
        <is>
          <t>TC08525</t>
        </is>
      </c>
      <c r="D1884" s="14" t="inlineStr">
        <is>
          <t>ROUNDUP MEA PREMIX</t>
        </is>
      </c>
      <c r="E1884" s="13" t="inlineStr">
        <is>
          <t>Insumo Industrial</t>
        </is>
      </c>
      <c r="F1884" s="13" t="inlineStr">
        <is>
          <t>Matéria-prima para Formulação Industrial</t>
        </is>
      </c>
      <c r="G1884" s="13" t="inlineStr">
        <is>
          <t>Uso Industrial Credenciado MAPA</t>
        </is>
      </c>
      <c r="H1884" s="13" t="inlineStr">
        <is>
          <t>NÃO</t>
        </is>
      </c>
      <c r="I1884" s="15" t="n">
        <v>0</v>
      </c>
      <c r="J1884" s="15" t="n">
        <v>0</v>
      </c>
      <c r="K1884" s="13" t="inlineStr">
        <is>
          <t>KG</t>
        </is>
      </c>
      <c r="L1884" s="15" t="n">
        <v>1</v>
      </c>
      <c r="M1884" s="13" t="inlineStr">
        <is>
          <t>Uso restrito a estabelecimentos formuladores registrados</t>
        </is>
      </c>
    </row>
    <row r="1885" ht="22" customHeight="1">
      <c r="A1885" s="6" t="inlineStr">
        <is>
          <t>ALV-1881</t>
        </is>
      </c>
      <c r="B1885" s="5" t="n">
        <v>999</v>
      </c>
      <c r="C1885" s="7" t="inlineStr">
        <is>
          <t>TC00623</t>
        </is>
      </c>
      <c r="D1885" s="8" t="inlineStr">
        <is>
          <t>2,4-D TÉCNICO NORTOX V</t>
        </is>
      </c>
      <c r="E1885" s="7" t="inlineStr">
        <is>
          <t>Insumo Industrial</t>
        </is>
      </c>
      <c r="F1885" s="7" t="inlineStr">
        <is>
          <t>Matéria-prima para Formulação Industrial</t>
        </is>
      </c>
      <c r="G1885" s="7" t="inlineStr">
        <is>
          <t>Uso Industrial Credenciado MAPA</t>
        </is>
      </c>
      <c r="H1885" s="7" t="inlineStr">
        <is>
          <t>NÃO</t>
        </is>
      </c>
      <c r="I1885" s="9" t="n">
        <v>0</v>
      </c>
      <c r="J1885" s="9" t="n">
        <v>0</v>
      </c>
      <c r="K1885" s="7" t="inlineStr">
        <is>
          <t>KG</t>
        </is>
      </c>
      <c r="L1885" s="9" t="n">
        <v>1</v>
      </c>
      <c r="M1885" s="7" t="inlineStr">
        <is>
          <t>Uso restrito a estabelecimentos formuladores registrados</t>
        </is>
      </c>
    </row>
    <row r="1886" ht="22" customHeight="1">
      <c r="A1886" s="12" t="inlineStr">
        <is>
          <t>ALV-1882</t>
        </is>
      </c>
      <c r="B1886" s="11" t="n">
        <v>1000</v>
      </c>
      <c r="C1886" s="13" t="inlineStr">
        <is>
          <t>Nº 1414</t>
        </is>
      </c>
      <c r="D1886" s="14" t="inlineStr">
        <is>
          <t>2,4-D TÉCNICO RED SURCOS</t>
        </is>
      </c>
      <c r="E1886" s="13" t="inlineStr">
        <is>
          <t>Insumo Industrial</t>
        </is>
      </c>
      <c r="F1886" s="13" t="inlineStr">
        <is>
          <t>Matéria-prima para Formulação Industrial</t>
        </is>
      </c>
      <c r="G1886" s="13" t="inlineStr">
        <is>
          <t>Uso Industrial Credenciado MAPA</t>
        </is>
      </c>
      <c r="H1886" s="13" t="inlineStr">
        <is>
          <t>NÃO</t>
        </is>
      </c>
      <c r="I1886" s="15" t="n">
        <v>0</v>
      </c>
      <c r="J1886" s="15" t="n">
        <v>0</v>
      </c>
      <c r="K1886" s="13" t="inlineStr">
        <is>
          <t>KG</t>
        </is>
      </c>
      <c r="L1886" s="15" t="n">
        <v>1</v>
      </c>
      <c r="M1886" s="13" t="inlineStr">
        <is>
          <t>Uso restrito a estabelecimentos formuladores registrados</t>
        </is>
      </c>
    </row>
    <row r="1887" ht="22" customHeight="1">
      <c r="A1887" s="6" t="inlineStr">
        <is>
          <t>ALV-1883</t>
        </is>
      </c>
      <c r="B1887" s="5" t="n">
        <v>1001</v>
      </c>
      <c r="C1887" s="7" t="inlineStr">
        <is>
          <t>Nº 12415</t>
        </is>
      </c>
      <c r="D1887" s="8" t="inlineStr">
        <is>
          <t>GLIFOSATO TÉCNICO RED SURCOS II</t>
        </is>
      </c>
      <c r="E1887" s="7" t="inlineStr">
        <is>
          <t>Insumo Industrial</t>
        </is>
      </c>
      <c r="F1887" s="7" t="inlineStr">
        <is>
          <t>Matéria-prima para Formulação Industrial</t>
        </is>
      </c>
      <c r="G1887" s="7" t="inlineStr">
        <is>
          <t>Uso Industrial Credenciado MAPA</t>
        </is>
      </c>
      <c r="H1887" s="7" t="inlineStr">
        <is>
          <t>NÃO</t>
        </is>
      </c>
      <c r="I1887" s="9" t="n">
        <v>0</v>
      </c>
      <c r="J1887" s="9" t="n">
        <v>0</v>
      </c>
      <c r="K1887" s="7" t="inlineStr">
        <is>
          <t>KG</t>
        </is>
      </c>
      <c r="L1887" s="9" t="n">
        <v>1</v>
      </c>
      <c r="M1887" s="7" t="inlineStr">
        <is>
          <t>Uso restrito a estabelecimentos formuladores registrados</t>
        </is>
      </c>
    </row>
    <row r="1888" ht="22" customHeight="1">
      <c r="A1888" s="12" t="inlineStr">
        <is>
          <t>ALV-1884</t>
        </is>
      </c>
      <c r="B1888" s="11" t="n">
        <v>1002</v>
      </c>
      <c r="C1888" s="13" t="inlineStr">
        <is>
          <t>Nº 4901</t>
        </is>
      </c>
      <c r="D1888" s="14" t="inlineStr">
        <is>
          <t>2,4-D ÁCIDO TÉCNICO SUMITOMO</t>
        </is>
      </c>
      <c r="E1888" s="13" t="inlineStr">
        <is>
          <t>Insumo Industrial</t>
        </is>
      </c>
      <c r="F1888" s="13" t="inlineStr">
        <is>
          <t>Matéria-prima para Formulação Industrial</t>
        </is>
      </c>
      <c r="G1888" s="13" t="inlineStr">
        <is>
          <t>Uso Industrial Credenciado MAPA</t>
        </is>
      </c>
      <c r="H1888" s="13" t="inlineStr">
        <is>
          <t>NÃO</t>
        </is>
      </c>
      <c r="I1888" s="15" t="n">
        <v>0</v>
      </c>
      <c r="J1888" s="15" t="n">
        <v>0</v>
      </c>
      <c r="K1888" s="13" t="inlineStr">
        <is>
          <t>KG</t>
        </is>
      </c>
      <c r="L1888" s="15" t="n">
        <v>1</v>
      </c>
      <c r="M1888" s="13" t="inlineStr">
        <is>
          <t>Uso restrito a estabelecimentos formuladores registrados</t>
        </is>
      </c>
    </row>
    <row r="1889" ht="22" customHeight="1">
      <c r="A1889" s="6" t="inlineStr">
        <is>
          <t>ALV-1885</t>
        </is>
      </c>
      <c r="B1889" s="5" t="n">
        <v>1003</v>
      </c>
      <c r="C1889" s="7" t="inlineStr">
        <is>
          <t>TC07621</t>
        </is>
      </c>
      <c r="D1889" s="8" t="inlineStr">
        <is>
          <t>2,4-D TÉCNICO DT</t>
        </is>
      </c>
      <c r="E1889" s="7" t="inlineStr">
        <is>
          <t>Insumo Industrial</t>
        </is>
      </c>
      <c r="F1889" s="7" t="inlineStr">
        <is>
          <t>Matéria-prima para Formulação Industrial</t>
        </is>
      </c>
      <c r="G1889" s="7" t="inlineStr">
        <is>
          <t>Uso Industrial Credenciado MAPA</t>
        </is>
      </c>
      <c r="H1889" s="7" t="inlineStr">
        <is>
          <t>NÃO</t>
        </is>
      </c>
      <c r="I1889" s="9" t="n">
        <v>0</v>
      </c>
      <c r="J1889" s="9" t="n">
        <v>0</v>
      </c>
      <c r="K1889" s="7" t="inlineStr">
        <is>
          <t>KG</t>
        </is>
      </c>
      <c r="L1889" s="9" t="n">
        <v>1</v>
      </c>
      <c r="M1889" s="7" t="inlineStr">
        <is>
          <t>Uso restrito a estabelecimentos formuladores registrados</t>
        </is>
      </c>
    </row>
    <row r="1890" ht="22" customHeight="1">
      <c r="A1890" s="12" t="inlineStr">
        <is>
          <t>ALV-1886</t>
        </is>
      </c>
      <c r="B1890" s="11" t="n">
        <v>1004</v>
      </c>
      <c r="C1890" s="13" t="inlineStr">
        <is>
          <t>Nº 36721</t>
        </is>
      </c>
      <c r="D1890" s="14" t="inlineStr">
        <is>
          <t>MAIZEFORCE</t>
        </is>
      </c>
      <c r="E1890" s="13" t="inlineStr">
        <is>
          <t>Herbicida</t>
        </is>
      </c>
      <c r="F1890" s="13" t="inlineStr">
        <is>
          <t>Capim-carrapicho</t>
        </is>
      </c>
      <c r="G1890" s="13" t="inlineStr">
        <is>
          <t>Cenchrus echinatus</t>
        </is>
      </c>
      <c r="H1890" s="13" t="inlineStr">
        <is>
          <t>NÃO</t>
        </is>
      </c>
      <c r="I1890" s="18" t="n">
        <v>0.3</v>
      </c>
      <c r="J1890" s="18" t="n">
        <v>0.4</v>
      </c>
      <c r="K1890" s="13" t="inlineStr">
        <is>
          <t>L/ha</t>
        </is>
      </c>
      <c r="L1890" s="15" t="n">
        <v>1</v>
      </c>
      <c r="M1890" s="13" t="inlineStr">
        <is>
          <t>Aplicar conforme monitoramento e estádio recomendado na bula (HRAC Grupo F2 (27) — Inibidores da HPPD)</t>
        </is>
      </c>
    </row>
    <row r="1891" ht="22" customHeight="1">
      <c r="A1891" s="6" t="inlineStr">
        <is>
          <t>ALV-1887</t>
        </is>
      </c>
      <c r="B1891" s="5" t="n">
        <v>1004</v>
      </c>
      <c r="C1891" s="7" t="inlineStr">
        <is>
          <t>Nº 36721</t>
        </is>
      </c>
      <c r="D1891" s="8" t="inlineStr">
        <is>
          <t>MAIZEFORCE</t>
        </is>
      </c>
      <c r="E1891" s="7" t="inlineStr">
        <is>
          <t>Herbicida</t>
        </is>
      </c>
      <c r="F1891" s="7" t="inlineStr">
        <is>
          <t>Caruru</t>
        </is>
      </c>
      <c r="G1891" s="7" t="inlineStr">
        <is>
          <t>Amaranthus viridis</t>
        </is>
      </c>
      <c r="H1891" s="7" t="inlineStr">
        <is>
          <t>NÃO</t>
        </is>
      </c>
      <c r="I1891" s="17" t="n">
        <v>0.25</v>
      </c>
      <c r="J1891" s="17" t="n">
        <v>0.4</v>
      </c>
      <c r="K1891" s="7" t="inlineStr">
        <is>
          <t>L/ha</t>
        </is>
      </c>
      <c r="L1891" s="9" t="n">
        <v>1</v>
      </c>
      <c r="M1891" s="7" t="inlineStr">
        <is>
          <t>Aplicar conforme monitoramento e estádio recomendado na bula (HRAC Grupo F2 (27) — Inibidores da HPPD)</t>
        </is>
      </c>
    </row>
    <row r="1892" ht="22" customHeight="1">
      <c r="A1892" s="12" t="inlineStr">
        <is>
          <t>ALV-1888</t>
        </is>
      </c>
      <c r="B1892" s="11" t="n">
        <v>1004</v>
      </c>
      <c r="C1892" s="13" t="inlineStr">
        <is>
          <t>Nº 36721</t>
        </is>
      </c>
      <c r="D1892" s="14" t="inlineStr">
        <is>
          <t>MAIZEFORCE</t>
        </is>
      </c>
      <c r="E1892" s="13" t="inlineStr">
        <is>
          <t>Herbicida</t>
        </is>
      </c>
      <c r="F1892" s="13" t="inlineStr">
        <is>
          <t>Corda-de-viola</t>
        </is>
      </c>
      <c r="G1892" s="13" t="inlineStr">
        <is>
          <t>Ipomoea grandifolia</t>
        </is>
      </c>
      <c r="H1892" s="13" t="inlineStr">
        <is>
          <t>NÃO</t>
        </is>
      </c>
      <c r="I1892" s="18" t="n">
        <v>0.25</v>
      </c>
      <c r="J1892" s="18" t="n">
        <v>0.4</v>
      </c>
      <c r="K1892" s="13" t="inlineStr">
        <is>
          <t>L/ha</t>
        </is>
      </c>
      <c r="L1892" s="15" t="n">
        <v>1</v>
      </c>
      <c r="M1892" s="13" t="inlineStr">
        <is>
          <t>Aplicar conforme monitoramento e estádio recomendado na bula (HRAC Grupo F2 (27) — Inibidores da HPPD)</t>
        </is>
      </c>
    </row>
    <row r="1893" ht="22" customHeight="1">
      <c r="A1893" s="6" t="inlineStr">
        <is>
          <t>ALV-1889</t>
        </is>
      </c>
      <c r="B1893" s="5" t="n">
        <v>1005</v>
      </c>
      <c r="C1893" s="7" t="inlineStr">
        <is>
          <t>Nº 17416</t>
        </is>
      </c>
      <c r="D1893" s="8" t="inlineStr">
        <is>
          <t>MESOTRIONE TÉCNICO ROTAM</t>
        </is>
      </c>
      <c r="E1893" s="7" t="inlineStr">
        <is>
          <t>Insumo Industrial</t>
        </is>
      </c>
      <c r="F1893" s="7" t="inlineStr">
        <is>
          <t>Matéria-prima para Formulação Industrial</t>
        </is>
      </c>
      <c r="G1893" s="7" t="inlineStr">
        <is>
          <t>Uso Industrial Credenciado MAPA</t>
        </is>
      </c>
      <c r="H1893" s="7" t="inlineStr">
        <is>
          <t>NÃO</t>
        </is>
      </c>
      <c r="I1893" s="9" t="n">
        <v>0</v>
      </c>
      <c r="J1893" s="9" t="n">
        <v>0</v>
      </c>
      <c r="K1893" s="7" t="inlineStr">
        <is>
          <t>KG</t>
        </is>
      </c>
      <c r="L1893" s="9" t="n">
        <v>1</v>
      </c>
      <c r="M1893" s="7" t="inlineStr">
        <is>
          <t>Uso restrito a estabelecimentos formuladores registrados</t>
        </is>
      </c>
    </row>
    <row r="1894" ht="22" customHeight="1">
      <c r="A1894" s="12" t="inlineStr">
        <is>
          <t>ALV-1890</t>
        </is>
      </c>
      <c r="B1894" s="11" t="n">
        <v>1006</v>
      </c>
      <c r="C1894" s="13" t="inlineStr">
        <is>
          <t>TC07920</t>
        </is>
      </c>
      <c r="D1894" s="14" t="inlineStr">
        <is>
          <t>MESOTRIONE TÉCNICO ALBAUGH</t>
        </is>
      </c>
      <c r="E1894" s="13" t="inlineStr">
        <is>
          <t>Insumo Industrial</t>
        </is>
      </c>
      <c r="F1894" s="13" t="inlineStr">
        <is>
          <t>Matéria-prima para Formulação Industrial</t>
        </is>
      </c>
      <c r="G1894" s="13" t="inlineStr">
        <is>
          <t>Uso Industrial Credenciado MAPA</t>
        </is>
      </c>
      <c r="H1894" s="13" t="inlineStr">
        <is>
          <t>NÃO</t>
        </is>
      </c>
      <c r="I1894" s="15" t="n">
        <v>0</v>
      </c>
      <c r="J1894" s="15" t="n">
        <v>0</v>
      </c>
      <c r="K1894" s="13" t="inlineStr">
        <is>
          <t>KG</t>
        </is>
      </c>
      <c r="L1894" s="15" t="n">
        <v>1</v>
      </c>
      <c r="M1894" s="13" t="inlineStr">
        <is>
          <t>Uso restrito a estabelecimentos formuladores registrados</t>
        </is>
      </c>
    </row>
    <row r="1895" ht="22" customHeight="1">
      <c r="A1895" s="6" t="inlineStr">
        <is>
          <t>ALV-1891</t>
        </is>
      </c>
      <c r="B1895" s="5" t="n">
        <v>1007</v>
      </c>
      <c r="C1895" s="7" t="inlineStr">
        <is>
          <t>TC26122</t>
        </is>
      </c>
      <c r="D1895" s="8" t="inlineStr">
        <is>
          <t>MESOTRIONE TÉCNICO ALBAUGH AZ</t>
        </is>
      </c>
      <c r="E1895" s="7" t="inlineStr">
        <is>
          <t>Insumo Industrial</t>
        </is>
      </c>
      <c r="F1895" s="7" t="inlineStr">
        <is>
          <t>Matéria-prima para Formulação Industrial</t>
        </is>
      </c>
      <c r="G1895" s="7" t="inlineStr">
        <is>
          <t>Uso Industrial Credenciado MAPA</t>
        </is>
      </c>
      <c r="H1895" s="7" t="inlineStr">
        <is>
          <t>NÃO</t>
        </is>
      </c>
      <c r="I1895" s="9" t="n">
        <v>0</v>
      </c>
      <c r="J1895" s="9" t="n">
        <v>0</v>
      </c>
      <c r="K1895" s="7" t="inlineStr">
        <is>
          <t>KG</t>
        </is>
      </c>
      <c r="L1895" s="9" t="n">
        <v>1</v>
      </c>
      <c r="M1895" s="7" t="inlineStr">
        <is>
          <t>Uso restrito a estabelecimentos formuladores registrados</t>
        </is>
      </c>
    </row>
    <row r="1896" ht="22" customHeight="1">
      <c r="A1896" s="12" t="inlineStr">
        <is>
          <t>ALV-1892</t>
        </is>
      </c>
      <c r="B1896" s="11" t="n">
        <v>1008</v>
      </c>
      <c r="C1896" s="13" t="inlineStr">
        <is>
          <t>TC00921</t>
        </is>
      </c>
      <c r="D1896" s="14" t="inlineStr">
        <is>
          <t>MESOTRIONE TÉCNICO ALBAUGH BN</t>
        </is>
      </c>
      <c r="E1896" s="13" t="inlineStr">
        <is>
          <t>Insumo Industrial</t>
        </is>
      </c>
      <c r="F1896" s="13" t="inlineStr">
        <is>
          <t>Matéria-prima para Formulação Industrial</t>
        </is>
      </c>
      <c r="G1896" s="13" t="inlineStr">
        <is>
          <t>Uso Industrial Credenciado MAPA</t>
        </is>
      </c>
      <c r="H1896" s="13" t="inlineStr">
        <is>
          <t>NÃO</t>
        </is>
      </c>
      <c r="I1896" s="15" t="n">
        <v>0</v>
      </c>
      <c r="J1896" s="15" t="n">
        <v>0</v>
      </c>
      <c r="K1896" s="13" t="inlineStr">
        <is>
          <t>KG</t>
        </is>
      </c>
      <c r="L1896" s="15" t="n">
        <v>1</v>
      </c>
      <c r="M1896" s="13" t="inlineStr">
        <is>
          <t>Uso restrito a estabelecimentos formuladores registrados</t>
        </is>
      </c>
    </row>
    <row r="1897" ht="22" customHeight="1">
      <c r="A1897" s="6" t="inlineStr">
        <is>
          <t>ALV-1893</t>
        </is>
      </c>
      <c r="B1897" s="5" t="n">
        <v>1009</v>
      </c>
      <c r="C1897" s="7" t="inlineStr">
        <is>
          <t>Nº 44024</t>
        </is>
      </c>
      <c r="D1897" s="8" t="inlineStr">
        <is>
          <t>BIOFOLL DUO</t>
        </is>
      </c>
      <c r="E1897" s="7" t="inlineStr">
        <is>
          <t>Inseticida</t>
        </is>
      </c>
      <c r="F1897" s="7" t="inlineStr">
        <is>
          <t>Mosca-branca</t>
        </is>
      </c>
      <c r="G1897" s="7" t="inlineStr">
        <is>
          <t>Bemisia tabaci raça B</t>
        </is>
      </c>
      <c r="H1897" s="7" t="inlineStr">
        <is>
          <t>NÃO</t>
        </is>
      </c>
      <c r="I1897" s="17" t="n">
        <v>0.5</v>
      </c>
      <c r="J1897" s="17" t="n">
        <v>1.5</v>
      </c>
      <c r="K1897" s="7" t="inlineStr">
        <is>
          <t>kg ou L/ha</t>
        </is>
      </c>
      <c r="L1897" s="9" t="n">
        <v>1</v>
      </c>
      <c r="M1897" s="7" t="inlineStr">
        <is>
          <t>Aplicar conforme monitoramento e estádio recomendado na bula (IRAC Grupo UNF — Biológico Multissítio)</t>
        </is>
      </c>
    </row>
    <row r="1898" ht="22" customHeight="1">
      <c r="A1898" s="12" t="inlineStr">
        <is>
          <t>ALV-1894</t>
        </is>
      </c>
      <c r="B1898" s="11" t="n">
        <v>1009</v>
      </c>
      <c r="C1898" s="13" t="inlineStr">
        <is>
          <t>Nº 44024</t>
        </is>
      </c>
      <c r="D1898" s="14" t="inlineStr">
        <is>
          <t>BIOFOLL DUO</t>
        </is>
      </c>
      <c r="E1898" s="13" t="inlineStr">
        <is>
          <t>Inseticida</t>
        </is>
      </c>
      <c r="F1898" s="13" t="inlineStr">
        <is>
          <t>Cigarrinha-do-milho</t>
        </is>
      </c>
      <c r="G1898" s="13" t="inlineStr">
        <is>
          <t>Dalbulus maidis</t>
        </is>
      </c>
      <c r="H1898" s="13" t="inlineStr">
        <is>
          <t>NÃO</t>
        </is>
      </c>
      <c r="I1898" s="18" t="n">
        <v>0.5</v>
      </c>
      <c r="J1898" s="15" t="n">
        <v>1</v>
      </c>
      <c r="K1898" s="13" t="inlineStr">
        <is>
          <t>kg ou L/ha</t>
        </is>
      </c>
      <c r="L1898" s="15" t="n">
        <v>1</v>
      </c>
      <c r="M1898" s="13" t="inlineStr">
        <is>
          <t>Aplicar conforme monitoramento e estádio recomendado na bula (IRAC Grupo UNF — Biológico Multissítio)</t>
        </is>
      </c>
    </row>
    <row r="1899" ht="22" customHeight="1">
      <c r="A1899" s="6" t="inlineStr">
        <is>
          <t>ALV-1895</t>
        </is>
      </c>
      <c r="B1899" s="5" t="n">
        <v>1009</v>
      </c>
      <c r="C1899" s="7" t="inlineStr">
        <is>
          <t>Nº 44024</t>
        </is>
      </c>
      <c r="D1899" s="8" t="inlineStr">
        <is>
          <t>BIOFOLL DUO</t>
        </is>
      </c>
      <c r="E1899" s="7" t="inlineStr">
        <is>
          <t>Inseticida</t>
        </is>
      </c>
      <c r="F1899" s="7" t="inlineStr">
        <is>
          <t>Ácaro-rajado</t>
        </is>
      </c>
      <c r="G1899" s="7" t="inlineStr">
        <is>
          <t>Tetranychus urticae</t>
        </is>
      </c>
      <c r="H1899" s="7" t="inlineStr">
        <is>
          <t>NÃO</t>
        </is>
      </c>
      <c r="I1899" s="17" t="n">
        <v>0.5</v>
      </c>
      <c r="J1899" s="17" t="n">
        <v>1.5</v>
      </c>
      <c r="K1899" s="7" t="inlineStr">
        <is>
          <t>kg ou L/ha</t>
        </is>
      </c>
      <c r="L1899" s="9" t="n">
        <v>1</v>
      </c>
      <c r="M1899" s="7" t="inlineStr">
        <is>
          <t>Aplicar conforme monitoramento e estádio recomendado na bula (IRAC Grupo UNF — Biológico Multissítio)</t>
        </is>
      </c>
    </row>
    <row r="1900" ht="22" customHeight="1">
      <c r="A1900" s="12" t="inlineStr">
        <is>
          <t>ALV-1896</t>
        </is>
      </c>
      <c r="B1900" s="11" t="n">
        <v>1010</v>
      </c>
      <c r="C1900" s="13" t="inlineStr">
        <is>
          <t>Nº 44024</t>
        </is>
      </c>
      <c r="D1900" s="14" t="inlineStr">
        <is>
          <t>CROPBIO BIOKILLER</t>
        </is>
      </c>
      <c r="E1900" s="13" t="inlineStr">
        <is>
          <t>Inseticida</t>
        </is>
      </c>
      <c r="F1900" s="13" t="inlineStr">
        <is>
          <t>Mosca-branca</t>
        </is>
      </c>
      <c r="G1900" s="13" t="inlineStr">
        <is>
          <t>Bemisia tabaci raça B</t>
        </is>
      </c>
      <c r="H1900" s="13" t="inlineStr">
        <is>
          <t>NÃO</t>
        </is>
      </c>
      <c r="I1900" s="18" t="n">
        <v>0.5</v>
      </c>
      <c r="J1900" s="18" t="n">
        <v>1.5</v>
      </c>
      <c r="K1900" s="13" t="inlineStr">
        <is>
          <t>kg ou L/ha</t>
        </is>
      </c>
      <c r="L1900" s="15" t="n">
        <v>1</v>
      </c>
      <c r="M1900" s="13" t="inlineStr">
        <is>
          <t>Aplicar conforme monitoramento e estádio recomendado na bula (IRAC Grupo UNF — Biológico Multissítio)</t>
        </is>
      </c>
    </row>
    <row r="1901" ht="22" customHeight="1">
      <c r="A1901" s="6" t="inlineStr">
        <is>
          <t>ALV-1897</t>
        </is>
      </c>
      <c r="B1901" s="5" t="n">
        <v>1010</v>
      </c>
      <c r="C1901" s="7" t="inlineStr">
        <is>
          <t>Nº 44024</t>
        </is>
      </c>
      <c r="D1901" s="8" t="inlineStr">
        <is>
          <t>CROPBIO BIOKILLER</t>
        </is>
      </c>
      <c r="E1901" s="7" t="inlineStr">
        <is>
          <t>Inseticida</t>
        </is>
      </c>
      <c r="F1901" s="7" t="inlineStr">
        <is>
          <t>Cigarrinha-do-milho</t>
        </is>
      </c>
      <c r="G1901" s="7" t="inlineStr">
        <is>
          <t>Dalbulus maidis</t>
        </is>
      </c>
      <c r="H1901" s="7" t="inlineStr">
        <is>
          <t>NÃO</t>
        </is>
      </c>
      <c r="I1901" s="17" t="n">
        <v>0.5</v>
      </c>
      <c r="J1901" s="9" t="n">
        <v>1</v>
      </c>
      <c r="K1901" s="7" t="inlineStr">
        <is>
          <t>kg ou L/ha</t>
        </is>
      </c>
      <c r="L1901" s="9" t="n">
        <v>1</v>
      </c>
      <c r="M1901" s="7" t="inlineStr">
        <is>
          <t>Aplicar conforme monitoramento e estádio recomendado na bula (IRAC Grupo UNF — Biológico Multissítio)</t>
        </is>
      </c>
    </row>
    <row r="1902" ht="22" customHeight="1">
      <c r="A1902" s="12" t="inlineStr">
        <is>
          <t>ALV-1898</t>
        </is>
      </c>
      <c r="B1902" s="11" t="n">
        <v>1010</v>
      </c>
      <c r="C1902" s="13" t="inlineStr">
        <is>
          <t>Nº 44024</t>
        </is>
      </c>
      <c r="D1902" s="14" t="inlineStr">
        <is>
          <t>CROPBIO BIOKILLER</t>
        </is>
      </c>
      <c r="E1902" s="13" t="inlineStr">
        <is>
          <t>Inseticida</t>
        </is>
      </c>
      <c r="F1902" s="13" t="inlineStr">
        <is>
          <t>Ácaro-rajado</t>
        </is>
      </c>
      <c r="G1902" s="13" t="inlineStr">
        <is>
          <t>Tetranychus urticae</t>
        </is>
      </c>
      <c r="H1902" s="13" t="inlineStr">
        <is>
          <t>NÃO</t>
        </is>
      </c>
      <c r="I1902" s="18" t="n">
        <v>0.5</v>
      </c>
      <c r="J1902" s="18" t="n">
        <v>1.5</v>
      </c>
      <c r="K1902" s="13" t="inlineStr">
        <is>
          <t>kg ou L/ha</t>
        </is>
      </c>
      <c r="L1902" s="15" t="n">
        <v>1</v>
      </c>
      <c r="M1902" s="13" t="inlineStr">
        <is>
          <t>Aplicar conforme monitoramento e estádio recomendado na bula (IRAC Grupo UNF — Biológico Multissítio)</t>
        </is>
      </c>
    </row>
    <row r="1903" ht="22" customHeight="1">
      <c r="A1903" s="6" t="inlineStr">
        <is>
          <t>ALV-1899</t>
        </is>
      </c>
      <c r="B1903" s="5" t="n">
        <v>1011</v>
      </c>
      <c r="C1903" s="7" t="inlineStr">
        <is>
          <t>Nº 44024</t>
        </is>
      </c>
      <c r="D1903" s="8" t="inlineStr">
        <is>
          <t>BIOTOP DUO</t>
        </is>
      </c>
      <c r="E1903" s="7" t="inlineStr">
        <is>
          <t>Inseticida</t>
        </is>
      </c>
      <c r="F1903" s="7" t="inlineStr">
        <is>
          <t>Mosca-branca</t>
        </is>
      </c>
      <c r="G1903" s="7" t="inlineStr">
        <is>
          <t>Bemisia tabaci raça B</t>
        </is>
      </c>
      <c r="H1903" s="7" t="inlineStr">
        <is>
          <t>NÃO</t>
        </is>
      </c>
      <c r="I1903" s="17" t="n">
        <v>0.5</v>
      </c>
      <c r="J1903" s="17" t="n">
        <v>1.5</v>
      </c>
      <c r="K1903" s="7" t="inlineStr">
        <is>
          <t>kg ou L/ha</t>
        </is>
      </c>
      <c r="L1903" s="9" t="n">
        <v>1</v>
      </c>
      <c r="M1903" s="7" t="inlineStr">
        <is>
          <t>Aplicar conforme monitoramento e estádio recomendado na bula (IRAC Grupo UNF — Biológico Multissítio)</t>
        </is>
      </c>
    </row>
    <row r="1904" ht="22" customHeight="1">
      <c r="A1904" s="12" t="inlineStr">
        <is>
          <t>ALV-1900</t>
        </is>
      </c>
      <c r="B1904" s="11" t="n">
        <v>1011</v>
      </c>
      <c r="C1904" s="13" t="inlineStr">
        <is>
          <t>Nº 44024</t>
        </is>
      </c>
      <c r="D1904" s="14" t="inlineStr">
        <is>
          <t>BIOTOP DUO</t>
        </is>
      </c>
      <c r="E1904" s="13" t="inlineStr">
        <is>
          <t>Inseticida</t>
        </is>
      </c>
      <c r="F1904" s="13" t="inlineStr">
        <is>
          <t>Cigarrinha-do-milho</t>
        </is>
      </c>
      <c r="G1904" s="13" t="inlineStr">
        <is>
          <t>Dalbulus maidis</t>
        </is>
      </c>
      <c r="H1904" s="13" t="inlineStr">
        <is>
          <t>NÃO</t>
        </is>
      </c>
      <c r="I1904" s="18" t="n">
        <v>0.5</v>
      </c>
      <c r="J1904" s="15" t="n">
        <v>1</v>
      </c>
      <c r="K1904" s="13" t="inlineStr">
        <is>
          <t>kg ou L/ha</t>
        </is>
      </c>
      <c r="L1904" s="15" t="n">
        <v>1</v>
      </c>
      <c r="M1904" s="13" t="inlineStr">
        <is>
          <t>Aplicar conforme monitoramento e estádio recomendado na bula (IRAC Grupo UNF — Biológico Multissítio)</t>
        </is>
      </c>
    </row>
    <row r="1905" ht="22" customHeight="1">
      <c r="A1905" s="6" t="inlineStr">
        <is>
          <t>ALV-1901</t>
        </is>
      </c>
      <c r="B1905" s="5" t="n">
        <v>1011</v>
      </c>
      <c r="C1905" s="7" t="inlineStr">
        <is>
          <t>Nº 44024</t>
        </is>
      </c>
      <c r="D1905" s="8" t="inlineStr">
        <is>
          <t>BIOTOP DUO</t>
        </is>
      </c>
      <c r="E1905" s="7" t="inlineStr">
        <is>
          <t>Inseticida</t>
        </is>
      </c>
      <c r="F1905" s="7" t="inlineStr">
        <is>
          <t>Ácaro-rajado</t>
        </is>
      </c>
      <c r="G1905" s="7" t="inlineStr">
        <is>
          <t>Tetranychus urticae</t>
        </is>
      </c>
      <c r="H1905" s="7" t="inlineStr">
        <is>
          <t>NÃO</t>
        </is>
      </c>
      <c r="I1905" s="17" t="n">
        <v>0.5</v>
      </c>
      <c r="J1905" s="17" t="n">
        <v>1.5</v>
      </c>
      <c r="K1905" s="7" t="inlineStr">
        <is>
          <t>kg ou L/ha</t>
        </is>
      </c>
      <c r="L1905" s="9" t="n">
        <v>1</v>
      </c>
      <c r="M1905" s="7" t="inlineStr">
        <is>
          <t>Aplicar conforme monitoramento e estádio recomendado na bula (IRAC Grupo UNF — Biológico Multissítio)</t>
        </is>
      </c>
    </row>
    <row r="1906" ht="22" customHeight="1">
      <c r="A1906" s="12" t="inlineStr">
        <is>
          <t>ALV-1902</t>
        </is>
      </c>
      <c r="B1906" s="11" t="n">
        <v>1012</v>
      </c>
      <c r="C1906" s="13" t="inlineStr">
        <is>
          <t>Nº 44024</t>
        </is>
      </c>
      <c r="D1906" s="14" t="inlineStr">
        <is>
          <t>INSECTA BM</t>
        </is>
      </c>
      <c r="E1906" s="13" t="inlineStr">
        <is>
          <t>Inseticida</t>
        </is>
      </c>
      <c r="F1906" s="13" t="inlineStr">
        <is>
          <t>Mosca-branca</t>
        </is>
      </c>
      <c r="G1906" s="13" t="inlineStr">
        <is>
          <t>Bemisia tabaci raça B</t>
        </is>
      </c>
      <c r="H1906" s="13" t="inlineStr">
        <is>
          <t>NÃO</t>
        </is>
      </c>
      <c r="I1906" s="18" t="n">
        <v>0.5</v>
      </c>
      <c r="J1906" s="18" t="n">
        <v>1.5</v>
      </c>
      <c r="K1906" s="13" t="inlineStr">
        <is>
          <t>kg ou L/ha</t>
        </is>
      </c>
      <c r="L1906" s="15" t="n">
        <v>1</v>
      </c>
      <c r="M1906" s="13" t="inlineStr">
        <is>
          <t>Aplicar conforme monitoramento e estádio recomendado na bula (IRAC Grupo UNF — Biológico Multissítio)</t>
        </is>
      </c>
    </row>
    <row r="1907" ht="22" customHeight="1">
      <c r="A1907" s="6" t="inlineStr">
        <is>
          <t>ALV-1903</t>
        </is>
      </c>
      <c r="B1907" s="5" t="n">
        <v>1012</v>
      </c>
      <c r="C1907" s="7" t="inlineStr">
        <is>
          <t>Nº 44024</t>
        </is>
      </c>
      <c r="D1907" s="8" t="inlineStr">
        <is>
          <t>INSECTA BM</t>
        </is>
      </c>
      <c r="E1907" s="7" t="inlineStr">
        <is>
          <t>Inseticida</t>
        </is>
      </c>
      <c r="F1907" s="7" t="inlineStr">
        <is>
          <t>Cigarrinha-do-milho</t>
        </is>
      </c>
      <c r="G1907" s="7" t="inlineStr">
        <is>
          <t>Dalbulus maidis</t>
        </is>
      </c>
      <c r="H1907" s="7" t="inlineStr">
        <is>
          <t>NÃO</t>
        </is>
      </c>
      <c r="I1907" s="17" t="n">
        <v>0.5</v>
      </c>
      <c r="J1907" s="9" t="n">
        <v>1</v>
      </c>
      <c r="K1907" s="7" t="inlineStr">
        <is>
          <t>kg ou L/ha</t>
        </is>
      </c>
      <c r="L1907" s="9" t="n">
        <v>1</v>
      </c>
      <c r="M1907" s="7" t="inlineStr">
        <is>
          <t>Aplicar conforme monitoramento e estádio recomendado na bula (IRAC Grupo UNF — Biológico Multissítio)</t>
        </is>
      </c>
    </row>
    <row r="1908" ht="22" customHeight="1">
      <c r="A1908" s="12" t="inlineStr">
        <is>
          <t>ALV-1904</t>
        </is>
      </c>
      <c r="B1908" s="11" t="n">
        <v>1012</v>
      </c>
      <c r="C1908" s="13" t="inlineStr">
        <is>
          <t>Nº 44024</t>
        </is>
      </c>
      <c r="D1908" s="14" t="inlineStr">
        <is>
          <t>INSECTA BM</t>
        </is>
      </c>
      <c r="E1908" s="13" t="inlineStr">
        <is>
          <t>Inseticida</t>
        </is>
      </c>
      <c r="F1908" s="13" t="inlineStr">
        <is>
          <t>Ácaro-rajado</t>
        </is>
      </c>
      <c r="G1908" s="13" t="inlineStr">
        <is>
          <t>Tetranychus urticae</t>
        </is>
      </c>
      <c r="H1908" s="13" t="inlineStr">
        <is>
          <t>NÃO</t>
        </is>
      </c>
      <c r="I1908" s="18" t="n">
        <v>0.5</v>
      </c>
      <c r="J1908" s="18" t="n">
        <v>1.5</v>
      </c>
      <c r="K1908" s="13" t="inlineStr">
        <is>
          <t>kg ou L/ha</t>
        </is>
      </c>
      <c r="L1908" s="15" t="n">
        <v>1</v>
      </c>
      <c r="M1908" s="13" t="inlineStr">
        <is>
          <t>Aplicar conforme monitoramento e estádio recomendado na bula (IRAC Grupo UNF — Biológico Multissítio)</t>
        </is>
      </c>
    </row>
    <row r="1909" ht="22" customHeight="1">
      <c r="A1909" s="6" t="inlineStr">
        <is>
          <t>ALV-1905</t>
        </is>
      </c>
      <c r="B1909" s="5" t="n">
        <v>1013</v>
      </c>
      <c r="C1909" s="7" t="inlineStr">
        <is>
          <t>Nº 44024</t>
        </is>
      </c>
      <c r="D1909" s="8" t="inlineStr">
        <is>
          <t>BOWE</t>
        </is>
      </c>
      <c r="E1909" s="7" t="inlineStr">
        <is>
          <t>Inseticida</t>
        </is>
      </c>
      <c r="F1909" s="7" t="inlineStr">
        <is>
          <t>Mosca-branca</t>
        </is>
      </c>
      <c r="G1909" s="7" t="inlineStr">
        <is>
          <t>Bemisia tabaci raça B</t>
        </is>
      </c>
      <c r="H1909" s="7" t="inlineStr">
        <is>
          <t>NÃO</t>
        </is>
      </c>
      <c r="I1909" s="17" t="n">
        <v>0.5</v>
      </c>
      <c r="J1909" s="17" t="n">
        <v>1.5</v>
      </c>
      <c r="K1909" s="7" t="inlineStr">
        <is>
          <t>kg ou L/ha</t>
        </is>
      </c>
      <c r="L1909" s="9" t="n">
        <v>1</v>
      </c>
      <c r="M1909" s="7" t="inlineStr">
        <is>
          <t>Aplicar conforme monitoramento e estádio recomendado na bula (IRAC Grupo UNF — Biológico Multissítio)</t>
        </is>
      </c>
    </row>
    <row r="1910" ht="22" customHeight="1">
      <c r="A1910" s="12" t="inlineStr">
        <is>
          <t>ALV-1906</t>
        </is>
      </c>
      <c r="B1910" s="11" t="n">
        <v>1013</v>
      </c>
      <c r="C1910" s="13" t="inlineStr">
        <is>
          <t>Nº 44024</t>
        </is>
      </c>
      <c r="D1910" s="14" t="inlineStr">
        <is>
          <t>BOWE</t>
        </is>
      </c>
      <c r="E1910" s="13" t="inlineStr">
        <is>
          <t>Inseticida</t>
        </is>
      </c>
      <c r="F1910" s="13" t="inlineStr">
        <is>
          <t>Cigarrinha-do-milho</t>
        </is>
      </c>
      <c r="G1910" s="13" t="inlineStr">
        <is>
          <t>Dalbulus maidis</t>
        </is>
      </c>
      <c r="H1910" s="13" t="inlineStr">
        <is>
          <t>NÃO</t>
        </is>
      </c>
      <c r="I1910" s="18" t="n">
        <v>0.5</v>
      </c>
      <c r="J1910" s="15" t="n">
        <v>1</v>
      </c>
      <c r="K1910" s="13" t="inlineStr">
        <is>
          <t>kg ou L/ha</t>
        </is>
      </c>
      <c r="L1910" s="15" t="n">
        <v>1</v>
      </c>
      <c r="M1910" s="13" t="inlineStr">
        <is>
          <t>Aplicar conforme monitoramento e estádio recomendado na bula (IRAC Grupo UNF — Biológico Multissítio)</t>
        </is>
      </c>
    </row>
    <row r="1911" ht="22" customHeight="1">
      <c r="A1911" s="6" t="inlineStr">
        <is>
          <t>ALV-1907</t>
        </is>
      </c>
      <c r="B1911" s="5" t="n">
        <v>1013</v>
      </c>
      <c r="C1911" s="7" t="inlineStr">
        <is>
          <t>Nº 44024</t>
        </is>
      </c>
      <c r="D1911" s="8" t="inlineStr">
        <is>
          <t>BOWE</t>
        </is>
      </c>
      <c r="E1911" s="7" t="inlineStr">
        <is>
          <t>Inseticida</t>
        </is>
      </c>
      <c r="F1911" s="7" t="inlineStr">
        <is>
          <t>Ácaro-rajado</t>
        </is>
      </c>
      <c r="G1911" s="7" t="inlineStr">
        <is>
          <t>Tetranychus urticae</t>
        </is>
      </c>
      <c r="H1911" s="7" t="inlineStr">
        <is>
          <t>NÃO</t>
        </is>
      </c>
      <c r="I1911" s="17" t="n">
        <v>0.5</v>
      </c>
      <c r="J1911" s="17" t="n">
        <v>1.5</v>
      </c>
      <c r="K1911" s="7" t="inlineStr">
        <is>
          <t>kg ou L/ha</t>
        </is>
      </c>
      <c r="L1911" s="9" t="n">
        <v>1</v>
      </c>
      <c r="M1911" s="7" t="inlineStr">
        <is>
          <t>Aplicar conforme monitoramento e estádio recomendado na bula (IRAC Grupo UNF — Biológico Multissítio)</t>
        </is>
      </c>
    </row>
    <row r="1912" ht="22" customHeight="1">
      <c r="A1912" s="12" t="inlineStr">
        <is>
          <t>ALV-1908</t>
        </is>
      </c>
      <c r="B1912" s="11" t="n">
        <v>1014</v>
      </c>
      <c r="C1912" s="13" t="inlineStr">
        <is>
          <t>Nº 002094</t>
        </is>
      </c>
      <c r="D1912" s="14" t="inlineStr">
        <is>
          <t>ROUNDUP WG</t>
        </is>
      </c>
      <c r="E1912" s="13" t="inlineStr">
        <is>
          <t>Herbicida</t>
        </is>
      </c>
      <c r="F1912" s="13" t="inlineStr">
        <is>
          <t>Capim-amargoso</t>
        </is>
      </c>
      <c r="G1912" s="13" t="inlineStr">
        <is>
          <t>Digitaria insularis</t>
        </is>
      </c>
      <c r="H1912" s="13" t="inlineStr">
        <is>
          <t>SIM (*)</t>
        </is>
      </c>
      <c r="I1912" s="18" t="n">
        <v>1.5</v>
      </c>
      <c r="J1912" s="18" t="n">
        <v>2.5</v>
      </c>
      <c r="K1912" s="13" t="inlineStr">
        <is>
          <t>kg ou L/ha</t>
        </is>
      </c>
      <c r="L1912" s="15" t="n">
        <v>1</v>
      </c>
      <c r="M1912" s="13" t="inlineStr">
        <is>
          <t>Aplicar conforme monitoramento e estádio recomendado na bula (HRAC Grupo G (EPSPs))</t>
        </is>
      </c>
    </row>
    <row r="1913" ht="22" customHeight="1">
      <c r="A1913" s="6" t="inlineStr">
        <is>
          <t>ALV-1909</t>
        </is>
      </c>
      <c r="B1913" s="5" t="n">
        <v>1014</v>
      </c>
      <c r="C1913" s="7" t="inlineStr">
        <is>
          <t>Nº 002094</t>
        </is>
      </c>
      <c r="D1913" s="8" t="inlineStr">
        <is>
          <t>ROUNDUP WG</t>
        </is>
      </c>
      <c r="E1913" s="7" t="inlineStr">
        <is>
          <t>Herbicida</t>
        </is>
      </c>
      <c r="F1913" s="7" t="inlineStr">
        <is>
          <t>Buva</t>
        </is>
      </c>
      <c r="G1913" s="7" t="inlineStr">
        <is>
          <t>Conyza bonariensis</t>
        </is>
      </c>
      <c r="H1913" s="7" t="inlineStr">
        <is>
          <t>SIM (*)</t>
        </is>
      </c>
      <c r="I1913" s="9" t="n">
        <v>1</v>
      </c>
      <c r="J1913" s="9" t="n">
        <v>2</v>
      </c>
      <c r="K1913" s="7" t="inlineStr">
        <is>
          <t>kg ou L/ha</t>
        </is>
      </c>
      <c r="L1913" s="9" t="n">
        <v>1</v>
      </c>
      <c r="M1913" s="7" t="inlineStr">
        <is>
          <t>Aplicar conforme monitoramento e estádio recomendado na bula (HRAC Grupo G (EPSPs))</t>
        </is>
      </c>
    </row>
    <row r="1914" ht="22" customHeight="1">
      <c r="A1914" s="12" t="inlineStr">
        <is>
          <t>ALV-1910</t>
        </is>
      </c>
      <c r="B1914" s="11" t="n">
        <v>1014</v>
      </c>
      <c r="C1914" s="13" t="inlineStr">
        <is>
          <t>Nº 002094</t>
        </is>
      </c>
      <c r="D1914" s="14" t="inlineStr">
        <is>
          <t>ROUNDUP WG</t>
        </is>
      </c>
      <c r="E1914" s="13" t="inlineStr">
        <is>
          <t>Herbicida</t>
        </is>
      </c>
      <c r="F1914" s="13" t="inlineStr">
        <is>
          <t>Capim-pé-de-galinha</t>
        </is>
      </c>
      <c r="G1914" s="13" t="inlineStr">
        <is>
          <t>Eleusine indica</t>
        </is>
      </c>
      <c r="H1914" s="13" t="inlineStr">
        <is>
          <t>SIM (*)</t>
        </is>
      </c>
      <c r="I1914" s="15" t="n">
        <v>1</v>
      </c>
      <c r="J1914" s="18" t="n">
        <v>1.5</v>
      </c>
      <c r="K1914" s="13" t="inlineStr">
        <is>
          <t>kg ou L/ha</t>
        </is>
      </c>
      <c r="L1914" s="15" t="n">
        <v>1</v>
      </c>
      <c r="M1914" s="13" t="inlineStr">
        <is>
          <t>Aplicar conforme monitoramento e estádio recomendado na bula (HRAC Grupo G (EPSPs))</t>
        </is>
      </c>
    </row>
    <row r="1915" ht="22" customHeight="1">
      <c r="A1915" s="6" t="inlineStr">
        <is>
          <t>ALV-1911</t>
        </is>
      </c>
      <c r="B1915" s="5" t="n">
        <v>1014</v>
      </c>
      <c r="C1915" s="7" t="inlineStr">
        <is>
          <t>Nº 002094</t>
        </is>
      </c>
      <c r="D1915" s="8" t="inlineStr">
        <is>
          <t>ROUNDUP WG</t>
        </is>
      </c>
      <c r="E1915" s="7" t="inlineStr">
        <is>
          <t>Herbicida</t>
        </is>
      </c>
      <c r="F1915" s="7" t="inlineStr">
        <is>
          <t>Trapoeraba</t>
        </is>
      </c>
      <c r="G1915" s="7" t="inlineStr">
        <is>
          <t>Commelina benghalensis</t>
        </is>
      </c>
      <c r="H1915" s="7" t="inlineStr">
        <is>
          <t>NÃO</t>
        </is>
      </c>
      <c r="I1915" s="9" t="n">
        <v>2</v>
      </c>
      <c r="J1915" s="17" t="n">
        <v>3.5</v>
      </c>
      <c r="K1915" s="7" t="inlineStr">
        <is>
          <t>kg ou L/ha</t>
        </is>
      </c>
      <c r="L1915" s="9" t="n">
        <v>1</v>
      </c>
      <c r="M1915" s="7" t="inlineStr">
        <is>
          <t>Aplicar conforme monitoramento e estádio recomendado na bula (HRAC Grupo G (EPSPs))</t>
        </is>
      </c>
    </row>
  </sheetData>
  <mergeCells count="2"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46" customWidth="1" min="4" max="4"/>
    <col width="50" customWidth="1" min="5" max="5"/>
    <col width="30" customWidth="1" min="6" max="6"/>
    <col width="25" customWidth="1" min="7" max="7"/>
    <col width="25" customWidth="1" min="8" max="8"/>
    <col width="22" customWidth="1" min="9" max="9"/>
    <col width="50" customWidth="1" min="10" max="10"/>
  </cols>
  <sheetData>
    <row r="1" ht="30" customHeight="1">
      <c r="A1" s="1" t="inlineStr">
        <is>
          <t>8. PARÂMETROS DE TECNOLOGIA DE APLICAÇÃO, LIMITES CLIMÁTICOS E EPIs POR ETAPA EM LINHAS — [BASE OFICIAL SANEADA E CORRIGIDA CONFORME BULAS MAPA / ANVISA / SIPEAGRO]</t>
        </is>
      </c>
    </row>
    <row r="2" ht="20" customHeight="1">
      <c r="A2" s="2" t="inlineStr">
        <is>
          <t>Modalidades de pulverização (Terrestre, Costal, Aérea, TS, Drone), limites climáticos e EPIs obrigatórios estruturados em linhas padronizadas. | Total de Registros: 12</t>
        </is>
      </c>
    </row>
    <row r="3" ht="8" customHeight="1"/>
    <row r="4" ht="26" customHeight="1">
      <c r="A4" s="3" t="inlineStr">
        <is>
          <t>ID Parâmetro</t>
        </is>
      </c>
      <c r="B4" s="3" t="inlineStr">
        <is>
          <t>Escopo / Registro MAPA</t>
        </is>
      </c>
      <c r="C4" s="3" t="inlineStr">
        <is>
          <t>Marca / Família de Produtos</t>
        </is>
      </c>
      <c r="D4" s="4" t="inlineStr">
        <is>
          <t>Categoria do Parâmetro</t>
        </is>
      </c>
      <c r="E4" s="4" t="inlineStr">
        <is>
          <t>Modalidade / Etapa / Condição (1 por Linha)</t>
        </is>
      </c>
      <c r="F4" s="4" t="inlineStr">
        <is>
          <t>Status / Exigência Oficial</t>
        </is>
      </c>
      <c r="G4" s="4" t="inlineStr">
        <is>
          <t>Valor / Limite Mínimo</t>
        </is>
      </c>
      <c r="H4" s="4" t="inlineStr">
        <is>
          <t>Valor / Limite Máximo</t>
        </is>
      </c>
      <c r="I4" s="4" t="inlineStr">
        <is>
          <t>Unidade</t>
        </is>
      </c>
      <c r="J4" s="4" t="inlineStr">
        <is>
          <t>Especificação Técnica Detalhada na Bula</t>
        </is>
      </c>
    </row>
    <row r="5" ht="22" customHeight="1">
      <c r="A5" s="6" t="inlineStr">
        <is>
          <t>PAR-001</t>
        </is>
      </c>
      <c r="B5" s="6" t="inlineStr">
        <is>
          <t>Nº 002094 (e Herbicidas WG/SL)</t>
        </is>
      </c>
      <c r="C5" s="7" t="inlineStr">
        <is>
          <t>ROUNDUP WG / Família Glifosato</t>
        </is>
      </c>
      <c r="D5" s="8" t="inlineStr">
        <is>
          <t>1. Equipamento Terrestre — Barra</t>
        </is>
      </c>
      <c r="E5" s="7" t="inlineStr">
        <is>
          <t>Pulverizador Tratorizado de Barra</t>
        </is>
      </c>
      <c r="F5" s="7" t="inlineStr">
        <is>
          <t>Autorizado</t>
        </is>
      </c>
      <c r="G5" s="9" t="n">
        <v>100</v>
      </c>
      <c r="H5" s="9" t="n">
        <v>200</v>
      </c>
      <c r="I5" s="7" t="inlineStr">
        <is>
          <t>L/ha</t>
        </is>
      </c>
      <c r="J5" s="7" t="inlineStr">
        <is>
          <t>Pontas de indução de ar (gota grossa a muito grossa); barra a 50 cm do alvo; vel. máx. 25 km/h; vento &lt;= 10 km/h</t>
        </is>
      </c>
    </row>
    <row r="6" ht="22" customHeight="1">
      <c r="A6" s="12" t="inlineStr">
        <is>
          <t>PAR-002</t>
        </is>
      </c>
      <c r="B6" s="12" t="inlineStr">
        <is>
          <t>Nº 002094 (e Herbicidas WG/SL)</t>
        </is>
      </c>
      <c r="C6" s="13" t="inlineStr">
        <is>
          <t>ROUNDUP WG / Família Glifosato</t>
        </is>
      </c>
      <c r="D6" s="14" t="inlineStr">
        <is>
          <t>1. Equipamento Terrestre — Costal</t>
        </is>
      </c>
      <c r="E6" s="13" t="inlineStr">
        <is>
          <t>Pulverizador Costal Manual/Motorizado</t>
        </is>
      </c>
      <c r="F6" s="13" t="inlineStr">
        <is>
          <t>Autorizado (Jato Dirigido)</t>
        </is>
      </c>
      <c r="G6" s="15" t="n">
        <v>100</v>
      </c>
      <c r="H6" s="15" t="n">
        <v>200</v>
      </c>
      <c r="I6" s="13" t="inlineStr">
        <is>
          <t>L/ha</t>
        </is>
      </c>
      <c r="J6" s="13" t="inlineStr">
        <is>
          <t>Ponta tipo leque (jato plano); gota grossa a muito grossa; evitar atingir partes úteis das culturas perenes</t>
        </is>
      </c>
    </row>
    <row r="7" ht="22" customHeight="1">
      <c r="A7" s="6" t="inlineStr">
        <is>
          <t>PAR-003</t>
        </is>
      </c>
      <c r="B7" s="6" t="inlineStr">
        <is>
          <t>Nº 002094 (e Herbicidas WG/SL)</t>
        </is>
      </c>
      <c r="C7" s="7" t="inlineStr">
        <is>
          <t>ROUNDUP WG / Família Glifosato</t>
        </is>
      </c>
      <c r="D7" s="8" t="inlineStr">
        <is>
          <t>1. Equipamento Aéreo — Aeronave</t>
        </is>
      </c>
      <c r="E7" s="7" t="inlineStr">
        <is>
          <t>Aeronave Agrícola Homologada</t>
        </is>
      </c>
      <c r="F7" s="7" t="inlineStr">
        <is>
          <t>Autorizado (Quadros 2 a 7)</t>
        </is>
      </c>
      <c r="G7" s="9" t="n">
        <v>20</v>
      </c>
      <c r="H7" s="9" t="n">
        <v>40</v>
      </c>
      <c r="I7" s="7" t="inlineStr">
        <is>
          <t>L/ha</t>
        </is>
      </c>
      <c r="J7" s="7" t="inlineStr">
        <is>
          <t>Altura de voo 3 a 5 m; gota grossa; vento &lt;= 10 km/h; bordadura mínima: 500 m de povoações e 250 m de mananciais</t>
        </is>
      </c>
    </row>
    <row r="8" ht="22" customHeight="1">
      <c r="A8" s="12" t="inlineStr">
        <is>
          <t>PAR-004</t>
        </is>
      </c>
      <c r="B8" s="12" t="inlineStr">
        <is>
          <t>Nº 002094 (e Herbicidas WG/SL)</t>
        </is>
      </c>
      <c r="C8" s="13" t="inlineStr">
        <is>
          <t>ROUNDUP WG / Família Glifosato</t>
        </is>
      </c>
      <c r="D8" s="14" t="inlineStr">
        <is>
          <t>1. Equipamento Aéreo — Drone (ARP)</t>
        </is>
      </c>
      <c r="E8" s="13" t="inlineStr">
        <is>
          <t>Aeronave Remotamente Pilotada</t>
        </is>
      </c>
      <c r="F8" s="13" t="inlineStr">
        <is>
          <t>Sem Suporte na Bula</t>
        </is>
      </c>
      <c r="G8" s="15" t="n">
        <v>0</v>
      </c>
      <c r="H8" s="15" t="n">
        <v>0</v>
      </c>
      <c r="I8" s="13" t="inlineStr">
        <is>
          <t>L/ha</t>
        </is>
      </c>
      <c r="J8" s="13" t="inlineStr">
        <is>
          <t>A bula do Roundup® WG declara ausência de dados técnicos que suportem aplicação via drones (ARP)</t>
        </is>
      </c>
    </row>
    <row r="9" ht="22" customHeight="1">
      <c r="A9" s="6" t="inlineStr">
        <is>
          <t>PAR-005</t>
        </is>
      </c>
      <c r="B9" s="6" t="inlineStr">
        <is>
          <t>Nº 14421 (e Inseticidas FS)</t>
        </is>
      </c>
      <c r="C9" s="7" t="inlineStr">
        <is>
          <t>LEALTY FS / Tratamento de Sementes</t>
        </is>
      </c>
      <c r="D9" s="8" t="inlineStr">
        <is>
          <t>1. Equipamento de Tratamento de Sementes</t>
        </is>
      </c>
      <c r="E9" s="7" t="inlineStr">
        <is>
          <t>Tambor Rotativo ou Máquina Industrial TS</t>
        </is>
      </c>
      <c r="F9" s="7" t="inlineStr">
        <is>
          <t>Autorizado (Exclusivo TS)</t>
        </is>
      </c>
      <c r="G9" s="17" t="n">
        <v>0.24</v>
      </c>
      <c r="H9" s="17" t="n">
        <v>0.6</v>
      </c>
      <c r="I9" s="7" t="inlineStr">
        <is>
          <t>L calda/100kg sem.</t>
        </is>
      </c>
      <c r="J9" s="7" t="inlineStr">
        <is>
          <t>Vedado tratamento direto na caixa da semeadora; vedada aplicação aérea (produto tóxico para abelhas)</t>
        </is>
      </c>
    </row>
    <row r="10" ht="22" customHeight="1">
      <c r="A10" s="12" t="inlineStr">
        <is>
          <t>PAR-006</t>
        </is>
      </c>
      <c r="B10" s="12" t="inlineStr">
        <is>
          <t>Nº 40624 / Nº 6922 / Nº 31422</t>
        </is>
      </c>
      <c r="C10" s="13" t="inlineStr">
        <is>
          <t>SHARK / COFENRIN / ZARPAL (Inseticidas/Fungicidas)</t>
        </is>
      </c>
      <c r="D10" s="14" t="inlineStr">
        <is>
          <t>1. Equipamento Terrestre Foliar</t>
        </is>
      </c>
      <c r="E10" s="13" t="inlineStr">
        <is>
          <t>Barra Tratorizada (Bicos Cônicos / Leque)</t>
        </is>
      </c>
      <c r="F10" s="13" t="inlineStr">
        <is>
          <t>Autorizado</t>
        </is>
      </c>
      <c r="G10" s="15" t="n">
        <v>100</v>
      </c>
      <c r="H10" s="15" t="n">
        <v>500</v>
      </c>
      <c r="I10" s="13" t="inlineStr">
        <is>
          <t>L/ha</t>
        </is>
      </c>
      <c r="J10" s="13" t="inlineStr">
        <is>
          <t>DMV 150 a 300 micra; densidade mínima 40 gotas/cm2; agitação contínua da calda</t>
        </is>
      </c>
    </row>
    <row r="11" ht="22" customHeight="1">
      <c r="A11" s="6" t="inlineStr">
        <is>
          <t>PAR-007</t>
        </is>
      </c>
      <c r="B11" s="6" t="inlineStr">
        <is>
          <t>Nº 40624 / Nº 6922 / Nº 31422</t>
        </is>
      </c>
      <c r="C11" s="7" t="inlineStr">
        <is>
          <t>SHARK / COFENRIN / ZARPAL (Inseticidas/Fungicidas)</t>
        </is>
      </c>
      <c r="D11" s="8" t="inlineStr">
        <is>
          <t>1. Equipamento Aéreo Foliar</t>
        </is>
      </c>
      <c r="E11" s="7" t="inlineStr">
        <is>
          <t>Barra ou Atomizador Rotativo (Micronair)</t>
        </is>
      </c>
      <c r="F11" s="7" t="inlineStr">
        <is>
          <t>Autorizado</t>
        </is>
      </c>
      <c r="G11" s="9" t="n">
        <v>10</v>
      </c>
      <c r="H11" s="9" t="n">
        <v>50</v>
      </c>
      <c r="I11" s="7" t="inlineStr">
        <is>
          <t>L/ha</t>
        </is>
      </c>
      <c r="J11" s="7" t="inlineStr">
        <is>
          <t>Altura de voo 2 a 5 m; faixa de deposição 15 a 18 m; obrigatório uso de DGPS sem balizamento humano</t>
        </is>
      </c>
    </row>
    <row r="12" ht="22" customHeight="1">
      <c r="A12" s="12" t="inlineStr">
        <is>
          <t>PAR-008</t>
        </is>
      </c>
      <c r="B12" s="12" t="inlineStr">
        <is>
          <t>Padrão Geral Defensivos (762 Produtos)</t>
        </is>
      </c>
      <c r="C12" s="13" t="inlineStr">
        <is>
          <t>Todos os Defensivos Agrícolas da Base</t>
        </is>
      </c>
      <c r="D12" s="14" t="inlineStr">
        <is>
          <t>2. Condição Climática Limite</t>
        </is>
      </c>
      <c r="E12" s="13" t="inlineStr">
        <is>
          <t>Umidade Relativa e Temperatura</t>
        </is>
      </c>
      <c r="F12" s="13" t="inlineStr">
        <is>
          <t>Obrigatório</t>
        </is>
      </c>
      <c r="G12" s="15" t="n">
        <v>55</v>
      </c>
      <c r="H12" s="15" t="n">
        <v>30</v>
      </c>
      <c r="I12" s="13" t="inlineStr">
        <is>
          <t>% UR mín / °C máx</t>
        </is>
      </c>
      <c r="J12" s="13" t="inlineStr">
        <is>
          <t>Evitar pulverizar com UR &lt; 55% ou Temperatura &gt; 30°C; suspender aplicação sob inversão térmica ou risco de chuva (&lt; 4h)</t>
        </is>
      </c>
    </row>
    <row r="13" ht="22" customHeight="1">
      <c r="A13" s="6" t="inlineStr">
        <is>
          <t>PAR-009</t>
        </is>
      </c>
      <c r="B13" s="6" t="inlineStr">
        <is>
          <t>Formulações Sólidas (WG / WP / SP / SG)</t>
        </is>
      </c>
      <c r="C13" s="7" t="inlineStr">
        <is>
          <t>Defensivos Sólidos / Granulados da Base</t>
        </is>
      </c>
      <c r="D13" s="8" t="inlineStr">
        <is>
          <t>3. EPI Obrigatório por Etapa</t>
        </is>
      </c>
      <c r="E13" s="7" t="inlineStr">
        <is>
          <t>Preparo da Calda e Aplicação (Sólidos)</t>
        </is>
      </c>
      <c r="F13" s="7" t="inlineStr">
        <is>
          <t>Obrigatório</t>
        </is>
      </c>
      <c r="G13" s="9" t="n">
        <v>1</v>
      </c>
      <c r="H13" s="9" t="n">
        <v>7</v>
      </c>
      <c r="I13" s="7" t="inlineStr">
        <is>
          <t>Itens EPI</t>
        </is>
      </c>
      <c r="J13" s="7" t="inlineStr">
        <is>
          <t>Macacão algodão hidrorrepelente, botas de borracha c/ meias, avental impermeável, máscara filtro mecânico P1/P2, óculos c/ proteção lateral, touca árabe e luvas nitrílicas</t>
        </is>
      </c>
    </row>
    <row r="14" ht="22" customHeight="1">
      <c r="A14" s="12" t="inlineStr">
        <is>
          <t>PAR-010</t>
        </is>
      </c>
      <c r="B14" s="12" t="inlineStr">
        <is>
          <t>Formulações Líquidas c/ Solvente (EC / SC / SL)</t>
        </is>
      </c>
      <c r="C14" s="13" t="inlineStr">
        <is>
          <t>Defensivos Líquidos (Cat. 2, 3 e 4)</t>
        </is>
      </c>
      <c r="D14" s="14" t="inlineStr">
        <is>
          <t>3. EPI Obrigatório por Etapa</t>
        </is>
      </c>
      <c r="E14" s="13" t="inlineStr">
        <is>
          <t>Preparo da Calda e Aplicação (Líquidos)</t>
        </is>
      </c>
      <c r="F14" s="13" t="inlineStr">
        <is>
          <t>Obrigatório</t>
        </is>
      </c>
      <c r="G14" s="15" t="n">
        <v>1</v>
      </c>
      <c r="H14" s="15" t="n">
        <v>7</v>
      </c>
      <c r="I14" s="13" t="inlineStr">
        <is>
          <t>Itens EPI</t>
        </is>
      </c>
      <c r="J14" s="13" t="inlineStr">
        <is>
          <t>Macacão hidrorrepelente, botas de borracha, avental impermeável, máscara c/ filtro combinado (químico vapores orgânicos + mecânico P2/P3), óculos, touca árabe e luvas nitrílicas</t>
        </is>
      </c>
    </row>
    <row r="15" ht="22" customHeight="1">
      <c r="A15" s="6" t="inlineStr">
        <is>
          <t>PAR-011</t>
        </is>
      </c>
      <c r="B15" s="6" t="inlineStr">
        <is>
          <t>Produtos Técnicos Industriais (155 Produtos)</t>
        </is>
      </c>
      <c r="C15" s="7" t="inlineStr">
        <is>
          <t>Insumos Técnicos (TC / TK)</t>
        </is>
      </c>
      <c r="D15" s="8" t="inlineStr">
        <is>
          <t>3. EPI e Controle de Engenharia Industrial</t>
        </is>
      </c>
      <c r="E15" s="7" t="inlineStr">
        <is>
          <t>Manipulação em Planta Formuladora</t>
        </is>
      </c>
      <c r="F15" s="7" t="inlineStr">
        <is>
          <t>Obrigatório Industrial</t>
        </is>
      </c>
      <c r="G15" s="9" t="n">
        <v>1</v>
      </c>
      <c r="H15" s="9" t="n">
        <v>8</v>
      </c>
      <c r="I15" s="7" t="inlineStr">
        <is>
          <t>Itens EPI/EPC</t>
        </is>
      </c>
      <c r="J15" s="7" t="inlineStr">
        <is>
          <t>Sistema de exaustão enclausurado, vestimenta química hermética, respirador facial completo e luvas nitrílicas (NR-15 / NR-20)</t>
        </is>
      </c>
    </row>
    <row r="16" ht="22" customHeight="1">
      <c r="A16" s="12" t="inlineStr">
        <is>
          <t>PAR-012</t>
        </is>
      </c>
      <c r="B16" s="12" t="inlineStr">
        <is>
          <t>Fertilizantes, Corretivos e Biológicos (247 Produtos)</t>
        </is>
      </c>
      <c r="C16" s="13" t="inlineStr">
        <is>
          <t>SIPEAGRO / Bioinsumos / Adjuvantes</t>
        </is>
      </c>
      <c r="D16" s="14" t="inlineStr">
        <is>
          <t>3. EPI Recomendado em Campo</t>
        </is>
      </c>
      <c r="E16" s="13" t="inlineStr">
        <is>
          <t>Manuseio e Abastecimento de Adubadora/Pulverizador</t>
        </is>
      </c>
      <c r="F16" s="13" t="inlineStr">
        <is>
          <t>Obrigatório SST</t>
        </is>
      </c>
      <c r="G16" s="15" t="n">
        <v>1</v>
      </c>
      <c r="H16" s="15" t="n">
        <v>4</v>
      </c>
      <c r="I16" s="13" t="inlineStr">
        <is>
          <t>Itens EPI</t>
        </is>
      </c>
      <c r="J16" s="13" t="inlineStr">
        <is>
          <t>Óculos de proteção, luvas impermeáveis, máscara para poeiras/névoas (PFF2) e calçado de segurança (NR-31)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2026-10-22T16:21:45Z</dcterms:created>
  <dcterms:modified xmlns:dcterms="http://purl.org/dc/terms/" xmlns:xsi="http://www.w3.org/2001/XMLSchema-instance" xsi:type="dcterms:W3CDTF">2026-10-22T16:21:57Z</dcterms:modified>
</cp:coreProperties>
</file>